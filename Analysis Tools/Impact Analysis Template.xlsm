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ahaskins\Documents\Local OOT Backups\"/>
    </mc:Choice>
  </mc:AlternateContent>
  <xr:revisionPtr revIDLastSave="0" documentId="13_ncr:1_{87691451-6AA7-4AEE-90EE-CD03487F01B6}" xr6:coauthVersionLast="47" xr6:coauthVersionMax="47" xr10:uidLastSave="{00000000-0000-0000-0000-000000000000}"/>
  <bookViews>
    <workbookView xWindow="22932" yWindow="-156" windowWidth="23256" windowHeight="13176" activeTab="1" xr2:uid="{00000000-000D-0000-FFFF-FFFF00000000}"/>
  </bookViews>
  <sheets>
    <sheet name="Worksheet" sheetId="13" r:id="rId1"/>
    <sheet name="Calculations" sheetId="1" r:id="rId2"/>
    <sheet name="Input" sheetId="3" r:id="rId3"/>
    <sheet name="Instructions" sheetId="12" r:id="rId4"/>
    <sheet name="Rev History &amp; Validation"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02" i="13" l="1"/>
  <c r="G401" i="13"/>
  <c r="G400" i="13"/>
  <c r="G399" i="13"/>
  <c r="G398" i="13"/>
  <c r="G397" i="13"/>
  <c r="G396" i="13"/>
  <c r="G395" i="13"/>
  <c r="G394" i="13"/>
  <c r="G393" i="13"/>
  <c r="G392" i="13"/>
  <c r="G391" i="13"/>
  <c r="G390" i="13"/>
  <c r="G389" i="13"/>
  <c r="G388" i="13"/>
  <c r="G387" i="13"/>
  <c r="G386" i="13"/>
  <c r="G385" i="13"/>
  <c r="G384" i="13"/>
  <c r="G383" i="13"/>
  <c r="G382" i="13"/>
  <c r="G381" i="13"/>
  <c r="G380" i="13"/>
  <c r="G379" i="13"/>
  <c r="G378" i="13"/>
  <c r="G377" i="13"/>
  <c r="G376" i="13"/>
  <c r="G375" i="13"/>
  <c r="G374" i="13"/>
  <c r="G373" i="13"/>
  <c r="G372" i="13"/>
  <c r="G371" i="13"/>
  <c r="G370" i="13"/>
  <c r="G369" i="13"/>
  <c r="G368" i="13"/>
  <c r="G367" i="13"/>
  <c r="G366" i="13"/>
  <c r="G365" i="13"/>
  <c r="G364" i="13"/>
  <c r="G363" i="13"/>
  <c r="G362" i="13"/>
  <c r="G361" i="13"/>
  <c r="G360" i="13"/>
  <c r="G359" i="13"/>
  <c r="G358" i="13"/>
  <c r="G357" i="13"/>
  <c r="G356" i="13"/>
  <c r="G355" i="13"/>
  <c r="G354" i="13"/>
  <c r="G353" i="13"/>
  <c r="G352" i="13"/>
  <c r="G351" i="13"/>
  <c r="G350" i="13"/>
  <c r="G349" i="13"/>
  <c r="G348" i="13"/>
  <c r="G347" i="13"/>
  <c r="G346" i="13"/>
  <c r="G345" i="13"/>
  <c r="G344" i="13"/>
  <c r="G343" i="13"/>
  <c r="G342" i="13"/>
  <c r="G341" i="13"/>
  <c r="G340" i="13"/>
  <c r="G339" i="13"/>
  <c r="G338" i="13"/>
  <c r="G337" i="13"/>
  <c r="G336" i="13"/>
  <c r="G335" i="13"/>
  <c r="G334" i="13"/>
  <c r="G333" i="13"/>
  <c r="G332" i="13"/>
  <c r="G331" i="13"/>
  <c r="G330" i="13"/>
  <c r="G329" i="13"/>
  <c r="G328" i="13"/>
  <c r="G327" i="13"/>
  <c r="G326" i="13"/>
  <c r="G325" i="13"/>
  <c r="G324" i="13"/>
  <c r="G323" i="13"/>
  <c r="G322" i="13"/>
  <c r="G321" i="13"/>
  <c r="G320" i="13"/>
  <c r="G319" i="13"/>
  <c r="G318" i="13"/>
  <c r="G317" i="13"/>
  <c r="G316" i="13"/>
  <c r="G315" i="13"/>
  <c r="G314" i="13"/>
  <c r="G313" i="13"/>
  <c r="G312" i="13"/>
  <c r="G311" i="13"/>
  <c r="G310" i="13"/>
  <c r="G309" i="13"/>
  <c r="G308" i="13"/>
  <c r="G307" i="13"/>
  <c r="G306" i="13"/>
  <c r="G305" i="13"/>
  <c r="G304" i="13"/>
  <c r="G303" i="13"/>
  <c r="G302" i="13"/>
  <c r="G301" i="13"/>
  <c r="G300" i="13"/>
  <c r="G299" i="13"/>
  <c r="G298" i="13"/>
  <c r="G297" i="13"/>
  <c r="G296" i="13"/>
  <c r="G295" i="13"/>
  <c r="G294" i="13"/>
  <c r="G293" i="13"/>
  <c r="G292" i="13"/>
  <c r="G291" i="13"/>
  <c r="G290" i="13"/>
  <c r="G289" i="13"/>
  <c r="G288" i="13"/>
  <c r="G287" i="13"/>
  <c r="G286" i="13"/>
  <c r="G285" i="13"/>
  <c r="G284" i="13"/>
  <c r="G283" i="13"/>
  <c r="G282" i="13"/>
  <c r="G281" i="13"/>
  <c r="G280" i="13"/>
  <c r="G279" i="13"/>
  <c r="G278" i="13"/>
  <c r="G277" i="13"/>
  <c r="G276" i="13"/>
  <c r="G275" i="13"/>
  <c r="G274" i="13"/>
  <c r="G273"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245" i="13"/>
  <c r="G244"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3"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G16" i="13"/>
  <c r="G15" i="13"/>
  <c r="G14" i="13"/>
  <c r="F4" i="13"/>
  <c r="F6" i="13"/>
  <c r="E6" i="13" s="1"/>
  <c r="G6" i="13" s="1"/>
  <c r="F7" i="13"/>
  <c r="F8" i="13"/>
  <c r="E8" i="13" s="1"/>
  <c r="G8" i="13" s="1"/>
  <c r="F9" i="13"/>
  <c r="F10" i="13"/>
  <c r="F11" i="13"/>
  <c r="F12" i="13"/>
  <c r="E12" i="13" s="1"/>
  <c r="G12" i="13" s="1"/>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F127" i="13"/>
  <c r="F128" i="13"/>
  <c r="F129" i="13"/>
  <c r="F130" i="13"/>
  <c r="F131" i="13"/>
  <c r="F132"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F198" i="13"/>
  <c r="F199" i="13"/>
  <c r="F200" i="13"/>
  <c r="F201" i="13"/>
  <c r="F202" i="13"/>
  <c r="F203" i="13"/>
  <c r="F204" i="13"/>
  <c r="F205" i="13"/>
  <c r="F206" i="13"/>
  <c r="F207" i="13"/>
  <c r="F208" i="13"/>
  <c r="F209" i="13"/>
  <c r="F210" i="13"/>
  <c r="F211" i="13"/>
  <c r="F212" i="13"/>
  <c r="F213" i="13"/>
  <c r="F214" i="13"/>
  <c r="F215" i="13"/>
  <c r="F216" i="13"/>
  <c r="F217" i="13"/>
  <c r="F218" i="13"/>
  <c r="F219" i="13"/>
  <c r="F220" i="13"/>
  <c r="F221" i="13"/>
  <c r="F222" i="13"/>
  <c r="F223" i="13"/>
  <c r="F224" i="13"/>
  <c r="F225" i="13"/>
  <c r="F226" i="13"/>
  <c r="F227" i="13"/>
  <c r="F228" i="13"/>
  <c r="F229" i="13"/>
  <c r="F230" i="13"/>
  <c r="F231" i="13"/>
  <c r="F232" i="13"/>
  <c r="F233" i="13"/>
  <c r="F234" i="13"/>
  <c r="F235" i="13"/>
  <c r="F236" i="13"/>
  <c r="F237" i="13"/>
  <c r="F238" i="13"/>
  <c r="F239" i="13"/>
  <c r="F240" i="13"/>
  <c r="F241" i="13"/>
  <c r="F242" i="13"/>
  <c r="F243" i="13"/>
  <c r="F244" i="13"/>
  <c r="F245" i="13"/>
  <c r="F246" i="13"/>
  <c r="F247" i="13"/>
  <c r="F248" i="13"/>
  <c r="F249" i="13"/>
  <c r="F250" i="13"/>
  <c r="F251" i="13"/>
  <c r="F252" i="13"/>
  <c r="F253" i="13"/>
  <c r="F254" i="13"/>
  <c r="F255" i="13"/>
  <c r="F256" i="13"/>
  <c r="F257" i="13"/>
  <c r="F258" i="13"/>
  <c r="F259" i="13"/>
  <c r="F260" i="13"/>
  <c r="F261" i="13"/>
  <c r="F262" i="13"/>
  <c r="F263" i="13"/>
  <c r="F264" i="13"/>
  <c r="F265" i="13"/>
  <c r="F266" i="13"/>
  <c r="F267" i="13"/>
  <c r="F268" i="13"/>
  <c r="F269" i="13"/>
  <c r="F270" i="13"/>
  <c r="F271" i="13"/>
  <c r="F272" i="13"/>
  <c r="F273" i="13"/>
  <c r="F274" i="13"/>
  <c r="F275" i="13"/>
  <c r="F276" i="13"/>
  <c r="F277" i="13"/>
  <c r="F278" i="13"/>
  <c r="F279" i="13"/>
  <c r="F280" i="13"/>
  <c r="F281" i="13"/>
  <c r="F282" i="13"/>
  <c r="F283" i="13"/>
  <c r="F284" i="13"/>
  <c r="F285" i="13"/>
  <c r="F286" i="13"/>
  <c r="F287" i="13"/>
  <c r="F288" i="13"/>
  <c r="F289" i="13"/>
  <c r="F290" i="13"/>
  <c r="F291" i="13"/>
  <c r="F292" i="13"/>
  <c r="F293" i="13"/>
  <c r="F294" i="13"/>
  <c r="F295" i="13"/>
  <c r="F296" i="13"/>
  <c r="F297" i="13"/>
  <c r="F298" i="13"/>
  <c r="F299" i="13"/>
  <c r="F300" i="13"/>
  <c r="F301" i="13"/>
  <c r="F302" i="13"/>
  <c r="F303" i="13"/>
  <c r="F304" i="13"/>
  <c r="F305" i="13"/>
  <c r="F306" i="13"/>
  <c r="F307" i="13"/>
  <c r="F308" i="13"/>
  <c r="F309" i="13"/>
  <c r="F310" i="13"/>
  <c r="F311" i="13"/>
  <c r="F312" i="13"/>
  <c r="F313" i="13"/>
  <c r="F314" i="13"/>
  <c r="F315" i="13"/>
  <c r="F316" i="13"/>
  <c r="F317" i="13"/>
  <c r="F318" i="13"/>
  <c r="F319" i="13"/>
  <c r="F320" i="13"/>
  <c r="F321" i="13"/>
  <c r="F322" i="13"/>
  <c r="F323" i="13"/>
  <c r="F324" i="13"/>
  <c r="F325" i="13"/>
  <c r="F326" i="13"/>
  <c r="F327" i="13"/>
  <c r="F328" i="13"/>
  <c r="F329" i="13"/>
  <c r="F330" i="13"/>
  <c r="F331" i="13"/>
  <c r="F332" i="13"/>
  <c r="F333" i="13"/>
  <c r="F334" i="13"/>
  <c r="F335" i="13"/>
  <c r="F336" i="13"/>
  <c r="F337" i="13"/>
  <c r="F338" i="13"/>
  <c r="F339" i="13"/>
  <c r="F340" i="13"/>
  <c r="F341" i="13"/>
  <c r="F342" i="13"/>
  <c r="F343" i="13"/>
  <c r="F344" i="13"/>
  <c r="F345" i="13"/>
  <c r="F346" i="13"/>
  <c r="F347" i="13"/>
  <c r="F348" i="13"/>
  <c r="F349" i="13"/>
  <c r="F350" i="13"/>
  <c r="F351" i="13"/>
  <c r="F352" i="13"/>
  <c r="F353" i="13"/>
  <c r="F354" i="13"/>
  <c r="F355" i="13"/>
  <c r="F356" i="13"/>
  <c r="F357" i="13"/>
  <c r="F358" i="13"/>
  <c r="F359" i="13"/>
  <c r="F360" i="13"/>
  <c r="F361" i="13"/>
  <c r="F362" i="13"/>
  <c r="F363" i="13"/>
  <c r="F364" i="13"/>
  <c r="F365" i="13"/>
  <c r="F366" i="13"/>
  <c r="F367" i="13"/>
  <c r="F368" i="13"/>
  <c r="F369" i="13"/>
  <c r="F370" i="13"/>
  <c r="F371" i="13"/>
  <c r="F372" i="13"/>
  <c r="F373" i="13"/>
  <c r="F374" i="13"/>
  <c r="F375" i="13"/>
  <c r="F376" i="13"/>
  <c r="F377" i="13"/>
  <c r="F378" i="13"/>
  <c r="F379" i="13"/>
  <c r="F380" i="13"/>
  <c r="F381" i="13"/>
  <c r="F382" i="13"/>
  <c r="F383" i="13"/>
  <c r="F384" i="13"/>
  <c r="F385" i="13"/>
  <c r="F386" i="13"/>
  <c r="F387" i="13"/>
  <c r="F388" i="13"/>
  <c r="F389" i="13"/>
  <c r="F390" i="13"/>
  <c r="F391" i="13"/>
  <c r="F392" i="13"/>
  <c r="F393" i="13"/>
  <c r="F394" i="13"/>
  <c r="F395" i="13"/>
  <c r="F396" i="13"/>
  <c r="F397" i="13"/>
  <c r="F398" i="13"/>
  <c r="F399" i="13"/>
  <c r="F400" i="13"/>
  <c r="F401" i="13"/>
  <c r="F402" i="13"/>
  <c r="F5" i="13"/>
  <c r="E5" i="13" s="1"/>
  <c r="G5" i="13" s="1"/>
  <c r="E7" i="13"/>
  <c r="G7" i="13" s="1"/>
  <c r="E9" i="13"/>
  <c r="G9" i="13" s="1"/>
  <c r="E10" i="13"/>
  <c r="G10" i="13" s="1"/>
  <c r="E11" i="13"/>
  <c r="G11" i="13" s="1"/>
  <c r="E13" i="13"/>
  <c r="G13" i="13" s="1"/>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373"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T11" i="1" l="1"/>
  <c r="AH11" i="1" s="1"/>
  <c r="T12" i="1"/>
  <c r="AH12" i="1" s="1"/>
  <c r="T13" i="1"/>
  <c r="AH13" i="1" s="1"/>
  <c r="T14" i="1"/>
  <c r="AH14" i="1" s="1"/>
  <c r="T15" i="1"/>
  <c r="AH15" i="1" s="1"/>
  <c r="T16" i="1"/>
  <c r="AH16" i="1" s="1"/>
  <c r="T17" i="1"/>
  <c r="AH17" i="1" s="1"/>
  <c r="T18" i="1"/>
  <c r="AH18" i="1" s="1"/>
  <c r="T19" i="1"/>
  <c r="AH19" i="1" s="1"/>
  <c r="T20" i="1"/>
  <c r="AH20" i="1" s="1"/>
  <c r="T21" i="1"/>
  <c r="AH21" i="1" s="1"/>
  <c r="T22" i="1"/>
  <c r="AH22" i="1" s="1"/>
  <c r="T23" i="1"/>
  <c r="AH23" i="1" s="1"/>
  <c r="T24" i="1"/>
  <c r="AH24" i="1" s="1"/>
  <c r="T25" i="1"/>
  <c r="AH25" i="1" s="1"/>
  <c r="T26" i="1"/>
  <c r="AH26" i="1" s="1"/>
  <c r="T27" i="1"/>
  <c r="AH27" i="1" s="1"/>
  <c r="T28" i="1"/>
  <c r="AH28" i="1" s="1"/>
  <c r="T29" i="1"/>
  <c r="AH29" i="1" s="1"/>
  <c r="T30" i="1"/>
  <c r="AH30" i="1" s="1"/>
  <c r="T31" i="1"/>
  <c r="AH31" i="1" s="1"/>
  <c r="T32" i="1"/>
  <c r="AH32" i="1" s="1"/>
  <c r="T33" i="1"/>
  <c r="AH33" i="1" s="1"/>
  <c r="T34" i="1"/>
  <c r="AH34" i="1" s="1"/>
  <c r="T35" i="1"/>
  <c r="AH35" i="1" s="1"/>
  <c r="T36" i="1"/>
  <c r="AH36" i="1" s="1"/>
  <c r="T37" i="1"/>
  <c r="AH37" i="1" s="1"/>
  <c r="T38" i="1"/>
  <c r="AH38" i="1" s="1"/>
  <c r="T39" i="1"/>
  <c r="AH39" i="1" s="1"/>
  <c r="T40" i="1"/>
  <c r="AH40" i="1" s="1"/>
  <c r="T41" i="1"/>
  <c r="AH41" i="1" s="1"/>
  <c r="T42" i="1"/>
  <c r="AH42" i="1" s="1"/>
  <c r="T43" i="1"/>
  <c r="AH43" i="1" s="1"/>
  <c r="T44" i="1"/>
  <c r="AH44" i="1" s="1"/>
  <c r="T45" i="1"/>
  <c r="AH45" i="1" s="1"/>
  <c r="T46" i="1"/>
  <c r="AH46" i="1" s="1"/>
  <c r="T47" i="1"/>
  <c r="AH47" i="1" s="1"/>
  <c r="T48" i="1"/>
  <c r="AH48" i="1" s="1"/>
  <c r="T49" i="1"/>
  <c r="AH49" i="1" s="1"/>
  <c r="T50" i="1"/>
  <c r="AH50" i="1" s="1"/>
  <c r="T51" i="1"/>
  <c r="AH51" i="1" s="1"/>
  <c r="T52" i="1"/>
  <c r="AH52" i="1" s="1"/>
  <c r="T53" i="1"/>
  <c r="AH53" i="1" s="1"/>
  <c r="T54" i="1"/>
  <c r="AH54" i="1" s="1"/>
  <c r="T55" i="1"/>
  <c r="AH55" i="1" s="1"/>
  <c r="T56" i="1"/>
  <c r="AH56" i="1" s="1"/>
  <c r="T57" i="1"/>
  <c r="AH57" i="1" s="1"/>
  <c r="T58" i="1"/>
  <c r="AH58" i="1" s="1"/>
  <c r="T59" i="1"/>
  <c r="AH59" i="1" s="1"/>
  <c r="T60" i="1"/>
  <c r="AH60" i="1" s="1"/>
  <c r="T61" i="1"/>
  <c r="AH61" i="1" s="1"/>
  <c r="T62" i="1"/>
  <c r="AH62" i="1" s="1"/>
  <c r="T63" i="1"/>
  <c r="AH63" i="1" s="1"/>
  <c r="T64" i="1"/>
  <c r="AH64" i="1" s="1"/>
  <c r="T65" i="1"/>
  <c r="AH65" i="1" s="1"/>
  <c r="T66" i="1"/>
  <c r="AH66" i="1" s="1"/>
  <c r="T67" i="1"/>
  <c r="AH67" i="1" s="1"/>
  <c r="T68" i="1"/>
  <c r="AH68" i="1" s="1"/>
  <c r="T69" i="1"/>
  <c r="AH69" i="1" s="1"/>
  <c r="T70" i="1"/>
  <c r="AH70" i="1" s="1"/>
  <c r="T71" i="1"/>
  <c r="AH71" i="1" s="1"/>
  <c r="T72" i="1"/>
  <c r="AH72" i="1" s="1"/>
  <c r="T73" i="1"/>
  <c r="AH73" i="1" s="1"/>
  <c r="T74" i="1"/>
  <c r="AH74" i="1" s="1"/>
  <c r="T75" i="1"/>
  <c r="AH75" i="1" s="1"/>
  <c r="T76" i="1"/>
  <c r="AH76" i="1" s="1"/>
  <c r="T77" i="1"/>
  <c r="AH77" i="1" s="1"/>
  <c r="T78" i="1"/>
  <c r="AH78" i="1" s="1"/>
  <c r="T79" i="1"/>
  <c r="AH79" i="1" s="1"/>
  <c r="T80" i="1"/>
  <c r="AH80" i="1" s="1"/>
  <c r="T81" i="1"/>
  <c r="AH81" i="1" s="1"/>
  <c r="T82" i="1"/>
  <c r="AH82" i="1" s="1"/>
  <c r="T83" i="1"/>
  <c r="AH83" i="1" s="1"/>
  <c r="T84" i="1"/>
  <c r="AH84" i="1" s="1"/>
  <c r="T85" i="1"/>
  <c r="AH85" i="1" s="1"/>
  <c r="T86" i="1"/>
  <c r="AH86" i="1" s="1"/>
  <c r="T87" i="1"/>
  <c r="AH87" i="1" s="1"/>
  <c r="T88" i="1"/>
  <c r="AH88" i="1" s="1"/>
  <c r="T89" i="1"/>
  <c r="AH89" i="1" s="1"/>
  <c r="T90" i="1"/>
  <c r="AH90" i="1" s="1"/>
  <c r="T91" i="1"/>
  <c r="AH91" i="1" s="1"/>
  <c r="T92" i="1"/>
  <c r="AH92" i="1" s="1"/>
  <c r="T93" i="1"/>
  <c r="AH93" i="1" s="1"/>
  <c r="T94" i="1"/>
  <c r="AH94" i="1" s="1"/>
  <c r="T95" i="1"/>
  <c r="AH95" i="1" s="1"/>
  <c r="T96" i="1"/>
  <c r="AH96" i="1" s="1"/>
  <c r="T97" i="1"/>
  <c r="AH97" i="1" s="1"/>
  <c r="T98" i="1"/>
  <c r="AH98" i="1" s="1"/>
  <c r="T99" i="1"/>
  <c r="AH99" i="1" s="1"/>
  <c r="T100" i="1"/>
  <c r="AH100" i="1" s="1"/>
  <c r="T101" i="1"/>
  <c r="AH101" i="1" s="1"/>
  <c r="T102" i="1"/>
  <c r="AH102" i="1" s="1"/>
  <c r="T103" i="1"/>
  <c r="AH103" i="1" s="1"/>
  <c r="T104" i="1"/>
  <c r="AH104" i="1" s="1"/>
  <c r="T105" i="1"/>
  <c r="AH105" i="1" s="1"/>
  <c r="T106" i="1"/>
  <c r="AH106" i="1" s="1"/>
  <c r="T107" i="1"/>
  <c r="AH107" i="1" s="1"/>
  <c r="T108" i="1"/>
  <c r="AH108" i="1" s="1"/>
  <c r="T109" i="1"/>
  <c r="AH109" i="1" s="1"/>
  <c r="T110" i="1"/>
  <c r="AH110" i="1" s="1"/>
  <c r="T111" i="1"/>
  <c r="AH111" i="1" s="1"/>
  <c r="T112" i="1"/>
  <c r="AH112" i="1" s="1"/>
  <c r="T113" i="1"/>
  <c r="AH113" i="1" s="1"/>
  <c r="T114" i="1"/>
  <c r="AH114" i="1" s="1"/>
  <c r="T115" i="1"/>
  <c r="AH115" i="1" s="1"/>
  <c r="T116" i="1"/>
  <c r="AH116" i="1" s="1"/>
  <c r="T117" i="1"/>
  <c r="AH117" i="1" s="1"/>
  <c r="T118" i="1"/>
  <c r="AH118" i="1" s="1"/>
  <c r="T119" i="1"/>
  <c r="AH119" i="1" s="1"/>
  <c r="T120" i="1"/>
  <c r="AH120" i="1" s="1"/>
  <c r="T121" i="1"/>
  <c r="AH121" i="1" s="1"/>
  <c r="T122" i="1"/>
  <c r="AH122" i="1" s="1"/>
  <c r="T123" i="1"/>
  <c r="AH123" i="1" s="1"/>
  <c r="T124" i="1"/>
  <c r="AH124" i="1" s="1"/>
  <c r="T125" i="1"/>
  <c r="AH125" i="1" s="1"/>
  <c r="T126" i="1"/>
  <c r="AH126" i="1" s="1"/>
  <c r="T127" i="1"/>
  <c r="AH127" i="1" s="1"/>
  <c r="T128" i="1"/>
  <c r="AH128" i="1" s="1"/>
  <c r="T129" i="1"/>
  <c r="AH129" i="1" s="1"/>
  <c r="T130" i="1"/>
  <c r="AH130" i="1" s="1"/>
  <c r="T131" i="1"/>
  <c r="AH131" i="1" s="1"/>
  <c r="T132" i="1"/>
  <c r="AH132" i="1" s="1"/>
  <c r="T133" i="1"/>
  <c r="AH133" i="1" s="1"/>
  <c r="T134" i="1"/>
  <c r="AH134" i="1" s="1"/>
  <c r="T135" i="1"/>
  <c r="AH135" i="1" s="1"/>
  <c r="T136" i="1"/>
  <c r="AH136" i="1" s="1"/>
  <c r="T137" i="1"/>
  <c r="AH137" i="1" s="1"/>
  <c r="T138" i="1"/>
  <c r="AH138" i="1" s="1"/>
  <c r="T139" i="1"/>
  <c r="AH139" i="1" s="1"/>
  <c r="T140" i="1"/>
  <c r="AH140" i="1" s="1"/>
  <c r="T141" i="1"/>
  <c r="AH141" i="1" s="1"/>
  <c r="T142" i="1"/>
  <c r="AH142" i="1" s="1"/>
  <c r="T143" i="1"/>
  <c r="AH143" i="1" s="1"/>
  <c r="T144" i="1"/>
  <c r="AH144" i="1" s="1"/>
  <c r="T145" i="1"/>
  <c r="AH145" i="1" s="1"/>
  <c r="T146" i="1"/>
  <c r="AH146" i="1" s="1"/>
  <c r="T147" i="1"/>
  <c r="AH147" i="1" s="1"/>
  <c r="T148" i="1"/>
  <c r="AH148" i="1" s="1"/>
  <c r="T149" i="1"/>
  <c r="AH149" i="1" s="1"/>
  <c r="T150" i="1"/>
  <c r="AH150" i="1" s="1"/>
  <c r="T151" i="1"/>
  <c r="AH151" i="1" s="1"/>
  <c r="T152" i="1"/>
  <c r="AH152" i="1" s="1"/>
  <c r="T153" i="1"/>
  <c r="AH153" i="1" s="1"/>
  <c r="T154" i="1"/>
  <c r="AH154" i="1" s="1"/>
  <c r="T155" i="1"/>
  <c r="AH155" i="1" s="1"/>
  <c r="T156" i="1"/>
  <c r="AH156" i="1" s="1"/>
  <c r="T157" i="1"/>
  <c r="AH157" i="1" s="1"/>
  <c r="T158" i="1"/>
  <c r="AH158" i="1" s="1"/>
  <c r="T159" i="1"/>
  <c r="AH159" i="1" s="1"/>
  <c r="T160" i="1"/>
  <c r="AH160" i="1" s="1"/>
  <c r="T161" i="1"/>
  <c r="AH161" i="1" s="1"/>
  <c r="T162" i="1"/>
  <c r="AH162" i="1" s="1"/>
  <c r="T163" i="1"/>
  <c r="AH163" i="1" s="1"/>
  <c r="T164" i="1"/>
  <c r="AH164" i="1" s="1"/>
  <c r="T165" i="1"/>
  <c r="AH165" i="1" s="1"/>
  <c r="T166" i="1"/>
  <c r="AH166" i="1" s="1"/>
  <c r="T167" i="1"/>
  <c r="AH167" i="1" s="1"/>
  <c r="T168" i="1"/>
  <c r="AH168" i="1" s="1"/>
  <c r="T169" i="1"/>
  <c r="AH169" i="1" s="1"/>
  <c r="T170" i="1"/>
  <c r="AH170" i="1" s="1"/>
  <c r="T171" i="1"/>
  <c r="AH171" i="1" s="1"/>
  <c r="T172" i="1"/>
  <c r="AH172" i="1" s="1"/>
  <c r="T173" i="1"/>
  <c r="AH173" i="1" s="1"/>
  <c r="T174" i="1"/>
  <c r="AH174" i="1" s="1"/>
  <c r="T175" i="1"/>
  <c r="AH175" i="1" s="1"/>
  <c r="T176" i="1"/>
  <c r="AH176" i="1" s="1"/>
  <c r="T177" i="1"/>
  <c r="AH177" i="1" s="1"/>
  <c r="T178" i="1"/>
  <c r="AH178" i="1" s="1"/>
  <c r="T179" i="1"/>
  <c r="AH179" i="1" s="1"/>
  <c r="T180" i="1"/>
  <c r="AH180" i="1" s="1"/>
  <c r="T181" i="1"/>
  <c r="AH181" i="1" s="1"/>
  <c r="T182" i="1"/>
  <c r="AH182" i="1" s="1"/>
  <c r="T183" i="1"/>
  <c r="AH183" i="1" s="1"/>
  <c r="T184" i="1"/>
  <c r="AH184" i="1" s="1"/>
  <c r="T185" i="1"/>
  <c r="AH185" i="1" s="1"/>
  <c r="T186" i="1"/>
  <c r="AH186" i="1" s="1"/>
  <c r="T187" i="1"/>
  <c r="AH187" i="1" s="1"/>
  <c r="T188" i="1"/>
  <c r="AH188" i="1" s="1"/>
  <c r="T189" i="1"/>
  <c r="AH189" i="1" s="1"/>
  <c r="T190" i="1"/>
  <c r="AH190" i="1" s="1"/>
  <c r="T191" i="1"/>
  <c r="AH191" i="1" s="1"/>
  <c r="T192" i="1"/>
  <c r="AH192" i="1" s="1"/>
  <c r="T193" i="1"/>
  <c r="AH193" i="1" s="1"/>
  <c r="T194" i="1"/>
  <c r="AH194" i="1" s="1"/>
  <c r="T195" i="1"/>
  <c r="AH195" i="1" s="1"/>
  <c r="T196" i="1"/>
  <c r="AH196" i="1" s="1"/>
  <c r="T197" i="1"/>
  <c r="AH197" i="1" s="1"/>
  <c r="T198" i="1"/>
  <c r="AH198" i="1" s="1"/>
  <c r="T199" i="1"/>
  <c r="AH199" i="1" s="1"/>
  <c r="T200" i="1"/>
  <c r="AH200" i="1" s="1"/>
  <c r="T201" i="1"/>
  <c r="AH201" i="1" s="1"/>
  <c r="T202" i="1"/>
  <c r="AH202" i="1" s="1"/>
  <c r="T203" i="1"/>
  <c r="AH203" i="1" s="1"/>
  <c r="T204" i="1"/>
  <c r="AH204" i="1" s="1"/>
  <c r="T205" i="1"/>
  <c r="AH205" i="1" s="1"/>
  <c r="T206" i="1"/>
  <c r="AH206" i="1" s="1"/>
  <c r="T207" i="1"/>
  <c r="AH207" i="1" s="1"/>
  <c r="T208" i="1"/>
  <c r="AH208" i="1" s="1"/>
  <c r="T209" i="1"/>
  <c r="AH209" i="1" s="1"/>
  <c r="T210" i="1"/>
  <c r="AH210" i="1" s="1"/>
  <c r="T211" i="1"/>
  <c r="AH211" i="1" s="1"/>
  <c r="T212" i="1"/>
  <c r="AH212" i="1" s="1"/>
  <c r="T213" i="1"/>
  <c r="AH213" i="1" s="1"/>
  <c r="T214" i="1"/>
  <c r="AH214" i="1" s="1"/>
  <c r="T215" i="1"/>
  <c r="AH215" i="1" s="1"/>
  <c r="T216" i="1"/>
  <c r="AH216" i="1" s="1"/>
  <c r="T217" i="1"/>
  <c r="AH217" i="1" s="1"/>
  <c r="T218" i="1"/>
  <c r="AH218" i="1" s="1"/>
  <c r="T219" i="1"/>
  <c r="AH219" i="1" s="1"/>
  <c r="T220" i="1"/>
  <c r="AH220" i="1" s="1"/>
  <c r="T221" i="1"/>
  <c r="AH221" i="1" s="1"/>
  <c r="T222" i="1"/>
  <c r="AH222" i="1" s="1"/>
  <c r="T223" i="1"/>
  <c r="AH223" i="1" s="1"/>
  <c r="T224" i="1"/>
  <c r="AH224" i="1" s="1"/>
  <c r="T225" i="1"/>
  <c r="AH225" i="1" s="1"/>
  <c r="T226" i="1"/>
  <c r="AH226" i="1" s="1"/>
  <c r="T227" i="1"/>
  <c r="AH227" i="1" s="1"/>
  <c r="T228" i="1"/>
  <c r="AH228" i="1" s="1"/>
  <c r="T229" i="1"/>
  <c r="AH229" i="1" s="1"/>
  <c r="T230" i="1"/>
  <c r="AH230" i="1" s="1"/>
  <c r="T231" i="1"/>
  <c r="AH231" i="1" s="1"/>
  <c r="T232" i="1"/>
  <c r="AH232" i="1" s="1"/>
  <c r="T233" i="1"/>
  <c r="AH233" i="1" s="1"/>
  <c r="T234" i="1"/>
  <c r="AH234" i="1" s="1"/>
  <c r="T235" i="1"/>
  <c r="AH235" i="1" s="1"/>
  <c r="T236" i="1"/>
  <c r="AH236" i="1" s="1"/>
  <c r="T237" i="1"/>
  <c r="AH237" i="1" s="1"/>
  <c r="T238" i="1"/>
  <c r="AH238" i="1" s="1"/>
  <c r="T239" i="1"/>
  <c r="AH239" i="1" s="1"/>
  <c r="T240" i="1"/>
  <c r="AH240" i="1" s="1"/>
  <c r="T241" i="1"/>
  <c r="AH241" i="1" s="1"/>
  <c r="T242" i="1"/>
  <c r="AH242" i="1" s="1"/>
  <c r="T243" i="1"/>
  <c r="AH243" i="1" s="1"/>
  <c r="T244" i="1"/>
  <c r="AH244" i="1" s="1"/>
  <c r="T245" i="1"/>
  <c r="AH245" i="1" s="1"/>
  <c r="T246" i="1"/>
  <c r="AH246" i="1" s="1"/>
  <c r="T247" i="1"/>
  <c r="AH247" i="1" s="1"/>
  <c r="T248" i="1"/>
  <c r="AH248" i="1" s="1"/>
  <c r="T249" i="1"/>
  <c r="AH249" i="1" s="1"/>
  <c r="T250" i="1"/>
  <c r="AH250" i="1" s="1"/>
  <c r="T251" i="1"/>
  <c r="AH251" i="1" s="1"/>
  <c r="T252" i="1"/>
  <c r="AH252" i="1" s="1"/>
  <c r="T253" i="1"/>
  <c r="AH253" i="1" s="1"/>
  <c r="T254" i="1"/>
  <c r="AH254" i="1" s="1"/>
  <c r="T255" i="1"/>
  <c r="AH255" i="1" s="1"/>
  <c r="T256" i="1"/>
  <c r="AH256" i="1" s="1"/>
  <c r="T257" i="1"/>
  <c r="AH257" i="1" s="1"/>
  <c r="T258" i="1"/>
  <c r="AH258" i="1" s="1"/>
  <c r="T259" i="1"/>
  <c r="AH259" i="1" s="1"/>
  <c r="T260" i="1"/>
  <c r="AH260" i="1" s="1"/>
  <c r="T261" i="1"/>
  <c r="AH261" i="1" s="1"/>
  <c r="T262" i="1"/>
  <c r="AH262" i="1" s="1"/>
  <c r="T263" i="1"/>
  <c r="AH263" i="1" s="1"/>
  <c r="T264" i="1"/>
  <c r="AH264" i="1" s="1"/>
  <c r="T265" i="1"/>
  <c r="AH265" i="1" s="1"/>
  <c r="T266" i="1"/>
  <c r="AH266" i="1" s="1"/>
  <c r="T267" i="1"/>
  <c r="AH267" i="1" s="1"/>
  <c r="T268" i="1"/>
  <c r="AH268" i="1" s="1"/>
  <c r="T269" i="1"/>
  <c r="AH269" i="1" s="1"/>
  <c r="T270" i="1"/>
  <c r="AH270" i="1" s="1"/>
  <c r="T271" i="1"/>
  <c r="AH271" i="1" s="1"/>
  <c r="T272" i="1"/>
  <c r="AH272" i="1" s="1"/>
  <c r="T273" i="1"/>
  <c r="AH273" i="1" s="1"/>
  <c r="T274" i="1"/>
  <c r="AH274" i="1" s="1"/>
  <c r="T275" i="1"/>
  <c r="AH275" i="1" s="1"/>
  <c r="T276" i="1"/>
  <c r="AH276" i="1" s="1"/>
  <c r="T277" i="1"/>
  <c r="AH277" i="1" s="1"/>
  <c r="T278" i="1"/>
  <c r="AH278" i="1" s="1"/>
  <c r="T279" i="1"/>
  <c r="AH279" i="1" s="1"/>
  <c r="T280" i="1"/>
  <c r="AH280" i="1" s="1"/>
  <c r="T281" i="1"/>
  <c r="AH281" i="1" s="1"/>
  <c r="T282" i="1"/>
  <c r="AH282" i="1" s="1"/>
  <c r="T283" i="1"/>
  <c r="AH283" i="1" s="1"/>
  <c r="T284" i="1"/>
  <c r="AH284" i="1" s="1"/>
  <c r="T285" i="1"/>
  <c r="AH285" i="1" s="1"/>
  <c r="T286" i="1"/>
  <c r="AH286" i="1" s="1"/>
  <c r="T287" i="1"/>
  <c r="AH287" i="1" s="1"/>
  <c r="T288" i="1"/>
  <c r="AH288" i="1" s="1"/>
  <c r="T289" i="1"/>
  <c r="AH289" i="1" s="1"/>
  <c r="T290" i="1"/>
  <c r="AH290" i="1" s="1"/>
  <c r="T291" i="1"/>
  <c r="AH291" i="1" s="1"/>
  <c r="T292" i="1"/>
  <c r="AH292" i="1" s="1"/>
  <c r="T293" i="1"/>
  <c r="AH293" i="1" s="1"/>
  <c r="T294" i="1"/>
  <c r="AH294" i="1" s="1"/>
  <c r="T295" i="1"/>
  <c r="AH295" i="1" s="1"/>
  <c r="T296" i="1"/>
  <c r="AH296" i="1" s="1"/>
  <c r="T297" i="1"/>
  <c r="AH297" i="1" s="1"/>
  <c r="T298" i="1"/>
  <c r="AH298" i="1" s="1"/>
  <c r="T299" i="1"/>
  <c r="AH299" i="1" s="1"/>
  <c r="T300" i="1"/>
  <c r="AH300" i="1" s="1"/>
  <c r="T301" i="1"/>
  <c r="AH301" i="1" s="1"/>
  <c r="T302" i="1"/>
  <c r="AH302" i="1" s="1"/>
  <c r="T303" i="1"/>
  <c r="AH303" i="1" s="1"/>
  <c r="T304" i="1"/>
  <c r="AH304" i="1" s="1"/>
  <c r="T305" i="1"/>
  <c r="AH305" i="1" s="1"/>
  <c r="T306" i="1"/>
  <c r="AH306" i="1" s="1"/>
  <c r="T307" i="1"/>
  <c r="AH307" i="1" s="1"/>
  <c r="T308" i="1"/>
  <c r="AH308" i="1" s="1"/>
  <c r="T309" i="1"/>
  <c r="AH309" i="1" s="1"/>
  <c r="T310" i="1"/>
  <c r="AH310" i="1" s="1"/>
  <c r="T311" i="1"/>
  <c r="AH311" i="1" s="1"/>
  <c r="T312" i="1"/>
  <c r="AH312" i="1" s="1"/>
  <c r="T313" i="1"/>
  <c r="AH313" i="1" s="1"/>
  <c r="T314" i="1"/>
  <c r="AH314" i="1" s="1"/>
  <c r="T315" i="1"/>
  <c r="AH315" i="1" s="1"/>
  <c r="T316" i="1"/>
  <c r="AH316" i="1" s="1"/>
  <c r="T317" i="1"/>
  <c r="AH317" i="1" s="1"/>
  <c r="T318" i="1"/>
  <c r="AH318" i="1" s="1"/>
  <c r="T319" i="1"/>
  <c r="AH319" i="1" s="1"/>
  <c r="T320" i="1"/>
  <c r="AH320" i="1" s="1"/>
  <c r="T321" i="1"/>
  <c r="AH321" i="1" s="1"/>
  <c r="T322" i="1"/>
  <c r="AH322" i="1" s="1"/>
  <c r="T323" i="1"/>
  <c r="AH323" i="1" s="1"/>
  <c r="T324" i="1"/>
  <c r="AH324" i="1" s="1"/>
  <c r="T325" i="1"/>
  <c r="AH325" i="1" s="1"/>
  <c r="T326" i="1"/>
  <c r="AH326" i="1" s="1"/>
  <c r="T327" i="1"/>
  <c r="AH327" i="1" s="1"/>
  <c r="T328" i="1"/>
  <c r="AH328" i="1" s="1"/>
  <c r="T329" i="1"/>
  <c r="AH329" i="1" s="1"/>
  <c r="T330" i="1"/>
  <c r="AH330" i="1" s="1"/>
  <c r="T331" i="1"/>
  <c r="AH331" i="1" s="1"/>
  <c r="T332" i="1"/>
  <c r="AH332" i="1" s="1"/>
  <c r="T333" i="1"/>
  <c r="AH333" i="1" s="1"/>
  <c r="T334" i="1"/>
  <c r="AH334" i="1" s="1"/>
  <c r="T335" i="1"/>
  <c r="AH335" i="1" s="1"/>
  <c r="T336" i="1"/>
  <c r="AH336" i="1" s="1"/>
  <c r="T337" i="1"/>
  <c r="AH337" i="1" s="1"/>
  <c r="T338" i="1"/>
  <c r="AH338" i="1" s="1"/>
  <c r="T339" i="1"/>
  <c r="AH339" i="1" s="1"/>
  <c r="T340" i="1"/>
  <c r="AH340" i="1" s="1"/>
  <c r="T341" i="1"/>
  <c r="AH341" i="1" s="1"/>
  <c r="T342" i="1"/>
  <c r="AH342" i="1" s="1"/>
  <c r="T343" i="1"/>
  <c r="AH343" i="1" s="1"/>
  <c r="T344" i="1"/>
  <c r="AH344" i="1" s="1"/>
  <c r="T345" i="1"/>
  <c r="AH345" i="1" s="1"/>
  <c r="T346" i="1"/>
  <c r="AH346" i="1" s="1"/>
  <c r="T347" i="1"/>
  <c r="AH347" i="1" s="1"/>
  <c r="T348" i="1"/>
  <c r="AH348" i="1" s="1"/>
  <c r="T349" i="1"/>
  <c r="AH349" i="1" s="1"/>
  <c r="T350" i="1"/>
  <c r="AH350" i="1" s="1"/>
  <c r="T351" i="1"/>
  <c r="AH351" i="1" s="1"/>
  <c r="T352" i="1"/>
  <c r="AH352" i="1" s="1"/>
  <c r="T353" i="1"/>
  <c r="AH353" i="1" s="1"/>
  <c r="T354" i="1"/>
  <c r="AH354" i="1" s="1"/>
  <c r="T355" i="1"/>
  <c r="AH355" i="1" s="1"/>
  <c r="T356" i="1"/>
  <c r="AH356" i="1" s="1"/>
  <c r="T357" i="1"/>
  <c r="AH357" i="1" s="1"/>
  <c r="T358" i="1"/>
  <c r="AH358" i="1" s="1"/>
  <c r="T359" i="1"/>
  <c r="AH359" i="1" s="1"/>
  <c r="T360" i="1"/>
  <c r="AH360" i="1" s="1"/>
  <c r="T361" i="1"/>
  <c r="AH361" i="1" s="1"/>
  <c r="T362" i="1"/>
  <c r="AH362" i="1" s="1"/>
  <c r="T363" i="1"/>
  <c r="AH363" i="1" s="1"/>
  <c r="T364" i="1"/>
  <c r="AH364" i="1" s="1"/>
  <c r="T365" i="1"/>
  <c r="AH365" i="1" s="1"/>
  <c r="T366" i="1"/>
  <c r="AH366" i="1" s="1"/>
  <c r="T367" i="1"/>
  <c r="AH367" i="1" s="1"/>
  <c r="T368" i="1"/>
  <c r="AH368" i="1" s="1"/>
  <c r="T369" i="1"/>
  <c r="AH369" i="1" s="1"/>
  <c r="T370" i="1"/>
  <c r="AH370" i="1" s="1"/>
  <c r="T371" i="1"/>
  <c r="AH371" i="1" s="1"/>
  <c r="T372" i="1"/>
  <c r="AH372" i="1" s="1"/>
  <c r="T373" i="1"/>
  <c r="AH373" i="1" s="1"/>
  <c r="T374" i="1"/>
  <c r="AH374" i="1" s="1"/>
  <c r="T375" i="1"/>
  <c r="AH375" i="1" s="1"/>
  <c r="T376" i="1"/>
  <c r="AH376" i="1" s="1"/>
  <c r="T377" i="1"/>
  <c r="AH377" i="1" s="1"/>
  <c r="T378" i="1"/>
  <c r="AH378" i="1" s="1"/>
  <c r="T379" i="1"/>
  <c r="AH379" i="1" s="1"/>
  <c r="T380" i="1"/>
  <c r="AH380" i="1" s="1"/>
  <c r="T381" i="1"/>
  <c r="AH381" i="1" s="1"/>
  <c r="T382" i="1"/>
  <c r="AH382" i="1" s="1"/>
  <c r="T383" i="1"/>
  <c r="AH383" i="1" s="1"/>
  <c r="T384" i="1"/>
  <c r="AH384" i="1" s="1"/>
  <c r="T385" i="1"/>
  <c r="AH385" i="1" s="1"/>
  <c r="T386" i="1"/>
  <c r="AH386" i="1" s="1"/>
  <c r="T387" i="1"/>
  <c r="AH387" i="1" s="1"/>
  <c r="T388" i="1"/>
  <c r="AH388" i="1" s="1"/>
  <c r="T389" i="1"/>
  <c r="AH389" i="1" s="1"/>
  <c r="T390" i="1"/>
  <c r="AH390" i="1" s="1"/>
  <c r="T391" i="1"/>
  <c r="AH391" i="1" s="1"/>
  <c r="T392" i="1"/>
  <c r="AH392" i="1" s="1"/>
  <c r="T393" i="1"/>
  <c r="AH393" i="1" s="1"/>
  <c r="T394" i="1"/>
  <c r="AH394" i="1" s="1"/>
  <c r="T395" i="1"/>
  <c r="AH395" i="1" s="1"/>
  <c r="T396" i="1"/>
  <c r="AH396" i="1" s="1"/>
  <c r="T397" i="1"/>
  <c r="AH397" i="1" s="1"/>
  <c r="T398" i="1"/>
  <c r="AH398" i="1" s="1"/>
  <c r="T399" i="1"/>
  <c r="AH399" i="1" s="1"/>
  <c r="T400" i="1"/>
  <c r="AH400" i="1" s="1"/>
  <c r="T401" i="1"/>
  <c r="AH401" i="1" s="1"/>
  <c r="T402" i="1"/>
  <c r="AH402" i="1" s="1"/>
  <c r="T403" i="1"/>
  <c r="AH403" i="1" s="1"/>
  <c r="T404" i="1"/>
  <c r="AH404" i="1" s="1"/>
  <c r="T405" i="1"/>
  <c r="AH405" i="1" s="1"/>
  <c r="T406" i="1"/>
  <c r="AH406" i="1" s="1"/>
  <c r="T407" i="1"/>
  <c r="AH407" i="1" s="1"/>
  <c r="T408" i="1"/>
  <c r="AH408" i="1" s="1"/>
  <c r="T409" i="1"/>
  <c r="AH409" i="1" s="1"/>
  <c r="T410" i="1"/>
  <c r="AH410" i="1" s="1"/>
  <c r="T411" i="1"/>
  <c r="AH411" i="1" s="1"/>
  <c r="T412" i="1"/>
  <c r="AH412" i="1" s="1"/>
  <c r="T413" i="1"/>
  <c r="AH413" i="1" s="1"/>
  <c r="T414" i="1"/>
  <c r="AH414" i="1" s="1"/>
  <c r="T415" i="1"/>
  <c r="AH415" i="1" s="1"/>
  <c r="T416" i="1"/>
  <c r="AH416" i="1" s="1"/>
  <c r="T417" i="1"/>
  <c r="AH417" i="1" s="1"/>
  <c r="T418" i="1"/>
  <c r="AH418" i="1" s="1"/>
  <c r="T419" i="1"/>
  <c r="AH419" i="1" s="1"/>
  <c r="T420" i="1"/>
  <c r="AH420" i="1" s="1"/>
  <c r="T421" i="1"/>
  <c r="AH421" i="1" s="1"/>
  <c r="T422" i="1"/>
  <c r="AH422" i="1" s="1"/>
  <c r="T423" i="1"/>
  <c r="AH423" i="1" s="1"/>
  <c r="T424" i="1"/>
  <c r="AH424" i="1" s="1"/>
  <c r="T425" i="1"/>
  <c r="AH425" i="1" s="1"/>
  <c r="T426" i="1"/>
  <c r="AH426" i="1" s="1"/>
  <c r="T427" i="1"/>
  <c r="AH427" i="1" s="1"/>
  <c r="T428" i="1"/>
  <c r="AH428" i="1" s="1"/>
  <c r="T429" i="1"/>
  <c r="AH429" i="1" s="1"/>
  <c r="T430" i="1"/>
  <c r="AH430" i="1" s="1"/>
  <c r="T431" i="1"/>
  <c r="AH431" i="1" s="1"/>
  <c r="T432" i="1"/>
  <c r="AH432" i="1" s="1"/>
  <c r="T433" i="1"/>
  <c r="AH433" i="1" s="1"/>
  <c r="T434" i="1"/>
  <c r="AH434" i="1" s="1"/>
  <c r="T435" i="1"/>
  <c r="AH435" i="1" s="1"/>
  <c r="T436" i="1"/>
  <c r="AH436" i="1" s="1"/>
  <c r="T437" i="1"/>
  <c r="AH437" i="1" s="1"/>
  <c r="T438" i="1"/>
  <c r="AH438" i="1" s="1"/>
  <c r="T439" i="1"/>
  <c r="AH439" i="1" s="1"/>
  <c r="T440" i="1"/>
  <c r="AH440" i="1" s="1"/>
  <c r="T441" i="1"/>
  <c r="AH441" i="1" s="1"/>
  <c r="T442" i="1"/>
  <c r="AH442" i="1" s="1"/>
  <c r="T443" i="1"/>
  <c r="AH443" i="1" s="1"/>
  <c r="T444" i="1"/>
  <c r="AH444" i="1" s="1"/>
  <c r="T445" i="1"/>
  <c r="AH445" i="1" s="1"/>
  <c r="T446" i="1"/>
  <c r="AH446" i="1" s="1"/>
  <c r="T447" i="1"/>
  <c r="AH447" i="1" s="1"/>
  <c r="T448" i="1"/>
  <c r="AH448" i="1" s="1"/>
  <c r="T449" i="1"/>
  <c r="AH449" i="1" s="1"/>
  <c r="T450" i="1"/>
  <c r="AH450" i="1" s="1"/>
  <c r="T451" i="1"/>
  <c r="AH451" i="1" s="1"/>
  <c r="T452" i="1"/>
  <c r="AH452" i="1" s="1"/>
  <c r="T453" i="1"/>
  <c r="AH453" i="1" s="1"/>
  <c r="T454" i="1"/>
  <c r="AH454" i="1" s="1"/>
  <c r="T455" i="1"/>
  <c r="AH455" i="1" s="1"/>
  <c r="T456" i="1"/>
  <c r="AH456" i="1" s="1"/>
  <c r="T457" i="1"/>
  <c r="AH457" i="1" s="1"/>
  <c r="T458" i="1"/>
  <c r="AH458" i="1" s="1"/>
  <c r="T459" i="1"/>
  <c r="AH459" i="1" s="1"/>
  <c r="T460" i="1"/>
  <c r="AH460" i="1" s="1"/>
  <c r="T461" i="1"/>
  <c r="AH461" i="1" s="1"/>
  <c r="T462" i="1"/>
  <c r="AH462" i="1" s="1"/>
  <c r="T463" i="1"/>
  <c r="AH463" i="1" s="1"/>
  <c r="T464" i="1"/>
  <c r="AH464" i="1" s="1"/>
  <c r="T465" i="1"/>
  <c r="AH465" i="1" s="1"/>
  <c r="T466" i="1"/>
  <c r="AH466" i="1" s="1"/>
  <c r="T467" i="1"/>
  <c r="AH467" i="1" s="1"/>
  <c r="T468" i="1"/>
  <c r="AH468" i="1" s="1"/>
  <c r="T469" i="1"/>
  <c r="AH469" i="1" s="1"/>
  <c r="T470" i="1"/>
  <c r="AH470" i="1" s="1"/>
  <c r="T471" i="1"/>
  <c r="AH471" i="1" s="1"/>
  <c r="T472" i="1"/>
  <c r="AH472" i="1" s="1"/>
  <c r="T473" i="1"/>
  <c r="AH473" i="1" s="1"/>
  <c r="T474" i="1"/>
  <c r="AH474" i="1" s="1"/>
  <c r="T475" i="1"/>
  <c r="AH475" i="1" s="1"/>
  <c r="T476" i="1"/>
  <c r="AH476" i="1" s="1"/>
  <c r="T477" i="1"/>
  <c r="AH477" i="1" s="1"/>
  <c r="T478" i="1"/>
  <c r="AH478" i="1" s="1"/>
  <c r="T479" i="1"/>
  <c r="AH479" i="1" s="1"/>
  <c r="T480" i="1"/>
  <c r="AH480" i="1" s="1"/>
  <c r="T481" i="1"/>
  <c r="AH481" i="1" s="1"/>
  <c r="T482" i="1"/>
  <c r="AH482" i="1" s="1"/>
  <c r="T483" i="1"/>
  <c r="AH483" i="1" s="1"/>
  <c r="T484" i="1"/>
  <c r="AH484" i="1" s="1"/>
  <c r="T485" i="1"/>
  <c r="AH485" i="1" s="1"/>
  <c r="T486" i="1"/>
  <c r="AH486" i="1" s="1"/>
  <c r="T487" i="1"/>
  <c r="AH487" i="1" s="1"/>
  <c r="T488" i="1"/>
  <c r="AH488" i="1" s="1"/>
  <c r="T489" i="1"/>
  <c r="AH489" i="1" s="1"/>
  <c r="T490" i="1"/>
  <c r="AH490" i="1" s="1"/>
  <c r="T491" i="1"/>
  <c r="AH491" i="1" s="1"/>
  <c r="T492" i="1"/>
  <c r="AH492" i="1" s="1"/>
  <c r="T493" i="1"/>
  <c r="AH493" i="1" s="1"/>
  <c r="T494" i="1"/>
  <c r="AH494" i="1" s="1"/>
  <c r="T495" i="1"/>
  <c r="AH495" i="1" s="1"/>
  <c r="T496" i="1"/>
  <c r="AH496" i="1" s="1"/>
  <c r="T497" i="1"/>
  <c r="AH497" i="1" s="1"/>
  <c r="T498" i="1"/>
  <c r="AH498" i="1" s="1"/>
  <c r="T499" i="1"/>
  <c r="AH499" i="1" s="1"/>
  <c r="T500" i="1"/>
  <c r="AH500" i="1" s="1"/>
  <c r="T501" i="1"/>
  <c r="AH501" i="1" s="1"/>
  <c r="T502" i="1"/>
  <c r="AH502" i="1" s="1"/>
  <c r="T503" i="1"/>
  <c r="AH503" i="1" s="1"/>
  <c r="T504" i="1"/>
  <c r="AH504" i="1" s="1"/>
  <c r="T505" i="1"/>
  <c r="AH505" i="1" s="1"/>
  <c r="T506" i="1"/>
  <c r="AH506" i="1" s="1"/>
  <c r="T507" i="1"/>
  <c r="AH507" i="1" s="1"/>
  <c r="T508" i="1"/>
  <c r="AH508" i="1" s="1"/>
  <c r="T509" i="1"/>
  <c r="AH509" i="1" s="1"/>
  <c r="T510" i="1"/>
  <c r="AH510" i="1" s="1"/>
  <c r="T511" i="1"/>
  <c r="AH511" i="1" s="1"/>
  <c r="T512" i="1"/>
  <c r="AH512" i="1" s="1"/>
  <c r="T513" i="1"/>
  <c r="AH513" i="1" s="1"/>
  <c r="T514" i="1"/>
  <c r="AH514" i="1" s="1"/>
  <c r="T515" i="1"/>
  <c r="AH515" i="1" s="1"/>
  <c r="T516" i="1"/>
  <c r="AH516" i="1" s="1"/>
  <c r="T517" i="1"/>
  <c r="AH517" i="1" s="1"/>
  <c r="T518" i="1"/>
  <c r="AH518" i="1" s="1"/>
  <c r="T519" i="1"/>
  <c r="AH519" i="1" s="1"/>
  <c r="T520" i="1"/>
  <c r="AH520" i="1" s="1"/>
  <c r="T521" i="1"/>
  <c r="AH521" i="1" s="1"/>
  <c r="T522" i="1"/>
  <c r="AH522" i="1" s="1"/>
  <c r="T523" i="1"/>
  <c r="AH523" i="1" s="1"/>
  <c r="T524" i="1"/>
  <c r="AH524" i="1" s="1"/>
  <c r="T525" i="1"/>
  <c r="AH525" i="1" s="1"/>
  <c r="T526" i="1"/>
  <c r="AH526" i="1" s="1"/>
  <c r="T527" i="1"/>
  <c r="AH527" i="1" s="1"/>
  <c r="T528" i="1"/>
  <c r="AH528" i="1" s="1"/>
  <c r="T529" i="1"/>
  <c r="AH529" i="1" s="1"/>
  <c r="T530" i="1"/>
  <c r="AH530" i="1" s="1"/>
  <c r="T531" i="1"/>
  <c r="AH531" i="1" s="1"/>
  <c r="T532" i="1"/>
  <c r="AH532" i="1" s="1"/>
  <c r="T533" i="1"/>
  <c r="AH533" i="1" s="1"/>
  <c r="T534" i="1"/>
  <c r="AH534" i="1" s="1"/>
  <c r="T535" i="1"/>
  <c r="AH535" i="1" s="1"/>
  <c r="T536" i="1"/>
  <c r="AH536" i="1" s="1"/>
  <c r="T537" i="1"/>
  <c r="AH537" i="1" s="1"/>
  <c r="T538" i="1"/>
  <c r="AH538" i="1" s="1"/>
  <c r="T539" i="1"/>
  <c r="AH539" i="1" s="1"/>
  <c r="T540" i="1"/>
  <c r="AH540" i="1" s="1"/>
  <c r="T541" i="1"/>
  <c r="AH541" i="1" s="1"/>
  <c r="T542" i="1"/>
  <c r="AH542" i="1" s="1"/>
  <c r="T543" i="1"/>
  <c r="AH543" i="1" s="1"/>
  <c r="T544" i="1"/>
  <c r="AH544" i="1" s="1"/>
  <c r="T545" i="1"/>
  <c r="AH545" i="1" s="1"/>
  <c r="T546" i="1"/>
  <c r="AH546" i="1" s="1"/>
  <c r="T547" i="1"/>
  <c r="AH547" i="1" s="1"/>
  <c r="T548" i="1"/>
  <c r="AH548" i="1" s="1"/>
  <c r="T549" i="1"/>
  <c r="AH549" i="1" s="1"/>
  <c r="T550" i="1"/>
  <c r="AH550" i="1" s="1"/>
  <c r="T551" i="1"/>
  <c r="AH551" i="1" s="1"/>
  <c r="T552" i="1"/>
  <c r="AH552" i="1" s="1"/>
  <c r="T553" i="1"/>
  <c r="AH553" i="1" s="1"/>
  <c r="T554" i="1"/>
  <c r="AH554" i="1" s="1"/>
  <c r="T555" i="1"/>
  <c r="AH555" i="1" s="1"/>
  <c r="T556" i="1"/>
  <c r="AH556" i="1" s="1"/>
  <c r="T557" i="1"/>
  <c r="AH557" i="1" s="1"/>
  <c r="T558" i="1"/>
  <c r="AH558" i="1" s="1"/>
  <c r="T559" i="1"/>
  <c r="AH559" i="1" s="1"/>
  <c r="T560" i="1"/>
  <c r="AH560" i="1" s="1"/>
  <c r="T561" i="1"/>
  <c r="AH561" i="1" s="1"/>
  <c r="T562" i="1"/>
  <c r="AH562" i="1" s="1"/>
  <c r="T563" i="1"/>
  <c r="AH563" i="1" s="1"/>
  <c r="T564" i="1"/>
  <c r="AH564" i="1" s="1"/>
  <c r="T565" i="1"/>
  <c r="AH565" i="1" s="1"/>
  <c r="T566" i="1"/>
  <c r="AH566" i="1" s="1"/>
  <c r="T567" i="1"/>
  <c r="AH567" i="1" s="1"/>
  <c r="T568" i="1"/>
  <c r="AH568" i="1" s="1"/>
  <c r="T569" i="1"/>
  <c r="AH569" i="1" s="1"/>
  <c r="T570" i="1"/>
  <c r="AH570" i="1" s="1"/>
  <c r="T571" i="1"/>
  <c r="AH571" i="1" s="1"/>
  <c r="T572" i="1"/>
  <c r="AH572" i="1" s="1"/>
  <c r="T573" i="1"/>
  <c r="AH573" i="1" s="1"/>
  <c r="T574" i="1"/>
  <c r="AH574" i="1" s="1"/>
  <c r="T575" i="1"/>
  <c r="AH575" i="1" s="1"/>
  <c r="T576" i="1"/>
  <c r="AH576" i="1" s="1"/>
  <c r="T577" i="1"/>
  <c r="AH577" i="1" s="1"/>
  <c r="T578" i="1"/>
  <c r="AH578" i="1" s="1"/>
  <c r="T579" i="1"/>
  <c r="AH579" i="1" s="1"/>
  <c r="T580" i="1"/>
  <c r="AH580" i="1" s="1"/>
  <c r="T581" i="1"/>
  <c r="AH581" i="1" s="1"/>
  <c r="T582" i="1"/>
  <c r="AH582" i="1" s="1"/>
  <c r="T583" i="1"/>
  <c r="AH583" i="1" s="1"/>
  <c r="T584" i="1"/>
  <c r="AH584" i="1" s="1"/>
  <c r="T585" i="1"/>
  <c r="AH585" i="1" s="1"/>
  <c r="T586" i="1"/>
  <c r="AH586" i="1" s="1"/>
  <c r="T587" i="1"/>
  <c r="AH587" i="1" s="1"/>
  <c r="T588" i="1"/>
  <c r="AH588" i="1" s="1"/>
  <c r="T589" i="1"/>
  <c r="AH589" i="1" s="1"/>
  <c r="T590" i="1"/>
  <c r="AH590" i="1" s="1"/>
  <c r="T591" i="1"/>
  <c r="AH591" i="1" s="1"/>
  <c r="T592" i="1"/>
  <c r="AH592" i="1" s="1"/>
  <c r="T593" i="1"/>
  <c r="AH593" i="1" s="1"/>
  <c r="T594" i="1"/>
  <c r="AH594" i="1" s="1"/>
  <c r="T595" i="1"/>
  <c r="AH595" i="1" s="1"/>
  <c r="T596" i="1"/>
  <c r="AH596" i="1" s="1"/>
  <c r="T597" i="1"/>
  <c r="AH597" i="1" s="1"/>
  <c r="T598" i="1"/>
  <c r="AH598" i="1" s="1"/>
  <c r="T599" i="1"/>
  <c r="AH599" i="1" s="1"/>
  <c r="T600" i="1"/>
  <c r="AH600" i="1" s="1"/>
  <c r="T601" i="1"/>
  <c r="AH601" i="1" s="1"/>
  <c r="T602" i="1"/>
  <c r="AH602" i="1" s="1"/>
  <c r="T603" i="1"/>
  <c r="AH603" i="1" s="1"/>
  <c r="T604" i="1"/>
  <c r="AH604" i="1" s="1"/>
  <c r="T605" i="1"/>
  <c r="AH605" i="1" s="1"/>
  <c r="T606" i="1"/>
  <c r="AH606" i="1" s="1"/>
  <c r="T607" i="1"/>
  <c r="AH607" i="1" s="1"/>
  <c r="T608" i="1"/>
  <c r="AH608" i="1" s="1"/>
  <c r="T609" i="1"/>
  <c r="AH609" i="1" s="1"/>
  <c r="T610" i="1"/>
  <c r="AH610" i="1" s="1"/>
  <c r="T611" i="1"/>
  <c r="AH611" i="1" s="1"/>
  <c r="T612" i="1"/>
  <c r="AH612" i="1" s="1"/>
  <c r="T613" i="1"/>
  <c r="AH613" i="1" s="1"/>
  <c r="T614" i="1"/>
  <c r="AH614" i="1" s="1"/>
  <c r="T615" i="1"/>
  <c r="AH615" i="1" s="1"/>
  <c r="T616" i="1"/>
  <c r="AH616" i="1" s="1"/>
  <c r="T617" i="1"/>
  <c r="AH617" i="1" s="1"/>
  <c r="T618" i="1"/>
  <c r="AH618" i="1" s="1"/>
  <c r="T619" i="1"/>
  <c r="AH619" i="1" s="1"/>
  <c r="T620" i="1"/>
  <c r="AH620" i="1" s="1"/>
  <c r="T621" i="1"/>
  <c r="AH621" i="1" s="1"/>
  <c r="T622" i="1"/>
  <c r="AH622" i="1" s="1"/>
  <c r="T623" i="1"/>
  <c r="AH623" i="1" s="1"/>
  <c r="T624" i="1"/>
  <c r="AH624" i="1" s="1"/>
  <c r="T625" i="1"/>
  <c r="AH625" i="1" s="1"/>
  <c r="T626" i="1"/>
  <c r="AH626" i="1" s="1"/>
  <c r="T627" i="1"/>
  <c r="AH627" i="1" s="1"/>
  <c r="T628" i="1"/>
  <c r="AH628" i="1" s="1"/>
  <c r="T629" i="1"/>
  <c r="AH629" i="1" s="1"/>
  <c r="T630" i="1"/>
  <c r="AH630" i="1" s="1"/>
  <c r="T631" i="1"/>
  <c r="AH631" i="1" s="1"/>
  <c r="T632" i="1"/>
  <c r="AH632" i="1" s="1"/>
  <c r="T633" i="1"/>
  <c r="AH633" i="1" s="1"/>
  <c r="T634" i="1"/>
  <c r="AH634" i="1" s="1"/>
  <c r="T635" i="1"/>
  <c r="AH635" i="1" s="1"/>
  <c r="T636" i="1"/>
  <c r="AH636" i="1" s="1"/>
  <c r="T637" i="1"/>
  <c r="AH637" i="1" s="1"/>
  <c r="T638" i="1"/>
  <c r="AH638" i="1" s="1"/>
  <c r="T639" i="1"/>
  <c r="AH639" i="1" s="1"/>
  <c r="T640" i="1"/>
  <c r="AH640" i="1" s="1"/>
  <c r="T641" i="1"/>
  <c r="AH641" i="1" s="1"/>
  <c r="T642" i="1"/>
  <c r="AH642" i="1" s="1"/>
  <c r="T643" i="1"/>
  <c r="AH643" i="1" s="1"/>
  <c r="T644" i="1"/>
  <c r="AH644" i="1" s="1"/>
  <c r="T645" i="1"/>
  <c r="AH645" i="1" s="1"/>
  <c r="T646" i="1"/>
  <c r="AH646" i="1" s="1"/>
  <c r="T647" i="1"/>
  <c r="AH647" i="1" s="1"/>
  <c r="T648" i="1"/>
  <c r="AH648" i="1" s="1"/>
  <c r="T649" i="1"/>
  <c r="AH649" i="1" s="1"/>
  <c r="T650" i="1"/>
  <c r="AH650" i="1" s="1"/>
  <c r="T651" i="1"/>
  <c r="AH651" i="1" s="1"/>
  <c r="T652" i="1"/>
  <c r="AH652" i="1" s="1"/>
  <c r="T653" i="1"/>
  <c r="AH653" i="1" s="1"/>
  <c r="T654" i="1"/>
  <c r="AH654" i="1" s="1"/>
  <c r="T655" i="1"/>
  <c r="AH655" i="1" s="1"/>
  <c r="T656" i="1"/>
  <c r="AH656" i="1" s="1"/>
  <c r="T657" i="1"/>
  <c r="AH657" i="1" s="1"/>
  <c r="T658" i="1"/>
  <c r="AH658" i="1" s="1"/>
  <c r="T659" i="1"/>
  <c r="AH659" i="1" s="1"/>
  <c r="T660" i="1"/>
  <c r="AH660" i="1" s="1"/>
  <c r="T661" i="1"/>
  <c r="AH661" i="1" s="1"/>
  <c r="T662" i="1"/>
  <c r="AH662" i="1" s="1"/>
  <c r="T663" i="1"/>
  <c r="AH663" i="1" s="1"/>
  <c r="T664" i="1"/>
  <c r="AH664" i="1" s="1"/>
  <c r="T665" i="1"/>
  <c r="AH665" i="1" s="1"/>
  <c r="T666" i="1"/>
  <c r="AH666" i="1" s="1"/>
  <c r="T667" i="1"/>
  <c r="AH667" i="1" s="1"/>
  <c r="T668" i="1"/>
  <c r="AH668" i="1" s="1"/>
  <c r="T669" i="1"/>
  <c r="AH669" i="1" s="1"/>
  <c r="T670" i="1"/>
  <c r="AH670" i="1" s="1"/>
  <c r="T671" i="1"/>
  <c r="AH671" i="1" s="1"/>
  <c r="T672" i="1"/>
  <c r="AH672" i="1" s="1"/>
  <c r="T673" i="1"/>
  <c r="AH673" i="1" s="1"/>
  <c r="T674" i="1"/>
  <c r="AH674" i="1" s="1"/>
  <c r="T675" i="1"/>
  <c r="AH675" i="1" s="1"/>
  <c r="T676" i="1"/>
  <c r="AH676" i="1" s="1"/>
  <c r="T677" i="1"/>
  <c r="AH677" i="1" s="1"/>
  <c r="T678" i="1"/>
  <c r="AH678" i="1" s="1"/>
  <c r="T679" i="1"/>
  <c r="AH679" i="1" s="1"/>
  <c r="T680" i="1"/>
  <c r="AH680" i="1" s="1"/>
  <c r="T681" i="1"/>
  <c r="AH681" i="1" s="1"/>
  <c r="T682" i="1"/>
  <c r="AH682" i="1" s="1"/>
  <c r="T683" i="1"/>
  <c r="AH683" i="1" s="1"/>
  <c r="T684" i="1"/>
  <c r="AH684" i="1" s="1"/>
  <c r="T685" i="1"/>
  <c r="AH685" i="1" s="1"/>
  <c r="T686" i="1"/>
  <c r="AH686" i="1" s="1"/>
  <c r="T687" i="1"/>
  <c r="AH687" i="1" s="1"/>
  <c r="T688" i="1"/>
  <c r="AH688" i="1" s="1"/>
  <c r="T689" i="1"/>
  <c r="AH689" i="1" s="1"/>
  <c r="T690" i="1"/>
  <c r="AH690" i="1" s="1"/>
  <c r="T691" i="1"/>
  <c r="AH691" i="1" s="1"/>
  <c r="T692" i="1"/>
  <c r="AH692" i="1" s="1"/>
  <c r="T693" i="1"/>
  <c r="AH693" i="1" s="1"/>
  <c r="T694" i="1"/>
  <c r="AH694" i="1" s="1"/>
  <c r="T695" i="1"/>
  <c r="AH695" i="1" s="1"/>
  <c r="T696" i="1"/>
  <c r="AH696" i="1" s="1"/>
  <c r="T697" i="1"/>
  <c r="AH697" i="1" s="1"/>
  <c r="T698" i="1"/>
  <c r="AH698" i="1" s="1"/>
  <c r="T699" i="1"/>
  <c r="AH699" i="1" s="1"/>
  <c r="T700" i="1"/>
  <c r="AH700" i="1" s="1"/>
  <c r="T701" i="1"/>
  <c r="AH701" i="1" s="1"/>
  <c r="T702" i="1"/>
  <c r="AH702" i="1" s="1"/>
  <c r="T703" i="1"/>
  <c r="AH703" i="1" s="1"/>
  <c r="T704" i="1"/>
  <c r="AH704" i="1" s="1"/>
  <c r="T705" i="1"/>
  <c r="AH705" i="1" s="1"/>
  <c r="T706" i="1"/>
  <c r="AH706" i="1" s="1"/>
  <c r="T707" i="1"/>
  <c r="AH707" i="1" s="1"/>
  <c r="T708" i="1"/>
  <c r="AH708" i="1" s="1"/>
  <c r="T709" i="1"/>
  <c r="AH709" i="1" s="1"/>
  <c r="T710" i="1"/>
  <c r="AH710" i="1" s="1"/>
  <c r="T711" i="1"/>
  <c r="AH711" i="1" s="1"/>
  <c r="T712" i="1"/>
  <c r="AH712" i="1" s="1"/>
  <c r="T713" i="1"/>
  <c r="AH713" i="1" s="1"/>
  <c r="T714" i="1"/>
  <c r="AH714" i="1" s="1"/>
  <c r="T715" i="1"/>
  <c r="AH715" i="1" s="1"/>
  <c r="T716" i="1"/>
  <c r="AH716" i="1" s="1"/>
  <c r="T717" i="1"/>
  <c r="AH717" i="1" s="1"/>
  <c r="T718" i="1"/>
  <c r="AH718" i="1" s="1"/>
  <c r="T719" i="1"/>
  <c r="AH719" i="1" s="1"/>
  <c r="T720" i="1"/>
  <c r="AH720" i="1" s="1"/>
  <c r="T721" i="1"/>
  <c r="AH721" i="1" s="1"/>
  <c r="T722" i="1"/>
  <c r="AH722" i="1" s="1"/>
  <c r="T723" i="1"/>
  <c r="AH723" i="1" s="1"/>
  <c r="T724" i="1"/>
  <c r="AH724" i="1" s="1"/>
  <c r="T725" i="1"/>
  <c r="AH725" i="1" s="1"/>
  <c r="T726" i="1"/>
  <c r="AH726" i="1" s="1"/>
  <c r="T727" i="1"/>
  <c r="AH727" i="1" s="1"/>
  <c r="T728" i="1"/>
  <c r="AH728" i="1" s="1"/>
  <c r="T729" i="1"/>
  <c r="AH729" i="1" s="1"/>
  <c r="T730" i="1"/>
  <c r="AH730" i="1" s="1"/>
  <c r="T731" i="1"/>
  <c r="AH731" i="1" s="1"/>
  <c r="T732" i="1"/>
  <c r="AH732" i="1" s="1"/>
  <c r="T733" i="1"/>
  <c r="AH733" i="1" s="1"/>
  <c r="T734" i="1"/>
  <c r="AH734" i="1" s="1"/>
  <c r="T735" i="1"/>
  <c r="AH735" i="1" s="1"/>
  <c r="T736" i="1"/>
  <c r="AH736" i="1" s="1"/>
  <c r="T737" i="1"/>
  <c r="AH737" i="1" s="1"/>
  <c r="T738" i="1"/>
  <c r="AH738" i="1" s="1"/>
  <c r="T739" i="1"/>
  <c r="AH739" i="1" s="1"/>
  <c r="T740" i="1"/>
  <c r="AH740" i="1" s="1"/>
  <c r="T741" i="1"/>
  <c r="AH741" i="1" s="1"/>
  <c r="T742" i="1"/>
  <c r="AH742" i="1" s="1"/>
  <c r="T743" i="1"/>
  <c r="AH743" i="1" s="1"/>
  <c r="T744" i="1"/>
  <c r="AH744" i="1" s="1"/>
  <c r="T745" i="1"/>
  <c r="AH745" i="1" s="1"/>
  <c r="T746" i="1"/>
  <c r="AH746" i="1" s="1"/>
  <c r="T747" i="1"/>
  <c r="AH747" i="1" s="1"/>
  <c r="T748" i="1"/>
  <c r="AH748" i="1" s="1"/>
  <c r="T749" i="1"/>
  <c r="AH749" i="1" s="1"/>
  <c r="T750" i="1"/>
  <c r="AH750" i="1" s="1"/>
  <c r="T751" i="1"/>
  <c r="AH751" i="1" s="1"/>
  <c r="T752" i="1"/>
  <c r="AH752" i="1" s="1"/>
  <c r="T753" i="1"/>
  <c r="AH753" i="1" s="1"/>
  <c r="T754" i="1"/>
  <c r="AH754" i="1" s="1"/>
  <c r="T755" i="1"/>
  <c r="AH755" i="1" s="1"/>
  <c r="T756" i="1"/>
  <c r="AH756" i="1" s="1"/>
  <c r="T757" i="1"/>
  <c r="AH757" i="1" s="1"/>
  <c r="T758" i="1"/>
  <c r="AH758" i="1" s="1"/>
  <c r="T759" i="1"/>
  <c r="AH759" i="1" s="1"/>
  <c r="T760" i="1"/>
  <c r="AH760" i="1" s="1"/>
  <c r="T761" i="1"/>
  <c r="AH761" i="1" s="1"/>
  <c r="T762" i="1"/>
  <c r="AH762" i="1" s="1"/>
  <c r="T763" i="1"/>
  <c r="AH763" i="1" s="1"/>
  <c r="T764" i="1"/>
  <c r="AH764" i="1" s="1"/>
  <c r="T765" i="1"/>
  <c r="AH765" i="1" s="1"/>
  <c r="T766" i="1"/>
  <c r="AH766" i="1" s="1"/>
  <c r="T767" i="1"/>
  <c r="AH767" i="1" s="1"/>
  <c r="T768" i="1"/>
  <c r="AH768" i="1" s="1"/>
  <c r="T769" i="1"/>
  <c r="AH769" i="1" s="1"/>
  <c r="T770" i="1"/>
  <c r="AH770" i="1" s="1"/>
  <c r="T771" i="1"/>
  <c r="AH771" i="1" s="1"/>
  <c r="T772" i="1"/>
  <c r="AH772" i="1" s="1"/>
  <c r="T773" i="1"/>
  <c r="AH773" i="1" s="1"/>
  <c r="T774" i="1"/>
  <c r="AH774" i="1" s="1"/>
  <c r="T775" i="1"/>
  <c r="AH775" i="1" s="1"/>
  <c r="T776" i="1"/>
  <c r="AH776" i="1" s="1"/>
  <c r="T777" i="1"/>
  <c r="AH777" i="1" s="1"/>
  <c r="T778" i="1"/>
  <c r="AH778" i="1" s="1"/>
  <c r="T779" i="1"/>
  <c r="AH779" i="1" s="1"/>
  <c r="T780" i="1"/>
  <c r="AH780" i="1" s="1"/>
  <c r="T781" i="1"/>
  <c r="AH781" i="1" s="1"/>
  <c r="T782" i="1"/>
  <c r="AH782" i="1" s="1"/>
  <c r="T783" i="1"/>
  <c r="AH783" i="1" s="1"/>
  <c r="T784" i="1"/>
  <c r="AH784" i="1" s="1"/>
  <c r="T785" i="1"/>
  <c r="AH785" i="1" s="1"/>
  <c r="T786" i="1"/>
  <c r="AH786" i="1" s="1"/>
  <c r="T787" i="1"/>
  <c r="AH787" i="1" s="1"/>
  <c r="T788" i="1"/>
  <c r="AH788" i="1" s="1"/>
  <c r="T789" i="1"/>
  <c r="AH789" i="1" s="1"/>
  <c r="T790" i="1"/>
  <c r="AH790" i="1" s="1"/>
  <c r="T791" i="1"/>
  <c r="AH791" i="1" s="1"/>
  <c r="T792" i="1"/>
  <c r="AH792" i="1" s="1"/>
  <c r="T793" i="1"/>
  <c r="AH793" i="1" s="1"/>
  <c r="T794" i="1"/>
  <c r="AH794" i="1" s="1"/>
  <c r="T795" i="1"/>
  <c r="AH795" i="1" s="1"/>
  <c r="T796" i="1"/>
  <c r="AH796" i="1" s="1"/>
  <c r="T797" i="1"/>
  <c r="AH797" i="1" s="1"/>
  <c r="T798" i="1"/>
  <c r="AH798" i="1" s="1"/>
  <c r="T799" i="1"/>
  <c r="AH799" i="1" s="1"/>
  <c r="T800" i="1"/>
  <c r="AH800" i="1" s="1"/>
  <c r="T801" i="1"/>
  <c r="AH801" i="1" s="1"/>
  <c r="T802" i="1"/>
  <c r="AH802" i="1" s="1"/>
  <c r="T803" i="1"/>
  <c r="AH803" i="1" s="1"/>
  <c r="T804" i="1"/>
  <c r="AH804" i="1" s="1"/>
  <c r="T805" i="1"/>
  <c r="AH805" i="1" s="1"/>
  <c r="T806" i="1"/>
  <c r="AH806" i="1" s="1"/>
  <c r="T807" i="1"/>
  <c r="AH807" i="1" s="1"/>
  <c r="T808" i="1"/>
  <c r="AH808" i="1" s="1"/>
  <c r="T809" i="1"/>
  <c r="AH809" i="1" s="1"/>
  <c r="T810" i="1"/>
  <c r="AH810" i="1" s="1"/>
  <c r="T811" i="1"/>
  <c r="AH811" i="1" s="1"/>
  <c r="T812" i="1"/>
  <c r="AH812" i="1" s="1"/>
  <c r="T813" i="1"/>
  <c r="AH813" i="1" s="1"/>
  <c r="T814" i="1"/>
  <c r="AH814" i="1" s="1"/>
  <c r="T815" i="1"/>
  <c r="AH815" i="1" s="1"/>
  <c r="T816" i="1"/>
  <c r="AH816" i="1" s="1"/>
  <c r="T817" i="1"/>
  <c r="AH817" i="1" s="1"/>
  <c r="T818" i="1"/>
  <c r="AH818" i="1" s="1"/>
  <c r="T819" i="1"/>
  <c r="AH819" i="1" s="1"/>
  <c r="T820" i="1"/>
  <c r="AH820" i="1" s="1"/>
  <c r="T821" i="1"/>
  <c r="AH821" i="1" s="1"/>
  <c r="T822" i="1"/>
  <c r="AH822" i="1" s="1"/>
  <c r="T823" i="1"/>
  <c r="AH823" i="1" s="1"/>
  <c r="T824" i="1"/>
  <c r="AH824" i="1" s="1"/>
  <c r="T825" i="1"/>
  <c r="AH825" i="1" s="1"/>
  <c r="T826" i="1"/>
  <c r="AH826" i="1" s="1"/>
  <c r="T827" i="1"/>
  <c r="AH827" i="1" s="1"/>
  <c r="T828" i="1"/>
  <c r="AH828" i="1" s="1"/>
  <c r="T829" i="1"/>
  <c r="AH829" i="1" s="1"/>
  <c r="T830" i="1"/>
  <c r="AH830" i="1" s="1"/>
  <c r="T831" i="1"/>
  <c r="AH831" i="1" s="1"/>
  <c r="T832" i="1"/>
  <c r="AH832" i="1" s="1"/>
  <c r="T833" i="1"/>
  <c r="AH833" i="1" s="1"/>
  <c r="T834" i="1"/>
  <c r="AH834" i="1" s="1"/>
  <c r="T835" i="1"/>
  <c r="AH835" i="1" s="1"/>
  <c r="T836" i="1"/>
  <c r="AH836" i="1" s="1"/>
  <c r="T837" i="1"/>
  <c r="AH837" i="1" s="1"/>
  <c r="T838" i="1"/>
  <c r="AH838" i="1" s="1"/>
  <c r="T839" i="1"/>
  <c r="AH839" i="1" s="1"/>
  <c r="T840" i="1"/>
  <c r="AH840" i="1" s="1"/>
  <c r="T841" i="1"/>
  <c r="AH841" i="1" s="1"/>
  <c r="T842" i="1"/>
  <c r="AH842" i="1" s="1"/>
  <c r="T843" i="1"/>
  <c r="AH843" i="1" s="1"/>
  <c r="T844" i="1"/>
  <c r="AH844" i="1" s="1"/>
  <c r="T845" i="1"/>
  <c r="AH845" i="1" s="1"/>
  <c r="T846" i="1"/>
  <c r="AH846" i="1" s="1"/>
  <c r="T847" i="1"/>
  <c r="AH847" i="1" s="1"/>
  <c r="T848" i="1"/>
  <c r="AH848" i="1" s="1"/>
  <c r="T849" i="1"/>
  <c r="AH849" i="1" s="1"/>
  <c r="T850" i="1"/>
  <c r="AH850" i="1" s="1"/>
  <c r="T851" i="1"/>
  <c r="AH851" i="1" s="1"/>
  <c r="T852" i="1"/>
  <c r="AH852" i="1" s="1"/>
  <c r="T853" i="1"/>
  <c r="AH853" i="1" s="1"/>
  <c r="T854" i="1"/>
  <c r="AH854" i="1" s="1"/>
  <c r="T855" i="1"/>
  <c r="AH855" i="1" s="1"/>
  <c r="T856" i="1"/>
  <c r="AH856" i="1" s="1"/>
  <c r="T857" i="1"/>
  <c r="AH857" i="1" s="1"/>
  <c r="T858" i="1"/>
  <c r="AH858" i="1" s="1"/>
  <c r="T859" i="1"/>
  <c r="AH859" i="1" s="1"/>
  <c r="T860" i="1"/>
  <c r="AH860" i="1" s="1"/>
  <c r="T861" i="1"/>
  <c r="AH861" i="1" s="1"/>
  <c r="T862" i="1"/>
  <c r="AH862" i="1" s="1"/>
  <c r="T863" i="1"/>
  <c r="AH863" i="1" s="1"/>
  <c r="T864" i="1"/>
  <c r="AH864" i="1" s="1"/>
  <c r="T865" i="1"/>
  <c r="AH865" i="1" s="1"/>
  <c r="T866" i="1"/>
  <c r="AH866" i="1" s="1"/>
  <c r="T867" i="1"/>
  <c r="AH867" i="1" s="1"/>
  <c r="T868" i="1"/>
  <c r="AH868" i="1" s="1"/>
  <c r="T869" i="1"/>
  <c r="AH869" i="1" s="1"/>
  <c r="T870" i="1"/>
  <c r="AH870" i="1" s="1"/>
  <c r="T871" i="1"/>
  <c r="AH871" i="1" s="1"/>
  <c r="T872" i="1"/>
  <c r="AH872" i="1" s="1"/>
  <c r="T873" i="1"/>
  <c r="AH873" i="1" s="1"/>
  <c r="T874" i="1"/>
  <c r="AH874" i="1" s="1"/>
  <c r="T875" i="1"/>
  <c r="AH875" i="1" s="1"/>
  <c r="T876" i="1"/>
  <c r="AH876" i="1" s="1"/>
  <c r="T877" i="1"/>
  <c r="AH877" i="1" s="1"/>
  <c r="T878" i="1"/>
  <c r="AH878" i="1" s="1"/>
  <c r="T879" i="1"/>
  <c r="AH879" i="1" s="1"/>
  <c r="T880" i="1"/>
  <c r="AH880" i="1" s="1"/>
  <c r="T881" i="1"/>
  <c r="AH881" i="1" s="1"/>
  <c r="T882" i="1"/>
  <c r="AH882" i="1" s="1"/>
  <c r="T883" i="1"/>
  <c r="AH883" i="1" s="1"/>
  <c r="T884" i="1"/>
  <c r="AH884" i="1" s="1"/>
  <c r="T885" i="1"/>
  <c r="AH885" i="1" s="1"/>
  <c r="T886" i="1"/>
  <c r="AH886" i="1" s="1"/>
  <c r="T887" i="1"/>
  <c r="AH887" i="1" s="1"/>
  <c r="T888" i="1"/>
  <c r="AH888" i="1" s="1"/>
  <c r="T889" i="1"/>
  <c r="AH889" i="1" s="1"/>
  <c r="T890" i="1"/>
  <c r="AH890" i="1" s="1"/>
  <c r="T891" i="1"/>
  <c r="AH891" i="1" s="1"/>
  <c r="T892" i="1"/>
  <c r="AH892" i="1" s="1"/>
  <c r="T893" i="1"/>
  <c r="AH893" i="1" s="1"/>
  <c r="T894" i="1"/>
  <c r="AH894" i="1" s="1"/>
  <c r="T895" i="1"/>
  <c r="AH895" i="1" s="1"/>
  <c r="T896" i="1"/>
  <c r="AH896" i="1" s="1"/>
  <c r="T897" i="1"/>
  <c r="AH897" i="1" s="1"/>
  <c r="T898" i="1"/>
  <c r="AH898" i="1" s="1"/>
  <c r="T899" i="1"/>
  <c r="AH899" i="1" s="1"/>
  <c r="T900" i="1"/>
  <c r="AH900" i="1" s="1"/>
  <c r="T901" i="1"/>
  <c r="AH901" i="1" s="1"/>
  <c r="T902" i="1"/>
  <c r="AH902" i="1" s="1"/>
  <c r="T903" i="1"/>
  <c r="AH903" i="1" s="1"/>
  <c r="T904" i="1"/>
  <c r="AH904" i="1" s="1"/>
  <c r="T905" i="1"/>
  <c r="AH905" i="1" s="1"/>
  <c r="T906" i="1"/>
  <c r="AH906" i="1" s="1"/>
  <c r="T907" i="1"/>
  <c r="AH907" i="1" s="1"/>
  <c r="T908" i="1"/>
  <c r="AH908" i="1" s="1"/>
  <c r="T909" i="1"/>
  <c r="AH909" i="1" s="1"/>
  <c r="T910" i="1"/>
  <c r="AH910" i="1" s="1"/>
  <c r="T911" i="1"/>
  <c r="AH911" i="1" s="1"/>
  <c r="T912" i="1"/>
  <c r="AH912" i="1" s="1"/>
  <c r="T913" i="1"/>
  <c r="AH913" i="1" s="1"/>
  <c r="T914" i="1"/>
  <c r="AH914" i="1" s="1"/>
  <c r="T915" i="1"/>
  <c r="AH915" i="1" s="1"/>
  <c r="T916" i="1"/>
  <c r="AH916" i="1" s="1"/>
  <c r="T917" i="1"/>
  <c r="AH917" i="1" s="1"/>
  <c r="T918" i="1"/>
  <c r="AH918" i="1" s="1"/>
  <c r="T919" i="1"/>
  <c r="AH919" i="1" s="1"/>
  <c r="T920" i="1"/>
  <c r="AH920" i="1" s="1"/>
  <c r="T921" i="1"/>
  <c r="AH921" i="1" s="1"/>
  <c r="T922" i="1"/>
  <c r="AH922" i="1" s="1"/>
  <c r="T923" i="1"/>
  <c r="AH923" i="1" s="1"/>
  <c r="T924" i="1"/>
  <c r="AH924" i="1" s="1"/>
  <c r="T925" i="1"/>
  <c r="AH925" i="1" s="1"/>
  <c r="T926" i="1"/>
  <c r="AH926" i="1" s="1"/>
  <c r="T927" i="1"/>
  <c r="AH927" i="1" s="1"/>
  <c r="T928" i="1"/>
  <c r="AH928" i="1" s="1"/>
  <c r="T929" i="1"/>
  <c r="AH929" i="1" s="1"/>
  <c r="T930" i="1"/>
  <c r="AH930" i="1" s="1"/>
  <c r="T931" i="1"/>
  <c r="AH931" i="1" s="1"/>
  <c r="T932" i="1"/>
  <c r="AH932" i="1" s="1"/>
  <c r="T933" i="1"/>
  <c r="AH933" i="1" s="1"/>
  <c r="T934" i="1"/>
  <c r="AH934" i="1" s="1"/>
  <c r="T935" i="1"/>
  <c r="AH935" i="1" s="1"/>
  <c r="T936" i="1"/>
  <c r="AH936" i="1" s="1"/>
  <c r="T937" i="1"/>
  <c r="AH937" i="1" s="1"/>
  <c r="T938" i="1"/>
  <c r="AH938" i="1" s="1"/>
  <c r="T939" i="1"/>
  <c r="AH939" i="1" s="1"/>
  <c r="T940" i="1"/>
  <c r="AH940" i="1" s="1"/>
  <c r="T941" i="1"/>
  <c r="AH941" i="1" s="1"/>
  <c r="T942" i="1"/>
  <c r="AH942" i="1" s="1"/>
  <c r="T943" i="1"/>
  <c r="AH943" i="1" s="1"/>
  <c r="T944" i="1"/>
  <c r="AH944" i="1" s="1"/>
  <c r="T945" i="1"/>
  <c r="AH945" i="1" s="1"/>
  <c r="T946" i="1"/>
  <c r="AH946" i="1" s="1"/>
  <c r="T947" i="1"/>
  <c r="AH947" i="1" s="1"/>
  <c r="T948" i="1"/>
  <c r="AH948" i="1" s="1"/>
  <c r="T949" i="1"/>
  <c r="AH949" i="1" s="1"/>
  <c r="T950" i="1"/>
  <c r="AH950" i="1" s="1"/>
  <c r="T951" i="1"/>
  <c r="AH951" i="1" s="1"/>
  <c r="T952" i="1"/>
  <c r="AH952" i="1" s="1"/>
  <c r="T953" i="1"/>
  <c r="AH953" i="1" s="1"/>
  <c r="T954" i="1"/>
  <c r="AH954" i="1" s="1"/>
  <c r="T955" i="1"/>
  <c r="AH955" i="1" s="1"/>
  <c r="T956" i="1"/>
  <c r="AH956" i="1" s="1"/>
  <c r="T957" i="1"/>
  <c r="AH957" i="1" s="1"/>
  <c r="T958" i="1"/>
  <c r="AH958" i="1" s="1"/>
  <c r="T959" i="1"/>
  <c r="AH959" i="1" s="1"/>
  <c r="T960" i="1"/>
  <c r="AH960" i="1" s="1"/>
  <c r="T961" i="1"/>
  <c r="AH961" i="1" s="1"/>
  <c r="T962" i="1"/>
  <c r="AH962" i="1" s="1"/>
  <c r="T963" i="1"/>
  <c r="AH963" i="1" s="1"/>
  <c r="T964" i="1"/>
  <c r="AH964" i="1" s="1"/>
  <c r="T965" i="1"/>
  <c r="AH965" i="1" s="1"/>
  <c r="T966" i="1"/>
  <c r="AH966" i="1" s="1"/>
  <c r="T967" i="1"/>
  <c r="AH967" i="1" s="1"/>
  <c r="T968" i="1"/>
  <c r="AH968" i="1" s="1"/>
  <c r="T969" i="1"/>
  <c r="AH969" i="1" s="1"/>
  <c r="T970" i="1"/>
  <c r="AH970" i="1" s="1"/>
  <c r="T971" i="1"/>
  <c r="AH971" i="1" s="1"/>
  <c r="T972" i="1"/>
  <c r="AH972" i="1" s="1"/>
  <c r="T973" i="1"/>
  <c r="AH973" i="1" s="1"/>
  <c r="T974" i="1"/>
  <c r="AH974" i="1" s="1"/>
  <c r="T975" i="1"/>
  <c r="AH975" i="1" s="1"/>
  <c r="T976" i="1"/>
  <c r="AH976" i="1" s="1"/>
  <c r="T977" i="1"/>
  <c r="AH977" i="1" s="1"/>
  <c r="T978" i="1"/>
  <c r="AH978" i="1" s="1"/>
  <c r="T979" i="1"/>
  <c r="AH979" i="1" s="1"/>
  <c r="T980" i="1"/>
  <c r="AH980" i="1" s="1"/>
  <c r="T981" i="1"/>
  <c r="AH981" i="1" s="1"/>
  <c r="T982" i="1"/>
  <c r="AH982" i="1" s="1"/>
  <c r="T983" i="1"/>
  <c r="AH983" i="1" s="1"/>
  <c r="T984" i="1"/>
  <c r="AH984" i="1" s="1"/>
  <c r="T985" i="1"/>
  <c r="AH985" i="1" s="1"/>
  <c r="T986" i="1"/>
  <c r="AH986" i="1" s="1"/>
  <c r="T987" i="1"/>
  <c r="AH987" i="1" s="1"/>
  <c r="T988" i="1"/>
  <c r="AH988" i="1" s="1"/>
  <c r="T989" i="1"/>
  <c r="AH989" i="1" s="1"/>
  <c r="T990" i="1"/>
  <c r="AH990" i="1" s="1"/>
  <c r="T991" i="1"/>
  <c r="AH991" i="1" s="1"/>
  <c r="T992" i="1"/>
  <c r="AH992" i="1" s="1"/>
  <c r="T993" i="1"/>
  <c r="AH993" i="1" s="1"/>
  <c r="T994" i="1"/>
  <c r="AH994" i="1" s="1"/>
  <c r="T995" i="1"/>
  <c r="AH995" i="1" s="1"/>
  <c r="T996" i="1"/>
  <c r="AH996" i="1" s="1"/>
  <c r="T997" i="1"/>
  <c r="AH997" i="1" s="1"/>
  <c r="T998" i="1"/>
  <c r="AH998" i="1" s="1"/>
  <c r="T999" i="1"/>
  <c r="AH999" i="1" s="1"/>
  <c r="T1000" i="1"/>
  <c r="AH1000" i="1" s="1"/>
  <c r="T1001" i="1"/>
  <c r="AH1001" i="1" s="1"/>
  <c r="T1002" i="1"/>
  <c r="AH1002" i="1" s="1"/>
  <c r="T1003" i="1"/>
  <c r="AH1003" i="1" s="1"/>
  <c r="T1004" i="1"/>
  <c r="AH1004" i="1" s="1"/>
  <c r="T1005" i="1"/>
  <c r="AH1005" i="1" s="1"/>
  <c r="T1006" i="1"/>
  <c r="AH1006" i="1" s="1"/>
  <c r="T1007" i="1"/>
  <c r="AH1007" i="1" s="1"/>
  <c r="T1008" i="1"/>
  <c r="AH1008" i="1" s="1"/>
  <c r="T1009" i="1"/>
  <c r="AH1009" i="1" s="1"/>
  <c r="T1010" i="1"/>
  <c r="AH1010" i="1" s="1"/>
  <c r="T1011" i="1"/>
  <c r="AH1011" i="1" s="1"/>
  <c r="T1012" i="1"/>
  <c r="AH1012" i="1" s="1"/>
  <c r="T1013" i="1"/>
  <c r="AH1013" i="1" s="1"/>
  <c r="T1014" i="1"/>
  <c r="AH1014" i="1" s="1"/>
  <c r="T1015" i="1"/>
  <c r="AH1015" i="1" s="1"/>
  <c r="T1016" i="1"/>
  <c r="AH1016" i="1" s="1"/>
  <c r="T1017" i="1"/>
  <c r="AH1017" i="1" s="1"/>
  <c r="T1018" i="1"/>
  <c r="AH1018" i="1" s="1"/>
  <c r="T1019" i="1"/>
  <c r="AH1019" i="1" s="1"/>
  <c r="T1020" i="1"/>
  <c r="AH1020" i="1" s="1"/>
  <c r="T1021" i="1"/>
  <c r="AH1021" i="1" s="1"/>
  <c r="T1022" i="1"/>
  <c r="AH1022" i="1" s="1"/>
  <c r="T1023" i="1"/>
  <c r="AH1023" i="1" s="1"/>
  <c r="T1024" i="1"/>
  <c r="AH1024" i="1" s="1"/>
  <c r="T1025" i="1"/>
  <c r="AH1025" i="1" s="1"/>
  <c r="T1026" i="1"/>
  <c r="AH1026" i="1" s="1"/>
  <c r="T1027" i="1"/>
  <c r="AH1027" i="1" s="1"/>
  <c r="T1028" i="1"/>
  <c r="AH1028" i="1" s="1"/>
  <c r="T1029" i="1"/>
  <c r="AH1029" i="1" s="1"/>
  <c r="T1030" i="1"/>
  <c r="AH1030" i="1" s="1"/>
  <c r="T1031" i="1"/>
  <c r="AH1031" i="1" s="1"/>
  <c r="T1032" i="1"/>
  <c r="AH1032" i="1" s="1"/>
  <c r="T1033" i="1"/>
  <c r="AH1033" i="1" s="1"/>
  <c r="T1034" i="1"/>
  <c r="AH1034" i="1" s="1"/>
  <c r="T1035" i="1"/>
  <c r="AH1035" i="1" s="1"/>
  <c r="T1036" i="1"/>
  <c r="AH1036" i="1" s="1"/>
  <c r="T1037" i="1"/>
  <c r="AH1037" i="1" s="1"/>
  <c r="T1038" i="1"/>
  <c r="AH1038" i="1" s="1"/>
  <c r="T1039" i="1"/>
  <c r="AH1039" i="1" s="1"/>
  <c r="T1040" i="1"/>
  <c r="AH1040" i="1" s="1"/>
  <c r="T1041" i="1"/>
  <c r="AH1041" i="1" s="1"/>
  <c r="T1042" i="1"/>
  <c r="AH1042" i="1" s="1"/>
  <c r="T1043" i="1"/>
  <c r="AH1043" i="1" s="1"/>
  <c r="T1044" i="1"/>
  <c r="AH1044" i="1" s="1"/>
  <c r="T1045" i="1"/>
  <c r="AH1045" i="1" s="1"/>
  <c r="T1046" i="1"/>
  <c r="AH1046" i="1" s="1"/>
  <c r="T1047" i="1"/>
  <c r="AH1047" i="1" s="1"/>
  <c r="T1048" i="1"/>
  <c r="AH1048" i="1" s="1"/>
  <c r="T1049" i="1"/>
  <c r="AH1049" i="1" s="1"/>
  <c r="T1050" i="1"/>
  <c r="AH1050" i="1" s="1"/>
  <c r="T1051" i="1"/>
  <c r="AH1051" i="1" s="1"/>
  <c r="T1052" i="1"/>
  <c r="AH1052" i="1" s="1"/>
  <c r="T1053" i="1"/>
  <c r="AH1053" i="1" s="1"/>
  <c r="T1054" i="1"/>
  <c r="AH1054" i="1" s="1"/>
  <c r="T1055" i="1"/>
  <c r="AH1055" i="1" s="1"/>
  <c r="T1056" i="1"/>
  <c r="AH1056" i="1" s="1"/>
  <c r="T1057" i="1"/>
  <c r="AH1057" i="1" s="1"/>
  <c r="T1058" i="1"/>
  <c r="AH1058" i="1" s="1"/>
  <c r="T1059" i="1"/>
  <c r="AH1059" i="1" s="1"/>
  <c r="T1060" i="1"/>
  <c r="AH1060" i="1" s="1"/>
  <c r="T1061" i="1"/>
  <c r="AH1061" i="1" s="1"/>
  <c r="T1062" i="1"/>
  <c r="AH1062" i="1" s="1"/>
  <c r="T1063" i="1"/>
  <c r="AH1063" i="1" s="1"/>
  <c r="T1064" i="1"/>
  <c r="AH1064" i="1" s="1"/>
  <c r="T1065" i="1"/>
  <c r="AH1065" i="1" s="1"/>
  <c r="T1066" i="1"/>
  <c r="AH1066" i="1" s="1"/>
  <c r="T1067" i="1"/>
  <c r="AH1067" i="1" s="1"/>
  <c r="T1068" i="1"/>
  <c r="AH1068" i="1" s="1"/>
  <c r="T1069" i="1"/>
  <c r="AH1069" i="1" s="1"/>
  <c r="T1070" i="1"/>
  <c r="AH1070" i="1" s="1"/>
  <c r="T1071" i="1"/>
  <c r="AH1071" i="1" s="1"/>
  <c r="T1072" i="1"/>
  <c r="AH1072" i="1" s="1"/>
  <c r="T1073" i="1"/>
  <c r="AH1073" i="1" s="1"/>
  <c r="T1074" i="1"/>
  <c r="AH1074" i="1" s="1"/>
  <c r="T1075" i="1"/>
  <c r="AH1075" i="1" s="1"/>
  <c r="T1076" i="1"/>
  <c r="AH1076" i="1" s="1"/>
  <c r="T1077" i="1"/>
  <c r="AH1077" i="1" s="1"/>
  <c r="T1078" i="1"/>
  <c r="AH1078" i="1" s="1"/>
  <c r="T1079" i="1"/>
  <c r="AH1079" i="1" s="1"/>
  <c r="T1080" i="1"/>
  <c r="AH1080" i="1" s="1"/>
  <c r="T1081" i="1"/>
  <c r="AH1081" i="1" s="1"/>
  <c r="T1082" i="1"/>
  <c r="AH1082" i="1" s="1"/>
  <c r="T1083" i="1"/>
  <c r="AH1083" i="1" s="1"/>
  <c r="T1084" i="1"/>
  <c r="AH1084" i="1" s="1"/>
  <c r="T1085" i="1"/>
  <c r="AH1085" i="1" s="1"/>
  <c r="T1086" i="1"/>
  <c r="AH1086" i="1" s="1"/>
  <c r="T1087" i="1"/>
  <c r="AH1087" i="1" s="1"/>
  <c r="T1088" i="1"/>
  <c r="AH1088" i="1" s="1"/>
  <c r="T1089" i="1"/>
  <c r="AH1089" i="1" s="1"/>
  <c r="T1090" i="1"/>
  <c r="AH1090" i="1" s="1"/>
  <c r="T1091" i="1"/>
  <c r="AH1091" i="1" s="1"/>
  <c r="T1092" i="1"/>
  <c r="AH1092" i="1" s="1"/>
  <c r="T1093" i="1"/>
  <c r="AH1093" i="1" s="1"/>
  <c r="T1094" i="1"/>
  <c r="AH1094" i="1" s="1"/>
  <c r="T1095" i="1"/>
  <c r="AH1095" i="1" s="1"/>
  <c r="T1096" i="1"/>
  <c r="AH1096" i="1" s="1"/>
  <c r="T1097" i="1"/>
  <c r="AH1097" i="1" s="1"/>
  <c r="T1098" i="1"/>
  <c r="AH1098" i="1" s="1"/>
  <c r="T1099" i="1"/>
  <c r="AH1099" i="1" s="1"/>
  <c r="T1100" i="1"/>
  <c r="AH1100" i="1" s="1"/>
  <c r="T1101" i="1"/>
  <c r="AH1101" i="1" s="1"/>
  <c r="T1102" i="1"/>
  <c r="AH1102" i="1" s="1"/>
  <c r="T1103" i="1"/>
  <c r="AH1103" i="1" s="1"/>
  <c r="T1104" i="1"/>
  <c r="AH1104" i="1" s="1"/>
  <c r="T1105" i="1"/>
  <c r="AH1105" i="1" s="1"/>
  <c r="T1106" i="1"/>
  <c r="AH1106" i="1" s="1"/>
  <c r="T1107" i="1"/>
  <c r="AH1107" i="1" s="1"/>
  <c r="T1108" i="1"/>
  <c r="AH1108" i="1" s="1"/>
  <c r="T1109" i="1"/>
  <c r="AH1109" i="1" s="1"/>
  <c r="T1110" i="1"/>
  <c r="AH1110" i="1" s="1"/>
  <c r="T1111" i="1"/>
  <c r="AH1111" i="1" s="1"/>
  <c r="T1112" i="1"/>
  <c r="AH1112" i="1" s="1"/>
  <c r="T1113" i="1"/>
  <c r="AH1113" i="1" s="1"/>
  <c r="T1114" i="1"/>
  <c r="AH1114" i="1" s="1"/>
  <c r="T1115" i="1"/>
  <c r="AH1115" i="1" s="1"/>
  <c r="T1116" i="1"/>
  <c r="AH1116" i="1" s="1"/>
  <c r="T1117" i="1"/>
  <c r="AH1117" i="1" s="1"/>
  <c r="T1118" i="1"/>
  <c r="AH1118" i="1" s="1"/>
  <c r="T1119" i="1"/>
  <c r="AH1119" i="1" s="1"/>
  <c r="T1120" i="1"/>
  <c r="AH1120" i="1" s="1"/>
  <c r="T1121" i="1"/>
  <c r="AH1121" i="1" s="1"/>
  <c r="T1122" i="1"/>
  <c r="AH1122" i="1" s="1"/>
  <c r="T1123" i="1"/>
  <c r="AH1123" i="1" s="1"/>
  <c r="T1124" i="1"/>
  <c r="AH1124" i="1" s="1"/>
  <c r="T1125" i="1"/>
  <c r="AH1125" i="1" s="1"/>
  <c r="T1126" i="1"/>
  <c r="AH1126" i="1" s="1"/>
  <c r="T1127" i="1"/>
  <c r="AH1127" i="1" s="1"/>
  <c r="T1128" i="1"/>
  <c r="AH1128" i="1" s="1"/>
  <c r="T1129" i="1"/>
  <c r="AH1129" i="1" s="1"/>
  <c r="T1130" i="1"/>
  <c r="AH1130" i="1" s="1"/>
  <c r="T1131" i="1"/>
  <c r="AH1131" i="1" s="1"/>
  <c r="T1132" i="1"/>
  <c r="AH1132" i="1" s="1"/>
  <c r="T1133" i="1"/>
  <c r="AH1133" i="1" s="1"/>
  <c r="T1134" i="1"/>
  <c r="AH1134" i="1" s="1"/>
  <c r="T1135" i="1"/>
  <c r="AH1135" i="1" s="1"/>
  <c r="T1136" i="1"/>
  <c r="AH1136" i="1" s="1"/>
  <c r="T1137" i="1"/>
  <c r="AH1137" i="1" s="1"/>
  <c r="T1138" i="1"/>
  <c r="AH1138" i="1" s="1"/>
  <c r="T1139" i="1"/>
  <c r="AH1139" i="1" s="1"/>
  <c r="T1140" i="1"/>
  <c r="AH1140" i="1" s="1"/>
  <c r="T1141" i="1"/>
  <c r="AH1141" i="1" s="1"/>
  <c r="T1142" i="1"/>
  <c r="AH1142" i="1" s="1"/>
  <c r="T1143" i="1"/>
  <c r="AH1143" i="1" s="1"/>
  <c r="T1144" i="1"/>
  <c r="AH1144" i="1" s="1"/>
  <c r="T1145" i="1"/>
  <c r="AH1145" i="1" s="1"/>
  <c r="T1146" i="1"/>
  <c r="AH1146" i="1" s="1"/>
  <c r="T1147" i="1"/>
  <c r="AH1147" i="1" s="1"/>
  <c r="T1148" i="1"/>
  <c r="AH1148" i="1" s="1"/>
  <c r="T1149" i="1"/>
  <c r="AH1149" i="1" s="1"/>
  <c r="T1150" i="1"/>
  <c r="AH1150" i="1" s="1"/>
  <c r="T1151" i="1"/>
  <c r="AH1151" i="1" s="1"/>
  <c r="T1152" i="1"/>
  <c r="AH1152" i="1" s="1"/>
  <c r="T1153" i="1"/>
  <c r="AH1153" i="1" s="1"/>
  <c r="T1154" i="1"/>
  <c r="AH1154" i="1" s="1"/>
  <c r="T1155" i="1"/>
  <c r="AH1155" i="1" s="1"/>
  <c r="T1156" i="1"/>
  <c r="AH1156" i="1" s="1"/>
  <c r="T1157" i="1"/>
  <c r="AH1157" i="1" s="1"/>
  <c r="T1158" i="1"/>
  <c r="AH1158" i="1" s="1"/>
  <c r="T1159" i="1"/>
  <c r="AH1159" i="1" s="1"/>
  <c r="T1160" i="1"/>
  <c r="AH1160" i="1" s="1"/>
  <c r="T1161" i="1"/>
  <c r="AH1161" i="1" s="1"/>
  <c r="T1162" i="1"/>
  <c r="AH1162" i="1" s="1"/>
  <c r="T1163" i="1"/>
  <c r="AH1163" i="1" s="1"/>
  <c r="T1164" i="1"/>
  <c r="AH1164" i="1" s="1"/>
  <c r="T1165" i="1"/>
  <c r="AH1165" i="1" s="1"/>
  <c r="T1166" i="1"/>
  <c r="AH1166" i="1" s="1"/>
  <c r="T1167" i="1"/>
  <c r="AH1167" i="1" s="1"/>
  <c r="T1168" i="1"/>
  <c r="AH1168" i="1" s="1"/>
  <c r="T1169" i="1"/>
  <c r="AH1169" i="1" s="1"/>
  <c r="T1170" i="1"/>
  <c r="AH1170" i="1" s="1"/>
  <c r="T1171" i="1"/>
  <c r="AH1171" i="1" s="1"/>
  <c r="T1172" i="1"/>
  <c r="AH1172" i="1" s="1"/>
  <c r="T1173" i="1"/>
  <c r="AH1173" i="1" s="1"/>
  <c r="T1174" i="1"/>
  <c r="AH1174" i="1" s="1"/>
  <c r="T1175" i="1"/>
  <c r="AH1175" i="1" s="1"/>
  <c r="T1176" i="1"/>
  <c r="AH1176" i="1" s="1"/>
  <c r="T1177" i="1"/>
  <c r="AH1177" i="1" s="1"/>
  <c r="T1178" i="1"/>
  <c r="AH1178" i="1" s="1"/>
  <c r="T1179" i="1"/>
  <c r="AH1179" i="1" s="1"/>
  <c r="T1180" i="1"/>
  <c r="AH1180" i="1" s="1"/>
  <c r="T1181" i="1"/>
  <c r="AH1181" i="1" s="1"/>
  <c r="T1182" i="1"/>
  <c r="AH1182" i="1" s="1"/>
  <c r="T1183" i="1"/>
  <c r="AH1183" i="1" s="1"/>
  <c r="T1184" i="1"/>
  <c r="AH1184" i="1" s="1"/>
  <c r="T1185" i="1"/>
  <c r="AH1185" i="1" s="1"/>
  <c r="T1186" i="1"/>
  <c r="AH1186" i="1" s="1"/>
  <c r="T1187" i="1"/>
  <c r="AH1187" i="1" s="1"/>
  <c r="T1188" i="1"/>
  <c r="AH1188" i="1" s="1"/>
  <c r="T1189" i="1"/>
  <c r="AH1189" i="1" s="1"/>
  <c r="T1190" i="1"/>
  <c r="AH1190" i="1" s="1"/>
  <c r="T1191" i="1"/>
  <c r="AH1191" i="1" s="1"/>
  <c r="T1192" i="1"/>
  <c r="AH1192" i="1" s="1"/>
  <c r="T1193" i="1"/>
  <c r="AH1193" i="1" s="1"/>
  <c r="T1194" i="1"/>
  <c r="AH1194" i="1" s="1"/>
  <c r="T1195" i="1"/>
  <c r="AH1195" i="1" s="1"/>
  <c r="T1196" i="1"/>
  <c r="AH1196" i="1" s="1"/>
  <c r="T1197" i="1"/>
  <c r="AH1197" i="1" s="1"/>
  <c r="T1198" i="1"/>
  <c r="AH1198" i="1" s="1"/>
  <c r="T1199" i="1"/>
  <c r="AH1199" i="1" s="1"/>
  <c r="T1200" i="1"/>
  <c r="AH1200" i="1" s="1"/>
  <c r="T1201" i="1"/>
  <c r="AH1201" i="1" s="1"/>
  <c r="T1202" i="1"/>
  <c r="AH1202" i="1" s="1"/>
  <c r="T1203" i="1"/>
  <c r="AH1203" i="1" s="1"/>
  <c r="T1204" i="1"/>
  <c r="AH1204" i="1" s="1"/>
  <c r="T1205" i="1"/>
  <c r="AH1205" i="1" s="1"/>
  <c r="T1206" i="1"/>
  <c r="AH1206" i="1" s="1"/>
  <c r="T1207" i="1"/>
  <c r="AH1207" i="1" s="1"/>
  <c r="T1208" i="1"/>
  <c r="AH1208" i="1" s="1"/>
  <c r="T1209" i="1"/>
  <c r="AH1209" i="1" s="1"/>
  <c r="T1210" i="1"/>
  <c r="AH1210" i="1" s="1"/>
  <c r="T1211" i="1"/>
  <c r="AH1211" i="1" s="1"/>
  <c r="T1212" i="1"/>
  <c r="AH1212" i="1" s="1"/>
  <c r="T1213" i="1"/>
  <c r="AH1213" i="1" s="1"/>
  <c r="T1214" i="1"/>
  <c r="AH1214" i="1" s="1"/>
  <c r="T1215" i="1"/>
  <c r="AH1215" i="1" s="1"/>
  <c r="T1216" i="1"/>
  <c r="AH1216" i="1" s="1"/>
  <c r="T1217" i="1"/>
  <c r="AH1217" i="1" s="1"/>
  <c r="T1218" i="1"/>
  <c r="AH1218" i="1" s="1"/>
  <c r="T1219" i="1"/>
  <c r="AH1219" i="1" s="1"/>
  <c r="T1220" i="1"/>
  <c r="AH1220" i="1" s="1"/>
  <c r="T1221" i="1"/>
  <c r="AH1221" i="1" s="1"/>
  <c r="T1222" i="1"/>
  <c r="AH1222" i="1" s="1"/>
  <c r="T1223" i="1"/>
  <c r="AH1223" i="1" s="1"/>
  <c r="T1224" i="1"/>
  <c r="AH1224" i="1" s="1"/>
  <c r="T1225" i="1"/>
  <c r="AH1225" i="1" s="1"/>
  <c r="T1226" i="1"/>
  <c r="AH1226" i="1" s="1"/>
  <c r="T1227" i="1"/>
  <c r="AH1227" i="1" s="1"/>
  <c r="T1228" i="1"/>
  <c r="AH1228" i="1" s="1"/>
  <c r="T1229" i="1"/>
  <c r="AH1229" i="1" s="1"/>
  <c r="T1230" i="1"/>
  <c r="AH1230" i="1" s="1"/>
  <c r="T1231" i="1"/>
  <c r="AH1231" i="1" s="1"/>
  <c r="T1232" i="1"/>
  <c r="AH1232" i="1" s="1"/>
  <c r="T1233" i="1"/>
  <c r="AH1233" i="1" s="1"/>
  <c r="T1234" i="1"/>
  <c r="AH1234" i="1" s="1"/>
  <c r="T1235" i="1"/>
  <c r="AH1235" i="1" s="1"/>
  <c r="T1236" i="1"/>
  <c r="AH1236" i="1" s="1"/>
  <c r="T1237" i="1"/>
  <c r="AH1237" i="1" s="1"/>
  <c r="T1238" i="1"/>
  <c r="AH1238" i="1" s="1"/>
  <c r="T1239" i="1"/>
  <c r="AH1239" i="1" s="1"/>
  <c r="T1240" i="1"/>
  <c r="AH1240" i="1" s="1"/>
  <c r="T1241" i="1"/>
  <c r="AH1241" i="1" s="1"/>
  <c r="T1242" i="1"/>
  <c r="AH1242" i="1" s="1"/>
  <c r="T1243" i="1"/>
  <c r="AH1243" i="1" s="1"/>
  <c r="T1244" i="1"/>
  <c r="AH1244" i="1" s="1"/>
  <c r="T1245" i="1"/>
  <c r="AH1245" i="1" s="1"/>
  <c r="T1246" i="1"/>
  <c r="AH1246" i="1" s="1"/>
  <c r="T1247" i="1"/>
  <c r="AH1247" i="1" s="1"/>
  <c r="T1248" i="1"/>
  <c r="AH1248" i="1" s="1"/>
  <c r="T1249" i="1"/>
  <c r="AH1249" i="1" s="1"/>
  <c r="T1250" i="1"/>
  <c r="AH1250" i="1" s="1"/>
  <c r="T1251" i="1"/>
  <c r="AH1251" i="1" s="1"/>
  <c r="T1252" i="1"/>
  <c r="AH1252" i="1" s="1"/>
  <c r="T1253" i="1"/>
  <c r="AH1253" i="1" s="1"/>
  <c r="T1254" i="1"/>
  <c r="AH1254" i="1" s="1"/>
  <c r="T1255" i="1"/>
  <c r="AH1255" i="1" s="1"/>
  <c r="T1256" i="1"/>
  <c r="AH1256" i="1" s="1"/>
  <c r="T1257" i="1"/>
  <c r="AH1257" i="1" s="1"/>
  <c r="T1258" i="1"/>
  <c r="AH1258" i="1" s="1"/>
  <c r="T1259" i="1"/>
  <c r="AH1259" i="1" s="1"/>
  <c r="T1260" i="1"/>
  <c r="AH1260" i="1" s="1"/>
  <c r="T1261" i="1"/>
  <c r="AH1261" i="1" s="1"/>
  <c r="T1262" i="1"/>
  <c r="AH1262" i="1" s="1"/>
  <c r="T1263" i="1"/>
  <c r="AH1263" i="1" s="1"/>
  <c r="T1264" i="1"/>
  <c r="AH1264" i="1" s="1"/>
  <c r="T1265" i="1"/>
  <c r="AH1265" i="1" s="1"/>
  <c r="T1266" i="1"/>
  <c r="AH1266" i="1" s="1"/>
  <c r="T1267" i="1"/>
  <c r="AH1267" i="1" s="1"/>
  <c r="T1268" i="1"/>
  <c r="AH1268" i="1" s="1"/>
  <c r="T1269" i="1"/>
  <c r="AH1269" i="1" s="1"/>
  <c r="T1270" i="1"/>
  <c r="AH1270" i="1" s="1"/>
  <c r="T1271" i="1"/>
  <c r="AH1271" i="1" s="1"/>
  <c r="T1272" i="1"/>
  <c r="AH1272" i="1" s="1"/>
  <c r="T1273" i="1"/>
  <c r="AH1273" i="1" s="1"/>
  <c r="T1274" i="1"/>
  <c r="AH1274" i="1" s="1"/>
  <c r="T1275" i="1"/>
  <c r="AH1275" i="1" s="1"/>
  <c r="T1276" i="1"/>
  <c r="AH1276" i="1" s="1"/>
  <c r="T1277" i="1"/>
  <c r="AH1277" i="1" s="1"/>
  <c r="T1278" i="1"/>
  <c r="AH1278" i="1" s="1"/>
  <c r="T1279" i="1"/>
  <c r="AH1279" i="1" s="1"/>
  <c r="T1280" i="1"/>
  <c r="AH1280" i="1" s="1"/>
  <c r="T1281" i="1"/>
  <c r="AH1281" i="1" s="1"/>
  <c r="T1282" i="1"/>
  <c r="AH1282" i="1" s="1"/>
  <c r="T1283" i="1"/>
  <c r="AH1283" i="1" s="1"/>
  <c r="T1284" i="1"/>
  <c r="AH1284" i="1" s="1"/>
  <c r="T1285" i="1"/>
  <c r="AH1285" i="1" s="1"/>
  <c r="T1286" i="1"/>
  <c r="AH1286" i="1" s="1"/>
  <c r="T1287" i="1"/>
  <c r="AH1287" i="1" s="1"/>
  <c r="T1288" i="1"/>
  <c r="AH1288" i="1" s="1"/>
  <c r="T1289" i="1"/>
  <c r="AH1289" i="1" s="1"/>
  <c r="T1290" i="1"/>
  <c r="AH1290" i="1" s="1"/>
  <c r="T1291" i="1"/>
  <c r="AH1291" i="1" s="1"/>
  <c r="T1292" i="1"/>
  <c r="AH1292" i="1" s="1"/>
  <c r="T1293" i="1"/>
  <c r="AH1293" i="1" s="1"/>
  <c r="T1294" i="1"/>
  <c r="AH1294" i="1" s="1"/>
  <c r="T1295" i="1"/>
  <c r="AH1295" i="1" s="1"/>
  <c r="T1296" i="1"/>
  <c r="AH1296" i="1" s="1"/>
  <c r="T1297" i="1"/>
  <c r="AH1297" i="1" s="1"/>
  <c r="T1298" i="1"/>
  <c r="AH1298" i="1" s="1"/>
  <c r="T1299" i="1"/>
  <c r="AH1299" i="1" s="1"/>
  <c r="T1300" i="1"/>
  <c r="AH1300" i="1" s="1"/>
  <c r="T1301" i="1"/>
  <c r="AH1301" i="1" s="1"/>
  <c r="T1302" i="1"/>
  <c r="AH1302" i="1" s="1"/>
  <c r="T1303" i="1"/>
  <c r="AH1303" i="1" s="1"/>
  <c r="T1304" i="1"/>
  <c r="AH1304" i="1" s="1"/>
  <c r="T1305" i="1"/>
  <c r="AH1305" i="1" s="1"/>
  <c r="T1306" i="1"/>
  <c r="AH1306" i="1" s="1"/>
  <c r="T1307" i="1"/>
  <c r="AH1307" i="1" s="1"/>
  <c r="T1308" i="1"/>
  <c r="AH1308" i="1" s="1"/>
  <c r="T1309" i="1"/>
  <c r="AH1309" i="1" s="1"/>
  <c r="T1310" i="1"/>
  <c r="AH1310" i="1" s="1"/>
  <c r="T1311" i="1"/>
  <c r="AH1311" i="1" s="1"/>
  <c r="T1312" i="1"/>
  <c r="AH1312" i="1" s="1"/>
  <c r="T1313" i="1"/>
  <c r="AH1313" i="1" s="1"/>
  <c r="T1314" i="1"/>
  <c r="AH1314" i="1" s="1"/>
  <c r="T1315" i="1"/>
  <c r="AH1315" i="1" s="1"/>
  <c r="T1316" i="1"/>
  <c r="AH1316" i="1" s="1"/>
  <c r="T1317" i="1"/>
  <c r="AH1317" i="1" s="1"/>
  <c r="T1318" i="1"/>
  <c r="AH1318" i="1" s="1"/>
  <c r="T1319" i="1"/>
  <c r="AH1319" i="1" s="1"/>
  <c r="T1320" i="1"/>
  <c r="AH1320" i="1" s="1"/>
  <c r="T1321" i="1"/>
  <c r="AH1321" i="1" s="1"/>
  <c r="T1322" i="1"/>
  <c r="AH1322" i="1" s="1"/>
  <c r="T1323" i="1"/>
  <c r="AH1323" i="1" s="1"/>
  <c r="T1324" i="1"/>
  <c r="AH1324" i="1" s="1"/>
  <c r="T1325" i="1"/>
  <c r="AH1325" i="1" s="1"/>
  <c r="T1326" i="1"/>
  <c r="AH1326" i="1" s="1"/>
  <c r="T1327" i="1"/>
  <c r="AH1327" i="1" s="1"/>
  <c r="T1328" i="1"/>
  <c r="AH1328" i="1" s="1"/>
  <c r="T1329" i="1"/>
  <c r="AH1329" i="1" s="1"/>
  <c r="T1330" i="1"/>
  <c r="AH1330" i="1" s="1"/>
  <c r="T1331" i="1"/>
  <c r="AH1331" i="1" s="1"/>
  <c r="T1332" i="1"/>
  <c r="AH1332" i="1" s="1"/>
  <c r="T1333" i="1"/>
  <c r="AH1333" i="1" s="1"/>
  <c r="T1334" i="1"/>
  <c r="AH1334" i="1" s="1"/>
  <c r="T1335" i="1"/>
  <c r="AH1335" i="1" s="1"/>
  <c r="T1336" i="1"/>
  <c r="AH1336" i="1" s="1"/>
  <c r="T1337" i="1"/>
  <c r="AH1337" i="1" s="1"/>
  <c r="T1338" i="1"/>
  <c r="AH1338" i="1" s="1"/>
  <c r="T1339" i="1"/>
  <c r="AH1339" i="1" s="1"/>
  <c r="T1340" i="1"/>
  <c r="AH1340" i="1" s="1"/>
  <c r="T1341" i="1"/>
  <c r="AH1341" i="1" s="1"/>
  <c r="T1342" i="1"/>
  <c r="AH1342" i="1" s="1"/>
  <c r="T1343" i="1"/>
  <c r="AH1343" i="1" s="1"/>
  <c r="T1344" i="1"/>
  <c r="AH1344" i="1" s="1"/>
  <c r="T1345" i="1"/>
  <c r="AH1345" i="1" s="1"/>
  <c r="T1346" i="1"/>
  <c r="AH1346" i="1" s="1"/>
  <c r="T1347" i="1"/>
  <c r="AH1347" i="1" s="1"/>
  <c r="T1348" i="1"/>
  <c r="AH1348" i="1" s="1"/>
  <c r="T1349" i="1"/>
  <c r="AH1349" i="1" s="1"/>
  <c r="T1350" i="1"/>
  <c r="AH1350" i="1" s="1"/>
  <c r="T1351" i="1"/>
  <c r="AH1351" i="1" s="1"/>
  <c r="T1352" i="1"/>
  <c r="AH1352" i="1" s="1"/>
  <c r="T1353" i="1"/>
  <c r="AH1353" i="1" s="1"/>
  <c r="T1354" i="1"/>
  <c r="AH1354" i="1" s="1"/>
  <c r="T1355" i="1"/>
  <c r="AH1355" i="1" s="1"/>
  <c r="T1356" i="1"/>
  <c r="AH1356" i="1" s="1"/>
  <c r="T1357" i="1"/>
  <c r="AH1357" i="1" s="1"/>
  <c r="T1358" i="1"/>
  <c r="AH1358" i="1" s="1"/>
  <c r="T1359" i="1"/>
  <c r="AH1359" i="1" s="1"/>
  <c r="T1360" i="1"/>
  <c r="AH1360" i="1" s="1"/>
  <c r="T1361" i="1"/>
  <c r="AH1361" i="1" s="1"/>
  <c r="T1362" i="1"/>
  <c r="AH1362" i="1" s="1"/>
  <c r="T1363" i="1"/>
  <c r="AH1363" i="1" s="1"/>
  <c r="T1364" i="1"/>
  <c r="AH1364" i="1" s="1"/>
  <c r="T1365" i="1"/>
  <c r="AH1365" i="1" s="1"/>
  <c r="T1366" i="1"/>
  <c r="AH1366" i="1" s="1"/>
  <c r="T1367" i="1"/>
  <c r="AH1367" i="1" s="1"/>
  <c r="T1368" i="1"/>
  <c r="AH1368" i="1" s="1"/>
  <c r="T1369" i="1"/>
  <c r="AH1369" i="1" s="1"/>
  <c r="T1370" i="1"/>
  <c r="AH1370" i="1" s="1"/>
  <c r="T1371" i="1"/>
  <c r="AH1371" i="1" s="1"/>
  <c r="T1372" i="1"/>
  <c r="AH1372" i="1" s="1"/>
  <c r="T1373" i="1"/>
  <c r="AH1373" i="1" s="1"/>
  <c r="T1374" i="1"/>
  <c r="AH1374" i="1" s="1"/>
  <c r="T1375" i="1"/>
  <c r="AH1375" i="1" s="1"/>
  <c r="T1376" i="1"/>
  <c r="AH1376" i="1" s="1"/>
  <c r="T1377" i="1"/>
  <c r="AH1377" i="1" s="1"/>
  <c r="T1378" i="1"/>
  <c r="AH1378" i="1" s="1"/>
  <c r="T1379" i="1"/>
  <c r="AH1379" i="1" s="1"/>
  <c r="T1380" i="1"/>
  <c r="AH1380" i="1" s="1"/>
  <c r="T1381" i="1"/>
  <c r="AH1381" i="1" s="1"/>
  <c r="T1382" i="1"/>
  <c r="AH1382" i="1" s="1"/>
  <c r="T1383" i="1"/>
  <c r="AH1383" i="1" s="1"/>
  <c r="T1384" i="1"/>
  <c r="AH1384" i="1" s="1"/>
  <c r="T1385" i="1"/>
  <c r="AH1385" i="1" s="1"/>
  <c r="T1386" i="1"/>
  <c r="AH1386" i="1" s="1"/>
  <c r="T1387" i="1"/>
  <c r="AH1387" i="1" s="1"/>
  <c r="T1388" i="1"/>
  <c r="AH1388" i="1" s="1"/>
  <c r="T1389" i="1"/>
  <c r="AH1389" i="1" s="1"/>
  <c r="T1390" i="1"/>
  <c r="AH1390" i="1" s="1"/>
  <c r="T1391" i="1"/>
  <c r="AH1391" i="1" s="1"/>
  <c r="T1392" i="1"/>
  <c r="AH1392" i="1" s="1"/>
  <c r="T1393" i="1"/>
  <c r="AH1393" i="1" s="1"/>
  <c r="T1394" i="1"/>
  <c r="AH1394" i="1" s="1"/>
  <c r="T1395" i="1"/>
  <c r="AH1395" i="1" s="1"/>
  <c r="T1396" i="1"/>
  <c r="AH1396" i="1" s="1"/>
  <c r="T1397" i="1"/>
  <c r="AH1397" i="1" s="1"/>
  <c r="T1398" i="1"/>
  <c r="AH1398" i="1" s="1"/>
  <c r="T1399" i="1"/>
  <c r="AH1399" i="1" s="1"/>
  <c r="T1400" i="1"/>
  <c r="AH1400" i="1" s="1"/>
  <c r="T1401" i="1"/>
  <c r="AH1401" i="1" s="1"/>
  <c r="T1402" i="1"/>
  <c r="AH1402" i="1" s="1"/>
  <c r="T1403" i="1"/>
  <c r="AH1403" i="1" s="1"/>
  <c r="T1404" i="1"/>
  <c r="AH1404" i="1" s="1"/>
  <c r="T1405" i="1"/>
  <c r="AH1405" i="1" s="1"/>
  <c r="T1406" i="1"/>
  <c r="AH1406" i="1" s="1"/>
  <c r="T1407" i="1"/>
  <c r="AH1407" i="1" s="1"/>
  <c r="T1408" i="1"/>
  <c r="AH1408" i="1" s="1"/>
  <c r="T1409" i="1"/>
  <c r="AH1409" i="1" s="1"/>
  <c r="T1410" i="1"/>
  <c r="AH1410" i="1" s="1"/>
  <c r="T1411" i="1"/>
  <c r="AH1411" i="1" s="1"/>
  <c r="T1412" i="1"/>
  <c r="AH1412" i="1" s="1"/>
  <c r="T1413" i="1"/>
  <c r="AH1413" i="1" s="1"/>
  <c r="T1414" i="1"/>
  <c r="AH1414" i="1" s="1"/>
  <c r="T1415" i="1"/>
  <c r="AH1415" i="1" s="1"/>
  <c r="T1416" i="1"/>
  <c r="AH1416" i="1" s="1"/>
  <c r="T1417" i="1"/>
  <c r="AH1417" i="1" s="1"/>
  <c r="T1418" i="1"/>
  <c r="AH1418" i="1" s="1"/>
  <c r="T1419" i="1"/>
  <c r="AH1419" i="1" s="1"/>
  <c r="T1420" i="1"/>
  <c r="AH1420" i="1" s="1"/>
  <c r="T1421" i="1"/>
  <c r="AH1421" i="1" s="1"/>
  <c r="T1422" i="1"/>
  <c r="AH1422" i="1" s="1"/>
  <c r="T1423" i="1"/>
  <c r="AH1423" i="1" s="1"/>
  <c r="T1424" i="1"/>
  <c r="AH1424" i="1" s="1"/>
  <c r="T1425" i="1"/>
  <c r="AH1425" i="1" s="1"/>
  <c r="T1426" i="1"/>
  <c r="AH1426" i="1" s="1"/>
  <c r="T1427" i="1"/>
  <c r="AH1427" i="1" s="1"/>
  <c r="T1428" i="1"/>
  <c r="AH1428" i="1" s="1"/>
  <c r="T1429" i="1"/>
  <c r="AH1429" i="1" s="1"/>
  <c r="T1430" i="1"/>
  <c r="AH1430" i="1" s="1"/>
  <c r="T1431" i="1"/>
  <c r="AH1431" i="1" s="1"/>
  <c r="T1432" i="1"/>
  <c r="AH1432" i="1" s="1"/>
  <c r="T1433" i="1"/>
  <c r="AH1433" i="1" s="1"/>
  <c r="T1434" i="1"/>
  <c r="AH1434" i="1" s="1"/>
  <c r="T1435" i="1"/>
  <c r="AH1435" i="1" s="1"/>
  <c r="T1436" i="1"/>
  <c r="AH1436" i="1" s="1"/>
  <c r="T1437" i="1"/>
  <c r="AH1437" i="1" s="1"/>
  <c r="T1438" i="1"/>
  <c r="AH1438" i="1" s="1"/>
  <c r="T1439" i="1"/>
  <c r="AH1439" i="1" s="1"/>
  <c r="T1440" i="1"/>
  <c r="AH1440" i="1" s="1"/>
  <c r="T1441" i="1"/>
  <c r="AH1441" i="1" s="1"/>
  <c r="T1442" i="1"/>
  <c r="AH1442" i="1" s="1"/>
  <c r="T1443" i="1"/>
  <c r="AH1443" i="1" s="1"/>
  <c r="T1444" i="1"/>
  <c r="AH1444" i="1" s="1"/>
  <c r="T1445" i="1"/>
  <c r="AH1445" i="1" s="1"/>
  <c r="T1446" i="1"/>
  <c r="AH1446" i="1" s="1"/>
  <c r="T1447" i="1"/>
  <c r="AH1447" i="1" s="1"/>
  <c r="T1448" i="1"/>
  <c r="AH1448" i="1" s="1"/>
  <c r="T1449" i="1"/>
  <c r="AH1449" i="1" s="1"/>
  <c r="T1450" i="1"/>
  <c r="AH1450" i="1" s="1"/>
  <c r="T1451" i="1"/>
  <c r="AH1451" i="1" s="1"/>
  <c r="T1452" i="1"/>
  <c r="AH1452" i="1" s="1"/>
  <c r="T1453" i="1"/>
  <c r="AH1453" i="1" s="1"/>
  <c r="T1454" i="1"/>
  <c r="AH1454" i="1" s="1"/>
  <c r="T1455" i="1"/>
  <c r="AH1455" i="1" s="1"/>
  <c r="T1456" i="1"/>
  <c r="AH1456" i="1" s="1"/>
  <c r="T1457" i="1"/>
  <c r="AH1457" i="1" s="1"/>
  <c r="T1458" i="1"/>
  <c r="AH1458" i="1" s="1"/>
  <c r="T1459" i="1"/>
  <c r="AH1459" i="1" s="1"/>
  <c r="T1460" i="1"/>
  <c r="AH1460" i="1" s="1"/>
  <c r="T1461" i="1"/>
  <c r="AH1461" i="1" s="1"/>
  <c r="T1462" i="1"/>
  <c r="AH1462" i="1" s="1"/>
  <c r="T1463" i="1"/>
  <c r="AH1463" i="1" s="1"/>
  <c r="T1464" i="1"/>
  <c r="AH1464" i="1" s="1"/>
  <c r="T1465" i="1"/>
  <c r="AH1465" i="1" s="1"/>
  <c r="T1466" i="1"/>
  <c r="AH1466" i="1" s="1"/>
  <c r="T1467" i="1"/>
  <c r="AH1467" i="1" s="1"/>
  <c r="T1468" i="1"/>
  <c r="AH1468" i="1" s="1"/>
  <c r="T1469" i="1"/>
  <c r="AH1469" i="1" s="1"/>
  <c r="T1470" i="1"/>
  <c r="AH1470" i="1" s="1"/>
  <c r="T1471" i="1"/>
  <c r="AH1471" i="1" s="1"/>
  <c r="T1472" i="1"/>
  <c r="AH1472" i="1" s="1"/>
  <c r="T1473" i="1"/>
  <c r="AH1473" i="1" s="1"/>
  <c r="T1474" i="1"/>
  <c r="AH1474" i="1" s="1"/>
  <c r="T1475" i="1"/>
  <c r="AH1475" i="1" s="1"/>
  <c r="T1476" i="1"/>
  <c r="AH1476" i="1" s="1"/>
  <c r="T1477" i="1"/>
  <c r="AH1477" i="1" s="1"/>
  <c r="T1478" i="1"/>
  <c r="AH1478" i="1" s="1"/>
  <c r="T1479" i="1"/>
  <c r="AH1479" i="1" s="1"/>
  <c r="T1480" i="1"/>
  <c r="AH1480" i="1" s="1"/>
  <c r="T1481" i="1"/>
  <c r="AH1481" i="1" s="1"/>
  <c r="T1482" i="1"/>
  <c r="AH1482" i="1" s="1"/>
  <c r="T1483" i="1"/>
  <c r="AH1483" i="1" s="1"/>
  <c r="T1484" i="1"/>
  <c r="AH1484" i="1" s="1"/>
  <c r="T1485" i="1"/>
  <c r="AH1485" i="1" s="1"/>
  <c r="T1486" i="1"/>
  <c r="AH1486" i="1" s="1"/>
  <c r="T1487" i="1"/>
  <c r="AH1487" i="1" s="1"/>
  <c r="T1488" i="1"/>
  <c r="AH1488" i="1" s="1"/>
  <c r="T1489" i="1"/>
  <c r="AH1489" i="1" s="1"/>
  <c r="T1490" i="1"/>
  <c r="AH1490" i="1" s="1"/>
  <c r="T1491" i="1"/>
  <c r="AH1491" i="1" s="1"/>
  <c r="T1492" i="1"/>
  <c r="AH1492" i="1" s="1"/>
  <c r="T1493" i="1"/>
  <c r="AH1493" i="1" s="1"/>
  <c r="T1494" i="1"/>
  <c r="AH1494" i="1" s="1"/>
  <c r="T1495" i="1"/>
  <c r="AH1495" i="1" s="1"/>
  <c r="T1496" i="1"/>
  <c r="AH1496" i="1" s="1"/>
  <c r="T1497" i="1"/>
  <c r="AH1497" i="1" s="1"/>
  <c r="T1498" i="1"/>
  <c r="AH1498" i="1" s="1"/>
  <c r="T1499" i="1"/>
  <c r="AH1499" i="1" s="1"/>
  <c r="T1500" i="1"/>
  <c r="AH1500" i="1" s="1"/>
  <c r="T1501" i="1"/>
  <c r="AH1501" i="1" s="1"/>
  <c r="T1502" i="1"/>
  <c r="AH1502" i="1" s="1"/>
  <c r="T1503" i="1"/>
  <c r="AH1503" i="1" s="1"/>
  <c r="T1504" i="1"/>
  <c r="AH1504" i="1" s="1"/>
  <c r="T1505" i="1"/>
  <c r="AH1505" i="1" s="1"/>
  <c r="T1506" i="1"/>
  <c r="AH1506" i="1" s="1"/>
  <c r="T1507" i="1"/>
  <c r="AH1507" i="1" s="1"/>
  <c r="T1508" i="1"/>
  <c r="AH1508" i="1" s="1"/>
  <c r="T1509" i="1"/>
  <c r="AH1509" i="1" s="1"/>
  <c r="T1510" i="1"/>
  <c r="AH1510" i="1" s="1"/>
  <c r="T1511" i="1"/>
  <c r="AH1511" i="1" s="1"/>
  <c r="T1512" i="1"/>
  <c r="AH1512" i="1" s="1"/>
  <c r="T1513" i="1"/>
  <c r="AH1513" i="1" s="1"/>
  <c r="T1514" i="1"/>
  <c r="AH1514" i="1" s="1"/>
  <c r="T1515" i="1"/>
  <c r="AH1515" i="1" s="1"/>
  <c r="T1516" i="1"/>
  <c r="AH1516" i="1" s="1"/>
  <c r="T1517" i="1"/>
  <c r="AH1517" i="1" s="1"/>
  <c r="T1518" i="1"/>
  <c r="AH1518" i="1" s="1"/>
  <c r="T1519" i="1"/>
  <c r="AH1519" i="1" s="1"/>
  <c r="T1520" i="1"/>
  <c r="AH1520" i="1" s="1"/>
  <c r="T1521" i="1"/>
  <c r="AH1521" i="1" s="1"/>
  <c r="T1522" i="1"/>
  <c r="AH1522" i="1" s="1"/>
  <c r="T1523" i="1"/>
  <c r="AH1523" i="1" s="1"/>
  <c r="T1524" i="1"/>
  <c r="AH1524" i="1" s="1"/>
  <c r="T1525" i="1"/>
  <c r="AH1525" i="1" s="1"/>
  <c r="T1526" i="1"/>
  <c r="AH1526" i="1" s="1"/>
  <c r="T1527" i="1"/>
  <c r="AH1527" i="1" s="1"/>
  <c r="T1528" i="1"/>
  <c r="AH1528" i="1" s="1"/>
  <c r="T1529" i="1"/>
  <c r="AH1529" i="1" s="1"/>
  <c r="T1530" i="1"/>
  <c r="AH1530" i="1" s="1"/>
  <c r="T1531" i="1"/>
  <c r="AH1531" i="1" s="1"/>
  <c r="T1532" i="1"/>
  <c r="AH1532" i="1" s="1"/>
  <c r="T1533" i="1"/>
  <c r="AH1533" i="1" s="1"/>
  <c r="T1534" i="1"/>
  <c r="AH1534" i="1" s="1"/>
  <c r="T1535" i="1"/>
  <c r="AH1535" i="1" s="1"/>
  <c r="T1536" i="1"/>
  <c r="AH1536" i="1" s="1"/>
  <c r="T1537" i="1"/>
  <c r="AH1537" i="1" s="1"/>
  <c r="T1538" i="1"/>
  <c r="AH1538" i="1" s="1"/>
  <c r="T1539" i="1"/>
  <c r="AH1539" i="1" s="1"/>
  <c r="T1540" i="1"/>
  <c r="AH1540" i="1" s="1"/>
  <c r="T1541" i="1"/>
  <c r="AH1541" i="1" s="1"/>
  <c r="T1542" i="1"/>
  <c r="AH1542" i="1" s="1"/>
  <c r="T1543" i="1"/>
  <c r="AH1543" i="1" s="1"/>
  <c r="T1544" i="1"/>
  <c r="AH1544" i="1" s="1"/>
  <c r="T1545" i="1"/>
  <c r="AH1545" i="1" s="1"/>
  <c r="T1546" i="1"/>
  <c r="AH1546" i="1" s="1"/>
  <c r="T1547" i="1"/>
  <c r="AH1547" i="1" s="1"/>
  <c r="T1548" i="1"/>
  <c r="AH1548" i="1" s="1"/>
  <c r="T1549" i="1"/>
  <c r="AH1549" i="1" s="1"/>
  <c r="T1550" i="1"/>
  <c r="AH1550" i="1" s="1"/>
  <c r="T1551" i="1"/>
  <c r="AH1551" i="1" s="1"/>
  <c r="T1552" i="1"/>
  <c r="AH1552" i="1" s="1"/>
  <c r="T1553" i="1"/>
  <c r="AH1553" i="1" s="1"/>
  <c r="T1554" i="1"/>
  <c r="AH1554" i="1" s="1"/>
  <c r="T1555" i="1"/>
  <c r="AH1555" i="1" s="1"/>
  <c r="T1556" i="1"/>
  <c r="AH1556" i="1" s="1"/>
  <c r="T1557" i="1"/>
  <c r="AH1557" i="1" s="1"/>
  <c r="T1558" i="1"/>
  <c r="AH1558" i="1" s="1"/>
  <c r="T1559" i="1"/>
  <c r="AH1559" i="1" s="1"/>
  <c r="T1560" i="1"/>
  <c r="AH1560" i="1" s="1"/>
  <c r="T1561" i="1"/>
  <c r="AH1561" i="1" s="1"/>
  <c r="T1562" i="1"/>
  <c r="AH1562" i="1" s="1"/>
  <c r="T1563" i="1"/>
  <c r="AH1563" i="1" s="1"/>
  <c r="T1564" i="1"/>
  <c r="AH1564" i="1" s="1"/>
  <c r="T1565" i="1"/>
  <c r="AH1565" i="1" s="1"/>
  <c r="T1566" i="1"/>
  <c r="AH1566" i="1" s="1"/>
  <c r="T1567" i="1"/>
  <c r="AH1567" i="1" s="1"/>
  <c r="T1568" i="1"/>
  <c r="AH1568" i="1" s="1"/>
  <c r="T1569" i="1"/>
  <c r="AH1569" i="1" s="1"/>
  <c r="T1570" i="1"/>
  <c r="AH1570" i="1" s="1"/>
  <c r="T1571" i="1"/>
  <c r="AH1571" i="1" s="1"/>
  <c r="T1572" i="1"/>
  <c r="AH1572" i="1" s="1"/>
  <c r="T1573" i="1"/>
  <c r="AH1573" i="1" s="1"/>
  <c r="T1574" i="1"/>
  <c r="AH1574" i="1" s="1"/>
  <c r="T1575" i="1"/>
  <c r="AH1575" i="1" s="1"/>
  <c r="T1576" i="1"/>
  <c r="AH1576" i="1" s="1"/>
  <c r="T1577" i="1"/>
  <c r="AH1577" i="1" s="1"/>
  <c r="T1578" i="1"/>
  <c r="AH1578" i="1" s="1"/>
  <c r="T1579" i="1"/>
  <c r="AH1579" i="1" s="1"/>
  <c r="T1580" i="1"/>
  <c r="AH1580" i="1" s="1"/>
  <c r="T1581" i="1"/>
  <c r="AH1581" i="1" s="1"/>
  <c r="T1582" i="1"/>
  <c r="AH1582" i="1" s="1"/>
  <c r="T1583" i="1"/>
  <c r="AH1583" i="1" s="1"/>
  <c r="T1584" i="1"/>
  <c r="AH1584" i="1" s="1"/>
  <c r="T1585" i="1"/>
  <c r="AH1585" i="1" s="1"/>
  <c r="T1586" i="1"/>
  <c r="AH1586" i="1" s="1"/>
  <c r="T1587" i="1"/>
  <c r="AH1587" i="1" s="1"/>
  <c r="T1588" i="1"/>
  <c r="AH1588" i="1" s="1"/>
  <c r="T1589" i="1"/>
  <c r="AH1589" i="1" s="1"/>
  <c r="T1590" i="1"/>
  <c r="AH1590" i="1" s="1"/>
  <c r="T1591" i="1"/>
  <c r="AH1591" i="1" s="1"/>
  <c r="T1592" i="1"/>
  <c r="AH1592" i="1" s="1"/>
  <c r="T1593" i="1"/>
  <c r="AH1593" i="1" s="1"/>
  <c r="T1594" i="1"/>
  <c r="AH1594" i="1" s="1"/>
  <c r="T1595" i="1"/>
  <c r="AH1595" i="1" s="1"/>
  <c r="T1596" i="1"/>
  <c r="AH1596" i="1" s="1"/>
  <c r="T1597" i="1"/>
  <c r="AH1597" i="1" s="1"/>
  <c r="T1598" i="1"/>
  <c r="AH1598" i="1" s="1"/>
  <c r="T1599" i="1"/>
  <c r="AH1599" i="1" s="1"/>
  <c r="T1600" i="1"/>
  <c r="AH1600" i="1" s="1"/>
  <c r="T1601" i="1"/>
  <c r="AH1601" i="1" s="1"/>
  <c r="T1602" i="1"/>
  <c r="AH1602" i="1" s="1"/>
  <c r="T1603" i="1"/>
  <c r="AH1603" i="1" s="1"/>
  <c r="T1604" i="1"/>
  <c r="AH1604" i="1" s="1"/>
  <c r="T1605" i="1"/>
  <c r="AH1605" i="1" s="1"/>
  <c r="T1606" i="1"/>
  <c r="AH1606" i="1" s="1"/>
  <c r="T1607" i="1"/>
  <c r="AH1607" i="1" s="1"/>
  <c r="T1608" i="1"/>
  <c r="AH1608" i="1" s="1"/>
  <c r="T1609" i="1"/>
  <c r="AH1609" i="1" s="1"/>
  <c r="T1610" i="1"/>
  <c r="AH1610" i="1" s="1"/>
  <c r="T1611" i="1"/>
  <c r="AH1611" i="1" s="1"/>
  <c r="T1612" i="1"/>
  <c r="AH1612" i="1" s="1"/>
  <c r="T1613" i="1"/>
  <c r="AH1613" i="1" s="1"/>
  <c r="T1614" i="1"/>
  <c r="AH1614" i="1" s="1"/>
  <c r="T1615" i="1"/>
  <c r="AH1615" i="1" s="1"/>
  <c r="T1616" i="1"/>
  <c r="AH1616" i="1" s="1"/>
  <c r="T1617" i="1"/>
  <c r="AH1617" i="1" s="1"/>
  <c r="T1618" i="1"/>
  <c r="AH1618" i="1" s="1"/>
  <c r="T1619" i="1"/>
  <c r="AH1619" i="1" s="1"/>
  <c r="T1620" i="1"/>
  <c r="AH1620" i="1" s="1"/>
  <c r="T1621" i="1"/>
  <c r="AH1621" i="1" s="1"/>
  <c r="T1622" i="1"/>
  <c r="AH1622" i="1" s="1"/>
  <c r="T1623" i="1"/>
  <c r="AH1623" i="1" s="1"/>
  <c r="T1624" i="1"/>
  <c r="AH1624" i="1" s="1"/>
  <c r="T1625" i="1"/>
  <c r="AH1625" i="1" s="1"/>
  <c r="T1626" i="1"/>
  <c r="AH1626" i="1" s="1"/>
  <c r="T1627" i="1"/>
  <c r="AH1627" i="1" s="1"/>
  <c r="T1628" i="1"/>
  <c r="AH1628" i="1" s="1"/>
  <c r="T1629" i="1"/>
  <c r="AH1629" i="1" s="1"/>
  <c r="T1630" i="1"/>
  <c r="AH1630" i="1" s="1"/>
  <c r="T1631" i="1"/>
  <c r="AH1631" i="1" s="1"/>
  <c r="T1632" i="1"/>
  <c r="AH1632" i="1" s="1"/>
  <c r="T1633" i="1"/>
  <c r="AH1633" i="1" s="1"/>
  <c r="T1634" i="1"/>
  <c r="AH1634" i="1" s="1"/>
  <c r="T1635" i="1"/>
  <c r="AH1635" i="1" s="1"/>
  <c r="T1636" i="1"/>
  <c r="AH1636" i="1" s="1"/>
  <c r="T1637" i="1"/>
  <c r="AH1637" i="1" s="1"/>
  <c r="T1638" i="1"/>
  <c r="AH1638" i="1" s="1"/>
  <c r="T1639" i="1"/>
  <c r="AH1639" i="1" s="1"/>
  <c r="T1640" i="1"/>
  <c r="AH1640" i="1" s="1"/>
  <c r="T1641" i="1"/>
  <c r="AH1641" i="1" s="1"/>
  <c r="T1642" i="1"/>
  <c r="AH1642" i="1" s="1"/>
  <c r="T1643" i="1"/>
  <c r="AH1643" i="1" s="1"/>
  <c r="T1644" i="1"/>
  <c r="AH1644" i="1" s="1"/>
  <c r="T1645" i="1"/>
  <c r="AH1645" i="1" s="1"/>
  <c r="T1646" i="1"/>
  <c r="AH1646" i="1" s="1"/>
  <c r="T1647" i="1"/>
  <c r="AH1647" i="1" s="1"/>
  <c r="T1648" i="1"/>
  <c r="AH1648" i="1" s="1"/>
  <c r="T1649" i="1"/>
  <c r="AH1649" i="1" s="1"/>
  <c r="T1650" i="1"/>
  <c r="AH1650" i="1" s="1"/>
  <c r="T1651" i="1"/>
  <c r="AH1651" i="1" s="1"/>
  <c r="T1652" i="1"/>
  <c r="AH1652" i="1" s="1"/>
  <c r="T1653" i="1"/>
  <c r="AH1653" i="1" s="1"/>
  <c r="T1654" i="1"/>
  <c r="AH1654" i="1" s="1"/>
  <c r="T1655" i="1"/>
  <c r="AH1655" i="1" s="1"/>
  <c r="T1656" i="1"/>
  <c r="AH1656" i="1" s="1"/>
  <c r="T1657" i="1"/>
  <c r="AH1657" i="1" s="1"/>
  <c r="T1658" i="1"/>
  <c r="AH1658" i="1" s="1"/>
  <c r="T1659" i="1"/>
  <c r="AH1659" i="1" s="1"/>
  <c r="T1660" i="1"/>
  <c r="AH1660" i="1" s="1"/>
  <c r="T1661" i="1"/>
  <c r="AH1661" i="1" s="1"/>
  <c r="T1662" i="1"/>
  <c r="AH1662" i="1" s="1"/>
  <c r="T1663" i="1"/>
  <c r="AH1663" i="1" s="1"/>
  <c r="T1664" i="1"/>
  <c r="AH1664" i="1" s="1"/>
  <c r="T1665" i="1"/>
  <c r="AH1665" i="1" s="1"/>
  <c r="T1666" i="1"/>
  <c r="AH1666" i="1" s="1"/>
  <c r="T1667" i="1"/>
  <c r="AH1667" i="1" s="1"/>
  <c r="T1668" i="1"/>
  <c r="AH1668" i="1" s="1"/>
  <c r="T1669" i="1"/>
  <c r="AH1669" i="1" s="1"/>
  <c r="T1670" i="1"/>
  <c r="AH1670" i="1" s="1"/>
  <c r="T1671" i="1"/>
  <c r="AH1671" i="1" s="1"/>
  <c r="T1672" i="1"/>
  <c r="AH1672" i="1" s="1"/>
  <c r="T1673" i="1"/>
  <c r="AH1673" i="1" s="1"/>
  <c r="T1674" i="1"/>
  <c r="AH1674" i="1" s="1"/>
  <c r="T1675" i="1"/>
  <c r="AH1675" i="1" s="1"/>
  <c r="T1676" i="1"/>
  <c r="AH1676" i="1" s="1"/>
  <c r="T1677" i="1"/>
  <c r="AH1677" i="1" s="1"/>
  <c r="T1678" i="1"/>
  <c r="AH1678" i="1" s="1"/>
  <c r="T1679" i="1"/>
  <c r="AH1679" i="1" s="1"/>
  <c r="T1680" i="1"/>
  <c r="AH1680" i="1" s="1"/>
  <c r="T1681" i="1"/>
  <c r="AH1681" i="1" s="1"/>
  <c r="T1682" i="1"/>
  <c r="AH1682" i="1" s="1"/>
  <c r="T1683" i="1"/>
  <c r="AH1683" i="1" s="1"/>
  <c r="T1684" i="1"/>
  <c r="AH1684" i="1" s="1"/>
  <c r="T1685" i="1"/>
  <c r="AH1685" i="1" s="1"/>
  <c r="T1686" i="1"/>
  <c r="AH1686" i="1" s="1"/>
  <c r="T1687" i="1"/>
  <c r="AH1687" i="1" s="1"/>
  <c r="T1688" i="1"/>
  <c r="AH1688" i="1" s="1"/>
  <c r="T1689" i="1"/>
  <c r="AH1689" i="1" s="1"/>
  <c r="T1690" i="1"/>
  <c r="AH1690" i="1" s="1"/>
  <c r="T1691" i="1"/>
  <c r="AH1691" i="1" s="1"/>
  <c r="T1692" i="1"/>
  <c r="AH1692" i="1" s="1"/>
  <c r="T1693" i="1"/>
  <c r="AH1693" i="1" s="1"/>
  <c r="T1694" i="1"/>
  <c r="AH1694" i="1" s="1"/>
  <c r="T1695" i="1"/>
  <c r="AH1695" i="1" s="1"/>
  <c r="T1696" i="1"/>
  <c r="AH1696" i="1" s="1"/>
  <c r="T1697" i="1"/>
  <c r="AH1697" i="1" s="1"/>
  <c r="T1698" i="1"/>
  <c r="AH1698" i="1" s="1"/>
  <c r="T1699" i="1"/>
  <c r="AH1699" i="1" s="1"/>
  <c r="T1700" i="1"/>
  <c r="AH1700" i="1" s="1"/>
  <c r="T1701" i="1"/>
  <c r="AH1701" i="1" s="1"/>
  <c r="T1702" i="1"/>
  <c r="AH1702" i="1" s="1"/>
  <c r="T1703" i="1"/>
  <c r="AH1703" i="1" s="1"/>
  <c r="T1704" i="1"/>
  <c r="AH1704" i="1" s="1"/>
  <c r="T1705" i="1"/>
  <c r="AH1705" i="1" s="1"/>
  <c r="T1706" i="1"/>
  <c r="AH1706" i="1" s="1"/>
  <c r="T1707" i="1"/>
  <c r="AH1707" i="1" s="1"/>
  <c r="T1708" i="1"/>
  <c r="AH1708" i="1" s="1"/>
  <c r="T1709" i="1"/>
  <c r="AH1709" i="1" s="1"/>
  <c r="T1710" i="1"/>
  <c r="AH1710" i="1" s="1"/>
  <c r="T1711" i="1"/>
  <c r="AH1711" i="1" s="1"/>
  <c r="T1712" i="1"/>
  <c r="AH1712" i="1" s="1"/>
  <c r="T1713" i="1"/>
  <c r="AH1713" i="1" s="1"/>
  <c r="T1714" i="1"/>
  <c r="AH1714" i="1" s="1"/>
  <c r="T1715" i="1"/>
  <c r="AH1715" i="1" s="1"/>
  <c r="T1716" i="1"/>
  <c r="AH1716" i="1" s="1"/>
  <c r="T1717" i="1"/>
  <c r="AH1717" i="1" s="1"/>
  <c r="T1718" i="1"/>
  <c r="AH1718" i="1" s="1"/>
  <c r="T1719" i="1"/>
  <c r="AH1719" i="1" s="1"/>
  <c r="T1720" i="1"/>
  <c r="AH1720" i="1" s="1"/>
  <c r="T1721" i="1"/>
  <c r="AH1721" i="1" s="1"/>
  <c r="T1722" i="1"/>
  <c r="AH1722" i="1" s="1"/>
  <c r="T1723" i="1"/>
  <c r="AH1723" i="1" s="1"/>
  <c r="T1724" i="1"/>
  <c r="AH1724" i="1" s="1"/>
  <c r="T1725" i="1"/>
  <c r="AH1725" i="1" s="1"/>
  <c r="T1726" i="1"/>
  <c r="AH1726" i="1" s="1"/>
  <c r="T1727" i="1"/>
  <c r="AH1727" i="1" s="1"/>
  <c r="T1728" i="1"/>
  <c r="AH1728" i="1" s="1"/>
  <c r="T1729" i="1"/>
  <c r="AH1729" i="1" s="1"/>
  <c r="T1730" i="1"/>
  <c r="AH1730" i="1" s="1"/>
  <c r="T1731" i="1"/>
  <c r="AH1731" i="1" s="1"/>
  <c r="T1732" i="1"/>
  <c r="AH1732" i="1" s="1"/>
  <c r="T1733" i="1"/>
  <c r="AH1733" i="1" s="1"/>
  <c r="T1734" i="1"/>
  <c r="AH1734" i="1" s="1"/>
  <c r="T1735" i="1"/>
  <c r="AH1735" i="1" s="1"/>
  <c r="T1736" i="1"/>
  <c r="AH1736" i="1" s="1"/>
  <c r="T1737" i="1"/>
  <c r="AH1737" i="1" s="1"/>
  <c r="T1738" i="1"/>
  <c r="AH1738" i="1" s="1"/>
  <c r="T1739" i="1"/>
  <c r="AH1739" i="1" s="1"/>
  <c r="T1740" i="1"/>
  <c r="AH1740" i="1" s="1"/>
  <c r="T1741" i="1"/>
  <c r="AH1741" i="1" s="1"/>
  <c r="T1742" i="1"/>
  <c r="AH1742" i="1" s="1"/>
  <c r="T1743" i="1"/>
  <c r="AH1743" i="1" s="1"/>
  <c r="T1744" i="1"/>
  <c r="AH1744" i="1" s="1"/>
  <c r="T1745" i="1"/>
  <c r="AH1745" i="1" s="1"/>
  <c r="T1746" i="1"/>
  <c r="AH1746" i="1" s="1"/>
  <c r="T1747" i="1"/>
  <c r="AH1747" i="1" s="1"/>
  <c r="T1748" i="1"/>
  <c r="AH1748" i="1" s="1"/>
  <c r="T1749" i="1"/>
  <c r="AH1749" i="1" s="1"/>
  <c r="T1750" i="1"/>
  <c r="AH1750" i="1" s="1"/>
  <c r="T1751" i="1"/>
  <c r="AH1751" i="1" s="1"/>
  <c r="T1752" i="1"/>
  <c r="AH1752" i="1" s="1"/>
  <c r="T1753" i="1"/>
  <c r="AH1753" i="1" s="1"/>
  <c r="T1754" i="1"/>
  <c r="AH1754" i="1" s="1"/>
  <c r="T1755" i="1"/>
  <c r="AH1755" i="1" s="1"/>
  <c r="T1756" i="1"/>
  <c r="AH1756" i="1" s="1"/>
  <c r="T1757" i="1"/>
  <c r="AH1757" i="1" s="1"/>
  <c r="T1758" i="1"/>
  <c r="AH1758" i="1" s="1"/>
  <c r="T1759" i="1"/>
  <c r="AH1759" i="1" s="1"/>
  <c r="T1760" i="1"/>
  <c r="AH1760" i="1" s="1"/>
  <c r="T1761" i="1"/>
  <c r="AH1761" i="1" s="1"/>
  <c r="T1762" i="1"/>
  <c r="AH1762" i="1" s="1"/>
  <c r="T1763" i="1"/>
  <c r="AH1763" i="1" s="1"/>
  <c r="T1764" i="1"/>
  <c r="AH1764" i="1" s="1"/>
  <c r="T1765" i="1"/>
  <c r="AH1765" i="1" s="1"/>
  <c r="T1766" i="1"/>
  <c r="AH1766" i="1" s="1"/>
  <c r="T1767" i="1"/>
  <c r="AH1767" i="1" s="1"/>
  <c r="T1768" i="1"/>
  <c r="AH1768" i="1" s="1"/>
  <c r="T1769" i="1"/>
  <c r="AH1769" i="1" s="1"/>
  <c r="T1770" i="1"/>
  <c r="AH1770" i="1" s="1"/>
  <c r="T1771" i="1"/>
  <c r="AH1771" i="1" s="1"/>
  <c r="T1772" i="1"/>
  <c r="AH1772" i="1" s="1"/>
  <c r="T1773" i="1"/>
  <c r="AH1773" i="1" s="1"/>
  <c r="T1774" i="1"/>
  <c r="AH1774" i="1" s="1"/>
  <c r="T1775" i="1"/>
  <c r="AH1775" i="1" s="1"/>
  <c r="T1776" i="1"/>
  <c r="AH1776" i="1" s="1"/>
  <c r="T1777" i="1"/>
  <c r="AH1777" i="1" s="1"/>
  <c r="T1778" i="1"/>
  <c r="AH1778" i="1" s="1"/>
  <c r="T1779" i="1"/>
  <c r="AH1779" i="1" s="1"/>
  <c r="T1780" i="1"/>
  <c r="AH1780" i="1" s="1"/>
  <c r="T1781" i="1"/>
  <c r="AH1781" i="1" s="1"/>
  <c r="T1782" i="1"/>
  <c r="AH1782" i="1" s="1"/>
  <c r="T1783" i="1"/>
  <c r="AH1783" i="1" s="1"/>
  <c r="T1784" i="1"/>
  <c r="AH1784" i="1" s="1"/>
  <c r="T1785" i="1"/>
  <c r="AH1785" i="1" s="1"/>
  <c r="T1786" i="1"/>
  <c r="AH1786" i="1" s="1"/>
  <c r="T1787" i="1"/>
  <c r="AH1787" i="1" s="1"/>
  <c r="T1788" i="1"/>
  <c r="AH1788" i="1" s="1"/>
  <c r="T1789" i="1"/>
  <c r="AH1789" i="1" s="1"/>
  <c r="T1790" i="1"/>
  <c r="AH1790" i="1" s="1"/>
  <c r="T1791" i="1"/>
  <c r="AH1791" i="1" s="1"/>
  <c r="T1792" i="1"/>
  <c r="AH1792" i="1" s="1"/>
  <c r="T1793" i="1"/>
  <c r="AH1793" i="1" s="1"/>
  <c r="T1794" i="1"/>
  <c r="AH1794" i="1" s="1"/>
  <c r="T1795" i="1"/>
  <c r="AH1795" i="1" s="1"/>
  <c r="T1796" i="1"/>
  <c r="AH1796" i="1" s="1"/>
  <c r="T1797" i="1"/>
  <c r="AH1797" i="1" s="1"/>
  <c r="T1798" i="1"/>
  <c r="AH1798" i="1" s="1"/>
  <c r="T1799" i="1"/>
  <c r="AH1799" i="1" s="1"/>
  <c r="T1800" i="1"/>
  <c r="AH1800" i="1" s="1"/>
  <c r="T1801" i="1"/>
  <c r="AH1801" i="1" s="1"/>
  <c r="T1802" i="1"/>
  <c r="AH1802" i="1" s="1"/>
  <c r="T1803" i="1"/>
  <c r="AH1803" i="1" s="1"/>
  <c r="T1804" i="1"/>
  <c r="AH1804" i="1" s="1"/>
  <c r="T1805" i="1"/>
  <c r="AH1805" i="1" s="1"/>
  <c r="T1806" i="1"/>
  <c r="AH1806" i="1" s="1"/>
  <c r="T1807" i="1"/>
  <c r="AH1807" i="1" s="1"/>
  <c r="T1808" i="1"/>
  <c r="AH1808" i="1" s="1"/>
  <c r="T1809" i="1"/>
  <c r="AH1809" i="1" s="1"/>
  <c r="T1810" i="1"/>
  <c r="AH1810" i="1" s="1"/>
  <c r="T1811" i="1"/>
  <c r="AH1811" i="1" s="1"/>
  <c r="T1812" i="1"/>
  <c r="AH1812" i="1" s="1"/>
  <c r="T1813" i="1"/>
  <c r="AH1813" i="1" s="1"/>
  <c r="T1814" i="1"/>
  <c r="AH1814" i="1" s="1"/>
  <c r="T1815" i="1"/>
  <c r="AH1815" i="1" s="1"/>
  <c r="T1816" i="1"/>
  <c r="AH1816" i="1" s="1"/>
  <c r="T1817" i="1"/>
  <c r="AH1817" i="1" s="1"/>
  <c r="T1818" i="1"/>
  <c r="AH1818" i="1" s="1"/>
  <c r="T1819" i="1"/>
  <c r="AH1819" i="1" s="1"/>
  <c r="T1820" i="1"/>
  <c r="AH1820" i="1" s="1"/>
  <c r="T1821" i="1"/>
  <c r="AH1821" i="1" s="1"/>
  <c r="T1822" i="1"/>
  <c r="AH1822" i="1" s="1"/>
  <c r="T1823" i="1"/>
  <c r="AH1823" i="1" s="1"/>
  <c r="T1824" i="1"/>
  <c r="AH1824" i="1" s="1"/>
  <c r="T1825" i="1"/>
  <c r="AH1825" i="1" s="1"/>
  <c r="T1826" i="1"/>
  <c r="AH1826" i="1" s="1"/>
  <c r="T1827" i="1"/>
  <c r="AH1827" i="1" s="1"/>
  <c r="T1828" i="1"/>
  <c r="AH1828" i="1" s="1"/>
  <c r="T1829" i="1"/>
  <c r="AH1829" i="1" s="1"/>
  <c r="T1830" i="1"/>
  <c r="AH1830" i="1" s="1"/>
  <c r="T1831" i="1"/>
  <c r="AH1831" i="1" s="1"/>
  <c r="T1832" i="1"/>
  <c r="AH1832" i="1" s="1"/>
  <c r="T1833" i="1"/>
  <c r="AH1833" i="1" s="1"/>
  <c r="T1834" i="1"/>
  <c r="AH1834" i="1" s="1"/>
  <c r="T1835" i="1"/>
  <c r="AH1835" i="1" s="1"/>
  <c r="T1836" i="1"/>
  <c r="AH1836" i="1" s="1"/>
  <c r="T1837" i="1"/>
  <c r="AH1837" i="1" s="1"/>
  <c r="T1838" i="1"/>
  <c r="AH1838" i="1" s="1"/>
  <c r="T1839" i="1"/>
  <c r="AH1839" i="1" s="1"/>
  <c r="T1840" i="1"/>
  <c r="AH1840" i="1" s="1"/>
  <c r="T1841" i="1"/>
  <c r="AH1841" i="1" s="1"/>
  <c r="T1842" i="1"/>
  <c r="AH1842" i="1" s="1"/>
  <c r="T1843" i="1"/>
  <c r="AH1843" i="1" s="1"/>
  <c r="T1844" i="1"/>
  <c r="AH1844" i="1" s="1"/>
  <c r="T1845" i="1"/>
  <c r="AH1845" i="1" s="1"/>
  <c r="T1846" i="1"/>
  <c r="AH1846" i="1" s="1"/>
  <c r="T1847" i="1"/>
  <c r="AH1847" i="1" s="1"/>
  <c r="T1848" i="1"/>
  <c r="AH1848" i="1" s="1"/>
  <c r="T1849" i="1"/>
  <c r="AH1849" i="1" s="1"/>
  <c r="T1850" i="1"/>
  <c r="AH1850" i="1" s="1"/>
  <c r="T1851" i="1"/>
  <c r="AH1851" i="1" s="1"/>
  <c r="T1852" i="1"/>
  <c r="AH1852" i="1" s="1"/>
  <c r="T1853" i="1"/>
  <c r="AH1853" i="1" s="1"/>
  <c r="T1854" i="1"/>
  <c r="AH1854" i="1" s="1"/>
  <c r="T1855" i="1"/>
  <c r="AH1855" i="1" s="1"/>
  <c r="T1856" i="1"/>
  <c r="AH1856" i="1" s="1"/>
  <c r="T1857" i="1"/>
  <c r="AH1857" i="1" s="1"/>
  <c r="T1858" i="1"/>
  <c r="AH1858" i="1" s="1"/>
  <c r="T1859" i="1"/>
  <c r="AH1859" i="1" s="1"/>
  <c r="T1860" i="1"/>
  <c r="AH1860" i="1" s="1"/>
  <c r="T1861" i="1"/>
  <c r="AH1861" i="1" s="1"/>
  <c r="T1862" i="1"/>
  <c r="AH1862" i="1" s="1"/>
  <c r="T1863" i="1"/>
  <c r="AH1863" i="1" s="1"/>
  <c r="T1864" i="1"/>
  <c r="AH1864" i="1" s="1"/>
  <c r="T1865" i="1"/>
  <c r="AH1865" i="1" s="1"/>
  <c r="T1866" i="1"/>
  <c r="AH1866" i="1" s="1"/>
  <c r="T1867" i="1"/>
  <c r="AH1867" i="1" s="1"/>
  <c r="T1868" i="1"/>
  <c r="AH1868" i="1" s="1"/>
  <c r="T1869" i="1"/>
  <c r="AH1869" i="1" s="1"/>
  <c r="T1870" i="1"/>
  <c r="AH1870" i="1" s="1"/>
  <c r="T1871" i="1"/>
  <c r="AH1871" i="1" s="1"/>
  <c r="T1872" i="1"/>
  <c r="AH1872" i="1" s="1"/>
  <c r="T1873" i="1"/>
  <c r="AH1873" i="1" s="1"/>
  <c r="T1874" i="1"/>
  <c r="AH1874" i="1" s="1"/>
  <c r="T1875" i="1"/>
  <c r="AH1875" i="1" s="1"/>
  <c r="T1876" i="1"/>
  <c r="AH1876" i="1" s="1"/>
  <c r="T1877" i="1"/>
  <c r="AH1877" i="1" s="1"/>
  <c r="T1878" i="1"/>
  <c r="AH1878" i="1" s="1"/>
  <c r="T1879" i="1"/>
  <c r="AH1879" i="1" s="1"/>
  <c r="T1880" i="1"/>
  <c r="AH1880" i="1" s="1"/>
  <c r="T1881" i="1"/>
  <c r="AH1881" i="1" s="1"/>
  <c r="T1882" i="1"/>
  <c r="AH1882" i="1" s="1"/>
  <c r="T1883" i="1"/>
  <c r="AH1883" i="1" s="1"/>
  <c r="T1884" i="1"/>
  <c r="AH1884" i="1" s="1"/>
  <c r="T1885" i="1"/>
  <c r="AH1885" i="1" s="1"/>
  <c r="T1886" i="1"/>
  <c r="AH1886" i="1" s="1"/>
  <c r="T1887" i="1"/>
  <c r="AH1887" i="1" s="1"/>
  <c r="T1888" i="1"/>
  <c r="AH1888" i="1" s="1"/>
  <c r="T1889" i="1"/>
  <c r="AH1889" i="1" s="1"/>
  <c r="T1890" i="1"/>
  <c r="AH1890" i="1" s="1"/>
  <c r="T1891" i="1"/>
  <c r="AH1891" i="1" s="1"/>
  <c r="T1892" i="1"/>
  <c r="AH1892" i="1" s="1"/>
  <c r="T1893" i="1"/>
  <c r="AH1893" i="1" s="1"/>
  <c r="T1894" i="1"/>
  <c r="AH1894" i="1" s="1"/>
  <c r="T1895" i="1"/>
  <c r="AH1895" i="1" s="1"/>
  <c r="T1896" i="1"/>
  <c r="AH1896" i="1" s="1"/>
  <c r="T1897" i="1"/>
  <c r="AH1897" i="1" s="1"/>
  <c r="T1898" i="1"/>
  <c r="AH1898" i="1" s="1"/>
  <c r="T1899" i="1"/>
  <c r="AH1899" i="1" s="1"/>
  <c r="T1900" i="1"/>
  <c r="AH1900" i="1" s="1"/>
  <c r="T1901" i="1"/>
  <c r="AH1901" i="1" s="1"/>
  <c r="T1902" i="1"/>
  <c r="AH1902" i="1" s="1"/>
  <c r="T1903" i="1"/>
  <c r="AH1903" i="1" s="1"/>
  <c r="T1904" i="1"/>
  <c r="AH1904" i="1" s="1"/>
  <c r="T1905" i="1"/>
  <c r="AH1905" i="1" s="1"/>
  <c r="T1906" i="1"/>
  <c r="AH1906" i="1" s="1"/>
  <c r="T1907" i="1"/>
  <c r="AH1907" i="1" s="1"/>
  <c r="T1908" i="1"/>
  <c r="AH1908" i="1" s="1"/>
  <c r="T1909" i="1"/>
  <c r="AH1909" i="1" s="1"/>
  <c r="T1910" i="1"/>
  <c r="AH1910" i="1" s="1"/>
  <c r="T1911" i="1"/>
  <c r="AH1911" i="1" s="1"/>
  <c r="T1912" i="1"/>
  <c r="AH1912" i="1" s="1"/>
  <c r="T1913" i="1"/>
  <c r="AH1913" i="1" s="1"/>
  <c r="T1914" i="1"/>
  <c r="AH1914" i="1" s="1"/>
  <c r="T1915" i="1"/>
  <c r="AH1915" i="1" s="1"/>
  <c r="T1916" i="1"/>
  <c r="AH1916" i="1" s="1"/>
  <c r="T1917" i="1"/>
  <c r="AH1917" i="1" s="1"/>
  <c r="T1918" i="1"/>
  <c r="AH1918" i="1" s="1"/>
  <c r="T1919" i="1"/>
  <c r="AH1919" i="1" s="1"/>
  <c r="T1920" i="1"/>
  <c r="AH1920" i="1" s="1"/>
  <c r="T1921" i="1"/>
  <c r="AH1921" i="1" s="1"/>
  <c r="T1922" i="1"/>
  <c r="AH1922" i="1" s="1"/>
  <c r="T1923" i="1"/>
  <c r="AH1923" i="1" s="1"/>
  <c r="T1924" i="1"/>
  <c r="AH1924" i="1" s="1"/>
  <c r="T1925" i="1"/>
  <c r="AH1925" i="1" s="1"/>
  <c r="T1926" i="1"/>
  <c r="AH1926" i="1" s="1"/>
  <c r="T1927" i="1"/>
  <c r="AH1927" i="1" s="1"/>
  <c r="T1928" i="1"/>
  <c r="AH1928" i="1" s="1"/>
  <c r="T1929" i="1"/>
  <c r="AH1929" i="1" s="1"/>
  <c r="T1930" i="1"/>
  <c r="AH1930" i="1" s="1"/>
  <c r="T1931" i="1"/>
  <c r="AH1931" i="1" s="1"/>
  <c r="T1932" i="1"/>
  <c r="AH1932" i="1" s="1"/>
  <c r="T1933" i="1"/>
  <c r="AH1933" i="1" s="1"/>
  <c r="T1934" i="1"/>
  <c r="AH1934" i="1" s="1"/>
  <c r="T1935" i="1"/>
  <c r="AH1935" i="1" s="1"/>
  <c r="T1936" i="1"/>
  <c r="AH1936" i="1" s="1"/>
  <c r="T1937" i="1"/>
  <c r="AH1937" i="1" s="1"/>
  <c r="T1938" i="1"/>
  <c r="AH1938" i="1" s="1"/>
  <c r="T1939" i="1"/>
  <c r="AH1939" i="1" s="1"/>
  <c r="T1940" i="1"/>
  <c r="AH1940" i="1" s="1"/>
  <c r="T1941" i="1"/>
  <c r="AH1941" i="1" s="1"/>
  <c r="T1942" i="1"/>
  <c r="AH1942" i="1" s="1"/>
  <c r="T1943" i="1"/>
  <c r="AH1943" i="1" s="1"/>
  <c r="T1944" i="1"/>
  <c r="AH1944" i="1" s="1"/>
  <c r="T1945" i="1"/>
  <c r="AH1945" i="1" s="1"/>
  <c r="T1946" i="1"/>
  <c r="AH1946" i="1" s="1"/>
  <c r="T1947" i="1"/>
  <c r="AH1947" i="1" s="1"/>
  <c r="T1948" i="1"/>
  <c r="AH1948" i="1" s="1"/>
  <c r="T1949" i="1"/>
  <c r="AH1949" i="1" s="1"/>
  <c r="T1950" i="1"/>
  <c r="AH1950" i="1" s="1"/>
  <c r="T1951" i="1"/>
  <c r="AH1951" i="1" s="1"/>
  <c r="T1952" i="1"/>
  <c r="AH1952" i="1" s="1"/>
  <c r="T1953" i="1"/>
  <c r="AH1953" i="1" s="1"/>
  <c r="T1954" i="1"/>
  <c r="AH1954" i="1" s="1"/>
  <c r="T1955" i="1"/>
  <c r="AH1955" i="1" s="1"/>
  <c r="T1956" i="1"/>
  <c r="AH1956" i="1" s="1"/>
  <c r="T1957" i="1"/>
  <c r="AH1957" i="1" s="1"/>
  <c r="T1958" i="1"/>
  <c r="AH1958" i="1" s="1"/>
  <c r="T1959" i="1"/>
  <c r="AH1959" i="1" s="1"/>
  <c r="T1960" i="1"/>
  <c r="AH1960" i="1" s="1"/>
  <c r="T1961" i="1"/>
  <c r="AH1961" i="1" s="1"/>
  <c r="T1962" i="1"/>
  <c r="AH1962" i="1" s="1"/>
  <c r="T1963" i="1"/>
  <c r="AH1963" i="1" s="1"/>
  <c r="T1964" i="1"/>
  <c r="AH1964" i="1" s="1"/>
  <c r="T1965" i="1"/>
  <c r="AH1965" i="1" s="1"/>
  <c r="T1966" i="1"/>
  <c r="AH1966" i="1" s="1"/>
  <c r="T1967" i="1"/>
  <c r="AH1967" i="1" s="1"/>
  <c r="T1968" i="1"/>
  <c r="AH1968" i="1" s="1"/>
  <c r="T1969" i="1"/>
  <c r="AH1969" i="1" s="1"/>
  <c r="T1970" i="1"/>
  <c r="AH1970" i="1" s="1"/>
  <c r="T1971" i="1"/>
  <c r="AH1971" i="1" s="1"/>
  <c r="T1972" i="1"/>
  <c r="AH1972" i="1" s="1"/>
  <c r="T1973" i="1"/>
  <c r="AH1973" i="1" s="1"/>
  <c r="T1974" i="1"/>
  <c r="AH1974" i="1" s="1"/>
  <c r="T1975" i="1"/>
  <c r="AH1975" i="1" s="1"/>
  <c r="T1976" i="1"/>
  <c r="AH1976" i="1" s="1"/>
  <c r="T1977" i="1"/>
  <c r="AH1977" i="1" s="1"/>
  <c r="T1978" i="1"/>
  <c r="AH1978" i="1" s="1"/>
  <c r="T1979" i="1"/>
  <c r="AH1979" i="1" s="1"/>
  <c r="T1980" i="1"/>
  <c r="AH1980" i="1" s="1"/>
  <c r="T1981" i="1"/>
  <c r="AH1981" i="1" s="1"/>
  <c r="T1982" i="1"/>
  <c r="AH1982" i="1" s="1"/>
  <c r="T1983" i="1"/>
  <c r="AH1983" i="1" s="1"/>
  <c r="T1984" i="1"/>
  <c r="AH1984" i="1" s="1"/>
  <c r="T1985" i="1"/>
  <c r="AH1985" i="1" s="1"/>
  <c r="T1986" i="1"/>
  <c r="AH1986" i="1" s="1"/>
  <c r="T1987" i="1"/>
  <c r="AH1987" i="1" s="1"/>
  <c r="T1988" i="1"/>
  <c r="AH1988" i="1" s="1"/>
  <c r="T1989" i="1"/>
  <c r="AH1989" i="1" s="1"/>
  <c r="T1990" i="1"/>
  <c r="AH1990" i="1" s="1"/>
  <c r="T1991" i="1"/>
  <c r="AH1991" i="1" s="1"/>
  <c r="T1992" i="1"/>
  <c r="AH1992" i="1" s="1"/>
  <c r="T1993" i="1"/>
  <c r="AH1993" i="1" s="1"/>
  <c r="T1994" i="1"/>
  <c r="AH1994" i="1" s="1"/>
  <c r="T1995" i="1"/>
  <c r="AH1995" i="1" s="1"/>
  <c r="T1996" i="1"/>
  <c r="AH1996" i="1" s="1"/>
  <c r="T1997" i="1"/>
  <c r="AH1997" i="1" s="1"/>
  <c r="T1998" i="1"/>
  <c r="AH1998" i="1" s="1"/>
  <c r="T1999" i="1"/>
  <c r="AH1999" i="1" s="1"/>
  <c r="T2000" i="1"/>
  <c r="AH2000" i="1" s="1"/>
  <c r="T2001" i="1"/>
  <c r="AH2001" i="1" s="1"/>
  <c r="T2002" i="1"/>
  <c r="AH2002" i="1" s="1"/>
  <c r="T2003" i="1"/>
  <c r="AH2003" i="1" s="1"/>
  <c r="T2004" i="1"/>
  <c r="AH2004" i="1" s="1"/>
  <c r="T2005" i="1"/>
  <c r="AH2005" i="1" s="1"/>
  <c r="T2006" i="1"/>
  <c r="AH2006" i="1" s="1"/>
  <c r="T2007" i="1"/>
  <c r="AH2007" i="1" s="1"/>
  <c r="T2008" i="1"/>
  <c r="AH2008" i="1" s="1"/>
  <c r="T2009" i="1"/>
  <c r="AH2009" i="1" s="1"/>
  <c r="T2010" i="1"/>
  <c r="AH2010" i="1" s="1"/>
  <c r="T2011" i="1"/>
  <c r="AH2011" i="1" s="1"/>
  <c r="T2012" i="1"/>
  <c r="AH2012" i="1" s="1"/>
  <c r="T2013" i="1"/>
  <c r="AH2013" i="1" s="1"/>
  <c r="T2014" i="1"/>
  <c r="AH2014" i="1" s="1"/>
  <c r="T2015" i="1"/>
  <c r="AH2015" i="1" s="1"/>
  <c r="T2016" i="1"/>
  <c r="AH2016" i="1" s="1"/>
  <c r="T2017" i="1"/>
  <c r="AH2017" i="1" s="1"/>
  <c r="T2018" i="1"/>
  <c r="AH2018" i="1" s="1"/>
  <c r="T2019" i="1"/>
  <c r="AH2019" i="1" s="1"/>
  <c r="T2020" i="1"/>
  <c r="AH2020" i="1" s="1"/>
  <c r="T2021" i="1"/>
  <c r="AH2021" i="1" s="1"/>
  <c r="T2022" i="1"/>
  <c r="AH2022" i="1" s="1"/>
  <c r="T2023" i="1"/>
  <c r="AH2023" i="1" s="1"/>
  <c r="T2024" i="1"/>
  <c r="AH2024" i="1" s="1"/>
  <c r="T2025" i="1"/>
  <c r="AH2025" i="1" s="1"/>
  <c r="T2026" i="1"/>
  <c r="AH2026" i="1" s="1"/>
  <c r="T2027" i="1"/>
  <c r="AH2027" i="1" s="1"/>
  <c r="T2028" i="1"/>
  <c r="AH2028" i="1" s="1"/>
  <c r="T2029" i="1"/>
  <c r="AH2029" i="1" s="1"/>
  <c r="T2030" i="1"/>
  <c r="AH2030" i="1" s="1"/>
  <c r="T2031" i="1"/>
  <c r="AH2031" i="1" s="1"/>
  <c r="T2032" i="1"/>
  <c r="AH2032" i="1" s="1"/>
  <c r="T2033" i="1"/>
  <c r="AH2033" i="1" s="1"/>
  <c r="T2034" i="1"/>
  <c r="AH2034" i="1" s="1"/>
  <c r="T2035" i="1"/>
  <c r="AH2035" i="1" s="1"/>
  <c r="T2036" i="1"/>
  <c r="AH2036" i="1" s="1"/>
  <c r="T2037" i="1"/>
  <c r="AH2037" i="1" s="1"/>
  <c r="T2038" i="1"/>
  <c r="AH2038" i="1" s="1"/>
  <c r="T2039" i="1"/>
  <c r="AH2039" i="1" s="1"/>
  <c r="T2040" i="1"/>
  <c r="AH2040" i="1" s="1"/>
  <c r="T2041" i="1"/>
  <c r="AH2041" i="1" s="1"/>
  <c r="T2042" i="1"/>
  <c r="AH2042" i="1" s="1"/>
  <c r="T2043" i="1"/>
  <c r="AH2043" i="1" s="1"/>
  <c r="T2044" i="1"/>
  <c r="AH2044" i="1" s="1"/>
  <c r="T2045" i="1"/>
  <c r="AH2045" i="1" s="1"/>
  <c r="T2046" i="1"/>
  <c r="AH2046" i="1" s="1"/>
  <c r="T2047" i="1"/>
  <c r="AH2047" i="1" s="1"/>
  <c r="T2048" i="1"/>
  <c r="AH2048" i="1" s="1"/>
  <c r="T2049" i="1"/>
  <c r="AH2049" i="1" s="1"/>
  <c r="T2050" i="1"/>
  <c r="AH2050" i="1" s="1"/>
  <c r="T2051" i="1"/>
  <c r="AH2051" i="1" s="1"/>
  <c r="T2052" i="1"/>
  <c r="AH2052" i="1" s="1"/>
  <c r="T2053" i="1"/>
  <c r="AH2053" i="1" s="1"/>
  <c r="T2054" i="1"/>
  <c r="AH2054" i="1" s="1"/>
  <c r="T2055" i="1"/>
  <c r="AH2055" i="1" s="1"/>
  <c r="T2056" i="1"/>
  <c r="AH2056" i="1" s="1"/>
  <c r="T2057" i="1"/>
  <c r="AH2057" i="1" s="1"/>
  <c r="T2058" i="1"/>
  <c r="AH2058" i="1" s="1"/>
  <c r="T2059" i="1"/>
  <c r="AH2059" i="1" s="1"/>
  <c r="T2060" i="1"/>
  <c r="AH2060" i="1" s="1"/>
  <c r="T2061" i="1"/>
  <c r="AH2061" i="1" s="1"/>
  <c r="T2062" i="1"/>
  <c r="AH2062" i="1" s="1"/>
  <c r="T2063" i="1"/>
  <c r="AH2063" i="1" s="1"/>
  <c r="T2064" i="1"/>
  <c r="AH2064" i="1" s="1"/>
  <c r="T2065" i="1"/>
  <c r="AH2065" i="1" s="1"/>
  <c r="T2066" i="1"/>
  <c r="AH2066" i="1" s="1"/>
  <c r="T2067" i="1"/>
  <c r="AH2067" i="1" s="1"/>
  <c r="T2068" i="1"/>
  <c r="AH2068" i="1" s="1"/>
  <c r="T2069" i="1"/>
  <c r="AH2069" i="1" s="1"/>
  <c r="T2070" i="1"/>
  <c r="AH2070" i="1" s="1"/>
  <c r="T2071" i="1"/>
  <c r="AH2071" i="1" s="1"/>
  <c r="T2072" i="1"/>
  <c r="AH2072" i="1" s="1"/>
  <c r="T2073" i="1"/>
  <c r="AH2073" i="1" s="1"/>
  <c r="T2074" i="1"/>
  <c r="AH2074" i="1" s="1"/>
  <c r="T2075" i="1"/>
  <c r="AH2075" i="1" s="1"/>
  <c r="T2076" i="1"/>
  <c r="AH2076" i="1" s="1"/>
  <c r="T2077" i="1"/>
  <c r="AH2077" i="1" s="1"/>
  <c r="T2078" i="1"/>
  <c r="AH2078" i="1" s="1"/>
  <c r="T2079" i="1"/>
  <c r="AH2079" i="1" s="1"/>
  <c r="T2080" i="1"/>
  <c r="AH2080" i="1" s="1"/>
  <c r="T2081" i="1"/>
  <c r="AH2081" i="1" s="1"/>
  <c r="T2082" i="1"/>
  <c r="AH2082" i="1" s="1"/>
  <c r="T2083" i="1"/>
  <c r="AH2083" i="1" s="1"/>
  <c r="T2084" i="1"/>
  <c r="AH2084" i="1" s="1"/>
  <c r="T2085" i="1"/>
  <c r="AH2085" i="1" s="1"/>
  <c r="T2086" i="1"/>
  <c r="AH2086" i="1" s="1"/>
  <c r="T2087" i="1"/>
  <c r="AH2087" i="1" s="1"/>
  <c r="T2088" i="1"/>
  <c r="AH2088" i="1" s="1"/>
  <c r="T2089" i="1"/>
  <c r="AH2089" i="1" s="1"/>
  <c r="T2090" i="1"/>
  <c r="AH2090" i="1" s="1"/>
  <c r="T2091" i="1"/>
  <c r="AH2091" i="1" s="1"/>
  <c r="T2092" i="1"/>
  <c r="AH2092" i="1" s="1"/>
  <c r="T2093" i="1"/>
  <c r="AH2093" i="1" s="1"/>
  <c r="T2094" i="1"/>
  <c r="AH2094" i="1" s="1"/>
  <c r="T2095" i="1"/>
  <c r="AH2095" i="1" s="1"/>
  <c r="T2096" i="1"/>
  <c r="AH2096" i="1" s="1"/>
  <c r="T2097" i="1"/>
  <c r="AH2097" i="1" s="1"/>
  <c r="T2098" i="1"/>
  <c r="AH2098" i="1" s="1"/>
  <c r="T2099" i="1"/>
  <c r="AH2099" i="1" s="1"/>
  <c r="T2100" i="1"/>
  <c r="AH2100" i="1" s="1"/>
  <c r="T2101" i="1"/>
  <c r="AH2101" i="1" s="1"/>
  <c r="T2102" i="1"/>
  <c r="AH2102" i="1" s="1"/>
  <c r="T2103" i="1"/>
  <c r="AH2103" i="1" s="1"/>
  <c r="T2104" i="1"/>
  <c r="AH2104" i="1" s="1"/>
  <c r="T2105" i="1"/>
  <c r="AH2105" i="1" s="1"/>
  <c r="T2106" i="1"/>
  <c r="AH2106" i="1" s="1"/>
  <c r="T2107" i="1"/>
  <c r="AH2107" i="1" s="1"/>
  <c r="T2108" i="1"/>
  <c r="AH2108" i="1" s="1"/>
  <c r="T2109" i="1"/>
  <c r="AH2109" i="1" s="1"/>
  <c r="T2110" i="1"/>
  <c r="AH2110" i="1" s="1"/>
  <c r="T2111" i="1"/>
  <c r="AH2111" i="1" s="1"/>
  <c r="T2112" i="1"/>
  <c r="AH2112" i="1" s="1"/>
  <c r="T2113" i="1"/>
  <c r="AH2113" i="1" s="1"/>
  <c r="T2114" i="1"/>
  <c r="AH2114" i="1" s="1"/>
  <c r="T2115" i="1"/>
  <c r="AH2115" i="1" s="1"/>
  <c r="T2116" i="1"/>
  <c r="AH2116" i="1" s="1"/>
  <c r="T2117" i="1"/>
  <c r="AH2117" i="1" s="1"/>
  <c r="T2118" i="1"/>
  <c r="AH2118" i="1" s="1"/>
  <c r="T2119" i="1"/>
  <c r="AH2119" i="1" s="1"/>
  <c r="T2120" i="1"/>
  <c r="AH2120" i="1" s="1"/>
  <c r="T2121" i="1"/>
  <c r="AH2121" i="1" s="1"/>
  <c r="T2122" i="1"/>
  <c r="AH2122" i="1" s="1"/>
  <c r="T2123" i="1"/>
  <c r="AH2123" i="1" s="1"/>
  <c r="T2124" i="1"/>
  <c r="AH2124" i="1" s="1"/>
  <c r="T2125" i="1"/>
  <c r="AH2125" i="1" s="1"/>
  <c r="T2126" i="1"/>
  <c r="AH2126" i="1" s="1"/>
  <c r="T2127" i="1"/>
  <c r="AH2127" i="1" s="1"/>
  <c r="T2128" i="1"/>
  <c r="AH2128" i="1" s="1"/>
  <c r="T2129" i="1"/>
  <c r="AH2129" i="1" s="1"/>
  <c r="T2130" i="1"/>
  <c r="AH2130" i="1" s="1"/>
  <c r="T2131" i="1"/>
  <c r="AH2131" i="1" s="1"/>
  <c r="T2132" i="1"/>
  <c r="AH2132" i="1" s="1"/>
  <c r="T2133" i="1"/>
  <c r="AH2133" i="1" s="1"/>
  <c r="T2134" i="1"/>
  <c r="AH2134" i="1" s="1"/>
  <c r="T2135" i="1"/>
  <c r="AH2135" i="1" s="1"/>
  <c r="T2136" i="1"/>
  <c r="AH2136" i="1" s="1"/>
  <c r="T2137" i="1"/>
  <c r="AH2137" i="1" s="1"/>
  <c r="T2138" i="1"/>
  <c r="AH2138" i="1" s="1"/>
  <c r="T2139" i="1"/>
  <c r="AH2139" i="1" s="1"/>
  <c r="T2140" i="1"/>
  <c r="AH2140" i="1" s="1"/>
  <c r="T2141" i="1"/>
  <c r="AH2141" i="1" s="1"/>
  <c r="T2142" i="1"/>
  <c r="AH2142" i="1" s="1"/>
  <c r="T2143" i="1"/>
  <c r="AH2143" i="1" s="1"/>
  <c r="T2144" i="1"/>
  <c r="AH2144" i="1" s="1"/>
  <c r="T2145" i="1"/>
  <c r="AH2145" i="1" s="1"/>
  <c r="T2146" i="1"/>
  <c r="AH2146" i="1" s="1"/>
  <c r="T2147" i="1"/>
  <c r="AH2147" i="1" s="1"/>
  <c r="T2148" i="1"/>
  <c r="AH2148" i="1" s="1"/>
  <c r="T2149" i="1"/>
  <c r="AH2149" i="1" s="1"/>
  <c r="T2150" i="1"/>
  <c r="AH2150" i="1" s="1"/>
  <c r="T2151" i="1"/>
  <c r="AH2151" i="1" s="1"/>
  <c r="T2152" i="1"/>
  <c r="AH2152" i="1" s="1"/>
  <c r="T2153" i="1"/>
  <c r="AH2153" i="1" s="1"/>
  <c r="T2154" i="1"/>
  <c r="AH2154" i="1" s="1"/>
  <c r="T2155" i="1"/>
  <c r="AH2155" i="1" s="1"/>
  <c r="T2156" i="1"/>
  <c r="AH2156" i="1" s="1"/>
  <c r="T2157" i="1"/>
  <c r="AH2157" i="1" s="1"/>
  <c r="T2158" i="1"/>
  <c r="AH2158" i="1" s="1"/>
  <c r="T2159" i="1"/>
  <c r="AH2159" i="1" s="1"/>
  <c r="T2160" i="1"/>
  <c r="AH2160" i="1" s="1"/>
  <c r="T2161" i="1"/>
  <c r="AH2161" i="1" s="1"/>
  <c r="T2162" i="1"/>
  <c r="AH2162" i="1" s="1"/>
  <c r="T2163" i="1"/>
  <c r="AH2163" i="1" s="1"/>
  <c r="T2164" i="1"/>
  <c r="AH2164" i="1" s="1"/>
  <c r="T2165" i="1"/>
  <c r="AH2165" i="1" s="1"/>
  <c r="T2166" i="1"/>
  <c r="AH2166" i="1" s="1"/>
  <c r="T2167" i="1"/>
  <c r="AH2167" i="1" s="1"/>
  <c r="T2168" i="1"/>
  <c r="AH2168" i="1" s="1"/>
  <c r="T2169" i="1"/>
  <c r="AH2169" i="1" s="1"/>
  <c r="T2170" i="1"/>
  <c r="AH2170" i="1" s="1"/>
  <c r="T2171" i="1"/>
  <c r="AH2171" i="1" s="1"/>
  <c r="T2172" i="1"/>
  <c r="AH2172" i="1" s="1"/>
  <c r="T2173" i="1"/>
  <c r="AH2173" i="1" s="1"/>
  <c r="T2174" i="1"/>
  <c r="AH2174" i="1" s="1"/>
  <c r="T2175" i="1"/>
  <c r="AH2175" i="1" s="1"/>
  <c r="T2176" i="1"/>
  <c r="AH2176" i="1" s="1"/>
  <c r="T2177" i="1"/>
  <c r="AH2177" i="1" s="1"/>
  <c r="T2178" i="1"/>
  <c r="AH2178" i="1" s="1"/>
  <c r="T2179" i="1"/>
  <c r="AH2179" i="1" s="1"/>
  <c r="T2180" i="1"/>
  <c r="AH2180" i="1" s="1"/>
  <c r="T2181" i="1"/>
  <c r="AH2181" i="1" s="1"/>
  <c r="T2182" i="1"/>
  <c r="AH2182" i="1" s="1"/>
  <c r="T2183" i="1"/>
  <c r="AH2183" i="1" s="1"/>
  <c r="T2184" i="1"/>
  <c r="AH2184" i="1" s="1"/>
  <c r="T2185" i="1"/>
  <c r="AH2185" i="1" s="1"/>
  <c r="T2186" i="1"/>
  <c r="AH2186" i="1" s="1"/>
  <c r="T2187" i="1"/>
  <c r="AH2187" i="1" s="1"/>
  <c r="T2188" i="1"/>
  <c r="AH2188" i="1" s="1"/>
  <c r="T2189" i="1"/>
  <c r="AH2189" i="1" s="1"/>
  <c r="T2190" i="1"/>
  <c r="AH2190" i="1" s="1"/>
  <c r="T2191" i="1"/>
  <c r="AH2191" i="1" s="1"/>
  <c r="T2192" i="1"/>
  <c r="AH2192" i="1" s="1"/>
  <c r="T2193" i="1"/>
  <c r="AH2193" i="1" s="1"/>
  <c r="T2194" i="1"/>
  <c r="AH2194" i="1" s="1"/>
  <c r="T2195" i="1"/>
  <c r="AH2195" i="1" s="1"/>
  <c r="T2196" i="1"/>
  <c r="AH2196" i="1" s="1"/>
  <c r="T2197" i="1"/>
  <c r="AH2197" i="1" s="1"/>
  <c r="T2198" i="1"/>
  <c r="AH2198" i="1" s="1"/>
  <c r="T2199" i="1"/>
  <c r="AH2199" i="1" s="1"/>
  <c r="T2200" i="1"/>
  <c r="AH2200" i="1" s="1"/>
  <c r="T2201" i="1"/>
  <c r="AH2201" i="1" s="1"/>
  <c r="T2202" i="1"/>
  <c r="AH2202" i="1" s="1"/>
  <c r="T2203" i="1"/>
  <c r="AH2203" i="1" s="1"/>
  <c r="T2204" i="1"/>
  <c r="AH2204" i="1" s="1"/>
  <c r="T2205" i="1"/>
  <c r="AH2205" i="1" s="1"/>
  <c r="T2206" i="1"/>
  <c r="AH2206" i="1" s="1"/>
  <c r="T2207" i="1"/>
  <c r="AH2207" i="1" s="1"/>
  <c r="T2208" i="1"/>
  <c r="AH2208" i="1" s="1"/>
  <c r="T2209" i="1"/>
  <c r="AH2209" i="1" s="1"/>
  <c r="T2210" i="1"/>
  <c r="AH2210" i="1" s="1"/>
  <c r="T2211" i="1"/>
  <c r="AH2211" i="1" s="1"/>
  <c r="T2212" i="1"/>
  <c r="AH2212" i="1" s="1"/>
  <c r="T2213" i="1"/>
  <c r="AH2213" i="1" s="1"/>
  <c r="T2214" i="1"/>
  <c r="AH2214" i="1" s="1"/>
  <c r="T2215" i="1"/>
  <c r="AH2215" i="1" s="1"/>
  <c r="T2216" i="1"/>
  <c r="AH2216" i="1" s="1"/>
  <c r="T2217" i="1"/>
  <c r="AH2217" i="1" s="1"/>
  <c r="T2218" i="1"/>
  <c r="AH2218" i="1" s="1"/>
  <c r="T2219" i="1"/>
  <c r="AH2219" i="1" s="1"/>
  <c r="T2220" i="1"/>
  <c r="AH2220" i="1" s="1"/>
  <c r="T2221" i="1"/>
  <c r="AH2221" i="1" s="1"/>
  <c r="T2222" i="1"/>
  <c r="AH2222" i="1" s="1"/>
  <c r="T2223" i="1"/>
  <c r="AH2223" i="1" s="1"/>
  <c r="T2224" i="1"/>
  <c r="AH2224" i="1" s="1"/>
  <c r="T2225" i="1"/>
  <c r="AH2225" i="1" s="1"/>
  <c r="T2226" i="1"/>
  <c r="AH2226" i="1" s="1"/>
  <c r="T2227" i="1"/>
  <c r="AH2227" i="1" s="1"/>
  <c r="T2228" i="1"/>
  <c r="AH2228" i="1" s="1"/>
  <c r="T2229" i="1"/>
  <c r="AH2229" i="1" s="1"/>
  <c r="T2230" i="1"/>
  <c r="AH2230" i="1" s="1"/>
  <c r="T2231" i="1"/>
  <c r="AH2231" i="1" s="1"/>
  <c r="T2232" i="1"/>
  <c r="AH2232" i="1" s="1"/>
  <c r="T2233" i="1"/>
  <c r="AH2233" i="1" s="1"/>
  <c r="T2234" i="1"/>
  <c r="AH2234" i="1" s="1"/>
  <c r="T2235" i="1"/>
  <c r="AH2235" i="1" s="1"/>
  <c r="T2236" i="1"/>
  <c r="AH2236" i="1" s="1"/>
  <c r="T2237" i="1"/>
  <c r="AH2237" i="1" s="1"/>
  <c r="T2238" i="1"/>
  <c r="AH2238" i="1" s="1"/>
  <c r="T2239" i="1"/>
  <c r="AH2239" i="1" s="1"/>
  <c r="T2240" i="1"/>
  <c r="AH2240" i="1" s="1"/>
  <c r="T2241" i="1"/>
  <c r="AH2241" i="1" s="1"/>
  <c r="T2242" i="1"/>
  <c r="AH2242" i="1" s="1"/>
  <c r="T2243" i="1"/>
  <c r="AH2243" i="1" s="1"/>
  <c r="T2244" i="1"/>
  <c r="AH2244" i="1" s="1"/>
  <c r="T2245" i="1"/>
  <c r="AH2245" i="1" s="1"/>
  <c r="T2246" i="1"/>
  <c r="AH2246" i="1" s="1"/>
  <c r="T2247" i="1"/>
  <c r="AH2247" i="1" s="1"/>
  <c r="T2248" i="1"/>
  <c r="AH2248" i="1" s="1"/>
  <c r="T2249" i="1"/>
  <c r="AH2249" i="1" s="1"/>
  <c r="T2250" i="1"/>
  <c r="AH2250" i="1" s="1"/>
  <c r="T2251" i="1"/>
  <c r="AH2251" i="1" s="1"/>
  <c r="T2252" i="1"/>
  <c r="AH2252" i="1" s="1"/>
  <c r="T2253" i="1"/>
  <c r="AH2253" i="1" s="1"/>
  <c r="T2254" i="1"/>
  <c r="AH2254" i="1" s="1"/>
  <c r="T2255" i="1"/>
  <c r="AH2255" i="1" s="1"/>
  <c r="T2256" i="1"/>
  <c r="AH2256" i="1" s="1"/>
  <c r="T2257" i="1"/>
  <c r="AH2257" i="1" s="1"/>
  <c r="T2258" i="1"/>
  <c r="AH2258" i="1" s="1"/>
  <c r="T2259" i="1"/>
  <c r="AH2259" i="1" s="1"/>
  <c r="T2260" i="1"/>
  <c r="AH2260" i="1" s="1"/>
  <c r="T2261" i="1"/>
  <c r="AH2261" i="1" s="1"/>
  <c r="T2262" i="1"/>
  <c r="AH2262" i="1" s="1"/>
  <c r="T2263" i="1"/>
  <c r="AH2263" i="1" s="1"/>
  <c r="T2264" i="1"/>
  <c r="AH2264" i="1" s="1"/>
  <c r="T2265" i="1"/>
  <c r="AH2265" i="1" s="1"/>
  <c r="T2266" i="1"/>
  <c r="AH2266" i="1" s="1"/>
  <c r="T2267" i="1"/>
  <c r="AH2267" i="1" s="1"/>
  <c r="T2268" i="1"/>
  <c r="AH2268" i="1" s="1"/>
  <c r="T2269" i="1"/>
  <c r="AH2269" i="1" s="1"/>
  <c r="T2270" i="1"/>
  <c r="AH2270" i="1" s="1"/>
  <c r="T2271" i="1"/>
  <c r="AH2271" i="1" s="1"/>
  <c r="T2272" i="1"/>
  <c r="AH2272" i="1" s="1"/>
  <c r="T2273" i="1"/>
  <c r="AH2273" i="1" s="1"/>
  <c r="T2274" i="1"/>
  <c r="AH2274" i="1" s="1"/>
  <c r="T2275" i="1"/>
  <c r="AH2275" i="1" s="1"/>
  <c r="T2276" i="1"/>
  <c r="AH2276" i="1" s="1"/>
  <c r="T2277" i="1"/>
  <c r="AH2277" i="1" s="1"/>
  <c r="T2278" i="1"/>
  <c r="AH2278" i="1" s="1"/>
  <c r="T2279" i="1"/>
  <c r="AH2279" i="1" s="1"/>
  <c r="T2280" i="1"/>
  <c r="AH2280" i="1" s="1"/>
  <c r="T2281" i="1"/>
  <c r="AH2281" i="1" s="1"/>
  <c r="T2282" i="1"/>
  <c r="AH2282" i="1" s="1"/>
  <c r="T2283" i="1"/>
  <c r="AH2283" i="1" s="1"/>
  <c r="T2284" i="1"/>
  <c r="AH2284" i="1" s="1"/>
  <c r="T2285" i="1"/>
  <c r="AH2285" i="1" s="1"/>
  <c r="T2286" i="1"/>
  <c r="AH2286" i="1" s="1"/>
  <c r="T2287" i="1"/>
  <c r="AH2287" i="1" s="1"/>
  <c r="T2288" i="1"/>
  <c r="AH2288" i="1" s="1"/>
  <c r="T2289" i="1"/>
  <c r="AH2289" i="1" s="1"/>
  <c r="T2290" i="1"/>
  <c r="AH2290" i="1" s="1"/>
  <c r="T2291" i="1"/>
  <c r="AH2291" i="1" s="1"/>
  <c r="T2292" i="1"/>
  <c r="AH2292" i="1" s="1"/>
  <c r="T2293" i="1"/>
  <c r="AH2293" i="1" s="1"/>
  <c r="T2294" i="1"/>
  <c r="AH2294" i="1" s="1"/>
  <c r="T2295" i="1"/>
  <c r="AH2295" i="1" s="1"/>
  <c r="T2296" i="1"/>
  <c r="AH2296" i="1" s="1"/>
  <c r="T2297" i="1"/>
  <c r="AH2297" i="1" s="1"/>
  <c r="T2298" i="1"/>
  <c r="AH2298" i="1" s="1"/>
  <c r="T2299" i="1"/>
  <c r="AH2299" i="1" s="1"/>
  <c r="T2300" i="1"/>
  <c r="AH2300" i="1" s="1"/>
  <c r="T2301" i="1"/>
  <c r="AH2301" i="1" s="1"/>
  <c r="T2302" i="1"/>
  <c r="AH2302" i="1" s="1"/>
  <c r="T2303" i="1"/>
  <c r="AH2303" i="1" s="1"/>
  <c r="T2304" i="1"/>
  <c r="AH2304" i="1" s="1"/>
  <c r="T2305" i="1"/>
  <c r="AH2305" i="1" s="1"/>
  <c r="T2306" i="1"/>
  <c r="AH2306" i="1" s="1"/>
  <c r="T2307" i="1"/>
  <c r="AH2307" i="1" s="1"/>
  <c r="T2308" i="1"/>
  <c r="AH2308" i="1" s="1"/>
  <c r="T2309" i="1"/>
  <c r="AH2309" i="1" s="1"/>
  <c r="T2310" i="1"/>
  <c r="AH2310" i="1" s="1"/>
  <c r="T2311" i="1"/>
  <c r="AH2311" i="1" s="1"/>
  <c r="T2312" i="1"/>
  <c r="AH2312" i="1" s="1"/>
  <c r="T2313" i="1"/>
  <c r="AH2313" i="1" s="1"/>
  <c r="T2314" i="1"/>
  <c r="AH2314" i="1" s="1"/>
  <c r="T2315" i="1"/>
  <c r="AH2315" i="1" s="1"/>
  <c r="T2316" i="1"/>
  <c r="AH2316" i="1" s="1"/>
  <c r="T2317" i="1"/>
  <c r="AH2317" i="1" s="1"/>
  <c r="T2318" i="1"/>
  <c r="AH2318" i="1" s="1"/>
  <c r="T2319" i="1"/>
  <c r="AH2319" i="1" s="1"/>
  <c r="T2320" i="1"/>
  <c r="AH2320" i="1" s="1"/>
  <c r="T2321" i="1"/>
  <c r="AH2321" i="1" s="1"/>
  <c r="T2322" i="1"/>
  <c r="AH2322" i="1" s="1"/>
  <c r="T2323" i="1"/>
  <c r="AH2323" i="1" s="1"/>
  <c r="T2324" i="1"/>
  <c r="AH2324" i="1" s="1"/>
  <c r="T2325" i="1"/>
  <c r="AH2325" i="1" s="1"/>
  <c r="T2326" i="1"/>
  <c r="AH2326" i="1" s="1"/>
  <c r="T2327" i="1"/>
  <c r="AH2327" i="1" s="1"/>
  <c r="T2328" i="1"/>
  <c r="AH2328" i="1" s="1"/>
  <c r="T2329" i="1"/>
  <c r="AH2329" i="1" s="1"/>
  <c r="T2330" i="1"/>
  <c r="AH2330" i="1" s="1"/>
  <c r="T2331" i="1"/>
  <c r="AH2331" i="1" s="1"/>
  <c r="T2332" i="1"/>
  <c r="AH2332" i="1" s="1"/>
  <c r="T2333" i="1"/>
  <c r="AH2333" i="1" s="1"/>
  <c r="T2334" i="1"/>
  <c r="AH2334" i="1" s="1"/>
  <c r="T2335" i="1"/>
  <c r="AH2335" i="1" s="1"/>
  <c r="T2336" i="1"/>
  <c r="AH2336" i="1" s="1"/>
  <c r="T2337" i="1"/>
  <c r="AH2337" i="1" s="1"/>
  <c r="T2338" i="1"/>
  <c r="AH2338" i="1" s="1"/>
  <c r="T2339" i="1"/>
  <c r="AH2339" i="1" s="1"/>
  <c r="T2340" i="1"/>
  <c r="AH2340" i="1" s="1"/>
  <c r="T2341" i="1"/>
  <c r="AH2341" i="1" s="1"/>
  <c r="T2342" i="1"/>
  <c r="AH2342" i="1" s="1"/>
  <c r="T2343" i="1"/>
  <c r="AH2343" i="1" s="1"/>
  <c r="T2344" i="1"/>
  <c r="AH2344" i="1" s="1"/>
  <c r="T2345" i="1"/>
  <c r="AH2345" i="1" s="1"/>
  <c r="T2346" i="1"/>
  <c r="AH2346" i="1" s="1"/>
  <c r="T2347" i="1"/>
  <c r="AH2347" i="1" s="1"/>
  <c r="T2348" i="1"/>
  <c r="AH2348" i="1" s="1"/>
  <c r="T2349" i="1"/>
  <c r="AH2349" i="1" s="1"/>
  <c r="T2350" i="1"/>
  <c r="AH2350" i="1" s="1"/>
  <c r="T2351" i="1"/>
  <c r="AH2351" i="1" s="1"/>
  <c r="T2352" i="1"/>
  <c r="AH2352" i="1" s="1"/>
  <c r="T2353" i="1"/>
  <c r="AH2353" i="1" s="1"/>
  <c r="T2354" i="1"/>
  <c r="AH2354" i="1" s="1"/>
  <c r="T2355" i="1"/>
  <c r="AH2355" i="1" s="1"/>
  <c r="T2356" i="1"/>
  <c r="AH2356" i="1" s="1"/>
  <c r="T2357" i="1"/>
  <c r="AH2357" i="1" s="1"/>
  <c r="T2358" i="1"/>
  <c r="AH2358" i="1" s="1"/>
  <c r="T2359" i="1"/>
  <c r="AH2359" i="1" s="1"/>
  <c r="T2360" i="1"/>
  <c r="AH2360" i="1" s="1"/>
  <c r="T2361" i="1"/>
  <c r="AH2361" i="1" s="1"/>
  <c r="T2362" i="1"/>
  <c r="AH2362" i="1" s="1"/>
  <c r="T2363" i="1"/>
  <c r="AH2363" i="1" s="1"/>
  <c r="T2364" i="1"/>
  <c r="AH2364" i="1" s="1"/>
  <c r="T2365" i="1"/>
  <c r="AH2365" i="1" s="1"/>
  <c r="T2366" i="1"/>
  <c r="AH2366" i="1" s="1"/>
  <c r="T2367" i="1"/>
  <c r="AH2367" i="1" s="1"/>
  <c r="T2368" i="1"/>
  <c r="AH2368" i="1" s="1"/>
  <c r="T2369" i="1"/>
  <c r="AH2369" i="1" s="1"/>
  <c r="T2370" i="1"/>
  <c r="AH2370" i="1" s="1"/>
  <c r="T2371" i="1"/>
  <c r="AH2371" i="1" s="1"/>
  <c r="T2372" i="1"/>
  <c r="AH2372" i="1" s="1"/>
  <c r="T2373" i="1"/>
  <c r="AH2373" i="1" s="1"/>
  <c r="T2374" i="1"/>
  <c r="AH2374" i="1" s="1"/>
  <c r="T2375" i="1"/>
  <c r="AH2375" i="1" s="1"/>
  <c r="T2376" i="1"/>
  <c r="AH2376" i="1" s="1"/>
  <c r="T2377" i="1"/>
  <c r="AH2377" i="1" s="1"/>
  <c r="T2378" i="1"/>
  <c r="AH2378" i="1" s="1"/>
  <c r="T2379" i="1"/>
  <c r="AH2379" i="1" s="1"/>
  <c r="T2380" i="1"/>
  <c r="AH2380" i="1" s="1"/>
  <c r="T2381" i="1"/>
  <c r="AH2381" i="1" s="1"/>
  <c r="T2382" i="1"/>
  <c r="AH2382" i="1" s="1"/>
  <c r="T2383" i="1"/>
  <c r="AH2383" i="1" s="1"/>
  <c r="T2384" i="1"/>
  <c r="AH2384" i="1" s="1"/>
  <c r="T2385" i="1"/>
  <c r="AH2385" i="1" s="1"/>
  <c r="T2386" i="1"/>
  <c r="AH2386" i="1" s="1"/>
  <c r="T2387" i="1"/>
  <c r="AH2387" i="1" s="1"/>
  <c r="T2388" i="1"/>
  <c r="AH2388" i="1" s="1"/>
  <c r="T2389" i="1"/>
  <c r="AH2389" i="1" s="1"/>
  <c r="T2390" i="1"/>
  <c r="AH2390" i="1" s="1"/>
  <c r="T2391" i="1"/>
  <c r="AH2391" i="1" s="1"/>
  <c r="T2392" i="1"/>
  <c r="AH2392" i="1" s="1"/>
  <c r="T2393" i="1"/>
  <c r="AH2393" i="1" s="1"/>
  <c r="T2394" i="1"/>
  <c r="AH2394" i="1" s="1"/>
  <c r="T2395" i="1"/>
  <c r="AH2395" i="1" s="1"/>
  <c r="T2396" i="1"/>
  <c r="AH2396" i="1" s="1"/>
  <c r="T2397" i="1"/>
  <c r="AH2397" i="1" s="1"/>
  <c r="T2398" i="1"/>
  <c r="AH2398" i="1" s="1"/>
  <c r="T2399" i="1"/>
  <c r="AH2399" i="1" s="1"/>
  <c r="T2400" i="1"/>
  <c r="AH2400" i="1" s="1"/>
  <c r="T2401" i="1"/>
  <c r="AH2401" i="1" s="1"/>
  <c r="T2402" i="1"/>
  <c r="AH2402" i="1" s="1"/>
  <c r="T2403" i="1"/>
  <c r="AH2403" i="1" s="1"/>
  <c r="T2404" i="1"/>
  <c r="AH2404" i="1" s="1"/>
  <c r="T2405" i="1"/>
  <c r="AH2405" i="1" s="1"/>
  <c r="T2406" i="1"/>
  <c r="AH2406" i="1" s="1"/>
  <c r="T2407" i="1"/>
  <c r="AH2407" i="1" s="1"/>
  <c r="T2408" i="1"/>
  <c r="AH2408" i="1" s="1"/>
  <c r="T2409" i="1"/>
  <c r="AH2409" i="1" s="1"/>
  <c r="T2410" i="1"/>
  <c r="AH2410" i="1" s="1"/>
  <c r="T2411" i="1"/>
  <c r="AH2411" i="1" s="1"/>
  <c r="T2412" i="1"/>
  <c r="AH2412" i="1" s="1"/>
  <c r="T2413" i="1"/>
  <c r="AH2413" i="1" s="1"/>
  <c r="T2414" i="1"/>
  <c r="AH2414" i="1" s="1"/>
  <c r="T2415" i="1"/>
  <c r="AH2415" i="1" s="1"/>
  <c r="T2416" i="1"/>
  <c r="AH2416" i="1" s="1"/>
  <c r="T2417" i="1"/>
  <c r="AH2417" i="1" s="1"/>
  <c r="T2418" i="1"/>
  <c r="AH2418" i="1" s="1"/>
  <c r="T2419" i="1"/>
  <c r="AH2419" i="1" s="1"/>
  <c r="T2420" i="1"/>
  <c r="AH2420" i="1" s="1"/>
  <c r="T2421" i="1"/>
  <c r="AH2421" i="1" s="1"/>
  <c r="T2422" i="1"/>
  <c r="AH2422" i="1" s="1"/>
  <c r="T2423" i="1"/>
  <c r="AH2423" i="1" s="1"/>
  <c r="T2424" i="1"/>
  <c r="AH2424" i="1" s="1"/>
  <c r="T2425" i="1"/>
  <c r="AH2425" i="1" s="1"/>
  <c r="T2426" i="1"/>
  <c r="AH2426" i="1" s="1"/>
  <c r="T2427" i="1"/>
  <c r="AH2427" i="1" s="1"/>
  <c r="T2428" i="1"/>
  <c r="AH2428" i="1" s="1"/>
  <c r="T2429" i="1"/>
  <c r="AH2429" i="1" s="1"/>
  <c r="T2430" i="1"/>
  <c r="AH2430" i="1" s="1"/>
  <c r="T2431" i="1"/>
  <c r="AH2431" i="1" s="1"/>
  <c r="T2432" i="1"/>
  <c r="AH2432" i="1" s="1"/>
  <c r="T2433" i="1"/>
  <c r="AH2433" i="1" s="1"/>
  <c r="T2434" i="1"/>
  <c r="AH2434" i="1" s="1"/>
  <c r="T2435" i="1"/>
  <c r="AH2435" i="1" s="1"/>
  <c r="T2436" i="1"/>
  <c r="AH2436" i="1" s="1"/>
  <c r="T2437" i="1"/>
  <c r="AH2437" i="1" s="1"/>
  <c r="T2438" i="1"/>
  <c r="AH2438" i="1" s="1"/>
  <c r="T2439" i="1"/>
  <c r="AH2439" i="1" s="1"/>
  <c r="T2440" i="1"/>
  <c r="AH2440" i="1" s="1"/>
  <c r="T2441" i="1"/>
  <c r="AH2441" i="1" s="1"/>
  <c r="T2442" i="1"/>
  <c r="AH2442" i="1" s="1"/>
  <c r="T2443" i="1"/>
  <c r="AH2443" i="1" s="1"/>
  <c r="T2444" i="1"/>
  <c r="AH2444" i="1" s="1"/>
  <c r="T2445" i="1"/>
  <c r="AH2445" i="1" s="1"/>
  <c r="T2446" i="1"/>
  <c r="AH2446" i="1" s="1"/>
  <c r="T2447" i="1"/>
  <c r="AH2447" i="1" s="1"/>
  <c r="T2448" i="1"/>
  <c r="AH2448" i="1" s="1"/>
  <c r="T2449" i="1"/>
  <c r="AH2449" i="1" s="1"/>
  <c r="T2450" i="1"/>
  <c r="AH2450" i="1" s="1"/>
  <c r="T2451" i="1"/>
  <c r="AH2451" i="1" s="1"/>
  <c r="T2452" i="1"/>
  <c r="AH2452" i="1" s="1"/>
  <c r="T2453" i="1"/>
  <c r="AH2453" i="1" s="1"/>
  <c r="T2454" i="1"/>
  <c r="AH2454" i="1" s="1"/>
  <c r="T2455" i="1"/>
  <c r="AH2455" i="1" s="1"/>
  <c r="T2456" i="1"/>
  <c r="AH2456" i="1" s="1"/>
  <c r="T2457" i="1"/>
  <c r="AH2457" i="1" s="1"/>
  <c r="T2458" i="1"/>
  <c r="AH2458" i="1" s="1"/>
  <c r="T2459" i="1"/>
  <c r="AH2459" i="1" s="1"/>
  <c r="T2460" i="1"/>
  <c r="AH2460" i="1" s="1"/>
  <c r="T2461" i="1"/>
  <c r="AH2461" i="1" s="1"/>
  <c r="T2462" i="1"/>
  <c r="AH2462" i="1" s="1"/>
  <c r="T2463" i="1"/>
  <c r="AH2463" i="1" s="1"/>
  <c r="T2464" i="1"/>
  <c r="AH2464" i="1" s="1"/>
  <c r="T2465" i="1"/>
  <c r="AH2465" i="1" s="1"/>
  <c r="T2466" i="1"/>
  <c r="AH2466" i="1" s="1"/>
  <c r="T2467" i="1"/>
  <c r="AH2467" i="1" s="1"/>
  <c r="T2468" i="1"/>
  <c r="AH2468" i="1" s="1"/>
  <c r="T2469" i="1"/>
  <c r="AH2469" i="1" s="1"/>
  <c r="T2470" i="1"/>
  <c r="AH2470" i="1" s="1"/>
  <c r="T2471" i="1"/>
  <c r="AH2471" i="1" s="1"/>
  <c r="T2472" i="1"/>
  <c r="AH2472" i="1" s="1"/>
  <c r="T2473" i="1"/>
  <c r="AH2473" i="1" s="1"/>
  <c r="T2474" i="1"/>
  <c r="AH2474" i="1" s="1"/>
  <c r="T2475" i="1"/>
  <c r="AH2475" i="1" s="1"/>
  <c r="T2476" i="1"/>
  <c r="AH2476" i="1" s="1"/>
  <c r="T2477" i="1"/>
  <c r="AH2477" i="1" s="1"/>
  <c r="T2478" i="1"/>
  <c r="AH2478" i="1" s="1"/>
  <c r="T2479" i="1"/>
  <c r="AH2479" i="1" s="1"/>
  <c r="T2480" i="1"/>
  <c r="AH2480" i="1" s="1"/>
  <c r="T2481" i="1"/>
  <c r="AH2481" i="1" s="1"/>
  <c r="T2482" i="1"/>
  <c r="AH2482" i="1" s="1"/>
  <c r="T2483" i="1"/>
  <c r="AH2483" i="1" s="1"/>
  <c r="T2484" i="1"/>
  <c r="AH2484" i="1" s="1"/>
  <c r="T2485" i="1"/>
  <c r="AH2485" i="1" s="1"/>
  <c r="T2486" i="1"/>
  <c r="AH2486" i="1" s="1"/>
  <c r="T2487" i="1"/>
  <c r="AH2487" i="1" s="1"/>
  <c r="T2488" i="1"/>
  <c r="AH2488" i="1" s="1"/>
  <c r="T2489" i="1"/>
  <c r="AH2489" i="1" s="1"/>
  <c r="T2490" i="1"/>
  <c r="AH2490" i="1" s="1"/>
  <c r="T2491" i="1"/>
  <c r="AH2491" i="1" s="1"/>
  <c r="T2492" i="1"/>
  <c r="AH2492" i="1" s="1"/>
  <c r="T2493" i="1"/>
  <c r="AH2493" i="1" s="1"/>
  <c r="T2494" i="1"/>
  <c r="AH2494" i="1" s="1"/>
  <c r="T2495" i="1"/>
  <c r="AH2495" i="1" s="1"/>
  <c r="T2496" i="1"/>
  <c r="AH2496" i="1" s="1"/>
  <c r="T2497" i="1"/>
  <c r="AH2497" i="1" s="1"/>
  <c r="T2498" i="1"/>
  <c r="AH2498" i="1" s="1"/>
  <c r="T2499" i="1"/>
  <c r="AH2499" i="1" s="1"/>
  <c r="T2500" i="1"/>
  <c r="AH2500" i="1" s="1"/>
  <c r="T2501" i="1"/>
  <c r="AH2501" i="1" s="1"/>
  <c r="T2502" i="1"/>
  <c r="AH2502" i="1" s="1"/>
  <c r="T2503" i="1"/>
  <c r="AH2503" i="1" s="1"/>
  <c r="T2504" i="1"/>
  <c r="AH2504" i="1" s="1"/>
  <c r="T2505" i="1"/>
  <c r="AH2505" i="1" s="1"/>
  <c r="T2506" i="1"/>
  <c r="AH2506" i="1" s="1"/>
  <c r="T2507" i="1"/>
  <c r="AH2507" i="1" s="1"/>
  <c r="T2508" i="1"/>
  <c r="AH2508" i="1" s="1"/>
  <c r="T2509" i="1"/>
  <c r="AH2509" i="1" s="1"/>
  <c r="T2510" i="1"/>
  <c r="AH2510" i="1" s="1"/>
  <c r="T2511" i="1"/>
  <c r="AH2511" i="1" s="1"/>
  <c r="T2512" i="1"/>
  <c r="AH2512" i="1" s="1"/>
  <c r="T2513" i="1"/>
  <c r="AH2513" i="1" s="1"/>
  <c r="T2514" i="1"/>
  <c r="AH2514" i="1" s="1"/>
  <c r="T2515" i="1"/>
  <c r="AH2515" i="1" s="1"/>
  <c r="T2516" i="1"/>
  <c r="AH2516" i="1" s="1"/>
  <c r="T2517" i="1"/>
  <c r="AH2517" i="1" s="1"/>
  <c r="T2518" i="1"/>
  <c r="AH2518" i="1" s="1"/>
  <c r="T2519" i="1"/>
  <c r="AH2519" i="1" s="1"/>
  <c r="T2520" i="1"/>
  <c r="AH2520" i="1" s="1"/>
  <c r="T2521" i="1"/>
  <c r="AH2521" i="1" s="1"/>
  <c r="T2522" i="1"/>
  <c r="AH2522" i="1" s="1"/>
  <c r="T2523" i="1"/>
  <c r="AH2523" i="1" s="1"/>
  <c r="T2524" i="1"/>
  <c r="AH2524" i="1" s="1"/>
  <c r="T2525" i="1"/>
  <c r="AH2525" i="1" s="1"/>
  <c r="T2526" i="1"/>
  <c r="AH2526" i="1" s="1"/>
  <c r="T2527" i="1"/>
  <c r="AH2527" i="1" s="1"/>
  <c r="T2528" i="1"/>
  <c r="AH2528" i="1" s="1"/>
  <c r="T2529" i="1"/>
  <c r="AH2529" i="1" s="1"/>
  <c r="T2530" i="1"/>
  <c r="AH2530" i="1" s="1"/>
  <c r="T2531" i="1"/>
  <c r="AH2531" i="1" s="1"/>
  <c r="T2532" i="1"/>
  <c r="AH2532" i="1" s="1"/>
  <c r="T2533" i="1"/>
  <c r="AH2533" i="1" s="1"/>
  <c r="T2534" i="1"/>
  <c r="AH2534" i="1" s="1"/>
  <c r="T2535" i="1"/>
  <c r="AH2535" i="1" s="1"/>
  <c r="T2536" i="1"/>
  <c r="AH2536" i="1" s="1"/>
  <c r="T2537" i="1"/>
  <c r="AH2537" i="1" s="1"/>
  <c r="T2538" i="1"/>
  <c r="AH2538" i="1" s="1"/>
  <c r="T2539" i="1"/>
  <c r="AH2539" i="1" s="1"/>
  <c r="T2540" i="1"/>
  <c r="AH2540" i="1" s="1"/>
  <c r="T2541" i="1"/>
  <c r="AH2541" i="1" s="1"/>
  <c r="T2542" i="1"/>
  <c r="AH2542" i="1" s="1"/>
  <c r="T2543" i="1"/>
  <c r="AH2543" i="1" s="1"/>
  <c r="T2544" i="1"/>
  <c r="AH2544" i="1" s="1"/>
  <c r="T2545" i="1"/>
  <c r="AH2545" i="1" s="1"/>
  <c r="T2546" i="1"/>
  <c r="AH2546" i="1" s="1"/>
  <c r="T2547" i="1"/>
  <c r="AH2547" i="1" s="1"/>
  <c r="T2548" i="1"/>
  <c r="AH2548" i="1" s="1"/>
  <c r="T2549" i="1"/>
  <c r="AH2549" i="1" s="1"/>
  <c r="T2550" i="1"/>
  <c r="AH2550" i="1" s="1"/>
  <c r="T2551" i="1"/>
  <c r="AH2551" i="1" s="1"/>
  <c r="T2552" i="1"/>
  <c r="AH2552" i="1" s="1"/>
  <c r="T2553" i="1"/>
  <c r="AH2553" i="1" s="1"/>
  <c r="T2554" i="1"/>
  <c r="AH2554" i="1" s="1"/>
  <c r="T2555" i="1"/>
  <c r="AH2555" i="1" s="1"/>
  <c r="T2556" i="1"/>
  <c r="AH2556" i="1" s="1"/>
  <c r="T2557" i="1"/>
  <c r="AH2557" i="1" s="1"/>
  <c r="T2558" i="1"/>
  <c r="AH2558" i="1" s="1"/>
  <c r="T2559" i="1"/>
  <c r="AH2559" i="1" s="1"/>
  <c r="T2560" i="1"/>
  <c r="AH2560" i="1" s="1"/>
  <c r="T2561" i="1"/>
  <c r="AH2561" i="1" s="1"/>
  <c r="T2562" i="1"/>
  <c r="AH2562" i="1" s="1"/>
  <c r="T2563" i="1"/>
  <c r="AH2563" i="1" s="1"/>
  <c r="T2564" i="1"/>
  <c r="AH2564" i="1" s="1"/>
  <c r="T2565" i="1"/>
  <c r="AH2565" i="1" s="1"/>
  <c r="T2566" i="1"/>
  <c r="AH2566" i="1" s="1"/>
  <c r="T2567" i="1"/>
  <c r="AH2567" i="1" s="1"/>
  <c r="T2568" i="1"/>
  <c r="AH2568" i="1" s="1"/>
  <c r="T2569" i="1"/>
  <c r="AH2569" i="1" s="1"/>
  <c r="T2570" i="1"/>
  <c r="AH2570" i="1" s="1"/>
  <c r="T2571" i="1"/>
  <c r="AH2571" i="1" s="1"/>
  <c r="T2572" i="1"/>
  <c r="AH2572" i="1" s="1"/>
  <c r="T2573" i="1"/>
  <c r="AH2573" i="1" s="1"/>
  <c r="T2574" i="1"/>
  <c r="AH2574" i="1" s="1"/>
  <c r="T2575" i="1"/>
  <c r="AH2575" i="1" s="1"/>
  <c r="T2576" i="1"/>
  <c r="AH2576" i="1" s="1"/>
  <c r="T2577" i="1"/>
  <c r="AH2577" i="1" s="1"/>
  <c r="T2578" i="1"/>
  <c r="AH2578" i="1" s="1"/>
  <c r="T2579" i="1"/>
  <c r="AH2579" i="1" s="1"/>
  <c r="T2580" i="1"/>
  <c r="AH2580" i="1" s="1"/>
  <c r="T2581" i="1"/>
  <c r="AH2581" i="1" s="1"/>
  <c r="T2582" i="1"/>
  <c r="AH2582" i="1" s="1"/>
  <c r="T2583" i="1"/>
  <c r="AH2583" i="1" s="1"/>
  <c r="T2584" i="1"/>
  <c r="AH2584" i="1" s="1"/>
  <c r="T2585" i="1"/>
  <c r="AH2585" i="1" s="1"/>
  <c r="T2586" i="1"/>
  <c r="AH2586" i="1" s="1"/>
  <c r="T2587" i="1"/>
  <c r="AH2587" i="1" s="1"/>
  <c r="T2588" i="1"/>
  <c r="AH2588" i="1" s="1"/>
  <c r="T2589" i="1"/>
  <c r="AH2589" i="1" s="1"/>
  <c r="T2590" i="1"/>
  <c r="AH2590" i="1" s="1"/>
  <c r="T2591" i="1"/>
  <c r="AH2591" i="1" s="1"/>
  <c r="T2592" i="1"/>
  <c r="AH2592" i="1" s="1"/>
  <c r="T2593" i="1"/>
  <c r="AH2593" i="1" s="1"/>
  <c r="T2594" i="1"/>
  <c r="AH2594" i="1" s="1"/>
  <c r="T2595" i="1"/>
  <c r="AH2595" i="1" s="1"/>
  <c r="T2596" i="1"/>
  <c r="AH2596" i="1" s="1"/>
  <c r="T2597" i="1"/>
  <c r="AH2597" i="1" s="1"/>
  <c r="T2598" i="1"/>
  <c r="AH2598" i="1" s="1"/>
  <c r="T2599" i="1"/>
  <c r="AH2599" i="1" s="1"/>
  <c r="T2600" i="1"/>
  <c r="AH2600" i="1" s="1"/>
  <c r="T2601" i="1"/>
  <c r="AH2601" i="1" s="1"/>
  <c r="T2602" i="1"/>
  <c r="AH2602" i="1" s="1"/>
  <c r="T2603" i="1"/>
  <c r="AH2603" i="1" s="1"/>
  <c r="T2604" i="1"/>
  <c r="AH2604" i="1" s="1"/>
  <c r="T2605" i="1"/>
  <c r="AH2605" i="1" s="1"/>
  <c r="T2606" i="1"/>
  <c r="AH2606" i="1" s="1"/>
  <c r="T2607" i="1"/>
  <c r="AH2607" i="1" s="1"/>
  <c r="T2608" i="1"/>
  <c r="AH2608" i="1" s="1"/>
  <c r="T2609" i="1"/>
  <c r="AH2609" i="1" s="1"/>
  <c r="T2610" i="1"/>
  <c r="AH2610" i="1" s="1"/>
  <c r="T2611" i="1"/>
  <c r="AH2611" i="1" s="1"/>
  <c r="T2612" i="1"/>
  <c r="AH2612" i="1" s="1"/>
  <c r="T2613" i="1"/>
  <c r="AH2613" i="1" s="1"/>
  <c r="T2614" i="1"/>
  <c r="AH2614" i="1" s="1"/>
  <c r="T2615" i="1"/>
  <c r="AH2615" i="1" s="1"/>
  <c r="T2616" i="1"/>
  <c r="AH2616" i="1" s="1"/>
  <c r="T2617" i="1"/>
  <c r="AH2617" i="1" s="1"/>
  <c r="T2618" i="1"/>
  <c r="AH2618" i="1" s="1"/>
  <c r="T2619" i="1"/>
  <c r="AH2619" i="1" s="1"/>
  <c r="T2620" i="1"/>
  <c r="AH2620" i="1" s="1"/>
  <c r="T2621" i="1"/>
  <c r="AH2621" i="1" s="1"/>
  <c r="T2622" i="1"/>
  <c r="AH2622" i="1" s="1"/>
  <c r="T2623" i="1"/>
  <c r="AH2623" i="1" s="1"/>
  <c r="T2624" i="1"/>
  <c r="AH2624" i="1" s="1"/>
  <c r="T2625" i="1"/>
  <c r="AH2625" i="1" s="1"/>
  <c r="T2626" i="1"/>
  <c r="AH2626" i="1" s="1"/>
  <c r="T2627" i="1"/>
  <c r="AH2627" i="1" s="1"/>
  <c r="T2628" i="1"/>
  <c r="AH2628" i="1" s="1"/>
  <c r="T2629" i="1"/>
  <c r="AH2629" i="1" s="1"/>
  <c r="T2630" i="1"/>
  <c r="AH2630" i="1" s="1"/>
  <c r="T2631" i="1"/>
  <c r="AH2631" i="1" s="1"/>
  <c r="T2632" i="1"/>
  <c r="AH2632" i="1" s="1"/>
  <c r="T2633" i="1"/>
  <c r="AH2633" i="1" s="1"/>
  <c r="T2634" i="1"/>
  <c r="AH2634" i="1" s="1"/>
  <c r="T2635" i="1"/>
  <c r="AH2635" i="1" s="1"/>
  <c r="T2636" i="1"/>
  <c r="AH2636" i="1" s="1"/>
  <c r="T2637" i="1"/>
  <c r="AH2637" i="1" s="1"/>
  <c r="T2638" i="1"/>
  <c r="AH2638" i="1" s="1"/>
  <c r="T2639" i="1"/>
  <c r="AH2639" i="1" s="1"/>
  <c r="T2640" i="1"/>
  <c r="AH2640" i="1" s="1"/>
  <c r="T2641" i="1"/>
  <c r="AH2641" i="1" s="1"/>
  <c r="T2642" i="1"/>
  <c r="AH2642" i="1" s="1"/>
  <c r="T2643" i="1"/>
  <c r="AH2643" i="1" s="1"/>
  <c r="T2644" i="1"/>
  <c r="AH2644" i="1" s="1"/>
  <c r="T2645" i="1"/>
  <c r="AH2645" i="1" s="1"/>
  <c r="T2646" i="1"/>
  <c r="AH2646" i="1" s="1"/>
  <c r="T2647" i="1"/>
  <c r="AH2647" i="1" s="1"/>
  <c r="T2648" i="1"/>
  <c r="AH2648" i="1" s="1"/>
  <c r="T2649" i="1"/>
  <c r="AH2649" i="1" s="1"/>
  <c r="T2650" i="1"/>
  <c r="AH2650" i="1" s="1"/>
  <c r="T2651" i="1"/>
  <c r="AH2651" i="1" s="1"/>
  <c r="T2652" i="1"/>
  <c r="AH2652" i="1" s="1"/>
  <c r="T2653" i="1"/>
  <c r="AH2653" i="1" s="1"/>
  <c r="T2654" i="1"/>
  <c r="AH2654" i="1" s="1"/>
  <c r="T2655" i="1"/>
  <c r="AH2655" i="1" s="1"/>
  <c r="T2656" i="1"/>
  <c r="AH2656" i="1" s="1"/>
  <c r="T2657" i="1"/>
  <c r="AH2657" i="1" s="1"/>
  <c r="T2658" i="1"/>
  <c r="AH2658" i="1" s="1"/>
  <c r="T2659" i="1"/>
  <c r="AH2659" i="1" s="1"/>
  <c r="T2660" i="1"/>
  <c r="AH2660" i="1" s="1"/>
  <c r="T2661" i="1"/>
  <c r="AH2661" i="1" s="1"/>
  <c r="T2662" i="1"/>
  <c r="AH2662" i="1" s="1"/>
  <c r="T2663" i="1"/>
  <c r="AH2663" i="1" s="1"/>
  <c r="T2664" i="1"/>
  <c r="AH2664" i="1" s="1"/>
  <c r="T2665" i="1"/>
  <c r="AH2665" i="1" s="1"/>
  <c r="T2666" i="1"/>
  <c r="AH2666" i="1" s="1"/>
  <c r="T2667" i="1"/>
  <c r="AH2667" i="1" s="1"/>
  <c r="T2668" i="1"/>
  <c r="AH2668" i="1" s="1"/>
  <c r="T2669" i="1"/>
  <c r="AH2669" i="1" s="1"/>
  <c r="T2670" i="1"/>
  <c r="AH2670" i="1" s="1"/>
  <c r="T2671" i="1"/>
  <c r="AH2671" i="1" s="1"/>
  <c r="T2672" i="1"/>
  <c r="AH2672" i="1" s="1"/>
  <c r="T2673" i="1"/>
  <c r="AH2673" i="1" s="1"/>
  <c r="T2674" i="1"/>
  <c r="AH2674" i="1" s="1"/>
  <c r="T2675" i="1"/>
  <c r="AH2675" i="1" s="1"/>
  <c r="T2676" i="1"/>
  <c r="AH2676" i="1" s="1"/>
  <c r="T2677" i="1"/>
  <c r="AH2677" i="1" s="1"/>
  <c r="T2678" i="1"/>
  <c r="AH2678" i="1" s="1"/>
  <c r="T2679" i="1"/>
  <c r="AH2679" i="1" s="1"/>
  <c r="T2680" i="1"/>
  <c r="AH2680" i="1" s="1"/>
  <c r="T2681" i="1"/>
  <c r="AH2681" i="1" s="1"/>
  <c r="T2682" i="1"/>
  <c r="AH2682" i="1" s="1"/>
  <c r="T2683" i="1"/>
  <c r="AH2683" i="1" s="1"/>
  <c r="T2684" i="1"/>
  <c r="AH2684" i="1" s="1"/>
  <c r="T2685" i="1"/>
  <c r="AH2685" i="1" s="1"/>
  <c r="T2686" i="1"/>
  <c r="AH2686" i="1" s="1"/>
  <c r="T2687" i="1"/>
  <c r="AH2687" i="1" s="1"/>
  <c r="T2688" i="1"/>
  <c r="AH2688" i="1" s="1"/>
  <c r="T2689" i="1"/>
  <c r="AH2689" i="1" s="1"/>
  <c r="T2690" i="1"/>
  <c r="AH2690" i="1" s="1"/>
  <c r="T2691" i="1"/>
  <c r="AH2691" i="1" s="1"/>
  <c r="T2692" i="1"/>
  <c r="AH2692" i="1" s="1"/>
  <c r="T2693" i="1"/>
  <c r="AH2693" i="1" s="1"/>
  <c r="T2694" i="1"/>
  <c r="AH2694" i="1" s="1"/>
  <c r="T2695" i="1"/>
  <c r="AH2695" i="1" s="1"/>
  <c r="T2696" i="1"/>
  <c r="AH2696" i="1" s="1"/>
  <c r="T2697" i="1"/>
  <c r="AH2697" i="1" s="1"/>
  <c r="T2698" i="1"/>
  <c r="AH2698" i="1" s="1"/>
  <c r="T2699" i="1"/>
  <c r="AH2699" i="1" s="1"/>
  <c r="T2700" i="1"/>
  <c r="AH2700" i="1" s="1"/>
  <c r="T2701" i="1"/>
  <c r="AH2701" i="1" s="1"/>
  <c r="T2702" i="1"/>
  <c r="AH2702" i="1" s="1"/>
  <c r="T2703" i="1"/>
  <c r="AH2703" i="1" s="1"/>
  <c r="T2704" i="1"/>
  <c r="AH2704" i="1" s="1"/>
  <c r="T2705" i="1"/>
  <c r="AH2705" i="1" s="1"/>
  <c r="T2706" i="1"/>
  <c r="AH2706" i="1" s="1"/>
  <c r="T2707" i="1"/>
  <c r="AH2707" i="1" s="1"/>
  <c r="T2708" i="1"/>
  <c r="AH2708" i="1" s="1"/>
  <c r="T2709" i="1"/>
  <c r="AH2709" i="1" s="1"/>
  <c r="T2710" i="1"/>
  <c r="AH2710" i="1" s="1"/>
  <c r="T2711" i="1"/>
  <c r="AH2711" i="1" s="1"/>
  <c r="T2712" i="1"/>
  <c r="AH2712" i="1" s="1"/>
  <c r="T2713" i="1"/>
  <c r="AH2713" i="1" s="1"/>
  <c r="T2714" i="1"/>
  <c r="AH2714" i="1" s="1"/>
  <c r="T2715" i="1"/>
  <c r="AH2715" i="1" s="1"/>
  <c r="T2716" i="1"/>
  <c r="AH2716" i="1" s="1"/>
  <c r="T2717" i="1"/>
  <c r="AH2717" i="1" s="1"/>
  <c r="T2718" i="1"/>
  <c r="AH2718" i="1" s="1"/>
  <c r="T2719" i="1"/>
  <c r="AH2719" i="1" s="1"/>
  <c r="T2720" i="1"/>
  <c r="AH2720" i="1" s="1"/>
  <c r="T2721" i="1"/>
  <c r="AH2721" i="1" s="1"/>
  <c r="T2722" i="1"/>
  <c r="AH2722" i="1" s="1"/>
  <c r="T2723" i="1"/>
  <c r="AH2723" i="1" s="1"/>
  <c r="T2724" i="1"/>
  <c r="AH2724" i="1" s="1"/>
  <c r="T2725" i="1"/>
  <c r="AH2725" i="1" s="1"/>
  <c r="T2726" i="1"/>
  <c r="AH2726" i="1" s="1"/>
  <c r="T2727" i="1"/>
  <c r="AH2727" i="1" s="1"/>
  <c r="T2728" i="1"/>
  <c r="AH2728" i="1" s="1"/>
  <c r="T2729" i="1"/>
  <c r="AH2729" i="1" s="1"/>
  <c r="T2730" i="1"/>
  <c r="AH2730" i="1" s="1"/>
  <c r="T2731" i="1"/>
  <c r="AH2731" i="1" s="1"/>
  <c r="T2732" i="1"/>
  <c r="AH2732" i="1" s="1"/>
  <c r="T2733" i="1"/>
  <c r="AH2733" i="1" s="1"/>
  <c r="T2734" i="1"/>
  <c r="AH2734" i="1" s="1"/>
  <c r="T2735" i="1"/>
  <c r="AH2735" i="1" s="1"/>
  <c r="T2736" i="1"/>
  <c r="AH2736" i="1" s="1"/>
  <c r="T2737" i="1"/>
  <c r="AH2737" i="1" s="1"/>
  <c r="T2738" i="1"/>
  <c r="AH2738" i="1" s="1"/>
  <c r="T2739" i="1"/>
  <c r="AH2739" i="1" s="1"/>
  <c r="T2740" i="1"/>
  <c r="AH2740" i="1" s="1"/>
  <c r="T2741" i="1"/>
  <c r="AH2741" i="1" s="1"/>
  <c r="T2742" i="1"/>
  <c r="AH2742" i="1" s="1"/>
  <c r="T2743" i="1"/>
  <c r="AH2743" i="1" s="1"/>
  <c r="T2744" i="1"/>
  <c r="AH2744" i="1" s="1"/>
  <c r="T2745" i="1"/>
  <c r="AH2745" i="1" s="1"/>
  <c r="T2746" i="1"/>
  <c r="AH2746" i="1" s="1"/>
  <c r="T2747" i="1"/>
  <c r="AH2747" i="1" s="1"/>
  <c r="T2748" i="1"/>
  <c r="AH2748" i="1" s="1"/>
  <c r="T2749" i="1"/>
  <c r="AH2749" i="1" s="1"/>
  <c r="T2750" i="1"/>
  <c r="AH2750" i="1" s="1"/>
  <c r="T2751" i="1"/>
  <c r="AH2751" i="1" s="1"/>
  <c r="T2752" i="1"/>
  <c r="AH2752" i="1" s="1"/>
  <c r="T2753" i="1"/>
  <c r="AH2753" i="1" s="1"/>
  <c r="T2754" i="1"/>
  <c r="AH2754" i="1" s="1"/>
  <c r="T2755" i="1"/>
  <c r="AH2755" i="1" s="1"/>
  <c r="T2756" i="1"/>
  <c r="AH2756" i="1" s="1"/>
  <c r="T2757" i="1"/>
  <c r="AH2757" i="1" s="1"/>
  <c r="T2758" i="1"/>
  <c r="AH2758" i="1" s="1"/>
  <c r="T2759" i="1"/>
  <c r="AH2759" i="1" s="1"/>
  <c r="T2760" i="1"/>
  <c r="AH2760" i="1" s="1"/>
  <c r="T2761" i="1"/>
  <c r="AH2761" i="1" s="1"/>
  <c r="T2762" i="1"/>
  <c r="AH2762" i="1" s="1"/>
  <c r="T2763" i="1"/>
  <c r="AH2763" i="1" s="1"/>
  <c r="T2764" i="1"/>
  <c r="AH2764" i="1" s="1"/>
  <c r="T2765" i="1"/>
  <c r="AH2765" i="1" s="1"/>
  <c r="T2766" i="1"/>
  <c r="AH2766" i="1" s="1"/>
  <c r="T2767" i="1"/>
  <c r="AH2767" i="1" s="1"/>
  <c r="T2768" i="1"/>
  <c r="AH2768" i="1" s="1"/>
  <c r="T2769" i="1"/>
  <c r="AH2769" i="1" s="1"/>
  <c r="T2770" i="1"/>
  <c r="AH2770" i="1" s="1"/>
  <c r="T2771" i="1"/>
  <c r="AH2771" i="1" s="1"/>
  <c r="T2772" i="1"/>
  <c r="AH2772" i="1" s="1"/>
  <c r="T2773" i="1"/>
  <c r="AH2773" i="1" s="1"/>
  <c r="T2774" i="1"/>
  <c r="AH2774" i="1" s="1"/>
  <c r="T2775" i="1"/>
  <c r="AH2775" i="1" s="1"/>
  <c r="T2776" i="1"/>
  <c r="AH2776" i="1" s="1"/>
  <c r="T2777" i="1"/>
  <c r="AH2777" i="1" s="1"/>
  <c r="T2778" i="1"/>
  <c r="AH2778" i="1" s="1"/>
  <c r="T2779" i="1"/>
  <c r="AH2779" i="1" s="1"/>
  <c r="T2780" i="1"/>
  <c r="AH2780" i="1" s="1"/>
  <c r="T2781" i="1"/>
  <c r="AH2781" i="1" s="1"/>
  <c r="T2782" i="1"/>
  <c r="AH2782" i="1" s="1"/>
  <c r="T2783" i="1"/>
  <c r="AH2783" i="1" s="1"/>
  <c r="T2784" i="1"/>
  <c r="AH2784" i="1" s="1"/>
  <c r="T2785" i="1"/>
  <c r="AH2785" i="1" s="1"/>
  <c r="T2786" i="1"/>
  <c r="AH2786" i="1" s="1"/>
  <c r="T2787" i="1"/>
  <c r="AH2787" i="1" s="1"/>
  <c r="T2788" i="1"/>
  <c r="AH2788" i="1" s="1"/>
  <c r="T2789" i="1"/>
  <c r="AH2789" i="1" s="1"/>
  <c r="T2790" i="1"/>
  <c r="AH2790" i="1" s="1"/>
  <c r="T2791" i="1"/>
  <c r="AH2791" i="1" s="1"/>
  <c r="T2792" i="1"/>
  <c r="AH2792" i="1" s="1"/>
  <c r="T2793" i="1"/>
  <c r="AH2793" i="1" s="1"/>
  <c r="T2794" i="1"/>
  <c r="AH2794" i="1" s="1"/>
  <c r="T2795" i="1"/>
  <c r="AH2795" i="1" s="1"/>
  <c r="T2796" i="1"/>
  <c r="AH2796" i="1" s="1"/>
  <c r="T2797" i="1"/>
  <c r="AH2797" i="1" s="1"/>
  <c r="T2798" i="1"/>
  <c r="AH2798" i="1" s="1"/>
  <c r="T2799" i="1"/>
  <c r="AH2799" i="1" s="1"/>
  <c r="T2800" i="1"/>
  <c r="AH2800" i="1" s="1"/>
  <c r="T2801" i="1"/>
  <c r="AH2801" i="1" s="1"/>
  <c r="T2802" i="1"/>
  <c r="AH2802" i="1" s="1"/>
  <c r="T2803" i="1"/>
  <c r="AH2803" i="1" s="1"/>
  <c r="T2804" i="1"/>
  <c r="AH2804" i="1" s="1"/>
  <c r="T2805" i="1"/>
  <c r="AH2805" i="1" s="1"/>
  <c r="T2806" i="1"/>
  <c r="AH2806" i="1" s="1"/>
  <c r="T2807" i="1"/>
  <c r="AH2807" i="1" s="1"/>
  <c r="T2808" i="1"/>
  <c r="AH2808" i="1" s="1"/>
  <c r="T2809" i="1"/>
  <c r="AH2809" i="1" s="1"/>
  <c r="T2810" i="1"/>
  <c r="AH2810" i="1" s="1"/>
  <c r="T2811" i="1"/>
  <c r="AH2811" i="1" s="1"/>
  <c r="T2812" i="1"/>
  <c r="AH2812" i="1" s="1"/>
  <c r="T2813" i="1"/>
  <c r="AH2813" i="1" s="1"/>
  <c r="T2814" i="1"/>
  <c r="AH2814" i="1" s="1"/>
  <c r="T2815" i="1"/>
  <c r="AH2815" i="1" s="1"/>
  <c r="T2816" i="1"/>
  <c r="AH2816" i="1" s="1"/>
  <c r="T2817" i="1"/>
  <c r="AH2817" i="1" s="1"/>
  <c r="T2818" i="1"/>
  <c r="AH2818" i="1" s="1"/>
  <c r="T2819" i="1"/>
  <c r="AH2819" i="1" s="1"/>
  <c r="T2820" i="1"/>
  <c r="AH2820" i="1" s="1"/>
  <c r="T2821" i="1"/>
  <c r="AH2821" i="1" s="1"/>
  <c r="T2822" i="1"/>
  <c r="AH2822" i="1" s="1"/>
  <c r="T2823" i="1"/>
  <c r="AH2823" i="1" s="1"/>
  <c r="T2824" i="1"/>
  <c r="AH2824" i="1" s="1"/>
  <c r="T2825" i="1"/>
  <c r="AH2825" i="1" s="1"/>
  <c r="T2826" i="1"/>
  <c r="AH2826" i="1" s="1"/>
  <c r="T2827" i="1"/>
  <c r="AH2827" i="1" s="1"/>
  <c r="T2828" i="1"/>
  <c r="AH2828" i="1" s="1"/>
  <c r="T2829" i="1"/>
  <c r="AH2829" i="1" s="1"/>
  <c r="T2830" i="1"/>
  <c r="AH2830" i="1" s="1"/>
  <c r="T2831" i="1"/>
  <c r="AH2831" i="1" s="1"/>
  <c r="T2832" i="1"/>
  <c r="AH2832" i="1" s="1"/>
  <c r="T2833" i="1"/>
  <c r="AH2833" i="1" s="1"/>
  <c r="T2834" i="1"/>
  <c r="AH2834" i="1" s="1"/>
  <c r="T2835" i="1"/>
  <c r="AH2835" i="1" s="1"/>
  <c r="T2836" i="1"/>
  <c r="AH2836" i="1" s="1"/>
  <c r="T2837" i="1"/>
  <c r="AH2837" i="1" s="1"/>
  <c r="T2838" i="1"/>
  <c r="AH2838" i="1" s="1"/>
  <c r="T2839" i="1"/>
  <c r="AH2839" i="1" s="1"/>
  <c r="T2840" i="1"/>
  <c r="AH2840" i="1" s="1"/>
  <c r="T2841" i="1"/>
  <c r="AH2841" i="1" s="1"/>
  <c r="T2842" i="1"/>
  <c r="AH2842" i="1" s="1"/>
  <c r="T2843" i="1"/>
  <c r="AH2843" i="1" s="1"/>
  <c r="T2844" i="1"/>
  <c r="AH2844" i="1" s="1"/>
  <c r="T2845" i="1"/>
  <c r="AH2845" i="1" s="1"/>
  <c r="T2846" i="1"/>
  <c r="AH2846" i="1" s="1"/>
  <c r="T2847" i="1"/>
  <c r="AH2847" i="1" s="1"/>
  <c r="T2848" i="1"/>
  <c r="AH2848" i="1" s="1"/>
  <c r="T2849" i="1"/>
  <c r="AH2849" i="1" s="1"/>
  <c r="T2850" i="1"/>
  <c r="AH2850" i="1" s="1"/>
  <c r="T2851" i="1"/>
  <c r="AH2851" i="1" s="1"/>
  <c r="T2852" i="1"/>
  <c r="AH2852" i="1" s="1"/>
  <c r="T2853" i="1"/>
  <c r="AH2853" i="1" s="1"/>
  <c r="T2854" i="1"/>
  <c r="AH2854" i="1" s="1"/>
  <c r="T2855" i="1"/>
  <c r="AH2855" i="1" s="1"/>
  <c r="T2856" i="1"/>
  <c r="AH2856" i="1" s="1"/>
  <c r="T2857" i="1"/>
  <c r="AH2857" i="1" s="1"/>
  <c r="T2858" i="1"/>
  <c r="AH2858" i="1" s="1"/>
  <c r="T2859" i="1"/>
  <c r="AH2859" i="1" s="1"/>
  <c r="T2860" i="1"/>
  <c r="AH2860" i="1" s="1"/>
  <c r="T2861" i="1"/>
  <c r="AH2861" i="1" s="1"/>
  <c r="T2862" i="1"/>
  <c r="AH2862" i="1" s="1"/>
  <c r="T2863" i="1"/>
  <c r="AH2863" i="1" s="1"/>
  <c r="T2864" i="1"/>
  <c r="AH2864" i="1" s="1"/>
  <c r="T2865" i="1"/>
  <c r="AH2865" i="1" s="1"/>
  <c r="T2866" i="1"/>
  <c r="AH2866" i="1" s="1"/>
  <c r="T2867" i="1"/>
  <c r="AH2867" i="1" s="1"/>
  <c r="T2868" i="1"/>
  <c r="AH2868" i="1" s="1"/>
  <c r="T2869" i="1"/>
  <c r="AH2869" i="1" s="1"/>
  <c r="T2870" i="1"/>
  <c r="AH2870" i="1" s="1"/>
  <c r="T2871" i="1"/>
  <c r="AH2871" i="1" s="1"/>
  <c r="T2872" i="1"/>
  <c r="AH2872" i="1" s="1"/>
  <c r="T2873" i="1"/>
  <c r="AH2873" i="1" s="1"/>
  <c r="T2874" i="1"/>
  <c r="AH2874" i="1" s="1"/>
  <c r="T2875" i="1"/>
  <c r="AH2875" i="1" s="1"/>
  <c r="T2876" i="1"/>
  <c r="AH2876" i="1" s="1"/>
  <c r="T2877" i="1"/>
  <c r="AH2877" i="1" s="1"/>
  <c r="T2878" i="1"/>
  <c r="AH2878" i="1" s="1"/>
  <c r="T2879" i="1"/>
  <c r="AH2879" i="1" s="1"/>
  <c r="T2880" i="1"/>
  <c r="AH2880" i="1" s="1"/>
  <c r="T2881" i="1"/>
  <c r="AH2881" i="1" s="1"/>
  <c r="T2882" i="1"/>
  <c r="AH2882" i="1" s="1"/>
  <c r="T2883" i="1"/>
  <c r="AH2883" i="1" s="1"/>
  <c r="T2884" i="1"/>
  <c r="AH2884" i="1" s="1"/>
  <c r="T2885" i="1"/>
  <c r="AH2885" i="1" s="1"/>
  <c r="T2886" i="1"/>
  <c r="AH2886" i="1" s="1"/>
  <c r="T2887" i="1"/>
  <c r="AH2887" i="1" s="1"/>
  <c r="T2888" i="1"/>
  <c r="AH2888" i="1" s="1"/>
  <c r="T2889" i="1"/>
  <c r="AH2889" i="1" s="1"/>
  <c r="T2890" i="1"/>
  <c r="AH2890" i="1" s="1"/>
  <c r="T2891" i="1"/>
  <c r="AH2891" i="1" s="1"/>
  <c r="T2892" i="1"/>
  <c r="AH2892" i="1" s="1"/>
  <c r="T2893" i="1"/>
  <c r="AH2893" i="1" s="1"/>
  <c r="T2894" i="1"/>
  <c r="AH2894" i="1" s="1"/>
  <c r="T2895" i="1"/>
  <c r="AH2895" i="1" s="1"/>
  <c r="T2896" i="1"/>
  <c r="AH2896" i="1" s="1"/>
  <c r="T2897" i="1"/>
  <c r="AH2897" i="1" s="1"/>
  <c r="T2898" i="1"/>
  <c r="AH2898" i="1" s="1"/>
  <c r="T2899" i="1"/>
  <c r="AH2899" i="1" s="1"/>
  <c r="T2900" i="1"/>
  <c r="AH2900" i="1" s="1"/>
  <c r="T2901" i="1"/>
  <c r="AH2901" i="1" s="1"/>
  <c r="T2902" i="1"/>
  <c r="AH2902" i="1" s="1"/>
  <c r="T2903" i="1"/>
  <c r="AH2903" i="1" s="1"/>
  <c r="T2904" i="1"/>
  <c r="AH2904" i="1" s="1"/>
  <c r="T2905" i="1"/>
  <c r="AH2905" i="1" s="1"/>
  <c r="T2906" i="1"/>
  <c r="AH2906" i="1" s="1"/>
  <c r="T2907" i="1"/>
  <c r="AH2907" i="1" s="1"/>
  <c r="T2908" i="1"/>
  <c r="AH2908" i="1" s="1"/>
  <c r="T2909" i="1"/>
  <c r="AH2909" i="1" s="1"/>
  <c r="T2910" i="1"/>
  <c r="AH2910" i="1" s="1"/>
  <c r="T2911" i="1"/>
  <c r="AH2911" i="1" s="1"/>
  <c r="T2912" i="1"/>
  <c r="AH2912" i="1" s="1"/>
  <c r="T2913" i="1"/>
  <c r="AH2913" i="1" s="1"/>
  <c r="T2914" i="1"/>
  <c r="AH2914" i="1" s="1"/>
  <c r="T2915" i="1"/>
  <c r="AH2915" i="1" s="1"/>
  <c r="T2916" i="1"/>
  <c r="AH2916" i="1" s="1"/>
  <c r="T2917" i="1"/>
  <c r="AH2917" i="1" s="1"/>
  <c r="T2918" i="1"/>
  <c r="AH2918" i="1" s="1"/>
  <c r="T2919" i="1"/>
  <c r="AH2919" i="1" s="1"/>
  <c r="T2920" i="1"/>
  <c r="AH2920" i="1" s="1"/>
  <c r="T2921" i="1"/>
  <c r="AH2921" i="1" s="1"/>
  <c r="T2922" i="1"/>
  <c r="AH2922" i="1" s="1"/>
  <c r="T2923" i="1"/>
  <c r="AH2923" i="1" s="1"/>
  <c r="T2924" i="1"/>
  <c r="AH2924" i="1" s="1"/>
  <c r="T2925" i="1"/>
  <c r="AH2925" i="1" s="1"/>
  <c r="T2926" i="1"/>
  <c r="AH2926" i="1" s="1"/>
  <c r="T2927" i="1"/>
  <c r="AH2927" i="1" s="1"/>
  <c r="T2928" i="1"/>
  <c r="AH2928" i="1" s="1"/>
  <c r="T2929" i="1"/>
  <c r="AH2929" i="1" s="1"/>
  <c r="T2930" i="1"/>
  <c r="AH2930" i="1" s="1"/>
  <c r="T2931" i="1"/>
  <c r="AH2931" i="1" s="1"/>
  <c r="T2932" i="1"/>
  <c r="AH2932" i="1" s="1"/>
  <c r="T2933" i="1"/>
  <c r="AH2933" i="1" s="1"/>
  <c r="T2934" i="1"/>
  <c r="AH2934" i="1" s="1"/>
  <c r="T2935" i="1"/>
  <c r="AH2935" i="1" s="1"/>
  <c r="T2936" i="1"/>
  <c r="AH2936" i="1" s="1"/>
  <c r="T2937" i="1"/>
  <c r="AH2937" i="1" s="1"/>
  <c r="T2938" i="1"/>
  <c r="AH2938" i="1" s="1"/>
  <c r="T2939" i="1"/>
  <c r="AH2939" i="1" s="1"/>
  <c r="T2940" i="1"/>
  <c r="AH2940" i="1" s="1"/>
  <c r="T2941" i="1"/>
  <c r="AH2941" i="1" s="1"/>
  <c r="T2942" i="1"/>
  <c r="AH2942" i="1" s="1"/>
  <c r="T2943" i="1"/>
  <c r="AH2943" i="1" s="1"/>
  <c r="T2944" i="1"/>
  <c r="AH2944" i="1" s="1"/>
  <c r="T2945" i="1"/>
  <c r="AH2945" i="1" s="1"/>
  <c r="T2946" i="1"/>
  <c r="AH2946" i="1" s="1"/>
  <c r="T2947" i="1"/>
  <c r="AH2947" i="1" s="1"/>
  <c r="T2948" i="1"/>
  <c r="AH2948" i="1" s="1"/>
  <c r="T2949" i="1"/>
  <c r="AH2949" i="1" s="1"/>
  <c r="T2950" i="1"/>
  <c r="AH2950" i="1" s="1"/>
  <c r="T2951" i="1"/>
  <c r="AH2951" i="1" s="1"/>
  <c r="T2952" i="1"/>
  <c r="AH2952" i="1" s="1"/>
  <c r="T2953" i="1"/>
  <c r="AH2953" i="1" s="1"/>
  <c r="T2954" i="1"/>
  <c r="AH2954" i="1" s="1"/>
  <c r="T2955" i="1"/>
  <c r="AH2955" i="1" s="1"/>
  <c r="T2956" i="1"/>
  <c r="AH2956" i="1" s="1"/>
  <c r="T2957" i="1"/>
  <c r="AH2957" i="1" s="1"/>
  <c r="T2958" i="1"/>
  <c r="AH2958" i="1" s="1"/>
  <c r="T2959" i="1"/>
  <c r="AH2959" i="1" s="1"/>
  <c r="T2960" i="1"/>
  <c r="AH2960" i="1" s="1"/>
  <c r="T2961" i="1"/>
  <c r="AH2961" i="1" s="1"/>
  <c r="T2962" i="1"/>
  <c r="AH2962" i="1" s="1"/>
  <c r="T2963" i="1"/>
  <c r="AH2963" i="1" s="1"/>
  <c r="T2964" i="1"/>
  <c r="AH2964" i="1" s="1"/>
  <c r="T2965" i="1"/>
  <c r="AH2965" i="1" s="1"/>
  <c r="T2966" i="1"/>
  <c r="AH2966" i="1" s="1"/>
  <c r="T2967" i="1"/>
  <c r="AH2967" i="1" s="1"/>
  <c r="T2968" i="1"/>
  <c r="AH2968" i="1" s="1"/>
  <c r="T2969" i="1"/>
  <c r="AH2969" i="1" s="1"/>
  <c r="T2970" i="1"/>
  <c r="AH2970" i="1" s="1"/>
  <c r="T2971" i="1"/>
  <c r="AH2971" i="1" s="1"/>
  <c r="T2972" i="1"/>
  <c r="AH2972" i="1" s="1"/>
  <c r="T2973" i="1"/>
  <c r="AH2973" i="1" s="1"/>
  <c r="T2974" i="1"/>
  <c r="AH2974" i="1" s="1"/>
  <c r="T2975" i="1"/>
  <c r="AH2975" i="1" s="1"/>
  <c r="T2976" i="1"/>
  <c r="AH2976" i="1" s="1"/>
  <c r="T2977" i="1"/>
  <c r="AH2977" i="1" s="1"/>
  <c r="T2978" i="1"/>
  <c r="AH2978" i="1" s="1"/>
  <c r="T2979" i="1"/>
  <c r="AH2979" i="1" s="1"/>
  <c r="T2980" i="1"/>
  <c r="AH2980" i="1" s="1"/>
  <c r="T2981" i="1"/>
  <c r="AH2981" i="1" s="1"/>
  <c r="T2982" i="1"/>
  <c r="AH2982" i="1" s="1"/>
  <c r="T2983" i="1"/>
  <c r="AH2983" i="1" s="1"/>
  <c r="T2984" i="1"/>
  <c r="AH2984" i="1" s="1"/>
  <c r="T2985" i="1"/>
  <c r="AH2985" i="1" s="1"/>
  <c r="T2986" i="1"/>
  <c r="AH2986" i="1" s="1"/>
  <c r="T2987" i="1"/>
  <c r="AH2987" i="1" s="1"/>
  <c r="T2988" i="1"/>
  <c r="AH2988" i="1" s="1"/>
  <c r="T2989" i="1"/>
  <c r="AH2989" i="1" s="1"/>
  <c r="T2990" i="1"/>
  <c r="AH2990" i="1" s="1"/>
  <c r="T2991" i="1"/>
  <c r="AH2991" i="1" s="1"/>
  <c r="T2992" i="1"/>
  <c r="AH2992" i="1" s="1"/>
  <c r="T2993" i="1"/>
  <c r="AH2993" i="1" s="1"/>
  <c r="T2994" i="1"/>
  <c r="AH2994" i="1" s="1"/>
  <c r="T2995" i="1"/>
  <c r="AH2995" i="1" s="1"/>
  <c r="T2996" i="1"/>
  <c r="AH2996" i="1" s="1"/>
  <c r="T2997" i="1"/>
  <c r="AH2997" i="1" s="1"/>
  <c r="T2998" i="1"/>
  <c r="AH2998" i="1" s="1"/>
  <c r="T2999" i="1"/>
  <c r="AH2999" i="1" s="1"/>
  <c r="T3000" i="1"/>
  <c r="AH3000" i="1" s="1"/>
  <c r="T3001" i="1"/>
  <c r="AH3001" i="1" s="1"/>
  <c r="T3002" i="1"/>
  <c r="AH3002" i="1" s="1"/>
  <c r="T3003" i="1"/>
  <c r="AH3003" i="1" s="1"/>
  <c r="T3004" i="1"/>
  <c r="AH3004" i="1" s="1"/>
  <c r="T3005" i="1"/>
  <c r="AH3005" i="1" s="1"/>
  <c r="T3006" i="1"/>
  <c r="AH3006" i="1" s="1"/>
  <c r="T3007" i="1"/>
  <c r="AH3007" i="1" s="1"/>
  <c r="I11" i="1" l="1"/>
  <c r="X3006" i="1" l="1"/>
  <c r="Z3006" i="1" s="1"/>
  <c r="W3006" i="1"/>
  <c r="S3006" i="1"/>
  <c r="Q3006" i="1"/>
  <c r="N3006" i="1"/>
  <c r="L3006" i="1"/>
  <c r="K3006" i="1"/>
  <c r="AB3006" i="1"/>
  <c r="I3006" i="1"/>
  <c r="X3005" i="1"/>
  <c r="Z3005" i="1" s="1"/>
  <c r="W3005" i="1"/>
  <c r="S3005" i="1"/>
  <c r="Q3005" i="1"/>
  <c r="N3005" i="1"/>
  <c r="L3005" i="1"/>
  <c r="K3005" i="1"/>
  <c r="AB3005" i="1"/>
  <c r="I3005" i="1"/>
  <c r="X3004" i="1"/>
  <c r="Z3004" i="1" s="1"/>
  <c r="W3004" i="1"/>
  <c r="S3004" i="1"/>
  <c r="Q3004" i="1"/>
  <c r="N3004" i="1"/>
  <c r="L3004" i="1"/>
  <c r="K3004" i="1"/>
  <c r="AB3004" i="1"/>
  <c r="I3004" i="1"/>
  <c r="X3003" i="1"/>
  <c r="Z3003" i="1" s="1"/>
  <c r="W3003" i="1"/>
  <c r="S3003" i="1"/>
  <c r="Q3003" i="1"/>
  <c r="N3003" i="1"/>
  <c r="L3003" i="1"/>
  <c r="K3003" i="1"/>
  <c r="AB3003" i="1"/>
  <c r="I3003" i="1"/>
  <c r="X3002" i="1"/>
  <c r="Z3002" i="1" s="1"/>
  <c r="W3002" i="1"/>
  <c r="S3002" i="1"/>
  <c r="Q3002" i="1"/>
  <c r="N3002" i="1"/>
  <c r="L3002" i="1"/>
  <c r="K3002" i="1"/>
  <c r="AB3002" i="1"/>
  <c r="I3002" i="1"/>
  <c r="X3001" i="1"/>
  <c r="Z3001" i="1" s="1"/>
  <c r="W3001" i="1"/>
  <c r="S3001" i="1"/>
  <c r="Q3001" i="1"/>
  <c r="N3001" i="1"/>
  <c r="L3001" i="1"/>
  <c r="K3001" i="1"/>
  <c r="AB3001" i="1"/>
  <c r="I3001" i="1"/>
  <c r="X3000" i="1"/>
  <c r="Z3000" i="1" s="1"/>
  <c r="W3000" i="1"/>
  <c r="S3000" i="1"/>
  <c r="Q3000" i="1"/>
  <c r="N3000" i="1"/>
  <c r="L3000" i="1"/>
  <c r="K3000" i="1"/>
  <c r="AB3000" i="1"/>
  <c r="I3000" i="1"/>
  <c r="X2999" i="1"/>
  <c r="Z2999" i="1" s="1"/>
  <c r="W2999" i="1"/>
  <c r="S2999" i="1"/>
  <c r="Q2999" i="1"/>
  <c r="N2999" i="1"/>
  <c r="L2999" i="1"/>
  <c r="K2999" i="1"/>
  <c r="AB2999" i="1"/>
  <c r="I2999" i="1"/>
  <c r="X2998" i="1"/>
  <c r="Z2998" i="1" s="1"/>
  <c r="W2998" i="1"/>
  <c r="S2998" i="1"/>
  <c r="Q2998" i="1"/>
  <c r="N2998" i="1"/>
  <c r="L2998" i="1"/>
  <c r="K2998" i="1"/>
  <c r="AB2998" i="1"/>
  <c r="I2998" i="1"/>
  <c r="X2997" i="1"/>
  <c r="Z2997" i="1" s="1"/>
  <c r="W2997" i="1"/>
  <c r="S2997" i="1"/>
  <c r="Q2997" i="1"/>
  <c r="N2997" i="1"/>
  <c r="L2997" i="1"/>
  <c r="K2997" i="1"/>
  <c r="AB2997" i="1"/>
  <c r="I2997" i="1"/>
  <c r="X2996" i="1"/>
  <c r="Z2996" i="1" s="1"/>
  <c r="W2996" i="1"/>
  <c r="S2996" i="1"/>
  <c r="Q2996" i="1"/>
  <c r="N2996" i="1"/>
  <c r="L2996" i="1"/>
  <c r="K2996" i="1"/>
  <c r="AB2996" i="1"/>
  <c r="I2996" i="1"/>
  <c r="X2995" i="1"/>
  <c r="Z2995" i="1" s="1"/>
  <c r="W2995" i="1"/>
  <c r="S2995" i="1"/>
  <c r="Q2995" i="1"/>
  <c r="N2995" i="1"/>
  <c r="L2995" i="1"/>
  <c r="K2995" i="1"/>
  <c r="AB2995" i="1"/>
  <c r="I2995" i="1"/>
  <c r="X2994" i="1"/>
  <c r="Z2994" i="1" s="1"/>
  <c r="W2994" i="1"/>
  <c r="S2994" i="1"/>
  <c r="Q2994" i="1"/>
  <c r="N2994" i="1"/>
  <c r="L2994" i="1"/>
  <c r="K2994" i="1"/>
  <c r="AB2994" i="1"/>
  <c r="I2994" i="1"/>
  <c r="X2993" i="1"/>
  <c r="Z2993" i="1" s="1"/>
  <c r="W2993" i="1"/>
  <c r="S2993" i="1"/>
  <c r="Q2993" i="1"/>
  <c r="N2993" i="1"/>
  <c r="L2993" i="1"/>
  <c r="K2993" i="1"/>
  <c r="M2993" i="1" s="1"/>
  <c r="R2993" i="1" s="1"/>
  <c r="AB2993" i="1"/>
  <c r="I2993" i="1"/>
  <c r="X2992" i="1"/>
  <c r="Z2992" i="1" s="1"/>
  <c r="W2992" i="1"/>
  <c r="S2992" i="1"/>
  <c r="Q2992" i="1"/>
  <c r="N2992" i="1"/>
  <c r="L2992" i="1"/>
  <c r="K2992" i="1"/>
  <c r="AB2992" i="1"/>
  <c r="I2992" i="1"/>
  <c r="X2991" i="1"/>
  <c r="Z2991" i="1" s="1"/>
  <c r="W2991" i="1"/>
  <c r="S2991" i="1"/>
  <c r="Q2991" i="1"/>
  <c r="N2991" i="1"/>
  <c r="L2991" i="1"/>
  <c r="K2991" i="1"/>
  <c r="AB2991" i="1"/>
  <c r="I2991" i="1"/>
  <c r="X2990" i="1"/>
  <c r="Z2990" i="1" s="1"/>
  <c r="W2990" i="1"/>
  <c r="S2990" i="1"/>
  <c r="Q2990" i="1"/>
  <c r="N2990" i="1"/>
  <c r="L2990" i="1"/>
  <c r="K2990" i="1"/>
  <c r="AB2990" i="1"/>
  <c r="I2990" i="1"/>
  <c r="X2989" i="1"/>
  <c r="Z2989" i="1" s="1"/>
  <c r="W2989" i="1"/>
  <c r="S2989" i="1"/>
  <c r="Q2989" i="1"/>
  <c r="N2989" i="1"/>
  <c r="L2989" i="1"/>
  <c r="Y2989" i="1" s="1"/>
  <c r="K2989" i="1"/>
  <c r="AB2989" i="1"/>
  <c r="I2989" i="1"/>
  <c r="X2988" i="1"/>
  <c r="Z2988" i="1" s="1"/>
  <c r="W2988" i="1"/>
  <c r="S2988" i="1"/>
  <c r="Q2988" i="1"/>
  <c r="N2988" i="1"/>
  <c r="L2988" i="1"/>
  <c r="K2988" i="1"/>
  <c r="AB2988" i="1"/>
  <c r="I2988" i="1"/>
  <c r="X2987" i="1"/>
  <c r="Z2987" i="1" s="1"/>
  <c r="W2987" i="1"/>
  <c r="S2987" i="1"/>
  <c r="Q2987" i="1"/>
  <c r="N2987" i="1"/>
  <c r="L2987" i="1"/>
  <c r="K2987" i="1"/>
  <c r="AB2987" i="1"/>
  <c r="I2987" i="1"/>
  <c r="X2986" i="1"/>
  <c r="Z2986" i="1" s="1"/>
  <c r="W2986" i="1"/>
  <c r="S2986" i="1"/>
  <c r="Q2986" i="1"/>
  <c r="N2986" i="1"/>
  <c r="L2986" i="1"/>
  <c r="K2986" i="1"/>
  <c r="AB2986" i="1"/>
  <c r="I2986" i="1"/>
  <c r="X2985" i="1"/>
  <c r="Z2985" i="1" s="1"/>
  <c r="W2985" i="1"/>
  <c r="S2985" i="1"/>
  <c r="Q2985" i="1"/>
  <c r="N2985" i="1"/>
  <c r="L2985" i="1"/>
  <c r="K2985" i="1"/>
  <c r="AB2985" i="1"/>
  <c r="I2985" i="1"/>
  <c r="X2984" i="1"/>
  <c r="Z2984" i="1" s="1"/>
  <c r="W2984" i="1"/>
  <c r="S2984" i="1"/>
  <c r="Q2984" i="1"/>
  <c r="N2984" i="1"/>
  <c r="L2984" i="1"/>
  <c r="K2984" i="1"/>
  <c r="AB2984" i="1"/>
  <c r="I2984" i="1"/>
  <c r="X2983" i="1"/>
  <c r="Z2983" i="1" s="1"/>
  <c r="W2983" i="1"/>
  <c r="S2983" i="1"/>
  <c r="Q2983" i="1"/>
  <c r="N2983" i="1"/>
  <c r="L2983" i="1"/>
  <c r="K2983" i="1"/>
  <c r="AB2983" i="1"/>
  <c r="I2983" i="1"/>
  <c r="X2982" i="1"/>
  <c r="Z2982" i="1" s="1"/>
  <c r="W2982" i="1"/>
  <c r="S2982" i="1"/>
  <c r="Q2982" i="1"/>
  <c r="N2982" i="1"/>
  <c r="L2982" i="1"/>
  <c r="K2982" i="1"/>
  <c r="AB2982" i="1"/>
  <c r="I2982" i="1"/>
  <c r="X2981" i="1"/>
  <c r="Z2981" i="1" s="1"/>
  <c r="W2981" i="1"/>
  <c r="S2981" i="1"/>
  <c r="Q2981" i="1"/>
  <c r="N2981" i="1"/>
  <c r="L2981" i="1"/>
  <c r="K2981" i="1"/>
  <c r="AB2981" i="1"/>
  <c r="I2981" i="1"/>
  <c r="X2980" i="1"/>
  <c r="Z2980" i="1" s="1"/>
  <c r="W2980" i="1"/>
  <c r="S2980" i="1"/>
  <c r="Q2980" i="1"/>
  <c r="N2980" i="1"/>
  <c r="L2980" i="1"/>
  <c r="K2980" i="1"/>
  <c r="AB2980" i="1"/>
  <c r="I2980" i="1"/>
  <c r="X2979" i="1"/>
  <c r="Z2979" i="1" s="1"/>
  <c r="W2979" i="1"/>
  <c r="S2979" i="1"/>
  <c r="Q2979" i="1"/>
  <c r="N2979" i="1"/>
  <c r="L2979" i="1"/>
  <c r="K2979" i="1"/>
  <c r="AB2979" i="1"/>
  <c r="I2979" i="1"/>
  <c r="X2978" i="1"/>
  <c r="Z2978" i="1" s="1"/>
  <c r="W2978" i="1"/>
  <c r="S2978" i="1"/>
  <c r="Q2978" i="1"/>
  <c r="N2978" i="1"/>
  <c r="L2978" i="1"/>
  <c r="K2978" i="1"/>
  <c r="AB2978" i="1"/>
  <c r="I2978" i="1"/>
  <c r="X2977" i="1"/>
  <c r="Z2977" i="1" s="1"/>
  <c r="W2977" i="1"/>
  <c r="S2977" i="1"/>
  <c r="Q2977" i="1"/>
  <c r="N2977" i="1"/>
  <c r="L2977" i="1"/>
  <c r="K2977" i="1"/>
  <c r="AB2977" i="1"/>
  <c r="I2977" i="1"/>
  <c r="X2976" i="1"/>
  <c r="Z2976" i="1" s="1"/>
  <c r="W2976" i="1"/>
  <c r="S2976" i="1"/>
  <c r="Q2976" i="1"/>
  <c r="N2976" i="1"/>
  <c r="L2976" i="1"/>
  <c r="K2976" i="1"/>
  <c r="AB2976" i="1"/>
  <c r="I2976" i="1"/>
  <c r="X2975" i="1"/>
  <c r="Z2975" i="1" s="1"/>
  <c r="W2975" i="1"/>
  <c r="S2975" i="1"/>
  <c r="Q2975" i="1"/>
  <c r="N2975" i="1"/>
  <c r="L2975" i="1"/>
  <c r="K2975" i="1"/>
  <c r="AB2975" i="1"/>
  <c r="I2975" i="1"/>
  <c r="X2974" i="1"/>
  <c r="Z2974" i="1" s="1"/>
  <c r="W2974" i="1"/>
  <c r="S2974" i="1"/>
  <c r="Q2974" i="1"/>
  <c r="N2974" i="1"/>
  <c r="L2974" i="1"/>
  <c r="K2974" i="1"/>
  <c r="AB2974" i="1"/>
  <c r="I2974" i="1"/>
  <c r="X2973" i="1"/>
  <c r="Z2973" i="1" s="1"/>
  <c r="W2973" i="1"/>
  <c r="S2973" i="1"/>
  <c r="Q2973" i="1"/>
  <c r="N2973" i="1"/>
  <c r="L2973" i="1"/>
  <c r="Y2973" i="1" s="1"/>
  <c r="K2973" i="1"/>
  <c r="AB2973" i="1"/>
  <c r="I2973" i="1"/>
  <c r="X2972" i="1"/>
  <c r="Z2972" i="1" s="1"/>
  <c r="W2972" i="1"/>
  <c r="S2972" i="1"/>
  <c r="Q2972" i="1"/>
  <c r="N2972" i="1"/>
  <c r="L2972" i="1"/>
  <c r="K2972" i="1"/>
  <c r="AB2972" i="1"/>
  <c r="I2972" i="1"/>
  <c r="X2971" i="1"/>
  <c r="Z2971" i="1" s="1"/>
  <c r="W2971" i="1"/>
  <c r="S2971" i="1"/>
  <c r="Q2971" i="1"/>
  <c r="N2971" i="1"/>
  <c r="L2971" i="1"/>
  <c r="K2971" i="1"/>
  <c r="AB2971" i="1"/>
  <c r="I2971" i="1"/>
  <c r="X2970" i="1"/>
  <c r="Z2970" i="1" s="1"/>
  <c r="W2970" i="1"/>
  <c r="S2970" i="1"/>
  <c r="Q2970" i="1"/>
  <c r="N2970" i="1"/>
  <c r="L2970" i="1"/>
  <c r="K2970" i="1"/>
  <c r="AB2970" i="1"/>
  <c r="I2970" i="1"/>
  <c r="X2969" i="1"/>
  <c r="Z2969" i="1" s="1"/>
  <c r="W2969" i="1"/>
  <c r="S2969" i="1"/>
  <c r="Q2969" i="1"/>
  <c r="N2969" i="1"/>
  <c r="L2969" i="1"/>
  <c r="K2969" i="1"/>
  <c r="AB2969" i="1"/>
  <c r="I2969" i="1"/>
  <c r="X2968" i="1"/>
  <c r="Z2968" i="1" s="1"/>
  <c r="W2968" i="1"/>
  <c r="S2968" i="1"/>
  <c r="Q2968" i="1"/>
  <c r="N2968" i="1"/>
  <c r="L2968" i="1"/>
  <c r="K2968" i="1"/>
  <c r="AB2968" i="1"/>
  <c r="I2968" i="1"/>
  <c r="X2967" i="1"/>
  <c r="Z2967" i="1" s="1"/>
  <c r="W2967" i="1"/>
  <c r="S2967" i="1"/>
  <c r="Q2967" i="1"/>
  <c r="N2967" i="1"/>
  <c r="L2967" i="1"/>
  <c r="K2967" i="1"/>
  <c r="AB2967" i="1"/>
  <c r="I2967" i="1"/>
  <c r="X2966" i="1"/>
  <c r="Z2966" i="1" s="1"/>
  <c r="W2966" i="1"/>
  <c r="S2966" i="1"/>
  <c r="Q2966" i="1"/>
  <c r="N2966" i="1"/>
  <c r="L2966" i="1"/>
  <c r="K2966" i="1"/>
  <c r="AB2966" i="1"/>
  <c r="I2966" i="1"/>
  <c r="X2965" i="1"/>
  <c r="Z2965" i="1" s="1"/>
  <c r="W2965" i="1"/>
  <c r="S2965" i="1"/>
  <c r="Q2965" i="1"/>
  <c r="N2965" i="1"/>
  <c r="L2965" i="1"/>
  <c r="Y2965" i="1" s="1"/>
  <c r="K2965" i="1"/>
  <c r="AB2965" i="1"/>
  <c r="I2965" i="1"/>
  <c r="X2964" i="1"/>
  <c r="Z2964" i="1" s="1"/>
  <c r="W2964" i="1"/>
  <c r="S2964" i="1"/>
  <c r="Q2964" i="1"/>
  <c r="N2964" i="1"/>
  <c r="L2964" i="1"/>
  <c r="K2964" i="1"/>
  <c r="AB2964" i="1"/>
  <c r="I2964" i="1"/>
  <c r="X2963" i="1"/>
  <c r="Z2963" i="1" s="1"/>
  <c r="W2963" i="1"/>
  <c r="S2963" i="1"/>
  <c r="Q2963" i="1"/>
  <c r="N2963" i="1"/>
  <c r="L2963" i="1"/>
  <c r="K2963" i="1"/>
  <c r="AB2963" i="1"/>
  <c r="I2963" i="1"/>
  <c r="X2962" i="1"/>
  <c r="Z2962" i="1" s="1"/>
  <c r="W2962" i="1"/>
  <c r="S2962" i="1"/>
  <c r="Q2962" i="1"/>
  <c r="N2962" i="1"/>
  <c r="L2962" i="1"/>
  <c r="K2962" i="1"/>
  <c r="AB2962" i="1"/>
  <c r="I2962" i="1"/>
  <c r="X2961" i="1"/>
  <c r="Z2961" i="1" s="1"/>
  <c r="W2961" i="1"/>
  <c r="S2961" i="1"/>
  <c r="Q2961" i="1"/>
  <c r="N2961" i="1"/>
  <c r="L2961" i="1"/>
  <c r="K2961" i="1"/>
  <c r="AB2961" i="1"/>
  <c r="I2961" i="1"/>
  <c r="X2960" i="1"/>
  <c r="Z2960" i="1" s="1"/>
  <c r="W2960" i="1"/>
  <c r="S2960" i="1"/>
  <c r="Q2960" i="1"/>
  <c r="N2960" i="1"/>
  <c r="L2960" i="1"/>
  <c r="K2960" i="1"/>
  <c r="AB2960" i="1"/>
  <c r="I2960" i="1"/>
  <c r="X2959" i="1"/>
  <c r="Z2959" i="1" s="1"/>
  <c r="W2959" i="1"/>
  <c r="S2959" i="1"/>
  <c r="Q2959" i="1"/>
  <c r="N2959" i="1"/>
  <c r="L2959" i="1"/>
  <c r="K2959" i="1"/>
  <c r="AB2959" i="1"/>
  <c r="I2959" i="1"/>
  <c r="X2958" i="1"/>
  <c r="Z2958" i="1" s="1"/>
  <c r="W2958" i="1"/>
  <c r="S2958" i="1"/>
  <c r="Q2958" i="1"/>
  <c r="N2958" i="1"/>
  <c r="L2958" i="1"/>
  <c r="K2958" i="1"/>
  <c r="AB2958" i="1"/>
  <c r="I2958" i="1"/>
  <c r="X2957" i="1"/>
  <c r="Z2957" i="1" s="1"/>
  <c r="W2957" i="1"/>
  <c r="S2957" i="1"/>
  <c r="Q2957" i="1"/>
  <c r="N2957" i="1"/>
  <c r="L2957" i="1"/>
  <c r="Y2957" i="1" s="1"/>
  <c r="K2957" i="1"/>
  <c r="AB2957" i="1"/>
  <c r="I2957" i="1"/>
  <c r="X2956" i="1"/>
  <c r="Z2956" i="1" s="1"/>
  <c r="W2956" i="1"/>
  <c r="S2956" i="1"/>
  <c r="Q2956" i="1"/>
  <c r="N2956" i="1"/>
  <c r="L2956" i="1"/>
  <c r="K2956" i="1"/>
  <c r="AB2956" i="1"/>
  <c r="I2956" i="1"/>
  <c r="X2955" i="1"/>
  <c r="Z2955" i="1" s="1"/>
  <c r="W2955" i="1"/>
  <c r="S2955" i="1"/>
  <c r="Q2955" i="1"/>
  <c r="N2955" i="1"/>
  <c r="L2955" i="1"/>
  <c r="K2955" i="1"/>
  <c r="AB2955" i="1"/>
  <c r="I2955" i="1"/>
  <c r="X2954" i="1"/>
  <c r="Z2954" i="1" s="1"/>
  <c r="W2954" i="1"/>
  <c r="S2954" i="1"/>
  <c r="Q2954" i="1"/>
  <c r="N2954" i="1"/>
  <c r="L2954" i="1"/>
  <c r="K2954" i="1"/>
  <c r="AB2954" i="1"/>
  <c r="I2954" i="1"/>
  <c r="X2953" i="1"/>
  <c r="Z2953" i="1" s="1"/>
  <c r="W2953" i="1"/>
  <c r="S2953" i="1"/>
  <c r="Q2953" i="1"/>
  <c r="N2953" i="1"/>
  <c r="L2953" i="1"/>
  <c r="Y2953" i="1" s="1"/>
  <c r="K2953" i="1"/>
  <c r="AB2953" i="1"/>
  <c r="I2953" i="1"/>
  <c r="X2952" i="1"/>
  <c r="Z2952" i="1" s="1"/>
  <c r="W2952" i="1"/>
  <c r="S2952" i="1"/>
  <c r="Q2952" i="1"/>
  <c r="N2952" i="1"/>
  <c r="L2952" i="1"/>
  <c r="K2952" i="1"/>
  <c r="AB2952" i="1"/>
  <c r="I2952" i="1"/>
  <c r="X2951" i="1"/>
  <c r="Z2951" i="1" s="1"/>
  <c r="W2951" i="1"/>
  <c r="S2951" i="1"/>
  <c r="Q2951" i="1"/>
  <c r="N2951" i="1"/>
  <c r="L2951" i="1"/>
  <c r="K2951" i="1"/>
  <c r="AB2951" i="1"/>
  <c r="I2951" i="1"/>
  <c r="X2950" i="1"/>
  <c r="Z2950" i="1" s="1"/>
  <c r="W2950" i="1"/>
  <c r="S2950" i="1"/>
  <c r="Q2950" i="1"/>
  <c r="N2950" i="1"/>
  <c r="L2950" i="1"/>
  <c r="K2950" i="1"/>
  <c r="AB2950" i="1"/>
  <c r="I2950" i="1"/>
  <c r="X2949" i="1"/>
  <c r="Z2949" i="1" s="1"/>
  <c r="W2949" i="1"/>
  <c r="S2949" i="1"/>
  <c r="Q2949" i="1"/>
  <c r="N2949" i="1"/>
  <c r="L2949" i="1"/>
  <c r="K2949" i="1"/>
  <c r="AB2949" i="1"/>
  <c r="I2949" i="1"/>
  <c r="X2948" i="1"/>
  <c r="Z2948" i="1" s="1"/>
  <c r="W2948" i="1"/>
  <c r="S2948" i="1"/>
  <c r="Q2948" i="1"/>
  <c r="N2948" i="1"/>
  <c r="L2948" i="1"/>
  <c r="K2948" i="1"/>
  <c r="AB2948" i="1"/>
  <c r="I2948" i="1"/>
  <c r="X2947" i="1"/>
  <c r="Z2947" i="1" s="1"/>
  <c r="W2947" i="1"/>
  <c r="S2947" i="1"/>
  <c r="Q2947" i="1"/>
  <c r="N2947" i="1"/>
  <c r="L2947" i="1"/>
  <c r="K2947" i="1"/>
  <c r="AB2947" i="1"/>
  <c r="I2947" i="1"/>
  <c r="X2946" i="1"/>
  <c r="Z2946" i="1" s="1"/>
  <c r="W2946" i="1"/>
  <c r="S2946" i="1"/>
  <c r="Q2946" i="1"/>
  <c r="N2946" i="1"/>
  <c r="L2946" i="1"/>
  <c r="K2946" i="1"/>
  <c r="AB2946" i="1"/>
  <c r="I2946" i="1"/>
  <c r="X2945" i="1"/>
  <c r="Z2945" i="1" s="1"/>
  <c r="W2945" i="1"/>
  <c r="S2945" i="1"/>
  <c r="Q2945" i="1"/>
  <c r="N2945" i="1"/>
  <c r="L2945" i="1"/>
  <c r="K2945" i="1"/>
  <c r="AB2945" i="1"/>
  <c r="I2945" i="1"/>
  <c r="X2944" i="1"/>
  <c r="Z2944" i="1" s="1"/>
  <c r="W2944" i="1"/>
  <c r="S2944" i="1"/>
  <c r="Q2944" i="1"/>
  <c r="N2944" i="1"/>
  <c r="L2944" i="1"/>
  <c r="K2944" i="1"/>
  <c r="AB2944" i="1"/>
  <c r="I2944" i="1"/>
  <c r="X2943" i="1"/>
  <c r="Z2943" i="1" s="1"/>
  <c r="W2943" i="1"/>
  <c r="S2943" i="1"/>
  <c r="Q2943" i="1"/>
  <c r="N2943" i="1"/>
  <c r="L2943" i="1"/>
  <c r="K2943" i="1"/>
  <c r="AB2943" i="1"/>
  <c r="I2943" i="1"/>
  <c r="X2942" i="1"/>
  <c r="Z2942" i="1" s="1"/>
  <c r="W2942" i="1"/>
  <c r="S2942" i="1"/>
  <c r="Q2942" i="1"/>
  <c r="N2942" i="1"/>
  <c r="L2942" i="1"/>
  <c r="K2942" i="1"/>
  <c r="AB2942" i="1"/>
  <c r="I2942" i="1"/>
  <c r="X2941" i="1"/>
  <c r="Z2941" i="1" s="1"/>
  <c r="W2941" i="1"/>
  <c r="S2941" i="1"/>
  <c r="Q2941" i="1"/>
  <c r="N2941" i="1"/>
  <c r="L2941" i="1"/>
  <c r="Y2941" i="1" s="1"/>
  <c r="K2941" i="1"/>
  <c r="AB2941" i="1"/>
  <c r="I2941" i="1"/>
  <c r="X2940" i="1"/>
  <c r="Z2940" i="1" s="1"/>
  <c r="W2940" i="1"/>
  <c r="S2940" i="1"/>
  <c r="Q2940" i="1"/>
  <c r="N2940" i="1"/>
  <c r="L2940" i="1"/>
  <c r="K2940" i="1"/>
  <c r="AB2940" i="1"/>
  <c r="I2940" i="1"/>
  <c r="X2939" i="1"/>
  <c r="Z2939" i="1" s="1"/>
  <c r="W2939" i="1"/>
  <c r="S2939" i="1"/>
  <c r="Q2939" i="1"/>
  <c r="N2939" i="1"/>
  <c r="L2939" i="1"/>
  <c r="K2939" i="1"/>
  <c r="AB2939" i="1"/>
  <c r="I2939" i="1"/>
  <c r="X2938" i="1"/>
  <c r="Z2938" i="1" s="1"/>
  <c r="W2938" i="1"/>
  <c r="S2938" i="1"/>
  <c r="Q2938" i="1"/>
  <c r="N2938" i="1"/>
  <c r="L2938" i="1"/>
  <c r="K2938" i="1"/>
  <c r="AB2938" i="1"/>
  <c r="I2938" i="1"/>
  <c r="X2937" i="1"/>
  <c r="Z2937" i="1" s="1"/>
  <c r="W2937" i="1"/>
  <c r="S2937" i="1"/>
  <c r="Q2937" i="1"/>
  <c r="N2937" i="1"/>
  <c r="L2937" i="1"/>
  <c r="K2937" i="1"/>
  <c r="AB2937" i="1"/>
  <c r="I2937" i="1"/>
  <c r="X2936" i="1"/>
  <c r="Z2936" i="1" s="1"/>
  <c r="W2936" i="1"/>
  <c r="S2936" i="1"/>
  <c r="Q2936" i="1"/>
  <c r="N2936" i="1"/>
  <c r="L2936" i="1"/>
  <c r="K2936" i="1"/>
  <c r="AB2936" i="1"/>
  <c r="I2936" i="1"/>
  <c r="X2935" i="1"/>
  <c r="Z2935" i="1" s="1"/>
  <c r="W2935" i="1"/>
  <c r="S2935" i="1"/>
  <c r="Q2935" i="1"/>
  <c r="N2935" i="1"/>
  <c r="L2935" i="1"/>
  <c r="K2935" i="1"/>
  <c r="AB2935" i="1"/>
  <c r="I2935" i="1"/>
  <c r="X2934" i="1"/>
  <c r="Z2934" i="1" s="1"/>
  <c r="W2934" i="1"/>
  <c r="S2934" i="1"/>
  <c r="Q2934" i="1"/>
  <c r="N2934" i="1"/>
  <c r="L2934" i="1"/>
  <c r="K2934" i="1"/>
  <c r="AB2934" i="1"/>
  <c r="I2934" i="1"/>
  <c r="X2933" i="1"/>
  <c r="Z2933" i="1" s="1"/>
  <c r="W2933" i="1"/>
  <c r="S2933" i="1"/>
  <c r="Q2933" i="1"/>
  <c r="N2933" i="1"/>
  <c r="L2933" i="1"/>
  <c r="K2933" i="1"/>
  <c r="AB2933" i="1"/>
  <c r="I2933" i="1"/>
  <c r="X2932" i="1"/>
  <c r="Z2932" i="1" s="1"/>
  <c r="W2932" i="1"/>
  <c r="S2932" i="1"/>
  <c r="Q2932" i="1"/>
  <c r="N2932" i="1"/>
  <c r="L2932" i="1"/>
  <c r="K2932" i="1"/>
  <c r="AB2932" i="1"/>
  <c r="I2932" i="1"/>
  <c r="X2931" i="1"/>
  <c r="Z2931" i="1" s="1"/>
  <c r="W2931" i="1"/>
  <c r="S2931" i="1"/>
  <c r="Q2931" i="1"/>
  <c r="N2931" i="1"/>
  <c r="L2931" i="1"/>
  <c r="K2931" i="1"/>
  <c r="AB2931" i="1"/>
  <c r="I2931" i="1"/>
  <c r="X2930" i="1"/>
  <c r="Z2930" i="1" s="1"/>
  <c r="W2930" i="1"/>
  <c r="S2930" i="1"/>
  <c r="Q2930" i="1"/>
  <c r="N2930" i="1"/>
  <c r="L2930" i="1"/>
  <c r="K2930" i="1"/>
  <c r="AB2930" i="1"/>
  <c r="I2930" i="1"/>
  <c r="X2929" i="1"/>
  <c r="Z2929" i="1" s="1"/>
  <c r="W2929" i="1"/>
  <c r="S2929" i="1"/>
  <c r="Q2929" i="1"/>
  <c r="N2929" i="1"/>
  <c r="L2929" i="1"/>
  <c r="Y2929" i="1" s="1"/>
  <c r="K2929" i="1"/>
  <c r="AB2929" i="1"/>
  <c r="I2929" i="1"/>
  <c r="X2928" i="1"/>
  <c r="Z2928" i="1" s="1"/>
  <c r="W2928" i="1"/>
  <c r="S2928" i="1"/>
  <c r="Q2928" i="1"/>
  <c r="N2928" i="1"/>
  <c r="L2928" i="1"/>
  <c r="K2928" i="1"/>
  <c r="AB2928" i="1"/>
  <c r="I2928" i="1"/>
  <c r="X2927" i="1"/>
  <c r="Z2927" i="1" s="1"/>
  <c r="W2927" i="1"/>
  <c r="S2927" i="1"/>
  <c r="Q2927" i="1"/>
  <c r="N2927" i="1"/>
  <c r="L2927" i="1"/>
  <c r="K2927" i="1"/>
  <c r="AB2927" i="1"/>
  <c r="I2927" i="1"/>
  <c r="X2926" i="1"/>
  <c r="Z2926" i="1" s="1"/>
  <c r="W2926" i="1"/>
  <c r="S2926" i="1"/>
  <c r="Q2926" i="1"/>
  <c r="N2926" i="1"/>
  <c r="L2926" i="1"/>
  <c r="K2926" i="1"/>
  <c r="AB2926" i="1"/>
  <c r="I2926" i="1"/>
  <c r="X2925" i="1"/>
  <c r="Z2925" i="1" s="1"/>
  <c r="W2925" i="1"/>
  <c r="S2925" i="1"/>
  <c r="Q2925" i="1"/>
  <c r="N2925" i="1"/>
  <c r="L2925" i="1"/>
  <c r="K2925" i="1"/>
  <c r="AB2925" i="1"/>
  <c r="I2925" i="1"/>
  <c r="X2924" i="1"/>
  <c r="Z2924" i="1" s="1"/>
  <c r="W2924" i="1"/>
  <c r="S2924" i="1"/>
  <c r="Q2924" i="1"/>
  <c r="N2924" i="1"/>
  <c r="L2924" i="1"/>
  <c r="K2924" i="1"/>
  <c r="AB2924" i="1"/>
  <c r="I2924" i="1"/>
  <c r="X2923" i="1"/>
  <c r="Z2923" i="1" s="1"/>
  <c r="W2923" i="1"/>
  <c r="S2923" i="1"/>
  <c r="Q2923" i="1"/>
  <c r="N2923" i="1"/>
  <c r="L2923" i="1"/>
  <c r="K2923" i="1"/>
  <c r="AB2923" i="1"/>
  <c r="I2923" i="1"/>
  <c r="X2922" i="1"/>
  <c r="Z2922" i="1" s="1"/>
  <c r="W2922" i="1"/>
  <c r="S2922" i="1"/>
  <c r="Q2922" i="1"/>
  <c r="N2922" i="1"/>
  <c r="L2922" i="1"/>
  <c r="K2922" i="1"/>
  <c r="AB2922" i="1"/>
  <c r="I2922" i="1"/>
  <c r="X2921" i="1"/>
  <c r="Z2921" i="1" s="1"/>
  <c r="W2921" i="1"/>
  <c r="S2921" i="1"/>
  <c r="Q2921" i="1"/>
  <c r="N2921" i="1"/>
  <c r="L2921" i="1"/>
  <c r="K2921" i="1"/>
  <c r="AB2921" i="1"/>
  <c r="I2921" i="1"/>
  <c r="X2920" i="1"/>
  <c r="Z2920" i="1" s="1"/>
  <c r="W2920" i="1"/>
  <c r="S2920" i="1"/>
  <c r="Q2920" i="1"/>
  <c r="N2920" i="1"/>
  <c r="L2920" i="1"/>
  <c r="K2920" i="1"/>
  <c r="AB2920" i="1"/>
  <c r="I2920" i="1"/>
  <c r="X2919" i="1"/>
  <c r="Z2919" i="1" s="1"/>
  <c r="W2919" i="1"/>
  <c r="S2919" i="1"/>
  <c r="Q2919" i="1"/>
  <c r="N2919" i="1"/>
  <c r="L2919" i="1"/>
  <c r="K2919" i="1"/>
  <c r="AB2919" i="1"/>
  <c r="I2919" i="1"/>
  <c r="X2918" i="1"/>
  <c r="Z2918" i="1" s="1"/>
  <c r="W2918" i="1"/>
  <c r="S2918" i="1"/>
  <c r="Q2918" i="1"/>
  <c r="N2918" i="1"/>
  <c r="L2918" i="1"/>
  <c r="K2918" i="1"/>
  <c r="AB2918" i="1"/>
  <c r="I2918" i="1"/>
  <c r="X2917" i="1"/>
  <c r="Z2917" i="1" s="1"/>
  <c r="W2917" i="1"/>
  <c r="S2917" i="1"/>
  <c r="Q2917" i="1"/>
  <c r="N2917" i="1"/>
  <c r="L2917" i="1"/>
  <c r="K2917" i="1"/>
  <c r="AB2917" i="1"/>
  <c r="I2917" i="1"/>
  <c r="X2916" i="1"/>
  <c r="Z2916" i="1" s="1"/>
  <c r="W2916" i="1"/>
  <c r="S2916" i="1"/>
  <c r="Q2916" i="1"/>
  <c r="N2916" i="1"/>
  <c r="L2916" i="1"/>
  <c r="K2916" i="1"/>
  <c r="AB2916" i="1"/>
  <c r="I2916" i="1"/>
  <c r="X2915" i="1"/>
  <c r="Z2915" i="1" s="1"/>
  <c r="W2915" i="1"/>
  <c r="S2915" i="1"/>
  <c r="Q2915" i="1"/>
  <c r="N2915" i="1"/>
  <c r="L2915" i="1"/>
  <c r="K2915" i="1"/>
  <c r="AB2915" i="1"/>
  <c r="I2915" i="1"/>
  <c r="X2914" i="1"/>
  <c r="Z2914" i="1" s="1"/>
  <c r="W2914" i="1"/>
  <c r="S2914" i="1"/>
  <c r="Q2914" i="1"/>
  <c r="N2914" i="1"/>
  <c r="L2914" i="1"/>
  <c r="K2914" i="1"/>
  <c r="AB2914" i="1"/>
  <c r="I2914" i="1"/>
  <c r="X2913" i="1"/>
  <c r="Z2913" i="1" s="1"/>
  <c r="W2913" i="1"/>
  <c r="S2913" i="1"/>
  <c r="Q2913" i="1"/>
  <c r="N2913" i="1"/>
  <c r="L2913" i="1"/>
  <c r="Y2913" i="1" s="1"/>
  <c r="K2913" i="1"/>
  <c r="AB2913" i="1"/>
  <c r="I2913" i="1"/>
  <c r="X2912" i="1"/>
  <c r="Z2912" i="1" s="1"/>
  <c r="W2912" i="1"/>
  <c r="S2912" i="1"/>
  <c r="Q2912" i="1"/>
  <c r="N2912" i="1"/>
  <c r="L2912" i="1"/>
  <c r="K2912" i="1"/>
  <c r="AB2912" i="1"/>
  <c r="I2912" i="1"/>
  <c r="X2911" i="1"/>
  <c r="Z2911" i="1" s="1"/>
  <c r="W2911" i="1"/>
  <c r="S2911" i="1"/>
  <c r="Q2911" i="1"/>
  <c r="N2911" i="1"/>
  <c r="L2911" i="1"/>
  <c r="K2911" i="1"/>
  <c r="AB2911" i="1"/>
  <c r="I2911" i="1"/>
  <c r="X2910" i="1"/>
  <c r="Z2910" i="1" s="1"/>
  <c r="W2910" i="1"/>
  <c r="S2910" i="1"/>
  <c r="Q2910" i="1"/>
  <c r="N2910" i="1"/>
  <c r="L2910" i="1"/>
  <c r="K2910" i="1"/>
  <c r="AB2910" i="1"/>
  <c r="I2910" i="1"/>
  <c r="X2909" i="1"/>
  <c r="Z2909" i="1" s="1"/>
  <c r="W2909" i="1"/>
  <c r="S2909" i="1"/>
  <c r="Q2909" i="1"/>
  <c r="N2909" i="1"/>
  <c r="L2909" i="1"/>
  <c r="Y2909" i="1" s="1"/>
  <c r="K2909" i="1"/>
  <c r="AB2909" i="1"/>
  <c r="I2909" i="1"/>
  <c r="X2908" i="1"/>
  <c r="Z2908" i="1" s="1"/>
  <c r="W2908" i="1"/>
  <c r="S2908" i="1"/>
  <c r="Q2908" i="1"/>
  <c r="N2908" i="1"/>
  <c r="L2908" i="1"/>
  <c r="K2908" i="1"/>
  <c r="AB2908" i="1"/>
  <c r="I2908" i="1"/>
  <c r="X2907" i="1"/>
  <c r="Z2907" i="1" s="1"/>
  <c r="W2907" i="1"/>
  <c r="S2907" i="1"/>
  <c r="Q2907" i="1"/>
  <c r="N2907" i="1"/>
  <c r="L2907" i="1"/>
  <c r="K2907" i="1"/>
  <c r="AB2907" i="1"/>
  <c r="I2907" i="1"/>
  <c r="X2906" i="1"/>
  <c r="Z2906" i="1" s="1"/>
  <c r="W2906" i="1"/>
  <c r="S2906" i="1"/>
  <c r="Q2906" i="1"/>
  <c r="N2906" i="1"/>
  <c r="L2906" i="1"/>
  <c r="K2906" i="1"/>
  <c r="AB2906" i="1"/>
  <c r="I2906" i="1"/>
  <c r="X2905" i="1"/>
  <c r="Z2905" i="1" s="1"/>
  <c r="W2905" i="1"/>
  <c r="S2905" i="1"/>
  <c r="Q2905" i="1"/>
  <c r="N2905" i="1"/>
  <c r="L2905" i="1"/>
  <c r="K2905" i="1"/>
  <c r="AB2905" i="1"/>
  <c r="I2905" i="1"/>
  <c r="X2904" i="1"/>
  <c r="Z2904" i="1" s="1"/>
  <c r="W2904" i="1"/>
  <c r="S2904" i="1"/>
  <c r="Q2904" i="1"/>
  <c r="N2904" i="1"/>
  <c r="L2904" i="1"/>
  <c r="K2904" i="1"/>
  <c r="AB2904" i="1"/>
  <c r="I2904" i="1"/>
  <c r="X2903" i="1"/>
  <c r="Z2903" i="1" s="1"/>
  <c r="W2903" i="1"/>
  <c r="S2903" i="1"/>
  <c r="Q2903" i="1"/>
  <c r="N2903" i="1"/>
  <c r="L2903" i="1"/>
  <c r="K2903" i="1"/>
  <c r="AB2903" i="1"/>
  <c r="I2903" i="1"/>
  <c r="X2902" i="1"/>
  <c r="Z2902" i="1" s="1"/>
  <c r="W2902" i="1"/>
  <c r="S2902" i="1"/>
  <c r="Q2902" i="1"/>
  <c r="N2902" i="1"/>
  <c r="L2902" i="1"/>
  <c r="K2902" i="1"/>
  <c r="AB2902" i="1"/>
  <c r="I2902" i="1"/>
  <c r="X2901" i="1"/>
  <c r="Z2901" i="1" s="1"/>
  <c r="W2901" i="1"/>
  <c r="S2901" i="1"/>
  <c r="Q2901" i="1"/>
  <c r="N2901" i="1"/>
  <c r="L2901" i="1"/>
  <c r="Y2901" i="1" s="1"/>
  <c r="K2901" i="1"/>
  <c r="AB2901" i="1"/>
  <c r="I2901" i="1"/>
  <c r="X2900" i="1"/>
  <c r="Z2900" i="1" s="1"/>
  <c r="W2900" i="1"/>
  <c r="S2900" i="1"/>
  <c r="Q2900" i="1"/>
  <c r="N2900" i="1"/>
  <c r="L2900" i="1"/>
  <c r="K2900" i="1"/>
  <c r="AB2900" i="1"/>
  <c r="I2900" i="1"/>
  <c r="X2899" i="1"/>
  <c r="Z2899" i="1" s="1"/>
  <c r="W2899" i="1"/>
  <c r="S2899" i="1"/>
  <c r="Q2899" i="1"/>
  <c r="N2899" i="1"/>
  <c r="L2899" i="1"/>
  <c r="K2899" i="1"/>
  <c r="AB2899" i="1"/>
  <c r="I2899" i="1"/>
  <c r="X2898" i="1"/>
  <c r="Z2898" i="1" s="1"/>
  <c r="W2898" i="1"/>
  <c r="S2898" i="1"/>
  <c r="Q2898" i="1"/>
  <c r="N2898" i="1"/>
  <c r="L2898" i="1"/>
  <c r="K2898" i="1"/>
  <c r="AB2898" i="1"/>
  <c r="I2898" i="1"/>
  <c r="X2897" i="1"/>
  <c r="Z2897" i="1" s="1"/>
  <c r="W2897" i="1"/>
  <c r="S2897" i="1"/>
  <c r="Q2897" i="1"/>
  <c r="N2897" i="1"/>
  <c r="L2897" i="1"/>
  <c r="K2897" i="1"/>
  <c r="AB2897" i="1"/>
  <c r="I2897" i="1"/>
  <c r="X2896" i="1"/>
  <c r="Z2896" i="1" s="1"/>
  <c r="W2896" i="1"/>
  <c r="S2896" i="1"/>
  <c r="Q2896" i="1"/>
  <c r="N2896" i="1"/>
  <c r="L2896" i="1"/>
  <c r="K2896" i="1"/>
  <c r="AB2896" i="1"/>
  <c r="I2896" i="1"/>
  <c r="X2895" i="1"/>
  <c r="Z2895" i="1" s="1"/>
  <c r="W2895" i="1"/>
  <c r="S2895" i="1"/>
  <c r="Q2895" i="1"/>
  <c r="N2895" i="1"/>
  <c r="L2895" i="1"/>
  <c r="K2895" i="1"/>
  <c r="AB2895" i="1"/>
  <c r="I2895" i="1"/>
  <c r="X2894" i="1"/>
  <c r="Z2894" i="1" s="1"/>
  <c r="W2894" i="1"/>
  <c r="S2894" i="1"/>
  <c r="Q2894" i="1"/>
  <c r="N2894" i="1"/>
  <c r="L2894" i="1"/>
  <c r="K2894" i="1"/>
  <c r="AB2894" i="1"/>
  <c r="I2894" i="1"/>
  <c r="X2893" i="1"/>
  <c r="Z2893" i="1" s="1"/>
  <c r="W2893" i="1"/>
  <c r="S2893" i="1"/>
  <c r="Q2893" i="1"/>
  <c r="N2893" i="1"/>
  <c r="L2893" i="1"/>
  <c r="K2893" i="1"/>
  <c r="M2893" i="1" s="1"/>
  <c r="R2893" i="1" s="1"/>
  <c r="AB2893" i="1"/>
  <c r="I2893" i="1"/>
  <c r="X2892" i="1"/>
  <c r="Z2892" i="1" s="1"/>
  <c r="W2892" i="1"/>
  <c r="S2892" i="1"/>
  <c r="Q2892" i="1"/>
  <c r="N2892" i="1"/>
  <c r="L2892" i="1"/>
  <c r="K2892" i="1"/>
  <c r="AB2892" i="1"/>
  <c r="I2892" i="1"/>
  <c r="X2891" i="1"/>
  <c r="Z2891" i="1" s="1"/>
  <c r="W2891" i="1"/>
  <c r="S2891" i="1"/>
  <c r="Q2891" i="1"/>
  <c r="N2891" i="1"/>
  <c r="L2891" i="1"/>
  <c r="K2891" i="1"/>
  <c r="AB2891" i="1"/>
  <c r="I2891" i="1"/>
  <c r="X2890" i="1"/>
  <c r="Z2890" i="1" s="1"/>
  <c r="W2890" i="1"/>
  <c r="S2890" i="1"/>
  <c r="Q2890" i="1"/>
  <c r="N2890" i="1"/>
  <c r="L2890" i="1"/>
  <c r="K2890" i="1"/>
  <c r="AB2890" i="1"/>
  <c r="I2890" i="1"/>
  <c r="X2889" i="1"/>
  <c r="Z2889" i="1" s="1"/>
  <c r="W2889" i="1"/>
  <c r="S2889" i="1"/>
  <c r="Q2889" i="1"/>
  <c r="N2889" i="1"/>
  <c r="L2889" i="1"/>
  <c r="Y2889" i="1" s="1"/>
  <c r="K2889" i="1"/>
  <c r="AB2889" i="1"/>
  <c r="I2889" i="1"/>
  <c r="X2888" i="1"/>
  <c r="Z2888" i="1" s="1"/>
  <c r="W2888" i="1"/>
  <c r="S2888" i="1"/>
  <c r="Q2888" i="1"/>
  <c r="N2888" i="1"/>
  <c r="L2888" i="1"/>
  <c r="K2888" i="1"/>
  <c r="AB2888" i="1"/>
  <c r="I2888" i="1"/>
  <c r="X2887" i="1"/>
  <c r="Z2887" i="1" s="1"/>
  <c r="W2887" i="1"/>
  <c r="S2887" i="1"/>
  <c r="Q2887" i="1"/>
  <c r="N2887" i="1"/>
  <c r="L2887" i="1"/>
  <c r="K2887" i="1"/>
  <c r="AB2887" i="1"/>
  <c r="I2887" i="1"/>
  <c r="X2886" i="1"/>
  <c r="Z2886" i="1" s="1"/>
  <c r="W2886" i="1"/>
  <c r="S2886" i="1"/>
  <c r="Q2886" i="1"/>
  <c r="N2886" i="1"/>
  <c r="L2886" i="1"/>
  <c r="K2886" i="1"/>
  <c r="AB2886" i="1"/>
  <c r="I2886" i="1"/>
  <c r="X2885" i="1"/>
  <c r="Z2885" i="1" s="1"/>
  <c r="W2885" i="1"/>
  <c r="S2885" i="1"/>
  <c r="Q2885" i="1"/>
  <c r="N2885" i="1"/>
  <c r="L2885" i="1"/>
  <c r="Y2885" i="1" s="1"/>
  <c r="K2885" i="1"/>
  <c r="AB2885" i="1"/>
  <c r="I2885" i="1"/>
  <c r="X2884" i="1"/>
  <c r="Z2884" i="1" s="1"/>
  <c r="W2884" i="1"/>
  <c r="S2884" i="1"/>
  <c r="Q2884" i="1"/>
  <c r="N2884" i="1"/>
  <c r="L2884" i="1"/>
  <c r="K2884" i="1"/>
  <c r="AB2884" i="1"/>
  <c r="I2884" i="1"/>
  <c r="X2883" i="1"/>
  <c r="Z2883" i="1" s="1"/>
  <c r="W2883" i="1"/>
  <c r="S2883" i="1"/>
  <c r="Q2883" i="1"/>
  <c r="N2883" i="1"/>
  <c r="L2883" i="1"/>
  <c r="K2883" i="1"/>
  <c r="AB2883" i="1"/>
  <c r="I2883" i="1"/>
  <c r="X2882" i="1"/>
  <c r="Z2882" i="1" s="1"/>
  <c r="W2882" i="1"/>
  <c r="S2882" i="1"/>
  <c r="Q2882" i="1"/>
  <c r="N2882" i="1"/>
  <c r="L2882" i="1"/>
  <c r="K2882" i="1"/>
  <c r="AB2882" i="1"/>
  <c r="I2882" i="1"/>
  <c r="X2881" i="1"/>
  <c r="Z2881" i="1" s="1"/>
  <c r="W2881" i="1"/>
  <c r="S2881" i="1"/>
  <c r="Q2881" i="1"/>
  <c r="N2881" i="1"/>
  <c r="L2881" i="1"/>
  <c r="K2881" i="1"/>
  <c r="AB2881" i="1"/>
  <c r="I2881" i="1"/>
  <c r="X2880" i="1"/>
  <c r="Z2880" i="1" s="1"/>
  <c r="W2880" i="1"/>
  <c r="S2880" i="1"/>
  <c r="Q2880" i="1"/>
  <c r="N2880" i="1"/>
  <c r="L2880" i="1"/>
  <c r="K2880" i="1"/>
  <c r="AB2880" i="1"/>
  <c r="I2880" i="1"/>
  <c r="X2879" i="1"/>
  <c r="Z2879" i="1" s="1"/>
  <c r="W2879" i="1"/>
  <c r="S2879" i="1"/>
  <c r="Q2879" i="1"/>
  <c r="N2879" i="1"/>
  <c r="L2879" i="1"/>
  <c r="K2879" i="1"/>
  <c r="AB2879" i="1"/>
  <c r="I2879" i="1"/>
  <c r="X2878" i="1"/>
  <c r="Z2878" i="1" s="1"/>
  <c r="W2878" i="1"/>
  <c r="S2878" i="1"/>
  <c r="Q2878" i="1"/>
  <c r="N2878" i="1"/>
  <c r="L2878" i="1"/>
  <c r="K2878" i="1"/>
  <c r="AB2878" i="1"/>
  <c r="I2878" i="1"/>
  <c r="X2877" i="1"/>
  <c r="Z2877" i="1" s="1"/>
  <c r="W2877" i="1"/>
  <c r="S2877" i="1"/>
  <c r="Q2877" i="1"/>
  <c r="N2877" i="1"/>
  <c r="L2877" i="1"/>
  <c r="K2877" i="1"/>
  <c r="AB2877" i="1"/>
  <c r="I2877" i="1"/>
  <c r="X2876" i="1"/>
  <c r="Z2876" i="1" s="1"/>
  <c r="W2876" i="1"/>
  <c r="S2876" i="1"/>
  <c r="Q2876" i="1"/>
  <c r="N2876" i="1"/>
  <c r="L2876" i="1"/>
  <c r="K2876" i="1"/>
  <c r="AB2876" i="1"/>
  <c r="I2876" i="1"/>
  <c r="X2875" i="1"/>
  <c r="Z2875" i="1" s="1"/>
  <c r="W2875" i="1"/>
  <c r="S2875" i="1"/>
  <c r="Q2875" i="1"/>
  <c r="N2875" i="1"/>
  <c r="L2875" i="1"/>
  <c r="K2875" i="1"/>
  <c r="AB2875" i="1"/>
  <c r="I2875" i="1"/>
  <c r="X2874" i="1"/>
  <c r="Z2874" i="1" s="1"/>
  <c r="W2874" i="1"/>
  <c r="S2874" i="1"/>
  <c r="Q2874" i="1"/>
  <c r="N2874" i="1"/>
  <c r="L2874" i="1"/>
  <c r="K2874" i="1"/>
  <c r="AB2874" i="1"/>
  <c r="I2874" i="1"/>
  <c r="X2873" i="1"/>
  <c r="Z2873" i="1" s="1"/>
  <c r="W2873" i="1"/>
  <c r="S2873" i="1"/>
  <c r="Q2873" i="1"/>
  <c r="N2873" i="1"/>
  <c r="L2873" i="1"/>
  <c r="Y2873" i="1" s="1"/>
  <c r="K2873" i="1"/>
  <c r="AB2873" i="1"/>
  <c r="I2873" i="1"/>
  <c r="X2872" i="1"/>
  <c r="Z2872" i="1" s="1"/>
  <c r="W2872" i="1"/>
  <c r="S2872" i="1"/>
  <c r="Q2872" i="1"/>
  <c r="N2872" i="1"/>
  <c r="L2872" i="1"/>
  <c r="K2872" i="1"/>
  <c r="AB2872" i="1"/>
  <c r="I2872" i="1"/>
  <c r="X2871" i="1"/>
  <c r="Z2871" i="1" s="1"/>
  <c r="W2871" i="1"/>
  <c r="S2871" i="1"/>
  <c r="Q2871" i="1"/>
  <c r="N2871" i="1"/>
  <c r="L2871" i="1"/>
  <c r="K2871" i="1"/>
  <c r="AB2871" i="1"/>
  <c r="I2871" i="1"/>
  <c r="X2870" i="1"/>
  <c r="Z2870" i="1" s="1"/>
  <c r="W2870" i="1"/>
  <c r="S2870" i="1"/>
  <c r="Q2870" i="1"/>
  <c r="N2870" i="1"/>
  <c r="L2870" i="1"/>
  <c r="K2870" i="1"/>
  <c r="AB2870" i="1"/>
  <c r="I2870" i="1"/>
  <c r="X2869" i="1"/>
  <c r="Z2869" i="1" s="1"/>
  <c r="W2869" i="1"/>
  <c r="S2869" i="1"/>
  <c r="Q2869" i="1"/>
  <c r="N2869" i="1"/>
  <c r="L2869" i="1"/>
  <c r="Y2869" i="1" s="1"/>
  <c r="K2869" i="1"/>
  <c r="AB2869" i="1"/>
  <c r="I2869" i="1"/>
  <c r="X2868" i="1"/>
  <c r="Z2868" i="1" s="1"/>
  <c r="W2868" i="1"/>
  <c r="S2868" i="1"/>
  <c r="Q2868" i="1"/>
  <c r="N2868" i="1"/>
  <c r="L2868" i="1"/>
  <c r="K2868" i="1"/>
  <c r="AB2868" i="1"/>
  <c r="I2868" i="1"/>
  <c r="X2867" i="1"/>
  <c r="Z2867" i="1" s="1"/>
  <c r="W2867" i="1"/>
  <c r="S2867" i="1"/>
  <c r="Q2867" i="1"/>
  <c r="N2867" i="1"/>
  <c r="L2867" i="1"/>
  <c r="K2867" i="1"/>
  <c r="AB2867" i="1"/>
  <c r="I2867" i="1"/>
  <c r="X2866" i="1"/>
  <c r="Z2866" i="1" s="1"/>
  <c r="W2866" i="1"/>
  <c r="S2866" i="1"/>
  <c r="Q2866" i="1"/>
  <c r="N2866" i="1"/>
  <c r="L2866" i="1"/>
  <c r="K2866" i="1"/>
  <c r="AB2866" i="1"/>
  <c r="I2866" i="1"/>
  <c r="X2865" i="1"/>
  <c r="Z2865" i="1" s="1"/>
  <c r="W2865" i="1"/>
  <c r="S2865" i="1"/>
  <c r="Q2865" i="1"/>
  <c r="N2865" i="1"/>
  <c r="L2865" i="1"/>
  <c r="Y2865" i="1" s="1"/>
  <c r="K2865" i="1"/>
  <c r="AB2865" i="1"/>
  <c r="I2865" i="1"/>
  <c r="X2864" i="1"/>
  <c r="Z2864" i="1" s="1"/>
  <c r="W2864" i="1"/>
  <c r="S2864" i="1"/>
  <c r="Q2864" i="1"/>
  <c r="N2864" i="1"/>
  <c r="L2864" i="1"/>
  <c r="K2864" i="1"/>
  <c r="AB2864" i="1"/>
  <c r="I2864" i="1"/>
  <c r="X2863" i="1"/>
  <c r="Z2863" i="1" s="1"/>
  <c r="W2863" i="1"/>
  <c r="S2863" i="1"/>
  <c r="Q2863" i="1"/>
  <c r="N2863" i="1"/>
  <c r="L2863" i="1"/>
  <c r="K2863" i="1"/>
  <c r="AB2863" i="1"/>
  <c r="I2863" i="1"/>
  <c r="X2862" i="1"/>
  <c r="Z2862" i="1" s="1"/>
  <c r="W2862" i="1"/>
  <c r="S2862" i="1"/>
  <c r="Q2862" i="1"/>
  <c r="N2862" i="1"/>
  <c r="L2862" i="1"/>
  <c r="K2862" i="1"/>
  <c r="AB2862" i="1"/>
  <c r="I2862" i="1"/>
  <c r="X2861" i="1"/>
  <c r="Z2861" i="1" s="1"/>
  <c r="W2861" i="1"/>
  <c r="S2861" i="1"/>
  <c r="Q2861" i="1"/>
  <c r="N2861" i="1"/>
  <c r="L2861" i="1"/>
  <c r="Y2861" i="1" s="1"/>
  <c r="K2861" i="1"/>
  <c r="AB2861" i="1"/>
  <c r="I2861" i="1"/>
  <c r="X2860" i="1"/>
  <c r="Z2860" i="1" s="1"/>
  <c r="W2860" i="1"/>
  <c r="S2860" i="1"/>
  <c r="Q2860" i="1"/>
  <c r="N2860" i="1"/>
  <c r="L2860" i="1"/>
  <c r="K2860" i="1"/>
  <c r="AB2860" i="1"/>
  <c r="I2860" i="1"/>
  <c r="X2859" i="1"/>
  <c r="Z2859" i="1" s="1"/>
  <c r="W2859" i="1"/>
  <c r="S2859" i="1"/>
  <c r="Q2859" i="1"/>
  <c r="N2859" i="1"/>
  <c r="L2859" i="1"/>
  <c r="K2859" i="1"/>
  <c r="AB2859" i="1"/>
  <c r="I2859" i="1"/>
  <c r="X2858" i="1"/>
  <c r="Z2858" i="1" s="1"/>
  <c r="W2858" i="1"/>
  <c r="S2858" i="1"/>
  <c r="Q2858" i="1"/>
  <c r="N2858" i="1"/>
  <c r="L2858" i="1"/>
  <c r="K2858" i="1"/>
  <c r="AB2858" i="1"/>
  <c r="I2858" i="1"/>
  <c r="X2857" i="1"/>
  <c r="Z2857" i="1" s="1"/>
  <c r="W2857" i="1"/>
  <c r="S2857" i="1"/>
  <c r="Q2857" i="1"/>
  <c r="N2857" i="1"/>
  <c r="L2857" i="1"/>
  <c r="Y2857" i="1" s="1"/>
  <c r="K2857" i="1"/>
  <c r="AB2857" i="1"/>
  <c r="I2857" i="1"/>
  <c r="X2856" i="1"/>
  <c r="Z2856" i="1" s="1"/>
  <c r="W2856" i="1"/>
  <c r="S2856" i="1"/>
  <c r="Q2856" i="1"/>
  <c r="N2856" i="1"/>
  <c r="L2856" i="1"/>
  <c r="K2856" i="1"/>
  <c r="AB2856" i="1"/>
  <c r="I2856" i="1"/>
  <c r="X2855" i="1"/>
  <c r="Z2855" i="1" s="1"/>
  <c r="W2855" i="1"/>
  <c r="S2855" i="1"/>
  <c r="Q2855" i="1"/>
  <c r="N2855" i="1"/>
  <c r="L2855" i="1"/>
  <c r="K2855" i="1"/>
  <c r="AB2855" i="1"/>
  <c r="I2855" i="1"/>
  <c r="X2854" i="1"/>
  <c r="Z2854" i="1" s="1"/>
  <c r="W2854" i="1"/>
  <c r="S2854" i="1"/>
  <c r="Q2854" i="1"/>
  <c r="N2854" i="1"/>
  <c r="L2854" i="1"/>
  <c r="K2854" i="1"/>
  <c r="AB2854" i="1"/>
  <c r="I2854" i="1"/>
  <c r="X2853" i="1"/>
  <c r="Z2853" i="1" s="1"/>
  <c r="W2853" i="1"/>
  <c r="S2853" i="1"/>
  <c r="Q2853" i="1"/>
  <c r="N2853" i="1"/>
  <c r="L2853" i="1"/>
  <c r="Y2853" i="1" s="1"/>
  <c r="K2853" i="1"/>
  <c r="AB2853" i="1"/>
  <c r="I2853" i="1"/>
  <c r="X2852" i="1"/>
  <c r="Z2852" i="1" s="1"/>
  <c r="W2852" i="1"/>
  <c r="S2852" i="1"/>
  <c r="Q2852" i="1"/>
  <c r="N2852" i="1"/>
  <c r="L2852" i="1"/>
  <c r="K2852" i="1"/>
  <c r="AB2852" i="1"/>
  <c r="I2852" i="1"/>
  <c r="X2851" i="1"/>
  <c r="Z2851" i="1" s="1"/>
  <c r="W2851" i="1"/>
  <c r="S2851" i="1"/>
  <c r="Q2851" i="1"/>
  <c r="N2851" i="1"/>
  <c r="L2851" i="1"/>
  <c r="K2851" i="1"/>
  <c r="AB2851" i="1"/>
  <c r="I2851" i="1"/>
  <c r="X2850" i="1"/>
  <c r="Z2850" i="1" s="1"/>
  <c r="W2850" i="1"/>
  <c r="S2850" i="1"/>
  <c r="Q2850" i="1"/>
  <c r="N2850" i="1"/>
  <c r="L2850" i="1"/>
  <c r="K2850" i="1"/>
  <c r="AB2850" i="1"/>
  <c r="I2850" i="1"/>
  <c r="X2849" i="1"/>
  <c r="Z2849" i="1" s="1"/>
  <c r="W2849" i="1"/>
  <c r="S2849" i="1"/>
  <c r="Q2849" i="1"/>
  <c r="N2849" i="1"/>
  <c r="L2849" i="1"/>
  <c r="Y2849" i="1" s="1"/>
  <c r="K2849" i="1"/>
  <c r="AB2849" i="1"/>
  <c r="I2849" i="1"/>
  <c r="X2848" i="1"/>
  <c r="Z2848" i="1" s="1"/>
  <c r="W2848" i="1"/>
  <c r="S2848" i="1"/>
  <c r="Q2848" i="1"/>
  <c r="N2848" i="1"/>
  <c r="L2848" i="1"/>
  <c r="K2848" i="1"/>
  <c r="AB2848" i="1"/>
  <c r="I2848" i="1"/>
  <c r="X2847" i="1"/>
  <c r="Z2847" i="1" s="1"/>
  <c r="W2847" i="1"/>
  <c r="S2847" i="1"/>
  <c r="Q2847" i="1"/>
  <c r="N2847" i="1"/>
  <c r="L2847" i="1"/>
  <c r="K2847" i="1"/>
  <c r="AB2847" i="1"/>
  <c r="I2847" i="1"/>
  <c r="X2846" i="1"/>
  <c r="Z2846" i="1" s="1"/>
  <c r="W2846" i="1"/>
  <c r="S2846" i="1"/>
  <c r="Q2846" i="1"/>
  <c r="N2846" i="1"/>
  <c r="L2846" i="1"/>
  <c r="K2846" i="1"/>
  <c r="AB2846" i="1"/>
  <c r="I2846" i="1"/>
  <c r="X2845" i="1"/>
  <c r="Z2845" i="1" s="1"/>
  <c r="W2845" i="1"/>
  <c r="S2845" i="1"/>
  <c r="Q2845" i="1"/>
  <c r="N2845" i="1"/>
  <c r="L2845" i="1"/>
  <c r="Y2845" i="1" s="1"/>
  <c r="K2845" i="1"/>
  <c r="AB2845" i="1"/>
  <c r="I2845" i="1"/>
  <c r="X2844" i="1"/>
  <c r="Z2844" i="1" s="1"/>
  <c r="W2844" i="1"/>
  <c r="S2844" i="1"/>
  <c r="Q2844" i="1"/>
  <c r="N2844" i="1"/>
  <c r="L2844" i="1"/>
  <c r="K2844" i="1"/>
  <c r="AB2844" i="1"/>
  <c r="I2844" i="1"/>
  <c r="X2843" i="1"/>
  <c r="Z2843" i="1" s="1"/>
  <c r="W2843" i="1"/>
  <c r="S2843" i="1"/>
  <c r="Q2843" i="1"/>
  <c r="N2843" i="1"/>
  <c r="L2843" i="1"/>
  <c r="K2843" i="1"/>
  <c r="AB2843" i="1"/>
  <c r="I2843" i="1"/>
  <c r="X2842" i="1"/>
  <c r="Z2842" i="1" s="1"/>
  <c r="W2842" i="1"/>
  <c r="S2842" i="1"/>
  <c r="Q2842" i="1"/>
  <c r="N2842" i="1"/>
  <c r="L2842" i="1"/>
  <c r="K2842" i="1"/>
  <c r="AB2842" i="1"/>
  <c r="I2842" i="1"/>
  <c r="X2841" i="1"/>
  <c r="Z2841" i="1" s="1"/>
  <c r="W2841" i="1"/>
  <c r="S2841" i="1"/>
  <c r="Q2841" i="1"/>
  <c r="N2841" i="1"/>
  <c r="L2841" i="1"/>
  <c r="Y2841" i="1" s="1"/>
  <c r="K2841" i="1"/>
  <c r="AB2841" i="1"/>
  <c r="I2841" i="1"/>
  <c r="X2840" i="1"/>
  <c r="Z2840" i="1" s="1"/>
  <c r="W2840" i="1"/>
  <c r="S2840" i="1"/>
  <c r="Q2840" i="1"/>
  <c r="N2840" i="1"/>
  <c r="L2840" i="1"/>
  <c r="K2840" i="1"/>
  <c r="AB2840" i="1"/>
  <c r="I2840" i="1"/>
  <c r="X2839" i="1"/>
  <c r="Z2839" i="1" s="1"/>
  <c r="W2839" i="1"/>
  <c r="S2839" i="1"/>
  <c r="Q2839" i="1"/>
  <c r="N2839" i="1"/>
  <c r="L2839" i="1"/>
  <c r="K2839" i="1"/>
  <c r="AB2839" i="1"/>
  <c r="I2839" i="1"/>
  <c r="X2838" i="1"/>
  <c r="Z2838" i="1" s="1"/>
  <c r="W2838" i="1"/>
  <c r="S2838" i="1"/>
  <c r="Q2838" i="1"/>
  <c r="N2838" i="1"/>
  <c r="L2838" i="1"/>
  <c r="K2838" i="1"/>
  <c r="AB2838" i="1"/>
  <c r="I2838" i="1"/>
  <c r="X2837" i="1"/>
  <c r="Z2837" i="1" s="1"/>
  <c r="W2837" i="1"/>
  <c r="S2837" i="1"/>
  <c r="Q2837" i="1"/>
  <c r="N2837" i="1"/>
  <c r="L2837" i="1"/>
  <c r="Y2837" i="1" s="1"/>
  <c r="K2837" i="1"/>
  <c r="AB2837" i="1"/>
  <c r="I2837" i="1"/>
  <c r="X2836" i="1"/>
  <c r="Z2836" i="1" s="1"/>
  <c r="W2836" i="1"/>
  <c r="S2836" i="1"/>
  <c r="Q2836" i="1"/>
  <c r="N2836" i="1"/>
  <c r="L2836" i="1"/>
  <c r="K2836" i="1"/>
  <c r="AB2836" i="1"/>
  <c r="I2836" i="1"/>
  <c r="X2835" i="1"/>
  <c r="Z2835" i="1" s="1"/>
  <c r="W2835" i="1"/>
  <c r="S2835" i="1"/>
  <c r="Q2835" i="1"/>
  <c r="N2835" i="1"/>
  <c r="L2835" i="1"/>
  <c r="K2835" i="1"/>
  <c r="AB2835" i="1"/>
  <c r="I2835" i="1"/>
  <c r="X2834" i="1"/>
  <c r="Z2834" i="1" s="1"/>
  <c r="W2834" i="1"/>
  <c r="S2834" i="1"/>
  <c r="Q2834" i="1"/>
  <c r="N2834" i="1"/>
  <c r="L2834" i="1"/>
  <c r="K2834" i="1"/>
  <c r="AB2834" i="1"/>
  <c r="I2834" i="1"/>
  <c r="X2833" i="1"/>
  <c r="Z2833" i="1" s="1"/>
  <c r="W2833" i="1"/>
  <c r="S2833" i="1"/>
  <c r="Q2833" i="1"/>
  <c r="N2833" i="1"/>
  <c r="L2833" i="1"/>
  <c r="K2833" i="1"/>
  <c r="AB2833" i="1"/>
  <c r="I2833" i="1"/>
  <c r="X2832" i="1"/>
  <c r="Z2832" i="1" s="1"/>
  <c r="W2832" i="1"/>
  <c r="S2832" i="1"/>
  <c r="Q2832" i="1"/>
  <c r="N2832" i="1"/>
  <c r="L2832" i="1"/>
  <c r="K2832" i="1"/>
  <c r="AB2832" i="1"/>
  <c r="I2832" i="1"/>
  <c r="X2831" i="1"/>
  <c r="Z2831" i="1" s="1"/>
  <c r="W2831" i="1"/>
  <c r="S2831" i="1"/>
  <c r="Q2831" i="1"/>
  <c r="N2831" i="1"/>
  <c r="L2831" i="1"/>
  <c r="K2831" i="1"/>
  <c r="AB2831" i="1"/>
  <c r="I2831" i="1"/>
  <c r="X2830" i="1"/>
  <c r="Z2830" i="1" s="1"/>
  <c r="W2830" i="1"/>
  <c r="S2830" i="1"/>
  <c r="Q2830" i="1"/>
  <c r="N2830" i="1"/>
  <c r="L2830" i="1"/>
  <c r="K2830" i="1"/>
  <c r="AB2830" i="1"/>
  <c r="I2830" i="1"/>
  <c r="X2829" i="1"/>
  <c r="Z2829" i="1" s="1"/>
  <c r="W2829" i="1"/>
  <c r="S2829" i="1"/>
  <c r="Q2829" i="1"/>
  <c r="N2829" i="1"/>
  <c r="L2829" i="1"/>
  <c r="Y2829" i="1" s="1"/>
  <c r="K2829" i="1"/>
  <c r="AB2829" i="1"/>
  <c r="I2829" i="1"/>
  <c r="X2828" i="1"/>
  <c r="Z2828" i="1" s="1"/>
  <c r="W2828" i="1"/>
  <c r="S2828" i="1"/>
  <c r="Q2828" i="1"/>
  <c r="N2828" i="1"/>
  <c r="L2828" i="1"/>
  <c r="K2828" i="1"/>
  <c r="AB2828" i="1"/>
  <c r="I2828" i="1"/>
  <c r="X2827" i="1"/>
  <c r="Z2827" i="1" s="1"/>
  <c r="W2827" i="1"/>
  <c r="S2827" i="1"/>
  <c r="Q2827" i="1"/>
  <c r="N2827" i="1"/>
  <c r="L2827" i="1"/>
  <c r="K2827" i="1"/>
  <c r="AB2827" i="1"/>
  <c r="I2827" i="1"/>
  <c r="X2826" i="1"/>
  <c r="Z2826" i="1" s="1"/>
  <c r="W2826" i="1"/>
  <c r="S2826" i="1"/>
  <c r="Q2826" i="1"/>
  <c r="N2826" i="1"/>
  <c r="L2826" i="1"/>
  <c r="K2826" i="1"/>
  <c r="AB2826" i="1"/>
  <c r="I2826" i="1"/>
  <c r="X2825" i="1"/>
  <c r="Z2825" i="1" s="1"/>
  <c r="W2825" i="1"/>
  <c r="S2825" i="1"/>
  <c r="Q2825" i="1"/>
  <c r="N2825" i="1"/>
  <c r="L2825" i="1"/>
  <c r="K2825" i="1"/>
  <c r="AB2825" i="1"/>
  <c r="I2825" i="1"/>
  <c r="X2824" i="1"/>
  <c r="Z2824" i="1" s="1"/>
  <c r="W2824" i="1"/>
  <c r="S2824" i="1"/>
  <c r="Q2824" i="1"/>
  <c r="N2824" i="1"/>
  <c r="L2824" i="1"/>
  <c r="K2824" i="1"/>
  <c r="AB2824" i="1"/>
  <c r="I2824" i="1"/>
  <c r="X2823" i="1"/>
  <c r="Z2823" i="1" s="1"/>
  <c r="W2823" i="1"/>
  <c r="S2823" i="1"/>
  <c r="Q2823" i="1"/>
  <c r="N2823" i="1"/>
  <c r="L2823" i="1"/>
  <c r="K2823" i="1"/>
  <c r="AB2823" i="1"/>
  <c r="I2823" i="1"/>
  <c r="X2822" i="1"/>
  <c r="Z2822" i="1" s="1"/>
  <c r="W2822" i="1"/>
  <c r="S2822" i="1"/>
  <c r="Q2822" i="1"/>
  <c r="N2822" i="1"/>
  <c r="L2822" i="1"/>
  <c r="K2822" i="1"/>
  <c r="AB2822" i="1"/>
  <c r="I2822" i="1"/>
  <c r="X2821" i="1"/>
  <c r="Z2821" i="1" s="1"/>
  <c r="W2821" i="1"/>
  <c r="S2821" i="1"/>
  <c r="Q2821" i="1"/>
  <c r="N2821" i="1"/>
  <c r="L2821" i="1"/>
  <c r="K2821" i="1"/>
  <c r="AB2821" i="1"/>
  <c r="I2821" i="1"/>
  <c r="X2820" i="1"/>
  <c r="Z2820" i="1" s="1"/>
  <c r="W2820" i="1"/>
  <c r="S2820" i="1"/>
  <c r="Q2820" i="1"/>
  <c r="N2820" i="1"/>
  <c r="L2820" i="1"/>
  <c r="K2820" i="1"/>
  <c r="AB2820" i="1"/>
  <c r="I2820" i="1"/>
  <c r="X2819" i="1"/>
  <c r="Z2819" i="1" s="1"/>
  <c r="W2819" i="1"/>
  <c r="S2819" i="1"/>
  <c r="Q2819" i="1"/>
  <c r="N2819" i="1"/>
  <c r="L2819" i="1"/>
  <c r="K2819" i="1"/>
  <c r="AB2819" i="1"/>
  <c r="I2819" i="1"/>
  <c r="X2818" i="1"/>
  <c r="Z2818" i="1" s="1"/>
  <c r="W2818" i="1"/>
  <c r="S2818" i="1"/>
  <c r="Q2818" i="1"/>
  <c r="N2818" i="1"/>
  <c r="L2818" i="1"/>
  <c r="K2818" i="1"/>
  <c r="AB2818" i="1"/>
  <c r="I2818" i="1"/>
  <c r="X2817" i="1"/>
  <c r="Z2817" i="1" s="1"/>
  <c r="W2817" i="1"/>
  <c r="S2817" i="1"/>
  <c r="Q2817" i="1"/>
  <c r="N2817" i="1"/>
  <c r="L2817" i="1"/>
  <c r="K2817" i="1"/>
  <c r="AB2817" i="1"/>
  <c r="I2817" i="1"/>
  <c r="X2816" i="1"/>
  <c r="Z2816" i="1" s="1"/>
  <c r="W2816" i="1"/>
  <c r="S2816" i="1"/>
  <c r="Q2816" i="1"/>
  <c r="N2816" i="1"/>
  <c r="L2816" i="1"/>
  <c r="K2816" i="1"/>
  <c r="AB2816" i="1"/>
  <c r="I2816" i="1"/>
  <c r="X2815" i="1"/>
  <c r="Z2815" i="1" s="1"/>
  <c r="W2815" i="1"/>
  <c r="S2815" i="1"/>
  <c r="Q2815" i="1"/>
  <c r="N2815" i="1"/>
  <c r="L2815" i="1"/>
  <c r="K2815" i="1"/>
  <c r="AB2815" i="1"/>
  <c r="I2815" i="1"/>
  <c r="X2814" i="1"/>
  <c r="Z2814" i="1" s="1"/>
  <c r="W2814" i="1"/>
  <c r="S2814" i="1"/>
  <c r="Q2814" i="1"/>
  <c r="N2814" i="1"/>
  <c r="L2814" i="1"/>
  <c r="K2814" i="1"/>
  <c r="AB2814" i="1"/>
  <c r="I2814" i="1"/>
  <c r="X2813" i="1"/>
  <c r="Z2813" i="1" s="1"/>
  <c r="W2813" i="1"/>
  <c r="S2813" i="1"/>
  <c r="Q2813" i="1"/>
  <c r="N2813" i="1"/>
  <c r="L2813" i="1"/>
  <c r="K2813" i="1"/>
  <c r="AB2813" i="1"/>
  <c r="I2813" i="1"/>
  <c r="X2812" i="1"/>
  <c r="Z2812" i="1" s="1"/>
  <c r="W2812" i="1"/>
  <c r="S2812" i="1"/>
  <c r="Q2812" i="1"/>
  <c r="N2812" i="1"/>
  <c r="L2812" i="1"/>
  <c r="K2812" i="1"/>
  <c r="AB2812" i="1"/>
  <c r="I2812" i="1"/>
  <c r="X2811" i="1"/>
  <c r="Z2811" i="1" s="1"/>
  <c r="W2811" i="1"/>
  <c r="S2811" i="1"/>
  <c r="Q2811" i="1"/>
  <c r="N2811" i="1"/>
  <c r="L2811" i="1"/>
  <c r="K2811" i="1"/>
  <c r="AB2811" i="1"/>
  <c r="I2811" i="1"/>
  <c r="X2810" i="1"/>
  <c r="Z2810" i="1" s="1"/>
  <c r="W2810" i="1"/>
  <c r="S2810" i="1"/>
  <c r="Q2810" i="1"/>
  <c r="N2810" i="1"/>
  <c r="L2810" i="1"/>
  <c r="K2810" i="1"/>
  <c r="AB2810" i="1"/>
  <c r="I2810" i="1"/>
  <c r="X2809" i="1"/>
  <c r="Z2809" i="1" s="1"/>
  <c r="W2809" i="1"/>
  <c r="S2809" i="1"/>
  <c r="Q2809" i="1"/>
  <c r="N2809" i="1"/>
  <c r="L2809" i="1"/>
  <c r="K2809" i="1"/>
  <c r="AB2809" i="1"/>
  <c r="I2809" i="1"/>
  <c r="X2808" i="1"/>
  <c r="Z2808" i="1" s="1"/>
  <c r="W2808" i="1"/>
  <c r="S2808" i="1"/>
  <c r="Q2808" i="1"/>
  <c r="N2808" i="1"/>
  <c r="L2808" i="1"/>
  <c r="K2808" i="1"/>
  <c r="AB2808" i="1"/>
  <c r="I2808" i="1"/>
  <c r="X2807" i="1"/>
  <c r="Z2807" i="1" s="1"/>
  <c r="W2807" i="1"/>
  <c r="S2807" i="1"/>
  <c r="Q2807" i="1"/>
  <c r="N2807" i="1"/>
  <c r="L2807" i="1"/>
  <c r="K2807" i="1"/>
  <c r="AB2807" i="1"/>
  <c r="I2807" i="1"/>
  <c r="X2806" i="1"/>
  <c r="Z2806" i="1" s="1"/>
  <c r="W2806" i="1"/>
  <c r="S2806" i="1"/>
  <c r="Q2806" i="1"/>
  <c r="N2806" i="1"/>
  <c r="L2806" i="1"/>
  <c r="K2806" i="1"/>
  <c r="AB2806" i="1"/>
  <c r="I2806" i="1"/>
  <c r="X2805" i="1"/>
  <c r="Z2805" i="1" s="1"/>
  <c r="W2805" i="1"/>
  <c r="S2805" i="1"/>
  <c r="Q2805" i="1"/>
  <c r="N2805" i="1"/>
  <c r="L2805" i="1"/>
  <c r="K2805" i="1"/>
  <c r="AB2805" i="1"/>
  <c r="I2805" i="1"/>
  <c r="X2804" i="1"/>
  <c r="Z2804" i="1" s="1"/>
  <c r="W2804" i="1"/>
  <c r="S2804" i="1"/>
  <c r="Q2804" i="1"/>
  <c r="N2804" i="1"/>
  <c r="L2804" i="1"/>
  <c r="K2804" i="1"/>
  <c r="AB2804" i="1"/>
  <c r="I2804" i="1"/>
  <c r="X2803" i="1"/>
  <c r="Z2803" i="1" s="1"/>
  <c r="W2803" i="1"/>
  <c r="S2803" i="1"/>
  <c r="Q2803" i="1"/>
  <c r="N2803" i="1"/>
  <c r="L2803" i="1"/>
  <c r="K2803" i="1"/>
  <c r="AB2803" i="1"/>
  <c r="I2803" i="1"/>
  <c r="X2802" i="1"/>
  <c r="Z2802" i="1" s="1"/>
  <c r="W2802" i="1"/>
  <c r="S2802" i="1"/>
  <c r="Q2802" i="1"/>
  <c r="N2802" i="1"/>
  <c r="L2802" i="1"/>
  <c r="K2802" i="1"/>
  <c r="AB2802" i="1"/>
  <c r="I2802" i="1"/>
  <c r="X2801" i="1"/>
  <c r="Z2801" i="1" s="1"/>
  <c r="W2801" i="1"/>
  <c r="S2801" i="1"/>
  <c r="Q2801" i="1"/>
  <c r="N2801" i="1"/>
  <c r="L2801" i="1"/>
  <c r="K2801" i="1"/>
  <c r="AB2801" i="1"/>
  <c r="I2801" i="1"/>
  <c r="X2800" i="1"/>
  <c r="Z2800" i="1" s="1"/>
  <c r="W2800" i="1"/>
  <c r="S2800" i="1"/>
  <c r="Q2800" i="1"/>
  <c r="N2800" i="1"/>
  <c r="L2800" i="1"/>
  <c r="K2800" i="1"/>
  <c r="AB2800" i="1"/>
  <c r="I2800" i="1"/>
  <c r="X2799" i="1"/>
  <c r="Z2799" i="1" s="1"/>
  <c r="W2799" i="1"/>
  <c r="S2799" i="1"/>
  <c r="Q2799" i="1"/>
  <c r="N2799" i="1"/>
  <c r="L2799" i="1"/>
  <c r="K2799" i="1"/>
  <c r="AB2799" i="1"/>
  <c r="I2799" i="1"/>
  <c r="X2798" i="1"/>
  <c r="Z2798" i="1" s="1"/>
  <c r="W2798" i="1"/>
  <c r="S2798" i="1"/>
  <c r="Q2798" i="1"/>
  <c r="N2798" i="1"/>
  <c r="L2798" i="1"/>
  <c r="K2798" i="1"/>
  <c r="AB2798" i="1"/>
  <c r="I2798" i="1"/>
  <c r="X2797" i="1"/>
  <c r="Z2797" i="1" s="1"/>
  <c r="W2797" i="1"/>
  <c r="S2797" i="1"/>
  <c r="Q2797" i="1"/>
  <c r="N2797" i="1"/>
  <c r="L2797" i="1"/>
  <c r="Y2797" i="1" s="1"/>
  <c r="K2797" i="1"/>
  <c r="AB2797" i="1"/>
  <c r="I2797" i="1"/>
  <c r="X2796" i="1"/>
  <c r="Z2796" i="1" s="1"/>
  <c r="W2796" i="1"/>
  <c r="S2796" i="1"/>
  <c r="Q2796" i="1"/>
  <c r="N2796" i="1"/>
  <c r="L2796" i="1"/>
  <c r="K2796" i="1"/>
  <c r="AB2796" i="1"/>
  <c r="I2796" i="1"/>
  <c r="X2795" i="1"/>
  <c r="Z2795" i="1" s="1"/>
  <c r="W2795" i="1"/>
  <c r="S2795" i="1"/>
  <c r="Q2795" i="1"/>
  <c r="N2795" i="1"/>
  <c r="L2795" i="1"/>
  <c r="K2795" i="1"/>
  <c r="AB2795" i="1"/>
  <c r="I2795" i="1"/>
  <c r="X2794" i="1"/>
  <c r="Z2794" i="1" s="1"/>
  <c r="W2794" i="1"/>
  <c r="S2794" i="1"/>
  <c r="Q2794" i="1"/>
  <c r="N2794" i="1"/>
  <c r="L2794" i="1"/>
  <c r="K2794" i="1"/>
  <c r="AB2794" i="1"/>
  <c r="I2794" i="1"/>
  <c r="X2793" i="1"/>
  <c r="Z2793" i="1" s="1"/>
  <c r="W2793" i="1"/>
  <c r="S2793" i="1"/>
  <c r="Q2793" i="1"/>
  <c r="N2793" i="1"/>
  <c r="L2793" i="1"/>
  <c r="K2793" i="1"/>
  <c r="AB2793" i="1"/>
  <c r="I2793" i="1"/>
  <c r="X2792" i="1"/>
  <c r="Z2792" i="1" s="1"/>
  <c r="W2792" i="1"/>
  <c r="S2792" i="1"/>
  <c r="Q2792" i="1"/>
  <c r="N2792" i="1"/>
  <c r="L2792" i="1"/>
  <c r="K2792" i="1"/>
  <c r="AB2792" i="1"/>
  <c r="I2792" i="1"/>
  <c r="X2791" i="1"/>
  <c r="Z2791" i="1" s="1"/>
  <c r="W2791" i="1"/>
  <c r="S2791" i="1"/>
  <c r="Q2791" i="1"/>
  <c r="N2791" i="1"/>
  <c r="L2791" i="1"/>
  <c r="K2791" i="1"/>
  <c r="AB2791" i="1"/>
  <c r="I2791" i="1"/>
  <c r="X2790" i="1"/>
  <c r="Z2790" i="1" s="1"/>
  <c r="W2790" i="1"/>
  <c r="S2790" i="1"/>
  <c r="Q2790" i="1"/>
  <c r="N2790" i="1"/>
  <c r="L2790" i="1"/>
  <c r="K2790" i="1"/>
  <c r="AB2790" i="1"/>
  <c r="I2790" i="1"/>
  <c r="X2789" i="1"/>
  <c r="Z2789" i="1" s="1"/>
  <c r="W2789" i="1"/>
  <c r="S2789" i="1"/>
  <c r="Q2789" i="1"/>
  <c r="N2789" i="1"/>
  <c r="L2789" i="1"/>
  <c r="K2789" i="1"/>
  <c r="AB2789" i="1"/>
  <c r="I2789" i="1"/>
  <c r="X2788" i="1"/>
  <c r="Z2788" i="1" s="1"/>
  <c r="W2788" i="1"/>
  <c r="S2788" i="1"/>
  <c r="Q2788" i="1"/>
  <c r="N2788" i="1"/>
  <c r="L2788" i="1"/>
  <c r="K2788" i="1"/>
  <c r="AB2788" i="1"/>
  <c r="I2788" i="1"/>
  <c r="X2787" i="1"/>
  <c r="Z2787" i="1" s="1"/>
  <c r="W2787" i="1"/>
  <c r="S2787" i="1"/>
  <c r="Q2787" i="1"/>
  <c r="N2787" i="1"/>
  <c r="L2787" i="1"/>
  <c r="K2787" i="1"/>
  <c r="AB2787" i="1"/>
  <c r="I2787" i="1"/>
  <c r="X2786" i="1"/>
  <c r="Z2786" i="1" s="1"/>
  <c r="W2786" i="1"/>
  <c r="S2786" i="1"/>
  <c r="Q2786" i="1"/>
  <c r="N2786" i="1"/>
  <c r="L2786" i="1"/>
  <c r="K2786" i="1"/>
  <c r="AB2786" i="1"/>
  <c r="I2786" i="1"/>
  <c r="X2785" i="1"/>
  <c r="Z2785" i="1" s="1"/>
  <c r="W2785" i="1"/>
  <c r="S2785" i="1"/>
  <c r="Q2785" i="1"/>
  <c r="N2785" i="1"/>
  <c r="L2785" i="1"/>
  <c r="Y2785" i="1" s="1"/>
  <c r="K2785" i="1"/>
  <c r="AB2785" i="1"/>
  <c r="I2785" i="1"/>
  <c r="X2784" i="1"/>
  <c r="Z2784" i="1" s="1"/>
  <c r="W2784" i="1"/>
  <c r="S2784" i="1"/>
  <c r="Q2784" i="1"/>
  <c r="N2784" i="1"/>
  <c r="L2784" i="1"/>
  <c r="K2784" i="1"/>
  <c r="AB2784" i="1"/>
  <c r="I2784" i="1"/>
  <c r="X2783" i="1"/>
  <c r="Z2783" i="1" s="1"/>
  <c r="W2783" i="1"/>
  <c r="S2783" i="1"/>
  <c r="Q2783" i="1"/>
  <c r="N2783" i="1"/>
  <c r="L2783" i="1"/>
  <c r="K2783" i="1"/>
  <c r="AB2783" i="1"/>
  <c r="I2783" i="1"/>
  <c r="X2782" i="1"/>
  <c r="Z2782" i="1" s="1"/>
  <c r="W2782" i="1"/>
  <c r="S2782" i="1"/>
  <c r="Q2782" i="1"/>
  <c r="N2782" i="1"/>
  <c r="L2782" i="1"/>
  <c r="K2782" i="1"/>
  <c r="AB2782" i="1"/>
  <c r="I2782" i="1"/>
  <c r="X2781" i="1"/>
  <c r="Z2781" i="1" s="1"/>
  <c r="W2781" i="1"/>
  <c r="S2781" i="1"/>
  <c r="Q2781" i="1"/>
  <c r="N2781" i="1"/>
  <c r="L2781" i="1"/>
  <c r="K2781" i="1"/>
  <c r="AB2781" i="1"/>
  <c r="I2781" i="1"/>
  <c r="X2780" i="1"/>
  <c r="Z2780" i="1" s="1"/>
  <c r="W2780" i="1"/>
  <c r="S2780" i="1"/>
  <c r="Q2780" i="1"/>
  <c r="N2780" i="1"/>
  <c r="L2780" i="1"/>
  <c r="K2780" i="1"/>
  <c r="AB2780" i="1"/>
  <c r="I2780" i="1"/>
  <c r="X2779" i="1"/>
  <c r="Z2779" i="1" s="1"/>
  <c r="W2779" i="1"/>
  <c r="S2779" i="1"/>
  <c r="Q2779" i="1"/>
  <c r="N2779" i="1"/>
  <c r="L2779" i="1"/>
  <c r="K2779" i="1"/>
  <c r="AB2779" i="1"/>
  <c r="I2779" i="1"/>
  <c r="X2778" i="1"/>
  <c r="Z2778" i="1" s="1"/>
  <c r="W2778" i="1"/>
  <c r="S2778" i="1"/>
  <c r="Q2778" i="1"/>
  <c r="N2778" i="1"/>
  <c r="L2778" i="1"/>
  <c r="K2778" i="1"/>
  <c r="AB2778" i="1"/>
  <c r="I2778" i="1"/>
  <c r="X2777" i="1"/>
  <c r="Z2777" i="1" s="1"/>
  <c r="W2777" i="1"/>
  <c r="S2777" i="1"/>
  <c r="Q2777" i="1"/>
  <c r="N2777" i="1"/>
  <c r="L2777" i="1"/>
  <c r="K2777" i="1"/>
  <c r="AB2777" i="1"/>
  <c r="I2777" i="1"/>
  <c r="X2776" i="1"/>
  <c r="Z2776" i="1" s="1"/>
  <c r="W2776" i="1"/>
  <c r="S2776" i="1"/>
  <c r="Q2776" i="1"/>
  <c r="N2776" i="1"/>
  <c r="L2776" i="1"/>
  <c r="K2776" i="1"/>
  <c r="AB2776" i="1"/>
  <c r="I2776" i="1"/>
  <c r="X2775" i="1"/>
  <c r="Z2775" i="1" s="1"/>
  <c r="W2775" i="1"/>
  <c r="S2775" i="1"/>
  <c r="Q2775" i="1"/>
  <c r="N2775" i="1"/>
  <c r="L2775" i="1"/>
  <c r="K2775" i="1"/>
  <c r="AB2775" i="1"/>
  <c r="I2775" i="1"/>
  <c r="X2774" i="1"/>
  <c r="Z2774" i="1" s="1"/>
  <c r="W2774" i="1"/>
  <c r="S2774" i="1"/>
  <c r="Q2774" i="1"/>
  <c r="N2774" i="1"/>
  <c r="L2774" i="1"/>
  <c r="K2774" i="1"/>
  <c r="AB2774" i="1"/>
  <c r="I2774" i="1"/>
  <c r="X2773" i="1"/>
  <c r="Z2773" i="1" s="1"/>
  <c r="W2773" i="1"/>
  <c r="S2773" i="1"/>
  <c r="Q2773" i="1"/>
  <c r="N2773" i="1"/>
  <c r="L2773" i="1"/>
  <c r="K2773" i="1"/>
  <c r="AB2773" i="1"/>
  <c r="I2773" i="1"/>
  <c r="X2772" i="1"/>
  <c r="Z2772" i="1" s="1"/>
  <c r="W2772" i="1"/>
  <c r="S2772" i="1"/>
  <c r="Q2772" i="1"/>
  <c r="N2772" i="1"/>
  <c r="L2772" i="1"/>
  <c r="K2772" i="1"/>
  <c r="AB2772" i="1"/>
  <c r="I2772" i="1"/>
  <c r="X2771" i="1"/>
  <c r="Z2771" i="1" s="1"/>
  <c r="W2771" i="1"/>
  <c r="S2771" i="1"/>
  <c r="Q2771" i="1"/>
  <c r="N2771" i="1"/>
  <c r="L2771" i="1"/>
  <c r="K2771" i="1"/>
  <c r="AB2771" i="1"/>
  <c r="I2771" i="1"/>
  <c r="X2770" i="1"/>
  <c r="Z2770" i="1" s="1"/>
  <c r="W2770" i="1"/>
  <c r="S2770" i="1"/>
  <c r="Q2770" i="1"/>
  <c r="N2770" i="1"/>
  <c r="L2770" i="1"/>
  <c r="K2770" i="1"/>
  <c r="AB2770" i="1"/>
  <c r="I2770" i="1"/>
  <c r="X2769" i="1"/>
  <c r="Z2769" i="1" s="1"/>
  <c r="W2769" i="1"/>
  <c r="S2769" i="1"/>
  <c r="Q2769" i="1"/>
  <c r="N2769" i="1"/>
  <c r="L2769" i="1"/>
  <c r="K2769" i="1"/>
  <c r="AB2769" i="1"/>
  <c r="I2769" i="1"/>
  <c r="X2768" i="1"/>
  <c r="Z2768" i="1" s="1"/>
  <c r="W2768" i="1"/>
  <c r="S2768" i="1"/>
  <c r="Q2768" i="1"/>
  <c r="N2768" i="1"/>
  <c r="L2768" i="1"/>
  <c r="K2768" i="1"/>
  <c r="AB2768" i="1"/>
  <c r="I2768" i="1"/>
  <c r="X2767" i="1"/>
  <c r="Z2767" i="1" s="1"/>
  <c r="W2767" i="1"/>
  <c r="S2767" i="1"/>
  <c r="Q2767" i="1"/>
  <c r="N2767" i="1"/>
  <c r="L2767" i="1"/>
  <c r="K2767" i="1"/>
  <c r="AB2767" i="1"/>
  <c r="I2767" i="1"/>
  <c r="X2766" i="1"/>
  <c r="Z2766" i="1" s="1"/>
  <c r="W2766" i="1"/>
  <c r="S2766" i="1"/>
  <c r="Q2766" i="1"/>
  <c r="N2766" i="1"/>
  <c r="L2766" i="1"/>
  <c r="K2766" i="1"/>
  <c r="AB2766" i="1"/>
  <c r="I2766" i="1"/>
  <c r="X2765" i="1"/>
  <c r="Z2765" i="1" s="1"/>
  <c r="W2765" i="1"/>
  <c r="S2765" i="1"/>
  <c r="Q2765" i="1"/>
  <c r="N2765" i="1"/>
  <c r="L2765" i="1"/>
  <c r="K2765" i="1"/>
  <c r="AB2765" i="1"/>
  <c r="I2765" i="1"/>
  <c r="X2764" i="1"/>
  <c r="Z2764" i="1" s="1"/>
  <c r="W2764" i="1"/>
  <c r="S2764" i="1"/>
  <c r="Q2764" i="1"/>
  <c r="N2764" i="1"/>
  <c r="L2764" i="1"/>
  <c r="K2764" i="1"/>
  <c r="AB2764" i="1"/>
  <c r="I2764" i="1"/>
  <c r="X2763" i="1"/>
  <c r="Z2763" i="1" s="1"/>
  <c r="W2763" i="1"/>
  <c r="S2763" i="1"/>
  <c r="Q2763" i="1"/>
  <c r="N2763" i="1"/>
  <c r="L2763" i="1"/>
  <c r="K2763" i="1"/>
  <c r="AB2763" i="1"/>
  <c r="I2763" i="1"/>
  <c r="X2762" i="1"/>
  <c r="Z2762" i="1" s="1"/>
  <c r="W2762" i="1"/>
  <c r="S2762" i="1"/>
  <c r="Q2762" i="1"/>
  <c r="N2762" i="1"/>
  <c r="L2762" i="1"/>
  <c r="K2762" i="1"/>
  <c r="AB2762" i="1"/>
  <c r="I2762" i="1"/>
  <c r="X2761" i="1"/>
  <c r="Z2761" i="1" s="1"/>
  <c r="W2761" i="1"/>
  <c r="S2761" i="1"/>
  <c r="Q2761" i="1"/>
  <c r="N2761" i="1"/>
  <c r="L2761" i="1"/>
  <c r="K2761" i="1"/>
  <c r="AB2761" i="1"/>
  <c r="I2761" i="1"/>
  <c r="X2760" i="1"/>
  <c r="Z2760" i="1" s="1"/>
  <c r="W2760" i="1"/>
  <c r="S2760" i="1"/>
  <c r="Q2760" i="1"/>
  <c r="N2760" i="1"/>
  <c r="L2760" i="1"/>
  <c r="K2760" i="1"/>
  <c r="AB2760" i="1"/>
  <c r="I2760" i="1"/>
  <c r="X2759" i="1"/>
  <c r="Z2759" i="1" s="1"/>
  <c r="W2759" i="1"/>
  <c r="S2759" i="1"/>
  <c r="Q2759" i="1"/>
  <c r="N2759" i="1"/>
  <c r="L2759" i="1"/>
  <c r="K2759" i="1"/>
  <c r="AB2759" i="1"/>
  <c r="I2759" i="1"/>
  <c r="X2758" i="1"/>
  <c r="Z2758" i="1" s="1"/>
  <c r="W2758" i="1"/>
  <c r="S2758" i="1"/>
  <c r="Q2758" i="1"/>
  <c r="N2758" i="1"/>
  <c r="L2758" i="1"/>
  <c r="K2758" i="1"/>
  <c r="AB2758" i="1"/>
  <c r="I2758" i="1"/>
  <c r="X2757" i="1"/>
  <c r="Z2757" i="1" s="1"/>
  <c r="W2757" i="1"/>
  <c r="S2757" i="1"/>
  <c r="Q2757" i="1"/>
  <c r="N2757" i="1"/>
  <c r="L2757" i="1"/>
  <c r="K2757" i="1"/>
  <c r="AB2757" i="1"/>
  <c r="I2757" i="1"/>
  <c r="X2756" i="1"/>
  <c r="Z2756" i="1" s="1"/>
  <c r="W2756" i="1"/>
  <c r="S2756" i="1"/>
  <c r="Q2756" i="1"/>
  <c r="N2756" i="1"/>
  <c r="L2756" i="1"/>
  <c r="K2756" i="1"/>
  <c r="AB2756" i="1"/>
  <c r="I2756" i="1"/>
  <c r="X2755" i="1"/>
  <c r="Z2755" i="1" s="1"/>
  <c r="W2755" i="1"/>
  <c r="S2755" i="1"/>
  <c r="Q2755" i="1"/>
  <c r="N2755" i="1"/>
  <c r="L2755" i="1"/>
  <c r="K2755" i="1"/>
  <c r="AB2755" i="1"/>
  <c r="I2755" i="1"/>
  <c r="X2754" i="1"/>
  <c r="Z2754" i="1" s="1"/>
  <c r="W2754" i="1"/>
  <c r="S2754" i="1"/>
  <c r="Q2754" i="1"/>
  <c r="N2754" i="1"/>
  <c r="L2754" i="1"/>
  <c r="K2754" i="1"/>
  <c r="AB2754" i="1"/>
  <c r="I2754" i="1"/>
  <c r="X2753" i="1"/>
  <c r="Z2753" i="1" s="1"/>
  <c r="W2753" i="1"/>
  <c r="S2753" i="1"/>
  <c r="Q2753" i="1"/>
  <c r="N2753" i="1"/>
  <c r="L2753" i="1"/>
  <c r="K2753" i="1"/>
  <c r="AB2753" i="1"/>
  <c r="I2753" i="1"/>
  <c r="X2752" i="1"/>
  <c r="Z2752" i="1" s="1"/>
  <c r="W2752" i="1"/>
  <c r="S2752" i="1"/>
  <c r="Q2752" i="1"/>
  <c r="N2752" i="1"/>
  <c r="L2752" i="1"/>
  <c r="K2752" i="1"/>
  <c r="AB2752" i="1"/>
  <c r="I2752" i="1"/>
  <c r="X2751" i="1"/>
  <c r="Z2751" i="1" s="1"/>
  <c r="W2751" i="1"/>
  <c r="S2751" i="1"/>
  <c r="Q2751" i="1"/>
  <c r="N2751" i="1"/>
  <c r="L2751" i="1"/>
  <c r="K2751" i="1"/>
  <c r="AB2751" i="1"/>
  <c r="I2751" i="1"/>
  <c r="X2750" i="1"/>
  <c r="Z2750" i="1" s="1"/>
  <c r="W2750" i="1"/>
  <c r="S2750" i="1"/>
  <c r="Q2750" i="1"/>
  <c r="N2750" i="1"/>
  <c r="L2750" i="1"/>
  <c r="K2750" i="1"/>
  <c r="AB2750" i="1"/>
  <c r="I2750" i="1"/>
  <c r="X2749" i="1"/>
  <c r="Z2749" i="1" s="1"/>
  <c r="W2749" i="1"/>
  <c r="S2749" i="1"/>
  <c r="Q2749" i="1"/>
  <c r="N2749" i="1"/>
  <c r="L2749" i="1"/>
  <c r="Y2749" i="1" s="1"/>
  <c r="K2749" i="1"/>
  <c r="AB2749" i="1"/>
  <c r="I2749" i="1"/>
  <c r="X2748" i="1"/>
  <c r="Z2748" i="1" s="1"/>
  <c r="W2748" i="1"/>
  <c r="S2748" i="1"/>
  <c r="Q2748" i="1"/>
  <c r="N2748" i="1"/>
  <c r="L2748" i="1"/>
  <c r="K2748" i="1"/>
  <c r="AB2748" i="1"/>
  <c r="I2748" i="1"/>
  <c r="X2747" i="1"/>
  <c r="Z2747" i="1" s="1"/>
  <c r="W2747" i="1"/>
  <c r="S2747" i="1"/>
  <c r="Q2747" i="1"/>
  <c r="N2747" i="1"/>
  <c r="L2747" i="1"/>
  <c r="K2747" i="1"/>
  <c r="AB2747" i="1"/>
  <c r="I2747" i="1"/>
  <c r="X2746" i="1"/>
  <c r="Z2746" i="1" s="1"/>
  <c r="W2746" i="1"/>
  <c r="S2746" i="1"/>
  <c r="Q2746" i="1"/>
  <c r="N2746" i="1"/>
  <c r="L2746" i="1"/>
  <c r="K2746" i="1"/>
  <c r="AB2746" i="1"/>
  <c r="I2746" i="1"/>
  <c r="X2745" i="1"/>
  <c r="Z2745" i="1" s="1"/>
  <c r="W2745" i="1"/>
  <c r="S2745" i="1"/>
  <c r="Q2745" i="1"/>
  <c r="N2745" i="1"/>
  <c r="L2745" i="1"/>
  <c r="Y2745" i="1" s="1"/>
  <c r="K2745" i="1"/>
  <c r="AB2745" i="1"/>
  <c r="I2745" i="1"/>
  <c r="X2744" i="1"/>
  <c r="Z2744" i="1" s="1"/>
  <c r="W2744" i="1"/>
  <c r="S2744" i="1"/>
  <c r="Q2744" i="1"/>
  <c r="N2744" i="1"/>
  <c r="L2744" i="1"/>
  <c r="K2744" i="1"/>
  <c r="AB2744" i="1"/>
  <c r="I2744" i="1"/>
  <c r="X2743" i="1"/>
  <c r="Z2743" i="1" s="1"/>
  <c r="W2743" i="1"/>
  <c r="S2743" i="1"/>
  <c r="Q2743" i="1"/>
  <c r="N2743" i="1"/>
  <c r="L2743" i="1"/>
  <c r="K2743" i="1"/>
  <c r="AB2743" i="1"/>
  <c r="I2743" i="1"/>
  <c r="X2742" i="1"/>
  <c r="Z2742" i="1" s="1"/>
  <c r="W2742" i="1"/>
  <c r="S2742" i="1"/>
  <c r="Q2742" i="1"/>
  <c r="N2742" i="1"/>
  <c r="L2742" i="1"/>
  <c r="K2742" i="1"/>
  <c r="AB2742" i="1"/>
  <c r="I2742" i="1"/>
  <c r="X2741" i="1"/>
  <c r="Z2741" i="1" s="1"/>
  <c r="W2741" i="1"/>
  <c r="S2741" i="1"/>
  <c r="Q2741" i="1"/>
  <c r="N2741" i="1"/>
  <c r="L2741" i="1"/>
  <c r="Y2741" i="1" s="1"/>
  <c r="K2741" i="1"/>
  <c r="AB2741" i="1"/>
  <c r="I2741" i="1"/>
  <c r="X2740" i="1"/>
  <c r="Z2740" i="1" s="1"/>
  <c r="W2740" i="1"/>
  <c r="S2740" i="1"/>
  <c r="Q2740" i="1"/>
  <c r="N2740" i="1"/>
  <c r="L2740" i="1"/>
  <c r="K2740" i="1"/>
  <c r="AB2740" i="1"/>
  <c r="I2740" i="1"/>
  <c r="X2739" i="1"/>
  <c r="Z2739" i="1" s="1"/>
  <c r="W2739" i="1"/>
  <c r="S2739" i="1"/>
  <c r="Q2739" i="1"/>
  <c r="N2739" i="1"/>
  <c r="L2739" i="1"/>
  <c r="K2739" i="1"/>
  <c r="AB2739" i="1"/>
  <c r="I2739" i="1"/>
  <c r="X2738" i="1"/>
  <c r="Z2738" i="1" s="1"/>
  <c r="W2738" i="1"/>
  <c r="S2738" i="1"/>
  <c r="Q2738" i="1"/>
  <c r="N2738" i="1"/>
  <c r="L2738" i="1"/>
  <c r="K2738" i="1"/>
  <c r="AB2738" i="1"/>
  <c r="I2738" i="1"/>
  <c r="X2737" i="1"/>
  <c r="Z2737" i="1" s="1"/>
  <c r="W2737" i="1"/>
  <c r="S2737" i="1"/>
  <c r="Q2737" i="1"/>
  <c r="N2737" i="1"/>
  <c r="L2737" i="1"/>
  <c r="K2737" i="1"/>
  <c r="AB2737" i="1"/>
  <c r="I2737" i="1"/>
  <c r="X2736" i="1"/>
  <c r="Z2736" i="1" s="1"/>
  <c r="W2736" i="1"/>
  <c r="S2736" i="1"/>
  <c r="Q2736" i="1"/>
  <c r="N2736" i="1"/>
  <c r="L2736" i="1"/>
  <c r="K2736" i="1"/>
  <c r="AB2736" i="1"/>
  <c r="I2736" i="1"/>
  <c r="X2735" i="1"/>
  <c r="Z2735" i="1" s="1"/>
  <c r="W2735" i="1"/>
  <c r="S2735" i="1"/>
  <c r="Q2735" i="1"/>
  <c r="N2735" i="1"/>
  <c r="L2735" i="1"/>
  <c r="K2735" i="1"/>
  <c r="AB2735" i="1"/>
  <c r="I2735" i="1"/>
  <c r="X2734" i="1"/>
  <c r="Z2734" i="1" s="1"/>
  <c r="W2734" i="1"/>
  <c r="S2734" i="1"/>
  <c r="Q2734" i="1"/>
  <c r="N2734" i="1"/>
  <c r="L2734" i="1"/>
  <c r="K2734" i="1"/>
  <c r="AB2734" i="1"/>
  <c r="I2734" i="1"/>
  <c r="X2733" i="1"/>
  <c r="Z2733" i="1" s="1"/>
  <c r="W2733" i="1"/>
  <c r="S2733" i="1"/>
  <c r="Q2733" i="1"/>
  <c r="N2733" i="1"/>
  <c r="L2733" i="1"/>
  <c r="K2733" i="1"/>
  <c r="AB2733" i="1"/>
  <c r="I2733" i="1"/>
  <c r="X2732" i="1"/>
  <c r="Z2732" i="1" s="1"/>
  <c r="W2732" i="1"/>
  <c r="S2732" i="1"/>
  <c r="Q2732" i="1"/>
  <c r="N2732" i="1"/>
  <c r="L2732" i="1"/>
  <c r="K2732" i="1"/>
  <c r="AB2732" i="1"/>
  <c r="I2732" i="1"/>
  <c r="X2731" i="1"/>
  <c r="Z2731" i="1" s="1"/>
  <c r="W2731" i="1"/>
  <c r="S2731" i="1"/>
  <c r="Q2731" i="1"/>
  <c r="N2731" i="1"/>
  <c r="L2731" i="1"/>
  <c r="K2731" i="1"/>
  <c r="AB2731" i="1"/>
  <c r="I2731" i="1"/>
  <c r="X2730" i="1"/>
  <c r="Z2730" i="1" s="1"/>
  <c r="W2730" i="1"/>
  <c r="S2730" i="1"/>
  <c r="Q2730" i="1"/>
  <c r="N2730" i="1"/>
  <c r="L2730" i="1"/>
  <c r="K2730" i="1"/>
  <c r="AB2730" i="1"/>
  <c r="I2730" i="1"/>
  <c r="X2729" i="1"/>
  <c r="Z2729" i="1" s="1"/>
  <c r="W2729" i="1"/>
  <c r="S2729" i="1"/>
  <c r="Q2729" i="1"/>
  <c r="N2729" i="1"/>
  <c r="L2729" i="1"/>
  <c r="K2729" i="1"/>
  <c r="AB2729" i="1"/>
  <c r="I2729" i="1"/>
  <c r="X2728" i="1"/>
  <c r="Z2728" i="1" s="1"/>
  <c r="W2728" i="1"/>
  <c r="S2728" i="1"/>
  <c r="Q2728" i="1"/>
  <c r="N2728" i="1"/>
  <c r="L2728" i="1"/>
  <c r="K2728" i="1"/>
  <c r="AB2728" i="1"/>
  <c r="I2728" i="1"/>
  <c r="X2727" i="1"/>
  <c r="Z2727" i="1" s="1"/>
  <c r="W2727" i="1"/>
  <c r="S2727" i="1"/>
  <c r="Q2727" i="1"/>
  <c r="N2727" i="1"/>
  <c r="L2727" i="1"/>
  <c r="K2727" i="1"/>
  <c r="AB2727" i="1"/>
  <c r="I2727" i="1"/>
  <c r="X2726" i="1"/>
  <c r="Z2726" i="1" s="1"/>
  <c r="W2726" i="1"/>
  <c r="S2726" i="1"/>
  <c r="Q2726" i="1"/>
  <c r="N2726" i="1"/>
  <c r="L2726" i="1"/>
  <c r="K2726" i="1"/>
  <c r="AB2726" i="1"/>
  <c r="I2726" i="1"/>
  <c r="X2725" i="1"/>
  <c r="Z2725" i="1" s="1"/>
  <c r="W2725" i="1"/>
  <c r="S2725" i="1"/>
  <c r="Q2725" i="1"/>
  <c r="N2725" i="1"/>
  <c r="L2725" i="1"/>
  <c r="K2725" i="1"/>
  <c r="AB2725" i="1"/>
  <c r="I2725" i="1"/>
  <c r="X2724" i="1"/>
  <c r="Z2724" i="1" s="1"/>
  <c r="W2724" i="1"/>
  <c r="S2724" i="1"/>
  <c r="Q2724" i="1"/>
  <c r="N2724" i="1"/>
  <c r="L2724" i="1"/>
  <c r="K2724" i="1"/>
  <c r="AB2724" i="1"/>
  <c r="I2724" i="1"/>
  <c r="X2723" i="1"/>
  <c r="Z2723" i="1" s="1"/>
  <c r="W2723" i="1"/>
  <c r="S2723" i="1"/>
  <c r="Q2723" i="1"/>
  <c r="N2723" i="1"/>
  <c r="L2723" i="1"/>
  <c r="K2723" i="1"/>
  <c r="AB2723" i="1"/>
  <c r="I2723" i="1"/>
  <c r="X2722" i="1"/>
  <c r="Z2722" i="1" s="1"/>
  <c r="W2722" i="1"/>
  <c r="S2722" i="1"/>
  <c r="Q2722" i="1"/>
  <c r="N2722" i="1"/>
  <c r="L2722" i="1"/>
  <c r="K2722" i="1"/>
  <c r="AB2722" i="1"/>
  <c r="I2722" i="1"/>
  <c r="X2721" i="1"/>
  <c r="Z2721" i="1" s="1"/>
  <c r="W2721" i="1"/>
  <c r="S2721" i="1"/>
  <c r="Q2721" i="1"/>
  <c r="N2721" i="1"/>
  <c r="L2721" i="1"/>
  <c r="Y2721" i="1" s="1"/>
  <c r="K2721" i="1"/>
  <c r="AB2721" i="1"/>
  <c r="I2721" i="1"/>
  <c r="X2720" i="1"/>
  <c r="Z2720" i="1" s="1"/>
  <c r="W2720" i="1"/>
  <c r="S2720" i="1"/>
  <c r="Q2720" i="1"/>
  <c r="N2720" i="1"/>
  <c r="L2720" i="1"/>
  <c r="K2720" i="1"/>
  <c r="AB2720" i="1"/>
  <c r="I2720" i="1"/>
  <c r="X2719" i="1"/>
  <c r="Z2719" i="1" s="1"/>
  <c r="W2719" i="1"/>
  <c r="S2719" i="1"/>
  <c r="Q2719" i="1"/>
  <c r="N2719" i="1"/>
  <c r="L2719" i="1"/>
  <c r="K2719" i="1"/>
  <c r="AB2719" i="1"/>
  <c r="I2719" i="1"/>
  <c r="X2718" i="1"/>
  <c r="Z2718" i="1" s="1"/>
  <c r="W2718" i="1"/>
  <c r="S2718" i="1"/>
  <c r="Q2718" i="1"/>
  <c r="N2718" i="1"/>
  <c r="L2718" i="1"/>
  <c r="K2718" i="1"/>
  <c r="AB2718" i="1"/>
  <c r="I2718" i="1"/>
  <c r="X2717" i="1"/>
  <c r="Z2717" i="1" s="1"/>
  <c r="W2717" i="1"/>
  <c r="S2717" i="1"/>
  <c r="Q2717" i="1"/>
  <c r="N2717" i="1"/>
  <c r="L2717" i="1"/>
  <c r="K2717" i="1"/>
  <c r="AB2717" i="1"/>
  <c r="I2717" i="1"/>
  <c r="X2716" i="1"/>
  <c r="Z2716" i="1" s="1"/>
  <c r="W2716" i="1"/>
  <c r="S2716" i="1"/>
  <c r="Q2716" i="1"/>
  <c r="N2716" i="1"/>
  <c r="L2716" i="1"/>
  <c r="K2716" i="1"/>
  <c r="AB2716" i="1"/>
  <c r="I2716" i="1"/>
  <c r="X2715" i="1"/>
  <c r="Z2715" i="1" s="1"/>
  <c r="W2715" i="1"/>
  <c r="S2715" i="1"/>
  <c r="Q2715" i="1"/>
  <c r="N2715" i="1"/>
  <c r="L2715" i="1"/>
  <c r="K2715" i="1"/>
  <c r="AB2715" i="1"/>
  <c r="I2715" i="1"/>
  <c r="X2714" i="1"/>
  <c r="Z2714" i="1" s="1"/>
  <c r="W2714" i="1"/>
  <c r="S2714" i="1"/>
  <c r="Q2714" i="1"/>
  <c r="N2714" i="1"/>
  <c r="L2714" i="1"/>
  <c r="K2714" i="1"/>
  <c r="AB2714" i="1"/>
  <c r="I2714" i="1"/>
  <c r="X2713" i="1"/>
  <c r="Z2713" i="1" s="1"/>
  <c r="W2713" i="1"/>
  <c r="S2713" i="1"/>
  <c r="Q2713" i="1"/>
  <c r="N2713" i="1"/>
  <c r="L2713" i="1"/>
  <c r="Y2713" i="1" s="1"/>
  <c r="K2713" i="1"/>
  <c r="AB2713" i="1"/>
  <c r="I2713" i="1"/>
  <c r="X2712" i="1"/>
  <c r="Z2712" i="1" s="1"/>
  <c r="W2712" i="1"/>
  <c r="S2712" i="1"/>
  <c r="Q2712" i="1"/>
  <c r="N2712" i="1"/>
  <c r="L2712" i="1"/>
  <c r="K2712" i="1"/>
  <c r="AB2712" i="1"/>
  <c r="I2712" i="1"/>
  <c r="X2711" i="1"/>
  <c r="Z2711" i="1" s="1"/>
  <c r="W2711" i="1"/>
  <c r="S2711" i="1"/>
  <c r="Q2711" i="1"/>
  <c r="N2711" i="1"/>
  <c r="L2711" i="1"/>
  <c r="K2711" i="1"/>
  <c r="AB2711" i="1"/>
  <c r="I2711" i="1"/>
  <c r="X2710" i="1"/>
  <c r="Z2710" i="1" s="1"/>
  <c r="W2710" i="1"/>
  <c r="S2710" i="1"/>
  <c r="Q2710" i="1"/>
  <c r="N2710" i="1"/>
  <c r="L2710" i="1"/>
  <c r="K2710" i="1"/>
  <c r="AB2710" i="1"/>
  <c r="I2710" i="1"/>
  <c r="X2709" i="1"/>
  <c r="Z2709" i="1" s="1"/>
  <c r="W2709" i="1"/>
  <c r="S2709" i="1"/>
  <c r="Q2709" i="1"/>
  <c r="N2709" i="1"/>
  <c r="L2709" i="1"/>
  <c r="K2709" i="1"/>
  <c r="AB2709" i="1"/>
  <c r="I2709" i="1"/>
  <c r="X2708" i="1"/>
  <c r="Z2708" i="1" s="1"/>
  <c r="W2708" i="1"/>
  <c r="S2708" i="1"/>
  <c r="Q2708" i="1"/>
  <c r="N2708" i="1"/>
  <c r="L2708" i="1"/>
  <c r="K2708" i="1"/>
  <c r="AB2708" i="1"/>
  <c r="I2708" i="1"/>
  <c r="X2707" i="1"/>
  <c r="Z2707" i="1" s="1"/>
  <c r="W2707" i="1"/>
  <c r="S2707" i="1"/>
  <c r="Q2707" i="1"/>
  <c r="N2707" i="1"/>
  <c r="L2707" i="1"/>
  <c r="K2707" i="1"/>
  <c r="AB2707" i="1"/>
  <c r="I2707" i="1"/>
  <c r="X2706" i="1"/>
  <c r="Z2706" i="1" s="1"/>
  <c r="W2706" i="1"/>
  <c r="S2706" i="1"/>
  <c r="Q2706" i="1"/>
  <c r="N2706" i="1"/>
  <c r="L2706" i="1"/>
  <c r="K2706" i="1"/>
  <c r="AB2706" i="1"/>
  <c r="I2706" i="1"/>
  <c r="X2705" i="1"/>
  <c r="Z2705" i="1" s="1"/>
  <c r="W2705" i="1"/>
  <c r="S2705" i="1"/>
  <c r="Q2705" i="1"/>
  <c r="N2705" i="1"/>
  <c r="L2705" i="1"/>
  <c r="Y2705" i="1" s="1"/>
  <c r="K2705" i="1"/>
  <c r="AB2705" i="1"/>
  <c r="I2705" i="1"/>
  <c r="X2704" i="1"/>
  <c r="Z2704" i="1" s="1"/>
  <c r="W2704" i="1"/>
  <c r="S2704" i="1"/>
  <c r="Q2704" i="1"/>
  <c r="N2704" i="1"/>
  <c r="L2704" i="1"/>
  <c r="K2704" i="1"/>
  <c r="AB2704" i="1"/>
  <c r="I2704" i="1"/>
  <c r="X2703" i="1"/>
  <c r="Z2703" i="1" s="1"/>
  <c r="W2703" i="1"/>
  <c r="S2703" i="1"/>
  <c r="Q2703" i="1"/>
  <c r="N2703" i="1"/>
  <c r="L2703" i="1"/>
  <c r="K2703" i="1"/>
  <c r="AB2703" i="1"/>
  <c r="I2703" i="1"/>
  <c r="X2702" i="1"/>
  <c r="Z2702" i="1" s="1"/>
  <c r="W2702" i="1"/>
  <c r="S2702" i="1"/>
  <c r="Q2702" i="1"/>
  <c r="N2702" i="1"/>
  <c r="L2702" i="1"/>
  <c r="K2702" i="1"/>
  <c r="AB2702" i="1"/>
  <c r="I2702" i="1"/>
  <c r="X2701" i="1"/>
  <c r="Z2701" i="1" s="1"/>
  <c r="W2701" i="1"/>
  <c r="S2701" i="1"/>
  <c r="Q2701" i="1"/>
  <c r="N2701" i="1"/>
  <c r="L2701" i="1"/>
  <c r="Y2701" i="1" s="1"/>
  <c r="K2701" i="1"/>
  <c r="AB2701" i="1"/>
  <c r="I2701" i="1"/>
  <c r="X2700" i="1"/>
  <c r="Z2700" i="1" s="1"/>
  <c r="W2700" i="1"/>
  <c r="S2700" i="1"/>
  <c r="Q2700" i="1"/>
  <c r="N2700" i="1"/>
  <c r="L2700" i="1"/>
  <c r="K2700" i="1"/>
  <c r="AB2700" i="1"/>
  <c r="I2700" i="1"/>
  <c r="X2699" i="1"/>
  <c r="Z2699" i="1" s="1"/>
  <c r="W2699" i="1"/>
  <c r="S2699" i="1"/>
  <c r="Q2699" i="1"/>
  <c r="N2699" i="1"/>
  <c r="L2699" i="1"/>
  <c r="K2699" i="1"/>
  <c r="AB2699" i="1"/>
  <c r="I2699" i="1"/>
  <c r="X2698" i="1"/>
  <c r="Z2698" i="1" s="1"/>
  <c r="W2698" i="1"/>
  <c r="S2698" i="1"/>
  <c r="Q2698" i="1"/>
  <c r="N2698" i="1"/>
  <c r="L2698" i="1"/>
  <c r="K2698" i="1"/>
  <c r="AB2698" i="1"/>
  <c r="I2698" i="1"/>
  <c r="X2697" i="1"/>
  <c r="Z2697" i="1" s="1"/>
  <c r="W2697" i="1"/>
  <c r="S2697" i="1"/>
  <c r="Q2697" i="1"/>
  <c r="N2697" i="1"/>
  <c r="L2697" i="1"/>
  <c r="K2697" i="1"/>
  <c r="AB2697" i="1"/>
  <c r="I2697" i="1"/>
  <c r="X2696" i="1"/>
  <c r="Z2696" i="1" s="1"/>
  <c r="W2696" i="1"/>
  <c r="S2696" i="1"/>
  <c r="Q2696" i="1"/>
  <c r="N2696" i="1"/>
  <c r="L2696" i="1"/>
  <c r="K2696" i="1"/>
  <c r="AB2696" i="1"/>
  <c r="I2696" i="1"/>
  <c r="X2695" i="1"/>
  <c r="Z2695" i="1" s="1"/>
  <c r="W2695" i="1"/>
  <c r="S2695" i="1"/>
  <c r="Q2695" i="1"/>
  <c r="N2695" i="1"/>
  <c r="L2695" i="1"/>
  <c r="K2695" i="1"/>
  <c r="AB2695" i="1"/>
  <c r="I2695" i="1"/>
  <c r="X2694" i="1"/>
  <c r="Z2694" i="1" s="1"/>
  <c r="W2694" i="1"/>
  <c r="S2694" i="1"/>
  <c r="Q2694" i="1"/>
  <c r="N2694" i="1"/>
  <c r="L2694" i="1"/>
  <c r="K2694" i="1"/>
  <c r="AB2694" i="1"/>
  <c r="I2694" i="1"/>
  <c r="X2693" i="1"/>
  <c r="Z2693" i="1" s="1"/>
  <c r="W2693" i="1"/>
  <c r="S2693" i="1"/>
  <c r="Q2693" i="1"/>
  <c r="N2693" i="1"/>
  <c r="L2693" i="1"/>
  <c r="Y2693" i="1" s="1"/>
  <c r="K2693" i="1"/>
  <c r="AB2693" i="1"/>
  <c r="I2693" i="1"/>
  <c r="X2692" i="1"/>
  <c r="Z2692" i="1" s="1"/>
  <c r="W2692" i="1"/>
  <c r="S2692" i="1"/>
  <c r="Q2692" i="1"/>
  <c r="N2692" i="1"/>
  <c r="L2692" i="1"/>
  <c r="K2692" i="1"/>
  <c r="AB2692" i="1"/>
  <c r="I2692" i="1"/>
  <c r="X2691" i="1"/>
  <c r="Z2691" i="1" s="1"/>
  <c r="W2691" i="1"/>
  <c r="S2691" i="1"/>
  <c r="Q2691" i="1"/>
  <c r="N2691" i="1"/>
  <c r="L2691" i="1"/>
  <c r="K2691" i="1"/>
  <c r="AB2691" i="1"/>
  <c r="I2691" i="1"/>
  <c r="X2690" i="1"/>
  <c r="Z2690" i="1" s="1"/>
  <c r="W2690" i="1"/>
  <c r="S2690" i="1"/>
  <c r="Q2690" i="1"/>
  <c r="N2690" i="1"/>
  <c r="L2690" i="1"/>
  <c r="K2690" i="1"/>
  <c r="AB2690" i="1"/>
  <c r="AC2690" i="1" s="1"/>
  <c r="I2690" i="1"/>
  <c r="X2689" i="1"/>
  <c r="Z2689" i="1" s="1"/>
  <c r="W2689" i="1"/>
  <c r="S2689" i="1"/>
  <c r="Q2689" i="1"/>
  <c r="N2689" i="1"/>
  <c r="L2689" i="1"/>
  <c r="Y2689" i="1" s="1"/>
  <c r="K2689" i="1"/>
  <c r="AB2689" i="1"/>
  <c r="I2689" i="1"/>
  <c r="X2688" i="1"/>
  <c r="Z2688" i="1" s="1"/>
  <c r="W2688" i="1"/>
  <c r="S2688" i="1"/>
  <c r="Q2688" i="1"/>
  <c r="N2688" i="1"/>
  <c r="L2688" i="1"/>
  <c r="K2688" i="1"/>
  <c r="AB2688" i="1"/>
  <c r="I2688" i="1"/>
  <c r="X2687" i="1"/>
  <c r="Z2687" i="1" s="1"/>
  <c r="W2687" i="1"/>
  <c r="S2687" i="1"/>
  <c r="Q2687" i="1"/>
  <c r="N2687" i="1"/>
  <c r="L2687" i="1"/>
  <c r="K2687" i="1"/>
  <c r="AB2687" i="1"/>
  <c r="I2687" i="1"/>
  <c r="X2686" i="1"/>
  <c r="Z2686" i="1" s="1"/>
  <c r="W2686" i="1"/>
  <c r="S2686" i="1"/>
  <c r="Q2686" i="1"/>
  <c r="N2686" i="1"/>
  <c r="L2686" i="1"/>
  <c r="K2686" i="1"/>
  <c r="AB2686" i="1"/>
  <c r="I2686" i="1"/>
  <c r="X2685" i="1"/>
  <c r="Z2685" i="1" s="1"/>
  <c r="W2685" i="1"/>
  <c r="S2685" i="1"/>
  <c r="Q2685" i="1"/>
  <c r="N2685" i="1"/>
  <c r="L2685" i="1"/>
  <c r="Y2685" i="1" s="1"/>
  <c r="K2685" i="1"/>
  <c r="AB2685" i="1"/>
  <c r="I2685" i="1"/>
  <c r="X2684" i="1"/>
  <c r="Z2684" i="1" s="1"/>
  <c r="W2684" i="1"/>
  <c r="S2684" i="1"/>
  <c r="Q2684" i="1"/>
  <c r="N2684" i="1"/>
  <c r="L2684" i="1"/>
  <c r="K2684" i="1"/>
  <c r="AB2684" i="1"/>
  <c r="I2684" i="1"/>
  <c r="X2683" i="1"/>
  <c r="Z2683" i="1" s="1"/>
  <c r="W2683" i="1"/>
  <c r="S2683" i="1"/>
  <c r="Q2683" i="1"/>
  <c r="N2683" i="1"/>
  <c r="L2683" i="1"/>
  <c r="K2683" i="1"/>
  <c r="AB2683" i="1"/>
  <c r="I2683" i="1"/>
  <c r="X2682" i="1"/>
  <c r="Z2682" i="1" s="1"/>
  <c r="W2682" i="1"/>
  <c r="S2682" i="1"/>
  <c r="Q2682" i="1"/>
  <c r="N2682" i="1"/>
  <c r="L2682" i="1"/>
  <c r="K2682" i="1"/>
  <c r="AB2682" i="1"/>
  <c r="I2682" i="1"/>
  <c r="X2681" i="1"/>
  <c r="Z2681" i="1" s="1"/>
  <c r="W2681" i="1"/>
  <c r="S2681" i="1"/>
  <c r="Q2681" i="1"/>
  <c r="N2681" i="1"/>
  <c r="L2681" i="1"/>
  <c r="K2681" i="1"/>
  <c r="AB2681" i="1"/>
  <c r="I2681" i="1"/>
  <c r="X2680" i="1"/>
  <c r="Z2680" i="1" s="1"/>
  <c r="W2680" i="1"/>
  <c r="S2680" i="1"/>
  <c r="Q2680" i="1"/>
  <c r="N2680" i="1"/>
  <c r="L2680" i="1"/>
  <c r="K2680" i="1"/>
  <c r="AB2680" i="1"/>
  <c r="I2680" i="1"/>
  <c r="X2679" i="1"/>
  <c r="Z2679" i="1" s="1"/>
  <c r="W2679" i="1"/>
  <c r="S2679" i="1"/>
  <c r="Q2679" i="1"/>
  <c r="N2679" i="1"/>
  <c r="L2679" i="1"/>
  <c r="K2679" i="1"/>
  <c r="AB2679" i="1"/>
  <c r="I2679" i="1"/>
  <c r="X2678" i="1"/>
  <c r="Z2678" i="1" s="1"/>
  <c r="W2678" i="1"/>
  <c r="S2678" i="1"/>
  <c r="Q2678" i="1"/>
  <c r="N2678" i="1"/>
  <c r="L2678" i="1"/>
  <c r="K2678" i="1"/>
  <c r="AB2678" i="1"/>
  <c r="I2678" i="1"/>
  <c r="X2677" i="1"/>
  <c r="Z2677" i="1" s="1"/>
  <c r="W2677" i="1"/>
  <c r="S2677" i="1"/>
  <c r="Q2677" i="1"/>
  <c r="N2677" i="1"/>
  <c r="L2677" i="1"/>
  <c r="K2677" i="1"/>
  <c r="AB2677" i="1"/>
  <c r="I2677" i="1"/>
  <c r="X2676" i="1"/>
  <c r="Z2676" i="1" s="1"/>
  <c r="W2676" i="1"/>
  <c r="S2676" i="1"/>
  <c r="Q2676" i="1"/>
  <c r="N2676" i="1"/>
  <c r="L2676" i="1"/>
  <c r="K2676" i="1"/>
  <c r="AB2676" i="1"/>
  <c r="I2676" i="1"/>
  <c r="X2675" i="1"/>
  <c r="Z2675" i="1" s="1"/>
  <c r="W2675" i="1"/>
  <c r="S2675" i="1"/>
  <c r="Q2675" i="1"/>
  <c r="N2675" i="1"/>
  <c r="L2675" i="1"/>
  <c r="K2675" i="1"/>
  <c r="AB2675" i="1"/>
  <c r="I2675" i="1"/>
  <c r="X2674" i="1"/>
  <c r="Z2674" i="1" s="1"/>
  <c r="W2674" i="1"/>
  <c r="S2674" i="1"/>
  <c r="Q2674" i="1"/>
  <c r="N2674" i="1"/>
  <c r="L2674" i="1"/>
  <c r="K2674" i="1"/>
  <c r="AB2674" i="1"/>
  <c r="I2674" i="1"/>
  <c r="X2673" i="1"/>
  <c r="Z2673" i="1" s="1"/>
  <c r="W2673" i="1"/>
  <c r="S2673" i="1"/>
  <c r="Q2673" i="1"/>
  <c r="N2673" i="1"/>
  <c r="L2673" i="1"/>
  <c r="Y2673" i="1" s="1"/>
  <c r="K2673" i="1"/>
  <c r="AB2673" i="1"/>
  <c r="I2673" i="1"/>
  <c r="X2672" i="1"/>
  <c r="Z2672" i="1" s="1"/>
  <c r="W2672" i="1"/>
  <c r="S2672" i="1"/>
  <c r="Q2672" i="1"/>
  <c r="N2672" i="1"/>
  <c r="L2672" i="1"/>
  <c r="K2672" i="1"/>
  <c r="AB2672" i="1"/>
  <c r="I2672" i="1"/>
  <c r="X2671" i="1"/>
  <c r="Z2671" i="1" s="1"/>
  <c r="W2671" i="1"/>
  <c r="S2671" i="1"/>
  <c r="Q2671" i="1"/>
  <c r="N2671" i="1"/>
  <c r="L2671" i="1"/>
  <c r="K2671" i="1"/>
  <c r="AB2671" i="1"/>
  <c r="I2671" i="1"/>
  <c r="X2670" i="1"/>
  <c r="Z2670" i="1" s="1"/>
  <c r="W2670" i="1"/>
  <c r="S2670" i="1"/>
  <c r="Q2670" i="1"/>
  <c r="N2670" i="1"/>
  <c r="L2670" i="1"/>
  <c r="K2670" i="1"/>
  <c r="AB2670" i="1"/>
  <c r="I2670" i="1"/>
  <c r="X2669" i="1"/>
  <c r="Z2669" i="1" s="1"/>
  <c r="W2669" i="1"/>
  <c r="S2669" i="1"/>
  <c r="Q2669" i="1"/>
  <c r="N2669" i="1"/>
  <c r="L2669" i="1"/>
  <c r="Y2669" i="1" s="1"/>
  <c r="K2669" i="1"/>
  <c r="AB2669" i="1"/>
  <c r="I2669" i="1"/>
  <c r="X2668" i="1"/>
  <c r="Z2668" i="1" s="1"/>
  <c r="W2668" i="1"/>
  <c r="S2668" i="1"/>
  <c r="Q2668" i="1"/>
  <c r="N2668" i="1"/>
  <c r="L2668" i="1"/>
  <c r="K2668" i="1"/>
  <c r="AB2668" i="1"/>
  <c r="I2668" i="1"/>
  <c r="X2667" i="1"/>
  <c r="Z2667" i="1" s="1"/>
  <c r="W2667" i="1"/>
  <c r="S2667" i="1"/>
  <c r="Q2667" i="1"/>
  <c r="N2667" i="1"/>
  <c r="L2667" i="1"/>
  <c r="K2667" i="1"/>
  <c r="AB2667" i="1"/>
  <c r="I2667" i="1"/>
  <c r="X2666" i="1"/>
  <c r="Z2666" i="1" s="1"/>
  <c r="W2666" i="1"/>
  <c r="S2666" i="1"/>
  <c r="Q2666" i="1"/>
  <c r="N2666" i="1"/>
  <c r="L2666" i="1"/>
  <c r="K2666" i="1"/>
  <c r="AB2666" i="1"/>
  <c r="I2666" i="1"/>
  <c r="X2665" i="1"/>
  <c r="Z2665" i="1" s="1"/>
  <c r="W2665" i="1"/>
  <c r="S2665" i="1"/>
  <c r="Q2665" i="1"/>
  <c r="N2665" i="1"/>
  <c r="L2665" i="1"/>
  <c r="K2665" i="1"/>
  <c r="AB2665" i="1"/>
  <c r="I2665" i="1"/>
  <c r="X2664" i="1"/>
  <c r="Z2664" i="1" s="1"/>
  <c r="W2664" i="1"/>
  <c r="S2664" i="1"/>
  <c r="Q2664" i="1"/>
  <c r="N2664" i="1"/>
  <c r="L2664" i="1"/>
  <c r="K2664" i="1"/>
  <c r="AB2664" i="1"/>
  <c r="I2664" i="1"/>
  <c r="X2663" i="1"/>
  <c r="Z2663" i="1" s="1"/>
  <c r="W2663" i="1"/>
  <c r="S2663" i="1"/>
  <c r="Q2663" i="1"/>
  <c r="N2663" i="1"/>
  <c r="L2663" i="1"/>
  <c r="K2663" i="1"/>
  <c r="AB2663" i="1"/>
  <c r="I2663" i="1"/>
  <c r="X2662" i="1"/>
  <c r="Z2662" i="1" s="1"/>
  <c r="W2662" i="1"/>
  <c r="S2662" i="1"/>
  <c r="Q2662" i="1"/>
  <c r="N2662" i="1"/>
  <c r="L2662" i="1"/>
  <c r="K2662" i="1"/>
  <c r="AB2662" i="1"/>
  <c r="I2662" i="1"/>
  <c r="X2661" i="1"/>
  <c r="Z2661" i="1" s="1"/>
  <c r="W2661" i="1"/>
  <c r="S2661" i="1"/>
  <c r="Q2661" i="1"/>
  <c r="N2661" i="1"/>
  <c r="L2661" i="1"/>
  <c r="Y2661" i="1" s="1"/>
  <c r="K2661" i="1"/>
  <c r="AB2661" i="1"/>
  <c r="I2661" i="1"/>
  <c r="X2660" i="1"/>
  <c r="Z2660" i="1" s="1"/>
  <c r="W2660" i="1"/>
  <c r="S2660" i="1"/>
  <c r="Q2660" i="1"/>
  <c r="N2660" i="1"/>
  <c r="L2660" i="1"/>
  <c r="K2660" i="1"/>
  <c r="AB2660" i="1"/>
  <c r="I2660" i="1"/>
  <c r="X2659" i="1"/>
  <c r="Z2659" i="1" s="1"/>
  <c r="W2659" i="1"/>
  <c r="S2659" i="1"/>
  <c r="Q2659" i="1"/>
  <c r="N2659" i="1"/>
  <c r="L2659" i="1"/>
  <c r="K2659" i="1"/>
  <c r="AB2659" i="1"/>
  <c r="I2659" i="1"/>
  <c r="X2658" i="1"/>
  <c r="Z2658" i="1" s="1"/>
  <c r="W2658" i="1"/>
  <c r="S2658" i="1"/>
  <c r="Q2658" i="1"/>
  <c r="N2658" i="1"/>
  <c r="L2658" i="1"/>
  <c r="K2658" i="1"/>
  <c r="AB2658" i="1"/>
  <c r="I2658" i="1"/>
  <c r="X2657" i="1"/>
  <c r="Z2657" i="1" s="1"/>
  <c r="W2657" i="1"/>
  <c r="S2657" i="1"/>
  <c r="Q2657" i="1"/>
  <c r="N2657" i="1"/>
  <c r="L2657" i="1"/>
  <c r="Y2657" i="1" s="1"/>
  <c r="K2657" i="1"/>
  <c r="AB2657" i="1"/>
  <c r="I2657" i="1"/>
  <c r="X2656" i="1"/>
  <c r="Z2656" i="1" s="1"/>
  <c r="W2656" i="1"/>
  <c r="S2656" i="1"/>
  <c r="Q2656" i="1"/>
  <c r="N2656" i="1"/>
  <c r="L2656" i="1"/>
  <c r="K2656" i="1"/>
  <c r="AB2656" i="1"/>
  <c r="I2656" i="1"/>
  <c r="X2655" i="1"/>
  <c r="Z2655" i="1" s="1"/>
  <c r="W2655" i="1"/>
  <c r="S2655" i="1"/>
  <c r="Q2655" i="1"/>
  <c r="N2655" i="1"/>
  <c r="L2655" i="1"/>
  <c r="K2655" i="1"/>
  <c r="AB2655" i="1"/>
  <c r="I2655" i="1"/>
  <c r="X2654" i="1"/>
  <c r="Z2654" i="1" s="1"/>
  <c r="W2654" i="1"/>
  <c r="S2654" i="1"/>
  <c r="Q2654" i="1"/>
  <c r="N2654" i="1"/>
  <c r="L2654" i="1"/>
  <c r="K2654" i="1"/>
  <c r="AB2654" i="1"/>
  <c r="I2654" i="1"/>
  <c r="X2653" i="1"/>
  <c r="Z2653" i="1" s="1"/>
  <c r="W2653" i="1"/>
  <c r="S2653" i="1"/>
  <c r="Q2653" i="1"/>
  <c r="N2653" i="1"/>
  <c r="L2653" i="1"/>
  <c r="Y2653" i="1" s="1"/>
  <c r="K2653" i="1"/>
  <c r="AB2653" i="1"/>
  <c r="I2653" i="1"/>
  <c r="X2652" i="1"/>
  <c r="Z2652" i="1" s="1"/>
  <c r="W2652" i="1"/>
  <c r="S2652" i="1"/>
  <c r="Q2652" i="1"/>
  <c r="N2652" i="1"/>
  <c r="L2652" i="1"/>
  <c r="K2652" i="1"/>
  <c r="AB2652" i="1"/>
  <c r="I2652" i="1"/>
  <c r="X2651" i="1"/>
  <c r="Z2651" i="1" s="1"/>
  <c r="W2651" i="1"/>
  <c r="S2651" i="1"/>
  <c r="Q2651" i="1"/>
  <c r="N2651" i="1"/>
  <c r="L2651" i="1"/>
  <c r="K2651" i="1"/>
  <c r="AB2651" i="1"/>
  <c r="I2651" i="1"/>
  <c r="X2650" i="1"/>
  <c r="Z2650" i="1" s="1"/>
  <c r="W2650" i="1"/>
  <c r="S2650" i="1"/>
  <c r="Q2650" i="1"/>
  <c r="N2650" i="1"/>
  <c r="L2650" i="1"/>
  <c r="K2650" i="1"/>
  <c r="AB2650" i="1"/>
  <c r="I2650" i="1"/>
  <c r="X2649" i="1"/>
  <c r="Z2649" i="1" s="1"/>
  <c r="W2649" i="1"/>
  <c r="S2649" i="1"/>
  <c r="Q2649" i="1"/>
  <c r="N2649" i="1"/>
  <c r="L2649" i="1"/>
  <c r="K2649" i="1"/>
  <c r="AB2649" i="1"/>
  <c r="I2649" i="1"/>
  <c r="X2648" i="1"/>
  <c r="Z2648" i="1" s="1"/>
  <c r="W2648" i="1"/>
  <c r="S2648" i="1"/>
  <c r="Q2648" i="1"/>
  <c r="N2648" i="1"/>
  <c r="L2648" i="1"/>
  <c r="K2648" i="1"/>
  <c r="AB2648" i="1"/>
  <c r="I2648" i="1"/>
  <c r="X2647" i="1"/>
  <c r="Z2647" i="1" s="1"/>
  <c r="W2647" i="1"/>
  <c r="S2647" i="1"/>
  <c r="Q2647" i="1"/>
  <c r="N2647" i="1"/>
  <c r="L2647" i="1"/>
  <c r="K2647" i="1"/>
  <c r="AB2647" i="1"/>
  <c r="I2647" i="1"/>
  <c r="X2646" i="1"/>
  <c r="Z2646" i="1" s="1"/>
  <c r="W2646" i="1"/>
  <c r="S2646" i="1"/>
  <c r="Q2646" i="1"/>
  <c r="N2646" i="1"/>
  <c r="L2646" i="1"/>
  <c r="K2646" i="1"/>
  <c r="AB2646" i="1"/>
  <c r="I2646" i="1"/>
  <c r="X2645" i="1"/>
  <c r="Z2645" i="1" s="1"/>
  <c r="W2645" i="1"/>
  <c r="S2645" i="1"/>
  <c r="Q2645" i="1"/>
  <c r="N2645" i="1"/>
  <c r="L2645" i="1"/>
  <c r="K2645" i="1"/>
  <c r="AB2645" i="1"/>
  <c r="I2645" i="1"/>
  <c r="X2644" i="1"/>
  <c r="Z2644" i="1" s="1"/>
  <c r="W2644" i="1"/>
  <c r="S2644" i="1"/>
  <c r="Q2644" i="1"/>
  <c r="N2644" i="1"/>
  <c r="L2644" i="1"/>
  <c r="K2644" i="1"/>
  <c r="AB2644" i="1"/>
  <c r="I2644" i="1"/>
  <c r="X2643" i="1"/>
  <c r="Z2643" i="1" s="1"/>
  <c r="W2643" i="1"/>
  <c r="S2643" i="1"/>
  <c r="Q2643" i="1"/>
  <c r="N2643" i="1"/>
  <c r="L2643" i="1"/>
  <c r="K2643" i="1"/>
  <c r="AB2643" i="1"/>
  <c r="I2643" i="1"/>
  <c r="X2642" i="1"/>
  <c r="Z2642" i="1" s="1"/>
  <c r="W2642" i="1"/>
  <c r="S2642" i="1"/>
  <c r="Q2642" i="1"/>
  <c r="N2642" i="1"/>
  <c r="L2642" i="1"/>
  <c r="K2642" i="1"/>
  <c r="AB2642" i="1"/>
  <c r="AC2642" i="1" s="1"/>
  <c r="I2642" i="1"/>
  <c r="X2641" i="1"/>
  <c r="Z2641" i="1" s="1"/>
  <c r="W2641" i="1"/>
  <c r="S2641" i="1"/>
  <c r="Q2641" i="1"/>
  <c r="N2641" i="1"/>
  <c r="L2641" i="1"/>
  <c r="Y2641" i="1" s="1"/>
  <c r="K2641" i="1"/>
  <c r="AB2641" i="1"/>
  <c r="I2641" i="1"/>
  <c r="X2640" i="1"/>
  <c r="Z2640" i="1" s="1"/>
  <c r="W2640" i="1"/>
  <c r="S2640" i="1"/>
  <c r="Q2640" i="1"/>
  <c r="N2640" i="1"/>
  <c r="L2640" i="1"/>
  <c r="K2640" i="1"/>
  <c r="AB2640" i="1"/>
  <c r="I2640" i="1"/>
  <c r="X2639" i="1"/>
  <c r="Z2639" i="1" s="1"/>
  <c r="W2639" i="1"/>
  <c r="S2639" i="1"/>
  <c r="Q2639" i="1"/>
  <c r="N2639" i="1"/>
  <c r="L2639" i="1"/>
  <c r="K2639" i="1"/>
  <c r="AB2639" i="1"/>
  <c r="I2639" i="1"/>
  <c r="X2638" i="1"/>
  <c r="Z2638" i="1" s="1"/>
  <c r="W2638" i="1"/>
  <c r="S2638" i="1"/>
  <c r="Q2638" i="1"/>
  <c r="N2638" i="1"/>
  <c r="L2638" i="1"/>
  <c r="K2638" i="1"/>
  <c r="AB2638" i="1"/>
  <c r="I2638" i="1"/>
  <c r="X2637" i="1"/>
  <c r="Z2637" i="1" s="1"/>
  <c r="W2637" i="1"/>
  <c r="S2637" i="1"/>
  <c r="Q2637" i="1"/>
  <c r="N2637" i="1"/>
  <c r="L2637" i="1"/>
  <c r="K2637" i="1"/>
  <c r="AB2637" i="1"/>
  <c r="I2637" i="1"/>
  <c r="X2636" i="1"/>
  <c r="Z2636" i="1" s="1"/>
  <c r="W2636" i="1"/>
  <c r="S2636" i="1"/>
  <c r="Q2636" i="1"/>
  <c r="N2636" i="1"/>
  <c r="L2636" i="1"/>
  <c r="K2636" i="1"/>
  <c r="AB2636" i="1"/>
  <c r="I2636" i="1"/>
  <c r="X2635" i="1"/>
  <c r="Z2635" i="1" s="1"/>
  <c r="W2635" i="1"/>
  <c r="S2635" i="1"/>
  <c r="Q2635" i="1"/>
  <c r="N2635" i="1"/>
  <c r="L2635" i="1"/>
  <c r="K2635" i="1"/>
  <c r="AB2635" i="1"/>
  <c r="I2635" i="1"/>
  <c r="X2634" i="1"/>
  <c r="Z2634" i="1" s="1"/>
  <c r="W2634" i="1"/>
  <c r="S2634" i="1"/>
  <c r="Q2634" i="1"/>
  <c r="N2634" i="1"/>
  <c r="L2634" i="1"/>
  <c r="K2634" i="1"/>
  <c r="AB2634" i="1"/>
  <c r="I2634" i="1"/>
  <c r="X2633" i="1"/>
  <c r="Z2633" i="1" s="1"/>
  <c r="W2633" i="1"/>
  <c r="S2633" i="1"/>
  <c r="Q2633" i="1"/>
  <c r="N2633" i="1"/>
  <c r="L2633" i="1"/>
  <c r="K2633" i="1"/>
  <c r="AB2633" i="1"/>
  <c r="I2633" i="1"/>
  <c r="X2632" i="1"/>
  <c r="Z2632" i="1" s="1"/>
  <c r="W2632" i="1"/>
  <c r="S2632" i="1"/>
  <c r="Q2632" i="1"/>
  <c r="N2632" i="1"/>
  <c r="L2632" i="1"/>
  <c r="K2632" i="1"/>
  <c r="AB2632" i="1"/>
  <c r="I2632" i="1"/>
  <c r="X2631" i="1"/>
  <c r="Z2631" i="1" s="1"/>
  <c r="W2631" i="1"/>
  <c r="S2631" i="1"/>
  <c r="Q2631" i="1"/>
  <c r="N2631" i="1"/>
  <c r="L2631" i="1"/>
  <c r="K2631" i="1"/>
  <c r="AB2631" i="1"/>
  <c r="I2631" i="1"/>
  <c r="X2630" i="1"/>
  <c r="Z2630" i="1" s="1"/>
  <c r="W2630" i="1"/>
  <c r="S2630" i="1"/>
  <c r="Q2630" i="1"/>
  <c r="N2630" i="1"/>
  <c r="L2630" i="1"/>
  <c r="K2630" i="1"/>
  <c r="AB2630" i="1"/>
  <c r="I2630" i="1"/>
  <c r="X2629" i="1"/>
  <c r="Z2629" i="1" s="1"/>
  <c r="W2629" i="1"/>
  <c r="S2629" i="1"/>
  <c r="Q2629" i="1"/>
  <c r="N2629" i="1"/>
  <c r="L2629" i="1"/>
  <c r="K2629" i="1"/>
  <c r="AB2629" i="1"/>
  <c r="I2629" i="1"/>
  <c r="X2628" i="1"/>
  <c r="Z2628" i="1" s="1"/>
  <c r="W2628" i="1"/>
  <c r="S2628" i="1"/>
  <c r="Q2628" i="1"/>
  <c r="N2628" i="1"/>
  <c r="L2628" i="1"/>
  <c r="K2628" i="1"/>
  <c r="AB2628" i="1"/>
  <c r="I2628" i="1"/>
  <c r="X2627" i="1"/>
  <c r="Z2627" i="1" s="1"/>
  <c r="W2627" i="1"/>
  <c r="S2627" i="1"/>
  <c r="Q2627" i="1"/>
  <c r="N2627" i="1"/>
  <c r="L2627" i="1"/>
  <c r="K2627" i="1"/>
  <c r="AB2627" i="1"/>
  <c r="I2627" i="1"/>
  <c r="X2626" i="1"/>
  <c r="Z2626" i="1" s="1"/>
  <c r="W2626" i="1"/>
  <c r="S2626" i="1"/>
  <c r="Q2626" i="1"/>
  <c r="N2626" i="1"/>
  <c r="L2626" i="1"/>
  <c r="K2626" i="1"/>
  <c r="AB2626" i="1"/>
  <c r="I2626" i="1"/>
  <c r="X2625" i="1"/>
  <c r="Z2625" i="1" s="1"/>
  <c r="W2625" i="1"/>
  <c r="S2625" i="1"/>
  <c r="Q2625" i="1"/>
  <c r="N2625" i="1"/>
  <c r="L2625" i="1"/>
  <c r="Y2625" i="1" s="1"/>
  <c r="K2625" i="1"/>
  <c r="AB2625" i="1"/>
  <c r="I2625" i="1"/>
  <c r="X2624" i="1"/>
  <c r="Z2624" i="1" s="1"/>
  <c r="W2624" i="1"/>
  <c r="S2624" i="1"/>
  <c r="Q2624" i="1"/>
  <c r="N2624" i="1"/>
  <c r="L2624" i="1"/>
  <c r="K2624" i="1"/>
  <c r="AB2624" i="1"/>
  <c r="I2624" i="1"/>
  <c r="X2623" i="1"/>
  <c r="Z2623" i="1" s="1"/>
  <c r="W2623" i="1"/>
  <c r="S2623" i="1"/>
  <c r="Q2623" i="1"/>
  <c r="N2623" i="1"/>
  <c r="L2623" i="1"/>
  <c r="K2623" i="1"/>
  <c r="AB2623" i="1"/>
  <c r="I2623" i="1"/>
  <c r="X2622" i="1"/>
  <c r="Z2622" i="1" s="1"/>
  <c r="W2622" i="1"/>
  <c r="S2622" i="1"/>
  <c r="Q2622" i="1"/>
  <c r="N2622" i="1"/>
  <c r="L2622" i="1"/>
  <c r="K2622" i="1"/>
  <c r="AB2622" i="1"/>
  <c r="I2622" i="1"/>
  <c r="X2621" i="1"/>
  <c r="Z2621" i="1" s="1"/>
  <c r="W2621" i="1"/>
  <c r="S2621" i="1"/>
  <c r="Q2621" i="1"/>
  <c r="N2621" i="1"/>
  <c r="L2621" i="1"/>
  <c r="K2621" i="1"/>
  <c r="AB2621" i="1"/>
  <c r="I2621" i="1"/>
  <c r="X2620" i="1"/>
  <c r="Z2620" i="1" s="1"/>
  <c r="W2620" i="1"/>
  <c r="S2620" i="1"/>
  <c r="Q2620" i="1"/>
  <c r="N2620" i="1"/>
  <c r="L2620" i="1"/>
  <c r="K2620" i="1"/>
  <c r="AB2620" i="1"/>
  <c r="I2620" i="1"/>
  <c r="X2619" i="1"/>
  <c r="Z2619" i="1" s="1"/>
  <c r="W2619" i="1"/>
  <c r="S2619" i="1"/>
  <c r="Q2619" i="1"/>
  <c r="N2619" i="1"/>
  <c r="L2619" i="1"/>
  <c r="K2619" i="1"/>
  <c r="AB2619" i="1"/>
  <c r="I2619" i="1"/>
  <c r="X2618" i="1"/>
  <c r="Z2618" i="1" s="1"/>
  <c r="W2618" i="1"/>
  <c r="S2618" i="1"/>
  <c r="Q2618" i="1"/>
  <c r="N2618" i="1"/>
  <c r="L2618" i="1"/>
  <c r="K2618" i="1"/>
  <c r="AB2618" i="1"/>
  <c r="I2618" i="1"/>
  <c r="X2617" i="1"/>
  <c r="Z2617" i="1" s="1"/>
  <c r="W2617" i="1"/>
  <c r="S2617" i="1"/>
  <c r="Q2617" i="1"/>
  <c r="N2617" i="1"/>
  <c r="L2617" i="1"/>
  <c r="K2617" i="1"/>
  <c r="AB2617" i="1"/>
  <c r="I2617" i="1"/>
  <c r="X2616" i="1"/>
  <c r="Z2616" i="1" s="1"/>
  <c r="W2616" i="1"/>
  <c r="S2616" i="1"/>
  <c r="Q2616" i="1"/>
  <c r="N2616" i="1"/>
  <c r="L2616" i="1"/>
  <c r="K2616" i="1"/>
  <c r="AB2616" i="1"/>
  <c r="I2616" i="1"/>
  <c r="X2615" i="1"/>
  <c r="Z2615" i="1" s="1"/>
  <c r="W2615" i="1"/>
  <c r="S2615" i="1"/>
  <c r="Q2615" i="1"/>
  <c r="N2615" i="1"/>
  <c r="L2615" i="1"/>
  <c r="K2615" i="1"/>
  <c r="AB2615" i="1"/>
  <c r="I2615" i="1"/>
  <c r="X2614" i="1"/>
  <c r="Z2614" i="1" s="1"/>
  <c r="W2614" i="1"/>
  <c r="S2614" i="1"/>
  <c r="Q2614" i="1"/>
  <c r="N2614" i="1"/>
  <c r="L2614" i="1"/>
  <c r="K2614" i="1"/>
  <c r="AB2614" i="1"/>
  <c r="I2614" i="1"/>
  <c r="X2613" i="1"/>
  <c r="Z2613" i="1" s="1"/>
  <c r="W2613" i="1"/>
  <c r="S2613" i="1"/>
  <c r="Q2613" i="1"/>
  <c r="N2613" i="1"/>
  <c r="L2613" i="1"/>
  <c r="K2613" i="1"/>
  <c r="AB2613" i="1"/>
  <c r="I2613" i="1"/>
  <c r="X2612" i="1"/>
  <c r="Z2612" i="1" s="1"/>
  <c r="W2612" i="1"/>
  <c r="S2612" i="1"/>
  <c r="Q2612" i="1"/>
  <c r="N2612" i="1"/>
  <c r="L2612" i="1"/>
  <c r="K2612" i="1"/>
  <c r="AB2612" i="1"/>
  <c r="I2612" i="1"/>
  <c r="X2611" i="1"/>
  <c r="Z2611" i="1" s="1"/>
  <c r="W2611" i="1"/>
  <c r="S2611" i="1"/>
  <c r="Q2611" i="1"/>
  <c r="N2611" i="1"/>
  <c r="L2611" i="1"/>
  <c r="K2611" i="1"/>
  <c r="AB2611" i="1"/>
  <c r="I2611" i="1"/>
  <c r="X2610" i="1"/>
  <c r="Z2610" i="1" s="1"/>
  <c r="W2610" i="1"/>
  <c r="S2610" i="1"/>
  <c r="Q2610" i="1"/>
  <c r="N2610" i="1"/>
  <c r="L2610" i="1"/>
  <c r="K2610" i="1"/>
  <c r="AB2610" i="1"/>
  <c r="I2610" i="1"/>
  <c r="X2609" i="1"/>
  <c r="Z2609" i="1" s="1"/>
  <c r="W2609" i="1"/>
  <c r="S2609" i="1"/>
  <c r="Q2609" i="1"/>
  <c r="N2609" i="1"/>
  <c r="L2609" i="1"/>
  <c r="K2609" i="1"/>
  <c r="AB2609" i="1"/>
  <c r="I2609" i="1"/>
  <c r="X2608" i="1"/>
  <c r="Z2608" i="1" s="1"/>
  <c r="W2608" i="1"/>
  <c r="S2608" i="1"/>
  <c r="Q2608" i="1"/>
  <c r="N2608" i="1"/>
  <c r="L2608" i="1"/>
  <c r="K2608" i="1"/>
  <c r="AB2608" i="1"/>
  <c r="I2608" i="1"/>
  <c r="X2607" i="1"/>
  <c r="Z2607" i="1" s="1"/>
  <c r="W2607" i="1"/>
  <c r="S2607" i="1"/>
  <c r="Q2607" i="1"/>
  <c r="N2607" i="1"/>
  <c r="L2607" i="1"/>
  <c r="K2607" i="1"/>
  <c r="AB2607" i="1"/>
  <c r="I2607" i="1"/>
  <c r="X2606" i="1"/>
  <c r="Z2606" i="1" s="1"/>
  <c r="W2606" i="1"/>
  <c r="S2606" i="1"/>
  <c r="Q2606" i="1"/>
  <c r="N2606" i="1"/>
  <c r="L2606" i="1"/>
  <c r="K2606" i="1"/>
  <c r="AB2606" i="1"/>
  <c r="I2606" i="1"/>
  <c r="X2605" i="1"/>
  <c r="Z2605" i="1" s="1"/>
  <c r="W2605" i="1"/>
  <c r="S2605" i="1"/>
  <c r="Q2605" i="1"/>
  <c r="N2605" i="1"/>
  <c r="L2605" i="1"/>
  <c r="K2605" i="1"/>
  <c r="AB2605" i="1"/>
  <c r="I2605" i="1"/>
  <c r="X2604" i="1"/>
  <c r="Z2604" i="1" s="1"/>
  <c r="W2604" i="1"/>
  <c r="S2604" i="1"/>
  <c r="Q2604" i="1"/>
  <c r="N2604" i="1"/>
  <c r="L2604" i="1"/>
  <c r="K2604" i="1"/>
  <c r="AB2604" i="1"/>
  <c r="I2604" i="1"/>
  <c r="X2603" i="1"/>
  <c r="Z2603" i="1" s="1"/>
  <c r="W2603" i="1"/>
  <c r="S2603" i="1"/>
  <c r="Q2603" i="1"/>
  <c r="N2603" i="1"/>
  <c r="L2603" i="1"/>
  <c r="K2603" i="1"/>
  <c r="AB2603" i="1"/>
  <c r="I2603" i="1"/>
  <c r="X2602" i="1"/>
  <c r="Z2602" i="1" s="1"/>
  <c r="W2602" i="1"/>
  <c r="S2602" i="1"/>
  <c r="Q2602" i="1"/>
  <c r="N2602" i="1"/>
  <c r="L2602" i="1"/>
  <c r="K2602" i="1"/>
  <c r="AB2602" i="1"/>
  <c r="I2602" i="1"/>
  <c r="X2601" i="1"/>
  <c r="Z2601" i="1" s="1"/>
  <c r="W2601" i="1"/>
  <c r="S2601" i="1"/>
  <c r="Q2601" i="1"/>
  <c r="N2601" i="1"/>
  <c r="L2601" i="1"/>
  <c r="K2601" i="1"/>
  <c r="AB2601" i="1"/>
  <c r="I2601" i="1"/>
  <c r="X2600" i="1"/>
  <c r="Z2600" i="1" s="1"/>
  <c r="W2600" i="1"/>
  <c r="S2600" i="1"/>
  <c r="Q2600" i="1"/>
  <c r="N2600" i="1"/>
  <c r="L2600" i="1"/>
  <c r="K2600" i="1"/>
  <c r="AB2600" i="1"/>
  <c r="I2600" i="1"/>
  <c r="X2599" i="1"/>
  <c r="Z2599" i="1" s="1"/>
  <c r="W2599" i="1"/>
  <c r="S2599" i="1"/>
  <c r="Q2599" i="1"/>
  <c r="N2599" i="1"/>
  <c r="L2599" i="1"/>
  <c r="K2599" i="1"/>
  <c r="AB2599" i="1"/>
  <c r="I2599" i="1"/>
  <c r="X2598" i="1"/>
  <c r="Z2598" i="1" s="1"/>
  <c r="W2598" i="1"/>
  <c r="S2598" i="1"/>
  <c r="Q2598" i="1"/>
  <c r="N2598" i="1"/>
  <c r="L2598" i="1"/>
  <c r="K2598" i="1"/>
  <c r="AB2598" i="1"/>
  <c r="I2598" i="1"/>
  <c r="X2597" i="1"/>
  <c r="Z2597" i="1" s="1"/>
  <c r="W2597" i="1"/>
  <c r="S2597" i="1"/>
  <c r="Q2597" i="1"/>
  <c r="N2597" i="1"/>
  <c r="L2597" i="1"/>
  <c r="K2597" i="1"/>
  <c r="AB2597" i="1"/>
  <c r="I2597" i="1"/>
  <c r="X2596" i="1"/>
  <c r="Z2596" i="1" s="1"/>
  <c r="W2596" i="1"/>
  <c r="S2596" i="1"/>
  <c r="Q2596" i="1"/>
  <c r="N2596" i="1"/>
  <c r="L2596" i="1"/>
  <c r="K2596" i="1"/>
  <c r="AB2596" i="1"/>
  <c r="I2596" i="1"/>
  <c r="X2595" i="1"/>
  <c r="Z2595" i="1" s="1"/>
  <c r="W2595" i="1"/>
  <c r="S2595" i="1"/>
  <c r="Q2595" i="1"/>
  <c r="N2595" i="1"/>
  <c r="L2595" i="1"/>
  <c r="K2595" i="1"/>
  <c r="AB2595" i="1"/>
  <c r="I2595" i="1"/>
  <c r="X2594" i="1"/>
  <c r="Z2594" i="1" s="1"/>
  <c r="W2594" i="1"/>
  <c r="S2594" i="1"/>
  <c r="Q2594" i="1"/>
  <c r="N2594" i="1"/>
  <c r="L2594" i="1"/>
  <c r="K2594" i="1"/>
  <c r="AB2594" i="1"/>
  <c r="I2594" i="1"/>
  <c r="X2593" i="1"/>
  <c r="Z2593" i="1" s="1"/>
  <c r="W2593" i="1"/>
  <c r="S2593" i="1"/>
  <c r="Q2593" i="1"/>
  <c r="N2593" i="1"/>
  <c r="L2593" i="1"/>
  <c r="K2593" i="1"/>
  <c r="AB2593" i="1"/>
  <c r="I2593" i="1"/>
  <c r="X2592" i="1"/>
  <c r="Z2592" i="1" s="1"/>
  <c r="W2592" i="1"/>
  <c r="S2592" i="1"/>
  <c r="Q2592" i="1"/>
  <c r="N2592" i="1"/>
  <c r="L2592" i="1"/>
  <c r="K2592" i="1"/>
  <c r="AB2592" i="1"/>
  <c r="I2592" i="1"/>
  <c r="X2591" i="1"/>
  <c r="Z2591" i="1" s="1"/>
  <c r="W2591" i="1"/>
  <c r="S2591" i="1"/>
  <c r="Q2591" i="1"/>
  <c r="N2591" i="1"/>
  <c r="L2591" i="1"/>
  <c r="K2591" i="1"/>
  <c r="AB2591" i="1"/>
  <c r="I2591" i="1"/>
  <c r="X2590" i="1"/>
  <c r="Z2590" i="1" s="1"/>
  <c r="W2590" i="1"/>
  <c r="S2590" i="1"/>
  <c r="Q2590" i="1"/>
  <c r="N2590" i="1"/>
  <c r="L2590" i="1"/>
  <c r="K2590" i="1"/>
  <c r="AB2590" i="1"/>
  <c r="I2590" i="1"/>
  <c r="X2589" i="1"/>
  <c r="Z2589" i="1" s="1"/>
  <c r="W2589" i="1"/>
  <c r="S2589" i="1"/>
  <c r="Q2589" i="1"/>
  <c r="N2589" i="1"/>
  <c r="L2589" i="1"/>
  <c r="K2589" i="1"/>
  <c r="AB2589" i="1"/>
  <c r="I2589" i="1"/>
  <c r="X2588" i="1"/>
  <c r="Z2588" i="1" s="1"/>
  <c r="W2588" i="1"/>
  <c r="S2588" i="1"/>
  <c r="Q2588" i="1"/>
  <c r="N2588" i="1"/>
  <c r="L2588" i="1"/>
  <c r="K2588" i="1"/>
  <c r="AB2588" i="1"/>
  <c r="I2588" i="1"/>
  <c r="X2587" i="1"/>
  <c r="Z2587" i="1" s="1"/>
  <c r="W2587" i="1"/>
  <c r="S2587" i="1"/>
  <c r="Q2587" i="1"/>
  <c r="N2587" i="1"/>
  <c r="L2587" i="1"/>
  <c r="K2587" i="1"/>
  <c r="AB2587" i="1"/>
  <c r="I2587" i="1"/>
  <c r="X2586" i="1"/>
  <c r="Z2586" i="1" s="1"/>
  <c r="W2586" i="1"/>
  <c r="S2586" i="1"/>
  <c r="Q2586" i="1"/>
  <c r="N2586" i="1"/>
  <c r="L2586" i="1"/>
  <c r="K2586" i="1"/>
  <c r="AB2586" i="1"/>
  <c r="I2586" i="1"/>
  <c r="X2585" i="1"/>
  <c r="Z2585" i="1" s="1"/>
  <c r="W2585" i="1"/>
  <c r="S2585" i="1"/>
  <c r="Q2585" i="1"/>
  <c r="N2585" i="1"/>
  <c r="L2585" i="1"/>
  <c r="K2585" i="1"/>
  <c r="AB2585" i="1"/>
  <c r="I2585" i="1"/>
  <c r="X2584" i="1"/>
  <c r="Z2584" i="1" s="1"/>
  <c r="W2584" i="1"/>
  <c r="S2584" i="1"/>
  <c r="Q2584" i="1"/>
  <c r="N2584" i="1"/>
  <c r="L2584" i="1"/>
  <c r="K2584" i="1"/>
  <c r="AB2584" i="1"/>
  <c r="I2584" i="1"/>
  <c r="X2583" i="1"/>
  <c r="Z2583" i="1" s="1"/>
  <c r="W2583" i="1"/>
  <c r="S2583" i="1"/>
  <c r="Q2583" i="1"/>
  <c r="N2583" i="1"/>
  <c r="L2583" i="1"/>
  <c r="K2583" i="1"/>
  <c r="AB2583" i="1"/>
  <c r="I2583" i="1"/>
  <c r="X2582" i="1"/>
  <c r="Z2582" i="1" s="1"/>
  <c r="W2582" i="1"/>
  <c r="S2582" i="1"/>
  <c r="Q2582" i="1"/>
  <c r="N2582" i="1"/>
  <c r="L2582" i="1"/>
  <c r="K2582" i="1"/>
  <c r="AB2582" i="1"/>
  <c r="I2582" i="1"/>
  <c r="X2581" i="1"/>
  <c r="Z2581" i="1" s="1"/>
  <c r="W2581" i="1"/>
  <c r="S2581" i="1"/>
  <c r="Q2581" i="1"/>
  <c r="N2581" i="1"/>
  <c r="L2581" i="1"/>
  <c r="K2581" i="1"/>
  <c r="AB2581" i="1"/>
  <c r="I2581" i="1"/>
  <c r="X2580" i="1"/>
  <c r="Z2580" i="1" s="1"/>
  <c r="W2580" i="1"/>
  <c r="S2580" i="1"/>
  <c r="Q2580" i="1"/>
  <c r="N2580" i="1"/>
  <c r="L2580" i="1"/>
  <c r="K2580" i="1"/>
  <c r="AB2580" i="1"/>
  <c r="I2580" i="1"/>
  <c r="X2579" i="1"/>
  <c r="Z2579" i="1" s="1"/>
  <c r="W2579" i="1"/>
  <c r="S2579" i="1"/>
  <c r="Q2579" i="1"/>
  <c r="N2579" i="1"/>
  <c r="L2579" i="1"/>
  <c r="K2579" i="1"/>
  <c r="AB2579" i="1"/>
  <c r="I2579" i="1"/>
  <c r="X2578" i="1"/>
  <c r="Z2578" i="1" s="1"/>
  <c r="W2578" i="1"/>
  <c r="S2578" i="1"/>
  <c r="Q2578" i="1"/>
  <c r="N2578" i="1"/>
  <c r="L2578" i="1"/>
  <c r="K2578" i="1"/>
  <c r="AB2578" i="1"/>
  <c r="I2578" i="1"/>
  <c r="X2577" i="1"/>
  <c r="Z2577" i="1" s="1"/>
  <c r="W2577" i="1"/>
  <c r="S2577" i="1"/>
  <c r="Q2577" i="1"/>
  <c r="N2577" i="1"/>
  <c r="L2577" i="1"/>
  <c r="K2577" i="1"/>
  <c r="AB2577" i="1"/>
  <c r="I2577" i="1"/>
  <c r="X2576" i="1"/>
  <c r="Z2576" i="1" s="1"/>
  <c r="W2576" i="1"/>
  <c r="S2576" i="1"/>
  <c r="Q2576" i="1"/>
  <c r="N2576" i="1"/>
  <c r="L2576" i="1"/>
  <c r="K2576" i="1"/>
  <c r="AB2576" i="1"/>
  <c r="I2576" i="1"/>
  <c r="X2575" i="1"/>
  <c r="Z2575" i="1" s="1"/>
  <c r="W2575" i="1"/>
  <c r="S2575" i="1"/>
  <c r="Q2575" i="1"/>
  <c r="N2575" i="1"/>
  <c r="L2575" i="1"/>
  <c r="K2575" i="1"/>
  <c r="AB2575" i="1"/>
  <c r="I2575" i="1"/>
  <c r="X2574" i="1"/>
  <c r="Z2574" i="1" s="1"/>
  <c r="W2574" i="1"/>
  <c r="S2574" i="1"/>
  <c r="Q2574" i="1"/>
  <c r="N2574" i="1"/>
  <c r="L2574" i="1"/>
  <c r="K2574" i="1"/>
  <c r="AB2574" i="1"/>
  <c r="I2574" i="1"/>
  <c r="X2573" i="1"/>
  <c r="Z2573" i="1" s="1"/>
  <c r="W2573" i="1"/>
  <c r="S2573" i="1"/>
  <c r="Q2573" i="1"/>
  <c r="N2573" i="1"/>
  <c r="L2573" i="1"/>
  <c r="K2573" i="1"/>
  <c r="AB2573" i="1"/>
  <c r="I2573" i="1"/>
  <c r="X2572" i="1"/>
  <c r="Z2572" i="1" s="1"/>
  <c r="W2572" i="1"/>
  <c r="S2572" i="1"/>
  <c r="Q2572" i="1"/>
  <c r="N2572" i="1"/>
  <c r="L2572" i="1"/>
  <c r="K2572" i="1"/>
  <c r="AB2572" i="1"/>
  <c r="I2572" i="1"/>
  <c r="X2571" i="1"/>
  <c r="Z2571" i="1" s="1"/>
  <c r="W2571" i="1"/>
  <c r="S2571" i="1"/>
  <c r="Q2571" i="1"/>
  <c r="N2571" i="1"/>
  <c r="L2571" i="1"/>
  <c r="K2571" i="1"/>
  <c r="AB2571" i="1"/>
  <c r="I2571" i="1"/>
  <c r="X2570" i="1"/>
  <c r="Z2570" i="1" s="1"/>
  <c r="W2570" i="1"/>
  <c r="S2570" i="1"/>
  <c r="Q2570" i="1"/>
  <c r="N2570" i="1"/>
  <c r="L2570" i="1"/>
  <c r="K2570" i="1"/>
  <c r="AB2570" i="1"/>
  <c r="I2570" i="1"/>
  <c r="X2569" i="1"/>
  <c r="Z2569" i="1" s="1"/>
  <c r="W2569" i="1"/>
  <c r="S2569" i="1"/>
  <c r="Q2569" i="1"/>
  <c r="N2569" i="1"/>
  <c r="L2569" i="1"/>
  <c r="K2569" i="1"/>
  <c r="AB2569" i="1"/>
  <c r="I2569" i="1"/>
  <c r="X2568" i="1"/>
  <c r="Z2568" i="1" s="1"/>
  <c r="W2568" i="1"/>
  <c r="S2568" i="1"/>
  <c r="Q2568" i="1"/>
  <c r="N2568" i="1"/>
  <c r="L2568" i="1"/>
  <c r="K2568" i="1"/>
  <c r="AB2568" i="1"/>
  <c r="I2568" i="1"/>
  <c r="X2567" i="1"/>
  <c r="Z2567" i="1" s="1"/>
  <c r="W2567" i="1"/>
  <c r="S2567" i="1"/>
  <c r="Q2567" i="1"/>
  <c r="N2567" i="1"/>
  <c r="L2567" i="1"/>
  <c r="K2567" i="1"/>
  <c r="AB2567" i="1"/>
  <c r="I2567" i="1"/>
  <c r="X2566" i="1"/>
  <c r="Z2566" i="1" s="1"/>
  <c r="W2566" i="1"/>
  <c r="S2566" i="1"/>
  <c r="Q2566" i="1"/>
  <c r="N2566" i="1"/>
  <c r="L2566" i="1"/>
  <c r="K2566" i="1"/>
  <c r="AB2566" i="1"/>
  <c r="I2566" i="1"/>
  <c r="X2565" i="1"/>
  <c r="Z2565" i="1" s="1"/>
  <c r="W2565" i="1"/>
  <c r="S2565" i="1"/>
  <c r="Q2565" i="1"/>
  <c r="N2565" i="1"/>
  <c r="L2565" i="1"/>
  <c r="K2565" i="1"/>
  <c r="AB2565" i="1"/>
  <c r="I2565" i="1"/>
  <c r="X2564" i="1"/>
  <c r="Z2564" i="1" s="1"/>
  <c r="W2564" i="1"/>
  <c r="S2564" i="1"/>
  <c r="Q2564" i="1"/>
  <c r="N2564" i="1"/>
  <c r="L2564" i="1"/>
  <c r="K2564" i="1"/>
  <c r="AB2564" i="1"/>
  <c r="I2564" i="1"/>
  <c r="X2563" i="1"/>
  <c r="Z2563" i="1" s="1"/>
  <c r="W2563" i="1"/>
  <c r="S2563" i="1"/>
  <c r="Q2563" i="1"/>
  <c r="N2563" i="1"/>
  <c r="L2563" i="1"/>
  <c r="K2563" i="1"/>
  <c r="AB2563" i="1"/>
  <c r="I2563" i="1"/>
  <c r="X2562" i="1"/>
  <c r="Z2562" i="1" s="1"/>
  <c r="W2562" i="1"/>
  <c r="S2562" i="1"/>
  <c r="Q2562" i="1"/>
  <c r="N2562" i="1"/>
  <c r="L2562" i="1"/>
  <c r="K2562" i="1"/>
  <c r="AB2562" i="1"/>
  <c r="I2562" i="1"/>
  <c r="X2561" i="1"/>
  <c r="Z2561" i="1" s="1"/>
  <c r="W2561" i="1"/>
  <c r="S2561" i="1"/>
  <c r="Q2561" i="1"/>
  <c r="N2561" i="1"/>
  <c r="L2561" i="1"/>
  <c r="Y2561" i="1" s="1"/>
  <c r="K2561" i="1"/>
  <c r="AB2561" i="1"/>
  <c r="I2561" i="1"/>
  <c r="X2560" i="1"/>
  <c r="Z2560" i="1" s="1"/>
  <c r="W2560" i="1"/>
  <c r="S2560" i="1"/>
  <c r="Q2560" i="1"/>
  <c r="N2560" i="1"/>
  <c r="L2560" i="1"/>
  <c r="K2560" i="1"/>
  <c r="AB2560" i="1"/>
  <c r="I2560" i="1"/>
  <c r="X2559" i="1"/>
  <c r="Z2559" i="1" s="1"/>
  <c r="W2559" i="1"/>
  <c r="S2559" i="1"/>
  <c r="Q2559" i="1"/>
  <c r="N2559" i="1"/>
  <c r="L2559" i="1"/>
  <c r="K2559" i="1"/>
  <c r="AB2559" i="1"/>
  <c r="I2559" i="1"/>
  <c r="X2558" i="1"/>
  <c r="Z2558" i="1" s="1"/>
  <c r="W2558" i="1"/>
  <c r="S2558" i="1"/>
  <c r="Q2558" i="1"/>
  <c r="N2558" i="1"/>
  <c r="L2558" i="1"/>
  <c r="K2558" i="1"/>
  <c r="AB2558" i="1"/>
  <c r="I2558" i="1"/>
  <c r="X2557" i="1"/>
  <c r="Z2557" i="1" s="1"/>
  <c r="W2557" i="1"/>
  <c r="S2557" i="1"/>
  <c r="Q2557" i="1"/>
  <c r="N2557" i="1"/>
  <c r="L2557" i="1"/>
  <c r="K2557" i="1"/>
  <c r="AB2557" i="1"/>
  <c r="I2557" i="1"/>
  <c r="X2556" i="1"/>
  <c r="Z2556" i="1" s="1"/>
  <c r="W2556" i="1"/>
  <c r="S2556" i="1"/>
  <c r="Q2556" i="1"/>
  <c r="N2556" i="1"/>
  <c r="L2556" i="1"/>
  <c r="K2556" i="1"/>
  <c r="AB2556" i="1"/>
  <c r="I2556" i="1"/>
  <c r="X2555" i="1"/>
  <c r="Z2555" i="1" s="1"/>
  <c r="W2555" i="1"/>
  <c r="S2555" i="1"/>
  <c r="Q2555" i="1"/>
  <c r="N2555" i="1"/>
  <c r="L2555" i="1"/>
  <c r="K2555" i="1"/>
  <c r="AB2555" i="1"/>
  <c r="I2555" i="1"/>
  <c r="X2554" i="1"/>
  <c r="Z2554" i="1" s="1"/>
  <c r="W2554" i="1"/>
  <c r="S2554" i="1"/>
  <c r="Q2554" i="1"/>
  <c r="N2554" i="1"/>
  <c r="L2554" i="1"/>
  <c r="K2554" i="1"/>
  <c r="AB2554" i="1"/>
  <c r="I2554" i="1"/>
  <c r="X2553" i="1"/>
  <c r="Z2553" i="1" s="1"/>
  <c r="W2553" i="1"/>
  <c r="S2553" i="1"/>
  <c r="Q2553" i="1"/>
  <c r="N2553" i="1"/>
  <c r="L2553" i="1"/>
  <c r="K2553" i="1"/>
  <c r="AB2553" i="1"/>
  <c r="I2553" i="1"/>
  <c r="X2552" i="1"/>
  <c r="Z2552" i="1" s="1"/>
  <c r="W2552" i="1"/>
  <c r="S2552" i="1"/>
  <c r="Q2552" i="1"/>
  <c r="N2552" i="1"/>
  <c r="L2552" i="1"/>
  <c r="K2552" i="1"/>
  <c r="AB2552" i="1"/>
  <c r="I2552" i="1"/>
  <c r="X2551" i="1"/>
  <c r="Z2551" i="1" s="1"/>
  <c r="W2551" i="1"/>
  <c r="S2551" i="1"/>
  <c r="Q2551" i="1"/>
  <c r="N2551" i="1"/>
  <c r="L2551" i="1"/>
  <c r="K2551" i="1"/>
  <c r="AB2551" i="1"/>
  <c r="I2551" i="1"/>
  <c r="X2550" i="1"/>
  <c r="Z2550" i="1" s="1"/>
  <c r="W2550" i="1"/>
  <c r="S2550" i="1"/>
  <c r="Q2550" i="1"/>
  <c r="N2550" i="1"/>
  <c r="L2550" i="1"/>
  <c r="K2550" i="1"/>
  <c r="AB2550" i="1"/>
  <c r="I2550" i="1"/>
  <c r="X2549" i="1"/>
  <c r="Z2549" i="1" s="1"/>
  <c r="W2549" i="1"/>
  <c r="S2549" i="1"/>
  <c r="Q2549" i="1"/>
  <c r="N2549" i="1"/>
  <c r="L2549" i="1"/>
  <c r="Y2549" i="1" s="1"/>
  <c r="K2549" i="1"/>
  <c r="AB2549" i="1"/>
  <c r="I2549" i="1"/>
  <c r="X2548" i="1"/>
  <c r="Z2548" i="1" s="1"/>
  <c r="W2548" i="1"/>
  <c r="S2548" i="1"/>
  <c r="Q2548" i="1"/>
  <c r="N2548" i="1"/>
  <c r="L2548" i="1"/>
  <c r="K2548" i="1"/>
  <c r="AB2548" i="1"/>
  <c r="I2548" i="1"/>
  <c r="X2547" i="1"/>
  <c r="Z2547" i="1" s="1"/>
  <c r="W2547" i="1"/>
  <c r="S2547" i="1"/>
  <c r="Q2547" i="1"/>
  <c r="N2547" i="1"/>
  <c r="L2547" i="1"/>
  <c r="K2547" i="1"/>
  <c r="AB2547" i="1"/>
  <c r="I2547" i="1"/>
  <c r="X2546" i="1"/>
  <c r="Z2546" i="1" s="1"/>
  <c r="W2546" i="1"/>
  <c r="S2546" i="1"/>
  <c r="Q2546" i="1"/>
  <c r="N2546" i="1"/>
  <c r="L2546" i="1"/>
  <c r="K2546" i="1"/>
  <c r="AB2546" i="1"/>
  <c r="I2546" i="1"/>
  <c r="X2545" i="1"/>
  <c r="Z2545" i="1" s="1"/>
  <c r="W2545" i="1"/>
  <c r="S2545" i="1"/>
  <c r="Q2545" i="1"/>
  <c r="N2545" i="1"/>
  <c r="L2545" i="1"/>
  <c r="K2545" i="1"/>
  <c r="AB2545" i="1"/>
  <c r="I2545" i="1"/>
  <c r="X2544" i="1"/>
  <c r="Z2544" i="1" s="1"/>
  <c r="W2544" i="1"/>
  <c r="S2544" i="1"/>
  <c r="Q2544" i="1"/>
  <c r="N2544" i="1"/>
  <c r="L2544" i="1"/>
  <c r="K2544" i="1"/>
  <c r="AB2544" i="1"/>
  <c r="I2544" i="1"/>
  <c r="X2543" i="1"/>
  <c r="Z2543" i="1" s="1"/>
  <c r="W2543" i="1"/>
  <c r="S2543" i="1"/>
  <c r="Q2543" i="1"/>
  <c r="N2543" i="1"/>
  <c r="L2543" i="1"/>
  <c r="K2543" i="1"/>
  <c r="AB2543" i="1"/>
  <c r="I2543" i="1"/>
  <c r="X2542" i="1"/>
  <c r="Z2542" i="1" s="1"/>
  <c r="W2542" i="1"/>
  <c r="S2542" i="1"/>
  <c r="Q2542" i="1"/>
  <c r="N2542" i="1"/>
  <c r="L2542" i="1"/>
  <c r="K2542" i="1"/>
  <c r="AB2542" i="1"/>
  <c r="AC2542" i="1" s="1"/>
  <c r="I2542" i="1"/>
  <c r="X2541" i="1"/>
  <c r="Z2541" i="1" s="1"/>
  <c r="W2541" i="1"/>
  <c r="S2541" i="1"/>
  <c r="Q2541" i="1"/>
  <c r="N2541" i="1"/>
  <c r="L2541" i="1"/>
  <c r="Y2541" i="1" s="1"/>
  <c r="K2541" i="1"/>
  <c r="AB2541" i="1"/>
  <c r="I2541" i="1"/>
  <c r="X2540" i="1"/>
  <c r="Z2540" i="1" s="1"/>
  <c r="W2540" i="1"/>
  <c r="S2540" i="1"/>
  <c r="Q2540" i="1"/>
  <c r="N2540" i="1"/>
  <c r="L2540" i="1"/>
  <c r="K2540" i="1"/>
  <c r="AB2540" i="1"/>
  <c r="I2540" i="1"/>
  <c r="X2539" i="1"/>
  <c r="Z2539" i="1" s="1"/>
  <c r="W2539" i="1"/>
  <c r="S2539" i="1"/>
  <c r="Q2539" i="1"/>
  <c r="N2539" i="1"/>
  <c r="L2539" i="1"/>
  <c r="K2539" i="1"/>
  <c r="AB2539" i="1"/>
  <c r="I2539" i="1"/>
  <c r="X2538" i="1"/>
  <c r="Z2538" i="1" s="1"/>
  <c r="W2538" i="1"/>
  <c r="S2538" i="1"/>
  <c r="Q2538" i="1"/>
  <c r="N2538" i="1"/>
  <c r="L2538" i="1"/>
  <c r="K2538" i="1"/>
  <c r="AB2538" i="1"/>
  <c r="AC2538" i="1" s="1"/>
  <c r="I2538" i="1"/>
  <c r="X2537" i="1"/>
  <c r="Z2537" i="1" s="1"/>
  <c r="W2537" i="1"/>
  <c r="S2537" i="1"/>
  <c r="Q2537" i="1"/>
  <c r="N2537" i="1"/>
  <c r="L2537" i="1"/>
  <c r="K2537" i="1"/>
  <c r="AB2537" i="1"/>
  <c r="I2537" i="1"/>
  <c r="X2536" i="1"/>
  <c r="Z2536" i="1" s="1"/>
  <c r="W2536" i="1"/>
  <c r="S2536" i="1"/>
  <c r="Q2536" i="1"/>
  <c r="N2536" i="1"/>
  <c r="L2536" i="1"/>
  <c r="K2536" i="1"/>
  <c r="AB2536" i="1"/>
  <c r="I2536" i="1"/>
  <c r="X2535" i="1"/>
  <c r="Z2535" i="1" s="1"/>
  <c r="W2535" i="1"/>
  <c r="S2535" i="1"/>
  <c r="Q2535" i="1"/>
  <c r="N2535" i="1"/>
  <c r="L2535" i="1"/>
  <c r="K2535" i="1"/>
  <c r="AB2535" i="1"/>
  <c r="I2535" i="1"/>
  <c r="X2534" i="1"/>
  <c r="Z2534" i="1" s="1"/>
  <c r="W2534" i="1"/>
  <c r="S2534" i="1"/>
  <c r="Q2534" i="1"/>
  <c r="N2534" i="1"/>
  <c r="L2534" i="1"/>
  <c r="K2534" i="1"/>
  <c r="AB2534" i="1"/>
  <c r="I2534" i="1"/>
  <c r="X2533" i="1"/>
  <c r="Z2533" i="1" s="1"/>
  <c r="W2533" i="1"/>
  <c r="S2533" i="1"/>
  <c r="Q2533" i="1"/>
  <c r="N2533" i="1"/>
  <c r="L2533" i="1"/>
  <c r="Y2533" i="1" s="1"/>
  <c r="K2533" i="1"/>
  <c r="AB2533" i="1"/>
  <c r="I2533" i="1"/>
  <c r="X2532" i="1"/>
  <c r="Z2532" i="1" s="1"/>
  <c r="W2532" i="1"/>
  <c r="S2532" i="1"/>
  <c r="Q2532" i="1"/>
  <c r="N2532" i="1"/>
  <c r="L2532" i="1"/>
  <c r="K2532" i="1"/>
  <c r="AB2532" i="1"/>
  <c r="I2532" i="1"/>
  <c r="X2531" i="1"/>
  <c r="Z2531" i="1" s="1"/>
  <c r="W2531" i="1"/>
  <c r="S2531" i="1"/>
  <c r="Q2531" i="1"/>
  <c r="N2531" i="1"/>
  <c r="L2531" i="1"/>
  <c r="K2531" i="1"/>
  <c r="AB2531" i="1"/>
  <c r="I2531" i="1"/>
  <c r="X2530" i="1"/>
  <c r="Z2530" i="1" s="1"/>
  <c r="W2530" i="1"/>
  <c r="S2530" i="1"/>
  <c r="Q2530" i="1"/>
  <c r="N2530" i="1"/>
  <c r="L2530" i="1"/>
  <c r="K2530" i="1"/>
  <c r="AB2530" i="1"/>
  <c r="AC2530" i="1" s="1"/>
  <c r="I2530" i="1"/>
  <c r="X2529" i="1"/>
  <c r="Z2529" i="1" s="1"/>
  <c r="W2529" i="1"/>
  <c r="S2529" i="1"/>
  <c r="Q2529" i="1"/>
  <c r="N2529" i="1"/>
  <c r="L2529" i="1"/>
  <c r="K2529" i="1"/>
  <c r="AB2529" i="1"/>
  <c r="I2529" i="1"/>
  <c r="X2528" i="1"/>
  <c r="Z2528" i="1" s="1"/>
  <c r="W2528" i="1"/>
  <c r="S2528" i="1"/>
  <c r="Q2528" i="1"/>
  <c r="N2528" i="1"/>
  <c r="L2528" i="1"/>
  <c r="K2528" i="1"/>
  <c r="AB2528" i="1"/>
  <c r="I2528" i="1"/>
  <c r="X2527" i="1"/>
  <c r="Z2527" i="1" s="1"/>
  <c r="W2527" i="1"/>
  <c r="S2527" i="1"/>
  <c r="Q2527" i="1"/>
  <c r="N2527" i="1"/>
  <c r="L2527" i="1"/>
  <c r="K2527" i="1"/>
  <c r="AB2527" i="1"/>
  <c r="I2527" i="1"/>
  <c r="X2526" i="1"/>
  <c r="Z2526" i="1" s="1"/>
  <c r="W2526" i="1"/>
  <c r="S2526" i="1"/>
  <c r="Q2526" i="1"/>
  <c r="N2526" i="1"/>
  <c r="L2526" i="1"/>
  <c r="K2526" i="1"/>
  <c r="AB2526" i="1"/>
  <c r="AC2526" i="1" s="1"/>
  <c r="I2526" i="1"/>
  <c r="X2525" i="1"/>
  <c r="Z2525" i="1" s="1"/>
  <c r="W2525" i="1"/>
  <c r="S2525" i="1"/>
  <c r="Q2525" i="1"/>
  <c r="N2525" i="1"/>
  <c r="L2525" i="1"/>
  <c r="K2525" i="1"/>
  <c r="AB2525" i="1"/>
  <c r="I2525" i="1"/>
  <c r="X2524" i="1"/>
  <c r="Z2524" i="1" s="1"/>
  <c r="W2524" i="1"/>
  <c r="S2524" i="1"/>
  <c r="Q2524" i="1"/>
  <c r="N2524" i="1"/>
  <c r="L2524" i="1"/>
  <c r="K2524" i="1"/>
  <c r="AB2524" i="1"/>
  <c r="I2524" i="1"/>
  <c r="X2523" i="1"/>
  <c r="Z2523" i="1" s="1"/>
  <c r="W2523" i="1"/>
  <c r="S2523" i="1"/>
  <c r="Q2523" i="1"/>
  <c r="N2523" i="1"/>
  <c r="L2523" i="1"/>
  <c r="K2523" i="1"/>
  <c r="AB2523" i="1"/>
  <c r="I2523" i="1"/>
  <c r="X2522" i="1"/>
  <c r="Z2522" i="1" s="1"/>
  <c r="W2522" i="1"/>
  <c r="S2522" i="1"/>
  <c r="Q2522" i="1"/>
  <c r="N2522" i="1"/>
  <c r="L2522" i="1"/>
  <c r="K2522" i="1"/>
  <c r="AB2522" i="1"/>
  <c r="AC2522" i="1" s="1"/>
  <c r="I2522" i="1"/>
  <c r="X2521" i="1"/>
  <c r="Z2521" i="1" s="1"/>
  <c r="W2521" i="1"/>
  <c r="S2521" i="1"/>
  <c r="Q2521" i="1"/>
  <c r="N2521" i="1"/>
  <c r="L2521" i="1"/>
  <c r="K2521" i="1"/>
  <c r="AB2521" i="1"/>
  <c r="I2521" i="1"/>
  <c r="X2520" i="1"/>
  <c r="Z2520" i="1" s="1"/>
  <c r="W2520" i="1"/>
  <c r="S2520" i="1"/>
  <c r="Q2520" i="1"/>
  <c r="N2520" i="1"/>
  <c r="L2520" i="1"/>
  <c r="K2520" i="1"/>
  <c r="AB2520" i="1"/>
  <c r="I2520" i="1"/>
  <c r="X2519" i="1"/>
  <c r="Z2519" i="1" s="1"/>
  <c r="W2519" i="1"/>
  <c r="S2519" i="1"/>
  <c r="Q2519" i="1"/>
  <c r="N2519" i="1"/>
  <c r="L2519" i="1"/>
  <c r="K2519" i="1"/>
  <c r="AB2519" i="1"/>
  <c r="I2519" i="1"/>
  <c r="X2518" i="1"/>
  <c r="Z2518" i="1" s="1"/>
  <c r="W2518" i="1"/>
  <c r="S2518" i="1"/>
  <c r="Q2518" i="1"/>
  <c r="N2518" i="1"/>
  <c r="L2518" i="1"/>
  <c r="K2518" i="1"/>
  <c r="AB2518" i="1"/>
  <c r="AC2518" i="1" s="1"/>
  <c r="I2518" i="1"/>
  <c r="X2517" i="1"/>
  <c r="Z2517" i="1" s="1"/>
  <c r="W2517" i="1"/>
  <c r="S2517" i="1"/>
  <c r="Q2517" i="1"/>
  <c r="N2517" i="1"/>
  <c r="L2517" i="1"/>
  <c r="Y2517" i="1" s="1"/>
  <c r="K2517" i="1"/>
  <c r="AB2517" i="1"/>
  <c r="I2517" i="1"/>
  <c r="X2516" i="1"/>
  <c r="Z2516" i="1" s="1"/>
  <c r="W2516" i="1"/>
  <c r="S2516" i="1"/>
  <c r="Q2516" i="1"/>
  <c r="N2516" i="1"/>
  <c r="L2516" i="1"/>
  <c r="K2516" i="1"/>
  <c r="AB2516" i="1"/>
  <c r="I2516" i="1"/>
  <c r="X2515" i="1"/>
  <c r="Z2515" i="1" s="1"/>
  <c r="W2515" i="1"/>
  <c r="S2515" i="1"/>
  <c r="Q2515" i="1"/>
  <c r="N2515" i="1"/>
  <c r="L2515" i="1"/>
  <c r="K2515" i="1"/>
  <c r="AB2515" i="1"/>
  <c r="I2515" i="1"/>
  <c r="X2514" i="1"/>
  <c r="Z2514" i="1" s="1"/>
  <c r="W2514" i="1"/>
  <c r="S2514" i="1"/>
  <c r="Q2514" i="1"/>
  <c r="N2514" i="1"/>
  <c r="L2514" i="1"/>
  <c r="K2514" i="1"/>
  <c r="AB2514" i="1"/>
  <c r="AC2514" i="1" s="1"/>
  <c r="I2514" i="1"/>
  <c r="X2513" i="1"/>
  <c r="Z2513" i="1" s="1"/>
  <c r="W2513" i="1"/>
  <c r="S2513" i="1"/>
  <c r="Q2513" i="1"/>
  <c r="N2513" i="1"/>
  <c r="L2513" i="1"/>
  <c r="K2513" i="1"/>
  <c r="AB2513" i="1"/>
  <c r="I2513" i="1"/>
  <c r="X2512" i="1"/>
  <c r="Z2512" i="1" s="1"/>
  <c r="W2512" i="1"/>
  <c r="S2512" i="1"/>
  <c r="Q2512" i="1"/>
  <c r="N2512" i="1"/>
  <c r="L2512" i="1"/>
  <c r="K2512" i="1"/>
  <c r="AB2512" i="1"/>
  <c r="I2512" i="1"/>
  <c r="X2511" i="1"/>
  <c r="Z2511" i="1" s="1"/>
  <c r="W2511" i="1"/>
  <c r="S2511" i="1"/>
  <c r="Q2511" i="1"/>
  <c r="N2511" i="1"/>
  <c r="L2511" i="1"/>
  <c r="K2511" i="1"/>
  <c r="AB2511" i="1"/>
  <c r="I2511" i="1"/>
  <c r="X2510" i="1"/>
  <c r="Z2510" i="1" s="1"/>
  <c r="W2510" i="1"/>
  <c r="S2510" i="1"/>
  <c r="Q2510" i="1"/>
  <c r="N2510" i="1"/>
  <c r="L2510" i="1"/>
  <c r="K2510" i="1"/>
  <c r="AB2510" i="1"/>
  <c r="AC2510" i="1" s="1"/>
  <c r="I2510" i="1"/>
  <c r="X2509" i="1"/>
  <c r="Z2509" i="1" s="1"/>
  <c r="W2509" i="1"/>
  <c r="S2509" i="1"/>
  <c r="Q2509" i="1"/>
  <c r="N2509" i="1"/>
  <c r="L2509" i="1"/>
  <c r="K2509" i="1"/>
  <c r="AB2509" i="1"/>
  <c r="I2509" i="1"/>
  <c r="X2508" i="1"/>
  <c r="Z2508" i="1" s="1"/>
  <c r="W2508" i="1"/>
  <c r="S2508" i="1"/>
  <c r="Q2508" i="1"/>
  <c r="N2508" i="1"/>
  <c r="L2508" i="1"/>
  <c r="K2508" i="1"/>
  <c r="AB2508" i="1"/>
  <c r="I2508" i="1"/>
  <c r="X2507" i="1"/>
  <c r="Z2507" i="1" s="1"/>
  <c r="W2507" i="1"/>
  <c r="S2507" i="1"/>
  <c r="Q2507" i="1"/>
  <c r="N2507" i="1"/>
  <c r="L2507" i="1"/>
  <c r="K2507" i="1"/>
  <c r="AB2507" i="1"/>
  <c r="I2507" i="1"/>
  <c r="X2506" i="1"/>
  <c r="Z2506" i="1" s="1"/>
  <c r="W2506" i="1"/>
  <c r="S2506" i="1"/>
  <c r="Q2506" i="1"/>
  <c r="N2506" i="1"/>
  <c r="L2506" i="1"/>
  <c r="K2506" i="1"/>
  <c r="AB2506" i="1"/>
  <c r="AC2506" i="1" s="1"/>
  <c r="I2506" i="1"/>
  <c r="X2505" i="1"/>
  <c r="Z2505" i="1" s="1"/>
  <c r="W2505" i="1"/>
  <c r="S2505" i="1"/>
  <c r="Q2505" i="1"/>
  <c r="N2505" i="1"/>
  <c r="L2505" i="1"/>
  <c r="Y2505" i="1" s="1"/>
  <c r="K2505" i="1"/>
  <c r="AB2505" i="1"/>
  <c r="I2505" i="1"/>
  <c r="X2504" i="1"/>
  <c r="Z2504" i="1" s="1"/>
  <c r="W2504" i="1"/>
  <c r="S2504" i="1"/>
  <c r="Q2504" i="1"/>
  <c r="N2504" i="1"/>
  <c r="L2504" i="1"/>
  <c r="K2504" i="1"/>
  <c r="AB2504" i="1"/>
  <c r="I2504" i="1"/>
  <c r="X2503" i="1"/>
  <c r="Z2503" i="1" s="1"/>
  <c r="W2503" i="1"/>
  <c r="S2503" i="1"/>
  <c r="Q2503" i="1"/>
  <c r="N2503" i="1"/>
  <c r="L2503" i="1"/>
  <c r="K2503" i="1"/>
  <c r="AB2503" i="1"/>
  <c r="I2503" i="1"/>
  <c r="X2502" i="1"/>
  <c r="Z2502" i="1" s="1"/>
  <c r="W2502" i="1"/>
  <c r="S2502" i="1"/>
  <c r="Q2502" i="1"/>
  <c r="N2502" i="1"/>
  <c r="L2502" i="1"/>
  <c r="K2502" i="1"/>
  <c r="AB2502" i="1"/>
  <c r="AC2502" i="1" s="1"/>
  <c r="I2502" i="1"/>
  <c r="X2501" i="1"/>
  <c r="Z2501" i="1" s="1"/>
  <c r="W2501" i="1"/>
  <c r="S2501" i="1"/>
  <c r="Q2501" i="1"/>
  <c r="N2501" i="1"/>
  <c r="L2501" i="1"/>
  <c r="K2501" i="1"/>
  <c r="AB2501" i="1"/>
  <c r="I2501" i="1"/>
  <c r="X2500" i="1"/>
  <c r="Z2500" i="1" s="1"/>
  <c r="W2500" i="1"/>
  <c r="S2500" i="1"/>
  <c r="Q2500" i="1"/>
  <c r="N2500" i="1"/>
  <c r="L2500" i="1"/>
  <c r="K2500" i="1"/>
  <c r="AB2500" i="1"/>
  <c r="I2500" i="1"/>
  <c r="X2499" i="1"/>
  <c r="Z2499" i="1" s="1"/>
  <c r="W2499" i="1"/>
  <c r="S2499" i="1"/>
  <c r="Q2499" i="1"/>
  <c r="N2499" i="1"/>
  <c r="L2499" i="1"/>
  <c r="K2499" i="1"/>
  <c r="AB2499" i="1"/>
  <c r="I2499" i="1"/>
  <c r="X2498" i="1"/>
  <c r="Z2498" i="1" s="1"/>
  <c r="W2498" i="1"/>
  <c r="S2498" i="1"/>
  <c r="Q2498" i="1"/>
  <c r="N2498" i="1"/>
  <c r="L2498" i="1"/>
  <c r="K2498" i="1"/>
  <c r="AB2498" i="1"/>
  <c r="I2498" i="1"/>
  <c r="X2497" i="1"/>
  <c r="Z2497" i="1" s="1"/>
  <c r="W2497" i="1"/>
  <c r="S2497" i="1"/>
  <c r="Q2497" i="1"/>
  <c r="N2497" i="1"/>
  <c r="L2497" i="1"/>
  <c r="K2497" i="1"/>
  <c r="AB2497" i="1"/>
  <c r="I2497" i="1"/>
  <c r="X2496" i="1"/>
  <c r="Z2496" i="1" s="1"/>
  <c r="W2496" i="1"/>
  <c r="S2496" i="1"/>
  <c r="Q2496" i="1"/>
  <c r="N2496" i="1"/>
  <c r="L2496" i="1"/>
  <c r="K2496" i="1"/>
  <c r="AB2496" i="1"/>
  <c r="I2496" i="1"/>
  <c r="X2495" i="1"/>
  <c r="Z2495" i="1" s="1"/>
  <c r="W2495" i="1"/>
  <c r="S2495" i="1"/>
  <c r="Q2495" i="1"/>
  <c r="N2495" i="1"/>
  <c r="L2495" i="1"/>
  <c r="K2495" i="1"/>
  <c r="AB2495" i="1"/>
  <c r="I2495" i="1"/>
  <c r="X2494" i="1"/>
  <c r="Z2494" i="1" s="1"/>
  <c r="W2494" i="1"/>
  <c r="S2494" i="1"/>
  <c r="Q2494" i="1"/>
  <c r="N2494" i="1"/>
  <c r="L2494" i="1"/>
  <c r="K2494" i="1"/>
  <c r="AB2494" i="1"/>
  <c r="I2494" i="1"/>
  <c r="X2493" i="1"/>
  <c r="Z2493" i="1" s="1"/>
  <c r="W2493" i="1"/>
  <c r="S2493" i="1"/>
  <c r="Q2493" i="1"/>
  <c r="N2493" i="1"/>
  <c r="L2493" i="1"/>
  <c r="K2493" i="1"/>
  <c r="AB2493" i="1"/>
  <c r="I2493" i="1"/>
  <c r="X2492" i="1"/>
  <c r="Z2492" i="1" s="1"/>
  <c r="W2492" i="1"/>
  <c r="S2492" i="1"/>
  <c r="Q2492" i="1"/>
  <c r="N2492" i="1"/>
  <c r="L2492" i="1"/>
  <c r="K2492" i="1"/>
  <c r="AB2492" i="1"/>
  <c r="I2492" i="1"/>
  <c r="X2491" i="1"/>
  <c r="Z2491" i="1" s="1"/>
  <c r="W2491" i="1"/>
  <c r="S2491" i="1"/>
  <c r="Q2491" i="1"/>
  <c r="N2491" i="1"/>
  <c r="L2491" i="1"/>
  <c r="K2491" i="1"/>
  <c r="AB2491" i="1"/>
  <c r="I2491" i="1"/>
  <c r="X2490" i="1"/>
  <c r="Z2490" i="1" s="1"/>
  <c r="W2490" i="1"/>
  <c r="S2490" i="1"/>
  <c r="Q2490" i="1"/>
  <c r="N2490" i="1"/>
  <c r="L2490" i="1"/>
  <c r="K2490" i="1"/>
  <c r="AB2490" i="1"/>
  <c r="I2490" i="1"/>
  <c r="X2489" i="1"/>
  <c r="Z2489" i="1" s="1"/>
  <c r="W2489" i="1"/>
  <c r="S2489" i="1"/>
  <c r="Q2489" i="1"/>
  <c r="N2489" i="1"/>
  <c r="L2489" i="1"/>
  <c r="K2489" i="1"/>
  <c r="AB2489" i="1"/>
  <c r="I2489" i="1"/>
  <c r="X2488" i="1"/>
  <c r="Z2488" i="1" s="1"/>
  <c r="W2488" i="1"/>
  <c r="S2488" i="1"/>
  <c r="Q2488" i="1"/>
  <c r="N2488" i="1"/>
  <c r="L2488" i="1"/>
  <c r="K2488" i="1"/>
  <c r="AB2488" i="1"/>
  <c r="I2488" i="1"/>
  <c r="X2487" i="1"/>
  <c r="Z2487" i="1" s="1"/>
  <c r="W2487" i="1"/>
  <c r="S2487" i="1"/>
  <c r="Q2487" i="1"/>
  <c r="N2487" i="1"/>
  <c r="L2487" i="1"/>
  <c r="K2487" i="1"/>
  <c r="AB2487" i="1"/>
  <c r="I2487" i="1"/>
  <c r="X2486" i="1"/>
  <c r="Z2486" i="1" s="1"/>
  <c r="W2486" i="1"/>
  <c r="S2486" i="1"/>
  <c r="Q2486" i="1"/>
  <c r="N2486" i="1"/>
  <c r="L2486" i="1"/>
  <c r="K2486" i="1"/>
  <c r="AB2486" i="1"/>
  <c r="I2486" i="1"/>
  <c r="X2485" i="1"/>
  <c r="Z2485" i="1" s="1"/>
  <c r="W2485" i="1"/>
  <c r="S2485" i="1"/>
  <c r="Q2485" i="1"/>
  <c r="N2485" i="1"/>
  <c r="L2485" i="1"/>
  <c r="K2485" i="1"/>
  <c r="AB2485" i="1"/>
  <c r="I2485" i="1"/>
  <c r="X2484" i="1"/>
  <c r="Z2484" i="1" s="1"/>
  <c r="W2484" i="1"/>
  <c r="S2484" i="1"/>
  <c r="Q2484" i="1"/>
  <c r="N2484" i="1"/>
  <c r="L2484" i="1"/>
  <c r="K2484" i="1"/>
  <c r="AB2484" i="1"/>
  <c r="I2484" i="1"/>
  <c r="X2483" i="1"/>
  <c r="Z2483" i="1" s="1"/>
  <c r="W2483" i="1"/>
  <c r="S2483" i="1"/>
  <c r="Q2483" i="1"/>
  <c r="N2483" i="1"/>
  <c r="L2483" i="1"/>
  <c r="K2483" i="1"/>
  <c r="AB2483" i="1"/>
  <c r="I2483" i="1"/>
  <c r="X2482" i="1"/>
  <c r="Z2482" i="1" s="1"/>
  <c r="W2482" i="1"/>
  <c r="S2482" i="1"/>
  <c r="Q2482" i="1"/>
  <c r="N2482" i="1"/>
  <c r="L2482" i="1"/>
  <c r="Y2482" i="1" s="1"/>
  <c r="K2482" i="1"/>
  <c r="AB2482" i="1"/>
  <c r="I2482" i="1"/>
  <c r="X2481" i="1"/>
  <c r="Z2481" i="1" s="1"/>
  <c r="W2481" i="1"/>
  <c r="S2481" i="1"/>
  <c r="Q2481" i="1"/>
  <c r="N2481" i="1"/>
  <c r="L2481" i="1"/>
  <c r="K2481" i="1"/>
  <c r="AB2481" i="1"/>
  <c r="I2481" i="1"/>
  <c r="X2480" i="1"/>
  <c r="Z2480" i="1" s="1"/>
  <c r="W2480" i="1"/>
  <c r="S2480" i="1"/>
  <c r="Q2480" i="1"/>
  <c r="N2480" i="1"/>
  <c r="L2480" i="1"/>
  <c r="K2480" i="1"/>
  <c r="AB2480" i="1"/>
  <c r="I2480" i="1"/>
  <c r="X2479" i="1"/>
  <c r="Z2479" i="1" s="1"/>
  <c r="W2479" i="1"/>
  <c r="S2479" i="1"/>
  <c r="Q2479" i="1"/>
  <c r="N2479" i="1"/>
  <c r="L2479" i="1"/>
  <c r="K2479" i="1"/>
  <c r="AB2479" i="1"/>
  <c r="I2479" i="1"/>
  <c r="X2478" i="1"/>
  <c r="Z2478" i="1" s="1"/>
  <c r="W2478" i="1"/>
  <c r="S2478" i="1"/>
  <c r="Q2478" i="1"/>
  <c r="N2478" i="1"/>
  <c r="L2478" i="1"/>
  <c r="Y2478" i="1" s="1"/>
  <c r="K2478" i="1"/>
  <c r="AB2478" i="1"/>
  <c r="I2478" i="1"/>
  <c r="X2477" i="1"/>
  <c r="Z2477" i="1" s="1"/>
  <c r="W2477" i="1"/>
  <c r="S2477" i="1"/>
  <c r="Q2477" i="1"/>
  <c r="N2477" i="1"/>
  <c r="L2477" i="1"/>
  <c r="K2477" i="1"/>
  <c r="AB2477" i="1"/>
  <c r="I2477" i="1"/>
  <c r="X2476" i="1"/>
  <c r="Z2476" i="1" s="1"/>
  <c r="W2476" i="1"/>
  <c r="S2476" i="1"/>
  <c r="Q2476" i="1"/>
  <c r="N2476" i="1"/>
  <c r="L2476" i="1"/>
  <c r="K2476" i="1"/>
  <c r="AB2476" i="1"/>
  <c r="I2476" i="1"/>
  <c r="X2475" i="1"/>
  <c r="Z2475" i="1" s="1"/>
  <c r="W2475" i="1"/>
  <c r="S2475" i="1"/>
  <c r="Q2475" i="1"/>
  <c r="N2475" i="1"/>
  <c r="L2475" i="1"/>
  <c r="K2475" i="1"/>
  <c r="AB2475" i="1"/>
  <c r="I2475" i="1"/>
  <c r="X2474" i="1"/>
  <c r="Z2474" i="1" s="1"/>
  <c r="W2474" i="1"/>
  <c r="S2474" i="1"/>
  <c r="Q2474" i="1"/>
  <c r="N2474" i="1"/>
  <c r="L2474" i="1"/>
  <c r="Y2474" i="1" s="1"/>
  <c r="K2474" i="1"/>
  <c r="AB2474" i="1"/>
  <c r="I2474" i="1"/>
  <c r="X2473" i="1"/>
  <c r="Z2473" i="1" s="1"/>
  <c r="W2473" i="1"/>
  <c r="S2473" i="1"/>
  <c r="Q2473" i="1"/>
  <c r="N2473" i="1"/>
  <c r="L2473" i="1"/>
  <c r="K2473" i="1"/>
  <c r="AB2473" i="1"/>
  <c r="I2473" i="1"/>
  <c r="X2472" i="1"/>
  <c r="Z2472" i="1" s="1"/>
  <c r="W2472" i="1"/>
  <c r="S2472" i="1"/>
  <c r="Q2472" i="1"/>
  <c r="N2472" i="1"/>
  <c r="L2472" i="1"/>
  <c r="K2472" i="1"/>
  <c r="AB2472" i="1"/>
  <c r="I2472" i="1"/>
  <c r="X2471" i="1"/>
  <c r="Z2471" i="1" s="1"/>
  <c r="W2471" i="1"/>
  <c r="S2471" i="1"/>
  <c r="Q2471" i="1"/>
  <c r="N2471" i="1"/>
  <c r="L2471" i="1"/>
  <c r="K2471" i="1"/>
  <c r="AB2471" i="1"/>
  <c r="I2471" i="1"/>
  <c r="X2470" i="1"/>
  <c r="Z2470" i="1" s="1"/>
  <c r="W2470" i="1"/>
  <c r="S2470" i="1"/>
  <c r="Q2470" i="1"/>
  <c r="N2470" i="1"/>
  <c r="L2470" i="1"/>
  <c r="Y2470" i="1" s="1"/>
  <c r="K2470" i="1"/>
  <c r="AB2470" i="1"/>
  <c r="AC2470" i="1" s="1"/>
  <c r="I2470" i="1"/>
  <c r="X2469" i="1"/>
  <c r="Z2469" i="1" s="1"/>
  <c r="W2469" i="1"/>
  <c r="S2469" i="1"/>
  <c r="Q2469" i="1"/>
  <c r="N2469" i="1"/>
  <c r="L2469" i="1"/>
  <c r="K2469" i="1"/>
  <c r="AB2469" i="1"/>
  <c r="I2469" i="1"/>
  <c r="X2468" i="1"/>
  <c r="Z2468" i="1" s="1"/>
  <c r="W2468" i="1"/>
  <c r="S2468" i="1"/>
  <c r="Q2468" i="1"/>
  <c r="N2468" i="1"/>
  <c r="L2468" i="1"/>
  <c r="K2468" i="1"/>
  <c r="AB2468" i="1"/>
  <c r="I2468" i="1"/>
  <c r="X2467" i="1"/>
  <c r="Z2467" i="1" s="1"/>
  <c r="W2467" i="1"/>
  <c r="S2467" i="1"/>
  <c r="Q2467" i="1"/>
  <c r="N2467" i="1"/>
  <c r="L2467" i="1"/>
  <c r="K2467" i="1"/>
  <c r="AB2467" i="1"/>
  <c r="I2467" i="1"/>
  <c r="X2466" i="1"/>
  <c r="Z2466" i="1" s="1"/>
  <c r="W2466" i="1"/>
  <c r="S2466" i="1"/>
  <c r="Q2466" i="1"/>
  <c r="N2466" i="1"/>
  <c r="L2466" i="1"/>
  <c r="Y2466" i="1" s="1"/>
  <c r="K2466" i="1"/>
  <c r="AB2466" i="1"/>
  <c r="I2466" i="1"/>
  <c r="X2465" i="1"/>
  <c r="Z2465" i="1" s="1"/>
  <c r="W2465" i="1"/>
  <c r="S2465" i="1"/>
  <c r="Q2465" i="1"/>
  <c r="N2465" i="1"/>
  <c r="L2465" i="1"/>
  <c r="K2465" i="1"/>
  <c r="AB2465" i="1"/>
  <c r="I2465" i="1"/>
  <c r="X2464" i="1"/>
  <c r="Z2464" i="1" s="1"/>
  <c r="W2464" i="1"/>
  <c r="S2464" i="1"/>
  <c r="Q2464" i="1"/>
  <c r="N2464" i="1"/>
  <c r="L2464" i="1"/>
  <c r="K2464" i="1"/>
  <c r="AB2464" i="1"/>
  <c r="I2464" i="1"/>
  <c r="X2463" i="1"/>
  <c r="Z2463" i="1" s="1"/>
  <c r="W2463" i="1"/>
  <c r="S2463" i="1"/>
  <c r="Q2463" i="1"/>
  <c r="N2463" i="1"/>
  <c r="L2463" i="1"/>
  <c r="K2463" i="1"/>
  <c r="AB2463" i="1"/>
  <c r="I2463" i="1"/>
  <c r="X2462" i="1"/>
  <c r="Z2462" i="1" s="1"/>
  <c r="W2462" i="1"/>
  <c r="S2462" i="1"/>
  <c r="Q2462" i="1"/>
  <c r="N2462" i="1"/>
  <c r="L2462" i="1"/>
  <c r="Y2462" i="1" s="1"/>
  <c r="K2462" i="1"/>
  <c r="AB2462" i="1"/>
  <c r="AC2462" i="1" s="1"/>
  <c r="I2462" i="1"/>
  <c r="X2461" i="1"/>
  <c r="Z2461" i="1" s="1"/>
  <c r="W2461" i="1"/>
  <c r="S2461" i="1"/>
  <c r="Q2461" i="1"/>
  <c r="N2461" i="1"/>
  <c r="L2461" i="1"/>
  <c r="K2461" i="1"/>
  <c r="AB2461" i="1"/>
  <c r="I2461" i="1"/>
  <c r="X2460" i="1"/>
  <c r="Z2460" i="1" s="1"/>
  <c r="W2460" i="1"/>
  <c r="S2460" i="1"/>
  <c r="Q2460" i="1"/>
  <c r="N2460" i="1"/>
  <c r="L2460" i="1"/>
  <c r="K2460" i="1"/>
  <c r="AB2460" i="1"/>
  <c r="I2460" i="1"/>
  <c r="X2459" i="1"/>
  <c r="Z2459" i="1" s="1"/>
  <c r="W2459" i="1"/>
  <c r="S2459" i="1"/>
  <c r="Q2459" i="1"/>
  <c r="N2459" i="1"/>
  <c r="L2459" i="1"/>
  <c r="K2459" i="1"/>
  <c r="AB2459" i="1"/>
  <c r="I2459" i="1"/>
  <c r="X2458" i="1"/>
  <c r="Z2458" i="1" s="1"/>
  <c r="W2458" i="1"/>
  <c r="S2458" i="1"/>
  <c r="Q2458" i="1"/>
  <c r="N2458" i="1"/>
  <c r="L2458" i="1"/>
  <c r="K2458" i="1"/>
  <c r="AB2458" i="1"/>
  <c r="I2458" i="1"/>
  <c r="X2457" i="1"/>
  <c r="Z2457" i="1" s="1"/>
  <c r="W2457" i="1"/>
  <c r="S2457" i="1"/>
  <c r="Q2457" i="1"/>
  <c r="N2457" i="1"/>
  <c r="L2457" i="1"/>
  <c r="K2457" i="1"/>
  <c r="AB2457" i="1"/>
  <c r="I2457" i="1"/>
  <c r="X2456" i="1"/>
  <c r="Z2456" i="1" s="1"/>
  <c r="W2456" i="1"/>
  <c r="S2456" i="1"/>
  <c r="Q2456" i="1"/>
  <c r="N2456" i="1"/>
  <c r="L2456" i="1"/>
  <c r="K2456" i="1"/>
  <c r="AB2456" i="1"/>
  <c r="I2456" i="1"/>
  <c r="X2455" i="1"/>
  <c r="Z2455" i="1" s="1"/>
  <c r="W2455" i="1"/>
  <c r="S2455" i="1"/>
  <c r="Q2455" i="1"/>
  <c r="N2455" i="1"/>
  <c r="L2455" i="1"/>
  <c r="K2455" i="1"/>
  <c r="AB2455" i="1"/>
  <c r="I2455" i="1"/>
  <c r="X2454" i="1"/>
  <c r="Z2454" i="1" s="1"/>
  <c r="W2454" i="1"/>
  <c r="S2454" i="1"/>
  <c r="Q2454" i="1"/>
  <c r="N2454" i="1"/>
  <c r="L2454" i="1"/>
  <c r="Y2454" i="1" s="1"/>
  <c r="K2454" i="1"/>
  <c r="AB2454" i="1"/>
  <c r="AC2454" i="1" s="1"/>
  <c r="I2454" i="1"/>
  <c r="X2453" i="1"/>
  <c r="Z2453" i="1" s="1"/>
  <c r="W2453" i="1"/>
  <c r="S2453" i="1"/>
  <c r="Q2453" i="1"/>
  <c r="N2453" i="1"/>
  <c r="L2453" i="1"/>
  <c r="K2453" i="1"/>
  <c r="AB2453" i="1"/>
  <c r="I2453" i="1"/>
  <c r="X2452" i="1"/>
  <c r="Z2452" i="1" s="1"/>
  <c r="W2452" i="1"/>
  <c r="S2452" i="1"/>
  <c r="Q2452" i="1"/>
  <c r="N2452" i="1"/>
  <c r="L2452" i="1"/>
  <c r="K2452" i="1"/>
  <c r="AB2452" i="1"/>
  <c r="I2452" i="1"/>
  <c r="X2451" i="1"/>
  <c r="Z2451" i="1" s="1"/>
  <c r="W2451" i="1"/>
  <c r="S2451" i="1"/>
  <c r="Q2451" i="1"/>
  <c r="N2451" i="1"/>
  <c r="L2451" i="1"/>
  <c r="K2451" i="1"/>
  <c r="AB2451" i="1"/>
  <c r="I2451" i="1"/>
  <c r="X2450" i="1"/>
  <c r="Z2450" i="1" s="1"/>
  <c r="W2450" i="1"/>
  <c r="S2450" i="1"/>
  <c r="Q2450" i="1"/>
  <c r="N2450" i="1"/>
  <c r="L2450" i="1"/>
  <c r="Y2450" i="1" s="1"/>
  <c r="K2450" i="1"/>
  <c r="AB2450" i="1"/>
  <c r="AC2450" i="1" s="1"/>
  <c r="I2450" i="1"/>
  <c r="X2449" i="1"/>
  <c r="Z2449" i="1" s="1"/>
  <c r="W2449" i="1"/>
  <c r="S2449" i="1"/>
  <c r="Q2449" i="1"/>
  <c r="N2449" i="1"/>
  <c r="L2449" i="1"/>
  <c r="K2449" i="1"/>
  <c r="AB2449" i="1"/>
  <c r="I2449" i="1"/>
  <c r="X2448" i="1"/>
  <c r="Z2448" i="1" s="1"/>
  <c r="W2448" i="1"/>
  <c r="S2448" i="1"/>
  <c r="Q2448" i="1"/>
  <c r="N2448" i="1"/>
  <c r="L2448" i="1"/>
  <c r="K2448" i="1"/>
  <c r="AB2448" i="1"/>
  <c r="I2448" i="1"/>
  <c r="X2447" i="1"/>
  <c r="Z2447" i="1" s="1"/>
  <c r="W2447" i="1"/>
  <c r="S2447" i="1"/>
  <c r="Q2447" i="1"/>
  <c r="N2447" i="1"/>
  <c r="L2447" i="1"/>
  <c r="K2447" i="1"/>
  <c r="AB2447" i="1"/>
  <c r="I2447" i="1"/>
  <c r="X2446" i="1"/>
  <c r="Z2446" i="1" s="1"/>
  <c r="W2446" i="1"/>
  <c r="S2446" i="1"/>
  <c r="Q2446" i="1"/>
  <c r="N2446" i="1"/>
  <c r="L2446" i="1"/>
  <c r="Y2446" i="1" s="1"/>
  <c r="K2446" i="1"/>
  <c r="AB2446" i="1"/>
  <c r="AC2446" i="1" s="1"/>
  <c r="I2446" i="1"/>
  <c r="X2445" i="1"/>
  <c r="Z2445" i="1" s="1"/>
  <c r="W2445" i="1"/>
  <c r="S2445" i="1"/>
  <c r="Q2445" i="1"/>
  <c r="N2445" i="1"/>
  <c r="L2445" i="1"/>
  <c r="K2445" i="1"/>
  <c r="AB2445" i="1"/>
  <c r="I2445" i="1"/>
  <c r="X2444" i="1"/>
  <c r="Z2444" i="1" s="1"/>
  <c r="W2444" i="1"/>
  <c r="S2444" i="1"/>
  <c r="Q2444" i="1"/>
  <c r="N2444" i="1"/>
  <c r="L2444" i="1"/>
  <c r="K2444" i="1"/>
  <c r="AB2444" i="1"/>
  <c r="I2444" i="1"/>
  <c r="X2443" i="1"/>
  <c r="Z2443" i="1" s="1"/>
  <c r="W2443" i="1"/>
  <c r="S2443" i="1"/>
  <c r="Q2443" i="1"/>
  <c r="N2443" i="1"/>
  <c r="L2443" i="1"/>
  <c r="K2443" i="1"/>
  <c r="AB2443" i="1"/>
  <c r="I2443" i="1"/>
  <c r="X2442" i="1"/>
  <c r="Z2442" i="1" s="1"/>
  <c r="W2442" i="1"/>
  <c r="S2442" i="1"/>
  <c r="Q2442" i="1"/>
  <c r="N2442" i="1"/>
  <c r="L2442" i="1"/>
  <c r="K2442" i="1"/>
  <c r="AB2442" i="1"/>
  <c r="AC2442" i="1" s="1"/>
  <c r="I2442" i="1"/>
  <c r="X2441" i="1"/>
  <c r="Z2441" i="1" s="1"/>
  <c r="W2441" i="1"/>
  <c r="S2441" i="1"/>
  <c r="Q2441" i="1"/>
  <c r="N2441" i="1"/>
  <c r="L2441" i="1"/>
  <c r="K2441" i="1"/>
  <c r="AB2441" i="1"/>
  <c r="I2441" i="1"/>
  <c r="X2440" i="1"/>
  <c r="Z2440" i="1" s="1"/>
  <c r="W2440" i="1"/>
  <c r="S2440" i="1"/>
  <c r="Q2440" i="1"/>
  <c r="N2440" i="1"/>
  <c r="L2440" i="1"/>
  <c r="K2440" i="1"/>
  <c r="AB2440" i="1"/>
  <c r="I2440" i="1"/>
  <c r="X2439" i="1"/>
  <c r="Z2439" i="1" s="1"/>
  <c r="W2439" i="1"/>
  <c r="S2439" i="1"/>
  <c r="Q2439" i="1"/>
  <c r="N2439" i="1"/>
  <c r="L2439" i="1"/>
  <c r="K2439" i="1"/>
  <c r="AB2439" i="1"/>
  <c r="I2439" i="1"/>
  <c r="X2438" i="1"/>
  <c r="Z2438" i="1" s="1"/>
  <c r="W2438" i="1"/>
  <c r="S2438" i="1"/>
  <c r="Q2438" i="1"/>
  <c r="N2438" i="1"/>
  <c r="L2438" i="1"/>
  <c r="Y2438" i="1" s="1"/>
  <c r="K2438" i="1"/>
  <c r="AB2438" i="1"/>
  <c r="AC2438" i="1" s="1"/>
  <c r="I2438" i="1"/>
  <c r="X2437" i="1"/>
  <c r="Z2437" i="1" s="1"/>
  <c r="W2437" i="1"/>
  <c r="S2437" i="1"/>
  <c r="Q2437" i="1"/>
  <c r="N2437" i="1"/>
  <c r="L2437" i="1"/>
  <c r="K2437" i="1"/>
  <c r="AB2437" i="1"/>
  <c r="I2437" i="1"/>
  <c r="X2436" i="1"/>
  <c r="Z2436" i="1" s="1"/>
  <c r="W2436" i="1"/>
  <c r="S2436" i="1"/>
  <c r="Q2436" i="1"/>
  <c r="N2436" i="1"/>
  <c r="L2436" i="1"/>
  <c r="K2436" i="1"/>
  <c r="AB2436" i="1"/>
  <c r="I2436" i="1"/>
  <c r="X2435" i="1"/>
  <c r="Z2435" i="1" s="1"/>
  <c r="W2435" i="1"/>
  <c r="S2435" i="1"/>
  <c r="Q2435" i="1"/>
  <c r="N2435" i="1"/>
  <c r="L2435" i="1"/>
  <c r="K2435" i="1"/>
  <c r="AB2435" i="1"/>
  <c r="I2435" i="1"/>
  <c r="X2434" i="1"/>
  <c r="Z2434" i="1" s="1"/>
  <c r="W2434" i="1"/>
  <c r="S2434" i="1"/>
  <c r="Q2434" i="1"/>
  <c r="N2434" i="1"/>
  <c r="L2434" i="1"/>
  <c r="K2434" i="1"/>
  <c r="AB2434" i="1"/>
  <c r="AC2434" i="1" s="1"/>
  <c r="I2434" i="1"/>
  <c r="X2433" i="1"/>
  <c r="Z2433" i="1" s="1"/>
  <c r="W2433" i="1"/>
  <c r="S2433" i="1"/>
  <c r="Q2433" i="1"/>
  <c r="N2433" i="1"/>
  <c r="L2433" i="1"/>
  <c r="K2433" i="1"/>
  <c r="AB2433" i="1"/>
  <c r="I2433" i="1"/>
  <c r="X2432" i="1"/>
  <c r="Z2432" i="1" s="1"/>
  <c r="W2432" i="1"/>
  <c r="S2432" i="1"/>
  <c r="Q2432" i="1"/>
  <c r="N2432" i="1"/>
  <c r="L2432" i="1"/>
  <c r="K2432" i="1"/>
  <c r="AB2432" i="1"/>
  <c r="I2432" i="1"/>
  <c r="X2431" i="1"/>
  <c r="Z2431" i="1" s="1"/>
  <c r="W2431" i="1"/>
  <c r="S2431" i="1"/>
  <c r="Q2431" i="1"/>
  <c r="N2431" i="1"/>
  <c r="L2431" i="1"/>
  <c r="K2431" i="1"/>
  <c r="AB2431" i="1"/>
  <c r="I2431" i="1"/>
  <c r="X2430" i="1"/>
  <c r="Z2430" i="1" s="1"/>
  <c r="W2430" i="1"/>
  <c r="S2430" i="1"/>
  <c r="Q2430" i="1"/>
  <c r="N2430" i="1"/>
  <c r="L2430" i="1"/>
  <c r="Y2430" i="1" s="1"/>
  <c r="K2430" i="1"/>
  <c r="AB2430" i="1"/>
  <c r="AC2430" i="1" s="1"/>
  <c r="I2430" i="1"/>
  <c r="X2429" i="1"/>
  <c r="Z2429" i="1" s="1"/>
  <c r="W2429" i="1"/>
  <c r="S2429" i="1"/>
  <c r="Q2429" i="1"/>
  <c r="N2429" i="1"/>
  <c r="L2429" i="1"/>
  <c r="K2429" i="1"/>
  <c r="AB2429" i="1"/>
  <c r="I2429" i="1"/>
  <c r="X2428" i="1"/>
  <c r="Z2428" i="1" s="1"/>
  <c r="W2428" i="1"/>
  <c r="S2428" i="1"/>
  <c r="Q2428" i="1"/>
  <c r="N2428" i="1"/>
  <c r="L2428" i="1"/>
  <c r="K2428" i="1"/>
  <c r="AB2428" i="1"/>
  <c r="I2428" i="1"/>
  <c r="X2427" i="1"/>
  <c r="Z2427" i="1" s="1"/>
  <c r="W2427" i="1"/>
  <c r="S2427" i="1"/>
  <c r="Q2427" i="1"/>
  <c r="N2427" i="1"/>
  <c r="L2427" i="1"/>
  <c r="K2427" i="1"/>
  <c r="AB2427" i="1"/>
  <c r="I2427" i="1"/>
  <c r="X2426" i="1"/>
  <c r="Z2426" i="1" s="1"/>
  <c r="W2426" i="1"/>
  <c r="S2426" i="1"/>
  <c r="Q2426" i="1"/>
  <c r="N2426" i="1"/>
  <c r="L2426" i="1"/>
  <c r="Y2426" i="1" s="1"/>
  <c r="K2426" i="1"/>
  <c r="AB2426" i="1"/>
  <c r="I2426" i="1"/>
  <c r="X2425" i="1"/>
  <c r="Z2425" i="1" s="1"/>
  <c r="W2425" i="1"/>
  <c r="S2425" i="1"/>
  <c r="Q2425" i="1"/>
  <c r="N2425" i="1"/>
  <c r="L2425" i="1"/>
  <c r="K2425" i="1"/>
  <c r="AB2425" i="1"/>
  <c r="I2425" i="1"/>
  <c r="X2424" i="1"/>
  <c r="Z2424" i="1" s="1"/>
  <c r="W2424" i="1"/>
  <c r="S2424" i="1"/>
  <c r="Q2424" i="1"/>
  <c r="N2424" i="1"/>
  <c r="L2424" i="1"/>
  <c r="K2424" i="1"/>
  <c r="AB2424" i="1"/>
  <c r="I2424" i="1"/>
  <c r="X2423" i="1"/>
  <c r="Z2423" i="1" s="1"/>
  <c r="W2423" i="1"/>
  <c r="S2423" i="1"/>
  <c r="Q2423" i="1"/>
  <c r="N2423" i="1"/>
  <c r="L2423" i="1"/>
  <c r="K2423" i="1"/>
  <c r="AB2423" i="1"/>
  <c r="I2423" i="1"/>
  <c r="X2422" i="1"/>
  <c r="Z2422" i="1" s="1"/>
  <c r="W2422" i="1"/>
  <c r="S2422" i="1"/>
  <c r="Q2422" i="1"/>
  <c r="N2422" i="1"/>
  <c r="L2422" i="1"/>
  <c r="Y2422" i="1" s="1"/>
  <c r="K2422" i="1"/>
  <c r="AB2422" i="1"/>
  <c r="AC2422" i="1" s="1"/>
  <c r="I2422" i="1"/>
  <c r="X2421" i="1"/>
  <c r="Z2421" i="1" s="1"/>
  <c r="W2421" i="1"/>
  <c r="S2421" i="1"/>
  <c r="Q2421" i="1"/>
  <c r="N2421" i="1"/>
  <c r="L2421" i="1"/>
  <c r="K2421" i="1"/>
  <c r="AB2421" i="1"/>
  <c r="I2421" i="1"/>
  <c r="X2420" i="1"/>
  <c r="Z2420" i="1" s="1"/>
  <c r="W2420" i="1"/>
  <c r="S2420" i="1"/>
  <c r="Q2420" i="1"/>
  <c r="N2420" i="1"/>
  <c r="L2420" i="1"/>
  <c r="K2420" i="1"/>
  <c r="AB2420" i="1"/>
  <c r="I2420" i="1"/>
  <c r="X2419" i="1"/>
  <c r="Z2419" i="1" s="1"/>
  <c r="W2419" i="1"/>
  <c r="S2419" i="1"/>
  <c r="Q2419" i="1"/>
  <c r="N2419" i="1"/>
  <c r="L2419" i="1"/>
  <c r="K2419" i="1"/>
  <c r="AB2419" i="1"/>
  <c r="I2419" i="1"/>
  <c r="X2418" i="1"/>
  <c r="Z2418" i="1" s="1"/>
  <c r="W2418" i="1"/>
  <c r="S2418" i="1"/>
  <c r="Q2418" i="1"/>
  <c r="N2418" i="1"/>
  <c r="L2418" i="1"/>
  <c r="K2418" i="1"/>
  <c r="AB2418" i="1"/>
  <c r="AC2418" i="1" s="1"/>
  <c r="I2418" i="1"/>
  <c r="X2417" i="1"/>
  <c r="Z2417" i="1" s="1"/>
  <c r="W2417" i="1"/>
  <c r="S2417" i="1"/>
  <c r="Q2417" i="1"/>
  <c r="N2417" i="1"/>
  <c r="L2417" i="1"/>
  <c r="K2417" i="1"/>
  <c r="AB2417" i="1"/>
  <c r="I2417" i="1"/>
  <c r="X2416" i="1"/>
  <c r="Z2416" i="1" s="1"/>
  <c r="W2416" i="1"/>
  <c r="S2416" i="1"/>
  <c r="Q2416" i="1"/>
  <c r="N2416" i="1"/>
  <c r="L2416" i="1"/>
  <c r="K2416" i="1"/>
  <c r="AB2416" i="1"/>
  <c r="I2416" i="1"/>
  <c r="X2415" i="1"/>
  <c r="Z2415" i="1" s="1"/>
  <c r="W2415" i="1"/>
  <c r="S2415" i="1"/>
  <c r="Q2415" i="1"/>
  <c r="N2415" i="1"/>
  <c r="L2415" i="1"/>
  <c r="K2415" i="1"/>
  <c r="AB2415" i="1"/>
  <c r="I2415" i="1"/>
  <c r="X2414" i="1"/>
  <c r="Z2414" i="1" s="1"/>
  <c r="W2414" i="1"/>
  <c r="S2414" i="1"/>
  <c r="Q2414" i="1"/>
  <c r="N2414" i="1"/>
  <c r="L2414" i="1"/>
  <c r="K2414" i="1"/>
  <c r="AB2414" i="1"/>
  <c r="AC2414" i="1" s="1"/>
  <c r="I2414" i="1"/>
  <c r="X2413" i="1"/>
  <c r="Z2413" i="1" s="1"/>
  <c r="W2413" i="1"/>
  <c r="S2413" i="1"/>
  <c r="Q2413" i="1"/>
  <c r="N2413" i="1"/>
  <c r="L2413" i="1"/>
  <c r="K2413" i="1"/>
  <c r="AB2413" i="1"/>
  <c r="I2413" i="1"/>
  <c r="X2412" i="1"/>
  <c r="Z2412" i="1" s="1"/>
  <c r="W2412" i="1"/>
  <c r="S2412" i="1"/>
  <c r="Q2412" i="1"/>
  <c r="N2412" i="1"/>
  <c r="L2412" i="1"/>
  <c r="K2412" i="1"/>
  <c r="AB2412" i="1"/>
  <c r="I2412" i="1"/>
  <c r="X2411" i="1"/>
  <c r="Z2411" i="1" s="1"/>
  <c r="W2411" i="1"/>
  <c r="S2411" i="1"/>
  <c r="Q2411" i="1"/>
  <c r="N2411" i="1"/>
  <c r="L2411" i="1"/>
  <c r="K2411" i="1"/>
  <c r="AB2411" i="1"/>
  <c r="I2411" i="1"/>
  <c r="X2410" i="1"/>
  <c r="Z2410" i="1" s="1"/>
  <c r="W2410" i="1"/>
  <c r="S2410" i="1"/>
  <c r="Q2410" i="1"/>
  <c r="N2410" i="1"/>
  <c r="L2410" i="1"/>
  <c r="Y2410" i="1" s="1"/>
  <c r="K2410" i="1"/>
  <c r="AB2410" i="1"/>
  <c r="I2410" i="1"/>
  <c r="X2409" i="1"/>
  <c r="Z2409" i="1" s="1"/>
  <c r="W2409" i="1"/>
  <c r="S2409" i="1"/>
  <c r="Q2409" i="1"/>
  <c r="N2409" i="1"/>
  <c r="L2409" i="1"/>
  <c r="K2409" i="1"/>
  <c r="AB2409" i="1"/>
  <c r="I2409" i="1"/>
  <c r="X2408" i="1"/>
  <c r="Z2408" i="1" s="1"/>
  <c r="W2408" i="1"/>
  <c r="S2408" i="1"/>
  <c r="Q2408" i="1"/>
  <c r="N2408" i="1"/>
  <c r="L2408" i="1"/>
  <c r="K2408" i="1"/>
  <c r="AB2408" i="1"/>
  <c r="I2408" i="1"/>
  <c r="X2407" i="1"/>
  <c r="Z2407" i="1" s="1"/>
  <c r="W2407" i="1"/>
  <c r="S2407" i="1"/>
  <c r="Q2407" i="1"/>
  <c r="N2407" i="1"/>
  <c r="L2407" i="1"/>
  <c r="K2407" i="1"/>
  <c r="AB2407" i="1"/>
  <c r="I2407" i="1"/>
  <c r="X2406" i="1"/>
  <c r="Z2406" i="1" s="1"/>
  <c r="W2406" i="1"/>
  <c r="S2406" i="1"/>
  <c r="Q2406" i="1"/>
  <c r="N2406" i="1"/>
  <c r="L2406" i="1"/>
  <c r="Y2406" i="1" s="1"/>
  <c r="K2406" i="1"/>
  <c r="AB2406" i="1"/>
  <c r="AC2406" i="1" s="1"/>
  <c r="I2406" i="1"/>
  <c r="X2405" i="1"/>
  <c r="Z2405" i="1" s="1"/>
  <c r="W2405" i="1"/>
  <c r="S2405" i="1"/>
  <c r="Q2405" i="1"/>
  <c r="N2405" i="1"/>
  <c r="L2405" i="1"/>
  <c r="K2405" i="1"/>
  <c r="AB2405" i="1"/>
  <c r="I2405" i="1"/>
  <c r="X2404" i="1"/>
  <c r="Z2404" i="1" s="1"/>
  <c r="W2404" i="1"/>
  <c r="S2404" i="1"/>
  <c r="Q2404" i="1"/>
  <c r="N2404" i="1"/>
  <c r="L2404" i="1"/>
  <c r="K2404" i="1"/>
  <c r="AB2404" i="1"/>
  <c r="I2404" i="1"/>
  <c r="X2403" i="1"/>
  <c r="Z2403" i="1" s="1"/>
  <c r="W2403" i="1"/>
  <c r="S2403" i="1"/>
  <c r="Q2403" i="1"/>
  <c r="N2403" i="1"/>
  <c r="L2403" i="1"/>
  <c r="K2403" i="1"/>
  <c r="AB2403" i="1"/>
  <c r="I2403" i="1"/>
  <c r="X2402" i="1"/>
  <c r="Z2402" i="1" s="1"/>
  <c r="W2402" i="1"/>
  <c r="S2402" i="1"/>
  <c r="Q2402" i="1"/>
  <c r="N2402" i="1"/>
  <c r="L2402" i="1"/>
  <c r="Y2402" i="1" s="1"/>
  <c r="K2402" i="1"/>
  <c r="AB2402" i="1"/>
  <c r="I2402" i="1"/>
  <c r="X2401" i="1"/>
  <c r="Z2401" i="1" s="1"/>
  <c r="W2401" i="1"/>
  <c r="S2401" i="1"/>
  <c r="Q2401" i="1"/>
  <c r="N2401" i="1"/>
  <c r="L2401" i="1"/>
  <c r="K2401" i="1"/>
  <c r="AB2401" i="1"/>
  <c r="I2401" i="1"/>
  <c r="X2400" i="1"/>
  <c r="Z2400" i="1" s="1"/>
  <c r="W2400" i="1"/>
  <c r="S2400" i="1"/>
  <c r="Q2400" i="1"/>
  <c r="N2400" i="1"/>
  <c r="L2400" i="1"/>
  <c r="K2400" i="1"/>
  <c r="AB2400" i="1"/>
  <c r="I2400" i="1"/>
  <c r="X2399" i="1"/>
  <c r="Z2399" i="1" s="1"/>
  <c r="W2399" i="1"/>
  <c r="S2399" i="1"/>
  <c r="Q2399" i="1"/>
  <c r="N2399" i="1"/>
  <c r="L2399" i="1"/>
  <c r="K2399" i="1"/>
  <c r="AB2399" i="1"/>
  <c r="I2399" i="1"/>
  <c r="X2398" i="1"/>
  <c r="Z2398" i="1" s="1"/>
  <c r="W2398" i="1"/>
  <c r="S2398" i="1"/>
  <c r="Q2398" i="1"/>
  <c r="N2398" i="1"/>
  <c r="L2398" i="1"/>
  <c r="Y2398" i="1" s="1"/>
  <c r="K2398" i="1"/>
  <c r="AB2398" i="1"/>
  <c r="AC2398" i="1" s="1"/>
  <c r="I2398" i="1"/>
  <c r="X2397" i="1"/>
  <c r="Z2397" i="1" s="1"/>
  <c r="W2397" i="1"/>
  <c r="S2397" i="1"/>
  <c r="Q2397" i="1"/>
  <c r="N2397" i="1"/>
  <c r="L2397" i="1"/>
  <c r="K2397" i="1"/>
  <c r="AB2397" i="1"/>
  <c r="I2397" i="1"/>
  <c r="X2396" i="1"/>
  <c r="Z2396" i="1" s="1"/>
  <c r="W2396" i="1"/>
  <c r="S2396" i="1"/>
  <c r="Q2396" i="1"/>
  <c r="N2396" i="1"/>
  <c r="L2396" i="1"/>
  <c r="K2396" i="1"/>
  <c r="AB2396" i="1"/>
  <c r="I2396" i="1"/>
  <c r="X2395" i="1"/>
  <c r="Z2395" i="1" s="1"/>
  <c r="W2395" i="1"/>
  <c r="S2395" i="1"/>
  <c r="Q2395" i="1"/>
  <c r="N2395" i="1"/>
  <c r="L2395" i="1"/>
  <c r="K2395" i="1"/>
  <c r="AB2395" i="1"/>
  <c r="I2395" i="1"/>
  <c r="X2394" i="1"/>
  <c r="Z2394" i="1" s="1"/>
  <c r="W2394" i="1"/>
  <c r="S2394" i="1"/>
  <c r="Q2394" i="1"/>
  <c r="N2394" i="1"/>
  <c r="L2394" i="1"/>
  <c r="Y2394" i="1" s="1"/>
  <c r="K2394" i="1"/>
  <c r="AB2394" i="1"/>
  <c r="I2394" i="1"/>
  <c r="X2393" i="1"/>
  <c r="Z2393" i="1" s="1"/>
  <c r="W2393" i="1"/>
  <c r="S2393" i="1"/>
  <c r="Q2393" i="1"/>
  <c r="N2393" i="1"/>
  <c r="L2393" i="1"/>
  <c r="K2393" i="1"/>
  <c r="AB2393" i="1"/>
  <c r="I2393" i="1"/>
  <c r="X2392" i="1"/>
  <c r="Z2392" i="1" s="1"/>
  <c r="W2392" i="1"/>
  <c r="S2392" i="1"/>
  <c r="Q2392" i="1"/>
  <c r="N2392" i="1"/>
  <c r="L2392" i="1"/>
  <c r="K2392" i="1"/>
  <c r="AB2392" i="1"/>
  <c r="I2392" i="1"/>
  <c r="X2391" i="1"/>
  <c r="Z2391" i="1" s="1"/>
  <c r="W2391" i="1"/>
  <c r="S2391" i="1"/>
  <c r="Q2391" i="1"/>
  <c r="N2391" i="1"/>
  <c r="L2391" i="1"/>
  <c r="K2391" i="1"/>
  <c r="AB2391" i="1"/>
  <c r="I2391" i="1"/>
  <c r="X2390" i="1"/>
  <c r="Z2390" i="1" s="1"/>
  <c r="W2390" i="1"/>
  <c r="S2390" i="1"/>
  <c r="Q2390" i="1"/>
  <c r="N2390" i="1"/>
  <c r="L2390" i="1"/>
  <c r="Y2390" i="1" s="1"/>
  <c r="K2390" i="1"/>
  <c r="AB2390" i="1"/>
  <c r="I2390" i="1"/>
  <c r="X2389" i="1"/>
  <c r="Z2389" i="1" s="1"/>
  <c r="W2389" i="1"/>
  <c r="S2389" i="1"/>
  <c r="Q2389" i="1"/>
  <c r="N2389" i="1"/>
  <c r="L2389" i="1"/>
  <c r="K2389" i="1"/>
  <c r="AB2389" i="1"/>
  <c r="I2389" i="1"/>
  <c r="X2388" i="1"/>
  <c r="Z2388" i="1" s="1"/>
  <c r="W2388" i="1"/>
  <c r="S2388" i="1"/>
  <c r="Q2388" i="1"/>
  <c r="N2388" i="1"/>
  <c r="L2388" i="1"/>
  <c r="K2388" i="1"/>
  <c r="AB2388" i="1"/>
  <c r="I2388" i="1"/>
  <c r="X2387" i="1"/>
  <c r="Z2387" i="1" s="1"/>
  <c r="W2387" i="1"/>
  <c r="S2387" i="1"/>
  <c r="Q2387" i="1"/>
  <c r="N2387" i="1"/>
  <c r="L2387" i="1"/>
  <c r="K2387" i="1"/>
  <c r="AB2387" i="1"/>
  <c r="I2387" i="1"/>
  <c r="X2386" i="1"/>
  <c r="Z2386" i="1" s="1"/>
  <c r="W2386" i="1"/>
  <c r="S2386" i="1"/>
  <c r="Q2386" i="1"/>
  <c r="N2386" i="1"/>
  <c r="L2386" i="1"/>
  <c r="Y2386" i="1" s="1"/>
  <c r="K2386" i="1"/>
  <c r="AB2386" i="1"/>
  <c r="I2386" i="1"/>
  <c r="X2385" i="1"/>
  <c r="Z2385" i="1" s="1"/>
  <c r="W2385" i="1"/>
  <c r="S2385" i="1"/>
  <c r="Q2385" i="1"/>
  <c r="N2385" i="1"/>
  <c r="L2385" i="1"/>
  <c r="K2385" i="1"/>
  <c r="AB2385" i="1"/>
  <c r="I2385" i="1"/>
  <c r="X2384" i="1"/>
  <c r="Z2384" i="1" s="1"/>
  <c r="W2384" i="1"/>
  <c r="S2384" i="1"/>
  <c r="Q2384" i="1"/>
  <c r="N2384" i="1"/>
  <c r="L2384" i="1"/>
  <c r="K2384" i="1"/>
  <c r="AB2384" i="1"/>
  <c r="I2384" i="1"/>
  <c r="X2383" i="1"/>
  <c r="Z2383" i="1" s="1"/>
  <c r="W2383" i="1"/>
  <c r="S2383" i="1"/>
  <c r="Q2383" i="1"/>
  <c r="N2383" i="1"/>
  <c r="L2383" i="1"/>
  <c r="K2383" i="1"/>
  <c r="AB2383" i="1"/>
  <c r="I2383" i="1"/>
  <c r="X2382" i="1"/>
  <c r="Z2382" i="1" s="1"/>
  <c r="W2382" i="1"/>
  <c r="S2382" i="1"/>
  <c r="Q2382" i="1"/>
  <c r="N2382" i="1"/>
  <c r="L2382" i="1"/>
  <c r="Y2382" i="1" s="1"/>
  <c r="K2382" i="1"/>
  <c r="AB2382" i="1"/>
  <c r="AC2382" i="1" s="1"/>
  <c r="I2382" i="1"/>
  <c r="X2381" i="1"/>
  <c r="Z2381" i="1" s="1"/>
  <c r="W2381" i="1"/>
  <c r="S2381" i="1"/>
  <c r="Q2381" i="1"/>
  <c r="N2381" i="1"/>
  <c r="L2381" i="1"/>
  <c r="K2381" i="1"/>
  <c r="AB2381" i="1"/>
  <c r="I2381" i="1"/>
  <c r="X2380" i="1"/>
  <c r="Z2380" i="1" s="1"/>
  <c r="W2380" i="1"/>
  <c r="S2380" i="1"/>
  <c r="Q2380" i="1"/>
  <c r="N2380" i="1"/>
  <c r="L2380" i="1"/>
  <c r="K2380" i="1"/>
  <c r="AB2380" i="1"/>
  <c r="I2380" i="1"/>
  <c r="X2379" i="1"/>
  <c r="Z2379" i="1" s="1"/>
  <c r="W2379" i="1"/>
  <c r="S2379" i="1"/>
  <c r="Q2379" i="1"/>
  <c r="N2379" i="1"/>
  <c r="L2379" i="1"/>
  <c r="K2379" i="1"/>
  <c r="AB2379" i="1"/>
  <c r="I2379" i="1"/>
  <c r="X2378" i="1"/>
  <c r="Z2378" i="1" s="1"/>
  <c r="W2378" i="1"/>
  <c r="S2378" i="1"/>
  <c r="Q2378" i="1"/>
  <c r="N2378" i="1"/>
  <c r="L2378" i="1"/>
  <c r="K2378" i="1"/>
  <c r="AB2378" i="1"/>
  <c r="I2378" i="1"/>
  <c r="X2377" i="1"/>
  <c r="Z2377" i="1" s="1"/>
  <c r="W2377" i="1"/>
  <c r="S2377" i="1"/>
  <c r="Q2377" i="1"/>
  <c r="N2377" i="1"/>
  <c r="L2377" i="1"/>
  <c r="K2377" i="1"/>
  <c r="AB2377" i="1"/>
  <c r="I2377" i="1"/>
  <c r="X2376" i="1"/>
  <c r="Z2376" i="1" s="1"/>
  <c r="W2376" i="1"/>
  <c r="S2376" i="1"/>
  <c r="Q2376" i="1"/>
  <c r="N2376" i="1"/>
  <c r="L2376" i="1"/>
  <c r="K2376" i="1"/>
  <c r="AB2376" i="1"/>
  <c r="I2376" i="1"/>
  <c r="X2375" i="1"/>
  <c r="Z2375" i="1" s="1"/>
  <c r="W2375" i="1"/>
  <c r="S2375" i="1"/>
  <c r="Q2375" i="1"/>
  <c r="N2375" i="1"/>
  <c r="L2375" i="1"/>
  <c r="K2375" i="1"/>
  <c r="AB2375" i="1"/>
  <c r="I2375" i="1"/>
  <c r="X2374" i="1"/>
  <c r="Z2374" i="1" s="1"/>
  <c r="W2374" i="1"/>
  <c r="S2374" i="1"/>
  <c r="Q2374" i="1"/>
  <c r="N2374" i="1"/>
  <c r="L2374" i="1"/>
  <c r="K2374" i="1"/>
  <c r="AB2374" i="1"/>
  <c r="I2374" i="1"/>
  <c r="X2373" i="1"/>
  <c r="Z2373" i="1" s="1"/>
  <c r="W2373" i="1"/>
  <c r="S2373" i="1"/>
  <c r="Q2373" i="1"/>
  <c r="N2373" i="1"/>
  <c r="L2373" i="1"/>
  <c r="K2373" i="1"/>
  <c r="AB2373" i="1"/>
  <c r="I2373" i="1"/>
  <c r="X2372" i="1"/>
  <c r="Z2372" i="1" s="1"/>
  <c r="W2372" i="1"/>
  <c r="S2372" i="1"/>
  <c r="Q2372" i="1"/>
  <c r="N2372" i="1"/>
  <c r="L2372" i="1"/>
  <c r="K2372" i="1"/>
  <c r="AB2372" i="1"/>
  <c r="I2372" i="1"/>
  <c r="X2371" i="1"/>
  <c r="Z2371" i="1" s="1"/>
  <c r="W2371" i="1"/>
  <c r="S2371" i="1"/>
  <c r="Q2371" i="1"/>
  <c r="N2371" i="1"/>
  <c r="L2371" i="1"/>
  <c r="K2371" i="1"/>
  <c r="AB2371" i="1"/>
  <c r="I2371" i="1"/>
  <c r="X2370" i="1"/>
  <c r="Z2370" i="1" s="1"/>
  <c r="W2370" i="1"/>
  <c r="S2370" i="1"/>
  <c r="Q2370" i="1"/>
  <c r="N2370" i="1"/>
  <c r="L2370" i="1"/>
  <c r="K2370" i="1"/>
  <c r="AB2370" i="1"/>
  <c r="I2370" i="1"/>
  <c r="X2369" i="1"/>
  <c r="Z2369" i="1" s="1"/>
  <c r="W2369" i="1"/>
  <c r="S2369" i="1"/>
  <c r="Q2369" i="1"/>
  <c r="N2369" i="1"/>
  <c r="L2369" i="1"/>
  <c r="K2369" i="1"/>
  <c r="AB2369" i="1"/>
  <c r="I2369" i="1"/>
  <c r="X2368" i="1"/>
  <c r="Z2368" i="1" s="1"/>
  <c r="W2368" i="1"/>
  <c r="S2368" i="1"/>
  <c r="Q2368" i="1"/>
  <c r="N2368" i="1"/>
  <c r="L2368" i="1"/>
  <c r="K2368" i="1"/>
  <c r="AB2368" i="1"/>
  <c r="I2368" i="1"/>
  <c r="X2367" i="1"/>
  <c r="Z2367" i="1" s="1"/>
  <c r="W2367" i="1"/>
  <c r="S2367" i="1"/>
  <c r="Q2367" i="1"/>
  <c r="N2367" i="1"/>
  <c r="L2367" i="1"/>
  <c r="K2367" i="1"/>
  <c r="AB2367" i="1"/>
  <c r="I2367" i="1"/>
  <c r="X2366" i="1"/>
  <c r="Z2366" i="1" s="1"/>
  <c r="W2366" i="1"/>
  <c r="S2366" i="1"/>
  <c r="Q2366" i="1"/>
  <c r="N2366" i="1"/>
  <c r="L2366" i="1"/>
  <c r="K2366" i="1"/>
  <c r="AB2366" i="1"/>
  <c r="I2366" i="1"/>
  <c r="X2365" i="1"/>
  <c r="Z2365" i="1" s="1"/>
  <c r="W2365" i="1"/>
  <c r="S2365" i="1"/>
  <c r="Q2365" i="1"/>
  <c r="N2365" i="1"/>
  <c r="L2365" i="1"/>
  <c r="K2365" i="1"/>
  <c r="AB2365" i="1"/>
  <c r="I2365" i="1"/>
  <c r="X2364" i="1"/>
  <c r="Z2364" i="1" s="1"/>
  <c r="W2364" i="1"/>
  <c r="S2364" i="1"/>
  <c r="Q2364" i="1"/>
  <c r="N2364" i="1"/>
  <c r="L2364" i="1"/>
  <c r="K2364" i="1"/>
  <c r="AB2364" i="1"/>
  <c r="I2364" i="1"/>
  <c r="X2363" i="1"/>
  <c r="Z2363" i="1" s="1"/>
  <c r="W2363" i="1"/>
  <c r="S2363" i="1"/>
  <c r="Q2363" i="1"/>
  <c r="N2363" i="1"/>
  <c r="L2363" i="1"/>
  <c r="K2363" i="1"/>
  <c r="AB2363" i="1"/>
  <c r="I2363" i="1"/>
  <c r="X2362" i="1"/>
  <c r="Z2362" i="1" s="1"/>
  <c r="W2362" i="1"/>
  <c r="S2362" i="1"/>
  <c r="Q2362" i="1"/>
  <c r="N2362" i="1"/>
  <c r="L2362" i="1"/>
  <c r="K2362" i="1"/>
  <c r="AB2362" i="1"/>
  <c r="AC2362" i="1" s="1"/>
  <c r="I2362" i="1"/>
  <c r="X2361" i="1"/>
  <c r="Z2361" i="1" s="1"/>
  <c r="W2361" i="1"/>
  <c r="S2361" i="1"/>
  <c r="Q2361" i="1"/>
  <c r="N2361" i="1"/>
  <c r="L2361" i="1"/>
  <c r="K2361" i="1"/>
  <c r="AB2361" i="1"/>
  <c r="I2361" i="1"/>
  <c r="X2360" i="1"/>
  <c r="Z2360" i="1" s="1"/>
  <c r="W2360" i="1"/>
  <c r="S2360" i="1"/>
  <c r="Q2360" i="1"/>
  <c r="N2360" i="1"/>
  <c r="L2360" i="1"/>
  <c r="K2360" i="1"/>
  <c r="AB2360" i="1"/>
  <c r="I2360" i="1"/>
  <c r="X2359" i="1"/>
  <c r="Z2359" i="1" s="1"/>
  <c r="W2359" i="1"/>
  <c r="S2359" i="1"/>
  <c r="Q2359" i="1"/>
  <c r="N2359" i="1"/>
  <c r="L2359" i="1"/>
  <c r="K2359" i="1"/>
  <c r="AB2359" i="1"/>
  <c r="I2359" i="1"/>
  <c r="X2358" i="1"/>
  <c r="Z2358" i="1" s="1"/>
  <c r="W2358" i="1"/>
  <c r="S2358" i="1"/>
  <c r="Q2358" i="1"/>
  <c r="N2358" i="1"/>
  <c r="L2358" i="1"/>
  <c r="K2358" i="1"/>
  <c r="AB2358" i="1"/>
  <c r="I2358" i="1"/>
  <c r="X2357" i="1"/>
  <c r="Z2357" i="1" s="1"/>
  <c r="W2357" i="1"/>
  <c r="S2357" i="1"/>
  <c r="Q2357" i="1"/>
  <c r="N2357" i="1"/>
  <c r="L2357" i="1"/>
  <c r="K2357" i="1"/>
  <c r="AB2357" i="1"/>
  <c r="I2357" i="1"/>
  <c r="X2356" i="1"/>
  <c r="Z2356" i="1" s="1"/>
  <c r="W2356" i="1"/>
  <c r="S2356" i="1"/>
  <c r="Q2356" i="1"/>
  <c r="N2356" i="1"/>
  <c r="L2356" i="1"/>
  <c r="K2356" i="1"/>
  <c r="AB2356" i="1"/>
  <c r="I2356" i="1"/>
  <c r="X2355" i="1"/>
  <c r="Z2355" i="1" s="1"/>
  <c r="W2355" i="1"/>
  <c r="S2355" i="1"/>
  <c r="Q2355" i="1"/>
  <c r="N2355" i="1"/>
  <c r="L2355" i="1"/>
  <c r="K2355" i="1"/>
  <c r="AB2355" i="1"/>
  <c r="I2355" i="1"/>
  <c r="X2354" i="1"/>
  <c r="Z2354" i="1" s="1"/>
  <c r="W2354" i="1"/>
  <c r="S2354" i="1"/>
  <c r="Q2354" i="1"/>
  <c r="N2354" i="1"/>
  <c r="L2354" i="1"/>
  <c r="K2354" i="1"/>
  <c r="AB2354" i="1"/>
  <c r="I2354" i="1"/>
  <c r="X2353" i="1"/>
  <c r="Z2353" i="1" s="1"/>
  <c r="W2353" i="1"/>
  <c r="S2353" i="1"/>
  <c r="Q2353" i="1"/>
  <c r="N2353" i="1"/>
  <c r="L2353" i="1"/>
  <c r="K2353" i="1"/>
  <c r="AB2353" i="1"/>
  <c r="I2353" i="1"/>
  <c r="X2352" i="1"/>
  <c r="Z2352" i="1" s="1"/>
  <c r="W2352" i="1"/>
  <c r="S2352" i="1"/>
  <c r="Q2352" i="1"/>
  <c r="N2352" i="1"/>
  <c r="L2352" i="1"/>
  <c r="K2352" i="1"/>
  <c r="AB2352" i="1"/>
  <c r="I2352" i="1"/>
  <c r="X2351" i="1"/>
  <c r="Z2351" i="1" s="1"/>
  <c r="W2351" i="1"/>
  <c r="S2351" i="1"/>
  <c r="Q2351" i="1"/>
  <c r="N2351" i="1"/>
  <c r="L2351" i="1"/>
  <c r="K2351" i="1"/>
  <c r="AB2351" i="1"/>
  <c r="I2351" i="1"/>
  <c r="X2350" i="1"/>
  <c r="Z2350" i="1" s="1"/>
  <c r="W2350" i="1"/>
  <c r="S2350" i="1"/>
  <c r="Q2350" i="1"/>
  <c r="N2350" i="1"/>
  <c r="L2350" i="1"/>
  <c r="K2350" i="1"/>
  <c r="AB2350" i="1"/>
  <c r="I2350" i="1"/>
  <c r="X2349" i="1"/>
  <c r="Z2349" i="1" s="1"/>
  <c r="W2349" i="1"/>
  <c r="S2349" i="1"/>
  <c r="Q2349" i="1"/>
  <c r="N2349" i="1"/>
  <c r="L2349" i="1"/>
  <c r="K2349" i="1"/>
  <c r="AB2349" i="1"/>
  <c r="I2349" i="1"/>
  <c r="X2348" i="1"/>
  <c r="Z2348" i="1" s="1"/>
  <c r="W2348" i="1"/>
  <c r="S2348" i="1"/>
  <c r="Q2348" i="1"/>
  <c r="N2348" i="1"/>
  <c r="L2348" i="1"/>
  <c r="K2348" i="1"/>
  <c r="AB2348" i="1"/>
  <c r="I2348" i="1"/>
  <c r="X2347" i="1"/>
  <c r="Z2347" i="1" s="1"/>
  <c r="W2347" i="1"/>
  <c r="S2347" i="1"/>
  <c r="Q2347" i="1"/>
  <c r="N2347" i="1"/>
  <c r="L2347" i="1"/>
  <c r="K2347" i="1"/>
  <c r="AB2347" i="1"/>
  <c r="I2347" i="1"/>
  <c r="X2346" i="1"/>
  <c r="Z2346" i="1" s="1"/>
  <c r="W2346" i="1"/>
  <c r="S2346" i="1"/>
  <c r="Q2346" i="1"/>
  <c r="N2346" i="1"/>
  <c r="L2346" i="1"/>
  <c r="K2346" i="1"/>
  <c r="AB2346" i="1"/>
  <c r="I2346" i="1"/>
  <c r="X2345" i="1"/>
  <c r="Z2345" i="1" s="1"/>
  <c r="W2345" i="1"/>
  <c r="S2345" i="1"/>
  <c r="Q2345" i="1"/>
  <c r="N2345" i="1"/>
  <c r="L2345" i="1"/>
  <c r="K2345" i="1"/>
  <c r="AB2345" i="1"/>
  <c r="I2345" i="1"/>
  <c r="X2344" i="1"/>
  <c r="Z2344" i="1" s="1"/>
  <c r="W2344" i="1"/>
  <c r="S2344" i="1"/>
  <c r="Q2344" i="1"/>
  <c r="N2344" i="1"/>
  <c r="L2344" i="1"/>
  <c r="K2344" i="1"/>
  <c r="AB2344" i="1"/>
  <c r="I2344" i="1"/>
  <c r="X2343" i="1"/>
  <c r="Z2343" i="1" s="1"/>
  <c r="W2343" i="1"/>
  <c r="S2343" i="1"/>
  <c r="Q2343" i="1"/>
  <c r="N2343" i="1"/>
  <c r="L2343" i="1"/>
  <c r="K2343" i="1"/>
  <c r="AB2343" i="1"/>
  <c r="I2343" i="1"/>
  <c r="X2342" i="1"/>
  <c r="Z2342" i="1" s="1"/>
  <c r="W2342" i="1"/>
  <c r="S2342" i="1"/>
  <c r="Q2342" i="1"/>
  <c r="N2342" i="1"/>
  <c r="L2342" i="1"/>
  <c r="K2342" i="1"/>
  <c r="AB2342" i="1"/>
  <c r="I2342" i="1"/>
  <c r="X2341" i="1"/>
  <c r="Z2341" i="1" s="1"/>
  <c r="W2341" i="1"/>
  <c r="S2341" i="1"/>
  <c r="Q2341" i="1"/>
  <c r="N2341" i="1"/>
  <c r="L2341" i="1"/>
  <c r="K2341" i="1"/>
  <c r="AB2341" i="1"/>
  <c r="I2341" i="1"/>
  <c r="X2340" i="1"/>
  <c r="Z2340" i="1" s="1"/>
  <c r="W2340" i="1"/>
  <c r="S2340" i="1"/>
  <c r="Q2340" i="1"/>
  <c r="N2340" i="1"/>
  <c r="L2340" i="1"/>
  <c r="K2340" i="1"/>
  <c r="AB2340" i="1"/>
  <c r="I2340" i="1"/>
  <c r="X2339" i="1"/>
  <c r="Z2339" i="1" s="1"/>
  <c r="W2339" i="1"/>
  <c r="S2339" i="1"/>
  <c r="Q2339" i="1"/>
  <c r="N2339" i="1"/>
  <c r="L2339" i="1"/>
  <c r="K2339" i="1"/>
  <c r="AB2339" i="1"/>
  <c r="I2339" i="1"/>
  <c r="X2338" i="1"/>
  <c r="Z2338" i="1" s="1"/>
  <c r="W2338" i="1"/>
  <c r="S2338" i="1"/>
  <c r="Q2338" i="1"/>
  <c r="N2338" i="1"/>
  <c r="L2338" i="1"/>
  <c r="K2338" i="1"/>
  <c r="AB2338" i="1"/>
  <c r="I2338" i="1"/>
  <c r="X2337" i="1"/>
  <c r="Z2337" i="1" s="1"/>
  <c r="W2337" i="1"/>
  <c r="S2337" i="1"/>
  <c r="Q2337" i="1"/>
  <c r="N2337" i="1"/>
  <c r="L2337" i="1"/>
  <c r="K2337" i="1"/>
  <c r="AB2337" i="1"/>
  <c r="I2337" i="1"/>
  <c r="X2336" i="1"/>
  <c r="Z2336" i="1" s="1"/>
  <c r="W2336" i="1"/>
  <c r="S2336" i="1"/>
  <c r="Q2336" i="1"/>
  <c r="N2336" i="1"/>
  <c r="L2336" i="1"/>
  <c r="K2336" i="1"/>
  <c r="AB2336" i="1"/>
  <c r="I2336" i="1"/>
  <c r="X2335" i="1"/>
  <c r="Z2335" i="1" s="1"/>
  <c r="W2335" i="1"/>
  <c r="S2335" i="1"/>
  <c r="Q2335" i="1"/>
  <c r="N2335" i="1"/>
  <c r="L2335" i="1"/>
  <c r="K2335" i="1"/>
  <c r="AB2335" i="1"/>
  <c r="I2335" i="1"/>
  <c r="X2334" i="1"/>
  <c r="Z2334" i="1" s="1"/>
  <c r="W2334" i="1"/>
  <c r="S2334" i="1"/>
  <c r="Q2334" i="1"/>
  <c r="N2334" i="1"/>
  <c r="L2334" i="1"/>
  <c r="K2334" i="1"/>
  <c r="AB2334" i="1"/>
  <c r="I2334" i="1"/>
  <c r="X2333" i="1"/>
  <c r="Z2333" i="1" s="1"/>
  <c r="W2333" i="1"/>
  <c r="S2333" i="1"/>
  <c r="Q2333" i="1"/>
  <c r="N2333" i="1"/>
  <c r="L2333" i="1"/>
  <c r="K2333" i="1"/>
  <c r="AB2333" i="1"/>
  <c r="I2333" i="1"/>
  <c r="X2332" i="1"/>
  <c r="Z2332" i="1" s="1"/>
  <c r="W2332" i="1"/>
  <c r="S2332" i="1"/>
  <c r="Q2332" i="1"/>
  <c r="N2332" i="1"/>
  <c r="L2332" i="1"/>
  <c r="K2332" i="1"/>
  <c r="AB2332" i="1"/>
  <c r="I2332" i="1"/>
  <c r="X2331" i="1"/>
  <c r="Z2331" i="1" s="1"/>
  <c r="W2331" i="1"/>
  <c r="S2331" i="1"/>
  <c r="Q2331" i="1"/>
  <c r="N2331" i="1"/>
  <c r="L2331" i="1"/>
  <c r="K2331" i="1"/>
  <c r="AB2331" i="1"/>
  <c r="I2331" i="1"/>
  <c r="X2330" i="1"/>
  <c r="Z2330" i="1" s="1"/>
  <c r="W2330" i="1"/>
  <c r="S2330" i="1"/>
  <c r="Q2330" i="1"/>
  <c r="N2330" i="1"/>
  <c r="L2330" i="1"/>
  <c r="K2330" i="1"/>
  <c r="AB2330" i="1"/>
  <c r="I2330" i="1"/>
  <c r="X2329" i="1"/>
  <c r="Z2329" i="1" s="1"/>
  <c r="W2329" i="1"/>
  <c r="S2329" i="1"/>
  <c r="Q2329" i="1"/>
  <c r="N2329" i="1"/>
  <c r="L2329" i="1"/>
  <c r="K2329" i="1"/>
  <c r="AB2329" i="1"/>
  <c r="I2329" i="1"/>
  <c r="X2328" i="1"/>
  <c r="Z2328" i="1" s="1"/>
  <c r="W2328" i="1"/>
  <c r="S2328" i="1"/>
  <c r="Q2328" i="1"/>
  <c r="N2328" i="1"/>
  <c r="L2328" i="1"/>
  <c r="K2328" i="1"/>
  <c r="AB2328" i="1"/>
  <c r="I2328" i="1"/>
  <c r="X2327" i="1"/>
  <c r="Z2327" i="1" s="1"/>
  <c r="W2327" i="1"/>
  <c r="S2327" i="1"/>
  <c r="Q2327" i="1"/>
  <c r="N2327" i="1"/>
  <c r="L2327" i="1"/>
  <c r="K2327" i="1"/>
  <c r="AB2327" i="1"/>
  <c r="I2327" i="1"/>
  <c r="X2326" i="1"/>
  <c r="Z2326" i="1" s="1"/>
  <c r="W2326" i="1"/>
  <c r="S2326" i="1"/>
  <c r="Q2326" i="1"/>
  <c r="N2326" i="1"/>
  <c r="L2326" i="1"/>
  <c r="K2326" i="1"/>
  <c r="AB2326" i="1"/>
  <c r="I2326" i="1"/>
  <c r="X2325" i="1"/>
  <c r="Z2325" i="1" s="1"/>
  <c r="W2325" i="1"/>
  <c r="S2325" i="1"/>
  <c r="Q2325" i="1"/>
  <c r="N2325" i="1"/>
  <c r="L2325" i="1"/>
  <c r="K2325" i="1"/>
  <c r="AB2325" i="1"/>
  <c r="I2325" i="1"/>
  <c r="X2324" i="1"/>
  <c r="Z2324" i="1" s="1"/>
  <c r="W2324" i="1"/>
  <c r="S2324" i="1"/>
  <c r="Q2324" i="1"/>
  <c r="N2324" i="1"/>
  <c r="L2324" i="1"/>
  <c r="K2324" i="1"/>
  <c r="AB2324" i="1"/>
  <c r="I2324" i="1"/>
  <c r="X2323" i="1"/>
  <c r="Z2323" i="1" s="1"/>
  <c r="W2323" i="1"/>
  <c r="S2323" i="1"/>
  <c r="Q2323" i="1"/>
  <c r="N2323" i="1"/>
  <c r="L2323" i="1"/>
  <c r="K2323" i="1"/>
  <c r="AB2323" i="1"/>
  <c r="I2323" i="1"/>
  <c r="X2322" i="1"/>
  <c r="Z2322" i="1" s="1"/>
  <c r="W2322" i="1"/>
  <c r="S2322" i="1"/>
  <c r="Q2322" i="1"/>
  <c r="N2322" i="1"/>
  <c r="L2322" i="1"/>
  <c r="K2322" i="1"/>
  <c r="AB2322" i="1"/>
  <c r="I2322" i="1"/>
  <c r="X2321" i="1"/>
  <c r="Z2321" i="1" s="1"/>
  <c r="W2321" i="1"/>
  <c r="S2321" i="1"/>
  <c r="Q2321" i="1"/>
  <c r="N2321" i="1"/>
  <c r="L2321" i="1"/>
  <c r="K2321" i="1"/>
  <c r="AB2321" i="1"/>
  <c r="I2321" i="1"/>
  <c r="X2320" i="1"/>
  <c r="Z2320" i="1" s="1"/>
  <c r="W2320" i="1"/>
  <c r="S2320" i="1"/>
  <c r="Q2320" i="1"/>
  <c r="N2320" i="1"/>
  <c r="L2320" i="1"/>
  <c r="K2320" i="1"/>
  <c r="AB2320" i="1"/>
  <c r="I2320" i="1"/>
  <c r="X2319" i="1"/>
  <c r="Z2319" i="1" s="1"/>
  <c r="W2319" i="1"/>
  <c r="S2319" i="1"/>
  <c r="Q2319" i="1"/>
  <c r="N2319" i="1"/>
  <c r="L2319" i="1"/>
  <c r="K2319" i="1"/>
  <c r="AB2319" i="1"/>
  <c r="I2319" i="1"/>
  <c r="X2318" i="1"/>
  <c r="Z2318" i="1" s="1"/>
  <c r="W2318" i="1"/>
  <c r="S2318" i="1"/>
  <c r="Q2318" i="1"/>
  <c r="N2318" i="1"/>
  <c r="L2318" i="1"/>
  <c r="K2318" i="1"/>
  <c r="AB2318" i="1"/>
  <c r="I2318" i="1"/>
  <c r="X2317" i="1"/>
  <c r="Z2317" i="1" s="1"/>
  <c r="W2317" i="1"/>
  <c r="S2317" i="1"/>
  <c r="Q2317" i="1"/>
  <c r="N2317" i="1"/>
  <c r="L2317" i="1"/>
  <c r="K2317" i="1"/>
  <c r="AB2317" i="1"/>
  <c r="I2317" i="1"/>
  <c r="X2316" i="1"/>
  <c r="Z2316" i="1" s="1"/>
  <c r="W2316" i="1"/>
  <c r="S2316" i="1"/>
  <c r="Q2316" i="1"/>
  <c r="N2316" i="1"/>
  <c r="L2316" i="1"/>
  <c r="K2316" i="1"/>
  <c r="AB2316" i="1"/>
  <c r="I2316" i="1"/>
  <c r="X2315" i="1"/>
  <c r="Z2315" i="1" s="1"/>
  <c r="W2315" i="1"/>
  <c r="S2315" i="1"/>
  <c r="Q2315" i="1"/>
  <c r="N2315" i="1"/>
  <c r="L2315" i="1"/>
  <c r="K2315" i="1"/>
  <c r="AB2315" i="1"/>
  <c r="I2315" i="1"/>
  <c r="X2314" i="1"/>
  <c r="Z2314" i="1" s="1"/>
  <c r="W2314" i="1"/>
  <c r="S2314" i="1"/>
  <c r="Q2314" i="1"/>
  <c r="N2314" i="1"/>
  <c r="L2314" i="1"/>
  <c r="K2314" i="1"/>
  <c r="AB2314" i="1"/>
  <c r="I2314" i="1"/>
  <c r="X2313" i="1"/>
  <c r="Z2313" i="1" s="1"/>
  <c r="W2313" i="1"/>
  <c r="S2313" i="1"/>
  <c r="Q2313" i="1"/>
  <c r="N2313" i="1"/>
  <c r="L2313" i="1"/>
  <c r="K2313" i="1"/>
  <c r="AB2313" i="1"/>
  <c r="I2313" i="1"/>
  <c r="X2312" i="1"/>
  <c r="Z2312" i="1" s="1"/>
  <c r="W2312" i="1"/>
  <c r="S2312" i="1"/>
  <c r="Q2312" i="1"/>
  <c r="N2312" i="1"/>
  <c r="L2312" i="1"/>
  <c r="K2312" i="1"/>
  <c r="AB2312" i="1"/>
  <c r="I2312" i="1"/>
  <c r="X2311" i="1"/>
  <c r="Z2311" i="1" s="1"/>
  <c r="W2311" i="1"/>
  <c r="S2311" i="1"/>
  <c r="Q2311" i="1"/>
  <c r="N2311" i="1"/>
  <c r="L2311" i="1"/>
  <c r="K2311" i="1"/>
  <c r="AB2311" i="1"/>
  <c r="I2311" i="1"/>
  <c r="X2310" i="1"/>
  <c r="Z2310" i="1" s="1"/>
  <c r="W2310" i="1"/>
  <c r="S2310" i="1"/>
  <c r="Q2310" i="1"/>
  <c r="N2310" i="1"/>
  <c r="L2310" i="1"/>
  <c r="K2310" i="1"/>
  <c r="AB2310" i="1"/>
  <c r="I2310" i="1"/>
  <c r="X2309" i="1"/>
  <c r="Z2309" i="1" s="1"/>
  <c r="W2309" i="1"/>
  <c r="S2309" i="1"/>
  <c r="Q2309" i="1"/>
  <c r="N2309" i="1"/>
  <c r="L2309" i="1"/>
  <c r="K2309" i="1"/>
  <c r="AB2309" i="1"/>
  <c r="I2309" i="1"/>
  <c r="X2308" i="1"/>
  <c r="Z2308" i="1" s="1"/>
  <c r="W2308" i="1"/>
  <c r="S2308" i="1"/>
  <c r="Q2308" i="1"/>
  <c r="N2308" i="1"/>
  <c r="L2308" i="1"/>
  <c r="K2308" i="1"/>
  <c r="AB2308" i="1"/>
  <c r="I2308" i="1"/>
  <c r="X2307" i="1"/>
  <c r="Z2307" i="1" s="1"/>
  <c r="W2307" i="1"/>
  <c r="S2307" i="1"/>
  <c r="Q2307" i="1"/>
  <c r="N2307" i="1"/>
  <c r="L2307" i="1"/>
  <c r="K2307" i="1"/>
  <c r="AB2307" i="1"/>
  <c r="I2307" i="1"/>
  <c r="X2306" i="1"/>
  <c r="Z2306" i="1" s="1"/>
  <c r="W2306" i="1"/>
  <c r="S2306" i="1"/>
  <c r="Q2306" i="1"/>
  <c r="N2306" i="1"/>
  <c r="L2306" i="1"/>
  <c r="K2306" i="1"/>
  <c r="AB2306" i="1"/>
  <c r="I2306" i="1"/>
  <c r="X2305" i="1"/>
  <c r="Z2305" i="1" s="1"/>
  <c r="W2305" i="1"/>
  <c r="S2305" i="1"/>
  <c r="Q2305" i="1"/>
  <c r="N2305" i="1"/>
  <c r="L2305" i="1"/>
  <c r="K2305" i="1"/>
  <c r="AB2305" i="1"/>
  <c r="I2305" i="1"/>
  <c r="X2304" i="1"/>
  <c r="Z2304" i="1" s="1"/>
  <c r="W2304" i="1"/>
  <c r="S2304" i="1"/>
  <c r="Q2304" i="1"/>
  <c r="N2304" i="1"/>
  <c r="L2304" i="1"/>
  <c r="K2304" i="1"/>
  <c r="AB2304" i="1"/>
  <c r="I2304" i="1"/>
  <c r="X2303" i="1"/>
  <c r="Z2303" i="1" s="1"/>
  <c r="W2303" i="1"/>
  <c r="S2303" i="1"/>
  <c r="Q2303" i="1"/>
  <c r="N2303" i="1"/>
  <c r="L2303" i="1"/>
  <c r="K2303" i="1"/>
  <c r="AB2303" i="1"/>
  <c r="I2303" i="1"/>
  <c r="X2302" i="1"/>
  <c r="Z2302" i="1" s="1"/>
  <c r="W2302" i="1"/>
  <c r="S2302" i="1"/>
  <c r="Q2302" i="1"/>
  <c r="N2302" i="1"/>
  <c r="L2302" i="1"/>
  <c r="K2302" i="1"/>
  <c r="AB2302" i="1"/>
  <c r="I2302" i="1"/>
  <c r="X2301" i="1"/>
  <c r="Z2301" i="1" s="1"/>
  <c r="W2301" i="1"/>
  <c r="S2301" i="1"/>
  <c r="Q2301" i="1"/>
  <c r="N2301" i="1"/>
  <c r="L2301" i="1"/>
  <c r="K2301" i="1"/>
  <c r="AB2301" i="1"/>
  <c r="I2301" i="1"/>
  <c r="X2300" i="1"/>
  <c r="Z2300" i="1" s="1"/>
  <c r="W2300" i="1"/>
  <c r="S2300" i="1"/>
  <c r="Q2300" i="1"/>
  <c r="N2300" i="1"/>
  <c r="L2300" i="1"/>
  <c r="K2300" i="1"/>
  <c r="AB2300" i="1"/>
  <c r="I2300" i="1"/>
  <c r="X2299" i="1"/>
  <c r="Z2299" i="1" s="1"/>
  <c r="W2299" i="1"/>
  <c r="S2299" i="1"/>
  <c r="Q2299" i="1"/>
  <c r="N2299" i="1"/>
  <c r="L2299" i="1"/>
  <c r="K2299" i="1"/>
  <c r="AB2299" i="1"/>
  <c r="I2299" i="1"/>
  <c r="X2298" i="1"/>
  <c r="Z2298" i="1" s="1"/>
  <c r="W2298" i="1"/>
  <c r="S2298" i="1"/>
  <c r="Q2298" i="1"/>
  <c r="N2298" i="1"/>
  <c r="L2298" i="1"/>
  <c r="K2298" i="1"/>
  <c r="AB2298" i="1"/>
  <c r="I2298" i="1"/>
  <c r="X2297" i="1"/>
  <c r="Z2297" i="1" s="1"/>
  <c r="W2297" i="1"/>
  <c r="S2297" i="1"/>
  <c r="Q2297" i="1"/>
  <c r="N2297" i="1"/>
  <c r="L2297" i="1"/>
  <c r="K2297" i="1"/>
  <c r="AB2297" i="1"/>
  <c r="I2297" i="1"/>
  <c r="X2296" i="1"/>
  <c r="Z2296" i="1" s="1"/>
  <c r="W2296" i="1"/>
  <c r="S2296" i="1"/>
  <c r="Q2296" i="1"/>
  <c r="N2296" i="1"/>
  <c r="L2296" i="1"/>
  <c r="K2296" i="1"/>
  <c r="AB2296" i="1"/>
  <c r="I2296" i="1"/>
  <c r="X2295" i="1"/>
  <c r="Z2295" i="1" s="1"/>
  <c r="W2295" i="1"/>
  <c r="S2295" i="1"/>
  <c r="Q2295" i="1"/>
  <c r="N2295" i="1"/>
  <c r="L2295" i="1"/>
  <c r="K2295" i="1"/>
  <c r="AB2295" i="1"/>
  <c r="I2295" i="1"/>
  <c r="X2294" i="1"/>
  <c r="Z2294" i="1" s="1"/>
  <c r="W2294" i="1"/>
  <c r="S2294" i="1"/>
  <c r="Q2294" i="1"/>
  <c r="N2294" i="1"/>
  <c r="L2294" i="1"/>
  <c r="K2294" i="1"/>
  <c r="AB2294" i="1"/>
  <c r="I2294" i="1"/>
  <c r="X2293" i="1"/>
  <c r="Z2293" i="1" s="1"/>
  <c r="W2293" i="1"/>
  <c r="S2293" i="1"/>
  <c r="Q2293" i="1"/>
  <c r="N2293" i="1"/>
  <c r="L2293" i="1"/>
  <c r="K2293" i="1"/>
  <c r="AB2293" i="1"/>
  <c r="I2293" i="1"/>
  <c r="X2292" i="1"/>
  <c r="Z2292" i="1" s="1"/>
  <c r="W2292" i="1"/>
  <c r="S2292" i="1"/>
  <c r="Q2292" i="1"/>
  <c r="N2292" i="1"/>
  <c r="L2292" i="1"/>
  <c r="K2292" i="1"/>
  <c r="AB2292" i="1"/>
  <c r="I2292" i="1"/>
  <c r="X2291" i="1"/>
  <c r="Z2291" i="1" s="1"/>
  <c r="W2291" i="1"/>
  <c r="S2291" i="1"/>
  <c r="Q2291" i="1"/>
  <c r="N2291" i="1"/>
  <c r="L2291" i="1"/>
  <c r="K2291" i="1"/>
  <c r="AB2291" i="1"/>
  <c r="I2291" i="1"/>
  <c r="X2290" i="1"/>
  <c r="Z2290" i="1" s="1"/>
  <c r="W2290" i="1"/>
  <c r="S2290" i="1"/>
  <c r="Q2290" i="1"/>
  <c r="N2290" i="1"/>
  <c r="L2290" i="1"/>
  <c r="K2290" i="1"/>
  <c r="AB2290" i="1"/>
  <c r="I2290" i="1"/>
  <c r="X2289" i="1"/>
  <c r="Z2289" i="1" s="1"/>
  <c r="W2289" i="1"/>
  <c r="S2289" i="1"/>
  <c r="Q2289" i="1"/>
  <c r="N2289" i="1"/>
  <c r="L2289" i="1"/>
  <c r="K2289" i="1"/>
  <c r="AB2289" i="1"/>
  <c r="I2289" i="1"/>
  <c r="X2288" i="1"/>
  <c r="Z2288" i="1" s="1"/>
  <c r="W2288" i="1"/>
  <c r="S2288" i="1"/>
  <c r="Q2288" i="1"/>
  <c r="N2288" i="1"/>
  <c r="L2288" i="1"/>
  <c r="K2288" i="1"/>
  <c r="AB2288" i="1"/>
  <c r="I2288" i="1"/>
  <c r="X2287" i="1"/>
  <c r="Z2287" i="1" s="1"/>
  <c r="W2287" i="1"/>
  <c r="S2287" i="1"/>
  <c r="Q2287" i="1"/>
  <c r="N2287" i="1"/>
  <c r="L2287" i="1"/>
  <c r="K2287" i="1"/>
  <c r="AB2287" i="1"/>
  <c r="I2287" i="1"/>
  <c r="X2286" i="1"/>
  <c r="Z2286" i="1" s="1"/>
  <c r="W2286" i="1"/>
  <c r="S2286" i="1"/>
  <c r="Q2286" i="1"/>
  <c r="N2286" i="1"/>
  <c r="L2286" i="1"/>
  <c r="K2286" i="1"/>
  <c r="AB2286" i="1"/>
  <c r="I2286" i="1"/>
  <c r="X2285" i="1"/>
  <c r="Z2285" i="1" s="1"/>
  <c r="W2285" i="1"/>
  <c r="S2285" i="1"/>
  <c r="Q2285" i="1"/>
  <c r="N2285" i="1"/>
  <c r="L2285" i="1"/>
  <c r="K2285" i="1"/>
  <c r="AB2285" i="1"/>
  <c r="I2285" i="1"/>
  <c r="X2284" i="1"/>
  <c r="Z2284" i="1" s="1"/>
  <c r="W2284" i="1"/>
  <c r="S2284" i="1"/>
  <c r="Q2284" i="1"/>
  <c r="N2284" i="1"/>
  <c r="L2284" i="1"/>
  <c r="K2284" i="1"/>
  <c r="AB2284" i="1"/>
  <c r="I2284" i="1"/>
  <c r="X2283" i="1"/>
  <c r="Z2283" i="1" s="1"/>
  <c r="W2283" i="1"/>
  <c r="S2283" i="1"/>
  <c r="Q2283" i="1"/>
  <c r="N2283" i="1"/>
  <c r="L2283" i="1"/>
  <c r="K2283" i="1"/>
  <c r="AB2283" i="1"/>
  <c r="I2283" i="1"/>
  <c r="X2282" i="1"/>
  <c r="Z2282" i="1" s="1"/>
  <c r="W2282" i="1"/>
  <c r="S2282" i="1"/>
  <c r="Q2282" i="1"/>
  <c r="N2282" i="1"/>
  <c r="L2282" i="1"/>
  <c r="K2282" i="1"/>
  <c r="AB2282" i="1"/>
  <c r="I2282" i="1"/>
  <c r="X2281" i="1"/>
  <c r="Z2281" i="1" s="1"/>
  <c r="W2281" i="1"/>
  <c r="S2281" i="1"/>
  <c r="Q2281" i="1"/>
  <c r="N2281" i="1"/>
  <c r="L2281" i="1"/>
  <c r="K2281" i="1"/>
  <c r="AB2281" i="1"/>
  <c r="I2281" i="1"/>
  <c r="X2280" i="1"/>
  <c r="Z2280" i="1" s="1"/>
  <c r="W2280" i="1"/>
  <c r="S2280" i="1"/>
  <c r="Q2280" i="1"/>
  <c r="N2280" i="1"/>
  <c r="L2280" i="1"/>
  <c r="K2280" i="1"/>
  <c r="AB2280" i="1"/>
  <c r="I2280" i="1"/>
  <c r="X2279" i="1"/>
  <c r="Z2279" i="1" s="1"/>
  <c r="W2279" i="1"/>
  <c r="S2279" i="1"/>
  <c r="Q2279" i="1"/>
  <c r="N2279" i="1"/>
  <c r="L2279" i="1"/>
  <c r="K2279" i="1"/>
  <c r="AB2279" i="1"/>
  <c r="I2279" i="1"/>
  <c r="X2278" i="1"/>
  <c r="Z2278" i="1" s="1"/>
  <c r="W2278" i="1"/>
  <c r="S2278" i="1"/>
  <c r="Q2278" i="1"/>
  <c r="N2278" i="1"/>
  <c r="L2278" i="1"/>
  <c r="K2278" i="1"/>
  <c r="AB2278" i="1"/>
  <c r="I2278" i="1"/>
  <c r="X2277" i="1"/>
  <c r="Z2277" i="1" s="1"/>
  <c r="W2277" i="1"/>
  <c r="S2277" i="1"/>
  <c r="Q2277" i="1"/>
  <c r="N2277" i="1"/>
  <c r="L2277" i="1"/>
  <c r="K2277" i="1"/>
  <c r="AB2277" i="1"/>
  <c r="I2277" i="1"/>
  <c r="X2276" i="1"/>
  <c r="Z2276" i="1" s="1"/>
  <c r="W2276" i="1"/>
  <c r="S2276" i="1"/>
  <c r="Q2276" i="1"/>
  <c r="N2276" i="1"/>
  <c r="L2276" i="1"/>
  <c r="K2276" i="1"/>
  <c r="AB2276" i="1"/>
  <c r="I2276" i="1"/>
  <c r="X2275" i="1"/>
  <c r="Z2275" i="1" s="1"/>
  <c r="W2275" i="1"/>
  <c r="S2275" i="1"/>
  <c r="Q2275" i="1"/>
  <c r="N2275" i="1"/>
  <c r="L2275" i="1"/>
  <c r="K2275" i="1"/>
  <c r="AB2275" i="1"/>
  <c r="I2275" i="1"/>
  <c r="X2274" i="1"/>
  <c r="Z2274" i="1" s="1"/>
  <c r="W2274" i="1"/>
  <c r="S2274" i="1"/>
  <c r="Q2274" i="1"/>
  <c r="N2274" i="1"/>
  <c r="L2274" i="1"/>
  <c r="K2274" i="1"/>
  <c r="AB2274" i="1"/>
  <c r="I2274" i="1"/>
  <c r="X2273" i="1"/>
  <c r="Z2273" i="1" s="1"/>
  <c r="W2273" i="1"/>
  <c r="S2273" i="1"/>
  <c r="Q2273" i="1"/>
  <c r="N2273" i="1"/>
  <c r="L2273" i="1"/>
  <c r="K2273" i="1"/>
  <c r="AB2273" i="1"/>
  <c r="I2273" i="1"/>
  <c r="X2272" i="1"/>
  <c r="Z2272" i="1" s="1"/>
  <c r="W2272" i="1"/>
  <c r="S2272" i="1"/>
  <c r="Q2272" i="1"/>
  <c r="N2272" i="1"/>
  <c r="L2272" i="1"/>
  <c r="K2272" i="1"/>
  <c r="AB2272" i="1"/>
  <c r="I2272" i="1"/>
  <c r="X2271" i="1"/>
  <c r="Z2271" i="1" s="1"/>
  <c r="W2271" i="1"/>
  <c r="S2271" i="1"/>
  <c r="Q2271" i="1"/>
  <c r="N2271" i="1"/>
  <c r="L2271" i="1"/>
  <c r="K2271" i="1"/>
  <c r="AB2271" i="1"/>
  <c r="I2271" i="1"/>
  <c r="X2270" i="1"/>
  <c r="Z2270" i="1" s="1"/>
  <c r="W2270" i="1"/>
  <c r="S2270" i="1"/>
  <c r="Q2270" i="1"/>
  <c r="N2270" i="1"/>
  <c r="L2270" i="1"/>
  <c r="K2270" i="1"/>
  <c r="AB2270" i="1"/>
  <c r="I2270" i="1"/>
  <c r="X2269" i="1"/>
  <c r="Z2269" i="1" s="1"/>
  <c r="W2269" i="1"/>
  <c r="S2269" i="1"/>
  <c r="Q2269" i="1"/>
  <c r="N2269" i="1"/>
  <c r="L2269" i="1"/>
  <c r="K2269" i="1"/>
  <c r="AB2269" i="1"/>
  <c r="I2269" i="1"/>
  <c r="X2268" i="1"/>
  <c r="Z2268" i="1" s="1"/>
  <c r="W2268" i="1"/>
  <c r="S2268" i="1"/>
  <c r="Q2268" i="1"/>
  <c r="N2268" i="1"/>
  <c r="L2268" i="1"/>
  <c r="K2268" i="1"/>
  <c r="AB2268" i="1"/>
  <c r="I2268" i="1"/>
  <c r="X2267" i="1"/>
  <c r="Z2267" i="1" s="1"/>
  <c r="W2267" i="1"/>
  <c r="S2267" i="1"/>
  <c r="Q2267" i="1"/>
  <c r="N2267" i="1"/>
  <c r="L2267" i="1"/>
  <c r="K2267" i="1"/>
  <c r="AB2267" i="1"/>
  <c r="I2267" i="1"/>
  <c r="X2266" i="1"/>
  <c r="Z2266" i="1" s="1"/>
  <c r="W2266" i="1"/>
  <c r="S2266" i="1"/>
  <c r="Q2266" i="1"/>
  <c r="N2266" i="1"/>
  <c r="L2266" i="1"/>
  <c r="K2266" i="1"/>
  <c r="AB2266" i="1"/>
  <c r="I2266" i="1"/>
  <c r="X2265" i="1"/>
  <c r="Z2265" i="1" s="1"/>
  <c r="W2265" i="1"/>
  <c r="S2265" i="1"/>
  <c r="Q2265" i="1"/>
  <c r="N2265" i="1"/>
  <c r="L2265" i="1"/>
  <c r="K2265" i="1"/>
  <c r="AB2265" i="1"/>
  <c r="I2265" i="1"/>
  <c r="X2264" i="1"/>
  <c r="Z2264" i="1" s="1"/>
  <c r="W2264" i="1"/>
  <c r="S2264" i="1"/>
  <c r="Q2264" i="1"/>
  <c r="N2264" i="1"/>
  <c r="L2264" i="1"/>
  <c r="K2264" i="1"/>
  <c r="AB2264" i="1"/>
  <c r="I2264" i="1"/>
  <c r="X2263" i="1"/>
  <c r="Z2263" i="1" s="1"/>
  <c r="W2263" i="1"/>
  <c r="S2263" i="1"/>
  <c r="Q2263" i="1"/>
  <c r="N2263" i="1"/>
  <c r="L2263" i="1"/>
  <c r="K2263" i="1"/>
  <c r="AB2263" i="1"/>
  <c r="I2263" i="1"/>
  <c r="X2262" i="1"/>
  <c r="Z2262" i="1" s="1"/>
  <c r="W2262" i="1"/>
  <c r="S2262" i="1"/>
  <c r="Q2262" i="1"/>
  <c r="N2262" i="1"/>
  <c r="L2262" i="1"/>
  <c r="K2262" i="1"/>
  <c r="AB2262" i="1"/>
  <c r="I2262" i="1"/>
  <c r="X2261" i="1"/>
  <c r="Z2261" i="1" s="1"/>
  <c r="W2261" i="1"/>
  <c r="S2261" i="1"/>
  <c r="Q2261" i="1"/>
  <c r="N2261" i="1"/>
  <c r="L2261" i="1"/>
  <c r="K2261" i="1"/>
  <c r="AB2261" i="1"/>
  <c r="I2261" i="1"/>
  <c r="X2260" i="1"/>
  <c r="Z2260" i="1" s="1"/>
  <c r="W2260" i="1"/>
  <c r="S2260" i="1"/>
  <c r="Q2260" i="1"/>
  <c r="N2260" i="1"/>
  <c r="L2260" i="1"/>
  <c r="K2260" i="1"/>
  <c r="AB2260" i="1"/>
  <c r="I2260" i="1"/>
  <c r="X2259" i="1"/>
  <c r="Z2259" i="1" s="1"/>
  <c r="W2259" i="1"/>
  <c r="S2259" i="1"/>
  <c r="Q2259" i="1"/>
  <c r="N2259" i="1"/>
  <c r="L2259" i="1"/>
  <c r="K2259" i="1"/>
  <c r="AB2259" i="1"/>
  <c r="I2259" i="1"/>
  <c r="X2258" i="1"/>
  <c r="Z2258" i="1" s="1"/>
  <c r="W2258" i="1"/>
  <c r="S2258" i="1"/>
  <c r="Q2258" i="1"/>
  <c r="N2258" i="1"/>
  <c r="L2258" i="1"/>
  <c r="K2258" i="1"/>
  <c r="AB2258" i="1"/>
  <c r="I2258" i="1"/>
  <c r="X2257" i="1"/>
  <c r="Z2257" i="1" s="1"/>
  <c r="W2257" i="1"/>
  <c r="S2257" i="1"/>
  <c r="Q2257" i="1"/>
  <c r="N2257" i="1"/>
  <c r="L2257" i="1"/>
  <c r="K2257" i="1"/>
  <c r="AB2257" i="1"/>
  <c r="I2257" i="1"/>
  <c r="X2256" i="1"/>
  <c r="Z2256" i="1" s="1"/>
  <c r="W2256" i="1"/>
  <c r="S2256" i="1"/>
  <c r="Q2256" i="1"/>
  <c r="N2256" i="1"/>
  <c r="L2256" i="1"/>
  <c r="K2256" i="1"/>
  <c r="AB2256" i="1"/>
  <c r="I2256" i="1"/>
  <c r="X2255" i="1"/>
  <c r="Z2255" i="1" s="1"/>
  <c r="W2255" i="1"/>
  <c r="S2255" i="1"/>
  <c r="Q2255" i="1"/>
  <c r="N2255" i="1"/>
  <c r="L2255" i="1"/>
  <c r="K2255" i="1"/>
  <c r="AB2255" i="1"/>
  <c r="I2255" i="1"/>
  <c r="X2254" i="1"/>
  <c r="Z2254" i="1" s="1"/>
  <c r="W2254" i="1"/>
  <c r="S2254" i="1"/>
  <c r="Q2254" i="1"/>
  <c r="N2254" i="1"/>
  <c r="L2254" i="1"/>
  <c r="K2254" i="1"/>
  <c r="AB2254" i="1"/>
  <c r="I2254" i="1"/>
  <c r="X2253" i="1"/>
  <c r="Z2253" i="1" s="1"/>
  <c r="W2253" i="1"/>
  <c r="S2253" i="1"/>
  <c r="Q2253" i="1"/>
  <c r="N2253" i="1"/>
  <c r="L2253" i="1"/>
  <c r="K2253" i="1"/>
  <c r="AB2253" i="1"/>
  <c r="I2253" i="1"/>
  <c r="X2252" i="1"/>
  <c r="Z2252" i="1" s="1"/>
  <c r="W2252" i="1"/>
  <c r="S2252" i="1"/>
  <c r="Q2252" i="1"/>
  <c r="N2252" i="1"/>
  <c r="L2252" i="1"/>
  <c r="K2252" i="1"/>
  <c r="AB2252" i="1"/>
  <c r="I2252" i="1"/>
  <c r="X2251" i="1"/>
  <c r="Z2251" i="1" s="1"/>
  <c r="W2251" i="1"/>
  <c r="S2251" i="1"/>
  <c r="Q2251" i="1"/>
  <c r="N2251" i="1"/>
  <c r="L2251" i="1"/>
  <c r="K2251" i="1"/>
  <c r="AB2251" i="1"/>
  <c r="I2251" i="1"/>
  <c r="X2250" i="1"/>
  <c r="Z2250" i="1" s="1"/>
  <c r="W2250" i="1"/>
  <c r="S2250" i="1"/>
  <c r="Q2250" i="1"/>
  <c r="N2250" i="1"/>
  <c r="L2250" i="1"/>
  <c r="K2250" i="1"/>
  <c r="AB2250" i="1"/>
  <c r="I2250" i="1"/>
  <c r="X2249" i="1"/>
  <c r="Z2249" i="1" s="1"/>
  <c r="W2249" i="1"/>
  <c r="S2249" i="1"/>
  <c r="Q2249" i="1"/>
  <c r="N2249" i="1"/>
  <c r="L2249" i="1"/>
  <c r="K2249" i="1"/>
  <c r="AB2249" i="1"/>
  <c r="I2249" i="1"/>
  <c r="X2248" i="1"/>
  <c r="Z2248" i="1" s="1"/>
  <c r="W2248" i="1"/>
  <c r="S2248" i="1"/>
  <c r="Q2248" i="1"/>
  <c r="N2248" i="1"/>
  <c r="L2248" i="1"/>
  <c r="K2248" i="1"/>
  <c r="AB2248" i="1"/>
  <c r="I2248" i="1"/>
  <c r="X2247" i="1"/>
  <c r="Z2247" i="1" s="1"/>
  <c r="W2247" i="1"/>
  <c r="S2247" i="1"/>
  <c r="Q2247" i="1"/>
  <c r="N2247" i="1"/>
  <c r="L2247" i="1"/>
  <c r="K2247" i="1"/>
  <c r="AB2247" i="1"/>
  <c r="I2247" i="1"/>
  <c r="X2246" i="1"/>
  <c r="Z2246" i="1" s="1"/>
  <c r="W2246" i="1"/>
  <c r="S2246" i="1"/>
  <c r="Q2246" i="1"/>
  <c r="N2246" i="1"/>
  <c r="L2246" i="1"/>
  <c r="K2246" i="1"/>
  <c r="AB2246" i="1"/>
  <c r="I2246" i="1"/>
  <c r="X2245" i="1"/>
  <c r="Z2245" i="1" s="1"/>
  <c r="W2245" i="1"/>
  <c r="S2245" i="1"/>
  <c r="Q2245" i="1"/>
  <c r="N2245" i="1"/>
  <c r="L2245" i="1"/>
  <c r="K2245" i="1"/>
  <c r="AB2245" i="1"/>
  <c r="I2245" i="1"/>
  <c r="X2244" i="1"/>
  <c r="Z2244" i="1" s="1"/>
  <c r="W2244" i="1"/>
  <c r="S2244" i="1"/>
  <c r="Q2244" i="1"/>
  <c r="N2244" i="1"/>
  <c r="L2244" i="1"/>
  <c r="K2244" i="1"/>
  <c r="AB2244" i="1"/>
  <c r="I2244" i="1"/>
  <c r="X2243" i="1"/>
  <c r="Z2243" i="1" s="1"/>
  <c r="W2243" i="1"/>
  <c r="S2243" i="1"/>
  <c r="Q2243" i="1"/>
  <c r="N2243" i="1"/>
  <c r="L2243" i="1"/>
  <c r="K2243" i="1"/>
  <c r="AB2243" i="1"/>
  <c r="I2243" i="1"/>
  <c r="X2242" i="1"/>
  <c r="Z2242" i="1" s="1"/>
  <c r="W2242" i="1"/>
  <c r="S2242" i="1"/>
  <c r="Q2242" i="1"/>
  <c r="N2242" i="1"/>
  <c r="L2242" i="1"/>
  <c r="K2242" i="1"/>
  <c r="AB2242" i="1"/>
  <c r="I2242" i="1"/>
  <c r="X2241" i="1"/>
  <c r="Z2241" i="1" s="1"/>
  <c r="W2241" i="1"/>
  <c r="S2241" i="1"/>
  <c r="Q2241" i="1"/>
  <c r="N2241" i="1"/>
  <c r="L2241" i="1"/>
  <c r="K2241" i="1"/>
  <c r="AB2241" i="1"/>
  <c r="I2241" i="1"/>
  <c r="X2240" i="1"/>
  <c r="Z2240" i="1" s="1"/>
  <c r="W2240" i="1"/>
  <c r="S2240" i="1"/>
  <c r="Q2240" i="1"/>
  <c r="N2240" i="1"/>
  <c r="L2240" i="1"/>
  <c r="K2240" i="1"/>
  <c r="AB2240" i="1"/>
  <c r="I2240" i="1"/>
  <c r="X2239" i="1"/>
  <c r="Z2239" i="1" s="1"/>
  <c r="W2239" i="1"/>
  <c r="S2239" i="1"/>
  <c r="Q2239" i="1"/>
  <c r="N2239" i="1"/>
  <c r="L2239" i="1"/>
  <c r="K2239" i="1"/>
  <c r="AB2239" i="1"/>
  <c r="I2239" i="1"/>
  <c r="X2238" i="1"/>
  <c r="Z2238" i="1" s="1"/>
  <c r="W2238" i="1"/>
  <c r="S2238" i="1"/>
  <c r="Q2238" i="1"/>
  <c r="N2238" i="1"/>
  <c r="L2238" i="1"/>
  <c r="K2238" i="1"/>
  <c r="AB2238" i="1"/>
  <c r="I2238" i="1"/>
  <c r="X2237" i="1"/>
  <c r="Z2237" i="1" s="1"/>
  <c r="W2237" i="1"/>
  <c r="S2237" i="1"/>
  <c r="Q2237" i="1"/>
  <c r="N2237" i="1"/>
  <c r="L2237" i="1"/>
  <c r="K2237" i="1"/>
  <c r="AB2237" i="1"/>
  <c r="I2237" i="1"/>
  <c r="X2236" i="1"/>
  <c r="Z2236" i="1" s="1"/>
  <c r="W2236" i="1"/>
  <c r="S2236" i="1"/>
  <c r="Q2236" i="1"/>
  <c r="N2236" i="1"/>
  <c r="L2236" i="1"/>
  <c r="K2236" i="1"/>
  <c r="AB2236" i="1"/>
  <c r="I2236" i="1"/>
  <c r="X2235" i="1"/>
  <c r="Z2235" i="1" s="1"/>
  <c r="W2235" i="1"/>
  <c r="S2235" i="1"/>
  <c r="Q2235" i="1"/>
  <c r="N2235" i="1"/>
  <c r="L2235" i="1"/>
  <c r="K2235" i="1"/>
  <c r="AB2235" i="1"/>
  <c r="I2235" i="1"/>
  <c r="X2234" i="1"/>
  <c r="Z2234" i="1" s="1"/>
  <c r="W2234" i="1"/>
  <c r="S2234" i="1"/>
  <c r="Q2234" i="1"/>
  <c r="N2234" i="1"/>
  <c r="L2234" i="1"/>
  <c r="K2234" i="1"/>
  <c r="AB2234" i="1"/>
  <c r="I2234" i="1"/>
  <c r="X2233" i="1"/>
  <c r="Z2233" i="1" s="1"/>
  <c r="W2233" i="1"/>
  <c r="S2233" i="1"/>
  <c r="Q2233" i="1"/>
  <c r="N2233" i="1"/>
  <c r="L2233" i="1"/>
  <c r="K2233" i="1"/>
  <c r="AB2233" i="1"/>
  <c r="I2233" i="1"/>
  <c r="X2232" i="1"/>
  <c r="Z2232" i="1" s="1"/>
  <c r="W2232" i="1"/>
  <c r="S2232" i="1"/>
  <c r="Q2232" i="1"/>
  <c r="N2232" i="1"/>
  <c r="L2232" i="1"/>
  <c r="K2232" i="1"/>
  <c r="AB2232" i="1"/>
  <c r="I2232" i="1"/>
  <c r="X2231" i="1"/>
  <c r="Z2231" i="1" s="1"/>
  <c r="W2231" i="1"/>
  <c r="S2231" i="1"/>
  <c r="Q2231" i="1"/>
  <c r="N2231" i="1"/>
  <c r="L2231" i="1"/>
  <c r="K2231" i="1"/>
  <c r="AB2231" i="1"/>
  <c r="I2231" i="1"/>
  <c r="X2230" i="1"/>
  <c r="Z2230" i="1" s="1"/>
  <c r="W2230" i="1"/>
  <c r="S2230" i="1"/>
  <c r="Q2230" i="1"/>
  <c r="N2230" i="1"/>
  <c r="L2230" i="1"/>
  <c r="K2230" i="1"/>
  <c r="AB2230" i="1"/>
  <c r="I2230" i="1"/>
  <c r="X2229" i="1"/>
  <c r="Z2229" i="1" s="1"/>
  <c r="W2229" i="1"/>
  <c r="S2229" i="1"/>
  <c r="Q2229" i="1"/>
  <c r="N2229" i="1"/>
  <c r="L2229" i="1"/>
  <c r="K2229" i="1"/>
  <c r="AB2229" i="1"/>
  <c r="I2229" i="1"/>
  <c r="X2228" i="1"/>
  <c r="Z2228" i="1" s="1"/>
  <c r="W2228" i="1"/>
  <c r="S2228" i="1"/>
  <c r="Q2228" i="1"/>
  <c r="N2228" i="1"/>
  <c r="L2228" i="1"/>
  <c r="K2228" i="1"/>
  <c r="AB2228" i="1"/>
  <c r="I2228" i="1"/>
  <c r="X2227" i="1"/>
  <c r="Z2227" i="1" s="1"/>
  <c r="W2227" i="1"/>
  <c r="S2227" i="1"/>
  <c r="Q2227" i="1"/>
  <c r="N2227" i="1"/>
  <c r="L2227" i="1"/>
  <c r="K2227" i="1"/>
  <c r="AB2227" i="1"/>
  <c r="I2227" i="1"/>
  <c r="X2226" i="1"/>
  <c r="Z2226" i="1" s="1"/>
  <c r="W2226" i="1"/>
  <c r="S2226" i="1"/>
  <c r="Q2226" i="1"/>
  <c r="N2226" i="1"/>
  <c r="L2226" i="1"/>
  <c r="K2226" i="1"/>
  <c r="AB2226" i="1"/>
  <c r="I2226" i="1"/>
  <c r="X2225" i="1"/>
  <c r="Z2225" i="1" s="1"/>
  <c r="W2225" i="1"/>
  <c r="S2225" i="1"/>
  <c r="Q2225" i="1"/>
  <c r="N2225" i="1"/>
  <c r="L2225" i="1"/>
  <c r="K2225" i="1"/>
  <c r="AB2225" i="1"/>
  <c r="I2225" i="1"/>
  <c r="X2224" i="1"/>
  <c r="Z2224" i="1" s="1"/>
  <c r="W2224" i="1"/>
  <c r="S2224" i="1"/>
  <c r="Q2224" i="1"/>
  <c r="N2224" i="1"/>
  <c r="L2224" i="1"/>
  <c r="K2224" i="1"/>
  <c r="AB2224" i="1"/>
  <c r="I2224" i="1"/>
  <c r="X2223" i="1"/>
  <c r="Z2223" i="1" s="1"/>
  <c r="W2223" i="1"/>
  <c r="S2223" i="1"/>
  <c r="Q2223" i="1"/>
  <c r="N2223" i="1"/>
  <c r="L2223" i="1"/>
  <c r="K2223" i="1"/>
  <c r="AB2223" i="1"/>
  <c r="I2223" i="1"/>
  <c r="X2222" i="1"/>
  <c r="Z2222" i="1" s="1"/>
  <c r="W2222" i="1"/>
  <c r="S2222" i="1"/>
  <c r="Q2222" i="1"/>
  <c r="N2222" i="1"/>
  <c r="L2222" i="1"/>
  <c r="K2222" i="1"/>
  <c r="AB2222" i="1"/>
  <c r="I2222" i="1"/>
  <c r="X2221" i="1"/>
  <c r="Z2221" i="1" s="1"/>
  <c r="W2221" i="1"/>
  <c r="S2221" i="1"/>
  <c r="Q2221" i="1"/>
  <c r="N2221" i="1"/>
  <c r="L2221" i="1"/>
  <c r="K2221" i="1"/>
  <c r="AB2221" i="1"/>
  <c r="I2221" i="1"/>
  <c r="X2220" i="1"/>
  <c r="Z2220" i="1" s="1"/>
  <c r="W2220" i="1"/>
  <c r="S2220" i="1"/>
  <c r="Q2220" i="1"/>
  <c r="N2220" i="1"/>
  <c r="L2220" i="1"/>
  <c r="K2220" i="1"/>
  <c r="AB2220" i="1"/>
  <c r="I2220" i="1"/>
  <c r="X2219" i="1"/>
  <c r="Z2219" i="1" s="1"/>
  <c r="W2219" i="1"/>
  <c r="S2219" i="1"/>
  <c r="Q2219" i="1"/>
  <c r="N2219" i="1"/>
  <c r="L2219" i="1"/>
  <c r="K2219" i="1"/>
  <c r="AB2219" i="1"/>
  <c r="I2219" i="1"/>
  <c r="X2218" i="1"/>
  <c r="Z2218" i="1" s="1"/>
  <c r="W2218" i="1"/>
  <c r="S2218" i="1"/>
  <c r="Q2218" i="1"/>
  <c r="N2218" i="1"/>
  <c r="L2218" i="1"/>
  <c r="K2218" i="1"/>
  <c r="AB2218" i="1"/>
  <c r="I2218" i="1"/>
  <c r="X2217" i="1"/>
  <c r="Z2217" i="1" s="1"/>
  <c r="W2217" i="1"/>
  <c r="S2217" i="1"/>
  <c r="Q2217" i="1"/>
  <c r="N2217" i="1"/>
  <c r="L2217" i="1"/>
  <c r="K2217" i="1"/>
  <c r="AB2217" i="1"/>
  <c r="I2217" i="1"/>
  <c r="X2216" i="1"/>
  <c r="Z2216" i="1" s="1"/>
  <c r="W2216" i="1"/>
  <c r="S2216" i="1"/>
  <c r="Q2216" i="1"/>
  <c r="N2216" i="1"/>
  <c r="L2216" i="1"/>
  <c r="K2216" i="1"/>
  <c r="AB2216" i="1"/>
  <c r="I2216" i="1"/>
  <c r="X2215" i="1"/>
  <c r="Z2215" i="1" s="1"/>
  <c r="W2215" i="1"/>
  <c r="S2215" i="1"/>
  <c r="Q2215" i="1"/>
  <c r="N2215" i="1"/>
  <c r="L2215" i="1"/>
  <c r="K2215" i="1"/>
  <c r="AB2215" i="1"/>
  <c r="I2215" i="1"/>
  <c r="X2214" i="1"/>
  <c r="Z2214" i="1" s="1"/>
  <c r="W2214" i="1"/>
  <c r="S2214" i="1"/>
  <c r="Q2214" i="1"/>
  <c r="N2214" i="1"/>
  <c r="L2214" i="1"/>
  <c r="K2214" i="1"/>
  <c r="AB2214" i="1"/>
  <c r="I2214" i="1"/>
  <c r="X2213" i="1"/>
  <c r="Z2213" i="1" s="1"/>
  <c r="W2213" i="1"/>
  <c r="S2213" i="1"/>
  <c r="Q2213" i="1"/>
  <c r="N2213" i="1"/>
  <c r="L2213" i="1"/>
  <c r="K2213" i="1"/>
  <c r="AB2213" i="1"/>
  <c r="I2213" i="1"/>
  <c r="X2212" i="1"/>
  <c r="Z2212" i="1" s="1"/>
  <c r="W2212" i="1"/>
  <c r="S2212" i="1"/>
  <c r="Q2212" i="1"/>
  <c r="N2212" i="1"/>
  <c r="L2212" i="1"/>
  <c r="K2212" i="1"/>
  <c r="AB2212" i="1"/>
  <c r="I2212" i="1"/>
  <c r="X2211" i="1"/>
  <c r="Z2211" i="1" s="1"/>
  <c r="W2211" i="1"/>
  <c r="S2211" i="1"/>
  <c r="Q2211" i="1"/>
  <c r="N2211" i="1"/>
  <c r="L2211" i="1"/>
  <c r="K2211" i="1"/>
  <c r="AB2211" i="1"/>
  <c r="I2211" i="1"/>
  <c r="X2210" i="1"/>
  <c r="Z2210" i="1" s="1"/>
  <c r="W2210" i="1"/>
  <c r="S2210" i="1"/>
  <c r="Q2210" i="1"/>
  <c r="N2210" i="1"/>
  <c r="L2210" i="1"/>
  <c r="K2210" i="1"/>
  <c r="AB2210" i="1"/>
  <c r="I2210" i="1"/>
  <c r="X2209" i="1"/>
  <c r="Z2209" i="1" s="1"/>
  <c r="W2209" i="1"/>
  <c r="S2209" i="1"/>
  <c r="Q2209" i="1"/>
  <c r="N2209" i="1"/>
  <c r="L2209" i="1"/>
  <c r="K2209" i="1"/>
  <c r="AB2209" i="1"/>
  <c r="I2209" i="1"/>
  <c r="X2208" i="1"/>
  <c r="Z2208" i="1" s="1"/>
  <c r="W2208" i="1"/>
  <c r="S2208" i="1"/>
  <c r="Q2208" i="1"/>
  <c r="N2208" i="1"/>
  <c r="L2208" i="1"/>
  <c r="K2208" i="1"/>
  <c r="AB2208" i="1"/>
  <c r="I2208" i="1"/>
  <c r="X2207" i="1"/>
  <c r="Z2207" i="1" s="1"/>
  <c r="W2207" i="1"/>
  <c r="S2207" i="1"/>
  <c r="Q2207" i="1"/>
  <c r="N2207" i="1"/>
  <c r="L2207" i="1"/>
  <c r="K2207" i="1"/>
  <c r="AB2207" i="1"/>
  <c r="I2207" i="1"/>
  <c r="X2206" i="1"/>
  <c r="Z2206" i="1" s="1"/>
  <c r="W2206" i="1"/>
  <c r="S2206" i="1"/>
  <c r="Q2206" i="1"/>
  <c r="N2206" i="1"/>
  <c r="L2206" i="1"/>
  <c r="K2206" i="1"/>
  <c r="AB2206" i="1"/>
  <c r="I2206" i="1"/>
  <c r="X2205" i="1"/>
  <c r="Z2205" i="1" s="1"/>
  <c r="W2205" i="1"/>
  <c r="S2205" i="1"/>
  <c r="Q2205" i="1"/>
  <c r="N2205" i="1"/>
  <c r="L2205" i="1"/>
  <c r="K2205" i="1"/>
  <c r="AB2205" i="1"/>
  <c r="I2205" i="1"/>
  <c r="X2204" i="1"/>
  <c r="Z2204" i="1" s="1"/>
  <c r="W2204" i="1"/>
  <c r="S2204" i="1"/>
  <c r="Q2204" i="1"/>
  <c r="N2204" i="1"/>
  <c r="L2204" i="1"/>
  <c r="K2204" i="1"/>
  <c r="AB2204" i="1"/>
  <c r="I2204" i="1"/>
  <c r="X2203" i="1"/>
  <c r="Z2203" i="1" s="1"/>
  <c r="W2203" i="1"/>
  <c r="S2203" i="1"/>
  <c r="Q2203" i="1"/>
  <c r="N2203" i="1"/>
  <c r="L2203" i="1"/>
  <c r="K2203" i="1"/>
  <c r="AB2203" i="1"/>
  <c r="I2203" i="1"/>
  <c r="X2202" i="1"/>
  <c r="Z2202" i="1" s="1"/>
  <c r="W2202" i="1"/>
  <c r="S2202" i="1"/>
  <c r="Q2202" i="1"/>
  <c r="N2202" i="1"/>
  <c r="L2202" i="1"/>
  <c r="K2202" i="1"/>
  <c r="AB2202" i="1"/>
  <c r="I2202" i="1"/>
  <c r="X2201" i="1"/>
  <c r="Z2201" i="1" s="1"/>
  <c r="W2201" i="1"/>
  <c r="S2201" i="1"/>
  <c r="Q2201" i="1"/>
  <c r="N2201" i="1"/>
  <c r="L2201" i="1"/>
  <c r="K2201" i="1"/>
  <c r="AB2201" i="1"/>
  <c r="I2201" i="1"/>
  <c r="X2200" i="1"/>
  <c r="Z2200" i="1" s="1"/>
  <c r="W2200" i="1"/>
  <c r="S2200" i="1"/>
  <c r="Q2200" i="1"/>
  <c r="N2200" i="1"/>
  <c r="L2200" i="1"/>
  <c r="K2200" i="1"/>
  <c r="AB2200" i="1"/>
  <c r="I2200" i="1"/>
  <c r="X2199" i="1"/>
  <c r="Z2199" i="1" s="1"/>
  <c r="W2199" i="1"/>
  <c r="S2199" i="1"/>
  <c r="Q2199" i="1"/>
  <c r="N2199" i="1"/>
  <c r="L2199" i="1"/>
  <c r="K2199" i="1"/>
  <c r="AB2199" i="1"/>
  <c r="I2199" i="1"/>
  <c r="X2198" i="1"/>
  <c r="Z2198" i="1" s="1"/>
  <c r="W2198" i="1"/>
  <c r="S2198" i="1"/>
  <c r="Q2198" i="1"/>
  <c r="N2198" i="1"/>
  <c r="L2198" i="1"/>
  <c r="K2198" i="1"/>
  <c r="AB2198" i="1"/>
  <c r="I2198" i="1"/>
  <c r="X2197" i="1"/>
  <c r="Z2197" i="1" s="1"/>
  <c r="W2197" i="1"/>
  <c r="S2197" i="1"/>
  <c r="Q2197" i="1"/>
  <c r="N2197" i="1"/>
  <c r="L2197" i="1"/>
  <c r="K2197" i="1"/>
  <c r="AB2197" i="1"/>
  <c r="I2197" i="1"/>
  <c r="X2196" i="1"/>
  <c r="Z2196" i="1" s="1"/>
  <c r="W2196" i="1"/>
  <c r="S2196" i="1"/>
  <c r="Q2196" i="1"/>
  <c r="N2196" i="1"/>
  <c r="L2196" i="1"/>
  <c r="K2196" i="1"/>
  <c r="AB2196" i="1"/>
  <c r="I2196" i="1"/>
  <c r="X2195" i="1"/>
  <c r="Z2195" i="1" s="1"/>
  <c r="W2195" i="1"/>
  <c r="S2195" i="1"/>
  <c r="Q2195" i="1"/>
  <c r="N2195" i="1"/>
  <c r="L2195" i="1"/>
  <c r="K2195" i="1"/>
  <c r="AB2195" i="1"/>
  <c r="I2195" i="1"/>
  <c r="X2194" i="1"/>
  <c r="Z2194" i="1" s="1"/>
  <c r="W2194" i="1"/>
  <c r="S2194" i="1"/>
  <c r="Q2194" i="1"/>
  <c r="N2194" i="1"/>
  <c r="L2194" i="1"/>
  <c r="K2194" i="1"/>
  <c r="AB2194" i="1"/>
  <c r="I2194" i="1"/>
  <c r="X2193" i="1"/>
  <c r="Z2193" i="1" s="1"/>
  <c r="W2193" i="1"/>
  <c r="S2193" i="1"/>
  <c r="Q2193" i="1"/>
  <c r="N2193" i="1"/>
  <c r="L2193" i="1"/>
  <c r="K2193" i="1"/>
  <c r="AB2193" i="1"/>
  <c r="I2193" i="1"/>
  <c r="X2192" i="1"/>
  <c r="Z2192" i="1" s="1"/>
  <c r="W2192" i="1"/>
  <c r="S2192" i="1"/>
  <c r="Q2192" i="1"/>
  <c r="N2192" i="1"/>
  <c r="L2192" i="1"/>
  <c r="K2192" i="1"/>
  <c r="AB2192" i="1"/>
  <c r="I2192" i="1"/>
  <c r="X2191" i="1"/>
  <c r="Z2191" i="1" s="1"/>
  <c r="W2191" i="1"/>
  <c r="S2191" i="1"/>
  <c r="Q2191" i="1"/>
  <c r="N2191" i="1"/>
  <c r="L2191" i="1"/>
  <c r="K2191" i="1"/>
  <c r="AB2191" i="1"/>
  <c r="I2191" i="1"/>
  <c r="X2190" i="1"/>
  <c r="Z2190" i="1" s="1"/>
  <c r="W2190" i="1"/>
  <c r="S2190" i="1"/>
  <c r="Q2190" i="1"/>
  <c r="N2190" i="1"/>
  <c r="L2190" i="1"/>
  <c r="K2190" i="1"/>
  <c r="AB2190" i="1"/>
  <c r="I2190" i="1"/>
  <c r="X2189" i="1"/>
  <c r="Z2189" i="1" s="1"/>
  <c r="W2189" i="1"/>
  <c r="S2189" i="1"/>
  <c r="Q2189" i="1"/>
  <c r="N2189" i="1"/>
  <c r="L2189" i="1"/>
  <c r="K2189" i="1"/>
  <c r="AB2189" i="1"/>
  <c r="I2189" i="1"/>
  <c r="X2188" i="1"/>
  <c r="Z2188" i="1" s="1"/>
  <c r="W2188" i="1"/>
  <c r="S2188" i="1"/>
  <c r="Q2188" i="1"/>
  <c r="N2188" i="1"/>
  <c r="L2188" i="1"/>
  <c r="K2188" i="1"/>
  <c r="AB2188" i="1"/>
  <c r="I2188" i="1"/>
  <c r="X2187" i="1"/>
  <c r="Z2187" i="1" s="1"/>
  <c r="W2187" i="1"/>
  <c r="S2187" i="1"/>
  <c r="Q2187" i="1"/>
  <c r="N2187" i="1"/>
  <c r="L2187" i="1"/>
  <c r="K2187" i="1"/>
  <c r="AB2187" i="1"/>
  <c r="I2187" i="1"/>
  <c r="X2186" i="1"/>
  <c r="Z2186" i="1" s="1"/>
  <c r="W2186" i="1"/>
  <c r="S2186" i="1"/>
  <c r="Q2186" i="1"/>
  <c r="N2186" i="1"/>
  <c r="L2186" i="1"/>
  <c r="K2186" i="1"/>
  <c r="AB2186" i="1"/>
  <c r="I2186" i="1"/>
  <c r="X2185" i="1"/>
  <c r="Z2185" i="1" s="1"/>
  <c r="W2185" i="1"/>
  <c r="S2185" i="1"/>
  <c r="Q2185" i="1"/>
  <c r="N2185" i="1"/>
  <c r="L2185" i="1"/>
  <c r="K2185" i="1"/>
  <c r="AB2185" i="1"/>
  <c r="I2185" i="1"/>
  <c r="X2184" i="1"/>
  <c r="Z2184" i="1" s="1"/>
  <c r="W2184" i="1"/>
  <c r="S2184" i="1"/>
  <c r="Q2184" i="1"/>
  <c r="N2184" i="1"/>
  <c r="L2184" i="1"/>
  <c r="K2184" i="1"/>
  <c r="AB2184" i="1"/>
  <c r="I2184" i="1"/>
  <c r="X2183" i="1"/>
  <c r="Z2183" i="1" s="1"/>
  <c r="W2183" i="1"/>
  <c r="S2183" i="1"/>
  <c r="Q2183" i="1"/>
  <c r="N2183" i="1"/>
  <c r="L2183" i="1"/>
  <c r="K2183" i="1"/>
  <c r="AB2183" i="1"/>
  <c r="I2183" i="1"/>
  <c r="X2182" i="1"/>
  <c r="Z2182" i="1" s="1"/>
  <c r="W2182" i="1"/>
  <c r="S2182" i="1"/>
  <c r="Q2182" i="1"/>
  <c r="N2182" i="1"/>
  <c r="L2182" i="1"/>
  <c r="K2182" i="1"/>
  <c r="AB2182" i="1"/>
  <c r="I2182" i="1"/>
  <c r="X2181" i="1"/>
  <c r="Z2181" i="1" s="1"/>
  <c r="W2181" i="1"/>
  <c r="S2181" i="1"/>
  <c r="Q2181" i="1"/>
  <c r="N2181" i="1"/>
  <c r="L2181" i="1"/>
  <c r="K2181" i="1"/>
  <c r="AB2181" i="1"/>
  <c r="I2181" i="1"/>
  <c r="X2180" i="1"/>
  <c r="Z2180" i="1" s="1"/>
  <c r="W2180" i="1"/>
  <c r="S2180" i="1"/>
  <c r="Q2180" i="1"/>
  <c r="N2180" i="1"/>
  <c r="L2180" i="1"/>
  <c r="K2180" i="1"/>
  <c r="AB2180" i="1"/>
  <c r="I2180" i="1"/>
  <c r="X2179" i="1"/>
  <c r="Z2179" i="1" s="1"/>
  <c r="W2179" i="1"/>
  <c r="S2179" i="1"/>
  <c r="Q2179" i="1"/>
  <c r="N2179" i="1"/>
  <c r="L2179" i="1"/>
  <c r="K2179" i="1"/>
  <c r="AB2179" i="1"/>
  <c r="I2179" i="1"/>
  <c r="X2178" i="1"/>
  <c r="Z2178" i="1" s="1"/>
  <c r="W2178" i="1"/>
  <c r="S2178" i="1"/>
  <c r="Q2178" i="1"/>
  <c r="N2178" i="1"/>
  <c r="L2178" i="1"/>
  <c r="K2178" i="1"/>
  <c r="AB2178" i="1"/>
  <c r="I2178" i="1"/>
  <c r="X2177" i="1"/>
  <c r="Z2177" i="1" s="1"/>
  <c r="W2177" i="1"/>
  <c r="S2177" i="1"/>
  <c r="Q2177" i="1"/>
  <c r="N2177" i="1"/>
  <c r="L2177" i="1"/>
  <c r="K2177" i="1"/>
  <c r="AB2177" i="1"/>
  <c r="I2177" i="1"/>
  <c r="X2176" i="1"/>
  <c r="Z2176" i="1" s="1"/>
  <c r="W2176" i="1"/>
  <c r="S2176" i="1"/>
  <c r="Q2176" i="1"/>
  <c r="N2176" i="1"/>
  <c r="L2176" i="1"/>
  <c r="K2176" i="1"/>
  <c r="AB2176" i="1"/>
  <c r="I2176" i="1"/>
  <c r="X2175" i="1"/>
  <c r="Z2175" i="1" s="1"/>
  <c r="W2175" i="1"/>
  <c r="S2175" i="1"/>
  <c r="Q2175" i="1"/>
  <c r="N2175" i="1"/>
  <c r="L2175" i="1"/>
  <c r="K2175" i="1"/>
  <c r="AB2175" i="1"/>
  <c r="I2175" i="1"/>
  <c r="X2174" i="1"/>
  <c r="Z2174" i="1" s="1"/>
  <c r="W2174" i="1"/>
  <c r="S2174" i="1"/>
  <c r="Q2174" i="1"/>
  <c r="N2174" i="1"/>
  <c r="L2174" i="1"/>
  <c r="K2174" i="1"/>
  <c r="AB2174" i="1"/>
  <c r="I2174" i="1"/>
  <c r="X2173" i="1"/>
  <c r="Z2173" i="1" s="1"/>
  <c r="W2173" i="1"/>
  <c r="S2173" i="1"/>
  <c r="Q2173" i="1"/>
  <c r="N2173" i="1"/>
  <c r="L2173" i="1"/>
  <c r="K2173" i="1"/>
  <c r="AB2173" i="1"/>
  <c r="I2173" i="1"/>
  <c r="X2172" i="1"/>
  <c r="Z2172" i="1" s="1"/>
  <c r="W2172" i="1"/>
  <c r="S2172" i="1"/>
  <c r="Q2172" i="1"/>
  <c r="N2172" i="1"/>
  <c r="L2172" i="1"/>
  <c r="K2172" i="1"/>
  <c r="AB2172" i="1"/>
  <c r="I2172" i="1"/>
  <c r="X2171" i="1"/>
  <c r="Z2171" i="1" s="1"/>
  <c r="W2171" i="1"/>
  <c r="S2171" i="1"/>
  <c r="Q2171" i="1"/>
  <c r="N2171" i="1"/>
  <c r="L2171" i="1"/>
  <c r="K2171" i="1"/>
  <c r="AB2171" i="1"/>
  <c r="I2171" i="1"/>
  <c r="X2170" i="1"/>
  <c r="Z2170" i="1" s="1"/>
  <c r="W2170" i="1"/>
  <c r="S2170" i="1"/>
  <c r="Q2170" i="1"/>
  <c r="N2170" i="1"/>
  <c r="L2170" i="1"/>
  <c r="K2170" i="1"/>
  <c r="AB2170" i="1"/>
  <c r="I2170" i="1"/>
  <c r="X2169" i="1"/>
  <c r="Z2169" i="1" s="1"/>
  <c r="W2169" i="1"/>
  <c r="S2169" i="1"/>
  <c r="Q2169" i="1"/>
  <c r="N2169" i="1"/>
  <c r="L2169" i="1"/>
  <c r="K2169" i="1"/>
  <c r="AB2169" i="1"/>
  <c r="I2169" i="1"/>
  <c r="X2168" i="1"/>
  <c r="Z2168" i="1" s="1"/>
  <c r="W2168" i="1"/>
  <c r="S2168" i="1"/>
  <c r="Q2168" i="1"/>
  <c r="N2168" i="1"/>
  <c r="L2168" i="1"/>
  <c r="K2168" i="1"/>
  <c r="AB2168" i="1"/>
  <c r="I2168" i="1"/>
  <c r="X2167" i="1"/>
  <c r="Z2167" i="1" s="1"/>
  <c r="W2167" i="1"/>
  <c r="S2167" i="1"/>
  <c r="Q2167" i="1"/>
  <c r="N2167" i="1"/>
  <c r="L2167" i="1"/>
  <c r="K2167" i="1"/>
  <c r="AB2167" i="1"/>
  <c r="I2167" i="1"/>
  <c r="X2166" i="1"/>
  <c r="Z2166" i="1" s="1"/>
  <c r="W2166" i="1"/>
  <c r="S2166" i="1"/>
  <c r="Q2166" i="1"/>
  <c r="N2166" i="1"/>
  <c r="L2166" i="1"/>
  <c r="K2166" i="1"/>
  <c r="AB2166" i="1"/>
  <c r="I2166" i="1"/>
  <c r="X2165" i="1"/>
  <c r="Z2165" i="1" s="1"/>
  <c r="W2165" i="1"/>
  <c r="S2165" i="1"/>
  <c r="Q2165" i="1"/>
  <c r="N2165" i="1"/>
  <c r="L2165" i="1"/>
  <c r="K2165" i="1"/>
  <c r="AB2165" i="1"/>
  <c r="I2165" i="1"/>
  <c r="X2164" i="1"/>
  <c r="Z2164" i="1" s="1"/>
  <c r="W2164" i="1"/>
  <c r="S2164" i="1"/>
  <c r="Q2164" i="1"/>
  <c r="N2164" i="1"/>
  <c r="L2164" i="1"/>
  <c r="K2164" i="1"/>
  <c r="AB2164" i="1"/>
  <c r="I2164" i="1"/>
  <c r="X2163" i="1"/>
  <c r="Z2163" i="1" s="1"/>
  <c r="W2163" i="1"/>
  <c r="S2163" i="1"/>
  <c r="Q2163" i="1"/>
  <c r="N2163" i="1"/>
  <c r="L2163" i="1"/>
  <c r="K2163" i="1"/>
  <c r="AB2163" i="1"/>
  <c r="I2163" i="1"/>
  <c r="X2162" i="1"/>
  <c r="Z2162" i="1" s="1"/>
  <c r="W2162" i="1"/>
  <c r="S2162" i="1"/>
  <c r="Q2162" i="1"/>
  <c r="N2162" i="1"/>
  <c r="L2162" i="1"/>
  <c r="K2162" i="1"/>
  <c r="AB2162" i="1"/>
  <c r="I2162" i="1"/>
  <c r="X2161" i="1"/>
  <c r="Z2161" i="1" s="1"/>
  <c r="W2161" i="1"/>
  <c r="S2161" i="1"/>
  <c r="Q2161" i="1"/>
  <c r="N2161" i="1"/>
  <c r="L2161" i="1"/>
  <c r="K2161" i="1"/>
  <c r="AB2161" i="1"/>
  <c r="I2161" i="1"/>
  <c r="X2160" i="1"/>
  <c r="Z2160" i="1" s="1"/>
  <c r="W2160" i="1"/>
  <c r="S2160" i="1"/>
  <c r="Q2160" i="1"/>
  <c r="N2160" i="1"/>
  <c r="L2160" i="1"/>
  <c r="K2160" i="1"/>
  <c r="AB2160" i="1"/>
  <c r="I2160" i="1"/>
  <c r="X2159" i="1"/>
  <c r="Z2159" i="1" s="1"/>
  <c r="W2159" i="1"/>
  <c r="S2159" i="1"/>
  <c r="Q2159" i="1"/>
  <c r="N2159" i="1"/>
  <c r="L2159" i="1"/>
  <c r="K2159" i="1"/>
  <c r="AB2159" i="1"/>
  <c r="I2159" i="1"/>
  <c r="X2158" i="1"/>
  <c r="Z2158" i="1" s="1"/>
  <c r="W2158" i="1"/>
  <c r="S2158" i="1"/>
  <c r="Q2158" i="1"/>
  <c r="N2158" i="1"/>
  <c r="L2158" i="1"/>
  <c r="K2158" i="1"/>
  <c r="AB2158" i="1"/>
  <c r="I2158" i="1"/>
  <c r="X2157" i="1"/>
  <c r="Z2157" i="1" s="1"/>
  <c r="W2157" i="1"/>
  <c r="S2157" i="1"/>
  <c r="Q2157" i="1"/>
  <c r="N2157" i="1"/>
  <c r="L2157" i="1"/>
  <c r="K2157" i="1"/>
  <c r="AB2157" i="1"/>
  <c r="I2157" i="1"/>
  <c r="X2156" i="1"/>
  <c r="Z2156" i="1" s="1"/>
  <c r="W2156" i="1"/>
  <c r="S2156" i="1"/>
  <c r="Q2156" i="1"/>
  <c r="N2156" i="1"/>
  <c r="L2156" i="1"/>
  <c r="K2156" i="1"/>
  <c r="AB2156" i="1"/>
  <c r="I2156" i="1"/>
  <c r="X2155" i="1"/>
  <c r="Z2155" i="1" s="1"/>
  <c r="W2155" i="1"/>
  <c r="S2155" i="1"/>
  <c r="Q2155" i="1"/>
  <c r="N2155" i="1"/>
  <c r="L2155" i="1"/>
  <c r="K2155" i="1"/>
  <c r="AB2155" i="1"/>
  <c r="I2155" i="1"/>
  <c r="X2154" i="1"/>
  <c r="Z2154" i="1" s="1"/>
  <c r="W2154" i="1"/>
  <c r="S2154" i="1"/>
  <c r="Q2154" i="1"/>
  <c r="N2154" i="1"/>
  <c r="L2154" i="1"/>
  <c r="K2154" i="1"/>
  <c r="AB2154" i="1"/>
  <c r="I2154" i="1"/>
  <c r="X2153" i="1"/>
  <c r="Z2153" i="1" s="1"/>
  <c r="W2153" i="1"/>
  <c r="S2153" i="1"/>
  <c r="Q2153" i="1"/>
  <c r="N2153" i="1"/>
  <c r="L2153" i="1"/>
  <c r="K2153" i="1"/>
  <c r="M2153" i="1" s="1"/>
  <c r="R2153" i="1" s="1"/>
  <c r="AB2153" i="1"/>
  <c r="I2153" i="1"/>
  <c r="X2152" i="1"/>
  <c r="Z2152" i="1" s="1"/>
  <c r="W2152" i="1"/>
  <c r="S2152" i="1"/>
  <c r="Q2152" i="1"/>
  <c r="N2152" i="1"/>
  <c r="L2152" i="1"/>
  <c r="K2152" i="1"/>
  <c r="AB2152" i="1"/>
  <c r="I2152" i="1"/>
  <c r="X2151" i="1"/>
  <c r="Z2151" i="1" s="1"/>
  <c r="W2151" i="1"/>
  <c r="S2151" i="1"/>
  <c r="Q2151" i="1"/>
  <c r="N2151" i="1"/>
  <c r="L2151" i="1"/>
  <c r="K2151" i="1"/>
  <c r="AB2151" i="1"/>
  <c r="I2151" i="1"/>
  <c r="X2150" i="1"/>
  <c r="Z2150" i="1" s="1"/>
  <c r="W2150" i="1"/>
  <c r="S2150" i="1"/>
  <c r="Q2150" i="1"/>
  <c r="N2150" i="1"/>
  <c r="L2150" i="1"/>
  <c r="K2150" i="1"/>
  <c r="AB2150" i="1"/>
  <c r="I2150" i="1"/>
  <c r="X2149" i="1"/>
  <c r="Z2149" i="1" s="1"/>
  <c r="W2149" i="1"/>
  <c r="S2149" i="1"/>
  <c r="Q2149" i="1"/>
  <c r="N2149" i="1"/>
  <c r="L2149" i="1"/>
  <c r="K2149" i="1"/>
  <c r="M2149" i="1" s="1"/>
  <c r="R2149" i="1" s="1"/>
  <c r="AB2149" i="1"/>
  <c r="I2149" i="1"/>
  <c r="X2148" i="1"/>
  <c r="Z2148" i="1" s="1"/>
  <c r="W2148" i="1"/>
  <c r="S2148" i="1"/>
  <c r="Q2148" i="1"/>
  <c r="N2148" i="1"/>
  <c r="L2148" i="1"/>
  <c r="K2148" i="1"/>
  <c r="AB2148" i="1"/>
  <c r="I2148" i="1"/>
  <c r="X2147" i="1"/>
  <c r="Z2147" i="1" s="1"/>
  <c r="W2147" i="1"/>
  <c r="S2147" i="1"/>
  <c r="Q2147" i="1"/>
  <c r="N2147" i="1"/>
  <c r="L2147" i="1"/>
  <c r="K2147" i="1"/>
  <c r="AB2147" i="1"/>
  <c r="I2147" i="1"/>
  <c r="X2146" i="1"/>
  <c r="Z2146" i="1" s="1"/>
  <c r="W2146" i="1"/>
  <c r="S2146" i="1"/>
  <c r="Q2146" i="1"/>
  <c r="N2146" i="1"/>
  <c r="L2146" i="1"/>
  <c r="K2146" i="1"/>
  <c r="AB2146" i="1"/>
  <c r="I2146" i="1"/>
  <c r="X2145" i="1"/>
  <c r="Z2145" i="1" s="1"/>
  <c r="W2145" i="1"/>
  <c r="S2145" i="1"/>
  <c r="Q2145" i="1"/>
  <c r="N2145" i="1"/>
  <c r="L2145" i="1"/>
  <c r="K2145" i="1"/>
  <c r="AB2145" i="1"/>
  <c r="I2145" i="1"/>
  <c r="X2144" i="1"/>
  <c r="Z2144" i="1" s="1"/>
  <c r="W2144" i="1"/>
  <c r="S2144" i="1"/>
  <c r="Q2144" i="1"/>
  <c r="N2144" i="1"/>
  <c r="L2144" i="1"/>
  <c r="K2144" i="1"/>
  <c r="AB2144" i="1"/>
  <c r="I2144" i="1"/>
  <c r="X2143" i="1"/>
  <c r="Z2143" i="1" s="1"/>
  <c r="W2143" i="1"/>
  <c r="S2143" i="1"/>
  <c r="Q2143" i="1"/>
  <c r="N2143" i="1"/>
  <c r="L2143" i="1"/>
  <c r="K2143" i="1"/>
  <c r="AB2143" i="1"/>
  <c r="I2143" i="1"/>
  <c r="X2142" i="1"/>
  <c r="Z2142" i="1" s="1"/>
  <c r="W2142" i="1"/>
  <c r="S2142" i="1"/>
  <c r="Q2142" i="1"/>
  <c r="N2142" i="1"/>
  <c r="L2142" i="1"/>
  <c r="K2142" i="1"/>
  <c r="AB2142" i="1"/>
  <c r="I2142" i="1"/>
  <c r="X2141" i="1"/>
  <c r="Z2141" i="1" s="1"/>
  <c r="W2141" i="1"/>
  <c r="S2141" i="1"/>
  <c r="Q2141" i="1"/>
  <c r="N2141" i="1"/>
  <c r="L2141" i="1"/>
  <c r="K2141" i="1"/>
  <c r="AB2141" i="1"/>
  <c r="I2141" i="1"/>
  <c r="X2140" i="1"/>
  <c r="Z2140" i="1" s="1"/>
  <c r="W2140" i="1"/>
  <c r="S2140" i="1"/>
  <c r="Q2140" i="1"/>
  <c r="N2140" i="1"/>
  <c r="L2140" i="1"/>
  <c r="K2140" i="1"/>
  <c r="AB2140" i="1"/>
  <c r="I2140" i="1"/>
  <c r="X2139" i="1"/>
  <c r="Z2139" i="1" s="1"/>
  <c r="W2139" i="1"/>
  <c r="S2139" i="1"/>
  <c r="Q2139" i="1"/>
  <c r="N2139" i="1"/>
  <c r="L2139" i="1"/>
  <c r="K2139" i="1"/>
  <c r="AB2139" i="1"/>
  <c r="I2139" i="1"/>
  <c r="X2138" i="1"/>
  <c r="Z2138" i="1" s="1"/>
  <c r="W2138" i="1"/>
  <c r="S2138" i="1"/>
  <c r="Q2138" i="1"/>
  <c r="N2138" i="1"/>
  <c r="L2138" i="1"/>
  <c r="K2138" i="1"/>
  <c r="AB2138" i="1"/>
  <c r="I2138" i="1"/>
  <c r="X2137" i="1"/>
  <c r="Z2137" i="1" s="1"/>
  <c r="W2137" i="1"/>
  <c r="S2137" i="1"/>
  <c r="Q2137" i="1"/>
  <c r="N2137" i="1"/>
  <c r="L2137" i="1"/>
  <c r="K2137" i="1"/>
  <c r="M2137" i="1" s="1"/>
  <c r="R2137" i="1" s="1"/>
  <c r="AB2137" i="1"/>
  <c r="I2137" i="1"/>
  <c r="X2136" i="1"/>
  <c r="Z2136" i="1" s="1"/>
  <c r="W2136" i="1"/>
  <c r="S2136" i="1"/>
  <c r="Q2136" i="1"/>
  <c r="N2136" i="1"/>
  <c r="L2136" i="1"/>
  <c r="K2136" i="1"/>
  <c r="AB2136" i="1"/>
  <c r="I2136" i="1"/>
  <c r="X2135" i="1"/>
  <c r="Z2135" i="1" s="1"/>
  <c r="W2135" i="1"/>
  <c r="S2135" i="1"/>
  <c r="Q2135" i="1"/>
  <c r="N2135" i="1"/>
  <c r="L2135" i="1"/>
  <c r="K2135" i="1"/>
  <c r="AB2135" i="1"/>
  <c r="I2135" i="1"/>
  <c r="X2134" i="1"/>
  <c r="Z2134" i="1" s="1"/>
  <c r="W2134" i="1"/>
  <c r="S2134" i="1"/>
  <c r="Q2134" i="1"/>
  <c r="N2134" i="1"/>
  <c r="L2134" i="1"/>
  <c r="K2134" i="1"/>
  <c r="AB2134" i="1"/>
  <c r="I2134" i="1"/>
  <c r="X2133" i="1"/>
  <c r="Z2133" i="1" s="1"/>
  <c r="W2133" i="1"/>
  <c r="S2133" i="1"/>
  <c r="Q2133" i="1"/>
  <c r="N2133" i="1"/>
  <c r="L2133" i="1"/>
  <c r="K2133" i="1"/>
  <c r="M2133" i="1" s="1"/>
  <c r="R2133" i="1" s="1"/>
  <c r="AB2133" i="1"/>
  <c r="I2133" i="1"/>
  <c r="X2132" i="1"/>
  <c r="Z2132" i="1" s="1"/>
  <c r="W2132" i="1"/>
  <c r="S2132" i="1"/>
  <c r="Q2132" i="1"/>
  <c r="N2132" i="1"/>
  <c r="L2132" i="1"/>
  <c r="K2132" i="1"/>
  <c r="AB2132" i="1"/>
  <c r="I2132" i="1"/>
  <c r="X2131" i="1"/>
  <c r="Z2131" i="1" s="1"/>
  <c r="W2131" i="1"/>
  <c r="S2131" i="1"/>
  <c r="Q2131" i="1"/>
  <c r="N2131" i="1"/>
  <c r="L2131" i="1"/>
  <c r="K2131" i="1"/>
  <c r="AB2131" i="1"/>
  <c r="I2131" i="1"/>
  <c r="X2130" i="1"/>
  <c r="Z2130" i="1" s="1"/>
  <c r="W2130" i="1"/>
  <c r="S2130" i="1"/>
  <c r="Q2130" i="1"/>
  <c r="N2130" i="1"/>
  <c r="L2130" i="1"/>
  <c r="K2130" i="1"/>
  <c r="AB2130" i="1"/>
  <c r="I2130" i="1"/>
  <c r="X2129" i="1"/>
  <c r="Z2129" i="1" s="1"/>
  <c r="W2129" i="1"/>
  <c r="S2129" i="1"/>
  <c r="Q2129" i="1"/>
  <c r="N2129" i="1"/>
  <c r="L2129" i="1"/>
  <c r="K2129" i="1"/>
  <c r="AB2129" i="1"/>
  <c r="I2129" i="1"/>
  <c r="X2128" i="1"/>
  <c r="Z2128" i="1" s="1"/>
  <c r="W2128" i="1"/>
  <c r="S2128" i="1"/>
  <c r="Q2128" i="1"/>
  <c r="N2128" i="1"/>
  <c r="L2128" i="1"/>
  <c r="K2128" i="1"/>
  <c r="AB2128" i="1"/>
  <c r="I2128" i="1"/>
  <c r="X2127" i="1"/>
  <c r="Z2127" i="1" s="1"/>
  <c r="W2127" i="1"/>
  <c r="S2127" i="1"/>
  <c r="Q2127" i="1"/>
  <c r="N2127" i="1"/>
  <c r="L2127" i="1"/>
  <c r="K2127" i="1"/>
  <c r="AB2127" i="1"/>
  <c r="I2127" i="1"/>
  <c r="X2126" i="1"/>
  <c r="Z2126" i="1" s="1"/>
  <c r="W2126" i="1"/>
  <c r="S2126" i="1"/>
  <c r="Q2126" i="1"/>
  <c r="N2126" i="1"/>
  <c r="L2126" i="1"/>
  <c r="K2126" i="1"/>
  <c r="AB2126" i="1"/>
  <c r="I2126" i="1"/>
  <c r="X2125" i="1"/>
  <c r="Z2125" i="1" s="1"/>
  <c r="W2125" i="1"/>
  <c r="S2125" i="1"/>
  <c r="Q2125" i="1"/>
  <c r="N2125" i="1"/>
  <c r="L2125" i="1"/>
  <c r="K2125" i="1"/>
  <c r="AB2125" i="1"/>
  <c r="I2125" i="1"/>
  <c r="X2124" i="1"/>
  <c r="Z2124" i="1" s="1"/>
  <c r="W2124" i="1"/>
  <c r="S2124" i="1"/>
  <c r="Q2124" i="1"/>
  <c r="N2124" i="1"/>
  <c r="L2124" i="1"/>
  <c r="K2124" i="1"/>
  <c r="AB2124" i="1"/>
  <c r="I2124" i="1"/>
  <c r="X2123" i="1"/>
  <c r="Z2123" i="1" s="1"/>
  <c r="W2123" i="1"/>
  <c r="S2123" i="1"/>
  <c r="Q2123" i="1"/>
  <c r="N2123" i="1"/>
  <c r="L2123" i="1"/>
  <c r="K2123" i="1"/>
  <c r="AB2123" i="1"/>
  <c r="I2123" i="1"/>
  <c r="X2122" i="1"/>
  <c r="Z2122" i="1" s="1"/>
  <c r="W2122" i="1"/>
  <c r="S2122" i="1"/>
  <c r="Q2122" i="1"/>
  <c r="N2122" i="1"/>
  <c r="L2122" i="1"/>
  <c r="K2122" i="1"/>
  <c r="AB2122" i="1"/>
  <c r="I2122" i="1"/>
  <c r="X2121" i="1"/>
  <c r="Z2121" i="1" s="1"/>
  <c r="W2121" i="1"/>
  <c r="S2121" i="1"/>
  <c r="Q2121" i="1"/>
  <c r="N2121" i="1"/>
  <c r="L2121" i="1"/>
  <c r="K2121" i="1"/>
  <c r="AB2121" i="1"/>
  <c r="I2121" i="1"/>
  <c r="X2120" i="1"/>
  <c r="Z2120" i="1" s="1"/>
  <c r="W2120" i="1"/>
  <c r="S2120" i="1"/>
  <c r="Q2120" i="1"/>
  <c r="N2120" i="1"/>
  <c r="L2120" i="1"/>
  <c r="K2120" i="1"/>
  <c r="AB2120" i="1"/>
  <c r="I2120" i="1"/>
  <c r="X2119" i="1"/>
  <c r="Z2119" i="1" s="1"/>
  <c r="W2119" i="1"/>
  <c r="S2119" i="1"/>
  <c r="Q2119" i="1"/>
  <c r="N2119" i="1"/>
  <c r="L2119" i="1"/>
  <c r="K2119" i="1"/>
  <c r="AB2119" i="1"/>
  <c r="I2119" i="1"/>
  <c r="X2118" i="1"/>
  <c r="Z2118" i="1" s="1"/>
  <c r="W2118" i="1"/>
  <c r="S2118" i="1"/>
  <c r="Q2118" i="1"/>
  <c r="N2118" i="1"/>
  <c r="L2118" i="1"/>
  <c r="K2118" i="1"/>
  <c r="AB2118" i="1"/>
  <c r="I2118" i="1"/>
  <c r="X2117" i="1"/>
  <c r="Z2117" i="1" s="1"/>
  <c r="W2117" i="1"/>
  <c r="S2117" i="1"/>
  <c r="Q2117" i="1"/>
  <c r="N2117" i="1"/>
  <c r="L2117" i="1"/>
  <c r="K2117" i="1"/>
  <c r="AB2117" i="1"/>
  <c r="I2117" i="1"/>
  <c r="X2116" i="1"/>
  <c r="Z2116" i="1" s="1"/>
  <c r="W2116" i="1"/>
  <c r="S2116" i="1"/>
  <c r="Q2116" i="1"/>
  <c r="N2116" i="1"/>
  <c r="L2116" i="1"/>
  <c r="K2116" i="1"/>
  <c r="AB2116" i="1"/>
  <c r="I2116" i="1"/>
  <c r="X2115" i="1"/>
  <c r="Z2115" i="1" s="1"/>
  <c r="W2115" i="1"/>
  <c r="S2115" i="1"/>
  <c r="Q2115" i="1"/>
  <c r="N2115" i="1"/>
  <c r="L2115" i="1"/>
  <c r="K2115" i="1"/>
  <c r="AB2115" i="1"/>
  <c r="I2115" i="1"/>
  <c r="X2114" i="1"/>
  <c r="Z2114" i="1" s="1"/>
  <c r="W2114" i="1"/>
  <c r="S2114" i="1"/>
  <c r="Q2114" i="1"/>
  <c r="N2114" i="1"/>
  <c r="L2114" i="1"/>
  <c r="K2114" i="1"/>
  <c r="AB2114" i="1"/>
  <c r="I2114" i="1"/>
  <c r="X2113" i="1"/>
  <c r="Z2113" i="1" s="1"/>
  <c r="W2113" i="1"/>
  <c r="S2113" i="1"/>
  <c r="Q2113" i="1"/>
  <c r="N2113" i="1"/>
  <c r="L2113" i="1"/>
  <c r="K2113" i="1"/>
  <c r="AB2113" i="1"/>
  <c r="I2113" i="1"/>
  <c r="X2112" i="1"/>
  <c r="Z2112" i="1" s="1"/>
  <c r="W2112" i="1"/>
  <c r="S2112" i="1"/>
  <c r="Q2112" i="1"/>
  <c r="N2112" i="1"/>
  <c r="L2112" i="1"/>
  <c r="K2112" i="1"/>
  <c r="AB2112" i="1"/>
  <c r="I2112" i="1"/>
  <c r="X2111" i="1"/>
  <c r="Z2111" i="1" s="1"/>
  <c r="W2111" i="1"/>
  <c r="S2111" i="1"/>
  <c r="Q2111" i="1"/>
  <c r="N2111" i="1"/>
  <c r="L2111" i="1"/>
  <c r="K2111" i="1"/>
  <c r="AB2111" i="1"/>
  <c r="I2111" i="1"/>
  <c r="X2110" i="1"/>
  <c r="Z2110" i="1" s="1"/>
  <c r="W2110" i="1"/>
  <c r="S2110" i="1"/>
  <c r="Q2110" i="1"/>
  <c r="N2110" i="1"/>
  <c r="L2110" i="1"/>
  <c r="K2110" i="1"/>
  <c r="AB2110" i="1"/>
  <c r="I2110" i="1"/>
  <c r="X2109" i="1"/>
  <c r="Z2109" i="1" s="1"/>
  <c r="W2109" i="1"/>
  <c r="S2109" i="1"/>
  <c r="Q2109" i="1"/>
  <c r="N2109" i="1"/>
  <c r="L2109" i="1"/>
  <c r="K2109" i="1"/>
  <c r="AB2109" i="1"/>
  <c r="I2109" i="1"/>
  <c r="X2108" i="1"/>
  <c r="Z2108" i="1" s="1"/>
  <c r="W2108" i="1"/>
  <c r="S2108" i="1"/>
  <c r="Q2108" i="1"/>
  <c r="N2108" i="1"/>
  <c r="L2108" i="1"/>
  <c r="K2108" i="1"/>
  <c r="AB2108" i="1"/>
  <c r="I2108" i="1"/>
  <c r="X2107" i="1"/>
  <c r="Z2107" i="1" s="1"/>
  <c r="W2107" i="1"/>
  <c r="S2107" i="1"/>
  <c r="Q2107" i="1"/>
  <c r="N2107" i="1"/>
  <c r="L2107" i="1"/>
  <c r="K2107" i="1"/>
  <c r="AB2107" i="1"/>
  <c r="I2107" i="1"/>
  <c r="X2106" i="1"/>
  <c r="Z2106" i="1" s="1"/>
  <c r="W2106" i="1"/>
  <c r="S2106" i="1"/>
  <c r="Q2106" i="1"/>
  <c r="N2106" i="1"/>
  <c r="L2106" i="1"/>
  <c r="K2106" i="1"/>
  <c r="AB2106" i="1"/>
  <c r="I2106" i="1"/>
  <c r="X2105" i="1"/>
  <c r="Z2105" i="1" s="1"/>
  <c r="W2105" i="1"/>
  <c r="S2105" i="1"/>
  <c r="Q2105" i="1"/>
  <c r="N2105" i="1"/>
  <c r="L2105" i="1"/>
  <c r="K2105" i="1"/>
  <c r="AB2105" i="1"/>
  <c r="I2105" i="1"/>
  <c r="X2104" i="1"/>
  <c r="Z2104" i="1" s="1"/>
  <c r="W2104" i="1"/>
  <c r="S2104" i="1"/>
  <c r="Q2104" i="1"/>
  <c r="N2104" i="1"/>
  <c r="L2104" i="1"/>
  <c r="K2104" i="1"/>
  <c r="AB2104" i="1"/>
  <c r="I2104" i="1"/>
  <c r="X2103" i="1"/>
  <c r="Z2103" i="1" s="1"/>
  <c r="W2103" i="1"/>
  <c r="S2103" i="1"/>
  <c r="Q2103" i="1"/>
  <c r="N2103" i="1"/>
  <c r="L2103" i="1"/>
  <c r="K2103" i="1"/>
  <c r="AB2103" i="1"/>
  <c r="I2103" i="1"/>
  <c r="X2102" i="1"/>
  <c r="Z2102" i="1" s="1"/>
  <c r="W2102" i="1"/>
  <c r="S2102" i="1"/>
  <c r="Q2102" i="1"/>
  <c r="N2102" i="1"/>
  <c r="L2102" i="1"/>
  <c r="K2102" i="1"/>
  <c r="AB2102" i="1"/>
  <c r="I2102" i="1"/>
  <c r="X2101" i="1"/>
  <c r="Z2101" i="1" s="1"/>
  <c r="W2101" i="1"/>
  <c r="S2101" i="1"/>
  <c r="Q2101" i="1"/>
  <c r="N2101" i="1"/>
  <c r="L2101" i="1"/>
  <c r="K2101" i="1"/>
  <c r="AB2101" i="1"/>
  <c r="I2101" i="1"/>
  <c r="X2100" i="1"/>
  <c r="Z2100" i="1" s="1"/>
  <c r="W2100" i="1"/>
  <c r="S2100" i="1"/>
  <c r="Q2100" i="1"/>
  <c r="N2100" i="1"/>
  <c r="L2100" i="1"/>
  <c r="K2100" i="1"/>
  <c r="AB2100" i="1"/>
  <c r="I2100" i="1"/>
  <c r="X2099" i="1"/>
  <c r="Z2099" i="1" s="1"/>
  <c r="W2099" i="1"/>
  <c r="S2099" i="1"/>
  <c r="Q2099" i="1"/>
  <c r="N2099" i="1"/>
  <c r="L2099" i="1"/>
  <c r="K2099" i="1"/>
  <c r="AB2099" i="1"/>
  <c r="I2099" i="1"/>
  <c r="X2098" i="1"/>
  <c r="Z2098" i="1" s="1"/>
  <c r="W2098" i="1"/>
  <c r="S2098" i="1"/>
  <c r="Q2098" i="1"/>
  <c r="N2098" i="1"/>
  <c r="L2098" i="1"/>
  <c r="K2098" i="1"/>
  <c r="AB2098" i="1"/>
  <c r="I2098" i="1"/>
  <c r="X2097" i="1"/>
  <c r="Z2097" i="1" s="1"/>
  <c r="W2097" i="1"/>
  <c r="S2097" i="1"/>
  <c r="Q2097" i="1"/>
  <c r="N2097" i="1"/>
  <c r="L2097" i="1"/>
  <c r="K2097" i="1"/>
  <c r="AB2097" i="1"/>
  <c r="I2097" i="1"/>
  <c r="X2096" i="1"/>
  <c r="Z2096" i="1" s="1"/>
  <c r="W2096" i="1"/>
  <c r="S2096" i="1"/>
  <c r="Q2096" i="1"/>
  <c r="N2096" i="1"/>
  <c r="L2096" i="1"/>
  <c r="K2096" i="1"/>
  <c r="AB2096" i="1"/>
  <c r="I2096" i="1"/>
  <c r="X2095" i="1"/>
  <c r="Z2095" i="1" s="1"/>
  <c r="W2095" i="1"/>
  <c r="S2095" i="1"/>
  <c r="Q2095" i="1"/>
  <c r="N2095" i="1"/>
  <c r="L2095" i="1"/>
  <c r="K2095" i="1"/>
  <c r="AB2095" i="1"/>
  <c r="I2095" i="1"/>
  <c r="X2094" i="1"/>
  <c r="Z2094" i="1" s="1"/>
  <c r="W2094" i="1"/>
  <c r="S2094" i="1"/>
  <c r="Q2094" i="1"/>
  <c r="N2094" i="1"/>
  <c r="L2094" i="1"/>
  <c r="K2094" i="1"/>
  <c r="AB2094" i="1"/>
  <c r="I2094" i="1"/>
  <c r="X2093" i="1"/>
  <c r="Z2093" i="1" s="1"/>
  <c r="W2093" i="1"/>
  <c r="S2093" i="1"/>
  <c r="Q2093" i="1"/>
  <c r="N2093" i="1"/>
  <c r="L2093" i="1"/>
  <c r="K2093" i="1"/>
  <c r="M2093" i="1" s="1"/>
  <c r="R2093" i="1" s="1"/>
  <c r="AB2093" i="1"/>
  <c r="I2093" i="1"/>
  <c r="X2092" i="1"/>
  <c r="Z2092" i="1" s="1"/>
  <c r="W2092" i="1"/>
  <c r="S2092" i="1"/>
  <c r="Q2092" i="1"/>
  <c r="N2092" i="1"/>
  <c r="L2092" i="1"/>
  <c r="K2092" i="1"/>
  <c r="AB2092" i="1"/>
  <c r="I2092" i="1"/>
  <c r="X2091" i="1"/>
  <c r="Z2091" i="1" s="1"/>
  <c r="W2091" i="1"/>
  <c r="S2091" i="1"/>
  <c r="Q2091" i="1"/>
  <c r="N2091" i="1"/>
  <c r="L2091" i="1"/>
  <c r="K2091" i="1"/>
  <c r="AB2091" i="1"/>
  <c r="I2091" i="1"/>
  <c r="X2090" i="1"/>
  <c r="Z2090" i="1" s="1"/>
  <c r="W2090" i="1"/>
  <c r="S2090" i="1"/>
  <c r="Q2090" i="1"/>
  <c r="N2090" i="1"/>
  <c r="L2090" i="1"/>
  <c r="K2090" i="1"/>
  <c r="AB2090" i="1"/>
  <c r="I2090" i="1"/>
  <c r="X2089" i="1"/>
  <c r="Z2089" i="1" s="1"/>
  <c r="W2089" i="1"/>
  <c r="S2089" i="1"/>
  <c r="Q2089" i="1"/>
  <c r="N2089" i="1"/>
  <c r="L2089" i="1"/>
  <c r="K2089" i="1"/>
  <c r="AB2089" i="1"/>
  <c r="I2089" i="1"/>
  <c r="X2088" i="1"/>
  <c r="Z2088" i="1" s="1"/>
  <c r="W2088" i="1"/>
  <c r="S2088" i="1"/>
  <c r="Q2088" i="1"/>
  <c r="N2088" i="1"/>
  <c r="L2088" i="1"/>
  <c r="K2088" i="1"/>
  <c r="AB2088" i="1"/>
  <c r="I2088" i="1"/>
  <c r="X2087" i="1"/>
  <c r="Z2087" i="1" s="1"/>
  <c r="W2087" i="1"/>
  <c r="S2087" i="1"/>
  <c r="Q2087" i="1"/>
  <c r="N2087" i="1"/>
  <c r="L2087" i="1"/>
  <c r="K2087" i="1"/>
  <c r="AB2087" i="1"/>
  <c r="I2087" i="1"/>
  <c r="X2086" i="1"/>
  <c r="Z2086" i="1" s="1"/>
  <c r="W2086" i="1"/>
  <c r="S2086" i="1"/>
  <c r="Q2086" i="1"/>
  <c r="N2086" i="1"/>
  <c r="L2086" i="1"/>
  <c r="K2086" i="1"/>
  <c r="AB2086" i="1"/>
  <c r="I2086" i="1"/>
  <c r="X2085" i="1"/>
  <c r="Z2085" i="1" s="1"/>
  <c r="W2085" i="1"/>
  <c r="S2085" i="1"/>
  <c r="Q2085" i="1"/>
  <c r="N2085" i="1"/>
  <c r="L2085" i="1"/>
  <c r="K2085" i="1"/>
  <c r="AB2085" i="1"/>
  <c r="I2085" i="1"/>
  <c r="X2084" i="1"/>
  <c r="Z2084" i="1" s="1"/>
  <c r="W2084" i="1"/>
  <c r="S2084" i="1"/>
  <c r="Q2084" i="1"/>
  <c r="N2084" i="1"/>
  <c r="L2084" i="1"/>
  <c r="K2084" i="1"/>
  <c r="AB2084" i="1"/>
  <c r="I2084" i="1"/>
  <c r="X2083" i="1"/>
  <c r="Z2083" i="1" s="1"/>
  <c r="W2083" i="1"/>
  <c r="S2083" i="1"/>
  <c r="Q2083" i="1"/>
  <c r="N2083" i="1"/>
  <c r="L2083" i="1"/>
  <c r="K2083" i="1"/>
  <c r="AB2083" i="1"/>
  <c r="I2083" i="1"/>
  <c r="X2082" i="1"/>
  <c r="Z2082" i="1" s="1"/>
  <c r="W2082" i="1"/>
  <c r="S2082" i="1"/>
  <c r="Q2082" i="1"/>
  <c r="N2082" i="1"/>
  <c r="L2082" i="1"/>
  <c r="K2082" i="1"/>
  <c r="AB2082" i="1"/>
  <c r="I2082" i="1"/>
  <c r="X2081" i="1"/>
  <c r="Z2081" i="1" s="1"/>
  <c r="W2081" i="1"/>
  <c r="S2081" i="1"/>
  <c r="Q2081" i="1"/>
  <c r="N2081" i="1"/>
  <c r="L2081" i="1"/>
  <c r="K2081" i="1"/>
  <c r="AB2081" i="1"/>
  <c r="I2081" i="1"/>
  <c r="X2080" i="1"/>
  <c r="Z2080" i="1" s="1"/>
  <c r="W2080" i="1"/>
  <c r="S2080" i="1"/>
  <c r="Q2080" i="1"/>
  <c r="N2080" i="1"/>
  <c r="L2080" i="1"/>
  <c r="K2080" i="1"/>
  <c r="AB2080" i="1"/>
  <c r="I2080" i="1"/>
  <c r="X2079" i="1"/>
  <c r="Z2079" i="1" s="1"/>
  <c r="W2079" i="1"/>
  <c r="S2079" i="1"/>
  <c r="Q2079" i="1"/>
  <c r="N2079" i="1"/>
  <c r="L2079" i="1"/>
  <c r="K2079" i="1"/>
  <c r="AB2079" i="1"/>
  <c r="I2079" i="1"/>
  <c r="X2078" i="1"/>
  <c r="Z2078" i="1" s="1"/>
  <c r="W2078" i="1"/>
  <c r="S2078" i="1"/>
  <c r="Q2078" i="1"/>
  <c r="N2078" i="1"/>
  <c r="L2078" i="1"/>
  <c r="K2078" i="1"/>
  <c r="AB2078" i="1"/>
  <c r="I2078" i="1"/>
  <c r="X2077" i="1"/>
  <c r="Z2077" i="1" s="1"/>
  <c r="W2077" i="1"/>
  <c r="S2077" i="1"/>
  <c r="Q2077" i="1"/>
  <c r="N2077" i="1"/>
  <c r="L2077" i="1"/>
  <c r="K2077" i="1"/>
  <c r="AB2077" i="1"/>
  <c r="I2077" i="1"/>
  <c r="X2076" i="1"/>
  <c r="Z2076" i="1" s="1"/>
  <c r="W2076" i="1"/>
  <c r="S2076" i="1"/>
  <c r="Q2076" i="1"/>
  <c r="N2076" i="1"/>
  <c r="L2076" i="1"/>
  <c r="K2076" i="1"/>
  <c r="AB2076" i="1"/>
  <c r="I2076" i="1"/>
  <c r="X2075" i="1"/>
  <c r="Z2075" i="1" s="1"/>
  <c r="W2075" i="1"/>
  <c r="S2075" i="1"/>
  <c r="Q2075" i="1"/>
  <c r="N2075" i="1"/>
  <c r="L2075" i="1"/>
  <c r="K2075" i="1"/>
  <c r="AB2075" i="1"/>
  <c r="I2075" i="1"/>
  <c r="X2074" i="1"/>
  <c r="Z2074" i="1" s="1"/>
  <c r="W2074" i="1"/>
  <c r="S2074" i="1"/>
  <c r="Q2074" i="1"/>
  <c r="N2074" i="1"/>
  <c r="L2074" i="1"/>
  <c r="K2074" i="1"/>
  <c r="AB2074" i="1"/>
  <c r="I2074" i="1"/>
  <c r="X2073" i="1"/>
  <c r="Z2073" i="1" s="1"/>
  <c r="W2073" i="1"/>
  <c r="S2073" i="1"/>
  <c r="Q2073" i="1"/>
  <c r="N2073" i="1"/>
  <c r="L2073" i="1"/>
  <c r="K2073" i="1"/>
  <c r="AB2073" i="1"/>
  <c r="I2073" i="1"/>
  <c r="X2072" i="1"/>
  <c r="Z2072" i="1" s="1"/>
  <c r="W2072" i="1"/>
  <c r="S2072" i="1"/>
  <c r="Q2072" i="1"/>
  <c r="N2072" i="1"/>
  <c r="L2072" i="1"/>
  <c r="K2072" i="1"/>
  <c r="AB2072" i="1"/>
  <c r="I2072" i="1"/>
  <c r="X2071" i="1"/>
  <c r="Z2071" i="1" s="1"/>
  <c r="W2071" i="1"/>
  <c r="S2071" i="1"/>
  <c r="Q2071" i="1"/>
  <c r="N2071" i="1"/>
  <c r="L2071" i="1"/>
  <c r="K2071" i="1"/>
  <c r="AB2071" i="1"/>
  <c r="I2071" i="1"/>
  <c r="X2070" i="1"/>
  <c r="Z2070" i="1" s="1"/>
  <c r="W2070" i="1"/>
  <c r="S2070" i="1"/>
  <c r="Q2070" i="1"/>
  <c r="N2070" i="1"/>
  <c r="L2070" i="1"/>
  <c r="K2070" i="1"/>
  <c r="AB2070" i="1"/>
  <c r="I2070" i="1"/>
  <c r="X2069" i="1"/>
  <c r="Z2069" i="1" s="1"/>
  <c r="W2069" i="1"/>
  <c r="S2069" i="1"/>
  <c r="Q2069" i="1"/>
  <c r="N2069" i="1"/>
  <c r="L2069" i="1"/>
  <c r="K2069" i="1"/>
  <c r="AB2069" i="1"/>
  <c r="I2069" i="1"/>
  <c r="X2068" i="1"/>
  <c r="Z2068" i="1" s="1"/>
  <c r="W2068" i="1"/>
  <c r="S2068" i="1"/>
  <c r="Q2068" i="1"/>
  <c r="N2068" i="1"/>
  <c r="L2068" i="1"/>
  <c r="K2068" i="1"/>
  <c r="AB2068" i="1"/>
  <c r="I2068" i="1"/>
  <c r="X2067" i="1"/>
  <c r="Z2067" i="1" s="1"/>
  <c r="W2067" i="1"/>
  <c r="S2067" i="1"/>
  <c r="Q2067" i="1"/>
  <c r="N2067" i="1"/>
  <c r="L2067" i="1"/>
  <c r="K2067" i="1"/>
  <c r="AB2067" i="1"/>
  <c r="I2067" i="1"/>
  <c r="X2066" i="1"/>
  <c r="Z2066" i="1" s="1"/>
  <c r="W2066" i="1"/>
  <c r="S2066" i="1"/>
  <c r="Q2066" i="1"/>
  <c r="N2066" i="1"/>
  <c r="L2066" i="1"/>
  <c r="K2066" i="1"/>
  <c r="AB2066" i="1"/>
  <c r="I2066" i="1"/>
  <c r="X2065" i="1"/>
  <c r="Z2065" i="1" s="1"/>
  <c r="W2065" i="1"/>
  <c r="S2065" i="1"/>
  <c r="Q2065" i="1"/>
  <c r="N2065" i="1"/>
  <c r="L2065" i="1"/>
  <c r="K2065" i="1"/>
  <c r="AB2065" i="1"/>
  <c r="I2065" i="1"/>
  <c r="X2064" i="1"/>
  <c r="Z2064" i="1" s="1"/>
  <c r="W2064" i="1"/>
  <c r="S2064" i="1"/>
  <c r="Q2064" i="1"/>
  <c r="N2064" i="1"/>
  <c r="L2064" i="1"/>
  <c r="K2064" i="1"/>
  <c r="AB2064" i="1"/>
  <c r="I2064" i="1"/>
  <c r="X2063" i="1"/>
  <c r="Z2063" i="1" s="1"/>
  <c r="W2063" i="1"/>
  <c r="S2063" i="1"/>
  <c r="Q2063" i="1"/>
  <c r="N2063" i="1"/>
  <c r="L2063" i="1"/>
  <c r="K2063" i="1"/>
  <c r="AB2063" i="1"/>
  <c r="I2063" i="1"/>
  <c r="X2062" i="1"/>
  <c r="Z2062" i="1" s="1"/>
  <c r="W2062" i="1"/>
  <c r="S2062" i="1"/>
  <c r="Q2062" i="1"/>
  <c r="N2062" i="1"/>
  <c r="L2062" i="1"/>
  <c r="K2062" i="1"/>
  <c r="AB2062" i="1"/>
  <c r="I2062" i="1"/>
  <c r="X2061" i="1"/>
  <c r="Z2061" i="1" s="1"/>
  <c r="W2061" i="1"/>
  <c r="S2061" i="1"/>
  <c r="Q2061" i="1"/>
  <c r="N2061" i="1"/>
  <c r="L2061" i="1"/>
  <c r="K2061" i="1"/>
  <c r="AB2061" i="1"/>
  <c r="I2061" i="1"/>
  <c r="X2060" i="1"/>
  <c r="Z2060" i="1" s="1"/>
  <c r="W2060" i="1"/>
  <c r="S2060" i="1"/>
  <c r="Q2060" i="1"/>
  <c r="N2060" i="1"/>
  <c r="L2060" i="1"/>
  <c r="K2060" i="1"/>
  <c r="AB2060" i="1"/>
  <c r="I2060" i="1"/>
  <c r="X2059" i="1"/>
  <c r="Z2059" i="1" s="1"/>
  <c r="W2059" i="1"/>
  <c r="S2059" i="1"/>
  <c r="Q2059" i="1"/>
  <c r="N2059" i="1"/>
  <c r="L2059" i="1"/>
  <c r="K2059" i="1"/>
  <c r="AB2059" i="1"/>
  <c r="I2059" i="1"/>
  <c r="X2058" i="1"/>
  <c r="Z2058" i="1" s="1"/>
  <c r="W2058" i="1"/>
  <c r="S2058" i="1"/>
  <c r="Q2058" i="1"/>
  <c r="N2058" i="1"/>
  <c r="L2058" i="1"/>
  <c r="K2058" i="1"/>
  <c r="AB2058" i="1"/>
  <c r="I2058" i="1"/>
  <c r="X2057" i="1"/>
  <c r="Z2057" i="1" s="1"/>
  <c r="W2057" i="1"/>
  <c r="S2057" i="1"/>
  <c r="Q2057" i="1"/>
  <c r="N2057" i="1"/>
  <c r="L2057" i="1"/>
  <c r="K2057" i="1"/>
  <c r="AB2057" i="1"/>
  <c r="I2057" i="1"/>
  <c r="X2056" i="1"/>
  <c r="Z2056" i="1" s="1"/>
  <c r="W2056" i="1"/>
  <c r="S2056" i="1"/>
  <c r="Q2056" i="1"/>
  <c r="N2056" i="1"/>
  <c r="L2056" i="1"/>
  <c r="K2056" i="1"/>
  <c r="AB2056" i="1"/>
  <c r="I2056" i="1"/>
  <c r="X2055" i="1"/>
  <c r="Z2055" i="1" s="1"/>
  <c r="W2055" i="1"/>
  <c r="S2055" i="1"/>
  <c r="Q2055" i="1"/>
  <c r="N2055" i="1"/>
  <c r="L2055" i="1"/>
  <c r="K2055" i="1"/>
  <c r="AB2055" i="1"/>
  <c r="I2055" i="1"/>
  <c r="X2054" i="1"/>
  <c r="Z2054" i="1" s="1"/>
  <c r="W2054" i="1"/>
  <c r="S2054" i="1"/>
  <c r="Q2054" i="1"/>
  <c r="N2054" i="1"/>
  <c r="L2054" i="1"/>
  <c r="K2054" i="1"/>
  <c r="AB2054" i="1"/>
  <c r="I2054" i="1"/>
  <c r="X2053" i="1"/>
  <c r="Z2053" i="1" s="1"/>
  <c r="W2053" i="1"/>
  <c r="S2053" i="1"/>
  <c r="Q2053" i="1"/>
  <c r="N2053" i="1"/>
  <c r="L2053" i="1"/>
  <c r="K2053" i="1"/>
  <c r="AB2053" i="1"/>
  <c r="I2053" i="1"/>
  <c r="X2052" i="1"/>
  <c r="Z2052" i="1" s="1"/>
  <c r="W2052" i="1"/>
  <c r="S2052" i="1"/>
  <c r="Q2052" i="1"/>
  <c r="N2052" i="1"/>
  <c r="L2052" i="1"/>
  <c r="K2052" i="1"/>
  <c r="AB2052" i="1"/>
  <c r="I2052" i="1"/>
  <c r="X2051" i="1"/>
  <c r="Z2051" i="1" s="1"/>
  <c r="W2051" i="1"/>
  <c r="S2051" i="1"/>
  <c r="Q2051" i="1"/>
  <c r="N2051" i="1"/>
  <c r="L2051" i="1"/>
  <c r="K2051" i="1"/>
  <c r="AB2051" i="1"/>
  <c r="I2051" i="1"/>
  <c r="X2050" i="1"/>
  <c r="Z2050" i="1" s="1"/>
  <c r="W2050" i="1"/>
  <c r="S2050" i="1"/>
  <c r="Q2050" i="1"/>
  <c r="N2050" i="1"/>
  <c r="L2050" i="1"/>
  <c r="K2050" i="1"/>
  <c r="AB2050" i="1"/>
  <c r="I2050" i="1"/>
  <c r="X2049" i="1"/>
  <c r="Z2049" i="1" s="1"/>
  <c r="W2049" i="1"/>
  <c r="S2049" i="1"/>
  <c r="Q2049" i="1"/>
  <c r="N2049" i="1"/>
  <c r="L2049" i="1"/>
  <c r="K2049" i="1"/>
  <c r="AB2049" i="1"/>
  <c r="I2049" i="1"/>
  <c r="X2048" i="1"/>
  <c r="Z2048" i="1" s="1"/>
  <c r="W2048" i="1"/>
  <c r="S2048" i="1"/>
  <c r="Q2048" i="1"/>
  <c r="N2048" i="1"/>
  <c r="L2048" i="1"/>
  <c r="K2048" i="1"/>
  <c r="AB2048" i="1"/>
  <c r="I2048" i="1"/>
  <c r="X2047" i="1"/>
  <c r="Z2047" i="1" s="1"/>
  <c r="W2047" i="1"/>
  <c r="S2047" i="1"/>
  <c r="Q2047" i="1"/>
  <c r="N2047" i="1"/>
  <c r="L2047" i="1"/>
  <c r="K2047" i="1"/>
  <c r="AB2047" i="1"/>
  <c r="I2047" i="1"/>
  <c r="X2046" i="1"/>
  <c r="Z2046" i="1" s="1"/>
  <c r="W2046" i="1"/>
  <c r="S2046" i="1"/>
  <c r="Q2046" i="1"/>
  <c r="N2046" i="1"/>
  <c r="L2046" i="1"/>
  <c r="K2046" i="1"/>
  <c r="AB2046" i="1"/>
  <c r="I2046" i="1"/>
  <c r="X2045" i="1"/>
  <c r="Z2045" i="1" s="1"/>
  <c r="W2045" i="1"/>
  <c r="S2045" i="1"/>
  <c r="Q2045" i="1"/>
  <c r="N2045" i="1"/>
  <c r="L2045" i="1"/>
  <c r="K2045" i="1"/>
  <c r="AB2045" i="1"/>
  <c r="I2045" i="1"/>
  <c r="X2044" i="1"/>
  <c r="Z2044" i="1" s="1"/>
  <c r="W2044" i="1"/>
  <c r="S2044" i="1"/>
  <c r="Q2044" i="1"/>
  <c r="N2044" i="1"/>
  <c r="L2044" i="1"/>
  <c r="K2044" i="1"/>
  <c r="AB2044" i="1"/>
  <c r="I2044" i="1"/>
  <c r="X2043" i="1"/>
  <c r="Z2043" i="1" s="1"/>
  <c r="W2043" i="1"/>
  <c r="S2043" i="1"/>
  <c r="Q2043" i="1"/>
  <c r="N2043" i="1"/>
  <c r="L2043" i="1"/>
  <c r="K2043" i="1"/>
  <c r="AB2043" i="1"/>
  <c r="I2043" i="1"/>
  <c r="X2042" i="1"/>
  <c r="Z2042" i="1" s="1"/>
  <c r="W2042" i="1"/>
  <c r="S2042" i="1"/>
  <c r="Q2042" i="1"/>
  <c r="N2042" i="1"/>
  <c r="L2042" i="1"/>
  <c r="K2042" i="1"/>
  <c r="AB2042" i="1"/>
  <c r="I2042" i="1"/>
  <c r="X2041" i="1"/>
  <c r="Z2041" i="1" s="1"/>
  <c r="W2041" i="1"/>
  <c r="S2041" i="1"/>
  <c r="Q2041" i="1"/>
  <c r="N2041" i="1"/>
  <c r="L2041" i="1"/>
  <c r="K2041" i="1"/>
  <c r="AB2041" i="1"/>
  <c r="I2041" i="1"/>
  <c r="X2040" i="1"/>
  <c r="Z2040" i="1" s="1"/>
  <c r="W2040" i="1"/>
  <c r="S2040" i="1"/>
  <c r="Q2040" i="1"/>
  <c r="N2040" i="1"/>
  <c r="L2040" i="1"/>
  <c r="K2040" i="1"/>
  <c r="AB2040" i="1"/>
  <c r="I2040" i="1"/>
  <c r="X2039" i="1"/>
  <c r="Z2039" i="1" s="1"/>
  <c r="W2039" i="1"/>
  <c r="S2039" i="1"/>
  <c r="Q2039" i="1"/>
  <c r="N2039" i="1"/>
  <c r="L2039" i="1"/>
  <c r="K2039" i="1"/>
  <c r="AB2039" i="1"/>
  <c r="I2039" i="1"/>
  <c r="X2038" i="1"/>
  <c r="Z2038" i="1" s="1"/>
  <c r="W2038" i="1"/>
  <c r="S2038" i="1"/>
  <c r="Q2038" i="1"/>
  <c r="N2038" i="1"/>
  <c r="L2038" i="1"/>
  <c r="K2038" i="1"/>
  <c r="AB2038" i="1"/>
  <c r="I2038" i="1"/>
  <c r="X2037" i="1"/>
  <c r="Z2037" i="1" s="1"/>
  <c r="W2037" i="1"/>
  <c r="S2037" i="1"/>
  <c r="Q2037" i="1"/>
  <c r="N2037" i="1"/>
  <c r="L2037" i="1"/>
  <c r="K2037" i="1"/>
  <c r="AB2037" i="1"/>
  <c r="I2037" i="1"/>
  <c r="X2036" i="1"/>
  <c r="Z2036" i="1" s="1"/>
  <c r="W2036" i="1"/>
  <c r="S2036" i="1"/>
  <c r="Q2036" i="1"/>
  <c r="N2036" i="1"/>
  <c r="L2036" i="1"/>
  <c r="K2036" i="1"/>
  <c r="AB2036" i="1"/>
  <c r="I2036" i="1"/>
  <c r="X2035" i="1"/>
  <c r="Z2035" i="1" s="1"/>
  <c r="W2035" i="1"/>
  <c r="S2035" i="1"/>
  <c r="Q2035" i="1"/>
  <c r="N2035" i="1"/>
  <c r="L2035" i="1"/>
  <c r="K2035" i="1"/>
  <c r="AB2035" i="1"/>
  <c r="I2035" i="1"/>
  <c r="X2034" i="1"/>
  <c r="Z2034" i="1" s="1"/>
  <c r="W2034" i="1"/>
  <c r="S2034" i="1"/>
  <c r="Q2034" i="1"/>
  <c r="N2034" i="1"/>
  <c r="L2034" i="1"/>
  <c r="K2034" i="1"/>
  <c r="AB2034" i="1"/>
  <c r="I2034" i="1"/>
  <c r="X2033" i="1"/>
  <c r="Z2033" i="1" s="1"/>
  <c r="W2033" i="1"/>
  <c r="S2033" i="1"/>
  <c r="Q2033" i="1"/>
  <c r="N2033" i="1"/>
  <c r="L2033" i="1"/>
  <c r="K2033" i="1"/>
  <c r="AB2033" i="1"/>
  <c r="I2033" i="1"/>
  <c r="X2032" i="1"/>
  <c r="Z2032" i="1" s="1"/>
  <c r="W2032" i="1"/>
  <c r="S2032" i="1"/>
  <c r="Q2032" i="1"/>
  <c r="N2032" i="1"/>
  <c r="L2032" i="1"/>
  <c r="K2032" i="1"/>
  <c r="AB2032" i="1"/>
  <c r="I2032" i="1"/>
  <c r="X2031" i="1"/>
  <c r="Z2031" i="1" s="1"/>
  <c r="W2031" i="1"/>
  <c r="S2031" i="1"/>
  <c r="Q2031" i="1"/>
  <c r="N2031" i="1"/>
  <c r="L2031" i="1"/>
  <c r="K2031" i="1"/>
  <c r="AB2031" i="1"/>
  <c r="I2031" i="1"/>
  <c r="X2030" i="1"/>
  <c r="Z2030" i="1" s="1"/>
  <c r="W2030" i="1"/>
  <c r="S2030" i="1"/>
  <c r="Q2030" i="1"/>
  <c r="N2030" i="1"/>
  <c r="L2030" i="1"/>
  <c r="K2030" i="1"/>
  <c r="AB2030" i="1"/>
  <c r="I2030" i="1"/>
  <c r="X2029" i="1"/>
  <c r="Z2029" i="1" s="1"/>
  <c r="W2029" i="1"/>
  <c r="S2029" i="1"/>
  <c r="Q2029" i="1"/>
  <c r="N2029" i="1"/>
  <c r="L2029" i="1"/>
  <c r="K2029" i="1"/>
  <c r="AB2029" i="1"/>
  <c r="I2029" i="1"/>
  <c r="X2028" i="1"/>
  <c r="Z2028" i="1" s="1"/>
  <c r="W2028" i="1"/>
  <c r="S2028" i="1"/>
  <c r="Q2028" i="1"/>
  <c r="N2028" i="1"/>
  <c r="L2028" i="1"/>
  <c r="K2028" i="1"/>
  <c r="AB2028" i="1"/>
  <c r="I2028" i="1"/>
  <c r="X2027" i="1"/>
  <c r="Z2027" i="1" s="1"/>
  <c r="W2027" i="1"/>
  <c r="S2027" i="1"/>
  <c r="Q2027" i="1"/>
  <c r="N2027" i="1"/>
  <c r="L2027" i="1"/>
  <c r="K2027" i="1"/>
  <c r="AB2027" i="1"/>
  <c r="I2027" i="1"/>
  <c r="X2026" i="1"/>
  <c r="Z2026" i="1" s="1"/>
  <c r="W2026" i="1"/>
  <c r="S2026" i="1"/>
  <c r="Q2026" i="1"/>
  <c r="N2026" i="1"/>
  <c r="L2026" i="1"/>
  <c r="K2026" i="1"/>
  <c r="AB2026" i="1"/>
  <c r="I2026" i="1"/>
  <c r="X2025" i="1"/>
  <c r="Z2025" i="1" s="1"/>
  <c r="W2025" i="1"/>
  <c r="S2025" i="1"/>
  <c r="Q2025" i="1"/>
  <c r="N2025" i="1"/>
  <c r="L2025" i="1"/>
  <c r="K2025" i="1"/>
  <c r="AB2025" i="1"/>
  <c r="I2025" i="1"/>
  <c r="X2024" i="1"/>
  <c r="Z2024" i="1" s="1"/>
  <c r="W2024" i="1"/>
  <c r="S2024" i="1"/>
  <c r="Q2024" i="1"/>
  <c r="N2024" i="1"/>
  <c r="L2024" i="1"/>
  <c r="K2024" i="1"/>
  <c r="AB2024" i="1"/>
  <c r="I2024" i="1"/>
  <c r="X2023" i="1"/>
  <c r="Z2023" i="1" s="1"/>
  <c r="W2023" i="1"/>
  <c r="S2023" i="1"/>
  <c r="Q2023" i="1"/>
  <c r="N2023" i="1"/>
  <c r="L2023" i="1"/>
  <c r="K2023" i="1"/>
  <c r="AB2023" i="1"/>
  <c r="I2023" i="1"/>
  <c r="X2022" i="1"/>
  <c r="Z2022" i="1" s="1"/>
  <c r="W2022" i="1"/>
  <c r="S2022" i="1"/>
  <c r="Q2022" i="1"/>
  <c r="N2022" i="1"/>
  <c r="L2022" i="1"/>
  <c r="K2022" i="1"/>
  <c r="AB2022" i="1"/>
  <c r="I2022" i="1"/>
  <c r="X2021" i="1"/>
  <c r="Z2021" i="1" s="1"/>
  <c r="W2021" i="1"/>
  <c r="S2021" i="1"/>
  <c r="Q2021" i="1"/>
  <c r="N2021" i="1"/>
  <c r="L2021" i="1"/>
  <c r="K2021" i="1"/>
  <c r="AB2021" i="1"/>
  <c r="I2021" i="1"/>
  <c r="X2020" i="1"/>
  <c r="Z2020" i="1" s="1"/>
  <c r="W2020" i="1"/>
  <c r="S2020" i="1"/>
  <c r="Q2020" i="1"/>
  <c r="N2020" i="1"/>
  <c r="L2020" i="1"/>
  <c r="K2020" i="1"/>
  <c r="AB2020" i="1"/>
  <c r="I2020" i="1"/>
  <c r="X2019" i="1"/>
  <c r="Z2019" i="1" s="1"/>
  <c r="W2019" i="1"/>
  <c r="S2019" i="1"/>
  <c r="Q2019" i="1"/>
  <c r="N2019" i="1"/>
  <c r="L2019" i="1"/>
  <c r="K2019" i="1"/>
  <c r="AB2019" i="1"/>
  <c r="I2019" i="1"/>
  <c r="X2018" i="1"/>
  <c r="Z2018" i="1" s="1"/>
  <c r="W2018" i="1"/>
  <c r="S2018" i="1"/>
  <c r="Q2018" i="1"/>
  <c r="N2018" i="1"/>
  <c r="L2018" i="1"/>
  <c r="K2018" i="1"/>
  <c r="AB2018" i="1"/>
  <c r="I2018" i="1"/>
  <c r="X2017" i="1"/>
  <c r="Z2017" i="1" s="1"/>
  <c r="W2017" i="1"/>
  <c r="S2017" i="1"/>
  <c r="Q2017" i="1"/>
  <c r="N2017" i="1"/>
  <c r="L2017" i="1"/>
  <c r="K2017" i="1"/>
  <c r="AB2017" i="1"/>
  <c r="I2017" i="1"/>
  <c r="X2016" i="1"/>
  <c r="Z2016" i="1" s="1"/>
  <c r="W2016" i="1"/>
  <c r="S2016" i="1"/>
  <c r="Q2016" i="1"/>
  <c r="N2016" i="1"/>
  <c r="L2016" i="1"/>
  <c r="K2016" i="1"/>
  <c r="AB2016" i="1"/>
  <c r="I2016" i="1"/>
  <c r="X2015" i="1"/>
  <c r="Z2015" i="1" s="1"/>
  <c r="W2015" i="1"/>
  <c r="S2015" i="1"/>
  <c r="Q2015" i="1"/>
  <c r="N2015" i="1"/>
  <c r="L2015" i="1"/>
  <c r="K2015" i="1"/>
  <c r="AB2015" i="1"/>
  <c r="I2015" i="1"/>
  <c r="X2014" i="1"/>
  <c r="Z2014" i="1" s="1"/>
  <c r="W2014" i="1"/>
  <c r="S2014" i="1"/>
  <c r="Q2014" i="1"/>
  <c r="N2014" i="1"/>
  <c r="L2014" i="1"/>
  <c r="K2014" i="1"/>
  <c r="AB2014" i="1"/>
  <c r="I2014" i="1"/>
  <c r="X2013" i="1"/>
  <c r="Z2013" i="1" s="1"/>
  <c r="W2013" i="1"/>
  <c r="S2013" i="1"/>
  <c r="Q2013" i="1"/>
  <c r="N2013" i="1"/>
  <c r="L2013" i="1"/>
  <c r="K2013" i="1"/>
  <c r="AB2013" i="1"/>
  <c r="I2013" i="1"/>
  <c r="X2012" i="1"/>
  <c r="Z2012" i="1" s="1"/>
  <c r="W2012" i="1"/>
  <c r="S2012" i="1"/>
  <c r="Q2012" i="1"/>
  <c r="N2012" i="1"/>
  <c r="L2012" i="1"/>
  <c r="K2012" i="1"/>
  <c r="AB2012" i="1"/>
  <c r="I2012" i="1"/>
  <c r="X2011" i="1"/>
  <c r="Z2011" i="1" s="1"/>
  <c r="W2011" i="1"/>
  <c r="S2011" i="1"/>
  <c r="Q2011" i="1"/>
  <c r="N2011" i="1"/>
  <c r="L2011" i="1"/>
  <c r="K2011" i="1"/>
  <c r="AB2011" i="1"/>
  <c r="I2011" i="1"/>
  <c r="X2010" i="1"/>
  <c r="Z2010" i="1" s="1"/>
  <c r="W2010" i="1"/>
  <c r="S2010" i="1"/>
  <c r="Q2010" i="1"/>
  <c r="N2010" i="1"/>
  <c r="L2010" i="1"/>
  <c r="K2010" i="1"/>
  <c r="AB2010" i="1"/>
  <c r="I2010" i="1"/>
  <c r="X2009" i="1"/>
  <c r="Z2009" i="1" s="1"/>
  <c r="W2009" i="1"/>
  <c r="S2009" i="1"/>
  <c r="Q2009" i="1"/>
  <c r="N2009" i="1"/>
  <c r="L2009" i="1"/>
  <c r="K2009" i="1"/>
  <c r="AB2009" i="1"/>
  <c r="I2009" i="1"/>
  <c r="X2008" i="1"/>
  <c r="Z2008" i="1" s="1"/>
  <c r="W2008" i="1"/>
  <c r="S2008" i="1"/>
  <c r="Q2008" i="1"/>
  <c r="N2008" i="1"/>
  <c r="L2008" i="1"/>
  <c r="K2008" i="1"/>
  <c r="AB2008" i="1"/>
  <c r="I2008" i="1"/>
  <c r="X2007" i="1"/>
  <c r="Z2007" i="1" s="1"/>
  <c r="W2007" i="1"/>
  <c r="S2007" i="1"/>
  <c r="Q2007" i="1"/>
  <c r="N2007" i="1"/>
  <c r="L2007" i="1"/>
  <c r="K2007" i="1"/>
  <c r="AB2007" i="1"/>
  <c r="I2007" i="1"/>
  <c r="X2006" i="1"/>
  <c r="Z2006" i="1" s="1"/>
  <c r="W2006" i="1"/>
  <c r="S2006" i="1"/>
  <c r="Q2006" i="1"/>
  <c r="N2006" i="1"/>
  <c r="L2006" i="1"/>
  <c r="K2006" i="1"/>
  <c r="AB2006" i="1"/>
  <c r="I2006" i="1"/>
  <c r="X2005" i="1"/>
  <c r="Z2005" i="1" s="1"/>
  <c r="W2005" i="1"/>
  <c r="S2005" i="1"/>
  <c r="Q2005" i="1"/>
  <c r="N2005" i="1"/>
  <c r="L2005" i="1"/>
  <c r="K2005" i="1"/>
  <c r="AB2005" i="1"/>
  <c r="I2005" i="1"/>
  <c r="X2004" i="1"/>
  <c r="Z2004" i="1" s="1"/>
  <c r="W2004" i="1"/>
  <c r="S2004" i="1"/>
  <c r="Q2004" i="1"/>
  <c r="N2004" i="1"/>
  <c r="L2004" i="1"/>
  <c r="K2004" i="1"/>
  <c r="AB2004" i="1"/>
  <c r="I2004" i="1"/>
  <c r="X2003" i="1"/>
  <c r="Z2003" i="1" s="1"/>
  <c r="W2003" i="1"/>
  <c r="S2003" i="1"/>
  <c r="Q2003" i="1"/>
  <c r="N2003" i="1"/>
  <c r="L2003" i="1"/>
  <c r="K2003" i="1"/>
  <c r="AB2003" i="1"/>
  <c r="I2003" i="1"/>
  <c r="X2002" i="1"/>
  <c r="Z2002" i="1" s="1"/>
  <c r="W2002" i="1"/>
  <c r="S2002" i="1"/>
  <c r="Q2002" i="1"/>
  <c r="N2002" i="1"/>
  <c r="L2002" i="1"/>
  <c r="K2002" i="1"/>
  <c r="AB2002" i="1"/>
  <c r="I2002" i="1"/>
  <c r="X2001" i="1"/>
  <c r="Z2001" i="1" s="1"/>
  <c r="W2001" i="1"/>
  <c r="S2001" i="1"/>
  <c r="Q2001" i="1"/>
  <c r="N2001" i="1"/>
  <c r="L2001" i="1"/>
  <c r="K2001" i="1"/>
  <c r="AB2001" i="1"/>
  <c r="I2001" i="1"/>
  <c r="X2000" i="1"/>
  <c r="Z2000" i="1" s="1"/>
  <c r="W2000" i="1"/>
  <c r="S2000" i="1"/>
  <c r="Q2000" i="1"/>
  <c r="N2000" i="1"/>
  <c r="L2000" i="1"/>
  <c r="K2000" i="1"/>
  <c r="AB2000" i="1"/>
  <c r="I2000" i="1"/>
  <c r="X1999" i="1"/>
  <c r="Z1999" i="1" s="1"/>
  <c r="W1999" i="1"/>
  <c r="S1999" i="1"/>
  <c r="Q1999" i="1"/>
  <c r="N1999" i="1"/>
  <c r="L1999" i="1"/>
  <c r="K1999" i="1"/>
  <c r="AB1999" i="1"/>
  <c r="I1999" i="1"/>
  <c r="X1998" i="1"/>
  <c r="Z1998" i="1" s="1"/>
  <c r="W1998" i="1"/>
  <c r="S1998" i="1"/>
  <c r="Q1998" i="1"/>
  <c r="N1998" i="1"/>
  <c r="L1998" i="1"/>
  <c r="K1998" i="1"/>
  <c r="AB1998" i="1"/>
  <c r="I1998" i="1"/>
  <c r="X1997" i="1"/>
  <c r="Z1997" i="1" s="1"/>
  <c r="W1997" i="1"/>
  <c r="S1997" i="1"/>
  <c r="Q1997" i="1"/>
  <c r="N1997" i="1"/>
  <c r="L1997" i="1"/>
  <c r="K1997" i="1"/>
  <c r="AB1997" i="1"/>
  <c r="I1997" i="1"/>
  <c r="X1996" i="1"/>
  <c r="Z1996" i="1" s="1"/>
  <c r="W1996" i="1"/>
  <c r="S1996" i="1"/>
  <c r="Q1996" i="1"/>
  <c r="N1996" i="1"/>
  <c r="L1996" i="1"/>
  <c r="K1996" i="1"/>
  <c r="AB1996" i="1"/>
  <c r="I1996" i="1"/>
  <c r="X1995" i="1"/>
  <c r="Z1995" i="1" s="1"/>
  <c r="W1995" i="1"/>
  <c r="S1995" i="1"/>
  <c r="Q1995" i="1"/>
  <c r="N1995" i="1"/>
  <c r="L1995" i="1"/>
  <c r="K1995" i="1"/>
  <c r="AB1995" i="1"/>
  <c r="I1995" i="1"/>
  <c r="X1994" i="1"/>
  <c r="Z1994" i="1" s="1"/>
  <c r="W1994" i="1"/>
  <c r="S1994" i="1"/>
  <c r="Q1994" i="1"/>
  <c r="N1994" i="1"/>
  <c r="L1994" i="1"/>
  <c r="K1994" i="1"/>
  <c r="AB1994" i="1"/>
  <c r="I1994" i="1"/>
  <c r="X1993" i="1"/>
  <c r="Z1993" i="1" s="1"/>
  <c r="W1993" i="1"/>
  <c r="S1993" i="1"/>
  <c r="Q1993" i="1"/>
  <c r="N1993" i="1"/>
  <c r="L1993" i="1"/>
  <c r="K1993" i="1"/>
  <c r="AB1993" i="1"/>
  <c r="I1993" i="1"/>
  <c r="X1992" i="1"/>
  <c r="Z1992" i="1" s="1"/>
  <c r="W1992" i="1"/>
  <c r="S1992" i="1"/>
  <c r="Q1992" i="1"/>
  <c r="N1992" i="1"/>
  <c r="L1992" i="1"/>
  <c r="K1992" i="1"/>
  <c r="AB1992" i="1"/>
  <c r="I1992" i="1"/>
  <c r="X1991" i="1"/>
  <c r="Z1991" i="1" s="1"/>
  <c r="W1991" i="1"/>
  <c r="S1991" i="1"/>
  <c r="Q1991" i="1"/>
  <c r="N1991" i="1"/>
  <c r="L1991" i="1"/>
  <c r="K1991" i="1"/>
  <c r="AB1991" i="1"/>
  <c r="I1991" i="1"/>
  <c r="X1990" i="1"/>
  <c r="Z1990" i="1" s="1"/>
  <c r="W1990" i="1"/>
  <c r="S1990" i="1"/>
  <c r="Q1990" i="1"/>
  <c r="N1990" i="1"/>
  <c r="L1990" i="1"/>
  <c r="K1990" i="1"/>
  <c r="AB1990" i="1"/>
  <c r="I1990" i="1"/>
  <c r="X1989" i="1"/>
  <c r="Z1989" i="1" s="1"/>
  <c r="W1989" i="1"/>
  <c r="S1989" i="1"/>
  <c r="Q1989" i="1"/>
  <c r="N1989" i="1"/>
  <c r="L1989" i="1"/>
  <c r="K1989" i="1"/>
  <c r="AB1989" i="1"/>
  <c r="I1989" i="1"/>
  <c r="X1988" i="1"/>
  <c r="Z1988" i="1" s="1"/>
  <c r="W1988" i="1"/>
  <c r="S1988" i="1"/>
  <c r="Q1988" i="1"/>
  <c r="N1988" i="1"/>
  <c r="L1988" i="1"/>
  <c r="K1988" i="1"/>
  <c r="AB1988" i="1"/>
  <c r="I1988" i="1"/>
  <c r="X1987" i="1"/>
  <c r="Z1987" i="1" s="1"/>
  <c r="W1987" i="1"/>
  <c r="S1987" i="1"/>
  <c r="Q1987" i="1"/>
  <c r="N1987" i="1"/>
  <c r="L1987" i="1"/>
  <c r="K1987" i="1"/>
  <c r="AB1987" i="1"/>
  <c r="I1987" i="1"/>
  <c r="X1986" i="1"/>
  <c r="Z1986" i="1" s="1"/>
  <c r="W1986" i="1"/>
  <c r="S1986" i="1"/>
  <c r="Q1986" i="1"/>
  <c r="N1986" i="1"/>
  <c r="L1986" i="1"/>
  <c r="K1986" i="1"/>
  <c r="AB1986" i="1"/>
  <c r="I1986" i="1"/>
  <c r="X1985" i="1"/>
  <c r="Z1985" i="1" s="1"/>
  <c r="W1985" i="1"/>
  <c r="S1985" i="1"/>
  <c r="Q1985" i="1"/>
  <c r="N1985" i="1"/>
  <c r="L1985" i="1"/>
  <c r="K1985" i="1"/>
  <c r="AB1985" i="1"/>
  <c r="I1985" i="1"/>
  <c r="X1984" i="1"/>
  <c r="Z1984" i="1" s="1"/>
  <c r="W1984" i="1"/>
  <c r="S1984" i="1"/>
  <c r="Q1984" i="1"/>
  <c r="N1984" i="1"/>
  <c r="L1984" i="1"/>
  <c r="K1984" i="1"/>
  <c r="AB1984" i="1"/>
  <c r="I1984" i="1"/>
  <c r="X1983" i="1"/>
  <c r="Z1983" i="1" s="1"/>
  <c r="W1983" i="1"/>
  <c r="S1983" i="1"/>
  <c r="Q1983" i="1"/>
  <c r="N1983" i="1"/>
  <c r="L1983" i="1"/>
  <c r="K1983" i="1"/>
  <c r="AB1983" i="1"/>
  <c r="I1983" i="1"/>
  <c r="X1982" i="1"/>
  <c r="Z1982" i="1" s="1"/>
  <c r="W1982" i="1"/>
  <c r="S1982" i="1"/>
  <c r="Q1982" i="1"/>
  <c r="N1982" i="1"/>
  <c r="L1982" i="1"/>
  <c r="K1982" i="1"/>
  <c r="AB1982" i="1"/>
  <c r="I1982" i="1"/>
  <c r="X1981" i="1"/>
  <c r="Z1981" i="1" s="1"/>
  <c r="W1981" i="1"/>
  <c r="S1981" i="1"/>
  <c r="Q1981" i="1"/>
  <c r="N1981" i="1"/>
  <c r="L1981" i="1"/>
  <c r="K1981" i="1"/>
  <c r="AB1981" i="1"/>
  <c r="I1981" i="1"/>
  <c r="X1980" i="1"/>
  <c r="Z1980" i="1" s="1"/>
  <c r="W1980" i="1"/>
  <c r="S1980" i="1"/>
  <c r="Q1980" i="1"/>
  <c r="N1980" i="1"/>
  <c r="L1980" i="1"/>
  <c r="K1980" i="1"/>
  <c r="AB1980" i="1"/>
  <c r="I1980" i="1"/>
  <c r="X1979" i="1"/>
  <c r="Z1979" i="1" s="1"/>
  <c r="W1979" i="1"/>
  <c r="S1979" i="1"/>
  <c r="Q1979" i="1"/>
  <c r="N1979" i="1"/>
  <c r="L1979" i="1"/>
  <c r="K1979" i="1"/>
  <c r="AB1979" i="1"/>
  <c r="I1979" i="1"/>
  <c r="X1978" i="1"/>
  <c r="Z1978" i="1" s="1"/>
  <c r="W1978" i="1"/>
  <c r="S1978" i="1"/>
  <c r="Q1978" i="1"/>
  <c r="N1978" i="1"/>
  <c r="L1978" i="1"/>
  <c r="K1978" i="1"/>
  <c r="AB1978" i="1"/>
  <c r="I1978" i="1"/>
  <c r="X1977" i="1"/>
  <c r="Z1977" i="1" s="1"/>
  <c r="W1977" i="1"/>
  <c r="S1977" i="1"/>
  <c r="Q1977" i="1"/>
  <c r="N1977" i="1"/>
  <c r="L1977" i="1"/>
  <c r="K1977" i="1"/>
  <c r="AB1977" i="1"/>
  <c r="I1977" i="1"/>
  <c r="X1976" i="1"/>
  <c r="Z1976" i="1" s="1"/>
  <c r="W1976" i="1"/>
  <c r="S1976" i="1"/>
  <c r="Q1976" i="1"/>
  <c r="N1976" i="1"/>
  <c r="L1976" i="1"/>
  <c r="K1976" i="1"/>
  <c r="AB1976" i="1"/>
  <c r="I1976" i="1"/>
  <c r="X1975" i="1"/>
  <c r="Z1975" i="1" s="1"/>
  <c r="W1975" i="1"/>
  <c r="S1975" i="1"/>
  <c r="Q1975" i="1"/>
  <c r="N1975" i="1"/>
  <c r="L1975" i="1"/>
  <c r="K1975" i="1"/>
  <c r="AB1975" i="1"/>
  <c r="I1975" i="1"/>
  <c r="X1974" i="1"/>
  <c r="Z1974" i="1" s="1"/>
  <c r="W1974" i="1"/>
  <c r="S1974" i="1"/>
  <c r="Q1974" i="1"/>
  <c r="N1974" i="1"/>
  <c r="L1974" i="1"/>
  <c r="K1974" i="1"/>
  <c r="AB1974" i="1"/>
  <c r="I1974" i="1"/>
  <c r="X1973" i="1"/>
  <c r="Z1973" i="1" s="1"/>
  <c r="W1973" i="1"/>
  <c r="S1973" i="1"/>
  <c r="Q1973" i="1"/>
  <c r="N1973" i="1"/>
  <c r="L1973" i="1"/>
  <c r="K1973" i="1"/>
  <c r="AB1973" i="1"/>
  <c r="I1973" i="1"/>
  <c r="X1972" i="1"/>
  <c r="Z1972" i="1" s="1"/>
  <c r="W1972" i="1"/>
  <c r="S1972" i="1"/>
  <c r="Q1972" i="1"/>
  <c r="N1972" i="1"/>
  <c r="L1972" i="1"/>
  <c r="K1972" i="1"/>
  <c r="AB1972" i="1"/>
  <c r="I1972" i="1"/>
  <c r="X1971" i="1"/>
  <c r="Z1971" i="1" s="1"/>
  <c r="W1971" i="1"/>
  <c r="S1971" i="1"/>
  <c r="Q1971" i="1"/>
  <c r="N1971" i="1"/>
  <c r="L1971" i="1"/>
  <c r="K1971" i="1"/>
  <c r="AB1971" i="1"/>
  <c r="I1971" i="1"/>
  <c r="X1970" i="1"/>
  <c r="Z1970" i="1" s="1"/>
  <c r="W1970" i="1"/>
  <c r="S1970" i="1"/>
  <c r="Q1970" i="1"/>
  <c r="N1970" i="1"/>
  <c r="L1970" i="1"/>
  <c r="K1970" i="1"/>
  <c r="AB1970" i="1"/>
  <c r="I1970" i="1"/>
  <c r="X1969" i="1"/>
  <c r="Z1969" i="1" s="1"/>
  <c r="W1969" i="1"/>
  <c r="S1969" i="1"/>
  <c r="Q1969" i="1"/>
  <c r="N1969" i="1"/>
  <c r="L1969" i="1"/>
  <c r="K1969" i="1"/>
  <c r="AB1969" i="1"/>
  <c r="I1969" i="1"/>
  <c r="X1968" i="1"/>
  <c r="Z1968" i="1" s="1"/>
  <c r="W1968" i="1"/>
  <c r="S1968" i="1"/>
  <c r="Q1968" i="1"/>
  <c r="N1968" i="1"/>
  <c r="L1968" i="1"/>
  <c r="K1968" i="1"/>
  <c r="AB1968" i="1"/>
  <c r="I1968" i="1"/>
  <c r="X1967" i="1"/>
  <c r="Z1967" i="1" s="1"/>
  <c r="W1967" i="1"/>
  <c r="S1967" i="1"/>
  <c r="Q1967" i="1"/>
  <c r="N1967" i="1"/>
  <c r="L1967" i="1"/>
  <c r="K1967" i="1"/>
  <c r="AB1967" i="1"/>
  <c r="I1967" i="1"/>
  <c r="X1966" i="1"/>
  <c r="Z1966" i="1" s="1"/>
  <c r="W1966" i="1"/>
  <c r="S1966" i="1"/>
  <c r="Q1966" i="1"/>
  <c r="N1966" i="1"/>
  <c r="L1966" i="1"/>
  <c r="K1966" i="1"/>
  <c r="AB1966" i="1"/>
  <c r="I1966" i="1"/>
  <c r="X1965" i="1"/>
  <c r="Z1965" i="1" s="1"/>
  <c r="W1965" i="1"/>
  <c r="S1965" i="1"/>
  <c r="Q1965" i="1"/>
  <c r="N1965" i="1"/>
  <c r="L1965" i="1"/>
  <c r="K1965" i="1"/>
  <c r="AB1965" i="1"/>
  <c r="I1965" i="1"/>
  <c r="X1964" i="1"/>
  <c r="Z1964" i="1" s="1"/>
  <c r="W1964" i="1"/>
  <c r="S1964" i="1"/>
  <c r="Q1964" i="1"/>
  <c r="N1964" i="1"/>
  <c r="L1964" i="1"/>
  <c r="K1964" i="1"/>
  <c r="AB1964" i="1"/>
  <c r="I1964" i="1"/>
  <c r="X1963" i="1"/>
  <c r="Z1963" i="1" s="1"/>
  <c r="W1963" i="1"/>
  <c r="S1963" i="1"/>
  <c r="Q1963" i="1"/>
  <c r="N1963" i="1"/>
  <c r="L1963" i="1"/>
  <c r="K1963" i="1"/>
  <c r="AB1963" i="1"/>
  <c r="I1963" i="1"/>
  <c r="X1962" i="1"/>
  <c r="Z1962" i="1" s="1"/>
  <c r="W1962" i="1"/>
  <c r="S1962" i="1"/>
  <c r="Q1962" i="1"/>
  <c r="N1962" i="1"/>
  <c r="L1962" i="1"/>
  <c r="K1962" i="1"/>
  <c r="AB1962" i="1"/>
  <c r="I1962" i="1"/>
  <c r="X1961" i="1"/>
  <c r="Z1961" i="1" s="1"/>
  <c r="W1961" i="1"/>
  <c r="S1961" i="1"/>
  <c r="Q1961" i="1"/>
  <c r="N1961" i="1"/>
  <c r="L1961" i="1"/>
  <c r="K1961" i="1"/>
  <c r="AB1961" i="1"/>
  <c r="I1961" i="1"/>
  <c r="X1960" i="1"/>
  <c r="Z1960" i="1" s="1"/>
  <c r="W1960" i="1"/>
  <c r="S1960" i="1"/>
  <c r="Q1960" i="1"/>
  <c r="N1960" i="1"/>
  <c r="L1960" i="1"/>
  <c r="K1960" i="1"/>
  <c r="AB1960" i="1"/>
  <c r="I1960" i="1"/>
  <c r="X1959" i="1"/>
  <c r="Z1959" i="1" s="1"/>
  <c r="W1959" i="1"/>
  <c r="S1959" i="1"/>
  <c r="Q1959" i="1"/>
  <c r="N1959" i="1"/>
  <c r="L1959" i="1"/>
  <c r="K1959" i="1"/>
  <c r="AB1959" i="1"/>
  <c r="I1959" i="1"/>
  <c r="X1958" i="1"/>
  <c r="Z1958" i="1" s="1"/>
  <c r="W1958" i="1"/>
  <c r="S1958" i="1"/>
  <c r="Q1958" i="1"/>
  <c r="N1958" i="1"/>
  <c r="L1958" i="1"/>
  <c r="K1958" i="1"/>
  <c r="AB1958" i="1"/>
  <c r="I1958" i="1"/>
  <c r="X1957" i="1"/>
  <c r="Z1957" i="1" s="1"/>
  <c r="W1957" i="1"/>
  <c r="S1957" i="1"/>
  <c r="Q1957" i="1"/>
  <c r="N1957" i="1"/>
  <c r="L1957" i="1"/>
  <c r="K1957" i="1"/>
  <c r="AB1957" i="1"/>
  <c r="I1957" i="1"/>
  <c r="X1956" i="1"/>
  <c r="Z1956" i="1" s="1"/>
  <c r="W1956" i="1"/>
  <c r="S1956" i="1"/>
  <c r="Q1956" i="1"/>
  <c r="N1956" i="1"/>
  <c r="L1956" i="1"/>
  <c r="K1956" i="1"/>
  <c r="AB1956" i="1"/>
  <c r="I1956" i="1"/>
  <c r="X1955" i="1"/>
  <c r="Z1955" i="1" s="1"/>
  <c r="W1955" i="1"/>
  <c r="S1955" i="1"/>
  <c r="Q1955" i="1"/>
  <c r="N1955" i="1"/>
  <c r="L1955" i="1"/>
  <c r="K1955" i="1"/>
  <c r="AB1955" i="1"/>
  <c r="I1955" i="1"/>
  <c r="X1954" i="1"/>
  <c r="Z1954" i="1" s="1"/>
  <c r="W1954" i="1"/>
  <c r="S1954" i="1"/>
  <c r="Q1954" i="1"/>
  <c r="N1954" i="1"/>
  <c r="L1954" i="1"/>
  <c r="K1954" i="1"/>
  <c r="AB1954" i="1"/>
  <c r="I1954" i="1"/>
  <c r="X1953" i="1"/>
  <c r="Z1953" i="1" s="1"/>
  <c r="W1953" i="1"/>
  <c r="S1953" i="1"/>
  <c r="Q1953" i="1"/>
  <c r="N1953" i="1"/>
  <c r="L1953" i="1"/>
  <c r="K1953" i="1"/>
  <c r="AB1953" i="1"/>
  <c r="I1953" i="1"/>
  <c r="X1952" i="1"/>
  <c r="Z1952" i="1" s="1"/>
  <c r="W1952" i="1"/>
  <c r="S1952" i="1"/>
  <c r="Q1952" i="1"/>
  <c r="N1952" i="1"/>
  <c r="L1952" i="1"/>
  <c r="K1952" i="1"/>
  <c r="AB1952" i="1"/>
  <c r="I1952" i="1"/>
  <c r="X1951" i="1"/>
  <c r="Z1951" i="1" s="1"/>
  <c r="W1951" i="1"/>
  <c r="S1951" i="1"/>
  <c r="Q1951" i="1"/>
  <c r="N1951" i="1"/>
  <c r="L1951" i="1"/>
  <c r="K1951" i="1"/>
  <c r="AB1951" i="1"/>
  <c r="I1951" i="1"/>
  <c r="X1950" i="1"/>
  <c r="Z1950" i="1" s="1"/>
  <c r="W1950" i="1"/>
  <c r="S1950" i="1"/>
  <c r="Q1950" i="1"/>
  <c r="N1950" i="1"/>
  <c r="L1950" i="1"/>
  <c r="K1950" i="1"/>
  <c r="AB1950" i="1"/>
  <c r="I1950" i="1"/>
  <c r="X1949" i="1"/>
  <c r="Z1949" i="1" s="1"/>
  <c r="W1949" i="1"/>
  <c r="S1949" i="1"/>
  <c r="Q1949" i="1"/>
  <c r="N1949" i="1"/>
  <c r="L1949" i="1"/>
  <c r="K1949" i="1"/>
  <c r="AB1949" i="1"/>
  <c r="I1949" i="1"/>
  <c r="X1948" i="1"/>
  <c r="Z1948" i="1" s="1"/>
  <c r="W1948" i="1"/>
  <c r="S1948" i="1"/>
  <c r="Q1948" i="1"/>
  <c r="N1948" i="1"/>
  <c r="L1948" i="1"/>
  <c r="K1948" i="1"/>
  <c r="AB1948" i="1"/>
  <c r="I1948" i="1"/>
  <c r="X1947" i="1"/>
  <c r="Z1947" i="1" s="1"/>
  <c r="W1947" i="1"/>
  <c r="S1947" i="1"/>
  <c r="Q1947" i="1"/>
  <c r="N1947" i="1"/>
  <c r="L1947" i="1"/>
  <c r="K1947" i="1"/>
  <c r="AB1947" i="1"/>
  <c r="I1947" i="1"/>
  <c r="X1946" i="1"/>
  <c r="Z1946" i="1" s="1"/>
  <c r="W1946" i="1"/>
  <c r="S1946" i="1"/>
  <c r="Q1946" i="1"/>
  <c r="N1946" i="1"/>
  <c r="L1946" i="1"/>
  <c r="K1946" i="1"/>
  <c r="AB1946" i="1"/>
  <c r="I1946" i="1"/>
  <c r="X1945" i="1"/>
  <c r="Z1945" i="1" s="1"/>
  <c r="W1945" i="1"/>
  <c r="S1945" i="1"/>
  <c r="Q1945" i="1"/>
  <c r="N1945" i="1"/>
  <c r="L1945" i="1"/>
  <c r="K1945" i="1"/>
  <c r="AB1945" i="1"/>
  <c r="I1945" i="1"/>
  <c r="X1944" i="1"/>
  <c r="Z1944" i="1" s="1"/>
  <c r="W1944" i="1"/>
  <c r="S1944" i="1"/>
  <c r="Q1944" i="1"/>
  <c r="N1944" i="1"/>
  <c r="L1944" i="1"/>
  <c r="K1944" i="1"/>
  <c r="AB1944" i="1"/>
  <c r="I1944" i="1"/>
  <c r="X1943" i="1"/>
  <c r="Z1943" i="1" s="1"/>
  <c r="W1943" i="1"/>
  <c r="S1943" i="1"/>
  <c r="Q1943" i="1"/>
  <c r="N1943" i="1"/>
  <c r="L1943" i="1"/>
  <c r="K1943" i="1"/>
  <c r="AB1943" i="1"/>
  <c r="I1943" i="1"/>
  <c r="X1942" i="1"/>
  <c r="Z1942" i="1" s="1"/>
  <c r="W1942" i="1"/>
  <c r="S1942" i="1"/>
  <c r="Q1942" i="1"/>
  <c r="N1942" i="1"/>
  <c r="L1942" i="1"/>
  <c r="K1942" i="1"/>
  <c r="AB1942" i="1"/>
  <c r="I1942" i="1"/>
  <c r="X1941" i="1"/>
  <c r="Z1941" i="1" s="1"/>
  <c r="W1941" i="1"/>
  <c r="S1941" i="1"/>
  <c r="Q1941" i="1"/>
  <c r="N1941" i="1"/>
  <c r="L1941" i="1"/>
  <c r="K1941" i="1"/>
  <c r="AB1941" i="1"/>
  <c r="I1941" i="1"/>
  <c r="X1940" i="1"/>
  <c r="Z1940" i="1" s="1"/>
  <c r="W1940" i="1"/>
  <c r="S1940" i="1"/>
  <c r="Q1940" i="1"/>
  <c r="N1940" i="1"/>
  <c r="L1940" i="1"/>
  <c r="K1940" i="1"/>
  <c r="AB1940" i="1"/>
  <c r="I1940" i="1"/>
  <c r="X1939" i="1"/>
  <c r="Z1939" i="1" s="1"/>
  <c r="W1939" i="1"/>
  <c r="S1939" i="1"/>
  <c r="Q1939" i="1"/>
  <c r="N1939" i="1"/>
  <c r="L1939" i="1"/>
  <c r="K1939" i="1"/>
  <c r="AB1939" i="1"/>
  <c r="I1939" i="1"/>
  <c r="X1938" i="1"/>
  <c r="Z1938" i="1" s="1"/>
  <c r="W1938" i="1"/>
  <c r="S1938" i="1"/>
  <c r="Q1938" i="1"/>
  <c r="N1938" i="1"/>
  <c r="L1938" i="1"/>
  <c r="K1938" i="1"/>
  <c r="AB1938" i="1"/>
  <c r="I1938" i="1"/>
  <c r="X1937" i="1"/>
  <c r="Z1937" i="1" s="1"/>
  <c r="W1937" i="1"/>
  <c r="S1937" i="1"/>
  <c r="Q1937" i="1"/>
  <c r="N1937" i="1"/>
  <c r="L1937" i="1"/>
  <c r="K1937" i="1"/>
  <c r="AB1937" i="1"/>
  <c r="I1937" i="1"/>
  <c r="X1936" i="1"/>
  <c r="Z1936" i="1" s="1"/>
  <c r="W1936" i="1"/>
  <c r="S1936" i="1"/>
  <c r="Q1936" i="1"/>
  <c r="N1936" i="1"/>
  <c r="L1936" i="1"/>
  <c r="K1936" i="1"/>
  <c r="AB1936" i="1"/>
  <c r="I1936" i="1"/>
  <c r="X1935" i="1"/>
  <c r="Z1935" i="1" s="1"/>
  <c r="W1935" i="1"/>
  <c r="S1935" i="1"/>
  <c r="Q1935" i="1"/>
  <c r="N1935" i="1"/>
  <c r="L1935" i="1"/>
  <c r="K1935" i="1"/>
  <c r="AB1935" i="1"/>
  <c r="I1935" i="1"/>
  <c r="X1934" i="1"/>
  <c r="Z1934" i="1" s="1"/>
  <c r="W1934" i="1"/>
  <c r="S1934" i="1"/>
  <c r="Q1934" i="1"/>
  <c r="N1934" i="1"/>
  <c r="L1934" i="1"/>
  <c r="K1934" i="1"/>
  <c r="AB1934" i="1"/>
  <c r="I1934" i="1"/>
  <c r="X1933" i="1"/>
  <c r="Z1933" i="1" s="1"/>
  <c r="W1933" i="1"/>
  <c r="S1933" i="1"/>
  <c r="Q1933" i="1"/>
  <c r="N1933" i="1"/>
  <c r="L1933" i="1"/>
  <c r="K1933" i="1"/>
  <c r="AB1933" i="1"/>
  <c r="I1933" i="1"/>
  <c r="X1932" i="1"/>
  <c r="Z1932" i="1" s="1"/>
  <c r="W1932" i="1"/>
  <c r="S1932" i="1"/>
  <c r="Q1932" i="1"/>
  <c r="N1932" i="1"/>
  <c r="L1932" i="1"/>
  <c r="K1932" i="1"/>
  <c r="AB1932" i="1"/>
  <c r="I1932" i="1"/>
  <c r="X1931" i="1"/>
  <c r="Z1931" i="1" s="1"/>
  <c r="W1931" i="1"/>
  <c r="S1931" i="1"/>
  <c r="Q1931" i="1"/>
  <c r="N1931" i="1"/>
  <c r="L1931" i="1"/>
  <c r="K1931" i="1"/>
  <c r="AB1931" i="1"/>
  <c r="I1931" i="1"/>
  <c r="X1930" i="1"/>
  <c r="Z1930" i="1" s="1"/>
  <c r="W1930" i="1"/>
  <c r="S1930" i="1"/>
  <c r="Q1930" i="1"/>
  <c r="N1930" i="1"/>
  <c r="L1930" i="1"/>
  <c r="K1930" i="1"/>
  <c r="AB1930" i="1"/>
  <c r="I1930" i="1"/>
  <c r="X1929" i="1"/>
  <c r="Z1929" i="1" s="1"/>
  <c r="W1929" i="1"/>
  <c r="S1929" i="1"/>
  <c r="Q1929" i="1"/>
  <c r="N1929" i="1"/>
  <c r="L1929" i="1"/>
  <c r="K1929" i="1"/>
  <c r="AB1929" i="1"/>
  <c r="I1929" i="1"/>
  <c r="X1928" i="1"/>
  <c r="Z1928" i="1" s="1"/>
  <c r="W1928" i="1"/>
  <c r="S1928" i="1"/>
  <c r="Q1928" i="1"/>
  <c r="N1928" i="1"/>
  <c r="L1928" i="1"/>
  <c r="K1928" i="1"/>
  <c r="AB1928" i="1"/>
  <c r="I1928" i="1"/>
  <c r="X1927" i="1"/>
  <c r="Z1927" i="1" s="1"/>
  <c r="W1927" i="1"/>
  <c r="S1927" i="1"/>
  <c r="Q1927" i="1"/>
  <c r="N1927" i="1"/>
  <c r="L1927" i="1"/>
  <c r="K1927" i="1"/>
  <c r="AB1927" i="1"/>
  <c r="I1927" i="1"/>
  <c r="X1926" i="1"/>
  <c r="Z1926" i="1" s="1"/>
  <c r="W1926" i="1"/>
  <c r="S1926" i="1"/>
  <c r="Q1926" i="1"/>
  <c r="N1926" i="1"/>
  <c r="L1926" i="1"/>
  <c r="K1926" i="1"/>
  <c r="AB1926" i="1"/>
  <c r="I1926" i="1"/>
  <c r="X1925" i="1"/>
  <c r="Z1925" i="1" s="1"/>
  <c r="W1925" i="1"/>
  <c r="S1925" i="1"/>
  <c r="Q1925" i="1"/>
  <c r="N1925" i="1"/>
  <c r="L1925" i="1"/>
  <c r="K1925" i="1"/>
  <c r="AB1925" i="1"/>
  <c r="I1925" i="1"/>
  <c r="X1924" i="1"/>
  <c r="Z1924" i="1" s="1"/>
  <c r="W1924" i="1"/>
  <c r="S1924" i="1"/>
  <c r="Q1924" i="1"/>
  <c r="N1924" i="1"/>
  <c r="L1924" i="1"/>
  <c r="K1924" i="1"/>
  <c r="AB1924" i="1"/>
  <c r="I1924" i="1"/>
  <c r="X1923" i="1"/>
  <c r="Z1923" i="1" s="1"/>
  <c r="W1923" i="1"/>
  <c r="S1923" i="1"/>
  <c r="Q1923" i="1"/>
  <c r="N1923" i="1"/>
  <c r="L1923" i="1"/>
  <c r="K1923" i="1"/>
  <c r="AB1923" i="1"/>
  <c r="I1923" i="1"/>
  <c r="X1922" i="1"/>
  <c r="Z1922" i="1" s="1"/>
  <c r="W1922" i="1"/>
  <c r="S1922" i="1"/>
  <c r="Q1922" i="1"/>
  <c r="N1922" i="1"/>
  <c r="L1922" i="1"/>
  <c r="K1922" i="1"/>
  <c r="AB1922" i="1"/>
  <c r="I1922" i="1"/>
  <c r="X1921" i="1"/>
  <c r="Z1921" i="1" s="1"/>
  <c r="W1921" i="1"/>
  <c r="S1921" i="1"/>
  <c r="Q1921" i="1"/>
  <c r="N1921" i="1"/>
  <c r="L1921" i="1"/>
  <c r="K1921" i="1"/>
  <c r="AB1921" i="1"/>
  <c r="I1921" i="1"/>
  <c r="X1920" i="1"/>
  <c r="Z1920" i="1" s="1"/>
  <c r="W1920" i="1"/>
  <c r="S1920" i="1"/>
  <c r="Q1920" i="1"/>
  <c r="N1920" i="1"/>
  <c r="L1920" i="1"/>
  <c r="K1920" i="1"/>
  <c r="AB1920" i="1"/>
  <c r="I1920" i="1"/>
  <c r="X1919" i="1"/>
  <c r="Z1919" i="1" s="1"/>
  <c r="W1919" i="1"/>
  <c r="S1919" i="1"/>
  <c r="Q1919" i="1"/>
  <c r="N1919" i="1"/>
  <c r="L1919" i="1"/>
  <c r="K1919" i="1"/>
  <c r="AB1919" i="1"/>
  <c r="I1919" i="1"/>
  <c r="X1918" i="1"/>
  <c r="Z1918" i="1" s="1"/>
  <c r="W1918" i="1"/>
  <c r="S1918" i="1"/>
  <c r="Q1918" i="1"/>
  <c r="N1918" i="1"/>
  <c r="L1918" i="1"/>
  <c r="K1918" i="1"/>
  <c r="AB1918" i="1"/>
  <c r="I1918" i="1"/>
  <c r="X1917" i="1"/>
  <c r="Z1917" i="1" s="1"/>
  <c r="W1917" i="1"/>
  <c r="S1917" i="1"/>
  <c r="Q1917" i="1"/>
  <c r="N1917" i="1"/>
  <c r="L1917" i="1"/>
  <c r="K1917" i="1"/>
  <c r="AB1917" i="1"/>
  <c r="I1917" i="1"/>
  <c r="X1916" i="1"/>
  <c r="Z1916" i="1" s="1"/>
  <c r="W1916" i="1"/>
  <c r="S1916" i="1"/>
  <c r="Q1916" i="1"/>
  <c r="N1916" i="1"/>
  <c r="L1916" i="1"/>
  <c r="K1916" i="1"/>
  <c r="AB1916" i="1"/>
  <c r="I1916" i="1"/>
  <c r="X1915" i="1"/>
  <c r="Z1915" i="1" s="1"/>
  <c r="W1915" i="1"/>
  <c r="S1915" i="1"/>
  <c r="Q1915" i="1"/>
  <c r="N1915" i="1"/>
  <c r="L1915" i="1"/>
  <c r="K1915" i="1"/>
  <c r="AB1915" i="1"/>
  <c r="I1915" i="1"/>
  <c r="X1914" i="1"/>
  <c r="Z1914" i="1" s="1"/>
  <c r="W1914" i="1"/>
  <c r="S1914" i="1"/>
  <c r="Q1914" i="1"/>
  <c r="N1914" i="1"/>
  <c r="L1914" i="1"/>
  <c r="K1914" i="1"/>
  <c r="AB1914" i="1"/>
  <c r="I1914" i="1"/>
  <c r="X1913" i="1"/>
  <c r="Z1913" i="1" s="1"/>
  <c r="W1913" i="1"/>
  <c r="S1913" i="1"/>
  <c r="Q1913" i="1"/>
  <c r="N1913" i="1"/>
  <c r="L1913" i="1"/>
  <c r="K1913" i="1"/>
  <c r="AB1913" i="1"/>
  <c r="I1913" i="1"/>
  <c r="X1912" i="1"/>
  <c r="Z1912" i="1" s="1"/>
  <c r="W1912" i="1"/>
  <c r="S1912" i="1"/>
  <c r="Q1912" i="1"/>
  <c r="N1912" i="1"/>
  <c r="L1912" i="1"/>
  <c r="K1912" i="1"/>
  <c r="AB1912" i="1"/>
  <c r="I1912" i="1"/>
  <c r="X1911" i="1"/>
  <c r="Z1911" i="1" s="1"/>
  <c r="W1911" i="1"/>
  <c r="S1911" i="1"/>
  <c r="Q1911" i="1"/>
  <c r="N1911" i="1"/>
  <c r="L1911" i="1"/>
  <c r="K1911" i="1"/>
  <c r="AB1911" i="1"/>
  <c r="I1911" i="1"/>
  <c r="X1910" i="1"/>
  <c r="Z1910" i="1" s="1"/>
  <c r="W1910" i="1"/>
  <c r="S1910" i="1"/>
  <c r="Q1910" i="1"/>
  <c r="N1910" i="1"/>
  <c r="L1910" i="1"/>
  <c r="K1910" i="1"/>
  <c r="AB1910" i="1"/>
  <c r="I1910" i="1"/>
  <c r="X1909" i="1"/>
  <c r="Z1909" i="1" s="1"/>
  <c r="W1909" i="1"/>
  <c r="S1909" i="1"/>
  <c r="Q1909" i="1"/>
  <c r="N1909" i="1"/>
  <c r="L1909" i="1"/>
  <c r="K1909" i="1"/>
  <c r="AB1909" i="1"/>
  <c r="I1909" i="1"/>
  <c r="X1908" i="1"/>
  <c r="Z1908" i="1" s="1"/>
  <c r="W1908" i="1"/>
  <c r="S1908" i="1"/>
  <c r="Q1908" i="1"/>
  <c r="N1908" i="1"/>
  <c r="L1908" i="1"/>
  <c r="K1908" i="1"/>
  <c r="AB1908" i="1"/>
  <c r="I1908" i="1"/>
  <c r="X1907" i="1"/>
  <c r="Z1907" i="1" s="1"/>
  <c r="W1907" i="1"/>
  <c r="S1907" i="1"/>
  <c r="Q1907" i="1"/>
  <c r="N1907" i="1"/>
  <c r="L1907" i="1"/>
  <c r="K1907" i="1"/>
  <c r="AB1907" i="1"/>
  <c r="I1907" i="1"/>
  <c r="X1906" i="1"/>
  <c r="Z1906" i="1" s="1"/>
  <c r="W1906" i="1"/>
  <c r="S1906" i="1"/>
  <c r="Q1906" i="1"/>
  <c r="N1906" i="1"/>
  <c r="L1906" i="1"/>
  <c r="K1906" i="1"/>
  <c r="AB1906" i="1"/>
  <c r="I1906" i="1"/>
  <c r="X1905" i="1"/>
  <c r="Z1905" i="1" s="1"/>
  <c r="W1905" i="1"/>
  <c r="S1905" i="1"/>
  <c r="Q1905" i="1"/>
  <c r="N1905" i="1"/>
  <c r="L1905" i="1"/>
  <c r="K1905" i="1"/>
  <c r="AB1905" i="1"/>
  <c r="I1905" i="1"/>
  <c r="X1904" i="1"/>
  <c r="Z1904" i="1" s="1"/>
  <c r="W1904" i="1"/>
  <c r="S1904" i="1"/>
  <c r="Q1904" i="1"/>
  <c r="N1904" i="1"/>
  <c r="L1904" i="1"/>
  <c r="K1904" i="1"/>
  <c r="AB1904" i="1"/>
  <c r="I1904" i="1"/>
  <c r="X1903" i="1"/>
  <c r="Z1903" i="1" s="1"/>
  <c r="W1903" i="1"/>
  <c r="S1903" i="1"/>
  <c r="Q1903" i="1"/>
  <c r="N1903" i="1"/>
  <c r="L1903" i="1"/>
  <c r="K1903" i="1"/>
  <c r="AB1903" i="1"/>
  <c r="I1903" i="1"/>
  <c r="X1902" i="1"/>
  <c r="Z1902" i="1" s="1"/>
  <c r="W1902" i="1"/>
  <c r="S1902" i="1"/>
  <c r="Q1902" i="1"/>
  <c r="N1902" i="1"/>
  <c r="L1902" i="1"/>
  <c r="K1902" i="1"/>
  <c r="AB1902" i="1"/>
  <c r="I1902" i="1"/>
  <c r="X1901" i="1"/>
  <c r="Z1901" i="1" s="1"/>
  <c r="W1901" i="1"/>
  <c r="S1901" i="1"/>
  <c r="Q1901" i="1"/>
  <c r="N1901" i="1"/>
  <c r="L1901" i="1"/>
  <c r="K1901" i="1"/>
  <c r="AB1901" i="1"/>
  <c r="I1901" i="1"/>
  <c r="X1900" i="1"/>
  <c r="Z1900" i="1" s="1"/>
  <c r="W1900" i="1"/>
  <c r="S1900" i="1"/>
  <c r="Q1900" i="1"/>
  <c r="N1900" i="1"/>
  <c r="L1900" i="1"/>
  <c r="K1900" i="1"/>
  <c r="AB1900" i="1"/>
  <c r="I1900" i="1"/>
  <c r="X1899" i="1"/>
  <c r="Z1899" i="1" s="1"/>
  <c r="W1899" i="1"/>
  <c r="S1899" i="1"/>
  <c r="Q1899" i="1"/>
  <c r="N1899" i="1"/>
  <c r="L1899" i="1"/>
  <c r="K1899" i="1"/>
  <c r="AB1899" i="1"/>
  <c r="I1899" i="1"/>
  <c r="X1898" i="1"/>
  <c r="Z1898" i="1" s="1"/>
  <c r="W1898" i="1"/>
  <c r="S1898" i="1"/>
  <c r="Q1898" i="1"/>
  <c r="N1898" i="1"/>
  <c r="L1898" i="1"/>
  <c r="K1898" i="1"/>
  <c r="AB1898" i="1"/>
  <c r="I1898" i="1"/>
  <c r="X1897" i="1"/>
  <c r="Z1897" i="1" s="1"/>
  <c r="W1897" i="1"/>
  <c r="S1897" i="1"/>
  <c r="Q1897" i="1"/>
  <c r="N1897" i="1"/>
  <c r="L1897" i="1"/>
  <c r="K1897" i="1"/>
  <c r="AB1897" i="1"/>
  <c r="I1897" i="1"/>
  <c r="X1896" i="1"/>
  <c r="Z1896" i="1" s="1"/>
  <c r="W1896" i="1"/>
  <c r="S1896" i="1"/>
  <c r="Q1896" i="1"/>
  <c r="N1896" i="1"/>
  <c r="L1896" i="1"/>
  <c r="K1896" i="1"/>
  <c r="AB1896" i="1"/>
  <c r="I1896" i="1"/>
  <c r="X1895" i="1"/>
  <c r="Z1895" i="1" s="1"/>
  <c r="W1895" i="1"/>
  <c r="S1895" i="1"/>
  <c r="Q1895" i="1"/>
  <c r="N1895" i="1"/>
  <c r="L1895" i="1"/>
  <c r="K1895" i="1"/>
  <c r="AB1895" i="1"/>
  <c r="I1895" i="1"/>
  <c r="X1894" i="1"/>
  <c r="Z1894" i="1" s="1"/>
  <c r="W1894" i="1"/>
  <c r="S1894" i="1"/>
  <c r="Q1894" i="1"/>
  <c r="N1894" i="1"/>
  <c r="L1894" i="1"/>
  <c r="K1894" i="1"/>
  <c r="AB1894" i="1"/>
  <c r="I1894" i="1"/>
  <c r="X1893" i="1"/>
  <c r="Z1893" i="1" s="1"/>
  <c r="W1893" i="1"/>
  <c r="S1893" i="1"/>
  <c r="Q1893" i="1"/>
  <c r="N1893" i="1"/>
  <c r="L1893" i="1"/>
  <c r="K1893" i="1"/>
  <c r="AB1893" i="1"/>
  <c r="I1893" i="1"/>
  <c r="X1892" i="1"/>
  <c r="Z1892" i="1" s="1"/>
  <c r="W1892" i="1"/>
  <c r="S1892" i="1"/>
  <c r="Q1892" i="1"/>
  <c r="N1892" i="1"/>
  <c r="L1892" i="1"/>
  <c r="K1892" i="1"/>
  <c r="AB1892" i="1"/>
  <c r="I1892" i="1"/>
  <c r="X1891" i="1"/>
  <c r="Z1891" i="1" s="1"/>
  <c r="W1891" i="1"/>
  <c r="S1891" i="1"/>
  <c r="Q1891" i="1"/>
  <c r="N1891" i="1"/>
  <c r="L1891" i="1"/>
  <c r="K1891" i="1"/>
  <c r="AB1891" i="1"/>
  <c r="I1891" i="1"/>
  <c r="X1890" i="1"/>
  <c r="Z1890" i="1" s="1"/>
  <c r="W1890" i="1"/>
  <c r="S1890" i="1"/>
  <c r="Q1890" i="1"/>
  <c r="N1890" i="1"/>
  <c r="L1890" i="1"/>
  <c r="K1890" i="1"/>
  <c r="AB1890" i="1"/>
  <c r="I1890" i="1"/>
  <c r="X1889" i="1"/>
  <c r="Z1889" i="1" s="1"/>
  <c r="W1889" i="1"/>
  <c r="S1889" i="1"/>
  <c r="Q1889" i="1"/>
  <c r="N1889" i="1"/>
  <c r="L1889" i="1"/>
  <c r="K1889" i="1"/>
  <c r="AB1889" i="1"/>
  <c r="I1889" i="1"/>
  <c r="X1888" i="1"/>
  <c r="Z1888" i="1" s="1"/>
  <c r="W1888" i="1"/>
  <c r="S1888" i="1"/>
  <c r="Q1888" i="1"/>
  <c r="N1888" i="1"/>
  <c r="L1888" i="1"/>
  <c r="K1888" i="1"/>
  <c r="AB1888" i="1"/>
  <c r="I1888" i="1"/>
  <c r="X1887" i="1"/>
  <c r="Z1887" i="1" s="1"/>
  <c r="W1887" i="1"/>
  <c r="S1887" i="1"/>
  <c r="Q1887" i="1"/>
  <c r="N1887" i="1"/>
  <c r="L1887" i="1"/>
  <c r="K1887" i="1"/>
  <c r="AB1887" i="1"/>
  <c r="I1887" i="1"/>
  <c r="X1886" i="1"/>
  <c r="Z1886" i="1" s="1"/>
  <c r="W1886" i="1"/>
  <c r="S1886" i="1"/>
  <c r="Q1886" i="1"/>
  <c r="N1886" i="1"/>
  <c r="L1886" i="1"/>
  <c r="K1886" i="1"/>
  <c r="AB1886" i="1"/>
  <c r="I1886" i="1"/>
  <c r="X1885" i="1"/>
  <c r="Z1885" i="1" s="1"/>
  <c r="W1885" i="1"/>
  <c r="S1885" i="1"/>
  <c r="Q1885" i="1"/>
  <c r="N1885" i="1"/>
  <c r="L1885" i="1"/>
  <c r="K1885" i="1"/>
  <c r="AB1885" i="1"/>
  <c r="I1885" i="1"/>
  <c r="X1884" i="1"/>
  <c r="Z1884" i="1" s="1"/>
  <c r="W1884" i="1"/>
  <c r="S1884" i="1"/>
  <c r="Q1884" i="1"/>
  <c r="N1884" i="1"/>
  <c r="L1884" i="1"/>
  <c r="K1884" i="1"/>
  <c r="AB1884" i="1"/>
  <c r="I1884" i="1"/>
  <c r="X1883" i="1"/>
  <c r="Z1883" i="1" s="1"/>
  <c r="W1883" i="1"/>
  <c r="S1883" i="1"/>
  <c r="Q1883" i="1"/>
  <c r="N1883" i="1"/>
  <c r="L1883" i="1"/>
  <c r="K1883" i="1"/>
  <c r="AB1883" i="1"/>
  <c r="I1883" i="1"/>
  <c r="X1882" i="1"/>
  <c r="Z1882" i="1" s="1"/>
  <c r="W1882" i="1"/>
  <c r="S1882" i="1"/>
  <c r="Q1882" i="1"/>
  <c r="N1882" i="1"/>
  <c r="L1882" i="1"/>
  <c r="K1882" i="1"/>
  <c r="AB1882" i="1"/>
  <c r="I1882" i="1"/>
  <c r="X1881" i="1"/>
  <c r="Z1881" i="1" s="1"/>
  <c r="W1881" i="1"/>
  <c r="S1881" i="1"/>
  <c r="Q1881" i="1"/>
  <c r="N1881" i="1"/>
  <c r="L1881" i="1"/>
  <c r="K1881" i="1"/>
  <c r="AB1881" i="1"/>
  <c r="I1881" i="1"/>
  <c r="X1880" i="1"/>
  <c r="Z1880" i="1" s="1"/>
  <c r="W1880" i="1"/>
  <c r="S1880" i="1"/>
  <c r="Q1880" i="1"/>
  <c r="N1880" i="1"/>
  <c r="L1880" i="1"/>
  <c r="K1880" i="1"/>
  <c r="AB1880" i="1"/>
  <c r="I1880" i="1"/>
  <c r="X1879" i="1"/>
  <c r="Z1879" i="1" s="1"/>
  <c r="W1879" i="1"/>
  <c r="S1879" i="1"/>
  <c r="Q1879" i="1"/>
  <c r="N1879" i="1"/>
  <c r="L1879" i="1"/>
  <c r="K1879" i="1"/>
  <c r="AB1879" i="1"/>
  <c r="I1879" i="1"/>
  <c r="X1878" i="1"/>
  <c r="Z1878" i="1" s="1"/>
  <c r="W1878" i="1"/>
  <c r="S1878" i="1"/>
  <c r="Q1878" i="1"/>
  <c r="N1878" i="1"/>
  <c r="L1878" i="1"/>
  <c r="K1878" i="1"/>
  <c r="AB1878" i="1"/>
  <c r="I1878" i="1"/>
  <c r="X1877" i="1"/>
  <c r="Z1877" i="1" s="1"/>
  <c r="W1877" i="1"/>
  <c r="S1877" i="1"/>
  <c r="Q1877" i="1"/>
  <c r="N1877" i="1"/>
  <c r="L1877" i="1"/>
  <c r="K1877" i="1"/>
  <c r="AB1877" i="1"/>
  <c r="I1877" i="1"/>
  <c r="X1876" i="1"/>
  <c r="Z1876" i="1" s="1"/>
  <c r="W1876" i="1"/>
  <c r="S1876" i="1"/>
  <c r="Q1876" i="1"/>
  <c r="N1876" i="1"/>
  <c r="L1876" i="1"/>
  <c r="K1876" i="1"/>
  <c r="AB1876" i="1"/>
  <c r="I1876" i="1"/>
  <c r="X1875" i="1"/>
  <c r="Z1875" i="1" s="1"/>
  <c r="W1875" i="1"/>
  <c r="S1875" i="1"/>
  <c r="Q1875" i="1"/>
  <c r="N1875" i="1"/>
  <c r="L1875" i="1"/>
  <c r="K1875" i="1"/>
  <c r="AB1875" i="1"/>
  <c r="I1875" i="1"/>
  <c r="X1874" i="1"/>
  <c r="Z1874" i="1" s="1"/>
  <c r="W1874" i="1"/>
  <c r="S1874" i="1"/>
  <c r="Q1874" i="1"/>
  <c r="N1874" i="1"/>
  <c r="L1874" i="1"/>
  <c r="K1874" i="1"/>
  <c r="AB1874" i="1"/>
  <c r="I1874" i="1"/>
  <c r="X1873" i="1"/>
  <c r="Z1873" i="1" s="1"/>
  <c r="W1873" i="1"/>
  <c r="S1873" i="1"/>
  <c r="Q1873" i="1"/>
  <c r="N1873" i="1"/>
  <c r="L1873" i="1"/>
  <c r="K1873" i="1"/>
  <c r="AB1873" i="1"/>
  <c r="I1873" i="1"/>
  <c r="X1872" i="1"/>
  <c r="Z1872" i="1" s="1"/>
  <c r="W1872" i="1"/>
  <c r="S1872" i="1"/>
  <c r="Q1872" i="1"/>
  <c r="N1872" i="1"/>
  <c r="L1872" i="1"/>
  <c r="K1872" i="1"/>
  <c r="AB1872" i="1"/>
  <c r="I1872" i="1"/>
  <c r="X1871" i="1"/>
  <c r="Z1871" i="1" s="1"/>
  <c r="W1871" i="1"/>
  <c r="S1871" i="1"/>
  <c r="Q1871" i="1"/>
  <c r="N1871" i="1"/>
  <c r="L1871" i="1"/>
  <c r="K1871" i="1"/>
  <c r="AB1871" i="1"/>
  <c r="I1871" i="1"/>
  <c r="X1870" i="1"/>
  <c r="Z1870" i="1" s="1"/>
  <c r="W1870" i="1"/>
  <c r="S1870" i="1"/>
  <c r="Q1870" i="1"/>
  <c r="N1870" i="1"/>
  <c r="L1870" i="1"/>
  <c r="K1870" i="1"/>
  <c r="AB1870" i="1"/>
  <c r="I1870" i="1"/>
  <c r="X1869" i="1"/>
  <c r="Z1869" i="1" s="1"/>
  <c r="W1869" i="1"/>
  <c r="S1869" i="1"/>
  <c r="Q1869" i="1"/>
  <c r="N1869" i="1"/>
  <c r="L1869" i="1"/>
  <c r="K1869" i="1"/>
  <c r="AB1869" i="1"/>
  <c r="I1869" i="1"/>
  <c r="X1868" i="1"/>
  <c r="Z1868" i="1" s="1"/>
  <c r="W1868" i="1"/>
  <c r="S1868" i="1"/>
  <c r="Q1868" i="1"/>
  <c r="N1868" i="1"/>
  <c r="L1868" i="1"/>
  <c r="K1868" i="1"/>
  <c r="AB1868" i="1"/>
  <c r="I1868" i="1"/>
  <c r="X1867" i="1"/>
  <c r="Z1867" i="1" s="1"/>
  <c r="W1867" i="1"/>
  <c r="S1867" i="1"/>
  <c r="Q1867" i="1"/>
  <c r="N1867" i="1"/>
  <c r="L1867" i="1"/>
  <c r="K1867" i="1"/>
  <c r="AB1867" i="1"/>
  <c r="I1867" i="1"/>
  <c r="X1866" i="1"/>
  <c r="Z1866" i="1" s="1"/>
  <c r="W1866" i="1"/>
  <c r="S1866" i="1"/>
  <c r="Q1866" i="1"/>
  <c r="N1866" i="1"/>
  <c r="L1866" i="1"/>
  <c r="K1866" i="1"/>
  <c r="AB1866" i="1"/>
  <c r="I1866" i="1"/>
  <c r="X1865" i="1"/>
  <c r="Z1865" i="1" s="1"/>
  <c r="W1865" i="1"/>
  <c r="S1865" i="1"/>
  <c r="Q1865" i="1"/>
  <c r="N1865" i="1"/>
  <c r="L1865" i="1"/>
  <c r="K1865" i="1"/>
  <c r="AB1865" i="1"/>
  <c r="I1865" i="1"/>
  <c r="X1864" i="1"/>
  <c r="Z1864" i="1" s="1"/>
  <c r="W1864" i="1"/>
  <c r="S1864" i="1"/>
  <c r="Q1864" i="1"/>
  <c r="N1864" i="1"/>
  <c r="L1864" i="1"/>
  <c r="K1864" i="1"/>
  <c r="AB1864" i="1"/>
  <c r="I1864" i="1"/>
  <c r="X1863" i="1"/>
  <c r="Z1863" i="1" s="1"/>
  <c r="W1863" i="1"/>
  <c r="S1863" i="1"/>
  <c r="Q1863" i="1"/>
  <c r="N1863" i="1"/>
  <c r="L1863" i="1"/>
  <c r="K1863" i="1"/>
  <c r="AB1863" i="1"/>
  <c r="I1863" i="1"/>
  <c r="X1862" i="1"/>
  <c r="Z1862" i="1" s="1"/>
  <c r="W1862" i="1"/>
  <c r="S1862" i="1"/>
  <c r="Q1862" i="1"/>
  <c r="N1862" i="1"/>
  <c r="L1862" i="1"/>
  <c r="K1862" i="1"/>
  <c r="AB1862" i="1"/>
  <c r="I1862" i="1"/>
  <c r="X1861" i="1"/>
  <c r="Z1861" i="1" s="1"/>
  <c r="W1861" i="1"/>
  <c r="S1861" i="1"/>
  <c r="Q1861" i="1"/>
  <c r="N1861" i="1"/>
  <c r="L1861" i="1"/>
  <c r="K1861" i="1"/>
  <c r="AB1861" i="1"/>
  <c r="I1861" i="1"/>
  <c r="X1860" i="1"/>
  <c r="Z1860" i="1" s="1"/>
  <c r="W1860" i="1"/>
  <c r="S1860" i="1"/>
  <c r="Q1860" i="1"/>
  <c r="N1860" i="1"/>
  <c r="L1860" i="1"/>
  <c r="K1860" i="1"/>
  <c r="AB1860" i="1"/>
  <c r="I1860" i="1"/>
  <c r="X1859" i="1"/>
  <c r="Z1859" i="1" s="1"/>
  <c r="W1859" i="1"/>
  <c r="S1859" i="1"/>
  <c r="Q1859" i="1"/>
  <c r="N1859" i="1"/>
  <c r="L1859" i="1"/>
  <c r="K1859" i="1"/>
  <c r="AB1859" i="1"/>
  <c r="I1859" i="1"/>
  <c r="X1858" i="1"/>
  <c r="Z1858" i="1" s="1"/>
  <c r="W1858" i="1"/>
  <c r="S1858" i="1"/>
  <c r="Q1858" i="1"/>
  <c r="N1858" i="1"/>
  <c r="L1858" i="1"/>
  <c r="K1858" i="1"/>
  <c r="AB1858" i="1"/>
  <c r="I1858" i="1"/>
  <c r="X1857" i="1"/>
  <c r="Z1857" i="1" s="1"/>
  <c r="W1857" i="1"/>
  <c r="S1857" i="1"/>
  <c r="Q1857" i="1"/>
  <c r="N1857" i="1"/>
  <c r="L1857" i="1"/>
  <c r="K1857" i="1"/>
  <c r="AB1857" i="1"/>
  <c r="I1857" i="1"/>
  <c r="X1856" i="1"/>
  <c r="Z1856" i="1" s="1"/>
  <c r="W1856" i="1"/>
  <c r="S1856" i="1"/>
  <c r="Q1856" i="1"/>
  <c r="N1856" i="1"/>
  <c r="L1856" i="1"/>
  <c r="K1856" i="1"/>
  <c r="AB1856" i="1"/>
  <c r="I1856" i="1"/>
  <c r="X1855" i="1"/>
  <c r="Z1855" i="1" s="1"/>
  <c r="W1855" i="1"/>
  <c r="S1855" i="1"/>
  <c r="Q1855" i="1"/>
  <c r="N1855" i="1"/>
  <c r="L1855" i="1"/>
  <c r="K1855" i="1"/>
  <c r="AB1855" i="1"/>
  <c r="I1855" i="1"/>
  <c r="X1854" i="1"/>
  <c r="Z1854" i="1" s="1"/>
  <c r="W1854" i="1"/>
  <c r="S1854" i="1"/>
  <c r="Q1854" i="1"/>
  <c r="N1854" i="1"/>
  <c r="L1854" i="1"/>
  <c r="K1854" i="1"/>
  <c r="AB1854" i="1"/>
  <c r="I1854" i="1"/>
  <c r="X1853" i="1"/>
  <c r="Z1853" i="1" s="1"/>
  <c r="W1853" i="1"/>
  <c r="S1853" i="1"/>
  <c r="Q1853" i="1"/>
  <c r="N1853" i="1"/>
  <c r="L1853" i="1"/>
  <c r="K1853" i="1"/>
  <c r="AB1853" i="1"/>
  <c r="I1853" i="1"/>
  <c r="X1852" i="1"/>
  <c r="Z1852" i="1" s="1"/>
  <c r="W1852" i="1"/>
  <c r="S1852" i="1"/>
  <c r="Q1852" i="1"/>
  <c r="N1852" i="1"/>
  <c r="L1852" i="1"/>
  <c r="K1852" i="1"/>
  <c r="AB1852" i="1"/>
  <c r="I1852" i="1"/>
  <c r="X1851" i="1"/>
  <c r="Z1851" i="1" s="1"/>
  <c r="W1851" i="1"/>
  <c r="S1851" i="1"/>
  <c r="Q1851" i="1"/>
  <c r="N1851" i="1"/>
  <c r="L1851" i="1"/>
  <c r="K1851" i="1"/>
  <c r="AB1851" i="1"/>
  <c r="I1851" i="1"/>
  <c r="X1850" i="1"/>
  <c r="Z1850" i="1" s="1"/>
  <c r="W1850" i="1"/>
  <c r="S1850" i="1"/>
  <c r="Q1850" i="1"/>
  <c r="N1850" i="1"/>
  <c r="L1850" i="1"/>
  <c r="K1850" i="1"/>
  <c r="AB1850" i="1"/>
  <c r="I1850" i="1"/>
  <c r="X1849" i="1"/>
  <c r="Z1849" i="1" s="1"/>
  <c r="W1849" i="1"/>
  <c r="S1849" i="1"/>
  <c r="Q1849" i="1"/>
  <c r="N1849" i="1"/>
  <c r="L1849" i="1"/>
  <c r="K1849" i="1"/>
  <c r="AB1849" i="1"/>
  <c r="I1849" i="1"/>
  <c r="X1848" i="1"/>
  <c r="Z1848" i="1" s="1"/>
  <c r="W1848" i="1"/>
  <c r="S1848" i="1"/>
  <c r="Q1848" i="1"/>
  <c r="N1848" i="1"/>
  <c r="L1848" i="1"/>
  <c r="K1848" i="1"/>
  <c r="AB1848" i="1"/>
  <c r="I1848" i="1"/>
  <c r="X1847" i="1"/>
  <c r="Z1847" i="1" s="1"/>
  <c r="W1847" i="1"/>
  <c r="S1847" i="1"/>
  <c r="Q1847" i="1"/>
  <c r="N1847" i="1"/>
  <c r="L1847" i="1"/>
  <c r="K1847" i="1"/>
  <c r="AB1847" i="1"/>
  <c r="I1847" i="1"/>
  <c r="X1846" i="1"/>
  <c r="Z1846" i="1" s="1"/>
  <c r="W1846" i="1"/>
  <c r="S1846" i="1"/>
  <c r="Q1846" i="1"/>
  <c r="N1846" i="1"/>
  <c r="L1846" i="1"/>
  <c r="K1846" i="1"/>
  <c r="AB1846" i="1"/>
  <c r="I1846" i="1"/>
  <c r="X1845" i="1"/>
  <c r="Z1845" i="1" s="1"/>
  <c r="W1845" i="1"/>
  <c r="S1845" i="1"/>
  <c r="Q1845" i="1"/>
  <c r="N1845" i="1"/>
  <c r="L1845" i="1"/>
  <c r="K1845" i="1"/>
  <c r="AB1845" i="1"/>
  <c r="I1845" i="1"/>
  <c r="X1844" i="1"/>
  <c r="Z1844" i="1" s="1"/>
  <c r="W1844" i="1"/>
  <c r="S1844" i="1"/>
  <c r="Q1844" i="1"/>
  <c r="N1844" i="1"/>
  <c r="L1844" i="1"/>
  <c r="K1844" i="1"/>
  <c r="AB1844" i="1"/>
  <c r="I1844" i="1"/>
  <c r="X1843" i="1"/>
  <c r="Z1843" i="1" s="1"/>
  <c r="W1843" i="1"/>
  <c r="S1843" i="1"/>
  <c r="Q1843" i="1"/>
  <c r="N1843" i="1"/>
  <c r="L1843" i="1"/>
  <c r="K1843" i="1"/>
  <c r="AB1843" i="1"/>
  <c r="I1843" i="1"/>
  <c r="X1842" i="1"/>
  <c r="Z1842" i="1" s="1"/>
  <c r="W1842" i="1"/>
  <c r="S1842" i="1"/>
  <c r="Q1842" i="1"/>
  <c r="N1842" i="1"/>
  <c r="L1842" i="1"/>
  <c r="K1842" i="1"/>
  <c r="AB1842" i="1"/>
  <c r="I1842" i="1"/>
  <c r="X1841" i="1"/>
  <c r="Z1841" i="1" s="1"/>
  <c r="W1841" i="1"/>
  <c r="S1841" i="1"/>
  <c r="Q1841" i="1"/>
  <c r="N1841" i="1"/>
  <c r="L1841" i="1"/>
  <c r="K1841" i="1"/>
  <c r="AB1841" i="1"/>
  <c r="I1841" i="1"/>
  <c r="X1840" i="1"/>
  <c r="Z1840" i="1" s="1"/>
  <c r="W1840" i="1"/>
  <c r="S1840" i="1"/>
  <c r="Q1840" i="1"/>
  <c r="N1840" i="1"/>
  <c r="L1840" i="1"/>
  <c r="K1840" i="1"/>
  <c r="AB1840" i="1"/>
  <c r="I1840" i="1"/>
  <c r="X1839" i="1"/>
  <c r="Z1839" i="1" s="1"/>
  <c r="W1839" i="1"/>
  <c r="S1839" i="1"/>
  <c r="Q1839" i="1"/>
  <c r="N1839" i="1"/>
  <c r="L1839" i="1"/>
  <c r="K1839" i="1"/>
  <c r="AB1839" i="1"/>
  <c r="I1839" i="1"/>
  <c r="X1838" i="1"/>
  <c r="Z1838" i="1" s="1"/>
  <c r="W1838" i="1"/>
  <c r="S1838" i="1"/>
  <c r="Q1838" i="1"/>
  <c r="N1838" i="1"/>
  <c r="L1838" i="1"/>
  <c r="K1838" i="1"/>
  <c r="AB1838" i="1"/>
  <c r="I1838" i="1"/>
  <c r="X1837" i="1"/>
  <c r="Z1837" i="1" s="1"/>
  <c r="W1837" i="1"/>
  <c r="S1837" i="1"/>
  <c r="Q1837" i="1"/>
  <c r="N1837" i="1"/>
  <c r="L1837" i="1"/>
  <c r="K1837" i="1"/>
  <c r="AB1837" i="1"/>
  <c r="I1837" i="1"/>
  <c r="X1836" i="1"/>
  <c r="Z1836" i="1" s="1"/>
  <c r="W1836" i="1"/>
  <c r="S1836" i="1"/>
  <c r="Q1836" i="1"/>
  <c r="N1836" i="1"/>
  <c r="L1836" i="1"/>
  <c r="K1836" i="1"/>
  <c r="AB1836" i="1"/>
  <c r="I1836" i="1"/>
  <c r="X1835" i="1"/>
  <c r="Z1835" i="1" s="1"/>
  <c r="W1835" i="1"/>
  <c r="S1835" i="1"/>
  <c r="Q1835" i="1"/>
  <c r="N1835" i="1"/>
  <c r="L1835" i="1"/>
  <c r="K1835" i="1"/>
  <c r="AB1835" i="1"/>
  <c r="I1835" i="1"/>
  <c r="X1834" i="1"/>
  <c r="Z1834" i="1" s="1"/>
  <c r="W1834" i="1"/>
  <c r="S1834" i="1"/>
  <c r="Q1834" i="1"/>
  <c r="N1834" i="1"/>
  <c r="L1834" i="1"/>
  <c r="K1834" i="1"/>
  <c r="AB1834" i="1"/>
  <c r="I1834" i="1"/>
  <c r="X1833" i="1"/>
  <c r="Z1833" i="1" s="1"/>
  <c r="W1833" i="1"/>
  <c r="S1833" i="1"/>
  <c r="Q1833" i="1"/>
  <c r="N1833" i="1"/>
  <c r="L1833" i="1"/>
  <c r="K1833" i="1"/>
  <c r="AB1833" i="1"/>
  <c r="I1833" i="1"/>
  <c r="X1832" i="1"/>
  <c r="Z1832" i="1" s="1"/>
  <c r="W1832" i="1"/>
  <c r="S1832" i="1"/>
  <c r="Q1832" i="1"/>
  <c r="N1832" i="1"/>
  <c r="L1832" i="1"/>
  <c r="K1832" i="1"/>
  <c r="AB1832" i="1"/>
  <c r="I1832" i="1"/>
  <c r="X1831" i="1"/>
  <c r="Z1831" i="1" s="1"/>
  <c r="W1831" i="1"/>
  <c r="S1831" i="1"/>
  <c r="Q1831" i="1"/>
  <c r="N1831" i="1"/>
  <c r="L1831" i="1"/>
  <c r="K1831" i="1"/>
  <c r="AB1831" i="1"/>
  <c r="I1831" i="1"/>
  <c r="X1830" i="1"/>
  <c r="Z1830" i="1" s="1"/>
  <c r="W1830" i="1"/>
  <c r="S1830" i="1"/>
  <c r="Q1830" i="1"/>
  <c r="N1830" i="1"/>
  <c r="L1830" i="1"/>
  <c r="K1830" i="1"/>
  <c r="AB1830" i="1"/>
  <c r="I1830" i="1"/>
  <c r="X1829" i="1"/>
  <c r="Z1829" i="1" s="1"/>
  <c r="W1829" i="1"/>
  <c r="S1829" i="1"/>
  <c r="Q1829" i="1"/>
  <c r="N1829" i="1"/>
  <c r="L1829" i="1"/>
  <c r="K1829" i="1"/>
  <c r="AB1829" i="1"/>
  <c r="I1829" i="1"/>
  <c r="X1828" i="1"/>
  <c r="Z1828" i="1" s="1"/>
  <c r="W1828" i="1"/>
  <c r="S1828" i="1"/>
  <c r="Q1828" i="1"/>
  <c r="N1828" i="1"/>
  <c r="L1828" i="1"/>
  <c r="K1828" i="1"/>
  <c r="AB1828" i="1"/>
  <c r="I1828" i="1"/>
  <c r="X1827" i="1"/>
  <c r="Z1827" i="1" s="1"/>
  <c r="W1827" i="1"/>
  <c r="S1827" i="1"/>
  <c r="Q1827" i="1"/>
  <c r="N1827" i="1"/>
  <c r="L1827" i="1"/>
  <c r="K1827" i="1"/>
  <c r="AB1827" i="1"/>
  <c r="I1827" i="1"/>
  <c r="X1826" i="1"/>
  <c r="Z1826" i="1" s="1"/>
  <c r="W1826" i="1"/>
  <c r="S1826" i="1"/>
  <c r="Q1826" i="1"/>
  <c r="N1826" i="1"/>
  <c r="L1826" i="1"/>
  <c r="K1826" i="1"/>
  <c r="AB1826" i="1"/>
  <c r="I1826" i="1"/>
  <c r="X1825" i="1"/>
  <c r="Z1825" i="1" s="1"/>
  <c r="W1825" i="1"/>
  <c r="S1825" i="1"/>
  <c r="Q1825" i="1"/>
  <c r="N1825" i="1"/>
  <c r="L1825" i="1"/>
  <c r="K1825" i="1"/>
  <c r="AB1825" i="1"/>
  <c r="I1825" i="1"/>
  <c r="X1824" i="1"/>
  <c r="Z1824" i="1" s="1"/>
  <c r="W1824" i="1"/>
  <c r="S1824" i="1"/>
  <c r="Q1824" i="1"/>
  <c r="N1824" i="1"/>
  <c r="L1824" i="1"/>
  <c r="K1824" i="1"/>
  <c r="AB1824" i="1"/>
  <c r="I1824" i="1"/>
  <c r="X1823" i="1"/>
  <c r="Z1823" i="1" s="1"/>
  <c r="W1823" i="1"/>
  <c r="S1823" i="1"/>
  <c r="Q1823" i="1"/>
  <c r="N1823" i="1"/>
  <c r="L1823" i="1"/>
  <c r="K1823" i="1"/>
  <c r="AB1823" i="1"/>
  <c r="I1823" i="1"/>
  <c r="X1822" i="1"/>
  <c r="Z1822" i="1" s="1"/>
  <c r="W1822" i="1"/>
  <c r="S1822" i="1"/>
  <c r="Q1822" i="1"/>
  <c r="N1822" i="1"/>
  <c r="L1822" i="1"/>
  <c r="K1822" i="1"/>
  <c r="AB1822" i="1"/>
  <c r="I1822" i="1"/>
  <c r="X1821" i="1"/>
  <c r="Z1821" i="1" s="1"/>
  <c r="W1821" i="1"/>
  <c r="S1821" i="1"/>
  <c r="Q1821" i="1"/>
  <c r="N1821" i="1"/>
  <c r="L1821" i="1"/>
  <c r="K1821" i="1"/>
  <c r="AB1821" i="1"/>
  <c r="I1821" i="1"/>
  <c r="X1820" i="1"/>
  <c r="Z1820" i="1" s="1"/>
  <c r="W1820" i="1"/>
  <c r="S1820" i="1"/>
  <c r="Q1820" i="1"/>
  <c r="N1820" i="1"/>
  <c r="L1820" i="1"/>
  <c r="K1820" i="1"/>
  <c r="AB1820" i="1"/>
  <c r="I1820" i="1"/>
  <c r="X1819" i="1"/>
  <c r="Z1819" i="1" s="1"/>
  <c r="W1819" i="1"/>
  <c r="S1819" i="1"/>
  <c r="Q1819" i="1"/>
  <c r="N1819" i="1"/>
  <c r="L1819" i="1"/>
  <c r="K1819" i="1"/>
  <c r="AB1819" i="1"/>
  <c r="I1819" i="1"/>
  <c r="X1818" i="1"/>
  <c r="Z1818" i="1" s="1"/>
  <c r="W1818" i="1"/>
  <c r="S1818" i="1"/>
  <c r="Q1818" i="1"/>
  <c r="N1818" i="1"/>
  <c r="L1818" i="1"/>
  <c r="K1818" i="1"/>
  <c r="AB1818" i="1"/>
  <c r="I1818" i="1"/>
  <c r="X1817" i="1"/>
  <c r="Z1817" i="1" s="1"/>
  <c r="W1817" i="1"/>
  <c r="S1817" i="1"/>
  <c r="Q1817" i="1"/>
  <c r="N1817" i="1"/>
  <c r="L1817" i="1"/>
  <c r="K1817" i="1"/>
  <c r="AB1817" i="1"/>
  <c r="I1817" i="1"/>
  <c r="X1816" i="1"/>
  <c r="Z1816" i="1" s="1"/>
  <c r="W1816" i="1"/>
  <c r="S1816" i="1"/>
  <c r="Q1816" i="1"/>
  <c r="N1816" i="1"/>
  <c r="L1816" i="1"/>
  <c r="K1816" i="1"/>
  <c r="AB1816" i="1"/>
  <c r="I1816" i="1"/>
  <c r="X1815" i="1"/>
  <c r="Z1815" i="1" s="1"/>
  <c r="W1815" i="1"/>
  <c r="S1815" i="1"/>
  <c r="Q1815" i="1"/>
  <c r="N1815" i="1"/>
  <c r="L1815" i="1"/>
  <c r="K1815" i="1"/>
  <c r="AB1815" i="1"/>
  <c r="I1815" i="1"/>
  <c r="X1814" i="1"/>
  <c r="Z1814" i="1" s="1"/>
  <c r="W1814" i="1"/>
  <c r="S1814" i="1"/>
  <c r="Q1814" i="1"/>
  <c r="N1814" i="1"/>
  <c r="L1814" i="1"/>
  <c r="K1814" i="1"/>
  <c r="AB1814" i="1"/>
  <c r="I1814" i="1"/>
  <c r="X1813" i="1"/>
  <c r="Z1813" i="1" s="1"/>
  <c r="W1813" i="1"/>
  <c r="S1813" i="1"/>
  <c r="Q1813" i="1"/>
  <c r="N1813" i="1"/>
  <c r="L1813" i="1"/>
  <c r="K1813" i="1"/>
  <c r="AB1813" i="1"/>
  <c r="I1813" i="1"/>
  <c r="X1812" i="1"/>
  <c r="Z1812" i="1" s="1"/>
  <c r="W1812" i="1"/>
  <c r="S1812" i="1"/>
  <c r="Q1812" i="1"/>
  <c r="N1812" i="1"/>
  <c r="L1812" i="1"/>
  <c r="K1812" i="1"/>
  <c r="AB1812" i="1"/>
  <c r="I1812" i="1"/>
  <c r="X1811" i="1"/>
  <c r="Z1811" i="1" s="1"/>
  <c r="W1811" i="1"/>
  <c r="S1811" i="1"/>
  <c r="Q1811" i="1"/>
  <c r="N1811" i="1"/>
  <c r="L1811" i="1"/>
  <c r="K1811" i="1"/>
  <c r="AB1811" i="1"/>
  <c r="I1811" i="1"/>
  <c r="X1810" i="1"/>
  <c r="Z1810" i="1" s="1"/>
  <c r="W1810" i="1"/>
  <c r="S1810" i="1"/>
  <c r="Q1810" i="1"/>
  <c r="N1810" i="1"/>
  <c r="L1810" i="1"/>
  <c r="K1810" i="1"/>
  <c r="AB1810" i="1"/>
  <c r="I1810" i="1"/>
  <c r="X1809" i="1"/>
  <c r="Z1809" i="1" s="1"/>
  <c r="W1809" i="1"/>
  <c r="S1809" i="1"/>
  <c r="Q1809" i="1"/>
  <c r="N1809" i="1"/>
  <c r="L1809" i="1"/>
  <c r="K1809" i="1"/>
  <c r="AB1809" i="1"/>
  <c r="I1809" i="1"/>
  <c r="X1808" i="1"/>
  <c r="Z1808" i="1" s="1"/>
  <c r="W1808" i="1"/>
  <c r="S1808" i="1"/>
  <c r="Q1808" i="1"/>
  <c r="N1808" i="1"/>
  <c r="L1808" i="1"/>
  <c r="K1808" i="1"/>
  <c r="AB1808" i="1"/>
  <c r="I1808" i="1"/>
  <c r="X1807" i="1"/>
  <c r="Z1807" i="1" s="1"/>
  <c r="W1807" i="1"/>
  <c r="S1807" i="1"/>
  <c r="Q1807" i="1"/>
  <c r="N1807" i="1"/>
  <c r="L1807" i="1"/>
  <c r="K1807" i="1"/>
  <c r="AB1807" i="1"/>
  <c r="I1807" i="1"/>
  <c r="X1806" i="1"/>
  <c r="Z1806" i="1" s="1"/>
  <c r="W1806" i="1"/>
  <c r="S1806" i="1"/>
  <c r="Q1806" i="1"/>
  <c r="N1806" i="1"/>
  <c r="L1806" i="1"/>
  <c r="K1806" i="1"/>
  <c r="AB1806" i="1"/>
  <c r="I1806" i="1"/>
  <c r="X1805" i="1"/>
  <c r="Z1805" i="1" s="1"/>
  <c r="W1805" i="1"/>
  <c r="S1805" i="1"/>
  <c r="Q1805" i="1"/>
  <c r="N1805" i="1"/>
  <c r="L1805" i="1"/>
  <c r="K1805" i="1"/>
  <c r="AB1805" i="1"/>
  <c r="I1805" i="1"/>
  <c r="X1804" i="1"/>
  <c r="Z1804" i="1" s="1"/>
  <c r="W1804" i="1"/>
  <c r="S1804" i="1"/>
  <c r="Q1804" i="1"/>
  <c r="N1804" i="1"/>
  <c r="L1804" i="1"/>
  <c r="K1804" i="1"/>
  <c r="AB1804" i="1"/>
  <c r="I1804" i="1"/>
  <c r="X1803" i="1"/>
  <c r="Z1803" i="1" s="1"/>
  <c r="W1803" i="1"/>
  <c r="S1803" i="1"/>
  <c r="Q1803" i="1"/>
  <c r="N1803" i="1"/>
  <c r="L1803" i="1"/>
  <c r="K1803" i="1"/>
  <c r="AB1803" i="1"/>
  <c r="I1803" i="1"/>
  <c r="X1802" i="1"/>
  <c r="Z1802" i="1" s="1"/>
  <c r="W1802" i="1"/>
  <c r="S1802" i="1"/>
  <c r="Q1802" i="1"/>
  <c r="N1802" i="1"/>
  <c r="L1802" i="1"/>
  <c r="K1802" i="1"/>
  <c r="AB1802" i="1"/>
  <c r="I1802" i="1"/>
  <c r="X1801" i="1"/>
  <c r="Z1801" i="1" s="1"/>
  <c r="W1801" i="1"/>
  <c r="S1801" i="1"/>
  <c r="Q1801" i="1"/>
  <c r="N1801" i="1"/>
  <c r="L1801" i="1"/>
  <c r="K1801" i="1"/>
  <c r="AB1801" i="1"/>
  <c r="I1801" i="1"/>
  <c r="X1800" i="1"/>
  <c r="Z1800" i="1" s="1"/>
  <c r="W1800" i="1"/>
  <c r="S1800" i="1"/>
  <c r="Q1800" i="1"/>
  <c r="N1800" i="1"/>
  <c r="L1800" i="1"/>
  <c r="K1800" i="1"/>
  <c r="AB1800" i="1"/>
  <c r="I1800" i="1"/>
  <c r="X1799" i="1"/>
  <c r="Z1799" i="1" s="1"/>
  <c r="W1799" i="1"/>
  <c r="S1799" i="1"/>
  <c r="Q1799" i="1"/>
  <c r="N1799" i="1"/>
  <c r="L1799" i="1"/>
  <c r="K1799" i="1"/>
  <c r="AB1799" i="1"/>
  <c r="I1799" i="1"/>
  <c r="X1798" i="1"/>
  <c r="Z1798" i="1" s="1"/>
  <c r="W1798" i="1"/>
  <c r="S1798" i="1"/>
  <c r="Q1798" i="1"/>
  <c r="N1798" i="1"/>
  <c r="L1798" i="1"/>
  <c r="K1798" i="1"/>
  <c r="AB1798" i="1"/>
  <c r="I1798" i="1"/>
  <c r="X1797" i="1"/>
  <c r="Z1797" i="1" s="1"/>
  <c r="W1797" i="1"/>
  <c r="S1797" i="1"/>
  <c r="Q1797" i="1"/>
  <c r="N1797" i="1"/>
  <c r="L1797" i="1"/>
  <c r="K1797" i="1"/>
  <c r="AB1797" i="1"/>
  <c r="I1797" i="1"/>
  <c r="X1796" i="1"/>
  <c r="Z1796" i="1" s="1"/>
  <c r="W1796" i="1"/>
  <c r="S1796" i="1"/>
  <c r="Q1796" i="1"/>
  <c r="N1796" i="1"/>
  <c r="L1796" i="1"/>
  <c r="K1796" i="1"/>
  <c r="AB1796" i="1"/>
  <c r="I1796" i="1"/>
  <c r="X1795" i="1"/>
  <c r="Z1795" i="1" s="1"/>
  <c r="W1795" i="1"/>
  <c r="S1795" i="1"/>
  <c r="Q1795" i="1"/>
  <c r="N1795" i="1"/>
  <c r="L1795" i="1"/>
  <c r="K1795" i="1"/>
  <c r="AB1795" i="1"/>
  <c r="I1795" i="1"/>
  <c r="X1794" i="1"/>
  <c r="Z1794" i="1" s="1"/>
  <c r="W1794" i="1"/>
  <c r="S1794" i="1"/>
  <c r="Q1794" i="1"/>
  <c r="N1794" i="1"/>
  <c r="L1794" i="1"/>
  <c r="K1794" i="1"/>
  <c r="AB1794" i="1"/>
  <c r="I1794" i="1"/>
  <c r="X1793" i="1"/>
  <c r="Z1793" i="1" s="1"/>
  <c r="W1793" i="1"/>
  <c r="S1793" i="1"/>
  <c r="Q1793" i="1"/>
  <c r="N1793" i="1"/>
  <c r="L1793" i="1"/>
  <c r="K1793" i="1"/>
  <c r="AB1793" i="1"/>
  <c r="I1793" i="1"/>
  <c r="X1792" i="1"/>
  <c r="Z1792" i="1" s="1"/>
  <c r="W1792" i="1"/>
  <c r="S1792" i="1"/>
  <c r="Q1792" i="1"/>
  <c r="N1792" i="1"/>
  <c r="L1792" i="1"/>
  <c r="K1792" i="1"/>
  <c r="AB1792" i="1"/>
  <c r="I1792" i="1"/>
  <c r="X1791" i="1"/>
  <c r="Z1791" i="1" s="1"/>
  <c r="W1791" i="1"/>
  <c r="S1791" i="1"/>
  <c r="Q1791" i="1"/>
  <c r="N1791" i="1"/>
  <c r="L1791" i="1"/>
  <c r="K1791" i="1"/>
  <c r="AB1791" i="1"/>
  <c r="I1791" i="1"/>
  <c r="X1790" i="1"/>
  <c r="Z1790" i="1" s="1"/>
  <c r="W1790" i="1"/>
  <c r="S1790" i="1"/>
  <c r="Q1790" i="1"/>
  <c r="N1790" i="1"/>
  <c r="L1790" i="1"/>
  <c r="K1790" i="1"/>
  <c r="AB1790" i="1"/>
  <c r="I1790" i="1"/>
  <c r="X1789" i="1"/>
  <c r="Z1789" i="1" s="1"/>
  <c r="W1789" i="1"/>
  <c r="S1789" i="1"/>
  <c r="Q1789" i="1"/>
  <c r="N1789" i="1"/>
  <c r="L1789" i="1"/>
  <c r="K1789" i="1"/>
  <c r="AB1789" i="1"/>
  <c r="I1789" i="1"/>
  <c r="X1788" i="1"/>
  <c r="Z1788" i="1" s="1"/>
  <c r="W1788" i="1"/>
  <c r="S1788" i="1"/>
  <c r="Q1788" i="1"/>
  <c r="N1788" i="1"/>
  <c r="L1788" i="1"/>
  <c r="K1788" i="1"/>
  <c r="AB1788" i="1"/>
  <c r="I1788" i="1"/>
  <c r="X1787" i="1"/>
  <c r="Z1787" i="1" s="1"/>
  <c r="W1787" i="1"/>
  <c r="S1787" i="1"/>
  <c r="Q1787" i="1"/>
  <c r="N1787" i="1"/>
  <c r="L1787" i="1"/>
  <c r="K1787" i="1"/>
  <c r="AB1787" i="1"/>
  <c r="I1787" i="1"/>
  <c r="X1786" i="1"/>
  <c r="Z1786" i="1" s="1"/>
  <c r="W1786" i="1"/>
  <c r="S1786" i="1"/>
  <c r="Q1786" i="1"/>
  <c r="N1786" i="1"/>
  <c r="L1786" i="1"/>
  <c r="K1786" i="1"/>
  <c r="AB1786" i="1"/>
  <c r="I1786" i="1"/>
  <c r="X1785" i="1"/>
  <c r="Z1785" i="1" s="1"/>
  <c r="W1785" i="1"/>
  <c r="S1785" i="1"/>
  <c r="Q1785" i="1"/>
  <c r="N1785" i="1"/>
  <c r="L1785" i="1"/>
  <c r="K1785" i="1"/>
  <c r="AB1785" i="1"/>
  <c r="I1785" i="1"/>
  <c r="X1784" i="1"/>
  <c r="Z1784" i="1" s="1"/>
  <c r="W1784" i="1"/>
  <c r="S1784" i="1"/>
  <c r="Q1784" i="1"/>
  <c r="N1784" i="1"/>
  <c r="L1784" i="1"/>
  <c r="K1784" i="1"/>
  <c r="AB1784" i="1"/>
  <c r="I1784" i="1"/>
  <c r="X1783" i="1"/>
  <c r="Z1783" i="1" s="1"/>
  <c r="W1783" i="1"/>
  <c r="S1783" i="1"/>
  <c r="Q1783" i="1"/>
  <c r="N1783" i="1"/>
  <c r="L1783" i="1"/>
  <c r="K1783" i="1"/>
  <c r="AB1783" i="1"/>
  <c r="I1783" i="1"/>
  <c r="X1782" i="1"/>
  <c r="Z1782" i="1" s="1"/>
  <c r="W1782" i="1"/>
  <c r="S1782" i="1"/>
  <c r="Q1782" i="1"/>
  <c r="N1782" i="1"/>
  <c r="L1782" i="1"/>
  <c r="K1782" i="1"/>
  <c r="AB1782" i="1"/>
  <c r="I1782" i="1"/>
  <c r="X1781" i="1"/>
  <c r="Z1781" i="1" s="1"/>
  <c r="W1781" i="1"/>
  <c r="S1781" i="1"/>
  <c r="Q1781" i="1"/>
  <c r="N1781" i="1"/>
  <c r="L1781" i="1"/>
  <c r="K1781" i="1"/>
  <c r="AB1781" i="1"/>
  <c r="I1781" i="1"/>
  <c r="X1780" i="1"/>
  <c r="Z1780" i="1" s="1"/>
  <c r="W1780" i="1"/>
  <c r="S1780" i="1"/>
  <c r="Q1780" i="1"/>
  <c r="N1780" i="1"/>
  <c r="L1780" i="1"/>
  <c r="K1780" i="1"/>
  <c r="AB1780" i="1"/>
  <c r="I1780" i="1"/>
  <c r="X1779" i="1"/>
  <c r="Z1779" i="1" s="1"/>
  <c r="W1779" i="1"/>
  <c r="S1779" i="1"/>
  <c r="Q1779" i="1"/>
  <c r="N1779" i="1"/>
  <c r="L1779" i="1"/>
  <c r="K1779" i="1"/>
  <c r="AB1779" i="1"/>
  <c r="I1779" i="1"/>
  <c r="X1778" i="1"/>
  <c r="Z1778" i="1" s="1"/>
  <c r="W1778" i="1"/>
  <c r="S1778" i="1"/>
  <c r="Q1778" i="1"/>
  <c r="N1778" i="1"/>
  <c r="L1778" i="1"/>
  <c r="K1778" i="1"/>
  <c r="AB1778" i="1"/>
  <c r="I1778" i="1"/>
  <c r="X1777" i="1"/>
  <c r="Z1777" i="1" s="1"/>
  <c r="W1777" i="1"/>
  <c r="S1777" i="1"/>
  <c r="Q1777" i="1"/>
  <c r="N1777" i="1"/>
  <c r="L1777" i="1"/>
  <c r="K1777" i="1"/>
  <c r="AB1777" i="1"/>
  <c r="I1777" i="1"/>
  <c r="X1776" i="1"/>
  <c r="Z1776" i="1" s="1"/>
  <c r="W1776" i="1"/>
  <c r="S1776" i="1"/>
  <c r="Q1776" i="1"/>
  <c r="N1776" i="1"/>
  <c r="L1776" i="1"/>
  <c r="K1776" i="1"/>
  <c r="AB1776" i="1"/>
  <c r="I1776" i="1"/>
  <c r="X1775" i="1"/>
  <c r="Z1775" i="1" s="1"/>
  <c r="W1775" i="1"/>
  <c r="S1775" i="1"/>
  <c r="Q1775" i="1"/>
  <c r="N1775" i="1"/>
  <c r="L1775" i="1"/>
  <c r="K1775" i="1"/>
  <c r="AB1775" i="1"/>
  <c r="I1775" i="1"/>
  <c r="X1774" i="1"/>
  <c r="Z1774" i="1" s="1"/>
  <c r="W1774" i="1"/>
  <c r="S1774" i="1"/>
  <c r="Q1774" i="1"/>
  <c r="N1774" i="1"/>
  <c r="L1774" i="1"/>
  <c r="K1774" i="1"/>
  <c r="AB1774" i="1"/>
  <c r="I1774" i="1"/>
  <c r="X1773" i="1"/>
  <c r="Z1773" i="1" s="1"/>
  <c r="W1773" i="1"/>
  <c r="S1773" i="1"/>
  <c r="Q1773" i="1"/>
  <c r="N1773" i="1"/>
  <c r="L1773" i="1"/>
  <c r="K1773" i="1"/>
  <c r="AB1773" i="1"/>
  <c r="I1773" i="1"/>
  <c r="X1772" i="1"/>
  <c r="Z1772" i="1" s="1"/>
  <c r="W1772" i="1"/>
  <c r="S1772" i="1"/>
  <c r="Q1772" i="1"/>
  <c r="N1772" i="1"/>
  <c r="L1772" i="1"/>
  <c r="K1772" i="1"/>
  <c r="AB1772" i="1"/>
  <c r="I1772" i="1"/>
  <c r="X1771" i="1"/>
  <c r="Z1771" i="1" s="1"/>
  <c r="W1771" i="1"/>
  <c r="S1771" i="1"/>
  <c r="Q1771" i="1"/>
  <c r="N1771" i="1"/>
  <c r="L1771" i="1"/>
  <c r="K1771" i="1"/>
  <c r="AB1771" i="1"/>
  <c r="I1771" i="1"/>
  <c r="X1770" i="1"/>
  <c r="Z1770" i="1" s="1"/>
  <c r="W1770" i="1"/>
  <c r="S1770" i="1"/>
  <c r="Q1770" i="1"/>
  <c r="N1770" i="1"/>
  <c r="L1770" i="1"/>
  <c r="K1770" i="1"/>
  <c r="AB1770" i="1"/>
  <c r="I1770" i="1"/>
  <c r="X1769" i="1"/>
  <c r="Z1769" i="1" s="1"/>
  <c r="W1769" i="1"/>
  <c r="S1769" i="1"/>
  <c r="Q1769" i="1"/>
  <c r="N1769" i="1"/>
  <c r="L1769" i="1"/>
  <c r="K1769" i="1"/>
  <c r="AB1769" i="1"/>
  <c r="I1769" i="1"/>
  <c r="X1768" i="1"/>
  <c r="Z1768" i="1" s="1"/>
  <c r="W1768" i="1"/>
  <c r="S1768" i="1"/>
  <c r="Q1768" i="1"/>
  <c r="N1768" i="1"/>
  <c r="L1768" i="1"/>
  <c r="K1768" i="1"/>
  <c r="AB1768" i="1"/>
  <c r="I1768" i="1"/>
  <c r="X1767" i="1"/>
  <c r="Z1767" i="1" s="1"/>
  <c r="W1767" i="1"/>
  <c r="S1767" i="1"/>
  <c r="Q1767" i="1"/>
  <c r="N1767" i="1"/>
  <c r="L1767" i="1"/>
  <c r="K1767" i="1"/>
  <c r="AB1767" i="1"/>
  <c r="I1767" i="1"/>
  <c r="X1766" i="1"/>
  <c r="Z1766" i="1" s="1"/>
  <c r="W1766" i="1"/>
  <c r="S1766" i="1"/>
  <c r="Q1766" i="1"/>
  <c r="N1766" i="1"/>
  <c r="L1766" i="1"/>
  <c r="K1766" i="1"/>
  <c r="AB1766" i="1"/>
  <c r="I1766" i="1"/>
  <c r="X1765" i="1"/>
  <c r="Z1765" i="1" s="1"/>
  <c r="W1765" i="1"/>
  <c r="S1765" i="1"/>
  <c r="Q1765" i="1"/>
  <c r="N1765" i="1"/>
  <c r="L1765" i="1"/>
  <c r="K1765" i="1"/>
  <c r="AB1765" i="1"/>
  <c r="I1765" i="1"/>
  <c r="X1764" i="1"/>
  <c r="Z1764" i="1" s="1"/>
  <c r="W1764" i="1"/>
  <c r="S1764" i="1"/>
  <c r="Q1764" i="1"/>
  <c r="N1764" i="1"/>
  <c r="L1764" i="1"/>
  <c r="K1764" i="1"/>
  <c r="AB1764" i="1"/>
  <c r="I1764" i="1"/>
  <c r="X1763" i="1"/>
  <c r="Z1763" i="1" s="1"/>
  <c r="W1763" i="1"/>
  <c r="S1763" i="1"/>
  <c r="Q1763" i="1"/>
  <c r="N1763" i="1"/>
  <c r="L1763" i="1"/>
  <c r="K1763" i="1"/>
  <c r="AB1763" i="1"/>
  <c r="I1763" i="1"/>
  <c r="X1762" i="1"/>
  <c r="Z1762" i="1" s="1"/>
  <c r="W1762" i="1"/>
  <c r="S1762" i="1"/>
  <c r="Q1762" i="1"/>
  <c r="N1762" i="1"/>
  <c r="L1762" i="1"/>
  <c r="K1762" i="1"/>
  <c r="AB1762" i="1"/>
  <c r="I1762" i="1"/>
  <c r="X1761" i="1"/>
  <c r="Z1761" i="1" s="1"/>
  <c r="W1761" i="1"/>
  <c r="S1761" i="1"/>
  <c r="Q1761" i="1"/>
  <c r="N1761" i="1"/>
  <c r="L1761" i="1"/>
  <c r="K1761" i="1"/>
  <c r="AB1761" i="1"/>
  <c r="I1761" i="1"/>
  <c r="X1760" i="1"/>
  <c r="Z1760" i="1" s="1"/>
  <c r="W1760" i="1"/>
  <c r="S1760" i="1"/>
  <c r="Q1760" i="1"/>
  <c r="N1760" i="1"/>
  <c r="L1760" i="1"/>
  <c r="K1760" i="1"/>
  <c r="AB1760" i="1"/>
  <c r="I1760" i="1"/>
  <c r="X1759" i="1"/>
  <c r="Z1759" i="1" s="1"/>
  <c r="W1759" i="1"/>
  <c r="S1759" i="1"/>
  <c r="Q1759" i="1"/>
  <c r="N1759" i="1"/>
  <c r="L1759" i="1"/>
  <c r="K1759" i="1"/>
  <c r="AB1759" i="1"/>
  <c r="I1759" i="1"/>
  <c r="X1758" i="1"/>
  <c r="Z1758" i="1" s="1"/>
  <c r="W1758" i="1"/>
  <c r="S1758" i="1"/>
  <c r="Q1758" i="1"/>
  <c r="N1758" i="1"/>
  <c r="L1758" i="1"/>
  <c r="K1758" i="1"/>
  <c r="AB1758" i="1"/>
  <c r="I1758" i="1"/>
  <c r="X1757" i="1"/>
  <c r="Z1757" i="1" s="1"/>
  <c r="W1757" i="1"/>
  <c r="S1757" i="1"/>
  <c r="Q1757" i="1"/>
  <c r="N1757" i="1"/>
  <c r="L1757" i="1"/>
  <c r="K1757" i="1"/>
  <c r="AB1757" i="1"/>
  <c r="I1757" i="1"/>
  <c r="X1756" i="1"/>
  <c r="Z1756" i="1" s="1"/>
  <c r="W1756" i="1"/>
  <c r="S1756" i="1"/>
  <c r="Q1756" i="1"/>
  <c r="N1756" i="1"/>
  <c r="L1756" i="1"/>
  <c r="K1756" i="1"/>
  <c r="AB1756" i="1"/>
  <c r="I1756" i="1"/>
  <c r="X1755" i="1"/>
  <c r="Z1755" i="1" s="1"/>
  <c r="W1755" i="1"/>
  <c r="S1755" i="1"/>
  <c r="Q1755" i="1"/>
  <c r="N1755" i="1"/>
  <c r="L1755" i="1"/>
  <c r="K1755" i="1"/>
  <c r="AB1755" i="1"/>
  <c r="I1755" i="1"/>
  <c r="X1754" i="1"/>
  <c r="Z1754" i="1" s="1"/>
  <c r="W1754" i="1"/>
  <c r="S1754" i="1"/>
  <c r="Q1754" i="1"/>
  <c r="N1754" i="1"/>
  <c r="L1754" i="1"/>
  <c r="K1754" i="1"/>
  <c r="AB1754" i="1"/>
  <c r="I1754" i="1"/>
  <c r="X1753" i="1"/>
  <c r="Z1753" i="1" s="1"/>
  <c r="W1753" i="1"/>
  <c r="S1753" i="1"/>
  <c r="Q1753" i="1"/>
  <c r="N1753" i="1"/>
  <c r="L1753" i="1"/>
  <c r="K1753" i="1"/>
  <c r="AB1753" i="1"/>
  <c r="I1753" i="1"/>
  <c r="X1752" i="1"/>
  <c r="Z1752" i="1" s="1"/>
  <c r="W1752" i="1"/>
  <c r="S1752" i="1"/>
  <c r="Q1752" i="1"/>
  <c r="N1752" i="1"/>
  <c r="L1752" i="1"/>
  <c r="K1752" i="1"/>
  <c r="AB1752" i="1"/>
  <c r="I1752" i="1"/>
  <c r="X1751" i="1"/>
  <c r="Z1751" i="1" s="1"/>
  <c r="W1751" i="1"/>
  <c r="S1751" i="1"/>
  <c r="Q1751" i="1"/>
  <c r="N1751" i="1"/>
  <c r="L1751" i="1"/>
  <c r="K1751" i="1"/>
  <c r="AB1751" i="1"/>
  <c r="I1751" i="1"/>
  <c r="X1750" i="1"/>
  <c r="Z1750" i="1" s="1"/>
  <c r="W1750" i="1"/>
  <c r="S1750" i="1"/>
  <c r="Q1750" i="1"/>
  <c r="N1750" i="1"/>
  <c r="L1750" i="1"/>
  <c r="K1750" i="1"/>
  <c r="AB1750" i="1"/>
  <c r="I1750" i="1"/>
  <c r="X1749" i="1"/>
  <c r="Z1749" i="1" s="1"/>
  <c r="W1749" i="1"/>
  <c r="S1749" i="1"/>
  <c r="Q1749" i="1"/>
  <c r="N1749" i="1"/>
  <c r="L1749" i="1"/>
  <c r="K1749" i="1"/>
  <c r="AB1749" i="1"/>
  <c r="I1749" i="1"/>
  <c r="X1748" i="1"/>
  <c r="Z1748" i="1" s="1"/>
  <c r="W1748" i="1"/>
  <c r="S1748" i="1"/>
  <c r="Q1748" i="1"/>
  <c r="N1748" i="1"/>
  <c r="L1748" i="1"/>
  <c r="K1748" i="1"/>
  <c r="AB1748" i="1"/>
  <c r="I1748" i="1"/>
  <c r="X1747" i="1"/>
  <c r="Z1747" i="1" s="1"/>
  <c r="W1747" i="1"/>
  <c r="S1747" i="1"/>
  <c r="Q1747" i="1"/>
  <c r="N1747" i="1"/>
  <c r="L1747" i="1"/>
  <c r="K1747" i="1"/>
  <c r="AB1747" i="1"/>
  <c r="I1747" i="1"/>
  <c r="X1746" i="1"/>
  <c r="Z1746" i="1" s="1"/>
  <c r="W1746" i="1"/>
  <c r="S1746" i="1"/>
  <c r="Q1746" i="1"/>
  <c r="N1746" i="1"/>
  <c r="L1746" i="1"/>
  <c r="K1746" i="1"/>
  <c r="AB1746" i="1"/>
  <c r="I1746" i="1"/>
  <c r="X1745" i="1"/>
  <c r="Z1745" i="1" s="1"/>
  <c r="W1745" i="1"/>
  <c r="S1745" i="1"/>
  <c r="Q1745" i="1"/>
  <c r="N1745" i="1"/>
  <c r="L1745" i="1"/>
  <c r="K1745" i="1"/>
  <c r="AB1745" i="1"/>
  <c r="I1745" i="1"/>
  <c r="X1744" i="1"/>
  <c r="Z1744" i="1" s="1"/>
  <c r="W1744" i="1"/>
  <c r="S1744" i="1"/>
  <c r="Q1744" i="1"/>
  <c r="N1744" i="1"/>
  <c r="L1744" i="1"/>
  <c r="K1744" i="1"/>
  <c r="AB1744" i="1"/>
  <c r="I1744" i="1"/>
  <c r="X1743" i="1"/>
  <c r="Z1743" i="1" s="1"/>
  <c r="W1743" i="1"/>
  <c r="S1743" i="1"/>
  <c r="Q1743" i="1"/>
  <c r="N1743" i="1"/>
  <c r="L1743" i="1"/>
  <c r="K1743" i="1"/>
  <c r="AB1743" i="1"/>
  <c r="I1743" i="1"/>
  <c r="X1742" i="1"/>
  <c r="Z1742" i="1" s="1"/>
  <c r="W1742" i="1"/>
  <c r="S1742" i="1"/>
  <c r="Q1742" i="1"/>
  <c r="N1742" i="1"/>
  <c r="L1742" i="1"/>
  <c r="K1742" i="1"/>
  <c r="AB1742" i="1"/>
  <c r="I1742" i="1"/>
  <c r="X1741" i="1"/>
  <c r="Z1741" i="1" s="1"/>
  <c r="W1741" i="1"/>
  <c r="S1741" i="1"/>
  <c r="Q1741" i="1"/>
  <c r="N1741" i="1"/>
  <c r="L1741" i="1"/>
  <c r="K1741" i="1"/>
  <c r="AB1741" i="1"/>
  <c r="I1741" i="1"/>
  <c r="X1740" i="1"/>
  <c r="Z1740" i="1" s="1"/>
  <c r="W1740" i="1"/>
  <c r="S1740" i="1"/>
  <c r="Q1740" i="1"/>
  <c r="N1740" i="1"/>
  <c r="L1740" i="1"/>
  <c r="K1740" i="1"/>
  <c r="AB1740" i="1"/>
  <c r="I1740" i="1"/>
  <c r="X1739" i="1"/>
  <c r="Z1739" i="1" s="1"/>
  <c r="W1739" i="1"/>
  <c r="S1739" i="1"/>
  <c r="Q1739" i="1"/>
  <c r="N1739" i="1"/>
  <c r="L1739" i="1"/>
  <c r="K1739" i="1"/>
  <c r="AB1739" i="1"/>
  <c r="I1739" i="1"/>
  <c r="X1738" i="1"/>
  <c r="Z1738" i="1" s="1"/>
  <c r="W1738" i="1"/>
  <c r="S1738" i="1"/>
  <c r="Q1738" i="1"/>
  <c r="N1738" i="1"/>
  <c r="L1738" i="1"/>
  <c r="K1738" i="1"/>
  <c r="AB1738" i="1"/>
  <c r="I1738" i="1"/>
  <c r="X1737" i="1"/>
  <c r="Z1737" i="1" s="1"/>
  <c r="W1737" i="1"/>
  <c r="S1737" i="1"/>
  <c r="Q1737" i="1"/>
  <c r="N1737" i="1"/>
  <c r="L1737" i="1"/>
  <c r="K1737" i="1"/>
  <c r="AB1737" i="1"/>
  <c r="I1737" i="1"/>
  <c r="X1736" i="1"/>
  <c r="Z1736" i="1" s="1"/>
  <c r="W1736" i="1"/>
  <c r="S1736" i="1"/>
  <c r="Q1736" i="1"/>
  <c r="N1736" i="1"/>
  <c r="L1736" i="1"/>
  <c r="K1736" i="1"/>
  <c r="AB1736" i="1"/>
  <c r="I1736" i="1"/>
  <c r="X1735" i="1"/>
  <c r="Z1735" i="1" s="1"/>
  <c r="W1735" i="1"/>
  <c r="S1735" i="1"/>
  <c r="Q1735" i="1"/>
  <c r="N1735" i="1"/>
  <c r="L1735" i="1"/>
  <c r="K1735" i="1"/>
  <c r="AB1735" i="1"/>
  <c r="I1735" i="1"/>
  <c r="X1734" i="1"/>
  <c r="Z1734" i="1" s="1"/>
  <c r="W1734" i="1"/>
  <c r="S1734" i="1"/>
  <c r="Q1734" i="1"/>
  <c r="N1734" i="1"/>
  <c r="L1734" i="1"/>
  <c r="K1734" i="1"/>
  <c r="AB1734" i="1"/>
  <c r="I1734" i="1"/>
  <c r="X1733" i="1"/>
  <c r="Z1733" i="1" s="1"/>
  <c r="W1733" i="1"/>
  <c r="S1733" i="1"/>
  <c r="Q1733" i="1"/>
  <c r="N1733" i="1"/>
  <c r="L1733" i="1"/>
  <c r="K1733" i="1"/>
  <c r="AB1733" i="1"/>
  <c r="I1733" i="1"/>
  <c r="X1732" i="1"/>
  <c r="Z1732" i="1" s="1"/>
  <c r="W1732" i="1"/>
  <c r="S1732" i="1"/>
  <c r="Q1732" i="1"/>
  <c r="N1732" i="1"/>
  <c r="L1732" i="1"/>
  <c r="K1732" i="1"/>
  <c r="AB1732" i="1"/>
  <c r="I1732" i="1"/>
  <c r="X1731" i="1"/>
  <c r="Z1731" i="1" s="1"/>
  <c r="W1731" i="1"/>
  <c r="S1731" i="1"/>
  <c r="Q1731" i="1"/>
  <c r="N1731" i="1"/>
  <c r="L1731" i="1"/>
  <c r="K1731" i="1"/>
  <c r="AB1731" i="1"/>
  <c r="I1731" i="1"/>
  <c r="X1730" i="1"/>
  <c r="Z1730" i="1" s="1"/>
  <c r="W1730" i="1"/>
  <c r="S1730" i="1"/>
  <c r="Q1730" i="1"/>
  <c r="N1730" i="1"/>
  <c r="L1730" i="1"/>
  <c r="K1730" i="1"/>
  <c r="AB1730" i="1"/>
  <c r="I1730" i="1"/>
  <c r="X1729" i="1"/>
  <c r="Z1729" i="1" s="1"/>
  <c r="W1729" i="1"/>
  <c r="S1729" i="1"/>
  <c r="Q1729" i="1"/>
  <c r="N1729" i="1"/>
  <c r="L1729" i="1"/>
  <c r="K1729" i="1"/>
  <c r="AB1729" i="1"/>
  <c r="I1729" i="1"/>
  <c r="X1728" i="1"/>
  <c r="Z1728" i="1" s="1"/>
  <c r="W1728" i="1"/>
  <c r="S1728" i="1"/>
  <c r="Q1728" i="1"/>
  <c r="N1728" i="1"/>
  <c r="L1728" i="1"/>
  <c r="K1728" i="1"/>
  <c r="AB1728" i="1"/>
  <c r="I1728" i="1"/>
  <c r="X1727" i="1"/>
  <c r="Z1727" i="1" s="1"/>
  <c r="W1727" i="1"/>
  <c r="S1727" i="1"/>
  <c r="Q1727" i="1"/>
  <c r="N1727" i="1"/>
  <c r="L1727" i="1"/>
  <c r="K1727" i="1"/>
  <c r="AB1727" i="1"/>
  <c r="I1727" i="1"/>
  <c r="X1726" i="1"/>
  <c r="Z1726" i="1" s="1"/>
  <c r="W1726" i="1"/>
  <c r="S1726" i="1"/>
  <c r="Q1726" i="1"/>
  <c r="N1726" i="1"/>
  <c r="L1726" i="1"/>
  <c r="K1726" i="1"/>
  <c r="AB1726" i="1"/>
  <c r="I1726" i="1"/>
  <c r="X1725" i="1"/>
  <c r="Z1725" i="1" s="1"/>
  <c r="W1725" i="1"/>
  <c r="S1725" i="1"/>
  <c r="Q1725" i="1"/>
  <c r="N1725" i="1"/>
  <c r="L1725" i="1"/>
  <c r="K1725" i="1"/>
  <c r="AB1725" i="1"/>
  <c r="I1725" i="1"/>
  <c r="X1724" i="1"/>
  <c r="Z1724" i="1" s="1"/>
  <c r="W1724" i="1"/>
  <c r="S1724" i="1"/>
  <c r="Q1724" i="1"/>
  <c r="N1724" i="1"/>
  <c r="L1724" i="1"/>
  <c r="K1724" i="1"/>
  <c r="AB1724" i="1"/>
  <c r="I1724" i="1"/>
  <c r="X1723" i="1"/>
  <c r="Z1723" i="1" s="1"/>
  <c r="W1723" i="1"/>
  <c r="S1723" i="1"/>
  <c r="Q1723" i="1"/>
  <c r="N1723" i="1"/>
  <c r="L1723" i="1"/>
  <c r="K1723" i="1"/>
  <c r="AB1723" i="1"/>
  <c r="I1723" i="1"/>
  <c r="X1722" i="1"/>
  <c r="Z1722" i="1" s="1"/>
  <c r="W1722" i="1"/>
  <c r="S1722" i="1"/>
  <c r="Q1722" i="1"/>
  <c r="N1722" i="1"/>
  <c r="L1722" i="1"/>
  <c r="K1722" i="1"/>
  <c r="AB1722" i="1"/>
  <c r="I1722" i="1"/>
  <c r="X1721" i="1"/>
  <c r="Z1721" i="1" s="1"/>
  <c r="W1721" i="1"/>
  <c r="S1721" i="1"/>
  <c r="Q1721" i="1"/>
  <c r="N1721" i="1"/>
  <c r="L1721" i="1"/>
  <c r="K1721" i="1"/>
  <c r="AB1721" i="1"/>
  <c r="I1721" i="1"/>
  <c r="X1720" i="1"/>
  <c r="Z1720" i="1" s="1"/>
  <c r="W1720" i="1"/>
  <c r="S1720" i="1"/>
  <c r="Q1720" i="1"/>
  <c r="N1720" i="1"/>
  <c r="L1720" i="1"/>
  <c r="K1720" i="1"/>
  <c r="AB1720" i="1"/>
  <c r="I1720" i="1"/>
  <c r="X1719" i="1"/>
  <c r="Z1719" i="1" s="1"/>
  <c r="W1719" i="1"/>
  <c r="S1719" i="1"/>
  <c r="Q1719" i="1"/>
  <c r="N1719" i="1"/>
  <c r="L1719" i="1"/>
  <c r="K1719" i="1"/>
  <c r="AB1719" i="1"/>
  <c r="I1719" i="1"/>
  <c r="X1718" i="1"/>
  <c r="Z1718" i="1" s="1"/>
  <c r="W1718" i="1"/>
  <c r="S1718" i="1"/>
  <c r="Q1718" i="1"/>
  <c r="N1718" i="1"/>
  <c r="L1718" i="1"/>
  <c r="K1718" i="1"/>
  <c r="AB1718" i="1"/>
  <c r="I1718" i="1"/>
  <c r="X1717" i="1"/>
  <c r="Z1717" i="1" s="1"/>
  <c r="W1717" i="1"/>
  <c r="S1717" i="1"/>
  <c r="Q1717" i="1"/>
  <c r="N1717" i="1"/>
  <c r="L1717" i="1"/>
  <c r="K1717" i="1"/>
  <c r="AB1717" i="1"/>
  <c r="I1717" i="1"/>
  <c r="X1716" i="1"/>
  <c r="Z1716" i="1" s="1"/>
  <c r="W1716" i="1"/>
  <c r="S1716" i="1"/>
  <c r="Q1716" i="1"/>
  <c r="N1716" i="1"/>
  <c r="L1716" i="1"/>
  <c r="K1716" i="1"/>
  <c r="AB1716" i="1"/>
  <c r="I1716" i="1"/>
  <c r="X1715" i="1"/>
  <c r="Z1715" i="1" s="1"/>
  <c r="W1715" i="1"/>
  <c r="S1715" i="1"/>
  <c r="Q1715" i="1"/>
  <c r="N1715" i="1"/>
  <c r="L1715" i="1"/>
  <c r="K1715" i="1"/>
  <c r="AB1715" i="1"/>
  <c r="I1715" i="1"/>
  <c r="X1714" i="1"/>
  <c r="Z1714" i="1" s="1"/>
  <c r="W1714" i="1"/>
  <c r="S1714" i="1"/>
  <c r="Q1714" i="1"/>
  <c r="N1714" i="1"/>
  <c r="L1714" i="1"/>
  <c r="K1714" i="1"/>
  <c r="AB1714" i="1"/>
  <c r="I1714" i="1"/>
  <c r="X1713" i="1"/>
  <c r="Z1713" i="1" s="1"/>
  <c r="W1713" i="1"/>
  <c r="S1713" i="1"/>
  <c r="Q1713" i="1"/>
  <c r="N1713" i="1"/>
  <c r="L1713" i="1"/>
  <c r="K1713" i="1"/>
  <c r="AB1713" i="1"/>
  <c r="I1713" i="1"/>
  <c r="X1712" i="1"/>
  <c r="Z1712" i="1" s="1"/>
  <c r="W1712" i="1"/>
  <c r="S1712" i="1"/>
  <c r="Q1712" i="1"/>
  <c r="N1712" i="1"/>
  <c r="L1712" i="1"/>
  <c r="K1712" i="1"/>
  <c r="AB1712" i="1"/>
  <c r="I1712" i="1"/>
  <c r="X1711" i="1"/>
  <c r="Z1711" i="1" s="1"/>
  <c r="W1711" i="1"/>
  <c r="S1711" i="1"/>
  <c r="Q1711" i="1"/>
  <c r="N1711" i="1"/>
  <c r="L1711" i="1"/>
  <c r="K1711" i="1"/>
  <c r="AB1711" i="1"/>
  <c r="I1711" i="1"/>
  <c r="X1710" i="1"/>
  <c r="Z1710" i="1" s="1"/>
  <c r="W1710" i="1"/>
  <c r="S1710" i="1"/>
  <c r="Q1710" i="1"/>
  <c r="N1710" i="1"/>
  <c r="L1710" i="1"/>
  <c r="K1710" i="1"/>
  <c r="AB1710" i="1"/>
  <c r="I1710" i="1"/>
  <c r="X1709" i="1"/>
  <c r="Z1709" i="1" s="1"/>
  <c r="W1709" i="1"/>
  <c r="S1709" i="1"/>
  <c r="Q1709" i="1"/>
  <c r="N1709" i="1"/>
  <c r="L1709" i="1"/>
  <c r="K1709" i="1"/>
  <c r="AB1709" i="1"/>
  <c r="I1709" i="1"/>
  <c r="X1708" i="1"/>
  <c r="Z1708" i="1" s="1"/>
  <c r="W1708" i="1"/>
  <c r="S1708" i="1"/>
  <c r="Q1708" i="1"/>
  <c r="N1708" i="1"/>
  <c r="L1708" i="1"/>
  <c r="K1708" i="1"/>
  <c r="AB1708" i="1"/>
  <c r="I1708" i="1"/>
  <c r="X1707" i="1"/>
  <c r="Z1707" i="1" s="1"/>
  <c r="W1707" i="1"/>
  <c r="S1707" i="1"/>
  <c r="Q1707" i="1"/>
  <c r="N1707" i="1"/>
  <c r="L1707" i="1"/>
  <c r="K1707" i="1"/>
  <c r="AB1707" i="1"/>
  <c r="I1707" i="1"/>
  <c r="X1706" i="1"/>
  <c r="Z1706" i="1" s="1"/>
  <c r="W1706" i="1"/>
  <c r="S1706" i="1"/>
  <c r="Q1706" i="1"/>
  <c r="N1706" i="1"/>
  <c r="L1706" i="1"/>
  <c r="K1706" i="1"/>
  <c r="AB1706" i="1"/>
  <c r="I1706" i="1"/>
  <c r="X1705" i="1"/>
  <c r="Z1705" i="1" s="1"/>
  <c r="W1705" i="1"/>
  <c r="S1705" i="1"/>
  <c r="Q1705" i="1"/>
  <c r="N1705" i="1"/>
  <c r="L1705" i="1"/>
  <c r="K1705" i="1"/>
  <c r="AB1705" i="1"/>
  <c r="I1705" i="1"/>
  <c r="X1704" i="1"/>
  <c r="Z1704" i="1" s="1"/>
  <c r="W1704" i="1"/>
  <c r="S1704" i="1"/>
  <c r="Q1704" i="1"/>
  <c r="N1704" i="1"/>
  <c r="L1704" i="1"/>
  <c r="K1704" i="1"/>
  <c r="AB1704" i="1"/>
  <c r="I1704" i="1"/>
  <c r="X1703" i="1"/>
  <c r="Z1703" i="1" s="1"/>
  <c r="W1703" i="1"/>
  <c r="S1703" i="1"/>
  <c r="Q1703" i="1"/>
  <c r="N1703" i="1"/>
  <c r="L1703" i="1"/>
  <c r="K1703" i="1"/>
  <c r="AB1703" i="1"/>
  <c r="I1703" i="1"/>
  <c r="X1702" i="1"/>
  <c r="Z1702" i="1" s="1"/>
  <c r="W1702" i="1"/>
  <c r="S1702" i="1"/>
  <c r="Q1702" i="1"/>
  <c r="N1702" i="1"/>
  <c r="L1702" i="1"/>
  <c r="K1702" i="1"/>
  <c r="AB1702" i="1"/>
  <c r="I1702" i="1"/>
  <c r="X1701" i="1"/>
  <c r="Z1701" i="1" s="1"/>
  <c r="W1701" i="1"/>
  <c r="S1701" i="1"/>
  <c r="Q1701" i="1"/>
  <c r="N1701" i="1"/>
  <c r="L1701" i="1"/>
  <c r="K1701" i="1"/>
  <c r="AB1701" i="1"/>
  <c r="I1701" i="1"/>
  <c r="X1700" i="1"/>
  <c r="Z1700" i="1" s="1"/>
  <c r="W1700" i="1"/>
  <c r="S1700" i="1"/>
  <c r="Q1700" i="1"/>
  <c r="N1700" i="1"/>
  <c r="L1700" i="1"/>
  <c r="K1700" i="1"/>
  <c r="AB1700" i="1"/>
  <c r="I1700" i="1"/>
  <c r="X1699" i="1"/>
  <c r="Z1699" i="1" s="1"/>
  <c r="W1699" i="1"/>
  <c r="S1699" i="1"/>
  <c r="Q1699" i="1"/>
  <c r="N1699" i="1"/>
  <c r="L1699" i="1"/>
  <c r="K1699" i="1"/>
  <c r="AB1699" i="1"/>
  <c r="I1699" i="1"/>
  <c r="X1698" i="1"/>
  <c r="Z1698" i="1" s="1"/>
  <c r="W1698" i="1"/>
  <c r="S1698" i="1"/>
  <c r="Q1698" i="1"/>
  <c r="N1698" i="1"/>
  <c r="L1698" i="1"/>
  <c r="K1698" i="1"/>
  <c r="AB1698" i="1"/>
  <c r="I1698" i="1"/>
  <c r="X1697" i="1"/>
  <c r="Z1697" i="1" s="1"/>
  <c r="W1697" i="1"/>
  <c r="S1697" i="1"/>
  <c r="Q1697" i="1"/>
  <c r="N1697" i="1"/>
  <c r="L1697" i="1"/>
  <c r="K1697" i="1"/>
  <c r="AB1697" i="1"/>
  <c r="I1697" i="1"/>
  <c r="X1696" i="1"/>
  <c r="Z1696" i="1" s="1"/>
  <c r="W1696" i="1"/>
  <c r="S1696" i="1"/>
  <c r="Q1696" i="1"/>
  <c r="N1696" i="1"/>
  <c r="L1696" i="1"/>
  <c r="K1696" i="1"/>
  <c r="AB1696" i="1"/>
  <c r="I1696" i="1"/>
  <c r="X1695" i="1"/>
  <c r="Z1695" i="1" s="1"/>
  <c r="W1695" i="1"/>
  <c r="S1695" i="1"/>
  <c r="Q1695" i="1"/>
  <c r="N1695" i="1"/>
  <c r="L1695" i="1"/>
  <c r="K1695" i="1"/>
  <c r="AB1695" i="1"/>
  <c r="I1695" i="1"/>
  <c r="X1694" i="1"/>
  <c r="Z1694" i="1" s="1"/>
  <c r="W1694" i="1"/>
  <c r="S1694" i="1"/>
  <c r="Q1694" i="1"/>
  <c r="N1694" i="1"/>
  <c r="L1694" i="1"/>
  <c r="K1694" i="1"/>
  <c r="AB1694" i="1"/>
  <c r="I1694" i="1"/>
  <c r="X1693" i="1"/>
  <c r="Z1693" i="1" s="1"/>
  <c r="W1693" i="1"/>
  <c r="S1693" i="1"/>
  <c r="Q1693" i="1"/>
  <c r="N1693" i="1"/>
  <c r="L1693" i="1"/>
  <c r="K1693" i="1"/>
  <c r="AB1693" i="1"/>
  <c r="I1693" i="1"/>
  <c r="X1692" i="1"/>
  <c r="Z1692" i="1" s="1"/>
  <c r="W1692" i="1"/>
  <c r="S1692" i="1"/>
  <c r="Q1692" i="1"/>
  <c r="N1692" i="1"/>
  <c r="L1692" i="1"/>
  <c r="K1692" i="1"/>
  <c r="AB1692" i="1"/>
  <c r="I1692" i="1"/>
  <c r="X1691" i="1"/>
  <c r="Z1691" i="1" s="1"/>
  <c r="W1691" i="1"/>
  <c r="S1691" i="1"/>
  <c r="Q1691" i="1"/>
  <c r="N1691" i="1"/>
  <c r="L1691" i="1"/>
  <c r="K1691" i="1"/>
  <c r="AB1691" i="1"/>
  <c r="I1691" i="1"/>
  <c r="X1690" i="1"/>
  <c r="Z1690" i="1" s="1"/>
  <c r="W1690" i="1"/>
  <c r="S1690" i="1"/>
  <c r="Q1690" i="1"/>
  <c r="N1690" i="1"/>
  <c r="L1690" i="1"/>
  <c r="K1690" i="1"/>
  <c r="AB1690" i="1"/>
  <c r="I1690" i="1"/>
  <c r="X1689" i="1"/>
  <c r="Z1689" i="1" s="1"/>
  <c r="W1689" i="1"/>
  <c r="S1689" i="1"/>
  <c r="Q1689" i="1"/>
  <c r="N1689" i="1"/>
  <c r="L1689" i="1"/>
  <c r="K1689" i="1"/>
  <c r="AB1689" i="1"/>
  <c r="I1689" i="1"/>
  <c r="X1688" i="1"/>
  <c r="Z1688" i="1" s="1"/>
  <c r="W1688" i="1"/>
  <c r="S1688" i="1"/>
  <c r="Q1688" i="1"/>
  <c r="N1688" i="1"/>
  <c r="L1688" i="1"/>
  <c r="K1688" i="1"/>
  <c r="AB1688" i="1"/>
  <c r="I1688" i="1"/>
  <c r="X1687" i="1"/>
  <c r="Z1687" i="1" s="1"/>
  <c r="W1687" i="1"/>
  <c r="S1687" i="1"/>
  <c r="Q1687" i="1"/>
  <c r="N1687" i="1"/>
  <c r="L1687" i="1"/>
  <c r="K1687" i="1"/>
  <c r="AB1687" i="1"/>
  <c r="I1687" i="1"/>
  <c r="X1686" i="1"/>
  <c r="Z1686" i="1" s="1"/>
  <c r="W1686" i="1"/>
  <c r="S1686" i="1"/>
  <c r="Q1686" i="1"/>
  <c r="N1686" i="1"/>
  <c r="L1686" i="1"/>
  <c r="K1686" i="1"/>
  <c r="AB1686" i="1"/>
  <c r="I1686" i="1"/>
  <c r="X1685" i="1"/>
  <c r="Z1685" i="1" s="1"/>
  <c r="W1685" i="1"/>
  <c r="S1685" i="1"/>
  <c r="Q1685" i="1"/>
  <c r="N1685" i="1"/>
  <c r="L1685" i="1"/>
  <c r="K1685" i="1"/>
  <c r="AB1685" i="1"/>
  <c r="I1685" i="1"/>
  <c r="X1684" i="1"/>
  <c r="Z1684" i="1" s="1"/>
  <c r="W1684" i="1"/>
  <c r="S1684" i="1"/>
  <c r="Q1684" i="1"/>
  <c r="N1684" i="1"/>
  <c r="L1684" i="1"/>
  <c r="K1684" i="1"/>
  <c r="AB1684" i="1"/>
  <c r="I1684" i="1"/>
  <c r="X1683" i="1"/>
  <c r="Z1683" i="1" s="1"/>
  <c r="W1683" i="1"/>
  <c r="S1683" i="1"/>
  <c r="Q1683" i="1"/>
  <c r="N1683" i="1"/>
  <c r="L1683" i="1"/>
  <c r="K1683" i="1"/>
  <c r="AB1683" i="1"/>
  <c r="I1683" i="1"/>
  <c r="X1682" i="1"/>
  <c r="Z1682" i="1" s="1"/>
  <c r="W1682" i="1"/>
  <c r="S1682" i="1"/>
  <c r="Q1682" i="1"/>
  <c r="N1682" i="1"/>
  <c r="L1682" i="1"/>
  <c r="K1682" i="1"/>
  <c r="AB1682" i="1"/>
  <c r="I1682" i="1"/>
  <c r="X1681" i="1"/>
  <c r="Z1681" i="1" s="1"/>
  <c r="W1681" i="1"/>
  <c r="S1681" i="1"/>
  <c r="Q1681" i="1"/>
  <c r="N1681" i="1"/>
  <c r="L1681" i="1"/>
  <c r="K1681" i="1"/>
  <c r="AB1681" i="1"/>
  <c r="I1681" i="1"/>
  <c r="X1680" i="1"/>
  <c r="Z1680" i="1" s="1"/>
  <c r="W1680" i="1"/>
  <c r="S1680" i="1"/>
  <c r="Q1680" i="1"/>
  <c r="N1680" i="1"/>
  <c r="L1680" i="1"/>
  <c r="K1680" i="1"/>
  <c r="AB1680" i="1"/>
  <c r="I1680" i="1"/>
  <c r="X1679" i="1"/>
  <c r="Z1679" i="1" s="1"/>
  <c r="W1679" i="1"/>
  <c r="S1679" i="1"/>
  <c r="Q1679" i="1"/>
  <c r="N1679" i="1"/>
  <c r="L1679" i="1"/>
  <c r="K1679" i="1"/>
  <c r="AB1679" i="1"/>
  <c r="I1679" i="1"/>
  <c r="X1678" i="1"/>
  <c r="Z1678" i="1" s="1"/>
  <c r="W1678" i="1"/>
  <c r="S1678" i="1"/>
  <c r="Q1678" i="1"/>
  <c r="N1678" i="1"/>
  <c r="L1678" i="1"/>
  <c r="K1678" i="1"/>
  <c r="AB1678" i="1"/>
  <c r="I1678" i="1"/>
  <c r="X1677" i="1"/>
  <c r="Z1677" i="1" s="1"/>
  <c r="W1677" i="1"/>
  <c r="S1677" i="1"/>
  <c r="Q1677" i="1"/>
  <c r="N1677" i="1"/>
  <c r="L1677" i="1"/>
  <c r="K1677" i="1"/>
  <c r="AB1677" i="1"/>
  <c r="I1677" i="1"/>
  <c r="X1676" i="1"/>
  <c r="Z1676" i="1" s="1"/>
  <c r="W1676" i="1"/>
  <c r="S1676" i="1"/>
  <c r="Q1676" i="1"/>
  <c r="N1676" i="1"/>
  <c r="L1676" i="1"/>
  <c r="K1676" i="1"/>
  <c r="AB1676" i="1"/>
  <c r="I1676" i="1"/>
  <c r="X1675" i="1"/>
  <c r="Z1675" i="1" s="1"/>
  <c r="W1675" i="1"/>
  <c r="S1675" i="1"/>
  <c r="Q1675" i="1"/>
  <c r="N1675" i="1"/>
  <c r="L1675" i="1"/>
  <c r="K1675" i="1"/>
  <c r="AB1675" i="1"/>
  <c r="I1675" i="1"/>
  <c r="X1674" i="1"/>
  <c r="Z1674" i="1" s="1"/>
  <c r="W1674" i="1"/>
  <c r="S1674" i="1"/>
  <c r="Q1674" i="1"/>
  <c r="N1674" i="1"/>
  <c r="L1674" i="1"/>
  <c r="K1674" i="1"/>
  <c r="AB1674" i="1"/>
  <c r="I1674" i="1"/>
  <c r="X1673" i="1"/>
  <c r="Z1673" i="1" s="1"/>
  <c r="W1673" i="1"/>
  <c r="S1673" i="1"/>
  <c r="Q1673" i="1"/>
  <c r="N1673" i="1"/>
  <c r="L1673" i="1"/>
  <c r="K1673" i="1"/>
  <c r="AB1673" i="1"/>
  <c r="I1673" i="1"/>
  <c r="X1672" i="1"/>
  <c r="Z1672" i="1" s="1"/>
  <c r="W1672" i="1"/>
  <c r="S1672" i="1"/>
  <c r="Q1672" i="1"/>
  <c r="N1672" i="1"/>
  <c r="L1672" i="1"/>
  <c r="K1672" i="1"/>
  <c r="AB1672" i="1"/>
  <c r="I1672" i="1"/>
  <c r="X1671" i="1"/>
  <c r="Z1671" i="1" s="1"/>
  <c r="W1671" i="1"/>
  <c r="S1671" i="1"/>
  <c r="Q1671" i="1"/>
  <c r="N1671" i="1"/>
  <c r="L1671" i="1"/>
  <c r="K1671" i="1"/>
  <c r="AB1671" i="1"/>
  <c r="I1671" i="1"/>
  <c r="X1670" i="1"/>
  <c r="Z1670" i="1" s="1"/>
  <c r="W1670" i="1"/>
  <c r="S1670" i="1"/>
  <c r="Q1670" i="1"/>
  <c r="N1670" i="1"/>
  <c r="L1670" i="1"/>
  <c r="K1670" i="1"/>
  <c r="AB1670" i="1"/>
  <c r="I1670" i="1"/>
  <c r="X1669" i="1"/>
  <c r="Z1669" i="1" s="1"/>
  <c r="W1669" i="1"/>
  <c r="S1669" i="1"/>
  <c r="Q1669" i="1"/>
  <c r="N1669" i="1"/>
  <c r="L1669" i="1"/>
  <c r="K1669" i="1"/>
  <c r="AB1669" i="1"/>
  <c r="I1669" i="1"/>
  <c r="X1668" i="1"/>
  <c r="Z1668" i="1" s="1"/>
  <c r="W1668" i="1"/>
  <c r="S1668" i="1"/>
  <c r="Q1668" i="1"/>
  <c r="N1668" i="1"/>
  <c r="L1668" i="1"/>
  <c r="K1668" i="1"/>
  <c r="AB1668" i="1"/>
  <c r="I1668" i="1"/>
  <c r="X1667" i="1"/>
  <c r="Z1667" i="1" s="1"/>
  <c r="W1667" i="1"/>
  <c r="S1667" i="1"/>
  <c r="Q1667" i="1"/>
  <c r="N1667" i="1"/>
  <c r="L1667" i="1"/>
  <c r="K1667" i="1"/>
  <c r="AB1667" i="1"/>
  <c r="I1667" i="1"/>
  <c r="X1666" i="1"/>
  <c r="Z1666" i="1" s="1"/>
  <c r="W1666" i="1"/>
  <c r="S1666" i="1"/>
  <c r="Q1666" i="1"/>
  <c r="N1666" i="1"/>
  <c r="L1666" i="1"/>
  <c r="K1666" i="1"/>
  <c r="AB1666" i="1"/>
  <c r="I1666" i="1"/>
  <c r="X1665" i="1"/>
  <c r="Z1665" i="1" s="1"/>
  <c r="W1665" i="1"/>
  <c r="S1665" i="1"/>
  <c r="Q1665" i="1"/>
  <c r="N1665" i="1"/>
  <c r="L1665" i="1"/>
  <c r="K1665" i="1"/>
  <c r="AB1665" i="1"/>
  <c r="I1665" i="1"/>
  <c r="X1664" i="1"/>
  <c r="Z1664" i="1" s="1"/>
  <c r="W1664" i="1"/>
  <c r="S1664" i="1"/>
  <c r="Q1664" i="1"/>
  <c r="N1664" i="1"/>
  <c r="L1664" i="1"/>
  <c r="K1664" i="1"/>
  <c r="AB1664" i="1"/>
  <c r="I1664" i="1"/>
  <c r="X1663" i="1"/>
  <c r="Z1663" i="1" s="1"/>
  <c r="W1663" i="1"/>
  <c r="S1663" i="1"/>
  <c r="Q1663" i="1"/>
  <c r="N1663" i="1"/>
  <c r="L1663" i="1"/>
  <c r="K1663" i="1"/>
  <c r="AB1663" i="1"/>
  <c r="I1663" i="1"/>
  <c r="X1662" i="1"/>
  <c r="Z1662" i="1" s="1"/>
  <c r="W1662" i="1"/>
  <c r="S1662" i="1"/>
  <c r="Q1662" i="1"/>
  <c r="N1662" i="1"/>
  <c r="L1662" i="1"/>
  <c r="K1662" i="1"/>
  <c r="AB1662" i="1"/>
  <c r="I1662" i="1"/>
  <c r="X1661" i="1"/>
  <c r="Z1661" i="1" s="1"/>
  <c r="W1661" i="1"/>
  <c r="S1661" i="1"/>
  <c r="Q1661" i="1"/>
  <c r="N1661" i="1"/>
  <c r="L1661" i="1"/>
  <c r="K1661" i="1"/>
  <c r="AB1661" i="1"/>
  <c r="I1661" i="1"/>
  <c r="X1660" i="1"/>
  <c r="Z1660" i="1" s="1"/>
  <c r="W1660" i="1"/>
  <c r="S1660" i="1"/>
  <c r="Q1660" i="1"/>
  <c r="N1660" i="1"/>
  <c r="L1660" i="1"/>
  <c r="K1660" i="1"/>
  <c r="AB1660" i="1"/>
  <c r="I1660" i="1"/>
  <c r="X1659" i="1"/>
  <c r="Z1659" i="1" s="1"/>
  <c r="W1659" i="1"/>
  <c r="S1659" i="1"/>
  <c r="Q1659" i="1"/>
  <c r="N1659" i="1"/>
  <c r="L1659" i="1"/>
  <c r="K1659" i="1"/>
  <c r="AB1659" i="1"/>
  <c r="I1659" i="1"/>
  <c r="X1658" i="1"/>
  <c r="Z1658" i="1" s="1"/>
  <c r="W1658" i="1"/>
  <c r="S1658" i="1"/>
  <c r="Q1658" i="1"/>
  <c r="N1658" i="1"/>
  <c r="L1658" i="1"/>
  <c r="K1658" i="1"/>
  <c r="AB1658" i="1"/>
  <c r="I1658" i="1"/>
  <c r="X1657" i="1"/>
  <c r="Z1657" i="1" s="1"/>
  <c r="W1657" i="1"/>
  <c r="S1657" i="1"/>
  <c r="Q1657" i="1"/>
  <c r="N1657" i="1"/>
  <c r="L1657" i="1"/>
  <c r="K1657" i="1"/>
  <c r="AB1657" i="1"/>
  <c r="I1657" i="1"/>
  <c r="X1656" i="1"/>
  <c r="Z1656" i="1" s="1"/>
  <c r="W1656" i="1"/>
  <c r="S1656" i="1"/>
  <c r="Q1656" i="1"/>
  <c r="N1656" i="1"/>
  <c r="L1656" i="1"/>
  <c r="K1656" i="1"/>
  <c r="AB1656" i="1"/>
  <c r="I1656" i="1"/>
  <c r="X1655" i="1"/>
  <c r="Z1655" i="1" s="1"/>
  <c r="W1655" i="1"/>
  <c r="S1655" i="1"/>
  <c r="Q1655" i="1"/>
  <c r="N1655" i="1"/>
  <c r="L1655" i="1"/>
  <c r="K1655" i="1"/>
  <c r="AB1655" i="1"/>
  <c r="I1655" i="1"/>
  <c r="X1654" i="1"/>
  <c r="Z1654" i="1" s="1"/>
  <c r="W1654" i="1"/>
  <c r="S1654" i="1"/>
  <c r="Q1654" i="1"/>
  <c r="N1654" i="1"/>
  <c r="L1654" i="1"/>
  <c r="K1654" i="1"/>
  <c r="AB1654" i="1"/>
  <c r="I1654" i="1"/>
  <c r="X1653" i="1"/>
  <c r="Z1653" i="1" s="1"/>
  <c r="W1653" i="1"/>
  <c r="S1653" i="1"/>
  <c r="Q1653" i="1"/>
  <c r="N1653" i="1"/>
  <c r="L1653" i="1"/>
  <c r="K1653" i="1"/>
  <c r="AB1653" i="1"/>
  <c r="I1653" i="1"/>
  <c r="X1652" i="1"/>
  <c r="Z1652" i="1" s="1"/>
  <c r="W1652" i="1"/>
  <c r="S1652" i="1"/>
  <c r="Q1652" i="1"/>
  <c r="N1652" i="1"/>
  <c r="L1652" i="1"/>
  <c r="K1652" i="1"/>
  <c r="AB1652" i="1"/>
  <c r="I1652" i="1"/>
  <c r="X1651" i="1"/>
  <c r="Z1651" i="1" s="1"/>
  <c r="W1651" i="1"/>
  <c r="S1651" i="1"/>
  <c r="Q1651" i="1"/>
  <c r="N1651" i="1"/>
  <c r="L1651" i="1"/>
  <c r="K1651" i="1"/>
  <c r="AB1651" i="1"/>
  <c r="I1651" i="1"/>
  <c r="X1650" i="1"/>
  <c r="Z1650" i="1" s="1"/>
  <c r="W1650" i="1"/>
  <c r="S1650" i="1"/>
  <c r="Q1650" i="1"/>
  <c r="N1650" i="1"/>
  <c r="L1650" i="1"/>
  <c r="K1650" i="1"/>
  <c r="AB1650" i="1"/>
  <c r="I1650" i="1"/>
  <c r="X1649" i="1"/>
  <c r="Z1649" i="1" s="1"/>
  <c r="W1649" i="1"/>
  <c r="S1649" i="1"/>
  <c r="Q1649" i="1"/>
  <c r="N1649" i="1"/>
  <c r="L1649" i="1"/>
  <c r="K1649" i="1"/>
  <c r="AB1649" i="1"/>
  <c r="I1649" i="1"/>
  <c r="X1648" i="1"/>
  <c r="Z1648" i="1" s="1"/>
  <c r="W1648" i="1"/>
  <c r="S1648" i="1"/>
  <c r="Q1648" i="1"/>
  <c r="N1648" i="1"/>
  <c r="L1648" i="1"/>
  <c r="K1648" i="1"/>
  <c r="AB1648" i="1"/>
  <c r="I1648" i="1"/>
  <c r="X1647" i="1"/>
  <c r="Z1647" i="1" s="1"/>
  <c r="W1647" i="1"/>
  <c r="S1647" i="1"/>
  <c r="Q1647" i="1"/>
  <c r="N1647" i="1"/>
  <c r="L1647" i="1"/>
  <c r="K1647" i="1"/>
  <c r="AB1647" i="1"/>
  <c r="I1647" i="1"/>
  <c r="X1646" i="1"/>
  <c r="Z1646" i="1" s="1"/>
  <c r="W1646" i="1"/>
  <c r="S1646" i="1"/>
  <c r="Q1646" i="1"/>
  <c r="N1646" i="1"/>
  <c r="L1646" i="1"/>
  <c r="K1646" i="1"/>
  <c r="AB1646" i="1"/>
  <c r="I1646" i="1"/>
  <c r="X1645" i="1"/>
  <c r="Z1645" i="1" s="1"/>
  <c r="W1645" i="1"/>
  <c r="S1645" i="1"/>
  <c r="Q1645" i="1"/>
  <c r="N1645" i="1"/>
  <c r="L1645" i="1"/>
  <c r="K1645" i="1"/>
  <c r="AB1645" i="1"/>
  <c r="I1645" i="1"/>
  <c r="X1644" i="1"/>
  <c r="Z1644" i="1" s="1"/>
  <c r="W1644" i="1"/>
  <c r="S1644" i="1"/>
  <c r="Q1644" i="1"/>
  <c r="N1644" i="1"/>
  <c r="L1644" i="1"/>
  <c r="K1644" i="1"/>
  <c r="AB1644" i="1"/>
  <c r="I1644" i="1"/>
  <c r="X1643" i="1"/>
  <c r="Z1643" i="1" s="1"/>
  <c r="W1643" i="1"/>
  <c r="S1643" i="1"/>
  <c r="Q1643" i="1"/>
  <c r="N1643" i="1"/>
  <c r="L1643" i="1"/>
  <c r="K1643" i="1"/>
  <c r="AB1643" i="1"/>
  <c r="I1643" i="1"/>
  <c r="X1642" i="1"/>
  <c r="Z1642" i="1" s="1"/>
  <c r="W1642" i="1"/>
  <c r="S1642" i="1"/>
  <c r="Q1642" i="1"/>
  <c r="N1642" i="1"/>
  <c r="L1642" i="1"/>
  <c r="K1642" i="1"/>
  <c r="AB1642" i="1"/>
  <c r="I1642" i="1"/>
  <c r="X1641" i="1"/>
  <c r="Z1641" i="1" s="1"/>
  <c r="W1641" i="1"/>
  <c r="S1641" i="1"/>
  <c r="Q1641" i="1"/>
  <c r="N1641" i="1"/>
  <c r="L1641" i="1"/>
  <c r="K1641" i="1"/>
  <c r="AB1641" i="1"/>
  <c r="I1641" i="1"/>
  <c r="X1640" i="1"/>
  <c r="Z1640" i="1" s="1"/>
  <c r="W1640" i="1"/>
  <c r="S1640" i="1"/>
  <c r="Q1640" i="1"/>
  <c r="N1640" i="1"/>
  <c r="L1640" i="1"/>
  <c r="K1640" i="1"/>
  <c r="AB1640" i="1"/>
  <c r="I1640" i="1"/>
  <c r="X1639" i="1"/>
  <c r="Z1639" i="1" s="1"/>
  <c r="W1639" i="1"/>
  <c r="S1639" i="1"/>
  <c r="Q1639" i="1"/>
  <c r="N1639" i="1"/>
  <c r="L1639" i="1"/>
  <c r="K1639" i="1"/>
  <c r="AB1639" i="1"/>
  <c r="I1639" i="1"/>
  <c r="X1638" i="1"/>
  <c r="Z1638" i="1" s="1"/>
  <c r="W1638" i="1"/>
  <c r="S1638" i="1"/>
  <c r="Q1638" i="1"/>
  <c r="N1638" i="1"/>
  <c r="L1638" i="1"/>
  <c r="K1638" i="1"/>
  <c r="AB1638" i="1"/>
  <c r="I1638" i="1"/>
  <c r="X1637" i="1"/>
  <c r="Z1637" i="1" s="1"/>
  <c r="W1637" i="1"/>
  <c r="S1637" i="1"/>
  <c r="Q1637" i="1"/>
  <c r="N1637" i="1"/>
  <c r="L1637" i="1"/>
  <c r="K1637" i="1"/>
  <c r="AB1637" i="1"/>
  <c r="I1637" i="1"/>
  <c r="X1636" i="1"/>
  <c r="Z1636" i="1" s="1"/>
  <c r="W1636" i="1"/>
  <c r="S1636" i="1"/>
  <c r="Q1636" i="1"/>
  <c r="N1636" i="1"/>
  <c r="L1636" i="1"/>
  <c r="K1636" i="1"/>
  <c r="AB1636" i="1"/>
  <c r="I1636" i="1"/>
  <c r="X1635" i="1"/>
  <c r="Z1635" i="1" s="1"/>
  <c r="W1635" i="1"/>
  <c r="S1635" i="1"/>
  <c r="Q1635" i="1"/>
  <c r="N1635" i="1"/>
  <c r="L1635" i="1"/>
  <c r="K1635" i="1"/>
  <c r="AB1635" i="1"/>
  <c r="I1635" i="1"/>
  <c r="X1634" i="1"/>
  <c r="Z1634" i="1" s="1"/>
  <c r="W1634" i="1"/>
  <c r="S1634" i="1"/>
  <c r="Q1634" i="1"/>
  <c r="N1634" i="1"/>
  <c r="L1634" i="1"/>
  <c r="K1634" i="1"/>
  <c r="AB1634" i="1"/>
  <c r="I1634" i="1"/>
  <c r="X1633" i="1"/>
  <c r="Z1633" i="1" s="1"/>
  <c r="W1633" i="1"/>
  <c r="S1633" i="1"/>
  <c r="Q1633" i="1"/>
  <c r="N1633" i="1"/>
  <c r="L1633" i="1"/>
  <c r="K1633" i="1"/>
  <c r="AB1633" i="1"/>
  <c r="I1633" i="1"/>
  <c r="X1632" i="1"/>
  <c r="Z1632" i="1" s="1"/>
  <c r="W1632" i="1"/>
  <c r="S1632" i="1"/>
  <c r="Q1632" i="1"/>
  <c r="N1632" i="1"/>
  <c r="L1632" i="1"/>
  <c r="K1632" i="1"/>
  <c r="AB1632" i="1"/>
  <c r="I1632" i="1"/>
  <c r="X1631" i="1"/>
  <c r="Z1631" i="1" s="1"/>
  <c r="W1631" i="1"/>
  <c r="S1631" i="1"/>
  <c r="Q1631" i="1"/>
  <c r="N1631" i="1"/>
  <c r="L1631" i="1"/>
  <c r="K1631" i="1"/>
  <c r="AB1631" i="1"/>
  <c r="I1631" i="1"/>
  <c r="X1630" i="1"/>
  <c r="Z1630" i="1" s="1"/>
  <c r="W1630" i="1"/>
  <c r="S1630" i="1"/>
  <c r="Q1630" i="1"/>
  <c r="N1630" i="1"/>
  <c r="L1630" i="1"/>
  <c r="K1630" i="1"/>
  <c r="AB1630" i="1"/>
  <c r="I1630" i="1"/>
  <c r="X1629" i="1"/>
  <c r="Z1629" i="1" s="1"/>
  <c r="W1629" i="1"/>
  <c r="S1629" i="1"/>
  <c r="Q1629" i="1"/>
  <c r="N1629" i="1"/>
  <c r="L1629" i="1"/>
  <c r="K1629" i="1"/>
  <c r="AB1629" i="1"/>
  <c r="I1629" i="1"/>
  <c r="X1628" i="1"/>
  <c r="Z1628" i="1" s="1"/>
  <c r="W1628" i="1"/>
  <c r="S1628" i="1"/>
  <c r="Q1628" i="1"/>
  <c r="N1628" i="1"/>
  <c r="L1628" i="1"/>
  <c r="K1628" i="1"/>
  <c r="AB1628" i="1"/>
  <c r="I1628" i="1"/>
  <c r="X1627" i="1"/>
  <c r="Z1627" i="1" s="1"/>
  <c r="W1627" i="1"/>
  <c r="S1627" i="1"/>
  <c r="Q1627" i="1"/>
  <c r="N1627" i="1"/>
  <c r="L1627" i="1"/>
  <c r="K1627" i="1"/>
  <c r="AB1627" i="1"/>
  <c r="I1627" i="1"/>
  <c r="X1626" i="1"/>
  <c r="Z1626" i="1" s="1"/>
  <c r="W1626" i="1"/>
  <c r="S1626" i="1"/>
  <c r="Q1626" i="1"/>
  <c r="N1626" i="1"/>
  <c r="L1626" i="1"/>
  <c r="K1626" i="1"/>
  <c r="AB1626" i="1"/>
  <c r="I1626" i="1"/>
  <c r="X1625" i="1"/>
  <c r="Z1625" i="1" s="1"/>
  <c r="W1625" i="1"/>
  <c r="S1625" i="1"/>
  <c r="Q1625" i="1"/>
  <c r="N1625" i="1"/>
  <c r="L1625" i="1"/>
  <c r="K1625" i="1"/>
  <c r="AB1625" i="1"/>
  <c r="I1625" i="1"/>
  <c r="X1624" i="1"/>
  <c r="Z1624" i="1" s="1"/>
  <c r="W1624" i="1"/>
  <c r="S1624" i="1"/>
  <c r="Q1624" i="1"/>
  <c r="N1624" i="1"/>
  <c r="L1624" i="1"/>
  <c r="K1624" i="1"/>
  <c r="AB1624" i="1"/>
  <c r="I1624" i="1"/>
  <c r="X1623" i="1"/>
  <c r="Z1623" i="1" s="1"/>
  <c r="W1623" i="1"/>
  <c r="S1623" i="1"/>
  <c r="Q1623" i="1"/>
  <c r="N1623" i="1"/>
  <c r="L1623" i="1"/>
  <c r="K1623" i="1"/>
  <c r="AB1623" i="1"/>
  <c r="I1623" i="1"/>
  <c r="X1622" i="1"/>
  <c r="Z1622" i="1" s="1"/>
  <c r="W1622" i="1"/>
  <c r="S1622" i="1"/>
  <c r="Q1622" i="1"/>
  <c r="N1622" i="1"/>
  <c r="L1622" i="1"/>
  <c r="K1622" i="1"/>
  <c r="AB1622" i="1"/>
  <c r="I1622" i="1"/>
  <c r="X1621" i="1"/>
  <c r="Z1621" i="1" s="1"/>
  <c r="W1621" i="1"/>
  <c r="S1621" i="1"/>
  <c r="Q1621" i="1"/>
  <c r="N1621" i="1"/>
  <c r="L1621" i="1"/>
  <c r="K1621" i="1"/>
  <c r="AB1621" i="1"/>
  <c r="I1621" i="1"/>
  <c r="X1620" i="1"/>
  <c r="Z1620" i="1" s="1"/>
  <c r="W1620" i="1"/>
  <c r="S1620" i="1"/>
  <c r="Q1620" i="1"/>
  <c r="N1620" i="1"/>
  <c r="L1620" i="1"/>
  <c r="K1620" i="1"/>
  <c r="AB1620" i="1"/>
  <c r="I1620" i="1"/>
  <c r="X1619" i="1"/>
  <c r="Z1619" i="1" s="1"/>
  <c r="W1619" i="1"/>
  <c r="S1619" i="1"/>
  <c r="Q1619" i="1"/>
  <c r="N1619" i="1"/>
  <c r="L1619" i="1"/>
  <c r="K1619" i="1"/>
  <c r="AB1619" i="1"/>
  <c r="I1619" i="1"/>
  <c r="X1618" i="1"/>
  <c r="Z1618" i="1" s="1"/>
  <c r="W1618" i="1"/>
  <c r="S1618" i="1"/>
  <c r="Q1618" i="1"/>
  <c r="N1618" i="1"/>
  <c r="L1618" i="1"/>
  <c r="K1618" i="1"/>
  <c r="AB1618" i="1"/>
  <c r="I1618" i="1"/>
  <c r="X1617" i="1"/>
  <c r="Z1617" i="1" s="1"/>
  <c r="W1617" i="1"/>
  <c r="S1617" i="1"/>
  <c r="Q1617" i="1"/>
  <c r="N1617" i="1"/>
  <c r="L1617" i="1"/>
  <c r="K1617" i="1"/>
  <c r="AB1617" i="1"/>
  <c r="I1617" i="1"/>
  <c r="X1616" i="1"/>
  <c r="Z1616" i="1" s="1"/>
  <c r="W1616" i="1"/>
  <c r="S1616" i="1"/>
  <c r="Q1616" i="1"/>
  <c r="N1616" i="1"/>
  <c r="L1616" i="1"/>
  <c r="K1616" i="1"/>
  <c r="AB1616" i="1"/>
  <c r="I1616" i="1"/>
  <c r="X1615" i="1"/>
  <c r="Z1615" i="1" s="1"/>
  <c r="W1615" i="1"/>
  <c r="S1615" i="1"/>
  <c r="Q1615" i="1"/>
  <c r="N1615" i="1"/>
  <c r="L1615" i="1"/>
  <c r="K1615" i="1"/>
  <c r="AB1615" i="1"/>
  <c r="I1615" i="1"/>
  <c r="X1614" i="1"/>
  <c r="Z1614" i="1" s="1"/>
  <c r="W1614" i="1"/>
  <c r="S1614" i="1"/>
  <c r="Q1614" i="1"/>
  <c r="N1614" i="1"/>
  <c r="L1614" i="1"/>
  <c r="K1614" i="1"/>
  <c r="AB1614" i="1"/>
  <c r="I1614" i="1"/>
  <c r="X1613" i="1"/>
  <c r="Z1613" i="1" s="1"/>
  <c r="W1613" i="1"/>
  <c r="S1613" i="1"/>
  <c r="Q1613" i="1"/>
  <c r="N1613" i="1"/>
  <c r="L1613" i="1"/>
  <c r="K1613" i="1"/>
  <c r="AB1613" i="1"/>
  <c r="I1613" i="1"/>
  <c r="X1612" i="1"/>
  <c r="Z1612" i="1" s="1"/>
  <c r="W1612" i="1"/>
  <c r="S1612" i="1"/>
  <c r="Q1612" i="1"/>
  <c r="N1612" i="1"/>
  <c r="L1612" i="1"/>
  <c r="K1612" i="1"/>
  <c r="AB1612" i="1"/>
  <c r="I1612" i="1"/>
  <c r="X1611" i="1"/>
  <c r="Z1611" i="1" s="1"/>
  <c r="W1611" i="1"/>
  <c r="S1611" i="1"/>
  <c r="Q1611" i="1"/>
  <c r="N1611" i="1"/>
  <c r="L1611" i="1"/>
  <c r="K1611" i="1"/>
  <c r="AB1611" i="1"/>
  <c r="I1611" i="1"/>
  <c r="X1610" i="1"/>
  <c r="Z1610" i="1" s="1"/>
  <c r="W1610" i="1"/>
  <c r="S1610" i="1"/>
  <c r="Q1610" i="1"/>
  <c r="N1610" i="1"/>
  <c r="L1610" i="1"/>
  <c r="K1610" i="1"/>
  <c r="AB1610" i="1"/>
  <c r="I1610" i="1"/>
  <c r="X1609" i="1"/>
  <c r="Z1609" i="1" s="1"/>
  <c r="W1609" i="1"/>
  <c r="S1609" i="1"/>
  <c r="Q1609" i="1"/>
  <c r="N1609" i="1"/>
  <c r="L1609" i="1"/>
  <c r="K1609" i="1"/>
  <c r="AB1609" i="1"/>
  <c r="I1609" i="1"/>
  <c r="X1608" i="1"/>
  <c r="Z1608" i="1" s="1"/>
  <c r="W1608" i="1"/>
  <c r="S1608" i="1"/>
  <c r="Q1608" i="1"/>
  <c r="N1608" i="1"/>
  <c r="L1608" i="1"/>
  <c r="K1608" i="1"/>
  <c r="AB1608" i="1"/>
  <c r="I1608" i="1"/>
  <c r="X1607" i="1"/>
  <c r="Z1607" i="1" s="1"/>
  <c r="W1607" i="1"/>
  <c r="S1607" i="1"/>
  <c r="Q1607" i="1"/>
  <c r="N1607" i="1"/>
  <c r="L1607" i="1"/>
  <c r="K1607" i="1"/>
  <c r="AB1607" i="1"/>
  <c r="I1607" i="1"/>
  <c r="X1606" i="1"/>
  <c r="Z1606" i="1" s="1"/>
  <c r="W1606" i="1"/>
  <c r="S1606" i="1"/>
  <c r="Q1606" i="1"/>
  <c r="N1606" i="1"/>
  <c r="L1606" i="1"/>
  <c r="K1606" i="1"/>
  <c r="AB1606" i="1"/>
  <c r="I1606" i="1"/>
  <c r="X1605" i="1"/>
  <c r="Z1605" i="1" s="1"/>
  <c r="W1605" i="1"/>
  <c r="S1605" i="1"/>
  <c r="Q1605" i="1"/>
  <c r="N1605" i="1"/>
  <c r="L1605" i="1"/>
  <c r="K1605" i="1"/>
  <c r="AB1605" i="1"/>
  <c r="I1605" i="1"/>
  <c r="X1604" i="1"/>
  <c r="Z1604" i="1" s="1"/>
  <c r="W1604" i="1"/>
  <c r="S1604" i="1"/>
  <c r="Q1604" i="1"/>
  <c r="N1604" i="1"/>
  <c r="L1604" i="1"/>
  <c r="K1604" i="1"/>
  <c r="AB1604" i="1"/>
  <c r="I1604" i="1"/>
  <c r="X1603" i="1"/>
  <c r="Z1603" i="1" s="1"/>
  <c r="W1603" i="1"/>
  <c r="S1603" i="1"/>
  <c r="Q1603" i="1"/>
  <c r="N1603" i="1"/>
  <c r="L1603" i="1"/>
  <c r="K1603" i="1"/>
  <c r="AB1603" i="1"/>
  <c r="I1603" i="1"/>
  <c r="X1602" i="1"/>
  <c r="Z1602" i="1" s="1"/>
  <c r="W1602" i="1"/>
  <c r="S1602" i="1"/>
  <c r="Q1602" i="1"/>
  <c r="N1602" i="1"/>
  <c r="L1602" i="1"/>
  <c r="K1602" i="1"/>
  <c r="AB1602" i="1"/>
  <c r="I1602" i="1"/>
  <c r="X1601" i="1"/>
  <c r="Z1601" i="1" s="1"/>
  <c r="W1601" i="1"/>
  <c r="S1601" i="1"/>
  <c r="Q1601" i="1"/>
  <c r="N1601" i="1"/>
  <c r="L1601" i="1"/>
  <c r="K1601" i="1"/>
  <c r="AB1601" i="1"/>
  <c r="I1601" i="1"/>
  <c r="X1600" i="1"/>
  <c r="Z1600" i="1" s="1"/>
  <c r="W1600" i="1"/>
  <c r="S1600" i="1"/>
  <c r="Q1600" i="1"/>
  <c r="N1600" i="1"/>
  <c r="L1600" i="1"/>
  <c r="K1600" i="1"/>
  <c r="AB1600" i="1"/>
  <c r="I1600" i="1"/>
  <c r="X1599" i="1"/>
  <c r="Z1599" i="1" s="1"/>
  <c r="W1599" i="1"/>
  <c r="S1599" i="1"/>
  <c r="Q1599" i="1"/>
  <c r="N1599" i="1"/>
  <c r="L1599" i="1"/>
  <c r="K1599" i="1"/>
  <c r="AB1599" i="1"/>
  <c r="I1599" i="1"/>
  <c r="X1598" i="1"/>
  <c r="Z1598" i="1" s="1"/>
  <c r="W1598" i="1"/>
  <c r="S1598" i="1"/>
  <c r="Q1598" i="1"/>
  <c r="N1598" i="1"/>
  <c r="L1598" i="1"/>
  <c r="K1598" i="1"/>
  <c r="AB1598" i="1"/>
  <c r="I1598" i="1"/>
  <c r="X1597" i="1"/>
  <c r="Z1597" i="1" s="1"/>
  <c r="W1597" i="1"/>
  <c r="S1597" i="1"/>
  <c r="Q1597" i="1"/>
  <c r="N1597" i="1"/>
  <c r="L1597" i="1"/>
  <c r="K1597" i="1"/>
  <c r="AB1597" i="1"/>
  <c r="I1597" i="1"/>
  <c r="X1596" i="1"/>
  <c r="Z1596" i="1" s="1"/>
  <c r="W1596" i="1"/>
  <c r="S1596" i="1"/>
  <c r="Q1596" i="1"/>
  <c r="N1596" i="1"/>
  <c r="L1596" i="1"/>
  <c r="K1596" i="1"/>
  <c r="AB1596" i="1"/>
  <c r="I1596" i="1"/>
  <c r="X1595" i="1"/>
  <c r="Z1595" i="1" s="1"/>
  <c r="W1595" i="1"/>
  <c r="S1595" i="1"/>
  <c r="Q1595" i="1"/>
  <c r="N1595" i="1"/>
  <c r="L1595" i="1"/>
  <c r="K1595" i="1"/>
  <c r="AB1595" i="1"/>
  <c r="I1595" i="1"/>
  <c r="X1594" i="1"/>
  <c r="Z1594" i="1" s="1"/>
  <c r="W1594" i="1"/>
  <c r="S1594" i="1"/>
  <c r="Q1594" i="1"/>
  <c r="N1594" i="1"/>
  <c r="L1594" i="1"/>
  <c r="K1594" i="1"/>
  <c r="AB1594" i="1"/>
  <c r="I1594" i="1"/>
  <c r="X1593" i="1"/>
  <c r="Z1593" i="1" s="1"/>
  <c r="W1593" i="1"/>
  <c r="S1593" i="1"/>
  <c r="Q1593" i="1"/>
  <c r="N1593" i="1"/>
  <c r="L1593" i="1"/>
  <c r="K1593" i="1"/>
  <c r="AB1593" i="1"/>
  <c r="I1593" i="1"/>
  <c r="X1592" i="1"/>
  <c r="Z1592" i="1" s="1"/>
  <c r="W1592" i="1"/>
  <c r="S1592" i="1"/>
  <c r="Q1592" i="1"/>
  <c r="N1592" i="1"/>
  <c r="L1592" i="1"/>
  <c r="K1592" i="1"/>
  <c r="AB1592" i="1"/>
  <c r="I1592" i="1"/>
  <c r="X1591" i="1"/>
  <c r="Z1591" i="1" s="1"/>
  <c r="W1591" i="1"/>
  <c r="S1591" i="1"/>
  <c r="Q1591" i="1"/>
  <c r="N1591" i="1"/>
  <c r="L1591" i="1"/>
  <c r="K1591" i="1"/>
  <c r="AB1591" i="1"/>
  <c r="I1591" i="1"/>
  <c r="X1590" i="1"/>
  <c r="Z1590" i="1" s="1"/>
  <c r="W1590" i="1"/>
  <c r="S1590" i="1"/>
  <c r="Q1590" i="1"/>
  <c r="N1590" i="1"/>
  <c r="L1590" i="1"/>
  <c r="K1590" i="1"/>
  <c r="AB1590" i="1"/>
  <c r="I1590" i="1"/>
  <c r="X1589" i="1"/>
  <c r="Z1589" i="1" s="1"/>
  <c r="W1589" i="1"/>
  <c r="S1589" i="1"/>
  <c r="Q1589" i="1"/>
  <c r="N1589" i="1"/>
  <c r="L1589" i="1"/>
  <c r="K1589" i="1"/>
  <c r="AB1589" i="1"/>
  <c r="I1589" i="1"/>
  <c r="X1588" i="1"/>
  <c r="Z1588" i="1" s="1"/>
  <c r="W1588" i="1"/>
  <c r="S1588" i="1"/>
  <c r="Q1588" i="1"/>
  <c r="N1588" i="1"/>
  <c r="L1588" i="1"/>
  <c r="K1588" i="1"/>
  <c r="AB1588" i="1"/>
  <c r="I1588" i="1"/>
  <c r="X1587" i="1"/>
  <c r="Z1587" i="1" s="1"/>
  <c r="W1587" i="1"/>
  <c r="S1587" i="1"/>
  <c r="Q1587" i="1"/>
  <c r="N1587" i="1"/>
  <c r="L1587" i="1"/>
  <c r="K1587" i="1"/>
  <c r="AB1587" i="1"/>
  <c r="I1587" i="1"/>
  <c r="X1586" i="1"/>
  <c r="Z1586" i="1" s="1"/>
  <c r="W1586" i="1"/>
  <c r="S1586" i="1"/>
  <c r="Q1586" i="1"/>
  <c r="N1586" i="1"/>
  <c r="L1586" i="1"/>
  <c r="K1586" i="1"/>
  <c r="AB1586" i="1"/>
  <c r="I1586" i="1"/>
  <c r="X1585" i="1"/>
  <c r="Z1585" i="1" s="1"/>
  <c r="W1585" i="1"/>
  <c r="S1585" i="1"/>
  <c r="Q1585" i="1"/>
  <c r="N1585" i="1"/>
  <c r="L1585" i="1"/>
  <c r="K1585" i="1"/>
  <c r="AB1585" i="1"/>
  <c r="I1585" i="1"/>
  <c r="X1584" i="1"/>
  <c r="Z1584" i="1" s="1"/>
  <c r="W1584" i="1"/>
  <c r="S1584" i="1"/>
  <c r="Q1584" i="1"/>
  <c r="N1584" i="1"/>
  <c r="L1584" i="1"/>
  <c r="K1584" i="1"/>
  <c r="AB1584" i="1"/>
  <c r="I1584" i="1"/>
  <c r="X1583" i="1"/>
  <c r="Z1583" i="1" s="1"/>
  <c r="W1583" i="1"/>
  <c r="S1583" i="1"/>
  <c r="Q1583" i="1"/>
  <c r="N1583" i="1"/>
  <c r="L1583" i="1"/>
  <c r="K1583" i="1"/>
  <c r="AB1583" i="1"/>
  <c r="I1583" i="1"/>
  <c r="X1582" i="1"/>
  <c r="Z1582" i="1" s="1"/>
  <c r="W1582" i="1"/>
  <c r="S1582" i="1"/>
  <c r="Q1582" i="1"/>
  <c r="N1582" i="1"/>
  <c r="L1582" i="1"/>
  <c r="K1582" i="1"/>
  <c r="AB1582" i="1"/>
  <c r="I1582" i="1"/>
  <c r="X1581" i="1"/>
  <c r="Z1581" i="1" s="1"/>
  <c r="W1581" i="1"/>
  <c r="S1581" i="1"/>
  <c r="Q1581" i="1"/>
  <c r="N1581" i="1"/>
  <c r="L1581" i="1"/>
  <c r="K1581" i="1"/>
  <c r="AB1581" i="1"/>
  <c r="I1581" i="1"/>
  <c r="X1580" i="1"/>
  <c r="Z1580" i="1" s="1"/>
  <c r="W1580" i="1"/>
  <c r="S1580" i="1"/>
  <c r="Q1580" i="1"/>
  <c r="N1580" i="1"/>
  <c r="L1580" i="1"/>
  <c r="K1580" i="1"/>
  <c r="AB1580" i="1"/>
  <c r="I1580" i="1"/>
  <c r="X1579" i="1"/>
  <c r="Z1579" i="1" s="1"/>
  <c r="W1579" i="1"/>
  <c r="S1579" i="1"/>
  <c r="Q1579" i="1"/>
  <c r="N1579" i="1"/>
  <c r="L1579" i="1"/>
  <c r="K1579" i="1"/>
  <c r="AB1579" i="1"/>
  <c r="I1579" i="1"/>
  <c r="X1578" i="1"/>
  <c r="Z1578" i="1" s="1"/>
  <c r="W1578" i="1"/>
  <c r="S1578" i="1"/>
  <c r="Q1578" i="1"/>
  <c r="N1578" i="1"/>
  <c r="L1578" i="1"/>
  <c r="K1578" i="1"/>
  <c r="AB1578" i="1"/>
  <c r="I1578" i="1"/>
  <c r="X1577" i="1"/>
  <c r="Z1577" i="1" s="1"/>
  <c r="W1577" i="1"/>
  <c r="S1577" i="1"/>
  <c r="Q1577" i="1"/>
  <c r="N1577" i="1"/>
  <c r="L1577" i="1"/>
  <c r="K1577" i="1"/>
  <c r="AB1577" i="1"/>
  <c r="I1577" i="1"/>
  <c r="X1576" i="1"/>
  <c r="Z1576" i="1" s="1"/>
  <c r="W1576" i="1"/>
  <c r="S1576" i="1"/>
  <c r="Q1576" i="1"/>
  <c r="N1576" i="1"/>
  <c r="L1576" i="1"/>
  <c r="K1576" i="1"/>
  <c r="AB1576" i="1"/>
  <c r="I1576" i="1"/>
  <c r="X1575" i="1"/>
  <c r="Z1575" i="1" s="1"/>
  <c r="W1575" i="1"/>
  <c r="S1575" i="1"/>
  <c r="Q1575" i="1"/>
  <c r="N1575" i="1"/>
  <c r="L1575" i="1"/>
  <c r="K1575" i="1"/>
  <c r="AB1575" i="1"/>
  <c r="I1575" i="1"/>
  <c r="X1574" i="1"/>
  <c r="Z1574" i="1" s="1"/>
  <c r="W1574" i="1"/>
  <c r="S1574" i="1"/>
  <c r="Q1574" i="1"/>
  <c r="N1574" i="1"/>
  <c r="L1574" i="1"/>
  <c r="K1574" i="1"/>
  <c r="AB1574" i="1"/>
  <c r="I1574" i="1"/>
  <c r="X1573" i="1"/>
  <c r="Z1573" i="1" s="1"/>
  <c r="W1573" i="1"/>
  <c r="S1573" i="1"/>
  <c r="Q1573" i="1"/>
  <c r="N1573" i="1"/>
  <c r="L1573" i="1"/>
  <c r="K1573" i="1"/>
  <c r="AB1573" i="1"/>
  <c r="I1573" i="1"/>
  <c r="X1572" i="1"/>
  <c r="Z1572" i="1" s="1"/>
  <c r="W1572" i="1"/>
  <c r="S1572" i="1"/>
  <c r="Q1572" i="1"/>
  <c r="N1572" i="1"/>
  <c r="L1572" i="1"/>
  <c r="K1572" i="1"/>
  <c r="AB1572" i="1"/>
  <c r="I1572" i="1"/>
  <c r="X1571" i="1"/>
  <c r="Z1571" i="1" s="1"/>
  <c r="W1571" i="1"/>
  <c r="S1571" i="1"/>
  <c r="Q1571" i="1"/>
  <c r="N1571" i="1"/>
  <c r="L1571" i="1"/>
  <c r="K1571" i="1"/>
  <c r="AB1571" i="1"/>
  <c r="I1571" i="1"/>
  <c r="X1570" i="1"/>
  <c r="Z1570" i="1" s="1"/>
  <c r="W1570" i="1"/>
  <c r="S1570" i="1"/>
  <c r="Q1570" i="1"/>
  <c r="N1570" i="1"/>
  <c r="L1570" i="1"/>
  <c r="K1570" i="1"/>
  <c r="AB1570" i="1"/>
  <c r="I1570" i="1"/>
  <c r="X1569" i="1"/>
  <c r="Z1569" i="1" s="1"/>
  <c r="W1569" i="1"/>
  <c r="S1569" i="1"/>
  <c r="Q1569" i="1"/>
  <c r="N1569" i="1"/>
  <c r="L1569" i="1"/>
  <c r="K1569" i="1"/>
  <c r="AB1569" i="1"/>
  <c r="I1569" i="1"/>
  <c r="X1568" i="1"/>
  <c r="Z1568" i="1" s="1"/>
  <c r="W1568" i="1"/>
  <c r="S1568" i="1"/>
  <c r="Q1568" i="1"/>
  <c r="N1568" i="1"/>
  <c r="L1568" i="1"/>
  <c r="K1568" i="1"/>
  <c r="AB1568" i="1"/>
  <c r="I1568" i="1"/>
  <c r="X1567" i="1"/>
  <c r="Z1567" i="1" s="1"/>
  <c r="W1567" i="1"/>
  <c r="S1567" i="1"/>
  <c r="Q1567" i="1"/>
  <c r="N1567" i="1"/>
  <c r="L1567" i="1"/>
  <c r="K1567" i="1"/>
  <c r="AB1567" i="1"/>
  <c r="I1567" i="1"/>
  <c r="X1566" i="1"/>
  <c r="Z1566" i="1" s="1"/>
  <c r="W1566" i="1"/>
  <c r="S1566" i="1"/>
  <c r="Q1566" i="1"/>
  <c r="N1566" i="1"/>
  <c r="L1566" i="1"/>
  <c r="K1566" i="1"/>
  <c r="AB1566" i="1"/>
  <c r="I1566" i="1"/>
  <c r="X1565" i="1"/>
  <c r="Z1565" i="1" s="1"/>
  <c r="W1565" i="1"/>
  <c r="S1565" i="1"/>
  <c r="Q1565" i="1"/>
  <c r="N1565" i="1"/>
  <c r="L1565" i="1"/>
  <c r="K1565" i="1"/>
  <c r="AB1565" i="1"/>
  <c r="I1565" i="1"/>
  <c r="X1564" i="1"/>
  <c r="Z1564" i="1" s="1"/>
  <c r="W1564" i="1"/>
  <c r="S1564" i="1"/>
  <c r="Q1564" i="1"/>
  <c r="N1564" i="1"/>
  <c r="L1564" i="1"/>
  <c r="K1564" i="1"/>
  <c r="AB1564" i="1"/>
  <c r="I1564" i="1"/>
  <c r="X1563" i="1"/>
  <c r="Z1563" i="1" s="1"/>
  <c r="W1563" i="1"/>
  <c r="S1563" i="1"/>
  <c r="Q1563" i="1"/>
  <c r="N1563" i="1"/>
  <c r="L1563" i="1"/>
  <c r="K1563" i="1"/>
  <c r="AB1563" i="1"/>
  <c r="I1563" i="1"/>
  <c r="X1562" i="1"/>
  <c r="Z1562" i="1" s="1"/>
  <c r="W1562" i="1"/>
  <c r="S1562" i="1"/>
  <c r="Q1562" i="1"/>
  <c r="N1562" i="1"/>
  <c r="L1562" i="1"/>
  <c r="K1562" i="1"/>
  <c r="AB1562" i="1"/>
  <c r="I1562" i="1"/>
  <c r="X1561" i="1"/>
  <c r="Z1561" i="1" s="1"/>
  <c r="W1561" i="1"/>
  <c r="S1561" i="1"/>
  <c r="Q1561" i="1"/>
  <c r="N1561" i="1"/>
  <c r="L1561" i="1"/>
  <c r="K1561" i="1"/>
  <c r="AB1561" i="1"/>
  <c r="I1561" i="1"/>
  <c r="X1560" i="1"/>
  <c r="Z1560" i="1" s="1"/>
  <c r="W1560" i="1"/>
  <c r="S1560" i="1"/>
  <c r="Q1560" i="1"/>
  <c r="N1560" i="1"/>
  <c r="L1560" i="1"/>
  <c r="K1560" i="1"/>
  <c r="AB1560" i="1"/>
  <c r="I1560" i="1"/>
  <c r="X1559" i="1"/>
  <c r="Z1559" i="1" s="1"/>
  <c r="W1559" i="1"/>
  <c r="S1559" i="1"/>
  <c r="Q1559" i="1"/>
  <c r="N1559" i="1"/>
  <c r="L1559" i="1"/>
  <c r="K1559" i="1"/>
  <c r="AB1559" i="1"/>
  <c r="I1559" i="1"/>
  <c r="X1558" i="1"/>
  <c r="Z1558" i="1" s="1"/>
  <c r="W1558" i="1"/>
  <c r="S1558" i="1"/>
  <c r="Q1558" i="1"/>
  <c r="N1558" i="1"/>
  <c r="L1558" i="1"/>
  <c r="K1558" i="1"/>
  <c r="AB1558" i="1"/>
  <c r="I1558" i="1"/>
  <c r="X1557" i="1"/>
  <c r="Z1557" i="1" s="1"/>
  <c r="W1557" i="1"/>
  <c r="S1557" i="1"/>
  <c r="Q1557" i="1"/>
  <c r="N1557" i="1"/>
  <c r="L1557" i="1"/>
  <c r="K1557" i="1"/>
  <c r="AB1557" i="1"/>
  <c r="I1557" i="1"/>
  <c r="X1556" i="1"/>
  <c r="Z1556" i="1" s="1"/>
  <c r="W1556" i="1"/>
  <c r="S1556" i="1"/>
  <c r="Q1556" i="1"/>
  <c r="N1556" i="1"/>
  <c r="L1556" i="1"/>
  <c r="K1556" i="1"/>
  <c r="AB1556" i="1"/>
  <c r="I1556" i="1"/>
  <c r="X1555" i="1"/>
  <c r="Z1555" i="1" s="1"/>
  <c r="W1555" i="1"/>
  <c r="S1555" i="1"/>
  <c r="Q1555" i="1"/>
  <c r="N1555" i="1"/>
  <c r="L1555" i="1"/>
  <c r="K1555" i="1"/>
  <c r="AB1555" i="1"/>
  <c r="I1555" i="1"/>
  <c r="X1554" i="1"/>
  <c r="Z1554" i="1" s="1"/>
  <c r="W1554" i="1"/>
  <c r="S1554" i="1"/>
  <c r="Q1554" i="1"/>
  <c r="N1554" i="1"/>
  <c r="L1554" i="1"/>
  <c r="K1554" i="1"/>
  <c r="AB1554" i="1"/>
  <c r="I1554" i="1"/>
  <c r="X1553" i="1"/>
  <c r="Z1553" i="1" s="1"/>
  <c r="W1553" i="1"/>
  <c r="S1553" i="1"/>
  <c r="Q1553" i="1"/>
  <c r="N1553" i="1"/>
  <c r="L1553" i="1"/>
  <c r="K1553" i="1"/>
  <c r="AB1553" i="1"/>
  <c r="I1553" i="1"/>
  <c r="X1552" i="1"/>
  <c r="Z1552" i="1" s="1"/>
  <c r="W1552" i="1"/>
  <c r="S1552" i="1"/>
  <c r="Q1552" i="1"/>
  <c r="N1552" i="1"/>
  <c r="L1552" i="1"/>
  <c r="K1552" i="1"/>
  <c r="AB1552" i="1"/>
  <c r="I1552" i="1"/>
  <c r="X1551" i="1"/>
  <c r="Z1551" i="1" s="1"/>
  <c r="W1551" i="1"/>
  <c r="S1551" i="1"/>
  <c r="Q1551" i="1"/>
  <c r="N1551" i="1"/>
  <c r="L1551" i="1"/>
  <c r="K1551" i="1"/>
  <c r="AB1551" i="1"/>
  <c r="I1551" i="1"/>
  <c r="X1550" i="1"/>
  <c r="Z1550" i="1" s="1"/>
  <c r="W1550" i="1"/>
  <c r="S1550" i="1"/>
  <c r="Q1550" i="1"/>
  <c r="N1550" i="1"/>
  <c r="L1550" i="1"/>
  <c r="K1550" i="1"/>
  <c r="AB1550" i="1"/>
  <c r="I1550" i="1"/>
  <c r="X1549" i="1"/>
  <c r="Z1549" i="1" s="1"/>
  <c r="W1549" i="1"/>
  <c r="S1549" i="1"/>
  <c r="Q1549" i="1"/>
  <c r="N1549" i="1"/>
  <c r="L1549" i="1"/>
  <c r="K1549" i="1"/>
  <c r="AB1549" i="1"/>
  <c r="I1549" i="1"/>
  <c r="X1548" i="1"/>
  <c r="Z1548" i="1" s="1"/>
  <c r="W1548" i="1"/>
  <c r="S1548" i="1"/>
  <c r="Q1548" i="1"/>
  <c r="N1548" i="1"/>
  <c r="L1548" i="1"/>
  <c r="K1548" i="1"/>
  <c r="AB1548" i="1"/>
  <c r="I1548" i="1"/>
  <c r="X1547" i="1"/>
  <c r="Z1547" i="1" s="1"/>
  <c r="W1547" i="1"/>
  <c r="S1547" i="1"/>
  <c r="Q1547" i="1"/>
  <c r="N1547" i="1"/>
  <c r="L1547" i="1"/>
  <c r="K1547" i="1"/>
  <c r="AB1547" i="1"/>
  <c r="I1547" i="1"/>
  <c r="X1546" i="1"/>
  <c r="Z1546" i="1" s="1"/>
  <c r="W1546" i="1"/>
  <c r="S1546" i="1"/>
  <c r="Q1546" i="1"/>
  <c r="N1546" i="1"/>
  <c r="L1546" i="1"/>
  <c r="K1546" i="1"/>
  <c r="AB1546" i="1"/>
  <c r="I1546" i="1"/>
  <c r="X1545" i="1"/>
  <c r="Z1545" i="1" s="1"/>
  <c r="W1545" i="1"/>
  <c r="S1545" i="1"/>
  <c r="Q1545" i="1"/>
  <c r="N1545" i="1"/>
  <c r="L1545" i="1"/>
  <c r="K1545" i="1"/>
  <c r="AB1545" i="1"/>
  <c r="I1545" i="1"/>
  <c r="X1544" i="1"/>
  <c r="Z1544" i="1" s="1"/>
  <c r="W1544" i="1"/>
  <c r="S1544" i="1"/>
  <c r="Q1544" i="1"/>
  <c r="N1544" i="1"/>
  <c r="L1544" i="1"/>
  <c r="K1544" i="1"/>
  <c r="AB1544" i="1"/>
  <c r="I1544" i="1"/>
  <c r="X1543" i="1"/>
  <c r="Z1543" i="1" s="1"/>
  <c r="W1543" i="1"/>
  <c r="S1543" i="1"/>
  <c r="Q1543" i="1"/>
  <c r="N1543" i="1"/>
  <c r="L1543" i="1"/>
  <c r="K1543" i="1"/>
  <c r="AB1543" i="1"/>
  <c r="I1543" i="1"/>
  <c r="X1542" i="1"/>
  <c r="Z1542" i="1" s="1"/>
  <c r="W1542" i="1"/>
  <c r="S1542" i="1"/>
  <c r="Q1542" i="1"/>
  <c r="N1542" i="1"/>
  <c r="L1542" i="1"/>
  <c r="K1542" i="1"/>
  <c r="AB1542" i="1"/>
  <c r="I1542" i="1"/>
  <c r="X1541" i="1"/>
  <c r="Z1541" i="1" s="1"/>
  <c r="W1541" i="1"/>
  <c r="S1541" i="1"/>
  <c r="Q1541" i="1"/>
  <c r="N1541" i="1"/>
  <c r="L1541" i="1"/>
  <c r="K1541" i="1"/>
  <c r="AB1541" i="1"/>
  <c r="I1541" i="1"/>
  <c r="X1540" i="1"/>
  <c r="Z1540" i="1" s="1"/>
  <c r="W1540" i="1"/>
  <c r="S1540" i="1"/>
  <c r="Q1540" i="1"/>
  <c r="N1540" i="1"/>
  <c r="L1540" i="1"/>
  <c r="K1540" i="1"/>
  <c r="AB1540" i="1"/>
  <c r="I1540" i="1"/>
  <c r="X1539" i="1"/>
  <c r="Z1539" i="1" s="1"/>
  <c r="W1539" i="1"/>
  <c r="S1539" i="1"/>
  <c r="Q1539" i="1"/>
  <c r="N1539" i="1"/>
  <c r="L1539" i="1"/>
  <c r="K1539" i="1"/>
  <c r="AB1539" i="1"/>
  <c r="I1539" i="1"/>
  <c r="X1538" i="1"/>
  <c r="Z1538" i="1" s="1"/>
  <c r="W1538" i="1"/>
  <c r="S1538" i="1"/>
  <c r="Q1538" i="1"/>
  <c r="N1538" i="1"/>
  <c r="L1538" i="1"/>
  <c r="K1538" i="1"/>
  <c r="AB1538" i="1"/>
  <c r="I1538" i="1"/>
  <c r="X1537" i="1"/>
  <c r="Z1537" i="1" s="1"/>
  <c r="W1537" i="1"/>
  <c r="S1537" i="1"/>
  <c r="Q1537" i="1"/>
  <c r="N1537" i="1"/>
  <c r="L1537" i="1"/>
  <c r="K1537" i="1"/>
  <c r="AB1537" i="1"/>
  <c r="I1537" i="1"/>
  <c r="X1536" i="1"/>
  <c r="Z1536" i="1" s="1"/>
  <c r="W1536" i="1"/>
  <c r="S1536" i="1"/>
  <c r="Q1536" i="1"/>
  <c r="N1536" i="1"/>
  <c r="L1536" i="1"/>
  <c r="K1536" i="1"/>
  <c r="AB1536" i="1"/>
  <c r="I1536" i="1"/>
  <c r="X1535" i="1"/>
  <c r="Z1535" i="1" s="1"/>
  <c r="W1535" i="1"/>
  <c r="S1535" i="1"/>
  <c r="Q1535" i="1"/>
  <c r="N1535" i="1"/>
  <c r="L1535" i="1"/>
  <c r="K1535" i="1"/>
  <c r="AB1535" i="1"/>
  <c r="I1535" i="1"/>
  <c r="X1534" i="1"/>
  <c r="Z1534" i="1" s="1"/>
  <c r="W1534" i="1"/>
  <c r="S1534" i="1"/>
  <c r="Q1534" i="1"/>
  <c r="N1534" i="1"/>
  <c r="L1534" i="1"/>
  <c r="K1534" i="1"/>
  <c r="AB1534" i="1"/>
  <c r="I1534" i="1"/>
  <c r="X1533" i="1"/>
  <c r="Z1533" i="1" s="1"/>
  <c r="W1533" i="1"/>
  <c r="S1533" i="1"/>
  <c r="Q1533" i="1"/>
  <c r="N1533" i="1"/>
  <c r="L1533" i="1"/>
  <c r="K1533" i="1"/>
  <c r="AB1533" i="1"/>
  <c r="I1533" i="1"/>
  <c r="X1532" i="1"/>
  <c r="Z1532" i="1" s="1"/>
  <c r="W1532" i="1"/>
  <c r="S1532" i="1"/>
  <c r="Q1532" i="1"/>
  <c r="N1532" i="1"/>
  <c r="L1532" i="1"/>
  <c r="K1532" i="1"/>
  <c r="AB1532" i="1"/>
  <c r="I1532" i="1"/>
  <c r="X1531" i="1"/>
  <c r="Z1531" i="1" s="1"/>
  <c r="W1531" i="1"/>
  <c r="S1531" i="1"/>
  <c r="Q1531" i="1"/>
  <c r="N1531" i="1"/>
  <c r="L1531" i="1"/>
  <c r="K1531" i="1"/>
  <c r="AB1531" i="1"/>
  <c r="I1531" i="1"/>
  <c r="X1530" i="1"/>
  <c r="Z1530" i="1" s="1"/>
  <c r="W1530" i="1"/>
  <c r="S1530" i="1"/>
  <c r="Q1530" i="1"/>
  <c r="N1530" i="1"/>
  <c r="L1530" i="1"/>
  <c r="K1530" i="1"/>
  <c r="AB1530" i="1"/>
  <c r="I1530" i="1"/>
  <c r="X1529" i="1"/>
  <c r="Z1529" i="1" s="1"/>
  <c r="W1529" i="1"/>
  <c r="S1529" i="1"/>
  <c r="Q1529" i="1"/>
  <c r="N1529" i="1"/>
  <c r="L1529" i="1"/>
  <c r="K1529" i="1"/>
  <c r="AB1529" i="1"/>
  <c r="I1529" i="1"/>
  <c r="X1528" i="1"/>
  <c r="Z1528" i="1" s="1"/>
  <c r="W1528" i="1"/>
  <c r="S1528" i="1"/>
  <c r="Q1528" i="1"/>
  <c r="N1528" i="1"/>
  <c r="L1528" i="1"/>
  <c r="K1528" i="1"/>
  <c r="AB1528" i="1"/>
  <c r="I1528" i="1"/>
  <c r="X1527" i="1"/>
  <c r="Z1527" i="1" s="1"/>
  <c r="W1527" i="1"/>
  <c r="S1527" i="1"/>
  <c r="Q1527" i="1"/>
  <c r="N1527" i="1"/>
  <c r="L1527" i="1"/>
  <c r="K1527" i="1"/>
  <c r="AB1527" i="1"/>
  <c r="I1527" i="1"/>
  <c r="X1526" i="1"/>
  <c r="Z1526" i="1" s="1"/>
  <c r="W1526" i="1"/>
  <c r="S1526" i="1"/>
  <c r="Q1526" i="1"/>
  <c r="N1526" i="1"/>
  <c r="L1526" i="1"/>
  <c r="K1526" i="1"/>
  <c r="AB1526" i="1"/>
  <c r="I1526" i="1"/>
  <c r="X1525" i="1"/>
  <c r="Z1525" i="1" s="1"/>
  <c r="W1525" i="1"/>
  <c r="S1525" i="1"/>
  <c r="Q1525" i="1"/>
  <c r="N1525" i="1"/>
  <c r="L1525" i="1"/>
  <c r="K1525" i="1"/>
  <c r="AB1525" i="1"/>
  <c r="I1525" i="1"/>
  <c r="X1524" i="1"/>
  <c r="Z1524" i="1" s="1"/>
  <c r="W1524" i="1"/>
  <c r="S1524" i="1"/>
  <c r="Q1524" i="1"/>
  <c r="N1524" i="1"/>
  <c r="L1524" i="1"/>
  <c r="K1524" i="1"/>
  <c r="AB1524" i="1"/>
  <c r="I1524" i="1"/>
  <c r="X1523" i="1"/>
  <c r="Z1523" i="1" s="1"/>
  <c r="W1523" i="1"/>
  <c r="S1523" i="1"/>
  <c r="Q1523" i="1"/>
  <c r="N1523" i="1"/>
  <c r="L1523" i="1"/>
  <c r="K1523" i="1"/>
  <c r="AB1523" i="1"/>
  <c r="I1523" i="1"/>
  <c r="X1522" i="1"/>
  <c r="Z1522" i="1" s="1"/>
  <c r="W1522" i="1"/>
  <c r="S1522" i="1"/>
  <c r="Q1522" i="1"/>
  <c r="N1522" i="1"/>
  <c r="L1522" i="1"/>
  <c r="K1522" i="1"/>
  <c r="AB1522" i="1"/>
  <c r="I1522" i="1"/>
  <c r="X1521" i="1"/>
  <c r="Z1521" i="1" s="1"/>
  <c r="W1521" i="1"/>
  <c r="S1521" i="1"/>
  <c r="Q1521" i="1"/>
  <c r="N1521" i="1"/>
  <c r="L1521" i="1"/>
  <c r="K1521" i="1"/>
  <c r="AB1521" i="1"/>
  <c r="I1521" i="1"/>
  <c r="X1520" i="1"/>
  <c r="Z1520" i="1" s="1"/>
  <c r="W1520" i="1"/>
  <c r="S1520" i="1"/>
  <c r="Q1520" i="1"/>
  <c r="N1520" i="1"/>
  <c r="L1520" i="1"/>
  <c r="K1520" i="1"/>
  <c r="AB1520" i="1"/>
  <c r="I1520" i="1"/>
  <c r="X1519" i="1"/>
  <c r="Z1519" i="1" s="1"/>
  <c r="W1519" i="1"/>
  <c r="S1519" i="1"/>
  <c r="Q1519" i="1"/>
  <c r="N1519" i="1"/>
  <c r="L1519" i="1"/>
  <c r="K1519" i="1"/>
  <c r="AB1519" i="1"/>
  <c r="I1519" i="1"/>
  <c r="X1518" i="1"/>
  <c r="Z1518" i="1" s="1"/>
  <c r="W1518" i="1"/>
  <c r="S1518" i="1"/>
  <c r="Q1518" i="1"/>
  <c r="N1518" i="1"/>
  <c r="L1518" i="1"/>
  <c r="K1518" i="1"/>
  <c r="AB1518" i="1"/>
  <c r="I1518" i="1"/>
  <c r="X1517" i="1"/>
  <c r="Z1517" i="1" s="1"/>
  <c r="W1517" i="1"/>
  <c r="S1517" i="1"/>
  <c r="Q1517" i="1"/>
  <c r="N1517" i="1"/>
  <c r="L1517" i="1"/>
  <c r="K1517" i="1"/>
  <c r="AB1517" i="1"/>
  <c r="I1517" i="1"/>
  <c r="X1516" i="1"/>
  <c r="Z1516" i="1" s="1"/>
  <c r="W1516" i="1"/>
  <c r="S1516" i="1"/>
  <c r="Q1516" i="1"/>
  <c r="N1516" i="1"/>
  <c r="L1516" i="1"/>
  <c r="K1516" i="1"/>
  <c r="AB1516" i="1"/>
  <c r="I1516" i="1"/>
  <c r="X1515" i="1"/>
  <c r="Z1515" i="1" s="1"/>
  <c r="W1515" i="1"/>
  <c r="S1515" i="1"/>
  <c r="Q1515" i="1"/>
  <c r="N1515" i="1"/>
  <c r="L1515" i="1"/>
  <c r="K1515" i="1"/>
  <c r="AB1515" i="1"/>
  <c r="I1515" i="1"/>
  <c r="X1514" i="1"/>
  <c r="Z1514" i="1" s="1"/>
  <c r="W1514" i="1"/>
  <c r="S1514" i="1"/>
  <c r="Q1514" i="1"/>
  <c r="N1514" i="1"/>
  <c r="L1514" i="1"/>
  <c r="K1514" i="1"/>
  <c r="AB1514" i="1"/>
  <c r="I1514" i="1"/>
  <c r="X1513" i="1"/>
  <c r="Z1513" i="1" s="1"/>
  <c r="W1513" i="1"/>
  <c r="S1513" i="1"/>
  <c r="Q1513" i="1"/>
  <c r="N1513" i="1"/>
  <c r="L1513" i="1"/>
  <c r="K1513" i="1"/>
  <c r="AB1513" i="1"/>
  <c r="I1513" i="1"/>
  <c r="X1512" i="1"/>
  <c r="Z1512" i="1" s="1"/>
  <c r="W1512" i="1"/>
  <c r="S1512" i="1"/>
  <c r="Q1512" i="1"/>
  <c r="N1512" i="1"/>
  <c r="L1512" i="1"/>
  <c r="K1512" i="1"/>
  <c r="AB1512" i="1"/>
  <c r="I1512" i="1"/>
  <c r="X1511" i="1"/>
  <c r="Z1511" i="1" s="1"/>
  <c r="W1511" i="1"/>
  <c r="S1511" i="1"/>
  <c r="Q1511" i="1"/>
  <c r="N1511" i="1"/>
  <c r="L1511" i="1"/>
  <c r="K1511" i="1"/>
  <c r="AB1511" i="1"/>
  <c r="I1511" i="1"/>
  <c r="X1510" i="1"/>
  <c r="Z1510" i="1" s="1"/>
  <c r="W1510" i="1"/>
  <c r="S1510" i="1"/>
  <c r="Q1510" i="1"/>
  <c r="N1510" i="1"/>
  <c r="L1510" i="1"/>
  <c r="K1510" i="1"/>
  <c r="AB1510" i="1"/>
  <c r="I1510" i="1"/>
  <c r="X1509" i="1"/>
  <c r="Z1509" i="1" s="1"/>
  <c r="W1509" i="1"/>
  <c r="S1509" i="1"/>
  <c r="Q1509" i="1"/>
  <c r="N1509" i="1"/>
  <c r="L1509" i="1"/>
  <c r="K1509" i="1"/>
  <c r="AB1509" i="1"/>
  <c r="I1509" i="1"/>
  <c r="X1508" i="1"/>
  <c r="Z1508" i="1" s="1"/>
  <c r="W1508" i="1"/>
  <c r="S1508" i="1"/>
  <c r="Q1508" i="1"/>
  <c r="N1508" i="1"/>
  <c r="L1508" i="1"/>
  <c r="K1508" i="1"/>
  <c r="AB1508" i="1"/>
  <c r="I1508" i="1"/>
  <c r="X1507" i="1"/>
  <c r="Z1507" i="1" s="1"/>
  <c r="W1507" i="1"/>
  <c r="S1507" i="1"/>
  <c r="Q1507" i="1"/>
  <c r="N1507" i="1"/>
  <c r="L1507" i="1"/>
  <c r="K1507" i="1"/>
  <c r="AB1507" i="1"/>
  <c r="I1507" i="1"/>
  <c r="X1506" i="1"/>
  <c r="Z1506" i="1" s="1"/>
  <c r="W1506" i="1"/>
  <c r="S1506" i="1"/>
  <c r="Q1506" i="1"/>
  <c r="N1506" i="1"/>
  <c r="L1506" i="1"/>
  <c r="K1506" i="1"/>
  <c r="AB1506" i="1"/>
  <c r="I1506" i="1"/>
  <c r="X1505" i="1"/>
  <c r="Z1505" i="1" s="1"/>
  <c r="W1505" i="1"/>
  <c r="S1505" i="1"/>
  <c r="Q1505" i="1"/>
  <c r="N1505" i="1"/>
  <c r="L1505" i="1"/>
  <c r="K1505" i="1"/>
  <c r="AB1505" i="1"/>
  <c r="I1505" i="1"/>
  <c r="X1504" i="1"/>
  <c r="Z1504" i="1" s="1"/>
  <c r="W1504" i="1"/>
  <c r="S1504" i="1"/>
  <c r="Q1504" i="1"/>
  <c r="N1504" i="1"/>
  <c r="L1504" i="1"/>
  <c r="K1504" i="1"/>
  <c r="AB1504" i="1"/>
  <c r="I1504" i="1"/>
  <c r="X1503" i="1"/>
  <c r="Z1503" i="1" s="1"/>
  <c r="W1503" i="1"/>
  <c r="S1503" i="1"/>
  <c r="Q1503" i="1"/>
  <c r="N1503" i="1"/>
  <c r="L1503" i="1"/>
  <c r="K1503" i="1"/>
  <c r="AB1503" i="1"/>
  <c r="I1503" i="1"/>
  <c r="X1502" i="1"/>
  <c r="Z1502" i="1" s="1"/>
  <c r="W1502" i="1"/>
  <c r="S1502" i="1"/>
  <c r="Q1502" i="1"/>
  <c r="N1502" i="1"/>
  <c r="L1502" i="1"/>
  <c r="K1502" i="1"/>
  <c r="AB1502" i="1"/>
  <c r="I1502" i="1"/>
  <c r="X1501" i="1"/>
  <c r="Z1501" i="1" s="1"/>
  <c r="W1501" i="1"/>
  <c r="S1501" i="1"/>
  <c r="Q1501" i="1"/>
  <c r="N1501" i="1"/>
  <c r="L1501" i="1"/>
  <c r="K1501" i="1"/>
  <c r="AB1501" i="1"/>
  <c r="I1501" i="1"/>
  <c r="X1500" i="1"/>
  <c r="Z1500" i="1" s="1"/>
  <c r="W1500" i="1"/>
  <c r="S1500" i="1"/>
  <c r="Q1500" i="1"/>
  <c r="N1500" i="1"/>
  <c r="L1500" i="1"/>
  <c r="K1500" i="1"/>
  <c r="AB1500" i="1"/>
  <c r="I1500" i="1"/>
  <c r="X1499" i="1"/>
  <c r="Z1499" i="1" s="1"/>
  <c r="W1499" i="1"/>
  <c r="S1499" i="1"/>
  <c r="Q1499" i="1"/>
  <c r="N1499" i="1"/>
  <c r="L1499" i="1"/>
  <c r="K1499" i="1"/>
  <c r="AB1499" i="1"/>
  <c r="I1499" i="1"/>
  <c r="X1498" i="1"/>
  <c r="Z1498" i="1" s="1"/>
  <c r="W1498" i="1"/>
  <c r="S1498" i="1"/>
  <c r="Q1498" i="1"/>
  <c r="N1498" i="1"/>
  <c r="L1498" i="1"/>
  <c r="K1498" i="1"/>
  <c r="AB1498" i="1"/>
  <c r="I1498" i="1"/>
  <c r="X1497" i="1"/>
  <c r="Z1497" i="1" s="1"/>
  <c r="W1497" i="1"/>
  <c r="S1497" i="1"/>
  <c r="Q1497" i="1"/>
  <c r="N1497" i="1"/>
  <c r="L1497" i="1"/>
  <c r="K1497" i="1"/>
  <c r="AB1497" i="1"/>
  <c r="I1497" i="1"/>
  <c r="X1496" i="1"/>
  <c r="Z1496" i="1" s="1"/>
  <c r="W1496" i="1"/>
  <c r="S1496" i="1"/>
  <c r="Q1496" i="1"/>
  <c r="N1496" i="1"/>
  <c r="L1496" i="1"/>
  <c r="K1496" i="1"/>
  <c r="AB1496" i="1"/>
  <c r="I1496" i="1"/>
  <c r="X1495" i="1"/>
  <c r="Z1495" i="1" s="1"/>
  <c r="W1495" i="1"/>
  <c r="S1495" i="1"/>
  <c r="Q1495" i="1"/>
  <c r="N1495" i="1"/>
  <c r="L1495" i="1"/>
  <c r="K1495" i="1"/>
  <c r="AB1495" i="1"/>
  <c r="I1495" i="1"/>
  <c r="X1494" i="1"/>
  <c r="Z1494" i="1" s="1"/>
  <c r="W1494" i="1"/>
  <c r="S1494" i="1"/>
  <c r="Q1494" i="1"/>
  <c r="N1494" i="1"/>
  <c r="L1494" i="1"/>
  <c r="K1494" i="1"/>
  <c r="AB1494" i="1"/>
  <c r="I1494" i="1"/>
  <c r="X1493" i="1"/>
  <c r="Z1493" i="1" s="1"/>
  <c r="W1493" i="1"/>
  <c r="S1493" i="1"/>
  <c r="Q1493" i="1"/>
  <c r="N1493" i="1"/>
  <c r="L1493" i="1"/>
  <c r="K1493" i="1"/>
  <c r="AB1493" i="1"/>
  <c r="I1493" i="1"/>
  <c r="X1492" i="1"/>
  <c r="Z1492" i="1" s="1"/>
  <c r="W1492" i="1"/>
  <c r="S1492" i="1"/>
  <c r="Q1492" i="1"/>
  <c r="N1492" i="1"/>
  <c r="L1492" i="1"/>
  <c r="K1492" i="1"/>
  <c r="AB1492" i="1"/>
  <c r="I1492" i="1"/>
  <c r="X1491" i="1"/>
  <c r="Z1491" i="1" s="1"/>
  <c r="W1491" i="1"/>
  <c r="S1491" i="1"/>
  <c r="Q1491" i="1"/>
  <c r="N1491" i="1"/>
  <c r="L1491" i="1"/>
  <c r="K1491" i="1"/>
  <c r="AB1491" i="1"/>
  <c r="I1491" i="1"/>
  <c r="X1490" i="1"/>
  <c r="Z1490" i="1" s="1"/>
  <c r="W1490" i="1"/>
  <c r="S1490" i="1"/>
  <c r="Q1490" i="1"/>
  <c r="N1490" i="1"/>
  <c r="L1490" i="1"/>
  <c r="K1490" i="1"/>
  <c r="AB1490" i="1"/>
  <c r="I1490" i="1"/>
  <c r="X1489" i="1"/>
  <c r="Z1489" i="1" s="1"/>
  <c r="W1489" i="1"/>
  <c r="S1489" i="1"/>
  <c r="Q1489" i="1"/>
  <c r="N1489" i="1"/>
  <c r="L1489" i="1"/>
  <c r="K1489" i="1"/>
  <c r="AB1489" i="1"/>
  <c r="I1489" i="1"/>
  <c r="X1488" i="1"/>
  <c r="Z1488" i="1" s="1"/>
  <c r="W1488" i="1"/>
  <c r="S1488" i="1"/>
  <c r="Q1488" i="1"/>
  <c r="N1488" i="1"/>
  <c r="L1488" i="1"/>
  <c r="K1488" i="1"/>
  <c r="AB1488" i="1"/>
  <c r="I1488" i="1"/>
  <c r="X1487" i="1"/>
  <c r="Z1487" i="1" s="1"/>
  <c r="W1487" i="1"/>
  <c r="S1487" i="1"/>
  <c r="Q1487" i="1"/>
  <c r="N1487" i="1"/>
  <c r="L1487" i="1"/>
  <c r="K1487" i="1"/>
  <c r="AB1487" i="1"/>
  <c r="I1487" i="1"/>
  <c r="X1486" i="1"/>
  <c r="Z1486" i="1" s="1"/>
  <c r="W1486" i="1"/>
  <c r="S1486" i="1"/>
  <c r="Q1486" i="1"/>
  <c r="N1486" i="1"/>
  <c r="L1486" i="1"/>
  <c r="K1486" i="1"/>
  <c r="AB1486" i="1"/>
  <c r="I1486" i="1"/>
  <c r="X1485" i="1"/>
  <c r="Z1485" i="1" s="1"/>
  <c r="W1485" i="1"/>
  <c r="S1485" i="1"/>
  <c r="Q1485" i="1"/>
  <c r="N1485" i="1"/>
  <c r="L1485" i="1"/>
  <c r="K1485" i="1"/>
  <c r="AB1485" i="1"/>
  <c r="I1485" i="1"/>
  <c r="X1484" i="1"/>
  <c r="Z1484" i="1" s="1"/>
  <c r="W1484" i="1"/>
  <c r="S1484" i="1"/>
  <c r="Q1484" i="1"/>
  <c r="N1484" i="1"/>
  <c r="L1484" i="1"/>
  <c r="K1484" i="1"/>
  <c r="AB1484" i="1"/>
  <c r="I1484" i="1"/>
  <c r="X1483" i="1"/>
  <c r="Z1483" i="1" s="1"/>
  <c r="W1483" i="1"/>
  <c r="S1483" i="1"/>
  <c r="Q1483" i="1"/>
  <c r="N1483" i="1"/>
  <c r="L1483" i="1"/>
  <c r="K1483" i="1"/>
  <c r="AB1483" i="1"/>
  <c r="I1483" i="1"/>
  <c r="X1482" i="1"/>
  <c r="Z1482" i="1" s="1"/>
  <c r="W1482" i="1"/>
  <c r="S1482" i="1"/>
  <c r="Q1482" i="1"/>
  <c r="N1482" i="1"/>
  <c r="L1482" i="1"/>
  <c r="K1482" i="1"/>
  <c r="AB1482" i="1"/>
  <c r="I1482" i="1"/>
  <c r="X1481" i="1"/>
  <c r="Z1481" i="1" s="1"/>
  <c r="W1481" i="1"/>
  <c r="S1481" i="1"/>
  <c r="Q1481" i="1"/>
  <c r="N1481" i="1"/>
  <c r="L1481" i="1"/>
  <c r="K1481" i="1"/>
  <c r="AB1481" i="1"/>
  <c r="I1481" i="1"/>
  <c r="X1480" i="1"/>
  <c r="Z1480" i="1" s="1"/>
  <c r="W1480" i="1"/>
  <c r="S1480" i="1"/>
  <c r="Q1480" i="1"/>
  <c r="N1480" i="1"/>
  <c r="L1480" i="1"/>
  <c r="K1480" i="1"/>
  <c r="AB1480" i="1"/>
  <c r="I1480" i="1"/>
  <c r="X1479" i="1"/>
  <c r="Z1479" i="1" s="1"/>
  <c r="W1479" i="1"/>
  <c r="S1479" i="1"/>
  <c r="Q1479" i="1"/>
  <c r="N1479" i="1"/>
  <c r="L1479" i="1"/>
  <c r="K1479" i="1"/>
  <c r="AB1479" i="1"/>
  <c r="I1479" i="1"/>
  <c r="X1478" i="1"/>
  <c r="Z1478" i="1" s="1"/>
  <c r="W1478" i="1"/>
  <c r="S1478" i="1"/>
  <c r="Q1478" i="1"/>
  <c r="N1478" i="1"/>
  <c r="L1478" i="1"/>
  <c r="K1478" i="1"/>
  <c r="AB1478" i="1"/>
  <c r="I1478" i="1"/>
  <c r="X1477" i="1"/>
  <c r="Z1477" i="1" s="1"/>
  <c r="W1477" i="1"/>
  <c r="S1477" i="1"/>
  <c r="Q1477" i="1"/>
  <c r="N1477" i="1"/>
  <c r="L1477" i="1"/>
  <c r="K1477" i="1"/>
  <c r="AB1477" i="1"/>
  <c r="I1477" i="1"/>
  <c r="X1476" i="1"/>
  <c r="Z1476" i="1" s="1"/>
  <c r="W1476" i="1"/>
  <c r="S1476" i="1"/>
  <c r="Q1476" i="1"/>
  <c r="N1476" i="1"/>
  <c r="L1476" i="1"/>
  <c r="K1476" i="1"/>
  <c r="AB1476" i="1"/>
  <c r="I1476" i="1"/>
  <c r="X1475" i="1"/>
  <c r="Z1475" i="1" s="1"/>
  <c r="W1475" i="1"/>
  <c r="S1475" i="1"/>
  <c r="Q1475" i="1"/>
  <c r="N1475" i="1"/>
  <c r="L1475" i="1"/>
  <c r="K1475" i="1"/>
  <c r="AB1475" i="1"/>
  <c r="I1475" i="1"/>
  <c r="X1474" i="1"/>
  <c r="Z1474" i="1" s="1"/>
  <c r="W1474" i="1"/>
  <c r="S1474" i="1"/>
  <c r="Q1474" i="1"/>
  <c r="N1474" i="1"/>
  <c r="L1474" i="1"/>
  <c r="K1474" i="1"/>
  <c r="AB1474" i="1"/>
  <c r="I1474" i="1"/>
  <c r="X1473" i="1"/>
  <c r="Z1473" i="1" s="1"/>
  <c r="W1473" i="1"/>
  <c r="S1473" i="1"/>
  <c r="Q1473" i="1"/>
  <c r="N1473" i="1"/>
  <c r="L1473" i="1"/>
  <c r="K1473" i="1"/>
  <c r="AB1473" i="1"/>
  <c r="I1473" i="1"/>
  <c r="X1472" i="1"/>
  <c r="Z1472" i="1" s="1"/>
  <c r="W1472" i="1"/>
  <c r="S1472" i="1"/>
  <c r="Q1472" i="1"/>
  <c r="N1472" i="1"/>
  <c r="L1472" i="1"/>
  <c r="K1472" i="1"/>
  <c r="AB1472" i="1"/>
  <c r="I1472" i="1"/>
  <c r="X1471" i="1"/>
  <c r="Z1471" i="1" s="1"/>
  <c r="W1471" i="1"/>
  <c r="S1471" i="1"/>
  <c r="Q1471" i="1"/>
  <c r="N1471" i="1"/>
  <c r="L1471" i="1"/>
  <c r="K1471" i="1"/>
  <c r="AB1471" i="1"/>
  <c r="I1471" i="1"/>
  <c r="X1470" i="1"/>
  <c r="Z1470" i="1" s="1"/>
  <c r="W1470" i="1"/>
  <c r="S1470" i="1"/>
  <c r="Q1470" i="1"/>
  <c r="N1470" i="1"/>
  <c r="L1470" i="1"/>
  <c r="K1470" i="1"/>
  <c r="AB1470" i="1"/>
  <c r="I1470" i="1"/>
  <c r="X1469" i="1"/>
  <c r="Z1469" i="1" s="1"/>
  <c r="W1469" i="1"/>
  <c r="S1469" i="1"/>
  <c r="Q1469" i="1"/>
  <c r="N1469" i="1"/>
  <c r="L1469" i="1"/>
  <c r="K1469" i="1"/>
  <c r="AB1469" i="1"/>
  <c r="I1469" i="1"/>
  <c r="X1468" i="1"/>
  <c r="Z1468" i="1" s="1"/>
  <c r="W1468" i="1"/>
  <c r="S1468" i="1"/>
  <c r="Q1468" i="1"/>
  <c r="N1468" i="1"/>
  <c r="L1468" i="1"/>
  <c r="K1468" i="1"/>
  <c r="AB1468" i="1"/>
  <c r="I1468" i="1"/>
  <c r="X1467" i="1"/>
  <c r="Z1467" i="1" s="1"/>
  <c r="W1467" i="1"/>
  <c r="S1467" i="1"/>
  <c r="Q1467" i="1"/>
  <c r="N1467" i="1"/>
  <c r="L1467" i="1"/>
  <c r="K1467" i="1"/>
  <c r="AB1467" i="1"/>
  <c r="I1467" i="1"/>
  <c r="X1466" i="1"/>
  <c r="Z1466" i="1" s="1"/>
  <c r="W1466" i="1"/>
  <c r="S1466" i="1"/>
  <c r="Q1466" i="1"/>
  <c r="N1466" i="1"/>
  <c r="L1466" i="1"/>
  <c r="K1466" i="1"/>
  <c r="AB1466" i="1"/>
  <c r="I1466" i="1"/>
  <c r="X1465" i="1"/>
  <c r="Z1465" i="1" s="1"/>
  <c r="W1465" i="1"/>
  <c r="S1465" i="1"/>
  <c r="Q1465" i="1"/>
  <c r="N1465" i="1"/>
  <c r="L1465" i="1"/>
  <c r="K1465" i="1"/>
  <c r="AB1465" i="1"/>
  <c r="I1465" i="1"/>
  <c r="X1464" i="1"/>
  <c r="Z1464" i="1" s="1"/>
  <c r="W1464" i="1"/>
  <c r="S1464" i="1"/>
  <c r="Q1464" i="1"/>
  <c r="N1464" i="1"/>
  <c r="L1464" i="1"/>
  <c r="K1464" i="1"/>
  <c r="AB1464" i="1"/>
  <c r="I1464" i="1"/>
  <c r="X1463" i="1"/>
  <c r="Z1463" i="1" s="1"/>
  <c r="W1463" i="1"/>
  <c r="S1463" i="1"/>
  <c r="Q1463" i="1"/>
  <c r="N1463" i="1"/>
  <c r="L1463" i="1"/>
  <c r="K1463" i="1"/>
  <c r="AB1463" i="1"/>
  <c r="I1463" i="1"/>
  <c r="X1462" i="1"/>
  <c r="Z1462" i="1" s="1"/>
  <c r="W1462" i="1"/>
  <c r="S1462" i="1"/>
  <c r="Q1462" i="1"/>
  <c r="N1462" i="1"/>
  <c r="L1462" i="1"/>
  <c r="K1462" i="1"/>
  <c r="AB1462" i="1"/>
  <c r="I1462" i="1"/>
  <c r="X1461" i="1"/>
  <c r="Z1461" i="1" s="1"/>
  <c r="W1461" i="1"/>
  <c r="S1461" i="1"/>
  <c r="Q1461" i="1"/>
  <c r="N1461" i="1"/>
  <c r="L1461" i="1"/>
  <c r="K1461" i="1"/>
  <c r="AB1461" i="1"/>
  <c r="I1461" i="1"/>
  <c r="X1460" i="1"/>
  <c r="Z1460" i="1" s="1"/>
  <c r="W1460" i="1"/>
  <c r="S1460" i="1"/>
  <c r="Q1460" i="1"/>
  <c r="N1460" i="1"/>
  <c r="L1460" i="1"/>
  <c r="K1460" i="1"/>
  <c r="AB1460" i="1"/>
  <c r="I1460" i="1"/>
  <c r="X1459" i="1"/>
  <c r="Z1459" i="1" s="1"/>
  <c r="W1459" i="1"/>
  <c r="S1459" i="1"/>
  <c r="Q1459" i="1"/>
  <c r="N1459" i="1"/>
  <c r="L1459" i="1"/>
  <c r="K1459" i="1"/>
  <c r="AB1459" i="1"/>
  <c r="I1459" i="1"/>
  <c r="X1458" i="1"/>
  <c r="Z1458" i="1" s="1"/>
  <c r="W1458" i="1"/>
  <c r="S1458" i="1"/>
  <c r="Q1458" i="1"/>
  <c r="N1458" i="1"/>
  <c r="L1458" i="1"/>
  <c r="K1458" i="1"/>
  <c r="AB1458" i="1"/>
  <c r="I1458" i="1"/>
  <c r="X1457" i="1"/>
  <c r="Z1457" i="1" s="1"/>
  <c r="W1457" i="1"/>
  <c r="S1457" i="1"/>
  <c r="Q1457" i="1"/>
  <c r="N1457" i="1"/>
  <c r="L1457" i="1"/>
  <c r="K1457" i="1"/>
  <c r="AB1457" i="1"/>
  <c r="I1457" i="1"/>
  <c r="X1456" i="1"/>
  <c r="Z1456" i="1" s="1"/>
  <c r="W1456" i="1"/>
  <c r="S1456" i="1"/>
  <c r="Q1456" i="1"/>
  <c r="N1456" i="1"/>
  <c r="L1456" i="1"/>
  <c r="K1456" i="1"/>
  <c r="AB1456" i="1"/>
  <c r="I1456" i="1"/>
  <c r="X1455" i="1"/>
  <c r="Z1455" i="1" s="1"/>
  <c r="W1455" i="1"/>
  <c r="S1455" i="1"/>
  <c r="Q1455" i="1"/>
  <c r="N1455" i="1"/>
  <c r="L1455" i="1"/>
  <c r="K1455" i="1"/>
  <c r="AB1455" i="1"/>
  <c r="I1455" i="1"/>
  <c r="X1454" i="1"/>
  <c r="Z1454" i="1" s="1"/>
  <c r="W1454" i="1"/>
  <c r="S1454" i="1"/>
  <c r="Q1454" i="1"/>
  <c r="N1454" i="1"/>
  <c r="L1454" i="1"/>
  <c r="K1454" i="1"/>
  <c r="AB1454" i="1"/>
  <c r="I1454" i="1"/>
  <c r="X1453" i="1"/>
  <c r="Z1453" i="1" s="1"/>
  <c r="W1453" i="1"/>
  <c r="S1453" i="1"/>
  <c r="Q1453" i="1"/>
  <c r="N1453" i="1"/>
  <c r="L1453" i="1"/>
  <c r="K1453" i="1"/>
  <c r="AB1453" i="1"/>
  <c r="I1453" i="1"/>
  <c r="X1452" i="1"/>
  <c r="Z1452" i="1" s="1"/>
  <c r="W1452" i="1"/>
  <c r="S1452" i="1"/>
  <c r="Q1452" i="1"/>
  <c r="N1452" i="1"/>
  <c r="L1452" i="1"/>
  <c r="K1452" i="1"/>
  <c r="AB1452" i="1"/>
  <c r="I1452" i="1"/>
  <c r="X1451" i="1"/>
  <c r="Z1451" i="1" s="1"/>
  <c r="W1451" i="1"/>
  <c r="S1451" i="1"/>
  <c r="Q1451" i="1"/>
  <c r="N1451" i="1"/>
  <c r="L1451" i="1"/>
  <c r="K1451" i="1"/>
  <c r="AB1451" i="1"/>
  <c r="I1451" i="1"/>
  <c r="X1450" i="1"/>
  <c r="Z1450" i="1" s="1"/>
  <c r="W1450" i="1"/>
  <c r="S1450" i="1"/>
  <c r="Q1450" i="1"/>
  <c r="N1450" i="1"/>
  <c r="L1450" i="1"/>
  <c r="K1450" i="1"/>
  <c r="AB1450" i="1"/>
  <c r="I1450" i="1"/>
  <c r="X1449" i="1"/>
  <c r="Z1449" i="1" s="1"/>
  <c r="W1449" i="1"/>
  <c r="S1449" i="1"/>
  <c r="Q1449" i="1"/>
  <c r="N1449" i="1"/>
  <c r="L1449" i="1"/>
  <c r="K1449" i="1"/>
  <c r="AB1449" i="1"/>
  <c r="I1449" i="1"/>
  <c r="X1448" i="1"/>
  <c r="Z1448" i="1" s="1"/>
  <c r="W1448" i="1"/>
  <c r="S1448" i="1"/>
  <c r="Q1448" i="1"/>
  <c r="N1448" i="1"/>
  <c r="L1448" i="1"/>
  <c r="K1448" i="1"/>
  <c r="AB1448" i="1"/>
  <c r="I1448" i="1"/>
  <c r="X1447" i="1"/>
  <c r="Z1447" i="1" s="1"/>
  <c r="W1447" i="1"/>
  <c r="S1447" i="1"/>
  <c r="Q1447" i="1"/>
  <c r="N1447" i="1"/>
  <c r="L1447" i="1"/>
  <c r="K1447" i="1"/>
  <c r="AB1447" i="1"/>
  <c r="I1447" i="1"/>
  <c r="X1446" i="1"/>
  <c r="Z1446" i="1" s="1"/>
  <c r="W1446" i="1"/>
  <c r="S1446" i="1"/>
  <c r="Q1446" i="1"/>
  <c r="N1446" i="1"/>
  <c r="L1446" i="1"/>
  <c r="K1446" i="1"/>
  <c r="AB1446" i="1"/>
  <c r="I1446" i="1"/>
  <c r="X1445" i="1"/>
  <c r="Z1445" i="1" s="1"/>
  <c r="W1445" i="1"/>
  <c r="S1445" i="1"/>
  <c r="Q1445" i="1"/>
  <c r="N1445" i="1"/>
  <c r="L1445" i="1"/>
  <c r="K1445" i="1"/>
  <c r="AB1445" i="1"/>
  <c r="I1445" i="1"/>
  <c r="X1444" i="1"/>
  <c r="Z1444" i="1" s="1"/>
  <c r="W1444" i="1"/>
  <c r="S1444" i="1"/>
  <c r="Q1444" i="1"/>
  <c r="N1444" i="1"/>
  <c r="L1444" i="1"/>
  <c r="K1444" i="1"/>
  <c r="AB1444" i="1"/>
  <c r="I1444" i="1"/>
  <c r="X1443" i="1"/>
  <c r="Z1443" i="1" s="1"/>
  <c r="W1443" i="1"/>
  <c r="S1443" i="1"/>
  <c r="Q1443" i="1"/>
  <c r="N1443" i="1"/>
  <c r="L1443" i="1"/>
  <c r="K1443" i="1"/>
  <c r="AB1443" i="1"/>
  <c r="I1443" i="1"/>
  <c r="X1442" i="1"/>
  <c r="Z1442" i="1" s="1"/>
  <c r="W1442" i="1"/>
  <c r="S1442" i="1"/>
  <c r="Q1442" i="1"/>
  <c r="N1442" i="1"/>
  <c r="L1442" i="1"/>
  <c r="K1442" i="1"/>
  <c r="AB1442" i="1"/>
  <c r="I1442" i="1"/>
  <c r="X1441" i="1"/>
  <c r="Z1441" i="1" s="1"/>
  <c r="W1441" i="1"/>
  <c r="S1441" i="1"/>
  <c r="Q1441" i="1"/>
  <c r="N1441" i="1"/>
  <c r="L1441" i="1"/>
  <c r="K1441" i="1"/>
  <c r="AB1441" i="1"/>
  <c r="I1441" i="1"/>
  <c r="X1440" i="1"/>
  <c r="Z1440" i="1" s="1"/>
  <c r="W1440" i="1"/>
  <c r="S1440" i="1"/>
  <c r="Q1440" i="1"/>
  <c r="N1440" i="1"/>
  <c r="L1440" i="1"/>
  <c r="K1440" i="1"/>
  <c r="AB1440" i="1"/>
  <c r="I1440" i="1"/>
  <c r="X1439" i="1"/>
  <c r="Z1439" i="1" s="1"/>
  <c r="W1439" i="1"/>
  <c r="S1439" i="1"/>
  <c r="Q1439" i="1"/>
  <c r="N1439" i="1"/>
  <c r="L1439" i="1"/>
  <c r="K1439" i="1"/>
  <c r="AB1439" i="1"/>
  <c r="I1439" i="1"/>
  <c r="X1438" i="1"/>
  <c r="Z1438" i="1" s="1"/>
  <c r="W1438" i="1"/>
  <c r="S1438" i="1"/>
  <c r="Q1438" i="1"/>
  <c r="N1438" i="1"/>
  <c r="L1438" i="1"/>
  <c r="K1438" i="1"/>
  <c r="AB1438" i="1"/>
  <c r="I1438" i="1"/>
  <c r="X1437" i="1"/>
  <c r="Z1437" i="1" s="1"/>
  <c r="W1437" i="1"/>
  <c r="S1437" i="1"/>
  <c r="Q1437" i="1"/>
  <c r="N1437" i="1"/>
  <c r="L1437" i="1"/>
  <c r="K1437" i="1"/>
  <c r="AB1437" i="1"/>
  <c r="I1437" i="1"/>
  <c r="X1436" i="1"/>
  <c r="Z1436" i="1" s="1"/>
  <c r="W1436" i="1"/>
  <c r="S1436" i="1"/>
  <c r="Q1436" i="1"/>
  <c r="N1436" i="1"/>
  <c r="L1436" i="1"/>
  <c r="K1436" i="1"/>
  <c r="AB1436" i="1"/>
  <c r="I1436" i="1"/>
  <c r="X1435" i="1"/>
  <c r="Z1435" i="1" s="1"/>
  <c r="W1435" i="1"/>
  <c r="S1435" i="1"/>
  <c r="Q1435" i="1"/>
  <c r="N1435" i="1"/>
  <c r="L1435" i="1"/>
  <c r="K1435" i="1"/>
  <c r="AB1435" i="1"/>
  <c r="I1435" i="1"/>
  <c r="X1434" i="1"/>
  <c r="Z1434" i="1" s="1"/>
  <c r="W1434" i="1"/>
  <c r="S1434" i="1"/>
  <c r="Q1434" i="1"/>
  <c r="N1434" i="1"/>
  <c r="L1434" i="1"/>
  <c r="K1434" i="1"/>
  <c r="AB1434" i="1"/>
  <c r="I1434" i="1"/>
  <c r="X1433" i="1"/>
  <c r="Z1433" i="1" s="1"/>
  <c r="W1433" i="1"/>
  <c r="S1433" i="1"/>
  <c r="Q1433" i="1"/>
  <c r="N1433" i="1"/>
  <c r="L1433" i="1"/>
  <c r="K1433" i="1"/>
  <c r="AB1433" i="1"/>
  <c r="I1433" i="1"/>
  <c r="X1432" i="1"/>
  <c r="Z1432" i="1" s="1"/>
  <c r="W1432" i="1"/>
  <c r="S1432" i="1"/>
  <c r="Q1432" i="1"/>
  <c r="N1432" i="1"/>
  <c r="L1432" i="1"/>
  <c r="K1432" i="1"/>
  <c r="AB1432" i="1"/>
  <c r="I1432" i="1"/>
  <c r="X1431" i="1"/>
  <c r="Z1431" i="1" s="1"/>
  <c r="W1431" i="1"/>
  <c r="S1431" i="1"/>
  <c r="Q1431" i="1"/>
  <c r="N1431" i="1"/>
  <c r="L1431" i="1"/>
  <c r="K1431" i="1"/>
  <c r="AB1431" i="1"/>
  <c r="I1431" i="1"/>
  <c r="X1430" i="1"/>
  <c r="Z1430" i="1" s="1"/>
  <c r="W1430" i="1"/>
  <c r="S1430" i="1"/>
  <c r="Q1430" i="1"/>
  <c r="N1430" i="1"/>
  <c r="L1430" i="1"/>
  <c r="K1430" i="1"/>
  <c r="AB1430" i="1"/>
  <c r="I1430" i="1"/>
  <c r="X1429" i="1"/>
  <c r="Z1429" i="1" s="1"/>
  <c r="W1429" i="1"/>
  <c r="S1429" i="1"/>
  <c r="Q1429" i="1"/>
  <c r="N1429" i="1"/>
  <c r="L1429" i="1"/>
  <c r="K1429" i="1"/>
  <c r="AB1429" i="1"/>
  <c r="I1429" i="1"/>
  <c r="X1428" i="1"/>
  <c r="Z1428" i="1" s="1"/>
  <c r="W1428" i="1"/>
  <c r="S1428" i="1"/>
  <c r="Q1428" i="1"/>
  <c r="N1428" i="1"/>
  <c r="L1428" i="1"/>
  <c r="K1428" i="1"/>
  <c r="AB1428" i="1"/>
  <c r="I1428" i="1"/>
  <c r="X1427" i="1"/>
  <c r="Z1427" i="1" s="1"/>
  <c r="W1427" i="1"/>
  <c r="S1427" i="1"/>
  <c r="Q1427" i="1"/>
  <c r="N1427" i="1"/>
  <c r="L1427" i="1"/>
  <c r="K1427" i="1"/>
  <c r="AB1427" i="1"/>
  <c r="I1427" i="1"/>
  <c r="X1426" i="1"/>
  <c r="Z1426" i="1" s="1"/>
  <c r="W1426" i="1"/>
  <c r="S1426" i="1"/>
  <c r="Q1426" i="1"/>
  <c r="N1426" i="1"/>
  <c r="L1426" i="1"/>
  <c r="K1426" i="1"/>
  <c r="AB1426" i="1"/>
  <c r="I1426" i="1"/>
  <c r="X1425" i="1"/>
  <c r="Z1425" i="1" s="1"/>
  <c r="W1425" i="1"/>
  <c r="S1425" i="1"/>
  <c r="Q1425" i="1"/>
  <c r="N1425" i="1"/>
  <c r="L1425" i="1"/>
  <c r="K1425" i="1"/>
  <c r="AB1425" i="1"/>
  <c r="I1425" i="1"/>
  <c r="X1424" i="1"/>
  <c r="Z1424" i="1" s="1"/>
  <c r="W1424" i="1"/>
  <c r="S1424" i="1"/>
  <c r="Q1424" i="1"/>
  <c r="N1424" i="1"/>
  <c r="L1424" i="1"/>
  <c r="K1424" i="1"/>
  <c r="AB1424" i="1"/>
  <c r="I1424" i="1"/>
  <c r="X1423" i="1"/>
  <c r="Z1423" i="1" s="1"/>
  <c r="W1423" i="1"/>
  <c r="S1423" i="1"/>
  <c r="Q1423" i="1"/>
  <c r="N1423" i="1"/>
  <c r="L1423" i="1"/>
  <c r="K1423" i="1"/>
  <c r="AB1423" i="1"/>
  <c r="I1423" i="1"/>
  <c r="X1422" i="1"/>
  <c r="Z1422" i="1" s="1"/>
  <c r="W1422" i="1"/>
  <c r="S1422" i="1"/>
  <c r="Q1422" i="1"/>
  <c r="N1422" i="1"/>
  <c r="L1422" i="1"/>
  <c r="K1422" i="1"/>
  <c r="AB1422" i="1"/>
  <c r="I1422" i="1"/>
  <c r="X1421" i="1"/>
  <c r="Z1421" i="1" s="1"/>
  <c r="W1421" i="1"/>
  <c r="S1421" i="1"/>
  <c r="Q1421" i="1"/>
  <c r="N1421" i="1"/>
  <c r="L1421" i="1"/>
  <c r="K1421" i="1"/>
  <c r="AB1421" i="1"/>
  <c r="I1421" i="1"/>
  <c r="X1420" i="1"/>
  <c r="Z1420" i="1" s="1"/>
  <c r="W1420" i="1"/>
  <c r="S1420" i="1"/>
  <c r="Q1420" i="1"/>
  <c r="N1420" i="1"/>
  <c r="L1420" i="1"/>
  <c r="K1420" i="1"/>
  <c r="AB1420" i="1"/>
  <c r="I1420" i="1"/>
  <c r="X1419" i="1"/>
  <c r="Z1419" i="1" s="1"/>
  <c r="W1419" i="1"/>
  <c r="S1419" i="1"/>
  <c r="Q1419" i="1"/>
  <c r="N1419" i="1"/>
  <c r="L1419" i="1"/>
  <c r="K1419" i="1"/>
  <c r="AB1419" i="1"/>
  <c r="I1419" i="1"/>
  <c r="X1418" i="1"/>
  <c r="Z1418" i="1" s="1"/>
  <c r="W1418" i="1"/>
  <c r="S1418" i="1"/>
  <c r="Q1418" i="1"/>
  <c r="N1418" i="1"/>
  <c r="L1418" i="1"/>
  <c r="K1418" i="1"/>
  <c r="AB1418" i="1"/>
  <c r="I1418" i="1"/>
  <c r="X1417" i="1"/>
  <c r="Z1417" i="1" s="1"/>
  <c r="W1417" i="1"/>
  <c r="S1417" i="1"/>
  <c r="Q1417" i="1"/>
  <c r="N1417" i="1"/>
  <c r="L1417" i="1"/>
  <c r="K1417" i="1"/>
  <c r="AB1417" i="1"/>
  <c r="I1417" i="1"/>
  <c r="X1416" i="1"/>
  <c r="Z1416" i="1" s="1"/>
  <c r="W1416" i="1"/>
  <c r="S1416" i="1"/>
  <c r="Q1416" i="1"/>
  <c r="N1416" i="1"/>
  <c r="L1416" i="1"/>
  <c r="K1416" i="1"/>
  <c r="AB1416" i="1"/>
  <c r="I1416" i="1"/>
  <c r="X1415" i="1"/>
  <c r="Z1415" i="1" s="1"/>
  <c r="W1415" i="1"/>
  <c r="S1415" i="1"/>
  <c r="Q1415" i="1"/>
  <c r="N1415" i="1"/>
  <c r="L1415" i="1"/>
  <c r="K1415" i="1"/>
  <c r="AB1415" i="1"/>
  <c r="I1415" i="1"/>
  <c r="X1414" i="1"/>
  <c r="Z1414" i="1" s="1"/>
  <c r="W1414" i="1"/>
  <c r="S1414" i="1"/>
  <c r="Q1414" i="1"/>
  <c r="N1414" i="1"/>
  <c r="L1414" i="1"/>
  <c r="K1414" i="1"/>
  <c r="AB1414" i="1"/>
  <c r="I1414" i="1"/>
  <c r="X1413" i="1"/>
  <c r="Z1413" i="1" s="1"/>
  <c r="W1413" i="1"/>
  <c r="S1413" i="1"/>
  <c r="Q1413" i="1"/>
  <c r="N1413" i="1"/>
  <c r="L1413" i="1"/>
  <c r="K1413" i="1"/>
  <c r="AB1413" i="1"/>
  <c r="I1413" i="1"/>
  <c r="X1412" i="1"/>
  <c r="Z1412" i="1" s="1"/>
  <c r="W1412" i="1"/>
  <c r="S1412" i="1"/>
  <c r="Q1412" i="1"/>
  <c r="N1412" i="1"/>
  <c r="L1412" i="1"/>
  <c r="K1412" i="1"/>
  <c r="AB1412" i="1"/>
  <c r="I1412" i="1"/>
  <c r="X1411" i="1"/>
  <c r="Z1411" i="1" s="1"/>
  <c r="W1411" i="1"/>
  <c r="S1411" i="1"/>
  <c r="Q1411" i="1"/>
  <c r="N1411" i="1"/>
  <c r="L1411" i="1"/>
  <c r="K1411" i="1"/>
  <c r="AB1411" i="1"/>
  <c r="I1411" i="1"/>
  <c r="X1410" i="1"/>
  <c r="Z1410" i="1" s="1"/>
  <c r="W1410" i="1"/>
  <c r="S1410" i="1"/>
  <c r="Q1410" i="1"/>
  <c r="N1410" i="1"/>
  <c r="L1410" i="1"/>
  <c r="K1410" i="1"/>
  <c r="AB1410" i="1"/>
  <c r="I1410" i="1"/>
  <c r="X1409" i="1"/>
  <c r="Z1409" i="1" s="1"/>
  <c r="W1409" i="1"/>
  <c r="S1409" i="1"/>
  <c r="Q1409" i="1"/>
  <c r="N1409" i="1"/>
  <c r="L1409" i="1"/>
  <c r="K1409" i="1"/>
  <c r="AB1409" i="1"/>
  <c r="I1409" i="1"/>
  <c r="X1408" i="1"/>
  <c r="Z1408" i="1" s="1"/>
  <c r="W1408" i="1"/>
  <c r="S1408" i="1"/>
  <c r="Q1408" i="1"/>
  <c r="N1408" i="1"/>
  <c r="L1408" i="1"/>
  <c r="K1408" i="1"/>
  <c r="AB1408" i="1"/>
  <c r="I1408" i="1"/>
  <c r="X1407" i="1"/>
  <c r="Z1407" i="1" s="1"/>
  <c r="W1407" i="1"/>
  <c r="S1407" i="1"/>
  <c r="Q1407" i="1"/>
  <c r="N1407" i="1"/>
  <c r="L1407" i="1"/>
  <c r="K1407" i="1"/>
  <c r="AB1407" i="1"/>
  <c r="I1407" i="1"/>
  <c r="X1406" i="1"/>
  <c r="Z1406" i="1" s="1"/>
  <c r="W1406" i="1"/>
  <c r="S1406" i="1"/>
  <c r="Q1406" i="1"/>
  <c r="N1406" i="1"/>
  <c r="L1406" i="1"/>
  <c r="K1406" i="1"/>
  <c r="AB1406" i="1"/>
  <c r="I1406" i="1"/>
  <c r="X1405" i="1"/>
  <c r="Z1405" i="1" s="1"/>
  <c r="W1405" i="1"/>
  <c r="S1405" i="1"/>
  <c r="Q1405" i="1"/>
  <c r="N1405" i="1"/>
  <c r="L1405" i="1"/>
  <c r="K1405" i="1"/>
  <c r="AB1405" i="1"/>
  <c r="I1405" i="1"/>
  <c r="X1404" i="1"/>
  <c r="Z1404" i="1" s="1"/>
  <c r="W1404" i="1"/>
  <c r="S1404" i="1"/>
  <c r="Q1404" i="1"/>
  <c r="N1404" i="1"/>
  <c r="L1404" i="1"/>
  <c r="K1404" i="1"/>
  <c r="AB1404" i="1"/>
  <c r="I1404" i="1"/>
  <c r="X1403" i="1"/>
  <c r="Z1403" i="1" s="1"/>
  <c r="W1403" i="1"/>
  <c r="S1403" i="1"/>
  <c r="Q1403" i="1"/>
  <c r="N1403" i="1"/>
  <c r="L1403" i="1"/>
  <c r="K1403" i="1"/>
  <c r="AB1403" i="1"/>
  <c r="I1403" i="1"/>
  <c r="X1402" i="1"/>
  <c r="Z1402" i="1" s="1"/>
  <c r="W1402" i="1"/>
  <c r="S1402" i="1"/>
  <c r="Q1402" i="1"/>
  <c r="N1402" i="1"/>
  <c r="L1402" i="1"/>
  <c r="K1402" i="1"/>
  <c r="AB1402" i="1"/>
  <c r="I1402" i="1"/>
  <c r="X1401" i="1"/>
  <c r="Z1401" i="1" s="1"/>
  <c r="W1401" i="1"/>
  <c r="S1401" i="1"/>
  <c r="Q1401" i="1"/>
  <c r="N1401" i="1"/>
  <c r="L1401" i="1"/>
  <c r="K1401" i="1"/>
  <c r="AB1401" i="1"/>
  <c r="I1401" i="1"/>
  <c r="X1400" i="1"/>
  <c r="Z1400" i="1" s="1"/>
  <c r="W1400" i="1"/>
  <c r="S1400" i="1"/>
  <c r="Q1400" i="1"/>
  <c r="N1400" i="1"/>
  <c r="L1400" i="1"/>
  <c r="K1400" i="1"/>
  <c r="AB1400" i="1"/>
  <c r="I1400" i="1"/>
  <c r="X1399" i="1"/>
  <c r="Z1399" i="1" s="1"/>
  <c r="W1399" i="1"/>
  <c r="S1399" i="1"/>
  <c r="Q1399" i="1"/>
  <c r="N1399" i="1"/>
  <c r="L1399" i="1"/>
  <c r="K1399" i="1"/>
  <c r="AB1399" i="1"/>
  <c r="I1399" i="1"/>
  <c r="X1398" i="1"/>
  <c r="Z1398" i="1" s="1"/>
  <c r="W1398" i="1"/>
  <c r="S1398" i="1"/>
  <c r="Q1398" i="1"/>
  <c r="N1398" i="1"/>
  <c r="L1398" i="1"/>
  <c r="K1398" i="1"/>
  <c r="AB1398" i="1"/>
  <c r="I1398" i="1"/>
  <c r="X1397" i="1"/>
  <c r="Z1397" i="1" s="1"/>
  <c r="W1397" i="1"/>
  <c r="S1397" i="1"/>
  <c r="Q1397" i="1"/>
  <c r="N1397" i="1"/>
  <c r="L1397" i="1"/>
  <c r="K1397" i="1"/>
  <c r="AB1397" i="1"/>
  <c r="I1397" i="1"/>
  <c r="X1396" i="1"/>
  <c r="Z1396" i="1" s="1"/>
  <c r="W1396" i="1"/>
  <c r="S1396" i="1"/>
  <c r="Q1396" i="1"/>
  <c r="N1396" i="1"/>
  <c r="L1396" i="1"/>
  <c r="K1396" i="1"/>
  <c r="AB1396" i="1"/>
  <c r="I1396" i="1"/>
  <c r="X1395" i="1"/>
  <c r="Z1395" i="1" s="1"/>
  <c r="W1395" i="1"/>
  <c r="S1395" i="1"/>
  <c r="Q1395" i="1"/>
  <c r="N1395" i="1"/>
  <c r="L1395" i="1"/>
  <c r="K1395" i="1"/>
  <c r="AB1395" i="1"/>
  <c r="I1395" i="1"/>
  <c r="X1394" i="1"/>
  <c r="Z1394" i="1" s="1"/>
  <c r="W1394" i="1"/>
  <c r="S1394" i="1"/>
  <c r="Q1394" i="1"/>
  <c r="N1394" i="1"/>
  <c r="L1394" i="1"/>
  <c r="K1394" i="1"/>
  <c r="AB1394" i="1"/>
  <c r="I1394" i="1"/>
  <c r="X1393" i="1"/>
  <c r="Z1393" i="1" s="1"/>
  <c r="W1393" i="1"/>
  <c r="S1393" i="1"/>
  <c r="Q1393" i="1"/>
  <c r="N1393" i="1"/>
  <c r="L1393" i="1"/>
  <c r="K1393" i="1"/>
  <c r="AB1393" i="1"/>
  <c r="I1393" i="1"/>
  <c r="X1392" i="1"/>
  <c r="Z1392" i="1" s="1"/>
  <c r="W1392" i="1"/>
  <c r="S1392" i="1"/>
  <c r="Q1392" i="1"/>
  <c r="N1392" i="1"/>
  <c r="L1392" i="1"/>
  <c r="K1392" i="1"/>
  <c r="AB1392" i="1"/>
  <c r="I1392" i="1"/>
  <c r="X1391" i="1"/>
  <c r="Z1391" i="1" s="1"/>
  <c r="W1391" i="1"/>
  <c r="S1391" i="1"/>
  <c r="Q1391" i="1"/>
  <c r="N1391" i="1"/>
  <c r="L1391" i="1"/>
  <c r="K1391" i="1"/>
  <c r="AB1391" i="1"/>
  <c r="I1391" i="1"/>
  <c r="X1390" i="1"/>
  <c r="Z1390" i="1" s="1"/>
  <c r="W1390" i="1"/>
  <c r="S1390" i="1"/>
  <c r="Q1390" i="1"/>
  <c r="N1390" i="1"/>
  <c r="L1390" i="1"/>
  <c r="K1390" i="1"/>
  <c r="AB1390" i="1"/>
  <c r="I1390" i="1"/>
  <c r="X1389" i="1"/>
  <c r="Z1389" i="1" s="1"/>
  <c r="W1389" i="1"/>
  <c r="S1389" i="1"/>
  <c r="Q1389" i="1"/>
  <c r="N1389" i="1"/>
  <c r="L1389" i="1"/>
  <c r="K1389" i="1"/>
  <c r="AB1389" i="1"/>
  <c r="I1389" i="1"/>
  <c r="X1388" i="1"/>
  <c r="Z1388" i="1" s="1"/>
  <c r="W1388" i="1"/>
  <c r="S1388" i="1"/>
  <c r="Q1388" i="1"/>
  <c r="N1388" i="1"/>
  <c r="L1388" i="1"/>
  <c r="K1388" i="1"/>
  <c r="AB1388" i="1"/>
  <c r="I1388" i="1"/>
  <c r="X1387" i="1"/>
  <c r="Z1387" i="1" s="1"/>
  <c r="W1387" i="1"/>
  <c r="S1387" i="1"/>
  <c r="Q1387" i="1"/>
  <c r="N1387" i="1"/>
  <c r="L1387" i="1"/>
  <c r="K1387" i="1"/>
  <c r="AB1387" i="1"/>
  <c r="I1387" i="1"/>
  <c r="X1386" i="1"/>
  <c r="Z1386" i="1" s="1"/>
  <c r="W1386" i="1"/>
  <c r="S1386" i="1"/>
  <c r="Q1386" i="1"/>
  <c r="N1386" i="1"/>
  <c r="L1386" i="1"/>
  <c r="K1386" i="1"/>
  <c r="AB1386" i="1"/>
  <c r="I1386" i="1"/>
  <c r="X1385" i="1"/>
  <c r="Z1385" i="1" s="1"/>
  <c r="W1385" i="1"/>
  <c r="S1385" i="1"/>
  <c r="Q1385" i="1"/>
  <c r="N1385" i="1"/>
  <c r="L1385" i="1"/>
  <c r="K1385" i="1"/>
  <c r="AB1385" i="1"/>
  <c r="I1385" i="1"/>
  <c r="X1384" i="1"/>
  <c r="Z1384" i="1" s="1"/>
  <c r="W1384" i="1"/>
  <c r="S1384" i="1"/>
  <c r="Q1384" i="1"/>
  <c r="N1384" i="1"/>
  <c r="L1384" i="1"/>
  <c r="K1384" i="1"/>
  <c r="AB1384" i="1"/>
  <c r="I1384" i="1"/>
  <c r="X1383" i="1"/>
  <c r="Z1383" i="1" s="1"/>
  <c r="W1383" i="1"/>
  <c r="S1383" i="1"/>
  <c r="Q1383" i="1"/>
  <c r="N1383" i="1"/>
  <c r="L1383" i="1"/>
  <c r="K1383" i="1"/>
  <c r="AB1383" i="1"/>
  <c r="I1383" i="1"/>
  <c r="X1382" i="1"/>
  <c r="Z1382" i="1" s="1"/>
  <c r="W1382" i="1"/>
  <c r="S1382" i="1"/>
  <c r="Q1382" i="1"/>
  <c r="N1382" i="1"/>
  <c r="L1382" i="1"/>
  <c r="K1382" i="1"/>
  <c r="AB1382" i="1"/>
  <c r="I1382" i="1"/>
  <c r="X1381" i="1"/>
  <c r="Z1381" i="1" s="1"/>
  <c r="W1381" i="1"/>
  <c r="S1381" i="1"/>
  <c r="Q1381" i="1"/>
  <c r="N1381" i="1"/>
  <c r="L1381" i="1"/>
  <c r="K1381" i="1"/>
  <c r="AB1381" i="1"/>
  <c r="I1381" i="1"/>
  <c r="X1380" i="1"/>
  <c r="Z1380" i="1" s="1"/>
  <c r="W1380" i="1"/>
  <c r="S1380" i="1"/>
  <c r="Q1380" i="1"/>
  <c r="N1380" i="1"/>
  <c r="L1380" i="1"/>
  <c r="K1380" i="1"/>
  <c r="AB1380" i="1"/>
  <c r="I1380" i="1"/>
  <c r="X1379" i="1"/>
  <c r="Z1379" i="1" s="1"/>
  <c r="W1379" i="1"/>
  <c r="S1379" i="1"/>
  <c r="Q1379" i="1"/>
  <c r="N1379" i="1"/>
  <c r="L1379" i="1"/>
  <c r="K1379" i="1"/>
  <c r="AB1379" i="1"/>
  <c r="I1379" i="1"/>
  <c r="X1378" i="1"/>
  <c r="Z1378" i="1" s="1"/>
  <c r="W1378" i="1"/>
  <c r="S1378" i="1"/>
  <c r="Q1378" i="1"/>
  <c r="N1378" i="1"/>
  <c r="L1378" i="1"/>
  <c r="K1378" i="1"/>
  <c r="AB1378" i="1"/>
  <c r="I1378" i="1"/>
  <c r="X1377" i="1"/>
  <c r="Z1377" i="1" s="1"/>
  <c r="W1377" i="1"/>
  <c r="S1377" i="1"/>
  <c r="Q1377" i="1"/>
  <c r="N1377" i="1"/>
  <c r="L1377" i="1"/>
  <c r="K1377" i="1"/>
  <c r="AB1377" i="1"/>
  <c r="I1377" i="1"/>
  <c r="X1376" i="1"/>
  <c r="Z1376" i="1" s="1"/>
  <c r="W1376" i="1"/>
  <c r="S1376" i="1"/>
  <c r="Q1376" i="1"/>
  <c r="N1376" i="1"/>
  <c r="L1376" i="1"/>
  <c r="K1376" i="1"/>
  <c r="AB1376" i="1"/>
  <c r="I1376" i="1"/>
  <c r="X1375" i="1"/>
  <c r="Z1375" i="1" s="1"/>
  <c r="W1375" i="1"/>
  <c r="S1375" i="1"/>
  <c r="Q1375" i="1"/>
  <c r="N1375" i="1"/>
  <c r="L1375" i="1"/>
  <c r="K1375" i="1"/>
  <c r="AB1375" i="1"/>
  <c r="I1375" i="1"/>
  <c r="X1374" i="1"/>
  <c r="Z1374" i="1" s="1"/>
  <c r="W1374" i="1"/>
  <c r="S1374" i="1"/>
  <c r="Q1374" i="1"/>
  <c r="N1374" i="1"/>
  <c r="L1374" i="1"/>
  <c r="K1374" i="1"/>
  <c r="AB1374" i="1"/>
  <c r="I1374" i="1"/>
  <c r="X1373" i="1"/>
  <c r="Z1373" i="1" s="1"/>
  <c r="W1373" i="1"/>
  <c r="S1373" i="1"/>
  <c r="Q1373" i="1"/>
  <c r="N1373" i="1"/>
  <c r="L1373" i="1"/>
  <c r="K1373" i="1"/>
  <c r="AB1373" i="1"/>
  <c r="I1373" i="1"/>
  <c r="X1372" i="1"/>
  <c r="Z1372" i="1" s="1"/>
  <c r="W1372" i="1"/>
  <c r="S1372" i="1"/>
  <c r="Q1372" i="1"/>
  <c r="N1372" i="1"/>
  <c r="L1372" i="1"/>
  <c r="K1372" i="1"/>
  <c r="AB1372" i="1"/>
  <c r="I1372" i="1"/>
  <c r="X1371" i="1"/>
  <c r="Z1371" i="1" s="1"/>
  <c r="W1371" i="1"/>
  <c r="S1371" i="1"/>
  <c r="Q1371" i="1"/>
  <c r="N1371" i="1"/>
  <c r="L1371" i="1"/>
  <c r="K1371" i="1"/>
  <c r="AB1371" i="1"/>
  <c r="I1371" i="1"/>
  <c r="X1370" i="1"/>
  <c r="Z1370" i="1" s="1"/>
  <c r="W1370" i="1"/>
  <c r="S1370" i="1"/>
  <c r="Q1370" i="1"/>
  <c r="N1370" i="1"/>
  <c r="L1370" i="1"/>
  <c r="K1370" i="1"/>
  <c r="AB1370" i="1"/>
  <c r="I1370" i="1"/>
  <c r="X1369" i="1"/>
  <c r="Z1369" i="1" s="1"/>
  <c r="W1369" i="1"/>
  <c r="S1369" i="1"/>
  <c r="Q1369" i="1"/>
  <c r="N1369" i="1"/>
  <c r="L1369" i="1"/>
  <c r="K1369" i="1"/>
  <c r="AB1369" i="1"/>
  <c r="I1369" i="1"/>
  <c r="X1368" i="1"/>
  <c r="Z1368" i="1" s="1"/>
  <c r="W1368" i="1"/>
  <c r="S1368" i="1"/>
  <c r="Q1368" i="1"/>
  <c r="N1368" i="1"/>
  <c r="L1368" i="1"/>
  <c r="K1368" i="1"/>
  <c r="AB1368" i="1"/>
  <c r="I1368" i="1"/>
  <c r="X1367" i="1"/>
  <c r="Z1367" i="1" s="1"/>
  <c r="W1367" i="1"/>
  <c r="S1367" i="1"/>
  <c r="Q1367" i="1"/>
  <c r="N1367" i="1"/>
  <c r="L1367" i="1"/>
  <c r="K1367" i="1"/>
  <c r="AB1367" i="1"/>
  <c r="I1367" i="1"/>
  <c r="X1366" i="1"/>
  <c r="Z1366" i="1" s="1"/>
  <c r="W1366" i="1"/>
  <c r="S1366" i="1"/>
  <c r="Q1366" i="1"/>
  <c r="N1366" i="1"/>
  <c r="L1366" i="1"/>
  <c r="K1366" i="1"/>
  <c r="AB1366" i="1"/>
  <c r="I1366" i="1"/>
  <c r="X1365" i="1"/>
  <c r="Z1365" i="1" s="1"/>
  <c r="W1365" i="1"/>
  <c r="S1365" i="1"/>
  <c r="Q1365" i="1"/>
  <c r="N1365" i="1"/>
  <c r="L1365" i="1"/>
  <c r="K1365" i="1"/>
  <c r="AB1365" i="1"/>
  <c r="I1365" i="1"/>
  <c r="X1364" i="1"/>
  <c r="Z1364" i="1" s="1"/>
  <c r="W1364" i="1"/>
  <c r="S1364" i="1"/>
  <c r="Q1364" i="1"/>
  <c r="N1364" i="1"/>
  <c r="L1364" i="1"/>
  <c r="K1364" i="1"/>
  <c r="AB1364" i="1"/>
  <c r="I1364" i="1"/>
  <c r="X1363" i="1"/>
  <c r="Z1363" i="1" s="1"/>
  <c r="W1363" i="1"/>
  <c r="S1363" i="1"/>
  <c r="Q1363" i="1"/>
  <c r="N1363" i="1"/>
  <c r="L1363" i="1"/>
  <c r="K1363" i="1"/>
  <c r="AB1363" i="1"/>
  <c r="I1363" i="1"/>
  <c r="X1362" i="1"/>
  <c r="Z1362" i="1" s="1"/>
  <c r="W1362" i="1"/>
  <c r="S1362" i="1"/>
  <c r="Q1362" i="1"/>
  <c r="N1362" i="1"/>
  <c r="L1362" i="1"/>
  <c r="K1362" i="1"/>
  <c r="AB1362" i="1"/>
  <c r="I1362" i="1"/>
  <c r="X1361" i="1"/>
  <c r="Z1361" i="1" s="1"/>
  <c r="W1361" i="1"/>
  <c r="S1361" i="1"/>
  <c r="Q1361" i="1"/>
  <c r="N1361" i="1"/>
  <c r="L1361" i="1"/>
  <c r="K1361" i="1"/>
  <c r="AB1361" i="1"/>
  <c r="I1361" i="1"/>
  <c r="X1360" i="1"/>
  <c r="Z1360" i="1" s="1"/>
  <c r="W1360" i="1"/>
  <c r="S1360" i="1"/>
  <c r="Q1360" i="1"/>
  <c r="N1360" i="1"/>
  <c r="L1360" i="1"/>
  <c r="K1360" i="1"/>
  <c r="AB1360" i="1"/>
  <c r="I1360" i="1"/>
  <c r="X1359" i="1"/>
  <c r="Z1359" i="1" s="1"/>
  <c r="W1359" i="1"/>
  <c r="S1359" i="1"/>
  <c r="Q1359" i="1"/>
  <c r="N1359" i="1"/>
  <c r="L1359" i="1"/>
  <c r="K1359" i="1"/>
  <c r="AB1359" i="1"/>
  <c r="I1359" i="1"/>
  <c r="X1358" i="1"/>
  <c r="Z1358" i="1" s="1"/>
  <c r="W1358" i="1"/>
  <c r="S1358" i="1"/>
  <c r="Q1358" i="1"/>
  <c r="N1358" i="1"/>
  <c r="L1358" i="1"/>
  <c r="K1358" i="1"/>
  <c r="AB1358" i="1"/>
  <c r="I1358" i="1"/>
  <c r="X1357" i="1"/>
  <c r="Z1357" i="1" s="1"/>
  <c r="W1357" i="1"/>
  <c r="S1357" i="1"/>
  <c r="Q1357" i="1"/>
  <c r="N1357" i="1"/>
  <c r="L1357" i="1"/>
  <c r="K1357" i="1"/>
  <c r="AB1357" i="1"/>
  <c r="I1357" i="1"/>
  <c r="X1356" i="1"/>
  <c r="Z1356" i="1" s="1"/>
  <c r="W1356" i="1"/>
  <c r="S1356" i="1"/>
  <c r="Q1356" i="1"/>
  <c r="N1356" i="1"/>
  <c r="L1356" i="1"/>
  <c r="K1356" i="1"/>
  <c r="AB1356" i="1"/>
  <c r="I1356" i="1"/>
  <c r="X1355" i="1"/>
  <c r="Z1355" i="1" s="1"/>
  <c r="W1355" i="1"/>
  <c r="S1355" i="1"/>
  <c r="Q1355" i="1"/>
  <c r="N1355" i="1"/>
  <c r="L1355" i="1"/>
  <c r="K1355" i="1"/>
  <c r="AB1355" i="1"/>
  <c r="I1355" i="1"/>
  <c r="X1354" i="1"/>
  <c r="Z1354" i="1" s="1"/>
  <c r="W1354" i="1"/>
  <c r="S1354" i="1"/>
  <c r="Q1354" i="1"/>
  <c r="N1354" i="1"/>
  <c r="L1354" i="1"/>
  <c r="K1354" i="1"/>
  <c r="AB1354" i="1"/>
  <c r="I1354" i="1"/>
  <c r="X1353" i="1"/>
  <c r="Z1353" i="1" s="1"/>
  <c r="W1353" i="1"/>
  <c r="S1353" i="1"/>
  <c r="Q1353" i="1"/>
  <c r="N1353" i="1"/>
  <c r="L1353" i="1"/>
  <c r="K1353" i="1"/>
  <c r="AB1353" i="1"/>
  <c r="I1353" i="1"/>
  <c r="X1352" i="1"/>
  <c r="Z1352" i="1" s="1"/>
  <c r="W1352" i="1"/>
  <c r="S1352" i="1"/>
  <c r="Q1352" i="1"/>
  <c r="N1352" i="1"/>
  <c r="L1352" i="1"/>
  <c r="K1352" i="1"/>
  <c r="AB1352" i="1"/>
  <c r="I1352" i="1"/>
  <c r="X1351" i="1"/>
  <c r="Z1351" i="1" s="1"/>
  <c r="W1351" i="1"/>
  <c r="S1351" i="1"/>
  <c r="Q1351" i="1"/>
  <c r="N1351" i="1"/>
  <c r="L1351" i="1"/>
  <c r="K1351" i="1"/>
  <c r="AB1351" i="1"/>
  <c r="I1351" i="1"/>
  <c r="X1350" i="1"/>
  <c r="Z1350" i="1" s="1"/>
  <c r="W1350" i="1"/>
  <c r="S1350" i="1"/>
  <c r="Q1350" i="1"/>
  <c r="N1350" i="1"/>
  <c r="L1350" i="1"/>
  <c r="K1350" i="1"/>
  <c r="AB1350" i="1"/>
  <c r="I1350" i="1"/>
  <c r="X1349" i="1"/>
  <c r="Z1349" i="1" s="1"/>
  <c r="W1349" i="1"/>
  <c r="S1349" i="1"/>
  <c r="Q1349" i="1"/>
  <c r="N1349" i="1"/>
  <c r="L1349" i="1"/>
  <c r="K1349" i="1"/>
  <c r="AB1349" i="1"/>
  <c r="I1349" i="1"/>
  <c r="X1348" i="1"/>
  <c r="Z1348" i="1" s="1"/>
  <c r="W1348" i="1"/>
  <c r="S1348" i="1"/>
  <c r="Q1348" i="1"/>
  <c r="N1348" i="1"/>
  <c r="L1348" i="1"/>
  <c r="K1348" i="1"/>
  <c r="AB1348" i="1"/>
  <c r="I1348" i="1"/>
  <c r="X1347" i="1"/>
  <c r="Z1347" i="1" s="1"/>
  <c r="W1347" i="1"/>
  <c r="S1347" i="1"/>
  <c r="Q1347" i="1"/>
  <c r="N1347" i="1"/>
  <c r="L1347" i="1"/>
  <c r="K1347" i="1"/>
  <c r="AB1347" i="1"/>
  <c r="I1347" i="1"/>
  <c r="X1346" i="1"/>
  <c r="Z1346" i="1" s="1"/>
  <c r="W1346" i="1"/>
  <c r="S1346" i="1"/>
  <c r="Q1346" i="1"/>
  <c r="N1346" i="1"/>
  <c r="L1346" i="1"/>
  <c r="K1346" i="1"/>
  <c r="AB1346" i="1"/>
  <c r="I1346" i="1"/>
  <c r="X1345" i="1"/>
  <c r="Z1345" i="1" s="1"/>
  <c r="W1345" i="1"/>
  <c r="S1345" i="1"/>
  <c r="Q1345" i="1"/>
  <c r="N1345" i="1"/>
  <c r="L1345" i="1"/>
  <c r="K1345" i="1"/>
  <c r="AB1345" i="1"/>
  <c r="I1345" i="1"/>
  <c r="X1344" i="1"/>
  <c r="Z1344" i="1" s="1"/>
  <c r="W1344" i="1"/>
  <c r="S1344" i="1"/>
  <c r="Q1344" i="1"/>
  <c r="N1344" i="1"/>
  <c r="L1344" i="1"/>
  <c r="K1344" i="1"/>
  <c r="AB1344" i="1"/>
  <c r="I1344" i="1"/>
  <c r="X1343" i="1"/>
  <c r="Z1343" i="1" s="1"/>
  <c r="W1343" i="1"/>
  <c r="S1343" i="1"/>
  <c r="Q1343" i="1"/>
  <c r="N1343" i="1"/>
  <c r="L1343" i="1"/>
  <c r="K1343" i="1"/>
  <c r="AB1343" i="1"/>
  <c r="I1343" i="1"/>
  <c r="X1342" i="1"/>
  <c r="Z1342" i="1" s="1"/>
  <c r="W1342" i="1"/>
  <c r="S1342" i="1"/>
  <c r="Q1342" i="1"/>
  <c r="N1342" i="1"/>
  <c r="L1342" i="1"/>
  <c r="K1342" i="1"/>
  <c r="AB1342" i="1"/>
  <c r="I1342" i="1"/>
  <c r="X1341" i="1"/>
  <c r="Z1341" i="1" s="1"/>
  <c r="W1341" i="1"/>
  <c r="S1341" i="1"/>
  <c r="Q1341" i="1"/>
  <c r="N1341" i="1"/>
  <c r="L1341" i="1"/>
  <c r="K1341" i="1"/>
  <c r="AB1341" i="1"/>
  <c r="I1341" i="1"/>
  <c r="X1340" i="1"/>
  <c r="Z1340" i="1" s="1"/>
  <c r="W1340" i="1"/>
  <c r="S1340" i="1"/>
  <c r="Q1340" i="1"/>
  <c r="N1340" i="1"/>
  <c r="L1340" i="1"/>
  <c r="K1340" i="1"/>
  <c r="AB1340" i="1"/>
  <c r="I1340" i="1"/>
  <c r="X1339" i="1"/>
  <c r="Z1339" i="1" s="1"/>
  <c r="W1339" i="1"/>
  <c r="S1339" i="1"/>
  <c r="Q1339" i="1"/>
  <c r="N1339" i="1"/>
  <c r="L1339" i="1"/>
  <c r="K1339" i="1"/>
  <c r="AB1339" i="1"/>
  <c r="I1339" i="1"/>
  <c r="X1338" i="1"/>
  <c r="Z1338" i="1" s="1"/>
  <c r="W1338" i="1"/>
  <c r="S1338" i="1"/>
  <c r="Q1338" i="1"/>
  <c r="N1338" i="1"/>
  <c r="L1338" i="1"/>
  <c r="K1338" i="1"/>
  <c r="AB1338" i="1"/>
  <c r="I1338" i="1"/>
  <c r="X1337" i="1"/>
  <c r="Z1337" i="1" s="1"/>
  <c r="W1337" i="1"/>
  <c r="S1337" i="1"/>
  <c r="Q1337" i="1"/>
  <c r="N1337" i="1"/>
  <c r="L1337" i="1"/>
  <c r="K1337" i="1"/>
  <c r="AB1337" i="1"/>
  <c r="I1337" i="1"/>
  <c r="X1336" i="1"/>
  <c r="Z1336" i="1" s="1"/>
  <c r="W1336" i="1"/>
  <c r="S1336" i="1"/>
  <c r="Q1336" i="1"/>
  <c r="N1336" i="1"/>
  <c r="L1336" i="1"/>
  <c r="K1336" i="1"/>
  <c r="AB1336" i="1"/>
  <c r="I1336" i="1"/>
  <c r="X1335" i="1"/>
  <c r="Z1335" i="1" s="1"/>
  <c r="W1335" i="1"/>
  <c r="S1335" i="1"/>
  <c r="Q1335" i="1"/>
  <c r="N1335" i="1"/>
  <c r="L1335" i="1"/>
  <c r="K1335" i="1"/>
  <c r="AB1335" i="1"/>
  <c r="I1335" i="1"/>
  <c r="X1334" i="1"/>
  <c r="Z1334" i="1" s="1"/>
  <c r="W1334" i="1"/>
  <c r="S1334" i="1"/>
  <c r="Q1334" i="1"/>
  <c r="N1334" i="1"/>
  <c r="L1334" i="1"/>
  <c r="K1334" i="1"/>
  <c r="AB1334" i="1"/>
  <c r="I1334" i="1"/>
  <c r="X1333" i="1"/>
  <c r="Z1333" i="1" s="1"/>
  <c r="W1333" i="1"/>
  <c r="S1333" i="1"/>
  <c r="Q1333" i="1"/>
  <c r="N1333" i="1"/>
  <c r="L1333" i="1"/>
  <c r="K1333" i="1"/>
  <c r="AB1333" i="1"/>
  <c r="I1333" i="1"/>
  <c r="X1332" i="1"/>
  <c r="Z1332" i="1" s="1"/>
  <c r="W1332" i="1"/>
  <c r="S1332" i="1"/>
  <c r="Q1332" i="1"/>
  <c r="N1332" i="1"/>
  <c r="L1332" i="1"/>
  <c r="K1332" i="1"/>
  <c r="AB1332" i="1"/>
  <c r="I1332" i="1"/>
  <c r="X1331" i="1"/>
  <c r="Z1331" i="1" s="1"/>
  <c r="W1331" i="1"/>
  <c r="S1331" i="1"/>
  <c r="Q1331" i="1"/>
  <c r="N1331" i="1"/>
  <c r="L1331" i="1"/>
  <c r="K1331" i="1"/>
  <c r="AB1331" i="1"/>
  <c r="I1331" i="1"/>
  <c r="X1330" i="1"/>
  <c r="Z1330" i="1" s="1"/>
  <c r="W1330" i="1"/>
  <c r="S1330" i="1"/>
  <c r="Q1330" i="1"/>
  <c r="N1330" i="1"/>
  <c r="L1330" i="1"/>
  <c r="K1330" i="1"/>
  <c r="AB1330" i="1"/>
  <c r="I1330" i="1"/>
  <c r="X1329" i="1"/>
  <c r="Z1329" i="1" s="1"/>
  <c r="W1329" i="1"/>
  <c r="S1329" i="1"/>
  <c r="Q1329" i="1"/>
  <c r="N1329" i="1"/>
  <c r="L1329" i="1"/>
  <c r="K1329" i="1"/>
  <c r="AB1329" i="1"/>
  <c r="I1329" i="1"/>
  <c r="X1328" i="1"/>
  <c r="Z1328" i="1" s="1"/>
  <c r="W1328" i="1"/>
  <c r="S1328" i="1"/>
  <c r="Q1328" i="1"/>
  <c r="N1328" i="1"/>
  <c r="L1328" i="1"/>
  <c r="K1328" i="1"/>
  <c r="AB1328" i="1"/>
  <c r="I1328" i="1"/>
  <c r="X1327" i="1"/>
  <c r="Z1327" i="1" s="1"/>
  <c r="W1327" i="1"/>
  <c r="S1327" i="1"/>
  <c r="Q1327" i="1"/>
  <c r="N1327" i="1"/>
  <c r="L1327" i="1"/>
  <c r="K1327" i="1"/>
  <c r="AB1327" i="1"/>
  <c r="I1327" i="1"/>
  <c r="X1326" i="1"/>
  <c r="Z1326" i="1" s="1"/>
  <c r="W1326" i="1"/>
  <c r="S1326" i="1"/>
  <c r="Q1326" i="1"/>
  <c r="N1326" i="1"/>
  <c r="L1326" i="1"/>
  <c r="K1326" i="1"/>
  <c r="AB1326" i="1"/>
  <c r="I1326" i="1"/>
  <c r="X1325" i="1"/>
  <c r="Z1325" i="1" s="1"/>
  <c r="W1325" i="1"/>
  <c r="S1325" i="1"/>
  <c r="Q1325" i="1"/>
  <c r="N1325" i="1"/>
  <c r="L1325" i="1"/>
  <c r="K1325" i="1"/>
  <c r="AB1325" i="1"/>
  <c r="I1325" i="1"/>
  <c r="X1324" i="1"/>
  <c r="Z1324" i="1" s="1"/>
  <c r="W1324" i="1"/>
  <c r="S1324" i="1"/>
  <c r="Q1324" i="1"/>
  <c r="N1324" i="1"/>
  <c r="L1324" i="1"/>
  <c r="K1324" i="1"/>
  <c r="AB1324" i="1"/>
  <c r="I1324" i="1"/>
  <c r="X1323" i="1"/>
  <c r="Z1323" i="1" s="1"/>
  <c r="W1323" i="1"/>
  <c r="S1323" i="1"/>
  <c r="Q1323" i="1"/>
  <c r="N1323" i="1"/>
  <c r="L1323" i="1"/>
  <c r="K1323" i="1"/>
  <c r="AB1323" i="1"/>
  <c r="I1323" i="1"/>
  <c r="X1322" i="1"/>
  <c r="Z1322" i="1" s="1"/>
  <c r="W1322" i="1"/>
  <c r="S1322" i="1"/>
  <c r="Q1322" i="1"/>
  <c r="N1322" i="1"/>
  <c r="L1322" i="1"/>
  <c r="K1322" i="1"/>
  <c r="AB1322" i="1"/>
  <c r="I1322" i="1"/>
  <c r="X1321" i="1"/>
  <c r="Z1321" i="1" s="1"/>
  <c r="W1321" i="1"/>
  <c r="S1321" i="1"/>
  <c r="Q1321" i="1"/>
  <c r="N1321" i="1"/>
  <c r="L1321" i="1"/>
  <c r="K1321" i="1"/>
  <c r="AB1321" i="1"/>
  <c r="I1321" i="1"/>
  <c r="X1320" i="1"/>
  <c r="Z1320" i="1" s="1"/>
  <c r="W1320" i="1"/>
  <c r="S1320" i="1"/>
  <c r="Q1320" i="1"/>
  <c r="N1320" i="1"/>
  <c r="L1320" i="1"/>
  <c r="K1320" i="1"/>
  <c r="AB1320" i="1"/>
  <c r="I1320" i="1"/>
  <c r="X1319" i="1"/>
  <c r="Z1319" i="1" s="1"/>
  <c r="W1319" i="1"/>
  <c r="S1319" i="1"/>
  <c r="Q1319" i="1"/>
  <c r="N1319" i="1"/>
  <c r="L1319" i="1"/>
  <c r="K1319" i="1"/>
  <c r="AB1319" i="1"/>
  <c r="I1319" i="1"/>
  <c r="X1318" i="1"/>
  <c r="Z1318" i="1" s="1"/>
  <c r="W1318" i="1"/>
  <c r="S1318" i="1"/>
  <c r="Q1318" i="1"/>
  <c r="N1318" i="1"/>
  <c r="L1318" i="1"/>
  <c r="K1318" i="1"/>
  <c r="AB1318" i="1"/>
  <c r="I1318" i="1"/>
  <c r="X1317" i="1"/>
  <c r="Z1317" i="1" s="1"/>
  <c r="W1317" i="1"/>
  <c r="S1317" i="1"/>
  <c r="Q1317" i="1"/>
  <c r="N1317" i="1"/>
  <c r="L1317" i="1"/>
  <c r="K1317" i="1"/>
  <c r="AB1317" i="1"/>
  <c r="I1317" i="1"/>
  <c r="X1316" i="1"/>
  <c r="Z1316" i="1" s="1"/>
  <c r="W1316" i="1"/>
  <c r="S1316" i="1"/>
  <c r="Q1316" i="1"/>
  <c r="N1316" i="1"/>
  <c r="L1316" i="1"/>
  <c r="K1316" i="1"/>
  <c r="AB1316" i="1"/>
  <c r="I1316" i="1"/>
  <c r="X1315" i="1"/>
  <c r="Z1315" i="1" s="1"/>
  <c r="W1315" i="1"/>
  <c r="S1315" i="1"/>
  <c r="Q1315" i="1"/>
  <c r="N1315" i="1"/>
  <c r="L1315" i="1"/>
  <c r="K1315" i="1"/>
  <c r="AB1315" i="1"/>
  <c r="I1315" i="1"/>
  <c r="X1314" i="1"/>
  <c r="Z1314" i="1" s="1"/>
  <c r="W1314" i="1"/>
  <c r="S1314" i="1"/>
  <c r="Q1314" i="1"/>
  <c r="N1314" i="1"/>
  <c r="L1314" i="1"/>
  <c r="K1314" i="1"/>
  <c r="AB1314" i="1"/>
  <c r="I1314" i="1"/>
  <c r="X1313" i="1"/>
  <c r="Z1313" i="1" s="1"/>
  <c r="W1313" i="1"/>
  <c r="S1313" i="1"/>
  <c r="Q1313" i="1"/>
  <c r="N1313" i="1"/>
  <c r="L1313" i="1"/>
  <c r="K1313" i="1"/>
  <c r="AB1313" i="1"/>
  <c r="I1313" i="1"/>
  <c r="X1312" i="1"/>
  <c r="Z1312" i="1" s="1"/>
  <c r="W1312" i="1"/>
  <c r="S1312" i="1"/>
  <c r="Q1312" i="1"/>
  <c r="N1312" i="1"/>
  <c r="L1312" i="1"/>
  <c r="K1312" i="1"/>
  <c r="AB1312" i="1"/>
  <c r="I1312" i="1"/>
  <c r="X1311" i="1"/>
  <c r="Z1311" i="1" s="1"/>
  <c r="W1311" i="1"/>
  <c r="S1311" i="1"/>
  <c r="Q1311" i="1"/>
  <c r="N1311" i="1"/>
  <c r="L1311" i="1"/>
  <c r="K1311" i="1"/>
  <c r="AB1311" i="1"/>
  <c r="I1311" i="1"/>
  <c r="X1310" i="1"/>
  <c r="Z1310" i="1" s="1"/>
  <c r="W1310" i="1"/>
  <c r="S1310" i="1"/>
  <c r="Q1310" i="1"/>
  <c r="N1310" i="1"/>
  <c r="L1310" i="1"/>
  <c r="K1310" i="1"/>
  <c r="AB1310" i="1"/>
  <c r="I1310" i="1"/>
  <c r="X1309" i="1"/>
  <c r="Z1309" i="1" s="1"/>
  <c r="W1309" i="1"/>
  <c r="S1309" i="1"/>
  <c r="Q1309" i="1"/>
  <c r="N1309" i="1"/>
  <c r="L1309" i="1"/>
  <c r="K1309" i="1"/>
  <c r="AB1309" i="1"/>
  <c r="I1309" i="1"/>
  <c r="X1308" i="1"/>
  <c r="Z1308" i="1" s="1"/>
  <c r="W1308" i="1"/>
  <c r="S1308" i="1"/>
  <c r="Q1308" i="1"/>
  <c r="N1308" i="1"/>
  <c r="L1308" i="1"/>
  <c r="K1308" i="1"/>
  <c r="AB1308" i="1"/>
  <c r="I1308" i="1"/>
  <c r="X1307" i="1"/>
  <c r="Z1307" i="1" s="1"/>
  <c r="W1307" i="1"/>
  <c r="S1307" i="1"/>
  <c r="Q1307" i="1"/>
  <c r="N1307" i="1"/>
  <c r="L1307" i="1"/>
  <c r="K1307" i="1"/>
  <c r="AB1307" i="1"/>
  <c r="I1307" i="1"/>
  <c r="X1306" i="1"/>
  <c r="Z1306" i="1" s="1"/>
  <c r="W1306" i="1"/>
  <c r="S1306" i="1"/>
  <c r="Q1306" i="1"/>
  <c r="N1306" i="1"/>
  <c r="L1306" i="1"/>
  <c r="K1306" i="1"/>
  <c r="AB1306" i="1"/>
  <c r="I1306" i="1"/>
  <c r="X1305" i="1"/>
  <c r="Z1305" i="1" s="1"/>
  <c r="W1305" i="1"/>
  <c r="S1305" i="1"/>
  <c r="Q1305" i="1"/>
  <c r="N1305" i="1"/>
  <c r="L1305" i="1"/>
  <c r="K1305" i="1"/>
  <c r="AB1305" i="1"/>
  <c r="I1305" i="1"/>
  <c r="X1304" i="1"/>
  <c r="Z1304" i="1" s="1"/>
  <c r="W1304" i="1"/>
  <c r="S1304" i="1"/>
  <c r="Q1304" i="1"/>
  <c r="N1304" i="1"/>
  <c r="L1304" i="1"/>
  <c r="K1304" i="1"/>
  <c r="AB1304" i="1"/>
  <c r="I1304" i="1"/>
  <c r="X1303" i="1"/>
  <c r="Z1303" i="1" s="1"/>
  <c r="W1303" i="1"/>
  <c r="S1303" i="1"/>
  <c r="Q1303" i="1"/>
  <c r="N1303" i="1"/>
  <c r="L1303" i="1"/>
  <c r="K1303" i="1"/>
  <c r="AB1303" i="1"/>
  <c r="I1303" i="1"/>
  <c r="X1302" i="1"/>
  <c r="Z1302" i="1" s="1"/>
  <c r="W1302" i="1"/>
  <c r="S1302" i="1"/>
  <c r="Q1302" i="1"/>
  <c r="N1302" i="1"/>
  <c r="L1302" i="1"/>
  <c r="K1302" i="1"/>
  <c r="AB1302" i="1"/>
  <c r="I1302" i="1"/>
  <c r="X1301" i="1"/>
  <c r="Z1301" i="1" s="1"/>
  <c r="W1301" i="1"/>
  <c r="S1301" i="1"/>
  <c r="Q1301" i="1"/>
  <c r="N1301" i="1"/>
  <c r="L1301" i="1"/>
  <c r="K1301" i="1"/>
  <c r="AB1301" i="1"/>
  <c r="I1301" i="1"/>
  <c r="X1300" i="1"/>
  <c r="Z1300" i="1" s="1"/>
  <c r="W1300" i="1"/>
  <c r="S1300" i="1"/>
  <c r="Q1300" i="1"/>
  <c r="N1300" i="1"/>
  <c r="L1300" i="1"/>
  <c r="K1300" i="1"/>
  <c r="AB1300" i="1"/>
  <c r="I1300" i="1"/>
  <c r="X1299" i="1"/>
  <c r="Z1299" i="1" s="1"/>
  <c r="W1299" i="1"/>
  <c r="S1299" i="1"/>
  <c r="Q1299" i="1"/>
  <c r="N1299" i="1"/>
  <c r="L1299" i="1"/>
  <c r="K1299" i="1"/>
  <c r="AB1299" i="1"/>
  <c r="I1299" i="1"/>
  <c r="X1298" i="1"/>
  <c r="Z1298" i="1" s="1"/>
  <c r="W1298" i="1"/>
  <c r="S1298" i="1"/>
  <c r="Q1298" i="1"/>
  <c r="N1298" i="1"/>
  <c r="L1298" i="1"/>
  <c r="K1298" i="1"/>
  <c r="AB1298" i="1"/>
  <c r="I1298" i="1"/>
  <c r="X1297" i="1"/>
  <c r="Z1297" i="1" s="1"/>
  <c r="W1297" i="1"/>
  <c r="S1297" i="1"/>
  <c r="Q1297" i="1"/>
  <c r="N1297" i="1"/>
  <c r="L1297" i="1"/>
  <c r="K1297" i="1"/>
  <c r="AB1297" i="1"/>
  <c r="I1297" i="1"/>
  <c r="X1296" i="1"/>
  <c r="Z1296" i="1" s="1"/>
  <c r="W1296" i="1"/>
  <c r="S1296" i="1"/>
  <c r="Q1296" i="1"/>
  <c r="N1296" i="1"/>
  <c r="L1296" i="1"/>
  <c r="K1296" i="1"/>
  <c r="AB1296" i="1"/>
  <c r="I1296" i="1"/>
  <c r="X1295" i="1"/>
  <c r="Z1295" i="1" s="1"/>
  <c r="W1295" i="1"/>
  <c r="S1295" i="1"/>
  <c r="Q1295" i="1"/>
  <c r="N1295" i="1"/>
  <c r="L1295" i="1"/>
  <c r="K1295" i="1"/>
  <c r="AB1295" i="1"/>
  <c r="I1295" i="1"/>
  <c r="X1294" i="1"/>
  <c r="Z1294" i="1" s="1"/>
  <c r="W1294" i="1"/>
  <c r="S1294" i="1"/>
  <c r="Q1294" i="1"/>
  <c r="N1294" i="1"/>
  <c r="L1294" i="1"/>
  <c r="K1294" i="1"/>
  <c r="AB1294" i="1"/>
  <c r="I1294" i="1"/>
  <c r="X1293" i="1"/>
  <c r="Z1293" i="1" s="1"/>
  <c r="W1293" i="1"/>
  <c r="S1293" i="1"/>
  <c r="Q1293" i="1"/>
  <c r="N1293" i="1"/>
  <c r="L1293" i="1"/>
  <c r="K1293" i="1"/>
  <c r="AB1293" i="1"/>
  <c r="I1293" i="1"/>
  <c r="X1292" i="1"/>
  <c r="Z1292" i="1" s="1"/>
  <c r="W1292" i="1"/>
  <c r="S1292" i="1"/>
  <c r="Q1292" i="1"/>
  <c r="N1292" i="1"/>
  <c r="L1292" i="1"/>
  <c r="K1292" i="1"/>
  <c r="AB1292" i="1"/>
  <c r="I1292" i="1"/>
  <c r="X1291" i="1"/>
  <c r="Z1291" i="1" s="1"/>
  <c r="W1291" i="1"/>
  <c r="S1291" i="1"/>
  <c r="Q1291" i="1"/>
  <c r="N1291" i="1"/>
  <c r="L1291" i="1"/>
  <c r="K1291" i="1"/>
  <c r="AB1291" i="1"/>
  <c r="I1291" i="1"/>
  <c r="X1290" i="1"/>
  <c r="Z1290" i="1" s="1"/>
  <c r="W1290" i="1"/>
  <c r="S1290" i="1"/>
  <c r="Q1290" i="1"/>
  <c r="N1290" i="1"/>
  <c r="L1290" i="1"/>
  <c r="K1290" i="1"/>
  <c r="AB1290" i="1"/>
  <c r="I1290" i="1"/>
  <c r="X1289" i="1"/>
  <c r="Z1289" i="1" s="1"/>
  <c r="W1289" i="1"/>
  <c r="S1289" i="1"/>
  <c r="Q1289" i="1"/>
  <c r="N1289" i="1"/>
  <c r="L1289" i="1"/>
  <c r="K1289" i="1"/>
  <c r="AB1289" i="1"/>
  <c r="I1289" i="1"/>
  <c r="X1288" i="1"/>
  <c r="Z1288" i="1" s="1"/>
  <c r="W1288" i="1"/>
  <c r="S1288" i="1"/>
  <c r="Q1288" i="1"/>
  <c r="N1288" i="1"/>
  <c r="L1288" i="1"/>
  <c r="K1288" i="1"/>
  <c r="AB1288" i="1"/>
  <c r="I1288" i="1"/>
  <c r="X1287" i="1"/>
  <c r="Z1287" i="1" s="1"/>
  <c r="W1287" i="1"/>
  <c r="S1287" i="1"/>
  <c r="Q1287" i="1"/>
  <c r="N1287" i="1"/>
  <c r="L1287" i="1"/>
  <c r="K1287" i="1"/>
  <c r="AB1287" i="1"/>
  <c r="I1287" i="1"/>
  <c r="X1286" i="1"/>
  <c r="Z1286" i="1" s="1"/>
  <c r="W1286" i="1"/>
  <c r="S1286" i="1"/>
  <c r="Q1286" i="1"/>
  <c r="N1286" i="1"/>
  <c r="L1286" i="1"/>
  <c r="K1286" i="1"/>
  <c r="AB1286" i="1"/>
  <c r="I1286" i="1"/>
  <c r="X1285" i="1"/>
  <c r="Z1285" i="1" s="1"/>
  <c r="W1285" i="1"/>
  <c r="S1285" i="1"/>
  <c r="Q1285" i="1"/>
  <c r="N1285" i="1"/>
  <c r="L1285" i="1"/>
  <c r="K1285" i="1"/>
  <c r="AB1285" i="1"/>
  <c r="I1285" i="1"/>
  <c r="X1284" i="1"/>
  <c r="Z1284" i="1" s="1"/>
  <c r="W1284" i="1"/>
  <c r="S1284" i="1"/>
  <c r="Q1284" i="1"/>
  <c r="N1284" i="1"/>
  <c r="L1284" i="1"/>
  <c r="K1284" i="1"/>
  <c r="AB1284" i="1"/>
  <c r="I1284" i="1"/>
  <c r="X1283" i="1"/>
  <c r="Z1283" i="1" s="1"/>
  <c r="W1283" i="1"/>
  <c r="S1283" i="1"/>
  <c r="Q1283" i="1"/>
  <c r="N1283" i="1"/>
  <c r="L1283" i="1"/>
  <c r="K1283" i="1"/>
  <c r="AB1283" i="1"/>
  <c r="I1283" i="1"/>
  <c r="X1282" i="1"/>
  <c r="Z1282" i="1" s="1"/>
  <c r="W1282" i="1"/>
  <c r="S1282" i="1"/>
  <c r="Q1282" i="1"/>
  <c r="N1282" i="1"/>
  <c r="L1282" i="1"/>
  <c r="K1282" i="1"/>
  <c r="AB1282" i="1"/>
  <c r="I1282" i="1"/>
  <c r="X1281" i="1"/>
  <c r="Z1281" i="1" s="1"/>
  <c r="W1281" i="1"/>
  <c r="S1281" i="1"/>
  <c r="Q1281" i="1"/>
  <c r="N1281" i="1"/>
  <c r="L1281" i="1"/>
  <c r="K1281" i="1"/>
  <c r="AB1281" i="1"/>
  <c r="I1281" i="1"/>
  <c r="X1280" i="1"/>
  <c r="Z1280" i="1" s="1"/>
  <c r="W1280" i="1"/>
  <c r="S1280" i="1"/>
  <c r="Q1280" i="1"/>
  <c r="N1280" i="1"/>
  <c r="L1280" i="1"/>
  <c r="K1280" i="1"/>
  <c r="AB1280" i="1"/>
  <c r="I1280" i="1"/>
  <c r="X1279" i="1"/>
  <c r="Z1279" i="1" s="1"/>
  <c r="W1279" i="1"/>
  <c r="S1279" i="1"/>
  <c r="Q1279" i="1"/>
  <c r="N1279" i="1"/>
  <c r="L1279" i="1"/>
  <c r="K1279" i="1"/>
  <c r="AB1279" i="1"/>
  <c r="I1279" i="1"/>
  <c r="X1278" i="1"/>
  <c r="Z1278" i="1" s="1"/>
  <c r="W1278" i="1"/>
  <c r="S1278" i="1"/>
  <c r="Q1278" i="1"/>
  <c r="N1278" i="1"/>
  <c r="L1278" i="1"/>
  <c r="K1278" i="1"/>
  <c r="AB1278" i="1"/>
  <c r="I1278" i="1"/>
  <c r="X1277" i="1"/>
  <c r="Z1277" i="1" s="1"/>
  <c r="W1277" i="1"/>
  <c r="S1277" i="1"/>
  <c r="Q1277" i="1"/>
  <c r="N1277" i="1"/>
  <c r="L1277" i="1"/>
  <c r="K1277" i="1"/>
  <c r="AB1277" i="1"/>
  <c r="I1277" i="1"/>
  <c r="X1276" i="1"/>
  <c r="Z1276" i="1" s="1"/>
  <c r="W1276" i="1"/>
  <c r="S1276" i="1"/>
  <c r="Q1276" i="1"/>
  <c r="N1276" i="1"/>
  <c r="L1276" i="1"/>
  <c r="K1276" i="1"/>
  <c r="AB1276" i="1"/>
  <c r="I1276" i="1"/>
  <c r="X1275" i="1"/>
  <c r="Z1275" i="1" s="1"/>
  <c r="W1275" i="1"/>
  <c r="S1275" i="1"/>
  <c r="Q1275" i="1"/>
  <c r="N1275" i="1"/>
  <c r="L1275" i="1"/>
  <c r="K1275" i="1"/>
  <c r="AB1275" i="1"/>
  <c r="I1275" i="1"/>
  <c r="X1274" i="1"/>
  <c r="Z1274" i="1" s="1"/>
  <c r="W1274" i="1"/>
  <c r="S1274" i="1"/>
  <c r="Q1274" i="1"/>
  <c r="N1274" i="1"/>
  <c r="L1274" i="1"/>
  <c r="K1274" i="1"/>
  <c r="AB1274" i="1"/>
  <c r="I1274" i="1"/>
  <c r="X1273" i="1"/>
  <c r="Z1273" i="1" s="1"/>
  <c r="W1273" i="1"/>
  <c r="S1273" i="1"/>
  <c r="Q1273" i="1"/>
  <c r="N1273" i="1"/>
  <c r="L1273" i="1"/>
  <c r="K1273" i="1"/>
  <c r="AB1273" i="1"/>
  <c r="I1273" i="1"/>
  <c r="X1272" i="1"/>
  <c r="Z1272" i="1" s="1"/>
  <c r="W1272" i="1"/>
  <c r="S1272" i="1"/>
  <c r="Q1272" i="1"/>
  <c r="N1272" i="1"/>
  <c r="L1272" i="1"/>
  <c r="K1272" i="1"/>
  <c r="AB1272" i="1"/>
  <c r="I1272" i="1"/>
  <c r="X1271" i="1"/>
  <c r="Z1271" i="1" s="1"/>
  <c r="W1271" i="1"/>
  <c r="S1271" i="1"/>
  <c r="Q1271" i="1"/>
  <c r="N1271" i="1"/>
  <c r="L1271" i="1"/>
  <c r="K1271" i="1"/>
  <c r="AB1271" i="1"/>
  <c r="I1271" i="1"/>
  <c r="X1270" i="1"/>
  <c r="Z1270" i="1" s="1"/>
  <c r="W1270" i="1"/>
  <c r="S1270" i="1"/>
  <c r="Q1270" i="1"/>
  <c r="N1270" i="1"/>
  <c r="L1270" i="1"/>
  <c r="K1270" i="1"/>
  <c r="AB1270" i="1"/>
  <c r="I1270" i="1"/>
  <c r="X1269" i="1"/>
  <c r="Z1269" i="1" s="1"/>
  <c r="W1269" i="1"/>
  <c r="S1269" i="1"/>
  <c r="Q1269" i="1"/>
  <c r="N1269" i="1"/>
  <c r="L1269" i="1"/>
  <c r="K1269" i="1"/>
  <c r="AB1269" i="1"/>
  <c r="I1269" i="1"/>
  <c r="X1268" i="1"/>
  <c r="Z1268" i="1" s="1"/>
  <c r="W1268" i="1"/>
  <c r="S1268" i="1"/>
  <c r="Q1268" i="1"/>
  <c r="N1268" i="1"/>
  <c r="L1268" i="1"/>
  <c r="K1268" i="1"/>
  <c r="AB1268" i="1"/>
  <c r="I1268" i="1"/>
  <c r="X1267" i="1"/>
  <c r="Z1267" i="1" s="1"/>
  <c r="W1267" i="1"/>
  <c r="S1267" i="1"/>
  <c r="Q1267" i="1"/>
  <c r="N1267" i="1"/>
  <c r="L1267" i="1"/>
  <c r="K1267" i="1"/>
  <c r="AB1267" i="1"/>
  <c r="I1267" i="1"/>
  <c r="X1266" i="1"/>
  <c r="Z1266" i="1" s="1"/>
  <c r="W1266" i="1"/>
  <c r="S1266" i="1"/>
  <c r="Q1266" i="1"/>
  <c r="N1266" i="1"/>
  <c r="L1266" i="1"/>
  <c r="K1266" i="1"/>
  <c r="AB1266" i="1"/>
  <c r="I1266" i="1"/>
  <c r="X1265" i="1"/>
  <c r="Z1265" i="1" s="1"/>
  <c r="W1265" i="1"/>
  <c r="S1265" i="1"/>
  <c r="Q1265" i="1"/>
  <c r="N1265" i="1"/>
  <c r="L1265" i="1"/>
  <c r="K1265" i="1"/>
  <c r="AB1265" i="1"/>
  <c r="I1265" i="1"/>
  <c r="X1264" i="1"/>
  <c r="Z1264" i="1" s="1"/>
  <c r="W1264" i="1"/>
  <c r="S1264" i="1"/>
  <c r="Q1264" i="1"/>
  <c r="N1264" i="1"/>
  <c r="L1264" i="1"/>
  <c r="K1264" i="1"/>
  <c r="AB1264" i="1"/>
  <c r="I1264" i="1"/>
  <c r="X1263" i="1"/>
  <c r="Z1263" i="1" s="1"/>
  <c r="W1263" i="1"/>
  <c r="S1263" i="1"/>
  <c r="Q1263" i="1"/>
  <c r="N1263" i="1"/>
  <c r="L1263" i="1"/>
  <c r="K1263" i="1"/>
  <c r="AB1263" i="1"/>
  <c r="I1263" i="1"/>
  <c r="X1262" i="1"/>
  <c r="Z1262" i="1" s="1"/>
  <c r="W1262" i="1"/>
  <c r="S1262" i="1"/>
  <c r="Q1262" i="1"/>
  <c r="N1262" i="1"/>
  <c r="L1262" i="1"/>
  <c r="K1262" i="1"/>
  <c r="AB1262" i="1"/>
  <c r="I1262" i="1"/>
  <c r="X1261" i="1"/>
  <c r="Z1261" i="1" s="1"/>
  <c r="W1261" i="1"/>
  <c r="S1261" i="1"/>
  <c r="Q1261" i="1"/>
  <c r="N1261" i="1"/>
  <c r="L1261" i="1"/>
  <c r="K1261" i="1"/>
  <c r="AB1261" i="1"/>
  <c r="I1261" i="1"/>
  <c r="X1260" i="1"/>
  <c r="Z1260" i="1" s="1"/>
  <c r="W1260" i="1"/>
  <c r="S1260" i="1"/>
  <c r="Q1260" i="1"/>
  <c r="N1260" i="1"/>
  <c r="L1260" i="1"/>
  <c r="K1260" i="1"/>
  <c r="AB1260" i="1"/>
  <c r="I1260" i="1"/>
  <c r="X1259" i="1"/>
  <c r="Z1259" i="1" s="1"/>
  <c r="W1259" i="1"/>
  <c r="S1259" i="1"/>
  <c r="Q1259" i="1"/>
  <c r="N1259" i="1"/>
  <c r="L1259" i="1"/>
  <c r="K1259" i="1"/>
  <c r="AB1259" i="1"/>
  <c r="I1259" i="1"/>
  <c r="X1258" i="1"/>
  <c r="Z1258" i="1" s="1"/>
  <c r="W1258" i="1"/>
  <c r="S1258" i="1"/>
  <c r="Q1258" i="1"/>
  <c r="N1258" i="1"/>
  <c r="L1258" i="1"/>
  <c r="K1258" i="1"/>
  <c r="AB1258" i="1"/>
  <c r="I1258" i="1"/>
  <c r="X1257" i="1"/>
  <c r="Z1257" i="1" s="1"/>
  <c r="W1257" i="1"/>
  <c r="S1257" i="1"/>
  <c r="Q1257" i="1"/>
  <c r="N1257" i="1"/>
  <c r="L1257" i="1"/>
  <c r="K1257" i="1"/>
  <c r="AB1257" i="1"/>
  <c r="I1257" i="1"/>
  <c r="X1256" i="1"/>
  <c r="Z1256" i="1" s="1"/>
  <c r="W1256" i="1"/>
  <c r="S1256" i="1"/>
  <c r="Q1256" i="1"/>
  <c r="N1256" i="1"/>
  <c r="L1256" i="1"/>
  <c r="K1256" i="1"/>
  <c r="AB1256" i="1"/>
  <c r="I1256" i="1"/>
  <c r="X1255" i="1"/>
  <c r="Z1255" i="1" s="1"/>
  <c r="W1255" i="1"/>
  <c r="S1255" i="1"/>
  <c r="Q1255" i="1"/>
  <c r="N1255" i="1"/>
  <c r="L1255" i="1"/>
  <c r="K1255" i="1"/>
  <c r="AB1255" i="1"/>
  <c r="I1255" i="1"/>
  <c r="X1254" i="1"/>
  <c r="Z1254" i="1" s="1"/>
  <c r="W1254" i="1"/>
  <c r="S1254" i="1"/>
  <c r="Q1254" i="1"/>
  <c r="N1254" i="1"/>
  <c r="L1254" i="1"/>
  <c r="K1254" i="1"/>
  <c r="AB1254" i="1"/>
  <c r="I1254" i="1"/>
  <c r="X1253" i="1"/>
  <c r="Z1253" i="1" s="1"/>
  <c r="W1253" i="1"/>
  <c r="S1253" i="1"/>
  <c r="Q1253" i="1"/>
  <c r="N1253" i="1"/>
  <c r="L1253" i="1"/>
  <c r="K1253" i="1"/>
  <c r="AB1253" i="1"/>
  <c r="I1253" i="1"/>
  <c r="X1252" i="1"/>
  <c r="Z1252" i="1" s="1"/>
  <c r="W1252" i="1"/>
  <c r="S1252" i="1"/>
  <c r="Q1252" i="1"/>
  <c r="N1252" i="1"/>
  <c r="L1252" i="1"/>
  <c r="K1252" i="1"/>
  <c r="AB1252" i="1"/>
  <c r="I1252" i="1"/>
  <c r="X1251" i="1"/>
  <c r="Z1251" i="1" s="1"/>
  <c r="W1251" i="1"/>
  <c r="S1251" i="1"/>
  <c r="Q1251" i="1"/>
  <c r="N1251" i="1"/>
  <c r="L1251" i="1"/>
  <c r="K1251" i="1"/>
  <c r="AB1251" i="1"/>
  <c r="I1251" i="1"/>
  <c r="X1250" i="1"/>
  <c r="Z1250" i="1" s="1"/>
  <c r="W1250" i="1"/>
  <c r="S1250" i="1"/>
  <c r="Q1250" i="1"/>
  <c r="N1250" i="1"/>
  <c r="L1250" i="1"/>
  <c r="K1250" i="1"/>
  <c r="AB1250" i="1"/>
  <c r="I1250" i="1"/>
  <c r="X1249" i="1"/>
  <c r="Z1249" i="1" s="1"/>
  <c r="W1249" i="1"/>
  <c r="S1249" i="1"/>
  <c r="Q1249" i="1"/>
  <c r="N1249" i="1"/>
  <c r="L1249" i="1"/>
  <c r="K1249" i="1"/>
  <c r="AB1249" i="1"/>
  <c r="I1249" i="1"/>
  <c r="X1248" i="1"/>
  <c r="Z1248" i="1" s="1"/>
  <c r="W1248" i="1"/>
  <c r="S1248" i="1"/>
  <c r="Q1248" i="1"/>
  <c r="N1248" i="1"/>
  <c r="L1248" i="1"/>
  <c r="K1248" i="1"/>
  <c r="AB1248" i="1"/>
  <c r="I1248" i="1"/>
  <c r="X1247" i="1"/>
  <c r="Z1247" i="1" s="1"/>
  <c r="W1247" i="1"/>
  <c r="S1247" i="1"/>
  <c r="Q1247" i="1"/>
  <c r="N1247" i="1"/>
  <c r="L1247" i="1"/>
  <c r="K1247" i="1"/>
  <c r="AB1247" i="1"/>
  <c r="I1247" i="1"/>
  <c r="X1246" i="1"/>
  <c r="Z1246" i="1" s="1"/>
  <c r="W1246" i="1"/>
  <c r="S1246" i="1"/>
  <c r="Q1246" i="1"/>
  <c r="N1246" i="1"/>
  <c r="L1246" i="1"/>
  <c r="K1246" i="1"/>
  <c r="AB1246" i="1"/>
  <c r="I1246" i="1"/>
  <c r="X1245" i="1"/>
  <c r="Z1245" i="1" s="1"/>
  <c r="W1245" i="1"/>
  <c r="S1245" i="1"/>
  <c r="Q1245" i="1"/>
  <c r="N1245" i="1"/>
  <c r="L1245" i="1"/>
  <c r="K1245" i="1"/>
  <c r="AB1245" i="1"/>
  <c r="I1245" i="1"/>
  <c r="X1244" i="1"/>
  <c r="Z1244" i="1" s="1"/>
  <c r="W1244" i="1"/>
  <c r="S1244" i="1"/>
  <c r="Q1244" i="1"/>
  <c r="N1244" i="1"/>
  <c r="L1244" i="1"/>
  <c r="K1244" i="1"/>
  <c r="AB1244" i="1"/>
  <c r="I1244" i="1"/>
  <c r="X1243" i="1"/>
  <c r="Z1243" i="1" s="1"/>
  <c r="W1243" i="1"/>
  <c r="S1243" i="1"/>
  <c r="Q1243" i="1"/>
  <c r="N1243" i="1"/>
  <c r="L1243" i="1"/>
  <c r="K1243" i="1"/>
  <c r="AB1243" i="1"/>
  <c r="I1243" i="1"/>
  <c r="X1242" i="1"/>
  <c r="Z1242" i="1" s="1"/>
  <c r="W1242" i="1"/>
  <c r="S1242" i="1"/>
  <c r="Q1242" i="1"/>
  <c r="N1242" i="1"/>
  <c r="L1242" i="1"/>
  <c r="K1242" i="1"/>
  <c r="AB1242" i="1"/>
  <c r="I1242" i="1"/>
  <c r="X1241" i="1"/>
  <c r="Z1241" i="1" s="1"/>
  <c r="W1241" i="1"/>
  <c r="S1241" i="1"/>
  <c r="Q1241" i="1"/>
  <c r="N1241" i="1"/>
  <c r="L1241" i="1"/>
  <c r="K1241" i="1"/>
  <c r="AB1241" i="1"/>
  <c r="I1241" i="1"/>
  <c r="X1240" i="1"/>
  <c r="Z1240" i="1" s="1"/>
  <c r="W1240" i="1"/>
  <c r="S1240" i="1"/>
  <c r="Q1240" i="1"/>
  <c r="N1240" i="1"/>
  <c r="L1240" i="1"/>
  <c r="K1240" i="1"/>
  <c r="AB1240" i="1"/>
  <c r="I1240" i="1"/>
  <c r="X1239" i="1"/>
  <c r="Z1239" i="1" s="1"/>
  <c r="W1239" i="1"/>
  <c r="S1239" i="1"/>
  <c r="Q1239" i="1"/>
  <c r="N1239" i="1"/>
  <c r="L1239" i="1"/>
  <c r="K1239" i="1"/>
  <c r="AB1239" i="1"/>
  <c r="I1239" i="1"/>
  <c r="X1238" i="1"/>
  <c r="Z1238" i="1" s="1"/>
  <c r="W1238" i="1"/>
  <c r="S1238" i="1"/>
  <c r="Q1238" i="1"/>
  <c r="N1238" i="1"/>
  <c r="L1238" i="1"/>
  <c r="K1238" i="1"/>
  <c r="AB1238" i="1"/>
  <c r="I1238" i="1"/>
  <c r="X1237" i="1"/>
  <c r="Z1237" i="1" s="1"/>
  <c r="W1237" i="1"/>
  <c r="S1237" i="1"/>
  <c r="Q1237" i="1"/>
  <c r="N1237" i="1"/>
  <c r="L1237" i="1"/>
  <c r="K1237" i="1"/>
  <c r="AB1237" i="1"/>
  <c r="I1237" i="1"/>
  <c r="X1236" i="1"/>
  <c r="Z1236" i="1" s="1"/>
  <c r="W1236" i="1"/>
  <c r="S1236" i="1"/>
  <c r="Q1236" i="1"/>
  <c r="N1236" i="1"/>
  <c r="L1236" i="1"/>
  <c r="K1236" i="1"/>
  <c r="AB1236" i="1"/>
  <c r="I1236" i="1"/>
  <c r="X1235" i="1"/>
  <c r="Z1235" i="1" s="1"/>
  <c r="W1235" i="1"/>
  <c r="S1235" i="1"/>
  <c r="Q1235" i="1"/>
  <c r="N1235" i="1"/>
  <c r="L1235" i="1"/>
  <c r="K1235" i="1"/>
  <c r="AB1235" i="1"/>
  <c r="I1235" i="1"/>
  <c r="X1234" i="1"/>
  <c r="Z1234" i="1" s="1"/>
  <c r="W1234" i="1"/>
  <c r="S1234" i="1"/>
  <c r="Q1234" i="1"/>
  <c r="N1234" i="1"/>
  <c r="L1234" i="1"/>
  <c r="K1234" i="1"/>
  <c r="AB1234" i="1"/>
  <c r="I1234" i="1"/>
  <c r="X1233" i="1"/>
  <c r="Z1233" i="1" s="1"/>
  <c r="W1233" i="1"/>
  <c r="S1233" i="1"/>
  <c r="Q1233" i="1"/>
  <c r="N1233" i="1"/>
  <c r="L1233" i="1"/>
  <c r="K1233" i="1"/>
  <c r="AB1233" i="1"/>
  <c r="I1233" i="1"/>
  <c r="X1232" i="1"/>
  <c r="Z1232" i="1" s="1"/>
  <c r="W1232" i="1"/>
  <c r="S1232" i="1"/>
  <c r="Q1232" i="1"/>
  <c r="N1232" i="1"/>
  <c r="L1232" i="1"/>
  <c r="K1232" i="1"/>
  <c r="AB1232" i="1"/>
  <c r="I1232" i="1"/>
  <c r="X1231" i="1"/>
  <c r="Z1231" i="1" s="1"/>
  <c r="W1231" i="1"/>
  <c r="S1231" i="1"/>
  <c r="Q1231" i="1"/>
  <c r="N1231" i="1"/>
  <c r="L1231" i="1"/>
  <c r="K1231" i="1"/>
  <c r="AB1231" i="1"/>
  <c r="I1231" i="1"/>
  <c r="X1230" i="1"/>
  <c r="Z1230" i="1" s="1"/>
  <c r="W1230" i="1"/>
  <c r="S1230" i="1"/>
  <c r="Q1230" i="1"/>
  <c r="N1230" i="1"/>
  <c r="L1230" i="1"/>
  <c r="K1230" i="1"/>
  <c r="AB1230" i="1"/>
  <c r="I1230" i="1"/>
  <c r="X1229" i="1"/>
  <c r="Z1229" i="1" s="1"/>
  <c r="W1229" i="1"/>
  <c r="S1229" i="1"/>
  <c r="Q1229" i="1"/>
  <c r="N1229" i="1"/>
  <c r="L1229" i="1"/>
  <c r="K1229" i="1"/>
  <c r="AB1229" i="1"/>
  <c r="I1229" i="1"/>
  <c r="X1228" i="1"/>
  <c r="Z1228" i="1" s="1"/>
  <c r="W1228" i="1"/>
  <c r="S1228" i="1"/>
  <c r="Q1228" i="1"/>
  <c r="N1228" i="1"/>
  <c r="L1228" i="1"/>
  <c r="K1228" i="1"/>
  <c r="AB1228" i="1"/>
  <c r="I1228" i="1"/>
  <c r="X1227" i="1"/>
  <c r="Z1227" i="1" s="1"/>
  <c r="W1227" i="1"/>
  <c r="S1227" i="1"/>
  <c r="Q1227" i="1"/>
  <c r="N1227" i="1"/>
  <c r="L1227" i="1"/>
  <c r="K1227" i="1"/>
  <c r="AB1227" i="1"/>
  <c r="I1227" i="1"/>
  <c r="X1226" i="1"/>
  <c r="Z1226" i="1" s="1"/>
  <c r="W1226" i="1"/>
  <c r="S1226" i="1"/>
  <c r="Q1226" i="1"/>
  <c r="N1226" i="1"/>
  <c r="L1226" i="1"/>
  <c r="K1226" i="1"/>
  <c r="AB1226" i="1"/>
  <c r="I1226" i="1"/>
  <c r="X1225" i="1"/>
  <c r="Z1225" i="1" s="1"/>
  <c r="W1225" i="1"/>
  <c r="S1225" i="1"/>
  <c r="Q1225" i="1"/>
  <c r="N1225" i="1"/>
  <c r="L1225" i="1"/>
  <c r="K1225" i="1"/>
  <c r="AB1225" i="1"/>
  <c r="I1225" i="1"/>
  <c r="X1224" i="1"/>
  <c r="Z1224" i="1" s="1"/>
  <c r="W1224" i="1"/>
  <c r="S1224" i="1"/>
  <c r="Q1224" i="1"/>
  <c r="N1224" i="1"/>
  <c r="L1224" i="1"/>
  <c r="K1224" i="1"/>
  <c r="AB1224" i="1"/>
  <c r="I1224" i="1"/>
  <c r="X1223" i="1"/>
  <c r="Z1223" i="1" s="1"/>
  <c r="W1223" i="1"/>
  <c r="S1223" i="1"/>
  <c r="Q1223" i="1"/>
  <c r="N1223" i="1"/>
  <c r="L1223" i="1"/>
  <c r="K1223" i="1"/>
  <c r="AB1223" i="1"/>
  <c r="I1223" i="1"/>
  <c r="X1222" i="1"/>
  <c r="Z1222" i="1" s="1"/>
  <c r="W1222" i="1"/>
  <c r="S1222" i="1"/>
  <c r="Q1222" i="1"/>
  <c r="N1222" i="1"/>
  <c r="L1222" i="1"/>
  <c r="K1222" i="1"/>
  <c r="AB1222" i="1"/>
  <c r="I1222" i="1"/>
  <c r="X1221" i="1"/>
  <c r="Z1221" i="1" s="1"/>
  <c r="W1221" i="1"/>
  <c r="S1221" i="1"/>
  <c r="Q1221" i="1"/>
  <c r="N1221" i="1"/>
  <c r="L1221" i="1"/>
  <c r="K1221" i="1"/>
  <c r="AB1221" i="1"/>
  <c r="I1221" i="1"/>
  <c r="X1220" i="1"/>
  <c r="Z1220" i="1" s="1"/>
  <c r="W1220" i="1"/>
  <c r="S1220" i="1"/>
  <c r="Q1220" i="1"/>
  <c r="N1220" i="1"/>
  <c r="L1220" i="1"/>
  <c r="K1220" i="1"/>
  <c r="AB1220" i="1"/>
  <c r="I1220" i="1"/>
  <c r="X1219" i="1"/>
  <c r="Z1219" i="1" s="1"/>
  <c r="W1219" i="1"/>
  <c r="S1219" i="1"/>
  <c r="Q1219" i="1"/>
  <c r="N1219" i="1"/>
  <c r="L1219" i="1"/>
  <c r="K1219" i="1"/>
  <c r="AB1219" i="1"/>
  <c r="I1219" i="1"/>
  <c r="X1218" i="1"/>
  <c r="Z1218" i="1" s="1"/>
  <c r="W1218" i="1"/>
  <c r="S1218" i="1"/>
  <c r="Q1218" i="1"/>
  <c r="N1218" i="1"/>
  <c r="L1218" i="1"/>
  <c r="K1218" i="1"/>
  <c r="AB1218" i="1"/>
  <c r="I1218" i="1"/>
  <c r="X1217" i="1"/>
  <c r="Z1217" i="1" s="1"/>
  <c r="W1217" i="1"/>
  <c r="S1217" i="1"/>
  <c r="Q1217" i="1"/>
  <c r="N1217" i="1"/>
  <c r="L1217" i="1"/>
  <c r="K1217" i="1"/>
  <c r="AB1217" i="1"/>
  <c r="I1217" i="1"/>
  <c r="X1216" i="1"/>
  <c r="Z1216" i="1" s="1"/>
  <c r="W1216" i="1"/>
  <c r="S1216" i="1"/>
  <c r="Q1216" i="1"/>
  <c r="N1216" i="1"/>
  <c r="L1216" i="1"/>
  <c r="K1216" i="1"/>
  <c r="AB1216" i="1"/>
  <c r="I1216" i="1"/>
  <c r="X1215" i="1"/>
  <c r="Z1215" i="1" s="1"/>
  <c r="W1215" i="1"/>
  <c r="S1215" i="1"/>
  <c r="Q1215" i="1"/>
  <c r="N1215" i="1"/>
  <c r="L1215" i="1"/>
  <c r="K1215" i="1"/>
  <c r="AB1215" i="1"/>
  <c r="I1215" i="1"/>
  <c r="X1214" i="1"/>
  <c r="Z1214" i="1" s="1"/>
  <c r="W1214" i="1"/>
  <c r="S1214" i="1"/>
  <c r="Q1214" i="1"/>
  <c r="N1214" i="1"/>
  <c r="L1214" i="1"/>
  <c r="K1214" i="1"/>
  <c r="AB1214" i="1"/>
  <c r="I1214" i="1"/>
  <c r="X1213" i="1"/>
  <c r="Z1213" i="1" s="1"/>
  <c r="W1213" i="1"/>
  <c r="S1213" i="1"/>
  <c r="Q1213" i="1"/>
  <c r="N1213" i="1"/>
  <c r="L1213" i="1"/>
  <c r="K1213" i="1"/>
  <c r="AB1213" i="1"/>
  <c r="I1213" i="1"/>
  <c r="X1212" i="1"/>
  <c r="Z1212" i="1" s="1"/>
  <c r="W1212" i="1"/>
  <c r="S1212" i="1"/>
  <c r="Q1212" i="1"/>
  <c r="N1212" i="1"/>
  <c r="L1212" i="1"/>
  <c r="K1212" i="1"/>
  <c r="AB1212" i="1"/>
  <c r="I1212" i="1"/>
  <c r="X1211" i="1"/>
  <c r="Z1211" i="1" s="1"/>
  <c r="W1211" i="1"/>
  <c r="S1211" i="1"/>
  <c r="Q1211" i="1"/>
  <c r="N1211" i="1"/>
  <c r="L1211" i="1"/>
  <c r="K1211" i="1"/>
  <c r="AB1211" i="1"/>
  <c r="I1211" i="1"/>
  <c r="X1210" i="1"/>
  <c r="Z1210" i="1" s="1"/>
  <c r="W1210" i="1"/>
  <c r="S1210" i="1"/>
  <c r="Q1210" i="1"/>
  <c r="N1210" i="1"/>
  <c r="L1210" i="1"/>
  <c r="K1210" i="1"/>
  <c r="AB1210" i="1"/>
  <c r="I1210" i="1"/>
  <c r="X1209" i="1"/>
  <c r="Z1209" i="1" s="1"/>
  <c r="W1209" i="1"/>
  <c r="S1209" i="1"/>
  <c r="Q1209" i="1"/>
  <c r="N1209" i="1"/>
  <c r="L1209" i="1"/>
  <c r="K1209" i="1"/>
  <c r="AB1209" i="1"/>
  <c r="I1209" i="1"/>
  <c r="X1208" i="1"/>
  <c r="Z1208" i="1" s="1"/>
  <c r="W1208" i="1"/>
  <c r="S1208" i="1"/>
  <c r="Q1208" i="1"/>
  <c r="N1208" i="1"/>
  <c r="L1208" i="1"/>
  <c r="K1208" i="1"/>
  <c r="AB1208" i="1"/>
  <c r="I1208" i="1"/>
  <c r="X1207" i="1"/>
  <c r="Z1207" i="1" s="1"/>
  <c r="W1207" i="1"/>
  <c r="S1207" i="1"/>
  <c r="Q1207" i="1"/>
  <c r="N1207" i="1"/>
  <c r="L1207" i="1"/>
  <c r="K1207" i="1"/>
  <c r="AB1207" i="1"/>
  <c r="I1207" i="1"/>
  <c r="X1206" i="1"/>
  <c r="Z1206" i="1" s="1"/>
  <c r="W1206" i="1"/>
  <c r="S1206" i="1"/>
  <c r="Q1206" i="1"/>
  <c r="N1206" i="1"/>
  <c r="L1206" i="1"/>
  <c r="K1206" i="1"/>
  <c r="AB1206" i="1"/>
  <c r="I1206" i="1"/>
  <c r="X1205" i="1"/>
  <c r="Z1205" i="1" s="1"/>
  <c r="W1205" i="1"/>
  <c r="S1205" i="1"/>
  <c r="Q1205" i="1"/>
  <c r="N1205" i="1"/>
  <c r="L1205" i="1"/>
  <c r="K1205" i="1"/>
  <c r="AB1205" i="1"/>
  <c r="I1205" i="1"/>
  <c r="X1204" i="1"/>
  <c r="Z1204" i="1" s="1"/>
  <c r="W1204" i="1"/>
  <c r="S1204" i="1"/>
  <c r="Q1204" i="1"/>
  <c r="N1204" i="1"/>
  <c r="L1204" i="1"/>
  <c r="K1204" i="1"/>
  <c r="AB1204" i="1"/>
  <c r="I1204" i="1"/>
  <c r="X1203" i="1"/>
  <c r="Z1203" i="1" s="1"/>
  <c r="W1203" i="1"/>
  <c r="S1203" i="1"/>
  <c r="Q1203" i="1"/>
  <c r="N1203" i="1"/>
  <c r="L1203" i="1"/>
  <c r="K1203" i="1"/>
  <c r="AB1203" i="1"/>
  <c r="I1203" i="1"/>
  <c r="X1202" i="1"/>
  <c r="Z1202" i="1" s="1"/>
  <c r="W1202" i="1"/>
  <c r="S1202" i="1"/>
  <c r="Q1202" i="1"/>
  <c r="N1202" i="1"/>
  <c r="L1202" i="1"/>
  <c r="K1202" i="1"/>
  <c r="AB1202" i="1"/>
  <c r="I1202" i="1"/>
  <c r="X1201" i="1"/>
  <c r="Z1201" i="1" s="1"/>
  <c r="W1201" i="1"/>
  <c r="S1201" i="1"/>
  <c r="Q1201" i="1"/>
  <c r="N1201" i="1"/>
  <c r="L1201" i="1"/>
  <c r="K1201" i="1"/>
  <c r="AB1201" i="1"/>
  <c r="I1201" i="1"/>
  <c r="X1200" i="1"/>
  <c r="Z1200" i="1" s="1"/>
  <c r="W1200" i="1"/>
  <c r="S1200" i="1"/>
  <c r="Q1200" i="1"/>
  <c r="N1200" i="1"/>
  <c r="L1200" i="1"/>
  <c r="K1200" i="1"/>
  <c r="AB1200" i="1"/>
  <c r="I1200" i="1"/>
  <c r="X1199" i="1"/>
  <c r="Z1199" i="1" s="1"/>
  <c r="W1199" i="1"/>
  <c r="S1199" i="1"/>
  <c r="Q1199" i="1"/>
  <c r="N1199" i="1"/>
  <c r="L1199" i="1"/>
  <c r="K1199" i="1"/>
  <c r="AB1199" i="1"/>
  <c r="I1199" i="1"/>
  <c r="X1198" i="1"/>
  <c r="Z1198" i="1" s="1"/>
  <c r="W1198" i="1"/>
  <c r="S1198" i="1"/>
  <c r="Q1198" i="1"/>
  <c r="N1198" i="1"/>
  <c r="L1198" i="1"/>
  <c r="K1198" i="1"/>
  <c r="AB1198" i="1"/>
  <c r="I1198" i="1"/>
  <c r="X1197" i="1"/>
  <c r="Z1197" i="1" s="1"/>
  <c r="W1197" i="1"/>
  <c r="S1197" i="1"/>
  <c r="Q1197" i="1"/>
  <c r="N1197" i="1"/>
  <c r="L1197" i="1"/>
  <c r="K1197" i="1"/>
  <c r="AB1197" i="1"/>
  <c r="I1197" i="1"/>
  <c r="X1196" i="1"/>
  <c r="Z1196" i="1" s="1"/>
  <c r="W1196" i="1"/>
  <c r="S1196" i="1"/>
  <c r="Q1196" i="1"/>
  <c r="N1196" i="1"/>
  <c r="L1196" i="1"/>
  <c r="K1196" i="1"/>
  <c r="AB1196" i="1"/>
  <c r="I1196" i="1"/>
  <c r="X1195" i="1"/>
  <c r="Z1195" i="1" s="1"/>
  <c r="W1195" i="1"/>
  <c r="S1195" i="1"/>
  <c r="Q1195" i="1"/>
  <c r="N1195" i="1"/>
  <c r="L1195" i="1"/>
  <c r="K1195" i="1"/>
  <c r="AB1195" i="1"/>
  <c r="I1195" i="1"/>
  <c r="X1194" i="1"/>
  <c r="Z1194" i="1" s="1"/>
  <c r="W1194" i="1"/>
  <c r="S1194" i="1"/>
  <c r="Q1194" i="1"/>
  <c r="N1194" i="1"/>
  <c r="L1194" i="1"/>
  <c r="K1194" i="1"/>
  <c r="AB1194" i="1"/>
  <c r="I1194" i="1"/>
  <c r="X1193" i="1"/>
  <c r="Z1193" i="1" s="1"/>
  <c r="W1193" i="1"/>
  <c r="S1193" i="1"/>
  <c r="Q1193" i="1"/>
  <c r="N1193" i="1"/>
  <c r="L1193" i="1"/>
  <c r="K1193" i="1"/>
  <c r="AB1193" i="1"/>
  <c r="I1193" i="1"/>
  <c r="X1192" i="1"/>
  <c r="Z1192" i="1" s="1"/>
  <c r="W1192" i="1"/>
  <c r="S1192" i="1"/>
  <c r="Q1192" i="1"/>
  <c r="N1192" i="1"/>
  <c r="L1192" i="1"/>
  <c r="K1192" i="1"/>
  <c r="AB1192" i="1"/>
  <c r="I1192" i="1"/>
  <c r="X1191" i="1"/>
  <c r="Z1191" i="1" s="1"/>
  <c r="W1191" i="1"/>
  <c r="S1191" i="1"/>
  <c r="Q1191" i="1"/>
  <c r="N1191" i="1"/>
  <c r="L1191" i="1"/>
  <c r="K1191" i="1"/>
  <c r="AB1191" i="1"/>
  <c r="I1191" i="1"/>
  <c r="X1190" i="1"/>
  <c r="Z1190" i="1" s="1"/>
  <c r="W1190" i="1"/>
  <c r="S1190" i="1"/>
  <c r="Q1190" i="1"/>
  <c r="N1190" i="1"/>
  <c r="L1190" i="1"/>
  <c r="K1190" i="1"/>
  <c r="AB1190" i="1"/>
  <c r="I1190" i="1"/>
  <c r="X1189" i="1"/>
  <c r="Z1189" i="1" s="1"/>
  <c r="W1189" i="1"/>
  <c r="S1189" i="1"/>
  <c r="Q1189" i="1"/>
  <c r="N1189" i="1"/>
  <c r="L1189" i="1"/>
  <c r="K1189" i="1"/>
  <c r="AB1189" i="1"/>
  <c r="I1189" i="1"/>
  <c r="X1188" i="1"/>
  <c r="Z1188" i="1" s="1"/>
  <c r="W1188" i="1"/>
  <c r="S1188" i="1"/>
  <c r="Q1188" i="1"/>
  <c r="N1188" i="1"/>
  <c r="L1188" i="1"/>
  <c r="K1188" i="1"/>
  <c r="AB1188" i="1"/>
  <c r="I1188" i="1"/>
  <c r="X1187" i="1"/>
  <c r="Z1187" i="1" s="1"/>
  <c r="W1187" i="1"/>
  <c r="S1187" i="1"/>
  <c r="Q1187" i="1"/>
  <c r="N1187" i="1"/>
  <c r="L1187" i="1"/>
  <c r="K1187" i="1"/>
  <c r="AB1187" i="1"/>
  <c r="I1187" i="1"/>
  <c r="X1186" i="1"/>
  <c r="Z1186" i="1" s="1"/>
  <c r="W1186" i="1"/>
  <c r="S1186" i="1"/>
  <c r="Q1186" i="1"/>
  <c r="N1186" i="1"/>
  <c r="L1186" i="1"/>
  <c r="K1186" i="1"/>
  <c r="AB1186" i="1"/>
  <c r="I1186" i="1"/>
  <c r="X1185" i="1"/>
  <c r="Z1185" i="1" s="1"/>
  <c r="W1185" i="1"/>
  <c r="S1185" i="1"/>
  <c r="Q1185" i="1"/>
  <c r="N1185" i="1"/>
  <c r="L1185" i="1"/>
  <c r="K1185" i="1"/>
  <c r="AB1185" i="1"/>
  <c r="I1185" i="1"/>
  <c r="X1184" i="1"/>
  <c r="Z1184" i="1" s="1"/>
  <c r="W1184" i="1"/>
  <c r="S1184" i="1"/>
  <c r="Q1184" i="1"/>
  <c r="N1184" i="1"/>
  <c r="L1184" i="1"/>
  <c r="K1184" i="1"/>
  <c r="AB1184" i="1"/>
  <c r="I1184" i="1"/>
  <c r="X1183" i="1"/>
  <c r="Z1183" i="1" s="1"/>
  <c r="W1183" i="1"/>
  <c r="S1183" i="1"/>
  <c r="Q1183" i="1"/>
  <c r="N1183" i="1"/>
  <c r="L1183" i="1"/>
  <c r="K1183" i="1"/>
  <c r="AB1183" i="1"/>
  <c r="I1183" i="1"/>
  <c r="X1182" i="1"/>
  <c r="Z1182" i="1" s="1"/>
  <c r="W1182" i="1"/>
  <c r="S1182" i="1"/>
  <c r="Q1182" i="1"/>
  <c r="N1182" i="1"/>
  <c r="L1182" i="1"/>
  <c r="K1182" i="1"/>
  <c r="AB1182" i="1"/>
  <c r="I1182" i="1"/>
  <c r="X1181" i="1"/>
  <c r="Z1181" i="1" s="1"/>
  <c r="W1181" i="1"/>
  <c r="S1181" i="1"/>
  <c r="Q1181" i="1"/>
  <c r="N1181" i="1"/>
  <c r="L1181" i="1"/>
  <c r="K1181" i="1"/>
  <c r="AB1181" i="1"/>
  <c r="I1181" i="1"/>
  <c r="X1180" i="1"/>
  <c r="Z1180" i="1" s="1"/>
  <c r="W1180" i="1"/>
  <c r="S1180" i="1"/>
  <c r="Q1180" i="1"/>
  <c r="N1180" i="1"/>
  <c r="L1180" i="1"/>
  <c r="K1180" i="1"/>
  <c r="AB1180" i="1"/>
  <c r="I1180" i="1"/>
  <c r="X1179" i="1"/>
  <c r="Z1179" i="1" s="1"/>
  <c r="W1179" i="1"/>
  <c r="S1179" i="1"/>
  <c r="Q1179" i="1"/>
  <c r="N1179" i="1"/>
  <c r="L1179" i="1"/>
  <c r="K1179" i="1"/>
  <c r="AB1179" i="1"/>
  <c r="I1179" i="1"/>
  <c r="X1178" i="1"/>
  <c r="Z1178" i="1" s="1"/>
  <c r="W1178" i="1"/>
  <c r="S1178" i="1"/>
  <c r="Q1178" i="1"/>
  <c r="N1178" i="1"/>
  <c r="L1178" i="1"/>
  <c r="K1178" i="1"/>
  <c r="AB1178" i="1"/>
  <c r="I1178" i="1"/>
  <c r="X1177" i="1"/>
  <c r="Z1177" i="1" s="1"/>
  <c r="W1177" i="1"/>
  <c r="S1177" i="1"/>
  <c r="Q1177" i="1"/>
  <c r="N1177" i="1"/>
  <c r="L1177" i="1"/>
  <c r="K1177" i="1"/>
  <c r="AB1177" i="1"/>
  <c r="I1177" i="1"/>
  <c r="X1176" i="1"/>
  <c r="Z1176" i="1" s="1"/>
  <c r="W1176" i="1"/>
  <c r="S1176" i="1"/>
  <c r="Q1176" i="1"/>
  <c r="N1176" i="1"/>
  <c r="L1176" i="1"/>
  <c r="K1176" i="1"/>
  <c r="AB1176" i="1"/>
  <c r="I1176" i="1"/>
  <c r="X1175" i="1"/>
  <c r="Z1175" i="1" s="1"/>
  <c r="W1175" i="1"/>
  <c r="S1175" i="1"/>
  <c r="Q1175" i="1"/>
  <c r="N1175" i="1"/>
  <c r="L1175" i="1"/>
  <c r="K1175" i="1"/>
  <c r="AB1175" i="1"/>
  <c r="I1175" i="1"/>
  <c r="X1174" i="1"/>
  <c r="Z1174" i="1" s="1"/>
  <c r="W1174" i="1"/>
  <c r="S1174" i="1"/>
  <c r="Q1174" i="1"/>
  <c r="N1174" i="1"/>
  <c r="L1174" i="1"/>
  <c r="K1174" i="1"/>
  <c r="AB1174" i="1"/>
  <c r="I1174" i="1"/>
  <c r="X1173" i="1"/>
  <c r="Z1173" i="1" s="1"/>
  <c r="W1173" i="1"/>
  <c r="S1173" i="1"/>
  <c r="Q1173" i="1"/>
  <c r="N1173" i="1"/>
  <c r="L1173" i="1"/>
  <c r="K1173" i="1"/>
  <c r="AB1173" i="1"/>
  <c r="I1173" i="1"/>
  <c r="X1172" i="1"/>
  <c r="Z1172" i="1" s="1"/>
  <c r="W1172" i="1"/>
  <c r="S1172" i="1"/>
  <c r="Q1172" i="1"/>
  <c r="N1172" i="1"/>
  <c r="L1172" i="1"/>
  <c r="K1172" i="1"/>
  <c r="AB1172" i="1"/>
  <c r="I1172" i="1"/>
  <c r="X1171" i="1"/>
  <c r="Z1171" i="1" s="1"/>
  <c r="W1171" i="1"/>
  <c r="S1171" i="1"/>
  <c r="Q1171" i="1"/>
  <c r="N1171" i="1"/>
  <c r="L1171" i="1"/>
  <c r="K1171" i="1"/>
  <c r="AB1171" i="1"/>
  <c r="I1171" i="1"/>
  <c r="X1170" i="1"/>
  <c r="Z1170" i="1" s="1"/>
  <c r="W1170" i="1"/>
  <c r="S1170" i="1"/>
  <c r="Q1170" i="1"/>
  <c r="N1170" i="1"/>
  <c r="L1170" i="1"/>
  <c r="K1170" i="1"/>
  <c r="AB1170" i="1"/>
  <c r="I1170" i="1"/>
  <c r="X1169" i="1"/>
  <c r="Z1169" i="1" s="1"/>
  <c r="W1169" i="1"/>
  <c r="S1169" i="1"/>
  <c r="Q1169" i="1"/>
  <c r="N1169" i="1"/>
  <c r="L1169" i="1"/>
  <c r="K1169" i="1"/>
  <c r="AB1169" i="1"/>
  <c r="I1169" i="1"/>
  <c r="X1168" i="1"/>
  <c r="Z1168" i="1" s="1"/>
  <c r="W1168" i="1"/>
  <c r="S1168" i="1"/>
  <c r="Q1168" i="1"/>
  <c r="N1168" i="1"/>
  <c r="L1168" i="1"/>
  <c r="K1168" i="1"/>
  <c r="AB1168" i="1"/>
  <c r="I1168" i="1"/>
  <c r="X1167" i="1"/>
  <c r="Z1167" i="1" s="1"/>
  <c r="W1167" i="1"/>
  <c r="S1167" i="1"/>
  <c r="Q1167" i="1"/>
  <c r="N1167" i="1"/>
  <c r="L1167" i="1"/>
  <c r="K1167" i="1"/>
  <c r="AB1167" i="1"/>
  <c r="I1167" i="1"/>
  <c r="X1166" i="1"/>
  <c r="Z1166" i="1" s="1"/>
  <c r="W1166" i="1"/>
  <c r="S1166" i="1"/>
  <c r="Q1166" i="1"/>
  <c r="N1166" i="1"/>
  <c r="L1166" i="1"/>
  <c r="K1166" i="1"/>
  <c r="AB1166" i="1"/>
  <c r="I1166" i="1"/>
  <c r="X1165" i="1"/>
  <c r="Z1165" i="1" s="1"/>
  <c r="W1165" i="1"/>
  <c r="S1165" i="1"/>
  <c r="Q1165" i="1"/>
  <c r="N1165" i="1"/>
  <c r="L1165" i="1"/>
  <c r="K1165" i="1"/>
  <c r="AB1165" i="1"/>
  <c r="I1165" i="1"/>
  <c r="X1164" i="1"/>
  <c r="Z1164" i="1" s="1"/>
  <c r="W1164" i="1"/>
  <c r="S1164" i="1"/>
  <c r="Q1164" i="1"/>
  <c r="N1164" i="1"/>
  <c r="L1164" i="1"/>
  <c r="K1164" i="1"/>
  <c r="AB1164" i="1"/>
  <c r="I1164" i="1"/>
  <c r="X1163" i="1"/>
  <c r="Z1163" i="1" s="1"/>
  <c r="W1163" i="1"/>
  <c r="S1163" i="1"/>
  <c r="Q1163" i="1"/>
  <c r="N1163" i="1"/>
  <c r="L1163" i="1"/>
  <c r="K1163" i="1"/>
  <c r="AB1163" i="1"/>
  <c r="I1163" i="1"/>
  <c r="X1162" i="1"/>
  <c r="Z1162" i="1" s="1"/>
  <c r="W1162" i="1"/>
  <c r="S1162" i="1"/>
  <c r="Q1162" i="1"/>
  <c r="N1162" i="1"/>
  <c r="L1162" i="1"/>
  <c r="K1162" i="1"/>
  <c r="AB1162" i="1"/>
  <c r="I1162" i="1"/>
  <c r="X1161" i="1"/>
  <c r="Z1161" i="1" s="1"/>
  <c r="W1161" i="1"/>
  <c r="S1161" i="1"/>
  <c r="Q1161" i="1"/>
  <c r="N1161" i="1"/>
  <c r="L1161" i="1"/>
  <c r="K1161" i="1"/>
  <c r="AB1161" i="1"/>
  <c r="I1161" i="1"/>
  <c r="X1160" i="1"/>
  <c r="Z1160" i="1" s="1"/>
  <c r="W1160" i="1"/>
  <c r="S1160" i="1"/>
  <c r="Q1160" i="1"/>
  <c r="N1160" i="1"/>
  <c r="L1160" i="1"/>
  <c r="K1160" i="1"/>
  <c r="AB1160" i="1"/>
  <c r="I1160" i="1"/>
  <c r="X1159" i="1"/>
  <c r="Z1159" i="1" s="1"/>
  <c r="W1159" i="1"/>
  <c r="S1159" i="1"/>
  <c r="Q1159" i="1"/>
  <c r="N1159" i="1"/>
  <c r="L1159" i="1"/>
  <c r="K1159" i="1"/>
  <c r="AB1159" i="1"/>
  <c r="I1159" i="1"/>
  <c r="X1158" i="1"/>
  <c r="Z1158" i="1" s="1"/>
  <c r="W1158" i="1"/>
  <c r="S1158" i="1"/>
  <c r="Q1158" i="1"/>
  <c r="N1158" i="1"/>
  <c r="L1158" i="1"/>
  <c r="K1158" i="1"/>
  <c r="AB1158" i="1"/>
  <c r="I1158" i="1"/>
  <c r="X1157" i="1"/>
  <c r="Z1157" i="1" s="1"/>
  <c r="W1157" i="1"/>
  <c r="S1157" i="1"/>
  <c r="Q1157" i="1"/>
  <c r="N1157" i="1"/>
  <c r="L1157" i="1"/>
  <c r="K1157" i="1"/>
  <c r="AB1157" i="1"/>
  <c r="I1157" i="1"/>
  <c r="X1156" i="1"/>
  <c r="Z1156" i="1" s="1"/>
  <c r="W1156" i="1"/>
  <c r="S1156" i="1"/>
  <c r="Q1156" i="1"/>
  <c r="N1156" i="1"/>
  <c r="L1156" i="1"/>
  <c r="K1156" i="1"/>
  <c r="AB1156" i="1"/>
  <c r="I1156" i="1"/>
  <c r="X1155" i="1"/>
  <c r="Z1155" i="1" s="1"/>
  <c r="W1155" i="1"/>
  <c r="S1155" i="1"/>
  <c r="Q1155" i="1"/>
  <c r="N1155" i="1"/>
  <c r="L1155" i="1"/>
  <c r="K1155" i="1"/>
  <c r="AB1155" i="1"/>
  <c r="I1155" i="1"/>
  <c r="X1154" i="1"/>
  <c r="Z1154" i="1" s="1"/>
  <c r="W1154" i="1"/>
  <c r="S1154" i="1"/>
  <c r="Q1154" i="1"/>
  <c r="N1154" i="1"/>
  <c r="L1154" i="1"/>
  <c r="K1154" i="1"/>
  <c r="AB1154" i="1"/>
  <c r="I1154" i="1"/>
  <c r="X1153" i="1"/>
  <c r="Z1153" i="1" s="1"/>
  <c r="W1153" i="1"/>
  <c r="S1153" i="1"/>
  <c r="Q1153" i="1"/>
  <c r="N1153" i="1"/>
  <c r="L1153" i="1"/>
  <c r="K1153" i="1"/>
  <c r="AB1153" i="1"/>
  <c r="I1153" i="1"/>
  <c r="X1152" i="1"/>
  <c r="Z1152" i="1" s="1"/>
  <c r="W1152" i="1"/>
  <c r="S1152" i="1"/>
  <c r="Q1152" i="1"/>
  <c r="N1152" i="1"/>
  <c r="L1152" i="1"/>
  <c r="K1152" i="1"/>
  <c r="AB1152" i="1"/>
  <c r="I1152" i="1"/>
  <c r="X1151" i="1"/>
  <c r="Z1151" i="1" s="1"/>
  <c r="W1151" i="1"/>
  <c r="S1151" i="1"/>
  <c r="Q1151" i="1"/>
  <c r="N1151" i="1"/>
  <c r="L1151" i="1"/>
  <c r="K1151" i="1"/>
  <c r="AB1151" i="1"/>
  <c r="I1151" i="1"/>
  <c r="X1150" i="1"/>
  <c r="Z1150" i="1" s="1"/>
  <c r="W1150" i="1"/>
  <c r="S1150" i="1"/>
  <c r="Q1150" i="1"/>
  <c r="N1150" i="1"/>
  <c r="L1150" i="1"/>
  <c r="K1150" i="1"/>
  <c r="AB1150" i="1"/>
  <c r="I1150" i="1"/>
  <c r="X1149" i="1"/>
  <c r="Z1149" i="1" s="1"/>
  <c r="W1149" i="1"/>
  <c r="S1149" i="1"/>
  <c r="Q1149" i="1"/>
  <c r="N1149" i="1"/>
  <c r="L1149" i="1"/>
  <c r="K1149" i="1"/>
  <c r="AB1149" i="1"/>
  <c r="I1149" i="1"/>
  <c r="X1148" i="1"/>
  <c r="Z1148" i="1" s="1"/>
  <c r="W1148" i="1"/>
  <c r="S1148" i="1"/>
  <c r="Q1148" i="1"/>
  <c r="N1148" i="1"/>
  <c r="L1148" i="1"/>
  <c r="K1148" i="1"/>
  <c r="AB1148" i="1"/>
  <c r="I1148" i="1"/>
  <c r="X1147" i="1"/>
  <c r="Z1147" i="1" s="1"/>
  <c r="W1147" i="1"/>
  <c r="S1147" i="1"/>
  <c r="Q1147" i="1"/>
  <c r="N1147" i="1"/>
  <c r="L1147" i="1"/>
  <c r="K1147" i="1"/>
  <c r="AB1147" i="1"/>
  <c r="I1147" i="1"/>
  <c r="X1146" i="1"/>
  <c r="Z1146" i="1" s="1"/>
  <c r="W1146" i="1"/>
  <c r="S1146" i="1"/>
  <c r="Q1146" i="1"/>
  <c r="N1146" i="1"/>
  <c r="L1146" i="1"/>
  <c r="K1146" i="1"/>
  <c r="AB1146" i="1"/>
  <c r="I1146" i="1"/>
  <c r="X1145" i="1"/>
  <c r="Z1145" i="1" s="1"/>
  <c r="W1145" i="1"/>
  <c r="S1145" i="1"/>
  <c r="Q1145" i="1"/>
  <c r="N1145" i="1"/>
  <c r="L1145" i="1"/>
  <c r="K1145" i="1"/>
  <c r="AB1145" i="1"/>
  <c r="I1145" i="1"/>
  <c r="X1144" i="1"/>
  <c r="Z1144" i="1" s="1"/>
  <c r="W1144" i="1"/>
  <c r="S1144" i="1"/>
  <c r="Q1144" i="1"/>
  <c r="N1144" i="1"/>
  <c r="L1144" i="1"/>
  <c r="K1144" i="1"/>
  <c r="AB1144" i="1"/>
  <c r="I1144" i="1"/>
  <c r="X1143" i="1"/>
  <c r="Z1143" i="1" s="1"/>
  <c r="W1143" i="1"/>
  <c r="S1143" i="1"/>
  <c r="Q1143" i="1"/>
  <c r="N1143" i="1"/>
  <c r="L1143" i="1"/>
  <c r="K1143" i="1"/>
  <c r="AB1143" i="1"/>
  <c r="I1143" i="1"/>
  <c r="X1142" i="1"/>
  <c r="Z1142" i="1" s="1"/>
  <c r="W1142" i="1"/>
  <c r="S1142" i="1"/>
  <c r="Q1142" i="1"/>
  <c r="N1142" i="1"/>
  <c r="L1142" i="1"/>
  <c r="K1142" i="1"/>
  <c r="AB1142" i="1"/>
  <c r="I1142" i="1"/>
  <c r="X1141" i="1"/>
  <c r="Z1141" i="1" s="1"/>
  <c r="W1141" i="1"/>
  <c r="S1141" i="1"/>
  <c r="Q1141" i="1"/>
  <c r="N1141" i="1"/>
  <c r="L1141" i="1"/>
  <c r="K1141" i="1"/>
  <c r="AB1141" i="1"/>
  <c r="I1141" i="1"/>
  <c r="X1140" i="1"/>
  <c r="Z1140" i="1" s="1"/>
  <c r="W1140" i="1"/>
  <c r="S1140" i="1"/>
  <c r="Q1140" i="1"/>
  <c r="N1140" i="1"/>
  <c r="L1140" i="1"/>
  <c r="K1140" i="1"/>
  <c r="AB1140" i="1"/>
  <c r="I1140" i="1"/>
  <c r="X1139" i="1"/>
  <c r="Z1139" i="1" s="1"/>
  <c r="W1139" i="1"/>
  <c r="S1139" i="1"/>
  <c r="Q1139" i="1"/>
  <c r="N1139" i="1"/>
  <c r="L1139" i="1"/>
  <c r="K1139" i="1"/>
  <c r="AB1139" i="1"/>
  <c r="I1139" i="1"/>
  <c r="X1138" i="1"/>
  <c r="Z1138" i="1" s="1"/>
  <c r="W1138" i="1"/>
  <c r="S1138" i="1"/>
  <c r="Q1138" i="1"/>
  <c r="N1138" i="1"/>
  <c r="L1138" i="1"/>
  <c r="K1138" i="1"/>
  <c r="AB1138" i="1"/>
  <c r="I1138" i="1"/>
  <c r="X1137" i="1"/>
  <c r="Z1137" i="1" s="1"/>
  <c r="W1137" i="1"/>
  <c r="S1137" i="1"/>
  <c r="Q1137" i="1"/>
  <c r="N1137" i="1"/>
  <c r="L1137" i="1"/>
  <c r="K1137" i="1"/>
  <c r="AB1137" i="1"/>
  <c r="I1137" i="1"/>
  <c r="X1136" i="1"/>
  <c r="Z1136" i="1" s="1"/>
  <c r="W1136" i="1"/>
  <c r="S1136" i="1"/>
  <c r="Q1136" i="1"/>
  <c r="N1136" i="1"/>
  <c r="L1136" i="1"/>
  <c r="K1136" i="1"/>
  <c r="AB1136" i="1"/>
  <c r="I1136" i="1"/>
  <c r="X1135" i="1"/>
  <c r="Z1135" i="1" s="1"/>
  <c r="W1135" i="1"/>
  <c r="S1135" i="1"/>
  <c r="Q1135" i="1"/>
  <c r="N1135" i="1"/>
  <c r="L1135" i="1"/>
  <c r="K1135" i="1"/>
  <c r="AB1135" i="1"/>
  <c r="I1135" i="1"/>
  <c r="X1134" i="1"/>
  <c r="Z1134" i="1" s="1"/>
  <c r="W1134" i="1"/>
  <c r="S1134" i="1"/>
  <c r="Q1134" i="1"/>
  <c r="N1134" i="1"/>
  <c r="L1134" i="1"/>
  <c r="K1134" i="1"/>
  <c r="AB1134" i="1"/>
  <c r="I1134" i="1"/>
  <c r="X1133" i="1"/>
  <c r="Z1133" i="1" s="1"/>
  <c r="W1133" i="1"/>
  <c r="S1133" i="1"/>
  <c r="Q1133" i="1"/>
  <c r="N1133" i="1"/>
  <c r="L1133" i="1"/>
  <c r="K1133" i="1"/>
  <c r="AB1133" i="1"/>
  <c r="I1133" i="1"/>
  <c r="X1132" i="1"/>
  <c r="Z1132" i="1" s="1"/>
  <c r="W1132" i="1"/>
  <c r="S1132" i="1"/>
  <c r="Q1132" i="1"/>
  <c r="N1132" i="1"/>
  <c r="L1132" i="1"/>
  <c r="K1132" i="1"/>
  <c r="AB1132" i="1"/>
  <c r="I1132" i="1"/>
  <c r="X1131" i="1"/>
  <c r="Z1131" i="1" s="1"/>
  <c r="W1131" i="1"/>
  <c r="S1131" i="1"/>
  <c r="Q1131" i="1"/>
  <c r="N1131" i="1"/>
  <c r="L1131" i="1"/>
  <c r="K1131" i="1"/>
  <c r="AB1131" i="1"/>
  <c r="I1131" i="1"/>
  <c r="X1130" i="1"/>
  <c r="Z1130" i="1" s="1"/>
  <c r="W1130" i="1"/>
  <c r="S1130" i="1"/>
  <c r="Q1130" i="1"/>
  <c r="N1130" i="1"/>
  <c r="L1130" i="1"/>
  <c r="K1130" i="1"/>
  <c r="AB1130" i="1"/>
  <c r="I1130" i="1"/>
  <c r="X1129" i="1"/>
  <c r="Z1129" i="1" s="1"/>
  <c r="W1129" i="1"/>
  <c r="S1129" i="1"/>
  <c r="Q1129" i="1"/>
  <c r="N1129" i="1"/>
  <c r="L1129" i="1"/>
  <c r="K1129" i="1"/>
  <c r="AB1129" i="1"/>
  <c r="I1129" i="1"/>
  <c r="X1128" i="1"/>
  <c r="Z1128" i="1" s="1"/>
  <c r="W1128" i="1"/>
  <c r="S1128" i="1"/>
  <c r="Q1128" i="1"/>
  <c r="N1128" i="1"/>
  <c r="L1128" i="1"/>
  <c r="K1128" i="1"/>
  <c r="AB1128" i="1"/>
  <c r="I1128" i="1"/>
  <c r="X1127" i="1"/>
  <c r="Z1127" i="1" s="1"/>
  <c r="W1127" i="1"/>
  <c r="S1127" i="1"/>
  <c r="Q1127" i="1"/>
  <c r="N1127" i="1"/>
  <c r="L1127" i="1"/>
  <c r="K1127" i="1"/>
  <c r="AB1127" i="1"/>
  <c r="I1127" i="1"/>
  <c r="X1126" i="1"/>
  <c r="Z1126" i="1" s="1"/>
  <c r="W1126" i="1"/>
  <c r="S1126" i="1"/>
  <c r="Q1126" i="1"/>
  <c r="N1126" i="1"/>
  <c r="L1126" i="1"/>
  <c r="K1126" i="1"/>
  <c r="AB1126" i="1"/>
  <c r="I1126" i="1"/>
  <c r="X1125" i="1"/>
  <c r="Z1125" i="1" s="1"/>
  <c r="W1125" i="1"/>
  <c r="S1125" i="1"/>
  <c r="Q1125" i="1"/>
  <c r="N1125" i="1"/>
  <c r="L1125" i="1"/>
  <c r="K1125" i="1"/>
  <c r="AB1125" i="1"/>
  <c r="I1125" i="1"/>
  <c r="X1124" i="1"/>
  <c r="Z1124" i="1" s="1"/>
  <c r="W1124" i="1"/>
  <c r="S1124" i="1"/>
  <c r="Q1124" i="1"/>
  <c r="N1124" i="1"/>
  <c r="L1124" i="1"/>
  <c r="K1124" i="1"/>
  <c r="AB1124" i="1"/>
  <c r="I1124" i="1"/>
  <c r="X1123" i="1"/>
  <c r="Z1123" i="1" s="1"/>
  <c r="W1123" i="1"/>
  <c r="S1123" i="1"/>
  <c r="Q1123" i="1"/>
  <c r="N1123" i="1"/>
  <c r="L1123" i="1"/>
  <c r="K1123" i="1"/>
  <c r="AB1123" i="1"/>
  <c r="I1123" i="1"/>
  <c r="X1122" i="1"/>
  <c r="Z1122" i="1" s="1"/>
  <c r="W1122" i="1"/>
  <c r="S1122" i="1"/>
  <c r="Q1122" i="1"/>
  <c r="N1122" i="1"/>
  <c r="L1122" i="1"/>
  <c r="Y1122" i="1" s="1"/>
  <c r="K1122" i="1"/>
  <c r="AB1122" i="1"/>
  <c r="I1122" i="1"/>
  <c r="X1121" i="1"/>
  <c r="Z1121" i="1" s="1"/>
  <c r="W1121" i="1"/>
  <c r="S1121" i="1"/>
  <c r="Q1121" i="1"/>
  <c r="N1121" i="1"/>
  <c r="L1121" i="1"/>
  <c r="K1121" i="1"/>
  <c r="AB1121" i="1"/>
  <c r="I1121" i="1"/>
  <c r="X1120" i="1"/>
  <c r="Z1120" i="1" s="1"/>
  <c r="W1120" i="1"/>
  <c r="S1120" i="1"/>
  <c r="Q1120" i="1"/>
  <c r="N1120" i="1"/>
  <c r="L1120" i="1"/>
  <c r="K1120" i="1"/>
  <c r="AB1120" i="1"/>
  <c r="I1120" i="1"/>
  <c r="X1119" i="1"/>
  <c r="Z1119" i="1" s="1"/>
  <c r="W1119" i="1"/>
  <c r="S1119" i="1"/>
  <c r="Q1119" i="1"/>
  <c r="N1119" i="1"/>
  <c r="L1119" i="1"/>
  <c r="K1119" i="1"/>
  <c r="AB1119" i="1"/>
  <c r="I1119" i="1"/>
  <c r="X1118" i="1"/>
  <c r="Z1118" i="1" s="1"/>
  <c r="W1118" i="1"/>
  <c r="S1118" i="1"/>
  <c r="Q1118" i="1"/>
  <c r="N1118" i="1"/>
  <c r="L1118" i="1"/>
  <c r="Y1118" i="1" s="1"/>
  <c r="K1118" i="1"/>
  <c r="AB1118" i="1"/>
  <c r="I1118" i="1"/>
  <c r="X1117" i="1"/>
  <c r="Z1117" i="1" s="1"/>
  <c r="W1117" i="1"/>
  <c r="S1117" i="1"/>
  <c r="Q1117" i="1"/>
  <c r="N1117" i="1"/>
  <c r="L1117" i="1"/>
  <c r="K1117" i="1"/>
  <c r="AB1117" i="1"/>
  <c r="I1117" i="1"/>
  <c r="X1116" i="1"/>
  <c r="Z1116" i="1" s="1"/>
  <c r="W1116" i="1"/>
  <c r="S1116" i="1"/>
  <c r="Q1116" i="1"/>
  <c r="N1116" i="1"/>
  <c r="L1116" i="1"/>
  <c r="K1116" i="1"/>
  <c r="AB1116" i="1"/>
  <c r="I1116" i="1"/>
  <c r="X1115" i="1"/>
  <c r="Z1115" i="1" s="1"/>
  <c r="W1115" i="1"/>
  <c r="S1115" i="1"/>
  <c r="Q1115" i="1"/>
  <c r="N1115" i="1"/>
  <c r="L1115" i="1"/>
  <c r="K1115" i="1"/>
  <c r="AB1115" i="1"/>
  <c r="I1115" i="1"/>
  <c r="X1114" i="1"/>
  <c r="Z1114" i="1" s="1"/>
  <c r="W1114" i="1"/>
  <c r="S1114" i="1"/>
  <c r="Q1114" i="1"/>
  <c r="N1114" i="1"/>
  <c r="L1114" i="1"/>
  <c r="Y1114" i="1" s="1"/>
  <c r="K1114" i="1"/>
  <c r="AB1114" i="1"/>
  <c r="I1114" i="1"/>
  <c r="X1113" i="1"/>
  <c r="Z1113" i="1" s="1"/>
  <c r="W1113" i="1"/>
  <c r="S1113" i="1"/>
  <c r="Q1113" i="1"/>
  <c r="N1113" i="1"/>
  <c r="L1113" i="1"/>
  <c r="K1113" i="1"/>
  <c r="AB1113" i="1"/>
  <c r="I1113" i="1"/>
  <c r="X1112" i="1"/>
  <c r="Z1112" i="1" s="1"/>
  <c r="W1112" i="1"/>
  <c r="S1112" i="1"/>
  <c r="Q1112" i="1"/>
  <c r="N1112" i="1"/>
  <c r="L1112" i="1"/>
  <c r="K1112" i="1"/>
  <c r="AB1112" i="1"/>
  <c r="I1112" i="1"/>
  <c r="X1111" i="1"/>
  <c r="Z1111" i="1" s="1"/>
  <c r="W1111" i="1"/>
  <c r="S1111" i="1"/>
  <c r="Q1111" i="1"/>
  <c r="N1111" i="1"/>
  <c r="L1111" i="1"/>
  <c r="K1111" i="1"/>
  <c r="AB1111" i="1"/>
  <c r="I1111" i="1"/>
  <c r="X1110" i="1"/>
  <c r="Z1110" i="1" s="1"/>
  <c r="W1110" i="1"/>
  <c r="S1110" i="1"/>
  <c r="Q1110" i="1"/>
  <c r="N1110" i="1"/>
  <c r="L1110" i="1"/>
  <c r="Y1110" i="1" s="1"/>
  <c r="K1110" i="1"/>
  <c r="AB1110" i="1"/>
  <c r="I1110" i="1"/>
  <c r="X1109" i="1"/>
  <c r="Z1109" i="1" s="1"/>
  <c r="W1109" i="1"/>
  <c r="S1109" i="1"/>
  <c r="Q1109" i="1"/>
  <c r="N1109" i="1"/>
  <c r="L1109" i="1"/>
  <c r="K1109" i="1"/>
  <c r="AB1109" i="1"/>
  <c r="I1109" i="1"/>
  <c r="X1108" i="1"/>
  <c r="Z1108" i="1" s="1"/>
  <c r="W1108" i="1"/>
  <c r="S1108" i="1"/>
  <c r="Q1108" i="1"/>
  <c r="N1108" i="1"/>
  <c r="L1108" i="1"/>
  <c r="K1108" i="1"/>
  <c r="AB1108" i="1"/>
  <c r="I1108" i="1"/>
  <c r="X1107" i="1"/>
  <c r="Z1107" i="1" s="1"/>
  <c r="W1107" i="1"/>
  <c r="S1107" i="1"/>
  <c r="Q1107" i="1"/>
  <c r="N1107" i="1"/>
  <c r="L1107" i="1"/>
  <c r="K1107" i="1"/>
  <c r="AB1107" i="1"/>
  <c r="I1107" i="1"/>
  <c r="X1106" i="1"/>
  <c r="Z1106" i="1" s="1"/>
  <c r="W1106" i="1"/>
  <c r="S1106" i="1"/>
  <c r="Q1106" i="1"/>
  <c r="N1106" i="1"/>
  <c r="L1106" i="1"/>
  <c r="Y1106" i="1" s="1"/>
  <c r="K1106" i="1"/>
  <c r="AB1106" i="1"/>
  <c r="I1106" i="1"/>
  <c r="X1105" i="1"/>
  <c r="Z1105" i="1" s="1"/>
  <c r="W1105" i="1"/>
  <c r="S1105" i="1"/>
  <c r="Q1105" i="1"/>
  <c r="N1105" i="1"/>
  <c r="L1105" i="1"/>
  <c r="K1105" i="1"/>
  <c r="AB1105" i="1"/>
  <c r="I1105" i="1"/>
  <c r="X1104" i="1"/>
  <c r="Z1104" i="1" s="1"/>
  <c r="W1104" i="1"/>
  <c r="S1104" i="1"/>
  <c r="Q1104" i="1"/>
  <c r="N1104" i="1"/>
  <c r="L1104" i="1"/>
  <c r="K1104" i="1"/>
  <c r="AB1104" i="1"/>
  <c r="I1104" i="1"/>
  <c r="X1103" i="1"/>
  <c r="Z1103" i="1" s="1"/>
  <c r="W1103" i="1"/>
  <c r="S1103" i="1"/>
  <c r="Q1103" i="1"/>
  <c r="N1103" i="1"/>
  <c r="L1103" i="1"/>
  <c r="K1103" i="1"/>
  <c r="AB1103" i="1"/>
  <c r="I1103" i="1"/>
  <c r="X1102" i="1"/>
  <c r="Z1102" i="1" s="1"/>
  <c r="W1102" i="1"/>
  <c r="S1102" i="1"/>
  <c r="Q1102" i="1"/>
  <c r="N1102" i="1"/>
  <c r="L1102" i="1"/>
  <c r="K1102" i="1"/>
  <c r="AB1102" i="1"/>
  <c r="I1102" i="1"/>
  <c r="X1101" i="1"/>
  <c r="Z1101" i="1" s="1"/>
  <c r="W1101" i="1"/>
  <c r="S1101" i="1"/>
  <c r="Q1101" i="1"/>
  <c r="N1101" i="1"/>
  <c r="L1101" i="1"/>
  <c r="K1101" i="1"/>
  <c r="AB1101" i="1"/>
  <c r="I1101" i="1"/>
  <c r="X1100" i="1"/>
  <c r="Z1100" i="1" s="1"/>
  <c r="W1100" i="1"/>
  <c r="S1100" i="1"/>
  <c r="Q1100" i="1"/>
  <c r="N1100" i="1"/>
  <c r="L1100" i="1"/>
  <c r="K1100" i="1"/>
  <c r="AB1100" i="1"/>
  <c r="I1100" i="1"/>
  <c r="X1099" i="1"/>
  <c r="Z1099" i="1" s="1"/>
  <c r="W1099" i="1"/>
  <c r="S1099" i="1"/>
  <c r="Q1099" i="1"/>
  <c r="N1099" i="1"/>
  <c r="L1099" i="1"/>
  <c r="K1099" i="1"/>
  <c r="AB1099" i="1"/>
  <c r="I1099" i="1"/>
  <c r="X1098" i="1"/>
  <c r="Z1098" i="1" s="1"/>
  <c r="W1098" i="1"/>
  <c r="S1098" i="1"/>
  <c r="Q1098" i="1"/>
  <c r="N1098" i="1"/>
  <c r="L1098" i="1"/>
  <c r="Y1098" i="1" s="1"/>
  <c r="K1098" i="1"/>
  <c r="AB1098" i="1"/>
  <c r="I1098" i="1"/>
  <c r="X1097" i="1"/>
  <c r="Z1097" i="1" s="1"/>
  <c r="W1097" i="1"/>
  <c r="S1097" i="1"/>
  <c r="Q1097" i="1"/>
  <c r="N1097" i="1"/>
  <c r="L1097" i="1"/>
  <c r="K1097" i="1"/>
  <c r="AB1097" i="1"/>
  <c r="I1097" i="1"/>
  <c r="X1096" i="1"/>
  <c r="Z1096" i="1" s="1"/>
  <c r="W1096" i="1"/>
  <c r="S1096" i="1"/>
  <c r="Q1096" i="1"/>
  <c r="N1096" i="1"/>
  <c r="L1096" i="1"/>
  <c r="K1096" i="1"/>
  <c r="AB1096" i="1"/>
  <c r="I1096" i="1"/>
  <c r="X1095" i="1"/>
  <c r="Z1095" i="1" s="1"/>
  <c r="W1095" i="1"/>
  <c r="S1095" i="1"/>
  <c r="Q1095" i="1"/>
  <c r="N1095" i="1"/>
  <c r="L1095" i="1"/>
  <c r="K1095" i="1"/>
  <c r="AB1095" i="1"/>
  <c r="I1095" i="1"/>
  <c r="X1094" i="1"/>
  <c r="Z1094" i="1" s="1"/>
  <c r="W1094" i="1"/>
  <c r="S1094" i="1"/>
  <c r="Q1094" i="1"/>
  <c r="N1094" i="1"/>
  <c r="L1094" i="1"/>
  <c r="Y1094" i="1" s="1"/>
  <c r="K1094" i="1"/>
  <c r="AB1094" i="1"/>
  <c r="I1094" i="1"/>
  <c r="X1093" i="1"/>
  <c r="Z1093" i="1" s="1"/>
  <c r="W1093" i="1"/>
  <c r="S1093" i="1"/>
  <c r="Q1093" i="1"/>
  <c r="N1093" i="1"/>
  <c r="L1093" i="1"/>
  <c r="K1093" i="1"/>
  <c r="AB1093" i="1"/>
  <c r="I1093" i="1"/>
  <c r="X1092" i="1"/>
  <c r="Z1092" i="1" s="1"/>
  <c r="W1092" i="1"/>
  <c r="S1092" i="1"/>
  <c r="Q1092" i="1"/>
  <c r="N1092" i="1"/>
  <c r="L1092" i="1"/>
  <c r="K1092" i="1"/>
  <c r="AB1092" i="1"/>
  <c r="I1092" i="1"/>
  <c r="X1091" i="1"/>
  <c r="Z1091" i="1" s="1"/>
  <c r="W1091" i="1"/>
  <c r="S1091" i="1"/>
  <c r="Q1091" i="1"/>
  <c r="N1091" i="1"/>
  <c r="L1091" i="1"/>
  <c r="K1091" i="1"/>
  <c r="AB1091" i="1"/>
  <c r="I1091" i="1"/>
  <c r="X1090" i="1"/>
  <c r="Z1090" i="1" s="1"/>
  <c r="W1090" i="1"/>
  <c r="S1090" i="1"/>
  <c r="Q1090" i="1"/>
  <c r="N1090" i="1"/>
  <c r="L1090" i="1"/>
  <c r="Y1090" i="1" s="1"/>
  <c r="K1090" i="1"/>
  <c r="AB1090" i="1"/>
  <c r="I1090" i="1"/>
  <c r="X1089" i="1"/>
  <c r="Z1089" i="1" s="1"/>
  <c r="W1089" i="1"/>
  <c r="S1089" i="1"/>
  <c r="Q1089" i="1"/>
  <c r="N1089" i="1"/>
  <c r="L1089" i="1"/>
  <c r="K1089" i="1"/>
  <c r="AB1089" i="1"/>
  <c r="I1089" i="1"/>
  <c r="X1088" i="1"/>
  <c r="Z1088" i="1" s="1"/>
  <c r="W1088" i="1"/>
  <c r="S1088" i="1"/>
  <c r="Q1088" i="1"/>
  <c r="N1088" i="1"/>
  <c r="L1088" i="1"/>
  <c r="K1088" i="1"/>
  <c r="AB1088" i="1"/>
  <c r="I1088" i="1"/>
  <c r="X1087" i="1"/>
  <c r="Z1087" i="1" s="1"/>
  <c r="W1087" i="1"/>
  <c r="S1087" i="1"/>
  <c r="Q1087" i="1"/>
  <c r="N1087" i="1"/>
  <c r="L1087" i="1"/>
  <c r="K1087" i="1"/>
  <c r="AB1087" i="1"/>
  <c r="I1087" i="1"/>
  <c r="X1086" i="1"/>
  <c r="Z1086" i="1" s="1"/>
  <c r="W1086" i="1"/>
  <c r="S1086" i="1"/>
  <c r="Q1086" i="1"/>
  <c r="N1086" i="1"/>
  <c r="L1086" i="1"/>
  <c r="Y1086" i="1" s="1"/>
  <c r="K1086" i="1"/>
  <c r="AB1086" i="1"/>
  <c r="I1086" i="1"/>
  <c r="X1085" i="1"/>
  <c r="Z1085" i="1" s="1"/>
  <c r="W1085" i="1"/>
  <c r="S1085" i="1"/>
  <c r="Q1085" i="1"/>
  <c r="N1085" i="1"/>
  <c r="L1085" i="1"/>
  <c r="K1085" i="1"/>
  <c r="AB1085" i="1"/>
  <c r="I1085" i="1"/>
  <c r="X1084" i="1"/>
  <c r="Z1084" i="1" s="1"/>
  <c r="W1084" i="1"/>
  <c r="S1084" i="1"/>
  <c r="Q1084" i="1"/>
  <c r="N1084" i="1"/>
  <c r="L1084" i="1"/>
  <c r="K1084" i="1"/>
  <c r="AB1084" i="1"/>
  <c r="I1084" i="1"/>
  <c r="X1083" i="1"/>
  <c r="Z1083" i="1" s="1"/>
  <c r="W1083" i="1"/>
  <c r="S1083" i="1"/>
  <c r="Q1083" i="1"/>
  <c r="N1083" i="1"/>
  <c r="L1083" i="1"/>
  <c r="K1083" i="1"/>
  <c r="AB1083" i="1"/>
  <c r="I1083" i="1"/>
  <c r="X1082" i="1"/>
  <c r="Z1082" i="1" s="1"/>
  <c r="W1082" i="1"/>
  <c r="S1082" i="1"/>
  <c r="Q1082" i="1"/>
  <c r="N1082" i="1"/>
  <c r="L1082" i="1"/>
  <c r="K1082" i="1"/>
  <c r="AB1082" i="1"/>
  <c r="I1082" i="1"/>
  <c r="X1081" i="1"/>
  <c r="Z1081" i="1" s="1"/>
  <c r="W1081" i="1"/>
  <c r="S1081" i="1"/>
  <c r="Q1081" i="1"/>
  <c r="N1081" i="1"/>
  <c r="L1081" i="1"/>
  <c r="K1081" i="1"/>
  <c r="AB1081" i="1"/>
  <c r="I1081" i="1"/>
  <c r="X1080" i="1"/>
  <c r="Z1080" i="1" s="1"/>
  <c r="W1080" i="1"/>
  <c r="S1080" i="1"/>
  <c r="Q1080" i="1"/>
  <c r="N1080" i="1"/>
  <c r="L1080" i="1"/>
  <c r="K1080" i="1"/>
  <c r="AB1080" i="1"/>
  <c r="I1080" i="1"/>
  <c r="X1079" i="1"/>
  <c r="Z1079" i="1" s="1"/>
  <c r="W1079" i="1"/>
  <c r="S1079" i="1"/>
  <c r="Q1079" i="1"/>
  <c r="N1079" i="1"/>
  <c r="L1079" i="1"/>
  <c r="K1079" i="1"/>
  <c r="AB1079" i="1"/>
  <c r="I1079" i="1"/>
  <c r="X1078" i="1"/>
  <c r="Z1078" i="1" s="1"/>
  <c r="W1078" i="1"/>
  <c r="S1078" i="1"/>
  <c r="Q1078" i="1"/>
  <c r="N1078" i="1"/>
  <c r="L1078" i="1"/>
  <c r="Y1078" i="1" s="1"/>
  <c r="K1078" i="1"/>
  <c r="AB1078" i="1"/>
  <c r="I1078" i="1"/>
  <c r="X1077" i="1"/>
  <c r="Z1077" i="1" s="1"/>
  <c r="W1077" i="1"/>
  <c r="S1077" i="1"/>
  <c r="Q1077" i="1"/>
  <c r="N1077" i="1"/>
  <c r="L1077" i="1"/>
  <c r="K1077" i="1"/>
  <c r="AB1077" i="1"/>
  <c r="I1077" i="1"/>
  <c r="X1076" i="1"/>
  <c r="Z1076" i="1" s="1"/>
  <c r="W1076" i="1"/>
  <c r="S1076" i="1"/>
  <c r="Q1076" i="1"/>
  <c r="N1076" i="1"/>
  <c r="L1076" i="1"/>
  <c r="K1076" i="1"/>
  <c r="AB1076" i="1"/>
  <c r="I1076" i="1"/>
  <c r="X1075" i="1"/>
  <c r="Z1075" i="1" s="1"/>
  <c r="W1075" i="1"/>
  <c r="S1075" i="1"/>
  <c r="Q1075" i="1"/>
  <c r="N1075" i="1"/>
  <c r="L1075" i="1"/>
  <c r="K1075" i="1"/>
  <c r="AB1075" i="1"/>
  <c r="I1075" i="1"/>
  <c r="X1074" i="1"/>
  <c r="Z1074" i="1" s="1"/>
  <c r="W1074" i="1"/>
  <c r="S1074" i="1"/>
  <c r="Q1074" i="1"/>
  <c r="N1074" i="1"/>
  <c r="L1074" i="1"/>
  <c r="K1074" i="1"/>
  <c r="AB1074" i="1"/>
  <c r="I1074" i="1"/>
  <c r="X1073" i="1"/>
  <c r="Z1073" i="1" s="1"/>
  <c r="W1073" i="1"/>
  <c r="S1073" i="1"/>
  <c r="Q1073" i="1"/>
  <c r="N1073" i="1"/>
  <c r="L1073" i="1"/>
  <c r="K1073" i="1"/>
  <c r="AB1073" i="1"/>
  <c r="I1073" i="1"/>
  <c r="X1072" i="1"/>
  <c r="Z1072" i="1" s="1"/>
  <c r="W1072" i="1"/>
  <c r="S1072" i="1"/>
  <c r="Q1072" i="1"/>
  <c r="N1072" i="1"/>
  <c r="L1072" i="1"/>
  <c r="K1072" i="1"/>
  <c r="AB1072" i="1"/>
  <c r="I1072" i="1"/>
  <c r="X1071" i="1"/>
  <c r="Z1071" i="1" s="1"/>
  <c r="W1071" i="1"/>
  <c r="S1071" i="1"/>
  <c r="Q1071" i="1"/>
  <c r="N1071" i="1"/>
  <c r="L1071" i="1"/>
  <c r="K1071" i="1"/>
  <c r="AB1071" i="1"/>
  <c r="I1071" i="1"/>
  <c r="X1070" i="1"/>
  <c r="Z1070" i="1" s="1"/>
  <c r="W1070" i="1"/>
  <c r="S1070" i="1"/>
  <c r="Q1070" i="1"/>
  <c r="N1070" i="1"/>
  <c r="L1070" i="1"/>
  <c r="Y1070" i="1" s="1"/>
  <c r="K1070" i="1"/>
  <c r="AB1070" i="1"/>
  <c r="I1070" i="1"/>
  <c r="X1069" i="1"/>
  <c r="Z1069" i="1" s="1"/>
  <c r="W1069" i="1"/>
  <c r="S1069" i="1"/>
  <c r="Q1069" i="1"/>
  <c r="N1069" i="1"/>
  <c r="L1069" i="1"/>
  <c r="K1069" i="1"/>
  <c r="AB1069" i="1"/>
  <c r="I1069" i="1"/>
  <c r="X1068" i="1"/>
  <c r="Z1068" i="1" s="1"/>
  <c r="W1068" i="1"/>
  <c r="S1068" i="1"/>
  <c r="Q1068" i="1"/>
  <c r="N1068" i="1"/>
  <c r="L1068" i="1"/>
  <c r="K1068" i="1"/>
  <c r="AB1068" i="1"/>
  <c r="I1068" i="1"/>
  <c r="X1067" i="1"/>
  <c r="Z1067" i="1" s="1"/>
  <c r="W1067" i="1"/>
  <c r="S1067" i="1"/>
  <c r="Q1067" i="1"/>
  <c r="N1067" i="1"/>
  <c r="L1067" i="1"/>
  <c r="K1067" i="1"/>
  <c r="AB1067" i="1"/>
  <c r="I1067" i="1"/>
  <c r="X1066" i="1"/>
  <c r="Z1066" i="1" s="1"/>
  <c r="W1066" i="1"/>
  <c r="S1066" i="1"/>
  <c r="Q1066" i="1"/>
  <c r="N1066" i="1"/>
  <c r="L1066" i="1"/>
  <c r="Y1066" i="1" s="1"/>
  <c r="K1066" i="1"/>
  <c r="AB1066" i="1"/>
  <c r="I1066" i="1"/>
  <c r="X1065" i="1"/>
  <c r="Z1065" i="1" s="1"/>
  <c r="W1065" i="1"/>
  <c r="S1065" i="1"/>
  <c r="Q1065" i="1"/>
  <c r="N1065" i="1"/>
  <c r="L1065" i="1"/>
  <c r="K1065" i="1"/>
  <c r="AB1065" i="1"/>
  <c r="I1065" i="1"/>
  <c r="X1064" i="1"/>
  <c r="Z1064" i="1" s="1"/>
  <c r="W1064" i="1"/>
  <c r="S1064" i="1"/>
  <c r="Q1064" i="1"/>
  <c r="N1064" i="1"/>
  <c r="L1064" i="1"/>
  <c r="K1064" i="1"/>
  <c r="AB1064" i="1"/>
  <c r="I1064" i="1"/>
  <c r="X1063" i="1"/>
  <c r="Z1063" i="1" s="1"/>
  <c r="W1063" i="1"/>
  <c r="S1063" i="1"/>
  <c r="Q1063" i="1"/>
  <c r="N1063" i="1"/>
  <c r="L1063" i="1"/>
  <c r="K1063" i="1"/>
  <c r="AB1063" i="1"/>
  <c r="I1063" i="1"/>
  <c r="X1062" i="1"/>
  <c r="Z1062" i="1" s="1"/>
  <c r="W1062" i="1"/>
  <c r="S1062" i="1"/>
  <c r="Q1062" i="1"/>
  <c r="N1062" i="1"/>
  <c r="L1062" i="1"/>
  <c r="K1062" i="1"/>
  <c r="AB1062" i="1"/>
  <c r="I1062" i="1"/>
  <c r="X1061" i="1"/>
  <c r="Z1061" i="1" s="1"/>
  <c r="W1061" i="1"/>
  <c r="S1061" i="1"/>
  <c r="Q1061" i="1"/>
  <c r="N1061" i="1"/>
  <c r="L1061" i="1"/>
  <c r="K1061" i="1"/>
  <c r="AB1061" i="1"/>
  <c r="I1061" i="1"/>
  <c r="X1060" i="1"/>
  <c r="Z1060" i="1" s="1"/>
  <c r="W1060" i="1"/>
  <c r="S1060" i="1"/>
  <c r="Q1060" i="1"/>
  <c r="N1060" i="1"/>
  <c r="L1060" i="1"/>
  <c r="K1060" i="1"/>
  <c r="AB1060" i="1"/>
  <c r="I1060" i="1"/>
  <c r="X1059" i="1"/>
  <c r="Z1059" i="1" s="1"/>
  <c r="W1059" i="1"/>
  <c r="S1059" i="1"/>
  <c r="Q1059" i="1"/>
  <c r="N1059" i="1"/>
  <c r="L1059" i="1"/>
  <c r="K1059" i="1"/>
  <c r="AB1059" i="1"/>
  <c r="I1059" i="1"/>
  <c r="X1058" i="1"/>
  <c r="Z1058" i="1" s="1"/>
  <c r="W1058" i="1"/>
  <c r="S1058" i="1"/>
  <c r="Q1058" i="1"/>
  <c r="N1058" i="1"/>
  <c r="L1058" i="1"/>
  <c r="Y1058" i="1" s="1"/>
  <c r="K1058" i="1"/>
  <c r="AB1058" i="1"/>
  <c r="I1058" i="1"/>
  <c r="X1057" i="1"/>
  <c r="Z1057" i="1" s="1"/>
  <c r="W1057" i="1"/>
  <c r="S1057" i="1"/>
  <c r="Q1057" i="1"/>
  <c r="N1057" i="1"/>
  <c r="L1057" i="1"/>
  <c r="K1057" i="1"/>
  <c r="AB1057" i="1"/>
  <c r="I1057" i="1"/>
  <c r="X1056" i="1"/>
  <c r="Z1056" i="1" s="1"/>
  <c r="W1056" i="1"/>
  <c r="S1056" i="1"/>
  <c r="Q1056" i="1"/>
  <c r="N1056" i="1"/>
  <c r="L1056" i="1"/>
  <c r="K1056" i="1"/>
  <c r="AB1056" i="1"/>
  <c r="I1056" i="1"/>
  <c r="X1055" i="1"/>
  <c r="Z1055" i="1" s="1"/>
  <c r="W1055" i="1"/>
  <c r="S1055" i="1"/>
  <c r="Q1055" i="1"/>
  <c r="N1055" i="1"/>
  <c r="L1055" i="1"/>
  <c r="K1055" i="1"/>
  <c r="AB1055" i="1"/>
  <c r="I1055" i="1"/>
  <c r="X1054" i="1"/>
  <c r="Z1054" i="1" s="1"/>
  <c r="W1054" i="1"/>
  <c r="S1054" i="1"/>
  <c r="Q1054" i="1"/>
  <c r="N1054" i="1"/>
  <c r="L1054" i="1"/>
  <c r="K1054" i="1"/>
  <c r="AB1054" i="1"/>
  <c r="I1054" i="1"/>
  <c r="X1053" i="1"/>
  <c r="Z1053" i="1" s="1"/>
  <c r="W1053" i="1"/>
  <c r="S1053" i="1"/>
  <c r="Q1053" i="1"/>
  <c r="N1053" i="1"/>
  <c r="L1053" i="1"/>
  <c r="K1053" i="1"/>
  <c r="AB1053" i="1"/>
  <c r="I1053" i="1"/>
  <c r="X1052" i="1"/>
  <c r="Z1052" i="1" s="1"/>
  <c r="W1052" i="1"/>
  <c r="S1052" i="1"/>
  <c r="Q1052" i="1"/>
  <c r="N1052" i="1"/>
  <c r="L1052" i="1"/>
  <c r="K1052" i="1"/>
  <c r="AB1052" i="1"/>
  <c r="I1052" i="1"/>
  <c r="X1051" i="1"/>
  <c r="Z1051" i="1" s="1"/>
  <c r="W1051" i="1"/>
  <c r="S1051" i="1"/>
  <c r="Q1051" i="1"/>
  <c r="N1051" i="1"/>
  <c r="L1051" i="1"/>
  <c r="K1051" i="1"/>
  <c r="AB1051" i="1"/>
  <c r="I1051" i="1"/>
  <c r="X1050" i="1"/>
  <c r="Z1050" i="1" s="1"/>
  <c r="W1050" i="1"/>
  <c r="S1050" i="1"/>
  <c r="Q1050" i="1"/>
  <c r="N1050" i="1"/>
  <c r="L1050" i="1"/>
  <c r="K1050" i="1"/>
  <c r="AB1050" i="1"/>
  <c r="I1050" i="1"/>
  <c r="X1049" i="1"/>
  <c r="Z1049" i="1" s="1"/>
  <c r="W1049" i="1"/>
  <c r="S1049" i="1"/>
  <c r="Q1049" i="1"/>
  <c r="N1049" i="1"/>
  <c r="L1049" i="1"/>
  <c r="K1049" i="1"/>
  <c r="AB1049" i="1"/>
  <c r="I1049" i="1"/>
  <c r="X1048" i="1"/>
  <c r="Z1048" i="1" s="1"/>
  <c r="W1048" i="1"/>
  <c r="S1048" i="1"/>
  <c r="Q1048" i="1"/>
  <c r="N1048" i="1"/>
  <c r="L1048" i="1"/>
  <c r="K1048" i="1"/>
  <c r="AB1048" i="1"/>
  <c r="I1048" i="1"/>
  <c r="X1047" i="1"/>
  <c r="Z1047" i="1" s="1"/>
  <c r="W1047" i="1"/>
  <c r="S1047" i="1"/>
  <c r="Q1047" i="1"/>
  <c r="N1047" i="1"/>
  <c r="L1047" i="1"/>
  <c r="K1047" i="1"/>
  <c r="AB1047" i="1"/>
  <c r="I1047" i="1"/>
  <c r="X1046" i="1"/>
  <c r="Z1046" i="1" s="1"/>
  <c r="W1046" i="1"/>
  <c r="S1046" i="1"/>
  <c r="Q1046" i="1"/>
  <c r="N1046" i="1"/>
  <c r="L1046" i="1"/>
  <c r="K1046" i="1"/>
  <c r="AB1046" i="1"/>
  <c r="I1046" i="1"/>
  <c r="X1045" i="1"/>
  <c r="Z1045" i="1" s="1"/>
  <c r="W1045" i="1"/>
  <c r="S1045" i="1"/>
  <c r="Q1045" i="1"/>
  <c r="N1045" i="1"/>
  <c r="L1045" i="1"/>
  <c r="K1045" i="1"/>
  <c r="AB1045" i="1"/>
  <c r="I1045" i="1"/>
  <c r="X1044" i="1"/>
  <c r="Z1044" i="1" s="1"/>
  <c r="W1044" i="1"/>
  <c r="S1044" i="1"/>
  <c r="Q1044" i="1"/>
  <c r="N1044" i="1"/>
  <c r="L1044" i="1"/>
  <c r="K1044" i="1"/>
  <c r="AB1044" i="1"/>
  <c r="I1044" i="1"/>
  <c r="X1043" i="1"/>
  <c r="Z1043" i="1" s="1"/>
  <c r="W1043" i="1"/>
  <c r="S1043" i="1"/>
  <c r="Q1043" i="1"/>
  <c r="N1043" i="1"/>
  <c r="L1043" i="1"/>
  <c r="K1043" i="1"/>
  <c r="AB1043" i="1"/>
  <c r="I1043" i="1"/>
  <c r="X1042" i="1"/>
  <c r="Z1042" i="1" s="1"/>
  <c r="W1042" i="1"/>
  <c r="S1042" i="1"/>
  <c r="Q1042" i="1"/>
  <c r="N1042" i="1"/>
  <c r="L1042" i="1"/>
  <c r="Y1042" i="1" s="1"/>
  <c r="K1042" i="1"/>
  <c r="AB1042" i="1"/>
  <c r="I1042" i="1"/>
  <c r="X1041" i="1"/>
  <c r="Z1041" i="1" s="1"/>
  <c r="W1041" i="1"/>
  <c r="S1041" i="1"/>
  <c r="Q1041" i="1"/>
  <c r="N1041" i="1"/>
  <c r="L1041" i="1"/>
  <c r="K1041" i="1"/>
  <c r="AB1041" i="1"/>
  <c r="I1041" i="1"/>
  <c r="X1040" i="1"/>
  <c r="Z1040" i="1" s="1"/>
  <c r="W1040" i="1"/>
  <c r="S1040" i="1"/>
  <c r="Q1040" i="1"/>
  <c r="N1040" i="1"/>
  <c r="L1040" i="1"/>
  <c r="K1040" i="1"/>
  <c r="AB1040" i="1"/>
  <c r="I1040" i="1"/>
  <c r="X1039" i="1"/>
  <c r="Z1039" i="1" s="1"/>
  <c r="W1039" i="1"/>
  <c r="S1039" i="1"/>
  <c r="Q1039" i="1"/>
  <c r="N1039" i="1"/>
  <c r="L1039" i="1"/>
  <c r="K1039" i="1"/>
  <c r="AB1039" i="1"/>
  <c r="I1039" i="1"/>
  <c r="X1038" i="1"/>
  <c r="Z1038" i="1" s="1"/>
  <c r="W1038" i="1"/>
  <c r="S1038" i="1"/>
  <c r="Q1038" i="1"/>
  <c r="N1038" i="1"/>
  <c r="L1038" i="1"/>
  <c r="K1038" i="1"/>
  <c r="AB1038" i="1"/>
  <c r="I1038" i="1"/>
  <c r="X1037" i="1"/>
  <c r="Z1037" i="1" s="1"/>
  <c r="W1037" i="1"/>
  <c r="S1037" i="1"/>
  <c r="Q1037" i="1"/>
  <c r="N1037" i="1"/>
  <c r="L1037" i="1"/>
  <c r="K1037" i="1"/>
  <c r="AB1037" i="1"/>
  <c r="I1037" i="1"/>
  <c r="X1036" i="1"/>
  <c r="Z1036" i="1" s="1"/>
  <c r="W1036" i="1"/>
  <c r="S1036" i="1"/>
  <c r="Q1036" i="1"/>
  <c r="N1036" i="1"/>
  <c r="L1036" i="1"/>
  <c r="K1036" i="1"/>
  <c r="AB1036" i="1"/>
  <c r="I1036" i="1"/>
  <c r="X1035" i="1"/>
  <c r="Z1035" i="1" s="1"/>
  <c r="W1035" i="1"/>
  <c r="S1035" i="1"/>
  <c r="Q1035" i="1"/>
  <c r="N1035" i="1"/>
  <c r="L1035" i="1"/>
  <c r="K1035" i="1"/>
  <c r="AB1035" i="1"/>
  <c r="I1035" i="1"/>
  <c r="X1034" i="1"/>
  <c r="Z1034" i="1" s="1"/>
  <c r="W1034" i="1"/>
  <c r="S1034" i="1"/>
  <c r="Q1034" i="1"/>
  <c r="N1034" i="1"/>
  <c r="L1034" i="1"/>
  <c r="K1034" i="1"/>
  <c r="AB1034" i="1"/>
  <c r="I1034" i="1"/>
  <c r="X1033" i="1"/>
  <c r="Z1033" i="1" s="1"/>
  <c r="W1033" i="1"/>
  <c r="S1033" i="1"/>
  <c r="Q1033" i="1"/>
  <c r="N1033" i="1"/>
  <c r="L1033" i="1"/>
  <c r="K1033" i="1"/>
  <c r="AB1033" i="1"/>
  <c r="I1033" i="1"/>
  <c r="X1032" i="1"/>
  <c r="Z1032" i="1" s="1"/>
  <c r="W1032" i="1"/>
  <c r="S1032" i="1"/>
  <c r="Q1032" i="1"/>
  <c r="N1032" i="1"/>
  <c r="L1032" i="1"/>
  <c r="K1032" i="1"/>
  <c r="AB1032" i="1"/>
  <c r="I1032" i="1"/>
  <c r="X1031" i="1"/>
  <c r="Z1031" i="1" s="1"/>
  <c r="W1031" i="1"/>
  <c r="S1031" i="1"/>
  <c r="Q1031" i="1"/>
  <c r="N1031" i="1"/>
  <c r="L1031" i="1"/>
  <c r="K1031" i="1"/>
  <c r="AB1031" i="1"/>
  <c r="I1031" i="1"/>
  <c r="X1030" i="1"/>
  <c r="Z1030" i="1" s="1"/>
  <c r="W1030" i="1"/>
  <c r="S1030" i="1"/>
  <c r="Q1030" i="1"/>
  <c r="N1030" i="1"/>
  <c r="L1030" i="1"/>
  <c r="K1030" i="1"/>
  <c r="AB1030" i="1"/>
  <c r="I1030" i="1"/>
  <c r="X1029" i="1"/>
  <c r="Z1029" i="1" s="1"/>
  <c r="W1029" i="1"/>
  <c r="S1029" i="1"/>
  <c r="Q1029" i="1"/>
  <c r="N1029" i="1"/>
  <c r="L1029" i="1"/>
  <c r="K1029" i="1"/>
  <c r="AB1029" i="1"/>
  <c r="I1029" i="1"/>
  <c r="X1028" i="1"/>
  <c r="Z1028" i="1" s="1"/>
  <c r="W1028" i="1"/>
  <c r="S1028" i="1"/>
  <c r="Q1028" i="1"/>
  <c r="N1028" i="1"/>
  <c r="L1028" i="1"/>
  <c r="K1028" i="1"/>
  <c r="AB1028" i="1"/>
  <c r="I1028" i="1"/>
  <c r="X1027" i="1"/>
  <c r="Z1027" i="1" s="1"/>
  <c r="W1027" i="1"/>
  <c r="S1027" i="1"/>
  <c r="Q1027" i="1"/>
  <c r="N1027" i="1"/>
  <c r="L1027" i="1"/>
  <c r="K1027" i="1"/>
  <c r="AB1027" i="1"/>
  <c r="I1027" i="1"/>
  <c r="X1026" i="1"/>
  <c r="Z1026" i="1" s="1"/>
  <c r="W1026" i="1"/>
  <c r="S1026" i="1"/>
  <c r="Q1026" i="1"/>
  <c r="N1026" i="1"/>
  <c r="L1026" i="1"/>
  <c r="K1026" i="1"/>
  <c r="AB1026" i="1"/>
  <c r="I1026" i="1"/>
  <c r="X1025" i="1"/>
  <c r="Z1025" i="1" s="1"/>
  <c r="W1025" i="1"/>
  <c r="S1025" i="1"/>
  <c r="Q1025" i="1"/>
  <c r="N1025" i="1"/>
  <c r="L1025" i="1"/>
  <c r="K1025" i="1"/>
  <c r="AB1025" i="1"/>
  <c r="I1025" i="1"/>
  <c r="X1024" i="1"/>
  <c r="Z1024" i="1" s="1"/>
  <c r="W1024" i="1"/>
  <c r="S1024" i="1"/>
  <c r="Q1024" i="1"/>
  <c r="N1024" i="1"/>
  <c r="L1024" i="1"/>
  <c r="K1024" i="1"/>
  <c r="AB1024" i="1"/>
  <c r="I1024" i="1"/>
  <c r="X1023" i="1"/>
  <c r="Z1023" i="1" s="1"/>
  <c r="W1023" i="1"/>
  <c r="S1023" i="1"/>
  <c r="Q1023" i="1"/>
  <c r="N1023" i="1"/>
  <c r="L1023" i="1"/>
  <c r="K1023" i="1"/>
  <c r="AB1023" i="1"/>
  <c r="I1023" i="1"/>
  <c r="X1022" i="1"/>
  <c r="Z1022" i="1" s="1"/>
  <c r="W1022" i="1"/>
  <c r="S1022" i="1"/>
  <c r="Q1022" i="1"/>
  <c r="N1022" i="1"/>
  <c r="L1022" i="1"/>
  <c r="K1022" i="1"/>
  <c r="AB1022" i="1"/>
  <c r="I1022" i="1"/>
  <c r="X1021" i="1"/>
  <c r="Z1021" i="1" s="1"/>
  <c r="W1021" i="1"/>
  <c r="S1021" i="1"/>
  <c r="Q1021" i="1"/>
  <c r="N1021" i="1"/>
  <c r="L1021" i="1"/>
  <c r="K1021" i="1"/>
  <c r="AB1021" i="1"/>
  <c r="I1021" i="1"/>
  <c r="X1020" i="1"/>
  <c r="Z1020" i="1" s="1"/>
  <c r="W1020" i="1"/>
  <c r="S1020" i="1"/>
  <c r="Q1020" i="1"/>
  <c r="N1020" i="1"/>
  <c r="L1020" i="1"/>
  <c r="K1020" i="1"/>
  <c r="AB1020" i="1"/>
  <c r="I1020" i="1"/>
  <c r="X1019" i="1"/>
  <c r="Z1019" i="1" s="1"/>
  <c r="W1019" i="1"/>
  <c r="S1019" i="1"/>
  <c r="Q1019" i="1"/>
  <c r="N1019" i="1"/>
  <c r="L1019" i="1"/>
  <c r="K1019" i="1"/>
  <c r="AB1019" i="1"/>
  <c r="I1019" i="1"/>
  <c r="X1018" i="1"/>
  <c r="Z1018" i="1" s="1"/>
  <c r="W1018" i="1"/>
  <c r="S1018" i="1"/>
  <c r="Q1018" i="1"/>
  <c r="N1018" i="1"/>
  <c r="L1018" i="1"/>
  <c r="K1018" i="1"/>
  <c r="AB1018" i="1"/>
  <c r="I1018" i="1"/>
  <c r="X1017" i="1"/>
  <c r="Z1017" i="1" s="1"/>
  <c r="W1017" i="1"/>
  <c r="S1017" i="1"/>
  <c r="Q1017" i="1"/>
  <c r="N1017" i="1"/>
  <c r="L1017" i="1"/>
  <c r="K1017" i="1"/>
  <c r="AB1017" i="1"/>
  <c r="I1017" i="1"/>
  <c r="X1016" i="1"/>
  <c r="Z1016" i="1" s="1"/>
  <c r="W1016" i="1"/>
  <c r="S1016" i="1"/>
  <c r="Q1016" i="1"/>
  <c r="N1016" i="1"/>
  <c r="L1016" i="1"/>
  <c r="K1016" i="1"/>
  <c r="AB1016" i="1"/>
  <c r="I1016" i="1"/>
  <c r="X1015" i="1"/>
  <c r="Z1015" i="1" s="1"/>
  <c r="W1015" i="1"/>
  <c r="S1015" i="1"/>
  <c r="Q1015" i="1"/>
  <c r="N1015" i="1"/>
  <c r="L1015" i="1"/>
  <c r="K1015" i="1"/>
  <c r="AB1015" i="1"/>
  <c r="I1015" i="1"/>
  <c r="X1014" i="1"/>
  <c r="Z1014" i="1" s="1"/>
  <c r="W1014" i="1"/>
  <c r="S1014" i="1"/>
  <c r="Q1014" i="1"/>
  <c r="N1014" i="1"/>
  <c r="L1014" i="1"/>
  <c r="Y1014" i="1" s="1"/>
  <c r="K1014" i="1"/>
  <c r="AB1014" i="1"/>
  <c r="I1014" i="1"/>
  <c r="X1013" i="1"/>
  <c r="Z1013" i="1" s="1"/>
  <c r="W1013" i="1"/>
  <c r="S1013" i="1"/>
  <c r="Q1013" i="1"/>
  <c r="N1013" i="1"/>
  <c r="L1013" i="1"/>
  <c r="K1013" i="1"/>
  <c r="AB1013" i="1"/>
  <c r="I1013" i="1"/>
  <c r="X1012" i="1"/>
  <c r="Z1012" i="1" s="1"/>
  <c r="W1012" i="1"/>
  <c r="S1012" i="1"/>
  <c r="Q1012" i="1"/>
  <c r="N1012" i="1"/>
  <c r="L1012" i="1"/>
  <c r="K1012" i="1"/>
  <c r="AB1012" i="1"/>
  <c r="I1012" i="1"/>
  <c r="X1011" i="1"/>
  <c r="Z1011" i="1" s="1"/>
  <c r="W1011" i="1"/>
  <c r="S1011" i="1"/>
  <c r="Q1011" i="1"/>
  <c r="N1011" i="1"/>
  <c r="L1011" i="1"/>
  <c r="K1011" i="1"/>
  <c r="AB1011" i="1"/>
  <c r="I1011" i="1"/>
  <c r="X1010" i="1"/>
  <c r="Z1010" i="1" s="1"/>
  <c r="W1010" i="1"/>
  <c r="S1010" i="1"/>
  <c r="Q1010" i="1"/>
  <c r="N1010" i="1"/>
  <c r="L1010" i="1"/>
  <c r="K1010" i="1"/>
  <c r="AB1010" i="1"/>
  <c r="I1010" i="1"/>
  <c r="X1009" i="1"/>
  <c r="Z1009" i="1" s="1"/>
  <c r="W1009" i="1"/>
  <c r="S1009" i="1"/>
  <c r="Q1009" i="1"/>
  <c r="N1009" i="1"/>
  <c r="L1009" i="1"/>
  <c r="K1009" i="1"/>
  <c r="AB1009" i="1"/>
  <c r="I1009" i="1"/>
  <c r="X1008" i="1"/>
  <c r="Z1008" i="1" s="1"/>
  <c r="W1008" i="1"/>
  <c r="S1008" i="1"/>
  <c r="Q1008" i="1"/>
  <c r="N1008" i="1"/>
  <c r="L1008" i="1"/>
  <c r="K1008" i="1"/>
  <c r="AB1008" i="1"/>
  <c r="I1008" i="1"/>
  <c r="X1007" i="1"/>
  <c r="Z1007" i="1" s="1"/>
  <c r="W1007" i="1"/>
  <c r="S1007" i="1"/>
  <c r="Q1007" i="1"/>
  <c r="N1007" i="1"/>
  <c r="L1007" i="1"/>
  <c r="K1007" i="1"/>
  <c r="AB1007" i="1"/>
  <c r="I1007" i="1"/>
  <c r="X1006" i="1"/>
  <c r="Z1006" i="1" s="1"/>
  <c r="W1006" i="1"/>
  <c r="S1006" i="1"/>
  <c r="Q1006" i="1"/>
  <c r="N1006" i="1"/>
  <c r="L1006" i="1"/>
  <c r="Y1006" i="1" s="1"/>
  <c r="K1006" i="1"/>
  <c r="AB1006" i="1"/>
  <c r="I1006" i="1"/>
  <c r="X1005" i="1"/>
  <c r="Z1005" i="1" s="1"/>
  <c r="W1005" i="1"/>
  <c r="S1005" i="1"/>
  <c r="Q1005" i="1"/>
  <c r="N1005" i="1"/>
  <c r="L1005" i="1"/>
  <c r="K1005" i="1"/>
  <c r="AB1005" i="1"/>
  <c r="I1005" i="1"/>
  <c r="X1004" i="1"/>
  <c r="Z1004" i="1" s="1"/>
  <c r="W1004" i="1"/>
  <c r="S1004" i="1"/>
  <c r="Q1004" i="1"/>
  <c r="N1004" i="1"/>
  <c r="L1004" i="1"/>
  <c r="K1004" i="1"/>
  <c r="AB1004" i="1"/>
  <c r="I1004" i="1"/>
  <c r="X1003" i="1"/>
  <c r="Z1003" i="1" s="1"/>
  <c r="W1003" i="1"/>
  <c r="S1003" i="1"/>
  <c r="Q1003" i="1"/>
  <c r="N1003" i="1"/>
  <c r="L1003" i="1"/>
  <c r="K1003" i="1"/>
  <c r="AB1003" i="1"/>
  <c r="I1003" i="1"/>
  <c r="X1002" i="1"/>
  <c r="Z1002" i="1" s="1"/>
  <c r="W1002" i="1"/>
  <c r="S1002" i="1"/>
  <c r="Q1002" i="1"/>
  <c r="N1002" i="1"/>
  <c r="L1002" i="1"/>
  <c r="K1002" i="1"/>
  <c r="AB1002" i="1"/>
  <c r="I1002" i="1"/>
  <c r="X1001" i="1"/>
  <c r="Z1001" i="1" s="1"/>
  <c r="W1001" i="1"/>
  <c r="S1001" i="1"/>
  <c r="Q1001" i="1"/>
  <c r="N1001" i="1"/>
  <c r="L1001" i="1"/>
  <c r="K1001" i="1"/>
  <c r="AB1001" i="1"/>
  <c r="I1001" i="1"/>
  <c r="X1000" i="1"/>
  <c r="Z1000" i="1" s="1"/>
  <c r="W1000" i="1"/>
  <c r="S1000" i="1"/>
  <c r="Q1000" i="1"/>
  <c r="N1000" i="1"/>
  <c r="L1000" i="1"/>
  <c r="K1000" i="1"/>
  <c r="AB1000" i="1"/>
  <c r="I1000" i="1"/>
  <c r="X999" i="1"/>
  <c r="Z999" i="1" s="1"/>
  <c r="W999" i="1"/>
  <c r="S999" i="1"/>
  <c r="Q999" i="1"/>
  <c r="N999" i="1"/>
  <c r="L999" i="1"/>
  <c r="K999" i="1"/>
  <c r="AB999" i="1"/>
  <c r="I999" i="1"/>
  <c r="X998" i="1"/>
  <c r="Z998" i="1" s="1"/>
  <c r="W998" i="1"/>
  <c r="S998" i="1"/>
  <c r="Q998" i="1"/>
  <c r="N998" i="1"/>
  <c r="L998" i="1"/>
  <c r="K998" i="1"/>
  <c r="AB998" i="1"/>
  <c r="I998" i="1"/>
  <c r="X997" i="1"/>
  <c r="Z997" i="1" s="1"/>
  <c r="W997" i="1"/>
  <c r="S997" i="1"/>
  <c r="Q997" i="1"/>
  <c r="N997" i="1"/>
  <c r="L997" i="1"/>
  <c r="K997" i="1"/>
  <c r="AB997" i="1"/>
  <c r="I997" i="1"/>
  <c r="X996" i="1"/>
  <c r="Z996" i="1" s="1"/>
  <c r="W996" i="1"/>
  <c r="S996" i="1"/>
  <c r="Q996" i="1"/>
  <c r="N996" i="1"/>
  <c r="L996" i="1"/>
  <c r="K996" i="1"/>
  <c r="AB996" i="1"/>
  <c r="I996" i="1"/>
  <c r="X995" i="1"/>
  <c r="Z995" i="1" s="1"/>
  <c r="W995" i="1"/>
  <c r="S995" i="1"/>
  <c r="Q995" i="1"/>
  <c r="N995" i="1"/>
  <c r="L995" i="1"/>
  <c r="K995" i="1"/>
  <c r="AB995" i="1"/>
  <c r="I995" i="1"/>
  <c r="X994" i="1"/>
  <c r="Z994" i="1" s="1"/>
  <c r="W994" i="1"/>
  <c r="S994" i="1"/>
  <c r="Q994" i="1"/>
  <c r="N994" i="1"/>
  <c r="L994" i="1"/>
  <c r="K994" i="1"/>
  <c r="AB994" i="1"/>
  <c r="I994" i="1"/>
  <c r="X993" i="1"/>
  <c r="Z993" i="1" s="1"/>
  <c r="W993" i="1"/>
  <c r="S993" i="1"/>
  <c r="Q993" i="1"/>
  <c r="N993" i="1"/>
  <c r="L993" i="1"/>
  <c r="K993" i="1"/>
  <c r="AB993" i="1"/>
  <c r="I993" i="1"/>
  <c r="X992" i="1"/>
  <c r="Z992" i="1" s="1"/>
  <c r="W992" i="1"/>
  <c r="S992" i="1"/>
  <c r="Q992" i="1"/>
  <c r="N992" i="1"/>
  <c r="L992" i="1"/>
  <c r="K992" i="1"/>
  <c r="AB992" i="1"/>
  <c r="I992" i="1"/>
  <c r="X991" i="1"/>
  <c r="Z991" i="1" s="1"/>
  <c r="W991" i="1"/>
  <c r="S991" i="1"/>
  <c r="Q991" i="1"/>
  <c r="N991" i="1"/>
  <c r="L991" i="1"/>
  <c r="K991" i="1"/>
  <c r="AB991" i="1"/>
  <c r="I991" i="1"/>
  <c r="X990" i="1"/>
  <c r="Z990" i="1" s="1"/>
  <c r="W990" i="1"/>
  <c r="S990" i="1"/>
  <c r="Q990" i="1"/>
  <c r="N990" i="1"/>
  <c r="L990" i="1"/>
  <c r="Y990" i="1" s="1"/>
  <c r="K990" i="1"/>
  <c r="AB990" i="1"/>
  <c r="I990" i="1"/>
  <c r="X989" i="1"/>
  <c r="Z989" i="1" s="1"/>
  <c r="W989" i="1"/>
  <c r="S989" i="1"/>
  <c r="Q989" i="1"/>
  <c r="N989" i="1"/>
  <c r="L989" i="1"/>
  <c r="K989" i="1"/>
  <c r="AB989" i="1"/>
  <c r="I989" i="1"/>
  <c r="X988" i="1"/>
  <c r="Z988" i="1" s="1"/>
  <c r="W988" i="1"/>
  <c r="S988" i="1"/>
  <c r="Q988" i="1"/>
  <c r="N988" i="1"/>
  <c r="L988" i="1"/>
  <c r="K988" i="1"/>
  <c r="AB988" i="1"/>
  <c r="I988" i="1"/>
  <c r="X987" i="1"/>
  <c r="Z987" i="1" s="1"/>
  <c r="W987" i="1"/>
  <c r="S987" i="1"/>
  <c r="Q987" i="1"/>
  <c r="N987" i="1"/>
  <c r="L987" i="1"/>
  <c r="K987" i="1"/>
  <c r="AB987" i="1"/>
  <c r="I987" i="1"/>
  <c r="X986" i="1"/>
  <c r="Z986" i="1" s="1"/>
  <c r="W986" i="1"/>
  <c r="S986" i="1"/>
  <c r="Q986" i="1"/>
  <c r="N986" i="1"/>
  <c r="L986" i="1"/>
  <c r="Y986" i="1" s="1"/>
  <c r="K986" i="1"/>
  <c r="AB986" i="1"/>
  <c r="I986" i="1"/>
  <c r="X985" i="1"/>
  <c r="Z985" i="1" s="1"/>
  <c r="W985" i="1"/>
  <c r="S985" i="1"/>
  <c r="Q985" i="1"/>
  <c r="N985" i="1"/>
  <c r="L985" i="1"/>
  <c r="K985" i="1"/>
  <c r="AB985" i="1"/>
  <c r="I985" i="1"/>
  <c r="X984" i="1"/>
  <c r="Z984" i="1" s="1"/>
  <c r="W984" i="1"/>
  <c r="S984" i="1"/>
  <c r="Q984" i="1"/>
  <c r="N984" i="1"/>
  <c r="L984" i="1"/>
  <c r="K984" i="1"/>
  <c r="AB984" i="1"/>
  <c r="I984" i="1"/>
  <c r="X983" i="1"/>
  <c r="Z983" i="1" s="1"/>
  <c r="W983" i="1"/>
  <c r="S983" i="1"/>
  <c r="Q983" i="1"/>
  <c r="N983" i="1"/>
  <c r="L983" i="1"/>
  <c r="K983" i="1"/>
  <c r="AB983" i="1"/>
  <c r="I983" i="1"/>
  <c r="X982" i="1"/>
  <c r="Z982" i="1" s="1"/>
  <c r="W982" i="1"/>
  <c r="S982" i="1"/>
  <c r="Q982" i="1"/>
  <c r="N982" i="1"/>
  <c r="L982" i="1"/>
  <c r="Y982" i="1" s="1"/>
  <c r="K982" i="1"/>
  <c r="AB982" i="1"/>
  <c r="I982" i="1"/>
  <c r="X981" i="1"/>
  <c r="Z981" i="1" s="1"/>
  <c r="W981" i="1"/>
  <c r="S981" i="1"/>
  <c r="Q981" i="1"/>
  <c r="N981" i="1"/>
  <c r="L981" i="1"/>
  <c r="K981" i="1"/>
  <c r="AB981" i="1"/>
  <c r="I981" i="1"/>
  <c r="X980" i="1"/>
  <c r="Z980" i="1" s="1"/>
  <c r="W980" i="1"/>
  <c r="S980" i="1"/>
  <c r="Q980" i="1"/>
  <c r="N980" i="1"/>
  <c r="L980" i="1"/>
  <c r="K980" i="1"/>
  <c r="AB980" i="1"/>
  <c r="I980" i="1"/>
  <c r="X979" i="1"/>
  <c r="Z979" i="1" s="1"/>
  <c r="W979" i="1"/>
  <c r="S979" i="1"/>
  <c r="Q979" i="1"/>
  <c r="N979" i="1"/>
  <c r="L979" i="1"/>
  <c r="K979" i="1"/>
  <c r="AB979" i="1"/>
  <c r="I979" i="1"/>
  <c r="X978" i="1"/>
  <c r="Z978" i="1" s="1"/>
  <c r="W978" i="1"/>
  <c r="S978" i="1"/>
  <c r="Q978" i="1"/>
  <c r="N978" i="1"/>
  <c r="L978" i="1"/>
  <c r="K978" i="1"/>
  <c r="AB978" i="1"/>
  <c r="I978" i="1"/>
  <c r="X977" i="1"/>
  <c r="Z977" i="1" s="1"/>
  <c r="W977" i="1"/>
  <c r="S977" i="1"/>
  <c r="Q977" i="1"/>
  <c r="N977" i="1"/>
  <c r="L977" i="1"/>
  <c r="K977" i="1"/>
  <c r="AB977" i="1"/>
  <c r="I977" i="1"/>
  <c r="X976" i="1"/>
  <c r="Z976" i="1" s="1"/>
  <c r="W976" i="1"/>
  <c r="S976" i="1"/>
  <c r="Q976" i="1"/>
  <c r="N976" i="1"/>
  <c r="L976" i="1"/>
  <c r="K976" i="1"/>
  <c r="AB976" i="1"/>
  <c r="I976" i="1"/>
  <c r="X975" i="1"/>
  <c r="Z975" i="1" s="1"/>
  <c r="W975" i="1"/>
  <c r="S975" i="1"/>
  <c r="Q975" i="1"/>
  <c r="N975" i="1"/>
  <c r="L975" i="1"/>
  <c r="K975" i="1"/>
  <c r="AB975" i="1"/>
  <c r="I975" i="1"/>
  <c r="X974" i="1"/>
  <c r="Z974" i="1" s="1"/>
  <c r="W974" i="1"/>
  <c r="S974" i="1"/>
  <c r="Q974" i="1"/>
  <c r="N974" i="1"/>
  <c r="L974" i="1"/>
  <c r="Y974" i="1" s="1"/>
  <c r="K974" i="1"/>
  <c r="AB974" i="1"/>
  <c r="I974" i="1"/>
  <c r="X973" i="1"/>
  <c r="Z973" i="1" s="1"/>
  <c r="W973" i="1"/>
  <c r="S973" i="1"/>
  <c r="Q973" i="1"/>
  <c r="N973" i="1"/>
  <c r="L973" i="1"/>
  <c r="K973" i="1"/>
  <c r="AB973" i="1"/>
  <c r="I973" i="1"/>
  <c r="X972" i="1"/>
  <c r="Z972" i="1" s="1"/>
  <c r="W972" i="1"/>
  <c r="S972" i="1"/>
  <c r="Q972" i="1"/>
  <c r="N972" i="1"/>
  <c r="L972" i="1"/>
  <c r="K972" i="1"/>
  <c r="AB972" i="1"/>
  <c r="I972" i="1"/>
  <c r="X971" i="1"/>
  <c r="Z971" i="1" s="1"/>
  <c r="W971" i="1"/>
  <c r="S971" i="1"/>
  <c r="Q971" i="1"/>
  <c r="N971" i="1"/>
  <c r="L971" i="1"/>
  <c r="K971" i="1"/>
  <c r="AB971" i="1"/>
  <c r="I971" i="1"/>
  <c r="X970" i="1"/>
  <c r="Z970" i="1" s="1"/>
  <c r="W970" i="1"/>
  <c r="S970" i="1"/>
  <c r="Q970" i="1"/>
  <c r="N970" i="1"/>
  <c r="L970" i="1"/>
  <c r="K970" i="1"/>
  <c r="AB970" i="1"/>
  <c r="I970" i="1"/>
  <c r="X969" i="1"/>
  <c r="Z969" i="1" s="1"/>
  <c r="W969" i="1"/>
  <c r="S969" i="1"/>
  <c r="Q969" i="1"/>
  <c r="N969" i="1"/>
  <c r="L969" i="1"/>
  <c r="K969" i="1"/>
  <c r="AB969" i="1"/>
  <c r="I969" i="1"/>
  <c r="X968" i="1"/>
  <c r="Z968" i="1" s="1"/>
  <c r="W968" i="1"/>
  <c r="S968" i="1"/>
  <c r="Q968" i="1"/>
  <c r="N968" i="1"/>
  <c r="L968" i="1"/>
  <c r="K968" i="1"/>
  <c r="AB968" i="1"/>
  <c r="I968" i="1"/>
  <c r="X967" i="1"/>
  <c r="Z967" i="1" s="1"/>
  <c r="W967" i="1"/>
  <c r="S967" i="1"/>
  <c r="Q967" i="1"/>
  <c r="N967" i="1"/>
  <c r="L967" i="1"/>
  <c r="K967" i="1"/>
  <c r="AB967" i="1"/>
  <c r="I967" i="1"/>
  <c r="X966" i="1"/>
  <c r="Z966" i="1" s="1"/>
  <c r="W966" i="1"/>
  <c r="S966" i="1"/>
  <c r="Q966" i="1"/>
  <c r="N966" i="1"/>
  <c r="L966" i="1"/>
  <c r="K966" i="1"/>
  <c r="AB966" i="1"/>
  <c r="I966" i="1"/>
  <c r="X965" i="1"/>
  <c r="Z965" i="1" s="1"/>
  <c r="W965" i="1"/>
  <c r="S965" i="1"/>
  <c r="Q965" i="1"/>
  <c r="N965" i="1"/>
  <c r="L965" i="1"/>
  <c r="K965" i="1"/>
  <c r="AB965" i="1"/>
  <c r="I965" i="1"/>
  <c r="X964" i="1"/>
  <c r="Z964" i="1" s="1"/>
  <c r="W964" i="1"/>
  <c r="S964" i="1"/>
  <c r="Q964" i="1"/>
  <c r="N964" i="1"/>
  <c r="L964" i="1"/>
  <c r="K964" i="1"/>
  <c r="AB964" i="1"/>
  <c r="I964" i="1"/>
  <c r="X963" i="1"/>
  <c r="Z963" i="1" s="1"/>
  <c r="W963" i="1"/>
  <c r="S963" i="1"/>
  <c r="Q963" i="1"/>
  <c r="N963" i="1"/>
  <c r="L963" i="1"/>
  <c r="K963" i="1"/>
  <c r="AB963" i="1"/>
  <c r="I963" i="1"/>
  <c r="X962" i="1"/>
  <c r="Z962" i="1" s="1"/>
  <c r="W962" i="1"/>
  <c r="S962" i="1"/>
  <c r="Q962" i="1"/>
  <c r="N962" i="1"/>
  <c r="L962" i="1"/>
  <c r="K962" i="1"/>
  <c r="AB962" i="1"/>
  <c r="I962" i="1"/>
  <c r="X961" i="1"/>
  <c r="Z961" i="1" s="1"/>
  <c r="W961" i="1"/>
  <c r="S961" i="1"/>
  <c r="Q961" i="1"/>
  <c r="N961" i="1"/>
  <c r="L961" i="1"/>
  <c r="K961" i="1"/>
  <c r="AB961" i="1"/>
  <c r="I961" i="1"/>
  <c r="X960" i="1"/>
  <c r="Z960" i="1" s="1"/>
  <c r="W960" i="1"/>
  <c r="S960" i="1"/>
  <c r="Q960" i="1"/>
  <c r="N960" i="1"/>
  <c r="L960" i="1"/>
  <c r="K960" i="1"/>
  <c r="AB960" i="1"/>
  <c r="I960" i="1"/>
  <c r="X959" i="1"/>
  <c r="Z959" i="1" s="1"/>
  <c r="W959" i="1"/>
  <c r="S959" i="1"/>
  <c r="Q959" i="1"/>
  <c r="N959" i="1"/>
  <c r="L959" i="1"/>
  <c r="K959" i="1"/>
  <c r="AB959" i="1"/>
  <c r="I959" i="1"/>
  <c r="X958" i="1"/>
  <c r="Z958" i="1" s="1"/>
  <c r="W958" i="1"/>
  <c r="S958" i="1"/>
  <c r="Q958" i="1"/>
  <c r="N958" i="1"/>
  <c r="L958" i="1"/>
  <c r="K958" i="1"/>
  <c r="AB958" i="1"/>
  <c r="I958" i="1"/>
  <c r="X957" i="1"/>
  <c r="Z957" i="1" s="1"/>
  <c r="W957" i="1"/>
  <c r="S957" i="1"/>
  <c r="Q957" i="1"/>
  <c r="N957" i="1"/>
  <c r="L957" i="1"/>
  <c r="K957" i="1"/>
  <c r="AB957" i="1"/>
  <c r="I957" i="1"/>
  <c r="X956" i="1"/>
  <c r="Z956" i="1" s="1"/>
  <c r="W956" i="1"/>
  <c r="S956" i="1"/>
  <c r="Q956" i="1"/>
  <c r="N956" i="1"/>
  <c r="L956" i="1"/>
  <c r="K956" i="1"/>
  <c r="AB956" i="1"/>
  <c r="I956" i="1"/>
  <c r="X955" i="1"/>
  <c r="Z955" i="1" s="1"/>
  <c r="W955" i="1"/>
  <c r="S955" i="1"/>
  <c r="Q955" i="1"/>
  <c r="N955" i="1"/>
  <c r="L955" i="1"/>
  <c r="K955" i="1"/>
  <c r="AB955" i="1"/>
  <c r="I955" i="1"/>
  <c r="X954" i="1"/>
  <c r="Z954" i="1" s="1"/>
  <c r="W954" i="1"/>
  <c r="S954" i="1"/>
  <c r="Q954" i="1"/>
  <c r="N954" i="1"/>
  <c r="L954" i="1"/>
  <c r="K954" i="1"/>
  <c r="AB954" i="1"/>
  <c r="I954" i="1"/>
  <c r="X953" i="1"/>
  <c r="Z953" i="1" s="1"/>
  <c r="W953" i="1"/>
  <c r="S953" i="1"/>
  <c r="Q953" i="1"/>
  <c r="N953" i="1"/>
  <c r="L953" i="1"/>
  <c r="K953" i="1"/>
  <c r="AB953" i="1"/>
  <c r="I953" i="1"/>
  <c r="X952" i="1"/>
  <c r="Z952" i="1" s="1"/>
  <c r="W952" i="1"/>
  <c r="S952" i="1"/>
  <c r="Q952" i="1"/>
  <c r="N952" i="1"/>
  <c r="L952" i="1"/>
  <c r="K952" i="1"/>
  <c r="AB952" i="1"/>
  <c r="I952" i="1"/>
  <c r="X951" i="1"/>
  <c r="Z951" i="1" s="1"/>
  <c r="W951" i="1"/>
  <c r="S951" i="1"/>
  <c r="Q951" i="1"/>
  <c r="N951" i="1"/>
  <c r="L951" i="1"/>
  <c r="K951" i="1"/>
  <c r="AB951" i="1"/>
  <c r="I951" i="1"/>
  <c r="X950" i="1"/>
  <c r="Z950" i="1" s="1"/>
  <c r="W950" i="1"/>
  <c r="S950" i="1"/>
  <c r="Q950" i="1"/>
  <c r="N950" i="1"/>
  <c r="L950" i="1"/>
  <c r="K950" i="1"/>
  <c r="AB950" i="1"/>
  <c r="I950" i="1"/>
  <c r="X949" i="1"/>
  <c r="Z949" i="1" s="1"/>
  <c r="W949" i="1"/>
  <c r="S949" i="1"/>
  <c r="Q949" i="1"/>
  <c r="N949" i="1"/>
  <c r="L949" i="1"/>
  <c r="K949" i="1"/>
  <c r="AB949" i="1"/>
  <c r="I949" i="1"/>
  <c r="X948" i="1"/>
  <c r="Z948" i="1" s="1"/>
  <c r="W948" i="1"/>
  <c r="S948" i="1"/>
  <c r="Q948" i="1"/>
  <c r="N948" i="1"/>
  <c r="L948" i="1"/>
  <c r="K948" i="1"/>
  <c r="AB948" i="1"/>
  <c r="I948" i="1"/>
  <c r="X947" i="1"/>
  <c r="Z947" i="1" s="1"/>
  <c r="W947" i="1"/>
  <c r="S947" i="1"/>
  <c r="Q947" i="1"/>
  <c r="N947" i="1"/>
  <c r="L947" i="1"/>
  <c r="K947" i="1"/>
  <c r="AB947" i="1"/>
  <c r="I947" i="1"/>
  <c r="X946" i="1"/>
  <c r="Z946" i="1" s="1"/>
  <c r="W946" i="1"/>
  <c r="S946" i="1"/>
  <c r="Q946" i="1"/>
  <c r="N946" i="1"/>
  <c r="L946" i="1"/>
  <c r="K946" i="1"/>
  <c r="AB946" i="1"/>
  <c r="I946" i="1"/>
  <c r="X945" i="1"/>
  <c r="Z945" i="1" s="1"/>
  <c r="W945" i="1"/>
  <c r="S945" i="1"/>
  <c r="Q945" i="1"/>
  <c r="N945" i="1"/>
  <c r="L945" i="1"/>
  <c r="K945" i="1"/>
  <c r="AB945" i="1"/>
  <c r="I945" i="1"/>
  <c r="X944" i="1"/>
  <c r="Z944" i="1" s="1"/>
  <c r="W944" i="1"/>
  <c r="S944" i="1"/>
  <c r="Q944" i="1"/>
  <c r="N944" i="1"/>
  <c r="L944" i="1"/>
  <c r="K944" i="1"/>
  <c r="AB944" i="1"/>
  <c r="I944" i="1"/>
  <c r="X943" i="1"/>
  <c r="Z943" i="1" s="1"/>
  <c r="W943" i="1"/>
  <c r="S943" i="1"/>
  <c r="Q943" i="1"/>
  <c r="N943" i="1"/>
  <c r="L943" i="1"/>
  <c r="K943" i="1"/>
  <c r="AB943" i="1"/>
  <c r="I943" i="1"/>
  <c r="X942" i="1"/>
  <c r="Z942" i="1" s="1"/>
  <c r="W942" i="1"/>
  <c r="S942" i="1"/>
  <c r="Q942" i="1"/>
  <c r="N942" i="1"/>
  <c r="L942" i="1"/>
  <c r="K942" i="1"/>
  <c r="AB942" i="1"/>
  <c r="I942" i="1"/>
  <c r="X941" i="1"/>
  <c r="Z941" i="1" s="1"/>
  <c r="W941" i="1"/>
  <c r="S941" i="1"/>
  <c r="Q941" i="1"/>
  <c r="N941" i="1"/>
  <c r="L941" i="1"/>
  <c r="K941" i="1"/>
  <c r="AB941" i="1"/>
  <c r="I941" i="1"/>
  <c r="X940" i="1"/>
  <c r="Z940" i="1" s="1"/>
  <c r="W940" i="1"/>
  <c r="S940" i="1"/>
  <c r="Q940" i="1"/>
  <c r="N940" i="1"/>
  <c r="L940" i="1"/>
  <c r="K940" i="1"/>
  <c r="AB940" i="1"/>
  <c r="I940" i="1"/>
  <c r="X939" i="1"/>
  <c r="Z939" i="1" s="1"/>
  <c r="W939" i="1"/>
  <c r="S939" i="1"/>
  <c r="Q939" i="1"/>
  <c r="N939" i="1"/>
  <c r="L939" i="1"/>
  <c r="K939" i="1"/>
  <c r="AB939" i="1"/>
  <c r="I939" i="1"/>
  <c r="X938" i="1"/>
  <c r="Z938" i="1" s="1"/>
  <c r="W938" i="1"/>
  <c r="S938" i="1"/>
  <c r="Q938" i="1"/>
  <c r="N938" i="1"/>
  <c r="L938" i="1"/>
  <c r="K938" i="1"/>
  <c r="AB938" i="1"/>
  <c r="I938" i="1"/>
  <c r="X937" i="1"/>
  <c r="Z937" i="1" s="1"/>
  <c r="W937" i="1"/>
  <c r="S937" i="1"/>
  <c r="Q937" i="1"/>
  <c r="N937" i="1"/>
  <c r="L937" i="1"/>
  <c r="K937" i="1"/>
  <c r="AB937" i="1"/>
  <c r="I937" i="1"/>
  <c r="X936" i="1"/>
  <c r="Z936" i="1" s="1"/>
  <c r="W936" i="1"/>
  <c r="S936" i="1"/>
  <c r="Q936" i="1"/>
  <c r="N936" i="1"/>
  <c r="L936" i="1"/>
  <c r="K936" i="1"/>
  <c r="AB936" i="1"/>
  <c r="I936" i="1"/>
  <c r="X935" i="1"/>
  <c r="Z935" i="1" s="1"/>
  <c r="W935" i="1"/>
  <c r="S935" i="1"/>
  <c r="Q935" i="1"/>
  <c r="N935" i="1"/>
  <c r="L935" i="1"/>
  <c r="K935" i="1"/>
  <c r="AB935" i="1"/>
  <c r="I935" i="1"/>
  <c r="X934" i="1"/>
  <c r="Z934" i="1" s="1"/>
  <c r="W934" i="1"/>
  <c r="S934" i="1"/>
  <c r="Q934" i="1"/>
  <c r="N934" i="1"/>
  <c r="L934" i="1"/>
  <c r="K934" i="1"/>
  <c r="AB934" i="1"/>
  <c r="I934" i="1"/>
  <c r="X933" i="1"/>
  <c r="Z933" i="1" s="1"/>
  <c r="W933" i="1"/>
  <c r="S933" i="1"/>
  <c r="Q933" i="1"/>
  <c r="N933" i="1"/>
  <c r="L933" i="1"/>
  <c r="K933" i="1"/>
  <c r="AB933" i="1"/>
  <c r="I933" i="1"/>
  <c r="X932" i="1"/>
  <c r="Z932" i="1" s="1"/>
  <c r="W932" i="1"/>
  <c r="S932" i="1"/>
  <c r="Q932" i="1"/>
  <c r="N932" i="1"/>
  <c r="L932" i="1"/>
  <c r="K932" i="1"/>
  <c r="AB932" i="1"/>
  <c r="I932" i="1"/>
  <c r="X931" i="1"/>
  <c r="Z931" i="1" s="1"/>
  <c r="W931" i="1"/>
  <c r="S931" i="1"/>
  <c r="Q931" i="1"/>
  <c r="N931" i="1"/>
  <c r="L931" i="1"/>
  <c r="K931" i="1"/>
  <c r="AB931" i="1"/>
  <c r="I931" i="1"/>
  <c r="X930" i="1"/>
  <c r="Z930" i="1" s="1"/>
  <c r="W930" i="1"/>
  <c r="S930" i="1"/>
  <c r="Q930" i="1"/>
  <c r="N930" i="1"/>
  <c r="L930" i="1"/>
  <c r="K930" i="1"/>
  <c r="AB930" i="1"/>
  <c r="I930" i="1"/>
  <c r="X929" i="1"/>
  <c r="Z929" i="1" s="1"/>
  <c r="W929" i="1"/>
  <c r="S929" i="1"/>
  <c r="Q929" i="1"/>
  <c r="N929" i="1"/>
  <c r="L929" i="1"/>
  <c r="K929" i="1"/>
  <c r="AB929" i="1"/>
  <c r="I929" i="1"/>
  <c r="X928" i="1"/>
  <c r="Z928" i="1" s="1"/>
  <c r="W928" i="1"/>
  <c r="S928" i="1"/>
  <c r="Q928" i="1"/>
  <c r="N928" i="1"/>
  <c r="L928" i="1"/>
  <c r="K928" i="1"/>
  <c r="AB928" i="1"/>
  <c r="I928" i="1"/>
  <c r="X927" i="1"/>
  <c r="Z927" i="1" s="1"/>
  <c r="W927" i="1"/>
  <c r="S927" i="1"/>
  <c r="Q927" i="1"/>
  <c r="N927" i="1"/>
  <c r="L927" i="1"/>
  <c r="K927" i="1"/>
  <c r="AB927" i="1"/>
  <c r="I927" i="1"/>
  <c r="X926" i="1"/>
  <c r="Z926" i="1" s="1"/>
  <c r="W926" i="1"/>
  <c r="S926" i="1"/>
  <c r="Q926" i="1"/>
  <c r="N926" i="1"/>
  <c r="L926" i="1"/>
  <c r="K926" i="1"/>
  <c r="AB926" i="1"/>
  <c r="I926" i="1"/>
  <c r="X925" i="1"/>
  <c r="Z925" i="1" s="1"/>
  <c r="W925" i="1"/>
  <c r="S925" i="1"/>
  <c r="Q925" i="1"/>
  <c r="N925" i="1"/>
  <c r="L925" i="1"/>
  <c r="K925" i="1"/>
  <c r="AB925" i="1"/>
  <c r="I925" i="1"/>
  <c r="X924" i="1"/>
  <c r="Z924" i="1" s="1"/>
  <c r="W924" i="1"/>
  <c r="S924" i="1"/>
  <c r="Q924" i="1"/>
  <c r="N924" i="1"/>
  <c r="L924" i="1"/>
  <c r="K924" i="1"/>
  <c r="AB924" i="1"/>
  <c r="I924" i="1"/>
  <c r="X923" i="1"/>
  <c r="Z923" i="1" s="1"/>
  <c r="W923" i="1"/>
  <c r="S923" i="1"/>
  <c r="Q923" i="1"/>
  <c r="N923" i="1"/>
  <c r="L923" i="1"/>
  <c r="K923" i="1"/>
  <c r="AB923" i="1"/>
  <c r="I923" i="1"/>
  <c r="X922" i="1"/>
  <c r="Z922" i="1" s="1"/>
  <c r="W922" i="1"/>
  <c r="S922" i="1"/>
  <c r="Q922" i="1"/>
  <c r="N922" i="1"/>
  <c r="L922" i="1"/>
  <c r="K922" i="1"/>
  <c r="AB922" i="1"/>
  <c r="I922" i="1"/>
  <c r="X921" i="1"/>
  <c r="Z921" i="1" s="1"/>
  <c r="W921" i="1"/>
  <c r="S921" i="1"/>
  <c r="Q921" i="1"/>
  <c r="N921" i="1"/>
  <c r="L921" i="1"/>
  <c r="K921" i="1"/>
  <c r="AB921" i="1"/>
  <c r="I921" i="1"/>
  <c r="X920" i="1"/>
  <c r="Z920" i="1" s="1"/>
  <c r="W920" i="1"/>
  <c r="S920" i="1"/>
  <c r="Q920" i="1"/>
  <c r="N920" i="1"/>
  <c r="L920" i="1"/>
  <c r="K920" i="1"/>
  <c r="AB920" i="1"/>
  <c r="I920" i="1"/>
  <c r="X919" i="1"/>
  <c r="Z919" i="1" s="1"/>
  <c r="W919" i="1"/>
  <c r="S919" i="1"/>
  <c r="Q919" i="1"/>
  <c r="N919" i="1"/>
  <c r="L919" i="1"/>
  <c r="K919" i="1"/>
  <c r="AB919" i="1"/>
  <c r="I919" i="1"/>
  <c r="X918" i="1"/>
  <c r="Z918" i="1" s="1"/>
  <c r="W918" i="1"/>
  <c r="S918" i="1"/>
  <c r="Q918" i="1"/>
  <c r="N918" i="1"/>
  <c r="L918" i="1"/>
  <c r="K918" i="1"/>
  <c r="AB918" i="1"/>
  <c r="I918" i="1"/>
  <c r="X917" i="1"/>
  <c r="Z917" i="1" s="1"/>
  <c r="W917" i="1"/>
  <c r="S917" i="1"/>
  <c r="Q917" i="1"/>
  <c r="N917" i="1"/>
  <c r="L917" i="1"/>
  <c r="K917" i="1"/>
  <c r="AB917" i="1"/>
  <c r="I917" i="1"/>
  <c r="X916" i="1"/>
  <c r="Z916" i="1" s="1"/>
  <c r="W916" i="1"/>
  <c r="S916" i="1"/>
  <c r="Q916" i="1"/>
  <c r="N916" i="1"/>
  <c r="L916" i="1"/>
  <c r="K916" i="1"/>
  <c r="AB916" i="1"/>
  <c r="I916" i="1"/>
  <c r="X915" i="1"/>
  <c r="Z915" i="1" s="1"/>
  <c r="W915" i="1"/>
  <c r="S915" i="1"/>
  <c r="Q915" i="1"/>
  <c r="N915" i="1"/>
  <c r="L915" i="1"/>
  <c r="K915" i="1"/>
  <c r="AB915" i="1"/>
  <c r="I915" i="1"/>
  <c r="X914" i="1"/>
  <c r="Z914" i="1" s="1"/>
  <c r="W914" i="1"/>
  <c r="S914" i="1"/>
  <c r="Q914" i="1"/>
  <c r="N914" i="1"/>
  <c r="L914" i="1"/>
  <c r="K914" i="1"/>
  <c r="AB914" i="1"/>
  <c r="I914" i="1"/>
  <c r="X913" i="1"/>
  <c r="Z913" i="1" s="1"/>
  <c r="W913" i="1"/>
  <c r="S913" i="1"/>
  <c r="Q913" i="1"/>
  <c r="N913" i="1"/>
  <c r="L913" i="1"/>
  <c r="K913" i="1"/>
  <c r="AB913" i="1"/>
  <c r="I913" i="1"/>
  <c r="X912" i="1"/>
  <c r="Z912" i="1" s="1"/>
  <c r="W912" i="1"/>
  <c r="S912" i="1"/>
  <c r="Q912" i="1"/>
  <c r="N912" i="1"/>
  <c r="L912" i="1"/>
  <c r="K912" i="1"/>
  <c r="AB912" i="1"/>
  <c r="I912" i="1"/>
  <c r="X911" i="1"/>
  <c r="Z911" i="1" s="1"/>
  <c r="W911" i="1"/>
  <c r="S911" i="1"/>
  <c r="Q911" i="1"/>
  <c r="N911" i="1"/>
  <c r="L911" i="1"/>
  <c r="K911" i="1"/>
  <c r="AB911" i="1"/>
  <c r="I911" i="1"/>
  <c r="X910" i="1"/>
  <c r="Z910" i="1" s="1"/>
  <c r="W910" i="1"/>
  <c r="S910" i="1"/>
  <c r="Q910" i="1"/>
  <c r="N910" i="1"/>
  <c r="L910" i="1"/>
  <c r="K910" i="1"/>
  <c r="AB910" i="1"/>
  <c r="I910" i="1"/>
  <c r="X909" i="1"/>
  <c r="Z909" i="1" s="1"/>
  <c r="W909" i="1"/>
  <c r="S909" i="1"/>
  <c r="Q909" i="1"/>
  <c r="N909" i="1"/>
  <c r="L909" i="1"/>
  <c r="K909" i="1"/>
  <c r="AB909" i="1"/>
  <c r="I909" i="1"/>
  <c r="X908" i="1"/>
  <c r="Z908" i="1" s="1"/>
  <c r="W908" i="1"/>
  <c r="S908" i="1"/>
  <c r="Q908" i="1"/>
  <c r="N908" i="1"/>
  <c r="L908" i="1"/>
  <c r="K908" i="1"/>
  <c r="AB908" i="1"/>
  <c r="I908" i="1"/>
  <c r="X907" i="1"/>
  <c r="Z907" i="1" s="1"/>
  <c r="W907" i="1"/>
  <c r="S907" i="1"/>
  <c r="Q907" i="1"/>
  <c r="N907" i="1"/>
  <c r="L907" i="1"/>
  <c r="K907" i="1"/>
  <c r="AB907" i="1"/>
  <c r="I907" i="1"/>
  <c r="X906" i="1"/>
  <c r="Z906" i="1" s="1"/>
  <c r="W906" i="1"/>
  <c r="S906" i="1"/>
  <c r="Q906" i="1"/>
  <c r="N906" i="1"/>
  <c r="L906" i="1"/>
  <c r="K906" i="1"/>
  <c r="AB906" i="1"/>
  <c r="I906" i="1"/>
  <c r="X905" i="1"/>
  <c r="Z905" i="1" s="1"/>
  <c r="W905" i="1"/>
  <c r="S905" i="1"/>
  <c r="Q905" i="1"/>
  <c r="N905" i="1"/>
  <c r="L905" i="1"/>
  <c r="K905" i="1"/>
  <c r="AB905" i="1"/>
  <c r="I905" i="1"/>
  <c r="X904" i="1"/>
  <c r="Z904" i="1" s="1"/>
  <c r="W904" i="1"/>
  <c r="S904" i="1"/>
  <c r="Q904" i="1"/>
  <c r="N904" i="1"/>
  <c r="L904" i="1"/>
  <c r="K904" i="1"/>
  <c r="AB904" i="1"/>
  <c r="I904" i="1"/>
  <c r="X903" i="1"/>
  <c r="Z903" i="1" s="1"/>
  <c r="W903" i="1"/>
  <c r="S903" i="1"/>
  <c r="Q903" i="1"/>
  <c r="N903" i="1"/>
  <c r="L903" i="1"/>
  <c r="K903" i="1"/>
  <c r="AB903" i="1"/>
  <c r="I903" i="1"/>
  <c r="X902" i="1"/>
  <c r="Z902" i="1" s="1"/>
  <c r="W902" i="1"/>
  <c r="S902" i="1"/>
  <c r="Q902" i="1"/>
  <c r="N902" i="1"/>
  <c r="L902" i="1"/>
  <c r="K902" i="1"/>
  <c r="AB902" i="1"/>
  <c r="I902" i="1"/>
  <c r="X901" i="1"/>
  <c r="Z901" i="1" s="1"/>
  <c r="W901" i="1"/>
  <c r="S901" i="1"/>
  <c r="Q901" i="1"/>
  <c r="N901" i="1"/>
  <c r="L901" i="1"/>
  <c r="K901" i="1"/>
  <c r="AB901" i="1"/>
  <c r="I901" i="1"/>
  <c r="X900" i="1"/>
  <c r="Z900" i="1" s="1"/>
  <c r="W900" i="1"/>
  <c r="S900" i="1"/>
  <c r="Q900" i="1"/>
  <c r="N900" i="1"/>
  <c r="L900" i="1"/>
  <c r="K900" i="1"/>
  <c r="AB900" i="1"/>
  <c r="I900" i="1"/>
  <c r="X899" i="1"/>
  <c r="Z899" i="1" s="1"/>
  <c r="W899" i="1"/>
  <c r="S899" i="1"/>
  <c r="Q899" i="1"/>
  <c r="N899" i="1"/>
  <c r="L899" i="1"/>
  <c r="K899" i="1"/>
  <c r="AB899" i="1"/>
  <c r="I899" i="1"/>
  <c r="X898" i="1"/>
  <c r="Z898" i="1" s="1"/>
  <c r="W898" i="1"/>
  <c r="S898" i="1"/>
  <c r="Q898" i="1"/>
  <c r="N898" i="1"/>
  <c r="L898" i="1"/>
  <c r="K898" i="1"/>
  <c r="AB898" i="1"/>
  <c r="I898" i="1"/>
  <c r="X897" i="1"/>
  <c r="Z897" i="1" s="1"/>
  <c r="W897" i="1"/>
  <c r="S897" i="1"/>
  <c r="Q897" i="1"/>
  <c r="N897" i="1"/>
  <c r="L897" i="1"/>
  <c r="K897" i="1"/>
  <c r="AB897" i="1"/>
  <c r="I897" i="1"/>
  <c r="X896" i="1"/>
  <c r="Z896" i="1" s="1"/>
  <c r="W896" i="1"/>
  <c r="S896" i="1"/>
  <c r="Q896" i="1"/>
  <c r="N896" i="1"/>
  <c r="L896" i="1"/>
  <c r="K896" i="1"/>
  <c r="AB896" i="1"/>
  <c r="I896" i="1"/>
  <c r="X895" i="1"/>
  <c r="Z895" i="1" s="1"/>
  <c r="W895" i="1"/>
  <c r="S895" i="1"/>
  <c r="Q895" i="1"/>
  <c r="N895" i="1"/>
  <c r="L895" i="1"/>
  <c r="K895" i="1"/>
  <c r="AB895" i="1"/>
  <c r="I895" i="1"/>
  <c r="X894" i="1"/>
  <c r="Z894" i="1" s="1"/>
  <c r="W894" i="1"/>
  <c r="S894" i="1"/>
  <c r="Q894" i="1"/>
  <c r="N894" i="1"/>
  <c r="L894" i="1"/>
  <c r="K894" i="1"/>
  <c r="AB894" i="1"/>
  <c r="I894" i="1"/>
  <c r="X893" i="1"/>
  <c r="Z893" i="1" s="1"/>
  <c r="W893" i="1"/>
  <c r="S893" i="1"/>
  <c r="Q893" i="1"/>
  <c r="N893" i="1"/>
  <c r="L893" i="1"/>
  <c r="K893" i="1"/>
  <c r="AB893" i="1"/>
  <c r="I893" i="1"/>
  <c r="X892" i="1"/>
  <c r="Z892" i="1" s="1"/>
  <c r="W892" i="1"/>
  <c r="S892" i="1"/>
  <c r="Q892" i="1"/>
  <c r="N892" i="1"/>
  <c r="L892" i="1"/>
  <c r="K892" i="1"/>
  <c r="AB892" i="1"/>
  <c r="I892" i="1"/>
  <c r="X891" i="1"/>
  <c r="Z891" i="1" s="1"/>
  <c r="W891" i="1"/>
  <c r="S891" i="1"/>
  <c r="Q891" i="1"/>
  <c r="N891" i="1"/>
  <c r="L891" i="1"/>
  <c r="K891" i="1"/>
  <c r="AB891" i="1"/>
  <c r="I891" i="1"/>
  <c r="X890" i="1"/>
  <c r="Z890" i="1" s="1"/>
  <c r="W890" i="1"/>
  <c r="S890" i="1"/>
  <c r="Q890" i="1"/>
  <c r="N890" i="1"/>
  <c r="L890" i="1"/>
  <c r="K890" i="1"/>
  <c r="AB890" i="1"/>
  <c r="I890" i="1"/>
  <c r="X889" i="1"/>
  <c r="Z889" i="1" s="1"/>
  <c r="W889" i="1"/>
  <c r="S889" i="1"/>
  <c r="Q889" i="1"/>
  <c r="N889" i="1"/>
  <c r="L889" i="1"/>
  <c r="K889" i="1"/>
  <c r="AB889" i="1"/>
  <c r="I889" i="1"/>
  <c r="X888" i="1"/>
  <c r="Z888" i="1" s="1"/>
  <c r="W888" i="1"/>
  <c r="S888" i="1"/>
  <c r="Q888" i="1"/>
  <c r="N888" i="1"/>
  <c r="L888" i="1"/>
  <c r="K888" i="1"/>
  <c r="AB888" i="1"/>
  <c r="I888" i="1"/>
  <c r="X887" i="1"/>
  <c r="Z887" i="1" s="1"/>
  <c r="W887" i="1"/>
  <c r="S887" i="1"/>
  <c r="Q887" i="1"/>
  <c r="N887" i="1"/>
  <c r="L887" i="1"/>
  <c r="K887" i="1"/>
  <c r="AB887" i="1"/>
  <c r="I887" i="1"/>
  <c r="X886" i="1"/>
  <c r="Z886" i="1" s="1"/>
  <c r="W886" i="1"/>
  <c r="S886" i="1"/>
  <c r="Q886" i="1"/>
  <c r="N886" i="1"/>
  <c r="L886" i="1"/>
  <c r="K886" i="1"/>
  <c r="AB886" i="1"/>
  <c r="I886" i="1"/>
  <c r="X885" i="1"/>
  <c r="Z885" i="1" s="1"/>
  <c r="W885" i="1"/>
  <c r="S885" i="1"/>
  <c r="Q885" i="1"/>
  <c r="N885" i="1"/>
  <c r="L885" i="1"/>
  <c r="K885" i="1"/>
  <c r="AB885" i="1"/>
  <c r="I885" i="1"/>
  <c r="X884" i="1"/>
  <c r="Z884" i="1" s="1"/>
  <c r="W884" i="1"/>
  <c r="S884" i="1"/>
  <c r="Q884" i="1"/>
  <c r="N884" i="1"/>
  <c r="L884" i="1"/>
  <c r="K884" i="1"/>
  <c r="AB884" i="1"/>
  <c r="I884" i="1"/>
  <c r="X883" i="1"/>
  <c r="Z883" i="1" s="1"/>
  <c r="W883" i="1"/>
  <c r="S883" i="1"/>
  <c r="Q883" i="1"/>
  <c r="N883" i="1"/>
  <c r="L883" i="1"/>
  <c r="K883" i="1"/>
  <c r="AB883" i="1"/>
  <c r="I883" i="1"/>
  <c r="X882" i="1"/>
  <c r="Z882" i="1" s="1"/>
  <c r="W882" i="1"/>
  <c r="S882" i="1"/>
  <c r="Q882" i="1"/>
  <c r="N882" i="1"/>
  <c r="L882" i="1"/>
  <c r="K882" i="1"/>
  <c r="AB882" i="1"/>
  <c r="I882" i="1"/>
  <c r="X881" i="1"/>
  <c r="Z881" i="1" s="1"/>
  <c r="W881" i="1"/>
  <c r="S881" i="1"/>
  <c r="Q881" i="1"/>
  <c r="N881" i="1"/>
  <c r="L881" i="1"/>
  <c r="K881" i="1"/>
  <c r="AB881" i="1"/>
  <c r="I881" i="1"/>
  <c r="X880" i="1"/>
  <c r="Z880" i="1" s="1"/>
  <c r="W880" i="1"/>
  <c r="S880" i="1"/>
  <c r="Q880" i="1"/>
  <c r="N880" i="1"/>
  <c r="L880" i="1"/>
  <c r="K880" i="1"/>
  <c r="AB880" i="1"/>
  <c r="I880" i="1"/>
  <c r="X879" i="1"/>
  <c r="Z879" i="1" s="1"/>
  <c r="W879" i="1"/>
  <c r="S879" i="1"/>
  <c r="Q879" i="1"/>
  <c r="N879" i="1"/>
  <c r="L879" i="1"/>
  <c r="K879" i="1"/>
  <c r="AB879" i="1"/>
  <c r="I879" i="1"/>
  <c r="X878" i="1"/>
  <c r="Z878" i="1" s="1"/>
  <c r="W878" i="1"/>
  <c r="S878" i="1"/>
  <c r="Q878" i="1"/>
  <c r="N878" i="1"/>
  <c r="L878" i="1"/>
  <c r="K878" i="1"/>
  <c r="AB878" i="1"/>
  <c r="I878" i="1"/>
  <c r="X877" i="1"/>
  <c r="Z877" i="1" s="1"/>
  <c r="W877" i="1"/>
  <c r="S877" i="1"/>
  <c r="Q877" i="1"/>
  <c r="N877" i="1"/>
  <c r="L877" i="1"/>
  <c r="K877" i="1"/>
  <c r="AB877" i="1"/>
  <c r="I877" i="1"/>
  <c r="X876" i="1"/>
  <c r="Z876" i="1" s="1"/>
  <c r="W876" i="1"/>
  <c r="S876" i="1"/>
  <c r="Q876" i="1"/>
  <c r="N876" i="1"/>
  <c r="L876" i="1"/>
  <c r="K876" i="1"/>
  <c r="AB876" i="1"/>
  <c r="I876" i="1"/>
  <c r="X875" i="1"/>
  <c r="Z875" i="1" s="1"/>
  <c r="W875" i="1"/>
  <c r="S875" i="1"/>
  <c r="Q875" i="1"/>
  <c r="N875" i="1"/>
  <c r="L875" i="1"/>
  <c r="K875" i="1"/>
  <c r="AB875" i="1"/>
  <c r="I875" i="1"/>
  <c r="X874" i="1"/>
  <c r="Z874" i="1" s="1"/>
  <c r="W874" i="1"/>
  <c r="S874" i="1"/>
  <c r="Q874" i="1"/>
  <c r="N874" i="1"/>
  <c r="L874" i="1"/>
  <c r="K874" i="1"/>
  <c r="AB874" i="1"/>
  <c r="I874" i="1"/>
  <c r="X873" i="1"/>
  <c r="Z873" i="1" s="1"/>
  <c r="W873" i="1"/>
  <c r="S873" i="1"/>
  <c r="Q873" i="1"/>
  <c r="N873" i="1"/>
  <c r="L873" i="1"/>
  <c r="K873" i="1"/>
  <c r="AB873" i="1"/>
  <c r="I873" i="1"/>
  <c r="X872" i="1"/>
  <c r="Z872" i="1" s="1"/>
  <c r="W872" i="1"/>
  <c r="S872" i="1"/>
  <c r="Q872" i="1"/>
  <c r="N872" i="1"/>
  <c r="L872" i="1"/>
  <c r="K872" i="1"/>
  <c r="AB872" i="1"/>
  <c r="I872" i="1"/>
  <c r="X871" i="1"/>
  <c r="Z871" i="1" s="1"/>
  <c r="W871" i="1"/>
  <c r="S871" i="1"/>
  <c r="Q871" i="1"/>
  <c r="N871" i="1"/>
  <c r="L871" i="1"/>
  <c r="K871" i="1"/>
  <c r="AB871" i="1"/>
  <c r="I871" i="1"/>
  <c r="X870" i="1"/>
  <c r="Z870" i="1" s="1"/>
  <c r="W870" i="1"/>
  <c r="S870" i="1"/>
  <c r="Q870" i="1"/>
  <c r="N870" i="1"/>
  <c r="L870" i="1"/>
  <c r="K870" i="1"/>
  <c r="AB870" i="1"/>
  <c r="I870" i="1"/>
  <c r="X869" i="1"/>
  <c r="Z869" i="1" s="1"/>
  <c r="W869" i="1"/>
  <c r="S869" i="1"/>
  <c r="Q869" i="1"/>
  <c r="N869" i="1"/>
  <c r="L869" i="1"/>
  <c r="K869" i="1"/>
  <c r="AB869" i="1"/>
  <c r="I869" i="1"/>
  <c r="X868" i="1"/>
  <c r="Z868" i="1" s="1"/>
  <c r="W868" i="1"/>
  <c r="S868" i="1"/>
  <c r="Q868" i="1"/>
  <c r="N868" i="1"/>
  <c r="L868" i="1"/>
  <c r="K868" i="1"/>
  <c r="AB868" i="1"/>
  <c r="I868" i="1"/>
  <c r="X867" i="1"/>
  <c r="Z867" i="1" s="1"/>
  <c r="W867" i="1"/>
  <c r="S867" i="1"/>
  <c r="Q867" i="1"/>
  <c r="N867" i="1"/>
  <c r="L867" i="1"/>
  <c r="K867" i="1"/>
  <c r="AB867" i="1"/>
  <c r="I867" i="1"/>
  <c r="X866" i="1"/>
  <c r="Z866" i="1" s="1"/>
  <c r="W866" i="1"/>
  <c r="S866" i="1"/>
  <c r="Q866" i="1"/>
  <c r="N866" i="1"/>
  <c r="L866" i="1"/>
  <c r="K866" i="1"/>
  <c r="AB866" i="1"/>
  <c r="I866" i="1"/>
  <c r="X865" i="1"/>
  <c r="Z865" i="1" s="1"/>
  <c r="W865" i="1"/>
  <c r="S865" i="1"/>
  <c r="Q865" i="1"/>
  <c r="N865" i="1"/>
  <c r="L865" i="1"/>
  <c r="K865" i="1"/>
  <c r="AB865" i="1"/>
  <c r="I865" i="1"/>
  <c r="X864" i="1"/>
  <c r="Z864" i="1" s="1"/>
  <c r="W864" i="1"/>
  <c r="S864" i="1"/>
  <c r="Q864" i="1"/>
  <c r="N864" i="1"/>
  <c r="L864" i="1"/>
  <c r="K864" i="1"/>
  <c r="AB864" i="1"/>
  <c r="I864" i="1"/>
  <c r="X863" i="1"/>
  <c r="Z863" i="1" s="1"/>
  <c r="W863" i="1"/>
  <c r="S863" i="1"/>
  <c r="Q863" i="1"/>
  <c r="N863" i="1"/>
  <c r="L863" i="1"/>
  <c r="K863" i="1"/>
  <c r="AB863" i="1"/>
  <c r="I863" i="1"/>
  <c r="X862" i="1"/>
  <c r="Z862" i="1" s="1"/>
  <c r="W862" i="1"/>
  <c r="S862" i="1"/>
  <c r="Q862" i="1"/>
  <c r="N862" i="1"/>
  <c r="L862" i="1"/>
  <c r="K862" i="1"/>
  <c r="AB862" i="1"/>
  <c r="I862" i="1"/>
  <c r="X861" i="1"/>
  <c r="Z861" i="1" s="1"/>
  <c r="W861" i="1"/>
  <c r="S861" i="1"/>
  <c r="Q861" i="1"/>
  <c r="N861" i="1"/>
  <c r="L861" i="1"/>
  <c r="K861" i="1"/>
  <c r="AB861" i="1"/>
  <c r="I861" i="1"/>
  <c r="X860" i="1"/>
  <c r="Z860" i="1" s="1"/>
  <c r="W860" i="1"/>
  <c r="S860" i="1"/>
  <c r="Q860" i="1"/>
  <c r="N860" i="1"/>
  <c r="L860" i="1"/>
  <c r="K860" i="1"/>
  <c r="AB860" i="1"/>
  <c r="I860" i="1"/>
  <c r="X859" i="1"/>
  <c r="Z859" i="1" s="1"/>
  <c r="W859" i="1"/>
  <c r="S859" i="1"/>
  <c r="Q859" i="1"/>
  <c r="N859" i="1"/>
  <c r="L859" i="1"/>
  <c r="K859" i="1"/>
  <c r="AB859" i="1"/>
  <c r="I859" i="1"/>
  <c r="X858" i="1"/>
  <c r="Z858" i="1" s="1"/>
  <c r="W858" i="1"/>
  <c r="S858" i="1"/>
  <c r="Q858" i="1"/>
  <c r="N858" i="1"/>
  <c r="L858" i="1"/>
  <c r="K858" i="1"/>
  <c r="AB858" i="1"/>
  <c r="I858" i="1"/>
  <c r="X857" i="1"/>
  <c r="Z857" i="1" s="1"/>
  <c r="W857" i="1"/>
  <c r="S857" i="1"/>
  <c r="Q857" i="1"/>
  <c r="N857" i="1"/>
  <c r="L857" i="1"/>
  <c r="K857" i="1"/>
  <c r="AB857" i="1"/>
  <c r="I857" i="1"/>
  <c r="X856" i="1"/>
  <c r="Z856" i="1" s="1"/>
  <c r="W856" i="1"/>
  <c r="S856" i="1"/>
  <c r="Q856" i="1"/>
  <c r="N856" i="1"/>
  <c r="L856" i="1"/>
  <c r="K856" i="1"/>
  <c r="AB856" i="1"/>
  <c r="I856" i="1"/>
  <c r="X855" i="1"/>
  <c r="Z855" i="1" s="1"/>
  <c r="W855" i="1"/>
  <c r="S855" i="1"/>
  <c r="Q855" i="1"/>
  <c r="N855" i="1"/>
  <c r="L855" i="1"/>
  <c r="K855" i="1"/>
  <c r="AB855" i="1"/>
  <c r="I855" i="1"/>
  <c r="X854" i="1"/>
  <c r="Z854" i="1" s="1"/>
  <c r="W854" i="1"/>
  <c r="S854" i="1"/>
  <c r="Q854" i="1"/>
  <c r="N854" i="1"/>
  <c r="L854" i="1"/>
  <c r="K854" i="1"/>
  <c r="AB854" i="1"/>
  <c r="I854" i="1"/>
  <c r="X853" i="1"/>
  <c r="Z853" i="1" s="1"/>
  <c r="W853" i="1"/>
  <c r="S853" i="1"/>
  <c r="Q853" i="1"/>
  <c r="N853" i="1"/>
  <c r="L853" i="1"/>
  <c r="K853" i="1"/>
  <c r="AB853" i="1"/>
  <c r="I853" i="1"/>
  <c r="X852" i="1"/>
  <c r="Z852" i="1" s="1"/>
  <c r="W852" i="1"/>
  <c r="S852" i="1"/>
  <c r="Q852" i="1"/>
  <c r="N852" i="1"/>
  <c r="L852" i="1"/>
  <c r="K852" i="1"/>
  <c r="AB852" i="1"/>
  <c r="I852" i="1"/>
  <c r="X851" i="1"/>
  <c r="Z851" i="1" s="1"/>
  <c r="W851" i="1"/>
  <c r="S851" i="1"/>
  <c r="Q851" i="1"/>
  <c r="N851" i="1"/>
  <c r="L851" i="1"/>
  <c r="K851" i="1"/>
  <c r="AB851" i="1"/>
  <c r="I851" i="1"/>
  <c r="X850" i="1"/>
  <c r="Z850" i="1" s="1"/>
  <c r="W850" i="1"/>
  <c r="S850" i="1"/>
  <c r="Q850" i="1"/>
  <c r="N850" i="1"/>
  <c r="L850" i="1"/>
  <c r="K850" i="1"/>
  <c r="AB850" i="1"/>
  <c r="I850" i="1"/>
  <c r="X849" i="1"/>
  <c r="Z849" i="1" s="1"/>
  <c r="W849" i="1"/>
  <c r="S849" i="1"/>
  <c r="Q849" i="1"/>
  <c r="N849" i="1"/>
  <c r="L849" i="1"/>
  <c r="K849" i="1"/>
  <c r="AB849" i="1"/>
  <c r="I849" i="1"/>
  <c r="X848" i="1"/>
  <c r="Z848" i="1" s="1"/>
  <c r="W848" i="1"/>
  <c r="S848" i="1"/>
  <c r="Q848" i="1"/>
  <c r="N848" i="1"/>
  <c r="L848" i="1"/>
  <c r="K848" i="1"/>
  <c r="AB848" i="1"/>
  <c r="I848" i="1"/>
  <c r="X847" i="1"/>
  <c r="Z847" i="1" s="1"/>
  <c r="W847" i="1"/>
  <c r="S847" i="1"/>
  <c r="Q847" i="1"/>
  <c r="N847" i="1"/>
  <c r="L847" i="1"/>
  <c r="K847" i="1"/>
  <c r="AB847" i="1"/>
  <c r="I847" i="1"/>
  <c r="X846" i="1"/>
  <c r="Z846" i="1" s="1"/>
  <c r="W846" i="1"/>
  <c r="S846" i="1"/>
  <c r="Q846" i="1"/>
  <c r="N846" i="1"/>
  <c r="L846" i="1"/>
  <c r="K846" i="1"/>
  <c r="AB846" i="1"/>
  <c r="I846" i="1"/>
  <c r="X845" i="1"/>
  <c r="Z845" i="1" s="1"/>
  <c r="W845" i="1"/>
  <c r="S845" i="1"/>
  <c r="Q845" i="1"/>
  <c r="N845" i="1"/>
  <c r="L845" i="1"/>
  <c r="K845" i="1"/>
  <c r="AB845" i="1"/>
  <c r="I845" i="1"/>
  <c r="X844" i="1"/>
  <c r="Z844" i="1" s="1"/>
  <c r="W844" i="1"/>
  <c r="S844" i="1"/>
  <c r="Q844" i="1"/>
  <c r="N844" i="1"/>
  <c r="L844" i="1"/>
  <c r="K844" i="1"/>
  <c r="AB844" i="1"/>
  <c r="I844" i="1"/>
  <c r="X843" i="1"/>
  <c r="Z843" i="1" s="1"/>
  <c r="W843" i="1"/>
  <c r="S843" i="1"/>
  <c r="Q843" i="1"/>
  <c r="N843" i="1"/>
  <c r="L843" i="1"/>
  <c r="K843" i="1"/>
  <c r="AB843" i="1"/>
  <c r="I843" i="1"/>
  <c r="X842" i="1"/>
  <c r="Z842" i="1" s="1"/>
  <c r="W842" i="1"/>
  <c r="S842" i="1"/>
  <c r="Q842" i="1"/>
  <c r="N842" i="1"/>
  <c r="L842" i="1"/>
  <c r="K842" i="1"/>
  <c r="AB842" i="1"/>
  <c r="I842" i="1"/>
  <c r="X841" i="1"/>
  <c r="Z841" i="1" s="1"/>
  <c r="W841" i="1"/>
  <c r="S841" i="1"/>
  <c r="Q841" i="1"/>
  <c r="N841" i="1"/>
  <c r="L841" i="1"/>
  <c r="K841" i="1"/>
  <c r="AB841" i="1"/>
  <c r="I841" i="1"/>
  <c r="X840" i="1"/>
  <c r="Z840" i="1" s="1"/>
  <c r="W840" i="1"/>
  <c r="S840" i="1"/>
  <c r="Q840" i="1"/>
  <c r="N840" i="1"/>
  <c r="L840" i="1"/>
  <c r="K840" i="1"/>
  <c r="AB840" i="1"/>
  <c r="I840" i="1"/>
  <c r="X839" i="1"/>
  <c r="Z839" i="1" s="1"/>
  <c r="W839" i="1"/>
  <c r="S839" i="1"/>
  <c r="Q839" i="1"/>
  <c r="N839" i="1"/>
  <c r="L839" i="1"/>
  <c r="K839" i="1"/>
  <c r="AB839" i="1"/>
  <c r="I839" i="1"/>
  <c r="X838" i="1"/>
  <c r="Z838" i="1" s="1"/>
  <c r="W838" i="1"/>
  <c r="S838" i="1"/>
  <c r="Q838" i="1"/>
  <c r="N838" i="1"/>
  <c r="L838" i="1"/>
  <c r="K838" i="1"/>
  <c r="AB838" i="1"/>
  <c r="I838" i="1"/>
  <c r="X837" i="1"/>
  <c r="Z837" i="1" s="1"/>
  <c r="W837" i="1"/>
  <c r="S837" i="1"/>
  <c r="Q837" i="1"/>
  <c r="N837" i="1"/>
  <c r="L837" i="1"/>
  <c r="K837" i="1"/>
  <c r="AB837" i="1"/>
  <c r="I837" i="1"/>
  <c r="X836" i="1"/>
  <c r="Z836" i="1" s="1"/>
  <c r="W836" i="1"/>
  <c r="S836" i="1"/>
  <c r="Q836" i="1"/>
  <c r="N836" i="1"/>
  <c r="L836" i="1"/>
  <c r="K836" i="1"/>
  <c r="AB836" i="1"/>
  <c r="I836" i="1"/>
  <c r="X835" i="1"/>
  <c r="Z835" i="1" s="1"/>
  <c r="W835" i="1"/>
  <c r="S835" i="1"/>
  <c r="Q835" i="1"/>
  <c r="N835" i="1"/>
  <c r="L835" i="1"/>
  <c r="K835" i="1"/>
  <c r="AB835" i="1"/>
  <c r="I835" i="1"/>
  <c r="X834" i="1"/>
  <c r="Z834" i="1" s="1"/>
  <c r="W834" i="1"/>
  <c r="S834" i="1"/>
  <c r="Q834" i="1"/>
  <c r="N834" i="1"/>
  <c r="L834" i="1"/>
  <c r="K834" i="1"/>
  <c r="AB834" i="1"/>
  <c r="I834" i="1"/>
  <c r="X833" i="1"/>
  <c r="Z833" i="1" s="1"/>
  <c r="W833" i="1"/>
  <c r="S833" i="1"/>
  <c r="Q833" i="1"/>
  <c r="N833" i="1"/>
  <c r="L833" i="1"/>
  <c r="K833" i="1"/>
  <c r="AB833" i="1"/>
  <c r="I833" i="1"/>
  <c r="X832" i="1"/>
  <c r="Z832" i="1" s="1"/>
  <c r="W832" i="1"/>
  <c r="S832" i="1"/>
  <c r="Q832" i="1"/>
  <c r="N832" i="1"/>
  <c r="L832" i="1"/>
  <c r="K832" i="1"/>
  <c r="AB832" i="1"/>
  <c r="I832" i="1"/>
  <c r="X831" i="1"/>
  <c r="Z831" i="1" s="1"/>
  <c r="W831" i="1"/>
  <c r="S831" i="1"/>
  <c r="Q831" i="1"/>
  <c r="N831" i="1"/>
  <c r="L831" i="1"/>
  <c r="K831" i="1"/>
  <c r="AB831" i="1"/>
  <c r="I831" i="1"/>
  <c r="X830" i="1"/>
  <c r="Z830" i="1" s="1"/>
  <c r="W830" i="1"/>
  <c r="S830" i="1"/>
  <c r="Q830" i="1"/>
  <c r="N830" i="1"/>
  <c r="L830" i="1"/>
  <c r="K830" i="1"/>
  <c r="AB830" i="1"/>
  <c r="I830" i="1"/>
  <c r="X829" i="1"/>
  <c r="Z829" i="1" s="1"/>
  <c r="W829" i="1"/>
  <c r="S829" i="1"/>
  <c r="Q829" i="1"/>
  <c r="N829" i="1"/>
  <c r="L829" i="1"/>
  <c r="K829" i="1"/>
  <c r="AB829" i="1"/>
  <c r="I829" i="1"/>
  <c r="X828" i="1"/>
  <c r="Z828" i="1" s="1"/>
  <c r="W828" i="1"/>
  <c r="S828" i="1"/>
  <c r="Q828" i="1"/>
  <c r="N828" i="1"/>
  <c r="L828" i="1"/>
  <c r="K828" i="1"/>
  <c r="AB828" i="1"/>
  <c r="I828" i="1"/>
  <c r="X827" i="1"/>
  <c r="Z827" i="1" s="1"/>
  <c r="W827" i="1"/>
  <c r="S827" i="1"/>
  <c r="Q827" i="1"/>
  <c r="N827" i="1"/>
  <c r="L827" i="1"/>
  <c r="K827" i="1"/>
  <c r="AB827" i="1"/>
  <c r="I827" i="1"/>
  <c r="X826" i="1"/>
  <c r="Z826" i="1" s="1"/>
  <c r="W826" i="1"/>
  <c r="S826" i="1"/>
  <c r="Q826" i="1"/>
  <c r="N826" i="1"/>
  <c r="L826" i="1"/>
  <c r="K826" i="1"/>
  <c r="AB826" i="1"/>
  <c r="I826" i="1"/>
  <c r="X825" i="1"/>
  <c r="Z825" i="1" s="1"/>
  <c r="W825" i="1"/>
  <c r="S825" i="1"/>
  <c r="Q825" i="1"/>
  <c r="N825" i="1"/>
  <c r="L825" i="1"/>
  <c r="K825" i="1"/>
  <c r="AB825" i="1"/>
  <c r="I825" i="1"/>
  <c r="X824" i="1"/>
  <c r="Z824" i="1" s="1"/>
  <c r="W824" i="1"/>
  <c r="S824" i="1"/>
  <c r="Q824" i="1"/>
  <c r="N824" i="1"/>
  <c r="L824" i="1"/>
  <c r="K824" i="1"/>
  <c r="AB824" i="1"/>
  <c r="I824" i="1"/>
  <c r="X823" i="1"/>
  <c r="Z823" i="1" s="1"/>
  <c r="W823" i="1"/>
  <c r="S823" i="1"/>
  <c r="Q823" i="1"/>
  <c r="N823" i="1"/>
  <c r="L823" i="1"/>
  <c r="K823" i="1"/>
  <c r="AB823" i="1"/>
  <c r="I823" i="1"/>
  <c r="X822" i="1"/>
  <c r="Z822" i="1" s="1"/>
  <c r="W822" i="1"/>
  <c r="S822" i="1"/>
  <c r="Q822" i="1"/>
  <c r="N822" i="1"/>
  <c r="L822" i="1"/>
  <c r="K822" i="1"/>
  <c r="AB822" i="1"/>
  <c r="I822" i="1"/>
  <c r="X821" i="1"/>
  <c r="Z821" i="1" s="1"/>
  <c r="W821" i="1"/>
  <c r="S821" i="1"/>
  <c r="Q821" i="1"/>
  <c r="N821" i="1"/>
  <c r="L821" i="1"/>
  <c r="K821" i="1"/>
  <c r="AB821" i="1"/>
  <c r="I821" i="1"/>
  <c r="X820" i="1"/>
  <c r="Z820" i="1" s="1"/>
  <c r="W820" i="1"/>
  <c r="S820" i="1"/>
  <c r="Q820" i="1"/>
  <c r="N820" i="1"/>
  <c r="L820" i="1"/>
  <c r="K820" i="1"/>
  <c r="AB820" i="1"/>
  <c r="I820" i="1"/>
  <c r="X819" i="1"/>
  <c r="Z819" i="1" s="1"/>
  <c r="W819" i="1"/>
  <c r="S819" i="1"/>
  <c r="Q819" i="1"/>
  <c r="N819" i="1"/>
  <c r="L819" i="1"/>
  <c r="K819" i="1"/>
  <c r="AB819" i="1"/>
  <c r="I819" i="1"/>
  <c r="X818" i="1"/>
  <c r="Z818" i="1" s="1"/>
  <c r="W818" i="1"/>
  <c r="S818" i="1"/>
  <c r="Q818" i="1"/>
  <c r="N818" i="1"/>
  <c r="L818" i="1"/>
  <c r="K818" i="1"/>
  <c r="AB818" i="1"/>
  <c r="I818" i="1"/>
  <c r="X817" i="1"/>
  <c r="Z817" i="1" s="1"/>
  <c r="W817" i="1"/>
  <c r="S817" i="1"/>
  <c r="Q817" i="1"/>
  <c r="N817" i="1"/>
  <c r="L817" i="1"/>
  <c r="K817" i="1"/>
  <c r="AB817" i="1"/>
  <c r="I817" i="1"/>
  <c r="X816" i="1"/>
  <c r="Z816" i="1" s="1"/>
  <c r="W816" i="1"/>
  <c r="S816" i="1"/>
  <c r="Q816" i="1"/>
  <c r="N816" i="1"/>
  <c r="L816" i="1"/>
  <c r="K816" i="1"/>
  <c r="AB816" i="1"/>
  <c r="I816" i="1"/>
  <c r="X815" i="1"/>
  <c r="Z815" i="1" s="1"/>
  <c r="W815" i="1"/>
  <c r="S815" i="1"/>
  <c r="Q815" i="1"/>
  <c r="N815" i="1"/>
  <c r="L815" i="1"/>
  <c r="K815" i="1"/>
  <c r="AB815" i="1"/>
  <c r="I815" i="1"/>
  <c r="X814" i="1"/>
  <c r="Z814" i="1" s="1"/>
  <c r="W814" i="1"/>
  <c r="S814" i="1"/>
  <c r="Q814" i="1"/>
  <c r="N814" i="1"/>
  <c r="L814" i="1"/>
  <c r="K814" i="1"/>
  <c r="AB814" i="1"/>
  <c r="I814" i="1"/>
  <c r="X813" i="1"/>
  <c r="Z813" i="1" s="1"/>
  <c r="W813" i="1"/>
  <c r="S813" i="1"/>
  <c r="Q813" i="1"/>
  <c r="N813" i="1"/>
  <c r="L813" i="1"/>
  <c r="K813" i="1"/>
  <c r="AB813" i="1"/>
  <c r="I813" i="1"/>
  <c r="X812" i="1"/>
  <c r="Z812" i="1" s="1"/>
  <c r="W812" i="1"/>
  <c r="S812" i="1"/>
  <c r="Q812" i="1"/>
  <c r="N812" i="1"/>
  <c r="L812" i="1"/>
  <c r="K812" i="1"/>
  <c r="AB812" i="1"/>
  <c r="I812" i="1"/>
  <c r="X811" i="1"/>
  <c r="Z811" i="1" s="1"/>
  <c r="W811" i="1"/>
  <c r="S811" i="1"/>
  <c r="Q811" i="1"/>
  <c r="N811" i="1"/>
  <c r="L811" i="1"/>
  <c r="K811" i="1"/>
  <c r="AB811" i="1"/>
  <c r="I811" i="1"/>
  <c r="X810" i="1"/>
  <c r="Z810" i="1" s="1"/>
  <c r="W810" i="1"/>
  <c r="S810" i="1"/>
  <c r="Q810" i="1"/>
  <c r="N810" i="1"/>
  <c r="L810" i="1"/>
  <c r="K810" i="1"/>
  <c r="AB810" i="1"/>
  <c r="I810" i="1"/>
  <c r="X809" i="1"/>
  <c r="Z809" i="1" s="1"/>
  <c r="W809" i="1"/>
  <c r="S809" i="1"/>
  <c r="Q809" i="1"/>
  <c r="N809" i="1"/>
  <c r="L809" i="1"/>
  <c r="K809" i="1"/>
  <c r="AB809" i="1"/>
  <c r="I809" i="1"/>
  <c r="X808" i="1"/>
  <c r="Z808" i="1" s="1"/>
  <c r="W808" i="1"/>
  <c r="S808" i="1"/>
  <c r="Q808" i="1"/>
  <c r="N808" i="1"/>
  <c r="L808" i="1"/>
  <c r="K808" i="1"/>
  <c r="AB808" i="1"/>
  <c r="I808" i="1"/>
  <c r="X807" i="1"/>
  <c r="Z807" i="1" s="1"/>
  <c r="W807" i="1"/>
  <c r="S807" i="1"/>
  <c r="Q807" i="1"/>
  <c r="N807" i="1"/>
  <c r="L807" i="1"/>
  <c r="K807" i="1"/>
  <c r="AB807" i="1"/>
  <c r="I807" i="1"/>
  <c r="X806" i="1"/>
  <c r="Z806" i="1" s="1"/>
  <c r="W806" i="1"/>
  <c r="S806" i="1"/>
  <c r="Q806" i="1"/>
  <c r="N806" i="1"/>
  <c r="L806" i="1"/>
  <c r="K806" i="1"/>
  <c r="AB806" i="1"/>
  <c r="I806" i="1"/>
  <c r="X805" i="1"/>
  <c r="Z805" i="1" s="1"/>
  <c r="W805" i="1"/>
  <c r="S805" i="1"/>
  <c r="Q805" i="1"/>
  <c r="N805" i="1"/>
  <c r="L805" i="1"/>
  <c r="K805" i="1"/>
  <c r="AB805" i="1"/>
  <c r="I805" i="1"/>
  <c r="X804" i="1"/>
  <c r="Z804" i="1" s="1"/>
  <c r="W804" i="1"/>
  <c r="S804" i="1"/>
  <c r="Q804" i="1"/>
  <c r="N804" i="1"/>
  <c r="L804" i="1"/>
  <c r="K804" i="1"/>
  <c r="AB804" i="1"/>
  <c r="I804" i="1"/>
  <c r="X803" i="1"/>
  <c r="Z803" i="1" s="1"/>
  <c r="W803" i="1"/>
  <c r="S803" i="1"/>
  <c r="Q803" i="1"/>
  <c r="N803" i="1"/>
  <c r="L803" i="1"/>
  <c r="K803" i="1"/>
  <c r="AB803" i="1"/>
  <c r="I803" i="1"/>
  <c r="X802" i="1"/>
  <c r="Z802" i="1" s="1"/>
  <c r="W802" i="1"/>
  <c r="S802" i="1"/>
  <c r="Q802" i="1"/>
  <c r="N802" i="1"/>
  <c r="L802" i="1"/>
  <c r="K802" i="1"/>
  <c r="AB802" i="1"/>
  <c r="I802" i="1"/>
  <c r="X801" i="1"/>
  <c r="Z801" i="1" s="1"/>
  <c r="W801" i="1"/>
  <c r="S801" i="1"/>
  <c r="Q801" i="1"/>
  <c r="N801" i="1"/>
  <c r="L801" i="1"/>
  <c r="K801" i="1"/>
  <c r="AB801" i="1"/>
  <c r="I801" i="1"/>
  <c r="X800" i="1"/>
  <c r="Z800" i="1" s="1"/>
  <c r="W800" i="1"/>
  <c r="S800" i="1"/>
  <c r="Q800" i="1"/>
  <c r="N800" i="1"/>
  <c r="L800" i="1"/>
  <c r="K800" i="1"/>
  <c r="AB800" i="1"/>
  <c r="I800" i="1"/>
  <c r="X799" i="1"/>
  <c r="Z799" i="1" s="1"/>
  <c r="W799" i="1"/>
  <c r="S799" i="1"/>
  <c r="Q799" i="1"/>
  <c r="N799" i="1"/>
  <c r="L799" i="1"/>
  <c r="K799" i="1"/>
  <c r="AB799" i="1"/>
  <c r="I799" i="1"/>
  <c r="X798" i="1"/>
  <c r="Z798" i="1" s="1"/>
  <c r="W798" i="1"/>
  <c r="S798" i="1"/>
  <c r="Q798" i="1"/>
  <c r="N798" i="1"/>
  <c r="L798" i="1"/>
  <c r="K798" i="1"/>
  <c r="AB798" i="1"/>
  <c r="I798" i="1"/>
  <c r="X797" i="1"/>
  <c r="Z797" i="1" s="1"/>
  <c r="W797" i="1"/>
  <c r="S797" i="1"/>
  <c r="Q797" i="1"/>
  <c r="N797" i="1"/>
  <c r="L797" i="1"/>
  <c r="K797" i="1"/>
  <c r="AB797" i="1"/>
  <c r="I797" i="1"/>
  <c r="X796" i="1"/>
  <c r="Z796" i="1" s="1"/>
  <c r="W796" i="1"/>
  <c r="S796" i="1"/>
  <c r="Q796" i="1"/>
  <c r="N796" i="1"/>
  <c r="L796" i="1"/>
  <c r="K796" i="1"/>
  <c r="AB796" i="1"/>
  <c r="I796" i="1"/>
  <c r="X795" i="1"/>
  <c r="Z795" i="1" s="1"/>
  <c r="W795" i="1"/>
  <c r="S795" i="1"/>
  <c r="Q795" i="1"/>
  <c r="N795" i="1"/>
  <c r="L795" i="1"/>
  <c r="K795" i="1"/>
  <c r="AB795" i="1"/>
  <c r="I795" i="1"/>
  <c r="X794" i="1"/>
  <c r="Z794" i="1" s="1"/>
  <c r="W794" i="1"/>
  <c r="S794" i="1"/>
  <c r="Q794" i="1"/>
  <c r="N794" i="1"/>
  <c r="L794" i="1"/>
  <c r="K794" i="1"/>
  <c r="AB794" i="1"/>
  <c r="I794" i="1"/>
  <c r="X793" i="1"/>
  <c r="Z793" i="1" s="1"/>
  <c r="W793" i="1"/>
  <c r="S793" i="1"/>
  <c r="Q793" i="1"/>
  <c r="N793" i="1"/>
  <c r="L793" i="1"/>
  <c r="K793" i="1"/>
  <c r="AB793" i="1"/>
  <c r="I793" i="1"/>
  <c r="X792" i="1"/>
  <c r="Z792" i="1" s="1"/>
  <c r="W792" i="1"/>
  <c r="S792" i="1"/>
  <c r="Q792" i="1"/>
  <c r="N792" i="1"/>
  <c r="L792" i="1"/>
  <c r="K792" i="1"/>
  <c r="AB792" i="1"/>
  <c r="I792" i="1"/>
  <c r="X791" i="1"/>
  <c r="Z791" i="1" s="1"/>
  <c r="W791" i="1"/>
  <c r="S791" i="1"/>
  <c r="Q791" i="1"/>
  <c r="N791" i="1"/>
  <c r="L791" i="1"/>
  <c r="K791" i="1"/>
  <c r="AB791" i="1"/>
  <c r="I791" i="1"/>
  <c r="X790" i="1"/>
  <c r="Z790" i="1" s="1"/>
  <c r="W790" i="1"/>
  <c r="S790" i="1"/>
  <c r="Q790" i="1"/>
  <c r="N790" i="1"/>
  <c r="L790" i="1"/>
  <c r="K790" i="1"/>
  <c r="AB790" i="1"/>
  <c r="I790" i="1"/>
  <c r="X789" i="1"/>
  <c r="Z789" i="1" s="1"/>
  <c r="W789" i="1"/>
  <c r="S789" i="1"/>
  <c r="Q789" i="1"/>
  <c r="N789" i="1"/>
  <c r="L789" i="1"/>
  <c r="K789" i="1"/>
  <c r="AB789" i="1"/>
  <c r="I789" i="1"/>
  <c r="X788" i="1"/>
  <c r="Z788" i="1" s="1"/>
  <c r="W788" i="1"/>
  <c r="S788" i="1"/>
  <c r="Q788" i="1"/>
  <c r="N788" i="1"/>
  <c r="L788" i="1"/>
  <c r="K788" i="1"/>
  <c r="AB788" i="1"/>
  <c r="I788" i="1"/>
  <c r="X787" i="1"/>
  <c r="Z787" i="1" s="1"/>
  <c r="W787" i="1"/>
  <c r="S787" i="1"/>
  <c r="Q787" i="1"/>
  <c r="N787" i="1"/>
  <c r="L787" i="1"/>
  <c r="K787" i="1"/>
  <c r="AB787" i="1"/>
  <c r="I787" i="1"/>
  <c r="X786" i="1"/>
  <c r="Z786" i="1" s="1"/>
  <c r="W786" i="1"/>
  <c r="S786" i="1"/>
  <c r="Q786" i="1"/>
  <c r="N786" i="1"/>
  <c r="L786" i="1"/>
  <c r="K786" i="1"/>
  <c r="AB786" i="1"/>
  <c r="I786" i="1"/>
  <c r="X785" i="1"/>
  <c r="Z785" i="1" s="1"/>
  <c r="W785" i="1"/>
  <c r="S785" i="1"/>
  <c r="Q785" i="1"/>
  <c r="N785" i="1"/>
  <c r="L785" i="1"/>
  <c r="K785" i="1"/>
  <c r="AB785" i="1"/>
  <c r="I785" i="1"/>
  <c r="X784" i="1"/>
  <c r="Z784" i="1" s="1"/>
  <c r="W784" i="1"/>
  <c r="S784" i="1"/>
  <c r="Q784" i="1"/>
  <c r="N784" i="1"/>
  <c r="L784" i="1"/>
  <c r="K784" i="1"/>
  <c r="AB784" i="1"/>
  <c r="I784" i="1"/>
  <c r="X783" i="1"/>
  <c r="Z783" i="1" s="1"/>
  <c r="W783" i="1"/>
  <c r="S783" i="1"/>
  <c r="Q783" i="1"/>
  <c r="N783" i="1"/>
  <c r="L783" i="1"/>
  <c r="K783" i="1"/>
  <c r="AB783" i="1"/>
  <c r="I783" i="1"/>
  <c r="X782" i="1"/>
  <c r="Z782" i="1" s="1"/>
  <c r="W782" i="1"/>
  <c r="S782" i="1"/>
  <c r="Q782" i="1"/>
  <c r="N782" i="1"/>
  <c r="L782" i="1"/>
  <c r="K782" i="1"/>
  <c r="AB782" i="1"/>
  <c r="I782" i="1"/>
  <c r="X781" i="1"/>
  <c r="Z781" i="1" s="1"/>
  <c r="W781" i="1"/>
  <c r="S781" i="1"/>
  <c r="Q781" i="1"/>
  <c r="N781" i="1"/>
  <c r="L781" i="1"/>
  <c r="K781" i="1"/>
  <c r="AB781" i="1"/>
  <c r="I781" i="1"/>
  <c r="X780" i="1"/>
  <c r="Z780" i="1" s="1"/>
  <c r="W780" i="1"/>
  <c r="S780" i="1"/>
  <c r="Q780" i="1"/>
  <c r="N780" i="1"/>
  <c r="L780" i="1"/>
  <c r="K780" i="1"/>
  <c r="AB780" i="1"/>
  <c r="I780" i="1"/>
  <c r="X779" i="1"/>
  <c r="Z779" i="1" s="1"/>
  <c r="W779" i="1"/>
  <c r="S779" i="1"/>
  <c r="Q779" i="1"/>
  <c r="N779" i="1"/>
  <c r="L779" i="1"/>
  <c r="K779" i="1"/>
  <c r="AB779" i="1"/>
  <c r="I779" i="1"/>
  <c r="X778" i="1"/>
  <c r="Z778" i="1" s="1"/>
  <c r="W778" i="1"/>
  <c r="S778" i="1"/>
  <c r="Q778" i="1"/>
  <c r="N778" i="1"/>
  <c r="L778" i="1"/>
  <c r="K778" i="1"/>
  <c r="AB778" i="1"/>
  <c r="I778" i="1"/>
  <c r="X777" i="1"/>
  <c r="Z777" i="1" s="1"/>
  <c r="W777" i="1"/>
  <c r="S777" i="1"/>
  <c r="Q777" i="1"/>
  <c r="N777" i="1"/>
  <c r="L777" i="1"/>
  <c r="K777" i="1"/>
  <c r="AB777" i="1"/>
  <c r="I777" i="1"/>
  <c r="X776" i="1"/>
  <c r="Z776" i="1" s="1"/>
  <c r="W776" i="1"/>
  <c r="S776" i="1"/>
  <c r="Q776" i="1"/>
  <c r="N776" i="1"/>
  <c r="L776" i="1"/>
  <c r="K776" i="1"/>
  <c r="AB776" i="1"/>
  <c r="I776" i="1"/>
  <c r="X775" i="1"/>
  <c r="Z775" i="1" s="1"/>
  <c r="W775" i="1"/>
  <c r="S775" i="1"/>
  <c r="Q775" i="1"/>
  <c r="N775" i="1"/>
  <c r="L775" i="1"/>
  <c r="K775" i="1"/>
  <c r="AB775" i="1"/>
  <c r="I775" i="1"/>
  <c r="X774" i="1"/>
  <c r="Z774" i="1" s="1"/>
  <c r="W774" i="1"/>
  <c r="S774" i="1"/>
  <c r="Q774" i="1"/>
  <c r="N774" i="1"/>
  <c r="L774" i="1"/>
  <c r="K774" i="1"/>
  <c r="AB774" i="1"/>
  <c r="I774" i="1"/>
  <c r="X773" i="1"/>
  <c r="Z773" i="1" s="1"/>
  <c r="W773" i="1"/>
  <c r="S773" i="1"/>
  <c r="Q773" i="1"/>
  <c r="N773" i="1"/>
  <c r="L773" i="1"/>
  <c r="K773" i="1"/>
  <c r="AB773" i="1"/>
  <c r="I773" i="1"/>
  <c r="X772" i="1"/>
  <c r="Z772" i="1" s="1"/>
  <c r="W772" i="1"/>
  <c r="S772" i="1"/>
  <c r="Q772" i="1"/>
  <c r="N772" i="1"/>
  <c r="L772" i="1"/>
  <c r="K772" i="1"/>
  <c r="AB772" i="1"/>
  <c r="I772" i="1"/>
  <c r="X771" i="1"/>
  <c r="Z771" i="1" s="1"/>
  <c r="W771" i="1"/>
  <c r="S771" i="1"/>
  <c r="Q771" i="1"/>
  <c r="N771" i="1"/>
  <c r="L771" i="1"/>
  <c r="K771" i="1"/>
  <c r="AB771" i="1"/>
  <c r="I771" i="1"/>
  <c r="X770" i="1"/>
  <c r="Z770" i="1" s="1"/>
  <c r="W770" i="1"/>
  <c r="S770" i="1"/>
  <c r="Q770" i="1"/>
  <c r="N770" i="1"/>
  <c r="L770" i="1"/>
  <c r="K770" i="1"/>
  <c r="AB770" i="1"/>
  <c r="I770" i="1"/>
  <c r="X769" i="1"/>
  <c r="Z769" i="1" s="1"/>
  <c r="W769" i="1"/>
  <c r="S769" i="1"/>
  <c r="Q769" i="1"/>
  <c r="N769" i="1"/>
  <c r="L769" i="1"/>
  <c r="K769" i="1"/>
  <c r="AB769" i="1"/>
  <c r="I769" i="1"/>
  <c r="X768" i="1"/>
  <c r="Z768" i="1" s="1"/>
  <c r="W768" i="1"/>
  <c r="S768" i="1"/>
  <c r="Q768" i="1"/>
  <c r="N768" i="1"/>
  <c r="L768" i="1"/>
  <c r="K768" i="1"/>
  <c r="AB768" i="1"/>
  <c r="I768" i="1"/>
  <c r="X767" i="1"/>
  <c r="Z767" i="1" s="1"/>
  <c r="W767" i="1"/>
  <c r="S767" i="1"/>
  <c r="Q767" i="1"/>
  <c r="N767" i="1"/>
  <c r="L767" i="1"/>
  <c r="K767" i="1"/>
  <c r="AB767" i="1"/>
  <c r="I767" i="1"/>
  <c r="X766" i="1"/>
  <c r="Z766" i="1" s="1"/>
  <c r="W766" i="1"/>
  <c r="S766" i="1"/>
  <c r="Q766" i="1"/>
  <c r="N766" i="1"/>
  <c r="L766" i="1"/>
  <c r="K766" i="1"/>
  <c r="AB766" i="1"/>
  <c r="I766" i="1"/>
  <c r="X765" i="1"/>
  <c r="Z765" i="1" s="1"/>
  <c r="W765" i="1"/>
  <c r="S765" i="1"/>
  <c r="Q765" i="1"/>
  <c r="N765" i="1"/>
  <c r="L765" i="1"/>
  <c r="K765" i="1"/>
  <c r="AB765" i="1"/>
  <c r="I765" i="1"/>
  <c r="X764" i="1"/>
  <c r="Z764" i="1" s="1"/>
  <c r="W764" i="1"/>
  <c r="S764" i="1"/>
  <c r="Q764" i="1"/>
  <c r="N764" i="1"/>
  <c r="L764" i="1"/>
  <c r="K764" i="1"/>
  <c r="AB764" i="1"/>
  <c r="I764" i="1"/>
  <c r="X763" i="1"/>
  <c r="Z763" i="1" s="1"/>
  <c r="W763" i="1"/>
  <c r="S763" i="1"/>
  <c r="Q763" i="1"/>
  <c r="N763" i="1"/>
  <c r="L763" i="1"/>
  <c r="K763" i="1"/>
  <c r="AB763" i="1"/>
  <c r="I763" i="1"/>
  <c r="X762" i="1"/>
  <c r="Z762" i="1" s="1"/>
  <c r="W762" i="1"/>
  <c r="S762" i="1"/>
  <c r="Q762" i="1"/>
  <c r="N762" i="1"/>
  <c r="L762" i="1"/>
  <c r="K762" i="1"/>
  <c r="AB762" i="1"/>
  <c r="I762" i="1"/>
  <c r="X761" i="1"/>
  <c r="Z761" i="1" s="1"/>
  <c r="W761" i="1"/>
  <c r="S761" i="1"/>
  <c r="Q761" i="1"/>
  <c r="N761" i="1"/>
  <c r="L761" i="1"/>
  <c r="K761" i="1"/>
  <c r="AB761" i="1"/>
  <c r="I761" i="1"/>
  <c r="X760" i="1"/>
  <c r="Z760" i="1" s="1"/>
  <c r="W760" i="1"/>
  <c r="S760" i="1"/>
  <c r="Q760" i="1"/>
  <c r="N760" i="1"/>
  <c r="L760" i="1"/>
  <c r="K760" i="1"/>
  <c r="AB760" i="1"/>
  <c r="I760" i="1"/>
  <c r="X759" i="1"/>
  <c r="Z759" i="1" s="1"/>
  <c r="W759" i="1"/>
  <c r="S759" i="1"/>
  <c r="Q759" i="1"/>
  <c r="N759" i="1"/>
  <c r="L759" i="1"/>
  <c r="K759" i="1"/>
  <c r="AB759" i="1"/>
  <c r="I759" i="1"/>
  <c r="X758" i="1"/>
  <c r="Z758" i="1" s="1"/>
  <c r="W758" i="1"/>
  <c r="S758" i="1"/>
  <c r="Q758" i="1"/>
  <c r="N758" i="1"/>
  <c r="L758" i="1"/>
  <c r="K758" i="1"/>
  <c r="AB758" i="1"/>
  <c r="I758" i="1"/>
  <c r="X757" i="1"/>
  <c r="Z757" i="1" s="1"/>
  <c r="W757" i="1"/>
  <c r="S757" i="1"/>
  <c r="Q757" i="1"/>
  <c r="N757" i="1"/>
  <c r="L757" i="1"/>
  <c r="K757" i="1"/>
  <c r="AB757" i="1"/>
  <c r="I757" i="1"/>
  <c r="X756" i="1"/>
  <c r="Z756" i="1" s="1"/>
  <c r="W756" i="1"/>
  <c r="S756" i="1"/>
  <c r="Q756" i="1"/>
  <c r="N756" i="1"/>
  <c r="L756" i="1"/>
  <c r="K756" i="1"/>
  <c r="AB756" i="1"/>
  <c r="I756" i="1"/>
  <c r="X755" i="1"/>
  <c r="Z755" i="1" s="1"/>
  <c r="W755" i="1"/>
  <c r="S755" i="1"/>
  <c r="Q755" i="1"/>
  <c r="N755" i="1"/>
  <c r="L755" i="1"/>
  <c r="K755" i="1"/>
  <c r="AB755" i="1"/>
  <c r="I755" i="1"/>
  <c r="X754" i="1"/>
  <c r="Z754" i="1" s="1"/>
  <c r="W754" i="1"/>
  <c r="S754" i="1"/>
  <c r="Q754" i="1"/>
  <c r="N754" i="1"/>
  <c r="L754" i="1"/>
  <c r="K754" i="1"/>
  <c r="AB754" i="1"/>
  <c r="I754" i="1"/>
  <c r="X753" i="1"/>
  <c r="Z753" i="1" s="1"/>
  <c r="W753" i="1"/>
  <c r="S753" i="1"/>
  <c r="Q753" i="1"/>
  <c r="N753" i="1"/>
  <c r="L753" i="1"/>
  <c r="K753" i="1"/>
  <c r="AB753" i="1"/>
  <c r="I753" i="1"/>
  <c r="X752" i="1"/>
  <c r="Z752" i="1" s="1"/>
  <c r="W752" i="1"/>
  <c r="S752" i="1"/>
  <c r="Q752" i="1"/>
  <c r="N752" i="1"/>
  <c r="L752" i="1"/>
  <c r="K752" i="1"/>
  <c r="AB752" i="1"/>
  <c r="I752" i="1"/>
  <c r="X751" i="1"/>
  <c r="Z751" i="1" s="1"/>
  <c r="W751" i="1"/>
  <c r="S751" i="1"/>
  <c r="Q751" i="1"/>
  <c r="N751" i="1"/>
  <c r="L751" i="1"/>
  <c r="K751" i="1"/>
  <c r="AB751" i="1"/>
  <c r="I751" i="1"/>
  <c r="X750" i="1"/>
  <c r="Z750" i="1" s="1"/>
  <c r="W750" i="1"/>
  <c r="S750" i="1"/>
  <c r="Q750" i="1"/>
  <c r="N750" i="1"/>
  <c r="L750" i="1"/>
  <c r="K750" i="1"/>
  <c r="AB750" i="1"/>
  <c r="I750" i="1"/>
  <c r="X749" i="1"/>
  <c r="Z749" i="1" s="1"/>
  <c r="W749" i="1"/>
  <c r="S749" i="1"/>
  <c r="Q749" i="1"/>
  <c r="N749" i="1"/>
  <c r="L749" i="1"/>
  <c r="K749" i="1"/>
  <c r="AB749" i="1"/>
  <c r="I749" i="1"/>
  <c r="X748" i="1"/>
  <c r="Z748" i="1" s="1"/>
  <c r="W748" i="1"/>
  <c r="S748" i="1"/>
  <c r="Q748" i="1"/>
  <c r="N748" i="1"/>
  <c r="L748" i="1"/>
  <c r="K748" i="1"/>
  <c r="AB748" i="1"/>
  <c r="I748" i="1"/>
  <c r="X747" i="1"/>
  <c r="Z747" i="1" s="1"/>
  <c r="W747" i="1"/>
  <c r="S747" i="1"/>
  <c r="Q747" i="1"/>
  <c r="N747" i="1"/>
  <c r="L747" i="1"/>
  <c r="K747" i="1"/>
  <c r="AB747" i="1"/>
  <c r="I747" i="1"/>
  <c r="X746" i="1"/>
  <c r="Z746" i="1" s="1"/>
  <c r="W746" i="1"/>
  <c r="S746" i="1"/>
  <c r="Q746" i="1"/>
  <c r="N746" i="1"/>
  <c r="L746" i="1"/>
  <c r="K746" i="1"/>
  <c r="AB746" i="1"/>
  <c r="I746" i="1"/>
  <c r="X745" i="1"/>
  <c r="Z745" i="1" s="1"/>
  <c r="W745" i="1"/>
  <c r="S745" i="1"/>
  <c r="Q745" i="1"/>
  <c r="N745" i="1"/>
  <c r="L745" i="1"/>
  <c r="K745" i="1"/>
  <c r="AB745" i="1"/>
  <c r="I745" i="1"/>
  <c r="X744" i="1"/>
  <c r="Z744" i="1" s="1"/>
  <c r="W744" i="1"/>
  <c r="S744" i="1"/>
  <c r="Q744" i="1"/>
  <c r="N744" i="1"/>
  <c r="L744" i="1"/>
  <c r="K744" i="1"/>
  <c r="AB744" i="1"/>
  <c r="I744" i="1"/>
  <c r="X743" i="1"/>
  <c r="Z743" i="1" s="1"/>
  <c r="W743" i="1"/>
  <c r="S743" i="1"/>
  <c r="Q743" i="1"/>
  <c r="N743" i="1"/>
  <c r="L743" i="1"/>
  <c r="K743" i="1"/>
  <c r="AB743" i="1"/>
  <c r="I743" i="1"/>
  <c r="X742" i="1"/>
  <c r="Z742" i="1" s="1"/>
  <c r="W742" i="1"/>
  <c r="S742" i="1"/>
  <c r="Q742" i="1"/>
  <c r="N742" i="1"/>
  <c r="L742" i="1"/>
  <c r="K742" i="1"/>
  <c r="AB742" i="1"/>
  <c r="I742" i="1"/>
  <c r="X741" i="1"/>
  <c r="Z741" i="1" s="1"/>
  <c r="W741" i="1"/>
  <c r="S741" i="1"/>
  <c r="Q741" i="1"/>
  <c r="N741" i="1"/>
  <c r="L741" i="1"/>
  <c r="K741" i="1"/>
  <c r="AB741" i="1"/>
  <c r="I741" i="1"/>
  <c r="X740" i="1"/>
  <c r="Z740" i="1" s="1"/>
  <c r="W740" i="1"/>
  <c r="S740" i="1"/>
  <c r="Q740" i="1"/>
  <c r="N740" i="1"/>
  <c r="L740" i="1"/>
  <c r="K740" i="1"/>
  <c r="AB740" i="1"/>
  <c r="I740" i="1"/>
  <c r="X739" i="1"/>
  <c r="Z739" i="1" s="1"/>
  <c r="W739" i="1"/>
  <c r="S739" i="1"/>
  <c r="Q739" i="1"/>
  <c r="N739" i="1"/>
  <c r="L739" i="1"/>
  <c r="K739" i="1"/>
  <c r="AB739" i="1"/>
  <c r="I739" i="1"/>
  <c r="X738" i="1"/>
  <c r="Z738" i="1" s="1"/>
  <c r="W738" i="1"/>
  <c r="S738" i="1"/>
  <c r="Q738" i="1"/>
  <c r="N738" i="1"/>
  <c r="L738" i="1"/>
  <c r="K738" i="1"/>
  <c r="AB738" i="1"/>
  <c r="I738" i="1"/>
  <c r="X737" i="1"/>
  <c r="Z737" i="1" s="1"/>
  <c r="W737" i="1"/>
  <c r="S737" i="1"/>
  <c r="Q737" i="1"/>
  <c r="N737" i="1"/>
  <c r="L737" i="1"/>
  <c r="K737" i="1"/>
  <c r="AB737" i="1"/>
  <c r="I737" i="1"/>
  <c r="X736" i="1"/>
  <c r="Z736" i="1" s="1"/>
  <c r="W736" i="1"/>
  <c r="S736" i="1"/>
  <c r="Q736" i="1"/>
  <c r="N736" i="1"/>
  <c r="L736" i="1"/>
  <c r="K736" i="1"/>
  <c r="AB736" i="1"/>
  <c r="I736" i="1"/>
  <c r="X735" i="1"/>
  <c r="Z735" i="1" s="1"/>
  <c r="W735" i="1"/>
  <c r="S735" i="1"/>
  <c r="Q735" i="1"/>
  <c r="N735" i="1"/>
  <c r="L735" i="1"/>
  <c r="K735" i="1"/>
  <c r="AB735" i="1"/>
  <c r="I735" i="1"/>
  <c r="X734" i="1"/>
  <c r="Z734" i="1" s="1"/>
  <c r="W734" i="1"/>
  <c r="S734" i="1"/>
  <c r="Q734" i="1"/>
  <c r="N734" i="1"/>
  <c r="L734" i="1"/>
  <c r="K734" i="1"/>
  <c r="AB734" i="1"/>
  <c r="I734" i="1"/>
  <c r="X733" i="1"/>
  <c r="Z733" i="1" s="1"/>
  <c r="W733" i="1"/>
  <c r="S733" i="1"/>
  <c r="Q733" i="1"/>
  <c r="N733" i="1"/>
  <c r="L733" i="1"/>
  <c r="K733" i="1"/>
  <c r="AB733" i="1"/>
  <c r="I733" i="1"/>
  <c r="X732" i="1"/>
  <c r="Z732" i="1" s="1"/>
  <c r="W732" i="1"/>
  <c r="S732" i="1"/>
  <c r="Q732" i="1"/>
  <c r="N732" i="1"/>
  <c r="L732" i="1"/>
  <c r="K732" i="1"/>
  <c r="AB732" i="1"/>
  <c r="I732" i="1"/>
  <c r="X731" i="1"/>
  <c r="Z731" i="1" s="1"/>
  <c r="W731" i="1"/>
  <c r="S731" i="1"/>
  <c r="Q731" i="1"/>
  <c r="N731" i="1"/>
  <c r="L731" i="1"/>
  <c r="K731" i="1"/>
  <c r="AB731" i="1"/>
  <c r="I731" i="1"/>
  <c r="X730" i="1"/>
  <c r="Z730" i="1" s="1"/>
  <c r="W730" i="1"/>
  <c r="S730" i="1"/>
  <c r="Q730" i="1"/>
  <c r="N730" i="1"/>
  <c r="L730" i="1"/>
  <c r="K730" i="1"/>
  <c r="AB730" i="1"/>
  <c r="I730" i="1"/>
  <c r="X729" i="1"/>
  <c r="Z729" i="1" s="1"/>
  <c r="W729" i="1"/>
  <c r="S729" i="1"/>
  <c r="Q729" i="1"/>
  <c r="N729" i="1"/>
  <c r="L729" i="1"/>
  <c r="K729" i="1"/>
  <c r="AB729" i="1"/>
  <c r="I729" i="1"/>
  <c r="X728" i="1"/>
  <c r="Z728" i="1" s="1"/>
  <c r="W728" i="1"/>
  <c r="S728" i="1"/>
  <c r="Q728" i="1"/>
  <c r="N728" i="1"/>
  <c r="L728" i="1"/>
  <c r="K728" i="1"/>
  <c r="AB728" i="1"/>
  <c r="I728" i="1"/>
  <c r="X727" i="1"/>
  <c r="Z727" i="1" s="1"/>
  <c r="W727" i="1"/>
  <c r="S727" i="1"/>
  <c r="Q727" i="1"/>
  <c r="N727" i="1"/>
  <c r="L727" i="1"/>
  <c r="K727" i="1"/>
  <c r="AB727" i="1"/>
  <c r="I727" i="1"/>
  <c r="X726" i="1"/>
  <c r="Z726" i="1" s="1"/>
  <c r="W726" i="1"/>
  <c r="S726" i="1"/>
  <c r="Q726" i="1"/>
  <c r="N726" i="1"/>
  <c r="L726" i="1"/>
  <c r="K726" i="1"/>
  <c r="AB726" i="1"/>
  <c r="I726" i="1"/>
  <c r="X725" i="1"/>
  <c r="Z725" i="1" s="1"/>
  <c r="W725" i="1"/>
  <c r="S725" i="1"/>
  <c r="Q725" i="1"/>
  <c r="N725" i="1"/>
  <c r="L725" i="1"/>
  <c r="K725" i="1"/>
  <c r="AB725" i="1"/>
  <c r="I725" i="1"/>
  <c r="X724" i="1"/>
  <c r="Z724" i="1" s="1"/>
  <c r="W724" i="1"/>
  <c r="S724" i="1"/>
  <c r="Q724" i="1"/>
  <c r="N724" i="1"/>
  <c r="L724" i="1"/>
  <c r="K724" i="1"/>
  <c r="AB724" i="1"/>
  <c r="I724" i="1"/>
  <c r="X723" i="1"/>
  <c r="Z723" i="1" s="1"/>
  <c r="W723" i="1"/>
  <c r="S723" i="1"/>
  <c r="Q723" i="1"/>
  <c r="N723" i="1"/>
  <c r="L723" i="1"/>
  <c r="K723" i="1"/>
  <c r="AB723" i="1"/>
  <c r="I723" i="1"/>
  <c r="X722" i="1"/>
  <c r="Z722" i="1" s="1"/>
  <c r="W722" i="1"/>
  <c r="S722" i="1"/>
  <c r="Q722" i="1"/>
  <c r="N722" i="1"/>
  <c r="L722" i="1"/>
  <c r="K722" i="1"/>
  <c r="AB722" i="1"/>
  <c r="I722" i="1"/>
  <c r="X721" i="1"/>
  <c r="Z721" i="1" s="1"/>
  <c r="W721" i="1"/>
  <c r="S721" i="1"/>
  <c r="Q721" i="1"/>
  <c r="N721" i="1"/>
  <c r="L721" i="1"/>
  <c r="K721" i="1"/>
  <c r="AB721" i="1"/>
  <c r="I721" i="1"/>
  <c r="X720" i="1"/>
  <c r="Z720" i="1" s="1"/>
  <c r="W720" i="1"/>
  <c r="S720" i="1"/>
  <c r="Q720" i="1"/>
  <c r="N720" i="1"/>
  <c r="L720" i="1"/>
  <c r="K720" i="1"/>
  <c r="AB720" i="1"/>
  <c r="I720" i="1"/>
  <c r="X719" i="1"/>
  <c r="Z719" i="1" s="1"/>
  <c r="W719" i="1"/>
  <c r="S719" i="1"/>
  <c r="Q719" i="1"/>
  <c r="N719" i="1"/>
  <c r="L719" i="1"/>
  <c r="K719" i="1"/>
  <c r="AB719" i="1"/>
  <c r="I719" i="1"/>
  <c r="X718" i="1"/>
  <c r="Z718" i="1" s="1"/>
  <c r="W718" i="1"/>
  <c r="S718" i="1"/>
  <c r="Q718" i="1"/>
  <c r="N718" i="1"/>
  <c r="L718" i="1"/>
  <c r="K718" i="1"/>
  <c r="AB718" i="1"/>
  <c r="I718" i="1"/>
  <c r="X717" i="1"/>
  <c r="Z717" i="1" s="1"/>
  <c r="W717" i="1"/>
  <c r="S717" i="1"/>
  <c r="Q717" i="1"/>
  <c r="N717" i="1"/>
  <c r="L717" i="1"/>
  <c r="K717" i="1"/>
  <c r="AB717" i="1"/>
  <c r="I717" i="1"/>
  <c r="X716" i="1"/>
  <c r="Z716" i="1" s="1"/>
  <c r="W716" i="1"/>
  <c r="S716" i="1"/>
  <c r="Q716" i="1"/>
  <c r="N716" i="1"/>
  <c r="L716" i="1"/>
  <c r="K716" i="1"/>
  <c r="AB716" i="1"/>
  <c r="I716" i="1"/>
  <c r="X715" i="1"/>
  <c r="Z715" i="1" s="1"/>
  <c r="W715" i="1"/>
  <c r="S715" i="1"/>
  <c r="Q715" i="1"/>
  <c r="N715" i="1"/>
  <c r="L715" i="1"/>
  <c r="K715" i="1"/>
  <c r="AB715" i="1"/>
  <c r="I715" i="1"/>
  <c r="X714" i="1"/>
  <c r="Z714" i="1" s="1"/>
  <c r="W714" i="1"/>
  <c r="S714" i="1"/>
  <c r="Q714" i="1"/>
  <c r="N714" i="1"/>
  <c r="L714" i="1"/>
  <c r="K714" i="1"/>
  <c r="AB714" i="1"/>
  <c r="I714" i="1"/>
  <c r="X713" i="1"/>
  <c r="Z713" i="1" s="1"/>
  <c r="W713" i="1"/>
  <c r="S713" i="1"/>
  <c r="Q713" i="1"/>
  <c r="N713" i="1"/>
  <c r="L713" i="1"/>
  <c r="K713" i="1"/>
  <c r="AB713" i="1"/>
  <c r="I713" i="1"/>
  <c r="X712" i="1"/>
  <c r="Z712" i="1" s="1"/>
  <c r="W712" i="1"/>
  <c r="S712" i="1"/>
  <c r="Q712" i="1"/>
  <c r="N712" i="1"/>
  <c r="L712" i="1"/>
  <c r="K712" i="1"/>
  <c r="AB712" i="1"/>
  <c r="I712" i="1"/>
  <c r="X711" i="1"/>
  <c r="Z711" i="1" s="1"/>
  <c r="W711" i="1"/>
  <c r="S711" i="1"/>
  <c r="Q711" i="1"/>
  <c r="N711" i="1"/>
  <c r="L711" i="1"/>
  <c r="K711" i="1"/>
  <c r="AB711" i="1"/>
  <c r="I711" i="1"/>
  <c r="X710" i="1"/>
  <c r="Z710" i="1" s="1"/>
  <c r="W710" i="1"/>
  <c r="S710" i="1"/>
  <c r="Q710" i="1"/>
  <c r="N710" i="1"/>
  <c r="L710" i="1"/>
  <c r="K710" i="1"/>
  <c r="AB710" i="1"/>
  <c r="I710" i="1"/>
  <c r="X709" i="1"/>
  <c r="Z709" i="1" s="1"/>
  <c r="W709" i="1"/>
  <c r="S709" i="1"/>
  <c r="Q709" i="1"/>
  <c r="N709" i="1"/>
  <c r="L709" i="1"/>
  <c r="K709" i="1"/>
  <c r="AB709" i="1"/>
  <c r="I709" i="1"/>
  <c r="X708" i="1"/>
  <c r="Z708" i="1" s="1"/>
  <c r="W708" i="1"/>
  <c r="S708" i="1"/>
  <c r="Q708" i="1"/>
  <c r="N708" i="1"/>
  <c r="L708" i="1"/>
  <c r="K708" i="1"/>
  <c r="AB708" i="1"/>
  <c r="I708" i="1"/>
  <c r="X707" i="1"/>
  <c r="Z707" i="1" s="1"/>
  <c r="W707" i="1"/>
  <c r="S707" i="1"/>
  <c r="Q707" i="1"/>
  <c r="N707" i="1"/>
  <c r="L707" i="1"/>
  <c r="K707" i="1"/>
  <c r="AB707" i="1"/>
  <c r="I707" i="1"/>
  <c r="X706" i="1"/>
  <c r="Z706" i="1" s="1"/>
  <c r="W706" i="1"/>
  <c r="S706" i="1"/>
  <c r="Q706" i="1"/>
  <c r="N706" i="1"/>
  <c r="L706" i="1"/>
  <c r="K706" i="1"/>
  <c r="AB706" i="1"/>
  <c r="I706" i="1"/>
  <c r="X705" i="1"/>
  <c r="Z705" i="1" s="1"/>
  <c r="W705" i="1"/>
  <c r="S705" i="1"/>
  <c r="Q705" i="1"/>
  <c r="N705" i="1"/>
  <c r="L705" i="1"/>
  <c r="K705" i="1"/>
  <c r="AB705" i="1"/>
  <c r="I705" i="1"/>
  <c r="X704" i="1"/>
  <c r="Z704" i="1" s="1"/>
  <c r="W704" i="1"/>
  <c r="S704" i="1"/>
  <c r="Q704" i="1"/>
  <c r="N704" i="1"/>
  <c r="L704" i="1"/>
  <c r="K704" i="1"/>
  <c r="AB704" i="1"/>
  <c r="I704" i="1"/>
  <c r="X703" i="1"/>
  <c r="Z703" i="1" s="1"/>
  <c r="W703" i="1"/>
  <c r="S703" i="1"/>
  <c r="Q703" i="1"/>
  <c r="N703" i="1"/>
  <c r="L703" i="1"/>
  <c r="K703" i="1"/>
  <c r="AB703" i="1"/>
  <c r="I703" i="1"/>
  <c r="X702" i="1"/>
  <c r="Z702" i="1" s="1"/>
  <c r="W702" i="1"/>
  <c r="S702" i="1"/>
  <c r="Q702" i="1"/>
  <c r="N702" i="1"/>
  <c r="L702" i="1"/>
  <c r="K702" i="1"/>
  <c r="AB702" i="1"/>
  <c r="I702" i="1"/>
  <c r="X701" i="1"/>
  <c r="Z701" i="1" s="1"/>
  <c r="W701" i="1"/>
  <c r="S701" i="1"/>
  <c r="Q701" i="1"/>
  <c r="N701" i="1"/>
  <c r="L701" i="1"/>
  <c r="K701" i="1"/>
  <c r="AB701" i="1"/>
  <c r="I701" i="1"/>
  <c r="X700" i="1"/>
  <c r="Z700" i="1" s="1"/>
  <c r="W700" i="1"/>
  <c r="S700" i="1"/>
  <c r="Q700" i="1"/>
  <c r="N700" i="1"/>
  <c r="L700" i="1"/>
  <c r="K700" i="1"/>
  <c r="AB700" i="1"/>
  <c r="I700" i="1"/>
  <c r="X699" i="1"/>
  <c r="Z699" i="1" s="1"/>
  <c r="W699" i="1"/>
  <c r="S699" i="1"/>
  <c r="Q699" i="1"/>
  <c r="N699" i="1"/>
  <c r="L699" i="1"/>
  <c r="K699" i="1"/>
  <c r="AB699" i="1"/>
  <c r="I699" i="1"/>
  <c r="X698" i="1"/>
  <c r="Z698" i="1" s="1"/>
  <c r="W698" i="1"/>
  <c r="S698" i="1"/>
  <c r="Q698" i="1"/>
  <c r="N698" i="1"/>
  <c r="L698" i="1"/>
  <c r="K698" i="1"/>
  <c r="AB698" i="1"/>
  <c r="I698" i="1"/>
  <c r="X697" i="1"/>
  <c r="Z697" i="1" s="1"/>
  <c r="W697" i="1"/>
  <c r="S697" i="1"/>
  <c r="Q697" i="1"/>
  <c r="N697" i="1"/>
  <c r="L697" i="1"/>
  <c r="K697" i="1"/>
  <c r="AB697" i="1"/>
  <c r="I697" i="1"/>
  <c r="X696" i="1"/>
  <c r="Z696" i="1" s="1"/>
  <c r="W696" i="1"/>
  <c r="S696" i="1"/>
  <c r="Q696" i="1"/>
  <c r="N696" i="1"/>
  <c r="L696" i="1"/>
  <c r="K696" i="1"/>
  <c r="AB696" i="1"/>
  <c r="I696" i="1"/>
  <c r="X695" i="1"/>
  <c r="Z695" i="1" s="1"/>
  <c r="W695" i="1"/>
  <c r="S695" i="1"/>
  <c r="Q695" i="1"/>
  <c r="N695" i="1"/>
  <c r="L695" i="1"/>
  <c r="K695" i="1"/>
  <c r="AB695" i="1"/>
  <c r="I695" i="1"/>
  <c r="X694" i="1"/>
  <c r="Z694" i="1" s="1"/>
  <c r="W694" i="1"/>
  <c r="S694" i="1"/>
  <c r="Q694" i="1"/>
  <c r="N694" i="1"/>
  <c r="L694" i="1"/>
  <c r="K694" i="1"/>
  <c r="AB694" i="1"/>
  <c r="I694" i="1"/>
  <c r="X693" i="1"/>
  <c r="Z693" i="1" s="1"/>
  <c r="W693" i="1"/>
  <c r="S693" i="1"/>
  <c r="Q693" i="1"/>
  <c r="N693" i="1"/>
  <c r="L693" i="1"/>
  <c r="K693" i="1"/>
  <c r="AB693" i="1"/>
  <c r="I693" i="1"/>
  <c r="X692" i="1"/>
  <c r="Z692" i="1" s="1"/>
  <c r="W692" i="1"/>
  <c r="S692" i="1"/>
  <c r="Q692" i="1"/>
  <c r="N692" i="1"/>
  <c r="L692" i="1"/>
  <c r="K692" i="1"/>
  <c r="AB692" i="1"/>
  <c r="I692" i="1"/>
  <c r="X691" i="1"/>
  <c r="Z691" i="1" s="1"/>
  <c r="W691" i="1"/>
  <c r="S691" i="1"/>
  <c r="Q691" i="1"/>
  <c r="N691" i="1"/>
  <c r="L691" i="1"/>
  <c r="K691" i="1"/>
  <c r="AB691" i="1"/>
  <c r="I691" i="1"/>
  <c r="X690" i="1"/>
  <c r="Z690" i="1" s="1"/>
  <c r="W690" i="1"/>
  <c r="S690" i="1"/>
  <c r="Q690" i="1"/>
  <c r="N690" i="1"/>
  <c r="L690" i="1"/>
  <c r="K690" i="1"/>
  <c r="AB690" i="1"/>
  <c r="I690" i="1"/>
  <c r="X689" i="1"/>
  <c r="Z689" i="1" s="1"/>
  <c r="W689" i="1"/>
  <c r="S689" i="1"/>
  <c r="Q689" i="1"/>
  <c r="N689" i="1"/>
  <c r="L689" i="1"/>
  <c r="K689" i="1"/>
  <c r="AB689" i="1"/>
  <c r="I689" i="1"/>
  <c r="X688" i="1"/>
  <c r="Z688" i="1" s="1"/>
  <c r="W688" i="1"/>
  <c r="S688" i="1"/>
  <c r="Q688" i="1"/>
  <c r="N688" i="1"/>
  <c r="L688" i="1"/>
  <c r="K688" i="1"/>
  <c r="AB688" i="1"/>
  <c r="I688" i="1"/>
  <c r="X687" i="1"/>
  <c r="Z687" i="1" s="1"/>
  <c r="W687" i="1"/>
  <c r="S687" i="1"/>
  <c r="Q687" i="1"/>
  <c r="N687" i="1"/>
  <c r="L687" i="1"/>
  <c r="K687" i="1"/>
  <c r="AB687" i="1"/>
  <c r="I687" i="1"/>
  <c r="X686" i="1"/>
  <c r="Z686" i="1" s="1"/>
  <c r="W686" i="1"/>
  <c r="S686" i="1"/>
  <c r="Q686" i="1"/>
  <c r="N686" i="1"/>
  <c r="L686" i="1"/>
  <c r="K686" i="1"/>
  <c r="AB686" i="1"/>
  <c r="I686" i="1"/>
  <c r="X685" i="1"/>
  <c r="Z685" i="1" s="1"/>
  <c r="W685" i="1"/>
  <c r="S685" i="1"/>
  <c r="Q685" i="1"/>
  <c r="N685" i="1"/>
  <c r="L685" i="1"/>
  <c r="K685" i="1"/>
  <c r="AB685" i="1"/>
  <c r="I685" i="1"/>
  <c r="X684" i="1"/>
  <c r="Z684" i="1" s="1"/>
  <c r="W684" i="1"/>
  <c r="S684" i="1"/>
  <c r="Q684" i="1"/>
  <c r="N684" i="1"/>
  <c r="L684" i="1"/>
  <c r="K684" i="1"/>
  <c r="AB684" i="1"/>
  <c r="I684" i="1"/>
  <c r="X683" i="1"/>
  <c r="Z683" i="1" s="1"/>
  <c r="W683" i="1"/>
  <c r="S683" i="1"/>
  <c r="Q683" i="1"/>
  <c r="N683" i="1"/>
  <c r="L683" i="1"/>
  <c r="K683" i="1"/>
  <c r="AB683" i="1"/>
  <c r="I683" i="1"/>
  <c r="X682" i="1"/>
  <c r="Z682" i="1" s="1"/>
  <c r="W682" i="1"/>
  <c r="S682" i="1"/>
  <c r="Q682" i="1"/>
  <c r="N682" i="1"/>
  <c r="L682" i="1"/>
  <c r="K682" i="1"/>
  <c r="AB682" i="1"/>
  <c r="I682" i="1"/>
  <c r="X681" i="1"/>
  <c r="Z681" i="1" s="1"/>
  <c r="W681" i="1"/>
  <c r="S681" i="1"/>
  <c r="Q681" i="1"/>
  <c r="N681" i="1"/>
  <c r="L681" i="1"/>
  <c r="K681" i="1"/>
  <c r="AB681" i="1"/>
  <c r="I681" i="1"/>
  <c r="X680" i="1"/>
  <c r="Z680" i="1" s="1"/>
  <c r="W680" i="1"/>
  <c r="S680" i="1"/>
  <c r="Q680" i="1"/>
  <c r="N680" i="1"/>
  <c r="L680" i="1"/>
  <c r="K680" i="1"/>
  <c r="AB680" i="1"/>
  <c r="I680" i="1"/>
  <c r="X679" i="1"/>
  <c r="Z679" i="1" s="1"/>
  <c r="W679" i="1"/>
  <c r="S679" i="1"/>
  <c r="Q679" i="1"/>
  <c r="N679" i="1"/>
  <c r="L679" i="1"/>
  <c r="K679" i="1"/>
  <c r="AB679" i="1"/>
  <c r="I679" i="1"/>
  <c r="X678" i="1"/>
  <c r="Z678" i="1" s="1"/>
  <c r="W678" i="1"/>
  <c r="S678" i="1"/>
  <c r="Q678" i="1"/>
  <c r="N678" i="1"/>
  <c r="L678" i="1"/>
  <c r="K678" i="1"/>
  <c r="AB678" i="1"/>
  <c r="I678" i="1"/>
  <c r="X677" i="1"/>
  <c r="Z677" i="1" s="1"/>
  <c r="W677" i="1"/>
  <c r="S677" i="1"/>
  <c r="Q677" i="1"/>
  <c r="N677" i="1"/>
  <c r="L677" i="1"/>
  <c r="K677" i="1"/>
  <c r="AB677" i="1"/>
  <c r="I677" i="1"/>
  <c r="X676" i="1"/>
  <c r="Z676" i="1" s="1"/>
  <c r="W676" i="1"/>
  <c r="S676" i="1"/>
  <c r="Q676" i="1"/>
  <c r="N676" i="1"/>
  <c r="L676" i="1"/>
  <c r="K676" i="1"/>
  <c r="AB676" i="1"/>
  <c r="I676" i="1"/>
  <c r="X675" i="1"/>
  <c r="Z675" i="1" s="1"/>
  <c r="W675" i="1"/>
  <c r="S675" i="1"/>
  <c r="Q675" i="1"/>
  <c r="N675" i="1"/>
  <c r="L675" i="1"/>
  <c r="K675" i="1"/>
  <c r="AB675" i="1"/>
  <c r="I675" i="1"/>
  <c r="X674" i="1"/>
  <c r="Z674" i="1" s="1"/>
  <c r="W674" i="1"/>
  <c r="S674" i="1"/>
  <c r="Q674" i="1"/>
  <c r="N674" i="1"/>
  <c r="L674" i="1"/>
  <c r="K674" i="1"/>
  <c r="AB674" i="1"/>
  <c r="I674" i="1"/>
  <c r="X673" i="1"/>
  <c r="Z673" i="1" s="1"/>
  <c r="W673" i="1"/>
  <c r="S673" i="1"/>
  <c r="Q673" i="1"/>
  <c r="N673" i="1"/>
  <c r="L673" i="1"/>
  <c r="K673" i="1"/>
  <c r="AB673" i="1"/>
  <c r="I673" i="1"/>
  <c r="X672" i="1"/>
  <c r="Z672" i="1" s="1"/>
  <c r="W672" i="1"/>
  <c r="S672" i="1"/>
  <c r="Q672" i="1"/>
  <c r="N672" i="1"/>
  <c r="L672" i="1"/>
  <c r="K672" i="1"/>
  <c r="AB672" i="1"/>
  <c r="I672" i="1"/>
  <c r="X671" i="1"/>
  <c r="Z671" i="1" s="1"/>
  <c r="W671" i="1"/>
  <c r="S671" i="1"/>
  <c r="Q671" i="1"/>
  <c r="N671" i="1"/>
  <c r="L671" i="1"/>
  <c r="K671" i="1"/>
  <c r="AB671" i="1"/>
  <c r="I671" i="1"/>
  <c r="X670" i="1"/>
  <c r="Z670" i="1" s="1"/>
  <c r="W670" i="1"/>
  <c r="S670" i="1"/>
  <c r="Q670" i="1"/>
  <c r="N670" i="1"/>
  <c r="L670" i="1"/>
  <c r="K670" i="1"/>
  <c r="AB670" i="1"/>
  <c r="I670" i="1"/>
  <c r="X669" i="1"/>
  <c r="Z669" i="1" s="1"/>
  <c r="W669" i="1"/>
  <c r="S669" i="1"/>
  <c r="Q669" i="1"/>
  <c r="N669" i="1"/>
  <c r="L669" i="1"/>
  <c r="K669" i="1"/>
  <c r="AB669" i="1"/>
  <c r="I669" i="1"/>
  <c r="X668" i="1"/>
  <c r="Z668" i="1" s="1"/>
  <c r="W668" i="1"/>
  <c r="S668" i="1"/>
  <c r="Q668" i="1"/>
  <c r="N668" i="1"/>
  <c r="L668" i="1"/>
  <c r="K668" i="1"/>
  <c r="AB668" i="1"/>
  <c r="I668" i="1"/>
  <c r="X667" i="1"/>
  <c r="Z667" i="1" s="1"/>
  <c r="W667" i="1"/>
  <c r="S667" i="1"/>
  <c r="Q667" i="1"/>
  <c r="N667" i="1"/>
  <c r="L667" i="1"/>
  <c r="K667" i="1"/>
  <c r="AB667" i="1"/>
  <c r="I667" i="1"/>
  <c r="X666" i="1"/>
  <c r="Z666" i="1" s="1"/>
  <c r="W666" i="1"/>
  <c r="S666" i="1"/>
  <c r="Q666" i="1"/>
  <c r="N666" i="1"/>
  <c r="L666" i="1"/>
  <c r="K666" i="1"/>
  <c r="AB666" i="1"/>
  <c r="I666" i="1"/>
  <c r="X665" i="1"/>
  <c r="Z665" i="1" s="1"/>
  <c r="W665" i="1"/>
  <c r="S665" i="1"/>
  <c r="Q665" i="1"/>
  <c r="N665" i="1"/>
  <c r="L665" i="1"/>
  <c r="K665" i="1"/>
  <c r="AB665" i="1"/>
  <c r="I665" i="1"/>
  <c r="X664" i="1"/>
  <c r="Z664" i="1" s="1"/>
  <c r="W664" i="1"/>
  <c r="S664" i="1"/>
  <c r="Q664" i="1"/>
  <c r="N664" i="1"/>
  <c r="L664" i="1"/>
  <c r="K664" i="1"/>
  <c r="AB664" i="1"/>
  <c r="I664" i="1"/>
  <c r="X663" i="1"/>
  <c r="Z663" i="1" s="1"/>
  <c r="W663" i="1"/>
  <c r="S663" i="1"/>
  <c r="Q663" i="1"/>
  <c r="N663" i="1"/>
  <c r="L663" i="1"/>
  <c r="K663" i="1"/>
  <c r="AB663" i="1"/>
  <c r="I663" i="1"/>
  <c r="X662" i="1"/>
  <c r="Z662" i="1" s="1"/>
  <c r="W662" i="1"/>
  <c r="S662" i="1"/>
  <c r="Q662" i="1"/>
  <c r="N662" i="1"/>
  <c r="L662" i="1"/>
  <c r="K662" i="1"/>
  <c r="AB662" i="1"/>
  <c r="I662" i="1"/>
  <c r="X661" i="1"/>
  <c r="Z661" i="1" s="1"/>
  <c r="W661" i="1"/>
  <c r="S661" i="1"/>
  <c r="Q661" i="1"/>
  <c r="N661" i="1"/>
  <c r="L661" i="1"/>
  <c r="K661" i="1"/>
  <c r="AB661" i="1"/>
  <c r="I661" i="1"/>
  <c r="X660" i="1"/>
  <c r="Z660" i="1" s="1"/>
  <c r="W660" i="1"/>
  <c r="S660" i="1"/>
  <c r="Q660" i="1"/>
  <c r="N660" i="1"/>
  <c r="L660" i="1"/>
  <c r="K660" i="1"/>
  <c r="AB660" i="1"/>
  <c r="I660" i="1"/>
  <c r="X659" i="1"/>
  <c r="Z659" i="1" s="1"/>
  <c r="W659" i="1"/>
  <c r="S659" i="1"/>
  <c r="Q659" i="1"/>
  <c r="N659" i="1"/>
  <c r="L659" i="1"/>
  <c r="K659" i="1"/>
  <c r="AB659" i="1"/>
  <c r="I659" i="1"/>
  <c r="X658" i="1"/>
  <c r="Z658" i="1" s="1"/>
  <c r="W658" i="1"/>
  <c r="S658" i="1"/>
  <c r="Q658" i="1"/>
  <c r="N658" i="1"/>
  <c r="L658" i="1"/>
  <c r="K658" i="1"/>
  <c r="AB658" i="1"/>
  <c r="I658" i="1"/>
  <c r="X657" i="1"/>
  <c r="Z657" i="1" s="1"/>
  <c r="W657" i="1"/>
  <c r="S657" i="1"/>
  <c r="Q657" i="1"/>
  <c r="N657" i="1"/>
  <c r="L657" i="1"/>
  <c r="K657" i="1"/>
  <c r="AB657" i="1"/>
  <c r="I657" i="1"/>
  <c r="X656" i="1"/>
  <c r="Z656" i="1" s="1"/>
  <c r="W656" i="1"/>
  <c r="S656" i="1"/>
  <c r="Q656" i="1"/>
  <c r="N656" i="1"/>
  <c r="L656" i="1"/>
  <c r="K656" i="1"/>
  <c r="AB656" i="1"/>
  <c r="I656" i="1"/>
  <c r="X655" i="1"/>
  <c r="Z655" i="1" s="1"/>
  <c r="W655" i="1"/>
  <c r="S655" i="1"/>
  <c r="Q655" i="1"/>
  <c r="N655" i="1"/>
  <c r="L655" i="1"/>
  <c r="K655" i="1"/>
  <c r="AB655" i="1"/>
  <c r="I655" i="1"/>
  <c r="X654" i="1"/>
  <c r="Z654" i="1" s="1"/>
  <c r="W654" i="1"/>
  <c r="S654" i="1"/>
  <c r="Q654" i="1"/>
  <c r="N654" i="1"/>
  <c r="L654" i="1"/>
  <c r="K654" i="1"/>
  <c r="AB654" i="1"/>
  <c r="I654" i="1"/>
  <c r="X653" i="1"/>
  <c r="Z653" i="1" s="1"/>
  <c r="W653" i="1"/>
  <c r="S653" i="1"/>
  <c r="Q653" i="1"/>
  <c r="N653" i="1"/>
  <c r="L653" i="1"/>
  <c r="K653" i="1"/>
  <c r="AB653" i="1"/>
  <c r="I653" i="1"/>
  <c r="X652" i="1"/>
  <c r="Z652" i="1" s="1"/>
  <c r="W652" i="1"/>
  <c r="S652" i="1"/>
  <c r="Q652" i="1"/>
  <c r="N652" i="1"/>
  <c r="L652" i="1"/>
  <c r="K652" i="1"/>
  <c r="AB652" i="1"/>
  <c r="I652" i="1"/>
  <c r="X651" i="1"/>
  <c r="Z651" i="1" s="1"/>
  <c r="W651" i="1"/>
  <c r="S651" i="1"/>
  <c r="Q651" i="1"/>
  <c r="N651" i="1"/>
  <c r="L651" i="1"/>
  <c r="K651" i="1"/>
  <c r="AB651" i="1"/>
  <c r="I651" i="1"/>
  <c r="X650" i="1"/>
  <c r="Z650" i="1" s="1"/>
  <c r="W650" i="1"/>
  <c r="S650" i="1"/>
  <c r="Q650" i="1"/>
  <c r="N650" i="1"/>
  <c r="L650" i="1"/>
  <c r="K650" i="1"/>
  <c r="AB650" i="1"/>
  <c r="I650" i="1"/>
  <c r="X649" i="1"/>
  <c r="Z649" i="1" s="1"/>
  <c r="W649" i="1"/>
  <c r="S649" i="1"/>
  <c r="Q649" i="1"/>
  <c r="N649" i="1"/>
  <c r="L649" i="1"/>
  <c r="K649" i="1"/>
  <c r="AB649" i="1"/>
  <c r="I649" i="1"/>
  <c r="X648" i="1"/>
  <c r="Z648" i="1" s="1"/>
  <c r="W648" i="1"/>
  <c r="S648" i="1"/>
  <c r="Q648" i="1"/>
  <c r="N648" i="1"/>
  <c r="L648" i="1"/>
  <c r="K648" i="1"/>
  <c r="AB648" i="1"/>
  <c r="I648" i="1"/>
  <c r="X647" i="1"/>
  <c r="Z647" i="1" s="1"/>
  <c r="W647" i="1"/>
  <c r="S647" i="1"/>
  <c r="Q647" i="1"/>
  <c r="N647" i="1"/>
  <c r="L647" i="1"/>
  <c r="K647" i="1"/>
  <c r="AB647" i="1"/>
  <c r="I647" i="1"/>
  <c r="X646" i="1"/>
  <c r="Z646" i="1" s="1"/>
  <c r="W646" i="1"/>
  <c r="S646" i="1"/>
  <c r="Q646" i="1"/>
  <c r="N646" i="1"/>
  <c r="L646" i="1"/>
  <c r="K646" i="1"/>
  <c r="AB646" i="1"/>
  <c r="I646" i="1"/>
  <c r="X645" i="1"/>
  <c r="Z645" i="1" s="1"/>
  <c r="W645" i="1"/>
  <c r="S645" i="1"/>
  <c r="Q645" i="1"/>
  <c r="N645" i="1"/>
  <c r="L645" i="1"/>
  <c r="K645" i="1"/>
  <c r="AB645" i="1"/>
  <c r="I645" i="1"/>
  <c r="X644" i="1"/>
  <c r="Z644" i="1" s="1"/>
  <c r="W644" i="1"/>
  <c r="S644" i="1"/>
  <c r="Q644" i="1"/>
  <c r="N644" i="1"/>
  <c r="L644" i="1"/>
  <c r="K644" i="1"/>
  <c r="AB644" i="1"/>
  <c r="I644" i="1"/>
  <c r="X643" i="1"/>
  <c r="Z643" i="1" s="1"/>
  <c r="W643" i="1"/>
  <c r="S643" i="1"/>
  <c r="Q643" i="1"/>
  <c r="N643" i="1"/>
  <c r="L643" i="1"/>
  <c r="K643" i="1"/>
  <c r="AB643" i="1"/>
  <c r="I643" i="1"/>
  <c r="X642" i="1"/>
  <c r="Z642" i="1" s="1"/>
  <c r="W642" i="1"/>
  <c r="S642" i="1"/>
  <c r="Q642" i="1"/>
  <c r="N642" i="1"/>
  <c r="L642" i="1"/>
  <c r="K642" i="1"/>
  <c r="AB642" i="1"/>
  <c r="I642" i="1"/>
  <c r="X641" i="1"/>
  <c r="Z641" i="1" s="1"/>
  <c r="W641" i="1"/>
  <c r="S641" i="1"/>
  <c r="Q641" i="1"/>
  <c r="N641" i="1"/>
  <c r="L641" i="1"/>
  <c r="K641" i="1"/>
  <c r="AB641" i="1"/>
  <c r="I641" i="1"/>
  <c r="X640" i="1"/>
  <c r="Z640" i="1" s="1"/>
  <c r="W640" i="1"/>
  <c r="S640" i="1"/>
  <c r="Q640" i="1"/>
  <c r="N640" i="1"/>
  <c r="L640" i="1"/>
  <c r="K640" i="1"/>
  <c r="AB640" i="1"/>
  <c r="I640" i="1"/>
  <c r="X639" i="1"/>
  <c r="Z639" i="1" s="1"/>
  <c r="W639" i="1"/>
  <c r="S639" i="1"/>
  <c r="Q639" i="1"/>
  <c r="N639" i="1"/>
  <c r="L639" i="1"/>
  <c r="K639" i="1"/>
  <c r="AB639" i="1"/>
  <c r="I639" i="1"/>
  <c r="X638" i="1"/>
  <c r="Z638" i="1" s="1"/>
  <c r="W638" i="1"/>
  <c r="S638" i="1"/>
  <c r="Q638" i="1"/>
  <c r="N638" i="1"/>
  <c r="L638" i="1"/>
  <c r="K638" i="1"/>
  <c r="AB638" i="1"/>
  <c r="I638" i="1"/>
  <c r="X637" i="1"/>
  <c r="Z637" i="1" s="1"/>
  <c r="W637" i="1"/>
  <c r="S637" i="1"/>
  <c r="Q637" i="1"/>
  <c r="N637" i="1"/>
  <c r="L637" i="1"/>
  <c r="K637" i="1"/>
  <c r="AB637" i="1"/>
  <c r="I637" i="1"/>
  <c r="X636" i="1"/>
  <c r="Z636" i="1" s="1"/>
  <c r="W636" i="1"/>
  <c r="S636" i="1"/>
  <c r="Q636" i="1"/>
  <c r="N636" i="1"/>
  <c r="L636" i="1"/>
  <c r="K636" i="1"/>
  <c r="AB636" i="1"/>
  <c r="I636" i="1"/>
  <c r="X635" i="1"/>
  <c r="Z635" i="1" s="1"/>
  <c r="W635" i="1"/>
  <c r="S635" i="1"/>
  <c r="Q635" i="1"/>
  <c r="N635" i="1"/>
  <c r="L635" i="1"/>
  <c r="K635" i="1"/>
  <c r="AB635" i="1"/>
  <c r="I635" i="1"/>
  <c r="X634" i="1"/>
  <c r="Z634" i="1" s="1"/>
  <c r="W634" i="1"/>
  <c r="S634" i="1"/>
  <c r="Q634" i="1"/>
  <c r="N634" i="1"/>
  <c r="L634" i="1"/>
  <c r="K634" i="1"/>
  <c r="AB634" i="1"/>
  <c r="I634" i="1"/>
  <c r="X633" i="1"/>
  <c r="Z633" i="1" s="1"/>
  <c r="W633" i="1"/>
  <c r="S633" i="1"/>
  <c r="Q633" i="1"/>
  <c r="N633" i="1"/>
  <c r="L633" i="1"/>
  <c r="K633" i="1"/>
  <c r="AB633" i="1"/>
  <c r="I633" i="1"/>
  <c r="X632" i="1"/>
  <c r="Z632" i="1" s="1"/>
  <c r="W632" i="1"/>
  <c r="S632" i="1"/>
  <c r="Q632" i="1"/>
  <c r="N632" i="1"/>
  <c r="L632" i="1"/>
  <c r="K632" i="1"/>
  <c r="AB632" i="1"/>
  <c r="I632" i="1"/>
  <c r="X631" i="1"/>
  <c r="Z631" i="1" s="1"/>
  <c r="W631" i="1"/>
  <c r="S631" i="1"/>
  <c r="Q631" i="1"/>
  <c r="N631" i="1"/>
  <c r="L631" i="1"/>
  <c r="K631" i="1"/>
  <c r="AB631" i="1"/>
  <c r="I631" i="1"/>
  <c r="X630" i="1"/>
  <c r="Z630" i="1" s="1"/>
  <c r="W630" i="1"/>
  <c r="S630" i="1"/>
  <c r="Q630" i="1"/>
  <c r="N630" i="1"/>
  <c r="L630" i="1"/>
  <c r="K630" i="1"/>
  <c r="AB630" i="1"/>
  <c r="I630" i="1"/>
  <c r="X629" i="1"/>
  <c r="Z629" i="1" s="1"/>
  <c r="W629" i="1"/>
  <c r="S629" i="1"/>
  <c r="Q629" i="1"/>
  <c r="N629" i="1"/>
  <c r="L629" i="1"/>
  <c r="K629" i="1"/>
  <c r="AB629" i="1"/>
  <c r="I629" i="1"/>
  <c r="X628" i="1"/>
  <c r="Z628" i="1" s="1"/>
  <c r="W628" i="1"/>
  <c r="S628" i="1"/>
  <c r="Q628" i="1"/>
  <c r="N628" i="1"/>
  <c r="L628" i="1"/>
  <c r="K628" i="1"/>
  <c r="AB628" i="1"/>
  <c r="I628" i="1"/>
  <c r="X627" i="1"/>
  <c r="Z627" i="1" s="1"/>
  <c r="W627" i="1"/>
  <c r="S627" i="1"/>
  <c r="Q627" i="1"/>
  <c r="N627" i="1"/>
  <c r="L627" i="1"/>
  <c r="K627" i="1"/>
  <c r="AB627" i="1"/>
  <c r="I627" i="1"/>
  <c r="X626" i="1"/>
  <c r="Z626" i="1" s="1"/>
  <c r="W626" i="1"/>
  <c r="S626" i="1"/>
  <c r="Q626" i="1"/>
  <c r="N626" i="1"/>
  <c r="L626" i="1"/>
  <c r="K626" i="1"/>
  <c r="AB626" i="1"/>
  <c r="I626" i="1"/>
  <c r="X625" i="1"/>
  <c r="Z625" i="1" s="1"/>
  <c r="W625" i="1"/>
  <c r="S625" i="1"/>
  <c r="Q625" i="1"/>
  <c r="N625" i="1"/>
  <c r="L625" i="1"/>
  <c r="K625" i="1"/>
  <c r="AB625" i="1"/>
  <c r="I625" i="1"/>
  <c r="X624" i="1"/>
  <c r="Z624" i="1" s="1"/>
  <c r="W624" i="1"/>
  <c r="S624" i="1"/>
  <c r="Q624" i="1"/>
  <c r="N624" i="1"/>
  <c r="L624" i="1"/>
  <c r="K624" i="1"/>
  <c r="AB624" i="1"/>
  <c r="I624" i="1"/>
  <c r="X623" i="1"/>
  <c r="Z623" i="1" s="1"/>
  <c r="W623" i="1"/>
  <c r="S623" i="1"/>
  <c r="Q623" i="1"/>
  <c r="N623" i="1"/>
  <c r="L623" i="1"/>
  <c r="K623" i="1"/>
  <c r="AB623" i="1"/>
  <c r="I623" i="1"/>
  <c r="X622" i="1"/>
  <c r="Z622" i="1" s="1"/>
  <c r="W622" i="1"/>
  <c r="S622" i="1"/>
  <c r="Q622" i="1"/>
  <c r="N622" i="1"/>
  <c r="L622" i="1"/>
  <c r="K622" i="1"/>
  <c r="AB622" i="1"/>
  <c r="I622" i="1"/>
  <c r="X621" i="1"/>
  <c r="Z621" i="1" s="1"/>
  <c r="W621" i="1"/>
  <c r="S621" i="1"/>
  <c r="Q621" i="1"/>
  <c r="N621" i="1"/>
  <c r="L621" i="1"/>
  <c r="K621" i="1"/>
  <c r="AB621" i="1"/>
  <c r="I621" i="1"/>
  <c r="X620" i="1"/>
  <c r="Z620" i="1" s="1"/>
  <c r="W620" i="1"/>
  <c r="S620" i="1"/>
  <c r="Q620" i="1"/>
  <c r="N620" i="1"/>
  <c r="L620" i="1"/>
  <c r="K620" i="1"/>
  <c r="AB620" i="1"/>
  <c r="I620" i="1"/>
  <c r="X619" i="1"/>
  <c r="Z619" i="1" s="1"/>
  <c r="W619" i="1"/>
  <c r="S619" i="1"/>
  <c r="Q619" i="1"/>
  <c r="N619" i="1"/>
  <c r="L619" i="1"/>
  <c r="K619" i="1"/>
  <c r="AB619" i="1"/>
  <c r="I619" i="1"/>
  <c r="X618" i="1"/>
  <c r="Z618" i="1" s="1"/>
  <c r="W618" i="1"/>
  <c r="S618" i="1"/>
  <c r="Q618" i="1"/>
  <c r="N618" i="1"/>
  <c r="L618" i="1"/>
  <c r="K618" i="1"/>
  <c r="AB618" i="1"/>
  <c r="I618" i="1"/>
  <c r="X617" i="1"/>
  <c r="Z617" i="1" s="1"/>
  <c r="W617" i="1"/>
  <c r="S617" i="1"/>
  <c r="Q617" i="1"/>
  <c r="N617" i="1"/>
  <c r="L617" i="1"/>
  <c r="K617" i="1"/>
  <c r="AB617" i="1"/>
  <c r="I617" i="1"/>
  <c r="X616" i="1"/>
  <c r="Z616" i="1" s="1"/>
  <c r="W616" i="1"/>
  <c r="S616" i="1"/>
  <c r="Q616" i="1"/>
  <c r="N616" i="1"/>
  <c r="L616" i="1"/>
  <c r="K616" i="1"/>
  <c r="AB616" i="1"/>
  <c r="I616" i="1"/>
  <c r="X615" i="1"/>
  <c r="Z615" i="1" s="1"/>
  <c r="W615" i="1"/>
  <c r="S615" i="1"/>
  <c r="Q615" i="1"/>
  <c r="N615" i="1"/>
  <c r="L615" i="1"/>
  <c r="K615" i="1"/>
  <c r="AB615" i="1"/>
  <c r="I615" i="1"/>
  <c r="X614" i="1"/>
  <c r="Z614" i="1" s="1"/>
  <c r="W614" i="1"/>
  <c r="S614" i="1"/>
  <c r="Q614" i="1"/>
  <c r="N614" i="1"/>
  <c r="L614" i="1"/>
  <c r="K614" i="1"/>
  <c r="AB614" i="1"/>
  <c r="I614" i="1"/>
  <c r="X613" i="1"/>
  <c r="Z613" i="1" s="1"/>
  <c r="W613" i="1"/>
  <c r="S613" i="1"/>
  <c r="Q613" i="1"/>
  <c r="N613" i="1"/>
  <c r="L613" i="1"/>
  <c r="K613" i="1"/>
  <c r="AB613" i="1"/>
  <c r="I613" i="1"/>
  <c r="X612" i="1"/>
  <c r="Z612" i="1" s="1"/>
  <c r="W612" i="1"/>
  <c r="S612" i="1"/>
  <c r="Q612" i="1"/>
  <c r="N612" i="1"/>
  <c r="L612" i="1"/>
  <c r="K612" i="1"/>
  <c r="AB612" i="1"/>
  <c r="I612" i="1"/>
  <c r="X611" i="1"/>
  <c r="Z611" i="1" s="1"/>
  <c r="W611" i="1"/>
  <c r="S611" i="1"/>
  <c r="Q611" i="1"/>
  <c r="N611" i="1"/>
  <c r="L611" i="1"/>
  <c r="K611" i="1"/>
  <c r="AB611" i="1"/>
  <c r="I611" i="1"/>
  <c r="X610" i="1"/>
  <c r="Z610" i="1" s="1"/>
  <c r="W610" i="1"/>
  <c r="S610" i="1"/>
  <c r="Q610" i="1"/>
  <c r="N610" i="1"/>
  <c r="L610" i="1"/>
  <c r="K610" i="1"/>
  <c r="AB610" i="1"/>
  <c r="I610" i="1"/>
  <c r="X609" i="1"/>
  <c r="Z609" i="1" s="1"/>
  <c r="W609" i="1"/>
  <c r="S609" i="1"/>
  <c r="Q609" i="1"/>
  <c r="N609" i="1"/>
  <c r="L609" i="1"/>
  <c r="K609" i="1"/>
  <c r="AB609" i="1"/>
  <c r="I609" i="1"/>
  <c r="X608" i="1"/>
  <c r="Z608" i="1" s="1"/>
  <c r="W608" i="1"/>
  <c r="S608" i="1"/>
  <c r="Q608" i="1"/>
  <c r="N608" i="1"/>
  <c r="L608" i="1"/>
  <c r="K608" i="1"/>
  <c r="AB608" i="1"/>
  <c r="I608" i="1"/>
  <c r="X607" i="1"/>
  <c r="Z607" i="1" s="1"/>
  <c r="W607" i="1"/>
  <c r="S607" i="1"/>
  <c r="Q607" i="1"/>
  <c r="N607" i="1"/>
  <c r="L607" i="1"/>
  <c r="K607" i="1"/>
  <c r="AB607" i="1"/>
  <c r="I607" i="1"/>
  <c r="X606" i="1"/>
  <c r="Z606" i="1" s="1"/>
  <c r="W606" i="1"/>
  <c r="S606" i="1"/>
  <c r="Q606" i="1"/>
  <c r="N606" i="1"/>
  <c r="L606" i="1"/>
  <c r="K606" i="1"/>
  <c r="AB606" i="1"/>
  <c r="I606" i="1"/>
  <c r="X605" i="1"/>
  <c r="Z605" i="1" s="1"/>
  <c r="W605" i="1"/>
  <c r="S605" i="1"/>
  <c r="Q605" i="1"/>
  <c r="N605" i="1"/>
  <c r="L605" i="1"/>
  <c r="K605" i="1"/>
  <c r="AB605" i="1"/>
  <c r="I605" i="1"/>
  <c r="X604" i="1"/>
  <c r="Z604" i="1" s="1"/>
  <c r="W604" i="1"/>
  <c r="S604" i="1"/>
  <c r="Q604" i="1"/>
  <c r="N604" i="1"/>
  <c r="L604" i="1"/>
  <c r="K604" i="1"/>
  <c r="AB604" i="1"/>
  <c r="I604" i="1"/>
  <c r="X603" i="1"/>
  <c r="Z603" i="1" s="1"/>
  <c r="W603" i="1"/>
  <c r="S603" i="1"/>
  <c r="Q603" i="1"/>
  <c r="N603" i="1"/>
  <c r="L603" i="1"/>
  <c r="K603" i="1"/>
  <c r="AB603" i="1"/>
  <c r="I603" i="1"/>
  <c r="X602" i="1"/>
  <c r="Z602" i="1" s="1"/>
  <c r="W602" i="1"/>
  <c r="S602" i="1"/>
  <c r="Q602" i="1"/>
  <c r="N602" i="1"/>
  <c r="L602" i="1"/>
  <c r="K602" i="1"/>
  <c r="AB602" i="1"/>
  <c r="I602" i="1"/>
  <c r="X601" i="1"/>
  <c r="Z601" i="1" s="1"/>
  <c r="W601" i="1"/>
  <c r="S601" i="1"/>
  <c r="Q601" i="1"/>
  <c r="N601" i="1"/>
  <c r="L601" i="1"/>
  <c r="K601" i="1"/>
  <c r="AB601" i="1"/>
  <c r="I601" i="1"/>
  <c r="X600" i="1"/>
  <c r="Z600" i="1" s="1"/>
  <c r="W600" i="1"/>
  <c r="S600" i="1"/>
  <c r="Q600" i="1"/>
  <c r="N600" i="1"/>
  <c r="L600" i="1"/>
  <c r="K600" i="1"/>
  <c r="AB600" i="1"/>
  <c r="I600" i="1"/>
  <c r="X599" i="1"/>
  <c r="Z599" i="1" s="1"/>
  <c r="W599" i="1"/>
  <c r="S599" i="1"/>
  <c r="Q599" i="1"/>
  <c r="N599" i="1"/>
  <c r="L599" i="1"/>
  <c r="K599" i="1"/>
  <c r="AB599" i="1"/>
  <c r="I599" i="1"/>
  <c r="X598" i="1"/>
  <c r="Z598" i="1" s="1"/>
  <c r="W598" i="1"/>
  <c r="S598" i="1"/>
  <c r="Q598" i="1"/>
  <c r="N598" i="1"/>
  <c r="L598" i="1"/>
  <c r="K598" i="1"/>
  <c r="AB598" i="1"/>
  <c r="I598" i="1"/>
  <c r="X597" i="1"/>
  <c r="Z597" i="1" s="1"/>
  <c r="W597" i="1"/>
  <c r="S597" i="1"/>
  <c r="Q597" i="1"/>
  <c r="N597" i="1"/>
  <c r="L597" i="1"/>
  <c r="K597" i="1"/>
  <c r="AB597" i="1"/>
  <c r="I597" i="1"/>
  <c r="X596" i="1"/>
  <c r="Z596" i="1" s="1"/>
  <c r="W596" i="1"/>
  <c r="S596" i="1"/>
  <c r="Q596" i="1"/>
  <c r="N596" i="1"/>
  <c r="L596" i="1"/>
  <c r="K596" i="1"/>
  <c r="AB596" i="1"/>
  <c r="I596" i="1"/>
  <c r="X595" i="1"/>
  <c r="Z595" i="1" s="1"/>
  <c r="W595" i="1"/>
  <c r="S595" i="1"/>
  <c r="Q595" i="1"/>
  <c r="N595" i="1"/>
  <c r="L595" i="1"/>
  <c r="K595" i="1"/>
  <c r="AB595" i="1"/>
  <c r="I595" i="1"/>
  <c r="X594" i="1"/>
  <c r="Z594" i="1" s="1"/>
  <c r="W594" i="1"/>
  <c r="S594" i="1"/>
  <c r="Q594" i="1"/>
  <c r="N594" i="1"/>
  <c r="L594" i="1"/>
  <c r="K594" i="1"/>
  <c r="AB594" i="1"/>
  <c r="I594" i="1"/>
  <c r="X593" i="1"/>
  <c r="Z593" i="1" s="1"/>
  <c r="W593" i="1"/>
  <c r="S593" i="1"/>
  <c r="Q593" i="1"/>
  <c r="N593" i="1"/>
  <c r="L593" i="1"/>
  <c r="K593" i="1"/>
  <c r="AB593" i="1"/>
  <c r="I593" i="1"/>
  <c r="X592" i="1"/>
  <c r="Z592" i="1" s="1"/>
  <c r="W592" i="1"/>
  <c r="S592" i="1"/>
  <c r="Q592" i="1"/>
  <c r="N592" i="1"/>
  <c r="L592" i="1"/>
  <c r="K592" i="1"/>
  <c r="AB592" i="1"/>
  <c r="I592" i="1"/>
  <c r="X591" i="1"/>
  <c r="Z591" i="1" s="1"/>
  <c r="W591" i="1"/>
  <c r="S591" i="1"/>
  <c r="Q591" i="1"/>
  <c r="N591" i="1"/>
  <c r="L591" i="1"/>
  <c r="K591" i="1"/>
  <c r="AB591" i="1"/>
  <c r="I591" i="1"/>
  <c r="X590" i="1"/>
  <c r="Z590" i="1" s="1"/>
  <c r="W590" i="1"/>
  <c r="S590" i="1"/>
  <c r="Q590" i="1"/>
  <c r="N590" i="1"/>
  <c r="L590" i="1"/>
  <c r="K590" i="1"/>
  <c r="AB590" i="1"/>
  <c r="I590" i="1"/>
  <c r="X589" i="1"/>
  <c r="Z589" i="1" s="1"/>
  <c r="W589" i="1"/>
  <c r="S589" i="1"/>
  <c r="Q589" i="1"/>
  <c r="N589" i="1"/>
  <c r="L589" i="1"/>
  <c r="K589" i="1"/>
  <c r="AB589" i="1"/>
  <c r="I589" i="1"/>
  <c r="X588" i="1"/>
  <c r="Z588" i="1" s="1"/>
  <c r="W588" i="1"/>
  <c r="S588" i="1"/>
  <c r="Q588" i="1"/>
  <c r="N588" i="1"/>
  <c r="L588" i="1"/>
  <c r="K588" i="1"/>
  <c r="AB588" i="1"/>
  <c r="I588" i="1"/>
  <c r="X587" i="1"/>
  <c r="Z587" i="1" s="1"/>
  <c r="W587" i="1"/>
  <c r="S587" i="1"/>
  <c r="Q587" i="1"/>
  <c r="N587" i="1"/>
  <c r="L587" i="1"/>
  <c r="K587" i="1"/>
  <c r="AB587" i="1"/>
  <c r="I587" i="1"/>
  <c r="X586" i="1"/>
  <c r="Z586" i="1" s="1"/>
  <c r="W586" i="1"/>
  <c r="S586" i="1"/>
  <c r="Q586" i="1"/>
  <c r="N586" i="1"/>
  <c r="L586" i="1"/>
  <c r="K586" i="1"/>
  <c r="AB586" i="1"/>
  <c r="I586" i="1"/>
  <c r="X585" i="1"/>
  <c r="Z585" i="1" s="1"/>
  <c r="W585" i="1"/>
  <c r="S585" i="1"/>
  <c r="Q585" i="1"/>
  <c r="N585" i="1"/>
  <c r="L585" i="1"/>
  <c r="K585" i="1"/>
  <c r="AB585" i="1"/>
  <c r="I585" i="1"/>
  <c r="X584" i="1"/>
  <c r="Z584" i="1" s="1"/>
  <c r="W584" i="1"/>
  <c r="S584" i="1"/>
  <c r="Q584" i="1"/>
  <c r="N584" i="1"/>
  <c r="L584" i="1"/>
  <c r="K584" i="1"/>
  <c r="AB584" i="1"/>
  <c r="I584" i="1"/>
  <c r="X583" i="1"/>
  <c r="Z583" i="1" s="1"/>
  <c r="W583" i="1"/>
  <c r="S583" i="1"/>
  <c r="Q583" i="1"/>
  <c r="N583" i="1"/>
  <c r="L583" i="1"/>
  <c r="K583" i="1"/>
  <c r="AB583" i="1"/>
  <c r="I583" i="1"/>
  <c r="X582" i="1"/>
  <c r="Z582" i="1" s="1"/>
  <c r="W582" i="1"/>
  <c r="S582" i="1"/>
  <c r="Q582" i="1"/>
  <c r="N582" i="1"/>
  <c r="L582" i="1"/>
  <c r="K582" i="1"/>
  <c r="AB582" i="1"/>
  <c r="I582" i="1"/>
  <c r="X581" i="1"/>
  <c r="Z581" i="1" s="1"/>
  <c r="W581" i="1"/>
  <c r="S581" i="1"/>
  <c r="Q581" i="1"/>
  <c r="N581" i="1"/>
  <c r="L581" i="1"/>
  <c r="K581" i="1"/>
  <c r="AB581" i="1"/>
  <c r="I581" i="1"/>
  <c r="X580" i="1"/>
  <c r="Z580" i="1" s="1"/>
  <c r="W580" i="1"/>
  <c r="S580" i="1"/>
  <c r="Q580" i="1"/>
  <c r="N580" i="1"/>
  <c r="L580" i="1"/>
  <c r="K580" i="1"/>
  <c r="AB580" i="1"/>
  <c r="I580" i="1"/>
  <c r="X579" i="1"/>
  <c r="Z579" i="1" s="1"/>
  <c r="W579" i="1"/>
  <c r="S579" i="1"/>
  <c r="Q579" i="1"/>
  <c r="N579" i="1"/>
  <c r="L579" i="1"/>
  <c r="K579" i="1"/>
  <c r="AB579" i="1"/>
  <c r="I579" i="1"/>
  <c r="X578" i="1"/>
  <c r="Z578" i="1" s="1"/>
  <c r="W578" i="1"/>
  <c r="S578" i="1"/>
  <c r="Q578" i="1"/>
  <c r="N578" i="1"/>
  <c r="L578" i="1"/>
  <c r="K578" i="1"/>
  <c r="AB578" i="1"/>
  <c r="I578" i="1"/>
  <c r="X577" i="1"/>
  <c r="Z577" i="1" s="1"/>
  <c r="W577" i="1"/>
  <c r="S577" i="1"/>
  <c r="Q577" i="1"/>
  <c r="N577" i="1"/>
  <c r="L577" i="1"/>
  <c r="K577" i="1"/>
  <c r="AB577" i="1"/>
  <c r="I577" i="1"/>
  <c r="X576" i="1"/>
  <c r="Z576" i="1" s="1"/>
  <c r="W576" i="1"/>
  <c r="S576" i="1"/>
  <c r="Q576" i="1"/>
  <c r="N576" i="1"/>
  <c r="L576" i="1"/>
  <c r="K576" i="1"/>
  <c r="AB576" i="1"/>
  <c r="I576" i="1"/>
  <c r="X575" i="1"/>
  <c r="Z575" i="1" s="1"/>
  <c r="W575" i="1"/>
  <c r="S575" i="1"/>
  <c r="Q575" i="1"/>
  <c r="N575" i="1"/>
  <c r="L575" i="1"/>
  <c r="K575" i="1"/>
  <c r="AB575" i="1"/>
  <c r="I575" i="1"/>
  <c r="X574" i="1"/>
  <c r="Z574" i="1" s="1"/>
  <c r="W574" i="1"/>
  <c r="S574" i="1"/>
  <c r="Q574" i="1"/>
  <c r="N574" i="1"/>
  <c r="L574" i="1"/>
  <c r="K574" i="1"/>
  <c r="AB574" i="1"/>
  <c r="I574" i="1"/>
  <c r="X573" i="1"/>
  <c r="Z573" i="1" s="1"/>
  <c r="W573" i="1"/>
  <c r="S573" i="1"/>
  <c r="Q573" i="1"/>
  <c r="N573" i="1"/>
  <c r="L573" i="1"/>
  <c r="K573" i="1"/>
  <c r="AB573" i="1"/>
  <c r="I573" i="1"/>
  <c r="X572" i="1"/>
  <c r="Z572" i="1" s="1"/>
  <c r="W572" i="1"/>
  <c r="S572" i="1"/>
  <c r="Q572" i="1"/>
  <c r="N572" i="1"/>
  <c r="L572" i="1"/>
  <c r="K572" i="1"/>
  <c r="AB572" i="1"/>
  <c r="I572" i="1"/>
  <c r="X571" i="1"/>
  <c r="Z571" i="1" s="1"/>
  <c r="W571" i="1"/>
  <c r="S571" i="1"/>
  <c r="Q571" i="1"/>
  <c r="N571" i="1"/>
  <c r="L571" i="1"/>
  <c r="K571" i="1"/>
  <c r="AB571" i="1"/>
  <c r="I571" i="1"/>
  <c r="X570" i="1"/>
  <c r="Z570" i="1" s="1"/>
  <c r="W570" i="1"/>
  <c r="S570" i="1"/>
  <c r="Q570" i="1"/>
  <c r="N570" i="1"/>
  <c r="L570" i="1"/>
  <c r="K570" i="1"/>
  <c r="AB570" i="1"/>
  <c r="I570" i="1"/>
  <c r="X569" i="1"/>
  <c r="Z569" i="1" s="1"/>
  <c r="W569" i="1"/>
  <c r="S569" i="1"/>
  <c r="Q569" i="1"/>
  <c r="N569" i="1"/>
  <c r="L569" i="1"/>
  <c r="K569" i="1"/>
  <c r="AB569" i="1"/>
  <c r="I569" i="1"/>
  <c r="X568" i="1"/>
  <c r="Z568" i="1" s="1"/>
  <c r="W568" i="1"/>
  <c r="S568" i="1"/>
  <c r="Q568" i="1"/>
  <c r="N568" i="1"/>
  <c r="L568" i="1"/>
  <c r="K568" i="1"/>
  <c r="AB568" i="1"/>
  <c r="I568" i="1"/>
  <c r="X567" i="1"/>
  <c r="Z567" i="1" s="1"/>
  <c r="W567" i="1"/>
  <c r="S567" i="1"/>
  <c r="Q567" i="1"/>
  <c r="N567" i="1"/>
  <c r="L567" i="1"/>
  <c r="K567" i="1"/>
  <c r="AB567" i="1"/>
  <c r="I567" i="1"/>
  <c r="X566" i="1"/>
  <c r="Z566" i="1" s="1"/>
  <c r="W566" i="1"/>
  <c r="S566" i="1"/>
  <c r="Q566" i="1"/>
  <c r="N566" i="1"/>
  <c r="L566" i="1"/>
  <c r="K566" i="1"/>
  <c r="AB566" i="1"/>
  <c r="I566" i="1"/>
  <c r="X565" i="1"/>
  <c r="Z565" i="1" s="1"/>
  <c r="W565" i="1"/>
  <c r="S565" i="1"/>
  <c r="Q565" i="1"/>
  <c r="N565" i="1"/>
  <c r="L565" i="1"/>
  <c r="K565" i="1"/>
  <c r="AB565" i="1"/>
  <c r="I565" i="1"/>
  <c r="X564" i="1"/>
  <c r="Z564" i="1" s="1"/>
  <c r="W564" i="1"/>
  <c r="S564" i="1"/>
  <c r="Q564" i="1"/>
  <c r="N564" i="1"/>
  <c r="L564" i="1"/>
  <c r="K564" i="1"/>
  <c r="AB564" i="1"/>
  <c r="I564" i="1"/>
  <c r="X563" i="1"/>
  <c r="Z563" i="1" s="1"/>
  <c r="W563" i="1"/>
  <c r="S563" i="1"/>
  <c r="Q563" i="1"/>
  <c r="N563" i="1"/>
  <c r="L563" i="1"/>
  <c r="K563" i="1"/>
  <c r="AB563" i="1"/>
  <c r="I563" i="1"/>
  <c r="X562" i="1"/>
  <c r="Z562" i="1" s="1"/>
  <c r="W562" i="1"/>
  <c r="S562" i="1"/>
  <c r="Q562" i="1"/>
  <c r="N562" i="1"/>
  <c r="L562" i="1"/>
  <c r="K562" i="1"/>
  <c r="AB562" i="1"/>
  <c r="I562" i="1"/>
  <c r="X561" i="1"/>
  <c r="Z561" i="1" s="1"/>
  <c r="W561" i="1"/>
  <c r="S561" i="1"/>
  <c r="Q561" i="1"/>
  <c r="N561" i="1"/>
  <c r="L561" i="1"/>
  <c r="K561" i="1"/>
  <c r="AB561" i="1"/>
  <c r="I561" i="1"/>
  <c r="X560" i="1"/>
  <c r="Z560" i="1" s="1"/>
  <c r="W560" i="1"/>
  <c r="S560" i="1"/>
  <c r="Q560" i="1"/>
  <c r="N560" i="1"/>
  <c r="L560" i="1"/>
  <c r="K560" i="1"/>
  <c r="AB560" i="1"/>
  <c r="I560" i="1"/>
  <c r="X559" i="1"/>
  <c r="Z559" i="1" s="1"/>
  <c r="W559" i="1"/>
  <c r="S559" i="1"/>
  <c r="Q559" i="1"/>
  <c r="N559" i="1"/>
  <c r="L559" i="1"/>
  <c r="K559" i="1"/>
  <c r="AB559" i="1"/>
  <c r="I559" i="1"/>
  <c r="X558" i="1"/>
  <c r="Z558" i="1" s="1"/>
  <c r="W558" i="1"/>
  <c r="S558" i="1"/>
  <c r="Q558" i="1"/>
  <c r="N558" i="1"/>
  <c r="L558" i="1"/>
  <c r="K558" i="1"/>
  <c r="AB558" i="1"/>
  <c r="I558" i="1"/>
  <c r="X557" i="1"/>
  <c r="Z557" i="1" s="1"/>
  <c r="W557" i="1"/>
  <c r="S557" i="1"/>
  <c r="Q557" i="1"/>
  <c r="N557" i="1"/>
  <c r="L557" i="1"/>
  <c r="K557" i="1"/>
  <c r="AB557" i="1"/>
  <c r="I557" i="1"/>
  <c r="X556" i="1"/>
  <c r="Z556" i="1" s="1"/>
  <c r="W556" i="1"/>
  <c r="S556" i="1"/>
  <c r="Q556" i="1"/>
  <c r="N556" i="1"/>
  <c r="L556" i="1"/>
  <c r="K556" i="1"/>
  <c r="AB556" i="1"/>
  <c r="I556" i="1"/>
  <c r="X555" i="1"/>
  <c r="Z555" i="1" s="1"/>
  <c r="W555" i="1"/>
  <c r="S555" i="1"/>
  <c r="Q555" i="1"/>
  <c r="N555" i="1"/>
  <c r="L555" i="1"/>
  <c r="K555" i="1"/>
  <c r="AB555" i="1"/>
  <c r="I555" i="1"/>
  <c r="X554" i="1"/>
  <c r="Z554" i="1" s="1"/>
  <c r="W554" i="1"/>
  <c r="S554" i="1"/>
  <c r="Q554" i="1"/>
  <c r="N554" i="1"/>
  <c r="L554" i="1"/>
  <c r="K554" i="1"/>
  <c r="AB554" i="1"/>
  <c r="I554" i="1"/>
  <c r="X553" i="1"/>
  <c r="Z553" i="1" s="1"/>
  <c r="W553" i="1"/>
  <c r="S553" i="1"/>
  <c r="Q553" i="1"/>
  <c r="N553" i="1"/>
  <c r="L553" i="1"/>
  <c r="K553" i="1"/>
  <c r="AB553" i="1"/>
  <c r="I553" i="1"/>
  <c r="X552" i="1"/>
  <c r="Z552" i="1" s="1"/>
  <c r="W552" i="1"/>
  <c r="S552" i="1"/>
  <c r="Q552" i="1"/>
  <c r="N552" i="1"/>
  <c r="L552" i="1"/>
  <c r="K552" i="1"/>
  <c r="AB552" i="1"/>
  <c r="I552" i="1"/>
  <c r="X551" i="1"/>
  <c r="Z551" i="1" s="1"/>
  <c r="W551" i="1"/>
  <c r="S551" i="1"/>
  <c r="Q551" i="1"/>
  <c r="N551" i="1"/>
  <c r="L551" i="1"/>
  <c r="K551" i="1"/>
  <c r="AB551" i="1"/>
  <c r="I551" i="1"/>
  <c r="X550" i="1"/>
  <c r="Z550" i="1" s="1"/>
  <c r="W550" i="1"/>
  <c r="S550" i="1"/>
  <c r="Q550" i="1"/>
  <c r="N550" i="1"/>
  <c r="L550" i="1"/>
  <c r="K550" i="1"/>
  <c r="AB550" i="1"/>
  <c r="I550" i="1"/>
  <c r="X549" i="1"/>
  <c r="Z549" i="1" s="1"/>
  <c r="W549" i="1"/>
  <c r="S549" i="1"/>
  <c r="Q549" i="1"/>
  <c r="N549" i="1"/>
  <c r="L549" i="1"/>
  <c r="K549" i="1"/>
  <c r="AB549" i="1"/>
  <c r="I549" i="1"/>
  <c r="X548" i="1"/>
  <c r="Z548" i="1" s="1"/>
  <c r="W548" i="1"/>
  <c r="S548" i="1"/>
  <c r="Q548" i="1"/>
  <c r="N548" i="1"/>
  <c r="L548" i="1"/>
  <c r="K548" i="1"/>
  <c r="AB548" i="1"/>
  <c r="I548" i="1"/>
  <c r="X547" i="1"/>
  <c r="Z547" i="1" s="1"/>
  <c r="W547" i="1"/>
  <c r="S547" i="1"/>
  <c r="Q547" i="1"/>
  <c r="N547" i="1"/>
  <c r="L547" i="1"/>
  <c r="K547" i="1"/>
  <c r="AB547" i="1"/>
  <c r="I547" i="1"/>
  <c r="X546" i="1"/>
  <c r="Z546" i="1" s="1"/>
  <c r="W546" i="1"/>
  <c r="S546" i="1"/>
  <c r="Q546" i="1"/>
  <c r="N546" i="1"/>
  <c r="L546" i="1"/>
  <c r="K546" i="1"/>
  <c r="AB546" i="1"/>
  <c r="I546" i="1"/>
  <c r="X545" i="1"/>
  <c r="Z545" i="1" s="1"/>
  <c r="W545" i="1"/>
  <c r="S545" i="1"/>
  <c r="Q545" i="1"/>
  <c r="N545" i="1"/>
  <c r="L545" i="1"/>
  <c r="K545" i="1"/>
  <c r="AB545" i="1"/>
  <c r="I545" i="1"/>
  <c r="X544" i="1"/>
  <c r="Z544" i="1" s="1"/>
  <c r="W544" i="1"/>
  <c r="S544" i="1"/>
  <c r="Q544" i="1"/>
  <c r="N544" i="1"/>
  <c r="L544" i="1"/>
  <c r="K544" i="1"/>
  <c r="AB544" i="1"/>
  <c r="I544" i="1"/>
  <c r="X543" i="1"/>
  <c r="Z543" i="1" s="1"/>
  <c r="W543" i="1"/>
  <c r="S543" i="1"/>
  <c r="Q543" i="1"/>
  <c r="N543" i="1"/>
  <c r="L543" i="1"/>
  <c r="K543" i="1"/>
  <c r="AB543" i="1"/>
  <c r="I543" i="1"/>
  <c r="X542" i="1"/>
  <c r="Z542" i="1" s="1"/>
  <c r="W542" i="1"/>
  <c r="S542" i="1"/>
  <c r="Q542" i="1"/>
  <c r="N542" i="1"/>
  <c r="L542" i="1"/>
  <c r="K542" i="1"/>
  <c r="AB542" i="1"/>
  <c r="I542" i="1"/>
  <c r="X541" i="1"/>
  <c r="Z541" i="1" s="1"/>
  <c r="W541" i="1"/>
  <c r="S541" i="1"/>
  <c r="Q541" i="1"/>
  <c r="N541" i="1"/>
  <c r="L541" i="1"/>
  <c r="K541" i="1"/>
  <c r="AB541" i="1"/>
  <c r="I541" i="1"/>
  <c r="X540" i="1"/>
  <c r="Z540" i="1" s="1"/>
  <c r="W540" i="1"/>
  <c r="S540" i="1"/>
  <c r="Q540" i="1"/>
  <c r="N540" i="1"/>
  <c r="L540" i="1"/>
  <c r="K540" i="1"/>
  <c r="AB540" i="1"/>
  <c r="I540" i="1"/>
  <c r="X539" i="1"/>
  <c r="Z539" i="1" s="1"/>
  <c r="W539" i="1"/>
  <c r="S539" i="1"/>
  <c r="Q539" i="1"/>
  <c r="N539" i="1"/>
  <c r="L539" i="1"/>
  <c r="K539" i="1"/>
  <c r="AB539" i="1"/>
  <c r="I539" i="1"/>
  <c r="X538" i="1"/>
  <c r="Z538" i="1" s="1"/>
  <c r="W538" i="1"/>
  <c r="S538" i="1"/>
  <c r="Q538" i="1"/>
  <c r="N538" i="1"/>
  <c r="L538" i="1"/>
  <c r="K538" i="1"/>
  <c r="AB538" i="1"/>
  <c r="I538" i="1"/>
  <c r="X537" i="1"/>
  <c r="Z537" i="1" s="1"/>
  <c r="W537" i="1"/>
  <c r="S537" i="1"/>
  <c r="Q537" i="1"/>
  <c r="N537" i="1"/>
  <c r="L537" i="1"/>
  <c r="K537" i="1"/>
  <c r="AB537" i="1"/>
  <c r="I537" i="1"/>
  <c r="X536" i="1"/>
  <c r="Z536" i="1" s="1"/>
  <c r="W536" i="1"/>
  <c r="S536" i="1"/>
  <c r="Q536" i="1"/>
  <c r="N536" i="1"/>
  <c r="L536" i="1"/>
  <c r="K536" i="1"/>
  <c r="AB536" i="1"/>
  <c r="I536" i="1"/>
  <c r="X535" i="1"/>
  <c r="Z535" i="1" s="1"/>
  <c r="W535" i="1"/>
  <c r="S535" i="1"/>
  <c r="Q535" i="1"/>
  <c r="N535" i="1"/>
  <c r="L535" i="1"/>
  <c r="K535" i="1"/>
  <c r="AB535" i="1"/>
  <c r="I535" i="1"/>
  <c r="X534" i="1"/>
  <c r="Z534" i="1" s="1"/>
  <c r="W534" i="1"/>
  <c r="S534" i="1"/>
  <c r="Q534" i="1"/>
  <c r="N534" i="1"/>
  <c r="L534" i="1"/>
  <c r="K534" i="1"/>
  <c r="AB534" i="1"/>
  <c r="I534" i="1"/>
  <c r="X533" i="1"/>
  <c r="Z533" i="1" s="1"/>
  <c r="W533" i="1"/>
  <c r="S533" i="1"/>
  <c r="Q533" i="1"/>
  <c r="N533" i="1"/>
  <c r="L533" i="1"/>
  <c r="K533" i="1"/>
  <c r="AB533" i="1"/>
  <c r="I533" i="1"/>
  <c r="X532" i="1"/>
  <c r="Z532" i="1" s="1"/>
  <c r="W532" i="1"/>
  <c r="S532" i="1"/>
  <c r="Q532" i="1"/>
  <c r="N532" i="1"/>
  <c r="L532" i="1"/>
  <c r="K532" i="1"/>
  <c r="AB532" i="1"/>
  <c r="I532" i="1"/>
  <c r="X531" i="1"/>
  <c r="Z531" i="1" s="1"/>
  <c r="W531" i="1"/>
  <c r="S531" i="1"/>
  <c r="Q531" i="1"/>
  <c r="N531" i="1"/>
  <c r="L531" i="1"/>
  <c r="K531" i="1"/>
  <c r="AB531" i="1"/>
  <c r="I531" i="1"/>
  <c r="X530" i="1"/>
  <c r="Z530" i="1" s="1"/>
  <c r="W530" i="1"/>
  <c r="S530" i="1"/>
  <c r="Q530" i="1"/>
  <c r="N530" i="1"/>
  <c r="L530" i="1"/>
  <c r="K530" i="1"/>
  <c r="AB530" i="1"/>
  <c r="I530" i="1"/>
  <c r="X529" i="1"/>
  <c r="Z529" i="1" s="1"/>
  <c r="W529" i="1"/>
  <c r="S529" i="1"/>
  <c r="Q529" i="1"/>
  <c r="N529" i="1"/>
  <c r="L529" i="1"/>
  <c r="K529" i="1"/>
  <c r="AB529" i="1"/>
  <c r="I529" i="1"/>
  <c r="X528" i="1"/>
  <c r="Z528" i="1" s="1"/>
  <c r="W528" i="1"/>
  <c r="S528" i="1"/>
  <c r="Q528" i="1"/>
  <c r="N528" i="1"/>
  <c r="L528" i="1"/>
  <c r="K528" i="1"/>
  <c r="AB528" i="1"/>
  <c r="I528" i="1"/>
  <c r="X527" i="1"/>
  <c r="Z527" i="1" s="1"/>
  <c r="W527" i="1"/>
  <c r="S527" i="1"/>
  <c r="Q527" i="1"/>
  <c r="N527" i="1"/>
  <c r="L527" i="1"/>
  <c r="K527" i="1"/>
  <c r="AB527" i="1"/>
  <c r="I527" i="1"/>
  <c r="X526" i="1"/>
  <c r="Z526" i="1" s="1"/>
  <c r="W526" i="1"/>
  <c r="S526" i="1"/>
  <c r="Q526" i="1"/>
  <c r="N526" i="1"/>
  <c r="L526" i="1"/>
  <c r="K526" i="1"/>
  <c r="AB526" i="1"/>
  <c r="I526" i="1"/>
  <c r="X525" i="1"/>
  <c r="Z525" i="1" s="1"/>
  <c r="W525" i="1"/>
  <c r="S525" i="1"/>
  <c r="Q525" i="1"/>
  <c r="N525" i="1"/>
  <c r="L525" i="1"/>
  <c r="K525" i="1"/>
  <c r="AB525" i="1"/>
  <c r="I525" i="1"/>
  <c r="X524" i="1"/>
  <c r="Z524" i="1" s="1"/>
  <c r="W524" i="1"/>
  <c r="S524" i="1"/>
  <c r="Q524" i="1"/>
  <c r="N524" i="1"/>
  <c r="L524" i="1"/>
  <c r="K524" i="1"/>
  <c r="AB524" i="1"/>
  <c r="I524" i="1"/>
  <c r="X523" i="1"/>
  <c r="Z523" i="1" s="1"/>
  <c r="W523" i="1"/>
  <c r="S523" i="1"/>
  <c r="Q523" i="1"/>
  <c r="N523" i="1"/>
  <c r="L523" i="1"/>
  <c r="K523" i="1"/>
  <c r="AB523" i="1"/>
  <c r="I523" i="1"/>
  <c r="X522" i="1"/>
  <c r="Z522" i="1" s="1"/>
  <c r="W522" i="1"/>
  <c r="S522" i="1"/>
  <c r="Q522" i="1"/>
  <c r="N522" i="1"/>
  <c r="L522" i="1"/>
  <c r="K522" i="1"/>
  <c r="AB522" i="1"/>
  <c r="I522" i="1"/>
  <c r="X521" i="1"/>
  <c r="Z521" i="1" s="1"/>
  <c r="W521" i="1"/>
  <c r="S521" i="1"/>
  <c r="Q521" i="1"/>
  <c r="N521" i="1"/>
  <c r="L521" i="1"/>
  <c r="K521" i="1"/>
  <c r="AB521" i="1"/>
  <c r="I521" i="1"/>
  <c r="X520" i="1"/>
  <c r="Z520" i="1" s="1"/>
  <c r="W520" i="1"/>
  <c r="S520" i="1"/>
  <c r="Q520" i="1"/>
  <c r="N520" i="1"/>
  <c r="L520" i="1"/>
  <c r="K520" i="1"/>
  <c r="AB520" i="1"/>
  <c r="I520" i="1"/>
  <c r="X519" i="1"/>
  <c r="Z519" i="1" s="1"/>
  <c r="W519" i="1"/>
  <c r="S519" i="1"/>
  <c r="Q519" i="1"/>
  <c r="N519" i="1"/>
  <c r="L519" i="1"/>
  <c r="K519" i="1"/>
  <c r="AB519" i="1"/>
  <c r="I519" i="1"/>
  <c r="X518" i="1"/>
  <c r="Z518" i="1" s="1"/>
  <c r="W518" i="1"/>
  <c r="S518" i="1"/>
  <c r="Q518" i="1"/>
  <c r="N518" i="1"/>
  <c r="L518" i="1"/>
  <c r="K518" i="1"/>
  <c r="AB518" i="1"/>
  <c r="I518" i="1"/>
  <c r="X517" i="1"/>
  <c r="Z517" i="1" s="1"/>
  <c r="W517" i="1"/>
  <c r="S517" i="1"/>
  <c r="Q517" i="1"/>
  <c r="N517" i="1"/>
  <c r="L517" i="1"/>
  <c r="K517" i="1"/>
  <c r="AB517" i="1"/>
  <c r="I517" i="1"/>
  <c r="X516" i="1"/>
  <c r="Z516" i="1" s="1"/>
  <c r="W516" i="1"/>
  <c r="S516" i="1"/>
  <c r="Q516" i="1"/>
  <c r="N516" i="1"/>
  <c r="L516" i="1"/>
  <c r="K516" i="1"/>
  <c r="AB516" i="1"/>
  <c r="I516" i="1"/>
  <c r="X515" i="1"/>
  <c r="Z515" i="1" s="1"/>
  <c r="W515" i="1"/>
  <c r="S515" i="1"/>
  <c r="Q515" i="1"/>
  <c r="N515" i="1"/>
  <c r="L515" i="1"/>
  <c r="K515" i="1"/>
  <c r="AB515" i="1"/>
  <c r="I515" i="1"/>
  <c r="X514" i="1"/>
  <c r="Z514" i="1" s="1"/>
  <c r="W514" i="1"/>
  <c r="S514" i="1"/>
  <c r="Q514" i="1"/>
  <c r="N514" i="1"/>
  <c r="L514" i="1"/>
  <c r="K514" i="1"/>
  <c r="AB514" i="1"/>
  <c r="I514" i="1"/>
  <c r="X513" i="1"/>
  <c r="Z513" i="1" s="1"/>
  <c r="W513" i="1"/>
  <c r="S513" i="1"/>
  <c r="Q513" i="1"/>
  <c r="N513" i="1"/>
  <c r="L513" i="1"/>
  <c r="K513" i="1"/>
  <c r="AB513" i="1"/>
  <c r="I513" i="1"/>
  <c r="X512" i="1"/>
  <c r="Z512" i="1" s="1"/>
  <c r="W512" i="1"/>
  <c r="S512" i="1"/>
  <c r="Q512" i="1"/>
  <c r="N512" i="1"/>
  <c r="L512" i="1"/>
  <c r="K512" i="1"/>
  <c r="AB512" i="1"/>
  <c r="I512" i="1"/>
  <c r="X511" i="1"/>
  <c r="Z511" i="1" s="1"/>
  <c r="W511" i="1"/>
  <c r="S511" i="1"/>
  <c r="Q511" i="1"/>
  <c r="N511" i="1"/>
  <c r="L511" i="1"/>
  <c r="K511" i="1"/>
  <c r="AB511" i="1"/>
  <c r="I511" i="1"/>
  <c r="X510" i="1"/>
  <c r="Z510" i="1" s="1"/>
  <c r="W510" i="1"/>
  <c r="S510" i="1"/>
  <c r="Q510" i="1"/>
  <c r="N510" i="1"/>
  <c r="L510" i="1"/>
  <c r="K510" i="1"/>
  <c r="AB510" i="1"/>
  <c r="I510" i="1"/>
  <c r="X509" i="1"/>
  <c r="Z509" i="1" s="1"/>
  <c r="W509" i="1"/>
  <c r="S509" i="1"/>
  <c r="Q509" i="1"/>
  <c r="N509" i="1"/>
  <c r="L509" i="1"/>
  <c r="K509" i="1"/>
  <c r="AB509" i="1"/>
  <c r="I509" i="1"/>
  <c r="X508" i="1"/>
  <c r="Z508" i="1" s="1"/>
  <c r="W508" i="1"/>
  <c r="S508" i="1"/>
  <c r="Q508" i="1"/>
  <c r="N508" i="1"/>
  <c r="L508" i="1"/>
  <c r="K508" i="1"/>
  <c r="AB508" i="1"/>
  <c r="I508" i="1"/>
  <c r="X507" i="1"/>
  <c r="Z507" i="1" s="1"/>
  <c r="W507" i="1"/>
  <c r="S507" i="1"/>
  <c r="Q507" i="1"/>
  <c r="N507" i="1"/>
  <c r="L507" i="1"/>
  <c r="K507" i="1"/>
  <c r="AB507" i="1"/>
  <c r="I507" i="1"/>
  <c r="X506" i="1"/>
  <c r="Z506" i="1" s="1"/>
  <c r="W506" i="1"/>
  <c r="S506" i="1"/>
  <c r="Q506" i="1"/>
  <c r="N506" i="1"/>
  <c r="L506" i="1"/>
  <c r="K506" i="1"/>
  <c r="AB506" i="1"/>
  <c r="I506" i="1"/>
  <c r="X505" i="1"/>
  <c r="Z505" i="1" s="1"/>
  <c r="W505" i="1"/>
  <c r="S505" i="1"/>
  <c r="Q505" i="1"/>
  <c r="N505" i="1"/>
  <c r="L505" i="1"/>
  <c r="K505" i="1"/>
  <c r="AB505" i="1"/>
  <c r="I505" i="1"/>
  <c r="X504" i="1"/>
  <c r="Z504" i="1" s="1"/>
  <c r="W504" i="1"/>
  <c r="S504" i="1"/>
  <c r="Q504" i="1"/>
  <c r="N504" i="1"/>
  <c r="L504" i="1"/>
  <c r="K504" i="1"/>
  <c r="AB504" i="1"/>
  <c r="I504" i="1"/>
  <c r="X503" i="1"/>
  <c r="Z503" i="1" s="1"/>
  <c r="W503" i="1"/>
  <c r="S503" i="1"/>
  <c r="Q503" i="1"/>
  <c r="N503" i="1"/>
  <c r="L503" i="1"/>
  <c r="K503" i="1"/>
  <c r="AB503" i="1"/>
  <c r="I503" i="1"/>
  <c r="X502" i="1"/>
  <c r="Z502" i="1" s="1"/>
  <c r="W502" i="1"/>
  <c r="S502" i="1"/>
  <c r="Q502" i="1"/>
  <c r="N502" i="1"/>
  <c r="L502" i="1"/>
  <c r="K502" i="1"/>
  <c r="AB502" i="1"/>
  <c r="I502" i="1"/>
  <c r="X501" i="1"/>
  <c r="Z501" i="1" s="1"/>
  <c r="W501" i="1"/>
  <c r="S501" i="1"/>
  <c r="Q501" i="1"/>
  <c r="N501" i="1"/>
  <c r="L501" i="1"/>
  <c r="K501" i="1"/>
  <c r="AB501" i="1"/>
  <c r="I501" i="1"/>
  <c r="X500" i="1"/>
  <c r="Z500" i="1" s="1"/>
  <c r="W500" i="1"/>
  <c r="S500" i="1"/>
  <c r="Q500" i="1"/>
  <c r="N500" i="1"/>
  <c r="L500" i="1"/>
  <c r="K500" i="1"/>
  <c r="AB500" i="1"/>
  <c r="I500" i="1"/>
  <c r="X499" i="1"/>
  <c r="Z499" i="1" s="1"/>
  <c r="W499" i="1"/>
  <c r="S499" i="1"/>
  <c r="Q499" i="1"/>
  <c r="N499" i="1"/>
  <c r="L499" i="1"/>
  <c r="K499" i="1"/>
  <c r="AB499" i="1"/>
  <c r="I499" i="1"/>
  <c r="X498" i="1"/>
  <c r="Z498" i="1" s="1"/>
  <c r="W498" i="1"/>
  <c r="S498" i="1"/>
  <c r="Q498" i="1"/>
  <c r="N498" i="1"/>
  <c r="L498" i="1"/>
  <c r="K498" i="1"/>
  <c r="AB498" i="1"/>
  <c r="I498" i="1"/>
  <c r="X497" i="1"/>
  <c r="Z497" i="1" s="1"/>
  <c r="W497" i="1"/>
  <c r="S497" i="1"/>
  <c r="Q497" i="1"/>
  <c r="N497" i="1"/>
  <c r="L497" i="1"/>
  <c r="K497" i="1"/>
  <c r="AB497" i="1"/>
  <c r="I497" i="1"/>
  <c r="X496" i="1"/>
  <c r="Z496" i="1" s="1"/>
  <c r="W496" i="1"/>
  <c r="S496" i="1"/>
  <c r="Q496" i="1"/>
  <c r="N496" i="1"/>
  <c r="L496" i="1"/>
  <c r="K496" i="1"/>
  <c r="AB496" i="1"/>
  <c r="I496" i="1"/>
  <c r="X495" i="1"/>
  <c r="Z495" i="1" s="1"/>
  <c r="W495" i="1"/>
  <c r="S495" i="1"/>
  <c r="Q495" i="1"/>
  <c r="N495" i="1"/>
  <c r="L495" i="1"/>
  <c r="K495" i="1"/>
  <c r="AB495" i="1"/>
  <c r="I495" i="1"/>
  <c r="X494" i="1"/>
  <c r="Z494" i="1" s="1"/>
  <c r="W494" i="1"/>
  <c r="S494" i="1"/>
  <c r="Q494" i="1"/>
  <c r="N494" i="1"/>
  <c r="L494" i="1"/>
  <c r="K494" i="1"/>
  <c r="AB494" i="1"/>
  <c r="I494" i="1"/>
  <c r="X493" i="1"/>
  <c r="Z493" i="1" s="1"/>
  <c r="W493" i="1"/>
  <c r="S493" i="1"/>
  <c r="Q493" i="1"/>
  <c r="N493" i="1"/>
  <c r="L493" i="1"/>
  <c r="K493" i="1"/>
  <c r="AB493" i="1"/>
  <c r="I493" i="1"/>
  <c r="X492" i="1"/>
  <c r="Z492" i="1" s="1"/>
  <c r="W492" i="1"/>
  <c r="S492" i="1"/>
  <c r="Q492" i="1"/>
  <c r="N492" i="1"/>
  <c r="L492" i="1"/>
  <c r="K492" i="1"/>
  <c r="AB492" i="1"/>
  <c r="I492" i="1"/>
  <c r="X491" i="1"/>
  <c r="Z491" i="1" s="1"/>
  <c r="W491" i="1"/>
  <c r="S491" i="1"/>
  <c r="Q491" i="1"/>
  <c r="N491" i="1"/>
  <c r="L491" i="1"/>
  <c r="K491" i="1"/>
  <c r="AB491" i="1"/>
  <c r="I491" i="1"/>
  <c r="X490" i="1"/>
  <c r="Z490" i="1" s="1"/>
  <c r="W490" i="1"/>
  <c r="S490" i="1"/>
  <c r="Q490" i="1"/>
  <c r="N490" i="1"/>
  <c r="L490" i="1"/>
  <c r="K490" i="1"/>
  <c r="AB490" i="1"/>
  <c r="I490" i="1"/>
  <c r="X489" i="1"/>
  <c r="Z489" i="1" s="1"/>
  <c r="W489" i="1"/>
  <c r="S489" i="1"/>
  <c r="Q489" i="1"/>
  <c r="N489" i="1"/>
  <c r="L489" i="1"/>
  <c r="K489" i="1"/>
  <c r="AB489" i="1"/>
  <c r="I489" i="1"/>
  <c r="X488" i="1"/>
  <c r="Z488" i="1" s="1"/>
  <c r="W488" i="1"/>
  <c r="S488" i="1"/>
  <c r="Q488" i="1"/>
  <c r="N488" i="1"/>
  <c r="L488" i="1"/>
  <c r="K488" i="1"/>
  <c r="AB488" i="1"/>
  <c r="I488" i="1"/>
  <c r="X487" i="1"/>
  <c r="Z487" i="1" s="1"/>
  <c r="W487" i="1"/>
  <c r="S487" i="1"/>
  <c r="Q487" i="1"/>
  <c r="N487" i="1"/>
  <c r="L487" i="1"/>
  <c r="K487" i="1"/>
  <c r="AB487" i="1"/>
  <c r="I487" i="1"/>
  <c r="X486" i="1"/>
  <c r="Z486" i="1" s="1"/>
  <c r="W486" i="1"/>
  <c r="S486" i="1"/>
  <c r="Q486" i="1"/>
  <c r="N486" i="1"/>
  <c r="L486" i="1"/>
  <c r="K486" i="1"/>
  <c r="AB486" i="1"/>
  <c r="I486" i="1"/>
  <c r="X485" i="1"/>
  <c r="Z485" i="1" s="1"/>
  <c r="W485" i="1"/>
  <c r="S485" i="1"/>
  <c r="Q485" i="1"/>
  <c r="N485" i="1"/>
  <c r="L485" i="1"/>
  <c r="K485" i="1"/>
  <c r="AB485" i="1"/>
  <c r="I485" i="1"/>
  <c r="X484" i="1"/>
  <c r="Z484" i="1" s="1"/>
  <c r="W484" i="1"/>
  <c r="S484" i="1"/>
  <c r="Q484" i="1"/>
  <c r="N484" i="1"/>
  <c r="L484" i="1"/>
  <c r="K484" i="1"/>
  <c r="AB484" i="1"/>
  <c r="I484" i="1"/>
  <c r="X483" i="1"/>
  <c r="Z483" i="1" s="1"/>
  <c r="W483" i="1"/>
  <c r="S483" i="1"/>
  <c r="Q483" i="1"/>
  <c r="N483" i="1"/>
  <c r="L483" i="1"/>
  <c r="K483" i="1"/>
  <c r="AB483" i="1"/>
  <c r="I483" i="1"/>
  <c r="X482" i="1"/>
  <c r="Z482" i="1" s="1"/>
  <c r="W482" i="1"/>
  <c r="S482" i="1"/>
  <c r="Q482" i="1"/>
  <c r="N482" i="1"/>
  <c r="L482" i="1"/>
  <c r="K482" i="1"/>
  <c r="AB482" i="1"/>
  <c r="I482" i="1"/>
  <c r="X481" i="1"/>
  <c r="Z481" i="1" s="1"/>
  <c r="W481" i="1"/>
  <c r="S481" i="1"/>
  <c r="Q481" i="1"/>
  <c r="N481" i="1"/>
  <c r="L481" i="1"/>
  <c r="K481" i="1"/>
  <c r="AB481" i="1"/>
  <c r="I481" i="1"/>
  <c r="X480" i="1"/>
  <c r="Z480" i="1" s="1"/>
  <c r="W480" i="1"/>
  <c r="S480" i="1"/>
  <c r="Q480" i="1"/>
  <c r="N480" i="1"/>
  <c r="L480" i="1"/>
  <c r="K480" i="1"/>
  <c r="AB480" i="1"/>
  <c r="I480" i="1"/>
  <c r="X479" i="1"/>
  <c r="Z479" i="1" s="1"/>
  <c r="W479" i="1"/>
  <c r="S479" i="1"/>
  <c r="Q479" i="1"/>
  <c r="N479" i="1"/>
  <c r="L479" i="1"/>
  <c r="K479" i="1"/>
  <c r="AB479" i="1"/>
  <c r="I479" i="1"/>
  <c r="X478" i="1"/>
  <c r="Z478" i="1" s="1"/>
  <c r="W478" i="1"/>
  <c r="S478" i="1"/>
  <c r="Q478" i="1"/>
  <c r="N478" i="1"/>
  <c r="L478" i="1"/>
  <c r="K478" i="1"/>
  <c r="AB478" i="1"/>
  <c r="I478" i="1"/>
  <c r="X477" i="1"/>
  <c r="Z477" i="1" s="1"/>
  <c r="W477" i="1"/>
  <c r="S477" i="1"/>
  <c r="Q477" i="1"/>
  <c r="N477" i="1"/>
  <c r="L477" i="1"/>
  <c r="K477" i="1"/>
  <c r="AB477" i="1"/>
  <c r="I477" i="1"/>
  <c r="X476" i="1"/>
  <c r="Z476" i="1" s="1"/>
  <c r="W476" i="1"/>
  <c r="S476" i="1"/>
  <c r="Q476" i="1"/>
  <c r="N476" i="1"/>
  <c r="L476" i="1"/>
  <c r="K476" i="1"/>
  <c r="AB476" i="1"/>
  <c r="I476" i="1"/>
  <c r="X475" i="1"/>
  <c r="Z475" i="1" s="1"/>
  <c r="W475" i="1"/>
  <c r="S475" i="1"/>
  <c r="Q475" i="1"/>
  <c r="N475" i="1"/>
  <c r="L475" i="1"/>
  <c r="K475" i="1"/>
  <c r="AB475" i="1"/>
  <c r="I475" i="1"/>
  <c r="X474" i="1"/>
  <c r="Z474" i="1" s="1"/>
  <c r="W474" i="1"/>
  <c r="S474" i="1"/>
  <c r="Q474" i="1"/>
  <c r="N474" i="1"/>
  <c r="L474" i="1"/>
  <c r="K474" i="1"/>
  <c r="AB474" i="1"/>
  <c r="I474" i="1"/>
  <c r="X473" i="1"/>
  <c r="Z473" i="1" s="1"/>
  <c r="W473" i="1"/>
  <c r="S473" i="1"/>
  <c r="Q473" i="1"/>
  <c r="N473" i="1"/>
  <c r="L473" i="1"/>
  <c r="K473" i="1"/>
  <c r="AB473" i="1"/>
  <c r="I473" i="1"/>
  <c r="X472" i="1"/>
  <c r="Z472" i="1" s="1"/>
  <c r="W472" i="1"/>
  <c r="S472" i="1"/>
  <c r="Q472" i="1"/>
  <c r="N472" i="1"/>
  <c r="L472" i="1"/>
  <c r="K472" i="1"/>
  <c r="AB472" i="1"/>
  <c r="I472" i="1"/>
  <c r="X471" i="1"/>
  <c r="Z471" i="1" s="1"/>
  <c r="W471" i="1"/>
  <c r="S471" i="1"/>
  <c r="Q471" i="1"/>
  <c r="N471" i="1"/>
  <c r="L471" i="1"/>
  <c r="K471" i="1"/>
  <c r="AB471" i="1"/>
  <c r="I471" i="1"/>
  <c r="X470" i="1"/>
  <c r="Z470" i="1" s="1"/>
  <c r="W470" i="1"/>
  <c r="S470" i="1"/>
  <c r="Q470" i="1"/>
  <c r="N470" i="1"/>
  <c r="L470" i="1"/>
  <c r="K470" i="1"/>
  <c r="AB470" i="1"/>
  <c r="I470" i="1"/>
  <c r="X469" i="1"/>
  <c r="Z469" i="1" s="1"/>
  <c r="W469" i="1"/>
  <c r="S469" i="1"/>
  <c r="Q469" i="1"/>
  <c r="N469" i="1"/>
  <c r="L469" i="1"/>
  <c r="K469" i="1"/>
  <c r="AB469" i="1"/>
  <c r="I469" i="1"/>
  <c r="X468" i="1"/>
  <c r="Z468" i="1" s="1"/>
  <c r="W468" i="1"/>
  <c r="S468" i="1"/>
  <c r="Q468" i="1"/>
  <c r="N468" i="1"/>
  <c r="L468" i="1"/>
  <c r="K468" i="1"/>
  <c r="AB468" i="1"/>
  <c r="I468" i="1"/>
  <c r="X467" i="1"/>
  <c r="Z467" i="1" s="1"/>
  <c r="W467" i="1"/>
  <c r="S467" i="1"/>
  <c r="Q467" i="1"/>
  <c r="N467" i="1"/>
  <c r="L467" i="1"/>
  <c r="K467" i="1"/>
  <c r="AB467" i="1"/>
  <c r="I467" i="1"/>
  <c r="X466" i="1"/>
  <c r="Z466" i="1" s="1"/>
  <c r="W466" i="1"/>
  <c r="S466" i="1"/>
  <c r="Q466" i="1"/>
  <c r="N466" i="1"/>
  <c r="L466" i="1"/>
  <c r="K466" i="1"/>
  <c r="AB466" i="1"/>
  <c r="I466" i="1"/>
  <c r="X465" i="1"/>
  <c r="Z465" i="1" s="1"/>
  <c r="W465" i="1"/>
  <c r="S465" i="1"/>
  <c r="Q465" i="1"/>
  <c r="N465" i="1"/>
  <c r="L465" i="1"/>
  <c r="K465" i="1"/>
  <c r="AB465" i="1"/>
  <c r="I465" i="1"/>
  <c r="X464" i="1"/>
  <c r="Z464" i="1" s="1"/>
  <c r="W464" i="1"/>
  <c r="S464" i="1"/>
  <c r="Q464" i="1"/>
  <c r="N464" i="1"/>
  <c r="L464" i="1"/>
  <c r="K464" i="1"/>
  <c r="AB464" i="1"/>
  <c r="I464" i="1"/>
  <c r="X463" i="1"/>
  <c r="Z463" i="1" s="1"/>
  <c r="W463" i="1"/>
  <c r="S463" i="1"/>
  <c r="Q463" i="1"/>
  <c r="N463" i="1"/>
  <c r="L463" i="1"/>
  <c r="K463" i="1"/>
  <c r="AB463" i="1"/>
  <c r="I463" i="1"/>
  <c r="X462" i="1"/>
  <c r="Z462" i="1" s="1"/>
  <c r="W462" i="1"/>
  <c r="S462" i="1"/>
  <c r="Q462" i="1"/>
  <c r="N462" i="1"/>
  <c r="L462" i="1"/>
  <c r="K462" i="1"/>
  <c r="AB462" i="1"/>
  <c r="I462" i="1"/>
  <c r="X461" i="1"/>
  <c r="Z461" i="1" s="1"/>
  <c r="W461" i="1"/>
  <c r="S461" i="1"/>
  <c r="Q461" i="1"/>
  <c r="N461" i="1"/>
  <c r="L461" i="1"/>
  <c r="K461" i="1"/>
  <c r="AB461" i="1"/>
  <c r="I461" i="1"/>
  <c r="X460" i="1"/>
  <c r="Z460" i="1" s="1"/>
  <c r="W460" i="1"/>
  <c r="S460" i="1"/>
  <c r="Q460" i="1"/>
  <c r="N460" i="1"/>
  <c r="L460" i="1"/>
  <c r="K460" i="1"/>
  <c r="AB460" i="1"/>
  <c r="I460" i="1"/>
  <c r="X459" i="1"/>
  <c r="Z459" i="1" s="1"/>
  <c r="W459" i="1"/>
  <c r="S459" i="1"/>
  <c r="Q459" i="1"/>
  <c r="N459" i="1"/>
  <c r="L459" i="1"/>
  <c r="K459" i="1"/>
  <c r="AB459" i="1"/>
  <c r="I459" i="1"/>
  <c r="X458" i="1"/>
  <c r="Z458" i="1" s="1"/>
  <c r="W458" i="1"/>
  <c r="S458" i="1"/>
  <c r="Q458" i="1"/>
  <c r="N458" i="1"/>
  <c r="L458" i="1"/>
  <c r="K458" i="1"/>
  <c r="AB458" i="1"/>
  <c r="I458" i="1"/>
  <c r="X457" i="1"/>
  <c r="Z457" i="1" s="1"/>
  <c r="W457" i="1"/>
  <c r="S457" i="1"/>
  <c r="Q457" i="1"/>
  <c r="N457" i="1"/>
  <c r="L457" i="1"/>
  <c r="K457" i="1"/>
  <c r="AB457" i="1"/>
  <c r="I457" i="1"/>
  <c r="X456" i="1"/>
  <c r="Z456" i="1" s="1"/>
  <c r="W456" i="1"/>
  <c r="S456" i="1"/>
  <c r="Q456" i="1"/>
  <c r="N456" i="1"/>
  <c r="L456" i="1"/>
  <c r="K456" i="1"/>
  <c r="AB456" i="1"/>
  <c r="I456" i="1"/>
  <c r="X455" i="1"/>
  <c r="Z455" i="1" s="1"/>
  <c r="W455" i="1"/>
  <c r="S455" i="1"/>
  <c r="Q455" i="1"/>
  <c r="N455" i="1"/>
  <c r="L455" i="1"/>
  <c r="K455" i="1"/>
  <c r="AB455" i="1"/>
  <c r="I455" i="1"/>
  <c r="X454" i="1"/>
  <c r="Z454" i="1" s="1"/>
  <c r="W454" i="1"/>
  <c r="S454" i="1"/>
  <c r="Q454" i="1"/>
  <c r="N454" i="1"/>
  <c r="L454" i="1"/>
  <c r="K454" i="1"/>
  <c r="AB454" i="1"/>
  <c r="I454" i="1"/>
  <c r="X453" i="1"/>
  <c r="Z453" i="1" s="1"/>
  <c r="W453" i="1"/>
  <c r="S453" i="1"/>
  <c r="Q453" i="1"/>
  <c r="N453" i="1"/>
  <c r="L453" i="1"/>
  <c r="K453" i="1"/>
  <c r="AB453" i="1"/>
  <c r="I453" i="1"/>
  <c r="X452" i="1"/>
  <c r="Z452" i="1" s="1"/>
  <c r="W452" i="1"/>
  <c r="S452" i="1"/>
  <c r="Q452" i="1"/>
  <c r="N452" i="1"/>
  <c r="L452" i="1"/>
  <c r="K452" i="1"/>
  <c r="AB452" i="1"/>
  <c r="I452" i="1"/>
  <c r="X451" i="1"/>
  <c r="Z451" i="1" s="1"/>
  <c r="W451" i="1"/>
  <c r="S451" i="1"/>
  <c r="Q451" i="1"/>
  <c r="N451" i="1"/>
  <c r="L451" i="1"/>
  <c r="K451" i="1"/>
  <c r="AB451" i="1"/>
  <c r="I451" i="1"/>
  <c r="X450" i="1"/>
  <c r="Z450" i="1" s="1"/>
  <c r="W450" i="1"/>
  <c r="S450" i="1"/>
  <c r="Q450" i="1"/>
  <c r="N450" i="1"/>
  <c r="L450" i="1"/>
  <c r="K450" i="1"/>
  <c r="AB450" i="1"/>
  <c r="I450" i="1"/>
  <c r="X449" i="1"/>
  <c r="Z449" i="1" s="1"/>
  <c r="W449" i="1"/>
  <c r="S449" i="1"/>
  <c r="Q449" i="1"/>
  <c r="N449" i="1"/>
  <c r="L449" i="1"/>
  <c r="K449" i="1"/>
  <c r="AB449" i="1"/>
  <c r="I449" i="1"/>
  <c r="X448" i="1"/>
  <c r="Z448" i="1" s="1"/>
  <c r="W448" i="1"/>
  <c r="S448" i="1"/>
  <c r="Q448" i="1"/>
  <c r="N448" i="1"/>
  <c r="L448" i="1"/>
  <c r="K448" i="1"/>
  <c r="AB448" i="1"/>
  <c r="I448" i="1"/>
  <c r="X447" i="1"/>
  <c r="Z447" i="1" s="1"/>
  <c r="W447" i="1"/>
  <c r="S447" i="1"/>
  <c r="Q447" i="1"/>
  <c r="N447" i="1"/>
  <c r="L447" i="1"/>
  <c r="K447" i="1"/>
  <c r="AB447" i="1"/>
  <c r="I447" i="1"/>
  <c r="X446" i="1"/>
  <c r="Z446" i="1" s="1"/>
  <c r="W446" i="1"/>
  <c r="S446" i="1"/>
  <c r="Q446" i="1"/>
  <c r="N446" i="1"/>
  <c r="L446" i="1"/>
  <c r="K446" i="1"/>
  <c r="AB446" i="1"/>
  <c r="I446" i="1"/>
  <c r="X445" i="1"/>
  <c r="Z445" i="1" s="1"/>
  <c r="W445" i="1"/>
  <c r="S445" i="1"/>
  <c r="Q445" i="1"/>
  <c r="N445" i="1"/>
  <c r="L445" i="1"/>
  <c r="K445" i="1"/>
  <c r="AB445" i="1"/>
  <c r="I445" i="1"/>
  <c r="X444" i="1"/>
  <c r="Z444" i="1" s="1"/>
  <c r="W444" i="1"/>
  <c r="S444" i="1"/>
  <c r="Q444" i="1"/>
  <c r="N444" i="1"/>
  <c r="L444" i="1"/>
  <c r="K444" i="1"/>
  <c r="AB444" i="1"/>
  <c r="I444" i="1"/>
  <c r="X443" i="1"/>
  <c r="Z443" i="1" s="1"/>
  <c r="W443" i="1"/>
  <c r="S443" i="1"/>
  <c r="Q443" i="1"/>
  <c r="N443" i="1"/>
  <c r="L443" i="1"/>
  <c r="K443" i="1"/>
  <c r="AB443" i="1"/>
  <c r="I443" i="1"/>
  <c r="X442" i="1"/>
  <c r="Z442" i="1" s="1"/>
  <c r="W442" i="1"/>
  <c r="S442" i="1"/>
  <c r="Q442" i="1"/>
  <c r="N442" i="1"/>
  <c r="L442" i="1"/>
  <c r="K442" i="1"/>
  <c r="AB442" i="1"/>
  <c r="I442" i="1"/>
  <c r="X441" i="1"/>
  <c r="Z441" i="1" s="1"/>
  <c r="W441" i="1"/>
  <c r="S441" i="1"/>
  <c r="Q441" i="1"/>
  <c r="N441" i="1"/>
  <c r="L441" i="1"/>
  <c r="K441" i="1"/>
  <c r="AB441" i="1"/>
  <c r="I441" i="1"/>
  <c r="X440" i="1"/>
  <c r="Z440" i="1" s="1"/>
  <c r="W440" i="1"/>
  <c r="S440" i="1"/>
  <c r="Q440" i="1"/>
  <c r="N440" i="1"/>
  <c r="L440" i="1"/>
  <c r="K440" i="1"/>
  <c r="AB440" i="1"/>
  <c r="I440" i="1"/>
  <c r="X439" i="1"/>
  <c r="Z439" i="1" s="1"/>
  <c r="W439" i="1"/>
  <c r="S439" i="1"/>
  <c r="Q439" i="1"/>
  <c r="N439" i="1"/>
  <c r="L439" i="1"/>
  <c r="K439" i="1"/>
  <c r="AB439" i="1"/>
  <c r="I439" i="1"/>
  <c r="X438" i="1"/>
  <c r="Z438" i="1" s="1"/>
  <c r="W438" i="1"/>
  <c r="S438" i="1"/>
  <c r="Q438" i="1"/>
  <c r="N438" i="1"/>
  <c r="L438" i="1"/>
  <c r="K438" i="1"/>
  <c r="AB438" i="1"/>
  <c r="I438" i="1"/>
  <c r="X437" i="1"/>
  <c r="Z437" i="1" s="1"/>
  <c r="W437" i="1"/>
  <c r="S437" i="1"/>
  <c r="Q437" i="1"/>
  <c r="N437" i="1"/>
  <c r="L437" i="1"/>
  <c r="K437" i="1"/>
  <c r="AB437" i="1"/>
  <c r="I437" i="1"/>
  <c r="X436" i="1"/>
  <c r="Z436" i="1" s="1"/>
  <c r="W436" i="1"/>
  <c r="S436" i="1"/>
  <c r="Q436" i="1"/>
  <c r="N436" i="1"/>
  <c r="L436" i="1"/>
  <c r="K436" i="1"/>
  <c r="AB436" i="1"/>
  <c r="I436" i="1"/>
  <c r="X435" i="1"/>
  <c r="Z435" i="1" s="1"/>
  <c r="W435" i="1"/>
  <c r="S435" i="1"/>
  <c r="Q435" i="1"/>
  <c r="N435" i="1"/>
  <c r="L435" i="1"/>
  <c r="K435" i="1"/>
  <c r="AB435" i="1"/>
  <c r="I435" i="1"/>
  <c r="X434" i="1"/>
  <c r="Z434" i="1" s="1"/>
  <c r="W434" i="1"/>
  <c r="S434" i="1"/>
  <c r="Q434" i="1"/>
  <c r="N434" i="1"/>
  <c r="L434" i="1"/>
  <c r="K434" i="1"/>
  <c r="AB434" i="1"/>
  <c r="I434" i="1"/>
  <c r="X433" i="1"/>
  <c r="Z433" i="1" s="1"/>
  <c r="W433" i="1"/>
  <c r="S433" i="1"/>
  <c r="Q433" i="1"/>
  <c r="N433" i="1"/>
  <c r="L433" i="1"/>
  <c r="K433" i="1"/>
  <c r="AB433" i="1"/>
  <c r="I433" i="1"/>
  <c r="X432" i="1"/>
  <c r="Z432" i="1" s="1"/>
  <c r="W432" i="1"/>
  <c r="S432" i="1"/>
  <c r="Q432" i="1"/>
  <c r="N432" i="1"/>
  <c r="L432" i="1"/>
  <c r="K432" i="1"/>
  <c r="AB432" i="1"/>
  <c r="I432" i="1"/>
  <c r="X431" i="1"/>
  <c r="Z431" i="1" s="1"/>
  <c r="W431" i="1"/>
  <c r="S431" i="1"/>
  <c r="Q431" i="1"/>
  <c r="N431" i="1"/>
  <c r="L431" i="1"/>
  <c r="K431" i="1"/>
  <c r="AB431" i="1"/>
  <c r="I431" i="1"/>
  <c r="X430" i="1"/>
  <c r="Z430" i="1" s="1"/>
  <c r="W430" i="1"/>
  <c r="S430" i="1"/>
  <c r="Q430" i="1"/>
  <c r="N430" i="1"/>
  <c r="L430" i="1"/>
  <c r="K430" i="1"/>
  <c r="AB430" i="1"/>
  <c r="I430" i="1"/>
  <c r="X429" i="1"/>
  <c r="Z429" i="1" s="1"/>
  <c r="W429" i="1"/>
  <c r="S429" i="1"/>
  <c r="Q429" i="1"/>
  <c r="N429" i="1"/>
  <c r="L429" i="1"/>
  <c r="K429" i="1"/>
  <c r="AB429" i="1"/>
  <c r="I429" i="1"/>
  <c r="X428" i="1"/>
  <c r="Z428" i="1" s="1"/>
  <c r="W428" i="1"/>
  <c r="S428" i="1"/>
  <c r="Q428" i="1"/>
  <c r="N428" i="1"/>
  <c r="L428" i="1"/>
  <c r="Y428" i="1" s="1"/>
  <c r="K428" i="1"/>
  <c r="AB428" i="1"/>
  <c r="I428" i="1"/>
  <c r="X427" i="1"/>
  <c r="Z427" i="1" s="1"/>
  <c r="W427" i="1"/>
  <c r="S427" i="1"/>
  <c r="Q427" i="1"/>
  <c r="N427" i="1"/>
  <c r="L427" i="1"/>
  <c r="K427" i="1"/>
  <c r="AB427" i="1"/>
  <c r="I427" i="1"/>
  <c r="X426" i="1"/>
  <c r="Z426" i="1" s="1"/>
  <c r="W426" i="1"/>
  <c r="S426" i="1"/>
  <c r="Q426" i="1"/>
  <c r="N426" i="1"/>
  <c r="L426" i="1"/>
  <c r="K426" i="1"/>
  <c r="AB426" i="1"/>
  <c r="I426" i="1"/>
  <c r="X425" i="1"/>
  <c r="Z425" i="1" s="1"/>
  <c r="W425" i="1"/>
  <c r="S425" i="1"/>
  <c r="Q425" i="1"/>
  <c r="N425" i="1"/>
  <c r="L425" i="1"/>
  <c r="K425" i="1"/>
  <c r="AB425" i="1"/>
  <c r="I425" i="1"/>
  <c r="X424" i="1"/>
  <c r="Z424" i="1" s="1"/>
  <c r="W424" i="1"/>
  <c r="S424" i="1"/>
  <c r="Q424" i="1"/>
  <c r="N424" i="1"/>
  <c r="L424" i="1"/>
  <c r="K424" i="1"/>
  <c r="AB424" i="1"/>
  <c r="I424" i="1"/>
  <c r="X423" i="1"/>
  <c r="Z423" i="1" s="1"/>
  <c r="W423" i="1"/>
  <c r="S423" i="1"/>
  <c r="Q423" i="1"/>
  <c r="N423" i="1"/>
  <c r="L423" i="1"/>
  <c r="K423" i="1"/>
  <c r="AB423" i="1"/>
  <c r="I423" i="1"/>
  <c r="X422" i="1"/>
  <c r="Z422" i="1" s="1"/>
  <c r="W422" i="1"/>
  <c r="S422" i="1"/>
  <c r="Q422" i="1"/>
  <c r="N422" i="1"/>
  <c r="L422" i="1"/>
  <c r="K422" i="1"/>
  <c r="AB422" i="1"/>
  <c r="I422" i="1"/>
  <c r="X421" i="1"/>
  <c r="Z421" i="1" s="1"/>
  <c r="W421" i="1"/>
  <c r="S421" i="1"/>
  <c r="Q421" i="1"/>
  <c r="N421" i="1"/>
  <c r="L421" i="1"/>
  <c r="K421" i="1"/>
  <c r="AB421" i="1"/>
  <c r="I421" i="1"/>
  <c r="X420" i="1"/>
  <c r="Z420" i="1" s="1"/>
  <c r="W420" i="1"/>
  <c r="S420" i="1"/>
  <c r="Q420" i="1"/>
  <c r="N420" i="1"/>
  <c r="L420" i="1"/>
  <c r="K420" i="1"/>
  <c r="AB420" i="1"/>
  <c r="I420" i="1"/>
  <c r="X419" i="1"/>
  <c r="Z419" i="1" s="1"/>
  <c r="W419" i="1"/>
  <c r="S419" i="1"/>
  <c r="Q419" i="1"/>
  <c r="N419" i="1"/>
  <c r="L419" i="1"/>
  <c r="K419" i="1"/>
  <c r="AB419" i="1"/>
  <c r="I419" i="1"/>
  <c r="X418" i="1"/>
  <c r="Z418" i="1" s="1"/>
  <c r="W418" i="1"/>
  <c r="S418" i="1"/>
  <c r="Q418" i="1"/>
  <c r="N418" i="1"/>
  <c r="L418" i="1"/>
  <c r="K418" i="1"/>
  <c r="AB418" i="1"/>
  <c r="I418" i="1"/>
  <c r="X417" i="1"/>
  <c r="Z417" i="1" s="1"/>
  <c r="W417" i="1"/>
  <c r="S417" i="1"/>
  <c r="Q417" i="1"/>
  <c r="N417" i="1"/>
  <c r="L417" i="1"/>
  <c r="K417" i="1"/>
  <c r="AB417" i="1"/>
  <c r="I417" i="1"/>
  <c r="X416" i="1"/>
  <c r="Z416" i="1" s="1"/>
  <c r="W416" i="1"/>
  <c r="S416" i="1"/>
  <c r="Q416" i="1"/>
  <c r="N416" i="1"/>
  <c r="L416" i="1"/>
  <c r="Y416" i="1" s="1"/>
  <c r="K416" i="1"/>
  <c r="AB416" i="1"/>
  <c r="I416" i="1"/>
  <c r="X415" i="1"/>
  <c r="Z415" i="1" s="1"/>
  <c r="W415" i="1"/>
  <c r="S415" i="1"/>
  <c r="Q415" i="1"/>
  <c r="N415" i="1"/>
  <c r="L415" i="1"/>
  <c r="K415" i="1"/>
  <c r="AB415" i="1"/>
  <c r="I415" i="1"/>
  <c r="X414" i="1"/>
  <c r="Z414" i="1" s="1"/>
  <c r="W414" i="1"/>
  <c r="S414" i="1"/>
  <c r="Q414" i="1"/>
  <c r="N414" i="1"/>
  <c r="L414" i="1"/>
  <c r="K414" i="1"/>
  <c r="AB414" i="1"/>
  <c r="I414" i="1"/>
  <c r="X413" i="1"/>
  <c r="Z413" i="1" s="1"/>
  <c r="W413" i="1"/>
  <c r="S413" i="1"/>
  <c r="Q413" i="1"/>
  <c r="N413" i="1"/>
  <c r="L413" i="1"/>
  <c r="K413" i="1"/>
  <c r="AB413" i="1"/>
  <c r="I413" i="1"/>
  <c r="X412" i="1"/>
  <c r="Z412" i="1" s="1"/>
  <c r="W412" i="1"/>
  <c r="S412" i="1"/>
  <c r="Q412" i="1"/>
  <c r="N412" i="1"/>
  <c r="L412" i="1"/>
  <c r="K412" i="1"/>
  <c r="AB412" i="1"/>
  <c r="I412" i="1"/>
  <c r="X411" i="1"/>
  <c r="Z411" i="1" s="1"/>
  <c r="W411" i="1"/>
  <c r="S411" i="1"/>
  <c r="Q411" i="1"/>
  <c r="N411" i="1"/>
  <c r="L411" i="1"/>
  <c r="K411" i="1"/>
  <c r="AB411" i="1"/>
  <c r="I411" i="1"/>
  <c r="X410" i="1"/>
  <c r="Z410" i="1" s="1"/>
  <c r="W410" i="1"/>
  <c r="S410" i="1"/>
  <c r="Q410" i="1"/>
  <c r="N410" i="1"/>
  <c r="L410" i="1"/>
  <c r="K410" i="1"/>
  <c r="AB410" i="1"/>
  <c r="I410" i="1"/>
  <c r="X409" i="1"/>
  <c r="Z409" i="1" s="1"/>
  <c r="W409" i="1"/>
  <c r="S409" i="1"/>
  <c r="Q409" i="1"/>
  <c r="N409" i="1"/>
  <c r="L409" i="1"/>
  <c r="K409" i="1"/>
  <c r="AB409" i="1"/>
  <c r="I409" i="1"/>
  <c r="X408" i="1"/>
  <c r="Z408" i="1" s="1"/>
  <c r="W408" i="1"/>
  <c r="S408" i="1"/>
  <c r="Q408" i="1"/>
  <c r="N408" i="1"/>
  <c r="L408" i="1"/>
  <c r="K408" i="1"/>
  <c r="AB408" i="1"/>
  <c r="I408" i="1"/>
  <c r="X407" i="1"/>
  <c r="Z407" i="1" s="1"/>
  <c r="W407" i="1"/>
  <c r="S407" i="1"/>
  <c r="Q407" i="1"/>
  <c r="N407" i="1"/>
  <c r="L407" i="1"/>
  <c r="K407" i="1"/>
  <c r="AB407" i="1"/>
  <c r="I407" i="1"/>
  <c r="X406" i="1"/>
  <c r="Z406" i="1" s="1"/>
  <c r="W406" i="1"/>
  <c r="S406" i="1"/>
  <c r="Q406" i="1"/>
  <c r="N406" i="1"/>
  <c r="L406" i="1"/>
  <c r="K406" i="1"/>
  <c r="AB406" i="1"/>
  <c r="I406" i="1"/>
  <c r="X405" i="1"/>
  <c r="Z405" i="1" s="1"/>
  <c r="W405" i="1"/>
  <c r="S405" i="1"/>
  <c r="Q405" i="1"/>
  <c r="N405" i="1"/>
  <c r="L405" i="1"/>
  <c r="K405" i="1"/>
  <c r="AB405" i="1"/>
  <c r="I405" i="1"/>
  <c r="X404" i="1"/>
  <c r="Z404" i="1" s="1"/>
  <c r="W404" i="1"/>
  <c r="S404" i="1"/>
  <c r="Q404" i="1"/>
  <c r="N404" i="1"/>
  <c r="L404" i="1"/>
  <c r="K404" i="1"/>
  <c r="AB404" i="1"/>
  <c r="I404" i="1"/>
  <c r="X403" i="1"/>
  <c r="Z403" i="1" s="1"/>
  <c r="W403" i="1"/>
  <c r="S403" i="1"/>
  <c r="Q403" i="1"/>
  <c r="N403" i="1"/>
  <c r="L403" i="1"/>
  <c r="K403" i="1"/>
  <c r="AB403" i="1"/>
  <c r="I403" i="1"/>
  <c r="X402" i="1"/>
  <c r="Z402" i="1" s="1"/>
  <c r="W402" i="1"/>
  <c r="S402" i="1"/>
  <c r="Q402" i="1"/>
  <c r="N402" i="1"/>
  <c r="L402" i="1"/>
  <c r="K402" i="1"/>
  <c r="AB402" i="1"/>
  <c r="I402" i="1"/>
  <c r="X401" i="1"/>
  <c r="Z401" i="1" s="1"/>
  <c r="W401" i="1"/>
  <c r="S401" i="1"/>
  <c r="Q401" i="1"/>
  <c r="N401" i="1"/>
  <c r="L401" i="1"/>
  <c r="K401" i="1"/>
  <c r="AB401" i="1"/>
  <c r="I401" i="1"/>
  <c r="X400" i="1"/>
  <c r="Z400" i="1" s="1"/>
  <c r="W400" i="1"/>
  <c r="S400" i="1"/>
  <c r="Q400" i="1"/>
  <c r="N400" i="1"/>
  <c r="L400" i="1"/>
  <c r="K400" i="1"/>
  <c r="AB400" i="1"/>
  <c r="I400" i="1"/>
  <c r="X399" i="1"/>
  <c r="Z399" i="1" s="1"/>
  <c r="W399" i="1"/>
  <c r="S399" i="1"/>
  <c r="Q399" i="1"/>
  <c r="N399" i="1"/>
  <c r="L399" i="1"/>
  <c r="K399" i="1"/>
  <c r="AB399" i="1"/>
  <c r="I399" i="1"/>
  <c r="X398" i="1"/>
  <c r="Z398" i="1" s="1"/>
  <c r="W398" i="1"/>
  <c r="S398" i="1"/>
  <c r="Q398" i="1"/>
  <c r="N398" i="1"/>
  <c r="L398" i="1"/>
  <c r="K398" i="1"/>
  <c r="AB398" i="1"/>
  <c r="I398" i="1"/>
  <c r="X397" i="1"/>
  <c r="Z397" i="1" s="1"/>
  <c r="W397" i="1"/>
  <c r="S397" i="1"/>
  <c r="Q397" i="1"/>
  <c r="N397" i="1"/>
  <c r="L397" i="1"/>
  <c r="K397" i="1"/>
  <c r="AB397" i="1"/>
  <c r="I397" i="1"/>
  <c r="X396" i="1"/>
  <c r="Z396" i="1" s="1"/>
  <c r="W396" i="1"/>
  <c r="S396" i="1"/>
  <c r="Q396" i="1"/>
  <c r="N396" i="1"/>
  <c r="L396" i="1"/>
  <c r="K396" i="1"/>
  <c r="AB396" i="1"/>
  <c r="I396" i="1"/>
  <c r="X395" i="1"/>
  <c r="Z395" i="1" s="1"/>
  <c r="W395" i="1"/>
  <c r="S395" i="1"/>
  <c r="Q395" i="1"/>
  <c r="N395" i="1"/>
  <c r="L395" i="1"/>
  <c r="K395" i="1"/>
  <c r="AB395" i="1"/>
  <c r="I395" i="1"/>
  <c r="X394" i="1"/>
  <c r="Z394" i="1" s="1"/>
  <c r="W394" i="1"/>
  <c r="S394" i="1"/>
  <c r="Q394" i="1"/>
  <c r="N394" i="1"/>
  <c r="L394" i="1"/>
  <c r="K394" i="1"/>
  <c r="AB394" i="1"/>
  <c r="I394" i="1"/>
  <c r="X393" i="1"/>
  <c r="Z393" i="1" s="1"/>
  <c r="W393" i="1"/>
  <c r="S393" i="1"/>
  <c r="Q393" i="1"/>
  <c r="N393" i="1"/>
  <c r="L393" i="1"/>
  <c r="K393" i="1"/>
  <c r="AB393" i="1"/>
  <c r="I393" i="1"/>
  <c r="X392" i="1"/>
  <c r="Z392" i="1" s="1"/>
  <c r="W392" i="1"/>
  <c r="S392" i="1"/>
  <c r="Q392" i="1"/>
  <c r="N392" i="1"/>
  <c r="L392" i="1"/>
  <c r="K392" i="1"/>
  <c r="AB392" i="1"/>
  <c r="I392" i="1"/>
  <c r="X391" i="1"/>
  <c r="Z391" i="1" s="1"/>
  <c r="W391" i="1"/>
  <c r="S391" i="1"/>
  <c r="Q391" i="1"/>
  <c r="N391" i="1"/>
  <c r="L391" i="1"/>
  <c r="K391" i="1"/>
  <c r="AB391" i="1"/>
  <c r="I391" i="1"/>
  <c r="X390" i="1"/>
  <c r="Z390" i="1" s="1"/>
  <c r="W390" i="1"/>
  <c r="S390" i="1"/>
  <c r="Q390" i="1"/>
  <c r="N390" i="1"/>
  <c r="L390" i="1"/>
  <c r="K390" i="1"/>
  <c r="AB390" i="1"/>
  <c r="I390" i="1"/>
  <c r="X389" i="1"/>
  <c r="Z389" i="1" s="1"/>
  <c r="W389" i="1"/>
  <c r="S389" i="1"/>
  <c r="Q389" i="1"/>
  <c r="N389" i="1"/>
  <c r="L389" i="1"/>
  <c r="K389" i="1"/>
  <c r="AB389" i="1"/>
  <c r="I389" i="1"/>
  <c r="X388" i="1"/>
  <c r="Z388" i="1" s="1"/>
  <c r="W388" i="1"/>
  <c r="S388" i="1"/>
  <c r="Q388" i="1"/>
  <c r="N388" i="1"/>
  <c r="L388" i="1"/>
  <c r="K388" i="1"/>
  <c r="AB388" i="1"/>
  <c r="I388" i="1"/>
  <c r="X387" i="1"/>
  <c r="Z387" i="1" s="1"/>
  <c r="W387" i="1"/>
  <c r="S387" i="1"/>
  <c r="Q387" i="1"/>
  <c r="N387" i="1"/>
  <c r="L387" i="1"/>
  <c r="K387" i="1"/>
  <c r="AB387" i="1"/>
  <c r="I387" i="1"/>
  <c r="X386" i="1"/>
  <c r="Z386" i="1" s="1"/>
  <c r="W386" i="1"/>
  <c r="S386" i="1"/>
  <c r="Q386" i="1"/>
  <c r="N386" i="1"/>
  <c r="L386" i="1"/>
  <c r="K386" i="1"/>
  <c r="AB386" i="1"/>
  <c r="I386" i="1"/>
  <c r="X385" i="1"/>
  <c r="Z385" i="1" s="1"/>
  <c r="W385" i="1"/>
  <c r="S385" i="1"/>
  <c r="Q385" i="1"/>
  <c r="N385" i="1"/>
  <c r="L385" i="1"/>
  <c r="K385" i="1"/>
  <c r="AB385" i="1"/>
  <c r="I385" i="1"/>
  <c r="X384" i="1"/>
  <c r="Z384" i="1" s="1"/>
  <c r="W384" i="1"/>
  <c r="S384" i="1"/>
  <c r="Q384" i="1"/>
  <c r="N384" i="1"/>
  <c r="L384" i="1"/>
  <c r="K384" i="1"/>
  <c r="AB384" i="1"/>
  <c r="I384" i="1"/>
  <c r="X383" i="1"/>
  <c r="Z383" i="1" s="1"/>
  <c r="W383" i="1"/>
  <c r="S383" i="1"/>
  <c r="Q383" i="1"/>
  <c r="N383" i="1"/>
  <c r="L383" i="1"/>
  <c r="K383" i="1"/>
  <c r="AB383" i="1"/>
  <c r="I383" i="1"/>
  <c r="X382" i="1"/>
  <c r="Z382" i="1" s="1"/>
  <c r="W382" i="1"/>
  <c r="S382" i="1"/>
  <c r="Q382" i="1"/>
  <c r="N382" i="1"/>
  <c r="L382" i="1"/>
  <c r="K382" i="1"/>
  <c r="AB382" i="1"/>
  <c r="I382" i="1"/>
  <c r="X381" i="1"/>
  <c r="Z381" i="1" s="1"/>
  <c r="W381" i="1"/>
  <c r="S381" i="1"/>
  <c r="Q381" i="1"/>
  <c r="N381" i="1"/>
  <c r="L381" i="1"/>
  <c r="K381" i="1"/>
  <c r="AB381" i="1"/>
  <c r="I381" i="1"/>
  <c r="X380" i="1"/>
  <c r="Z380" i="1" s="1"/>
  <c r="W380" i="1"/>
  <c r="S380" i="1"/>
  <c r="Q380" i="1"/>
  <c r="N380" i="1"/>
  <c r="L380" i="1"/>
  <c r="K380" i="1"/>
  <c r="AB380" i="1"/>
  <c r="I380" i="1"/>
  <c r="X379" i="1"/>
  <c r="Z379" i="1" s="1"/>
  <c r="W379" i="1"/>
  <c r="S379" i="1"/>
  <c r="Q379" i="1"/>
  <c r="N379" i="1"/>
  <c r="L379" i="1"/>
  <c r="K379" i="1"/>
  <c r="AB379" i="1"/>
  <c r="I379" i="1"/>
  <c r="X378" i="1"/>
  <c r="Z378" i="1" s="1"/>
  <c r="W378" i="1"/>
  <c r="S378" i="1"/>
  <c r="Q378" i="1"/>
  <c r="N378" i="1"/>
  <c r="L378" i="1"/>
  <c r="K378" i="1"/>
  <c r="AB378" i="1"/>
  <c r="I378" i="1"/>
  <c r="X377" i="1"/>
  <c r="Z377" i="1" s="1"/>
  <c r="W377" i="1"/>
  <c r="S377" i="1"/>
  <c r="Q377" i="1"/>
  <c r="N377" i="1"/>
  <c r="L377" i="1"/>
  <c r="K377" i="1"/>
  <c r="AB377" i="1"/>
  <c r="I377" i="1"/>
  <c r="X376" i="1"/>
  <c r="Z376" i="1" s="1"/>
  <c r="W376" i="1"/>
  <c r="S376" i="1"/>
  <c r="Q376" i="1"/>
  <c r="N376" i="1"/>
  <c r="L376" i="1"/>
  <c r="K376" i="1"/>
  <c r="AB376" i="1"/>
  <c r="I376" i="1"/>
  <c r="X375" i="1"/>
  <c r="Z375" i="1" s="1"/>
  <c r="W375" i="1"/>
  <c r="S375" i="1"/>
  <c r="Q375" i="1"/>
  <c r="N375" i="1"/>
  <c r="L375" i="1"/>
  <c r="K375" i="1"/>
  <c r="AB375" i="1"/>
  <c r="I375" i="1"/>
  <c r="X374" i="1"/>
  <c r="Z374" i="1" s="1"/>
  <c r="W374" i="1"/>
  <c r="S374" i="1"/>
  <c r="Q374" i="1"/>
  <c r="N374" i="1"/>
  <c r="L374" i="1"/>
  <c r="K374" i="1"/>
  <c r="AB374" i="1"/>
  <c r="I374" i="1"/>
  <c r="X373" i="1"/>
  <c r="Z373" i="1" s="1"/>
  <c r="W373" i="1"/>
  <c r="S373" i="1"/>
  <c r="Q373" i="1"/>
  <c r="N373" i="1"/>
  <c r="L373" i="1"/>
  <c r="K373" i="1"/>
  <c r="AB373" i="1"/>
  <c r="I373" i="1"/>
  <c r="X372" i="1"/>
  <c r="Z372" i="1" s="1"/>
  <c r="W372" i="1"/>
  <c r="S372" i="1"/>
  <c r="Q372" i="1"/>
  <c r="N372" i="1"/>
  <c r="L372" i="1"/>
  <c r="K372" i="1"/>
  <c r="AB372" i="1"/>
  <c r="I372" i="1"/>
  <c r="X371" i="1"/>
  <c r="Z371" i="1" s="1"/>
  <c r="W371" i="1"/>
  <c r="S371" i="1"/>
  <c r="Q371" i="1"/>
  <c r="N371" i="1"/>
  <c r="L371" i="1"/>
  <c r="K371" i="1"/>
  <c r="AB371" i="1"/>
  <c r="I371" i="1"/>
  <c r="X370" i="1"/>
  <c r="Z370" i="1" s="1"/>
  <c r="W370" i="1"/>
  <c r="S370" i="1"/>
  <c r="Q370" i="1"/>
  <c r="N370" i="1"/>
  <c r="L370" i="1"/>
  <c r="K370" i="1"/>
  <c r="AB370" i="1"/>
  <c r="I370" i="1"/>
  <c r="X369" i="1"/>
  <c r="Z369" i="1" s="1"/>
  <c r="W369" i="1"/>
  <c r="S369" i="1"/>
  <c r="Q369" i="1"/>
  <c r="N369" i="1"/>
  <c r="L369" i="1"/>
  <c r="K369" i="1"/>
  <c r="AB369" i="1"/>
  <c r="I369" i="1"/>
  <c r="X368" i="1"/>
  <c r="Z368" i="1" s="1"/>
  <c r="W368" i="1"/>
  <c r="S368" i="1"/>
  <c r="Q368" i="1"/>
  <c r="N368" i="1"/>
  <c r="L368" i="1"/>
  <c r="Y368" i="1" s="1"/>
  <c r="K368" i="1"/>
  <c r="AB368" i="1"/>
  <c r="I368" i="1"/>
  <c r="X367" i="1"/>
  <c r="Z367" i="1" s="1"/>
  <c r="W367" i="1"/>
  <c r="S367" i="1"/>
  <c r="Q367" i="1"/>
  <c r="N367" i="1"/>
  <c r="L367" i="1"/>
  <c r="K367" i="1"/>
  <c r="AB367" i="1"/>
  <c r="I367" i="1"/>
  <c r="X366" i="1"/>
  <c r="Z366" i="1" s="1"/>
  <c r="W366" i="1"/>
  <c r="S366" i="1"/>
  <c r="Q366" i="1"/>
  <c r="N366" i="1"/>
  <c r="L366" i="1"/>
  <c r="K366" i="1"/>
  <c r="AB366" i="1"/>
  <c r="I366" i="1"/>
  <c r="X365" i="1"/>
  <c r="Z365" i="1" s="1"/>
  <c r="W365" i="1"/>
  <c r="S365" i="1"/>
  <c r="Q365" i="1"/>
  <c r="N365" i="1"/>
  <c r="L365" i="1"/>
  <c r="K365" i="1"/>
  <c r="AB365" i="1"/>
  <c r="I365" i="1"/>
  <c r="X364" i="1"/>
  <c r="Z364" i="1" s="1"/>
  <c r="W364" i="1"/>
  <c r="S364" i="1"/>
  <c r="Q364" i="1"/>
  <c r="N364" i="1"/>
  <c r="L364" i="1"/>
  <c r="K364" i="1"/>
  <c r="AB364" i="1"/>
  <c r="I364" i="1"/>
  <c r="X363" i="1"/>
  <c r="Z363" i="1" s="1"/>
  <c r="W363" i="1"/>
  <c r="S363" i="1"/>
  <c r="Q363" i="1"/>
  <c r="N363" i="1"/>
  <c r="L363" i="1"/>
  <c r="K363" i="1"/>
  <c r="AB363" i="1"/>
  <c r="I363" i="1"/>
  <c r="X362" i="1"/>
  <c r="Z362" i="1" s="1"/>
  <c r="W362" i="1"/>
  <c r="S362" i="1"/>
  <c r="Q362" i="1"/>
  <c r="N362" i="1"/>
  <c r="L362" i="1"/>
  <c r="K362" i="1"/>
  <c r="AB362" i="1"/>
  <c r="I362" i="1"/>
  <c r="X361" i="1"/>
  <c r="Z361" i="1" s="1"/>
  <c r="W361" i="1"/>
  <c r="S361" i="1"/>
  <c r="Q361" i="1"/>
  <c r="N361" i="1"/>
  <c r="L361" i="1"/>
  <c r="K361" i="1"/>
  <c r="AB361" i="1"/>
  <c r="I361" i="1"/>
  <c r="X360" i="1"/>
  <c r="Z360" i="1" s="1"/>
  <c r="W360" i="1"/>
  <c r="S360" i="1"/>
  <c r="Q360" i="1"/>
  <c r="N360" i="1"/>
  <c r="L360" i="1"/>
  <c r="K360" i="1"/>
  <c r="AB360" i="1"/>
  <c r="I360" i="1"/>
  <c r="X359" i="1"/>
  <c r="Z359" i="1" s="1"/>
  <c r="W359" i="1"/>
  <c r="S359" i="1"/>
  <c r="Q359" i="1"/>
  <c r="N359" i="1"/>
  <c r="L359" i="1"/>
  <c r="K359" i="1"/>
  <c r="AB359" i="1"/>
  <c r="I359" i="1"/>
  <c r="X358" i="1"/>
  <c r="Z358" i="1" s="1"/>
  <c r="W358" i="1"/>
  <c r="S358" i="1"/>
  <c r="Q358" i="1"/>
  <c r="N358" i="1"/>
  <c r="L358" i="1"/>
  <c r="K358" i="1"/>
  <c r="AB358" i="1"/>
  <c r="I358" i="1"/>
  <c r="X357" i="1"/>
  <c r="Z357" i="1" s="1"/>
  <c r="W357" i="1"/>
  <c r="S357" i="1"/>
  <c r="Q357" i="1"/>
  <c r="N357" i="1"/>
  <c r="L357" i="1"/>
  <c r="K357" i="1"/>
  <c r="AB357" i="1"/>
  <c r="I357" i="1"/>
  <c r="X356" i="1"/>
  <c r="Z356" i="1" s="1"/>
  <c r="W356" i="1"/>
  <c r="S356" i="1"/>
  <c r="Q356" i="1"/>
  <c r="N356" i="1"/>
  <c r="L356" i="1"/>
  <c r="K356" i="1"/>
  <c r="AB356" i="1"/>
  <c r="I356" i="1"/>
  <c r="X355" i="1"/>
  <c r="Z355" i="1" s="1"/>
  <c r="W355" i="1"/>
  <c r="S355" i="1"/>
  <c r="Q355" i="1"/>
  <c r="N355" i="1"/>
  <c r="L355" i="1"/>
  <c r="K355" i="1"/>
  <c r="AB355" i="1"/>
  <c r="I355" i="1"/>
  <c r="X354" i="1"/>
  <c r="Z354" i="1" s="1"/>
  <c r="W354" i="1"/>
  <c r="S354" i="1"/>
  <c r="Q354" i="1"/>
  <c r="N354" i="1"/>
  <c r="L354" i="1"/>
  <c r="K354" i="1"/>
  <c r="AB354" i="1"/>
  <c r="I354" i="1"/>
  <c r="X353" i="1"/>
  <c r="Z353" i="1" s="1"/>
  <c r="W353" i="1"/>
  <c r="S353" i="1"/>
  <c r="Q353" i="1"/>
  <c r="N353" i="1"/>
  <c r="L353" i="1"/>
  <c r="K353" i="1"/>
  <c r="AB353" i="1"/>
  <c r="I353" i="1"/>
  <c r="X352" i="1"/>
  <c r="Z352" i="1" s="1"/>
  <c r="W352" i="1"/>
  <c r="S352" i="1"/>
  <c r="Q352" i="1"/>
  <c r="N352" i="1"/>
  <c r="L352" i="1"/>
  <c r="K352" i="1"/>
  <c r="AB352" i="1"/>
  <c r="I352" i="1"/>
  <c r="X351" i="1"/>
  <c r="Z351" i="1" s="1"/>
  <c r="W351" i="1"/>
  <c r="S351" i="1"/>
  <c r="Q351" i="1"/>
  <c r="N351" i="1"/>
  <c r="L351" i="1"/>
  <c r="K351" i="1"/>
  <c r="AB351" i="1"/>
  <c r="I351" i="1"/>
  <c r="X350" i="1"/>
  <c r="Z350" i="1" s="1"/>
  <c r="W350" i="1"/>
  <c r="S350" i="1"/>
  <c r="Q350" i="1"/>
  <c r="N350" i="1"/>
  <c r="L350" i="1"/>
  <c r="K350" i="1"/>
  <c r="AB350" i="1"/>
  <c r="I350" i="1"/>
  <c r="X349" i="1"/>
  <c r="Z349" i="1" s="1"/>
  <c r="W349" i="1"/>
  <c r="S349" i="1"/>
  <c r="Q349" i="1"/>
  <c r="N349" i="1"/>
  <c r="L349" i="1"/>
  <c r="K349" i="1"/>
  <c r="AB349" i="1"/>
  <c r="I349" i="1"/>
  <c r="X348" i="1"/>
  <c r="Z348" i="1" s="1"/>
  <c r="W348" i="1"/>
  <c r="S348" i="1"/>
  <c r="Q348" i="1"/>
  <c r="N348" i="1"/>
  <c r="L348" i="1"/>
  <c r="K348" i="1"/>
  <c r="AB348" i="1"/>
  <c r="I348" i="1"/>
  <c r="X347" i="1"/>
  <c r="Z347" i="1" s="1"/>
  <c r="W347" i="1"/>
  <c r="S347" i="1"/>
  <c r="Q347" i="1"/>
  <c r="N347" i="1"/>
  <c r="L347" i="1"/>
  <c r="K347" i="1"/>
  <c r="AB347" i="1"/>
  <c r="I347" i="1"/>
  <c r="X346" i="1"/>
  <c r="Z346" i="1" s="1"/>
  <c r="W346" i="1"/>
  <c r="S346" i="1"/>
  <c r="Q346" i="1"/>
  <c r="N346" i="1"/>
  <c r="L346" i="1"/>
  <c r="K346" i="1"/>
  <c r="AB346" i="1"/>
  <c r="I346" i="1"/>
  <c r="X345" i="1"/>
  <c r="Z345" i="1" s="1"/>
  <c r="W345" i="1"/>
  <c r="S345" i="1"/>
  <c r="Q345" i="1"/>
  <c r="N345" i="1"/>
  <c r="L345" i="1"/>
  <c r="K345" i="1"/>
  <c r="AB345" i="1"/>
  <c r="I345" i="1"/>
  <c r="X344" i="1"/>
  <c r="Z344" i="1" s="1"/>
  <c r="W344" i="1"/>
  <c r="S344" i="1"/>
  <c r="Q344" i="1"/>
  <c r="N344" i="1"/>
  <c r="L344" i="1"/>
  <c r="K344" i="1"/>
  <c r="AB344" i="1"/>
  <c r="I344" i="1"/>
  <c r="X343" i="1"/>
  <c r="Z343" i="1" s="1"/>
  <c r="W343" i="1"/>
  <c r="S343" i="1"/>
  <c r="Q343" i="1"/>
  <c r="N343" i="1"/>
  <c r="L343" i="1"/>
  <c r="K343" i="1"/>
  <c r="AB343" i="1"/>
  <c r="I343" i="1"/>
  <c r="X342" i="1"/>
  <c r="Z342" i="1" s="1"/>
  <c r="W342" i="1"/>
  <c r="S342" i="1"/>
  <c r="Q342" i="1"/>
  <c r="N342" i="1"/>
  <c r="L342" i="1"/>
  <c r="K342" i="1"/>
  <c r="AB342" i="1"/>
  <c r="I342" i="1"/>
  <c r="X341" i="1"/>
  <c r="Z341" i="1" s="1"/>
  <c r="W341" i="1"/>
  <c r="S341" i="1"/>
  <c r="Q341" i="1"/>
  <c r="N341" i="1"/>
  <c r="L341" i="1"/>
  <c r="K341" i="1"/>
  <c r="AB341" i="1"/>
  <c r="I341" i="1"/>
  <c r="X340" i="1"/>
  <c r="Z340" i="1" s="1"/>
  <c r="W340" i="1"/>
  <c r="S340" i="1"/>
  <c r="Q340" i="1"/>
  <c r="N340" i="1"/>
  <c r="L340" i="1"/>
  <c r="K340" i="1"/>
  <c r="AB340" i="1"/>
  <c r="I340" i="1"/>
  <c r="X339" i="1"/>
  <c r="Z339" i="1" s="1"/>
  <c r="W339" i="1"/>
  <c r="S339" i="1"/>
  <c r="Q339" i="1"/>
  <c r="N339" i="1"/>
  <c r="L339" i="1"/>
  <c r="K339" i="1"/>
  <c r="AB339" i="1"/>
  <c r="I339" i="1"/>
  <c r="X338" i="1"/>
  <c r="Z338" i="1" s="1"/>
  <c r="W338" i="1"/>
  <c r="S338" i="1"/>
  <c r="Q338" i="1"/>
  <c r="N338" i="1"/>
  <c r="L338" i="1"/>
  <c r="K338" i="1"/>
  <c r="AB338" i="1"/>
  <c r="I338" i="1"/>
  <c r="X337" i="1"/>
  <c r="Z337" i="1" s="1"/>
  <c r="W337" i="1"/>
  <c r="S337" i="1"/>
  <c r="Q337" i="1"/>
  <c r="N337" i="1"/>
  <c r="L337" i="1"/>
  <c r="K337" i="1"/>
  <c r="AB337" i="1"/>
  <c r="I337" i="1"/>
  <c r="X336" i="1"/>
  <c r="Z336" i="1" s="1"/>
  <c r="W336" i="1"/>
  <c r="S336" i="1"/>
  <c r="Q336" i="1"/>
  <c r="N336" i="1"/>
  <c r="L336" i="1"/>
  <c r="K336" i="1"/>
  <c r="AB336" i="1"/>
  <c r="I336" i="1"/>
  <c r="X335" i="1"/>
  <c r="Z335" i="1" s="1"/>
  <c r="W335" i="1"/>
  <c r="S335" i="1"/>
  <c r="Q335" i="1"/>
  <c r="N335" i="1"/>
  <c r="L335" i="1"/>
  <c r="K335" i="1"/>
  <c r="AB335" i="1"/>
  <c r="I335" i="1"/>
  <c r="X334" i="1"/>
  <c r="Z334" i="1" s="1"/>
  <c r="W334" i="1"/>
  <c r="S334" i="1"/>
  <c r="Q334" i="1"/>
  <c r="N334" i="1"/>
  <c r="L334" i="1"/>
  <c r="K334" i="1"/>
  <c r="AB334" i="1"/>
  <c r="I334" i="1"/>
  <c r="X333" i="1"/>
  <c r="Z333" i="1" s="1"/>
  <c r="W333" i="1"/>
  <c r="S333" i="1"/>
  <c r="Q333" i="1"/>
  <c r="N333" i="1"/>
  <c r="L333" i="1"/>
  <c r="K333" i="1"/>
  <c r="AB333" i="1"/>
  <c r="I333" i="1"/>
  <c r="X332" i="1"/>
  <c r="Z332" i="1" s="1"/>
  <c r="W332" i="1"/>
  <c r="S332" i="1"/>
  <c r="Q332" i="1"/>
  <c r="N332" i="1"/>
  <c r="L332" i="1"/>
  <c r="K332" i="1"/>
  <c r="AB332" i="1"/>
  <c r="I332" i="1"/>
  <c r="X331" i="1"/>
  <c r="Z331" i="1" s="1"/>
  <c r="W331" i="1"/>
  <c r="S331" i="1"/>
  <c r="Q331" i="1"/>
  <c r="N331" i="1"/>
  <c r="L331" i="1"/>
  <c r="K331" i="1"/>
  <c r="AB331" i="1"/>
  <c r="I331" i="1"/>
  <c r="X330" i="1"/>
  <c r="Z330" i="1" s="1"/>
  <c r="W330" i="1"/>
  <c r="S330" i="1"/>
  <c r="Q330" i="1"/>
  <c r="N330" i="1"/>
  <c r="L330" i="1"/>
  <c r="K330" i="1"/>
  <c r="AB330" i="1"/>
  <c r="I330" i="1"/>
  <c r="X329" i="1"/>
  <c r="Z329" i="1" s="1"/>
  <c r="W329" i="1"/>
  <c r="S329" i="1"/>
  <c r="Q329" i="1"/>
  <c r="N329" i="1"/>
  <c r="L329" i="1"/>
  <c r="K329" i="1"/>
  <c r="AB329" i="1"/>
  <c r="I329" i="1"/>
  <c r="X328" i="1"/>
  <c r="Z328" i="1" s="1"/>
  <c r="W328" i="1"/>
  <c r="S328" i="1"/>
  <c r="Q328" i="1"/>
  <c r="N328" i="1"/>
  <c r="L328" i="1"/>
  <c r="K328" i="1"/>
  <c r="AB328" i="1"/>
  <c r="I328" i="1"/>
  <c r="X327" i="1"/>
  <c r="Z327" i="1" s="1"/>
  <c r="W327" i="1"/>
  <c r="S327" i="1"/>
  <c r="Q327" i="1"/>
  <c r="N327" i="1"/>
  <c r="L327" i="1"/>
  <c r="K327" i="1"/>
  <c r="AB327" i="1"/>
  <c r="I327" i="1"/>
  <c r="X326" i="1"/>
  <c r="Z326" i="1" s="1"/>
  <c r="W326" i="1"/>
  <c r="S326" i="1"/>
  <c r="Q326" i="1"/>
  <c r="N326" i="1"/>
  <c r="L326" i="1"/>
  <c r="K326" i="1"/>
  <c r="AB326" i="1"/>
  <c r="I326" i="1"/>
  <c r="X325" i="1"/>
  <c r="Z325" i="1" s="1"/>
  <c r="W325" i="1"/>
  <c r="S325" i="1"/>
  <c r="Q325" i="1"/>
  <c r="N325" i="1"/>
  <c r="L325" i="1"/>
  <c r="K325" i="1"/>
  <c r="AB325" i="1"/>
  <c r="I325" i="1"/>
  <c r="X324" i="1"/>
  <c r="Z324" i="1" s="1"/>
  <c r="W324" i="1"/>
  <c r="S324" i="1"/>
  <c r="Q324" i="1"/>
  <c r="N324" i="1"/>
  <c r="L324" i="1"/>
  <c r="K324" i="1"/>
  <c r="AB324" i="1"/>
  <c r="I324" i="1"/>
  <c r="X323" i="1"/>
  <c r="Z323" i="1" s="1"/>
  <c r="W323" i="1"/>
  <c r="S323" i="1"/>
  <c r="Q323" i="1"/>
  <c r="N323" i="1"/>
  <c r="L323" i="1"/>
  <c r="K323" i="1"/>
  <c r="AB323" i="1"/>
  <c r="I323" i="1"/>
  <c r="X322" i="1"/>
  <c r="Z322" i="1" s="1"/>
  <c r="W322" i="1"/>
  <c r="S322" i="1"/>
  <c r="Q322" i="1"/>
  <c r="N322" i="1"/>
  <c r="L322" i="1"/>
  <c r="K322" i="1"/>
  <c r="AB322" i="1"/>
  <c r="I322" i="1"/>
  <c r="X321" i="1"/>
  <c r="Z321" i="1" s="1"/>
  <c r="W321" i="1"/>
  <c r="S321" i="1"/>
  <c r="Q321" i="1"/>
  <c r="N321" i="1"/>
  <c r="L321" i="1"/>
  <c r="K321" i="1"/>
  <c r="AB321" i="1"/>
  <c r="I321" i="1"/>
  <c r="X320" i="1"/>
  <c r="Z320" i="1" s="1"/>
  <c r="W320" i="1"/>
  <c r="S320" i="1"/>
  <c r="Q320" i="1"/>
  <c r="N320" i="1"/>
  <c r="L320" i="1"/>
  <c r="K320" i="1"/>
  <c r="AB320" i="1"/>
  <c r="I320" i="1"/>
  <c r="X319" i="1"/>
  <c r="Z319" i="1" s="1"/>
  <c r="W319" i="1"/>
  <c r="S319" i="1"/>
  <c r="Q319" i="1"/>
  <c r="N319" i="1"/>
  <c r="L319" i="1"/>
  <c r="K319" i="1"/>
  <c r="AB319" i="1"/>
  <c r="I319" i="1"/>
  <c r="X318" i="1"/>
  <c r="Z318" i="1" s="1"/>
  <c r="W318" i="1"/>
  <c r="S318" i="1"/>
  <c r="Q318" i="1"/>
  <c r="N318" i="1"/>
  <c r="L318" i="1"/>
  <c r="K318" i="1"/>
  <c r="AB318" i="1"/>
  <c r="I318" i="1"/>
  <c r="X317" i="1"/>
  <c r="Z317" i="1" s="1"/>
  <c r="W317" i="1"/>
  <c r="S317" i="1"/>
  <c r="Q317" i="1"/>
  <c r="N317" i="1"/>
  <c r="L317" i="1"/>
  <c r="K317" i="1"/>
  <c r="AB317" i="1"/>
  <c r="I317" i="1"/>
  <c r="X316" i="1"/>
  <c r="Z316" i="1" s="1"/>
  <c r="W316" i="1"/>
  <c r="S316" i="1"/>
  <c r="Q316" i="1"/>
  <c r="N316" i="1"/>
  <c r="L316" i="1"/>
  <c r="K316" i="1"/>
  <c r="AB316" i="1"/>
  <c r="I316" i="1"/>
  <c r="X315" i="1"/>
  <c r="Z315" i="1" s="1"/>
  <c r="W315" i="1"/>
  <c r="S315" i="1"/>
  <c r="Q315" i="1"/>
  <c r="N315" i="1"/>
  <c r="L315" i="1"/>
  <c r="K315" i="1"/>
  <c r="AB315" i="1"/>
  <c r="I315" i="1"/>
  <c r="X314" i="1"/>
  <c r="Z314" i="1" s="1"/>
  <c r="W314" i="1"/>
  <c r="S314" i="1"/>
  <c r="Q314" i="1"/>
  <c r="N314" i="1"/>
  <c r="L314" i="1"/>
  <c r="K314" i="1"/>
  <c r="AB314" i="1"/>
  <c r="I314" i="1"/>
  <c r="X313" i="1"/>
  <c r="Z313" i="1" s="1"/>
  <c r="W313" i="1"/>
  <c r="S313" i="1"/>
  <c r="Q313" i="1"/>
  <c r="N313" i="1"/>
  <c r="L313" i="1"/>
  <c r="K313" i="1"/>
  <c r="AB313" i="1"/>
  <c r="I313" i="1"/>
  <c r="X312" i="1"/>
  <c r="Z312" i="1" s="1"/>
  <c r="W312" i="1"/>
  <c r="S312" i="1"/>
  <c r="Q312" i="1"/>
  <c r="N312" i="1"/>
  <c r="L312" i="1"/>
  <c r="K312" i="1"/>
  <c r="AB312" i="1"/>
  <c r="I312" i="1"/>
  <c r="X311" i="1"/>
  <c r="Z311" i="1" s="1"/>
  <c r="W311" i="1"/>
  <c r="S311" i="1"/>
  <c r="Q311" i="1"/>
  <c r="N311" i="1"/>
  <c r="L311" i="1"/>
  <c r="K311" i="1"/>
  <c r="AB311" i="1"/>
  <c r="I311" i="1"/>
  <c r="X310" i="1"/>
  <c r="Z310" i="1" s="1"/>
  <c r="W310" i="1"/>
  <c r="S310" i="1"/>
  <c r="Q310" i="1"/>
  <c r="N310" i="1"/>
  <c r="L310" i="1"/>
  <c r="K310" i="1"/>
  <c r="AB310" i="1"/>
  <c r="I310" i="1"/>
  <c r="X309" i="1"/>
  <c r="Z309" i="1" s="1"/>
  <c r="W309" i="1"/>
  <c r="S309" i="1"/>
  <c r="Q309" i="1"/>
  <c r="N309" i="1"/>
  <c r="L309" i="1"/>
  <c r="K309" i="1"/>
  <c r="AB309" i="1"/>
  <c r="I309" i="1"/>
  <c r="X308" i="1"/>
  <c r="Z308" i="1" s="1"/>
  <c r="W308" i="1"/>
  <c r="S308" i="1"/>
  <c r="Q308" i="1"/>
  <c r="N308" i="1"/>
  <c r="L308" i="1"/>
  <c r="K308" i="1"/>
  <c r="AB308" i="1"/>
  <c r="I308" i="1"/>
  <c r="X307" i="1"/>
  <c r="Z307" i="1" s="1"/>
  <c r="W307" i="1"/>
  <c r="S307" i="1"/>
  <c r="Q307" i="1"/>
  <c r="N307" i="1"/>
  <c r="L307" i="1"/>
  <c r="K307" i="1"/>
  <c r="AB307" i="1"/>
  <c r="I307" i="1"/>
  <c r="X306" i="1"/>
  <c r="Z306" i="1" s="1"/>
  <c r="W306" i="1"/>
  <c r="S306" i="1"/>
  <c r="Q306" i="1"/>
  <c r="N306" i="1"/>
  <c r="L306" i="1"/>
  <c r="K306" i="1"/>
  <c r="AB306" i="1"/>
  <c r="I306" i="1"/>
  <c r="X305" i="1"/>
  <c r="Z305" i="1" s="1"/>
  <c r="W305" i="1"/>
  <c r="S305" i="1"/>
  <c r="Q305" i="1"/>
  <c r="N305" i="1"/>
  <c r="L305" i="1"/>
  <c r="K305" i="1"/>
  <c r="AB305" i="1"/>
  <c r="I305" i="1"/>
  <c r="X304" i="1"/>
  <c r="Z304" i="1" s="1"/>
  <c r="W304" i="1"/>
  <c r="S304" i="1"/>
  <c r="Q304" i="1"/>
  <c r="N304" i="1"/>
  <c r="L304" i="1"/>
  <c r="K304" i="1"/>
  <c r="AB304" i="1"/>
  <c r="I304" i="1"/>
  <c r="X303" i="1"/>
  <c r="Z303" i="1" s="1"/>
  <c r="W303" i="1"/>
  <c r="S303" i="1"/>
  <c r="Q303" i="1"/>
  <c r="N303" i="1"/>
  <c r="L303" i="1"/>
  <c r="K303" i="1"/>
  <c r="AB303" i="1"/>
  <c r="I303" i="1"/>
  <c r="X302" i="1"/>
  <c r="Z302" i="1" s="1"/>
  <c r="W302" i="1"/>
  <c r="S302" i="1"/>
  <c r="Q302" i="1"/>
  <c r="N302" i="1"/>
  <c r="L302" i="1"/>
  <c r="K302" i="1"/>
  <c r="AB302" i="1"/>
  <c r="I302" i="1"/>
  <c r="X301" i="1"/>
  <c r="Z301" i="1" s="1"/>
  <c r="W301" i="1"/>
  <c r="S301" i="1"/>
  <c r="Q301" i="1"/>
  <c r="N301" i="1"/>
  <c r="L301" i="1"/>
  <c r="K301" i="1"/>
  <c r="AB301" i="1"/>
  <c r="I301" i="1"/>
  <c r="X300" i="1"/>
  <c r="Z300" i="1" s="1"/>
  <c r="W300" i="1"/>
  <c r="S300" i="1"/>
  <c r="Q300" i="1"/>
  <c r="N300" i="1"/>
  <c r="L300" i="1"/>
  <c r="K300" i="1"/>
  <c r="AB300" i="1"/>
  <c r="I300" i="1"/>
  <c r="X299" i="1"/>
  <c r="Z299" i="1" s="1"/>
  <c r="W299" i="1"/>
  <c r="S299" i="1"/>
  <c r="Q299" i="1"/>
  <c r="N299" i="1"/>
  <c r="L299" i="1"/>
  <c r="K299" i="1"/>
  <c r="AB299" i="1"/>
  <c r="I299" i="1"/>
  <c r="X298" i="1"/>
  <c r="Z298" i="1" s="1"/>
  <c r="W298" i="1"/>
  <c r="S298" i="1"/>
  <c r="Q298" i="1"/>
  <c r="N298" i="1"/>
  <c r="L298" i="1"/>
  <c r="K298" i="1"/>
  <c r="AB298" i="1"/>
  <c r="I298" i="1"/>
  <c r="X297" i="1"/>
  <c r="Z297" i="1" s="1"/>
  <c r="W297" i="1"/>
  <c r="S297" i="1"/>
  <c r="Q297" i="1"/>
  <c r="N297" i="1"/>
  <c r="L297" i="1"/>
  <c r="K297" i="1"/>
  <c r="AB297" i="1"/>
  <c r="I297" i="1"/>
  <c r="X296" i="1"/>
  <c r="Z296" i="1" s="1"/>
  <c r="W296" i="1"/>
  <c r="S296" i="1"/>
  <c r="Q296" i="1"/>
  <c r="N296" i="1"/>
  <c r="L296" i="1"/>
  <c r="K296" i="1"/>
  <c r="AB296" i="1"/>
  <c r="I296" i="1"/>
  <c r="X295" i="1"/>
  <c r="Z295" i="1" s="1"/>
  <c r="W295" i="1"/>
  <c r="S295" i="1"/>
  <c r="Q295" i="1"/>
  <c r="N295" i="1"/>
  <c r="L295" i="1"/>
  <c r="K295" i="1"/>
  <c r="AB295" i="1"/>
  <c r="I295" i="1"/>
  <c r="X294" i="1"/>
  <c r="Z294" i="1" s="1"/>
  <c r="W294" i="1"/>
  <c r="S294" i="1"/>
  <c r="Q294" i="1"/>
  <c r="N294" i="1"/>
  <c r="L294" i="1"/>
  <c r="K294" i="1"/>
  <c r="AB294" i="1"/>
  <c r="I294" i="1"/>
  <c r="X293" i="1"/>
  <c r="Z293" i="1" s="1"/>
  <c r="W293" i="1"/>
  <c r="S293" i="1"/>
  <c r="Q293" i="1"/>
  <c r="N293" i="1"/>
  <c r="L293" i="1"/>
  <c r="K293" i="1"/>
  <c r="AB293" i="1"/>
  <c r="I293" i="1"/>
  <c r="X292" i="1"/>
  <c r="Z292" i="1" s="1"/>
  <c r="W292" i="1"/>
  <c r="S292" i="1"/>
  <c r="Q292" i="1"/>
  <c r="N292" i="1"/>
  <c r="L292" i="1"/>
  <c r="K292" i="1"/>
  <c r="AB292" i="1"/>
  <c r="I292" i="1"/>
  <c r="X291" i="1"/>
  <c r="Z291" i="1" s="1"/>
  <c r="W291" i="1"/>
  <c r="S291" i="1"/>
  <c r="Q291" i="1"/>
  <c r="N291" i="1"/>
  <c r="L291" i="1"/>
  <c r="K291" i="1"/>
  <c r="AB291" i="1"/>
  <c r="I291" i="1"/>
  <c r="X290" i="1"/>
  <c r="Z290" i="1" s="1"/>
  <c r="W290" i="1"/>
  <c r="S290" i="1"/>
  <c r="Q290" i="1"/>
  <c r="N290" i="1"/>
  <c r="L290" i="1"/>
  <c r="K290" i="1"/>
  <c r="AB290" i="1"/>
  <c r="I290" i="1"/>
  <c r="X289" i="1"/>
  <c r="Z289" i="1" s="1"/>
  <c r="W289" i="1"/>
  <c r="S289" i="1"/>
  <c r="Q289" i="1"/>
  <c r="N289" i="1"/>
  <c r="L289" i="1"/>
  <c r="K289" i="1"/>
  <c r="AB289" i="1"/>
  <c r="I289" i="1"/>
  <c r="X288" i="1"/>
  <c r="Z288" i="1" s="1"/>
  <c r="W288" i="1"/>
  <c r="S288" i="1"/>
  <c r="Q288" i="1"/>
  <c r="N288" i="1"/>
  <c r="L288" i="1"/>
  <c r="K288" i="1"/>
  <c r="AB288" i="1"/>
  <c r="I288" i="1"/>
  <c r="X287" i="1"/>
  <c r="Z287" i="1" s="1"/>
  <c r="W287" i="1"/>
  <c r="S287" i="1"/>
  <c r="Q287" i="1"/>
  <c r="N287" i="1"/>
  <c r="L287" i="1"/>
  <c r="K287" i="1"/>
  <c r="AB287" i="1"/>
  <c r="I287" i="1"/>
  <c r="X286" i="1"/>
  <c r="Z286" i="1" s="1"/>
  <c r="W286" i="1"/>
  <c r="S286" i="1"/>
  <c r="Q286" i="1"/>
  <c r="N286" i="1"/>
  <c r="L286" i="1"/>
  <c r="K286" i="1"/>
  <c r="AB286" i="1"/>
  <c r="I286" i="1"/>
  <c r="X285" i="1"/>
  <c r="Z285" i="1" s="1"/>
  <c r="W285" i="1"/>
  <c r="S285" i="1"/>
  <c r="Q285" i="1"/>
  <c r="N285" i="1"/>
  <c r="L285" i="1"/>
  <c r="K285" i="1"/>
  <c r="AB285" i="1"/>
  <c r="I285" i="1"/>
  <c r="X284" i="1"/>
  <c r="Z284" i="1" s="1"/>
  <c r="W284" i="1"/>
  <c r="S284" i="1"/>
  <c r="Q284" i="1"/>
  <c r="N284" i="1"/>
  <c r="L284" i="1"/>
  <c r="K284" i="1"/>
  <c r="AB284" i="1"/>
  <c r="I284" i="1"/>
  <c r="X283" i="1"/>
  <c r="Z283" i="1" s="1"/>
  <c r="W283" i="1"/>
  <c r="S283" i="1"/>
  <c r="Q283" i="1"/>
  <c r="N283" i="1"/>
  <c r="L283" i="1"/>
  <c r="K283" i="1"/>
  <c r="AB283" i="1"/>
  <c r="I283" i="1"/>
  <c r="X282" i="1"/>
  <c r="Z282" i="1" s="1"/>
  <c r="W282" i="1"/>
  <c r="S282" i="1"/>
  <c r="Q282" i="1"/>
  <c r="N282" i="1"/>
  <c r="L282" i="1"/>
  <c r="K282" i="1"/>
  <c r="AB282" i="1"/>
  <c r="I282" i="1"/>
  <c r="X281" i="1"/>
  <c r="Z281" i="1" s="1"/>
  <c r="W281" i="1"/>
  <c r="S281" i="1"/>
  <c r="Q281" i="1"/>
  <c r="N281" i="1"/>
  <c r="L281" i="1"/>
  <c r="K281" i="1"/>
  <c r="AB281" i="1"/>
  <c r="I281" i="1"/>
  <c r="X280" i="1"/>
  <c r="Z280" i="1" s="1"/>
  <c r="W280" i="1"/>
  <c r="S280" i="1"/>
  <c r="Q280" i="1"/>
  <c r="N280" i="1"/>
  <c r="L280" i="1"/>
  <c r="K280" i="1"/>
  <c r="AB280" i="1"/>
  <c r="I280" i="1"/>
  <c r="X279" i="1"/>
  <c r="Z279" i="1" s="1"/>
  <c r="W279" i="1"/>
  <c r="S279" i="1"/>
  <c r="Q279" i="1"/>
  <c r="N279" i="1"/>
  <c r="L279" i="1"/>
  <c r="K279" i="1"/>
  <c r="AB279" i="1"/>
  <c r="I279" i="1"/>
  <c r="X278" i="1"/>
  <c r="Z278" i="1" s="1"/>
  <c r="W278" i="1"/>
  <c r="S278" i="1"/>
  <c r="Q278" i="1"/>
  <c r="N278" i="1"/>
  <c r="L278" i="1"/>
  <c r="K278" i="1"/>
  <c r="AB278" i="1"/>
  <c r="I278" i="1"/>
  <c r="X277" i="1"/>
  <c r="Z277" i="1" s="1"/>
  <c r="W277" i="1"/>
  <c r="S277" i="1"/>
  <c r="Q277" i="1"/>
  <c r="N277" i="1"/>
  <c r="L277" i="1"/>
  <c r="K277" i="1"/>
  <c r="AB277" i="1"/>
  <c r="I277" i="1"/>
  <c r="X276" i="1"/>
  <c r="Z276" i="1" s="1"/>
  <c r="W276" i="1"/>
  <c r="S276" i="1"/>
  <c r="Q276" i="1"/>
  <c r="N276" i="1"/>
  <c r="L276" i="1"/>
  <c r="K276" i="1"/>
  <c r="AB276" i="1"/>
  <c r="I276" i="1"/>
  <c r="X275" i="1"/>
  <c r="Z275" i="1" s="1"/>
  <c r="W275" i="1"/>
  <c r="S275" i="1"/>
  <c r="Q275" i="1"/>
  <c r="N275" i="1"/>
  <c r="L275" i="1"/>
  <c r="K275" i="1"/>
  <c r="AB275" i="1"/>
  <c r="I275" i="1"/>
  <c r="X274" i="1"/>
  <c r="Z274" i="1" s="1"/>
  <c r="W274" i="1"/>
  <c r="S274" i="1"/>
  <c r="Q274" i="1"/>
  <c r="N274" i="1"/>
  <c r="L274" i="1"/>
  <c r="K274" i="1"/>
  <c r="AB274" i="1"/>
  <c r="I274" i="1"/>
  <c r="X273" i="1"/>
  <c r="Z273" i="1" s="1"/>
  <c r="W273" i="1"/>
  <c r="S273" i="1"/>
  <c r="Q273" i="1"/>
  <c r="N273" i="1"/>
  <c r="L273" i="1"/>
  <c r="K273" i="1"/>
  <c r="AB273" i="1"/>
  <c r="I273" i="1"/>
  <c r="X272" i="1"/>
  <c r="Z272" i="1" s="1"/>
  <c r="W272" i="1"/>
  <c r="S272" i="1"/>
  <c r="Q272" i="1"/>
  <c r="N272" i="1"/>
  <c r="L272" i="1"/>
  <c r="K272" i="1"/>
  <c r="AB272" i="1"/>
  <c r="I272" i="1"/>
  <c r="X271" i="1"/>
  <c r="Z271" i="1" s="1"/>
  <c r="W271" i="1"/>
  <c r="S271" i="1"/>
  <c r="Q271" i="1"/>
  <c r="N271" i="1"/>
  <c r="L271" i="1"/>
  <c r="K271" i="1"/>
  <c r="AB271" i="1"/>
  <c r="I271" i="1"/>
  <c r="X270" i="1"/>
  <c r="Z270" i="1" s="1"/>
  <c r="W270" i="1"/>
  <c r="S270" i="1"/>
  <c r="Q270" i="1"/>
  <c r="N270" i="1"/>
  <c r="L270" i="1"/>
  <c r="K270" i="1"/>
  <c r="AB270" i="1"/>
  <c r="I270" i="1"/>
  <c r="X269" i="1"/>
  <c r="Z269" i="1" s="1"/>
  <c r="W269" i="1"/>
  <c r="S269" i="1"/>
  <c r="Q269" i="1"/>
  <c r="N269" i="1"/>
  <c r="L269" i="1"/>
  <c r="K269" i="1"/>
  <c r="AB269" i="1"/>
  <c r="I269" i="1"/>
  <c r="X268" i="1"/>
  <c r="Z268" i="1" s="1"/>
  <c r="W268" i="1"/>
  <c r="S268" i="1"/>
  <c r="Q268" i="1"/>
  <c r="N268" i="1"/>
  <c r="L268" i="1"/>
  <c r="K268" i="1"/>
  <c r="AB268" i="1"/>
  <c r="I268" i="1"/>
  <c r="X267" i="1"/>
  <c r="Z267" i="1" s="1"/>
  <c r="W267" i="1"/>
  <c r="S267" i="1"/>
  <c r="Q267" i="1"/>
  <c r="N267" i="1"/>
  <c r="L267" i="1"/>
  <c r="K267" i="1"/>
  <c r="AB267" i="1"/>
  <c r="I267" i="1"/>
  <c r="X266" i="1"/>
  <c r="Z266" i="1" s="1"/>
  <c r="W266" i="1"/>
  <c r="S266" i="1"/>
  <c r="Q266" i="1"/>
  <c r="N266" i="1"/>
  <c r="L266" i="1"/>
  <c r="K266" i="1"/>
  <c r="AB266" i="1"/>
  <c r="I266" i="1"/>
  <c r="X265" i="1"/>
  <c r="Z265" i="1" s="1"/>
  <c r="W265" i="1"/>
  <c r="S265" i="1"/>
  <c r="Q265" i="1"/>
  <c r="N265" i="1"/>
  <c r="L265" i="1"/>
  <c r="K265" i="1"/>
  <c r="AB265" i="1"/>
  <c r="I265" i="1"/>
  <c r="X264" i="1"/>
  <c r="Z264" i="1" s="1"/>
  <c r="W264" i="1"/>
  <c r="S264" i="1"/>
  <c r="Q264" i="1"/>
  <c r="N264" i="1"/>
  <c r="L264" i="1"/>
  <c r="K264" i="1"/>
  <c r="AB264" i="1"/>
  <c r="I264" i="1"/>
  <c r="X263" i="1"/>
  <c r="Z263" i="1" s="1"/>
  <c r="W263" i="1"/>
  <c r="S263" i="1"/>
  <c r="Q263" i="1"/>
  <c r="N263" i="1"/>
  <c r="L263" i="1"/>
  <c r="K263" i="1"/>
  <c r="AB263" i="1"/>
  <c r="I263" i="1"/>
  <c r="X262" i="1"/>
  <c r="Z262" i="1" s="1"/>
  <c r="W262" i="1"/>
  <c r="S262" i="1"/>
  <c r="Q262" i="1"/>
  <c r="N262" i="1"/>
  <c r="L262" i="1"/>
  <c r="K262" i="1"/>
  <c r="AB262" i="1"/>
  <c r="I262" i="1"/>
  <c r="X261" i="1"/>
  <c r="Z261" i="1" s="1"/>
  <c r="W261" i="1"/>
  <c r="S261" i="1"/>
  <c r="Q261" i="1"/>
  <c r="N261" i="1"/>
  <c r="L261" i="1"/>
  <c r="K261" i="1"/>
  <c r="AB261" i="1"/>
  <c r="I261" i="1"/>
  <c r="X260" i="1"/>
  <c r="Z260" i="1" s="1"/>
  <c r="W260" i="1"/>
  <c r="S260" i="1"/>
  <c r="Q260" i="1"/>
  <c r="N260" i="1"/>
  <c r="L260" i="1"/>
  <c r="K260" i="1"/>
  <c r="AB260" i="1"/>
  <c r="I260" i="1"/>
  <c r="X259" i="1"/>
  <c r="Z259" i="1" s="1"/>
  <c r="W259" i="1"/>
  <c r="S259" i="1"/>
  <c r="Q259" i="1"/>
  <c r="N259" i="1"/>
  <c r="L259" i="1"/>
  <c r="K259" i="1"/>
  <c r="AB259" i="1"/>
  <c r="I259" i="1"/>
  <c r="X258" i="1"/>
  <c r="Z258" i="1" s="1"/>
  <c r="W258" i="1"/>
  <c r="S258" i="1"/>
  <c r="Q258" i="1"/>
  <c r="N258" i="1"/>
  <c r="L258" i="1"/>
  <c r="K258" i="1"/>
  <c r="AB258" i="1"/>
  <c r="I258" i="1"/>
  <c r="X257" i="1"/>
  <c r="Z257" i="1" s="1"/>
  <c r="W257" i="1"/>
  <c r="S257" i="1"/>
  <c r="Q257" i="1"/>
  <c r="N257" i="1"/>
  <c r="L257" i="1"/>
  <c r="K257" i="1"/>
  <c r="AB257" i="1"/>
  <c r="I257" i="1"/>
  <c r="X256" i="1"/>
  <c r="Z256" i="1" s="1"/>
  <c r="W256" i="1"/>
  <c r="S256" i="1"/>
  <c r="Q256" i="1"/>
  <c r="N256" i="1"/>
  <c r="L256" i="1"/>
  <c r="K256" i="1"/>
  <c r="AB256" i="1"/>
  <c r="I256" i="1"/>
  <c r="X255" i="1"/>
  <c r="Z255" i="1" s="1"/>
  <c r="W255" i="1"/>
  <c r="S255" i="1"/>
  <c r="Q255" i="1"/>
  <c r="N255" i="1"/>
  <c r="L255" i="1"/>
  <c r="K255" i="1"/>
  <c r="AB255" i="1"/>
  <c r="I255" i="1"/>
  <c r="X254" i="1"/>
  <c r="Z254" i="1" s="1"/>
  <c r="W254" i="1"/>
  <c r="S254" i="1"/>
  <c r="Q254" i="1"/>
  <c r="N254" i="1"/>
  <c r="L254" i="1"/>
  <c r="K254" i="1"/>
  <c r="AB254" i="1"/>
  <c r="I254" i="1"/>
  <c r="X253" i="1"/>
  <c r="Z253" i="1" s="1"/>
  <c r="W253" i="1"/>
  <c r="S253" i="1"/>
  <c r="Q253" i="1"/>
  <c r="N253" i="1"/>
  <c r="L253" i="1"/>
  <c r="K253" i="1"/>
  <c r="AB253" i="1"/>
  <c r="I253" i="1"/>
  <c r="X252" i="1"/>
  <c r="Z252" i="1" s="1"/>
  <c r="W252" i="1"/>
  <c r="S252" i="1"/>
  <c r="Q252" i="1"/>
  <c r="N252" i="1"/>
  <c r="L252" i="1"/>
  <c r="K252" i="1"/>
  <c r="AB252" i="1"/>
  <c r="I252" i="1"/>
  <c r="X251" i="1"/>
  <c r="Z251" i="1" s="1"/>
  <c r="W251" i="1"/>
  <c r="S251" i="1"/>
  <c r="Q251" i="1"/>
  <c r="N251" i="1"/>
  <c r="L251" i="1"/>
  <c r="K251" i="1"/>
  <c r="AB251" i="1"/>
  <c r="I251" i="1"/>
  <c r="X250" i="1"/>
  <c r="Z250" i="1" s="1"/>
  <c r="W250" i="1"/>
  <c r="S250" i="1"/>
  <c r="Q250" i="1"/>
  <c r="N250" i="1"/>
  <c r="L250" i="1"/>
  <c r="K250" i="1"/>
  <c r="AB250" i="1"/>
  <c r="I250" i="1"/>
  <c r="X249" i="1"/>
  <c r="Z249" i="1" s="1"/>
  <c r="W249" i="1"/>
  <c r="S249" i="1"/>
  <c r="Q249" i="1"/>
  <c r="N249" i="1"/>
  <c r="L249" i="1"/>
  <c r="K249" i="1"/>
  <c r="AB249" i="1"/>
  <c r="I249" i="1"/>
  <c r="X248" i="1"/>
  <c r="Z248" i="1" s="1"/>
  <c r="W248" i="1"/>
  <c r="S248" i="1"/>
  <c r="Q248" i="1"/>
  <c r="N248" i="1"/>
  <c r="L248" i="1"/>
  <c r="K248" i="1"/>
  <c r="AB248" i="1"/>
  <c r="I248" i="1"/>
  <c r="X247" i="1"/>
  <c r="Z247" i="1" s="1"/>
  <c r="W247" i="1"/>
  <c r="S247" i="1"/>
  <c r="Q247" i="1"/>
  <c r="N247" i="1"/>
  <c r="L247" i="1"/>
  <c r="K247" i="1"/>
  <c r="AB247" i="1"/>
  <c r="I247" i="1"/>
  <c r="X246" i="1"/>
  <c r="Z246" i="1" s="1"/>
  <c r="W246" i="1"/>
  <c r="S246" i="1"/>
  <c r="Q246" i="1"/>
  <c r="N246" i="1"/>
  <c r="L246" i="1"/>
  <c r="K246" i="1"/>
  <c r="AB246" i="1"/>
  <c r="I246" i="1"/>
  <c r="X245" i="1"/>
  <c r="Z245" i="1" s="1"/>
  <c r="W245" i="1"/>
  <c r="S245" i="1"/>
  <c r="Q245" i="1"/>
  <c r="N245" i="1"/>
  <c r="L245" i="1"/>
  <c r="K245" i="1"/>
  <c r="AB245" i="1"/>
  <c r="I245" i="1"/>
  <c r="X244" i="1"/>
  <c r="Z244" i="1" s="1"/>
  <c r="W244" i="1"/>
  <c r="S244" i="1"/>
  <c r="Q244" i="1"/>
  <c r="N244" i="1"/>
  <c r="L244" i="1"/>
  <c r="K244" i="1"/>
  <c r="AB244" i="1"/>
  <c r="I244" i="1"/>
  <c r="X243" i="1"/>
  <c r="Z243" i="1" s="1"/>
  <c r="W243" i="1"/>
  <c r="S243" i="1"/>
  <c r="Q243" i="1"/>
  <c r="N243" i="1"/>
  <c r="L243" i="1"/>
  <c r="K243" i="1"/>
  <c r="AB243" i="1"/>
  <c r="I243" i="1"/>
  <c r="X242" i="1"/>
  <c r="Z242" i="1" s="1"/>
  <c r="W242" i="1"/>
  <c r="S242" i="1"/>
  <c r="Q242" i="1"/>
  <c r="N242" i="1"/>
  <c r="L242" i="1"/>
  <c r="K242" i="1"/>
  <c r="AB242" i="1"/>
  <c r="I242" i="1"/>
  <c r="X241" i="1"/>
  <c r="Z241" i="1" s="1"/>
  <c r="W241" i="1"/>
  <c r="S241" i="1"/>
  <c r="Q241" i="1"/>
  <c r="N241" i="1"/>
  <c r="L241" i="1"/>
  <c r="K241" i="1"/>
  <c r="AB241" i="1"/>
  <c r="I241" i="1"/>
  <c r="X240" i="1"/>
  <c r="Z240" i="1" s="1"/>
  <c r="W240" i="1"/>
  <c r="S240" i="1"/>
  <c r="Q240" i="1"/>
  <c r="N240" i="1"/>
  <c r="L240" i="1"/>
  <c r="K240" i="1"/>
  <c r="AB240" i="1"/>
  <c r="I240" i="1"/>
  <c r="X239" i="1"/>
  <c r="Z239" i="1" s="1"/>
  <c r="W239" i="1"/>
  <c r="S239" i="1"/>
  <c r="Q239" i="1"/>
  <c r="N239" i="1"/>
  <c r="L239" i="1"/>
  <c r="K239" i="1"/>
  <c r="AB239" i="1"/>
  <c r="I239" i="1"/>
  <c r="X238" i="1"/>
  <c r="Z238" i="1" s="1"/>
  <c r="W238" i="1"/>
  <c r="S238" i="1"/>
  <c r="Q238" i="1"/>
  <c r="N238" i="1"/>
  <c r="L238" i="1"/>
  <c r="K238" i="1"/>
  <c r="AB238" i="1"/>
  <c r="I238" i="1"/>
  <c r="X237" i="1"/>
  <c r="Z237" i="1" s="1"/>
  <c r="W237" i="1"/>
  <c r="S237" i="1"/>
  <c r="Q237" i="1"/>
  <c r="N237" i="1"/>
  <c r="L237" i="1"/>
  <c r="K237" i="1"/>
  <c r="AB237" i="1"/>
  <c r="I237" i="1"/>
  <c r="X236" i="1"/>
  <c r="Z236" i="1" s="1"/>
  <c r="W236" i="1"/>
  <c r="S236" i="1"/>
  <c r="Q236" i="1"/>
  <c r="N236" i="1"/>
  <c r="L236" i="1"/>
  <c r="K236" i="1"/>
  <c r="AB236" i="1"/>
  <c r="I236" i="1"/>
  <c r="X235" i="1"/>
  <c r="Z235" i="1" s="1"/>
  <c r="W235" i="1"/>
  <c r="S235" i="1"/>
  <c r="Q235" i="1"/>
  <c r="N235" i="1"/>
  <c r="L235" i="1"/>
  <c r="K235" i="1"/>
  <c r="AB235" i="1"/>
  <c r="I235" i="1"/>
  <c r="X234" i="1"/>
  <c r="Z234" i="1" s="1"/>
  <c r="W234" i="1"/>
  <c r="S234" i="1"/>
  <c r="Q234" i="1"/>
  <c r="N234" i="1"/>
  <c r="L234" i="1"/>
  <c r="K234" i="1"/>
  <c r="AB234" i="1"/>
  <c r="I234" i="1"/>
  <c r="X233" i="1"/>
  <c r="Z233" i="1" s="1"/>
  <c r="W233" i="1"/>
  <c r="S233" i="1"/>
  <c r="Q233" i="1"/>
  <c r="N233" i="1"/>
  <c r="L233" i="1"/>
  <c r="K233" i="1"/>
  <c r="AB233" i="1"/>
  <c r="I233" i="1"/>
  <c r="X232" i="1"/>
  <c r="Z232" i="1" s="1"/>
  <c r="W232" i="1"/>
  <c r="S232" i="1"/>
  <c r="Q232" i="1"/>
  <c r="N232" i="1"/>
  <c r="L232" i="1"/>
  <c r="K232" i="1"/>
  <c r="AB232" i="1"/>
  <c r="I232" i="1"/>
  <c r="X231" i="1"/>
  <c r="Z231" i="1" s="1"/>
  <c r="W231" i="1"/>
  <c r="S231" i="1"/>
  <c r="Q231" i="1"/>
  <c r="N231" i="1"/>
  <c r="L231" i="1"/>
  <c r="K231" i="1"/>
  <c r="AB231" i="1"/>
  <c r="I231" i="1"/>
  <c r="X230" i="1"/>
  <c r="Z230" i="1" s="1"/>
  <c r="W230" i="1"/>
  <c r="S230" i="1"/>
  <c r="Q230" i="1"/>
  <c r="N230" i="1"/>
  <c r="L230" i="1"/>
  <c r="K230" i="1"/>
  <c r="AB230" i="1"/>
  <c r="I230" i="1"/>
  <c r="X229" i="1"/>
  <c r="Z229" i="1" s="1"/>
  <c r="W229" i="1"/>
  <c r="S229" i="1"/>
  <c r="Q229" i="1"/>
  <c r="N229" i="1"/>
  <c r="L229" i="1"/>
  <c r="K229" i="1"/>
  <c r="AB229" i="1"/>
  <c r="I229" i="1"/>
  <c r="X228" i="1"/>
  <c r="Z228" i="1" s="1"/>
  <c r="W228" i="1"/>
  <c r="S228" i="1"/>
  <c r="Q228" i="1"/>
  <c r="N228" i="1"/>
  <c r="L228" i="1"/>
  <c r="K228" i="1"/>
  <c r="AB228" i="1"/>
  <c r="I228" i="1"/>
  <c r="X227" i="1"/>
  <c r="Z227" i="1" s="1"/>
  <c r="W227" i="1"/>
  <c r="S227" i="1"/>
  <c r="Q227" i="1"/>
  <c r="N227" i="1"/>
  <c r="L227" i="1"/>
  <c r="K227" i="1"/>
  <c r="AB227" i="1"/>
  <c r="I227" i="1"/>
  <c r="X226" i="1"/>
  <c r="Z226" i="1" s="1"/>
  <c r="W226" i="1"/>
  <c r="S226" i="1"/>
  <c r="Q226" i="1"/>
  <c r="N226" i="1"/>
  <c r="L226" i="1"/>
  <c r="K226" i="1"/>
  <c r="AB226" i="1"/>
  <c r="I226" i="1"/>
  <c r="X225" i="1"/>
  <c r="Z225" i="1" s="1"/>
  <c r="W225" i="1"/>
  <c r="S225" i="1"/>
  <c r="Q225" i="1"/>
  <c r="N225" i="1"/>
  <c r="L225" i="1"/>
  <c r="K225" i="1"/>
  <c r="AB225" i="1"/>
  <c r="I225" i="1"/>
  <c r="X224" i="1"/>
  <c r="Z224" i="1" s="1"/>
  <c r="W224" i="1"/>
  <c r="S224" i="1"/>
  <c r="Q224" i="1"/>
  <c r="N224" i="1"/>
  <c r="L224" i="1"/>
  <c r="K224" i="1"/>
  <c r="AB224" i="1"/>
  <c r="I224" i="1"/>
  <c r="X223" i="1"/>
  <c r="Z223" i="1" s="1"/>
  <c r="W223" i="1"/>
  <c r="S223" i="1"/>
  <c r="Q223" i="1"/>
  <c r="N223" i="1"/>
  <c r="L223" i="1"/>
  <c r="K223" i="1"/>
  <c r="AB223" i="1"/>
  <c r="I223" i="1"/>
  <c r="X222" i="1"/>
  <c r="Z222" i="1" s="1"/>
  <c r="W222" i="1"/>
  <c r="S222" i="1"/>
  <c r="Q222" i="1"/>
  <c r="N222" i="1"/>
  <c r="L222" i="1"/>
  <c r="K222" i="1"/>
  <c r="AB222" i="1"/>
  <c r="I222" i="1"/>
  <c r="X221" i="1"/>
  <c r="Z221" i="1" s="1"/>
  <c r="W221" i="1"/>
  <c r="S221" i="1"/>
  <c r="Q221" i="1"/>
  <c r="N221" i="1"/>
  <c r="L221" i="1"/>
  <c r="K221" i="1"/>
  <c r="AB221" i="1"/>
  <c r="I221" i="1"/>
  <c r="X220" i="1"/>
  <c r="Z220" i="1" s="1"/>
  <c r="W220" i="1"/>
  <c r="S220" i="1"/>
  <c r="Q220" i="1"/>
  <c r="N220" i="1"/>
  <c r="L220" i="1"/>
  <c r="K220" i="1"/>
  <c r="AB220" i="1"/>
  <c r="I220" i="1"/>
  <c r="X219" i="1"/>
  <c r="Z219" i="1" s="1"/>
  <c r="W219" i="1"/>
  <c r="S219" i="1"/>
  <c r="Q219" i="1"/>
  <c r="N219" i="1"/>
  <c r="L219" i="1"/>
  <c r="K219" i="1"/>
  <c r="AB219" i="1"/>
  <c r="I219" i="1"/>
  <c r="X218" i="1"/>
  <c r="Z218" i="1" s="1"/>
  <c r="W218" i="1"/>
  <c r="S218" i="1"/>
  <c r="Q218" i="1"/>
  <c r="N218" i="1"/>
  <c r="L218" i="1"/>
  <c r="K218" i="1"/>
  <c r="AB218" i="1"/>
  <c r="I218" i="1"/>
  <c r="X217" i="1"/>
  <c r="Z217" i="1" s="1"/>
  <c r="W217" i="1"/>
  <c r="S217" i="1"/>
  <c r="Q217" i="1"/>
  <c r="N217" i="1"/>
  <c r="L217" i="1"/>
  <c r="K217" i="1"/>
  <c r="AB217" i="1"/>
  <c r="I217" i="1"/>
  <c r="X216" i="1"/>
  <c r="Z216" i="1" s="1"/>
  <c r="W216" i="1"/>
  <c r="S216" i="1"/>
  <c r="Q216" i="1"/>
  <c r="N216" i="1"/>
  <c r="L216" i="1"/>
  <c r="K216" i="1"/>
  <c r="AB216" i="1"/>
  <c r="I216" i="1"/>
  <c r="X215" i="1"/>
  <c r="Z215" i="1" s="1"/>
  <c r="W215" i="1"/>
  <c r="S215" i="1"/>
  <c r="Q215" i="1"/>
  <c r="N215" i="1"/>
  <c r="L215" i="1"/>
  <c r="K215" i="1"/>
  <c r="AB215" i="1"/>
  <c r="I215" i="1"/>
  <c r="X214" i="1"/>
  <c r="Z214" i="1" s="1"/>
  <c r="W214" i="1"/>
  <c r="S214" i="1"/>
  <c r="Q214" i="1"/>
  <c r="N214" i="1"/>
  <c r="L214" i="1"/>
  <c r="K214" i="1"/>
  <c r="AB214" i="1"/>
  <c r="I214" i="1"/>
  <c r="X213" i="1"/>
  <c r="Z213" i="1" s="1"/>
  <c r="W213" i="1"/>
  <c r="S213" i="1"/>
  <c r="Q213" i="1"/>
  <c r="N213" i="1"/>
  <c r="L213" i="1"/>
  <c r="K213" i="1"/>
  <c r="AB213" i="1"/>
  <c r="I213" i="1"/>
  <c r="X212" i="1"/>
  <c r="Z212" i="1" s="1"/>
  <c r="W212" i="1"/>
  <c r="S212" i="1"/>
  <c r="Q212" i="1"/>
  <c r="N212" i="1"/>
  <c r="L212" i="1"/>
  <c r="K212" i="1"/>
  <c r="AB212" i="1"/>
  <c r="I212" i="1"/>
  <c r="X211" i="1"/>
  <c r="Z211" i="1" s="1"/>
  <c r="W211" i="1"/>
  <c r="S211" i="1"/>
  <c r="Q211" i="1"/>
  <c r="N211" i="1"/>
  <c r="L211" i="1"/>
  <c r="K211" i="1"/>
  <c r="AB211" i="1"/>
  <c r="I211" i="1"/>
  <c r="X210" i="1"/>
  <c r="Z210" i="1" s="1"/>
  <c r="W210" i="1"/>
  <c r="S210" i="1"/>
  <c r="Q210" i="1"/>
  <c r="N210" i="1"/>
  <c r="L210" i="1"/>
  <c r="K210" i="1"/>
  <c r="AB210" i="1"/>
  <c r="I210" i="1"/>
  <c r="X209" i="1"/>
  <c r="Z209" i="1" s="1"/>
  <c r="W209" i="1"/>
  <c r="S209" i="1"/>
  <c r="Q209" i="1"/>
  <c r="N209" i="1"/>
  <c r="L209" i="1"/>
  <c r="K209" i="1"/>
  <c r="AB209" i="1"/>
  <c r="I209" i="1"/>
  <c r="X208" i="1"/>
  <c r="Z208" i="1" s="1"/>
  <c r="W208" i="1"/>
  <c r="S208" i="1"/>
  <c r="Q208" i="1"/>
  <c r="N208" i="1"/>
  <c r="L208" i="1"/>
  <c r="K208" i="1"/>
  <c r="AB208" i="1"/>
  <c r="I208" i="1"/>
  <c r="X207" i="1"/>
  <c r="Z207" i="1" s="1"/>
  <c r="W207" i="1"/>
  <c r="S207" i="1"/>
  <c r="Q207" i="1"/>
  <c r="N207" i="1"/>
  <c r="L207" i="1"/>
  <c r="K207" i="1"/>
  <c r="AB207" i="1"/>
  <c r="I207" i="1"/>
  <c r="X206" i="1"/>
  <c r="Z206" i="1" s="1"/>
  <c r="W206" i="1"/>
  <c r="S206" i="1"/>
  <c r="Q206" i="1"/>
  <c r="N206" i="1"/>
  <c r="L206" i="1"/>
  <c r="K206" i="1"/>
  <c r="AB206" i="1"/>
  <c r="I206" i="1"/>
  <c r="X205" i="1"/>
  <c r="Z205" i="1" s="1"/>
  <c r="W205" i="1"/>
  <c r="S205" i="1"/>
  <c r="Q205" i="1"/>
  <c r="N205" i="1"/>
  <c r="L205" i="1"/>
  <c r="K205" i="1"/>
  <c r="AB205" i="1"/>
  <c r="I205" i="1"/>
  <c r="X204" i="1"/>
  <c r="Z204" i="1" s="1"/>
  <c r="W204" i="1"/>
  <c r="S204" i="1"/>
  <c r="Q204" i="1"/>
  <c r="N204" i="1"/>
  <c r="L204" i="1"/>
  <c r="K204" i="1"/>
  <c r="AB204" i="1"/>
  <c r="I204" i="1"/>
  <c r="X203" i="1"/>
  <c r="Z203" i="1" s="1"/>
  <c r="W203" i="1"/>
  <c r="S203" i="1"/>
  <c r="Q203" i="1"/>
  <c r="N203" i="1"/>
  <c r="L203" i="1"/>
  <c r="K203" i="1"/>
  <c r="AB203" i="1"/>
  <c r="I203" i="1"/>
  <c r="X202" i="1"/>
  <c r="Z202" i="1" s="1"/>
  <c r="W202" i="1"/>
  <c r="S202" i="1"/>
  <c r="Q202" i="1"/>
  <c r="N202" i="1"/>
  <c r="L202" i="1"/>
  <c r="K202" i="1"/>
  <c r="AB202" i="1"/>
  <c r="I202" i="1"/>
  <c r="X201" i="1"/>
  <c r="Z201" i="1" s="1"/>
  <c r="W201" i="1"/>
  <c r="S201" i="1"/>
  <c r="Q201" i="1"/>
  <c r="N201" i="1"/>
  <c r="L201" i="1"/>
  <c r="K201" i="1"/>
  <c r="AB201" i="1"/>
  <c r="I201" i="1"/>
  <c r="X200" i="1"/>
  <c r="Z200" i="1" s="1"/>
  <c r="W200" i="1"/>
  <c r="S200" i="1"/>
  <c r="Q200" i="1"/>
  <c r="N200" i="1"/>
  <c r="L200" i="1"/>
  <c r="K200" i="1"/>
  <c r="AB200" i="1"/>
  <c r="I200" i="1"/>
  <c r="X199" i="1"/>
  <c r="Z199" i="1" s="1"/>
  <c r="W199" i="1"/>
  <c r="S199" i="1"/>
  <c r="Q199" i="1"/>
  <c r="N199" i="1"/>
  <c r="L199" i="1"/>
  <c r="K199" i="1"/>
  <c r="AB199" i="1"/>
  <c r="I199" i="1"/>
  <c r="X198" i="1"/>
  <c r="Z198" i="1" s="1"/>
  <c r="W198" i="1"/>
  <c r="S198" i="1"/>
  <c r="Q198" i="1"/>
  <c r="N198" i="1"/>
  <c r="L198" i="1"/>
  <c r="K198" i="1"/>
  <c r="AB198" i="1"/>
  <c r="I198" i="1"/>
  <c r="X197" i="1"/>
  <c r="Z197" i="1" s="1"/>
  <c r="W197" i="1"/>
  <c r="S197" i="1"/>
  <c r="Q197" i="1"/>
  <c r="N197" i="1"/>
  <c r="L197" i="1"/>
  <c r="K197" i="1"/>
  <c r="AB197" i="1"/>
  <c r="I197" i="1"/>
  <c r="X196" i="1"/>
  <c r="Z196" i="1" s="1"/>
  <c r="W196" i="1"/>
  <c r="S196" i="1"/>
  <c r="Q196" i="1"/>
  <c r="N196" i="1"/>
  <c r="L196" i="1"/>
  <c r="K196" i="1"/>
  <c r="AB196" i="1"/>
  <c r="I196" i="1"/>
  <c r="X195" i="1"/>
  <c r="Z195" i="1" s="1"/>
  <c r="W195" i="1"/>
  <c r="S195" i="1"/>
  <c r="Q195" i="1"/>
  <c r="N195" i="1"/>
  <c r="L195" i="1"/>
  <c r="K195" i="1"/>
  <c r="AB195" i="1"/>
  <c r="I195" i="1"/>
  <c r="X194" i="1"/>
  <c r="Z194" i="1" s="1"/>
  <c r="W194" i="1"/>
  <c r="S194" i="1"/>
  <c r="Q194" i="1"/>
  <c r="N194" i="1"/>
  <c r="L194" i="1"/>
  <c r="K194" i="1"/>
  <c r="AB194" i="1"/>
  <c r="I194" i="1"/>
  <c r="X193" i="1"/>
  <c r="Z193" i="1" s="1"/>
  <c r="W193" i="1"/>
  <c r="S193" i="1"/>
  <c r="Q193" i="1"/>
  <c r="N193" i="1"/>
  <c r="L193" i="1"/>
  <c r="K193" i="1"/>
  <c r="AB193" i="1"/>
  <c r="I193" i="1"/>
  <c r="X192" i="1"/>
  <c r="Z192" i="1" s="1"/>
  <c r="W192" i="1"/>
  <c r="S192" i="1"/>
  <c r="Q192" i="1"/>
  <c r="N192" i="1"/>
  <c r="L192" i="1"/>
  <c r="K192" i="1"/>
  <c r="AB192" i="1"/>
  <c r="I192" i="1"/>
  <c r="X191" i="1"/>
  <c r="Z191" i="1" s="1"/>
  <c r="W191" i="1"/>
  <c r="S191" i="1"/>
  <c r="Q191" i="1"/>
  <c r="N191" i="1"/>
  <c r="L191" i="1"/>
  <c r="K191" i="1"/>
  <c r="AB191" i="1"/>
  <c r="I191" i="1"/>
  <c r="X190" i="1"/>
  <c r="Z190" i="1" s="1"/>
  <c r="W190" i="1"/>
  <c r="S190" i="1"/>
  <c r="Q190" i="1"/>
  <c r="N190" i="1"/>
  <c r="L190" i="1"/>
  <c r="K190" i="1"/>
  <c r="AB190" i="1"/>
  <c r="I190" i="1"/>
  <c r="X189" i="1"/>
  <c r="Z189" i="1" s="1"/>
  <c r="W189" i="1"/>
  <c r="S189" i="1"/>
  <c r="Q189" i="1"/>
  <c r="N189" i="1"/>
  <c r="L189" i="1"/>
  <c r="K189" i="1"/>
  <c r="AB189" i="1"/>
  <c r="I189" i="1"/>
  <c r="X188" i="1"/>
  <c r="Z188" i="1" s="1"/>
  <c r="W188" i="1"/>
  <c r="S188" i="1"/>
  <c r="Q188" i="1"/>
  <c r="N188" i="1"/>
  <c r="L188" i="1"/>
  <c r="K188" i="1"/>
  <c r="AB188" i="1"/>
  <c r="I188" i="1"/>
  <c r="X187" i="1"/>
  <c r="Z187" i="1" s="1"/>
  <c r="W187" i="1"/>
  <c r="S187" i="1"/>
  <c r="Q187" i="1"/>
  <c r="N187" i="1"/>
  <c r="L187" i="1"/>
  <c r="K187" i="1"/>
  <c r="AB187" i="1"/>
  <c r="I187" i="1"/>
  <c r="X186" i="1"/>
  <c r="Z186" i="1" s="1"/>
  <c r="W186" i="1"/>
  <c r="S186" i="1"/>
  <c r="Q186" i="1"/>
  <c r="N186" i="1"/>
  <c r="L186" i="1"/>
  <c r="K186" i="1"/>
  <c r="AB186" i="1"/>
  <c r="I186" i="1"/>
  <c r="X185" i="1"/>
  <c r="Z185" i="1" s="1"/>
  <c r="W185" i="1"/>
  <c r="S185" i="1"/>
  <c r="Q185" i="1"/>
  <c r="N185" i="1"/>
  <c r="L185" i="1"/>
  <c r="K185" i="1"/>
  <c r="AB185" i="1"/>
  <c r="I185" i="1"/>
  <c r="X184" i="1"/>
  <c r="Z184" i="1" s="1"/>
  <c r="W184" i="1"/>
  <c r="S184" i="1"/>
  <c r="Q184" i="1"/>
  <c r="N184" i="1"/>
  <c r="L184" i="1"/>
  <c r="K184" i="1"/>
  <c r="AB184" i="1"/>
  <c r="I184" i="1"/>
  <c r="X183" i="1"/>
  <c r="Z183" i="1" s="1"/>
  <c r="W183" i="1"/>
  <c r="S183" i="1"/>
  <c r="Q183" i="1"/>
  <c r="N183" i="1"/>
  <c r="L183" i="1"/>
  <c r="K183" i="1"/>
  <c r="AB183" i="1"/>
  <c r="I183" i="1"/>
  <c r="X182" i="1"/>
  <c r="Z182" i="1" s="1"/>
  <c r="W182" i="1"/>
  <c r="S182" i="1"/>
  <c r="Q182" i="1"/>
  <c r="N182" i="1"/>
  <c r="L182" i="1"/>
  <c r="K182" i="1"/>
  <c r="AB182" i="1"/>
  <c r="I182" i="1"/>
  <c r="X181" i="1"/>
  <c r="Z181" i="1" s="1"/>
  <c r="W181" i="1"/>
  <c r="S181" i="1"/>
  <c r="Q181" i="1"/>
  <c r="N181" i="1"/>
  <c r="L181" i="1"/>
  <c r="K181" i="1"/>
  <c r="AB181" i="1"/>
  <c r="I181" i="1"/>
  <c r="X180" i="1"/>
  <c r="Z180" i="1" s="1"/>
  <c r="W180" i="1"/>
  <c r="S180" i="1"/>
  <c r="Q180" i="1"/>
  <c r="N180" i="1"/>
  <c r="L180" i="1"/>
  <c r="K180" i="1"/>
  <c r="AB180" i="1"/>
  <c r="I180" i="1"/>
  <c r="X179" i="1"/>
  <c r="Z179" i="1" s="1"/>
  <c r="W179" i="1"/>
  <c r="S179" i="1"/>
  <c r="Q179" i="1"/>
  <c r="N179" i="1"/>
  <c r="L179" i="1"/>
  <c r="K179" i="1"/>
  <c r="AB179" i="1"/>
  <c r="I179" i="1"/>
  <c r="X178" i="1"/>
  <c r="Z178" i="1" s="1"/>
  <c r="W178" i="1"/>
  <c r="S178" i="1"/>
  <c r="Q178" i="1"/>
  <c r="N178" i="1"/>
  <c r="L178" i="1"/>
  <c r="K178" i="1"/>
  <c r="AB178" i="1"/>
  <c r="I178" i="1"/>
  <c r="X177" i="1"/>
  <c r="Z177" i="1" s="1"/>
  <c r="W177" i="1"/>
  <c r="S177" i="1"/>
  <c r="Q177" i="1"/>
  <c r="N177" i="1"/>
  <c r="L177" i="1"/>
  <c r="K177" i="1"/>
  <c r="AB177" i="1"/>
  <c r="I177" i="1"/>
  <c r="X176" i="1"/>
  <c r="Z176" i="1" s="1"/>
  <c r="W176" i="1"/>
  <c r="S176" i="1"/>
  <c r="Q176" i="1"/>
  <c r="N176" i="1"/>
  <c r="L176" i="1"/>
  <c r="K176" i="1"/>
  <c r="AB176" i="1"/>
  <c r="I176" i="1"/>
  <c r="X175" i="1"/>
  <c r="Z175" i="1" s="1"/>
  <c r="W175" i="1"/>
  <c r="S175" i="1"/>
  <c r="Q175" i="1"/>
  <c r="N175" i="1"/>
  <c r="L175" i="1"/>
  <c r="K175" i="1"/>
  <c r="AB175" i="1"/>
  <c r="I175" i="1"/>
  <c r="X174" i="1"/>
  <c r="Z174" i="1" s="1"/>
  <c r="W174" i="1"/>
  <c r="S174" i="1"/>
  <c r="Q174" i="1"/>
  <c r="N174" i="1"/>
  <c r="L174" i="1"/>
  <c r="K174" i="1"/>
  <c r="AB174" i="1"/>
  <c r="I174" i="1"/>
  <c r="X173" i="1"/>
  <c r="Z173" i="1" s="1"/>
  <c r="W173" i="1"/>
  <c r="S173" i="1"/>
  <c r="Q173" i="1"/>
  <c r="N173" i="1"/>
  <c r="L173" i="1"/>
  <c r="K173" i="1"/>
  <c r="AB173" i="1"/>
  <c r="I173" i="1"/>
  <c r="X172" i="1"/>
  <c r="Z172" i="1" s="1"/>
  <c r="W172" i="1"/>
  <c r="S172" i="1"/>
  <c r="Q172" i="1"/>
  <c r="N172" i="1"/>
  <c r="L172" i="1"/>
  <c r="K172" i="1"/>
  <c r="AB172" i="1"/>
  <c r="I172" i="1"/>
  <c r="X171" i="1"/>
  <c r="Z171" i="1" s="1"/>
  <c r="W171" i="1"/>
  <c r="S171" i="1"/>
  <c r="Q171" i="1"/>
  <c r="N171" i="1"/>
  <c r="L171" i="1"/>
  <c r="K171" i="1"/>
  <c r="AB171" i="1"/>
  <c r="I171" i="1"/>
  <c r="X170" i="1"/>
  <c r="Z170" i="1" s="1"/>
  <c r="W170" i="1"/>
  <c r="S170" i="1"/>
  <c r="Q170" i="1"/>
  <c r="N170" i="1"/>
  <c r="L170" i="1"/>
  <c r="K170" i="1"/>
  <c r="AB170" i="1"/>
  <c r="I170" i="1"/>
  <c r="X169" i="1"/>
  <c r="Z169" i="1" s="1"/>
  <c r="W169" i="1"/>
  <c r="S169" i="1"/>
  <c r="Q169" i="1"/>
  <c r="N169" i="1"/>
  <c r="L169" i="1"/>
  <c r="K169" i="1"/>
  <c r="AB169" i="1"/>
  <c r="I169" i="1"/>
  <c r="X168" i="1"/>
  <c r="Z168" i="1" s="1"/>
  <c r="W168" i="1"/>
  <c r="S168" i="1"/>
  <c r="Q168" i="1"/>
  <c r="N168" i="1"/>
  <c r="L168" i="1"/>
  <c r="K168" i="1"/>
  <c r="AB168" i="1"/>
  <c r="I168" i="1"/>
  <c r="X167" i="1"/>
  <c r="Z167" i="1" s="1"/>
  <c r="W167" i="1"/>
  <c r="S167" i="1"/>
  <c r="Q167" i="1"/>
  <c r="N167" i="1"/>
  <c r="L167" i="1"/>
  <c r="K167" i="1"/>
  <c r="AB167" i="1"/>
  <c r="I167" i="1"/>
  <c r="X166" i="1"/>
  <c r="Z166" i="1" s="1"/>
  <c r="W166" i="1"/>
  <c r="S166" i="1"/>
  <c r="Q166" i="1"/>
  <c r="N166" i="1"/>
  <c r="L166" i="1"/>
  <c r="K166" i="1"/>
  <c r="AB166" i="1"/>
  <c r="I166" i="1"/>
  <c r="X165" i="1"/>
  <c r="Z165" i="1" s="1"/>
  <c r="W165" i="1"/>
  <c r="S165" i="1"/>
  <c r="Q165" i="1"/>
  <c r="N165" i="1"/>
  <c r="L165" i="1"/>
  <c r="K165" i="1"/>
  <c r="AB165" i="1"/>
  <c r="I165" i="1"/>
  <c r="X164" i="1"/>
  <c r="Z164" i="1" s="1"/>
  <c r="W164" i="1"/>
  <c r="S164" i="1"/>
  <c r="Q164" i="1"/>
  <c r="N164" i="1"/>
  <c r="L164" i="1"/>
  <c r="K164" i="1"/>
  <c r="AB164" i="1"/>
  <c r="I164" i="1"/>
  <c r="X163" i="1"/>
  <c r="Z163" i="1" s="1"/>
  <c r="W163" i="1"/>
  <c r="S163" i="1"/>
  <c r="Q163" i="1"/>
  <c r="N163" i="1"/>
  <c r="L163" i="1"/>
  <c r="K163" i="1"/>
  <c r="AB163" i="1"/>
  <c r="I163" i="1"/>
  <c r="X162" i="1"/>
  <c r="Z162" i="1" s="1"/>
  <c r="W162" i="1"/>
  <c r="S162" i="1"/>
  <c r="Q162" i="1"/>
  <c r="N162" i="1"/>
  <c r="L162" i="1"/>
  <c r="K162" i="1"/>
  <c r="AB162" i="1"/>
  <c r="I162" i="1"/>
  <c r="X161" i="1"/>
  <c r="Z161" i="1" s="1"/>
  <c r="W161" i="1"/>
  <c r="S161" i="1"/>
  <c r="Q161" i="1"/>
  <c r="N161" i="1"/>
  <c r="L161" i="1"/>
  <c r="K161" i="1"/>
  <c r="AB161" i="1"/>
  <c r="I161" i="1"/>
  <c r="X160" i="1"/>
  <c r="Z160" i="1" s="1"/>
  <c r="W160" i="1"/>
  <c r="S160" i="1"/>
  <c r="Q160" i="1"/>
  <c r="N160" i="1"/>
  <c r="L160" i="1"/>
  <c r="K160" i="1"/>
  <c r="AB160" i="1"/>
  <c r="I160" i="1"/>
  <c r="X159" i="1"/>
  <c r="Z159" i="1" s="1"/>
  <c r="W159" i="1"/>
  <c r="S159" i="1"/>
  <c r="Q159" i="1"/>
  <c r="N159" i="1"/>
  <c r="L159" i="1"/>
  <c r="K159" i="1"/>
  <c r="AB159" i="1"/>
  <c r="I159" i="1"/>
  <c r="X158" i="1"/>
  <c r="Z158" i="1" s="1"/>
  <c r="W158" i="1"/>
  <c r="S158" i="1"/>
  <c r="Q158" i="1"/>
  <c r="N158" i="1"/>
  <c r="L158" i="1"/>
  <c r="K158" i="1"/>
  <c r="AB158" i="1"/>
  <c r="I158" i="1"/>
  <c r="X157" i="1"/>
  <c r="Z157" i="1" s="1"/>
  <c r="W157" i="1"/>
  <c r="S157" i="1"/>
  <c r="Q157" i="1"/>
  <c r="N157" i="1"/>
  <c r="L157" i="1"/>
  <c r="K157" i="1"/>
  <c r="AB157" i="1"/>
  <c r="I157" i="1"/>
  <c r="X156" i="1"/>
  <c r="Z156" i="1" s="1"/>
  <c r="W156" i="1"/>
  <c r="S156" i="1"/>
  <c r="Q156" i="1"/>
  <c r="N156" i="1"/>
  <c r="L156" i="1"/>
  <c r="K156" i="1"/>
  <c r="AB156" i="1"/>
  <c r="I156" i="1"/>
  <c r="X155" i="1"/>
  <c r="Z155" i="1" s="1"/>
  <c r="W155" i="1"/>
  <c r="S155" i="1"/>
  <c r="Q155" i="1"/>
  <c r="N155" i="1"/>
  <c r="L155" i="1"/>
  <c r="K155" i="1"/>
  <c r="AB155" i="1"/>
  <c r="I155" i="1"/>
  <c r="X154" i="1"/>
  <c r="Z154" i="1" s="1"/>
  <c r="W154" i="1"/>
  <c r="S154" i="1"/>
  <c r="Q154" i="1"/>
  <c r="N154" i="1"/>
  <c r="L154" i="1"/>
  <c r="K154" i="1"/>
  <c r="AB154" i="1"/>
  <c r="I154" i="1"/>
  <c r="X153" i="1"/>
  <c r="Z153" i="1" s="1"/>
  <c r="W153" i="1"/>
  <c r="S153" i="1"/>
  <c r="Q153" i="1"/>
  <c r="N153" i="1"/>
  <c r="L153" i="1"/>
  <c r="K153" i="1"/>
  <c r="AB153" i="1"/>
  <c r="I153" i="1"/>
  <c r="X152" i="1"/>
  <c r="Z152" i="1" s="1"/>
  <c r="W152" i="1"/>
  <c r="S152" i="1"/>
  <c r="Q152" i="1"/>
  <c r="N152" i="1"/>
  <c r="L152" i="1"/>
  <c r="K152" i="1"/>
  <c r="AB152" i="1"/>
  <c r="I152" i="1"/>
  <c r="X151" i="1"/>
  <c r="Z151" i="1" s="1"/>
  <c r="W151" i="1"/>
  <c r="S151" i="1"/>
  <c r="Q151" i="1"/>
  <c r="N151" i="1"/>
  <c r="L151" i="1"/>
  <c r="K151" i="1"/>
  <c r="AB151" i="1"/>
  <c r="I151" i="1"/>
  <c r="X150" i="1"/>
  <c r="Z150" i="1" s="1"/>
  <c r="W150" i="1"/>
  <c r="S150" i="1"/>
  <c r="Q150" i="1"/>
  <c r="N150" i="1"/>
  <c r="L150" i="1"/>
  <c r="K150" i="1"/>
  <c r="AB150" i="1"/>
  <c r="I150" i="1"/>
  <c r="X149" i="1"/>
  <c r="Z149" i="1" s="1"/>
  <c r="W149" i="1"/>
  <c r="S149" i="1"/>
  <c r="Q149" i="1"/>
  <c r="N149" i="1"/>
  <c r="L149" i="1"/>
  <c r="K149" i="1"/>
  <c r="AB149" i="1"/>
  <c r="I149" i="1"/>
  <c r="X148" i="1"/>
  <c r="Z148" i="1" s="1"/>
  <c r="W148" i="1"/>
  <c r="S148" i="1"/>
  <c r="Q148" i="1"/>
  <c r="N148" i="1"/>
  <c r="L148" i="1"/>
  <c r="K148" i="1"/>
  <c r="AB148" i="1"/>
  <c r="I148" i="1"/>
  <c r="X147" i="1"/>
  <c r="Z147" i="1" s="1"/>
  <c r="W147" i="1"/>
  <c r="S147" i="1"/>
  <c r="Q147" i="1"/>
  <c r="N147" i="1"/>
  <c r="L147" i="1"/>
  <c r="K147" i="1"/>
  <c r="AB147" i="1"/>
  <c r="I147" i="1"/>
  <c r="X146" i="1"/>
  <c r="Z146" i="1" s="1"/>
  <c r="W146" i="1"/>
  <c r="S146" i="1"/>
  <c r="Q146" i="1"/>
  <c r="N146" i="1"/>
  <c r="L146" i="1"/>
  <c r="K146" i="1"/>
  <c r="AB146" i="1"/>
  <c r="I146" i="1"/>
  <c r="X145" i="1"/>
  <c r="Z145" i="1" s="1"/>
  <c r="W145" i="1"/>
  <c r="S145" i="1"/>
  <c r="Q145" i="1"/>
  <c r="N145" i="1"/>
  <c r="L145" i="1"/>
  <c r="K145" i="1"/>
  <c r="AB145" i="1"/>
  <c r="I145" i="1"/>
  <c r="X144" i="1"/>
  <c r="Z144" i="1" s="1"/>
  <c r="W144" i="1"/>
  <c r="S144" i="1"/>
  <c r="Q144" i="1"/>
  <c r="N144" i="1"/>
  <c r="L144" i="1"/>
  <c r="K144" i="1"/>
  <c r="AB144" i="1"/>
  <c r="I144" i="1"/>
  <c r="X143" i="1"/>
  <c r="Z143" i="1" s="1"/>
  <c r="W143" i="1"/>
  <c r="S143" i="1"/>
  <c r="Q143" i="1"/>
  <c r="N143" i="1"/>
  <c r="L143" i="1"/>
  <c r="K143" i="1"/>
  <c r="AB143" i="1"/>
  <c r="I143" i="1"/>
  <c r="X142" i="1"/>
  <c r="Z142" i="1" s="1"/>
  <c r="W142" i="1"/>
  <c r="S142" i="1"/>
  <c r="Q142" i="1"/>
  <c r="N142" i="1"/>
  <c r="L142" i="1"/>
  <c r="K142" i="1"/>
  <c r="AB142" i="1"/>
  <c r="I142" i="1"/>
  <c r="X141" i="1"/>
  <c r="Z141" i="1" s="1"/>
  <c r="W141" i="1"/>
  <c r="S141" i="1"/>
  <c r="Q141" i="1"/>
  <c r="N141" i="1"/>
  <c r="L141" i="1"/>
  <c r="K141" i="1"/>
  <c r="AB141" i="1"/>
  <c r="I141" i="1"/>
  <c r="X140" i="1"/>
  <c r="Z140" i="1" s="1"/>
  <c r="W140" i="1"/>
  <c r="S140" i="1"/>
  <c r="Q140" i="1"/>
  <c r="N140" i="1"/>
  <c r="L140" i="1"/>
  <c r="K140" i="1"/>
  <c r="AB140" i="1"/>
  <c r="I140" i="1"/>
  <c r="X139" i="1"/>
  <c r="Z139" i="1" s="1"/>
  <c r="W139" i="1"/>
  <c r="S139" i="1"/>
  <c r="Q139" i="1"/>
  <c r="N139" i="1"/>
  <c r="L139" i="1"/>
  <c r="K139" i="1"/>
  <c r="AB139" i="1"/>
  <c r="I139" i="1"/>
  <c r="X138" i="1"/>
  <c r="Z138" i="1" s="1"/>
  <c r="W138" i="1"/>
  <c r="S138" i="1"/>
  <c r="Q138" i="1"/>
  <c r="N138" i="1"/>
  <c r="L138" i="1"/>
  <c r="K138" i="1"/>
  <c r="AB138" i="1"/>
  <c r="I138" i="1"/>
  <c r="X137" i="1"/>
  <c r="Z137" i="1" s="1"/>
  <c r="W137" i="1"/>
  <c r="S137" i="1"/>
  <c r="Q137" i="1"/>
  <c r="N137" i="1"/>
  <c r="L137" i="1"/>
  <c r="K137" i="1"/>
  <c r="AB137" i="1"/>
  <c r="I137" i="1"/>
  <c r="X136" i="1"/>
  <c r="Z136" i="1" s="1"/>
  <c r="W136" i="1"/>
  <c r="S136" i="1"/>
  <c r="Q136" i="1"/>
  <c r="N136" i="1"/>
  <c r="L136" i="1"/>
  <c r="K136" i="1"/>
  <c r="AB136" i="1"/>
  <c r="I136" i="1"/>
  <c r="X135" i="1"/>
  <c r="Z135" i="1" s="1"/>
  <c r="W135" i="1"/>
  <c r="S135" i="1"/>
  <c r="Q135" i="1"/>
  <c r="N135" i="1"/>
  <c r="L135" i="1"/>
  <c r="K135" i="1"/>
  <c r="AB135" i="1"/>
  <c r="I135" i="1"/>
  <c r="X134" i="1"/>
  <c r="Z134" i="1" s="1"/>
  <c r="W134" i="1"/>
  <c r="S134" i="1"/>
  <c r="Q134" i="1"/>
  <c r="N134" i="1"/>
  <c r="L134" i="1"/>
  <c r="K134" i="1"/>
  <c r="AB134" i="1"/>
  <c r="I134" i="1"/>
  <c r="X133" i="1"/>
  <c r="Z133" i="1" s="1"/>
  <c r="W133" i="1"/>
  <c r="S133" i="1"/>
  <c r="Q133" i="1"/>
  <c r="N133" i="1"/>
  <c r="L133" i="1"/>
  <c r="K133" i="1"/>
  <c r="AB133" i="1"/>
  <c r="I133" i="1"/>
  <c r="X132" i="1"/>
  <c r="Z132" i="1" s="1"/>
  <c r="W132" i="1"/>
  <c r="S132" i="1"/>
  <c r="Q132" i="1"/>
  <c r="N132" i="1"/>
  <c r="L132" i="1"/>
  <c r="K132" i="1"/>
  <c r="AB132" i="1"/>
  <c r="I132" i="1"/>
  <c r="X131" i="1"/>
  <c r="Z131" i="1" s="1"/>
  <c r="W131" i="1"/>
  <c r="S131" i="1"/>
  <c r="Q131" i="1"/>
  <c r="N131" i="1"/>
  <c r="L131" i="1"/>
  <c r="K131" i="1"/>
  <c r="AB131" i="1"/>
  <c r="I131" i="1"/>
  <c r="X130" i="1"/>
  <c r="Z130" i="1" s="1"/>
  <c r="W130" i="1"/>
  <c r="S130" i="1"/>
  <c r="Q130" i="1"/>
  <c r="N130" i="1"/>
  <c r="L130" i="1"/>
  <c r="K130" i="1"/>
  <c r="AB130" i="1"/>
  <c r="I130" i="1"/>
  <c r="X129" i="1"/>
  <c r="Z129" i="1" s="1"/>
  <c r="W129" i="1"/>
  <c r="S129" i="1"/>
  <c r="Q129" i="1"/>
  <c r="N129" i="1"/>
  <c r="L129" i="1"/>
  <c r="K129" i="1"/>
  <c r="AB129" i="1"/>
  <c r="I129" i="1"/>
  <c r="X128" i="1"/>
  <c r="Z128" i="1" s="1"/>
  <c r="W128" i="1"/>
  <c r="S128" i="1"/>
  <c r="Q128" i="1"/>
  <c r="N128" i="1"/>
  <c r="L128" i="1"/>
  <c r="K128" i="1"/>
  <c r="AB128" i="1"/>
  <c r="I128" i="1"/>
  <c r="X127" i="1"/>
  <c r="Z127" i="1" s="1"/>
  <c r="W127" i="1"/>
  <c r="S127" i="1"/>
  <c r="Q127" i="1"/>
  <c r="N127" i="1"/>
  <c r="L127" i="1"/>
  <c r="K127" i="1"/>
  <c r="AB127" i="1"/>
  <c r="I127" i="1"/>
  <c r="X126" i="1"/>
  <c r="Z126" i="1" s="1"/>
  <c r="W126" i="1"/>
  <c r="S126" i="1"/>
  <c r="Q126" i="1"/>
  <c r="N126" i="1"/>
  <c r="L126" i="1"/>
  <c r="K126" i="1"/>
  <c r="AB126" i="1"/>
  <c r="I126" i="1"/>
  <c r="X125" i="1"/>
  <c r="Z125" i="1" s="1"/>
  <c r="W125" i="1"/>
  <c r="S125" i="1"/>
  <c r="Q125" i="1"/>
  <c r="N125" i="1"/>
  <c r="L125" i="1"/>
  <c r="K125" i="1"/>
  <c r="AB125" i="1"/>
  <c r="I125" i="1"/>
  <c r="X124" i="1"/>
  <c r="Z124" i="1" s="1"/>
  <c r="W124" i="1"/>
  <c r="S124" i="1"/>
  <c r="Q124" i="1"/>
  <c r="N124" i="1"/>
  <c r="L124" i="1"/>
  <c r="K124" i="1"/>
  <c r="AB124" i="1"/>
  <c r="I124" i="1"/>
  <c r="X123" i="1"/>
  <c r="Z123" i="1" s="1"/>
  <c r="W123" i="1"/>
  <c r="S123" i="1"/>
  <c r="Q123" i="1"/>
  <c r="N123" i="1"/>
  <c r="L123" i="1"/>
  <c r="K123" i="1"/>
  <c r="AB123" i="1"/>
  <c r="I123" i="1"/>
  <c r="X122" i="1"/>
  <c r="Z122" i="1" s="1"/>
  <c r="W122" i="1"/>
  <c r="S122" i="1"/>
  <c r="Q122" i="1"/>
  <c r="N122" i="1"/>
  <c r="L122" i="1"/>
  <c r="K122" i="1"/>
  <c r="AB122" i="1"/>
  <c r="I122" i="1"/>
  <c r="X121" i="1"/>
  <c r="Z121" i="1" s="1"/>
  <c r="W121" i="1"/>
  <c r="S121" i="1"/>
  <c r="Q121" i="1"/>
  <c r="N121" i="1"/>
  <c r="L121" i="1"/>
  <c r="K121" i="1"/>
  <c r="AB121" i="1"/>
  <c r="I121" i="1"/>
  <c r="X120" i="1"/>
  <c r="Z120" i="1" s="1"/>
  <c r="W120" i="1"/>
  <c r="S120" i="1"/>
  <c r="Q120" i="1"/>
  <c r="N120" i="1"/>
  <c r="L120" i="1"/>
  <c r="K120" i="1"/>
  <c r="AB120" i="1"/>
  <c r="I120" i="1"/>
  <c r="X119" i="1"/>
  <c r="Z119" i="1" s="1"/>
  <c r="W119" i="1"/>
  <c r="S119" i="1"/>
  <c r="Q119" i="1"/>
  <c r="N119" i="1"/>
  <c r="L119" i="1"/>
  <c r="K119" i="1"/>
  <c r="AB119" i="1"/>
  <c r="I119" i="1"/>
  <c r="X118" i="1"/>
  <c r="Z118" i="1" s="1"/>
  <c r="W118" i="1"/>
  <c r="S118" i="1"/>
  <c r="Q118" i="1"/>
  <c r="N118" i="1"/>
  <c r="L118" i="1"/>
  <c r="K118" i="1"/>
  <c r="AB118" i="1"/>
  <c r="I118" i="1"/>
  <c r="X117" i="1"/>
  <c r="Z117" i="1" s="1"/>
  <c r="W117" i="1"/>
  <c r="S117" i="1"/>
  <c r="Q117" i="1"/>
  <c r="N117" i="1"/>
  <c r="L117" i="1"/>
  <c r="K117" i="1"/>
  <c r="AB117" i="1"/>
  <c r="I117" i="1"/>
  <c r="X116" i="1"/>
  <c r="Z116" i="1" s="1"/>
  <c r="W116" i="1"/>
  <c r="S116" i="1"/>
  <c r="Q116" i="1"/>
  <c r="N116" i="1"/>
  <c r="L116" i="1"/>
  <c r="K116" i="1"/>
  <c r="AB116" i="1"/>
  <c r="I116" i="1"/>
  <c r="X115" i="1"/>
  <c r="Z115" i="1" s="1"/>
  <c r="W115" i="1"/>
  <c r="S115" i="1"/>
  <c r="Q115" i="1"/>
  <c r="N115" i="1"/>
  <c r="L115" i="1"/>
  <c r="K115" i="1"/>
  <c r="AB115" i="1"/>
  <c r="I115" i="1"/>
  <c r="X114" i="1"/>
  <c r="Z114" i="1" s="1"/>
  <c r="W114" i="1"/>
  <c r="S114" i="1"/>
  <c r="Q114" i="1"/>
  <c r="N114" i="1"/>
  <c r="L114" i="1"/>
  <c r="K114" i="1"/>
  <c r="AB114" i="1"/>
  <c r="I114" i="1"/>
  <c r="X113" i="1"/>
  <c r="Z113" i="1" s="1"/>
  <c r="W113" i="1"/>
  <c r="S113" i="1"/>
  <c r="Q113" i="1"/>
  <c r="N113" i="1"/>
  <c r="L113" i="1"/>
  <c r="K113" i="1"/>
  <c r="AB113" i="1"/>
  <c r="I113" i="1"/>
  <c r="X112" i="1"/>
  <c r="Z112" i="1" s="1"/>
  <c r="W112" i="1"/>
  <c r="S112" i="1"/>
  <c r="Q112" i="1"/>
  <c r="N112" i="1"/>
  <c r="L112" i="1"/>
  <c r="K112" i="1"/>
  <c r="AB112" i="1"/>
  <c r="I112" i="1"/>
  <c r="X111" i="1"/>
  <c r="Z111" i="1" s="1"/>
  <c r="W111" i="1"/>
  <c r="S111" i="1"/>
  <c r="Q111" i="1"/>
  <c r="N111" i="1"/>
  <c r="L111" i="1"/>
  <c r="K111" i="1"/>
  <c r="AB111" i="1"/>
  <c r="I111" i="1"/>
  <c r="X110" i="1"/>
  <c r="Z110" i="1" s="1"/>
  <c r="W110" i="1"/>
  <c r="S110" i="1"/>
  <c r="Q110" i="1"/>
  <c r="N110" i="1"/>
  <c r="L110" i="1"/>
  <c r="K110" i="1"/>
  <c r="AB110" i="1"/>
  <c r="I110" i="1"/>
  <c r="X109" i="1"/>
  <c r="Z109" i="1" s="1"/>
  <c r="W109" i="1"/>
  <c r="S109" i="1"/>
  <c r="Q109" i="1"/>
  <c r="N109" i="1"/>
  <c r="L109" i="1"/>
  <c r="K109" i="1"/>
  <c r="AB109" i="1"/>
  <c r="I109" i="1"/>
  <c r="X108" i="1"/>
  <c r="Z108" i="1" s="1"/>
  <c r="W108" i="1"/>
  <c r="S108" i="1"/>
  <c r="Q108" i="1"/>
  <c r="N108" i="1"/>
  <c r="L108" i="1"/>
  <c r="K108" i="1"/>
  <c r="AB108" i="1"/>
  <c r="I108" i="1"/>
  <c r="X107" i="1"/>
  <c r="Z107" i="1" s="1"/>
  <c r="W107" i="1"/>
  <c r="S107" i="1"/>
  <c r="Q107" i="1"/>
  <c r="N107" i="1"/>
  <c r="L107" i="1"/>
  <c r="K107" i="1"/>
  <c r="AB107" i="1"/>
  <c r="I107" i="1"/>
  <c r="X106" i="1"/>
  <c r="Z106" i="1" s="1"/>
  <c r="W106" i="1"/>
  <c r="S106" i="1"/>
  <c r="Q106" i="1"/>
  <c r="N106" i="1"/>
  <c r="L106" i="1"/>
  <c r="K106" i="1"/>
  <c r="AB106" i="1"/>
  <c r="I106" i="1"/>
  <c r="X105" i="1"/>
  <c r="Z105" i="1" s="1"/>
  <c r="W105" i="1"/>
  <c r="S105" i="1"/>
  <c r="Q105" i="1"/>
  <c r="N105" i="1"/>
  <c r="L105" i="1"/>
  <c r="K105" i="1"/>
  <c r="AB105" i="1"/>
  <c r="I105" i="1"/>
  <c r="X104" i="1"/>
  <c r="Z104" i="1" s="1"/>
  <c r="W104" i="1"/>
  <c r="S104" i="1"/>
  <c r="Q104" i="1"/>
  <c r="N104" i="1"/>
  <c r="L104" i="1"/>
  <c r="K104" i="1"/>
  <c r="AB104" i="1"/>
  <c r="I104" i="1"/>
  <c r="X103" i="1"/>
  <c r="Z103" i="1" s="1"/>
  <c r="W103" i="1"/>
  <c r="S103" i="1"/>
  <c r="Q103" i="1"/>
  <c r="N103" i="1"/>
  <c r="L103" i="1"/>
  <c r="K103" i="1"/>
  <c r="AB103" i="1"/>
  <c r="I103" i="1"/>
  <c r="X102" i="1"/>
  <c r="Z102" i="1" s="1"/>
  <c r="W102" i="1"/>
  <c r="S102" i="1"/>
  <c r="Q102" i="1"/>
  <c r="N102" i="1"/>
  <c r="L102" i="1"/>
  <c r="K102" i="1"/>
  <c r="AB102" i="1"/>
  <c r="I102" i="1"/>
  <c r="X101" i="1"/>
  <c r="Z101" i="1" s="1"/>
  <c r="W101" i="1"/>
  <c r="S101" i="1"/>
  <c r="Q101" i="1"/>
  <c r="N101" i="1"/>
  <c r="L101" i="1"/>
  <c r="K101" i="1"/>
  <c r="AB101" i="1"/>
  <c r="I101" i="1"/>
  <c r="X100" i="1"/>
  <c r="Z100" i="1" s="1"/>
  <c r="W100" i="1"/>
  <c r="S100" i="1"/>
  <c r="Q100" i="1"/>
  <c r="N100" i="1"/>
  <c r="L100" i="1"/>
  <c r="K100" i="1"/>
  <c r="AB100" i="1"/>
  <c r="I100" i="1"/>
  <c r="X99" i="1"/>
  <c r="Z99" i="1" s="1"/>
  <c r="W99" i="1"/>
  <c r="S99" i="1"/>
  <c r="Q99" i="1"/>
  <c r="N99" i="1"/>
  <c r="L99" i="1"/>
  <c r="K99" i="1"/>
  <c r="AB99" i="1"/>
  <c r="I99" i="1"/>
  <c r="X98" i="1"/>
  <c r="Z98" i="1" s="1"/>
  <c r="W98" i="1"/>
  <c r="S98" i="1"/>
  <c r="Q98" i="1"/>
  <c r="N98" i="1"/>
  <c r="L98" i="1"/>
  <c r="K98" i="1"/>
  <c r="AB98" i="1"/>
  <c r="I98" i="1"/>
  <c r="X97" i="1"/>
  <c r="Z97" i="1" s="1"/>
  <c r="W97" i="1"/>
  <c r="S97" i="1"/>
  <c r="Q97" i="1"/>
  <c r="N97" i="1"/>
  <c r="L97" i="1"/>
  <c r="K97" i="1"/>
  <c r="AB97" i="1"/>
  <c r="I97" i="1"/>
  <c r="X96" i="1"/>
  <c r="Z96" i="1" s="1"/>
  <c r="W96" i="1"/>
  <c r="S96" i="1"/>
  <c r="Q96" i="1"/>
  <c r="N96" i="1"/>
  <c r="L96" i="1"/>
  <c r="K96" i="1"/>
  <c r="AB96" i="1"/>
  <c r="I96" i="1"/>
  <c r="X95" i="1"/>
  <c r="Z95" i="1" s="1"/>
  <c r="W95" i="1"/>
  <c r="S95" i="1"/>
  <c r="Q95" i="1"/>
  <c r="N95" i="1"/>
  <c r="L95" i="1"/>
  <c r="K95" i="1"/>
  <c r="AB95" i="1"/>
  <c r="I95" i="1"/>
  <c r="X94" i="1"/>
  <c r="Z94" i="1" s="1"/>
  <c r="W94" i="1"/>
  <c r="S94" i="1"/>
  <c r="Q94" i="1"/>
  <c r="N94" i="1"/>
  <c r="L94" i="1"/>
  <c r="K94" i="1"/>
  <c r="AB94" i="1"/>
  <c r="I94" i="1"/>
  <c r="X93" i="1"/>
  <c r="Z93" i="1" s="1"/>
  <c r="W93" i="1"/>
  <c r="S93" i="1"/>
  <c r="Q93" i="1"/>
  <c r="N93" i="1"/>
  <c r="L93" i="1"/>
  <c r="K93" i="1"/>
  <c r="AB93" i="1"/>
  <c r="I93" i="1"/>
  <c r="X92" i="1"/>
  <c r="Z92" i="1" s="1"/>
  <c r="W92" i="1"/>
  <c r="S92" i="1"/>
  <c r="Q92" i="1"/>
  <c r="N92" i="1"/>
  <c r="L92" i="1"/>
  <c r="K92" i="1"/>
  <c r="AB92" i="1"/>
  <c r="I92" i="1"/>
  <c r="X91" i="1"/>
  <c r="Z91" i="1" s="1"/>
  <c r="W91" i="1"/>
  <c r="S91" i="1"/>
  <c r="Q91" i="1"/>
  <c r="N91" i="1"/>
  <c r="L91" i="1"/>
  <c r="K91" i="1"/>
  <c r="AB91" i="1"/>
  <c r="I91" i="1"/>
  <c r="X90" i="1"/>
  <c r="Z90" i="1" s="1"/>
  <c r="W90" i="1"/>
  <c r="S90" i="1"/>
  <c r="Q90" i="1"/>
  <c r="N90" i="1"/>
  <c r="L90" i="1"/>
  <c r="K90" i="1"/>
  <c r="AB90" i="1"/>
  <c r="I90" i="1"/>
  <c r="X89" i="1"/>
  <c r="Z89" i="1" s="1"/>
  <c r="W89" i="1"/>
  <c r="S89" i="1"/>
  <c r="Q89" i="1"/>
  <c r="N89" i="1"/>
  <c r="L89" i="1"/>
  <c r="K89" i="1"/>
  <c r="AB89" i="1"/>
  <c r="I89" i="1"/>
  <c r="X88" i="1"/>
  <c r="Z88" i="1" s="1"/>
  <c r="W88" i="1"/>
  <c r="S88" i="1"/>
  <c r="Q88" i="1"/>
  <c r="N88" i="1"/>
  <c r="L88" i="1"/>
  <c r="K88" i="1"/>
  <c r="AB88" i="1"/>
  <c r="I88" i="1"/>
  <c r="X87" i="1"/>
  <c r="Z87" i="1" s="1"/>
  <c r="W87" i="1"/>
  <c r="S87" i="1"/>
  <c r="Q87" i="1"/>
  <c r="N87" i="1"/>
  <c r="L87" i="1"/>
  <c r="K87" i="1"/>
  <c r="AB87" i="1"/>
  <c r="I87" i="1"/>
  <c r="X86" i="1"/>
  <c r="Z86" i="1" s="1"/>
  <c r="W86" i="1"/>
  <c r="S86" i="1"/>
  <c r="Q86" i="1"/>
  <c r="N86" i="1"/>
  <c r="L86" i="1"/>
  <c r="K86" i="1"/>
  <c r="AB86" i="1"/>
  <c r="I86" i="1"/>
  <c r="X85" i="1"/>
  <c r="Z85" i="1" s="1"/>
  <c r="W85" i="1"/>
  <c r="S85" i="1"/>
  <c r="Q85" i="1"/>
  <c r="N85" i="1"/>
  <c r="L85" i="1"/>
  <c r="K85" i="1"/>
  <c r="AB85" i="1"/>
  <c r="I85" i="1"/>
  <c r="X84" i="1"/>
  <c r="Z84" i="1" s="1"/>
  <c r="W84" i="1"/>
  <c r="S84" i="1"/>
  <c r="Q84" i="1"/>
  <c r="N84" i="1"/>
  <c r="L84" i="1"/>
  <c r="K84" i="1"/>
  <c r="AB84" i="1"/>
  <c r="I84" i="1"/>
  <c r="X83" i="1"/>
  <c r="Z83" i="1" s="1"/>
  <c r="W83" i="1"/>
  <c r="S83" i="1"/>
  <c r="Q83" i="1"/>
  <c r="N83" i="1"/>
  <c r="L83" i="1"/>
  <c r="K83" i="1"/>
  <c r="AB83" i="1"/>
  <c r="I83" i="1"/>
  <c r="X82" i="1"/>
  <c r="Z82" i="1" s="1"/>
  <c r="W82" i="1"/>
  <c r="S82" i="1"/>
  <c r="Q82" i="1"/>
  <c r="N82" i="1"/>
  <c r="L82" i="1"/>
  <c r="K82" i="1"/>
  <c r="AB82" i="1"/>
  <c r="I82" i="1"/>
  <c r="X81" i="1"/>
  <c r="Z81" i="1" s="1"/>
  <c r="W81" i="1"/>
  <c r="S81" i="1"/>
  <c r="Q81" i="1"/>
  <c r="N81" i="1"/>
  <c r="L81" i="1"/>
  <c r="K81" i="1"/>
  <c r="AB81" i="1"/>
  <c r="I81" i="1"/>
  <c r="X80" i="1"/>
  <c r="Z80" i="1" s="1"/>
  <c r="W80" i="1"/>
  <c r="S80" i="1"/>
  <c r="Q80" i="1"/>
  <c r="N80" i="1"/>
  <c r="L80" i="1"/>
  <c r="K80" i="1"/>
  <c r="AB80" i="1"/>
  <c r="I80" i="1"/>
  <c r="X79" i="1"/>
  <c r="Z79" i="1" s="1"/>
  <c r="W79" i="1"/>
  <c r="S79" i="1"/>
  <c r="Q79" i="1"/>
  <c r="N79" i="1"/>
  <c r="L79" i="1"/>
  <c r="K79" i="1"/>
  <c r="AB79" i="1"/>
  <c r="I79" i="1"/>
  <c r="X78" i="1"/>
  <c r="Z78" i="1" s="1"/>
  <c r="W78" i="1"/>
  <c r="S78" i="1"/>
  <c r="Q78" i="1"/>
  <c r="N78" i="1"/>
  <c r="L78" i="1"/>
  <c r="K78" i="1"/>
  <c r="AB78" i="1"/>
  <c r="I78" i="1"/>
  <c r="X77" i="1"/>
  <c r="Z77" i="1" s="1"/>
  <c r="W77" i="1"/>
  <c r="S77" i="1"/>
  <c r="Q77" i="1"/>
  <c r="N77" i="1"/>
  <c r="L77" i="1"/>
  <c r="K77" i="1"/>
  <c r="AB77" i="1"/>
  <c r="I77" i="1"/>
  <c r="X76" i="1"/>
  <c r="Z76" i="1" s="1"/>
  <c r="W76" i="1"/>
  <c r="S76" i="1"/>
  <c r="Q76" i="1"/>
  <c r="N76" i="1"/>
  <c r="L76" i="1"/>
  <c r="K76" i="1"/>
  <c r="AB76" i="1"/>
  <c r="I76" i="1"/>
  <c r="X75" i="1"/>
  <c r="Z75" i="1" s="1"/>
  <c r="W75" i="1"/>
  <c r="S75" i="1"/>
  <c r="Q75" i="1"/>
  <c r="N75" i="1"/>
  <c r="L75" i="1"/>
  <c r="K75" i="1"/>
  <c r="AB75" i="1"/>
  <c r="I75" i="1"/>
  <c r="X74" i="1"/>
  <c r="Z74" i="1" s="1"/>
  <c r="W74" i="1"/>
  <c r="S74" i="1"/>
  <c r="Q74" i="1"/>
  <c r="N74" i="1"/>
  <c r="L74" i="1"/>
  <c r="K74" i="1"/>
  <c r="AB74" i="1"/>
  <c r="I74" i="1"/>
  <c r="X73" i="1"/>
  <c r="Z73" i="1" s="1"/>
  <c r="W73" i="1"/>
  <c r="S73" i="1"/>
  <c r="Q73" i="1"/>
  <c r="N73" i="1"/>
  <c r="L73" i="1"/>
  <c r="K73" i="1"/>
  <c r="AB73" i="1"/>
  <c r="I73" i="1"/>
  <c r="X72" i="1"/>
  <c r="Z72" i="1" s="1"/>
  <c r="W72" i="1"/>
  <c r="S72" i="1"/>
  <c r="Q72" i="1"/>
  <c r="N72" i="1"/>
  <c r="L72" i="1"/>
  <c r="K72" i="1"/>
  <c r="AB72" i="1"/>
  <c r="I72" i="1"/>
  <c r="X71" i="1"/>
  <c r="Z71" i="1" s="1"/>
  <c r="W71" i="1"/>
  <c r="S71" i="1"/>
  <c r="Q71" i="1"/>
  <c r="N71" i="1"/>
  <c r="L71" i="1"/>
  <c r="K71" i="1"/>
  <c r="AB71" i="1"/>
  <c r="I71" i="1"/>
  <c r="X70" i="1"/>
  <c r="Z70" i="1" s="1"/>
  <c r="W70" i="1"/>
  <c r="S70" i="1"/>
  <c r="Q70" i="1"/>
  <c r="N70" i="1"/>
  <c r="L70" i="1"/>
  <c r="K70" i="1"/>
  <c r="AB70" i="1"/>
  <c r="I70" i="1"/>
  <c r="X69" i="1"/>
  <c r="Z69" i="1" s="1"/>
  <c r="W69" i="1"/>
  <c r="S69" i="1"/>
  <c r="Q69" i="1"/>
  <c r="N69" i="1"/>
  <c r="L69" i="1"/>
  <c r="K69" i="1"/>
  <c r="AB69" i="1"/>
  <c r="I69" i="1"/>
  <c r="X68" i="1"/>
  <c r="Z68" i="1" s="1"/>
  <c r="W68" i="1"/>
  <c r="S68" i="1"/>
  <c r="Q68" i="1"/>
  <c r="N68" i="1"/>
  <c r="L68" i="1"/>
  <c r="K68" i="1"/>
  <c r="AB68" i="1"/>
  <c r="I68" i="1"/>
  <c r="X67" i="1"/>
  <c r="Z67" i="1" s="1"/>
  <c r="W67" i="1"/>
  <c r="S67" i="1"/>
  <c r="Q67" i="1"/>
  <c r="N67" i="1"/>
  <c r="L67" i="1"/>
  <c r="K67" i="1"/>
  <c r="AB67" i="1"/>
  <c r="I67" i="1"/>
  <c r="X66" i="1"/>
  <c r="Z66" i="1" s="1"/>
  <c r="W66" i="1"/>
  <c r="S66" i="1"/>
  <c r="Q66" i="1"/>
  <c r="N66" i="1"/>
  <c r="L66" i="1"/>
  <c r="K66" i="1"/>
  <c r="AB66" i="1"/>
  <c r="I66" i="1"/>
  <c r="X65" i="1"/>
  <c r="Z65" i="1" s="1"/>
  <c r="W65" i="1"/>
  <c r="S65" i="1"/>
  <c r="Q65" i="1"/>
  <c r="N65" i="1"/>
  <c r="L65" i="1"/>
  <c r="K65" i="1"/>
  <c r="AB65" i="1"/>
  <c r="I65" i="1"/>
  <c r="X64" i="1"/>
  <c r="Z64" i="1" s="1"/>
  <c r="W64" i="1"/>
  <c r="S64" i="1"/>
  <c r="Q64" i="1"/>
  <c r="N64" i="1"/>
  <c r="L64" i="1"/>
  <c r="K64" i="1"/>
  <c r="AB64" i="1"/>
  <c r="I64" i="1"/>
  <c r="X63" i="1"/>
  <c r="Z63" i="1" s="1"/>
  <c r="W63" i="1"/>
  <c r="S63" i="1"/>
  <c r="Q63" i="1"/>
  <c r="N63" i="1"/>
  <c r="L63" i="1"/>
  <c r="K63" i="1"/>
  <c r="AB63" i="1"/>
  <c r="I63" i="1"/>
  <c r="X62" i="1"/>
  <c r="Z62" i="1" s="1"/>
  <c r="W62" i="1"/>
  <c r="S62" i="1"/>
  <c r="Q62" i="1"/>
  <c r="N62" i="1"/>
  <c r="L62" i="1"/>
  <c r="K62" i="1"/>
  <c r="AB62" i="1"/>
  <c r="I62" i="1"/>
  <c r="X61" i="1"/>
  <c r="Z61" i="1" s="1"/>
  <c r="W61" i="1"/>
  <c r="S61" i="1"/>
  <c r="Q61" i="1"/>
  <c r="N61" i="1"/>
  <c r="L61" i="1"/>
  <c r="K61" i="1"/>
  <c r="AB61" i="1"/>
  <c r="I61" i="1"/>
  <c r="X60" i="1"/>
  <c r="Z60" i="1" s="1"/>
  <c r="W60" i="1"/>
  <c r="S60" i="1"/>
  <c r="Q60" i="1"/>
  <c r="N60" i="1"/>
  <c r="L60" i="1"/>
  <c r="K60" i="1"/>
  <c r="AB60" i="1"/>
  <c r="I60" i="1"/>
  <c r="X59" i="1"/>
  <c r="Z59" i="1" s="1"/>
  <c r="W59" i="1"/>
  <c r="S59" i="1"/>
  <c r="Q59" i="1"/>
  <c r="N59" i="1"/>
  <c r="L59" i="1"/>
  <c r="K59" i="1"/>
  <c r="AB59" i="1"/>
  <c r="I59" i="1"/>
  <c r="X58" i="1"/>
  <c r="Z58" i="1" s="1"/>
  <c r="W58" i="1"/>
  <c r="S58" i="1"/>
  <c r="Q58" i="1"/>
  <c r="N58" i="1"/>
  <c r="L58" i="1"/>
  <c r="K58" i="1"/>
  <c r="AB58" i="1"/>
  <c r="I58" i="1"/>
  <c r="X57" i="1"/>
  <c r="Z57" i="1" s="1"/>
  <c r="W57" i="1"/>
  <c r="S57" i="1"/>
  <c r="Q57" i="1"/>
  <c r="N57" i="1"/>
  <c r="L57" i="1"/>
  <c r="K57" i="1"/>
  <c r="AB57" i="1"/>
  <c r="I57" i="1"/>
  <c r="X56" i="1"/>
  <c r="Z56" i="1" s="1"/>
  <c r="W56" i="1"/>
  <c r="S56" i="1"/>
  <c r="Q56" i="1"/>
  <c r="N56" i="1"/>
  <c r="L56" i="1"/>
  <c r="K56" i="1"/>
  <c r="AB56" i="1"/>
  <c r="I56" i="1"/>
  <c r="X55" i="1"/>
  <c r="Z55" i="1" s="1"/>
  <c r="W55" i="1"/>
  <c r="S55" i="1"/>
  <c r="Q55" i="1"/>
  <c r="N55" i="1"/>
  <c r="L55" i="1"/>
  <c r="K55" i="1"/>
  <c r="AB55" i="1"/>
  <c r="I55" i="1"/>
  <c r="X54" i="1"/>
  <c r="Z54" i="1" s="1"/>
  <c r="W54" i="1"/>
  <c r="S54" i="1"/>
  <c r="Q54" i="1"/>
  <c r="N54" i="1"/>
  <c r="L54" i="1"/>
  <c r="K54" i="1"/>
  <c r="AB54" i="1"/>
  <c r="I54" i="1"/>
  <c r="X53" i="1"/>
  <c r="Z53" i="1" s="1"/>
  <c r="W53" i="1"/>
  <c r="S53" i="1"/>
  <c r="Q53" i="1"/>
  <c r="N53" i="1"/>
  <c r="L53" i="1"/>
  <c r="K53" i="1"/>
  <c r="AB53" i="1"/>
  <c r="I53" i="1"/>
  <c r="X52" i="1"/>
  <c r="Z52" i="1" s="1"/>
  <c r="W52" i="1"/>
  <c r="S52" i="1"/>
  <c r="Q52" i="1"/>
  <c r="N52" i="1"/>
  <c r="L52" i="1"/>
  <c r="K52" i="1"/>
  <c r="AB52" i="1"/>
  <c r="I52" i="1"/>
  <c r="X51" i="1"/>
  <c r="Z51" i="1" s="1"/>
  <c r="W51" i="1"/>
  <c r="S51" i="1"/>
  <c r="Q51" i="1"/>
  <c r="N51" i="1"/>
  <c r="L51" i="1"/>
  <c r="K51" i="1"/>
  <c r="AB51" i="1"/>
  <c r="I51" i="1"/>
  <c r="X50" i="1"/>
  <c r="Z50" i="1" s="1"/>
  <c r="W50" i="1"/>
  <c r="S50" i="1"/>
  <c r="Q50" i="1"/>
  <c r="N50" i="1"/>
  <c r="L50" i="1"/>
  <c r="K50" i="1"/>
  <c r="AB50" i="1"/>
  <c r="I50" i="1"/>
  <c r="X49" i="1"/>
  <c r="Z49" i="1" s="1"/>
  <c r="W49" i="1"/>
  <c r="S49" i="1"/>
  <c r="Q49" i="1"/>
  <c r="N49" i="1"/>
  <c r="L49" i="1"/>
  <c r="K49" i="1"/>
  <c r="AB49" i="1"/>
  <c r="I49" i="1"/>
  <c r="X48" i="1"/>
  <c r="Z48" i="1" s="1"/>
  <c r="W48" i="1"/>
  <c r="S48" i="1"/>
  <c r="Q48" i="1"/>
  <c r="N48" i="1"/>
  <c r="L48" i="1"/>
  <c r="K48" i="1"/>
  <c r="AB48" i="1"/>
  <c r="I48" i="1"/>
  <c r="X47" i="1"/>
  <c r="Z47" i="1" s="1"/>
  <c r="W47" i="1"/>
  <c r="S47" i="1"/>
  <c r="Q47" i="1"/>
  <c r="N47" i="1"/>
  <c r="L47" i="1"/>
  <c r="K47" i="1"/>
  <c r="AB47" i="1"/>
  <c r="I47" i="1"/>
  <c r="X46" i="1"/>
  <c r="Z46" i="1" s="1"/>
  <c r="W46" i="1"/>
  <c r="S46" i="1"/>
  <c r="Q46" i="1"/>
  <c r="N46" i="1"/>
  <c r="L46" i="1"/>
  <c r="K46" i="1"/>
  <c r="AB46" i="1"/>
  <c r="I46" i="1"/>
  <c r="X45" i="1"/>
  <c r="Z45" i="1" s="1"/>
  <c r="W45" i="1"/>
  <c r="S45" i="1"/>
  <c r="Q45" i="1"/>
  <c r="N45" i="1"/>
  <c r="L45" i="1"/>
  <c r="K45" i="1"/>
  <c r="AB45" i="1"/>
  <c r="I45" i="1"/>
  <c r="X44" i="1"/>
  <c r="Z44" i="1" s="1"/>
  <c r="W44" i="1"/>
  <c r="S44" i="1"/>
  <c r="Q44" i="1"/>
  <c r="N44" i="1"/>
  <c r="L44" i="1"/>
  <c r="K44" i="1"/>
  <c r="AB44" i="1"/>
  <c r="I44" i="1"/>
  <c r="X43" i="1"/>
  <c r="Z43" i="1" s="1"/>
  <c r="W43" i="1"/>
  <c r="S43" i="1"/>
  <c r="Q43" i="1"/>
  <c r="N43" i="1"/>
  <c r="L43" i="1"/>
  <c r="K43" i="1"/>
  <c r="AB43" i="1"/>
  <c r="I43" i="1"/>
  <c r="X42" i="1"/>
  <c r="Z42" i="1" s="1"/>
  <c r="W42" i="1"/>
  <c r="S42" i="1"/>
  <c r="Q42" i="1"/>
  <c r="N42" i="1"/>
  <c r="L42" i="1"/>
  <c r="K42" i="1"/>
  <c r="AB42" i="1"/>
  <c r="I42" i="1"/>
  <c r="X41" i="1"/>
  <c r="Z41" i="1" s="1"/>
  <c r="W41" i="1"/>
  <c r="S41" i="1"/>
  <c r="Q41" i="1"/>
  <c r="N41" i="1"/>
  <c r="L41" i="1"/>
  <c r="K41" i="1"/>
  <c r="AB41" i="1"/>
  <c r="I41" i="1"/>
  <c r="X40" i="1"/>
  <c r="Z40" i="1" s="1"/>
  <c r="W40" i="1"/>
  <c r="S40" i="1"/>
  <c r="Q40" i="1"/>
  <c r="N40" i="1"/>
  <c r="L40" i="1"/>
  <c r="K40" i="1"/>
  <c r="AB40" i="1"/>
  <c r="I40" i="1"/>
  <c r="X39" i="1"/>
  <c r="Z39" i="1" s="1"/>
  <c r="W39" i="1"/>
  <c r="S39" i="1"/>
  <c r="Q39" i="1"/>
  <c r="N39" i="1"/>
  <c r="L39" i="1"/>
  <c r="K39" i="1"/>
  <c r="AB39" i="1"/>
  <c r="I39" i="1"/>
  <c r="X38" i="1"/>
  <c r="Z38" i="1" s="1"/>
  <c r="W38" i="1"/>
  <c r="S38" i="1"/>
  <c r="Q38" i="1"/>
  <c r="N38" i="1"/>
  <c r="L38" i="1"/>
  <c r="K38" i="1"/>
  <c r="AB38" i="1"/>
  <c r="I38" i="1"/>
  <c r="X37" i="1"/>
  <c r="Z37" i="1" s="1"/>
  <c r="W37" i="1"/>
  <c r="S37" i="1"/>
  <c r="Q37" i="1"/>
  <c r="N37" i="1"/>
  <c r="L37" i="1"/>
  <c r="K37" i="1"/>
  <c r="AB37" i="1"/>
  <c r="I37" i="1"/>
  <c r="X36" i="1"/>
  <c r="Z36" i="1" s="1"/>
  <c r="W36" i="1"/>
  <c r="S36" i="1"/>
  <c r="Q36" i="1"/>
  <c r="N36" i="1"/>
  <c r="L36" i="1"/>
  <c r="K36" i="1"/>
  <c r="AB36" i="1"/>
  <c r="I36" i="1"/>
  <c r="X35" i="1"/>
  <c r="Z35" i="1" s="1"/>
  <c r="W35" i="1"/>
  <c r="S35" i="1"/>
  <c r="Q35" i="1"/>
  <c r="N35" i="1"/>
  <c r="L35" i="1"/>
  <c r="K35" i="1"/>
  <c r="AB35" i="1"/>
  <c r="I35" i="1"/>
  <c r="X34" i="1"/>
  <c r="Z34" i="1" s="1"/>
  <c r="W34" i="1"/>
  <c r="S34" i="1"/>
  <c r="Q34" i="1"/>
  <c r="N34" i="1"/>
  <c r="L34" i="1"/>
  <c r="K34" i="1"/>
  <c r="AB34" i="1"/>
  <c r="I34" i="1"/>
  <c r="X33" i="1"/>
  <c r="Z33" i="1" s="1"/>
  <c r="W33" i="1"/>
  <c r="S33" i="1"/>
  <c r="Q33" i="1"/>
  <c r="N33" i="1"/>
  <c r="L33" i="1"/>
  <c r="K33" i="1"/>
  <c r="AB33" i="1"/>
  <c r="I33" i="1"/>
  <c r="X32" i="1"/>
  <c r="Z32" i="1" s="1"/>
  <c r="W32" i="1"/>
  <c r="S32" i="1"/>
  <c r="Q32" i="1"/>
  <c r="N32" i="1"/>
  <c r="L32" i="1"/>
  <c r="K32" i="1"/>
  <c r="AB32" i="1"/>
  <c r="I32" i="1"/>
  <c r="X31" i="1"/>
  <c r="Z31" i="1" s="1"/>
  <c r="W31" i="1"/>
  <c r="S31" i="1"/>
  <c r="Q31" i="1"/>
  <c r="N31" i="1"/>
  <c r="L31" i="1"/>
  <c r="K31" i="1"/>
  <c r="AB31" i="1"/>
  <c r="I31" i="1"/>
  <c r="X30" i="1"/>
  <c r="Z30" i="1" s="1"/>
  <c r="W30" i="1"/>
  <c r="S30" i="1"/>
  <c r="Q30" i="1"/>
  <c r="N30" i="1"/>
  <c r="L30" i="1"/>
  <c r="K30" i="1"/>
  <c r="AB30" i="1"/>
  <c r="I30" i="1"/>
  <c r="X29" i="1"/>
  <c r="Z29" i="1" s="1"/>
  <c r="W29" i="1"/>
  <c r="S29" i="1"/>
  <c r="Q29" i="1"/>
  <c r="N29" i="1"/>
  <c r="L29" i="1"/>
  <c r="K29" i="1"/>
  <c r="AB29" i="1"/>
  <c r="I29" i="1"/>
  <c r="X28" i="1"/>
  <c r="Z28" i="1" s="1"/>
  <c r="W28" i="1"/>
  <c r="S28" i="1"/>
  <c r="Q28" i="1"/>
  <c r="N28" i="1"/>
  <c r="L28" i="1"/>
  <c r="K28" i="1"/>
  <c r="AB28" i="1"/>
  <c r="I28" i="1"/>
  <c r="X27" i="1"/>
  <c r="Z27" i="1" s="1"/>
  <c r="W27" i="1"/>
  <c r="S27" i="1"/>
  <c r="Q27" i="1"/>
  <c r="N27" i="1"/>
  <c r="L27" i="1"/>
  <c r="K27" i="1"/>
  <c r="AB27" i="1"/>
  <c r="I27" i="1"/>
  <c r="X26" i="1"/>
  <c r="Z26" i="1" s="1"/>
  <c r="W26" i="1"/>
  <c r="S26" i="1"/>
  <c r="Q26" i="1"/>
  <c r="N26" i="1"/>
  <c r="L26" i="1"/>
  <c r="K26" i="1"/>
  <c r="AB26" i="1"/>
  <c r="I26" i="1"/>
  <c r="X25" i="1"/>
  <c r="Z25" i="1" s="1"/>
  <c r="W25" i="1"/>
  <c r="S25" i="1"/>
  <c r="Q25" i="1"/>
  <c r="N25" i="1"/>
  <c r="L25" i="1"/>
  <c r="K25" i="1"/>
  <c r="AB25" i="1"/>
  <c r="I25" i="1"/>
  <c r="X24" i="1"/>
  <c r="Z24" i="1" s="1"/>
  <c r="W24" i="1"/>
  <c r="S24" i="1"/>
  <c r="Q24" i="1"/>
  <c r="N24" i="1"/>
  <c r="L24" i="1"/>
  <c r="K24" i="1"/>
  <c r="AB24" i="1"/>
  <c r="I24" i="1"/>
  <c r="X23" i="1"/>
  <c r="Z23" i="1" s="1"/>
  <c r="W23" i="1"/>
  <c r="S23" i="1"/>
  <c r="Q23" i="1"/>
  <c r="N23" i="1"/>
  <c r="L23" i="1"/>
  <c r="K23" i="1"/>
  <c r="AB23" i="1"/>
  <c r="I23" i="1"/>
  <c r="X22" i="1"/>
  <c r="Z22" i="1" s="1"/>
  <c r="W22" i="1"/>
  <c r="S22" i="1"/>
  <c r="Q22" i="1"/>
  <c r="N22" i="1"/>
  <c r="L22" i="1"/>
  <c r="K22" i="1"/>
  <c r="AB22" i="1"/>
  <c r="I22" i="1"/>
  <c r="X21" i="1"/>
  <c r="Z21" i="1" s="1"/>
  <c r="W21" i="1"/>
  <c r="S21" i="1"/>
  <c r="Q21" i="1"/>
  <c r="N21" i="1"/>
  <c r="L21" i="1"/>
  <c r="K21" i="1"/>
  <c r="AB21" i="1"/>
  <c r="I21" i="1"/>
  <c r="X20" i="1"/>
  <c r="Z20" i="1" s="1"/>
  <c r="W20" i="1"/>
  <c r="S20" i="1"/>
  <c r="Q20" i="1"/>
  <c r="N20" i="1"/>
  <c r="L20" i="1"/>
  <c r="K20" i="1"/>
  <c r="AB20" i="1"/>
  <c r="I20" i="1"/>
  <c r="X19" i="1"/>
  <c r="Z19" i="1" s="1"/>
  <c r="W19" i="1"/>
  <c r="S19" i="1"/>
  <c r="Q19" i="1"/>
  <c r="N19" i="1"/>
  <c r="L19" i="1"/>
  <c r="K19" i="1"/>
  <c r="AB19" i="1"/>
  <c r="I19" i="1"/>
  <c r="X18" i="1"/>
  <c r="Z18" i="1" s="1"/>
  <c r="W18" i="1"/>
  <c r="S18" i="1"/>
  <c r="Q18" i="1"/>
  <c r="N18" i="1"/>
  <c r="L18" i="1"/>
  <c r="K18" i="1"/>
  <c r="AB18" i="1"/>
  <c r="I18" i="1"/>
  <c r="X17" i="1"/>
  <c r="Z17" i="1" s="1"/>
  <c r="W17" i="1"/>
  <c r="S17" i="1"/>
  <c r="Q17" i="1"/>
  <c r="N17" i="1"/>
  <c r="L17" i="1"/>
  <c r="K17" i="1"/>
  <c r="AB17" i="1"/>
  <c r="I17" i="1"/>
  <c r="X16" i="1"/>
  <c r="Z16" i="1" s="1"/>
  <c r="W16" i="1"/>
  <c r="S16" i="1"/>
  <c r="Q16" i="1"/>
  <c r="N16" i="1"/>
  <c r="L16" i="1"/>
  <c r="K16" i="1"/>
  <c r="AB16" i="1"/>
  <c r="I16" i="1"/>
  <c r="X15" i="1"/>
  <c r="Z15" i="1" s="1"/>
  <c r="W15" i="1"/>
  <c r="S15" i="1"/>
  <c r="Q15" i="1"/>
  <c r="N15" i="1"/>
  <c r="L15" i="1"/>
  <c r="K15" i="1"/>
  <c r="AB15" i="1"/>
  <c r="I15" i="1"/>
  <c r="X14" i="1"/>
  <c r="Z14" i="1" s="1"/>
  <c r="W14" i="1"/>
  <c r="S14" i="1"/>
  <c r="Q14" i="1"/>
  <c r="N14" i="1"/>
  <c r="L14" i="1"/>
  <c r="K14" i="1"/>
  <c r="AB14" i="1"/>
  <c r="I14" i="1"/>
  <c r="X13" i="1"/>
  <c r="Z13" i="1" s="1"/>
  <c r="W13" i="1"/>
  <c r="S13" i="1"/>
  <c r="Q13" i="1"/>
  <c r="N13" i="1"/>
  <c r="L13" i="1"/>
  <c r="K13" i="1"/>
  <c r="AB13" i="1"/>
  <c r="I13" i="1"/>
  <c r="X12" i="1"/>
  <c r="Z12" i="1" s="1"/>
  <c r="W12" i="1"/>
  <c r="S12" i="1"/>
  <c r="Q12" i="1"/>
  <c r="N12" i="1"/>
  <c r="L12" i="1"/>
  <c r="K12" i="1"/>
  <c r="AB12" i="1"/>
  <c r="I12" i="1"/>
  <c r="X11" i="1"/>
  <c r="Z11" i="1" s="1"/>
  <c r="W11" i="1"/>
  <c r="S11" i="1"/>
  <c r="Q11" i="1"/>
  <c r="N11" i="1"/>
  <c r="L11" i="1"/>
  <c r="K11" i="1"/>
  <c r="AB11" i="1"/>
  <c r="AC2546" i="1" l="1"/>
  <c r="M2690" i="1"/>
  <c r="R2690" i="1" s="1"/>
  <c r="M317" i="1"/>
  <c r="R317" i="1" s="1"/>
  <c r="M341" i="1"/>
  <c r="R341" i="1" s="1"/>
  <c r="M191" i="1"/>
  <c r="R191" i="1" s="1"/>
  <c r="M219" i="1"/>
  <c r="R219" i="1" s="1"/>
  <c r="M267" i="1"/>
  <c r="R267" i="1" s="1"/>
  <c r="M955" i="1"/>
  <c r="R955" i="1" s="1"/>
  <c r="M1035" i="1"/>
  <c r="R1035" i="1" s="1"/>
  <c r="M1055" i="1"/>
  <c r="R1055" i="1" s="1"/>
  <c r="M1127" i="1"/>
  <c r="R1127" i="1" s="1"/>
  <c r="M1471" i="1"/>
  <c r="R1471" i="1" s="1"/>
  <c r="M1487" i="1"/>
  <c r="R1487" i="1" s="1"/>
  <c r="Y337" i="1"/>
  <c r="Y77" i="1"/>
  <c r="AC2785" i="1"/>
  <c r="AC2793" i="1"/>
  <c r="AC2801" i="1"/>
  <c r="AC2805" i="1"/>
  <c r="AC2809" i="1"/>
  <c r="AC2813" i="1"/>
  <c r="AC2817" i="1"/>
  <c r="AC2825" i="1"/>
  <c r="Y2830" i="1"/>
  <c r="AC2833" i="1"/>
  <c r="AC2881" i="1"/>
  <c r="AC2889" i="1"/>
  <c r="AC2897" i="1"/>
  <c r="AC2905" i="1"/>
  <c r="AC2913" i="1"/>
  <c r="AC2921" i="1"/>
  <c r="AC2929" i="1"/>
  <c r="AC2933" i="1"/>
  <c r="AC2937" i="1"/>
  <c r="AC2945" i="1"/>
  <c r="AC2949" i="1"/>
  <c r="AC2953" i="1"/>
  <c r="M2158" i="1"/>
  <c r="R2158" i="1" s="1"/>
  <c r="M2178" i="1"/>
  <c r="R2178" i="1" s="1"/>
  <c r="M2206" i="1"/>
  <c r="R2206" i="1" s="1"/>
  <c r="M2214" i="1"/>
  <c r="R2214" i="1" s="1"/>
  <c r="M2538" i="1"/>
  <c r="R2538" i="1" s="1"/>
  <c r="M2582" i="1"/>
  <c r="R2582" i="1" s="1"/>
  <c r="M2590" i="1"/>
  <c r="R2590" i="1" s="1"/>
  <c r="M303" i="1"/>
  <c r="R303" i="1" s="1"/>
  <c r="AC2005" i="1"/>
  <c r="AC2013" i="1"/>
  <c r="AC2021" i="1"/>
  <c r="AC2029" i="1"/>
  <c r="AC2037" i="1"/>
  <c r="AC2185" i="1"/>
  <c r="AC2193" i="1"/>
  <c r="AC2201" i="1"/>
  <c r="AC2209" i="1"/>
  <c r="AC2217" i="1"/>
  <c r="Y380" i="1"/>
  <c r="Y1130" i="1"/>
  <c r="Y2486" i="1"/>
  <c r="Y360" i="1"/>
  <c r="Y384" i="1"/>
  <c r="Y392" i="1"/>
  <c r="Y404" i="1"/>
  <c r="Y412" i="1"/>
  <c r="Y420" i="1"/>
  <c r="Y432" i="1"/>
  <c r="Y934" i="1"/>
  <c r="Y942" i="1"/>
  <c r="Y946" i="1"/>
  <c r="Y950" i="1"/>
  <c r="Y1134" i="1"/>
  <c r="Y1142" i="1"/>
  <c r="Y1146" i="1"/>
  <c r="Y1150" i="1"/>
  <c r="Y1158" i="1"/>
  <c r="Y1286" i="1"/>
  <c r="Y1298" i="1"/>
  <c r="Y1302" i="1"/>
  <c r="Y1310" i="1"/>
  <c r="Y1326" i="1"/>
  <c r="Y1334" i="1"/>
  <c r="Y1386" i="1"/>
  <c r="Y1394" i="1"/>
  <c r="Y1398" i="1"/>
  <c r="Y1402" i="1"/>
  <c r="Y1406" i="1"/>
  <c r="Y1442" i="1"/>
  <c r="Y1446" i="1"/>
  <c r="Y1454" i="1"/>
  <c r="Y1486" i="1"/>
  <c r="Y1490" i="1"/>
  <c r="Y1502" i="1"/>
  <c r="Y1510" i="1"/>
  <c r="Y1514" i="1"/>
  <c r="Y1518" i="1"/>
  <c r="Y1526" i="1"/>
  <c r="Y1570" i="1"/>
  <c r="Y1606" i="1"/>
  <c r="Y1610" i="1"/>
  <c r="Y1614" i="1"/>
  <c r="Y1686" i="1"/>
  <c r="Y1690" i="1"/>
  <c r="Y1710" i="1"/>
  <c r="Y1726" i="1"/>
  <c r="Y1738" i="1"/>
  <c r="Y1786" i="1"/>
  <c r="Y1802" i="1"/>
  <c r="Y1810" i="1"/>
  <c r="Y1818" i="1"/>
  <c r="Y1826" i="1"/>
  <c r="Y436" i="1"/>
  <c r="Y2376" i="1"/>
  <c r="Y2380" i="1"/>
  <c r="Y2384" i="1"/>
  <c r="Y2388" i="1"/>
  <c r="Y2396" i="1"/>
  <c r="Y2412" i="1"/>
  <c r="Y2416" i="1"/>
  <c r="Y2428" i="1"/>
  <c r="Y2432" i="1"/>
  <c r="Y2436" i="1"/>
  <c r="Y2440" i="1"/>
  <c r="Y2448" i="1"/>
  <c r="Y2460" i="1"/>
  <c r="Y2464" i="1"/>
  <c r="Y2472" i="1"/>
  <c r="Y2476" i="1"/>
  <c r="Y1578" i="1"/>
  <c r="Y1582" i="1"/>
  <c r="Y1618" i="1"/>
  <c r="Y1630" i="1"/>
  <c r="Y1638" i="1"/>
  <c r="Y1702" i="1"/>
  <c r="Y1714" i="1"/>
  <c r="Y1746" i="1"/>
  <c r="Y1762" i="1"/>
  <c r="Y1834" i="1"/>
  <c r="Y1842" i="1"/>
  <c r="Y1850" i="1"/>
  <c r="Y1858" i="1"/>
  <c r="Y1870" i="1"/>
  <c r="Y2490" i="1"/>
  <c r="Y15" i="1"/>
  <c r="Y19" i="1"/>
  <c r="Y23" i="1"/>
  <c r="Y27" i="1"/>
  <c r="Y31" i="1"/>
  <c r="Y35" i="1"/>
  <c r="Y39" i="1"/>
  <c r="Y47" i="1"/>
  <c r="Y51" i="1"/>
  <c r="Y55" i="1"/>
  <c r="Y59" i="1"/>
  <c r="Y63" i="1"/>
  <c r="Y67" i="1"/>
  <c r="Y71" i="1"/>
  <c r="Y79" i="1"/>
  <c r="Y87" i="1"/>
  <c r="Y91" i="1"/>
  <c r="Y99" i="1"/>
  <c r="Y107" i="1"/>
  <c r="Y115" i="1"/>
  <c r="Y135" i="1"/>
  <c r="Y147" i="1"/>
  <c r="Y155" i="1"/>
  <c r="Y163" i="1"/>
  <c r="Y171" i="1"/>
  <c r="Y183" i="1"/>
  <c r="Y195" i="1"/>
  <c r="Y203" i="1"/>
  <c r="Y207" i="1"/>
  <c r="Y215" i="1"/>
  <c r="Y235" i="1"/>
  <c r="Y243" i="1"/>
  <c r="Y247" i="1"/>
  <c r="Y251" i="1"/>
  <c r="Y255" i="1"/>
  <c r="Y259" i="1"/>
  <c r="Y271" i="1"/>
  <c r="Y275" i="1"/>
  <c r="Y279" i="1"/>
  <c r="Y295" i="1"/>
  <c r="Y299" i="1"/>
  <c r="Y303" i="1"/>
  <c r="Y307" i="1"/>
  <c r="Y311" i="1"/>
  <c r="Y319" i="1"/>
  <c r="Y323" i="1"/>
  <c r="Y339" i="1"/>
  <c r="Y351" i="1"/>
  <c r="Y355" i="1"/>
  <c r="Y359" i="1"/>
  <c r="Y495" i="1"/>
  <c r="Y511" i="1"/>
  <c r="Y515" i="1"/>
  <c r="Y519" i="1"/>
  <c r="Y523" i="1"/>
  <c r="Y531" i="1"/>
  <c r="Y535" i="1"/>
  <c r="Y539" i="1"/>
  <c r="Y543" i="1"/>
  <c r="Y551" i="1"/>
  <c r="Y559" i="1"/>
  <c r="Y571" i="1"/>
  <c r="Y579" i="1"/>
  <c r="Y583" i="1"/>
  <c r="Y587" i="1"/>
  <c r="Y591" i="1"/>
  <c r="Y595" i="1"/>
  <c r="Y599" i="1"/>
  <c r="Y611" i="1"/>
  <c r="Y615" i="1"/>
  <c r="Y623" i="1"/>
  <c r="Y627" i="1"/>
  <c r="Y631" i="1"/>
  <c r="Y635" i="1"/>
  <c r="Y647" i="1"/>
  <c r="Y659" i="1"/>
  <c r="Y671" i="1"/>
  <c r="Y675" i="1"/>
  <c r="Y679" i="1"/>
  <c r="Y687" i="1"/>
  <c r="Y1179" i="1"/>
  <c r="M1882" i="1"/>
  <c r="R1882" i="1" s="1"/>
  <c r="M1926" i="1"/>
  <c r="R1926" i="1" s="1"/>
  <c r="M1934" i="1"/>
  <c r="R1934" i="1" s="1"/>
  <c r="M1942" i="1"/>
  <c r="R1942" i="1" s="1"/>
  <c r="M1966" i="1"/>
  <c r="R1966" i="1" s="1"/>
  <c r="M2022" i="1"/>
  <c r="R2022" i="1" s="1"/>
  <c r="M2054" i="1"/>
  <c r="R2054" i="1" s="1"/>
  <c r="M2086" i="1"/>
  <c r="R2086" i="1" s="1"/>
  <c r="M2118" i="1"/>
  <c r="R2118" i="1" s="1"/>
  <c r="Y2026" i="1"/>
  <c r="Y2054" i="1"/>
  <c r="Y700" i="1"/>
  <c r="M702" i="1"/>
  <c r="R702" i="1" s="1"/>
  <c r="AC747" i="1"/>
  <c r="AC751" i="1"/>
  <c r="AC755" i="1"/>
  <c r="AC759" i="1"/>
  <c r="AC763" i="1"/>
  <c r="AC771" i="1"/>
  <c r="AC775" i="1"/>
  <c r="AC779" i="1"/>
  <c r="AC787" i="1"/>
  <c r="AC795" i="1"/>
  <c r="AC803" i="1"/>
  <c r="AC811" i="1"/>
  <c r="AC819" i="1"/>
  <c r="AC827" i="1"/>
  <c r="AC831" i="1"/>
  <c r="AC835" i="1"/>
  <c r="AC843" i="1"/>
  <c r="AC847" i="1"/>
  <c r="AC851" i="1"/>
  <c r="AC859" i="1"/>
  <c r="AC867" i="1"/>
  <c r="AC875" i="1"/>
  <c r="AC883" i="1"/>
  <c r="AC887" i="1"/>
  <c r="AC891" i="1"/>
  <c r="AC895" i="1"/>
  <c r="M918" i="1"/>
  <c r="R918" i="1" s="1"/>
  <c r="M922" i="1"/>
  <c r="R922" i="1" s="1"/>
  <c r="M930" i="1"/>
  <c r="R930" i="1" s="1"/>
  <c r="M958" i="1"/>
  <c r="R958" i="1" s="1"/>
  <c r="AC983" i="1"/>
  <c r="M986" i="1"/>
  <c r="R986" i="1" s="1"/>
  <c r="AC987" i="1"/>
  <c r="AC991" i="1"/>
  <c r="AC995" i="1"/>
  <c r="AC1003" i="1"/>
  <c r="AC1007" i="1"/>
  <c r="M1010" i="1"/>
  <c r="R1010" i="1" s="1"/>
  <c r="AC1011" i="1"/>
  <c r="AC1015" i="1"/>
  <c r="AC1019" i="1"/>
  <c r="AC1027" i="1"/>
  <c r="AC1035" i="1"/>
  <c r="AC1043" i="1"/>
  <c r="AC1051" i="1"/>
  <c r="AC1059" i="1"/>
  <c r="AC1067" i="1"/>
  <c r="AC1075" i="1"/>
  <c r="AC1171" i="1"/>
  <c r="AC1175" i="1"/>
  <c r="AC1179" i="1"/>
  <c r="AC1183" i="1"/>
  <c r="AC1187" i="1"/>
  <c r="AC1191" i="1"/>
  <c r="AC1195" i="1"/>
  <c r="AC1199" i="1"/>
  <c r="AC1203" i="1"/>
  <c r="AC1207" i="1"/>
  <c r="AC1211" i="1"/>
  <c r="AC1215" i="1"/>
  <c r="AC1219" i="1"/>
  <c r="AC1223" i="1"/>
  <c r="AC1227" i="1"/>
  <c r="AC1231" i="1"/>
  <c r="AC1235" i="1"/>
  <c r="AC1239" i="1"/>
  <c r="AC1243" i="1"/>
  <c r="AC1247" i="1"/>
  <c r="AC1251" i="1"/>
  <c r="AC1255" i="1"/>
  <c r="AC1259" i="1"/>
  <c r="AC1263" i="1"/>
  <c r="AC1267" i="1"/>
  <c r="AC1271" i="1"/>
  <c r="AC1275" i="1"/>
  <c r="AC1279" i="1"/>
  <c r="Y1876" i="1"/>
  <c r="M2546" i="1"/>
  <c r="R2546" i="1" s="1"/>
  <c r="Y374" i="1"/>
  <c r="Y386" i="1"/>
  <c r="Y390" i="1"/>
  <c r="Y394" i="1"/>
  <c r="Y398" i="1"/>
  <c r="Y406" i="1"/>
  <c r="Y410" i="1"/>
  <c r="Y422" i="1"/>
  <c r="Y438" i="1"/>
  <c r="Y454" i="1"/>
  <c r="Y478" i="1"/>
  <c r="Y482" i="1"/>
  <c r="Y486" i="1"/>
  <c r="Y705" i="1"/>
  <c r="Y709" i="1"/>
  <c r="Y713" i="1"/>
  <c r="Y725" i="1"/>
  <c r="Y741" i="1"/>
  <c r="Y749" i="1"/>
  <c r="Y761" i="1"/>
  <c r="Y769" i="1"/>
  <c r="Y773" i="1"/>
  <c r="Y777" i="1"/>
  <c r="Y781" i="1"/>
  <c r="Y785" i="1"/>
  <c r="Y789" i="1"/>
  <c r="Y793" i="1"/>
  <c r="Y801" i="1"/>
  <c r="Y809" i="1"/>
  <c r="Y813" i="1"/>
  <c r="Y821" i="1"/>
  <c r="Y825" i="1"/>
  <c r="Y833" i="1"/>
  <c r="Y837" i="1"/>
  <c r="Y841" i="1"/>
  <c r="Y853" i="1"/>
  <c r="Y889" i="1"/>
  <c r="Y909" i="1"/>
  <c r="Y913" i="1"/>
  <c r="Y925" i="1"/>
  <c r="Y929" i="1"/>
  <c r="Y933" i="1"/>
  <c r="Y937" i="1"/>
  <c r="Y953" i="1"/>
  <c r="Y969" i="1"/>
  <c r="Y977" i="1"/>
  <c r="Y981" i="1"/>
  <c r="Y1025" i="1"/>
  <c r="Y1029" i="1"/>
  <c r="Y1033" i="1"/>
  <c r="Y1037" i="1"/>
  <c r="Y1053" i="1"/>
  <c r="Y1061" i="1"/>
  <c r="Y1165" i="1"/>
  <c r="Y1169" i="1"/>
  <c r="Y1173" i="1"/>
  <c r="Y1177" i="1"/>
  <c r="Y1181" i="1"/>
  <c r="Y1189" i="1"/>
  <c r="Y1193" i="1"/>
  <c r="Y1201" i="1"/>
  <c r="Y1205" i="1"/>
  <c r="Y1209" i="1"/>
  <c r="Y1213" i="1"/>
  <c r="Y1265" i="1"/>
  <c r="Y1269" i="1"/>
  <c r="Y1281" i="1"/>
  <c r="Y1345" i="1"/>
  <c r="Y2313" i="1"/>
  <c r="Y2593" i="1"/>
  <c r="Y2601" i="1"/>
  <c r="Y2609" i="1"/>
  <c r="Y3005" i="1"/>
  <c r="Y444" i="1"/>
  <c r="Y448" i="1"/>
  <c r="Y452" i="1"/>
  <c r="Y460" i="1"/>
  <c r="Y464" i="1"/>
  <c r="Y472" i="1"/>
  <c r="Y703" i="1"/>
  <c r="Y711" i="1"/>
  <c r="Y727" i="1"/>
  <c r="Y731" i="1"/>
  <c r="Y739" i="1"/>
  <c r="Y755" i="1"/>
  <c r="Y759" i="1"/>
  <c r="Y763" i="1"/>
  <c r="Y767" i="1"/>
  <c r="Y779" i="1"/>
  <c r="Y787" i="1"/>
  <c r="Y791" i="1"/>
  <c r="Y799" i="1"/>
  <c r="Y803" i="1"/>
  <c r="Y25" i="1"/>
  <c r="Y29" i="1"/>
  <c r="Y33" i="1"/>
  <c r="Y37" i="1"/>
  <c r="Y53" i="1"/>
  <c r="Y57" i="1"/>
  <c r="Y69" i="1"/>
  <c r="Y105" i="1"/>
  <c r="Y113" i="1"/>
  <c r="Y117" i="1"/>
  <c r="AD117" i="1" s="1"/>
  <c r="Y125" i="1"/>
  <c r="Y137" i="1"/>
  <c r="Y141" i="1"/>
  <c r="Y153" i="1"/>
  <c r="Y157" i="1"/>
  <c r="Y161" i="1"/>
  <c r="Y165" i="1"/>
  <c r="Y173" i="1"/>
  <c r="Y177" i="1"/>
  <c r="Y189" i="1"/>
  <c r="Y201" i="1"/>
  <c r="Y205" i="1"/>
  <c r="Y233" i="1"/>
  <c r="Y237" i="1"/>
  <c r="Y241" i="1"/>
  <c r="Y245" i="1"/>
  <c r="Y249" i="1"/>
  <c r="Y253" i="1"/>
  <c r="Y257" i="1"/>
  <c r="Y261" i="1"/>
  <c r="Y273" i="1"/>
  <c r="Y289" i="1"/>
  <c r="Y691" i="1"/>
  <c r="Y2484" i="1"/>
  <c r="Y2488" i="1"/>
  <c r="Y2492" i="1"/>
  <c r="Y2500" i="1"/>
  <c r="Y1357" i="1"/>
  <c r="Y1361" i="1"/>
  <c r="Y1389" i="1"/>
  <c r="Y1409" i="1"/>
  <c r="Y1417" i="1"/>
  <c r="Y1465" i="1"/>
  <c r="Y1473" i="1"/>
  <c r="Y1533" i="1"/>
  <c r="Y1545" i="1"/>
  <c r="Y1557" i="1"/>
  <c r="Y1573" i="1"/>
  <c r="Y1585" i="1"/>
  <c r="Y1597" i="1"/>
  <c r="Y1657" i="1"/>
  <c r="Y1665" i="1"/>
  <c r="Y1673" i="1"/>
  <c r="Y1693" i="1"/>
  <c r="Y1717" i="1"/>
  <c r="Y1753" i="1"/>
  <c r="Y1757" i="1"/>
  <c r="Y1877" i="1"/>
  <c r="Y1889" i="1"/>
  <c r="Y1893" i="1"/>
  <c r="Y1905" i="1"/>
  <c r="Y1929" i="1"/>
  <c r="Y1965" i="1"/>
  <c r="Y1973" i="1"/>
  <c r="Y1977" i="1"/>
  <c r="Y1981" i="1"/>
  <c r="Y1985" i="1"/>
  <c r="Y1989" i="1"/>
  <c r="Y1993" i="1"/>
  <c r="Y2001" i="1"/>
  <c r="Y2005" i="1"/>
  <c r="Y2013" i="1"/>
  <c r="Y2017" i="1"/>
  <c r="Y2021" i="1"/>
  <c r="Y2025" i="1"/>
  <c r="Y2033" i="1"/>
  <c r="Y2037" i="1"/>
  <c r="Y2041" i="1"/>
  <c r="Y2045" i="1"/>
  <c r="Y2049" i="1"/>
  <c r="Y2053" i="1"/>
  <c r="Y2057" i="1"/>
  <c r="Y2065" i="1"/>
  <c r="Y2069" i="1"/>
  <c r="Y2077" i="1"/>
  <c r="Y2085" i="1"/>
  <c r="Y2097" i="1"/>
  <c r="Y2101" i="1"/>
  <c r="Y2105" i="1"/>
  <c r="Y2109" i="1"/>
  <c r="Y2117" i="1"/>
  <c r="Y2121" i="1"/>
  <c r="Y2133" i="1"/>
  <c r="Y2137" i="1"/>
  <c r="Y2149" i="1"/>
  <c r="Y2153" i="1"/>
  <c r="Y2157" i="1"/>
  <c r="Y2165" i="1"/>
  <c r="Y2169" i="1"/>
  <c r="Y2173" i="1"/>
  <c r="Y2181" i="1"/>
  <c r="Y2185" i="1"/>
  <c r="Y2189" i="1"/>
  <c r="Y2201" i="1"/>
  <c r="Y2205" i="1"/>
  <c r="Y2209" i="1"/>
  <c r="Y2217" i="1"/>
  <c r="Y2221" i="1"/>
  <c r="Y2241" i="1"/>
  <c r="Y2245" i="1"/>
  <c r="Y2249" i="1"/>
  <c r="Y2253" i="1"/>
  <c r="Y2257" i="1"/>
  <c r="Y2261" i="1"/>
  <c r="Y2285" i="1"/>
  <c r="Y2289" i="1"/>
  <c r="Y2293" i="1"/>
  <c r="Y2297" i="1"/>
  <c r="Y2337" i="1"/>
  <c r="Y2345" i="1"/>
  <c r="Y2357" i="1"/>
  <c r="Y2369" i="1"/>
  <c r="Y807" i="1"/>
  <c r="Y811" i="1"/>
  <c r="Y815" i="1"/>
  <c r="Y819" i="1"/>
  <c r="Y823" i="1"/>
  <c r="Y827" i="1"/>
  <c r="Y831" i="1"/>
  <c r="Y835" i="1"/>
  <c r="AG835" i="1" s="1"/>
  <c r="Y843" i="1"/>
  <c r="Y847" i="1"/>
  <c r="Y851" i="1"/>
  <c r="Y855" i="1"/>
  <c r="AG855" i="1" s="1"/>
  <c r="Y867" i="1"/>
  <c r="Y871" i="1"/>
  <c r="Y875" i="1"/>
  <c r="Y879" i="1"/>
  <c r="AG879" i="1" s="1"/>
  <c r="Y883" i="1"/>
  <c r="Y887" i="1"/>
  <c r="Y891" i="1"/>
  <c r="Y907" i="1"/>
  <c r="Y911" i="1"/>
  <c r="Y919" i="1"/>
  <c r="Y923" i="1"/>
  <c r="Y955" i="1"/>
  <c r="AG955" i="1" s="1"/>
  <c r="Y959" i="1"/>
  <c r="Y963" i="1"/>
  <c r="Y967" i="1"/>
  <c r="Y975" i="1"/>
  <c r="Y979" i="1"/>
  <c r="Y987" i="1"/>
  <c r="Y991" i="1"/>
  <c r="Y995" i="1"/>
  <c r="Y999" i="1"/>
  <c r="Y1003" i="1"/>
  <c r="Y1183" i="1"/>
  <c r="Y1187" i="1"/>
  <c r="Y1195" i="1"/>
  <c r="Y1199" i="1"/>
  <c r="Y1203" i="1"/>
  <c r="Y1207" i="1"/>
  <c r="Y1211" i="1"/>
  <c r="Y1215" i="1"/>
  <c r="Y1219" i="1"/>
  <c r="Y1223" i="1"/>
  <c r="Y1243" i="1"/>
  <c r="Y1247" i="1"/>
  <c r="Y1255" i="1"/>
  <c r="Y1259" i="1"/>
  <c r="Y1263" i="1"/>
  <c r="Y1271" i="1"/>
  <c r="Y1275" i="1"/>
  <c r="Y1279" i="1"/>
  <c r="Y1283" i="1"/>
  <c r="Y1347" i="1"/>
  <c r="Y1355" i="1"/>
  <c r="Y1363" i="1"/>
  <c r="Y1367" i="1"/>
  <c r="Y1375" i="1"/>
  <c r="Y1379" i="1"/>
  <c r="Y1383" i="1"/>
  <c r="Y1459" i="1"/>
  <c r="Y1467" i="1"/>
  <c r="Y1491" i="1"/>
  <c r="Y1567" i="1"/>
  <c r="AG1567" i="1" s="1"/>
  <c r="Y1627" i="1"/>
  <c r="Y1635" i="1"/>
  <c r="Y1647" i="1"/>
  <c r="Y1671" i="1"/>
  <c r="AG1671" i="1" s="1"/>
  <c r="Y317" i="1"/>
  <c r="Y321" i="1"/>
  <c r="Y325" i="1"/>
  <c r="Y329" i="1"/>
  <c r="Y341" i="1"/>
  <c r="Y497" i="1"/>
  <c r="Y501" i="1"/>
  <c r="Y505" i="1"/>
  <c r="AG505" i="1" s="1"/>
  <c r="Y517" i="1"/>
  <c r="Y521" i="1"/>
  <c r="Y525" i="1"/>
  <c r="Y529" i="1"/>
  <c r="Y537" i="1"/>
  <c r="Y545" i="1"/>
  <c r="Y549" i="1"/>
  <c r="Y553" i="1"/>
  <c r="Y561" i="1"/>
  <c r="Y565" i="1"/>
  <c r="Y569" i="1"/>
  <c r="Y577" i="1"/>
  <c r="Y585" i="1"/>
  <c r="Y593" i="1"/>
  <c r="Y597" i="1"/>
  <c r="Y601" i="1"/>
  <c r="AD601" i="1" s="1"/>
  <c r="Y617" i="1"/>
  <c r="Y629" i="1"/>
  <c r="Y633" i="1"/>
  <c r="Y641" i="1"/>
  <c r="Y645" i="1"/>
  <c r="Y653" i="1"/>
  <c r="Y669" i="1"/>
  <c r="Y681" i="1"/>
  <c r="Y689" i="1"/>
  <c r="Y697" i="1"/>
  <c r="Y936" i="1"/>
  <c r="Y940" i="1"/>
  <c r="Y944" i="1"/>
  <c r="Y948" i="1"/>
  <c r="Y952" i="1"/>
  <c r="Y956" i="1"/>
  <c r="Y964" i="1"/>
  <c r="Y972" i="1"/>
  <c r="Y992" i="1"/>
  <c r="Y1016" i="1"/>
  <c r="Y1028" i="1"/>
  <c r="Y1032" i="1"/>
  <c r="Y1036" i="1"/>
  <c r="Y1040" i="1"/>
  <c r="AE1040" i="1" s="1"/>
  <c r="Y1048" i="1"/>
  <c r="Y1052" i="1"/>
  <c r="Y1056" i="1"/>
  <c r="Y1072" i="1"/>
  <c r="Y1076" i="1"/>
  <c r="Y1080" i="1"/>
  <c r="Y1084" i="1"/>
  <c r="Y1092" i="1"/>
  <c r="Y1100" i="1"/>
  <c r="Y1104" i="1"/>
  <c r="Y1108" i="1"/>
  <c r="Y1112" i="1"/>
  <c r="Y1116" i="1"/>
  <c r="Y1120" i="1"/>
  <c r="Y1124" i="1"/>
  <c r="Y1128" i="1"/>
  <c r="Y1132" i="1"/>
  <c r="Y1140" i="1"/>
  <c r="Y1144" i="1"/>
  <c r="Y1152" i="1"/>
  <c r="Y1156" i="1"/>
  <c r="Y1160" i="1"/>
  <c r="Y1164" i="1"/>
  <c r="Y1220" i="1"/>
  <c r="AF1220" i="1" s="1"/>
  <c r="Y1232" i="1"/>
  <c r="Y1240" i="1"/>
  <c r="Y1252" i="1"/>
  <c r="Y1256" i="1"/>
  <c r="Y1260" i="1"/>
  <c r="Y1268" i="1"/>
  <c r="Y1272" i="1"/>
  <c r="Y1292" i="1"/>
  <c r="Y1296" i="1"/>
  <c r="Y1316" i="1"/>
  <c r="Y1320" i="1"/>
  <c r="Y1356" i="1"/>
  <c r="AD1356" i="1" s="1"/>
  <c r="Y1364" i="1"/>
  <c r="Y1372" i="1"/>
  <c r="Y1392" i="1"/>
  <c r="Y1412" i="1"/>
  <c r="Y1420" i="1"/>
  <c r="Y1428" i="1"/>
  <c r="Y1436" i="1"/>
  <c r="Y1444" i="1"/>
  <c r="Y1448" i="1"/>
  <c r="Y1476" i="1"/>
  <c r="Y1480" i="1"/>
  <c r="Y1500" i="1"/>
  <c r="Y1504" i="1"/>
  <c r="Y1524" i="1"/>
  <c r="Y1536" i="1"/>
  <c r="Y1540" i="1"/>
  <c r="Y1548" i="1"/>
  <c r="Y1552" i="1"/>
  <c r="Y1560" i="1"/>
  <c r="Y1608" i="1"/>
  <c r="Y1620" i="1"/>
  <c r="Y1644" i="1"/>
  <c r="Y1656" i="1"/>
  <c r="Y1660" i="1"/>
  <c r="AF1660" i="1" s="1"/>
  <c r="Y1688" i="1"/>
  <c r="Y1692" i="1"/>
  <c r="Y1700" i="1"/>
  <c r="Y1704" i="1"/>
  <c r="AF1704" i="1" s="1"/>
  <c r="Y1708" i="1"/>
  <c r="Y1736" i="1"/>
  <c r="Y1740" i="1"/>
  <c r="Y1748" i="1"/>
  <c r="AF1748" i="1" s="1"/>
  <c r="Y1752" i="1"/>
  <c r="Y1764" i="1"/>
  <c r="Y1768" i="1"/>
  <c r="Y1776" i="1"/>
  <c r="AF1776" i="1" s="1"/>
  <c r="Y1788" i="1"/>
  <c r="Y1792" i="1"/>
  <c r="Y1804" i="1"/>
  <c r="Y1808" i="1"/>
  <c r="AF1808" i="1" s="1"/>
  <c r="Y1812" i="1"/>
  <c r="Y1816" i="1"/>
  <c r="Y1820" i="1"/>
  <c r="Y1824" i="1"/>
  <c r="Y1828" i="1"/>
  <c r="Y1832" i="1"/>
  <c r="Y1836" i="1"/>
  <c r="Y1840" i="1"/>
  <c r="AF1840" i="1" s="1"/>
  <c r="Y1844" i="1"/>
  <c r="Y1848" i="1"/>
  <c r="Y1852" i="1"/>
  <c r="Y1856" i="1"/>
  <c r="AF1856" i="1" s="1"/>
  <c r="Y1883" i="1"/>
  <c r="Y1887" i="1"/>
  <c r="Y1899" i="1"/>
  <c r="Y1911" i="1"/>
  <c r="AG1911" i="1" s="1"/>
  <c r="Y1919" i="1"/>
  <c r="Y1923" i="1"/>
  <c r="Y1927" i="1"/>
  <c r="Y1931" i="1"/>
  <c r="Y1935" i="1"/>
  <c r="Y1939" i="1"/>
  <c r="Y1943" i="1"/>
  <c r="Y1947" i="1"/>
  <c r="Y1951" i="1"/>
  <c r="Y1971" i="1"/>
  <c r="Y1975" i="1"/>
  <c r="Y1979" i="1"/>
  <c r="Y1983" i="1"/>
  <c r="Y1991" i="1"/>
  <c r="Y1999" i="1"/>
  <c r="Y2003" i="1"/>
  <c r="AG2003" i="1" s="1"/>
  <c r="Y2011" i="1"/>
  <c r="Y2019" i="1"/>
  <c r="Y2023" i="1"/>
  <c r="Y2027" i="1"/>
  <c r="AG2027" i="1" s="1"/>
  <c r="Y2031" i="1"/>
  <c r="Y2039" i="1"/>
  <c r="Y2047" i="1"/>
  <c r="Y2051" i="1"/>
  <c r="Y2055" i="1"/>
  <c r="Y2063" i="1"/>
  <c r="Y2067" i="1"/>
  <c r="Y2075" i="1"/>
  <c r="Y2083" i="1"/>
  <c r="Y2087" i="1"/>
  <c r="Y2442" i="1"/>
  <c r="Y2498" i="1"/>
  <c r="AG2498" i="1" s="1"/>
  <c r="Y2095" i="1"/>
  <c r="Y2099" i="1"/>
  <c r="Y2107" i="1"/>
  <c r="Y2115" i="1"/>
  <c r="Y2119" i="1"/>
  <c r="Y2183" i="1"/>
  <c r="Y2199" i="1"/>
  <c r="Y2203" i="1"/>
  <c r="Y2211" i="1"/>
  <c r="Y2219" i="1"/>
  <c r="Y2243" i="1"/>
  <c r="Y2251" i="1"/>
  <c r="Y2259" i="1"/>
  <c r="Y2267" i="1"/>
  <c r="Y2283" i="1"/>
  <c r="Y2287" i="1"/>
  <c r="AE2287" i="1" s="1"/>
  <c r="Y2291" i="1"/>
  <c r="Y2295" i="1"/>
  <c r="Y2299" i="1"/>
  <c r="Y2307" i="1"/>
  <c r="Y2319" i="1"/>
  <c r="Y2503" i="1"/>
  <c r="Y2507" i="1"/>
  <c r="Y2511" i="1"/>
  <c r="Y2515" i="1"/>
  <c r="Y2519" i="1"/>
  <c r="Y2527" i="1"/>
  <c r="Y2535" i="1"/>
  <c r="Y2539" i="1"/>
  <c r="Y2543" i="1"/>
  <c r="Y2551" i="1"/>
  <c r="Y2563" i="1"/>
  <c r="Y2579" i="1"/>
  <c r="Y2583" i="1"/>
  <c r="Y2587" i="1"/>
  <c r="Y2591" i="1"/>
  <c r="Y2595" i="1"/>
  <c r="Y2599" i="1"/>
  <c r="Y2603" i="1"/>
  <c r="Y2607" i="1"/>
  <c r="Y2611" i="1"/>
  <c r="Y2615" i="1"/>
  <c r="Y2619" i="1"/>
  <c r="Y2627" i="1"/>
  <c r="AG2627" i="1" s="1"/>
  <c r="Y2631" i="1"/>
  <c r="Y2635" i="1"/>
  <c r="Y2643" i="1"/>
  <c r="Y2647" i="1"/>
  <c r="AE2647" i="1" s="1"/>
  <c r="Y2651" i="1"/>
  <c r="Y2655" i="1"/>
  <c r="Y2659" i="1"/>
  <c r="Y2663" i="1"/>
  <c r="AE2663" i="1" s="1"/>
  <c r="Y2667" i="1"/>
  <c r="Y2675" i="1"/>
  <c r="Y2679" i="1"/>
  <c r="Y2683" i="1"/>
  <c r="Y2687" i="1"/>
  <c r="Y2695" i="1"/>
  <c r="Y2699" i="1"/>
  <c r="Y2703" i="1"/>
  <c r="AG2703" i="1" s="1"/>
  <c r="Y2707" i="1"/>
  <c r="Y2723" i="1"/>
  <c r="Y2735" i="1"/>
  <c r="Y2755" i="1"/>
  <c r="Y2763" i="1"/>
  <c r="Y2771" i="1"/>
  <c r="Y2791" i="1"/>
  <c r="Y2795" i="1"/>
  <c r="Y2807" i="1"/>
  <c r="Y2823" i="1"/>
  <c r="Y2827" i="1"/>
  <c r="Y2895" i="1"/>
  <c r="Y2927" i="1"/>
  <c r="Y2931" i="1"/>
  <c r="Y2935" i="1"/>
  <c r="Y2939" i="1"/>
  <c r="Y2943" i="1"/>
  <c r="Y2947" i="1"/>
  <c r="Y2951" i="1"/>
  <c r="Y2955" i="1"/>
  <c r="Y2963" i="1"/>
  <c r="Y2987" i="1"/>
  <c r="Y2991" i="1"/>
  <c r="Y2995" i="1"/>
  <c r="AD2995" i="1" s="1"/>
  <c r="Y3003" i="1"/>
  <c r="M12" i="1"/>
  <c r="R12" i="1" s="1"/>
  <c r="M20" i="1"/>
  <c r="R20" i="1" s="1"/>
  <c r="M108" i="1"/>
  <c r="R108" i="1" s="1"/>
  <c r="M132" i="1"/>
  <c r="R132" i="1" s="1"/>
  <c r="M224" i="1"/>
  <c r="R224" i="1" s="1"/>
  <c r="M256" i="1"/>
  <c r="R256" i="1" s="1"/>
  <c r="M300" i="1"/>
  <c r="R300" i="1" s="1"/>
  <c r="M308" i="1"/>
  <c r="R308" i="1" s="1"/>
  <c r="M320" i="1"/>
  <c r="R320" i="1" s="1"/>
  <c r="M376" i="1"/>
  <c r="R376" i="1" s="1"/>
  <c r="M604" i="1"/>
  <c r="R604" i="1" s="1"/>
  <c r="M608" i="1"/>
  <c r="R608" i="1" s="1"/>
  <c r="M652" i="1"/>
  <c r="R652" i="1" s="1"/>
  <c r="M664" i="1"/>
  <c r="R664" i="1" s="1"/>
  <c r="M668" i="1"/>
  <c r="R668" i="1" s="1"/>
  <c r="M672" i="1"/>
  <c r="R672" i="1" s="1"/>
  <c r="M676" i="1"/>
  <c r="R676" i="1" s="1"/>
  <c r="M582" i="1"/>
  <c r="R582" i="1" s="1"/>
  <c r="Y628" i="1"/>
  <c r="AE628" i="1" s="1"/>
  <c r="M662" i="1"/>
  <c r="R662" i="1" s="1"/>
  <c r="Y664" i="1"/>
  <c r="M682" i="1"/>
  <c r="R682" i="1" s="1"/>
  <c r="AC1927" i="1"/>
  <c r="AC1935" i="1"/>
  <c r="AC1943" i="1"/>
  <c r="AC1951" i="1"/>
  <c r="AC1959" i="1"/>
  <c r="AC1967" i="1"/>
  <c r="AC1991" i="1"/>
  <c r="AC1995" i="1"/>
  <c r="AC1999" i="1"/>
  <c r="AC2003" i="1"/>
  <c r="AC2007" i="1"/>
  <c r="AC2011" i="1"/>
  <c r="AC2015" i="1"/>
  <c r="AC2023" i="1"/>
  <c r="AC2027" i="1"/>
  <c r="AC2031" i="1"/>
  <c r="AC2043" i="1"/>
  <c r="AC2051" i="1"/>
  <c r="AC2059" i="1"/>
  <c r="AC2067" i="1"/>
  <c r="AC2075" i="1"/>
  <c r="AC2083" i="1"/>
  <c r="AC2163" i="1"/>
  <c r="AC2171" i="1"/>
  <c r="AC2179" i="1"/>
  <c r="AC2183" i="1"/>
  <c r="AC2187" i="1"/>
  <c r="AC2195" i="1"/>
  <c r="AC2199" i="1"/>
  <c r="AC2635" i="1"/>
  <c r="AC2639" i="1"/>
  <c r="AC2651" i="1"/>
  <c r="AC2683" i="1"/>
  <c r="AC2699" i="1"/>
  <c r="AC2819" i="1"/>
  <c r="AC2827" i="1"/>
  <c r="AC2835" i="1"/>
  <c r="AC2847" i="1"/>
  <c r="AC2855" i="1"/>
  <c r="AC2863" i="1"/>
  <c r="AC2871" i="1"/>
  <c r="AC2875" i="1"/>
  <c r="AC2879" i="1"/>
  <c r="AC2955" i="1"/>
  <c r="AC2963" i="1"/>
  <c r="AC1497" i="1"/>
  <c r="AC1505" i="1"/>
  <c r="AC1513" i="1"/>
  <c r="AC1521" i="1"/>
  <c r="AC1529" i="1"/>
  <c r="AC1537" i="1"/>
  <c r="AC1545" i="1"/>
  <c r="AC1553" i="1"/>
  <c r="AC1561" i="1"/>
  <c r="AC1569" i="1"/>
  <c r="AC1577" i="1"/>
  <c r="AC1585" i="1"/>
  <c r="AC1593" i="1"/>
  <c r="AC1601" i="1"/>
  <c r="AC1609" i="1"/>
  <c r="AC1625" i="1"/>
  <c r="AC1633" i="1"/>
  <c r="AC2980" i="1"/>
  <c r="AC2984" i="1"/>
  <c r="AC2988" i="1"/>
  <c r="AC2992" i="1"/>
  <c r="AC2996" i="1"/>
  <c r="AC3000" i="1"/>
  <c r="AC3004" i="1"/>
  <c r="M1030" i="1"/>
  <c r="R1030" i="1" s="1"/>
  <c r="M1038" i="1"/>
  <c r="R1038" i="1" s="1"/>
  <c r="M1050" i="1"/>
  <c r="R1050" i="1" s="1"/>
  <c r="M1058" i="1"/>
  <c r="R1058" i="1" s="1"/>
  <c r="M1170" i="1"/>
  <c r="R1170" i="1" s="1"/>
  <c r="M1178" i="1"/>
  <c r="R1178" i="1" s="1"/>
  <c r="Y1312" i="1"/>
  <c r="M1502" i="1"/>
  <c r="R1502" i="1" s="1"/>
  <c r="M1650" i="1"/>
  <c r="R1650" i="1" s="1"/>
  <c r="M1666" i="1"/>
  <c r="R1666" i="1" s="1"/>
  <c r="M1674" i="1"/>
  <c r="R1674" i="1" s="1"/>
  <c r="M1678" i="1"/>
  <c r="R1678" i="1" s="1"/>
  <c r="M1702" i="1"/>
  <c r="R1702" i="1" s="1"/>
  <c r="M1738" i="1"/>
  <c r="R1738" i="1" s="1"/>
  <c r="M1762" i="1"/>
  <c r="R1762" i="1" s="1"/>
  <c r="M2449" i="1"/>
  <c r="R2449" i="1" s="1"/>
  <c r="M2473" i="1"/>
  <c r="R2473" i="1" s="1"/>
  <c r="M2540" i="1"/>
  <c r="R2540" i="1" s="1"/>
  <c r="Y2547" i="1"/>
  <c r="M2809" i="1"/>
  <c r="R2809" i="1" s="1"/>
  <c r="M73" i="1"/>
  <c r="R73" i="1" s="1"/>
  <c r="M77" i="1"/>
  <c r="R77" i="1" s="1"/>
  <c r="M125" i="1"/>
  <c r="R125" i="1" s="1"/>
  <c r="M141" i="1"/>
  <c r="R141" i="1" s="1"/>
  <c r="M177" i="1"/>
  <c r="R177" i="1" s="1"/>
  <c r="M189" i="1"/>
  <c r="R189" i="1" s="1"/>
  <c r="M213" i="1"/>
  <c r="R213" i="1" s="1"/>
  <c r="M2726" i="1"/>
  <c r="R2726" i="1" s="1"/>
  <c r="M2730" i="1"/>
  <c r="R2730" i="1" s="1"/>
  <c r="M2778" i="1"/>
  <c r="R2778" i="1" s="1"/>
  <c r="Y491" i="1"/>
  <c r="M1188" i="1"/>
  <c r="R1188" i="1" s="1"/>
  <c r="M1224" i="1"/>
  <c r="R1224" i="1" s="1"/>
  <c r="M1236" i="1"/>
  <c r="R1236" i="1" s="1"/>
  <c r="M1264" i="1"/>
  <c r="R1264" i="1" s="1"/>
  <c r="M1328" i="1"/>
  <c r="R1328" i="1" s="1"/>
  <c r="M1356" i="1"/>
  <c r="R1356" i="1" s="1"/>
  <c r="M1708" i="1"/>
  <c r="R1708" i="1" s="1"/>
  <c r="M1752" i="1"/>
  <c r="R1752" i="1" s="1"/>
  <c r="M1860" i="1"/>
  <c r="R1860" i="1" s="1"/>
  <c r="M1876" i="1"/>
  <c r="R1876" i="1" s="1"/>
  <c r="M188" i="1"/>
  <c r="R188" i="1" s="1"/>
  <c r="M336" i="1"/>
  <c r="R336" i="1" s="1"/>
  <c r="Y744" i="1"/>
  <c r="Y896" i="1"/>
  <c r="Y1044" i="1"/>
  <c r="M1062" i="1"/>
  <c r="R1062" i="1" s="1"/>
  <c r="M1066" i="1"/>
  <c r="R1066" i="1" s="1"/>
  <c r="M1074" i="1"/>
  <c r="R1074" i="1" s="1"/>
  <c r="M1086" i="1"/>
  <c r="R1086" i="1" s="1"/>
  <c r="Y1912" i="1"/>
  <c r="Y1920" i="1"/>
  <c r="AF1920" i="1" s="1"/>
  <c r="Y1952" i="1"/>
  <c r="Y1972" i="1"/>
  <c r="Y1988" i="1"/>
  <c r="Y2028" i="1"/>
  <c r="Y2036" i="1"/>
  <c r="Y2176" i="1"/>
  <c r="Y698" i="1"/>
  <c r="M799" i="1"/>
  <c r="R799" i="1" s="1"/>
  <c r="M855" i="1"/>
  <c r="R855" i="1" s="1"/>
  <c r="M891" i="1"/>
  <c r="R891" i="1" s="1"/>
  <c r="Y1494" i="1"/>
  <c r="M2251" i="1"/>
  <c r="R2251" i="1" s="1"/>
  <c r="M2399" i="1"/>
  <c r="R2399" i="1" s="1"/>
  <c r="M2451" i="1"/>
  <c r="R2451" i="1" s="1"/>
  <c r="M2455" i="1"/>
  <c r="R2455" i="1" s="1"/>
  <c r="Y2501" i="1"/>
  <c r="M2671" i="1"/>
  <c r="R2671" i="1" s="1"/>
  <c r="M2735" i="1"/>
  <c r="R2735" i="1" s="1"/>
  <c r="M2783" i="1"/>
  <c r="R2783" i="1" s="1"/>
  <c r="M2963" i="1"/>
  <c r="R2963" i="1" s="1"/>
  <c r="M724" i="1"/>
  <c r="R724" i="1" s="1"/>
  <c r="M784" i="1"/>
  <c r="R784" i="1" s="1"/>
  <c r="M816" i="1"/>
  <c r="R816" i="1" s="1"/>
  <c r="M832" i="1"/>
  <c r="R832" i="1" s="1"/>
  <c r="M864" i="1"/>
  <c r="R864" i="1" s="1"/>
  <c r="M896" i="1"/>
  <c r="R896" i="1" s="1"/>
  <c r="M1000" i="1"/>
  <c r="R1000" i="1" s="1"/>
  <c r="M1004" i="1"/>
  <c r="R1004" i="1" s="1"/>
  <c r="M1024" i="1"/>
  <c r="R1024" i="1" s="1"/>
  <c r="M1040" i="1"/>
  <c r="R1040" i="1" s="1"/>
  <c r="M1044" i="1"/>
  <c r="R1044" i="1" s="1"/>
  <c r="M1144" i="1"/>
  <c r="R1144" i="1" s="1"/>
  <c r="M1164" i="1"/>
  <c r="R1164" i="1" s="1"/>
  <c r="M1191" i="1"/>
  <c r="R1191" i="1" s="1"/>
  <c r="M1227" i="1"/>
  <c r="R1227" i="1" s="1"/>
  <c r="M1267" i="1"/>
  <c r="R1267" i="1" s="1"/>
  <c r="M1287" i="1"/>
  <c r="R1287" i="1" s="1"/>
  <c r="M1311" i="1"/>
  <c r="R1311" i="1" s="1"/>
  <c r="M1351" i="1"/>
  <c r="R1351" i="1" s="1"/>
  <c r="M1490" i="1"/>
  <c r="R1490" i="1" s="1"/>
  <c r="M1685" i="1"/>
  <c r="R1685" i="1" s="1"/>
  <c r="M1749" i="1"/>
  <c r="R1749" i="1" s="1"/>
  <c r="M1869" i="1"/>
  <c r="R1869" i="1" s="1"/>
  <c r="M1884" i="1"/>
  <c r="R1884" i="1" s="1"/>
  <c r="M1900" i="1"/>
  <c r="R1900" i="1" s="1"/>
  <c r="M1920" i="1"/>
  <c r="R1920" i="1" s="1"/>
  <c r="M1928" i="1"/>
  <c r="R1928" i="1" s="1"/>
  <c r="M1936" i="1"/>
  <c r="R1936" i="1" s="1"/>
  <c r="M1960" i="1"/>
  <c r="R1960" i="1" s="1"/>
  <c r="M1976" i="1"/>
  <c r="R1976" i="1" s="1"/>
  <c r="M2028" i="1"/>
  <c r="R2028" i="1" s="1"/>
  <c r="M2164" i="1"/>
  <c r="R2164" i="1" s="1"/>
  <c r="M2228" i="1"/>
  <c r="R2228" i="1" s="1"/>
  <c r="M2500" i="1"/>
  <c r="R2500" i="1" s="1"/>
  <c r="M2940" i="1"/>
  <c r="R2940" i="1" s="1"/>
  <c r="M2960" i="1"/>
  <c r="R2960" i="1" s="1"/>
  <c r="M2968" i="1"/>
  <c r="R2968" i="1" s="1"/>
  <c r="M2976" i="1"/>
  <c r="R2976" i="1" s="1"/>
  <c r="M1670" i="1"/>
  <c r="R1670" i="1" s="1"/>
  <c r="Y42" i="1"/>
  <c r="Y74" i="1"/>
  <c r="Y82" i="1"/>
  <c r="Y94" i="1"/>
  <c r="Y102" i="1"/>
  <c r="Y110" i="1"/>
  <c r="Y118" i="1"/>
  <c r="Y122" i="1"/>
  <c r="Y126" i="1"/>
  <c r="Y130" i="1"/>
  <c r="Y138" i="1"/>
  <c r="Y142" i="1"/>
  <c r="Y150" i="1"/>
  <c r="Y158" i="1"/>
  <c r="Y166" i="1"/>
  <c r="Y174" i="1"/>
  <c r="Y178" i="1"/>
  <c r="Y186" i="1"/>
  <c r="Y190" i="1"/>
  <c r="Y198" i="1"/>
  <c r="Y210" i="1"/>
  <c r="Y218" i="1"/>
  <c r="Y222" i="1"/>
  <c r="Y238" i="1"/>
  <c r="Y242" i="1"/>
  <c r="Y250" i="1"/>
  <c r="Y258" i="1"/>
  <c r="Y262" i="1"/>
  <c r="Y282" i="1"/>
  <c r="Y286" i="1"/>
  <c r="Y294" i="1"/>
  <c r="Y298" i="1"/>
  <c r="Y306" i="1"/>
  <c r="Y314" i="1"/>
  <c r="Y326" i="1"/>
  <c r="Y330" i="1"/>
  <c r="Y338" i="1"/>
  <c r="Y365" i="1"/>
  <c r="Y373" i="1"/>
  <c r="Y377" i="1"/>
  <c r="Y389" i="1"/>
  <c r="Y397" i="1"/>
  <c r="Y401" i="1"/>
  <c r="Y409" i="1"/>
  <c r="AG409" i="1" s="1"/>
  <c r="Y425" i="1"/>
  <c r="Y441" i="1"/>
  <c r="Y457" i="1"/>
  <c r="Y469" i="1"/>
  <c r="AG469" i="1" s="1"/>
  <c r="Y477" i="1"/>
  <c r="Y481" i="1"/>
  <c r="Y485" i="1"/>
  <c r="Y489" i="1"/>
  <c r="Y492" i="1"/>
  <c r="Y504" i="1"/>
  <c r="Y508" i="1"/>
  <c r="Y512" i="1"/>
  <c r="AE512" i="1" s="1"/>
  <c r="Y532" i="1"/>
  <c r="Y556" i="1"/>
  <c r="Y568" i="1"/>
  <c r="Y580" i="1"/>
  <c r="Y604" i="1"/>
  <c r="Y608" i="1"/>
  <c r="Y624" i="1"/>
  <c r="Y632" i="1"/>
  <c r="Y644" i="1"/>
  <c r="Y648" i="1"/>
  <c r="Y652" i="1"/>
  <c r="Y656" i="1"/>
  <c r="Y660" i="1"/>
  <c r="Y672" i="1"/>
  <c r="Y676" i="1"/>
  <c r="Y684" i="1"/>
  <c r="Y688" i="1"/>
  <c r="Y692" i="1"/>
  <c r="Y699" i="1"/>
  <c r="Y702" i="1"/>
  <c r="Y706" i="1"/>
  <c r="Y714" i="1"/>
  <c r="Y734" i="1"/>
  <c r="Y758" i="1"/>
  <c r="Y766" i="1"/>
  <c r="Y770" i="1"/>
  <c r="Y774" i="1"/>
  <c r="Y786" i="1"/>
  <c r="AD786" i="1" s="1"/>
  <c r="Y794" i="1"/>
  <c r="Y798" i="1"/>
  <c r="Y802" i="1"/>
  <c r="Y806" i="1"/>
  <c r="Y810" i="1"/>
  <c r="Y818" i="1"/>
  <c r="Y822" i="1"/>
  <c r="Y830" i="1"/>
  <c r="Y850" i="1"/>
  <c r="Y858" i="1"/>
  <c r="Y870" i="1"/>
  <c r="Y874" i="1"/>
  <c r="AD874" i="1" s="1"/>
  <c r="Y878" i="1"/>
  <c r="Y882" i="1"/>
  <c r="Y886" i="1"/>
  <c r="Y894" i="1"/>
  <c r="Y904" i="1"/>
  <c r="Y912" i="1"/>
  <c r="Y920" i="1"/>
  <c r="Y928" i="1"/>
  <c r="Y12" i="1"/>
  <c r="Y16" i="1"/>
  <c r="Y20" i="1"/>
  <c r="Y40" i="1"/>
  <c r="Y44" i="1"/>
  <c r="Y48" i="1"/>
  <c r="Y60" i="1"/>
  <c r="Y64" i="1"/>
  <c r="Y72" i="1"/>
  <c r="Y76" i="1"/>
  <c r="Y80" i="1"/>
  <c r="Y84" i="1"/>
  <c r="Y92" i="1"/>
  <c r="Y96" i="1"/>
  <c r="Y100" i="1"/>
  <c r="Y120" i="1"/>
  <c r="Y128" i="1"/>
  <c r="Y132" i="1"/>
  <c r="Y144" i="1"/>
  <c r="Y148" i="1"/>
  <c r="Y168" i="1"/>
  <c r="Y180" i="1"/>
  <c r="Y184" i="1"/>
  <c r="Y192" i="1"/>
  <c r="Y196" i="1"/>
  <c r="Y212" i="1"/>
  <c r="Y220" i="1"/>
  <c r="Y224" i="1"/>
  <c r="Y228" i="1"/>
  <c r="Y240" i="1"/>
  <c r="Y264" i="1"/>
  <c r="Y268" i="1"/>
  <c r="Y276" i="1"/>
  <c r="Y280" i="1"/>
  <c r="Y284" i="1"/>
  <c r="Y288" i="1"/>
  <c r="Y292" i="1"/>
  <c r="Y300" i="1"/>
  <c r="Y304" i="1"/>
  <c r="Y308" i="1"/>
  <c r="Y312" i="1"/>
  <c r="Y336" i="1"/>
  <c r="Y344" i="1"/>
  <c r="Y348" i="1"/>
  <c r="Y352" i="1"/>
  <c r="Y356" i="1"/>
  <c r="Y363" i="1"/>
  <c r="Y383" i="1"/>
  <c r="AF383" i="1" s="1"/>
  <c r="Y387" i="1"/>
  <c r="Y391" i="1"/>
  <c r="Y415" i="1"/>
  <c r="Y419" i="1"/>
  <c r="AF419" i="1" s="1"/>
  <c r="Y427" i="1"/>
  <c r="Y431" i="1"/>
  <c r="Y435" i="1"/>
  <c r="Y443" i="1"/>
  <c r="AF443" i="1" s="1"/>
  <c r="Y447" i="1"/>
  <c r="Y451" i="1"/>
  <c r="Y459" i="1"/>
  <c r="Y463" i="1"/>
  <c r="AF463" i="1" s="1"/>
  <c r="Y467" i="1"/>
  <c r="Y471" i="1"/>
  <c r="Y475" i="1"/>
  <c r="Y498" i="1"/>
  <c r="AG498" i="1" s="1"/>
  <c r="Y502" i="1"/>
  <c r="Y506" i="1"/>
  <c r="Y510" i="1"/>
  <c r="Y526" i="1"/>
  <c r="Y534" i="1"/>
  <c r="Y542" i="1"/>
  <c r="Y554" i="1"/>
  <c r="Y558" i="1"/>
  <c r="AF558" i="1" s="1"/>
  <c r="Y570" i="1"/>
  <c r="Y574" i="1"/>
  <c r="Y582" i="1"/>
  <c r="Y606" i="1"/>
  <c r="Y614" i="1"/>
  <c r="Y618" i="1"/>
  <c r="Y622" i="1"/>
  <c r="Y626" i="1"/>
  <c r="Y630" i="1"/>
  <c r="Y634" i="1"/>
  <c r="Y638" i="1"/>
  <c r="Y650" i="1"/>
  <c r="Y662" i="1"/>
  <c r="Y666" i="1"/>
  <c r="Y678" i="1"/>
  <c r="Y682" i="1"/>
  <c r="AD682" i="1" s="1"/>
  <c r="Y728" i="1"/>
  <c r="Y732" i="1"/>
  <c r="Y736" i="1"/>
  <c r="Y752" i="1"/>
  <c r="Y756" i="1"/>
  <c r="Y764" i="1"/>
  <c r="Y772" i="1"/>
  <c r="Y776" i="1"/>
  <c r="Y780" i="1"/>
  <c r="Y784" i="1"/>
  <c r="Y788" i="1"/>
  <c r="Y796" i="1"/>
  <c r="Y804" i="1"/>
  <c r="Y812" i="1"/>
  <c r="Y816" i="1"/>
  <c r="Y824" i="1"/>
  <c r="Y832" i="1"/>
  <c r="Y836" i="1"/>
  <c r="Y844" i="1"/>
  <c r="Y848" i="1"/>
  <c r="Y856" i="1"/>
  <c r="Y864" i="1"/>
  <c r="Y892" i="1"/>
  <c r="Y914" i="1"/>
  <c r="AD914" i="1" s="1"/>
  <c r="Y922" i="1"/>
  <c r="Y932" i="1"/>
  <c r="Y976" i="1"/>
  <c r="Y984" i="1"/>
  <c r="Y1000" i="1"/>
  <c r="Y1291" i="1"/>
  <c r="Y1295" i="1"/>
  <c r="Y1307" i="1"/>
  <c r="Y1358" i="1"/>
  <c r="Y1370" i="1"/>
  <c r="Y1378" i="1"/>
  <c r="Y1382" i="1"/>
  <c r="Y1462" i="1"/>
  <c r="Y1513" i="1"/>
  <c r="Y1601" i="1"/>
  <c r="Y1617" i="1"/>
  <c r="Y1677" i="1"/>
  <c r="Y1689" i="1"/>
  <c r="Y1701" i="1"/>
  <c r="Y1713" i="1"/>
  <c r="Y1729" i="1"/>
  <c r="Y1769" i="1"/>
  <c r="Y1773" i="1"/>
  <c r="Y1777" i="1"/>
  <c r="AE1777" i="1" s="1"/>
  <c r="Y1789" i="1"/>
  <c r="Y1793" i="1"/>
  <c r="Y1805" i="1"/>
  <c r="Y1813" i="1"/>
  <c r="Y1821" i="1"/>
  <c r="Y1829" i="1"/>
  <c r="Y1837" i="1"/>
  <c r="Y1865" i="1"/>
  <c r="AE1865" i="1" s="1"/>
  <c r="Y1869" i="1"/>
  <c r="Y1873" i="1"/>
  <c r="Y1880" i="1"/>
  <c r="Y1892" i="1"/>
  <c r="AF1892" i="1" s="1"/>
  <c r="Y1896" i="1"/>
  <c r="Y1904" i="1"/>
  <c r="Y1908" i="1"/>
  <c r="Y1968" i="1"/>
  <c r="AF1968" i="1" s="1"/>
  <c r="Y1976" i="1"/>
  <c r="Y1980" i="1"/>
  <c r="Y1984" i="1"/>
  <c r="Y1996" i="1"/>
  <c r="Y2004" i="1"/>
  <c r="Y2012" i="1"/>
  <c r="Y2020" i="1"/>
  <c r="Y2040" i="1"/>
  <c r="AF2040" i="1" s="1"/>
  <c r="Y2044" i="1"/>
  <c r="Y2048" i="1"/>
  <c r="Y2052" i="1"/>
  <c r="Y2060" i="1"/>
  <c r="AF2060" i="1" s="1"/>
  <c r="Y2068" i="1"/>
  <c r="Y2072" i="1"/>
  <c r="Y2080" i="1"/>
  <c r="Y2100" i="1"/>
  <c r="Y2104" i="1"/>
  <c r="Y2108" i="1"/>
  <c r="Y2112" i="1"/>
  <c r="Y2124" i="1"/>
  <c r="AF2124" i="1" s="1"/>
  <c r="Y2128" i="1"/>
  <c r="Y2140" i="1"/>
  <c r="Y2144" i="1"/>
  <c r="Y2156" i="1"/>
  <c r="AF2156" i="1" s="1"/>
  <c r="Y2164" i="1"/>
  <c r="AF2164" i="1" s="1"/>
  <c r="Y2168" i="1"/>
  <c r="Y2172" i="1"/>
  <c r="Y2180" i="1"/>
  <c r="Y2188" i="1"/>
  <c r="Y2192" i="1"/>
  <c r="Y2196" i="1"/>
  <c r="Y2208" i="1"/>
  <c r="AG2208" i="1" s="1"/>
  <c r="Y2224" i="1"/>
  <c r="Y2228" i="1"/>
  <c r="Y2236" i="1"/>
  <c r="Y2240" i="1"/>
  <c r="Y2256" i="1"/>
  <c r="Y2272" i="1"/>
  <c r="Y2276" i="1"/>
  <c r="Y2316" i="1"/>
  <c r="Y2328" i="1"/>
  <c r="Y2340" i="1"/>
  <c r="Y2348" i="1"/>
  <c r="Y2360" i="1"/>
  <c r="Y2368" i="1"/>
  <c r="Y2372" i="1"/>
  <c r="Y941" i="1"/>
  <c r="Y945" i="1"/>
  <c r="Y949" i="1"/>
  <c r="Y961" i="1"/>
  <c r="Y989" i="1"/>
  <c r="Y997" i="1"/>
  <c r="Y1001" i="1"/>
  <c r="Y1049" i="1"/>
  <c r="Y1057" i="1"/>
  <c r="Y1069" i="1"/>
  <c r="Y1073" i="1"/>
  <c r="Y1077" i="1"/>
  <c r="Y1081" i="1"/>
  <c r="Y1089" i="1"/>
  <c r="Y1097" i="1"/>
  <c r="Y1101" i="1"/>
  <c r="Y1105" i="1"/>
  <c r="Y1109" i="1"/>
  <c r="Y1113" i="1"/>
  <c r="Y1121" i="1"/>
  <c r="Y1125" i="1"/>
  <c r="Y1129" i="1"/>
  <c r="Y1133" i="1"/>
  <c r="Y1137" i="1"/>
  <c r="Y1149" i="1"/>
  <c r="Y1153" i="1"/>
  <c r="Y1157" i="1"/>
  <c r="Y1161" i="1"/>
  <c r="Y1168" i="1"/>
  <c r="Y1172" i="1"/>
  <c r="Y1180" i="1"/>
  <c r="Y1184" i="1"/>
  <c r="Y1192" i="1"/>
  <c r="Y1196" i="1"/>
  <c r="Y1200" i="1"/>
  <c r="Y1208" i="1"/>
  <c r="Y1212" i="1"/>
  <c r="Y1264" i="1"/>
  <c r="Y1276" i="1"/>
  <c r="AF1276" i="1" s="1"/>
  <c r="Y1304" i="1"/>
  <c r="Y1348" i="1"/>
  <c r="Y1391" i="1"/>
  <c r="Y1411" i="1"/>
  <c r="Y1431" i="1"/>
  <c r="Y958" i="1"/>
  <c r="Y962" i="1"/>
  <c r="AD962" i="1" s="1"/>
  <c r="Y966" i="1"/>
  <c r="Y978" i="1"/>
  <c r="Y994" i="1"/>
  <c r="Y998" i="1"/>
  <c r="Y1010" i="1"/>
  <c r="Y1018" i="1"/>
  <c r="Y1022" i="1"/>
  <c r="Y1046" i="1"/>
  <c r="Y1050" i="1"/>
  <c r="Y1229" i="1"/>
  <c r="Y1245" i="1"/>
  <c r="Y1249" i="1"/>
  <c r="Y1289" i="1"/>
  <c r="Y1301" i="1"/>
  <c r="Y1305" i="1"/>
  <c r="Y1309" i="1"/>
  <c r="AG1309" i="1" s="1"/>
  <c r="Y1333" i="1"/>
  <c r="Y1337" i="1"/>
  <c r="Y1353" i="1"/>
  <c r="Y1388" i="1"/>
  <c r="AD1388" i="1" s="1"/>
  <c r="Y1460" i="1"/>
  <c r="Y1523" i="1"/>
  <c r="Y1583" i="1"/>
  <c r="Y1607" i="1"/>
  <c r="Y1651" i="1"/>
  <c r="Y1663" i="1"/>
  <c r="Y1683" i="1"/>
  <c r="Y1695" i="1"/>
  <c r="AG1695" i="1" s="1"/>
  <c r="Y1699" i="1"/>
  <c r="Y1707" i="1"/>
  <c r="Y1723" i="1"/>
  <c r="Y1743" i="1"/>
  <c r="AG1743" i="1" s="1"/>
  <c r="Y1755" i="1"/>
  <c r="Y1759" i="1"/>
  <c r="Y1771" i="1"/>
  <c r="Y1779" i="1"/>
  <c r="Y1783" i="1"/>
  <c r="Y1795" i="1"/>
  <c r="Y1799" i="1"/>
  <c r="Y1859" i="1"/>
  <c r="Y1863" i="1"/>
  <c r="Y1867" i="1"/>
  <c r="Y1871" i="1"/>
  <c r="Y1882" i="1"/>
  <c r="Y1886" i="1"/>
  <c r="Y1898" i="1"/>
  <c r="Y1902" i="1"/>
  <c r="Y1914" i="1"/>
  <c r="AD1914" i="1" s="1"/>
  <c r="Y1918" i="1"/>
  <c r="Y1922" i="1"/>
  <c r="Y1926" i="1"/>
  <c r="Y1934" i="1"/>
  <c r="Y1942" i="1"/>
  <c r="Y1950" i="1"/>
  <c r="Y1958" i="1"/>
  <c r="Y1966" i="1"/>
  <c r="Y1970" i="1"/>
  <c r="Y1978" i="1"/>
  <c r="Y1986" i="1"/>
  <c r="Y1994" i="1"/>
  <c r="AF1994" i="1" s="1"/>
  <c r="Y1998" i="1"/>
  <c r="Y2006" i="1"/>
  <c r="Y2010" i="1"/>
  <c r="Y2014" i="1"/>
  <c r="Y2018" i="1"/>
  <c r="Y2022" i="1"/>
  <c r="Y2030" i="1"/>
  <c r="Y2034" i="1"/>
  <c r="AF2034" i="1" s="1"/>
  <c r="Y2042" i="1"/>
  <c r="Y2050" i="1"/>
  <c r="Y2058" i="1"/>
  <c r="Y2062" i="1"/>
  <c r="Y2070" i="1"/>
  <c r="Y2078" i="1"/>
  <c r="Y2086" i="1"/>
  <c r="Y2090" i="1"/>
  <c r="AG2090" i="1" s="1"/>
  <c r="Y2094" i="1"/>
  <c r="Y2114" i="1"/>
  <c r="Y2126" i="1"/>
  <c r="Y2142" i="1"/>
  <c r="AG2142" i="1" s="1"/>
  <c r="Y2178" i="1"/>
  <c r="Y2194" i="1"/>
  <c r="Y2202" i="1"/>
  <c r="Y2210" i="1"/>
  <c r="AF2210" i="1" s="1"/>
  <c r="Y2218" i="1"/>
  <c r="AF2218" i="1" s="1"/>
  <c r="Y2230" i="1"/>
  <c r="Y2238" i="1"/>
  <c r="Y2242" i="1"/>
  <c r="Y2250" i="1"/>
  <c r="AF2250" i="1" s="1"/>
  <c r="Y2258" i="1"/>
  <c r="Y2266" i="1"/>
  <c r="Y2278" i="1"/>
  <c r="AF2278" i="1" s="1"/>
  <c r="Y2282" i="1"/>
  <c r="Y2290" i="1"/>
  <c r="Y2298" i="1"/>
  <c r="Y2302" i="1"/>
  <c r="Y2310" i="1"/>
  <c r="Y2322" i="1"/>
  <c r="Y2330" i="1"/>
  <c r="Y2342" i="1"/>
  <c r="AF2342" i="1" s="1"/>
  <c r="Y2366" i="1"/>
  <c r="Y931" i="1"/>
  <c r="Y939" i="1"/>
  <c r="Y971" i="1"/>
  <c r="AG971" i="1" s="1"/>
  <c r="Y1011" i="1"/>
  <c r="Y1015" i="1"/>
  <c r="Y1019" i="1"/>
  <c r="Y1023" i="1"/>
  <c r="Y1027" i="1"/>
  <c r="Y1043" i="1"/>
  <c r="Y1047" i="1"/>
  <c r="Y1051" i="1"/>
  <c r="Y1055" i="1"/>
  <c r="Y1063" i="1"/>
  <c r="Y1067" i="1"/>
  <c r="Y1075" i="1"/>
  <c r="AG1075" i="1" s="1"/>
  <c r="Y1083" i="1"/>
  <c r="Y1087" i="1"/>
  <c r="Y1095" i="1"/>
  <c r="Y1099" i="1"/>
  <c r="AG1099" i="1" s="1"/>
  <c r="Y1103" i="1"/>
  <c r="AG1103" i="1" s="1"/>
  <c r="Y1119" i="1"/>
  <c r="Y1123" i="1"/>
  <c r="Y1127" i="1"/>
  <c r="AG1127" i="1" s="1"/>
  <c r="Y1139" i="1"/>
  <c r="Y1143" i="1"/>
  <c r="Y1147" i="1"/>
  <c r="Y1155" i="1"/>
  <c r="Y1163" i="1"/>
  <c r="Y1166" i="1"/>
  <c r="Y1170" i="1"/>
  <c r="Y1174" i="1"/>
  <c r="AF1174" i="1" s="1"/>
  <c r="Y1186" i="1"/>
  <c r="Y1190" i="1"/>
  <c r="Y1198" i="1"/>
  <c r="Y1206" i="1"/>
  <c r="AF1206" i="1" s="1"/>
  <c r="Y1210" i="1"/>
  <c r="Y1226" i="1"/>
  <c r="Y1230" i="1"/>
  <c r="Y1238" i="1"/>
  <c r="AF1238" i="1" s="1"/>
  <c r="Y1246" i="1"/>
  <c r="AF1246" i="1" s="1"/>
  <c r="Y1250" i="1"/>
  <c r="Y1266" i="1"/>
  <c r="Y1290" i="1"/>
  <c r="Y1338" i="1"/>
  <c r="Y1342" i="1"/>
  <c r="Y1350" i="1"/>
  <c r="Y1397" i="1"/>
  <c r="AG1397" i="1" s="1"/>
  <c r="Y1401" i="1"/>
  <c r="Y1580" i="1"/>
  <c r="Y1588" i="1"/>
  <c r="Y1592" i="1"/>
  <c r="Y1668" i="1"/>
  <c r="Y2373" i="1"/>
  <c r="Y2389" i="1"/>
  <c r="Y2393" i="1"/>
  <c r="Y2405" i="1"/>
  <c r="Y2409" i="1"/>
  <c r="Y2413" i="1"/>
  <c r="Y2425" i="1"/>
  <c r="Y2429" i="1"/>
  <c r="Y2433" i="1"/>
  <c r="Y2445" i="1"/>
  <c r="Y2449" i="1"/>
  <c r="Y2469" i="1"/>
  <c r="Y2481" i="1"/>
  <c r="Y2493" i="1"/>
  <c r="Y2497" i="1"/>
  <c r="Y2508" i="1"/>
  <c r="Y2524" i="1"/>
  <c r="Y2536" i="1"/>
  <c r="Y2544" i="1"/>
  <c r="Y2560" i="1"/>
  <c r="AE2560" i="1" s="1"/>
  <c r="Y2572" i="1"/>
  <c r="Y2576" i="1"/>
  <c r="Y2584" i="1"/>
  <c r="Y2588" i="1"/>
  <c r="Y2592" i="1"/>
  <c r="Y2600" i="1"/>
  <c r="Y2612" i="1"/>
  <c r="Y2624" i="1"/>
  <c r="Y2628" i="1"/>
  <c r="Y2632" i="1"/>
  <c r="Y2640" i="1"/>
  <c r="Y2644" i="1"/>
  <c r="Y2648" i="1"/>
  <c r="Y2676" i="1"/>
  <c r="Y2716" i="1"/>
  <c r="Y2720" i="1"/>
  <c r="AF2720" i="1" s="1"/>
  <c r="Y2728" i="1"/>
  <c r="Y2744" i="1"/>
  <c r="Y2748" i="1"/>
  <c r="AD2748" i="1" s="1"/>
  <c r="Y2752" i="1"/>
  <c r="Y2760" i="1"/>
  <c r="Y2768" i="1"/>
  <c r="Y2776" i="1"/>
  <c r="AF2776" i="1" s="1"/>
  <c r="Y2780" i="1"/>
  <c r="Y2784" i="1"/>
  <c r="Y2800" i="1"/>
  <c r="Y2804" i="1"/>
  <c r="AD2804" i="1" s="1"/>
  <c r="Y2812" i="1"/>
  <c r="AD2812" i="1" s="1"/>
  <c r="Y2816" i="1"/>
  <c r="Y2832" i="1"/>
  <c r="Y2840" i="1"/>
  <c r="Y2864" i="1"/>
  <c r="Y2868" i="1"/>
  <c r="Y2880" i="1"/>
  <c r="Y2884" i="1"/>
  <c r="AD2884" i="1" s="1"/>
  <c r="Y2888" i="1"/>
  <c r="Y2892" i="1"/>
  <c r="Y2900" i="1"/>
  <c r="Y2904" i="1"/>
  <c r="AD2904" i="1" s="1"/>
  <c r="Y2908" i="1"/>
  <c r="Y2912" i="1"/>
  <c r="Y2916" i="1"/>
  <c r="Y2920" i="1"/>
  <c r="Y2924" i="1"/>
  <c r="Y2960" i="1"/>
  <c r="Y2964" i="1"/>
  <c r="Y2968" i="1"/>
  <c r="Y2972" i="1"/>
  <c r="Y2976" i="1"/>
  <c r="Y2375" i="1"/>
  <c r="Y2379" i="1"/>
  <c r="Y2383" i="1"/>
  <c r="Y2391" i="1"/>
  <c r="Y2395" i="1"/>
  <c r="Y2399" i="1"/>
  <c r="Y2403" i="1"/>
  <c r="Y2415" i="1"/>
  <c r="Y2419" i="1"/>
  <c r="Y2423" i="1"/>
  <c r="Y2427" i="1"/>
  <c r="Y2431" i="1"/>
  <c r="Y2435" i="1"/>
  <c r="Y2439" i="1"/>
  <c r="Y2443" i="1"/>
  <c r="Y2451" i="1"/>
  <c r="Y2459" i="1"/>
  <c r="Y2463" i="1"/>
  <c r="Y2467" i="1"/>
  <c r="Y2471" i="1"/>
  <c r="Y2475" i="1"/>
  <c r="Y2479" i="1"/>
  <c r="Y2483" i="1"/>
  <c r="Y2487" i="1"/>
  <c r="Y2495" i="1"/>
  <c r="Y2499" i="1"/>
  <c r="Y2502" i="1"/>
  <c r="Y2506" i="1"/>
  <c r="Y2510" i="1"/>
  <c r="Y2514" i="1"/>
  <c r="Y2518" i="1"/>
  <c r="Y2522" i="1"/>
  <c r="Y2530" i="1"/>
  <c r="Y2546" i="1"/>
  <c r="Y2550" i="1"/>
  <c r="Y2554" i="1"/>
  <c r="Y2558" i="1"/>
  <c r="Y2566" i="1"/>
  <c r="Y2570" i="1"/>
  <c r="AG2570" i="1" s="1"/>
  <c r="Y2582" i="1"/>
  <c r="Y2586" i="1"/>
  <c r="Y2590" i="1"/>
  <c r="Y2598" i="1"/>
  <c r="Y2602" i="1"/>
  <c r="Y2610" i="1"/>
  <c r="Y2614" i="1"/>
  <c r="Y2618" i="1"/>
  <c r="Y2630" i="1"/>
  <c r="Y2634" i="1"/>
  <c r="Y2638" i="1"/>
  <c r="Y2642" i="1"/>
  <c r="Y2646" i="1"/>
  <c r="Y2650" i="1"/>
  <c r="Y2658" i="1"/>
  <c r="Y2662" i="1"/>
  <c r="Y2666" i="1"/>
  <c r="Y2678" i="1"/>
  <c r="Y2682" i="1"/>
  <c r="Y2698" i="1"/>
  <c r="Y2710" i="1"/>
  <c r="Y2730" i="1"/>
  <c r="Y2734" i="1"/>
  <c r="Y2738" i="1"/>
  <c r="Y2750" i="1"/>
  <c r="Y2754" i="1"/>
  <c r="Y2762" i="1"/>
  <c r="Y2790" i="1"/>
  <c r="Y2806" i="1"/>
  <c r="Y2822" i="1"/>
  <c r="Y2834" i="1"/>
  <c r="AD2834" i="1" s="1"/>
  <c r="Y2878" i="1"/>
  <c r="Y2882" i="1"/>
  <c r="Y2894" i="1"/>
  <c r="Y2898" i="1"/>
  <c r="Y2918" i="1"/>
  <c r="Y2926" i="1"/>
  <c r="Y2930" i="1"/>
  <c r="Y2938" i="1"/>
  <c r="Y2950" i="1"/>
  <c r="Y2962" i="1"/>
  <c r="Y2978" i="1"/>
  <c r="Y2982" i="1"/>
  <c r="Y2998" i="1"/>
  <c r="Y3006" i="1"/>
  <c r="M907" i="1"/>
  <c r="R907" i="1" s="1"/>
  <c r="M963" i="1"/>
  <c r="R963" i="1" s="1"/>
  <c r="M991" i="1"/>
  <c r="R991" i="1" s="1"/>
  <c r="M1015" i="1"/>
  <c r="R1015" i="1" s="1"/>
  <c r="M1075" i="1"/>
  <c r="R1075" i="1" s="1"/>
  <c r="M1103" i="1"/>
  <c r="R1103" i="1" s="1"/>
  <c r="M1106" i="1"/>
  <c r="R1106" i="1" s="1"/>
  <c r="M1122" i="1"/>
  <c r="R1122" i="1" s="1"/>
  <c r="M1130" i="1"/>
  <c r="R1130" i="1" s="1"/>
  <c r="M1150" i="1"/>
  <c r="R1150" i="1" s="1"/>
  <c r="Y123" i="1"/>
  <c r="AC205" i="1"/>
  <c r="AC209" i="1"/>
  <c r="AC213" i="1"/>
  <c r="AC221" i="1"/>
  <c r="AC229" i="1"/>
  <c r="AC245" i="1"/>
  <c r="AC253" i="1"/>
  <c r="AC261" i="1"/>
  <c r="AC269" i="1"/>
  <c r="AC277" i="1"/>
  <c r="AC285" i="1"/>
  <c r="AC293" i="1"/>
  <c r="AC297" i="1"/>
  <c r="AC305" i="1"/>
  <c r="AC313" i="1"/>
  <c r="AC317" i="1"/>
  <c r="AC321" i="1"/>
  <c r="AC325" i="1"/>
  <c r="AC329" i="1"/>
  <c r="AC337" i="1"/>
  <c r="AC345" i="1"/>
  <c r="AC349" i="1"/>
  <c r="AC353" i="1"/>
  <c r="AC357" i="1"/>
  <c r="M367" i="1"/>
  <c r="R367" i="1" s="1"/>
  <c r="M379" i="1"/>
  <c r="R379" i="1" s="1"/>
  <c r="M427" i="1"/>
  <c r="R427" i="1" s="1"/>
  <c r="M443" i="1"/>
  <c r="R443" i="1" s="1"/>
  <c r="M451" i="1"/>
  <c r="R451" i="1" s="1"/>
  <c r="AC494" i="1"/>
  <c r="AC502" i="1"/>
  <c r="AC510" i="1"/>
  <c r="AC518" i="1"/>
  <c r="AC526" i="1"/>
  <c r="AC574" i="1"/>
  <c r="AC598" i="1"/>
  <c r="AC606" i="1"/>
  <c r="AC622" i="1"/>
  <c r="AC638" i="1"/>
  <c r="M711" i="1"/>
  <c r="R711" i="1" s="1"/>
  <c r="M731" i="1"/>
  <c r="R731" i="1" s="1"/>
  <c r="M734" i="1"/>
  <c r="R734" i="1" s="1"/>
  <c r="AC735" i="1"/>
  <c r="AC739" i="1"/>
  <c r="M754" i="1"/>
  <c r="R754" i="1" s="1"/>
  <c r="M794" i="1"/>
  <c r="R794" i="1" s="1"/>
  <c r="M802" i="1"/>
  <c r="R802" i="1" s="1"/>
  <c r="M830" i="1"/>
  <c r="R830" i="1" s="1"/>
  <c r="M850" i="1"/>
  <c r="R850" i="1" s="1"/>
  <c r="M858" i="1"/>
  <c r="R858" i="1" s="1"/>
  <c r="M870" i="1"/>
  <c r="R870" i="1" s="1"/>
  <c r="M874" i="1"/>
  <c r="R874" i="1" s="1"/>
  <c r="M878" i="1"/>
  <c r="R878" i="1" s="1"/>
  <c r="M882" i="1"/>
  <c r="R882" i="1" s="1"/>
  <c r="M886" i="1"/>
  <c r="R886" i="1" s="1"/>
  <c r="M894" i="1"/>
  <c r="R894" i="1" s="1"/>
  <c r="M900" i="1"/>
  <c r="R900" i="1" s="1"/>
  <c r="M904" i="1"/>
  <c r="R904" i="1" s="1"/>
  <c r="M912" i="1"/>
  <c r="R912" i="1" s="1"/>
  <c r="M944" i="1"/>
  <c r="R944" i="1" s="1"/>
  <c r="M353" i="1"/>
  <c r="R353" i="1" s="1"/>
  <c r="M83" i="1"/>
  <c r="R83" i="1" s="1"/>
  <c r="M119" i="1"/>
  <c r="R119" i="1" s="1"/>
  <c r="M183" i="1"/>
  <c r="R183" i="1" s="1"/>
  <c r="M218" i="1"/>
  <c r="R218" i="1" s="1"/>
  <c r="M298" i="1"/>
  <c r="R298" i="1" s="1"/>
  <c r="M358" i="1"/>
  <c r="R358" i="1" s="1"/>
  <c r="M361" i="1"/>
  <c r="R361" i="1" s="1"/>
  <c r="AC362" i="1"/>
  <c r="AC366" i="1"/>
  <c r="AC370" i="1"/>
  <c r="AC374" i="1"/>
  <c r="AC378" i="1"/>
  <c r="Y379" i="1"/>
  <c r="AC382" i="1"/>
  <c r="AC390" i="1"/>
  <c r="AC394" i="1"/>
  <c r="AC398" i="1"/>
  <c r="M579" i="1"/>
  <c r="R579" i="1" s="1"/>
  <c r="M611" i="1"/>
  <c r="R611" i="1" s="1"/>
  <c r="M659" i="1"/>
  <c r="R659" i="1" s="1"/>
  <c r="M691" i="1"/>
  <c r="R691" i="1" s="1"/>
  <c r="AC699" i="1"/>
  <c r="M736" i="1"/>
  <c r="R736" i="1" s="1"/>
  <c r="AC899" i="1"/>
  <c r="AC907" i="1"/>
  <c r="AC915" i="1"/>
  <c r="AC923" i="1"/>
  <c r="AC931" i="1"/>
  <c r="AC939" i="1"/>
  <c r="AC947" i="1"/>
  <c r="AC951" i="1"/>
  <c r="AC955" i="1"/>
  <c r="AC959" i="1"/>
  <c r="AC963" i="1"/>
  <c r="AC967" i="1"/>
  <c r="Y968" i="1"/>
  <c r="AC971" i="1"/>
  <c r="AC975" i="1"/>
  <c r="AC979" i="1"/>
  <c r="AC1083" i="1"/>
  <c r="AC1091" i="1"/>
  <c r="AC1095" i="1"/>
  <c r="AC1099" i="1"/>
  <c r="AC1177" i="1"/>
  <c r="AC1185" i="1"/>
  <c r="AC1193" i="1"/>
  <c r="AC1201" i="1"/>
  <c r="AC1209" i="1"/>
  <c r="AC1217" i="1"/>
  <c r="AC1225" i="1"/>
  <c r="AC1233" i="1"/>
  <c r="AC1241" i="1"/>
  <c r="M2821" i="1"/>
  <c r="R2821" i="1" s="1"/>
  <c r="AC1249" i="1"/>
  <c r="AC1257" i="1"/>
  <c r="AC1265" i="1"/>
  <c r="AC1273" i="1"/>
  <c r="AC1281" i="1"/>
  <c r="AC1285" i="1"/>
  <c r="AC1293" i="1"/>
  <c r="AC1297" i="1"/>
  <c r="AC1301" i="1"/>
  <c r="AC1305" i="1"/>
  <c r="AC1309" i="1"/>
  <c r="AC1317" i="1"/>
  <c r="AC1321" i="1"/>
  <c r="AC1325" i="1"/>
  <c r="AC1329" i="1"/>
  <c r="AC1333" i="1"/>
  <c r="AC1341" i="1"/>
  <c r="AC1345" i="1"/>
  <c r="AC1349" i="1"/>
  <c r="AC1353" i="1"/>
  <c r="AC1559" i="1"/>
  <c r="AC1563" i="1"/>
  <c r="AC1567" i="1"/>
  <c r="AC1571" i="1"/>
  <c r="AC1575" i="1"/>
  <c r="AC1579" i="1"/>
  <c r="AC1583" i="1"/>
  <c r="AC1587" i="1"/>
  <c r="AC1591" i="1"/>
  <c r="AC1595" i="1"/>
  <c r="AC1599" i="1"/>
  <c r="AC1603" i="1"/>
  <c r="AC1607" i="1"/>
  <c r="AC1611" i="1"/>
  <c r="AC1619" i="1"/>
  <c r="AC1623" i="1"/>
  <c r="AC1627" i="1"/>
  <c r="AC1631" i="1"/>
  <c r="AC1635" i="1"/>
  <c r="AC1639" i="1"/>
  <c r="AC1663" i="1"/>
  <c r="AC1671" i="1"/>
  <c r="AC1679" i="1"/>
  <c r="AC2091" i="1"/>
  <c r="AC2099" i="1"/>
  <c r="AC2107" i="1"/>
  <c r="AC2115" i="1"/>
  <c r="Y2116" i="1"/>
  <c r="AC2123" i="1"/>
  <c r="AC2131" i="1"/>
  <c r="Y2132" i="1"/>
  <c r="M2134" i="1"/>
  <c r="R2134" i="1" s="1"/>
  <c r="AC2139" i="1"/>
  <c r="M2142" i="1"/>
  <c r="R2142" i="1" s="1"/>
  <c r="AC2147" i="1"/>
  <c r="AC2155" i="1"/>
  <c r="M2161" i="1"/>
  <c r="R2161" i="1" s="1"/>
  <c r="M2181" i="1"/>
  <c r="R2181" i="1" s="1"/>
  <c r="AC2225" i="1"/>
  <c r="AC2233" i="1"/>
  <c r="AC2241" i="1"/>
  <c r="Y2246" i="1"/>
  <c r="AC2249" i="1"/>
  <c r="AC2257" i="1"/>
  <c r="AC2265" i="1"/>
  <c r="AC2273" i="1"/>
  <c r="AC2281" i="1"/>
  <c r="AC2289" i="1"/>
  <c r="AC2297" i="1"/>
  <c r="AC2305" i="1"/>
  <c r="AC2313" i="1"/>
  <c r="M2320" i="1"/>
  <c r="R2320" i="1" s="1"/>
  <c r="AC2321" i="1"/>
  <c r="AC2329" i="1"/>
  <c r="AC2337" i="1"/>
  <c r="AC2345" i="1"/>
  <c r="AC2353" i="1"/>
  <c r="M2786" i="1"/>
  <c r="R2786" i="1" s="1"/>
  <c r="AC2787" i="1"/>
  <c r="AC2795" i="1"/>
  <c r="M2802" i="1"/>
  <c r="R2802" i="1" s="1"/>
  <c r="AC2811" i="1"/>
  <c r="AC2883" i="1"/>
  <c r="M2982" i="1"/>
  <c r="R2982" i="1" s="1"/>
  <c r="M1325" i="1"/>
  <c r="R1325" i="1" s="1"/>
  <c r="AC1357" i="1"/>
  <c r="AC1361" i="1"/>
  <c r="AC1365" i="1"/>
  <c r="M1368" i="1"/>
  <c r="R1368" i="1" s="1"/>
  <c r="AC1369" i="1"/>
  <c r="AC1373" i="1"/>
  <c r="AC1381" i="1"/>
  <c r="M1468" i="1"/>
  <c r="R1468" i="1" s="1"/>
  <c r="AC1695" i="1"/>
  <c r="AC1703" i="1"/>
  <c r="AC1711" i="1"/>
  <c r="AC1719" i="1"/>
  <c r="Y1760" i="1"/>
  <c r="AC1997" i="1"/>
  <c r="AC2474" i="1"/>
  <c r="AC2478" i="1"/>
  <c r="AC2482" i="1"/>
  <c r="AC2486" i="1"/>
  <c r="AC2490" i="1"/>
  <c r="AC2494" i="1"/>
  <c r="AC2498" i="1"/>
  <c r="AC2525" i="1"/>
  <c r="AC2533" i="1"/>
  <c r="AC2541" i="1"/>
  <c r="AC2561" i="1"/>
  <c r="AC2569" i="1"/>
  <c r="AC2577" i="1"/>
  <c r="M2592" i="1"/>
  <c r="R2592" i="1" s="1"/>
  <c r="AC2593" i="1"/>
  <c r="M2600" i="1"/>
  <c r="R2600" i="1" s="1"/>
  <c r="AC2601" i="1"/>
  <c r="AC2609" i="1"/>
  <c r="AC2617" i="1"/>
  <c r="AC2621" i="1"/>
  <c r="AC2625" i="1"/>
  <c r="M2632" i="1"/>
  <c r="R2632" i="1" s="1"/>
  <c r="AC2633" i="1"/>
  <c r="AC2637" i="1"/>
  <c r="AC2641" i="1"/>
  <c r="M2668" i="1"/>
  <c r="R2668" i="1" s="1"/>
  <c r="AC2669" i="1"/>
  <c r="M2680" i="1"/>
  <c r="R2680" i="1" s="1"/>
  <c r="M2684" i="1"/>
  <c r="R2684" i="1" s="1"/>
  <c r="AC2685" i="1"/>
  <c r="Y2758" i="1"/>
  <c r="M1282" i="1"/>
  <c r="R1282" i="1" s="1"/>
  <c r="M1290" i="1"/>
  <c r="R1290" i="1" s="1"/>
  <c r="M1330" i="1"/>
  <c r="R1330" i="1" s="1"/>
  <c r="M1365" i="1"/>
  <c r="R1365" i="1" s="1"/>
  <c r="M1496" i="1"/>
  <c r="R1496" i="1" s="1"/>
  <c r="M1504" i="1"/>
  <c r="R1504" i="1" s="1"/>
  <c r="Y1796" i="1"/>
  <c r="M1850" i="1"/>
  <c r="R1850" i="1" s="1"/>
  <c r="M1858" i="1"/>
  <c r="R1858" i="1" s="1"/>
  <c r="M1917" i="1"/>
  <c r="R1917" i="1" s="1"/>
  <c r="M1925" i="1"/>
  <c r="R1925" i="1" s="1"/>
  <c r="M1929" i="1"/>
  <c r="R1929" i="1" s="1"/>
  <c r="M1933" i="1"/>
  <c r="R1933" i="1" s="1"/>
  <c r="M1957" i="1"/>
  <c r="R1957" i="1" s="1"/>
  <c r="M2073" i="1"/>
  <c r="R2073" i="1" s="1"/>
  <c r="M2096" i="1"/>
  <c r="R2096" i="1" s="1"/>
  <c r="M2116" i="1"/>
  <c r="R2116" i="1" s="1"/>
  <c r="M2140" i="1"/>
  <c r="R2140" i="1" s="1"/>
  <c r="M2156" i="1"/>
  <c r="R2156" i="1" s="1"/>
  <c r="M2246" i="1"/>
  <c r="R2246" i="1" s="1"/>
  <c r="M2406" i="1"/>
  <c r="R2406" i="1" s="1"/>
  <c r="M2446" i="1"/>
  <c r="R2446" i="1" s="1"/>
  <c r="Y2468" i="1"/>
  <c r="M2478" i="1"/>
  <c r="R2478" i="1" s="1"/>
  <c r="M2529" i="1"/>
  <c r="R2529" i="1" s="1"/>
  <c r="M2541" i="1"/>
  <c r="R2541" i="1" s="1"/>
  <c r="M2557" i="1"/>
  <c r="R2557" i="1" s="1"/>
  <c r="M2625" i="1"/>
  <c r="R2625" i="1" s="1"/>
  <c r="M2645" i="1"/>
  <c r="R2645" i="1" s="1"/>
  <c r="M2677" i="1"/>
  <c r="R2677" i="1" s="1"/>
  <c r="M2717" i="1"/>
  <c r="R2717" i="1" s="1"/>
  <c r="Y2974" i="1"/>
  <c r="AC294" i="1"/>
  <c r="AC298" i="1"/>
  <c r="AC302" i="1"/>
  <c r="AC306" i="1"/>
  <c r="AC310" i="1"/>
  <c r="AC314" i="1"/>
  <c r="AC318" i="1"/>
  <c r="AC322" i="1"/>
  <c r="AC326" i="1"/>
  <c r="AC330" i="1"/>
  <c r="AC334" i="1"/>
  <c r="AC342" i="1"/>
  <c r="AC346" i="1"/>
  <c r="AC350" i="1"/>
  <c r="AC358" i="1"/>
  <c r="AC361" i="1"/>
  <c r="AC369" i="1"/>
  <c r="AC377" i="1"/>
  <c r="AC381" i="1"/>
  <c r="AC385" i="1"/>
  <c r="AC393" i="1"/>
  <c r="AC401" i="1"/>
  <c r="AC559" i="1"/>
  <c r="AC575" i="1"/>
  <c r="AC591" i="1"/>
  <c r="AC623" i="1"/>
  <c r="AC639" i="1"/>
  <c r="AC651" i="1"/>
  <c r="AC655" i="1"/>
  <c r="AC659" i="1"/>
  <c r="AC663" i="1"/>
  <c r="AC667" i="1"/>
  <c r="AC675" i="1"/>
  <c r="AC679" i="1"/>
  <c r="AC683" i="1"/>
  <c r="AC687" i="1"/>
  <c r="AC691" i="1"/>
  <c r="M738" i="1"/>
  <c r="R738" i="1" s="1"/>
  <c r="AC2711" i="1"/>
  <c r="AC2731" i="1"/>
  <c r="AC2739" i="1"/>
  <c r="AC2755" i="1"/>
  <c r="AC2763" i="1"/>
  <c r="AC2771" i="1"/>
  <c r="AC2779" i="1"/>
  <c r="AC204" i="1"/>
  <c r="AC208" i="1"/>
  <c r="AC216" i="1"/>
  <c r="AC224" i="1"/>
  <c r="AC232" i="1"/>
  <c r="AC240" i="1"/>
  <c r="AC248" i="1"/>
  <c r="AC256" i="1"/>
  <c r="AC264" i="1"/>
  <c r="AC272" i="1"/>
  <c r="AC280" i="1"/>
  <c r="AC288" i="1"/>
  <c r="AC537" i="1"/>
  <c r="AC553" i="1"/>
  <c r="AC569" i="1"/>
  <c r="AC585" i="1"/>
  <c r="AC601" i="1"/>
  <c r="AC609" i="1"/>
  <c r="AC617" i="1"/>
  <c r="AC625" i="1"/>
  <c r="AC633" i="1"/>
  <c r="AC641" i="1"/>
  <c r="AC649" i="1"/>
  <c r="AC703" i="1"/>
  <c r="AC707" i="1"/>
  <c r="AC711" i="1"/>
  <c r="AC715" i="1"/>
  <c r="AC719" i="1"/>
  <c r="AC723" i="1"/>
  <c r="AC731" i="1"/>
  <c r="AC1107" i="1"/>
  <c r="AC1115" i="1"/>
  <c r="AC1123" i="1"/>
  <c r="AC1131" i="1"/>
  <c r="AC1139" i="1"/>
  <c r="AC1147" i="1"/>
  <c r="AC1155" i="1"/>
  <c r="AC1159" i="1"/>
  <c r="AC1163" i="1"/>
  <c r="AC1385" i="1"/>
  <c r="AC1389" i="1"/>
  <c r="AC1393" i="1"/>
  <c r="AC1397" i="1"/>
  <c r="AC1405" i="1"/>
  <c r="AC1409" i="1"/>
  <c r="AC1413" i="1"/>
  <c r="AC1417" i="1"/>
  <c r="AC1425" i="1"/>
  <c r="AC1433" i="1"/>
  <c r="AC1441" i="1"/>
  <c r="AC1449" i="1"/>
  <c r="AC1457" i="1"/>
  <c r="AC1465" i="1"/>
  <c r="AC1473" i="1"/>
  <c r="AC1481" i="1"/>
  <c r="AC2701" i="1"/>
  <c r="AC2737" i="1"/>
  <c r="AC2745" i="1"/>
  <c r="AC2749" i="1"/>
  <c r="AC2753" i="1"/>
  <c r="AC2761" i="1"/>
  <c r="AC2769" i="1"/>
  <c r="AC2773" i="1"/>
  <c r="AC2777" i="1"/>
  <c r="AC2781" i="1"/>
  <c r="AC2840" i="1"/>
  <c r="AC2558" i="1"/>
  <c r="AC2566" i="1"/>
  <c r="AC2574" i="1"/>
  <c r="AC2582" i="1"/>
  <c r="AC2590" i="1"/>
  <c r="AC2610" i="1"/>
  <c r="AC2626" i="1"/>
  <c r="M2636" i="1"/>
  <c r="R2636" i="1" s="1"/>
  <c r="AC2646" i="1"/>
  <c r="AC2674" i="1"/>
  <c r="AC2961" i="1"/>
  <c r="AC2969" i="1"/>
  <c r="AC2977" i="1"/>
  <c r="AG2673" i="1"/>
  <c r="AG2807" i="1"/>
  <c r="M204" i="1"/>
  <c r="R204" i="1" s="1"/>
  <c r="Y296" i="1"/>
  <c r="AE296" i="1" s="1"/>
  <c r="M41" i="1"/>
  <c r="R41" i="1" s="1"/>
  <c r="Y43" i="1"/>
  <c r="M57" i="1"/>
  <c r="R57" i="1" s="1"/>
  <c r="M101" i="1"/>
  <c r="R101" i="1" s="1"/>
  <c r="M133" i="1"/>
  <c r="R133" i="1" s="1"/>
  <c r="M136" i="1"/>
  <c r="R136" i="1" s="1"/>
  <c r="M145" i="1"/>
  <c r="R145" i="1" s="1"/>
  <c r="M172" i="1"/>
  <c r="R172" i="1" s="1"/>
  <c r="M181" i="1"/>
  <c r="R181" i="1" s="1"/>
  <c r="AD201" i="1"/>
  <c r="M279" i="1"/>
  <c r="R279" i="1" s="1"/>
  <c r="M240" i="1"/>
  <c r="R240" i="1" s="1"/>
  <c r="M242" i="1"/>
  <c r="R242" i="1" s="1"/>
  <c r="M245" i="1"/>
  <c r="R245" i="1" s="1"/>
  <c r="M251" i="1"/>
  <c r="R251" i="1" s="1"/>
  <c r="M264" i="1"/>
  <c r="R264" i="1" s="1"/>
  <c r="M325" i="1"/>
  <c r="R325" i="1" s="1"/>
  <c r="M21" i="1"/>
  <c r="R21" i="1" s="1"/>
  <c r="Y151" i="1"/>
  <c r="M425" i="1"/>
  <c r="R425" i="1" s="1"/>
  <c r="M489" i="1"/>
  <c r="R489" i="1" s="1"/>
  <c r="M491" i="1"/>
  <c r="R491" i="1" s="1"/>
  <c r="Y566" i="1"/>
  <c r="M568" i="1"/>
  <c r="R568" i="1" s="1"/>
  <c r="M715" i="1"/>
  <c r="R715" i="1" s="1"/>
  <c r="Y722" i="1"/>
  <c r="AD722" i="1" s="1"/>
  <c r="M743" i="1"/>
  <c r="R743" i="1" s="1"/>
  <c r="Y748" i="1"/>
  <c r="M750" i="1"/>
  <c r="R750" i="1" s="1"/>
  <c r="M767" i="1"/>
  <c r="R767" i="1" s="1"/>
  <c r="M804" i="1"/>
  <c r="R804" i="1" s="1"/>
  <c r="Y820" i="1"/>
  <c r="M822" i="1"/>
  <c r="R822" i="1" s="1"/>
  <c r="M839" i="1"/>
  <c r="R839" i="1" s="1"/>
  <c r="M866" i="1"/>
  <c r="R866" i="1" s="1"/>
  <c r="Y393" i="1"/>
  <c r="M397" i="1"/>
  <c r="R397" i="1" s="1"/>
  <c r="M401" i="1"/>
  <c r="R401" i="1" s="1"/>
  <c r="M419" i="1"/>
  <c r="R419" i="1" s="1"/>
  <c r="M441" i="1"/>
  <c r="R441" i="1" s="1"/>
  <c r="M521" i="1"/>
  <c r="R521" i="1" s="1"/>
  <c r="M556" i="1"/>
  <c r="R556" i="1" s="1"/>
  <c r="M636" i="1"/>
  <c r="R636" i="1" s="1"/>
  <c r="M1020" i="1"/>
  <c r="R1020" i="1" s="1"/>
  <c r="M1079" i="1"/>
  <c r="R1079" i="1" s="1"/>
  <c r="M1082" i="1"/>
  <c r="R1082" i="1" s="1"/>
  <c r="M1088" i="1"/>
  <c r="R1088" i="1" s="1"/>
  <c r="M411" i="1"/>
  <c r="R411" i="1" s="1"/>
  <c r="M435" i="1"/>
  <c r="R435" i="1" s="1"/>
  <c r="M515" i="1"/>
  <c r="R515" i="1" s="1"/>
  <c r="M519" i="1"/>
  <c r="R519" i="1" s="1"/>
  <c r="M529" i="1"/>
  <c r="R529" i="1" s="1"/>
  <c r="M532" i="1"/>
  <c r="R532" i="1" s="1"/>
  <c r="M544" i="1"/>
  <c r="R544" i="1" s="1"/>
  <c r="M550" i="1"/>
  <c r="R550" i="1" s="1"/>
  <c r="M617" i="1"/>
  <c r="R617" i="1" s="1"/>
  <c r="M622" i="1"/>
  <c r="R622" i="1" s="1"/>
  <c r="M624" i="1"/>
  <c r="R624" i="1" s="1"/>
  <c r="M627" i="1"/>
  <c r="R627" i="1" s="1"/>
  <c r="M658" i="1"/>
  <c r="R658" i="1" s="1"/>
  <c r="M666" i="1"/>
  <c r="R666" i="1" s="1"/>
  <c r="M675" i="1"/>
  <c r="R675" i="1" s="1"/>
  <c r="M678" i="1"/>
  <c r="R678" i="1" s="1"/>
  <c r="M687" i="1"/>
  <c r="R687" i="1" s="1"/>
  <c r="M719" i="1"/>
  <c r="R719" i="1" s="1"/>
  <c r="M722" i="1"/>
  <c r="R722" i="1" s="1"/>
  <c r="M728" i="1"/>
  <c r="R728" i="1" s="1"/>
  <c r="M732" i="1"/>
  <c r="R732" i="1" s="1"/>
  <c r="M748" i="1"/>
  <c r="R748" i="1" s="1"/>
  <c r="M779" i="1"/>
  <c r="R779" i="1" s="1"/>
  <c r="M791" i="1"/>
  <c r="R791" i="1" s="1"/>
  <c r="M827" i="1"/>
  <c r="R827" i="1" s="1"/>
  <c r="M844" i="1"/>
  <c r="R844" i="1" s="1"/>
  <c r="M851" i="1"/>
  <c r="R851" i="1" s="1"/>
  <c r="M914" i="1"/>
  <c r="R914" i="1" s="1"/>
  <c r="M1078" i="1"/>
  <c r="R1078" i="1" s="1"/>
  <c r="M1258" i="1"/>
  <c r="R1258" i="1" s="1"/>
  <c r="M1446" i="1"/>
  <c r="R1446" i="1" s="1"/>
  <c r="M1460" i="1"/>
  <c r="R1460" i="1" s="1"/>
  <c r="M1484" i="1"/>
  <c r="R1484" i="1" s="1"/>
  <c r="M1688" i="1"/>
  <c r="R1688" i="1" s="1"/>
  <c r="M1694" i="1"/>
  <c r="R1694" i="1" s="1"/>
  <c r="M1094" i="1"/>
  <c r="R1094" i="1" s="1"/>
  <c r="M1112" i="1"/>
  <c r="R1112" i="1" s="1"/>
  <c r="M1118" i="1"/>
  <c r="R1118" i="1" s="1"/>
  <c r="M1132" i="1"/>
  <c r="R1132" i="1" s="1"/>
  <c r="M1136" i="1"/>
  <c r="R1136" i="1" s="1"/>
  <c r="M1166" i="1"/>
  <c r="R1166" i="1" s="1"/>
  <c r="M1184" i="1"/>
  <c r="R1184" i="1" s="1"/>
  <c r="M1187" i="1"/>
  <c r="R1187" i="1" s="1"/>
  <c r="M1196" i="1"/>
  <c r="R1196" i="1" s="1"/>
  <c r="M1199" i="1"/>
  <c r="R1199" i="1" s="1"/>
  <c r="M1218" i="1"/>
  <c r="R1218" i="1" s="1"/>
  <c r="M1228" i="1"/>
  <c r="R1228" i="1" s="1"/>
  <c r="M1324" i="1"/>
  <c r="R1324" i="1" s="1"/>
  <c r="M1364" i="1"/>
  <c r="R1364" i="1" s="1"/>
  <c r="M1375" i="1"/>
  <c r="R1375" i="1" s="1"/>
  <c r="M1412" i="1"/>
  <c r="R1412" i="1" s="1"/>
  <c r="M1417" i="1"/>
  <c r="R1417" i="1" s="1"/>
  <c r="M1420" i="1"/>
  <c r="R1420" i="1" s="1"/>
  <c r="M1444" i="1"/>
  <c r="R1444" i="1" s="1"/>
  <c r="M1452" i="1"/>
  <c r="R1452" i="1" s="1"/>
  <c r="M1455" i="1"/>
  <c r="R1455" i="1" s="1"/>
  <c r="M1415" i="1"/>
  <c r="R1415" i="1" s="1"/>
  <c r="Y1506" i="1"/>
  <c r="M1512" i="1"/>
  <c r="R1512" i="1" s="1"/>
  <c r="M1620" i="1"/>
  <c r="R1620" i="1" s="1"/>
  <c r="M1627" i="1"/>
  <c r="R1627" i="1" s="1"/>
  <c r="M1630" i="1"/>
  <c r="R1630" i="1" s="1"/>
  <c r="M1635" i="1"/>
  <c r="R1635" i="1" s="1"/>
  <c r="M1638" i="1"/>
  <c r="R1638" i="1" s="1"/>
  <c r="M1644" i="1"/>
  <c r="R1644" i="1" s="1"/>
  <c r="M1710" i="1"/>
  <c r="R1710" i="1" s="1"/>
  <c r="Y1900" i="1"/>
  <c r="M2122" i="1"/>
  <c r="R2122" i="1" s="1"/>
  <c r="Y2206" i="1"/>
  <c r="Y2350" i="1"/>
  <c r="M2364" i="1"/>
  <c r="R2364" i="1" s="1"/>
  <c r="M2367" i="1"/>
  <c r="R2367" i="1" s="1"/>
  <c r="M2371" i="1"/>
  <c r="R2371" i="1" s="1"/>
  <c r="M2382" i="1"/>
  <c r="R2382" i="1" s="1"/>
  <c r="Y1860" i="1"/>
  <c r="AF1860" i="1" s="1"/>
  <c r="Y1960" i="1"/>
  <c r="M2019" i="1"/>
  <c r="R2019" i="1" s="1"/>
  <c r="M2231" i="1"/>
  <c r="R2231" i="1" s="1"/>
  <c r="M2236" i="1"/>
  <c r="R2236" i="1" s="1"/>
  <c r="M2254" i="1"/>
  <c r="R2254" i="1" s="1"/>
  <c r="Y2270" i="1"/>
  <c r="AF2270" i="1" s="1"/>
  <c r="M2276" i="1"/>
  <c r="R2276" i="1" s="1"/>
  <c r="M2328" i="1"/>
  <c r="R2328" i="1" s="1"/>
  <c r="M2356" i="1"/>
  <c r="R2356" i="1" s="1"/>
  <c r="M2390" i="1"/>
  <c r="R2390" i="1" s="1"/>
  <c r="M2393" i="1"/>
  <c r="R2393" i="1" s="1"/>
  <c r="M1978" i="1"/>
  <c r="R1978" i="1" s="1"/>
  <c r="M1990" i="1"/>
  <c r="R1990" i="1" s="1"/>
  <c r="M2002" i="1"/>
  <c r="R2002" i="1" s="1"/>
  <c r="M2014" i="1"/>
  <c r="R2014" i="1" s="1"/>
  <c r="Y1780" i="1"/>
  <c r="AF1780" i="1" s="1"/>
  <c r="Y2254" i="1"/>
  <c r="AF2254" i="1" s="1"/>
  <c r="Y2362" i="1"/>
  <c r="M2696" i="1"/>
  <c r="R2696" i="1" s="1"/>
  <c r="M2738" i="1"/>
  <c r="R2738" i="1" s="1"/>
  <c r="Y2742" i="1"/>
  <c r="M2752" i="1"/>
  <c r="R2752" i="1" s="1"/>
  <c r="M2828" i="1"/>
  <c r="R2828" i="1" s="1"/>
  <c r="M2854" i="1"/>
  <c r="R2854" i="1" s="1"/>
  <c r="M2858" i="1"/>
  <c r="R2858" i="1" s="1"/>
  <c r="Y2866" i="1"/>
  <c r="M2880" i="1"/>
  <c r="R2880" i="1" s="1"/>
  <c r="M2905" i="1"/>
  <c r="R2905" i="1" s="1"/>
  <c r="Y2914" i="1"/>
  <c r="M2920" i="1"/>
  <c r="R2920" i="1" s="1"/>
  <c r="M2929" i="1"/>
  <c r="R2929" i="1" s="1"/>
  <c r="M2396" i="1"/>
  <c r="R2396" i="1" s="1"/>
  <c r="M2400" i="1"/>
  <c r="R2400" i="1" s="1"/>
  <c r="M2421" i="1"/>
  <c r="R2421" i="1" s="1"/>
  <c r="M2424" i="1"/>
  <c r="R2424" i="1" s="1"/>
  <c r="M2437" i="1"/>
  <c r="R2437" i="1" s="1"/>
  <c r="M2441" i="1"/>
  <c r="R2441" i="1" s="1"/>
  <c r="M2488" i="1"/>
  <c r="R2488" i="1" s="1"/>
  <c r="M2493" i="1"/>
  <c r="R2493" i="1" s="1"/>
  <c r="M2512" i="1"/>
  <c r="R2512" i="1" s="1"/>
  <c r="M2516" i="1"/>
  <c r="R2516" i="1" s="1"/>
  <c r="M2520" i="1"/>
  <c r="R2520" i="1" s="1"/>
  <c r="M2524" i="1"/>
  <c r="R2524" i="1" s="1"/>
  <c r="M2539" i="1"/>
  <c r="R2539" i="1" s="1"/>
  <c r="M2549" i="1"/>
  <c r="R2549" i="1" s="1"/>
  <c r="M2574" i="1"/>
  <c r="R2574" i="1" s="1"/>
  <c r="M2630" i="1"/>
  <c r="R2630" i="1" s="1"/>
  <c r="M2634" i="1"/>
  <c r="R2634" i="1" s="1"/>
  <c r="M2658" i="1"/>
  <c r="R2658" i="1" s="1"/>
  <c r="M2666" i="1"/>
  <c r="R2666" i="1" s="1"/>
  <c r="M2700" i="1"/>
  <c r="R2700" i="1" s="1"/>
  <c r="M2711" i="1"/>
  <c r="R2711" i="1" s="1"/>
  <c r="M2714" i="1"/>
  <c r="R2714" i="1" s="1"/>
  <c r="M2727" i="1"/>
  <c r="R2727" i="1" s="1"/>
  <c r="M2741" i="1"/>
  <c r="R2741" i="1" s="1"/>
  <c r="M2758" i="1"/>
  <c r="R2758" i="1" s="1"/>
  <c r="M2762" i="1"/>
  <c r="R2762" i="1" s="1"/>
  <c r="M2715" i="1"/>
  <c r="R2715" i="1" s="1"/>
  <c r="M2725" i="1"/>
  <c r="R2725" i="1" s="1"/>
  <c r="M2776" i="1"/>
  <c r="R2776" i="1" s="1"/>
  <c r="M2891" i="1"/>
  <c r="R2891" i="1" s="1"/>
  <c r="M2914" i="1"/>
  <c r="R2914" i="1" s="1"/>
  <c r="M2924" i="1"/>
  <c r="R2924" i="1" s="1"/>
  <c r="Y2620" i="1"/>
  <c r="Y169" i="1"/>
  <c r="AG169" i="1" s="1"/>
  <c r="Y199" i="1"/>
  <c r="AE199" i="1" s="1"/>
  <c r="M485" i="1"/>
  <c r="R485" i="1" s="1"/>
  <c r="Y527" i="1"/>
  <c r="Y612" i="1"/>
  <c r="AE612" i="1" s="1"/>
  <c r="Y746" i="1"/>
  <c r="AD746" i="1" s="1"/>
  <c r="Y792" i="1"/>
  <c r="Y828" i="1"/>
  <c r="Y916" i="1"/>
  <c r="Y1060" i="1"/>
  <c r="Y1064" i="1"/>
  <c r="Y1176" i="1"/>
  <c r="Y1216" i="1"/>
  <c r="Y1354" i="1"/>
  <c r="Y1422" i="1"/>
  <c r="Y11" i="1"/>
  <c r="Y103" i="1"/>
  <c r="Y131" i="1"/>
  <c r="AE131" i="1" s="1"/>
  <c r="Y335" i="1"/>
  <c r="M43" i="1"/>
  <c r="R43" i="1" s="1"/>
  <c r="M59" i="1"/>
  <c r="R59" i="1" s="1"/>
  <c r="Y83" i="1"/>
  <c r="M151" i="1"/>
  <c r="R151" i="1" s="1"/>
  <c r="Y191" i="1"/>
  <c r="M290" i="1"/>
  <c r="R290" i="1" s="1"/>
  <c r="M293" i="1"/>
  <c r="R293" i="1" s="1"/>
  <c r="M296" i="1"/>
  <c r="R296" i="1" s="1"/>
  <c r="M329" i="1"/>
  <c r="R329" i="1" s="1"/>
  <c r="M337" i="1"/>
  <c r="R337" i="1" s="1"/>
  <c r="M348" i="1"/>
  <c r="R348" i="1" s="1"/>
  <c r="M356" i="1"/>
  <c r="R356" i="1" s="1"/>
  <c r="M359" i="1"/>
  <c r="R359" i="1" s="1"/>
  <c r="M365" i="1"/>
  <c r="R365" i="1" s="1"/>
  <c r="M382" i="1"/>
  <c r="R382" i="1" s="1"/>
  <c r="M385" i="1"/>
  <c r="R385" i="1" s="1"/>
  <c r="M388" i="1"/>
  <c r="R388" i="1" s="1"/>
  <c r="M393" i="1"/>
  <c r="R393" i="1" s="1"/>
  <c r="M409" i="1"/>
  <c r="R409" i="1" s="1"/>
  <c r="M475" i="1"/>
  <c r="R475" i="1" s="1"/>
  <c r="M505" i="1"/>
  <c r="R505" i="1" s="1"/>
  <c r="Y507" i="1"/>
  <c r="M593" i="1"/>
  <c r="R593" i="1" s="1"/>
  <c r="M601" i="1"/>
  <c r="R601" i="1" s="1"/>
  <c r="Y720" i="1"/>
  <c r="Y790" i="1"/>
  <c r="M883" i="1"/>
  <c r="R883" i="1" s="1"/>
  <c r="Y900" i="1"/>
  <c r="M902" i="1"/>
  <c r="R902" i="1" s="1"/>
  <c r="M915" i="1"/>
  <c r="R915" i="1" s="1"/>
  <c r="M966" i="1"/>
  <c r="R966" i="1" s="1"/>
  <c r="M968" i="1"/>
  <c r="R968" i="1" s="1"/>
  <c r="Y996" i="1"/>
  <c r="M998" i="1"/>
  <c r="R998" i="1" s="1"/>
  <c r="Y1020" i="1"/>
  <c r="M1022" i="1"/>
  <c r="R1022" i="1" s="1"/>
  <c r="M1036" i="1"/>
  <c r="R1036" i="1" s="1"/>
  <c r="M1054" i="1"/>
  <c r="R1054" i="1" s="1"/>
  <c r="M1059" i="1"/>
  <c r="R1059" i="1" s="1"/>
  <c r="M1083" i="1"/>
  <c r="R1083" i="1" s="1"/>
  <c r="Y1088" i="1"/>
  <c r="M1090" i="1"/>
  <c r="R1090" i="1" s="1"/>
  <c r="M1098" i="1"/>
  <c r="R1098" i="1" s="1"/>
  <c r="M1104" i="1"/>
  <c r="R1104" i="1" s="1"/>
  <c r="M1110" i="1"/>
  <c r="R1110" i="1" s="1"/>
  <c r="M1114" i="1"/>
  <c r="R1114" i="1" s="1"/>
  <c r="M1123" i="1"/>
  <c r="R1123" i="1" s="1"/>
  <c r="Y1136" i="1"/>
  <c r="M1138" i="1"/>
  <c r="R1138" i="1" s="1"/>
  <c r="M1154" i="1"/>
  <c r="R1154" i="1" s="1"/>
  <c r="M1159" i="1"/>
  <c r="R1159" i="1" s="1"/>
  <c r="M1162" i="1"/>
  <c r="R1162" i="1" s="1"/>
  <c r="M1167" i="1"/>
  <c r="R1167" i="1" s="1"/>
  <c r="M1212" i="1"/>
  <c r="R1212" i="1" s="1"/>
  <c r="M1252" i="1"/>
  <c r="R1252" i="1" s="1"/>
  <c r="M1301" i="1"/>
  <c r="R1301" i="1" s="1"/>
  <c r="M1312" i="1"/>
  <c r="R1312" i="1" s="1"/>
  <c r="M1393" i="1"/>
  <c r="R1393" i="1" s="1"/>
  <c r="M1435" i="1"/>
  <c r="R1435" i="1" s="1"/>
  <c r="Y1866" i="1"/>
  <c r="M1866" i="1"/>
  <c r="R1866" i="1" s="1"/>
  <c r="M11" i="1"/>
  <c r="R11" i="1" s="1"/>
  <c r="M49" i="1"/>
  <c r="R49" i="1" s="1"/>
  <c r="M65" i="1"/>
  <c r="R65" i="1" s="1"/>
  <c r="M85" i="1"/>
  <c r="R85" i="1" s="1"/>
  <c r="M93" i="1"/>
  <c r="R93" i="1" s="1"/>
  <c r="M97" i="1"/>
  <c r="R97" i="1" s="1"/>
  <c r="M103" i="1"/>
  <c r="R103" i="1" s="1"/>
  <c r="M113" i="1"/>
  <c r="R113" i="1" s="1"/>
  <c r="M127" i="1"/>
  <c r="R127" i="1" s="1"/>
  <c r="M131" i="1"/>
  <c r="R131" i="1" s="1"/>
  <c r="M156" i="1"/>
  <c r="R156" i="1" s="1"/>
  <c r="M169" i="1"/>
  <c r="R169" i="1" s="1"/>
  <c r="M199" i="1"/>
  <c r="R199" i="1" s="1"/>
  <c r="M203" i="1"/>
  <c r="R203" i="1" s="1"/>
  <c r="M207" i="1"/>
  <c r="R207" i="1" s="1"/>
  <c r="M275" i="1"/>
  <c r="R275" i="1" s="1"/>
  <c r="M288" i="1"/>
  <c r="R288" i="1" s="1"/>
  <c r="M294" i="1"/>
  <c r="R294" i="1" s="1"/>
  <c r="M302" i="1"/>
  <c r="R302" i="1" s="1"/>
  <c r="M305" i="1"/>
  <c r="R305" i="1" s="1"/>
  <c r="M324" i="1"/>
  <c r="R324" i="1" s="1"/>
  <c r="M333" i="1"/>
  <c r="R333" i="1" s="1"/>
  <c r="M335" i="1"/>
  <c r="R335" i="1" s="1"/>
  <c r="M343" i="1"/>
  <c r="R343" i="1" s="1"/>
  <c r="M380" i="1"/>
  <c r="R380" i="1" s="1"/>
  <c r="M383" i="1"/>
  <c r="R383" i="1" s="1"/>
  <c r="M400" i="1"/>
  <c r="R400" i="1" s="1"/>
  <c r="M403" i="1"/>
  <c r="R403" i="1" s="1"/>
  <c r="M421" i="1"/>
  <c r="R421" i="1" s="1"/>
  <c r="M429" i="1"/>
  <c r="R429" i="1" s="1"/>
  <c r="M437" i="1"/>
  <c r="R437" i="1" s="1"/>
  <c r="M445" i="1"/>
  <c r="R445" i="1" s="1"/>
  <c r="M453" i="1"/>
  <c r="R453" i="1" s="1"/>
  <c r="M461" i="1"/>
  <c r="R461" i="1" s="1"/>
  <c r="Y483" i="1"/>
  <c r="M495" i="1"/>
  <c r="R495" i="1" s="1"/>
  <c r="M527" i="1"/>
  <c r="R527" i="1" s="1"/>
  <c r="M537" i="1"/>
  <c r="R537" i="1" s="1"/>
  <c r="M545" i="1"/>
  <c r="R545" i="1" s="1"/>
  <c r="M584" i="1"/>
  <c r="R584" i="1" s="1"/>
  <c r="M588" i="1"/>
  <c r="R588" i="1" s="1"/>
  <c r="M612" i="1"/>
  <c r="R612" i="1" s="1"/>
  <c r="M635" i="1"/>
  <c r="R635" i="1" s="1"/>
  <c r="M670" i="1"/>
  <c r="R670" i="1" s="1"/>
  <c r="Y716" i="1"/>
  <c r="Y724" i="1"/>
  <c r="M726" i="1"/>
  <c r="R726" i="1" s="1"/>
  <c r="M746" i="1"/>
  <c r="R746" i="1" s="1"/>
  <c r="Y768" i="1"/>
  <c r="M770" i="1"/>
  <c r="R770" i="1" s="1"/>
  <c r="M806" i="1"/>
  <c r="R806" i="1" s="1"/>
  <c r="M824" i="1"/>
  <c r="R824" i="1" s="1"/>
  <c r="M828" i="1"/>
  <c r="R828" i="1" s="1"/>
  <c r="Y840" i="1"/>
  <c r="M842" i="1"/>
  <c r="R842" i="1" s="1"/>
  <c r="M895" i="1"/>
  <c r="R895" i="1" s="1"/>
  <c r="M899" i="1"/>
  <c r="R899" i="1" s="1"/>
  <c r="M906" i="1"/>
  <c r="R906" i="1" s="1"/>
  <c r="M911" i="1"/>
  <c r="R911" i="1" s="1"/>
  <c r="M916" i="1"/>
  <c r="R916" i="1" s="1"/>
  <c r="M931" i="1"/>
  <c r="R931" i="1" s="1"/>
  <c r="M979" i="1"/>
  <c r="R979" i="1" s="1"/>
  <c r="M982" i="1"/>
  <c r="R982" i="1" s="1"/>
  <c r="M987" i="1"/>
  <c r="R987" i="1" s="1"/>
  <c r="M990" i="1"/>
  <c r="R990" i="1" s="1"/>
  <c r="M992" i="1"/>
  <c r="R992" i="1" s="1"/>
  <c r="Y1004" i="1"/>
  <c r="M1006" i="1"/>
  <c r="R1006" i="1" s="1"/>
  <c r="M1011" i="1"/>
  <c r="R1011" i="1" s="1"/>
  <c r="M1014" i="1"/>
  <c r="R1014" i="1" s="1"/>
  <c r="M1016" i="1"/>
  <c r="R1016" i="1" s="1"/>
  <c r="M1046" i="1"/>
  <c r="R1046" i="1" s="1"/>
  <c r="M1060" i="1"/>
  <c r="R1060" i="1" s="1"/>
  <c r="M1064" i="1"/>
  <c r="R1064" i="1" s="1"/>
  <c r="M1087" i="1"/>
  <c r="R1087" i="1" s="1"/>
  <c r="M1102" i="1"/>
  <c r="R1102" i="1" s="1"/>
  <c r="M1135" i="1"/>
  <c r="R1135" i="1" s="1"/>
  <c r="M1142" i="1"/>
  <c r="R1142" i="1" s="1"/>
  <c r="M1146" i="1"/>
  <c r="R1146" i="1" s="1"/>
  <c r="M1155" i="1"/>
  <c r="R1155" i="1" s="1"/>
  <c r="M1172" i="1"/>
  <c r="R1172" i="1" s="1"/>
  <c r="M1192" i="1"/>
  <c r="R1192" i="1" s="1"/>
  <c r="M1195" i="1"/>
  <c r="R1195" i="1" s="1"/>
  <c r="M1203" i="1"/>
  <c r="R1203" i="1" s="1"/>
  <c r="M1210" i="1"/>
  <c r="R1210" i="1" s="1"/>
  <c r="M1232" i="1"/>
  <c r="R1232" i="1" s="1"/>
  <c r="M1243" i="1"/>
  <c r="R1243" i="1" s="1"/>
  <c r="M1250" i="1"/>
  <c r="R1250" i="1" s="1"/>
  <c r="M1276" i="1"/>
  <c r="R1276" i="1" s="1"/>
  <c r="M1279" i="1"/>
  <c r="R1279" i="1" s="1"/>
  <c r="M1289" i="1"/>
  <c r="R1289" i="1" s="1"/>
  <c r="M1296" i="1"/>
  <c r="R1296" i="1" s="1"/>
  <c r="Y1330" i="1"/>
  <c r="M1340" i="1"/>
  <c r="R1340" i="1" s="1"/>
  <c r="M1344" i="1"/>
  <c r="R1344" i="1" s="1"/>
  <c r="M1352" i="1"/>
  <c r="R1352" i="1" s="1"/>
  <c r="M1354" i="1"/>
  <c r="R1354" i="1" s="1"/>
  <c r="M1388" i="1"/>
  <c r="R1388" i="1" s="1"/>
  <c r="M1422" i="1"/>
  <c r="R1422" i="1" s="1"/>
  <c r="M1428" i="1"/>
  <c r="R1428" i="1" s="1"/>
  <c r="M1431" i="1"/>
  <c r="R1431" i="1" s="1"/>
  <c r="M1436" i="1"/>
  <c r="R1436" i="1" s="1"/>
  <c r="M1462" i="1"/>
  <c r="R1462" i="1" s="1"/>
  <c r="M1506" i="1"/>
  <c r="R1506" i="1" s="1"/>
  <c r="M1526" i="1"/>
  <c r="R1526" i="1" s="1"/>
  <c r="M1533" i="1"/>
  <c r="R1533" i="1" s="1"/>
  <c r="M1540" i="1"/>
  <c r="R1540" i="1" s="1"/>
  <c r="M1567" i="1"/>
  <c r="R1567" i="1" s="1"/>
  <c r="M1578" i="1"/>
  <c r="R1578" i="1" s="1"/>
  <c r="M1588" i="1"/>
  <c r="R1588" i="1" s="1"/>
  <c r="M1592" i="1"/>
  <c r="R1592" i="1" s="1"/>
  <c r="Y1716" i="1"/>
  <c r="Y1744" i="1"/>
  <c r="M1746" i="1"/>
  <c r="R1746" i="1" s="1"/>
  <c r="M1773" i="1"/>
  <c r="R1773" i="1" s="1"/>
  <c r="M1776" i="1"/>
  <c r="R1776" i="1" s="1"/>
  <c r="Y1784" i="1"/>
  <c r="M1792" i="1"/>
  <c r="R1792" i="1" s="1"/>
  <c r="Y1800" i="1"/>
  <c r="M1812" i="1"/>
  <c r="R1812" i="1" s="1"/>
  <c r="M1828" i="1"/>
  <c r="R1828" i="1" s="1"/>
  <c r="Y1944" i="1"/>
  <c r="AF1944" i="1" s="1"/>
  <c r="M2026" i="1"/>
  <c r="R2026" i="1" s="1"/>
  <c r="M2041" i="1"/>
  <c r="R2041" i="1" s="1"/>
  <c r="Y2064" i="1"/>
  <c r="Y2148" i="1"/>
  <c r="Y2174" i="1"/>
  <c r="Y2222" i="1"/>
  <c r="Y2262" i="1"/>
  <c r="Y2288" i="1"/>
  <c r="AG2288" i="1" s="1"/>
  <c r="Y2332" i="1"/>
  <c r="M2362" i="1"/>
  <c r="R2362" i="1" s="1"/>
  <c r="Y2385" i="1"/>
  <c r="Y2453" i="1"/>
  <c r="AD2453" i="1" s="1"/>
  <c r="M2468" i="1"/>
  <c r="R2468" i="1" s="1"/>
  <c r="Y2496" i="1"/>
  <c r="M2501" i="1"/>
  <c r="R2501" i="1" s="1"/>
  <c r="Y2521" i="1"/>
  <c r="AD2521" i="1" s="1"/>
  <c r="M2523" i="1"/>
  <c r="R2523" i="1" s="1"/>
  <c r="M2533" i="1"/>
  <c r="R2533" i="1" s="1"/>
  <c r="Y2555" i="1"/>
  <c r="Y2580" i="1"/>
  <c r="M2603" i="1"/>
  <c r="R2603" i="1" s="1"/>
  <c r="M2609" i="1"/>
  <c r="R2609" i="1" s="1"/>
  <c r="Y2633" i="1"/>
  <c r="Y2672" i="1"/>
  <c r="Y2740" i="1"/>
  <c r="M2796" i="1"/>
  <c r="R2796" i="1" s="1"/>
  <c r="Y2798" i="1"/>
  <c r="AD2798" i="1" s="1"/>
  <c r="Y2838" i="1"/>
  <c r="M2865" i="1"/>
  <c r="R2865" i="1" s="1"/>
  <c r="M2887" i="1"/>
  <c r="R2887" i="1" s="1"/>
  <c r="M2890" i="1"/>
  <c r="R2890" i="1" s="1"/>
  <c r="M2936" i="1"/>
  <c r="R2936" i="1" s="1"/>
  <c r="M1485" i="1"/>
  <c r="R1485" i="1" s="1"/>
  <c r="M1488" i="1"/>
  <c r="R1488" i="1" s="1"/>
  <c r="M1494" i="1"/>
  <c r="R1494" i="1" s="1"/>
  <c r="M1524" i="1"/>
  <c r="R1524" i="1" s="1"/>
  <c r="M1586" i="1"/>
  <c r="R1586" i="1" s="1"/>
  <c r="M1598" i="1"/>
  <c r="R1598" i="1" s="1"/>
  <c r="M1608" i="1"/>
  <c r="R1608" i="1" s="1"/>
  <c r="M1618" i="1"/>
  <c r="R1618" i="1" s="1"/>
  <c r="Y1654" i="1"/>
  <c r="M1656" i="1"/>
  <c r="R1656" i="1" s="1"/>
  <c r="M1662" i="1"/>
  <c r="R1662" i="1" s="1"/>
  <c r="M1682" i="1"/>
  <c r="R1682" i="1" s="1"/>
  <c r="M1726" i="1"/>
  <c r="R1726" i="1" s="1"/>
  <c r="M1733" i="1"/>
  <c r="R1733" i="1" s="1"/>
  <c r="M1757" i="1"/>
  <c r="R1757" i="1" s="1"/>
  <c r="M1760" i="1"/>
  <c r="R1760" i="1" s="1"/>
  <c r="M1770" i="1"/>
  <c r="R1770" i="1" s="1"/>
  <c r="M1780" i="1"/>
  <c r="R1780" i="1" s="1"/>
  <c r="M1845" i="1"/>
  <c r="R1845" i="1" s="1"/>
  <c r="M1874" i="1"/>
  <c r="R1874" i="1" s="1"/>
  <c r="Y1884" i="1"/>
  <c r="M1892" i="1"/>
  <c r="R1892" i="1" s="1"/>
  <c r="M1909" i="1"/>
  <c r="R1909" i="1" s="1"/>
  <c r="M1912" i="1"/>
  <c r="R1912" i="1" s="1"/>
  <c r="M1918" i="1"/>
  <c r="R1918" i="1" s="1"/>
  <c r="Y1936" i="1"/>
  <c r="M1949" i="1"/>
  <c r="R1949" i="1" s="1"/>
  <c r="M1952" i="1"/>
  <c r="R1952" i="1" s="1"/>
  <c r="M1961" i="1"/>
  <c r="R1961" i="1" s="1"/>
  <c r="M1964" i="1"/>
  <c r="R1964" i="1" s="1"/>
  <c r="M1988" i="1"/>
  <c r="R1988" i="1" s="1"/>
  <c r="Y2002" i="1"/>
  <c r="AF2002" i="1" s="1"/>
  <c r="M2012" i="1"/>
  <c r="R2012" i="1" s="1"/>
  <c r="M2018" i="1"/>
  <c r="R2018" i="1" s="1"/>
  <c r="M2036" i="1"/>
  <c r="R2036" i="1" s="1"/>
  <c r="M2058" i="1"/>
  <c r="R2058" i="1" s="1"/>
  <c r="M2066" i="1"/>
  <c r="R2066" i="1" s="1"/>
  <c r="Y2096" i="1"/>
  <c r="M2105" i="1"/>
  <c r="R2105" i="1" s="1"/>
  <c r="M2125" i="1"/>
  <c r="R2125" i="1" s="1"/>
  <c r="M2129" i="1"/>
  <c r="R2129" i="1" s="1"/>
  <c r="M2132" i="1"/>
  <c r="R2132" i="1" s="1"/>
  <c r="M2150" i="1"/>
  <c r="R2150" i="1" s="1"/>
  <c r="M2173" i="1"/>
  <c r="R2173" i="1" s="1"/>
  <c r="M2176" i="1"/>
  <c r="R2176" i="1" s="1"/>
  <c r="M2192" i="1"/>
  <c r="R2192" i="1" s="1"/>
  <c r="M2196" i="1"/>
  <c r="R2196" i="1" s="1"/>
  <c r="M2199" i="1"/>
  <c r="R2199" i="1" s="1"/>
  <c r="Y2214" i="1"/>
  <c r="AF2214" i="1" s="1"/>
  <c r="M2344" i="1"/>
  <c r="R2344" i="1" s="1"/>
  <c r="M2350" i="1"/>
  <c r="R2350" i="1" s="1"/>
  <c r="M2387" i="1"/>
  <c r="R2387" i="1" s="1"/>
  <c r="M2444" i="1"/>
  <c r="R2444" i="1" s="1"/>
  <c r="M2551" i="1"/>
  <c r="R2551" i="1" s="1"/>
  <c r="Y2553" i="1"/>
  <c r="M2572" i="1"/>
  <c r="R2572" i="1" s="1"/>
  <c r="M2579" i="1"/>
  <c r="R2579" i="1" s="1"/>
  <c r="M2688" i="1"/>
  <c r="R2688" i="1" s="1"/>
  <c r="Y2696" i="1"/>
  <c r="Y2726" i="1"/>
  <c r="M2745" i="1"/>
  <c r="R2745" i="1" s="1"/>
  <c r="Y2774" i="1"/>
  <c r="M2830" i="1"/>
  <c r="R2830" i="1" s="1"/>
  <c r="M1514" i="1"/>
  <c r="R1514" i="1" s="1"/>
  <c r="M1556" i="1"/>
  <c r="R1556" i="1" s="1"/>
  <c r="M1568" i="1"/>
  <c r="R1568" i="1" s="1"/>
  <c r="M1572" i="1"/>
  <c r="R1572" i="1" s="1"/>
  <c r="M1653" i="1"/>
  <c r="R1653" i="1" s="1"/>
  <c r="M1690" i="1"/>
  <c r="R1690" i="1" s="1"/>
  <c r="M1698" i="1"/>
  <c r="R1698" i="1" s="1"/>
  <c r="M1716" i="1"/>
  <c r="R1716" i="1" s="1"/>
  <c r="M1730" i="1"/>
  <c r="R1730" i="1" s="1"/>
  <c r="M1741" i="1"/>
  <c r="R1741" i="1" s="1"/>
  <c r="M1744" i="1"/>
  <c r="R1744" i="1" s="1"/>
  <c r="M1754" i="1"/>
  <c r="R1754" i="1" s="1"/>
  <c r="M1765" i="1"/>
  <c r="R1765" i="1" s="1"/>
  <c r="M1768" i="1"/>
  <c r="R1768" i="1" s="1"/>
  <c r="M1784" i="1"/>
  <c r="R1784" i="1" s="1"/>
  <c r="M1788" i="1"/>
  <c r="R1788" i="1" s="1"/>
  <c r="M1800" i="1"/>
  <c r="R1800" i="1" s="1"/>
  <c r="M1820" i="1"/>
  <c r="R1820" i="1" s="1"/>
  <c r="M1836" i="1"/>
  <c r="R1836" i="1" s="1"/>
  <c r="M1842" i="1"/>
  <c r="R1842" i="1" s="1"/>
  <c r="M1853" i="1"/>
  <c r="R1853" i="1" s="1"/>
  <c r="M1904" i="1"/>
  <c r="R1904" i="1" s="1"/>
  <c r="M1941" i="1"/>
  <c r="R1941" i="1" s="1"/>
  <c r="M1944" i="1"/>
  <c r="R1944" i="1" s="1"/>
  <c r="M1953" i="1"/>
  <c r="R1953" i="1" s="1"/>
  <c r="M1980" i="1"/>
  <c r="R1980" i="1" s="1"/>
  <c r="M1999" i="1"/>
  <c r="R1999" i="1" s="1"/>
  <c r="M2007" i="1"/>
  <c r="R2007" i="1" s="1"/>
  <c r="M2053" i="1"/>
  <c r="R2053" i="1" s="1"/>
  <c r="M2061" i="1"/>
  <c r="R2061" i="1" s="1"/>
  <c r="M2064" i="1"/>
  <c r="R2064" i="1" s="1"/>
  <c r="M2085" i="1"/>
  <c r="R2085" i="1" s="1"/>
  <c r="M2090" i="1"/>
  <c r="R2090" i="1" s="1"/>
  <c r="M2098" i="1"/>
  <c r="R2098" i="1" s="1"/>
  <c r="M2117" i="1"/>
  <c r="R2117" i="1" s="1"/>
  <c r="M2121" i="1"/>
  <c r="R2121" i="1" s="1"/>
  <c r="M2124" i="1"/>
  <c r="R2124" i="1" s="1"/>
  <c r="M2126" i="1"/>
  <c r="R2126" i="1" s="1"/>
  <c r="M2141" i="1"/>
  <c r="R2141" i="1" s="1"/>
  <c r="M2145" i="1"/>
  <c r="R2145" i="1" s="1"/>
  <c r="M2148" i="1"/>
  <c r="R2148" i="1" s="1"/>
  <c r="M2166" i="1"/>
  <c r="R2166" i="1" s="1"/>
  <c r="M2174" i="1"/>
  <c r="R2174" i="1" s="1"/>
  <c r="M2235" i="1"/>
  <c r="R2235" i="1" s="1"/>
  <c r="M2239" i="1"/>
  <c r="R2239" i="1" s="1"/>
  <c r="M2262" i="1"/>
  <c r="R2262" i="1" s="1"/>
  <c r="M2279" i="1"/>
  <c r="R2279" i="1" s="1"/>
  <c r="M2284" i="1"/>
  <c r="R2284" i="1" s="1"/>
  <c r="M2332" i="1"/>
  <c r="R2332" i="1" s="1"/>
  <c r="M2348" i="1"/>
  <c r="R2348" i="1" s="1"/>
  <c r="M2374" i="1"/>
  <c r="R2374" i="1" s="1"/>
  <c r="M2377" i="1"/>
  <c r="R2377" i="1" s="1"/>
  <c r="M2385" i="1"/>
  <c r="R2385" i="1" s="1"/>
  <c r="M2409" i="1"/>
  <c r="R2409" i="1" s="1"/>
  <c r="M2412" i="1"/>
  <c r="R2412" i="1" s="1"/>
  <c r="M2419" i="1"/>
  <c r="R2419" i="1" s="1"/>
  <c r="M2438" i="1"/>
  <c r="R2438" i="1" s="1"/>
  <c r="M2477" i="1"/>
  <c r="R2477" i="1" s="1"/>
  <c r="M2485" i="1"/>
  <c r="R2485" i="1" s="1"/>
  <c r="Y2523" i="1"/>
  <c r="AF2523" i="1" s="1"/>
  <c r="M2560" i="1"/>
  <c r="R2560" i="1" s="1"/>
  <c r="M2584" i="1"/>
  <c r="R2584" i="1" s="1"/>
  <c r="M2588" i="1"/>
  <c r="R2588" i="1" s="1"/>
  <c r="M2591" i="1"/>
  <c r="R2591" i="1" s="1"/>
  <c r="M2612" i="1"/>
  <c r="R2612" i="1" s="1"/>
  <c r="M2633" i="1"/>
  <c r="R2633" i="1" s="1"/>
  <c r="Y2680" i="1"/>
  <c r="M2706" i="1"/>
  <c r="R2706" i="1" s="1"/>
  <c r="M2709" i="1"/>
  <c r="R2709" i="1" s="1"/>
  <c r="Y2714" i="1"/>
  <c r="M2756" i="1"/>
  <c r="R2756" i="1" s="1"/>
  <c r="M2789" i="1"/>
  <c r="R2789" i="1" s="1"/>
  <c r="M2798" i="1"/>
  <c r="R2798" i="1" s="1"/>
  <c r="M2835" i="1"/>
  <c r="R2835" i="1" s="1"/>
  <c r="M2838" i="1"/>
  <c r="R2838" i="1" s="1"/>
  <c r="M2864" i="1"/>
  <c r="R2864" i="1" s="1"/>
  <c r="Y2890" i="1"/>
  <c r="Y2936" i="1"/>
  <c r="M2962" i="1"/>
  <c r="R2962" i="1" s="1"/>
  <c r="M2972" i="1"/>
  <c r="R2972" i="1" s="1"/>
  <c r="Y2983" i="1"/>
  <c r="M2987" i="1"/>
  <c r="R2987" i="1" s="1"/>
  <c r="M2991" i="1"/>
  <c r="R2991" i="1" s="1"/>
  <c r="M3003" i="1"/>
  <c r="R3003" i="1" s="1"/>
  <c r="M938" i="1"/>
  <c r="R938" i="1" s="1"/>
  <c r="AF1980" i="1"/>
  <c r="Y636" i="1"/>
  <c r="Y639" i="1"/>
  <c r="Y642" i="1"/>
  <c r="Y646" i="1"/>
  <c r="Y654" i="1"/>
  <c r="Y657" i="1"/>
  <c r="Y663" i="1"/>
  <c r="Y667" i="1"/>
  <c r="Y670" i="1"/>
  <c r="Y673" i="1"/>
  <c r="Y680" i="1"/>
  <c r="Y685" i="1"/>
  <c r="Y695" i="1"/>
  <c r="AG695" i="1" s="1"/>
  <c r="Y704" i="1"/>
  <c r="Y707" i="1"/>
  <c r="Y710" i="1"/>
  <c r="Y712" i="1"/>
  <c r="Y719" i="1"/>
  <c r="Y721" i="1"/>
  <c r="Y723" i="1"/>
  <c r="Y726" i="1"/>
  <c r="Y729" i="1"/>
  <c r="Y735" i="1"/>
  <c r="Y737" i="1"/>
  <c r="Y740" i="1"/>
  <c r="Y745" i="1"/>
  <c r="Y747" i="1"/>
  <c r="Y750" i="1"/>
  <c r="Y753" i="1"/>
  <c r="Y846" i="1"/>
  <c r="Y849" i="1"/>
  <c r="Y852" i="1"/>
  <c r="Y857" i="1"/>
  <c r="Y860" i="1"/>
  <c r="Y863" i="1"/>
  <c r="Y866" i="1"/>
  <c r="Y869" i="1"/>
  <c r="Y873" i="1"/>
  <c r="Y877" i="1"/>
  <c r="Y881" i="1"/>
  <c r="Y885" i="1"/>
  <c r="Y888" i="1"/>
  <c r="Y893" i="1"/>
  <c r="Y897" i="1"/>
  <c r="Y18" i="1"/>
  <c r="Y21" i="1"/>
  <c r="Y24" i="1"/>
  <c r="Y28" i="1"/>
  <c r="Y32" i="1"/>
  <c r="Y36" i="1"/>
  <c r="Y50" i="1"/>
  <c r="Y54" i="1"/>
  <c r="Y58" i="1"/>
  <c r="Y61" i="1"/>
  <c r="AG61" i="1" s="1"/>
  <c r="Y66" i="1"/>
  <c r="Y70" i="1"/>
  <c r="Y73" i="1"/>
  <c r="Y85" i="1"/>
  <c r="AG85" i="1" s="1"/>
  <c r="Y90" i="1"/>
  <c r="Y93" i="1"/>
  <c r="Y97" i="1"/>
  <c r="Y106" i="1"/>
  <c r="Y112" i="1"/>
  <c r="Y116" i="1"/>
  <c r="Y119" i="1"/>
  <c r="AE119" i="1" s="1"/>
  <c r="Y129" i="1"/>
  <c r="AD129" i="1" s="1"/>
  <c r="Y134" i="1"/>
  <c r="Y140" i="1"/>
  <c r="Y143" i="1"/>
  <c r="AE143" i="1" s="1"/>
  <c r="Y146" i="1"/>
  <c r="Y149" i="1"/>
  <c r="AG149" i="1" s="1"/>
  <c r="Y152" i="1"/>
  <c r="Y156" i="1"/>
  <c r="Y159" i="1"/>
  <c r="AE159" i="1" s="1"/>
  <c r="Y162" i="1"/>
  <c r="Y172" i="1"/>
  <c r="Y175" i="1"/>
  <c r="Y181" i="1"/>
  <c r="AG181" i="1" s="1"/>
  <c r="Y187" i="1"/>
  <c r="Y194" i="1"/>
  <c r="Y197" i="1"/>
  <c r="AD197" i="1" s="1"/>
  <c r="Y200" i="1"/>
  <c r="Y211" i="1"/>
  <c r="Y214" i="1"/>
  <c r="Y217" i="1"/>
  <c r="Y221" i="1"/>
  <c r="Y223" i="1"/>
  <c r="Y226" i="1"/>
  <c r="Y229" i="1"/>
  <c r="Y236" i="1"/>
  <c r="Y239" i="1"/>
  <c r="Y244" i="1"/>
  <c r="Y248" i="1"/>
  <c r="Y254" i="1"/>
  <c r="Y260" i="1"/>
  <c r="AD260" i="1" s="1"/>
  <c r="Y263" i="1"/>
  <c r="Y266" i="1"/>
  <c r="Y269" i="1"/>
  <c r="Y272" i="1"/>
  <c r="Y278" i="1"/>
  <c r="Y281" i="1"/>
  <c r="Y285" i="1"/>
  <c r="Y291" i="1"/>
  <c r="Y297" i="1"/>
  <c r="Y302" i="1"/>
  <c r="Y305" i="1"/>
  <c r="Y310" i="1"/>
  <c r="Y316" i="1"/>
  <c r="Y318" i="1"/>
  <c r="AG318" i="1" s="1"/>
  <c r="Y322" i="1"/>
  <c r="Y324" i="1"/>
  <c r="Y327" i="1"/>
  <c r="Y333" i="1"/>
  <c r="Y342" i="1"/>
  <c r="Y345" i="1"/>
  <c r="Y347" i="1"/>
  <c r="Y350" i="1"/>
  <c r="AG350" i="1" s="1"/>
  <c r="Y353" i="1"/>
  <c r="Y358" i="1"/>
  <c r="Y361" i="1"/>
  <c r="Y364" i="1"/>
  <c r="Y367" i="1"/>
  <c r="AF367" i="1" s="1"/>
  <c r="Y370" i="1"/>
  <c r="Y376" i="1"/>
  <c r="Y381" i="1"/>
  <c r="Y400" i="1"/>
  <c r="AE400" i="1" s="1"/>
  <c r="Y403" i="1"/>
  <c r="Y407" i="1"/>
  <c r="Y413" i="1"/>
  <c r="Y418" i="1"/>
  <c r="AG418" i="1" s="1"/>
  <c r="Y421" i="1"/>
  <c r="Y424" i="1"/>
  <c r="Y426" i="1"/>
  <c r="Y429" i="1"/>
  <c r="Y434" i="1"/>
  <c r="Y437" i="1"/>
  <c r="Y440" i="1"/>
  <c r="AE440" i="1" s="1"/>
  <c r="Y442" i="1"/>
  <c r="Y445" i="1"/>
  <c r="Y450" i="1"/>
  <c r="Y453" i="1"/>
  <c r="AG453" i="1" s="1"/>
  <c r="Y456" i="1"/>
  <c r="Y458" i="1"/>
  <c r="Y461" i="1"/>
  <c r="Y466" i="1"/>
  <c r="AG466" i="1" s="1"/>
  <c r="Y470" i="1"/>
  <c r="Y473" i="1"/>
  <c r="Y476" i="1"/>
  <c r="Y479" i="1"/>
  <c r="Y484" i="1"/>
  <c r="Y487" i="1"/>
  <c r="Y494" i="1"/>
  <c r="Y500" i="1"/>
  <c r="Y503" i="1"/>
  <c r="AF503" i="1" s="1"/>
  <c r="Y513" i="1"/>
  <c r="Y516" i="1"/>
  <c r="Y522" i="1"/>
  <c r="Y528" i="1"/>
  <c r="AE528" i="1" s="1"/>
  <c r="Y546" i="1"/>
  <c r="Y548" i="1"/>
  <c r="Y552" i="1"/>
  <c r="AD552" i="1" s="1"/>
  <c r="Y555" i="1"/>
  <c r="AE555" i="1" s="1"/>
  <c r="Y562" i="1"/>
  <c r="Y564" i="1"/>
  <c r="Y567" i="1"/>
  <c r="AF567" i="1" s="1"/>
  <c r="Y575" i="1"/>
  <c r="Y578" i="1"/>
  <c r="AD578" i="1" s="1"/>
  <c r="Y581" i="1"/>
  <c r="Y584" i="1"/>
  <c r="AD584" i="1" s="1"/>
  <c r="Y588" i="1"/>
  <c r="Y594" i="1"/>
  <c r="Y598" i="1"/>
  <c r="Y600" i="1"/>
  <c r="AD600" i="1" s="1"/>
  <c r="Y602" i="1"/>
  <c r="AG602" i="1" s="1"/>
  <c r="Y609" i="1"/>
  <c r="Y620" i="1"/>
  <c r="Y625" i="1"/>
  <c r="Y640" i="1"/>
  <c r="Y643" i="1"/>
  <c r="Y651" i="1"/>
  <c r="Y655" i="1"/>
  <c r="Y658" i="1"/>
  <c r="AD658" i="1" s="1"/>
  <c r="Y661" i="1"/>
  <c r="Y665" i="1"/>
  <c r="Y668" i="1"/>
  <c r="Y674" i="1"/>
  <c r="AD674" i="1" s="1"/>
  <c r="Y677" i="1"/>
  <c r="Y683" i="1"/>
  <c r="Y686" i="1"/>
  <c r="Y693" i="1"/>
  <c r="Y696" i="1"/>
  <c r="Y701" i="1"/>
  <c r="Y708" i="1"/>
  <c r="Y715" i="1"/>
  <c r="AG715" i="1" s="1"/>
  <c r="Y717" i="1"/>
  <c r="Y730" i="1"/>
  <c r="Y733" i="1"/>
  <c r="Y743" i="1"/>
  <c r="AG743" i="1" s="1"/>
  <c r="Y751" i="1"/>
  <c r="Y754" i="1"/>
  <c r="Y14" i="1"/>
  <c r="Y22" i="1"/>
  <c r="Y26" i="1"/>
  <c r="Y30" i="1"/>
  <c r="Y34" i="1"/>
  <c r="Y38" i="1"/>
  <c r="Y41" i="1"/>
  <c r="AD41" i="1" s="1"/>
  <c r="Y46" i="1"/>
  <c r="Y49" i="1"/>
  <c r="AD49" i="1" s="1"/>
  <c r="Y52" i="1"/>
  <c r="Y56" i="1"/>
  <c r="Y62" i="1"/>
  <c r="Y65" i="1"/>
  <c r="AD65" i="1" s="1"/>
  <c r="Y68" i="1"/>
  <c r="Y75" i="1"/>
  <c r="Y78" i="1"/>
  <c r="Y81" i="1"/>
  <c r="AD81" i="1" s="1"/>
  <c r="Y86" i="1"/>
  <c r="Y88" i="1"/>
  <c r="Y95" i="1"/>
  <c r="Y98" i="1"/>
  <c r="Y101" i="1"/>
  <c r="AG101" i="1" s="1"/>
  <c r="Y104" i="1"/>
  <c r="Y108" i="1"/>
  <c r="Y111" i="1"/>
  <c r="Y114" i="1"/>
  <c r="Y121" i="1"/>
  <c r="Y124" i="1"/>
  <c r="Y127" i="1"/>
  <c r="Y133" i="1"/>
  <c r="Y136" i="1"/>
  <c r="Y139" i="1"/>
  <c r="Y145" i="1"/>
  <c r="Y154" i="1"/>
  <c r="Y160" i="1"/>
  <c r="Y164" i="1"/>
  <c r="Y167" i="1"/>
  <c r="Y170" i="1"/>
  <c r="Y176" i="1"/>
  <c r="Y179" i="1"/>
  <c r="Y182" i="1"/>
  <c r="Y185" i="1"/>
  <c r="AG185" i="1" s="1"/>
  <c r="Y188" i="1"/>
  <c r="Y193" i="1"/>
  <c r="Y202" i="1"/>
  <c r="Y204" i="1"/>
  <c r="Y206" i="1"/>
  <c r="Y209" i="1"/>
  <c r="Y213" i="1"/>
  <c r="Y219" i="1"/>
  <c r="Y225" i="1"/>
  <c r="Y227" i="1"/>
  <c r="Y230" i="1"/>
  <c r="Y234" i="1"/>
  <c r="AD234" i="1" s="1"/>
  <c r="Y246" i="1"/>
  <c r="Y252" i="1"/>
  <c r="Y256" i="1"/>
  <c r="Y265" i="1"/>
  <c r="AF265" i="1" s="1"/>
  <c r="Y267" i="1"/>
  <c r="Y270" i="1"/>
  <c r="Y274" i="1"/>
  <c r="AE274" i="1" s="1"/>
  <c r="Y277" i="1"/>
  <c r="Y283" i="1"/>
  <c r="Y287" i="1"/>
  <c r="Y290" i="1"/>
  <c r="Y293" i="1"/>
  <c r="Y301" i="1"/>
  <c r="AG301" i="1" s="1"/>
  <c r="Y309" i="1"/>
  <c r="Y313" i="1"/>
  <c r="Y315" i="1"/>
  <c r="Y320" i="1"/>
  <c r="Y328" i="1"/>
  <c r="Y331" i="1"/>
  <c r="Y334" i="1"/>
  <c r="Y340" i="1"/>
  <c r="Y343" i="1"/>
  <c r="Y346" i="1"/>
  <c r="Y349" i="1"/>
  <c r="Y354" i="1"/>
  <c r="AG354" i="1" s="1"/>
  <c r="Y357" i="1"/>
  <c r="Y362" i="1"/>
  <c r="Y366" i="1"/>
  <c r="Y369" i="1"/>
  <c r="Y371" i="1"/>
  <c r="Y375" i="1"/>
  <c r="AF375" i="1" s="1"/>
  <c r="Y378" i="1"/>
  <c r="Y382" i="1"/>
  <c r="Y385" i="1"/>
  <c r="Y388" i="1"/>
  <c r="Y395" i="1"/>
  <c r="Y399" i="1"/>
  <c r="Y402" i="1"/>
  <c r="Y405" i="1"/>
  <c r="AG405" i="1" s="1"/>
  <c r="Y408" i="1"/>
  <c r="AE408" i="1" s="1"/>
  <c r="Y411" i="1"/>
  <c r="AF411" i="1" s="1"/>
  <c r="Y414" i="1"/>
  <c r="Y417" i="1"/>
  <c r="Y423" i="1"/>
  <c r="AF423" i="1" s="1"/>
  <c r="Y430" i="1"/>
  <c r="Y433" i="1"/>
  <c r="Y439" i="1"/>
  <c r="AF439" i="1" s="1"/>
  <c r="Y446" i="1"/>
  <c r="Y449" i="1"/>
  <c r="Y455" i="1"/>
  <c r="Y462" i="1"/>
  <c r="Y465" i="1"/>
  <c r="AG465" i="1" s="1"/>
  <c r="Y468" i="1"/>
  <c r="Y474" i="1"/>
  <c r="Y480" i="1"/>
  <c r="Y488" i="1"/>
  <c r="AE488" i="1" s="1"/>
  <c r="Y490" i="1"/>
  <c r="Y493" i="1"/>
  <c r="Y496" i="1"/>
  <c r="Y499" i="1"/>
  <c r="AF499" i="1" s="1"/>
  <c r="Y509" i="1"/>
  <c r="AG509" i="1" s="1"/>
  <c r="Y514" i="1"/>
  <c r="Y518" i="1"/>
  <c r="Y520" i="1"/>
  <c r="AE520" i="1" s="1"/>
  <c r="Y524" i="1"/>
  <c r="Y530" i="1"/>
  <c r="Y533" i="1"/>
  <c r="Y536" i="1"/>
  <c r="AD536" i="1" s="1"/>
  <c r="Y538" i="1"/>
  <c r="Y544" i="1"/>
  <c r="Y547" i="1"/>
  <c r="Y550" i="1"/>
  <c r="AD550" i="1" s="1"/>
  <c r="Y560" i="1"/>
  <c r="Y563" i="1"/>
  <c r="Y576" i="1"/>
  <c r="Y586" i="1"/>
  <c r="Y592" i="1"/>
  <c r="Y596" i="1"/>
  <c r="AE596" i="1" s="1"/>
  <c r="Y603" i="1"/>
  <c r="AE603" i="1" s="1"/>
  <c r="Y607" i="1"/>
  <c r="Y610" i="1"/>
  <c r="AD610" i="1" s="1"/>
  <c r="Y613" i="1"/>
  <c r="Y616" i="1"/>
  <c r="Y619" i="1"/>
  <c r="AE619" i="1" s="1"/>
  <c r="Y903" i="1"/>
  <c r="AG903" i="1" s="1"/>
  <c r="Y906" i="1"/>
  <c r="Y861" i="1"/>
  <c r="Y901" i="1"/>
  <c r="AE901" i="1" s="1"/>
  <c r="AE909" i="1"/>
  <c r="Y917" i="1"/>
  <c r="Y926" i="1"/>
  <c r="Y757" i="1"/>
  <c r="Y760" i="1"/>
  <c r="Y765" i="1"/>
  <c r="Y771" i="1"/>
  <c r="Y775" i="1"/>
  <c r="AG775" i="1" s="1"/>
  <c r="Y778" i="1"/>
  <c r="AD778" i="1" s="1"/>
  <c r="Y783" i="1"/>
  <c r="Y795" i="1"/>
  <c r="Y797" i="1"/>
  <c r="Y800" i="1"/>
  <c r="Y805" i="1"/>
  <c r="Y808" i="1"/>
  <c r="Y814" i="1"/>
  <c r="Y817" i="1"/>
  <c r="Y826" i="1"/>
  <c r="Y829" i="1"/>
  <c r="Y839" i="1"/>
  <c r="Y842" i="1"/>
  <c r="Y845" i="1"/>
  <c r="Y854" i="1"/>
  <c r="Y859" i="1"/>
  <c r="Y862" i="1"/>
  <c r="Y865" i="1"/>
  <c r="Y868" i="1"/>
  <c r="Y872" i="1"/>
  <c r="Y876" i="1"/>
  <c r="Y880" i="1"/>
  <c r="Y884" i="1"/>
  <c r="Y895" i="1"/>
  <c r="Y899" i="1"/>
  <c r="Y902" i="1"/>
  <c r="Y905" i="1"/>
  <c r="Y908" i="1"/>
  <c r="Y915" i="1"/>
  <c r="Y918" i="1"/>
  <c r="Y921" i="1"/>
  <c r="Y924" i="1"/>
  <c r="Y927" i="1"/>
  <c r="Y930" i="1"/>
  <c r="Y935" i="1"/>
  <c r="Y943" i="1"/>
  <c r="Y947" i="1"/>
  <c r="Y951" i="1"/>
  <c r="Y954" i="1"/>
  <c r="Y957" i="1"/>
  <c r="Y960" i="1"/>
  <c r="Y965" i="1"/>
  <c r="Y970" i="1"/>
  <c r="Y973" i="1"/>
  <c r="AE973" i="1" s="1"/>
  <c r="Y980" i="1"/>
  <c r="Y983" i="1"/>
  <c r="Y985" i="1"/>
  <c r="Y988" i="1"/>
  <c r="Y993" i="1"/>
  <c r="Y1002" i="1"/>
  <c r="Y1005" i="1"/>
  <c r="Y1008" i="1"/>
  <c r="AE1008" i="1" s="1"/>
  <c r="Y1013" i="1"/>
  <c r="Y1021" i="1"/>
  <c r="Y1024" i="1"/>
  <c r="Y1030" i="1"/>
  <c r="AD1030" i="1" s="1"/>
  <c r="Y1035" i="1"/>
  <c r="Y1038" i="1"/>
  <c r="Y1041" i="1"/>
  <c r="Y1218" i="1"/>
  <c r="Y1222" i="1"/>
  <c r="Y1225" i="1"/>
  <c r="Y1228" i="1"/>
  <c r="Y1231" i="1"/>
  <c r="Y1234" i="1"/>
  <c r="Y1237" i="1"/>
  <c r="Y1242" i="1"/>
  <c r="Y1244" i="1"/>
  <c r="AF1244" i="1" s="1"/>
  <c r="AE1245" i="1"/>
  <c r="Y1315" i="1"/>
  <c r="Y1319" i="1"/>
  <c r="Y1322" i="1"/>
  <c r="Y1325" i="1"/>
  <c r="Y1328" i="1"/>
  <c r="Y1007" i="1"/>
  <c r="Y1009" i="1"/>
  <c r="Y1012" i="1"/>
  <c r="Y1017" i="1"/>
  <c r="Y1026" i="1"/>
  <c r="Y1031" i="1"/>
  <c r="AG1031" i="1" s="1"/>
  <c r="Y1034" i="1"/>
  <c r="Y1039" i="1"/>
  <c r="Y1045" i="1"/>
  <c r="Y1054" i="1"/>
  <c r="Y1059" i="1"/>
  <c r="Y1062" i="1"/>
  <c r="Y1065" i="1"/>
  <c r="Y1068" i="1"/>
  <c r="Y1071" i="1"/>
  <c r="Y1074" i="1"/>
  <c r="Y1079" i="1"/>
  <c r="Y1082" i="1"/>
  <c r="AD1082" i="1" s="1"/>
  <c r="Y1085" i="1"/>
  <c r="Y1091" i="1"/>
  <c r="Y1093" i="1"/>
  <c r="Y1096" i="1"/>
  <c r="Y1102" i="1"/>
  <c r="Y1107" i="1"/>
  <c r="Y1111" i="1"/>
  <c r="Y1115" i="1"/>
  <c r="Y1117" i="1"/>
  <c r="Y1126" i="1"/>
  <c r="Y1131" i="1"/>
  <c r="Y1135" i="1"/>
  <c r="AG1135" i="1" s="1"/>
  <c r="Y1138" i="1"/>
  <c r="AD1138" i="1" s="1"/>
  <c r="Y1141" i="1"/>
  <c r="Y1145" i="1"/>
  <c r="Y1148" i="1"/>
  <c r="Y1151" i="1"/>
  <c r="Y1154" i="1"/>
  <c r="Y1159" i="1"/>
  <c r="Y1162" i="1"/>
  <c r="AD1162" i="1" s="1"/>
  <c r="Y1167" i="1"/>
  <c r="Y1171" i="1"/>
  <c r="Y1175" i="1"/>
  <c r="Y1178" i="1"/>
  <c r="Y1182" i="1"/>
  <c r="AF1182" i="1" s="1"/>
  <c r="Y1185" i="1"/>
  <c r="Y1188" i="1"/>
  <c r="Y1191" i="1"/>
  <c r="Y1194" i="1"/>
  <c r="Y1197" i="1"/>
  <c r="Y1202" i="1"/>
  <c r="Y1204" i="1"/>
  <c r="AF1204" i="1" s="1"/>
  <c r="Y1214" i="1"/>
  <c r="AF1214" i="1" s="1"/>
  <c r="Y1217" i="1"/>
  <c r="Y1221" i="1"/>
  <c r="Y1224" i="1"/>
  <c r="Y1227" i="1"/>
  <c r="Y1233" i="1"/>
  <c r="Y1236" i="1"/>
  <c r="Y1241" i="1"/>
  <c r="Y1248" i="1"/>
  <c r="Y1253" i="1"/>
  <c r="Y1257" i="1"/>
  <c r="Y1261" i="1"/>
  <c r="AE1261" i="1" s="1"/>
  <c r="Y1270" i="1"/>
  <c r="Y1273" i="1"/>
  <c r="Y1277" i="1"/>
  <c r="Y1282" i="1"/>
  <c r="Y1287" i="1"/>
  <c r="Y1297" i="1"/>
  <c r="Y1299" i="1"/>
  <c r="Y1308" i="1"/>
  <c r="AD1308" i="1" s="1"/>
  <c r="Y1313" i="1"/>
  <c r="Y1317" i="1"/>
  <c r="Y1321" i="1"/>
  <c r="Y1323" i="1"/>
  <c r="Y1329" i="1"/>
  <c r="AG1329" i="1" s="1"/>
  <c r="Y1331" i="1"/>
  <c r="Y1335" i="1"/>
  <c r="Y1339" i="1"/>
  <c r="Y1343" i="1"/>
  <c r="Y1346" i="1"/>
  <c r="Y1351" i="1"/>
  <c r="Y1359" i="1"/>
  <c r="AE1359" i="1" s="1"/>
  <c r="Y1362" i="1"/>
  <c r="Y1365" i="1"/>
  <c r="Y1368" i="1"/>
  <c r="AD1368" i="1" s="1"/>
  <c r="Y1373" i="1"/>
  <c r="AG1373" i="1" s="1"/>
  <c r="Y1376" i="1"/>
  <c r="Y1380" i="1"/>
  <c r="Y1384" i="1"/>
  <c r="Y1390" i="1"/>
  <c r="Y1395" i="1"/>
  <c r="Y1399" i="1"/>
  <c r="Y1403" i="1"/>
  <c r="Y1407" i="1"/>
  <c r="Y1410" i="1"/>
  <c r="Y1415" i="1"/>
  <c r="Y1423" i="1"/>
  <c r="Y1426" i="1"/>
  <c r="Y1432" i="1"/>
  <c r="Y1434" i="1"/>
  <c r="Y1439" i="1"/>
  <c r="Y1443" i="1"/>
  <c r="Y1449" i="1"/>
  <c r="Y1451" i="1"/>
  <c r="Y1457" i="1"/>
  <c r="Y1468" i="1"/>
  <c r="Y1471" i="1"/>
  <c r="Y1477" i="1"/>
  <c r="Y1481" i="1"/>
  <c r="Y1483" i="1"/>
  <c r="Y1489" i="1"/>
  <c r="Y1492" i="1"/>
  <c r="Y1495" i="1"/>
  <c r="Y1498" i="1"/>
  <c r="Y1503" i="1"/>
  <c r="Y1505" i="1"/>
  <c r="Y1507" i="1"/>
  <c r="Y1511" i="1"/>
  <c r="Y1515" i="1"/>
  <c r="Y1521" i="1"/>
  <c r="Y1529" i="1"/>
  <c r="Y1531" i="1"/>
  <c r="Y1534" i="1"/>
  <c r="AF1534" i="1" s="1"/>
  <c r="Y1537" i="1"/>
  <c r="Y1543" i="1"/>
  <c r="Y1549" i="1"/>
  <c r="Y1553" i="1"/>
  <c r="Y1555" i="1"/>
  <c r="Y1558" i="1"/>
  <c r="AF1558" i="1" s="1"/>
  <c r="Y1563" i="1"/>
  <c r="Y1571" i="1"/>
  <c r="Y1574" i="1"/>
  <c r="Y1576" i="1"/>
  <c r="Y1581" i="1"/>
  <c r="Y1586" i="1"/>
  <c r="Y1589" i="1"/>
  <c r="Y1595" i="1"/>
  <c r="Y1598" i="1"/>
  <c r="AF1598" i="1" s="1"/>
  <c r="Y1625" i="1"/>
  <c r="Y1631" i="1"/>
  <c r="Y1633" i="1"/>
  <c r="Y1639" i="1"/>
  <c r="AG1639" i="1" s="1"/>
  <c r="Y1641" i="1"/>
  <c r="Y1648" i="1"/>
  <c r="Y1652" i="1"/>
  <c r="Y1655" i="1"/>
  <c r="AG1655" i="1" s="1"/>
  <c r="Y1658" i="1"/>
  <c r="AG1658" i="1" s="1"/>
  <c r="Y1661" i="1"/>
  <c r="Y1666" i="1"/>
  <c r="Y1669" i="1"/>
  <c r="AE1669" i="1" s="1"/>
  <c r="Y1674" i="1"/>
  <c r="AG1674" i="1" s="1"/>
  <c r="Y1678" i="1"/>
  <c r="Y1680" i="1"/>
  <c r="Y1684" i="1"/>
  <c r="AF1684" i="1" s="1"/>
  <c r="Y1687" i="1"/>
  <c r="Y1697" i="1"/>
  <c r="Y1720" i="1"/>
  <c r="Y1724" i="1"/>
  <c r="AF1724" i="1" s="1"/>
  <c r="Y1730" i="1"/>
  <c r="Y1254" i="1"/>
  <c r="Y1258" i="1"/>
  <c r="Y1262" i="1"/>
  <c r="AF1262" i="1" s="1"/>
  <c r="Y1267" i="1"/>
  <c r="Y1274" i="1"/>
  <c r="AE1277" i="1"/>
  <c r="Y1278" i="1"/>
  <c r="AF1278" i="1" s="1"/>
  <c r="Y1280" i="1"/>
  <c r="Y1285" i="1"/>
  <c r="Y1288" i="1"/>
  <c r="Y1294" i="1"/>
  <c r="Y1300" i="1"/>
  <c r="Y1303" i="1"/>
  <c r="Y1306" i="1"/>
  <c r="Y1311" i="1"/>
  <c r="AE1311" i="1" s="1"/>
  <c r="Y1314" i="1"/>
  <c r="Y1318" i="1"/>
  <c r="Y1324" i="1"/>
  <c r="Y1327" i="1"/>
  <c r="Y1332" i="1"/>
  <c r="Y1336" i="1"/>
  <c r="Y1340" i="1"/>
  <c r="Y1344" i="1"/>
  <c r="Y1349" i="1"/>
  <c r="Y1352" i="1"/>
  <c r="Y1360" i="1"/>
  <c r="Y1366" i="1"/>
  <c r="Y1369" i="1"/>
  <c r="Y1371" i="1"/>
  <c r="Y1374" i="1"/>
  <c r="Y1377" i="1"/>
  <c r="AG1377" i="1" s="1"/>
  <c r="Y1381" i="1"/>
  <c r="Y1385" i="1"/>
  <c r="Y1387" i="1"/>
  <c r="Y1393" i="1"/>
  <c r="AG1393" i="1" s="1"/>
  <c r="Y1396" i="1"/>
  <c r="Y1400" i="1"/>
  <c r="Y1404" i="1"/>
  <c r="Y1408" i="1"/>
  <c r="Y1413" i="1"/>
  <c r="Y1416" i="1"/>
  <c r="Y1418" i="1"/>
  <c r="Y1424" i="1"/>
  <c r="Y1430" i="1"/>
  <c r="AF1430" i="1" s="1"/>
  <c r="Y1440" i="1"/>
  <c r="Y1452" i="1"/>
  <c r="Y1455" i="1"/>
  <c r="Y1463" i="1"/>
  <c r="Y1466" i="1"/>
  <c r="Y1469" i="1"/>
  <c r="Y1472" i="1"/>
  <c r="Y1474" i="1"/>
  <c r="Y1478" i="1"/>
  <c r="Y1484" i="1"/>
  <c r="Y1487" i="1"/>
  <c r="Y1493" i="1"/>
  <c r="Y1496" i="1"/>
  <c r="Y1508" i="1"/>
  <c r="Y1512" i="1"/>
  <c r="Y1519" i="1"/>
  <c r="Y1527" i="1"/>
  <c r="Y1532" i="1"/>
  <c r="Y1538" i="1"/>
  <c r="Y1541" i="1"/>
  <c r="Y1544" i="1"/>
  <c r="Y1546" i="1"/>
  <c r="Y1550" i="1"/>
  <c r="AF1550" i="1" s="1"/>
  <c r="Y1556" i="1"/>
  <c r="Y1559" i="1"/>
  <c r="Y1566" i="1"/>
  <c r="AF1566" i="1" s="1"/>
  <c r="Y1568" i="1"/>
  <c r="Y1572" i="1"/>
  <c r="AD1572" i="1" s="1"/>
  <c r="Y1584" i="1"/>
  <c r="Y1590" i="1"/>
  <c r="AF1590" i="1" s="1"/>
  <c r="Y1596" i="1"/>
  <c r="Y1599" i="1"/>
  <c r="Y1603" i="1"/>
  <c r="Y1612" i="1"/>
  <c r="Y1615" i="1"/>
  <c r="Y1621" i="1"/>
  <c r="AE1621" i="1" s="1"/>
  <c r="Y1626" i="1"/>
  <c r="Y1628" i="1"/>
  <c r="Y1634" i="1"/>
  <c r="Y1636" i="1"/>
  <c r="Y1642" i="1"/>
  <c r="Y1645" i="1"/>
  <c r="Y1649" i="1"/>
  <c r="Y1653" i="1"/>
  <c r="Y1662" i="1"/>
  <c r="Y1664" i="1"/>
  <c r="Y1670" i="1"/>
  <c r="AG1670" i="1" s="1"/>
  <c r="Y1672" i="1"/>
  <c r="Y1675" i="1"/>
  <c r="Y1681" i="1"/>
  <c r="Y1685" i="1"/>
  <c r="AE1685" i="1" s="1"/>
  <c r="Y1694" i="1"/>
  <c r="Y1698" i="1"/>
  <c r="Y1703" i="1"/>
  <c r="AG1703" i="1" s="1"/>
  <c r="Y1705" i="1"/>
  <c r="AE1705" i="1" s="1"/>
  <c r="Y1718" i="1"/>
  <c r="Y1721" i="1"/>
  <c r="Y1725" i="1"/>
  <c r="Y1727" i="1"/>
  <c r="AG1727" i="1" s="1"/>
  <c r="Y1731" i="1"/>
  <c r="Y1414" i="1"/>
  <c r="Y1419" i="1"/>
  <c r="Y1425" i="1"/>
  <c r="Y1427" i="1"/>
  <c r="Y1435" i="1"/>
  <c r="Y1438" i="1"/>
  <c r="Y1447" i="1"/>
  <c r="Y1450" i="1"/>
  <c r="Y1453" i="1"/>
  <c r="Y1456" i="1"/>
  <c r="Y1458" i="1"/>
  <c r="Y1461" i="1"/>
  <c r="Y1464" i="1"/>
  <c r="Y1470" i="1"/>
  <c r="Y1475" i="1"/>
  <c r="Y1479" i="1"/>
  <c r="Y1482" i="1"/>
  <c r="Y1485" i="1"/>
  <c r="Y1488" i="1"/>
  <c r="Y1497" i="1"/>
  <c r="Y1499" i="1"/>
  <c r="Y1509" i="1"/>
  <c r="Y1517" i="1"/>
  <c r="Y1520" i="1"/>
  <c r="Y1522" i="1"/>
  <c r="Y1525" i="1"/>
  <c r="Y1528" i="1"/>
  <c r="Y1530" i="1"/>
  <c r="Y1535" i="1"/>
  <c r="Y1539" i="1"/>
  <c r="Y1542" i="1"/>
  <c r="AF1542" i="1" s="1"/>
  <c r="Y1547" i="1"/>
  <c r="Y1551" i="1"/>
  <c r="Y1554" i="1"/>
  <c r="Y1562" i="1"/>
  <c r="Y1564" i="1"/>
  <c r="Y1575" i="1"/>
  <c r="Y1577" i="1"/>
  <c r="Y1587" i="1"/>
  <c r="AG1587" i="1" s="1"/>
  <c r="Y1591" i="1"/>
  <c r="Y1600" i="1"/>
  <c r="Y1604" i="1"/>
  <c r="Y1609" i="1"/>
  <c r="Y1613" i="1"/>
  <c r="Y1616" i="1"/>
  <c r="Y1622" i="1"/>
  <c r="AF1622" i="1" s="1"/>
  <c r="Y1624" i="1"/>
  <c r="Y1629" i="1"/>
  <c r="Y1632" i="1"/>
  <c r="Y1637" i="1"/>
  <c r="Y1640" i="1"/>
  <c r="AF1640" i="1" s="1"/>
  <c r="Y1643" i="1"/>
  <c r="Y1650" i="1"/>
  <c r="AG1650" i="1" s="1"/>
  <c r="Y1659" i="1"/>
  <c r="Y1667" i="1"/>
  <c r="Y1676" i="1"/>
  <c r="Y1679" i="1"/>
  <c r="Y1682" i="1"/>
  <c r="Y1691" i="1"/>
  <c r="Y1696" i="1"/>
  <c r="Y1706" i="1"/>
  <c r="Y1709" i="1"/>
  <c r="Y1712" i="1"/>
  <c r="AF1712" i="1" s="1"/>
  <c r="Y1722" i="1"/>
  <c r="AG1722" i="1" s="1"/>
  <c r="Y1728" i="1"/>
  <c r="Y1732" i="1"/>
  <c r="Y1733" i="1"/>
  <c r="Y1735" i="1"/>
  <c r="Y1739" i="1"/>
  <c r="Y1745" i="1"/>
  <c r="Y1749" i="1"/>
  <c r="AE1749" i="1" s="1"/>
  <c r="Y1751" i="1"/>
  <c r="Y1754" i="1"/>
  <c r="Y1763" i="1"/>
  <c r="Y1772" i="1"/>
  <c r="AF1772" i="1" s="1"/>
  <c r="Y1775" i="1"/>
  <c r="Y1778" i="1"/>
  <c r="Y1781" i="1"/>
  <c r="Y1787" i="1"/>
  <c r="Y1801" i="1"/>
  <c r="AE1801" i="1" s="1"/>
  <c r="Y1807" i="1"/>
  <c r="Y1817" i="1"/>
  <c r="Y1823" i="1"/>
  <c r="AG1823" i="1" s="1"/>
  <c r="Y1827" i="1"/>
  <c r="Y1833" i="1"/>
  <c r="Y1839" i="1"/>
  <c r="AG1839" i="1" s="1"/>
  <c r="Y1843" i="1"/>
  <c r="Y1849" i="1"/>
  <c r="Y1853" i="1"/>
  <c r="Y1855" i="1"/>
  <c r="Y1861" i="1"/>
  <c r="AE1861" i="1" s="1"/>
  <c r="Y1864" i="1"/>
  <c r="AF1864" i="1" s="1"/>
  <c r="Y1872" i="1"/>
  <c r="Y1875" i="1"/>
  <c r="Y1881" i="1"/>
  <c r="AE1881" i="1" s="1"/>
  <c r="Y1890" i="1"/>
  <c r="Y1895" i="1"/>
  <c r="Y1901" i="1"/>
  <c r="Y1903" i="1"/>
  <c r="AG1903" i="1" s="1"/>
  <c r="Y1906" i="1"/>
  <c r="Y1909" i="1"/>
  <c r="Y1917" i="1"/>
  <c r="Y1925" i="1"/>
  <c r="AE1925" i="1" s="1"/>
  <c r="Y1928" i="1"/>
  <c r="Y1933" i="1"/>
  <c r="Y1941" i="1"/>
  <c r="Y1949" i="1"/>
  <c r="AE1949" i="1" s="1"/>
  <c r="Y1957" i="1"/>
  <c r="Y2073" i="1"/>
  <c r="Y2076" i="1"/>
  <c r="Y2081" i="1"/>
  <c r="AE2081" i="1" s="1"/>
  <c r="Y2084" i="1"/>
  <c r="AF2084" i="1" s="1"/>
  <c r="Y1737" i="1"/>
  <c r="Y1741" i="1"/>
  <c r="AE1741" i="1" s="1"/>
  <c r="Y1747" i="1"/>
  <c r="Y1756" i="1"/>
  <c r="AF1756" i="1" s="1"/>
  <c r="Y1761" i="1"/>
  <c r="Y1765" i="1"/>
  <c r="Y1767" i="1"/>
  <c r="AG1767" i="1" s="1"/>
  <c r="Y1770" i="1"/>
  <c r="AG1770" i="1" s="1"/>
  <c r="Y1785" i="1"/>
  <c r="Y1791" i="1"/>
  <c r="Y1794" i="1"/>
  <c r="AG1794" i="1" s="1"/>
  <c r="Y1797" i="1"/>
  <c r="Y1803" i="1"/>
  <c r="Y1809" i="1"/>
  <c r="AE1809" i="1" s="1"/>
  <c r="Y1815" i="1"/>
  <c r="AG1815" i="1" s="1"/>
  <c r="Y1819" i="1"/>
  <c r="Y1825" i="1"/>
  <c r="Y1831" i="1"/>
  <c r="Y1835" i="1"/>
  <c r="Y1841" i="1"/>
  <c r="Y1845" i="1"/>
  <c r="Y1847" i="1"/>
  <c r="Y1851" i="1"/>
  <c r="Y1857" i="1"/>
  <c r="Y1868" i="1"/>
  <c r="AF1868" i="1" s="1"/>
  <c r="Y1874" i="1"/>
  <c r="Y1879" i="1"/>
  <c r="AG1879" i="1" s="1"/>
  <c r="Y1885" i="1"/>
  <c r="Y1888" i="1"/>
  <c r="Y1891" i="1"/>
  <c r="Y1897" i="1"/>
  <c r="AE1897" i="1" s="1"/>
  <c r="Y1913" i="1"/>
  <c r="Y1916" i="1"/>
  <c r="Y1921" i="1"/>
  <c r="Y1924" i="1"/>
  <c r="AF1924" i="1" s="1"/>
  <c r="Y1932" i="1"/>
  <c r="AF1932" i="1" s="1"/>
  <c r="Y1937" i="1"/>
  <c r="Y1940" i="1"/>
  <c r="AF1940" i="1" s="1"/>
  <c r="Y1945" i="1"/>
  <c r="AE1945" i="1" s="1"/>
  <c r="Y1948" i="1"/>
  <c r="AF1948" i="1" s="1"/>
  <c r="Y1953" i="1"/>
  <c r="Y1956" i="1"/>
  <c r="AF1956" i="1" s="1"/>
  <c r="Y1961" i="1"/>
  <c r="AE1961" i="1" s="1"/>
  <c r="Y1964" i="1"/>
  <c r="Y1969" i="1"/>
  <c r="Y1974" i="1"/>
  <c r="AD1974" i="1" s="1"/>
  <c r="Y1982" i="1"/>
  <c r="Y1987" i="1"/>
  <c r="Y1990" i="1"/>
  <c r="Y1992" i="1"/>
  <c r="AF1992" i="1" s="1"/>
  <c r="Y1995" i="1"/>
  <c r="Y1997" i="1"/>
  <c r="Y2007" i="1"/>
  <c r="Y2009" i="1"/>
  <c r="AE2009" i="1" s="1"/>
  <c r="Y2016" i="1"/>
  <c r="AD2016" i="1" s="1"/>
  <c r="Y2024" i="1"/>
  <c r="Y2029" i="1"/>
  <c r="Y2032" i="1"/>
  <c r="AF2032" i="1" s="1"/>
  <c r="Y2035" i="1"/>
  <c r="AG2035" i="1" s="1"/>
  <c r="Y2038" i="1"/>
  <c r="Y2046" i="1"/>
  <c r="Y2056" i="1"/>
  <c r="AF2056" i="1" s="1"/>
  <c r="Y2059" i="1"/>
  <c r="AG2059" i="1" s="1"/>
  <c r="Y2061" i="1"/>
  <c r="Y2066" i="1"/>
  <c r="Y2071" i="1"/>
  <c r="Y2074" i="1"/>
  <c r="AG2074" i="1" s="1"/>
  <c r="Y2079" i="1"/>
  <c r="Y2082" i="1"/>
  <c r="Y2089" i="1"/>
  <c r="Y2092" i="1"/>
  <c r="AF2092" i="1" s="1"/>
  <c r="Y2102" i="1"/>
  <c r="Y2110" i="1"/>
  <c r="Y2113" i="1"/>
  <c r="AE2113" i="1" s="1"/>
  <c r="Y2118" i="1"/>
  <c r="AG2118" i="1" s="1"/>
  <c r="Y2136" i="1"/>
  <c r="AF2136" i="1" s="1"/>
  <c r="Y2141" i="1"/>
  <c r="Y2145" i="1"/>
  <c r="AE2145" i="1" s="1"/>
  <c r="Y2150" i="1"/>
  <c r="AG2150" i="1" s="1"/>
  <c r="Y2160" i="1"/>
  <c r="AF2160" i="1" s="1"/>
  <c r="Y2162" i="1"/>
  <c r="Y2170" i="1"/>
  <c r="AG2170" i="1" s="1"/>
  <c r="Y2177" i="1"/>
  <c r="Y2184" i="1"/>
  <c r="Y2190" i="1"/>
  <c r="AF2190" i="1" s="1"/>
  <c r="Y2193" i="1"/>
  <c r="Y2204" i="1"/>
  <c r="AG2204" i="1" s="1"/>
  <c r="Y2207" i="1"/>
  <c r="AE2207" i="1" s="1"/>
  <c r="Y2212" i="1"/>
  <c r="Y2215" i="1"/>
  <c r="AE2215" i="1" s="1"/>
  <c r="Y2220" i="1"/>
  <c r="AD2220" i="1" s="1"/>
  <c r="Y2223" i="1"/>
  <c r="AE2223" i="1" s="1"/>
  <c r="Y2225" i="1"/>
  <c r="Y2227" i="1"/>
  <c r="Y2231" i="1"/>
  <c r="AE2231" i="1" s="1"/>
  <c r="Y2233" i="1"/>
  <c r="Y2235" i="1"/>
  <c r="Y2239" i="1"/>
  <c r="AE2239" i="1" s="1"/>
  <c r="Y2244" i="1"/>
  <c r="Y2247" i="1"/>
  <c r="AE2247" i="1" s="1"/>
  <c r="Y2252" i="1"/>
  <c r="Y2255" i="1"/>
  <c r="AE2255" i="1" s="1"/>
  <c r="Y2260" i="1"/>
  <c r="AD2260" i="1" s="1"/>
  <c r="Y2263" i="1"/>
  <c r="AE2263" i="1" s="1"/>
  <c r="Y2268" i="1"/>
  <c r="Y2271" i="1"/>
  <c r="AE2271" i="1" s="1"/>
  <c r="Y2275" i="1"/>
  <c r="Y2279" i="1"/>
  <c r="AE2279" i="1" s="1"/>
  <c r="Y2284" i="1"/>
  <c r="Y2292" i="1"/>
  <c r="AD2292" i="1" s="1"/>
  <c r="Y2300" i="1"/>
  <c r="AG2300" i="1" s="1"/>
  <c r="Y2305" i="1"/>
  <c r="Y2320" i="1"/>
  <c r="Y2325" i="1"/>
  <c r="Y2335" i="1"/>
  <c r="Y2351" i="1"/>
  <c r="Y2354" i="1"/>
  <c r="Y2400" i="1"/>
  <c r="AE2400" i="1" s="1"/>
  <c r="Y2407" i="1"/>
  <c r="Y2411" i="1"/>
  <c r="Y2417" i="1"/>
  <c r="Y2420" i="1"/>
  <c r="Y2525" i="1"/>
  <c r="Y2528" i="1"/>
  <c r="Y2531" i="1"/>
  <c r="AF2531" i="1" s="1"/>
  <c r="Y2534" i="1"/>
  <c r="Y2537" i="1"/>
  <c r="AF2537" i="1" s="1"/>
  <c r="Y2540" i="1"/>
  <c r="Y2542" i="1"/>
  <c r="AF2542" i="1" s="1"/>
  <c r="Y2556" i="1"/>
  <c r="Y2564" i="1"/>
  <c r="Y2567" i="1"/>
  <c r="AF2567" i="1" s="1"/>
  <c r="Y2574" i="1"/>
  <c r="Y2577" i="1"/>
  <c r="Y2303" i="1"/>
  <c r="Y2311" i="1"/>
  <c r="Y2314" i="1"/>
  <c r="AF2314" i="1" s="1"/>
  <c r="Y2317" i="1"/>
  <c r="Y2321" i="1"/>
  <c r="Y2323" i="1"/>
  <c r="Y2326" i="1"/>
  <c r="AF2326" i="1" s="1"/>
  <c r="Y2329" i="1"/>
  <c r="Y2331" i="1"/>
  <c r="Y2333" i="1"/>
  <c r="Y2336" i="1"/>
  <c r="Y2338" i="1"/>
  <c r="AF2338" i="1" s="1"/>
  <c r="Y2343" i="1"/>
  <c r="AE2343" i="1" s="1"/>
  <c r="Y2346" i="1"/>
  <c r="Y2349" i="1"/>
  <c r="Y2352" i="1"/>
  <c r="AG2352" i="1" s="1"/>
  <c r="Y2355" i="1"/>
  <c r="Y2358" i="1"/>
  <c r="AF2358" i="1" s="1"/>
  <c r="Y2361" i="1"/>
  <c r="Y2363" i="1"/>
  <c r="Y2370" i="1"/>
  <c r="Y2374" i="1"/>
  <c r="Y2377" i="1"/>
  <c r="Y2387" i="1"/>
  <c r="Y2401" i="1"/>
  <c r="Y2404" i="1"/>
  <c r="Y2408" i="1"/>
  <c r="Y2414" i="1"/>
  <c r="Y2418" i="1"/>
  <c r="Y2421" i="1"/>
  <c r="Y2424" i="1"/>
  <c r="Y2434" i="1"/>
  <c r="AG2434" i="1" s="1"/>
  <c r="Y2437" i="1"/>
  <c r="AD2437" i="1" s="1"/>
  <c r="Y2441" i="1"/>
  <c r="Y2444" i="1"/>
  <c r="Y2447" i="1"/>
  <c r="Y2452" i="1"/>
  <c r="Y2455" i="1"/>
  <c r="Y2458" i="1"/>
  <c r="AF2458" i="1" s="1"/>
  <c r="Y2461" i="1"/>
  <c r="AD2461" i="1" s="1"/>
  <c r="Y2473" i="1"/>
  <c r="Y2477" i="1"/>
  <c r="AD2477" i="1" s="1"/>
  <c r="Y2485" i="1"/>
  <c r="AD2485" i="1" s="1"/>
  <c r="Y2489" i="1"/>
  <c r="AD2489" i="1" s="1"/>
  <c r="Y2491" i="1"/>
  <c r="Y2494" i="1"/>
  <c r="Y2509" i="1"/>
  <c r="Y2512" i="1"/>
  <c r="Y2516" i="1"/>
  <c r="Y2520" i="1"/>
  <c r="Y2526" i="1"/>
  <c r="Y2529" i="1"/>
  <c r="AF2529" i="1" s="1"/>
  <c r="Y2532" i="1"/>
  <c r="Y2538" i="1"/>
  <c r="Y2545" i="1"/>
  <c r="AD2545" i="1" s="1"/>
  <c r="Y2552" i="1"/>
  <c r="Y2557" i="1"/>
  <c r="AD2557" i="1" s="1"/>
  <c r="Y2559" i="1"/>
  <c r="Y2565" i="1"/>
  <c r="Y2568" i="1"/>
  <c r="Y2571" i="1"/>
  <c r="Y2575" i="1"/>
  <c r="Y2578" i="1"/>
  <c r="Y2585" i="1"/>
  <c r="Y2594" i="1"/>
  <c r="AG2594" i="1" s="1"/>
  <c r="Y2606" i="1"/>
  <c r="Y2608" i="1"/>
  <c r="Y2616" i="1"/>
  <c r="Y2623" i="1"/>
  <c r="Y2626" i="1"/>
  <c r="Y2629" i="1"/>
  <c r="Y2639" i="1"/>
  <c r="Y2645" i="1"/>
  <c r="Y2649" i="1"/>
  <c r="Y2652" i="1"/>
  <c r="Y2656" i="1"/>
  <c r="Y2660" i="1"/>
  <c r="AD2660" i="1" s="1"/>
  <c r="Y2664" i="1"/>
  <c r="Y2668" i="1"/>
  <c r="Y2671" i="1"/>
  <c r="Y2088" i="1"/>
  <c r="AF2088" i="1" s="1"/>
  <c r="Y2091" i="1"/>
  <c r="Y2093" i="1"/>
  <c r="Y2098" i="1"/>
  <c r="AG2098" i="1" s="1"/>
  <c r="Y2103" i="1"/>
  <c r="Y2106" i="1"/>
  <c r="Y2111" i="1"/>
  <c r="Y2120" i="1"/>
  <c r="AF2120" i="1" s="1"/>
  <c r="Y2125" i="1"/>
  <c r="Y2129" i="1"/>
  <c r="Y2134" i="1"/>
  <c r="AG2134" i="1" s="1"/>
  <c r="Y2152" i="1"/>
  <c r="AF2152" i="1" s="1"/>
  <c r="Y2158" i="1"/>
  <c r="AD2158" i="1" s="1"/>
  <c r="Y2161" i="1"/>
  <c r="Y2166" i="1"/>
  <c r="AG2166" i="1" s="1"/>
  <c r="Y2182" i="1"/>
  <c r="Y2186" i="1"/>
  <c r="Y2191" i="1"/>
  <c r="Y2195" i="1"/>
  <c r="Y2198" i="1"/>
  <c r="AF2198" i="1" s="1"/>
  <c r="Y2226" i="1"/>
  <c r="AF2226" i="1" s="1"/>
  <c r="Y2229" i="1"/>
  <c r="Y2234" i="1"/>
  <c r="AF2234" i="1" s="1"/>
  <c r="Y2237" i="1"/>
  <c r="Y2274" i="1"/>
  <c r="AF2274" i="1" s="1"/>
  <c r="Y2277" i="1"/>
  <c r="Y2286" i="1"/>
  <c r="AF2286" i="1" s="1"/>
  <c r="Y2294" i="1"/>
  <c r="AF2294" i="1" s="1"/>
  <c r="Y2301" i="1"/>
  <c r="Y2304" i="1"/>
  <c r="Y2306" i="1"/>
  <c r="Y2309" i="1"/>
  <c r="Y2312" i="1"/>
  <c r="AG2312" i="1" s="1"/>
  <c r="Y2315" i="1"/>
  <c r="Y2318" i="1"/>
  <c r="AF2318" i="1" s="1"/>
  <c r="Y2324" i="1"/>
  <c r="Y2327" i="1"/>
  <c r="AE2327" i="1" s="1"/>
  <c r="Y2334" i="1"/>
  <c r="Y2339" i="1"/>
  <c r="Y2341" i="1"/>
  <c r="Y2344" i="1"/>
  <c r="AG2344" i="1" s="1"/>
  <c r="Y2347" i="1"/>
  <c r="Y2353" i="1"/>
  <c r="Y2356" i="1"/>
  <c r="Y2359" i="1"/>
  <c r="AE2359" i="1" s="1"/>
  <c r="Y2364" i="1"/>
  <c r="Y2367" i="1"/>
  <c r="Y2371" i="1"/>
  <c r="Y2378" i="1"/>
  <c r="Y2562" i="1"/>
  <c r="AF2562" i="1" s="1"/>
  <c r="Y2674" i="1"/>
  <c r="Y2677" i="1"/>
  <c r="Y2690" i="1"/>
  <c r="Y2692" i="1"/>
  <c r="Y2706" i="1"/>
  <c r="Y2709" i="1"/>
  <c r="Y2712" i="1"/>
  <c r="Y2715" i="1"/>
  <c r="Y2722" i="1"/>
  <c r="Y2725" i="1"/>
  <c r="Y2727" i="1"/>
  <c r="Y2731" i="1"/>
  <c r="Y2733" i="1"/>
  <c r="Y2736" i="1"/>
  <c r="AF2736" i="1" s="1"/>
  <c r="Y2739" i="1"/>
  <c r="Y2743" i="1"/>
  <c r="Y2746" i="1"/>
  <c r="Y2751" i="1"/>
  <c r="AE2751" i="1" s="1"/>
  <c r="Y2756" i="1"/>
  <c r="Y2759" i="1"/>
  <c r="Y2767" i="1"/>
  <c r="Y2770" i="1"/>
  <c r="Y2775" i="1"/>
  <c r="Y2778" i="1"/>
  <c r="Y2783" i="1"/>
  <c r="Y2786" i="1"/>
  <c r="Y2788" i="1"/>
  <c r="Y2793" i="1"/>
  <c r="Y2796" i="1"/>
  <c r="Y2799" i="1"/>
  <c r="Y2802" i="1"/>
  <c r="Y2805" i="1"/>
  <c r="Y2808" i="1"/>
  <c r="Y2810" i="1"/>
  <c r="Y2813" i="1"/>
  <c r="AE2813" i="1" s="1"/>
  <c r="Y2818" i="1"/>
  <c r="Y2820" i="1"/>
  <c r="Y2825" i="1"/>
  <c r="Y2828" i="1"/>
  <c r="Y2831" i="1"/>
  <c r="Y2835" i="1"/>
  <c r="Y2844" i="1"/>
  <c r="AF2844" i="1" s="1"/>
  <c r="Y2848" i="1"/>
  <c r="Y2852" i="1"/>
  <c r="Y2856" i="1"/>
  <c r="Y2860" i="1"/>
  <c r="Y2872" i="1"/>
  <c r="Y2876" i="1"/>
  <c r="Y2881" i="1"/>
  <c r="Y2887" i="1"/>
  <c r="Y2897" i="1"/>
  <c r="AG2897" i="1" s="1"/>
  <c r="Y2903" i="1"/>
  <c r="Y2906" i="1"/>
  <c r="Y2911" i="1"/>
  <c r="Y2917" i="1"/>
  <c r="AG2917" i="1" s="1"/>
  <c r="Y2921" i="1"/>
  <c r="Y2923" i="1"/>
  <c r="Y2932" i="1"/>
  <c r="Y2934" i="1"/>
  <c r="AF2934" i="1" s="1"/>
  <c r="Y2937" i="1"/>
  <c r="AG2937" i="1" s="1"/>
  <c r="Y2940" i="1"/>
  <c r="Y2944" i="1"/>
  <c r="AD2944" i="1" s="1"/>
  <c r="Y2948" i="1"/>
  <c r="Y2954" i="1"/>
  <c r="Y2958" i="1"/>
  <c r="Y2961" i="1"/>
  <c r="Y2966" i="1"/>
  <c r="AF2966" i="1" s="1"/>
  <c r="Y2969" i="1"/>
  <c r="Y2971" i="1"/>
  <c r="Y2977" i="1"/>
  <c r="AG2977" i="1" s="1"/>
  <c r="Y2979" i="1"/>
  <c r="Y2985" i="1"/>
  <c r="Y2994" i="1"/>
  <c r="Y2997" i="1"/>
  <c r="Y3001" i="1"/>
  <c r="Y3004" i="1"/>
  <c r="Y2684" i="1"/>
  <c r="Y2688" i="1"/>
  <c r="Y2691" i="1"/>
  <c r="Y2694" i="1"/>
  <c r="Y2700" i="1"/>
  <c r="Y2708" i="1"/>
  <c r="Y2711" i="1"/>
  <c r="Y2717" i="1"/>
  <c r="Y2724" i="1"/>
  <c r="Y2729" i="1"/>
  <c r="Y2732" i="1"/>
  <c r="Y2737" i="1"/>
  <c r="AG2737" i="1" s="1"/>
  <c r="Y2747" i="1"/>
  <c r="Y2766" i="1"/>
  <c r="AD2766" i="1" s="1"/>
  <c r="Y2779" i="1"/>
  <c r="Y2782" i="1"/>
  <c r="Y2787" i="1"/>
  <c r="Y2789" i="1"/>
  <c r="Y2792" i="1"/>
  <c r="Y2794" i="1"/>
  <c r="Y2803" i="1"/>
  <c r="Y2809" i="1"/>
  <c r="Y2814" i="1"/>
  <c r="AD2814" i="1" s="1"/>
  <c r="Y2817" i="1"/>
  <c r="Y2821" i="1"/>
  <c r="Y2824" i="1"/>
  <c r="Y2826" i="1"/>
  <c r="Y2833" i="1"/>
  <c r="Y2854" i="1"/>
  <c r="Y2858" i="1"/>
  <c r="Y2862" i="1"/>
  <c r="AD2862" i="1" s="1"/>
  <c r="Y2870" i="1"/>
  <c r="Y2874" i="1"/>
  <c r="Y2877" i="1"/>
  <c r="Y2883" i="1"/>
  <c r="Y2886" i="1"/>
  <c r="Y2891" i="1"/>
  <c r="Y2893" i="1"/>
  <c r="AG2893" i="1" s="1"/>
  <c r="Y2896" i="1"/>
  <c r="AD2896" i="1" s="1"/>
  <c r="Y2899" i="1"/>
  <c r="Y2902" i="1"/>
  <c r="Y2905" i="1"/>
  <c r="Y2907" i="1"/>
  <c r="Y2910" i="1"/>
  <c r="Y2915" i="1"/>
  <c r="AE2915" i="1" s="1"/>
  <c r="Y2919" i="1"/>
  <c r="Y2922" i="1"/>
  <c r="Y2925" i="1"/>
  <c r="AG2925" i="1" s="1"/>
  <c r="Y2928" i="1"/>
  <c r="Y2933" i="1"/>
  <c r="AG2933" i="1" s="1"/>
  <c r="Y2942" i="1"/>
  <c r="Y2946" i="1"/>
  <c r="Y2952" i="1"/>
  <c r="Y2956" i="1"/>
  <c r="AD2956" i="1" s="1"/>
  <c r="Y2959" i="1"/>
  <c r="Y2967" i="1"/>
  <c r="Y2970" i="1"/>
  <c r="Y2975" i="1"/>
  <c r="Y2981" i="1"/>
  <c r="Y2986" i="1"/>
  <c r="Y2990" i="1"/>
  <c r="Y2993" i="1"/>
  <c r="Y2999" i="1"/>
  <c r="AD2999" i="1" s="1"/>
  <c r="Y3002" i="1"/>
  <c r="M39" i="1"/>
  <c r="R39" i="1" s="1"/>
  <c r="M44" i="1"/>
  <c r="R44" i="1" s="1"/>
  <c r="M53" i="1"/>
  <c r="R53" i="1" s="1"/>
  <c r="M64" i="1"/>
  <c r="R64" i="1" s="1"/>
  <c r="M71" i="1"/>
  <c r="R71" i="1" s="1"/>
  <c r="M79" i="1"/>
  <c r="R79" i="1" s="1"/>
  <c r="M84" i="1"/>
  <c r="R84" i="1" s="1"/>
  <c r="M87" i="1"/>
  <c r="R87" i="1" s="1"/>
  <c r="M92" i="1"/>
  <c r="R92" i="1" s="1"/>
  <c r="M457" i="1"/>
  <c r="R457" i="1" s="1"/>
  <c r="M459" i="1"/>
  <c r="R459" i="1" s="1"/>
  <c r="M467" i="1"/>
  <c r="R467" i="1" s="1"/>
  <c r="M473" i="1"/>
  <c r="R473" i="1" s="1"/>
  <c r="M503" i="1"/>
  <c r="R503" i="1" s="1"/>
  <c r="M513" i="1"/>
  <c r="R513" i="1" s="1"/>
  <c r="M117" i="1"/>
  <c r="R117" i="1" s="1"/>
  <c r="M123" i="1"/>
  <c r="R123" i="1" s="1"/>
  <c r="M137" i="1"/>
  <c r="R137" i="1" s="1"/>
  <c r="M148" i="1"/>
  <c r="R148" i="1" s="1"/>
  <c r="M155" i="1"/>
  <c r="R155" i="1" s="1"/>
  <c r="M164" i="1"/>
  <c r="R164" i="1" s="1"/>
  <c r="M167" i="1"/>
  <c r="R167" i="1" s="1"/>
  <c r="M173" i="1"/>
  <c r="R173" i="1" s="1"/>
  <c r="M197" i="1"/>
  <c r="R197" i="1" s="1"/>
  <c r="M211" i="1"/>
  <c r="R211" i="1" s="1"/>
  <c r="M235" i="1"/>
  <c r="R235" i="1" s="1"/>
  <c r="M241" i="1"/>
  <c r="R241" i="1" s="1"/>
  <c r="M247" i="1"/>
  <c r="R247" i="1" s="1"/>
  <c r="M299" i="1"/>
  <c r="R299" i="1" s="1"/>
  <c r="M301" i="1"/>
  <c r="R301" i="1" s="1"/>
  <c r="M342" i="1"/>
  <c r="R342" i="1" s="1"/>
  <c r="M344" i="1"/>
  <c r="R344" i="1" s="1"/>
  <c r="M349" i="1"/>
  <c r="R349" i="1" s="1"/>
  <c r="M366" i="1"/>
  <c r="R366" i="1" s="1"/>
  <c r="M368" i="1"/>
  <c r="R368" i="1" s="1"/>
  <c r="M373" i="1"/>
  <c r="R373" i="1" s="1"/>
  <c r="M377" i="1"/>
  <c r="R377" i="1" s="1"/>
  <c r="M381" i="1"/>
  <c r="R381" i="1" s="1"/>
  <c r="M389" i="1"/>
  <c r="R389" i="1" s="1"/>
  <c r="M404" i="1"/>
  <c r="R404" i="1" s="1"/>
  <c r="Y890" i="1"/>
  <c r="AD890" i="1" s="1"/>
  <c r="M890" i="1"/>
  <c r="R890" i="1" s="1"/>
  <c r="M16" i="1"/>
  <c r="R16" i="1" s="1"/>
  <c r="M25" i="1"/>
  <c r="R25" i="1" s="1"/>
  <c r="M29" i="1"/>
  <c r="R29" i="1" s="1"/>
  <c r="M33" i="1"/>
  <c r="R33" i="1" s="1"/>
  <c r="M37" i="1"/>
  <c r="R37" i="1" s="1"/>
  <c r="M48" i="1"/>
  <c r="R48" i="1" s="1"/>
  <c r="M55" i="1"/>
  <c r="R55" i="1" s="1"/>
  <c r="M60" i="1"/>
  <c r="R60" i="1" s="1"/>
  <c r="M69" i="1"/>
  <c r="R69" i="1" s="1"/>
  <c r="M75" i="1"/>
  <c r="R75" i="1" s="1"/>
  <c r="M100" i="1"/>
  <c r="R100" i="1" s="1"/>
  <c r="M107" i="1"/>
  <c r="R107" i="1" s="1"/>
  <c r="M116" i="1"/>
  <c r="R116" i="1" s="1"/>
  <c r="M121" i="1"/>
  <c r="R121" i="1" s="1"/>
  <c r="M140" i="1"/>
  <c r="R140" i="1" s="1"/>
  <c r="M149" i="1"/>
  <c r="R149" i="1" s="1"/>
  <c r="M161" i="1"/>
  <c r="R161" i="1" s="1"/>
  <c r="M165" i="1"/>
  <c r="R165" i="1" s="1"/>
  <c r="M176" i="1"/>
  <c r="R176" i="1" s="1"/>
  <c r="M185" i="1"/>
  <c r="R185" i="1" s="1"/>
  <c r="M192" i="1"/>
  <c r="R192" i="1" s="1"/>
  <c r="M229" i="1"/>
  <c r="R229" i="1" s="1"/>
  <c r="M248" i="1"/>
  <c r="R248" i="1" s="1"/>
  <c r="M263" i="1"/>
  <c r="R263" i="1" s="1"/>
  <c r="M269" i="1"/>
  <c r="R269" i="1" s="1"/>
  <c r="M271" i="1"/>
  <c r="R271" i="1" s="1"/>
  <c r="M277" i="1"/>
  <c r="R277" i="1" s="1"/>
  <c r="M283" i="1"/>
  <c r="R283" i="1" s="1"/>
  <c r="M287" i="1"/>
  <c r="R287" i="1" s="1"/>
  <c r="M289" i="1"/>
  <c r="R289" i="1" s="1"/>
  <c r="M295" i="1"/>
  <c r="R295" i="1" s="1"/>
  <c r="M297" i="1"/>
  <c r="R297" i="1" s="1"/>
  <c r="M304" i="1"/>
  <c r="R304" i="1" s="1"/>
  <c r="M321" i="1"/>
  <c r="R321" i="1" s="1"/>
  <c r="M323" i="1"/>
  <c r="R323" i="1" s="1"/>
  <c r="M328" i="1"/>
  <c r="R328" i="1" s="1"/>
  <c r="M334" i="1"/>
  <c r="R334" i="1" s="1"/>
  <c r="M345" i="1"/>
  <c r="R345" i="1" s="1"/>
  <c r="M347" i="1"/>
  <c r="R347" i="1" s="1"/>
  <c r="M352" i="1"/>
  <c r="R352" i="1" s="1"/>
  <c r="M360" i="1"/>
  <c r="R360" i="1" s="1"/>
  <c r="M369" i="1"/>
  <c r="R369" i="1" s="1"/>
  <c r="M384" i="1"/>
  <c r="R384" i="1" s="1"/>
  <c r="M387" i="1"/>
  <c r="R387" i="1" s="1"/>
  <c r="M405" i="1"/>
  <c r="R405" i="1" s="1"/>
  <c r="M413" i="1"/>
  <c r="R413" i="1" s="1"/>
  <c r="M483" i="1"/>
  <c r="R483" i="1" s="1"/>
  <c r="M469" i="1"/>
  <c r="R469" i="1" s="1"/>
  <c r="M935" i="1"/>
  <c r="R935" i="1" s="1"/>
  <c r="M943" i="1"/>
  <c r="R943" i="1" s="1"/>
  <c r="M946" i="1"/>
  <c r="R946" i="1" s="1"/>
  <c r="M477" i="1"/>
  <c r="R477" i="1" s="1"/>
  <c r="M497" i="1"/>
  <c r="R497" i="1" s="1"/>
  <c r="M507" i="1"/>
  <c r="R507" i="1" s="1"/>
  <c r="M509" i="1"/>
  <c r="R509" i="1" s="1"/>
  <c r="M525" i="1"/>
  <c r="R525" i="1" s="1"/>
  <c r="M560" i="1"/>
  <c r="R560" i="1" s="1"/>
  <c r="M566" i="1"/>
  <c r="R566" i="1" s="1"/>
  <c r="M585" i="1"/>
  <c r="R585" i="1" s="1"/>
  <c r="M606" i="1"/>
  <c r="R606" i="1" s="1"/>
  <c r="M628" i="1"/>
  <c r="R628" i="1" s="1"/>
  <c r="M640" i="1"/>
  <c r="R640" i="1" s="1"/>
  <c r="M643" i="1"/>
  <c r="R643" i="1" s="1"/>
  <c r="M688" i="1"/>
  <c r="R688" i="1" s="1"/>
  <c r="M695" i="1"/>
  <c r="R695" i="1" s="1"/>
  <c r="M698" i="1"/>
  <c r="R698" i="1" s="1"/>
  <c r="M700" i="1"/>
  <c r="R700" i="1" s="1"/>
  <c r="M706" i="1"/>
  <c r="R706" i="1" s="1"/>
  <c r="M716" i="1"/>
  <c r="R716" i="1" s="1"/>
  <c r="M720" i="1"/>
  <c r="R720" i="1" s="1"/>
  <c r="M735" i="1"/>
  <c r="R735" i="1" s="1"/>
  <c r="M739" i="1"/>
  <c r="R739" i="1" s="1"/>
  <c r="M744" i="1"/>
  <c r="R744" i="1" s="1"/>
  <c r="AE749" i="1"/>
  <c r="M755" i="1"/>
  <c r="R755" i="1" s="1"/>
  <c r="M758" i="1"/>
  <c r="R758" i="1" s="1"/>
  <c r="M763" i="1"/>
  <c r="R763" i="1" s="1"/>
  <c r="M768" i="1"/>
  <c r="R768" i="1" s="1"/>
  <c r="M774" i="1"/>
  <c r="R774" i="1" s="1"/>
  <c r="M790" i="1"/>
  <c r="R790" i="1" s="1"/>
  <c r="M792" i="1"/>
  <c r="R792" i="1" s="1"/>
  <c r="M795" i="1"/>
  <c r="R795" i="1" s="1"/>
  <c r="M807" i="1"/>
  <c r="R807" i="1" s="1"/>
  <c r="M810" i="1"/>
  <c r="R810" i="1" s="1"/>
  <c r="M820" i="1"/>
  <c r="R820" i="1" s="1"/>
  <c r="M831" i="1"/>
  <c r="R831" i="1" s="1"/>
  <c r="M835" i="1"/>
  <c r="R835" i="1" s="1"/>
  <c r="M840" i="1"/>
  <c r="R840" i="1" s="1"/>
  <c r="M854" i="1"/>
  <c r="R854" i="1" s="1"/>
  <c r="M859" i="1"/>
  <c r="R859" i="1" s="1"/>
  <c r="M875" i="1"/>
  <c r="R875" i="1" s="1"/>
  <c r="M920" i="1"/>
  <c r="R920" i="1" s="1"/>
  <c r="M923" i="1"/>
  <c r="R923" i="1" s="1"/>
  <c r="M950" i="1"/>
  <c r="R950" i="1" s="1"/>
  <c r="M962" i="1"/>
  <c r="R962" i="1" s="1"/>
  <c r="M967" i="1"/>
  <c r="R967" i="1" s="1"/>
  <c r="M974" i="1"/>
  <c r="R974" i="1" s="1"/>
  <c r="M996" i="1"/>
  <c r="R996" i="1" s="1"/>
  <c r="M1099" i="1"/>
  <c r="R1099" i="1" s="1"/>
  <c r="M1176" i="1"/>
  <c r="R1176" i="1" s="1"/>
  <c r="M1206" i="1"/>
  <c r="R1206" i="1" s="1"/>
  <c r="M1216" i="1"/>
  <c r="R1216" i="1" s="1"/>
  <c r="M1231" i="1"/>
  <c r="R1231" i="1" s="1"/>
  <c r="M517" i="1"/>
  <c r="R517" i="1" s="1"/>
  <c r="M523" i="1"/>
  <c r="R523" i="1" s="1"/>
  <c r="M534" i="1"/>
  <c r="R534" i="1" s="1"/>
  <c r="M536" i="1"/>
  <c r="R536" i="1" s="1"/>
  <c r="M552" i="1"/>
  <c r="R552" i="1" s="1"/>
  <c r="M558" i="1"/>
  <c r="R558" i="1" s="1"/>
  <c r="M561" i="1"/>
  <c r="R561" i="1" s="1"/>
  <c r="M569" i="1"/>
  <c r="R569" i="1" s="1"/>
  <c r="M571" i="1"/>
  <c r="R571" i="1" s="1"/>
  <c r="M574" i="1"/>
  <c r="R574" i="1" s="1"/>
  <c r="M577" i="1"/>
  <c r="R577" i="1" s="1"/>
  <c r="M592" i="1"/>
  <c r="R592" i="1" s="1"/>
  <c r="M603" i="1"/>
  <c r="R603" i="1" s="1"/>
  <c r="M610" i="1"/>
  <c r="R610" i="1" s="1"/>
  <c r="M619" i="1"/>
  <c r="R619" i="1" s="1"/>
  <c r="M641" i="1"/>
  <c r="R641" i="1" s="1"/>
  <c r="M644" i="1"/>
  <c r="R644" i="1" s="1"/>
  <c r="M654" i="1"/>
  <c r="R654" i="1" s="1"/>
  <c r="M663" i="1"/>
  <c r="R663" i="1" s="1"/>
  <c r="M667" i="1"/>
  <c r="R667" i="1" s="1"/>
  <c r="M671" i="1"/>
  <c r="R671" i="1" s="1"/>
  <c r="M674" i="1"/>
  <c r="R674" i="1" s="1"/>
  <c r="M683" i="1"/>
  <c r="R683" i="1" s="1"/>
  <c r="M686" i="1"/>
  <c r="R686" i="1" s="1"/>
  <c r="M696" i="1"/>
  <c r="R696" i="1" s="1"/>
  <c r="M707" i="1"/>
  <c r="R707" i="1" s="1"/>
  <c r="M710" i="1"/>
  <c r="R710" i="1" s="1"/>
  <c r="M712" i="1"/>
  <c r="R712" i="1" s="1"/>
  <c r="M714" i="1"/>
  <c r="R714" i="1" s="1"/>
  <c r="M727" i="1"/>
  <c r="R727" i="1" s="1"/>
  <c r="M730" i="1"/>
  <c r="R730" i="1" s="1"/>
  <c r="M740" i="1"/>
  <c r="R740" i="1" s="1"/>
  <c r="M764" i="1"/>
  <c r="R764" i="1" s="1"/>
  <c r="M772" i="1"/>
  <c r="R772" i="1" s="1"/>
  <c r="M778" i="1"/>
  <c r="R778" i="1" s="1"/>
  <c r="M783" i="1"/>
  <c r="R783" i="1" s="1"/>
  <c r="M786" i="1"/>
  <c r="R786" i="1" s="1"/>
  <c r="M788" i="1"/>
  <c r="R788" i="1" s="1"/>
  <c r="M798" i="1"/>
  <c r="R798" i="1" s="1"/>
  <c r="M803" i="1"/>
  <c r="R803" i="1" s="1"/>
  <c r="M808" i="1"/>
  <c r="R808" i="1" s="1"/>
  <c r="M811" i="1"/>
  <c r="R811" i="1" s="1"/>
  <c r="M815" i="1"/>
  <c r="R815" i="1" s="1"/>
  <c r="M818" i="1"/>
  <c r="R818" i="1" s="1"/>
  <c r="M823" i="1"/>
  <c r="R823" i="1" s="1"/>
  <c r="M826" i="1"/>
  <c r="R826" i="1" s="1"/>
  <c r="M836" i="1"/>
  <c r="R836" i="1" s="1"/>
  <c r="M846" i="1"/>
  <c r="R846" i="1" s="1"/>
  <c r="M860" i="1"/>
  <c r="R860" i="1" s="1"/>
  <c r="M862" i="1"/>
  <c r="R862" i="1" s="1"/>
  <c r="AG871" i="1"/>
  <c r="M926" i="1"/>
  <c r="R926" i="1" s="1"/>
  <c r="M932" i="1"/>
  <c r="R932" i="1" s="1"/>
  <c r="M934" i="1"/>
  <c r="R934" i="1" s="1"/>
  <c r="M939" i="1"/>
  <c r="R939" i="1" s="1"/>
  <c r="M948" i="1"/>
  <c r="R948" i="1" s="1"/>
  <c r="M954" i="1"/>
  <c r="R954" i="1" s="1"/>
  <c r="M970" i="1"/>
  <c r="R970" i="1" s="1"/>
  <c r="M972" i="1"/>
  <c r="R972" i="1" s="1"/>
  <c r="M978" i="1"/>
  <c r="R978" i="1" s="1"/>
  <c r="M994" i="1"/>
  <c r="R994" i="1" s="1"/>
  <c r="M999" i="1"/>
  <c r="R999" i="1" s="1"/>
  <c r="M1002" i="1"/>
  <c r="R1002" i="1" s="1"/>
  <c r="M1018" i="1"/>
  <c r="R1018" i="1" s="1"/>
  <c r="M1023" i="1"/>
  <c r="R1023" i="1" s="1"/>
  <c r="M1026" i="1"/>
  <c r="R1026" i="1" s="1"/>
  <c r="M1031" i="1"/>
  <c r="R1031" i="1" s="1"/>
  <c r="M1034" i="1"/>
  <c r="R1034" i="1" s="1"/>
  <c r="M1039" i="1"/>
  <c r="R1039" i="1" s="1"/>
  <c r="M1042" i="1"/>
  <c r="R1042" i="1" s="1"/>
  <c r="M1051" i="1"/>
  <c r="R1051" i="1" s="1"/>
  <c r="M1070" i="1"/>
  <c r="R1070" i="1" s="1"/>
  <c r="M1084" i="1"/>
  <c r="R1084" i="1" s="1"/>
  <c r="M1100" i="1"/>
  <c r="R1100" i="1" s="1"/>
  <c r="M1108" i="1"/>
  <c r="R1108" i="1" s="1"/>
  <c r="M1126" i="1"/>
  <c r="R1126" i="1" s="1"/>
  <c r="M1134" i="1"/>
  <c r="R1134" i="1" s="1"/>
  <c r="M1140" i="1"/>
  <c r="R1140" i="1" s="1"/>
  <c r="M1158" i="1"/>
  <c r="R1158" i="1" s="1"/>
  <c r="M1160" i="1"/>
  <c r="R1160" i="1" s="1"/>
  <c r="M1168" i="1"/>
  <c r="R1168" i="1" s="1"/>
  <c r="M1174" i="1"/>
  <c r="R1174" i="1" s="1"/>
  <c r="M1180" i="1"/>
  <c r="R1180" i="1" s="1"/>
  <c r="M1183" i="1"/>
  <c r="R1183" i="1" s="1"/>
  <c r="M1186" i="1"/>
  <c r="R1186" i="1" s="1"/>
  <c r="M1194" i="1"/>
  <c r="R1194" i="1" s="1"/>
  <c r="M1202" i="1"/>
  <c r="R1202" i="1" s="1"/>
  <c r="M1204" i="1"/>
  <c r="R1204" i="1" s="1"/>
  <c r="M1214" i="1"/>
  <c r="R1214" i="1" s="1"/>
  <c r="M1220" i="1"/>
  <c r="R1220" i="1" s="1"/>
  <c r="M1223" i="1"/>
  <c r="R1223" i="1" s="1"/>
  <c r="M1226" i="1"/>
  <c r="R1226" i="1" s="1"/>
  <c r="M1234" i="1"/>
  <c r="R1234" i="1" s="1"/>
  <c r="M1242" i="1"/>
  <c r="R1242" i="1" s="1"/>
  <c r="M1244" i="1"/>
  <c r="R1244" i="1" s="1"/>
  <c r="M1254" i="1"/>
  <c r="R1254" i="1" s="1"/>
  <c r="M1570" i="1"/>
  <c r="R1570" i="1" s="1"/>
  <c r="M1575" i="1"/>
  <c r="R1575" i="1" s="1"/>
  <c r="M1587" i="1"/>
  <c r="R1587" i="1" s="1"/>
  <c r="M1604" i="1"/>
  <c r="R1604" i="1" s="1"/>
  <c r="M1634" i="1"/>
  <c r="R1634" i="1" s="1"/>
  <c r="M1642" i="1"/>
  <c r="R1642" i="1" s="1"/>
  <c r="M1645" i="1"/>
  <c r="R1645" i="1" s="1"/>
  <c r="M1658" i="1"/>
  <c r="R1658" i="1" s="1"/>
  <c r="M1668" i="1"/>
  <c r="R1668" i="1" s="1"/>
  <c r="M1676" i="1"/>
  <c r="R1676" i="1" s="1"/>
  <c r="M1692" i="1"/>
  <c r="R1692" i="1" s="1"/>
  <c r="M1706" i="1"/>
  <c r="R1706" i="1" s="1"/>
  <c r="M1712" i="1"/>
  <c r="R1712" i="1" s="1"/>
  <c r="M1718" i="1"/>
  <c r="R1718" i="1" s="1"/>
  <c r="M1724" i="1"/>
  <c r="R1724" i="1" s="1"/>
  <c r="M1732" i="1"/>
  <c r="R1732" i="1" s="1"/>
  <c r="M1740" i="1"/>
  <c r="R1740" i="1" s="1"/>
  <c r="M1778" i="1"/>
  <c r="R1778" i="1" s="1"/>
  <c r="M1781" i="1"/>
  <c r="R1781" i="1" s="1"/>
  <c r="M1786" i="1"/>
  <c r="R1786" i="1" s="1"/>
  <c r="M1789" i="1"/>
  <c r="R1789" i="1" s="1"/>
  <c r="M1794" i="1"/>
  <c r="R1794" i="1" s="1"/>
  <c r="M1797" i="1"/>
  <c r="R1797" i="1" s="1"/>
  <c r="M1802" i="1"/>
  <c r="R1802" i="1" s="1"/>
  <c r="M1805" i="1"/>
  <c r="R1805" i="1" s="1"/>
  <c r="M1808" i="1"/>
  <c r="R1808" i="1" s="1"/>
  <c r="M1816" i="1"/>
  <c r="R1816" i="1" s="1"/>
  <c r="M1824" i="1"/>
  <c r="R1824" i="1" s="1"/>
  <c r="M1832" i="1"/>
  <c r="R1832" i="1" s="1"/>
  <c r="M1844" i="1"/>
  <c r="R1844" i="1" s="1"/>
  <c r="M1852" i="1"/>
  <c r="R1852" i="1" s="1"/>
  <c r="M1864" i="1"/>
  <c r="R1864" i="1" s="1"/>
  <c r="M1888" i="1"/>
  <c r="R1888" i="1" s="1"/>
  <c r="M1893" i="1"/>
  <c r="R1893" i="1" s="1"/>
  <c r="M1896" i="1"/>
  <c r="R1896" i="1" s="1"/>
  <c r="M1901" i="1"/>
  <c r="R1901" i="1" s="1"/>
  <c r="M1906" i="1"/>
  <c r="R1906" i="1" s="1"/>
  <c r="M1914" i="1"/>
  <c r="R1914" i="1" s="1"/>
  <c r="M1922" i="1"/>
  <c r="R1922" i="1" s="1"/>
  <c r="M1372" i="1"/>
  <c r="R1372" i="1" s="1"/>
  <c r="M1246" i="1"/>
  <c r="R1246" i="1" s="1"/>
  <c r="M1256" i="1"/>
  <c r="R1256" i="1" s="1"/>
  <c r="M1268" i="1"/>
  <c r="R1268" i="1" s="1"/>
  <c r="M1288" i="1"/>
  <c r="R1288" i="1" s="1"/>
  <c r="M1294" i="1"/>
  <c r="R1294" i="1" s="1"/>
  <c r="M1304" i="1"/>
  <c r="R1304" i="1" s="1"/>
  <c r="M1307" i="1"/>
  <c r="R1307" i="1" s="1"/>
  <c r="M1316" i="1"/>
  <c r="R1316" i="1" s="1"/>
  <c r="M1320" i="1"/>
  <c r="R1320" i="1" s="1"/>
  <c r="M1334" i="1"/>
  <c r="R1334" i="1" s="1"/>
  <c r="M1347" i="1"/>
  <c r="R1347" i="1" s="1"/>
  <c r="M1360" i="1"/>
  <c r="R1360" i="1" s="1"/>
  <c r="AE1375" i="1"/>
  <c r="M1376" i="1"/>
  <c r="R1376" i="1" s="1"/>
  <c r="M1389" i="1"/>
  <c r="R1389" i="1" s="1"/>
  <c r="M1392" i="1"/>
  <c r="R1392" i="1" s="1"/>
  <c r="M1394" i="1"/>
  <c r="R1394" i="1" s="1"/>
  <c r="M1404" i="1"/>
  <c r="R1404" i="1" s="1"/>
  <c r="M1408" i="1"/>
  <c r="R1408" i="1" s="1"/>
  <c r="M1416" i="1"/>
  <c r="R1416" i="1" s="1"/>
  <c r="M1418" i="1"/>
  <c r="R1418" i="1" s="1"/>
  <c r="M1432" i="1"/>
  <c r="R1432" i="1" s="1"/>
  <c r="M1442" i="1"/>
  <c r="R1442" i="1" s="1"/>
  <c r="M1453" i="1"/>
  <c r="R1453" i="1" s="1"/>
  <c r="M1456" i="1"/>
  <c r="R1456" i="1" s="1"/>
  <c r="M1458" i="1"/>
  <c r="R1458" i="1" s="1"/>
  <c r="M1469" i="1"/>
  <c r="R1469" i="1" s="1"/>
  <c r="M1472" i="1"/>
  <c r="R1472" i="1" s="1"/>
  <c r="M1474" i="1"/>
  <c r="R1474" i="1" s="1"/>
  <c r="M1480" i="1"/>
  <c r="R1480" i="1" s="1"/>
  <c r="M1500" i="1"/>
  <c r="R1500" i="1" s="1"/>
  <c r="M1510" i="1"/>
  <c r="R1510" i="1" s="1"/>
  <c r="M1517" i="1"/>
  <c r="R1517" i="1" s="1"/>
  <c r="M1520" i="1"/>
  <c r="R1520" i="1" s="1"/>
  <c r="M1522" i="1"/>
  <c r="R1522" i="1" s="1"/>
  <c r="M1532" i="1"/>
  <c r="R1532" i="1" s="1"/>
  <c r="M1546" i="1"/>
  <c r="R1546" i="1" s="1"/>
  <c r="M1552" i="1"/>
  <c r="R1552" i="1" s="1"/>
  <c r="M1562" i="1"/>
  <c r="R1562" i="1" s="1"/>
  <c r="M1564" i="1"/>
  <c r="R1564" i="1" s="1"/>
  <c r="M1722" i="1"/>
  <c r="R1722" i="1" s="1"/>
  <c r="M1796" i="1"/>
  <c r="R1796" i="1" s="1"/>
  <c r="M1804" i="1"/>
  <c r="R1804" i="1" s="1"/>
  <c r="M1260" i="1"/>
  <c r="R1260" i="1" s="1"/>
  <c r="M1263" i="1"/>
  <c r="R1263" i="1" s="1"/>
  <c r="M1266" i="1"/>
  <c r="R1266" i="1" s="1"/>
  <c r="M1272" i="1"/>
  <c r="R1272" i="1" s="1"/>
  <c r="M1283" i="1"/>
  <c r="R1283" i="1" s="1"/>
  <c r="M1300" i="1"/>
  <c r="R1300" i="1" s="1"/>
  <c r="M1308" i="1"/>
  <c r="R1308" i="1" s="1"/>
  <c r="M1329" i="1"/>
  <c r="R1329" i="1" s="1"/>
  <c r="M1348" i="1"/>
  <c r="R1348" i="1" s="1"/>
  <c r="M1353" i="1"/>
  <c r="R1353" i="1" s="1"/>
  <c r="M1358" i="1"/>
  <c r="R1358" i="1" s="1"/>
  <c r="M1380" i="1"/>
  <c r="R1380" i="1" s="1"/>
  <c r="M1384" i="1"/>
  <c r="R1384" i="1" s="1"/>
  <c r="M1398" i="1"/>
  <c r="R1398" i="1" s="1"/>
  <c r="M1411" i="1"/>
  <c r="R1411" i="1" s="1"/>
  <c r="M1424" i="1"/>
  <c r="R1424" i="1" s="1"/>
  <c r="M1440" i="1"/>
  <c r="R1440" i="1" s="1"/>
  <c r="M1448" i="1"/>
  <c r="R1448" i="1" s="1"/>
  <c r="M1464" i="1"/>
  <c r="R1464" i="1" s="1"/>
  <c r="M1478" i="1"/>
  <c r="R1478" i="1" s="1"/>
  <c r="M1503" i="1"/>
  <c r="R1503" i="1" s="1"/>
  <c r="M1528" i="1"/>
  <c r="R1528" i="1" s="1"/>
  <c r="M1550" i="1"/>
  <c r="R1550" i="1" s="1"/>
  <c r="M1558" i="1"/>
  <c r="R1558" i="1" s="1"/>
  <c r="M1582" i="1"/>
  <c r="R1582" i="1" s="1"/>
  <c r="M1584" i="1"/>
  <c r="R1584" i="1" s="1"/>
  <c r="M1596" i="1"/>
  <c r="R1596" i="1" s="1"/>
  <c r="M1606" i="1"/>
  <c r="R1606" i="1" s="1"/>
  <c r="M1612" i="1"/>
  <c r="R1612" i="1" s="1"/>
  <c r="M1626" i="1"/>
  <c r="R1626" i="1" s="1"/>
  <c r="M1648" i="1"/>
  <c r="R1648" i="1" s="1"/>
  <c r="M1652" i="1"/>
  <c r="R1652" i="1" s="1"/>
  <c r="M1660" i="1"/>
  <c r="R1660" i="1" s="1"/>
  <c r="M1684" i="1"/>
  <c r="R1684" i="1" s="1"/>
  <c r="M1700" i="1"/>
  <c r="R1700" i="1" s="1"/>
  <c r="M1714" i="1"/>
  <c r="R1714" i="1" s="1"/>
  <c r="M1720" i="1"/>
  <c r="R1720" i="1" s="1"/>
  <c r="M1728" i="1"/>
  <c r="R1728" i="1" s="1"/>
  <c r="M1736" i="1"/>
  <c r="R1736" i="1" s="1"/>
  <c r="M1748" i="1"/>
  <c r="R1748" i="1" s="1"/>
  <c r="M1756" i="1"/>
  <c r="R1756" i="1" s="1"/>
  <c r="M1764" i="1"/>
  <c r="R1764" i="1" s="1"/>
  <c r="M1772" i="1"/>
  <c r="R1772" i="1" s="1"/>
  <c r="M1810" i="1"/>
  <c r="R1810" i="1" s="1"/>
  <c r="M1813" i="1"/>
  <c r="R1813" i="1" s="1"/>
  <c r="M1818" i="1"/>
  <c r="R1818" i="1" s="1"/>
  <c r="M1821" i="1"/>
  <c r="R1821" i="1" s="1"/>
  <c r="M1826" i="1"/>
  <c r="R1826" i="1" s="1"/>
  <c r="M1829" i="1"/>
  <c r="R1829" i="1" s="1"/>
  <c r="M1834" i="1"/>
  <c r="R1834" i="1" s="1"/>
  <c r="M1837" i="1"/>
  <c r="R1837" i="1" s="1"/>
  <c r="M1840" i="1"/>
  <c r="R1840" i="1" s="1"/>
  <c r="M1848" i="1"/>
  <c r="R1848" i="1" s="1"/>
  <c r="M1856" i="1"/>
  <c r="R1856" i="1" s="1"/>
  <c r="M1861" i="1"/>
  <c r="R1861" i="1" s="1"/>
  <c r="M1868" i="1"/>
  <c r="R1868" i="1" s="1"/>
  <c r="M1872" i="1"/>
  <c r="R1872" i="1" s="1"/>
  <c r="M1877" i="1"/>
  <c r="R1877" i="1" s="1"/>
  <c r="M1880" i="1"/>
  <c r="R1880" i="1" s="1"/>
  <c r="M1885" i="1"/>
  <c r="R1885" i="1" s="1"/>
  <c r="M1890" i="1"/>
  <c r="R1890" i="1" s="1"/>
  <c r="M1898" i="1"/>
  <c r="R1898" i="1" s="1"/>
  <c r="M1908" i="1"/>
  <c r="R1908" i="1" s="1"/>
  <c r="M1969" i="1"/>
  <c r="R1969" i="1" s="1"/>
  <c r="M1972" i="1"/>
  <c r="R1972" i="1" s="1"/>
  <c r="M1974" i="1"/>
  <c r="R1974" i="1" s="1"/>
  <c r="M2020" i="1"/>
  <c r="R2020" i="1" s="1"/>
  <c r="M2184" i="1"/>
  <c r="R2184" i="1" s="1"/>
  <c r="M2203" i="1"/>
  <c r="R2203" i="1" s="1"/>
  <c r="M2222" i="1"/>
  <c r="R2222" i="1" s="1"/>
  <c r="M2243" i="1"/>
  <c r="R2243" i="1" s="1"/>
  <c r="M2270" i="1"/>
  <c r="R2270" i="1" s="1"/>
  <c r="M2292" i="1"/>
  <c r="R2292" i="1" s="1"/>
  <c r="M2413" i="1"/>
  <c r="R2413" i="1" s="1"/>
  <c r="M2416" i="1"/>
  <c r="R2416" i="1" s="1"/>
  <c r="M2425" i="1"/>
  <c r="R2425" i="1" s="1"/>
  <c r="M2428" i="1"/>
  <c r="R2428" i="1" s="1"/>
  <c r="Y2480" i="1"/>
  <c r="AE2480" i="1" s="1"/>
  <c r="M2480" i="1"/>
  <c r="R2480" i="1" s="1"/>
  <c r="M1937" i="1"/>
  <c r="R1937" i="1" s="1"/>
  <c r="M1945" i="1"/>
  <c r="R1945" i="1" s="1"/>
  <c r="M1950" i="1"/>
  <c r="R1950" i="1" s="1"/>
  <c r="M1958" i="1"/>
  <c r="R1958" i="1" s="1"/>
  <c r="M1965" i="1"/>
  <c r="R1965" i="1" s="1"/>
  <c r="M1970" i="1"/>
  <c r="R1970" i="1" s="1"/>
  <c r="M1984" i="1"/>
  <c r="R1984" i="1" s="1"/>
  <c r="M1986" i="1"/>
  <c r="R1986" i="1" s="1"/>
  <c r="M1998" i="1"/>
  <c r="R1998" i="1" s="1"/>
  <c r="M2010" i="1"/>
  <c r="R2010" i="1" s="1"/>
  <c r="M2016" i="1"/>
  <c r="R2016" i="1" s="1"/>
  <c r="M2024" i="1"/>
  <c r="R2024" i="1" s="1"/>
  <c r="M2031" i="1"/>
  <c r="R2031" i="1" s="1"/>
  <c r="M2042" i="1"/>
  <c r="R2042" i="1" s="1"/>
  <c r="M2049" i="1"/>
  <c r="R2049" i="1" s="1"/>
  <c r="M2069" i="1"/>
  <c r="R2069" i="1" s="1"/>
  <c r="M2074" i="1"/>
  <c r="R2074" i="1" s="1"/>
  <c r="M2081" i="1"/>
  <c r="R2081" i="1" s="1"/>
  <c r="M2101" i="1"/>
  <c r="R2101" i="1" s="1"/>
  <c r="M2106" i="1"/>
  <c r="R2106" i="1" s="1"/>
  <c r="M2114" i="1"/>
  <c r="R2114" i="1" s="1"/>
  <c r="M2169" i="1"/>
  <c r="R2169" i="1" s="1"/>
  <c r="M2180" i="1"/>
  <c r="R2180" i="1" s="1"/>
  <c r="M2182" i="1"/>
  <c r="R2182" i="1" s="1"/>
  <c r="M2194" i="1"/>
  <c r="R2194" i="1" s="1"/>
  <c r="M2204" i="1"/>
  <c r="R2204" i="1" s="1"/>
  <c r="AF2206" i="1"/>
  <c r="M2207" i="1"/>
  <c r="R2207" i="1" s="1"/>
  <c r="M2211" i="1"/>
  <c r="R2211" i="1" s="1"/>
  <c r="M2219" i="1"/>
  <c r="R2219" i="1" s="1"/>
  <c r="M2230" i="1"/>
  <c r="R2230" i="1" s="1"/>
  <c r="M2244" i="1"/>
  <c r="R2244" i="1" s="1"/>
  <c r="M2247" i="1"/>
  <c r="R2247" i="1" s="1"/>
  <c r="M2252" i="1"/>
  <c r="R2252" i="1" s="1"/>
  <c r="M2255" i="1"/>
  <c r="R2255" i="1" s="1"/>
  <c r="M2259" i="1"/>
  <c r="R2259" i="1" s="1"/>
  <c r="M2267" i="1"/>
  <c r="R2267" i="1" s="1"/>
  <c r="M2278" i="1"/>
  <c r="R2278" i="1" s="1"/>
  <c r="M2286" i="1"/>
  <c r="R2286" i="1" s="1"/>
  <c r="M2300" i="1"/>
  <c r="R2300" i="1" s="1"/>
  <c r="M2302" i="1"/>
  <c r="R2302" i="1" s="1"/>
  <c r="M2304" i="1"/>
  <c r="R2304" i="1" s="1"/>
  <c r="M2312" i="1"/>
  <c r="R2312" i="1" s="1"/>
  <c r="M2318" i="1"/>
  <c r="R2318" i="1" s="1"/>
  <c r="M2326" i="1"/>
  <c r="R2326" i="1" s="1"/>
  <c r="M2360" i="1"/>
  <c r="R2360" i="1" s="1"/>
  <c r="M2368" i="1"/>
  <c r="R2368" i="1" s="1"/>
  <c r="M2372" i="1"/>
  <c r="R2372" i="1" s="1"/>
  <c r="M2375" i="1"/>
  <c r="R2375" i="1" s="1"/>
  <c r="M2383" i="1"/>
  <c r="R2383" i="1" s="1"/>
  <c r="M2388" i="1"/>
  <c r="R2388" i="1" s="1"/>
  <c r="M2401" i="1"/>
  <c r="R2401" i="1" s="1"/>
  <c r="M2404" i="1"/>
  <c r="R2404" i="1" s="1"/>
  <c r="M2417" i="1"/>
  <c r="R2417" i="1" s="1"/>
  <c r="M2420" i="1"/>
  <c r="R2420" i="1" s="1"/>
  <c r="M2429" i="1"/>
  <c r="R2429" i="1" s="1"/>
  <c r="M2432" i="1"/>
  <c r="R2432" i="1" s="1"/>
  <c r="M2435" i="1"/>
  <c r="R2435" i="1" s="1"/>
  <c r="Y2504" i="1"/>
  <c r="M2504" i="1"/>
  <c r="R2504" i="1" s="1"/>
  <c r="M1994" i="1"/>
  <c r="R1994" i="1" s="1"/>
  <c r="M2006" i="1"/>
  <c r="R2006" i="1" s="1"/>
  <c r="M2027" i="1"/>
  <c r="R2027" i="1" s="1"/>
  <c r="M2030" i="1"/>
  <c r="R2030" i="1" s="1"/>
  <c r="M2032" i="1"/>
  <c r="R2032" i="1" s="1"/>
  <c r="M2035" i="1"/>
  <c r="R2035" i="1" s="1"/>
  <c r="M2038" i="1"/>
  <c r="R2038" i="1" s="1"/>
  <c r="M2045" i="1"/>
  <c r="R2045" i="1" s="1"/>
  <c r="M2048" i="1"/>
  <c r="R2048" i="1" s="1"/>
  <c r="M2050" i="1"/>
  <c r="R2050" i="1" s="1"/>
  <c r="M2057" i="1"/>
  <c r="R2057" i="1" s="1"/>
  <c r="M2070" i="1"/>
  <c r="R2070" i="1" s="1"/>
  <c r="M2077" i="1"/>
  <c r="R2077" i="1" s="1"/>
  <c r="M2080" i="1"/>
  <c r="R2080" i="1" s="1"/>
  <c r="M2082" i="1"/>
  <c r="R2082" i="1" s="1"/>
  <c r="M2089" i="1"/>
  <c r="R2089" i="1" s="1"/>
  <c r="M2102" i="1"/>
  <c r="R2102" i="1" s="1"/>
  <c r="M2109" i="1"/>
  <c r="R2109" i="1" s="1"/>
  <c r="M2112" i="1"/>
  <c r="R2112" i="1" s="1"/>
  <c r="M2120" i="1"/>
  <c r="R2120" i="1" s="1"/>
  <c r="M2128" i="1"/>
  <c r="R2128" i="1" s="1"/>
  <c r="M2136" i="1"/>
  <c r="R2136" i="1" s="1"/>
  <c r="M2144" i="1"/>
  <c r="R2144" i="1" s="1"/>
  <c r="M2152" i="1"/>
  <c r="R2152" i="1" s="1"/>
  <c r="M2168" i="1"/>
  <c r="R2168" i="1" s="1"/>
  <c r="M2170" i="1"/>
  <c r="R2170" i="1" s="1"/>
  <c r="M2186" i="1"/>
  <c r="R2186" i="1" s="1"/>
  <c r="M2191" i="1"/>
  <c r="R2191" i="1" s="1"/>
  <c r="M2198" i="1"/>
  <c r="R2198" i="1" s="1"/>
  <c r="M2212" i="1"/>
  <c r="R2212" i="1" s="1"/>
  <c r="M2215" i="1"/>
  <c r="R2215" i="1" s="1"/>
  <c r="M2220" i="1"/>
  <c r="R2220" i="1" s="1"/>
  <c r="M2223" i="1"/>
  <c r="R2223" i="1" s="1"/>
  <c r="M2227" i="1"/>
  <c r="R2227" i="1" s="1"/>
  <c r="M2238" i="1"/>
  <c r="R2238" i="1" s="1"/>
  <c r="M2260" i="1"/>
  <c r="R2260" i="1" s="1"/>
  <c r="M2263" i="1"/>
  <c r="R2263" i="1" s="1"/>
  <c r="M2268" i="1"/>
  <c r="R2268" i="1" s="1"/>
  <c r="M2271" i="1"/>
  <c r="R2271" i="1" s="1"/>
  <c r="M2275" i="1"/>
  <c r="R2275" i="1" s="1"/>
  <c r="M2283" i="1"/>
  <c r="R2283" i="1" s="1"/>
  <c r="M2294" i="1"/>
  <c r="R2294" i="1" s="1"/>
  <c r="M2316" i="1"/>
  <c r="R2316" i="1" s="1"/>
  <c r="M2324" i="1"/>
  <c r="R2324" i="1" s="1"/>
  <c r="M2336" i="1"/>
  <c r="R2336" i="1" s="1"/>
  <c r="M2352" i="1"/>
  <c r="R2352" i="1" s="1"/>
  <c r="M2358" i="1"/>
  <c r="R2358" i="1" s="1"/>
  <c r="M2366" i="1"/>
  <c r="R2366" i="1" s="1"/>
  <c r="M2369" i="1"/>
  <c r="R2369" i="1" s="1"/>
  <c r="M2376" i="1"/>
  <c r="R2376" i="1" s="1"/>
  <c r="M2380" i="1"/>
  <c r="R2380" i="1" s="1"/>
  <c r="M2391" i="1"/>
  <c r="R2391" i="1" s="1"/>
  <c r="M2398" i="1"/>
  <c r="R2398" i="1" s="1"/>
  <c r="M2405" i="1"/>
  <c r="R2405" i="1" s="1"/>
  <c r="M2408" i="1"/>
  <c r="R2408" i="1" s="1"/>
  <c r="M2414" i="1"/>
  <c r="R2414" i="1" s="1"/>
  <c r="M2430" i="1"/>
  <c r="R2430" i="1" s="1"/>
  <c r="M2433" i="1"/>
  <c r="R2433" i="1" s="1"/>
  <c r="M2436" i="1"/>
  <c r="R2436" i="1" s="1"/>
  <c r="M2440" i="1"/>
  <c r="R2440" i="1" s="1"/>
  <c r="M2445" i="1"/>
  <c r="R2445" i="1" s="1"/>
  <c r="M2448" i="1"/>
  <c r="R2448" i="1" s="1"/>
  <c r="M2453" i="1"/>
  <c r="R2453" i="1" s="1"/>
  <c r="M2462" i="1"/>
  <c r="R2462" i="1" s="1"/>
  <c r="AE2464" i="1"/>
  <c r="M2475" i="1"/>
  <c r="R2475" i="1" s="1"/>
  <c r="M2492" i="1"/>
  <c r="R2492" i="1" s="1"/>
  <c r="M2495" i="1"/>
  <c r="R2495" i="1" s="1"/>
  <c r="M2497" i="1"/>
  <c r="R2497" i="1" s="1"/>
  <c r="M2499" i="1"/>
  <c r="R2499" i="1" s="1"/>
  <c r="M2508" i="1"/>
  <c r="R2508" i="1" s="1"/>
  <c r="M2522" i="1"/>
  <c r="R2522" i="1" s="1"/>
  <c r="M2525" i="1"/>
  <c r="R2525" i="1" s="1"/>
  <c r="M2531" i="1"/>
  <c r="R2531" i="1" s="1"/>
  <c r="M2545" i="1"/>
  <c r="R2545" i="1" s="1"/>
  <c r="M2552" i="1"/>
  <c r="R2552" i="1" s="1"/>
  <c r="M2556" i="1"/>
  <c r="R2556" i="1" s="1"/>
  <c r="M2563" i="1"/>
  <c r="R2563" i="1" s="1"/>
  <c r="M2568" i="1"/>
  <c r="R2568" i="1" s="1"/>
  <c r="M2571" i="1"/>
  <c r="R2571" i="1" s="1"/>
  <c r="M2575" i="1"/>
  <c r="R2575" i="1" s="1"/>
  <c r="M2585" i="1"/>
  <c r="R2585" i="1" s="1"/>
  <c r="M2608" i="1"/>
  <c r="R2608" i="1" s="1"/>
  <c r="M2620" i="1"/>
  <c r="R2620" i="1" s="1"/>
  <c r="M2623" i="1"/>
  <c r="R2623" i="1" s="1"/>
  <c r="M2629" i="1"/>
  <c r="R2629" i="1" s="1"/>
  <c r="M2635" i="1"/>
  <c r="R2635" i="1" s="1"/>
  <c r="M2638" i="1"/>
  <c r="R2638" i="1" s="1"/>
  <c r="M2656" i="1"/>
  <c r="R2656" i="1" s="1"/>
  <c r="M2657" i="1"/>
  <c r="R2657" i="1" s="1"/>
  <c r="M2661" i="1"/>
  <c r="R2661" i="1" s="1"/>
  <c r="M2672" i="1"/>
  <c r="R2672" i="1" s="1"/>
  <c r="M2678" i="1"/>
  <c r="R2678" i="1" s="1"/>
  <c r="M2693" i="1"/>
  <c r="R2693" i="1" s="1"/>
  <c r="M2710" i="1"/>
  <c r="R2710" i="1" s="1"/>
  <c r="M2713" i="1"/>
  <c r="R2713" i="1" s="1"/>
  <c r="M2720" i="1"/>
  <c r="R2720" i="1" s="1"/>
  <c r="M2728" i="1"/>
  <c r="R2728" i="1" s="1"/>
  <c r="M2733" i="1"/>
  <c r="R2733" i="1" s="1"/>
  <c r="AF2742" i="1"/>
  <c r="M2743" i="1"/>
  <c r="R2743" i="1" s="1"/>
  <c r="M2746" i="1"/>
  <c r="R2746" i="1" s="1"/>
  <c r="M2748" i="1"/>
  <c r="R2748" i="1" s="1"/>
  <c r="M2750" i="1"/>
  <c r="R2750" i="1" s="1"/>
  <c r="M2760" i="1"/>
  <c r="R2760" i="1" s="1"/>
  <c r="M2767" i="1"/>
  <c r="R2767" i="1" s="1"/>
  <c r="M2770" i="1"/>
  <c r="R2770" i="1" s="1"/>
  <c r="M2775" i="1"/>
  <c r="R2775" i="1" s="1"/>
  <c r="M2780" i="1"/>
  <c r="R2780" i="1" s="1"/>
  <c r="M2804" i="1"/>
  <c r="R2804" i="1" s="1"/>
  <c r="M2807" i="1"/>
  <c r="R2807" i="1" s="1"/>
  <c r="M2812" i="1"/>
  <c r="R2812" i="1" s="1"/>
  <c r="M2814" i="1"/>
  <c r="R2814" i="1" s="1"/>
  <c r="M2816" i="1"/>
  <c r="R2816" i="1" s="1"/>
  <c r="M2818" i="1"/>
  <c r="R2818" i="1" s="1"/>
  <c r="M2834" i="1"/>
  <c r="R2834" i="1" s="1"/>
  <c r="M2862" i="1"/>
  <c r="R2862" i="1" s="1"/>
  <c r="M2870" i="1"/>
  <c r="R2870" i="1" s="1"/>
  <c r="M2874" i="1"/>
  <c r="R2874" i="1" s="1"/>
  <c r="M2882" i="1"/>
  <c r="R2882" i="1" s="1"/>
  <c r="M2885" i="1"/>
  <c r="R2885" i="1" s="1"/>
  <c r="M2888" i="1"/>
  <c r="R2888" i="1" s="1"/>
  <c r="M2895" i="1"/>
  <c r="R2895" i="1" s="1"/>
  <c r="M2898" i="1"/>
  <c r="R2898" i="1" s="1"/>
  <c r="M2901" i="1"/>
  <c r="R2901" i="1" s="1"/>
  <c r="M2904" i="1"/>
  <c r="R2904" i="1" s="1"/>
  <c r="M2909" i="1"/>
  <c r="R2909" i="1" s="1"/>
  <c r="M2912" i="1"/>
  <c r="R2912" i="1" s="1"/>
  <c r="M2918" i="1"/>
  <c r="R2918" i="1" s="1"/>
  <c r="M2932" i="1"/>
  <c r="R2932" i="1" s="1"/>
  <c r="M2934" i="1"/>
  <c r="R2934" i="1" s="1"/>
  <c r="M2952" i="1"/>
  <c r="R2952" i="1" s="1"/>
  <c r="M2990" i="1"/>
  <c r="R2990" i="1" s="1"/>
  <c r="M2995" i="1"/>
  <c r="R2995" i="1" s="1"/>
  <c r="M2998" i="1"/>
  <c r="R2998" i="1" s="1"/>
  <c r="M2460" i="1"/>
  <c r="R2460" i="1" s="1"/>
  <c r="M2464" i="1"/>
  <c r="R2464" i="1" s="1"/>
  <c r="M2467" i="1"/>
  <c r="R2467" i="1" s="1"/>
  <c r="M2472" i="1"/>
  <c r="R2472" i="1" s="1"/>
  <c r="M2481" i="1"/>
  <c r="R2481" i="1" s="1"/>
  <c r="M2483" i="1"/>
  <c r="R2483" i="1" s="1"/>
  <c r="M2489" i="1"/>
  <c r="R2489" i="1" s="1"/>
  <c r="M2494" i="1"/>
  <c r="R2494" i="1" s="1"/>
  <c r="M2496" i="1"/>
  <c r="R2496" i="1" s="1"/>
  <c r="M2498" i="1"/>
  <c r="R2498" i="1" s="1"/>
  <c r="M2505" i="1"/>
  <c r="R2505" i="1" s="1"/>
  <c r="M2530" i="1"/>
  <c r="R2530" i="1" s="1"/>
  <c r="M2532" i="1"/>
  <c r="R2532" i="1" s="1"/>
  <c r="M2536" i="1"/>
  <c r="R2536" i="1" s="1"/>
  <c r="M2537" i="1"/>
  <c r="R2537" i="1" s="1"/>
  <c r="M2547" i="1"/>
  <c r="R2547" i="1" s="1"/>
  <c r="M2553" i="1"/>
  <c r="R2553" i="1" s="1"/>
  <c r="M2555" i="1"/>
  <c r="R2555" i="1" s="1"/>
  <c r="M2564" i="1"/>
  <c r="R2564" i="1" s="1"/>
  <c r="M2580" i="1"/>
  <c r="R2580" i="1" s="1"/>
  <c r="M2583" i="1"/>
  <c r="R2583" i="1" s="1"/>
  <c r="M2587" i="1"/>
  <c r="R2587" i="1" s="1"/>
  <c r="M2593" i="1"/>
  <c r="R2593" i="1" s="1"/>
  <c r="M2595" i="1"/>
  <c r="R2595" i="1" s="1"/>
  <c r="M2601" i="1"/>
  <c r="R2601" i="1" s="1"/>
  <c r="M2618" i="1"/>
  <c r="R2618" i="1" s="1"/>
  <c r="M2647" i="1"/>
  <c r="R2647" i="1" s="1"/>
  <c r="M2652" i="1"/>
  <c r="R2652" i="1" s="1"/>
  <c r="M2679" i="1"/>
  <c r="R2679" i="1" s="1"/>
  <c r="M2682" i="1"/>
  <c r="R2682" i="1" s="1"/>
  <c r="M2698" i="1"/>
  <c r="R2698" i="1" s="1"/>
  <c r="M2721" i="1"/>
  <c r="R2721" i="1" s="1"/>
  <c r="M2732" i="1"/>
  <c r="R2732" i="1" s="1"/>
  <c r="M2737" i="1"/>
  <c r="R2737" i="1" s="1"/>
  <c r="M2742" i="1"/>
  <c r="R2742" i="1" s="1"/>
  <c r="M2749" i="1"/>
  <c r="R2749" i="1" s="1"/>
  <c r="M2751" i="1"/>
  <c r="R2751" i="1" s="1"/>
  <c r="M2774" i="1"/>
  <c r="R2774" i="1" s="1"/>
  <c r="M2784" i="1"/>
  <c r="R2784" i="1" s="1"/>
  <c r="M2791" i="1"/>
  <c r="R2791" i="1" s="1"/>
  <c r="M2813" i="1"/>
  <c r="R2813" i="1" s="1"/>
  <c r="M2823" i="1"/>
  <c r="R2823" i="1" s="1"/>
  <c r="M2866" i="1"/>
  <c r="R2866" i="1" s="1"/>
  <c r="M2884" i="1"/>
  <c r="R2884" i="1" s="1"/>
  <c r="M2889" i="1"/>
  <c r="R2889" i="1" s="1"/>
  <c r="M2892" i="1"/>
  <c r="R2892" i="1" s="1"/>
  <c r="M2894" i="1"/>
  <c r="R2894" i="1" s="1"/>
  <c r="M2900" i="1"/>
  <c r="R2900" i="1" s="1"/>
  <c r="M2908" i="1"/>
  <c r="R2908" i="1" s="1"/>
  <c r="M2913" i="1"/>
  <c r="R2913" i="1" s="1"/>
  <c r="M2916" i="1"/>
  <c r="R2916" i="1" s="1"/>
  <c r="M2928" i="1"/>
  <c r="R2928" i="1" s="1"/>
  <c r="M2933" i="1"/>
  <c r="R2933" i="1" s="1"/>
  <c r="M2938" i="1"/>
  <c r="R2938" i="1" s="1"/>
  <c r="M2944" i="1"/>
  <c r="R2944" i="1" s="1"/>
  <c r="M2948" i="1"/>
  <c r="R2948" i="1" s="1"/>
  <c r="M2954" i="1"/>
  <c r="R2954" i="1" s="1"/>
  <c r="AE2957" i="1"/>
  <c r="M2971" i="1"/>
  <c r="R2971" i="1" s="1"/>
  <c r="M2974" i="1"/>
  <c r="R2974" i="1" s="1"/>
  <c r="M2979" i="1"/>
  <c r="R2979" i="1" s="1"/>
  <c r="M2983" i="1"/>
  <c r="R2983" i="1" s="1"/>
  <c r="M2985" i="1"/>
  <c r="R2985" i="1" s="1"/>
  <c r="M2999" i="1"/>
  <c r="R2999" i="1" s="1"/>
  <c r="AF1454" i="1"/>
  <c r="AF1486" i="1"/>
  <c r="AE2524" i="1"/>
  <c r="AF2222" i="1"/>
  <c r="AF319" i="1"/>
  <c r="M2604" i="1"/>
  <c r="R2604" i="1" s="1"/>
  <c r="M2000" i="1"/>
  <c r="R2000" i="1" s="1"/>
  <c r="AD177" i="1"/>
  <c r="M910" i="1"/>
  <c r="R910" i="1" s="1"/>
  <c r="M1654" i="1"/>
  <c r="R1654" i="1" s="1"/>
  <c r="AF1844" i="1"/>
  <c r="M1846" i="1"/>
  <c r="R1846" i="1" s="1"/>
  <c r="AD2429" i="1"/>
  <c r="M2296" i="1"/>
  <c r="R2296" i="1" s="1"/>
  <c r="M2569" i="1"/>
  <c r="R2569" i="1" s="1"/>
  <c r="AD3003" i="1"/>
  <c r="AF311" i="1"/>
  <c r="M1894" i="1"/>
  <c r="R1894" i="1" s="1"/>
  <c r="AE2033" i="1"/>
  <c r="AE2391" i="1"/>
  <c r="AG2909" i="1"/>
  <c r="M17" i="1"/>
  <c r="R17" i="1" s="1"/>
  <c r="AF391" i="1"/>
  <c r="M898" i="1"/>
  <c r="R898" i="1" s="1"/>
  <c r="AD1524" i="1"/>
  <c r="M1806" i="1"/>
  <c r="R1806" i="1" s="1"/>
  <c r="AF1820" i="1"/>
  <c r="M1822" i="1"/>
  <c r="R1822" i="1" s="1"/>
  <c r="M2008" i="1"/>
  <c r="R2008" i="1" s="1"/>
  <c r="AF2144" i="1"/>
  <c r="M2154" i="1"/>
  <c r="R2154" i="1" s="1"/>
  <c r="AD141" i="1"/>
  <c r="AF351" i="1"/>
  <c r="M762" i="1"/>
  <c r="R762" i="1" s="1"/>
  <c r="AE941" i="1"/>
  <c r="M718" i="1"/>
  <c r="R718" i="1" s="1"/>
  <c r="AE765" i="1"/>
  <c r="M782" i="1"/>
  <c r="R782" i="1" s="1"/>
  <c r="M1686" i="1"/>
  <c r="R1686" i="1" s="1"/>
  <c r="M1742" i="1"/>
  <c r="R1742" i="1" s="1"/>
  <c r="AF1880" i="1"/>
  <c r="M2561" i="1"/>
  <c r="R2561" i="1" s="1"/>
  <c r="AF2595" i="1"/>
  <c r="M231" i="1"/>
  <c r="R231" i="1" s="1"/>
  <c r="AD754" i="1"/>
  <c r="AF1446" i="1"/>
  <c r="M1782" i="1"/>
  <c r="R1782" i="1" s="1"/>
  <c r="AF1796" i="1"/>
  <c r="M1798" i="1"/>
  <c r="R1798" i="1" s="1"/>
  <c r="AF1876" i="1"/>
  <c r="M1886" i="1"/>
  <c r="R1886" i="1" s="1"/>
  <c r="AF1908" i="1"/>
  <c r="M2130" i="1"/>
  <c r="R2130" i="1" s="1"/>
  <c r="M2138" i="1"/>
  <c r="R2138" i="1" s="1"/>
  <c r="AD2188" i="1"/>
  <c r="M2208" i="1"/>
  <c r="R2208" i="1" s="1"/>
  <c r="AF2238" i="1"/>
  <c r="M2248" i="1"/>
  <c r="R2248" i="1" s="1"/>
  <c r="AF2611" i="1"/>
  <c r="AE2644" i="1"/>
  <c r="AF583" i="1"/>
  <c r="M590" i="1"/>
  <c r="R590" i="1" s="1"/>
  <c r="AD632" i="1"/>
  <c r="AE1229" i="1"/>
  <c r="M1594" i="1"/>
  <c r="R1594" i="1" s="1"/>
  <c r="M1758" i="1"/>
  <c r="R1758" i="1" s="1"/>
  <c r="AF2128" i="1"/>
  <c r="M2264" i="1"/>
  <c r="R2264" i="1" s="1"/>
  <c r="AF2350" i="1"/>
  <c r="AD37" i="1"/>
  <c r="M109" i="1"/>
  <c r="R109" i="1" s="1"/>
  <c r="M208" i="1"/>
  <c r="R208" i="1" s="1"/>
  <c r="M1602" i="1"/>
  <c r="R1602" i="1" s="1"/>
  <c r="M1734" i="1"/>
  <c r="R1734" i="1" s="1"/>
  <c r="M2456" i="1"/>
  <c r="R2456" i="1" s="1"/>
  <c r="AF2603" i="1"/>
  <c r="AG306" i="1"/>
  <c r="AE532" i="1"/>
  <c r="AE1573" i="1"/>
  <c r="AF1836" i="1"/>
  <c r="AE1929" i="1"/>
  <c r="M1946" i="1"/>
  <c r="R1946" i="1" s="1"/>
  <c r="M1954" i="1"/>
  <c r="R1954" i="1" s="1"/>
  <c r="M1962" i="1"/>
  <c r="R1962" i="1" s="1"/>
  <c r="M2565" i="1"/>
  <c r="R2565" i="1" s="1"/>
  <c r="M13" i="1"/>
  <c r="R13" i="1" s="1"/>
  <c r="AD61" i="1"/>
  <c r="AD113" i="1"/>
  <c r="AD137" i="1"/>
  <c r="AD153" i="1"/>
  <c r="AD173" i="1"/>
  <c r="M216" i="1"/>
  <c r="R216" i="1" s="1"/>
  <c r="AF491" i="1"/>
  <c r="M540" i="1"/>
  <c r="R540" i="1" s="1"/>
  <c r="M572" i="1"/>
  <c r="R572" i="1" s="1"/>
  <c r="M690" i="1"/>
  <c r="R690" i="1" s="1"/>
  <c r="AD770" i="1"/>
  <c r="M814" i="1"/>
  <c r="R814" i="1" s="1"/>
  <c r="M838" i="1"/>
  <c r="R838" i="1" s="1"/>
  <c r="AE1181" i="1"/>
  <c r="AE1269" i="1"/>
  <c r="M45" i="1"/>
  <c r="R45" i="1" s="1"/>
  <c r="AD53" i="1"/>
  <c r="AD105" i="1"/>
  <c r="M396" i="1"/>
  <c r="R396" i="1" s="1"/>
  <c r="AF475" i="1"/>
  <c r="M834" i="1"/>
  <c r="R834" i="1" s="1"/>
  <c r="AG1055" i="1"/>
  <c r="AF1190" i="1"/>
  <c r="AF1198" i="1"/>
  <c r="AF1230" i="1"/>
  <c r="AG597" i="1"/>
  <c r="M694" i="1"/>
  <c r="R694" i="1" s="1"/>
  <c r="M742" i="1"/>
  <c r="R742" i="1" s="1"/>
  <c r="M1284" i="1"/>
  <c r="R1284" i="1" s="1"/>
  <c r="M89" i="1"/>
  <c r="R89" i="1" s="1"/>
  <c r="M232" i="1"/>
  <c r="R232" i="1" s="1"/>
  <c r="M332" i="1"/>
  <c r="R332" i="1" s="1"/>
  <c r="M372" i="1"/>
  <c r="R372" i="1" s="1"/>
  <c r="AG549" i="1"/>
  <c r="AF648" i="1"/>
  <c r="AF1502" i="1"/>
  <c r="M1516" i="1"/>
  <c r="R1516" i="1" s="1"/>
  <c r="AF1526" i="1"/>
  <c r="AE1535" i="1"/>
  <c r="AF1648" i="1"/>
  <c r="AG1714" i="1"/>
  <c r="AF1740" i="1"/>
  <c r="M1750" i="1"/>
  <c r="R1750" i="1" s="1"/>
  <c r="AF1788" i="1"/>
  <c r="M1790" i="1"/>
  <c r="R1790" i="1" s="1"/>
  <c r="AF1828" i="1"/>
  <c r="M1830" i="1"/>
  <c r="R1830" i="1" s="1"/>
  <c r="M1838" i="1"/>
  <c r="R1838" i="1" s="1"/>
  <c r="M1862" i="1"/>
  <c r="R1862" i="1" s="1"/>
  <c r="M1878" i="1"/>
  <c r="R1878" i="1" s="1"/>
  <c r="M1902" i="1"/>
  <c r="R1902" i="1" s="1"/>
  <c r="AE2121" i="1"/>
  <c r="AE2137" i="1"/>
  <c r="M2200" i="1"/>
  <c r="R2200" i="1" s="1"/>
  <c r="AF2230" i="1"/>
  <c r="M2232" i="1"/>
  <c r="R2232" i="1" s="1"/>
  <c r="M2240" i="1"/>
  <c r="R2240" i="1" s="1"/>
  <c r="M2280" i="1"/>
  <c r="R2280" i="1" s="1"/>
  <c r="M2288" i="1"/>
  <c r="R2288" i="1" s="1"/>
  <c r="M2308" i="1"/>
  <c r="R2308" i="1" s="1"/>
  <c r="M2340" i="1"/>
  <c r="R2340" i="1" s="1"/>
  <c r="AE2368" i="1"/>
  <c r="M2392" i="1"/>
  <c r="R2392" i="1" s="1"/>
  <c r="AD2445" i="1"/>
  <c r="M2521" i="1"/>
  <c r="R2521" i="1" s="1"/>
  <c r="M2596" i="1"/>
  <c r="R2596" i="1" s="1"/>
  <c r="M2640" i="1"/>
  <c r="R2640" i="1" s="1"/>
  <c r="M2650" i="1"/>
  <c r="R2650" i="1" s="1"/>
  <c r="AG2901" i="1"/>
  <c r="AE2153" i="1"/>
  <c r="M2256" i="1"/>
  <c r="R2256" i="1" s="1"/>
  <c r="M2457" i="1"/>
  <c r="R2457" i="1" s="1"/>
  <c r="M2544" i="1"/>
  <c r="R2544" i="1" s="1"/>
  <c r="AE2865" i="1"/>
  <c r="M1646" i="1"/>
  <c r="R1646" i="1" s="1"/>
  <c r="AF1764" i="1"/>
  <c r="M1766" i="1"/>
  <c r="R1766" i="1" s="1"/>
  <c r="M1774" i="1"/>
  <c r="R1774" i="1" s="1"/>
  <c r="AF1804" i="1"/>
  <c r="AF1812" i="1"/>
  <c r="M1814" i="1"/>
  <c r="R1814" i="1" s="1"/>
  <c r="AF1852" i="1"/>
  <c r="M1854" i="1"/>
  <c r="R1854" i="1" s="1"/>
  <c r="M1870" i="1"/>
  <c r="R1870" i="1" s="1"/>
  <c r="AF1872" i="1"/>
  <c r="AF1884" i="1"/>
  <c r="M1910" i="1"/>
  <c r="R1910" i="1" s="1"/>
  <c r="M1930" i="1"/>
  <c r="R1930" i="1" s="1"/>
  <c r="M1938" i="1"/>
  <c r="R1938" i="1" s="1"/>
  <c r="M1982" i="1"/>
  <c r="R1982" i="1" s="1"/>
  <c r="M2146" i="1"/>
  <c r="R2146" i="1" s="1"/>
  <c r="AD2196" i="1"/>
  <c r="M2216" i="1"/>
  <c r="R2216" i="1" s="1"/>
  <c r="M2224" i="1"/>
  <c r="R2224" i="1" s="1"/>
  <c r="AF2246" i="1"/>
  <c r="AE2448" i="1"/>
  <c r="AF2262" i="1"/>
  <c r="M2272" i="1"/>
  <c r="R2272" i="1" s="1"/>
  <c r="AE2295" i="1"/>
  <c r="M2384" i="1"/>
  <c r="R2384" i="1" s="1"/>
  <c r="M2513" i="1"/>
  <c r="R2513" i="1" s="1"/>
  <c r="M2548" i="1"/>
  <c r="R2548" i="1" s="1"/>
  <c r="AG2602" i="1"/>
  <c r="M2718" i="1"/>
  <c r="R2718" i="1" s="1"/>
  <c r="M2740" i="1"/>
  <c r="R2740" i="1" s="1"/>
  <c r="M2764" i="1"/>
  <c r="R2764" i="1" s="1"/>
  <c r="M2820" i="1"/>
  <c r="R2820" i="1" s="1"/>
  <c r="M2842" i="1"/>
  <c r="R2842" i="1" s="1"/>
  <c r="M2846" i="1"/>
  <c r="R2846" i="1" s="1"/>
  <c r="M2850" i="1"/>
  <c r="R2850" i="1" s="1"/>
  <c r="AF1656" i="1"/>
  <c r="AF1716" i="1"/>
  <c r="AG645" i="1"/>
  <c r="AE669" i="1"/>
  <c r="AE701" i="1"/>
  <c r="AE1213" i="1"/>
  <c r="AG1638" i="1"/>
  <c r="AG1642" i="1"/>
  <c r="AG1663" i="1"/>
  <c r="AF2587" i="1"/>
  <c r="AG2657" i="1"/>
  <c r="AG2687" i="1"/>
  <c r="AE2693" i="1"/>
  <c r="AD2742" i="1"/>
  <c r="AD2780" i="1"/>
  <c r="AE539" i="1"/>
  <c r="AF615" i="1"/>
  <c r="AD794" i="1"/>
  <c r="AD1018" i="1"/>
  <c r="AF2100" i="1"/>
  <c r="AF2322" i="1"/>
  <c r="AG2328" i="1"/>
  <c r="AF335" i="1"/>
  <c r="AD818" i="1"/>
  <c r="AD850" i="1"/>
  <c r="AG911" i="1"/>
  <c r="AG999" i="1"/>
  <c r="AG1087" i="1"/>
  <c r="AD1620" i="1"/>
  <c r="AF1692" i="1"/>
  <c r="AE2376" i="1"/>
  <c r="AF2832" i="1"/>
  <c r="AE71" i="1"/>
  <c r="AE91" i="1"/>
  <c r="AE99" i="1"/>
  <c r="AE107" i="1"/>
  <c r="AE163" i="1"/>
  <c r="AD317" i="1"/>
  <c r="AF327" i="1"/>
  <c r="AG402" i="1"/>
  <c r="AF427" i="1"/>
  <c r="AF495" i="1"/>
  <c r="AD561" i="1"/>
  <c r="AD568" i="1"/>
  <c r="AD642" i="1"/>
  <c r="AD810" i="1"/>
  <c r="AG823" i="1"/>
  <c r="AD826" i="1"/>
  <c r="AD1364" i="1"/>
  <c r="AF1644" i="1"/>
  <c r="AG1702" i="1"/>
  <c r="AG1706" i="1"/>
  <c r="AG1738" i="1"/>
  <c r="AG1746" i="1"/>
  <c r="AG1754" i="1"/>
  <c r="AG1762" i="1"/>
  <c r="AG1778" i="1"/>
  <c r="AG1786" i="1"/>
  <c r="AG1802" i="1"/>
  <c r="AG1810" i="1"/>
  <c r="AG1818" i="1"/>
  <c r="AG1826" i="1"/>
  <c r="AG1834" i="1"/>
  <c r="AG1842" i="1"/>
  <c r="AG1850" i="1"/>
  <c r="AG1887" i="1"/>
  <c r="AF1912" i="1"/>
  <c r="AF1988" i="1"/>
  <c r="AE2001" i="1"/>
  <c r="AE2025" i="1"/>
  <c r="AF2052" i="1"/>
  <c r="AF2108" i="1"/>
  <c r="AF2330" i="1"/>
  <c r="AF2768" i="1"/>
  <c r="AE55" i="1"/>
  <c r="AE95" i="1"/>
  <c r="AG210" i="1"/>
  <c r="AD218" i="1"/>
  <c r="AF237" i="1"/>
  <c r="AF459" i="1"/>
  <c r="AF487" i="1"/>
  <c r="AF511" i="1"/>
  <c r="AG719" i="1"/>
  <c r="AE781" i="1"/>
  <c r="AG799" i="1"/>
  <c r="AF1254" i="1"/>
  <c r="AG1473" i="1"/>
  <c r="AG1521" i="1"/>
  <c r="AF1614" i="1"/>
  <c r="AF1668" i="1"/>
  <c r="AF1708" i="1"/>
  <c r="AF1896" i="1"/>
  <c r="AF1900" i="1"/>
  <c r="AF2010" i="1"/>
  <c r="AF2044" i="1"/>
  <c r="AF2068" i="1"/>
  <c r="AF2282" i="1"/>
  <c r="AD2648" i="1"/>
  <c r="AF447" i="1"/>
  <c r="AG117" i="1"/>
  <c r="AE23" i="1"/>
  <c r="AE31" i="1"/>
  <c r="AE39" i="1"/>
  <c r="AE67" i="1"/>
  <c r="AG77" i="1"/>
  <c r="AE115" i="1"/>
  <c r="AG125" i="1"/>
  <c r="AE147" i="1"/>
  <c r="AE155" i="1"/>
  <c r="AG161" i="1"/>
  <c r="AG165" i="1"/>
  <c r="AG276" i="1"/>
  <c r="AD282" i="1"/>
  <c r="AF303" i="1"/>
  <c r="AF343" i="1"/>
  <c r="AF359" i="1"/>
  <c r="AF407" i="1"/>
  <c r="AF455" i="1"/>
  <c r="AG506" i="1"/>
  <c r="AF523" i="1"/>
  <c r="AG531" i="1"/>
  <c r="AE537" i="1"/>
  <c r="AD537" i="1"/>
  <c r="AD614" i="1"/>
  <c r="AD622" i="1"/>
  <c r="AG627" i="1"/>
  <c r="AD630" i="1"/>
  <c r="AD706" i="1"/>
  <c r="AG751" i="1"/>
  <c r="AG783" i="1"/>
  <c r="AE805" i="1"/>
  <c r="AE813" i="1"/>
  <c r="AG847" i="1"/>
  <c r="AD906" i="1"/>
  <c r="AE917" i="1"/>
  <c r="AD930" i="1"/>
  <c r="AD946" i="1"/>
  <c r="AG967" i="1"/>
  <c r="AD1050" i="1"/>
  <c r="AE1061" i="1"/>
  <c r="AD1106" i="1"/>
  <c r="AG1143" i="1"/>
  <c r="AG1167" i="1"/>
  <c r="AD1170" i="1"/>
  <c r="AE1173" i="1"/>
  <c r="AE1205" i="1"/>
  <c r="AE1253" i="1"/>
  <c r="AG1289" i="1"/>
  <c r="AG1417" i="1"/>
  <c r="AG1647" i="1"/>
  <c r="AG2482" i="1"/>
  <c r="AG2646" i="1"/>
  <c r="AF2774" i="1"/>
  <c r="AE51" i="1"/>
  <c r="AG57" i="1"/>
  <c r="AG69" i="1"/>
  <c r="AE135" i="1"/>
  <c r="AE151" i="1"/>
  <c r="AE171" i="1"/>
  <c r="AE179" i="1"/>
  <c r="AF242" i="1"/>
  <c r="AG338" i="1"/>
  <c r="AG397" i="1"/>
  <c r="AF471" i="1"/>
  <c r="AG530" i="1"/>
  <c r="AD545" i="1"/>
  <c r="AG595" i="1"/>
  <c r="AF599" i="1"/>
  <c r="AG629" i="1"/>
  <c r="AD646" i="1"/>
  <c r="AG703" i="1"/>
  <c r="AG807" i="1"/>
  <c r="AG863" i="1"/>
  <c r="AG919" i="1"/>
  <c r="AD922" i="1"/>
  <c r="AG991" i="1"/>
  <c r="AG1015" i="1"/>
  <c r="AG1039" i="1"/>
  <c r="AD1042" i="1"/>
  <c r="AG1063" i="1"/>
  <c r="AD1066" i="1"/>
  <c r="AD1074" i="1"/>
  <c r="AD1114" i="1"/>
  <c r="AD1122" i="1"/>
  <c r="AE1295" i="1"/>
  <c r="AG1353" i="1"/>
  <c r="AG1428" i="1"/>
  <c r="AF1494" i="1"/>
  <c r="AG1505" i="1"/>
  <c r="AG1545" i="1"/>
  <c r="AF1582" i="1"/>
  <c r="AG1679" i="1"/>
  <c r="AG2450" i="1"/>
  <c r="AF1904" i="1"/>
  <c r="AF2112" i="1"/>
  <c r="AF2172" i="1"/>
  <c r="AF2202" i="1"/>
  <c r="AF2266" i="1"/>
  <c r="AF2310" i="1"/>
  <c r="AE2384" i="1"/>
  <c r="AF2391" i="1"/>
  <c r="AF2659" i="1"/>
  <c r="AE2679" i="1"/>
  <c r="AG1730" i="1"/>
  <c r="AG1863" i="1"/>
  <c r="AG1895" i="1"/>
  <c r="AG1919" i="1"/>
  <c r="AF1964" i="1"/>
  <c r="AG2178" i="1"/>
  <c r="AF2306" i="1"/>
  <c r="AE2432" i="1"/>
  <c r="AF2579" i="1"/>
  <c r="AE2619" i="1"/>
  <c r="AE2631" i="1"/>
  <c r="AG2643" i="1"/>
  <c r="AG2655" i="1"/>
  <c r="AE2749" i="1"/>
  <c r="AF2800" i="1"/>
  <c r="AE2837" i="1"/>
  <c r="AE2947" i="1"/>
  <c r="AF1606" i="1"/>
  <c r="AF1688" i="1"/>
  <c r="AF1700" i="1"/>
  <c r="AF1768" i="1"/>
  <c r="AF1784" i="1"/>
  <c r="AF1792" i="1"/>
  <c r="AF1800" i="1"/>
  <c r="AF1816" i="1"/>
  <c r="AF1824" i="1"/>
  <c r="AF1832" i="1"/>
  <c r="AF1848" i="1"/>
  <c r="AG1871" i="1"/>
  <c r="AF1888" i="1"/>
  <c r="AF1916" i="1"/>
  <c r="AE1973" i="1"/>
  <c r="AG1991" i="1"/>
  <c r="AE2017" i="1"/>
  <c r="AF2104" i="1"/>
  <c r="AG2126" i="1"/>
  <c r="AD2362" i="1"/>
  <c r="AF2539" i="1"/>
  <c r="AF2750" i="1"/>
  <c r="AF2974" i="1"/>
  <c r="AG29" i="1"/>
  <c r="AD29" i="1"/>
  <c r="AG37" i="1"/>
  <c r="AD57" i="1"/>
  <c r="AD69" i="1"/>
  <c r="AF341" i="1"/>
  <c r="AC341" i="1"/>
  <c r="AD341" i="1"/>
  <c r="AF365" i="1"/>
  <c r="AC365" i="1"/>
  <c r="AD365" i="1"/>
  <c r="AG421" i="1"/>
  <c r="AD421" i="1"/>
  <c r="AD469" i="1"/>
  <c r="AD357" i="1"/>
  <c r="AG437" i="1"/>
  <c r="AD437" i="1"/>
  <c r="AG485" i="1"/>
  <c r="AD485" i="1"/>
  <c r="AG517" i="1"/>
  <c r="AD517" i="1"/>
  <c r="AG25" i="1"/>
  <c r="AD25" i="1"/>
  <c r="AG33" i="1"/>
  <c r="AD33" i="1"/>
  <c r="AE27" i="1"/>
  <c r="AE35" i="1"/>
  <c r="AG41" i="1"/>
  <c r="AG53" i="1"/>
  <c r="AG93" i="1"/>
  <c r="AD93" i="1"/>
  <c r="AG113" i="1"/>
  <c r="AD453" i="1"/>
  <c r="AE15" i="1"/>
  <c r="AG49" i="1"/>
  <c r="AE304" i="1"/>
  <c r="AG373" i="1"/>
  <c r="Y572" i="1"/>
  <c r="AE635" i="1"/>
  <c r="AD666" i="1"/>
  <c r="AG683" i="1"/>
  <c r="AG691" i="1"/>
  <c r="AD714" i="1"/>
  <c r="Y718" i="1"/>
  <c r="AD718" i="1" s="1"/>
  <c r="Y738" i="1"/>
  <c r="AG759" i="1"/>
  <c r="AG803" i="1"/>
  <c r="AG815" i="1"/>
  <c r="AC815" i="1"/>
  <c r="Y13" i="1"/>
  <c r="AD13" i="1" s="1"/>
  <c r="Y17" i="1"/>
  <c r="AD17" i="1" s="1"/>
  <c r="AE19" i="1"/>
  <c r="Y45" i="1"/>
  <c r="AD45" i="1" s="1"/>
  <c r="AE47" i="1"/>
  <c r="AE139" i="1"/>
  <c r="AE175" i="1"/>
  <c r="AE187" i="1"/>
  <c r="Y216" i="1"/>
  <c r="Y372" i="1"/>
  <c r="AG372" i="1" s="1"/>
  <c r="AE43" i="1"/>
  <c r="Y89" i="1"/>
  <c r="AD89" i="1" s="1"/>
  <c r="AD121" i="1"/>
  <c r="AG129" i="1"/>
  <c r="M157" i="1"/>
  <c r="R157" i="1" s="1"/>
  <c r="AG157" i="1"/>
  <c r="AE191" i="1"/>
  <c r="M193" i="1"/>
  <c r="R193" i="1" s="1"/>
  <c r="AG193" i="1"/>
  <c r="AG201" i="1"/>
  <c r="AE203" i="1"/>
  <c r="Y208" i="1"/>
  <c r="AE208" i="1" s="1"/>
  <c r="AE210" i="1"/>
  <c r="M215" i="1"/>
  <c r="R215" i="1" s="1"/>
  <c r="Y231" i="1"/>
  <c r="Y232" i="1"/>
  <c r="AF232" i="1" s="1"/>
  <c r="AC237" i="1"/>
  <c r="AD264" i="1"/>
  <c r="AD276" i="1"/>
  <c r="AF301" i="1"/>
  <c r="AG302" i="1"/>
  <c r="M309" i="1"/>
  <c r="R309" i="1" s="1"/>
  <c r="AF309" i="1"/>
  <c r="AC309" i="1"/>
  <c r="M316" i="1"/>
  <c r="R316" i="1" s="1"/>
  <c r="Y332" i="1"/>
  <c r="AG341" i="1"/>
  <c r="AG365" i="1"/>
  <c r="AG370" i="1"/>
  <c r="Y396" i="1"/>
  <c r="AC418" i="1"/>
  <c r="AG434" i="1"/>
  <c r="AC434" i="1"/>
  <c r="AG445" i="1"/>
  <c r="AG450" i="1"/>
  <c r="AC450" i="1"/>
  <c r="AG461" i="1"/>
  <c r="AC466" i="1"/>
  <c r="AG477" i="1"/>
  <c r="AG482" i="1"/>
  <c r="AC482" i="1"/>
  <c r="M493" i="1"/>
  <c r="R493" i="1" s="1"/>
  <c r="AG493" i="1"/>
  <c r="AD493" i="1"/>
  <c r="AG497" i="1"/>
  <c r="AD534" i="1"/>
  <c r="AC534" i="1"/>
  <c r="Y540" i="1"/>
  <c r="AF540" i="1" s="1"/>
  <c r="M542" i="1"/>
  <c r="R542" i="1" s="1"/>
  <c r="AF542" i="1"/>
  <c r="AC542" i="1"/>
  <c r="AC550" i="1"/>
  <c r="AD566" i="1"/>
  <c r="AC566" i="1"/>
  <c r="AE601" i="1"/>
  <c r="AC614" i="1"/>
  <c r="AC630" i="1"/>
  <c r="AG663" i="1"/>
  <c r="Y690" i="1"/>
  <c r="AG711" i="1"/>
  <c r="Y742" i="1"/>
  <c r="AD742" i="1" s="1"/>
  <c r="AC743" i="1"/>
  <c r="AG755" i="1"/>
  <c r="AG763" i="1"/>
  <c r="AG791" i="1"/>
  <c r="AC791" i="1"/>
  <c r="AD858" i="1"/>
  <c r="AE63" i="1"/>
  <c r="Y109" i="1"/>
  <c r="AD109" i="1" s="1"/>
  <c r="AG141" i="1"/>
  <c r="AD253" i="1"/>
  <c r="AG260" i="1"/>
  <c r="AG326" i="1"/>
  <c r="AF431" i="1"/>
  <c r="AC577" i="1"/>
  <c r="M61" i="1"/>
  <c r="R61" i="1" s="1"/>
  <c r="AE83" i="1"/>
  <c r="M23" i="1"/>
  <c r="R23" i="1" s="1"/>
  <c r="M27" i="1"/>
  <c r="R27" i="1" s="1"/>
  <c r="M31" i="1"/>
  <c r="R31" i="1" s="1"/>
  <c r="M35" i="1"/>
  <c r="R35" i="1" s="1"/>
  <c r="M40" i="1"/>
  <c r="R40" i="1" s="1"/>
  <c r="M51" i="1"/>
  <c r="R51" i="1" s="1"/>
  <c r="M56" i="1"/>
  <c r="R56" i="1" s="1"/>
  <c r="M67" i="1"/>
  <c r="R67" i="1" s="1"/>
  <c r="M72" i="1"/>
  <c r="R72" i="1" s="1"/>
  <c r="AE75" i="1"/>
  <c r="AD77" i="1"/>
  <c r="M81" i="1"/>
  <c r="R81" i="1" s="1"/>
  <c r="AE87" i="1"/>
  <c r="M88" i="1"/>
  <c r="R88" i="1" s="1"/>
  <c r="M96" i="1"/>
  <c r="R96" i="1" s="1"/>
  <c r="AG105" i="1"/>
  <c r="M111" i="1"/>
  <c r="R111" i="1" s="1"/>
  <c r="AE123" i="1"/>
  <c r="AD125" i="1"/>
  <c r="M129" i="1"/>
  <c r="R129" i="1" s="1"/>
  <c r="M135" i="1"/>
  <c r="R135" i="1" s="1"/>
  <c r="AG137" i="1"/>
  <c r="M144" i="1"/>
  <c r="R144" i="1" s="1"/>
  <c r="AG153" i="1"/>
  <c r="M159" i="1"/>
  <c r="R159" i="1" s="1"/>
  <c r="M171" i="1"/>
  <c r="R171" i="1" s="1"/>
  <c r="AG173" i="1"/>
  <c r="M180" i="1"/>
  <c r="R180" i="1" s="1"/>
  <c r="AE183" i="1"/>
  <c r="M201" i="1"/>
  <c r="R201" i="1" s="1"/>
  <c r="M205" i="1"/>
  <c r="R205" i="1" s="1"/>
  <c r="M209" i="1"/>
  <c r="R209" i="1" s="1"/>
  <c r="M210" i="1"/>
  <c r="R210" i="1" s="1"/>
  <c r="M223" i="1"/>
  <c r="R223" i="1" s="1"/>
  <c r="AE226" i="1"/>
  <c r="M227" i="1"/>
  <c r="R227" i="1" s="1"/>
  <c r="M234" i="1"/>
  <c r="R234" i="1" s="1"/>
  <c r="M266" i="1"/>
  <c r="R266" i="1" s="1"/>
  <c r="M272" i="1"/>
  <c r="R272" i="1" s="1"/>
  <c r="AD280" i="1"/>
  <c r="M285" i="1"/>
  <c r="R285" i="1" s="1"/>
  <c r="AG294" i="1"/>
  <c r="AC301" i="1"/>
  <c r="AD309" i="1"/>
  <c r="M310" i="1"/>
  <c r="R310" i="1" s="1"/>
  <c r="M311" i="1"/>
  <c r="R311" i="1" s="1"/>
  <c r="M313" i="1"/>
  <c r="R313" i="1" s="1"/>
  <c r="M318" i="1"/>
  <c r="R318" i="1" s="1"/>
  <c r="M319" i="1"/>
  <c r="R319" i="1" s="1"/>
  <c r="AC338" i="1"/>
  <c r="M339" i="1"/>
  <c r="R339" i="1" s="1"/>
  <c r="M340" i="1"/>
  <c r="R340" i="1" s="1"/>
  <c r="AC354" i="1"/>
  <c r="M355" i="1"/>
  <c r="R355" i="1" s="1"/>
  <c r="AF357" i="1"/>
  <c r="AG357" i="1"/>
  <c r="M363" i="1"/>
  <c r="R363" i="1" s="1"/>
  <c r="M364" i="1"/>
  <c r="R364" i="1" s="1"/>
  <c r="M392" i="1"/>
  <c r="R392" i="1" s="1"/>
  <c r="AC402" i="1"/>
  <c r="AD413" i="1"/>
  <c r="M417" i="1"/>
  <c r="R417" i="1" s="1"/>
  <c r="M433" i="1"/>
  <c r="R433" i="1" s="1"/>
  <c r="AD445" i="1"/>
  <c r="M449" i="1"/>
  <c r="R449" i="1" s="1"/>
  <c r="AD461" i="1"/>
  <c r="M465" i="1"/>
  <c r="R465" i="1" s="1"/>
  <c r="AD477" i="1"/>
  <c r="M481" i="1"/>
  <c r="R481" i="1" s="1"/>
  <c r="AD497" i="1"/>
  <c r="M501" i="1"/>
  <c r="R501" i="1" s="1"/>
  <c r="AD509" i="1"/>
  <c r="AF515" i="1"/>
  <c r="AF519" i="1"/>
  <c r="AG521" i="1"/>
  <c r="AC545" i="1"/>
  <c r="M546" i="1"/>
  <c r="R546" i="1" s="1"/>
  <c r="M547" i="1"/>
  <c r="R547" i="1" s="1"/>
  <c r="AC558" i="1"/>
  <c r="AC561" i="1"/>
  <c r="M563" i="1"/>
  <c r="R563" i="1" s="1"/>
  <c r="AG563" i="1"/>
  <c r="M576" i="1"/>
  <c r="R576" i="1" s="1"/>
  <c r="AF587" i="1"/>
  <c r="Y590" i="1"/>
  <c r="AD593" i="1"/>
  <c r="AC593" i="1"/>
  <c r="AD606" i="1"/>
  <c r="AE617" i="1"/>
  <c r="AD633" i="1"/>
  <c r="AC646" i="1"/>
  <c r="AG659" i="1"/>
  <c r="AG667" i="1"/>
  <c r="Y694" i="1"/>
  <c r="AC695" i="1"/>
  <c r="AG707" i="1"/>
  <c r="AG735" i="1"/>
  <c r="Y762" i="1"/>
  <c r="AD762" i="1" s="1"/>
  <c r="AG767" i="1"/>
  <c r="AC767" i="1"/>
  <c r="Y782" i="1"/>
  <c r="AC783" i="1"/>
  <c r="AD802" i="1"/>
  <c r="AC839" i="1"/>
  <c r="AD842" i="1"/>
  <c r="AD866" i="1"/>
  <c r="AG177" i="1"/>
  <c r="AF325" i="1"/>
  <c r="AD325" i="1"/>
  <c r="AG358" i="1"/>
  <c r="AG382" i="1"/>
  <c r="AF399" i="1"/>
  <c r="AF415" i="1"/>
  <c r="AE11" i="1"/>
  <c r="AF15" i="1"/>
  <c r="AE59" i="1"/>
  <c r="M15" i="1"/>
  <c r="R15" i="1" s="1"/>
  <c r="M19" i="1"/>
  <c r="R19" i="1" s="1"/>
  <c r="M24" i="1"/>
  <c r="R24" i="1" s="1"/>
  <c r="M28" i="1"/>
  <c r="R28" i="1" s="1"/>
  <c r="M32" i="1"/>
  <c r="R32" i="1" s="1"/>
  <c r="M36" i="1"/>
  <c r="R36" i="1" s="1"/>
  <c r="M47" i="1"/>
  <c r="R47" i="1" s="1"/>
  <c r="M52" i="1"/>
  <c r="R52" i="1" s="1"/>
  <c r="M63" i="1"/>
  <c r="R63" i="1" s="1"/>
  <c r="M68" i="1"/>
  <c r="R68" i="1" s="1"/>
  <c r="AE79" i="1"/>
  <c r="M105" i="1"/>
  <c r="R105" i="1" s="1"/>
  <c r="M112" i="1"/>
  <c r="R112" i="1" s="1"/>
  <c r="AG121" i="1"/>
  <c r="M139" i="1"/>
  <c r="R139" i="1" s="1"/>
  <c r="M153" i="1"/>
  <c r="R153" i="1" s="1"/>
  <c r="M160" i="1"/>
  <c r="R160" i="1" s="1"/>
  <c r="M175" i="1"/>
  <c r="R175" i="1" s="1"/>
  <c r="M187" i="1"/>
  <c r="R187" i="1" s="1"/>
  <c r="AG189" i="1"/>
  <c r="AE195" i="1"/>
  <c r="M196" i="1"/>
  <c r="R196" i="1" s="1"/>
  <c r="M225" i="1"/>
  <c r="R225" i="1" s="1"/>
  <c r="M226" i="1"/>
  <c r="R226" i="1" s="1"/>
  <c r="AF226" i="1"/>
  <c r="AD237" i="1"/>
  <c r="M239" i="1"/>
  <c r="R239" i="1" s="1"/>
  <c r="AE242" i="1"/>
  <c r="M243" i="1"/>
  <c r="R243" i="1" s="1"/>
  <c r="M250" i="1"/>
  <c r="R250" i="1" s="1"/>
  <c r="AD250" i="1"/>
  <c r="M257" i="1"/>
  <c r="R257" i="1" s="1"/>
  <c r="M258" i="1"/>
  <c r="R258" i="1" s="1"/>
  <c r="AF258" i="1"/>
  <c r="M261" i="1"/>
  <c r="R261" i="1" s="1"/>
  <c r="AD269" i="1"/>
  <c r="M280" i="1"/>
  <c r="R280" i="1" s="1"/>
  <c r="M291" i="1"/>
  <c r="R291" i="1" s="1"/>
  <c r="AD301" i="1"/>
  <c r="AG309" i="1"/>
  <c r="M312" i="1"/>
  <c r="R312" i="1" s="1"/>
  <c r="M315" i="1"/>
  <c r="R315" i="1" s="1"/>
  <c r="AF317" i="1"/>
  <c r="AG317" i="1"/>
  <c r="AC333" i="1"/>
  <c r="M357" i="1"/>
  <c r="R357" i="1" s="1"/>
  <c r="AD373" i="1"/>
  <c r="M374" i="1"/>
  <c r="R374" i="1" s="1"/>
  <c r="M375" i="1"/>
  <c r="R375" i="1" s="1"/>
  <c r="AG386" i="1"/>
  <c r="AC386" i="1"/>
  <c r="AF389" i="1"/>
  <c r="AD389" i="1"/>
  <c r="AC389" i="1"/>
  <c r="AD397" i="1"/>
  <c r="M398" i="1"/>
  <c r="R398" i="1" s="1"/>
  <c r="M399" i="1"/>
  <c r="R399" i="1" s="1"/>
  <c r="AG410" i="1"/>
  <c r="AC410" i="1"/>
  <c r="AG426" i="1"/>
  <c r="AC426" i="1"/>
  <c r="AF435" i="1"/>
  <c r="AC442" i="1"/>
  <c r="AF451" i="1"/>
  <c r="AG458" i="1"/>
  <c r="AC458" i="1"/>
  <c r="AF467" i="1"/>
  <c r="AG474" i="1"/>
  <c r="AC474" i="1"/>
  <c r="AF483" i="1"/>
  <c r="AD521" i="1"/>
  <c r="AG525" i="1"/>
  <c r="AD525" i="1"/>
  <c r="AF527" i="1"/>
  <c r="AF535" i="1"/>
  <c r="M553" i="1"/>
  <c r="R553" i="1" s="1"/>
  <c r="AD582" i="1"/>
  <c r="AC582" i="1"/>
  <c r="AE587" i="1"/>
  <c r="AC590" i="1"/>
  <c r="AD598" i="1"/>
  <c r="M609" i="1"/>
  <c r="R609" i="1" s="1"/>
  <c r="M620" i="1"/>
  <c r="R620" i="1" s="1"/>
  <c r="AF622" i="1"/>
  <c r="M625" i="1"/>
  <c r="R625" i="1" s="1"/>
  <c r="M632" i="1"/>
  <c r="R632" i="1" s="1"/>
  <c r="M633" i="1"/>
  <c r="R633" i="1" s="1"/>
  <c r="M638" i="1"/>
  <c r="R638" i="1" s="1"/>
  <c r="AG671" i="1"/>
  <c r="AC671" i="1"/>
  <c r="AG679" i="1"/>
  <c r="AG687" i="1"/>
  <c r="M692" i="1"/>
  <c r="R692" i="1" s="1"/>
  <c r="AD698" i="1"/>
  <c r="AG727" i="1"/>
  <c r="AC727" i="1"/>
  <c r="AG739" i="1"/>
  <c r="M759" i="1"/>
  <c r="R759" i="1" s="1"/>
  <c r="M760" i="1"/>
  <c r="R760" i="1" s="1"/>
  <c r="M766" i="1"/>
  <c r="R766" i="1" s="1"/>
  <c r="M771" i="1"/>
  <c r="R771" i="1" s="1"/>
  <c r="AG779" i="1"/>
  <c r="Y834" i="1"/>
  <c r="Y838" i="1"/>
  <c r="AD838" i="1" s="1"/>
  <c r="AD882" i="1"/>
  <c r="AG851" i="1"/>
  <c r="M852" i="1"/>
  <c r="R852" i="1" s="1"/>
  <c r="M856" i="1"/>
  <c r="R856" i="1" s="1"/>
  <c r="M867" i="1"/>
  <c r="R867" i="1" s="1"/>
  <c r="M871" i="1"/>
  <c r="R871" i="1" s="1"/>
  <c r="AG875" i="1"/>
  <c r="M879" i="1"/>
  <c r="R879" i="1" s="1"/>
  <c r="AG883" i="1"/>
  <c r="M887" i="1"/>
  <c r="R887" i="1" s="1"/>
  <c r="M888" i="1"/>
  <c r="R888" i="1" s="1"/>
  <c r="M892" i="1"/>
  <c r="R892" i="1" s="1"/>
  <c r="AG899" i="1"/>
  <c r="M927" i="1"/>
  <c r="R927" i="1" s="1"/>
  <c r="AG927" i="1"/>
  <c r="M940" i="1"/>
  <c r="R940" i="1" s="1"/>
  <c r="AD1002" i="1"/>
  <c r="AD1146" i="1"/>
  <c r="AD1154" i="1"/>
  <c r="AF1180" i="1"/>
  <c r="AD1180" i="1"/>
  <c r="AF1260" i="1"/>
  <c r="AD1260" i="1"/>
  <c r="AG831" i="1"/>
  <c r="AG887" i="1"/>
  <c r="AG891" i="1"/>
  <c r="Y898" i="1"/>
  <c r="AD898" i="1" s="1"/>
  <c r="AG931" i="1"/>
  <c r="AG939" i="1"/>
  <c r="AG963" i="1"/>
  <c r="AD978" i="1"/>
  <c r="AG983" i="1"/>
  <c r="AD986" i="1"/>
  <c r="AD1010" i="1"/>
  <c r="AD1098" i="1"/>
  <c r="AD1188" i="1"/>
  <c r="AF1222" i="1"/>
  <c r="AF1268" i="1"/>
  <c r="AD1268" i="1"/>
  <c r="AF373" i="1"/>
  <c r="AG390" i="1"/>
  <c r="AF397" i="1"/>
  <c r="AE416" i="1"/>
  <c r="AG417" i="1"/>
  <c r="AE424" i="1"/>
  <c r="AG425" i="1"/>
  <c r="AE432" i="1"/>
  <c r="AG433" i="1"/>
  <c r="AG441" i="1"/>
  <c r="AE448" i="1"/>
  <c r="AG449" i="1"/>
  <c r="AE456" i="1"/>
  <c r="AG457" i="1"/>
  <c r="AE464" i="1"/>
  <c r="AE472" i="1"/>
  <c r="AG473" i="1"/>
  <c r="AG481" i="1"/>
  <c r="AG490" i="1"/>
  <c r="AE496" i="1"/>
  <c r="AG501" i="1"/>
  <c r="AG513" i="1"/>
  <c r="AG514" i="1"/>
  <c r="AE548" i="1"/>
  <c r="AF551" i="1"/>
  <c r="AD558" i="1"/>
  <c r="AE564" i="1"/>
  <c r="AG565" i="1"/>
  <c r="AD569" i="1"/>
  <c r="AG581" i="1"/>
  <c r="AD594" i="1"/>
  <c r="AG613" i="1"/>
  <c r="AD617" i="1"/>
  <c r="AF631" i="1"/>
  <c r="AF647" i="1"/>
  <c r="AG699" i="1"/>
  <c r="AG723" i="1"/>
  <c r="AG747" i="1"/>
  <c r="AG787" i="1"/>
  <c r="AC807" i="1"/>
  <c r="AC823" i="1"/>
  <c r="AG843" i="1"/>
  <c r="Y910" i="1"/>
  <c r="Y938" i="1"/>
  <c r="AG943" i="1"/>
  <c r="AC943" i="1"/>
  <c r="AG959" i="1"/>
  <c r="AD1034" i="1"/>
  <c r="AD1058" i="1"/>
  <c r="AD1220" i="1"/>
  <c r="M76" i="1"/>
  <c r="R76" i="1" s="1"/>
  <c r="M80" i="1"/>
  <c r="R80" i="1" s="1"/>
  <c r="M91" i="1"/>
  <c r="R91" i="1" s="1"/>
  <c r="M95" i="1"/>
  <c r="R95" i="1" s="1"/>
  <c r="M99" i="1"/>
  <c r="R99" i="1" s="1"/>
  <c r="M104" i="1"/>
  <c r="R104" i="1" s="1"/>
  <c r="M115" i="1"/>
  <c r="R115" i="1" s="1"/>
  <c r="M120" i="1"/>
  <c r="R120" i="1" s="1"/>
  <c r="M124" i="1"/>
  <c r="R124" i="1" s="1"/>
  <c r="M128" i="1"/>
  <c r="R128" i="1" s="1"/>
  <c r="M143" i="1"/>
  <c r="R143" i="1" s="1"/>
  <c r="M147" i="1"/>
  <c r="R147" i="1" s="1"/>
  <c r="M152" i="1"/>
  <c r="R152" i="1" s="1"/>
  <c r="M163" i="1"/>
  <c r="R163" i="1" s="1"/>
  <c r="M168" i="1"/>
  <c r="R168" i="1" s="1"/>
  <c r="M179" i="1"/>
  <c r="R179" i="1" s="1"/>
  <c r="M184" i="1"/>
  <c r="R184" i="1" s="1"/>
  <c r="M195" i="1"/>
  <c r="R195" i="1" s="1"/>
  <c r="M200" i="1"/>
  <c r="R200" i="1" s="1"/>
  <c r="AD205" i="1"/>
  <c r="M221" i="1"/>
  <c r="R221" i="1" s="1"/>
  <c r="M237" i="1"/>
  <c r="R237" i="1" s="1"/>
  <c r="M253" i="1"/>
  <c r="R253" i="1" s="1"/>
  <c r="M255" i="1"/>
  <c r="R255" i="1" s="1"/>
  <c r="AE258" i="1"/>
  <c r="M259" i="1"/>
  <c r="R259" i="1" s="1"/>
  <c r="M273" i="1"/>
  <c r="R273" i="1" s="1"/>
  <c r="M274" i="1"/>
  <c r="R274" i="1" s="1"/>
  <c r="M282" i="1"/>
  <c r="R282" i="1" s="1"/>
  <c r="AD297" i="1"/>
  <c r="M307" i="1"/>
  <c r="R307" i="1" s="1"/>
  <c r="AG310" i="1"/>
  <c r="AG325" i="1"/>
  <c r="M326" i="1"/>
  <c r="R326" i="1" s="1"/>
  <c r="M327" i="1"/>
  <c r="R327" i="1" s="1"/>
  <c r="M331" i="1"/>
  <c r="R331" i="1" s="1"/>
  <c r="M350" i="1"/>
  <c r="R350" i="1" s="1"/>
  <c r="M351" i="1"/>
  <c r="R351" i="1" s="1"/>
  <c r="M371" i="1"/>
  <c r="R371" i="1" s="1"/>
  <c r="AC373" i="1"/>
  <c r="AG374" i="1"/>
  <c r="AG389" i="1"/>
  <c r="M390" i="1"/>
  <c r="R390" i="1" s="1"/>
  <c r="M391" i="1"/>
  <c r="R391" i="1" s="1"/>
  <c r="M395" i="1"/>
  <c r="R395" i="1" s="1"/>
  <c r="AC397" i="1"/>
  <c r="AG398" i="1"/>
  <c r="M407" i="1"/>
  <c r="R407" i="1" s="1"/>
  <c r="M415" i="1"/>
  <c r="R415" i="1" s="1"/>
  <c r="M423" i="1"/>
  <c r="R423" i="1" s="1"/>
  <c r="M431" i="1"/>
  <c r="R431" i="1" s="1"/>
  <c r="M439" i="1"/>
  <c r="R439" i="1" s="1"/>
  <c r="M447" i="1"/>
  <c r="R447" i="1" s="1"/>
  <c r="M455" i="1"/>
  <c r="R455" i="1" s="1"/>
  <c r="M463" i="1"/>
  <c r="R463" i="1" s="1"/>
  <c r="M471" i="1"/>
  <c r="R471" i="1" s="1"/>
  <c r="M479" i="1"/>
  <c r="R479" i="1" s="1"/>
  <c r="M487" i="1"/>
  <c r="R487" i="1" s="1"/>
  <c r="AC490" i="1"/>
  <c r="M499" i="1"/>
  <c r="R499" i="1" s="1"/>
  <c r="AD501" i="1"/>
  <c r="AE504" i="1"/>
  <c r="M511" i="1"/>
  <c r="R511" i="1" s="1"/>
  <c r="AD513" i="1"/>
  <c r="AG522" i="1"/>
  <c r="M531" i="1"/>
  <c r="R531" i="1" s="1"/>
  <c r="M539" i="1"/>
  <c r="R539" i="1" s="1"/>
  <c r="AD542" i="1"/>
  <c r="AD546" i="1"/>
  <c r="M548" i="1"/>
  <c r="R548" i="1" s="1"/>
  <c r="M555" i="1"/>
  <c r="R555" i="1" s="1"/>
  <c r="M564" i="1"/>
  <c r="R564" i="1" s="1"/>
  <c r="AE571" i="1"/>
  <c r="M578" i="1"/>
  <c r="R578" i="1" s="1"/>
  <c r="M580" i="1"/>
  <c r="R580" i="1" s="1"/>
  <c r="M587" i="1"/>
  <c r="R587" i="1" s="1"/>
  <c r="M594" i="1"/>
  <c r="R594" i="1" s="1"/>
  <c r="M595" i="1"/>
  <c r="R595" i="1" s="1"/>
  <c r="M596" i="1"/>
  <c r="R596" i="1" s="1"/>
  <c r="M598" i="1"/>
  <c r="R598" i="1" s="1"/>
  <c r="M600" i="1"/>
  <c r="R600" i="1" s="1"/>
  <c r="AD609" i="1"/>
  <c r="M614" i="1"/>
  <c r="R614" i="1" s="1"/>
  <c r="M616" i="1"/>
  <c r="R616" i="1" s="1"/>
  <c r="AD625" i="1"/>
  <c r="M630" i="1"/>
  <c r="R630" i="1" s="1"/>
  <c r="M646" i="1"/>
  <c r="R646" i="1" s="1"/>
  <c r="M648" i="1"/>
  <c r="R648" i="1" s="1"/>
  <c r="M650" i="1"/>
  <c r="R650" i="1" s="1"/>
  <c r="M655" i="1"/>
  <c r="R655" i="1" s="1"/>
  <c r="M656" i="1"/>
  <c r="R656" i="1" s="1"/>
  <c r="M660" i="1"/>
  <c r="R660" i="1" s="1"/>
  <c r="AG675" i="1"/>
  <c r="M679" i="1"/>
  <c r="R679" i="1" s="1"/>
  <c r="M680" i="1"/>
  <c r="R680" i="1" s="1"/>
  <c r="M684" i="1"/>
  <c r="R684" i="1" s="1"/>
  <c r="M699" i="1"/>
  <c r="R699" i="1" s="1"/>
  <c r="M703" i="1"/>
  <c r="R703" i="1" s="1"/>
  <c r="M704" i="1"/>
  <c r="R704" i="1" s="1"/>
  <c r="M708" i="1"/>
  <c r="R708" i="1" s="1"/>
  <c r="M723" i="1"/>
  <c r="R723" i="1" s="1"/>
  <c r="AG731" i="1"/>
  <c r="M747" i="1"/>
  <c r="R747" i="1" s="1"/>
  <c r="M751" i="1"/>
  <c r="R751" i="1" s="1"/>
  <c r="M752" i="1"/>
  <c r="R752" i="1" s="1"/>
  <c r="M756" i="1"/>
  <c r="R756" i="1" s="1"/>
  <c r="M775" i="1"/>
  <c r="R775" i="1" s="1"/>
  <c r="M776" i="1"/>
  <c r="R776" i="1" s="1"/>
  <c r="M780" i="1"/>
  <c r="R780" i="1" s="1"/>
  <c r="M787" i="1"/>
  <c r="R787" i="1" s="1"/>
  <c r="M796" i="1"/>
  <c r="R796" i="1" s="1"/>
  <c r="M800" i="1"/>
  <c r="R800" i="1" s="1"/>
  <c r="AG811" i="1"/>
  <c r="M812" i="1"/>
  <c r="R812" i="1" s="1"/>
  <c r="M819" i="1"/>
  <c r="R819" i="1" s="1"/>
  <c r="AG827" i="1"/>
  <c r="M843" i="1"/>
  <c r="R843" i="1" s="1"/>
  <c r="M847" i="1"/>
  <c r="R847" i="1" s="1"/>
  <c r="M848" i="1"/>
  <c r="R848" i="1" s="1"/>
  <c r="M863" i="1"/>
  <c r="R863" i="1" s="1"/>
  <c r="AG867" i="1"/>
  <c r="M868" i="1"/>
  <c r="R868" i="1" s="1"/>
  <c r="M872" i="1"/>
  <c r="R872" i="1" s="1"/>
  <c r="M876" i="1"/>
  <c r="R876" i="1" s="1"/>
  <c r="M880" i="1"/>
  <c r="R880" i="1" s="1"/>
  <c r="M884" i="1"/>
  <c r="R884" i="1" s="1"/>
  <c r="AG915" i="1"/>
  <c r="M936" i="1"/>
  <c r="R936" i="1" s="1"/>
  <c r="M942" i="1"/>
  <c r="R942" i="1" s="1"/>
  <c r="AD994" i="1"/>
  <c r="AD1090" i="1"/>
  <c r="AD1130" i="1"/>
  <c r="M947" i="1"/>
  <c r="R947" i="1" s="1"/>
  <c r="AG951" i="1"/>
  <c r="M959" i="1"/>
  <c r="R959" i="1" s="1"/>
  <c r="M960" i="1"/>
  <c r="R960" i="1" s="1"/>
  <c r="M964" i="1"/>
  <c r="R964" i="1" s="1"/>
  <c r="AG979" i="1"/>
  <c r="M983" i="1"/>
  <c r="R983" i="1" s="1"/>
  <c r="M984" i="1"/>
  <c r="R984" i="1" s="1"/>
  <c r="M988" i="1"/>
  <c r="R988" i="1" s="1"/>
  <c r="M1003" i="1"/>
  <c r="R1003" i="1" s="1"/>
  <c r="M1007" i="1"/>
  <c r="R1007" i="1" s="1"/>
  <c r="M1008" i="1"/>
  <c r="R1008" i="1" s="1"/>
  <c r="M1012" i="1"/>
  <c r="R1012" i="1" s="1"/>
  <c r="M1027" i="1"/>
  <c r="R1027" i="1" s="1"/>
  <c r="AE1029" i="1"/>
  <c r="M1032" i="1"/>
  <c r="R1032" i="1" s="1"/>
  <c r="M1047" i="1"/>
  <c r="R1047" i="1" s="1"/>
  <c r="AG1047" i="1"/>
  <c r="AG1051" i="1"/>
  <c r="M1052" i="1"/>
  <c r="R1052" i="1" s="1"/>
  <c r="M1056" i="1"/>
  <c r="R1056" i="1" s="1"/>
  <c r="M1067" i="1"/>
  <c r="R1067" i="1" s="1"/>
  <c r="M1071" i="1"/>
  <c r="R1071" i="1" s="1"/>
  <c r="AG1071" i="1"/>
  <c r="M1076" i="1"/>
  <c r="R1076" i="1" s="1"/>
  <c r="M1080" i="1"/>
  <c r="R1080" i="1" s="1"/>
  <c r="M1091" i="1"/>
  <c r="R1091" i="1" s="1"/>
  <c r="M1095" i="1"/>
  <c r="R1095" i="1" s="1"/>
  <c r="M1096" i="1"/>
  <c r="R1096" i="1" s="1"/>
  <c r="M1115" i="1"/>
  <c r="R1115" i="1" s="1"/>
  <c r="M1119" i="1"/>
  <c r="R1119" i="1" s="1"/>
  <c r="AG1119" i="1"/>
  <c r="AG1123" i="1"/>
  <c r="M1124" i="1"/>
  <c r="R1124" i="1" s="1"/>
  <c r="M1128" i="1"/>
  <c r="R1128" i="1" s="1"/>
  <c r="M1147" i="1"/>
  <c r="R1147" i="1" s="1"/>
  <c r="M1151" i="1"/>
  <c r="R1151" i="1" s="1"/>
  <c r="AG1151" i="1"/>
  <c r="M1156" i="1"/>
  <c r="R1156" i="1" s="1"/>
  <c r="M1171" i="1"/>
  <c r="R1171" i="1" s="1"/>
  <c r="M1182" i="1"/>
  <c r="R1182" i="1" s="1"/>
  <c r="AE1189" i="1"/>
  <c r="AE1197" i="1"/>
  <c r="AG1199" i="1"/>
  <c r="M1200" i="1"/>
  <c r="R1200" i="1" s="1"/>
  <c r="AG1203" i="1"/>
  <c r="M1207" i="1"/>
  <c r="R1207" i="1" s="1"/>
  <c r="M1211" i="1"/>
  <c r="R1211" i="1" s="1"/>
  <c r="M1222" i="1"/>
  <c r="R1222" i="1" s="1"/>
  <c r="AE1237" i="1"/>
  <c r="M1240" i="1"/>
  <c r="R1240" i="1" s="1"/>
  <c r="AG1243" i="1"/>
  <c r="M1247" i="1"/>
  <c r="R1247" i="1" s="1"/>
  <c r="M1262" i="1"/>
  <c r="R1262" i="1" s="1"/>
  <c r="AF1270" i="1"/>
  <c r="M1274" i="1"/>
  <c r="R1274" i="1" s="1"/>
  <c r="AG1279" i="1"/>
  <c r="M1280" i="1"/>
  <c r="R1280" i="1" s="1"/>
  <c r="M1286" i="1"/>
  <c r="R1286" i="1" s="1"/>
  <c r="M1292" i="1"/>
  <c r="R1292" i="1" s="1"/>
  <c r="AG1297" i="1"/>
  <c r="AG1313" i="1"/>
  <c r="AC1313" i="1"/>
  <c r="AG1349" i="1"/>
  <c r="AD1380" i="1"/>
  <c r="M1396" i="1"/>
  <c r="R1396" i="1" s="1"/>
  <c r="M1400" i="1"/>
  <c r="R1400" i="1" s="1"/>
  <c r="AF1478" i="1"/>
  <c r="AG1489" i="1"/>
  <c r="AC1489" i="1"/>
  <c r="AF1518" i="1"/>
  <c r="M1544" i="1"/>
  <c r="R1544" i="1" s="1"/>
  <c r="AG1548" i="1"/>
  <c r="AD1548" i="1"/>
  <c r="AF1580" i="1"/>
  <c r="AD1580" i="1"/>
  <c r="AF1588" i="1"/>
  <c r="AD1588" i="1"/>
  <c r="AC1615" i="1"/>
  <c r="AC1617" i="1"/>
  <c r="AC1655" i="1"/>
  <c r="AG1686" i="1"/>
  <c r="AD1686" i="1"/>
  <c r="AG1690" i="1"/>
  <c r="AE1713" i="1"/>
  <c r="AG987" i="1"/>
  <c r="AG1011" i="1"/>
  <c r="AG1035" i="1"/>
  <c r="AG1059" i="1"/>
  <c r="AG1083" i="1"/>
  <c r="AG1095" i="1"/>
  <c r="AG1183" i="1"/>
  <c r="AG1195" i="1"/>
  <c r="AF1212" i="1"/>
  <c r="AG1227" i="1"/>
  <c r="AF1252" i="1"/>
  <c r="AG1263" i="1"/>
  <c r="AG1267" i="1"/>
  <c r="AG1285" i="1"/>
  <c r="AD1300" i="1"/>
  <c r="AG1305" i="1"/>
  <c r="AE1327" i="1"/>
  <c r="AG1345" i="1"/>
  <c r="AC1377" i="1"/>
  <c r="AG1413" i="1"/>
  <c r="AG1420" i="1"/>
  <c r="AD1420" i="1"/>
  <c r="AG1460" i="1"/>
  <c r="AD1460" i="1"/>
  <c r="AE1641" i="1"/>
  <c r="AG1654" i="1"/>
  <c r="AD1654" i="1"/>
  <c r="AG1678" i="1"/>
  <c r="AD1678" i="1"/>
  <c r="AG1694" i="1"/>
  <c r="AD1694" i="1"/>
  <c r="AG1735" i="1"/>
  <c r="AC1735" i="1"/>
  <c r="AE1737" i="1"/>
  <c r="AC1743" i="1"/>
  <c r="AG1751" i="1"/>
  <c r="AC1751" i="1"/>
  <c r="AE1753" i="1"/>
  <c r="AG1759" i="1"/>
  <c r="AC1759" i="1"/>
  <c r="AE1761" i="1"/>
  <c r="AC1767" i="1"/>
  <c r="AE1769" i="1"/>
  <c r="AG1775" i="1"/>
  <c r="AC1775" i="1"/>
  <c r="AG1783" i="1"/>
  <c r="AC1783" i="1"/>
  <c r="AE1785" i="1"/>
  <c r="AC1791" i="1"/>
  <c r="AE1793" i="1"/>
  <c r="AG1799" i="1"/>
  <c r="AC1799" i="1"/>
  <c r="AG1807" i="1"/>
  <c r="AC1807" i="1"/>
  <c r="AC1815" i="1"/>
  <c r="AC1823" i="1"/>
  <c r="AE1825" i="1"/>
  <c r="AC1831" i="1"/>
  <c r="AE1833" i="1"/>
  <c r="AC1839" i="1"/>
  <c r="AE1841" i="1"/>
  <c r="AC1847" i="1"/>
  <c r="AE1849" i="1"/>
  <c r="AC1855" i="1"/>
  <c r="AE1857" i="1"/>
  <c r="AC999" i="1"/>
  <c r="AG1019" i="1"/>
  <c r="AC1023" i="1"/>
  <c r="AG1043" i="1"/>
  <c r="AC1087" i="1"/>
  <c r="AG1107" i="1"/>
  <c r="M1131" i="1"/>
  <c r="R1131" i="1" s="1"/>
  <c r="AG1139" i="1"/>
  <c r="AG1163" i="1"/>
  <c r="AC1167" i="1"/>
  <c r="AG1179" i="1"/>
  <c r="AD1212" i="1"/>
  <c r="AG1215" i="1"/>
  <c r="AG1219" i="1"/>
  <c r="AD1252" i="1"/>
  <c r="AG1255" i="1"/>
  <c r="AG1259" i="1"/>
  <c r="AD1276" i="1"/>
  <c r="Y1284" i="1"/>
  <c r="AD1332" i="1"/>
  <c r="AG1337" i="1"/>
  <c r="AC1337" i="1"/>
  <c r="AD1348" i="1"/>
  <c r="AG1369" i="1"/>
  <c r="AE1391" i="1"/>
  <c r="AG1409" i="1"/>
  <c r="AG1476" i="1"/>
  <c r="AD1476" i="1"/>
  <c r="AD1492" i="1"/>
  <c r="AD1638" i="1"/>
  <c r="AG1662" i="1"/>
  <c r="AD1662" i="1"/>
  <c r="AE1673" i="1"/>
  <c r="AD1702" i="1"/>
  <c r="AC1727" i="1"/>
  <c r="AE1729" i="1"/>
  <c r="M903" i="1"/>
  <c r="R903" i="1" s="1"/>
  <c r="M908" i="1"/>
  <c r="R908" i="1" s="1"/>
  <c r="M919" i="1"/>
  <c r="R919" i="1" s="1"/>
  <c r="AG923" i="1"/>
  <c r="M924" i="1"/>
  <c r="R924" i="1" s="1"/>
  <c r="M928" i="1"/>
  <c r="R928" i="1" s="1"/>
  <c r="AG947" i="1"/>
  <c r="M951" i="1"/>
  <c r="R951" i="1" s="1"/>
  <c r="M952" i="1"/>
  <c r="R952" i="1" s="1"/>
  <c r="M956" i="1"/>
  <c r="R956" i="1" s="1"/>
  <c r="M971" i="1"/>
  <c r="R971" i="1" s="1"/>
  <c r="M975" i="1"/>
  <c r="R975" i="1" s="1"/>
  <c r="M976" i="1"/>
  <c r="R976" i="1" s="1"/>
  <c r="M980" i="1"/>
  <c r="R980" i="1" s="1"/>
  <c r="M995" i="1"/>
  <c r="R995" i="1" s="1"/>
  <c r="AG1003" i="1"/>
  <c r="M1019" i="1"/>
  <c r="R1019" i="1" s="1"/>
  <c r="AG1027" i="1"/>
  <c r="M1028" i="1"/>
  <c r="R1028" i="1" s="1"/>
  <c r="M1043" i="1"/>
  <c r="R1043" i="1" s="1"/>
  <c r="M1048" i="1"/>
  <c r="R1048" i="1" s="1"/>
  <c r="M1063" i="1"/>
  <c r="R1063" i="1" s="1"/>
  <c r="AG1067" i="1"/>
  <c r="M1068" i="1"/>
  <c r="R1068" i="1" s="1"/>
  <c r="M1072" i="1"/>
  <c r="R1072" i="1" s="1"/>
  <c r="AG1091" i="1"/>
  <c r="M1092" i="1"/>
  <c r="R1092" i="1" s="1"/>
  <c r="M1107" i="1"/>
  <c r="R1107" i="1" s="1"/>
  <c r="M1111" i="1"/>
  <c r="R1111" i="1" s="1"/>
  <c r="M1116" i="1"/>
  <c r="R1116" i="1" s="1"/>
  <c r="M1120" i="1"/>
  <c r="R1120" i="1" s="1"/>
  <c r="M1139" i="1"/>
  <c r="R1139" i="1" s="1"/>
  <c r="M1143" i="1"/>
  <c r="R1143" i="1" s="1"/>
  <c r="AG1147" i="1"/>
  <c r="M1148" i="1"/>
  <c r="R1148" i="1" s="1"/>
  <c r="M1152" i="1"/>
  <c r="R1152" i="1" s="1"/>
  <c r="M1163" i="1"/>
  <c r="R1163" i="1" s="1"/>
  <c r="AG1171" i="1"/>
  <c r="M1175" i="1"/>
  <c r="R1175" i="1" s="1"/>
  <c r="M1179" i="1"/>
  <c r="R1179" i="1" s="1"/>
  <c r="M1190" i="1"/>
  <c r="R1190" i="1" s="1"/>
  <c r="M1198" i="1"/>
  <c r="R1198" i="1" s="1"/>
  <c r="M1208" i="1"/>
  <c r="R1208" i="1" s="1"/>
  <c r="AG1211" i="1"/>
  <c r="M1215" i="1"/>
  <c r="R1215" i="1" s="1"/>
  <c r="M1219" i="1"/>
  <c r="R1219" i="1" s="1"/>
  <c r="M1230" i="1"/>
  <c r="R1230" i="1" s="1"/>
  <c r="M1238" i="1"/>
  <c r="R1238" i="1" s="1"/>
  <c r="AG1247" i="1"/>
  <c r="M1248" i="1"/>
  <c r="R1248" i="1" s="1"/>
  <c r="M1255" i="1"/>
  <c r="R1255" i="1" s="1"/>
  <c r="M1259" i="1"/>
  <c r="R1259" i="1" s="1"/>
  <c r="M1270" i="1"/>
  <c r="R1270" i="1" s="1"/>
  <c r="AG1271" i="1"/>
  <c r="AG1275" i="1"/>
  <c r="AC1289" i="1"/>
  <c r="AD1292" i="1"/>
  <c r="AD1316" i="1"/>
  <c r="M1332" i="1"/>
  <c r="R1332" i="1" s="1"/>
  <c r="M1336" i="1"/>
  <c r="R1336" i="1" s="1"/>
  <c r="AD1372" i="1"/>
  <c r="AD1396" i="1"/>
  <c r="AG1401" i="1"/>
  <c r="AC1401" i="1"/>
  <c r="AD1412" i="1"/>
  <c r="AF1422" i="1"/>
  <c r="AD1428" i="1"/>
  <c r="AG1436" i="1"/>
  <c r="AD1436" i="1"/>
  <c r="AF1462" i="1"/>
  <c r="M1476" i="1"/>
  <c r="R1476" i="1" s="1"/>
  <c r="AF1510" i="1"/>
  <c r="Y1516" i="1"/>
  <c r="AF1564" i="1"/>
  <c r="AD1564" i="1"/>
  <c r="AF1574" i="1"/>
  <c r="AF1630" i="1"/>
  <c r="AF1636" i="1"/>
  <c r="AF1676" i="1"/>
  <c r="AG1687" i="1"/>
  <c r="AC1687" i="1"/>
  <c r="AF1696" i="1"/>
  <c r="AE1721" i="1"/>
  <c r="AG1866" i="1"/>
  <c r="AE1873" i="1"/>
  <c r="AG1882" i="1"/>
  <c r="AE1889" i="1"/>
  <c r="AG1898" i="1"/>
  <c r="AE1905" i="1"/>
  <c r="AG1914" i="1"/>
  <c r="AD1978" i="1"/>
  <c r="AF2024" i="1"/>
  <c r="AD2024" i="1"/>
  <c r="AD2090" i="1"/>
  <c r="AG2913" i="1"/>
  <c r="AD2928" i="1"/>
  <c r="M1271" i="1"/>
  <c r="R1271" i="1" s="1"/>
  <c r="M1275" i="1"/>
  <c r="R1275" i="1" s="1"/>
  <c r="M1285" i="1"/>
  <c r="R1285" i="1" s="1"/>
  <c r="M1291" i="1"/>
  <c r="R1291" i="1" s="1"/>
  <c r="M1295" i="1"/>
  <c r="R1295" i="1" s="1"/>
  <c r="M1309" i="1"/>
  <c r="R1309" i="1" s="1"/>
  <c r="M1313" i="1"/>
  <c r="R1313" i="1" s="1"/>
  <c r="M1314" i="1"/>
  <c r="R1314" i="1" s="1"/>
  <c r="M1318" i="1"/>
  <c r="R1318" i="1" s="1"/>
  <c r="M1331" i="1"/>
  <c r="R1331" i="1" s="1"/>
  <c r="AG1333" i="1"/>
  <c r="M1335" i="1"/>
  <c r="R1335" i="1" s="1"/>
  <c r="M1337" i="1"/>
  <c r="R1337" i="1" s="1"/>
  <c r="M1338" i="1"/>
  <c r="R1338" i="1" s="1"/>
  <c r="M1342" i="1"/>
  <c r="R1342" i="1" s="1"/>
  <c r="M1349" i="1"/>
  <c r="R1349" i="1" s="1"/>
  <c r="M1355" i="1"/>
  <c r="R1355" i="1" s="1"/>
  <c r="AG1357" i="1"/>
  <c r="M1359" i="1"/>
  <c r="R1359" i="1" s="1"/>
  <c r="M1373" i="1"/>
  <c r="R1373" i="1" s="1"/>
  <c r="M1377" i="1"/>
  <c r="R1377" i="1" s="1"/>
  <c r="M1378" i="1"/>
  <c r="R1378" i="1" s="1"/>
  <c r="M1382" i="1"/>
  <c r="R1382" i="1" s="1"/>
  <c r="M1395" i="1"/>
  <c r="R1395" i="1" s="1"/>
  <c r="M1399" i="1"/>
  <c r="R1399" i="1" s="1"/>
  <c r="M1401" i="1"/>
  <c r="R1401" i="1" s="1"/>
  <c r="M1402" i="1"/>
  <c r="R1402" i="1" s="1"/>
  <c r="M1406" i="1"/>
  <c r="R1406" i="1" s="1"/>
  <c r="M1413" i="1"/>
  <c r="R1413" i="1" s="1"/>
  <c r="M1419" i="1"/>
  <c r="R1419" i="1" s="1"/>
  <c r="M1439" i="1"/>
  <c r="R1439" i="1" s="1"/>
  <c r="M1443" i="1"/>
  <c r="R1443" i="1" s="1"/>
  <c r="M1459" i="1"/>
  <c r="R1459" i="1" s="1"/>
  <c r="M1475" i="1"/>
  <c r="R1475" i="1" s="1"/>
  <c r="M1486" i="1"/>
  <c r="R1486" i="1" s="1"/>
  <c r="AG1492" i="1"/>
  <c r="M1498" i="1"/>
  <c r="R1498" i="1" s="1"/>
  <c r="M1508" i="1"/>
  <c r="R1508" i="1" s="1"/>
  <c r="AG1513" i="1"/>
  <c r="M1525" i="1"/>
  <c r="R1525" i="1" s="1"/>
  <c r="M1541" i="1"/>
  <c r="R1541" i="1" s="1"/>
  <c r="M1548" i="1"/>
  <c r="R1548" i="1" s="1"/>
  <c r="AE1551" i="1"/>
  <c r="AE1557" i="1"/>
  <c r="M1559" i="1"/>
  <c r="R1559" i="1" s="1"/>
  <c r="M1580" i="1"/>
  <c r="R1580" i="1" s="1"/>
  <c r="M1583" i="1"/>
  <c r="R1583" i="1" s="1"/>
  <c r="AG1591" i="1"/>
  <c r="Y1594" i="1"/>
  <c r="Y1602" i="1"/>
  <c r="AG1603" i="1"/>
  <c r="M1615" i="1"/>
  <c r="R1615" i="1" s="1"/>
  <c r="M1616" i="1"/>
  <c r="R1616" i="1" s="1"/>
  <c r="AG1627" i="1"/>
  <c r="M1628" i="1"/>
  <c r="R1628" i="1" s="1"/>
  <c r="M1631" i="1"/>
  <c r="R1631" i="1" s="1"/>
  <c r="M1632" i="1"/>
  <c r="R1632" i="1" s="1"/>
  <c r="AG1635" i="1"/>
  <c r="M1636" i="1"/>
  <c r="R1636" i="1" s="1"/>
  <c r="Y1646" i="1"/>
  <c r="AE1665" i="1"/>
  <c r="M1677" i="1"/>
  <c r="R1677" i="1" s="1"/>
  <c r="M1680" i="1"/>
  <c r="R1680" i="1" s="1"/>
  <c r="AE1697" i="1"/>
  <c r="M1717" i="1"/>
  <c r="R1717" i="1" s="1"/>
  <c r="M1725" i="1"/>
  <c r="R1725" i="1" s="1"/>
  <c r="Y1734" i="1"/>
  <c r="Y1742" i="1"/>
  <c r="Y1750" i="1"/>
  <c r="Y1758" i="1"/>
  <c r="AG1758" i="1" s="1"/>
  <c r="Y1766" i="1"/>
  <c r="Y1774" i="1"/>
  <c r="Y1782" i="1"/>
  <c r="AD1782" i="1" s="1"/>
  <c r="Y1790" i="1"/>
  <c r="Y1798" i="1"/>
  <c r="Y1806" i="1"/>
  <c r="AD1806" i="1" s="1"/>
  <c r="Y1814" i="1"/>
  <c r="AD1814" i="1" s="1"/>
  <c r="Y1822" i="1"/>
  <c r="Y1830" i="1"/>
  <c r="Y1838" i="1"/>
  <c r="Y1846" i="1"/>
  <c r="AD1846" i="1" s="1"/>
  <c r="Y1854" i="1"/>
  <c r="AG1854" i="1" s="1"/>
  <c r="AE1933" i="1"/>
  <c r="AF1936" i="1"/>
  <c r="AF1952" i="1"/>
  <c r="AD1966" i="1"/>
  <c r="AG1983" i="1"/>
  <c r="AC1983" i="1"/>
  <c r="AG2042" i="1"/>
  <c r="AD2042" i="1"/>
  <c r="AE2097" i="1"/>
  <c r="AG2158" i="1"/>
  <c r="Y2216" i="1"/>
  <c r="AG2228" i="1"/>
  <c r="AD2228" i="1"/>
  <c r="Y2248" i="1"/>
  <c r="AF2258" i="1"/>
  <c r="AG2260" i="1"/>
  <c r="Y2280" i="1"/>
  <c r="AF2290" i="1"/>
  <c r="AG2292" i="1"/>
  <c r="M1278" i="1"/>
  <c r="R1278" i="1" s="1"/>
  <c r="M1297" i="1"/>
  <c r="R1297" i="1" s="1"/>
  <c r="M1298" i="1"/>
  <c r="R1298" i="1" s="1"/>
  <c r="M1302" i="1"/>
  <c r="R1302" i="1" s="1"/>
  <c r="M1315" i="1"/>
  <c r="R1315" i="1" s="1"/>
  <c r="AG1317" i="1"/>
  <c r="M1319" i="1"/>
  <c r="R1319" i="1" s="1"/>
  <c r="M1321" i="1"/>
  <c r="R1321" i="1" s="1"/>
  <c r="M1322" i="1"/>
  <c r="R1322" i="1" s="1"/>
  <c r="M1326" i="1"/>
  <c r="R1326" i="1" s="1"/>
  <c r="M1333" i="1"/>
  <c r="R1333" i="1" s="1"/>
  <c r="M1339" i="1"/>
  <c r="R1339" i="1" s="1"/>
  <c r="M1343" i="1"/>
  <c r="R1343" i="1" s="1"/>
  <c r="AE1343" i="1"/>
  <c r="M1357" i="1"/>
  <c r="R1357" i="1" s="1"/>
  <c r="M1361" i="1"/>
  <c r="R1361" i="1" s="1"/>
  <c r="M1362" i="1"/>
  <c r="R1362" i="1" s="1"/>
  <c r="M1366" i="1"/>
  <c r="R1366" i="1" s="1"/>
  <c r="M1379" i="1"/>
  <c r="R1379" i="1" s="1"/>
  <c r="AG1381" i="1"/>
  <c r="M1383" i="1"/>
  <c r="R1383" i="1" s="1"/>
  <c r="M1385" i="1"/>
  <c r="R1385" i="1" s="1"/>
  <c r="M1386" i="1"/>
  <c r="R1386" i="1" s="1"/>
  <c r="M1390" i="1"/>
  <c r="R1390" i="1" s="1"/>
  <c r="M1397" i="1"/>
  <c r="R1397" i="1" s="1"/>
  <c r="M1403" i="1"/>
  <c r="R1403" i="1" s="1"/>
  <c r="M1407" i="1"/>
  <c r="R1407" i="1" s="1"/>
  <c r="AE1407" i="1"/>
  <c r="M1423" i="1"/>
  <c r="R1423" i="1" s="1"/>
  <c r="M1425" i="1"/>
  <c r="R1425" i="1" s="1"/>
  <c r="M1426" i="1"/>
  <c r="R1426" i="1" s="1"/>
  <c r="M1430" i="1"/>
  <c r="R1430" i="1" s="1"/>
  <c r="M1447" i="1"/>
  <c r="R1447" i="1" s="1"/>
  <c r="M1450" i="1"/>
  <c r="R1450" i="1" s="1"/>
  <c r="M1454" i="1"/>
  <c r="R1454" i="1" s="1"/>
  <c r="M1461" i="1"/>
  <c r="R1461" i="1" s="1"/>
  <c r="M1463" i="1"/>
  <c r="R1463" i="1" s="1"/>
  <c r="M1466" i="1"/>
  <c r="R1466" i="1" s="1"/>
  <c r="M1470" i="1"/>
  <c r="R1470" i="1" s="1"/>
  <c r="M1477" i="1"/>
  <c r="R1477" i="1" s="1"/>
  <c r="M1479" i="1"/>
  <c r="R1479" i="1" s="1"/>
  <c r="M1482" i="1"/>
  <c r="R1482" i="1" s="1"/>
  <c r="M1492" i="1"/>
  <c r="R1492" i="1" s="1"/>
  <c r="M1495" i="1"/>
  <c r="R1495" i="1" s="1"/>
  <c r="AG1497" i="1"/>
  <c r="M1509" i="1"/>
  <c r="R1509" i="1" s="1"/>
  <c r="M1534" i="1"/>
  <c r="R1534" i="1" s="1"/>
  <c r="M1536" i="1"/>
  <c r="R1536" i="1" s="1"/>
  <c r="AG1537" i="1"/>
  <c r="M1549" i="1"/>
  <c r="R1549" i="1" s="1"/>
  <c r="M1554" i="1"/>
  <c r="R1554" i="1" s="1"/>
  <c r="AF1556" i="1"/>
  <c r="AD1556" i="1"/>
  <c r="M1566" i="1"/>
  <c r="R1566" i="1" s="1"/>
  <c r="AG1583" i="1"/>
  <c r="AE1589" i="1"/>
  <c r="M1591" i="1"/>
  <c r="R1591" i="1" s="1"/>
  <c r="M1595" i="1"/>
  <c r="R1595" i="1" s="1"/>
  <c r="AG1599" i="1"/>
  <c r="M1603" i="1"/>
  <c r="R1603" i="1" s="1"/>
  <c r="M1610" i="1"/>
  <c r="R1610" i="1" s="1"/>
  <c r="AG1631" i="1"/>
  <c r="M1637" i="1"/>
  <c r="R1637" i="1" s="1"/>
  <c r="M1640" i="1"/>
  <c r="R1640" i="1" s="1"/>
  <c r="AC1647" i="1"/>
  <c r="AE1657" i="1"/>
  <c r="M1669" i="1"/>
  <c r="R1669" i="1" s="1"/>
  <c r="M1672" i="1"/>
  <c r="R1672" i="1" s="1"/>
  <c r="AE1689" i="1"/>
  <c r="M1701" i="1"/>
  <c r="R1701" i="1" s="1"/>
  <c r="M1704" i="1"/>
  <c r="R1704" i="1" s="1"/>
  <c r="AG1710" i="1"/>
  <c r="AD1710" i="1"/>
  <c r="AG1718" i="1"/>
  <c r="AD1718" i="1"/>
  <c r="AG1726" i="1"/>
  <c r="AD1726" i="1"/>
  <c r="AF1728" i="1"/>
  <c r="AF1736" i="1"/>
  <c r="AF1744" i="1"/>
  <c r="AF1752" i="1"/>
  <c r="AF1760" i="1"/>
  <c r="AG1858" i="1"/>
  <c r="AG1890" i="1"/>
  <c r="AG1906" i="1"/>
  <c r="AE1913" i="1"/>
  <c r="AE1965" i="1"/>
  <c r="AE2049" i="1"/>
  <c r="AG2058" i="1"/>
  <c r="AD2058" i="1"/>
  <c r="AD2178" i="1"/>
  <c r="AG2236" i="1"/>
  <c r="AD2236" i="1"/>
  <c r="AG2348" i="1"/>
  <c r="AD2348" i="1"/>
  <c r="AC2366" i="1"/>
  <c r="AG2366" i="1"/>
  <c r="M1299" i="1"/>
  <c r="R1299" i="1" s="1"/>
  <c r="AG1301" i="1"/>
  <c r="M1303" i="1"/>
  <c r="R1303" i="1" s="1"/>
  <c r="M1305" i="1"/>
  <c r="R1305" i="1" s="1"/>
  <c r="M1306" i="1"/>
  <c r="R1306" i="1" s="1"/>
  <c r="M1310" i="1"/>
  <c r="R1310" i="1" s="1"/>
  <c r="M1317" i="1"/>
  <c r="R1317" i="1" s="1"/>
  <c r="AG1325" i="1"/>
  <c r="M1327" i="1"/>
  <c r="R1327" i="1" s="1"/>
  <c r="M1345" i="1"/>
  <c r="R1345" i="1" s="1"/>
  <c r="M1346" i="1"/>
  <c r="R1346" i="1" s="1"/>
  <c r="M1350" i="1"/>
  <c r="R1350" i="1" s="1"/>
  <c r="AG1361" i="1"/>
  <c r="M1363" i="1"/>
  <c r="R1363" i="1" s="1"/>
  <c r="AG1365" i="1"/>
  <c r="M1369" i="1"/>
  <c r="R1369" i="1" s="1"/>
  <c r="M1370" i="1"/>
  <c r="R1370" i="1" s="1"/>
  <c r="M1374" i="1"/>
  <c r="R1374" i="1" s="1"/>
  <c r="M1381" i="1"/>
  <c r="R1381" i="1" s="1"/>
  <c r="AG1385" i="1"/>
  <c r="M1387" i="1"/>
  <c r="R1387" i="1" s="1"/>
  <c r="AG1389" i="1"/>
  <c r="M1391" i="1"/>
  <c r="R1391" i="1" s="1"/>
  <c r="M1409" i="1"/>
  <c r="R1409" i="1" s="1"/>
  <c r="M1410" i="1"/>
  <c r="R1410" i="1" s="1"/>
  <c r="M1414" i="1"/>
  <c r="R1414" i="1" s="1"/>
  <c r="M1427" i="1"/>
  <c r="R1427" i="1" s="1"/>
  <c r="M1434" i="1"/>
  <c r="R1434" i="1" s="1"/>
  <c r="M1438" i="1"/>
  <c r="R1438" i="1" s="1"/>
  <c r="AG1449" i="1"/>
  <c r="AG1465" i="1"/>
  <c r="M1467" i="1"/>
  <c r="R1467" i="1" s="1"/>
  <c r="M1483" i="1"/>
  <c r="R1483" i="1" s="1"/>
  <c r="M1493" i="1"/>
  <c r="R1493" i="1" s="1"/>
  <c r="M1518" i="1"/>
  <c r="R1518" i="1" s="1"/>
  <c r="AG1524" i="1"/>
  <c r="M1530" i="1"/>
  <c r="R1530" i="1" s="1"/>
  <c r="AG1553" i="1"/>
  <c r="M1563" i="1"/>
  <c r="R1563" i="1" s="1"/>
  <c r="AG1571" i="1"/>
  <c r="AF1572" i="1"/>
  <c r="M1574" i="1"/>
  <c r="R1574" i="1" s="1"/>
  <c r="AG1575" i="1"/>
  <c r="M1576" i="1"/>
  <c r="R1576" i="1" s="1"/>
  <c r="AF1620" i="1"/>
  <c r="M1622" i="1"/>
  <c r="R1622" i="1" s="1"/>
  <c r="M1624" i="1"/>
  <c r="R1624" i="1" s="1"/>
  <c r="AE1649" i="1"/>
  <c r="M1661" i="1"/>
  <c r="R1661" i="1" s="1"/>
  <c r="M1664" i="1"/>
  <c r="R1664" i="1" s="1"/>
  <c r="AF1672" i="1"/>
  <c r="M1693" i="1"/>
  <c r="R1693" i="1" s="1"/>
  <c r="M1696" i="1"/>
  <c r="R1696" i="1" s="1"/>
  <c r="AG1698" i="1"/>
  <c r="Y1862" i="1"/>
  <c r="Y1878" i="1"/>
  <c r="Y1894" i="1"/>
  <c r="Y1910" i="1"/>
  <c r="AF1928" i="1"/>
  <c r="AE1957" i="1"/>
  <c r="AF1960" i="1"/>
  <c r="AG1975" i="1"/>
  <c r="AC1975" i="1"/>
  <c r="AF1976" i="1"/>
  <c r="AG1986" i="1"/>
  <c r="AC2035" i="1"/>
  <c r="AE2065" i="1"/>
  <c r="AF2072" i="1"/>
  <c r="AD2074" i="1"/>
  <c r="Y2200" i="1"/>
  <c r="Y2232" i="1"/>
  <c r="AF2242" i="1"/>
  <c r="AG2244" i="1"/>
  <c r="AD2244" i="1"/>
  <c r="Y2264" i="1"/>
  <c r="AG2276" i="1"/>
  <c r="AD2276" i="1"/>
  <c r="Y2296" i="1"/>
  <c r="AF2298" i="1"/>
  <c r="M2397" i="1"/>
  <c r="R2397" i="1" s="1"/>
  <c r="Y2397" i="1"/>
  <c r="AD2397" i="1" s="1"/>
  <c r="AG1870" i="1"/>
  <c r="AG1886" i="1"/>
  <c r="AG1902" i="1"/>
  <c r="AG1922" i="1"/>
  <c r="Y1930" i="1"/>
  <c r="Y1938" i="1"/>
  <c r="Y1946" i="1"/>
  <c r="Y1954" i="1"/>
  <c r="Y1962" i="1"/>
  <c r="AF1972" i="1"/>
  <c r="AG1982" i="1"/>
  <c r="AF1984" i="1"/>
  <c r="Y2000" i="1"/>
  <c r="Y2008" i="1"/>
  <c r="AF2008" i="1" s="1"/>
  <c r="AF2016" i="1"/>
  <c r="AF2018" i="1"/>
  <c r="AG2114" i="1"/>
  <c r="AF2116" i="1"/>
  <c r="Y2122" i="1"/>
  <c r="Y2130" i="1"/>
  <c r="AF2132" i="1"/>
  <c r="Y2138" i="1"/>
  <c r="AF2140" i="1"/>
  <c r="Y2146" i="1"/>
  <c r="AF2148" i="1"/>
  <c r="Y2154" i="1"/>
  <c r="AE2177" i="1"/>
  <c r="AG2224" i="1"/>
  <c r="AG2240" i="1"/>
  <c r="AG2256" i="1"/>
  <c r="AG2272" i="1"/>
  <c r="AF2302" i="1"/>
  <c r="AC2374" i="1"/>
  <c r="AD2377" i="1"/>
  <c r="AF2394" i="1"/>
  <c r="AC2394" i="1"/>
  <c r="AG2398" i="1"/>
  <c r="AF2734" i="1"/>
  <c r="AD2734" i="1"/>
  <c r="AF2798" i="1"/>
  <c r="AF2806" i="1"/>
  <c r="AC1863" i="1"/>
  <c r="AD1870" i="1"/>
  <c r="AC1871" i="1"/>
  <c r="AC1879" i="1"/>
  <c r="AD1886" i="1"/>
  <c r="AC1887" i="1"/>
  <c r="AC1895" i="1"/>
  <c r="AD1902" i="1"/>
  <c r="AC1903" i="1"/>
  <c r="AC1911" i="1"/>
  <c r="AG1918" i="1"/>
  <c r="AC1919" i="1"/>
  <c r="AD1922" i="1"/>
  <c r="AG1926" i="1"/>
  <c r="AD1926" i="1"/>
  <c r="AG1934" i="1"/>
  <c r="AD1934" i="1"/>
  <c r="AG1942" i="1"/>
  <c r="AD1942" i="1"/>
  <c r="AG1950" i="1"/>
  <c r="AD1950" i="1"/>
  <c r="AG1958" i="1"/>
  <c r="AD1958" i="1"/>
  <c r="AG1970" i="1"/>
  <c r="AD1970" i="1"/>
  <c r="AD1982" i="1"/>
  <c r="AE1985" i="1"/>
  <c r="AF2026" i="1"/>
  <c r="AD2032" i="1"/>
  <c r="AE2041" i="1"/>
  <c r="AF2048" i="1"/>
  <c r="AG2050" i="1"/>
  <c r="AE2057" i="1"/>
  <c r="AF2064" i="1"/>
  <c r="AE2073" i="1"/>
  <c r="AF2080" i="1"/>
  <c r="AE2089" i="1"/>
  <c r="AF2096" i="1"/>
  <c r="AE2105" i="1"/>
  <c r="AD2114" i="1"/>
  <c r="AD2118" i="1"/>
  <c r="AD2126" i="1"/>
  <c r="AD2134" i="1"/>
  <c r="AD2142" i="1"/>
  <c r="AD2150" i="1"/>
  <c r="AF2168" i="1"/>
  <c r="Y2308" i="1"/>
  <c r="AE2319" i="1"/>
  <c r="AG2336" i="1"/>
  <c r="AE2351" i="1"/>
  <c r="AG2382" i="1"/>
  <c r="AF2390" i="1"/>
  <c r="AC2390" i="1"/>
  <c r="AC2529" i="1"/>
  <c r="AD2529" i="1"/>
  <c r="M1491" i="1"/>
  <c r="R1491" i="1" s="1"/>
  <c r="M1507" i="1"/>
  <c r="R1507" i="1" s="1"/>
  <c r="M1538" i="1"/>
  <c r="R1538" i="1" s="1"/>
  <c r="M1542" i="1"/>
  <c r="R1542" i="1" s="1"/>
  <c r="AG1559" i="1"/>
  <c r="M1560" i="1"/>
  <c r="R1560" i="1" s="1"/>
  <c r="M1571" i="1"/>
  <c r="R1571" i="1" s="1"/>
  <c r="M1590" i="1"/>
  <c r="R1590" i="1" s="1"/>
  <c r="M1599" i="1"/>
  <c r="R1599" i="1" s="1"/>
  <c r="M1600" i="1"/>
  <c r="R1600" i="1" s="1"/>
  <c r="M1607" i="1"/>
  <c r="R1607" i="1" s="1"/>
  <c r="M1614" i="1"/>
  <c r="R1614" i="1" s="1"/>
  <c r="M1641" i="1"/>
  <c r="R1641" i="1" s="1"/>
  <c r="M1649" i="1"/>
  <c r="R1649" i="1" s="1"/>
  <c r="AE1653" i="1"/>
  <c r="M1657" i="1"/>
  <c r="R1657" i="1" s="1"/>
  <c r="AE1661" i="1"/>
  <c r="M1665" i="1"/>
  <c r="R1665" i="1" s="1"/>
  <c r="M1673" i="1"/>
  <c r="R1673" i="1" s="1"/>
  <c r="AE1677" i="1"/>
  <c r="M1681" i="1"/>
  <c r="R1681" i="1" s="1"/>
  <c r="M1689" i="1"/>
  <c r="R1689" i="1" s="1"/>
  <c r="AE1693" i="1"/>
  <c r="M1697" i="1"/>
  <c r="R1697" i="1" s="1"/>
  <c r="AE1701" i="1"/>
  <c r="M1705" i="1"/>
  <c r="R1705" i="1" s="1"/>
  <c r="M1713" i="1"/>
  <c r="R1713" i="1" s="1"/>
  <c r="AE1717" i="1"/>
  <c r="M1721" i="1"/>
  <c r="R1721" i="1" s="1"/>
  <c r="M1729" i="1"/>
  <c r="R1729" i="1" s="1"/>
  <c r="AE1733" i="1"/>
  <c r="M1737" i="1"/>
  <c r="R1737" i="1" s="1"/>
  <c r="M1745" i="1"/>
  <c r="R1745" i="1" s="1"/>
  <c r="M1753" i="1"/>
  <c r="R1753" i="1" s="1"/>
  <c r="AE1757" i="1"/>
  <c r="M1761" i="1"/>
  <c r="R1761" i="1" s="1"/>
  <c r="M1769" i="1"/>
  <c r="R1769" i="1" s="1"/>
  <c r="AE1773" i="1"/>
  <c r="M1777" i="1"/>
  <c r="R1777" i="1" s="1"/>
  <c r="M1785" i="1"/>
  <c r="R1785" i="1" s="1"/>
  <c r="AE1789" i="1"/>
  <c r="M1793" i="1"/>
  <c r="R1793" i="1" s="1"/>
  <c r="AE1797" i="1"/>
  <c r="M1801" i="1"/>
  <c r="R1801" i="1" s="1"/>
  <c r="AE1805" i="1"/>
  <c r="M1809" i="1"/>
  <c r="R1809" i="1" s="1"/>
  <c r="AE1813" i="1"/>
  <c r="AE1821" i="1"/>
  <c r="M1825" i="1"/>
  <c r="R1825" i="1" s="1"/>
  <c r="AE1829" i="1"/>
  <c r="M1833" i="1"/>
  <c r="R1833" i="1" s="1"/>
  <c r="AE1837" i="1"/>
  <c r="M1841" i="1"/>
  <c r="R1841" i="1" s="1"/>
  <c r="AE1845" i="1"/>
  <c r="M1849" i="1"/>
  <c r="R1849" i="1" s="1"/>
  <c r="AE1853" i="1"/>
  <c r="M1857" i="1"/>
  <c r="R1857" i="1" s="1"/>
  <c r="M1865" i="1"/>
  <c r="R1865" i="1" s="1"/>
  <c r="AE1869" i="1"/>
  <c r="M1873" i="1"/>
  <c r="R1873" i="1" s="1"/>
  <c r="AE1877" i="1"/>
  <c r="M1881" i="1"/>
  <c r="R1881" i="1" s="1"/>
  <c r="AE1885" i="1"/>
  <c r="M1889" i="1"/>
  <c r="R1889" i="1" s="1"/>
  <c r="AE1893" i="1"/>
  <c r="M1897" i="1"/>
  <c r="R1897" i="1" s="1"/>
  <c r="M1905" i="1"/>
  <c r="R1905" i="1" s="1"/>
  <c r="AE1909" i="1"/>
  <c r="M1913" i="1"/>
  <c r="R1913" i="1" s="1"/>
  <c r="M1916" i="1"/>
  <c r="R1916" i="1" s="1"/>
  <c r="AD1918" i="1"/>
  <c r="AG1966" i="1"/>
  <c r="AG1978" i="1"/>
  <c r="M1992" i="1"/>
  <c r="R1992" i="1" s="1"/>
  <c r="AE1993" i="1"/>
  <c r="M1995" i="1"/>
  <c r="R1995" i="1" s="1"/>
  <c r="AG2019" i="1"/>
  <c r="AC2019" i="1"/>
  <c r="AG2031" i="1"/>
  <c r="M2040" i="1"/>
  <c r="R2040" i="1" s="1"/>
  <c r="M2046" i="1"/>
  <c r="R2046" i="1" s="1"/>
  <c r="AD2050" i="1"/>
  <c r="M2056" i="1"/>
  <c r="R2056" i="1" s="1"/>
  <c r="M2062" i="1"/>
  <c r="R2062" i="1" s="1"/>
  <c r="M2072" i="1"/>
  <c r="R2072" i="1" s="1"/>
  <c r="M2078" i="1"/>
  <c r="R2078" i="1" s="1"/>
  <c r="M2088" i="1"/>
  <c r="R2088" i="1" s="1"/>
  <c r="M2094" i="1"/>
  <c r="R2094" i="1" s="1"/>
  <c r="AD2098" i="1"/>
  <c r="M2104" i="1"/>
  <c r="R2104" i="1" s="1"/>
  <c r="M2110" i="1"/>
  <c r="R2110" i="1" s="1"/>
  <c r="M2162" i="1"/>
  <c r="R2162" i="1" s="1"/>
  <c r="M2165" i="1"/>
  <c r="R2165" i="1" s="1"/>
  <c r="AD2170" i="1"/>
  <c r="AF2176" i="1"/>
  <c r="AF2180" i="1"/>
  <c r="AF2182" i="1"/>
  <c r="AC2191" i="1"/>
  <c r="M2202" i="1"/>
  <c r="R2202" i="1" s="1"/>
  <c r="M2210" i="1"/>
  <c r="R2210" i="1" s="1"/>
  <c r="M2218" i="1"/>
  <c r="R2218" i="1" s="1"/>
  <c r="M2226" i="1"/>
  <c r="R2226" i="1" s="1"/>
  <c r="M2234" i="1"/>
  <c r="R2234" i="1" s="1"/>
  <c r="M2242" i="1"/>
  <c r="R2242" i="1" s="1"/>
  <c r="M2250" i="1"/>
  <c r="R2250" i="1" s="1"/>
  <c r="M2258" i="1"/>
  <c r="R2258" i="1" s="1"/>
  <c r="M2266" i="1"/>
  <c r="R2266" i="1" s="1"/>
  <c r="M2274" i="1"/>
  <c r="R2274" i="1" s="1"/>
  <c r="M2282" i="1"/>
  <c r="R2282" i="1" s="1"/>
  <c r="M2290" i="1"/>
  <c r="R2290" i="1" s="1"/>
  <c r="M2298" i="1"/>
  <c r="R2298" i="1" s="1"/>
  <c r="AG2316" i="1"/>
  <c r="AD2316" i="1"/>
  <c r="M2334" i="1"/>
  <c r="R2334" i="1" s="1"/>
  <c r="AF2375" i="1"/>
  <c r="AE2375" i="1"/>
  <c r="AG2378" i="1"/>
  <c r="AF2378" i="1"/>
  <c r="M2465" i="1"/>
  <c r="R2465" i="1" s="1"/>
  <c r="Y2465" i="1"/>
  <c r="AD2493" i="1"/>
  <c r="AG2340" i="1"/>
  <c r="AD2340" i="1"/>
  <c r="AF2360" i="1"/>
  <c r="Y2392" i="1"/>
  <c r="AG2402" i="1"/>
  <c r="AC2402" i="1"/>
  <c r="AF2410" i="1"/>
  <c r="AC2410" i="1"/>
  <c r="AG2486" i="1"/>
  <c r="AF2554" i="1"/>
  <c r="AC2554" i="1"/>
  <c r="AC2562" i="1"/>
  <c r="AD2642" i="1"/>
  <c r="M2772" i="1"/>
  <c r="R2772" i="1" s="1"/>
  <c r="Y2772" i="1"/>
  <c r="AD2772" i="1" s="1"/>
  <c r="AG2011" i="1"/>
  <c r="AG2023" i="1"/>
  <c r="AE2045" i="1"/>
  <c r="AE2053" i="1"/>
  <c r="AG2054" i="1"/>
  <c r="AE2061" i="1"/>
  <c r="AG2062" i="1"/>
  <c r="AE2069" i="1"/>
  <c r="AG2070" i="1"/>
  <c r="AE2077" i="1"/>
  <c r="AG2078" i="1"/>
  <c r="AE2085" i="1"/>
  <c r="AG2086" i="1"/>
  <c r="AE2093" i="1"/>
  <c r="AG2094" i="1"/>
  <c r="AE2101" i="1"/>
  <c r="AG2102" i="1"/>
  <c r="AE2109" i="1"/>
  <c r="AG2174" i="1"/>
  <c r="AG2183" i="1"/>
  <c r="AG2195" i="1"/>
  <c r="AD2300" i="1"/>
  <c r="AE2303" i="1"/>
  <c r="AG2332" i="1"/>
  <c r="AD2332" i="1"/>
  <c r="AE2335" i="1"/>
  <c r="AF2379" i="1"/>
  <c r="AF2382" i="1"/>
  <c r="AG2406" i="1"/>
  <c r="AG2414" i="1"/>
  <c r="AG2418" i="1"/>
  <c r="AG2438" i="1"/>
  <c r="AG2454" i="1"/>
  <c r="AG2462" i="1"/>
  <c r="AG2466" i="1"/>
  <c r="AC2466" i="1"/>
  <c r="M2476" i="1"/>
  <c r="R2476" i="1" s="1"/>
  <c r="AD2505" i="1"/>
  <c r="AG2522" i="1"/>
  <c r="AC2537" i="1"/>
  <c r="AG2550" i="1"/>
  <c r="AC2550" i="1"/>
  <c r="AF2698" i="1"/>
  <c r="M2704" i="1"/>
  <c r="R2704" i="1" s="1"/>
  <c r="Y2704" i="1"/>
  <c r="AE2704" i="1" s="1"/>
  <c r="M1921" i="1"/>
  <c r="R1921" i="1" s="1"/>
  <c r="M1924" i="1"/>
  <c r="R1924" i="1" s="1"/>
  <c r="M1932" i="1"/>
  <c r="R1932" i="1" s="1"/>
  <c r="M1940" i="1"/>
  <c r="R1940" i="1" s="1"/>
  <c r="M1948" i="1"/>
  <c r="R1948" i="1" s="1"/>
  <c r="M1956" i="1"/>
  <c r="R1956" i="1" s="1"/>
  <c r="M1968" i="1"/>
  <c r="R1968" i="1" s="1"/>
  <c r="M1973" i="1"/>
  <c r="R1973" i="1" s="1"/>
  <c r="AE1977" i="1"/>
  <c r="AE1981" i="1"/>
  <c r="AE1989" i="1"/>
  <c r="AG1995" i="1"/>
  <c r="M1996" i="1"/>
  <c r="R1996" i="1" s="1"/>
  <c r="AG1999" i="1"/>
  <c r="M2003" i="1"/>
  <c r="R2003" i="1" s="1"/>
  <c r="M2004" i="1"/>
  <c r="R2004" i="1" s="1"/>
  <c r="M2011" i="1"/>
  <c r="R2011" i="1" s="1"/>
  <c r="M2023" i="1"/>
  <c r="R2023" i="1" s="1"/>
  <c r="M2034" i="1"/>
  <c r="R2034" i="1" s="1"/>
  <c r="M2044" i="1"/>
  <c r="R2044" i="1" s="1"/>
  <c r="M2052" i="1"/>
  <c r="R2052" i="1" s="1"/>
  <c r="M2060" i="1"/>
  <c r="R2060" i="1" s="1"/>
  <c r="AG2067" i="1"/>
  <c r="M2068" i="1"/>
  <c r="R2068" i="1" s="1"/>
  <c r="AG2075" i="1"/>
  <c r="M2076" i="1"/>
  <c r="R2076" i="1" s="1"/>
  <c r="AG2083" i="1"/>
  <c r="M2084" i="1"/>
  <c r="R2084" i="1" s="1"/>
  <c r="M2092" i="1"/>
  <c r="R2092" i="1" s="1"/>
  <c r="AG2099" i="1"/>
  <c r="M2100" i="1"/>
  <c r="R2100" i="1" s="1"/>
  <c r="AG2107" i="1"/>
  <c r="M2108" i="1"/>
  <c r="R2108" i="1" s="1"/>
  <c r="M2157" i="1"/>
  <c r="R2157" i="1" s="1"/>
  <c r="M2160" i="1"/>
  <c r="R2160" i="1" s="1"/>
  <c r="AD2162" i="1"/>
  <c r="AE2169" i="1"/>
  <c r="M2172" i="1"/>
  <c r="R2172" i="1" s="1"/>
  <c r="AD2174" i="1"/>
  <c r="M2177" i="1"/>
  <c r="R2177" i="1" s="1"/>
  <c r="M2183" i="1"/>
  <c r="R2183" i="1" s="1"/>
  <c r="M2188" i="1"/>
  <c r="R2188" i="1" s="1"/>
  <c r="M2190" i="1"/>
  <c r="R2190" i="1" s="1"/>
  <c r="M2195" i="1"/>
  <c r="R2195" i="1" s="1"/>
  <c r="AG2199" i="1"/>
  <c r="M2310" i="1"/>
  <c r="R2310" i="1" s="1"/>
  <c r="AG2324" i="1"/>
  <c r="AD2324" i="1"/>
  <c r="M2342" i="1"/>
  <c r="R2342" i="1" s="1"/>
  <c r="AG2356" i="1"/>
  <c r="AD2356" i="1"/>
  <c r="AF2366" i="1"/>
  <c r="AG2390" i="1"/>
  <c r="AD2405" i="1"/>
  <c r="AD2413" i="1"/>
  <c r="AE2416" i="1"/>
  <c r="AC2534" i="1"/>
  <c r="AG2534" i="1"/>
  <c r="AE2540" i="1"/>
  <c r="AE2653" i="1"/>
  <c r="AC2653" i="1"/>
  <c r="AD2653" i="1"/>
  <c r="AF2658" i="1"/>
  <c r="AC2658" i="1"/>
  <c r="AD2658" i="1"/>
  <c r="AE2823" i="1"/>
  <c r="AG2422" i="1"/>
  <c r="AF2426" i="1"/>
  <c r="Y2456" i="1"/>
  <c r="Y2457" i="1"/>
  <c r="Y2513" i="1"/>
  <c r="AD2513" i="1" s="1"/>
  <c r="AG2514" i="1"/>
  <c r="AD2517" i="1"/>
  <c r="AG2518" i="1"/>
  <c r="AG2529" i="1"/>
  <c r="AG2546" i="1"/>
  <c r="AF2582" i="1"/>
  <c r="AG2586" i="1"/>
  <c r="AC2586" i="1"/>
  <c r="Y2596" i="1"/>
  <c r="AG2598" i="1"/>
  <c r="AF2640" i="1"/>
  <c r="Y2764" i="1"/>
  <c r="AD2888" i="1"/>
  <c r="M2306" i="1"/>
  <c r="R2306" i="1" s="1"/>
  <c r="M2314" i="1"/>
  <c r="R2314" i="1" s="1"/>
  <c r="M2322" i="1"/>
  <c r="R2322" i="1" s="1"/>
  <c r="M2330" i="1"/>
  <c r="R2330" i="1" s="1"/>
  <c r="M2338" i="1"/>
  <c r="R2338" i="1" s="1"/>
  <c r="M2346" i="1"/>
  <c r="R2346" i="1" s="1"/>
  <c r="M2354" i="1"/>
  <c r="R2354" i="1" s="1"/>
  <c r="AD2372" i="1"/>
  <c r="AG2377" i="1"/>
  <c r="M2379" i="1"/>
  <c r="R2379" i="1" s="1"/>
  <c r="M2395" i="1"/>
  <c r="R2395" i="1" s="1"/>
  <c r="M2407" i="1"/>
  <c r="R2407" i="1" s="1"/>
  <c r="M2415" i="1"/>
  <c r="R2415" i="1" s="1"/>
  <c r="M2422" i="1"/>
  <c r="R2422" i="1" s="1"/>
  <c r="AC2426" i="1"/>
  <c r="M2427" i="1"/>
  <c r="R2427" i="1" s="1"/>
  <c r="AG2430" i="1"/>
  <c r="M2443" i="1"/>
  <c r="R2443" i="1" s="1"/>
  <c r="AG2446" i="1"/>
  <c r="M2452" i="1"/>
  <c r="R2452" i="1" s="1"/>
  <c r="AC2458" i="1"/>
  <c r="M2459" i="1"/>
  <c r="R2459" i="1" s="1"/>
  <c r="M2461" i="1"/>
  <c r="R2461" i="1" s="1"/>
  <c r="AD2469" i="1"/>
  <c r="AG2470" i="1"/>
  <c r="AG2478" i="1"/>
  <c r="M2484" i="1"/>
  <c r="R2484" i="1" s="1"/>
  <c r="AG2506" i="1"/>
  <c r="AD2509" i="1"/>
  <c r="AG2510" i="1"/>
  <c r="M2514" i="1"/>
  <c r="R2514" i="1" s="1"/>
  <c r="M2515" i="1"/>
  <c r="R2515" i="1" s="1"/>
  <c r="M2517" i="1"/>
  <c r="R2517" i="1" s="1"/>
  <c r="M2527" i="1"/>
  <c r="R2527" i="1" s="1"/>
  <c r="M2528" i="1"/>
  <c r="R2528" i="1" s="1"/>
  <c r="AG2530" i="1"/>
  <c r="M2558" i="1"/>
  <c r="R2558" i="1" s="1"/>
  <c r="M2559" i="1"/>
  <c r="R2559" i="1" s="1"/>
  <c r="M2576" i="1"/>
  <c r="R2576" i="1" s="1"/>
  <c r="AG2578" i="1"/>
  <c r="AC2578" i="1"/>
  <c r="AC2594" i="1"/>
  <c r="AG2610" i="1"/>
  <c r="M2611" i="1"/>
  <c r="R2611" i="1" s="1"/>
  <c r="AG2618" i="1"/>
  <c r="AF2618" i="1"/>
  <c r="M2624" i="1"/>
  <c r="R2624" i="1" s="1"/>
  <c r="Y2718" i="1"/>
  <c r="AE2722" i="1"/>
  <c r="M2403" i="1"/>
  <c r="R2403" i="1" s="1"/>
  <c r="M2411" i="1"/>
  <c r="R2411" i="1" s="1"/>
  <c r="M2423" i="1"/>
  <c r="R2423" i="1" s="1"/>
  <c r="M2469" i="1"/>
  <c r="R2469" i="1" s="1"/>
  <c r="M2471" i="1"/>
  <c r="R2471" i="1" s="1"/>
  <c r="AF2474" i="1"/>
  <c r="M2491" i="1"/>
  <c r="R2491" i="1" s="1"/>
  <c r="AD2497" i="1"/>
  <c r="AD2501" i="1"/>
  <c r="AG2502" i="1"/>
  <c r="M2506" i="1"/>
  <c r="R2506" i="1" s="1"/>
  <c r="M2507" i="1"/>
  <c r="R2507" i="1" s="1"/>
  <c r="M2509" i="1"/>
  <c r="R2509" i="1" s="1"/>
  <c r="AF2547" i="1"/>
  <c r="AF2559" i="1"/>
  <c r="AG2745" i="1"/>
  <c r="AD2790" i="1"/>
  <c r="AD2806" i="1"/>
  <c r="AF2808" i="1"/>
  <c r="M2826" i="1"/>
  <c r="R2826" i="1" s="1"/>
  <c r="Y2548" i="1"/>
  <c r="AE2548" i="1" s="1"/>
  <c r="AF2565" i="1"/>
  <c r="AD2565" i="1"/>
  <c r="AG2566" i="1"/>
  <c r="Y2569" i="1"/>
  <c r="Y2604" i="1"/>
  <c r="Y2636" i="1"/>
  <c r="AF2636" i="1" s="1"/>
  <c r="AF2650" i="1"/>
  <c r="AF2679" i="1"/>
  <c r="AF2691" i="1"/>
  <c r="AD2740" i="1"/>
  <c r="AC2747" i="1"/>
  <c r="AD2758" i="1"/>
  <c r="AF2758" i="1"/>
  <c r="AG2783" i="1"/>
  <c r="AE2783" i="1"/>
  <c r="AG2785" i="1"/>
  <c r="M2431" i="1"/>
  <c r="R2431" i="1" s="1"/>
  <c r="M2439" i="1"/>
  <c r="R2439" i="1" s="1"/>
  <c r="M2447" i="1"/>
  <c r="R2447" i="1" s="1"/>
  <c r="M2454" i="1"/>
  <c r="R2454" i="1" s="1"/>
  <c r="AG2458" i="1"/>
  <c r="M2463" i="1"/>
  <c r="R2463" i="1" s="1"/>
  <c r="M2470" i="1"/>
  <c r="R2470" i="1" s="1"/>
  <c r="M2479" i="1"/>
  <c r="R2479" i="1" s="1"/>
  <c r="M2486" i="1"/>
  <c r="R2486" i="1" s="1"/>
  <c r="M2487" i="1"/>
  <c r="R2487" i="1" s="1"/>
  <c r="AG2490" i="1"/>
  <c r="M2502" i="1"/>
  <c r="R2502" i="1" s="1"/>
  <c r="M2503" i="1"/>
  <c r="R2503" i="1" s="1"/>
  <c r="M2510" i="1"/>
  <c r="R2510" i="1" s="1"/>
  <c r="M2511" i="1"/>
  <c r="R2511" i="1" s="1"/>
  <c r="M2518" i="1"/>
  <c r="R2518" i="1" s="1"/>
  <c r="M2519" i="1"/>
  <c r="R2519" i="1" s="1"/>
  <c r="M2535" i="1"/>
  <c r="R2535" i="1" s="1"/>
  <c r="AG2558" i="1"/>
  <c r="AC2565" i="1"/>
  <c r="AC2570" i="1"/>
  <c r="AD2576" i="1"/>
  <c r="M2577" i="1"/>
  <c r="R2577" i="1" s="1"/>
  <c r="AC2602" i="1"/>
  <c r="AE2624" i="1"/>
  <c r="AD2644" i="1"/>
  <c r="AD2676" i="1"/>
  <c r="AF2682" i="1"/>
  <c r="AE2688" i="1"/>
  <c r="AG2716" i="1"/>
  <c r="AF2716" i="1"/>
  <c r="AC2716" i="1"/>
  <c r="AC2720" i="1"/>
  <c r="M2768" i="1"/>
  <c r="R2768" i="1" s="1"/>
  <c r="AF2790" i="1"/>
  <c r="AG2537" i="1"/>
  <c r="M2543" i="1"/>
  <c r="R2543" i="1" s="1"/>
  <c r="AG2565" i="1"/>
  <c r="M2566" i="1"/>
  <c r="R2566" i="1" s="1"/>
  <c r="M2567" i="1"/>
  <c r="R2567" i="1" s="1"/>
  <c r="AD2584" i="1"/>
  <c r="AF2598" i="1"/>
  <c r="AG2614" i="1"/>
  <c r="M2616" i="1"/>
  <c r="R2616" i="1" s="1"/>
  <c r="M2619" i="1"/>
  <c r="R2619" i="1" s="1"/>
  <c r="M2628" i="1"/>
  <c r="R2628" i="1" s="1"/>
  <c r="M2644" i="1"/>
  <c r="R2644" i="1" s="1"/>
  <c r="M2651" i="1"/>
  <c r="R2651" i="1" s="1"/>
  <c r="M2655" i="1"/>
  <c r="R2655" i="1" s="1"/>
  <c r="M2660" i="1"/>
  <c r="R2660" i="1" s="1"/>
  <c r="M2662" i="1"/>
  <c r="R2662" i="1" s="1"/>
  <c r="M2663" i="1"/>
  <c r="R2663" i="1" s="1"/>
  <c r="M2664" i="1"/>
  <c r="R2664" i="1" s="1"/>
  <c r="M2674" i="1"/>
  <c r="R2674" i="1" s="1"/>
  <c r="M2676" i="1"/>
  <c r="R2676" i="1" s="1"/>
  <c r="AE2701" i="1"/>
  <c r="AD2715" i="1"/>
  <c r="M2722" i="1"/>
  <c r="R2722" i="1" s="1"/>
  <c r="AD2750" i="1"/>
  <c r="AF2766" i="1"/>
  <c r="AD2774" i="1"/>
  <c r="M2788" i="1"/>
  <c r="R2788" i="1" s="1"/>
  <c r="M2794" i="1"/>
  <c r="R2794" i="1" s="1"/>
  <c r="AG2809" i="1"/>
  <c r="M2810" i="1"/>
  <c r="R2810" i="1" s="1"/>
  <c r="AF2822" i="1"/>
  <c r="AE2838" i="1"/>
  <c r="M2598" i="1"/>
  <c r="R2598" i="1" s="1"/>
  <c r="M2599" i="1"/>
  <c r="R2599" i="1" s="1"/>
  <c r="M2606" i="1"/>
  <c r="R2606" i="1" s="1"/>
  <c r="M2607" i="1"/>
  <c r="R2607" i="1" s="1"/>
  <c r="M2614" i="1"/>
  <c r="R2614" i="1" s="1"/>
  <c r="AE2635" i="1"/>
  <c r="M2639" i="1"/>
  <c r="R2639" i="1" s="1"/>
  <c r="AG2639" i="1"/>
  <c r="M2642" i="1"/>
  <c r="R2642" i="1" s="1"/>
  <c r="M2646" i="1"/>
  <c r="R2646" i="1" s="1"/>
  <c r="M2648" i="1"/>
  <c r="R2648" i="1" s="1"/>
  <c r="M2667" i="1"/>
  <c r="R2667" i="1" s="1"/>
  <c r="AE2685" i="1"/>
  <c r="AF2695" i="1"/>
  <c r="AG2705" i="1"/>
  <c r="M2708" i="1"/>
  <c r="R2708" i="1" s="1"/>
  <c r="AD2714" i="1"/>
  <c r="AD2726" i="1"/>
  <c r="AC2729" i="1"/>
  <c r="AG2729" i="1"/>
  <c r="M2736" i="1"/>
  <c r="R2736" i="1" s="1"/>
  <c r="AE2741" i="1"/>
  <c r="AC2741" i="1"/>
  <c r="AF2744" i="1"/>
  <c r="M2754" i="1"/>
  <c r="R2754" i="1" s="1"/>
  <c r="M2759" i="1"/>
  <c r="R2759" i="1" s="1"/>
  <c r="AE2791" i="1"/>
  <c r="AC2803" i="1"/>
  <c r="AD2822" i="1"/>
  <c r="AF2830" i="1"/>
  <c r="AD2830" i="1"/>
  <c r="AE2869" i="1"/>
  <c r="AF2840" i="1"/>
  <c r="AG2844" i="1"/>
  <c r="AC2844" i="1"/>
  <c r="AE2873" i="1"/>
  <c r="M2683" i="1"/>
  <c r="R2683" i="1" s="1"/>
  <c r="M2687" i="1"/>
  <c r="R2687" i="1" s="1"/>
  <c r="M2692" i="1"/>
  <c r="R2692" i="1" s="1"/>
  <c r="M2694" i="1"/>
  <c r="R2694" i="1" s="1"/>
  <c r="M2695" i="1"/>
  <c r="R2695" i="1" s="1"/>
  <c r="M2699" i="1"/>
  <c r="R2699" i="1" s="1"/>
  <c r="M2703" i="1"/>
  <c r="R2703" i="1" s="1"/>
  <c r="AG2720" i="1"/>
  <c r="M2734" i="1"/>
  <c r="R2734" i="1" s="1"/>
  <c r="M2744" i="1"/>
  <c r="R2744" i="1" s="1"/>
  <c r="M2766" i="1"/>
  <c r="R2766" i="1" s="1"/>
  <c r="M2782" i="1"/>
  <c r="R2782" i="1" s="1"/>
  <c r="M2792" i="1"/>
  <c r="R2792" i="1" s="1"/>
  <c r="M2797" i="1"/>
  <c r="R2797" i="1" s="1"/>
  <c r="M2799" i="1"/>
  <c r="R2799" i="1" s="1"/>
  <c r="M2805" i="1"/>
  <c r="R2805" i="1" s="1"/>
  <c r="M2806" i="1"/>
  <c r="R2806" i="1" s="1"/>
  <c r="M2824" i="1"/>
  <c r="R2824" i="1" s="1"/>
  <c r="AG2825" i="1"/>
  <c r="M2829" i="1"/>
  <c r="R2829" i="1" s="1"/>
  <c r="M2831" i="1"/>
  <c r="R2831" i="1" s="1"/>
  <c r="M2840" i="1"/>
  <c r="R2840" i="1" s="1"/>
  <c r="AD2854" i="1"/>
  <c r="AF2878" i="1"/>
  <c r="AG2889" i="1"/>
  <c r="M2833" i="1"/>
  <c r="R2833" i="1" s="1"/>
  <c r="M2844" i="1"/>
  <c r="R2844" i="1" s="1"/>
  <c r="M2852" i="1"/>
  <c r="R2852" i="1" s="1"/>
  <c r="M2853" i="1"/>
  <c r="R2853" i="1" s="1"/>
  <c r="M2856" i="1"/>
  <c r="R2856" i="1" s="1"/>
  <c r="M2857" i="1"/>
  <c r="R2857" i="1" s="1"/>
  <c r="AE2887" i="1"/>
  <c r="AC2959" i="1"/>
  <c r="AG2959" i="1"/>
  <c r="AD2964" i="1"/>
  <c r="AD2976" i="1"/>
  <c r="Y2842" i="1"/>
  <c r="Y2846" i="1"/>
  <c r="Y2850" i="1"/>
  <c r="AE2853" i="1"/>
  <c r="AE2861" i="1"/>
  <c r="AF2877" i="1"/>
  <c r="M2878" i="1"/>
  <c r="R2878" i="1" s="1"/>
  <c r="M2883" i="1"/>
  <c r="R2883" i="1" s="1"/>
  <c r="M2886" i="1"/>
  <c r="R2886" i="1" s="1"/>
  <c r="AD2912" i="1"/>
  <c r="AD2920" i="1"/>
  <c r="AG2968" i="1"/>
  <c r="AD2968" i="1"/>
  <c r="AF2970" i="1"/>
  <c r="M2790" i="1"/>
  <c r="R2790" i="1" s="1"/>
  <c r="M2800" i="1"/>
  <c r="R2800" i="1" s="1"/>
  <c r="M2808" i="1"/>
  <c r="R2808" i="1" s="1"/>
  <c r="M2822" i="1"/>
  <c r="R2822" i="1" s="1"/>
  <c r="M2832" i="1"/>
  <c r="R2832" i="1" s="1"/>
  <c r="AD2835" i="1"/>
  <c r="AE2835" i="1"/>
  <c r="M2837" i="1"/>
  <c r="R2837" i="1" s="1"/>
  <c r="AD2840" i="1"/>
  <c r="M2845" i="1"/>
  <c r="R2845" i="1" s="1"/>
  <c r="M2848" i="1"/>
  <c r="R2848" i="1" s="1"/>
  <c r="M2849" i="1"/>
  <c r="R2849" i="1" s="1"/>
  <c r="M2860" i="1"/>
  <c r="R2860" i="1" s="1"/>
  <c r="M2861" i="1"/>
  <c r="R2861" i="1" s="1"/>
  <c r="M2868" i="1"/>
  <c r="R2868" i="1" s="1"/>
  <c r="M2869" i="1"/>
  <c r="R2869" i="1" s="1"/>
  <c r="M2872" i="1"/>
  <c r="R2872" i="1" s="1"/>
  <c r="M2873" i="1"/>
  <c r="R2873" i="1" s="1"/>
  <c r="M2876" i="1"/>
  <c r="R2876" i="1" s="1"/>
  <c r="M2877" i="1"/>
  <c r="R2877" i="1" s="1"/>
  <c r="M2896" i="1"/>
  <c r="R2896" i="1" s="1"/>
  <c r="AF2936" i="1"/>
  <c r="AC2941" i="1"/>
  <c r="AG2941" i="1"/>
  <c r="AF2958" i="1"/>
  <c r="AG2972" i="1"/>
  <c r="AD2972" i="1"/>
  <c r="AF2976" i="1"/>
  <c r="M2897" i="1"/>
  <c r="R2897" i="1" s="1"/>
  <c r="M2902" i="1"/>
  <c r="R2902" i="1" s="1"/>
  <c r="M2917" i="1"/>
  <c r="R2917" i="1" s="1"/>
  <c r="M2922" i="1"/>
  <c r="R2922" i="1" s="1"/>
  <c r="M2926" i="1"/>
  <c r="R2926" i="1" s="1"/>
  <c r="M2937" i="1"/>
  <c r="R2937" i="1" s="1"/>
  <c r="M2943" i="1"/>
  <c r="R2943" i="1" s="1"/>
  <c r="M2947" i="1"/>
  <c r="R2947" i="1" s="1"/>
  <c r="M2950" i="1"/>
  <c r="R2950" i="1" s="1"/>
  <c r="AG2955" i="1"/>
  <c r="M2956" i="1"/>
  <c r="R2956" i="1" s="1"/>
  <c r="M2970" i="1"/>
  <c r="R2970" i="1" s="1"/>
  <c r="M2981" i="1"/>
  <c r="R2981" i="1" s="1"/>
  <c r="M2989" i="1"/>
  <c r="R2989" i="1" s="1"/>
  <c r="M3002" i="1"/>
  <c r="R3002" i="1" s="1"/>
  <c r="M3006" i="1"/>
  <c r="R3006" i="1" s="1"/>
  <c r="AG2905" i="1"/>
  <c r="M2906" i="1"/>
  <c r="R2906" i="1" s="1"/>
  <c r="M2910" i="1"/>
  <c r="R2910" i="1" s="1"/>
  <c r="M2921" i="1"/>
  <c r="R2921" i="1" s="1"/>
  <c r="M2925" i="1"/>
  <c r="R2925" i="1" s="1"/>
  <c r="AG2929" i="1"/>
  <c r="M2930" i="1"/>
  <c r="R2930" i="1" s="1"/>
  <c r="M2951" i="1"/>
  <c r="R2951" i="1" s="1"/>
  <c r="M2955" i="1"/>
  <c r="R2955" i="1" s="1"/>
  <c r="M2958" i="1"/>
  <c r="R2958" i="1" s="1"/>
  <c r="AG2963" i="1"/>
  <c r="M2964" i="1"/>
  <c r="R2964" i="1" s="1"/>
  <c r="M2966" i="1"/>
  <c r="R2966" i="1" s="1"/>
  <c r="M2977" i="1"/>
  <c r="R2977" i="1" s="1"/>
  <c r="M2978" i="1"/>
  <c r="R2978" i="1" s="1"/>
  <c r="M2986" i="1"/>
  <c r="R2986" i="1" s="1"/>
  <c r="M2994" i="1"/>
  <c r="R2994" i="1" s="1"/>
  <c r="AE2998" i="1"/>
  <c r="M3001" i="1"/>
  <c r="R3001" i="1" s="1"/>
  <c r="M3004" i="1"/>
  <c r="R3004" i="1" s="1"/>
  <c r="M3005" i="1"/>
  <c r="R3005" i="1" s="1"/>
  <c r="M2939" i="1"/>
  <c r="R2939" i="1" s="1"/>
  <c r="M2941" i="1"/>
  <c r="R2941" i="1" s="1"/>
  <c r="M2942" i="1"/>
  <c r="R2942" i="1" s="1"/>
  <c r="M2946" i="1"/>
  <c r="R2946" i="1" s="1"/>
  <c r="M2959" i="1"/>
  <c r="R2959" i="1" s="1"/>
  <c r="AE2975" i="1"/>
  <c r="M2997" i="1"/>
  <c r="R2997" i="1" s="1"/>
  <c r="AD40" i="1"/>
  <c r="AG40" i="1"/>
  <c r="AC40" i="1"/>
  <c r="AF40" i="1"/>
  <c r="AE40" i="1"/>
  <c r="AF42" i="1"/>
  <c r="AE42" i="1"/>
  <c r="AG42" i="1"/>
  <c r="AD42" i="1"/>
  <c r="AC42" i="1"/>
  <c r="AF106" i="1"/>
  <c r="AE106" i="1"/>
  <c r="AG106" i="1"/>
  <c r="AD106" i="1"/>
  <c r="AC106" i="1"/>
  <c r="AD124" i="1"/>
  <c r="AC124" i="1"/>
  <c r="AG124" i="1"/>
  <c r="AE124" i="1"/>
  <c r="AF124" i="1"/>
  <c r="AF186" i="1"/>
  <c r="AG186" i="1"/>
  <c r="AE186" i="1"/>
  <c r="AC186" i="1"/>
  <c r="AD186" i="1"/>
  <c r="AF202" i="1"/>
  <c r="AE202" i="1"/>
  <c r="AG202" i="1"/>
  <c r="AD202" i="1"/>
  <c r="AC202" i="1"/>
  <c r="AG215" i="1"/>
  <c r="AC215" i="1"/>
  <c r="AE215" i="1"/>
  <c r="AD215" i="1"/>
  <c r="AF215" i="1"/>
  <c r="AG247" i="1"/>
  <c r="AC247" i="1"/>
  <c r="AE247" i="1"/>
  <c r="AD247" i="1"/>
  <c r="AF247" i="1"/>
  <c r="AG267" i="1"/>
  <c r="AC267" i="1"/>
  <c r="AD267" i="1"/>
  <c r="AF267" i="1"/>
  <c r="AE267" i="1"/>
  <c r="AD24" i="1"/>
  <c r="AG24" i="1"/>
  <c r="AC24" i="1"/>
  <c r="AE24" i="1"/>
  <c r="AF24" i="1"/>
  <c r="AD28" i="1"/>
  <c r="AG28" i="1"/>
  <c r="AE28" i="1"/>
  <c r="AC28" i="1"/>
  <c r="AF28" i="1"/>
  <c r="AD32" i="1"/>
  <c r="AG32" i="1"/>
  <c r="AC32" i="1"/>
  <c r="AE32" i="1"/>
  <c r="AF32" i="1"/>
  <c r="AD36" i="1"/>
  <c r="AC36" i="1"/>
  <c r="AG36" i="1"/>
  <c r="AE36" i="1"/>
  <c r="AF36" i="1"/>
  <c r="AF38" i="1"/>
  <c r="AE38" i="1"/>
  <c r="AC38" i="1"/>
  <c r="AD38" i="1"/>
  <c r="AG38" i="1"/>
  <c r="AD52" i="1"/>
  <c r="AG52" i="1"/>
  <c r="AC52" i="1"/>
  <c r="AF52" i="1"/>
  <c r="AE52" i="1"/>
  <c r="AF54" i="1"/>
  <c r="AG54" i="1"/>
  <c r="AE54" i="1"/>
  <c r="AD54" i="1"/>
  <c r="AC54" i="1"/>
  <c r="AD68" i="1"/>
  <c r="AG68" i="1"/>
  <c r="AE68" i="1"/>
  <c r="AC68" i="1"/>
  <c r="AF68" i="1"/>
  <c r="AF70" i="1"/>
  <c r="AE70" i="1"/>
  <c r="AG70" i="1"/>
  <c r="AC70" i="1"/>
  <c r="AD70" i="1"/>
  <c r="AF74" i="1"/>
  <c r="AC74" i="1"/>
  <c r="AE74" i="1"/>
  <c r="AD74" i="1"/>
  <c r="AG74" i="1"/>
  <c r="AF78" i="1"/>
  <c r="AG78" i="1"/>
  <c r="AE78" i="1"/>
  <c r="AC78" i="1"/>
  <c r="AD78" i="1"/>
  <c r="AD92" i="1"/>
  <c r="AC92" i="1"/>
  <c r="AG92" i="1"/>
  <c r="AF92" i="1"/>
  <c r="AE92" i="1"/>
  <c r="AD96" i="1"/>
  <c r="AG96" i="1"/>
  <c r="AE96" i="1"/>
  <c r="AC96" i="1"/>
  <c r="AF96" i="1"/>
  <c r="AD100" i="1"/>
  <c r="AG100" i="1"/>
  <c r="AC100" i="1"/>
  <c r="AF100" i="1"/>
  <c r="AE100" i="1"/>
  <c r="AF102" i="1"/>
  <c r="AE102" i="1"/>
  <c r="AC102" i="1"/>
  <c r="AD102" i="1"/>
  <c r="AG102" i="1"/>
  <c r="AD116" i="1"/>
  <c r="AG116" i="1"/>
  <c r="AC116" i="1"/>
  <c r="AF116" i="1"/>
  <c r="AE116" i="1"/>
  <c r="AF118" i="1"/>
  <c r="AE118" i="1"/>
  <c r="AG118" i="1"/>
  <c r="AD118" i="1"/>
  <c r="AC118" i="1"/>
  <c r="AF122" i="1"/>
  <c r="AE122" i="1"/>
  <c r="AG122" i="1"/>
  <c r="AD122" i="1"/>
  <c r="AC122" i="1"/>
  <c r="AF126" i="1"/>
  <c r="AE126" i="1"/>
  <c r="AG126" i="1"/>
  <c r="AD126" i="1"/>
  <c r="AC126" i="1"/>
  <c r="AD144" i="1"/>
  <c r="AG144" i="1"/>
  <c r="AC144" i="1"/>
  <c r="AE144" i="1"/>
  <c r="AF144" i="1"/>
  <c r="AD148" i="1"/>
  <c r="AG148" i="1"/>
  <c r="AC148" i="1"/>
  <c r="AE148" i="1"/>
  <c r="AF148" i="1"/>
  <c r="AF150" i="1"/>
  <c r="AG150" i="1"/>
  <c r="AE150" i="1"/>
  <c r="AC150" i="1"/>
  <c r="AD150" i="1"/>
  <c r="AD164" i="1"/>
  <c r="AG164" i="1"/>
  <c r="AC164" i="1"/>
  <c r="AE164" i="1"/>
  <c r="AF164" i="1"/>
  <c r="AF166" i="1"/>
  <c r="AE166" i="1"/>
  <c r="AG166" i="1"/>
  <c r="AD166" i="1"/>
  <c r="AC166" i="1"/>
  <c r="AD180" i="1"/>
  <c r="AG180" i="1"/>
  <c r="AC180" i="1"/>
  <c r="AE180" i="1"/>
  <c r="AF180" i="1"/>
  <c r="AF182" i="1"/>
  <c r="AC182" i="1"/>
  <c r="AE182" i="1"/>
  <c r="AD182" i="1"/>
  <c r="AG182" i="1"/>
  <c r="AD196" i="1"/>
  <c r="AG196" i="1"/>
  <c r="AC196" i="1"/>
  <c r="AE196" i="1"/>
  <c r="AF196" i="1"/>
  <c r="AF198" i="1"/>
  <c r="AE198" i="1"/>
  <c r="AC198" i="1"/>
  <c r="AD198" i="1"/>
  <c r="AG198" i="1"/>
  <c r="AG207" i="1"/>
  <c r="AC207" i="1"/>
  <c r="AF207" i="1"/>
  <c r="AD207" i="1"/>
  <c r="AE207" i="1"/>
  <c r="AG211" i="1"/>
  <c r="AC211" i="1"/>
  <c r="AF211" i="1"/>
  <c r="AE211" i="1"/>
  <c r="AD211" i="1"/>
  <c r="AE212" i="1"/>
  <c r="AD212" i="1"/>
  <c r="AG219" i="1"/>
  <c r="AC219" i="1"/>
  <c r="AD219" i="1"/>
  <c r="AF219" i="1"/>
  <c r="AE219" i="1"/>
  <c r="AG223" i="1"/>
  <c r="AC223" i="1"/>
  <c r="AF223" i="1"/>
  <c r="AE223" i="1"/>
  <c r="AD223" i="1"/>
  <c r="AG227" i="1"/>
  <c r="AC227" i="1"/>
  <c r="AF227" i="1"/>
  <c r="AE227" i="1"/>
  <c r="AD227" i="1"/>
  <c r="AE228" i="1"/>
  <c r="AD228" i="1"/>
  <c r="AG235" i="1"/>
  <c r="AC235" i="1"/>
  <c r="AD235" i="1"/>
  <c r="AF235" i="1"/>
  <c r="AE235" i="1"/>
  <c r="AG239" i="1"/>
  <c r="AC239" i="1"/>
  <c r="AF239" i="1"/>
  <c r="AE239" i="1"/>
  <c r="AD239" i="1"/>
  <c r="AG243" i="1"/>
  <c r="AC243" i="1"/>
  <c r="AF243" i="1"/>
  <c r="AE243" i="1"/>
  <c r="AD243" i="1"/>
  <c r="AE244" i="1"/>
  <c r="AD244" i="1"/>
  <c r="AG251" i="1"/>
  <c r="AC251" i="1"/>
  <c r="AD251" i="1"/>
  <c r="AF251" i="1"/>
  <c r="AE251" i="1"/>
  <c r="AD262" i="1"/>
  <c r="AG262" i="1"/>
  <c r="AF262" i="1"/>
  <c r="AE262" i="1"/>
  <c r="AC262" i="1"/>
  <c r="AD265" i="1"/>
  <c r="AD270" i="1"/>
  <c r="AE270" i="1"/>
  <c r="AC270" i="1"/>
  <c r="AG270" i="1"/>
  <c r="AF270" i="1"/>
  <c r="AF281" i="1"/>
  <c r="AD56" i="1"/>
  <c r="AG56" i="1"/>
  <c r="AC56" i="1"/>
  <c r="AE56" i="1"/>
  <c r="AF56" i="1"/>
  <c r="AF58" i="1"/>
  <c r="AC58" i="1"/>
  <c r="AE58" i="1"/>
  <c r="AG58" i="1"/>
  <c r="AD58" i="1"/>
  <c r="AD80" i="1"/>
  <c r="AC80" i="1"/>
  <c r="AG80" i="1"/>
  <c r="AE80" i="1"/>
  <c r="AF80" i="1"/>
  <c r="AD104" i="1"/>
  <c r="AG104" i="1"/>
  <c r="AC104" i="1"/>
  <c r="AE104" i="1"/>
  <c r="AF104" i="1"/>
  <c r="AD120" i="1"/>
  <c r="AG120" i="1"/>
  <c r="AE120" i="1"/>
  <c r="AC120" i="1"/>
  <c r="AF120" i="1"/>
  <c r="AD128" i="1"/>
  <c r="AG128" i="1"/>
  <c r="AC128" i="1"/>
  <c r="AF128" i="1"/>
  <c r="AE128" i="1"/>
  <c r="AF134" i="1"/>
  <c r="AC134" i="1"/>
  <c r="AE134" i="1"/>
  <c r="AG134" i="1"/>
  <c r="AD134" i="1"/>
  <c r="AF154" i="1"/>
  <c r="AG154" i="1"/>
  <c r="AE154" i="1"/>
  <c r="AC154" i="1"/>
  <c r="AD154" i="1"/>
  <c r="AD200" i="1"/>
  <c r="AG200" i="1"/>
  <c r="AC200" i="1"/>
  <c r="AF200" i="1"/>
  <c r="AE200" i="1"/>
  <c r="AD278" i="1"/>
  <c r="AG278" i="1"/>
  <c r="AF278" i="1"/>
  <c r="AE278" i="1"/>
  <c r="AC278" i="1"/>
  <c r="AD20" i="1"/>
  <c r="AG20" i="1"/>
  <c r="AC20" i="1"/>
  <c r="AF20" i="1"/>
  <c r="AE20" i="1"/>
  <c r="AD64" i="1"/>
  <c r="AG64" i="1"/>
  <c r="AE64" i="1"/>
  <c r="AC64" i="1"/>
  <c r="AF64" i="1"/>
  <c r="AF66" i="1"/>
  <c r="AG66" i="1"/>
  <c r="AE66" i="1"/>
  <c r="AC66" i="1"/>
  <c r="AD66" i="1"/>
  <c r="AD88" i="1"/>
  <c r="AC88" i="1"/>
  <c r="AG88" i="1"/>
  <c r="AF88" i="1"/>
  <c r="AE88" i="1"/>
  <c r="AF90" i="1"/>
  <c r="AC90" i="1"/>
  <c r="AE90" i="1"/>
  <c r="AG90" i="1"/>
  <c r="AD90" i="1"/>
  <c r="AF94" i="1"/>
  <c r="AE94" i="1"/>
  <c r="AC94" i="1"/>
  <c r="AG94" i="1"/>
  <c r="AD94" i="1"/>
  <c r="AF98" i="1"/>
  <c r="AE98" i="1"/>
  <c r="AG98" i="1"/>
  <c r="AD98" i="1"/>
  <c r="AC98" i="1"/>
  <c r="AD140" i="1"/>
  <c r="AG140" i="1"/>
  <c r="AC140" i="1"/>
  <c r="AE140" i="1"/>
  <c r="AF140" i="1"/>
  <c r="AD160" i="1"/>
  <c r="AG160" i="1"/>
  <c r="AE160" i="1"/>
  <c r="AC160" i="1"/>
  <c r="AF160" i="1"/>
  <c r="AF162" i="1"/>
  <c r="AE162" i="1"/>
  <c r="AC162" i="1"/>
  <c r="AG162" i="1"/>
  <c r="AD162" i="1"/>
  <c r="AD176" i="1"/>
  <c r="AG176" i="1"/>
  <c r="AC176" i="1"/>
  <c r="AF176" i="1"/>
  <c r="AE176" i="1"/>
  <c r="AD192" i="1"/>
  <c r="AC192" i="1"/>
  <c r="AG192" i="1"/>
  <c r="AE192" i="1"/>
  <c r="AF192" i="1"/>
  <c r="AF194" i="1"/>
  <c r="AG194" i="1"/>
  <c r="AE194" i="1"/>
  <c r="AC194" i="1"/>
  <c r="AD194" i="1"/>
  <c r="AD214" i="1"/>
  <c r="AG214" i="1"/>
  <c r="AF214" i="1"/>
  <c r="AE214" i="1"/>
  <c r="AC214" i="1"/>
  <c r="AD217" i="1"/>
  <c r="AD230" i="1"/>
  <c r="AG230" i="1"/>
  <c r="AF230" i="1"/>
  <c r="AE230" i="1"/>
  <c r="AC230" i="1"/>
  <c r="AD233" i="1"/>
  <c r="AD246" i="1"/>
  <c r="AG246" i="1"/>
  <c r="AF246" i="1"/>
  <c r="AE246" i="1"/>
  <c r="AC246" i="1"/>
  <c r="AD249" i="1"/>
  <c r="AD254" i="1"/>
  <c r="AE254" i="1"/>
  <c r="AC254" i="1"/>
  <c r="AG254" i="1"/>
  <c r="AF254" i="1"/>
  <c r="AG279" i="1"/>
  <c r="AC279" i="1"/>
  <c r="AE279" i="1"/>
  <c r="AD279" i="1"/>
  <c r="AF279" i="1"/>
  <c r="AG287" i="1"/>
  <c r="AC287" i="1"/>
  <c r="AF287" i="1"/>
  <c r="AE287" i="1"/>
  <c r="AD287" i="1"/>
  <c r="AG291" i="1"/>
  <c r="AC291" i="1"/>
  <c r="AF291" i="1"/>
  <c r="AE291" i="1"/>
  <c r="AD291" i="1"/>
  <c r="AE292" i="1"/>
  <c r="AD292" i="1"/>
  <c r="AG636" i="1"/>
  <c r="AC636" i="1"/>
  <c r="AF636" i="1"/>
  <c r="AE636" i="1"/>
  <c r="AD636" i="1"/>
  <c r="AD72" i="1"/>
  <c r="AG72" i="1"/>
  <c r="AE72" i="1"/>
  <c r="AC72" i="1"/>
  <c r="AF72" i="1"/>
  <c r="AD76" i="1"/>
  <c r="AG76" i="1"/>
  <c r="AE76" i="1"/>
  <c r="AC76" i="1"/>
  <c r="AF76" i="1"/>
  <c r="AF82" i="1"/>
  <c r="AC82" i="1"/>
  <c r="AE82" i="1"/>
  <c r="AG82" i="1"/>
  <c r="AD82" i="1"/>
  <c r="AF130" i="1"/>
  <c r="AE130" i="1"/>
  <c r="AG130" i="1"/>
  <c r="AC130" i="1"/>
  <c r="AD130" i="1"/>
  <c r="AD152" i="1"/>
  <c r="AG152" i="1"/>
  <c r="AE152" i="1"/>
  <c r="AC152" i="1"/>
  <c r="AF152" i="1"/>
  <c r="AD168" i="1"/>
  <c r="AG168" i="1"/>
  <c r="AC168" i="1"/>
  <c r="AF168" i="1"/>
  <c r="AE168" i="1"/>
  <c r="AF170" i="1"/>
  <c r="AE170" i="1"/>
  <c r="AC170" i="1"/>
  <c r="AD170" i="1"/>
  <c r="AG170" i="1"/>
  <c r="AD184" i="1"/>
  <c r="AG184" i="1"/>
  <c r="AC184" i="1"/>
  <c r="AE184" i="1"/>
  <c r="AF184" i="1"/>
  <c r="AG231" i="1"/>
  <c r="AC231" i="1"/>
  <c r="AE231" i="1"/>
  <c r="AD231" i="1"/>
  <c r="AF231" i="1"/>
  <c r="AG255" i="1"/>
  <c r="AC255" i="1"/>
  <c r="AF255" i="1"/>
  <c r="AE255" i="1"/>
  <c r="AD255" i="1"/>
  <c r="AG259" i="1"/>
  <c r="AC259" i="1"/>
  <c r="AF259" i="1"/>
  <c r="AE259" i="1"/>
  <c r="AD259" i="1"/>
  <c r="AD286" i="1"/>
  <c r="AE286" i="1"/>
  <c r="AC286" i="1"/>
  <c r="AG286" i="1"/>
  <c r="AF286" i="1"/>
  <c r="AG572" i="1"/>
  <c r="AC572" i="1"/>
  <c r="AF572" i="1"/>
  <c r="AE572" i="1"/>
  <c r="AD572" i="1"/>
  <c r="AF22" i="1"/>
  <c r="AG22" i="1"/>
  <c r="AE22" i="1"/>
  <c r="AD22" i="1"/>
  <c r="AC22" i="1"/>
  <c r="AF26" i="1"/>
  <c r="AE26" i="1"/>
  <c r="AG26" i="1"/>
  <c r="AD26" i="1"/>
  <c r="AC26" i="1"/>
  <c r="AF30" i="1"/>
  <c r="AC30" i="1"/>
  <c r="AE30" i="1"/>
  <c r="AD30" i="1"/>
  <c r="AG30" i="1"/>
  <c r="AF34" i="1"/>
  <c r="AE34" i="1"/>
  <c r="AG34" i="1"/>
  <c r="AD34" i="1"/>
  <c r="AC34" i="1"/>
  <c r="AD48" i="1"/>
  <c r="AC48" i="1"/>
  <c r="AG48" i="1"/>
  <c r="AE48" i="1"/>
  <c r="AF48" i="1"/>
  <c r="AF50" i="1"/>
  <c r="AC50" i="1"/>
  <c r="AE50" i="1"/>
  <c r="AD50" i="1"/>
  <c r="AG50" i="1"/>
  <c r="AD112" i="1"/>
  <c r="AC112" i="1"/>
  <c r="AG112" i="1"/>
  <c r="AF112" i="1"/>
  <c r="AE112" i="1"/>
  <c r="AF114" i="1"/>
  <c r="AE114" i="1"/>
  <c r="AC114" i="1"/>
  <c r="AD114" i="1"/>
  <c r="AG114" i="1"/>
  <c r="AF142" i="1"/>
  <c r="AE142" i="1"/>
  <c r="AC142" i="1"/>
  <c r="AD142" i="1"/>
  <c r="AG142" i="1"/>
  <c r="AF146" i="1"/>
  <c r="AC146" i="1"/>
  <c r="AE146" i="1"/>
  <c r="AG146" i="1"/>
  <c r="AD146" i="1"/>
  <c r="AF178" i="1"/>
  <c r="AE178" i="1"/>
  <c r="AC178" i="1"/>
  <c r="AD178" i="1"/>
  <c r="AG178" i="1"/>
  <c r="AD12" i="1"/>
  <c r="AG12" i="1"/>
  <c r="AC12" i="1"/>
  <c r="AE12" i="1"/>
  <c r="AF12" i="1"/>
  <c r="AF14" i="1"/>
  <c r="AE14" i="1"/>
  <c r="AC14" i="1"/>
  <c r="AG14" i="1"/>
  <c r="AD14" i="1"/>
  <c r="AD16" i="1"/>
  <c r="AG16" i="1"/>
  <c r="AC16" i="1"/>
  <c r="AE16" i="1"/>
  <c r="AF16" i="1"/>
  <c r="AF18" i="1"/>
  <c r="AC18" i="1"/>
  <c r="AE18" i="1"/>
  <c r="AD18" i="1"/>
  <c r="AG18" i="1"/>
  <c r="AD44" i="1"/>
  <c r="AG44" i="1"/>
  <c r="AC44" i="1"/>
  <c r="AF44" i="1"/>
  <c r="AE44" i="1"/>
  <c r="AF46" i="1"/>
  <c r="AE46" i="1"/>
  <c r="AG46" i="1"/>
  <c r="AD46" i="1"/>
  <c r="AC46" i="1"/>
  <c r="AD60" i="1"/>
  <c r="AG60" i="1"/>
  <c r="AC60" i="1"/>
  <c r="AF60" i="1"/>
  <c r="AE60" i="1"/>
  <c r="AF62" i="1"/>
  <c r="AG62" i="1"/>
  <c r="AE62" i="1"/>
  <c r="AC62" i="1"/>
  <c r="AD62" i="1"/>
  <c r="AD84" i="1"/>
  <c r="AG84" i="1"/>
  <c r="AE84" i="1"/>
  <c r="AC84" i="1"/>
  <c r="AF84" i="1"/>
  <c r="AF86" i="1"/>
  <c r="AE86" i="1"/>
  <c r="AG86" i="1"/>
  <c r="AC86" i="1"/>
  <c r="AD86" i="1"/>
  <c r="AD108" i="1"/>
  <c r="AG108" i="1"/>
  <c r="AC108" i="1"/>
  <c r="AE108" i="1"/>
  <c r="AF108" i="1"/>
  <c r="AF110" i="1"/>
  <c r="AE110" i="1"/>
  <c r="AC110" i="1"/>
  <c r="AD110" i="1"/>
  <c r="AG110" i="1"/>
  <c r="AD132" i="1"/>
  <c r="AG132" i="1"/>
  <c r="AC132" i="1"/>
  <c r="AE132" i="1"/>
  <c r="AF132" i="1"/>
  <c r="AD136" i="1"/>
  <c r="AG136" i="1"/>
  <c r="AC136" i="1"/>
  <c r="AF136" i="1"/>
  <c r="AE136" i="1"/>
  <c r="AF138" i="1"/>
  <c r="AE138" i="1"/>
  <c r="AC138" i="1"/>
  <c r="AG138" i="1"/>
  <c r="AD138" i="1"/>
  <c r="AD156" i="1"/>
  <c r="AG156" i="1"/>
  <c r="AE156" i="1"/>
  <c r="AC156" i="1"/>
  <c r="AF156" i="1"/>
  <c r="AF158" i="1"/>
  <c r="AE158" i="1"/>
  <c r="AG158" i="1"/>
  <c r="AD158" i="1"/>
  <c r="AC158" i="1"/>
  <c r="AD172" i="1"/>
  <c r="AG172" i="1"/>
  <c r="AC172" i="1"/>
  <c r="AE172" i="1"/>
  <c r="AF172" i="1"/>
  <c r="AF174" i="1"/>
  <c r="AC174" i="1"/>
  <c r="AE174" i="1"/>
  <c r="AD174" i="1"/>
  <c r="AG174" i="1"/>
  <c r="AD188" i="1"/>
  <c r="AG188" i="1"/>
  <c r="AC188" i="1"/>
  <c r="AE188" i="1"/>
  <c r="AF188" i="1"/>
  <c r="AF190" i="1"/>
  <c r="AE190" i="1"/>
  <c r="AG190" i="1"/>
  <c r="AD190" i="1"/>
  <c r="AC190" i="1"/>
  <c r="AD206" i="1"/>
  <c r="AE206" i="1"/>
  <c r="AC206" i="1"/>
  <c r="AF206" i="1"/>
  <c r="AG206" i="1"/>
  <c r="AF217" i="1"/>
  <c r="AD222" i="1"/>
  <c r="AE222" i="1"/>
  <c r="AC222" i="1"/>
  <c r="AG222" i="1"/>
  <c r="AF222" i="1"/>
  <c r="AF233" i="1"/>
  <c r="AD238" i="1"/>
  <c r="AE238" i="1"/>
  <c r="AC238" i="1"/>
  <c r="AG238" i="1"/>
  <c r="AF238" i="1"/>
  <c r="AF249" i="1"/>
  <c r="AG263" i="1"/>
  <c r="AC263" i="1"/>
  <c r="AE263" i="1"/>
  <c r="AD263" i="1"/>
  <c r="AF263" i="1"/>
  <c r="AG271" i="1"/>
  <c r="AC271" i="1"/>
  <c r="AF271" i="1"/>
  <c r="AE271" i="1"/>
  <c r="AD271" i="1"/>
  <c r="AG275" i="1"/>
  <c r="AC275" i="1"/>
  <c r="AF275" i="1"/>
  <c r="AE275" i="1"/>
  <c r="AD275" i="1"/>
  <c r="AG283" i="1"/>
  <c r="AC283" i="1"/>
  <c r="AD283" i="1"/>
  <c r="AF283" i="1"/>
  <c r="AE283" i="1"/>
  <c r="AD295" i="1"/>
  <c r="AG295" i="1"/>
  <c r="AC295" i="1"/>
  <c r="AF295" i="1"/>
  <c r="AE295" i="1"/>
  <c r="AD299" i="1"/>
  <c r="AG299" i="1"/>
  <c r="AC299" i="1"/>
  <c r="AF299" i="1"/>
  <c r="AE299" i="1"/>
  <c r="AF494" i="1"/>
  <c r="AE494" i="1"/>
  <c r="AD494" i="1"/>
  <c r="AC498" i="1"/>
  <c r="AF502" i="1"/>
  <c r="AE502" i="1"/>
  <c r="AD502" i="1"/>
  <c r="AC506" i="1"/>
  <c r="AF510" i="1"/>
  <c r="AE510" i="1"/>
  <c r="AD510" i="1"/>
  <c r="AC514" i="1"/>
  <c r="AF518" i="1"/>
  <c r="AE518" i="1"/>
  <c r="AD518" i="1"/>
  <c r="AC522" i="1"/>
  <c r="AF526" i="1"/>
  <c r="AE526" i="1"/>
  <c r="AD526" i="1"/>
  <c r="AC530" i="1"/>
  <c r="AG532" i="1"/>
  <c r="AC532" i="1"/>
  <c r="AD532" i="1"/>
  <c r="AF532" i="1"/>
  <c r="AG538" i="1"/>
  <c r="Y541" i="1"/>
  <c r="AE541" i="1" s="1"/>
  <c r="M541" i="1"/>
  <c r="R541" i="1" s="1"/>
  <c r="AD547" i="1"/>
  <c r="AF547" i="1"/>
  <c r="AE547" i="1"/>
  <c r="AC547" i="1"/>
  <c r="AF549" i="1"/>
  <c r="AE549" i="1"/>
  <c r="AD549" i="1"/>
  <c r="AC549" i="1"/>
  <c r="AF555" i="1"/>
  <c r="AG560" i="1"/>
  <c r="AC560" i="1"/>
  <c r="AE560" i="1"/>
  <c r="AD560" i="1"/>
  <c r="AF560" i="1"/>
  <c r="AD575" i="1"/>
  <c r="AG575" i="1"/>
  <c r="AF575" i="1"/>
  <c r="AE575" i="1"/>
  <c r="AD583" i="1"/>
  <c r="AE583" i="1"/>
  <c r="AC583" i="1"/>
  <c r="AG583" i="1"/>
  <c r="AG584" i="1"/>
  <c r="AC584" i="1"/>
  <c r="AF584" i="1"/>
  <c r="AE584" i="1"/>
  <c r="AE585" i="1"/>
  <c r="AE586" i="1"/>
  <c r="AF586" i="1"/>
  <c r="AD586" i="1"/>
  <c r="AC586" i="1"/>
  <c r="AG588" i="1"/>
  <c r="AC588" i="1"/>
  <c r="AF588" i="1"/>
  <c r="AE588" i="1"/>
  <c r="AD588" i="1"/>
  <c r="AF594" i="1"/>
  <c r="AG596" i="1"/>
  <c r="AC596" i="1"/>
  <c r="AD596" i="1"/>
  <c r="AF596" i="1"/>
  <c r="Y605" i="1"/>
  <c r="AF605" i="1" s="1"/>
  <c r="M605" i="1"/>
  <c r="R605" i="1" s="1"/>
  <c r="AD611" i="1"/>
  <c r="AF611" i="1"/>
  <c r="AE611" i="1"/>
  <c r="AC611" i="1"/>
  <c r="AF613" i="1"/>
  <c r="AE613" i="1"/>
  <c r="AD613" i="1"/>
  <c r="AC613" i="1"/>
  <c r="AF619" i="1"/>
  <c r="AG624" i="1"/>
  <c r="AC624" i="1"/>
  <c r="AE624" i="1"/>
  <c r="AD624" i="1"/>
  <c r="AF624" i="1"/>
  <c r="AD639" i="1"/>
  <c r="AG639" i="1"/>
  <c r="AF639" i="1"/>
  <c r="AE639" i="1"/>
  <c r="M642" i="1"/>
  <c r="R642" i="1" s="1"/>
  <c r="AD647" i="1"/>
  <c r="AE647" i="1"/>
  <c r="AC647" i="1"/>
  <c r="AG647" i="1"/>
  <c r="AE653" i="1"/>
  <c r="AD654" i="1"/>
  <c r="AD665" i="1"/>
  <c r="AG665" i="1"/>
  <c r="AC665" i="1"/>
  <c r="AF665" i="1"/>
  <c r="AE665" i="1"/>
  <c r="AE672" i="1"/>
  <c r="AD672" i="1"/>
  <c r="AG672" i="1"/>
  <c r="AC672" i="1"/>
  <c r="AF672" i="1"/>
  <c r="AE685" i="1"/>
  <c r="AD686" i="1"/>
  <c r="AD697" i="1"/>
  <c r="AG697" i="1"/>
  <c r="AC697" i="1"/>
  <c r="AF697" i="1"/>
  <c r="AE697" i="1"/>
  <c r="AE704" i="1"/>
  <c r="AD704" i="1"/>
  <c r="AG704" i="1"/>
  <c r="AC704" i="1"/>
  <c r="AF704" i="1"/>
  <c r="AE717" i="1"/>
  <c r="AD729" i="1"/>
  <c r="AG729" i="1"/>
  <c r="AC729" i="1"/>
  <c r="AF729" i="1"/>
  <c r="AE729" i="1"/>
  <c r="AE736" i="1"/>
  <c r="AD736" i="1"/>
  <c r="AG736" i="1"/>
  <c r="AC736" i="1"/>
  <c r="AF736" i="1"/>
  <c r="AD750" i="1"/>
  <c r="AD761" i="1"/>
  <c r="AG761" i="1"/>
  <c r="AC761" i="1"/>
  <c r="AF761" i="1"/>
  <c r="AE761" i="1"/>
  <c r="AE768" i="1"/>
  <c r="AD768" i="1"/>
  <c r="AG768" i="1"/>
  <c r="AC768" i="1"/>
  <c r="AF768" i="1"/>
  <c r="AD782" i="1"/>
  <c r="AD793" i="1"/>
  <c r="AG793" i="1"/>
  <c r="AC793" i="1"/>
  <c r="AF793" i="1"/>
  <c r="AE793" i="1"/>
  <c r="AE800" i="1"/>
  <c r="AD800" i="1"/>
  <c r="AG800" i="1"/>
  <c r="AC800" i="1"/>
  <c r="AF800" i="1"/>
  <c r="AC808" i="1"/>
  <c r="AE816" i="1"/>
  <c r="AD816" i="1"/>
  <c r="AG816" i="1"/>
  <c r="AC816" i="1"/>
  <c r="AF816" i="1"/>
  <c r="AD830" i="1"/>
  <c r="AD841" i="1"/>
  <c r="AG841" i="1"/>
  <c r="AC841" i="1"/>
  <c r="AF841" i="1"/>
  <c r="AE841" i="1"/>
  <c r="AD849" i="1"/>
  <c r="AG849" i="1"/>
  <c r="AC849" i="1"/>
  <c r="AF849" i="1"/>
  <c r="AE849" i="1"/>
  <c r="AE856" i="1"/>
  <c r="AD856" i="1"/>
  <c r="AG856" i="1"/>
  <c r="AC856" i="1"/>
  <c r="AF856" i="1"/>
  <c r="AE880" i="1"/>
  <c r="AD880" i="1"/>
  <c r="AG880" i="1"/>
  <c r="AC880" i="1"/>
  <c r="AF880" i="1"/>
  <c r="AE893" i="1"/>
  <c r="AD894" i="1"/>
  <c r="AD902" i="1"/>
  <c r="AC905" i="1"/>
  <c r="AF905" i="1"/>
  <c r="AE912" i="1"/>
  <c r="AD912" i="1"/>
  <c r="AG912" i="1"/>
  <c r="AC912" i="1"/>
  <c r="AF912" i="1"/>
  <c r="AE933" i="1"/>
  <c r="AD934" i="1"/>
  <c r="AD937" i="1"/>
  <c r="AG937" i="1"/>
  <c r="AC937" i="1"/>
  <c r="AF937" i="1"/>
  <c r="AE937" i="1"/>
  <c r="AE944" i="1"/>
  <c r="AD944" i="1"/>
  <c r="AG944" i="1"/>
  <c r="AC944" i="1"/>
  <c r="AF944" i="1"/>
  <c r="AE957" i="1"/>
  <c r="AD958" i="1"/>
  <c r="AD969" i="1"/>
  <c r="AG969" i="1"/>
  <c r="AC969" i="1"/>
  <c r="AF969" i="1"/>
  <c r="AE969" i="1"/>
  <c r="AE976" i="1"/>
  <c r="AD976" i="1"/>
  <c r="AG976" i="1"/>
  <c r="AC976" i="1"/>
  <c r="AF976" i="1"/>
  <c r="AE989" i="1"/>
  <c r="AD990" i="1"/>
  <c r="AD1001" i="1"/>
  <c r="AG1001" i="1"/>
  <c r="AC1001" i="1"/>
  <c r="AF1001" i="1"/>
  <c r="AE1001" i="1"/>
  <c r="AD1008" i="1"/>
  <c r="AG1008" i="1"/>
  <c r="AC1008" i="1"/>
  <c r="AE1021" i="1"/>
  <c r="AD1022" i="1"/>
  <c r="AD1033" i="1"/>
  <c r="AG1033" i="1"/>
  <c r="AC1033" i="1"/>
  <c r="AF1033" i="1"/>
  <c r="AE1033" i="1"/>
  <c r="AG1040" i="1"/>
  <c r="AC1040" i="1"/>
  <c r="AD1062" i="1"/>
  <c r="AD1065" i="1"/>
  <c r="AC1065" i="1"/>
  <c r="AE1065" i="1"/>
  <c r="AE1069" i="1"/>
  <c r="AF11" i="1"/>
  <c r="AF47" i="1"/>
  <c r="AF63" i="1"/>
  <c r="AF87" i="1"/>
  <c r="AD149" i="1"/>
  <c r="AD157" i="1"/>
  <c r="AD161" i="1"/>
  <c r="AD165" i="1"/>
  <c r="AF167" i="1"/>
  <c r="AF171" i="1"/>
  <c r="AD181" i="1"/>
  <c r="AD185" i="1"/>
  <c r="AF187" i="1"/>
  <c r="AD189" i="1"/>
  <c r="AD193" i="1"/>
  <c r="AF195" i="1"/>
  <c r="AF203" i="1"/>
  <c r="AF213" i="1"/>
  <c r="AG218" i="1"/>
  <c r="AF220" i="1"/>
  <c r="AG220" i="1"/>
  <c r="AE224" i="1"/>
  <c r="AE225" i="1"/>
  <c r="AG225" i="1"/>
  <c r="AF229" i="1"/>
  <c r="AG234" i="1"/>
  <c r="AF236" i="1"/>
  <c r="AG236" i="1"/>
  <c r="AE240" i="1"/>
  <c r="AE241" i="1"/>
  <c r="AG241" i="1"/>
  <c r="AF245" i="1"/>
  <c r="AG250" i="1"/>
  <c r="AF252" i="1"/>
  <c r="AG252" i="1"/>
  <c r="AE256" i="1"/>
  <c r="AE257" i="1"/>
  <c r="AG257" i="1"/>
  <c r="AF261" i="1"/>
  <c r="AG266" i="1"/>
  <c r="AF268" i="1"/>
  <c r="AG268" i="1"/>
  <c r="AE272" i="1"/>
  <c r="AE273" i="1"/>
  <c r="AG273" i="1"/>
  <c r="AF277" i="1"/>
  <c r="AG282" i="1"/>
  <c r="AF284" i="1"/>
  <c r="AG284" i="1"/>
  <c r="AE288" i="1"/>
  <c r="AE289" i="1"/>
  <c r="AG289" i="1"/>
  <c r="AG293" i="1"/>
  <c r="AG297" i="1"/>
  <c r="AE307" i="1"/>
  <c r="AD307" i="1"/>
  <c r="AG307" i="1"/>
  <c r="AC307" i="1"/>
  <c r="AD312" i="1"/>
  <c r="AG312" i="1"/>
  <c r="AC312" i="1"/>
  <c r="AF312" i="1"/>
  <c r="AE312" i="1"/>
  <c r="AF314" i="1"/>
  <c r="AE323" i="1"/>
  <c r="AD323" i="1"/>
  <c r="AG323" i="1"/>
  <c r="AC323" i="1"/>
  <c r="AD328" i="1"/>
  <c r="AG328" i="1"/>
  <c r="AC328" i="1"/>
  <c r="AF328" i="1"/>
  <c r="AE328" i="1"/>
  <c r="AF330" i="1"/>
  <c r="AE339" i="1"/>
  <c r="AD339" i="1"/>
  <c r="AG339" i="1"/>
  <c r="AC339" i="1"/>
  <c r="AD344" i="1"/>
  <c r="AG344" i="1"/>
  <c r="AC344" i="1"/>
  <c r="AF344" i="1"/>
  <c r="AE344" i="1"/>
  <c r="AF346" i="1"/>
  <c r="AE355" i="1"/>
  <c r="AD355" i="1"/>
  <c r="AG355" i="1"/>
  <c r="AC355" i="1"/>
  <c r="AD360" i="1"/>
  <c r="AG360" i="1"/>
  <c r="AC360" i="1"/>
  <c r="AF360" i="1"/>
  <c r="AE360" i="1"/>
  <c r="AF362" i="1"/>
  <c r="AE371" i="1"/>
  <c r="AD371" i="1"/>
  <c r="AG371" i="1"/>
  <c r="AC371" i="1"/>
  <c r="AD376" i="1"/>
  <c r="AG376" i="1"/>
  <c r="AC376" i="1"/>
  <c r="AF376" i="1"/>
  <c r="AE376" i="1"/>
  <c r="AF378" i="1"/>
  <c r="AE387" i="1"/>
  <c r="AD387" i="1"/>
  <c r="AG387" i="1"/>
  <c r="AC387" i="1"/>
  <c r="AD392" i="1"/>
  <c r="AG392" i="1"/>
  <c r="AC392" i="1"/>
  <c r="AF392" i="1"/>
  <c r="AE392" i="1"/>
  <c r="AF394" i="1"/>
  <c r="AE403" i="1"/>
  <c r="AD403" i="1"/>
  <c r="AG403" i="1"/>
  <c r="AC403" i="1"/>
  <c r="AF406" i="1"/>
  <c r="AE406" i="1"/>
  <c r="AD406" i="1"/>
  <c r="AF414" i="1"/>
  <c r="AE414" i="1"/>
  <c r="AD414" i="1"/>
  <c r="AF422" i="1"/>
  <c r="AE422" i="1"/>
  <c r="AD422" i="1"/>
  <c r="AF430" i="1"/>
  <c r="AE430" i="1"/>
  <c r="AD430" i="1"/>
  <c r="AF438" i="1"/>
  <c r="AE438" i="1"/>
  <c r="AD438" i="1"/>
  <c r="AF446" i="1"/>
  <c r="AE446" i="1"/>
  <c r="AD446" i="1"/>
  <c r="AF454" i="1"/>
  <c r="AE454" i="1"/>
  <c r="AD454" i="1"/>
  <c r="AF462" i="1"/>
  <c r="AE462" i="1"/>
  <c r="AD462" i="1"/>
  <c r="AF470" i="1"/>
  <c r="AE470" i="1"/>
  <c r="AD470" i="1"/>
  <c r="AF478" i="1"/>
  <c r="AE478" i="1"/>
  <c r="AD478" i="1"/>
  <c r="AF486" i="1"/>
  <c r="AE486" i="1"/>
  <c r="AD486" i="1"/>
  <c r="AC11" i="1"/>
  <c r="AG11" i="1"/>
  <c r="AE13" i="1"/>
  <c r="M14" i="1"/>
  <c r="R14" i="1" s="1"/>
  <c r="AC15" i="1"/>
  <c r="AG15" i="1"/>
  <c r="M18" i="1"/>
  <c r="R18" i="1" s="1"/>
  <c r="AC19" i="1"/>
  <c r="AG19" i="1"/>
  <c r="AE21" i="1"/>
  <c r="M22" i="1"/>
  <c r="R22" i="1" s="1"/>
  <c r="AC23" i="1"/>
  <c r="AG23" i="1"/>
  <c r="AE25" i="1"/>
  <c r="M26" i="1"/>
  <c r="R26" i="1" s="1"/>
  <c r="AC27" i="1"/>
  <c r="AG27" i="1"/>
  <c r="AE29" i="1"/>
  <c r="M30" i="1"/>
  <c r="R30" i="1" s="1"/>
  <c r="AC31" i="1"/>
  <c r="AG31" i="1"/>
  <c r="AE33" i="1"/>
  <c r="M34" i="1"/>
  <c r="R34" i="1" s="1"/>
  <c r="AC35" i="1"/>
  <c r="AG35" i="1"/>
  <c r="AE37" i="1"/>
  <c r="M38" i="1"/>
  <c r="R38" i="1" s="1"/>
  <c r="AC39" i="1"/>
  <c r="AG39" i="1"/>
  <c r="AE41" i="1"/>
  <c r="M42" i="1"/>
  <c r="R42" i="1" s="1"/>
  <c r="AC43" i="1"/>
  <c r="AG43" i="1"/>
  <c r="AE45" i="1"/>
  <c r="M46" i="1"/>
  <c r="R46" i="1" s="1"/>
  <c r="AC47" i="1"/>
  <c r="AG47" i="1"/>
  <c r="AE49" i="1"/>
  <c r="M50" i="1"/>
  <c r="R50" i="1" s="1"/>
  <c r="AC51" i="1"/>
  <c r="AG51" i="1"/>
  <c r="AE53" i="1"/>
  <c r="M54" i="1"/>
  <c r="R54" i="1" s="1"/>
  <c r="AC55" i="1"/>
  <c r="AG55" i="1"/>
  <c r="AE57" i="1"/>
  <c r="M58" i="1"/>
  <c r="R58" i="1" s="1"/>
  <c r="AC59" i="1"/>
  <c r="AG59" i="1"/>
  <c r="AE61" i="1"/>
  <c r="M62" i="1"/>
  <c r="R62" i="1" s="1"/>
  <c r="AC63" i="1"/>
  <c r="AG63" i="1"/>
  <c r="AE65" i="1"/>
  <c r="M66" i="1"/>
  <c r="R66" i="1" s="1"/>
  <c r="AC67" i="1"/>
  <c r="AG67" i="1"/>
  <c r="AE69" i="1"/>
  <c r="M70" i="1"/>
  <c r="R70" i="1" s="1"/>
  <c r="AC71" i="1"/>
  <c r="AG71" i="1"/>
  <c r="AE73" i="1"/>
  <c r="M74" i="1"/>
  <c r="R74" i="1" s="1"/>
  <c r="AC75" i="1"/>
  <c r="AG75" i="1"/>
  <c r="AE77" i="1"/>
  <c r="M78" i="1"/>
  <c r="R78" i="1" s="1"/>
  <c r="AC79" i="1"/>
  <c r="AG79" i="1"/>
  <c r="AE81" i="1"/>
  <c r="M82" i="1"/>
  <c r="R82" i="1" s="1"/>
  <c r="AC83" i="1"/>
  <c r="AG83" i="1"/>
  <c r="AE85" i="1"/>
  <c r="M86" i="1"/>
  <c r="R86" i="1" s="1"/>
  <c r="AC87" i="1"/>
  <c r="AG87" i="1"/>
  <c r="AE89" i="1"/>
  <c r="M90" i="1"/>
  <c r="R90" i="1" s="1"/>
  <c r="AC91" i="1"/>
  <c r="AG91" i="1"/>
  <c r="AE93" i="1"/>
  <c r="M94" i="1"/>
  <c r="R94" i="1" s="1"/>
  <c r="AC95" i="1"/>
  <c r="AG95" i="1"/>
  <c r="AE97" i="1"/>
  <c r="M98" i="1"/>
  <c r="R98" i="1" s="1"/>
  <c r="AC99" i="1"/>
  <c r="AG99" i="1"/>
  <c r="AE101" i="1"/>
  <c r="M102" i="1"/>
  <c r="R102" i="1" s="1"/>
  <c r="AC103" i="1"/>
  <c r="AG103" i="1"/>
  <c r="AE105" i="1"/>
  <c r="M106" i="1"/>
  <c r="R106" i="1" s="1"/>
  <c r="AC107" i="1"/>
  <c r="AG107" i="1"/>
  <c r="AE109" i="1"/>
  <c r="M110" i="1"/>
  <c r="R110" i="1" s="1"/>
  <c r="AC111" i="1"/>
  <c r="AG111" i="1"/>
  <c r="AE113" i="1"/>
  <c r="M114" i="1"/>
  <c r="R114" i="1" s="1"/>
  <c r="AC115" i="1"/>
  <c r="AG115" i="1"/>
  <c r="AE117" i="1"/>
  <c r="M118" i="1"/>
  <c r="R118" i="1" s="1"/>
  <c r="AC119" i="1"/>
  <c r="AG119" i="1"/>
  <c r="AE121" i="1"/>
  <c r="M122" i="1"/>
  <c r="R122" i="1" s="1"/>
  <c r="AC123" i="1"/>
  <c r="AG123" i="1"/>
  <c r="AE125" i="1"/>
  <c r="M126" i="1"/>
  <c r="R126" i="1" s="1"/>
  <c r="AC127" i="1"/>
  <c r="AG127" i="1"/>
  <c r="AE129" i="1"/>
  <c r="M130" i="1"/>
  <c r="R130" i="1" s="1"/>
  <c r="AC131" i="1"/>
  <c r="AG131" i="1"/>
  <c r="AE133" i="1"/>
  <c r="M134" i="1"/>
  <c r="R134" i="1" s="1"/>
  <c r="AC135" i="1"/>
  <c r="AG135" i="1"/>
  <c r="AE137" i="1"/>
  <c r="M138" i="1"/>
  <c r="R138" i="1" s="1"/>
  <c r="AC139" i="1"/>
  <c r="AG139" i="1"/>
  <c r="AE141" i="1"/>
  <c r="M142" i="1"/>
  <c r="R142" i="1" s="1"/>
  <c r="AC143" i="1"/>
  <c r="AG143" i="1"/>
  <c r="AE145" i="1"/>
  <c r="M146" i="1"/>
  <c r="R146" i="1" s="1"/>
  <c r="AC147" i="1"/>
  <c r="AG147" i="1"/>
  <c r="AE149" i="1"/>
  <c r="M150" i="1"/>
  <c r="R150" i="1" s="1"/>
  <c r="AC151" i="1"/>
  <c r="AG151" i="1"/>
  <c r="AE153" i="1"/>
  <c r="M154" i="1"/>
  <c r="R154" i="1" s="1"/>
  <c r="AC155" i="1"/>
  <c r="AG155" i="1"/>
  <c r="AE157" i="1"/>
  <c r="M158" i="1"/>
  <c r="R158" i="1" s="1"/>
  <c r="AC159" i="1"/>
  <c r="AG159" i="1"/>
  <c r="AE161" i="1"/>
  <c r="M162" i="1"/>
  <c r="R162" i="1" s="1"/>
  <c r="AC163" i="1"/>
  <c r="AG163" i="1"/>
  <c r="AE165" i="1"/>
  <c r="M166" i="1"/>
  <c r="R166" i="1" s="1"/>
  <c r="AC167" i="1"/>
  <c r="AG167" i="1"/>
  <c r="AE169" i="1"/>
  <c r="M170" i="1"/>
  <c r="R170" i="1" s="1"/>
  <c r="AC171" i="1"/>
  <c r="AG171" i="1"/>
  <c r="AE173" i="1"/>
  <c r="M174" i="1"/>
  <c r="R174" i="1" s="1"/>
  <c r="AC175" i="1"/>
  <c r="AG175" i="1"/>
  <c r="AE177" i="1"/>
  <c r="M178" i="1"/>
  <c r="R178" i="1" s="1"/>
  <c r="AC179" i="1"/>
  <c r="AG179" i="1"/>
  <c r="AE181" i="1"/>
  <c r="M182" i="1"/>
  <c r="R182" i="1" s="1"/>
  <c r="AC183" i="1"/>
  <c r="AG183" i="1"/>
  <c r="AE185" i="1"/>
  <c r="M186" i="1"/>
  <c r="R186" i="1" s="1"/>
  <c r="AC187" i="1"/>
  <c r="AG187" i="1"/>
  <c r="AE189" i="1"/>
  <c r="M190" i="1"/>
  <c r="R190" i="1" s="1"/>
  <c r="AC191" i="1"/>
  <c r="AG191" i="1"/>
  <c r="AE193" i="1"/>
  <c r="M194" i="1"/>
  <c r="R194" i="1" s="1"/>
  <c r="AC195" i="1"/>
  <c r="AG195" i="1"/>
  <c r="AE197" i="1"/>
  <c r="M198" i="1"/>
  <c r="R198" i="1" s="1"/>
  <c r="AC199" i="1"/>
  <c r="AG199" i="1"/>
  <c r="AE201" i="1"/>
  <c r="M202" i="1"/>
  <c r="R202" i="1" s="1"/>
  <c r="AC203" i="1"/>
  <c r="AG203" i="1"/>
  <c r="AF210" i="1"/>
  <c r="M212" i="1"/>
  <c r="R212" i="1" s="1"/>
  <c r="AE213" i="1"/>
  <c r="AG213" i="1"/>
  <c r="M214" i="1"/>
  <c r="R214" i="1" s="1"/>
  <c r="M217" i="1"/>
  <c r="R217" i="1" s="1"/>
  <c r="AC218" i="1"/>
  <c r="AC220" i="1"/>
  <c r="AF224" i="1"/>
  <c r="AG224" i="1"/>
  <c r="AC225" i="1"/>
  <c r="M228" i="1"/>
  <c r="R228" i="1" s="1"/>
  <c r="AE229" i="1"/>
  <c r="AG229" i="1"/>
  <c r="M230" i="1"/>
  <c r="R230" i="1" s="1"/>
  <c r="M233" i="1"/>
  <c r="R233" i="1" s="1"/>
  <c r="AC234" i="1"/>
  <c r="AC236" i="1"/>
  <c r="AF240" i="1"/>
  <c r="AG240" i="1"/>
  <c r="AC241" i="1"/>
  <c r="M244" i="1"/>
  <c r="R244" i="1" s="1"/>
  <c r="AE245" i="1"/>
  <c r="AG245" i="1"/>
  <c r="M246" i="1"/>
  <c r="R246" i="1" s="1"/>
  <c r="M249" i="1"/>
  <c r="R249" i="1" s="1"/>
  <c r="AC250" i="1"/>
  <c r="AC252" i="1"/>
  <c r="AF256" i="1"/>
  <c r="AG256" i="1"/>
  <c r="AC257" i="1"/>
  <c r="M260" i="1"/>
  <c r="R260" i="1" s="1"/>
  <c r="AE260" i="1"/>
  <c r="AE261" i="1"/>
  <c r="AG261" i="1"/>
  <c r="M262" i="1"/>
  <c r="R262" i="1" s="1"/>
  <c r="M265" i="1"/>
  <c r="R265" i="1" s="1"/>
  <c r="AC266" i="1"/>
  <c r="AC268" i="1"/>
  <c r="AF272" i="1"/>
  <c r="AG272" i="1"/>
  <c r="AC273" i="1"/>
  <c r="M276" i="1"/>
  <c r="R276" i="1" s="1"/>
  <c r="AE276" i="1"/>
  <c r="AE277" i="1"/>
  <c r="AG277" i="1"/>
  <c r="M278" i="1"/>
  <c r="R278" i="1" s="1"/>
  <c r="M281" i="1"/>
  <c r="R281" i="1" s="1"/>
  <c r="AC282" i="1"/>
  <c r="AC284" i="1"/>
  <c r="AF288" i="1"/>
  <c r="AG288" i="1"/>
  <c r="AC289" i="1"/>
  <c r="M292" i="1"/>
  <c r="R292" i="1" s="1"/>
  <c r="AF293" i="1"/>
  <c r="AE293" i="1"/>
  <c r="AE294" i="1"/>
  <c r="AD294" i="1"/>
  <c r="AG296" i="1"/>
  <c r="AC296" i="1"/>
  <c r="AF296" i="1"/>
  <c r="AD296" i="1"/>
  <c r="AF297" i="1"/>
  <c r="AE298" i="1"/>
  <c r="AD298" i="1"/>
  <c r="AD300" i="1"/>
  <c r="AG300" i="1"/>
  <c r="AC300" i="1"/>
  <c r="AF300" i="1"/>
  <c r="AE300" i="1"/>
  <c r="AF302" i="1"/>
  <c r="AG305" i="1"/>
  <c r="AD305" i="1"/>
  <c r="M306" i="1"/>
  <c r="R306" i="1" s="1"/>
  <c r="AF307" i="1"/>
  <c r="AE311" i="1"/>
  <c r="AD311" i="1"/>
  <c r="AG311" i="1"/>
  <c r="AC311" i="1"/>
  <c r="AF313" i="1"/>
  <c r="AD316" i="1"/>
  <c r="AG316" i="1"/>
  <c r="AC316" i="1"/>
  <c r="AF316" i="1"/>
  <c r="AE316" i="1"/>
  <c r="AF318" i="1"/>
  <c r="AG321" i="1"/>
  <c r="AD321" i="1"/>
  <c r="M322" i="1"/>
  <c r="R322" i="1" s="1"/>
  <c r="AF323" i="1"/>
  <c r="AE327" i="1"/>
  <c r="AD327" i="1"/>
  <c r="AG327" i="1"/>
  <c r="AC327" i="1"/>
  <c r="AF329" i="1"/>
  <c r="AD332" i="1"/>
  <c r="AG332" i="1"/>
  <c r="AC332" i="1"/>
  <c r="AF332" i="1"/>
  <c r="AE332" i="1"/>
  <c r="AF334" i="1"/>
  <c r="AG337" i="1"/>
  <c r="AD337" i="1"/>
  <c r="M338" i="1"/>
  <c r="R338" i="1" s="1"/>
  <c r="AF339" i="1"/>
  <c r="AE343" i="1"/>
  <c r="AD343" i="1"/>
  <c r="AG343" i="1"/>
  <c r="AC343" i="1"/>
  <c r="AF345" i="1"/>
  <c r="AD348" i="1"/>
  <c r="AG348" i="1"/>
  <c r="AC348" i="1"/>
  <c r="AF348" i="1"/>
  <c r="AE348" i="1"/>
  <c r="AF350" i="1"/>
  <c r="AG353" i="1"/>
  <c r="AD353" i="1"/>
  <c r="M354" i="1"/>
  <c r="R354" i="1" s="1"/>
  <c r="AF355" i="1"/>
  <c r="AE359" i="1"/>
  <c r="AD359" i="1"/>
  <c r="AG359" i="1"/>
  <c r="AC359" i="1"/>
  <c r="AF361" i="1"/>
  <c r="AD364" i="1"/>
  <c r="AG364" i="1"/>
  <c r="AC364" i="1"/>
  <c r="AF364" i="1"/>
  <c r="AE364" i="1"/>
  <c r="AF366" i="1"/>
  <c r="AG369" i="1"/>
  <c r="AD369" i="1"/>
  <c r="M370" i="1"/>
  <c r="R370" i="1" s="1"/>
  <c r="AF371" i="1"/>
  <c r="AE375" i="1"/>
  <c r="AD375" i="1"/>
  <c r="AG375" i="1"/>
  <c r="AC375" i="1"/>
  <c r="AF377" i="1"/>
  <c r="AD380" i="1"/>
  <c r="AG380" i="1"/>
  <c r="AC380" i="1"/>
  <c r="AF380" i="1"/>
  <c r="AE380" i="1"/>
  <c r="AF382" i="1"/>
  <c r="AG385" i="1"/>
  <c r="AD385" i="1"/>
  <c r="M386" i="1"/>
  <c r="R386" i="1" s="1"/>
  <c r="AF387" i="1"/>
  <c r="AE391" i="1"/>
  <c r="AD391" i="1"/>
  <c r="AG391" i="1"/>
  <c r="AC391" i="1"/>
  <c r="AF393" i="1"/>
  <c r="AD396" i="1"/>
  <c r="AG396" i="1"/>
  <c r="AC396" i="1"/>
  <c r="AF396" i="1"/>
  <c r="AE396" i="1"/>
  <c r="AF398" i="1"/>
  <c r="AG401" i="1"/>
  <c r="AD401" i="1"/>
  <c r="M402" i="1"/>
  <c r="R402" i="1" s="1"/>
  <c r="AF403" i="1"/>
  <c r="M406" i="1"/>
  <c r="R406" i="1" s="1"/>
  <c r="AE411" i="1"/>
  <c r="AD411" i="1"/>
  <c r="AG411" i="1"/>
  <c r="AC411" i="1"/>
  <c r="AD412" i="1"/>
  <c r="AG412" i="1"/>
  <c r="AC412" i="1"/>
  <c r="AF412" i="1"/>
  <c r="M414" i="1"/>
  <c r="R414" i="1" s="1"/>
  <c r="AE419" i="1"/>
  <c r="AD419" i="1"/>
  <c r="AG419" i="1"/>
  <c r="AC419" i="1"/>
  <c r="AD420" i="1"/>
  <c r="AG420" i="1"/>
  <c r="AC420" i="1"/>
  <c r="AF420" i="1"/>
  <c r="M422" i="1"/>
  <c r="R422" i="1" s="1"/>
  <c r="AE427" i="1"/>
  <c r="AD427" i="1"/>
  <c r="AG427" i="1"/>
  <c r="AC427" i="1"/>
  <c r="AD428" i="1"/>
  <c r="AG428" i="1"/>
  <c r="AC428" i="1"/>
  <c r="AF428" i="1"/>
  <c r="M430" i="1"/>
  <c r="R430" i="1" s="1"/>
  <c r="AE435" i="1"/>
  <c r="AD435" i="1"/>
  <c r="AG435" i="1"/>
  <c r="AC435" i="1"/>
  <c r="AD436" i="1"/>
  <c r="AG436" i="1"/>
  <c r="AC436" i="1"/>
  <c r="AF436" i="1"/>
  <c r="M438" i="1"/>
  <c r="R438" i="1" s="1"/>
  <c r="AE443" i="1"/>
  <c r="AD443" i="1"/>
  <c r="AG443" i="1"/>
  <c r="AC443" i="1"/>
  <c r="AD444" i="1"/>
  <c r="AG444" i="1"/>
  <c r="AC444" i="1"/>
  <c r="AF444" i="1"/>
  <c r="M446" i="1"/>
  <c r="R446" i="1" s="1"/>
  <c r="AE451" i="1"/>
  <c r="AD451" i="1"/>
  <c r="AG451" i="1"/>
  <c r="AC451" i="1"/>
  <c r="AD452" i="1"/>
  <c r="AG452" i="1"/>
  <c r="AC452" i="1"/>
  <c r="AF452" i="1"/>
  <c r="M454" i="1"/>
  <c r="R454" i="1" s="1"/>
  <c r="AE459" i="1"/>
  <c r="AD459" i="1"/>
  <c r="AG459" i="1"/>
  <c r="AC459" i="1"/>
  <c r="AD460" i="1"/>
  <c r="AG460" i="1"/>
  <c r="AC460" i="1"/>
  <c r="AF460" i="1"/>
  <c r="M462" i="1"/>
  <c r="R462" i="1" s="1"/>
  <c r="AE467" i="1"/>
  <c r="AD467" i="1"/>
  <c r="AG467" i="1"/>
  <c r="AC467" i="1"/>
  <c r="AD468" i="1"/>
  <c r="AG468" i="1"/>
  <c r="AC468" i="1"/>
  <c r="AF468" i="1"/>
  <c r="M470" i="1"/>
  <c r="R470" i="1" s="1"/>
  <c r="AE475" i="1"/>
  <c r="AD475" i="1"/>
  <c r="AG475" i="1"/>
  <c r="AC475" i="1"/>
  <c r="AD476" i="1"/>
  <c r="AG476" i="1"/>
  <c r="AC476" i="1"/>
  <c r="AF476" i="1"/>
  <c r="M478" i="1"/>
  <c r="R478" i="1" s="1"/>
  <c r="AE483" i="1"/>
  <c r="AD483" i="1"/>
  <c r="AG483" i="1"/>
  <c r="AC483" i="1"/>
  <c r="AD484" i="1"/>
  <c r="AG484" i="1"/>
  <c r="AC484" i="1"/>
  <c r="AF484" i="1"/>
  <c r="M486" i="1"/>
  <c r="R486" i="1" s="1"/>
  <c r="AE491" i="1"/>
  <c r="AD491" i="1"/>
  <c r="AG491" i="1"/>
  <c r="AC491" i="1"/>
  <c r="AD492" i="1"/>
  <c r="AG492" i="1"/>
  <c r="AC492" i="1"/>
  <c r="AF492" i="1"/>
  <c r="M494" i="1"/>
  <c r="R494" i="1" s="1"/>
  <c r="AE499" i="1"/>
  <c r="AD499" i="1"/>
  <c r="AG499" i="1"/>
  <c r="AC499" i="1"/>
  <c r="AD500" i="1"/>
  <c r="AG500" i="1"/>
  <c r="AC500" i="1"/>
  <c r="AF500" i="1"/>
  <c r="M502" i="1"/>
  <c r="R502" i="1" s="1"/>
  <c r="AE507" i="1"/>
  <c r="AD507" i="1"/>
  <c r="AG507" i="1"/>
  <c r="AC507" i="1"/>
  <c r="AD508" i="1"/>
  <c r="AG508" i="1"/>
  <c r="AC508" i="1"/>
  <c r="AF508" i="1"/>
  <c r="M510" i="1"/>
  <c r="R510" i="1" s="1"/>
  <c r="AE515" i="1"/>
  <c r="AD515" i="1"/>
  <c r="AG515" i="1"/>
  <c r="AC515" i="1"/>
  <c r="AD516" i="1"/>
  <c r="AG516" i="1"/>
  <c r="AC516" i="1"/>
  <c r="AF516" i="1"/>
  <c r="M518" i="1"/>
  <c r="R518" i="1" s="1"/>
  <c r="AE523" i="1"/>
  <c r="AD523" i="1"/>
  <c r="AG523" i="1"/>
  <c r="AC523" i="1"/>
  <c r="AD524" i="1"/>
  <c r="AG524" i="1"/>
  <c r="AC524" i="1"/>
  <c r="AF524" i="1"/>
  <c r="M526" i="1"/>
  <c r="R526" i="1" s="1"/>
  <c r="AD531" i="1"/>
  <c r="AF531" i="1"/>
  <c r="AE531" i="1"/>
  <c r="AC531" i="1"/>
  <c r="AF533" i="1"/>
  <c r="AE533" i="1"/>
  <c r="AD533" i="1"/>
  <c r="AC533" i="1"/>
  <c r="AF539" i="1"/>
  <c r="AG544" i="1"/>
  <c r="AC544" i="1"/>
  <c r="AE544" i="1"/>
  <c r="AD544" i="1"/>
  <c r="AF544" i="1"/>
  <c r="AG547" i="1"/>
  <c r="AD559" i="1"/>
  <c r="AG559" i="1"/>
  <c r="AF559" i="1"/>
  <c r="AE559" i="1"/>
  <c r="M562" i="1"/>
  <c r="R562" i="1" s="1"/>
  <c r="AD567" i="1"/>
  <c r="AE567" i="1"/>
  <c r="AC567" i="1"/>
  <c r="AG567" i="1"/>
  <c r="AG568" i="1"/>
  <c r="AC568" i="1"/>
  <c r="AF568" i="1"/>
  <c r="AE568" i="1"/>
  <c r="AE569" i="1"/>
  <c r="AE570" i="1"/>
  <c r="AF570" i="1"/>
  <c r="AD570" i="1"/>
  <c r="AC570" i="1"/>
  <c r="AD574" i="1"/>
  <c r="AF574" i="1"/>
  <c r="AF578" i="1"/>
  <c r="AG580" i="1"/>
  <c r="AC580" i="1"/>
  <c r="AD580" i="1"/>
  <c r="AF580" i="1"/>
  <c r="AD585" i="1"/>
  <c r="AG586" i="1"/>
  <c r="Y589" i="1"/>
  <c r="M589" i="1"/>
  <c r="R589" i="1" s="1"/>
  <c r="AD595" i="1"/>
  <c r="AF595" i="1"/>
  <c r="AE595" i="1"/>
  <c r="AC595" i="1"/>
  <c r="AF597" i="1"/>
  <c r="AE597" i="1"/>
  <c r="AD597" i="1"/>
  <c r="AC597" i="1"/>
  <c r="AF603" i="1"/>
  <c r="AG608" i="1"/>
  <c r="AC608" i="1"/>
  <c r="AE608" i="1"/>
  <c r="AD608" i="1"/>
  <c r="AF608" i="1"/>
  <c r="AG611" i="1"/>
  <c r="AD623" i="1"/>
  <c r="AG623" i="1"/>
  <c r="AF623" i="1"/>
  <c r="AE623" i="1"/>
  <c r="M626" i="1"/>
  <c r="R626" i="1" s="1"/>
  <c r="AD631" i="1"/>
  <c r="AE631" i="1"/>
  <c r="AC631" i="1"/>
  <c r="AG631" i="1"/>
  <c r="AG632" i="1"/>
  <c r="AC632" i="1"/>
  <c r="AF632" i="1"/>
  <c r="AE632" i="1"/>
  <c r="AE633" i="1"/>
  <c r="AE634" i="1"/>
  <c r="AF634" i="1"/>
  <c r="AD634" i="1"/>
  <c r="AC634" i="1"/>
  <c r="AD638" i="1"/>
  <c r="AF638" i="1"/>
  <c r="AF642" i="1"/>
  <c r="AG644" i="1"/>
  <c r="AC644" i="1"/>
  <c r="AD644" i="1"/>
  <c r="AF644" i="1"/>
  <c r="AD657" i="1"/>
  <c r="AG657" i="1"/>
  <c r="AC657" i="1"/>
  <c r="AF657" i="1"/>
  <c r="AE657" i="1"/>
  <c r="AE664" i="1"/>
  <c r="AD664" i="1"/>
  <c r="AG664" i="1"/>
  <c r="AC664" i="1"/>
  <c r="AF664" i="1"/>
  <c r="AE677" i="1"/>
  <c r="AD678" i="1"/>
  <c r="AD689" i="1"/>
  <c r="AG689" i="1"/>
  <c r="AC689" i="1"/>
  <c r="AF689" i="1"/>
  <c r="AE689" i="1"/>
  <c r="AE696" i="1"/>
  <c r="AD696" i="1"/>
  <c r="AG696" i="1"/>
  <c r="AC696" i="1"/>
  <c r="AF696" i="1"/>
  <c r="AE709" i="1"/>
  <c r="AD710" i="1"/>
  <c r="AD721" i="1"/>
  <c r="AG721" i="1"/>
  <c r="AC721" i="1"/>
  <c r="AF721" i="1"/>
  <c r="AE721" i="1"/>
  <c r="AE728" i="1"/>
  <c r="AD728" i="1"/>
  <c r="AG728" i="1"/>
  <c r="AC728" i="1"/>
  <c r="AF728" i="1"/>
  <c r="AE741" i="1"/>
  <c r="AD753" i="1"/>
  <c r="AG753" i="1"/>
  <c r="AC753" i="1"/>
  <c r="AF753" i="1"/>
  <c r="AE753" i="1"/>
  <c r="AE760" i="1"/>
  <c r="AD760" i="1"/>
  <c r="AG760" i="1"/>
  <c r="AC760" i="1"/>
  <c r="AF760" i="1"/>
  <c r="AE773" i="1"/>
  <c r="AD774" i="1"/>
  <c r="AD785" i="1"/>
  <c r="AG785" i="1"/>
  <c r="AC785" i="1"/>
  <c r="AF785" i="1"/>
  <c r="AE785" i="1"/>
  <c r="AE792" i="1"/>
  <c r="AD792" i="1"/>
  <c r="AG792" i="1"/>
  <c r="AC792" i="1"/>
  <c r="AF792" i="1"/>
  <c r="AE821" i="1"/>
  <c r="AD822" i="1"/>
  <c r="AD833" i="1"/>
  <c r="AG833" i="1"/>
  <c r="AC833" i="1"/>
  <c r="AF833" i="1"/>
  <c r="AE833" i="1"/>
  <c r="AE840" i="1"/>
  <c r="AD840" i="1"/>
  <c r="AG840" i="1"/>
  <c r="AC840" i="1"/>
  <c r="AF840" i="1"/>
  <c r="AE848" i="1"/>
  <c r="AD848" i="1"/>
  <c r="AG848" i="1"/>
  <c r="AC848" i="1"/>
  <c r="AF848" i="1"/>
  <c r="AE869" i="1"/>
  <c r="AD870" i="1"/>
  <c r="AD873" i="1"/>
  <c r="AG873" i="1"/>
  <c r="AC873" i="1"/>
  <c r="AF873" i="1"/>
  <c r="AE873" i="1"/>
  <c r="AE885" i="1"/>
  <c r="AD886" i="1"/>
  <c r="AD897" i="1"/>
  <c r="AG897" i="1"/>
  <c r="AC897" i="1"/>
  <c r="AF897" i="1"/>
  <c r="AE897" i="1"/>
  <c r="AE904" i="1"/>
  <c r="AD904" i="1"/>
  <c r="AG904" i="1"/>
  <c r="AC904" i="1"/>
  <c r="AF904" i="1"/>
  <c r="AE925" i="1"/>
  <c r="AD929" i="1"/>
  <c r="AG929" i="1"/>
  <c r="AC929" i="1"/>
  <c r="AF929" i="1"/>
  <c r="AE929" i="1"/>
  <c r="AE936" i="1"/>
  <c r="AD936" i="1"/>
  <c r="AG936" i="1"/>
  <c r="AC936" i="1"/>
  <c r="AF936" i="1"/>
  <c r="AE949" i="1"/>
  <c r="AD950" i="1"/>
  <c r="AD961" i="1"/>
  <c r="AG961" i="1"/>
  <c r="AC961" i="1"/>
  <c r="AF961" i="1"/>
  <c r="AE961" i="1"/>
  <c r="AE968" i="1"/>
  <c r="AD968" i="1"/>
  <c r="AG968" i="1"/>
  <c r="AC968" i="1"/>
  <c r="AF968" i="1"/>
  <c r="AE981" i="1"/>
  <c r="AD982" i="1"/>
  <c r="AD993" i="1"/>
  <c r="AG993" i="1"/>
  <c r="AC993" i="1"/>
  <c r="AF993" i="1"/>
  <c r="AE993" i="1"/>
  <c r="AE1000" i="1"/>
  <c r="AD1000" i="1"/>
  <c r="AG1000" i="1"/>
  <c r="AC1000" i="1"/>
  <c r="AF1000" i="1"/>
  <c r="AE1013" i="1"/>
  <c r="AD1014" i="1"/>
  <c r="AD1025" i="1"/>
  <c r="AG1025" i="1"/>
  <c r="AC1025" i="1"/>
  <c r="AF1025" i="1"/>
  <c r="AE1025" i="1"/>
  <c r="AE1032" i="1"/>
  <c r="AD1032" i="1"/>
  <c r="AG1032" i="1"/>
  <c r="AC1032" i="1"/>
  <c r="AF1032" i="1"/>
  <c r="AE1053" i="1"/>
  <c r="AD1054" i="1"/>
  <c r="AD1057" i="1"/>
  <c r="AG1057" i="1"/>
  <c r="AC1057" i="1"/>
  <c r="AF1057" i="1"/>
  <c r="AE1057" i="1"/>
  <c r="AE1064" i="1"/>
  <c r="AD1064" i="1"/>
  <c r="AG1064" i="1"/>
  <c r="AC1064" i="1"/>
  <c r="AF1064" i="1"/>
  <c r="AF27" i="1"/>
  <c r="AF51" i="1"/>
  <c r="AF55" i="1"/>
  <c r="AF59" i="1"/>
  <c r="AF67" i="1"/>
  <c r="AF71" i="1"/>
  <c r="AF83" i="1"/>
  <c r="AF91" i="1"/>
  <c r="AF95" i="1"/>
  <c r="AF135" i="1"/>
  <c r="AF139" i="1"/>
  <c r="AF143" i="1"/>
  <c r="AF155" i="1"/>
  <c r="AF175" i="1"/>
  <c r="AF199" i="1"/>
  <c r="AF204" i="1"/>
  <c r="AG204" i="1"/>
  <c r="AE209" i="1"/>
  <c r="AD11" i="1"/>
  <c r="AF13" i="1"/>
  <c r="AD23" i="1"/>
  <c r="AD27" i="1"/>
  <c r="AD31" i="1"/>
  <c r="AD39" i="1"/>
  <c r="AD47" i="1"/>
  <c r="AD59" i="1"/>
  <c r="AF65" i="1"/>
  <c r="AD71" i="1"/>
  <c r="AD75" i="1"/>
  <c r="AF85" i="1"/>
  <c r="AD87" i="1"/>
  <c r="AD91" i="1"/>
  <c r="AD103" i="1"/>
  <c r="AD107" i="1"/>
  <c r="AF113" i="1"/>
  <c r="AD115" i="1"/>
  <c r="AD119" i="1"/>
  <c r="AD123" i="1"/>
  <c r="AD127" i="1"/>
  <c r="AF129" i="1"/>
  <c r="AD131" i="1"/>
  <c r="AD135" i="1"/>
  <c r="AF137" i="1"/>
  <c r="AD139" i="1"/>
  <c r="AF145" i="1"/>
  <c r="AD159" i="1"/>
  <c r="AD163" i="1"/>
  <c r="AD171" i="1"/>
  <c r="AF181" i="1"/>
  <c r="AD187" i="1"/>
  <c r="AD199" i="1"/>
  <c r="AF201" i="1"/>
  <c r="AE216" i="1"/>
  <c r="AD220" i="1"/>
  <c r="AD226" i="1"/>
  <c r="AE233" i="1"/>
  <c r="AG233" i="1"/>
  <c r="AE234" i="1"/>
  <c r="AD241" i="1"/>
  <c r="AD242" i="1"/>
  <c r="AF244" i="1"/>
  <c r="AE249" i="1"/>
  <c r="AG249" i="1"/>
  <c r="AE250" i="1"/>
  <c r="AD252" i="1"/>
  <c r="AF253" i="1"/>
  <c r="AD257" i="1"/>
  <c r="AD258" i="1"/>
  <c r="AE265" i="1"/>
  <c r="AG265" i="1"/>
  <c r="AE266" i="1"/>
  <c r="AF269" i="1"/>
  <c r="AE281" i="1"/>
  <c r="AG281" i="1"/>
  <c r="AE282" i="1"/>
  <c r="AD284" i="1"/>
  <c r="AF292" i="1"/>
  <c r="AF322" i="1"/>
  <c r="AG330" i="1"/>
  <c r="AE331" i="1"/>
  <c r="AD331" i="1"/>
  <c r="AG331" i="1"/>
  <c r="AC331" i="1"/>
  <c r="AD336" i="1"/>
  <c r="AG336" i="1"/>
  <c r="AC336" i="1"/>
  <c r="AF336" i="1"/>
  <c r="AF338" i="1"/>
  <c r="AF354" i="1"/>
  <c r="AD368" i="1"/>
  <c r="AG368" i="1"/>
  <c r="AC368" i="1"/>
  <c r="AF368" i="1"/>
  <c r="AE368" i="1"/>
  <c r="AF370" i="1"/>
  <c r="AG378" i="1"/>
  <c r="AE379" i="1"/>
  <c r="AD379" i="1"/>
  <c r="AG379" i="1"/>
  <c r="AC379" i="1"/>
  <c r="AF386" i="1"/>
  <c r="AG394" i="1"/>
  <c r="AE395" i="1"/>
  <c r="AD395" i="1"/>
  <c r="AG395" i="1"/>
  <c r="AC395" i="1"/>
  <c r="AF410" i="1"/>
  <c r="AE410" i="1"/>
  <c r="AD410" i="1"/>
  <c r="AF418" i="1"/>
  <c r="AE418" i="1"/>
  <c r="AD418" i="1"/>
  <c r="AC422" i="1"/>
  <c r="AF426" i="1"/>
  <c r="AE426" i="1"/>
  <c r="AD426" i="1"/>
  <c r="AC438" i="1"/>
  <c r="AF442" i="1"/>
  <c r="AE442" i="1"/>
  <c r="AD442" i="1"/>
  <c r="AC446" i="1"/>
  <c r="AF450" i="1"/>
  <c r="AE450" i="1"/>
  <c r="AD450" i="1"/>
  <c r="AF458" i="1"/>
  <c r="AE458" i="1"/>
  <c r="AD458" i="1"/>
  <c r="AF474" i="1"/>
  <c r="AE474" i="1"/>
  <c r="AD474" i="1"/>
  <c r="AC478" i="1"/>
  <c r="AF482" i="1"/>
  <c r="AE482" i="1"/>
  <c r="AD482" i="1"/>
  <c r="AC486" i="1"/>
  <c r="AF490" i="1"/>
  <c r="AE490" i="1"/>
  <c r="AD490" i="1"/>
  <c r="AF506" i="1"/>
  <c r="AE506" i="1"/>
  <c r="AD506" i="1"/>
  <c r="AF522" i="1"/>
  <c r="AE522" i="1"/>
  <c r="AD522" i="1"/>
  <c r="AF530" i="1"/>
  <c r="AE530" i="1"/>
  <c r="AD530" i="1"/>
  <c r="AD543" i="1"/>
  <c r="AG543" i="1"/>
  <c r="AF543" i="1"/>
  <c r="AE543" i="1"/>
  <c r="AD551" i="1"/>
  <c r="AE551" i="1"/>
  <c r="AC551" i="1"/>
  <c r="AG551" i="1"/>
  <c r="AG556" i="1"/>
  <c r="AC556" i="1"/>
  <c r="AF556" i="1"/>
  <c r="AE556" i="1"/>
  <c r="AD556" i="1"/>
  <c r="AF562" i="1"/>
  <c r="AG570" i="1"/>
  <c r="Y573" i="1"/>
  <c r="M573" i="1"/>
  <c r="R573" i="1" s="1"/>
  <c r="AD579" i="1"/>
  <c r="AF579" i="1"/>
  <c r="AE579" i="1"/>
  <c r="AC579" i="1"/>
  <c r="AG592" i="1"/>
  <c r="AC592" i="1"/>
  <c r="AE592" i="1"/>
  <c r="AD592" i="1"/>
  <c r="AF592" i="1"/>
  <c r="AE605" i="1"/>
  <c r="AD607" i="1"/>
  <c r="AG607" i="1"/>
  <c r="AF607" i="1"/>
  <c r="AE607" i="1"/>
  <c r="AD615" i="1"/>
  <c r="AE615" i="1"/>
  <c r="AC615" i="1"/>
  <c r="AG615" i="1"/>
  <c r="AC616" i="1"/>
  <c r="AE618" i="1"/>
  <c r="AF618" i="1"/>
  <c r="AD618" i="1"/>
  <c r="AC618" i="1"/>
  <c r="AG620" i="1"/>
  <c r="AC620" i="1"/>
  <c r="AF620" i="1"/>
  <c r="AE620" i="1"/>
  <c r="AD620" i="1"/>
  <c r="AF626" i="1"/>
  <c r="AG628" i="1"/>
  <c r="AC628" i="1"/>
  <c r="AD628" i="1"/>
  <c r="AG634" i="1"/>
  <c r="Y637" i="1"/>
  <c r="AF637" i="1" s="1"/>
  <c r="M637" i="1"/>
  <c r="R637" i="1" s="1"/>
  <c r="AD643" i="1"/>
  <c r="AF643" i="1"/>
  <c r="AE643" i="1"/>
  <c r="AC643" i="1"/>
  <c r="AF645" i="1"/>
  <c r="AE645" i="1"/>
  <c r="AD645" i="1"/>
  <c r="AC645" i="1"/>
  <c r="AE656" i="1"/>
  <c r="AD656" i="1"/>
  <c r="AG656" i="1"/>
  <c r="AC656" i="1"/>
  <c r="AF656" i="1"/>
  <c r="AD670" i="1"/>
  <c r="AD681" i="1"/>
  <c r="AG681" i="1"/>
  <c r="AC681" i="1"/>
  <c r="AF681" i="1"/>
  <c r="AE681" i="1"/>
  <c r="AE688" i="1"/>
  <c r="AD688" i="1"/>
  <c r="AG688" i="1"/>
  <c r="AC688" i="1"/>
  <c r="AF688" i="1"/>
  <c r="AD702" i="1"/>
  <c r="AD713" i="1"/>
  <c r="AG713" i="1"/>
  <c r="AC713" i="1"/>
  <c r="AF713" i="1"/>
  <c r="AE713" i="1"/>
  <c r="AE720" i="1"/>
  <c r="AD720" i="1"/>
  <c r="AG720" i="1"/>
  <c r="AC720" i="1"/>
  <c r="AF720" i="1"/>
  <c r="AD734" i="1"/>
  <c r="AD745" i="1"/>
  <c r="AG745" i="1"/>
  <c r="AC745" i="1"/>
  <c r="AF745" i="1"/>
  <c r="AE745" i="1"/>
  <c r="AE752" i="1"/>
  <c r="AD752" i="1"/>
  <c r="AG752" i="1"/>
  <c r="AC752" i="1"/>
  <c r="AF752" i="1"/>
  <c r="AD766" i="1"/>
  <c r="AD777" i="1"/>
  <c r="AG777" i="1"/>
  <c r="AC777" i="1"/>
  <c r="AF777" i="1"/>
  <c r="AE777" i="1"/>
  <c r="AE784" i="1"/>
  <c r="AD784" i="1"/>
  <c r="AG784" i="1"/>
  <c r="AC784" i="1"/>
  <c r="AF784" i="1"/>
  <c r="AD806" i="1"/>
  <c r="AD814" i="1"/>
  <c r="AD825" i="1"/>
  <c r="AG825" i="1"/>
  <c r="AC825" i="1"/>
  <c r="AF825" i="1"/>
  <c r="AE825" i="1"/>
  <c r="AE832" i="1"/>
  <c r="AD832" i="1"/>
  <c r="AG832" i="1"/>
  <c r="AC832" i="1"/>
  <c r="AF832" i="1"/>
  <c r="AD862" i="1"/>
  <c r="AD865" i="1"/>
  <c r="AG865" i="1"/>
  <c r="AC865" i="1"/>
  <c r="AF865" i="1"/>
  <c r="AE865" i="1"/>
  <c r="AE872" i="1"/>
  <c r="AD872" i="1"/>
  <c r="AG872" i="1"/>
  <c r="AC872" i="1"/>
  <c r="AF872" i="1"/>
  <c r="AD889" i="1"/>
  <c r="AG889" i="1"/>
  <c r="AC889" i="1"/>
  <c r="AF889" i="1"/>
  <c r="AE889" i="1"/>
  <c r="AE896" i="1"/>
  <c r="AD896" i="1"/>
  <c r="AG896" i="1"/>
  <c r="AC896" i="1"/>
  <c r="AF896" i="1"/>
  <c r="AD918" i="1"/>
  <c r="AD921" i="1"/>
  <c r="AC921" i="1"/>
  <c r="AE921" i="1"/>
  <c r="AE928" i="1"/>
  <c r="AD928" i="1"/>
  <c r="AG928" i="1"/>
  <c r="AC928" i="1"/>
  <c r="AF928" i="1"/>
  <c r="AD942" i="1"/>
  <c r="AD953" i="1"/>
  <c r="AG953" i="1"/>
  <c r="AC953" i="1"/>
  <c r="AF953" i="1"/>
  <c r="AE953" i="1"/>
  <c r="AE960" i="1"/>
  <c r="AD960" i="1"/>
  <c r="AG960" i="1"/>
  <c r="AC960" i="1"/>
  <c r="AF960" i="1"/>
  <c r="AD974" i="1"/>
  <c r="AD985" i="1"/>
  <c r="AC985" i="1"/>
  <c r="AE985" i="1"/>
  <c r="AE992" i="1"/>
  <c r="AD992" i="1"/>
  <c r="AG992" i="1"/>
  <c r="AC992" i="1"/>
  <c r="AF992" i="1"/>
  <c r="AD1006" i="1"/>
  <c r="AD1017" i="1"/>
  <c r="AG1017" i="1"/>
  <c r="AC1017" i="1"/>
  <c r="AF1017" i="1"/>
  <c r="AE1017" i="1"/>
  <c r="AC1024" i="1"/>
  <c r="AD1046" i="1"/>
  <c r="AD1049" i="1"/>
  <c r="AG1049" i="1"/>
  <c r="AC1049" i="1"/>
  <c r="AF1049" i="1"/>
  <c r="AE1049" i="1"/>
  <c r="AE1056" i="1"/>
  <c r="AD1056" i="1"/>
  <c r="AG1056" i="1"/>
  <c r="AC1056" i="1"/>
  <c r="AF1056" i="1"/>
  <c r="AF19" i="1"/>
  <c r="AF23" i="1"/>
  <c r="AF31" i="1"/>
  <c r="AF35" i="1"/>
  <c r="AF39" i="1"/>
  <c r="AF43" i="1"/>
  <c r="AF75" i="1"/>
  <c r="AF79" i="1"/>
  <c r="AF99" i="1"/>
  <c r="AF103" i="1"/>
  <c r="AF107" i="1"/>
  <c r="AF111" i="1"/>
  <c r="AF115" i="1"/>
  <c r="AF119" i="1"/>
  <c r="AF123" i="1"/>
  <c r="AF127" i="1"/>
  <c r="AF131" i="1"/>
  <c r="AF147" i="1"/>
  <c r="AF151" i="1"/>
  <c r="AF159" i="1"/>
  <c r="AF163" i="1"/>
  <c r="AF179" i="1"/>
  <c r="AF183" i="1"/>
  <c r="AF191" i="1"/>
  <c r="AG209" i="1"/>
  <c r="AD15" i="1"/>
  <c r="AD19" i="1"/>
  <c r="AF21" i="1"/>
  <c r="AF25" i="1"/>
  <c r="AF29" i="1"/>
  <c r="AF33" i="1"/>
  <c r="AD35" i="1"/>
  <c r="AF37" i="1"/>
  <c r="AF41" i="1"/>
  <c r="AD43" i="1"/>
  <c r="AF45" i="1"/>
  <c r="AF49" i="1"/>
  <c r="AD51" i="1"/>
  <c r="AF53" i="1"/>
  <c r="AD55" i="1"/>
  <c r="AF57" i="1"/>
  <c r="AF61" i="1"/>
  <c r="AD63" i="1"/>
  <c r="AD67" i="1"/>
  <c r="AF69" i="1"/>
  <c r="AF73" i="1"/>
  <c r="AF77" i="1"/>
  <c r="AD79" i="1"/>
  <c r="AF81" i="1"/>
  <c r="AD83" i="1"/>
  <c r="AF89" i="1"/>
  <c r="AF93" i="1"/>
  <c r="AD95" i="1"/>
  <c r="AF97" i="1"/>
  <c r="AD99" i="1"/>
  <c r="AF101" i="1"/>
  <c r="AF105" i="1"/>
  <c r="AD111" i="1"/>
  <c r="AF117" i="1"/>
  <c r="AF121" i="1"/>
  <c r="AF125" i="1"/>
  <c r="AF133" i="1"/>
  <c r="AF141" i="1"/>
  <c r="AD143" i="1"/>
  <c r="AD147" i="1"/>
  <c r="AF149" i="1"/>
  <c r="AD151" i="1"/>
  <c r="AF153" i="1"/>
  <c r="AD155" i="1"/>
  <c r="AF157" i="1"/>
  <c r="AF161" i="1"/>
  <c r="AF165" i="1"/>
  <c r="AD167" i="1"/>
  <c r="AF169" i="1"/>
  <c r="AF173" i="1"/>
  <c r="AD175" i="1"/>
  <c r="AF177" i="1"/>
  <c r="AD179" i="1"/>
  <c r="AD183" i="1"/>
  <c r="AF185" i="1"/>
  <c r="AF189" i="1"/>
  <c r="AD191" i="1"/>
  <c r="AF193" i="1"/>
  <c r="AD195" i="1"/>
  <c r="AF197" i="1"/>
  <c r="AD203" i="1"/>
  <c r="AD204" i="1"/>
  <c r="AF205" i="1"/>
  <c r="AD209" i="1"/>
  <c r="AD210" i="1"/>
  <c r="AF212" i="1"/>
  <c r="AG212" i="1"/>
  <c r="AE217" i="1"/>
  <c r="AG217" i="1"/>
  <c r="AE218" i="1"/>
  <c r="AD225" i="1"/>
  <c r="AG226" i="1"/>
  <c r="AF228" i="1"/>
  <c r="AG228" i="1"/>
  <c r="AE232" i="1"/>
  <c r="AD236" i="1"/>
  <c r="AG242" i="1"/>
  <c r="AG244" i="1"/>
  <c r="AE248" i="1"/>
  <c r="AG258" i="1"/>
  <c r="AF260" i="1"/>
  <c r="AE264" i="1"/>
  <c r="AD268" i="1"/>
  <c r="AD273" i="1"/>
  <c r="AD274" i="1"/>
  <c r="AG274" i="1"/>
  <c r="AF276" i="1"/>
  <c r="AE280" i="1"/>
  <c r="AF285" i="1"/>
  <c r="AD289" i="1"/>
  <c r="AD290" i="1"/>
  <c r="AG290" i="1"/>
  <c r="AG292" i="1"/>
  <c r="AD304" i="1"/>
  <c r="AG304" i="1"/>
  <c r="AC304" i="1"/>
  <c r="AF304" i="1"/>
  <c r="AF306" i="1"/>
  <c r="AG314" i="1"/>
  <c r="AE315" i="1"/>
  <c r="AD315" i="1"/>
  <c r="AG315" i="1"/>
  <c r="AC315" i="1"/>
  <c r="AD320" i="1"/>
  <c r="AG320" i="1"/>
  <c r="AC320" i="1"/>
  <c r="AF320" i="1"/>
  <c r="AE320" i="1"/>
  <c r="AE336" i="1"/>
  <c r="AG346" i="1"/>
  <c r="AE347" i="1"/>
  <c r="AD347" i="1"/>
  <c r="AG347" i="1"/>
  <c r="AC347" i="1"/>
  <c r="AD352" i="1"/>
  <c r="AG352" i="1"/>
  <c r="AC352" i="1"/>
  <c r="AF352" i="1"/>
  <c r="AE352" i="1"/>
  <c r="AG362" i="1"/>
  <c r="AE363" i="1"/>
  <c r="AD363" i="1"/>
  <c r="AG363" i="1"/>
  <c r="AC363" i="1"/>
  <c r="AD384" i="1"/>
  <c r="AG384" i="1"/>
  <c r="AC384" i="1"/>
  <c r="AF384" i="1"/>
  <c r="AE384" i="1"/>
  <c r="AD400" i="1"/>
  <c r="AG400" i="1"/>
  <c r="AC400" i="1"/>
  <c r="AF400" i="1"/>
  <c r="AF402" i="1"/>
  <c r="AC406" i="1"/>
  <c r="AC414" i="1"/>
  <c r="AC430" i="1"/>
  <c r="AF434" i="1"/>
  <c r="AE434" i="1"/>
  <c r="AD434" i="1"/>
  <c r="AC454" i="1"/>
  <c r="AC462" i="1"/>
  <c r="AF466" i="1"/>
  <c r="AE466" i="1"/>
  <c r="AD466" i="1"/>
  <c r="AC470" i="1"/>
  <c r="AF498" i="1"/>
  <c r="AE498" i="1"/>
  <c r="AD498" i="1"/>
  <c r="AF514" i="1"/>
  <c r="AE514" i="1"/>
  <c r="AD514" i="1"/>
  <c r="AG552" i="1"/>
  <c r="AC552" i="1"/>
  <c r="AF552" i="1"/>
  <c r="AE552" i="1"/>
  <c r="AE554" i="1"/>
  <c r="AF554" i="1"/>
  <c r="AD554" i="1"/>
  <c r="AC554" i="1"/>
  <c r="AG564" i="1"/>
  <c r="AC564" i="1"/>
  <c r="AD564" i="1"/>
  <c r="AF564" i="1"/>
  <c r="AF581" i="1"/>
  <c r="AE581" i="1"/>
  <c r="AD581" i="1"/>
  <c r="AC581" i="1"/>
  <c r="AC13" i="1"/>
  <c r="AC17" i="1"/>
  <c r="AC21" i="1"/>
  <c r="AC25" i="1"/>
  <c r="AC29" i="1"/>
  <c r="AC33" i="1"/>
  <c r="AC37" i="1"/>
  <c r="AC41" i="1"/>
  <c r="AC45" i="1"/>
  <c r="AC49" i="1"/>
  <c r="AC53" i="1"/>
  <c r="AC57" i="1"/>
  <c r="AC61" i="1"/>
  <c r="AC65" i="1"/>
  <c r="AC69" i="1"/>
  <c r="AC73" i="1"/>
  <c r="AC77" i="1"/>
  <c r="AC81" i="1"/>
  <c r="AC85" i="1"/>
  <c r="AC89" i="1"/>
  <c r="AC93" i="1"/>
  <c r="AC97" i="1"/>
  <c r="AC101" i="1"/>
  <c r="AC105" i="1"/>
  <c r="AC109" i="1"/>
  <c r="AC113" i="1"/>
  <c r="AC117" i="1"/>
  <c r="AC121" i="1"/>
  <c r="AC125" i="1"/>
  <c r="AC129" i="1"/>
  <c r="AC133" i="1"/>
  <c r="AC137" i="1"/>
  <c r="AC141" i="1"/>
  <c r="AC145" i="1"/>
  <c r="AC149" i="1"/>
  <c r="AC153" i="1"/>
  <c r="AC157" i="1"/>
  <c r="AC161" i="1"/>
  <c r="AC165" i="1"/>
  <c r="AC169" i="1"/>
  <c r="AC173" i="1"/>
  <c r="AC177" i="1"/>
  <c r="AC181" i="1"/>
  <c r="AC185" i="1"/>
  <c r="AC189" i="1"/>
  <c r="AC193" i="1"/>
  <c r="AC197" i="1"/>
  <c r="AC201" i="1"/>
  <c r="AE204" i="1"/>
  <c r="AE205" i="1"/>
  <c r="AG205" i="1"/>
  <c r="M206" i="1"/>
  <c r="R206" i="1" s="1"/>
  <c r="AF209" i="1"/>
  <c r="AC210" i="1"/>
  <c r="AC212" i="1"/>
  <c r="AD213" i="1"/>
  <c r="AF216" i="1"/>
  <c r="AG216" i="1"/>
  <c r="AC217" i="1"/>
  <c r="AF218" i="1"/>
  <c r="M220" i="1"/>
  <c r="R220" i="1" s="1"/>
  <c r="AE220" i="1"/>
  <c r="AE221" i="1"/>
  <c r="AG221" i="1"/>
  <c r="M222" i="1"/>
  <c r="R222" i="1" s="1"/>
  <c r="AD224" i="1"/>
  <c r="AF225" i="1"/>
  <c r="AC226" i="1"/>
  <c r="AC228" i="1"/>
  <c r="AD229" i="1"/>
  <c r="AC233" i="1"/>
  <c r="AF234" i="1"/>
  <c r="M236" i="1"/>
  <c r="R236" i="1" s="1"/>
  <c r="AE236" i="1"/>
  <c r="AE237" i="1"/>
  <c r="AG237" i="1"/>
  <c r="M238" i="1"/>
  <c r="R238" i="1" s="1"/>
  <c r="AD240" i="1"/>
  <c r="AF241" i="1"/>
  <c r="AC242" i="1"/>
  <c r="AC244" i="1"/>
  <c r="AD245" i="1"/>
  <c r="AF248" i="1"/>
  <c r="AG248" i="1"/>
  <c r="AC249" i="1"/>
  <c r="AF250" i="1"/>
  <c r="M252" i="1"/>
  <c r="R252" i="1" s="1"/>
  <c r="AE252" i="1"/>
  <c r="AE253" i="1"/>
  <c r="AG253" i="1"/>
  <c r="M254" i="1"/>
  <c r="R254" i="1" s="1"/>
  <c r="AD256" i="1"/>
  <c r="AF257" i="1"/>
  <c r="AC258" i="1"/>
  <c r="AC260" i="1"/>
  <c r="AD261" i="1"/>
  <c r="AF264" i="1"/>
  <c r="AG264" i="1"/>
  <c r="AC265" i="1"/>
  <c r="AF266" i="1"/>
  <c r="M268" i="1"/>
  <c r="R268" i="1" s="1"/>
  <c r="AE268" i="1"/>
  <c r="AE269" i="1"/>
  <c r="AG269" i="1"/>
  <c r="M270" i="1"/>
  <c r="R270" i="1" s="1"/>
  <c r="AD272" i="1"/>
  <c r="AF273" i="1"/>
  <c r="AC274" i="1"/>
  <c r="AC276" i="1"/>
  <c r="AD277" i="1"/>
  <c r="AF280" i="1"/>
  <c r="AG280" i="1"/>
  <c r="AC281" i="1"/>
  <c r="AF282" i="1"/>
  <c r="M284" i="1"/>
  <c r="R284" i="1" s="1"/>
  <c r="AE284" i="1"/>
  <c r="AE285" i="1"/>
  <c r="AG285" i="1"/>
  <c r="M286" i="1"/>
  <c r="R286" i="1" s="1"/>
  <c r="AD288" i="1"/>
  <c r="AF289" i="1"/>
  <c r="AC290" i="1"/>
  <c r="AC292" i="1"/>
  <c r="AD293" i="1"/>
  <c r="AF294" i="1"/>
  <c r="AF298" i="1"/>
  <c r="AE303" i="1"/>
  <c r="AD303" i="1"/>
  <c r="AG303" i="1"/>
  <c r="AC303" i="1"/>
  <c r="AF305" i="1"/>
  <c r="AD308" i="1"/>
  <c r="AG308" i="1"/>
  <c r="AC308" i="1"/>
  <c r="AF308" i="1"/>
  <c r="AE308" i="1"/>
  <c r="AF310" i="1"/>
  <c r="AG313" i="1"/>
  <c r="AD313" i="1"/>
  <c r="M314" i="1"/>
  <c r="R314" i="1" s="1"/>
  <c r="AF315" i="1"/>
  <c r="AE319" i="1"/>
  <c r="AD319" i="1"/>
  <c r="AG319" i="1"/>
  <c r="AC319" i="1"/>
  <c r="AF321" i="1"/>
  <c r="AD324" i="1"/>
  <c r="AG324" i="1"/>
  <c r="AC324" i="1"/>
  <c r="AF324" i="1"/>
  <c r="AE324" i="1"/>
  <c r="AF326" i="1"/>
  <c r="AG329" i="1"/>
  <c r="AD329" i="1"/>
  <c r="M330" i="1"/>
  <c r="R330" i="1" s="1"/>
  <c r="AF331" i="1"/>
  <c r="AE335" i="1"/>
  <c r="AD335" i="1"/>
  <c r="AG335" i="1"/>
  <c r="AC335" i="1"/>
  <c r="AF337" i="1"/>
  <c r="AD340" i="1"/>
  <c r="AG340" i="1"/>
  <c r="AC340" i="1"/>
  <c r="AF340" i="1"/>
  <c r="AE340" i="1"/>
  <c r="AF342" i="1"/>
  <c r="AG345" i="1"/>
  <c r="AD345" i="1"/>
  <c r="M346" i="1"/>
  <c r="R346" i="1" s="1"/>
  <c r="AF347" i="1"/>
  <c r="AE351" i="1"/>
  <c r="AD351" i="1"/>
  <c r="AG351" i="1"/>
  <c r="AC351" i="1"/>
  <c r="AF353" i="1"/>
  <c r="AD356" i="1"/>
  <c r="AG356" i="1"/>
  <c r="AC356" i="1"/>
  <c r="AF356" i="1"/>
  <c r="AE356" i="1"/>
  <c r="AF358" i="1"/>
  <c r="AG361" i="1"/>
  <c r="AD361" i="1"/>
  <c r="M362" i="1"/>
  <c r="R362" i="1" s="1"/>
  <c r="AF363" i="1"/>
  <c r="AE367" i="1"/>
  <c r="AD367" i="1"/>
  <c r="AG367" i="1"/>
  <c r="AC367" i="1"/>
  <c r="AF369" i="1"/>
  <c r="AD372" i="1"/>
  <c r="AC372" i="1"/>
  <c r="AE372" i="1"/>
  <c r="AF374" i="1"/>
  <c r="AG377" i="1"/>
  <c r="AD377" i="1"/>
  <c r="M378" i="1"/>
  <c r="R378" i="1" s="1"/>
  <c r="AF379" i="1"/>
  <c r="AE383" i="1"/>
  <c r="AD383" i="1"/>
  <c r="AG383" i="1"/>
  <c r="AC383" i="1"/>
  <c r="AF385" i="1"/>
  <c r="AD388" i="1"/>
  <c r="AG388" i="1"/>
  <c r="AC388" i="1"/>
  <c r="AF388" i="1"/>
  <c r="AE388" i="1"/>
  <c r="AF390" i="1"/>
  <c r="AG393" i="1"/>
  <c r="AD393" i="1"/>
  <c r="M394" i="1"/>
  <c r="R394" i="1" s="1"/>
  <c r="AF395" i="1"/>
  <c r="AE399" i="1"/>
  <c r="AD399" i="1"/>
  <c r="AG399" i="1"/>
  <c r="AC399" i="1"/>
  <c r="AF401" i="1"/>
  <c r="AD404" i="1"/>
  <c r="AG404" i="1"/>
  <c r="AC404" i="1"/>
  <c r="AF404" i="1"/>
  <c r="AE404" i="1"/>
  <c r="AG406" i="1"/>
  <c r="AE407" i="1"/>
  <c r="AD407" i="1"/>
  <c r="AG407" i="1"/>
  <c r="AC407" i="1"/>
  <c r="AD408" i="1"/>
  <c r="AG408" i="1"/>
  <c r="AC408" i="1"/>
  <c r="AF408" i="1"/>
  <c r="AD409" i="1"/>
  <c r="M410" i="1"/>
  <c r="R410" i="1" s="1"/>
  <c r="AE412" i="1"/>
  <c r="AG414" i="1"/>
  <c r="AE415" i="1"/>
  <c r="AD415" i="1"/>
  <c r="AG415" i="1"/>
  <c r="AC415" i="1"/>
  <c r="AD416" i="1"/>
  <c r="AG416" i="1"/>
  <c r="AC416" i="1"/>
  <c r="AF416" i="1"/>
  <c r="AD417" i="1"/>
  <c r="M418" i="1"/>
  <c r="R418" i="1" s="1"/>
  <c r="AE420" i="1"/>
  <c r="AG422" i="1"/>
  <c r="AE423" i="1"/>
  <c r="AD423" i="1"/>
  <c r="AG423" i="1"/>
  <c r="AC423" i="1"/>
  <c r="AD424" i="1"/>
  <c r="AG424" i="1"/>
  <c r="AC424" i="1"/>
  <c r="AF424" i="1"/>
  <c r="AD425" i="1"/>
  <c r="M426" i="1"/>
  <c r="R426" i="1" s="1"/>
  <c r="AE428" i="1"/>
  <c r="AG430" i="1"/>
  <c r="AE431" i="1"/>
  <c r="AD431" i="1"/>
  <c r="AG431" i="1"/>
  <c r="AC431" i="1"/>
  <c r="AD432" i="1"/>
  <c r="AG432" i="1"/>
  <c r="AC432" i="1"/>
  <c r="AF432" i="1"/>
  <c r="AD433" i="1"/>
  <c r="M434" i="1"/>
  <c r="R434" i="1" s="1"/>
  <c r="AE436" i="1"/>
  <c r="AG438" i="1"/>
  <c r="AE439" i="1"/>
  <c r="AD439" i="1"/>
  <c r="AG439" i="1"/>
  <c r="AC439" i="1"/>
  <c r="AD440" i="1"/>
  <c r="AG440" i="1"/>
  <c r="AC440" i="1"/>
  <c r="AF440" i="1"/>
  <c r="AD441" i="1"/>
  <c r="M442" i="1"/>
  <c r="R442" i="1" s="1"/>
  <c r="AE444" i="1"/>
  <c r="AG446" i="1"/>
  <c r="AE447" i="1"/>
  <c r="AD447" i="1"/>
  <c r="AG447" i="1"/>
  <c r="AC447" i="1"/>
  <c r="AD448" i="1"/>
  <c r="AG448" i="1"/>
  <c r="AC448" i="1"/>
  <c r="AF448" i="1"/>
  <c r="AD449" i="1"/>
  <c r="M450" i="1"/>
  <c r="R450" i="1" s="1"/>
  <c r="AE452" i="1"/>
  <c r="AG454" i="1"/>
  <c r="AE455" i="1"/>
  <c r="AD455" i="1"/>
  <c r="AG455" i="1"/>
  <c r="AC455" i="1"/>
  <c r="AD456" i="1"/>
  <c r="AG456" i="1"/>
  <c r="AC456" i="1"/>
  <c r="AF456" i="1"/>
  <c r="AD457" i="1"/>
  <c r="M458" i="1"/>
  <c r="R458" i="1" s="1"/>
  <c r="AE460" i="1"/>
  <c r="AG462" i="1"/>
  <c r="AE463" i="1"/>
  <c r="AD463" i="1"/>
  <c r="AG463" i="1"/>
  <c r="AC463" i="1"/>
  <c r="AD464" i="1"/>
  <c r="AG464" i="1"/>
  <c r="AC464" i="1"/>
  <c r="AF464" i="1"/>
  <c r="AD465" i="1"/>
  <c r="M466" i="1"/>
  <c r="R466" i="1" s="1"/>
  <c r="AE468" i="1"/>
  <c r="AG470" i="1"/>
  <c r="AE471" i="1"/>
  <c r="AD471" i="1"/>
  <c r="AG471" i="1"/>
  <c r="AC471" i="1"/>
  <c r="AD472" i="1"/>
  <c r="AG472" i="1"/>
  <c r="AC472" i="1"/>
  <c r="AF472" i="1"/>
  <c r="AD473" i="1"/>
  <c r="M474" i="1"/>
  <c r="R474" i="1" s="1"/>
  <c r="AE476" i="1"/>
  <c r="AG478" i="1"/>
  <c r="AE479" i="1"/>
  <c r="AD479" i="1"/>
  <c r="AG479" i="1"/>
  <c r="AC479" i="1"/>
  <c r="AD480" i="1"/>
  <c r="AG480" i="1"/>
  <c r="AC480" i="1"/>
  <c r="AF480" i="1"/>
  <c r="AD481" i="1"/>
  <c r="M482" i="1"/>
  <c r="R482" i="1" s="1"/>
  <c r="AE484" i="1"/>
  <c r="AG486" i="1"/>
  <c r="AE487" i="1"/>
  <c r="AD487" i="1"/>
  <c r="AG487" i="1"/>
  <c r="AC487" i="1"/>
  <c r="AD488" i="1"/>
  <c r="AG488" i="1"/>
  <c r="AC488" i="1"/>
  <c r="AF488" i="1"/>
  <c r="M490" i="1"/>
  <c r="R490" i="1" s="1"/>
  <c r="AE492" i="1"/>
  <c r="AG494" i="1"/>
  <c r="AE495" i="1"/>
  <c r="AD495" i="1"/>
  <c r="AG495" i="1"/>
  <c r="AC495" i="1"/>
  <c r="AD496" i="1"/>
  <c r="AG496" i="1"/>
  <c r="AC496" i="1"/>
  <c r="AF496" i="1"/>
  <c r="M498" i="1"/>
  <c r="R498" i="1" s="1"/>
  <c r="AE500" i="1"/>
  <c r="AG502" i="1"/>
  <c r="AE503" i="1"/>
  <c r="AD503" i="1"/>
  <c r="AG503" i="1"/>
  <c r="AC503" i="1"/>
  <c r="AD504" i="1"/>
  <c r="AG504" i="1"/>
  <c r="AC504" i="1"/>
  <c r="AF504" i="1"/>
  <c r="M506" i="1"/>
  <c r="R506" i="1" s="1"/>
  <c r="AE508" i="1"/>
  <c r="AG510" i="1"/>
  <c r="AE511" i="1"/>
  <c r="AD511" i="1"/>
  <c r="AG511" i="1"/>
  <c r="AC511" i="1"/>
  <c r="AD512" i="1"/>
  <c r="AG512" i="1"/>
  <c r="AC512" i="1"/>
  <c r="AF512" i="1"/>
  <c r="M514" i="1"/>
  <c r="R514" i="1" s="1"/>
  <c r="AE516" i="1"/>
  <c r="AG518" i="1"/>
  <c r="AE519" i="1"/>
  <c r="AD519" i="1"/>
  <c r="AG519" i="1"/>
  <c r="AC519" i="1"/>
  <c r="AD520" i="1"/>
  <c r="AG520" i="1"/>
  <c r="AC520" i="1"/>
  <c r="AF520" i="1"/>
  <c r="M522" i="1"/>
  <c r="R522" i="1" s="1"/>
  <c r="AE524" i="1"/>
  <c r="AG526" i="1"/>
  <c r="AE527" i="1"/>
  <c r="AD527" i="1"/>
  <c r="AG527" i="1"/>
  <c r="AC527" i="1"/>
  <c r="AD528" i="1"/>
  <c r="AG528" i="1"/>
  <c r="AC528" i="1"/>
  <c r="AF528" i="1"/>
  <c r="M530" i="1"/>
  <c r="R530" i="1" s="1"/>
  <c r="AD535" i="1"/>
  <c r="AE535" i="1"/>
  <c r="AC535" i="1"/>
  <c r="AG535" i="1"/>
  <c r="AG536" i="1"/>
  <c r="AC536" i="1"/>
  <c r="AF536" i="1"/>
  <c r="AE536" i="1"/>
  <c r="AE538" i="1"/>
  <c r="AF538" i="1"/>
  <c r="AD538" i="1"/>
  <c r="AC538" i="1"/>
  <c r="AG540" i="1"/>
  <c r="AC540" i="1"/>
  <c r="AD540" i="1"/>
  <c r="AC543" i="1"/>
  <c r="AF546" i="1"/>
  <c r="AG548" i="1"/>
  <c r="AC548" i="1"/>
  <c r="AD548" i="1"/>
  <c r="AF548" i="1"/>
  <c r="AG554" i="1"/>
  <c r="Y557" i="1"/>
  <c r="M557" i="1"/>
  <c r="R557" i="1" s="1"/>
  <c r="AD562" i="1"/>
  <c r="AD563" i="1"/>
  <c r="AF563" i="1"/>
  <c r="AE563" i="1"/>
  <c r="AC563" i="1"/>
  <c r="AF565" i="1"/>
  <c r="AE565" i="1"/>
  <c r="AD565" i="1"/>
  <c r="AC565" i="1"/>
  <c r="AF571" i="1"/>
  <c r="AG576" i="1"/>
  <c r="AC576" i="1"/>
  <c r="AE576" i="1"/>
  <c r="AD576" i="1"/>
  <c r="AF576" i="1"/>
  <c r="AG579" i="1"/>
  <c r="AE580" i="1"/>
  <c r="AD591" i="1"/>
  <c r="AG591" i="1"/>
  <c r="AF591" i="1"/>
  <c r="AE591" i="1"/>
  <c r="AD599" i="1"/>
  <c r="AE599" i="1"/>
  <c r="AC599" i="1"/>
  <c r="AG599" i="1"/>
  <c r="AG600" i="1"/>
  <c r="AC600" i="1"/>
  <c r="AF600" i="1"/>
  <c r="AE600" i="1"/>
  <c r="AE602" i="1"/>
  <c r="AF602" i="1"/>
  <c r="AD602" i="1"/>
  <c r="AC602" i="1"/>
  <c r="AG604" i="1"/>
  <c r="AC604" i="1"/>
  <c r="AF604" i="1"/>
  <c r="AE604" i="1"/>
  <c r="AD604" i="1"/>
  <c r="AC607" i="1"/>
  <c r="AF610" i="1"/>
  <c r="AG612" i="1"/>
  <c r="AC612" i="1"/>
  <c r="AD612" i="1"/>
  <c r="AF612" i="1"/>
  <c r="AG618" i="1"/>
  <c r="Y621" i="1"/>
  <c r="M621" i="1"/>
  <c r="R621" i="1" s="1"/>
  <c r="AD626" i="1"/>
  <c r="AD627" i="1"/>
  <c r="AF627" i="1"/>
  <c r="AE627" i="1"/>
  <c r="AC627" i="1"/>
  <c r="AF629" i="1"/>
  <c r="AE629" i="1"/>
  <c r="AD629" i="1"/>
  <c r="AC629" i="1"/>
  <c r="AF635" i="1"/>
  <c r="AG640" i="1"/>
  <c r="AC640" i="1"/>
  <c r="AE640" i="1"/>
  <c r="AD640" i="1"/>
  <c r="AF640" i="1"/>
  <c r="AG643" i="1"/>
  <c r="AE644" i="1"/>
  <c r="AF650" i="1"/>
  <c r="AD650" i="1"/>
  <c r="AE661" i="1"/>
  <c r="AD662" i="1"/>
  <c r="AD673" i="1"/>
  <c r="AG673" i="1"/>
  <c r="AC673" i="1"/>
  <c r="AF673" i="1"/>
  <c r="AE673" i="1"/>
  <c r="AE680" i="1"/>
  <c r="AD680" i="1"/>
  <c r="AG680" i="1"/>
  <c r="AC680" i="1"/>
  <c r="AF680" i="1"/>
  <c r="AE693" i="1"/>
  <c r="AD694" i="1"/>
  <c r="AD705" i="1"/>
  <c r="AG705" i="1"/>
  <c r="AC705" i="1"/>
  <c r="AF705" i="1"/>
  <c r="AE705" i="1"/>
  <c r="AE712" i="1"/>
  <c r="AD712" i="1"/>
  <c r="AG712" i="1"/>
  <c r="AC712" i="1"/>
  <c r="AF712" i="1"/>
  <c r="AE725" i="1"/>
  <c r="AD726" i="1"/>
  <c r="AD737" i="1"/>
  <c r="AG737" i="1"/>
  <c r="AC737" i="1"/>
  <c r="AF737" i="1"/>
  <c r="AE737" i="1"/>
  <c r="AE744" i="1"/>
  <c r="AD744" i="1"/>
  <c r="AG744" i="1"/>
  <c r="AC744" i="1"/>
  <c r="AF744" i="1"/>
  <c r="AE757" i="1"/>
  <c r="AD758" i="1"/>
  <c r="AD769" i="1"/>
  <c r="AG769" i="1"/>
  <c r="AC769" i="1"/>
  <c r="AF769" i="1"/>
  <c r="AE769" i="1"/>
  <c r="AE776" i="1"/>
  <c r="AD776" i="1"/>
  <c r="AG776" i="1"/>
  <c r="AC776" i="1"/>
  <c r="AF776" i="1"/>
  <c r="AE789" i="1"/>
  <c r="AD790" i="1"/>
  <c r="AE797" i="1"/>
  <c r="AD798" i="1"/>
  <c r="AD801" i="1"/>
  <c r="AG801" i="1"/>
  <c r="AC801" i="1"/>
  <c r="AF801" i="1"/>
  <c r="AE801" i="1"/>
  <c r="AD809" i="1"/>
  <c r="AG809" i="1"/>
  <c r="AC809" i="1"/>
  <c r="AF809" i="1"/>
  <c r="AE809" i="1"/>
  <c r="AD817" i="1"/>
  <c r="AG817" i="1"/>
  <c r="AC817" i="1"/>
  <c r="AF817" i="1"/>
  <c r="AE817" i="1"/>
  <c r="AE824" i="1"/>
  <c r="AD824" i="1"/>
  <c r="AG824" i="1"/>
  <c r="AC824" i="1"/>
  <c r="AF824" i="1"/>
  <c r="AE837" i="1"/>
  <c r="AE845" i="1"/>
  <c r="AD846" i="1"/>
  <c r="AE853" i="1"/>
  <c r="AD857" i="1"/>
  <c r="AG857" i="1"/>
  <c r="AC857" i="1"/>
  <c r="AF857" i="1"/>
  <c r="AE857" i="1"/>
  <c r="AE864" i="1"/>
  <c r="AD864" i="1"/>
  <c r="AG864" i="1"/>
  <c r="AC864" i="1"/>
  <c r="AF864" i="1"/>
  <c r="AE877" i="1"/>
  <c r="AD878" i="1"/>
  <c r="AD881" i="1"/>
  <c r="AG881" i="1"/>
  <c r="AC881" i="1"/>
  <c r="AF881" i="1"/>
  <c r="AE881" i="1"/>
  <c r="AE888" i="1"/>
  <c r="AD888" i="1"/>
  <c r="AG888" i="1"/>
  <c r="AC888" i="1"/>
  <c r="AF888" i="1"/>
  <c r="AD910" i="1"/>
  <c r="AD913" i="1"/>
  <c r="AG913" i="1"/>
  <c r="AC913" i="1"/>
  <c r="AF913" i="1"/>
  <c r="AE913" i="1"/>
  <c r="AE920" i="1"/>
  <c r="AD920" i="1"/>
  <c r="AG920" i="1"/>
  <c r="AC920" i="1"/>
  <c r="AF920" i="1"/>
  <c r="AD945" i="1"/>
  <c r="AG945" i="1"/>
  <c r="AC945" i="1"/>
  <c r="AF945" i="1"/>
  <c r="AE945" i="1"/>
  <c r="AE952" i="1"/>
  <c r="AD952" i="1"/>
  <c r="AG952" i="1"/>
  <c r="AC952" i="1"/>
  <c r="AF952" i="1"/>
  <c r="AE965" i="1"/>
  <c r="AD966" i="1"/>
  <c r="AD977" i="1"/>
  <c r="AG977" i="1"/>
  <c r="AC977" i="1"/>
  <c r="AF977" i="1"/>
  <c r="AE977" i="1"/>
  <c r="AE984" i="1"/>
  <c r="AD984" i="1"/>
  <c r="AG984" i="1"/>
  <c r="AC984" i="1"/>
  <c r="AF984" i="1"/>
  <c r="AE997" i="1"/>
  <c r="AD998" i="1"/>
  <c r="AD1009" i="1"/>
  <c r="AG1009" i="1"/>
  <c r="AC1009" i="1"/>
  <c r="AF1009" i="1"/>
  <c r="AE1009" i="1"/>
  <c r="AE1016" i="1"/>
  <c r="AD1016" i="1"/>
  <c r="AG1016" i="1"/>
  <c r="AC1016" i="1"/>
  <c r="AF1016" i="1"/>
  <c r="AE1037" i="1"/>
  <c r="AD1038" i="1"/>
  <c r="AD1041" i="1"/>
  <c r="AC1041" i="1"/>
  <c r="AE1041" i="1"/>
  <c r="AE1048" i="1"/>
  <c r="AD1048" i="1"/>
  <c r="AG1048" i="1"/>
  <c r="AC1048" i="1"/>
  <c r="AF1048" i="1"/>
  <c r="AE1072" i="1"/>
  <c r="AD1072" i="1"/>
  <c r="AG1072" i="1"/>
  <c r="AC1072" i="1"/>
  <c r="AD1073" i="1"/>
  <c r="AG1073" i="1"/>
  <c r="AC1073" i="1"/>
  <c r="AF1073" i="1"/>
  <c r="AE1077" i="1"/>
  <c r="AE1080" i="1"/>
  <c r="AD1080" i="1"/>
  <c r="AG1080" i="1"/>
  <c r="AC1080" i="1"/>
  <c r="AD1081" i="1"/>
  <c r="AG1081" i="1"/>
  <c r="AC1081" i="1"/>
  <c r="AF1081" i="1"/>
  <c r="AE1085" i="1"/>
  <c r="AE1088" i="1"/>
  <c r="AD1088" i="1"/>
  <c r="AG1088" i="1"/>
  <c r="AC1088" i="1"/>
  <c r="AD1089" i="1"/>
  <c r="AG1089" i="1"/>
  <c r="AC1089" i="1"/>
  <c r="AF1089" i="1"/>
  <c r="AE1096" i="1"/>
  <c r="AD1096" i="1"/>
  <c r="AG1096" i="1"/>
  <c r="AC1096" i="1"/>
  <c r="AD1097" i="1"/>
  <c r="AG1097" i="1"/>
  <c r="AC1097" i="1"/>
  <c r="AF1097" i="1"/>
  <c r="AE1101" i="1"/>
  <c r="AE1104" i="1"/>
  <c r="AD1104" i="1"/>
  <c r="AG1104" i="1"/>
  <c r="AC1104" i="1"/>
  <c r="AD1105" i="1"/>
  <c r="AG1105" i="1"/>
  <c r="AC1105" i="1"/>
  <c r="AF1105" i="1"/>
  <c r="AE1109" i="1"/>
  <c r="AE1112" i="1"/>
  <c r="AD1112" i="1"/>
  <c r="AG1112" i="1"/>
  <c r="AC1112" i="1"/>
  <c r="AD1113" i="1"/>
  <c r="AG1113" i="1"/>
  <c r="AC1113" i="1"/>
  <c r="AF1113" i="1"/>
  <c r="AE1117" i="1"/>
  <c r="AE1120" i="1"/>
  <c r="AD1120" i="1"/>
  <c r="AG1120" i="1"/>
  <c r="AC1120" i="1"/>
  <c r="AD1121" i="1"/>
  <c r="AG1121" i="1"/>
  <c r="AC1121" i="1"/>
  <c r="AF1121" i="1"/>
  <c r="AE1125" i="1"/>
  <c r="AE1128" i="1"/>
  <c r="AD1128" i="1"/>
  <c r="AG1128" i="1"/>
  <c r="AC1128" i="1"/>
  <c r="AD1129" i="1"/>
  <c r="AG1129" i="1"/>
  <c r="AC1129" i="1"/>
  <c r="AF1129" i="1"/>
  <c r="AE1133" i="1"/>
  <c r="AE1136" i="1"/>
  <c r="AD1136" i="1"/>
  <c r="AG1136" i="1"/>
  <c r="AC1136" i="1"/>
  <c r="AD1137" i="1"/>
  <c r="AG1137" i="1"/>
  <c r="AC1137" i="1"/>
  <c r="AF1137" i="1"/>
  <c r="AE1141" i="1"/>
  <c r="AE1144" i="1"/>
  <c r="AD1144" i="1"/>
  <c r="AG1144" i="1"/>
  <c r="AC1144" i="1"/>
  <c r="AD1145" i="1"/>
  <c r="AC1145" i="1"/>
  <c r="AE1149" i="1"/>
  <c r="AE1152" i="1"/>
  <c r="AD1152" i="1"/>
  <c r="AG1152" i="1"/>
  <c r="AC1152" i="1"/>
  <c r="AD1153" i="1"/>
  <c r="AG1153" i="1"/>
  <c r="AC1153" i="1"/>
  <c r="AF1153" i="1"/>
  <c r="AE1157" i="1"/>
  <c r="AE1160" i="1"/>
  <c r="AD1160" i="1"/>
  <c r="AG1160" i="1"/>
  <c r="AC1160" i="1"/>
  <c r="AD1161" i="1"/>
  <c r="AG1161" i="1"/>
  <c r="AC1161" i="1"/>
  <c r="AF1161" i="1"/>
  <c r="AE1165" i="1"/>
  <c r="AE1168" i="1"/>
  <c r="AD1168" i="1"/>
  <c r="AG1168" i="1"/>
  <c r="AC1168" i="1"/>
  <c r="AD1169" i="1"/>
  <c r="AG1169" i="1"/>
  <c r="AC1169" i="1"/>
  <c r="AF1169" i="1"/>
  <c r="AG1172" i="1"/>
  <c r="AC1172" i="1"/>
  <c r="AE1172" i="1"/>
  <c r="AF1172" i="1"/>
  <c r="AF1176" i="1"/>
  <c r="AD1176" i="1"/>
  <c r="AE1186" i="1"/>
  <c r="AG1186" i="1"/>
  <c r="AC1186" i="1"/>
  <c r="AF1186" i="1"/>
  <c r="AD1186" i="1"/>
  <c r="AF1192" i="1"/>
  <c r="AD1192" i="1"/>
  <c r="AC1202" i="1"/>
  <c r="AF1208" i="1"/>
  <c r="AD1208" i="1"/>
  <c r="AE1218" i="1"/>
  <c r="AG1218" i="1"/>
  <c r="AC1218" i="1"/>
  <c r="AF1218" i="1"/>
  <c r="AD1218" i="1"/>
  <c r="AF1224" i="1"/>
  <c r="AD1224" i="1"/>
  <c r="AE1234" i="1"/>
  <c r="AG1234" i="1"/>
  <c r="AC1234" i="1"/>
  <c r="AF1234" i="1"/>
  <c r="AD1234" i="1"/>
  <c r="AF1240" i="1"/>
  <c r="AD1240" i="1"/>
  <c r="AE1250" i="1"/>
  <c r="AG1250" i="1"/>
  <c r="AC1250" i="1"/>
  <c r="AF1250" i="1"/>
  <c r="AD1250" i="1"/>
  <c r="AF1256" i="1"/>
  <c r="AD1256" i="1"/>
  <c r="AE1266" i="1"/>
  <c r="AG1266" i="1"/>
  <c r="AC1266" i="1"/>
  <c r="AF1266" i="1"/>
  <c r="AD1266" i="1"/>
  <c r="AF1272" i="1"/>
  <c r="AD1272" i="1"/>
  <c r="AE1282" i="1"/>
  <c r="AD1282" i="1"/>
  <c r="AG1282" i="1"/>
  <c r="AC1282" i="1"/>
  <c r="AF1282" i="1"/>
  <c r="AD1296" i="1"/>
  <c r="AD1307" i="1"/>
  <c r="AG1307" i="1"/>
  <c r="AC1307" i="1"/>
  <c r="AF1307" i="1"/>
  <c r="AE1307" i="1"/>
  <c r="AE1314" i="1"/>
  <c r="AD1314" i="1"/>
  <c r="AG1314" i="1"/>
  <c r="AC1314" i="1"/>
  <c r="AF1314" i="1"/>
  <c r="AD1328" i="1"/>
  <c r="AD1339" i="1"/>
  <c r="AG1339" i="1"/>
  <c r="AC1339" i="1"/>
  <c r="AF1339" i="1"/>
  <c r="AE1339" i="1"/>
  <c r="AE1346" i="1"/>
  <c r="AD1346" i="1"/>
  <c r="AG1346" i="1"/>
  <c r="AC1346" i="1"/>
  <c r="AF1346" i="1"/>
  <c r="AD1360" i="1"/>
  <c r="AD1371" i="1"/>
  <c r="AG1371" i="1"/>
  <c r="AC1371" i="1"/>
  <c r="AF1371" i="1"/>
  <c r="AE1371" i="1"/>
  <c r="AE1378" i="1"/>
  <c r="AD1378" i="1"/>
  <c r="AG1378" i="1"/>
  <c r="AC1378" i="1"/>
  <c r="AF1378" i="1"/>
  <c r="AD1392" i="1"/>
  <c r="AC1403" i="1"/>
  <c r="AF1403" i="1"/>
  <c r="AE1410" i="1"/>
  <c r="AD1410" i="1"/>
  <c r="AG1410" i="1"/>
  <c r="AC1410" i="1"/>
  <c r="AF1410" i="1"/>
  <c r="AF1923" i="1"/>
  <c r="AE1923" i="1"/>
  <c r="AD1923" i="1"/>
  <c r="AG1923" i="1"/>
  <c r="AC1923" i="1"/>
  <c r="AF1931" i="1"/>
  <c r="AE1931" i="1"/>
  <c r="AD1931" i="1"/>
  <c r="AG1931" i="1"/>
  <c r="AC1931" i="1"/>
  <c r="AF1939" i="1"/>
  <c r="AE1939" i="1"/>
  <c r="AD1939" i="1"/>
  <c r="AG1939" i="1"/>
  <c r="AC1939" i="1"/>
  <c r="AF1947" i="1"/>
  <c r="AE1947" i="1"/>
  <c r="AD1947" i="1"/>
  <c r="AG1947" i="1"/>
  <c r="AC1947" i="1"/>
  <c r="AC1955" i="1"/>
  <c r="Y1959" i="1"/>
  <c r="M1959" i="1"/>
  <c r="R1959" i="1" s="1"/>
  <c r="AG2006" i="1"/>
  <c r="AC2006" i="1"/>
  <c r="AE2006" i="1"/>
  <c r="AF2006" i="1"/>
  <c r="AD2006" i="1"/>
  <c r="AE2499" i="1"/>
  <c r="AD2499" i="1"/>
  <c r="AG2499" i="1"/>
  <c r="AC2499" i="1"/>
  <c r="AF2499" i="1"/>
  <c r="AG2526" i="1"/>
  <c r="AD2541" i="1"/>
  <c r="AF2629" i="1"/>
  <c r="AD2629" i="1"/>
  <c r="AC2629" i="1"/>
  <c r="AG2629" i="1"/>
  <c r="AE2629" i="1"/>
  <c r="AG2668" i="1"/>
  <c r="AC2668" i="1"/>
  <c r="AE2668" i="1"/>
  <c r="AD2668" i="1"/>
  <c r="AF2668" i="1"/>
  <c r="AD2857" i="1"/>
  <c r="AG2857" i="1"/>
  <c r="AC2857" i="1"/>
  <c r="AF2857" i="1"/>
  <c r="AE2857" i="1"/>
  <c r="AE2923" i="1"/>
  <c r="AG2932" i="1"/>
  <c r="AC2932" i="1"/>
  <c r="AE2932" i="1"/>
  <c r="AF2932" i="1"/>
  <c r="AD2932" i="1"/>
  <c r="AE2950" i="1"/>
  <c r="AD2950" i="1"/>
  <c r="AG2950" i="1"/>
  <c r="AC2950" i="1"/>
  <c r="AF2950" i="1"/>
  <c r="AE297" i="1"/>
  <c r="AE301" i="1"/>
  <c r="AD302" i="1"/>
  <c r="AE305" i="1"/>
  <c r="AD306" i="1"/>
  <c r="AE309" i="1"/>
  <c r="AD310" i="1"/>
  <c r="AE313" i="1"/>
  <c r="AD314" i="1"/>
  <c r="AE317" i="1"/>
  <c r="AD318" i="1"/>
  <c r="AE321" i="1"/>
  <c r="AD322" i="1"/>
  <c r="AE325" i="1"/>
  <c r="AD326" i="1"/>
  <c r="AE329" i="1"/>
  <c r="AD330" i="1"/>
  <c r="AE333" i="1"/>
  <c r="AD334" i="1"/>
  <c r="AE337" i="1"/>
  <c r="AD338" i="1"/>
  <c r="AE341" i="1"/>
  <c r="AD342" i="1"/>
  <c r="AE345" i="1"/>
  <c r="AD346" i="1"/>
  <c r="AE349" i="1"/>
  <c r="AD350" i="1"/>
  <c r="AE353" i="1"/>
  <c r="AD354" i="1"/>
  <c r="AE357" i="1"/>
  <c r="AD358" i="1"/>
  <c r="AE361" i="1"/>
  <c r="AD362" i="1"/>
  <c r="AE365" i="1"/>
  <c r="AD366" i="1"/>
  <c r="AE369" i="1"/>
  <c r="AD370" i="1"/>
  <c r="AE373" i="1"/>
  <c r="AD374" i="1"/>
  <c r="AE377" i="1"/>
  <c r="AD378" i="1"/>
  <c r="AE381" i="1"/>
  <c r="AD382" i="1"/>
  <c r="AE385" i="1"/>
  <c r="AD386" i="1"/>
  <c r="AE389" i="1"/>
  <c r="AD390" i="1"/>
  <c r="AE393" i="1"/>
  <c r="AD394" i="1"/>
  <c r="AE397" i="1"/>
  <c r="AD398" i="1"/>
  <c r="AE401" i="1"/>
  <c r="AD402" i="1"/>
  <c r="AE405" i="1"/>
  <c r="AE409" i="1"/>
  <c r="AE413" i="1"/>
  <c r="AE417" i="1"/>
  <c r="AE421" i="1"/>
  <c r="AE425" i="1"/>
  <c r="AE429" i="1"/>
  <c r="AE433" i="1"/>
  <c r="AE437" i="1"/>
  <c r="AE441" i="1"/>
  <c r="AE445" i="1"/>
  <c r="AE449" i="1"/>
  <c r="AE453" i="1"/>
  <c r="AE457" i="1"/>
  <c r="AE461" i="1"/>
  <c r="AE465" i="1"/>
  <c r="AE469" i="1"/>
  <c r="AE473" i="1"/>
  <c r="AE477" i="1"/>
  <c r="AE481" i="1"/>
  <c r="AE485" i="1"/>
  <c r="AE489" i="1"/>
  <c r="AE493" i="1"/>
  <c r="AE497" i="1"/>
  <c r="AE501" i="1"/>
  <c r="AE505" i="1"/>
  <c r="AE509" i="1"/>
  <c r="AE513" i="1"/>
  <c r="AE517" i="1"/>
  <c r="AE521" i="1"/>
  <c r="AE525" i="1"/>
  <c r="AE529" i="1"/>
  <c r="AF537" i="1"/>
  <c r="AG537" i="1"/>
  <c r="AE542" i="1"/>
  <c r="AG542" i="1"/>
  <c r="M543" i="1"/>
  <c r="R543" i="1" s="1"/>
  <c r="AF553" i="1"/>
  <c r="AG553" i="1"/>
  <c r="AE558" i="1"/>
  <c r="AG558" i="1"/>
  <c r="M559" i="1"/>
  <c r="R559" i="1" s="1"/>
  <c r="AF569" i="1"/>
  <c r="AG569" i="1"/>
  <c r="AE574" i="1"/>
  <c r="AG574" i="1"/>
  <c r="M575" i="1"/>
  <c r="R575" i="1" s="1"/>
  <c r="AF585" i="1"/>
  <c r="AG585" i="1"/>
  <c r="AE590" i="1"/>
  <c r="AG590" i="1"/>
  <c r="M591" i="1"/>
  <c r="R591" i="1" s="1"/>
  <c r="AF601" i="1"/>
  <c r="AG601" i="1"/>
  <c r="AE606" i="1"/>
  <c r="AG606" i="1"/>
  <c r="M607" i="1"/>
  <c r="R607" i="1" s="1"/>
  <c r="AF617" i="1"/>
  <c r="AG617" i="1"/>
  <c r="AE622" i="1"/>
  <c r="AG622" i="1"/>
  <c r="M623" i="1"/>
  <c r="R623" i="1" s="1"/>
  <c r="AF633" i="1"/>
  <c r="AG633" i="1"/>
  <c r="AE638" i="1"/>
  <c r="AG638" i="1"/>
  <c r="M639" i="1"/>
  <c r="R639" i="1" s="1"/>
  <c r="Y649" i="1"/>
  <c r="M649" i="1"/>
  <c r="R649" i="1" s="1"/>
  <c r="AG650" i="1"/>
  <c r="AC650" i="1"/>
  <c r="AE650" i="1"/>
  <c r="AG654" i="1"/>
  <c r="AF655" i="1"/>
  <c r="AE655" i="1"/>
  <c r="AD655" i="1"/>
  <c r="AG662" i="1"/>
  <c r="AF663" i="1"/>
  <c r="AE663" i="1"/>
  <c r="AD663" i="1"/>
  <c r="AG670" i="1"/>
  <c r="AF671" i="1"/>
  <c r="AE671" i="1"/>
  <c r="AD671" i="1"/>
  <c r="AG678" i="1"/>
  <c r="AF679" i="1"/>
  <c r="AE679" i="1"/>
  <c r="AD679" i="1"/>
  <c r="AG686" i="1"/>
  <c r="AF687" i="1"/>
  <c r="AE687" i="1"/>
  <c r="AD687" i="1"/>
  <c r="AG694" i="1"/>
  <c r="AF695" i="1"/>
  <c r="AE695" i="1"/>
  <c r="AD695" i="1"/>
  <c r="AG702" i="1"/>
  <c r="AF703" i="1"/>
  <c r="AE703" i="1"/>
  <c r="AD703" i="1"/>
  <c r="AG710" i="1"/>
  <c r="AF711" i="1"/>
  <c r="AE711" i="1"/>
  <c r="AD711" i="1"/>
  <c r="AG718" i="1"/>
  <c r="AF719" i="1"/>
  <c r="AE719" i="1"/>
  <c r="AD719" i="1"/>
  <c r="AG726" i="1"/>
  <c r="AF727" i="1"/>
  <c r="AE727" i="1"/>
  <c r="AD727" i="1"/>
  <c r="AG734" i="1"/>
  <c r="AF735" i="1"/>
  <c r="AE735" i="1"/>
  <c r="AD735" i="1"/>
  <c r="AG742" i="1"/>
  <c r="AF743" i="1"/>
  <c r="AE743" i="1"/>
  <c r="AD743" i="1"/>
  <c r="AG750" i="1"/>
  <c r="AF751" i="1"/>
  <c r="AE751" i="1"/>
  <c r="AD751" i="1"/>
  <c r="AG758" i="1"/>
  <c r="AF759" i="1"/>
  <c r="AE759" i="1"/>
  <c r="AD759" i="1"/>
  <c r="AG766" i="1"/>
  <c r="AF767" i="1"/>
  <c r="AE767" i="1"/>
  <c r="AD767" i="1"/>
  <c r="AG774" i="1"/>
  <c r="AF775" i="1"/>
  <c r="AE775" i="1"/>
  <c r="AD775" i="1"/>
  <c r="AG782" i="1"/>
  <c r="AF783" i="1"/>
  <c r="AE783" i="1"/>
  <c r="AD783" i="1"/>
  <c r="AG790" i="1"/>
  <c r="AF791" i="1"/>
  <c r="AE791" i="1"/>
  <c r="AD791" i="1"/>
  <c r="AG798" i="1"/>
  <c r="AF799" i="1"/>
  <c r="AE799" i="1"/>
  <c r="AD799" i="1"/>
  <c r="AG806" i="1"/>
  <c r="AF807" i="1"/>
  <c r="AE807" i="1"/>
  <c r="AD807" i="1"/>
  <c r="AG814" i="1"/>
  <c r="AF815" i="1"/>
  <c r="AE815" i="1"/>
  <c r="AD815" i="1"/>
  <c r="AG822" i="1"/>
  <c r="AF823" i="1"/>
  <c r="AE823" i="1"/>
  <c r="AD823" i="1"/>
  <c r="AG830" i="1"/>
  <c r="AF831" i="1"/>
  <c r="AE831" i="1"/>
  <c r="AD831" i="1"/>
  <c r="AG838" i="1"/>
  <c r="AF839" i="1"/>
  <c r="AE839" i="1"/>
  <c r="AD839" i="1"/>
  <c r="AG846" i="1"/>
  <c r="AF847" i="1"/>
  <c r="AE847" i="1"/>
  <c r="AD847" i="1"/>
  <c r="AF855" i="1"/>
  <c r="AE855" i="1"/>
  <c r="AD855" i="1"/>
  <c r="AG862" i="1"/>
  <c r="AF863" i="1"/>
  <c r="AE863" i="1"/>
  <c r="AD863" i="1"/>
  <c r="AG870" i="1"/>
  <c r="AF871" i="1"/>
  <c r="AE871" i="1"/>
  <c r="AD871" i="1"/>
  <c r="AG878" i="1"/>
  <c r="AF879" i="1"/>
  <c r="AE879" i="1"/>
  <c r="AD879" i="1"/>
  <c r="AG886" i="1"/>
  <c r="AF887" i="1"/>
  <c r="AE887" i="1"/>
  <c r="AD887" i="1"/>
  <c r="AG894" i="1"/>
  <c r="AF895" i="1"/>
  <c r="AE895" i="1"/>
  <c r="AD895" i="1"/>
  <c r="AG902" i="1"/>
  <c r="AF903" i="1"/>
  <c r="AE903" i="1"/>
  <c r="AD903" i="1"/>
  <c r="AG910" i="1"/>
  <c r="AF911" i="1"/>
  <c r="AE911" i="1"/>
  <c r="AD911" i="1"/>
  <c r="AG918" i="1"/>
  <c r="AF919" i="1"/>
  <c r="AE919" i="1"/>
  <c r="AD919" i="1"/>
  <c r="AF927" i="1"/>
  <c r="AE927" i="1"/>
  <c r="AD927" i="1"/>
  <c r="AG934" i="1"/>
  <c r="AF935" i="1"/>
  <c r="AG942" i="1"/>
  <c r="AF943" i="1"/>
  <c r="AE943" i="1"/>
  <c r="AD943" i="1"/>
  <c r="AG950" i="1"/>
  <c r="AF951" i="1"/>
  <c r="AE951" i="1"/>
  <c r="AD951" i="1"/>
  <c r="AG958" i="1"/>
  <c r="AF959" i="1"/>
  <c r="AE959" i="1"/>
  <c r="AD959" i="1"/>
  <c r="AG966" i="1"/>
  <c r="AF967" i="1"/>
  <c r="AE967" i="1"/>
  <c r="AD967" i="1"/>
  <c r="AG974" i="1"/>
  <c r="AF975" i="1"/>
  <c r="AE975" i="1"/>
  <c r="AD975" i="1"/>
  <c r="AG982" i="1"/>
  <c r="AF983" i="1"/>
  <c r="AE983" i="1"/>
  <c r="AD983" i="1"/>
  <c r="AG990" i="1"/>
  <c r="AF991" i="1"/>
  <c r="AE991" i="1"/>
  <c r="AD991" i="1"/>
  <c r="AG998" i="1"/>
  <c r="AF999" i="1"/>
  <c r="AE999" i="1"/>
  <c r="AD999" i="1"/>
  <c r="AG1006" i="1"/>
  <c r="AG1014" i="1"/>
  <c r="AF1015" i="1"/>
  <c r="AE1015" i="1"/>
  <c r="AD1015" i="1"/>
  <c r="AG1022" i="1"/>
  <c r="AF1023" i="1"/>
  <c r="AE1023" i="1"/>
  <c r="AD1023" i="1"/>
  <c r="AG1030" i="1"/>
  <c r="AF1031" i="1"/>
  <c r="AE1031" i="1"/>
  <c r="AD1031" i="1"/>
  <c r="AG1038" i="1"/>
  <c r="AF1039" i="1"/>
  <c r="AE1039" i="1"/>
  <c r="AD1039" i="1"/>
  <c r="AG1046" i="1"/>
  <c r="AF1047" i="1"/>
  <c r="AE1047" i="1"/>
  <c r="AD1047" i="1"/>
  <c r="AG1054" i="1"/>
  <c r="AF1055" i="1"/>
  <c r="AE1055" i="1"/>
  <c r="AD1055" i="1"/>
  <c r="AG1062" i="1"/>
  <c r="AF1063" i="1"/>
  <c r="AE1063" i="1"/>
  <c r="AD1063" i="1"/>
  <c r="AG1070" i="1"/>
  <c r="AF1071" i="1"/>
  <c r="AE1071" i="1"/>
  <c r="AD1071" i="1"/>
  <c r="AF1072" i="1"/>
  <c r="AG1078" i="1"/>
  <c r="AE1079" i="1"/>
  <c r="AF1080" i="1"/>
  <c r="AG1086" i="1"/>
  <c r="AF1087" i="1"/>
  <c r="AE1087" i="1"/>
  <c r="AD1087" i="1"/>
  <c r="AF1088" i="1"/>
  <c r="AG1094" i="1"/>
  <c r="AF1095" i="1"/>
  <c r="AE1095" i="1"/>
  <c r="AD1095" i="1"/>
  <c r="AF1096" i="1"/>
  <c r="AG1102" i="1"/>
  <c r="AF1103" i="1"/>
  <c r="AE1103" i="1"/>
  <c r="AD1103" i="1"/>
  <c r="AF1104" i="1"/>
  <c r="AG1110" i="1"/>
  <c r="AE1111" i="1"/>
  <c r="AF1112" i="1"/>
  <c r="AG1118" i="1"/>
  <c r="AF1119" i="1"/>
  <c r="AE1119" i="1"/>
  <c r="AD1119" i="1"/>
  <c r="AF1120" i="1"/>
  <c r="AG1126" i="1"/>
  <c r="AF1127" i="1"/>
  <c r="AE1127" i="1"/>
  <c r="AD1127" i="1"/>
  <c r="AF1128" i="1"/>
  <c r="AG1134" i="1"/>
  <c r="AF1135" i="1"/>
  <c r="AE1135" i="1"/>
  <c r="AD1135" i="1"/>
  <c r="AF1136" i="1"/>
  <c r="AG1142" i="1"/>
  <c r="AF1143" i="1"/>
  <c r="AE1143" i="1"/>
  <c r="AD1143" i="1"/>
  <c r="AF1144" i="1"/>
  <c r="AG1150" i="1"/>
  <c r="AF1151" i="1"/>
  <c r="AE1151" i="1"/>
  <c r="AD1151" i="1"/>
  <c r="AF1152" i="1"/>
  <c r="AG1158" i="1"/>
  <c r="AE1159" i="1"/>
  <c r="AF1160" i="1"/>
  <c r="AG1166" i="1"/>
  <c r="AF1167" i="1"/>
  <c r="AE1167" i="1"/>
  <c r="AD1167" i="1"/>
  <c r="AF1168" i="1"/>
  <c r="AF1173" i="1"/>
  <c r="AD1173" i="1"/>
  <c r="AC1173" i="1"/>
  <c r="AG1173" i="1"/>
  <c r="AF1189" i="1"/>
  <c r="AD1189" i="1"/>
  <c r="AC1189" i="1"/>
  <c r="AG1189" i="1"/>
  <c r="AF1205" i="1"/>
  <c r="AD1205" i="1"/>
  <c r="AC1205" i="1"/>
  <c r="AG1205" i="1"/>
  <c r="AC1221" i="1"/>
  <c r="AG1221" i="1"/>
  <c r="AF1237" i="1"/>
  <c r="AD1237" i="1"/>
  <c r="AC1237" i="1"/>
  <c r="AG1237" i="1"/>
  <c r="AF1253" i="1"/>
  <c r="AD1253" i="1"/>
  <c r="AC1253" i="1"/>
  <c r="AG1253" i="1"/>
  <c r="AF1269" i="1"/>
  <c r="AD1269" i="1"/>
  <c r="AC1269" i="1"/>
  <c r="AG1269" i="1"/>
  <c r="AE1287" i="1"/>
  <c r="AD1288" i="1"/>
  <c r="AC1299" i="1"/>
  <c r="AF1299" i="1"/>
  <c r="AG1306" i="1"/>
  <c r="AC1306" i="1"/>
  <c r="AD1320" i="1"/>
  <c r="AD1331" i="1"/>
  <c r="AG1331" i="1"/>
  <c r="AC1331" i="1"/>
  <c r="AF1331" i="1"/>
  <c r="AE1331" i="1"/>
  <c r="AE1338" i="1"/>
  <c r="AD1338" i="1"/>
  <c r="AG1338" i="1"/>
  <c r="AC1338" i="1"/>
  <c r="AF1338" i="1"/>
  <c r="AE1351" i="1"/>
  <c r="AD1352" i="1"/>
  <c r="AD1363" i="1"/>
  <c r="AG1363" i="1"/>
  <c r="AC1363" i="1"/>
  <c r="AF1363" i="1"/>
  <c r="AE1363" i="1"/>
  <c r="AE1370" i="1"/>
  <c r="AD1370" i="1"/>
  <c r="AG1370" i="1"/>
  <c r="AC1370" i="1"/>
  <c r="AF1370" i="1"/>
  <c r="AE1383" i="1"/>
  <c r="AD1395" i="1"/>
  <c r="AG1395" i="1"/>
  <c r="AC1395" i="1"/>
  <c r="AF1395" i="1"/>
  <c r="AE1395" i="1"/>
  <c r="AE1402" i="1"/>
  <c r="AD1402" i="1"/>
  <c r="AG1402" i="1"/>
  <c r="AC1402" i="1"/>
  <c r="AF1402" i="1"/>
  <c r="AE1415" i="1"/>
  <c r="AD1416" i="1"/>
  <c r="AD1424" i="1"/>
  <c r="AE1431" i="1"/>
  <c r="AD1432" i="1"/>
  <c r="AE1439" i="1"/>
  <c r="AD1440" i="1"/>
  <c r="AE1447" i="1"/>
  <c r="AD1448" i="1"/>
  <c r="AE1455" i="1"/>
  <c r="AD1456" i="1"/>
  <c r="AE1463" i="1"/>
  <c r="AD1464" i="1"/>
  <c r="AE1471" i="1"/>
  <c r="AD1472" i="1"/>
  <c r="AE1479" i="1"/>
  <c r="AD1480" i="1"/>
  <c r="AE1487" i="1"/>
  <c r="AD1488" i="1"/>
  <c r="AD1496" i="1"/>
  <c r="AE1503" i="1"/>
  <c r="AD1504" i="1"/>
  <c r="AE1511" i="1"/>
  <c r="AD1512" i="1"/>
  <c r="AE1519" i="1"/>
  <c r="AD1520" i="1"/>
  <c r="AE1527" i="1"/>
  <c r="AD1528" i="1"/>
  <c r="AD1536" i="1"/>
  <c r="AD1544" i="1"/>
  <c r="AD1552" i="1"/>
  <c r="AE302" i="1"/>
  <c r="AE306" i="1"/>
  <c r="AE310" i="1"/>
  <c r="AE314" i="1"/>
  <c r="AE318" i="1"/>
  <c r="AE322" i="1"/>
  <c r="AE326" i="1"/>
  <c r="AE330" i="1"/>
  <c r="AE334" i="1"/>
  <c r="AE338" i="1"/>
  <c r="AE342" i="1"/>
  <c r="AE346" i="1"/>
  <c r="AE350" i="1"/>
  <c r="AE354" i="1"/>
  <c r="AE358" i="1"/>
  <c r="AE362" i="1"/>
  <c r="AE366" i="1"/>
  <c r="AE370" i="1"/>
  <c r="AE374" i="1"/>
  <c r="AE378" i="1"/>
  <c r="AE382" i="1"/>
  <c r="AE386" i="1"/>
  <c r="AE390" i="1"/>
  <c r="AE394" i="1"/>
  <c r="AE398" i="1"/>
  <c r="AE402" i="1"/>
  <c r="AF405" i="1"/>
  <c r="AF409" i="1"/>
  <c r="AF413" i="1"/>
  <c r="AF417" i="1"/>
  <c r="AF421" i="1"/>
  <c r="AF425" i="1"/>
  <c r="AF429" i="1"/>
  <c r="AF433" i="1"/>
  <c r="AF437" i="1"/>
  <c r="AF441" i="1"/>
  <c r="AF445" i="1"/>
  <c r="AF449" i="1"/>
  <c r="AF453" i="1"/>
  <c r="AF457" i="1"/>
  <c r="AF461" i="1"/>
  <c r="AF465" i="1"/>
  <c r="AF469" i="1"/>
  <c r="AF473" i="1"/>
  <c r="AF477" i="1"/>
  <c r="AF481" i="1"/>
  <c r="AF485" i="1"/>
  <c r="AF489" i="1"/>
  <c r="AF493" i="1"/>
  <c r="AF497" i="1"/>
  <c r="AF501" i="1"/>
  <c r="AF505" i="1"/>
  <c r="AF509" i="1"/>
  <c r="AF513" i="1"/>
  <c r="AF517" i="1"/>
  <c r="AF521" i="1"/>
  <c r="AF525" i="1"/>
  <c r="AF529" i="1"/>
  <c r="AF534" i="1"/>
  <c r="AD539" i="1"/>
  <c r="AG539" i="1"/>
  <c r="AE545" i="1"/>
  <c r="AE546" i="1"/>
  <c r="AG546" i="1"/>
  <c r="AF550" i="1"/>
  <c r="AD555" i="1"/>
  <c r="AG555" i="1"/>
  <c r="AE561" i="1"/>
  <c r="AE562" i="1"/>
  <c r="AG562" i="1"/>
  <c r="AF566" i="1"/>
  <c r="AD571" i="1"/>
  <c r="AG571" i="1"/>
  <c r="AF573" i="1"/>
  <c r="AG573" i="1"/>
  <c r="AE577" i="1"/>
  <c r="AE578" i="1"/>
  <c r="AG578" i="1"/>
  <c r="AF582" i="1"/>
  <c r="AD587" i="1"/>
  <c r="AG587" i="1"/>
  <c r="AE593" i="1"/>
  <c r="AE594" i="1"/>
  <c r="AG594" i="1"/>
  <c r="AF598" i="1"/>
  <c r="AD603" i="1"/>
  <c r="AG603" i="1"/>
  <c r="AE609" i="1"/>
  <c r="AE610" i="1"/>
  <c r="AG610" i="1"/>
  <c r="AF614" i="1"/>
  <c r="AD619" i="1"/>
  <c r="AG619" i="1"/>
  <c r="AE625" i="1"/>
  <c r="AE626" i="1"/>
  <c r="AG626" i="1"/>
  <c r="AF630" i="1"/>
  <c r="AD635" i="1"/>
  <c r="AG635" i="1"/>
  <c r="AE641" i="1"/>
  <c r="AE642" i="1"/>
  <c r="AG642" i="1"/>
  <c r="AF646" i="1"/>
  <c r="AE648" i="1"/>
  <c r="AG648" i="1"/>
  <c r="AC648" i="1"/>
  <c r="AF651" i="1"/>
  <c r="AE651" i="1"/>
  <c r="AD651" i="1"/>
  <c r="AG651" i="1"/>
  <c r="AE652" i="1"/>
  <c r="AD652" i="1"/>
  <c r="AG652" i="1"/>
  <c r="AC652" i="1"/>
  <c r="AD653" i="1"/>
  <c r="AG653" i="1"/>
  <c r="AC653" i="1"/>
  <c r="AF653" i="1"/>
  <c r="AE660" i="1"/>
  <c r="AD660" i="1"/>
  <c r="AG660" i="1"/>
  <c r="AC660" i="1"/>
  <c r="AD661" i="1"/>
  <c r="AG661" i="1"/>
  <c r="AC661" i="1"/>
  <c r="AF661" i="1"/>
  <c r="AE668" i="1"/>
  <c r="AD668" i="1"/>
  <c r="AG668" i="1"/>
  <c r="AC668" i="1"/>
  <c r="AD669" i="1"/>
  <c r="AG669" i="1"/>
  <c r="AC669" i="1"/>
  <c r="AF669" i="1"/>
  <c r="AE676" i="1"/>
  <c r="AD676" i="1"/>
  <c r="AG676" i="1"/>
  <c r="AC676" i="1"/>
  <c r="AD677" i="1"/>
  <c r="AG677" i="1"/>
  <c r="AC677" i="1"/>
  <c r="AF677" i="1"/>
  <c r="AE684" i="1"/>
  <c r="AD684" i="1"/>
  <c r="AG684" i="1"/>
  <c r="AC684" i="1"/>
  <c r="AD685" i="1"/>
  <c r="AG685" i="1"/>
  <c r="AC685" i="1"/>
  <c r="AF685" i="1"/>
  <c r="AE692" i="1"/>
  <c r="AD692" i="1"/>
  <c r="AG692" i="1"/>
  <c r="AC692" i="1"/>
  <c r="AD693" i="1"/>
  <c r="AG693" i="1"/>
  <c r="AC693" i="1"/>
  <c r="AF693" i="1"/>
  <c r="AE700" i="1"/>
  <c r="AD700" i="1"/>
  <c r="AG700" i="1"/>
  <c r="AC700" i="1"/>
  <c r="AD701" i="1"/>
  <c r="AG701" i="1"/>
  <c r="AC701" i="1"/>
  <c r="AF701" i="1"/>
  <c r="AE708" i="1"/>
  <c r="AD708" i="1"/>
  <c r="AG708" i="1"/>
  <c r="AC708" i="1"/>
  <c r="AD709" i="1"/>
  <c r="AG709" i="1"/>
  <c r="AC709" i="1"/>
  <c r="AF709" i="1"/>
  <c r="AE716" i="1"/>
  <c r="AD716" i="1"/>
  <c r="AG716" i="1"/>
  <c r="AC716" i="1"/>
  <c r="AD717" i="1"/>
  <c r="AG717" i="1"/>
  <c r="AC717" i="1"/>
  <c r="AF717" i="1"/>
  <c r="AE724" i="1"/>
  <c r="AD724" i="1"/>
  <c r="AG724" i="1"/>
  <c r="AC724" i="1"/>
  <c r="AD725" i="1"/>
  <c r="AG725" i="1"/>
  <c r="AC725" i="1"/>
  <c r="AF725" i="1"/>
  <c r="AE732" i="1"/>
  <c r="AD732" i="1"/>
  <c r="AG732" i="1"/>
  <c r="AC732" i="1"/>
  <c r="AD733" i="1"/>
  <c r="AG733" i="1"/>
  <c r="AC733" i="1"/>
  <c r="AF733" i="1"/>
  <c r="AE740" i="1"/>
  <c r="AD740" i="1"/>
  <c r="AG740" i="1"/>
  <c r="AC740" i="1"/>
  <c r="AD741" i="1"/>
  <c r="AG741" i="1"/>
  <c r="AC741" i="1"/>
  <c r="AF741" i="1"/>
  <c r="AE748" i="1"/>
  <c r="AD748" i="1"/>
  <c r="AG748" i="1"/>
  <c r="AC748" i="1"/>
  <c r="AD749" i="1"/>
  <c r="AG749" i="1"/>
  <c r="AC749" i="1"/>
  <c r="AF749" i="1"/>
  <c r="AE756" i="1"/>
  <c r="AD756" i="1"/>
  <c r="AG756" i="1"/>
  <c r="AC756" i="1"/>
  <c r="AD757" i="1"/>
  <c r="AG757" i="1"/>
  <c r="AC757" i="1"/>
  <c r="AF757" i="1"/>
  <c r="AE764" i="1"/>
  <c r="AD764" i="1"/>
  <c r="AG764" i="1"/>
  <c r="AC764" i="1"/>
  <c r="AD765" i="1"/>
  <c r="AG765" i="1"/>
  <c r="AC765" i="1"/>
  <c r="AF765" i="1"/>
  <c r="AE772" i="1"/>
  <c r="AD772" i="1"/>
  <c r="AG772" i="1"/>
  <c r="AC772" i="1"/>
  <c r="AD773" i="1"/>
  <c r="AG773" i="1"/>
  <c r="AC773" i="1"/>
  <c r="AF773" i="1"/>
  <c r="AE780" i="1"/>
  <c r="AD780" i="1"/>
  <c r="AG780" i="1"/>
  <c r="AC780" i="1"/>
  <c r="AD781" i="1"/>
  <c r="AG781" i="1"/>
  <c r="AC781" i="1"/>
  <c r="AF781" i="1"/>
  <c r="AE788" i="1"/>
  <c r="AD788" i="1"/>
  <c r="AG788" i="1"/>
  <c r="AC788" i="1"/>
  <c r="AD789" i="1"/>
  <c r="AG789" i="1"/>
  <c r="AC789" i="1"/>
  <c r="AF789" i="1"/>
  <c r="AE796" i="1"/>
  <c r="AD796" i="1"/>
  <c r="AG796" i="1"/>
  <c r="AC796" i="1"/>
  <c r="AD797" i="1"/>
  <c r="AG797" i="1"/>
  <c r="AC797" i="1"/>
  <c r="AF797" i="1"/>
  <c r="AE804" i="1"/>
  <c r="AD804" i="1"/>
  <c r="AG804" i="1"/>
  <c r="AC804" i="1"/>
  <c r="AD805" i="1"/>
  <c r="AG805" i="1"/>
  <c r="AC805" i="1"/>
  <c r="AF805" i="1"/>
  <c r="AE812" i="1"/>
  <c r="AD812" i="1"/>
  <c r="AG812" i="1"/>
  <c r="AC812" i="1"/>
  <c r="AD813" i="1"/>
  <c r="AG813" i="1"/>
  <c r="AC813" i="1"/>
  <c r="AF813" i="1"/>
  <c r="AE820" i="1"/>
  <c r="AD820" i="1"/>
  <c r="AG820" i="1"/>
  <c r="AC820" i="1"/>
  <c r="AD821" i="1"/>
  <c r="AG821" i="1"/>
  <c r="AC821" i="1"/>
  <c r="AF821" i="1"/>
  <c r="AE828" i="1"/>
  <c r="AD828" i="1"/>
  <c r="AG828" i="1"/>
  <c r="AC828" i="1"/>
  <c r="AC829" i="1"/>
  <c r="AF829" i="1"/>
  <c r="AE836" i="1"/>
  <c r="AD836" i="1"/>
  <c r="AG836" i="1"/>
  <c r="AC836" i="1"/>
  <c r="AD837" i="1"/>
  <c r="AG837" i="1"/>
  <c r="AC837" i="1"/>
  <c r="AF837" i="1"/>
  <c r="AE844" i="1"/>
  <c r="AD844" i="1"/>
  <c r="AG844" i="1"/>
  <c r="AC844" i="1"/>
  <c r="AD845" i="1"/>
  <c r="AG845" i="1"/>
  <c r="AC845" i="1"/>
  <c r="AF845" i="1"/>
  <c r="AE852" i="1"/>
  <c r="AD852" i="1"/>
  <c r="AG852" i="1"/>
  <c r="AC852" i="1"/>
  <c r="AD853" i="1"/>
  <c r="AG853" i="1"/>
  <c r="AC853" i="1"/>
  <c r="AF853" i="1"/>
  <c r="AE860" i="1"/>
  <c r="AD860" i="1"/>
  <c r="AG860" i="1"/>
  <c r="AC860" i="1"/>
  <c r="AC861" i="1"/>
  <c r="AF861" i="1"/>
  <c r="AC868" i="1"/>
  <c r="AD869" i="1"/>
  <c r="AG869" i="1"/>
  <c r="AC869" i="1"/>
  <c r="AF869" i="1"/>
  <c r="AE876" i="1"/>
  <c r="AD876" i="1"/>
  <c r="AG876" i="1"/>
  <c r="AC876" i="1"/>
  <c r="AD877" i="1"/>
  <c r="AG877" i="1"/>
  <c r="AC877" i="1"/>
  <c r="AF877" i="1"/>
  <c r="AC884" i="1"/>
  <c r="AD885" i="1"/>
  <c r="AG885" i="1"/>
  <c r="AC885" i="1"/>
  <c r="AF885" i="1"/>
  <c r="AE892" i="1"/>
  <c r="AD892" i="1"/>
  <c r="AG892" i="1"/>
  <c r="AC892" i="1"/>
  <c r="AD893" i="1"/>
  <c r="AG893" i="1"/>
  <c r="AC893" i="1"/>
  <c r="AF893" i="1"/>
  <c r="AE900" i="1"/>
  <c r="AD900" i="1"/>
  <c r="AG900" i="1"/>
  <c r="AC900" i="1"/>
  <c r="AD901" i="1"/>
  <c r="AG901" i="1"/>
  <c r="AC901" i="1"/>
  <c r="AF901" i="1"/>
  <c r="AE908" i="1"/>
  <c r="AD908" i="1"/>
  <c r="AG908" i="1"/>
  <c r="AC908" i="1"/>
  <c r="AD909" i="1"/>
  <c r="AG909" i="1"/>
  <c r="AC909" i="1"/>
  <c r="AF909" i="1"/>
  <c r="AE916" i="1"/>
  <c r="AD916" i="1"/>
  <c r="AG916" i="1"/>
  <c r="AC916" i="1"/>
  <c r="AD917" i="1"/>
  <c r="AG917" i="1"/>
  <c r="AC917" i="1"/>
  <c r="AF917" i="1"/>
  <c r="AE924" i="1"/>
  <c r="AD924" i="1"/>
  <c r="AG924" i="1"/>
  <c r="AC924" i="1"/>
  <c r="AD925" i="1"/>
  <c r="AG925" i="1"/>
  <c r="AC925" i="1"/>
  <c r="AF925" i="1"/>
  <c r="AE932" i="1"/>
  <c r="AD932" i="1"/>
  <c r="AG932" i="1"/>
  <c r="AC932" i="1"/>
  <c r="AD933" i="1"/>
  <c r="AG933" i="1"/>
  <c r="AC933" i="1"/>
  <c r="AF933" i="1"/>
  <c r="AE940" i="1"/>
  <c r="AD940" i="1"/>
  <c r="AG940" i="1"/>
  <c r="AC940" i="1"/>
  <c r="AD941" i="1"/>
  <c r="AG941" i="1"/>
  <c r="AC941" i="1"/>
  <c r="AF941" i="1"/>
  <c r="AE948" i="1"/>
  <c r="AD948" i="1"/>
  <c r="AG948" i="1"/>
  <c r="AC948" i="1"/>
  <c r="AD949" i="1"/>
  <c r="AG949" i="1"/>
  <c r="AC949" i="1"/>
  <c r="AF949" i="1"/>
  <c r="AE956" i="1"/>
  <c r="AD956" i="1"/>
  <c r="AG956" i="1"/>
  <c r="AC956" i="1"/>
  <c r="AD957" i="1"/>
  <c r="AG957" i="1"/>
  <c r="AC957" i="1"/>
  <c r="AF957" i="1"/>
  <c r="AE964" i="1"/>
  <c r="AD964" i="1"/>
  <c r="AG964" i="1"/>
  <c r="AC964" i="1"/>
  <c r="AD965" i="1"/>
  <c r="AG965" i="1"/>
  <c r="AC965" i="1"/>
  <c r="AF965" i="1"/>
  <c r="AE972" i="1"/>
  <c r="AD972" i="1"/>
  <c r="AG972" i="1"/>
  <c r="AC972" i="1"/>
  <c r="AD973" i="1"/>
  <c r="AG973" i="1"/>
  <c r="AC973" i="1"/>
  <c r="AF973" i="1"/>
  <c r="AE980" i="1"/>
  <c r="AD980" i="1"/>
  <c r="AG980" i="1"/>
  <c r="AC980" i="1"/>
  <c r="AD981" i="1"/>
  <c r="AG981" i="1"/>
  <c r="AC981" i="1"/>
  <c r="AF981" i="1"/>
  <c r="AE988" i="1"/>
  <c r="AD988" i="1"/>
  <c r="AG988" i="1"/>
  <c r="AC988" i="1"/>
  <c r="AD989" i="1"/>
  <c r="AG989" i="1"/>
  <c r="AC989" i="1"/>
  <c r="AF989" i="1"/>
  <c r="AE996" i="1"/>
  <c r="AD996" i="1"/>
  <c r="AG996" i="1"/>
  <c r="AC996" i="1"/>
  <c r="AD997" i="1"/>
  <c r="AG997" i="1"/>
  <c r="AC997" i="1"/>
  <c r="AF997" i="1"/>
  <c r="AE1004" i="1"/>
  <c r="AD1004" i="1"/>
  <c r="AG1004" i="1"/>
  <c r="AC1004" i="1"/>
  <c r="AC1005" i="1"/>
  <c r="AF1005" i="1"/>
  <c r="AE1012" i="1"/>
  <c r="AD1012" i="1"/>
  <c r="AG1012" i="1"/>
  <c r="AC1012" i="1"/>
  <c r="AD1013" i="1"/>
  <c r="AG1013" i="1"/>
  <c r="AC1013" i="1"/>
  <c r="AF1013" i="1"/>
  <c r="AE1020" i="1"/>
  <c r="AD1020" i="1"/>
  <c r="AG1020" i="1"/>
  <c r="AC1020" i="1"/>
  <c r="AD1021" i="1"/>
  <c r="AG1021" i="1"/>
  <c r="AC1021" i="1"/>
  <c r="AF1021" i="1"/>
  <c r="AE1028" i="1"/>
  <c r="AD1028" i="1"/>
  <c r="AG1028" i="1"/>
  <c r="AC1028" i="1"/>
  <c r="AD1029" i="1"/>
  <c r="AG1029" i="1"/>
  <c r="AC1029" i="1"/>
  <c r="AF1029" i="1"/>
  <c r="AE1036" i="1"/>
  <c r="AD1036" i="1"/>
  <c r="AG1036" i="1"/>
  <c r="AC1036" i="1"/>
  <c r="AD1037" i="1"/>
  <c r="AG1037" i="1"/>
  <c r="AC1037" i="1"/>
  <c r="AF1037" i="1"/>
  <c r="AE1044" i="1"/>
  <c r="AD1044" i="1"/>
  <c r="AG1044" i="1"/>
  <c r="AC1044" i="1"/>
  <c r="AC1045" i="1"/>
  <c r="AF1045" i="1"/>
  <c r="AE1052" i="1"/>
  <c r="AD1052" i="1"/>
  <c r="AG1052" i="1"/>
  <c r="AC1052" i="1"/>
  <c r="AD1053" i="1"/>
  <c r="AG1053" i="1"/>
  <c r="AC1053" i="1"/>
  <c r="AF1053" i="1"/>
  <c r="AE1060" i="1"/>
  <c r="AD1060" i="1"/>
  <c r="AG1060" i="1"/>
  <c r="AC1060" i="1"/>
  <c r="AD1061" i="1"/>
  <c r="AG1061" i="1"/>
  <c r="AC1061" i="1"/>
  <c r="AF1061" i="1"/>
  <c r="AE1068" i="1"/>
  <c r="AD1068" i="1"/>
  <c r="AG1068" i="1"/>
  <c r="AC1068" i="1"/>
  <c r="AD1069" i="1"/>
  <c r="AG1069" i="1"/>
  <c r="AC1069" i="1"/>
  <c r="AF1069" i="1"/>
  <c r="AD1070" i="1"/>
  <c r="AE1073" i="1"/>
  <c r="AE1076" i="1"/>
  <c r="AD1076" i="1"/>
  <c r="AG1076" i="1"/>
  <c r="AC1076" i="1"/>
  <c r="AD1077" i="1"/>
  <c r="AG1077" i="1"/>
  <c r="AC1077" i="1"/>
  <c r="AF1077" i="1"/>
  <c r="AD1078" i="1"/>
  <c r="AE1081" i="1"/>
  <c r="AE1084" i="1"/>
  <c r="AD1084" i="1"/>
  <c r="AG1084" i="1"/>
  <c r="AC1084" i="1"/>
  <c r="AD1085" i="1"/>
  <c r="AG1085" i="1"/>
  <c r="AC1085" i="1"/>
  <c r="AF1085" i="1"/>
  <c r="AD1086" i="1"/>
  <c r="AE1089" i="1"/>
  <c r="AE1092" i="1"/>
  <c r="AD1092" i="1"/>
  <c r="AG1092" i="1"/>
  <c r="AC1092" i="1"/>
  <c r="AG1093" i="1"/>
  <c r="AC1093" i="1"/>
  <c r="AD1094" i="1"/>
  <c r="AE1097" i="1"/>
  <c r="AE1100" i="1"/>
  <c r="AD1100" i="1"/>
  <c r="AG1100" i="1"/>
  <c r="AC1100" i="1"/>
  <c r="AD1101" i="1"/>
  <c r="AG1101" i="1"/>
  <c r="AC1101" i="1"/>
  <c r="AF1101" i="1"/>
  <c r="AD1102" i="1"/>
  <c r="AE1105" i="1"/>
  <c r="AE1108" i="1"/>
  <c r="AD1108" i="1"/>
  <c r="AG1108" i="1"/>
  <c r="AC1108" i="1"/>
  <c r="AD1109" i="1"/>
  <c r="AG1109" i="1"/>
  <c r="AC1109" i="1"/>
  <c r="AF1109" i="1"/>
  <c r="AD1110" i="1"/>
  <c r="AE1113" i="1"/>
  <c r="AE1116" i="1"/>
  <c r="AD1116" i="1"/>
  <c r="AG1116" i="1"/>
  <c r="AC1116" i="1"/>
  <c r="AD1117" i="1"/>
  <c r="AG1117" i="1"/>
  <c r="AC1117" i="1"/>
  <c r="AF1117" i="1"/>
  <c r="AD1118" i="1"/>
  <c r="AE1121" i="1"/>
  <c r="AE1124" i="1"/>
  <c r="AD1124" i="1"/>
  <c r="AG1124" i="1"/>
  <c r="AC1124" i="1"/>
  <c r="AD1125" i="1"/>
  <c r="AG1125" i="1"/>
  <c r="AC1125" i="1"/>
  <c r="AF1125" i="1"/>
  <c r="AD1126" i="1"/>
  <c r="AE1129" i="1"/>
  <c r="AE1132" i="1"/>
  <c r="AD1132" i="1"/>
  <c r="AG1132" i="1"/>
  <c r="AC1132" i="1"/>
  <c r="AD1133" i="1"/>
  <c r="AG1133" i="1"/>
  <c r="AC1133" i="1"/>
  <c r="AF1133" i="1"/>
  <c r="AD1134" i="1"/>
  <c r="AE1137" i="1"/>
  <c r="AE1140" i="1"/>
  <c r="AD1140" i="1"/>
  <c r="AG1140" i="1"/>
  <c r="AC1140" i="1"/>
  <c r="AD1141" i="1"/>
  <c r="AG1141" i="1"/>
  <c r="AC1141" i="1"/>
  <c r="AF1141" i="1"/>
  <c r="AD1142" i="1"/>
  <c r="AE1145" i="1"/>
  <c r="AE1148" i="1"/>
  <c r="AD1148" i="1"/>
  <c r="AG1148" i="1"/>
  <c r="AC1148" i="1"/>
  <c r="AD1149" i="1"/>
  <c r="AG1149" i="1"/>
  <c r="AC1149" i="1"/>
  <c r="AF1149" i="1"/>
  <c r="AD1150" i="1"/>
  <c r="AE1153" i="1"/>
  <c r="AE1156" i="1"/>
  <c r="AD1156" i="1"/>
  <c r="AG1156" i="1"/>
  <c r="AC1156" i="1"/>
  <c r="AD1157" i="1"/>
  <c r="AG1157" i="1"/>
  <c r="AC1157" i="1"/>
  <c r="AF1157" i="1"/>
  <c r="AD1158" i="1"/>
  <c r="AE1161" i="1"/>
  <c r="AE1164" i="1"/>
  <c r="AD1164" i="1"/>
  <c r="AG1164" i="1"/>
  <c r="AC1164" i="1"/>
  <c r="AD1165" i="1"/>
  <c r="AG1165" i="1"/>
  <c r="AC1165" i="1"/>
  <c r="AF1165" i="1"/>
  <c r="AD1166" i="1"/>
  <c r="AE1169" i="1"/>
  <c r="AD1172" i="1"/>
  <c r="AE1178" i="1"/>
  <c r="AG1178" i="1"/>
  <c r="AC1178" i="1"/>
  <c r="AF1178" i="1"/>
  <c r="AD1178" i="1"/>
  <c r="AF1184" i="1"/>
  <c r="AD1184" i="1"/>
  <c r="AE1194" i="1"/>
  <c r="AG1194" i="1"/>
  <c r="AC1194" i="1"/>
  <c r="AF1194" i="1"/>
  <c r="AD1194" i="1"/>
  <c r="AF1200" i="1"/>
  <c r="AD1200" i="1"/>
  <c r="AE1210" i="1"/>
  <c r="AG1210" i="1"/>
  <c r="AC1210" i="1"/>
  <c r="AF1210" i="1"/>
  <c r="AD1210" i="1"/>
  <c r="AF1216" i="1"/>
  <c r="AD1216" i="1"/>
  <c r="AE1226" i="1"/>
  <c r="AG1226" i="1"/>
  <c r="AC1226" i="1"/>
  <c r="AF1226" i="1"/>
  <c r="AD1226" i="1"/>
  <c r="AF1232" i="1"/>
  <c r="AD1232" i="1"/>
  <c r="AE1242" i="1"/>
  <c r="AC1242" i="1"/>
  <c r="AD1242" i="1"/>
  <c r="AF1248" i="1"/>
  <c r="AD1248" i="1"/>
  <c r="AE1258" i="1"/>
  <c r="AC1258" i="1"/>
  <c r="AD1258" i="1"/>
  <c r="AF1264" i="1"/>
  <c r="AD1264" i="1"/>
  <c r="AE1274" i="1"/>
  <c r="AG1274" i="1"/>
  <c r="AC1274" i="1"/>
  <c r="AF1274" i="1"/>
  <c r="AD1274" i="1"/>
  <c r="AF1280" i="1"/>
  <c r="AD1280" i="1"/>
  <c r="AD1291" i="1"/>
  <c r="AG1291" i="1"/>
  <c r="AC1291" i="1"/>
  <c r="AF1291" i="1"/>
  <c r="AE1291" i="1"/>
  <c r="AE1298" i="1"/>
  <c r="AD1298" i="1"/>
  <c r="AG1298" i="1"/>
  <c r="AC1298" i="1"/>
  <c r="AF1298" i="1"/>
  <c r="AD1312" i="1"/>
  <c r="AD1323" i="1"/>
  <c r="AG1323" i="1"/>
  <c r="AC1323" i="1"/>
  <c r="AF1323" i="1"/>
  <c r="AE1323" i="1"/>
  <c r="AE1330" i="1"/>
  <c r="AD1330" i="1"/>
  <c r="AG1330" i="1"/>
  <c r="AC1330" i="1"/>
  <c r="AF1330" i="1"/>
  <c r="AD1344" i="1"/>
  <c r="AD1355" i="1"/>
  <c r="AG1355" i="1"/>
  <c r="AC1355" i="1"/>
  <c r="AF1355" i="1"/>
  <c r="AE1355" i="1"/>
  <c r="AE1362" i="1"/>
  <c r="AD1362" i="1"/>
  <c r="AG1362" i="1"/>
  <c r="AC1362" i="1"/>
  <c r="AF1362" i="1"/>
  <c r="AD1376" i="1"/>
  <c r="AG1387" i="1"/>
  <c r="AC1387" i="1"/>
  <c r="AE1394" i="1"/>
  <c r="AD1394" i="1"/>
  <c r="AG1394" i="1"/>
  <c r="AC1394" i="1"/>
  <c r="AF1394" i="1"/>
  <c r="AD1408" i="1"/>
  <c r="AD1419" i="1"/>
  <c r="AC1419" i="1"/>
  <c r="AE1419" i="1"/>
  <c r="AD1427" i="1"/>
  <c r="AG1427" i="1"/>
  <c r="AC1427" i="1"/>
  <c r="AF1427" i="1"/>
  <c r="AE1427" i="1"/>
  <c r="AD1435" i="1"/>
  <c r="AG1435" i="1"/>
  <c r="AC1435" i="1"/>
  <c r="AF1435" i="1"/>
  <c r="AE1435" i="1"/>
  <c r="AD1443" i="1"/>
  <c r="AG1443" i="1"/>
  <c r="AC1443" i="1"/>
  <c r="AF1443" i="1"/>
  <c r="AE1443" i="1"/>
  <c r="AD1451" i="1"/>
  <c r="AG1451" i="1"/>
  <c r="AC1451" i="1"/>
  <c r="AF1451" i="1"/>
  <c r="AE1451" i="1"/>
  <c r="AD1459" i="1"/>
  <c r="AG1459" i="1"/>
  <c r="AC1459" i="1"/>
  <c r="AF1459" i="1"/>
  <c r="AE1459" i="1"/>
  <c r="AD1467" i="1"/>
  <c r="AG1467" i="1"/>
  <c r="AC1467" i="1"/>
  <c r="AF1467" i="1"/>
  <c r="AE1467" i="1"/>
  <c r="AD1475" i="1"/>
  <c r="AG1475" i="1"/>
  <c r="AC1475" i="1"/>
  <c r="AF1475" i="1"/>
  <c r="AE1475" i="1"/>
  <c r="AD1483" i="1"/>
  <c r="AG1483" i="1"/>
  <c r="AC1483" i="1"/>
  <c r="AF1483" i="1"/>
  <c r="AE1483" i="1"/>
  <c r="AD1491" i="1"/>
  <c r="AG1491" i="1"/>
  <c r="AC1491" i="1"/>
  <c r="AF1491" i="1"/>
  <c r="AE1491" i="1"/>
  <c r="AD1499" i="1"/>
  <c r="AG1499" i="1"/>
  <c r="AC1499" i="1"/>
  <c r="AF1499" i="1"/>
  <c r="AE1499" i="1"/>
  <c r="AG1507" i="1"/>
  <c r="AC1507" i="1"/>
  <c r="AD1515" i="1"/>
  <c r="AG1515" i="1"/>
  <c r="AC1515" i="1"/>
  <c r="AF1515" i="1"/>
  <c r="AE1515" i="1"/>
  <c r="AD1523" i="1"/>
  <c r="AG1523" i="1"/>
  <c r="AC1523" i="1"/>
  <c r="AF1523" i="1"/>
  <c r="AE1523" i="1"/>
  <c r="AD1531" i="1"/>
  <c r="AG1531" i="1"/>
  <c r="AC1531" i="1"/>
  <c r="AF1531" i="1"/>
  <c r="AE1531" i="1"/>
  <c r="AG1539" i="1"/>
  <c r="AC1539" i="1"/>
  <c r="AD1547" i="1"/>
  <c r="AG1547" i="1"/>
  <c r="AC1547" i="1"/>
  <c r="AF1547" i="1"/>
  <c r="AE1547" i="1"/>
  <c r="AF1555" i="1"/>
  <c r="AD1555" i="1"/>
  <c r="AG1555" i="1"/>
  <c r="AE1555" i="1"/>
  <c r="AC1555" i="1"/>
  <c r="AD1613" i="1"/>
  <c r="AF1613" i="1"/>
  <c r="AC1613" i="1"/>
  <c r="AG1613" i="1"/>
  <c r="AE1613" i="1"/>
  <c r="AD1629" i="1"/>
  <c r="AF1629" i="1"/>
  <c r="AC1629" i="1"/>
  <c r="AG1629" i="1"/>
  <c r="AE1629" i="1"/>
  <c r="AC405" i="1"/>
  <c r="M408" i="1"/>
  <c r="R408" i="1" s="1"/>
  <c r="AC409" i="1"/>
  <c r="M412" i="1"/>
  <c r="R412" i="1" s="1"/>
  <c r="AC413" i="1"/>
  <c r="M416" i="1"/>
  <c r="R416" i="1" s="1"/>
  <c r="AC417" i="1"/>
  <c r="M420" i="1"/>
  <c r="R420" i="1" s="1"/>
  <c r="AC421" i="1"/>
  <c r="M424" i="1"/>
  <c r="R424" i="1" s="1"/>
  <c r="AC425" i="1"/>
  <c r="M428" i="1"/>
  <c r="R428" i="1" s="1"/>
  <c r="AC429" i="1"/>
  <c r="M432" i="1"/>
  <c r="R432" i="1" s="1"/>
  <c r="AC433" i="1"/>
  <c r="M436" i="1"/>
  <c r="R436" i="1" s="1"/>
  <c r="AC437" i="1"/>
  <c r="M440" i="1"/>
  <c r="R440" i="1" s="1"/>
  <c r="AC441" i="1"/>
  <c r="M444" i="1"/>
  <c r="R444" i="1" s="1"/>
  <c r="AC445" i="1"/>
  <c r="M448" i="1"/>
  <c r="R448" i="1" s="1"/>
  <c r="AC449" i="1"/>
  <c r="M452" i="1"/>
  <c r="R452" i="1" s="1"/>
  <c r="AC453" i="1"/>
  <c r="M456" i="1"/>
  <c r="R456" i="1" s="1"/>
  <c r="AC457" i="1"/>
  <c r="M460" i="1"/>
  <c r="R460" i="1" s="1"/>
  <c r="AC461" i="1"/>
  <c r="M464" i="1"/>
  <c r="R464" i="1" s="1"/>
  <c r="AC465" i="1"/>
  <c r="M468" i="1"/>
  <c r="R468" i="1" s="1"/>
  <c r="AC469" i="1"/>
  <c r="M472" i="1"/>
  <c r="R472" i="1" s="1"/>
  <c r="AC473" i="1"/>
  <c r="M476" i="1"/>
  <c r="R476" i="1" s="1"/>
  <c r="AC477" i="1"/>
  <c r="M480" i="1"/>
  <c r="R480" i="1" s="1"/>
  <c r="AC481" i="1"/>
  <c r="M484" i="1"/>
  <c r="R484" i="1" s="1"/>
  <c r="AC485" i="1"/>
  <c r="M488" i="1"/>
  <c r="R488" i="1" s="1"/>
  <c r="AC489" i="1"/>
  <c r="M492" i="1"/>
  <c r="R492" i="1" s="1"/>
  <c r="AC493" i="1"/>
  <c r="M496" i="1"/>
  <c r="R496" i="1" s="1"/>
  <c r="AC497" i="1"/>
  <c r="M500" i="1"/>
  <c r="R500" i="1" s="1"/>
  <c r="AC501" i="1"/>
  <c r="M504" i="1"/>
  <c r="R504" i="1" s="1"/>
  <c r="AC505" i="1"/>
  <c r="M508" i="1"/>
  <c r="R508" i="1" s="1"/>
  <c r="AC509" i="1"/>
  <c r="M512" i="1"/>
  <c r="R512" i="1" s="1"/>
  <c r="AC513" i="1"/>
  <c r="M516" i="1"/>
  <c r="R516" i="1" s="1"/>
  <c r="AC517" i="1"/>
  <c r="M520" i="1"/>
  <c r="R520" i="1" s="1"/>
  <c r="AC521" i="1"/>
  <c r="M524" i="1"/>
  <c r="R524" i="1" s="1"/>
  <c r="AC525" i="1"/>
  <c r="M528" i="1"/>
  <c r="R528" i="1" s="1"/>
  <c r="AC529" i="1"/>
  <c r="M533" i="1"/>
  <c r="R533" i="1" s="1"/>
  <c r="AE534" i="1"/>
  <c r="AG534" i="1"/>
  <c r="M535" i="1"/>
  <c r="R535" i="1" s="1"/>
  <c r="M538" i="1"/>
  <c r="R538" i="1" s="1"/>
  <c r="AC539" i="1"/>
  <c r="AC541" i="1"/>
  <c r="AF545" i="1"/>
  <c r="AG545" i="1"/>
  <c r="AC546" i="1"/>
  <c r="M549" i="1"/>
  <c r="R549" i="1" s="1"/>
  <c r="AE550" i="1"/>
  <c r="AG550" i="1"/>
  <c r="M551" i="1"/>
  <c r="R551" i="1" s="1"/>
  <c r="M554" i="1"/>
  <c r="R554" i="1" s="1"/>
  <c r="AC555" i="1"/>
  <c r="AC557" i="1"/>
  <c r="AF561" i="1"/>
  <c r="AG561" i="1"/>
  <c r="AC562" i="1"/>
  <c r="M565" i="1"/>
  <c r="R565" i="1" s="1"/>
  <c r="AE566" i="1"/>
  <c r="AG566" i="1"/>
  <c r="M567" i="1"/>
  <c r="R567" i="1" s="1"/>
  <c r="M570" i="1"/>
  <c r="R570" i="1" s="1"/>
  <c r="AC571" i="1"/>
  <c r="AC573" i="1"/>
  <c r="AF577" i="1"/>
  <c r="AG577" i="1"/>
  <c r="AC578" i="1"/>
  <c r="M581" i="1"/>
  <c r="R581" i="1" s="1"/>
  <c r="AE582" i="1"/>
  <c r="AG582" i="1"/>
  <c r="M583" i="1"/>
  <c r="R583" i="1" s="1"/>
  <c r="M586" i="1"/>
  <c r="R586" i="1" s="1"/>
  <c r="AC587" i="1"/>
  <c r="AC589" i="1"/>
  <c r="AF593" i="1"/>
  <c r="AG593" i="1"/>
  <c r="AC594" i="1"/>
  <c r="M597" i="1"/>
  <c r="R597" i="1" s="1"/>
  <c r="AE598" i="1"/>
  <c r="AG598" i="1"/>
  <c r="M599" i="1"/>
  <c r="R599" i="1" s="1"/>
  <c r="M602" i="1"/>
  <c r="R602" i="1" s="1"/>
  <c r="AC603" i="1"/>
  <c r="AC605" i="1"/>
  <c r="AF609" i="1"/>
  <c r="AG609" i="1"/>
  <c r="AC610" i="1"/>
  <c r="M613" i="1"/>
  <c r="R613" i="1" s="1"/>
  <c r="AE614" i="1"/>
  <c r="AG614" i="1"/>
  <c r="M615" i="1"/>
  <c r="R615" i="1" s="1"/>
  <c r="M618" i="1"/>
  <c r="R618" i="1" s="1"/>
  <c r="AC619" i="1"/>
  <c r="AC621" i="1"/>
  <c r="AF625" i="1"/>
  <c r="AG625" i="1"/>
  <c r="AC626" i="1"/>
  <c r="M629" i="1"/>
  <c r="R629" i="1" s="1"/>
  <c r="AE630" i="1"/>
  <c r="AG630" i="1"/>
  <c r="M631" i="1"/>
  <c r="R631" i="1" s="1"/>
  <c r="M634" i="1"/>
  <c r="R634" i="1" s="1"/>
  <c r="AC635" i="1"/>
  <c r="AC637" i="1"/>
  <c r="AF641" i="1"/>
  <c r="AG641" i="1"/>
  <c r="AC642" i="1"/>
  <c r="M645" i="1"/>
  <c r="R645" i="1" s="1"/>
  <c r="AE646" i="1"/>
  <c r="AG646" i="1"/>
  <c r="M647" i="1"/>
  <c r="R647" i="1" s="1"/>
  <c r="AD648" i="1"/>
  <c r="M651" i="1"/>
  <c r="R651" i="1" s="1"/>
  <c r="AF652" i="1"/>
  <c r="AG658" i="1"/>
  <c r="AF659" i="1"/>
  <c r="AE659" i="1"/>
  <c r="AD659" i="1"/>
  <c r="AF660" i="1"/>
  <c r="AG666" i="1"/>
  <c r="AF667" i="1"/>
  <c r="AE667" i="1"/>
  <c r="AD667" i="1"/>
  <c r="AF668" i="1"/>
  <c r="AG674" i="1"/>
  <c r="AF675" i="1"/>
  <c r="AE675" i="1"/>
  <c r="AD675" i="1"/>
  <c r="AF676" i="1"/>
  <c r="AG682" i="1"/>
  <c r="AF683" i="1"/>
  <c r="AE683" i="1"/>
  <c r="AD683" i="1"/>
  <c r="AF684" i="1"/>
  <c r="AG690" i="1"/>
  <c r="AF691" i="1"/>
  <c r="AE691" i="1"/>
  <c r="AD691" i="1"/>
  <c r="AF692" i="1"/>
  <c r="AG698" i="1"/>
  <c r="AF699" i="1"/>
  <c r="AE699" i="1"/>
  <c r="AD699" i="1"/>
  <c r="AF700" i="1"/>
  <c r="AG706" i="1"/>
  <c r="AF707" i="1"/>
  <c r="AE707" i="1"/>
  <c r="AD707" i="1"/>
  <c r="AF708" i="1"/>
  <c r="AG714" i="1"/>
  <c r="AF715" i="1"/>
  <c r="AE715" i="1"/>
  <c r="AD715" i="1"/>
  <c r="AF716" i="1"/>
  <c r="AG722" i="1"/>
  <c r="AF723" i="1"/>
  <c r="AE723" i="1"/>
  <c r="AD723" i="1"/>
  <c r="AF724" i="1"/>
  <c r="AG730" i="1"/>
  <c r="AF731" i="1"/>
  <c r="AE731" i="1"/>
  <c r="AD731" i="1"/>
  <c r="AF732" i="1"/>
  <c r="AG738" i="1"/>
  <c r="AF739" i="1"/>
  <c r="AE739" i="1"/>
  <c r="AD739" i="1"/>
  <c r="AF740" i="1"/>
  <c r="AG746" i="1"/>
  <c r="AF747" i="1"/>
  <c r="AE747" i="1"/>
  <c r="AD747" i="1"/>
  <c r="AF748" i="1"/>
  <c r="AG754" i="1"/>
  <c r="AF755" i="1"/>
  <c r="AE755" i="1"/>
  <c r="AD755" i="1"/>
  <c r="AF756" i="1"/>
  <c r="AG762" i="1"/>
  <c r="AF763" i="1"/>
  <c r="AE763" i="1"/>
  <c r="AD763" i="1"/>
  <c r="AF764" i="1"/>
  <c r="AG770" i="1"/>
  <c r="AE771" i="1"/>
  <c r="AF772" i="1"/>
  <c r="AG778" i="1"/>
  <c r="AF779" i="1"/>
  <c r="AE779" i="1"/>
  <c r="AD779" i="1"/>
  <c r="AF780" i="1"/>
  <c r="AG786" i="1"/>
  <c r="AF787" i="1"/>
  <c r="AE787" i="1"/>
  <c r="AD787" i="1"/>
  <c r="AF788" i="1"/>
  <c r="AG794" i="1"/>
  <c r="AF796" i="1"/>
  <c r="AC799" i="1"/>
  <c r="AG802" i="1"/>
  <c r="AF803" i="1"/>
  <c r="AE803" i="1"/>
  <c r="AD803" i="1"/>
  <c r="AF804" i="1"/>
  <c r="AG810" i="1"/>
  <c r="AF811" i="1"/>
  <c r="AE811" i="1"/>
  <c r="AD811" i="1"/>
  <c r="AF812" i="1"/>
  <c r="AG818" i="1"/>
  <c r="AF819" i="1"/>
  <c r="AE819" i="1"/>
  <c r="AD819" i="1"/>
  <c r="AF820" i="1"/>
  <c r="AG826" i="1"/>
  <c r="AF827" i="1"/>
  <c r="AE827" i="1"/>
  <c r="AD827" i="1"/>
  <c r="AF828" i="1"/>
  <c r="AG834" i="1"/>
  <c r="AF835" i="1"/>
  <c r="AE835" i="1"/>
  <c r="AD835" i="1"/>
  <c r="AF836" i="1"/>
  <c r="AG842" i="1"/>
  <c r="AF843" i="1"/>
  <c r="AE843" i="1"/>
  <c r="AD843" i="1"/>
  <c r="AF844" i="1"/>
  <c r="AG850" i="1"/>
  <c r="AF851" i="1"/>
  <c r="AE851" i="1"/>
  <c r="AD851" i="1"/>
  <c r="AF852" i="1"/>
  <c r="AC855" i="1"/>
  <c r="AG858" i="1"/>
  <c r="AF859" i="1"/>
  <c r="AE859" i="1"/>
  <c r="AD859" i="1"/>
  <c r="AF860" i="1"/>
  <c r="AC863" i="1"/>
  <c r="AG866" i="1"/>
  <c r="AF867" i="1"/>
  <c r="AE867" i="1"/>
  <c r="AD867" i="1"/>
  <c r="AC871" i="1"/>
  <c r="AG874" i="1"/>
  <c r="AF875" i="1"/>
  <c r="AE875" i="1"/>
  <c r="AD875" i="1"/>
  <c r="AF876" i="1"/>
  <c r="AC879" i="1"/>
  <c r="AG882" i="1"/>
  <c r="AF883" i="1"/>
  <c r="AE883" i="1"/>
  <c r="AD883" i="1"/>
  <c r="AF884" i="1"/>
  <c r="AG890" i="1"/>
  <c r="AF891" i="1"/>
  <c r="AE891" i="1"/>
  <c r="AD891" i="1"/>
  <c r="AF892" i="1"/>
  <c r="AG898" i="1"/>
  <c r="AF899" i="1"/>
  <c r="AE899" i="1"/>
  <c r="AD899" i="1"/>
  <c r="AF900" i="1"/>
  <c r="AC903" i="1"/>
  <c r="AG906" i="1"/>
  <c r="AF907" i="1"/>
  <c r="AE907" i="1"/>
  <c r="AD907" i="1"/>
  <c r="AF908" i="1"/>
  <c r="AC911" i="1"/>
  <c r="AG914" i="1"/>
  <c r="AF915" i="1"/>
  <c r="AE915" i="1"/>
  <c r="AD915" i="1"/>
  <c r="AF916" i="1"/>
  <c r="AC919" i="1"/>
  <c r="AG922" i="1"/>
  <c r="AF923" i="1"/>
  <c r="AE923" i="1"/>
  <c r="AD923" i="1"/>
  <c r="AF924" i="1"/>
  <c r="AC927" i="1"/>
  <c r="AG930" i="1"/>
  <c r="AF931" i="1"/>
  <c r="AE931" i="1"/>
  <c r="AD931" i="1"/>
  <c r="AF932" i="1"/>
  <c r="AC935" i="1"/>
  <c r="AG938" i="1"/>
  <c r="AF939" i="1"/>
  <c r="AE939" i="1"/>
  <c r="AD939" i="1"/>
  <c r="AF940" i="1"/>
  <c r="AG946" i="1"/>
  <c r="AF947" i="1"/>
  <c r="AE947" i="1"/>
  <c r="AD947" i="1"/>
  <c r="AF948" i="1"/>
  <c r="AF955" i="1"/>
  <c r="AE955" i="1"/>
  <c r="AD955" i="1"/>
  <c r="AF956" i="1"/>
  <c r="AG962" i="1"/>
  <c r="AF963" i="1"/>
  <c r="AE963" i="1"/>
  <c r="AD963" i="1"/>
  <c r="AF964" i="1"/>
  <c r="AF971" i="1"/>
  <c r="AE971" i="1"/>
  <c r="AD971" i="1"/>
  <c r="AF972" i="1"/>
  <c r="AG978" i="1"/>
  <c r="AF979" i="1"/>
  <c r="AE979" i="1"/>
  <c r="AD979" i="1"/>
  <c r="AF980" i="1"/>
  <c r="AG986" i="1"/>
  <c r="AF987" i="1"/>
  <c r="AE987" i="1"/>
  <c r="AD987" i="1"/>
  <c r="AF988" i="1"/>
  <c r="AG994" i="1"/>
  <c r="AF995" i="1"/>
  <c r="AE995" i="1"/>
  <c r="AD995" i="1"/>
  <c r="AF996" i="1"/>
  <c r="AG1002" i="1"/>
  <c r="AF1003" i="1"/>
  <c r="AE1003" i="1"/>
  <c r="AD1003" i="1"/>
  <c r="AF1004" i="1"/>
  <c r="AG1010" i="1"/>
  <c r="AF1011" i="1"/>
  <c r="AE1011" i="1"/>
  <c r="AD1011" i="1"/>
  <c r="AF1012" i="1"/>
  <c r="AG1018" i="1"/>
  <c r="AF1019" i="1"/>
  <c r="AE1019" i="1"/>
  <c r="AD1019" i="1"/>
  <c r="AF1020" i="1"/>
  <c r="AF1027" i="1"/>
  <c r="AE1027" i="1"/>
  <c r="AD1027" i="1"/>
  <c r="AF1028" i="1"/>
  <c r="AC1031" i="1"/>
  <c r="AG1034" i="1"/>
  <c r="AF1035" i="1"/>
  <c r="AE1035" i="1"/>
  <c r="AD1035" i="1"/>
  <c r="AF1036" i="1"/>
  <c r="AC1039" i="1"/>
  <c r="AG1042" i="1"/>
  <c r="AF1043" i="1"/>
  <c r="AE1043" i="1"/>
  <c r="AD1043" i="1"/>
  <c r="AF1044" i="1"/>
  <c r="AC1047" i="1"/>
  <c r="AG1050" i="1"/>
  <c r="AF1051" i="1"/>
  <c r="AE1051" i="1"/>
  <c r="AD1051" i="1"/>
  <c r="AF1052" i="1"/>
  <c r="AC1055" i="1"/>
  <c r="AG1058" i="1"/>
  <c r="AF1059" i="1"/>
  <c r="AE1059" i="1"/>
  <c r="AD1059" i="1"/>
  <c r="AF1060" i="1"/>
  <c r="AC1063" i="1"/>
  <c r="AG1066" i="1"/>
  <c r="AF1067" i="1"/>
  <c r="AE1067" i="1"/>
  <c r="AD1067" i="1"/>
  <c r="AF1068" i="1"/>
  <c r="AC1071" i="1"/>
  <c r="AG1074" i="1"/>
  <c r="AF1075" i="1"/>
  <c r="AE1075" i="1"/>
  <c r="AD1075" i="1"/>
  <c r="AF1076" i="1"/>
  <c r="AC1079" i="1"/>
  <c r="AG1082" i="1"/>
  <c r="AF1083" i="1"/>
  <c r="AE1083" i="1"/>
  <c r="AD1083" i="1"/>
  <c r="AF1084" i="1"/>
  <c r="AG1090" i="1"/>
  <c r="AF1091" i="1"/>
  <c r="AE1091" i="1"/>
  <c r="AD1091" i="1"/>
  <c r="AF1092" i="1"/>
  <c r="AG1098" i="1"/>
  <c r="AF1099" i="1"/>
  <c r="AE1099" i="1"/>
  <c r="AD1099" i="1"/>
  <c r="AF1100" i="1"/>
  <c r="AC1103" i="1"/>
  <c r="AG1106" i="1"/>
  <c r="AF1107" i="1"/>
  <c r="AE1107" i="1"/>
  <c r="AD1107" i="1"/>
  <c r="AF1108" i="1"/>
  <c r="AC1111" i="1"/>
  <c r="AG1114" i="1"/>
  <c r="AF1115" i="1"/>
  <c r="AE1115" i="1"/>
  <c r="AD1115" i="1"/>
  <c r="AF1116" i="1"/>
  <c r="AC1119" i="1"/>
  <c r="AG1122" i="1"/>
  <c r="AF1123" i="1"/>
  <c r="AE1123" i="1"/>
  <c r="AD1123" i="1"/>
  <c r="AF1124" i="1"/>
  <c r="AC1127" i="1"/>
  <c r="AG1130" i="1"/>
  <c r="AE1131" i="1"/>
  <c r="AF1132" i="1"/>
  <c r="AC1135" i="1"/>
  <c r="AG1138" i="1"/>
  <c r="AF1139" i="1"/>
  <c r="AE1139" i="1"/>
  <c r="AD1139" i="1"/>
  <c r="AF1140" i="1"/>
  <c r="AC1143" i="1"/>
  <c r="AG1146" i="1"/>
  <c r="AF1147" i="1"/>
  <c r="AE1147" i="1"/>
  <c r="AD1147" i="1"/>
  <c r="AF1148" i="1"/>
  <c r="AC1151" i="1"/>
  <c r="AG1154" i="1"/>
  <c r="AF1155" i="1"/>
  <c r="AE1155" i="1"/>
  <c r="AD1155" i="1"/>
  <c r="AF1156" i="1"/>
  <c r="AG1162" i="1"/>
  <c r="AF1163" i="1"/>
  <c r="AE1163" i="1"/>
  <c r="AD1163" i="1"/>
  <c r="AF1164" i="1"/>
  <c r="AG1170" i="1"/>
  <c r="AF1171" i="1"/>
  <c r="AE1171" i="1"/>
  <c r="AD1171" i="1"/>
  <c r="AF1181" i="1"/>
  <c r="AD1181" i="1"/>
  <c r="AC1181" i="1"/>
  <c r="AG1181" i="1"/>
  <c r="AF1197" i="1"/>
  <c r="AD1197" i="1"/>
  <c r="AC1197" i="1"/>
  <c r="AG1197" i="1"/>
  <c r="AF1213" i="1"/>
  <c r="AD1213" i="1"/>
  <c r="AC1213" i="1"/>
  <c r="AG1213" i="1"/>
  <c r="AF1229" i="1"/>
  <c r="AD1229" i="1"/>
  <c r="AC1229" i="1"/>
  <c r="AG1229" i="1"/>
  <c r="AF1245" i="1"/>
  <c r="AD1245" i="1"/>
  <c r="AC1245" i="1"/>
  <c r="AG1245" i="1"/>
  <c r="AF1261" i="1"/>
  <c r="AD1261" i="1"/>
  <c r="AC1261" i="1"/>
  <c r="AG1261" i="1"/>
  <c r="AD1277" i="1"/>
  <c r="AC1277" i="1"/>
  <c r="AD1283" i="1"/>
  <c r="AG1283" i="1"/>
  <c r="AC1283" i="1"/>
  <c r="AF1283" i="1"/>
  <c r="AE1283" i="1"/>
  <c r="AE1290" i="1"/>
  <c r="AD1290" i="1"/>
  <c r="AG1290" i="1"/>
  <c r="AC1290" i="1"/>
  <c r="AF1290" i="1"/>
  <c r="AE1303" i="1"/>
  <c r="AD1304" i="1"/>
  <c r="AD1315" i="1"/>
  <c r="AG1315" i="1"/>
  <c r="AC1315" i="1"/>
  <c r="AF1315" i="1"/>
  <c r="AE1315" i="1"/>
  <c r="AE1322" i="1"/>
  <c r="AD1322" i="1"/>
  <c r="AG1322" i="1"/>
  <c r="AC1322" i="1"/>
  <c r="AF1322" i="1"/>
  <c r="AD1336" i="1"/>
  <c r="AD1347" i="1"/>
  <c r="AG1347" i="1"/>
  <c r="AC1347" i="1"/>
  <c r="AF1347" i="1"/>
  <c r="AE1347" i="1"/>
  <c r="AE1354" i="1"/>
  <c r="AD1354" i="1"/>
  <c r="AG1354" i="1"/>
  <c r="AC1354" i="1"/>
  <c r="AF1354" i="1"/>
  <c r="AE1367" i="1"/>
  <c r="AD1379" i="1"/>
  <c r="AG1379" i="1"/>
  <c r="AC1379" i="1"/>
  <c r="AF1379" i="1"/>
  <c r="AE1379" i="1"/>
  <c r="AE1386" i="1"/>
  <c r="AD1386" i="1"/>
  <c r="AG1386" i="1"/>
  <c r="AC1386" i="1"/>
  <c r="AF1386" i="1"/>
  <c r="AE1399" i="1"/>
  <c r="AD1400" i="1"/>
  <c r="AD1411" i="1"/>
  <c r="AG1411" i="1"/>
  <c r="AC1411" i="1"/>
  <c r="AF1411" i="1"/>
  <c r="AE1411" i="1"/>
  <c r="AE1418" i="1"/>
  <c r="AC1418" i="1"/>
  <c r="AF1418" i="1"/>
  <c r="AE1426" i="1"/>
  <c r="AD1426" i="1"/>
  <c r="AG1426" i="1"/>
  <c r="AC1426" i="1"/>
  <c r="AF1426" i="1"/>
  <c r="AE1434" i="1"/>
  <c r="AD1434" i="1"/>
  <c r="AG1434" i="1"/>
  <c r="AC1434" i="1"/>
  <c r="AF1434" i="1"/>
  <c r="AE1442" i="1"/>
  <c r="AD1442" i="1"/>
  <c r="AG1442" i="1"/>
  <c r="AC1442" i="1"/>
  <c r="AF1442" i="1"/>
  <c r="AE1450" i="1"/>
  <c r="AD1450" i="1"/>
  <c r="AG1450" i="1"/>
  <c r="AC1450" i="1"/>
  <c r="AF1450" i="1"/>
  <c r="AG1453" i="1"/>
  <c r="AE1458" i="1"/>
  <c r="AD1458" i="1"/>
  <c r="AG1458" i="1"/>
  <c r="AC1458" i="1"/>
  <c r="AF1458" i="1"/>
  <c r="AG1461" i="1"/>
  <c r="AE1466" i="1"/>
  <c r="AD1466" i="1"/>
  <c r="AG1466" i="1"/>
  <c r="AC1466" i="1"/>
  <c r="AF1466" i="1"/>
  <c r="AE1474" i="1"/>
  <c r="AD1474" i="1"/>
  <c r="AG1474" i="1"/>
  <c r="AC1474" i="1"/>
  <c r="AF1474" i="1"/>
  <c r="AG1477" i="1"/>
  <c r="AE1482" i="1"/>
  <c r="AD1482" i="1"/>
  <c r="AG1482" i="1"/>
  <c r="AC1482" i="1"/>
  <c r="AF1482" i="1"/>
  <c r="AE1490" i="1"/>
  <c r="AD1490" i="1"/>
  <c r="AG1490" i="1"/>
  <c r="AC1490" i="1"/>
  <c r="AF1490" i="1"/>
  <c r="AG1493" i="1"/>
  <c r="AE1498" i="1"/>
  <c r="AD1498" i="1"/>
  <c r="AG1498" i="1"/>
  <c r="AC1498" i="1"/>
  <c r="AF1498" i="1"/>
  <c r="AE1506" i="1"/>
  <c r="AD1506" i="1"/>
  <c r="AG1506" i="1"/>
  <c r="AC1506" i="1"/>
  <c r="AF1506" i="1"/>
  <c r="AE1514" i="1"/>
  <c r="AD1514" i="1"/>
  <c r="AG1514" i="1"/>
  <c r="AC1514" i="1"/>
  <c r="AF1514" i="1"/>
  <c r="AG1517" i="1"/>
  <c r="AE1522" i="1"/>
  <c r="AD1522" i="1"/>
  <c r="AG1522" i="1"/>
  <c r="AC1522" i="1"/>
  <c r="AF1522" i="1"/>
  <c r="AE1530" i="1"/>
  <c r="AD1530" i="1"/>
  <c r="AG1530" i="1"/>
  <c r="AC1530" i="1"/>
  <c r="AF1530" i="1"/>
  <c r="AG1533" i="1"/>
  <c r="AE1538" i="1"/>
  <c r="AD1538" i="1"/>
  <c r="AG1538" i="1"/>
  <c r="AC1538" i="1"/>
  <c r="AF1538" i="1"/>
  <c r="AG1541" i="1"/>
  <c r="AD1546" i="1"/>
  <c r="AC1546" i="1"/>
  <c r="AG1549" i="1"/>
  <c r="AC1554" i="1"/>
  <c r="AC1565" i="1"/>
  <c r="AD1581" i="1"/>
  <c r="AF1581" i="1"/>
  <c r="AC1581" i="1"/>
  <c r="AG1581" i="1"/>
  <c r="AE1581" i="1"/>
  <c r="AD1597" i="1"/>
  <c r="AF1597" i="1"/>
  <c r="AC1597" i="1"/>
  <c r="AG1597" i="1"/>
  <c r="AE1597" i="1"/>
  <c r="AE654" i="1"/>
  <c r="AE658" i="1"/>
  <c r="AE662" i="1"/>
  <c r="AE666" i="1"/>
  <c r="AE670" i="1"/>
  <c r="AE674" i="1"/>
  <c r="AE678" i="1"/>
  <c r="AE682" i="1"/>
  <c r="AE686" i="1"/>
  <c r="AE690" i="1"/>
  <c r="AE694" i="1"/>
  <c r="AE698" i="1"/>
  <c r="AE702" i="1"/>
  <c r="AE706" i="1"/>
  <c r="AE710" i="1"/>
  <c r="AE714" i="1"/>
  <c r="AE718" i="1"/>
  <c r="AE722" i="1"/>
  <c r="AE726" i="1"/>
  <c r="AE730" i="1"/>
  <c r="AE734" i="1"/>
  <c r="AE738" i="1"/>
  <c r="AE742" i="1"/>
  <c r="AE746" i="1"/>
  <c r="AE750" i="1"/>
  <c r="AE754" i="1"/>
  <c r="AE758" i="1"/>
  <c r="AE762" i="1"/>
  <c r="AE766" i="1"/>
  <c r="AE770" i="1"/>
  <c r="AE774" i="1"/>
  <c r="AE778" i="1"/>
  <c r="AE782" i="1"/>
  <c r="AE786" i="1"/>
  <c r="AE790" i="1"/>
  <c r="AE794" i="1"/>
  <c r="AE798" i="1"/>
  <c r="AE802" i="1"/>
  <c r="AE806" i="1"/>
  <c r="AE810" i="1"/>
  <c r="AE814" i="1"/>
  <c r="AE818" i="1"/>
  <c r="AE822" i="1"/>
  <c r="AE826" i="1"/>
  <c r="AE830" i="1"/>
  <c r="AE834" i="1"/>
  <c r="AE838" i="1"/>
  <c r="AE842" i="1"/>
  <c r="AE846" i="1"/>
  <c r="AE850" i="1"/>
  <c r="AE858" i="1"/>
  <c r="AE862" i="1"/>
  <c r="AE866" i="1"/>
  <c r="AE870" i="1"/>
  <c r="AE874" i="1"/>
  <c r="AE878" i="1"/>
  <c r="AE882" i="1"/>
  <c r="AE886" i="1"/>
  <c r="AE890" i="1"/>
  <c r="AE894" i="1"/>
  <c r="AE898" i="1"/>
  <c r="AE902" i="1"/>
  <c r="AE906" i="1"/>
  <c r="AE910" i="1"/>
  <c r="AE914" i="1"/>
  <c r="AE918" i="1"/>
  <c r="AE922" i="1"/>
  <c r="AE930" i="1"/>
  <c r="AE934" i="1"/>
  <c r="AE938" i="1"/>
  <c r="AE942" i="1"/>
  <c r="AE946" i="1"/>
  <c r="AE950" i="1"/>
  <c r="AE954" i="1"/>
  <c r="AE958" i="1"/>
  <c r="AE962" i="1"/>
  <c r="AE966" i="1"/>
  <c r="AE970" i="1"/>
  <c r="AE974" i="1"/>
  <c r="AE978" i="1"/>
  <c r="AE982" i="1"/>
  <c r="AE986" i="1"/>
  <c r="AE990" i="1"/>
  <c r="AE994" i="1"/>
  <c r="AE998" i="1"/>
  <c r="AE1002" i="1"/>
  <c r="AE1006" i="1"/>
  <c r="AE1010" i="1"/>
  <c r="AE1014" i="1"/>
  <c r="AE1018" i="1"/>
  <c r="AE1022" i="1"/>
  <c r="AE1030" i="1"/>
  <c r="AE1034" i="1"/>
  <c r="AE1038" i="1"/>
  <c r="AE1042" i="1"/>
  <c r="AE1046" i="1"/>
  <c r="AE1050" i="1"/>
  <c r="AE1054" i="1"/>
  <c r="AE1058" i="1"/>
  <c r="AE1062" i="1"/>
  <c r="AE1066" i="1"/>
  <c r="AE1070" i="1"/>
  <c r="AE1074" i="1"/>
  <c r="AE1078" i="1"/>
  <c r="AE1082" i="1"/>
  <c r="AE1086" i="1"/>
  <c r="AE1090" i="1"/>
  <c r="AE1094" i="1"/>
  <c r="AE1098" i="1"/>
  <c r="AE1102" i="1"/>
  <c r="AE1106" i="1"/>
  <c r="AE1110" i="1"/>
  <c r="AE1114" i="1"/>
  <c r="AE1118" i="1"/>
  <c r="AE1122" i="1"/>
  <c r="AE1126" i="1"/>
  <c r="AE1130" i="1"/>
  <c r="AE1134" i="1"/>
  <c r="AE1138" i="1"/>
  <c r="AE1142" i="1"/>
  <c r="AE1146" i="1"/>
  <c r="AE1150" i="1"/>
  <c r="AE1154" i="1"/>
  <c r="AE1158" i="1"/>
  <c r="AE1162" i="1"/>
  <c r="AE1166" i="1"/>
  <c r="AE1170" i="1"/>
  <c r="M1173" i="1"/>
  <c r="R1173" i="1" s="1"/>
  <c r="AG1176" i="1"/>
  <c r="AC1176" i="1"/>
  <c r="AE1176" i="1"/>
  <c r="AD1179" i="1"/>
  <c r="AF1179" i="1"/>
  <c r="AE1179" i="1"/>
  <c r="M1181" i="1"/>
  <c r="R1181" i="1" s="1"/>
  <c r="AG1184" i="1"/>
  <c r="AC1184" i="1"/>
  <c r="AE1184" i="1"/>
  <c r="AD1187" i="1"/>
  <c r="AF1187" i="1"/>
  <c r="AE1187" i="1"/>
  <c r="M1189" i="1"/>
  <c r="R1189" i="1" s="1"/>
  <c r="AG1192" i="1"/>
  <c r="AC1192" i="1"/>
  <c r="AE1192" i="1"/>
  <c r="AD1195" i="1"/>
  <c r="AF1195" i="1"/>
  <c r="AE1195" i="1"/>
  <c r="M1197" i="1"/>
  <c r="R1197" i="1" s="1"/>
  <c r="AG1200" i="1"/>
  <c r="AC1200" i="1"/>
  <c r="AE1200" i="1"/>
  <c r="AD1203" i="1"/>
  <c r="AF1203" i="1"/>
  <c r="AE1203" i="1"/>
  <c r="M1205" i="1"/>
  <c r="R1205" i="1" s="1"/>
  <c r="AG1208" i="1"/>
  <c r="AC1208" i="1"/>
  <c r="AE1208" i="1"/>
  <c r="AD1211" i="1"/>
  <c r="AF1211" i="1"/>
  <c r="AE1211" i="1"/>
  <c r="M1213" i="1"/>
  <c r="R1213" i="1" s="1"/>
  <c r="AG1216" i="1"/>
  <c r="AC1216" i="1"/>
  <c r="AE1216" i="1"/>
  <c r="AD1219" i="1"/>
  <c r="AF1219" i="1"/>
  <c r="AE1219" i="1"/>
  <c r="M1221" i="1"/>
  <c r="R1221" i="1" s="1"/>
  <c r="AG1224" i="1"/>
  <c r="AC1224" i="1"/>
  <c r="AE1224" i="1"/>
  <c r="AD1227" i="1"/>
  <c r="AF1227" i="1"/>
  <c r="AE1227" i="1"/>
  <c r="M1229" i="1"/>
  <c r="R1229" i="1" s="1"/>
  <c r="AG1232" i="1"/>
  <c r="AC1232" i="1"/>
  <c r="AE1232" i="1"/>
  <c r="M1237" i="1"/>
  <c r="R1237" i="1" s="1"/>
  <c r="Y1239" i="1"/>
  <c r="M1239" i="1"/>
  <c r="R1239" i="1" s="1"/>
  <c r="AG1240" i="1"/>
  <c r="AC1240" i="1"/>
  <c r="AE1240" i="1"/>
  <c r="AD1243" i="1"/>
  <c r="AF1243" i="1"/>
  <c r="AE1243" i="1"/>
  <c r="M1245" i="1"/>
  <c r="R1245" i="1" s="1"/>
  <c r="AG1248" i="1"/>
  <c r="AC1248" i="1"/>
  <c r="AE1248" i="1"/>
  <c r="M1253" i="1"/>
  <c r="R1253" i="1" s="1"/>
  <c r="AG1256" i="1"/>
  <c r="AC1256" i="1"/>
  <c r="AE1256" i="1"/>
  <c r="AD1259" i="1"/>
  <c r="AF1259" i="1"/>
  <c r="AE1259" i="1"/>
  <c r="M1261" i="1"/>
  <c r="R1261" i="1" s="1"/>
  <c r="AG1264" i="1"/>
  <c r="AC1264" i="1"/>
  <c r="AE1264" i="1"/>
  <c r="AD1267" i="1"/>
  <c r="AF1267" i="1"/>
  <c r="AE1267" i="1"/>
  <c r="M1269" i="1"/>
  <c r="R1269" i="1" s="1"/>
  <c r="AG1272" i="1"/>
  <c r="AC1272" i="1"/>
  <c r="AE1272" i="1"/>
  <c r="AD1275" i="1"/>
  <c r="AF1275" i="1"/>
  <c r="AE1275" i="1"/>
  <c r="M1277" i="1"/>
  <c r="R1277" i="1" s="1"/>
  <c r="AG1280" i="1"/>
  <c r="AC1280" i="1"/>
  <c r="AE1280" i="1"/>
  <c r="AF1289" i="1"/>
  <c r="AE1289" i="1"/>
  <c r="AD1289" i="1"/>
  <c r="Y1293" i="1"/>
  <c r="M1293" i="1"/>
  <c r="R1293" i="1" s="1"/>
  <c r="AG1296" i="1"/>
  <c r="AF1297" i="1"/>
  <c r="AE1297" i="1"/>
  <c r="AD1297" i="1"/>
  <c r="AG1304" i="1"/>
  <c r="AF1305" i="1"/>
  <c r="AE1305" i="1"/>
  <c r="AD1305" i="1"/>
  <c r="AG1312" i="1"/>
  <c r="AF1313" i="1"/>
  <c r="AE1313" i="1"/>
  <c r="AD1313" i="1"/>
  <c r="AG1320" i="1"/>
  <c r="AF1321" i="1"/>
  <c r="AG1328" i="1"/>
  <c r="AF1329" i="1"/>
  <c r="AE1329" i="1"/>
  <c r="AD1329" i="1"/>
  <c r="AG1336" i="1"/>
  <c r="AF1337" i="1"/>
  <c r="AE1337" i="1"/>
  <c r="AD1337" i="1"/>
  <c r="Y1341" i="1"/>
  <c r="M1341" i="1"/>
  <c r="R1341" i="1" s="1"/>
  <c r="AG1344" i="1"/>
  <c r="AF1345" i="1"/>
  <c r="AE1345" i="1"/>
  <c r="AD1345" i="1"/>
  <c r="AG1352" i="1"/>
  <c r="AF1353" i="1"/>
  <c r="AE1353" i="1"/>
  <c r="AD1353" i="1"/>
  <c r="AF1361" i="1"/>
  <c r="AE1361" i="1"/>
  <c r="AD1361" i="1"/>
  <c r="AG1368" i="1"/>
  <c r="AF1369" i="1"/>
  <c r="AE1369" i="1"/>
  <c r="AD1369" i="1"/>
  <c r="AG1376" i="1"/>
  <c r="AF1377" i="1"/>
  <c r="AE1377" i="1"/>
  <c r="AD1377" i="1"/>
  <c r="AG1384" i="1"/>
  <c r="AF1385" i="1"/>
  <c r="AE1385" i="1"/>
  <c r="AD1385" i="1"/>
  <c r="AG1392" i="1"/>
  <c r="AF1393" i="1"/>
  <c r="AE1393" i="1"/>
  <c r="AD1393" i="1"/>
  <c r="AG1400" i="1"/>
  <c r="AF1401" i="1"/>
  <c r="AE1401" i="1"/>
  <c r="AD1401" i="1"/>
  <c r="Y1405" i="1"/>
  <c r="M1405" i="1"/>
  <c r="R1405" i="1" s="1"/>
  <c r="AG1408" i="1"/>
  <c r="AF1409" i="1"/>
  <c r="AE1409" i="1"/>
  <c r="AD1409" i="1"/>
  <c r="AG1416" i="1"/>
  <c r="AF1417" i="1"/>
  <c r="AE1417" i="1"/>
  <c r="AD1417" i="1"/>
  <c r="Y1421" i="1"/>
  <c r="M1421" i="1"/>
  <c r="R1421" i="1" s="1"/>
  <c r="AC1421" i="1"/>
  <c r="AG1424" i="1"/>
  <c r="AF1425" i="1"/>
  <c r="AE1425" i="1"/>
  <c r="AD1425" i="1"/>
  <c r="Y1429" i="1"/>
  <c r="M1429" i="1"/>
  <c r="R1429" i="1" s="1"/>
  <c r="AC1429" i="1"/>
  <c r="AG1432" i="1"/>
  <c r="Y1437" i="1"/>
  <c r="M1437" i="1"/>
  <c r="R1437" i="1" s="1"/>
  <c r="AC1437" i="1"/>
  <c r="AG1440" i="1"/>
  <c r="Y1445" i="1"/>
  <c r="M1445" i="1"/>
  <c r="R1445" i="1" s="1"/>
  <c r="AC1445" i="1"/>
  <c r="AG1448" i="1"/>
  <c r="AF1449" i="1"/>
  <c r="AE1449" i="1"/>
  <c r="AD1449" i="1"/>
  <c r="AC1453" i="1"/>
  <c r="AE1457" i="1"/>
  <c r="AC1461" i="1"/>
  <c r="AG1464" i="1"/>
  <c r="AF1465" i="1"/>
  <c r="AE1465" i="1"/>
  <c r="AD1465" i="1"/>
  <c r="AC1469" i="1"/>
  <c r="AG1472" i="1"/>
  <c r="AF1473" i="1"/>
  <c r="AE1473" i="1"/>
  <c r="AD1473" i="1"/>
  <c r="AC1477" i="1"/>
  <c r="AG1480" i="1"/>
  <c r="AF1481" i="1"/>
  <c r="AC1485" i="1"/>
  <c r="AG1488" i="1"/>
  <c r="AF1489" i="1"/>
  <c r="AE1489" i="1"/>
  <c r="AD1489" i="1"/>
  <c r="AC1493" i="1"/>
  <c r="AG1496" i="1"/>
  <c r="AF1497" i="1"/>
  <c r="AE1497" i="1"/>
  <c r="AD1497" i="1"/>
  <c r="Y1501" i="1"/>
  <c r="M1501" i="1"/>
  <c r="R1501" i="1" s="1"/>
  <c r="AC1501" i="1"/>
  <c r="AG1504" i="1"/>
  <c r="AF1505" i="1"/>
  <c r="AE1505" i="1"/>
  <c r="AD1505" i="1"/>
  <c r="AC1509" i="1"/>
  <c r="AG1512" i="1"/>
  <c r="AF1513" i="1"/>
  <c r="AE1513" i="1"/>
  <c r="AD1513" i="1"/>
  <c r="AC1517" i="1"/>
  <c r="AG1520" i="1"/>
  <c r="AF1521" i="1"/>
  <c r="AE1521" i="1"/>
  <c r="AD1521" i="1"/>
  <c r="AC1525" i="1"/>
  <c r="AG1528" i="1"/>
  <c r="AE1529" i="1"/>
  <c r="AC1533" i="1"/>
  <c r="AG1536" i="1"/>
  <c r="AF1537" i="1"/>
  <c r="AE1537" i="1"/>
  <c r="AD1537" i="1"/>
  <c r="AC1541" i="1"/>
  <c r="AG1544" i="1"/>
  <c r="AF1545" i="1"/>
  <c r="AE1545" i="1"/>
  <c r="AD1545" i="1"/>
  <c r="AC1549" i="1"/>
  <c r="AG1552" i="1"/>
  <c r="AF1553" i="1"/>
  <c r="AE1553" i="1"/>
  <c r="AD1553" i="1"/>
  <c r="AF1560" i="1"/>
  <c r="AD1560" i="1"/>
  <c r="Y1569" i="1"/>
  <c r="M1569" i="1"/>
  <c r="R1569" i="1" s="1"/>
  <c r="AG1570" i="1"/>
  <c r="AC1570" i="1"/>
  <c r="AE1570" i="1"/>
  <c r="AF1570" i="1"/>
  <c r="AD1570" i="1"/>
  <c r="AG1586" i="1"/>
  <c r="AC1586" i="1"/>
  <c r="AE1586" i="1"/>
  <c r="AF1586" i="1"/>
  <c r="AD1586" i="1"/>
  <c r="AF1592" i="1"/>
  <c r="AD1592" i="1"/>
  <c r="AG1602" i="1"/>
  <c r="AC1602" i="1"/>
  <c r="AE1602" i="1"/>
  <c r="AF1602" i="1"/>
  <c r="AD1602" i="1"/>
  <c r="AF1608" i="1"/>
  <c r="AD1608" i="1"/>
  <c r="AG1618" i="1"/>
  <c r="AC1618" i="1"/>
  <c r="AE1618" i="1"/>
  <c r="AF1618" i="1"/>
  <c r="AD1618" i="1"/>
  <c r="AF1624" i="1"/>
  <c r="AD1624" i="1"/>
  <c r="AG1634" i="1"/>
  <c r="AC1634" i="1"/>
  <c r="AE1634" i="1"/>
  <c r="AF1634" i="1"/>
  <c r="AD1634" i="1"/>
  <c r="AC1963" i="1"/>
  <c r="Y1967" i="1"/>
  <c r="M1967" i="1"/>
  <c r="R1967" i="1" s="1"/>
  <c r="AF2028" i="1"/>
  <c r="AD2028" i="1"/>
  <c r="AF654" i="1"/>
  <c r="AF658" i="1"/>
  <c r="AF662" i="1"/>
  <c r="AF666" i="1"/>
  <c r="AF670" i="1"/>
  <c r="AF674" i="1"/>
  <c r="AF678" i="1"/>
  <c r="AF682" i="1"/>
  <c r="AF686" i="1"/>
  <c r="AF690" i="1"/>
  <c r="AF694" i="1"/>
  <c r="AF698" i="1"/>
  <c r="AF702" i="1"/>
  <c r="AF706" i="1"/>
  <c r="AF710" i="1"/>
  <c r="AF714" i="1"/>
  <c r="AF718" i="1"/>
  <c r="AF722" i="1"/>
  <c r="AF726" i="1"/>
  <c r="AF730" i="1"/>
  <c r="AF734" i="1"/>
  <c r="AF738" i="1"/>
  <c r="AF742" i="1"/>
  <c r="AF746" i="1"/>
  <c r="AF750" i="1"/>
  <c r="AF754" i="1"/>
  <c r="AF758" i="1"/>
  <c r="AF762" i="1"/>
  <c r="AF766" i="1"/>
  <c r="AF770" i="1"/>
  <c r="AF774" i="1"/>
  <c r="AF778" i="1"/>
  <c r="AF782" i="1"/>
  <c r="AF786" i="1"/>
  <c r="AF790" i="1"/>
  <c r="AF794" i="1"/>
  <c r="AF798" i="1"/>
  <c r="AF802" i="1"/>
  <c r="AF806" i="1"/>
  <c r="AF810" i="1"/>
  <c r="AF814" i="1"/>
  <c r="AF818" i="1"/>
  <c r="AF822" i="1"/>
  <c r="AF826" i="1"/>
  <c r="AF830" i="1"/>
  <c r="AF834" i="1"/>
  <c r="AF838" i="1"/>
  <c r="AF842" i="1"/>
  <c r="AF846" i="1"/>
  <c r="AF850" i="1"/>
  <c r="AF858" i="1"/>
  <c r="AF862" i="1"/>
  <c r="AF866" i="1"/>
  <c r="AF870" i="1"/>
  <c r="AF874" i="1"/>
  <c r="AF878" i="1"/>
  <c r="AF882" i="1"/>
  <c r="AF886" i="1"/>
  <c r="AF890" i="1"/>
  <c r="AF894" i="1"/>
  <c r="AF898" i="1"/>
  <c r="AF902" i="1"/>
  <c r="AF906" i="1"/>
  <c r="AF910" i="1"/>
  <c r="AF914" i="1"/>
  <c r="AF918" i="1"/>
  <c r="AF922" i="1"/>
  <c r="AF930" i="1"/>
  <c r="AF934" i="1"/>
  <c r="AF938" i="1"/>
  <c r="AF942" i="1"/>
  <c r="AF946" i="1"/>
  <c r="AF950" i="1"/>
  <c r="AF958" i="1"/>
  <c r="AF962" i="1"/>
  <c r="AF966" i="1"/>
  <c r="AF974" i="1"/>
  <c r="AF978" i="1"/>
  <c r="AF982" i="1"/>
  <c r="AF986" i="1"/>
  <c r="AF990" i="1"/>
  <c r="AF994" i="1"/>
  <c r="AF998" i="1"/>
  <c r="AF1002" i="1"/>
  <c r="AF1006" i="1"/>
  <c r="AF1010" i="1"/>
  <c r="AF1014" i="1"/>
  <c r="AF1018" i="1"/>
  <c r="AF1022" i="1"/>
  <c r="AF1026" i="1"/>
  <c r="AF1030" i="1"/>
  <c r="AF1034" i="1"/>
  <c r="AF1038" i="1"/>
  <c r="AF1042" i="1"/>
  <c r="AF1046" i="1"/>
  <c r="AF1050" i="1"/>
  <c r="AF1054" i="1"/>
  <c r="AF1058" i="1"/>
  <c r="AF1062" i="1"/>
  <c r="AF1066" i="1"/>
  <c r="AF1070" i="1"/>
  <c r="AF1074" i="1"/>
  <c r="AF1078" i="1"/>
  <c r="AF1082" i="1"/>
  <c r="AF1086" i="1"/>
  <c r="AF1090" i="1"/>
  <c r="AF1094" i="1"/>
  <c r="AF1098" i="1"/>
  <c r="AF1102" i="1"/>
  <c r="AF1106" i="1"/>
  <c r="AF1110" i="1"/>
  <c r="AF1114" i="1"/>
  <c r="AF1118" i="1"/>
  <c r="AF1122" i="1"/>
  <c r="AF1126" i="1"/>
  <c r="AF1130" i="1"/>
  <c r="AF1134" i="1"/>
  <c r="AF1138" i="1"/>
  <c r="AF1142" i="1"/>
  <c r="AF1146" i="1"/>
  <c r="AF1150" i="1"/>
  <c r="AF1154" i="1"/>
  <c r="AF1158" i="1"/>
  <c r="AF1162" i="1"/>
  <c r="AF1166" i="1"/>
  <c r="AF1170" i="1"/>
  <c r="AE1174" i="1"/>
  <c r="AG1174" i="1"/>
  <c r="AC1174" i="1"/>
  <c r="AF1177" i="1"/>
  <c r="AD1177" i="1"/>
  <c r="AE1177" i="1"/>
  <c r="AE1182" i="1"/>
  <c r="AG1182" i="1"/>
  <c r="AC1182" i="1"/>
  <c r="AF1185" i="1"/>
  <c r="AD1185" i="1"/>
  <c r="AE1185" i="1"/>
  <c r="AE1190" i="1"/>
  <c r="AG1190" i="1"/>
  <c r="AC1190" i="1"/>
  <c r="AF1193" i="1"/>
  <c r="AD1193" i="1"/>
  <c r="AE1193" i="1"/>
  <c r="AE1198" i="1"/>
  <c r="AG1198" i="1"/>
  <c r="AC1198" i="1"/>
  <c r="AF1201" i="1"/>
  <c r="AD1201" i="1"/>
  <c r="AE1201" i="1"/>
  <c r="AE1206" i="1"/>
  <c r="AG1206" i="1"/>
  <c r="AC1206" i="1"/>
  <c r="AF1209" i="1"/>
  <c r="AD1209" i="1"/>
  <c r="AE1209" i="1"/>
  <c r="AE1214" i="1"/>
  <c r="AG1214" i="1"/>
  <c r="AC1214" i="1"/>
  <c r="AF1217" i="1"/>
  <c r="AD1217" i="1"/>
  <c r="AE1217" i="1"/>
  <c r="AE1222" i="1"/>
  <c r="AG1222" i="1"/>
  <c r="AC1222" i="1"/>
  <c r="AF1225" i="1"/>
  <c r="AD1225" i="1"/>
  <c r="AE1225" i="1"/>
  <c r="AE1230" i="1"/>
  <c r="AG1230" i="1"/>
  <c r="AC1230" i="1"/>
  <c r="AF1233" i="1"/>
  <c r="AD1233" i="1"/>
  <c r="AE1233" i="1"/>
  <c r="AE1238" i="1"/>
  <c r="AG1238" i="1"/>
  <c r="AC1238" i="1"/>
  <c r="AF1241" i="1"/>
  <c r="AD1241" i="1"/>
  <c r="AE1241" i="1"/>
  <c r="AE1246" i="1"/>
  <c r="AG1246" i="1"/>
  <c r="AC1246" i="1"/>
  <c r="AF1249" i="1"/>
  <c r="AD1249" i="1"/>
  <c r="AE1249" i="1"/>
  <c r="AE1254" i="1"/>
  <c r="AG1254" i="1"/>
  <c r="AC1254" i="1"/>
  <c r="AE1262" i="1"/>
  <c r="AG1262" i="1"/>
  <c r="AC1262" i="1"/>
  <c r="AF1265" i="1"/>
  <c r="AD1265" i="1"/>
  <c r="AE1265" i="1"/>
  <c r="AE1270" i="1"/>
  <c r="AG1270" i="1"/>
  <c r="AC1270" i="1"/>
  <c r="AF1273" i="1"/>
  <c r="AD1273" i="1"/>
  <c r="AE1273" i="1"/>
  <c r="AE1278" i="1"/>
  <c r="AG1278" i="1"/>
  <c r="AC1278" i="1"/>
  <c r="AF1281" i="1"/>
  <c r="AD1281" i="1"/>
  <c r="AE1281" i="1"/>
  <c r="AE1286" i="1"/>
  <c r="AD1286" i="1"/>
  <c r="AG1286" i="1"/>
  <c r="AC1286" i="1"/>
  <c r="AD1287" i="1"/>
  <c r="AG1287" i="1"/>
  <c r="AC1287" i="1"/>
  <c r="AF1287" i="1"/>
  <c r="AE1294" i="1"/>
  <c r="AD1294" i="1"/>
  <c r="AG1294" i="1"/>
  <c r="AC1294" i="1"/>
  <c r="AD1295" i="1"/>
  <c r="AG1295" i="1"/>
  <c r="AC1295" i="1"/>
  <c r="AF1295" i="1"/>
  <c r="AE1302" i="1"/>
  <c r="AD1302" i="1"/>
  <c r="AG1302" i="1"/>
  <c r="AC1302" i="1"/>
  <c r="AD1303" i="1"/>
  <c r="AG1303" i="1"/>
  <c r="AC1303" i="1"/>
  <c r="AF1303" i="1"/>
  <c r="AE1310" i="1"/>
  <c r="AD1310" i="1"/>
  <c r="AG1310" i="1"/>
  <c r="AC1310" i="1"/>
  <c r="AD1311" i="1"/>
  <c r="AG1311" i="1"/>
  <c r="AC1311" i="1"/>
  <c r="AF1311" i="1"/>
  <c r="AE1318" i="1"/>
  <c r="AD1318" i="1"/>
  <c r="AG1318" i="1"/>
  <c r="AC1318" i="1"/>
  <c r="AG1319" i="1"/>
  <c r="AC1319" i="1"/>
  <c r="AE1326" i="1"/>
  <c r="AD1326" i="1"/>
  <c r="AG1326" i="1"/>
  <c r="AC1326" i="1"/>
  <c r="AD1327" i="1"/>
  <c r="AG1327" i="1"/>
  <c r="AC1327" i="1"/>
  <c r="AF1327" i="1"/>
  <c r="AE1334" i="1"/>
  <c r="AD1334" i="1"/>
  <c r="AG1334" i="1"/>
  <c r="AC1334" i="1"/>
  <c r="AG1335" i="1"/>
  <c r="AC1335" i="1"/>
  <c r="AE1342" i="1"/>
  <c r="AD1342" i="1"/>
  <c r="AG1342" i="1"/>
  <c r="AC1342" i="1"/>
  <c r="AD1343" i="1"/>
  <c r="AG1343" i="1"/>
  <c r="AC1343" i="1"/>
  <c r="AF1343" i="1"/>
  <c r="AE1350" i="1"/>
  <c r="AD1350" i="1"/>
  <c r="AG1350" i="1"/>
  <c r="AC1350" i="1"/>
  <c r="AG1351" i="1"/>
  <c r="AC1351" i="1"/>
  <c r="AF1351" i="1"/>
  <c r="AE1358" i="1"/>
  <c r="AD1358" i="1"/>
  <c r="AG1358" i="1"/>
  <c r="AC1358" i="1"/>
  <c r="AD1359" i="1"/>
  <c r="AG1359" i="1"/>
  <c r="AC1359" i="1"/>
  <c r="AF1359" i="1"/>
  <c r="AE1366" i="1"/>
  <c r="AD1366" i="1"/>
  <c r="AG1366" i="1"/>
  <c r="AC1366" i="1"/>
  <c r="AD1367" i="1"/>
  <c r="AG1367" i="1"/>
  <c r="AC1367" i="1"/>
  <c r="AF1367" i="1"/>
  <c r="AD1374" i="1"/>
  <c r="AG1374" i="1"/>
  <c r="AC1374" i="1"/>
  <c r="AD1375" i="1"/>
  <c r="AG1375" i="1"/>
  <c r="AC1375" i="1"/>
  <c r="AF1375" i="1"/>
  <c r="AE1382" i="1"/>
  <c r="AD1382" i="1"/>
  <c r="AG1382" i="1"/>
  <c r="AC1382" i="1"/>
  <c r="AD1383" i="1"/>
  <c r="AG1383" i="1"/>
  <c r="AC1383" i="1"/>
  <c r="AF1383" i="1"/>
  <c r="AE1390" i="1"/>
  <c r="AD1390" i="1"/>
  <c r="AG1390" i="1"/>
  <c r="AC1390" i="1"/>
  <c r="AD1391" i="1"/>
  <c r="AG1391" i="1"/>
  <c r="AC1391" i="1"/>
  <c r="AF1391" i="1"/>
  <c r="AE1398" i="1"/>
  <c r="AD1398" i="1"/>
  <c r="AG1398" i="1"/>
  <c r="AC1398" i="1"/>
  <c r="AD1399" i="1"/>
  <c r="AG1399" i="1"/>
  <c r="AC1399" i="1"/>
  <c r="AF1399" i="1"/>
  <c r="AE1406" i="1"/>
  <c r="AD1406" i="1"/>
  <c r="AG1406" i="1"/>
  <c r="AC1406" i="1"/>
  <c r="AD1407" i="1"/>
  <c r="AG1407" i="1"/>
  <c r="AC1407" i="1"/>
  <c r="AF1407" i="1"/>
  <c r="AE1414" i="1"/>
  <c r="AD1414" i="1"/>
  <c r="AG1414" i="1"/>
  <c r="AC1414" i="1"/>
  <c r="AD1415" i="1"/>
  <c r="AG1415" i="1"/>
  <c r="AC1415" i="1"/>
  <c r="AF1415" i="1"/>
  <c r="AE1422" i="1"/>
  <c r="AD1422" i="1"/>
  <c r="AG1422" i="1"/>
  <c r="AC1422" i="1"/>
  <c r="AD1423" i="1"/>
  <c r="AG1423" i="1"/>
  <c r="AC1423" i="1"/>
  <c r="AF1423" i="1"/>
  <c r="AE1430" i="1"/>
  <c r="AD1430" i="1"/>
  <c r="AG1430" i="1"/>
  <c r="AC1430" i="1"/>
  <c r="AD1431" i="1"/>
  <c r="AG1431" i="1"/>
  <c r="AC1431" i="1"/>
  <c r="AF1431" i="1"/>
  <c r="AE1438" i="1"/>
  <c r="AD1438" i="1"/>
  <c r="AG1438" i="1"/>
  <c r="AC1438" i="1"/>
  <c r="AD1439" i="1"/>
  <c r="AG1439" i="1"/>
  <c r="AC1439" i="1"/>
  <c r="AF1439" i="1"/>
  <c r="AE1446" i="1"/>
  <c r="AD1446" i="1"/>
  <c r="AG1446" i="1"/>
  <c r="AC1446" i="1"/>
  <c r="AD1447" i="1"/>
  <c r="AG1447" i="1"/>
  <c r="AC1447" i="1"/>
  <c r="AF1447" i="1"/>
  <c r="M1449" i="1"/>
  <c r="R1449" i="1" s="1"/>
  <c r="AE1454" i="1"/>
  <c r="AD1454" i="1"/>
  <c r="AG1454" i="1"/>
  <c r="AC1454" i="1"/>
  <c r="AD1455" i="1"/>
  <c r="AG1455" i="1"/>
  <c r="AC1455" i="1"/>
  <c r="AF1455" i="1"/>
  <c r="M1457" i="1"/>
  <c r="R1457" i="1" s="1"/>
  <c r="AE1462" i="1"/>
  <c r="AD1462" i="1"/>
  <c r="AG1462" i="1"/>
  <c r="AC1462" i="1"/>
  <c r="AD1463" i="1"/>
  <c r="AG1463" i="1"/>
  <c r="AC1463" i="1"/>
  <c r="AF1463" i="1"/>
  <c r="M1465" i="1"/>
  <c r="R1465" i="1" s="1"/>
  <c r="AE1470" i="1"/>
  <c r="AD1470" i="1"/>
  <c r="AG1470" i="1"/>
  <c r="AC1470" i="1"/>
  <c r="AD1471" i="1"/>
  <c r="AG1471" i="1"/>
  <c r="AC1471" i="1"/>
  <c r="AF1471" i="1"/>
  <c r="M1473" i="1"/>
  <c r="R1473" i="1" s="1"/>
  <c r="AE1478" i="1"/>
  <c r="AD1478" i="1"/>
  <c r="AG1478" i="1"/>
  <c r="AC1478" i="1"/>
  <c r="AD1479" i="1"/>
  <c r="AG1479" i="1"/>
  <c r="AC1479" i="1"/>
  <c r="AF1479" i="1"/>
  <c r="M1481" i="1"/>
  <c r="R1481" i="1" s="1"/>
  <c r="AE1486" i="1"/>
  <c r="AD1486" i="1"/>
  <c r="AG1486" i="1"/>
  <c r="AC1486" i="1"/>
  <c r="AD1487" i="1"/>
  <c r="AG1487" i="1"/>
  <c r="AC1487" i="1"/>
  <c r="AF1487" i="1"/>
  <c r="M1489" i="1"/>
  <c r="R1489" i="1" s="1"/>
  <c r="AE1494" i="1"/>
  <c r="AD1494" i="1"/>
  <c r="AG1494" i="1"/>
  <c r="AC1494" i="1"/>
  <c r="AD1495" i="1"/>
  <c r="AG1495" i="1"/>
  <c r="AC1495" i="1"/>
  <c r="AF1495" i="1"/>
  <c r="M1497" i="1"/>
  <c r="R1497" i="1" s="1"/>
  <c r="AE1502" i="1"/>
  <c r="AD1502" i="1"/>
  <c r="AG1502" i="1"/>
  <c r="AC1502" i="1"/>
  <c r="AD1503" i="1"/>
  <c r="AG1503" i="1"/>
  <c r="AC1503" i="1"/>
  <c r="AF1503" i="1"/>
  <c r="M1505" i="1"/>
  <c r="R1505" i="1" s="1"/>
  <c r="AE1510" i="1"/>
  <c r="AD1510" i="1"/>
  <c r="AG1510" i="1"/>
  <c r="AC1510" i="1"/>
  <c r="AD1511" i="1"/>
  <c r="AG1511" i="1"/>
  <c r="AC1511" i="1"/>
  <c r="AF1511" i="1"/>
  <c r="M1513" i="1"/>
  <c r="R1513" i="1" s="1"/>
  <c r="AE1518" i="1"/>
  <c r="AD1518" i="1"/>
  <c r="AG1518" i="1"/>
  <c r="AC1518" i="1"/>
  <c r="AD1519" i="1"/>
  <c r="AG1519" i="1"/>
  <c r="AC1519" i="1"/>
  <c r="AF1519" i="1"/>
  <c r="M1521" i="1"/>
  <c r="R1521" i="1" s="1"/>
  <c r="AE1526" i="1"/>
  <c r="AD1526" i="1"/>
  <c r="AG1526" i="1"/>
  <c r="AC1526" i="1"/>
  <c r="AD1527" i="1"/>
  <c r="AG1527" i="1"/>
  <c r="AC1527" i="1"/>
  <c r="AF1527" i="1"/>
  <c r="M1529" i="1"/>
  <c r="R1529" i="1" s="1"/>
  <c r="AE1534" i="1"/>
  <c r="AD1534" i="1"/>
  <c r="AG1534" i="1"/>
  <c r="AC1534" i="1"/>
  <c r="AD1535" i="1"/>
  <c r="AG1535" i="1"/>
  <c r="AC1535" i="1"/>
  <c r="AF1535" i="1"/>
  <c r="M1537" i="1"/>
  <c r="R1537" i="1" s="1"/>
  <c r="AE1542" i="1"/>
  <c r="AD1542" i="1"/>
  <c r="AG1542" i="1"/>
  <c r="AC1542" i="1"/>
  <c r="AD1543" i="1"/>
  <c r="AG1543" i="1"/>
  <c r="AC1543" i="1"/>
  <c r="AF1543" i="1"/>
  <c r="M1545" i="1"/>
  <c r="R1545" i="1" s="1"/>
  <c r="AE1550" i="1"/>
  <c r="AD1550" i="1"/>
  <c r="AG1550" i="1"/>
  <c r="AC1550" i="1"/>
  <c r="AD1551" i="1"/>
  <c r="AG1551" i="1"/>
  <c r="AC1551" i="1"/>
  <c r="AF1551" i="1"/>
  <c r="M1553" i="1"/>
  <c r="R1553" i="1" s="1"/>
  <c r="AD1557" i="1"/>
  <c r="AF1557" i="1"/>
  <c r="AC1557" i="1"/>
  <c r="AG1557" i="1"/>
  <c r="AD1573" i="1"/>
  <c r="AF1573" i="1"/>
  <c r="AC1573" i="1"/>
  <c r="AG1573" i="1"/>
  <c r="AD1589" i="1"/>
  <c r="AF1589" i="1"/>
  <c r="AC1589" i="1"/>
  <c r="AG1589" i="1"/>
  <c r="AC1605" i="1"/>
  <c r="AD1621" i="1"/>
  <c r="AF1621" i="1"/>
  <c r="AC1621" i="1"/>
  <c r="AG1621" i="1"/>
  <c r="AF1643" i="1"/>
  <c r="AE1643" i="1"/>
  <c r="AD1643" i="1"/>
  <c r="AG1643" i="1"/>
  <c r="AC1643" i="1"/>
  <c r="AF1651" i="1"/>
  <c r="AE1651" i="1"/>
  <c r="AD1651" i="1"/>
  <c r="AG1651" i="1"/>
  <c r="AC1651" i="1"/>
  <c r="AF1659" i="1"/>
  <c r="AE1659" i="1"/>
  <c r="AD1659" i="1"/>
  <c r="AG1659" i="1"/>
  <c r="AC1659" i="1"/>
  <c r="AF1667" i="1"/>
  <c r="AE1667" i="1"/>
  <c r="AD1667" i="1"/>
  <c r="AG1667" i="1"/>
  <c r="AC1667" i="1"/>
  <c r="AF1675" i="1"/>
  <c r="AE1675" i="1"/>
  <c r="AD1675" i="1"/>
  <c r="AG1675" i="1"/>
  <c r="AC1675" i="1"/>
  <c r="AF1683" i="1"/>
  <c r="AE1683" i="1"/>
  <c r="AD1683" i="1"/>
  <c r="AG1683" i="1"/>
  <c r="AC1683" i="1"/>
  <c r="AF1691" i="1"/>
  <c r="AE1691" i="1"/>
  <c r="AD1691" i="1"/>
  <c r="AG1691" i="1"/>
  <c r="AC1691" i="1"/>
  <c r="AF1699" i="1"/>
  <c r="AE1699" i="1"/>
  <c r="AD1699" i="1"/>
  <c r="AG1699" i="1"/>
  <c r="AC1699" i="1"/>
  <c r="AF1707" i="1"/>
  <c r="AE1707" i="1"/>
  <c r="AD1707" i="1"/>
  <c r="AG1707" i="1"/>
  <c r="AC1707" i="1"/>
  <c r="Y1711" i="1"/>
  <c r="M1711" i="1"/>
  <c r="R1711" i="1" s="1"/>
  <c r="AC1715" i="1"/>
  <c r="Y1719" i="1"/>
  <c r="M1719" i="1"/>
  <c r="R1719" i="1" s="1"/>
  <c r="AF1723" i="1"/>
  <c r="AE1723" i="1"/>
  <c r="AD1723" i="1"/>
  <c r="AG1723" i="1"/>
  <c r="AC1723" i="1"/>
  <c r="AF1731" i="1"/>
  <c r="AE1731" i="1"/>
  <c r="AD1731" i="1"/>
  <c r="AG1731" i="1"/>
  <c r="AC1731" i="1"/>
  <c r="AF1739" i="1"/>
  <c r="AE1739" i="1"/>
  <c r="AD1739" i="1"/>
  <c r="AG1739" i="1"/>
  <c r="AC1739" i="1"/>
  <c r="AF1747" i="1"/>
  <c r="AE1747" i="1"/>
  <c r="AD1747" i="1"/>
  <c r="AG1747" i="1"/>
  <c r="AC1747" i="1"/>
  <c r="AF1755" i="1"/>
  <c r="AE1755" i="1"/>
  <c r="AD1755" i="1"/>
  <c r="AG1755" i="1"/>
  <c r="AC1755" i="1"/>
  <c r="AF1763" i="1"/>
  <c r="AE1763" i="1"/>
  <c r="AD1763" i="1"/>
  <c r="AG1763" i="1"/>
  <c r="AC1763" i="1"/>
  <c r="AF1771" i="1"/>
  <c r="AE1771" i="1"/>
  <c r="AD1771" i="1"/>
  <c r="AG1771" i="1"/>
  <c r="AC1771" i="1"/>
  <c r="AF1779" i="1"/>
  <c r="AE1779" i="1"/>
  <c r="AD1779" i="1"/>
  <c r="AG1779" i="1"/>
  <c r="AC1779" i="1"/>
  <c r="AF1787" i="1"/>
  <c r="AE1787" i="1"/>
  <c r="AD1787" i="1"/>
  <c r="AG1787" i="1"/>
  <c r="AC1787" i="1"/>
  <c r="AF1795" i="1"/>
  <c r="AE1795" i="1"/>
  <c r="AD1795" i="1"/>
  <c r="AG1795" i="1"/>
  <c r="AC1795" i="1"/>
  <c r="AF1803" i="1"/>
  <c r="AE1803" i="1"/>
  <c r="AD1803" i="1"/>
  <c r="AG1803" i="1"/>
  <c r="AC1803" i="1"/>
  <c r="AC1811" i="1"/>
  <c r="AF1819" i="1"/>
  <c r="AE1819" i="1"/>
  <c r="AD1819" i="1"/>
  <c r="AG1819" i="1"/>
  <c r="AC1819" i="1"/>
  <c r="AF1827" i="1"/>
  <c r="AE1827" i="1"/>
  <c r="AD1827" i="1"/>
  <c r="AG1827" i="1"/>
  <c r="AC1827" i="1"/>
  <c r="AF1835" i="1"/>
  <c r="AE1835" i="1"/>
  <c r="AD1835" i="1"/>
  <c r="AG1835" i="1"/>
  <c r="AC1835" i="1"/>
  <c r="AF1843" i="1"/>
  <c r="AE1843" i="1"/>
  <c r="AD1843" i="1"/>
  <c r="AG1843" i="1"/>
  <c r="AC1843" i="1"/>
  <c r="AF1851" i="1"/>
  <c r="AE1851" i="1"/>
  <c r="AD1851" i="1"/>
  <c r="AG1851" i="1"/>
  <c r="AC1851" i="1"/>
  <c r="AF1859" i="1"/>
  <c r="AE1859" i="1"/>
  <c r="AD1859" i="1"/>
  <c r="AG1859" i="1"/>
  <c r="AC1859" i="1"/>
  <c r="AF1867" i="1"/>
  <c r="AE1867" i="1"/>
  <c r="AD1867" i="1"/>
  <c r="AG1867" i="1"/>
  <c r="AC1867" i="1"/>
  <c r="AF1875" i="1"/>
  <c r="AE1875" i="1"/>
  <c r="AD1875" i="1"/>
  <c r="AG1875" i="1"/>
  <c r="AC1875" i="1"/>
  <c r="AF1883" i="1"/>
  <c r="AE1883" i="1"/>
  <c r="AD1883" i="1"/>
  <c r="AG1883" i="1"/>
  <c r="AC1883" i="1"/>
  <c r="AF1891" i="1"/>
  <c r="AE1891" i="1"/>
  <c r="AD1891" i="1"/>
  <c r="AG1891" i="1"/>
  <c r="AC1891" i="1"/>
  <c r="AF1899" i="1"/>
  <c r="AE1899" i="1"/>
  <c r="AD1899" i="1"/>
  <c r="AG1899" i="1"/>
  <c r="AC1899" i="1"/>
  <c r="AC1907" i="1"/>
  <c r="AG1927" i="1"/>
  <c r="AG1935" i="1"/>
  <c r="AG1943" i="1"/>
  <c r="AG1951" i="1"/>
  <c r="AG1959" i="1"/>
  <c r="AF1971" i="1"/>
  <c r="AE1971" i="1"/>
  <c r="AD1971" i="1"/>
  <c r="AG1971" i="1"/>
  <c r="AC1971" i="1"/>
  <c r="AF2012" i="1"/>
  <c r="AD2012" i="1"/>
  <c r="AG2038" i="1"/>
  <c r="AC2038" i="1"/>
  <c r="AF2038" i="1"/>
  <c r="AE2038" i="1"/>
  <c r="AD2038" i="1"/>
  <c r="AF2111" i="1"/>
  <c r="AE2111" i="1"/>
  <c r="AD2111" i="1"/>
  <c r="AG2111" i="1"/>
  <c r="AC2111" i="1"/>
  <c r="Y2123" i="1"/>
  <c r="M2123" i="1"/>
  <c r="R2123" i="1" s="1"/>
  <c r="Y2131" i="1"/>
  <c r="M2131" i="1"/>
  <c r="R2131" i="1" s="1"/>
  <c r="Y2139" i="1"/>
  <c r="M2139" i="1"/>
  <c r="R2139" i="1" s="1"/>
  <c r="Y2147" i="1"/>
  <c r="M2147" i="1"/>
  <c r="R2147" i="1" s="1"/>
  <c r="AC2175" i="1"/>
  <c r="Y2179" i="1"/>
  <c r="M2179" i="1"/>
  <c r="R2179" i="1" s="1"/>
  <c r="M653" i="1"/>
  <c r="R653" i="1" s="1"/>
  <c r="AC654" i="1"/>
  <c r="M657" i="1"/>
  <c r="R657" i="1" s="1"/>
  <c r="AC658" i="1"/>
  <c r="M661" i="1"/>
  <c r="R661" i="1" s="1"/>
  <c r="AC662" i="1"/>
  <c r="M665" i="1"/>
  <c r="R665" i="1" s="1"/>
  <c r="AC666" i="1"/>
  <c r="M669" i="1"/>
  <c r="R669" i="1" s="1"/>
  <c r="AC670" i="1"/>
  <c r="M673" i="1"/>
  <c r="R673" i="1" s="1"/>
  <c r="AC674" i="1"/>
  <c r="M677" i="1"/>
  <c r="R677" i="1" s="1"/>
  <c r="AC678" i="1"/>
  <c r="M681" i="1"/>
  <c r="R681" i="1" s="1"/>
  <c r="AC682" i="1"/>
  <c r="M685" i="1"/>
  <c r="R685" i="1" s="1"/>
  <c r="AC686" i="1"/>
  <c r="M689" i="1"/>
  <c r="R689" i="1" s="1"/>
  <c r="AC690" i="1"/>
  <c r="M693" i="1"/>
  <c r="R693" i="1" s="1"/>
  <c r="AC694" i="1"/>
  <c r="M697" i="1"/>
  <c r="R697" i="1" s="1"/>
  <c r="AC698" i="1"/>
  <c r="M701" i="1"/>
  <c r="R701" i="1" s="1"/>
  <c r="AC702" i="1"/>
  <c r="M705" i="1"/>
  <c r="R705" i="1" s="1"/>
  <c r="AC706" i="1"/>
  <c r="M709" i="1"/>
  <c r="R709" i="1" s="1"/>
  <c r="AC710" i="1"/>
  <c r="M713" i="1"/>
  <c r="R713" i="1" s="1"/>
  <c r="AC714" i="1"/>
  <c r="M717" i="1"/>
  <c r="R717" i="1" s="1"/>
  <c r="AC718" i="1"/>
  <c r="M721" i="1"/>
  <c r="R721" i="1" s="1"/>
  <c r="AC722" i="1"/>
  <c r="M725" i="1"/>
  <c r="R725" i="1" s="1"/>
  <c r="AC726" i="1"/>
  <c r="M729" i="1"/>
  <c r="R729" i="1" s="1"/>
  <c r="AC730" i="1"/>
  <c r="M733" i="1"/>
  <c r="R733" i="1" s="1"/>
  <c r="AC734" i="1"/>
  <c r="M737" i="1"/>
  <c r="R737" i="1" s="1"/>
  <c r="AC738" i="1"/>
  <c r="M741" i="1"/>
  <c r="R741" i="1" s="1"/>
  <c r="AC742" i="1"/>
  <c r="M745" i="1"/>
  <c r="R745" i="1" s="1"/>
  <c r="AC746" i="1"/>
  <c r="M749" i="1"/>
  <c r="R749" i="1" s="1"/>
  <c r="AC750" i="1"/>
  <c r="M753" i="1"/>
  <c r="R753" i="1" s="1"/>
  <c r="AC754" i="1"/>
  <c r="M757" i="1"/>
  <c r="R757" i="1" s="1"/>
  <c r="AC758" i="1"/>
  <c r="M761" i="1"/>
  <c r="R761" i="1" s="1"/>
  <c r="AC762" i="1"/>
  <c r="M765" i="1"/>
  <c r="R765" i="1" s="1"/>
  <c r="AC766" i="1"/>
  <c r="M769" i="1"/>
  <c r="R769" i="1" s="1"/>
  <c r="AC770" i="1"/>
  <c r="M773" i="1"/>
  <c r="R773" i="1" s="1"/>
  <c r="AC774" i="1"/>
  <c r="M777" i="1"/>
  <c r="R777" i="1" s="1"/>
  <c r="AC778" i="1"/>
  <c r="M781" i="1"/>
  <c r="R781" i="1" s="1"/>
  <c r="AC782" i="1"/>
  <c r="M785" i="1"/>
  <c r="R785" i="1" s="1"/>
  <c r="AC786" i="1"/>
  <c r="M789" i="1"/>
  <c r="R789" i="1" s="1"/>
  <c r="AC790" i="1"/>
  <c r="M793" i="1"/>
  <c r="R793" i="1" s="1"/>
  <c r="AC794" i="1"/>
  <c r="M797" i="1"/>
  <c r="R797" i="1" s="1"/>
  <c r="AC798" i="1"/>
  <c r="M801" i="1"/>
  <c r="R801" i="1" s="1"/>
  <c r="AC802" i="1"/>
  <c r="M805" i="1"/>
  <c r="R805" i="1" s="1"/>
  <c r="AC806" i="1"/>
  <c r="M809" i="1"/>
  <c r="R809" i="1" s="1"/>
  <c r="AC810" i="1"/>
  <c r="M813" i="1"/>
  <c r="R813" i="1" s="1"/>
  <c r="AC814" i="1"/>
  <c r="M817" i="1"/>
  <c r="R817" i="1" s="1"/>
  <c r="AC818" i="1"/>
  <c r="M821" i="1"/>
  <c r="R821" i="1" s="1"/>
  <c r="AC822" i="1"/>
  <c r="M825" i="1"/>
  <c r="R825" i="1" s="1"/>
  <c r="AC826" i="1"/>
  <c r="M829" i="1"/>
  <c r="R829" i="1" s="1"/>
  <c r="AC830" i="1"/>
  <c r="M833" i="1"/>
  <c r="R833" i="1" s="1"/>
  <c r="AC834" i="1"/>
  <c r="M837" i="1"/>
  <c r="R837" i="1" s="1"/>
  <c r="AC838" i="1"/>
  <c r="M841" i="1"/>
  <c r="R841" i="1" s="1"/>
  <c r="AC842" i="1"/>
  <c r="M845" i="1"/>
  <c r="R845" i="1" s="1"/>
  <c r="AC846" i="1"/>
  <c r="M849" i="1"/>
  <c r="R849" i="1" s="1"/>
  <c r="AC850" i="1"/>
  <c r="M853" i="1"/>
  <c r="R853" i="1" s="1"/>
  <c r="AC854" i="1"/>
  <c r="M857" i="1"/>
  <c r="R857" i="1" s="1"/>
  <c r="AC858" i="1"/>
  <c r="M861" i="1"/>
  <c r="R861" i="1" s="1"/>
  <c r="AC862" i="1"/>
  <c r="M865" i="1"/>
  <c r="R865" i="1" s="1"/>
  <c r="AC866" i="1"/>
  <c r="M869" i="1"/>
  <c r="R869" i="1" s="1"/>
  <c r="AC870" i="1"/>
  <c r="M873" i="1"/>
  <c r="R873" i="1" s="1"/>
  <c r="AC874" i="1"/>
  <c r="M877" i="1"/>
  <c r="R877" i="1" s="1"/>
  <c r="AC878" i="1"/>
  <c r="M881" i="1"/>
  <c r="R881" i="1" s="1"/>
  <c r="AC882" i="1"/>
  <c r="M885" i="1"/>
  <c r="R885" i="1" s="1"/>
  <c r="AC886" i="1"/>
  <c r="M889" i="1"/>
  <c r="R889" i="1" s="1"/>
  <c r="AC890" i="1"/>
  <c r="M893" i="1"/>
  <c r="R893" i="1" s="1"/>
  <c r="AC894" i="1"/>
  <c r="M897" i="1"/>
  <c r="R897" i="1" s="1"/>
  <c r="AC898" i="1"/>
  <c r="M901" i="1"/>
  <c r="R901" i="1" s="1"/>
  <c r="AC902" i="1"/>
  <c r="M905" i="1"/>
  <c r="R905" i="1" s="1"/>
  <c r="AC906" i="1"/>
  <c r="M909" i="1"/>
  <c r="R909" i="1" s="1"/>
  <c r="AC910" i="1"/>
  <c r="M913" i="1"/>
  <c r="R913" i="1" s="1"/>
  <c r="AC914" i="1"/>
  <c r="M917" i="1"/>
  <c r="R917" i="1" s="1"/>
  <c r="AC918" i="1"/>
  <c r="M921" i="1"/>
  <c r="R921" i="1" s="1"/>
  <c r="AC922" i="1"/>
  <c r="M925" i="1"/>
  <c r="R925" i="1" s="1"/>
  <c r="AC926" i="1"/>
  <c r="M929" i="1"/>
  <c r="R929" i="1" s="1"/>
  <c r="AC930" i="1"/>
  <c r="M933" i="1"/>
  <c r="R933" i="1" s="1"/>
  <c r="AC934" i="1"/>
  <c r="M937" i="1"/>
  <c r="R937" i="1" s="1"/>
  <c r="AC938" i="1"/>
  <c r="M941" i="1"/>
  <c r="R941" i="1" s="1"/>
  <c r="AC942" i="1"/>
  <c r="M945" i="1"/>
  <c r="R945" i="1" s="1"/>
  <c r="AC946" i="1"/>
  <c r="M949" i="1"/>
  <c r="R949" i="1" s="1"/>
  <c r="AC950" i="1"/>
  <c r="M953" i="1"/>
  <c r="R953" i="1" s="1"/>
  <c r="AC954" i="1"/>
  <c r="M957" i="1"/>
  <c r="R957" i="1" s="1"/>
  <c r="AC958" i="1"/>
  <c r="M961" i="1"/>
  <c r="R961" i="1" s="1"/>
  <c r="AC962" i="1"/>
  <c r="M965" i="1"/>
  <c r="R965" i="1" s="1"/>
  <c r="AC966" i="1"/>
  <c r="M969" i="1"/>
  <c r="R969" i="1" s="1"/>
  <c r="AC970" i="1"/>
  <c r="M973" i="1"/>
  <c r="R973" i="1" s="1"/>
  <c r="AC974" i="1"/>
  <c r="M977" i="1"/>
  <c r="R977" i="1" s="1"/>
  <c r="AC978" i="1"/>
  <c r="M981" i="1"/>
  <c r="R981" i="1" s="1"/>
  <c r="AC982" i="1"/>
  <c r="M985" i="1"/>
  <c r="R985" i="1" s="1"/>
  <c r="AC986" i="1"/>
  <c r="M989" i="1"/>
  <c r="R989" i="1" s="1"/>
  <c r="AC990" i="1"/>
  <c r="M993" i="1"/>
  <c r="R993" i="1" s="1"/>
  <c r="AC994" i="1"/>
  <c r="M997" i="1"/>
  <c r="R997" i="1" s="1"/>
  <c r="AC998" i="1"/>
  <c r="M1001" i="1"/>
  <c r="R1001" i="1" s="1"/>
  <c r="AC1002" i="1"/>
  <c r="M1005" i="1"/>
  <c r="R1005" i="1" s="1"/>
  <c r="AC1006" i="1"/>
  <c r="M1009" i="1"/>
  <c r="R1009" i="1" s="1"/>
  <c r="AC1010" i="1"/>
  <c r="M1013" i="1"/>
  <c r="R1013" i="1" s="1"/>
  <c r="AC1014" i="1"/>
  <c r="M1017" i="1"/>
  <c r="R1017" i="1" s="1"/>
  <c r="AC1018" i="1"/>
  <c r="M1021" i="1"/>
  <c r="R1021" i="1" s="1"/>
  <c r="AC1022" i="1"/>
  <c r="M1025" i="1"/>
  <c r="R1025" i="1" s="1"/>
  <c r="AC1026" i="1"/>
  <c r="M1029" i="1"/>
  <c r="R1029" i="1" s="1"/>
  <c r="AC1030" i="1"/>
  <c r="M1033" i="1"/>
  <c r="R1033" i="1" s="1"/>
  <c r="AC1034" i="1"/>
  <c r="M1037" i="1"/>
  <c r="R1037" i="1" s="1"/>
  <c r="AC1038" i="1"/>
  <c r="M1041" i="1"/>
  <c r="R1041" i="1" s="1"/>
  <c r="AC1042" i="1"/>
  <c r="M1045" i="1"/>
  <c r="R1045" i="1" s="1"/>
  <c r="AC1046" i="1"/>
  <c r="M1049" i="1"/>
  <c r="R1049" i="1" s="1"/>
  <c r="AC1050" i="1"/>
  <c r="M1053" i="1"/>
  <c r="R1053" i="1" s="1"/>
  <c r="AC1054" i="1"/>
  <c r="M1057" i="1"/>
  <c r="R1057" i="1" s="1"/>
  <c r="AC1058" i="1"/>
  <c r="M1061" i="1"/>
  <c r="R1061" i="1" s="1"/>
  <c r="AC1062" i="1"/>
  <c r="M1065" i="1"/>
  <c r="R1065" i="1" s="1"/>
  <c r="AC1066" i="1"/>
  <c r="M1069" i="1"/>
  <c r="R1069" i="1" s="1"/>
  <c r="AC1070" i="1"/>
  <c r="M1073" i="1"/>
  <c r="R1073" i="1" s="1"/>
  <c r="AC1074" i="1"/>
  <c r="M1077" i="1"/>
  <c r="R1077" i="1" s="1"/>
  <c r="AC1078" i="1"/>
  <c r="M1081" i="1"/>
  <c r="R1081" i="1" s="1"/>
  <c r="AC1082" i="1"/>
  <c r="M1085" i="1"/>
  <c r="R1085" i="1" s="1"/>
  <c r="AC1086" i="1"/>
  <c r="M1089" i="1"/>
  <c r="R1089" i="1" s="1"/>
  <c r="AC1090" i="1"/>
  <c r="M1093" i="1"/>
  <c r="R1093" i="1" s="1"/>
  <c r="AC1094" i="1"/>
  <c r="M1097" i="1"/>
  <c r="R1097" i="1" s="1"/>
  <c r="AC1098" i="1"/>
  <c r="M1101" i="1"/>
  <c r="R1101" i="1" s="1"/>
  <c r="AC1102" i="1"/>
  <c r="M1105" i="1"/>
  <c r="R1105" i="1" s="1"/>
  <c r="AC1106" i="1"/>
  <c r="M1109" i="1"/>
  <c r="R1109" i="1" s="1"/>
  <c r="AC1110" i="1"/>
  <c r="M1113" i="1"/>
  <c r="R1113" i="1" s="1"/>
  <c r="AC1114" i="1"/>
  <c r="M1117" i="1"/>
  <c r="R1117" i="1" s="1"/>
  <c r="AC1118" i="1"/>
  <c r="M1121" i="1"/>
  <c r="R1121" i="1" s="1"/>
  <c r="AC1122" i="1"/>
  <c r="M1125" i="1"/>
  <c r="R1125" i="1" s="1"/>
  <c r="AC1126" i="1"/>
  <c r="M1129" i="1"/>
  <c r="R1129" i="1" s="1"/>
  <c r="AC1130" i="1"/>
  <c r="M1133" i="1"/>
  <c r="R1133" i="1" s="1"/>
  <c r="AC1134" i="1"/>
  <c r="M1137" i="1"/>
  <c r="R1137" i="1" s="1"/>
  <c r="AC1138" i="1"/>
  <c r="M1141" i="1"/>
  <c r="R1141" i="1" s="1"/>
  <c r="AC1142" i="1"/>
  <c r="M1145" i="1"/>
  <c r="R1145" i="1" s="1"/>
  <c r="AC1146" i="1"/>
  <c r="M1149" i="1"/>
  <c r="R1149" i="1" s="1"/>
  <c r="AC1150" i="1"/>
  <c r="M1153" i="1"/>
  <c r="R1153" i="1" s="1"/>
  <c r="AC1154" i="1"/>
  <c r="M1157" i="1"/>
  <c r="R1157" i="1" s="1"/>
  <c r="AC1158" i="1"/>
  <c r="M1161" i="1"/>
  <c r="R1161" i="1" s="1"/>
  <c r="AC1162" i="1"/>
  <c r="M1165" i="1"/>
  <c r="R1165" i="1" s="1"/>
  <c r="AC1166" i="1"/>
  <c r="M1169" i="1"/>
  <c r="R1169" i="1" s="1"/>
  <c r="AC1170" i="1"/>
  <c r="AD1174" i="1"/>
  <c r="AD1175" i="1"/>
  <c r="AF1175" i="1"/>
  <c r="AE1175" i="1"/>
  <c r="M1177" i="1"/>
  <c r="R1177" i="1" s="1"/>
  <c r="AG1177" i="1"/>
  <c r="AG1180" i="1"/>
  <c r="AC1180" i="1"/>
  <c r="AE1180" i="1"/>
  <c r="AD1182" i="1"/>
  <c r="AD1183" i="1"/>
  <c r="AF1183" i="1"/>
  <c r="AE1183" i="1"/>
  <c r="M1185" i="1"/>
  <c r="R1185" i="1" s="1"/>
  <c r="AG1185" i="1"/>
  <c r="AG1188" i="1"/>
  <c r="AC1188" i="1"/>
  <c r="AE1188" i="1"/>
  <c r="AD1190" i="1"/>
  <c r="AD1191" i="1"/>
  <c r="AF1191" i="1"/>
  <c r="AE1191" i="1"/>
  <c r="M1193" i="1"/>
  <c r="R1193" i="1" s="1"/>
  <c r="AG1193" i="1"/>
  <c r="AG1196" i="1"/>
  <c r="AC1196" i="1"/>
  <c r="AE1196" i="1"/>
  <c r="AD1198" i="1"/>
  <c r="AD1199" i="1"/>
  <c r="AF1199" i="1"/>
  <c r="AE1199" i="1"/>
  <c r="M1201" i="1"/>
  <c r="R1201" i="1" s="1"/>
  <c r="AG1201" i="1"/>
  <c r="AG1204" i="1"/>
  <c r="AC1204" i="1"/>
  <c r="AE1204" i="1"/>
  <c r="AD1206" i="1"/>
  <c r="AD1207" i="1"/>
  <c r="AF1207" i="1"/>
  <c r="AE1207" i="1"/>
  <c r="M1209" i="1"/>
  <c r="R1209" i="1" s="1"/>
  <c r="AG1209" i="1"/>
  <c r="AG1212" i="1"/>
  <c r="AC1212" i="1"/>
  <c r="AE1212" i="1"/>
  <c r="AD1214" i="1"/>
  <c r="AD1215" i="1"/>
  <c r="AF1215" i="1"/>
  <c r="AE1215" i="1"/>
  <c r="M1217" i="1"/>
  <c r="R1217" i="1" s="1"/>
  <c r="AG1217" i="1"/>
  <c r="AG1220" i="1"/>
  <c r="AC1220" i="1"/>
  <c r="AE1220" i="1"/>
  <c r="AD1222" i="1"/>
  <c r="AD1223" i="1"/>
  <c r="AF1223" i="1"/>
  <c r="AE1223" i="1"/>
  <c r="M1225" i="1"/>
  <c r="R1225" i="1" s="1"/>
  <c r="AG1225" i="1"/>
  <c r="AG1228" i="1"/>
  <c r="AC1228" i="1"/>
  <c r="AE1228" i="1"/>
  <c r="AD1230" i="1"/>
  <c r="AD1231" i="1"/>
  <c r="AF1231" i="1"/>
  <c r="AE1231" i="1"/>
  <c r="M1233" i="1"/>
  <c r="R1233" i="1" s="1"/>
  <c r="AG1233" i="1"/>
  <c r="Y1235" i="1"/>
  <c r="M1235" i="1"/>
  <c r="R1235" i="1" s="1"/>
  <c r="AG1236" i="1"/>
  <c r="AC1236" i="1"/>
  <c r="AE1236" i="1"/>
  <c r="AD1238" i="1"/>
  <c r="M1241" i="1"/>
  <c r="R1241" i="1" s="1"/>
  <c r="AG1241" i="1"/>
  <c r="AG1244" i="1"/>
  <c r="AC1244" i="1"/>
  <c r="AE1244" i="1"/>
  <c r="AD1246" i="1"/>
  <c r="AD1247" i="1"/>
  <c r="AF1247" i="1"/>
  <c r="AE1247" i="1"/>
  <c r="M1249" i="1"/>
  <c r="R1249" i="1" s="1"/>
  <c r="AG1249" i="1"/>
  <c r="Y1251" i="1"/>
  <c r="M1251" i="1"/>
  <c r="R1251" i="1" s="1"/>
  <c r="AG1252" i="1"/>
  <c r="AC1252" i="1"/>
  <c r="AE1252" i="1"/>
  <c r="AD1254" i="1"/>
  <c r="AD1255" i="1"/>
  <c r="AF1255" i="1"/>
  <c r="AE1255" i="1"/>
  <c r="M1257" i="1"/>
  <c r="R1257" i="1" s="1"/>
  <c r="AG1257" i="1"/>
  <c r="AG1260" i="1"/>
  <c r="AC1260" i="1"/>
  <c r="AE1260" i="1"/>
  <c r="AD1262" i="1"/>
  <c r="AD1263" i="1"/>
  <c r="AF1263" i="1"/>
  <c r="AE1263" i="1"/>
  <c r="M1265" i="1"/>
  <c r="R1265" i="1" s="1"/>
  <c r="AG1265" i="1"/>
  <c r="AG1268" i="1"/>
  <c r="AC1268" i="1"/>
  <c r="AE1268" i="1"/>
  <c r="AD1270" i="1"/>
  <c r="AD1271" i="1"/>
  <c r="AF1271" i="1"/>
  <c r="AE1271" i="1"/>
  <c r="M1273" i="1"/>
  <c r="R1273" i="1" s="1"/>
  <c r="AG1273" i="1"/>
  <c r="AG1276" i="1"/>
  <c r="AC1276" i="1"/>
  <c r="AE1276" i="1"/>
  <c r="AD1278" i="1"/>
  <c r="AD1279" i="1"/>
  <c r="AF1279" i="1"/>
  <c r="AE1279" i="1"/>
  <c r="M1281" i="1"/>
  <c r="R1281" i="1" s="1"/>
  <c r="AG1281" i="1"/>
  <c r="AG1284" i="1"/>
  <c r="AF1285" i="1"/>
  <c r="AE1285" i="1"/>
  <c r="AD1285" i="1"/>
  <c r="AF1286" i="1"/>
  <c r="AG1292" i="1"/>
  <c r="AF1294" i="1"/>
  <c r="AG1300" i="1"/>
  <c r="AF1301" i="1"/>
  <c r="AE1301" i="1"/>
  <c r="AD1301" i="1"/>
  <c r="AF1302" i="1"/>
  <c r="AG1308" i="1"/>
  <c r="AF1309" i="1"/>
  <c r="AE1309" i="1"/>
  <c r="AD1309" i="1"/>
  <c r="AF1310" i="1"/>
  <c r="AG1316" i="1"/>
  <c r="AF1317" i="1"/>
  <c r="AE1317" i="1"/>
  <c r="AD1317" i="1"/>
  <c r="AF1318" i="1"/>
  <c r="AG1324" i="1"/>
  <c r="AF1325" i="1"/>
  <c r="AE1325" i="1"/>
  <c r="AD1325" i="1"/>
  <c r="AF1326" i="1"/>
  <c r="AG1332" i="1"/>
  <c r="AF1333" i="1"/>
  <c r="AE1333" i="1"/>
  <c r="AD1333" i="1"/>
  <c r="AF1334" i="1"/>
  <c r="AG1340" i="1"/>
  <c r="AF1342" i="1"/>
  <c r="AG1348" i="1"/>
  <c r="AF1349" i="1"/>
  <c r="AE1349" i="1"/>
  <c r="AD1349" i="1"/>
  <c r="AF1350" i="1"/>
  <c r="AG1356" i="1"/>
  <c r="AF1357" i="1"/>
  <c r="AE1357" i="1"/>
  <c r="AD1357" i="1"/>
  <c r="AF1358" i="1"/>
  <c r="AG1364" i="1"/>
  <c r="AF1365" i="1"/>
  <c r="AE1365" i="1"/>
  <c r="AD1365" i="1"/>
  <c r="AF1366" i="1"/>
  <c r="AG1372" i="1"/>
  <c r="AF1373" i="1"/>
  <c r="AE1373" i="1"/>
  <c r="AD1373" i="1"/>
  <c r="AF1374" i="1"/>
  <c r="AG1380" i="1"/>
  <c r="AF1381" i="1"/>
  <c r="AE1381" i="1"/>
  <c r="AD1381" i="1"/>
  <c r="AF1382" i="1"/>
  <c r="AG1388" i="1"/>
  <c r="AF1389" i="1"/>
  <c r="AE1389" i="1"/>
  <c r="AD1389" i="1"/>
  <c r="AF1390" i="1"/>
  <c r="AG1396" i="1"/>
  <c r="AF1397" i="1"/>
  <c r="AE1397" i="1"/>
  <c r="AD1397" i="1"/>
  <c r="AF1398" i="1"/>
  <c r="AG1404" i="1"/>
  <c r="AF1406" i="1"/>
  <c r="AG1412" i="1"/>
  <c r="AF1413" i="1"/>
  <c r="AE1413" i="1"/>
  <c r="AD1413" i="1"/>
  <c r="AF1414" i="1"/>
  <c r="Y1433" i="1"/>
  <c r="M1433" i="1"/>
  <c r="R1433" i="1" s="1"/>
  <c r="Y1441" i="1"/>
  <c r="AE1441" i="1" s="1"/>
  <c r="M1441" i="1"/>
  <c r="R1441" i="1" s="1"/>
  <c r="AF1453" i="1"/>
  <c r="AE1453" i="1"/>
  <c r="AD1453" i="1"/>
  <c r="AF1461" i="1"/>
  <c r="AE1461" i="1"/>
  <c r="AD1461" i="1"/>
  <c r="AF1469" i="1"/>
  <c r="AE1469" i="1"/>
  <c r="AD1469" i="1"/>
  <c r="AF1477" i="1"/>
  <c r="AE1477" i="1"/>
  <c r="AD1477" i="1"/>
  <c r="AF1485" i="1"/>
  <c r="AE1485" i="1"/>
  <c r="AD1485" i="1"/>
  <c r="AF1493" i="1"/>
  <c r="AE1493" i="1"/>
  <c r="AD1493" i="1"/>
  <c r="AF1509" i="1"/>
  <c r="AE1509" i="1"/>
  <c r="AD1509" i="1"/>
  <c r="AF1517" i="1"/>
  <c r="AE1517" i="1"/>
  <c r="AD1517" i="1"/>
  <c r="AF1525" i="1"/>
  <c r="AE1525" i="1"/>
  <c r="AD1525" i="1"/>
  <c r="AF1533" i="1"/>
  <c r="AE1533" i="1"/>
  <c r="AD1533" i="1"/>
  <c r="AF1541" i="1"/>
  <c r="AE1541" i="1"/>
  <c r="AD1541" i="1"/>
  <c r="AF1549" i="1"/>
  <c r="AE1549" i="1"/>
  <c r="AD1549" i="1"/>
  <c r="Y1561" i="1"/>
  <c r="AF1561" i="1" s="1"/>
  <c r="M1561" i="1"/>
  <c r="R1561" i="1" s="1"/>
  <c r="AG1562" i="1"/>
  <c r="AC1562" i="1"/>
  <c r="AE1562" i="1"/>
  <c r="AF1562" i="1"/>
  <c r="AD1562" i="1"/>
  <c r="AF1568" i="1"/>
  <c r="AD1568" i="1"/>
  <c r="AG1578" i="1"/>
  <c r="AC1578" i="1"/>
  <c r="AE1578" i="1"/>
  <c r="AF1578" i="1"/>
  <c r="AD1578" i="1"/>
  <c r="AF1584" i="1"/>
  <c r="AD1584" i="1"/>
  <c r="Y1593" i="1"/>
  <c r="AD1593" i="1" s="1"/>
  <c r="M1593" i="1"/>
  <c r="R1593" i="1" s="1"/>
  <c r="AG1594" i="1"/>
  <c r="AC1594" i="1"/>
  <c r="AE1594" i="1"/>
  <c r="AF1594" i="1"/>
  <c r="AD1594" i="1"/>
  <c r="AF1600" i="1"/>
  <c r="AD1600" i="1"/>
  <c r="AG1610" i="1"/>
  <c r="AC1610" i="1"/>
  <c r="AE1610" i="1"/>
  <c r="AF1610" i="1"/>
  <c r="AD1610" i="1"/>
  <c r="AF1616" i="1"/>
  <c r="AD1616" i="1"/>
  <c r="AG1626" i="1"/>
  <c r="AC1626" i="1"/>
  <c r="AE1626" i="1"/>
  <c r="AF1626" i="1"/>
  <c r="AD1626" i="1"/>
  <c r="AF1632" i="1"/>
  <c r="AD1632" i="1"/>
  <c r="AC1915" i="1"/>
  <c r="AF1979" i="1"/>
  <c r="AE1979" i="1"/>
  <c r="AD1979" i="1"/>
  <c r="AG1979" i="1"/>
  <c r="AC1979" i="1"/>
  <c r="AF1987" i="1"/>
  <c r="AE1987" i="1"/>
  <c r="AD1987" i="1"/>
  <c r="AG1987" i="1"/>
  <c r="AC1987" i="1"/>
  <c r="AF1996" i="1"/>
  <c r="AD1996" i="1"/>
  <c r="AG2022" i="1"/>
  <c r="AC2022" i="1"/>
  <c r="AE2022" i="1"/>
  <c r="AF2022" i="1"/>
  <c r="AD2022" i="1"/>
  <c r="AE1284" i="1"/>
  <c r="AE1288" i="1"/>
  <c r="AE1292" i="1"/>
  <c r="AE1296" i="1"/>
  <c r="AE1300" i="1"/>
  <c r="AE1304" i="1"/>
  <c r="AE1308" i="1"/>
  <c r="AE1312" i="1"/>
  <c r="AE1316" i="1"/>
  <c r="AE1320" i="1"/>
  <c r="AE1324" i="1"/>
  <c r="AE1328" i="1"/>
  <c r="AE1332" i="1"/>
  <c r="AE1336" i="1"/>
  <c r="AE1340" i="1"/>
  <c r="AE1344" i="1"/>
  <c r="AE1348" i="1"/>
  <c r="AE1352" i="1"/>
  <c r="AE1356" i="1"/>
  <c r="AE1360" i="1"/>
  <c r="AE1364" i="1"/>
  <c r="AE1368" i="1"/>
  <c r="AE1372" i="1"/>
  <c r="AE1376" i="1"/>
  <c r="AE1380" i="1"/>
  <c r="AE1384" i="1"/>
  <c r="AE1388" i="1"/>
  <c r="AE1392" i="1"/>
  <c r="AE1396" i="1"/>
  <c r="AE1400" i="1"/>
  <c r="AE1404" i="1"/>
  <c r="AE1408" i="1"/>
  <c r="AE1412" i="1"/>
  <c r="AE1416" i="1"/>
  <c r="AE1420" i="1"/>
  <c r="AE1424" i="1"/>
  <c r="AE1428" i="1"/>
  <c r="AE1432" i="1"/>
  <c r="AE1436" i="1"/>
  <c r="AE1440" i="1"/>
  <c r="AE1444" i="1"/>
  <c r="AE1448" i="1"/>
  <c r="AE1452" i="1"/>
  <c r="AE1456" i="1"/>
  <c r="AE1460" i="1"/>
  <c r="AE1464" i="1"/>
  <c r="AE1468" i="1"/>
  <c r="AE1472" i="1"/>
  <c r="AE1476" i="1"/>
  <c r="AE1480" i="1"/>
  <c r="AE1484" i="1"/>
  <c r="AE1488" i="1"/>
  <c r="AE1492" i="1"/>
  <c r="AE1496" i="1"/>
  <c r="AE1500" i="1"/>
  <c r="AE1504" i="1"/>
  <c r="AE1508" i="1"/>
  <c r="AE1512" i="1"/>
  <c r="AE1516" i="1"/>
  <c r="AE1520" i="1"/>
  <c r="AE1524" i="1"/>
  <c r="AE1528" i="1"/>
  <c r="AE1532" i="1"/>
  <c r="AE1536" i="1"/>
  <c r="AE1540" i="1"/>
  <c r="AE1544" i="1"/>
  <c r="AE1548" i="1"/>
  <c r="AE1552" i="1"/>
  <c r="M1557" i="1"/>
  <c r="R1557" i="1" s="1"/>
  <c r="AE1560" i="1"/>
  <c r="AG1560" i="1"/>
  <c r="AC1560" i="1"/>
  <c r="AF1563" i="1"/>
  <c r="AD1563" i="1"/>
  <c r="AE1563" i="1"/>
  <c r="AE1568" i="1"/>
  <c r="AG1568" i="1"/>
  <c r="AC1568" i="1"/>
  <c r="AF1571" i="1"/>
  <c r="AD1571" i="1"/>
  <c r="AE1571" i="1"/>
  <c r="M1573" i="1"/>
  <c r="R1573" i="1" s="1"/>
  <c r="AE1576" i="1"/>
  <c r="AG1576" i="1"/>
  <c r="AC1576" i="1"/>
  <c r="M1581" i="1"/>
  <c r="R1581" i="1" s="1"/>
  <c r="AE1584" i="1"/>
  <c r="AG1584" i="1"/>
  <c r="AC1584" i="1"/>
  <c r="AF1587" i="1"/>
  <c r="AD1587" i="1"/>
  <c r="AE1587" i="1"/>
  <c r="M1589" i="1"/>
  <c r="R1589" i="1" s="1"/>
  <c r="AE1592" i="1"/>
  <c r="AG1592" i="1"/>
  <c r="AC1592" i="1"/>
  <c r="AF1595" i="1"/>
  <c r="AD1595" i="1"/>
  <c r="AE1595" i="1"/>
  <c r="M1597" i="1"/>
  <c r="R1597" i="1" s="1"/>
  <c r="AE1600" i="1"/>
  <c r="AG1600" i="1"/>
  <c r="AC1600" i="1"/>
  <c r="AF1603" i="1"/>
  <c r="AD1603" i="1"/>
  <c r="AE1603" i="1"/>
  <c r="AE1608" i="1"/>
  <c r="AG1608" i="1"/>
  <c r="AC1608" i="1"/>
  <c r="M1613" i="1"/>
  <c r="R1613" i="1" s="1"/>
  <c r="AE1616" i="1"/>
  <c r="AG1616" i="1"/>
  <c r="AC1616" i="1"/>
  <c r="M1621" i="1"/>
  <c r="R1621" i="1" s="1"/>
  <c r="Y1623" i="1"/>
  <c r="M1623" i="1"/>
  <c r="R1623" i="1" s="1"/>
  <c r="AE1624" i="1"/>
  <c r="AG1624" i="1"/>
  <c r="AC1624" i="1"/>
  <c r="AF1627" i="1"/>
  <c r="AD1627" i="1"/>
  <c r="AE1627" i="1"/>
  <c r="M1629" i="1"/>
  <c r="R1629" i="1" s="1"/>
  <c r="AE1632" i="1"/>
  <c r="AG1632" i="1"/>
  <c r="AC1632" i="1"/>
  <c r="AF1635" i="1"/>
  <c r="AD1635" i="1"/>
  <c r="AE1635" i="1"/>
  <c r="AE1640" i="1"/>
  <c r="AD1640" i="1"/>
  <c r="AG1640" i="1"/>
  <c r="AC1640" i="1"/>
  <c r="AD1641" i="1"/>
  <c r="AG1641" i="1"/>
  <c r="AC1641" i="1"/>
  <c r="AF1641" i="1"/>
  <c r="AD1642" i="1"/>
  <c r="M1643" i="1"/>
  <c r="R1643" i="1" s="1"/>
  <c r="AE1648" i="1"/>
  <c r="AD1648" i="1"/>
  <c r="AG1648" i="1"/>
  <c r="AC1648" i="1"/>
  <c r="AD1649" i="1"/>
  <c r="AG1649" i="1"/>
  <c r="AC1649" i="1"/>
  <c r="AF1649" i="1"/>
  <c r="AD1650" i="1"/>
  <c r="M1651" i="1"/>
  <c r="R1651" i="1" s="1"/>
  <c r="AE1656" i="1"/>
  <c r="AD1656" i="1"/>
  <c r="AG1656" i="1"/>
  <c r="AC1656" i="1"/>
  <c r="AD1657" i="1"/>
  <c r="AG1657" i="1"/>
  <c r="AC1657" i="1"/>
  <c r="AF1657" i="1"/>
  <c r="AD1658" i="1"/>
  <c r="M1659" i="1"/>
  <c r="R1659" i="1" s="1"/>
  <c r="AE1664" i="1"/>
  <c r="AD1664" i="1"/>
  <c r="AG1664" i="1"/>
  <c r="AC1664" i="1"/>
  <c r="AD1665" i="1"/>
  <c r="AG1665" i="1"/>
  <c r="AC1665" i="1"/>
  <c r="AF1665" i="1"/>
  <c r="AD1666" i="1"/>
  <c r="M1667" i="1"/>
  <c r="R1667" i="1" s="1"/>
  <c r="AE1672" i="1"/>
  <c r="AD1672" i="1"/>
  <c r="AG1672" i="1"/>
  <c r="AC1672" i="1"/>
  <c r="AD1673" i="1"/>
  <c r="AG1673" i="1"/>
  <c r="AC1673" i="1"/>
  <c r="AF1673" i="1"/>
  <c r="AD1674" i="1"/>
  <c r="M1675" i="1"/>
  <c r="R1675" i="1" s="1"/>
  <c r="AE1680" i="1"/>
  <c r="AD1680" i="1"/>
  <c r="AG1680" i="1"/>
  <c r="AC1680" i="1"/>
  <c r="AD1681" i="1"/>
  <c r="AG1681" i="1"/>
  <c r="AC1681" i="1"/>
  <c r="AF1681" i="1"/>
  <c r="AD1682" i="1"/>
  <c r="M1683" i="1"/>
  <c r="R1683" i="1" s="1"/>
  <c r="AE1688" i="1"/>
  <c r="AD1688" i="1"/>
  <c r="AG1688" i="1"/>
  <c r="AC1688" i="1"/>
  <c r="AD1689" i="1"/>
  <c r="AG1689" i="1"/>
  <c r="AC1689" i="1"/>
  <c r="AF1689" i="1"/>
  <c r="AD1690" i="1"/>
  <c r="M1691" i="1"/>
  <c r="R1691" i="1" s="1"/>
  <c r="AE1696" i="1"/>
  <c r="AD1696" i="1"/>
  <c r="AG1696" i="1"/>
  <c r="AC1696" i="1"/>
  <c r="AD1697" i="1"/>
  <c r="AG1697" i="1"/>
  <c r="AC1697" i="1"/>
  <c r="AF1697" i="1"/>
  <c r="AD1698" i="1"/>
  <c r="M1699" i="1"/>
  <c r="R1699" i="1" s="1"/>
  <c r="AE1704" i="1"/>
  <c r="AD1704" i="1"/>
  <c r="AG1704" i="1"/>
  <c r="AC1704" i="1"/>
  <c r="AD1705" i="1"/>
  <c r="AG1705" i="1"/>
  <c r="AC1705" i="1"/>
  <c r="AF1705" i="1"/>
  <c r="AD1706" i="1"/>
  <c r="M1707" i="1"/>
  <c r="R1707" i="1" s="1"/>
  <c r="AE1712" i="1"/>
  <c r="AD1712" i="1"/>
  <c r="AG1712" i="1"/>
  <c r="AC1712" i="1"/>
  <c r="AD1713" i="1"/>
  <c r="AG1713" i="1"/>
  <c r="AC1713" i="1"/>
  <c r="AF1713" i="1"/>
  <c r="AD1714" i="1"/>
  <c r="AE1720" i="1"/>
  <c r="AD1720" i="1"/>
  <c r="AG1720" i="1"/>
  <c r="AC1720" i="1"/>
  <c r="AD1721" i="1"/>
  <c r="AG1721" i="1"/>
  <c r="AC1721" i="1"/>
  <c r="AF1721" i="1"/>
  <c r="AD1722" i="1"/>
  <c r="M1723" i="1"/>
  <c r="R1723" i="1" s="1"/>
  <c r="AE1728" i="1"/>
  <c r="AD1728" i="1"/>
  <c r="AG1728" i="1"/>
  <c r="AC1728" i="1"/>
  <c r="AD1729" i="1"/>
  <c r="AG1729" i="1"/>
  <c r="AC1729" i="1"/>
  <c r="AF1729" i="1"/>
  <c r="AD1730" i="1"/>
  <c r="M1731" i="1"/>
  <c r="R1731" i="1" s="1"/>
  <c r="AE1736" i="1"/>
  <c r="AD1736" i="1"/>
  <c r="AG1736" i="1"/>
  <c r="AC1736" i="1"/>
  <c r="AD1737" i="1"/>
  <c r="AG1737" i="1"/>
  <c r="AC1737" i="1"/>
  <c r="AF1737" i="1"/>
  <c r="AD1738" i="1"/>
  <c r="M1739" i="1"/>
  <c r="R1739" i="1" s="1"/>
  <c r="AE1744" i="1"/>
  <c r="AD1744" i="1"/>
  <c r="AG1744" i="1"/>
  <c r="AC1744" i="1"/>
  <c r="AD1745" i="1"/>
  <c r="AG1745" i="1"/>
  <c r="AC1745" i="1"/>
  <c r="AF1745" i="1"/>
  <c r="AD1746" i="1"/>
  <c r="M1747" i="1"/>
  <c r="R1747" i="1" s="1"/>
  <c r="AE1752" i="1"/>
  <c r="AD1752" i="1"/>
  <c r="AG1752" i="1"/>
  <c r="AC1752" i="1"/>
  <c r="AD1753" i="1"/>
  <c r="AG1753" i="1"/>
  <c r="AC1753" i="1"/>
  <c r="AF1753" i="1"/>
  <c r="AD1754" i="1"/>
  <c r="M1755" i="1"/>
  <c r="R1755" i="1" s="1"/>
  <c r="AE1760" i="1"/>
  <c r="AD1760" i="1"/>
  <c r="AG1760" i="1"/>
  <c r="AC1760" i="1"/>
  <c r="AD1761" i="1"/>
  <c r="AG1761" i="1"/>
  <c r="AC1761" i="1"/>
  <c r="AF1761" i="1"/>
  <c r="AD1762" i="1"/>
  <c r="M1763" i="1"/>
  <c r="R1763" i="1" s="1"/>
  <c r="AE1768" i="1"/>
  <c r="AD1768" i="1"/>
  <c r="AG1768" i="1"/>
  <c r="AC1768" i="1"/>
  <c r="AD1769" i="1"/>
  <c r="AG1769" i="1"/>
  <c r="AC1769" i="1"/>
  <c r="AF1769" i="1"/>
  <c r="AD1770" i="1"/>
  <c r="M1771" i="1"/>
  <c r="R1771" i="1" s="1"/>
  <c r="AE1776" i="1"/>
  <c r="AD1776" i="1"/>
  <c r="AG1776" i="1"/>
  <c r="AC1776" i="1"/>
  <c r="AD1777" i="1"/>
  <c r="AG1777" i="1"/>
  <c r="AC1777" i="1"/>
  <c r="AF1777" i="1"/>
  <c r="AD1778" i="1"/>
  <c r="M1779" i="1"/>
  <c r="R1779" i="1" s="1"/>
  <c r="AE1784" i="1"/>
  <c r="AD1784" i="1"/>
  <c r="AG1784" i="1"/>
  <c r="AC1784" i="1"/>
  <c r="AD1785" i="1"/>
  <c r="AG1785" i="1"/>
  <c r="AC1785" i="1"/>
  <c r="AF1785" i="1"/>
  <c r="AD1786" i="1"/>
  <c r="M1787" i="1"/>
  <c r="R1787" i="1" s="1"/>
  <c r="AE1792" i="1"/>
  <c r="AD1792" i="1"/>
  <c r="AG1792" i="1"/>
  <c r="AC1792" i="1"/>
  <c r="AD1793" i="1"/>
  <c r="AG1793" i="1"/>
  <c r="AC1793" i="1"/>
  <c r="AF1793" i="1"/>
  <c r="AD1794" i="1"/>
  <c r="M1795" i="1"/>
  <c r="R1795" i="1" s="1"/>
  <c r="AE1800" i="1"/>
  <c r="AD1800" i="1"/>
  <c r="AG1800" i="1"/>
  <c r="AC1800" i="1"/>
  <c r="AD1801" i="1"/>
  <c r="AG1801" i="1"/>
  <c r="AC1801" i="1"/>
  <c r="AF1801" i="1"/>
  <c r="AD1802" i="1"/>
  <c r="M1803" i="1"/>
  <c r="R1803" i="1" s="1"/>
  <c r="AE1808" i="1"/>
  <c r="AD1808" i="1"/>
  <c r="AG1808" i="1"/>
  <c r="AC1808" i="1"/>
  <c r="AD1809" i="1"/>
  <c r="AG1809" i="1"/>
  <c r="AC1809" i="1"/>
  <c r="AF1809" i="1"/>
  <c r="AD1810" i="1"/>
  <c r="AE1816" i="1"/>
  <c r="AD1816" i="1"/>
  <c r="AG1816" i="1"/>
  <c r="AC1816" i="1"/>
  <c r="AD1817" i="1"/>
  <c r="AG1817" i="1"/>
  <c r="AC1817" i="1"/>
  <c r="AF1817" i="1"/>
  <c r="AD1818" i="1"/>
  <c r="M1819" i="1"/>
  <c r="R1819" i="1" s="1"/>
  <c r="AE1824" i="1"/>
  <c r="AD1824" i="1"/>
  <c r="AG1824" i="1"/>
  <c r="AC1824" i="1"/>
  <c r="AD1825" i="1"/>
  <c r="AG1825" i="1"/>
  <c r="AC1825" i="1"/>
  <c r="AF1825" i="1"/>
  <c r="AD1826" i="1"/>
  <c r="M1827" i="1"/>
  <c r="R1827" i="1" s="1"/>
  <c r="AE1832" i="1"/>
  <c r="AD1832" i="1"/>
  <c r="AG1832" i="1"/>
  <c r="AC1832" i="1"/>
  <c r="AD1833" i="1"/>
  <c r="AG1833" i="1"/>
  <c r="AC1833" i="1"/>
  <c r="AF1833" i="1"/>
  <c r="AD1834" i="1"/>
  <c r="M1835" i="1"/>
  <c r="R1835" i="1" s="1"/>
  <c r="AE1840" i="1"/>
  <c r="AD1840" i="1"/>
  <c r="AG1840" i="1"/>
  <c r="AC1840" i="1"/>
  <c r="AD1841" i="1"/>
  <c r="AG1841" i="1"/>
  <c r="AC1841" i="1"/>
  <c r="AF1841" i="1"/>
  <c r="AD1842" i="1"/>
  <c r="M1843" i="1"/>
  <c r="R1843" i="1" s="1"/>
  <c r="AE1848" i="1"/>
  <c r="AD1848" i="1"/>
  <c r="AG1848" i="1"/>
  <c r="AC1848" i="1"/>
  <c r="AD1849" i="1"/>
  <c r="AG1849" i="1"/>
  <c r="AC1849" i="1"/>
  <c r="AF1849" i="1"/>
  <c r="AD1850" i="1"/>
  <c r="M1851" i="1"/>
  <c r="R1851" i="1" s="1"/>
  <c r="AE1856" i="1"/>
  <c r="AD1856" i="1"/>
  <c r="AG1856" i="1"/>
  <c r="AC1856" i="1"/>
  <c r="AD1857" i="1"/>
  <c r="AG1857" i="1"/>
  <c r="AC1857" i="1"/>
  <c r="AF1857" i="1"/>
  <c r="AD1858" i="1"/>
  <c r="M1859" i="1"/>
  <c r="R1859" i="1" s="1"/>
  <c r="AE1864" i="1"/>
  <c r="AD1864" i="1"/>
  <c r="AG1864" i="1"/>
  <c r="AC1864" i="1"/>
  <c r="AD1865" i="1"/>
  <c r="AG1865" i="1"/>
  <c r="AC1865" i="1"/>
  <c r="AF1865" i="1"/>
  <c r="AD1866" i="1"/>
  <c r="M1867" i="1"/>
  <c r="R1867" i="1" s="1"/>
  <c r="AE1872" i="1"/>
  <c r="AD1872" i="1"/>
  <c r="AG1872" i="1"/>
  <c r="AC1872" i="1"/>
  <c r="AD1873" i="1"/>
  <c r="AG1873" i="1"/>
  <c r="AC1873" i="1"/>
  <c r="AF1873" i="1"/>
  <c r="AD1874" i="1"/>
  <c r="M1875" i="1"/>
  <c r="R1875" i="1" s="1"/>
  <c r="AE1880" i="1"/>
  <c r="AD1880" i="1"/>
  <c r="AG1880" i="1"/>
  <c r="AC1880" i="1"/>
  <c r="AD1881" i="1"/>
  <c r="AG1881" i="1"/>
  <c r="AC1881" i="1"/>
  <c r="AF1881" i="1"/>
  <c r="AD1882" i="1"/>
  <c r="M1883" i="1"/>
  <c r="R1883" i="1" s="1"/>
  <c r="AE1888" i="1"/>
  <c r="AD1888" i="1"/>
  <c r="AG1888" i="1"/>
  <c r="AC1888" i="1"/>
  <c r="AD1889" i="1"/>
  <c r="AG1889" i="1"/>
  <c r="AC1889" i="1"/>
  <c r="AF1889" i="1"/>
  <c r="AD1890" i="1"/>
  <c r="M1891" i="1"/>
  <c r="R1891" i="1" s="1"/>
  <c r="AE1896" i="1"/>
  <c r="AD1896" i="1"/>
  <c r="AG1896" i="1"/>
  <c r="AC1896" i="1"/>
  <c r="AD1897" i="1"/>
  <c r="AG1897" i="1"/>
  <c r="AC1897" i="1"/>
  <c r="AF1897" i="1"/>
  <c r="AD1898" i="1"/>
  <c r="M1899" i="1"/>
  <c r="R1899" i="1" s="1"/>
  <c r="AE1904" i="1"/>
  <c r="AD1904" i="1"/>
  <c r="AG1904" i="1"/>
  <c r="AC1904" i="1"/>
  <c r="AD1905" i="1"/>
  <c r="AG1905" i="1"/>
  <c r="AC1905" i="1"/>
  <c r="AF1905" i="1"/>
  <c r="AD1906" i="1"/>
  <c r="AE1912" i="1"/>
  <c r="AD1912" i="1"/>
  <c r="AG1912" i="1"/>
  <c r="AC1912" i="1"/>
  <c r="AD1913" i="1"/>
  <c r="AG1913" i="1"/>
  <c r="AC1913" i="1"/>
  <c r="AF1913" i="1"/>
  <c r="AE1920" i="1"/>
  <c r="AD1920" i="1"/>
  <c r="AG1920" i="1"/>
  <c r="AC1920" i="1"/>
  <c r="AD1921" i="1"/>
  <c r="AG1921" i="1"/>
  <c r="AC1921" i="1"/>
  <c r="AF1921" i="1"/>
  <c r="M1923" i="1"/>
  <c r="R1923" i="1" s="1"/>
  <c r="AE1928" i="1"/>
  <c r="AD1928" i="1"/>
  <c r="AG1928" i="1"/>
  <c r="AC1928" i="1"/>
  <c r="AD1929" i="1"/>
  <c r="AG1929" i="1"/>
  <c r="AC1929" i="1"/>
  <c r="AF1929" i="1"/>
  <c r="AD1930" i="1"/>
  <c r="M1931" i="1"/>
  <c r="R1931" i="1" s="1"/>
  <c r="AE1936" i="1"/>
  <c r="AD1936" i="1"/>
  <c r="AG1936" i="1"/>
  <c r="AC1936" i="1"/>
  <c r="AD1937" i="1"/>
  <c r="AG1937" i="1"/>
  <c r="AC1937" i="1"/>
  <c r="AF1937" i="1"/>
  <c r="AD1938" i="1"/>
  <c r="M1939" i="1"/>
  <c r="R1939" i="1" s="1"/>
  <c r="AE1944" i="1"/>
  <c r="AD1944" i="1"/>
  <c r="AG1944" i="1"/>
  <c r="AC1944" i="1"/>
  <c r="AD1945" i="1"/>
  <c r="AG1945" i="1"/>
  <c r="AC1945" i="1"/>
  <c r="AF1945" i="1"/>
  <c r="AD1946" i="1"/>
  <c r="M1947" i="1"/>
  <c r="R1947" i="1" s="1"/>
  <c r="AE1952" i="1"/>
  <c r="AD1952" i="1"/>
  <c r="AG1952" i="1"/>
  <c r="AC1952" i="1"/>
  <c r="AD1953" i="1"/>
  <c r="AG1953" i="1"/>
  <c r="AC1953" i="1"/>
  <c r="AF1953" i="1"/>
  <c r="AD1954" i="1"/>
  <c r="AE1960" i="1"/>
  <c r="AD1960" i="1"/>
  <c r="AG1960" i="1"/>
  <c r="AC1960" i="1"/>
  <c r="AD1961" i="1"/>
  <c r="AG1961" i="1"/>
  <c r="AC1961" i="1"/>
  <c r="AF1961" i="1"/>
  <c r="AE1968" i="1"/>
  <c r="AD1968" i="1"/>
  <c r="AG1968" i="1"/>
  <c r="AC1968" i="1"/>
  <c r="AD1969" i="1"/>
  <c r="AG1969" i="1"/>
  <c r="AC1969" i="1"/>
  <c r="AF1969" i="1"/>
  <c r="M1971" i="1"/>
  <c r="R1971" i="1" s="1"/>
  <c r="AE1976" i="1"/>
  <c r="AD1976" i="1"/>
  <c r="AG1976" i="1"/>
  <c r="AC1976" i="1"/>
  <c r="AD1977" i="1"/>
  <c r="AG1977" i="1"/>
  <c r="AC1977" i="1"/>
  <c r="AF1977" i="1"/>
  <c r="M1979" i="1"/>
  <c r="R1979" i="1" s="1"/>
  <c r="AE1984" i="1"/>
  <c r="AD1984" i="1"/>
  <c r="AG1984" i="1"/>
  <c r="AC1984" i="1"/>
  <c r="AD1985" i="1"/>
  <c r="AG1985" i="1"/>
  <c r="AC1985" i="1"/>
  <c r="AF1985" i="1"/>
  <c r="AD1986" i="1"/>
  <c r="M1987" i="1"/>
  <c r="R1987" i="1" s="1"/>
  <c r="AE1992" i="1"/>
  <c r="AD1992" i="1"/>
  <c r="AG1992" i="1"/>
  <c r="AC1992" i="1"/>
  <c r="AD1993" i="1"/>
  <c r="AF1993" i="1"/>
  <c r="AC1993" i="1"/>
  <c r="AG1993" i="1"/>
  <c r="AD2009" i="1"/>
  <c r="AF2009" i="1"/>
  <c r="AC2009" i="1"/>
  <c r="AG2009" i="1"/>
  <c r="AD2025" i="1"/>
  <c r="AF2025" i="1"/>
  <c r="AC2025" i="1"/>
  <c r="AG2025" i="1"/>
  <c r="AF2119" i="1"/>
  <c r="AE2119" i="1"/>
  <c r="AD2119" i="1"/>
  <c r="AG2119" i="1"/>
  <c r="AC2119" i="1"/>
  <c r="AC2127" i="1"/>
  <c r="AC2135" i="1"/>
  <c r="AC2143" i="1"/>
  <c r="AC2151" i="1"/>
  <c r="Y2155" i="1"/>
  <c r="M2155" i="1"/>
  <c r="R2155" i="1" s="1"/>
  <c r="AD2192" i="1"/>
  <c r="AF2373" i="1"/>
  <c r="AE2373" i="1"/>
  <c r="AG2373" i="1"/>
  <c r="AD2373" i="1"/>
  <c r="AC2373" i="1"/>
  <c r="AF1284" i="1"/>
  <c r="AF1288" i="1"/>
  <c r="AF1292" i="1"/>
  <c r="AF1296" i="1"/>
  <c r="AF1300" i="1"/>
  <c r="AF1304" i="1"/>
  <c r="AF1308" i="1"/>
  <c r="AF1312" i="1"/>
  <c r="AF1316" i="1"/>
  <c r="AF1320" i="1"/>
  <c r="AF1324" i="1"/>
  <c r="AF1328" i="1"/>
  <c r="AF1332" i="1"/>
  <c r="AF1336" i="1"/>
  <c r="AF1340" i="1"/>
  <c r="AF1344" i="1"/>
  <c r="AF1348" i="1"/>
  <c r="AF1352" i="1"/>
  <c r="AF1356" i="1"/>
  <c r="AF1360" i="1"/>
  <c r="AF1364" i="1"/>
  <c r="AF1368" i="1"/>
  <c r="AF1372" i="1"/>
  <c r="AF1376" i="1"/>
  <c r="AF1380" i="1"/>
  <c r="AF1384" i="1"/>
  <c r="AF1388" i="1"/>
  <c r="AF1392" i="1"/>
  <c r="AF1396" i="1"/>
  <c r="AF1400" i="1"/>
  <c r="AF1404" i="1"/>
  <c r="AF1408" i="1"/>
  <c r="AF1412" i="1"/>
  <c r="AF1416" i="1"/>
  <c r="AF1420" i="1"/>
  <c r="AF1424" i="1"/>
  <c r="AF1428" i="1"/>
  <c r="AF1432" i="1"/>
  <c r="AF1436" i="1"/>
  <c r="AF1440" i="1"/>
  <c r="AF1444" i="1"/>
  <c r="AF1448" i="1"/>
  <c r="AF1452" i="1"/>
  <c r="AF1456" i="1"/>
  <c r="AF1460" i="1"/>
  <c r="AF1464" i="1"/>
  <c r="AF1468" i="1"/>
  <c r="AF1472" i="1"/>
  <c r="AF1476" i="1"/>
  <c r="AF1480" i="1"/>
  <c r="AF1484" i="1"/>
  <c r="AF1488" i="1"/>
  <c r="AF1492" i="1"/>
  <c r="AF1496" i="1"/>
  <c r="AF1500" i="1"/>
  <c r="AF1504" i="1"/>
  <c r="AF1508" i="1"/>
  <c r="AF1512" i="1"/>
  <c r="AF1516" i="1"/>
  <c r="AF1520" i="1"/>
  <c r="AF1524" i="1"/>
  <c r="AF1528" i="1"/>
  <c r="AF1532" i="1"/>
  <c r="AF1536" i="1"/>
  <c r="AF1540" i="1"/>
  <c r="AF1544" i="1"/>
  <c r="AF1548" i="1"/>
  <c r="AF1552" i="1"/>
  <c r="AG1558" i="1"/>
  <c r="AC1558" i="1"/>
  <c r="AE1558" i="1"/>
  <c r="Y1565" i="1"/>
  <c r="M1565" i="1"/>
  <c r="R1565" i="1" s="1"/>
  <c r="AG1566" i="1"/>
  <c r="AC1566" i="1"/>
  <c r="AE1566" i="1"/>
  <c r="AG1574" i="1"/>
  <c r="AC1574" i="1"/>
  <c r="AE1574" i="1"/>
  <c r="AD1577" i="1"/>
  <c r="AF1577" i="1"/>
  <c r="AE1577" i="1"/>
  <c r="AG1582" i="1"/>
  <c r="AC1582" i="1"/>
  <c r="AE1582" i="1"/>
  <c r="AD1585" i="1"/>
  <c r="AF1585" i="1"/>
  <c r="AE1585" i="1"/>
  <c r="AG1590" i="1"/>
  <c r="AC1590" i="1"/>
  <c r="AE1590" i="1"/>
  <c r="AG1598" i="1"/>
  <c r="AC1598" i="1"/>
  <c r="AE1598" i="1"/>
  <c r="AD1601" i="1"/>
  <c r="AF1601" i="1"/>
  <c r="AE1601" i="1"/>
  <c r="Y1605" i="1"/>
  <c r="M1605" i="1"/>
  <c r="R1605" i="1" s="1"/>
  <c r="AG1606" i="1"/>
  <c r="AC1606" i="1"/>
  <c r="AE1606" i="1"/>
  <c r="AD1609" i="1"/>
  <c r="AF1609" i="1"/>
  <c r="AE1609" i="1"/>
  <c r="AG1614" i="1"/>
  <c r="AC1614" i="1"/>
  <c r="AE1614" i="1"/>
  <c r="AD1617" i="1"/>
  <c r="AF1617" i="1"/>
  <c r="AE1617" i="1"/>
  <c r="AG1622" i="1"/>
  <c r="AC1622" i="1"/>
  <c r="AE1622" i="1"/>
  <c r="AD1625" i="1"/>
  <c r="AF1625" i="1"/>
  <c r="AE1625" i="1"/>
  <c r="AG1630" i="1"/>
  <c r="AC1630" i="1"/>
  <c r="AE1630" i="1"/>
  <c r="AD1633" i="1"/>
  <c r="AF1633" i="1"/>
  <c r="AE1633" i="1"/>
  <c r="AF1639" i="1"/>
  <c r="AE1639" i="1"/>
  <c r="AD1639" i="1"/>
  <c r="AF1647" i="1"/>
  <c r="AE1647" i="1"/>
  <c r="AD1647" i="1"/>
  <c r="AF1655" i="1"/>
  <c r="AE1655" i="1"/>
  <c r="AD1655" i="1"/>
  <c r="AF1663" i="1"/>
  <c r="AE1663" i="1"/>
  <c r="AD1663" i="1"/>
  <c r="AF1671" i="1"/>
  <c r="AE1671" i="1"/>
  <c r="AD1671" i="1"/>
  <c r="AF1679" i="1"/>
  <c r="AE1679" i="1"/>
  <c r="AD1679" i="1"/>
  <c r="AF1687" i="1"/>
  <c r="AE1687" i="1"/>
  <c r="AD1687" i="1"/>
  <c r="AF1695" i="1"/>
  <c r="AE1695" i="1"/>
  <c r="AD1695" i="1"/>
  <c r="AF1703" i="1"/>
  <c r="AE1703" i="1"/>
  <c r="AD1703" i="1"/>
  <c r="Y1715" i="1"/>
  <c r="M1715" i="1"/>
  <c r="R1715" i="1" s="1"/>
  <c r="AF1727" i="1"/>
  <c r="AE1727" i="1"/>
  <c r="AD1727" i="1"/>
  <c r="AF1735" i="1"/>
  <c r="AE1735" i="1"/>
  <c r="AD1735" i="1"/>
  <c r="AF1743" i="1"/>
  <c r="AE1743" i="1"/>
  <c r="AD1743" i="1"/>
  <c r="AF1751" i="1"/>
  <c r="AE1751" i="1"/>
  <c r="AD1751" i="1"/>
  <c r="AF1759" i="1"/>
  <c r="AE1759" i="1"/>
  <c r="AD1759" i="1"/>
  <c r="AF1767" i="1"/>
  <c r="AE1767" i="1"/>
  <c r="AD1767" i="1"/>
  <c r="AF1775" i="1"/>
  <c r="AE1775" i="1"/>
  <c r="AD1775" i="1"/>
  <c r="AF1783" i="1"/>
  <c r="AE1783" i="1"/>
  <c r="AD1783" i="1"/>
  <c r="AF1791" i="1"/>
  <c r="AE1791" i="1"/>
  <c r="AD1791" i="1"/>
  <c r="AF1799" i="1"/>
  <c r="AE1799" i="1"/>
  <c r="AD1799" i="1"/>
  <c r="AF1807" i="1"/>
  <c r="AE1807" i="1"/>
  <c r="AD1807" i="1"/>
  <c r="Y1811" i="1"/>
  <c r="M1811" i="1"/>
  <c r="R1811" i="1" s="1"/>
  <c r="AF1815" i="1"/>
  <c r="AE1815" i="1"/>
  <c r="AD1815" i="1"/>
  <c r="AF1823" i="1"/>
  <c r="AE1823" i="1"/>
  <c r="AD1823" i="1"/>
  <c r="AF1831" i="1"/>
  <c r="AE1831" i="1"/>
  <c r="AD1831" i="1"/>
  <c r="AF1839" i="1"/>
  <c r="AE1839" i="1"/>
  <c r="AD1839" i="1"/>
  <c r="AF1847" i="1"/>
  <c r="AE1847" i="1"/>
  <c r="AD1847" i="1"/>
  <c r="AF1855" i="1"/>
  <c r="AE1855" i="1"/>
  <c r="AD1855" i="1"/>
  <c r="AF1863" i="1"/>
  <c r="AE1863" i="1"/>
  <c r="AD1863" i="1"/>
  <c r="AF1871" i="1"/>
  <c r="AE1871" i="1"/>
  <c r="AD1871" i="1"/>
  <c r="AF1879" i="1"/>
  <c r="AE1879" i="1"/>
  <c r="AD1879" i="1"/>
  <c r="AF1887" i="1"/>
  <c r="AE1887" i="1"/>
  <c r="AD1887" i="1"/>
  <c r="AF1895" i="1"/>
  <c r="AE1895" i="1"/>
  <c r="AD1895" i="1"/>
  <c r="AF1903" i="1"/>
  <c r="AE1903" i="1"/>
  <c r="AD1903" i="1"/>
  <c r="Y1907" i="1"/>
  <c r="M1907" i="1"/>
  <c r="R1907" i="1" s="1"/>
  <c r="AF1911" i="1"/>
  <c r="AE1911" i="1"/>
  <c r="AD1911" i="1"/>
  <c r="Y1915" i="1"/>
  <c r="M1915" i="1"/>
  <c r="R1915" i="1" s="1"/>
  <c r="AF1919" i="1"/>
  <c r="AE1919" i="1"/>
  <c r="AD1919" i="1"/>
  <c r="AF1927" i="1"/>
  <c r="AE1927" i="1"/>
  <c r="AD1927" i="1"/>
  <c r="AF1935" i="1"/>
  <c r="AE1935" i="1"/>
  <c r="AD1935" i="1"/>
  <c r="AF1943" i="1"/>
  <c r="AE1943" i="1"/>
  <c r="AD1943" i="1"/>
  <c r="AF1951" i="1"/>
  <c r="AE1951" i="1"/>
  <c r="AD1951" i="1"/>
  <c r="Y1955" i="1"/>
  <c r="M1955" i="1"/>
  <c r="R1955" i="1" s="1"/>
  <c r="AF1959" i="1"/>
  <c r="AE1959" i="1"/>
  <c r="AD1959" i="1"/>
  <c r="Y1963" i="1"/>
  <c r="M1963" i="1"/>
  <c r="R1963" i="1" s="1"/>
  <c r="AF1975" i="1"/>
  <c r="AE1975" i="1"/>
  <c r="AD1975" i="1"/>
  <c r="AF1983" i="1"/>
  <c r="AE1983" i="1"/>
  <c r="AD1983" i="1"/>
  <c r="AF1991" i="1"/>
  <c r="AE1991" i="1"/>
  <c r="AD1991" i="1"/>
  <c r="AG1998" i="1"/>
  <c r="AC1998" i="1"/>
  <c r="AE1998" i="1"/>
  <c r="AF1998" i="1"/>
  <c r="AD1998" i="1"/>
  <c r="AF2004" i="1"/>
  <c r="AD2004" i="1"/>
  <c r="AG2014" i="1"/>
  <c r="AC2014" i="1"/>
  <c r="AE2014" i="1"/>
  <c r="AF2014" i="1"/>
  <c r="AD2014" i="1"/>
  <c r="AF2020" i="1"/>
  <c r="AD2020" i="1"/>
  <c r="AG2030" i="1"/>
  <c r="AC2030" i="1"/>
  <c r="AE2030" i="1"/>
  <c r="AF2030" i="1"/>
  <c r="AD2030" i="1"/>
  <c r="AF2036" i="1"/>
  <c r="AD2036" i="1"/>
  <c r="AG2115" i="1"/>
  <c r="AC2159" i="1"/>
  <c r="Y2163" i="1"/>
  <c r="M2163" i="1"/>
  <c r="R2163" i="1" s="1"/>
  <c r="Y2265" i="1"/>
  <c r="AG2265" i="1" s="1"/>
  <c r="M2265" i="1"/>
  <c r="R2265" i="1" s="1"/>
  <c r="Y2273" i="1"/>
  <c r="M2273" i="1"/>
  <c r="R2273" i="1" s="1"/>
  <c r="Y2281" i="1"/>
  <c r="AD2281" i="1" s="1"/>
  <c r="M2281" i="1"/>
  <c r="R2281" i="1" s="1"/>
  <c r="AG2361" i="1"/>
  <c r="AC1284" i="1"/>
  <c r="AC1288" i="1"/>
  <c r="AC1292" i="1"/>
  <c r="AC1296" i="1"/>
  <c r="AC1300" i="1"/>
  <c r="AC1304" i="1"/>
  <c r="AC1308" i="1"/>
  <c r="AC1312" i="1"/>
  <c r="AC1316" i="1"/>
  <c r="AC1320" i="1"/>
  <c r="M1323" i="1"/>
  <c r="R1323" i="1" s="1"/>
  <c r="AC1324" i="1"/>
  <c r="AC1328" i="1"/>
  <c r="AC1332" i="1"/>
  <c r="AC1336" i="1"/>
  <c r="AC1340" i="1"/>
  <c r="AC1344" i="1"/>
  <c r="AC1348" i="1"/>
  <c r="AC1352" i="1"/>
  <c r="AC1356" i="1"/>
  <c r="AC1360" i="1"/>
  <c r="AC1364" i="1"/>
  <c r="M1367" i="1"/>
  <c r="R1367" i="1" s="1"/>
  <c r="AC1368" i="1"/>
  <c r="M1371" i="1"/>
  <c r="R1371" i="1" s="1"/>
  <c r="AC1372" i="1"/>
  <c r="AC1376" i="1"/>
  <c r="AC1380" i="1"/>
  <c r="AC1384" i="1"/>
  <c r="AC1388" i="1"/>
  <c r="AC1392" i="1"/>
  <c r="AC1396" i="1"/>
  <c r="AC1400" i="1"/>
  <c r="AC1404" i="1"/>
  <c r="AC1408" i="1"/>
  <c r="AC1412" i="1"/>
  <c r="AC1416" i="1"/>
  <c r="AC1420" i="1"/>
  <c r="AC1424" i="1"/>
  <c r="AC1428" i="1"/>
  <c r="AC1432" i="1"/>
  <c r="AC1436" i="1"/>
  <c r="AC1440" i="1"/>
  <c r="AC1444" i="1"/>
  <c r="AC1448" i="1"/>
  <c r="M1451" i="1"/>
  <c r="R1451" i="1" s="1"/>
  <c r="AC1452" i="1"/>
  <c r="AC1456" i="1"/>
  <c r="AC1460" i="1"/>
  <c r="AC1464" i="1"/>
  <c r="AC1468" i="1"/>
  <c r="AC1472" i="1"/>
  <c r="AC1476" i="1"/>
  <c r="AC1480" i="1"/>
  <c r="AC1484" i="1"/>
  <c r="AC1488" i="1"/>
  <c r="AC1492" i="1"/>
  <c r="AC1496" i="1"/>
  <c r="M1499" i="1"/>
  <c r="R1499" i="1" s="1"/>
  <c r="AC1500" i="1"/>
  <c r="AC1504" i="1"/>
  <c r="AC1508" i="1"/>
  <c r="M1511" i="1"/>
  <c r="R1511" i="1" s="1"/>
  <c r="AC1512" i="1"/>
  <c r="M1515" i="1"/>
  <c r="R1515" i="1" s="1"/>
  <c r="AC1516" i="1"/>
  <c r="M1519" i="1"/>
  <c r="R1519" i="1" s="1"/>
  <c r="AC1520" i="1"/>
  <c r="M1523" i="1"/>
  <c r="R1523" i="1" s="1"/>
  <c r="AC1524" i="1"/>
  <c r="M1527" i="1"/>
  <c r="R1527" i="1" s="1"/>
  <c r="AC1528" i="1"/>
  <c r="M1531" i="1"/>
  <c r="R1531" i="1" s="1"/>
  <c r="AC1532" i="1"/>
  <c r="M1535" i="1"/>
  <c r="R1535" i="1" s="1"/>
  <c r="AC1536" i="1"/>
  <c r="M1539" i="1"/>
  <c r="R1539" i="1" s="1"/>
  <c r="AC1540" i="1"/>
  <c r="M1543" i="1"/>
  <c r="R1543" i="1" s="1"/>
  <c r="AC1544" i="1"/>
  <c r="M1547" i="1"/>
  <c r="R1547" i="1" s="1"/>
  <c r="AC1548" i="1"/>
  <c r="M1551" i="1"/>
  <c r="R1551" i="1" s="1"/>
  <c r="AC1552" i="1"/>
  <c r="M1555" i="1"/>
  <c r="R1555" i="1" s="1"/>
  <c r="AE1556" i="1"/>
  <c r="AG1556" i="1"/>
  <c r="AC1556" i="1"/>
  <c r="AD1558" i="1"/>
  <c r="AF1559" i="1"/>
  <c r="AD1559" i="1"/>
  <c r="AE1559" i="1"/>
  <c r="AE1564" i="1"/>
  <c r="AG1564" i="1"/>
  <c r="AC1564" i="1"/>
  <c r="AD1566" i="1"/>
  <c r="AF1567" i="1"/>
  <c r="AD1567" i="1"/>
  <c r="AE1567" i="1"/>
  <c r="AE1572" i="1"/>
  <c r="AG1572" i="1"/>
  <c r="AC1572" i="1"/>
  <c r="AD1574" i="1"/>
  <c r="AF1575" i="1"/>
  <c r="AD1575" i="1"/>
  <c r="AE1575" i="1"/>
  <c r="M1577" i="1"/>
  <c r="R1577" i="1" s="1"/>
  <c r="AG1577" i="1"/>
  <c r="Y1579" i="1"/>
  <c r="M1579" i="1"/>
  <c r="R1579" i="1" s="1"/>
  <c r="AE1580" i="1"/>
  <c r="AG1580" i="1"/>
  <c r="AC1580" i="1"/>
  <c r="AD1582" i="1"/>
  <c r="AF1583" i="1"/>
  <c r="AD1583" i="1"/>
  <c r="AE1583" i="1"/>
  <c r="M1585" i="1"/>
  <c r="R1585" i="1" s="1"/>
  <c r="AG1585" i="1"/>
  <c r="AE1588" i="1"/>
  <c r="AG1588" i="1"/>
  <c r="AC1588" i="1"/>
  <c r="AD1590" i="1"/>
  <c r="AF1591" i="1"/>
  <c r="AD1591" i="1"/>
  <c r="AE1591" i="1"/>
  <c r="AE1596" i="1"/>
  <c r="AG1596" i="1"/>
  <c r="AC1596" i="1"/>
  <c r="AD1598" i="1"/>
  <c r="AF1599" i="1"/>
  <c r="AD1599" i="1"/>
  <c r="AE1599" i="1"/>
  <c r="M1601" i="1"/>
  <c r="R1601" i="1" s="1"/>
  <c r="AG1601" i="1"/>
  <c r="AE1604" i="1"/>
  <c r="AG1604" i="1"/>
  <c r="AC1604" i="1"/>
  <c r="AD1606" i="1"/>
  <c r="AF1607" i="1"/>
  <c r="AD1607" i="1"/>
  <c r="AE1607" i="1"/>
  <c r="M1609" i="1"/>
  <c r="R1609" i="1" s="1"/>
  <c r="AG1609" i="1"/>
  <c r="Y1611" i="1"/>
  <c r="M1611" i="1"/>
  <c r="R1611" i="1" s="1"/>
  <c r="AE1612" i="1"/>
  <c r="AG1612" i="1"/>
  <c r="AC1612" i="1"/>
  <c r="AD1614" i="1"/>
  <c r="AF1615" i="1"/>
  <c r="AD1615" i="1"/>
  <c r="AE1615" i="1"/>
  <c r="M1617" i="1"/>
  <c r="R1617" i="1" s="1"/>
  <c r="AG1617" i="1"/>
  <c r="Y1619" i="1"/>
  <c r="M1619" i="1"/>
  <c r="R1619" i="1" s="1"/>
  <c r="AE1620" i="1"/>
  <c r="AG1620" i="1"/>
  <c r="AC1620" i="1"/>
  <c r="AD1622" i="1"/>
  <c r="M1625" i="1"/>
  <c r="R1625" i="1" s="1"/>
  <c r="AG1625" i="1"/>
  <c r="AE1628" i="1"/>
  <c r="AG1628" i="1"/>
  <c r="AC1628" i="1"/>
  <c r="AD1630" i="1"/>
  <c r="AF1631" i="1"/>
  <c r="AD1631" i="1"/>
  <c r="AE1631" i="1"/>
  <c r="M1633" i="1"/>
  <c r="R1633" i="1" s="1"/>
  <c r="AG1633" i="1"/>
  <c r="AE1636" i="1"/>
  <c r="AD1636" i="1"/>
  <c r="AG1636" i="1"/>
  <c r="AC1636" i="1"/>
  <c r="AD1637" i="1"/>
  <c r="AG1637" i="1"/>
  <c r="AC1637" i="1"/>
  <c r="AF1637" i="1"/>
  <c r="M1639" i="1"/>
  <c r="R1639" i="1" s="1"/>
  <c r="AE1644" i="1"/>
  <c r="AD1644" i="1"/>
  <c r="AG1644" i="1"/>
  <c r="AC1644" i="1"/>
  <c r="AD1645" i="1"/>
  <c r="AG1645" i="1"/>
  <c r="AC1645" i="1"/>
  <c r="AF1645" i="1"/>
  <c r="M1647" i="1"/>
  <c r="R1647" i="1" s="1"/>
  <c r="AE1652" i="1"/>
  <c r="AD1652" i="1"/>
  <c r="AG1652" i="1"/>
  <c r="AC1652" i="1"/>
  <c r="AD1653" i="1"/>
  <c r="AG1653" i="1"/>
  <c r="AC1653" i="1"/>
  <c r="AF1653" i="1"/>
  <c r="M1655" i="1"/>
  <c r="R1655" i="1" s="1"/>
  <c r="AE1660" i="1"/>
  <c r="AD1660" i="1"/>
  <c r="AG1660" i="1"/>
  <c r="AC1660" i="1"/>
  <c r="AD1661" i="1"/>
  <c r="AG1661" i="1"/>
  <c r="AC1661" i="1"/>
  <c r="AF1661" i="1"/>
  <c r="M1663" i="1"/>
  <c r="R1663" i="1" s="1"/>
  <c r="AE1668" i="1"/>
  <c r="AD1668" i="1"/>
  <c r="AG1668" i="1"/>
  <c r="AC1668" i="1"/>
  <c r="AD1669" i="1"/>
  <c r="AG1669" i="1"/>
  <c r="AC1669" i="1"/>
  <c r="AF1669" i="1"/>
  <c r="M1671" i="1"/>
  <c r="R1671" i="1" s="1"/>
  <c r="AE1676" i="1"/>
  <c r="AD1676" i="1"/>
  <c r="AG1676" i="1"/>
  <c r="AC1676" i="1"/>
  <c r="AD1677" i="1"/>
  <c r="AG1677" i="1"/>
  <c r="AC1677" i="1"/>
  <c r="AF1677" i="1"/>
  <c r="M1679" i="1"/>
  <c r="R1679" i="1" s="1"/>
  <c r="AE1684" i="1"/>
  <c r="AD1684" i="1"/>
  <c r="AG1684" i="1"/>
  <c r="AC1684" i="1"/>
  <c r="AD1685" i="1"/>
  <c r="AG1685" i="1"/>
  <c r="AC1685" i="1"/>
  <c r="AF1685" i="1"/>
  <c r="M1687" i="1"/>
  <c r="R1687" i="1" s="1"/>
  <c r="AE1692" i="1"/>
  <c r="AD1692" i="1"/>
  <c r="AG1692" i="1"/>
  <c r="AC1692" i="1"/>
  <c r="AD1693" i="1"/>
  <c r="AG1693" i="1"/>
  <c r="AC1693" i="1"/>
  <c r="AF1693" i="1"/>
  <c r="M1695" i="1"/>
  <c r="R1695" i="1" s="1"/>
  <c r="AE1700" i="1"/>
  <c r="AD1700" i="1"/>
  <c r="AG1700" i="1"/>
  <c r="AC1700" i="1"/>
  <c r="AD1701" i="1"/>
  <c r="AG1701" i="1"/>
  <c r="AC1701" i="1"/>
  <c r="AF1701" i="1"/>
  <c r="M1703" i="1"/>
  <c r="R1703" i="1" s="1"/>
  <c r="AE1708" i="1"/>
  <c r="AD1708" i="1"/>
  <c r="AG1708" i="1"/>
  <c r="AC1708" i="1"/>
  <c r="AD1709" i="1"/>
  <c r="AG1709" i="1"/>
  <c r="AC1709" i="1"/>
  <c r="AF1709" i="1"/>
  <c r="AE1716" i="1"/>
  <c r="AD1716" i="1"/>
  <c r="AG1716" i="1"/>
  <c r="AC1716" i="1"/>
  <c r="AD1717" i="1"/>
  <c r="AG1717" i="1"/>
  <c r="AC1717" i="1"/>
  <c r="AF1717" i="1"/>
  <c r="AE1724" i="1"/>
  <c r="AD1724" i="1"/>
  <c r="AG1724" i="1"/>
  <c r="AC1724" i="1"/>
  <c r="AD1725" i="1"/>
  <c r="AG1725" i="1"/>
  <c r="AC1725" i="1"/>
  <c r="AF1725" i="1"/>
  <c r="M1727" i="1"/>
  <c r="R1727" i="1" s="1"/>
  <c r="AE1732" i="1"/>
  <c r="AD1732" i="1"/>
  <c r="AG1732" i="1"/>
  <c r="AC1732" i="1"/>
  <c r="AD1733" i="1"/>
  <c r="AG1733" i="1"/>
  <c r="AC1733" i="1"/>
  <c r="AF1733" i="1"/>
  <c r="M1735" i="1"/>
  <c r="R1735" i="1" s="1"/>
  <c r="AE1740" i="1"/>
  <c r="AD1740" i="1"/>
  <c r="AG1740" i="1"/>
  <c r="AC1740" i="1"/>
  <c r="AD1741" i="1"/>
  <c r="AG1741" i="1"/>
  <c r="AC1741" i="1"/>
  <c r="AF1741" i="1"/>
  <c r="M1743" i="1"/>
  <c r="R1743" i="1" s="1"/>
  <c r="AE1748" i="1"/>
  <c r="AD1748" i="1"/>
  <c r="AG1748" i="1"/>
  <c r="AC1748" i="1"/>
  <c r="AD1749" i="1"/>
  <c r="AG1749" i="1"/>
  <c r="AC1749" i="1"/>
  <c r="AF1749" i="1"/>
  <c r="M1751" i="1"/>
  <c r="R1751" i="1" s="1"/>
  <c r="AE1756" i="1"/>
  <c r="AD1756" i="1"/>
  <c r="AG1756" i="1"/>
  <c r="AC1756" i="1"/>
  <c r="AD1757" i="1"/>
  <c r="AG1757" i="1"/>
  <c r="AC1757" i="1"/>
  <c r="AF1757" i="1"/>
  <c r="M1759" i="1"/>
  <c r="R1759" i="1" s="1"/>
  <c r="AE1764" i="1"/>
  <c r="AD1764" i="1"/>
  <c r="AG1764" i="1"/>
  <c r="AC1764" i="1"/>
  <c r="AD1765" i="1"/>
  <c r="AG1765" i="1"/>
  <c r="AC1765" i="1"/>
  <c r="AF1765" i="1"/>
  <c r="M1767" i="1"/>
  <c r="R1767" i="1" s="1"/>
  <c r="AE1772" i="1"/>
  <c r="AD1772" i="1"/>
  <c r="AG1772" i="1"/>
  <c r="AC1772" i="1"/>
  <c r="AD1773" i="1"/>
  <c r="AG1773" i="1"/>
  <c r="AC1773" i="1"/>
  <c r="AF1773" i="1"/>
  <c r="M1775" i="1"/>
  <c r="R1775" i="1" s="1"/>
  <c r="AE1780" i="1"/>
  <c r="AD1780" i="1"/>
  <c r="AG1780" i="1"/>
  <c r="AC1780" i="1"/>
  <c r="AD1781" i="1"/>
  <c r="AG1781" i="1"/>
  <c r="AC1781" i="1"/>
  <c r="AF1781" i="1"/>
  <c r="M1783" i="1"/>
  <c r="R1783" i="1" s="1"/>
  <c r="AE1788" i="1"/>
  <c r="AD1788" i="1"/>
  <c r="AG1788" i="1"/>
  <c r="AC1788" i="1"/>
  <c r="AD1789" i="1"/>
  <c r="AG1789" i="1"/>
  <c r="AC1789" i="1"/>
  <c r="AF1789" i="1"/>
  <c r="M1791" i="1"/>
  <c r="R1791" i="1" s="1"/>
  <c r="AE1796" i="1"/>
  <c r="AD1796" i="1"/>
  <c r="AG1796" i="1"/>
  <c r="AC1796" i="1"/>
  <c r="AD1797" i="1"/>
  <c r="AG1797" i="1"/>
  <c r="AC1797" i="1"/>
  <c r="AF1797" i="1"/>
  <c r="M1799" i="1"/>
  <c r="R1799" i="1" s="1"/>
  <c r="AE1804" i="1"/>
  <c r="AD1804" i="1"/>
  <c r="AG1804" i="1"/>
  <c r="AC1804" i="1"/>
  <c r="AD1805" i="1"/>
  <c r="AG1805" i="1"/>
  <c r="AC1805" i="1"/>
  <c r="AF1805" i="1"/>
  <c r="M1807" i="1"/>
  <c r="R1807" i="1" s="1"/>
  <c r="AE1812" i="1"/>
  <c r="AD1812" i="1"/>
  <c r="AG1812" i="1"/>
  <c r="AC1812" i="1"/>
  <c r="AD1813" i="1"/>
  <c r="AG1813" i="1"/>
  <c r="AC1813" i="1"/>
  <c r="AF1813" i="1"/>
  <c r="M1815" i="1"/>
  <c r="R1815" i="1" s="1"/>
  <c r="AE1820" i="1"/>
  <c r="AD1820" i="1"/>
  <c r="AG1820" i="1"/>
  <c r="AC1820" i="1"/>
  <c r="AD1821" i="1"/>
  <c r="AG1821" i="1"/>
  <c r="AC1821" i="1"/>
  <c r="AF1821" i="1"/>
  <c r="M1823" i="1"/>
  <c r="R1823" i="1" s="1"/>
  <c r="AE1828" i="1"/>
  <c r="AD1828" i="1"/>
  <c r="AG1828" i="1"/>
  <c r="AC1828" i="1"/>
  <c r="AD1829" i="1"/>
  <c r="AG1829" i="1"/>
  <c r="AC1829" i="1"/>
  <c r="AF1829" i="1"/>
  <c r="M1831" i="1"/>
  <c r="R1831" i="1" s="1"/>
  <c r="AE1836" i="1"/>
  <c r="AD1836" i="1"/>
  <c r="AG1836" i="1"/>
  <c r="AC1836" i="1"/>
  <c r="AD1837" i="1"/>
  <c r="AG1837" i="1"/>
  <c r="AC1837" i="1"/>
  <c r="AF1837" i="1"/>
  <c r="M1839" i="1"/>
  <c r="R1839" i="1" s="1"/>
  <c r="AE1844" i="1"/>
  <c r="AD1844" i="1"/>
  <c r="AG1844" i="1"/>
  <c r="AC1844" i="1"/>
  <c r="AD1845" i="1"/>
  <c r="AG1845" i="1"/>
  <c r="AC1845" i="1"/>
  <c r="AF1845" i="1"/>
  <c r="M1847" i="1"/>
  <c r="R1847" i="1" s="1"/>
  <c r="AE1852" i="1"/>
  <c r="AD1852" i="1"/>
  <c r="AG1852" i="1"/>
  <c r="AC1852" i="1"/>
  <c r="AD1853" i="1"/>
  <c r="AG1853" i="1"/>
  <c r="AC1853" i="1"/>
  <c r="AF1853" i="1"/>
  <c r="M1855" i="1"/>
  <c r="R1855" i="1" s="1"/>
  <c r="AE1860" i="1"/>
  <c r="AD1860" i="1"/>
  <c r="AG1860" i="1"/>
  <c r="AC1860" i="1"/>
  <c r="AD1861" i="1"/>
  <c r="AG1861" i="1"/>
  <c r="AC1861" i="1"/>
  <c r="AF1861" i="1"/>
  <c r="M1863" i="1"/>
  <c r="R1863" i="1" s="1"/>
  <c r="AE1868" i="1"/>
  <c r="AD1868" i="1"/>
  <c r="AG1868" i="1"/>
  <c r="AC1868" i="1"/>
  <c r="AD1869" i="1"/>
  <c r="AG1869" i="1"/>
  <c r="AC1869" i="1"/>
  <c r="AF1869" i="1"/>
  <c r="M1871" i="1"/>
  <c r="R1871" i="1" s="1"/>
  <c r="AE1876" i="1"/>
  <c r="AD1876" i="1"/>
  <c r="AG1876" i="1"/>
  <c r="AC1876" i="1"/>
  <c r="AD1877" i="1"/>
  <c r="AG1877" i="1"/>
  <c r="AC1877" i="1"/>
  <c r="AF1877" i="1"/>
  <c r="M1879" i="1"/>
  <c r="R1879" i="1" s="1"/>
  <c r="AE1884" i="1"/>
  <c r="AD1884" i="1"/>
  <c r="AG1884" i="1"/>
  <c r="AC1884" i="1"/>
  <c r="AD1885" i="1"/>
  <c r="AG1885" i="1"/>
  <c r="AC1885" i="1"/>
  <c r="AF1885" i="1"/>
  <c r="M1887" i="1"/>
  <c r="R1887" i="1" s="1"/>
  <c r="AE1892" i="1"/>
  <c r="AD1892" i="1"/>
  <c r="AG1892" i="1"/>
  <c r="AC1892" i="1"/>
  <c r="AD1893" i="1"/>
  <c r="AG1893" i="1"/>
  <c r="AC1893" i="1"/>
  <c r="AF1893" i="1"/>
  <c r="M1895" i="1"/>
  <c r="R1895" i="1" s="1"/>
  <c r="AE1900" i="1"/>
  <c r="AD1900" i="1"/>
  <c r="AG1900" i="1"/>
  <c r="AC1900" i="1"/>
  <c r="AD1901" i="1"/>
  <c r="AG1901" i="1"/>
  <c r="AC1901" i="1"/>
  <c r="AF1901" i="1"/>
  <c r="M1903" i="1"/>
  <c r="R1903" i="1" s="1"/>
  <c r="AE1908" i="1"/>
  <c r="AD1908" i="1"/>
  <c r="AG1908" i="1"/>
  <c r="AC1908" i="1"/>
  <c r="AD1909" i="1"/>
  <c r="AG1909" i="1"/>
  <c r="AC1909" i="1"/>
  <c r="AF1909" i="1"/>
  <c r="M1911" i="1"/>
  <c r="R1911" i="1" s="1"/>
  <c r="AE1916" i="1"/>
  <c r="AD1916" i="1"/>
  <c r="AG1916" i="1"/>
  <c r="AC1916" i="1"/>
  <c r="AD1917" i="1"/>
  <c r="AG1917" i="1"/>
  <c r="AC1917" i="1"/>
  <c r="AF1917" i="1"/>
  <c r="M1919" i="1"/>
  <c r="R1919" i="1" s="1"/>
  <c r="AE1921" i="1"/>
  <c r="AE1924" i="1"/>
  <c r="AD1924" i="1"/>
  <c r="AG1924" i="1"/>
  <c r="AC1924" i="1"/>
  <c r="AD1925" i="1"/>
  <c r="AG1925" i="1"/>
  <c r="AC1925" i="1"/>
  <c r="AF1925" i="1"/>
  <c r="M1927" i="1"/>
  <c r="R1927" i="1" s="1"/>
  <c r="AE1932" i="1"/>
  <c r="AD1932" i="1"/>
  <c r="AG1932" i="1"/>
  <c r="AC1932" i="1"/>
  <c r="AD1933" i="1"/>
  <c r="AG1933" i="1"/>
  <c r="AC1933" i="1"/>
  <c r="AF1933" i="1"/>
  <c r="M1935" i="1"/>
  <c r="R1935" i="1" s="1"/>
  <c r="AE1940" i="1"/>
  <c r="AD1940" i="1"/>
  <c r="AG1940" i="1"/>
  <c r="AC1940" i="1"/>
  <c r="AD1941" i="1"/>
  <c r="AG1941" i="1"/>
  <c r="AC1941" i="1"/>
  <c r="AF1941" i="1"/>
  <c r="M1943" i="1"/>
  <c r="R1943" i="1" s="1"/>
  <c r="AE1948" i="1"/>
  <c r="AD1948" i="1"/>
  <c r="AG1948" i="1"/>
  <c r="AC1948" i="1"/>
  <c r="AD1949" i="1"/>
  <c r="AG1949" i="1"/>
  <c r="AC1949" i="1"/>
  <c r="AF1949" i="1"/>
  <c r="M1951" i="1"/>
  <c r="R1951" i="1" s="1"/>
  <c r="AE1956" i="1"/>
  <c r="AD1956" i="1"/>
  <c r="AG1956" i="1"/>
  <c r="AC1956" i="1"/>
  <c r="AD1957" i="1"/>
  <c r="AG1957" i="1"/>
  <c r="AC1957" i="1"/>
  <c r="AF1957" i="1"/>
  <c r="AE1964" i="1"/>
  <c r="AD1964" i="1"/>
  <c r="AG1964" i="1"/>
  <c r="AC1964" i="1"/>
  <c r="AD1965" i="1"/>
  <c r="AG1965" i="1"/>
  <c r="AC1965" i="1"/>
  <c r="AF1965" i="1"/>
  <c r="AE1972" i="1"/>
  <c r="AD1972" i="1"/>
  <c r="AG1972" i="1"/>
  <c r="AC1972" i="1"/>
  <c r="AD1973" i="1"/>
  <c r="AG1973" i="1"/>
  <c r="AC1973" i="1"/>
  <c r="AF1973" i="1"/>
  <c r="M1975" i="1"/>
  <c r="R1975" i="1" s="1"/>
  <c r="AE1980" i="1"/>
  <c r="AD1980" i="1"/>
  <c r="AG1980" i="1"/>
  <c r="AC1980" i="1"/>
  <c r="AD1981" i="1"/>
  <c r="AG1981" i="1"/>
  <c r="AC1981" i="1"/>
  <c r="AF1981" i="1"/>
  <c r="M1983" i="1"/>
  <c r="R1983" i="1" s="1"/>
  <c r="AE1988" i="1"/>
  <c r="AD1988" i="1"/>
  <c r="AG1988" i="1"/>
  <c r="AC1988" i="1"/>
  <c r="AD1989" i="1"/>
  <c r="AG1989" i="1"/>
  <c r="AC1989" i="1"/>
  <c r="AF1989" i="1"/>
  <c r="M1991" i="1"/>
  <c r="R1991" i="1" s="1"/>
  <c r="AD2001" i="1"/>
  <c r="AF2001" i="1"/>
  <c r="AC2001" i="1"/>
  <c r="AG2001" i="1"/>
  <c r="AD2017" i="1"/>
  <c r="AF2017" i="1"/>
  <c r="AC2017" i="1"/>
  <c r="AG2017" i="1"/>
  <c r="AD2033" i="1"/>
  <c r="AF2033" i="1"/>
  <c r="AC2033" i="1"/>
  <c r="AG2033" i="1"/>
  <c r="AF2039" i="1"/>
  <c r="AE2039" i="1"/>
  <c r="AD2039" i="1"/>
  <c r="AG2039" i="1"/>
  <c r="AC2039" i="1"/>
  <c r="Y2043" i="1"/>
  <c r="M2043" i="1"/>
  <c r="R2043" i="1" s="1"/>
  <c r="AF2047" i="1"/>
  <c r="AE2047" i="1"/>
  <c r="AD2047" i="1"/>
  <c r="AG2047" i="1"/>
  <c r="AC2047" i="1"/>
  <c r="AF2055" i="1"/>
  <c r="AE2055" i="1"/>
  <c r="AD2055" i="1"/>
  <c r="AG2055" i="1"/>
  <c r="AC2055" i="1"/>
  <c r="AF2063" i="1"/>
  <c r="AE2063" i="1"/>
  <c r="AD2063" i="1"/>
  <c r="AG2063" i="1"/>
  <c r="AC2063" i="1"/>
  <c r="AF2071" i="1"/>
  <c r="AE2071" i="1"/>
  <c r="AD2071" i="1"/>
  <c r="AG2071" i="1"/>
  <c r="AC2071" i="1"/>
  <c r="AF2079" i="1"/>
  <c r="AE2079" i="1"/>
  <c r="AD2079" i="1"/>
  <c r="AG2079" i="1"/>
  <c r="AC2079" i="1"/>
  <c r="AF2087" i="1"/>
  <c r="AE2087" i="1"/>
  <c r="AD2087" i="1"/>
  <c r="AG2087" i="1"/>
  <c r="AC2087" i="1"/>
  <c r="AF2095" i="1"/>
  <c r="AE2095" i="1"/>
  <c r="AD2095" i="1"/>
  <c r="AG2095" i="1"/>
  <c r="AC2095" i="1"/>
  <c r="AF2103" i="1"/>
  <c r="AE2103" i="1"/>
  <c r="AD2103" i="1"/>
  <c r="AG2103" i="1"/>
  <c r="AC2103" i="1"/>
  <c r="AC2167" i="1"/>
  <c r="Y2171" i="1"/>
  <c r="M2171" i="1"/>
  <c r="R2171" i="1" s="1"/>
  <c r="AE2186" i="1"/>
  <c r="AG2186" i="1"/>
  <c r="AC2186" i="1"/>
  <c r="AF2186" i="1"/>
  <c r="AD2186" i="1"/>
  <c r="AF2189" i="1"/>
  <c r="AD2189" i="1"/>
  <c r="AC2189" i="1"/>
  <c r="AG2189" i="1"/>
  <c r="AE2189" i="1"/>
  <c r="AE1638" i="1"/>
  <c r="AE1642" i="1"/>
  <c r="AE1646" i="1"/>
  <c r="AE1650" i="1"/>
  <c r="AE1654" i="1"/>
  <c r="AE1658" i="1"/>
  <c r="AE1662" i="1"/>
  <c r="AE1666" i="1"/>
  <c r="AE1670" i="1"/>
  <c r="AE1674" i="1"/>
  <c r="AE1678" i="1"/>
  <c r="AE1682" i="1"/>
  <c r="AE1686" i="1"/>
  <c r="AE1690" i="1"/>
  <c r="AE1694" i="1"/>
  <c r="AE1698" i="1"/>
  <c r="AE1702" i="1"/>
  <c r="AE1706" i="1"/>
  <c r="AE1710" i="1"/>
  <c r="AE1714" i="1"/>
  <c r="AE1718" i="1"/>
  <c r="AE1722" i="1"/>
  <c r="AE1726" i="1"/>
  <c r="AE1730" i="1"/>
  <c r="AE1734" i="1"/>
  <c r="AE1738" i="1"/>
  <c r="AE1742" i="1"/>
  <c r="AE1746" i="1"/>
  <c r="AE1750" i="1"/>
  <c r="AE1754" i="1"/>
  <c r="AE1758" i="1"/>
  <c r="AE1762" i="1"/>
  <c r="AE1766" i="1"/>
  <c r="AE1770" i="1"/>
  <c r="AE1774" i="1"/>
  <c r="AE1778" i="1"/>
  <c r="AE1782" i="1"/>
  <c r="AE1786" i="1"/>
  <c r="AE1790" i="1"/>
  <c r="AE1794" i="1"/>
  <c r="AE1798" i="1"/>
  <c r="AE1802" i="1"/>
  <c r="AE1806" i="1"/>
  <c r="AE1810" i="1"/>
  <c r="AE1814" i="1"/>
  <c r="AE1818" i="1"/>
  <c r="AE1822" i="1"/>
  <c r="AE1826" i="1"/>
  <c r="AE1830" i="1"/>
  <c r="AE1834" i="1"/>
  <c r="AE1838" i="1"/>
  <c r="AE1842" i="1"/>
  <c r="AE1846" i="1"/>
  <c r="AE1850" i="1"/>
  <c r="AE1854" i="1"/>
  <c r="AE1858" i="1"/>
  <c r="AE1862" i="1"/>
  <c r="AE1866" i="1"/>
  <c r="AE1870" i="1"/>
  <c r="AE1874" i="1"/>
  <c r="AE1878" i="1"/>
  <c r="AE1882" i="1"/>
  <c r="AE1886" i="1"/>
  <c r="AE1890" i="1"/>
  <c r="AE1894" i="1"/>
  <c r="AE1898" i="1"/>
  <c r="AE1902" i="1"/>
  <c r="AE1906" i="1"/>
  <c r="AE1910" i="1"/>
  <c r="AE1914" i="1"/>
  <c r="AE1918" i="1"/>
  <c r="AE1922" i="1"/>
  <c r="AE1926" i="1"/>
  <c r="AE1930" i="1"/>
  <c r="AE1934" i="1"/>
  <c r="AE1938" i="1"/>
  <c r="AE1942" i="1"/>
  <c r="AE1946" i="1"/>
  <c r="AE1950" i="1"/>
  <c r="AE1954" i="1"/>
  <c r="AE1958" i="1"/>
  <c r="AE1962" i="1"/>
  <c r="AE1966" i="1"/>
  <c r="AE1970" i="1"/>
  <c r="AE1974" i="1"/>
  <c r="AE1978" i="1"/>
  <c r="AE1982" i="1"/>
  <c r="AE1986" i="1"/>
  <c r="AE1990" i="1"/>
  <c r="M1993" i="1"/>
  <c r="R1993" i="1" s="1"/>
  <c r="AE1996" i="1"/>
  <c r="AG1996" i="1"/>
  <c r="AC1996" i="1"/>
  <c r="AF1999" i="1"/>
  <c r="AD1999" i="1"/>
  <c r="AE1999" i="1"/>
  <c r="M2001" i="1"/>
  <c r="R2001" i="1" s="1"/>
  <c r="AE2004" i="1"/>
  <c r="AG2004" i="1"/>
  <c r="AC2004" i="1"/>
  <c r="AF2007" i="1"/>
  <c r="AD2007" i="1"/>
  <c r="AE2007" i="1"/>
  <c r="M2009" i="1"/>
  <c r="R2009" i="1" s="1"/>
  <c r="AE2012" i="1"/>
  <c r="AG2012" i="1"/>
  <c r="AC2012" i="1"/>
  <c r="M2017" i="1"/>
  <c r="R2017" i="1" s="1"/>
  <c r="AE2020" i="1"/>
  <c r="AG2020" i="1"/>
  <c r="AC2020" i="1"/>
  <c r="AF2023" i="1"/>
  <c r="AD2023" i="1"/>
  <c r="AE2023" i="1"/>
  <c r="M2025" i="1"/>
  <c r="R2025" i="1" s="1"/>
  <c r="AE2028" i="1"/>
  <c r="AG2028" i="1"/>
  <c r="AC2028" i="1"/>
  <c r="AF2031" i="1"/>
  <c r="AD2031" i="1"/>
  <c r="AE2031" i="1"/>
  <c r="M2033" i="1"/>
  <c r="R2033" i="1" s="1"/>
  <c r="AE2036" i="1"/>
  <c r="AG2036" i="1"/>
  <c r="AC2036" i="1"/>
  <c r="M2039" i="1"/>
  <c r="R2039" i="1" s="1"/>
  <c r="AE2044" i="1"/>
  <c r="AD2044" i="1"/>
  <c r="AG2044" i="1"/>
  <c r="AC2044" i="1"/>
  <c r="AD2045" i="1"/>
  <c r="AG2045" i="1"/>
  <c r="AC2045" i="1"/>
  <c r="AF2045" i="1"/>
  <c r="AD2046" i="1"/>
  <c r="M2047" i="1"/>
  <c r="R2047" i="1" s="1"/>
  <c r="AE2052" i="1"/>
  <c r="AD2052" i="1"/>
  <c r="AG2052" i="1"/>
  <c r="AC2052" i="1"/>
  <c r="AD2053" i="1"/>
  <c r="AG2053" i="1"/>
  <c r="AC2053" i="1"/>
  <c r="AF2053" i="1"/>
  <c r="AD2054" i="1"/>
  <c r="M2055" i="1"/>
  <c r="R2055" i="1" s="1"/>
  <c r="AE2060" i="1"/>
  <c r="AD2060" i="1"/>
  <c r="AG2060" i="1"/>
  <c r="AC2060" i="1"/>
  <c r="AD2061" i="1"/>
  <c r="AG2061" i="1"/>
  <c r="AC2061" i="1"/>
  <c r="AF2061" i="1"/>
  <c r="AD2062" i="1"/>
  <c r="M2063" i="1"/>
  <c r="R2063" i="1" s="1"/>
  <c r="AE2068" i="1"/>
  <c r="AD2068" i="1"/>
  <c r="AG2068" i="1"/>
  <c r="AC2068" i="1"/>
  <c r="AD2069" i="1"/>
  <c r="AG2069" i="1"/>
  <c r="AC2069" i="1"/>
  <c r="AF2069" i="1"/>
  <c r="AD2070" i="1"/>
  <c r="M2071" i="1"/>
  <c r="R2071" i="1" s="1"/>
  <c r="AE2076" i="1"/>
  <c r="AD2076" i="1"/>
  <c r="AG2076" i="1"/>
  <c r="AC2076" i="1"/>
  <c r="AD2077" i="1"/>
  <c r="AG2077" i="1"/>
  <c r="AC2077" i="1"/>
  <c r="AF2077" i="1"/>
  <c r="AD2078" i="1"/>
  <c r="M2079" i="1"/>
  <c r="R2079" i="1" s="1"/>
  <c r="AE2084" i="1"/>
  <c r="AD2084" i="1"/>
  <c r="AG2084" i="1"/>
  <c r="AC2084" i="1"/>
  <c r="AD2085" i="1"/>
  <c r="AG2085" i="1"/>
  <c r="AC2085" i="1"/>
  <c r="AF2085" i="1"/>
  <c r="AD2086" i="1"/>
  <c r="M2087" i="1"/>
  <c r="R2087" i="1" s="1"/>
  <c r="AE2092" i="1"/>
  <c r="AD2092" i="1"/>
  <c r="AG2092" i="1"/>
  <c r="AC2092" i="1"/>
  <c r="AD2093" i="1"/>
  <c r="AG2093" i="1"/>
  <c r="AC2093" i="1"/>
  <c r="AF2093" i="1"/>
  <c r="AD2094" i="1"/>
  <c r="M2095" i="1"/>
  <c r="R2095" i="1" s="1"/>
  <c r="AE2100" i="1"/>
  <c r="AD2100" i="1"/>
  <c r="AG2100" i="1"/>
  <c r="AC2100" i="1"/>
  <c r="AD2101" i="1"/>
  <c r="AG2101" i="1"/>
  <c r="AC2101" i="1"/>
  <c r="AF2101" i="1"/>
  <c r="AD2102" i="1"/>
  <c r="M2103" i="1"/>
  <c r="R2103" i="1" s="1"/>
  <c r="AE2108" i="1"/>
  <c r="AD2108" i="1"/>
  <c r="AG2108" i="1"/>
  <c r="AC2108" i="1"/>
  <c r="AD2109" i="1"/>
  <c r="AG2109" i="1"/>
  <c r="AC2109" i="1"/>
  <c r="AF2109" i="1"/>
  <c r="M2111" i="1"/>
  <c r="R2111" i="1" s="1"/>
  <c r="AE2116" i="1"/>
  <c r="AD2116" i="1"/>
  <c r="AG2116" i="1"/>
  <c r="AC2116" i="1"/>
  <c r="AD2117" i="1"/>
  <c r="AG2117" i="1"/>
  <c r="AC2117" i="1"/>
  <c r="AF2117" i="1"/>
  <c r="M2119" i="1"/>
  <c r="R2119" i="1" s="1"/>
  <c r="AE2124" i="1"/>
  <c r="AD2124" i="1"/>
  <c r="AG2124" i="1"/>
  <c r="AC2124" i="1"/>
  <c r="AD2125" i="1"/>
  <c r="AG2125" i="1"/>
  <c r="AC2125" i="1"/>
  <c r="AF2125" i="1"/>
  <c r="AE2132" i="1"/>
  <c r="AD2132" i="1"/>
  <c r="AG2132" i="1"/>
  <c r="AC2132" i="1"/>
  <c r="AD2133" i="1"/>
  <c r="AG2133" i="1"/>
  <c r="AC2133" i="1"/>
  <c r="AF2133" i="1"/>
  <c r="AE2140" i="1"/>
  <c r="AD2140" i="1"/>
  <c r="AG2140" i="1"/>
  <c r="AC2140" i="1"/>
  <c r="AD2141" i="1"/>
  <c r="AG2141" i="1"/>
  <c r="AC2141" i="1"/>
  <c r="AF2141" i="1"/>
  <c r="AE2148" i="1"/>
  <c r="AD2148" i="1"/>
  <c r="AG2148" i="1"/>
  <c r="AC2148" i="1"/>
  <c r="AD2149" i="1"/>
  <c r="AG2149" i="1"/>
  <c r="AC2149" i="1"/>
  <c r="AF2149" i="1"/>
  <c r="AE2156" i="1"/>
  <c r="AD2156" i="1"/>
  <c r="AG2156" i="1"/>
  <c r="AC2156" i="1"/>
  <c r="AD2157" i="1"/>
  <c r="AG2157" i="1"/>
  <c r="AC2157" i="1"/>
  <c r="AF2157" i="1"/>
  <c r="AE2164" i="1"/>
  <c r="AD2164" i="1"/>
  <c r="AG2164" i="1"/>
  <c r="AC2164" i="1"/>
  <c r="AD2165" i="1"/>
  <c r="AG2165" i="1"/>
  <c r="AC2165" i="1"/>
  <c r="AF2165" i="1"/>
  <c r="AE2172" i="1"/>
  <c r="AD2172" i="1"/>
  <c r="AG2172" i="1"/>
  <c r="AC2172" i="1"/>
  <c r="AD2173" i="1"/>
  <c r="AG2173" i="1"/>
  <c r="AC2173" i="1"/>
  <c r="AF2173" i="1"/>
  <c r="AE2180" i="1"/>
  <c r="AD2180" i="1"/>
  <c r="AG2180" i="1"/>
  <c r="AC2180" i="1"/>
  <c r="AD2181" i="1"/>
  <c r="AE2181" i="1"/>
  <c r="AC2181" i="1"/>
  <c r="AG2181" i="1"/>
  <c r="AF2205" i="1"/>
  <c r="AE2205" i="1"/>
  <c r="AD2205" i="1"/>
  <c r="AG2205" i="1"/>
  <c r="AC2205" i="1"/>
  <c r="AC2213" i="1"/>
  <c r="AF2221" i="1"/>
  <c r="AE2221" i="1"/>
  <c r="AD2221" i="1"/>
  <c r="AG2221" i="1"/>
  <c r="AC2221" i="1"/>
  <c r="AF2229" i="1"/>
  <c r="AE2229" i="1"/>
  <c r="AD2229" i="1"/>
  <c r="AG2229" i="1"/>
  <c r="AC2229" i="1"/>
  <c r="AF2237" i="1"/>
  <c r="AE2237" i="1"/>
  <c r="AD2237" i="1"/>
  <c r="AG2237" i="1"/>
  <c r="AC2237" i="1"/>
  <c r="AF2245" i="1"/>
  <c r="AE2245" i="1"/>
  <c r="AD2245" i="1"/>
  <c r="AG2245" i="1"/>
  <c r="AC2245" i="1"/>
  <c r="AF2253" i="1"/>
  <c r="AE2253" i="1"/>
  <c r="AD2253" i="1"/>
  <c r="AG2253" i="1"/>
  <c r="AC2253" i="1"/>
  <c r="AF2261" i="1"/>
  <c r="AE2261" i="1"/>
  <c r="AD2261" i="1"/>
  <c r="AG2261" i="1"/>
  <c r="AC2261" i="1"/>
  <c r="AC2269" i="1"/>
  <c r="AF2277" i="1"/>
  <c r="AE2277" i="1"/>
  <c r="AD2277" i="1"/>
  <c r="AG2277" i="1"/>
  <c r="AC2277" i="1"/>
  <c r="AF2285" i="1"/>
  <c r="AE2285" i="1"/>
  <c r="AD2285" i="1"/>
  <c r="AG2285" i="1"/>
  <c r="AC2285" i="1"/>
  <c r="AF2293" i="1"/>
  <c r="AE2293" i="1"/>
  <c r="AD2293" i="1"/>
  <c r="AG2293" i="1"/>
  <c r="AC2293" i="1"/>
  <c r="AF2301" i="1"/>
  <c r="AE2301" i="1"/>
  <c r="AD2301" i="1"/>
  <c r="AG2301" i="1"/>
  <c r="AC2301" i="1"/>
  <c r="AF2309" i="1"/>
  <c r="AE2309" i="1"/>
  <c r="AD2309" i="1"/>
  <c r="AG2309" i="1"/>
  <c r="AC2309" i="1"/>
  <c r="AF2317" i="1"/>
  <c r="AE2317" i="1"/>
  <c r="AD2317" i="1"/>
  <c r="AG2317" i="1"/>
  <c r="AC2317" i="1"/>
  <c r="AF2325" i="1"/>
  <c r="AE2325" i="1"/>
  <c r="AD2325" i="1"/>
  <c r="AG2325" i="1"/>
  <c r="AC2325" i="1"/>
  <c r="AF2333" i="1"/>
  <c r="AE2333" i="1"/>
  <c r="AD2333" i="1"/>
  <c r="AG2333" i="1"/>
  <c r="AC2333" i="1"/>
  <c r="AF2341" i="1"/>
  <c r="AE2341" i="1"/>
  <c r="AD2341" i="1"/>
  <c r="AG2341" i="1"/>
  <c r="AC2341" i="1"/>
  <c r="AF2349" i="1"/>
  <c r="AE2349" i="1"/>
  <c r="AD2349" i="1"/>
  <c r="AG2349" i="1"/>
  <c r="AC2349" i="1"/>
  <c r="AF2357" i="1"/>
  <c r="AE2357" i="1"/>
  <c r="AD2357" i="1"/>
  <c r="AG2357" i="1"/>
  <c r="AC2357" i="1"/>
  <c r="AD2369" i="1"/>
  <c r="AE2370" i="1"/>
  <c r="AD2370" i="1"/>
  <c r="AG2370" i="1"/>
  <c r="AF2370" i="1"/>
  <c r="AC2370" i="1"/>
  <c r="AD2371" i="1"/>
  <c r="AG2371" i="1"/>
  <c r="AC2371" i="1"/>
  <c r="AF2371" i="1"/>
  <c r="AE2371" i="1"/>
  <c r="AG2388" i="1"/>
  <c r="AC2388" i="1"/>
  <c r="AF2388" i="1"/>
  <c r="AE2388" i="1"/>
  <c r="AD2388" i="1"/>
  <c r="AF2407" i="1"/>
  <c r="AG2442" i="1"/>
  <c r="AD2575" i="1"/>
  <c r="AG2575" i="1"/>
  <c r="AC2575" i="1"/>
  <c r="AF2575" i="1"/>
  <c r="AE2575" i="1"/>
  <c r="Y2589" i="1"/>
  <c r="AE2589" i="1" s="1"/>
  <c r="M2589" i="1"/>
  <c r="R2589" i="1" s="1"/>
  <c r="AG2608" i="1"/>
  <c r="AC2608" i="1"/>
  <c r="AF2608" i="1"/>
  <c r="AE2608" i="1"/>
  <c r="AD2608" i="1"/>
  <c r="AF1638" i="1"/>
  <c r="AF1642" i="1"/>
  <c r="AF1646" i="1"/>
  <c r="AF1650" i="1"/>
  <c r="AF1654" i="1"/>
  <c r="AF1658" i="1"/>
  <c r="AF1662" i="1"/>
  <c r="AF1666" i="1"/>
  <c r="AF1670" i="1"/>
  <c r="AF1674" i="1"/>
  <c r="AF1678" i="1"/>
  <c r="AF1682" i="1"/>
  <c r="AF1686" i="1"/>
  <c r="AF1690" i="1"/>
  <c r="AF1694" i="1"/>
  <c r="AF1698" i="1"/>
  <c r="AF1702" i="1"/>
  <c r="AF1706" i="1"/>
  <c r="AF1710" i="1"/>
  <c r="AF1714" i="1"/>
  <c r="AF1718" i="1"/>
  <c r="AF1722" i="1"/>
  <c r="AF1726" i="1"/>
  <c r="AF1730" i="1"/>
  <c r="AF1734" i="1"/>
  <c r="AF1738" i="1"/>
  <c r="AF1742" i="1"/>
  <c r="AF1746" i="1"/>
  <c r="AF1750" i="1"/>
  <c r="AF1754" i="1"/>
  <c r="AF1758" i="1"/>
  <c r="AF1762" i="1"/>
  <c r="AF1766" i="1"/>
  <c r="AF1770" i="1"/>
  <c r="AF1774" i="1"/>
  <c r="AF1778" i="1"/>
  <c r="AF1782" i="1"/>
  <c r="AF1786" i="1"/>
  <c r="AF1790" i="1"/>
  <c r="AF1794" i="1"/>
  <c r="AF1798" i="1"/>
  <c r="AF1802" i="1"/>
  <c r="AF1806" i="1"/>
  <c r="AF1810" i="1"/>
  <c r="AF1814" i="1"/>
  <c r="AF1818" i="1"/>
  <c r="AF1822" i="1"/>
  <c r="AF1826" i="1"/>
  <c r="AF1830" i="1"/>
  <c r="AF1834" i="1"/>
  <c r="AF1838" i="1"/>
  <c r="AF1842" i="1"/>
  <c r="AF1846" i="1"/>
  <c r="AF1850" i="1"/>
  <c r="AF1854" i="1"/>
  <c r="AF1858" i="1"/>
  <c r="AF1862" i="1"/>
  <c r="AF1866" i="1"/>
  <c r="AF1870" i="1"/>
  <c r="AF1874" i="1"/>
  <c r="AF1878" i="1"/>
  <c r="AF1882" i="1"/>
  <c r="AF1886" i="1"/>
  <c r="AF1890" i="1"/>
  <c r="AF1894" i="1"/>
  <c r="AF1898" i="1"/>
  <c r="AF1902" i="1"/>
  <c r="AF1906" i="1"/>
  <c r="AF1910" i="1"/>
  <c r="AF1914" i="1"/>
  <c r="AF1918" i="1"/>
  <c r="AF1922" i="1"/>
  <c r="AF1926" i="1"/>
  <c r="AF1930" i="1"/>
  <c r="AF1934" i="1"/>
  <c r="AF1938" i="1"/>
  <c r="AF1942" i="1"/>
  <c r="AF1946" i="1"/>
  <c r="AF1950" i="1"/>
  <c r="AF1954" i="1"/>
  <c r="AF1958" i="1"/>
  <c r="AF1962" i="1"/>
  <c r="AF1966" i="1"/>
  <c r="AF1970" i="1"/>
  <c r="AF1974" i="1"/>
  <c r="AF1978" i="1"/>
  <c r="AF1982" i="1"/>
  <c r="AF1986" i="1"/>
  <c r="AF1990" i="1"/>
  <c r="AG1994" i="1"/>
  <c r="AC1994" i="1"/>
  <c r="AE1994" i="1"/>
  <c r="AD1997" i="1"/>
  <c r="AF1997" i="1"/>
  <c r="AE1997" i="1"/>
  <c r="AG2002" i="1"/>
  <c r="AC2002" i="1"/>
  <c r="AE2002" i="1"/>
  <c r="AD2005" i="1"/>
  <c r="AF2005" i="1"/>
  <c r="AE2005" i="1"/>
  <c r="AG2010" i="1"/>
  <c r="AC2010" i="1"/>
  <c r="AE2010" i="1"/>
  <c r="AD2013" i="1"/>
  <c r="AF2013" i="1"/>
  <c r="AE2013" i="1"/>
  <c r="AG2018" i="1"/>
  <c r="AC2018" i="1"/>
  <c r="AE2018" i="1"/>
  <c r="AD2021" i="1"/>
  <c r="AF2021" i="1"/>
  <c r="AE2021" i="1"/>
  <c r="AG2026" i="1"/>
  <c r="AC2026" i="1"/>
  <c r="AE2026" i="1"/>
  <c r="AD2029" i="1"/>
  <c r="AF2029" i="1"/>
  <c r="AE2029" i="1"/>
  <c r="AG2034" i="1"/>
  <c r="AC2034" i="1"/>
  <c r="AE2034" i="1"/>
  <c r="AD2037" i="1"/>
  <c r="AF2037" i="1"/>
  <c r="AE2037" i="1"/>
  <c r="AF2051" i="1"/>
  <c r="AE2051" i="1"/>
  <c r="AD2051" i="1"/>
  <c r="AF2059" i="1"/>
  <c r="AE2059" i="1"/>
  <c r="AD2059" i="1"/>
  <c r="AF2067" i="1"/>
  <c r="AE2067" i="1"/>
  <c r="AD2067" i="1"/>
  <c r="AF2075" i="1"/>
  <c r="AE2075" i="1"/>
  <c r="AD2075" i="1"/>
  <c r="AF2083" i="1"/>
  <c r="AE2083" i="1"/>
  <c r="AD2083" i="1"/>
  <c r="AF2091" i="1"/>
  <c r="AE2091" i="1"/>
  <c r="AD2091" i="1"/>
  <c r="AF2099" i="1"/>
  <c r="AE2099" i="1"/>
  <c r="AD2099" i="1"/>
  <c r="AF2107" i="1"/>
  <c r="AE2107" i="1"/>
  <c r="AD2107" i="1"/>
  <c r="AF2115" i="1"/>
  <c r="AE2115" i="1"/>
  <c r="AD2115" i="1"/>
  <c r="AF2123" i="1"/>
  <c r="Y2127" i="1"/>
  <c r="M2127" i="1"/>
  <c r="R2127" i="1" s="1"/>
  <c r="Y2135" i="1"/>
  <c r="M2135" i="1"/>
  <c r="R2135" i="1" s="1"/>
  <c r="Y2143" i="1"/>
  <c r="M2143" i="1"/>
  <c r="R2143" i="1" s="1"/>
  <c r="Y2151" i="1"/>
  <c r="M2151" i="1"/>
  <c r="R2151" i="1" s="1"/>
  <c r="Y2159" i="1"/>
  <c r="M2159" i="1"/>
  <c r="R2159" i="1" s="1"/>
  <c r="Y2167" i="1"/>
  <c r="M2167" i="1"/>
  <c r="R2167" i="1" s="1"/>
  <c r="Y2175" i="1"/>
  <c r="M2175" i="1"/>
  <c r="R2175" i="1" s="1"/>
  <c r="AD2184" i="1"/>
  <c r="AE2194" i="1"/>
  <c r="AG2194" i="1"/>
  <c r="AC2194" i="1"/>
  <c r="AF2194" i="1"/>
  <c r="AD2194" i="1"/>
  <c r="AC2197" i="1"/>
  <c r="AD2200" i="1"/>
  <c r="AG2201" i="1"/>
  <c r="AG2209" i="1"/>
  <c r="AG2217" i="1"/>
  <c r="AG2225" i="1"/>
  <c r="AG2233" i="1"/>
  <c r="AG2241" i="1"/>
  <c r="AG2249" i="1"/>
  <c r="AG2257" i="1"/>
  <c r="AG2289" i="1"/>
  <c r="AG2297" i="1"/>
  <c r="AG2305" i="1"/>
  <c r="AG2313" i="1"/>
  <c r="AG2321" i="1"/>
  <c r="AG2329" i="1"/>
  <c r="AG2337" i="1"/>
  <c r="AG2345" i="1"/>
  <c r="AG2353" i="1"/>
  <c r="AF2471" i="1"/>
  <c r="AC1638" i="1"/>
  <c r="AC1642" i="1"/>
  <c r="AC1646" i="1"/>
  <c r="AC1650" i="1"/>
  <c r="AC1654" i="1"/>
  <c r="AC1658" i="1"/>
  <c r="AC1662" i="1"/>
  <c r="AC1666" i="1"/>
  <c r="AC1670" i="1"/>
  <c r="AC1674" i="1"/>
  <c r="AC1678" i="1"/>
  <c r="AC1682" i="1"/>
  <c r="AC1686" i="1"/>
  <c r="AC1690" i="1"/>
  <c r="AC1694" i="1"/>
  <c r="AC1698" i="1"/>
  <c r="AC1702" i="1"/>
  <c r="AC1706" i="1"/>
  <c r="M1709" i="1"/>
  <c r="R1709" i="1" s="1"/>
  <c r="AC1710" i="1"/>
  <c r="AC1714" i="1"/>
  <c r="AC1718" i="1"/>
  <c r="AC1722" i="1"/>
  <c r="AC1726" i="1"/>
  <c r="AC1730" i="1"/>
  <c r="AC1734" i="1"/>
  <c r="AC1738" i="1"/>
  <c r="AC1742" i="1"/>
  <c r="AC1746" i="1"/>
  <c r="AC1750" i="1"/>
  <c r="AC1754" i="1"/>
  <c r="AC1758" i="1"/>
  <c r="AC1762" i="1"/>
  <c r="AC1766" i="1"/>
  <c r="AC1770" i="1"/>
  <c r="AC1774" i="1"/>
  <c r="AC1778" i="1"/>
  <c r="AC1782" i="1"/>
  <c r="AC1786" i="1"/>
  <c r="AC1790" i="1"/>
  <c r="AC1794" i="1"/>
  <c r="AC1798" i="1"/>
  <c r="AC1802" i="1"/>
  <c r="AC1806" i="1"/>
  <c r="AC1810" i="1"/>
  <c r="AC1814" i="1"/>
  <c r="M1817" i="1"/>
  <c r="R1817" i="1" s="1"/>
  <c r="AC1818" i="1"/>
  <c r="AC1822" i="1"/>
  <c r="AC1826" i="1"/>
  <c r="AC1830" i="1"/>
  <c r="AC1834" i="1"/>
  <c r="AC1838" i="1"/>
  <c r="AC1842" i="1"/>
  <c r="AC1846" i="1"/>
  <c r="AC1850" i="1"/>
  <c r="AC1854" i="1"/>
  <c r="AC1858" i="1"/>
  <c r="AC1862" i="1"/>
  <c r="AC1866" i="1"/>
  <c r="AC1870" i="1"/>
  <c r="AC1874" i="1"/>
  <c r="AC1878" i="1"/>
  <c r="AC1882" i="1"/>
  <c r="AC1886" i="1"/>
  <c r="AC1890" i="1"/>
  <c r="AC1894" i="1"/>
  <c r="AC1898" i="1"/>
  <c r="AC1902" i="1"/>
  <c r="AC1906" i="1"/>
  <c r="AC1910" i="1"/>
  <c r="AC1914" i="1"/>
  <c r="AC1918" i="1"/>
  <c r="AC1922" i="1"/>
  <c r="AC1926" i="1"/>
  <c r="AC1930" i="1"/>
  <c r="AC1934" i="1"/>
  <c r="AC1938" i="1"/>
  <c r="AC1942" i="1"/>
  <c r="AC1946" i="1"/>
  <c r="AC1950" i="1"/>
  <c r="AC1954" i="1"/>
  <c r="AC1958" i="1"/>
  <c r="AC1962" i="1"/>
  <c r="AC1966" i="1"/>
  <c r="AC1970" i="1"/>
  <c r="AC1974" i="1"/>
  <c r="M1977" i="1"/>
  <c r="R1977" i="1" s="1"/>
  <c r="AC1978" i="1"/>
  <c r="M1981" i="1"/>
  <c r="R1981" i="1" s="1"/>
  <c r="AC1982" i="1"/>
  <c r="M1985" i="1"/>
  <c r="R1985" i="1" s="1"/>
  <c r="AC1986" i="1"/>
  <c r="M1989" i="1"/>
  <c r="R1989" i="1" s="1"/>
  <c r="AC1990" i="1"/>
  <c r="AD1994" i="1"/>
  <c r="AF1995" i="1"/>
  <c r="AD1995" i="1"/>
  <c r="AE1995" i="1"/>
  <c r="M1997" i="1"/>
  <c r="R1997" i="1" s="1"/>
  <c r="AG1997" i="1"/>
  <c r="AE2000" i="1"/>
  <c r="AG2000" i="1"/>
  <c r="AC2000" i="1"/>
  <c r="AD2002" i="1"/>
  <c r="AF2003" i="1"/>
  <c r="AD2003" i="1"/>
  <c r="AE2003" i="1"/>
  <c r="M2005" i="1"/>
  <c r="R2005" i="1" s="1"/>
  <c r="AG2005" i="1"/>
  <c r="AE2008" i="1"/>
  <c r="AG2008" i="1"/>
  <c r="AC2008" i="1"/>
  <c r="AD2010" i="1"/>
  <c r="AF2011" i="1"/>
  <c r="AD2011" i="1"/>
  <c r="AE2011" i="1"/>
  <c r="M2013" i="1"/>
  <c r="R2013" i="1" s="1"/>
  <c r="AG2013" i="1"/>
  <c r="Y2015" i="1"/>
  <c r="M2015" i="1"/>
  <c r="R2015" i="1" s="1"/>
  <c r="AE2016" i="1"/>
  <c r="AG2016" i="1"/>
  <c r="AC2016" i="1"/>
  <c r="AD2018" i="1"/>
  <c r="AF2019" i="1"/>
  <c r="AD2019" i="1"/>
  <c r="AE2019" i="1"/>
  <c r="M2021" i="1"/>
  <c r="R2021" i="1" s="1"/>
  <c r="AG2021" i="1"/>
  <c r="AE2024" i="1"/>
  <c r="AG2024" i="1"/>
  <c r="AC2024" i="1"/>
  <c r="AD2026" i="1"/>
  <c r="AF2027" i="1"/>
  <c r="AD2027" i="1"/>
  <c r="AE2027" i="1"/>
  <c r="M2029" i="1"/>
  <c r="R2029" i="1" s="1"/>
  <c r="AG2029" i="1"/>
  <c r="AE2032" i="1"/>
  <c r="AG2032" i="1"/>
  <c r="AC2032" i="1"/>
  <c r="AD2034" i="1"/>
  <c r="AF2035" i="1"/>
  <c r="AD2035" i="1"/>
  <c r="AE2035" i="1"/>
  <c r="M2037" i="1"/>
  <c r="R2037" i="1" s="1"/>
  <c r="AG2037" i="1"/>
  <c r="AE2040" i="1"/>
  <c r="AD2040" i="1"/>
  <c r="AG2040" i="1"/>
  <c r="AC2040" i="1"/>
  <c r="AD2041" i="1"/>
  <c r="AG2041" i="1"/>
  <c r="AC2041" i="1"/>
  <c r="AF2041" i="1"/>
  <c r="AE2048" i="1"/>
  <c r="AD2048" i="1"/>
  <c r="AG2048" i="1"/>
  <c r="AC2048" i="1"/>
  <c r="AD2049" i="1"/>
  <c r="AG2049" i="1"/>
  <c r="AC2049" i="1"/>
  <c r="AF2049" i="1"/>
  <c r="M2051" i="1"/>
  <c r="R2051" i="1" s="1"/>
  <c r="AE2056" i="1"/>
  <c r="AD2056" i="1"/>
  <c r="AG2056" i="1"/>
  <c r="AC2056" i="1"/>
  <c r="AD2057" i="1"/>
  <c r="AG2057" i="1"/>
  <c r="AC2057" i="1"/>
  <c r="AF2057" i="1"/>
  <c r="M2059" i="1"/>
  <c r="R2059" i="1" s="1"/>
  <c r="AE2064" i="1"/>
  <c r="AD2064" i="1"/>
  <c r="AG2064" i="1"/>
  <c r="AC2064" i="1"/>
  <c r="AD2065" i="1"/>
  <c r="AG2065" i="1"/>
  <c r="AC2065" i="1"/>
  <c r="AF2065" i="1"/>
  <c r="M2067" i="1"/>
  <c r="R2067" i="1" s="1"/>
  <c r="AE2072" i="1"/>
  <c r="AD2072" i="1"/>
  <c r="AG2072" i="1"/>
  <c r="AC2072" i="1"/>
  <c r="AD2073" i="1"/>
  <c r="AG2073" i="1"/>
  <c r="AC2073" i="1"/>
  <c r="AF2073" i="1"/>
  <c r="M2075" i="1"/>
  <c r="R2075" i="1" s="1"/>
  <c r="AE2080" i="1"/>
  <c r="AD2080" i="1"/>
  <c r="AG2080" i="1"/>
  <c r="AC2080" i="1"/>
  <c r="AD2081" i="1"/>
  <c r="AG2081" i="1"/>
  <c r="AC2081" i="1"/>
  <c r="AF2081" i="1"/>
  <c r="M2083" i="1"/>
  <c r="R2083" i="1" s="1"/>
  <c r="AE2088" i="1"/>
  <c r="AD2088" i="1"/>
  <c r="AG2088" i="1"/>
  <c r="AC2088" i="1"/>
  <c r="AD2089" i="1"/>
  <c r="AG2089" i="1"/>
  <c r="AC2089" i="1"/>
  <c r="AF2089" i="1"/>
  <c r="M2091" i="1"/>
  <c r="R2091" i="1" s="1"/>
  <c r="AE2096" i="1"/>
  <c r="AD2096" i="1"/>
  <c r="AG2096" i="1"/>
  <c r="AC2096" i="1"/>
  <c r="AD2097" i="1"/>
  <c r="AG2097" i="1"/>
  <c r="AC2097" i="1"/>
  <c r="AF2097" i="1"/>
  <c r="M2099" i="1"/>
  <c r="R2099" i="1" s="1"/>
  <c r="AE2104" i="1"/>
  <c r="AD2104" i="1"/>
  <c r="AG2104" i="1"/>
  <c r="AC2104" i="1"/>
  <c r="AD2105" i="1"/>
  <c r="AG2105" i="1"/>
  <c r="AC2105" i="1"/>
  <c r="AF2105" i="1"/>
  <c r="M2107" i="1"/>
  <c r="R2107" i="1" s="1"/>
  <c r="AE2112" i="1"/>
  <c r="AD2112" i="1"/>
  <c r="AG2112" i="1"/>
  <c r="AC2112" i="1"/>
  <c r="AD2113" i="1"/>
  <c r="AG2113" i="1"/>
  <c r="AC2113" i="1"/>
  <c r="AF2113" i="1"/>
  <c r="M2115" i="1"/>
  <c r="R2115" i="1" s="1"/>
  <c r="AE2117" i="1"/>
  <c r="AE2120" i="1"/>
  <c r="AD2120" i="1"/>
  <c r="AG2120" i="1"/>
  <c r="AC2120" i="1"/>
  <c r="AD2121" i="1"/>
  <c r="AG2121" i="1"/>
  <c r="AC2121" i="1"/>
  <c r="AF2121" i="1"/>
  <c r="AD2122" i="1"/>
  <c r="AE2125" i="1"/>
  <c r="AE2128" i="1"/>
  <c r="AD2128" i="1"/>
  <c r="AG2128" i="1"/>
  <c r="AC2128" i="1"/>
  <c r="AD2129" i="1"/>
  <c r="AG2129" i="1"/>
  <c r="AC2129" i="1"/>
  <c r="AF2129" i="1"/>
  <c r="AD2130" i="1"/>
  <c r="AE2133" i="1"/>
  <c r="AE2136" i="1"/>
  <c r="AD2136" i="1"/>
  <c r="AG2136" i="1"/>
  <c r="AC2136" i="1"/>
  <c r="AD2137" i="1"/>
  <c r="AG2137" i="1"/>
  <c r="AC2137" i="1"/>
  <c r="AF2137" i="1"/>
  <c r="AD2138" i="1"/>
  <c r="AE2141" i="1"/>
  <c r="AE2144" i="1"/>
  <c r="AD2144" i="1"/>
  <c r="AG2144" i="1"/>
  <c r="AC2144" i="1"/>
  <c r="AD2145" i="1"/>
  <c r="AG2145" i="1"/>
  <c r="AC2145" i="1"/>
  <c r="AF2145" i="1"/>
  <c r="AD2146" i="1"/>
  <c r="AE2149" i="1"/>
  <c r="AE2152" i="1"/>
  <c r="AD2152" i="1"/>
  <c r="AG2152" i="1"/>
  <c r="AC2152" i="1"/>
  <c r="AD2153" i="1"/>
  <c r="AG2153" i="1"/>
  <c r="AC2153" i="1"/>
  <c r="AF2153" i="1"/>
  <c r="AE2157" i="1"/>
  <c r="AE2160" i="1"/>
  <c r="AD2160" i="1"/>
  <c r="AG2160" i="1"/>
  <c r="AC2160" i="1"/>
  <c r="AD2161" i="1"/>
  <c r="AG2161" i="1"/>
  <c r="AC2161" i="1"/>
  <c r="AF2161" i="1"/>
  <c r="AE2165" i="1"/>
  <c r="AE2168" i="1"/>
  <c r="AD2168" i="1"/>
  <c r="AG2168" i="1"/>
  <c r="AC2168" i="1"/>
  <c r="AD2169" i="1"/>
  <c r="AG2169" i="1"/>
  <c r="AC2169" i="1"/>
  <c r="AF2169" i="1"/>
  <c r="AE2173" i="1"/>
  <c r="AE2176" i="1"/>
  <c r="AD2176" i="1"/>
  <c r="AG2176" i="1"/>
  <c r="AC2176" i="1"/>
  <c r="AD2177" i="1"/>
  <c r="AG2177" i="1"/>
  <c r="AC2177" i="1"/>
  <c r="AF2177" i="1"/>
  <c r="AF2181" i="1"/>
  <c r="AD2363" i="1"/>
  <c r="AG2363" i="1"/>
  <c r="AE2363" i="1"/>
  <c r="AC2363" i="1"/>
  <c r="AF2363" i="1"/>
  <c r="AF2423" i="1"/>
  <c r="AG2457" i="1"/>
  <c r="AC2457" i="1"/>
  <c r="AF2457" i="1"/>
  <c r="AE2457" i="1"/>
  <c r="AD2457" i="1"/>
  <c r="AE2467" i="1"/>
  <c r="AD2467" i="1"/>
  <c r="AG2467" i="1"/>
  <c r="AC2467" i="1"/>
  <c r="AF2467" i="1"/>
  <c r="AE2507" i="1"/>
  <c r="AD2507" i="1"/>
  <c r="AG2507" i="1"/>
  <c r="AC2507" i="1"/>
  <c r="AF2507" i="1"/>
  <c r="AG2553" i="1"/>
  <c r="AC2553" i="1"/>
  <c r="AF2553" i="1"/>
  <c r="AE2553" i="1"/>
  <c r="AD2553" i="1"/>
  <c r="AD2561" i="1"/>
  <c r="AE2042" i="1"/>
  <c r="AE2046" i="1"/>
  <c r="AE2050" i="1"/>
  <c r="AE2054" i="1"/>
  <c r="AE2058" i="1"/>
  <c r="AE2062" i="1"/>
  <c r="AE2066" i="1"/>
  <c r="AE2070" i="1"/>
  <c r="AE2074" i="1"/>
  <c r="AE2078" i="1"/>
  <c r="AE2082" i="1"/>
  <c r="AE2086" i="1"/>
  <c r="AE2090" i="1"/>
  <c r="AE2094" i="1"/>
  <c r="AE2098" i="1"/>
  <c r="AE2102" i="1"/>
  <c r="AE2106" i="1"/>
  <c r="AE2110" i="1"/>
  <c r="AE2114" i="1"/>
  <c r="AE2118" i="1"/>
  <c r="AE2122" i="1"/>
  <c r="AE2126" i="1"/>
  <c r="AE2130" i="1"/>
  <c r="AE2134" i="1"/>
  <c r="AE2138" i="1"/>
  <c r="AE2142" i="1"/>
  <c r="AE2146" i="1"/>
  <c r="AE2150" i="1"/>
  <c r="AE2154" i="1"/>
  <c r="AE2158" i="1"/>
  <c r="AE2162" i="1"/>
  <c r="AE2166" i="1"/>
  <c r="AE2170" i="1"/>
  <c r="AE2174" i="1"/>
  <c r="AE2178" i="1"/>
  <c r="AG2184" i="1"/>
  <c r="AC2184" i="1"/>
  <c r="AE2184" i="1"/>
  <c r="AF2188" i="1"/>
  <c r="M2189" i="1"/>
  <c r="R2189" i="1" s="1"/>
  <c r="AG2192" i="1"/>
  <c r="AC2192" i="1"/>
  <c r="AE2192" i="1"/>
  <c r="AD2195" i="1"/>
  <c r="AF2195" i="1"/>
  <c r="AE2195" i="1"/>
  <c r="AF2196" i="1"/>
  <c r="AG2200" i="1"/>
  <c r="AC2200" i="1"/>
  <c r="AE2200" i="1"/>
  <c r="AE2202" i="1"/>
  <c r="AD2202" i="1"/>
  <c r="AG2202" i="1"/>
  <c r="AC2202" i="1"/>
  <c r="AD2203" i="1"/>
  <c r="AG2203" i="1"/>
  <c r="AC2203" i="1"/>
  <c r="AF2203" i="1"/>
  <c r="M2205" i="1"/>
  <c r="R2205" i="1" s="1"/>
  <c r="AE2210" i="1"/>
  <c r="AD2210" i="1"/>
  <c r="AG2210" i="1"/>
  <c r="AC2210" i="1"/>
  <c r="AD2211" i="1"/>
  <c r="AG2211" i="1"/>
  <c r="AC2211" i="1"/>
  <c r="AF2211" i="1"/>
  <c r="AE2218" i="1"/>
  <c r="AD2218" i="1"/>
  <c r="AG2218" i="1"/>
  <c r="AC2218" i="1"/>
  <c r="AD2219" i="1"/>
  <c r="AG2219" i="1"/>
  <c r="AC2219" i="1"/>
  <c r="AF2219" i="1"/>
  <c r="M2221" i="1"/>
  <c r="R2221" i="1" s="1"/>
  <c r="AE2226" i="1"/>
  <c r="AD2226" i="1"/>
  <c r="AG2226" i="1"/>
  <c r="AC2226" i="1"/>
  <c r="AD2227" i="1"/>
  <c r="AG2227" i="1"/>
  <c r="AC2227" i="1"/>
  <c r="AF2227" i="1"/>
  <c r="M2229" i="1"/>
  <c r="R2229" i="1" s="1"/>
  <c r="AE2234" i="1"/>
  <c r="AD2234" i="1"/>
  <c r="AG2234" i="1"/>
  <c r="AC2234" i="1"/>
  <c r="AD2235" i="1"/>
  <c r="AG2235" i="1"/>
  <c r="AC2235" i="1"/>
  <c r="AF2235" i="1"/>
  <c r="M2237" i="1"/>
  <c r="R2237" i="1" s="1"/>
  <c r="AE2242" i="1"/>
  <c r="AD2242" i="1"/>
  <c r="AG2242" i="1"/>
  <c r="AC2242" i="1"/>
  <c r="AD2243" i="1"/>
  <c r="AG2243" i="1"/>
  <c r="AC2243" i="1"/>
  <c r="AF2243" i="1"/>
  <c r="M2245" i="1"/>
  <c r="R2245" i="1" s="1"/>
  <c r="AE2250" i="1"/>
  <c r="AD2250" i="1"/>
  <c r="AG2250" i="1"/>
  <c r="AC2250" i="1"/>
  <c r="AD2251" i="1"/>
  <c r="AG2251" i="1"/>
  <c r="AC2251" i="1"/>
  <c r="AF2251" i="1"/>
  <c r="M2253" i="1"/>
  <c r="R2253" i="1" s="1"/>
  <c r="AE2258" i="1"/>
  <c r="AD2258" i="1"/>
  <c r="AG2258" i="1"/>
  <c r="AC2258" i="1"/>
  <c r="AD2259" i="1"/>
  <c r="AG2259" i="1"/>
  <c r="AC2259" i="1"/>
  <c r="AF2259" i="1"/>
  <c r="M2261" i="1"/>
  <c r="R2261" i="1" s="1"/>
  <c r="AE2266" i="1"/>
  <c r="AD2266" i="1"/>
  <c r="AG2266" i="1"/>
  <c r="AC2266" i="1"/>
  <c r="AD2267" i="1"/>
  <c r="AG2267" i="1"/>
  <c r="AC2267" i="1"/>
  <c r="AF2267" i="1"/>
  <c r="AE2274" i="1"/>
  <c r="AD2274" i="1"/>
  <c r="AG2274" i="1"/>
  <c r="AC2274" i="1"/>
  <c r="AD2275" i="1"/>
  <c r="AG2275" i="1"/>
  <c r="AC2275" i="1"/>
  <c r="AF2275" i="1"/>
  <c r="M2277" i="1"/>
  <c r="R2277" i="1" s="1"/>
  <c r="AE2282" i="1"/>
  <c r="AD2282" i="1"/>
  <c r="AG2282" i="1"/>
  <c r="AC2282" i="1"/>
  <c r="AD2283" i="1"/>
  <c r="AG2283" i="1"/>
  <c r="AC2283" i="1"/>
  <c r="AF2283" i="1"/>
  <c r="M2285" i="1"/>
  <c r="R2285" i="1" s="1"/>
  <c r="AE2290" i="1"/>
  <c r="AD2290" i="1"/>
  <c r="AG2290" i="1"/>
  <c r="AC2290" i="1"/>
  <c r="AD2291" i="1"/>
  <c r="AG2291" i="1"/>
  <c r="AC2291" i="1"/>
  <c r="AF2291" i="1"/>
  <c r="M2293" i="1"/>
  <c r="R2293" i="1" s="1"/>
  <c r="AE2298" i="1"/>
  <c r="AD2298" i="1"/>
  <c r="AG2298" i="1"/>
  <c r="AC2298" i="1"/>
  <c r="AD2299" i="1"/>
  <c r="AG2299" i="1"/>
  <c r="AC2299" i="1"/>
  <c r="AF2299" i="1"/>
  <c r="M2301" i="1"/>
  <c r="R2301" i="1" s="1"/>
  <c r="AE2306" i="1"/>
  <c r="AD2306" i="1"/>
  <c r="AG2306" i="1"/>
  <c r="AC2306" i="1"/>
  <c r="AD2307" i="1"/>
  <c r="AG2307" i="1"/>
  <c r="AC2307" i="1"/>
  <c r="AF2307" i="1"/>
  <c r="M2309" i="1"/>
  <c r="R2309" i="1" s="1"/>
  <c r="AE2314" i="1"/>
  <c r="AD2314" i="1"/>
  <c r="AG2314" i="1"/>
  <c r="AC2314" i="1"/>
  <c r="AD2315" i="1"/>
  <c r="AG2315" i="1"/>
  <c r="AC2315" i="1"/>
  <c r="AF2315" i="1"/>
  <c r="M2317" i="1"/>
  <c r="R2317" i="1" s="1"/>
  <c r="AE2322" i="1"/>
  <c r="AD2322" i="1"/>
  <c r="AG2322" i="1"/>
  <c r="AC2322" i="1"/>
  <c r="AD2323" i="1"/>
  <c r="AG2323" i="1"/>
  <c r="AC2323" i="1"/>
  <c r="AF2323" i="1"/>
  <c r="M2325" i="1"/>
  <c r="R2325" i="1" s="1"/>
  <c r="AE2330" i="1"/>
  <c r="AD2330" i="1"/>
  <c r="AG2330" i="1"/>
  <c r="AC2330" i="1"/>
  <c r="AD2331" i="1"/>
  <c r="AG2331" i="1"/>
  <c r="AC2331" i="1"/>
  <c r="AF2331" i="1"/>
  <c r="M2333" i="1"/>
  <c r="R2333" i="1" s="1"/>
  <c r="AE2338" i="1"/>
  <c r="AD2338" i="1"/>
  <c r="AG2338" i="1"/>
  <c r="AC2338" i="1"/>
  <c r="AD2339" i="1"/>
  <c r="AG2339" i="1"/>
  <c r="AC2339" i="1"/>
  <c r="AF2339" i="1"/>
  <c r="M2341" i="1"/>
  <c r="R2341" i="1" s="1"/>
  <c r="AE2346" i="1"/>
  <c r="AD2346" i="1"/>
  <c r="AG2346" i="1"/>
  <c r="AC2346" i="1"/>
  <c r="AD2347" i="1"/>
  <c r="AG2347" i="1"/>
  <c r="AC2347" i="1"/>
  <c r="AF2347" i="1"/>
  <c r="M2349" i="1"/>
  <c r="R2349" i="1" s="1"/>
  <c r="AE2354" i="1"/>
  <c r="AD2354" i="1"/>
  <c r="AG2354" i="1"/>
  <c r="AC2354" i="1"/>
  <c r="AD2355" i="1"/>
  <c r="AG2355" i="1"/>
  <c r="AC2355" i="1"/>
  <c r="AF2355" i="1"/>
  <c r="M2357" i="1"/>
  <c r="R2357" i="1" s="1"/>
  <c r="AD2367" i="1"/>
  <c r="AG2367" i="1"/>
  <c r="AC2367" i="1"/>
  <c r="AF2367" i="1"/>
  <c r="AE2367" i="1"/>
  <c r="Y2381" i="1"/>
  <c r="M2381" i="1"/>
  <c r="R2381" i="1" s="1"/>
  <c r="AG2385" i="1"/>
  <c r="AG2394" i="1"/>
  <c r="AG2410" i="1"/>
  <c r="AG2426" i="1"/>
  <c r="AG2441" i="1"/>
  <c r="AC2441" i="1"/>
  <c r="AF2441" i="1"/>
  <c r="AE2441" i="1"/>
  <c r="AD2441" i="1"/>
  <c r="AD2448" i="1"/>
  <c r="AG2448" i="1"/>
  <c r="AC2448" i="1"/>
  <c r="AF2448" i="1"/>
  <c r="AG2474" i="1"/>
  <c r="AD2480" i="1"/>
  <c r="AG2480" i="1"/>
  <c r="AC2480" i="1"/>
  <c r="AF2480" i="1"/>
  <c r="AE2491" i="1"/>
  <c r="AD2491" i="1"/>
  <c r="AG2491" i="1"/>
  <c r="AC2491" i="1"/>
  <c r="AF2491" i="1"/>
  <c r="AE2515" i="1"/>
  <c r="AD2515" i="1"/>
  <c r="AG2515" i="1"/>
  <c r="AC2515" i="1"/>
  <c r="AF2515" i="1"/>
  <c r="AD2525" i="1"/>
  <c r="AD2540" i="1"/>
  <c r="AG2540" i="1"/>
  <c r="AC2540" i="1"/>
  <c r="AF2540" i="1"/>
  <c r="AD2548" i="1"/>
  <c r="AG2548" i="1"/>
  <c r="AC2548" i="1"/>
  <c r="AF2548" i="1"/>
  <c r="AD2560" i="1"/>
  <c r="AG2560" i="1"/>
  <c r="AC2560" i="1"/>
  <c r="AF2560" i="1"/>
  <c r="AD2571" i="1"/>
  <c r="AG2571" i="1"/>
  <c r="AC2571" i="1"/>
  <c r="AE2571" i="1"/>
  <c r="AF2571" i="1"/>
  <c r="AF2585" i="1"/>
  <c r="AE2585" i="1"/>
  <c r="AG2585" i="1"/>
  <c r="AD2585" i="1"/>
  <c r="AC2585" i="1"/>
  <c r="AE2596" i="1"/>
  <c r="AG2616" i="1"/>
  <c r="AC2616" i="1"/>
  <c r="AF2616" i="1"/>
  <c r="AE2616" i="1"/>
  <c r="AD2616" i="1"/>
  <c r="AG2689" i="1"/>
  <c r="AF2042" i="1"/>
  <c r="AF2046" i="1"/>
  <c r="AF2050" i="1"/>
  <c r="AF2054" i="1"/>
  <c r="AF2058" i="1"/>
  <c r="AF2062" i="1"/>
  <c r="AF2066" i="1"/>
  <c r="AF2070" i="1"/>
  <c r="AF2074" i="1"/>
  <c r="AF2078" i="1"/>
  <c r="AF2082" i="1"/>
  <c r="AF2086" i="1"/>
  <c r="AF2090" i="1"/>
  <c r="AF2094" i="1"/>
  <c r="AF2098" i="1"/>
  <c r="AF2102" i="1"/>
  <c r="AF2106" i="1"/>
  <c r="AF2110" i="1"/>
  <c r="AF2114" i="1"/>
  <c r="AF2118" i="1"/>
  <c r="AF2122" i="1"/>
  <c r="AF2126" i="1"/>
  <c r="AF2130" i="1"/>
  <c r="AF2134" i="1"/>
  <c r="AF2138" i="1"/>
  <c r="AF2142" i="1"/>
  <c r="AF2146" i="1"/>
  <c r="AF2150" i="1"/>
  <c r="AF2154" i="1"/>
  <c r="AF2158" i="1"/>
  <c r="AF2162" i="1"/>
  <c r="AF2166" i="1"/>
  <c r="AF2170" i="1"/>
  <c r="AF2174" i="1"/>
  <c r="AF2178" i="1"/>
  <c r="AE2182" i="1"/>
  <c r="AG2182" i="1"/>
  <c r="AC2182" i="1"/>
  <c r="AF2185" i="1"/>
  <c r="AD2185" i="1"/>
  <c r="AE2185" i="1"/>
  <c r="AE2190" i="1"/>
  <c r="AG2190" i="1"/>
  <c r="AC2190" i="1"/>
  <c r="AF2193" i="1"/>
  <c r="AD2193" i="1"/>
  <c r="AE2193" i="1"/>
  <c r="Y2197" i="1"/>
  <c r="M2197" i="1"/>
  <c r="R2197" i="1" s="1"/>
  <c r="AE2198" i="1"/>
  <c r="AG2198" i="1"/>
  <c r="AC2198" i="1"/>
  <c r="AF2201" i="1"/>
  <c r="AE2201" i="1"/>
  <c r="AD2201" i="1"/>
  <c r="AF2209" i="1"/>
  <c r="AE2209" i="1"/>
  <c r="AD2209" i="1"/>
  <c r="Y2213" i="1"/>
  <c r="M2213" i="1"/>
  <c r="R2213" i="1" s="1"/>
  <c r="AF2217" i="1"/>
  <c r="AE2217" i="1"/>
  <c r="AD2217" i="1"/>
  <c r="AF2225" i="1"/>
  <c r="AE2225" i="1"/>
  <c r="AD2225" i="1"/>
  <c r="AF2233" i="1"/>
  <c r="AE2233" i="1"/>
  <c r="AD2233" i="1"/>
  <c r="AF2241" i="1"/>
  <c r="AE2241" i="1"/>
  <c r="AD2241" i="1"/>
  <c r="AF2249" i="1"/>
  <c r="AE2249" i="1"/>
  <c r="AD2249" i="1"/>
  <c r="AF2257" i="1"/>
  <c r="AE2257" i="1"/>
  <c r="AD2257" i="1"/>
  <c r="Y2269" i="1"/>
  <c r="M2269" i="1"/>
  <c r="R2269" i="1" s="1"/>
  <c r="AF2289" i="1"/>
  <c r="AE2289" i="1"/>
  <c r="AD2289" i="1"/>
  <c r="AF2297" i="1"/>
  <c r="AE2297" i="1"/>
  <c r="AD2297" i="1"/>
  <c r="AF2305" i="1"/>
  <c r="AE2305" i="1"/>
  <c r="AD2305" i="1"/>
  <c r="AF2313" i="1"/>
  <c r="AE2313" i="1"/>
  <c r="AD2313" i="1"/>
  <c r="AF2321" i="1"/>
  <c r="AE2321" i="1"/>
  <c r="AD2321" i="1"/>
  <c r="AF2329" i="1"/>
  <c r="AE2329" i="1"/>
  <c r="AD2329" i="1"/>
  <c r="AF2337" i="1"/>
  <c r="AE2337" i="1"/>
  <c r="AD2337" i="1"/>
  <c r="AF2345" i="1"/>
  <c r="AE2345" i="1"/>
  <c r="AD2345" i="1"/>
  <c r="AF2353" i="1"/>
  <c r="AE2353" i="1"/>
  <c r="AD2353" i="1"/>
  <c r="AF2361" i="1"/>
  <c r="AE2361" i="1"/>
  <c r="AD2361" i="1"/>
  <c r="AC2361" i="1"/>
  <c r="AG2372" i="1"/>
  <c r="AC2372" i="1"/>
  <c r="AF2372" i="1"/>
  <c r="AE2372" i="1"/>
  <c r="AD2385" i="1"/>
  <c r="AE2386" i="1"/>
  <c r="AD2386" i="1"/>
  <c r="AG2386" i="1"/>
  <c r="AF2386" i="1"/>
  <c r="AC2386" i="1"/>
  <c r="AD2387" i="1"/>
  <c r="AG2387" i="1"/>
  <c r="AC2387" i="1"/>
  <c r="AF2387" i="1"/>
  <c r="AE2387" i="1"/>
  <c r="AF2389" i="1"/>
  <c r="AE2389" i="1"/>
  <c r="AG2389" i="1"/>
  <c r="AD2389" i="1"/>
  <c r="AD2400" i="1"/>
  <c r="AG2400" i="1"/>
  <c r="AC2400" i="1"/>
  <c r="AF2400" i="1"/>
  <c r="AG2409" i="1"/>
  <c r="AC2409" i="1"/>
  <c r="AF2409" i="1"/>
  <c r="AE2409" i="1"/>
  <c r="AD2409" i="1"/>
  <c r="AD2416" i="1"/>
  <c r="AG2416" i="1"/>
  <c r="AC2416" i="1"/>
  <c r="AF2416" i="1"/>
  <c r="AG2425" i="1"/>
  <c r="AC2425" i="1"/>
  <c r="AF2425" i="1"/>
  <c r="AE2425" i="1"/>
  <c r="AD2425" i="1"/>
  <c r="AD2432" i="1"/>
  <c r="AG2432" i="1"/>
  <c r="AC2432" i="1"/>
  <c r="AF2432" i="1"/>
  <c r="AD2449" i="1"/>
  <c r="AE2451" i="1"/>
  <c r="AD2451" i="1"/>
  <c r="AG2451" i="1"/>
  <c r="AC2451" i="1"/>
  <c r="AF2451" i="1"/>
  <c r="AF2455" i="1"/>
  <c r="AG2473" i="1"/>
  <c r="AC2473" i="1"/>
  <c r="AF2473" i="1"/>
  <c r="AE2473" i="1"/>
  <c r="AD2473" i="1"/>
  <c r="AD2481" i="1"/>
  <c r="AE2483" i="1"/>
  <c r="AD2483" i="1"/>
  <c r="AG2483" i="1"/>
  <c r="AC2483" i="1"/>
  <c r="AF2483" i="1"/>
  <c r="AD2524" i="1"/>
  <c r="AG2524" i="1"/>
  <c r="AC2524" i="1"/>
  <c r="AF2524" i="1"/>
  <c r="AD2549" i="1"/>
  <c r="AF2551" i="1"/>
  <c r="AD2568" i="1"/>
  <c r="AG2592" i="1"/>
  <c r="AC2592" i="1"/>
  <c r="AF2592" i="1"/>
  <c r="AE2592" i="1"/>
  <c r="AD2592" i="1"/>
  <c r="AE2604" i="1"/>
  <c r="AG2620" i="1"/>
  <c r="AC2620" i="1"/>
  <c r="AE2620" i="1"/>
  <c r="AD2620" i="1"/>
  <c r="AF2620" i="1"/>
  <c r="Y2622" i="1"/>
  <c r="M2622" i="1"/>
  <c r="R2622" i="1" s="1"/>
  <c r="AC2042" i="1"/>
  <c r="AC2046" i="1"/>
  <c r="AC2050" i="1"/>
  <c r="AC2054" i="1"/>
  <c r="AC2058" i="1"/>
  <c r="AC2062" i="1"/>
  <c r="M2065" i="1"/>
  <c r="R2065" i="1" s="1"/>
  <c r="AC2066" i="1"/>
  <c r="AC2070" i="1"/>
  <c r="AC2074" i="1"/>
  <c r="AC2078" i="1"/>
  <c r="AC2082" i="1"/>
  <c r="AC2086" i="1"/>
  <c r="AC2090" i="1"/>
  <c r="AC2094" i="1"/>
  <c r="M2097" i="1"/>
  <c r="R2097" i="1" s="1"/>
  <c r="AC2098" i="1"/>
  <c r="AC2102" i="1"/>
  <c r="AC2106" i="1"/>
  <c r="AC2110" i="1"/>
  <c r="M2113" i="1"/>
  <c r="R2113" i="1" s="1"/>
  <c r="AC2114" i="1"/>
  <c r="AC2118" i="1"/>
  <c r="AC2122" i="1"/>
  <c r="AC2126" i="1"/>
  <c r="AC2130" i="1"/>
  <c r="AC2134" i="1"/>
  <c r="AC2138" i="1"/>
  <c r="AC2142" i="1"/>
  <c r="AC2146" i="1"/>
  <c r="AC2150" i="1"/>
  <c r="AC2154" i="1"/>
  <c r="AC2158" i="1"/>
  <c r="AC2162" i="1"/>
  <c r="AC2166" i="1"/>
  <c r="AC2170" i="1"/>
  <c r="AC2174" i="1"/>
  <c r="AC2178" i="1"/>
  <c r="AD2182" i="1"/>
  <c r="AD2183" i="1"/>
  <c r="AF2183" i="1"/>
  <c r="AE2183" i="1"/>
  <c r="AF2184" i="1"/>
  <c r="M2185" i="1"/>
  <c r="R2185" i="1" s="1"/>
  <c r="AG2185" i="1"/>
  <c r="Y2187" i="1"/>
  <c r="M2187" i="1"/>
  <c r="R2187" i="1" s="1"/>
  <c r="AG2188" i="1"/>
  <c r="AC2188" i="1"/>
  <c r="AE2188" i="1"/>
  <c r="AD2190" i="1"/>
  <c r="AD2191" i="1"/>
  <c r="AF2191" i="1"/>
  <c r="AE2191" i="1"/>
  <c r="AF2192" i="1"/>
  <c r="M2193" i="1"/>
  <c r="R2193" i="1" s="1"/>
  <c r="AG2193" i="1"/>
  <c r="AG2196" i="1"/>
  <c r="AC2196" i="1"/>
  <c r="AE2196" i="1"/>
  <c r="AD2198" i="1"/>
  <c r="AD2199" i="1"/>
  <c r="AF2199" i="1"/>
  <c r="AE2199" i="1"/>
  <c r="AF2200" i="1"/>
  <c r="M2201" i="1"/>
  <c r="R2201" i="1" s="1"/>
  <c r="AE2203" i="1"/>
  <c r="AE2206" i="1"/>
  <c r="AD2206" i="1"/>
  <c r="AG2206" i="1"/>
  <c r="AC2206" i="1"/>
  <c r="AD2207" i="1"/>
  <c r="AG2207" i="1"/>
  <c r="AC2207" i="1"/>
  <c r="AF2207" i="1"/>
  <c r="AD2208" i="1"/>
  <c r="M2209" i="1"/>
  <c r="R2209" i="1" s="1"/>
  <c r="AE2211" i="1"/>
  <c r="AE2214" i="1"/>
  <c r="AD2214" i="1"/>
  <c r="AG2214" i="1"/>
  <c r="AC2214" i="1"/>
  <c r="AD2215" i="1"/>
  <c r="AG2215" i="1"/>
  <c r="AC2215" i="1"/>
  <c r="AF2215" i="1"/>
  <c r="AD2216" i="1"/>
  <c r="M2217" i="1"/>
  <c r="R2217" i="1" s="1"/>
  <c r="AE2219" i="1"/>
  <c r="AE2222" i="1"/>
  <c r="AD2222" i="1"/>
  <c r="AG2222" i="1"/>
  <c r="AC2222" i="1"/>
  <c r="AD2223" i="1"/>
  <c r="AG2223" i="1"/>
  <c r="AC2223" i="1"/>
  <c r="AF2223" i="1"/>
  <c r="AD2224" i="1"/>
  <c r="M2225" i="1"/>
  <c r="R2225" i="1" s="1"/>
  <c r="AE2227" i="1"/>
  <c r="AE2230" i="1"/>
  <c r="AD2230" i="1"/>
  <c r="AG2230" i="1"/>
  <c r="AC2230" i="1"/>
  <c r="AD2231" i="1"/>
  <c r="AG2231" i="1"/>
  <c r="AC2231" i="1"/>
  <c r="AF2231" i="1"/>
  <c r="AD2232" i="1"/>
  <c r="M2233" i="1"/>
  <c r="R2233" i="1" s="1"/>
  <c r="AE2235" i="1"/>
  <c r="AE2238" i="1"/>
  <c r="AD2238" i="1"/>
  <c r="AG2238" i="1"/>
  <c r="AC2238" i="1"/>
  <c r="AD2239" i="1"/>
  <c r="AG2239" i="1"/>
  <c r="AC2239" i="1"/>
  <c r="AF2239" i="1"/>
  <c r="AD2240" i="1"/>
  <c r="M2241" i="1"/>
  <c r="R2241" i="1" s="1"/>
  <c r="AE2243" i="1"/>
  <c r="AE2246" i="1"/>
  <c r="AD2246" i="1"/>
  <c r="AG2246" i="1"/>
  <c r="AC2246" i="1"/>
  <c r="AD2247" i="1"/>
  <c r="AG2247" i="1"/>
  <c r="AC2247" i="1"/>
  <c r="AF2247" i="1"/>
  <c r="AD2248" i="1"/>
  <c r="M2249" i="1"/>
  <c r="R2249" i="1" s="1"/>
  <c r="AE2251" i="1"/>
  <c r="AE2254" i="1"/>
  <c r="AD2254" i="1"/>
  <c r="AG2254" i="1"/>
  <c r="AC2254" i="1"/>
  <c r="AD2255" i="1"/>
  <c r="AG2255" i="1"/>
  <c r="AC2255" i="1"/>
  <c r="AF2255" i="1"/>
  <c r="AD2256" i="1"/>
  <c r="M2257" i="1"/>
  <c r="R2257" i="1" s="1"/>
  <c r="AE2259" i="1"/>
  <c r="AE2262" i="1"/>
  <c r="AD2262" i="1"/>
  <c r="AG2262" i="1"/>
  <c r="AC2262" i="1"/>
  <c r="AD2263" i="1"/>
  <c r="AG2263" i="1"/>
  <c r="AC2263" i="1"/>
  <c r="AF2263" i="1"/>
  <c r="AD2264" i="1"/>
  <c r="AE2267" i="1"/>
  <c r="AE2270" i="1"/>
  <c r="AD2270" i="1"/>
  <c r="AG2270" i="1"/>
  <c r="AC2270" i="1"/>
  <c r="AD2271" i="1"/>
  <c r="AG2271" i="1"/>
  <c r="AC2271" i="1"/>
  <c r="AF2271" i="1"/>
  <c r="AD2272" i="1"/>
  <c r="AE2275" i="1"/>
  <c r="AE2278" i="1"/>
  <c r="AD2278" i="1"/>
  <c r="AG2278" i="1"/>
  <c r="AC2278" i="1"/>
  <c r="AD2279" i="1"/>
  <c r="AG2279" i="1"/>
  <c r="AC2279" i="1"/>
  <c r="AF2279" i="1"/>
  <c r="AD2280" i="1"/>
  <c r="AE2283" i="1"/>
  <c r="AE2286" i="1"/>
  <c r="AD2286" i="1"/>
  <c r="AG2286" i="1"/>
  <c r="AC2286" i="1"/>
  <c r="AD2287" i="1"/>
  <c r="AG2287" i="1"/>
  <c r="AC2287" i="1"/>
  <c r="AF2287" i="1"/>
  <c r="AD2288" i="1"/>
  <c r="M2289" i="1"/>
  <c r="R2289" i="1" s="1"/>
  <c r="AE2291" i="1"/>
  <c r="AE2294" i="1"/>
  <c r="AD2294" i="1"/>
  <c r="AG2294" i="1"/>
  <c r="AC2294" i="1"/>
  <c r="AD2295" i="1"/>
  <c r="AG2295" i="1"/>
  <c r="AC2295" i="1"/>
  <c r="AF2295" i="1"/>
  <c r="AD2296" i="1"/>
  <c r="M2297" i="1"/>
  <c r="R2297" i="1" s="1"/>
  <c r="AE2299" i="1"/>
  <c r="AE2302" i="1"/>
  <c r="AD2302" i="1"/>
  <c r="AG2302" i="1"/>
  <c r="AC2302" i="1"/>
  <c r="AD2303" i="1"/>
  <c r="AG2303" i="1"/>
  <c r="AC2303" i="1"/>
  <c r="AF2303" i="1"/>
  <c r="AD2304" i="1"/>
  <c r="M2305" i="1"/>
  <c r="R2305" i="1" s="1"/>
  <c r="AE2307" i="1"/>
  <c r="AE2310" i="1"/>
  <c r="AD2310" i="1"/>
  <c r="AG2310" i="1"/>
  <c r="AC2310" i="1"/>
  <c r="AD2311" i="1"/>
  <c r="AG2311" i="1"/>
  <c r="AC2311" i="1"/>
  <c r="AF2311" i="1"/>
  <c r="AD2312" i="1"/>
  <c r="M2313" i="1"/>
  <c r="R2313" i="1" s="1"/>
  <c r="AE2315" i="1"/>
  <c r="AE2318" i="1"/>
  <c r="AD2318" i="1"/>
  <c r="AG2318" i="1"/>
  <c r="AC2318" i="1"/>
  <c r="AD2319" i="1"/>
  <c r="AG2319" i="1"/>
  <c r="AC2319" i="1"/>
  <c r="AF2319" i="1"/>
  <c r="AD2320" i="1"/>
  <c r="M2321" i="1"/>
  <c r="R2321" i="1" s="1"/>
  <c r="AE2323" i="1"/>
  <c r="AE2326" i="1"/>
  <c r="AD2326" i="1"/>
  <c r="AG2326" i="1"/>
  <c r="AC2326" i="1"/>
  <c r="AD2327" i="1"/>
  <c r="AG2327" i="1"/>
  <c r="AC2327" i="1"/>
  <c r="AF2327" i="1"/>
  <c r="AD2328" i="1"/>
  <c r="M2329" i="1"/>
  <c r="R2329" i="1" s="1"/>
  <c r="AE2331" i="1"/>
  <c r="AE2334" i="1"/>
  <c r="AD2334" i="1"/>
  <c r="AG2334" i="1"/>
  <c r="AC2334" i="1"/>
  <c r="AD2335" i="1"/>
  <c r="AG2335" i="1"/>
  <c r="AC2335" i="1"/>
  <c r="AF2335" i="1"/>
  <c r="AD2336" i="1"/>
  <c r="M2337" i="1"/>
  <c r="R2337" i="1" s="1"/>
  <c r="AE2339" i="1"/>
  <c r="AE2342" i="1"/>
  <c r="AD2342" i="1"/>
  <c r="AG2342" i="1"/>
  <c r="AC2342" i="1"/>
  <c r="AD2343" i="1"/>
  <c r="AG2343" i="1"/>
  <c r="AC2343" i="1"/>
  <c r="AF2343" i="1"/>
  <c r="AD2344" i="1"/>
  <c r="M2345" i="1"/>
  <c r="R2345" i="1" s="1"/>
  <c r="AE2347" i="1"/>
  <c r="AE2350" i="1"/>
  <c r="AD2350" i="1"/>
  <c r="AG2350" i="1"/>
  <c r="AC2350" i="1"/>
  <c r="AD2351" i="1"/>
  <c r="AG2351" i="1"/>
  <c r="AC2351" i="1"/>
  <c r="AF2351" i="1"/>
  <c r="AD2352" i="1"/>
  <c r="M2353" i="1"/>
  <c r="R2353" i="1" s="1"/>
  <c r="AE2355" i="1"/>
  <c r="AE2358" i="1"/>
  <c r="AD2358" i="1"/>
  <c r="AG2358" i="1"/>
  <c r="AC2358" i="1"/>
  <c r="AD2359" i="1"/>
  <c r="AG2359" i="1"/>
  <c r="AC2359" i="1"/>
  <c r="AF2359" i="1"/>
  <c r="AE2360" i="1"/>
  <c r="Y2365" i="1"/>
  <c r="AD2365" i="1" s="1"/>
  <c r="M2365" i="1"/>
  <c r="R2365" i="1" s="1"/>
  <c r="AG2369" i="1"/>
  <c r="AD2379" i="1"/>
  <c r="AG2379" i="1"/>
  <c r="AC2379" i="1"/>
  <c r="AE2379" i="1"/>
  <c r="AD2383" i="1"/>
  <c r="AG2383" i="1"/>
  <c r="AC2383" i="1"/>
  <c r="AF2383" i="1"/>
  <c r="AE2383" i="1"/>
  <c r="AC2389" i="1"/>
  <c r="AD2401" i="1"/>
  <c r="AE2403" i="1"/>
  <c r="AD2403" i="1"/>
  <c r="AG2403" i="1"/>
  <c r="AC2403" i="1"/>
  <c r="AF2403" i="1"/>
  <c r="AD2417" i="1"/>
  <c r="AE2419" i="1"/>
  <c r="AD2419" i="1"/>
  <c r="AG2419" i="1"/>
  <c r="AC2419" i="1"/>
  <c r="AF2419" i="1"/>
  <c r="AD2433" i="1"/>
  <c r="AE2435" i="1"/>
  <c r="AD2435" i="1"/>
  <c r="AG2435" i="1"/>
  <c r="AC2435" i="1"/>
  <c r="AF2435" i="1"/>
  <c r="AF2439" i="1"/>
  <c r="AF2442" i="1"/>
  <c r="AD2464" i="1"/>
  <c r="AG2464" i="1"/>
  <c r="AC2464" i="1"/>
  <c r="AF2464" i="1"/>
  <c r="AF2526" i="1"/>
  <c r="AE2535" i="1"/>
  <c r="AD2535" i="1"/>
  <c r="AG2535" i="1"/>
  <c r="AC2535" i="1"/>
  <c r="AF2535" i="1"/>
  <c r="AG2542" i="1"/>
  <c r="AG2554" i="1"/>
  <c r="AG2562" i="1"/>
  <c r="AF2590" i="1"/>
  <c r="AG2590" i="1"/>
  <c r="AG2600" i="1"/>
  <c r="AC2600" i="1"/>
  <c r="AF2600" i="1"/>
  <c r="AE2600" i="1"/>
  <c r="AD2600" i="1"/>
  <c r="AE2612" i="1"/>
  <c r="AG2632" i="1"/>
  <c r="AC2632" i="1"/>
  <c r="AF2632" i="1"/>
  <c r="AE2632" i="1"/>
  <c r="AD2632" i="1"/>
  <c r="AG2634" i="1"/>
  <c r="AG2672" i="1"/>
  <c r="AC2672" i="1"/>
  <c r="AD2672" i="1"/>
  <c r="AF2672" i="1"/>
  <c r="AE2672" i="1"/>
  <c r="AE2204" i="1"/>
  <c r="AE2208" i="1"/>
  <c r="AE2212" i="1"/>
  <c r="AE2216" i="1"/>
  <c r="AE2220" i="1"/>
  <c r="AE2224" i="1"/>
  <c r="AE2228" i="1"/>
  <c r="AE2232" i="1"/>
  <c r="AE2236" i="1"/>
  <c r="AE2240" i="1"/>
  <c r="AE2244" i="1"/>
  <c r="AE2248" i="1"/>
  <c r="AE2252" i="1"/>
  <c r="AE2256" i="1"/>
  <c r="AE2260" i="1"/>
  <c r="AE2264" i="1"/>
  <c r="AE2268" i="1"/>
  <c r="AE2272" i="1"/>
  <c r="AE2276" i="1"/>
  <c r="AE2280" i="1"/>
  <c r="AE2284" i="1"/>
  <c r="AE2288" i="1"/>
  <c r="AE2292" i="1"/>
  <c r="AE2296" i="1"/>
  <c r="AE2300" i="1"/>
  <c r="AE2304" i="1"/>
  <c r="AE2308" i="1"/>
  <c r="AE2312" i="1"/>
  <c r="AE2316" i="1"/>
  <c r="AE2320" i="1"/>
  <c r="AE2324" i="1"/>
  <c r="AE2328" i="1"/>
  <c r="AE2332" i="1"/>
  <c r="AE2336" i="1"/>
  <c r="AE2340" i="1"/>
  <c r="AE2344" i="1"/>
  <c r="AE2348" i="1"/>
  <c r="AE2352" i="1"/>
  <c r="AE2356" i="1"/>
  <c r="AE2366" i="1"/>
  <c r="AD2366" i="1"/>
  <c r="AG2368" i="1"/>
  <c r="AC2368" i="1"/>
  <c r="AF2368" i="1"/>
  <c r="AD2368" i="1"/>
  <c r="AF2369" i="1"/>
  <c r="AE2369" i="1"/>
  <c r="AC2369" i="1"/>
  <c r="M2378" i="1"/>
  <c r="R2378" i="1" s="1"/>
  <c r="AE2382" i="1"/>
  <c r="AD2382" i="1"/>
  <c r="AG2384" i="1"/>
  <c r="AC2384" i="1"/>
  <c r="AF2384" i="1"/>
  <c r="AD2384" i="1"/>
  <c r="AF2385" i="1"/>
  <c r="AE2385" i="1"/>
  <c r="AC2385" i="1"/>
  <c r="AD2396" i="1"/>
  <c r="AG2396" i="1"/>
  <c r="AC2396" i="1"/>
  <c r="AF2396" i="1"/>
  <c r="AE2396" i="1"/>
  <c r="AE2399" i="1"/>
  <c r="AD2399" i="1"/>
  <c r="AG2399" i="1"/>
  <c r="AC2399" i="1"/>
  <c r="M2402" i="1"/>
  <c r="R2402" i="1" s="1"/>
  <c r="AG2405" i="1"/>
  <c r="AC2405" i="1"/>
  <c r="AF2405" i="1"/>
  <c r="AE2405" i="1"/>
  <c r="AF2406" i="1"/>
  <c r="AD2412" i="1"/>
  <c r="AG2412" i="1"/>
  <c r="AC2412" i="1"/>
  <c r="AF2412" i="1"/>
  <c r="AE2412" i="1"/>
  <c r="AE2415" i="1"/>
  <c r="AD2415" i="1"/>
  <c r="AG2415" i="1"/>
  <c r="AC2415" i="1"/>
  <c r="M2418" i="1"/>
  <c r="R2418" i="1" s="1"/>
  <c r="AG2421" i="1"/>
  <c r="AC2421" i="1"/>
  <c r="AF2421" i="1"/>
  <c r="AE2421" i="1"/>
  <c r="AF2422" i="1"/>
  <c r="AD2428" i="1"/>
  <c r="AG2428" i="1"/>
  <c r="AC2428" i="1"/>
  <c r="AF2428" i="1"/>
  <c r="AE2428" i="1"/>
  <c r="AE2431" i="1"/>
  <c r="AD2431" i="1"/>
  <c r="AG2431" i="1"/>
  <c r="AC2431" i="1"/>
  <c r="M2434" i="1"/>
  <c r="R2434" i="1" s="1"/>
  <c r="AG2437" i="1"/>
  <c r="AC2437" i="1"/>
  <c r="AF2437" i="1"/>
  <c r="AE2437" i="1"/>
  <c r="AF2438" i="1"/>
  <c r="AD2444" i="1"/>
  <c r="AG2444" i="1"/>
  <c r="AC2444" i="1"/>
  <c r="AF2444" i="1"/>
  <c r="AE2444" i="1"/>
  <c r="AE2447" i="1"/>
  <c r="AD2447" i="1"/>
  <c r="AG2447" i="1"/>
  <c r="AC2447" i="1"/>
  <c r="M2450" i="1"/>
  <c r="R2450" i="1" s="1"/>
  <c r="AG2453" i="1"/>
  <c r="AC2453" i="1"/>
  <c r="AF2453" i="1"/>
  <c r="AE2453" i="1"/>
  <c r="AF2454" i="1"/>
  <c r="AD2460" i="1"/>
  <c r="AG2460" i="1"/>
  <c r="AC2460" i="1"/>
  <c r="AF2460" i="1"/>
  <c r="AE2460" i="1"/>
  <c r="AE2463" i="1"/>
  <c r="AD2463" i="1"/>
  <c r="AG2463" i="1"/>
  <c r="AC2463" i="1"/>
  <c r="M2466" i="1"/>
  <c r="R2466" i="1" s="1"/>
  <c r="AG2469" i="1"/>
  <c r="AC2469" i="1"/>
  <c r="AF2469" i="1"/>
  <c r="AE2469" i="1"/>
  <c r="AF2470" i="1"/>
  <c r="AD2476" i="1"/>
  <c r="AG2476" i="1"/>
  <c r="AC2476" i="1"/>
  <c r="AF2476" i="1"/>
  <c r="AE2476" i="1"/>
  <c r="AE2479" i="1"/>
  <c r="AD2479" i="1"/>
  <c r="AG2479" i="1"/>
  <c r="AC2479" i="1"/>
  <c r="M2482" i="1"/>
  <c r="R2482" i="1" s="1"/>
  <c r="AG2485" i="1"/>
  <c r="AC2485" i="1"/>
  <c r="AF2485" i="1"/>
  <c r="AE2485" i="1"/>
  <c r="AF2486" i="1"/>
  <c r="AD2488" i="1"/>
  <c r="AG2488" i="1"/>
  <c r="AC2488" i="1"/>
  <c r="AF2488" i="1"/>
  <c r="AE2488" i="1"/>
  <c r="AG2493" i="1"/>
  <c r="AC2493" i="1"/>
  <c r="AF2493" i="1"/>
  <c r="AE2493" i="1"/>
  <c r="AF2494" i="1"/>
  <c r="AD2496" i="1"/>
  <c r="AG2496" i="1"/>
  <c r="AC2496" i="1"/>
  <c r="AF2496" i="1"/>
  <c r="AE2496" i="1"/>
  <c r="AG2501" i="1"/>
  <c r="AC2501" i="1"/>
  <c r="AF2501" i="1"/>
  <c r="AE2501" i="1"/>
  <c r="AF2502" i="1"/>
  <c r="AD2504" i="1"/>
  <c r="AG2504" i="1"/>
  <c r="AC2504" i="1"/>
  <c r="AF2504" i="1"/>
  <c r="AE2504" i="1"/>
  <c r="AG2509" i="1"/>
  <c r="AC2509" i="1"/>
  <c r="AF2509" i="1"/>
  <c r="AE2509" i="1"/>
  <c r="AF2510" i="1"/>
  <c r="AD2512" i="1"/>
  <c r="AG2512" i="1"/>
  <c r="AC2512" i="1"/>
  <c r="AF2512" i="1"/>
  <c r="AE2512" i="1"/>
  <c r="AG2517" i="1"/>
  <c r="AC2517" i="1"/>
  <c r="AF2517" i="1"/>
  <c r="AE2517" i="1"/>
  <c r="AF2518" i="1"/>
  <c r="AD2520" i="1"/>
  <c r="AG2520" i="1"/>
  <c r="AC2520" i="1"/>
  <c r="AF2520" i="1"/>
  <c r="AE2520" i="1"/>
  <c r="AE2523" i="1"/>
  <c r="AD2523" i="1"/>
  <c r="AG2523" i="1"/>
  <c r="AC2523" i="1"/>
  <c r="AF2525" i="1"/>
  <c r="AD2528" i="1"/>
  <c r="AG2528" i="1"/>
  <c r="AC2528" i="1"/>
  <c r="AF2528" i="1"/>
  <c r="AE2528" i="1"/>
  <c r="AF2530" i="1"/>
  <c r="AG2533" i="1"/>
  <c r="AD2533" i="1"/>
  <c r="M2534" i="1"/>
  <c r="R2534" i="1" s="1"/>
  <c r="AE2539" i="1"/>
  <c r="AD2539" i="1"/>
  <c r="AG2539" i="1"/>
  <c r="AC2539" i="1"/>
  <c r="AF2541" i="1"/>
  <c r="AD2544" i="1"/>
  <c r="AG2544" i="1"/>
  <c r="AC2544" i="1"/>
  <c r="AF2544" i="1"/>
  <c r="AE2544" i="1"/>
  <c r="AE2547" i="1"/>
  <c r="AD2547" i="1"/>
  <c r="AG2547" i="1"/>
  <c r="AC2547" i="1"/>
  <c r="M2550" i="1"/>
  <c r="R2550" i="1" s="1"/>
  <c r="AD2556" i="1"/>
  <c r="AG2556" i="1"/>
  <c r="AC2556" i="1"/>
  <c r="AF2556" i="1"/>
  <c r="AE2556" i="1"/>
  <c r="AE2559" i="1"/>
  <c r="AD2559" i="1"/>
  <c r="AG2559" i="1"/>
  <c r="AC2559" i="1"/>
  <c r="AF2561" i="1"/>
  <c r="AD2564" i="1"/>
  <c r="AG2564" i="1"/>
  <c r="AC2564" i="1"/>
  <c r="AF2564" i="1"/>
  <c r="AE2564" i="1"/>
  <c r="AF2566" i="1"/>
  <c r="AE2572" i="1"/>
  <c r="AG2574" i="1"/>
  <c r="AD2579" i="1"/>
  <c r="AG2579" i="1"/>
  <c r="AC2579" i="1"/>
  <c r="AE2579" i="1"/>
  <c r="AD2583" i="1"/>
  <c r="AG2583" i="1"/>
  <c r="AC2583" i="1"/>
  <c r="AF2583" i="1"/>
  <c r="AE2583" i="1"/>
  <c r="AF2593" i="1"/>
  <c r="AE2593" i="1"/>
  <c r="AG2593" i="1"/>
  <c r="AD2593" i="1"/>
  <c r="Y2597" i="1"/>
  <c r="M2597" i="1"/>
  <c r="R2597" i="1" s="1"/>
  <c r="AF2601" i="1"/>
  <c r="AE2601" i="1"/>
  <c r="AG2601" i="1"/>
  <c r="AD2601" i="1"/>
  <c r="Y2605" i="1"/>
  <c r="M2605" i="1"/>
  <c r="R2605" i="1" s="1"/>
  <c r="AF2609" i="1"/>
  <c r="AE2609" i="1"/>
  <c r="AG2609" i="1"/>
  <c r="AD2609" i="1"/>
  <c r="Y2613" i="1"/>
  <c r="M2613" i="1"/>
  <c r="R2613" i="1" s="1"/>
  <c r="AE2615" i="1"/>
  <c r="AD2623" i="1"/>
  <c r="AF2623" i="1"/>
  <c r="AE2623" i="1"/>
  <c r="AG2623" i="1"/>
  <c r="AC2623" i="1"/>
  <c r="AF2626" i="1"/>
  <c r="AE2628" i="1"/>
  <c r="AE2633" i="1"/>
  <c r="AE2662" i="1"/>
  <c r="AF2662" i="1"/>
  <c r="AD2662" i="1"/>
  <c r="AC2662" i="1"/>
  <c r="AG2662" i="1"/>
  <c r="AF2675" i="1"/>
  <c r="AG2696" i="1"/>
  <c r="AC2696" i="1"/>
  <c r="AF2696" i="1"/>
  <c r="AE2696" i="1"/>
  <c r="AD2696" i="1"/>
  <c r="AF2707" i="1"/>
  <c r="AC2707" i="1"/>
  <c r="AG2707" i="1"/>
  <c r="AE2707" i="1"/>
  <c r="AD2707" i="1"/>
  <c r="AF2204" i="1"/>
  <c r="AF2208" i="1"/>
  <c r="AF2212" i="1"/>
  <c r="AF2216" i="1"/>
  <c r="AF2220" i="1"/>
  <c r="AF2224" i="1"/>
  <c r="AF2228" i="1"/>
  <c r="AF2232" i="1"/>
  <c r="AF2236" i="1"/>
  <c r="AF2240" i="1"/>
  <c r="AF2244" i="1"/>
  <c r="AF2248" i="1"/>
  <c r="AF2252" i="1"/>
  <c r="AF2256" i="1"/>
  <c r="AF2260" i="1"/>
  <c r="AF2264" i="1"/>
  <c r="AF2268" i="1"/>
  <c r="AF2272" i="1"/>
  <c r="AF2276" i="1"/>
  <c r="AF2280" i="1"/>
  <c r="AF2284" i="1"/>
  <c r="AF2288" i="1"/>
  <c r="AF2292" i="1"/>
  <c r="AF2296" i="1"/>
  <c r="AF2300" i="1"/>
  <c r="AF2304" i="1"/>
  <c r="AF2308" i="1"/>
  <c r="AF2312" i="1"/>
  <c r="AF2316" i="1"/>
  <c r="AF2320" i="1"/>
  <c r="AF2324" i="1"/>
  <c r="AF2328" i="1"/>
  <c r="AF2332" i="1"/>
  <c r="AF2336" i="1"/>
  <c r="AF2340" i="1"/>
  <c r="AF2344" i="1"/>
  <c r="AF2348" i="1"/>
  <c r="AF2352" i="1"/>
  <c r="AF2356" i="1"/>
  <c r="AG2360" i="1"/>
  <c r="AC2360" i="1"/>
  <c r="AF2362" i="1"/>
  <c r="AG2364" i="1"/>
  <c r="AC2364" i="1"/>
  <c r="AF2364" i="1"/>
  <c r="AD2364" i="1"/>
  <c r="AC2365" i="1"/>
  <c r="AE2378" i="1"/>
  <c r="AD2378" i="1"/>
  <c r="AG2380" i="1"/>
  <c r="AC2380" i="1"/>
  <c r="AF2380" i="1"/>
  <c r="AD2380" i="1"/>
  <c r="AC2381" i="1"/>
  <c r="AE2395" i="1"/>
  <c r="AD2395" i="1"/>
  <c r="AG2395" i="1"/>
  <c r="AC2395" i="1"/>
  <c r="AF2399" i="1"/>
  <c r="AG2401" i="1"/>
  <c r="AC2401" i="1"/>
  <c r="AF2401" i="1"/>
  <c r="AE2401" i="1"/>
  <c r="AF2402" i="1"/>
  <c r="AD2408" i="1"/>
  <c r="AG2408" i="1"/>
  <c r="AC2408" i="1"/>
  <c r="AF2408" i="1"/>
  <c r="AE2408" i="1"/>
  <c r="AE2411" i="1"/>
  <c r="AD2411" i="1"/>
  <c r="AG2411" i="1"/>
  <c r="AC2411" i="1"/>
  <c r="AF2415" i="1"/>
  <c r="AG2417" i="1"/>
  <c r="AC2417" i="1"/>
  <c r="AF2417" i="1"/>
  <c r="AE2417" i="1"/>
  <c r="AF2418" i="1"/>
  <c r="AD2424" i="1"/>
  <c r="AG2424" i="1"/>
  <c r="AC2424" i="1"/>
  <c r="AF2424" i="1"/>
  <c r="AE2424" i="1"/>
  <c r="AE2427" i="1"/>
  <c r="AD2427" i="1"/>
  <c r="AG2427" i="1"/>
  <c r="AC2427" i="1"/>
  <c r="AF2431" i="1"/>
  <c r="AG2433" i="1"/>
  <c r="AC2433" i="1"/>
  <c r="AF2433" i="1"/>
  <c r="AE2433" i="1"/>
  <c r="AF2434" i="1"/>
  <c r="AD2440" i="1"/>
  <c r="AG2440" i="1"/>
  <c r="AC2440" i="1"/>
  <c r="AF2440" i="1"/>
  <c r="AE2440" i="1"/>
  <c r="AE2443" i="1"/>
  <c r="AD2443" i="1"/>
  <c r="AG2443" i="1"/>
  <c r="AC2443" i="1"/>
  <c r="AF2447" i="1"/>
  <c r="AG2449" i="1"/>
  <c r="AC2449" i="1"/>
  <c r="AF2449" i="1"/>
  <c r="AE2449" i="1"/>
  <c r="AF2450" i="1"/>
  <c r="AD2456" i="1"/>
  <c r="AG2456" i="1"/>
  <c r="AC2456" i="1"/>
  <c r="AF2456" i="1"/>
  <c r="AE2456" i="1"/>
  <c r="AE2459" i="1"/>
  <c r="AD2459" i="1"/>
  <c r="AG2459" i="1"/>
  <c r="AC2459" i="1"/>
  <c r="AF2463" i="1"/>
  <c r="AG2465" i="1"/>
  <c r="AC2465" i="1"/>
  <c r="AF2465" i="1"/>
  <c r="AE2465" i="1"/>
  <c r="AF2466" i="1"/>
  <c r="AD2472" i="1"/>
  <c r="AG2472" i="1"/>
  <c r="AC2472" i="1"/>
  <c r="AF2472" i="1"/>
  <c r="AE2472" i="1"/>
  <c r="AE2475" i="1"/>
  <c r="AD2475" i="1"/>
  <c r="AG2475" i="1"/>
  <c r="AC2475" i="1"/>
  <c r="AF2479" i="1"/>
  <c r="AG2481" i="1"/>
  <c r="AC2481" i="1"/>
  <c r="AF2481" i="1"/>
  <c r="AE2481" i="1"/>
  <c r="AF2482" i="1"/>
  <c r="AE2487" i="1"/>
  <c r="AD2487" i="1"/>
  <c r="AG2487" i="1"/>
  <c r="AC2487" i="1"/>
  <c r="M2490" i="1"/>
  <c r="R2490" i="1" s="1"/>
  <c r="AE2495" i="1"/>
  <c r="AD2495" i="1"/>
  <c r="AG2495" i="1"/>
  <c r="AC2495" i="1"/>
  <c r="AE2503" i="1"/>
  <c r="AD2503" i="1"/>
  <c r="AG2503" i="1"/>
  <c r="AC2503" i="1"/>
  <c r="AE2511" i="1"/>
  <c r="AD2511" i="1"/>
  <c r="AG2511" i="1"/>
  <c r="AC2511" i="1"/>
  <c r="AE2519" i="1"/>
  <c r="AD2519" i="1"/>
  <c r="AG2519" i="1"/>
  <c r="AC2519" i="1"/>
  <c r="AE2527" i="1"/>
  <c r="AD2527" i="1"/>
  <c r="AG2527" i="1"/>
  <c r="AC2527" i="1"/>
  <c r="AD2532" i="1"/>
  <c r="AG2532" i="1"/>
  <c r="AC2532" i="1"/>
  <c r="AF2532" i="1"/>
  <c r="AE2532" i="1"/>
  <c r="AF2534" i="1"/>
  <c r="AD2537" i="1"/>
  <c r="AE2543" i="1"/>
  <c r="AD2543" i="1"/>
  <c r="AG2543" i="1"/>
  <c r="AC2543" i="1"/>
  <c r="AG2549" i="1"/>
  <c r="AC2549" i="1"/>
  <c r="AF2549" i="1"/>
  <c r="AE2549" i="1"/>
  <c r="AF2550" i="1"/>
  <c r="AD2552" i="1"/>
  <c r="AG2552" i="1"/>
  <c r="AC2552" i="1"/>
  <c r="AF2552" i="1"/>
  <c r="AE2552" i="1"/>
  <c r="AE2555" i="1"/>
  <c r="AD2555" i="1"/>
  <c r="AG2555" i="1"/>
  <c r="AC2555" i="1"/>
  <c r="AE2563" i="1"/>
  <c r="AD2563" i="1"/>
  <c r="AG2563" i="1"/>
  <c r="AC2563" i="1"/>
  <c r="AG2568" i="1"/>
  <c r="AC2568" i="1"/>
  <c r="AF2568" i="1"/>
  <c r="AE2568" i="1"/>
  <c r="AF2569" i="1"/>
  <c r="AE2569" i="1"/>
  <c r="AG2569" i="1"/>
  <c r="AD2569" i="1"/>
  <c r="Y2573" i="1"/>
  <c r="AF2573" i="1" s="1"/>
  <c r="M2573" i="1"/>
  <c r="R2573" i="1" s="1"/>
  <c r="AG2576" i="1"/>
  <c r="AC2576" i="1"/>
  <c r="AF2576" i="1"/>
  <c r="AE2576" i="1"/>
  <c r="AE2580" i="1"/>
  <c r="AG2582" i="1"/>
  <c r="AD2587" i="1"/>
  <c r="AG2587" i="1"/>
  <c r="AC2587" i="1"/>
  <c r="AE2587" i="1"/>
  <c r="AD2591" i="1"/>
  <c r="AG2591" i="1"/>
  <c r="AC2591" i="1"/>
  <c r="AF2591" i="1"/>
  <c r="AE2591" i="1"/>
  <c r="AD2599" i="1"/>
  <c r="AG2599" i="1"/>
  <c r="AC2599" i="1"/>
  <c r="AF2599" i="1"/>
  <c r="AE2599" i="1"/>
  <c r="AD2607" i="1"/>
  <c r="AG2607" i="1"/>
  <c r="AC2607" i="1"/>
  <c r="AF2607" i="1"/>
  <c r="AE2607" i="1"/>
  <c r="Y2617" i="1"/>
  <c r="AD2617" i="1" s="1"/>
  <c r="M2617" i="1"/>
  <c r="R2617" i="1" s="1"/>
  <c r="AE2630" i="1"/>
  <c r="AF2630" i="1"/>
  <c r="AD2630" i="1"/>
  <c r="AG2630" i="1"/>
  <c r="AC2630" i="1"/>
  <c r="AG2645" i="1"/>
  <c r="AE2656" i="1"/>
  <c r="AE2661" i="1"/>
  <c r="AF2666" i="1"/>
  <c r="AG2692" i="1"/>
  <c r="AC2692" i="1"/>
  <c r="AF2692" i="1"/>
  <c r="AE2692" i="1"/>
  <c r="AD2692" i="1"/>
  <c r="AE2727" i="1"/>
  <c r="AC2204" i="1"/>
  <c r="AC2208" i="1"/>
  <c r="AC2212" i="1"/>
  <c r="AC2216" i="1"/>
  <c r="AC2220" i="1"/>
  <c r="AC2224" i="1"/>
  <c r="AC2228" i="1"/>
  <c r="AC2232" i="1"/>
  <c r="AC2236" i="1"/>
  <c r="AC2240" i="1"/>
  <c r="AC2244" i="1"/>
  <c r="AC2248" i="1"/>
  <c r="AC2252" i="1"/>
  <c r="AC2256" i="1"/>
  <c r="AC2260" i="1"/>
  <c r="AC2264" i="1"/>
  <c r="AC2268" i="1"/>
  <c r="AC2272" i="1"/>
  <c r="AC2276" i="1"/>
  <c r="AC2280" i="1"/>
  <c r="AC2284" i="1"/>
  <c r="M2287" i="1"/>
  <c r="R2287" i="1" s="1"/>
  <c r="AC2288" i="1"/>
  <c r="M2291" i="1"/>
  <c r="R2291" i="1" s="1"/>
  <c r="AC2292" i="1"/>
  <c r="M2295" i="1"/>
  <c r="R2295" i="1" s="1"/>
  <c r="AC2296" i="1"/>
  <c r="M2299" i="1"/>
  <c r="R2299" i="1" s="1"/>
  <c r="AC2300" i="1"/>
  <c r="M2303" i="1"/>
  <c r="R2303" i="1" s="1"/>
  <c r="AC2304" i="1"/>
  <c r="M2307" i="1"/>
  <c r="R2307" i="1" s="1"/>
  <c r="AC2308" i="1"/>
  <c r="M2311" i="1"/>
  <c r="R2311" i="1" s="1"/>
  <c r="AC2312" i="1"/>
  <c r="M2315" i="1"/>
  <c r="R2315" i="1" s="1"/>
  <c r="AC2316" i="1"/>
  <c r="M2319" i="1"/>
  <c r="R2319" i="1" s="1"/>
  <c r="AC2320" i="1"/>
  <c r="M2323" i="1"/>
  <c r="R2323" i="1" s="1"/>
  <c r="AC2324" i="1"/>
  <c r="M2327" i="1"/>
  <c r="R2327" i="1" s="1"/>
  <c r="AC2328" i="1"/>
  <c r="M2331" i="1"/>
  <c r="R2331" i="1" s="1"/>
  <c r="AC2332" i="1"/>
  <c r="M2335" i="1"/>
  <c r="R2335" i="1" s="1"/>
  <c r="AC2336" i="1"/>
  <c r="M2339" i="1"/>
  <c r="R2339" i="1" s="1"/>
  <c r="AC2340" i="1"/>
  <c r="M2343" i="1"/>
  <c r="R2343" i="1" s="1"/>
  <c r="AC2344" i="1"/>
  <c r="M2347" i="1"/>
  <c r="R2347" i="1" s="1"/>
  <c r="AC2348" i="1"/>
  <c r="M2351" i="1"/>
  <c r="R2351" i="1" s="1"/>
  <c r="AC2352" i="1"/>
  <c r="M2355" i="1"/>
  <c r="R2355" i="1" s="1"/>
  <c r="AC2356" i="1"/>
  <c r="M2359" i="1"/>
  <c r="R2359" i="1" s="1"/>
  <c r="AD2360" i="1"/>
  <c r="M2361" i="1"/>
  <c r="R2361" i="1" s="1"/>
  <c r="AE2362" i="1"/>
  <c r="AG2362" i="1"/>
  <c r="M2363" i="1"/>
  <c r="R2363" i="1" s="1"/>
  <c r="AE2364" i="1"/>
  <c r="M2370" i="1"/>
  <c r="R2370" i="1" s="1"/>
  <c r="M2373" i="1"/>
  <c r="R2373" i="1" s="1"/>
  <c r="AE2374" i="1"/>
  <c r="AD2374" i="1"/>
  <c r="AD2375" i="1"/>
  <c r="AG2375" i="1"/>
  <c r="AC2375" i="1"/>
  <c r="AG2376" i="1"/>
  <c r="AC2376" i="1"/>
  <c r="AF2376" i="1"/>
  <c r="AD2376" i="1"/>
  <c r="AF2377" i="1"/>
  <c r="AE2377" i="1"/>
  <c r="AC2377" i="1"/>
  <c r="AC2378" i="1"/>
  <c r="AE2380" i="1"/>
  <c r="M2386" i="1"/>
  <c r="R2386" i="1" s="1"/>
  <c r="M2389" i="1"/>
  <c r="R2389" i="1" s="1"/>
  <c r="AE2390" i="1"/>
  <c r="AD2390" i="1"/>
  <c r="AD2391" i="1"/>
  <c r="AG2391" i="1"/>
  <c r="AC2391" i="1"/>
  <c r="AG2392" i="1"/>
  <c r="AC2392" i="1"/>
  <c r="AF2392" i="1"/>
  <c r="AD2392" i="1"/>
  <c r="AG2393" i="1"/>
  <c r="AC2393" i="1"/>
  <c r="AF2393" i="1"/>
  <c r="AE2393" i="1"/>
  <c r="AD2393" i="1"/>
  <c r="M2394" i="1"/>
  <c r="R2394" i="1" s="1"/>
  <c r="AF2395" i="1"/>
  <c r="AG2397" i="1"/>
  <c r="AC2397" i="1"/>
  <c r="AF2397" i="1"/>
  <c r="AE2397" i="1"/>
  <c r="AF2398" i="1"/>
  <c r="AD2404" i="1"/>
  <c r="AG2404" i="1"/>
  <c r="AC2404" i="1"/>
  <c r="AF2404" i="1"/>
  <c r="AE2404" i="1"/>
  <c r="AE2407" i="1"/>
  <c r="AD2407" i="1"/>
  <c r="AG2407" i="1"/>
  <c r="AC2407" i="1"/>
  <c r="M2410" i="1"/>
  <c r="R2410" i="1" s="1"/>
  <c r="AF2411" i="1"/>
  <c r="AG2413" i="1"/>
  <c r="AC2413" i="1"/>
  <c r="AF2413" i="1"/>
  <c r="AE2413" i="1"/>
  <c r="AF2414" i="1"/>
  <c r="AD2420" i="1"/>
  <c r="AG2420" i="1"/>
  <c r="AC2420" i="1"/>
  <c r="AF2420" i="1"/>
  <c r="AE2420" i="1"/>
  <c r="AE2423" i="1"/>
  <c r="AD2423" i="1"/>
  <c r="AG2423" i="1"/>
  <c r="AC2423" i="1"/>
  <c r="M2426" i="1"/>
  <c r="R2426" i="1" s="1"/>
  <c r="AF2427" i="1"/>
  <c r="AG2429" i="1"/>
  <c r="AC2429" i="1"/>
  <c r="AF2429" i="1"/>
  <c r="AE2429" i="1"/>
  <c r="AF2430" i="1"/>
  <c r="AD2436" i="1"/>
  <c r="AG2436" i="1"/>
  <c r="AC2436" i="1"/>
  <c r="AF2436" i="1"/>
  <c r="AE2436" i="1"/>
  <c r="AE2439" i="1"/>
  <c r="AD2439" i="1"/>
  <c r="AG2439" i="1"/>
  <c r="AC2439" i="1"/>
  <c r="M2442" i="1"/>
  <c r="R2442" i="1" s="1"/>
  <c r="AF2443" i="1"/>
  <c r="AG2445" i="1"/>
  <c r="AC2445" i="1"/>
  <c r="AF2445" i="1"/>
  <c r="AE2445" i="1"/>
  <c r="AF2446" i="1"/>
  <c r="AD2452" i="1"/>
  <c r="AG2452" i="1"/>
  <c r="AC2452" i="1"/>
  <c r="AF2452" i="1"/>
  <c r="AE2452" i="1"/>
  <c r="AE2455" i="1"/>
  <c r="AD2455" i="1"/>
  <c r="AG2455" i="1"/>
  <c r="AC2455" i="1"/>
  <c r="M2458" i="1"/>
  <c r="R2458" i="1" s="1"/>
  <c r="AF2459" i="1"/>
  <c r="AG2461" i="1"/>
  <c r="AC2461" i="1"/>
  <c r="AF2461" i="1"/>
  <c r="AE2461" i="1"/>
  <c r="AF2462" i="1"/>
  <c r="AD2468" i="1"/>
  <c r="AG2468" i="1"/>
  <c r="AC2468" i="1"/>
  <c r="AF2468" i="1"/>
  <c r="AE2468" i="1"/>
  <c r="AE2471" i="1"/>
  <c r="AD2471" i="1"/>
  <c r="AG2471" i="1"/>
  <c r="AC2471" i="1"/>
  <c r="M2474" i="1"/>
  <c r="R2474" i="1" s="1"/>
  <c r="AF2475" i="1"/>
  <c r="AG2477" i="1"/>
  <c r="AC2477" i="1"/>
  <c r="AF2477" i="1"/>
  <c r="AE2477" i="1"/>
  <c r="AF2478" i="1"/>
  <c r="AD2484" i="1"/>
  <c r="AG2484" i="1"/>
  <c r="AC2484" i="1"/>
  <c r="AF2484" i="1"/>
  <c r="AE2484" i="1"/>
  <c r="AF2487" i="1"/>
  <c r="AG2489" i="1"/>
  <c r="AC2489" i="1"/>
  <c r="AF2489" i="1"/>
  <c r="AE2489" i="1"/>
  <c r="AF2490" i="1"/>
  <c r="AD2492" i="1"/>
  <c r="AG2492" i="1"/>
  <c r="AC2492" i="1"/>
  <c r="AF2492" i="1"/>
  <c r="AE2492" i="1"/>
  <c r="AF2495" i="1"/>
  <c r="AG2497" i="1"/>
  <c r="AC2497" i="1"/>
  <c r="AF2497" i="1"/>
  <c r="AE2497" i="1"/>
  <c r="AF2498" i="1"/>
  <c r="AD2500" i="1"/>
  <c r="AG2500" i="1"/>
  <c r="AC2500" i="1"/>
  <c r="AF2500" i="1"/>
  <c r="AE2500" i="1"/>
  <c r="AF2503" i="1"/>
  <c r="AG2505" i="1"/>
  <c r="AC2505" i="1"/>
  <c r="AF2505" i="1"/>
  <c r="AE2505" i="1"/>
  <c r="AF2506" i="1"/>
  <c r="AD2508" i="1"/>
  <c r="AG2508" i="1"/>
  <c r="AC2508" i="1"/>
  <c r="AF2508" i="1"/>
  <c r="AE2508" i="1"/>
  <c r="AF2511" i="1"/>
  <c r="AG2513" i="1"/>
  <c r="AC2513" i="1"/>
  <c r="AF2513" i="1"/>
  <c r="AE2513" i="1"/>
  <c r="AF2514" i="1"/>
  <c r="AD2516" i="1"/>
  <c r="AG2516" i="1"/>
  <c r="AC2516" i="1"/>
  <c r="AF2516" i="1"/>
  <c r="AE2516" i="1"/>
  <c r="AF2519" i="1"/>
  <c r="AG2521" i="1"/>
  <c r="AC2521" i="1"/>
  <c r="AF2521" i="1"/>
  <c r="AE2521" i="1"/>
  <c r="AF2522" i="1"/>
  <c r="AG2525" i="1"/>
  <c r="M2526" i="1"/>
  <c r="R2526" i="1" s="1"/>
  <c r="AF2527" i="1"/>
  <c r="AE2531" i="1"/>
  <c r="AD2531" i="1"/>
  <c r="AG2531" i="1"/>
  <c r="AC2531" i="1"/>
  <c r="AF2533" i="1"/>
  <c r="AD2536" i="1"/>
  <c r="AG2536" i="1"/>
  <c r="AC2536" i="1"/>
  <c r="AF2536" i="1"/>
  <c r="AE2536" i="1"/>
  <c r="AF2538" i="1"/>
  <c r="AG2541" i="1"/>
  <c r="M2542" i="1"/>
  <c r="R2542" i="1" s="1"/>
  <c r="AF2543" i="1"/>
  <c r="AG2545" i="1"/>
  <c r="AC2545" i="1"/>
  <c r="AF2545" i="1"/>
  <c r="AE2545" i="1"/>
  <c r="AF2546" i="1"/>
  <c r="AE2551" i="1"/>
  <c r="AD2551" i="1"/>
  <c r="AG2551" i="1"/>
  <c r="AC2551" i="1"/>
  <c r="M2554" i="1"/>
  <c r="R2554" i="1" s="1"/>
  <c r="AF2555" i="1"/>
  <c r="AG2557" i="1"/>
  <c r="AC2557" i="1"/>
  <c r="AF2557" i="1"/>
  <c r="AE2557" i="1"/>
  <c r="AF2558" i="1"/>
  <c r="AG2561" i="1"/>
  <c r="M2562" i="1"/>
  <c r="R2562" i="1" s="1"/>
  <c r="AF2563" i="1"/>
  <c r="AE2567" i="1"/>
  <c r="AD2567" i="1"/>
  <c r="AG2567" i="1"/>
  <c r="AC2567" i="1"/>
  <c r="AF2577" i="1"/>
  <c r="AE2577" i="1"/>
  <c r="AG2577" i="1"/>
  <c r="AD2577" i="1"/>
  <c r="Y2581" i="1"/>
  <c r="AF2581" i="1" s="1"/>
  <c r="M2581" i="1"/>
  <c r="R2581" i="1" s="1"/>
  <c r="AG2584" i="1"/>
  <c r="AC2584" i="1"/>
  <c r="AF2584" i="1"/>
  <c r="AE2584" i="1"/>
  <c r="AE2588" i="1"/>
  <c r="AD2595" i="1"/>
  <c r="AG2595" i="1"/>
  <c r="AC2595" i="1"/>
  <c r="AE2595" i="1"/>
  <c r="AD2603" i="1"/>
  <c r="AG2603" i="1"/>
  <c r="AC2603" i="1"/>
  <c r="AE2603" i="1"/>
  <c r="AD2611" i="1"/>
  <c r="AG2611" i="1"/>
  <c r="AC2611" i="1"/>
  <c r="AE2611" i="1"/>
  <c r="AG2624" i="1"/>
  <c r="AC2624" i="1"/>
  <c r="AD2624" i="1"/>
  <c r="AF2624" i="1"/>
  <c r="AG2636" i="1"/>
  <c r="AC2636" i="1"/>
  <c r="AE2636" i="1"/>
  <c r="AD2636" i="1"/>
  <c r="AF2638" i="1"/>
  <c r="AG2641" i="1"/>
  <c r="Y2665" i="1"/>
  <c r="AF2665" i="1" s="1"/>
  <c r="M2665" i="1"/>
  <c r="R2665" i="1" s="1"/>
  <c r="Y2670" i="1"/>
  <c r="M2670" i="1"/>
  <c r="R2670" i="1" s="1"/>
  <c r="AG2680" i="1"/>
  <c r="AC2680" i="1"/>
  <c r="AF2680" i="1"/>
  <c r="AE2680" i="1"/>
  <c r="AD2680" i="1"/>
  <c r="AD2394" i="1"/>
  <c r="AD2398" i="1"/>
  <c r="AD2402" i="1"/>
  <c r="AD2406" i="1"/>
  <c r="AD2410" i="1"/>
  <c r="AD2414" i="1"/>
  <c r="AD2418" i="1"/>
  <c r="AD2422" i="1"/>
  <c r="AD2426" i="1"/>
  <c r="AD2430" i="1"/>
  <c r="AD2434" i="1"/>
  <c r="AD2438" i="1"/>
  <c r="AD2442" i="1"/>
  <c r="AD2446" i="1"/>
  <c r="AD2450" i="1"/>
  <c r="AD2454" i="1"/>
  <c r="AD2458" i="1"/>
  <c r="AD2462" i="1"/>
  <c r="AD2466" i="1"/>
  <c r="AD2470" i="1"/>
  <c r="AD2474" i="1"/>
  <c r="AD2478" i="1"/>
  <c r="AD2482" i="1"/>
  <c r="AD2486" i="1"/>
  <c r="AD2490" i="1"/>
  <c r="AD2494" i="1"/>
  <c r="AD2498" i="1"/>
  <c r="AD2502" i="1"/>
  <c r="AD2506" i="1"/>
  <c r="AD2510" i="1"/>
  <c r="AD2514" i="1"/>
  <c r="AD2518" i="1"/>
  <c r="AD2522" i="1"/>
  <c r="AE2525" i="1"/>
  <c r="AD2526" i="1"/>
  <c r="AE2529" i="1"/>
  <c r="AD2530" i="1"/>
  <c r="AE2533" i="1"/>
  <c r="AD2534" i="1"/>
  <c r="AE2537" i="1"/>
  <c r="AD2538" i="1"/>
  <c r="AE2541" i="1"/>
  <c r="AD2542" i="1"/>
  <c r="AD2546" i="1"/>
  <c r="AD2550" i="1"/>
  <c r="AD2554" i="1"/>
  <c r="AD2558" i="1"/>
  <c r="AE2561" i="1"/>
  <c r="AD2562" i="1"/>
  <c r="AE2565" i="1"/>
  <c r="AD2566" i="1"/>
  <c r="AF2570" i="1"/>
  <c r="AE2574" i="1"/>
  <c r="AD2574" i="1"/>
  <c r="AF2578" i="1"/>
  <c r="AE2582" i="1"/>
  <c r="AD2582" i="1"/>
  <c r="AF2586" i="1"/>
  <c r="AE2590" i="1"/>
  <c r="AD2590" i="1"/>
  <c r="AF2594" i="1"/>
  <c r="AE2598" i="1"/>
  <c r="AD2598" i="1"/>
  <c r="AF2602" i="1"/>
  <c r="AE2606" i="1"/>
  <c r="AD2606" i="1"/>
  <c r="AF2610" i="1"/>
  <c r="AE2614" i="1"/>
  <c r="AF2614" i="1"/>
  <c r="AD2614" i="1"/>
  <c r="AC2619" i="1"/>
  <c r="AD2628" i="1"/>
  <c r="AD2631" i="1"/>
  <c r="AC2631" i="1"/>
  <c r="AG2631" i="1"/>
  <c r="AF2631" i="1"/>
  <c r="AE2634" i="1"/>
  <c r="AD2634" i="1"/>
  <c r="AC2634" i="1"/>
  <c r="Y2637" i="1"/>
  <c r="M2637" i="1"/>
  <c r="R2637" i="1" s="1"/>
  <c r="AD2643" i="1"/>
  <c r="AE2643" i="1"/>
  <c r="AC2643" i="1"/>
  <c r="AG2644" i="1"/>
  <c r="AC2644" i="1"/>
  <c r="AF2644" i="1"/>
  <c r="AE2649" i="1"/>
  <c r="AD2667" i="1"/>
  <c r="AG2667" i="1"/>
  <c r="AF2667" i="1"/>
  <c r="AE2667" i="1"/>
  <c r="AD2671" i="1"/>
  <c r="AF2671" i="1"/>
  <c r="AE2671" i="1"/>
  <c r="AC2671" i="1"/>
  <c r="AF2673" i="1"/>
  <c r="AE2673" i="1"/>
  <c r="AD2673" i="1"/>
  <c r="AC2673" i="1"/>
  <c r="AF2674" i="1"/>
  <c r="AE2678" i="1"/>
  <c r="AF2678" i="1"/>
  <c r="AD2678" i="1"/>
  <c r="AC2678" i="1"/>
  <c r="Y2681" i="1"/>
  <c r="M2681" i="1"/>
  <c r="R2681" i="1" s="1"/>
  <c r="AG2684" i="1"/>
  <c r="AC2684" i="1"/>
  <c r="AE2684" i="1"/>
  <c r="AD2684" i="1"/>
  <c r="AF2684" i="1"/>
  <c r="Y2686" i="1"/>
  <c r="M2686" i="1"/>
  <c r="R2686" i="1" s="1"/>
  <c r="AG2688" i="1"/>
  <c r="AC2688" i="1"/>
  <c r="AD2688" i="1"/>
  <c r="AF2688" i="1"/>
  <c r="AE2695" i="1"/>
  <c r="AE2706" i="1"/>
  <c r="AD2706" i="1"/>
  <c r="AF2715" i="1"/>
  <c r="AE2715" i="1"/>
  <c r="AG2715" i="1"/>
  <c r="AC2715" i="1"/>
  <c r="AG2726" i="1"/>
  <c r="AC2726" i="1"/>
  <c r="AF2726" i="1"/>
  <c r="AE2726" i="1"/>
  <c r="AE2764" i="1"/>
  <c r="AG2764" i="1"/>
  <c r="AC2764" i="1"/>
  <c r="AF2764" i="1"/>
  <c r="AD2764" i="1"/>
  <c r="AF2767" i="1"/>
  <c r="AD2767" i="1"/>
  <c r="AC2767" i="1"/>
  <c r="AG2767" i="1"/>
  <c r="AE2767" i="1"/>
  <c r="AF2824" i="1"/>
  <c r="AE2828" i="1"/>
  <c r="AG2828" i="1"/>
  <c r="AC2828" i="1"/>
  <c r="AF2828" i="1"/>
  <c r="AD2828" i="1"/>
  <c r="AF2831" i="1"/>
  <c r="AD2831" i="1"/>
  <c r="AC2831" i="1"/>
  <c r="AG2831" i="1"/>
  <c r="AE2831" i="1"/>
  <c r="AD2849" i="1"/>
  <c r="AG2849" i="1"/>
  <c r="AC2849" i="1"/>
  <c r="AF2849" i="1"/>
  <c r="AE2849" i="1"/>
  <c r="AE2394" i="1"/>
  <c r="AE2398" i="1"/>
  <c r="AE2402" i="1"/>
  <c r="AE2406" i="1"/>
  <c r="AE2410" i="1"/>
  <c r="AE2414" i="1"/>
  <c r="AE2418" i="1"/>
  <c r="AE2422" i="1"/>
  <c r="AE2426" i="1"/>
  <c r="AE2430" i="1"/>
  <c r="AE2434" i="1"/>
  <c r="AE2438" i="1"/>
  <c r="AE2442" i="1"/>
  <c r="AE2446" i="1"/>
  <c r="AE2450" i="1"/>
  <c r="AE2454" i="1"/>
  <c r="AE2458" i="1"/>
  <c r="AE2462" i="1"/>
  <c r="AE2466" i="1"/>
  <c r="AE2470" i="1"/>
  <c r="AE2474" i="1"/>
  <c r="AE2478" i="1"/>
  <c r="AE2482" i="1"/>
  <c r="AE2486" i="1"/>
  <c r="AE2490" i="1"/>
  <c r="AE2494" i="1"/>
  <c r="AE2498" i="1"/>
  <c r="AE2502" i="1"/>
  <c r="AE2506" i="1"/>
  <c r="AE2510" i="1"/>
  <c r="AE2514" i="1"/>
  <c r="AE2518" i="1"/>
  <c r="AE2522" i="1"/>
  <c r="AE2526" i="1"/>
  <c r="AE2530" i="1"/>
  <c r="AE2534" i="1"/>
  <c r="AE2538" i="1"/>
  <c r="AE2542" i="1"/>
  <c r="AE2546" i="1"/>
  <c r="AE2550" i="1"/>
  <c r="AE2554" i="1"/>
  <c r="AE2558" i="1"/>
  <c r="AE2562" i="1"/>
  <c r="AE2566" i="1"/>
  <c r="M2570" i="1"/>
  <c r="R2570" i="1" s="1"/>
  <c r="AG2572" i="1"/>
  <c r="AC2572" i="1"/>
  <c r="AF2572" i="1"/>
  <c r="AD2572" i="1"/>
  <c r="AC2573" i="1"/>
  <c r="M2578" i="1"/>
  <c r="R2578" i="1" s="1"/>
  <c r="AG2580" i="1"/>
  <c r="AC2580" i="1"/>
  <c r="AF2580" i="1"/>
  <c r="AD2580" i="1"/>
  <c r="AC2581" i="1"/>
  <c r="M2586" i="1"/>
  <c r="R2586" i="1" s="1"/>
  <c r="AG2588" i="1"/>
  <c r="AC2588" i="1"/>
  <c r="AF2588" i="1"/>
  <c r="AD2588" i="1"/>
  <c r="AC2589" i="1"/>
  <c r="M2594" i="1"/>
  <c r="R2594" i="1" s="1"/>
  <c r="AG2596" i="1"/>
  <c r="AC2596" i="1"/>
  <c r="AF2596" i="1"/>
  <c r="AD2596" i="1"/>
  <c r="AC2597" i="1"/>
  <c r="AC2598" i="1"/>
  <c r="M2602" i="1"/>
  <c r="R2602" i="1" s="1"/>
  <c r="AG2604" i="1"/>
  <c r="AC2604" i="1"/>
  <c r="AF2604" i="1"/>
  <c r="AD2604" i="1"/>
  <c r="AC2605" i="1"/>
  <c r="AC2606" i="1"/>
  <c r="M2610" i="1"/>
  <c r="R2610" i="1" s="1"/>
  <c r="AG2612" i="1"/>
  <c r="AC2612" i="1"/>
  <c r="AF2612" i="1"/>
  <c r="AD2612" i="1"/>
  <c r="AC2613" i="1"/>
  <c r="AC2614" i="1"/>
  <c r="AD2615" i="1"/>
  <c r="AC2615" i="1"/>
  <c r="AG2615" i="1"/>
  <c r="AF2615" i="1"/>
  <c r="AE2618" i="1"/>
  <c r="AD2618" i="1"/>
  <c r="AC2618" i="1"/>
  <c r="Y2621" i="1"/>
  <c r="AG2621" i="1" s="1"/>
  <c r="M2621" i="1"/>
  <c r="R2621" i="1" s="1"/>
  <c r="M2631" i="1"/>
  <c r="R2631" i="1" s="1"/>
  <c r="AD2633" i="1"/>
  <c r="AF2634" i="1"/>
  <c r="AD2635" i="1"/>
  <c r="AG2635" i="1"/>
  <c r="AF2635" i="1"/>
  <c r="AD2638" i="1"/>
  <c r="AF2641" i="1"/>
  <c r="AE2641" i="1"/>
  <c r="AD2641" i="1"/>
  <c r="AF2642" i="1"/>
  <c r="AF2643" i="1"/>
  <c r="AF2645" i="1"/>
  <c r="AD2645" i="1"/>
  <c r="AC2645" i="1"/>
  <c r="AE2645" i="1"/>
  <c r="AE2646" i="1"/>
  <c r="AF2646" i="1"/>
  <c r="AD2646" i="1"/>
  <c r="M2649" i="1"/>
  <c r="R2649" i="1" s="1"/>
  <c r="AD2649" i="1"/>
  <c r="AG2652" i="1"/>
  <c r="AC2652" i="1"/>
  <c r="AE2652" i="1"/>
  <c r="AD2652" i="1"/>
  <c r="AF2652" i="1"/>
  <c r="Y2654" i="1"/>
  <c r="AG2654" i="1" s="1"/>
  <c r="M2654" i="1"/>
  <c r="R2654" i="1" s="1"/>
  <c r="AG2656" i="1"/>
  <c r="AC2656" i="1"/>
  <c r="AD2656" i="1"/>
  <c r="AF2656" i="1"/>
  <c r="AG2660" i="1"/>
  <c r="AC2660" i="1"/>
  <c r="AF2660" i="1"/>
  <c r="AE2660" i="1"/>
  <c r="AC2667" i="1"/>
  <c r="AE2669" i="1"/>
  <c r="AG2671" i="1"/>
  <c r="AE2677" i="1"/>
  <c r="AG2678" i="1"/>
  <c r="AD2683" i="1"/>
  <c r="AG2683" i="1"/>
  <c r="AF2683" i="1"/>
  <c r="AE2683" i="1"/>
  <c r="AD2687" i="1"/>
  <c r="AF2687" i="1"/>
  <c r="AE2687" i="1"/>
  <c r="AC2687" i="1"/>
  <c r="AF2689" i="1"/>
  <c r="AE2689" i="1"/>
  <c r="AD2689" i="1"/>
  <c r="AC2689" i="1"/>
  <c r="AF2690" i="1"/>
  <c r="AE2694" i="1"/>
  <c r="AF2694" i="1"/>
  <c r="AD2694" i="1"/>
  <c r="AC2694" i="1"/>
  <c r="Y2697" i="1"/>
  <c r="M2697" i="1"/>
  <c r="R2697" i="1" s="1"/>
  <c r="AG2700" i="1"/>
  <c r="AC2700" i="1"/>
  <c r="AE2700" i="1"/>
  <c r="AD2700" i="1"/>
  <c r="AF2700" i="1"/>
  <c r="Y2702" i="1"/>
  <c r="AE2702" i="1" s="1"/>
  <c r="M2702" i="1"/>
  <c r="R2702" i="1" s="1"/>
  <c r="AG2704" i="1"/>
  <c r="AC2704" i="1"/>
  <c r="AD2704" i="1"/>
  <c r="AF2704" i="1"/>
  <c r="AE2708" i="1"/>
  <c r="AF2708" i="1"/>
  <c r="AD2708" i="1"/>
  <c r="AG2708" i="1"/>
  <c r="AC2708" i="1"/>
  <c r="AE2713" i="1"/>
  <c r="AE2724" i="1"/>
  <c r="AD2724" i="1"/>
  <c r="AF2724" i="1"/>
  <c r="AC2724" i="1"/>
  <c r="AG2724" i="1"/>
  <c r="AF2760" i="1"/>
  <c r="AE2570" i="1"/>
  <c r="AD2570" i="1"/>
  <c r="AE2578" i="1"/>
  <c r="AD2578" i="1"/>
  <c r="AE2586" i="1"/>
  <c r="AD2586" i="1"/>
  <c r="AE2594" i="1"/>
  <c r="AD2594" i="1"/>
  <c r="AE2602" i="1"/>
  <c r="AD2602" i="1"/>
  <c r="AE2610" i="1"/>
  <c r="AD2610" i="1"/>
  <c r="M2615" i="1"/>
  <c r="R2615" i="1" s="1"/>
  <c r="AD2619" i="1"/>
  <c r="AG2619" i="1"/>
  <c r="AF2619" i="1"/>
  <c r="AF2625" i="1"/>
  <c r="AE2625" i="1"/>
  <c r="AD2625" i="1"/>
  <c r="AG2625" i="1"/>
  <c r="M2626" i="1"/>
  <c r="R2626" i="1" s="1"/>
  <c r="AD2627" i="1"/>
  <c r="AE2627" i="1"/>
  <c r="AC2627" i="1"/>
  <c r="AG2628" i="1"/>
  <c r="AC2628" i="1"/>
  <c r="AF2628" i="1"/>
  <c r="AD2639" i="1"/>
  <c r="AF2639" i="1"/>
  <c r="AE2639" i="1"/>
  <c r="AG2640" i="1"/>
  <c r="AC2640" i="1"/>
  <c r="AD2640" i="1"/>
  <c r="AE2640" i="1"/>
  <c r="AD2647" i="1"/>
  <c r="AC2647" i="1"/>
  <c r="AG2647" i="1"/>
  <c r="AF2647" i="1"/>
  <c r="AG2648" i="1"/>
  <c r="AC2648" i="1"/>
  <c r="AF2648" i="1"/>
  <c r="AE2648" i="1"/>
  <c r="AD2651" i="1"/>
  <c r="AG2651" i="1"/>
  <c r="AF2651" i="1"/>
  <c r="AE2651" i="1"/>
  <c r="AD2655" i="1"/>
  <c r="AF2655" i="1"/>
  <c r="AE2655" i="1"/>
  <c r="AC2655" i="1"/>
  <c r="AF2657" i="1"/>
  <c r="AE2657" i="1"/>
  <c r="AD2657" i="1"/>
  <c r="AC2657" i="1"/>
  <c r="AG2664" i="1"/>
  <c r="AC2664" i="1"/>
  <c r="AF2664" i="1"/>
  <c r="AE2664" i="1"/>
  <c r="AD2664" i="1"/>
  <c r="AG2676" i="1"/>
  <c r="AC2676" i="1"/>
  <c r="AF2676" i="1"/>
  <c r="AE2676" i="1"/>
  <c r="AG2694" i="1"/>
  <c r="AD2699" i="1"/>
  <c r="AG2699" i="1"/>
  <c r="AF2699" i="1"/>
  <c r="AE2699" i="1"/>
  <c r="AD2703" i="1"/>
  <c r="AF2703" i="1"/>
  <c r="AE2703" i="1"/>
  <c r="AC2703" i="1"/>
  <c r="AF2705" i="1"/>
  <c r="AE2705" i="1"/>
  <c r="AD2705" i="1"/>
  <c r="AC2705" i="1"/>
  <c r="AF2728" i="1"/>
  <c r="AE2732" i="1"/>
  <c r="AG2732" i="1"/>
  <c r="AC2732" i="1"/>
  <c r="AF2732" i="1"/>
  <c r="AD2732" i="1"/>
  <c r="AF2735" i="1"/>
  <c r="AD2735" i="1"/>
  <c r="AC2735" i="1"/>
  <c r="AG2735" i="1"/>
  <c r="AE2735" i="1"/>
  <c r="AF2792" i="1"/>
  <c r="AE2796" i="1"/>
  <c r="AG2796" i="1"/>
  <c r="AC2796" i="1"/>
  <c r="AF2796" i="1"/>
  <c r="AD2796" i="1"/>
  <c r="AF2799" i="1"/>
  <c r="AD2799" i="1"/>
  <c r="AC2799" i="1"/>
  <c r="AG2799" i="1"/>
  <c r="AE2799" i="1"/>
  <c r="AC2859" i="1"/>
  <c r="AE2650" i="1"/>
  <c r="AG2650" i="1"/>
  <c r="AD2659" i="1"/>
  <c r="AG2659" i="1"/>
  <c r="AF2661" i="1"/>
  <c r="AG2661" i="1"/>
  <c r="AE2666" i="1"/>
  <c r="AG2666" i="1"/>
  <c r="AD2669" i="1"/>
  <c r="AD2674" i="1"/>
  <c r="AD2675" i="1"/>
  <c r="AG2675" i="1"/>
  <c r="AF2677" i="1"/>
  <c r="AG2677" i="1"/>
  <c r="AE2682" i="1"/>
  <c r="AG2682" i="1"/>
  <c r="AD2685" i="1"/>
  <c r="AD2690" i="1"/>
  <c r="AD2691" i="1"/>
  <c r="AG2691" i="1"/>
  <c r="AF2693" i="1"/>
  <c r="AG2693" i="1"/>
  <c r="AE2698" i="1"/>
  <c r="AG2698" i="1"/>
  <c r="AD2701" i="1"/>
  <c r="AG2710" i="1"/>
  <c r="AC2710" i="1"/>
  <c r="AF2710" i="1"/>
  <c r="AE2710" i="1"/>
  <c r="AD2710" i="1"/>
  <c r="AD2717" i="1"/>
  <c r="AG2717" i="1"/>
  <c r="AC2717" i="1"/>
  <c r="Y2719" i="1"/>
  <c r="M2719" i="1"/>
  <c r="R2719" i="1" s="1"/>
  <c r="AD2721" i="1"/>
  <c r="AG2721" i="1"/>
  <c r="AC2721" i="1"/>
  <c r="AE2721" i="1"/>
  <c r="AD2723" i="1"/>
  <c r="AG2738" i="1"/>
  <c r="AC2738" i="1"/>
  <c r="AE2738" i="1"/>
  <c r="AF2738" i="1"/>
  <c r="AD2738" i="1"/>
  <c r="AF2752" i="1"/>
  <c r="AE2756" i="1"/>
  <c r="AG2756" i="1"/>
  <c r="AC2756" i="1"/>
  <c r="AF2756" i="1"/>
  <c r="AG2770" i="1"/>
  <c r="AC2770" i="1"/>
  <c r="AE2770" i="1"/>
  <c r="AF2770" i="1"/>
  <c r="AD2770" i="1"/>
  <c r="AF2784" i="1"/>
  <c r="AE2788" i="1"/>
  <c r="AG2788" i="1"/>
  <c r="AC2788" i="1"/>
  <c r="AF2788" i="1"/>
  <c r="AD2789" i="1"/>
  <c r="AF2789" i="1"/>
  <c r="AG2789" i="1"/>
  <c r="AE2789" i="1"/>
  <c r="AG2802" i="1"/>
  <c r="AC2802" i="1"/>
  <c r="AE2802" i="1"/>
  <c r="AF2802" i="1"/>
  <c r="AD2802" i="1"/>
  <c r="AF2816" i="1"/>
  <c r="AE2820" i="1"/>
  <c r="AG2820" i="1"/>
  <c r="AC2820" i="1"/>
  <c r="AF2820" i="1"/>
  <c r="AD2821" i="1"/>
  <c r="AF2821" i="1"/>
  <c r="AG2821" i="1"/>
  <c r="AE2821" i="1"/>
  <c r="AE2856" i="1"/>
  <c r="AD2856" i="1"/>
  <c r="AG2856" i="1"/>
  <c r="AC2856" i="1"/>
  <c r="AF2856" i="1"/>
  <c r="AE2907" i="1"/>
  <c r="AD2916" i="1"/>
  <c r="AD2919" i="1"/>
  <c r="AG2919" i="1"/>
  <c r="AC2919" i="1"/>
  <c r="AF2919" i="1"/>
  <c r="AE2919" i="1"/>
  <c r="AF2633" i="1"/>
  <c r="AG2633" i="1"/>
  <c r="AE2638" i="1"/>
  <c r="AG2638" i="1"/>
  <c r="AF2649" i="1"/>
  <c r="AG2649" i="1"/>
  <c r="AC2650" i="1"/>
  <c r="M2653" i="1"/>
  <c r="R2653" i="1" s="1"/>
  <c r="AC2659" i="1"/>
  <c r="AC2661" i="1"/>
  <c r="AD2663" i="1"/>
  <c r="AG2663" i="1"/>
  <c r="AC2666" i="1"/>
  <c r="M2669" i="1"/>
  <c r="R2669" i="1" s="1"/>
  <c r="AC2675" i="1"/>
  <c r="AC2677" i="1"/>
  <c r="AD2679" i="1"/>
  <c r="AG2679" i="1"/>
  <c r="AC2682" i="1"/>
  <c r="M2685" i="1"/>
  <c r="R2685" i="1" s="1"/>
  <c r="AC2691" i="1"/>
  <c r="AC2693" i="1"/>
  <c r="AD2695" i="1"/>
  <c r="AG2695" i="1"/>
  <c r="AC2698" i="1"/>
  <c r="M2701" i="1"/>
  <c r="R2701" i="1" s="1"/>
  <c r="AE2712" i="1"/>
  <c r="AD2712" i="1"/>
  <c r="AG2712" i="1"/>
  <c r="AF2712" i="1"/>
  <c r="AG2714" i="1"/>
  <c r="AC2714" i="1"/>
  <c r="AF2714" i="1"/>
  <c r="AE2714" i="1"/>
  <c r="AE2717" i="1"/>
  <c r="M2723" i="1"/>
  <c r="R2723" i="1" s="1"/>
  <c r="AD2725" i="1"/>
  <c r="AG2725" i="1"/>
  <c r="AC2725" i="1"/>
  <c r="AF2725" i="1"/>
  <c r="AE2725" i="1"/>
  <c r="AF2743" i="1"/>
  <c r="AD2743" i="1"/>
  <c r="AC2743" i="1"/>
  <c r="AE2743" i="1"/>
  <c r="AD2756" i="1"/>
  <c r="AC2757" i="1"/>
  <c r="Y2761" i="1"/>
  <c r="M2761" i="1"/>
  <c r="R2761" i="1" s="1"/>
  <c r="AF2775" i="1"/>
  <c r="AD2775" i="1"/>
  <c r="AC2775" i="1"/>
  <c r="AE2775" i="1"/>
  <c r="AD2788" i="1"/>
  <c r="AC2789" i="1"/>
  <c r="AF2807" i="1"/>
  <c r="AD2807" i="1"/>
  <c r="AC2807" i="1"/>
  <c r="AE2807" i="1"/>
  <c r="AD2820" i="1"/>
  <c r="AC2821" i="1"/>
  <c r="AD2841" i="1"/>
  <c r="AG2841" i="1"/>
  <c r="AE2841" i="1"/>
  <c r="AC2841" i="1"/>
  <c r="AC2843" i="1"/>
  <c r="AE2872" i="1"/>
  <c r="AD2872" i="1"/>
  <c r="AG2872" i="1"/>
  <c r="AC2872" i="1"/>
  <c r="AF2872" i="1"/>
  <c r="AC2622" i="1"/>
  <c r="AE2626" i="1"/>
  <c r="AG2626" i="1"/>
  <c r="M2627" i="1"/>
  <c r="R2627" i="1" s="1"/>
  <c r="AC2638" i="1"/>
  <c r="M2641" i="1"/>
  <c r="R2641" i="1" s="1"/>
  <c r="AE2642" i="1"/>
  <c r="AG2642" i="1"/>
  <c r="M2643" i="1"/>
  <c r="R2643" i="1" s="1"/>
  <c r="AC2649" i="1"/>
  <c r="AD2650" i="1"/>
  <c r="AF2653" i="1"/>
  <c r="AG2653" i="1"/>
  <c r="AC2654" i="1"/>
  <c r="AE2658" i="1"/>
  <c r="AG2658" i="1"/>
  <c r="M2659" i="1"/>
  <c r="R2659" i="1" s="1"/>
  <c r="AE2659" i="1"/>
  <c r="AD2661" i="1"/>
  <c r="AC2663" i="1"/>
  <c r="AC2665" i="1"/>
  <c r="AD2666" i="1"/>
  <c r="AF2669" i="1"/>
  <c r="AG2669" i="1"/>
  <c r="AC2670" i="1"/>
  <c r="M2673" i="1"/>
  <c r="R2673" i="1" s="1"/>
  <c r="AE2674" i="1"/>
  <c r="AG2674" i="1"/>
  <c r="M2675" i="1"/>
  <c r="R2675" i="1" s="1"/>
  <c r="AE2675" i="1"/>
  <c r="AD2677" i="1"/>
  <c r="AC2679" i="1"/>
  <c r="AC2681" i="1"/>
  <c r="AD2682" i="1"/>
  <c r="AF2685" i="1"/>
  <c r="AG2685" i="1"/>
  <c r="AC2686" i="1"/>
  <c r="M2689" i="1"/>
  <c r="R2689" i="1" s="1"/>
  <c r="AE2690" i="1"/>
  <c r="AG2690" i="1"/>
  <c r="M2691" i="1"/>
  <c r="R2691" i="1" s="1"/>
  <c r="AE2691" i="1"/>
  <c r="AD2693" i="1"/>
  <c r="AC2695" i="1"/>
  <c r="AC2697" i="1"/>
  <c r="AD2698" i="1"/>
  <c r="AF2701" i="1"/>
  <c r="AG2701" i="1"/>
  <c r="AC2702" i="1"/>
  <c r="M2705" i="1"/>
  <c r="R2705" i="1" s="1"/>
  <c r="AG2706" i="1"/>
  <c r="AC2706" i="1"/>
  <c r="AF2706" i="1"/>
  <c r="M2707" i="1"/>
  <c r="R2707" i="1" s="1"/>
  <c r="AD2709" i="1"/>
  <c r="AG2709" i="1"/>
  <c r="AC2709" i="1"/>
  <c r="AF2709" i="1"/>
  <c r="AE2709" i="1"/>
  <c r="AF2711" i="1"/>
  <c r="AE2711" i="1"/>
  <c r="AG2711" i="1"/>
  <c r="AD2711" i="1"/>
  <c r="AC2712" i="1"/>
  <c r="AD2713" i="1"/>
  <c r="AG2713" i="1"/>
  <c r="AC2713" i="1"/>
  <c r="AF2713" i="1"/>
  <c r="AF2717" i="1"/>
  <c r="AF2721" i="1"/>
  <c r="AG2723" i="1"/>
  <c r="M2724" i="1"/>
  <c r="R2724" i="1" s="1"/>
  <c r="AG2727" i="1"/>
  <c r="AD2733" i="1"/>
  <c r="AF2733" i="1"/>
  <c r="AG2733" i="1"/>
  <c r="AE2733" i="1"/>
  <c r="AC2733" i="1"/>
  <c r="AG2743" i="1"/>
  <c r="AG2746" i="1"/>
  <c r="AC2746" i="1"/>
  <c r="AE2746" i="1"/>
  <c r="AF2746" i="1"/>
  <c r="AD2746" i="1"/>
  <c r="AG2759" i="1"/>
  <c r="AC2765" i="1"/>
  <c r="Y2769" i="1"/>
  <c r="M2769" i="1"/>
  <c r="R2769" i="1" s="1"/>
  <c r="AG2775" i="1"/>
  <c r="AG2778" i="1"/>
  <c r="AC2778" i="1"/>
  <c r="AE2778" i="1"/>
  <c r="AF2778" i="1"/>
  <c r="AD2778" i="1"/>
  <c r="AG2791" i="1"/>
  <c r="AD2797" i="1"/>
  <c r="AF2797" i="1"/>
  <c r="AG2797" i="1"/>
  <c r="AE2797" i="1"/>
  <c r="AC2797" i="1"/>
  <c r="Y2801" i="1"/>
  <c r="M2801" i="1"/>
  <c r="R2801" i="1" s="1"/>
  <c r="AG2810" i="1"/>
  <c r="AC2810" i="1"/>
  <c r="AE2810" i="1"/>
  <c r="AF2810" i="1"/>
  <c r="AD2810" i="1"/>
  <c r="AG2823" i="1"/>
  <c r="AD2829" i="1"/>
  <c r="AF2829" i="1"/>
  <c r="AG2829" i="1"/>
  <c r="AE2829" i="1"/>
  <c r="AC2829" i="1"/>
  <c r="AF2841" i="1"/>
  <c r="AD2842" i="1"/>
  <c r="Y2875" i="1"/>
  <c r="M2875" i="1"/>
  <c r="R2875" i="1" s="1"/>
  <c r="AF2876" i="1"/>
  <c r="M2716" i="1"/>
  <c r="R2716" i="1" s="1"/>
  <c r="AE2720" i="1"/>
  <c r="AD2720" i="1"/>
  <c r="AG2722" i="1"/>
  <c r="AC2722" i="1"/>
  <c r="AF2722" i="1"/>
  <c r="AD2722" i="1"/>
  <c r="AF2723" i="1"/>
  <c r="AE2723" i="1"/>
  <c r="AC2723" i="1"/>
  <c r="AE2740" i="1"/>
  <c r="AG2740" i="1"/>
  <c r="AC2740" i="1"/>
  <c r="AF2740" i="1"/>
  <c r="AD2741" i="1"/>
  <c r="AF2741" i="1"/>
  <c r="AG2741" i="1"/>
  <c r="AF2751" i="1"/>
  <c r="AD2751" i="1"/>
  <c r="AC2751" i="1"/>
  <c r="AG2754" i="1"/>
  <c r="AC2754" i="1"/>
  <c r="AE2754" i="1"/>
  <c r="AF2754" i="1"/>
  <c r="AD2754" i="1"/>
  <c r="AE2772" i="1"/>
  <c r="AG2772" i="1"/>
  <c r="AC2772" i="1"/>
  <c r="AF2772" i="1"/>
  <c r="Y2777" i="1"/>
  <c r="M2777" i="1"/>
  <c r="R2777" i="1" s="1"/>
  <c r="AF2783" i="1"/>
  <c r="AD2783" i="1"/>
  <c r="AC2783" i="1"/>
  <c r="M2785" i="1"/>
  <c r="R2785" i="1" s="1"/>
  <c r="AG2786" i="1"/>
  <c r="AC2786" i="1"/>
  <c r="AE2786" i="1"/>
  <c r="AF2786" i="1"/>
  <c r="AD2786" i="1"/>
  <c r="AE2804" i="1"/>
  <c r="AG2804" i="1"/>
  <c r="AC2804" i="1"/>
  <c r="AF2804" i="1"/>
  <c r="AD2805" i="1"/>
  <c r="AF2805" i="1"/>
  <c r="AG2805" i="1"/>
  <c r="Y2811" i="1"/>
  <c r="M2811" i="1"/>
  <c r="R2811" i="1" s="1"/>
  <c r="AC2815" i="1"/>
  <c r="M2817" i="1"/>
  <c r="R2817" i="1" s="1"/>
  <c r="AG2818" i="1"/>
  <c r="AC2818" i="1"/>
  <c r="AE2818" i="1"/>
  <c r="AF2818" i="1"/>
  <c r="AD2818" i="1"/>
  <c r="AG2838" i="1"/>
  <c r="AC2838" i="1"/>
  <c r="AD2838" i="1"/>
  <c r="AF2838" i="1"/>
  <c r="Y2839" i="1"/>
  <c r="M2839" i="1"/>
  <c r="R2839" i="1" s="1"/>
  <c r="AG2850" i="1"/>
  <c r="AC2850" i="1"/>
  <c r="AF2850" i="1"/>
  <c r="AE2850" i="1"/>
  <c r="AD2850" i="1"/>
  <c r="AD2865" i="1"/>
  <c r="AG2865" i="1"/>
  <c r="AC2865" i="1"/>
  <c r="AF2865" i="1"/>
  <c r="AE2891" i="1"/>
  <c r="AD2900" i="1"/>
  <c r="AD2903" i="1"/>
  <c r="AG2903" i="1"/>
  <c r="AC2903" i="1"/>
  <c r="AF2903" i="1"/>
  <c r="AE2903" i="1"/>
  <c r="M2712" i="1"/>
  <c r="R2712" i="1" s="1"/>
  <c r="AE2716" i="1"/>
  <c r="AD2716" i="1"/>
  <c r="AG2718" i="1"/>
  <c r="AC2718" i="1"/>
  <c r="AF2718" i="1"/>
  <c r="AD2718" i="1"/>
  <c r="AC2719" i="1"/>
  <c r="M2729" i="1"/>
  <c r="R2729" i="1" s="1"/>
  <c r="AG2730" i="1"/>
  <c r="AC2730" i="1"/>
  <c r="AE2730" i="1"/>
  <c r="AF2730" i="1"/>
  <c r="AD2730" i="1"/>
  <c r="AE2748" i="1"/>
  <c r="AG2748" i="1"/>
  <c r="AC2748" i="1"/>
  <c r="AF2748" i="1"/>
  <c r="AD2749" i="1"/>
  <c r="AF2749" i="1"/>
  <c r="AG2749" i="1"/>
  <c r="Y2753" i="1"/>
  <c r="AD2753" i="1" s="1"/>
  <c r="M2753" i="1"/>
  <c r="R2753" i="1" s="1"/>
  <c r="AF2759" i="1"/>
  <c r="AD2759" i="1"/>
  <c r="AC2759" i="1"/>
  <c r="AG2762" i="1"/>
  <c r="AC2762" i="1"/>
  <c r="AE2762" i="1"/>
  <c r="AF2762" i="1"/>
  <c r="AD2762" i="1"/>
  <c r="AE2780" i="1"/>
  <c r="AG2780" i="1"/>
  <c r="AC2780" i="1"/>
  <c r="AF2780" i="1"/>
  <c r="AF2791" i="1"/>
  <c r="AD2791" i="1"/>
  <c r="AC2791" i="1"/>
  <c r="M2793" i="1"/>
  <c r="R2793" i="1" s="1"/>
  <c r="AG2794" i="1"/>
  <c r="AC2794" i="1"/>
  <c r="AE2794" i="1"/>
  <c r="AF2794" i="1"/>
  <c r="AD2794" i="1"/>
  <c r="AE2812" i="1"/>
  <c r="AG2812" i="1"/>
  <c r="AC2812" i="1"/>
  <c r="AF2812" i="1"/>
  <c r="AD2813" i="1"/>
  <c r="AF2813" i="1"/>
  <c r="AG2813" i="1"/>
  <c r="Y2819" i="1"/>
  <c r="M2819" i="1"/>
  <c r="R2819" i="1" s="1"/>
  <c r="AF2823" i="1"/>
  <c r="AD2823" i="1"/>
  <c r="AC2823" i="1"/>
  <c r="M2825" i="1"/>
  <c r="R2825" i="1" s="1"/>
  <c r="AG2826" i="1"/>
  <c r="AC2826" i="1"/>
  <c r="AE2826" i="1"/>
  <c r="AF2826" i="1"/>
  <c r="AD2826" i="1"/>
  <c r="Y2836" i="1"/>
  <c r="M2836" i="1"/>
  <c r="R2836" i="1" s="1"/>
  <c r="AC2836" i="1"/>
  <c r="AD2837" i="1"/>
  <c r="AF2837" i="1"/>
  <c r="AC2837" i="1"/>
  <c r="AG2837" i="1"/>
  <c r="AD2845" i="1"/>
  <c r="AG2845" i="1"/>
  <c r="AC2845" i="1"/>
  <c r="AF2845" i="1"/>
  <c r="AE2845" i="1"/>
  <c r="AC2851" i="1"/>
  <c r="AE2864" i="1"/>
  <c r="AD2864" i="1"/>
  <c r="AG2864" i="1"/>
  <c r="AC2864" i="1"/>
  <c r="AF2864" i="1"/>
  <c r="AC2867" i="1"/>
  <c r="AF2727" i="1"/>
  <c r="AD2727" i="1"/>
  <c r="AE2728" i="1"/>
  <c r="AG2728" i="1"/>
  <c r="AC2728" i="1"/>
  <c r="AF2731" i="1"/>
  <c r="AD2731" i="1"/>
  <c r="AE2731" i="1"/>
  <c r="AE2736" i="1"/>
  <c r="AG2736" i="1"/>
  <c r="AC2736" i="1"/>
  <c r="AF2739" i="1"/>
  <c r="AD2739" i="1"/>
  <c r="AE2739" i="1"/>
  <c r="AE2744" i="1"/>
  <c r="AG2744" i="1"/>
  <c r="AC2744" i="1"/>
  <c r="AF2747" i="1"/>
  <c r="AD2747" i="1"/>
  <c r="AE2747" i="1"/>
  <c r="AE2752" i="1"/>
  <c r="AG2752" i="1"/>
  <c r="AC2752" i="1"/>
  <c r="AF2755" i="1"/>
  <c r="AD2755" i="1"/>
  <c r="AE2755" i="1"/>
  <c r="AE2760" i="1"/>
  <c r="AG2760" i="1"/>
  <c r="AC2760" i="1"/>
  <c r="AF2763" i="1"/>
  <c r="AD2763" i="1"/>
  <c r="AE2763" i="1"/>
  <c r="AE2768" i="1"/>
  <c r="AG2768" i="1"/>
  <c r="AC2768" i="1"/>
  <c r="AF2771" i="1"/>
  <c r="AD2771" i="1"/>
  <c r="AE2771" i="1"/>
  <c r="AE2776" i="1"/>
  <c r="AG2776" i="1"/>
  <c r="AC2776" i="1"/>
  <c r="AF2779" i="1"/>
  <c r="AD2779" i="1"/>
  <c r="AE2779" i="1"/>
  <c r="AE2784" i="1"/>
  <c r="AG2784" i="1"/>
  <c r="AC2784" i="1"/>
  <c r="AF2787" i="1"/>
  <c r="AD2787" i="1"/>
  <c r="AE2787" i="1"/>
  <c r="AE2792" i="1"/>
  <c r="AG2792" i="1"/>
  <c r="AC2792" i="1"/>
  <c r="AF2795" i="1"/>
  <c r="AD2795" i="1"/>
  <c r="AE2795" i="1"/>
  <c r="AE2800" i="1"/>
  <c r="AG2800" i="1"/>
  <c r="AC2800" i="1"/>
  <c r="AF2803" i="1"/>
  <c r="AD2803" i="1"/>
  <c r="AE2803" i="1"/>
  <c r="AE2808" i="1"/>
  <c r="AG2808" i="1"/>
  <c r="AC2808" i="1"/>
  <c r="Y2815" i="1"/>
  <c r="M2815" i="1"/>
  <c r="R2815" i="1" s="1"/>
  <c r="AE2816" i="1"/>
  <c r="AG2816" i="1"/>
  <c r="AC2816" i="1"/>
  <c r="AE2824" i="1"/>
  <c r="AG2824" i="1"/>
  <c r="AC2824" i="1"/>
  <c r="AF2827" i="1"/>
  <c r="AD2827" i="1"/>
  <c r="AE2827" i="1"/>
  <c r="AE2832" i="1"/>
  <c r="AG2832" i="1"/>
  <c r="AC2832" i="1"/>
  <c r="AG2834" i="1"/>
  <c r="AC2834" i="1"/>
  <c r="AE2834" i="1"/>
  <c r="AF2834" i="1"/>
  <c r="AG2842" i="1"/>
  <c r="AC2842" i="1"/>
  <c r="AF2842" i="1"/>
  <c r="AE2842" i="1"/>
  <c r="Y2843" i="1"/>
  <c r="M2843" i="1"/>
  <c r="R2843" i="1" s="1"/>
  <c r="AE2848" i="1"/>
  <c r="AD2848" i="1"/>
  <c r="AG2848" i="1"/>
  <c r="AC2848" i="1"/>
  <c r="AF2848" i="1"/>
  <c r="Y2859" i="1"/>
  <c r="M2859" i="1"/>
  <c r="R2859" i="1" s="1"/>
  <c r="AF2860" i="1"/>
  <c r="Y2867" i="1"/>
  <c r="M2867" i="1"/>
  <c r="R2867" i="1" s="1"/>
  <c r="AF2868" i="1"/>
  <c r="AG2874" i="1"/>
  <c r="AC2874" i="1"/>
  <c r="AF2874" i="1"/>
  <c r="AE2874" i="1"/>
  <c r="AD2874" i="1"/>
  <c r="AC2727" i="1"/>
  <c r="AD2728" i="1"/>
  <c r="AD2729" i="1"/>
  <c r="AF2729" i="1"/>
  <c r="AE2729" i="1"/>
  <c r="M2731" i="1"/>
  <c r="R2731" i="1" s="1"/>
  <c r="AG2731" i="1"/>
  <c r="AG2734" i="1"/>
  <c r="AC2734" i="1"/>
  <c r="AE2734" i="1"/>
  <c r="AD2736" i="1"/>
  <c r="AD2737" i="1"/>
  <c r="AF2737" i="1"/>
  <c r="AE2737" i="1"/>
  <c r="M2739" i="1"/>
  <c r="R2739" i="1" s="1"/>
  <c r="AG2739" i="1"/>
  <c r="AG2742" i="1"/>
  <c r="AC2742" i="1"/>
  <c r="AE2742" i="1"/>
  <c r="AD2744" i="1"/>
  <c r="AD2745" i="1"/>
  <c r="AF2745" i="1"/>
  <c r="AE2745" i="1"/>
  <c r="M2747" i="1"/>
  <c r="R2747" i="1" s="1"/>
  <c r="AG2747" i="1"/>
  <c r="AG2750" i="1"/>
  <c r="AC2750" i="1"/>
  <c r="AE2750" i="1"/>
  <c r="AD2752" i="1"/>
  <c r="M2755" i="1"/>
  <c r="R2755" i="1" s="1"/>
  <c r="AG2755" i="1"/>
  <c r="Y2757" i="1"/>
  <c r="M2757" i="1"/>
  <c r="R2757" i="1" s="1"/>
  <c r="AG2758" i="1"/>
  <c r="AC2758" i="1"/>
  <c r="AE2758" i="1"/>
  <c r="AD2760" i="1"/>
  <c r="M2763" i="1"/>
  <c r="R2763" i="1" s="1"/>
  <c r="AG2763" i="1"/>
  <c r="Y2765" i="1"/>
  <c r="M2765" i="1"/>
  <c r="R2765" i="1" s="1"/>
  <c r="AG2766" i="1"/>
  <c r="AC2766" i="1"/>
  <c r="AE2766" i="1"/>
  <c r="AD2768" i="1"/>
  <c r="M2771" i="1"/>
  <c r="R2771" i="1" s="1"/>
  <c r="AG2771" i="1"/>
  <c r="Y2773" i="1"/>
  <c r="AD2773" i="1" s="1"/>
  <c r="M2773" i="1"/>
  <c r="R2773" i="1" s="1"/>
  <c r="AG2774" i="1"/>
  <c r="AC2774" i="1"/>
  <c r="AE2774" i="1"/>
  <c r="AD2776" i="1"/>
  <c r="M2779" i="1"/>
  <c r="R2779" i="1" s="1"/>
  <c r="AG2779" i="1"/>
  <c r="Y2781" i="1"/>
  <c r="AD2781" i="1" s="1"/>
  <c r="M2781" i="1"/>
  <c r="R2781" i="1" s="1"/>
  <c r="AG2782" i="1"/>
  <c r="AC2782" i="1"/>
  <c r="AE2782" i="1"/>
  <c r="AD2784" i="1"/>
  <c r="AD2785" i="1"/>
  <c r="AF2785" i="1"/>
  <c r="AE2785" i="1"/>
  <c r="M2787" i="1"/>
  <c r="R2787" i="1" s="1"/>
  <c r="AG2787" i="1"/>
  <c r="AG2790" i="1"/>
  <c r="AC2790" i="1"/>
  <c r="AE2790" i="1"/>
  <c r="AD2792" i="1"/>
  <c r="AD2793" i="1"/>
  <c r="AF2793" i="1"/>
  <c r="AE2793" i="1"/>
  <c r="M2795" i="1"/>
  <c r="R2795" i="1" s="1"/>
  <c r="AG2795" i="1"/>
  <c r="AG2798" i="1"/>
  <c r="AC2798" i="1"/>
  <c r="AE2798" i="1"/>
  <c r="AD2800" i="1"/>
  <c r="M2803" i="1"/>
  <c r="R2803" i="1" s="1"/>
  <c r="AG2803" i="1"/>
  <c r="AG2806" i="1"/>
  <c r="AC2806" i="1"/>
  <c r="AE2806" i="1"/>
  <c r="AD2808" i="1"/>
  <c r="AD2809" i="1"/>
  <c r="AF2809" i="1"/>
  <c r="AE2809" i="1"/>
  <c r="AG2814" i="1"/>
  <c r="AC2814" i="1"/>
  <c r="AE2814" i="1"/>
  <c r="AD2816" i="1"/>
  <c r="AD2817" i="1"/>
  <c r="AF2817" i="1"/>
  <c r="AE2817" i="1"/>
  <c r="AG2822" i="1"/>
  <c r="AC2822" i="1"/>
  <c r="AE2822" i="1"/>
  <c r="AD2824" i="1"/>
  <c r="AD2825" i="1"/>
  <c r="AF2825" i="1"/>
  <c r="AE2825" i="1"/>
  <c r="M2827" i="1"/>
  <c r="R2827" i="1" s="1"/>
  <c r="AG2827" i="1"/>
  <c r="AG2830" i="1"/>
  <c r="AC2830" i="1"/>
  <c r="AE2830" i="1"/>
  <c r="AD2832" i="1"/>
  <c r="AD2833" i="1"/>
  <c r="AF2833" i="1"/>
  <c r="AE2833" i="1"/>
  <c r="AC2839" i="1"/>
  <c r="Y2851" i="1"/>
  <c r="M2851" i="1"/>
  <c r="R2851" i="1" s="1"/>
  <c r="AF2852" i="1"/>
  <c r="AG2858" i="1"/>
  <c r="AC2858" i="1"/>
  <c r="AF2858" i="1"/>
  <c r="AE2858" i="1"/>
  <c r="AD2858" i="1"/>
  <c r="AG2866" i="1"/>
  <c r="AC2866" i="1"/>
  <c r="AF2866" i="1"/>
  <c r="AE2866" i="1"/>
  <c r="AD2866" i="1"/>
  <c r="AD2873" i="1"/>
  <c r="AG2873" i="1"/>
  <c r="AC2873" i="1"/>
  <c r="AF2873" i="1"/>
  <c r="AF2885" i="1"/>
  <c r="AD2885" i="1"/>
  <c r="AC2885" i="1"/>
  <c r="AG2885" i="1"/>
  <c r="AE2885" i="1"/>
  <c r="AE2894" i="1"/>
  <c r="AD2894" i="1"/>
  <c r="AG2894" i="1"/>
  <c r="AC2894" i="1"/>
  <c r="AF2894" i="1"/>
  <c r="AE2910" i="1"/>
  <c r="AD2910" i="1"/>
  <c r="AG2910" i="1"/>
  <c r="AC2910" i="1"/>
  <c r="AF2910" i="1"/>
  <c r="AE2926" i="1"/>
  <c r="AD2926" i="1"/>
  <c r="AG2926" i="1"/>
  <c r="AC2926" i="1"/>
  <c r="AF2926" i="1"/>
  <c r="AE2844" i="1"/>
  <c r="AD2844" i="1"/>
  <c r="AG2846" i="1"/>
  <c r="AC2846" i="1"/>
  <c r="AF2846" i="1"/>
  <c r="AD2846" i="1"/>
  <c r="AE2852" i="1"/>
  <c r="AD2852" i="1"/>
  <c r="AG2852" i="1"/>
  <c r="AC2852" i="1"/>
  <c r="AD2853" i="1"/>
  <c r="AG2853" i="1"/>
  <c r="AC2853" i="1"/>
  <c r="AF2853" i="1"/>
  <c r="AG2854" i="1"/>
  <c r="AC2854" i="1"/>
  <c r="AF2854" i="1"/>
  <c r="AE2854" i="1"/>
  <c r="Y2855" i="1"/>
  <c r="M2855" i="1"/>
  <c r="R2855" i="1" s="1"/>
  <c r="AE2868" i="1"/>
  <c r="AD2868" i="1"/>
  <c r="AG2868" i="1"/>
  <c r="AC2868" i="1"/>
  <c r="AD2869" i="1"/>
  <c r="AG2869" i="1"/>
  <c r="AC2869" i="1"/>
  <c r="AF2869" i="1"/>
  <c r="AG2870" i="1"/>
  <c r="AC2870" i="1"/>
  <c r="AF2870" i="1"/>
  <c r="AE2870" i="1"/>
  <c r="Y2871" i="1"/>
  <c r="AE2871" i="1" s="1"/>
  <c r="M2871" i="1"/>
  <c r="R2871" i="1" s="1"/>
  <c r="AD2892" i="1"/>
  <c r="AD2895" i="1"/>
  <c r="AG2895" i="1"/>
  <c r="AC2895" i="1"/>
  <c r="AF2895" i="1"/>
  <c r="AE2895" i="1"/>
  <c r="AE2902" i="1"/>
  <c r="AD2902" i="1"/>
  <c r="AG2902" i="1"/>
  <c r="AC2902" i="1"/>
  <c r="AF2902" i="1"/>
  <c r="AD2924" i="1"/>
  <c r="AD2927" i="1"/>
  <c r="AG2927" i="1"/>
  <c r="AC2927" i="1"/>
  <c r="AF2927" i="1"/>
  <c r="AE2927" i="1"/>
  <c r="AD2943" i="1"/>
  <c r="AG2943" i="1"/>
  <c r="AC2943" i="1"/>
  <c r="AF2943" i="1"/>
  <c r="AE2943" i="1"/>
  <c r="AE2939" i="1"/>
  <c r="AF2835" i="1"/>
  <c r="AG2835" i="1"/>
  <c r="AE2840" i="1"/>
  <c r="AG2840" i="1"/>
  <c r="M2841" i="1"/>
  <c r="R2841" i="1" s="1"/>
  <c r="Y2847" i="1"/>
  <c r="M2847" i="1"/>
  <c r="R2847" i="1" s="1"/>
  <c r="AE2860" i="1"/>
  <c r="AD2860" i="1"/>
  <c r="AG2860" i="1"/>
  <c r="AC2860" i="1"/>
  <c r="AD2861" i="1"/>
  <c r="AG2861" i="1"/>
  <c r="AC2861" i="1"/>
  <c r="AF2861" i="1"/>
  <c r="AG2862" i="1"/>
  <c r="AC2862" i="1"/>
  <c r="AF2862" i="1"/>
  <c r="AE2862" i="1"/>
  <c r="Y2863" i="1"/>
  <c r="M2863" i="1"/>
  <c r="R2863" i="1" s="1"/>
  <c r="AE2876" i="1"/>
  <c r="AD2876" i="1"/>
  <c r="AG2876" i="1"/>
  <c r="AC2876" i="1"/>
  <c r="AD2877" i="1"/>
  <c r="AE2877" i="1"/>
  <c r="AC2877" i="1"/>
  <c r="AG2877" i="1"/>
  <c r="AE2882" i="1"/>
  <c r="AG2882" i="1"/>
  <c r="AC2882" i="1"/>
  <c r="AF2882" i="1"/>
  <c r="AD2882" i="1"/>
  <c r="AD2908" i="1"/>
  <c r="AD2911" i="1"/>
  <c r="AG2911" i="1"/>
  <c r="AC2911" i="1"/>
  <c r="AF2911" i="1"/>
  <c r="AE2911" i="1"/>
  <c r="AE2918" i="1"/>
  <c r="AD2918" i="1"/>
  <c r="AG2918" i="1"/>
  <c r="AC2918" i="1"/>
  <c r="AF2918" i="1"/>
  <c r="Y2879" i="1"/>
  <c r="M2879" i="1"/>
  <c r="R2879" i="1" s="1"/>
  <c r="AG2880" i="1"/>
  <c r="AC2880" i="1"/>
  <c r="AE2880" i="1"/>
  <c r="AD2883" i="1"/>
  <c r="AF2883" i="1"/>
  <c r="AE2883" i="1"/>
  <c r="AG2892" i="1"/>
  <c r="AF2893" i="1"/>
  <c r="AE2893" i="1"/>
  <c r="AD2893" i="1"/>
  <c r="AG2900" i="1"/>
  <c r="AF2901" i="1"/>
  <c r="AE2901" i="1"/>
  <c r="AD2901" i="1"/>
  <c r="AG2908" i="1"/>
  <c r="AF2909" i="1"/>
  <c r="AE2909" i="1"/>
  <c r="AD2909" i="1"/>
  <c r="AG2916" i="1"/>
  <c r="AF2917" i="1"/>
  <c r="AE2917" i="1"/>
  <c r="AD2917" i="1"/>
  <c r="AG2924" i="1"/>
  <c r="AF2925" i="1"/>
  <c r="AE2925" i="1"/>
  <c r="AD2925" i="1"/>
  <c r="AD2935" i="1"/>
  <c r="AF2935" i="1"/>
  <c r="AC2935" i="1"/>
  <c r="AG2935" i="1"/>
  <c r="AE2942" i="1"/>
  <c r="AD2942" i="1"/>
  <c r="AG2942" i="1"/>
  <c r="AC2942" i="1"/>
  <c r="AF2942" i="1"/>
  <c r="AG2952" i="1"/>
  <c r="AC2952" i="1"/>
  <c r="AE2952" i="1"/>
  <c r="AF2952" i="1"/>
  <c r="AD2952" i="1"/>
  <c r="AE2878" i="1"/>
  <c r="AG2878" i="1"/>
  <c r="AC2878" i="1"/>
  <c r="AD2880" i="1"/>
  <c r="AF2881" i="1"/>
  <c r="AD2881" i="1"/>
  <c r="AE2881" i="1"/>
  <c r="AG2883" i="1"/>
  <c r="AE2886" i="1"/>
  <c r="AG2886" i="1"/>
  <c r="AC2886" i="1"/>
  <c r="AE2890" i="1"/>
  <c r="AD2890" i="1"/>
  <c r="AG2890" i="1"/>
  <c r="AC2890" i="1"/>
  <c r="AD2891" i="1"/>
  <c r="AG2891" i="1"/>
  <c r="AC2891" i="1"/>
  <c r="AF2891" i="1"/>
  <c r="AE2898" i="1"/>
  <c r="AD2898" i="1"/>
  <c r="AG2898" i="1"/>
  <c r="AC2898" i="1"/>
  <c r="AD2899" i="1"/>
  <c r="AG2899" i="1"/>
  <c r="AC2899" i="1"/>
  <c r="AF2899" i="1"/>
  <c r="AE2906" i="1"/>
  <c r="AD2906" i="1"/>
  <c r="AG2906" i="1"/>
  <c r="AC2906" i="1"/>
  <c r="AD2907" i="1"/>
  <c r="AG2907" i="1"/>
  <c r="AC2907" i="1"/>
  <c r="AF2907" i="1"/>
  <c r="AE2914" i="1"/>
  <c r="AD2914" i="1"/>
  <c r="AG2914" i="1"/>
  <c r="AC2914" i="1"/>
  <c r="AD2915" i="1"/>
  <c r="AG2915" i="1"/>
  <c r="AC2915" i="1"/>
  <c r="AF2915" i="1"/>
  <c r="AE2922" i="1"/>
  <c r="AD2922" i="1"/>
  <c r="AG2922" i="1"/>
  <c r="AC2922" i="1"/>
  <c r="AD2923" i="1"/>
  <c r="AG2923" i="1"/>
  <c r="AC2923" i="1"/>
  <c r="AF2923" i="1"/>
  <c r="AE2930" i="1"/>
  <c r="AD2930" i="1"/>
  <c r="AG2930" i="1"/>
  <c r="AC2930" i="1"/>
  <c r="AD2931" i="1"/>
  <c r="AF2931" i="1"/>
  <c r="AG2931" i="1"/>
  <c r="AE2931" i="1"/>
  <c r="AC2931" i="1"/>
  <c r="AE2935" i="1"/>
  <c r="AD2948" i="1"/>
  <c r="AD2878" i="1"/>
  <c r="AF2880" i="1"/>
  <c r="M2881" i="1"/>
  <c r="R2881" i="1" s="1"/>
  <c r="AG2881" i="1"/>
  <c r="AG2884" i="1"/>
  <c r="AC2884" i="1"/>
  <c r="AE2884" i="1"/>
  <c r="AD2886" i="1"/>
  <c r="AD2887" i="1"/>
  <c r="AG2887" i="1"/>
  <c r="AC2887" i="1"/>
  <c r="AF2887" i="1"/>
  <c r="AG2888" i="1"/>
  <c r="AF2889" i="1"/>
  <c r="AE2889" i="1"/>
  <c r="AD2889" i="1"/>
  <c r="AF2890" i="1"/>
  <c r="AC2893" i="1"/>
  <c r="AG2896" i="1"/>
  <c r="AF2897" i="1"/>
  <c r="AE2897" i="1"/>
  <c r="AD2897" i="1"/>
  <c r="AF2898" i="1"/>
  <c r="AC2901" i="1"/>
  <c r="AG2904" i="1"/>
  <c r="AF2905" i="1"/>
  <c r="AE2905" i="1"/>
  <c r="AD2905" i="1"/>
  <c r="AF2906" i="1"/>
  <c r="AC2909" i="1"/>
  <c r="AG2912" i="1"/>
  <c r="AF2913" i="1"/>
  <c r="AE2913" i="1"/>
  <c r="AD2913" i="1"/>
  <c r="AF2914" i="1"/>
  <c r="AC2917" i="1"/>
  <c r="AG2920" i="1"/>
  <c r="AF2921" i="1"/>
  <c r="AE2921" i="1"/>
  <c r="AD2921" i="1"/>
  <c r="AF2922" i="1"/>
  <c r="AC2925" i="1"/>
  <c r="AG2928" i="1"/>
  <c r="AF2929" i="1"/>
  <c r="AE2929" i="1"/>
  <c r="AD2929" i="1"/>
  <c r="AF2930" i="1"/>
  <c r="AD2940" i="1"/>
  <c r="AD2951" i="1"/>
  <c r="AG2951" i="1"/>
  <c r="AC2951" i="1"/>
  <c r="AF2951" i="1"/>
  <c r="AE2951" i="1"/>
  <c r="AE2888" i="1"/>
  <c r="AE2892" i="1"/>
  <c r="AE2896" i="1"/>
  <c r="AE2900" i="1"/>
  <c r="AE2904" i="1"/>
  <c r="AE2908" i="1"/>
  <c r="AE2912" i="1"/>
  <c r="AE2916" i="1"/>
  <c r="AE2920" i="1"/>
  <c r="AE2924" i="1"/>
  <c r="AE2928" i="1"/>
  <c r="AF2933" i="1"/>
  <c r="AD2933" i="1"/>
  <c r="AE2933" i="1"/>
  <c r="M2935" i="1"/>
  <c r="R2935" i="1" s="1"/>
  <c r="AG2940" i="1"/>
  <c r="AF2941" i="1"/>
  <c r="AE2941" i="1"/>
  <c r="AD2941" i="1"/>
  <c r="Y2945" i="1"/>
  <c r="M2945" i="1"/>
  <c r="R2945" i="1" s="1"/>
  <c r="AG2948" i="1"/>
  <c r="AE2962" i="1"/>
  <c r="AG2962" i="1"/>
  <c r="AC2962" i="1"/>
  <c r="AF2962" i="1"/>
  <c r="AD2962" i="1"/>
  <c r="AF2965" i="1"/>
  <c r="AE2965" i="1"/>
  <c r="AD2965" i="1"/>
  <c r="AG2965" i="1"/>
  <c r="AC2965" i="1"/>
  <c r="AF2888" i="1"/>
  <c r="AF2892" i="1"/>
  <c r="AF2896" i="1"/>
  <c r="AF2900" i="1"/>
  <c r="AF2904" i="1"/>
  <c r="AF2908" i="1"/>
  <c r="AF2912" i="1"/>
  <c r="AF2916" i="1"/>
  <c r="AF2920" i="1"/>
  <c r="AF2924" i="1"/>
  <c r="AF2928" i="1"/>
  <c r="AG2936" i="1"/>
  <c r="AC2936" i="1"/>
  <c r="AE2936" i="1"/>
  <c r="AE2938" i="1"/>
  <c r="AD2938" i="1"/>
  <c r="AG2938" i="1"/>
  <c r="AC2938" i="1"/>
  <c r="AD2939" i="1"/>
  <c r="AG2939" i="1"/>
  <c r="AC2939" i="1"/>
  <c r="AF2939" i="1"/>
  <c r="AE2946" i="1"/>
  <c r="AD2946" i="1"/>
  <c r="AG2946" i="1"/>
  <c r="AC2946" i="1"/>
  <c r="AD2947" i="1"/>
  <c r="AG2947" i="1"/>
  <c r="AC2947" i="1"/>
  <c r="AF2947" i="1"/>
  <c r="AF2973" i="1"/>
  <c r="AE2973" i="1"/>
  <c r="AD2973" i="1"/>
  <c r="AG2973" i="1"/>
  <c r="AC2973" i="1"/>
  <c r="Y2984" i="1"/>
  <c r="M2984" i="1"/>
  <c r="R2984" i="1" s="1"/>
  <c r="Y2992" i="1"/>
  <c r="M2992" i="1"/>
  <c r="R2992" i="1" s="1"/>
  <c r="AC2888" i="1"/>
  <c r="AC2892" i="1"/>
  <c r="AC2896" i="1"/>
  <c r="M2899" i="1"/>
  <c r="R2899" i="1" s="1"/>
  <c r="AC2900" i="1"/>
  <c r="M2903" i="1"/>
  <c r="R2903" i="1" s="1"/>
  <c r="AC2904" i="1"/>
  <c r="M2907" i="1"/>
  <c r="R2907" i="1" s="1"/>
  <c r="AC2908" i="1"/>
  <c r="M2911" i="1"/>
  <c r="R2911" i="1" s="1"/>
  <c r="AC2912" i="1"/>
  <c r="M2915" i="1"/>
  <c r="R2915" i="1" s="1"/>
  <c r="AC2916" i="1"/>
  <c r="M2919" i="1"/>
  <c r="R2919" i="1" s="1"/>
  <c r="AC2920" i="1"/>
  <c r="M2923" i="1"/>
  <c r="R2923" i="1" s="1"/>
  <c r="AC2924" i="1"/>
  <c r="M2927" i="1"/>
  <c r="R2927" i="1" s="1"/>
  <c r="AC2928" i="1"/>
  <c r="M2931" i="1"/>
  <c r="R2931" i="1" s="1"/>
  <c r="AE2934" i="1"/>
  <c r="AG2934" i="1"/>
  <c r="AC2934" i="1"/>
  <c r="AD2936" i="1"/>
  <c r="AF2937" i="1"/>
  <c r="AE2937" i="1"/>
  <c r="AD2937" i="1"/>
  <c r="AF2938" i="1"/>
  <c r="AG2944" i="1"/>
  <c r="AF2946" i="1"/>
  <c r="Y2949" i="1"/>
  <c r="AF2949" i="1" s="1"/>
  <c r="M2949" i="1"/>
  <c r="R2949" i="1" s="1"/>
  <c r="AE2954" i="1"/>
  <c r="AG2954" i="1"/>
  <c r="AC2954" i="1"/>
  <c r="AF2954" i="1"/>
  <c r="AD2954" i="1"/>
  <c r="AF2957" i="1"/>
  <c r="AD2957" i="1"/>
  <c r="AC2957" i="1"/>
  <c r="AG2957" i="1"/>
  <c r="AD2960" i="1"/>
  <c r="AE2940" i="1"/>
  <c r="AE2944" i="1"/>
  <c r="AE2948" i="1"/>
  <c r="AD2955" i="1"/>
  <c r="AF2955" i="1"/>
  <c r="AE2955" i="1"/>
  <c r="AF2956" i="1"/>
  <c r="M2957" i="1"/>
  <c r="R2957" i="1" s="1"/>
  <c r="AG2960" i="1"/>
  <c r="AC2960" i="1"/>
  <c r="AE2960" i="1"/>
  <c r="AD2963" i="1"/>
  <c r="AF2963" i="1"/>
  <c r="AE2963" i="1"/>
  <c r="AF2964" i="1"/>
  <c r="M2965" i="1"/>
  <c r="R2965" i="1" s="1"/>
  <c r="AE2970" i="1"/>
  <c r="AD2970" i="1"/>
  <c r="AG2970" i="1"/>
  <c r="AC2970" i="1"/>
  <c r="AD2971" i="1"/>
  <c r="AG2971" i="1"/>
  <c r="AC2971" i="1"/>
  <c r="AF2971" i="1"/>
  <c r="M2973" i="1"/>
  <c r="R2973" i="1" s="1"/>
  <c r="AD2978" i="1"/>
  <c r="AG2978" i="1"/>
  <c r="AC2978" i="1"/>
  <c r="AF2978" i="1"/>
  <c r="AE2978" i="1"/>
  <c r="AG2983" i="1"/>
  <c r="AC2983" i="1"/>
  <c r="AF2983" i="1"/>
  <c r="AE2983" i="1"/>
  <c r="AD2983" i="1"/>
  <c r="AD2986" i="1"/>
  <c r="AG2986" i="1"/>
  <c r="AC2986" i="1"/>
  <c r="AF2986" i="1"/>
  <c r="AE2986" i="1"/>
  <c r="AG2991" i="1"/>
  <c r="AC2991" i="1"/>
  <c r="AF2991" i="1"/>
  <c r="AE2991" i="1"/>
  <c r="AD2991" i="1"/>
  <c r="AD2994" i="1"/>
  <c r="AG2994" i="1"/>
  <c r="AC2994" i="1"/>
  <c r="AF2994" i="1"/>
  <c r="AE2994" i="1"/>
  <c r="AF2940" i="1"/>
  <c r="AF2944" i="1"/>
  <c r="AF2948" i="1"/>
  <c r="AF2953" i="1"/>
  <c r="AD2953" i="1"/>
  <c r="AE2953" i="1"/>
  <c r="AE2958" i="1"/>
  <c r="AG2958" i="1"/>
  <c r="AC2958" i="1"/>
  <c r="AF2961" i="1"/>
  <c r="AD2961" i="1"/>
  <c r="AE2961" i="1"/>
  <c r="AF2969" i="1"/>
  <c r="AE2969" i="1"/>
  <c r="AD2969" i="1"/>
  <c r="Y2980" i="1"/>
  <c r="M2980" i="1"/>
  <c r="R2980" i="1" s="1"/>
  <c r="Y2988" i="1"/>
  <c r="M2988" i="1"/>
  <c r="R2988" i="1" s="1"/>
  <c r="AF2997" i="1"/>
  <c r="AD3002" i="1"/>
  <c r="AG3002" i="1"/>
  <c r="AC3002" i="1"/>
  <c r="AF3002" i="1"/>
  <c r="AE3002" i="1"/>
  <c r="AC2940" i="1"/>
  <c r="AC2944" i="1"/>
  <c r="AC2948" i="1"/>
  <c r="M2953" i="1"/>
  <c r="R2953" i="1" s="1"/>
  <c r="AG2953" i="1"/>
  <c r="AG2956" i="1"/>
  <c r="AC2956" i="1"/>
  <c r="AE2956" i="1"/>
  <c r="AD2958" i="1"/>
  <c r="AD2959" i="1"/>
  <c r="AF2959" i="1"/>
  <c r="AE2959" i="1"/>
  <c r="AF2960" i="1"/>
  <c r="M2961" i="1"/>
  <c r="R2961" i="1" s="1"/>
  <c r="AG2961" i="1"/>
  <c r="AG2964" i="1"/>
  <c r="AC2964" i="1"/>
  <c r="AE2964" i="1"/>
  <c r="AE2966" i="1"/>
  <c r="AD2966" i="1"/>
  <c r="AG2966" i="1"/>
  <c r="AC2966" i="1"/>
  <c r="AD2967" i="1"/>
  <c r="AG2967" i="1"/>
  <c r="AC2967" i="1"/>
  <c r="AF2967" i="1"/>
  <c r="M2969" i="1"/>
  <c r="R2969" i="1" s="1"/>
  <c r="AE2971" i="1"/>
  <c r="AE2974" i="1"/>
  <c r="AD2974" i="1"/>
  <c r="AG2974" i="1"/>
  <c r="AC2974" i="1"/>
  <c r="AD2975" i="1"/>
  <c r="AG2975" i="1"/>
  <c r="AC2975" i="1"/>
  <c r="AF2975" i="1"/>
  <c r="AG2979" i="1"/>
  <c r="AC2979" i="1"/>
  <c r="AF2979" i="1"/>
  <c r="AE2979" i="1"/>
  <c r="AD2979" i="1"/>
  <c r="AD2982" i="1"/>
  <c r="AG2982" i="1"/>
  <c r="AC2982" i="1"/>
  <c r="AF2982" i="1"/>
  <c r="AE2982" i="1"/>
  <c r="AG2987" i="1"/>
  <c r="AC2987" i="1"/>
  <c r="AF2987" i="1"/>
  <c r="AE2987" i="1"/>
  <c r="AD2987" i="1"/>
  <c r="AD2990" i="1"/>
  <c r="AG2990" i="1"/>
  <c r="AC2990" i="1"/>
  <c r="AF2990" i="1"/>
  <c r="AE2990" i="1"/>
  <c r="AE2968" i="1"/>
  <c r="AE2972" i="1"/>
  <c r="AE2981" i="1"/>
  <c r="AD2981" i="1"/>
  <c r="AG2981" i="1"/>
  <c r="AC2981" i="1"/>
  <c r="AE2985" i="1"/>
  <c r="AD2985" i="1"/>
  <c r="AG2985" i="1"/>
  <c r="AC2985" i="1"/>
  <c r="AE2989" i="1"/>
  <c r="AD2989" i="1"/>
  <c r="AG2989" i="1"/>
  <c r="AC2989" i="1"/>
  <c r="AE2993" i="1"/>
  <c r="AD2993" i="1"/>
  <c r="AG2993" i="1"/>
  <c r="AC2993" i="1"/>
  <c r="AG2995" i="1"/>
  <c r="AC2995" i="1"/>
  <c r="AF2995" i="1"/>
  <c r="AE2995" i="1"/>
  <c r="Y2996" i="1"/>
  <c r="M2996" i="1"/>
  <c r="R2996" i="1" s="1"/>
  <c r="AE3001" i="1"/>
  <c r="AD3001" i="1"/>
  <c r="AG3001" i="1"/>
  <c r="AC3001" i="1"/>
  <c r="AG3003" i="1"/>
  <c r="AC3003" i="1"/>
  <c r="AF3003" i="1"/>
  <c r="AE3003" i="1"/>
  <c r="AF3004" i="1"/>
  <c r="AD3006" i="1"/>
  <c r="AG3006" i="1"/>
  <c r="AC3006" i="1"/>
  <c r="AF3006" i="1"/>
  <c r="AF2968" i="1"/>
  <c r="AF2972" i="1"/>
  <c r="AE2976" i="1"/>
  <c r="AG2976" i="1"/>
  <c r="AF2981" i="1"/>
  <c r="AF2985" i="1"/>
  <c r="AF2989" i="1"/>
  <c r="AF2993" i="1"/>
  <c r="AD2998" i="1"/>
  <c r="AG2998" i="1"/>
  <c r="AC2998" i="1"/>
  <c r="AF2998" i="1"/>
  <c r="AF3001" i="1"/>
  <c r="AE3005" i="1"/>
  <c r="AD3005" i="1"/>
  <c r="AG3005" i="1"/>
  <c r="AC3005" i="1"/>
  <c r="M2967" i="1"/>
  <c r="R2967" i="1" s="1"/>
  <c r="AC2968" i="1"/>
  <c r="AC2972" i="1"/>
  <c r="M2975" i="1"/>
  <c r="R2975" i="1" s="1"/>
  <c r="AC2976" i="1"/>
  <c r="AE2977" i="1"/>
  <c r="AD2977" i="1"/>
  <c r="AE2997" i="1"/>
  <c r="AD2997" i="1"/>
  <c r="AG2997" i="1"/>
  <c r="AC2997" i="1"/>
  <c r="AG2999" i="1"/>
  <c r="AC2999" i="1"/>
  <c r="AF2999" i="1"/>
  <c r="AE2999" i="1"/>
  <c r="Y3000" i="1"/>
  <c r="M3000" i="1"/>
  <c r="R3000" i="1" s="1"/>
  <c r="AF3005" i="1"/>
  <c r="AE3006" i="1"/>
  <c r="AD3004" i="1"/>
  <c r="AE3004" i="1"/>
  <c r="N3007" i="1"/>
  <c r="AK9" i="1"/>
  <c r="AE540" i="1" l="1"/>
  <c r="AF372" i="1"/>
  <c r="AG232" i="1"/>
  <c r="AD208" i="1"/>
  <c r="AF17" i="1"/>
  <c r="AG208" i="1"/>
  <c r="AF208" i="1"/>
  <c r="AE17" i="1"/>
  <c r="AG2220" i="1"/>
  <c r="AG637" i="1"/>
  <c r="AG541" i="1"/>
  <c r="AF1008" i="1"/>
  <c r="AF2977" i="1"/>
  <c r="AD2934" i="1"/>
  <c r="AF2814" i="1"/>
  <c r="AD2204" i="1"/>
  <c r="AG1974" i="1"/>
  <c r="AF109" i="1"/>
  <c r="AG2751" i="1"/>
  <c r="AD1244" i="1"/>
  <c r="AE1445" i="1"/>
  <c r="AF1445" i="1"/>
  <c r="AG1540" i="1"/>
  <c r="AD1540" i="1"/>
  <c r="AG1500" i="1"/>
  <c r="AD1500" i="1"/>
  <c r="AG1444" i="1"/>
  <c r="AD1444" i="1"/>
  <c r="AD641" i="1"/>
  <c r="AD577" i="1"/>
  <c r="AE553" i="1"/>
  <c r="AD553" i="1"/>
  <c r="AG529" i="1"/>
  <c r="AD529" i="1"/>
  <c r="AG1187" i="1"/>
  <c r="AG975" i="1"/>
  <c r="AG907" i="1"/>
  <c r="AD1293" i="1"/>
  <c r="AD1040" i="1"/>
  <c r="AG995" i="1"/>
  <c r="AG1223" i="1"/>
  <c r="AG1425" i="1"/>
  <c r="AG1615" i="1"/>
  <c r="AF1596" i="1"/>
  <c r="AD1596" i="1"/>
  <c r="AD1468" i="1"/>
  <c r="AG1468" i="1"/>
  <c r="AG1191" i="1"/>
  <c r="AG1231" i="1"/>
  <c r="AG895" i="1"/>
  <c r="AG859" i="1"/>
  <c r="AG839" i="1"/>
  <c r="AG366" i="1"/>
  <c r="AF349" i="1"/>
  <c r="AD349" i="1"/>
  <c r="AG349" i="1"/>
  <c r="AG334" i="1"/>
  <c r="AG133" i="1"/>
  <c r="AD133" i="1"/>
  <c r="AG442" i="1"/>
  <c r="AG429" i="1"/>
  <c r="AD429" i="1"/>
  <c r="AG342" i="1"/>
  <c r="AG322" i="1"/>
  <c r="AD285" i="1"/>
  <c r="AD221" i="1"/>
  <c r="AD21" i="1"/>
  <c r="AG21" i="1"/>
  <c r="AG1155" i="1"/>
  <c r="AG1023" i="1"/>
  <c r="AG1607" i="1"/>
  <c r="AF1196" i="1"/>
  <c r="AD1196" i="1"/>
  <c r="AF606" i="1"/>
  <c r="AD489" i="1"/>
  <c r="AG489" i="1"/>
  <c r="AG298" i="1"/>
  <c r="AF541" i="1"/>
  <c r="AF1040" i="1"/>
  <c r="AF2627" i="1"/>
  <c r="AF2663" i="1"/>
  <c r="AG2051" i="1"/>
  <c r="AG1563" i="1"/>
  <c r="AD1670" i="1"/>
  <c r="AG1207" i="1"/>
  <c r="AG1115" i="1"/>
  <c r="AD505" i="1"/>
  <c r="AD101" i="1"/>
  <c r="AF221" i="1"/>
  <c r="AF628" i="1"/>
  <c r="AD1204" i="1"/>
  <c r="AD85" i="1"/>
  <c r="AF2884" i="1"/>
  <c r="AG819" i="1"/>
  <c r="AF2163" i="1"/>
  <c r="AE1719" i="1"/>
  <c r="AE2139" i="1"/>
  <c r="AG1561" i="1"/>
  <c r="AF1239" i="1"/>
  <c r="AF2753" i="1"/>
  <c r="AE1341" i="1"/>
  <c r="AD2166" i="1"/>
  <c r="AG2665" i="1"/>
  <c r="AF1341" i="1"/>
  <c r="AE2665" i="1"/>
  <c r="AF1967" i="1"/>
  <c r="AD1341" i="1"/>
  <c r="AD216" i="1"/>
  <c r="AE1561" i="1"/>
  <c r="AD2980" i="1"/>
  <c r="AG17" i="1"/>
  <c r="AG2637" i="1"/>
  <c r="AD232" i="1"/>
  <c r="AF2637" i="1"/>
  <c r="AG605" i="1"/>
  <c r="AF589" i="1"/>
  <c r="AG589" i="1"/>
  <c r="AE2967" i="1"/>
  <c r="AF2886" i="1"/>
  <c r="AG2833" i="1"/>
  <c r="AG2817" i="1"/>
  <c r="AD2782" i="1"/>
  <c r="AF2782" i="1"/>
  <c r="AG3004" i="1"/>
  <c r="AG2969" i="1"/>
  <c r="AG2921" i="1"/>
  <c r="AE2805" i="1"/>
  <c r="AG2793" i="1"/>
  <c r="AF2334" i="1"/>
  <c r="AG2304" i="1"/>
  <c r="AG2191" i="1"/>
  <c r="AE2161" i="1"/>
  <c r="AE2129" i="1"/>
  <c r="AD2106" i="1"/>
  <c r="AG2106" i="1"/>
  <c r="AG2091" i="1"/>
  <c r="AG2606" i="1"/>
  <c r="AF2606" i="1"/>
  <c r="AG2538" i="1"/>
  <c r="AG2494" i="1"/>
  <c r="AD2421" i="1"/>
  <c r="AF2374" i="1"/>
  <c r="AF2346" i="1"/>
  <c r="AE2311" i="1"/>
  <c r="AF2574" i="1"/>
  <c r="AF2354" i="1"/>
  <c r="AG2320" i="1"/>
  <c r="AG2284" i="1"/>
  <c r="AD2284" i="1"/>
  <c r="AG2268" i="1"/>
  <c r="AD2268" i="1"/>
  <c r="AG2252" i="1"/>
  <c r="AD2252" i="1"/>
  <c r="AD2212" i="1"/>
  <c r="AG2212" i="1"/>
  <c r="AG2162" i="1"/>
  <c r="AG2110" i="1"/>
  <c r="AD2110" i="1"/>
  <c r="AG2082" i="1"/>
  <c r="AD2082" i="1"/>
  <c r="AG2066" i="1"/>
  <c r="AD2066" i="1"/>
  <c r="AG2046" i="1"/>
  <c r="AG2007" i="1"/>
  <c r="AG1990" i="1"/>
  <c r="AD1990" i="1"/>
  <c r="AE1969" i="1"/>
  <c r="AE1953" i="1"/>
  <c r="AE1937" i="1"/>
  <c r="AG1874" i="1"/>
  <c r="AG1847" i="1"/>
  <c r="AG1831" i="1"/>
  <c r="AG1791" i="1"/>
  <c r="AE1765" i="1"/>
  <c r="AF2076" i="1"/>
  <c r="AE1941" i="1"/>
  <c r="AE1917" i="1"/>
  <c r="AE1901" i="1"/>
  <c r="AG1855" i="1"/>
  <c r="AE1817" i="1"/>
  <c r="AE1781" i="1"/>
  <c r="AE1745" i="1"/>
  <c r="AF1732" i="1"/>
  <c r="AE1709" i="1"/>
  <c r="AG1682" i="1"/>
  <c r="AE1637" i="1"/>
  <c r="AD1604" i="1"/>
  <c r="AF1604" i="1"/>
  <c r="AE1554" i="1"/>
  <c r="AF1554" i="1"/>
  <c r="AD1554" i="1"/>
  <c r="AG1554" i="1"/>
  <c r="AF1539" i="1"/>
  <c r="AD1539" i="1"/>
  <c r="AE1539" i="1"/>
  <c r="AG1525" i="1"/>
  <c r="AG1509" i="1"/>
  <c r="AG1485" i="1"/>
  <c r="AF1470" i="1"/>
  <c r="AG1456" i="1"/>
  <c r="AF1438" i="1"/>
  <c r="AG1419" i="1"/>
  <c r="AF1419" i="1"/>
  <c r="AE1725" i="1"/>
  <c r="AE1681" i="1"/>
  <c r="AF1664" i="1"/>
  <c r="AE1645" i="1"/>
  <c r="AF1628" i="1"/>
  <c r="AD1628" i="1"/>
  <c r="AF1612" i="1"/>
  <c r="AD1612" i="1"/>
  <c r="AG1546" i="1"/>
  <c r="AE1546" i="1"/>
  <c r="AF1546" i="1"/>
  <c r="AG1532" i="1"/>
  <c r="AD1532" i="1"/>
  <c r="AD1508" i="1"/>
  <c r="AG1508" i="1"/>
  <c r="AG1484" i="1"/>
  <c r="AD1484" i="1"/>
  <c r="AG1469" i="1"/>
  <c r="AD1452" i="1"/>
  <c r="AD1418" i="1"/>
  <c r="AG1418" i="1"/>
  <c r="AD1404" i="1"/>
  <c r="AF1387" i="1"/>
  <c r="AD1387" i="1"/>
  <c r="AE1387" i="1"/>
  <c r="AE1374" i="1"/>
  <c r="AG1360" i="1"/>
  <c r="AD1340" i="1"/>
  <c r="AD1324" i="1"/>
  <c r="AE1306" i="1"/>
  <c r="AF1306" i="1"/>
  <c r="AD1306" i="1"/>
  <c r="AG1288" i="1"/>
  <c r="AG1258" i="1"/>
  <c r="AF1258" i="1"/>
  <c r="AF1720" i="1"/>
  <c r="AF1680" i="1"/>
  <c r="AG1666" i="1"/>
  <c r="AF1652" i="1"/>
  <c r="AG1595" i="1"/>
  <c r="AF1576" i="1"/>
  <c r="AD1576" i="1"/>
  <c r="AE1543" i="1"/>
  <c r="AG1529" i="1"/>
  <c r="AD1529" i="1"/>
  <c r="AF1529" i="1"/>
  <c r="AF1507" i="1"/>
  <c r="AD1507" i="1"/>
  <c r="AE1507" i="1"/>
  <c r="AE1495" i="1"/>
  <c r="AG1481" i="1"/>
  <c r="AE1481" i="1"/>
  <c r="AD1481" i="1"/>
  <c r="AG1457" i="1"/>
  <c r="AD1457" i="1"/>
  <c r="AF1457" i="1"/>
  <c r="AE1423" i="1"/>
  <c r="AD1403" i="1"/>
  <c r="AE1403" i="1"/>
  <c r="AG1403" i="1"/>
  <c r="AD1384" i="1"/>
  <c r="AD1351" i="1"/>
  <c r="AF1335" i="1"/>
  <c r="AE1335" i="1"/>
  <c r="AD1335" i="1"/>
  <c r="AG1321" i="1"/>
  <c r="AE1321" i="1"/>
  <c r="AD1321" i="1"/>
  <c r="AD1299" i="1"/>
  <c r="AE1299" i="1"/>
  <c r="AG1299" i="1"/>
  <c r="AG1277" i="1"/>
  <c r="AF1277" i="1"/>
  <c r="AF1257" i="1"/>
  <c r="AD1257" i="1"/>
  <c r="AE1257" i="1"/>
  <c r="AF1236" i="1"/>
  <c r="AD1236" i="1"/>
  <c r="AE1221" i="1"/>
  <c r="AF1221" i="1"/>
  <c r="AD1221" i="1"/>
  <c r="AF1202" i="1"/>
  <c r="AE1202" i="1"/>
  <c r="AD1202" i="1"/>
  <c r="AG1202" i="1"/>
  <c r="AF1188" i="1"/>
  <c r="AG1175" i="1"/>
  <c r="AG1159" i="1"/>
  <c r="AD1159" i="1"/>
  <c r="AF1159" i="1"/>
  <c r="AG1145" i="1"/>
  <c r="AF1145" i="1"/>
  <c r="AG1131" i="1"/>
  <c r="AD1131" i="1"/>
  <c r="AF1131" i="1"/>
  <c r="AG1111" i="1"/>
  <c r="AD1111" i="1"/>
  <c r="AF1111" i="1"/>
  <c r="AE1093" i="1"/>
  <c r="AF1093" i="1"/>
  <c r="AD1093" i="1"/>
  <c r="AG1079" i="1"/>
  <c r="AD1079" i="1"/>
  <c r="AF1079" i="1"/>
  <c r="AG1065" i="1"/>
  <c r="AF1065" i="1"/>
  <c r="AD1045" i="1"/>
  <c r="AG1045" i="1"/>
  <c r="AE1045" i="1"/>
  <c r="AG1026" i="1"/>
  <c r="AD1026" i="1"/>
  <c r="AE1026" i="1"/>
  <c r="AG1007" i="1"/>
  <c r="AF1007" i="1"/>
  <c r="AE1007" i="1"/>
  <c r="AD1007" i="1"/>
  <c r="AF1319" i="1"/>
  <c r="AD1319" i="1"/>
  <c r="AE1319" i="1"/>
  <c r="AG1242" i="1"/>
  <c r="AF1242" i="1"/>
  <c r="AF1228" i="1"/>
  <c r="AD1228" i="1"/>
  <c r="AG1041" i="1"/>
  <c r="AF1041" i="1"/>
  <c r="AE1024" i="1"/>
  <c r="AF1024" i="1"/>
  <c r="AD1024" i="1"/>
  <c r="AG1024" i="1"/>
  <c r="AE1005" i="1"/>
  <c r="AD1005" i="1"/>
  <c r="AG1005" i="1"/>
  <c r="AG985" i="1"/>
  <c r="AF985" i="1"/>
  <c r="AD970" i="1"/>
  <c r="AF970" i="1"/>
  <c r="AG970" i="1"/>
  <c r="AD954" i="1"/>
  <c r="AF954" i="1"/>
  <c r="AG954" i="1"/>
  <c r="AG935" i="1"/>
  <c r="AE935" i="1"/>
  <c r="AD935" i="1"/>
  <c r="AG921" i="1"/>
  <c r="AF921" i="1"/>
  <c r="AD905" i="1"/>
  <c r="AE905" i="1"/>
  <c r="AG905" i="1"/>
  <c r="AE884" i="1"/>
  <c r="AD884" i="1"/>
  <c r="AG884" i="1"/>
  <c r="AE868" i="1"/>
  <c r="AF868" i="1"/>
  <c r="AD868" i="1"/>
  <c r="AG868" i="1"/>
  <c r="AG854" i="1"/>
  <c r="AF854" i="1"/>
  <c r="AD854" i="1"/>
  <c r="AE854" i="1"/>
  <c r="AE829" i="1"/>
  <c r="AD829" i="1"/>
  <c r="AG829" i="1"/>
  <c r="AE808" i="1"/>
  <c r="AF808" i="1"/>
  <c r="AD808" i="1"/>
  <c r="AG808" i="1"/>
  <c r="AG795" i="1"/>
  <c r="AF795" i="1"/>
  <c r="AE795" i="1"/>
  <c r="AD795" i="1"/>
  <c r="AG771" i="1"/>
  <c r="AD771" i="1"/>
  <c r="AF771" i="1"/>
  <c r="AE926" i="1"/>
  <c r="AD926" i="1"/>
  <c r="AG926" i="1"/>
  <c r="AF926" i="1"/>
  <c r="AD861" i="1"/>
  <c r="AE861" i="1"/>
  <c r="AG861" i="1"/>
  <c r="AD616" i="1"/>
  <c r="AF616" i="1"/>
  <c r="AG616" i="1"/>
  <c r="AE616" i="1"/>
  <c r="AE2273" i="1"/>
  <c r="AF2139" i="1"/>
  <c r="AE1711" i="1"/>
  <c r="AF649" i="1"/>
  <c r="AF2273" i="1"/>
  <c r="AG2273" i="1"/>
  <c r="AD2123" i="1"/>
  <c r="AF1711" i="1"/>
  <c r="AG621" i="1"/>
  <c r="AE589" i="1"/>
  <c r="AE2759" i="1"/>
  <c r="AD2870" i="1"/>
  <c r="AG2374" i="1"/>
  <c r="AG1452" i="1"/>
  <c r="AF2769" i="1"/>
  <c r="AD2163" i="1"/>
  <c r="AD2139" i="1"/>
  <c r="AE2123" i="1"/>
  <c r="AF1623" i="1"/>
  <c r="AG1593" i="1"/>
  <c r="AF1593" i="1"/>
  <c r="AD1561" i="1"/>
  <c r="AD2626" i="1"/>
  <c r="AG1962" i="1"/>
  <c r="AG2138" i="1"/>
  <c r="AD248" i="1"/>
  <c r="AG533" i="1"/>
  <c r="AE480" i="1"/>
  <c r="AG381" i="1"/>
  <c r="AE290" i="1"/>
  <c r="AE111" i="1"/>
  <c r="AD97" i="1"/>
  <c r="AF507" i="1"/>
  <c r="AG413" i="1"/>
  <c r="AG333" i="1"/>
  <c r="AG81" i="1"/>
  <c r="AD333" i="1"/>
  <c r="AF290" i="1"/>
  <c r="AE167" i="1"/>
  <c r="AG197" i="1"/>
  <c r="AD169" i="1"/>
  <c r="AG1790" i="1"/>
  <c r="AD590" i="1"/>
  <c r="AF381" i="1"/>
  <c r="AF333" i="1"/>
  <c r="AE127" i="1"/>
  <c r="AG73" i="1"/>
  <c r="AG65" i="1"/>
  <c r="AD145" i="1"/>
  <c r="AG145" i="1"/>
  <c r="AG97" i="1"/>
  <c r="AD73" i="1"/>
  <c r="AD405" i="1"/>
  <c r="AE733" i="1"/>
  <c r="AF274" i="1"/>
  <c r="AE103" i="1"/>
  <c r="AG1822" i="1"/>
  <c r="AD281" i="1"/>
  <c r="AD266" i="1"/>
  <c r="AD381" i="1"/>
  <c r="AF479" i="1"/>
  <c r="AG655" i="1"/>
  <c r="AD730" i="1"/>
  <c r="AD1962" i="1"/>
  <c r="AG1930" i="1"/>
  <c r="AD1894" i="1"/>
  <c r="AE2670" i="1"/>
  <c r="AG2617" i="1"/>
  <c r="AF2670" i="1"/>
  <c r="AD2589" i="1"/>
  <c r="AE2147" i="1"/>
  <c r="AD1429" i="1"/>
  <c r="AD1421" i="1"/>
  <c r="AG2122" i="1"/>
  <c r="AE2899" i="1"/>
  <c r="AF2589" i="1"/>
  <c r="AE1429" i="1"/>
  <c r="AE1421" i="1"/>
  <c r="AD2273" i="1"/>
  <c r="AE2163" i="1"/>
  <c r="AG2123" i="1"/>
  <c r="AD1711" i="1"/>
  <c r="AE1501" i="1"/>
  <c r="AF1429" i="1"/>
  <c r="AF1421" i="1"/>
  <c r="AG2154" i="1"/>
  <c r="AG1946" i="1"/>
  <c r="AG2248" i="1"/>
  <c r="AG1838" i="1"/>
  <c r="AD2465" i="1"/>
  <c r="AD2308" i="1"/>
  <c r="AG2146" i="1"/>
  <c r="AG2130" i="1"/>
  <c r="AE2381" i="1"/>
  <c r="AE1623" i="1"/>
  <c r="AG557" i="1"/>
  <c r="AE2875" i="1"/>
  <c r="AG2670" i="1"/>
  <c r="AF2597" i="1"/>
  <c r="AE2179" i="1"/>
  <c r="AD1623" i="1"/>
  <c r="AG2139" i="1"/>
  <c r="AE1593" i="1"/>
  <c r="AD1445" i="1"/>
  <c r="AF557" i="1"/>
  <c r="AG1894" i="1"/>
  <c r="AE2753" i="1"/>
  <c r="AF2043" i="1"/>
  <c r="AF2875" i="1"/>
  <c r="AE2801" i="1"/>
  <c r="AD2043" i="1"/>
  <c r="AE2043" i="1"/>
  <c r="AF2613" i="1"/>
  <c r="AF2381" i="1"/>
  <c r="AE2777" i="1"/>
  <c r="AD2381" i="1"/>
  <c r="AD1854" i="1"/>
  <c r="AD1822" i="1"/>
  <c r="AD1790" i="1"/>
  <c r="AD1758" i="1"/>
  <c r="AG2875" i="1"/>
  <c r="AF2801" i="1"/>
  <c r="AF2777" i="1"/>
  <c r="AF2621" i="1"/>
  <c r="AE2637" i="1"/>
  <c r="AD2875" i="1"/>
  <c r="AD2801" i="1"/>
  <c r="AD2777" i="1"/>
  <c r="AE2654" i="1"/>
  <c r="AF2365" i="1"/>
  <c r="AD2000" i="1"/>
  <c r="AF2000" i="1"/>
  <c r="AD1750" i="1"/>
  <c r="AF590" i="1"/>
  <c r="AD1284" i="1"/>
  <c r="AG13" i="1"/>
  <c r="AE2992" i="1"/>
  <c r="AF2719" i="1"/>
  <c r="AE2867" i="1"/>
  <c r="AE2622" i="1"/>
  <c r="AE2613" i="1"/>
  <c r="AE2597" i="1"/>
  <c r="AE2365" i="1"/>
  <c r="AD2613" i="1"/>
  <c r="AG2381" i="1"/>
  <c r="AE2171" i="1"/>
  <c r="AF2155" i="1"/>
  <c r="AD1719" i="1"/>
  <c r="AE1239" i="1"/>
  <c r="AG1806" i="1"/>
  <c r="AD1774" i="1"/>
  <c r="AD1742" i="1"/>
  <c r="AD1862" i="1"/>
  <c r="AG2264" i="1"/>
  <c r="AG1862" i="1"/>
  <c r="AG1774" i="1"/>
  <c r="AG1742" i="1"/>
  <c r="AD690" i="1"/>
  <c r="AE2945" i="1"/>
  <c r="AF2761" i="1"/>
  <c r="AE2811" i="1"/>
  <c r="AG2686" i="1"/>
  <c r="AF2617" i="1"/>
  <c r="AF1719" i="1"/>
  <c r="AD1239" i="1"/>
  <c r="AD1838" i="1"/>
  <c r="AG109" i="1"/>
  <c r="AE2949" i="1"/>
  <c r="AE2996" i="1"/>
  <c r="AF2871" i="1"/>
  <c r="AF2855" i="1"/>
  <c r="AE2839" i="1"/>
  <c r="AE2761" i="1"/>
  <c r="AE2719" i="1"/>
  <c r="AF2697" i="1"/>
  <c r="AG2197" i="1"/>
  <c r="AG2213" i="1"/>
  <c r="AD1811" i="1"/>
  <c r="AG1429" i="1"/>
  <c r="AG2308" i="1"/>
  <c r="AG1938" i="1"/>
  <c r="AG2280" i="1"/>
  <c r="AG2216" i="1"/>
  <c r="AG1830" i="1"/>
  <c r="AG1798" i="1"/>
  <c r="AG1766" i="1"/>
  <c r="AG1750" i="1"/>
  <c r="AG1734" i="1"/>
  <c r="AG45" i="1"/>
  <c r="AD738" i="1"/>
  <c r="AD2719" i="1"/>
  <c r="AD2686" i="1"/>
  <c r="AD1251" i="1"/>
  <c r="AE1235" i="1"/>
  <c r="AD2871" i="1"/>
  <c r="AG2781" i="1"/>
  <c r="AF2867" i="1"/>
  <c r="AE2686" i="1"/>
  <c r="AG2719" i="1"/>
  <c r="AG2365" i="1"/>
  <c r="AD1405" i="1"/>
  <c r="AD2154" i="1"/>
  <c r="AD2008" i="1"/>
  <c r="AG1954" i="1"/>
  <c r="AD1910" i="1"/>
  <c r="AD1878" i="1"/>
  <c r="AG2296" i="1"/>
  <c r="AG2232" i="1"/>
  <c r="AG1910" i="1"/>
  <c r="AG1878" i="1"/>
  <c r="AG1846" i="1"/>
  <c r="AG1814" i="1"/>
  <c r="AG1782" i="1"/>
  <c r="AD938" i="1"/>
  <c r="AG2811" i="1"/>
  <c r="AD1830" i="1"/>
  <c r="AD1798" i="1"/>
  <c r="AD1766" i="1"/>
  <c r="AD1734" i="1"/>
  <c r="AF2127" i="1"/>
  <c r="AF1619" i="1"/>
  <c r="AE1963" i="1"/>
  <c r="AG1293" i="1"/>
  <c r="AG1646" i="1"/>
  <c r="AG2847" i="1"/>
  <c r="AG2980" i="1"/>
  <c r="AE2847" i="1"/>
  <c r="AF2839" i="1"/>
  <c r="AD2811" i="1"/>
  <c r="AG2801" i="1"/>
  <c r="AE2757" i="1"/>
  <c r="AF2654" i="1"/>
  <c r="AF2171" i="1"/>
  <c r="AF2213" i="1"/>
  <c r="AF2159" i="1"/>
  <c r="AD2143" i="1"/>
  <c r="AF1501" i="1"/>
  <c r="AD1437" i="1"/>
  <c r="AE1293" i="1"/>
  <c r="AG1445" i="1"/>
  <c r="AD541" i="1"/>
  <c r="AE2718" i="1"/>
  <c r="AE2392" i="1"/>
  <c r="AD1516" i="1"/>
  <c r="AD834" i="1"/>
  <c r="AG89" i="1"/>
  <c r="AE2843" i="1"/>
  <c r="AE2980" i="1"/>
  <c r="AF2945" i="1"/>
  <c r="AD2988" i="1"/>
  <c r="AF2980" i="1"/>
  <c r="AF2996" i="1"/>
  <c r="AG2984" i="1"/>
  <c r="AF2847" i="1"/>
  <c r="AF2811" i="1"/>
  <c r="AF2836" i="1"/>
  <c r="AF2773" i="1"/>
  <c r="AD2765" i="1"/>
  <c r="AG2859" i="1"/>
  <c r="AG2597" i="1"/>
  <c r="AF1611" i="1"/>
  <c r="AE1437" i="1"/>
  <c r="AF1293" i="1"/>
  <c r="AE2175" i="1"/>
  <c r="AG1955" i="1"/>
  <c r="AE2846" i="1"/>
  <c r="AG1516" i="1"/>
  <c r="AF2984" i="1"/>
  <c r="AD2945" i="1"/>
  <c r="AG2945" i="1"/>
  <c r="AE2769" i="1"/>
  <c r="AG2851" i="1"/>
  <c r="AD2843" i="1"/>
  <c r="AF2859" i="1"/>
  <c r="AD2670" i="1"/>
  <c r="AD2171" i="1"/>
  <c r="AE2151" i="1"/>
  <c r="AD1501" i="1"/>
  <c r="AF1437" i="1"/>
  <c r="AD1907" i="1"/>
  <c r="AF1715" i="1"/>
  <c r="AD1441" i="1"/>
  <c r="AG1719" i="1"/>
  <c r="AD605" i="1"/>
  <c r="AD1646" i="1"/>
  <c r="AG2863" i="1"/>
  <c r="AE2863" i="1"/>
  <c r="AG2815" i="1"/>
  <c r="AE2815" i="1"/>
  <c r="AD2702" i="1"/>
  <c r="AG2581" i="1"/>
  <c r="AG2135" i="1"/>
  <c r="AG1915" i="1"/>
  <c r="AG1433" i="1"/>
  <c r="AD1433" i="1"/>
  <c r="AE1565" i="1"/>
  <c r="AD1565" i="1"/>
  <c r="AD621" i="1"/>
  <c r="AG2879" i="1"/>
  <c r="AG2573" i="1"/>
  <c r="AD2605" i="1"/>
  <c r="AD2187" i="1"/>
  <c r="AF2269" i="1"/>
  <c r="AE1605" i="1"/>
  <c r="AE3000" i="1"/>
  <c r="AD3000" i="1"/>
  <c r="AF2992" i="1"/>
  <c r="AE2988" i="1"/>
  <c r="AD2984" i="1"/>
  <c r="AG2996" i="1"/>
  <c r="AG2992" i="1"/>
  <c r="AG2988" i="1"/>
  <c r="AE2879" i="1"/>
  <c r="AG2871" i="1"/>
  <c r="AF2863" i="1"/>
  <c r="AG2839" i="1"/>
  <c r="AD2769" i="1"/>
  <c r="AD2761" i="1"/>
  <c r="AE2819" i="1"/>
  <c r="AD2851" i="1"/>
  <c r="AF2781" i="1"/>
  <c r="AG2867" i="1"/>
  <c r="AE2765" i="1"/>
  <c r="AF2843" i="1"/>
  <c r="AG2769" i="1"/>
  <c r="AG2681" i="1"/>
  <c r="AG2757" i="1"/>
  <c r="AD2859" i="1"/>
  <c r="AD2654" i="1"/>
  <c r="AE2697" i="1"/>
  <c r="AD2681" i="1"/>
  <c r="AD2622" i="1"/>
  <c r="AD2637" i="1"/>
  <c r="AE2617" i="1"/>
  <c r="AF2686" i="1"/>
  <c r="AE2281" i="1"/>
  <c r="AD2265" i="1"/>
  <c r="AD2597" i="1"/>
  <c r="AE2197" i="1"/>
  <c r="AD2197" i="1"/>
  <c r="AF2179" i="1"/>
  <c r="AF2147" i="1"/>
  <c r="AD2131" i="1"/>
  <c r="AG2269" i="1"/>
  <c r="AD2213" i="1"/>
  <c r="AE2015" i="1"/>
  <c r="AE2167" i="1"/>
  <c r="AG2179" i="1"/>
  <c r="AG2159" i="1"/>
  <c r="AG2147" i="1"/>
  <c r="AE1569" i="1"/>
  <c r="AF2151" i="1"/>
  <c r="AE2143" i="1"/>
  <c r="AD2135" i="1"/>
  <c r="AG2127" i="1"/>
  <c r="AG2015" i="1"/>
  <c r="AE1579" i="1"/>
  <c r="AD1915" i="1"/>
  <c r="AE1405" i="1"/>
  <c r="AF2175" i="1"/>
  <c r="AE1907" i="1"/>
  <c r="AE1811" i="1"/>
  <c r="AG1715" i="1"/>
  <c r="AF1605" i="1"/>
  <c r="AG1579" i="1"/>
  <c r="AF1963" i="1"/>
  <c r="AE1433" i="1"/>
  <c r="AF1235" i="1"/>
  <c r="AG1565" i="1"/>
  <c r="AG1251" i="1"/>
  <c r="AD649" i="1"/>
  <c r="AG1341" i="1"/>
  <c r="AF621" i="1"/>
  <c r="AD1955" i="1"/>
  <c r="AG1711" i="1"/>
  <c r="AG1239" i="1"/>
  <c r="AD637" i="1"/>
  <c r="AD573" i="1"/>
  <c r="AE573" i="1"/>
  <c r="AD2167" i="1"/>
  <c r="AF3000" i="1"/>
  <c r="AF2988" i="1"/>
  <c r="AE2984" i="1"/>
  <c r="AD2996" i="1"/>
  <c r="AF2879" i="1"/>
  <c r="AD2855" i="1"/>
  <c r="AD2847" i="1"/>
  <c r="AD2819" i="1"/>
  <c r="AE2851" i="1"/>
  <c r="AD2836" i="1"/>
  <c r="AE2836" i="1"/>
  <c r="AG2753" i="1"/>
  <c r="AD2867" i="1"/>
  <c r="AD2815" i="1"/>
  <c r="AG2765" i="1"/>
  <c r="AG2843" i="1"/>
  <c r="AF2681" i="1"/>
  <c r="AF2757" i="1"/>
  <c r="AE2859" i="1"/>
  <c r="AD2839" i="1"/>
  <c r="AD2697" i="1"/>
  <c r="AE2605" i="1"/>
  <c r="AG2855" i="1"/>
  <c r="AE2681" i="1"/>
  <c r="AD2573" i="1"/>
  <c r="AG2613" i="1"/>
  <c r="AF2281" i="1"/>
  <c r="AE2265" i="1"/>
  <c r="AE2187" i="1"/>
  <c r="AG2187" i="1"/>
  <c r="AG2281" i="1"/>
  <c r="AF2197" i="1"/>
  <c r="AD2155" i="1"/>
  <c r="AE2131" i="1"/>
  <c r="AG2589" i="1"/>
  <c r="AD2269" i="1"/>
  <c r="AE2213" i="1"/>
  <c r="AD2015" i="1"/>
  <c r="AF2167" i="1"/>
  <c r="AD2159" i="1"/>
  <c r="AD1967" i="1"/>
  <c r="AF1569" i="1"/>
  <c r="AG2171" i="1"/>
  <c r="AG2151" i="1"/>
  <c r="AF2143" i="1"/>
  <c r="AE2135" i="1"/>
  <c r="AD2127" i="1"/>
  <c r="AG2043" i="1"/>
  <c r="AE1619" i="1"/>
  <c r="AE1611" i="1"/>
  <c r="AD1579" i="1"/>
  <c r="AG1967" i="1"/>
  <c r="AE1915" i="1"/>
  <c r="AG1441" i="1"/>
  <c r="AF1405" i="1"/>
  <c r="AG2175" i="1"/>
  <c r="AG2163" i="1"/>
  <c r="AF1907" i="1"/>
  <c r="AF1811" i="1"/>
  <c r="AD1715" i="1"/>
  <c r="AG1611" i="1"/>
  <c r="AD1605" i="1"/>
  <c r="AG1963" i="1"/>
  <c r="AF1441" i="1"/>
  <c r="AF1433" i="1"/>
  <c r="AE1251" i="1"/>
  <c r="AD1235" i="1"/>
  <c r="AG1501" i="1"/>
  <c r="AG1437" i="1"/>
  <c r="AG1421" i="1"/>
  <c r="AG1235" i="1"/>
  <c r="AG1405" i="1"/>
  <c r="AF2622" i="1"/>
  <c r="AE1955" i="1"/>
  <c r="AG1623" i="1"/>
  <c r="AE637" i="1"/>
  <c r="AG649" i="1"/>
  <c r="AD2992" i="1"/>
  <c r="AG3000" i="1"/>
  <c r="AG2949" i="1"/>
  <c r="AD2949" i="1"/>
  <c r="AD2879" i="1"/>
  <c r="AE2855" i="1"/>
  <c r="AD2863" i="1"/>
  <c r="AG2819" i="1"/>
  <c r="AE2781" i="1"/>
  <c r="AE2773" i="1"/>
  <c r="AF2819" i="1"/>
  <c r="AF2851" i="1"/>
  <c r="AG2836" i="1"/>
  <c r="AF2815" i="1"/>
  <c r="AG2773" i="1"/>
  <c r="AF2765" i="1"/>
  <c r="AG2702" i="1"/>
  <c r="AG2697" i="1"/>
  <c r="AG2622" i="1"/>
  <c r="AD2757" i="1"/>
  <c r="AG2761" i="1"/>
  <c r="AD2621" i="1"/>
  <c r="AF2605" i="1"/>
  <c r="AE2581" i="1"/>
  <c r="AE2573" i="1"/>
  <c r="AF2702" i="1"/>
  <c r="AD2665" i="1"/>
  <c r="AE2621" i="1"/>
  <c r="AD2581" i="1"/>
  <c r="AG2605" i="1"/>
  <c r="AF2265" i="1"/>
  <c r="AF2187" i="1"/>
  <c r="AD2179" i="1"/>
  <c r="AE2155" i="1"/>
  <c r="AD2147" i="1"/>
  <c r="AF2131" i="1"/>
  <c r="AE2269" i="1"/>
  <c r="AF2015" i="1"/>
  <c r="AG2167" i="1"/>
  <c r="AG2155" i="1"/>
  <c r="AG1569" i="1"/>
  <c r="AE2159" i="1"/>
  <c r="AG2131" i="1"/>
  <c r="AE1967" i="1"/>
  <c r="AD1569" i="1"/>
  <c r="AD2151" i="1"/>
  <c r="AG2143" i="1"/>
  <c r="AF2135" i="1"/>
  <c r="AE2127" i="1"/>
  <c r="AD1619" i="1"/>
  <c r="AD1611" i="1"/>
  <c r="AF1579" i="1"/>
  <c r="AF1915" i="1"/>
  <c r="AD2175" i="1"/>
  <c r="AG1907" i="1"/>
  <c r="AG1811" i="1"/>
  <c r="AE1715" i="1"/>
  <c r="AG1605" i="1"/>
  <c r="AD1963" i="1"/>
  <c r="AF1251" i="1"/>
  <c r="AF1565" i="1"/>
  <c r="AE649" i="1"/>
  <c r="AG2777" i="1"/>
  <c r="AF1955" i="1"/>
  <c r="AG1619" i="1"/>
  <c r="AE621" i="1"/>
  <c r="AE557" i="1"/>
  <c r="AD589" i="1"/>
  <c r="AD557" i="1"/>
  <c r="X3007" i="1"/>
  <c r="Z3007" i="1" s="1"/>
  <c r="W3007" i="1"/>
  <c r="S3007" i="1"/>
  <c r="Q3007" i="1"/>
  <c r="F3014" i="1"/>
  <c r="F3015" i="1" l="1"/>
  <c r="W10" i="1" l="1"/>
  <c r="X10" i="1"/>
  <c r="Q10" i="1"/>
  <c r="S10" i="1" s="1"/>
  <c r="T10" i="1" s="1"/>
  <c r="AH10" i="1" s="1"/>
  <c r="I3007" i="1" l="1"/>
  <c r="AB10" i="1"/>
  <c r="AB3007" i="1"/>
  <c r="AC3007" i="1" l="1"/>
  <c r="AC10" i="1"/>
  <c r="Z10" i="1" s="1"/>
  <c r="K3007" i="1"/>
  <c r="M10" i="1"/>
  <c r="R10" i="1" s="1"/>
  <c r="L3007" i="1"/>
  <c r="Y10" i="1"/>
  <c r="AE10" i="1" s="1"/>
  <c r="Y3007" i="1" l="1"/>
  <c r="AD3007" i="1" s="1"/>
  <c r="M3007" i="1"/>
  <c r="R3007" i="1" s="1"/>
  <c r="AD10" i="1"/>
  <c r="AF10" i="1"/>
  <c r="AG10" i="1"/>
  <c r="AG3007" i="1" l="1"/>
  <c r="AE3007" i="1"/>
  <c r="AF3007" i="1"/>
  <c r="E4" i="13"/>
  <c r="J4" i="13" l="1"/>
  <c r="G4" i="13"/>
  <c r="K6" i="13" l="1" a="1"/>
  <c r="K6" i="13" s="1"/>
  <c r="J6" i="13" a="1"/>
  <c r="J6" i="13" s="1"/>
  <c r="I6" i="13" a="1"/>
  <c r="I6"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<sst xmlns="http://schemas.openxmlformats.org/spreadsheetml/2006/main" count="3199" uniqueCount="170">
  <si>
    <t>Company</t>
  </si>
  <si>
    <t>ID</t>
  </si>
  <si>
    <t>Model</t>
  </si>
  <si>
    <t>Date of Cal</t>
  </si>
  <si>
    <t>Units</t>
  </si>
  <si>
    <t>Asset Info</t>
  </si>
  <si>
    <t>Std Read</t>
  </si>
  <si>
    <t>Standard Info</t>
  </si>
  <si>
    <t>Spec Type</t>
  </si>
  <si>
    <t>Low Tol</t>
  </si>
  <si>
    <t>High Tol</t>
  </si>
  <si>
    <t>Tol Span</t>
  </si>
  <si>
    <t>Error Span</t>
  </si>
  <si>
    <t>Ratio</t>
  </si>
  <si>
    <t>Result</t>
  </si>
  <si>
    <t>DUT Nom</t>
  </si>
  <si>
    <t>DUT Read</t>
  </si>
  <si>
    <t>Pass/Fail</t>
  </si>
  <si>
    <t>DUT Ucty</t>
  </si>
  <si>
    <t>Std Error</t>
  </si>
  <si>
    <t>Data Eval</t>
  </si>
  <si>
    <t>Std Ucty</t>
  </si>
  <si>
    <t>DUT Adj Read</t>
  </si>
  <si>
    <t>Std Adj Read</t>
  </si>
  <si>
    <t>&gt; Eval</t>
  </si>
  <si>
    <t>&lt; Eval</t>
  </si>
  <si>
    <t>&gt;= Eval</t>
  </si>
  <si>
    <t>&lt;= Eval</t>
  </si>
  <si>
    <t>BACKEND/NOTES</t>
  </si>
  <si>
    <t>Final Eval</t>
  </si>
  <si>
    <t>Notes</t>
  </si>
  <si>
    <t>Errant Standard:</t>
  </si>
  <si>
    <t>Company:</t>
  </si>
  <si>
    <t>Analysis Date:</t>
  </si>
  <si>
    <t>Covered Range:</t>
  </si>
  <si>
    <t>±</t>
  </si>
  <si>
    <t>&gt;</t>
  </si>
  <si>
    <t>≥</t>
  </si>
  <si>
    <t>&lt;</t>
  </si>
  <si>
    <t>≤</t>
  </si>
  <si>
    <t>Manufacturer</t>
  </si>
  <si>
    <t>Description</t>
  </si>
  <si>
    <t>Serial Number</t>
  </si>
  <si>
    <t>Calibration Type:</t>
  </si>
  <si>
    <t>Evaluation of Errancy Significance upon Reverse Trace Assets</t>
  </si>
  <si>
    <t>Spec Type2</t>
  </si>
  <si>
    <t>+/- Eval</t>
  </si>
  <si>
    <t>DUT Preliminary Evaluation</t>
  </si>
  <si>
    <t>No further action required.</t>
  </si>
  <si>
    <t>See Notes.</t>
  </si>
  <si>
    <t>Alexander Haskins</t>
  </si>
  <si>
    <t>Initial Release</t>
  </si>
  <si>
    <t>Added Macros</t>
  </si>
  <si>
    <t>Reformatted, separated Macros, added further research tab</t>
  </si>
  <si>
    <t>Un-forked double/singlesided specs documents. Split Calculations away from final report for clarity. Adjusted macros accordingly.</t>
  </si>
  <si>
    <t>Forked Single-Sided specs from double-sided specs document.</t>
  </si>
  <si>
    <t>Cal Type</t>
  </si>
  <si>
    <t>Std Nom</t>
  </si>
  <si>
    <t>Minor formatting tweaks.</t>
  </si>
  <si>
    <t>Validation:</t>
  </si>
  <si>
    <t>YES</t>
  </si>
  <si>
    <t>Have all calculations been verified/validated?</t>
  </si>
  <si>
    <t>Have all formulas been verified/validated?</t>
  </si>
  <si>
    <t>Are all STD OOT Parameters on applicable able to be captured?</t>
  </si>
  <si>
    <t>Are all presumptive analyses correct, or able to be corrected?</t>
  </si>
  <si>
    <t>Have all Macros been verified to not drop DUT assets?</t>
  </si>
  <si>
    <t>Macro button dupolicates calculations tab and asks for new parameter name.</t>
  </si>
  <si>
    <t>Were based directly out of the procedure.</t>
  </si>
  <si>
    <t>Verified.</t>
  </si>
  <si>
    <t>Added new OOT parameter button. Added Validation. Import data function is now one singular function, scrubbing for blanks in the report automatically.</t>
  </si>
  <si>
    <t>Analysis still required.</t>
  </si>
  <si>
    <t>Sample rate used in this evaluation:</t>
  </si>
  <si>
    <t>%</t>
  </si>
  <si>
    <t>Debugged sample sub-routine, for better logic flow, confirmations/restarts, and preventing tampering with 100% sample rates.</t>
  </si>
  <si>
    <t>Wrote new sampling routine (depricating the old), this time filtering for unique model numbers, as approved by Service Quality Department (Ani Bomben, 1/4/2019)</t>
  </si>
  <si>
    <t>Removed cannot save bug, and added sampling routine.</t>
  </si>
  <si>
    <t>Total Assets in this evaluation:</t>
  </si>
  <si>
    <t>assets</t>
  </si>
  <si>
    <t>Assets Analyzed in this evaluation:</t>
  </si>
  <si>
    <t>INSTRUCTIONS</t>
  </si>
  <si>
    <t>Debugged unique-sampling routine. It's a little slower, but actually performs as intended with no weird artifacts, or double-checks required.</t>
  </si>
  <si>
    <t>Gage Condition</t>
  </si>
  <si>
    <t>USER INPUT</t>
  </si>
  <si>
    <t>Drop-down in F5, comparison to listed condition in gage for recall logic, allowed for parameters beyond 2.</t>
  </si>
  <si>
    <t>Expanded the number of possible entries from 1k to 3k, to account for the MM test stand's Calibrator having some 2.5k assets attributed.</t>
  </si>
  <si>
    <t>Quick Instructions:</t>
  </si>
  <si>
    <t>1. Get the reverse trace report (second option in the drop down on the gage reverse trace report screen). Open the file, after download is complete.</t>
  </si>
  <si>
    <t>Open the Excel file you just downloaded, and if it's not already, open this OOT Impact Analysis Template file. Which you're ostensibly reading right now.</t>
  </si>
  <si>
    <t>6.A</t>
  </si>
  <si>
    <t>6.B</t>
  </si>
  <si>
    <t>6.C</t>
  </si>
  <si>
    <t>6.D</t>
  </si>
  <si>
    <t>6.D.i</t>
  </si>
  <si>
    <t>6.D.ii</t>
  </si>
  <si>
    <t>6.D.iii</t>
  </si>
  <si>
    <t>6.E</t>
  </si>
  <si>
    <t>6.F</t>
  </si>
  <si>
    <t>6.G</t>
  </si>
  <si>
    <t>6.H</t>
  </si>
  <si>
    <t>6.I</t>
  </si>
  <si>
    <t>Click the Second Macro Button to add any additional OOT Parameters, if more than one parameter was OOT. The macro will prompt you for the parameter names, and rename the new tabs accordingly for you. For example, DCV and Resistance were OOT on a Fluke 5700.</t>
  </si>
  <si>
    <t>Fill in Cell F5 in the Calculations tab from the drop down present in the cell.</t>
  </si>
  <si>
    <t>If there is no intersection between Standard/DUT test points, tweak this row's specific Standard Nominal &amp; Read to intersect with the DUT's range/test point. If there is no intersection in this parameter, press CTRL+M, and move on to the next row.</t>
  </si>
  <si>
    <t>6.J</t>
  </si>
  <si>
    <t>6.J.i</t>
  </si>
  <si>
    <r>
      <rPr>
        <b/>
        <sz val="11"/>
        <color theme="1"/>
        <rFont val="Calibri"/>
        <family val="2"/>
        <scheme val="minor"/>
      </rPr>
      <t>Cols I &amp; J:</t>
    </r>
    <r>
      <rPr>
        <sz val="11"/>
        <color theme="1"/>
        <rFont val="Calibri"/>
        <family val="2"/>
        <scheme val="minor"/>
      </rPr>
      <t xml:space="preserve"> Unit of measure and whether or not the unit is single sided or double-sided in its specification, which will determine adjusted pass/fail later.</t>
    </r>
  </si>
  <si>
    <r>
      <rPr>
        <b/>
        <sz val="11"/>
        <color theme="1"/>
        <rFont val="Calibri"/>
        <family val="2"/>
        <scheme val="minor"/>
      </rPr>
      <t>Col O &amp; P:</t>
    </r>
    <r>
      <rPr>
        <sz val="11"/>
        <color theme="1"/>
        <rFont val="Calibri"/>
        <family val="2"/>
        <scheme val="minor"/>
      </rPr>
      <t xml:space="preserve"> The high and low tolerance of the test point that intersects with the worst standard error entered in the previous steps.</t>
    </r>
  </si>
  <si>
    <r>
      <rPr>
        <b/>
        <sz val="11"/>
        <color theme="1"/>
        <rFont val="Calibri"/>
        <family val="2"/>
        <scheme val="minor"/>
      </rPr>
      <t>Col AH:</t>
    </r>
    <r>
      <rPr>
        <sz val="11"/>
        <color theme="1"/>
        <rFont val="Calibri"/>
        <family val="2"/>
        <scheme val="minor"/>
      </rPr>
      <t xml:space="preserve"> This column automatically compares the input Gage condition versus the adjusted condition and tells you if a recall is required. HOWEVER! If there is some extenuating circumstance you're aware of, as cell lead or as tech super on location, or other various circumstances, feel free to manually adjust this column utilizing the drop down present.</t>
    </r>
  </si>
  <si>
    <t>Increased formulaic automation (decreases copy/pasting), expanded instructions, added Quick instructions on calculations tab, added conditional formatting for ease of use by newcomers.</t>
  </si>
  <si>
    <r>
      <rPr>
        <b/>
        <sz val="11"/>
        <color theme="1"/>
        <rFont val="Calibri"/>
        <family val="2"/>
        <scheme val="minor"/>
      </rPr>
      <t>Col AI</t>
    </r>
    <r>
      <rPr>
        <sz val="11"/>
        <color theme="1"/>
        <rFont val="Calibri"/>
        <family val="2"/>
        <scheme val="minor"/>
      </rPr>
      <t>: Explain any extenuating circumstances, or any notations at all, that are relevant to the Impact Analysis for that DUT. For example, "Not affected by X parameter, see X Tab for other parameter(s)", "No intersection of test ranges", and "Accuracy of measurement is derived from a different standard", "Standard's inclusion was a typo during cal event" are all pretty common entries. If it's metrologically and logically sound, input whatever justification for whatever manual determination you have. But you must justify it.</t>
    </r>
  </si>
  <si>
    <t>If you notice an issue that would cause a traceability, repeatability, or accuracy issue (anything A2LA wouldn't like- for example, using a transducer below 10% FS), recall the DUT, for proper recalibration, and input the notes in Col AI. Sanitize the notes, as this is customer-facing, but be clear about what the problem is. Continuing the example, "Standard transducer was used below 10% capacity, accuracy of readings cannot be verified in this range. Please Recall DUT for proper recalibration," is more than sufficiently clear and sanitized. No call-outs of your fellow techs! Stick to the facts, not accusations.</t>
  </si>
  <si>
    <t>Bug fix with dropped formulas in Cols I:N after last update. Added input tab rename routine, to clarify it is the full reverse trace.</t>
  </si>
  <si>
    <t>Michael Sandel</t>
  </si>
  <si>
    <t>Added error routine for macro to pull in reverse trace report</t>
  </si>
  <si>
    <t>If the row turns green after Column P, proceed to the next row, any impact is considered mathematically insignificant.</t>
  </si>
  <si>
    <r>
      <t xml:space="preserve">Upon completion, save the file (save frequently!!!), and send it to the Process Engineer Team and CC your TSM for close-out in accordance with the OOT Procedure. We'll take it from there, and </t>
    </r>
    <r>
      <rPr>
        <b/>
        <i/>
        <sz val="11"/>
        <color theme="1"/>
        <rFont val="Calibri"/>
        <family val="2"/>
        <scheme val="minor"/>
      </rPr>
      <t>we really appreciate the help!</t>
    </r>
  </si>
  <si>
    <t>Rebuilt conditional formatting. Added "Semi-Significant" condition. Tweaked "Recall Required" to "Action Required". Updated Instructions for new tweaks.</t>
  </si>
  <si>
    <t>Sample declaration verbiage tweaked; re-approved by Jennifer Fleenor.</t>
  </si>
  <si>
    <t>Sample Selection for this Impact Analysis was generated programmatically, filtering for unique model numbers with Excel's VBA-based macro function (code can be provided upon request). This approach was chosen specifically to give the broadest view across the potential specification ranges of the reverse trace assets.
Note: if significant impact is found, that specific model number's section will be expanded out to include all of its assets, so each asset can be individually analyzed, and recalls can be issued appropriately for all affected assets.</t>
  </si>
  <si>
    <t>Optimization Tweaks: Sped up process of inputting data by hiding all blank rows at once rather than line by line</t>
  </si>
  <si>
    <t>Used by Model Sample</t>
  </si>
  <si>
    <t>Used by Ctrl+M</t>
  </si>
  <si>
    <t>Used by Dropdowns</t>
  </si>
  <si>
    <t>Used by Ctrl+J</t>
  </si>
  <si>
    <t>Determination required.</t>
  </si>
  <si>
    <t>Performed in Accordance with CS-SOP-OOT Procedure, Revision 2</t>
  </si>
  <si>
    <t>2. Click the Import Data Button; let it run, this performs a QA-approved sample method based on unique Model #. Reverse Trace file will import into Input/Rev Trace tab and then close completely.</t>
  </si>
  <si>
    <t>3. If required, hit the button in Cols I/J, to add new tabs for other OOT parameters of the standard (DCV &amp; Resistance are both OOT on a Fluke calibrator, for instance). You do not need a new parameter tab per OOT test point within the same parameter/range.</t>
  </si>
  <si>
    <t>4. Starting in the top row, fill in the blue cells, from left to right. Rows beneath will auto-populate as you proceed.</t>
  </si>
  <si>
    <t>5. If the row turns blue, move to the next row. If the row turns yellow/red, fill in as much as you can. See Instructions tab for detailed breakdowns of each column and value.
     If the DUT does not have data, leave Column V blank, but proceed to Col AA.</t>
  </si>
  <si>
    <t>6. When complete, save this file and send this to the PE Team (Teams message, Email, OOT Manager MS Form Tool are all acceptable).</t>
  </si>
  <si>
    <t>Download Reverse Trace REPORT from Gage Insight software. .XLS is required. Should be the second option in Gage Report Screen. The macro needs the header present on the report, and pulls data starting from row 8 on the report.</t>
  </si>
  <si>
    <t>Click the left-most macro button on the Calculations tab. The macro will import the data, close the reverse trace file, and filter for unique model numbers automatically. This is a Quality approved sample methodology. The raw reverse trace data is stored in the so-named tab.</t>
  </si>
  <si>
    <t>Head to the appropriate calculations tab(s), and starting from Row 10, proceed from left to right. Possible columns to fill in are: I, J, K, L, N, O, P, V, W, &amp; AA. They'll be blue and empty if you need to fill them in, as conditional formatting is used to highlight necessary inputs.</t>
  </si>
  <si>
    <r>
      <rPr>
        <b/>
        <sz val="11"/>
        <color theme="1"/>
        <rFont val="Calibri"/>
        <family val="2"/>
        <scheme val="minor"/>
      </rPr>
      <t>Cols K &amp; L</t>
    </r>
    <r>
      <rPr>
        <sz val="11"/>
        <color theme="1"/>
        <rFont val="Calibri"/>
        <family val="2"/>
        <scheme val="minor"/>
      </rPr>
      <t xml:space="preserve">: </t>
    </r>
    <r>
      <rPr>
        <b/>
        <u/>
        <sz val="11"/>
        <color theme="1"/>
        <rFont val="Calibri"/>
        <family val="2"/>
        <scheme val="minor"/>
      </rPr>
      <t>Use the worst error present within the OOT Standard parameter.</t>
    </r>
    <r>
      <rPr>
        <sz val="11"/>
        <color theme="1"/>
        <rFont val="Calibri"/>
        <family val="2"/>
        <scheme val="minor"/>
      </rPr>
      <t xml:space="preserve"> This ensures the widest net possible is cast, and prevents some DUTs from slipping through the cracks that would require recall.</t>
    </r>
  </si>
  <si>
    <r>
      <rPr>
        <b/>
        <sz val="11"/>
        <color theme="1"/>
        <rFont val="Calibri"/>
        <family val="2"/>
        <scheme val="minor"/>
      </rPr>
      <t>Col N</t>
    </r>
    <r>
      <rPr>
        <sz val="11"/>
        <color theme="1"/>
        <rFont val="Calibri"/>
        <family val="2"/>
        <scheme val="minor"/>
      </rPr>
      <t>: If empty and blue, fill in the uncertainty for the measurement with the worst error (the nominal vs read utilized in cols K &amp; L). Otherwise, leave this cell alone.</t>
    </r>
  </si>
  <si>
    <r>
      <t xml:space="preserve">If the row does not turn green after Column P, head over to the down arrow in cell D9. Click it, find the relevant model number to the row you were working on, uncheck it, then check it. This expands the hidden assets of that model number. We need to see the data on each one specifically, to be able to make a determination if there was an impact. </t>
    </r>
    <r>
      <rPr>
        <b/>
        <sz val="11"/>
        <color theme="1"/>
        <rFont val="Calibri"/>
        <family val="2"/>
        <scheme val="minor"/>
      </rPr>
      <t>Do not touch anything else in this drop down, or else you'll undo the whole sample.</t>
    </r>
  </si>
  <si>
    <r>
      <rPr>
        <b/>
        <sz val="11"/>
        <color theme="1"/>
        <rFont val="Calibri"/>
        <family val="2"/>
        <scheme val="minor"/>
      </rPr>
      <t>Col V:</t>
    </r>
    <r>
      <rPr>
        <sz val="11"/>
        <color theme="1"/>
        <rFont val="Calibri"/>
        <family val="2"/>
        <scheme val="minor"/>
      </rPr>
      <t xml:space="preserve"> DUT Data time. Input the DUT As Found Value. If no data is available, leave this cell blank. This compares to the already-present DUT tolerances, after arithmetically adjustmenting the value based on the standard error.</t>
    </r>
  </si>
  <si>
    <r>
      <rPr>
        <b/>
        <sz val="11"/>
        <color theme="1"/>
        <rFont val="Calibri"/>
        <family val="2"/>
        <scheme val="minor"/>
      </rPr>
      <t>Col W:</t>
    </r>
    <r>
      <rPr>
        <sz val="11"/>
        <color theme="1"/>
        <rFont val="Calibri"/>
        <family val="2"/>
        <scheme val="minor"/>
      </rPr>
      <t xml:space="preserve"> If blue/blank, input the DUT's uncertainty as it pertains to the test point you've input in Col V.</t>
    </r>
  </si>
  <si>
    <r>
      <rPr>
        <b/>
        <sz val="11"/>
        <color theme="1"/>
        <rFont val="Calibri"/>
        <family val="2"/>
        <scheme val="minor"/>
      </rPr>
      <t>Col Z:</t>
    </r>
    <r>
      <rPr>
        <sz val="11"/>
        <color theme="1"/>
        <rFont val="Calibri"/>
        <family val="2"/>
        <scheme val="minor"/>
      </rPr>
      <t xml:space="preserve"> </t>
    </r>
    <r>
      <rPr>
        <b/>
        <sz val="11"/>
        <color theme="1"/>
        <rFont val="Calibri"/>
        <family val="2"/>
        <scheme val="minor"/>
      </rPr>
      <t>NO INPUT</t>
    </r>
    <r>
      <rPr>
        <sz val="11"/>
        <color theme="1"/>
        <rFont val="Calibri"/>
        <family val="2"/>
        <scheme val="minor"/>
      </rPr>
      <t>- If DUT As Found was provided, this column tells if the unit actually passed or failed versus its listed tolerances. This is the adjusted condition. Otherwise, it reads "Need Data".</t>
    </r>
  </si>
  <si>
    <r>
      <rPr>
        <b/>
        <sz val="11"/>
        <color theme="1"/>
        <rFont val="Calibri"/>
        <family val="2"/>
        <scheme val="minor"/>
      </rPr>
      <t>Col AA:</t>
    </r>
    <r>
      <rPr>
        <sz val="11"/>
        <color theme="1"/>
        <rFont val="Calibri"/>
        <family val="2"/>
        <scheme val="minor"/>
      </rPr>
      <t xml:space="preserve"> Input whether or not the DUT passed or failed according to the relevant event in Gage. If the unit passed in Gage, and passes now, no action is required. If the unit failed in Gage and fails now, no action. We're only concerned with a change in those conditions.</t>
    </r>
  </si>
  <si>
    <t>Hid unnecessary-to-user columns, added undo to non-intersection macro, added IMPACTED macro (CTRL+J), adjusted conditional formatting and some determination logic. Updated Instructions.</t>
  </si>
  <si>
    <t>Fails FI, determination required.</t>
  </si>
  <si>
    <t>Used by Ctrl+P</t>
  </si>
  <si>
    <t>Added "Fails FI, determination required" to Final Result column options, complete with ctrl+p macro (it's undo-able!). Tweaked conditional formatting to not overwrite blue spaces requiring user input.</t>
  </si>
  <si>
    <t>Revision # of most recent validation:</t>
  </si>
  <si>
    <t>Change Notes:</t>
  </si>
  <si>
    <t>Date:</t>
  </si>
  <si>
    <t>Name:</t>
  </si>
  <si>
    <t>Rev #:</t>
  </si>
  <si>
    <r>
      <rPr>
        <b/>
        <sz val="11"/>
        <color theme="1"/>
        <rFont val="Calibri"/>
        <family val="2"/>
        <scheme val="minor"/>
      </rPr>
      <t>Performed by:</t>
    </r>
    <r>
      <rPr>
        <sz val="11"/>
        <color theme="1"/>
        <rFont val="Calibri"/>
        <family val="2"/>
        <scheme val="minor"/>
      </rPr>
      <t xml:space="preserve"> Chris Pearson</t>
    </r>
  </si>
  <si>
    <t>Validation Notes:</t>
  </si>
  <si>
    <t>Consolidated Validation and Rev History Tabs, added Validation details (Rev # Validated, Validated by).</t>
  </si>
  <si>
    <t>Ucty</t>
  </si>
  <si>
    <t>AsF</t>
  </si>
  <si>
    <t>Nom</t>
  </si>
  <si>
    <t>Max Err %:</t>
  </si>
  <si>
    <t>Error %</t>
  </si>
  <si>
    <t>Condition</t>
  </si>
  <si>
    <t>Tolerance</t>
  </si>
  <si>
    <t>Error</t>
  </si>
  <si>
    <t>Uncertainty</t>
  </si>
  <si>
    <t>As Found</t>
  </si>
  <si>
    <t>Nominal</t>
  </si>
  <si>
    <r>
      <rPr>
        <b/>
        <sz val="20"/>
        <color theme="1"/>
        <rFont val="Calibri"/>
        <family val="2"/>
        <scheme val="minor"/>
      </rPr>
      <t xml:space="preserve">This worksheet is used  to determine the worst case error of the standard in a given parameter. </t>
    </r>
    <r>
      <rPr>
        <sz val="11"/>
        <color theme="1"/>
        <rFont val="Calibri"/>
        <family val="2"/>
        <scheme val="minor"/>
      </rPr>
      <t xml:space="preserve">
</t>
    </r>
    <r>
      <rPr>
        <b/>
        <u/>
        <sz val="11"/>
        <color theme="1"/>
        <rFont val="Calibri"/>
        <family val="2"/>
        <scheme val="minor"/>
      </rPr>
      <t>Nominal</t>
    </r>
    <r>
      <rPr>
        <sz val="11"/>
        <color theme="1"/>
        <rFont val="Calibri"/>
        <family val="2"/>
        <scheme val="minor"/>
      </rPr>
      <t xml:space="preserve">, </t>
    </r>
    <r>
      <rPr>
        <b/>
        <u/>
        <sz val="11"/>
        <color theme="1"/>
        <rFont val="Calibri"/>
        <family val="2"/>
        <scheme val="minor"/>
      </rPr>
      <t>As Found</t>
    </r>
    <r>
      <rPr>
        <sz val="11"/>
        <color theme="1"/>
        <rFont val="Calibri"/>
        <family val="2"/>
        <scheme val="minor"/>
      </rPr>
      <t xml:space="preserve">, </t>
    </r>
    <r>
      <rPr>
        <b/>
        <u/>
        <sz val="11"/>
        <color theme="1"/>
        <rFont val="Calibri"/>
        <family val="2"/>
        <scheme val="minor"/>
      </rPr>
      <t>Uncertainty</t>
    </r>
    <r>
      <rPr>
        <sz val="11"/>
        <color theme="1"/>
        <rFont val="Calibri"/>
        <family val="2"/>
        <scheme val="minor"/>
      </rPr>
      <t xml:space="preserve"> (if any, feel free to leave blank or fill with 0's) are self-explanatory and come directly from the errant standard's datasheet.
</t>
    </r>
    <r>
      <rPr>
        <b/>
        <u/>
        <sz val="11"/>
        <color theme="1"/>
        <rFont val="Calibri"/>
        <family val="2"/>
        <scheme val="minor"/>
      </rPr>
      <t>Tolerance</t>
    </r>
    <r>
      <rPr>
        <sz val="11"/>
        <color theme="1"/>
        <rFont val="Calibri"/>
        <family val="2"/>
        <scheme val="minor"/>
      </rPr>
      <t xml:space="preserve"> is included in the event the DS comes from a vendor, and it's unclear what test points pass or fail. If that applies, fill in the expected tolerance for that test point. This will directly affect the </t>
    </r>
    <r>
      <rPr>
        <b/>
        <u/>
        <sz val="11"/>
        <color theme="1"/>
        <rFont val="Calibri"/>
        <family val="2"/>
        <scheme val="minor"/>
      </rPr>
      <t>Condition</t>
    </r>
    <r>
      <rPr>
        <sz val="11"/>
        <color theme="1"/>
        <rFont val="Calibri"/>
        <family val="2"/>
        <scheme val="minor"/>
      </rPr>
      <t xml:space="preserve"> column. Remember, indeterminant Failures are not significant enough to require analysis (the</t>
    </r>
    <r>
      <rPr>
        <b/>
        <sz val="11"/>
        <color theme="1"/>
        <rFont val="Calibri"/>
        <family val="2"/>
        <scheme val="minor"/>
      </rPr>
      <t xml:space="preserve"> </t>
    </r>
    <r>
      <rPr>
        <b/>
        <u/>
        <sz val="11"/>
        <color theme="1"/>
        <rFont val="Calibri"/>
        <family val="2"/>
        <scheme val="minor"/>
      </rPr>
      <t>Condition</t>
    </r>
    <r>
      <rPr>
        <sz val="11"/>
        <color theme="1"/>
        <rFont val="Calibri"/>
        <family val="2"/>
        <scheme val="minor"/>
      </rPr>
      <t xml:space="preserve"> column will report '</t>
    </r>
    <r>
      <rPr>
        <b/>
        <sz val="11"/>
        <color theme="1"/>
        <rFont val="Calibri"/>
        <family val="2"/>
        <scheme val="minor"/>
      </rPr>
      <t>No Impact</t>
    </r>
    <r>
      <rPr>
        <sz val="11"/>
        <color theme="1"/>
        <rFont val="Calibri"/>
        <family val="2"/>
        <scheme val="minor"/>
      </rPr>
      <t>' if this is the case).
Excel wizards may also turn this worksheet into a drop-down menu for the Standards Cells in the Calculations tab - useful if it's easier to find the DUT's tightest spec, and then select the intersecting TP/Range of the standard (we'll address this as 'DUT-first comparison). For non-wizards, please click the link directly below for a tutorial. This saves time in big OOTs, or where the worst case error of the standard isn't specific enough - like the standard worst case error exceeds the DUT's range(s), for example.</t>
    </r>
  </si>
  <si>
    <t>the PE Wiki in Teams, click '5. DUT-first Comparison' on the left because the more specific link doesn't take you to the correct view, for some reason.</t>
  </si>
  <si>
    <t>Expanded the Worksheet Tab and its features for ease of use, and references PE Wiki in Teams for further details.</t>
  </si>
  <si>
    <t>n/a</t>
  </si>
  <si>
    <t>Not used. See below.</t>
  </si>
  <si>
    <t>Unhiding Ratio; Manually rolling up version number to match Torque-variant's version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</si>
</sst>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00000"/>
  </numFmts>
  <fonts count="22" x14ac:knownFonts="1">
    <font>
      <sz val="11"/>
      <color theme="1"/>
      <name val="Calibri"/>
      <family val="2"/>
      <scheme val="minor"/>
    </font>
    <font>
      <b/>
      <sz val="12"/>
      <color theme="1"/>
      <name val="Calibri"/>
      <family val="2"/>
      <scheme val="minor"/>
    </font>
    <font>
      <b/>
      <sz val="14"/>
      <color theme="0"/>
      <name val="Calibri"/>
      <family val="2"/>
      <scheme val="minor"/>
    </font>
    <font>
      <b/>
      <sz val="14"/>
      <color theme="1"/>
      <name val="Calibri"/>
      <family val="2"/>
      <scheme val="minor"/>
    </font>
    <font>
      <sz val="11"/>
      <color theme="1"/>
      <name val="Calibri"/>
      <family val="2"/>
    </font>
    <font>
      <b/>
      <sz val="20"/>
      <color theme="1"/>
      <name val="Calibri"/>
      <family val="2"/>
      <scheme val="minor"/>
    </font>
    <font>
      <b/>
      <i/>
      <sz val="11"/>
      <color rgb="FF0000FF"/>
      <name val="Calibri"/>
      <family val="2"/>
    </font>
    <font>
      <b/>
      <sz val="11"/>
      <color theme="1"/>
      <name val="Calibri"/>
      <family val="2"/>
      <scheme val="minor"/>
    </font>
    <font>
      <b/>
      <sz val="16"/>
      <color theme="0"/>
      <name val="Calibri"/>
      <family val="2"/>
      <scheme val="minor"/>
    </font>
    <font>
      <b/>
      <sz val="12"/>
      <color indexed="10"/>
      <name val="Arial"/>
      <family val="2"/>
    </font>
    <font>
      <b/>
      <sz val="48"/>
      <color theme="1"/>
      <name val="Calibri"/>
      <family val="2"/>
      <scheme val="minor"/>
    </font>
    <font>
      <b/>
      <i/>
      <sz val="11"/>
      <color theme="1"/>
      <name val="Calibri"/>
      <family val="2"/>
      <scheme val="minor"/>
    </font>
    <font>
      <b/>
      <sz val="12"/>
      <name val="Arial"/>
      <family val="2"/>
    </font>
    <font>
      <b/>
      <u/>
      <sz val="11"/>
      <color theme="1"/>
      <name val="Calibri"/>
      <family val="2"/>
      <scheme val="minor"/>
    </font>
    <font>
      <b/>
      <sz val="16"/>
      <color theme="1"/>
      <name val="Calibri"/>
      <family val="2"/>
      <scheme val="minor"/>
    </font>
    <font>
      <sz val="11"/>
      <color theme="1"/>
      <name val="Calibri"/>
      <family val="2"/>
      <scheme val="minor"/>
    </font>
    <font>
      <sz val="11"/>
      <color rgb="FF9C0006"/>
      <name val="Calibri"/>
      <family val="2"/>
      <scheme val="minor"/>
    </font>
    <font>
      <sz val="11"/>
      <color theme="0"/>
      <name val="Calibri"/>
      <family val="2"/>
      <scheme val="minor"/>
    </font>
    <font>
      <u/>
      <sz val="11"/>
      <color theme="10"/>
      <name val="Calibri"/>
      <family val="2"/>
      <scheme val="minor"/>
    </font>
    <font>
      <sz val="12"/>
      <color theme="1"/>
      <name val="Calibri"/>
      <family val="2"/>
      <scheme val="minor"/>
    </font>
    <font>
      <b/>
      <u/>
      <sz val="16"/>
      <color theme="10"/>
      <name val="Calibri"/>
      <family val="2"/>
      <scheme val="minor"/>
    </font>
    <font>
      <b/>
      <sz val="11"/>
      <color rgb="FF9C0006"/>
      <name val="Calibri"/>
      <family val="2"/>
      <scheme val="minor"/>
    </font>
  </fonts>
  <fills count="8">
    <fill>
      <patternFill patternType="none"/>
    </fill>
    <fill>
      <patternFill patternType="gray125"/>
    </fill>
    <fill>
      <patternFill patternType="solid">
        <fgColor theme="5"/>
        <bgColor theme="5"/>
      </patternFill>
    </fill>
    <fill>
      <patternFill patternType="solid">
        <fgColor theme="1"/>
        <bgColor indexed="64"/>
      </patternFill>
    </fill>
    <fill>
      <patternFill patternType="solid">
        <fgColor rgb="FFFFFF00"/>
        <bgColor indexed="64"/>
      </patternFill>
    </fill>
    <fill>
      <patternFill patternType="solid">
        <fgColor rgb="FF00B0F0"/>
        <bgColor indexed="64"/>
      </patternFill>
    </fill>
    <fill>
      <patternFill patternType="solid">
        <fgColor rgb="FFFFC7CE"/>
      </patternFill>
    </fill>
    <fill>
      <patternFill patternType="solid">
        <fgColor theme="4"/>
      </patternFill>
    </fill>
  </fills>
  <borders count="2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9" fontId="15" fillId="0" borderId="0" applyFont="0" applyFill="0" applyBorder="0" applyAlignment="0" applyProtection="0"/>
    <xf numFmtId="0" fontId="16" fillId="6" borderId="0" applyNumberFormat="0" applyBorder="0" applyAlignment="0" applyProtection="0"/>
    <xf numFmtId="0" fontId="17" fillId="7" borderId="0" applyNumberFormat="0" applyBorder="0" applyAlignment="0" applyProtection="0"/>
    <xf numFmtId="0" fontId="18" fillId="0" borderId="0" applyNumberFormat="0" applyFill="0" applyBorder="0" applyAlignment="0" applyProtection="0"/>
  </cellStyleXfs>
  <cellXfs count="79">
    <xf numFmtId="0" fontId="0" fillId="0" borderId="0" xfId="0"/>
    <xf numFmtId="0" fontId="0" fillId="0" borderId="0" xfId="0" applyAlignment="1">
      <alignment horizontal="center"/>
    </xf>
    <xf numFmtId="0" fontId="1" fillId="0" borderId="0" xfId="0" applyFont="1"/>
    <xf numFmtId="0" fontId="3" fillId="0" borderId="5" xfId="0" applyFont="1" applyBorder="1" applyAlignment="1">
      <alignment horizontal="left"/>
    </xf>
    <xf numFmtId="0" fontId="3" fillId="0" borderId="6" xfId="0" applyFont="1" applyBorder="1" applyAlignment="1">
      <alignment horizontal="left"/>
    </xf>
    <xf numFmtId="0" fontId="4" fillId="0" borderId="0" xfId="0" applyFont="1" applyAlignment="1">
      <alignment horizontal="center"/>
    </xf>
    <xf numFmtId="0" fontId="3" fillId="0" borderId="4" xfId="0" applyFont="1" applyBorder="1" applyAlignment="1">
      <alignment horizontal="left"/>
    </xf>
    <xf numFmtId="0" fontId="3" fillId="0" borderId="7" xfId="0" applyFont="1" applyBorder="1" applyAlignment="1">
      <alignment horizontal="left"/>
    </xf>
    <xf numFmtId="0" fontId="3" fillId="0" borderId="4" xfId="0" quotePrefix="1" applyFont="1" applyBorder="1" applyAlignment="1">
      <alignment horizontal="left"/>
    </xf>
    <xf numFmtId="0" fontId="3" fillId="0" borderId="5" xfId="0" quotePrefix="1" applyFont="1" applyBorder="1" applyAlignment="1">
      <alignment horizontal="left"/>
    </xf>
    <xf numFmtId="0" fontId="0" fillId="0" borderId="0" xfId="0" applyAlignment="1">
      <alignment horizontal="left"/>
    </xf>
    <xf numFmtId="0" fontId="3" fillId="0" borderId="9" xfId="0" applyFont="1" applyBorder="1" applyAlignment="1">
      <alignment horizontal="left"/>
    </xf>
    <xf numFmtId="0" fontId="3" fillId="0" borderId="9" xfId="0" quotePrefix="1" applyFont="1" applyBorder="1" applyAlignment="1">
      <alignment horizontal="left"/>
    </xf>
    <xf numFmtId="0" fontId="3" fillId="0" borderId="0" xfId="0" applyFont="1" applyAlignment="1">
      <alignment horizontal="center"/>
    </xf>
    <xf numFmtId="0" fontId="7" fillId="4" borderId="12" xfId="0" applyFont="1" applyFill="1" applyBorder="1" applyAlignment="1">
      <alignment horizontal="center" vertical="center"/>
    </xf>
    <xf numFmtId="0" fontId="9" fillId="0" borderId="0" xfId="0" applyFont="1" applyAlignment="1">
      <alignment horizontal="left" vertical="top"/>
    </xf>
    <xf numFmtId="0" fontId="3" fillId="0" borderId="23" xfId="0" applyFont="1" applyBorder="1" applyAlignment="1">
      <alignment horizontal="left"/>
    </xf>
    <xf numFmtId="0" fontId="1" fillId="0" borderId="22" xfId="0" applyFont="1" applyBorder="1" applyAlignment="1">
      <alignment horizontal="center"/>
    </xf>
    <xf numFmtId="0" fontId="1" fillId="0" borderId="23" xfId="0" applyFont="1" applyBorder="1" applyAlignment="1">
      <alignment horizontal="left"/>
    </xf>
    <xf numFmtId="2" fontId="3" fillId="0" borderId="22" xfId="0" applyNumberFormat="1" applyFont="1" applyBorder="1" applyAlignment="1">
      <alignment horizontal="center"/>
    </xf>
    <xf numFmtId="0" fontId="10" fillId="0" borderId="0" xfId="0" applyFont="1" applyAlignment="1">
      <alignment horizontal="center" vertical="center"/>
    </xf>
    <xf numFmtId="0" fontId="2" fillId="2" borderId="8" xfId="0" applyFont="1" applyFill="1" applyBorder="1" applyAlignment="1">
      <alignment horizontal="center"/>
    </xf>
    <xf numFmtId="0" fontId="0" fillId="0" borderId="22" xfId="0" applyBorder="1" applyAlignment="1">
      <alignment horizontal="center"/>
    </xf>
    <xf numFmtId="0" fontId="0" fillId="0" borderId="0" xfId="0" applyAlignment="1">
      <alignment wrapText="1"/>
    </xf>
    <xf numFmtId="0" fontId="3" fillId="0" borderId="0" xfId="0" applyFont="1" applyAlignment="1">
      <alignment horizontal="center" vertical="top"/>
    </xf>
    <xf numFmtId="0" fontId="0" fillId="0" borderId="0" xfId="0" applyAlignment="1">
      <alignment horizontal="left" wrapText="1"/>
    </xf>
    <xf numFmtId="164" fontId="9" fillId="0" borderId="0" xfId="0" applyNumberFormat="1" applyFont="1" applyAlignment="1">
      <alignment horizontal="left" vertical="top"/>
    </xf>
    <xf numFmtId="0" fontId="12" fillId="0" borderId="0" xfId="0" applyFont="1" applyAlignment="1">
      <alignment horizontal="left" vertical="top"/>
    </xf>
    <xf numFmtId="0" fontId="7" fillId="4" borderId="12" xfId="0" applyFont="1" applyFill="1" applyBorder="1" applyAlignment="1">
      <alignment horizontal="center"/>
    </xf>
    <xf numFmtId="0" fontId="0" fillId="4" borderId="12" xfId="0" applyFill="1" applyBorder="1" applyAlignment="1">
      <alignment vertical="center"/>
    </xf>
    <xf numFmtId="0" fontId="0" fillId="4" borderId="12" xfId="0" applyFill="1" applyBorder="1" applyAlignment="1">
      <alignment horizontal="left"/>
    </xf>
    <xf numFmtId="0" fontId="8" fillId="3" borderId="0" xfId="0" applyFont="1" applyFill="1" applyAlignment="1">
      <alignment horizontal="left" vertical="center"/>
    </xf>
    <xf numFmtId="0" fontId="14" fillId="3" borderId="0" xfId="0" applyFont="1" applyFill="1" applyAlignment="1">
      <alignment horizontal="center"/>
    </xf>
    <xf numFmtId="0" fontId="14" fillId="3" borderId="0" xfId="0" applyFont="1" applyFill="1"/>
    <xf numFmtId="14" fontId="0" fillId="0" borderId="0" xfId="0" applyNumberFormat="1" applyAlignment="1">
      <alignment horizontal="left"/>
    </xf>
    <xf numFmtId="0" fontId="3" fillId="0" borderId="0" xfId="0" applyFont="1"/>
    <xf numFmtId="0" fontId="8" fillId="7" borderId="5" xfId="3" applyFont="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7" fillId="0" borderId="16" xfId="0" applyFont="1" applyBorder="1" applyAlignment="1">
      <alignment horizontal="center"/>
    </xf>
    <xf numFmtId="0" fontId="7" fillId="0" borderId="0" xfId="0" applyFont="1" applyAlignment="1">
      <alignment horizontal="center"/>
    </xf>
    <xf numFmtId="0" fontId="7" fillId="0" borderId="17" xfId="0" applyFont="1" applyBorder="1" applyAlignment="1">
      <alignment horizontal="center"/>
    </xf>
    <xf numFmtId="0" fontId="19" fillId="0" borderId="0" xfId="0" applyFont="1" applyAlignment="1">
      <alignment vertical="center"/>
    </xf>
    <xf numFmtId="165" fontId="0" fillId="0" borderId="0" xfId="0" applyNumberFormat="1" applyAlignment="1">
      <alignment horizontal="center"/>
    </xf>
    <xf numFmtId="9" fontId="0" fillId="0" borderId="0" xfId="1" applyFont="1" applyAlignment="1">
      <alignment horizontal="center"/>
    </xf>
    <xf numFmtId="0" fontId="21" fillId="6" borderId="13" xfId="2" applyFont="1" applyBorder="1" applyAlignment="1">
      <alignment horizontal="center"/>
    </xf>
    <xf numFmtId="14" fontId="0" fillId="0" borderId="0" xfId="0" applyNumberFormat="1" applyAlignment="1">
      <alignment horizontal="center"/>
    </xf>
    <xf numFmtId="0" fontId="0" fillId="0" borderId="0" xfId="0" applyAlignment="1">
      <alignment horizontal="left" vertical="top" wrapText="1"/>
    </xf>
    <xf numFmtId="0" fontId="20" fillId="0" borderId="0" xfId="4" applyFont="1" applyAlignment="1">
      <alignment horizontal="center" vertical="center"/>
    </xf>
    <xf numFmtId="9" fontId="21" fillId="6" borderId="14" xfId="1" applyFont="1" applyFill="1" applyBorder="1" applyAlignment="1">
      <alignment horizontal="center"/>
    </xf>
    <xf numFmtId="9" fontId="21" fillId="6" borderId="15" xfId="1" applyFont="1" applyFill="1" applyBorder="1" applyAlignment="1">
      <alignment horizontal="center"/>
    </xf>
    <xf numFmtId="0" fontId="3" fillId="0" borderId="13" xfId="0" applyFont="1" applyBorder="1" applyAlignment="1">
      <alignment horizontal="left" vertical="top" wrapText="1"/>
    </xf>
    <xf numFmtId="0" fontId="3" fillId="0" borderId="14" xfId="0" applyFont="1" applyBorder="1" applyAlignment="1">
      <alignment horizontal="left" vertical="top"/>
    </xf>
    <xf numFmtId="0" fontId="3" fillId="0" borderId="15" xfId="0" applyFont="1" applyBorder="1" applyAlignment="1">
      <alignment horizontal="left" vertical="top"/>
    </xf>
    <xf numFmtId="0" fontId="3" fillId="0" borderId="16" xfId="0" applyFont="1" applyBorder="1" applyAlignment="1">
      <alignment horizontal="left" vertical="top"/>
    </xf>
    <xf numFmtId="0" fontId="3" fillId="0" borderId="0" xfId="0" applyFont="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0" fillId="0" borderId="0" xfId="0" applyAlignment="1">
      <alignment horizontal="center"/>
    </xf>
    <xf numFmtId="0" fontId="2" fillId="2" borderId="10" xfId="0" applyFont="1" applyFill="1" applyBorder="1" applyAlignment="1">
      <alignment horizontal="center"/>
    </xf>
    <xf numFmtId="0" fontId="2" fillId="2" borderId="8" xfId="0" applyFont="1" applyFill="1" applyBorder="1" applyAlignment="1">
      <alignment horizontal="center"/>
    </xf>
    <xf numFmtId="0" fontId="2" fillId="2" borderId="11" xfId="0" applyFont="1" applyFill="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3" fillId="0" borderId="0" xfId="0" applyFont="1" applyAlignment="1">
      <alignment horizontal="left"/>
    </xf>
    <xf numFmtId="0" fontId="3" fillId="0" borderId="21" xfId="0" applyFont="1" applyBorder="1" applyAlignment="1">
      <alignment horizontal="right"/>
    </xf>
    <xf numFmtId="0" fontId="3" fillId="0" borderId="22" xfId="0" applyFont="1" applyBorder="1" applyAlignment="1">
      <alignment horizontal="right"/>
    </xf>
    <xf numFmtId="0" fontId="1" fillId="0" borderId="21" xfId="0" applyFont="1" applyBorder="1" applyAlignment="1">
      <alignment horizontal="right"/>
    </xf>
    <xf numFmtId="0" fontId="1" fillId="0" borderId="22" xfId="0" applyFont="1" applyBorder="1" applyAlignment="1">
      <alignment horizontal="right"/>
    </xf>
    <xf numFmtId="0" fontId="0" fillId="0" borderId="0" xfId="0" applyAlignment="1">
      <alignment horizontal="left"/>
    </xf>
    <xf numFmtId="0" fontId="5" fillId="0" borderId="0" xfId="0" applyFont="1" applyAlignment="1">
      <alignment horizontal="center"/>
    </xf>
    <xf numFmtId="0" fontId="0" fillId="0" borderId="19" xfId="0" applyBorder="1" applyAlignment="1">
      <alignment horizontal="left"/>
    </xf>
    <xf numFmtId="0" fontId="0" fillId="0" borderId="0" xfId="0" applyAlignment="1">
      <alignment horizontal="left" wrapText="1"/>
    </xf>
    <xf numFmtId="0" fontId="7" fillId="5" borderId="12" xfId="0" applyFont="1" applyFill="1" applyBorder="1" applyAlignment="1">
      <alignment horizontal="center" vertical="center"/>
    </xf>
    <xf numFmtId="0" fontId="8" fillId="3" borderId="0" xfId="0" applyFont="1" applyFill="1" applyAlignment="1">
      <alignment horizontal="center" vertical="center"/>
    </xf>
  </cellXfs>
  <cellStyles count="5">
    <cellStyle name="Accent1" xfId="3" builtinId="29"/>
    <cellStyle name="Bad" xfId="2" builtinId="27"/>
    <cellStyle name="Hyperlink" xfId="4" builtinId="8"/>
    <cellStyle name="Normal" xfId="0" builtinId="0"/>
    <cellStyle name="Percent" xfId="1" builtinId="5"/>
  </cellStyles>
  <dxfs count="53">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6"/>
        <color theme="1"/>
        <name val="Calibri"/>
        <family val="2"/>
        <scheme val="minor"/>
      </font>
      <fill>
        <patternFill patternType="solid">
          <fgColor indexed="64"/>
          <bgColor theme="1"/>
        </patternFill>
      </fill>
    </dxf>
    <dxf>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4"/>
        <name val="Calibri"/>
        <family val="2"/>
        <scheme val="minor"/>
      </font>
      <alignment horizontal="left" vertical="bottom" textRotation="0" wrapText="0" indent="0" justifyLastLine="0" shrinkToFit="0" readingOrder="0"/>
    </dxf>
    <dxf>
      <fill>
        <patternFill>
          <bgColor rgb="FFFF0000"/>
        </patternFill>
      </fill>
    </dxf>
    <dxf>
      <fill>
        <patternFill>
          <bgColor rgb="FFFFFF00"/>
        </patternFill>
      </fill>
    </dxf>
    <dxf>
      <fill>
        <patternFill>
          <bgColor rgb="FF00B050"/>
        </patternFill>
      </fill>
    </dxf>
    <dxf>
      <fill>
        <patternFill>
          <bgColor rgb="FFFFFF00"/>
        </patternFill>
      </fill>
    </dxf>
    <dxf>
      <fill>
        <patternFill>
          <bgColor rgb="FF00B050"/>
        </patternFill>
      </fill>
    </dxf>
    <dxf>
      <fill>
        <patternFill>
          <bgColor rgb="FFFF0000"/>
        </patternFill>
      </fill>
    </dxf>
    <dxf>
      <fill>
        <patternFill>
          <bgColor rgb="FF00B0F0"/>
        </patternFill>
      </fill>
    </dxf>
    <dxf>
      <fill>
        <patternFill>
          <bgColor rgb="FF00B0F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642D"/>
      <color rgb="FFC6EFCE"/>
      <color rgb="FF6FD783"/>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4392198" cy="77275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392198" cy="772755"/>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0</xdr:colOff>
          <xdr:row>0</xdr:row>
          <xdr:rowOff>19050</xdr:rowOff>
        </xdr:from>
        <xdr:to>
          <xdr:col>7</xdr:col>
          <xdr:colOff>866775</xdr:colOff>
          <xdr:row>5</xdr:row>
          <xdr:rowOff>9525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FF"/>
                  </a:solidFill>
                  <a:latin typeface="Calibri"/>
                  <a:cs typeface="Calibri"/>
                </a:rPr>
                <a:t>Import Data from Reverse Trace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0</xdr:row>
          <xdr:rowOff>19050</xdr:rowOff>
        </xdr:from>
        <xdr:to>
          <xdr:col>9</xdr:col>
          <xdr:colOff>647700</xdr:colOff>
          <xdr:row>5</xdr:row>
          <xdr:rowOff>19050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FF"/>
                  </a:solidFill>
                  <a:latin typeface="Calibri"/>
                  <a:cs typeface="Calibri"/>
                </a:rPr>
                <a:t>Add New Calculation Tab for Other OOT Parameters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9:AI3007" totalsRowShown="0" headerRowDxfId="40" dataDxfId="39">
  <autoFilter ref="A9:AI3007" xr:uid="{00000000-0009-0000-0100-000001000000}"/>
  <sortState xmlns:xlrd2="http://schemas.microsoft.com/office/spreadsheetml/2017/richdata2" ref="A10:AI3007">
    <sortCondition ref="D9:D3007"/>
  </sortState>
  <tableColumns count="35">
    <tableColumn id="1" xr3:uid="{00000000-0010-0000-0000-000001000000}" name="ID" dataDxfId="38"/>
    <tableColumn id="2" xr3:uid="{00000000-0010-0000-0000-000002000000}" name="Company" dataDxfId="37"/>
    <tableColumn id="3" xr3:uid="{00000000-0010-0000-0000-000003000000}" name="Manufacturer" dataDxfId="36"/>
    <tableColumn id="4" xr3:uid="{00000000-0010-0000-0000-000004000000}" name="Model" dataDxfId="35"/>
    <tableColumn id="5" xr3:uid="{00000000-0010-0000-0000-000005000000}" name="Description" dataDxfId="34"/>
    <tableColumn id="6" xr3:uid="{00000000-0010-0000-0000-000006000000}" name="Serial Number" dataDxfId="33"/>
    <tableColumn id="8" xr3:uid="{00000000-0010-0000-0000-000008000000}" name="Date of Cal" dataDxfId="32"/>
    <tableColumn id="7" xr3:uid="{00000000-0010-0000-0000-000007000000}" name="Cal Type" dataDxfId="31"/>
    <tableColumn id="9" xr3:uid="{00000000-0010-0000-0000-000009000000}" name="Units" dataDxfId="30">
      <calculatedColumnFormula>$I$10</calculatedColumnFormula>
    </tableColumn>
    <tableColumn id="10" xr3:uid="{00000000-0010-0000-0000-00000A000000}" name="Spec Type" dataDxfId="29">
      <calculatedColumnFormula>""</calculatedColumnFormula>
    </tableColumn>
    <tableColumn id="11" xr3:uid="{00000000-0010-0000-0000-00000B000000}" name="Std Nom" dataDxfId="28">
      <calculatedColumnFormula>$K$10</calculatedColumnFormula>
    </tableColumn>
    <tableColumn id="12" xr3:uid="{00000000-0010-0000-0000-00000C000000}" name="Std Read" dataDxfId="27">
      <calculatedColumnFormula>$L$10</calculatedColumnFormula>
    </tableColumn>
    <tableColumn id="13" xr3:uid="{00000000-0010-0000-0000-00000D000000}" name="Std Error" dataDxfId="26">
      <calculatedColumnFormula>IF(OR(Table1[[#This Row],[Std Nom]]="",Table1[[#This Row],[Std Read]]=""),0,Table1[[#This Row],[Std Nom]]-Table1[[#This Row],[Std Read]])</calculatedColumnFormula>
    </tableColumn>
    <tableColumn id="14" xr3:uid="{00000000-0010-0000-0000-00000E000000}" name="Std Ucty" dataDxfId="25">
      <calculatedColumnFormula>IF(Calculations!$F$5="ACCREDITED 17025 WITH UNCERTAINTIES","",0)</calculatedColumnFormula>
    </tableColumn>
    <tableColumn id="15" xr3:uid="{00000000-0010-0000-0000-00000F000000}" name="Low Tol" dataDxfId="24"/>
    <tableColumn id="16" xr3:uid="{00000000-0010-0000-0000-000010000000}" name="High Tol" dataDxfId="23"/>
    <tableColumn id="17" xr3:uid="{00000000-0010-0000-0000-000011000000}" name="Tol Span" dataDxfId="22">
      <calculatedColumnFormula>Table1[[#This Row],[High Tol]]-Table1[[#This Row],[Low Tol]]</calculatedColumnFormula>
    </tableColumn>
    <tableColumn id="18" xr3:uid="{00000000-0010-0000-0000-000012000000}" name="Error Span" dataDxfId="21">
      <calculatedColumnFormula>2*Table1[[#This Row],[Std Error]]</calculatedColumnFormula>
    </tableColumn>
    <tableColumn id="19" xr3:uid="{00000000-0010-0000-0000-000013000000}" name="Ratio" dataDxfId="20">
      <calculatedColumnFormula>IF(Table1[[#This Row],[High Tol]]="","N/A",IFERROR(ABS(Table1[[#This Row],[Tol Span]]/Table1[[#This Row],[Error Span]]),"N/A"))</calculatedColumnFormula>
    </tableColumn>
    <tableColumn id="20" xr3:uid="{00000000-0010-0000-0000-000014000000}" name="Result" dataDxfId="19">
      <calculatedColumnFormula>IF(OR(Table1[[#This Row],[Low Tol]]="",Table1[[#This Row],[High Tol]]=""),"Needs Analysis",IF(Table1[[#This Row],[Ratio]]&gt;=4,"Not Significant",IF(Table1[[#This Row],[Ratio]]&gt;=2,"Semi-Significant","Significant")))</calculatedColumnFormula>
    </tableColumn>
    <tableColumn id="21" xr3:uid="{00000000-0010-0000-0000-000015000000}" name="DUT Nom" dataDxfId="18"/>
    <tableColumn id="22" xr3:uid="{00000000-0010-0000-0000-000016000000}" name="DUT Read" dataDxfId="17">
      <calculatedColumnFormula>IF(OR(Table1[[#This Row],[Cal Type]]="Normal",Table1[[#This Row],[Cal Type]]="ACCREDITED 17025 WITH UNCERTAINTIES"),"","N/A")</calculatedColumnFormula>
    </tableColumn>
    <tableColumn id="23" xr3:uid="{00000000-0010-0000-0000-000017000000}" name="DUT Ucty" dataDxfId="16">
      <calculatedColumnFormula>IF(Table1[[#This Row],[Cal Type]]&lt;&gt;"ACCREDITED 17025 WITH UNCERTAINTIES",0,"")</calculatedColumnFormula>
    </tableColumn>
    <tableColumn id="24" xr3:uid="{00000000-0010-0000-0000-000018000000}" name="DUT Adj Read" dataDxfId="15">
      <calculatedColumnFormula>IF(Table1[[#This Row],[DUT Read]]="","N/A",Table1[[#This Row],[Std Error]]+Table1[[#This Row],[DUT Read]]+Table1[[#This Row],[DUT Ucty]])</calculatedColumnFormula>
    </tableColumn>
    <tableColumn id="25" xr3:uid="{00000000-0010-0000-0000-000019000000}" name="Std Adj Read" dataDxfId="14">
      <calculatedColumnFormula>IF(Table1[[#This Row],[Std Read]]="","N/A",Table1[[#This Row],[Std Read]]+Table1[[#This Row],[Std Ucty]])</calculatedColumnFormula>
    </tableColumn>
    <tableColumn id="26" xr3:uid="{00000000-0010-0000-0000-00001A000000}" name="Pass/Fail" dataDxfId="13">
      <calculatedColumnFormula>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calculatedColumnFormula>
    </tableColumn>
    <tableColumn id="31" xr3:uid="{74B26322-B0F7-48CA-A90A-E42F636F5377}" name="Gage Condition" dataDxfId="12"/>
    <tableColumn id="34" xr3:uid="{00000000-0010-0000-0000-000022000000}" name="Spec Type2" dataDxfId="11">
      <calculatedColumnFormula>IF(Table1[[#This Row],[Spec Type]]="","N/A",Table1[[#This Row],[Spec Type]])</calculatedColumnFormula>
    </tableColumn>
    <tableColumn id="35" xr3:uid="{00000000-0010-0000-0000-000023000000}" name="+/- Eval" dataDxfId="10">
      <calculatedColumnFormula>IF(Table1[[#This Row],[Spec Type2]]="N/A","N/A",IF(AND(Table1[[#This Row],[DUT Adj Read]]&gt;=Table1[[#This Row],[Low Tol]],Table1[[#This Row],[DUT Adj Read]]&lt;=Table1[[#This Row],[High Tol]]),"Pass","Fail"))</calculatedColumnFormula>
    </tableColumn>
    <tableColumn id="27" xr3:uid="{00000000-0010-0000-0000-00001B000000}" name="&gt; Eval" dataDxfId="9">
      <calculatedColumnFormula>IF(AND(Table1[[#This Row],[Spec Type2]]="N/A",Table1[[#This Row],[DUT Adj Read]]="N/A",Table1[[#This Row],[Std Adj Read]]="N/A"),"N/A",IF(Table1[[#This Row],[DUT Adj Read]]="N/A",IF(Table1[[#This Row],[Std Adj Read]]&gt;Table1[[#This Row],[Low Tol]],"Pass","Fail"),IF(Table1[[#This Row],[DUT Adj Read]]&gt;Table1[[#This Row],[Low Tol]],"Pass","Fail")))</calculatedColumnFormula>
    </tableColumn>
    <tableColumn id="28" xr3:uid="{00000000-0010-0000-0000-00001C000000}" name="&lt; Eval" dataDxfId="8">
      <calculatedColumnFormula>IF(AND(Table1[[#This Row],[Spec Type2]]="N/A",Table1[[#This Row],[DUT Adj Read]]="N/A",Table1[[#This Row],[Std Adj Read]]="N/A"),"N/A",IF(Table1[[#This Row],[DUT Adj Read]]="N/A",IF(Table1[[#This Row],[Std Adj Read]]&lt;Table1[[#This Row],[High Tol]],"Pass","Fail"),IF(Table1[[#This Row],[DUT Adj Read]]&lt;Table1[[#This Row],[High Tol]],"Pass","Fail")))</calculatedColumnFormula>
    </tableColumn>
    <tableColumn id="29" xr3:uid="{00000000-0010-0000-0000-00001D000000}" name="&gt;= Eval" dataDxfId="7">
      <calculatedColumnFormula>IF(AND(Table1[[#This Row],[Spec Type2]]="N/A",Table1[[#This Row],[DUT Adj Read]]="N/A",Table1[[#This Row],[Std Adj Read]]="N/A"),"N/A",IF(Table1[[#This Row],[DUT Adj Read]]="N/A",IF(Table1[[#This Row],[Std Adj Read]]&gt;=Table1[[#This Row],[Low Tol]],"Pass","Fail"),IF(Table1[[#This Row],[DUT Adj Read]]&gt;=Table1[[#This Row],[Low Tol]],"Pass","Fail")))</calculatedColumnFormula>
    </tableColumn>
    <tableColumn id="30" xr3:uid="{00000000-0010-0000-0000-00001E000000}" name="&lt;= Eval" dataDxfId="6">
      <calculatedColumnFormula>IF(AND(Table1[[#This Row],[Spec Type2]]="N/A",Table1[[#This Row],[DUT Adj Read]]="N/A",Table1[[#This Row],[Std Adj Read]]="N/A"),"N/A",IF(Table1[[#This Row],[DUT Adj Read]]="N/A",IF(Table1[[#This Row],[Std Adj Read]]&lt;=Table1[[#This Row],[High Tol]],"Pass","Fail"),IF(Table1[[#This Row],[DUT Adj Read]]&lt;=Table1[[#This Row],[High Tol]],"Pass","Fail")))</calculatedColumnFormula>
    </tableColumn>
    <tableColumn id="32" xr3:uid="{00000000-0010-0000-0000-000020000000}" name="Final Eval" dataDxfId="5">
      <calculatedColumnFormula>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calculatedColumnFormula>
    </tableColumn>
    <tableColumn id="33" xr3:uid="{00000000-0010-0000-0000-000021000000}" name="Notes" dataDxfId="4"/>
  </tableColumns>
  <tableStyleInfo name="TableStyleDark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8:D60" totalsRowShown="0" headerRowDxfId="3">
  <tableColumns count="4">
    <tableColumn id="1" xr3:uid="{00000000-0010-0000-0100-000001000000}" name="Rev #:" dataDxfId="2"/>
    <tableColumn id="2" xr3:uid="{00000000-0010-0000-0100-000002000000}" name="Name:" dataDxfId="0"/>
    <tableColumn id="3" xr3:uid="{00000000-0010-0000-0100-000003000000}" name="Date:" dataDxfId="1"/>
    <tableColumn id="4" xr3:uid="{00000000-0010-0000-0100-000004000000}" name="Change Notes:"/>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teams.microsoft.com/l/entity/com.microsoft.teamspace.tab.wiki/tab::ec66421a-6e53-4793-8ccb-6515f30dc760?context=%7B%22subEntityId%22%3A%22%7B%5C%22pageId%5C%22%3A28%2C%5C%22origin%5C%22%3A2%7D%22%2C%22channelId%22%3A%2219%3Abef838e743a54342b177007198606e16%40thread.tacv2%22%7D&amp;tenantId=0f634ac3-b39f-41a6-83ba-8f107876c692" TargetMode="External"/><Relationship Id="rId1" Type="http://schemas.openxmlformats.org/officeDocument/2006/relationships/hyperlink" Target="https://teams.microsoft.com/l/entity/com.microsoft.teamspace.tab.wiki/tab::ec66421a-6e53-4793-8ccb-6515f30dc760?context=%7B%22subEntityId%22%3A%22%7B%5C%22pageId%5C%22%3A28%2C%5C%22sectionId%5C%22%3A47%2C%5C%22origin%5C%22%3A2%7D%22%2C%22channelId%22%3A%2219%3Abef838e743a54342b177007198606e16%40thread.tacv2%22%7D&amp;tenantId=0f634ac3-b39f-41a6-83ba-8f107876c692"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AC2AA-0AE8-48A8-9EE8-462A7889B1CD}">
  <dimension ref="A1:U402"/>
  <sheetViews>
    <sheetView workbookViewId="0">
      <selection sqref="A1:U1"/>
    </sheetView>
  </sheetViews>
  <sheetFormatPr defaultColWidth="8.85546875" defaultRowHeight="15" x14ac:dyDescent="0.25"/>
  <cols>
    <col min="1" max="6" width="15.85546875" style="1" customWidth="1"/>
    <col min="7" max="7" width="15.85546875" customWidth="1"/>
    <col min="9" max="10" width="11.85546875" customWidth="1"/>
  </cols>
  <sheetData>
    <row r="1" spans="1:21" ht="157.5" customHeight="1" x14ac:dyDescent="0.25">
      <c r="A1" s="48" t="s">
        <v>164</v>
      </c>
      <c r="B1" s="48"/>
      <c r="C1" s="48"/>
      <c r="D1" s="48"/>
      <c r="E1" s="48"/>
      <c r="F1" s="48"/>
      <c r="G1" s="48"/>
      <c r="H1" s="48"/>
      <c r="I1" s="48"/>
      <c r="J1" s="48"/>
      <c r="K1" s="48"/>
      <c r="L1" s="48"/>
      <c r="M1" s="48"/>
      <c r="N1" s="48"/>
      <c r="O1" s="48"/>
      <c r="P1" s="48"/>
      <c r="Q1" s="48"/>
      <c r="R1" s="48"/>
      <c r="S1" s="48"/>
      <c r="T1" s="48"/>
      <c r="U1" s="48"/>
    </row>
    <row r="2" spans="1:21" ht="39" customHeight="1" x14ac:dyDescent="0.25">
      <c r="A2" s="49" t="s">
        <v>165</v>
      </c>
      <c r="B2" s="49"/>
      <c r="C2" s="49"/>
      <c r="D2" s="49"/>
      <c r="E2" s="49"/>
      <c r="F2" s="49"/>
      <c r="G2" s="49"/>
      <c r="H2" s="49"/>
      <c r="I2" s="49"/>
      <c r="J2" s="49"/>
      <c r="K2" s="49"/>
      <c r="L2" s="49"/>
      <c r="M2" s="49"/>
      <c r="N2" s="49"/>
      <c r="O2" s="49"/>
      <c r="P2" s="49"/>
      <c r="Q2" s="49"/>
      <c r="R2" s="49"/>
      <c r="S2" s="49"/>
      <c r="T2" s="49"/>
      <c r="U2" s="49"/>
    </row>
    <row r="3" spans="1:21" ht="21.75" thickBot="1" x14ac:dyDescent="0.4">
      <c r="A3" s="36" t="s">
        <v>163</v>
      </c>
      <c r="B3" s="36" t="s">
        <v>162</v>
      </c>
      <c r="C3" s="36" t="s">
        <v>161</v>
      </c>
      <c r="D3" s="36" t="s">
        <v>159</v>
      </c>
      <c r="E3" s="36" t="s">
        <v>158</v>
      </c>
      <c r="F3" s="36" t="s">
        <v>160</v>
      </c>
      <c r="G3" s="36" t="s">
        <v>157</v>
      </c>
    </row>
    <row r="4" spans="1:21" x14ac:dyDescent="0.25">
      <c r="E4" s="1" t="str">
        <f>IF(B4="","No data given",IF(F4&lt;=D4,"Pass",IF(F4&lt;=(D4+C4),"No Impact","Fail")))</f>
        <v>No data given</v>
      </c>
      <c r="F4" s="44" t="str">
        <f>IF(B4="","No data given",ABS(A4-B4))</f>
        <v>No data given</v>
      </c>
      <c r="G4" s="45" t="str">
        <f>IF(B4="","No data given",IF(E4&lt;&gt;"Fail",0,F4/A4))</f>
        <v>No data given</v>
      </c>
      <c r="I4" s="46" t="s">
        <v>156</v>
      </c>
      <c r="J4" s="50">
        <f>_xlfn.MAXIFS(G4:G402,E4:E402,"Fail")</f>
        <v>0</v>
      </c>
      <c r="K4" s="51"/>
    </row>
    <row r="5" spans="1:21" x14ac:dyDescent="0.25">
      <c r="E5" s="1" t="str">
        <f t="shared" ref="E5:E68" si="0">IF(B5="","No data given",IF(F5&lt;=D5,"Pass",IF(F5&lt;=(D5+C5),"No Impact","Fail")))</f>
        <v>No data given</v>
      </c>
      <c r="F5" s="44" t="str">
        <f>IF(B5="","No data given",ABS(A5-B5))</f>
        <v>No data given</v>
      </c>
      <c r="G5" s="45" t="str">
        <f>IF(B5="","No data given",IF(E5&lt;&gt;"Fail",0,F5/A5))</f>
        <v>No data given</v>
      </c>
      <c r="I5" s="40" t="s">
        <v>155</v>
      </c>
      <c r="J5" s="41" t="s">
        <v>154</v>
      </c>
      <c r="K5" s="42" t="s">
        <v>153</v>
      </c>
    </row>
    <row r="6" spans="1:21" ht="15.75" thickBot="1" x14ac:dyDescent="0.3">
      <c r="E6" s="1" t="str">
        <f t="shared" si="0"/>
        <v>No data given</v>
      </c>
      <c r="F6" s="44" t="str">
        <f t="shared" ref="F6:F69" si="1">IF(B6="","No data given",ABS(A6-B6))</f>
        <v>No data given</v>
      </c>
      <c r="G6" s="45" t="str">
        <f>IF(B6="","No data given",IF(E6&lt;&gt;"Fail",0,F6/A6))</f>
        <v>No data given</v>
      </c>
      <c r="I6" s="37" t="str" cm="1">
        <f t="array" ref="I6">IFERROR(INDEX(A4:G402,_xlfn.XMATCH(J4,G4:G402,0),1),"No data")</f>
        <v>No data</v>
      </c>
      <c r="J6" s="38" t="str" cm="1">
        <f t="array" ref="J6">IFERROR(INDEX(A4:G402,_xlfn.XMATCH(J4,G4:G402,0),2),"No data")</f>
        <v>No data</v>
      </c>
      <c r="K6" s="39" t="str" cm="1">
        <f t="array" ref="K6">IFERROR(INDEX(A4:G402,_xlfn.XMATCH(J4,G4:G402,0),3),"No data")</f>
        <v>No data</v>
      </c>
    </row>
    <row r="7" spans="1:21" x14ac:dyDescent="0.25">
      <c r="E7" s="1" t="str">
        <f t="shared" si="0"/>
        <v>No data given</v>
      </c>
      <c r="F7" s="44" t="str">
        <f t="shared" si="1"/>
        <v>No data given</v>
      </c>
      <c r="G7" s="45" t="str">
        <f t="shared" ref="G7:G70" si="2">IF(B7="","No data given",IF(E7&lt;&gt;"Fail",0,F7/A7))</f>
        <v>No data given</v>
      </c>
    </row>
    <row r="8" spans="1:21" x14ac:dyDescent="0.25">
      <c r="E8" s="1" t="str">
        <f t="shared" si="0"/>
        <v>No data given</v>
      </c>
      <c r="F8" s="44" t="str">
        <f t="shared" si="1"/>
        <v>No data given</v>
      </c>
      <c r="G8" s="45" t="str">
        <f t="shared" si="2"/>
        <v>No data given</v>
      </c>
    </row>
    <row r="9" spans="1:21" x14ac:dyDescent="0.25">
      <c r="E9" s="1" t="str">
        <f t="shared" si="0"/>
        <v>No data given</v>
      </c>
      <c r="F9" s="44" t="str">
        <f t="shared" si="1"/>
        <v>No data given</v>
      </c>
      <c r="G9" s="45" t="str">
        <f t="shared" si="2"/>
        <v>No data given</v>
      </c>
    </row>
    <row r="10" spans="1:21" ht="15" customHeight="1" x14ac:dyDescent="0.25">
      <c r="E10" s="1" t="str">
        <f t="shared" si="0"/>
        <v>No data given</v>
      </c>
      <c r="F10" s="44" t="str">
        <f t="shared" si="1"/>
        <v>No data given</v>
      </c>
      <c r="G10" s="45" t="str">
        <f t="shared" si="2"/>
        <v>No data given</v>
      </c>
    </row>
    <row r="11" spans="1:21" ht="15" customHeight="1" x14ac:dyDescent="0.25">
      <c r="E11" s="1" t="str">
        <f t="shared" si="0"/>
        <v>No data given</v>
      </c>
      <c r="F11" s="44" t="str">
        <f t="shared" si="1"/>
        <v>No data given</v>
      </c>
      <c r="G11" s="45" t="str">
        <f t="shared" si="2"/>
        <v>No data given</v>
      </c>
    </row>
    <row r="12" spans="1:21" ht="15" customHeight="1" x14ac:dyDescent="0.25">
      <c r="E12" s="1" t="str">
        <f t="shared" si="0"/>
        <v>No data given</v>
      </c>
      <c r="F12" s="44" t="str">
        <f t="shared" si="1"/>
        <v>No data given</v>
      </c>
      <c r="G12" s="45" t="str">
        <f t="shared" si="2"/>
        <v>No data given</v>
      </c>
      <c r="I12" s="43"/>
      <c r="J12" s="43"/>
      <c r="K12" s="43"/>
      <c r="L12" s="43"/>
      <c r="M12" s="43"/>
      <c r="N12" s="43"/>
      <c r="O12" s="43"/>
      <c r="P12" s="43"/>
      <c r="Q12" s="43"/>
    </row>
    <row r="13" spans="1:21" x14ac:dyDescent="0.25">
      <c r="E13" s="1" t="str">
        <f t="shared" si="0"/>
        <v>No data given</v>
      </c>
      <c r="F13" s="44" t="str">
        <f t="shared" si="1"/>
        <v>No data given</v>
      </c>
      <c r="G13" s="45" t="str">
        <f t="shared" si="2"/>
        <v>No data given</v>
      </c>
    </row>
    <row r="14" spans="1:21" x14ac:dyDescent="0.25">
      <c r="E14" s="1" t="str">
        <f t="shared" si="0"/>
        <v>No data given</v>
      </c>
      <c r="F14" s="44" t="str">
        <f t="shared" si="1"/>
        <v>No data given</v>
      </c>
      <c r="G14" s="45" t="str">
        <f t="shared" si="2"/>
        <v>No data given</v>
      </c>
    </row>
    <row r="15" spans="1:21" x14ac:dyDescent="0.25">
      <c r="E15" s="1" t="str">
        <f t="shared" si="0"/>
        <v>No data given</v>
      </c>
      <c r="F15" s="44" t="str">
        <f t="shared" si="1"/>
        <v>No data given</v>
      </c>
      <c r="G15" s="45" t="str">
        <f t="shared" si="2"/>
        <v>No data given</v>
      </c>
    </row>
    <row r="16" spans="1:21" x14ac:dyDescent="0.25">
      <c r="E16" s="1" t="str">
        <f t="shared" si="0"/>
        <v>No data given</v>
      </c>
      <c r="F16" s="44" t="str">
        <f t="shared" si="1"/>
        <v>No data given</v>
      </c>
      <c r="G16" s="45" t="str">
        <f t="shared" si="2"/>
        <v>No data given</v>
      </c>
    </row>
    <row r="17" spans="5:7" x14ac:dyDescent="0.25">
      <c r="E17" s="1" t="str">
        <f t="shared" si="0"/>
        <v>No data given</v>
      </c>
      <c r="F17" s="44" t="str">
        <f t="shared" si="1"/>
        <v>No data given</v>
      </c>
      <c r="G17" s="45" t="str">
        <f t="shared" si="2"/>
        <v>No data given</v>
      </c>
    </row>
    <row r="18" spans="5:7" x14ac:dyDescent="0.25">
      <c r="E18" s="1" t="str">
        <f t="shared" si="0"/>
        <v>No data given</v>
      </c>
      <c r="F18" s="44" t="str">
        <f t="shared" si="1"/>
        <v>No data given</v>
      </c>
      <c r="G18" s="45" t="str">
        <f t="shared" si="2"/>
        <v>No data given</v>
      </c>
    </row>
    <row r="19" spans="5:7" x14ac:dyDescent="0.25">
      <c r="E19" s="1" t="str">
        <f t="shared" si="0"/>
        <v>No data given</v>
      </c>
      <c r="F19" s="44" t="str">
        <f t="shared" si="1"/>
        <v>No data given</v>
      </c>
      <c r="G19" s="45" t="str">
        <f t="shared" si="2"/>
        <v>No data given</v>
      </c>
    </row>
    <row r="20" spans="5:7" x14ac:dyDescent="0.25">
      <c r="E20" s="1" t="str">
        <f t="shared" si="0"/>
        <v>No data given</v>
      </c>
      <c r="F20" s="44" t="str">
        <f t="shared" si="1"/>
        <v>No data given</v>
      </c>
      <c r="G20" s="45" t="str">
        <f t="shared" si="2"/>
        <v>No data given</v>
      </c>
    </row>
    <row r="21" spans="5:7" x14ac:dyDescent="0.25">
      <c r="E21" s="1" t="str">
        <f t="shared" si="0"/>
        <v>No data given</v>
      </c>
      <c r="F21" s="44" t="str">
        <f t="shared" si="1"/>
        <v>No data given</v>
      </c>
      <c r="G21" s="45" t="str">
        <f t="shared" si="2"/>
        <v>No data given</v>
      </c>
    </row>
    <row r="22" spans="5:7" x14ac:dyDescent="0.25">
      <c r="E22" s="1" t="str">
        <f t="shared" si="0"/>
        <v>No data given</v>
      </c>
      <c r="F22" s="44" t="str">
        <f t="shared" si="1"/>
        <v>No data given</v>
      </c>
      <c r="G22" s="45" t="str">
        <f t="shared" si="2"/>
        <v>No data given</v>
      </c>
    </row>
    <row r="23" spans="5:7" x14ac:dyDescent="0.25">
      <c r="E23" s="1" t="str">
        <f t="shared" si="0"/>
        <v>No data given</v>
      </c>
      <c r="F23" s="44" t="str">
        <f t="shared" si="1"/>
        <v>No data given</v>
      </c>
      <c r="G23" s="45" t="str">
        <f t="shared" si="2"/>
        <v>No data given</v>
      </c>
    </row>
    <row r="24" spans="5:7" x14ac:dyDescent="0.25">
      <c r="E24" s="1" t="str">
        <f t="shared" si="0"/>
        <v>No data given</v>
      </c>
      <c r="F24" s="44" t="str">
        <f t="shared" si="1"/>
        <v>No data given</v>
      </c>
      <c r="G24" s="45" t="str">
        <f t="shared" si="2"/>
        <v>No data given</v>
      </c>
    </row>
    <row r="25" spans="5:7" x14ac:dyDescent="0.25">
      <c r="E25" s="1" t="str">
        <f t="shared" si="0"/>
        <v>No data given</v>
      </c>
      <c r="F25" s="44" t="str">
        <f t="shared" si="1"/>
        <v>No data given</v>
      </c>
      <c r="G25" s="45" t="str">
        <f t="shared" si="2"/>
        <v>No data given</v>
      </c>
    </row>
    <row r="26" spans="5:7" x14ac:dyDescent="0.25">
      <c r="E26" s="1" t="str">
        <f t="shared" si="0"/>
        <v>No data given</v>
      </c>
      <c r="F26" s="44" t="str">
        <f t="shared" si="1"/>
        <v>No data given</v>
      </c>
      <c r="G26" s="45" t="str">
        <f t="shared" si="2"/>
        <v>No data given</v>
      </c>
    </row>
    <row r="27" spans="5:7" x14ac:dyDescent="0.25">
      <c r="E27" s="1" t="str">
        <f t="shared" si="0"/>
        <v>No data given</v>
      </c>
      <c r="F27" s="44" t="str">
        <f t="shared" si="1"/>
        <v>No data given</v>
      </c>
      <c r="G27" s="45" t="str">
        <f t="shared" si="2"/>
        <v>No data given</v>
      </c>
    </row>
    <row r="28" spans="5:7" x14ac:dyDescent="0.25">
      <c r="E28" s="1" t="str">
        <f t="shared" si="0"/>
        <v>No data given</v>
      </c>
      <c r="F28" s="44" t="str">
        <f t="shared" si="1"/>
        <v>No data given</v>
      </c>
      <c r="G28" s="45" t="str">
        <f t="shared" si="2"/>
        <v>No data given</v>
      </c>
    </row>
    <row r="29" spans="5:7" x14ac:dyDescent="0.25">
      <c r="E29" s="1" t="str">
        <f t="shared" si="0"/>
        <v>No data given</v>
      </c>
      <c r="F29" s="44" t="str">
        <f t="shared" si="1"/>
        <v>No data given</v>
      </c>
      <c r="G29" s="45" t="str">
        <f t="shared" si="2"/>
        <v>No data given</v>
      </c>
    </row>
    <row r="30" spans="5:7" x14ac:dyDescent="0.25">
      <c r="E30" s="1" t="str">
        <f t="shared" si="0"/>
        <v>No data given</v>
      </c>
      <c r="F30" s="44" t="str">
        <f t="shared" si="1"/>
        <v>No data given</v>
      </c>
      <c r="G30" s="45" t="str">
        <f t="shared" si="2"/>
        <v>No data given</v>
      </c>
    </row>
    <row r="31" spans="5:7" x14ac:dyDescent="0.25">
      <c r="E31" s="1" t="str">
        <f t="shared" si="0"/>
        <v>No data given</v>
      </c>
      <c r="F31" s="44" t="str">
        <f t="shared" si="1"/>
        <v>No data given</v>
      </c>
      <c r="G31" s="45" t="str">
        <f t="shared" si="2"/>
        <v>No data given</v>
      </c>
    </row>
    <row r="32" spans="5:7" x14ac:dyDescent="0.25">
      <c r="E32" s="1" t="str">
        <f t="shared" si="0"/>
        <v>No data given</v>
      </c>
      <c r="F32" s="44" t="str">
        <f t="shared" si="1"/>
        <v>No data given</v>
      </c>
      <c r="G32" s="45" t="str">
        <f t="shared" si="2"/>
        <v>No data given</v>
      </c>
    </row>
    <row r="33" spans="5:7" x14ac:dyDescent="0.25">
      <c r="E33" s="1" t="str">
        <f t="shared" si="0"/>
        <v>No data given</v>
      </c>
      <c r="F33" s="44" t="str">
        <f t="shared" si="1"/>
        <v>No data given</v>
      </c>
      <c r="G33" s="45" t="str">
        <f t="shared" si="2"/>
        <v>No data given</v>
      </c>
    </row>
    <row r="34" spans="5:7" x14ac:dyDescent="0.25">
      <c r="E34" s="1" t="str">
        <f t="shared" si="0"/>
        <v>No data given</v>
      </c>
      <c r="F34" s="44" t="str">
        <f t="shared" si="1"/>
        <v>No data given</v>
      </c>
      <c r="G34" s="45" t="str">
        <f t="shared" si="2"/>
        <v>No data given</v>
      </c>
    </row>
    <row r="35" spans="5:7" x14ac:dyDescent="0.25">
      <c r="E35" s="1" t="str">
        <f t="shared" si="0"/>
        <v>No data given</v>
      </c>
      <c r="F35" s="44" t="str">
        <f t="shared" si="1"/>
        <v>No data given</v>
      </c>
      <c r="G35" s="45" t="str">
        <f t="shared" si="2"/>
        <v>No data given</v>
      </c>
    </row>
    <row r="36" spans="5:7" x14ac:dyDescent="0.25">
      <c r="E36" s="1" t="str">
        <f t="shared" si="0"/>
        <v>No data given</v>
      </c>
      <c r="F36" s="44" t="str">
        <f t="shared" si="1"/>
        <v>No data given</v>
      </c>
      <c r="G36" s="45" t="str">
        <f t="shared" si="2"/>
        <v>No data given</v>
      </c>
    </row>
    <row r="37" spans="5:7" x14ac:dyDescent="0.25">
      <c r="E37" s="1" t="str">
        <f t="shared" si="0"/>
        <v>No data given</v>
      </c>
      <c r="F37" s="44" t="str">
        <f t="shared" si="1"/>
        <v>No data given</v>
      </c>
      <c r="G37" s="45" t="str">
        <f t="shared" si="2"/>
        <v>No data given</v>
      </c>
    </row>
    <row r="38" spans="5:7" x14ac:dyDescent="0.25">
      <c r="E38" s="1" t="str">
        <f t="shared" si="0"/>
        <v>No data given</v>
      </c>
      <c r="F38" s="44" t="str">
        <f t="shared" si="1"/>
        <v>No data given</v>
      </c>
      <c r="G38" s="45" t="str">
        <f t="shared" si="2"/>
        <v>No data given</v>
      </c>
    </row>
    <row r="39" spans="5:7" x14ac:dyDescent="0.25">
      <c r="E39" s="1" t="str">
        <f t="shared" si="0"/>
        <v>No data given</v>
      </c>
      <c r="F39" s="44" t="str">
        <f t="shared" si="1"/>
        <v>No data given</v>
      </c>
      <c r="G39" s="45" t="str">
        <f t="shared" si="2"/>
        <v>No data given</v>
      </c>
    </row>
    <row r="40" spans="5:7" x14ac:dyDescent="0.25">
      <c r="E40" s="1" t="str">
        <f t="shared" si="0"/>
        <v>No data given</v>
      </c>
      <c r="F40" s="44" t="str">
        <f t="shared" si="1"/>
        <v>No data given</v>
      </c>
      <c r="G40" s="45" t="str">
        <f t="shared" si="2"/>
        <v>No data given</v>
      </c>
    </row>
    <row r="41" spans="5:7" x14ac:dyDescent="0.25">
      <c r="E41" s="1" t="str">
        <f t="shared" si="0"/>
        <v>No data given</v>
      </c>
      <c r="F41" s="44" t="str">
        <f t="shared" si="1"/>
        <v>No data given</v>
      </c>
      <c r="G41" s="45" t="str">
        <f t="shared" si="2"/>
        <v>No data given</v>
      </c>
    </row>
    <row r="42" spans="5:7" x14ac:dyDescent="0.25">
      <c r="E42" s="1" t="str">
        <f t="shared" si="0"/>
        <v>No data given</v>
      </c>
      <c r="F42" s="44" t="str">
        <f t="shared" si="1"/>
        <v>No data given</v>
      </c>
      <c r="G42" s="45" t="str">
        <f t="shared" si="2"/>
        <v>No data given</v>
      </c>
    </row>
    <row r="43" spans="5:7" x14ac:dyDescent="0.25">
      <c r="E43" s="1" t="str">
        <f t="shared" si="0"/>
        <v>No data given</v>
      </c>
      <c r="F43" s="44" t="str">
        <f t="shared" si="1"/>
        <v>No data given</v>
      </c>
      <c r="G43" s="45" t="str">
        <f t="shared" si="2"/>
        <v>No data given</v>
      </c>
    </row>
    <row r="44" spans="5:7" x14ac:dyDescent="0.25">
      <c r="E44" s="1" t="str">
        <f t="shared" si="0"/>
        <v>No data given</v>
      </c>
      <c r="F44" s="44" t="str">
        <f t="shared" si="1"/>
        <v>No data given</v>
      </c>
      <c r="G44" s="45" t="str">
        <f t="shared" si="2"/>
        <v>No data given</v>
      </c>
    </row>
    <row r="45" spans="5:7" x14ac:dyDescent="0.25">
      <c r="E45" s="1" t="str">
        <f t="shared" si="0"/>
        <v>No data given</v>
      </c>
      <c r="F45" s="44" t="str">
        <f t="shared" si="1"/>
        <v>No data given</v>
      </c>
      <c r="G45" s="45" t="str">
        <f t="shared" si="2"/>
        <v>No data given</v>
      </c>
    </row>
    <row r="46" spans="5:7" x14ac:dyDescent="0.25">
      <c r="E46" s="1" t="str">
        <f t="shared" si="0"/>
        <v>No data given</v>
      </c>
      <c r="F46" s="44" t="str">
        <f t="shared" si="1"/>
        <v>No data given</v>
      </c>
      <c r="G46" s="45" t="str">
        <f t="shared" si="2"/>
        <v>No data given</v>
      </c>
    </row>
    <row r="47" spans="5:7" x14ac:dyDescent="0.25">
      <c r="E47" s="1" t="str">
        <f t="shared" si="0"/>
        <v>No data given</v>
      </c>
      <c r="F47" s="44" t="str">
        <f t="shared" si="1"/>
        <v>No data given</v>
      </c>
      <c r="G47" s="45" t="str">
        <f t="shared" si="2"/>
        <v>No data given</v>
      </c>
    </row>
    <row r="48" spans="5:7" x14ac:dyDescent="0.25">
      <c r="E48" s="1" t="str">
        <f t="shared" si="0"/>
        <v>No data given</v>
      </c>
      <c r="F48" s="44" t="str">
        <f t="shared" si="1"/>
        <v>No data given</v>
      </c>
      <c r="G48" s="45" t="str">
        <f t="shared" si="2"/>
        <v>No data given</v>
      </c>
    </row>
    <row r="49" spans="5:7" x14ac:dyDescent="0.25">
      <c r="E49" s="1" t="str">
        <f t="shared" si="0"/>
        <v>No data given</v>
      </c>
      <c r="F49" s="44" t="str">
        <f t="shared" si="1"/>
        <v>No data given</v>
      </c>
      <c r="G49" s="45" t="str">
        <f t="shared" si="2"/>
        <v>No data given</v>
      </c>
    </row>
    <row r="50" spans="5:7" x14ac:dyDescent="0.25">
      <c r="E50" s="1" t="str">
        <f t="shared" si="0"/>
        <v>No data given</v>
      </c>
      <c r="F50" s="44" t="str">
        <f t="shared" si="1"/>
        <v>No data given</v>
      </c>
      <c r="G50" s="45" t="str">
        <f t="shared" si="2"/>
        <v>No data given</v>
      </c>
    </row>
    <row r="51" spans="5:7" x14ac:dyDescent="0.25">
      <c r="E51" s="1" t="str">
        <f t="shared" si="0"/>
        <v>No data given</v>
      </c>
      <c r="F51" s="44" t="str">
        <f t="shared" si="1"/>
        <v>No data given</v>
      </c>
      <c r="G51" s="45" t="str">
        <f t="shared" si="2"/>
        <v>No data given</v>
      </c>
    </row>
    <row r="52" spans="5:7" x14ac:dyDescent="0.25">
      <c r="E52" s="1" t="str">
        <f t="shared" si="0"/>
        <v>No data given</v>
      </c>
      <c r="F52" s="44" t="str">
        <f t="shared" si="1"/>
        <v>No data given</v>
      </c>
      <c r="G52" s="45" t="str">
        <f t="shared" si="2"/>
        <v>No data given</v>
      </c>
    </row>
    <row r="53" spans="5:7" x14ac:dyDescent="0.25">
      <c r="E53" s="1" t="str">
        <f t="shared" si="0"/>
        <v>No data given</v>
      </c>
      <c r="F53" s="44" t="str">
        <f t="shared" si="1"/>
        <v>No data given</v>
      </c>
      <c r="G53" s="45" t="str">
        <f t="shared" si="2"/>
        <v>No data given</v>
      </c>
    </row>
    <row r="54" spans="5:7" x14ac:dyDescent="0.25">
      <c r="E54" s="1" t="str">
        <f t="shared" si="0"/>
        <v>No data given</v>
      </c>
      <c r="F54" s="44" t="str">
        <f t="shared" si="1"/>
        <v>No data given</v>
      </c>
      <c r="G54" s="45" t="str">
        <f t="shared" si="2"/>
        <v>No data given</v>
      </c>
    </row>
    <row r="55" spans="5:7" x14ac:dyDescent="0.25">
      <c r="E55" s="1" t="str">
        <f t="shared" si="0"/>
        <v>No data given</v>
      </c>
      <c r="F55" s="44" t="str">
        <f t="shared" si="1"/>
        <v>No data given</v>
      </c>
      <c r="G55" s="45" t="str">
        <f t="shared" si="2"/>
        <v>No data given</v>
      </c>
    </row>
    <row r="56" spans="5:7" x14ac:dyDescent="0.25">
      <c r="E56" s="1" t="str">
        <f t="shared" si="0"/>
        <v>No data given</v>
      </c>
      <c r="F56" s="44" t="str">
        <f t="shared" si="1"/>
        <v>No data given</v>
      </c>
      <c r="G56" s="45" t="str">
        <f t="shared" si="2"/>
        <v>No data given</v>
      </c>
    </row>
    <row r="57" spans="5:7" x14ac:dyDescent="0.25">
      <c r="E57" s="1" t="str">
        <f t="shared" si="0"/>
        <v>No data given</v>
      </c>
      <c r="F57" s="44" t="str">
        <f t="shared" si="1"/>
        <v>No data given</v>
      </c>
      <c r="G57" s="45" t="str">
        <f t="shared" si="2"/>
        <v>No data given</v>
      </c>
    </row>
    <row r="58" spans="5:7" x14ac:dyDescent="0.25">
      <c r="E58" s="1" t="str">
        <f t="shared" si="0"/>
        <v>No data given</v>
      </c>
      <c r="F58" s="44" t="str">
        <f t="shared" si="1"/>
        <v>No data given</v>
      </c>
      <c r="G58" s="45" t="str">
        <f t="shared" si="2"/>
        <v>No data given</v>
      </c>
    </row>
    <row r="59" spans="5:7" x14ac:dyDescent="0.25">
      <c r="E59" s="1" t="str">
        <f t="shared" si="0"/>
        <v>No data given</v>
      </c>
      <c r="F59" s="44" t="str">
        <f t="shared" si="1"/>
        <v>No data given</v>
      </c>
      <c r="G59" s="45" t="str">
        <f t="shared" si="2"/>
        <v>No data given</v>
      </c>
    </row>
    <row r="60" spans="5:7" x14ac:dyDescent="0.25">
      <c r="E60" s="1" t="str">
        <f t="shared" si="0"/>
        <v>No data given</v>
      </c>
      <c r="F60" s="44" t="str">
        <f t="shared" si="1"/>
        <v>No data given</v>
      </c>
      <c r="G60" s="45" t="str">
        <f t="shared" si="2"/>
        <v>No data given</v>
      </c>
    </row>
    <row r="61" spans="5:7" x14ac:dyDescent="0.25">
      <c r="E61" s="1" t="str">
        <f t="shared" si="0"/>
        <v>No data given</v>
      </c>
      <c r="F61" s="44" t="str">
        <f t="shared" si="1"/>
        <v>No data given</v>
      </c>
      <c r="G61" s="45" t="str">
        <f t="shared" si="2"/>
        <v>No data given</v>
      </c>
    </row>
    <row r="62" spans="5:7" x14ac:dyDescent="0.25">
      <c r="E62" s="1" t="str">
        <f t="shared" si="0"/>
        <v>No data given</v>
      </c>
      <c r="F62" s="44" t="str">
        <f t="shared" si="1"/>
        <v>No data given</v>
      </c>
      <c r="G62" s="45" t="str">
        <f t="shared" si="2"/>
        <v>No data given</v>
      </c>
    </row>
    <row r="63" spans="5:7" x14ac:dyDescent="0.25">
      <c r="E63" s="1" t="str">
        <f t="shared" si="0"/>
        <v>No data given</v>
      </c>
      <c r="F63" s="44" t="str">
        <f t="shared" si="1"/>
        <v>No data given</v>
      </c>
      <c r="G63" s="45" t="str">
        <f t="shared" si="2"/>
        <v>No data given</v>
      </c>
    </row>
    <row r="64" spans="5:7" x14ac:dyDescent="0.25">
      <c r="E64" s="1" t="str">
        <f t="shared" si="0"/>
        <v>No data given</v>
      </c>
      <c r="F64" s="44" t="str">
        <f t="shared" si="1"/>
        <v>No data given</v>
      </c>
      <c r="G64" s="45" t="str">
        <f t="shared" si="2"/>
        <v>No data given</v>
      </c>
    </row>
    <row r="65" spans="5:7" x14ac:dyDescent="0.25">
      <c r="E65" s="1" t="str">
        <f t="shared" si="0"/>
        <v>No data given</v>
      </c>
      <c r="F65" s="44" t="str">
        <f t="shared" si="1"/>
        <v>No data given</v>
      </c>
      <c r="G65" s="45" t="str">
        <f t="shared" si="2"/>
        <v>No data given</v>
      </c>
    </row>
    <row r="66" spans="5:7" x14ac:dyDescent="0.25">
      <c r="E66" s="1" t="str">
        <f t="shared" si="0"/>
        <v>No data given</v>
      </c>
      <c r="F66" s="44" t="str">
        <f t="shared" si="1"/>
        <v>No data given</v>
      </c>
      <c r="G66" s="45" t="str">
        <f t="shared" si="2"/>
        <v>No data given</v>
      </c>
    </row>
    <row r="67" spans="5:7" x14ac:dyDescent="0.25">
      <c r="E67" s="1" t="str">
        <f t="shared" si="0"/>
        <v>No data given</v>
      </c>
      <c r="F67" s="44" t="str">
        <f t="shared" si="1"/>
        <v>No data given</v>
      </c>
      <c r="G67" s="45" t="str">
        <f t="shared" si="2"/>
        <v>No data given</v>
      </c>
    </row>
    <row r="68" spans="5:7" x14ac:dyDescent="0.25">
      <c r="E68" s="1" t="str">
        <f t="shared" si="0"/>
        <v>No data given</v>
      </c>
      <c r="F68" s="44" t="str">
        <f t="shared" si="1"/>
        <v>No data given</v>
      </c>
      <c r="G68" s="45" t="str">
        <f t="shared" si="2"/>
        <v>No data given</v>
      </c>
    </row>
    <row r="69" spans="5:7" x14ac:dyDescent="0.25">
      <c r="E69" s="1" t="str">
        <f t="shared" ref="E69:E132" si="3">IF(B69="","No data given",IF(F69&lt;=D69,"Pass",IF(F69&lt;=(D69+C69),"No Impact","Fail")))</f>
        <v>No data given</v>
      </c>
      <c r="F69" s="44" t="str">
        <f t="shared" si="1"/>
        <v>No data given</v>
      </c>
      <c r="G69" s="45" t="str">
        <f t="shared" si="2"/>
        <v>No data given</v>
      </c>
    </row>
    <row r="70" spans="5:7" x14ac:dyDescent="0.25">
      <c r="E70" s="1" t="str">
        <f t="shared" si="3"/>
        <v>No data given</v>
      </c>
      <c r="F70" s="44" t="str">
        <f t="shared" ref="F70:F133" si="4">IF(B70="","No data given",ABS(A70-B70))</f>
        <v>No data given</v>
      </c>
      <c r="G70" s="45" t="str">
        <f t="shared" si="2"/>
        <v>No data given</v>
      </c>
    </row>
    <row r="71" spans="5:7" x14ac:dyDescent="0.25">
      <c r="E71" s="1" t="str">
        <f t="shared" si="3"/>
        <v>No data given</v>
      </c>
      <c r="F71" s="44" t="str">
        <f t="shared" si="4"/>
        <v>No data given</v>
      </c>
      <c r="G71" s="45" t="str">
        <f t="shared" ref="G71:G134" si="5">IF(B71="","No data given",IF(E71&lt;&gt;"Fail",0,F71/A71))</f>
        <v>No data given</v>
      </c>
    </row>
    <row r="72" spans="5:7" x14ac:dyDescent="0.25">
      <c r="E72" s="1" t="str">
        <f t="shared" si="3"/>
        <v>No data given</v>
      </c>
      <c r="F72" s="44" t="str">
        <f t="shared" si="4"/>
        <v>No data given</v>
      </c>
      <c r="G72" s="45" t="str">
        <f t="shared" si="5"/>
        <v>No data given</v>
      </c>
    </row>
    <row r="73" spans="5:7" x14ac:dyDescent="0.25">
      <c r="E73" s="1" t="str">
        <f t="shared" si="3"/>
        <v>No data given</v>
      </c>
      <c r="F73" s="44" t="str">
        <f t="shared" si="4"/>
        <v>No data given</v>
      </c>
      <c r="G73" s="45" t="str">
        <f t="shared" si="5"/>
        <v>No data given</v>
      </c>
    </row>
    <row r="74" spans="5:7" x14ac:dyDescent="0.25">
      <c r="E74" s="1" t="str">
        <f t="shared" si="3"/>
        <v>No data given</v>
      </c>
      <c r="F74" s="44" t="str">
        <f t="shared" si="4"/>
        <v>No data given</v>
      </c>
      <c r="G74" s="45" t="str">
        <f t="shared" si="5"/>
        <v>No data given</v>
      </c>
    </row>
    <row r="75" spans="5:7" x14ac:dyDescent="0.25">
      <c r="E75" s="1" t="str">
        <f t="shared" si="3"/>
        <v>No data given</v>
      </c>
      <c r="F75" s="44" t="str">
        <f t="shared" si="4"/>
        <v>No data given</v>
      </c>
      <c r="G75" s="45" t="str">
        <f t="shared" si="5"/>
        <v>No data given</v>
      </c>
    </row>
    <row r="76" spans="5:7" x14ac:dyDescent="0.25">
      <c r="E76" s="1" t="str">
        <f t="shared" si="3"/>
        <v>No data given</v>
      </c>
      <c r="F76" s="44" t="str">
        <f t="shared" si="4"/>
        <v>No data given</v>
      </c>
      <c r="G76" s="45" t="str">
        <f t="shared" si="5"/>
        <v>No data given</v>
      </c>
    </row>
    <row r="77" spans="5:7" x14ac:dyDescent="0.25">
      <c r="E77" s="1" t="str">
        <f t="shared" si="3"/>
        <v>No data given</v>
      </c>
      <c r="F77" s="44" t="str">
        <f t="shared" si="4"/>
        <v>No data given</v>
      </c>
      <c r="G77" s="45" t="str">
        <f t="shared" si="5"/>
        <v>No data given</v>
      </c>
    </row>
    <row r="78" spans="5:7" x14ac:dyDescent="0.25">
      <c r="E78" s="1" t="str">
        <f t="shared" si="3"/>
        <v>No data given</v>
      </c>
      <c r="F78" s="44" t="str">
        <f t="shared" si="4"/>
        <v>No data given</v>
      </c>
      <c r="G78" s="45" t="str">
        <f t="shared" si="5"/>
        <v>No data given</v>
      </c>
    </row>
    <row r="79" spans="5:7" x14ac:dyDescent="0.25">
      <c r="E79" s="1" t="str">
        <f t="shared" si="3"/>
        <v>No data given</v>
      </c>
      <c r="F79" s="44" t="str">
        <f t="shared" si="4"/>
        <v>No data given</v>
      </c>
      <c r="G79" s="45" t="str">
        <f t="shared" si="5"/>
        <v>No data given</v>
      </c>
    </row>
    <row r="80" spans="5:7" x14ac:dyDescent="0.25">
      <c r="E80" s="1" t="str">
        <f t="shared" si="3"/>
        <v>No data given</v>
      </c>
      <c r="F80" s="44" t="str">
        <f t="shared" si="4"/>
        <v>No data given</v>
      </c>
      <c r="G80" s="45" t="str">
        <f t="shared" si="5"/>
        <v>No data given</v>
      </c>
    </row>
    <row r="81" spans="5:7" x14ac:dyDescent="0.25">
      <c r="E81" s="1" t="str">
        <f t="shared" si="3"/>
        <v>No data given</v>
      </c>
      <c r="F81" s="44" t="str">
        <f t="shared" si="4"/>
        <v>No data given</v>
      </c>
      <c r="G81" s="45" t="str">
        <f t="shared" si="5"/>
        <v>No data given</v>
      </c>
    </row>
    <row r="82" spans="5:7" x14ac:dyDescent="0.25">
      <c r="E82" s="1" t="str">
        <f t="shared" si="3"/>
        <v>No data given</v>
      </c>
      <c r="F82" s="44" t="str">
        <f t="shared" si="4"/>
        <v>No data given</v>
      </c>
      <c r="G82" s="45" t="str">
        <f t="shared" si="5"/>
        <v>No data given</v>
      </c>
    </row>
    <row r="83" spans="5:7" x14ac:dyDescent="0.25">
      <c r="E83" s="1" t="str">
        <f t="shared" si="3"/>
        <v>No data given</v>
      </c>
      <c r="F83" s="44" t="str">
        <f t="shared" si="4"/>
        <v>No data given</v>
      </c>
      <c r="G83" s="45" t="str">
        <f t="shared" si="5"/>
        <v>No data given</v>
      </c>
    </row>
    <row r="84" spans="5:7" x14ac:dyDescent="0.25">
      <c r="E84" s="1" t="str">
        <f t="shared" si="3"/>
        <v>No data given</v>
      </c>
      <c r="F84" s="44" t="str">
        <f t="shared" si="4"/>
        <v>No data given</v>
      </c>
      <c r="G84" s="45" t="str">
        <f t="shared" si="5"/>
        <v>No data given</v>
      </c>
    </row>
    <row r="85" spans="5:7" x14ac:dyDescent="0.25">
      <c r="E85" s="1" t="str">
        <f t="shared" si="3"/>
        <v>No data given</v>
      </c>
      <c r="F85" s="44" t="str">
        <f t="shared" si="4"/>
        <v>No data given</v>
      </c>
      <c r="G85" s="45" t="str">
        <f t="shared" si="5"/>
        <v>No data given</v>
      </c>
    </row>
    <row r="86" spans="5:7" x14ac:dyDescent="0.25">
      <c r="E86" s="1" t="str">
        <f t="shared" si="3"/>
        <v>No data given</v>
      </c>
      <c r="F86" s="44" t="str">
        <f t="shared" si="4"/>
        <v>No data given</v>
      </c>
      <c r="G86" s="45" t="str">
        <f t="shared" si="5"/>
        <v>No data given</v>
      </c>
    </row>
    <row r="87" spans="5:7" x14ac:dyDescent="0.25">
      <c r="E87" s="1" t="str">
        <f t="shared" si="3"/>
        <v>No data given</v>
      </c>
      <c r="F87" s="44" t="str">
        <f t="shared" si="4"/>
        <v>No data given</v>
      </c>
      <c r="G87" s="45" t="str">
        <f t="shared" si="5"/>
        <v>No data given</v>
      </c>
    </row>
    <row r="88" spans="5:7" x14ac:dyDescent="0.25">
      <c r="E88" s="1" t="str">
        <f t="shared" si="3"/>
        <v>No data given</v>
      </c>
      <c r="F88" s="44" t="str">
        <f t="shared" si="4"/>
        <v>No data given</v>
      </c>
      <c r="G88" s="45" t="str">
        <f t="shared" si="5"/>
        <v>No data given</v>
      </c>
    </row>
    <row r="89" spans="5:7" x14ac:dyDescent="0.25">
      <c r="E89" s="1" t="str">
        <f t="shared" si="3"/>
        <v>No data given</v>
      </c>
      <c r="F89" s="44" t="str">
        <f t="shared" si="4"/>
        <v>No data given</v>
      </c>
      <c r="G89" s="45" t="str">
        <f t="shared" si="5"/>
        <v>No data given</v>
      </c>
    </row>
    <row r="90" spans="5:7" x14ac:dyDescent="0.25">
      <c r="E90" s="1" t="str">
        <f t="shared" si="3"/>
        <v>No data given</v>
      </c>
      <c r="F90" s="44" t="str">
        <f t="shared" si="4"/>
        <v>No data given</v>
      </c>
      <c r="G90" s="45" t="str">
        <f t="shared" si="5"/>
        <v>No data given</v>
      </c>
    </row>
    <row r="91" spans="5:7" x14ac:dyDescent="0.25">
      <c r="E91" s="1" t="str">
        <f t="shared" si="3"/>
        <v>No data given</v>
      </c>
      <c r="F91" s="44" t="str">
        <f t="shared" si="4"/>
        <v>No data given</v>
      </c>
      <c r="G91" s="45" t="str">
        <f t="shared" si="5"/>
        <v>No data given</v>
      </c>
    </row>
    <row r="92" spans="5:7" x14ac:dyDescent="0.25">
      <c r="E92" s="1" t="str">
        <f t="shared" si="3"/>
        <v>No data given</v>
      </c>
      <c r="F92" s="44" t="str">
        <f t="shared" si="4"/>
        <v>No data given</v>
      </c>
      <c r="G92" s="45" t="str">
        <f t="shared" si="5"/>
        <v>No data given</v>
      </c>
    </row>
    <row r="93" spans="5:7" x14ac:dyDescent="0.25">
      <c r="E93" s="1" t="str">
        <f t="shared" si="3"/>
        <v>No data given</v>
      </c>
      <c r="F93" s="44" t="str">
        <f t="shared" si="4"/>
        <v>No data given</v>
      </c>
      <c r="G93" s="45" t="str">
        <f t="shared" si="5"/>
        <v>No data given</v>
      </c>
    </row>
    <row r="94" spans="5:7" x14ac:dyDescent="0.25">
      <c r="E94" s="1" t="str">
        <f t="shared" si="3"/>
        <v>No data given</v>
      </c>
      <c r="F94" s="44" t="str">
        <f t="shared" si="4"/>
        <v>No data given</v>
      </c>
      <c r="G94" s="45" t="str">
        <f t="shared" si="5"/>
        <v>No data given</v>
      </c>
    </row>
    <row r="95" spans="5:7" x14ac:dyDescent="0.25">
      <c r="E95" s="1" t="str">
        <f t="shared" si="3"/>
        <v>No data given</v>
      </c>
      <c r="F95" s="44" t="str">
        <f t="shared" si="4"/>
        <v>No data given</v>
      </c>
      <c r="G95" s="45" t="str">
        <f t="shared" si="5"/>
        <v>No data given</v>
      </c>
    </row>
    <row r="96" spans="5:7" x14ac:dyDescent="0.25">
      <c r="E96" s="1" t="str">
        <f t="shared" si="3"/>
        <v>No data given</v>
      </c>
      <c r="F96" s="44" t="str">
        <f t="shared" si="4"/>
        <v>No data given</v>
      </c>
      <c r="G96" s="45" t="str">
        <f t="shared" si="5"/>
        <v>No data given</v>
      </c>
    </row>
    <row r="97" spans="5:7" x14ac:dyDescent="0.25">
      <c r="E97" s="1" t="str">
        <f t="shared" si="3"/>
        <v>No data given</v>
      </c>
      <c r="F97" s="44" t="str">
        <f t="shared" si="4"/>
        <v>No data given</v>
      </c>
      <c r="G97" s="45" t="str">
        <f t="shared" si="5"/>
        <v>No data given</v>
      </c>
    </row>
    <row r="98" spans="5:7" x14ac:dyDescent="0.25">
      <c r="E98" s="1" t="str">
        <f t="shared" si="3"/>
        <v>No data given</v>
      </c>
      <c r="F98" s="44" t="str">
        <f t="shared" si="4"/>
        <v>No data given</v>
      </c>
      <c r="G98" s="45" t="str">
        <f t="shared" si="5"/>
        <v>No data given</v>
      </c>
    </row>
    <row r="99" spans="5:7" x14ac:dyDescent="0.25">
      <c r="E99" s="1" t="str">
        <f t="shared" si="3"/>
        <v>No data given</v>
      </c>
      <c r="F99" s="44" t="str">
        <f t="shared" si="4"/>
        <v>No data given</v>
      </c>
      <c r="G99" s="45" t="str">
        <f t="shared" si="5"/>
        <v>No data given</v>
      </c>
    </row>
    <row r="100" spans="5:7" x14ac:dyDescent="0.25">
      <c r="E100" s="1" t="str">
        <f t="shared" si="3"/>
        <v>No data given</v>
      </c>
      <c r="F100" s="44" t="str">
        <f t="shared" si="4"/>
        <v>No data given</v>
      </c>
      <c r="G100" s="45" t="str">
        <f t="shared" si="5"/>
        <v>No data given</v>
      </c>
    </row>
    <row r="101" spans="5:7" x14ac:dyDescent="0.25">
      <c r="E101" s="1" t="str">
        <f t="shared" si="3"/>
        <v>No data given</v>
      </c>
      <c r="F101" s="44" t="str">
        <f t="shared" si="4"/>
        <v>No data given</v>
      </c>
      <c r="G101" s="45" t="str">
        <f t="shared" si="5"/>
        <v>No data given</v>
      </c>
    </row>
    <row r="102" spans="5:7" x14ac:dyDescent="0.25">
      <c r="E102" s="1" t="str">
        <f t="shared" si="3"/>
        <v>No data given</v>
      </c>
      <c r="F102" s="44" t="str">
        <f t="shared" si="4"/>
        <v>No data given</v>
      </c>
      <c r="G102" s="45" t="str">
        <f t="shared" si="5"/>
        <v>No data given</v>
      </c>
    </row>
    <row r="103" spans="5:7" x14ac:dyDescent="0.25">
      <c r="E103" s="1" t="str">
        <f t="shared" si="3"/>
        <v>No data given</v>
      </c>
      <c r="F103" s="44" t="str">
        <f t="shared" si="4"/>
        <v>No data given</v>
      </c>
      <c r="G103" s="45" t="str">
        <f t="shared" si="5"/>
        <v>No data given</v>
      </c>
    </row>
    <row r="104" spans="5:7" x14ac:dyDescent="0.25">
      <c r="E104" s="1" t="str">
        <f t="shared" si="3"/>
        <v>No data given</v>
      </c>
      <c r="F104" s="44" t="str">
        <f t="shared" si="4"/>
        <v>No data given</v>
      </c>
      <c r="G104" s="45" t="str">
        <f t="shared" si="5"/>
        <v>No data given</v>
      </c>
    </row>
    <row r="105" spans="5:7" x14ac:dyDescent="0.25">
      <c r="E105" s="1" t="str">
        <f t="shared" si="3"/>
        <v>No data given</v>
      </c>
      <c r="F105" s="44" t="str">
        <f t="shared" si="4"/>
        <v>No data given</v>
      </c>
      <c r="G105" s="45" t="str">
        <f t="shared" si="5"/>
        <v>No data given</v>
      </c>
    </row>
    <row r="106" spans="5:7" x14ac:dyDescent="0.25">
      <c r="E106" s="1" t="str">
        <f t="shared" si="3"/>
        <v>No data given</v>
      </c>
      <c r="F106" s="44" t="str">
        <f t="shared" si="4"/>
        <v>No data given</v>
      </c>
      <c r="G106" s="45" t="str">
        <f t="shared" si="5"/>
        <v>No data given</v>
      </c>
    </row>
    <row r="107" spans="5:7" x14ac:dyDescent="0.25">
      <c r="E107" s="1" t="str">
        <f t="shared" si="3"/>
        <v>No data given</v>
      </c>
      <c r="F107" s="44" t="str">
        <f t="shared" si="4"/>
        <v>No data given</v>
      </c>
      <c r="G107" s="45" t="str">
        <f t="shared" si="5"/>
        <v>No data given</v>
      </c>
    </row>
    <row r="108" spans="5:7" x14ac:dyDescent="0.25">
      <c r="E108" s="1" t="str">
        <f t="shared" si="3"/>
        <v>No data given</v>
      </c>
      <c r="F108" s="44" t="str">
        <f t="shared" si="4"/>
        <v>No data given</v>
      </c>
      <c r="G108" s="45" t="str">
        <f t="shared" si="5"/>
        <v>No data given</v>
      </c>
    </row>
    <row r="109" spans="5:7" x14ac:dyDescent="0.25">
      <c r="E109" s="1" t="str">
        <f t="shared" si="3"/>
        <v>No data given</v>
      </c>
      <c r="F109" s="44" t="str">
        <f t="shared" si="4"/>
        <v>No data given</v>
      </c>
      <c r="G109" s="45" t="str">
        <f t="shared" si="5"/>
        <v>No data given</v>
      </c>
    </row>
    <row r="110" spans="5:7" x14ac:dyDescent="0.25">
      <c r="E110" s="1" t="str">
        <f t="shared" si="3"/>
        <v>No data given</v>
      </c>
      <c r="F110" s="44" t="str">
        <f t="shared" si="4"/>
        <v>No data given</v>
      </c>
      <c r="G110" s="45" t="str">
        <f t="shared" si="5"/>
        <v>No data given</v>
      </c>
    </row>
    <row r="111" spans="5:7" x14ac:dyDescent="0.25">
      <c r="E111" s="1" t="str">
        <f t="shared" si="3"/>
        <v>No data given</v>
      </c>
      <c r="F111" s="44" t="str">
        <f t="shared" si="4"/>
        <v>No data given</v>
      </c>
      <c r="G111" s="45" t="str">
        <f t="shared" si="5"/>
        <v>No data given</v>
      </c>
    </row>
    <row r="112" spans="5:7" x14ac:dyDescent="0.25">
      <c r="E112" s="1" t="str">
        <f t="shared" si="3"/>
        <v>No data given</v>
      </c>
      <c r="F112" s="44" t="str">
        <f t="shared" si="4"/>
        <v>No data given</v>
      </c>
      <c r="G112" s="45" t="str">
        <f t="shared" si="5"/>
        <v>No data given</v>
      </c>
    </row>
    <row r="113" spans="5:7" x14ac:dyDescent="0.25">
      <c r="E113" s="1" t="str">
        <f t="shared" si="3"/>
        <v>No data given</v>
      </c>
      <c r="F113" s="44" t="str">
        <f t="shared" si="4"/>
        <v>No data given</v>
      </c>
      <c r="G113" s="45" t="str">
        <f t="shared" si="5"/>
        <v>No data given</v>
      </c>
    </row>
    <row r="114" spans="5:7" x14ac:dyDescent="0.25">
      <c r="E114" s="1" t="str">
        <f t="shared" si="3"/>
        <v>No data given</v>
      </c>
      <c r="F114" s="44" t="str">
        <f t="shared" si="4"/>
        <v>No data given</v>
      </c>
      <c r="G114" s="45" t="str">
        <f t="shared" si="5"/>
        <v>No data given</v>
      </c>
    </row>
    <row r="115" spans="5:7" x14ac:dyDescent="0.25">
      <c r="E115" s="1" t="str">
        <f t="shared" si="3"/>
        <v>No data given</v>
      </c>
      <c r="F115" s="44" t="str">
        <f t="shared" si="4"/>
        <v>No data given</v>
      </c>
      <c r="G115" s="45" t="str">
        <f t="shared" si="5"/>
        <v>No data given</v>
      </c>
    </row>
    <row r="116" spans="5:7" x14ac:dyDescent="0.25">
      <c r="E116" s="1" t="str">
        <f t="shared" si="3"/>
        <v>No data given</v>
      </c>
      <c r="F116" s="44" t="str">
        <f t="shared" si="4"/>
        <v>No data given</v>
      </c>
      <c r="G116" s="45" t="str">
        <f t="shared" si="5"/>
        <v>No data given</v>
      </c>
    </row>
    <row r="117" spans="5:7" x14ac:dyDescent="0.25">
      <c r="E117" s="1" t="str">
        <f t="shared" si="3"/>
        <v>No data given</v>
      </c>
      <c r="F117" s="44" t="str">
        <f t="shared" si="4"/>
        <v>No data given</v>
      </c>
      <c r="G117" s="45" t="str">
        <f t="shared" si="5"/>
        <v>No data given</v>
      </c>
    </row>
    <row r="118" spans="5:7" x14ac:dyDescent="0.25">
      <c r="E118" s="1" t="str">
        <f t="shared" si="3"/>
        <v>No data given</v>
      </c>
      <c r="F118" s="44" t="str">
        <f t="shared" si="4"/>
        <v>No data given</v>
      </c>
      <c r="G118" s="45" t="str">
        <f t="shared" si="5"/>
        <v>No data given</v>
      </c>
    </row>
    <row r="119" spans="5:7" x14ac:dyDescent="0.25">
      <c r="E119" s="1" t="str">
        <f t="shared" si="3"/>
        <v>No data given</v>
      </c>
      <c r="F119" s="44" t="str">
        <f t="shared" si="4"/>
        <v>No data given</v>
      </c>
      <c r="G119" s="45" t="str">
        <f t="shared" si="5"/>
        <v>No data given</v>
      </c>
    </row>
    <row r="120" spans="5:7" x14ac:dyDescent="0.25">
      <c r="E120" s="1" t="str">
        <f t="shared" si="3"/>
        <v>No data given</v>
      </c>
      <c r="F120" s="44" t="str">
        <f t="shared" si="4"/>
        <v>No data given</v>
      </c>
      <c r="G120" s="45" t="str">
        <f t="shared" si="5"/>
        <v>No data given</v>
      </c>
    </row>
    <row r="121" spans="5:7" x14ac:dyDescent="0.25">
      <c r="E121" s="1" t="str">
        <f t="shared" si="3"/>
        <v>No data given</v>
      </c>
      <c r="F121" s="44" t="str">
        <f t="shared" si="4"/>
        <v>No data given</v>
      </c>
      <c r="G121" s="45" t="str">
        <f t="shared" si="5"/>
        <v>No data given</v>
      </c>
    </row>
    <row r="122" spans="5:7" x14ac:dyDescent="0.25">
      <c r="E122" s="1" t="str">
        <f t="shared" si="3"/>
        <v>No data given</v>
      </c>
      <c r="F122" s="44" t="str">
        <f t="shared" si="4"/>
        <v>No data given</v>
      </c>
      <c r="G122" s="45" t="str">
        <f t="shared" si="5"/>
        <v>No data given</v>
      </c>
    </row>
    <row r="123" spans="5:7" x14ac:dyDescent="0.25">
      <c r="E123" s="1" t="str">
        <f t="shared" si="3"/>
        <v>No data given</v>
      </c>
      <c r="F123" s="44" t="str">
        <f t="shared" si="4"/>
        <v>No data given</v>
      </c>
      <c r="G123" s="45" t="str">
        <f t="shared" si="5"/>
        <v>No data given</v>
      </c>
    </row>
    <row r="124" spans="5:7" x14ac:dyDescent="0.25">
      <c r="E124" s="1" t="str">
        <f t="shared" si="3"/>
        <v>No data given</v>
      </c>
      <c r="F124" s="44" t="str">
        <f t="shared" si="4"/>
        <v>No data given</v>
      </c>
      <c r="G124" s="45" t="str">
        <f t="shared" si="5"/>
        <v>No data given</v>
      </c>
    </row>
    <row r="125" spans="5:7" x14ac:dyDescent="0.25">
      <c r="E125" s="1" t="str">
        <f t="shared" si="3"/>
        <v>No data given</v>
      </c>
      <c r="F125" s="44" t="str">
        <f t="shared" si="4"/>
        <v>No data given</v>
      </c>
      <c r="G125" s="45" t="str">
        <f t="shared" si="5"/>
        <v>No data given</v>
      </c>
    </row>
    <row r="126" spans="5:7" x14ac:dyDescent="0.25">
      <c r="E126" s="1" t="str">
        <f t="shared" si="3"/>
        <v>No data given</v>
      </c>
      <c r="F126" s="44" t="str">
        <f t="shared" si="4"/>
        <v>No data given</v>
      </c>
      <c r="G126" s="45" t="str">
        <f t="shared" si="5"/>
        <v>No data given</v>
      </c>
    </row>
    <row r="127" spans="5:7" x14ac:dyDescent="0.25">
      <c r="E127" s="1" t="str">
        <f t="shared" si="3"/>
        <v>No data given</v>
      </c>
      <c r="F127" s="44" t="str">
        <f t="shared" si="4"/>
        <v>No data given</v>
      </c>
      <c r="G127" s="45" t="str">
        <f t="shared" si="5"/>
        <v>No data given</v>
      </c>
    </row>
    <row r="128" spans="5:7" x14ac:dyDescent="0.25">
      <c r="E128" s="1" t="str">
        <f t="shared" si="3"/>
        <v>No data given</v>
      </c>
      <c r="F128" s="44" t="str">
        <f t="shared" si="4"/>
        <v>No data given</v>
      </c>
      <c r="G128" s="45" t="str">
        <f t="shared" si="5"/>
        <v>No data given</v>
      </c>
    </row>
    <row r="129" spans="5:7" x14ac:dyDescent="0.25">
      <c r="E129" s="1" t="str">
        <f t="shared" si="3"/>
        <v>No data given</v>
      </c>
      <c r="F129" s="44" t="str">
        <f t="shared" si="4"/>
        <v>No data given</v>
      </c>
      <c r="G129" s="45" t="str">
        <f t="shared" si="5"/>
        <v>No data given</v>
      </c>
    </row>
    <row r="130" spans="5:7" x14ac:dyDescent="0.25">
      <c r="E130" s="1" t="str">
        <f t="shared" si="3"/>
        <v>No data given</v>
      </c>
      <c r="F130" s="44" t="str">
        <f t="shared" si="4"/>
        <v>No data given</v>
      </c>
      <c r="G130" s="45" t="str">
        <f t="shared" si="5"/>
        <v>No data given</v>
      </c>
    </row>
    <row r="131" spans="5:7" x14ac:dyDescent="0.25">
      <c r="E131" s="1" t="str">
        <f t="shared" si="3"/>
        <v>No data given</v>
      </c>
      <c r="F131" s="44" t="str">
        <f t="shared" si="4"/>
        <v>No data given</v>
      </c>
      <c r="G131" s="45" t="str">
        <f t="shared" si="5"/>
        <v>No data given</v>
      </c>
    </row>
    <row r="132" spans="5:7" x14ac:dyDescent="0.25">
      <c r="E132" s="1" t="str">
        <f t="shared" si="3"/>
        <v>No data given</v>
      </c>
      <c r="F132" s="44" t="str">
        <f t="shared" si="4"/>
        <v>No data given</v>
      </c>
      <c r="G132" s="45" t="str">
        <f t="shared" si="5"/>
        <v>No data given</v>
      </c>
    </row>
    <row r="133" spans="5:7" x14ac:dyDescent="0.25">
      <c r="E133" s="1" t="str">
        <f t="shared" ref="E133:E196" si="6">IF(B133="","No data given",IF(F133&lt;=D133,"Pass",IF(F133&lt;=(D133+C133),"No Impact","Fail")))</f>
        <v>No data given</v>
      </c>
      <c r="F133" s="44" t="str">
        <f t="shared" si="4"/>
        <v>No data given</v>
      </c>
      <c r="G133" s="45" t="str">
        <f t="shared" si="5"/>
        <v>No data given</v>
      </c>
    </row>
    <row r="134" spans="5:7" x14ac:dyDescent="0.25">
      <c r="E134" s="1" t="str">
        <f t="shared" si="6"/>
        <v>No data given</v>
      </c>
      <c r="F134" s="44" t="str">
        <f t="shared" ref="F134:F197" si="7">IF(B134="","No data given",ABS(A134-B134))</f>
        <v>No data given</v>
      </c>
      <c r="G134" s="45" t="str">
        <f t="shared" si="5"/>
        <v>No data given</v>
      </c>
    </row>
    <row r="135" spans="5:7" x14ac:dyDescent="0.25">
      <c r="E135" s="1" t="str">
        <f t="shared" si="6"/>
        <v>No data given</v>
      </c>
      <c r="F135" s="44" t="str">
        <f t="shared" si="7"/>
        <v>No data given</v>
      </c>
      <c r="G135" s="45" t="str">
        <f t="shared" ref="G135:G198" si="8">IF(B135="","No data given",IF(E135&lt;&gt;"Fail",0,F135/A135))</f>
        <v>No data given</v>
      </c>
    </row>
    <row r="136" spans="5:7" x14ac:dyDescent="0.25">
      <c r="E136" s="1" t="str">
        <f t="shared" si="6"/>
        <v>No data given</v>
      </c>
      <c r="F136" s="44" t="str">
        <f t="shared" si="7"/>
        <v>No data given</v>
      </c>
      <c r="G136" s="45" t="str">
        <f t="shared" si="8"/>
        <v>No data given</v>
      </c>
    </row>
    <row r="137" spans="5:7" x14ac:dyDescent="0.25">
      <c r="E137" s="1" t="str">
        <f t="shared" si="6"/>
        <v>No data given</v>
      </c>
      <c r="F137" s="44" t="str">
        <f t="shared" si="7"/>
        <v>No data given</v>
      </c>
      <c r="G137" s="45" t="str">
        <f t="shared" si="8"/>
        <v>No data given</v>
      </c>
    </row>
    <row r="138" spans="5:7" x14ac:dyDescent="0.25">
      <c r="E138" s="1" t="str">
        <f t="shared" si="6"/>
        <v>No data given</v>
      </c>
      <c r="F138" s="44" t="str">
        <f t="shared" si="7"/>
        <v>No data given</v>
      </c>
      <c r="G138" s="45" t="str">
        <f t="shared" si="8"/>
        <v>No data given</v>
      </c>
    </row>
    <row r="139" spans="5:7" x14ac:dyDescent="0.25">
      <c r="E139" s="1" t="str">
        <f t="shared" si="6"/>
        <v>No data given</v>
      </c>
      <c r="F139" s="44" t="str">
        <f t="shared" si="7"/>
        <v>No data given</v>
      </c>
      <c r="G139" s="45" t="str">
        <f t="shared" si="8"/>
        <v>No data given</v>
      </c>
    </row>
    <row r="140" spans="5:7" x14ac:dyDescent="0.25">
      <c r="E140" s="1" t="str">
        <f t="shared" si="6"/>
        <v>No data given</v>
      </c>
      <c r="F140" s="44" t="str">
        <f t="shared" si="7"/>
        <v>No data given</v>
      </c>
      <c r="G140" s="45" t="str">
        <f t="shared" si="8"/>
        <v>No data given</v>
      </c>
    </row>
    <row r="141" spans="5:7" x14ac:dyDescent="0.25">
      <c r="E141" s="1" t="str">
        <f t="shared" si="6"/>
        <v>No data given</v>
      </c>
      <c r="F141" s="44" t="str">
        <f t="shared" si="7"/>
        <v>No data given</v>
      </c>
      <c r="G141" s="45" t="str">
        <f t="shared" si="8"/>
        <v>No data given</v>
      </c>
    </row>
    <row r="142" spans="5:7" x14ac:dyDescent="0.25">
      <c r="E142" s="1" t="str">
        <f t="shared" si="6"/>
        <v>No data given</v>
      </c>
      <c r="F142" s="44" t="str">
        <f t="shared" si="7"/>
        <v>No data given</v>
      </c>
      <c r="G142" s="45" t="str">
        <f t="shared" si="8"/>
        <v>No data given</v>
      </c>
    </row>
    <row r="143" spans="5:7" x14ac:dyDescent="0.25">
      <c r="E143" s="1" t="str">
        <f t="shared" si="6"/>
        <v>No data given</v>
      </c>
      <c r="F143" s="44" t="str">
        <f t="shared" si="7"/>
        <v>No data given</v>
      </c>
      <c r="G143" s="45" t="str">
        <f t="shared" si="8"/>
        <v>No data given</v>
      </c>
    </row>
    <row r="144" spans="5:7" x14ac:dyDescent="0.25">
      <c r="E144" s="1" t="str">
        <f t="shared" si="6"/>
        <v>No data given</v>
      </c>
      <c r="F144" s="44" t="str">
        <f t="shared" si="7"/>
        <v>No data given</v>
      </c>
      <c r="G144" s="45" t="str">
        <f t="shared" si="8"/>
        <v>No data given</v>
      </c>
    </row>
    <row r="145" spans="5:7" x14ac:dyDescent="0.25">
      <c r="E145" s="1" t="str">
        <f t="shared" si="6"/>
        <v>No data given</v>
      </c>
      <c r="F145" s="44" t="str">
        <f t="shared" si="7"/>
        <v>No data given</v>
      </c>
      <c r="G145" s="45" t="str">
        <f t="shared" si="8"/>
        <v>No data given</v>
      </c>
    </row>
    <row r="146" spans="5:7" x14ac:dyDescent="0.25">
      <c r="E146" s="1" t="str">
        <f t="shared" si="6"/>
        <v>No data given</v>
      </c>
      <c r="F146" s="44" t="str">
        <f t="shared" si="7"/>
        <v>No data given</v>
      </c>
      <c r="G146" s="45" t="str">
        <f t="shared" si="8"/>
        <v>No data given</v>
      </c>
    </row>
    <row r="147" spans="5:7" x14ac:dyDescent="0.25">
      <c r="E147" s="1" t="str">
        <f t="shared" si="6"/>
        <v>No data given</v>
      </c>
      <c r="F147" s="44" t="str">
        <f t="shared" si="7"/>
        <v>No data given</v>
      </c>
      <c r="G147" s="45" t="str">
        <f t="shared" si="8"/>
        <v>No data given</v>
      </c>
    </row>
    <row r="148" spans="5:7" x14ac:dyDescent="0.25">
      <c r="E148" s="1" t="str">
        <f t="shared" si="6"/>
        <v>No data given</v>
      </c>
      <c r="F148" s="44" t="str">
        <f t="shared" si="7"/>
        <v>No data given</v>
      </c>
      <c r="G148" s="45" t="str">
        <f t="shared" si="8"/>
        <v>No data given</v>
      </c>
    </row>
    <row r="149" spans="5:7" x14ac:dyDescent="0.25">
      <c r="E149" s="1" t="str">
        <f t="shared" si="6"/>
        <v>No data given</v>
      </c>
      <c r="F149" s="44" t="str">
        <f t="shared" si="7"/>
        <v>No data given</v>
      </c>
      <c r="G149" s="45" t="str">
        <f t="shared" si="8"/>
        <v>No data given</v>
      </c>
    </row>
    <row r="150" spans="5:7" x14ac:dyDescent="0.25">
      <c r="E150" s="1" t="str">
        <f t="shared" si="6"/>
        <v>No data given</v>
      </c>
      <c r="F150" s="44" t="str">
        <f t="shared" si="7"/>
        <v>No data given</v>
      </c>
      <c r="G150" s="45" t="str">
        <f t="shared" si="8"/>
        <v>No data given</v>
      </c>
    </row>
    <row r="151" spans="5:7" x14ac:dyDescent="0.25">
      <c r="E151" s="1" t="str">
        <f t="shared" si="6"/>
        <v>No data given</v>
      </c>
      <c r="F151" s="44" t="str">
        <f t="shared" si="7"/>
        <v>No data given</v>
      </c>
      <c r="G151" s="45" t="str">
        <f t="shared" si="8"/>
        <v>No data given</v>
      </c>
    </row>
    <row r="152" spans="5:7" x14ac:dyDescent="0.25">
      <c r="E152" s="1" t="str">
        <f t="shared" si="6"/>
        <v>No data given</v>
      </c>
      <c r="F152" s="44" t="str">
        <f t="shared" si="7"/>
        <v>No data given</v>
      </c>
      <c r="G152" s="45" t="str">
        <f t="shared" si="8"/>
        <v>No data given</v>
      </c>
    </row>
    <row r="153" spans="5:7" x14ac:dyDescent="0.25">
      <c r="E153" s="1" t="str">
        <f t="shared" si="6"/>
        <v>No data given</v>
      </c>
      <c r="F153" s="44" t="str">
        <f t="shared" si="7"/>
        <v>No data given</v>
      </c>
      <c r="G153" s="45" t="str">
        <f t="shared" si="8"/>
        <v>No data given</v>
      </c>
    </row>
    <row r="154" spans="5:7" x14ac:dyDescent="0.25">
      <c r="E154" s="1" t="str">
        <f t="shared" si="6"/>
        <v>No data given</v>
      </c>
      <c r="F154" s="44" t="str">
        <f t="shared" si="7"/>
        <v>No data given</v>
      </c>
      <c r="G154" s="45" t="str">
        <f t="shared" si="8"/>
        <v>No data given</v>
      </c>
    </row>
    <row r="155" spans="5:7" x14ac:dyDescent="0.25">
      <c r="E155" s="1" t="str">
        <f t="shared" si="6"/>
        <v>No data given</v>
      </c>
      <c r="F155" s="44" t="str">
        <f t="shared" si="7"/>
        <v>No data given</v>
      </c>
      <c r="G155" s="45" t="str">
        <f t="shared" si="8"/>
        <v>No data given</v>
      </c>
    </row>
    <row r="156" spans="5:7" x14ac:dyDescent="0.25">
      <c r="E156" s="1" t="str">
        <f t="shared" si="6"/>
        <v>No data given</v>
      </c>
      <c r="F156" s="44" t="str">
        <f t="shared" si="7"/>
        <v>No data given</v>
      </c>
      <c r="G156" s="45" t="str">
        <f t="shared" si="8"/>
        <v>No data given</v>
      </c>
    </row>
    <row r="157" spans="5:7" x14ac:dyDescent="0.25">
      <c r="E157" s="1" t="str">
        <f t="shared" si="6"/>
        <v>No data given</v>
      </c>
      <c r="F157" s="44" t="str">
        <f t="shared" si="7"/>
        <v>No data given</v>
      </c>
      <c r="G157" s="45" t="str">
        <f t="shared" si="8"/>
        <v>No data given</v>
      </c>
    </row>
    <row r="158" spans="5:7" x14ac:dyDescent="0.25">
      <c r="E158" s="1" t="str">
        <f t="shared" si="6"/>
        <v>No data given</v>
      </c>
      <c r="F158" s="44" t="str">
        <f t="shared" si="7"/>
        <v>No data given</v>
      </c>
      <c r="G158" s="45" t="str">
        <f t="shared" si="8"/>
        <v>No data given</v>
      </c>
    </row>
    <row r="159" spans="5:7" x14ac:dyDescent="0.25">
      <c r="E159" s="1" t="str">
        <f t="shared" si="6"/>
        <v>No data given</v>
      </c>
      <c r="F159" s="44" t="str">
        <f t="shared" si="7"/>
        <v>No data given</v>
      </c>
      <c r="G159" s="45" t="str">
        <f t="shared" si="8"/>
        <v>No data given</v>
      </c>
    </row>
    <row r="160" spans="5:7" x14ac:dyDescent="0.25">
      <c r="E160" s="1" t="str">
        <f t="shared" si="6"/>
        <v>No data given</v>
      </c>
      <c r="F160" s="44" t="str">
        <f t="shared" si="7"/>
        <v>No data given</v>
      </c>
      <c r="G160" s="45" t="str">
        <f t="shared" si="8"/>
        <v>No data given</v>
      </c>
    </row>
    <row r="161" spans="5:7" x14ac:dyDescent="0.25">
      <c r="E161" s="1" t="str">
        <f t="shared" si="6"/>
        <v>No data given</v>
      </c>
      <c r="F161" s="44" t="str">
        <f t="shared" si="7"/>
        <v>No data given</v>
      </c>
      <c r="G161" s="45" t="str">
        <f t="shared" si="8"/>
        <v>No data given</v>
      </c>
    </row>
    <row r="162" spans="5:7" x14ac:dyDescent="0.25">
      <c r="E162" s="1" t="str">
        <f t="shared" si="6"/>
        <v>No data given</v>
      </c>
      <c r="F162" s="44" t="str">
        <f t="shared" si="7"/>
        <v>No data given</v>
      </c>
      <c r="G162" s="45" t="str">
        <f t="shared" si="8"/>
        <v>No data given</v>
      </c>
    </row>
    <row r="163" spans="5:7" x14ac:dyDescent="0.25">
      <c r="E163" s="1" t="str">
        <f t="shared" si="6"/>
        <v>No data given</v>
      </c>
      <c r="F163" s="44" t="str">
        <f t="shared" si="7"/>
        <v>No data given</v>
      </c>
      <c r="G163" s="45" t="str">
        <f t="shared" si="8"/>
        <v>No data given</v>
      </c>
    </row>
    <row r="164" spans="5:7" x14ac:dyDescent="0.25">
      <c r="E164" s="1" t="str">
        <f t="shared" si="6"/>
        <v>No data given</v>
      </c>
      <c r="F164" s="44" t="str">
        <f t="shared" si="7"/>
        <v>No data given</v>
      </c>
      <c r="G164" s="45" t="str">
        <f t="shared" si="8"/>
        <v>No data given</v>
      </c>
    </row>
    <row r="165" spans="5:7" x14ac:dyDescent="0.25">
      <c r="E165" s="1" t="str">
        <f t="shared" si="6"/>
        <v>No data given</v>
      </c>
      <c r="F165" s="44" t="str">
        <f t="shared" si="7"/>
        <v>No data given</v>
      </c>
      <c r="G165" s="45" t="str">
        <f t="shared" si="8"/>
        <v>No data given</v>
      </c>
    </row>
    <row r="166" spans="5:7" x14ac:dyDescent="0.25">
      <c r="E166" s="1" t="str">
        <f t="shared" si="6"/>
        <v>No data given</v>
      </c>
      <c r="F166" s="44" t="str">
        <f t="shared" si="7"/>
        <v>No data given</v>
      </c>
      <c r="G166" s="45" t="str">
        <f t="shared" si="8"/>
        <v>No data given</v>
      </c>
    </row>
    <row r="167" spans="5:7" x14ac:dyDescent="0.25">
      <c r="E167" s="1" t="str">
        <f t="shared" si="6"/>
        <v>No data given</v>
      </c>
      <c r="F167" s="44" t="str">
        <f t="shared" si="7"/>
        <v>No data given</v>
      </c>
      <c r="G167" s="45" t="str">
        <f t="shared" si="8"/>
        <v>No data given</v>
      </c>
    </row>
    <row r="168" spans="5:7" x14ac:dyDescent="0.25">
      <c r="E168" s="1" t="str">
        <f t="shared" si="6"/>
        <v>No data given</v>
      </c>
      <c r="F168" s="44" t="str">
        <f t="shared" si="7"/>
        <v>No data given</v>
      </c>
      <c r="G168" s="45" t="str">
        <f t="shared" si="8"/>
        <v>No data given</v>
      </c>
    </row>
    <row r="169" spans="5:7" x14ac:dyDescent="0.25">
      <c r="E169" s="1" t="str">
        <f t="shared" si="6"/>
        <v>No data given</v>
      </c>
      <c r="F169" s="44" t="str">
        <f t="shared" si="7"/>
        <v>No data given</v>
      </c>
      <c r="G169" s="45" t="str">
        <f t="shared" si="8"/>
        <v>No data given</v>
      </c>
    </row>
    <row r="170" spans="5:7" x14ac:dyDescent="0.25">
      <c r="E170" s="1" t="str">
        <f t="shared" si="6"/>
        <v>No data given</v>
      </c>
      <c r="F170" s="44" t="str">
        <f t="shared" si="7"/>
        <v>No data given</v>
      </c>
      <c r="G170" s="45" t="str">
        <f t="shared" si="8"/>
        <v>No data given</v>
      </c>
    </row>
    <row r="171" spans="5:7" x14ac:dyDescent="0.25">
      <c r="E171" s="1" t="str">
        <f t="shared" si="6"/>
        <v>No data given</v>
      </c>
      <c r="F171" s="44" t="str">
        <f t="shared" si="7"/>
        <v>No data given</v>
      </c>
      <c r="G171" s="45" t="str">
        <f t="shared" si="8"/>
        <v>No data given</v>
      </c>
    </row>
    <row r="172" spans="5:7" x14ac:dyDescent="0.25">
      <c r="E172" s="1" t="str">
        <f t="shared" si="6"/>
        <v>No data given</v>
      </c>
      <c r="F172" s="44" t="str">
        <f t="shared" si="7"/>
        <v>No data given</v>
      </c>
      <c r="G172" s="45" t="str">
        <f t="shared" si="8"/>
        <v>No data given</v>
      </c>
    </row>
    <row r="173" spans="5:7" x14ac:dyDescent="0.25">
      <c r="E173" s="1" t="str">
        <f t="shared" si="6"/>
        <v>No data given</v>
      </c>
      <c r="F173" s="44" t="str">
        <f t="shared" si="7"/>
        <v>No data given</v>
      </c>
      <c r="G173" s="45" t="str">
        <f t="shared" si="8"/>
        <v>No data given</v>
      </c>
    </row>
    <row r="174" spans="5:7" x14ac:dyDescent="0.25">
      <c r="E174" s="1" t="str">
        <f t="shared" si="6"/>
        <v>No data given</v>
      </c>
      <c r="F174" s="44" t="str">
        <f t="shared" si="7"/>
        <v>No data given</v>
      </c>
      <c r="G174" s="45" t="str">
        <f t="shared" si="8"/>
        <v>No data given</v>
      </c>
    </row>
    <row r="175" spans="5:7" x14ac:dyDescent="0.25">
      <c r="E175" s="1" t="str">
        <f t="shared" si="6"/>
        <v>No data given</v>
      </c>
      <c r="F175" s="44" t="str">
        <f t="shared" si="7"/>
        <v>No data given</v>
      </c>
      <c r="G175" s="45" t="str">
        <f t="shared" si="8"/>
        <v>No data given</v>
      </c>
    </row>
    <row r="176" spans="5:7" x14ac:dyDescent="0.25">
      <c r="E176" s="1" t="str">
        <f t="shared" si="6"/>
        <v>No data given</v>
      </c>
      <c r="F176" s="44" t="str">
        <f t="shared" si="7"/>
        <v>No data given</v>
      </c>
      <c r="G176" s="45" t="str">
        <f t="shared" si="8"/>
        <v>No data given</v>
      </c>
    </row>
    <row r="177" spans="5:7" x14ac:dyDescent="0.25">
      <c r="E177" s="1" t="str">
        <f t="shared" si="6"/>
        <v>No data given</v>
      </c>
      <c r="F177" s="44" t="str">
        <f t="shared" si="7"/>
        <v>No data given</v>
      </c>
      <c r="G177" s="45" t="str">
        <f t="shared" si="8"/>
        <v>No data given</v>
      </c>
    </row>
    <row r="178" spans="5:7" x14ac:dyDescent="0.25">
      <c r="E178" s="1" t="str">
        <f t="shared" si="6"/>
        <v>No data given</v>
      </c>
      <c r="F178" s="44" t="str">
        <f t="shared" si="7"/>
        <v>No data given</v>
      </c>
      <c r="G178" s="45" t="str">
        <f t="shared" si="8"/>
        <v>No data given</v>
      </c>
    </row>
    <row r="179" spans="5:7" x14ac:dyDescent="0.25">
      <c r="E179" s="1" t="str">
        <f t="shared" si="6"/>
        <v>No data given</v>
      </c>
      <c r="F179" s="44" t="str">
        <f t="shared" si="7"/>
        <v>No data given</v>
      </c>
      <c r="G179" s="45" t="str">
        <f t="shared" si="8"/>
        <v>No data given</v>
      </c>
    </row>
    <row r="180" spans="5:7" x14ac:dyDescent="0.25">
      <c r="E180" s="1" t="str">
        <f t="shared" si="6"/>
        <v>No data given</v>
      </c>
      <c r="F180" s="44" t="str">
        <f t="shared" si="7"/>
        <v>No data given</v>
      </c>
      <c r="G180" s="45" t="str">
        <f t="shared" si="8"/>
        <v>No data given</v>
      </c>
    </row>
    <row r="181" spans="5:7" x14ac:dyDescent="0.25">
      <c r="E181" s="1" t="str">
        <f t="shared" si="6"/>
        <v>No data given</v>
      </c>
      <c r="F181" s="44" t="str">
        <f t="shared" si="7"/>
        <v>No data given</v>
      </c>
      <c r="G181" s="45" t="str">
        <f t="shared" si="8"/>
        <v>No data given</v>
      </c>
    </row>
    <row r="182" spans="5:7" x14ac:dyDescent="0.25">
      <c r="E182" s="1" t="str">
        <f t="shared" si="6"/>
        <v>No data given</v>
      </c>
      <c r="F182" s="44" t="str">
        <f t="shared" si="7"/>
        <v>No data given</v>
      </c>
      <c r="G182" s="45" t="str">
        <f t="shared" si="8"/>
        <v>No data given</v>
      </c>
    </row>
    <row r="183" spans="5:7" x14ac:dyDescent="0.25">
      <c r="E183" s="1" t="str">
        <f t="shared" si="6"/>
        <v>No data given</v>
      </c>
      <c r="F183" s="44" t="str">
        <f t="shared" si="7"/>
        <v>No data given</v>
      </c>
      <c r="G183" s="45" t="str">
        <f t="shared" si="8"/>
        <v>No data given</v>
      </c>
    </row>
    <row r="184" spans="5:7" x14ac:dyDescent="0.25">
      <c r="E184" s="1" t="str">
        <f t="shared" si="6"/>
        <v>No data given</v>
      </c>
      <c r="F184" s="44" t="str">
        <f t="shared" si="7"/>
        <v>No data given</v>
      </c>
      <c r="G184" s="45" t="str">
        <f t="shared" si="8"/>
        <v>No data given</v>
      </c>
    </row>
    <row r="185" spans="5:7" x14ac:dyDescent="0.25">
      <c r="E185" s="1" t="str">
        <f t="shared" si="6"/>
        <v>No data given</v>
      </c>
      <c r="F185" s="44" t="str">
        <f t="shared" si="7"/>
        <v>No data given</v>
      </c>
      <c r="G185" s="45" t="str">
        <f t="shared" si="8"/>
        <v>No data given</v>
      </c>
    </row>
    <row r="186" spans="5:7" x14ac:dyDescent="0.25">
      <c r="E186" s="1" t="str">
        <f t="shared" si="6"/>
        <v>No data given</v>
      </c>
      <c r="F186" s="44" t="str">
        <f t="shared" si="7"/>
        <v>No data given</v>
      </c>
      <c r="G186" s="45" t="str">
        <f t="shared" si="8"/>
        <v>No data given</v>
      </c>
    </row>
    <row r="187" spans="5:7" x14ac:dyDescent="0.25">
      <c r="E187" s="1" t="str">
        <f t="shared" si="6"/>
        <v>No data given</v>
      </c>
      <c r="F187" s="44" t="str">
        <f t="shared" si="7"/>
        <v>No data given</v>
      </c>
      <c r="G187" s="45" t="str">
        <f t="shared" si="8"/>
        <v>No data given</v>
      </c>
    </row>
    <row r="188" spans="5:7" x14ac:dyDescent="0.25">
      <c r="E188" s="1" t="str">
        <f t="shared" si="6"/>
        <v>No data given</v>
      </c>
      <c r="F188" s="44" t="str">
        <f t="shared" si="7"/>
        <v>No data given</v>
      </c>
      <c r="G188" s="45" t="str">
        <f t="shared" si="8"/>
        <v>No data given</v>
      </c>
    </row>
    <row r="189" spans="5:7" x14ac:dyDescent="0.25">
      <c r="E189" s="1" t="str">
        <f t="shared" si="6"/>
        <v>No data given</v>
      </c>
      <c r="F189" s="44" t="str">
        <f t="shared" si="7"/>
        <v>No data given</v>
      </c>
      <c r="G189" s="45" t="str">
        <f t="shared" si="8"/>
        <v>No data given</v>
      </c>
    </row>
    <row r="190" spans="5:7" x14ac:dyDescent="0.25">
      <c r="E190" s="1" t="str">
        <f t="shared" si="6"/>
        <v>No data given</v>
      </c>
      <c r="F190" s="44" t="str">
        <f t="shared" si="7"/>
        <v>No data given</v>
      </c>
      <c r="G190" s="45" t="str">
        <f t="shared" si="8"/>
        <v>No data given</v>
      </c>
    </row>
    <row r="191" spans="5:7" x14ac:dyDescent="0.25">
      <c r="E191" s="1" t="str">
        <f t="shared" si="6"/>
        <v>No data given</v>
      </c>
      <c r="F191" s="44" t="str">
        <f t="shared" si="7"/>
        <v>No data given</v>
      </c>
      <c r="G191" s="45" t="str">
        <f t="shared" si="8"/>
        <v>No data given</v>
      </c>
    </row>
    <row r="192" spans="5:7" x14ac:dyDescent="0.25">
      <c r="E192" s="1" t="str">
        <f t="shared" si="6"/>
        <v>No data given</v>
      </c>
      <c r="F192" s="44" t="str">
        <f t="shared" si="7"/>
        <v>No data given</v>
      </c>
      <c r="G192" s="45" t="str">
        <f t="shared" si="8"/>
        <v>No data given</v>
      </c>
    </row>
    <row r="193" spans="5:7" x14ac:dyDescent="0.25">
      <c r="E193" s="1" t="str">
        <f t="shared" si="6"/>
        <v>No data given</v>
      </c>
      <c r="F193" s="44" t="str">
        <f t="shared" si="7"/>
        <v>No data given</v>
      </c>
      <c r="G193" s="45" t="str">
        <f t="shared" si="8"/>
        <v>No data given</v>
      </c>
    </row>
    <row r="194" spans="5:7" x14ac:dyDescent="0.25">
      <c r="E194" s="1" t="str">
        <f t="shared" si="6"/>
        <v>No data given</v>
      </c>
      <c r="F194" s="44" t="str">
        <f t="shared" si="7"/>
        <v>No data given</v>
      </c>
      <c r="G194" s="45" t="str">
        <f t="shared" si="8"/>
        <v>No data given</v>
      </c>
    </row>
    <row r="195" spans="5:7" x14ac:dyDescent="0.25">
      <c r="E195" s="1" t="str">
        <f t="shared" si="6"/>
        <v>No data given</v>
      </c>
      <c r="F195" s="44" t="str">
        <f t="shared" si="7"/>
        <v>No data given</v>
      </c>
      <c r="G195" s="45" t="str">
        <f t="shared" si="8"/>
        <v>No data given</v>
      </c>
    </row>
    <row r="196" spans="5:7" x14ac:dyDescent="0.25">
      <c r="E196" s="1" t="str">
        <f t="shared" si="6"/>
        <v>No data given</v>
      </c>
      <c r="F196" s="44" t="str">
        <f t="shared" si="7"/>
        <v>No data given</v>
      </c>
      <c r="G196" s="45" t="str">
        <f t="shared" si="8"/>
        <v>No data given</v>
      </c>
    </row>
    <row r="197" spans="5:7" x14ac:dyDescent="0.25">
      <c r="E197" s="1" t="str">
        <f t="shared" ref="E197:E260" si="9">IF(B197="","No data given",IF(F197&lt;=D197,"Pass",IF(F197&lt;=(D197+C197),"No Impact","Fail")))</f>
        <v>No data given</v>
      </c>
      <c r="F197" s="44" t="str">
        <f t="shared" si="7"/>
        <v>No data given</v>
      </c>
      <c r="G197" s="45" t="str">
        <f t="shared" si="8"/>
        <v>No data given</v>
      </c>
    </row>
    <row r="198" spans="5:7" x14ac:dyDescent="0.25">
      <c r="E198" s="1" t="str">
        <f t="shared" si="9"/>
        <v>No data given</v>
      </c>
      <c r="F198" s="44" t="str">
        <f t="shared" ref="F198:F261" si="10">IF(B198="","No data given",ABS(A198-B198))</f>
        <v>No data given</v>
      </c>
      <c r="G198" s="45" t="str">
        <f t="shared" si="8"/>
        <v>No data given</v>
      </c>
    </row>
    <row r="199" spans="5:7" x14ac:dyDescent="0.25">
      <c r="E199" s="1" t="str">
        <f t="shared" si="9"/>
        <v>No data given</v>
      </c>
      <c r="F199" s="44" t="str">
        <f t="shared" si="10"/>
        <v>No data given</v>
      </c>
      <c r="G199" s="45" t="str">
        <f t="shared" ref="G199:G262" si="11">IF(B199="","No data given",IF(E199&lt;&gt;"Fail",0,F199/A199))</f>
        <v>No data given</v>
      </c>
    </row>
    <row r="200" spans="5:7" x14ac:dyDescent="0.25">
      <c r="E200" s="1" t="str">
        <f t="shared" si="9"/>
        <v>No data given</v>
      </c>
      <c r="F200" s="44" t="str">
        <f t="shared" si="10"/>
        <v>No data given</v>
      </c>
      <c r="G200" s="45" t="str">
        <f t="shared" si="11"/>
        <v>No data given</v>
      </c>
    </row>
    <row r="201" spans="5:7" x14ac:dyDescent="0.25">
      <c r="E201" s="1" t="str">
        <f t="shared" si="9"/>
        <v>No data given</v>
      </c>
      <c r="F201" s="44" t="str">
        <f t="shared" si="10"/>
        <v>No data given</v>
      </c>
      <c r="G201" s="45" t="str">
        <f t="shared" si="11"/>
        <v>No data given</v>
      </c>
    </row>
    <row r="202" spans="5:7" x14ac:dyDescent="0.25">
      <c r="E202" s="1" t="str">
        <f t="shared" si="9"/>
        <v>No data given</v>
      </c>
      <c r="F202" s="44" t="str">
        <f t="shared" si="10"/>
        <v>No data given</v>
      </c>
      <c r="G202" s="45" t="str">
        <f t="shared" si="11"/>
        <v>No data given</v>
      </c>
    </row>
    <row r="203" spans="5:7" x14ac:dyDescent="0.25">
      <c r="E203" s="1" t="str">
        <f t="shared" si="9"/>
        <v>No data given</v>
      </c>
      <c r="F203" s="44" t="str">
        <f t="shared" si="10"/>
        <v>No data given</v>
      </c>
      <c r="G203" s="45" t="str">
        <f t="shared" si="11"/>
        <v>No data given</v>
      </c>
    </row>
    <row r="204" spans="5:7" x14ac:dyDescent="0.25">
      <c r="E204" s="1" t="str">
        <f t="shared" si="9"/>
        <v>No data given</v>
      </c>
      <c r="F204" s="44" t="str">
        <f t="shared" si="10"/>
        <v>No data given</v>
      </c>
      <c r="G204" s="45" t="str">
        <f t="shared" si="11"/>
        <v>No data given</v>
      </c>
    </row>
    <row r="205" spans="5:7" x14ac:dyDescent="0.25">
      <c r="E205" s="1" t="str">
        <f t="shared" si="9"/>
        <v>No data given</v>
      </c>
      <c r="F205" s="44" t="str">
        <f t="shared" si="10"/>
        <v>No data given</v>
      </c>
      <c r="G205" s="45" t="str">
        <f t="shared" si="11"/>
        <v>No data given</v>
      </c>
    </row>
    <row r="206" spans="5:7" x14ac:dyDescent="0.25">
      <c r="E206" s="1" t="str">
        <f t="shared" si="9"/>
        <v>No data given</v>
      </c>
      <c r="F206" s="44" t="str">
        <f t="shared" si="10"/>
        <v>No data given</v>
      </c>
      <c r="G206" s="45" t="str">
        <f t="shared" si="11"/>
        <v>No data given</v>
      </c>
    </row>
    <row r="207" spans="5:7" x14ac:dyDescent="0.25">
      <c r="E207" s="1" t="str">
        <f t="shared" si="9"/>
        <v>No data given</v>
      </c>
      <c r="F207" s="44" t="str">
        <f t="shared" si="10"/>
        <v>No data given</v>
      </c>
      <c r="G207" s="45" t="str">
        <f t="shared" si="11"/>
        <v>No data given</v>
      </c>
    </row>
    <row r="208" spans="5:7" x14ac:dyDescent="0.25">
      <c r="E208" s="1" t="str">
        <f t="shared" si="9"/>
        <v>No data given</v>
      </c>
      <c r="F208" s="44" t="str">
        <f t="shared" si="10"/>
        <v>No data given</v>
      </c>
      <c r="G208" s="45" t="str">
        <f t="shared" si="11"/>
        <v>No data given</v>
      </c>
    </row>
    <row r="209" spans="5:7" x14ac:dyDescent="0.25">
      <c r="E209" s="1" t="str">
        <f t="shared" si="9"/>
        <v>No data given</v>
      </c>
      <c r="F209" s="44" t="str">
        <f t="shared" si="10"/>
        <v>No data given</v>
      </c>
      <c r="G209" s="45" t="str">
        <f t="shared" si="11"/>
        <v>No data given</v>
      </c>
    </row>
    <row r="210" spans="5:7" x14ac:dyDescent="0.25">
      <c r="E210" s="1" t="str">
        <f t="shared" si="9"/>
        <v>No data given</v>
      </c>
      <c r="F210" s="44" t="str">
        <f t="shared" si="10"/>
        <v>No data given</v>
      </c>
      <c r="G210" s="45" t="str">
        <f t="shared" si="11"/>
        <v>No data given</v>
      </c>
    </row>
    <row r="211" spans="5:7" x14ac:dyDescent="0.25">
      <c r="E211" s="1" t="str">
        <f t="shared" si="9"/>
        <v>No data given</v>
      </c>
      <c r="F211" s="44" t="str">
        <f t="shared" si="10"/>
        <v>No data given</v>
      </c>
      <c r="G211" s="45" t="str">
        <f t="shared" si="11"/>
        <v>No data given</v>
      </c>
    </row>
    <row r="212" spans="5:7" x14ac:dyDescent="0.25">
      <c r="E212" s="1" t="str">
        <f t="shared" si="9"/>
        <v>No data given</v>
      </c>
      <c r="F212" s="44" t="str">
        <f t="shared" si="10"/>
        <v>No data given</v>
      </c>
      <c r="G212" s="45" t="str">
        <f t="shared" si="11"/>
        <v>No data given</v>
      </c>
    </row>
    <row r="213" spans="5:7" x14ac:dyDescent="0.25">
      <c r="E213" s="1" t="str">
        <f t="shared" si="9"/>
        <v>No data given</v>
      </c>
      <c r="F213" s="44" t="str">
        <f t="shared" si="10"/>
        <v>No data given</v>
      </c>
      <c r="G213" s="45" t="str">
        <f t="shared" si="11"/>
        <v>No data given</v>
      </c>
    </row>
    <row r="214" spans="5:7" x14ac:dyDescent="0.25">
      <c r="E214" s="1" t="str">
        <f t="shared" si="9"/>
        <v>No data given</v>
      </c>
      <c r="F214" s="44" t="str">
        <f t="shared" si="10"/>
        <v>No data given</v>
      </c>
      <c r="G214" s="45" t="str">
        <f t="shared" si="11"/>
        <v>No data given</v>
      </c>
    </row>
    <row r="215" spans="5:7" x14ac:dyDescent="0.25">
      <c r="E215" s="1" t="str">
        <f t="shared" si="9"/>
        <v>No data given</v>
      </c>
      <c r="F215" s="44" t="str">
        <f t="shared" si="10"/>
        <v>No data given</v>
      </c>
      <c r="G215" s="45" t="str">
        <f t="shared" si="11"/>
        <v>No data given</v>
      </c>
    </row>
    <row r="216" spans="5:7" x14ac:dyDescent="0.25">
      <c r="E216" s="1" t="str">
        <f t="shared" si="9"/>
        <v>No data given</v>
      </c>
      <c r="F216" s="44" t="str">
        <f t="shared" si="10"/>
        <v>No data given</v>
      </c>
      <c r="G216" s="45" t="str">
        <f t="shared" si="11"/>
        <v>No data given</v>
      </c>
    </row>
    <row r="217" spans="5:7" x14ac:dyDescent="0.25">
      <c r="E217" s="1" t="str">
        <f t="shared" si="9"/>
        <v>No data given</v>
      </c>
      <c r="F217" s="44" t="str">
        <f t="shared" si="10"/>
        <v>No data given</v>
      </c>
      <c r="G217" s="45" t="str">
        <f t="shared" si="11"/>
        <v>No data given</v>
      </c>
    </row>
    <row r="218" spans="5:7" x14ac:dyDescent="0.25">
      <c r="E218" s="1" t="str">
        <f t="shared" si="9"/>
        <v>No data given</v>
      </c>
      <c r="F218" s="44" t="str">
        <f t="shared" si="10"/>
        <v>No data given</v>
      </c>
      <c r="G218" s="45" t="str">
        <f t="shared" si="11"/>
        <v>No data given</v>
      </c>
    </row>
    <row r="219" spans="5:7" x14ac:dyDescent="0.25">
      <c r="E219" s="1" t="str">
        <f t="shared" si="9"/>
        <v>No data given</v>
      </c>
      <c r="F219" s="44" t="str">
        <f t="shared" si="10"/>
        <v>No data given</v>
      </c>
      <c r="G219" s="45" t="str">
        <f t="shared" si="11"/>
        <v>No data given</v>
      </c>
    </row>
    <row r="220" spans="5:7" x14ac:dyDescent="0.25">
      <c r="E220" s="1" t="str">
        <f t="shared" si="9"/>
        <v>No data given</v>
      </c>
      <c r="F220" s="44" t="str">
        <f t="shared" si="10"/>
        <v>No data given</v>
      </c>
      <c r="G220" s="45" t="str">
        <f t="shared" si="11"/>
        <v>No data given</v>
      </c>
    </row>
    <row r="221" spans="5:7" x14ac:dyDescent="0.25">
      <c r="E221" s="1" t="str">
        <f t="shared" si="9"/>
        <v>No data given</v>
      </c>
      <c r="F221" s="44" t="str">
        <f t="shared" si="10"/>
        <v>No data given</v>
      </c>
      <c r="G221" s="45" t="str">
        <f t="shared" si="11"/>
        <v>No data given</v>
      </c>
    </row>
    <row r="222" spans="5:7" x14ac:dyDescent="0.25">
      <c r="E222" s="1" t="str">
        <f t="shared" si="9"/>
        <v>No data given</v>
      </c>
      <c r="F222" s="44" t="str">
        <f t="shared" si="10"/>
        <v>No data given</v>
      </c>
      <c r="G222" s="45" t="str">
        <f t="shared" si="11"/>
        <v>No data given</v>
      </c>
    </row>
    <row r="223" spans="5:7" x14ac:dyDescent="0.25">
      <c r="E223" s="1" t="str">
        <f t="shared" si="9"/>
        <v>No data given</v>
      </c>
      <c r="F223" s="44" t="str">
        <f t="shared" si="10"/>
        <v>No data given</v>
      </c>
      <c r="G223" s="45" t="str">
        <f t="shared" si="11"/>
        <v>No data given</v>
      </c>
    </row>
    <row r="224" spans="5:7" x14ac:dyDescent="0.25">
      <c r="E224" s="1" t="str">
        <f t="shared" si="9"/>
        <v>No data given</v>
      </c>
      <c r="F224" s="44" t="str">
        <f t="shared" si="10"/>
        <v>No data given</v>
      </c>
      <c r="G224" s="45" t="str">
        <f t="shared" si="11"/>
        <v>No data given</v>
      </c>
    </row>
    <row r="225" spans="5:7" x14ac:dyDescent="0.25">
      <c r="E225" s="1" t="str">
        <f t="shared" si="9"/>
        <v>No data given</v>
      </c>
      <c r="F225" s="44" t="str">
        <f t="shared" si="10"/>
        <v>No data given</v>
      </c>
      <c r="G225" s="45" t="str">
        <f t="shared" si="11"/>
        <v>No data given</v>
      </c>
    </row>
    <row r="226" spans="5:7" x14ac:dyDescent="0.25">
      <c r="E226" s="1" t="str">
        <f t="shared" si="9"/>
        <v>No data given</v>
      </c>
      <c r="F226" s="44" t="str">
        <f t="shared" si="10"/>
        <v>No data given</v>
      </c>
      <c r="G226" s="45" t="str">
        <f t="shared" si="11"/>
        <v>No data given</v>
      </c>
    </row>
    <row r="227" spans="5:7" x14ac:dyDescent="0.25">
      <c r="E227" s="1" t="str">
        <f t="shared" si="9"/>
        <v>No data given</v>
      </c>
      <c r="F227" s="44" t="str">
        <f t="shared" si="10"/>
        <v>No data given</v>
      </c>
      <c r="G227" s="45" t="str">
        <f t="shared" si="11"/>
        <v>No data given</v>
      </c>
    </row>
    <row r="228" spans="5:7" x14ac:dyDescent="0.25">
      <c r="E228" s="1" t="str">
        <f t="shared" si="9"/>
        <v>No data given</v>
      </c>
      <c r="F228" s="44" t="str">
        <f t="shared" si="10"/>
        <v>No data given</v>
      </c>
      <c r="G228" s="45" t="str">
        <f t="shared" si="11"/>
        <v>No data given</v>
      </c>
    </row>
    <row r="229" spans="5:7" x14ac:dyDescent="0.25">
      <c r="E229" s="1" t="str">
        <f t="shared" si="9"/>
        <v>No data given</v>
      </c>
      <c r="F229" s="44" t="str">
        <f t="shared" si="10"/>
        <v>No data given</v>
      </c>
      <c r="G229" s="45" t="str">
        <f t="shared" si="11"/>
        <v>No data given</v>
      </c>
    </row>
    <row r="230" spans="5:7" x14ac:dyDescent="0.25">
      <c r="E230" s="1" t="str">
        <f t="shared" si="9"/>
        <v>No data given</v>
      </c>
      <c r="F230" s="44" t="str">
        <f t="shared" si="10"/>
        <v>No data given</v>
      </c>
      <c r="G230" s="45" t="str">
        <f t="shared" si="11"/>
        <v>No data given</v>
      </c>
    </row>
    <row r="231" spans="5:7" x14ac:dyDescent="0.25">
      <c r="E231" s="1" t="str">
        <f t="shared" si="9"/>
        <v>No data given</v>
      </c>
      <c r="F231" s="44" t="str">
        <f t="shared" si="10"/>
        <v>No data given</v>
      </c>
      <c r="G231" s="45" t="str">
        <f t="shared" si="11"/>
        <v>No data given</v>
      </c>
    </row>
    <row r="232" spans="5:7" x14ac:dyDescent="0.25">
      <c r="E232" s="1" t="str">
        <f t="shared" si="9"/>
        <v>No data given</v>
      </c>
      <c r="F232" s="44" t="str">
        <f t="shared" si="10"/>
        <v>No data given</v>
      </c>
      <c r="G232" s="45" t="str">
        <f t="shared" si="11"/>
        <v>No data given</v>
      </c>
    </row>
    <row r="233" spans="5:7" x14ac:dyDescent="0.25">
      <c r="E233" s="1" t="str">
        <f t="shared" si="9"/>
        <v>No data given</v>
      </c>
      <c r="F233" s="44" t="str">
        <f t="shared" si="10"/>
        <v>No data given</v>
      </c>
      <c r="G233" s="45" t="str">
        <f t="shared" si="11"/>
        <v>No data given</v>
      </c>
    </row>
    <row r="234" spans="5:7" x14ac:dyDescent="0.25">
      <c r="E234" s="1" t="str">
        <f t="shared" si="9"/>
        <v>No data given</v>
      </c>
      <c r="F234" s="44" t="str">
        <f t="shared" si="10"/>
        <v>No data given</v>
      </c>
      <c r="G234" s="45" t="str">
        <f t="shared" si="11"/>
        <v>No data given</v>
      </c>
    </row>
    <row r="235" spans="5:7" x14ac:dyDescent="0.25">
      <c r="E235" s="1" t="str">
        <f t="shared" si="9"/>
        <v>No data given</v>
      </c>
      <c r="F235" s="44" t="str">
        <f t="shared" si="10"/>
        <v>No data given</v>
      </c>
      <c r="G235" s="45" t="str">
        <f t="shared" si="11"/>
        <v>No data given</v>
      </c>
    </row>
    <row r="236" spans="5:7" x14ac:dyDescent="0.25">
      <c r="E236" s="1" t="str">
        <f t="shared" si="9"/>
        <v>No data given</v>
      </c>
      <c r="F236" s="44" t="str">
        <f t="shared" si="10"/>
        <v>No data given</v>
      </c>
      <c r="G236" s="45" t="str">
        <f t="shared" si="11"/>
        <v>No data given</v>
      </c>
    </row>
    <row r="237" spans="5:7" x14ac:dyDescent="0.25">
      <c r="E237" s="1" t="str">
        <f t="shared" si="9"/>
        <v>No data given</v>
      </c>
      <c r="F237" s="44" t="str">
        <f t="shared" si="10"/>
        <v>No data given</v>
      </c>
      <c r="G237" s="45" t="str">
        <f t="shared" si="11"/>
        <v>No data given</v>
      </c>
    </row>
    <row r="238" spans="5:7" x14ac:dyDescent="0.25">
      <c r="E238" s="1" t="str">
        <f t="shared" si="9"/>
        <v>No data given</v>
      </c>
      <c r="F238" s="44" t="str">
        <f t="shared" si="10"/>
        <v>No data given</v>
      </c>
      <c r="G238" s="45" t="str">
        <f t="shared" si="11"/>
        <v>No data given</v>
      </c>
    </row>
    <row r="239" spans="5:7" x14ac:dyDescent="0.25">
      <c r="E239" s="1" t="str">
        <f t="shared" si="9"/>
        <v>No data given</v>
      </c>
      <c r="F239" s="44" t="str">
        <f t="shared" si="10"/>
        <v>No data given</v>
      </c>
      <c r="G239" s="45" t="str">
        <f t="shared" si="11"/>
        <v>No data given</v>
      </c>
    </row>
    <row r="240" spans="5:7" x14ac:dyDescent="0.25">
      <c r="E240" s="1" t="str">
        <f t="shared" si="9"/>
        <v>No data given</v>
      </c>
      <c r="F240" s="44" t="str">
        <f t="shared" si="10"/>
        <v>No data given</v>
      </c>
      <c r="G240" s="45" t="str">
        <f t="shared" si="11"/>
        <v>No data given</v>
      </c>
    </row>
    <row r="241" spans="5:7" x14ac:dyDescent="0.25">
      <c r="E241" s="1" t="str">
        <f t="shared" si="9"/>
        <v>No data given</v>
      </c>
      <c r="F241" s="44" t="str">
        <f t="shared" si="10"/>
        <v>No data given</v>
      </c>
      <c r="G241" s="45" t="str">
        <f t="shared" si="11"/>
        <v>No data given</v>
      </c>
    </row>
    <row r="242" spans="5:7" x14ac:dyDescent="0.25">
      <c r="E242" s="1" t="str">
        <f t="shared" si="9"/>
        <v>No data given</v>
      </c>
      <c r="F242" s="44" t="str">
        <f t="shared" si="10"/>
        <v>No data given</v>
      </c>
      <c r="G242" s="45" t="str">
        <f t="shared" si="11"/>
        <v>No data given</v>
      </c>
    </row>
    <row r="243" spans="5:7" x14ac:dyDescent="0.25">
      <c r="E243" s="1" t="str">
        <f t="shared" si="9"/>
        <v>No data given</v>
      </c>
      <c r="F243" s="44" t="str">
        <f t="shared" si="10"/>
        <v>No data given</v>
      </c>
      <c r="G243" s="45" t="str">
        <f t="shared" si="11"/>
        <v>No data given</v>
      </c>
    </row>
    <row r="244" spans="5:7" x14ac:dyDescent="0.25">
      <c r="E244" s="1" t="str">
        <f t="shared" si="9"/>
        <v>No data given</v>
      </c>
      <c r="F244" s="44" t="str">
        <f t="shared" si="10"/>
        <v>No data given</v>
      </c>
      <c r="G244" s="45" t="str">
        <f t="shared" si="11"/>
        <v>No data given</v>
      </c>
    </row>
    <row r="245" spans="5:7" x14ac:dyDescent="0.25">
      <c r="E245" s="1" t="str">
        <f t="shared" si="9"/>
        <v>No data given</v>
      </c>
      <c r="F245" s="44" t="str">
        <f t="shared" si="10"/>
        <v>No data given</v>
      </c>
      <c r="G245" s="45" t="str">
        <f t="shared" si="11"/>
        <v>No data given</v>
      </c>
    </row>
    <row r="246" spans="5:7" x14ac:dyDescent="0.25">
      <c r="E246" s="1" t="str">
        <f t="shared" si="9"/>
        <v>No data given</v>
      </c>
      <c r="F246" s="44" t="str">
        <f t="shared" si="10"/>
        <v>No data given</v>
      </c>
      <c r="G246" s="45" t="str">
        <f t="shared" si="11"/>
        <v>No data given</v>
      </c>
    </row>
    <row r="247" spans="5:7" x14ac:dyDescent="0.25">
      <c r="E247" s="1" t="str">
        <f t="shared" si="9"/>
        <v>No data given</v>
      </c>
      <c r="F247" s="44" t="str">
        <f t="shared" si="10"/>
        <v>No data given</v>
      </c>
      <c r="G247" s="45" t="str">
        <f t="shared" si="11"/>
        <v>No data given</v>
      </c>
    </row>
    <row r="248" spans="5:7" x14ac:dyDescent="0.25">
      <c r="E248" s="1" t="str">
        <f t="shared" si="9"/>
        <v>No data given</v>
      </c>
      <c r="F248" s="44" t="str">
        <f t="shared" si="10"/>
        <v>No data given</v>
      </c>
      <c r="G248" s="45" t="str">
        <f t="shared" si="11"/>
        <v>No data given</v>
      </c>
    </row>
    <row r="249" spans="5:7" x14ac:dyDescent="0.25">
      <c r="E249" s="1" t="str">
        <f t="shared" si="9"/>
        <v>No data given</v>
      </c>
      <c r="F249" s="44" t="str">
        <f t="shared" si="10"/>
        <v>No data given</v>
      </c>
      <c r="G249" s="45" t="str">
        <f t="shared" si="11"/>
        <v>No data given</v>
      </c>
    </row>
    <row r="250" spans="5:7" x14ac:dyDescent="0.25">
      <c r="E250" s="1" t="str">
        <f t="shared" si="9"/>
        <v>No data given</v>
      </c>
      <c r="F250" s="44" t="str">
        <f t="shared" si="10"/>
        <v>No data given</v>
      </c>
      <c r="G250" s="45" t="str">
        <f t="shared" si="11"/>
        <v>No data given</v>
      </c>
    </row>
    <row r="251" spans="5:7" x14ac:dyDescent="0.25">
      <c r="E251" s="1" t="str">
        <f t="shared" si="9"/>
        <v>No data given</v>
      </c>
      <c r="F251" s="44" t="str">
        <f t="shared" si="10"/>
        <v>No data given</v>
      </c>
      <c r="G251" s="45" t="str">
        <f t="shared" si="11"/>
        <v>No data given</v>
      </c>
    </row>
    <row r="252" spans="5:7" x14ac:dyDescent="0.25">
      <c r="E252" s="1" t="str">
        <f t="shared" si="9"/>
        <v>No data given</v>
      </c>
      <c r="F252" s="44" t="str">
        <f t="shared" si="10"/>
        <v>No data given</v>
      </c>
      <c r="G252" s="45" t="str">
        <f t="shared" si="11"/>
        <v>No data given</v>
      </c>
    </row>
    <row r="253" spans="5:7" x14ac:dyDescent="0.25">
      <c r="E253" s="1" t="str">
        <f t="shared" si="9"/>
        <v>No data given</v>
      </c>
      <c r="F253" s="44" t="str">
        <f t="shared" si="10"/>
        <v>No data given</v>
      </c>
      <c r="G253" s="45" t="str">
        <f t="shared" si="11"/>
        <v>No data given</v>
      </c>
    </row>
    <row r="254" spans="5:7" x14ac:dyDescent="0.25">
      <c r="E254" s="1" t="str">
        <f t="shared" si="9"/>
        <v>No data given</v>
      </c>
      <c r="F254" s="44" t="str">
        <f t="shared" si="10"/>
        <v>No data given</v>
      </c>
      <c r="G254" s="45" t="str">
        <f t="shared" si="11"/>
        <v>No data given</v>
      </c>
    </row>
    <row r="255" spans="5:7" x14ac:dyDescent="0.25">
      <c r="E255" s="1" t="str">
        <f t="shared" si="9"/>
        <v>No data given</v>
      </c>
      <c r="F255" s="44" t="str">
        <f t="shared" si="10"/>
        <v>No data given</v>
      </c>
      <c r="G255" s="45" t="str">
        <f t="shared" si="11"/>
        <v>No data given</v>
      </c>
    </row>
    <row r="256" spans="5:7" x14ac:dyDescent="0.25">
      <c r="E256" s="1" t="str">
        <f t="shared" si="9"/>
        <v>No data given</v>
      </c>
      <c r="F256" s="44" t="str">
        <f t="shared" si="10"/>
        <v>No data given</v>
      </c>
      <c r="G256" s="45" t="str">
        <f t="shared" si="11"/>
        <v>No data given</v>
      </c>
    </row>
    <row r="257" spans="5:7" x14ac:dyDescent="0.25">
      <c r="E257" s="1" t="str">
        <f t="shared" si="9"/>
        <v>No data given</v>
      </c>
      <c r="F257" s="44" t="str">
        <f t="shared" si="10"/>
        <v>No data given</v>
      </c>
      <c r="G257" s="45" t="str">
        <f t="shared" si="11"/>
        <v>No data given</v>
      </c>
    </row>
    <row r="258" spans="5:7" x14ac:dyDescent="0.25">
      <c r="E258" s="1" t="str">
        <f t="shared" si="9"/>
        <v>No data given</v>
      </c>
      <c r="F258" s="44" t="str">
        <f t="shared" si="10"/>
        <v>No data given</v>
      </c>
      <c r="G258" s="45" t="str">
        <f t="shared" si="11"/>
        <v>No data given</v>
      </c>
    </row>
    <row r="259" spans="5:7" x14ac:dyDescent="0.25">
      <c r="E259" s="1" t="str">
        <f t="shared" si="9"/>
        <v>No data given</v>
      </c>
      <c r="F259" s="44" t="str">
        <f t="shared" si="10"/>
        <v>No data given</v>
      </c>
      <c r="G259" s="45" t="str">
        <f t="shared" si="11"/>
        <v>No data given</v>
      </c>
    </row>
    <row r="260" spans="5:7" x14ac:dyDescent="0.25">
      <c r="E260" s="1" t="str">
        <f t="shared" si="9"/>
        <v>No data given</v>
      </c>
      <c r="F260" s="44" t="str">
        <f t="shared" si="10"/>
        <v>No data given</v>
      </c>
      <c r="G260" s="45" t="str">
        <f t="shared" si="11"/>
        <v>No data given</v>
      </c>
    </row>
    <row r="261" spans="5:7" x14ac:dyDescent="0.25">
      <c r="E261" s="1" t="str">
        <f t="shared" ref="E261:E324" si="12">IF(B261="","No data given",IF(F261&lt;=D261,"Pass",IF(F261&lt;=(D261+C261),"No Impact","Fail")))</f>
        <v>No data given</v>
      </c>
      <c r="F261" s="44" t="str">
        <f t="shared" si="10"/>
        <v>No data given</v>
      </c>
      <c r="G261" s="45" t="str">
        <f t="shared" si="11"/>
        <v>No data given</v>
      </c>
    </row>
    <row r="262" spans="5:7" x14ac:dyDescent="0.25">
      <c r="E262" s="1" t="str">
        <f t="shared" si="12"/>
        <v>No data given</v>
      </c>
      <c r="F262" s="44" t="str">
        <f t="shared" ref="F262:F325" si="13">IF(B262="","No data given",ABS(A262-B262))</f>
        <v>No data given</v>
      </c>
      <c r="G262" s="45" t="str">
        <f t="shared" si="11"/>
        <v>No data given</v>
      </c>
    </row>
    <row r="263" spans="5:7" x14ac:dyDescent="0.25">
      <c r="E263" s="1" t="str">
        <f t="shared" si="12"/>
        <v>No data given</v>
      </c>
      <c r="F263" s="44" t="str">
        <f t="shared" si="13"/>
        <v>No data given</v>
      </c>
      <c r="G263" s="45" t="str">
        <f t="shared" ref="G263:G326" si="14">IF(B263="","No data given",IF(E263&lt;&gt;"Fail",0,F263/A263))</f>
        <v>No data given</v>
      </c>
    </row>
    <row r="264" spans="5:7" x14ac:dyDescent="0.25">
      <c r="E264" s="1" t="str">
        <f t="shared" si="12"/>
        <v>No data given</v>
      </c>
      <c r="F264" s="44" t="str">
        <f t="shared" si="13"/>
        <v>No data given</v>
      </c>
      <c r="G264" s="45" t="str">
        <f t="shared" si="14"/>
        <v>No data given</v>
      </c>
    </row>
    <row r="265" spans="5:7" x14ac:dyDescent="0.25">
      <c r="E265" s="1" t="str">
        <f t="shared" si="12"/>
        <v>No data given</v>
      </c>
      <c r="F265" s="44" t="str">
        <f t="shared" si="13"/>
        <v>No data given</v>
      </c>
      <c r="G265" s="45" t="str">
        <f t="shared" si="14"/>
        <v>No data given</v>
      </c>
    </row>
    <row r="266" spans="5:7" x14ac:dyDescent="0.25">
      <c r="E266" s="1" t="str">
        <f t="shared" si="12"/>
        <v>No data given</v>
      </c>
      <c r="F266" s="44" t="str">
        <f t="shared" si="13"/>
        <v>No data given</v>
      </c>
      <c r="G266" s="45" t="str">
        <f t="shared" si="14"/>
        <v>No data given</v>
      </c>
    </row>
    <row r="267" spans="5:7" x14ac:dyDescent="0.25">
      <c r="E267" s="1" t="str">
        <f t="shared" si="12"/>
        <v>No data given</v>
      </c>
      <c r="F267" s="44" t="str">
        <f t="shared" si="13"/>
        <v>No data given</v>
      </c>
      <c r="G267" s="45" t="str">
        <f t="shared" si="14"/>
        <v>No data given</v>
      </c>
    </row>
    <row r="268" spans="5:7" x14ac:dyDescent="0.25">
      <c r="E268" s="1" t="str">
        <f t="shared" si="12"/>
        <v>No data given</v>
      </c>
      <c r="F268" s="44" t="str">
        <f t="shared" si="13"/>
        <v>No data given</v>
      </c>
      <c r="G268" s="45" t="str">
        <f t="shared" si="14"/>
        <v>No data given</v>
      </c>
    </row>
    <row r="269" spans="5:7" x14ac:dyDescent="0.25">
      <c r="E269" s="1" t="str">
        <f t="shared" si="12"/>
        <v>No data given</v>
      </c>
      <c r="F269" s="44" t="str">
        <f t="shared" si="13"/>
        <v>No data given</v>
      </c>
      <c r="G269" s="45" t="str">
        <f t="shared" si="14"/>
        <v>No data given</v>
      </c>
    </row>
    <row r="270" spans="5:7" x14ac:dyDescent="0.25">
      <c r="E270" s="1" t="str">
        <f t="shared" si="12"/>
        <v>No data given</v>
      </c>
      <c r="F270" s="44" t="str">
        <f t="shared" si="13"/>
        <v>No data given</v>
      </c>
      <c r="G270" s="45" t="str">
        <f t="shared" si="14"/>
        <v>No data given</v>
      </c>
    </row>
    <row r="271" spans="5:7" x14ac:dyDescent="0.25">
      <c r="E271" s="1" t="str">
        <f t="shared" si="12"/>
        <v>No data given</v>
      </c>
      <c r="F271" s="44" t="str">
        <f t="shared" si="13"/>
        <v>No data given</v>
      </c>
      <c r="G271" s="45" t="str">
        <f t="shared" si="14"/>
        <v>No data given</v>
      </c>
    </row>
    <row r="272" spans="5:7" x14ac:dyDescent="0.25">
      <c r="E272" s="1" t="str">
        <f t="shared" si="12"/>
        <v>No data given</v>
      </c>
      <c r="F272" s="44" t="str">
        <f t="shared" si="13"/>
        <v>No data given</v>
      </c>
      <c r="G272" s="45" t="str">
        <f t="shared" si="14"/>
        <v>No data given</v>
      </c>
    </row>
    <row r="273" spans="5:7" x14ac:dyDescent="0.25">
      <c r="E273" s="1" t="str">
        <f t="shared" si="12"/>
        <v>No data given</v>
      </c>
      <c r="F273" s="44" t="str">
        <f t="shared" si="13"/>
        <v>No data given</v>
      </c>
      <c r="G273" s="45" t="str">
        <f t="shared" si="14"/>
        <v>No data given</v>
      </c>
    </row>
    <row r="274" spans="5:7" x14ac:dyDescent="0.25">
      <c r="E274" s="1" t="str">
        <f t="shared" si="12"/>
        <v>No data given</v>
      </c>
      <c r="F274" s="44" t="str">
        <f t="shared" si="13"/>
        <v>No data given</v>
      </c>
      <c r="G274" s="45" t="str">
        <f t="shared" si="14"/>
        <v>No data given</v>
      </c>
    </row>
    <row r="275" spans="5:7" x14ac:dyDescent="0.25">
      <c r="E275" s="1" t="str">
        <f t="shared" si="12"/>
        <v>No data given</v>
      </c>
      <c r="F275" s="44" t="str">
        <f t="shared" si="13"/>
        <v>No data given</v>
      </c>
      <c r="G275" s="45" t="str">
        <f t="shared" si="14"/>
        <v>No data given</v>
      </c>
    </row>
    <row r="276" spans="5:7" x14ac:dyDescent="0.25">
      <c r="E276" s="1" t="str">
        <f t="shared" si="12"/>
        <v>No data given</v>
      </c>
      <c r="F276" s="44" t="str">
        <f t="shared" si="13"/>
        <v>No data given</v>
      </c>
      <c r="G276" s="45" t="str">
        <f t="shared" si="14"/>
        <v>No data given</v>
      </c>
    </row>
    <row r="277" spans="5:7" x14ac:dyDescent="0.25">
      <c r="E277" s="1" t="str">
        <f t="shared" si="12"/>
        <v>No data given</v>
      </c>
      <c r="F277" s="44" t="str">
        <f t="shared" si="13"/>
        <v>No data given</v>
      </c>
      <c r="G277" s="45" t="str">
        <f t="shared" si="14"/>
        <v>No data given</v>
      </c>
    </row>
    <row r="278" spans="5:7" x14ac:dyDescent="0.25">
      <c r="E278" s="1" t="str">
        <f t="shared" si="12"/>
        <v>No data given</v>
      </c>
      <c r="F278" s="44" t="str">
        <f t="shared" si="13"/>
        <v>No data given</v>
      </c>
      <c r="G278" s="45" t="str">
        <f t="shared" si="14"/>
        <v>No data given</v>
      </c>
    </row>
    <row r="279" spans="5:7" x14ac:dyDescent="0.25">
      <c r="E279" s="1" t="str">
        <f t="shared" si="12"/>
        <v>No data given</v>
      </c>
      <c r="F279" s="44" t="str">
        <f t="shared" si="13"/>
        <v>No data given</v>
      </c>
      <c r="G279" s="45" t="str">
        <f t="shared" si="14"/>
        <v>No data given</v>
      </c>
    </row>
    <row r="280" spans="5:7" x14ac:dyDescent="0.25">
      <c r="E280" s="1" t="str">
        <f t="shared" si="12"/>
        <v>No data given</v>
      </c>
      <c r="F280" s="44" t="str">
        <f t="shared" si="13"/>
        <v>No data given</v>
      </c>
      <c r="G280" s="45" t="str">
        <f t="shared" si="14"/>
        <v>No data given</v>
      </c>
    </row>
    <row r="281" spans="5:7" x14ac:dyDescent="0.25">
      <c r="E281" s="1" t="str">
        <f t="shared" si="12"/>
        <v>No data given</v>
      </c>
      <c r="F281" s="44" t="str">
        <f t="shared" si="13"/>
        <v>No data given</v>
      </c>
      <c r="G281" s="45" t="str">
        <f t="shared" si="14"/>
        <v>No data given</v>
      </c>
    </row>
    <row r="282" spans="5:7" x14ac:dyDescent="0.25">
      <c r="E282" s="1" t="str">
        <f t="shared" si="12"/>
        <v>No data given</v>
      </c>
      <c r="F282" s="44" t="str">
        <f t="shared" si="13"/>
        <v>No data given</v>
      </c>
      <c r="G282" s="45" t="str">
        <f t="shared" si="14"/>
        <v>No data given</v>
      </c>
    </row>
    <row r="283" spans="5:7" x14ac:dyDescent="0.25">
      <c r="E283" s="1" t="str">
        <f t="shared" si="12"/>
        <v>No data given</v>
      </c>
      <c r="F283" s="44" t="str">
        <f t="shared" si="13"/>
        <v>No data given</v>
      </c>
      <c r="G283" s="45" t="str">
        <f t="shared" si="14"/>
        <v>No data given</v>
      </c>
    </row>
    <row r="284" spans="5:7" x14ac:dyDescent="0.25">
      <c r="E284" s="1" t="str">
        <f t="shared" si="12"/>
        <v>No data given</v>
      </c>
      <c r="F284" s="44" t="str">
        <f t="shared" si="13"/>
        <v>No data given</v>
      </c>
      <c r="G284" s="45" t="str">
        <f t="shared" si="14"/>
        <v>No data given</v>
      </c>
    </row>
    <row r="285" spans="5:7" x14ac:dyDescent="0.25">
      <c r="E285" s="1" t="str">
        <f t="shared" si="12"/>
        <v>No data given</v>
      </c>
      <c r="F285" s="44" t="str">
        <f t="shared" si="13"/>
        <v>No data given</v>
      </c>
      <c r="G285" s="45" t="str">
        <f t="shared" si="14"/>
        <v>No data given</v>
      </c>
    </row>
    <row r="286" spans="5:7" x14ac:dyDescent="0.25">
      <c r="E286" s="1" t="str">
        <f t="shared" si="12"/>
        <v>No data given</v>
      </c>
      <c r="F286" s="44" t="str">
        <f t="shared" si="13"/>
        <v>No data given</v>
      </c>
      <c r="G286" s="45" t="str">
        <f t="shared" si="14"/>
        <v>No data given</v>
      </c>
    </row>
    <row r="287" spans="5:7" x14ac:dyDescent="0.25">
      <c r="E287" s="1" t="str">
        <f t="shared" si="12"/>
        <v>No data given</v>
      </c>
      <c r="F287" s="44" t="str">
        <f t="shared" si="13"/>
        <v>No data given</v>
      </c>
      <c r="G287" s="45" t="str">
        <f t="shared" si="14"/>
        <v>No data given</v>
      </c>
    </row>
    <row r="288" spans="5:7" x14ac:dyDescent="0.25">
      <c r="E288" s="1" t="str">
        <f t="shared" si="12"/>
        <v>No data given</v>
      </c>
      <c r="F288" s="44" t="str">
        <f t="shared" si="13"/>
        <v>No data given</v>
      </c>
      <c r="G288" s="45" t="str">
        <f t="shared" si="14"/>
        <v>No data given</v>
      </c>
    </row>
    <row r="289" spans="5:7" x14ac:dyDescent="0.25">
      <c r="E289" s="1" t="str">
        <f t="shared" si="12"/>
        <v>No data given</v>
      </c>
      <c r="F289" s="44" t="str">
        <f t="shared" si="13"/>
        <v>No data given</v>
      </c>
      <c r="G289" s="45" t="str">
        <f t="shared" si="14"/>
        <v>No data given</v>
      </c>
    </row>
    <row r="290" spans="5:7" x14ac:dyDescent="0.25">
      <c r="E290" s="1" t="str">
        <f t="shared" si="12"/>
        <v>No data given</v>
      </c>
      <c r="F290" s="44" t="str">
        <f t="shared" si="13"/>
        <v>No data given</v>
      </c>
      <c r="G290" s="45" t="str">
        <f t="shared" si="14"/>
        <v>No data given</v>
      </c>
    </row>
    <row r="291" spans="5:7" x14ac:dyDescent="0.25">
      <c r="E291" s="1" t="str">
        <f t="shared" si="12"/>
        <v>No data given</v>
      </c>
      <c r="F291" s="44" t="str">
        <f t="shared" si="13"/>
        <v>No data given</v>
      </c>
      <c r="G291" s="45" t="str">
        <f t="shared" si="14"/>
        <v>No data given</v>
      </c>
    </row>
    <row r="292" spans="5:7" x14ac:dyDescent="0.25">
      <c r="E292" s="1" t="str">
        <f t="shared" si="12"/>
        <v>No data given</v>
      </c>
      <c r="F292" s="44" t="str">
        <f t="shared" si="13"/>
        <v>No data given</v>
      </c>
      <c r="G292" s="45" t="str">
        <f t="shared" si="14"/>
        <v>No data given</v>
      </c>
    </row>
    <row r="293" spans="5:7" x14ac:dyDescent="0.25">
      <c r="E293" s="1" t="str">
        <f t="shared" si="12"/>
        <v>No data given</v>
      </c>
      <c r="F293" s="44" t="str">
        <f t="shared" si="13"/>
        <v>No data given</v>
      </c>
      <c r="G293" s="45" t="str">
        <f t="shared" si="14"/>
        <v>No data given</v>
      </c>
    </row>
    <row r="294" spans="5:7" x14ac:dyDescent="0.25">
      <c r="E294" s="1" t="str">
        <f t="shared" si="12"/>
        <v>No data given</v>
      </c>
      <c r="F294" s="44" t="str">
        <f t="shared" si="13"/>
        <v>No data given</v>
      </c>
      <c r="G294" s="45" t="str">
        <f t="shared" si="14"/>
        <v>No data given</v>
      </c>
    </row>
    <row r="295" spans="5:7" x14ac:dyDescent="0.25">
      <c r="E295" s="1" t="str">
        <f t="shared" si="12"/>
        <v>No data given</v>
      </c>
      <c r="F295" s="44" t="str">
        <f t="shared" si="13"/>
        <v>No data given</v>
      </c>
      <c r="G295" s="45" t="str">
        <f t="shared" si="14"/>
        <v>No data given</v>
      </c>
    </row>
    <row r="296" spans="5:7" x14ac:dyDescent="0.25">
      <c r="E296" s="1" t="str">
        <f t="shared" si="12"/>
        <v>No data given</v>
      </c>
      <c r="F296" s="44" t="str">
        <f t="shared" si="13"/>
        <v>No data given</v>
      </c>
      <c r="G296" s="45" t="str">
        <f t="shared" si="14"/>
        <v>No data given</v>
      </c>
    </row>
    <row r="297" spans="5:7" x14ac:dyDescent="0.25">
      <c r="E297" s="1" t="str">
        <f t="shared" si="12"/>
        <v>No data given</v>
      </c>
      <c r="F297" s="44" t="str">
        <f t="shared" si="13"/>
        <v>No data given</v>
      </c>
      <c r="G297" s="45" t="str">
        <f t="shared" si="14"/>
        <v>No data given</v>
      </c>
    </row>
    <row r="298" spans="5:7" x14ac:dyDescent="0.25">
      <c r="E298" s="1" t="str">
        <f t="shared" si="12"/>
        <v>No data given</v>
      </c>
      <c r="F298" s="44" t="str">
        <f t="shared" si="13"/>
        <v>No data given</v>
      </c>
      <c r="G298" s="45" t="str">
        <f t="shared" si="14"/>
        <v>No data given</v>
      </c>
    </row>
    <row r="299" spans="5:7" x14ac:dyDescent="0.25">
      <c r="E299" s="1" t="str">
        <f t="shared" si="12"/>
        <v>No data given</v>
      </c>
      <c r="F299" s="44" t="str">
        <f t="shared" si="13"/>
        <v>No data given</v>
      </c>
      <c r="G299" s="45" t="str">
        <f t="shared" si="14"/>
        <v>No data given</v>
      </c>
    </row>
    <row r="300" spans="5:7" x14ac:dyDescent="0.25">
      <c r="E300" s="1" t="str">
        <f t="shared" si="12"/>
        <v>No data given</v>
      </c>
      <c r="F300" s="44" t="str">
        <f t="shared" si="13"/>
        <v>No data given</v>
      </c>
      <c r="G300" s="45" t="str">
        <f t="shared" si="14"/>
        <v>No data given</v>
      </c>
    </row>
    <row r="301" spans="5:7" x14ac:dyDescent="0.25">
      <c r="E301" s="1" t="str">
        <f t="shared" si="12"/>
        <v>No data given</v>
      </c>
      <c r="F301" s="44" t="str">
        <f t="shared" si="13"/>
        <v>No data given</v>
      </c>
      <c r="G301" s="45" t="str">
        <f t="shared" si="14"/>
        <v>No data given</v>
      </c>
    </row>
    <row r="302" spans="5:7" x14ac:dyDescent="0.25">
      <c r="E302" s="1" t="str">
        <f t="shared" si="12"/>
        <v>No data given</v>
      </c>
      <c r="F302" s="44" t="str">
        <f t="shared" si="13"/>
        <v>No data given</v>
      </c>
      <c r="G302" s="45" t="str">
        <f t="shared" si="14"/>
        <v>No data given</v>
      </c>
    </row>
    <row r="303" spans="5:7" x14ac:dyDescent="0.25">
      <c r="E303" s="1" t="str">
        <f t="shared" si="12"/>
        <v>No data given</v>
      </c>
      <c r="F303" s="44" t="str">
        <f t="shared" si="13"/>
        <v>No data given</v>
      </c>
      <c r="G303" s="45" t="str">
        <f t="shared" si="14"/>
        <v>No data given</v>
      </c>
    </row>
    <row r="304" spans="5:7" x14ac:dyDescent="0.25">
      <c r="E304" s="1" t="str">
        <f t="shared" si="12"/>
        <v>No data given</v>
      </c>
      <c r="F304" s="44" t="str">
        <f t="shared" si="13"/>
        <v>No data given</v>
      </c>
      <c r="G304" s="45" t="str">
        <f t="shared" si="14"/>
        <v>No data given</v>
      </c>
    </row>
    <row r="305" spans="5:7" x14ac:dyDescent="0.25">
      <c r="E305" s="1" t="str">
        <f t="shared" si="12"/>
        <v>No data given</v>
      </c>
      <c r="F305" s="44" t="str">
        <f t="shared" si="13"/>
        <v>No data given</v>
      </c>
      <c r="G305" s="45" t="str">
        <f t="shared" si="14"/>
        <v>No data given</v>
      </c>
    </row>
    <row r="306" spans="5:7" x14ac:dyDescent="0.25">
      <c r="E306" s="1" t="str">
        <f t="shared" si="12"/>
        <v>No data given</v>
      </c>
      <c r="F306" s="44" t="str">
        <f t="shared" si="13"/>
        <v>No data given</v>
      </c>
      <c r="G306" s="45" t="str">
        <f t="shared" si="14"/>
        <v>No data given</v>
      </c>
    </row>
    <row r="307" spans="5:7" x14ac:dyDescent="0.25">
      <c r="E307" s="1" t="str">
        <f t="shared" si="12"/>
        <v>No data given</v>
      </c>
      <c r="F307" s="44" t="str">
        <f t="shared" si="13"/>
        <v>No data given</v>
      </c>
      <c r="G307" s="45" t="str">
        <f t="shared" si="14"/>
        <v>No data given</v>
      </c>
    </row>
    <row r="308" spans="5:7" x14ac:dyDescent="0.25">
      <c r="E308" s="1" t="str">
        <f t="shared" si="12"/>
        <v>No data given</v>
      </c>
      <c r="F308" s="44" t="str">
        <f t="shared" si="13"/>
        <v>No data given</v>
      </c>
      <c r="G308" s="45" t="str">
        <f t="shared" si="14"/>
        <v>No data given</v>
      </c>
    </row>
    <row r="309" spans="5:7" x14ac:dyDescent="0.25">
      <c r="E309" s="1" t="str">
        <f t="shared" si="12"/>
        <v>No data given</v>
      </c>
      <c r="F309" s="44" t="str">
        <f t="shared" si="13"/>
        <v>No data given</v>
      </c>
      <c r="G309" s="45" t="str">
        <f t="shared" si="14"/>
        <v>No data given</v>
      </c>
    </row>
    <row r="310" spans="5:7" x14ac:dyDescent="0.25">
      <c r="E310" s="1" t="str">
        <f t="shared" si="12"/>
        <v>No data given</v>
      </c>
      <c r="F310" s="44" t="str">
        <f t="shared" si="13"/>
        <v>No data given</v>
      </c>
      <c r="G310" s="45" t="str">
        <f t="shared" si="14"/>
        <v>No data given</v>
      </c>
    </row>
    <row r="311" spans="5:7" x14ac:dyDescent="0.25">
      <c r="E311" s="1" t="str">
        <f t="shared" si="12"/>
        <v>No data given</v>
      </c>
      <c r="F311" s="44" t="str">
        <f t="shared" si="13"/>
        <v>No data given</v>
      </c>
      <c r="G311" s="45" t="str">
        <f t="shared" si="14"/>
        <v>No data given</v>
      </c>
    </row>
    <row r="312" spans="5:7" x14ac:dyDescent="0.25">
      <c r="E312" s="1" t="str">
        <f t="shared" si="12"/>
        <v>No data given</v>
      </c>
      <c r="F312" s="44" t="str">
        <f t="shared" si="13"/>
        <v>No data given</v>
      </c>
      <c r="G312" s="45" t="str">
        <f t="shared" si="14"/>
        <v>No data given</v>
      </c>
    </row>
    <row r="313" spans="5:7" x14ac:dyDescent="0.25">
      <c r="E313" s="1" t="str">
        <f t="shared" si="12"/>
        <v>No data given</v>
      </c>
      <c r="F313" s="44" t="str">
        <f t="shared" si="13"/>
        <v>No data given</v>
      </c>
      <c r="G313" s="45" t="str">
        <f t="shared" si="14"/>
        <v>No data given</v>
      </c>
    </row>
    <row r="314" spans="5:7" x14ac:dyDescent="0.25">
      <c r="E314" s="1" t="str">
        <f t="shared" si="12"/>
        <v>No data given</v>
      </c>
      <c r="F314" s="44" t="str">
        <f t="shared" si="13"/>
        <v>No data given</v>
      </c>
      <c r="G314" s="45" t="str">
        <f t="shared" si="14"/>
        <v>No data given</v>
      </c>
    </row>
    <row r="315" spans="5:7" x14ac:dyDescent="0.25">
      <c r="E315" s="1" t="str">
        <f t="shared" si="12"/>
        <v>No data given</v>
      </c>
      <c r="F315" s="44" t="str">
        <f t="shared" si="13"/>
        <v>No data given</v>
      </c>
      <c r="G315" s="45" t="str">
        <f t="shared" si="14"/>
        <v>No data given</v>
      </c>
    </row>
    <row r="316" spans="5:7" x14ac:dyDescent="0.25">
      <c r="E316" s="1" t="str">
        <f t="shared" si="12"/>
        <v>No data given</v>
      </c>
      <c r="F316" s="44" t="str">
        <f t="shared" si="13"/>
        <v>No data given</v>
      </c>
      <c r="G316" s="45" t="str">
        <f t="shared" si="14"/>
        <v>No data given</v>
      </c>
    </row>
    <row r="317" spans="5:7" x14ac:dyDescent="0.25">
      <c r="E317" s="1" t="str">
        <f t="shared" si="12"/>
        <v>No data given</v>
      </c>
      <c r="F317" s="44" t="str">
        <f t="shared" si="13"/>
        <v>No data given</v>
      </c>
      <c r="G317" s="45" t="str">
        <f t="shared" si="14"/>
        <v>No data given</v>
      </c>
    </row>
    <row r="318" spans="5:7" x14ac:dyDescent="0.25">
      <c r="E318" s="1" t="str">
        <f t="shared" si="12"/>
        <v>No data given</v>
      </c>
      <c r="F318" s="44" t="str">
        <f t="shared" si="13"/>
        <v>No data given</v>
      </c>
      <c r="G318" s="45" t="str">
        <f t="shared" si="14"/>
        <v>No data given</v>
      </c>
    </row>
    <row r="319" spans="5:7" x14ac:dyDescent="0.25">
      <c r="E319" s="1" t="str">
        <f t="shared" si="12"/>
        <v>No data given</v>
      </c>
      <c r="F319" s="44" t="str">
        <f t="shared" si="13"/>
        <v>No data given</v>
      </c>
      <c r="G319" s="45" t="str">
        <f t="shared" si="14"/>
        <v>No data given</v>
      </c>
    </row>
    <row r="320" spans="5:7" x14ac:dyDescent="0.25">
      <c r="E320" s="1" t="str">
        <f t="shared" si="12"/>
        <v>No data given</v>
      </c>
      <c r="F320" s="44" t="str">
        <f t="shared" si="13"/>
        <v>No data given</v>
      </c>
      <c r="G320" s="45" t="str">
        <f t="shared" si="14"/>
        <v>No data given</v>
      </c>
    </row>
    <row r="321" spans="5:7" x14ac:dyDescent="0.25">
      <c r="E321" s="1" t="str">
        <f t="shared" si="12"/>
        <v>No data given</v>
      </c>
      <c r="F321" s="44" t="str">
        <f t="shared" si="13"/>
        <v>No data given</v>
      </c>
      <c r="G321" s="45" t="str">
        <f t="shared" si="14"/>
        <v>No data given</v>
      </c>
    </row>
    <row r="322" spans="5:7" x14ac:dyDescent="0.25">
      <c r="E322" s="1" t="str">
        <f t="shared" si="12"/>
        <v>No data given</v>
      </c>
      <c r="F322" s="44" t="str">
        <f t="shared" si="13"/>
        <v>No data given</v>
      </c>
      <c r="G322" s="45" t="str">
        <f t="shared" si="14"/>
        <v>No data given</v>
      </c>
    </row>
    <row r="323" spans="5:7" x14ac:dyDescent="0.25">
      <c r="E323" s="1" t="str">
        <f t="shared" si="12"/>
        <v>No data given</v>
      </c>
      <c r="F323" s="44" t="str">
        <f t="shared" si="13"/>
        <v>No data given</v>
      </c>
      <c r="G323" s="45" t="str">
        <f t="shared" si="14"/>
        <v>No data given</v>
      </c>
    </row>
    <row r="324" spans="5:7" x14ac:dyDescent="0.25">
      <c r="E324" s="1" t="str">
        <f t="shared" si="12"/>
        <v>No data given</v>
      </c>
      <c r="F324" s="44" t="str">
        <f t="shared" si="13"/>
        <v>No data given</v>
      </c>
      <c r="G324" s="45" t="str">
        <f t="shared" si="14"/>
        <v>No data given</v>
      </c>
    </row>
    <row r="325" spans="5:7" x14ac:dyDescent="0.25">
      <c r="E325" s="1" t="str">
        <f t="shared" ref="E325:E388" si="15">IF(B325="","No data given",IF(F325&lt;=D325,"Pass",IF(F325&lt;=(D325+C325),"No Impact","Fail")))</f>
        <v>No data given</v>
      </c>
      <c r="F325" s="44" t="str">
        <f t="shared" si="13"/>
        <v>No data given</v>
      </c>
      <c r="G325" s="45" t="str">
        <f t="shared" si="14"/>
        <v>No data given</v>
      </c>
    </row>
    <row r="326" spans="5:7" x14ac:dyDescent="0.25">
      <c r="E326" s="1" t="str">
        <f t="shared" si="15"/>
        <v>No data given</v>
      </c>
      <c r="F326" s="44" t="str">
        <f t="shared" ref="F326:F389" si="16">IF(B326="","No data given",ABS(A326-B326))</f>
        <v>No data given</v>
      </c>
      <c r="G326" s="45" t="str">
        <f t="shared" si="14"/>
        <v>No data given</v>
      </c>
    </row>
    <row r="327" spans="5:7" x14ac:dyDescent="0.25">
      <c r="E327" s="1" t="str">
        <f t="shared" si="15"/>
        <v>No data given</v>
      </c>
      <c r="F327" s="44" t="str">
        <f t="shared" si="16"/>
        <v>No data given</v>
      </c>
      <c r="G327" s="45" t="str">
        <f t="shared" ref="G327:G390" si="17">IF(B327="","No data given",IF(E327&lt;&gt;"Fail",0,F327/A327))</f>
        <v>No data given</v>
      </c>
    </row>
    <row r="328" spans="5:7" x14ac:dyDescent="0.25">
      <c r="E328" s="1" t="str">
        <f t="shared" si="15"/>
        <v>No data given</v>
      </c>
      <c r="F328" s="44" t="str">
        <f t="shared" si="16"/>
        <v>No data given</v>
      </c>
      <c r="G328" s="45" t="str">
        <f t="shared" si="17"/>
        <v>No data given</v>
      </c>
    </row>
    <row r="329" spans="5:7" x14ac:dyDescent="0.25">
      <c r="E329" s="1" t="str">
        <f t="shared" si="15"/>
        <v>No data given</v>
      </c>
      <c r="F329" s="44" t="str">
        <f t="shared" si="16"/>
        <v>No data given</v>
      </c>
      <c r="G329" s="45" t="str">
        <f t="shared" si="17"/>
        <v>No data given</v>
      </c>
    </row>
    <row r="330" spans="5:7" x14ac:dyDescent="0.25">
      <c r="E330" s="1" t="str">
        <f t="shared" si="15"/>
        <v>No data given</v>
      </c>
      <c r="F330" s="44" t="str">
        <f t="shared" si="16"/>
        <v>No data given</v>
      </c>
      <c r="G330" s="45" t="str">
        <f t="shared" si="17"/>
        <v>No data given</v>
      </c>
    </row>
    <row r="331" spans="5:7" x14ac:dyDescent="0.25">
      <c r="E331" s="1" t="str">
        <f t="shared" si="15"/>
        <v>No data given</v>
      </c>
      <c r="F331" s="44" t="str">
        <f t="shared" si="16"/>
        <v>No data given</v>
      </c>
      <c r="G331" s="45" t="str">
        <f t="shared" si="17"/>
        <v>No data given</v>
      </c>
    </row>
    <row r="332" spans="5:7" x14ac:dyDescent="0.25">
      <c r="E332" s="1" t="str">
        <f t="shared" si="15"/>
        <v>No data given</v>
      </c>
      <c r="F332" s="44" t="str">
        <f t="shared" si="16"/>
        <v>No data given</v>
      </c>
      <c r="G332" s="45" t="str">
        <f t="shared" si="17"/>
        <v>No data given</v>
      </c>
    </row>
    <row r="333" spans="5:7" x14ac:dyDescent="0.25">
      <c r="E333" s="1" t="str">
        <f t="shared" si="15"/>
        <v>No data given</v>
      </c>
      <c r="F333" s="44" t="str">
        <f t="shared" si="16"/>
        <v>No data given</v>
      </c>
      <c r="G333" s="45" t="str">
        <f t="shared" si="17"/>
        <v>No data given</v>
      </c>
    </row>
    <row r="334" spans="5:7" x14ac:dyDescent="0.25">
      <c r="E334" s="1" t="str">
        <f t="shared" si="15"/>
        <v>No data given</v>
      </c>
      <c r="F334" s="44" t="str">
        <f t="shared" si="16"/>
        <v>No data given</v>
      </c>
      <c r="G334" s="45" t="str">
        <f t="shared" si="17"/>
        <v>No data given</v>
      </c>
    </row>
    <row r="335" spans="5:7" x14ac:dyDescent="0.25">
      <c r="E335" s="1" t="str">
        <f t="shared" si="15"/>
        <v>No data given</v>
      </c>
      <c r="F335" s="44" t="str">
        <f t="shared" si="16"/>
        <v>No data given</v>
      </c>
      <c r="G335" s="45" t="str">
        <f t="shared" si="17"/>
        <v>No data given</v>
      </c>
    </row>
    <row r="336" spans="5:7" x14ac:dyDescent="0.25">
      <c r="E336" s="1" t="str">
        <f t="shared" si="15"/>
        <v>No data given</v>
      </c>
      <c r="F336" s="44" t="str">
        <f t="shared" si="16"/>
        <v>No data given</v>
      </c>
      <c r="G336" s="45" t="str">
        <f t="shared" si="17"/>
        <v>No data given</v>
      </c>
    </row>
    <row r="337" spans="5:7" x14ac:dyDescent="0.25">
      <c r="E337" s="1" t="str">
        <f t="shared" si="15"/>
        <v>No data given</v>
      </c>
      <c r="F337" s="44" t="str">
        <f t="shared" si="16"/>
        <v>No data given</v>
      </c>
      <c r="G337" s="45" t="str">
        <f t="shared" si="17"/>
        <v>No data given</v>
      </c>
    </row>
    <row r="338" spans="5:7" x14ac:dyDescent="0.25">
      <c r="E338" s="1" t="str">
        <f t="shared" si="15"/>
        <v>No data given</v>
      </c>
      <c r="F338" s="44" t="str">
        <f t="shared" si="16"/>
        <v>No data given</v>
      </c>
      <c r="G338" s="45" t="str">
        <f t="shared" si="17"/>
        <v>No data given</v>
      </c>
    </row>
    <row r="339" spans="5:7" x14ac:dyDescent="0.25">
      <c r="E339" s="1" t="str">
        <f t="shared" si="15"/>
        <v>No data given</v>
      </c>
      <c r="F339" s="44" t="str">
        <f t="shared" si="16"/>
        <v>No data given</v>
      </c>
      <c r="G339" s="45" t="str">
        <f t="shared" si="17"/>
        <v>No data given</v>
      </c>
    </row>
    <row r="340" spans="5:7" x14ac:dyDescent="0.25">
      <c r="E340" s="1" t="str">
        <f t="shared" si="15"/>
        <v>No data given</v>
      </c>
      <c r="F340" s="44" t="str">
        <f t="shared" si="16"/>
        <v>No data given</v>
      </c>
      <c r="G340" s="45" t="str">
        <f t="shared" si="17"/>
        <v>No data given</v>
      </c>
    </row>
    <row r="341" spans="5:7" x14ac:dyDescent="0.25">
      <c r="E341" s="1" t="str">
        <f t="shared" si="15"/>
        <v>No data given</v>
      </c>
      <c r="F341" s="44" t="str">
        <f t="shared" si="16"/>
        <v>No data given</v>
      </c>
      <c r="G341" s="45" t="str">
        <f t="shared" si="17"/>
        <v>No data given</v>
      </c>
    </row>
    <row r="342" spans="5:7" x14ac:dyDescent="0.25">
      <c r="E342" s="1" t="str">
        <f t="shared" si="15"/>
        <v>No data given</v>
      </c>
      <c r="F342" s="44" t="str">
        <f t="shared" si="16"/>
        <v>No data given</v>
      </c>
      <c r="G342" s="45" t="str">
        <f t="shared" si="17"/>
        <v>No data given</v>
      </c>
    </row>
    <row r="343" spans="5:7" x14ac:dyDescent="0.25">
      <c r="E343" s="1" t="str">
        <f t="shared" si="15"/>
        <v>No data given</v>
      </c>
      <c r="F343" s="44" t="str">
        <f t="shared" si="16"/>
        <v>No data given</v>
      </c>
      <c r="G343" s="45" t="str">
        <f t="shared" si="17"/>
        <v>No data given</v>
      </c>
    </row>
    <row r="344" spans="5:7" x14ac:dyDescent="0.25">
      <c r="E344" s="1" t="str">
        <f t="shared" si="15"/>
        <v>No data given</v>
      </c>
      <c r="F344" s="44" t="str">
        <f t="shared" si="16"/>
        <v>No data given</v>
      </c>
      <c r="G344" s="45" t="str">
        <f t="shared" si="17"/>
        <v>No data given</v>
      </c>
    </row>
    <row r="345" spans="5:7" x14ac:dyDescent="0.25">
      <c r="E345" s="1" t="str">
        <f t="shared" si="15"/>
        <v>No data given</v>
      </c>
      <c r="F345" s="44" t="str">
        <f t="shared" si="16"/>
        <v>No data given</v>
      </c>
      <c r="G345" s="45" t="str">
        <f t="shared" si="17"/>
        <v>No data given</v>
      </c>
    </row>
    <row r="346" spans="5:7" x14ac:dyDescent="0.25">
      <c r="E346" s="1" t="str">
        <f t="shared" si="15"/>
        <v>No data given</v>
      </c>
      <c r="F346" s="44" t="str">
        <f t="shared" si="16"/>
        <v>No data given</v>
      </c>
      <c r="G346" s="45" t="str">
        <f t="shared" si="17"/>
        <v>No data given</v>
      </c>
    </row>
    <row r="347" spans="5:7" x14ac:dyDescent="0.25">
      <c r="E347" s="1" t="str">
        <f t="shared" si="15"/>
        <v>No data given</v>
      </c>
      <c r="F347" s="44" t="str">
        <f t="shared" si="16"/>
        <v>No data given</v>
      </c>
      <c r="G347" s="45" t="str">
        <f t="shared" si="17"/>
        <v>No data given</v>
      </c>
    </row>
    <row r="348" spans="5:7" x14ac:dyDescent="0.25">
      <c r="E348" s="1" t="str">
        <f t="shared" si="15"/>
        <v>No data given</v>
      </c>
      <c r="F348" s="44" t="str">
        <f t="shared" si="16"/>
        <v>No data given</v>
      </c>
      <c r="G348" s="45" t="str">
        <f t="shared" si="17"/>
        <v>No data given</v>
      </c>
    </row>
    <row r="349" spans="5:7" x14ac:dyDescent="0.25">
      <c r="E349" s="1" t="str">
        <f t="shared" si="15"/>
        <v>No data given</v>
      </c>
      <c r="F349" s="44" t="str">
        <f t="shared" si="16"/>
        <v>No data given</v>
      </c>
      <c r="G349" s="45" t="str">
        <f t="shared" si="17"/>
        <v>No data given</v>
      </c>
    </row>
    <row r="350" spans="5:7" x14ac:dyDescent="0.25">
      <c r="E350" s="1" t="str">
        <f t="shared" si="15"/>
        <v>No data given</v>
      </c>
      <c r="F350" s="44" t="str">
        <f t="shared" si="16"/>
        <v>No data given</v>
      </c>
      <c r="G350" s="45" t="str">
        <f t="shared" si="17"/>
        <v>No data given</v>
      </c>
    </row>
    <row r="351" spans="5:7" x14ac:dyDescent="0.25">
      <c r="E351" s="1" t="str">
        <f t="shared" si="15"/>
        <v>No data given</v>
      </c>
      <c r="F351" s="44" t="str">
        <f t="shared" si="16"/>
        <v>No data given</v>
      </c>
      <c r="G351" s="45" t="str">
        <f t="shared" si="17"/>
        <v>No data given</v>
      </c>
    </row>
    <row r="352" spans="5:7" x14ac:dyDescent="0.25">
      <c r="E352" s="1" t="str">
        <f t="shared" si="15"/>
        <v>No data given</v>
      </c>
      <c r="F352" s="44" t="str">
        <f t="shared" si="16"/>
        <v>No data given</v>
      </c>
      <c r="G352" s="45" t="str">
        <f t="shared" si="17"/>
        <v>No data given</v>
      </c>
    </row>
    <row r="353" spans="5:7" x14ac:dyDescent="0.25">
      <c r="E353" s="1" t="str">
        <f t="shared" si="15"/>
        <v>No data given</v>
      </c>
      <c r="F353" s="44" t="str">
        <f t="shared" si="16"/>
        <v>No data given</v>
      </c>
      <c r="G353" s="45" t="str">
        <f t="shared" si="17"/>
        <v>No data given</v>
      </c>
    </row>
    <row r="354" spans="5:7" x14ac:dyDescent="0.25">
      <c r="E354" s="1" t="str">
        <f t="shared" si="15"/>
        <v>No data given</v>
      </c>
      <c r="F354" s="44" t="str">
        <f t="shared" si="16"/>
        <v>No data given</v>
      </c>
      <c r="G354" s="45" t="str">
        <f t="shared" si="17"/>
        <v>No data given</v>
      </c>
    </row>
    <row r="355" spans="5:7" x14ac:dyDescent="0.25">
      <c r="E355" s="1" t="str">
        <f t="shared" si="15"/>
        <v>No data given</v>
      </c>
      <c r="F355" s="44" t="str">
        <f t="shared" si="16"/>
        <v>No data given</v>
      </c>
      <c r="G355" s="45" t="str">
        <f t="shared" si="17"/>
        <v>No data given</v>
      </c>
    </row>
    <row r="356" spans="5:7" x14ac:dyDescent="0.25">
      <c r="E356" s="1" t="str">
        <f t="shared" si="15"/>
        <v>No data given</v>
      </c>
      <c r="F356" s="44" t="str">
        <f t="shared" si="16"/>
        <v>No data given</v>
      </c>
      <c r="G356" s="45" t="str">
        <f t="shared" si="17"/>
        <v>No data given</v>
      </c>
    </row>
    <row r="357" spans="5:7" x14ac:dyDescent="0.25">
      <c r="E357" s="1" t="str">
        <f t="shared" si="15"/>
        <v>No data given</v>
      </c>
      <c r="F357" s="44" t="str">
        <f t="shared" si="16"/>
        <v>No data given</v>
      </c>
      <c r="G357" s="45" t="str">
        <f t="shared" si="17"/>
        <v>No data given</v>
      </c>
    </row>
    <row r="358" spans="5:7" x14ac:dyDescent="0.25">
      <c r="E358" s="1" t="str">
        <f t="shared" si="15"/>
        <v>No data given</v>
      </c>
      <c r="F358" s="44" t="str">
        <f t="shared" si="16"/>
        <v>No data given</v>
      </c>
      <c r="G358" s="45" t="str">
        <f t="shared" si="17"/>
        <v>No data given</v>
      </c>
    </row>
    <row r="359" spans="5:7" x14ac:dyDescent="0.25">
      <c r="E359" s="1" t="str">
        <f t="shared" si="15"/>
        <v>No data given</v>
      </c>
      <c r="F359" s="44" t="str">
        <f t="shared" si="16"/>
        <v>No data given</v>
      </c>
      <c r="G359" s="45" t="str">
        <f t="shared" si="17"/>
        <v>No data given</v>
      </c>
    </row>
    <row r="360" spans="5:7" x14ac:dyDescent="0.25">
      <c r="E360" s="1" t="str">
        <f t="shared" si="15"/>
        <v>No data given</v>
      </c>
      <c r="F360" s="44" t="str">
        <f t="shared" si="16"/>
        <v>No data given</v>
      </c>
      <c r="G360" s="45" t="str">
        <f t="shared" si="17"/>
        <v>No data given</v>
      </c>
    </row>
    <row r="361" spans="5:7" x14ac:dyDescent="0.25">
      <c r="E361" s="1" t="str">
        <f t="shared" si="15"/>
        <v>No data given</v>
      </c>
      <c r="F361" s="44" t="str">
        <f t="shared" si="16"/>
        <v>No data given</v>
      </c>
      <c r="G361" s="45" t="str">
        <f t="shared" si="17"/>
        <v>No data given</v>
      </c>
    </row>
    <row r="362" spans="5:7" x14ac:dyDescent="0.25">
      <c r="E362" s="1" t="str">
        <f t="shared" si="15"/>
        <v>No data given</v>
      </c>
      <c r="F362" s="44" t="str">
        <f t="shared" si="16"/>
        <v>No data given</v>
      </c>
      <c r="G362" s="45" t="str">
        <f t="shared" si="17"/>
        <v>No data given</v>
      </c>
    </row>
    <row r="363" spans="5:7" x14ac:dyDescent="0.25">
      <c r="E363" s="1" t="str">
        <f t="shared" si="15"/>
        <v>No data given</v>
      </c>
      <c r="F363" s="44" t="str">
        <f t="shared" si="16"/>
        <v>No data given</v>
      </c>
      <c r="G363" s="45" t="str">
        <f t="shared" si="17"/>
        <v>No data given</v>
      </c>
    </row>
    <row r="364" spans="5:7" x14ac:dyDescent="0.25">
      <c r="E364" s="1" t="str">
        <f t="shared" si="15"/>
        <v>No data given</v>
      </c>
      <c r="F364" s="44" t="str">
        <f t="shared" si="16"/>
        <v>No data given</v>
      </c>
      <c r="G364" s="45" t="str">
        <f t="shared" si="17"/>
        <v>No data given</v>
      </c>
    </row>
    <row r="365" spans="5:7" x14ac:dyDescent="0.25">
      <c r="E365" s="1" t="str">
        <f t="shared" si="15"/>
        <v>No data given</v>
      </c>
      <c r="F365" s="44" t="str">
        <f t="shared" si="16"/>
        <v>No data given</v>
      </c>
      <c r="G365" s="45" t="str">
        <f t="shared" si="17"/>
        <v>No data given</v>
      </c>
    </row>
    <row r="366" spans="5:7" x14ac:dyDescent="0.25">
      <c r="E366" s="1" t="str">
        <f t="shared" si="15"/>
        <v>No data given</v>
      </c>
      <c r="F366" s="44" t="str">
        <f t="shared" si="16"/>
        <v>No data given</v>
      </c>
      <c r="G366" s="45" t="str">
        <f t="shared" si="17"/>
        <v>No data given</v>
      </c>
    </row>
    <row r="367" spans="5:7" x14ac:dyDescent="0.25">
      <c r="E367" s="1" t="str">
        <f t="shared" si="15"/>
        <v>No data given</v>
      </c>
      <c r="F367" s="44" t="str">
        <f t="shared" si="16"/>
        <v>No data given</v>
      </c>
      <c r="G367" s="45" t="str">
        <f t="shared" si="17"/>
        <v>No data given</v>
      </c>
    </row>
    <row r="368" spans="5:7" x14ac:dyDescent="0.25">
      <c r="E368" s="1" t="str">
        <f t="shared" si="15"/>
        <v>No data given</v>
      </c>
      <c r="F368" s="44" t="str">
        <f t="shared" si="16"/>
        <v>No data given</v>
      </c>
      <c r="G368" s="45" t="str">
        <f t="shared" si="17"/>
        <v>No data given</v>
      </c>
    </row>
    <row r="369" spans="5:7" x14ac:dyDescent="0.25">
      <c r="E369" s="1" t="str">
        <f t="shared" si="15"/>
        <v>No data given</v>
      </c>
      <c r="F369" s="44" t="str">
        <f t="shared" si="16"/>
        <v>No data given</v>
      </c>
      <c r="G369" s="45" t="str">
        <f t="shared" si="17"/>
        <v>No data given</v>
      </c>
    </row>
    <row r="370" spans="5:7" x14ac:dyDescent="0.25">
      <c r="E370" s="1" t="str">
        <f t="shared" si="15"/>
        <v>No data given</v>
      </c>
      <c r="F370" s="44" t="str">
        <f t="shared" si="16"/>
        <v>No data given</v>
      </c>
      <c r="G370" s="45" t="str">
        <f t="shared" si="17"/>
        <v>No data given</v>
      </c>
    </row>
    <row r="371" spans="5:7" x14ac:dyDescent="0.25">
      <c r="E371" s="1" t="str">
        <f t="shared" si="15"/>
        <v>No data given</v>
      </c>
      <c r="F371" s="44" t="str">
        <f t="shared" si="16"/>
        <v>No data given</v>
      </c>
      <c r="G371" s="45" t="str">
        <f t="shared" si="17"/>
        <v>No data given</v>
      </c>
    </row>
    <row r="372" spans="5:7" x14ac:dyDescent="0.25">
      <c r="E372" s="1" t="str">
        <f t="shared" si="15"/>
        <v>No data given</v>
      </c>
      <c r="F372" s="44" t="str">
        <f t="shared" si="16"/>
        <v>No data given</v>
      </c>
      <c r="G372" s="45" t="str">
        <f t="shared" si="17"/>
        <v>No data given</v>
      </c>
    </row>
    <row r="373" spans="5:7" x14ac:dyDescent="0.25">
      <c r="E373" s="1" t="str">
        <f t="shared" si="15"/>
        <v>No data given</v>
      </c>
      <c r="F373" s="44" t="str">
        <f t="shared" si="16"/>
        <v>No data given</v>
      </c>
      <c r="G373" s="45" t="str">
        <f t="shared" si="17"/>
        <v>No data given</v>
      </c>
    </row>
    <row r="374" spans="5:7" x14ac:dyDescent="0.25">
      <c r="E374" s="1" t="str">
        <f t="shared" si="15"/>
        <v>No data given</v>
      </c>
      <c r="F374" s="44" t="str">
        <f t="shared" si="16"/>
        <v>No data given</v>
      </c>
      <c r="G374" s="45" t="str">
        <f t="shared" si="17"/>
        <v>No data given</v>
      </c>
    </row>
    <row r="375" spans="5:7" x14ac:dyDescent="0.25">
      <c r="E375" s="1" t="str">
        <f t="shared" si="15"/>
        <v>No data given</v>
      </c>
      <c r="F375" s="44" t="str">
        <f t="shared" si="16"/>
        <v>No data given</v>
      </c>
      <c r="G375" s="45" t="str">
        <f t="shared" si="17"/>
        <v>No data given</v>
      </c>
    </row>
    <row r="376" spans="5:7" x14ac:dyDescent="0.25">
      <c r="E376" s="1" t="str">
        <f t="shared" si="15"/>
        <v>No data given</v>
      </c>
      <c r="F376" s="44" t="str">
        <f t="shared" si="16"/>
        <v>No data given</v>
      </c>
      <c r="G376" s="45" t="str">
        <f t="shared" si="17"/>
        <v>No data given</v>
      </c>
    </row>
    <row r="377" spans="5:7" x14ac:dyDescent="0.25">
      <c r="E377" s="1" t="str">
        <f t="shared" si="15"/>
        <v>No data given</v>
      </c>
      <c r="F377" s="44" t="str">
        <f t="shared" si="16"/>
        <v>No data given</v>
      </c>
      <c r="G377" s="45" t="str">
        <f t="shared" si="17"/>
        <v>No data given</v>
      </c>
    </row>
    <row r="378" spans="5:7" x14ac:dyDescent="0.25">
      <c r="E378" s="1" t="str">
        <f t="shared" si="15"/>
        <v>No data given</v>
      </c>
      <c r="F378" s="44" t="str">
        <f t="shared" si="16"/>
        <v>No data given</v>
      </c>
      <c r="G378" s="45" t="str">
        <f t="shared" si="17"/>
        <v>No data given</v>
      </c>
    </row>
    <row r="379" spans="5:7" x14ac:dyDescent="0.25">
      <c r="E379" s="1" t="str">
        <f t="shared" si="15"/>
        <v>No data given</v>
      </c>
      <c r="F379" s="44" t="str">
        <f t="shared" si="16"/>
        <v>No data given</v>
      </c>
      <c r="G379" s="45" t="str">
        <f t="shared" si="17"/>
        <v>No data given</v>
      </c>
    </row>
    <row r="380" spans="5:7" x14ac:dyDescent="0.25">
      <c r="E380" s="1" t="str">
        <f t="shared" si="15"/>
        <v>No data given</v>
      </c>
      <c r="F380" s="44" t="str">
        <f t="shared" si="16"/>
        <v>No data given</v>
      </c>
      <c r="G380" s="45" t="str">
        <f t="shared" si="17"/>
        <v>No data given</v>
      </c>
    </row>
    <row r="381" spans="5:7" x14ac:dyDescent="0.25">
      <c r="E381" s="1" t="str">
        <f t="shared" si="15"/>
        <v>No data given</v>
      </c>
      <c r="F381" s="44" t="str">
        <f t="shared" si="16"/>
        <v>No data given</v>
      </c>
      <c r="G381" s="45" t="str">
        <f t="shared" si="17"/>
        <v>No data given</v>
      </c>
    </row>
    <row r="382" spans="5:7" x14ac:dyDescent="0.25">
      <c r="E382" s="1" t="str">
        <f t="shared" si="15"/>
        <v>No data given</v>
      </c>
      <c r="F382" s="44" t="str">
        <f t="shared" si="16"/>
        <v>No data given</v>
      </c>
      <c r="G382" s="45" t="str">
        <f t="shared" si="17"/>
        <v>No data given</v>
      </c>
    </row>
    <row r="383" spans="5:7" x14ac:dyDescent="0.25">
      <c r="E383" s="1" t="str">
        <f t="shared" si="15"/>
        <v>No data given</v>
      </c>
      <c r="F383" s="44" t="str">
        <f t="shared" si="16"/>
        <v>No data given</v>
      </c>
      <c r="G383" s="45" t="str">
        <f t="shared" si="17"/>
        <v>No data given</v>
      </c>
    </row>
    <row r="384" spans="5:7" x14ac:dyDescent="0.25">
      <c r="E384" s="1" t="str">
        <f t="shared" si="15"/>
        <v>No data given</v>
      </c>
      <c r="F384" s="44" t="str">
        <f t="shared" si="16"/>
        <v>No data given</v>
      </c>
      <c r="G384" s="45" t="str">
        <f t="shared" si="17"/>
        <v>No data given</v>
      </c>
    </row>
    <row r="385" spans="5:7" x14ac:dyDescent="0.25">
      <c r="E385" s="1" t="str">
        <f t="shared" si="15"/>
        <v>No data given</v>
      </c>
      <c r="F385" s="44" t="str">
        <f t="shared" si="16"/>
        <v>No data given</v>
      </c>
      <c r="G385" s="45" t="str">
        <f t="shared" si="17"/>
        <v>No data given</v>
      </c>
    </row>
    <row r="386" spans="5:7" x14ac:dyDescent="0.25">
      <c r="E386" s="1" t="str">
        <f t="shared" si="15"/>
        <v>No data given</v>
      </c>
      <c r="F386" s="44" t="str">
        <f t="shared" si="16"/>
        <v>No data given</v>
      </c>
      <c r="G386" s="45" t="str">
        <f t="shared" si="17"/>
        <v>No data given</v>
      </c>
    </row>
    <row r="387" spans="5:7" x14ac:dyDescent="0.25">
      <c r="E387" s="1" t="str">
        <f t="shared" si="15"/>
        <v>No data given</v>
      </c>
      <c r="F387" s="44" t="str">
        <f t="shared" si="16"/>
        <v>No data given</v>
      </c>
      <c r="G387" s="45" t="str">
        <f t="shared" si="17"/>
        <v>No data given</v>
      </c>
    </row>
    <row r="388" spans="5:7" x14ac:dyDescent="0.25">
      <c r="E388" s="1" t="str">
        <f t="shared" si="15"/>
        <v>No data given</v>
      </c>
      <c r="F388" s="44" t="str">
        <f t="shared" si="16"/>
        <v>No data given</v>
      </c>
      <c r="G388" s="45" t="str">
        <f t="shared" si="17"/>
        <v>No data given</v>
      </c>
    </row>
    <row r="389" spans="5:7" x14ac:dyDescent="0.25">
      <c r="E389" s="1" t="str">
        <f t="shared" ref="E389:E402" si="18">IF(B389="","No data given",IF(F389&lt;=D389,"Pass",IF(F389&lt;=(D389+C389),"No Impact","Fail")))</f>
        <v>No data given</v>
      </c>
      <c r="F389" s="44" t="str">
        <f t="shared" si="16"/>
        <v>No data given</v>
      </c>
      <c r="G389" s="45" t="str">
        <f t="shared" si="17"/>
        <v>No data given</v>
      </c>
    </row>
    <row r="390" spans="5:7" x14ac:dyDescent="0.25">
      <c r="E390" s="1" t="str">
        <f t="shared" si="18"/>
        <v>No data given</v>
      </c>
      <c r="F390" s="44" t="str">
        <f t="shared" ref="F390:F402" si="19">IF(B390="","No data given",ABS(A390-B390))</f>
        <v>No data given</v>
      </c>
      <c r="G390" s="45" t="str">
        <f t="shared" si="17"/>
        <v>No data given</v>
      </c>
    </row>
    <row r="391" spans="5:7" x14ac:dyDescent="0.25">
      <c r="E391" s="1" t="str">
        <f t="shared" si="18"/>
        <v>No data given</v>
      </c>
      <c r="F391" s="44" t="str">
        <f t="shared" si="19"/>
        <v>No data given</v>
      </c>
      <c r="G391" s="45" t="str">
        <f t="shared" ref="G391:G402" si="20">IF(B391="","No data given",IF(E391&lt;&gt;"Fail",0,F391/A391))</f>
        <v>No data given</v>
      </c>
    </row>
    <row r="392" spans="5:7" x14ac:dyDescent="0.25">
      <c r="E392" s="1" t="str">
        <f t="shared" si="18"/>
        <v>No data given</v>
      </c>
      <c r="F392" s="44" t="str">
        <f t="shared" si="19"/>
        <v>No data given</v>
      </c>
      <c r="G392" s="45" t="str">
        <f t="shared" si="20"/>
        <v>No data given</v>
      </c>
    </row>
    <row r="393" spans="5:7" x14ac:dyDescent="0.25">
      <c r="E393" s="1" t="str">
        <f t="shared" si="18"/>
        <v>No data given</v>
      </c>
      <c r="F393" s="44" t="str">
        <f t="shared" si="19"/>
        <v>No data given</v>
      </c>
      <c r="G393" s="45" t="str">
        <f t="shared" si="20"/>
        <v>No data given</v>
      </c>
    </row>
    <row r="394" spans="5:7" x14ac:dyDescent="0.25">
      <c r="E394" s="1" t="str">
        <f t="shared" si="18"/>
        <v>No data given</v>
      </c>
      <c r="F394" s="44" t="str">
        <f t="shared" si="19"/>
        <v>No data given</v>
      </c>
      <c r="G394" s="45" t="str">
        <f t="shared" si="20"/>
        <v>No data given</v>
      </c>
    </row>
    <row r="395" spans="5:7" x14ac:dyDescent="0.25">
      <c r="E395" s="1" t="str">
        <f t="shared" si="18"/>
        <v>No data given</v>
      </c>
      <c r="F395" s="44" t="str">
        <f t="shared" si="19"/>
        <v>No data given</v>
      </c>
      <c r="G395" s="45" t="str">
        <f t="shared" si="20"/>
        <v>No data given</v>
      </c>
    </row>
    <row r="396" spans="5:7" x14ac:dyDescent="0.25">
      <c r="E396" s="1" t="str">
        <f t="shared" si="18"/>
        <v>No data given</v>
      </c>
      <c r="F396" s="44" t="str">
        <f t="shared" si="19"/>
        <v>No data given</v>
      </c>
      <c r="G396" s="45" t="str">
        <f t="shared" si="20"/>
        <v>No data given</v>
      </c>
    </row>
    <row r="397" spans="5:7" x14ac:dyDescent="0.25">
      <c r="E397" s="1" t="str">
        <f t="shared" si="18"/>
        <v>No data given</v>
      </c>
      <c r="F397" s="44" t="str">
        <f t="shared" si="19"/>
        <v>No data given</v>
      </c>
      <c r="G397" s="45" t="str">
        <f t="shared" si="20"/>
        <v>No data given</v>
      </c>
    </row>
    <row r="398" spans="5:7" x14ac:dyDescent="0.25">
      <c r="E398" s="1" t="str">
        <f t="shared" si="18"/>
        <v>No data given</v>
      </c>
      <c r="F398" s="44" t="str">
        <f t="shared" si="19"/>
        <v>No data given</v>
      </c>
      <c r="G398" s="45" t="str">
        <f t="shared" si="20"/>
        <v>No data given</v>
      </c>
    </row>
    <row r="399" spans="5:7" x14ac:dyDescent="0.25">
      <c r="E399" s="1" t="str">
        <f t="shared" si="18"/>
        <v>No data given</v>
      </c>
      <c r="F399" s="44" t="str">
        <f t="shared" si="19"/>
        <v>No data given</v>
      </c>
      <c r="G399" s="45" t="str">
        <f t="shared" si="20"/>
        <v>No data given</v>
      </c>
    </row>
    <row r="400" spans="5:7" x14ac:dyDescent="0.25">
      <c r="E400" s="1" t="str">
        <f t="shared" si="18"/>
        <v>No data given</v>
      </c>
      <c r="F400" s="44" t="str">
        <f t="shared" si="19"/>
        <v>No data given</v>
      </c>
      <c r="G400" s="45" t="str">
        <f t="shared" si="20"/>
        <v>No data given</v>
      </c>
    </row>
    <row r="401" spans="5:7" x14ac:dyDescent="0.25">
      <c r="E401" s="1" t="str">
        <f t="shared" si="18"/>
        <v>No data given</v>
      </c>
      <c r="F401" s="44" t="str">
        <f t="shared" si="19"/>
        <v>No data given</v>
      </c>
      <c r="G401" s="45" t="str">
        <f t="shared" si="20"/>
        <v>No data given</v>
      </c>
    </row>
    <row r="402" spans="5:7" x14ac:dyDescent="0.25">
      <c r="E402" s="1" t="str">
        <f t="shared" si="18"/>
        <v>No data given</v>
      </c>
      <c r="F402" s="44" t="str">
        <f t="shared" si="19"/>
        <v>No data given</v>
      </c>
      <c r="G402" s="45" t="str">
        <f t="shared" si="20"/>
        <v>No data given</v>
      </c>
    </row>
  </sheetData>
  <mergeCells count="3">
    <mergeCell ref="A1:U1"/>
    <mergeCell ref="A2:U2"/>
    <mergeCell ref="J4:K4"/>
  </mergeCells>
  <conditionalFormatting sqref="G4:G402">
    <cfRule type="top10" dxfId="52" priority="11" rank="1"/>
  </conditionalFormatting>
  <conditionalFormatting sqref="E4:E402">
    <cfRule type="containsText" dxfId="51" priority="3" operator="containsText" text="No Impact">
      <formula>NOT(ISERROR(SEARCH("No Impact",E4)))</formula>
    </cfRule>
    <cfRule type="containsText" dxfId="50" priority="2" operator="containsText" text="Pass">
      <formula>NOT(ISERROR(SEARCH("Pass",E4)))</formula>
    </cfRule>
    <cfRule type="containsText" dxfId="49" priority="1" operator="containsText" text="Fail">
      <formula>NOT(ISERROR(SEARCH("Fail",E4)))</formula>
    </cfRule>
  </conditionalFormatting>
  <hyperlinks>
    <hyperlink ref="A2" r:id="rId1" display="the PE Wiki in Teams for a tutorial" xr:uid="{8590F197-1BF2-4B10-A3B6-9D913176E433}"/>
    <hyperlink ref="A2:U2" r:id="rId2" display="the PE Wiki in Teams, straight to the Tutorial in question" xr:uid="{0E520CF6-1DE3-464D-8066-75807E81A208}"/>
  </hyperlinks>
  <pageMargins left="0.7" right="0.7" top="0.75" bottom="0.75" header="0.3" footer="0.3"/>
  <pageSetup paperSize="262" orientation="landscape" horizontalDpi="360" verticalDpi="360"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7030A0"/>
  </sheetPr>
  <dimension ref="A1:AO3019"/>
  <sheetViews>
    <sheetView tabSelected="1" workbookViewId="0">
      <pane xSplit="1" topLeftCell="B1" activePane="topRight" state="frozen"/>
      <selection pane="topRight" activeCell="S9" sqref="S9"/>
    </sheetView>
  </sheetViews>
  <sheetFormatPr defaultColWidth="9.140625" defaultRowHeight="15" x14ac:dyDescent="0.25"/>
  <cols>
    <col min="1" max="1" width="15.28515625" style="1" customWidth="1"/>
    <col min="2" max="2" width="16" style="1" customWidth="1"/>
    <col min="3" max="3" width="20.28515625" style="1" customWidth="1"/>
    <col min="4" max="4" width="16" style="1" customWidth="1"/>
    <col min="5" max="5" width="29.85546875" style="1" customWidth="1"/>
    <col min="6" max="6" width="20.28515625" style="1" customWidth="1"/>
    <col min="7" max="7" width="14.140625" style="1" customWidth="1"/>
    <col min="8" max="8" width="13.140625" style="1" customWidth="1"/>
    <col min="9" max="9" width="8.85546875"/>
    <col min="10" max="10" width="14.5703125" style="1" customWidth="1"/>
    <col min="11" max="11" width="14.85546875" style="1" bestFit="1" customWidth="1"/>
    <col min="12" max="12" width="14" style="1" customWidth="1"/>
    <col min="13" max="13" width="13.5703125" style="1" customWidth="1"/>
    <col min="14" max="14" width="13" style="1" customWidth="1"/>
    <col min="15" max="16" width="12.42578125" style="1" customWidth="1"/>
    <col min="17" max="17" width="12.5703125" style="1" hidden="1" customWidth="1"/>
    <col min="18" max="18" width="14.7109375" style="1" hidden="1" customWidth="1"/>
    <col min="19" max="19" width="10.42578125" style="1" customWidth="1"/>
    <col min="20" max="20" width="15.85546875" style="1" customWidth="1"/>
    <col min="21" max="21" width="14.85546875" style="1" hidden="1" customWidth="1"/>
    <col min="22" max="22" width="14.5703125" style="1" customWidth="1"/>
    <col min="23" max="23" width="14.42578125" style="1" customWidth="1"/>
    <col min="24" max="24" width="14.5703125" style="1" hidden="1" customWidth="1"/>
    <col min="25" max="25" width="17.85546875" style="1" hidden="1" customWidth="1"/>
    <col min="26" max="26" width="15.140625" style="1" customWidth="1"/>
    <col min="27" max="27" width="22.5703125" style="1" customWidth="1"/>
    <col min="28" max="28" width="14.7109375" style="1" hidden="1" customWidth="1"/>
    <col min="29" max="30" width="22.28515625" style="1" hidden="1" customWidth="1"/>
    <col min="31" max="33" width="12.5703125" style="1" hidden="1" customWidth="1"/>
    <col min="34" max="34" width="28" style="1" customWidth="1"/>
    <col min="35" max="35" width="94.7109375" style="10" customWidth="1"/>
    <col min="36" max="36" width="19.28515625" style="1" hidden="1" customWidth="1"/>
    <col min="37" max="37" width="24.28515625" style="1" hidden="1" customWidth="1"/>
    <col min="38" max="38" width="23.85546875" style="1" hidden="1" customWidth="1"/>
    <col min="39" max="39" width="14" style="1" hidden="1" customWidth="1"/>
    <col min="40" max="40" width="13" style="1" hidden="1" customWidth="1"/>
    <col min="41" max="41" width="13.42578125" style="1" hidden="1" customWidth="1"/>
    <col min="42" max="16384" width="9.140625" style="1"/>
  </cols>
  <sheetData>
    <row r="1" spans="1:41" customFormat="1" ht="18.75" x14ac:dyDescent="0.3">
      <c r="A1" s="61"/>
      <c r="B1" s="61"/>
      <c r="C1" s="61"/>
      <c r="D1" s="1"/>
      <c r="E1" s="2" t="s">
        <v>31</v>
      </c>
      <c r="F1" s="27"/>
      <c r="G1" s="15"/>
      <c r="K1" s="68" t="s">
        <v>85</v>
      </c>
      <c r="L1" s="68"/>
      <c r="M1" s="68"/>
      <c r="N1" s="68"/>
      <c r="O1" s="68"/>
      <c r="P1" s="68"/>
      <c r="Q1" s="68"/>
      <c r="R1" s="68"/>
      <c r="S1" s="68"/>
      <c r="T1" s="68"/>
      <c r="U1" s="68"/>
      <c r="V1" s="68"/>
    </row>
    <row r="2" spans="1:41" customFormat="1" ht="15.75" x14ac:dyDescent="0.25">
      <c r="A2" s="61"/>
      <c r="B2" s="61"/>
      <c r="C2" s="61"/>
      <c r="D2" s="1"/>
      <c r="E2" s="2" t="s">
        <v>32</v>
      </c>
      <c r="F2" s="27"/>
      <c r="G2" s="15"/>
      <c r="K2" s="73" t="s">
        <v>86</v>
      </c>
      <c r="L2" s="73"/>
      <c r="M2" s="73"/>
      <c r="N2" s="73"/>
      <c r="O2" s="73"/>
      <c r="P2" s="73"/>
      <c r="Q2" s="73"/>
      <c r="R2" s="73"/>
      <c r="S2" s="73"/>
      <c r="T2" s="73"/>
      <c r="U2" s="73"/>
      <c r="V2" s="73"/>
      <c r="W2" s="73"/>
      <c r="X2" s="73"/>
      <c r="Y2" s="73"/>
      <c r="Z2" s="73"/>
      <c r="AA2" s="73"/>
      <c r="AB2" s="73"/>
      <c r="AC2" s="73"/>
      <c r="AD2" s="73"/>
      <c r="AE2" s="73"/>
      <c r="AF2" s="73"/>
      <c r="AG2" s="73"/>
      <c r="AH2" s="73"/>
      <c r="AI2" s="73"/>
    </row>
    <row r="3" spans="1:41" customFormat="1" ht="15.75" x14ac:dyDescent="0.25">
      <c r="A3" s="61"/>
      <c r="B3" s="61"/>
      <c r="C3" s="61"/>
      <c r="D3" s="1"/>
      <c r="E3" s="2" t="s">
        <v>33</v>
      </c>
      <c r="F3" s="27"/>
      <c r="G3" s="26"/>
      <c r="K3" s="73" t="s">
        <v>126</v>
      </c>
      <c r="L3" s="73"/>
      <c r="M3" s="73"/>
      <c r="N3" s="73"/>
      <c r="O3" s="73"/>
      <c r="P3" s="73"/>
      <c r="Q3" s="73"/>
      <c r="R3" s="73"/>
      <c r="S3" s="73"/>
      <c r="T3" s="73"/>
      <c r="U3" s="73"/>
      <c r="V3" s="73"/>
      <c r="W3" s="73"/>
      <c r="X3" s="73"/>
      <c r="Y3" s="73"/>
      <c r="Z3" s="73"/>
      <c r="AA3" s="73"/>
      <c r="AB3" s="73"/>
      <c r="AC3" s="73"/>
      <c r="AD3" s="73"/>
      <c r="AE3" s="73"/>
      <c r="AF3" s="73"/>
      <c r="AG3" s="73"/>
      <c r="AH3" s="73"/>
      <c r="AI3" s="73"/>
    </row>
    <row r="4" spans="1:41" customFormat="1" ht="15.75" x14ac:dyDescent="0.25">
      <c r="A4" s="61"/>
      <c r="B4" s="61"/>
      <c r="C4" s="61"/>
      <c r="D4" s="1"/>
      <c r="E4" s="2" t="s">
        <v>34</v>
      </c>
      <c r="F4" s="27"/>
      <c r="G4" s="15"/>
      <c r="H4" s="15"/>
      <c r="I4" s="15"/>
      <c r="K4" s="73" t="s">
        <v>127</v>
      </c>
      <c r="L4" s="73"/>
      <c r="M4" s="73"/>
      <c r="N4" s="73"/>
      <c r="O4" s="73"/>
      <c r="P4" s="73"/>
      <c r="Q4" s="73"/>
      <c r="R4" s="73"/>
      <c r="S4" s="73"/>
      <c r="T4" s="73"/>
      <c r="U4" s="73"/>
      <c r="V4" s="73"/>
      <c r="W4" s="73"/>
      <c r="X4" s="73"/>
      <c r="Y4" s="73"/>
      <c r="Z4" s="73"/>
      <c r="AA4" s="73"/>
      <c r="AB4" s="73"/>
      <c r="AC4" s="73"/>
      <c r="AD4" s="73"/>
      <c r="AE4" s="73"/>
      <c r="AF4" s="73"/>
      <c r="AG4" s="73"/>
      <c r="AH4" s="73"/>
      <c r="AI4" s="73"/>
    </row>
    <row r="5" spans="1:41" customFormat="1" ht="15.75" x14ac:dyDescent="0.25">
      <c r="A5" s="61"/>
      <c r="B5" s="61"/>
      <c r="C5" s="61"/>
      <c r="D5" s="1"/>
      <c r="E5" s="2" t="s">
        <v>43</v>
      </c>
      <c r="F5" s="27"/>
      <c r="K5" s="73" t="s">
        <v>128</v>
      </c>
      <c r="L5" s="73"/>
      <c r="M5" s="73"/>
      <c r="N5" s="73"/>
      <c r="O5" s="73"/>
      <c r="P5" s="73"/>
      <c r="Q5" s="73"/>
      <c r="R5" s="73"/>
      <c r="S5" s="73"/>
      <c r="T5" s="73"/>
      <c r="U5" s="73"/>
      <c r="V5" s="73"/>
      <c r="W5" s="73"/>
      <c r="X5" s="73"/>
      <c r="Y5" s="73"/>
      <c r="Z5" s="73"/>
      <c r="AA5" s="73"/>
      <c r="AB5" s="73"/>
      <c r="AC5" s="73"/>
      <c r="AD5" s="73"/>
      <c r="AE5" s="73"/>
      <c r="AF5" s="73"/>
      <c r="AG5" s="73"/>
      <c r="AH5" s="73"/>
      <c r="AI5" s="73"/>
    </row>
    <row r="6" spans="1:41" customFormat="1" ht="31.15" customHeight="1" x14ac:dyDescent="0.4">
      <c r="A6" s="74" t="s">
        <v>44</v>
      </c>
      <c r="B6" s="74"/>
      <c r="C6" s="74"/>
      <c r="D6" s="74"/>
      <c r="E6" s="74"/>
      <c r="F6" s="74"/>
      <c r="G6" s="74"/>
      <c r="H6" s="74"/>
      <c r="I6" s="74"/>
      <c r="K6" s="48" t="s">
        <v>129</v>
      </c>
      <c r="L6" s="48"/>
      <c r="M6" s="48"/>
      <c r="N6" s="48"/>
      <c r="O6" s="48"/>
      <c r="P6" s="48"/>
      <c r="Q6" s="48"/>
      <c r="R6" s="48"/>
      <c r="S6" s="48"/>
      <c r="T6" s="48"/>
      <c r="U6" s="48"/>
      <c r="V6" s="48"/>
      <c r="W6" s="48"/>
      <c r="X6" s="48"/>
      <c r="Y6" s="48"/>
      <c r="Z6" s="48"/>
      <c r="AA6" s="48"/>
      <c r="AB6" s="48"/>
      <c r="AC6" s="48"/>
      <c r="AD6" s="48"/>
      <c r="AE6" s="48"/>
      <c r="AF6" s="48"/>
      <c r="AG6" s="48"/>
      <c r="AH6" s="48"/>
      <c r="AI6" s="48"/>
    </row>
    <row r="7" spans="1:41" customFormat="1" ht="15.75" thickBot="1" x14ac:dyDescent="0.3">
      <c r="A7" s="61" t="s">
        <v>125</v>
      </c>
      <c r="B7" s="61"/>
      <c r="C7" s="61"/>
      <c r="D7" s="61"/>
      <c r="E7" s="61"/>
      <c r="F7" s="61"/>
      <c r="G7" s="61"/>
      <c r="H7" s="61"/>
      <c r="I7" s="61"/>
      <c r="K7" s="75" t="s">
        <v>130</v>
      </c>
      <c r="L7" s="75"/>
      <c r="M7" s="75"/>
      <c r="N7" s="75"/>
      <c r="O7" s="75"/>
      <c r="P7" s="75"/>
      <c r="Q7" s="75"/>
      <c r="R7" s="75"/>
      <c r="S7" s="75"/>
      <c r="T7" s="75"/>
      <c r="U7" s="75"/>
      <c r="V7" s="75"/>
      <c r="W7" s="75"/>
      <c r="X7" s="75"/>
      <c r="Y7" s="75"/>
      <c r="Z7" s="75"/>
      <c r="AA7" s="75"/>
      <c r="AB7" s="75"/>
      <c r="AC7" s="75"/>
      <c r="AD7" s="75"/>
      <c r="AE7" s="75"/>
      <c r="AF7" s="75"/>
      <c r="AG7" s="75"/>
      <c r="AH7" s="75"/>
      <c r="AI7" s="75"/>
    </row>
    <row r="8" spans="1:41" ht="18.75" x14ac:dyDescent="0.3">
      <c r="A8" s="62" t="s">
        <v>5</v>
      </c>
      <c r="B8" s="63"/>
      <c r="C8" s="63"/>
      <c r="D8" s="63"/>
      <c r="E8" s="63"/>
      <c r="F8" s="63"/>
      <c r="G8" s="63"/>
      <c r="H8" s="63"/>
      <c r="I8" s="63"/>
      <c r="J8" s="64"/>
      <c r="K8" s="65" t="s">
        <v>7</v>
      </c>
      <c r="L8" s="66"/>
      <c r="M8" s="66"/>
      <c r="N8" s="67"/>
      <c r="O8" s="65" t="s">
        <v>47</v>
      </c>
      <c r="P8" s="66"/>
      <c r="Q8" s="66"/>
      <c r="R8" s="66"/>
      <c r="S8" s="66"/>
      <c r="T8" s="67"/>
      <c r="U8" s="65" t="s">
        <v>20</v>
      </c>
      <c r="V8" s="66"/>
      <c r="W8" s="66"/>
      <c r="X8" s="66"/>
      <c r="Y8" s="66"/>
      <c r="Z8" s="67"/>
      <c r="AA8" s="21" t="s">
        <v>82</v>
      </c>
      <c r="AB8" s="62" t="s">
        <v>28</v>
      </c>
      <c r="AC8" s="63"/>
      <c r="AD8" s="63"/>
      <c r="AE8" s="63"/>
      <c r="AF8" s="63"/>
      <c r="AG8" s="63"/>
      <c r="AH8" s="65" t="s">
        <v>29</v>
      </c>
      <c r="AI8" s="67"/>
      <c r="AK8" s="1" t="s">
        <v>122</v>
      </c>
      <c r="AL8" s="1" t="s">
        <v>120</v>
      </c>
      <c r="AM8" s="1" t="s">
        <v>121</v>
      </c>
      <c r="AN8" s="1" t="s">
        <v>123</v>
      </c>
      <c r="AO8" s="1" t="s">
        <v>143</v>
      </c>
    </row>
    <row r="9" spans="1:41" s="10" customFormat="1" ht="19.5" thickBot="1" x14ac:dyDescent="0.35">
      <c r="A9" s="6" t="s">
        <v>1</v>
      </c>
      <c r="B9" s="3" t="s">
        <v>0</v>
      </c>
      <c r="C9" s="3" t="s">
        <v>40</v>
      </c>
      <c r="D9" s="3" t="s">
        <v>2</v>
      </c>
      <c r="E9" s="3" t="s">
        <v>41</v>
      </c>
      <c r="F9" s="3" t="s">
        <v>42</v>
      </c>
      <c r="G9" s="3" t="s">
        <v>3</v>
      </c>
      <c r="H9" s="3" t="s">
        <v>56</v>
      </c>
      <c r="I9" s="3" t="s">
        <v>4</v>
      </c>
      <c r="J9" s="7" t="s">
        <v>8</v>
      </c>
      <c r="K9" s="6" t="s">
        <v>57</v>
      </c>
      <c r="L9" s="3" t="s">
        <v>6</v>
      </c>
      <c r="M9" s="3" t="s">
        <v>19</v>
      </c>
      <c r="N9" s="4" t="s">
        <v>21</v>
      </c>
      <c r="O9" s="6" t="s">
        <v>9</v>
      </c>
      <c r="P9" s="3" t="s">
        <v>10</v>
      </c>
      <c r="Q9" s="3" t="s">
        <v>11</v>
      </c>
      <c r="R9" s="3" t="s">
        <v>12</v>
      </c>
      <c r="S9" s="3" t="s">
        <v>13</v>
      </c>
      <c r="T9" s="4" t="s">
        <v>14</v>
      </c>
      <c r="U9" s="6" t="s">
        <v>15</v>
      </c>
      <c r="V9" s="3" t="s">
        <v>16</v>
      </c>
      <c r="W9" s="3" t="s">
        <v>18</v>
      </c>
      <c r="X9" s="3" t="s">
        <v>22</v>
      </c>
      <c r="Y9" s="3" t="s">
        <v>23</v>
      </c>
      <c r="Z9" s="4" t="s">
        <v>17</v>
      </c>
      <c r="AA9" s="11" t="s">
        <v>81</v>
      </c>
      <c r="AB9" s="11" t="s">
        <v>45</v>
      </c>
      <c r="AC9" s="12" t="s">
        <v>46</v>
      </c>
      <c r="AD9" s="8" t="s">
        <v>24</v>
      </c>
      <c r="AE9" s="9" t="s">
        <v>25</v>
      </c>
      <c r="AF9" s="3" t="s">
        <v>26</v>
      </c>
      <c r="AG9" s="9" t="s">
        <v>27</v>
      </c>
      <c r="AH9" s="6" t="s">
        <v>29</v>
      </c>
      <c r="AI9" s="4" t="s">
        <v>30</v>
      </c>
      <c r="AK9" s="10" t="str">
        <f>""</f>
        <v/>
      </c>
      <c r="AM9"/>
    </row>
    <row r="10" spans="1:41" x14ac:dyDescent="0.25">
      <c r="A10" s="10"/>
      <c r="B10" s="10"/>
      <c r="C10" s="10"/>
      <c r="D10" s="10"/>
      <c r="E10" s="10"/>
      <c r="F10" s="10"/>
      <c r="G10" s="10"/>
      <c r="H10" s="10"/>
      <c r="I10" s="1"/>
      <c r="J10" s="1" t="s">
        <v>35</v>
      </c>
      <c r="M10" s="1">
        <f>IF(OR(Table1[[#This Row],[Std Nom]]="",Table1[[#This Row],[Std Read]]=""),0,Table1[[#This Row],[Std Nom]]-Table1[[#This Row],[Std Read]])</f>
        <v>0</v>
      </c>
      <c r="Q10" s="1">
        <f>Table1[[#This Row],[High Tol]]-Table1[[#This Row],[Low Tol]]</f>
        <v>0</v>
      </c>
      <c r="R10" s="1">
        <f>2*Table1[[#This Row],[Std Error]]</f>
        <v>0</v>
      </c>
      <c r="S10" s="1" t="str">
        <f>IF(Table1[[#This Row],[High Tol]]="","N/A",IFERROR(ABS(Table1[[#This Row],[Tol Span]]/Table1[[#This Row],[Error Span]]),"N/A"))</f>
        <v>N/A</v>
      </c>
      <c r="T10" s="1" t="str">
        <f>IF(OR(Table1[[#This Row],[Low Tol]]="",Table1[[#This Row],[High Tol]]=""),"Needs Analysis",IF(Table1[[#This Row],[Ratio]]&gt;=4,"Not Significant",IF(Table1[[#This Row],[Ratio]]&gt;=2,"Semi-Significant","Significant")))</f>
        <v>Needs Analysis</v>
      </c>
      <c r="W10" s="1">
        <f>IF(Table1[[#This Row],[Cal Type]]&lt;&gt;"ACCREDITED 17025 WITH UNCERTAINTIES",0,"")</f>
        <v>0</v>
      </c>
      <c r="X10" s="1" t="str">
        <f>IF(Table1[[#This Row],[DUT Read]]="","N/A",Table1[[#This Row],[Std Error]]+Table1[[#This Row],[DUT Read]]+Table1[[#This Row],[DUT Ucty]])</f>
        <v>N/A</v>
      </c>
      <c r="Y10" s="1" t="str">
        <f>IF(Table1[[#This Row],[Std Read]]="","N/A",Table1[[#This Row],[Std Read]]+Table1[[#This Row],[Std Ucty]])</f>
        <v>N/A</v>
      </c>
      <c r="Z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 s="1" t="str">
        <f>IF(Table1[[#This Row],[Spec Type]]="","N/A",Table1[[#This Row],[Spec Type]])</f>
        <v>±</v>
      </c>
      <c r="AC10" s="1" t="str">
        <f>IF(Table1[[#This Row],[Spec Type2]]="N/A","N/A",IF(AND(Table1[[#This Row],[DUT Adj Read]]&gt;=Table1[[#This Row],[Low Tol]],Table1[[#This Row],[DUT Adj Read]]&lt;=Table1[[#This Row],[High Tol]]),"Pass","Fail"))</f>
        <v>Fail</v>
      </c>
      <c r="AD10" s="1" t="str">
        <f>IF(AND(Table1[[#This Row],[Spec Type2]]="N/A",Table1[[#This Row],[DUT Adj Read]]="N/A",Table1[[#This Row],[Std Adj Read]]="N/A"),"N/A",IF(Table1[[#This Row],[DUT Adj Read]]="N/A",IF(Table1[[#This Row],[Std Adj Read]]&gt;Table1[[#This Row],[Low Tol]],"Pass","Fail"),IF(Table1[[#This Row],[DUT Adj Read]]&gt;Table1[[#This Row],[Low Tol]],"Pass","Fail")))</f>
        <v>Pass</v>
      </c>
      <c r="AE10" s="1" t="str">
        <f>IF(AND(Table1[[#This Row],[Spec Type2]]="N/A",Table1[[#This Row],[DUT Adj Read]]="N/A",Table1[[#This Row],[Std Adj Read]]="N/A"),"N/A",IF(Table1[[#This Row],[DUT Adj Read]]="N/A",IF(Table1[[#This Row],[Std Adj Read]]&lt;Table1[[#This Row],[High Tol]],"Pass","Fail"),IF(Table1[[#This Row],[DUT Adj Read]]&lt;Table1[[#This Row],[High Tol]],"Pass","Fail")))</f>
        <v>Fail</v>
      </c>
      <c r="AF10" s="1" t="str">
        <f>IF(AND(Table1[[#This Row],[Spec Type2]]="N/A",Table1[[#This Row],[DUT Adj Read]]="N/A",Table1[[#This Row],[Std Adj Read]]="N/A"),"N/A",IF(Table1[[#This Row],[DUT Adj Read]]="N/A",IF(Table1[[#This Row],[Std Adj Read]]&gt;=Table1[[#This Row],[Low Tol]],"Pass","Fail"),IF(Table1[[#This Row],[DUT Adj Read]]&gt;=Table1[[#This Row],[Low Tol]],"Pass","Fail")))</f>
        <v>Pass</v>
      </c>
      <c r="AG10" s="1" t="str">
        <f>IF(AND(Table1[[#This Row],[Spec Type2]]="N/A",Table1[[#This Row],[DUT Adj Read]]="N/A",Table1[[#This Row],[Std Adj Read]]="N/A"),"N/A",IF(Table1[[#This Row],[DUT Adj Read]]="N/A",IF(Table1[[#This Row],[Std Adj Read]]&lt;=Table1[[#This Row],[High Tol]],"Pass","Fail"),IF(Table1[[#This Row],[DUT Adj Read]]&lt;=Table1[[#This Row],[High Tol]],"Pass","Fail")))</f>
        <v>Fail</v>
      </c>
      <c r="AH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0" s="5" t="s">
        <v>35</v>
      </c>
      <c r="AM10" s="1" t="b">
        <v>0</v>
      </c>
      <c r="AN10" s="1" t="b">
        <v>0</v>
      </c>
      <c r="AO10" s="1" t="b">
        <v>0</v>
      </c>
    </row>
    <row r="11" spans="1:41" x14ac:dyDescent="0.25">
      <c r="A11" s="10"/>
      <c r="B11" s="10"/>
      <c r="C11" s="10"/>
      <c r="D11" s="10"/>
      <c r="E11" s="10"/>
      <c r="F11" s="10"/>
      <c r="G11" s="10"/>
      <c r="H11" s="10"/>
      <c r="I11" s="1" t="str">
        <f>IF($I$10="","",$I$10)</f>
        <v/>
      </c>
      <c r="J11" s="1" t="s">
        <v>35</v>
      </c>
      <c r="K11" s="1" t="str">
        <f t="shared" ref="K11:K74" si="0">IF($K$10="","",$K$10)</f>
        <v/>
      </c>
      <c r="L11" s="1" t="str">
        <f t="shared" ref="L11:L74" si="1">IF($L$10="","",$L$10)</f>
        <v/>
      </c>
      <c r="M11" s="1">
        <f>IF(OR(Table1[[#This Row],[Std Nom]]="",Table1[[#This Row],[Std Read]]=""),0,Table1[[#This Row],[Std Nom]]-Table1[[#This Row],[Std Read]])</f>
        <v>0</v>
      </c>
      <c r="N11" s="1">
        <f>IF(Calculations!$F$5="ACCREDITED 17025 WITH UNCERTAINTIES",$N$10,0)</f>
        <v>0</v>
      </c>
      <c r="Q11" s="1">
        <f>Table1[[#This Row],[High Tol]]-Table1[[#This Row],[Low Tol]]</f>
        <v>0</v>
      </c>
      <c r="R11" s="1">
        <f>2*Table1[[#This Row],[Std Error]]</f>
        <v>0</v>
      </c>
      <c r="S11" s="1" t="str">
        <f>IF(Table1[[#This Row],[High Tol]]="","N/A",IFERROR(ABS(Table1[[#This Row],[Tol Span]]/Table1[[#This Row],[Error Span]]),"N/A"))</f>
        <v>N/A</v>
      </c>
      <c r="T11" s="1" t="str">
        <f>IF(OR(Table1[[#This Row],[Low Tol]]="",Table1[[#This Row],[High Tol]]=""),"Needs Analysis",IF(Table1[[#This Row],[Ratio]]&gt;=4,"Not Significant",IF(Table1[[#This Row],[Ratio]]&gt;=2,"Semi-Significant","Significant")))</f>
        <v>Needs Analysis</v>
      </c>
      <c r="W11" s="1">
        <f>IF(Table1[[#This Row],[Cal Type]]&lt;&gt;"ACCREDITED 17025 WITH UNCERTAINTIES",0,"")</f>
        <v>0</v>
      </c>
      <c r="X11" s="1" t="str">
        <f>IF(Table1[[#This Row],[DUT Read]]="","N/A",Table1[[#This Row],[Std Error]]+Table1[[#This Row],[DUT Read]]+Table1[[#This Row],[DUT Ucty]])</f>
        <v>N/A</v>
      </c>
      <c r="Y11" s="1" t="str">
        <f>IF(Table1[[#This Row],[Std Read]]="","N/A",Table1[[#This Row],[Std Read]]+Table1[[#This Row],[Std Ucty]])</f>
        <v>N/A</v>
      </c>
      <c r="Z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 s="1" t="str">
        <f>IF(Table1[[#This Row],[Spec Type]]="","N/A",Table1[[#This Row],[Spec Type]])</f>
        <v>±</v>
      </c>
      <c r="AC11" s="1" t="str">
        <f>IF(Table1[[#This Row],[Spec Type2]]="N/A","N/A",IF(AND(Table1[[#This Row],[DUT Adj Read]]&gt;=Table1[[#This Row],[Low Tol]],Table1[[#This Row],[DUT Adj Read]]&lt;=Table1[[#This Row],[High Tol]]),"Pass","Fail"))</f>
        <v>Fail</v>
      </c>
      <c r="AD11" s="1" t="str">
        <f>IF(AND(Table1[[#This Row],[Spec Type2]]="N/A",Table1[[#This Row],[DUT Adj Read]]="N/A",Table1[[#This Row],[Std Adj Read]]="N/A"),"N/A",IF(Table1[[#This Row],[DUT Adj Read]]="N/A",IF(Table1[[#This Row],[Std Adj Read]]&gt;Table1[[#This Row],[Low Tol]],"Pass","Fail"),IF(Table1[[#This Row],[DUT Adj Read]]&gt;Table1[[#This Row],[Low Tol]],"Pass","Fail")))</f>
        <v>Pass</v>
      </c>
      <c r="AE11" s="1" t="str">
        <f>IF(AND(Table1[[#This Row],[Spec Type2]]="N/A",Table1[[#This Row],[DUT Adj Read]]="N/A",Table1[[#This Row],[Std Adj Read]]="N/A"),"N/A",IF(Table1[[#This Row],[DUT Adj Read]]="N/A",IF(Table1[[#This Row],[Std Adj Read]]&lt;Table1[[#This Row],[High Tol]],"Pass","Fail"),IF(Table1[[#This Row],[DUT Adj Read]]&lt;Table1[[#This Row],[High Tol]],"Pass","Fail")))</f>
        <v>Fail</v>
      </c>
      <c r="AF11" s="1" t="str">
        <f>IF(AND(Table1[[#This Row],[Spec Type2]]="N/A",Table1[[#This Row],[DUT Adj Read]]="N/A",Table1[[#This Row],[Std Adj Read]]="N/A"),"N/A",IF(Table1[[#This Row],[DUT Adj Read]]="N/A",IF(Table1[[#This Row],[Std Adj Read]]&gt;=Table1[[#This Row],[Low Tol]],"Pass","Fail"),IF(Table1[[#This Row],[DUT Adj Read]]&gt;=Table1[[#This Row],[Low Tol]],"Pass","Fail")))</f>
        <v>Pass</v>
      </c>
      <c r="AG11" s="1" t="str">
        <f>IF(AND(Table1[[#This Row],[Spec Type2]]="N/A",Table1[[#This Row],[DUT Adj Read]]="N/A",Table1[[#This Row],[Std Adj Read]]="N/A"),"N/A",IF(Table1[[#This Row],[DUT Adj Read]]="N/A",IF(Table1[[#This Row],[Std Adj Read]]&lt;=Table1[[#This Row],[High Tol]],"Pass","Fail"),IF(Table1[[#This Row],[DUT Adj Read]]&lt;=Table1[[#This Row],[High Tol]],"Pass","Fail")))</f>
        <v>Fail</v>
      </c>
      <c r="AH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1" s="1" t="s">
        <v>36</v>
      </c>
      <c r="AM11" s="1" t="b">
        <v>0</v>
      </c>
      <c r="AN11" s="1" t="b">
        <v>0</v>
      </c>
      <c r="AO11" s="1" t="b">
        <v>0</v>
      </c>
    </row>
    <row r="12" spans="1:41" x14ac:dyDescent="0.25">
      <c r="A12" s="10"/>
      <c r="B12" s="10"/>
      <c r="C12" s="10"/>
      <c r="D12" s="10"/>
      <c r="E12" s="10"/>
      <c r="F12" s="10"/>
      <c r="G12" s="10"/>
      <c r="H12" s="10"/>
      <c r="I12" s="1" t="str">
        <f t="shared" ref="I12:I74" si="2">IF($I$10="","",$I$10)</f>
        <v/>
      </c>
      <c r="J12" s="1" t="s">
        <v>35</v>
      </c>
      <c r="K12" s="1" t="str">
        <f t="shared" si="0"/>
        <v/>
      </c>
      <c r="L12" s="1" t="str">
        <f t="shared" si="1"/>
        <v/>
      </c>
      <c r="M12" s="1">
        <f>IF(OR(Table1[[#This Row],[Std Nom]]="",Table1[[#This Row],[Std Read]]=""),0,Table1[[#This Row],[Std Nom]]-Table1[[#This Row],[Std Read]])</f>
        <v>0</v>
      </c>
      <c r="N12" s="1">
        <f>IF(Calculations!$F$5="ACCREDITED 17025 WITH UNCERTAINTIES",$N$10,0)</f>
        <v>0</v>
      </c>
      <c r="Q12" s="1">
        <f>Table1[[#This Row],[High Tol]]-Table1[[#This Row],[Low Tol]]</f>
        <v>0</v>
      </c>
      <c r="R12" s="1">
        <f>2*Table1[[#This Row],[Std Error]]</f>
        <v>0</v>
      </c>
      <c r="S12" s="1" t="str">
        <f>IF(Table1[[#This Row],[High Tol]]="","N/A",IFERROR(ABS(Table1[[#This Row],[Tol Span]]/Table1[[#This Row],[Error Span]]),"N/A"))</f>
        <v>N/A</v>
      </c>
      <c r="T12" s="1" t="str">
        <f>IF(OR(Table1[[#This Row],[Low Tol]]="",Table1[[#This Row],[High Tol]]=""),"Needs Analysis",IF(Table1[[#This Row],[Ratio]]&gt;=4,"Not Significant",IF(Table1[[#This Row],[Ratio]]&gt;=2,"Semi-Significant","Significant")))</f>
        <v>Needs Analysis</v>
      </c>
      <c r="W12" s="1">
        <f>IF(Table1[[#This Row],[Cal Type]]&lt;&gt;"ACCREDITED 17025 WITH UNCERTAINTIES",0,"")</f>
        <v>0</v>
      </c>
      <c r="X12" s="1" t="str">
        <f>IF(Table1[[#This Row],[DUT Read]]="","N/A",Table1[[#This Row],[Std Error]]+Table1[[#This Row],[DUT Read]]+Table1[[#This Row],[DUT Ucty]])</f>
        <v>N/A</v>
      </c>
      <c r="Y12" s="1" t="str">
        <f>IF(Table1[[#This Row],[Std Read]]="","N/A",Table1[[#This Row],[Std Read]]+Table1[[#This Row],[Std Ucty]])</f>
        <v>N/A</v>
      </c>
      <c r="Z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 s="1" t="str">
        <f>IF(Table1[[#This Row],[Spec Type]]="","N/A",Table1[[#This Row],[Spec Type]])</f>
        <v>±</v>
      </c>
      <c r="AC12" s="1" t="str">
        <f>IF(Table1[[#This Row],[Spec Type2]]="N/A","N/A",IF(AND(Table1[[#This Row],[DUT Adj Read]]&gt;=Table1[[#This Row],[Low Tol]],Table1[[#This Row],[DUT Adj Read]]&lt;=Table1[[#This Row],[High Tol]]),"Pass","Fail"))</f>
        <v>Fail</v>
      </c>
      <c r="AD12" s="1" t="str">
        <f>IF(AND(Table1[[#This Row],[Spec Type2]]="N/A",Table1[[#This Row],[DUT Adj Read]]="N/A",Table1[[#This Row],[Std Adj Read]]="N/A"),"N/A",IF(Table1[[#This Row],[DUT Adj Read]]="N/A",IF(Table1[[#This Row],[Std Adj Read]]&gt;Table1[[#This Row],[Low Tol]],"Pass","Fail"),IF(Table1[[#This Row],[DUT Adj Read]]&gt;Table1[[#This Row],[Low Tol]],"Pass","Fail")))</f>
        <v>Pass</v>
      </c>
      <c r="AE12" s="1" t="str">
        <f>IF(AND(Table1[[#This Row],[Spec Type2]]="N/A",Table1[[#This Row],[DUT Adj Read]]="N/A",Table1[[#This Row],[Std Adj Read]]="N/A"),"N/A",IF(Table1[[#This Row],[DUT Adj Read]]="N/A",IF(Table1[[#This Row],[Std Adj Read]]&lt;Table1[[#This Row],[High Tol]],"Pass","Fail"),IF(Table1[[#This Row],[DUT Adj Read]]&lt;Table1[[#This Row],[High Tol]],"Pass","Fail")))</f>
        <v>Fail</v>
      </c>
      <c r="AF12" s="1" t="str">
        <f>IF(AND(Table1[[#This Row],[Spec Type2]]="N/A",Table1[[#This Row],[DUT Adj Read]]="N/A",Table1[[#This Row],[Std Adj Read]]="N/A"),"N/A",IF(Table1[[#This Row],[DUT Adj Read]]="N/A",IF(Table1[[#This Row],[Std Adj Read]]&gt;=Table1[[#This Row],[Low Tol]],"Pass","Fail"),IF(Table1[[#This Row],[DUT Adj Read]]&gt;=Table1[[#This Row],[Low Tol]],"Pass","Fail")))</f>
        <v>Pass</v>
      </c>
      <c r="AG12" s="1" t="str">
        <f>IF(AND(Table1[[#This Row],[Spec Type2]]="N/A",Table1[[#This Row],[DUT Adj Read]]="N/A",Table1[[#This Row],[Std Adj Read]]="N/A"),"N/A",IF(Table1[[#This Row],[DUT Adj Read]]="N/A",IF(Table1[[#This Row],[Std Adj Read]]&lt;=Table1[[#This Row],[High Tol]],"Pass","Fail"),IF(Table1[[#This Row],[DUT Adj Read]]&lt;=Table1[[#This Row],[High Tol]],"Pass","Fail")))</f>
        <v>Fail</v>
      </c>
      <c r="AH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2" s="5" t="s">
        <v>37</v>
      </c>
      <c r="AM12" s="1" t="b">
        <v>0</v>
      </c>
      <c r="AN12" s="1" t="b">
        <v>0</v>
      </c>
      <c r="AO12" s="1" t="b">
        <v>0</v>
      </c>
    </row>
    <row r="13" spans="1:41" x14ac:dyDescent="0.25">
      <c r="A13" s="10"/>
      <c r="B13" s="10"/>
      <c r="C13" s="10"/>
      <c r="D13" s="10"/>
      <c r="E13" s="10"/>
      <c r="F13" s="10"/>
      <c r="G13" s="10"/>
      <c r="H13" s="10"/>
      <c r="I13" s="1" t="str">
        <f t="shared" si="2"/>
        <v/>
      </c>
      <c r="J13" s="1" t="s">
        <v>35</v>
      </c>
      <c r="K13" s="1" t="str">
        <f t="shared" si="0"/>
        <v/>
      </c>
      <c r="L13" s="1" t="str">
        <f t="shared" si="1"/>
        <v/>
      </c>
      <c r="M13" s="1">
        <f>IF(OR(Table1[[#This Row],[Std Nom]]="",Table1[[#This Row],[Std Read]]=""),0,Table1[[#This Row],[Std Nom]]-Table1[[#This Row],[Std Read]])</f>
        <v>0</v>
      </c>
      <c r="N13" s="1">
        <f>IF(Calculations!$F$5="ACCREDITED 17025 WITH UNCERTAINTIES",$N$10,0)</f>
        <v>0</v>
      </c>
      <c r="Q13" s="1">
        <f>Table1[[#This Row],[High Tol]]-Table1[[#This Row],[Low Tol]]</f>
        <v>0</v>
      </c>
      <c r="R13" s="1">
        <f>2*Table1[[#This Row],[Std Error]]</f>
        <v>0</v>
      </c>
      <c r="S13" s="1" t="str">
        <f>IF(Table1[[#This Row],[High Tol]]="","N/A",IFERROR(ABS(Table1[[#This Row],[Tol Span]]/Table1[[#This Row],[Error Span]]),"N/A"))</f>
        <v>N/A</v>
      </c>
      <c r="T13" s="1" t="str">
        <f>IF(OR(Table1[[#This Row],[Low Tol]]="",Table1[[#This Row],[High Tol]]=""),"Needs Analysis",IF(Table1[[#This Row],[Ratio]]&gt;=4,"Not Significant",IF(Table1[[#This Row],[Ratio]]&gt;=2,"Semi-Significant","Significant")))</f>
        <v>Needs Analysis</v>
      </c>
      <c r="W13" s="1">
        <f>IF(Table1[[#This Row],[Cal Type]]&lt;&gt;"ACCREDITED 17025 WITH UNCERTAINTIES",0,"")</f>
        <v>0</v>
      </c>
      <c r="X13" s="1" t="str">
        <f>IF(Table1[[#This Row],[DUT Read]]="","N/A",Table1[[#This Row],[Std Error]]+Table1[[#This Row],[DUT Read]]+Table1[[#This Row],[DUT Ucty]])</f>
        <v>N/A</v>
      </c>
      <c r="Y13" s="1" t="str">
        <f>IF(Table1[[#This Row],[Std Read]]="","N/A",Table1[[#This Row],[Std Read]]+Table1[[#This Row],[Std Ucty]])</f>
        <v>N/A</v>
      </c>
      <c r="Z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 s="1" t="str">
        <f>IF(Table1[[#This Row],[Spec Type]]="","N/A",Table1[[#This Row],[Spec Type]])</f>
        <v>±</v>
      </c>
      <c r="AC13" s="1" t="str">
        <f>IF(Table1[[#This Row],[Spec Type2]]="N/A","N/A",IF(AND(Table1[[#This Row],[DUT Adj Read]]&gt;=Table1[[#This Row],[Low Tol]],Table1[[#This Row],[DUT Adj Read]]&lt;=Table1[[#This Row],[High Tol]]),"Pass","Fail"))</f>
        <v>Fail</v>
      </c>
      <c r="AD13" s="1" t="str">
        <f>IF(AND(Table1[[#This Row],[Spec Type2]]="N/A",Table1[[#This Row],[DUT Adj Read]]="N/A",Table1[[#This Row],[Std Adj Read]]="N/A"),"N/A",IF(Table1[[#This Row],[DUT Adj Read]]="N/A",IF(Table1[[#This Row],[Std Adj Read]]&gt;Table1[[#This Row],[Low Tol]],"Pass","Fail"),IF(Table1[[#This Row],[DUT Adj Read]]&gt;Table1[[#This Row],[Low Tol]],"Pass","Fail")))</f>
        <v>Pass</v>
      </c>
      <c r="AE13" s="1" t="str">
        <f>IF(AND(Table1[[#This Row],[Spec Type2]]="N/A",Table1[[#This Row],[DUT Adj Read]]="N/A",Table1[[#This Row],[Std Adj Read]]="N/A"),"N/A",IF(Table1[[#This Row],[DUT Adj Read]]="N/A",IF(Table1[[#This Row],[Std Adj Read]]&lt;Table1[[#This Row],[High Tol]],"Pass","Fail"),IF(Table1[[#This Row],[DUT Adj Read]]&lt;Table1[[#This Row],[High Tol]],"Pass","Fail")))</f>
        <v>Fail</v>
      </c>
      <c r="AF13" s="1" t="str">
        <f>IF(AND(Table1[[#This Row],[Spec Type2]]="N/A",Table1[[#This Row],[DUT Adj Read]]="N/A",Table1[[#This Row],[Std Adj Read]]="N/A"),"N/A",IF(Table1[[#This Row],[DUT Adj Read]]="N/A",IF(Table1[[#This Row],[Std Adj Read]]&gt;=Table1[[#This Row],[Low Tol]],"Pass","Fail"),IF(Table1[[#This Row],[DUT Adj Read]]&gt;=Table1[[#This Row],[Low Tol]],"Pass","Fail")))</f>
        <v>Pass</v>
      </c>
      <c r="AG13" s="1" t="str">
        <f>IF(AND(Table1[[#This Row],[Spec Type2]]="N/A",Table1[[#This Row],[DUT Adj Read]]="N/A",Table1[[#This Row],[Std Adj Read]]="N/A"),"N/A",IF(Table1[[#This Row],[DUT Adj Read]]="N/A",IF(Table1[[#This Row],[Std Adj Read]]&lt;=Table1[[#This Row],[High Tol]],"Pass","Fail"),IF(Table1[[#This Row],[DUT Adj Read]]&lt;=Table1[[#This Row],[High Tol]],"Pass","Fail")))</f>
        <v>Fail</v>
      </c>
      <c r="AH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3" s="5" t="s">
        <v>38</v>
      </c>
      <c r="AM13" s="1" t="b">
        <v>0</v>
      </c>
      <c r="AN13" s="1" t="b">
        <v>0</v>
      </c>
      <c r="AO13" s="1" t="b">
        <v>0</v>
      </c>
    </row>
    <row r="14" spans="1:41" x14ac:dyDescent="0.25">
      <c r="A14" s="10"/>
      <c r="B14" s="10"/>
      <c r="C14" s="10"/>
      <c r="D14" s="10"/>
      <c r="E14" s="10"/>
      <c r="F14" s="10"/>
      <c r="G14" s="10"/>
      <c r="H14" s="10"/>
      <c r="I14" s="1" t="str">
        <f t="shared" si="2"/>
        <v/>
      </c>
      <c r="J14" s="1" t="s">
        <v>35</v>
      </c>
      <c r="K14" s="1" t="str">
        <f t="shared" si="0"/>
        <v/>
      </c>
      <c r="L14" s="1" t="str">
        <f t="shared" si="1"/>
        <v/>
      </c>
      <c r="M14" s="1">
        <f>IF(OR(Table1[[#This Row],[Std Nom]]="",Table1[[#This Row],[Std Read]]=""),0,Table1[[#This Row],[Std Nom]]-Table1[[#This Row],[Std Read]])</f>
        <v>0</v>
      </c>
      <c r="N14" s="1">
        <f>IF(Calculations!$F$5="ACCREDITED 17025 WITH UNCERTAINTIES",$N$10,0)</f>
        <v>0</v>
      </c>
      <c r="Q14" s="1">
        <f>Table1[[#This Row],[High Tol]]-Table1[[#This Row],[Low Tol]]</f>
        <v>0</v>
      </c>
      <c r="R14" s="1">
        <f>2*Table1[[#This Row],[Std Error]]</f>
        <v>0</v>
      </c>
      <c r="S14" s="1" t="str">
        <f>IF(Table1[[#This Row],[High Tol]]="","N/A",IFERROR(ABS(Table1[[#This Row],[Tol Span]]/Table1[[#This Row],[Error Span]]),"N/A"))</f>
        <v>N/A</v>
      </c>
      <c r="T14" s="1" t="str">
        <f>IF(OR(Table1[[#This Row],[Low Tol]]="",Table1[[#This Row],[High Tol]]=""),"Needs Analysis",IF(Table1[[#This Row],[Ratio]]&gt;=4,"Not Significant",IF(Table1[[#This Row],[Ratio]]&gt;=2,"Semi-Significant","Significant")))</f>
        <v>Needs Analysis</v>
      </c>
      <c r="W14" s="1">
        <f>IF(Table1[[#This Row],[Cal Type]]&lt;&gt;"ACCREDITED 17025 WITH UNCERTAINTIES",0,"")</f>
        <v>0</v>
      </c>
      <c r="X14" s="1" t="str">
        <f>IF(Table1[[#This Row],[DUT Read]]="","N/A",Table1[[#This Row],[Std Error]]+Table1[[#This Row],[DUT Read]]+Table1[[#This Row],[DUT Ucty]])</f>
        <v>N/A</v>
      </c>
      <c r="Y14" s="1" t="str">
        <f>IF(Table1[[#This Row],[Std Read]]="","N/A",Table1[[#This Row],[Std Read]]+Table1[[#This Row],[Std Ucty]])</f>
        <v>N/A</v>
      </c>
      <c r="Z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 s="1" t="str">
        <f>IF(Table1[[#This Row],[Spec Type]]="","N/A",Table1[[#This Row],[Spec Type]])</f>
        <v>±</v>
      </c>
      <c r="AC14" s="1" t="str">
        <f>IF(Table1[[#This Row],[Spec Type2]]="N/A","N/A",IF(AND(Table1[[#This Row],[DUT Adj Read]]&gt;=Table1[[#This Row],[Low Tol]],Table1[[#This Row],[DUT Adj Read]]&lt;=Table1[[#This Row],[High Tol]]),"Pass","Fail"))</f>
        <v>Fail</v>
      </c>
      <c r="AD14" s="1" t="str">
        <f>IF(AND(Table1[[#This Row],[Spec Type2]]="N/A",Table1[[#This Row],[DUT Adj Read]]="N/A",Table1[[#This Row],[Std Adj Read]]="N/A"),"N/A",IF(Table1[[#This Row],[DUT Adj Read]]="N/A",IF(Table1[[#This Row],[Std Adj Read]]&gt;Table1[[#This Row],[Low Tol]],"Pass","Fail"),IF(Table1[[#This Row],[DUT Adj Read]]&gt;Table1[[#This Row],[Low Tol]],"Pass","Fail")))</f>
        <v>Pass</v>
      </c>
      <c r="AE14" s="1" t="str">
        <f>IF(AND(Table1[[#This Row],[Spec Type2]]="N/A",Table1[[#This Row],[DUT Adj Read]]="N/A",Table1[[#This Row],[Std Adj Read]]="N/A"),"N/A",IF(Table1[[#This Row],[DUT Adj Read]]="N/A",IF(Table1[[#This Row],[Std Adj Read]]&lt;Table1[[#This Row],[High Tol]],"Pass","Fail"),IF(Table1[[#This Row],[DUT Adj Read]]&lt;Table1[[#This Row],[High Tol]],"Pass","Fail")))</f>
        <v>Fail</v>
      </c>
      <c r="AF14" s="1" t="str">
        <f>IF(AND(Table1[[#This Row],[Spec Type2]]="N/A",Table1[[#This Row],[DUT Adj Read]]="N/A",Table1[[#This Row],[Std Adj Read]]="N/A"),"N/A",IF(Table1[[#This Row],[DUT Adj Read]]="N/A",IF(Table1[[#This Row],[Std Adj Read]]&gt;=Table1[[#This Row],[Low Tol]],"Pass","Fail"),IF(Table1[[#This Row],[DUT Adj Read]]&gt;=Table1[[#This Row],[Low Tol]],"Pass","Fail")))</f>
        <v>Pass</v>
      </c>
      <c r="AG14" s="1" t="str">
        <f>IF(AND(Table1[[#This Row],[Spec Type2]]="N/A",Table1[[#This Row],[DUT Adj Read]]="N/A",Table1[[#This Row],[Std Adj Read]]="N/A"),"N/A",IF(Table1[[#This Row],[DUT Adj Read]]="N/A",IF(Table1[[#This Row],[Std Adj Read]]&lt;=Table1[[#This Row],[High Tol]],"Pass","Fail"),IF(Table1[[#This Row],[DUT Adj Read]]&lt;=Table1[[#This Row],[High Tol]],"Pass","Fail")))</f>
        <v>Fail</v>
      </c>
      <c r="AH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4" s="5" t="s">
        <v>39</v>
      </c>
      <c r="AM14" s="1" t="b">
        <v>0</v>
      </c>
      <c r="AN14" s="1" t="b">
        <v>0</v>
      </c>
      <c r="AO14" s="1" t="b">
        <v>0</v>
      </c>
    </row>
    <row r="15" spans="1:41" x14ac:dyDescent="0.25">
      <c r="A15" s="10"/>
      <c r="B15" s="10"/>
      <c r="C15" s="10"/>
      <c r="D15" s="10"/>
      <c r="E15" s="10"/>
      <c r="F15" s="10"/>
      <c r="G15" s="10"/>
      <c r="H15" s="10"/>
      <c r="I15" s="1" t="str">
        <f t="shared" si="2"/>
        <v/>
      </c>
      <c r="J15" s="1" t="s">
        <v>35</v>
      </c>
      <c r="K15" s="1" t="str">
        <f t="shared" si="0"/>
        <v/>
      </c>
      <c r="L15" s="1" t="str">
        <f t="shared" si="1"/>
        <v/>
      </c>
      <c r="M15" s="1">
        <f>IF(OR(Table1[[#This Row],[Std Nom]]="",Table1[[#This Row],[Std Read]]=""),0,Table1[[#This Row],[Std Nom]]-Table1[[#This Row],[Std Read]])</f>
        <v>0</v>
      </c>
      <c r="N15" s="1">
        <f>IF(Calculations!$F$5="ACCREDITED 17025 WITH UNCERTAINTIES",$N$10,0)</f>
        <v>0</v>
      </c>
      <c r="Q15" s="1">
        <f>Table1[[#This Row],[High Tol]]-Table1[[#This Row],[Low Tol]]</f>
        <v>0</v>
      </c>
      <c r="R15" s="1">
        <f>2*Table1[[#This Row],[Std Error]]</f>
        <v>0</v>
      </c>
      <c r="S15" s="1" t="str">
        <f>IF(Table1[[#This Row],[High Tol]]="","N/A",IFERROR(ABS(Table1[[#This Row],[Tol Span]]/Table1[[#This Row],[Error Span]]),"N/A"))</f>
        <v>N/A</v>
      </c>
      <c r="T15" s="1" t="str">
        <f>IF(OR(Table1[[#This Row],[Low Tol]]="",Table1[[#This Row],[High Tol]]=""),"Needs Analysis",IF(Table1[[#This Row],[Ratio]]&gt;=4,"Not Significant",IF(Table1[[#This Row],[Ratio]]&gt;=2,"Semi-Significant","Significant")))</f>
        <v>Needs Analysis</v>
      </c>
      <c r="W15" s="1">
        <f>IF(Table1[[#This Row],[Cal Type]]&lt;&gt;"ACCREDITED 17025 WITH UNCERTAINTIES",0,"")</f>
        <v>0</v>
      </c>
      <c r="X15" s="1" t="str">
        <f>IF(Table1[[#This Row],[DUT Read]]="","N/A",Table1[[#This Row],[Std Error]]+Table1[[#This Row],[DUT Read]]+Table1[[#This Row],[DUT Ucty]])</f>
        <v>N/A</v>
      </c>
      <c r="Y15" s="1" t="str">
        <f>IF(Table1[[#This Row],[Std Read]]="","N/A",Table1[[#This Row],[Std Read]]+Table1[[#This Row],[Std Ucty]])</f>
        <v>N/A</v>
      </c>
      <c r="Z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 s="1" t="str">
        <f>IF(Table1[[#This Row],[Spec Type]]="","N/A",Table1[[#This Row],[Spec Type]])</f>
        <v>±</v>
      </c>
      <c r="AC15" s="1" t="str">
        <f>IF(Table1[[#This Row],[Spec Type2]]="N/A","N/A",IF(AND(Table1[[#This Row],[DUT Adj Read]]&gt;=Table1[[#This Row],[Low Tol]],Table1[[#This Row],[DUT Adj Read]]&lt;=Table1[[#This Row],[High Tol]]),"Pass","Fail"))</f>
        <v>Fail</v>
      </c>
      <c r="AD15" s="1" t="str">
        <f>IF(AND(Table1[[#This Row],[Spec Type2]]="N/A",Table1[[#This Row],[DUT Adj Read]]="N/A",Table1[[#This Row],[Std Adj Read]]="N/A"),"N/A",IF(Table1[[#This Row],[DUT Adj Read]]="N/A",IF(Table1[[#This Row],[Std Adj Read]]&gt;Table1[[#This Row],[Low Tol]],"Pass","Fail"),IF(Table1[[#This Row],[DUT Adj Read]]&gt;Table1[[#This Row],[Low Tol]],"Pass","Fail")))</f>
        <v>Pass</v>
      </c>
      <c r="AE15" s="1" t="str">
        <f>IF(AND(Table1[[#This Row],[Spec Type2]]="N/A",Table1[[#This Row],[DUT Adj Read]]="N/A",Table1[[#This Row],[Std Adj Read]]="N/A"),"N/A",IF(Table1[[#This Row],[DUT Adj Read]]="N/A",IF(Table1[[#This Row],[Std Adj Read]]&lt;Table1[[#This Row],[High Tol]],"Pass","Fail"),IF(Table1[[#This Row],[DUT Adj Read]]&lt;Table1[[#This Row],[High Tol]],"Pass","Fail")))</f>
        <v>Fail</v>
      </c>
      <c r="AF15" s="1" t="str">
        <f>IF(AND(Table1[[#This Row],[Spec Type2]]="N/A",Table1[[#This Row],[DUT Adj Read]]="N/A",Table1[[#This Row],[Std Adj Read]]="N/A"),"N/A",IF(Table1[[#This Row],[DUT Adj Read]]="N/A",IF(Table1[[#This Row],[Std Adj Read]]&gt;=Table1[[#This Row],[Low Tol]],"Pass","Fail"),IF(Table1[[#This Row],[DUT Adj Read]]&gt;=Table1[[#This Row],[Low Tol]],"Pass","Fail")))</f>
        <v>Pass</v>
      </c>
      <c r="AG15" s="1" t="str">
        <f>IF(AND(Table1[[#This Row],[Spec Type2]]="N/A",Table1[[#This Row],[DUT Adj Read]]="N/A",Table1[[#This Row],[Std Adj Read]]="N/A"),"N/A",IF(Table1[[#This Row],[DUT Adj Read]]="N/A",IF(Table1[[#This Row],[Std Adj Read]]&lt;=Table1[[#This Row],[High Tol]],"Pass","Fail"),IF(Table1[[#This Row],[DUT Adj Read]]&lt;=Table1[[#This Row],[High Tol]],"Pass","Fail")))</f>
        <v>Fail</v>
      </c>
      <c r="AH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 s="1" t="b">
        <v>0</v>
      </c>
      <c r="AN15" s="1" t="b">
        <v>0</v>
      </c>
      <c r="AO15" s="1" t="b">
        <v>0</v>
      </c>
    </row>
    <row r="16" spans="1:41" x14ac:dyDescent="0.25">
      <c r="A16" s="10"/>
      <c r="B16" s="10"/>
      <c r="C16" s="10"/>
      <c r="D16" s="10"/>
      <c r="E16" s="10"/>
      <c r="F16" s="10"/>
      <c r="G16" s="10"/>
      <c r="H16" s="10"/>
      <c r="I16" s="1" t="str">
        <f t="shared" si="2"/>
        <v/>
      </c>
      <c r="J16" s="1" t="s">
        <v>35</v>
      </c>
      <c r="K16" s="1" t="str">
        <f t="shared" si="0"/>
        <v/>
      </c>
      <c r="L16" s="1" t="str">
        <f t="shared" si="1"/>
        <v/>
      </c>
      <c r="M16" s="1">
        <f>IF(OR(Table1[[#This Row],[Std Nom]]="",Table1[[#This Row],[Std Read]]=""),0,Table1[[#This Row],[Std Nom]]-Table1[[#This Row],[Std Read]])</f>
        <v>0</v>
      </c>
      <c r="N16" s="1">
        <f>IF(Calculations!$F$5="ACCREDITED 17025 WITH UNCERTAINTIES",$N$10,0)</f>
        <v>0</v>
      </c>
      <c r="Q16" s="1">
        <f>Table1[[#This Row],[High Tol]]-Table1[[#This Row],[Low Tol]]</f>
        <v>0</v>
      </c>
      <c r="R16" s="1">
        <f>2*Table1[[#This Row],[Std Error]]</f>
        <v>0</v>
      </c>
      <c r="S16" s="1" t="str">
        <f>IF(Table1[[#This Row],[High Tol]]="","N/A",IFERROR(ABS(Table1[[#This Row],[Tol Span]]/Table1[[#This Row],[Error Span]]),"N/A"))</f>
        <v>N/A</v>
      </c>
      <c r="T16" s="1" t="str">
        <f>IF(OR(Table1[[#This Row],[Low Tol]]="",Table1[[#This Row],[High Tol]]=""),"Needs Analysis",IF(Table1[[#This Row],[Ratio]]&gt;=4,"Not Significant",IF(Table1[[#This Row],[Ratio]]&gt;=2,"Semi-Significant","Significant")))</f>
        <v>Needs Analysis</v>
      </c>
      <c r="W16" s="1">
        <f>IF(Table1[[#This Row],[Cal Type]]&lt;&gt;"ACCREDITED 17025 WITH UNCERTAINTIES",0,"")</f>
        <v>0</v>
      </c>
      <c r="X16" s="1" t="str">
        <f>IF(Table1[[#This Row],[DUT Read]]="","N/A",Table1[[#This Row],[Std Error]]+Table1[[#This Row],[DUT Read]]+Table1[[#This Row],[DUT Ucty]])</f>
        <v>N/A</v>
      </c>
      <c r="Y16" s="1" t="str">
        <f>IF(Table1[[#This Row],[Std Read]]="","N/A",Table1[[#This Row],[Std Read]]+Table1[[#This Row],[Std Ucty]])</f>
        <v>N/A</v>
      </c>
      <c r="Z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 s="1" t="str">
        <f>IF(Table1[[#This Row],[Spec Type]]="","N/A",Table1[[#This Row],[Spec Type]])</f>
        <v>±</v>
      </c>
      <c r="AC16" s="1" t="str">
        <f>IF(Table1[[#This Row],[Spec Type2]]="N/A","N/A",IF(AND(Table1[[#This Row],[DUT Adj Read]]&gt;=Table1[[#This Row],[Low Tol]],Table1[[#This Row],[DUT Adj Read]]&lt;=Table1[[#This Row],[High Tol]]),"Pass","Fail"))</f>
        <v>Fail</v>
      </c>
      <c r="AD16" s="1" t="str">
        <f>IF(AND(Table1[[#This Row],[Spec Type2]]="N/A",Table1[[#This Row],[DUT Adj Read]]="N/A",Table1[[#This Row],[Std Adj Read]]="N/A"),"N/A",IF(Table1[[#This Row],[DUT Adj Read]]="N/A",IF(Table1[[#This Row],[Std Adj Read]]&gt;Table1[[#This Row],[Low Tol]],"Pass","Fail"),IF(Table1[[#This Row],[DUT Adj Read]]&gt;Table1[[#This Row],[Low Tol]],"Pass","Fail")))</f>
        <v>Pass</v>
      </c>
      <c r="AE16" s="1" t="str">
        <f>IF(AND(Table1[[#This Row],[Spec Type2]]="N/A",Table1[[#This Row],[DUT Adj Read]]="N/A",Table1[[#This Row],[Std Adj Read]]="N/A"),"N/A",IF(Table1[[#This Row],[DUT Adj Read]]="N/A",IF(Table1[[#This Row],[Std Adj Read]]&lt;Table1[[#This Row],[High Tol]],"Pass","Fail"),IF(Table1[[#This Row],[DUT Adj Read]]&lt;Table1[[#This Row],[High Tol]],"Pass","Fail")))</f>
        <v>Fail</v>
      </c>
      <c r="AF16" s="1" t="str">
        <f>IF(AND(Table1[[#This Row],[Spec Type2]]="N/A",Table1[[#This Row],[DUT Adj Read]]="N/A",Table1[[#This Row],[Std Adj Read]]="N/A"),"N/A",IF(Table1[[#This Row],[DUT Adj Read]]="N/A",IF(Table1[[#This Row],[Std Adj Read]]&gt;=Table1[[#This Row],[Low Tol]],"Pass","Fail"),IF(Table1[[#This Row],[DUT Adj Read]]&gt;=Table1[[#This Row],[Low Tol]],"Pass","Fail")))</f>
        <v>Pass</v>
      </c>
      <c r="AG16" s="1" t="str">
        <f>IF(AND(Table1[[#This Row],[Spec Type2]]="N/A",Table1[[#This Row],[DUT Adj Read]]="N/A",Table1[[#This Row],[Std Adj Read]]="N/A"),"N/A",IF(Table1[[#This Row],[DUT Adj Read]]="N/A",IF(Table1[[#This Row],[Std Adj Read]]&lt;=Table1[[#This Row],[High Tol]],"Pass","Fail"),IF(Table1[[#This Row],[DUT Adj Read]]&lt;=Table1[[#This Row],[High Tol]],"Pass","Fail")))</f>
        <v>Fail</v>
      </c>
      <c r="AH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 s="1" t="b">
        <v>0</v>
      </c>
      <c r="AN16" s="1" t="b">
        <v>0</v>
      </c>
      <c r="AO16" s="1" t="b">
        <v>0</v>
      </c>
    </row>
    <row r="17" spans="1:41" x14ac:dyDescent="0.25">
      <c r="A17" s="10"/>
      <c r="B17" s="10"/>
      <c r="C17" s="10"/>
      <c r="D17" s="10"/>
      <c r="E17" s="10"/>
      <c r="F17" s="10"/>
      <c r="G17" s="10"/>
      <c r="H17" s="10"/>
      <c r="I17" s="1" t="str">
        <f t="shared" si="2"/>
        <v/>
      </c>
      <c r="J17" s="1" t="s">
        <v>35</v>
      </c>
      <c r="K17" s="1" t="str">
        <f t="shared" si="0"/>
        <v/>
      </c>
      <c r="L17" s="1" t="str">
        <f t="shared" si="1"/>
        <v/>
      </c>
      <c r="M17" s="1">
        <f>IF(OR(Table1[[#This Row],[Std Nom]]="",Table1[[#This Row],[Std Read]]=""),0,Table1[[#This Row],[Std Nom]]-Table1[[#This Row],[Std Read]])</f>
        <v>0</v>
      </c>
      <c r="N17" s="1">
        <f>IF(Calculations!$F$5="ACCREDITED 17025 WITH UNCERTAINTIES",$N$10,0)</f>
        <v>0</v>
      </c>
      <c r="Q17" s="1">
        <f>Table1[[#This Row],[High Tol]]-Table1[[#This Row],[Low Tol]]</f>
        <v>0</v>
      </c>
      <c r="R17" s="1">
        <f>2*Table1[[#This Row],[Std Error]]</f>
        <v>0</v>
      </c>
      <c r="S17" s="1" t="str">
        <f>IF(Table1[[#This Row],[High Tol]]="","N/A",IFERROR(ABS(Table1[[#This Row],[Tol Span]]/Table1[[#This Row],[Error Span]]),"N/A"))</f>
        <v>N/A</v>
      </c>
      <c r="T17" s="1" t="str">
        <f>IF(OR(Table1[[#This Row],[Low Tol]]="",Table1[[#This Row],[High Tol]]=""),"Needs Analysis",IF(Table1[[#This Row],[Ratio]]&gt;=4,"Not Significant",IF(Table1[[#This Row],[Ratio]]&gt;=2,"Semi-Significant","Significant")))</f>
        <v>Needs Analysis</v>
      </c>
      <c r="W17" s="1">
        <f>IF(Table1[[#This Row],[Cal Type]]&lt;&gt;"ACCREDITED 17025 WITH UNCERTAINTIES",0,"")</f>
        <v>0</v>
      </c>
      <c r="X17" s="1" t="str">
        <f>IF(Table1[[#This Row],[DUT Read]]="","N/A",Table1[[#This Row],[Std Error]]+Table1[[#This Row],[DUT Read]]+Table1[[#This Row],[DUT Ucty]])</f>
        <v>N/A</v>
      </c>
      <c r="Y17" s="1" t="str">
        <f>IF(Table1[[#This Row],[Std Read]]="","N/A",Table1[[#This Row],[Std Read]]+Table1[[#This Row],[Std Ucty]])</f>
        <v>N/A</v>
      </c>
      <c r="Z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 s="1" t="str">
        <f>IF(Table1[[#This Row],[Spec Type]]="","N/A",Table1[[#This Row],[Spec Type]])</f>
        <v>±</v>
      </c>
      <c r="AC17" s="1" t="str">
        <f>IF(Table1[[#This Row],[Spec Type2]]="N/A","N/A",IF(AND(Table1[[#This Row],[DUT Adj Read]]&gt;=Table1[[#This Row],[Low Tol]],Table1[[#This Row],[DUT Adj Read]]&lt;=Table1[[#This Row],[High Tol]]),"Pass","Fail"))</f>
        <v>Fail</v>
      </c>
      <c r="AD17" s="1" t="str">
        <f>IF(AND(Table1[[#This Row],[Spec Type2]]="N/A",Table1[[#This Row],[DUT Adj Read]]="N/A",Table1[[#This Row],[Std Adj Read]]="N/A"),"N/A",IF(Table1[[#This Row],[DUT Adj Read]]="N/A",IF(Table1[[#This Row],[Std Adj Read]]&gt;Table1[[#This Row],[Low Tol]],"Pass","Fail"),IF(Table1[[#This Row],[DUT Adj Read]]&gt;Table1[[#This Row],[Low Tol]],"Pass","Fail")))</f>
        <v>Pass</v>
      </c>
      <c r="AE17" s="1" t="str">
        <f>IF(AND(Table1[[#This Row],[Spec Type2]]="N/A",Table1[[#This Row],[DUT Adj Read]]="N/A",Table1[[#This Row],[Std Adj Read]]="N/A"),"N/A",IF(Table1[[#This Row],[DUT Adj Read]]="N/A",IF(Table1[[#This Row],[Std Adj Read]]&lt;Table1[[#This Row],[High Tol]],"Pass","Fail"),IF(Table1[[#This Row],[DUT Adj Read]]&lt;Table1[[#This Row],[High Tol]],"Pass","Fail")))</f>
        <v>Fail</v>
      </c>
      <c r="AF17" s="1" t="str">
        <f>IF(AND(Table1[[#This Row],[Spec Type2]]="N/A",Table1[[#This Row],[DUT Adj Read]]="N/A",Table1[[#This Row],[Std Adj Read]]="N/A"),"N/A",IF(Table1[[#This Row],[DUT Adj Read]]="N/A",IF(Table1[[#This Row],[Std Adj Read]]&gt;=Table1[[#This Row],[Low Tol]],"Pass","Fail"),IF(Table1[[#This Row],[DUT Adj Read]]&gt;=Table1[[#This Row],[Low Tol]],"Pass","Fail")))</f>
        <v>Pass</v>
      </c>
      <c r="AG17" s="1" t="str">
        <f>IF(AND(Table1[[#This Row],[Spec Type2]]="N/A",Table1[[#This Row],[DUT Adj Read]]="N/A",Table1[[#This Row],[Std Adj Read]]="N/A"),"N/A",IF(Table1[[#This Row],[DUT Adj Read]]="N/A",IF(Table1[[#This Row],[Std Adj Read]]&lt;=Table1[[#This Row],[High Tol]],"Pass","Fail"),IF(Table1[[#This Row],[DUT Adj Read]]&lt;=Table1[[#This Row],[High Tol]],"Pass","Fail")))</f>
        <v>Fail</v>
      </c>
      <c r="AH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7" s="1" t="s">
        <v>48</v>
      </c>
      <c r="AM17" s="1" t="b">
        <v>0</v>
      </c>
      <c r="AN17" s="1" t="b">
        <v>0</v>
      </c>
      <c r="AO17" s="1" t="b">
        <v>0</v>
      </c>
    </row>
    <row r="18" spans="1:41" x14ac:dyDescent="0.25">
      <c r="A18" s="10"/>
      <c r="B18" s="10"/>
      <c r="C18" s="10"/>
      <c r="D18" s="10"/>
      <c r="E18" s="10"/>
      <c r="F18" s="10"/>
      <c r="G18" s="10"/>
      <c r="H18" s="10"/>
      <c r="I18" s="1" t="str">
        <f t="shared" si="2"/>
        <v/>
      </c>
      <c r="J18" s="1" t="s">
        <v>35</v>
      </c>
      <c r="K18" s="1" t="str">
        <f t="shared" si="0"/>
        <v/>
      </c>
      <c r="L18" s="1" t="str">
        <f t="shared" si="1"/>
        <v/>
      </c>
      <c r="M18" s="1">
        <f>IF(OR(Table1[[#This Row],[Std Nom]]="",Table1[[#This Row],[Std Read]]=""),0,Table1[[#This Row],[Std Nom]]-Table1[[#This Row],[Std Read]])</f>
        <v>0</v>
      </c>
      <c r="N18" s="1">
        <f>IF(Calculations!$F$5="ACCREDITED 17025 WITH UNCERTAINTIES",$N$10,0)</f>
        <v>0</v>
      </c>
      <c r="Q18" s="1">
        <f>Table1[[#This Row],[High Tol]]-Table1[[#This Row],[Low Tol]]</f>
        <v>0</v>
      </c>
      <c r="R18" s="1">
        <f>2*Table1[[#This Row],[Std Error]]</f>
        <v>0</v>
      </c>
      <c r="S18" s="1" t="str">
        <f>IF(Table1[[#This Row],[High Tol]]="","N/A",IFERROR(ABS(Table1[[#This Row],[Tol Span]]/Table1[[#This Row],[Error Span]]),"N/A"))</f>
        <v>N/A</v>
      </c>
      <c r="T18" s="1" t="str">
        <f>IF(OR(Table1[[#This Row],[Low Tol]]="",Table1[[#This Row],[High Tol]]=""),"Needs Analysis",IF(Table1[[#This Row],[Ratio]]&gt;=4,"Not Significant",IF(Table1[[#This Row],[Ratio]]&gt;=2,"Semi-Significant","Significant")))</f>
        <v>Needs Analysis</v>
      </c>
      <c r="W18" s="1">
        <f>IF(Table1[[#This Row],[Cal Type]]&lt;&gt;"ACCREDITED 17025 WITH UNCERTAINTIES",0,"")</f>
        <v>0</v>
      </c>
      <c r="X18" s="1" t="str">
        <f>IF(Table1[[#This Row],[DUT Read]]="","N/A",Table1[[#This Row],[Std Error]]+Table1[[#This Row],[DUT Read]]+Table1[[#This Row],[DUT Ucty]])</f>
        <v>N/A</v>
      </c>
      <c r="Y18" s="1" t="str">
        <f>IF(Table1[[#This Row],[Std Read]]="","N/A",Table1[[#This Row],[Std Read]]+Table1[[#This Row],[Std Ucty]])</f>
        <v>N/A</v>
      </c>
      <c r="Z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 s="1" t="str">
        <f>IF(Table1[[#This Row],[Spec Type]]="","N/A",Table1[[#This Row],[Spec Type]])</f>
        <v>±</v>
      </c>
      <c r="AC18" s="1" t="str">
        <f>IF(Table1[[#This Row],[Spec Type2]]="N/A","N/A",IF(AND(Table1[[#This Row],[DUT Adj Read]]&gt;=Table1[[#This Row],[Low Tol]],Table1[[#This Row],[DUT Adj Read]]&lt;=Table1[[#This Row],[High Tol]]),"Pass","Fail"))</f>
        <v>Fail</v>
      </c>
      <c r="AD18" s="1" t="str">
        <f>IF(AND(Table1[[#This Row],[Spec Type2]]="N/A",Table1[[#This Row],[DUT Adj Read]]="N/A",Table1[[#This Row],[Std Adj Read]]="N/A"),"N/A",IF(Table1[[#This Row],[DUT Adj Read]]="N/A",IF(Table1[[#This Row],[Std Adj Read]]&gt;Table1[[#This Row],[Low Tol]],"Pass","Fail"),IF(Table1[[#This Row],[DUT Adj Read]]&gt;Table1[[#This Row],[Low Tol]],"Pass","Fail")))</f>
        <v>Pass</v>
      </c>
      <c r="AE18" s="1" t="str">
        <f>IF(AND(Table1[[#This Row],[Spec Type2]]="N/A",Table1[[#This Row],[DUT Adj Read]]="N/A",Table1[[#This Row],[Std Adj Read]]="N/A"),"N/A",IF(Table1[[#This Row],[DUT Adj Read]]="N/A",IF(Table1[[#This Row],[Std Adj Read]]&lt;Table1[[#This Row],[High Tol]],"Pass","Fail"),IF(Table1[[#This Row],[DUT Adj Read]]&lt;Table1[[#This Row],[High Tol]],"Pass","Fail")))</f>
        <v>Fail</v>
      </c>
      <c r="AF18" s="1" t="str">
        <f>IF(AND(Table1[[#This Row],[Spec Type2]]="N/A",Table1[[#This Row],[DUT Adj Read]]="N/A",Table1[[#This Row],[Std Adj Read]]="N/A"),"N/A",IF(Table1[[#This Row],[DUT Adj Read]]="N/A",IF(Table1[[#This Row],[Std Adj Read]]&gt;=Table1[[#This Row],[Low Tol]],"Pass","Fail"),IF(Table1[[#This Row],[DUT Adj Read]]&gt;=Table1[[#This Row],[Low Tol]],"Pass","Fail")))</f>
        <v>Pass</v>
      </c>
      <c r="AG18" s="1" t="str">
        <f>IF(AND(Table1[[#This Row],[Spec Type2]]="N/A",Table1[[#This Row],[DUT Adj Read]]="N/A",Table1[[#This Row],[Std Adj Read]]="N/A"),"N/A",IF(Table1[[#This Row],[DUT Adj Read]]="N/A",IF(Table1[[#This Row],[Std Adj Read]]&lt;=Table1[[#This Row],[High Tol]],"Pass","Fail"),IF(Table1[[#This Row],[DUT Adj Read]]&lt;=Table1[[#This Row],[High Tol]],"Pass","Fail")))</f>
        <v>Fail</v>
      </c>
      <c r="AH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8" s="1" t="s">
        <v>124</v>
      </c>
      <c r="AM18" s="1" t="b">
        <v>0</v>
      </c>
      <c r="AN18" s="1" t="b">
        <v>0</v>
      </c>
      <c r="AO18" s="1" t="b">
        <v>0</v>
      </c>
    </row>
    <row r="19" spans="1:41" x14ac:dyDescent="0.25">
      <c r="A19" s="10"/>
      <c r="B19" s="10"/>
      <c r="C19" s="10"/>
      <c r="D19" s="10"/>
      <c r="E19" s="10"/>
      <c r="F19" s="10"/>
      <c r="G19" s="10"/>
      <c r="H19" s="10"/>
      <c r="I19" s="1" t="str">
        <f t="shared" si="2"/>
        <v/>
      </c>
      <c r="J19" s="1" t="s">
        <v>35</v>
      </c>
      <c r="K19" s="1" t="str">
        <f t="shared" si="0"/>
        <v/>
      </c>
      <c r="L19" s="1" t="str">
        <f t="shared" si="1"/>
        <v/>
      </c>
      <c r="M19" s="1">
        <f>IF(OR(Table1[[#This Row],[Std Nom]]="",Table1[[#This Row],[Std Read]]=""),0,Table1[[#This Row],[Std Nom]]-Table1[[#This Row],[Std Read]])</f>
        <v>0</v>
      </c>
      <c r="N19" s="1">
        <f>IF(Calculations!$F$5="ACCREDITED 17025 WITH UNCERTAINTIES",$N$10,0)</f>
        <v>0</v>
      </c>
      <c r="Q19" s="1">
        <f>Table1[[#This Row],[High Tol]]-Table1[[#This Row],[Low Tol]]</f>
        <v>0</v>
      </c>
      <c r="R19" s="1">
        <f>2*Table1[[#This Row],[Std Error]]</f>
        <v>0</v>
      </c>
      <c r="S19" s="1" t="str">
        <f>IF(Table1[[#This Row],[High Tol]]="","N/A",IFERROR(ABS(Table1[[#This Row],[Tol Span]]/Table1[[#This Row],[Error Span]]),"N/A"))</f>
        <v>N/A</v>
      </c>
      <c r="T19" s="1" t="str">
        <f>IF(OR(Table1[[#This Row],[Low Tol]]="",Table1[[#This Row],[High Tol]]=""),"Needs Analysis",IF(Table1[[#This Row],[Ratio]]&gt;=4,"Not Significant",IF(Table1[[#This Row],[Ratio]]&gt;=2,"Semi-Significant","Significant")))</f>
        <v>Needs Analysis</v>
      </c>
      <c r="W19" s="1">
        <f>IF(Table1[[#This Row],[Cal Type]]&lt;&gt;"ACCREDITED 17025 WITH UNCERTAINTIES",0,"")</f>
        <v>0</v>
      </c>
      <c r="X19" s="1" t="str">
        <f>IF(Table1[[#This Row],[DUT Read]]="","N/A",Table1[[#This Row],[Std Error]]+Table1[[#This Row],[DUT Read]]+Table1[[#This Row],[DUT Ucty]])</f>
        <v>N/A</v>
      </c>
      <c r="Y19" s="1" t="str">
        <f>IF(Table1[[#This Row],[Std Read]]="","N/A",Table1[[#This Row],[Std Read]]+Table1[[#This Row],[Std Ucty]])</f>
        <v>N/A</v>
      </c>
      <c r="Z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 s="1" t="str">
        <f>IF(Table1[[#This Row],[Spec Type]]="","N/A",Table1[[#This Row],[Spec Type]])</f>
        <v>±</v>
      </c>
      <c r="AC19" s="1" t="str">
        <f>IF(Table1[[#This Row],[Spec Type2]]="N/A","N/A",IF(AND(Table1[[#This Row],[DUT Adj Read]]&gt;=Table1[[#This Row],[Low Tol]],Table1[[#This Row],[DUT Adj Read]]&lt;=Table1[[#This Row],[High Tol]]),"Pass","Fail"))</f>
        <v>Fail</v>
      </c>
      <c r="AD19" s="1" t="str">
        <f>IF(AND(Table1[[#This Row],[Spec Type2]]="N/A",Table1[[#This Row],[DUT Adj Read]]="N/A",Table1[[#This Row],[Std Adj Read]]="N/A"),"N/A",IF(Table1[[#This Row],[DUT Adj Read]]="N/A",IF(Table1[[#This Row],[Std Adj Read]]&gt;Table1[[#This Row],[Low Tol]],"Pass","Fail"),IF(Table1[[#This Row],[DUT Adj Read]]&gt;Table1[[#This Row],[Low Tol]],"Pass","Fail")))</f>
        <v>Pass</v>
      </c>
      <c r="AE19" s="1" t="str">
        <f>IF(AND(Table1[[#This Row],[Spec Type2]]="N/A",Table1[[#This Row],[DUT Adj Read]]="N/A",Table1[[#This Row],[Std Adj Read]]="N/A"),"N/A",IF(Table1[[#This Row],[DUT Adj Read]]="N/A",IF(Table1[[#This Row],[Std Adj Read]]&lt;Table1[[#This Row],[High Tol]],"Pass","Fail"),IF(Table1[[#This Row],[DUT Adj Read]]&lt;Table1[[#This Row],[High Tol]],"Pass","Fail")))</f>
        <v>Fail</v>
      </c>
      <c r="AF19" s="1" t="str">
        <f>IF(AND(Table1[[#This Row],[Spec Type2]]="N/A",Table1[[#This Row],[DUT Adj Read]]="N/A",Table1[[#This Row],[Std Adj Read]]="N/A"),"N/A",IF(Table1[[#This Row],[DUT Adj Read]]="N/A",IF(Table1[[#This Row],[Std Adj Read]]&gt;=Table1[[#This Row],[Low Tol]],"Pass","Fail"),IF(Table1[[#This Row],[DUT Adj Read]]&gt;=Table1[[#This Row],[Low Tol]],"Pass","Fail")))</f>
        <v>Pass</v>
      </c>
      <c r="AG19" s="1" t="str">
        <f>IF(AND(Table1[[#This Row],[Spec Type2]]="N/A",Table1[[#This Row],[DUT Adj Read]]="N/A",Table1[[#This Row],[Std Adj Read]]="N/A"),"N/A",IF(Table1[[#This Row],[DUT Adj Read]]="N/A",IF(Table1[[#This Row],[Std Adj Read]]&lt;=Table1[[#This Row],[High Tol]],"Pass","Fail"),IF(Table1[[#This Row],[DUT Adj Read]]&lt;=Table1[[#This Row],[High Tol]],"Pass","Fail")))</f>
        <v>Fail</v>
      </c>
      <c r="AH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19" s="1" t="s">
        <v>49</v>
      </c>
      <c r="AM19" s="1" t="b">
        <v>0</v>
      </c>
      <c r="AN19" s="1" t="b">
        <v>0</v>
      </c>
      <c r="AO19" s="1" t="b">
        <v>0</v>
      </c>
    </row>
    <row r="20" spans="1:41" x14ac:dyDescent="0.25">
      <c r="A20" s="10"/>
      <c r="B20" s="10"/>
      <c r="C20" s="10"/>
      <c r="D20" s="10"/>
      <c r="E20" s="10"/>
      <c r="F20" s="10"/>
      <c r="G20" s="10"/>
      <c r="H20" s="10"/>
      <c r="I20" s="1" t="str">
        <f t="shared" si="2"/>
        <v/>
      </c>
      <c r="J20" s="1" t="s">
        <v>35</v>
      </c>
      <c r="K20" s="1" t="str">
        <f t="shared" si="0"/>
        <v/>
      </c>
      <c r="L20" s="1" t="str">
        <f t="shared" si="1"/>
        <v/>
      </c>
      <c r="M20" s="1">
        <f>IF(OR(Table1[[#This Row],[Std Nom]]="",Table1[[#This Row],[Std Read]]=""),0,Table1[[#This Row],[Std Nom]]-Table1[[#This Row],[Std Read]])</f>
        <v>0</v>
      </c>
      <c r="N20" s="1">
        <f>IF(Calculations!$F$5="ACCREDITED 17025 WITH UNCERTAINTIES",$N$10,0)</f>
        <v>0</v>
      </c>
      <c r="Q20" s="1">
        <f>Table1[[#This Row],[High Tol]]-Table1[[#This Row],[Low Tol]]</f>
        <v>0</v>
      </c>
      <c r="R20" s="1">
        <f>2*Table1[[#This Row],[Std Error]]</f>
        <v>0</v>
      </c>
      <c r="S20" s="1" t="str">
        <f>IF(Table1[[#This Row],[High Tol]]="","N/A",IFERROR(ABS(Table1[[#This Row],[Tol Span]]/Table1[[#This Row],[Error Span]]),"N/A"))</f>
        <v>N/A</v>
      </c>
      <c r="T20" s="1" t="str">
        <f>IF(OR(Table1[[#This Row],[Low Tol]]="",Table1[[#This Row],[High Tol]]=""),"Needs Analysis",IF(Table1[[#This Row],[Ratio]]&gt;=4,"Not Significant",IF(Table1[[#This Row],[Ratio]]&gt;=2,"Semi-Significant","Significant")))</f>
        <v>Needs Analysis</v>
      </c>
      <c r="W20" s="1">
        <f>IF(Table1[[#This Row],[Cal Type]]&lt;&gt;"ACCREDITED 17025 WITH UNCERTAINTIES",0,"")</f>
        <v>0</v>
      </c>
      <c r="X20" s="1" t="str">
        <f>IF(Table1[[#This Row],[DUT Read]]="","N/A",Table1[[#This Row],[Std Error]]+Table1[[#This Row],[DUT Read]]+Table1[[#This Row],[DUT Ucty]])</f>
        <v>N/A</v>
      </c>
      <c r="Y20" s="1" t="str">
        <f>IF(Table1[[#This Row],[Std Read]]="","N/A",Table1[[#This Row],[Std Read]]+Table1[[#This Row],[Std Ucty]])</f>
        <v>N/A</v>
      </c>
      <c r="Z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 s="1" t="str">
        <f>IF(Table1[[#This Row],[Spec Type]]="","N/A",Table1[[#This Row],[Spec Type]])</f>
        <v>±</v>
      </c>
      <c r="AC20" s="1" t="str">
        <f>IF(Table1[[#This Row],[Spec Type2]]="N/A","N/A",IF(AND(Table1[[#This Row],[DUT Adj Read]]&gt;=Table1[[#This Row],[Low Tol]],Table1[[#This Row],[DUT Adj Read]]&lt;=Table1[[#This Row],[High Tol]]),"Pass","Fail"))</f>
        <v>Fail</v>
      </c>
      <c r="AD20" s="1" t="str">
        <f>IF(AND(Table1[[#This Row],[Spec Type2]]="N/A",Table1[[#This Row],[DUT Adj Read]]="N/A",Table1[[#This Row],[Std Adj Read]]="N/A"),"N/A",IF(Table1[[#This Row],[DUT Adj Read]]="N/A",IF(Table1[[#This Row],[Std Adj Read]]&gt;Table1[[#This Row],[Low Tol]],"Pass","Fail"),IF(Table1[[#This Row],[DUT Adj Read]]&gt;Table1[[#This Row],[Low Tol]],"Pass","Fail")))</f>
        <v>Pass</v>
      </c>
      <c r="AE20" s="1" t="str">
        <f>IF(AND(Table1[[#This Row],[Spec Type2]]="N/A",Table1[[#This Row],[DUT Adj Read]]="N/A",Table1[[#This Row],[Std Adj Read]]="N/A"),"N/A",IF(Table1[[#This Row],[DUT Adj Read]]="N/A",IF(Table1[[#This Row],[Std Adj Read]]&lt;Table1[[#This Row],[High Tol]],"Pass","Fail"),IF(Table1[[#This Row],[DUT Adj Read]]&lt;Table1[[#This Row],[High Tol]],"Pass","Fail")))</f>
        <v>Fail</v>
      </c>
      <c r="AF20" s="1" t="str">
        <f>IF(AND(Table1[[#This Row],[Spec Type2]]="N/A",Table1[[#This Row],[DUT Adj Read]]="N/A",Table1[[#This Row],[Std Adj Read]]="N/A"),"N/A",IF(Table1[[#This Row],[DUT Adj Read]]="N/A",IF(Table1[[#This Row],[Std Adj Read]]&gt;=Table1[[#This Row],[Low Tol]],"Pass","Fail"),IF(Table1[[#This Row],[DUT Adj Read]]&gt;=Table1[[#This Row],[Low Tol]],"Pass","Fail")))</f>
        <v>Pass</v>
      </c>
      <c r="AG20" s="1" t="str">
        <f>IF(AND(Table1[[#This Row],[Spec Type2]]="N/A",Table1[[#This Row],[DUT Adj Read]]="N/A",Table1[[#This Row],[Std Adj Read]]="N/A"),"N/A",IF(Table1[[#This Row],[DUT Adj Read]]="N/A",IF(Table1[[#This Row],[Std Adj Read]]&lt;=Table1[[#This Row],[High Tol]],"Pass","Fail"),IF(Table1[[#This Row],[DUT Adj Read]]&lt;=Table1[[#This Row],[High Tol]],"Pass","Fail")))</f>
        <v>Fail</v>
      </c>
      <c r="AH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20" s="1" t="s">
        <v>70</v>
      </c>
      <c r="AM20" s="1" t="b">
        <v>0</v>
      </c>
      <c r="AN20" s="1" t="b">
        <v>0</v>
      </c>
      <c r="AO20" s="1" t="b">
        <v>0</v>
      </c>
    </row>
    <row r="21" spans="1:41" x14ac:dyDescent="0.25">
      <c r="A21" s="10"/>
      <c r="B21" s="10"/>
      <c r="C21" s="10"/>
      <c r="D21" s="10"/>
      <c r="E21" s="10"/>
      <c r="F21" s="10"/>
      <c r="G21" s="10"/>
      <c r="H21" s="10"/>
      <c r="I21" s="1" t="str">
        <f t="shared" si="2"/>
        <v/>
      </c>
      <c r="J21" s="1" t="s">
        <v>35</v>
      </c>
      <c r="K21" s="1" t="str">
        <f t="shared" si="0"/>
        <v/>
      </c>
      <c r="L21" s="1" t="str">
        <f t="shared" si="1"/>
        <v/>
      </c>
      <c r="M21" s="1">
        <f>IF(OR(Table1[[#This Row],[Std Nom]]="",Table1[[#This Row],[Std Read]]=""),0,Table1[[#This Row],[Std Nom]]-Table1[[#This Row],[Std Read]])</f>
        <v>0</v>
      </c>
      <c r="N21" s="1">
        <f>IF(Calculations!$F$5="ACCREDITED 17025 WITH UNCERTAINTIES",$N$10,0)</f>
        <v>0</v>
      </c>
      <c r="Q21" s="1">
        <f>Table1[[#This Row],[High Tol]]-Table1[[#This Row],[Low Tol]]</f>
        <v>0</v>
      </c>
      <c r="R21" s="1">
        <f>2*Table1[[#This Row],[Std Error]]</f>
        <v>0</v>
      </c>
      <c r="S21" s="1" t="str">
        <f>IF(Table1[[#This Row],[High Tol]]="","N/A",IFERROR(ABS(Table1[[#This Row],[Tol Span]]/Table1[[#This Row],[Error Span]]),"N/A"))</f>
        <v>N/A</v>
      </c>
      <c r="T21" s="1" t="str">
        <f>IF(OR(Table1[[#This Row],[Low Tol]]="",Table1[[#This Row],[High Tol]]=""),"Needs Analysis",IF(Table1[[#This Row],[Ratio]]&gt;=4,"Not Significant",IF(Table1[[#This Row],[Ratio]]&gt;=2,"Semi-Significant","Significant")))</f>
        <v>Needs Analysis</v>
      </c>
      <c r="W21" s="1">
        <f>IF(Table1[[#This Row],[Cal Type]]&lt;&gt;"ACCREDITED 17025 WITH UNCERTAINTIES",0,"")</f>
        <v>0</v>
      </c>
      <c r="X21" s="1" t="str">
        <f>IF(Table1[[#This Row],[DUT Read]]="","N/A",Table1[[#This Row],[Std Error]]+Table1[[#This Row],[DUT Read]]+Table1[[#This Row],[DUT Ucty]])</f>
        <v>N/A</v>
      </c>
      <c r="Y21" s="1" t="str">
        <f>IF(Table1[[#This Row],[Std Read]]="","N/A",Table1[[#This Row],[Std Read]]+Table1[[#This Row],[Std Ucty]])</f>
        <v>N/A</v>
      </c>
      <c r="Z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 s="1" t="str">
        <f>IF(Table1[[#This Row],[Spec Type]]="","N/A",Table1[[#This Row],[Spec Type]])</f>
        <v>±</v>
      </c>
      <c r="AC21" s="1" t="str">
        <f>IF(Table1[[#This Row],[Spec Type2]]="N/A","N/A",IF(AND(Table1[[#This Row],[DUT Adj Read]]&gt;=Table1[[#This Row],[Low Tol]],Table1[[#This Row],[DUT Adj Read]]&lt;=Table1[[#This Row],[High Tol]]),"Pass","Fail"))</f>
        <v>Fail</v>
      </c>
      <c r="AD21" s="1" t="str">
        <f>IF(AND(Table1[[#This Row],[Spec Type2]]="N/A",Table1[[#This Row],[DUT Adj Read]]="N/A",Table1[[#This Row],[Std Adj Read]]="N/A"),"N/A",IF(Table1[[#This Row],[DUT Adj Read]]="N/A",IF(Table1[[#This Row],[Std Adj Read]]&gt;Table1[[#This Row],[Low Tol]],"Pass","Fail"),IF(Table1[[#This Row],[DUT Adj Read]]&gt;Table1[[#This Row],[Low Tol]],"Pass","Fail")))</f>
        <v>Pass</v>
      </c>
      <c r="AE21" s="1" t="str">
        <f>IF(AND(Table1[[#This Row],[Spec Type2]]="N/A",Table1[[#This Row],[DUT Adj Read]]="N/A",Table1[[#This Row],[Std Adj Read]]="N/A"),"N/A",IF(Table1[[#This Row],[DUT Adj Read]]="N/A",IF(Table1[[#This Row],[Std Adj Read]]&lt;Table1[[#This Row],[High Tol]],"Pass","Fail"),IF(Table1[[#This Row],[DUT Adj Read]]&lt;Table1[[#This Row],[High Tol]],"Pass","Fail")))</f>
        <v>Fail</v>
      </c>
      <c r="AF21" s="1" t="str">
        <f>IF(AND(Table1[[#This Row],[Spec Type2]]="N/A",Table1[[#This Row],[DUT Adj Read]]="N/A",Table1[[#This Row],[Std Adj Read]]="N/A"),"N/A",IF(Table1[[#This Row],[DUT Adj Read]]="N/A",IF(Table1[[#This Row],[Std Adj Read]]&gt;=Table1[[#This Row],[Low Tol]],"Pass","Fail"),IF(Table1[[#This Row],[DUT Adj Read]]&gt;=Table1[[#This Row],[Low Tol]],"Pass","Fail")))</f>
        <v>Pass</v>
      </c>
      <c r="AG21" s="1" t="str">
        <f>IF(AND(Table1[[#This Row],[Spec Type2]]="N/A",Table1[[#This Row],[DUT Adj Read]]="N/A",Table1[[#This Row],[Std Adj Read]]="N/A"),"N/A",IF(Table1[[#This Row],[DUT Adj Read]]="N/A",IF(Table1[[#This Row],[Std Adj Read]]&lt;=Table1[[#This Row],[High Tol]],"Pass","Fail"),IF(Table1[[#This Row],[DUT Adj Read]]&lt;=Table1[[#This Row],[High Tol]],"Pass","Fail")))</f>
        <v>Fail</v>
      </c>
      <c r="AH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K21" s="1" t="s">
        <v>142</v>
      </c>
      <c r="AM21" s="1" t="b">
        <v>0</v>
      </c>
      <c r="AN21" s="1" t="b">
        <v>0</v>
      </c>
      <c r="AO21" s="1" t="b">
        <v>0</v>
      </c>
    </row>
    <row r="22" spans="1:41" x14ac:dyDescent="0.25">
      <c r="A22" s="10"/>
      <c r="B22" s="10"/>
      <c r="C22" s="10"/>
      <c r="D22" s="10"/>
      <c r="E22" s="10"/>
      <c r="F22" s="10"/>
      <c r="G22" s="10"/>
      <c r="H22" s="10"/>
      <c r="I22" s="1" t="str">
        <f t="shared" si="2"/>
        <v/>
      </c>
      <c r="J22" s="1" t="s">
        <v>35</v>
      </c>
      <c r="K22" s="1" t="str">
        <f t="shared" si="0"/>
        <v/>
      </c>
      <c r="L22" s="1" t="str">
        <f t="shared" si="1"/>
        <v/>
      </c>
      <c r="M22" s="1">
        <f>IF(OR(Table1[[#This Row],[Std Nom]]="",Table1[[#This Row],[Std Read]]=""),0,Table1[[#This Row],[Std Nom]]-Table1[[#This Row],[Std Read]])</f>
        <v>0</v>
      </c>
      <c r="N22" s="1">
        <f>IF(Calculations!$F$5="ACCREDITED 17025 WITH UNCERTAINTIES",$N$10,0)</f>
        <v>0</v>
      </c>
      <c r="Q22" s="1">
        <f>Table1[[#This Row],[High Tol]]-Table1[[#This Row],[Low Tol]]</f>
        <v>0</v>
      </c>
      <c r="R22" s="1">
        <f>2*Table1[[#This Row],[Std Error]]</f>
        <v>0</v>
      </c>
      <c r="S22" s="1" t="str">
        <f>IF(Table1[[#This Row],[High Tol]]="","N/A",IFERROR(ABS(Table1[[#This Row],[Tol Span]]/Table1[[#This Row],[Error Span]]),"N/A"))</f>
        <v>N/A</v>
      </c>
      <c r="T22" s="1" t="str">
        <f>IF(OR(Table1[[#This Row],[Low Tol]]="",Table1[[#This Row],[High Tol]]=""),"Needs Analysis",IF(Table1[[#This Row],[Ratio]]&gt;=4,"Not Significant",IF(Table1[[#This Row],[Ratio]]&gt;=2,"Semi-Significant","Significant")))</f>
        <v>Needs Analysis</v>
      </c>
      <c r="W22" s="1">
        <f>IF(Table1[[#This Row],[Cal Type]]&lt;&gt;"ACCREDITED 17025 WITH UNCERTAINTIES",0,"")</f>
        <v>0</v>
      </c>
      <c r="X22" s="1" t="str">
        <f>IF(Table1[[#This Row],[DUT Read]]="","N/A",Table1[[#This Row],[Std Error]]+Table1[[#This Row],[DUT Read]]+Table1[[#This Row],[DUT Ucty]])</f>
        <v>N/A</v>
      </c>
      <c r="Y22" s="1" t="str">
        <f>IF(Table1[[#This Row],[Std Read]]="","N/A",Table1[[#This Row],[Std Read]]+Table1[[#This Row],[Std Ucty]])</f>
        <v>N/A</v>
      </c>
      <c r="Z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 s="1" t="str">
        <f>IF(Table1[[#This Row],[Spec Type]]="","N/A",Table1[[#This Row],[Spec Type]])</f>
        <v>±</v>
      </c>
      <c r="AC22" s="1" t="str">
        <f>IF(Table1[[#This Row],[Spec Type2]]="N/A","N/A",IF(AND(Table1[[#This Row],[DUT Adj Read]]&gt;=Table1[[#This Row],[Low Tol]],Table1[[#This Row],[DUT Adj Read]]&lt;=Table1[[#This Row],[High Tol]]),"Pass","Fail"))</f>
        <v>Fail</v>
      </c>
      <c r="AD22" s="1" t="str">
        <f>IF(AND(Table1[[#This Row],[Spec Type2]]="N/A",Table1[[#This Row],[DUT Adj Read]]="N/A",Table1[[#This Row],[Std Adj Read]]="N/A"),"N/A",IF(Table1[[#This Row],[DUT Adj Read]]="N/A",IF(Table1[[#This Row],[Std Adj Read]]&gt;Table1[[#This Row],[Low Tol]],"Pass","Fail"),IF(Table1[[#This Row],[DUT Adj Read]]&gt;Table1[[#This Row],[Low Tol]],"Pass","Fail")))</f>
        <v>Pass</v>
      </c>
      <c r="AE22" s="1" t="str">
        <f>IF(AND(Table1[[#This Row],[Spec Type2]]="N/A",Table1[[#This Row],[DUT Adj Read]]="N/A",Table1[[#This Row],[Std Adj Read]]="N/A"),"N/A",IF(Table1[[#This Row],[DUT Adj Read]]="N/A",IF(Table1[[#This Row],[Std Adj Read]]&lt;Table1[[#This Row],[High Tol]],"Pass","Fail"),IF(Table1[[#This Row],[DUT Adj Read]]&lt;Table1[[#This Row],[High Tol]],"Pass","Fail")))</f>
        <v>Fail</v>
      </c>
      <c r="AF22" s="1" t="str">
        <f>IF(AND(Table1[[#This Row],[Spec Type2]]="N/A",Table1[[#This Row],[DUT Adj Read]]="N/A",Table1[[#This Row],[Std Adj Read]]="N/A"),"N/A",IF(Table1[[#This Row],[DUT Adj Read]]="N/A",IF(Table1[[#This Row],[Std Adj Read]]&gt;=Table1[[#This Row],[Low Tol]],"Pass","Fail"),IF(Table1[[#This Row],[DUT Adj Read]]&gt;=Table1[[#This Row],[Low Tol]],"Pass","Fail")))</f>
        <v>Pass</v>
      </c>
      <c r="AG22" s="1" t="str">
        <f>IF(AND(Table1[[#This Row],[Spec Type2]]="N/A",Table1[[#This Row],[DUT Adj Read]]="N/A",Table1[[#This Row],[Std Adj Read]]="N/A"),"N/A",IF(Table1[[#This Row],[DUT Adj Read]]="N/A",IF(Table1[[#This Row],[Std Adj Read]]&lt;=Table1[[#This Row],[High Tol]],"Pass","Fail"),IF(Table1[[#This Row],[DUT Adj Read]]&lt;=Table1[[#This Row],[High Tol]],"Pass","Fail")))</f>
        <v>Fail</v>
      </c>
      <c r="AH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 s="1" t="b">
        <v>0</v>
      </c>
      <c r="AN22" s="1" t="b">
        <v>0</v>
      </c>
      <c r="AO22" s="1" t="b">
        <v>0</v>
      </c>
    </row>
    <row r="23" spans="1:41" x14ac:dyDescent="0.25">
      <c r="A23" s="10"/>
      <c r="B23" s="10"/>
      <c r="C23" s="10"/>
      <c r="D23" s="10"/>
      <c r="E23" s="10"/>
      <c r="F23" s="10"/>
      <c r="G23" s="10"/>
      <c r="H23" s="10"/>
      <c r="I23" s="1" t="str">
        <f t="shared" si="2"/>
        <v/>
      </c>
      <c r="J23" s="1" t="s">
        <v>35</v>
      </c>
      <c r="K23" s="1" t="str">
        <f t="shared" si="0"/>
        <v/>
      </c>
      <c r="L23" s="1" t="str">
        <f t="shared" si="1"/>
        <v/>
      </c>
      <c r="M23" s="1">
        <f>IF(OR(Table1[[#This Row],[Std Nom]]="",Table1[[#This Row],[Std Read]]=""),0,Table1[[#This Row],[Std Nom]]-Table1[[#This Row],[Std Read]])</f>
        <v>0</v>
      </c>
      <c r="N23" s="1">
        <f>IF(Calculations!$F$5="ACCREDITED 17025 WITH UNCERTAINTIES",$N$10,0)</f>
        <v>0</v>
      </c>
      <c r="Q23" s="1">
        <f>Table1[[#This Row],[High Tol]]-Table1[[#This Row],[Low Tol]]</f>
        <v>0</v>
      </c>
      <c r="R23" s="1">
        <f>2*Table1[[#This Row],[Std Error]]</f>
        <v>0</v>
      </c>
      <c r="S23" s="1" t="str">
        <f>IF(Table1[[#This Row],[High Tol]]="","N/A",IFERROR(ABS(Table1[[#This Row],[Tol Span]]/Table1[[#This Row],[Error Span]]),"N/A"))</f>
        <v>N/A</v>
      </c>
      <c r="T23" s="1" t="str">
        <f>IF(OR(Table1[[#This Row],[Low Tol]]="",Table1[[#This Row],[High Tol]]=""),"Needs Analysis",IF(Table1[[#This Row],[Ratio]]&gt;=4,"Not Significant",IF(Table1[[#This Row],[Ratio]]&gt;=2,"Semi-Significant","Significant")))</f>
        <v>Needs Analysis</v>
      </c>
      <c r="W23" s="1">
        <f>IF(Table1[[#This Row],[Cal Type]]&lt;&gt;"ACCREDITED 17025 WITH UNCERTAINTIES",0,"")</f>
        <v>0</v>
      </c>
      <c r="X23" s="1" t="str">
        <f>IF(Table1[[#This Row],[DUT Read]]="","N/A",Table1[[#This Row],[Std Error]]+Table1[[#This Row],[DUT Read]]+Table1[[#This Row],[DUT Ucty]])</f>
        <v>N/A</v>
      </c>
      <c r="Y23" s="1" t="str">
        <f>IF(Table1[[#This Row],[Std Read]]="","N/A",Table1[[#This Row],[Std Read]]+Table1[[#This Row],[Std Ucty]])</f>
        <v>N/A</v>
      </c>
      <c r="Z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 s="1" t="str">
        <f>IF(Table1[[#This Row],[Spec Type]]="","N/A",Table1[[#This Row],[Spec Type]])</f>
        <v>±</v>
      </c>
      <c r="AC23" s="1" t="str">
        <f>IF(Table1[[#This Row],[Spec Type2]]="N/A","N/A",IF(AND(Table1[[#This Row],[DUT Adj Read]]&gt;=Table1[[#This Row],[Low Tol]],Table1[[#This Row],[DUT Adj Read]]&lt;=Table1[[#This Row],[High Tol]]),"Pass","Fail"))</f>
        <v>Fail</v>
      </c>
      <c r="AD23" s="1" t="str">
        <f>IF(AND(Table1[[#This Row],[Spec Type2]]="N/A",Table1[[#This Row],[DUT Adj Read]]="N/A",Table1[[#This Row],[Std Adj Read]]="N/A"),"N/A",IF(Table1[[#This Row],[DUT Adj Read]]="N/A",IF(Table1[[#This Row],[Std Adj Read]]&gt;Table1[[#This Row],[Low Tol]],"Pass","Fail"),IF(Table1[[#This Row],[DUT Adj Read]]&gt;Table1[[#This Row],[Low Tol]],"Pass","Fail")))</f>
        <v>Pass</v>
      </c>
      <c r="AE23" s="1" t="str">
        <f>IF(AND(Table1[[#This Row],[Spec Type2]]="N/A",Table1[[#This Row],[DUT Adj Read]]="N/A",Table1[[#This Row],[Std Adj Read]]="N/A"),"N/A",IF(Table1[[#This Row],[DUT Adj Read]]="N/A",IF(Table1[[#This Row],[Std Adj Read]]&lt;Table1[[#This Row],[High Tol]],"Pass","Fail"),IF(Table1[[#This Row],[DUT Adj Read]]&lt;Table1[[#This Row],[High Tol]],"Pass","Fail")))</f>
        <v>Fail</v>
      </c>
      <c r="AF23" s="1" t="str">
        <f>IF(AND(Table1[[#This Row],[Spec Type2]]="N/A",Table1[[#This Row],[DUT Adj Read]]="N/A",Table1[[#This Row],[Std Adj Read]]="N/A"),"N/A",IF(Table1[[#This Row],[DUT Adj Read]]="N/A",IF(Table1[[#This Row],[Std Adj Read]]&gt;=Table1[[#This Row],[Low Tol]],"Pass","Fail"),IF(Table1[[#This Row],[DUT Adj Read]]&gt;=Table1[[#This Row],[Low Tol]],"Pass","Fail")))</f>
        <v>Pass</v>
      </c>
      <c r="AG23" s="1" t="str">
        <f>IF(AND(Table1[[#This Row],[Spec Type2]]="N/A",Table1[[#This Row],[DUT Adj Read]]="N/A",Table1[[#This Row],[Std Adj Read]]="N/A"),"N/A",IF(Table1[[#This Row],[DUT Adj Read]]="N/A",IF(Table1[[#This Row],[Std Adj Read]]&lt;=Table1[[#This Row],[High Tol]],"Pass","Fail"),IF(Table1[[#This Row],[DUT Adj Read]]&lt;=Table1[[#This Row],[High Tol]],"Pass","Fail")))</f>
        <v>Fail</v>
      </c>
      <c r="AH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 s="1" t="b">
        <v>0</v>
      </c>
      <c r="AN23" s="1" t="b">
        <v>0</v>
      </c>
      <c r="AO23" s="1" t="b">
        <v>0</v>
      </c>
    </row>
    <row r="24" spans="1:41" x14ac:dyDescent="0.25">
      <c r="A24" s="10"/>
      <c r="B24" s="10"/>
      <c r="C24" s="10"/>
      <c r="D24" s="10"/>
      <c r="E24" s="10"/>
      <c r="F24" s="10"/>
      <c r="G24" s="10"/>
      <c r="H24" s="10"/>
      <c r="I24" s="1" t="str">
        <f t="shared" si="2"/>
        <v/>
      </c>
      <c r="J24" s="1" t="s">
        <v>35</v>
      </c>
      <c r="K24" s="1" t="str">
        <f t="shared" si="0"/>
        <v/>
      </c>
      <c r="L24" s="1" t="str">
        <f t="shared" si="1"/>
        <v/>
      </c>
      <c r="M24" s="1">
        <f>IF(OR(Table1[[#This Row],[Std Nom]]="",Table1[[#This Row],[Std Read]]=""),0,Table1[[#This Row],[Std Nom]]-Table1[[#This Row],[Std Read]])</f>
        <v>0</v>
      </c>
      <c r="N24" s="1">
        <f>IF(Calculations!$F$5="ACCREDITED 17025 WITH UNCERTAINTIES",$N$10,0)</f>
        <v>0</v>
      </c>
      <c r="Q24" s="1">
        <f>Table1[[#This Row],[High Tol]]-Table1[[#This Row],[Low Tol]]</f>
        <v>0</v>
      </c>
      <c r="R24" s="1">
        <f>2*Table1[[#This Row],[Std Error]]</f>
        <v>0</v>
      </c>
      <c r="S24" s="1" t="str">
        <f>IF(Table1[[#This Row],[High Tol]]="","N/A",IFERROR(ABS(Table1[[#This Row],[Tol Span]]/Table1[[#This Row],[Error Span]]),"N/A"))</f>
        <v>N/A</v>
      </c>
      <c r="T24" s="1" t="str">
        <f>IF(OR(Table1[[#This Row],[Low Tol]]="",Table1[[#This Row],[High Tol]]=""),"Needs Analysis",IF(Table1[[#This Row],[Ratio]]&gt;=4,"Not Significant",IF(Table1[[#This Row],[Ratio]]&gt;=2,"Semi-Significant","Significant")))</f>
        <v>Needs Analysis</v>
      </c>
      <c r="W24" s="1">
        <f>IF(Table1[[#This Row],[Cal Type]]&lt;&gt;"ACCREDITED 17025 WITH UNCERTAINTIES",0,"")</f>
        <v>0</v>
      </c>
      <c r="X24" s="1" t="str">
        <f>IF(Table1[[#This Row],[DUT Read]]="","N/A",Table1[[#This Row],[Std Error]]+Table1[[#This Row],[DUT Read]]+Table1[[#This Row],[DUT Ucty]])</f>
        <v>N/A</v>
      </c>
      <c r="Y24" s="1" t="str">
        <f>IF(Table1[[#This Row],[Std Read]]="","N/A",Table1[[#This Row],[Std Read]]+Table1[[#This Row],[Std Ucty]])</f>
        <v>N/A</v>
      </c>
      <c r="Z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 s="1" t="str">
        <f>IF(Table1[[#This Row],[Spec Type]]="","N/A",Table1[[#This Row],[Spec Type]])</f>
        <v>±</v>
      </c>
      <c r="AC24" s="1" t="str">
        <f>IF(Table1[[#This Row],[Spec Type2]]="N/A","N/A",IF(AND(Table1[[#This Row],[DUT Adj Read]]&gt;=Table1[[#This Row],[Low Tol]],Table1[[#This Row],[DUT Adj Read]]&lt;=Table1[[#This Row],[High Tol]]),"Pass","Fail"))</f>
        <v>Fail</v>
      </c>
      <c r="AD24" s="1" t="str">
        <f>IF(AND(Table1[[#This Row],[Spec Type2]]="N/A",Table1[[#This Row],[DUT Adj Read]]="N/A",Table1[[#This Row],[Std Adj Read]]="N/A"),"N/A",IF(Table1[[#This Row],[DUT Adj Read]]="N/A",IF(Table1[[#This Row],[Std Adj Read]]&gt;Table1[[#This Row],[Low Tol]],"Pass","Fail"),IF(Table1[[#This Row],[DUT Adj Read]]&gt;Table1[[#This Row],[Low Tol]],"Pass","Fail")))</f>
        <v>Pass</v>
      </c>
      <c r="AE24" s="1" t="str">
        <f>IF(AND(Table1[[#This Row],[Spec Type2]]="N/A",Table1[[#This Row],[DUT Adj Read]]="N/A",Table1[[#This Row],[Std Adj Read]]="N/A"),"N/A",IF(Table1[[#This Row],[DUT Adj Read]]="N/A",IF(Table1[[#This Row],[Std Adj Read]]&lt;Table1[[#This Row],[High Tol]],"Pass","Fail"),IF(Table1[[#This Row],[DUT Adj Read]]&lt;Table1[[#This Row],[High Tol]],"Pass","Fail")))</f>
        <v>Fail</v>
      </c>
      <c r="AF24" s="1" t="str">
        <f>IF(AND(Table1[[#This Row],[Spec Type2]]="N/A",Table1[[#This Row],[DUT Adj Read]]="N/A",Table1[[#This Row],[Std Adj Read]]="N/A"),"N/A",IF(Table1[[#This Row],[DUT Adj Read]]="N/A",IF(Table1[[#This Row],[Std Adj Read]]&gt;=Table1[[#This Row],[Low Tol]],"Pass","Fail"),IF(Table1[[#This Row],[DUT Adj Read]]&gt;=Table1[[#This Row],[Low Tol]],"Pass","Fail")))</f>
        <v>Pass</v>
      </c>
      <c r="AG24" s="1" t="str">
        <f>IF(AND(Table1[[#This Row],[Spec Type2]]="N/A",Table1[[#This Row],[DUT Adj Read]]="N/A",Table1[[#This Row],[Std Adj Read]]="N/A"),"N/A",IF(Table1[[#This Row],[DUT Adj Read]]="N/A",IF(Table1[[#This Row],[Std Adj Read]]&lt;=Table1[[#This Row],[High Tol]],"Pass","Fail"),IF(Table1[[#This Row],[DUT Adj Read]]&lt;=Table1[[#This Row],[High Tol]],"Pass","Fail")))</f>
        <v>Fail</v>
      </c>
      <c r="AH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 s="1" t="b">
        <v>0</v>
      </c>
      <c r="AN24" s="1" t="b">
        <v>0</v>
      </c>
      <c r="AO24" s="1" t="b">
        <v>0</v>
      </c>
    </row>
    <row r="25" spans="1:41" x14ac:dyDescent="0.25">
      <c r="A25" s="10"/>
      <c r="B25" s="10"/>
      <c r="C25" s="10"/>
      <c r="D25" s="10"/>
      <c r="E25" s="10"/>
      <c r="F25" s="10"/>
      <c r="G25" s="10"/>
      <c r="H25" s="10"/>
      <c r="I25" s="1" t="str">
        <f t="shared" si="2"/>
        <v/>
      </c>
      <c r="J25" s="1" t="s">
        <v>35</v>
      </c>
      <c r="K25" s="1" t="str">
        <f t="shared" si="0"/>
        <v/>
      </c>
      <c r="L25" s="1" t="str">
        <f t="shared" si="1"/>
        <v/>
      </c>
      <c r="M25" s="1">
        <f>IF(OR(Table1[[#This Row],[Std Nom]]="",Table1[[#This Row],[Std Read]]=""),0,Table1[[#This Row],[Std Nom]]-Table1[[#This Row],[Std Read]])</f>
        <v>0</v>
      </c>
      <c r="N25" s="1">
        <f>IF(Calculations!$F$5="ACCREDITED 17025 WITH UNCERTAINTIES",$N$10,0)</f>
        <v>0</v>
      </c>
      <c r="Q25" s="1">
        <f>Table1[[#This Row],[High Tol]]-Table1[[#This Row],[Low Tol]]</f>
        <v>0</v>
      </c>
      <c r="R25" s="1">
        <f>2*Table1[[#This Row],[Std Error]]</f>
        <v>0</v>
      </c>
      <c r="S25" s="1" t="str">
        <f>IF(Table1[[#This Row],[High Tol]]="","N/A",IFERROR(ABS(Table1[[#This Row],[Tol Span]]/Table1[[#This Row],[Error Span]]),"N/A"))</f>
        <v>N/A</v>
      </c>
      <c r="T25" s="1" t="str">
        <f>IF(OR(Table1[[#This Row],[Low Tol]]="",Table1[[#This Row],[High Tol]]=""),"Needs Analysis",IF(Table1[[#This Row],[Ratio]]&gt;=4,"Not Significant",IF(Table1[[#This Row],[Ratio]]&gt;=2,"Semi-Significant","Significant")))</f>
        <v>Needs Analysis</v>
      </c>
      <c r="W25" s="1">
        <f>IF(Table1[[#This Row],[Cal Type]]&lt;&gt;"ACCREDITED 17025 WITH UNCERTAINTIES",0,"")</f>
        <v>0</v>
      </c>
      <c r="X25" s="1" t="str">
        <f>IF(Table1[[#This Row],[DUT Read]]="","N/A",Table1[[#This Row],[Std Error]]+Table1[[#This Row],[DUT Read]]+Table1[[#This Row],[DUT Ucty]])</f>
        <v>N/A</v>
      </c>
      <c r="Y25" s="1" t="str">
        <f>IF(Table1[[#This Row],[Std Read]]="","N/A",Table1[[#This Row],[Std Read]]+Table1[[#This Row],[Std Ucty]])</f>
        <v>N/A</v>
      </c>
      <c r="Z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 s="1" t="str">
        <f>IF(Table1[[#This Row],[Spec Type]]="","N/A",Table1[[#This Row],[Spec Type]])</f>
        <v>±</v>
      </c>
      <c r="AC25" s="1" t="str">
        <f>IF(Table1[[#This Row],[Spec Type2]]="N/A","N/A",IF(AND(Table1[[#This Row],[DUT Adj Read]]&gt;=Table1[[#This Row],[Low Tol]],Table1[[#This Row],[DUT Adj Read]]&lt;=Table1[[#This Row],[High Tol]]),"Pass","Fail"))</f>
        <v>Fail</v>
      </c>
      <c r="AD25" s="1" t="str">
        <f>IF(AND(Table1[[#This Row],[Spec Type2]]="N/A",Table1[[#This Row],[DUT Adj Read]]="N/A",Table1[[#This Row],[Std Adj Read]]="N/A"),"N/A",IF(Table1[[#This Row],[DUT Adj Read]]="N/A",IF(Table1[[#This Row],[Std Adj Read]]&gt;Table1[[#This Row],[Low Tol]],"Pass","Fail"),IF(Table1[[#This Row],[DUT Adj Read]]&gt;Table1[[#This Row],[Low Tol]],"Pass","Fail")))</f>
        <v>Pass</v>
      </c>
      <c r="AE25" s="1" t="str">
        <f>IF(AND(Table1[[#This Row],[Spec Type2]]="N/A",Table1[[#This Row],[DUT Adj Read]]="N/A",Table1[[#This Row],[Std Adj Read]]="N/A"),"N/A",IF(Table1[[#This Row],[DUT Adj Read]]="N/A",IF(Table1[[#This Row],[Std Adj Read]]&lt;Table1[[#This Row],[High Tol]],"Pass","Fail"),IF(Table1[[#This Row],[DUT Adj Read]]&lt;Table1[[#This Row],[High Tol]],"Pass","Fail")))</f>
        <v>Fail</v>
      </c>
      <c r="AF25" s="1" t="str">
        <f>IF(AND(Table1[[#This Row],[Spec Type2]]="N/A",Table1[[#This Row],[DUT Adj Read]]="N/A",Table1[[#This Row],[Std Adj Read]]="N/A"),"N/A",IF(Table1[[#This Row],[DUT Adj Read]]="N/A",IF(Table1[[#This Row],[Std Adj Read]]&gt;=Table1[[#This Row],[Low Tol]],"Pass","Fail"),IF(Table1[[#This Row],[DUT Adj Read]]&gt;=Table1[[#This Row],[Low Tol]],"Pass","Fail")))</f>
        <v>Pass</v>
      </c>
      <c r="AG25" s="1" t="str">
        <f>IF(AND(Table1[[#This Row],[Spec Type2]]="N/A",Table1[[#This Row],[DUT Adj Read]]="N/A",Table1[[#This Row],[Std Adj Read]]="N/A"),"N/A",IF(Table1[[#This Row],[DUT Adj Read]]="N/A",IF(Table1[[#This Row],[Std Adj Read]]&lt;=Table1[[#This Row],[High Tol]],"Pass","Fail"),IF(Table1[[#This Row],[DUT Adj Read]]&lt;=Table1[[#This Row],[High Tol]],"Pass","Fail")))</f>
        <v>Fail</v>
      </c>
      <c r="AH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 s="1" t="b">
        <v>0</v>
      </c>
      <c r="AN25" s="1" t="b">
        <v>0</v>
      </c>
      <c r="AO25" s="1" t="b">
        <v>0</v>
      </c>
    </row>
    <row r="26" spans="1:41" x14ac:dyDescent="0.25">
      <c r="A26" s="10"/>
      <c r="B26" s="10"/>
      <c r="C26" s="10"/>
      <c r="D26" s="10"/>
      <c r="E26" s="10"/>
      <c r="F26" s="10"/>
      <c r="G26" s="10"/>
      <c r="H26" s="10"/>
      <c r="I26" s="1" t="str">
        <f t="shared" si="2"/>
        <v/>
      </c>
      <c r="J26" s="1" t="s">
        <v>35</v>
      </c>
      <c r="K26" s="1" t="str">
        <f t="shared" si="0"/>
        <v/>
      </c>
      <c r="L26" s="1" t="str">
        <f t="shared" si="1"/>
        <v/>
      </c>
      <c r="M26" s="1">
        <f>IF(OR(Table1[[#This Row],[Std Nom]]="",Table1[[#This Row],[Std Read]]=""),0,Table1[[#This Row],[Std Nom]]-Table1[[#This Row],[Std Read]])</f>
        <v>0</v>
      </c>
      <c r="N26" s="1">
        <f>IF(Calculations!$F$5="ACCREDITED 17025 WITH UNCERTAINTIES",$N$10,0)</f>
        <v>0</v>
      </c>
      <c r="Q26" s="1">
        <f>Table1[[#This Row],[High Tol]]-Table1[[#This Row],[Low Tol]]</f>
        <v>0</v>
      </c>
      <c r="R26" s="1">
        <f>2*Table1[[#This Row],[Std Error]]</f>
        <v>0</v>
      </c>
      <c r="S26" s="1" t="str">
        <f>IF(Table1[[#This Row],[High Tol]]="","N/A",IFERROR(ABS(Table1[[#This Row],[Tol Span]]/Table1[[#This Row],[Error Span]]),"N/A"))</f>
        <v>N/A</v>
      </c>
      <c r="T26" s="1" t="str">
        <f>IF(OR(Table1[[#This Row],[Low Tol]]="",Table1[[#This Row],[High Tol]]=""),"Needs Analysis",IF(Table1[[#This Row],[Ratio]]&gt;=4,"Not Significant",IF(Table1[[#This Row],[Ratio]]&gt;=2,"Semi-Significant","Significant")))</f>
        <v>Needs Analysis</v>
      </c>
      <c r="W26" s="1">
        <f>IF(Table1[[#This Row],[Cal Type]]&lt;&gt;"ACCREDITED 17025 WITH UNCERTAINTIES",0,"")</f>
        <v>0</v>
      </c>
      <c r="X26" s="1" t="str">
        <f>IF(Table1[[#This Row],[DUT Read]]="","N/A",Table1[[#This Row],[Std Error]]+Table1[[#This Row],[DUT Read]]+Table1[[#This Row],[DUT Ucty]])</f>
        <v>N/A</v>
      </c>
      <c r="Y26" s="1" t="str">
        <f>IF(Table1[[#This Row],[Std Read]]="","N/A",Table1[[#This Row],[Std Read]]+Table1[[#This Row],[Std Ucty]])</f>
        <v>N/A</v>
      </c>
      <c r="Z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 s="1" t="str">
        <f>IF(Table1[[#This Row],[Spec Type]]="","N/A",Table1[[#This Row],[Spec Type]])</f>
        <v>±</v>
      </c>
      <c r="AC26" s="1" t="str">
        <f>IF(Table1[[#This Row],[Spec Type2]]="N/A","N/A",IF(AND(Table1[[#This Row],[DUT Adj Read]]&gt;=Table1[[#This Row],[Low Tol]],Table1[[#This Row],[DUT Adj Read]]&lt;=Table1[[#This Row],[High Tol]]),"Pass","Fail"))</f>
        <v>Fail</v>
      </c>
      <c r="AD26" s="1" t="str">
        <f>IF(AND(Table1[[#This Row],[Spec Type2]]="N/A",Table1[[#This Row],[DUT Adj Read]]="N/A",Table1[[#This Row],[Std Adj Read]]="N/A"),"N/A",IF(Table1[[#This Row],[DUT Adj Read]]="N/A",IF(Table1[[#This Row],[Std Adj Read]]&gt;Table1[[#This Row],[Low Tol]],"Pass","Fail"),IF(Table1[[#This Row],[DUT Adj Read]]&gt;Table1[[#This Row],[Low Tol]],"Pass","Fail")))</f>
        <v>Pass</v>
      </c>
      <c r="AE26" s="1" t="str">
        <f>IF(AND(Table1[[#This Row],[Spec Type2]]="N/A",Table1[[#This Row],[DUT Adj Read]]="N/A",Table1[[#This Row],[Std Adj Read]]="N/A"),"N/A",IF(Table1[[#This Row],[DUT Adj Read]]="N/A",IF(Table1[[#This Row],[Std Adj Read]]&lt;Table1[[#This Row],[High Tol]],"Pass","Fail"),IF(Table1[[#This Row],[DUT Adj Read]]&lt;Table1[[#This Row],[High Tol]],"Pass","Fail")))</f>
        <v>Fail</v>
      </c>
      <c r="AF26" s="1" t="str">
        <f>IF(AND(Table1[[#This Row],[Spec Type2]]="N/A",Table1[[#This Row],[DUT Adj Read]]="N/A",Table1[[#This Row],[Std Adj Read]]="N/A"),"N/A",IF(Table1[[#This Row],[DUT Adj Read]]="N/A",IF(Table1[[#This Row],[Std Adj Read]]&gt;=Table1[[#This Row],[Low Tol]],"Pass","Fail"),IF(Table1[[#This Row],[DUT Adj Read]]&gt;=Table1[[#This Row],[Low Tol]],"Pass","Fail")))</f>
        <v>Pass</v>
      </c>
      <c r="AG26" s="1" t="str">
        <f>IF(AND(Table1[[#This Row],[Spec Type2]]="N/A",Table1[[#This Row],[DUT Adj Read]]="N/A",Table1[[#This Row],[Std Adj Read]]="N/A"),"N/A",IF(Table1[[#This Row],[DUT Adj Read]]="N/A",IF(Table1[[#This Row],[Std Adj Read]]&lt;=Table1[[#This Row],[High Tol]],"Pass","Fail"),IF(Table1[[#This Row],[DUT Adj Read]]&lt;=Table1[[#This Row],[High Tol]],"Pass","Fail")))</f>
        <v>Fail</v>
      </c>
      <c r="AH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 s="1" t="b">
        <v>0</v>
      </c>
      <c r="AN26" s="1" t="b">
        <v>0</v>
      </c>
      <c r="AO26" s="1" t="b">
        <v>0</v>
      </c>
    </row>
    <row r="27" spans="1:41" x14ac:dyDescent="0.25">
      <c r="A27" s="10"/>
      <c r="B27" s="10"/>
      <c r="C27" s="10"/>
      <c r="D27" s="10"/>
      <c r="E27" s="10"/>
      <c r="F27" s="10"/>
      <c r="G27" s="10"/>
      <c r="H27" s="10"/>
      <c r="I27" s="1" t="str">
        <f t="shared" si="2"/>
        <v/>
      </c>
      <c r="J27" s="1" t="s">
        <v>35</v>
      </c>
      <c r="K27" s="1" t="str">
        <f t="shared" si="0"/>
        <v/>
      </c>
      <c r="L27" s="1" t="str">
        <f t="shared" si="1"/>
        <v/>
      </c>
      <c r="M27" s="1">
        <f>IF(OR(Table1[[#This Row],[Std Nom]]="",Table1[[#This Row],[Std Read]]=""),0,Table1[[#This Row],[Std Nom]]-Table1[[#This Row],[Std Read]])</f>
        <v>0</v>
      </c>
      <c r="N27" s="1">
        <f>IF(Calculations!$F$5="ACCREDITED 17025 WITH UNCERTAINTIES",$N$10,0)</f>
        <v>0</v>
      </c>
      <c r="Q27" s="1">
        <f>Table1[[#This Row],[High Tol]]-Table1[[#This Row],[Low Tol]]</f>
        <v>0</v>
      </c>
      <c r="R27" s="1">
        <f>2*Table1[[#This Row],[Std Error]]</f>
        <v>0</v>
      </c>
      <c r="S27" s="1" t="str">
        <f>IF(Table1[[#This Row],[High Tol]]="","N/A",IFERROR(ABS(Table1[[#This Row],[Tol Span]]/Table1[[#This Row],[Error Span]]),"N/A"))</f>
        <v>N/A</v>
      </c>
      <c r="T27" s="1" t="str">
        <f>IF(OR(Table1[[#This Row],[Low Tol]]="",Table1[[#This Row],[High Tol]]=""),"Needs Analysis",IF(Table1[[#This Row],[Ratio]]&gt;=4,"Not Significant",IF(Table1[[#This Row],[Ratio]]&gt;=2,"Semi-Significant","Significant")))</f>
        <v>Needs Analysis</v>
      </c>
      <c r="W27" s="1">
        <f>IF(Table1[[#This Row],[Cal Type]]&lt;&gt;"ACCREDITED 17025 WITH UNCERTAINTIES",0,"")</f>
        <v>0</v>
      </c>
      <c r="X27" s="1" t="str">
        <f>IF(Table1[[#This Row],[DUT Read]]="","N/A",Table1[[#This Row],[Std Error]]+Table1[[#This Row],[DUT Read]]+Table1[[#This Row],[DUT Ucty]])</f>
        <v>N/A</v>
      </c>
      <c r="Y27" s="1" t="str">
        <f>IF(Table1[[#This Row],[Std Read]]="","N/A",Table1[[#This Row],[Std Read]]+Table1[[#This Row],[Std Ucty]])</f>
        <v>N/A</v>
      </c>
      <c r="Z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 s="1" t="str">
        <f>IF(Table1[[#This Row],[Spec Type]]="","N/A",Table1[[#This Row],[Spec Type]])</f>
        <v>±</v>
      </c>
      <c r="AC27" s="1" t="str">
        <f>IF(Table1[[#This Row],[Spec Type2]]="N/A","N/A",IF(AND(Table1[[#This Row],[DUT Adj Read]]&gt;=Table1[[#This Row],[Low Tol]],Table1[[#This Row],[DUT Adj Read]]&lt;=Table1[[#This Row],[High Tol]]),"Pass","Fail"))</f>
        <v>Fail</v>
      </c>
      <c r="AD27" s="1" t="str">
        <f>IF(AND(Table1[[#This Row],[Spec Type2]]="N/A",Table1[[#This Row],[DUT Adj Read]]="N/A",Table1[[#This Row],[Std Adj Read]]="N/A"),"N/A",IF(Table1[[#This Row],[DUT Adj Read]]="N/A",IF(Table1[[#This Row],[Std Adj Read]]&gt;Table1[[#This Row],[Low Tol]],"Pass","Fail"),IF(Table1[[#This Row],[DUT Adj Read]]&gt;Table1[[#This Row],[Low Tol]],"Pass","Fail")))</f>
        <v>Pass</v>
      </c>
      <c r="AE27" s="1" t="str">
        <f>IF(AND(Table1[[#This Row],[Spec Type2]]="N/A",Table1[[#This Row],[DUT Adj Read]]="N/A",Table1[[#This Row],[Std Adj Read]]="N/A"),"N/A",IF(Table1[[#This Row],[DUT Adj Read]]="N/A",IF(Table1[[#This Row],[Std Adj Read]]&lt;Table1[[#This Row],[High Tol]],"Pass","Fail"),IF(Table1[[#This Row],[DUT Adj Read]]&lt;Table1[[#This Row],[High Tol]],"Pass","Fail")))</f>
        <v>Fail</v>
      </c>
      <c r="AF27" s="1" t="str">
        <f>IF(AND(Table1[[#This Row],[Spec Type2]]="N/A",Table1[[#This Row],[DUT Adj Read]]="N/A",Table1[[#This Row],[Std Adj Read]]="N/A"),"N/A",IF(Table1[[#This Row],[DUT Adj Read]]="N/A",IF(Table1[[#This Row],[Std Adj Read]]&gt;=Table1[[#This Row],[Low Tol]],"Pass","Fail"),IF(Table1[[#This Row],[DUT Adj Read]]&gt;=Table1[[#This Row],[Low Tol]],"Pass","Fail")))</f>
        <v>Pass</v>
      </c>
      <c r="AG27" s="1" t="str">
        <f>IF(AND(Table1[[#This Row],[Spec Type2]]="N/A",Table1[[#This Row],[DUT Adj Read]]="N/A",Table1[[#This Row],[Std Adj Read]]="N/A"),"N/A",IF(Table1[[#This Row],[DUT Adj Read]]="N/A",IF(Table1[[#This Row],[Std Adj Read]]&lt;=Table1[[#This Row],[High Tol]],"Pass","Fail"),IF(Table1[[#This Row],[DUT Adj Read]]&lt;=Table1[[#This Row],[High Tol]],"Pass","Fail")))</f>
        <v>Fail</v>
      </c>
      <c r="AH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 s="1" t="b">
        <v>0</v>
      </c>
      <c r="AN27" s="1" t="b">
        <v>0</v>
      </c>
      <c r="AO27" s="1" t="b">
        <v>0</v>
      </c>
    </row>
    <row r="28" spans="1:41" x14ac:dyDescent="0.25">
      <c r="A28" s="10"/>
      <c r="B28" s="10"/>
      <c r="C28" s="10"/>
      <c r="D28" s="10"/>
      <c r="E28" s="10"/>
      <c r="F28" s="10"/>
      <c r="G28" s="10"/>
      <c r="H28" s="10"/>
      <c r="I28" s="1" t="str">
        <f t="shared" si="2"/>
        <v/>
      </c>
      <c r="J28" s="1" t="s">
        <v>35</v>
      </c>
      <c r="K28" s="1" t="str">
        <f t="shared" si="0"/>
        <v/>
      </c>
      <c r="L28" s="1" t="str">
        <f t="shared" si="1"/>
        <v/>
      </c>
      <c r="M28" s="1">
        <f>IF(OR(Table1[[#This Row],[Std Nom]]="",Table1[[#This Row],[Std Read]]=""),0,Table1[[#This Row],[Std Nom]]-Table1[[#This Row],[Std Read]])</f>
        <v>0</v>
      </c>
      <c r="N28" s="1">
        <f>IF(Calculations!$F$5="ACCREDITED 17025 WITH UNCERTAINTIES",$N$10,0)</f>
        <v>0</v>
      </c>
      <c r="Q28" s="1">
        <f>Table1[[#This Row],[High Tol]]-Table1[[#This Row],[Low Tol]]</f>
        <v>0</v>
      </c>
      <c r="R28" s="1">
        <f>2*Table1[[#This Row],[Std Error]]</f>
        <v>0</v>
      </c>
      <c r="S28" s="1" t="str">
        <f>IF(Table1[[#This Row],[High Tol]]="","N/A",IFERROR(ABS(Table1[[#This Row],[Tol Span]]/Table1[[#This Row],[Error Span]]),"N/A"))</f>
        <v>N/A</v>
      </c>
      <c r="T28" s="1" t="str">
        <f>IF(OR(Table1[[#This Row],[Low Tol]]="",Table1[[#This Row],[High Tol]]=""),"Needs Analysis",IF(Table1[[#This Row],[Ratio]]&gt;=4,"Not Significant",IF(Table1[[#This Row],[Ratio]]&gt;=2,"Semi-Significant","Significant")))</f>
        <v>Needs Analysis</v>
      </c>
      <c r="W28" s="1">
        <f>IF(Table1[[#This Row],[Cal Type]]&lt;&gt;"ACCREDITED 17025 WITH UNCERTAINTIES",0,"")</f>
        <v>0</v>
      </c>
      <c r="X28" s="1" t="str">
        <f>IF(Table1[[#This Row],[DUT Read]]="","N/A",Table1[[#This Row],[Std Error]]+Table1[[#This Row],[DUT Read]]+Table1[[#This Row],[DUT Ucty]])</f>
        <v>N/A</v>
      </c>
      <c r="Y28" s="1" t="str">
        <f>IF(Table1[[#This Row],[Std Read]]="","N/A",Table1[[#This Row],[Std Read]]+Table1[[#This Row],[Std Ucty]])</f>
        <v>N/A</v>
      </c>
      <c r="Z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 s="1" t="str">
        <f>IF(Table1[[#This Row],[Spec Type]]="","N/A",Table1[[#This Row],[Spec Type]])</f>
        <v>±</v>
      </c>
      <c r="AC28" s="1" t="str">
        <f>IF(Table1[[#This Row],[Spec Type2]]="N/A","N/A",IF(AND(Table1[[#This Row],[DUT Adj Read]]&gt;=Table1[[#This Row],[Low Tol]],Table1[[#This Row],[DUT Adj Read]]&lt;=Table1[[#This Row],[High Tol]]),"Pass","Fail"))</f>
        <v>Fail</v>
      </c>
      <c r="AD28" s="1" t="str">
        <f>IF(AND(Table1[[#This Row],[Spec Type2]]="N/A",Table1[[#This Row],[DUT Adj Read]]="N/A",Table1[[#This Row],[Std Adj Read]]="N/A"),"N/A",IF(Table1[[#This Row],[DUT Adj Read]]="N/A",IF(Table1[[#This Row],[Std Adj Read]]&gt;Table1[[#This Row],[Low Tol]],"Pass","Fail"),IF(Table1[[#This Row],[DUT Adj Read]]&gt;Table1[[#This Row],[Low Tol]],"Pass","Fail")))</f>
        <v>Pass</v>
      </c>
      <c r="AE28" s="1" t="str">
        <f>IF(AND(Table1[[#This Row],[Spec Type2]]="N/A",Table1[[#This Row],[DUT Adj Read]]="N/A",Table1[[#This Row],[Std Adj Read]]="N/A"),"N/A",IF(Table1[[#This Row],[DUT Adj Read]]="N/A",IF(Table1[[#This Row],[Std Adj Read]]&lt;Table1[[#This Row],[High Tol]],"Pass","Fail"),IF(Table1[[#This Row],[DUT Adj Read]]&lt;Table1[[#This Row],[High Tol]],"Pass","Fail")))</f>
        <v>Fail</v>
      </c>
      <c r="AF28" s="1" t="str">
        <f>IF(AND(Table1[[#This Row],[Spec Type2]]="N/A",Table1[[#This Row],[DUT Adj Read]]="N/A",Table1[[#This Row],[Std Adj Read]]="N/A"),"N/A",IF(Table1[[#This Row],[DUT Adj Read]]="N/A",IF(Table1[[#This Row],[Std Adj Read]]&gt;=Table1[[#This Row],[Low Tol]],"Pass","Fail"),IF(Table1[[#This Row],[DUT Adj Read]]&gt;=Table1[[#This Row],[Low Tol]],"Pass","Fail")))</f>
        <v>Pass</v>
      </c>
      <c r="AG28" s="1" t="str">
        <f>IF(AND(Table1[[#This Row],[Spec Type2]]="N/A",Table1[[#This Row],[DUT Adj Read]]="N/A",Table1[[#This Row],[Std Adj Read]]="N/A"),"N/A",IF(Table1[[#This Row],[DUT Adj Read]]="N/A",IF(Table1[[#This Row],[Std Adj Read]]&lt;=Table1[[#This Row],[High Tol]],"Pass","Fail"),IF(Table1[[#This Row],[DUT Adj Read]]&lt;=Table1[[#This Row],[High Tol]],"Pass","Fail")))</f>
        <v>Fail</v>
      </c>
      <c r="AH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 s="1" t="b">
        <v>0</v>
      </c>
      <c r="AN28" s="1" t="b">
        <v>0</v>
      </c>
      <c r="AO28" s="1" t="b">
        <v>0</v>
      </c>
    </row>
    <row r="29" spans="1:41" x14ac:dyDescent="0.25">
      <c r="A29" s="10"/>
      <c r="B29" s="10"/>
      <c r="C29" s="10"/>
      <c r="D29" s="10"/>
      <c r="E29" s="10"/>
      <c r="F29" s="10"/>
      <c r="G29" s="10"/>
      <c r="H29" s="10"/>
      <c r="I29" s="1" t="str">
        <f t="shared" si="2"/>
        <v/>
      </c>
      <c r="J29" s="1" t="s">
        <v>35</v>
      </c>
      <c r="K29" s="1" t="str">
        <f t="shared" si="0"/>
        <v/>
      </c>
      <c r="L29" s="1" t="str">
        <f t="shared" si="1"/>
        <v/>
      </c>
      <c r="M29" s="1">
        <f>IF(OR(Table1[[#This Row],[Std Nom]]="",Table1[[#This Row],[Std Read]]=""),0,Table1[[#This Row],[Std Nom]]-Table1[[#This Row],[Std Read]])</f>
        <v>0</v>
      </c>
      <c r="N29" s="1">
        <f>IF(Calculations!$F$5="ACCREDITED 17025 WITH UNCERTAINTIES",$N$10,0)</f>
        <v>0</v>
      </c>
      <c r="Q29" s="1">
        <f>Table1[[#This Row],[High Tol]]-Table1[[#This Row],[Low Tol]]</f>
        <v>0</v>
      </c>
      <c r="R29" s="1">
        <f>2*Table1[[#This Row],[Std Error]]</f>
        <v>0</v>
      </c>
      <c r="S29" s="1" t="str">
        <f>IF(Table1[[#This Row],[High Tol]]="","N/A",IFERROR(ABS(Table1[[#This Row],[Tol Span]]/Table1[[#This Row],[Error Span]]),"N/A"))</f>
        <v>N/A</v>
      </c>
      <c r="T29" s="1" t="str">
        <f>IF(OR(Table1[[#This Row],[Low Tol]]="",Table1[[#This Row],[High Tol]]=""),"Needs Analysis",IF(Table1[[#This Row],[Ratio]]&gt;=4,"Not Significant",IF(Table1[[#This Row],[Ratio]]&gt;=2,"Semi-Significant","Significant")))</f>
        <v>Needs Analysis</v>
      </c>
      <c r="W29" s="1">
        <f>IF(Table1[[#This Row],[Cal Type]]&lt;&gt;"ACCREDITED 17025 WITH UNCERTAINTIES",0,"")</f>
        <v>0</v>
      </c>
      <c r="X29" s="1" t="str">
        <f>IF(Table1[[#This Row],[DUT Read]]="","N/A",Table1[[#This Row],[Std Error]]+Table1[[#This Row],[DUT Read]]+Table1[[#This Row],[DUT Ucty]])</f>
        <v>N/A</v>
      </c>
      <c r="Y29" s="1" t="str">
        <f>IF(Table1[[#This Row],[Std Read]]="","N/A",Table1[[#This Row],[Std Read]]+Table1[[#This Row],[Std Ucty]])</f>
        <v>N/A</v>
      </c>
      <c r="Z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 s="1" t="str">
        <f>IF(Table1[[#This Row],[Spec Type]]="","N/A",Table1[[#This Row],[Spec Type]])</f>
        <v>±</v>
      </c>
      <c r="AC29" s="1" t="str">
        <f>IF(Table1[[#This Row],[Spec Type2]]="N/A","N/A",IF(AND(Table1[[#This Row],[DUT Adj Read]]&gt;=Table1[[#This Row],[Low Tol]],Table1[[#This Row],[DUT Adj Read]]&lt;=Table1[[#This Row],[High Tol]]),"Pass","Fail"))</f>
        <v>Fail</v>
      </c>
      <c r="AD29" s="1" t="str">
        <f>IF(AND(Table1[[#This Row],[Spec Type2]]="N/A",Table1[[#This Row],[DUT Adj Read]]="N/A",Table1[[#This Row],[Std Adj Read]]="N/A"),"N/A",IF(Table1[[#This Row],[DUT Adj Read]]="N/A",IF(Table1[[#This Row],[Std Adj Read]]&gt;Table1[[#This Row],[Low Tol]],"Pass","Fail"),IF(Table1[[#This Row],[DUT Adj Read]]&gt;Table1[[#This Row],[Low Tol]],"Pass","Fail")))</f>
        <v>Pass</v>
      </c>
      <c r="AE29" s="1" t="str">
        <f>IF(AND(Table1[[#This Row],[Spec Type2]]="N/A",Table1[[#This Row],[DUT Adj Read]]="N/A",Table1[[#This Row],[Std Adj Read]]="N/A"),"N/A",IF(Table1[[#This Row],[DUT Adj Read]]="N/A",IF(Table1[[#This Row],[Std Adj Read]]&lt;Table1[[#This Row],[High Tol]],"Pass","Fail"),IF(Table1[[#This Row],[DUT Adj Read]]&lt;Table1[[#This Row],[High Tol]],"Pass","Fail")))</f>
        <v>Fail</v>
      </c>
      <c r="AF29" s="1" t="str">
        <f>IF(AND(Table1[[#This Row],[Spec Type2]]="N/A",Table1[[#This Row],[DUT Adj Read]]="N/A",Table1[[#This Row],[Std Adj Read]]="N/A"),"N/A",IF(Table1[[#This Row],[DUT Adj Read]]="N/A",IF(Table1[[#This Row],[Std Adj Read]]&gt;=Table1[[#This Row],[Low Tol]],"Pass","Fail"),IF(Table1[[#This Row],[DUT Adj Read]]&gt;=Table1[[#This Row],[Low Tol]],"Pass","Fail")))</f>
        <v>Pass</v>
      </c>
      <c r="AG29" s="1" t="str">
        <f>IF(AND(Table1[[#This Row],[Spec Type2]]="N/A",Table1[[#This Row],[DUT Adj Read]]="N/A",Table1[[#This Row],[Std Adj Read]]="N/A"),"N/A",IF(Table1[[#This Row],[DUT Adj Read]]="N/A",IF(Table1[[#This Row],[Std Adj Read]]&lt;=Table1[[#This Row],[High Tol]],"Pass","Fail"),IF(Table1[[#This Row],[DUT Adj Read]]&lt;=Table1[[#This Row],[High Tol]],"Pass","Fail")))</f>
        <v>Fail</v>
      </c>
      <c r="AH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 s="1" t="b">
        <v>0</v>
      </c>
      <c r="AN29" s="1" t="b">
        <v>0</v>
      </c>
      <c r="AO29" s="1" t="b">
        <v>0</v>
      </c>
    </row>
    <row r="30" spans="1:41" x14ac:dyDescent="0.25">
      <c r="A30" s="10"/>
      <c r="B30" s="10"/>
      <c r="C30" s="10"/>
      <c r="D30" s="10"/>
      <c r="E30" s="10"/>
      <c r="F30" s="10"/>
      <c r="G30" s="10"/>
      <c r="H30" s="10"/>
      <c r="I30" s="1" t="str">
        <f t="shared" si="2"/>
        <v/>
      </c>
      <c r="J30" s="1" t="s">
        <v>35</v>
      </c>
      <c r="K30" s="1" t="str">
        <f t="shared" si="0"/>
        <v/>
      </c>
      <c r="L30" s="1" t="str">
        <f t="shared" si="1"/>
        <v/>
      </c>
      <c r="M30" s="1">
        <f>IF(OR(Table1[[#This Row],[Std Nom]]="",Table1[[#This Row],[Std Read]]=""),0,Table1[[#This Row],[Std Nom]]-Table1[[#This Row],[Std Read]])</f>
        <v>0</v>
      </c>
      <c r="N30" s="1">
        <f>IF(Calculations!$F$5="ACCREDITED 17025 WITH UNCERTAINTIES",$N$10,0)</f>
        <v>0</v>
      </c>
      <c r="Q30" s="1">
        <f>Table1[[#This Row],[High Tol]]-Table1[[#This Row],[Low Tol]]</f>
        <v>0</v>
      </c>
      <c r="R30" s="1">
        <f>2*Table1[[#This Row],[Std Error]]</f>
        <v>0</v>
      </c>
      <c r="S30" s="1" t="str">
        <f>IF(Table1[[#This Row],[High Tol]]="","N/A",IFERROR(ABS(Table1[[#This Row],[Tol Span]]/Table1[[#This Row],[Error Span]]),"N/A"))</f>
        <v>N/A</v>
      </c>
      <c r="T30" s="1" t="str">
        <f>IF(OR(Table1[[#This Row],[Low Tol]]="",Table1[[#This Row],[High Tol]]=""),"Needs Analysis",IF(Table1[[#This Row],[Ratio]]&gt;=4,"Not Significant",IF(Table1[[#This Row],[Ratio]]&gt;=2,"Semi-Significant","Significant")))</f>
        <v>Needs Analysis</v>
      </c>
      <c r="W30" s="1">
        <f>IF(Table1[[#This Row],[Cal Type]]&lt;&gt;"ACCREDITED 17025 WITH UNCERTAINTIES",0,"")</f>
        <v>0</v>
      </c>
      <c r="X30" s="1" t="str">
        <f>IF(Table1[[#This Row],[DUT Read]]="","N/A",Table1[[#This Row],[Std Error]]+Table1[[#This Row],[DUT Read]]+Table1[[#This Row],[DUT Ucty]])</f>
        <v>N/A</v>
      </c>
      <c r="Y30" s="1" t="str">
        <f>IF(Table1[[#This Row],[Std Read]]="","N/A",Table1[[#This Row],[Std Read]]+Table1[[#This Row],[Std Ucty]])</f>
        <v>N/A</v>
      </c>
      <c r="Z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 s="1" t="str">
        <f>IF(Table1[[#This Row],[Spec Type]]="","N/A",Table1[[#This Row],[Spec Type]])</f>
        <v>±</v>
      </c>
      <c r="AC30" s="1" t="str">
        <f>IF(Table1[[#This Row],[Spec Type2]]="N/A","N/A",IF(AND(Table1[[#This Row],[DUT Adj Read]]&gt;=Table1[[#This Row],[Low Tol]],Table1[[#This Row],[DUT Adj Read]]&lt;=Table1[[#This Row],[High Tol]]),"Pass","Fail"))</f>
        <v>Fail</v>
      </c>
      <c r="AD30" s="1" t="str">
        <f>IF(AND(Table1[[#This Row],[Spec Type2]]="N/A",Table1[[#This Row],[DUT Adj Read]]="N/A",Table1[[#This Row],[Std Adj Read]]="N/A"),"N/A",IF(Table1[[#This Row],[DUT Adj Read]]="N/A",IF(Table1[[#This Row],[Std Adj Read]]&gt;Table1[[#This Row],[Low Tol]],"Pass","Fail"),IF(Table1[[#This Row],[DUT Adj Read]]&gt;Table1[[#This Row],[Low Tol]],"Pass","Fail")))</f>
        <v>Pass</v>
      </c>
      <c r="AE30" s="1" t="str">
        <f>IF(AND(Table1[[#This Row],[Spec Type2]]="N/A",Table1[[#This Row],[DUT Adj Read]]="N/A",Table1[[#This Row],[Std Adj Read]]="N/A"),"N/A",IF(Table1[[#This Row],[DUT Adj Read]]="N/A",IF(Table1[[#This Row],[Std Adj Read]]&lt;Table1[[#This Row],[High Tol]],"Pass","Fail"),IF(Table1[[#This Row],[DUT Adj Read]]&lt;Table1[[#This Row],[High Tol]],"Pass","Fail")))</f>
        <v>Fail</v>
      </c>
      <c r="AF30" s="1" t="str">
        <f>IF(AND(Table1[[#This Row],[Spec Type2]]="N/A",Table1[[#This Row],[DUT Adj Read]]="N/A",Table1[[#This Row],[Std Adj Read]]="N/A"),"N/A",IF(Table1[[#This Row],[DUT Adj Read]]="N/A",IF(Table1[[#This Row],[Std Adj Read]]&gt;=Table1[[#This Row],[Low Tol]],"Pass","Fail"),IF(Table1[[#This Row],[DUT Adj Read]]&gt;=Table1[[#This Row],[Low Tol]],"Pass","Fail")))</f>
        <v>Pass</v>
      </c>
      <c r="AG30" s="1" t="str">
        <f>IF(AND(Table1[[#This Row],[Spec Type2]]="N/A",Table1[[#This Row],[DUT Adj Read]]="N/A",Table1[[#This Row],[Std Adj Read]]="N/A"),"N/A",IF(Table1[[#This Row],[DUT Adj Read]]="N/A",IF(Table1[[#This Row],[Std Adj Read]]&lt;=Table1[[#This Row],[High Tol]],"Pass","Fail"),IF(Table1[[#This Row],[DUT Adj Read]]&lt;=Table1[[#This Row],[High Tol]],"Pass","Fail")))</f>
        <v>Fail</v>
      </c>
      <c r="AH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 s="1" t="b">
        <v>0</v>
      </c>
      <c r="AN30" s="1" t="b">
        <v>0</v>
      </c>
      <c r="AO30" s="1" t="b">
        <v>0</v>
      </c>
    </row>
    <row r="31" spans="1:41" x14ac:dyDescent="0.25">
      <c r="A31" s="10"/>
      <c r="B31" s="10"/>
      <c r="C31" s="10"/>
      <c r="D31" s="10"/>
      <c r="E31" s="10"/>
      <c r="F31" s="10"/>
      <c r="G31" s="10"/>
      <c r="H31" s="10"/>
      <c r="I31" s="1" t="str">
        <f t="shared" si="2"/>
        <v/>
      </c>
      <c r="J31" s="1" t="s">
        <v>35</v>
      </c>
      <c r="K31" s="1" t="str">
        <f t="shared" si="0"/>
        <v/>
      </c>
      <c r="L31" s="1" t="str">
        <f t="shared" si="1"/>
        <v/>
      </c>
      <c r="M31" s="1">
        <f>IF(OR(Table1[[#This Row],[Std Nom]]="",Table1[[#This Row],[Std Read]]=""),0,Table1[[#This Row],[Std Nom]]-Table1[[#This Row],[Std Read]])</f>
        <v>0</v>
      </c>
      <c r="N31" s="1">
        <f>IF(Calculations!$F$5="ACCREDITED 17025 WITH UNCERTAINTIES",$N$10,0)</f>
        <v>0</v>
      </c>
      <c r="Q31" s="1">
        <f>Table1[[#This Row],[High Tol]]-Table1[[#This Row],[Low Tol]]</f>
        <v>0</v>
      </c>
      <c r="R31" s="1">
        <f>2*Table1[[#This Row],[Std Error]]</f>
        <v>0</v>
      </c>
      <c r="S31" s="1" t="str">
        <f>IF(Table1[[#This Row],[High Tol]]="","N/A",IFERROR(ABS(Table1[[#This Row],[Tol Span]]/Table1[[#This Row],[Error Span]]),"N/A"))</f>
        <v>N/A</v>
      </c>
      <c r="T31" s="1" t="str">
        <f>IF(OR(Table1[[#This Row],[Low Tol]]="",Table1[[#This Row],[High Tol]]=""),"Needs Analysis",IF(Table1[[#This Row],[Ratio]]&gt;=4,"Not Significant",IF(Table1[[#This Row],[Ratio]]&gt;=2,"Semi-Significant","Significant")))</f>
        <v>Needs Analysis</v>
      </c>
      <c r="W31" s="1">
        <f>IF(Table1[[#This Row],[Cal Type]]&lt;&gt;"ACCREDITED 17025 WITH UNCERTAINTIES",0,"")</f>
        <v>0</v>
      </c>
      <c r="X31" s="1" t="str">
        <f>IF(Table1[[#This Row],[DUT Read]]="","N/A",Table1[[#This Row],[Std Error]]+Table1[[#This Row],[DUT Read]]+Table1[[#This Row],[DUT Ucty]])</f>
        <v>N/A</v>
      </c>
      <c r="Y31" s="1" t="str">
        <f>IF(Table1[[#This Row],[Std Read]]="","N/A",Table1[[#This Row],[Std Read]]+Table1[[#This Row],[Std Ucty]])</f>
        <v>N/A</v>
      </c>
      <c r="Z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 s="1" t="str">
        <f>IF(Table1[[#This Row],[Spec Type]]="","N/A",Table1[[#This Row],[Spec Type]])</f>
        <v>±</v>
      </c>
      <c r="AC31" s="1" t="str">
        <f>IF(Table1[[#This Row],[Spec Type2]]="N/A","N/A",IF(AND(Table1[[#This Row],[DUT Adj Read]]&gt;=Table1[[#This Row],[Low Tol]],Table1[[#This Row],[DUT Adj Read]]&lt;=Table1[[#This Row],[High Tol]]),"Pass","Fail"))</f>
        <v>Fail</v>
      </c>
      <c r="AD31" s="1" t="str">
        <f>IF(AND(Table1[[#This Row],[Spec Type2]]="N/A",Table1[[#This Row],[DUT Adj Read]]="N/A",Table1[[#This Row],[Std Adj Read]]="N/A"),"N/A",IF(Table1[[#This Row],[DUT Adj Read]]="N/A",IF(Table1[[#This Row],[Std Adj Read]]&gt;Table1[[#This Row],[Low Tol]],"Pass","Fail"),IF(Table1[[#This Row],[DUT Adj Read]]&gt;Table1[[#This Row],[Low Tol]],"Pass","Fail")))</f>
        <v>Pass</v>
      </c>
      <c r="AE31" s="1" t="str">
        <f>IF(AND(Table1[[#This Row],[Spec Type2]]="N/A",Table1[[#This Row],[DUT Adj Read]]="N/A",Table1[[#This Row],[Std Adj Read]]="N/A"),"N/A",IF(Table1[[#This Row],[DUT Adj Read]]="N/A",IF(Table1[[#This Row],[Std Adj Read]]&lt;Table1[[#This Row],[High Tol]],"Pass","Fail"),IF(Table1[[#This Row],[DUT Adj Read]]&lt;Table1[[#This Row],[High Tol]],"Pass","Fail")))</f>
        <v>Fail</v>
      </c>
      <c r="AF31" s="1" t="str">
        <f>IF(AND(Table1[[#This Row],[Spec Type2]]="N/A",Table1[[#This Row],[DUT Adj Read]]="N/A",Table1[[#This Row],[Std Adj Read]]="N/A"),"N/A",IF(Table1[[#This Row],[DUT Adj Read]]="N/A",IF(Table1[[#This Row],[Std Adj Read]]&gt;=Table1[[#This Row],[Low Tol]],"Pass","Fail"),IF(Table1[[#This Row],[DUT Adj Read]]&gt;=Table1[[#This Row],[Low Tol]],"Pass","Fail")))</f>
        <v>Pass</v>
      </c>
      <c r="AG31" s="1" t="str">
        <f>IF(AND(Table1[[#This Row],[Spec Type2]]="N/A",Table1[[#This Row],[DUT Adj Read]]="N/A",Table1[[#This Row],[Std Adj Read]]="N/A"),"N/A",IF(Table1[[#This Row],[DUT Adj Read]]="N/A",IF(Table1[[#This Row],[Std Adj Read]]&lt;=Table1[[#This Row],[High Tol]],"Pass","Fail"),IF(Table1[[#This Row],[DUT Adj Read]]&lt;=Table1[[#This Row],[High Tol]],"Pass","Fail")))</f>
        <v>Fail</v>
      </c>
      <c r="AH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 s="1" t="b">
        <v>0</v>
      </c>
      <c r="AN31" s="1" t="b">
        <v>0</v>
      </c>
      <c r="AO31" s="1" t="b">
        <v>0</v>
      </c>
    </row>
    <row r="32" spans="1:41" x14ac:dyDescent="0.25">
      <c r="A32" s="10"/>
      <c r="B32" s="10"/>
      <c r="C32" s="10"/>
      <c r="D32" s="10"/>
      <c r="E32" s="10"/>
      <c r="F32" s="10"/>
      <c r="G32" s="10"/>
      <c r="H32" s="10"/>
      <c r="I32" s="1" t="str">
        <f t="shared" si="2"/>
        <v/>
      </c>
      <c r="J32" s="1" t="s">
        <v>35</v>
      </c>
      <c r="K32" s="1" t="str">
        <f t="shared" si="0"/>
        <v/>
      </c>
      <c r="L32" s="1" t="str">
        <f t="shared" si="1"/>
        <v/>
      </c>
      <c r="M32" s="1">
        <f>IF(OR(Table1[[#This Row],[Std Nom]]="",Table1[[#This Row],[Std Read]]=""),0,Table1[[#This Row],[Std Nom]]-Table1[[#This Row],[Std Read]])</f>
        <v>0</v>
      </c>
      <c r="N32" s="1">
        <f>IF(Calculations!$F$5="ACCREDITED 17025 WITH UNCERTAINTIES",$N$10,0)</f>
        <v>0</v>
      </c>
      <c r="Q32" s="1">
        <f>Table1[[#This Row],[High Tol]]-Table1[[#This Row],[Low Tol]]</f>
        <v>0</v>
      </c>
      <c r="R32" s="1">
        <f>2*Table1[[#This Row],[Std Error]]</f>
        <v>0</v>
      </c>
      <c r="S32" s="1" t="str">
        <f>IF(Table1[[#This Row],[High Tol]]="","N/A",IFERROR(ABS(Table1[[#This Row],[Tol Span]]/Table1[[#This Row],[Error Span]]),"N/A"))</f>
        <v>N/A</v>
      </c>
      <c r="T32" s="1" t="str">
        <f>IF(OR(Table1[[#This Row],[Low Tol]]="",Table1[[#This Row],[High Tol]]=""),"Needs Analysis",IF(Table1[[#This Row],[Ratio]]&gt;=4,"Not Significant",IF(Table1[[#This Row],[Ratio]]&gt;=2,"Semi-Significant","Significant")))</f>
        <v>Needs Analysis</v>
      </c>
      <c r="W32" s="1">
        <f>IF(Table1[[#This Row],[Cal Type]]&lt;&gt;"ACCREDITED 17025 WITH UNCERTAINTIES",0,"")</f>
        <v>0</v>
      </c>
      <c r="X32" s="1" t="str">
        <f>IF(Table1[[#This Row],[DUT Read]]="","N/A",Table1[[#This Row],[Std Error]]+Table1[[#This Row],[DUT Read]]+Table1[[#This Row],[DUT Ucty]])</f>
        <v>N/A</v>
      </c>
      <c r="Y32" s="1" t="str">
        <f>IF(Table1[[#This Row],[Std Read]]="","N/A",Table1[[#This Row],[Std Read]]+Table1[[#This Row],[Std Ucty]])</f>
        <v>N/A</v>
      </c>
      <c r="Z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 s="1" t="str">
        <f>IF(Table1[[#This Row],[Spec Type]]="","N/A",Table1[[#This Row],[Spec Type]])</f>
        <v>±</v>
      </c>
      <c r="AC32" s="1" t="str">
        <f>IF(Table1[[#This Row],[Spec Type2]]="N/A","N/A",IF(AND(Table1[[#This Row],[DUT Adj Read]]&gt;=Table1[[#This Row],[Low Tol]],Table1[[#This Row],[DUT Adj Read]]&lt;=Table1[[#This Row],[High Tol]]),"Pass","Fail"))</f>
        <v>Fail</v>
      </c>
      <c r="AD32" s="1" t="str">
        <f>IF(AND(Table1[[#This Row],[Spec Type2]]="N/A",Table1[[#This Row],[DUT Adj Read]]="N/A",Table1[[#This Row],[Std Adj Read]]="N/A"),"N/A",IF(Table1[[#This Row],[DUT Adj Read]]="N/A",IF(Table1[[#This Row],[Std Adj Read]]&gt;Table1[[#This Row],[Low Tol]],"Pass","Fail"),IF(Table1[[#This Row],[DUT Adj Read]]&gt;Table1[[#This Row],[Low Tol]],"Pass","Fail")))</f>
        <v>Pass</v>
      </c>
      <c r="AE32" s="1" t="str">
        <f>IF(AND(Table1[[#This Row],[Spec Type2]]="N/A",Table1[[#This Row],[DUT Adj Read]]="N/A",Table1[[#This Row],[Std Adj Read]]="N/A"),"N/A",IF(Table1[[#This Row],[DUT Adj Read]]="N/A",IF(Table1[[#This Row],[Std Adj Read]]&lt;Table1[[#This Row],[High Tol]],"Pass","Fail"),IF(Table1[[#This Row],[DUT Adj Read]]&lt;Table1[[#This Row],[High Tol]],"Pass","Fail")))</f>
        <v>Fail</v>
      </c>
      <c r="AF32" s="1" t="str">
        <f>IF(AND(Table1[[#This Row],[Spec Type2]]="N/A",Table1[[#This Row],[DUT Adj Read]]="N/A",Table1[[#This Row],[Std Adj Read]]="N/A"),"N/A",IF(Table1[[#This Row],[DUT Adj Read]]="N/A",IF(Table1[[#This Row],[Std Adj Read]]&gt;=Table1[[#This Row],[Low Tol]],"Pass","Fail"),IF(Table1[[#This Row],[DUT Adj Read]]&gt;=Table1[[#This Row],[Low Tol]],"Pass","Fail")))</f>
        <v>Pass</v>
      </c>
      <c r="AG32" s="1" t="str">
        <f>IF(AND(Table1[[#This Row],[Spec Type2]]="N/A",Table1[[#This Row],[DUT Adj Read]]="N/A",Table1[[#This Row],[Std Adj Read]]="N/A"),"N/A",IF(Table1[[#This Row],[DUT Adj Read]]="N/A",IF(Table1[[#This Row],[Std Adj Read]]&lt;=Table1[[#This Row],[High Tol]],"Pass","Fail"),IF(Table1[[#This Row],[DUT Adj Read]]&lt;=Table1[[#This Row],[High Tol]],"Pass","Fail")))</f>
        <v>Fail</v>
      </c>
      <c r="AH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 s="1" t="b">
        <v>0</v>
      </c>
      <c r="AN32" s="1" t="b">
        <v>0</v>
      </c>
      <c r="AO32" s="1" t="b">
        <v>0</v>
      </c>
    </row>
    <row r="33" spans="1:41" x14ac:dyDescent="0.25">
      <c r="A33" s="10"/>
      <c r="B33" s="10"/>
      <c r="C33" s="10"/>
      <c r="D33" s="10"/>
      <c r="E33" s="10"/>
      <c r="F33" s="10"/>
      <c r="G33" s="10"/>
      <c r="H33" s="10"/>
      <c r="I33" s="1" t="str">
        <f t="shared" si="2"/>
        <v/>
      </c>
      <c r="J33" s="1" t="s">
        <v>35</v>
      </c>
      <c r="K33" s="1" t="str">
        <f t="shared" si="0"/>
        <v/>
      </c>
      <c r="L33" s="1" t="str">
        <f t="shared" si="1"/>
        <v/>
      </c>
      <c r="M33" s="1">
        <f>IF(OR(Table1[[#This Row],[Std Nom]]="",Table1[[#This Row],[Std Read]]=""),0,Table1[[#This Row],[Std Nom]]-Table1[[#This Row],[Std Read]])</f>
        <v>0</v>
      </c>
      <c r="N33" s="1">
        <f>IF(Calculations!$F$5="ACCREDITED 17025 WITH UNCERTAINTIES",$N$10,0)</f>
        <v>0</v>
      </c>
      <c r="Q33" s="1">
        <f>Table1[[#This Row],[High Tol]]-Table1[[#This Row],[Low Tol]]</f>
        <v>0</v>
      </c>
      <c r="R33" s="1">
        <f>2*Table1[[#This Row],[Std Error]]</f>
        <v>0</v>
      </c>
      <c r="S33" s="1" t="str">
        <f>IF(Table1[[#This Row],[High Tol]]="","N/A",IFERROR(ABS(Table1[[#This Row],[Tol Span]]/Table1[[#This Row],[Error Span]]),"N/A"))</f>
        <v>N/A</v>
      </c>
      <c r="T33" s="1" t="str">
        <f>IF(OR(Table1[[#This Row],[Low Tol]]="",Table1[[#This Row],[High Tol]]=""),"Needs Analysis",IF(Table1[[#This Row],[Ratio]]&gt;=4,"Not Significant",IF(Table1[[#This Row],[Ratio]]&gt;=2,"Semi-Significant","Significant")))</f>
        <v>Needs Analysis</v>
      </c>
      <c r="W33" s="1">
        <f>IF(Table1[[#This Row],[Cal Type]]&lt;&gt;"ACCREDITED 17025 WITH UNCERTAINTIES",0,"")</f>
        <v>0</v>
      </c>
      <c r="X33" s="1" t="str">
        <f>IF(Table1[[#This Row],[DUT Read]]="","N/A",Table1[[#This Row],[Std Error]]+Table1[[#This Row],[DUT Read]]+Table1[[#This Row],[DUT Ucty]])</f>
        <v>N/A</v>
      </c>
      <c r="Y33" s="1" t="str">
        <f>IF(Table1[[#This Row],[Std Read]]="","N/A",Table1[[#This Row],[Std Read]]+Table1[[#This Row],[Std Ucty]])</f>
        <v>N/A</v>
      </c>
      <c r="Z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 s="1" t="str">
        <f>IF(Table1[[#This Row],[Spec Type]]="","N/A",Table1[[#This Row],[Spec Type]])</f>
        <v>±</v>
      </c>
      <c r="AC33" s="1" t="str">
        <f>IF(Table1[[#This Row],[Spec Type2]]="N/A","N/A",IF(AND(Table1[[#This Row],[DUT Adj Read]]&gt;=Table1[[#This Row],[Low Tol]],Table1[[#This Row],[DUT Adj Read]]&lt;=Table1[[#This Row],[High Tol]]),"Pass","Fail"))</f>
        <v>Fail</v>
      </c>
      <c r="AD33" s="1" t="str">
        <f>IF(AND(Table1[[#This Row],[Spec Type2]]="N/A",Table1[[#This Row],[DUT Adj Read]]="N/A",Table1[[#This Row],[Std Adj Read]]="N/A"),"N/A",IF(Table1[[#This Row],[DUT Adj Read]]="N/A",IF(Table1[[#This Row],[Std Adj Read]]&gt;Table1[[#This Row],[Low Tol]],"Pass","Fail"),IF(Table1[[#This Row],[DUT Adj Read]]&gt;Table1[[#This Row],[Low Tol]],"Pass","Fail")))</f>
        <v>Pass</v>
      </c>
      <c r="AE33" s="1" t="str">
        <f>IF(AND(Table1[[#This Row],[Spec Type2]]="N/A",Table1[[#This Row],[DUT Adj Read]]="N/A",Table1[[#This Row],[Std Adj Read]]="N/A"),"N/A",IF(Table1[[#This Row],[DUT Adj Read]]="N/A",IF(Table1[[#This Row],[Std Adj Read]]&lt;Table1[[#This Row],[High Tol]],"Pass","Fail"),IF(Table1[[#This Row],[DUT Adj Read]]&lt;Table1[[#This Row],[High Tol]],"Pass","Fail")))</f>
        <v>Fail</v>
      </c>
      <c r="AF33" s="1" t="str">
        <f>IF(AND(Table1[[#This Row],[Spec Type2]]="N/A",Table1[[#This Row],[DUT Adj Read]]="N/A",Table1[[#This Row],[Std Adj Read]]="N/A"),"N/A",IF(Table1[[#This Row],[DUT Adj Read]]="N/A",IF(Table1[[#This Row],[Std Adj Read]]&gt;=Table1[[#This Row],[Low Tol]],"Pass","Fail"),IF(Table1[[#This Row],[DUT Adj Read]]&gt;=Table1[[#This Row],[Low Tol]],"Pass","Fail")))</f>
        <v>Pass</v>
      </c>
      <c r="AG33" s="1" t="str">
        <f>IF(AND(Table1[[#This Row],[Spec Type2]]="N/A",Table1[[#This Row],[DUT Adj Read]]="N/A",Table1[[#This Row],[Std Adj Read]]="N/A"),"N/A",IF(Table1[[#This Row],[DUT Adj Read]]="N/A",IF(Table1[[#This Row],[Std Adj Read]]&lt;=Table1[[#This Row],[High Tol]],"Pass","Fail"),IF(Table1[[#This Row],[DUT Adj Read]]&lt;=Table1[[#This Row],[High Tol]],"Pass","Fail")))</f>
        <v>Fail</v>
      </c>
      <c r="AH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 s="1" t="b">
        <v>0</v>
      </c>
      <c r="AN33" s="1" t="b">
        <v>0</v>
      </c>
      <c r="AO33" s="1" t="b">
        <v>0</v>
      </c>
    </row>
    <row r="34" spans="1:41" x14ac:dyDescent="0.25">
      <c r="A34" s="10"/>
      <c r="B34" s="10"/>
      <c r="C34" s="10"/>
      <c r="D34" s="10"/>
      <c r="E34" s="10"/>
      <c r="F34" s="10"/>
      <c r="G34" s="10"/>
      <c r="H34" s="10"/>
      <c r="I34" s="1" t="str">
        <f t="shared" si="2"/>
        <v/>
      </c>
      <c r="J34" s="1" t="s">
        <v>35</v>
      </c>
      <c r="K34" s="1" t="str">
        <f t="shared" si="0"/>
        <v/>
      </c>
      <c r="L34" s="1" t="str">
        <f t="shared" si="1"/>
        <v/>
      </c>
      <c r="M34" s="1">
        <f>IF(OR(Table1[[#This Row],[Std Nom]]="",Table1[[#This Row],[Std Read]]=""),0,Table1[[#This Row],[Std Nom]]-Table1[[#This Row],[Std Read]])</f>
        <v>0</v>
      </c>
      <c r="N34" s="1">
        <f>IF(Calculations!$F$5="ACCREDITED 17025 WITH UNCERTAINTIES",$N$10,0)</f>
        <v>0</v>
      </c>
      <c r="Q34" s="1">
        <f>Table1[[#This Row],[High Tol]]-Table1[[#This Row],[Low Tol]]</f>
        <v>0</v>
      </c>
      <c r="R34" s="1">
        <f>2*Table1[[#This Row],[Std Error]]</f>
        <v>0</v>
      </c>
      <c r="S34" s="1" t="str">
        <f>IF(Table1[[#This Row],[High Tol]]="","N/A",IFERROR(ABS(Table1[[#This Row],[Tol Span]]/Table1[[#This Row],[Error Span]]),"N/A"))</f>
        <v>N/A</v>
      </c>
      <c r="T34" s="1" t="str">
        <f>IF(OR(Table1[[#This Row],[Low Tol]]="",Table1[[#This Row],[High Tol]]=""),"Needs Analysis",IF(Table1[[#This Row],[Ratio]]&gt;=4,"Not Significant",IF(Table1[[#This Row],[Ratio]]&gt;=2,"Semi-Significant","Significant")))</f>
        <v>Needs Analysis</v>
      </c>
      <c r="W34" s="1">
        <f>IF(Table1[[#This Row],[Cal Type]]&lt;&gt;"ACCREDITED 17025 WITH UNCERTAINTIES",0,"")</f>
        <v>0</v>
      </c>
      <c r="X34" s="1" t="str">
        <f>IF(Table1[[#This Row],[DUT Read]]="","N/A",Table1[[#This Row],[Std Error]]+Table1[[#This Row],[DUT Read]]+Table1[[#This Row],[DUT Ucty]])</f>
        <v>N/A</v>
      </c>
      <c r="Y34" s="1" t="str">
        <f>IF(Table1[[#This Row],[Std Read]]="","N/A",Table1[[#This Row],[Std Read]]+Table1[[#This Row],[Std Ucty]])</f>
        <v>N/A</v>
      </c>
      <c r="Z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 s="1" t="str">
        <f>IF(Table1[[#This Row],[Spec Type]]="","N/A",Table1[[#This Row],[Spec Type]])</f>
        <v>±</v>
      </c>
      <c r="AC34" s="1" t="str">
        <f>IF(Table1[[#This Row],[Spec Type2]]="N/A","N/A",IF(AND(Table1[[#This Row],[DUT Adj Read]]&gt;=Table1[[#This Row],[Low Tol]],Table1[[#This Row],[DUT Adj Read]]&lt;=Table1[[#This Row],[High Tol]]),"Pass","Fail"))</f>
        <v>Fail</v>
      </c>
      <c r="AD34" s="1" t="str">
        <f>IF(AND(Table1[[#This Row],[Spec Type2]]="N/A",Table1[[#This Row],[DUT Adj Read]]="N/A",Table1[[#This Row],[Std Adj Read]]="N/A"),"N/A",IF(Table1[[#This Row],[DUT Adj Read]]="N/A",IF(Table1[[#This Row],[Std Adj Read]]&gt;Table1[[#This Row],[Low Tol]],"Pass","Fail"),IF(Table1[[#This Row],[DUT Adj Read]]&gt;Table1[[#This Row],[Low Tol]],"Pass","Fail")))</f>
        <v>Pass</v>
      </c>
      <c r="AE34" s="1" t="str">
        <f>IF(AND(Table1[[#This Row],[Spec Type2]]="N/A",Table1[[#This Row],[DUT Adj Read]]="N/A",Table1[[#This Row],[Std Adj Read]]="N/A"),"N/A",IF(Table1[[#This Row],[DUT Adj Read]]="N/A",IF(Table1[[#This Row],[Std Adj Read]]&lt;Table1[[#This Row],[High Tol]],"Pass","Fail"),IF(Table1[[#This Row],[DUT Adj Read]]&lt;Table1[[#This Row],[High Tol]],"Pass","Fail")))</f>
        <v>Fail</v>
      </c>
      <c r="AF34" s="1" t="str">
        <f>IF(AND(Table1[[#This Row],[Spec Type2]]="N/A",Table1[[#This Row],[DUT Adj Read]]="N/A",Table1[[#This Row],[Std Adj Read]]="N/A"),"N/A",IF(Table1[[#This Row],[DUT Adj Read]]="N/A",IF(Table1[[#This Row],[Std Adj Read]]&gt;=Table1[[#This Row],[Low Tol]],"Pass","Fail"),IF(Table1[[#This Row],[DUT Adj Read]]&gt;=Table1[[#This Row],[Low Tol]],"Pass","Fail")))</f>
        <v>Pass</v>
      </c>
      <c r="AG34" s="1" t="str">
        <f>IF(AND(Table1[[#This Row],[Spec Type2]]="N/A",Table1[[#This Row],[DUT Adj Read]]="N/A",Table1[[#This Row],[Std Adj Read]]="N/A"),"N/A",IF(Table1[[#This Row],[DUT Adj Read]]="N/A",IF(Table1[[#This Row],[Std Adj Read]]&lt;=Table1[[#This Row],[High Tol]],"Pass","Fail"),IF(Table1[[#This Row],[DUT Adj Read]]&lt;=Table1[[#This Row],[High Tol]],"Pass","Fail")))</f>
        <v>Fail</v>
      </c>
      <c r="AH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 s="1" t="b">
        <v>0</v>
      </c>
      <c r="AN34" s="1" t="b">
        <v>0</v>
      </c>
      <c r="AO34" s="1" t="b">
        <v>0</v>
      </c>
    </row>
    <row r="35" spans="1:41" x14ac:dyDescent="0.25">
      <c r="A35" s="10"/>
      <c r="B35" s="10"/>
      <c r="C35" s="10"/>
      <c r="D35" s="10"/>
      <c r="E35" s="10"/>
      <c r="F35" s="10"/>
      <c r="G35" s="10"/>
      <c r="H35" s="10"/>
      <c r="I35" s="1" t="str">
        <f t="shared" si="2"/>
        <v/>
      </c>
      <c r="J35" s="1" t="s">
        <v>35</v>
      </c>
      <c r="K35" s="1" t="str">
        <f t="shared" si="0"/>
        <v/>
      </c>
      <c r="L35" s="1" t="str">
        <f t="shared" si="1"/>
        <v/>
      </c>
      <c r="M35" s="1">
        <f>IF(OR(Table1[[#This Row],[Std Nom]]="",Table1[[#This Row],[Std Read]]=""),0,Table1[[#This Row],[Std Nom]]-Table1[[#This Row],[Std Read]])</f>
        <v>0</v>
      </c>
      <c r="N35" s="1">
        <f>IF(Calculations!$F$5="ACCREDITED 17025 WITH UNCERTAINTIES",$N$10,0)</f>
        <v>0</v>
      </c>
      <c r="Q35" s="1">
        <f>Table1[[#This Row],[High Tol]]-Table1[[#This Row],[Low Tol]]</f>
        <v>0</v>
      </c>
      <c r="R35" s="1">
        <f>2*Table1[[#This Row],[Std Error]]</f>
        <v>0</v>
      </c>
      <c r="S35" s="1" t="str">
        <f>IF(Table1[[#This Row],[High Tol]]="","N/A",IFERROR(ABS(Table1[[#This Row],[Tol Span]]/Table1[[#This Row],[Error Span]]),"N/A"))</f>
        <v>N/A</v>
      </c>
      <c r="T35" s="1" t="str">
        <f>IF(OR(Table1[[#This Row],[Low Tol]]="",Table1[[#This Row],[High Tol]]=""),"Needs Analysis",IF(Table1[[#This Row],[Ratio]]&gt;=4,"Not Significant",IF(Table1[[#This Row],[Ratio]]&gt;=2,"Semi-Significant","Significant")))</f>
        <v>Needs Analysis</v>
      </c>
      <c r="W35" s="1">
        <f>IF(Table1[[#This Row],[Cal Type]]&lt;&gt;"ACCREDITED 17025 WITH UNCERTAINTIES",0,"")</f>
        <v>0</v>
      </c>
      <c r="X35" s="1" t="str">
        <f>IF(Table1[[#This Row],[DUT Read]]="","N/A",Table1[[#This Row],[Std Error]]+Table1[[#This Row],[DUT Read]]+Table1[[#This Row],[DUT Ucty]])</f>
        <v>N/A</v>
      </c>
      <c r="Y35" s="1" t="str">
        <f>IF(Table1[[#This Row],[Std Read]]="","N/A",Table1[[#This Row],[Std Read]]+Table1[[#This Row],[Std Ucty]])</f>
        <v>N/A</v>
      </c>
      <c r="Z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 s="1" t="str">
        <f>IF(Table1[[#This Row],[Spec Type]]="","N/A",Table1[[#This Row],[Spec Type]])</f>
        <v>±</v>
      </c>
      <c r="AC35" s="1" t="str">
        <f>IF(Table1[[#This Row],[Spec Type2]]="N/A","N/A",IF(AND(Table1[[#This Row],[DUT Adj Read]]&gt;=Table1[[#This Row],[Low Tol]],Table1[[#This Row],[DUT Adj Read]]&lt;=Table1[[#This Row],[High Tol]]),"Pass","Fail"))</f>
        <v>Fail</v>
      </c>
      <c r="AD35" s="1" t="str">
        <f>IF(AND(Table1[[#This Row],[Spec Type2]]="N/A",Table1[[#This Row],[DUT Adj Read]]="N/A",Table1[[#This Row],[Std Adj Read]]="N/A"),"N/A",IF(Table1[[#This Row],[DUT Adj Read]]="N/A",IF(Table1[[#This Row],[Std Adj Read]]&gt;Table1[[#This Row],[Low Tol]],"Pass","Fail"),IF(Table1[[#This Row],[DUT Adj Read]]&gt;Table1[[#This Row],[Low Tol]],"Pass","Fail")))</f>
        <v>Pass</v>
      </c>
      <c r="AE35" s="1" t="str">
        <f>IF(AND(Table1[[#This Row],[Spec Type2]]="N/A",Table1[[#This Row],[DUT Adj Read]]="N/A",Table1[[#This Row],[Std Adj Read]]="N/A"),"N/A",IF(Table1[[#This Row],[DUT Adj Read]]="N/A",IF(Table1[[#This Row],[Std Adj Read]]&lt;Table1[[#This Row],[High Tol]],"Pass","Fail"),IF(Table1[[#This Row],[DUT Adj Read]]&lt;Table1[[#This Row],[High Tol]],"Pass","Fail")))</f>
        <v>Fail</v>
      </c>
      <c r="AF35" s="1" t="str">
        <f>IF(AND(Table1[[#This Row],[Spec Type2]]="N/A",Table1[[#This Row],[DUT Adj Read]]="N/A",Table1[[#This Row],[Std Adj Read]]="N/A"),"N/A",IF(Table1[[#This Row],[DUT Adj Read]]="N/A",IF(Table1[[#This Row],[Std Adj Read]]&gt;=Table1[[#This Row],[Low Tol]],"Pass","Fail"),IF(Table1[[#This Row],[DUT Adj Read]]&gt;=Table1[[#This Row],[Low Tol]],"Pass","Fail")))</f>
        <v>Pass</v>
      </c>
      <c r="AG35" s="1" t="str">
        <f>IF(AND(Table1[[#This Row],[Spec Type2]]="N/A",Table1[[#This Row],[DUT Adj Read]]="N/A",Table1[[#This Row],[Std Adj Read]]="N/A"),"N/A",IF(Table1[[#This Row],[DUT Adj Read]]="N/A",IF(Table1[[#This Row],[Std Adj Read]]&lt;=Table1[[#This Row],[High Tol]],"Pass","Fail"),IF(Table1[[#This Row],[DUT Adj Read]]&lt;=Table1[[#This Row],[High Tol]],"Pass","Fail")))</f>
        <v>Fail</v>
      </c>
      <c r="AH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 s="1" t="b">
        <v>0</v>
      </c>
      <c r="AN35" s="1" t="b">
        <v>0</v>
      </c>
      <c r="AO35" s="1" t="b">
        <v>0</v>
      </c>
    </row>
    <row r="36" spans="1:41" x14ac:dyDescent="0.25">
      <c r="A36" s="10"/>
      <c r="B36" s="10"/>
      <c r="C36" s="10"/>
      <c r="D36" s="10"/>
      <c r="E36" s="10"/>
      <c r="F36" s="10"/>
      <c r="G36" s="10"/>
      <c r="H36" s="10"/>
      <c r="I36" s="1" t="str">
        <f t="shared" si="2"/>
        <v/>
      </c>
      <c r="J36" s="1" t="s">
        <v>35</v>
      </c>
      <c r="K36" s="1" t="str">
        <f t="shared" si="0"/>
        <v/>
      </c>
      <c r="L36" s="1" t="str">
        <f t="shared" si="1"/>
        <v/>
      </c>
      <c r="M36" s="1">
        <f>IF(OR(Table1[[#This Row],[Std Nom]]="",Table1[[#This Row],[Std Read]]=""),0,Table1[[#This Row],[Std Nom]]-Table1[[#This Row],[Std Read]])</f>
        <v>0</v>
      </c>
      <c r="N36" s="1">
        <f>IF(Calculations!$F$5="ACCREDITED 17025 WITH UNCERTAINTIES",$N$10,0)</f>
        <v>0</v>
      </c>
      <c r="Q36" s="1">
        <f>Table1[[#This Row],[High Tol]]-Table1[[#This Row],[Low Tol]]</f>
        <v>0</v>
      </c>
      <c r="R36" s="1">
        <f>2*Table1[[#This Row],[Std Error]]</f>
        <v>0</v>
      </c>
      <c r="S36" s="1" t="str">
        <f>IF(Table1[[#This Row],[High Tol]]="","N/A",IFERROR(ABS(Table1[[#This Row],[Tol Span]]/Table1[[#This Row],[Error Span]]),"N/A"))</f>
        <v>N/A</v>
      </c>
      <c r="T36" s="1" t="str">
        <f>IF(OR(Table1[[#This Row],[Low Tol]]="",Table1[[#This Row],[High Tol]]=""),"Needs Analysis",IF(Table1[[#This Row],[Ratio]]&gt;=4,"Not Significant",IF(Table1[[#This Row],[Ratio]]&gt;=2,"Semi-Significant","Significant")))</f>
        <v>Needs Analysis</v>
      </c>
      <c r="W36" s="1">
        <f>IF(Table1[[#This Row],[Cal Type]]&lt;&gt;"ACCREDITED 17025 WITH UNCERTAINTIES",0,"")</f>
        <v>0</v>
      </c>
      <c r="X36" s="1" t="str">
        <f>IF(Table1[[#This Row],[DUT Read]]="","N/A",Table1[[#This Row],[Std Error]]+Table1[[#This Row],[DUT Read]]+Table1[[#This Row],[DUT Ucty]])</f>
        <v>N/A</v>
      </c>
      <c r="Y36" s="1" t="str">
        <f>IF(Table1[[#This Row],[Std Read]]="","N/A",Table1[[#This Row],[Std Read]]+Table1[[#This Row],[Std Ucty]])</f>
        <v>N/A</v>
      </c>
      <c r="Z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 s="1" t="str">
        <f>IF(Table1[[#This Row],[Spec Type]]="","N/A",Table1[[#This Row],[Spec Type]])</f>
        <v>±</v>
      </c>
      <c r="AC36" s="1" t="str">
        <f>IF(Table1[[#This Row],[Spec Type2]]="N/A","N/A",IF(AND(Table1[[#This Row],[DUT Adj Read]]&gt;=Table1[[#This Row],[Low Tol]],Table1[[#This Row],[DUT Adj Read]]&lt;=Table1[[#This Row],[High Tol]]),"Pass","Fail"))</f>
        <v>Fail</v>
      </c>
      <c r="AD36" s="1" t="str">
        <f>IF(AND(Table1[[#This Row],[Spec Type2]]="N/A",Table1[[#This Row],[DUT Adj Read]]="N/A",Table1[[#This Row],[Std Adj Read]]="N/A"),"N/A",IF(Table1[[#This Row],[DUT Adj Read]]="N/A",IF(Table1[[#This Row],[Std Adj Read]]&gt;Table1[[#This Row],[Low Tol]],"Pass","Fail"),IF(Table1[[#This Row],[DUT Adj Read]]&gt;Table1[[#This Row],[Low Tol]],"Pass","Fail")))</f>
        <v>Pass</v>
      </c>
      <c r="AE36" s="1" t="str">
        <f>IF(AND(Table1[[#This Row],[Spec Type2]]="N/A",Table1[[#This Row],[DUT Adj Read]]="N/A",Table1[[#This Row],[Std Adj Read]]="N/A"),"N/A",IF(Table1[[#This Row],[DUT Adj Read]]="N/A",IF(Table1[[#This Row],[Std Adj Read]]&lt;Table1[[#This Row],[High Tol]],"Pass","Fail"),IF(Table1[[#This Row],[DUT Adj Read]]&lt;Table1[[#This Row],[High Tol]],"Pass","Fail")))</f>
        <v>Fail</v>
      </c>
      <c r="AF36" s="1" t="str">
        <f>IF(AND(Table1[[#This Row],[Spec Type2]]="N/A",Table1[[#This Row],[DUT Adj Read]]="N/A",Table1[[#This Row],[Std Adj Read]]="N/A"),"N/A",IF(Table1[[#This Row],[DUT Adj Read]]="N/A",IF(Table1[[#This Row],[Std Adj Read]]&gt;=Table1[[#This Row],[Low Tol]],"Pass","Fail"),IF(Table1[[#This Row],[DUT Adj Read]]&gt;=Table1[[#This Row],[Low Tol]],"Pass","Fail")))</f>
        <v>Pass</v>
      </c>
      <c r="AG36" s="1" t="str">
        <f>IF(AND(Table1[[#This Row],[Spec Type2]]="N/A",Table1[[#This Row],[DUT Adj Read]]="N/A",Table1[[#This Row],[Std Adj Read]]="N/A"),"N/A",IF(Table1[[#This Row],[DUT Adj Read]]="N/A",IF(Table1[[#This Row],[Std Adj Read]]&lt;=Table1[[#This Row],[High Tol]],"Pass","Fail"),IF(Table1[[#This Row],[DUT Adj Read]]&lt;=Table1[[#This Row],[High Tol]],"Pass","Fail")))</f>
        <v>Fail</v>
      </c>
      <c r="AH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 s="1" t="b">
        <v>0</v>
      </c>
      <c r="AN36" s="1" t="b">
        <v>0</v>
      </c>
      <c r="AO36" s="1" t="b">
        <v>0</v>
      </c>
    </row>
    <row r="37" spans="1:41" x14ac:dyDescent="0.25">
      <c r="A37" s="10"/>
      <c r="B37" s="10"/>
      <c r="C37" s="10"/>
      <c r="D37" s="10"/>
      <c r="E37" s="10"/>
      <c r="F37" s="10"/>
      <c r="G37" s="10"/>
      <c r="H37" s="10"/>
      <c r="I37" s="1" t="str">
        <f t="shared" si="2"/>
        <v/>
      </c>
      <c r="J37" s="1" t="s">
        <v>35</v>
      </c>
      <c r="K37" s="1" t="str">
        <f t="shared" si="0"/>
        <v/>
      </c>
      <c r="L37" s="1" t="str">
        <f t="shared" si="1"/>
        <v/>
      </c>
      <c r="M37" s="1">
        <f>IF(OR(Table1[[#This Row],[Std Nom]]="",Table1[[#This Row],[Std Read]]=""),0,Table1[[#This Row],[Std Nom]]-Table1[[#This Row],[Std Read]])</f>
        <v>0</v>
      </c>
      <c r="N37" s="1">
        <f>IF(Calculations!$F$5="ACCREDITED 17025 WITH UNCERTAINTIES",$N$10,0)</f>
        <v>0</v>
      </c>
      <c r="Q37" s="1">
        <f>Table1[[#This Row],[High Tol]]-Table1[[#This Row],[Low Tol]]</f>
        <v>0</v>
      </c>
      <c r="R37" s="1">
        <f>2*Table1[[#This Row],[Std Error]]</f>
        <v>0</v>
      </c>
      <c r="S37" s="1" t="str">
        <f>IF(Table1[[#This Row],[High Tol]]="","N/A",IFERROR(ABS(Table1[[#This Row],[Tol Span]]/Table1[[#This Row],[Error Span]]),"N/A"))</f>
        <v>N/A</v>
      </c>
      <c r="T37" s="1" t="str">
        <f>IF(OR(Table1[[#This Row],[Low Tol]]="",Table1[[#This Row],[High Tol]]=""),"Needs Analysis",IF(Table1[[#This Row],[Ratio]]&gt;=4,"Not Significant",IF(Table1[[#This Row],[Ratio]]&gt;=2,"Semi-Significant","Significant")))</f>
        <v>Needs Analysis</v>
      </c>
      <c r="W37" s="1">
        <f>IF(Table1[[#This Row],[Cal Type]]&lt;&gt;"ACCREDITED 17025 WITH UNCERTAINTIES",0,"")</f>
        <v>0</v>
      </c>
      <c r="X37" s="1" t="str">
        <f>IF(Table1[[#This Row],[DUT Read]]="","N/A",Table1[[#This Row],[Std Error]]+Table1[[#This Row],[DUT Read]]+Table1[[#This Row],[DUT Ucty]])</f>
        <v>N/A</v>
      </c>
      <c r="Y37" s="1" t="str">
        <f>IF(Table1[[#This Row],[Std Read]]="","N/A",Table1[[#This Row],[Std Read]]+Table1[[#This Row],[Std Ucty]])</f>
        <v>N/A</v>
      </c>
      <c r="Z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 s="1" t="str">
        <f>IF(Table1[[#This Row],[Spec Type]]="","N/A",Table1[[#This Row],[Spec Type]])</f>
        <v>±</v>
      </c>
      <c r="AC37" s="1" t="str">
        <f>IF(Table1[[#This Row],[Spec Type2]]="N/A","N/A",IF(AND(Table1[[#This Row],[DUT Adj Read]]&gt;=Table1[[#This Row],[Low Tol]],Table1[[#This Row],[DUT Adj Read]]&lt;=Table1[[#This Row],[High Tol]]),"Pass","Fail"))</f>
        <v>Fail</v>
      </c>
      <c r="AD37" s="1" t="str">
        <f>IF(AND(Table1[[#This Row],[Spec Type2]]="N/A",Table1[[#This Row],[DUT Adj Read]]="N/A",Table1[[#This Row],[Std Adj Read]]="N/A"),"N/A",IF(Table1[[#This Row],[DUT Adj Read]]="N/A",IF(Table1[[#This Row],[Std Adj Read]]&gt;Table1[[#This Row],[Low Tol]],"Pass","Fail"),IF(Table1[[#This Row],[DUT Adj Read]]&gt;Table1[[#This Row],[Low Tol]],"Pass","Fail")))</f>
        <v>Pass</v>
      </c>
      <c r="AE37" s="1" t="str">
        <f>IF(AND(Table1[[#This Row],[Spec Type2]]="N/A",Table1[[#This Row],[DUT Adj Read]]="N/A",Table1[[#This Row],[Std Adj Read]]="N/A"),"N/A",IF(Table1[[#This Row],[DUT Adj Read]]="N/A",IF(Table1[[#This Row],[Std Adj Read]]&lt;Table1[[#This Row],[High Tol]],"Pass","Fail"),IF(Table1[[#This Row],[DUT Adj Read]]&lt;Table1[[#This Row],[High Tol]],"Pass","Fail")))</f>
        <v>Fail</v>
      </c>
      <c r="AF37" s="1" t="str">
        <f>IF(AND(Table1[[#This Row],[Spec Type2]]="N/A",Table1[[#This Row],[DUT Adj Read]]="N/A",Table1[[#This Row],[Std Adj Read]]="N/A"),"N/A",IF(Table1[[#This Row],[DUT Adj Read]]="N/A",IF(Table1[[#This Row],[Std Adj Read]]&gt;=Table1[[#This Row],[Low Tol]],"Pass","Fail"),IF(Table1[[#This Row],[DUT Adj Read]]&gt;=Table1[[#This Row],[Low Tol]],"Pass","Fail")))</f>
        <v>Pass</v>
      </c>
      <c r="AG37" s="1" t="str">
        <f>IF(AND(Table1[[#This Row],[Spec Type2]]="N/A",Table1[[#This Row],[DUT Adj Read]]="N/A",Table1[[#This Row],[Std Adj Read]]="N/A"),"N/A",IF(Table1[[#This Row],[DUT Adj Read]]="N/A",IF(Table1[[#This Row],[Std Adj Read]]&lt;=Table1[[#This Row],[High Tol]],"Pass","Fail"),IF(Table1[[#This Row],[DUT Adj Read]]&lt;=Table1[[#This Row],[High Tol]],"Pass","Fail")))</f>
        <v>Fail</v>
      </c>
      <c r="AH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 s="1" t="b">
        <v>0</v>
      </c>
      <c r="AN37" s="1" t="b">
        <v>0</v>
      </c>
      <c r="AO37" s="1" t="b">
        <v>0</v>
      </c>
    </row>
    <row r="38" spans="1:41" x14ac:dyDescent="0.25">
      <c r="A38" s="10"/>
      <c r="B38" s="10"/>
      <c r="C38" s="10"/>
      <c r="D38" s="10"/>
      <c r="E38" s="10"/>
      <c r="F38" s="10"/>
      <c r="G38" s="10"/>
      <c r="H38" s="10"/>
      <c r="I38" s="1" t="str">
        <f t="shared" si="2"/>
        <v/>
      </c>
      <c r="J38" s="1" t="s">
        <v>35</v>
      </c>
      <c r="K38" s="1" t="str">
        <f t="shared" si="0"/>
        <v/>
      </c>
      <c r="L38" s="1" t="str">
        <f t="shared" si="1"/>
        <v/>
      </c>
      <c r="M38" s="1">
        <f>IF(OR(Table1[[#This Row],[Std Nom]]="",Table1[[#This Row],[Std Read]]=""),0,Table1[[#This Row],[Std Nom]]-Table1[[#This Row],[Std Read]])</f>
        <v>0</v>
      </c>
      <c r="N38" s="1">
        <f>IF(Calculations!$F$5="ACCREDITED 17025 WITH UNCERTAINTIES",$N$10,0)</f>
        <v>0</v>
      </c>
      <c r="Q38" s="1">
        <f>Table1[[#This Row],[High Tol]]-Table1[[#This Row],[Low Tol]]</f>
        <v>0</v>
      </c>
      <c r="R38" s="1">
        <f>2*Table1[[#This Row],[Std Error]]</f>
        <v>0</v>
      </c>
      <c r="S38" s="1" t="str">
        <f>IF(Table1[[#This Row],[High Tol]]="","N/A",IFERROR(ABS(Table1[[#This Row],[Tol Span]]/Table1[[#This Row],[Error Span]]),"N/A"))</f>
        <v>N/A</v>
      </c>
      <c r="T38" s="1" t="str">
        <f>IF(OR(Table1[[#This Row],[Low Tol]]="",Table1[[#This Row],[High Tol]]=""),"Needs Analysis",IF(Table1[[#This Row],[Ratio]]&gt;=4,"Not Significant",IF(Table1[[#This Row],[Ratio]]&gt;=2,"Semi-Significant","Significant")))</f>
        <v>Needs Analysis</v>
      </c>
      <c r="W38" s="1">
        <f>IF(Table1[[#This Row],[Cal Type]]&lt;&gt;"ACCREDITED 17025 WITH UNCERTAINTIES",0,"")</f>
        <v>0</v>
      </c>
      <c r="X38" s="1" t="str">
        <f>IF(Table1[[#This Row],[DUT Read]]="","N/A",Table1[[#This Row],[Std Error]]+Table1[[#This Row],[DUT Read]]+Table1[[#This Row],[DUT Ucty]])</f>
        <v>N/A</v>
      </c>
      <c r="Y38" s="1" t="str">
        <f>IF(Table1[[#This Row],[Std Read]]="","N/A",Table1[[#This Row],[Std Read]]+Table1[[#This Row],[Std Ucty]])</f>
        <v>N/A</v>
      </c>
      <c r="Z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 s="1" t="str">
        <f>IF(Table1[[#This Row],[Spec Type]]="","N/A",Table1[[#This Row],[Spec Type]])</f>
        <v>±</v>
      </c>
      <c r="AC38" s="1" t="str">
        <f>IF(Table1[[#This Row],[Spec Type2]]="N/A","N/A",IF(AND(Table1[[#This Row],[DUT Adj Read]]&gt;=Table1[[#This Row],[Low Tol]],Table1[[#This Row],[DUT Adj Read]]&lt;=Table1[[#This Row],[High Tol]]),"Pass","Fail"))</f>
        <v>Fail</v>
      </c>
      <c r="AD38" s="1" t="str">
        <f>IF(AND(Table1[[#This Row],[Spec Type2]]="N/A",Table1[[#This Row],[DUT Adj Read]]="N/A",Table1[[#This Row],[Std Adj Read]]="N/A"),"N/A",IF(Table1[[#This Row],[DUT Adj Read]]="N/A",IF(Table1[[#This Row],[Std Adj Read]]&gt;Table1[[#This Row],[Low Tol]],"Pass","Fail"),IF(Table1[[#This Row],[DUT Adj Read]]&gt;Table1[[#This Row],[Low Tol]],"Pass","Fail")))</f>
        <v>Pass</v>
      </c>
      <c r="AE38" s="1" t="str">
        <f>IF(AND(Table1[[#This Row],[Spec Type2]]="N/A",Table1[[#This Row],[DUT Adj Read]]="N/A",Table1[[#This Row],[Std Adj Read]]="N/A"),"N/A",IF(Table1[[#This Row],[DUT Adj Read]]="N/A",IF(Table1[[#This Row],[Std Adj Read]]&lt;Table1[[#This Row],[High Tol]],"Pass","Fail"),IF(Table1[[#This Row],[DUT Adj Read]]&lt;Table1[[#This Row],[High Tol]],"Pass","Fail")))</f>
        <v>Fail</v>
      </c>
      <c r="AF38" s="1" t="str">
        <f>IF(AND(Table1[[#This Row],[Spec Type2]]="N/A",Table1[[#This Row],[DUT Adj Read]]="N/A",Table1[[#This Row],[Std Adj Read]]="N/A"),"N/A",IF(Table1[[#This Row],[DUT Adj Read]]="N/A",IF(Table1[[#This Row],[Std Adj Read]]&gt;=Table1[[#This Row],[Low Tol]],"Pass","Fail"),IF(Table1[[#This Row],[DUT Adj Read]]&gt;=Table1[[#This Row],[Low Tol]],"Pass","Fail")))</f>
        <v>Pass</v>
      </c>
      <c r="AG38" s="1" t="str">
        <f>IF(AND(Table1[[#This Row],[Spec Type2]]="N/A",Table1[[#This Row],[DUT Adj Read]]="N/A",Table1[[#This Row],[Std Adj Read]]="N/A"),"N/A",IF(Table1[[#This Row],[DUT Adj Read]]="N/A",IF(Table1[[#This Row],[Std Adj Read]]&lt;=Table1[[#This Row],[High Tol]],"Pass","Fail"),IF(Table1[[#This Row],[DUT Adj Read]]&lt;=Table1[[#This Row],[High Tol]],"Pass","Fail")))</f>
        <v>Fail</v>
      </c>
      <c r="AH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 s="1" t="b">
        <v>0</v>
      </c>
      <c r="AN38" s="1" t="b">
        <v>0</v>
      </c>
      <c r="AO38" s="1" t="b">
        <v>0</v>
      </c>
    </row>
    <row r="39" spans="1:41" x14ac:dyDescent="0.25">
      <c r="A39" s="10"/>
      <c r="B39" s="10"/>
      <c r="C39" s="10"/>
      <c r="D39" s="10"/>
      <c r="E39" s="10"/>
      <c r="F39" s="10"/>
      <c r="G39" s="10"/>
      <c r="H39" s="10"/>
      <c r="I39" s="1" t="str">
        <f t="shared" si="2"/>
        <v/>
      </c>
      <c r="J39" s="1" t="s">
        <v>35</v>
      </c>
      <c r="K39" s="1" t="str">
        <f t="shared" si="0"/>
        <v/>
      </c>
      <c r="L39" s="1" t="str">
        <f t="shared" si="1"/>
        <v/>
      </c>
      <c r="M39" s="1">
        <f>IF(OR(Table1[[#This Row],[Std Nom]]="",Table1[[#This Row],[Std Read]]=""),0,Table1[[#This Row],[Std Nom]]-Table1[[#This Row],[Std Read]])</f>
        <v>0</v>
      </c>
      <c r="N39" s="1">
        <f>IF(Calculations!$F$5="ACCREDITED 17025 WITH UNCERTAINTIES",$N$10,0)</f>
        <v>0</v>
      </c>
      <c r="Q39" s="1">
        <f>Table1[[#This Row],[High Tol]]-Table1[[#This Row],[Low Tol]]</f>
        <v>0</v>
      </c>
      <c r="R39" s="1">
        <f>2*Table1[[#This Row],[Std Error]]</f>
        <v>0</v>
      </c>
      <c r="S39" s="1" t="str">
        <f>IF(Table1[[#This Row],[High Tol]]="","N/A",IFERROR(ABS(Table1[[#This Row],[Tol Span]]/Table1[[#This Row],[Error Span]]),"N/A"))</f>
        <v>N/A</v>
      </c>
      <c r="T39" s="1" t="str">
        <f>IF(OR(Table1[[#This Row],[Low Tol]]="",Table1[[#This Row],[High Tol]]=""),"Needs Analysis",IF(Table1[[#This Row],[Ratio]]&gt;=4,"Not Significant",IF(Table1[[#This Row],[Ratio]]&gt;=2,"Semi-Significant","Significant")))</f>
        <v>Needs Analysis</v>
      </c>
      <c r="W39" s="1">
        <f>IF(Table1[[#This Row],[Cal Type]]&lt;&gt;"ACCREDITED 17025 WITH UNCERTAINTIES",0,"")</f>
        <v>0</v>
      </c>
      <c r="X39" s="1" t="str">
        <f>IF(Table1[[#This Row],[DUT Read]]="","N/A",Table1[[#This Row],[Std Error]]+Table1[[#This Row],[DUT Read]]+Table1[[#This Row],[DUT Ucty]])</f>
        <v>N/A</v>
      </c>
      <c r="Y39" s="1" t="str">
        <f>IF(Table1[[#This Row],[Std Read]]="","N/A",Table1[[#This Row],[Std Read]]+Table1[[#This Row],[Std Ucty]])</f>
        <v>N/A</v>
      </c>
      <c r="Z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 s="1" t="str">
        <f>IF(Table1[[#This Row],[Spec Type]]="","N/A",Table1[[#This Row],[Spec Type]])</f>
        <v>±</v>
      </c>
      <c r="AC39" s="1" t="str">
        <f>IF(Table1[[#This Row],[Spec Type2]]="N/A","N/A",IF(AND(Table1[[#This Row],[DUT Adj Read]]&gt;=Table1[[#This Row],[Low Tol]],Table1[[#This Row],[DUT Adj Read]]&lt;=Table1[[#This Row],[High Tol]]),"Pass","Fail"))</f>
        <v>Fail</v>
      </c>
      <c r="AD39" s="1" t="str">
        <f>IF(AND(Table1[[#This Row],[Spec Type2]]="N/A",Table1[[#This Row],[DUT Adj Read]]="N/A",Table1[[#This Row],[Std Adj Read]]="N/A"),"N/A",IF(Table1[[#This Row],[DUT Adj Read]]="N/A",IF(Table1[[#This Row],[Std Adj Read]]&gt;Table1[[#This Row],[Low Tol]],"Pass","Fail"),IF(Table1[[#This Row],[DUT Adj Read]]&gt;Table1[[#This Row],[Low Tol]],"Pass","Fail")))</f>
        <v>Pass</v>
      </c>
      <c r="AE39" s="1" t="str">
        <f>IF(AND(Table1[[#This Row],[Spec Type2]]="N/A",Table1[[#This Row],[DUT Adj Read]]="N/A",Table1[[#This Row],[Std Adj Read]]="N/A"),"N/A",IF(Table1[[#This Row],[DUT Adj Read]]="N/A",IF(Table1[[#This Row],[Std Adj Read]]&lt;Table1[[#This Row],[High Tol]],"Pass","Fail"),IF(Table1[[#This Row],[DUT Adj Read]]&lt;Table1[[#This Row],[High Tol]],"Pass","Fail")))</f>
        <v>Fail</v>
      </c>
      <c r="AF39" s="1" t="str">
        <f>IF(AND(Table1[[#This Row],[Spec Type2]]="N/A",Table1[[#This Row],[DUT Adj Read]]="N/A",Table1[[#This Row],[Std Adj Read]]="N/A"),"N/A",IF(Table1[[#This Row],[DUT Adj Read]]="N/A",IF(Table1[[#This Row],[Std Adj Read]]&gt;=Table1[[#This Row],[Low Tol]],"Pass","Fail"),IF(Table1[[#This Row],[DUT Adj Read]]&gt;=Table1[[#This Row],[Low Tol]],"Pass","Fail")))</f>
        <v>Pass</v>
      </c>
      <c r="AG39" s="1" t="str">
        <f>IF(AND(Table1[[#This Row],[Spec Type2]]="N/A",Table1[[#This Row],[DUT Adj Read]]="N/A",Table1[[#This Row],[Std Adj Read]]="N/A"),"N/A",IF(Table1[[#This Row],[DUT Adj Read]]="N/A",IF(Table1[[#This Row],[Std Adj Read]]&lt;=Table1[[#This Row],[High Tol]],"Pass","Fail"),IF(Table1[[#This Row],[DUT Adj Read]]&lt;=Table1[[#This Row],[High Tol]],"Pass","Fail")))</f>
        <v>Fail</v>
      </c>
      <c r="AH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 s="1" t="b">
        <v>0</v>
      </c>
      <c r="AN39" s="1" t="b">
        <v>0</v>
      </c>
      <c r="AO39" s="1" t="b">
        <v>0</v>
      </c>
    </row>
    <row r="40" spans="1:41" x14ac:dyDescent="0.25">
      <c r="A40" s="10"/>
      <c r="B40" s="10"/>
      <c r="C40" s="10"/>
      <c r="D40" s="10"/>
      <c r="E40" s="10"/>
      <c r="F40" s="10"/>
      <c r="G40" s="10"/>
      <c r="H40" s="10"/>
      <c r="I40" s="1" t="str">
        <f t="shared" si="2"/>
        <v/>
      </c>
      <c r="J40" s="1" t="s">
        <v>35</v>
      </c>
      <c r="K40" s="1" t="str">
        <f t="shared" si="0"/>
        <v/>
      </c>
      <c r="L40" s="1" t="str">
        <f t="shared" si="1"/>
        <v/>
      </c>
      <c r="M40" s="1">
        <f>IF(OR(Table1[[#This Row],[Std Nom]]="",Table1[[#This Row],[Std Read]]=""),0,Table1[[#This Row],[Std Nom]]-Table1[[#This Row],[Std Read]])</f>
        <v>0</v>
      </c>
      <c r="N40" s="1">
        <f>IF(Calculations!$F$5="ACCREDITED 17025 WITH UNCERTAINTIES",$N$10,0)</f>
        <v>0</v>
      </c>
      <c r="Q40" s="1">
        <f>Table1[[#This Row],[High Tol]]-Table1[[#This Row],[Low Tol]]</f>
        <v>0</v>
      </c>
      <c r="R40" s="1">
        <f>2*Table1[[#This Row],[Std Error]]</f>
        <v>0</v>
      </c>
      <c r="S40" s="1" t="str">
        <f>IF(Table1[[#This Row],[High Tol]]="","N/A",IFERROR(ABS(Table1[[#This Row],[Tol Span]]/Table1[[#This Row],[Error Span]]),"N/A"))</f>
        <v>N/A</v>
      </c>
      <c r="T40" s="1" t="str">
        <f>IF(OR(Table1[[#This Row],[Low Tol]]="",Table1[[#This Row],[High Tol]]=""),"Needs Analysis",IF(Table1[[#This Row],[Ratio]]&gt;=4,"Not Significant",IF(Table1[[#This Row],[Ratio]]&gt;=2,"Semi-Significant","Significant")))</f>
        <v>Needs Analysis</v>
      </c>
      <c r="W40" s="1">
        <f>IF(Table1[[#This Row],[Cal Type]]&lt;&gt;"ACCREDITED 17025 WITH UNCERTAINTIES",0,"")</f>
        <v>0</v>
      </c>
      <c r="X40" s="1" t="str">
        <f>IF(Table1[[#This Row],[DUT Read]]="","N/A",Table1[[#This Row],[Std Error]]+Table1[[#This Row],[DUT Read]]+Table1[[#This Row],[DUT Ucty]])</f>
        <v>N/A</v>
      </c>
      <c r="Y40" s="1" t="str">
        <f>IF(Table1[[#This Row],[Std Read]]="","N/A",Table1[[#This Row],[Std Read]]+Table1[[#This Row],[Std Ucty]])</f>
        <v>N/A</v>
      </c>
      <c r="Z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 s="1" t="str">
        <f>IF(Table1[[#This Row],[Spec Type]]="","N/A",Table1[[#This Row],[Spec Type]])</f>
        <v>±</v>
      </c>
      <c r="AC40" s="1" t="str">
        <f>IF(Table1[[#This Row],[Spec Type2]]="N/A","N/A",IF(AND(Table1[[#This Row],[DUT Adj Read]]&gt;=Table1[[#This Row],[Low Tol]],Table1[[#This Row],[DUT Adj Read]]&lt;=Table1[[#This Row],[High Tol]]),"Pass","Fail"))</f>
        <v>Fail</v>
      </c>
      <c r="AD40" s="1" t="str">
        <f>IF(AND(Table1[[#This Row],[Spec Type2]]="N/A",Table1[[#This Row],[DUT Adj Read]]="N/A",Table1[[#This Row],[Std Adj Read]]="N/A"),"N/A",IF(Table1[[#This Row],[DUT Adj Read]]="N/A",IF(Table1[[#This Row],[Std Adj Read]]&gt;Table1[[#This Row],[Low Tol]],"Pass","Fail"),IF(Table1[[#This Row],[DUT Adj Read]]&gt;Table1[[#This Row],[Low Tol]],"Pass","Fail")))</f>
        <v>Pass</v>
      </c>
      <c r="AE40" s="1" t="str">
        <f>IF(AND(Table1[[#This Row],[Spec Type2]]="N/A",Table1[[#This Row],[DUT Adj Read]]="N/A",Table1[[#This Row],[Std Adj Read]]="N/A"),"N/A",IF(Table1[[#This Row],[DUT Adj Read]]="N/A",IF(Table1[[#This Row],[Std Adj Read]]&lt;Table1[[#This Row],[High Tol]],"Pass","Fail"),IF(Table1[[#This Row],[DUT Adj Read]]&lt;Table1[[#This Row],[High Tol]],"Pass","Fail")))</f>
        <v>Fail</v>
      </c>
      <c r="AF40" s="1" t="str">
        <f>IF(AND(Table1[[#This Row],[Spec Type2]]="N/A",Table1[[#This Row],[DUT Adj Read]]="N/A",Table1[[#This Row],[Std Adj Read]]="N/A"),"N/A",IF(Table1[[#This Row],[DUT Adj Read]]="N/A",IF(Table1[[#This Row],[Std Adj Read]]&gt;=Table1[[#This Row],[Low Tol]],"Pass","Fail"),IF(Table1[[#This Row],[DUT Adj Read]]&gt;=Table1[[#This Row],[Low Tol]],"Pass","Fail")))</f>
        <v>Pass</v>
      </c>
      <c r="AG40" s="1" t="str">
        <f>IF(AND(Table1[[#This Row],[Spec Type2]]="N/A",Table1[[#This Row],[DUT Adj Read]]="N/A",Table1[[#This Row],[Std Adj Read]]="N/A"),"N/A",IF(Table1[[#This Row],[DUT Adj Read]]="N/A",IF(Table1[[#This Row],[Std Adj Read]]&lt;=Table1[[#This Row],[High Tol]],"Pass","Fail"),IF(Table1[[#This Row],[DUT Adj Read]]&lt;=Table1[[#This Row],[High Tol]],"Pass","Fail")))</f>
        <v>Fail</v>
      </c>
      <c r="AH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 s="1" t="b">
        <v>0</v>
      </c>
      <c r="AN40" s="1" t="b">
        <v>0</v>
      </c>
      <c r="AO40" s="1" t="b">
        <v>0</v>
      </c>
    </row>
    <row r="41" spans="1:41" x14ac:dyDescent="0.25">
      <c r="A41" s="10"/>
      <c r="B41" s="10"/>
      <c r="C41" s="10"/>
      <c r="D41" s="10"/>
      <c r="E41" s="10"/>
      <c r="F41" s="10"/>
      <c r="G41" s="10"/>
      <c r="H41" s="10"/>
      <c r="I41" s="1" t="str">
        <f t="shared" si="2"/>
        <v/>
      </c>
      <c r="J41" s="1" t="s">
        <v>35</v>
      </c>
      <c r="K41" s="1" t="str">
        <f t="shared" si="0"/>
        <v/>
      </c>
      <c r="L41" s="1" t="str">
        <f t="shared" si="1"/>
        <v/>
      </c>
      <c r="M41" s="1">
        <f>IF(OR(Table1[[#This Row],[Std Nom]]="",Table1[[#This Row],[Std Read]]=""),0,Table1[[#This Row],[Std Nom]]-Table1[[#This Row],[Std Read]])</f>
        <v>0</v>
      </c>
      <c r="N41" s="1">
        <f>IF(Calculations!$F$5="ACCREDITED 17025 WITH UNCERTAINTIES",$N$10,0)</f>
        <v>0</v>
      </c>
      <c r="Q41" s="1">
        <f>Table1[[#This Row],[High Tol]]-Table1[[#This Row],[Low Tol]]</f>
        <v>0</v>
      </c>
      <c r="R41" s="1">
        <f>2*Table1[[#This Row],[Std Error]]</f>
        <v>0</v>
      </c>
      <c r="S41" s="1" t="str">
        <f>IF(Table1[[#This Row],[High Tol]]="","N/A",IFERROR(ABS(Table1[[#This Row],[Tol Span]]/Table1[[#This Row],[Error Span]]),"N/A"))</f>
        <v>N/A</v>
      </c>
      <c r="T41" s="1" t="str">
        <f>IF(OR(Table1[[#This Row],[Low Tol]]="",Table1[[#This Row],[High Tol]]=""),"Needs Analysis",IF(Table1[[#This Row],[Ratio]]&gt;=4,"Not Significant",IF(Table1[[#This Row],[Ratio]]&gt;=2,"Semi-Significant","Significant")))</f>
        <v>Needs Analysis</v>
      </c>
      <c r="W41" s="1">
        <f>IF(Table1[[#This Row],[Cal Type]]&lt;&gt;"ACCREDITED 17025 WITH UNCERTAINTIES",0,"")</f>
        <v>0</v>
      </c>
      <c r="X41" s="1" t="str">
        <f>IF(Table1[[#This Row],[DUT Read]]="","N/A",Table1[[#This Row],[Std Error]]+Table1[[#This Row],[DUT Read]]+Table1[[#This Row],[DUT Ucty]])</f>
        <v>N/A</v>
      </c>
      <c r="Y41" s="1" t="str">
        <f>IF(Table1[[#This Row],[Std Read]]="","N/A",Table1[[#This Row],[Std Read]]+Table1[[#This Row],[Std Ucty]])</f>
        <v>N/A</v>
      </c>
      <c r="Z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 s="1" t="str">
        <f>IF(Table1[[#This Row],[Spec Type]]="","N/A",Table1[[#This Row],[Spec Type]])</f>
        <v>±</v>
      </c>
      <c r="AC41" s="1" t="str">
        <f>IF(Table1[[#This Row],[Spec Type2]]="N/A","N/A",IF(AND(Table1[[#This Row],[DUT Adj Read]]&gt;=Table1[[#This Row],[Low Tol]],Table1[[#This Row],[DUT Adj Read]]&lt;=Table1[[#This Row],[High Tol]]),"Pass","Fail"))</f>
        <v>Fail</v>
      </c>
      <c r="AD41" s="1" t="str">
        <f>IF(AND(Table1[[#This Row],[Spec Type2]]="N/A",Table1[[#This Row],[DUT Adj Read]]="N/A",Table1[[#This Row],[Std Adj Read]]="N/A"),"N/A",IF(Table1[[#This Row],[DUT Adj Read]]="N/A",IF(Table1[[#This Row],[Std Adj Read]]&gt;Table1[[#This Row],[Low Tol]],"Pass","Fail"),IF(Table1[[#This Row],[DUT Adj Read]]&gt;Table1[[#This Row],[Low Tol]],"Pass","Fail")))</f>
        <v>Pass</v>
      </c>
      <c r="AE41" s="1" t="str">
        <f>IF(AND(Table1[[#This Row],[Spec Type2]]="N/A",Table1[[#This Row],[DUT Adj Read]]="N/A",Table1[[#This Row],[Std Adj Read]]="N/A"),"N/A",IF(Table1[[#This Row],[DUT Adj Read]]="N/A",IF(Table1[[#This Row],[Std Adj Read]]&lt;Table1[[#This Row],[High Tol]],"Pass","Fail"),IF(Table1[[#This Row],[DUT Adj Read]]&lt;Table1[[#This Row],[High Tol]],"Pass","Fail")))</f>
        <v>Fail</v>
      </c>
      <c r="AF41" s="1" t="str">
        <f>IF(AND(Table1[[#This Row],[Spec Type2]]="N/A",Table1[[#This Row],[DUT Adj Read]]="N/A",Table1[[#This Row],[Std Adj Read]]="N/A"),"N/A",IF(Table1[[#This Row],[DUT Adj Read]]="N/A",IF(Table1[[#This Row],[Std Adj Read]]&gt;=Table1[[#This Row],[Low Tol]],"Pass","Fail"),IF(Table1[[#This Row],[DUT Adj Read]]&gt;=Table1[[#This Row],[Low Tol]],"Pass","Fail")))</f>
        <v>Pass</v>
      </c>
      <c r="AG41" s="1" t="str">
        <f>IF(AND(Table1[[#This Row],[Spec Type2]]="N/A",Table1[[#This Row],[DUT Adj Read]]="N/A",Table1[[#This Row],[Std Adj Read]]="N/A"),"N/A",IF(Table1[[#This Row],[DUT Adj Read]]="N/A",IF(Table1[[#This Row],[Std Adj Read]]&lt;=Table1[[#This Row],[High Tol]],"Pass","Fail"),IF(Table1[[#This Row],[DUT Adj Read]]&lt;=Table1[[#This Row],[High Tol]],"Pass","Fail")))</f>
        <v>Fail</v>
      </c>
      <c r="AH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 s="1" t="b">
        <v>0</v>
      </c>
      <c r="AN41" s="1" t="b">
        <v>0</v>
      </c>
      <c r="AO41" s="1" t="b">
        <v>0</v>
      </c>
    </row>
    <row r="42" spans="1:41" x14ac:dyDescent="0.25">
      <c r="A42" s="10"/>
      <c r="B42" s="10"/>
      <c r="C42" s="10"/>
      <c r="D42" s="10"/>
      <c r="E42" s="10"/>
      <c r="F42" s="10"/>
      <c r="G42" s="10"/>
      <c r="H42" s="10"/>
      <c r="I42" s="1" t="str">
        <f t="shared" si="2"/>
        <v/>
      </c>
      <c r="J42" s="1" t="s">
        <v>35</v>
      </c>
      <c r="K42" s="1" t="str">
        <f t="shared" si="0"/>
        <v/>
      </c>
      <c r="L42" s="1" t="str">
        <f t="shared" si="1"/>
        <v/>
      </c>
      <c r="M42" s="1">
        <f>IF(OR(Table1[[#This Row],[Std Nom]]="",Table1[[#This Row],[Std Read]]=""),0,Table1[[#This Row],[Std Nom]]-Table1[[#This Row],[Std Read]])</f>
        <v>0</v>
      </c>
      <c r="N42" s="1">
        <f>IF(Calculations!$F$5="ACCREDITED 17025 WITH UNCERTAINTIES",$N$10,0)</f>
        <v>0</v>
      </c>
      <c r="Q42" s="1">
        <f>Table1[[#This Row],[High Tol]]-Table1[[#This Row],[Low Tol]]</f>
        <v>0</v>
      </c>
      <c r="R42" s="1">
        <f>2*Table1[[#This Row],[Std Error]]</f>
        <v>0</v>
      </c>
      <c r="S42" s="1" t="str">
        <f>IF(Table1[[#This Row],[High Tol]]="","N/A",IFERROR(ABS(Table1[[#This Row],[Tol Span]]/Table1[[#This Row],[Error Span]]),"N/A"))</f>
        <v>N/A</v>
      </c>
      <c r="T42" s="1" t="str">
        <f>IF(OR(Table1[[#This Row],[Low Tol]]="",Table1[[#This Row],[High Tol]]=""),"Needs Analysis",IF(Table1[[#This Row],[Ratio]]&gt;=4,"Not Significant",IF(Table1[[#This Row],[Ratio]]&gt;=2,"Semi-Significant","Significant")))</f>
        <v>Needs Analysis</v>
      </c>
      <c r="W42" s="1">
        <f>IF(Table1[[#This Row],[Cal Type]]&lt;&gt;"ACCREDITED 17025 WITH UNCERTAINTIES",0,"")</f>
        <v>0</v>
      </c>
      <c r="X42" s="1" t="str">
        <f>IF(Table1[[#This Row],[DUT Read]]="","N/A",Table1[[#This Row],[Std Error]]+Table1[[#This Row],[DUT Read]]+Table1[[#This Row],[DUT Ucty]])</f>
        <v>N/A</v>
      </c>
      <c r="Y42" s="1" t="str">
        <f>IF(Table1[[#This Row],[Std Read]]="","N/A",Table1[[#This Row],[Std Read]]+Table1[[#This Row],[Std Ucty]])</f>
        <v>N/A</v>
      </c>
      <c r="Z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 s="1" t="str">
        <f>IF(Table1[[#This Row],[Spec Type]]="","N/A",Table1[[#This Row],[Spec Type]])</f>
        <v>±</v>
      </c>
      <c r="AC42" s="1" t="str">
        <f>IF(Table1[[#This Row],[Spec Type2]]="N/A","N/A",IF(AND(Table1[[#This Row],[DUT Adj Read]]&gt;=Table1[[#This Row],[Low Tol]],Table1[[#This Row],[DUT Adj Read]]&lt;=Table1[[#This Row],[High Tol]]),"Pass","Fail"))</f>
        <v>Fail</v>
      </c>
      <c r="AD42" s="1" t="str">
        <f>IF(AND(Table1[[#This Row],[Spec Type2]]="N/A",Table1[[#This Row],[DUT Adj Read]]="N/A",Table1[[#This Row],[Std Adj Read]]="N/A"),"N/A",IF(Table1[[#This Row],[DUT Adj Read]]="N/A",IF(Table1[[#This Row],[Std Adj Read]]&gt;Table1[[#This Row],[Low Tol]],"Pass","Fail"),IF(Table1[[#This Row],[DUT Adj Read]]&gt;Table1[[#This Row],[Low Tol]],"Pass","Fail")))</f>
        <v>Pass</v>
      </c>
      <c r="AE42" s="1" t="str">
        <f>IF(AND(Table1[[#This Row],[Spec Type2]]="N/A",Table1[[#This Row],[DUT Adj Read]]="N/A",Table1[[#This Row],[Std Adj Read]]="N/A"),"N/A",IF(Table1[[#This Row],[DUT Adj Read]]="N/A",IF(Table1[[#This Row],[Std Adj Read]]&lt;Table1[[#This Row],[High Tol]],"Pass","Fail"),IF(Table1[[#This Row],[DUT Adj Read]]&lt;Table1[[#This Row],[High Tol]],"Pass","Fail")))</f>
        <v>Fail</v>
      </c>
      <c r="AF42" s="1" t="str">
        <f>IF(AND(Table1[[#This Row],[Spec Type2]]="N/A",Table1[[#This Row],[DUT Adj Read]]="N/A",Table1[[#This Row],[Std Adj Read]]="N/A"),"N/A",IF(Table1[[#This Row],[DUT Adj Read]]="N/A",IF(Table1[[#This Row],[Std Adj Read]]&gt;=Table1[[#This Row],[Low Tol]],"Pass","Fail"),IF(Table1[[#This Row],[DUT Adj Read]]&gt;=Table1[[#This Row],[Low Tol]],"Pass","Fail")))</f>
        <v>Pass</v>
      </c>
      <c r="AG42" s="1" t="str">
        <f>IF(AND(Table1[[#This Row],[Spec Type2]]="N/A",Table1[[#This Row],[DUT Adj Read]]="N/A",Table1[[#This Row],[Std Adj Read]]="N/A"),"N/A",IF(Table1[[#This Row],[DUT Adj Read]]="N/A",IF(Table1[[#This Row],[Std Adj Read]]&lt;=Table1[[#This Row],[High Tol]],"Pass","Fail"),IF(Table1[[#This Row],[DUT Adj Read]]&lt;=Table1[[#This Row],[High Tol]],"Pass","Fail")))</f>
        <v>Fail</v>
      </c>
      <c r="AH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 s="1" t="b">
        <v>0</v>
      </c>
      <c r="AN42" s="1" t="b">
        <v>0</v>
      </c>
      <c r="AO42" s="1" t="b">
        <v>0</v>
      </c>
    </row>
    <row r="43" spans="1:41" x14ac:dyDescent="0.25">
      <c r="A43" s="10"/>
      <c r="B43" s="10"/>
      <c r="C43" s="10"/>
      <c r="D43" s="10"/>
      <c r="E43" s="10"/>
      <c r="F43" s="10"/>
      <c r="G43" s="10"/>
      <c r="H43" s="10"/>
      <c r="I43" s="1" t="str">
        <f t="shared" si="2"/>
        <v/>
      </c>
      <c r="J43" s="1" t="s">
        <v>35</v>
      </c>
      <c r="K43" s="1" t="str">
        <f t="shared" si="0"/>
        <v/>
      </c>
      <c r="L43" s="1" t="str">
        <f t="shared" si="1"/>
        <v/>
      </c>
      <c r="M43" s="1">
        <f>IF(OR(Table1[[#This Row],[Std Nom]]="",Table1[[#This Row],[Std Read]]=""),0,Table1[[#This Row],[Std Nom]]-Table1[[#This Row],[Std Read]])</f>
        <v>0</v>
      </c>
      <c r="N43" s="1">
        <f>IF(Calculations!$F$5="ACCREDITED 17025 WITH UNCERTAINTIES",$N$10,0)</f>
        <v>0</v>
      </c>
      <c r="Q43" s="1">
        <f>Table1[[#This Row],[High Tol]]-Table1[[#This Row],[Low Tol]]</f>
        <v>0</v>
      </c>
      <c r="R43" s="1">
        <f>2*Table1[[#This Row],[Std Error]]</f>
        <v>0</v>
      </c>
      <c r="S43" s="1" t="str">
        <f>IF(Table1[[#This Row],[High Tol]]="","N/A",IFERROR(ABS(Table1[[#This Row],[Tol Span]]/Table1[[#This Row],[Error Span]]),"N/A"))</f>
        <v>N/A</v>
      </c>
      <c r="T43" s="1" t="str">
        <f>IF(OR(Table1[[#This Row],[Low Tol]]="",Table1[[#This Row],[High Tol]]=""),"Needs Analysis",IF(Table1[[#This Row],[Ratio]]&gt;=4,"Not Significant",IF(Table1[[#This Row],[Ratio]]&gt;=2,"Semi-Significant","Significant")))</f>
        <v>Needs Analysis</v>
      </c>
      <c r="W43" s="1">
        <f>IF(Table1[[#This Row],[Cal Type]]&lt;&gt;"ACCREDITED 17025 WITH UNCERTAINTIES",0,"")</f>
        <v>0</v>
      </c>
      <c r="X43" s="1" t="str">
        <f>IF(Table1[[#This Row],[DUT Read]]="","N/A",Table1[[#This Row],[Std Error]]+Table1[[#This Row],[DUT Read]]+Table1[[#This Row],[DUT Ucty]])</f>
        <v>N/A</v>
      </c>
      <c r="Y43" s="1" t="str">
        <f>IF(Table1[[#This Row],[Std Read]]="","N/A",Table1[[#This Row],[Std Read]]+Table1[[#This Row],[Std Ucty]])</f>
        <v>N/A</v>
      </c>
      <c r="Z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 s="1" t="str">
        <f>IF(Table1[[#This Row],[Spec Type]]="","N/A",Table1[[#This Row],[Spec Type]])</f>
        <v>±</v>
      </c>
      <c r="AC43" s="1" t="str">
        <f>IF(Table1[[#This Row],[Spec Type2]]="N/A","N/A",IF(AND(Table1[[#This Row],[DUT Adj Read]]&gt;=Table1[[#This Row],[Low Tol]],Table1[[#This Row],[DUT Adj Read]]&lt;=Table1[[#This Row],[High Tol]]),"Pass","Fail"))</f>
        <v>Fail</v>
      </c>
      <c r="AD43" s="1" t="str">
        <f>IF(AND(Table1[[#This Row],[Spec Type2]]="N/A",Table1[[#This Row],[DUT Adj Read]]="N/A",Table1[[#This Row],[Std Adj Read]]="N/A"),"N/A",IF(Table1[[#This Row],[DUT Adj Read]]="N/A",IF(Table1[[#This Row],[Std Adj Read]]&gt;Table1[[#This Row],[Low Tol]],"Pass","Fail"),IF(Table1[[#This Row],[DUT Adj Read]]&gt;Table1[[#This Row],[Low Tol]],"Pass","Fail")))</f>
        <v>Pass</v>
      </c>
      <c r="AE43" s="1" t="str">
        <f>IF(AND(Table1[[#This Row],[Spec Type2]]="N/A",Table1[[#This Row],[DUT Adj Read]]="N/A",Table1[[#This Row],[Std Adj Read]]="N/A"),"N/A",IF(Table1[[#This Row],[DUT Adj Read]]="N/A",IF(Table1[[#This Row],[Std Adj Read]]&lt;Table1[[#This Row],[High Tol]],"Pass","Fail"),IF(Table1[[#This Row],[DUT Adj Read]]&lt;Table1[[#This Row],[High Tol]],"Pass","Fail")))</f>
        <v>Fail</v>
      </c>
      <c r="AF43" s="1" t="str">
        <f>IF(AND(Table1[[#This Row],[Spec Type2]]="N/A",Table1[[#This Row],[DUT Adj Read]]="N/A",Table1[[#This Row],[Std Adj Read]]="N/A"),"N/A",IF(Table1[[#This Row],[DUT Adj Read]]="N/A",IF(Table1[[#This Row],[Std Adj Read]]&gt;=Table1[[#This Row],[Low Tol]],"Pass","Fail"),IF(Table1[[#This Row],[DUT Adj Read]]&gt;=Table1[[#This Row],[Low Tol]],"Pass","Fail")))</f>
        <v>Pass</v>
      </c>
      <c r="AG43" s="1" t="str">
        <f>IF(AND(Table1[[#This Row],[Spec Type2]]="N/A",Table1[[#This Row],[DUT Adj Read]]="N/A",Table1[[#This Row],[Std Adj Read]]="N/A"),"N/A",IF(Table1[[#This Row],[DUT Adj Read]]="N/A",IF(Table1[[#This Row],[Std Adj Read]]&lt;=Table1[[#This Row],[High Tol]],"Pass","Fail"),IF(Table1[[#This Row],[DUT Adj Read]]&lt;=Table1[[#This Row],[High Tol]],"Pass","Fail")))</f>
        <v>Fail</v>
      </c>
      <c r="AH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 s="1" t="b">
        <v>0</v>
      </c>
      <c r="AN43" s="1" t="b">
        <v>0</v>
      </c>
      <c r="AO43" s="1" t="b">
        <v>0</v>
      </c>
    </row>
    <row r="44" spans="1:41" x14ac:dyDescent="0.25">
      <c r="A44" s="10"/>
      <c r="B44" s="10"/>
      <c r="C44" s="10"/>
      <c r="D44" s="10"/>
      <c r="E44" s="10"/>
      <c r="F44" s="10"/>
      <c r="G44" s="10"/>
      <c r="H44" s="10"/>
      <c r="I44" s="1" t="str">
        <f t="shared" si="2"/>
        <v/>
      </c>
      <c r="J44" s="1" t="s">
        <v>35</v>
      </c>
      <c r="K44" s="1" t="str">
        <f t="shared" si="0"/>
        <v/>
      </c>
      <c r="L44" s="1" t="str">
        <f t="shared" si="1"/>
        <v/>
      </c>
      <c r="M44" s="1">
        <f>IF(OR(Table1[[#This Row],[Std Nom]]="",Table1[[#This Row],[Std Read]]=""),0,Table1[[#This Row],[Std Nom]]-Table1[[#This Row],[Std Read]])</f>
        <v>0</v>
      </c>
      <c r="N44" s="1">
        <f>IF(Calculations!$F$5="ACCREDITED 17025 WITH UNCERTAINTIES",$N$10,0)</f>
        <v>0</v>
      </c>
      <c r="Q44" s="1">
        <f>Table1[[#This Row],[High Tol]]-Table1[[#This Row],[Low Tol]]</f>
        <v>0</v>
      </c>
      <c r="R44" s="1">
        <f>2*Table1[[#This Row],[Std Error]]</f>
        <v>0</v>
      </c>
      <c r="S44" s="1" t="str">
        <f>IF(Table1[[#This Row],[High Tol]]="","N/A",IFERROR(ABS(Table1[[#This Row],[Tol Span]]/Table1[[#This Row],[Error Span]]),"N/A"))</f>
        <v>N/A</v>
      </c>
      <c r="T44" s="1" t="str">
        <f>IF(OR(Table1[[#This Row],[Low Tol]]="",Table1[[#This Row],[High Tol]]=""),"Needs Analysis",IF(Table1[[#This Row],[Ratio]]&gt;=4,"Not Significant",IF(Table1[[#This Row],[Ratio]]&gt;=2,"Semi-Significant","Significant")))</f>
        <v>Needs Analysis</v>
      </c>
      <c r="W44" s="1">
        <f>IF(Table1[[#This Row],[Cal Type]]&lt;&gt;"ACCREDITED 17025 WITH UNCERTAINTIES",0,"")</f>
        <v>0</v>
      </c>
      <c r="X44" s="1" t="str">
        <f>IF(Table1[[#This Row],[DUT Read]]="","N/A",Table1[[#This Row],[Std Error]]+Table1[[#This Row],[DUT Read]]+Table1[[#This Row],[DUT Ucty]])</f>
        <v>N/A</v>
      </c>
      <c r="Y44" s="1" t="str">
        <f>IF(Table1[[#This Row],[Std Read]]="","N/A",Table1[[#This Row],[Std Read]]+Table1[[#This Row],[Std Ucty]])</f>
        <v>N/A</v>
      </c>
      <c r="Z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 s="1" t="str">
        <f>IF(Table1[[#This Row],[Spec Type]]="","N/A",Table1[[#This Row],[Spec Type]])</f>
        <v>±</v>
      </c>
      <c r="AC44" s="1" t="str">
        <f>IF(Table1[[#This Row],[Spec Type2]]="N/A","N/A",IF(AND(Table1[[#This Row],[DUT Adj Read]]&gt;=Table1[[#This Row],[Low Tol]],Table1[[#This Row],[DUT Adj Read]]&lt;=Table1[[#This Row],[High Tol]]),"Pass","Fail"))</f>
        <v>Fail</v>
      </c>
      <c r="AD44" s="1" t="str">
        <f>IF(AND(Table1[[#This Row],[Spec Type2]]="N/A",Table1[[#This Row],[DUT Adj Read]]="N/A",Table1[[#This Row],[Std Adj Read]]="N/A"),"N/A",IF(Table1[[#This Row],[DUT Adj Read]]="N/A",IF(Table1[[#This Row],[Std Adj Read]]&gt;Table1[[#This Row],[Low Tol]],"Pass","Fail"),IF(Table1[[#This Row],[DUT Adj Read]]&gt;Table1[[#This Row],[Low Tol]],"Pass","Fail")))</f>
        <v>Pass</v>
      </c>
      <c r="AE44" s="1" t="str">
        <f>IF(AND(Table1[[#This Row],[Spec Type2]]="N/A",Table1[[#This Row],[DUT Adj Read]]="N/A",Table1[[#This Row],[Std Adj Read]]="N/A"),"N/A",IF(Table1[[#This Row],[DUT Adj Read]]="N/A",IF(Table1[[#This Row],[Std Adj Read]]&lt;Table1[[#This Row],[High Tol]],"Pass","Fail"),IF(Table1[[#This Row],[DUT Adj Read]]&lt;Table1[[#This Row],[High Tol]],"Pass","Fail")))</f>
        <v>Fail</v>
      </c>
      <c r="AF44" s="1" t="str">
        <f>IF(AND(Table1[[#This Row],[Spec Type2]]="N/A",Table1[[#This Row],[DUT Adj Read]]="N/A",Table1[[#This Row],[Std Adj Read]]="N/A"),"N/A",IF(Table1[[#This Row],[DUT Adj Read]]="N/A",IF(Table1[[#This Row],[Std Adj Read]]&gt;=Table1[[#This Row],[Low Tol]],"Pass","Fail"),IF(Table1[[#This Row],[DUT Adj Read]]&gt;=Table1[[#This Row],[Low Tol]],"Pass","Fail")))</f>
        <v>Pass</v>
      </c>
      <c r="AG44" s="1" t="str">
        <f>IF(AND(Table1[[#This Row],[Spec Type2]]="N/A",Table1[[#This Row],[DUT Adj Read]]="N/A",Table1[[#This Row],[Std Adj Read]]="N/A"),"N/A",IF(Table1[[#This Row],[DUT Adj Read]]="N/A",IF(Table1[[#This Row],[Std Adj Read]]&lt;=Table1[[#This Row],[High Tol]],"Pass","Fail"),IF(Table1[[#This Row],[DUT Adj Read]]&lt;=Table1[[#This Row],[High Tol]],"Pass","Fail")))</f>
        <v>Fail</v>
      </c>
      <c r="AH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 s="1" t="b">
        <v>0</v>
      </c>
      <c r="AN44" s="1" t="b">
        <v>0</v>
      </c>
      <c r="AO44" s="1" t="b">
        <v>0</v>
      </c>
    </row>
    <row r="45" spans="1:41" x14ac:dyDescent="0.25">
      <c r="A45" s="10"/>
      <c r="B45" s="10"/>
      <c r="C45" s="10"/>
      <c r="D45" s="10"/>
      <c r="E45" s="10"/>
      <c r="F45" s="10"/>
      <c r="G45" s="10"/>
      <c r="H45" s="10"/>
      <c r="I45" s="1" t="str">
        <f t="shared" si="2"/>
        <v/>
      </c>
      <c r="J45" s="1" t="s">
        <v>35</v>
      </c>
      <c r="K45" s="1" t="str">
        <f t="shared" si="0"/>
        <v/>
      </c>
      <c r="L45" s="1" t="str">
        <f t="shared" si="1"/>
        <v/>
      </c>
      <c r="M45" s="1">
        <f>IF(OR(Table1[[#This Row],[Std Nom]]="",Table1[[#This Row],[Std Read]]=""),0,Table1[[#This Row],[Std Nom]]-Table1[[#This Row],[Std Read]])</f>
        <v>0</v>
      </c>
      <c r="N45" s="1">
        <f>IF(Calculations!$F$5="ACCREDITED 17025 WITH UNCERTAINTIES",$N$10,0)</f>
        <v>0</v>
      </c>
      <c r="Q45" s="1">
        <f>Table1[[#This Row],[High Tol]]-Table1[[#This Row],[Low Tol]]</f>
        <v>0</v>
      </c>
      <c r="R45" s="1">
        <f>2*Table1[[#This Row],[Std Error]]</f>
        <v>0</v>
      </c>
      <c r="S45" s="1" t="str">
        <f>IF(Table1[[#This Row],[High Tol]]="","N/A",IFERROR(ABS(Table1[[#This Row],[Tol Span]]/Table1[[#This Row],[Error Span]]),"N/A"))</f>
        <v>N/A</v>
      </c>
      <c r="T45" s="1" t="str">
        <f>IF(OR(Table1[[#This Row],[Low Tol]]="",Table1[[#This Row],[High Tol]]=""),"Needs Analysis",IF(Table1[[#This Row],[Ratio]]&gt;=4,"Not Significant",IF(Table1[[#This Row],[Ratio]]&gt;=2,"Semi-Significant","Significant")))</f>
        <v>Needs Analysis</v>
      </c>
      <c r="W45" s="1">
        <f>IF(Table1[[#This Row],[Cal Type]]&lt;&gt;"ACCREDITED 17025 WITH UNCERTAINTIES",0,"")</f>
        <v>0</v>
      </c>
      <c r="X45" s="1" t="str">
        <f>IF(Table1[[#This Row],[DUT Read]]="","N/A",Table1[[#This Row],[Std Error]]+Table1[[#This Row],[DUT Read]]+Table1[[#This Row],[DUT Ucty]])</f>
        <v>N/A</v>
      </c>
      <c r="Y45" s="1" t="str">
        <f>IF(Table1[[#This Row],[Std Read]]="","N/A",Table1[[#This Row],[Std Read]]+Table1[[#This Row],[Std Ucty]])</f>
        <v>N/A</v>
      </c>
      <c r="Z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 s="1" t="str">
        <f>IF(Table1[[#This Row],[Spec Type]]="","N/A",Table1[[#This Row],[Spec Type]])</f>
        <v>±</v>
      </c>
      <c r="AC45" s="1" t="str">
        <f>IF(Table1[[#This Row],[Spec Type2]]="N/A","N/A",IF(AND(Table1[[#This Row],[DUT Adj Read]]&gt;=Table1[[#This Row],[Low Tol]],Table1[[#This Row],[DUT Adj Read]]&lt;=Table1[[#This Row],[High Tol]]),"Pass","Fail"))</f>
        <v>Fail</v>
      </c>
      <c r="AD45" s="1" t="str">
        <f>IF(AND(Table1[[#This Row],[Spec Type2]]="N/A",Table1[[#This Row],[DUT Adj Read]]="N/A",Table1[[#This Row],[Std Adj Read]]="N/A"),"N/A",IF(Table1[[#This Row],[DUT Adj Read]]="N/A",IF(Table1[[#This Row],[Std Adj Read]]&gt;Table1[[#This Row],[Low Tol]],"Pass","Fail"),IF(Table1[[#This Row],[DUT Adj Read]]&gt;Table1[[#This Row],[Low Tol]],"Pass","Fail")))</f>
        <v>Pass</v>
      </c>
      <c r="AE45" s="1" t="str">
        <f>IF(AND(Table1[[#This Row],[Spec Type2]]="N/A",Table1[[#This Row],[DUT Adj Read]]="N/A",Table1[[#This Row],[Std Adj Read]]="N/A"),"N/A",IF(Table1[[#This Row],[DUT Adj Read]]="N/A",IF(Table1[[#This Row],[Std Adj Read]]&lt;Table1[[#This Row],[High Tol]],"Pass","Fail"),IF(Table1[[#This Row],[DUT Adj Read]]&lt;Table1[[#This Row],[High Tol]],"Pass","Fail")))</f>
        <v>Fail</v>
      </c>
      <c r="AF45" s="1" t="str">
        <f>IF(AND(Table1[[#This Row],[Spec Type2]]="N/A",Table1[[#This Row],[DUT Adj Read]]="N/A",Table1[[#This Row],[Std Adj Read]]="N/A"),"N/A",IF(Table1[[#This Row],[DUT Adj Read]]="N/A",IF(Table1[[#This Row],[Std Adj Read]]&gt;=Table1[[#This Row],[Low Tol]],"Pass","Fail"),IF(Table1[[#This Row],[DUT Adj Read]]&gt;=Table1[[#This Row],[Low Tol]],"Pass","Fail")))</f>
        <v>Pass</v>
      </c>
      <c r="AG45" s="1" t="str">
        <f>IF(AND(Table1[[#This Row],[Spec Type2]]="N/A",Table1[[#This Row],[DUT Adj Read]]="N/A",Table1[[#This Row],[Std Adj Read]]="N/A"),"N/A",IF(Table1[[#This Row],[DUT Adj Read]]="N/A",IF(Table1[[#This Row],[Std Adj Read]]&lt;=Table1[[#This Row],[High Tol]],"Pass","Fail"),IF(Table1[[#This Row],[DUT Adj Read]]&lt;=Table1[[#This Row],[High Tol]],"Pass","Fail")))</f>
        <v>Fail</v>
      </c>
      <c r="AH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 s="1" t="b">
        <v>0</v>
      </c>
      <c r="AN45" s="1" t="b">
        <v>0</v>
      </c>
      <c r="AO45" s="1" t="b">
        <v>0</v>
      </c>
    </row>
    <row r="46" spans="1:41" x14ac:dyDescent="0.25">
      <c r="A46" s="10"/>
      <c r="B46" s="10"/>
      <c r="C46" s="10"/>
      <c r="D46" s="10"/>
      <c r="E46" s="10"/>
      <c r="F46" s="10"/>
      <c r="G46" s="10"/>
      <c r="H46" s="10"/>
      <c r="I46" s="1" t="str">
        <f t="shared" si="2"/>
        <v/>
      </c>
      <c r="J46" s="1" t="s">
        <v>35</v>
      </c>
      <c r="K46" s="1" t="str">
        <f t="shared" si="0"/>
        <v/>
      </c>
      <c r="L46" s="1" t="str">
        <f t="shared" si="1"/>
        <v/>
      </c>
      <c r="M46" s="1">
        <f>IF(OR(Table1[[#This Row],[Std Nom]]="",Table1[[#This Row],[Std Read]]=""),0,Table1[[#This Row],[Std Nom]]-Table1[[#This Row],[Std Read]])</f>
        <v>0</v>
      </c>
      <c r="N46" s="1">
        <f>IF(Calculations!$F$5="ACCREDITED 17025 WITH UNCERTAINTIES",$N$10,0)</f>
        <v>0</v>
      </c>
      <c r="Q46" s="1">
        <f>Table1[[#This Row],[High Tol]]-Table1[[#This Row],[Low Tol]]</f>
        <v>0</v>
      </c>
      <c r="R46" s="1">
        <f>2*Table1[[#This Row],[Std Error]]</f>
        <v>0</v>
      </c>
      <c r="S46" s="1" t="str">
        <f>IF(Table1[[#This Row],[High Tol]]="","N/A",IFERROR(ABS(Table1[[#This Row],[Tol Span]]/Table1[[#This Row],[Error Span]]),"N/A"))</f>
        <v>N/A</v>
      </c>
      <c r="T46" s="1" t="str">
        <f>IF(OR(Table1[[#This Row],[Low Tol]]="",Table1[[#This Row],[High Tol]]=""),"Needs Analysis",IF(Table1[[#This Row],[Ratio]]&gt;=4,"Not Significant",IF(Table1[[#This Row],[Ratio]]&gt;=2,"Semi-Significant","Significant")))</f>
        <v>Needs Analysis</v>
      </c>
      <c r="W46" s="1">
        <f>IF(Table1[[#This Row],[Cal Type]]&lt;&gt;"ACCREDITED 17025 WITH UNCERTAINTIES",0,"")</f>
        <v>0</v>
      </c>
      <c r="X46" s="1" t="str">
        <f>IF(Table1[[#This Row],[DUT Read]]="","N/A",Table1[[#This Row],[Std Error]]+Table1[[#This Row],[DUT Read]]+Table1[[#This Row],[DUT Ucty]])</f>
        <v>N/A</v>
      </c>
      <c r="Y46" s="1" t="str">
        <f>IF(Table1[[#This Row],[Std Read]]="","N/A",Table1[[#This Row],[Std Read]]+Table1[[#This Row],[Std Ucty]])</f>
        <v>N/A</v>
      </c>
      <c r="Z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 s="1" t="str">
        <f>IF(Table1[[#This Row],[Spec Type]]="","N/A",Table1[[#This Row],[Spec Type]])</f>
        <v>±</v>
      </c>
      <c r="AC46" s="1" t="str">
        <f>IF(Table1[[#This Row],[Spec Type2]]="N/A","N/A",IF(AND(Table1[[#This Row],[DUT Adj Read]]&gt;=Table1[[#This Row],[Low Tol]],Table1[[#This Row],[DUT Adj Read]]&lt;=Table1[[#This Row],[High Tol]]),"Pass","Fail"))</f>
        <v>Fail</v>
      </c>
      <c r="AD46" s="1" t="str">
        <f>IF(AND(Table1[[#This Row],[Spec Type2]]="N/A",Table1[[#This Row],[DUT Adj Read]]="N/A",Table1[[#This Row],[Std Adj Read]]="N/A"),"N/A",IF(Table1[[#This Row],[DUT Adj Read]]="N/A",IF(Table1[[#This Row],[Std Adj Read]]&gt;Table1[[#This Row],[Low Tol]],"Pass","Fail"),IF(Table1[[#This Row],[DUT Adj Read]]&gt;Table1[[#This Row],[Low Tol]],"Pass","Fail")))</f>
        <v>Pass</v>
      </c>
      <c r="AE46" s="1" t="str">
        <f>IF(AND(Table1[[#This Row],[Spec Type2]]="N/A",Table1[[#This Row],[DUT Adj Read]]="N/A",Table1[[#This Row],[Std Adj Read]]="N/A"),"N/A",IF(Table1[[#This Row],[DUT Adj Read]]="N/A",IF(Table1[[#This Row],[Std Adj Read]]&lt;Table1[[#This Row],[High Tol]],"Pass","Fail"),IF(Table1[[#This Row],[DUT Adj Read]]&lt;Table1[[#This Row],[High Tol]],"Pass","Fail")))</f>
        <v>Fail</v>
      </c>
      <c r="AF46" s="1" t="str">
        <f>IF(AND(Table1[[#This Row],[Spec Type2]]="N/A",Table1[[#This Row],[DUT Adj Read]]="N/A",Table1[[#This Row],[Std Adj Read]]="N/A"),"N/A",IF(Table1[[#This Row],[DUT Adj Read]]="N/A",IF(Table1[[#This Row],[Std Adj Read]]&gt;=Table1[[#This Row],[Low Tol]],"Pass","Fail"),IF(Table1[[#This Row],[DUT Adj Read]]&gt;=Table1[[#This Row],[Low Tol]],"Pass","Fail")))</f>
        <v>Pass</v>
      </c>
      <c r="AG46" s="1" t="str">
        <f>IF(AND(Table1[[#This Row],[Spec Type2]]="N/A",Table1[[#This Row],[DUT Adj Read]]="N/A",Table1[[#This Row],[Std Adj Read]]="N/A"),"N/A",IF(Table1[[#This Row],[DUT Adj Read]]="N/A",IF(Table1[[#This Row],[Std Adj Read]]&lt;=Table1[[#This Row],[High Tol]],"Pass","Fail"),IF(Table1[[#This Row],[DUT Adj Read]]&lt;=Table1[[#This Row],[High Tol]],"Pass","Fail")))</f>
        <v>Fail</v>
      </c>
      <c r="AH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 s="1" t="b">
        <v>0</v>
      </c>
      <c r="AN46" s="1" t="b">
        <v>0</v>
      </c>
      <c r="AO46" s="1" t="b">
        <v>0</v>
      </c>
    </row>
    <row r="47" spans="1:41" x14ac:dyDescent="0.25">
      <c r="A47" s="10"/>
      <c r="B47" s="10"/>
      <c r="C47" s="10"/>
      <c r="D47" s="10"/>
      <c r="E47" s="10"/>
      <c r="F47" s="10"/>
      <c r="G47" s="10"/>
      <c r="H47" s="10"/>
      <c r="I47" s="1" t="str">
        <f t="shared" si="2"/>
        <v/>
      </c>
      <c r="J47" s="1" t="s">
        <v>35</v>
      </c>
      <c r="K47" s="1" t="str">
        <f t="shared" si="0"/>
        <v/>
      </c>
      <c r="L47" s="1" t="str">
        <f t="shared" si="1"/>
        <v/>
      </c>
      <c r="M47" s="1">
        <f>IF(OR(Table1[[#This Row],[Std Nom]]="",Table1[[#This Row],[Std Read]]=""),0,Table1[[#This Row],[Std Nom]]-Table1[[#This Row],[Std Read]])</f>
        <v>0</v>
      </c>
      <c r="N47" s="1">
        <f>IF(Calculations!$F$5="ACCREDITED 17025 WITH UNCERTAINTIES",$N$10,0)</f>
        <v>0</v>
      </c>
      <c r="Q47" s="1">
        <f>Table1[[#This Row],[High Tol]]-Table1[[#This Row],[Low Tol]]</f>
        <v>0</v>
      </c>
      <c r="R47" s="1">
        <f>2*Table1[[#This Row],[Std Error]]</f>
        <v>0</v>
      </c>
      <c r="S47" s="1" t="str">
        <f>IF(Table1[[#This Row],[High Tol]]="","N/A",IFERROR(ABS(Table1[[#This Row],[Tol Span]]/Table1[[#This Row],[Error Span]]),"N/A"))</f>
        <v>N/A</v>
      </c>
      <c r="T47" s="1" t="str">
        <f>IF(OR(Table1[[#This Row],[Low Tol]]="",Table1[[#This Row],[High Tol]]=""),"Needs Analysis",IF(Table1[[#This Row],[Ratio]]&gt;=4,"Not Significant",IF(Table1[[#This Row],[Ratio]]&gt;=2,"Semi-Significant","Significant")))</f>
        <v>Needs Analysis</v>
      </c>
      <c r="W47" s="1">
        <f>IF(Table1[[#This Row],[Cal Type]]&lt;&gt;"ACCREDITED 17025 WITH UNCERTAINTIES",0,"")</f>
        <v>0</v>
      </c>
      <c r="X47" s="1" t="str">
        <f>IF(Table1[[#This Row],[DUT Read]]="","N/A",Table1[[#This Row],[Std Error]]+Table1[[#This Row],[DUT Read]]+Table1[[#This Row],[DUT Ucty]])</f>
        <v>N/A</v>
      </c>
      <c r="Y47" s="1" t="str">
        <f>IF(Table1[[#This Row],[Std Read]]="","N/A",Table1[[#This Row],[Std Read]]+Table1[[#This Row],[Std Ucty]])</f>
        <v>N/A</v>
      </c>
      <c r="Z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 s="1" t="str">
        <f>IF(Table1[[#This Row],[Spec Type]]="","N/A",Table1[[#This Row],[Spec Type]])</f>
        <v>±</v>
      </c>
      <c r="AC47" s="1" t="str">
        <f>IF(Table1[[#This Row],[Spec Type2]]="N/A","N/A",IF(AND(Table1[[#This Row],[DUT Adj Read]]&gt;=Table1[[#This Row],[Low Tol]],Table1[[#This Row],[DUT Adj Read]]&lt;=Table1[[#This Row],[High Tol]]),"Pass","Fail"))</f>
        <v>Fail</v>
      </c>
      <c r="AD47" s="1" t="str">
        <f>IF(AND(Table1[[#This Row],[Spec Type2]]="N/A",Table1[[#This Row],[DUT Adj Read]]="N/A",Table1[[#This Row],[Std Adj Read]]="N/A"),"N/A",IF(Table1[[#This Row],[DUT Adj Read]]="N/A",IF(Table1[[#This Row],[Std Adj Read]]&gt;Table1[[#This Row],[Low Tol]],"Pass","Fail"),IF(Table1[[#This Row],[DUT Adj Read]]&gt;Table1[[#This Row],[Low Tol]],"Pass","Fail")))</f>
        <v>Pass</v>
      </c>
      <c r="AE47" s="1" t="str">
        <f>IF(AND(Table1[[#This Row],[Spec Type2]]="N/A",Table1[[#This Row],[DUT Adj Read]]="N/A",Table1[[#This Row],[Std Adj Read]]="N/A"),"N/A",IF(Table1[[#This Row],[DUT Adj Read]]="N/A",IF(Table1[[#This Row],[Std Adj Read]]&lt;Table1[[#This Row],[High Tol]],"Pass","Fail"),IF(Table1[[#This Row],[DUT Adj Read]]&lt;Table1[[#This Row],[High Tol]],"Pass","Fail")))</f>
        <v>Fail</v>
      </c>
      <c r="AF47" s="1" t="str">
        <f>IF(AND(Table1[[#This Row],[Spec Type2]]="N/A",Table1[[#This Row],[DUT Adj Read]]="N/A",Table1[[#This Row],[Std Adj Read]]="N/A"),"N/A",IF(Table1[[#This Row],[DUT Adj Read]]="N/A",IF(Table1[[#This Row],[Std Adj Read]]&gt;=Table1[[#This Row],[Low Tol]],"Pass","Fail"),IF(Table1[[#This Row],[DUT Adj Read]]&gt;=Table1[[#This Row],[Low Tol]],"Pass","Fail")))</f>
        <v>Pass</v>
      </c>
      <c r="AG47" s="1" t="str">
        <f>IF(AND(Table1[[#This Row],[Spec Type2]]="N/A",Table1[[#This Row],[DUT Adj Read]]="N/A",Table1[[#This Row],[Std Adj Read]]="N/A"),"N/A",IF(Table1[[#This Row],[DUT Adj Read]]="N/A",IF(Table1[[#This Row],[Std Adj Read]]&lt;=Table1[[#This Row],[High Tol]],"Pass","Fail"),IF(Table1[[#This Row],[DUT Adj Read]]&lt;=Table1[[#This Row],[High Tol]],"Pass","Fail")))</f>
        <v>Fail</v>
      </c>
      <c r="AH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 s="1" t="b">
        <v>0</v>
      </c>
      <c r="AN47" s="1" t="b">
        <v>0</v>
      </c>
      <c r="AO47" s="1" t="b">
        <v>0</v>
      </c>
    </row>
    <row r="48" spans="1:41" x14ac:dyDescent="0.25">
      <c r="A48" s="10"/>
      <c r="B48" s="10"/>
      <c r="C48" s="10"/>
      <c r="D48" s="10"/>
      <c r="E48" s="10"/>
      <c r="F48" s="10"/>
      <c r="G48" s="10"/>
      <c r="H48" s="10"/>
      <c r="I48" s="1" t="str">
        <f t="shared" si="2"/>
        <v/>
      </c>
      <c r="J48" s="1" t="s">
        <v>35</v>
      </c>
      <c r="K48" s="1" t="str">
        <f t="shared" si="0"/>
        <v/>
      </c>
      <c r="L48" s="1" t="str">
        <f t="shared" si="1"/>
        <v/>
      </c>
      <c r="M48" s="1">
        <f>IF(OR(Table1[[#This Row],[Std Nom]]="",Table1[[#This Row],[Std Read]]=""),0,Table1[[#This Row],[Std Nom]]-Table1[[#This Row],[Std Read]])</f>
        <v>0</v>
      </c>
      <c r="N48" s="1">
        <f>IF(Calculations!$F$5="ACCREDITED 17025 WITH UNCERTAINTIES",$N$10,0)</f>
        <v>0</v>
      </c>
      <c r="Q48" s="1">
        <f>Table1[[#This Row],[High Tol]]-Table1[[#This Row],[Low Tol]]</f>
        <v>0</v>
      </c>
      <c r="R48" s="1">
        <f>2*Table1[[#This Row],[Std Error]]</f>
        <v>0</v>
      </c>
      <c r="S48" s="1" t="str">
        <f>IF(Table1[[#This Row],[High Tol]]="","N/A",IFERROR(ABS(Table1[[#This Row],[Tol Span]]/Table1[[#This Row],[Error Span]]),"N/A"))</f>
        <v>N/A</v>
      </c>
      <c r="T48" s="1" t="str">
        <f>IF(OR(Table1[[#This Row],[Low Tol]]="",Table1[[#This Row],[High Tol]]=""),"Needs Analysis",IF(Table1[[#This Row],[Ratio]]&gt;=4,"Not Significant",IF(Table1[[#This Row],[Ratio]]&gt;=2,"Semi-Significant","Significant")))</f>
        <v>Needs Analysis</v>
      </c>
      <c r="W48" s="1">
        <f>IF(Table1[[#This Row],[Cal Type]]&lt;&gt;"ACCREDITED 17025 WITH UNCERTAINTIES",0,"")</f>
        <v>0</v>
      </c>
      <c r="X48" s="1" t="str">
        <f>IF(Table1[[#This Row],[DUT Read]]="","N/A",Table1[[#This Row],[Std Error]]+Table1[[#This Row],[DUT Read]]+Table1[[#This Row],[DUT Ucty]])</f>
        <v>N/A</v>
      </c>
      <c r="Y48" s="1" t="str">
        <f>IF(Table1[[#This Row],[Std Read]]="","N/A",Table1[[#This Row],[Std Read]]+Table1[[#This Row],[Std Ucty]])</f>
        <v>N/A</v>
      </c>
      <c r="Z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 s="1" t="str">
        <f>IF(Table1[[#This Row],[Spec Type]]="","N/A",Table1[[#This Row],[Spec Type]])</f>
        <v>±</v>
      </c>
      <c r="AC48" s="1" t="str">
        <f>IF(Table1[[#This Row],[Spec Type2]]="N/A","N/A",IF(AND(Table1[[#This Row],[DUT Adj Read]]&gt;=Table1[[#This Row],[Low Tol]],Table1[[#This Row],[DUT Adj Read]]&lt;=Table1[[#This Row],[High Tol]]),"Pass","Fail"))</f>
        <v>Fail</v>
      </c>
      <c r="AD48" s="1" t="str">
        <f>IF(AND(Table1[[#This Row],[Spec Type2]]="N/A",Table1[[#This Row],[DUT Adj Read]]="N/A",Table1[[#This Row],[Std Adj Read]]="N/A"),"N/A",IF(Table1[[#This Row],[DUT Adj Read]]="N/A",IF(Table1[[#This Row],[Std Adj Read]]&gt;Table1[[#This Row],[Low Tol]],"Pass","Fail"),IF(Table1[[#This Row],[DUT Adj Read]]&gt;Table1[[#This Row],[Low Tol]],"Pass","Fail")))</f>
        <v>Pass</v>
      </c>
      <c r="AE48" s="1" t="str">
        <f>IF(AND(Table1[[#This Row],[Spec Type2]]="N/A",Table1[[#This Row],[DUT Adj Read]]="N/A",Table1[[#This Row],[Std Adj Read]]="N/A"),"N/A",IF(Table1[[#This Row],[DUT Adj Read]]="N/A",IF(Table1[[#This Row],[Std Adj Read]]&lt;Table1[[#This Row],[High Tol]],"Pass","Fail"),IF(Table1[[#This Row],[DUT Adj Read]]&lt;Table1[[#This Row],[High Tol]],"Pass","Fail")))</f>
        <v>Fail</v>
      </c>
      <c r="AF48" s="1" t="str">
        <f>IF(AND(Table1[[#This Row],[Spec Type2]]="N/A",Table1[[#This Row],[DUT Adj Read]]="N/A",Table1[[#This Row],[Std Adj Read]]="N/A"),"N/A",IF(Table1[[#This Row],[DUT Adj Read]]="N/A",IF(Table1[[#This Row],[Std Adj Read]]&gt;=Table1[[#This Row],[Low Tol]],"Pass","Fail"),IF(Table1[[#This Row],[DUT Adj Read]]&gt;=Table1[[#This Row],[Low Tol]],"Pass","Fail")))</f>
        <v>Pass</v>
      </c>
      <c r="AG48" s="1" t="str">
        <f>IF(AND(Table1[[#This Row],[Spec Type2]]="N/A",Table1[[#This Row],[DUT Adj Read]]="N/A",Table1[[#This Row],[Std Adj Read]]="N/A"),"N/A",IF(Table1[[#This Row],[DUT Adj Read]]="N/A",IF(Table1[[#This Row],[Std Adj Read]]&lt;=Table1[[#This Row],[High Tol]],"Pass","Fail"),IF(Table1[[#This Row],[DUT Adj Read]]&lt;=Table1[[#This Row],[High Tol]],"Pass","Fail")))</f>
        <v>Fail</v>
      </c>
      <c r="AH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 s="1" t="b">
        <v>0</v>
      </c>
      <c r="AN48" s="1" t="b">
        <v>0</v>
      </c>
      <c r="AO48" s="1" t="b">
        <v>0</v>
      </c>
    </row>
    <row r="49" spans="1:41" x14ac:dyDescent="0.25">
      <c r="A49" s="10"/>
      <c r="B49" s="10"/>
      <c r="C49" s="10"/>
      <c r="D49" s="10"/>
      <c r="E49" s="10"/>
      <c r="F49" s="10"/>
      <c r="G49" s="10"/>
      <c r="H49" s="10"/>
      <c r="I49" s="1" t="str">
        <f t="shared" si="2"/>
        <v/>
      </c>
      <c r="J49" s="1" t="s">
        <v>35</v>
      </c>
      <c r="K49" s="1" t="str">
        <f t="shared" si="0"/>
        <v/>
      </c>
      <c r="L49" s="1" t="str">
        <f t="shared" si="1"/>
        <v/>
      </c>
      <c r="M49" s="1">
        <f>IF(OR(Table1[[#This Row],[Std Nom]]="",Table1[[#This Row],[Std Read]]=""),0,Table1[[#This Row],[Std Nom]]-Table1[[#This Row],[Std Read]])</f>
        <v>0</v>
      </c>
      <c r="N49" s="1">
        <f>IF(Calculations!$F$5="ACCREDITED 17025 WITH UNCERTAINTIES",$N$10,0)</f>
        <v>0</v>
      </c>
      <c r="Q49" s="1">
        <f>Table1[[#This Row],[High Tol]]-Table1[[#This Row],[Low Tol]]</f>
        <v>0</v>
      </c>
      <c r="R49" s="1">
        <f>2*Table1[[#This Row],[Std Error]]</f>
        <v>0</v>
      </c>
      <c r="S49" s="1" t="str">
        <f>IF(Table1[[#This Row],[High Tol]]="","N/A",IFERROR(ABS(Table1[[#This Row],[Tol Span]]/Table1[[#This Row],[Error Span]]),"N/A"))</f>
        <v>N/A</v>
      </c>
      <c r="T49" s="1" t="str">
        <f>IF(OR(Table1[[#This Row],[Low Tol]]="",Table1[[#This Row],[High Tol]]=""),"Needs Analysis",IF(Table1[[#This Row],[Ratio]]&gt;=4,"Not Significant",IF(Table1[[#This Row],[Ratio]]&gt;=2,"Semi-Significant","Significant")))</f>
        <v>Needs Analysis</v>
      </c>
      <c r="W49" s="1">
        <f>IF(Table1[[#This Row],[Cal Type]]&lt;&gt;"ACCREDITED 17025 WITH UNCERTAINTIES",0,"")</f>
        <v>0</v>
      </c>
      <c r="X49" s="1" t="str">
        <f>IF(Table1[[#This Row],[DUT Read]]="","N/A",Table1[[#This Row],[Std Error]]+Table1[[#This Row],[DUT Read]]+Table1[[#This Row],[DUT Ucty]])</f>
        <v>N/A</v>
      </c>
      <c r="Y49" s="1" t="str">
        <f>IF(Table1[[#This Row],[Std Read]]="","N/A",Table1[[#This Row],[Std Read]]+Table1[[#This Row],[Std Ucty]])</f>
        <v>N/A</v>
      </c>
      <c r="Z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 s="1" t="str">
        <f>IF(Table1[[#This Row],[Spec Type]]="","N/A",Table1[[#This Row],[Spec Type]])</f>
        <v>±</v>
      </c>
      <c r="AC49" s="1" t="str">
        <f>IF(Table1[[#This Row],[Spec Type2]]="N/A","N/A",IF(AND(Table1[[#This Row],[DUT Adj Read]]&gt;=Table1[[#This Row],[Low Tol]],Table1[[#This Row],[DUT Adj Read]]&lt;=Table1[[#This Row],[High Tol]]),"Pass","Fail"))</f>
        <v>Fail</v>
      </c>
      <c r="AD49" s="1" t="str">
        <f>IF(AND(Table1[[#This Row],[Spec Type2]]="N/A",Table1[[#This Row],[DUT Adj Read]]="N/A",Table1[[#This Row],[Std Adj Read]]="N/A"),"N/A",IF(Table1[[#This Row],[DUT Adj Read]]="N/A",IF(Table1[[#This Row],[Std Adj Read]]&gt;Table1[[#This Row],[Low Tol]],"Pass","Fail"),IF(Table1[[#This Row],[DUT Adj Read]]&gt;Table1[[#This Row],[Low Tol]],"Pass","Fail")))</f>
        <v>Pass</v>
      </c>
      <c r="AE49" s="1" t="str">
        <f>IF(AND(Table1[[#This Row],[Spec Type2]]="N/A",Table1[[#This Row],[DUT Adj Read]]="N/A",Table1[[#This Row],[Std Adj Read]]="N/A"),"N/A",IF(Table1[[#This Row],[DUT Adj Read]]="N/A",IF(Table1[[#This Row],[Std Adj Read]]&lt;Table1[[#This Row],[High Tol]],"Pass","Fail"),IF(Table1[[#This Row],[DUT Adj Read]]&lt;Table1[[#This Row],[High Tol]],"Pass","Fail")))</f>
        <v>Fail</v>
      </c>
      <c r="AF49" s="1" t="str">
        <f>IF(AND(Table1[[#This Row],[Spec Type2]]="N/A",Table1[[#This Row],[DUT Adj Read]]="N/A",Table1[[#This Row],[Std Adj Read]]="N/A"),"N/A",IF(Table1[[#This Row],[DUT Adj Read]]="N/A",IF(Table1[[#This Row],[Std Adj Read]]&gt;=Table1[[#This Row],[Low Tol]],"Pass","Fail"),IF(Table1[[#This Row],[DUT Adj Read]]&gt;=Table1[[#This Row],[Low Tol]],"Pass","Fail")))</f>
        <v>Pass</v>
      </c>
      <c r="AG49" s="1" t="str">
        <f>IF(AND(Table1[[#This Row],[Spec Type2]]="N/A",Table1[[#This Row],[DUT Adj Read]]="N/A",Table1[[#This Row],[Std Adj Read]]="N/A"),"N/A",IF(Table1[[#This Row],[DUT Adj Read]]="N/A",IF(Table1[[#This Row],[Std Adj Read]]&lt;=Table1[[#This Row],[High Tol]],"Pass","Fail"),IF(Table1[[#This Row],[DUT Adj Read]]&lt;=Table1[[#This Row],[High Tol]],"Pass","Fail")))</f>
        <v>Fail</v>
      </c>
      <c r="AH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 s="1" t="b">
        <v>0</v>
      </c>
      <c r="AN49" s="1" t="b">
        <v>0</v>
      </c>
      <c r="AO49" s="1" t="b">
        <v>0</v>
      </c>
    </row>
    <row r="50" spans="1:41" x14ac:dyDescent="0.25">
      <c r="A50" s="10"/>
      <c r="B50" s="10"/>
      <c r="C50" s="10"/>
      <c r="D50" s="10"/>
      <c r="E50" s="10"/>
      <c r="F50" s="10"/>
      <c r="G50" s="10"/>
      <c r="H50" s="10"/>
      <c r="I50" s="1" t="str">
        <f t="shared" si="2"/>
        <v/>
      </c>
      <c r="J50" s="1" t="s">
        <v>35</v>
      </c>
      <c r="K50" s="1" t="str">
        <f t="shared" si="0"/>
        <v/>
      </c>
      <c r="L50" s="1" t="str">
        <f t="shared" si="1"/>
        <v/>
      </c>
      <c r="M50" s="1">
        <f>IF(OR(Table1[[#This Row],[Std Nom]]="",Table1[[#This Row],[Std Read]]=""),0,Table1[[#This Row],[Std Nom]]-Table1[[#This Row],[Std Read]])</f>
        <v>0</v>
      </c>
      <c r="N50" s="1">
        <f>IF(Calculations!$F$5="ACCREDITED 17025 WITH UNCERTAINTIES",$N$10,0)</f>
        <v>0</v>
      </c>
      <c r="Q50" s="1">
        <f>Table1[[#This Row],[High Tol]]-Table1[[#This Row],[Low Tol]]</f>
        <v>0</v>
      </c>
      <c r="R50" s="1">
        <f>2*Table1[[#This Row],[Std Error]]</f>
        <v>0</v>
      </c>
      <c r="S50" s="1" t="str">
        <f>IF(Table1[[#This Row],[High Tol]]="","N/A",IFERROR(ABS(Table1[[#This Row],[Tol Span]]/Table1[[#This Row],[Error Span]]),"N/A"))</f>
        <v>N/A</v>
      </c>
      <c r="T50" s="1" t="str">
        <f>IF(OR(Table1[[#This Row],[Low Tol]]="",Table1[[#This Row],[High Tol]]=""),"Needs Analysis",IF(Table1[[#This Row],[Ratio]]&gt;=4,"Not Significant",IF(Table1[[#This Row],[Ratio]]&gt;=2,"Semi-Significant","Significant")))</f>
        <v>Needs Analysis</v>
      </c>
      <c r="W50" s="1">
        <f>IF(Table1[[#This Row],[Cal Type]]&lt;&gt;"ACCREDITED 17025 WITH UNCERTAINTIES",0,"")</f>
        <v>0</v>
      </c>
      <c r="X50" s="1" t="str">
        <f>IF(Table1[[#This Row],[DUT Read]]="","N/A",Table1[[#This Row],[Std Error]]+Table1[[#This Row],[DUT Read]]+Table1[[#This Row],[DUT Ucty]])</f>
        <v>N/A</v>
      </c>
      <c r="Y50" s="1" t="str">
        <f>IF(Table1[[#This Row],[Std Read]]="","N/A",Table1[[#This Row],[Std Read]]+Table1[[#This Row],[Std Ucty]])</f>
        <v>N/A</v>
      </c>
      <c r="Z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 s="1" t="str">
        <f>IF(Table1[[#This Row],[Spec Type]]="","N/A",Table1[[#This Row],[Spec Type]])</f>
        <v>±</v>
      </c>
      <c r="AC50" s="1" t="str">
        <f>IF(Table1[[#This Row],[Spec Type2]]="N/A","N/A",IF(AND(Table1[[#This Row],[DUT Adj Read]]&gt;=Table1[[#This Row],[Low Tol]],Table1[[#This Row],[DUT Adj Read]]&lt;=Table1[[#This Row],[High Tol]]),"Pass","Fail"))</f>
        <v>Fail</v>
      </c>
      <c r="AD50" s="1" t="str">
        <f>IF(AND(Table1[[#This Row],[Spec Type2]]="N/A",Table1[[#This Row],[DUT Adj Read]]="N/A",Table1[[#This Row],[Std Adj Read]]="N/A"),"N/A",IF(Table1[[#This Row],[DUT Adj Read]]="N/A",IF(Table1[[#This Row],[Std Adj Read]]&gt;Table1[[#This Row],[Low Tol]],"Pass","Fail"),IF(Table1[[#This Row],[DUT Adj Read]]&gt;Table1[[#This Row],[Low Tol]],"Pass","Fail")))</f>
        <v>Pass</v>
      </c>
      <c r="AE50" s="1" t="str">
        <f>IF(AND(Table1[[#This Row],[Spec Type2]]="N/A",Table1[[#This Row],[DUT Adj Read]]="N/A",Table1[[#This Row],[Std Adj Read]]="N/A"),"N/A",IF(Table1[[#This Row],[DUT Adj Read]]="N/A",IF(Table1[[#This Row],[Std Adj Read]]&lt;Table1[[#This Row],[High Tol]],"Pass","Fail"),IF(Table1[[#This Row],[DUT Adj Read]]&lt;Table1[[#This Row],[High Tol]],"Pass","Fail")))</f>
        <v>Fail</v>
      </c>
      <c r="AF50" s="1" t="str">
        <f>IF(AND(Table1[[#This Row],[Spec Type2]]="N/A",Table1[[#This Row],[DUT Adj Read]]="N/A",Table1[[#This Row],[Std Adj Read]]="N/A"),"N/A",IF(Table1[[#This Row],[DUT Adj Read]]="N/A",IF(Table1[[#This Row],[Std Adj Read]]&gt;=Table1[[#This Row],[Low Tol]],"Pass","Fail"),IF(Table1[[#This Row],[DUT Adj Read]]&gt;=Table1[[#This Row],[Low Tol]],"Pass","Fail")))</f>
        <v>Pass</v>
      </c>
      <c r="AG50" s="1" t="str">
        <f>IF(AND(Table1[[#This Row],[Spec Type2]]="N/A",Table1[[#This Row],[DUT Adj Read]]="N/A",Table1[[#This Row],[Std Adj Read]]="N/A"),"N/A",IF(Table1[[#This Row],[DUT Adj Read]]="N/A",IF(Table1[[#This Row],[Std Adj Read]]&lt;=Table1[[#This Row],[High Tol]],"Pass","Fail"),IF(Table1[[#This Row],[DUT Adj Read]]&lt;=Table1[[#This Row],[High Tol]],"Pass","Fail")))</f>
        <v>Fail</v>
      </c>
      <c r="AH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 s="1" t="b">
        <v>0</v>
      </c>
      <c r="AN50" s="1" t="b">
        <v>0</v>
      </c>
      <c r="AO50" s="1" t="b">
        <v>0</v>
      </c>
    </row>
    <row r="51" spans="1:41" x14ac:dyDescent="0.25">
      <c r="A51" s="10"/>
      <c r="B51" s="10"/>
      <c r="C51" s="10"/>
      <c r="D51" s="10"/>
      <c r="E51" s="10"/>
      <c r="F51" s="10"/>
      <c r="G51" s="10"/>
      <c r="H51" s="10"/>
      <c r="I51" s="1" t="str">
        <f t="shared" si="2"/>
        <v/>
      </c>
      <c r="J51" s="1" t="s">
        <v>35</v>
      </c>
      <c r="K51" s="1" t="str">
        <f t="shared" si="0"/>
        <v/>
      </c>
      <c r="L51" s="1" t="str">
        <f t="shared" si="1"/>
        <v/>
      </c>
      <c r="M51" s="1">
        <f>IF(OR(Table1[[#This Row],[Std Nom]]="",Table1[[#This Row],[Std Read]]=""),0,Table1[[#This Row],[Std Nom]]-Table1[[#This Row],[Std Read]])</f>
        <v>0</v>
      </c>
      <c r="N51" s="1">
        <f>IF(Calculations!$F$5="ACCREDITED 17025 WITH UNCERTAINTIES",$N$10,0)</f>
        <v>0</v>
      </c>
      <c r="Q51" s="1">
        <f>Table1[[#This Row],[High Tol]]-Table1[[#This Row],[Low Tol]]</f>
        <v>0</v>
      </c>
      <c r="R51" s="1">
        <f>2*Table1[[#This Row],[Std Error]]</f>
        <v>0</v>
      </c>
      <c r="S51" s="1" t="str">
        <f>IF(Table1[[#This Row],[High Tol]]="","N/A",IFERROR(ABS(Table1[[#This Row],[Tol Span]]/Table1[[#This Row],[Error Span]]),"N/A"))</f>
        <v>N/A</v>
      </c>
      <c r="T51" s="1" t="str">
        <f>IF(OR(Table1[[#This Row],[Low Tol]]="",Table1[[#This Row],[High Tol]]=""),"Needs Analysis",IF(Table1[[#This Row],[Ratio]]&gt;=4,"Not Significant",IF(Table1[[#This Row],[Ratio]]&gt;=2,"Semi-Significant","Significant")))</f>
        <v>Needs Analysis</v>
      </c>
      <c r="W51" s="1">
        <f>IF(Table1[[#This Row],[Cal Type]]&lt;&gt;"ACCREDITED 17025 WITH UNCERTAINTIES",0,"")</f>
        <v>0</v>
      </c>
      <c r="X51" s="1" t="str">
        <f>IF(Table1[[#This Row],[DUT Read]]="","N/A",Table1[[#This Row],[Std Error]]+Table1[[#This Row],[DUT Read]]+Table1[[#This Row],[DUT Ucty]])</f>
        <v>N/A</v>
      </c>
      <c r="Y51" s="1" t="str">
        <f>IF(Table1[[#This Row],[Std Read]]="","N/A",Table1[[#This Row],[Std Read]]+Table1[[#This Row],[Std Ucty]])</f>
        <v>N/A</v>
      </c>
      <c r="Z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 s="1" t="str">
        <f>IF(Table1[[#This Row],[Spec Type]]="","N/A",Table1[[#This Row],[Spec Type]])</f>
        <v>±</v>
      </c>
      <c r="AC51" s="1" t="str">
        <f>IF(Table1[[#This Row],[Spec Type2]]="N/A","N/A",IF(AND(Table1[[#This Row],[DUT Adj Read]]&gt;=Table1[[#This Row],[Low Tol]],Table1[[#This Row],[DUT Adj Read]]&lt;=Table1[[#This Row],[High Tol]]),"Pass","Fail"))</f>
        <v>Fail</v>
      </c>
      <c r="AD51" s="1" t="str">
        <f>IF(AND(Table1[[#This Row],[Spec Type2]]="N/A",Table1[[#This Row],[DUT Adj Read]]="N/A",Table1[[#This Row],[Std Adj Read]]="N/A"),"N/A",IF(Table1[[#This Row],[DUT Adj Read]]="N/A",IF(Table1[[#This Row],[Std Adj Read]]&gt;Table1[[#This Row],[Low Tol]],"Pass","Fail"),IF(Table1[[#This Row],[DUT Adj Read]]&gt;Table1[[#This Row],[Low Tol]],"Pass","Fail")))</f>
        <v>Pass</v>
      </c>
      <c r="AE51" s="1" t="str">
        <f>IF(AND(Table1[[#This Row],[Spec Type2]]="N/A",Table1[[#This Row],[DUT Adj Read]]="N/A",Table1[[#This Row],[Std Adj Read]]="N/A"),"N/A",IF(Table1[[#This Row],[DUT Adj Read]]="N/A",IF(Table1[[#This Row],[Std Adj Read]]&lt;Table1[[#This Row],[High Tol]],"Pass","Fail"),IF(Table1[[#This Row],[DUT Adj Read]]&lt;Table1[[#This Row],[High Tol]],"Pass","Fail")))</f>
        <v>Fail</v>
      </c>
      <c r="AF51" s="1" t="str">
        <f>IF(AND(Table1[[#This Row],[Spec Type2]]="N/A",Table1[[#This Row],[DUT Adj Read]]="N/A",Table1[[#This Row],[Std Adj Read]]="N/A"),"N/A",IF(Table1[[#This Row],[DUT Adj Read]]="N/A",IF(Table1[[#This Row],[Std Adj Read]]&gt;=Table1[[#This Row],[Low Tol]],"Pass","Fail"),IF(Table1[[#This Row],[DUT Adj Read]]&gt;=Table1[[#This Row],[Low Tol]],"Pass","Fail")))</f>
        <v>Pass</v>
      </c>
      <c r="AG51" s="1" t="str">
        <f>IF(AND(Table1[[#This Row],[Spec Type2]]="N/A",Table1[[#This Row],[DUT Adj Read]]="N/A",Table1[[#This Row],[Std Adj Read]]="N/A"),"N/A",IF(Table1[[#This Row],[DUT Adj Read]]="N/A",IF(Table1[[#This Row],[Std Adj Read]]&lt;=Table1[[#This Row],[High Tol]],"Pass","Fail"),IF(Table1[[#This Row],[DUT Adj Read]]&lt;=Table1[[#This Row],[High Tol]],"Pass","Fail")))</f>
        <v>Fail</v>
      </c>
      <c r="AH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 s="1" t="b">
        <v>0</v>
      </c>
      <c r="AN51" s="1" t="b">
        <v>0</v>
      </c>
      <c r="AO51" s="1" t="b">
        <v>0</v>
      </c>
    </row>
    <row r="52" spans="1:41" x14ac:dyDescent="0.25">
      <c r="A52" s="10"/>
      <c r="B52" s="10"/>
      <c r="C52" s="10"/>
      <c r="D52" s="10"/>
      <c r="E52" s="10"/>
      <c r="F52" s="10"/>
      <c r="G52" s="10"/>
      <c r="H52" s="10"/>
      <c r="I52" s="1" t="str">
        <f t="shared" si="2"/>
        <v/>
      </c>
      <c r="J52" s="1" t="s">
        <v>35</v>
      </c>
      <c r="K52" s="1" t="str">
        <f t="shared" si="0"/>
        <v/>
      </c>
      <c r="L52" s="1" t="str">
        <f t="shared" si="1"/>
        <v/>
      </c>
      <c r="M52" s="1">
        <f>IF(OR(Table1[[#This Row],[Std Nom]]="",Table1[[#This Row],[Std Read]]=""),0,Table1[[#This Row],[Std Nom]]-Table1[[#This Row],[Std Read]])</f>
        <v>0</v>
      </c>
      <c r="N52" s="1">
        <f>IF(Calculations!$F$5="ACCREDITED 17025 WITH UNCERTAINTIES",$N$10,0)</f>
        <v>0</v>
      </c>
      <c r="Q52" s="1">
        <f>Table1[[#This Row],[High Tol]]-Table1[[#This Row],[Low Tol]]</f>
        <v>0</v>
      </c>
      <c r="R52" s="1">
        <f>2*Table1[[#This Row],[Std Error]]</f>
        <v>0</v>
      </c>
      <c r="S52" s="1" t="str">
        <f>IF(Table1[[#This Row],[High Tol]]="","N/A",IFERROR(ABS(Table1[[#This Row],[Tol Span]]/Table1[[#This Row],[Error Span]]),"N/A"))</f>
        <v>N/A</v>
      </c>
      <c r="T52" s="1" t="str">
        <f>IF(OR(Table1[[#This Row],[Low Tol]]="",Table1[[#This Row],[High Tol]]=""),"Needs Analysis",IF(Table1[[#This Row],[Ratio]]&gt;=4,"Not Significant",IF(Table1[[#This Row],[Ratio]]&gt;=2,"Semi-Significant","Significant")))</f>
        <v>Needs Analysis</v>
      </c>
      <c r="W52" s="1">
        <f>IF(Table1[[#This Row],[Cal Type]]&lt;&gt;"ACCREDITED 17025 WITH UNCERTAINTIES",0,"")</f>
        <v>0</v>
      </c>
      <c r="X52" s="1" t="str">
        <f>IF(Table1[[#This Row],[DUT Read]]="","N/A",Table1[[#This Row],[Std Error]]+Table1[[#This Row],[DUT Read]]+Table1[[#This Row],[DUT Ucty]])</f>
        <v>N/A</v>
      </c>
      <c r="Y52" s="1" t="str">
        <f>IF(Table1[[#This Row],[Std Read]]="","N/A",Table1[[#This Row],[Std Read]]+Table1[[#This Row],[Std Ucty]])</f>
        <v>N/A</v>
      </c>
      <c r="Z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 s="1" t="str">
        <f>IF(Table1[[#This Row],[Spec Type]]="","N/A",Table1[[#This Row],[Spec Type]])</f>
        <v>±</v>
      </c>
      <c r="AC52" s="1" t="str">
        <f>IF(Table1[[#This Row],[Spec Type2]]="N/A","N/A",IF(AND(Table1[[#This Row],[DUT Adj Read]]&gt;=Table1[[#This Row],[Low Tol]],Table1[[#This Row],[DUT Adj Read]]&lt;=Table1[[#This Row],[High Tol]]),"Pass","Fail"))</f>
        <v>Fail</v>
      </c>
      <c r="AD52" s="1" t="str">
        <f>IF(AND(Table1[[#This Row],[Spec Type2]]="N/A",Table1[[#This Row],[DUT Adj Read]]="N/A",Table1[[#This Row],[Std Adj Read]]="N/A"),"N/A",IF(Table1[[#This Row],[DUT Adj Read]]="N/A",IF(Table1[[#This Row],[Std Adj Read]]&gt;Table1[[#This Row],[Low Tol]],"Pass","Fail"),IF(Table1[[#This Row],[DUT Adj Read]]&gt;Table1[[#This Row],[Low Tol]],"Pass","Fail")))</f>
        <v>Pass</v>
      </c>
      <c r="AE52" s="1" t="str">
        <f>IF(AND(Table1[[#This Row],[Spec Type2]]="N/A",Table1[[#This Row],[DUT Adj Read]]="N/A",Table1[[#This Row],[Std Adj Read]]="N/A"),"N/A",IF(Table1[[#This Row],[DUT Adj Read]]="N/A",IF(Table1[[#This Row],[Std Adj Read]]&lt;Table1[[#This Row],[High Tol]],"Pass","Fail"),IF(Table1[[#This Row],[DUT Adj Read]]&lt;Table1[[#This Row],[High Tol]],"Pass","Fail")))</f>
        <v>Fail</v>
      </c>
      <c r="AF52" s="1" t="str">
        <f>IF(AND(Table1[[#This Row],[Spec Type2]]="N/A",Table1[[#This Row],[DUT Adj Read]]="N/A",Table1[[#This Row],[Std Adj Read]]="N/A"),"N/A",IF(Table1[[#This Row],[DUT Adj Read]]="N/A",IF(Table1[[#This Row],[Std Adj Read]]&gt;=Table1[[#This Row],[Low Tol]],"Pass","Fail"),IF(Table1[[#This Row],[DUT Adj Read]]&gt;=Table1[[#This Row],[Low Tol]],"Pass","Fail")))</f>
        <v>Pass</v>
      </c>
      <c r="AG52" s="1" t="str">
        <f>IF(AND(Table1[[#This Row],[Spec Type2]]="N/A",Table1[[#This Row],[DUT Adj Read]]="N/A",Table1[[#This Row],[Std Adj Read]]="N/A"),"N/A",IF(Table1[[#This Row],[DUT Adj Read]]="N/A",IF(Table1[[#This Row],[Std Adj Read]]&lt;=Table1[[#This Row],[High Tol]],"Pass","Fail"),IF(Table1[[#This Row],[DUT Adj Read]]&lt;=Table1[[#This Row],[High Tol]],"Pass","Fail")))</f>
        <v>Fail</v>
      </c>
      <c r="AH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 s="1" t="b">
        <v>0</v>
      </c>
      <c r="AN52" s="1" t="b">
        <v>0</v>
      </c>
      <c r="AO52" s="1" t="b">
        <v>0</v>
      </c>
    </row>
    <row r="53" spans="1:41" x14ac:dyDescent="0.25">
      <c r="A53" s="10"/>
      <c r="B53" s="10"/>
      <c r="C53" s="10"/>
      <c r="D53" s="10"/>
      <c r="E53" s="10"/>
      <c r="F53" s="10"/>
      <c r="G53" s="10"/>
      <c r="H53" s="10"/>
      <c r="I53" s="1" t="str">
        <f t="shared" si="2"/>
        <v/>
      </c>
      <c r="J53" s="1" t="s">
        <v>35</v>
      </c>
      <c r="K53" s="1" t="str">
        <f t="shared" si="0"/>
        <v/>
      </c>
      <c r="L53" s="1" t="str">
        <f t="shared" si="1"/>
        <v/>
      </c>
      <c r="M53" s="1">
        <f>IF(OR(Table1[[#This Row],[Std Nom]]="",Table1[[#This Row],[Std Read]]=""),0,Table1[[#This Row],[Std Nom]]-Table1[[#This Row],[Std Read]])</f>
        <v>0</v>
      </c>
      <c r="N53" s="1">
        <f>IF(Calculations!$F$5="ACCREDITED 17025 WITH UNCERTAINTIES",$N$10,0)</f>
        <v>0</v>
      </c>
      <c r="Q53" s="1">
        <f>Table1[[#This Row],[High Tol]]-Table1[[#This Row],[Low Tol]]</f>
        <v>0</v>
      </c>
      <c r="R53" s="1">
        <f>2*Table1[[#This Row],[Std Error]]</f>
        <v>0</v>
      </c>
      <c r="S53" s="1" t="str">
        <f>IF(Table1[[#This Row],[High Tol]]="","N/A",IFERROR(ABS(Table1[[#This Row],[Tol Span]]/Table1[[#This Row],[Error Span]]),"N/A"))</f>
        <v>N/A</v>
      </c>
      <c r="T53" s="1" t="str">
        <f>IF(OR(Table1[[#This Row],[Low Tol]]="",Table1[[#This Row],[High Tol]]=""),"Needs Analysis",IF(Table1[[#This Row],[Ratio]]&gt;=4,"Not Significant",IF(Table1[[#This Row],[Ratio]]&gt;=2,"Semi-Significant","Significant")))</f>
        <v>Needs Analysis</v>
      </c>
      <c r="W53" s="1">
        <f>IF(Table1[[#This Row],[Cal Type]]&lt;&gt;"ACCREDITED 17025 WITH UNCERTAINTIES",0,"")</f>
        <v>0</v>
      </c>
      <c r="X53" s="1" t="str">
        <f>IF(Table1[[#This Row],[DUT Read]]="","N/A",Table1[[#This Row],[Std Error]]+Table1[[#This Row],[DUT Read]]+Table1[[#This Row],[DUT Ucty]])</f>
        <v>N/A</v>
      </c>
      <c r="Y53" s="1" t="str">
        <f>IF(Table1[[#This Row],[Std Read]]="","N/A",Table1[[#This Row],[Std Read]]+Table1[[#This Row],[Std Ucty]])</f>
        <v>N/A</v>
      </c>
      <c r="Z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 s="1" t="str">
        <f>IF(Table1[[#This Row],[Spec Type]]="","N/A",Table1[[#This Row],[Spec Type]])</f>
        <v>±</v>
      </c>
      <c r="AC53" s="1" t="str">
        <f>IF(Table1[[#This Row],[Spec Type2]]="N/A","N/A",IF(AND(Table1[[#This Row],[DUT Adj Read]]&gt;=Table1[[#This Row],[Low Tol]],Table1[[#This Row],[DUT Adj Read]]&lt;=Table1[[#This Row],[High Tol]]),"Pass","Fail"))</f>
        <v>Fail</v>
      </c>
      <c r="AD53" s="1" t="str">
        <f>IF(AND(Table1[[#This Row],[Spec Type2]]="N/A",Table1[[#This Row],[DUT Adj Read]]="N/A",Table1[[#This Row],[Std Adj Read]]="N/A"),"N/A",IF(Table1[[#This Row],[DUT Adj Read]]="N/A",IF(Table1[[#This Row],[Std Adj Read]]&gt;Table1[[#This Row],[Low Tol]],"Pass","Fail"),IF(Table1[[#This Row],[DUT Adj Read]]&gt;Table1[[#This Row],[Low Tol]],"Pass","Fail")))</f>
        <v>Pass</v>
      </c>
      <c r="AE53" s="1" t="str">
        <f>IF(AND(Table1[[#This Row],[Spec Type2]]="N/A",Table1[[#This Row],[DUT Adj Read]]="N/A",Table1[[#This Row],[Std Adj Read]]="N/A"),"N/A",IF(Table1[[#This Row],[DUT Adj Read]]="N/A",IF(Table1[[#This Row],[Std Adj Read]]&lt;Table1[[#This Row],[High Tol]],"Pass","Fail"),IF(Table1[[#This Row],[DUT Adj Read]]&lt;Table1[[#This Row],[High Tol]],"Pass","Fail")))</f>
        <v>Fail</v>
      </c>
      <c r="AF53" s="1" t="str">
        <f>IF(AND(Table1[[#This Row],[Spec Type2]]="N/A",Table1[[#This Row],[DUT Adj Read]]="N/A",Table1[[#This Row],[Std Adj Read]]="N/A"),"N/A",IF(Table1[[#This Row],[DUT Adj Read]]="N/A",IF(Table1[[#This Row],[Std Adj Read]]&gt;=Table1[[#This Row],[Low Tol]],"Pass","Fail"),IF(Table1[[#This Row],[DUT Adj Read]]&gt;=Table1[[#This Row],[Low Tol]],"Pass","Fail")))</f>
        <v>Pass</v>
      </c>
      <c r="AG53" s="1" t="str">
        <f>IF(AND(Table1[[#This Row],[Spec Type2]]="N/A",Table1[[#This Row],[DUT Adj Read]]="N/A",Table1[[#This Row],[Std Adj Read]]="N/A"),"N/A",IF(Table1[[#This Row],[DUT Adj Read]]="N/A",IF(Table1[[#This Row],[Std Adj Read]]&lt;=Table1[[#This Row],[High Tol]],"Pass","Fail"),IF(Table1[[#This Row],[DUT Adj Read]]&lt;=Table1[[#This Row],[High Tol]],"Pass","Fail")))</f>
        <v>Fail</v>
      </c>
      <c r="AH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 s="1" t="b">
        <v>0</v>
      </c>
      <c r="AN53" s="1" t="b">
        <v>0</v>
      </c>
      <c r="AO53" s="1" t="b">
        <v>0</v>
      </c>
    </row>
    <row r="54" spans="1:41" x14ac:dyDescent="0.25">
      <c r="A54" s="10"/>
      <c r="B54" s="10"/>
      <c r="C54" s="10"/>
      <c r="D54" s="10"/>
      <c r="E54" s="10"/>
      <c r="F54" s="10"/>
      <c r="G54" s="10"/>
      <c r="H54" s="10"/>
      <c r="I54" s="1" t="str">
        <f t="shared" si="2"/>
        <v/>
      </c>
      <c r="J54" s="1" t="s">
        <v>35</v>
      </c>
      <c r="K54" s="1" t="str">
        <f t="shared" si="0"/>
        <v/>
      </c>
      <c r="L54" s="1" t="str">
        <f t="shared" si="1"/>
        <v/>
      </c>
      <c r="M54" s="1">
        <f>IF(OR(Table1[[#This Row],[Std Nom]]="",Table1[[#This Row],[Std Read]]=""),0,Table1[[#This Row],[Std Nom]]-Table1[[#This Row],[Std Read]])</f>
        <v>0</v>
      </c>
      <c r="N54" s="1">
        <f>IF(Calculations!$F$5="ACCREDITED 17025 WITH UNCERTAINTIES",$N$10,0)</f>
        <v>0</v>
      </c>
      <c r="Q54" s="1">
        <f>Table1[[#This Row],[High Tol]]-Table1[[#This Row],[Low Tol]]</f>
        <v>0</v>
      </c>
      <c r="R54" s="1">
        <f>2*Table1[[#This Row],[Std Error]]</f>
        <v>0</v>
      </c>
      <c r="S54" s="1" t="str">
        <f>IF(Table1[[#This Row],[High Tol]]="","N/A",IFERROR(ABS(Table1[[#This Row],[Tol Span]]/Table1[[#This Row],[Error Span]]),"N/A"))</f>
        <v>N/A</v>
      </c>
      <c r="T54" s="1" t="str">
        <f>IF(OR(Table1[[#This Row],[Low Tol]]="",Table1[[#This Row],[High Tol]]=""),"Needs Analysis",IF(Table1[[#This Row],[Ratio]]&gt;=4,"Not Significant",IF(Table1[[#This Row],[Ratio]]&gt;=2,"Semi-Significant","Significant")))</f>
        <v>Needs Analysis</v>
      </c>
      <c r="W54" s="1">
        <f>IF(Table1[[#This Row],[Cal Type]]&lt;&gt;"ACCREDITED 17025 WITH UNCERTAINTIES",0,"")</f>
        <v>0</v>
      </c>
      <c r="X54" s="1" t="str">
        <f>IF(Table1[[#This Row],[DUT Read]]="","N/A",Table1[[#This Row],[Std Error]]+Table1[[#This Row],[DUT Read]]+Table1[[#This Row],[DUT Ucty]])</f>
        <v>N/A</v>
      </c>
      <c r="Y54" s="1" t="str">
        <f>IF(Table1[[#This Row],[Std Read]]="","N/A",Table1[[#This Row],[Std Read]]+Table1[[#This Row],[Std Ucty]])</f>
        <v>N/A</v>
      </c>
      <c r="Z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 s="1" t="str">
        <f>IF(Table1[[#This Row],[Spec Type]]="","N/A",Table1[[#This Row],[Spec Type]])</f>
        <v>±</v>
      </c>
      <c r="AC54" s="1" t="str">
        <f>IF(Table1[[#This Row],[Spec Type2]]="N/A","N/A",IF(AND(Table1[[#This Row],[DUT Adj Read]]&gt;=Table1[[#This Row],[Low Tol]],Table1[[#This Row],[DUT Adj Read]]&lt;=Table1[[#This Row],[High Tol]]),"Pass","Fail"))</f>
        <v>Fail</v>
      </c>
      <c r="AD54" s="1" t="str">
        <f>IF(AND(Table1[[#This Row],[Spec Type2]]="N/A",Table1[[#This Row],[DUT Adj Read]]="N/A",Table1[[#This Row],[Std Adj Read]]="N/A"),"N/A",IF(Table1[[#This Row],[DUT Adj Read]]="N/A",IF(Table1[[#This Row],[Std Adj Read]]&gt;Table1[[#This Row],[Low Tol]],"Pass","Fail"),IF(Table1[[#This Row],[DUT Adj Read]]&gt;Table1[[#This Row],[Low Tol]],"Pass","Fail")))</f>
        <v>Pass</v>
      </c>
      <c r="AE54" s="1" t="str">
        <f>IF(AND(Table1[[#This Row],[Spec Type2]]="N/A",Table1[[#This Row],[DUT Adj Read]]="N/A",Table1[[#This Row],[Std Adj Read]]="N/A"),"N/A",IF(Table1[[#This Row],[DUT Adj Read]]="N/A",IF(Table1[[#This Row],[Std Adj Read]]&lt;Table1[[#This Row],[High Tol]],"Pass","Fail"),IF(Table1[[#This Row],[DUT Adj Read]]&lt;Table1[[#This Row],[High Tol]],"Pass","Fail")))</f>
        <v>Fail</v>
      </c>
      <c r="AF54" s="1" t="str">
        <f>IF(AND(Table1[[#This Row],[Spec Type2]]="N/A",Table1[[#This Row],[DUT Adj Read]]="N/A",Table1[[#This Row],[Std Adj Read]]="N/A"),"N/A",IF(Table1[[#This Row],[DUT Adj Read]]="N/A",IF(Table1[[#This Row],[Std Adj Read]]&gt;=Table1[[#This Row],[Low Tol]],"Pass","Fail"),IF(Table1[[#This Row],[DUT Adj Read]]&gt;=Table1[[#This Row],[Low Tol]],"Pass","Fail")))</f>
        <v>Pass</v>
      </c>
      <c r="AG54" s="1" t="str">
        <f>IF(AND(Table1[[#This Row],[Spec Type2]]="N/A",Table1[[#This Row],[DUT Adj Read]]="N/A",Table1[[#This Row],[Std Adj Read]]="N/A"),"N/A",IF(Table1[[#This Row],[DUT Adj Read]]="N/A",IF(Table1[[#This Row],[Std Adj Read]]&lt;=Table1[[#This Row],[High Tol]],"Pass","Fail"),IF(Table1[[#This Row],[DUT Adj Read]]&lt;=Table1[[#This Row],[High Tol]],"Pass","Fail")))</f>
        <v>Fail</v>
      </c>
      <c r="AH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 s="1" t="b">
        <v>0</v>
      </c>
      <c r="AN54" s="1" t="b">
        <v>0</v>
      </c>
      <c r="AO54" s="1" t="b">
        <v>0</v>
      </c>
    </row>
    <row r="55" spans="1:41" x14ac:dyDescent="0.25">
      <c r="A55" s="10"/>
      <c r="B55" s="10"/>
      <c r="C55" s="10"/>
      <c r="D55" s="10"/>
      <c r="E55" s="10"/>
      <c r="F55" s="10"/>
      <c r="G55" s="10"/>
      <c r="H55" s="10"/>
      <c r="I55" s="1" t="str">
        <f t="shared" si="2"/>
        <v/>
      </c>
      <c r="J55" s="1" t="s">
        <v>35</v>
      </c>
      <c r="K55" s="1" t="str">
        <f t="shared" si="0"/>
        <v/>
      </c>
      <c r="L55" s="1" t="str">
        <f t="shared" si="1"/>
        <v/>
      </c>
      <c r="M55" s="1">
        <f>IF(OR(Table1[[#This Row],[Std Nom]]="",Table1[[#This Row],[Std Read]]=""),0,Table1[[#This Row],[Std Nom]]-Table1[[#This Row],[Std Read]])</f>
        <v>0</v>
      </c>
      <c r="N55" s="1">
        <f>IF(Calculations!$F$5="ACCREDITED 17025 WITH UNCERTAINTIES",$N$10,0)</f>
        <v>0</v>
      </c>
      <c r="Q55" s="1">
        <f>Table1[[#This Row],[High Tol]]-Table1[[#This Row],[Low Tol]]</f>
        <v>0</v>
      </c>
      <c r="R55" s="1">
        <f>2*Table1[[#This Row],[Std Error]]</f>
        <v>0</v>
      </c>
      <c r="S55" s="1" t="str">
        <f>IF(Table1[[#This Row],[High Tol]]="","N/A",IFERROR(ABS(Table1[[#This Row],[Tol Span]]/Table1[[#This Row],[Error Span]]),"N/A"))</f>
        <v>N/A</v>
      </c>
      <c r="T55" s="1" t="str">
        <f>IF(OR(Table1[[#This Row],[Low Tol]]="",Table1[[#This Row],[High Tol]]=""),"Needs Analysis",IF(Table1[[#This Row],[Ratio]]&gt;=4,"Not Significant",IF(Table1[[#This Row],[Ratio]]&gt;=2,"Semi-Significant","Significant")))</f>
        <v>Needs Analysis</v>
      </c>
      <c r="W55" s="1">
        <f>IF(Table1[[#This Row],[Cal Type]]&lt;&gt;"ACCREDITED 17025 WITH UNCERTAINTIES",0,"")</f>
        <v>0</v>
      </c>
      <c r="X55" s="1" t="str">
        <f>IF(Table1[[#This Row],[DUT Read]]="","N/A",Table1[[#This Row],[Std Error]]+Table1[[#This Row],[DUT Read]]+Table1[[#This Row],[DUT Ucty]])</f>
        <v>N/A</v>
      </c>
      <c r="Y55" s="1" t="str">
        <f>IF(Table1[[#This Row],[Std Read]]="","N/A",Table1[[#This Row],[Std Read]]+Table1[[#This Row],[Std Ucty]])</f>
        <v>N/A</v>
      </c>
      <c r="Z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 s="1" t="str">
        <f>IF(Table1[[#This Row],[Spec Type]]="","N/A",Table1[[#This Row],[Spec Type]])</f>
        <v>±</v>
      </c>
      <c r="AC55" s="1" t="str">
        <f>IF(Table1[[#This Row],[Spec Type2]]="N/A","N/A",IF(AND(Table1[[#This Row],[DUT Adj Read]]&gt;=Table1[[#This Row],[Low Tol]],Table1[[#This Row],[DUT Adj Read]]&lt;=Table1[[#This Row],[High Tol]]),"Pass","Fail"))</f>
        <v>Fail</v>
      </c>
      <c r="AD55" s="1" t="str">
        <f>IF(AND(Table1[[#This Row],[Spec Type2]]="N/A",Table1[[#This Row],[DUT Adj Read]]="N/A",Table1[[#This Row],[Std Adj Read]]="N/A"),"N/A",IF(Table1[[#This Row],[DUT Adj Read]]="N/A",IF(Table1[[#This Row],[Std Adj Read]]&gt;Table1[[#This Row],[Low Tol]],"Pass","Fail"),IF(Table1[[#This Row],[DUT Adj Read]]&gt;Table1[[#This Row],[Low Tol]],"Pass","Fail")))</f>
        <v>Pass</v>
      </c>
      <c r="AE55" s="1" t="str">
        <f>IF(AND(Table1[[#This Row],[Spec Type2]]="N/A",Table1[[#This Row],[DUT Adj Read]]="N/A",Table1[[#This Row],[Std Adj Read]]="N/A"),"N/A",IF(Table1[[#This Row],[DUT Adj Read]]="N/A",IF(Table1[[#This Row],[Std Adj Read]]&lt;Table1[[#This Row],[High Tol]],"Pass","Fail"),IF(Table1[[#This Row],[DUT Adj Read]]&lt;Table1[[#This Row],[High Tol]],"Pass","Fail")))</f>
        <v>Fail</v>
      </c>
      <c r="AF55" s="1" t="str">
        <f>IF(AND(Table1[[#This Row],[Spec Type2]]="N/A",Table1[[#This Row],[DUT Adj Read]]="N/A",Table1[[#This Row],[Std Adj Read]]="N/A"),"N/A",IF(Table1[[#This Row],[DUT Adj Read]]="N/A",IF(Table1[[#This Row],[Std Adj Read]]&gt;=Table1[[#This Row],[Low Tol]],"Pass","Fail"),IF(Table1[[#This Row],[DUT Adj Read]]&gt;=Table1[[#This Row],[Low Tol]],"Pass","Fail")))</f>
        <v>Pass</v>
      </c>
      <c r="AG55" s="1" t="str">
        <f>IF(AND(Table1[[#This Row],[Spec Type2]]="N/A",Table1[[#This Row],[DUT Adj Read]]="N/A",Table1[[#This Row],[Std Adj Read]]="N/A"),"N/A",IF(Table1[[#This Row],[DUT Adj Read]]="N/A",IF(Table1[[#This Row],[Std Adj Read]]&lt;=Table1[[#This Row],[High Tol]],"Pass","Fail"),IF(Table1[[#This Row],[DUT Adj Read]]&lt;=Table1[[#This Row],[High Tol]],"Pass","Fail")))</f>
        <v>Fail</v>
      </c>
      <c r="AH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 s="1" t="b">
        <v>0</v>
      </c>
      <c r="AN55" s="1" t="b">
        <v>0</v>
      </c>
      <c r="AO55" s="1" t="b">
        <v>0</v>
      </c>
    </row>
    <row r="56" spans="1:41" x14ac:dyDescent="0.25">
      <c r="A56" s="10"/>
      <c r="B56" s="10"/>
      <c r="C56" s="10"/>
      <c r="D56" s="10"/>
      <c r="E56" s="10"/>
      <c r="F56" s="10"/>
      <c r="G56" s="10"/>
      <c r="H56" s="10"/>
      <c r="I56" s="1" t="str">
        <f t="shared" si="2"/>
        <v/>
      </c>
      <c r="J56" s="1" t="s">
        <v>35</v>
      </c>
      <c r="K56" s="1" t="str">
        <f t="shared" si="0"/>
        <v/>
      </c>
      <c r="L56" s="1" t="str">
        <f t="shared" si="1"/>
        <v/>
      </c>
      <c r="M56" s="1">
        <f>IF(OR(Table1[[#This Row],[Std Nom]]="",Table1[[#This Row],[Std Read]]=""),0,Table1[[#This Row],[Std Nom]]-Table1[[#This Row],[Std Read]])</f>
        <v>0</v>
      </c>
      <c r="N56" s="1">
        <f>IF(Calculations!$F$5="ACCREDITED 17025 WITH UNCERTAINTIES",$N$10,0)</f>
        <v>0</v>
      </c>
      <c r="Q56" s="1">
        <f>Table1[[#This Row],[High Tol]]-Table1[[#This Row],[Low Tol]]</f>
        <v>0</v>
      </c>
      <c r="R56" s="1">
        <f>2*Table1[[#This Row],[Std Error]]</f>
        <v>0</v>
      </c>
      <c r="S56" s="1" t="str">
        <f>IF(Table1[[#This Row],[High Tol]]="","N/A",IFERROR(ABS(Table1[[#This Row],[Tol Span]]/Table1[[#This Row],[Error Span]]),"N/A"))</f>
        <v>N/A</v>
      </c>
      <c r="T56" s="1" t="str">
        <f>IF(OR(Table1[[#This Row],[Low Tol]]="",Table1[[#This Row],[High Tol]]=""),"Needs Analysis",IF(Table1[[#This Row],[Ratio]]&gt;=4,"Not Significant",IF(Table1[[#This Row],[Ratio]]&gt;=2,"Semi-Significant","Significant")))</f>
        <v>Needs Analysis</v>
      </c>
      <c r="W56" s="1">
        <f>IF(Table1[[#This Row],[Cal Type]]&lt;&gt;"ACCREDITED 17025 WITH UNCERTAINTIES",0,"")</f>
        <v>0</v>
      </c>
      <c r="X56" s="1" t="str">
        <f>IF(Table1[[#This Row],[DUT Read]]="","N/A",Table1[[#This Row],[Std Error]]+Table1[[#This Row],[DUT Read]]+Table1[[#This Row],[DUT Ucty]])</f>
        <v>N/A</v>
      </c>
      <c r="Y56" s="1" t="str">
        <f>IF(Table1[[#This Row],[Std Read]]="","N/A",Table1[[#This Row],[Std Read]]+Table1[[#This Row],[Std Ucty]])</f>
        <v>N/A</v>
      </c>
      <c r="Z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 s="1" t="str">
        <f>IF(Table1[[#This Row],[Spec Type]]="","N/A",Table1[[#This Row],[Spec Type]])</f>
        <v>±</v>
      </c>
      <c r="AC56" s="1" t="str">
        <f>IF(Table1[[#This Row],[Spec Type2]]="N/A","N/A",IF(AND(Table1[[#This Row],[DUT Adj Read]]&gt;=Table1[[#This Row],[Low Tol]],Table1[[#This Row],[DUT Adj Read]]&lt;=Table1[[#This Row],[High Tol]]),"Pass","Fail"))</f>
        <v>Fail</v>
      </c>
      <c r="AD56" s="1" t="str">
        <f>IF(AND(Table1[[#This Row],[Spec Type2]]="N/A",Table1[[#This Row],[DUT Adj Read]]="N/A",Table1[[#This Row],[Std Adj Read]]="N/A"),"N/A",IF(Table1[[#This Row],[DUT Adj Read]]="N/A",IF(Table1[[#This Row],[Std Adj Read]]&gt;Table1[[#This Row],[Low Tol]],"Pass","Fail"),IF(Table1[[#This Row],[DUT Adj Read]]&gt;Table1[[#This Row],[Low Tol]],"Pass","Fail")))</f>
        <v>Pass</v>
      </c>
      <c r="AE56" s="1" t="str">
        <f>IF(AND(Table1[[#This Row],[Spec Type2]]="N/A",Table1[[#This Row],[DUT Adj Read]]="N/A",Table1[[#This Row],[Std Adj Read]]="N/A"),"N/A",IF(Table1[[#This Row],[DUT Adj Read]]="N/A",IF(Table1[[#This Row],[Std Adj Read]]&lt;Table1[[#This Row],[High Tol]],"Pass","Fail"),IF(Table1[[#This Row],[DUT Adj Read]]&lt;Table1[[#This Row],[High Tol]],"Pass","Fail")))</f>
        <v>Fail</v>
      </c>
      <c r="AF56" s="1" t="str">
        <f>IF(AND(Table1[[#This Row],[Spec Type2]]="N/A",Table1[[#This Row],[DUT Adj Read]]="N/A",Table1[[#This Row],[Std Adj Read]]="N/A"),"N/A",IF(Table1[[#This Row],[DUT Adj Read]]="N/A",IF(Table1[[#This Row],[Std Adj Read]]&gt;=Table1[[#This Row],[Low Tol]],"Pass","Fail"),IF(Table1[[#This Row],[DUT Adj Read]]&gt;=Table1[[#This Row],[Low Tol]],"Pass","Fail")))</f>
        <v>Pass</v>
      </c>
      <c r="AG56" s="1" t="str">
        <f>IF(AND(Table1[[#This Row],[Spec Type2]]="N/A",Table1[[#This Row],[DUT Adj Read]]="N/A",Table1[[#This Row],[Std Adj Read]]="N/A"),"N/A",IF(Table1[[#This Row],[DUT Adj Read]]="N/A",IF(Table1[[#This Row],[Std Adj Read]]&lt;=Table1[[#This Row],[High Tol]],"Pass","Fail"),IF(Table1[[#This Row],[DUT Adj Read]]&lt;=Table1[[#This Row],[High Tol]],"Pass","Fail")))</f>
        <v>Fail</v>
      </c>
      <c r="AH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 s="1" t="b">
        <v>0</v>
      </c>
      <c r="AN56" s="1" t="b">
        <v>0</v>
      </c>
      <c r="AO56" s="1" t="b">
        <v>0</v>
      </c>
    </row>
    <row r="57" spans="1:41" x14ac:dyDescent="0.25">
      <c r="A57" s="10"/>
      <c r="B57" s="10"/>
      <c r="C57" s="10"/>
      <c r="D57" s="10"/>
      <c r="E57" s="10"/>
      <c r="F57" s="10"/>
      <c r="G57" s="10"/>
      <c r="H57" s="10"/>
      <c r="I57" s="1" t="str">
        <f t="shared" si="2"/>
        <v/>
      </c>
      <c r="J57" s="1" t="s">
        <v>35</v>
      </c>
      <c r="K57" s="1" t="str">
        <f t="shared" si="0"/>
        <v/>
      </c>
      <c r="L57" s="1" t="str">
        <f t="shared" si="1"/>
        <v/>
      </c>
      <c r="M57" s="1">
        <f>IF(OR(Table1[[#This Row],[Std Nom]]="",Table1[[#This Row],[Std Read]]=""),0,Table1[[#This Row],[Std Nom]]-Table1[[#This Row],[Std Read]])</f>
        <v>0</v>
      </c>
      <c r="N57" s="1">
        <f>IF(Calculations!$F$5="ACCREDITED 17025 WITH UNCERTAINTIES",$N$10,0)</f>
        <v>0</v>
      </c>
      <c r="Q57" s="1">
        <f>Table1[[#This Row],[High Tol]]-Table1[[#This Row],[Low Tol]]</f>
        <v>0</v>
      </c>
      <c r="R57" s="1">
        <f>2*Table1[[#This Row],[Std Error]]</f>
        <v>0</v>
      </c>
      <c r="S57" s="1" t="str">
        <f>IF(Table1[[#This Row],[High Tol]]="","N/A",IFERROR(ABS(Table1[[#This Row],[Tol Span]]/Table1[[#This Row],[Error Span]]),"N/A"))</f>
        <v>N/A</v>
      </c>
      <c r="T57" s="1" t="str">
        <f>IF(OR(Table1[[#This Row],[Low Tol]]="",Table1[[#This Row],[High Tol]]=""),"Needs Analysis",IF(Table1[[#This Row],[Ratio]]&gt;=4,"Not Significant",IF(Table1[[#This Row],[Ratio]]&gt;=2,"Semi-Significant","Significant")))</f>
        <v>Needs Analysis</v>
      </c>
      <c r="W57" s="1">
        <f>IF(Table1[[#This Row],[Cal Type]]&lt;&gt;"ACCREDITED 17025 WITH UNCERTAINTIES",0,"")</f>
        <v>0</v>
      </c>
      <c r="X57" s="1" t="str">
        <f>IF(Table1[[#This Row],[DUT Read]]="","N/A",Table1[[#This Row],[Std Error]]+Table1[[#This Row],[DUT Read]]+Table1[[#This Row],[DUT Ucty]])</f>
        <v>N/A</v>
      </c>
      <c r="Y57" s="1" t="str">
        <f>IF(Table1[[#This Row],[Std Read]]="","N/A",Table1[[#This Row],[Std Read]]+Table1[[#This Row],[Std Ucty]])</f>
        <v>N/A</v>
      </c>
      <c r="Z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 s="1" t="str">
        <f>IF(Table1[[#This Row],[Spec Type]]="","N/A",Table1[[#This Row],[Spec Type]])</f>
        <v>±</v>
      </c>
      <c r="AC57" s="1" t="str">
        <f>IF(Table1[[#This Row],[Spec Type2]]="N/A","N/A",IF(AND(Table1[[#This Row],[DUT Adj Read]]&gt;=Table1[[#This Row],[Low Tol]],Table1[[#This Row],[DUT Adj Read]]&lt;=Table1[[#This Row],[High Tol]]),"Pass","Fail"))</f>
        <v>Fail</v>
      </c>
      <c r="AD57" s="1" t="str">
        <f>IF(AND(Table1[[#This Row],[Spec Type2]]="N/A",Table1[[#This Row],[DUT Adj Read]]="N/A",Table1[[#This Row],[Std Adj Read]]="N/A"),"N/A",IF(Table1[[#This Row],[DUT Adj Read]]="N/A",IF(Table1[[#This Row],[Std Adj Read]]&gt;Table1[[#This Row],[Low Tol]],"Pass","Fail"),IF(Table1[[#This Row],[DUT Adj Read]]&gt;Table1[[#This Row],[Low Tol]],"Pass","Fail")))</f>
        <v>Pass</v>
      </c>
      <c r="AE57" s="1" t="str">
        <f>IF(AND(Table1[[#This Row],[Spec Type2]]="N/A",Table1[[#This Row],[DUT Adj Read]]="N/A",Table1[[#This Row],[Std Adj Read]]="N/A"),"N/A",IF(Table1[[#This Row],[DUT Adj Read]]="N/A",IF(Table1[[#This Row],[Std Adj Read]]&lt;Table1[[#This Row],[High Tol]],"Pass","Fail"),IF(Table1[[#This Row],[DUT Adj Read]]&lt;Table1[[#This Row],[High Tol]],"Pass","Fail")))</f>
        <v>Fail</v>
      </c>
      <c r="AF57" s="1" t="str">
        <f>IF(AND(Table1[[#This Row],[Spec Type2]]="N/A",Table1[[#This Row],[DUT Adj Read]]="N/A",Table1[[#This Row],[Std Adj Read]]="N/A"),"N/A",IF(Table1[[#This Row],[DUT Adj Read]]="N/A",IF(Table1[[#This Row],[Std Adj Read]]&gt;=Table1[[#This Row],[Low Tol]],"Pass","Fail"),IF(Table1[[#This Row],[DUT Adj Read]]&gt;=Table1[[#This Row],[Low Tol]],"Pass","Fail")))</f>
        <v>Pass</v>
      </c>
      <c r="AG57" s="1" t="str">
        <f>IF(AND(Table1[[#This Row],[Spec Type2]]="N/A",Table1[[#This Row],[DUT Adj Read]]="N/A",Table1[[#This Row],[Std Adj Read]]="N/A"),"N/A",IF(Table1[[#This Row],[DUT Adj Read]]="N/A",IF(Table1[[#This Row],[Std Adj Read]]&lt;=Table1[[#This Row],[High Tol]],"Pass","Fail"),IF(Table1[[#This Row],[DUT Adj Read]]&lt;=Table1[[#This Row],[High Tol]],"Pass","Fail")))</f>
        <v>Fail</v>
      </c>
      <c r="AH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 s="1" t="b">
        <v>0</v>
      </c>
      <c r="AN57" s="1" t="b">
        <v>0</v>
      </c>
      <c r="AO57" s="1" t="b">
        <v>0</v>
      </c>
    </row>
    <row r="58" spans="1:41" x14ac:dyDescent="0.25">
      <c r="A58" s="10"/>
      <c r="B58" s="10"/>
      <c r="C58" s="10"/>
      <c r="D58" s="10"/>
      <c r="E58" s="10"/>
      <c r="F58" s="10"/>
      <c r="G58" s="10"/>
      <c r="H58" s="10"/>
      <c r="I58" s="1" t="str">
        <f t="shared" si="2"/>
        <v/>
      </c>
      <c r="J58" s="1" t="s">
        <v>35</v>
      </c>
      <c r="K58" s="1" t="str">
        <f t="shared" si="0"/>
        <v/>
      </c>
      <c r="L58" s="1" t="str">
        <f t="shared" si="1"/>
        <v/>
      </c>
      <c r="M58" s="1">
        <f>IF(OR(Table1[[#This Row],[Std Nom]]="",Table1[[#This Row],[Std Read]]=""),0,Table1[[#This Row],[Std Nom]]-Table1[[#This Row],[Std Read]])</f>
        <v>0</v>
      </c>
      <c r="N58" s="1">
        <f>IF(Calculations!$F$5="ACCREDITED 17025 WITH UNCERTAINTIES",$N$10,0)</f>
        <v>0</v>
      </c>
      <c r="Q58" s="1">
        <f>Table1[[#This Row],[High Tol]]-Table1[[#This Row],[Low Tol]]</f>
        <v>0</v>
      </c>
      <c r="R58" s="1">
        <f>2*Table1[[#This Row],[Std Error]]</f>
        <v>0</v>
      </c>
      <c r="S58" s="1" t="str">
        <f>IF(Table1[[#This Row],[High Tol]]="","N/A",IFERROR(ABS(Table1[[#This Row],[Tol Span]]/Table1[[#This Row],[Error Span]]),"N/A"))</f>
        <v>N/A</v>
      </c>
      <c r="T58" s="1" t="str">
        <f>IF(OR(Table1[[#This Row],[Low Tol]]="",Table1[[#This Row],[High Tol]]=""),"Needs Analysis",IF(Table1[[#This Row],[Ratio]]&gt;=4,"Not Significant",IF(Table1[[#This Row],[Ratio]]&gt;=2,"Semi-Significant","Significant")))</f>
        <v>Needs Analysis</v>
      </c>
      <c r="W58" s="1">
        <f>IF(Table1[[#This Row],[Cal Type]]&lt;&gt;"ACCREDITED 17025 WITH UNCERTAINTIES",0,"")</f>
        <v>0</v>
      </c>
      <c r="X58" s="1" t="str">
        <f>IF(Table1[[#This Row],[DUT Read]]="","N/A",Table1[[#This Row],[Std Error]]+Table1[[#This Row],[DUT Read]]+Table1[[#This Row],[DUT Ucty]])</f>
        <v>N/A</v>
      </c>
      <c r="Y58" s="1" t="str">
        <f>IF(Table1[[#This Row],[Std Read]]="","N/A",Table1[[#This Row],[Std Read]]+Table1[[#This Row],[Std Ucty]])</f>
        <v>N/A</v>
      </c>
      <c r="Z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 s="1" t="str">
        <f>IF(Table1[[#This Row],[Spec Type]]="","N/A",Table1[[#This Row],[Spec Type]])</f>
        <v>±</v>
      </c>
      <c r="AC58" s="1" t="str">
        <f>IF(Table1[[#This Row],[Spec Type2]]="N/A","N/A",IF(AND(Table1[[#This Row],[DUT Adj Read]]&gt;=Table1[[#This Row],[Low Tol]],Table1[[#This Row],[DUT Adj Read]]&lt;=Table1[[#This Row],[High Tol]]),"Pass","Fail"))</f>
        <v>Fail</v>
      </c>
      <c r="AD58" s="1" t="str">
        <f>IF(AND(Table1[[#This Row],[Spec Type2]]="N/A",Table1[[#This Row],[DUT Adj Read]]="N/A",Table1[[#This Row],[Std Adj Read]]="N/A"),"N/A",IF(Table1[[#This Row],[DUT Adj Read]]="N/A",IF(Table1[[#This Row],[Std Adj Read]]&gt;Table1[[#This Row],[Low Tol]],"Pass","Fail"),IF(Table1[[#This Row],[DUT Adj Read]]&gt;Table1[[#This Row],[Low Tol]],"Pass","Fail")))</f>
        <v>Pass</v>
      </c>
      <c r="AE58" s="1" t="str">
        <f>IF(AND(Table1[[#This Row],[Spec Type2]]="N/A",Table1[[#This Row],[DUT Adj Read]]="N/A",Table1[[#This Row],[Std Adj Read]]="N/A"),"N/A",IF(Table1[[#This Row],[DUT Adj Read]]="N/A",IF(Table1[[#This Row],[Std Adj Read]]&lt;Table1[[#This Row],[High Tol]],"Pass","Fail"),IF(Table1[[#This Row],[DUT Adj Read]]&lt;Table1[[#This Row],[High Tol]],"Pass","Fail")))</f>
        <v>Fail</v>
      </c>
      <c r="AF58" s="1" t="str">
        <f>IF(AND(Table1[[#This Row],[Spec Type2]]="N/A",Table1[[#This Row],[DUT Adj Read]]="N/A",Table1[[#This Row],[Std Adj Read]]="N/A"),"N/A",IF(Table1[[#This Row],[DUT Adj Read]]="N/A",IF(Table1[[#This Row],[Std Adj Read]]&gt;=Table1[[#This Row],[Low Tol]],"Pass","Fail"),IF(Table1[[#This Row],[DUT Adj Read]]&gt;=Table1[[#This Row],[Low Tol]],"Pass","Fail")))</f>
        <v>Pass</v>
      </c>
      <c r="AG58" s="1" t="str">
        <f>IF(AND(Table1[[#This Row],[Spec Type2]]="N/A",Table1[[#This Row],[DUT Adj Read]]="N/A",Table1[[#This Row],[Std Adj Read]]="N/A"),"N/A",IF(Table1[[#This Row],[DUT Adj Read]]="N/A",IF(Table1[[#This Row],[Std Adj Read]]&lt;=Table1[[#This Row],[High Tol]],"Pass","Fail"),IF(Table1[[#This Row],[DUT Adj Read]]&lt;=Table1[[#This Row],[High Tol]],"Pass","Fail")))</f>
        <v>Fail</v>
      </c>
      <c r="AH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 s="1" t="b">
        <v>0</v>
      </c>
      <c r="AN58" s="1" t="b">
        <v>0</v>
      </c>
      <c r="AO58" s="1" t="b">
        <v>0</v>
      </c>
    </row>
    <row r="59" spans="1:41" x14ac:dyDescent="0.25">
      <c r="A59" s="10"/>
      <c r="B59" s="10"/>
      <c r="C59" s="10"/>
      <c r="D59" s="10"/>
      <c r="E59" s="10"/>
      <c r="F59" s="10"/>
      <c r="G59" s="10"/>
      <c r="H59" s="10"/>
      <c r="I59" s="1" t="str">
        <f t="shared" si="2"/>
        <v/>
      </c>
      <c r="J59" s="1" t="s">
        <v>35</v>
      </c>
      <c r="K59" s="1" t="str">
        <f t="shared" si="0"/>
        <v/>
      </c>
      <c r="L59" s="1" t="str">
        <f t="shared" si="1"/>
        <v/>
      </c>
      <c r="M59" s="1">
        <f>IF(OR(Table1[[#This Row],[Std Nom]]="",Table1[[#This Row],[Std Read]]=""),0,Table1[[#This Row],[Std Nom]]-Table1[[#This Row],[Std Read]])</f>
        <v>0</v>
      </c>
      <c r="N59" s="1">
        <f>IF(Calculations!$F$5="ACCREDITED 17025 WITH UNCERTAINTIES",$N$10,0)</f>
        <v>0</v>
      </c>
      <c r="Q59" s="1">
        <f>Table1[[#This Row],[High Tol]]-Table1[[#This Row],[Low Tol]]</f>
        <v>0</v>
      </c>
      <c r="R59" s="1">
        <f>2*Table1[[#This Row],[Std Error]]</f>
        <v>0</v>
      </c>
      <c r="S59" s="1" t="str">
        <f>IF(Table1[[#This Row],[High Tol]]="","N/A",IFERROR(ABS(Table1[[#This Row],[Tol Span]]/Table1[[#This Row],[Error Span]]),"N/A"))</f>
        <v>N/A</v>
      </c>
      <c r="T59" s="1" t="str">
        <f>IF(OR(Table1[[#This Row],[Low Tol]]="",Table1[[#This Row],[High Tol]]=""),"Needs Analysis",IF(Table1[[#This Row],[Ratio]]&gt;=4,"Not Significant",IF(Table1[[#This Row],[Ratio]]&gt;=2,"Semi-Significant","Significant")))</f>
        <v>Needs Analysis</v>
      </c>
      <c r="W59" s="1">
        <f>IF(Table1[[#This Row],[Cal Type]]&lt;&gt;"ACCREDITED 17025 WITH UNCERTAINTIES",0,"")</f>
        <v>0</v>
      </c>
      <c r="X59" s="1" t="str">
        <f>IF(Table1[[#This Row],[DUT Read]]="","N/A",Table1[[#This Row],[Std Error]]+Table1[[#This Row],[DUT Read]]+Table1[[#This Row],[DUT Ucty]])</f>
        <v>N/A</v>
      </c>
      <c r="Y59" s="1" t="str">
        <f>IF(Table1[[#This Row],[Std Read]]="","N/A",Table1[[#This Row],[Std Read]]+Table1[[#This Row],[Std Ucty]])</f>
        <v>N/A</v>
      </c>
      <c r="Z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 s="1" t="str">
        <f>IF(Table1[[#This Row],[Spec Type]]="","N/A",Table1[[#This Row],[Spec Type]])</f>
        <v>±</v>
      </c>
      <c r="AC59" s="1" t="str">
        <f>IF(Table1[[#This Row],[Spec Type2]]="N/A","N/A",IF(AND(Table1[[#This Row],[DUT Adj Read]]&gt;=Table1[[#This Row],[Low Tol]],Table1[[#This Row],[DUT Adj Read]]&lt;=Table1[[#This Row],[High Tol]]),"Pass","Fail"))</f>
        <v>Fail</v>
      </c>
      <c r="AD59" s="1" t="str">
        <f>IF(AND(Table1[[#This Row],[Spec Type2]]="N/A",Table1[[#This Row],[DUT Adj Read]]="N/A",Table1[[#This Row],[Std Adj Read]]="N/A"),"N/A",IF(Table1[[#This Row],[DUT Adj Read]]="N/A",IF(Table1[[#This Row],[Std Adj Read]]&gt;Table1[[#This Row],[Low Tol]],"Pass","Fail"),IF(Table1[[#This Row],[DUT Adj Read]]&gt;Table1[[#This Row],[Low Tol]],"Pass","Fail")))</f>
        <v>Pass</v>
      </c>
      <c r="AE59" s="1" t="str">
        <f>IF(AND(Table1[[#This Row],[Spec Type2]]="N/A",Table1[[#This Row],[DUT Adj Read]]="N/A",Table1[[#This Row],[Std Adj Read]]="N/A"),"N/A",IF(Table1[[#This Row],[DUT Adj Read]]="N/A",IF(Table1[[#This Row],[Std Adj Read]]&lt;Table1[[#This Row],[High Tol]],"Pass","Fail"),IF(Table1[[#This Row],[DUT Adj Read]]&lt;Table1[[#This Row],[High Tol]],"Pass","Fail")))</f>
        <v>Fail</v>
      </c>
      <c r="AF59" s="1" t="str">
        <f>IF(AND(Table1[[#This Row],[Spec Type2]]="N/A",Table1[[#This Row],[DUT Adj Read]]="N/A",Table1[[#This Row],[Std Adj Read]]="N/A"),"N/A",IF(Table1[[#This Row],[DUT Adj Read]]="N/A",IF(Table1[[#This Row],[Std Adj Read]]&gt;=Table1[[#This Row],[Low Tol]],"Pass","Fail"),IF(Table1[[#This Row],[DUT Adj Read]]&gt;=Table1[[#This Row],[Low Tol]],"Pass","Fail")))</f>
        <v>Pass</v>
      </c>
      <c r="AG59" s="1" t="str">
        <f>IF(AND(Table1[[#This Row],[Spec Type2]]="N/A",Table1[[#This Row],[DUT Adj Read]]="N/A",Table1[[#This Row],[Std Adj Read]]="N/A"),"N/A",IF(Table1[[#This Row],[DUT Adj Read]]="N/A",IF(Table1[[#This Row],[Std Adj Read]]&lt;=Table1[[#This Row],[High Tol]],"Pass","Fail"),IF(Table1[[#This Row],[DUT Adj Read]]&lt;=Table1[[#This Row],[High Tol]],"Pass","Fail")))</f>
        <v>Fail</v>
      </c>
      <c r="AH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 s="1" t="b">
        <v>0</v>
      </c>
      <c r="AN59" s="1" t="b">
        <v>0</v>
      </c>
      <c r="AO59" s="1" t="b">
        <v>0</v>
      </c>
    </row>
    <row r="60" spans="1:41" x14ac:dyDescent="0.25">
      <c r="A60" s="10"/>
      <c r="B60" s="10"/>
      <c r="C60" s="10"/>
      <c r="D60" s="10"/>
      <c r="E60" s="10"/>
      <c r="F60" s="10"/>
      <c r="G60" s="10"/>
      <c r="H60" s="10"/>
      <c r="I60" s="1" t="str">
        <f t="shared" si="2"/>
        <v/>
      </c>
      <c r="J60" s="1" t="s">
        <v>35</v>
      </c>
      <c r="K60" s="1" t="str">
        <f t="shared" si="0"/>
        <v/>
      </c>
      <c r="L60" s="1" t="str">
        <f t="shared" si="1"/>
        <v/>
      </c>
      <c r="M60" s="1">
        <f>IF(OR(Table1[[#This Row],[Std Nom]]="",Table1[[#This Row],[Std Read]]=""),0,Table1[[#This Row],[Std Nom]]-Table1[[#This Row],[Std Read]])</f>
        <v>0</v>
      </c>
      <c r="N60" s="1">
        <f>IF(Calculations!$F$5="ACCREDITED 17025 WITH UNCERTAINTIES",$N$10,0)</f>
        <v>0</v>
      </c>
      <c r="Q60" s="1">
        <f>Table1[[#This Row],[High Tol]]-Table1[[#This Row],[Low Tol]]</f>
        <v>0</v>
      </c>
      <c r="R60" s="1">
        <f>2*Table1[[#This Row],[Std Error]]</f>
        <v>0</v>
      </c>
      <c r="S60" s="1" t="str">
        <f>IF(Table1[[#This Row],[High Tol]]="","N/A",IFERROR(ABS(Table1[[#This Row],[Tol Span]]/Table1[[#This Row],[Error Span]]),"N/A"))</f>
        <v>N/A</v>
      </c>
      <c r="T60" s="1" t="str">
        <f>IF(OR(Table1[[#This Row],[Low Tol]]="",Table1[[#This Row],[High Tol]]=""),"Needs Analysis",IF(Table1[[#This Row],[Ratio]]&gt;=4,"Not Significant",IF(Table1[[#This Row],[Ratio]]&gt;=2,"Semi-Significant","Significant")))</f>
        <v>Needs Analysis</v>
      </c>
      <c r="W60" s="1">
        <f>IF(Table1[[#This Row],[Cal Type]]&lt;&gt;"ACCREDITED 17025 WITH UNCERTAINTIES",0,"")</f>
        <v>0</v>
      </c>
      <c r="X60" s="1" t="str">
        <f>IF(Table1[[#This Row],[DUT Read]]="","N/A",Table1[[#This Row],[Std Error]]+Table1[[#This Row],[DUT Read]]+Table1[[#This Row],[DUT Ucty]])</f>
        <v>N/A</v>
      </c>
      <c r="Y60" s="1" t="str">
        <f>IF(Table1[[#This Row],[Std Read]]="","N/A",Table1[[#This Row],[Std Read]]+Table1[[#This Row],[Std Ucty]])</f>
        <v>N/A</v>
      </c>
      <c r="Z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 s="1" t="str">
        <f>IF(Table1[[#This Row],[Spec Type]]="","N/A",Table1[[#This Row],[Spec Type]])</f>
        <v>±</v>
      </c>
      <c r="AC60" s="1" t="str">
        <f>IF(Table1[[#This Row],[Spec Type2]]="N/A","N/A",IF(AND(Table1[[#This Row],[DUT Adj Read]]&gt;=Table1[[#This Row],[Low Tol]],Table1[[#This Row],[DUT Adj Read]]&lt;=Table1[[#This Row],[High Tol]]),"Pass","Fail"))</f>
        <v>Fail</v>
      </c>
      <c r="AD60" s="1" t="str">
        <f>IF(AND(Table1[[#This Row],[Spec Type2]]="N/A",Table1[[#This Row],[DUT Adj Read]]="N/A",Table1[[#This Row],[Std Adj Read]]="N/A"),"N/A",IF(Table1[[#This Row],[DUT Adj Read]]="N/A",IF(Table1[[#This Row],[Std Adj Read]]&gt;Table1[[#This Row],[Low Tol]],"Pass","Fail"),IF(Table1[[#This Row],[DUT Adj Read]]&gt;Table1[[#This Row],[Low Tol]],"Pass","Fail")))</f>
        <v>Pass</v>
      </c>
      <c r="AE60" s="1" t="str">
        <f>IF(AND(Table1[[#This Row],[Spec Type2]]="N/A",Table1[[#This Row],[DUT Adj Read]]="N/A",Table1[[#This Row],[Std Adj Read]]="N/A"),"N/A",IF(Table1[[#This Row],[DUT Adj Read]]="N/A",IF(Table1[[#This Row],[Std Adj Read]]&lt;Table1[[#This Row],[High Tol]],"Pass","Fail"),IF(Table1[[#This Row],[DUT Adj Read]]&lt;Table1[[#This Row],[High Tol]],"Pass","Fail")))</f>
        <v>Fail</v>
      </c>
      <c r="AF60" s="1" t="str">
        <f>IF(AND(Table1[[#This Row],[Spec Type2]]="N/A",Table1[[#This Row],[DUT Adj Read]]="N/A",Table1[[#This Row],[Std Adj Read]]="N/A"),"N/A",IF(Table1[[#This Row],[DUT Adj Read]]="N/A",IF(Table1[[#This Row],[Std Adj Read]]&gt;=Table1[[#This Row],[Low Tol]],"Pass","Fail"),IF(Table1[[#This Row],[DUT Adj Read]]&gt;=Table1[[#This Row],[Low Tol]],"Pass","Fail")))</f>
        <v>Pass</v>
      </c>
      <c r="AG60" s="1" t="str">
        <f>IF(AND(Table1[[#This Row],[Spec Type2]]="N/A",Table1[[#This Row],[DUT Adj Read]]="N/A",Table1[[#This Row],[Std Adj Read]]="N/A"),"N/A",IF(Table1[[#This Row],[DUT Adj Read]]="N/A",IF(Table1[[#This Row],[Std Adj Read]]&lt;=Table1[[#This Row],[High Tol]],"Pass","Fail"),IF(Table1[[#This Row],[DUT Adj Read]]&lt;=Table1[[#This Row],[High Tol]],"Pass","Fail")))</f>
        <v>Fail</v>
      </c>
      <c r="AH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 s="1" t="b">
        <v>0</v>
      </c>
      <c r="AN60" s="1" t="b">
        <v>0</v>
      </c>
      <c r="AO60" s="1" t="b">
        <v>0</v>
      </c>
    </row>
    <row r="61" spans="1:41" x14ac:dyDescent="0.25">
      <c r="A61" s="10"/>
      <c r="B61" s="10"/>
      <c r="C61" s="10"/>
      <c r="D61" s="10"/>
      <c r="E61" s="10"/>
      <c r="F61" s="10"/>
      <c r="G61" s="10"/>
      <c r="H61" s="10"/>
      <c r="I61" s="1" t="str">
        <f t="shared" si="2"/>
        <v/>
      </c>
      <c r="J61" s="1" t="s">
        <v>35</v>
      </c>
      <c r="K61" s="1" t="str">
        <f t="shared" si="0"/>
        <v/>
      </c>
      <c r="L61" s="1" t="str">
        <f t="shared" si="1"/>
        <v/>
      </c>
      <c r="M61" s="1">
        <f>IF(OR(Table1[[#This Row],[Std Nom]]="",Table1[[#This Row],[Std Read]]=""),0,Table1[[#This Row],[Std Nom]]-Table1[[#This Row],[Std Read]])</f>
        <v>0</v>
      </c>
      <c r="N61" s="1">
        <f>IF(Calculations!$F$5="ACCREDITED 17025 WITH UNCERTAINTIES",$N$10,0)</f>
        <v>0</v>
      </c>
      <c r="Q61" s="1">
        <f>Table1[[#This Row],[High Tol]]-Table1[[#This Row],[Low Tol]]</f>
        <v>0</v>
      </c>
      <c r="R61" s="1">
        <f>2*Table1[[#This Row],[Std Error]]</f>
        <v>0</v>
      </c>
      <c r="S61" s="1" t="str">
        <f>IF(Table1[[#This Row],[High Tol]]="","N/A",IFERROR(ABS(Table1[[#This Row],[Tol Span]]/Table1[[#This Row],[Error Span]]),"N/A"))</f>
        <v>N/A</v>
      </c>
      <c r="T61" s="1" t="str">
        <f>IF(OR(Table1[[#This Row],[Low Tol]]="",Table1[[#This Row],[High Tol]]=""),"Needs Analysis",IF(Table1[[#This Row],[Ratio]]&gt;=4,"Not Significant",IF(Table1[[#This Row],[Ratio]]&gt;=2,"Semi-Significant","Significant")))</f>
        <v>Needs Analysis</v>
      </c>
      <c r="W61" s="1">
        <f>IF(Table1[[#This Row],[Cal Type]]&lt;&gt;"ACCREDITED 17025 WITH UNCERTAINTIES",0,"")</f>
        <v>0</v>
      </c>
      <c r="X61" s="1" t="str">
        <f>IF(Table1[[#This Row],[DUT Read]]="","N/A",Table1[[#This Row],[Std Error]]+Table1[[#This Row],[DUT Read]]+Table1[[#This Row],[DUT Ucty]])</f>
        <v>N/A</v>
      </c>
      <c r="Y61" s="1" t="str">
        <f>IF(Table1[[#This Row],[Std Read]]="","N/A",Table1[[#This Row],[Std Read]]+Table1[[#This Row],[Std Ucty]])</f>
        <v>N/A</v>
      </c>
      <c r="Z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 s="1" t="str">
        <f>IF(Table1[[#This Row],[Spec Type]]="","N/A",Table1[[#This Row],[Spec Type]])</f>
        <v>±</v>
      </c>
      <c r="AC61" s="1" t="str">
        <f>IF(Table1[[#This Row],[Spec Type2]]="N/A","N/A",IF(AND(Table1[[#This Row],[DUT Adj Read]]&gt;=Table1[[#This Row],[Low Tol]],Table1[[#This Row],[DUT Adj Read]]&lt;=Table1[[#This Row],[High Tol]]),"Pass","Fail"))</f>
        <v>Fail</v>
      </c>
      <c r="AD61" s="1" t="str">
        <f>IF(AND(Table1[[#This Row],[Spec Type2]]="N/A",Table1[[#This Row],[DUT Adj Read]]="N/A",Table1[[#This Row],[Std Adj Read]]="N/A"),"N/A",IF(Table1[[#This Row],[DUT Adj Read]]="N/A",IF(Table1[[#This Row],[Std Adj Read]]&gt;Table1[[#This Row],[Low Tol]],"Pass","Fail"),IF(Table1[[#This Row],[DUT Adj Read]]&gt;Table1[[#This Row],[Low Tol]],"Pass","Fail")))</f>
        <v>Pass</v>
      </c>
      <c r="AE61" s="1" t="str">
        <f>IF(AND(Table1[[#This Row],[Spec Type2]]="N/A",Table1[[#This Row],[DUT Adj Read]]="N/A",Table1[[#This Row],[Std Adj Read]]="N/A"),"N/A",IF(Table1[[#This Row],[DUT Adj Read]]="N/A",IF(Table1[[#This Row],[Std Adj Read]]&lt;Table1[[#This Row],[High Tol]],"Pass","Fail"),IF(Table1[[#This Row],[DUT Adj Read]]&lt;Table1[[#This Row],[High Tol]],"Pass","Fail")))</f>
        <v>Fail</v>
      </c>
      <c r="AF61" s="1" t="str">
        <f>IF(AND(Table1[[#This Row],[Spec Type2]]="N/A",Table1[[#This Row],[DUT Adj Read]]="N/A",Table1[[#This Row],[Std Adj Read]]="N/A"),"N/A",IF(Table1[[#This Row],[DUT Adj Read]]="N/A",IF(Table1[[#This Row],[Std Adj Read]]&gt;=Table1[[#This Row],[Low Tol]],"Pass","Fail"),IF(Table1[[#This Row],[DUT Adj Read]]&gt;=Table1[[#This Row],[Low Tol]],"Pass","Fail")))</f>
        <v>Pass</v>
      </c>
      <c r="AG61" s="1" t="str">
        <f>IF(AND(Table1[[#This Row],[Spec Type2]]="N/A",Table1[[#This Row],[DUT Adj Read]]="N/A",Table1[[#This Row],[Std Adj Read]]="N/A"),"N/A",IF(Table1[[#This Row],[DUT Adj Read]]="N/A",IF(Table1[[#This Row],[Std Adj Read]]&lt;=Table1[[#This Row],[High Tol]],"Pass","Fail"),IF(Table1[[#This Row],[DUT Adj Read]]&lt;=Table1[[#This Row],[High Tol]],"Pass","Fail")))</f>
        <v>Fail</v>
      </c>
      <c r="AH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 s="1" t="b">
        <v>0</v>
      </c>
      <c r="AN61" s="1" t="b">
        <v>0</v>
      </c>
      <c r="AO61" s="1" t="b">
        <v>0</v>
      </c>
    </row>
    <row r="62" spans="1:41" x14ac:dyDescent="0.25">
      <c r="A62" s="10"/>
      <c r="B62" s="10"/>
      <c r="C62" s="10"/>
      <c r="D62" s="10"/>
      <c r="E62" s="10"/>
      <c r="F62" s="10"/>
      <c r="G62" s="10"/>
      <c r="H62" s="10"/>
      <c r="I62" s="1" t="str">
        <f t="shared" si="2"/>
        <v/>
      </c>
      <c r="J62" s="1" t="s">
        <v>35</v>
      </c>
      <c r="K62" s="1" t="str">
        <f t="shared" si="0"/>
        <v/>
      </c>
      <c r="L62" s="1" t="str">
        <f t="shared" si="1"/>
        <v/>
      </c>
      <c r="M62" s="1">
        <f>IF(OR(Table1[[#This Row],[Std Nom]]="",Table1[[#This Row],[Std Read]]=""),0,Table1[[#This Row],[Std Nom]]-Table1[[#This Row],[Std Read]])</f>
        <v>0</v>
      </c>
      <c r="N62" s="1">
        <f>IF(Calculations!$F$5="ACCREDITED 17025 WITH UNCERTAINTIES",$N$10,0)</f>
        <v>0</v>
      </c>
      <c r="Q62" s="1">
        <f>Table1[[#This Row],[High Tol]]-Table1[[#This Row],[Low Tol]]</f>
        <v>0</v>
      </c>
      <c r="R62" s="1">
        <f>2*Table1[[#This Row],[Std Error]]</f>
        <v>0</v>
      </c>
      <c r="S62" s="1" t="str">
        <f>IF(Table1[[#This Row],[High Tol]]="","N/A",IFERROR(ABS(Table1[[#This Row],[Tol Span]]/Table1[[#This Row],[Error Span]]),"N/A"))</f>
        <v>N/A</v>
      </c>
      <c r="T62" s="1" t="str">
        <f>IF(OR(Table1[[#This Row],[Low Tol]]="",Table1[[#This Row],[High Tol]]=""),"Needs Analysis",IF(Table1[[#This Row],[Ratio]]&gt;=4,"Not Significant",IF(Table1[[#This Row],[Ratio]]&gt;=2,"Semi-Significant","Significant")))</f>
        <v>Needs Analysis</v>
      </c>
      <c r="W62" s="1">
        <f>IF(Table1[[#This Row],[Cal Type]]&lt;&gt;"ACCREDITED 17025 WITH UNCERTAINTIES",0,"")</f>
        <v>0</v>
      </c>
      <c r="X62" s="1" t="str">
        <f>IF(Table1[[#This Row],[DUT Read]]="","N/A",Table1[[#This Row],[Std Error]]+Table1[[#This Row],[DUT Read]]+Table1[[#This Row],[DUT Ucty]])</f>
        <v>N/A</v>
      </c>
      <c r="Y62" s="1" t="str">
        <f>IF(Table1[[#This Row],[Std Read]]="","N/A",Table1[[#This Row],[Std Read]]+Table1[[#This Row],[Std Ucty]])</f>
        <v>N/A</v>
      </c>
      <c r="Z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 s="1" t="str">
        <f>IF(Table1[[#This Row],[Spec Type]]="","N/A",Table1[[#This Row],[Spec Type]])</f>
        <v>±</v>
      </c>
      <c r="AC62" s="1" t="str">
        <f>IF(Table1[[#This Row],[Spec Type2]]="N/A","N/A",IF(AND(Table1[[#This Row],[DUT Adj Read]]&gt;=Table1[[#This Row],[Low Tol]],Table1[[#This Row],[DUT Adj Read]]&lt;=Table1[[#This Row],[High Tol]]),"Pass","Fail"))</f>
        <v>Fail</v>
      </c>
      <c r="AD62" s="1" t="str">
        <f>IF(AND(Table1[[#This Row],[Spec Type2]]="N/A",Table1[[#This Row],[DUT Adj Read]]="N/A",Table1[[#This Row],[Std Adj Read]]="N/A"),"N/A",IF(Table1[[#This Row],[DUT Adj Read]]="N/A",IF(Table1[[#This Row],[Std Adj Read]]&gt;Table1[[#This Row],[Low Tol]],"Pass","Fail"),IF(Table1[[#This Row],[DUT Adj Read]]&gt;Table1[[#This Row],[Low Tol]],"Pass","Fail")))</f>
        <v>Pass</v>
      </c>
      <c r="AE62" s="1" t="str">
        <f>IF(AND(Table1[[#This Row],[Spec Type2]]="N/A",Table1[[#This Row],[DUT Adj Read]]="N/A",Table1[[#This Row],[Std Adj Read]]="N/A"),"N/A",IF(Table1[[#This Row],[DUT Adj Read]]="N/A",IF(Table1[[#This Row],[Std Adj Read]]&lt;Table1[[#This Row],[High Tol]],"Pass","Fail"),IF(Table1[[#This Row],[DUT Adj Read]]&lt;Table1[[#This Row],[High Tol]],"Pass","Fail")))</f>
        <v>Fail</v>
      </c>
      <c r="AF62" s="1" t="str">
        <f>IF(AND(Table1[[#This Row],[Spec Type2]]="N/A",Table1[[#This Row],[DUT Adj Read]]="N/A",Table1[[#This Row],[Std Adj Read]]="N/A"),"N/A",IF(Table1[[#This Row],[DUT Adj Read]]="N/A",IF(Table1[[#This Row],[Std Adj Read]]&gt;=Table1[[#This Row],[Low Tol]],"Pass","Fail"),IF(Table1[[#This Row],[DUT Adj Read]]&gt;=Table1[[#This Row],[Low Tol]],"Pass","Fail")))</f>
        <v>Pass</v>
      </c>
      <c r="AG62" s="1" t="str">
        <f>IF(AND(Table1[[#This Row],[Spec Type2]]="N/A",Table1[[#This Row],[DUT Adj Read]]="N/A",Table1[[#This Row],[Std Adj Read]]="N/A"),"N/A",IF(Table1[[#This Row],[DUT Adj Read]]="N/A",IF(Table1[[#This Row],[Std Adj Read]]&lt;=Table1[[#This Row],[High Tol]],"Pass","Fail"),IF(Table1[[#This Row],[DUT Adj Read]]&lt;=Table1[[#This Row],[High Tol]],"Pass","Fail")))</f>
        <v>Fail</v>
      </c>
      <c r="AH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 s="1" t="b">
        <v>0</v>
      </c>
      <c r="AN62" s="1" t="b">
        <v>0</v>
      </c>
      <c r="AO62" s="1" t="b">
        <v>0</v>
      </c>
    </row>
    <row r="63" spans="1:41" x14ac:dyDescent="0.25">
      <c r="A63" s="10"/>
      <c r="B63" s="10"/>
      <c r="C63" s="10"/>
      <c r="D63" s="10"/>
      <c r="E63" s="10"/>
      <c r="F63" s="10"/>
      <c r="G63" s="10"/>
      <c r="H63" s="10"/>
      <c r="I63" s="1" t="str">
        <f t="shared" si="2"/>
        <v/>
      </c>
      <c r="J63" s="1" t="s">
        <v>35</v>
      </c>
      <c r="K63" s="1" t="str">
        <f t="shared" si="0"/>
        <v/>
      </c>
      <c r="L63" s="1" t="str">
        <f t="shared" si="1"/>
        <v/>
      </c>
      <c r="M63" s="1">
        <f>IF(OR(Table1[[#This Row],[Std Nom]]="",Table1[[#This Row],[Std Read]]=""),0,Table1[[#This Row],[Std Nom]]-Table1[[#This Row],[Std Read]])</f>
        <v>0</v>
      </c>
      <c r="N63" s="1">
        <f>IF(Calculations!$F$5="ACCREDITED 17025 WITH UNCERTAINTIES",$N$10,0)</f>
        <v>0</v>
      </c>
      <c r="Q63" s="1">
        <f>Table1[[#This Row],[High Tol]]-Table1[[#This Row],[Low Tol]]</f>
        <v>0</v>
      </c>
      <c r="R63" s="1">
        <f>2*Table1[[#This Row],[Std Error]]</f>
        <v>0</v>
      </c>
      <c r="S63" s="1" t="str">
        <f>IF(Table1[[#This Row],[High Tol]]="","N/A",IFERROR(ABS(Table1[[#This Row],[Tol Span]]/Table1[[#This Row],[Error Span]]),"N/A"))</f>
        <v>N/A</v>
      </c>
      <c r="T63" s="1" t="str">
        <f>IF(OR(Table1[[#This Row],[Low Tol]]="",Table1[[#This Row],[High Tol]]=""),"Needs Analysis",IF(Table1[[#This Row],[Ratio]]&gt;=4,"Not Significant",IF(Table1[[#This Row],[Ratio]]&gt;=2,"Semi-Significant","Significant")))</f>
        <v>Needs Analysis</v>
      </c>
      <c r="W63" s="1">
        <f>IF(Table1[[#This Row],[Cal Type]]&lt;&gt;"ACCREDITED 17025 WITH UNCERTAINTIES",0,"")</f>
        <v>0</v>
      </c>
      <c r="X63" s="1" t="str">
        <f>IF(Table1[[#This Row],[DUT Read]]="","N/A",Table1[[#This Row],[Std Error]]+Table1[[#This Row],[DUT Read]]+Table1[[#This Row],[DUT Ucty]])</f>
        <v>N/A</v>
      </c>
      <c r="Y63" s="1" t="str">
        <f>IF(Table1[[#This Row],[Std Read]]="","N/A",Table1[[#This Row],[Std Read]]+Table1[[#This Row],[Std Ucty]])</f>
        <v>N/A</v>
      </c>
      <c r="Z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 s="1" t="str">
        <f>IF(Table1[[#This Row],[Spec Type]]="","N/A",Table1[[#This Row],[Spec Type]])</f>
        <v>±</v>
      </c>
      <c r="AC63" s="1" t="str">
        <f>IF(Table1[[#This Row],[Spec Type2]]="N/A","N/A",IF(AND(Table1[[#This Row],[DUT Adj Read]]&gt;=Table1[[#This Row],[Low Tol]],Table1[[#This Row],[DUT Adj Read]]&lt;=Table1[[#This Row],[High Tol]]),"Pass","Fail"))</f>
        <v>Fail</v>
      </c>
      <c r="AD63" s="1" t="str">
        <f>IF(AND(Table1[[#This Row],[Spec Type2]]="N/A",Table1[[#This Row],[DUT Adj Read]]="N/A",Table1[[#This Row],[Std Adj Read]]="N/A"),"N/A",IF(Table1[[#This Row],[DUT Adj Read]]="N/A",IF(Table1[[#This Row],[Std Adj Read]]&gt;Table1[[#This Row],[Low Tol]],"Pass","Fail"),IF(Table1[[#This Row],[DUT Adj Read]]&gt;Table1[[#This Row],[Low Tol]],"Pass","Fail")))</f>
        <v>Pass</v>
      </c>
      <c r="AE63" s="1" t="str">
        <f>IF(AND(Table1[[#This Row],[Spec Type2]]="N/A",Table1[[#This Row],[DUT Adj Read]]="N/A",Table1[[#This Row],[Std Adj Read]]="N/A"),"N/A",IF(Table1[[#This Row],[DUT Adj Read]]="N/A",IF(Table1[[#This Row],[Std Adj Read]]&lt;Table1[[#This Row],[High Tol]],"Pass","Fail"),IF(Table1[[#This Row],[DUT Adj Read]]&lt;Table1[[#This Row],[High Tol]],"Pass","Fail")))</f>
        <v>Fail</v>
      </c>
      <c r="AF63" s="1" t="str">
        <f>IF(AND(Table1[[#This Row],[Spec Type2]]="N/A",Table1[[#This Row],[DUT Adj Read]]="N/A",Table1[[#This Row],[Std Adj Read]]="N/A"),"N/A",IF(Table1[[#This Row],[DUT Adj Read]]="N/A",IF(Table1[[#This Row],[Std Adj Read]]&gt;=Table1[[#This Row],[Low Tol]],"Pass","Fail"),IF(Table1[[#This Row],[DUT Adj Read]]&gt;=Table1[[#This Row],[Low Tol]],"Pass","Fail")))</f>
        <v>Pass</v>
      </c>
      <c r="AG63" s="1" t="str">
        <f>IF(AND(Table1[[#This Row],[Spec Type2]]="N/A",Table1[[#This Row],[DUT Adj Read]]="N/A",Table1[[#This Row],[Std Adj Read]]="N/A"),"N/A",IF(Table1[[#This Row],[DUT Adj Read]]="N/A",IF(Table1[[#This Row],[Std Adj Read]]&lt;=Table1[[#This Row],[High Tol]],"Pass","Fail"),IF(Table1[[#This Row],[DUT Adj Read]]&lt;=Table1[[#This Row],[High Tol]],"Pass","Fail")))</f>
        <v>Fail</v>
      </c>
      <c r="AH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 s="1" t="b">
        <v>0</v>
      </c>
      <c r="AN63" s="1" t="b">
        <v>0</v>
      </c>
      <c r="AO63" s="1" t="b">
        <v>0</v>
      </c>
    </row>
    <row r="64" spans="1:41" x14ac:dyDescent="0.25">
      <c r="A64" s="10"/>
      <c r="B64" s="10"/>
      <c r="C64" s="10"/>
      <c r="D64" s="10"/>
      <c r="E64" s="10"/>
      <c r="F64" s="10"/>
      <c r="G64" s="10"/>
      <c r="H64" s="10"/>
      <c r="I64" s="1" t="str">
        <f t="shared" si="2"/>
        <v/>
      </c>
      <c r="J64" s="1" t="s">
        <v>35</v>
      </c>
      <c r="K64" s="1" t="str">
        <f t="shared" si="0"/>
        <v/>
      </c>
      <c r="L64" s="1" t="str">
        <f t="shared" si="1"/>
        <v/>
      </c>
      <c r="M64" s="1">
        <f>IF(OR(Table1[[#This Row],[Std Nom]]="",Table1[[#This Row],[Std Read]]=""),0,Table1[[#This Row],[Std Nom]]-Table1[[#This Row],[Std Read]])</f>
        <v>0</v>
      </c>
      <c r="N64" s="1">
        <f>IF(Calculations!$F$5="ACCREDITED 17025 WITH UNCERTAINTIES",$N$10,0)</f>
        <v>0</v>
      </c>
      <c r="Q64" s="1">
        <f>Table1[[#This Row],[High Tol]]-Table1[[#This Row],[Low Tol]]</f>
        <v>0</v>
      </c>
      <c r="R64" s="1">
        <f>2*Table1[[#This Row],[Std Error]]</f>
        <v>0</v>
      </c>
      <c r="S64" s="1" t="str">
        <f>IF(Table1[[#This Row],[High Tol]]="","N/A",IFERROR(ABS(Table1[[#This Row],[Tol Span]]/Table1[[#This Row],[Error Span]]),"N/A"))</f>
        <v>N/A</v>
      </c>
      <c r="T64" s="1" t="str">
        <f>IF(OR(Table1[[#This Row],[Low Tol]]="",Table1[[#This Row],[High Tol]]=""),"Needs Analysis",IF(Table1[[#This Row],[Ratio]]&gt;=4,"Not Significant",IF(Table1[[#This Row],[Ratio]]&gt;=2,"Semi-Significant","Significant")))</f>
        <v>Needs Analysis</v>
      </c>
      <c r="W64" s="1">
        <f>IF(Table1[[#This Row],[Cal Type]]&lt;&gt;"ACCREDITED 17025 WITH UNCERTAINTIES",0,"")</f>
        <v>0</v>
      </c>
      <c r="X64" s="1" t="str">
        <f>IF(Table1[[#This Row],[DUT Read]]="","N/A",Table1[[#This Row],[Std Error]]+Table1[[#This Row],[DUT Read]]+Table1[[#This Row],[DUT Ucty]])</f>
        <v>N/A</v>
      </c>
      <c r="Y64" s="1" t="str">
        <f>IF(Table1[[#This Row],[Std Read]]="","N/A",Table1[[#This Row],[Std Read]]+Table1[[#This Row],[Std Ucty]])</f>
        <v>N/A</v>
      </c>
      <c r="Z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 s="1" t="str">
        <f>IF(Table1[[#This Row],[Spec Type]]="","N/A",Table1[[#This Row],[Spec Type]])</f>
        <v>±</v>
      </c>
      <c r="AC64" s="1" t="str">
        <f>IF(Table1[[#This Row],[Spec Type2]]="N/A","N/A",IF(AND(Table1[[#This Row],[DUT Adj Read]]&gt;=Table1[[#This Row],[Low Tol]],Table1[[#This Row],[DUT Adj Read]]&lt;=Table1[[#This Row],[High Tol]]),"Pass","Fail"))</f>
        <v>Fail</v>
      </c>
      <c r="AD64" s="1" t="str">
        <f>IF(AND(Table1[[#This Row],[Spec Type2]]="N/A",Table1[[#This Row],[DUT Adj Read]]="N/A",Table1[[#This Row],[Std Adj Read]]="N/A"),"N/A",IF(Table1[[#This Row],[DUT Adj Read]]="N/A",IF(Table1[[#This Row],[Std Adj Read]]&gt;Table1[[#This Row],[Low Tol]],"Pass","Fail"),IF(Table1[[#This Row],[DUT Adj Read]]&gt;Table1[[#This Row],[Low Tol]],"Pass","Fail")))</f>
        <v>Pass</v>
      </c>
      <c r="AE64" s="1" t="str">
        <f>IF(AND(Table1[[#This Row],[Spec Type2]]="N/A",Table1[[#This Row],[DUT Adj Read]]="N/A",Table1[[#This Row],[Std Adj Read]]="N/A"),"N/A",IF(Table1[[#This Row],[DUT Adj Read]]="N/A",IF(Table1[[#This Row],[Std Adj Read]]&lt;Table1[[#This Row],[High Tol]],"Pass","Fail"),IF(Table1[[#This Row],[DUT Adj Read]]&lt;Table1[[#This Row],[High Tol]],"Pass","Fail")))</f>
        <v>Fail</v>
      </c>
      <c r="AF64" s="1" t="str">
        <f>IF(AND(Table1[[#This Row],[Spec Type2]]="N/A",Table1[[#This Row],[DUT Adj Read]]="N/A",Table1[[#This Row],[Std Adj Read]]="N/A"),"N/A",IF(Table1[[#This Row],[DUT Adj Read]]="N/A",IF(Table1[[#This Row],[Std Adj Read]]&gt;=Table1[[#This Row],[Low Tol]],"Pass","Fail"),IF(Table1[[#This Row],[DUT Adj Read]]&gt;=Table1[[#This Row],[Low Tol]],"Pass","Fail")))</f>
        <v>Pass</v>
      </c>
      <c r="AG64" s="1" t="str">
        <f>IF(AND(Table1[[#This Row],[Spec Type2]]="N/A",Table1[[#This Row],[DUT Adj Read]]="N/A",Table1[[#This Row],[Std Adj Read]]="N/A"),"N/A",IF(Table1[[#This Row],[DUT Adj Read]]="N/A",IF(Table1[[#This Row],[Std Adj Read]]&lt;=Table1[[#This Row],[High Tol]],"Pass","Fail"),IF(Table1[[#This Row],[DUT Adj Read]]&lt;=Table1[[#This Row],[High Tol]],"Pass","Fail")))</f>
        <v>Fail</v>
      </c>
      <c r="AH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 s="1" t="b">
        <v>0</v>
      </c>
      <c r="AN64" s="1" t="b">
        <v>0</v>
      </c>
      <c r="AO64" s="1" t="b">
        <v>0</v>
      </c>
    </row>
    <row r="65" spans="1:41" x14ac:dyDescent="0.25">
      <c r="A65" s="10"/>
      <c r="B65" s="10"/>
      <c r="C65" s="10"/>
      <c r="D65" s="10"/>
      <c r="E65" s="10"/>
      <c r="F65" s="10"/>
      <c r="G65" s="10"/>
      <c r="H65" s="10"/>
      <c r="I65" s="1" t="str">
        <f t="shared" si="2"/>
        <v/>
      </c>
      <c r="J65" s="1" t="s">
        <v>35</v>
      </c>
      <c r="K65" s="1" t="str">
        <f t="shared" si="0"/>
        <v/>
      </c>
      <c r="L65" s="1" t="str">
        <f t="shared" si="1"/>
        <v/>
      </c>
      <c r="M65" s="1">
        <f>IF(OR(Table1[[#This Row],[Std Nom]]="",Table1[[#This Row],[Std Read]]=""),0,Table1[[#This Row],[Std Nom]]-Table1[[#This Row],[Std Read]])</f>
        <v>0</v>
      </c>
      <c r="N65" s="1">
        <f>IF(Calculations!$F$5="ACCREDITED 17025 WITH UNCERTAINTIES",$N$10,0)</f>
        <v>0</v>
      </c>
      <c r="Q65" s="1">
        <f>Table1[[#This Row],[High Tol]]-Table1[[#This Row],[Low Tol]]</f>
        <v>0</v>
      </c>
      <c r="R65" s="1">
        <f>2*Table1[[#This Row],[Std Error]]</f>
        <v>0</v>
      </c>
      <c r="S65" s="1" t="str">
        <f>IF(Table1[[#This Row],[High Tol]]="","N/A",IFERROR(ABS(Table1[[#This Row],[Tol Span]]/Table1[[#This Row],[Error Span]]),"N/A"))</f>
        <v>N/A</v>
      </c>
      <c r="T65" s="1" t="str">
        <f>IF(OR(Table1[[#This Row],[Low Tol]]="",Table1[[#This Row],[High Tol]]=""),"Needs Analysis",IF(Table1[[#This Row],[Ratio]]&gt;=4,"Not Significant",IF(Table1[[#This Row],[Ratio]]&gt;=2,"Semi-Significant","Significant")))</f>
        <v>Needs Analysis</v>
      </c>
      <c r="W65" s="1">
        <f>IF(Table1[[#This Row],[Cal Type]]&lt;&gt;"ACCREDITED 17025 WITH UNCERTAINTIES",0,"")</f>
        <v>0</v>
      </c>
      <c r="X65" s="1" t="str">
        <f>IF(Table1[[#This Row],[DUT Read]]="","N/A",Table1[[#This Row],[Std Error]]+Table1[[#This Row],[DUT Read]]+Table1[[#This Row],[DUT Ucty]])</f>
        <v>N/A</v>
      </c>
      <c r="Y65" s="1" t="str">
        <f>IF(Table1[[#This Row],[Std Read]]="","N/A",Table1[[#This Row],[Std Read]]+Table1[[#This Row],[Std Ucty]])</f>
        <v>N/A</v>
      </c>
      <c r="Z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 s="1" t="str">
        <f>IF(Table1[[#This Row],[Spec Type]]="","N/A",Table1[[#This Row],[Spec Type]])</f>
        <v>±</v>
      </c>
      <c r="AC65" s="1" t="str">
        <f>IF(Table1[[#This Row],[Spec Type2]]="N/A","N/A",IF(AND(Table1[[#This Row],[DUT Adj Read]]&gt;=Table1[[#This Row],[Low Tol]],Table1[[#This Row],[DUT Adj Read]]&lt;=Table1[[#This Row],[High Tol]]),"Pass","Fail"))</f>
        <v>Fail</v>
      </c>
      <c r="AD65" s="1" t="str">
        <f>IF(AND(Table1[[#This Row],[Spec Type2]]="N/A",Table1[[#This Row],[DUT Adj Read]]="N/A",Table1[[#This Row],[Std Adj Read]]="N/A"),"N/A",IF(Table1[[#This Row],[DUT Adj Read]]="N/A",IF(Table1[[#This Row],[Std Adj Read]]&gt;Table1[[#This Row],[Low Tol]],"Pass","Fail"),IF(Table1[[#This Row],[DUT Adj Read]]&gt;Table1[[#This Row],[Low Tol]],"Pass","Fail")))</f>
        <v>Pass</v>
      </c>
      <c r="AE65" s="1" t="str">
        <f>IF(AND(Table1[[#This Row],[Spec Type2]]="N/A",Table1[[#This Row],[DUT Adj Read]]="N/A",Table1[[#This Row],[Std Adj Read]]="N/A"),"N/A",IF(Table1[[#This Row],[DUT Adj Read]]="N/A",IF(Table1[[#This Row],[Std Adj Read]]&lt;Table1[[#This Row],[High Tol]],"Pass","Fail"),IF(Table1[[#This Row],[DUT Adj Read]]&lt;Table1[[#This Row],[High Tol]],"Pass","Fail")))</f>
        <v>Fail</v>
      </c>
      <c r="AF65" s="1" t="str">
        <f>IF(AND(Table1[[#This Row],[Spec Type2]]="N/A",Table1[[#This Row],[DUT Adj Read]]="N/A",Table1[[#This Row],[Std Adj Read]]="N/A"),"N/A",IF(Table1[[#This Row],[DUT Adj Read]]="N/A",IF(Table1[[#This Row],[Std Adj Read]]&gt;=Table1[[#This Row],[Low Tol]],"Pass","Fail"),IF(Table1[[#This Row],[DUT Adj Read]]&gt;=Table1[[#This Row],[Low Tol]],"Pass","Fail")))</f>
        <v>Pass</v>
      </c>
      <c r="AG65" s="1" t="str">
        <f>IF(AND(Table1[[#This Row],[Spec Type2]]="N/A",Table1[[#This Row],[DUT Adj Read]]="N/A",Table1[[#This Row],[Std Adj Read]]="N/A"),"N/A",IF(Table1[[#This Row],[DUT Adj Read]]="N/A",IF(Table1[[#This Row],[Std Adj Read]]&lt;=Table1[[#This Row],[High Tol]],"Pass","Fail"),IF(Table1[[#This Row],[DUT Adj Read]]&lt;=Table1[[#This Row],[High Tol]],"Pass","Fail")))</f>
        <v>Fail</v>
      </c>
      <c r="AH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 s="1" t="b">
        <v>0</v>
      </c>
      <c r="AN65" s="1" t="b">
        <v>0</v>
      </c>
      <c r="AO65" s="1" t="b">
        <v>0</v>
      </c>
    </row>
    <row r="66" spans="1:41" x14ac:dyDescent="0.25">
      <c r="A66" s="10"/>
      <c r="B66" s="10"/>
      <c r="C66" s="10"/>
      <c r="D66" s="10"/>
      <c r="E66" s="10"/>
      <c r="F66" s="10"/>
      <c r="G66" s="10"/>
      <c r="H66" s="10"/>
      <c r="I66" s="1" t="str">
        <f t="shared" si="2"/>
        <v/>
      </c>
      <c r="J66" s="1" t="s">
        <v>35</v>
      </c>
      <c r="K66" s="1" t="str">
        <f t="shared" si="0"/>
        <v/>
      </c>
      <c r="L66" s="1" t="str">
        <f t="shared" si="1"/>
        <v/>
      </c>
      <c r="M66" s="1">
        <f>IF(OR(Table1[[#This Row],[Std Nom]]="",Table1[[#This Row],[Std Read]]=""),0,Table1[[#This Row],[Std Nom]]-Table1[[#This Row],[Std Read]])</f>
        <v>0</v>
      </c>
      <c r="N66" s="1">
        <f>IF(Calculations!$F$5="ACCREDITED 17025 WITH UNCERTAINTIES",$N$10,0)</f>
        <v>0</v>
      </c>
      <c r="Q66" s="1">
        <f>Table1[[#This Row],[High Tol]]-Table1[[#This Row],[Low Tol]]</f>
        <v>0</v>
      </c>
      <c r="R66" s="1">
        <f>2*Table1[[#This Row],[Std Error]]</f>
        <v>0</v>
      </c>
      <c r="S66" s="1" t="str">
        <f>IF(Table1[[#This Row],[High Tol]]="","N/A",IFERROR(ABS(Table1[[#This Row],[Tol Span]]/Table1[[#This Row],[Error Span]]),"N/A"))</f>
        <v>N/A</v>
      </c>
      <c r="T66" s="1" t="str">
        <f>IF(OR(Table1[[#This Row],[Low Tol]]="",Table1[[#This Row],[High Tol]]=""),"Needs Analysis",IF(Table1[[#This Row],[Ratio]]&gt;=4,"Not Significant",IF(Table1[[#This Row],[Ratio]]&gt;=2,"Semi-Significant","Significant")))</f>
        <v>Needs Analysis</v>
      </c>
      <c r="W66" s="1">
        <f>IF(Table1[[#This Row],[Cal Type]]&lt;&gt;"ACCREDITED 17025 WITH UNCERTAINTIES",0,"")</f>
        <v>0</v>
      </c>
      <c r="X66" s="1" t="str">
        <f>IF(Table1[[#This Row],[DUT Read]]="","N/A",Table1[[#This Row],[Std Error]]+Table1[[#This Row],[DUT Read]]+Table1[[#This Row],[DUT Ucty]])</f>
        <v>N/A</v>
      </c>
      <c r="Y66" s="1" t="str">
        <f>IF(Table1[[#This Row],[Std Read]]="","N/A",Table1[[#This Row],[Std Read]]+Table1[[#This Row],[Std Ucty]])</f>
        <v>N/A</v>
      </c>
      <c r="Z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 s="1" t="str">
        <f>IF(Table1[[#This Row],[Spec Type]]="","N/A",Table1[[#This Row],[Spec Type]])</f>
        <v>±</v>
      </c>
      <c r="AC66" s="1" t="str">
        <f>IF(Table1[[#This Row],[Spec Type2]]="N/A","N/A",IF(AND(Table1[[#This Row],[DUT Adj Read]]&gt;=Table1[[#This Row],[Low Tol]],Table1[[#This Row],[DUT Adj Read]]&lt;=Table1[[#This Row],[High Tol]]),"Pass","Fail"))</f>
        <v>Fail</v>
      </c>
      <c r="AD66" s="1" t="str">
        <f>IF(AND(Table1[[#This Row],[Spec Type2]]="N/A",Table1[[#This Row],[DUT Adj Read]]="N/A",Table1[[#This Row],[Std Adj Read]]="N/A"),"N/A",IF(Table1[[#This Row],[DUT Adj Read]]="N/A",IF(Table1[[#This Row],[Std Adj Read]]&gt;Table1[[#This Row],[Low Tol]],"Pass","Fail"),IF(Table1[[#This Row],[DUT Adj Read]]&gt;Table1[[#This Row],[Low Tol]],"Pass","Fail")))</f>
        <v>Pass</v>
      </c>
      <c r="AE66" s="1" t="str">
        <f>IF(AND(Table1[[#This Row],[Spec Type2]]="N/A",Table1[[#This Row],[DUT Adj Read]]="N/A",Table1[[#This Row],[Std Adj Read]]="N/A"),"N/A",IF(Table1[[#This Row],[DUT Adj Read]]="N/A",IF(Table1[[#This Row],[Std Adj Read]]&lt;Table1[[#This Row],[High Tol]],"Pass","Fail"),IF(Table1[[#This Row],[DUT Adj Read]]&lt;Table1[[#This Row],[High Tol]],"Pass","Fail")))</f>
        <v>Fail</v>
      </c>
      <c r="AF66" s="1" t="str">
        <f>IF(AND(Table1[[#This Row],[Spec Type2]]="N/A",Table1[[#This Row],[DUT Adj Read]]="N/A",Table1[[#This Row],[Std Adj Read]]="N/A"),"N/A",IF(Table1[[#This Row],[DUT Adj Read]]="N/A",IF(Table1[[#This Row],[Std Adj Read]]&gt;=Table1[[#This Row],[Low Tol]],"Pass","Fail"),IF(Table1[[#This Row],[DUT Adj Read]]&gt;=Table1[[#This Row],[Low Tol]],"Pass","Fail")))</f>
        <v>Pass</v>
      </c>
      <c r="AG66" s="1" t="str">
        <f>IF(AND(Table1[[#This Row],[Spec Type2]]="N/A",Table1[[#This Row],[DUT Adj Read]]="N/A",Table1[[#This Row],[Std Adj Read]]="N/A"),"N/A",IF(Table1[[#This Row],[DUT Adj Read]]="N/A",IF(Table1[[#This Row],[Std Adj Read]]&lt;=Table1[[#This Row],[High Tol]],"Pass","Fail"),IF(Table1[[#This Row],[DUT Adj Read]]&lt;=Table1[[#This Row],[High Tol]],"Pass","Fail")))</f>
        <v>Fail</v>
      </c>
      <c r="AH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 s="1" t="b">
        <v>0</v>
      </c>
      <c r="AN66" s="1" t="b">
        <v>0</v>
      </c>
      <c r="AO66" s="1" t="b">
        <v>0</v>
      </c>
    </row>
    <row r="67" spans="1:41" x14ac:dyDescent="0.25">
      <c r="A67" s="10"/>
      <c r="B67" s="10"/>
      <c r="C67" s="10"/>
      <c r="D67" s="10"/>
      <c r="E67" s="10"/>
      <c r="F67" s="10"/>
      <c r="G67" s="10"/>
      <c r="H67" s="10"/>
      <c r="I67" s="1" t="str">
        <f t="shared" si="2"/>
        <v/>
      </c>
      <c r="J67" s="1" t="s">
        <v>35</v>
      </c>
      <c r="K67" s="1" t="str">
        <f t="shared" si="0"/>
        <v/>
      </c>
      <c r="L67" s="1" t="str">
        <f t="shared" si="1"/>
        <v/>
      </c>
      <c r="M67" s="1">
        <f>IF(OR(Table1[[#This Row],[Std Nom]]="",Table1[[#This Row],[Std Read]]=""),0,Table1[[#This Row],[Std Nom]]-Table1[[#This Row],[Std Read]])</f>
        <v>0</v>
      </c>
      <c r="N67" s="1">
        <f>IF(Calculations!$F$5="ACCREDITED 17025 WITH UNCERTAINTIES",$N$10,0)</f>
        <v>0</v>
      </c>
      <c r="Q67" s="1">
        <f>Table1[[#This Row],[High Tol]]-Table1[[#This Row],[Low Tol]]</f>
        <v>0</v>
      </c>
      <c r="R67" s="1">
        <f>2*Table1[[#This Row],[Std Error]]</f>
        <v>0</v>
      </c>
      <c r="S67" s="1" t="str">
        <f>IF(Table1[[#This Row],[High Tol]]="","N/A",IFERROR(ABS(Table1[[#This Row],[Tol Span]]/Table1[[#This Row],[Error Span]]),"N/A"))</f>
        <v>N/A</v>
      </c>
      <c r="T67" s="1" t="str">
        <f>IF(OR(Table1[[#This Row],[Low Tol]]="",Table1[[#This Row],[High Tol]]=""),"Needs Analysis",IF(Table1[[#This Row],[Ratio]]&gt;=4,"Not Significant",IF(Table1[[#This Row],[Ratio]]&gt;=2,"Semi-Significant","Significant")))</f>
        <v>Needs Analysis</v>
      </c>
      <c r="W67" s="1">
        <f>IF(Table1[[#This Row],[Cal Type]]&lt;&gt;"ACCREDITED 17025 WITH UNCERTAINTIES",0,"")</f>
        <v>0</v>
      </c>
      <c r="X67" s="1" t="str">
        <f>IF(Table1[[#This Row],[DUT Read]]="","N/A",Table1[[#This Row],[Std Error]]+Table1[[#This Row],[DUT Read]]+Table1[[#This Row],[DUT Ucty]])</f>
        <v>N/A</v>
      </c>
      <c r="Y67" s="1" t="str">
        <f>IF(Table1[[#This Row],[Std Read]]="","N/A",Table1[[#This Row],[Std Read]]+Table1[[#This Row],[Std Ucty]])</f>
        <v>N/A</v>
      </c>
      <c r="Z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 s="1" t="str">
        <f>IF(Table1[[#This Row],[Spec Type]]="","N/A",Table1[[#This Row],[Spec Type]])</f>
        <v>±</v>
      </c>
      <c r="AC67" s="1" t="str">
        <f>IF(Table1[[#This Row],[Spec Type2]]="N/A","N/A",IF(AND(Table1[[#This Row],[DUT Adj Read]]&gt;=Table1[[#This Row],[Low Tol]],Table1[[#This Row],[DUT Adj Read]]&lt;=Table1[[#This Row],[High Tol]]),"Pass","Fail"))</f>
        <v>Fail</v>
      </c>
      <c r="AD67" s="1" t="str">
        <f>IF(AND(Table1[[#This Row],[Spec Type2]]="N/A",Table1[[#This Row],[DUT Adj Read]]="N/A",Table1[[#This Row],[Std Adj Read]]="N/A"),"N/A",IF(Table1[[#This Row],[DUT Adj Read]]="N/A",IF(Table1[[#This Row],[Std Adj Read]]&gt;Table1[[#This Row],[Low Tol]],"Pass","Fail"),IF(Table1[[#This Row],[DUT Adj Read]]&gt;Table1[[#This Row],[Low Tol]],"Pass","Fail")))</f>
        <v>Pass</v>
      </c>
      <c r="AE67" s="1" t="str">
        <f>IF(AND(Table1[[#This Row],[Spec Type2]]="N/A",Table1[[#This Row],[DUT Adj Read]]="N/A",Table1[[#This Row],[Std Adj Read]]="N/A"),"N/A",IF(Table1[[#This Row],[DUT Adj Read]]="N/A",IF(Table1[[#This Row],[Std Adj Read]]&lt;Table1[[#This Row],[High Tol]],"Pass","Fail"),IF(Table1[[#This Row],[DUT Adj Read]]&lt;Table1[[#This Row],[High Tol]],"Pass","Fail")))</f>
        <v>Fail</v>
      </c>
      <c r="AF67" s="1" t="str">
        <f>IF(AND(Table1[[#This Row],[Spec Type2]]="N/A",Table1[[#This Row],[DUT Adj Read]]="N/A",Table1[[#This Row],[Std Adj Read]]="N/A"),"N/A",IF(Table1[[#This Row],[DUT Adj Read]]="N/A",IF(Table1[[#This Row],[Std Adj Read]]&gt;=Table1[[#This Row],[Low Tol]],"Pass","Fail"),IF(Table1[[#This Row],[DUT Adj Read]]&gt;=Table1[[#This Row],[Low Tol]],"Pass","Fail")))</f>
        <v>Pass</v>
      </c>
      <c r="AG67" s="1" t="str">
        <f>IF(AND(Table1[[#This Row],[Spec Type2]]="N/A",Table1[[#This Row],[DUT Adj Read]]="N/A",Table1[[#This Row],[Std Adj Read]]="N/A"),"N/A",IF(Table1[[#This Row],[DUT Adj Read]]="N/A",IF(Table1[[#This Row],[Std Adj Read]]&lt;=Table1[[#This Row],[High Tol]],"Pass","Fail"),IF(Table1[[#This Row],[DUT Adj Read]]&lt;=Table1[[#This Row],[High Tol]],"Pass","Fail")))</f>
        <v>Fail</v>
      </c>
      <c r="AH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 s="1" t="b">
        <v>0</v>
      </c>
      <c r="AN67" s="1" t="b">
        <v>0</v>
      </c>
      <c r="AO67" s="1" t="b">
        <v>0</v>
      </c>
    </row>
    <row r="68" spans="1:41" x14ac:dyDescent="0.25">
      <c r="A68" s="10"/>
      <c r="B68" s="10"/>
      <c r="C68" s="10"/>
      <c r="D68" s="10"/>
      <c r="E68" s="10"/>
      <c r="F68" s="10"/>
      <c r="G68" s="10"/>
      <c r="H68" s="10"/>
      <c r="I68" s="1" t="str">
        <f t="shared" si="2"/>
        <v/>
      </c>
      <c r="J68" s="1" t="s">
        <v>35</v>
      </c>
      <c r="K68" s="1" t="str">
        <f t="shared" si="0"/>
        <v/>
      </c>
      <c r="L68" s="1" t="str">
        <f t="shared" si="1"/>
        <v/>
      </c>
      <c r="M68" s="1">
        <f>IF(OR(Table1[[#This Row],[Std Nom]]="",Table1[[#This Row],[Std Read]]=""),0,Table1[[#This Row],[Std Nom]]-Table1[[#This Row],[Std Read]])</f>
        <v>0</v>
      </c>
      <c r="N68" s="1">
        <f>IF(Calculations!$F$5="ACCREDITED 17025 WITH UNCERTAINTIES",$N$10,0)</f>
        <v>0</v>
      </c>
      <c r="Q68" s="1">
        <f>Table1[[#This Row],[High Tol]]-Table1[[#This Row],[Low Tol]]</f>
        <v>0</v>
      </c>
      <c r="R68" s="1">
        <f>2*Table1[[#This Row],[Std Error]]</f>
        <v>0</v>
      </c>
      <c r="S68" s="1" t="str">
        <f>IF(Table1[[#This Row],[High Tol]]="","N/A",IFERROR(ABS(Table1[[#This Row],[Tol Span]]/Table1[[#This Row],[Error Span]]),"N/A"))</f>
        <v>N/A</v>
      </c>
      <c r="T68" s="1" t="str">
        <f>IF(OR(Table1[[#This Row],[Low Tol]]="",Table1[[#This Row],[High Tol]]=""),"Needs Analysis",IF(Table1[[#This Row],[Ratio]]&gt;=4,"Not Significant",IF(Table1[[#This Row],[Ratio]]&gt;=2,"Semi-Significant","Significant")))</f>
        <v>Needs Analysis</v>
      </c>
      <c r="W68" s="1">
        <f>IF(Table1[[#This Row],[Cal Type]]&lt;&gt;"ACCREDITED 17025 WITH UNCERTAINTIES",0,"")</f>
        <v>0</v>
      </c>
      <c r="X68" s="1" t="str">
        <f>IF(Table1[[#This Row],[DUT Read]]="","N/A",Table1[[#This Row],[Std Error]]+Table1[[#This Row],[DUT Read]]+Table1[[#This Row],[DUT Ucty]])</f>
        <v>N/A</v>
      </c>
      <c r="Y68" s="1" t="str">
        <f>IF(Table1[[#This Row],[Std Read]]="","N/A",Table1[[#This Row],[Std Read]]+Table1[[#This Row],[Std Ucty]])</f>
        <v>N/A</v>
      </c>
      <c r="Z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 s="1" t="str">
        <f>IF(Table1[[#This Row],[Spec Type]]="","N/A",Table1[[#This Row],[Spec Type]])</f>
        <v>±</v>
      </c>
      <c r="AC68" s="1" t="str">
        <f>IF(Table1[[#This Row],[Spec Type2]]="N/A","N/A",IF(AND(Table1[[#This Row],[DUT Adj Read]]&gt;=Table1[[#This Row],[Low Tol]],Table1[[#This Row],[DUT Adj Read]]&lt;=Table1[[#This Row],[High Tol]]),"Pass","Fail"))</f>
        <v>Fail</v>
      </c>
      <c r="AD68" s="1" t="str">
        <f>IF(AND(Table1[[#This Row],[Spec Type2]]="N/A",Table1[[#This Row],[DUT Adj Read]]="N/A",Table1[[#This Row],[Std Adj Read]]="N/A"),"N/A",IF(Table1[[#This Row],[DUT Adj Read]]="N/A",IF(Table1[[#This Row],[Std Adj Read]]&gt;Table1[[#This Row],[Low Tol]],"Pass","Fail"),IF(Table1[[#This Row],[DUT Adj Read]]&gt;Table1[[#This Row],[Low Tol]],"Pass","Fail")))</f>
        <v>Pass</v>
      </c>
      <c r="AE68" s="1" t="str">
        <f>IF(AND(Table1[[#This Row],[Spec Type2]]="N/A",Table1[[#This Row],[DUT Adj Read]]="N/A",Table1[[#This Row],[Std Adj Read]]="N/A"),"N/A",IF(Table1[[#This Row],[DUT Adj Read]]="N/A",IF(Table1[[#This Row],[Std Adj Read]]&lt;Table1[[#This Row],[High Tol]],"Pass","Fail"),IF(Table1[[#This Row],[DUT Adj Read]]&lt;Table1[[#This Row],[High Tol]],"Pass","Fail")))</f>
        <v>Fail</v>
      </c>
      <c r="AF68" s="1" t="str">
        <f>IF(AND(Table1[[#This Row],[Spec Type2]]="N/A",Table1[[#This Row],[DUT Adj Read]]="N/A",Table1[[#This Row],[Std Adj Read]]="N/A"),"N/A",IF(Table1[[#This Row],[DUT Adj Read]]="N/A",IF(Table1[[#This Row],[Std Adj Read]]&gt;=Table1[[#This Row],[Low Tol]],"Pass","Fail"),IF(Table1[[#This Row],[DUT Adj Read]]&gt;=Table1[[#This Row],[Low Tol]],"Pass","Fail")))</f>
        <v>Pass</v>
      </c>
      <c r="AG68" s="1" t="str">
        <f>IF(AND(Table1[[#This Row],[Spec Type2]]="N/A",Table1[[#This Row],[DUT Adj Read]]="N/A",Table1[[#This Row],[Std Adj Read]]="N/A"),"N/A",IF(Table1[[#This Row],[DUT Adj Read]]="N/A",IF(Table1[[#This Row],[Std Adj Read]]&lt;=Table1[[#This Row],[High Tol]],"Pass","Fail"),IF(Table1[[#This Row],[DUT Adj Read]]&lt;=Table1[[#This Row],[High Tol]],"Pass","Fail")))</f>
        <v>Fail</v>
      </c>
      <c r="AH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 s="1" t="b">
        <v>0</v>
      </c>
      <c r="AN68" s="1" t="b">
        <v>0</v>
      </c>
      <c r="AO68" s="1" t="b">
        <v>0</v>
      </c>
    </row>
    <row r="69" spans="1:41" x14ac:dyDescent="0.25">
      <c r="A69" s="10"/>
      <c r="B69" s="10"/>
      <c r="C69" s="10"/>
      <c r="D69" s="10"/>
      <c r="E69" s="10"/>
      <c r="F69" s="10"/>
      <c r="G69" s="10"/>
      <c r="H69" s="10"/>
      <c r="I69" s="1" t="str">
        <f t="shared" si="2"/>
        <v/>
      </c>
      <c r="J69" s="1" t="s">
        <v>35</v>
      </c>
      <c r="K69" s="1" t="str">
        <f t="shared" si="0"/>
        <v/>
      </c>
      <c r="L69" s="1" t="str">
        <f t="shared" si="1"/>
        <v/>
      </c>
      <c r="M69" s="1">
        <f>IF(OR(Table1[[#This Row],[Std Nom]]="",Table1[[#This Row],[Std Read]]=""),0,Table1[[#This Row],[Std Nom]]-Table1[[#This Row],[Std Read]])</f>
        <v>0</v>
      </c>
      <c r="N69" s="1">
        <f>IF(Calculations!$F$5="ACCREDITED 17025 WITH UNCERTAINTIES",$N$10,0)</f>
        <v>0</v>
      </c>
      <c r="Q69" s="1">
        <f>Table1[[#This Row],[High Tol]]-Table1[[#This Row],[Low Tol]]</f>
        <v>0</v>
      </c>
      <c r="R69" s="1">
        <f>2*Table1[[#This Row],[Std Error]]</f>
        <v>0</v>
      </c>
      <c r="S69" s="1" t="str">
        <f>IF(Table1[[#This Row],[High Tol]]="","N/A",IFERROR(ABS(Table1[[#This Row],[Tol Span]]/Table1[[#This Row],[Error Span]]),"N/A"))</f>
        <v>N/A</v>
      </c>
      <c r="T69" s="1" t="str">
        <f>IF(OR(Table1[[#This Row],[Low Tol]]="",Table1[[#This Row],[High Tol]]=""),"Needs Analysis",IF(Table1[[#This Row],[Ratio]]&gt;=4,"Not Significant",IF(Table1[[#This Row],[Ratio]]&gt;=2,"Semi-Significant","Significant")))</f>
        <v>Needs Analysis</v>
      </c>
      <c r="W69" s="1">
        <f>IF(Table1[[#This Row],[Cal Type]]&lt;&gt;"ACCREDITED 17025 WITH UNCERTAINTIES",0,"")</f>
        <v>0</v>
      </c>
      <c r="X69" s="1" t="str">
        <f>IF(Table1[[#This Row],[DUT Read]]="","N/A",Table1[[#This Row],[Std Error]]+Table1[[#This Row],[DUT Read]]+Table1[[#This Row],[DUT Ucty]])</f>
        <v>N/A</v>
      </c>
      <c r="Y69" s="1" t="str">
        <f>IF(Table1[[#This Row],[Std Read]]="","N/A",Table1[[#This Row],[Std Read]]+Table1[[#This Row],[Std Ucty]])</f>
        <v>N/A</v>
      </c>
      <c r="Z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 s="1" t="str">
        <f>IF(Table1[[#This Row],[Spec Type]]="","N/A",Table1[[#This Row],[Spec Type]])</f>
        <v>±</v>
      </c>
      <c r="AC69" s="1" t="str">
        <f>IF(Table1[[#This Row],[Spec Type2]]="N/A","N/A",IF(AND(Table1[[#This Row],[DUT Adj Read]]&gt;=Table1[[#This Row],[Low Tol]],Table1[[#This Row],[DUT Adj Read]]&lt;=Table1[[#This Row],[High Tol]]),"Pass","Fail"))</f>
        <v>Fail</v>
      </c>
      <c r="AD69" s="1" t="str">
        <f>IF(AND(Table1[[#This Row],[Spec Type2]]="N/A",Table1[[#This Row],[DUT Adj Read]]="N/A",Table1[[#This Row],[Std Adj Read]]="N/A"),"N/A",IF(Table1[[#This Row],[DUT Adj Read]]="N/A",IF(Table1[[#This Row],[Std Adj Read]]&gt;Table1[[#This Row],[Low Tol]],"Pass","Fail"),IF(Table1[[#This Row],[DUT Adj Read]]&gt;Table1[[#This Row],[Low Tol]],"Pass","Fail")))</f>
        <v>Pass</v>
      </c>
      <c r="AE69" s="1" t="str">
        <f>IF(AND(Table1[[#This Row],[Spec Type2]]="N/A",Table1[[#This Row],[DUT Adj Read]]="N/A",Table1[[#This Row],[Std Adj Read]]="N/A"),"N/A",IF(Table1[[#This Row],[DUT Adj Read]]="N/A",IF(Table1[[#This Row],[Std Adj Read]]&lt;Table1[[#This Row],[High Tol]],"Pass","Fail"),IF(Table1[[#This Row],[DUT Adj Read]]&lt;Table1[[#This Row],[High Tol]],"Pass","Fail")))</f>
        <v>Fail</v>
      </c>
      <c r="AF69" s="1" t="str">
        <f>IF(AND(Table1[[#This Row],[Spec Type2]]="N/A",Table1[[#This Row],[DUT Adj Read]]="N/A",Table1[[#This Row],[Std Adj Read]]="N/A"),"N/A",IF(Table1[[#This Row],[DUT Adj Read]]="N/A",IF(Table1[[#This Row],[Std Adj Read]]&gt;=Table1[[#This Row],[Low Tol]],"Pass","Fail"),IF(Table1[[#This Row],[DUT Adj Read]]&gt;=Table1[[#This Row],[Low Tol]],"Pass","Fail")))</f>
        <v>Pass</v>
      </c>
      <c r="AG69" s="1" t="str">
        <f>IF(AND(Table1[[#This Row],[Spec Type2]]="N/A",Table1[[#This Row],[DUT Adj Read]]="N/A",Table1[[#This Row],[Std Adj Read]]="N/A"),"N/A",IF(Table1[[#This Row],[DUT Adj Read]]="N/A",IF(Table1[[#This Row],[Std Adj Read]]&lt;=Table1[[#This Row],[High Tol]],"Pass","Fail"),IF(Table1[[#This Row],[DUT Adj Read]]&lt;=Table1[[#This Row],[High Tol]],"Pass","Fail")))</f>
        <v>Fail</v>
      </c>
      <c r="AH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 s="1" t="b">
        <v>0</v>
      </c>
      <c r="AN69" s="1" t="b">
        <v>0</v>
      </c>
      <c r="AO69" s="1" t="b">
        <v>0</v>
      </c>
    </row>
    <row r="70" spans="1:41" x14ac:dyDescent="0.25">
      <c r="A70" s="10"/>
      <c r="B70" s="10"/>
      <c r="C70" s="10"/>
      <c r="D70" s="10"/>
      <c r="E70" s="10"/>
      <c r="F70" s="10"/>
      <c r="G70" s="10"/>
      <c r="H70" s="10"/>
      <c r="I70" s="1" t="str">
        <f t="shared" si="2"/>
        <v/>
      </c>
      <c r="J70" s="1" t="s">
        <v>35</v>
      </c>
      <c r="K70" s="1" t="str">
        <f t="shared" si="0"/>
        <v/>
      </c>
      <c r="L70" s="1" t="str">
        <f t="shared" si="1"/>
        <v/>
      </c>
      <c r="M70" s="1">
        <f>IF(OR(Table1[[#This Row],[Std Nom]]="",Table1[[#This Row],[Std Read]]=""),0,Table1[[#This Row],[Std Nom]]-Table1[[#This Row],[Std Read]])</f>
        <v>0</v>
      </c>
      <c r="N70" s="1">
        <f>IF(Calculations!$F$5="ACCREDITED 17025 WITH UNCERTAINTIES",$N$10,0)</f>
        <v>0</v>
      </c>
      <c r="Q70" s="1">
        <f>Table1[[#This Row],[High Tol]]-Table1[[#This Row],[Low Tol]]</f>
        <v>0</v>
      </c>
      <c r="R70" s="1">
        <f>2*Table1[[#This Row],[Std Error]]</f>
        <v>0</v>
      </c>
      <c r="S70" s="1" t="str">
        <f>IF(Table1[[#This Row],[High Tol]]="","N/A",IFERROR(ABS(Table1[[#This Row],[Tol Span]]/Table1[[#This Row],[Error Span]]),"N/A"))</f>
        <v>N/A</v>
      </c>
      <c r="T70" s="1" t="str">
        <f>IF(OR(Table1[[#This Row],[Low Tol]]="",Table1[[#This Row],[High Tol]]=""),"Needs Analysis",IF(Table1[[#This Row],[Ratio]]&gt;=4,"Not Significant",IF(Table1[[#This Row],[Ratio]]&gt;=2,"Semi-Significant","Significant")))</f>
        <v>Needs Analysis</v>
      </c>
      <c r="W70" s="1">
        <f>IF(Table1[[#This Row],[Cal Type]]&lt;&gt;"ACCREDITED 17025 WITH UNCERTAINTIES",0,"")</f>
        <v>0</v>
      </c>
      <c r="X70" s="1" t="str">
        <f>IF(Table1[[#This Row],[DUT Read]]="","N/A",Table1[[#This Row],[Std Error]]+Table1[[#This Row],[DUT Read]]+Table1[[#This Row],[DUT Ucty]])</f>
        <v>N/A</v>
      </c>
      <c r="Y70" s="1" t="str">
        <f>IF(Table1[[#This Row],[Std Read]]="","N/A",Table1[[#This Row],[Std Read]]+Table1[[#This Row],[Std Ucty]])</f>
        <v>N/A</v>
      </c>
      <c r="Z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 s="1" t="str">
        <f>IF(Table1[[#This Row],[Spec Type]]="","N/A",Table1[[#This Row],[Spec Type]])</f>
        <v>±</v>
      </c>
      <c r="AC70" s="1" t="str">
        <f>IF(Table1[[#This Row],[Spec Type2]]="N/A","N/A",IF(AND(Table1[[#This Row],[DUT Adj Read]]&gt;=Table1[[#This Row],[Low Tol]],Table1[[#This Row],[DUT Adj Read]]&lt;=Table1[[#This Row],[High Tol]]),"Pass","Fail"))</f>
        <v>Fail</v>
      </c>
      <c r="AD70" s="1" t="str">
        <f>IF(AND(Table1[[#This Row],[Spec Type2]]="N/A",Table1[[#This Row],[DUT Adj Read]]="N/A",Table1[[#This Row],[Std Adj Read]]="N/A"),"N/A",IF(Table1[[#This Row],[DUT Adj Read]]="N/A",IF(Table1[[#This Row],[Std Adj Read]]&gt;Table1[[#This Row],[Low Tol]],"Pass","Fail"),IF(Table1[[#This Row],[DUT Adj Read]]&gt;Table1[[#This Row],[Low Tol]],"Pass","Fail")))</f>
        <v>Pass</v>
      </c>
      <c r="AE70" s="1" t="str">
        <f>IF(AND(Table1[[#This Row],[Spec Type2]]="N/A",Table1[[#This Row],[DUT Adj Read]]="N/A",Table1[[#This Row],[Std Adj Read]]="N/A"),"N/A",IF(Table1[[#This Row],[DUT Adj Read]]="N/A",IF(Table1[[#This Row],[Std Adj Read]]&lt;Table1[[#This Row],[High Tol]],"Pass","Fail"),IF(Table1[[#This Row],[DUT Adj Read]]&lt;Table1[[#This Row],[High Tol]],"Pass","Fail")))</f>
        <v>Fail</v>
      </c>
      <c r="AF70" s="1" t="str">
        <f>IF(AND(Table1[[#This Row],[Spec Type2]]="N/A",Table1[[#This Row],[DUT Adj Read]]="N/A",Table1[[#This Row],[Std Adj Read]]="N/A"),"N/A",IF(Table1[[#This Row],[DUT Adj Read]]="N/A",IF(Table1[[#This Row],[Std Adj Read]]&gt;=Table1[[#This Row],[Low Tol]],"Pass","Fail"),IF(Table1[[#This Row],[DUT Adj Read]]&gt;=Table1[[#This Row],[Low Tol]],"Pass","Fail")))</f>
        <v>Pass</v>
      </c>
      <c r="AG70" s="1" t="str">
        <f>IF(AND(Table1[[#This Row],[Spec Type2]]="N/A",Table1[[#This Row],[DUT Adj Read]]="N/A",Table1[[#This Row],[Std Adj Read]]="N/A"),"N/A",IF(Table1[[#This Row],[DUT Adj Read]]="N/A",IF(Table1[[#This Row],[Std Adj Read]]&lt;=Table1[[#This Row],[High Tol]],"Pass","Fail"),IF(Table1[[#This Row],[DUT Adj Read]]&lt;=Table1[[#This Row],[High Tol]],"Pass","Fail")))</f>
        <v>Fail</v>
      </c>
      <c r="AH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 s="1" t="b">
        <v>0</v>
      </c>
      <c r="AN70" s="1" t="b">
        <v>0</v>
      </c>
      <c r="AO70" s="1" t="b">
        <v>0</v>
      </c>
    </row>
    <row r="71" spans="1:41" x14ac:dyDescent="0.25">
      <c r="A71" s="10"/>
      <c r="B71" s="10"/>
      <c r="C71" s="10"/>
      <c r="D71" s="10"/>
      <c r="E71" s="10"/>
      <c r="F71" s="10"/>
      <c r="G71" s="10"/>
      <c r="H71" s="10"/>
      <c r="I71" s="1" t="str">
        <f t="shared" si="2"/>
        <v/>
      </c>
      <c r="J71" s="1" t="s">
        <v>35</v>
      </c>
      <c r="K71" s="1" t="str">
        <f t="shared" si="0"/>
        <v/>
      </c>
      <c r="L71" s="1" t="str">
        <f t="shared" si="1"/>
        <v/>
      </c>
      <c r="M71" s="1">
        <f>IF(OR(Table1[[#This Row],[Std Nom]]="",Table1[[#This Row],[Std Read]]=""),0,Table1[[#This Row],[Std Nom]]-Table1[[#This Row],[Std Read]])</f>
        <v>0</v>
      </c>
      <c r="N71" s="1">
        <f>IF(Calculations!$F$5="ACCREDITED 17025 WITH UNCERTAINTIES",$N$10,0)</f>
        <v>0</v>
      </c>
      <c r="Q71" s="1">
        <f>Table1[[#This Row],[High Tol]]-Table1[[#This Row],[Low Tol]]</f>
        <v>0</v>
      </c>
      <c r="R71" s="1">
        <f>2*Table1[[#This Row],[Std Error]]</f>
        <v>0</v>
      </c>
      <c r="S71" s="1" t="str">
        <f>IF(Table1[[#This Row],[High Tol]]="","N/A",IFERROR(ABS(Table1[[#This Row],[Tol Span]]/Table1[[#This Row],[Error Span]]),"N/A"))</f>
        <v>N/A</v>
      </c>
      <c r="T71" s="1" t="str">
        <f>IF(OR(Table1[[#This Row],[Low Tol]]="",Table1[[#This Row],[High Tol]]=""),"Needs Analysis",IF(Table1[[#This Row],[Ratio]]&gt;=4,"Not Significant",IF(Table1[[#This Row],[Ratio]]&gt;=2,"Semi-Significant","Significant")))</f>
        <v>Needs Analysis</v>
      </c>
      <c r="W71" s="1">
        <f>IF(Table1[[#This Row],[Cal Type]]&lt;&gt;"ACCREDITED 17025 WITH UNCERTAINTIES",0,"")</f>
        <v>0</v>
      </c>
      <c r="X71" s="1" t="str">
        <f>IF(Table1[[#This Row],[DUT Read]]="","N/A",Table1[[#This Row],[Std Error]]+Table1[[#This Row],[DUT Read]]+Table1[[#This Row],[DUT Ucty]])</f>
        <v>N/A</v>
      </c>
      <c r="Y71" s="1" t="str">
        <f>IF(Table1[[#This Row],[Std Read]]="","N/A",Table1[[#This Row],[Std Read]]+Table1[[#This Row],[Std Ucty]])</f>
        <v>N/A</v>
      </c>
      <c r="Z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 s="1" t="str">
        <f>IF(Table1[[#This Row],[Spec Type]]="","N/A",Table1[[#This Row],[Spec Type]])</f>
        <v>±</v>
      </c>
      <c r="AC71" s="1" t="str">
        <f>IF(Table1[[#This Row],[Spec Type2]]="N/A","N/A",IF(AND(Table1[[#This Row],[DUT Adj Read]]&gt;=Table1[[#This Row],[Low Tol]],Table1[[#This Row],[DUT Adj Read]]&lt;=Table1[[#This Row],[High Tol]]),"Pass","Fail"))</f>
        <v>Fail</v>
      </c>
      <c r="AD71" s="1" t="str">
        <f>IF(AND(Table1[[#This Row],[Spec Type2]]="N/A",Table1[[#This Row],[DUT Adj Read]]="N/A",Table1[[#This Row],[Std Adj Read]]="N/A"),"N/A",IF(Table1[[#This Row],[DUT Adj Read]]="N/A",IF(Table1[[#This Row],[Std Adj Read]]&gt;Table1[[#This Row],[Low Tol]],"Pass","Fail"),IF(Table1[[#This Row],[DUT Adj Read]]&gt;Table1[[#This Row],[Low Tol]],"Pass","Fail")))</f>
        <v>Pass</v>
      </c>
      <c r="AE71" s="1" t="str">
        <f>IF(AND(Table1[[#This Row],[Spec Type2]]="N/A",Table1[[#This Row],[DUT Adj Read]]="N/A",Table1[[#This Row],[Std Adj Read]]="N/A"),"N/A",IF(Table1[[#This Row],[DUT Adj Read]]="N/A",IF(Table1[[#This Row],[Std Adj Read]]&lt;Table1[[#This Row],[High Tol]],"Pass","Fail"),IF(Table1[[#This Row],[DUT Adj Read]]&lt;Table1[[#This Row],[High Tol]],"Pass","Fail")))</f>
        <v>Fail</v>
      </c>
      <c r="AF71" s="1" t="str">
        <f>IF(AND(Table1[[#This Row],[Spec Type2]]="N/A",Table1[[#This Row],[DUT Adj Read]]="N/A",Table1[[#This Row],[Std Adj Read]]="N/A"),"N/A",IF(Table1[[#This Row],[DUT Adj Read]]="N/A",IF(Table1[[#This Row],[Std Adj Read]]&gt;=Table1[[#This Row],[Low Tol]],"Pass","Fail"),IF(Table1[[#This Row],[DUT Adj Read]]&gt;=Table1[[#This Row],[Low Tol]],"Pass","Fail")))</f>
        <v>Pass</v>
      </c>
      <c r="AG71" s="1" t="str">
        <f>IF(AND(Table1[[#This Row],[Spec Type2]]="N/A",Table1[[#This Row],[DUT Adj Read]]="N/A",Table1[[#This Row],[Std Adj Read]]="N/A"),"N/A",IF(Table1[[#This Row],[DUT Adj Read]]="N/A",IF(Table1[[#This Row],[Std Adj Read]]&lt;=Table1[[#This Row],[High Tol]],"Pass","Fail"),IF(Table1[[#This Row],[DUT Adj Read]]&lt;=Table1[[#This Row],[High Tol]],"Pass","Fail")))</f>
        <v>Fail</v>
      </c>
      <c r="AH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 s="1" t="b">
        <v>0</v>
      </c>
      <c r="AN71" s="1" t="b">
        <v>0</v>
      </c>
      <c r="AO71" s="1" t="b">
        <v>0</v>
      </c>
    </row>
    <row r="72" spans="1:41" x14ac:dyDescent="0.25">
      <c r="A72" s="10"/>
      <c r="B72" s="10"/>
      <c r="C72" s="10"/>
      <c r="D72" s="10"/>
      <c r="E72" s="10"/>
      <c r="F72" s="10"/>
      <c r="G72" s="10"/>
      <c r="H72" s="10"/>
      <c r="I72" s="1" t="str">
        <f t="shared" si="2"/>
        <v/>
      </c>
      <c r="J72" s="1" t="s">
        <v>35</v>
      </c>
      <c r="K72" s="1" t="str">
        <f t="shared" si="0"/>
        <v/>
      </c>
      <c r="L72" s="1" t="str">
        <f t="shared" si="1"/>
        <v/>
      </c>
      <c r="M72" s="1">
        <f>IF(OR(Table1[[#This Row],[Std Nom]]="",Table1[[#This Row],[Std Read]]=""),0,Table1[[#This Row],[Std Nom]]-Table1[[#This Row],[Std Read]])</f>
        <v>0</v>
      </c>
      <c r="N72" s="1">
        <f>IF(Calculations!$F$5="ACCREDITED 17025 WITH UNCERTAINTIES",$N$10,0)</f>
        <v>0</v>
      </c>
      <c r="Q72" s="1">
        <f>Table1[[#This Row],[High Tol]]-Table1[[#This Row],[Low Tol]]</f>
        <v>0</v>
      </c>
      <c r="R72" s="1">
        <f>2*Table1[[#This Row],[Std Error]]</f>
        <v>0</v>
      </c>
      <c r="S72" s="1" t="str">
        <f>IF(Table1[[#This Row],[High Tol]]="","N/A",IFERROR(ABS(Table1[[#This Row],[Tol Span]]/Table1[[#This Row],[Error Span]]),"N/A"))</f>
        <v>N/A</v>
      </c>
      <c r="T72" s="1" t="str">
        <f>IF(OR(Table1[[#This Row],[Low Tol]]="",Table1[[#This Row],[High Tol]]=""),"Needs Analysis",IF(Table1[[#This Row],[Ratio]]&gt;=4,"Not Significant",IF(Table1[[#This Row],[Ratio]]&gt;=2,"Semi-Significant","Significant")))</f>
        <v>Needs Analysis</v>
      </c>
      <c r="W72" s="1">
        <f>IF(Table1[[#This Row],[Cal Type]]&lt;&gt;"ACCREDITED 17025 WITH UNCERTAINTIES",0,"")</f>
        <v>0</v>
      </c>
      <c r="X72" s="1" t="str">
        <f>IF(Table1[[#This Row],[DUT Read]]="","N/A",Table1[[#This Row],[Std Error]]+Table1[[#This Row],[DUT Read]]+Table1[[#This Row],[DUT Ucty]])</f>
        <v>N/A</v>
      </c>
      <c r="Y72" s="1" t="str">
        <f>IF(Table1[[#This Row],[Std Read]]="","N/A",Table1[[#This Row],[Std Read]]+Table1[[#This Row],[Std Ucty]])</f>
        <v>N/A</v>
      </c>
      <c r="Z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 s="1" t="str">
        <f>IF(Table1[[#This Row],[Spec Type]]="","N/A",Table1[[#This Row],[Spec Type]])</f>
        <v>±</v>
      </c>
      <c r="AC72" s="1" t="str">
        <f>IF(Table1[[#This Row],[Spec Type2]]="N/A","N/A",IF(AND(Table1[[#This Row],[DUT Adj Read]]&gt;=Table1[[#This Row],[Low Tol]],Table1[[#This Row],[DUT Adj Read]]&lt;=Table1[[#This Row],[High Tol]]),"Pass","Fail"))</f>
        <v>Fail</v>
      </c>
      <c r="AD72" s="1" t="str">
        <f>IF(AND(Table1[[#This Row],[Spec Type2]]="N/A",Table1[[#This Row],[DUT Adj Read]]="N/A",Table1[[#This Row],[Std Adj Read]]="N/A"),"N/A",IF(Table1[[#This Row],[DUT Adj Read]]="N/A",IF(Table1[[#This Row],[Std Adj Read]]&gt;Table1[[#This Row],[Low Tol]],"Pass","Fail"),IF(Table1[[#This Row],[DUT Adj Read]]&gt;Table1[[#This Row],[Low Tol]],"Pass","Fail")))</f>
        <v>Pass</v>
      </c>
      <c r="AE72" s="1" t="str">
        <f>IF(AND(Table1[[#This Row],[Spec Type2]]="N/A",Table1[[#This Row],[DUT Adj Read]]="N/A",Table1[[#This Row],[Std Adj Read]]="N/A"),"N/A",IF(Table1[[#This Row],[DUT Adj Read]]="N/A",IF(Table1[[#This Row],[Std Adj Read]]&lt;Table1[[#This Row],[High Tol]],"Pass","Fail"),IF(Table1[[#This Row],[DUT Adj Read]]&lt;Table1[[#This Row],[High Tol]],"Pass","Fail")))</f>
        <v>Fail</v>
      </c>
      <c r="AF72" s="1" t="str">
        <f>IF(AND(Table1[[#This Row],[Spec Type2]]="N/A",Table1[[#This Row],[DUT Adj Read]]="N/A",Table1[[#This Row],[Std Adj Read]]="N/A"),"N/A",IF(Table1[[#This Row],[DUT Adj Read]]="N/A",IF(Table1[[#This Row],[Std Adj Read]]&gt;=Table1[[#This Row],[Low Tol]],"Pass","Fail"),IF(Table1[[#This Row],[DUT Adj Read]]&gt;=Table1[[#This Row],[Low Tol]],"Pass","Fail")))</f>
        <v>Pass</v>
      </c>
      <c r="AG72" s="1" t="str">
        <f>IF(AND(Table1[[#This Row],[Spec Type2]]="N/A",Table1[[#This Row],[DUT Adj Read]]="N/A",Table1[[#This Row],[Std Adj Read]]="N/A"),"N/A",IF(Table1[[#This Row],[DUT Adj Read]]="N/A",IF(Table1[[#This Row],[Std Adj Read]]&lt;=Table1[[#This Row],[High Tol]],"Pass","Fail"),IF(Table1[[#This Row],[DUT Adj Read]]&lt;=Table1[[#This Row],[High Tol]],"Pass","Fail")))</f>
        <v>Fail</v>
      </c>
      <c r="AH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 s="1" t="b">
        <v>0</v>
      </c>
      <c r="AN72" s="1" t="b">
        <v>0</v>
      </c>
      <c r="AO72" s="1" t="b">
        <v>0</v>
      </c>
    </row>
    <row r="73" spans="1:41" x14ac:dyDescent="0.25">
      <c r="A73" s="10"/>
      <c r="B73" s="10"/>
      <c r="C73" s="10"/>
      <c r="D73" s="10"/>
      <c r="E73" s="10"/>
      <c r="F73" s="10"/>
      <c r="G73" s="10"/>
      <c r="H73" s="10"/>
      <c r="I73" s="1" t="str">
        <f t="shared" si="2"/>
        <v/>
      </c>
      <c r="J73" s="1" t="s">
        <v>35</v>
      </c>
      <c r="K73" s="1" t="str">
        <f t="shared" si="0"/>
        <v/>
      </c>
      <c r="L73" s="1" t="str">
        <f t="shared" si="1"/>
        <v/>
      </c>
      <c r="M73" s="1">
        <f>IF(OR(Table1[[#This Row],[Std Nom]]="",Table1[[#This Row],[Std Read]]=""),0,Table1[[#This Row],[Std Nom]]-Table1[[#This Row],[Std Read]])</f>
        <v>0</v>
      </c>
      <c r="N73" s="1">
        <f>IF(Calculations!$F$5="ACCREDITED 17025 WITH UNCERTAINTIES",$N$10,0)</f>
        <v>0</v>
      </c>
      <c r="Q73" s="1">
        <f>Table1[[#This Row],[High Tol]]-Table1[[#This Row],[Low Tol]]</f>
        <v>0</v>
      </c>
      <c r="R73" s="1">
        <f>2*Table1[[#This Row],[Std Error]]</f>
        <v>0</v>
      </c>
      <c r="S73" s="1" t="str">
        <f>IF(Table1[[#This Row],[High Tol]]="","N/A",IFERROR(ABS(Table1[[#This Row],[Tol Span]]/Table1[[#This Row],[Error Span]]),"N/A"))</f>
        <v>N/A</v>
      </c>
      <c r="T73" s="1" t="str">
        <f>IF(OR(Table1[[#This Row],[Low Tol]]="",Table1[[#This Row],[High Tol]]=""),"Needs Analysis",IF(Table1[[#This Row],[Ratio]]&gt;=4,"Not Significant",IF(Table1[[#This Row],[Ratio]]&gt;=2,"Semi-Significant","Significant")))</f>
        <v>Needs Analysis</v>
      </c>
      <c r="W73" s="1">
        <f>IF(Table1[[#This Row],[Cal Type]]&lt;&gt;"ACCREDITED 17025 WITH UNCERTAINTIES",0,"")</f>
        <v>0</v>
      </c>
      <c r="X73" s="1" t="str">
        <f>IF(Table1[[#This Row],[DUT Read]]="","N/A",Table1[[#This Row],[Std Error]]+Table1[[#This Row],[DUT Read]]+Table1[[#This Row],[DUT Ucty]])</f>
        <v>N/A</v>
      </c>
      <c r="Y73" s="1" t="str">
        <f>IF(Table1[[#This Row],[Std Read]]="","N/A",Table1[[#This Row],[Std Read]]+Table1[[#This Row],[Std Ucty]])</f>
        <v>N/A</v>
      </c>
      <c r="Z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 s="1" t="str">
        <f>IF(Table1[[#This Row],[Spec Type]]="","N/A",Table1[[#This Row],[Spec Type]])</f>
        <v>±</v>
      </c>
      <c r="AC73" s="1" t="str">
        <f>IF(Table1[[#This Row],[Spec Type2]]="N/A","N/A",IF(AND(Table1[[#This Row],[DUT Adj Read]]&gt;=Table1[[#This Row],[Low Tol]],Table1[[#This Row],[DUT Adj Read]]&lt;=Table1[[#This Row],[High Tol]]),"Pass","Fail"))</f>
        <v>Fail</v>
      </c>
      <c r="AD73" s="1" t="str">
        <f>IF(AND(Table1[[#This Row],[Spec Type2]]="N/A",Table1[[#This Row],[DUT Adj Read]]="N/A",Table1[[#This Row],[Std Adj Read]]="N/A"),"N/A",IF(Table1[[#This Row],[DUT Adj Read]]="N/A",IF(Table1[[#This Row],[Std Adj Read]]&gt;Table1[[#This Row],[Low Tol]],"Pass","Fail"),IF(Table1[[#This Row],[DUT Adj Read]]&gt;Table1[[#This Row],[Low Tol]],"Pass","Fail")))</f>
        <v>Pass</v>
      </c>
      <c r="AE73" s="1" t="str">
        <f>IF(AND(Table1[[#This Row],[Spec Type2]]="N/A",Table1[[#This Row],[DUT Adj Read]]="N/A",Table1[[#This Row],[Std Adj Read]]="N/A"),"N/A",IF(Table1[[#This Row],[DUT Adj Read]]="N/A",IF(Table1[[#This Row],[Std Adj Read]]&lt;Table1[[#This Row],[High Tol]],"Pass","Fail"),IF(Table1[[#This Row],[DUT Adj Read]]&lt;Table1[[#This Row],[High Tol]],"Pass","Fail")))</f>
        <v>Fail</v>
      </c>
      <c r="AF73" s="1" t="str">
        <f>IF(AND(Table1[[#This Row],[Spec Type2]]="N/A",Table1[[#This Row],[DUT Adj Read]]="N/A",Table1[[#This Row],[Std Adj Read]]="N/A"),"N/A",IF(Table1[[#This Row],[DUT Adj Read]]="N/A",IF(Table1[[#This Row],[Std Adj Read]]&gt;=Table1[[#This Row],[Low Tol]],"Pass","Fail"),IF(Table1[[#This Row],[DUT Adj Read]]&gt;=Table1[[#This Row],[Low Tol]],"Pass","Fail")))</f>
        <v>Pass</v>
      </c>
      <c r="AG73" s="1" t="str">
        <f>IF(AND(Table1[[#This Row],[Spec Type2]]="N/A",Table1[[#This Row],[DUT Adj Read]]="N/A",Table1[[#This Row],[Std Adj Read]]="N/A"),"N/A",IF(Table1[[#This Row],[DUT Adj Read]]="N/A",IF(Table1[[#This Row],[Std Adj Read]]&lt;=Table1[[#This Row],[High Tol]],"Pass","Fail"),IF(Table1[[#This Row],[DUT Adj Read]]&lt;=Table1[[#This Row],[High Tol]],"Pass","Fail")))</f>
        <v>Fail</v>
      </c>
      <c r="AH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 s="1" t="b">
        <v>0</v>
      </c>
      <c r="AN73" s="1" t="b">
        <v>0</v>
      </c>
      <c r="AO73" s="1" t="b">
        <v>0</v>
      </c>
    </row>
    <row r="74" spans="1:41" x14ac:dyDescent="0.25">
      <c r="A74" s="10"/>
      <c r="B74" s="10"/>
      <c r="C74" s="10"/>
      <c r="D74" s="10"/>
      <c r="E74" s="10"/>
      <c r="F74" s="10"/>
      <c r="G74" s="10"/>
      <c r="H74" s="10"/>
      <c r="I74" s="1" t="str">
        <f t="shared" si="2"/>
        <v/>
      </c>
      <c r="J74" s="1" t="s">
        <v>35</v>
      </c>
      <c r="K74" s="1" t="str">
        <f t="shared" si="0"/>
        <v/>
      </c>
      <c r="L74" s="1" t="str">
        <f t="shared" si="1"/>
        <v/>
      </c>
      <c r="M74" s="1">
        <f>IF(OR(Table1[[#This Row],[Std Nom]]="",Table1[[#This Row],[Std Read]]=""),0,Table1[[#This Row],[Std Nom]]-Table1[[#This Row],[Std Read]])</f>
        <v>0</v>
      </c>
      <c r="N74" s="1">
        <f>IF(Calculations!$F$5="ACCREDITED 17025 WITH UNCERTAINTIES",$N$10,0)</f>
        <v>0</v>
      </c>
      <c r="Q74" s="1">
        <f>Table1[[#This Row],[High Tol]]-Table1[[#This Row],[Low Tol]]</f>
        <v>0</v>
      </c>
      <c r="R74" s="1">
        <f>2*Table1[[#This Row],[Std Error]]</f>
        <v>0</v>
      </c>
      <c r="S74" s="1" t="str">
        <f>IF(Table1[[#This Row],[High Tol]]="","N/A",IFERROR(ABS(Table1[[#This Row],[Tol Span]]/Table1[[#This Row],[Error Span]]),"N/A"))</f>
        <v>N/A</v>
      </c>
      <c r="T74" s="1" t="str">
        <f>IF(OR(Table1[[#This Row],[Low Tol]]="",Table1[[#This Row],[High Tol]]=""),"Needs Analysis",IF(Table1[[#This Row],[Ratio]]&gt;=4,"Not Significant",IF(Table1[[#This Row],[Ratio]]&gt;=2,"Semi-Significant","Significant")))</f>
        <v>Needs Analysis</v>
      </c>
      <c r="W74" s="1">
        <f>IF(Table1[[#This Row],[Cal Type]]&lt;&gt;"ACCREDITED 17025 WITH UNCERTAINTIES",0,"")</f>
        <v>0</v>
      </c>
      <c r="X74" s="1" t="str">
        <f>IF(Table1[[#This Row],[DUT Read]]="","N/A",Table1[[#This Row],[Std Error]]+Table1[[#This Row],[DUT Read]]+Table1[[#This Row],[DUT Ucty]])</f>
        <v>N/A</v>
      </c>
      <c r="Y74" s="1" t="str">
        <f>IF(Table1[[#This Row],[Std Read]]="","N/A",Table1[[#This Row],[Std Read]]+Table1[[#This Row],[Std Ucty]])</f>
        <v>N/A</v>
      </c>
      <c r="Z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 s="1" t="str">
        <f>IF(Table1[[#This Row],[Spec Type]]="","N/A",Table1[[#This Row],[Spec Type]])</f>
        <v>±</v>
      </c>
      <c r="AC74" s="1" t="str">
        <f>IF(Table1[[#This Row],[Spec Type2]]="N/A","N/A",IF(AND(Table1[[#This Row],[DUT Adj Read]]&gt;=Table1[[#This Row],[Low Tol]],Table1[[#This Row],[DUT Adj Read]]&lt;=Table1[[#This Row],[High Tol]]),"Pass","Fail"))</f>
        <v>Fail</v>
      </c>
      <c r="AD74" s="1" t="str">
        <f>IF(AND(Table1[[#This Row],[Spec Type2]]="N/A",Table1[[#This Row],[DUT Adj Read]]="N/A",Table1[[#This Row],[Std Adj Read]]="N/A"),"N/A",IF(Table1[[#This Row],[DUT Adj Read]]="N/A",IF(Table1[[#This Row],[Std Adj Read]]&gt;Table1[[#This Row],[Low Tol]],"Pass","Fail"),IF(Table1[[#This Row],[DUT Adj Read]]&gt;Table1[[#This Row],[Low Tol]],"Pass","Fail")))</f>
        <v>Pass</v>
      </c>
      <c r="AE74" s="1" t="str">
        <f>IF(AND(Table1[[#This Row],[Spec Type2]]="N/A",Table1[[#This Row],[DUT Adj Read]]="N/A",Table1[[#This Row],[Std Adj Read]]="N/A"),"N/A",IF(Table1[[#This Row],[DUT Adj Read]]="N/A",IF(Table1[[#This Row],[Std Adj Read]]&lt;Table1[[#This Row],[High Tol]],"Pass","Fail"),IF(Table1[[#This Row],[DUT Adj Read]]&lt;Table1[[#This Row],[High Tol]],"Pass","Fail")))</f>
        <v>Fail</v>
      </c>
      <c r="AF74" s="1" t="str">
        <f>IF(AND(Table1[[#This Row],[Spec Type2]]="N/A",Table1[[#This Row],[DUT Adj Read]]="N/A",Table1[[#This Row],[Std Adj Read]]="N/A"),"N/A",IF(Table1[[#This Row],[DUT Adj Read]]="N/A",IF(Table1[[#This Row],[Std Adj Read]]&gt;=Table1[[#This Row],[Low Tol]],"Pass","Fail"),IF(Table1[[#This Row],[DUT Adj Read]]&gt;=Table1[[#This Row],[Low Tol]],"Pass","Fail")))</f>
        <v>Pass</v>
      </c>
      <c r="AG74" s="1" t="str">
        <f>IF(AND(Table1[[#This Row],[Spec Type2]]="N/A",Table1[[#This Row],[DUT Adj Read]]="N/A",Table1[[#This Row],[Std Adj Read]]="N/A"),"N/A",IF(Table1[[#This Row],[DUT Adj Read]]="N/A",IF(Table1[[#This Row],[Std Adj Read]]&lt;=Table1[[#This Row],[High Tol]],"Pass","Fail"),IF(Table1[[#This Row],[DUT Adj Read]]&lt;=Table1[[#This Row],[High Tol]],"Pass","Fail")))</f>
        <v>Fail</v>
      </c>
      <c r="AH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 s="1" t="b">
        <v>0</v>
      </c>
      <c r="AN74" s="1" t="b">
        <v>0</v>
      </c>
      <c r="AO74" s="1" t="b">
        <v>0</v>
      </c>
    </row>
    <row r="75" spans="1:41" x14ac:dyDescent="0.25">
      <c r="A75" s="10"/>
      <c r="B75" s="10"/>
      <c r="C75" s="10"/>
      <c r="D75" s="10"/>
      <c r="E75" s="10"/>
      <c r="F75" s="10"/>
      <c r="G75" s="10"/>
      <c r="H75" s="10"/>
      <c r="I75" s="1" t="str">
        <f t="shared" ref="I75:I138" si="3">IF($I$10="","",$I$10)</f>
        <v/>
      </c>
      <c r="J75" s="1" t="s">
        <v>35</v>
      </c>
      <c r="K75" s="1" t="str">
        <f t="shared" ref="K75:K138" si="4">IF($K$10="","",$K$10)</f>
        <v/>
      </c>
      <c r="L75" s="1" t="str">
        <f t="shared" ref="L75:L138" si="5">IF($L$10="","",$L$10)</f>
        <v/>
      </c>
      <c r="M75" s="1">
        <f>IF(OR(Table1[[#This Row],[Std Nom]]="",Table1[[#This Row],[Std Read]]=""),0,Table1[[#This Row],[Std Nom]]-Table1[[#This Row],[Std Read]])</f>
        <v>0</v>
      </c>
      <c r="N75" s="1">
        <f>IF(Calculations!$F$5="ACCREDITED 17025 WITH UNCERTAINTIES",$N$10,0)</f>
        <v>0</v>
      </c>
      <c r="Q75" s="1">
        <f>Table1[[#This Row],[High Tol]]-Table1[[#This Row],[Low Tol]]</f>
        <v>0</v>
      </c>
      <c r="R75" s="1">
        <f>2*Table1[[#This Row],[Std Error]]</f>
        <v>0</v>
      </c>
      <c r="S75" s="1" t="str">
        <f>IF(Table1[[#This Row],[High Tol]]="","N/A",IFERROR(ABS(Table1[[#This Row],[Tol Span]]/Table1[[#This Row],[Error Span]]),"N/A"))</f>
        <v>N/A</v>
      </c>
      <c r="T75" s="1" t="str">
        <f>IF(OR(Table1[[#This Row],[Low Tol]]="",Table1[[#This Row],[High Tol]]=""),"Needs Analysis",IF(Table1[[#This Row],[Ratio]]&gt;=4,"Not Significant",IF(Table1[[#This Row],[Ratio]]&gt;=2,"Semi-Significant","Significant")))</f>
        <v>Needs Analysis</v>
      </c>
      <c r="W75" s="1">
        <f>IF(Table1[[#This Row],[Cal Type]]&lt;&gt;"ACCREDITED 17025 WITH UNCERTAINTIES",0,"")</f>
        <v>0</v>
      </c>
      <c r="X75" s="1" t="str">
        <f>IF(Table1[[#This Row],[DUT Read]]="","N/A",Table1[[#This Row],[Std Error]]+Table1[[#This Row],[DUT Read]]+Table1[[#This Row],[DUT Ucty]])</f>
        <v>N/A</v>
      </c>
      <c r="Y75" s="1" t="str">
        <f>IF(Table1[[#This Row],[Std Read]]="","N/A",Table1[[#This Row],[Std Read]]+Table1[[#This Row],[Std Ucty]])</f>
        <v>N/A</v>
      </c>
      <c r="Z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 s="1" t="str">
        <f>IF(Table1[[#This Row],[Spec Type]]="","N/A",Table1[[#This Row],[Spec Type]])</f>
        <v>±</v>
      </c>
      <c r="AC75" s="1" t="str">
        <f>IF(Table1[[#This Row],[Spec Type2]]="N/A","N/A",IF(AND(Table1[[#This Row],[DUT Adj Read]]&gt;=Table1[[#This Row],[Low Tol]],Table1[[#This Row],[DUT Adj Read]]&lt;=Table1[[#This Row],[High Tol]]),"Pass","Fail"))</f>
        <v>Fail</v>
      </c>
      <c r="AD75" s="1" t="str">
        <f>IF(AND(Table1[[#This Row],[Spec Type2]]="N/A",Table1[[#This Row],[DUT Adj Read]]="N/A",Table1[[#This Row],[Std Adj Read]]="N/A"),"N/A",IF(Table1[[#This Row],[DUT Adj Read]]="N/A",IF(Table1[[#This Row],[Std Adj Read]]&gt;Table1[[#This Row],[Low Tol]],"Pass","Fail"),IF(Table1[[#This Row],[DUT Adj Read]]&gt;Table1[[#This Row],[Low Tol]],"Pass","Fail")))</f>
        <v>Pass</v>
      </c>
      <c r="AE75" s="1" t="str">
        <f>IF(AND(Table1[[#This Row],[Spec Type2]]="N/A",Table1[[#This Row],[DUT Adj Read]]="N/A",Table1[[#This Row],[Std Adj Read]]="N/A"),"N/A",IF(Table1[[#This Row],[DUT Adj Read]]="N/A",IF(Table1[[#This Row],[Std Adj Read]]&lt;Table1[[#This Row],[High Tol]],"Pass","Fail"),IF(Table1[[#This Row],[DUT Adj Read]]&lt;Table1[[#This Row],[High Tol]],"Pass","Fail")))</f>
        <v>Fail</v>
      </c>
      <c r="AF75" s="1" t="str">
        <f>IF(AND(Table1[[#This Row],[Spec Type2]]="N/A",Table1[[#This Row],[DUT Adj Read]]="N/A",Table1[[#This Row],[Std Adj Read]]="N/A"),"N/A",IF(Table1[[#This Row],[DUT Adj Read]]="N/A",IF(Table1[[#This Row],[Std Adj Read]]&gt;=Table1[[#This Row],[Low Tol]],"Pass","Fail"),IF(Table1[[#This Row],[DUT Adj Read]]&gt;=Table1[[#This Row],[Low Tol]],"Pass","Fail")))</f>
        <v>Pass</v>
      </c>
      <c r="AG75" s="1" t="str">
        <f>IF(AND(Table1[[#This Row],[Spec Type2]]="N/A",Table1[[#This Row],[DUT Adj Read]]="N/A",Table1[[#This Row],[Std Adj Read]]="N/A"),"N/A",IF(Table1[[#This Row],[DUT Adj Read]]="N/A",IF(Table1[[#This Row],[Std Adj Read]]&lt;=Table1[[#This Row],[High Tol]],"Pass","Fail"),IF(Table1[[#This Row],[DUT Adj Read]]&lt;=Table1[[#This Row],[High Tol]],"Pass","Fail")))</f>
        <v>Fail</v>
      </c>
      <c r="AH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 s="1" t="b">
        <v>0</v>
      </c>
      <c r="AN75" s="1" t="b">
        <v>0</v>
      </c>
      <c r="AO75" s="1" t="b">
        <v>0</v>
      </c>
    </row>
    <row r="76" spans="1:41" x14ac:dyDescent="0.25">
      <c r="A76" s="10"/>
      <c r="B76" s="10"/>
      <c r="C76" s="10"/>
      <c r="D76" s="10"/>
      <c r="E76" s="10"/>
      <c r="F76" s="10"/>
      <c r="G76" s="10"/>
      <c r="H76" s="10"/>
      <c r="I76" s="1" t="str">
        <f t="shared" si="3"/>
        <v/>
      </c>
      <c r="J76" s="1" t="s">
        <v>35</v>
      </c>
      <c r="K76" s="1" t="str">
        <f t="shared" si="4"/>
        <v/>
      </c>
      <c r="L76" s="1" t="str">
        <f t="shared" si="5"/>
        <v/>
      </c>
      <c r="M76" s="1">
        <f>IF(OR(Table1[[#This Row],[Std Nom]]="",Table1[[#This Row],[Std Read]]=""),0,Table1[[#This Row],[Std Nom]]-Table1[[#This Row],[Std Read]])</f>
        <v>0</v>
      </c>
      <c r="N76" s="1">
        <f>IF(Calculations!$F$5="ACCREDITED 17025 WITH UNCERTAINTIES",$N$10,0)</f>
        <v>0</v>
      </c>
      <c r="Q76" s="1">
        <f>Table1[[#This Row],[High Tol]]-Table1[[#This Row],[Low Tol]]</f>
        <v>0</v>
      </c>
      <c r="R76" s="1">
        <f>2*Table1[[#This Row],[Std Error]]</f>
        <v>0</v>
      </c>
      <c r="S76" s="1" t="str">
        <f>IF(Table1[[#This Row],[High Tol]]="","N/A",IFERROR(ABS(Table1[[#This Row],[Tol Span]]/Table1[[#This Row],[Error Span]]),"N/A"))</f>
        <v>N/A</v>
      </c>
      <c r="T76" s="1" t="str">
        <f>IF(OR(Table1[[#This Row],[Low Tol]]="",Table1[[#This Row],[High Tol]]=""),"Needs Analysis",IF(Table1[[#This Row],[Ratio]]&gt;=4,"Not Significant",IF(Table1[[#This Row],[Ratio]]&gt;=2,"Semi-Significant","Significant")))</f>
        <v>Needs Analysis</v>
      </c>
      <c r="W76" s="1">
        <f>IF(Table1[[#This Row],[Cal Type]]&lt;&gt;"ACCREDITED 17025 WITH UNCERTAINTIES",0,"")</f>
        <v>0</v>
      </c>
      <c r="X76" s="1" t="str">
        <f>IF(Table1[[#This Row],[DUT Read]]="","N/A",Table1[[#This Row],[Std Error]]+Table1[[#This Row],[DUT Read]]+Table1[[#This Row],[DUT Ucty]])</f>
        <v>N/A</v>
      </c>
      <c r="Y76" s="1" t="str">
        <f>IF(Table1[[#This Row],[Std Read]]="","N/A",Table1[[#This Row],[Std Read]]+Table1[[#This Row],[Std Ucty]])</f>
        <v>N/A</v>
      </c>
      <c r="Z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 s="1" t="str">
        <f>IF(Table1[[#This Row],[Spec Type]]="","N/A",Table1[[#This Row],[Spec Type]])</f>
        <v>±</v>
      </c>
      <c r="AC76" s="1" t="str">
        <f>IF(Table1[[#This Row],[Spec Type2]]="N/A","N/A",IF(AND(Table1[[#This Row],[DUT Adj Read]]&gt;=Table1[[#This Row],[Low Tol]],Table1[[#This Row],[DUT Adj Read]]&lt;=Table1[[#This Row],[High Tol]]),"Pass","Fail"))</f>
        <v>Fail</v>
      </c>
      <c r="AD76" s="1" t="str">
        <f>IF(AND(Table1[[#This Row],[Spec Type2]]="N/A",Table1[[#This Row],[DUT Adj Read]]="N/A",Table1[[#This Row],[Std Adj Read]]="N/A"),"N/A",IF(Table1[[#This Row],[DUT Adj Read]]="N/A",IF(Table1[[#This Row],[Std Adj Read]]&gt;Table1[[#This Row],[Low Tol]],"Pass","Fail"),IF(Table1[[#This Row],[DUT Adj Read]]&gt;Table1[[#This Row],[Low Tol]],"Pass","Fail")))</f>
        <v>Pass</v>
      </c>
      <c r="AE76" s="1" t="str">
        <f>IF(AND(Table1[[#This Row],[Spec Type2]]="N/A",Table1[[#This Row],[DUT Adj Read]]="N/A",Table1[[#This Row],[Std Adj Read]]="N/A"),"N/A",IF(Table1[[#This Row],[DUT Adj Read]]="N/A",IF(Table1[[#This Row],[Std Adj Read]]&lt;Table1[[#This Row],[High Tol]],"Pass","Fail"),IF(Table1[[#This Row],[DUT Adj Read]]&lt;Table1[[#This Row],[High Tol]],"Pass","Fail")))</f>
        <v>Fail</v>
      </c>
      <c r="AF76" s="1" t="str">
        <f>IF(AND(Table1[[#This Row],[Spec Type2]]="N/A",Table1[[#This Row],[DUT Adj Read]]="N/A",Table1[[#This Row],[Std Adj Read]]="N/A"),"N/A",IF(Table1[[#This Row],[DUT Adj Read]]="N/A",IF(Table1[[#This Row],[Std Adj Read]]&gt;=Table1[[#This Row],[Low Tol]],"Pass","Fail"),IF(Table1[[#This Row],[DUT Adj Read]]&gt;=Table1[[#This Row],[Low Tol]],"Pass","Fail")))</f>
        <v>Pass</v>
      </c>
      <c r="AG76" s="1" t="str">
        <f>IF(AND(Table1[[#This Row],[Spec Type2]]="N/A",Table1[[#This Row],[DUT Adj Read]]="N/A",Table1[[#This Row],[Std Adj Read]]="N/A"),"N/A",IF(Table1[[#This Row],[DUT Adj Read]]="N/A",IF(Table1[[#This Row],[Std Adj Read]]&lt;=Table1[[#This Row],[High Tol]],"Pass","Fail"),IF(Table1[[#This Row],[DUT Adj Read]]&lt;=Table1[[#This Row],[High Tol]],"Pass","Fail")))</f>
        <v>Fail</v>
      </c>
      <c r="AH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 s="1" t="b">
        <v>0</v>
      </c>
      <c r="AN76" s="1" t="b">
        <v>0</v>
      </c>
      <c r="AO76" s="1" t="b">
        <v>0</v>
      </c>
    </row>
    <row r="77" spans="1:41" x14ac:dyDescent="0.25">
      <c r="A77" s="10"/>
      <c r="B77" s="10"/>
      <c r="C77" s="10"/>
      <c r="D77" s="10"/>
      <c r="E77" s="10"/>
      <c r="F77" s="10"/>
      <c r="G77" s="10"/>
      <c r="H77" s="10"/>
      <c r="I77" s="1" t="str">
        <f t="shared" si="3"/>
        <v/>
      </c>
      <c r="J77" s="1" t="s">
        <v>35</v>
      </c>
      <c r="K77" s="1" t="str">
        <f t="shared" si="4"/>
        <v/>
      </c>
      <c r="L77" s="1" t="str">
        <f t="shared" si="5"/>
        <v/>
      </c>
      <c r="M77" s="1">
        <f>IF(OR(Table1[[#This Row],[Std Nom]]="",Table1[[#This Row],[Std Read]]=""),0,Table1[[#This Row],[Std Nom]]-Table1[[#This Row],[Std Read]])</f>
        <v>0</v>
      </c>
      <c r="N77" s="1">
        <f>IF(Calculations!$F$5="ACCREDITED 17025 WITH UNCERTAINTIES",$N$10,0)</f>
        <v>0</v>
      </c>
      <c r="Q77" s="1">
        <f>Table1[[#This Row],[High Tol]]-Table1[[#This Row],[Low Tol]]</f>
        <v>0</v>
      </c>
      <c r="R77" s="1">
        <f>2*Table1[[#This Row],[Std Error]]</f>
        <v>0</v>
      </c>
      <c r="S77" s="1" t="str">
        <f>IF(Table1[[#This Row],[High Tol]]="","N/A",IFERROR(ABS(Table1[[#This Row],[Tol Span]]/Table1[[#This Row],[Error Span]]),"N/A"))</f>
        <v>N/A</v>
      </c>
      <c r="T77" s="1" t="str">
        <f>IF(OR(Table1[[#This Row],[Low Tol]]="",Table1[[#This Row],[High Tol]]=""),"Needs Analysis",IF(Table1[[#This Row],[Ratio]]&gt;=4,"Not Significant",IF(Table1[[#This Row],[Ratio]]&gt;=2,"Semi-Significant","Significant")))</f>
        <v>Needs Analysis</v>
      </c>
      <c r="W77" s="1">
        <f>IF(Table1[[#This Row],[Cal Type]]&lt;&gt;"ACCREDITED 17025 WITH UNCERTAINTIES",0,"")</f>
        <v>0</v>
      </c>
      <c r="X77" s="1" t="str">
        <f>IF(Table1[[#This Row],[DUT Read]]="","N/A",Table1[[#This Row],[Std Error]]+Table1[[#This Row],[DUT Read]]+Table1[[#This Row],[DUT Ucty]])</f>
        <v>N/A</v>
      </c>
      <c r="Y77" s="1" t="str">
        <f>IF(Table1[[#This Row],[Std Read]]="","N/A",Table1[[#This Row],[Std Read]]+Table1[[#This Row],[Std Ucty]])</f>
        <v>N/A</v>
      </c>
      <c r="Z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 s="1" t="str">
        <f>IF(Table1[[#This Row],[Spec Type]]="","N/A",Table1[[#This Row],[Spec Type]])</f>
        <v>±</v>
      </c>
      <c r="AC77" s="1" t="str">
        <f>IF(Table1[[#This Row],[Spec Type2]]="N/A","N/A",IF(AND(Table1[[#This Row],[DUT Adj Read]]&gt;=Table1[[#This Row],[Low Tol]],Table1[[#This Row],[DUT Adj Read]]&lt;=Table1[[#This Row],[High Tol]]),"Pass","Fail"))</f>
        <v>Fail</v>
      </c>
      <c r="AD77" s="1" t="str">
        <f>IF(AND(Table1[[#This Row],[Spec Type2]]="N/A",Table1[[#This Row],[DUT Adj Read]]="N/A",Table1[[#This Row],[Std Adj Read]]="N/A"),"N/A",IF(Table1[[#This Row],[DUT Adj Read]]="N/A",IF(Table1[[#This Row],[Std Adj Read]]&gt;Table1[[#This Row],[Low Tol]],"Pass","Fail"),IF(Table1[[#This Row],[DUT Adj Read]]&gt;Table1[[#This Row],[Low Tol]],"Pass","Fail")))</f>
        <v>Pass</v>
      </c>
      <c r="AE77" s="1" t="str">
        <f>IF(AND(Table1[[#This Row],[Spec Type2]]="N/A",Table1[[#This Row],[DUT Adj Read]]="N/A",Table1[[#This Row],[Std Adj Read]]="N/A"),"N/A",IF(Table1[[#This Row],[DUT Adj Read]]="N/A",IF(Table1[[#This Row],[Std Adj Read]]&lt;Table1[[#This Row],[High Tol]],"Pass","Fail"),IF(Table1[[#This Row],[DUT Adj Read]]&lt;Table1[[#This Row],[High Tol]],"Pass","Fail")))</f>
        <v>Fail</v>
      </c>
      <c r="AF77" s="1" t="str">
        <f>IF(AND(Table1[[#This Row],[Spec Type2]]="N/A",Table1[[#This Row],[DUT Adj Read]]="N/A",Table1[[#This Row],[Std Adj Read]]="N/A"),"N/A",IF(Table1[[#This Row],[DUT Adj Read]]="N/A",IF(Table1[[#This Row],[Std Adj Read]]&gt;=Table1[[#This Row],[Low Tol]],"Pass","Fail"),IF(Table1[[#This Row],[DUT Adj Read]]&gt;=Table1[[#This Row],[Low Tol]],"Pass","Fail")))</f>
        <v>Pass</v>
      </c>
      <c r="AG77" s="1" t="str">
        <f>IF(AND(Table1[[#This Row],[Spec Type2]]="N/A",Table1[[#This Row],[DUT Adj Read]]="N/A",Table1[[#This Row],[Std Adj Read]]="N/A"),"N/A",IF(Table1[[#This Row],[DUT Adj Read]]="N/A",IF(Table1[[#This Row],[Std Adj Read]]&lt;=Table1[[#This Row],[High Tol]],"Pass","Fail"),IF(Table1[[#This Row],[DUT Adj Read]]&lt;=Table1[[#This Row],[High Tol]],"Pass","Fail")))</f>
        <v>Fail</v>
      </c>
      <c r="AH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 s="1" t="b">
        <v>0</v>
      </c>
      <c r="AN77" s="1" t="b">
        <v>0</v>
      </c>
      <c r="AO77" s="1" t="b">
        <v>0</v>
      </c>
    </row>
    <row r="78" spans="1:41" x14ac:dyDescent="0.25">
      <c r="A78" s="10"/>
      <c r="B78" s="10"/>
      <c r="C78" s="10"/>
      <c r="D78" s="10"/>
      <c r="E78" s="10"/>
      <c r="F78" s="10"/>
      <c r="G78" s="10"/>
      <c r="H78" s="10"/>
      <c r="I78" s="1" t="str">
        <f t="shared" si="3"/>
        <v/>
      </c>
      <c r="J78" s="1" t="s">
        <v>35</v>
      </c>
      <c r="K78" s="1" t="str">
        <f t="shared" si="4"/>
        <v/>
      </c>
      <c r="L78" s="1" t="str">
        <f t="shared" si="5"/>
        <v/>
      </c>
      <c r="M78" s="1">
        <f>IF(OR(Table1[[#This Row],[Std Nom]]="",Table1[[#This Row],[Std Read]]=""),0,Table1[[#This Row],[Std Nom]]-Table1[[#This Row],[Std Read]])</f>
        <v>0</v>
      </c>
      <c r="N78" s="1">
        <f>IF(Calculations!$F$5="ACCREDITED 17025 WITH UNCERTAINTIES",$N$10,0)</f>
        <v>0</v>
      </c>
      <c r="Q78" s="1">
        <f>Table1[[#This Row],[High Tol]]-Table1[[#This Row],[Low Tol]]</f>
        <v>0</v>
      </c>
      <c r="R78" s="1">
        <f>2*Table1[[#This Row],[Std Error]]</f>
        <v>0</v>
      </c>
      <c r="S78" s="1" t="str">
        <f>IF(Table1[[#This Row],[High Tol]]="","N/A",IFERROR(ABS(Table1[[#This Row],[Tol Span]]/Table1[[#This Row],[Error Span]]),"N/A"))</f>
        <v>N/A</v>
      </c>
      <c r="T78" s="1" t="str">
        <f>IF(OR(Table1[[#This Row],[Low Tol]]="",Table1[[#This Row],[High Tol]]=""),"Needs Analysis",IF(Table1[[#This Row],[Ratio]]&gt;=4,"Not Significant",IF(Table1[[#This Row],[Ratio]]&gt;=2,"Semi-Significant","Significant")))</f>
        <v>Needs Analysis</v>
      </c>
      <c r="W78" s="1">
        <f>IF(Table1[[#This Row],[Cal Type]]&lt;&gt;"ACCREDITED 17025 WITH UNCERTAINTIES",0,"")</f>
        <v>0</v>
      </c>
      <c r="X78" s="1" t="str">
        <f>IF(Table1[[#This Row],[DUT Read]]="","N/A",Table1[[#This Row],[Std Error]]+Table1[[#This Row],[DUT Read]]+Table1[[#This Row],[DUT Ucty]])</f>
        <v>N/A</v>
      </c>
      <c r="Y78" s="1" t="str">
        <f>IF(Table1[[#This Row],[Std Read]]="","N/A",Table1[[#This Row],[Std Read]]+Table1[[#This Row],[Std Ucty]])</f>
        <v>N/A</v>
      </c>
      <c r="Z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 s="1" t="str">
        <f>IF(Table1[[#This Row],[Spec Type]]="","N/A",Table1[[#This Row],[Spec Type]])</f>
        <v>±</v>
      </c>
      <c r="AC78" s="1" t="str">
        <f>IF(Table1[[#This Row],[Spec Type2]]="N/A","N/A",IF(AND(Table1[[#This Row],[DUT Adj Read]]&gt;=Table1[[#This Row],[Low Tol]],Table1[[#This Row],[DUT Adj Read]]&lt;=Table1[[#This Row],[High Tol]]),"Pass","Fail"))</f>
        <v>Fail</v>
      </c>
      <c r="AD78" s="1" t="str">
        <f>IF(AND(Table1[[#This Row],[Spec Type2]]="N/A",Table1[[#This Row],[DUT Adj Read]]="N/A",Table1[[#This Row],[Std Adj Read]]="N/A"),"N/A",IF(Table1[[#This Row],[DUT Adj Read]]="N/A",IF(Table1[[#This Row],[Std Adj Read]]&gt;Table1[[#This Row],[Low Tol]],"Pass","Fail"),IF(Table1[[#This Row],[DUT Adj Read]]&gt;Table1[[#This Row],[Low Tol]],"Pass","Fail")))</f>
        <v>Pass</v>
      </c>
      <c r="AE78" s="1" t="str">
        <f>IF(AND(Table1[[#This Row],[Spec Type2]]="N/A",Table1[[#This Row],[DUT Adj Read]]="N/A",Table1[[#This Row],[Std Adj Read]]="N/A"),"N/A",IF(Table1[[#This Row],[DUT Adj Read]]="N/A",IF(Table1[[#This Row],[Std Adj Read]]&lt;Table1[[#This Row],[High Tol]],"Pass","Fail"),IF(Table1[[#This Row],[DUT Adj Read]]&lt;Table1[[#This Row],[High Tol]],"Pass","Fail")))</f>
        <v>Fail</v>
      </c>
      <c r="AF78" s="1" t="str">
        <f>IF(AND(Table1[[#This Row],[Spec Type2]]="N/A",Table1[[#This Row],[DUT Adj Read]]="N/A",Table1[[#This Row],[Std Adj Read]]="N/A"),"N/A",IF(Table1[[#This Row],[DUT Adj Read]]="N/A",IF(Table1[[#This Row],[Std Adj Read]]&gt;=Table1[[#This Row],[Low Tol]],"Pass","Fail"),IF(Table1[[#This Row],[DUT Adj Read]]&gt;=Table1[[#This Row],[Low Tol]],"Pass","Fail")))</f>
        <v>Pass</v>
      </c>
      <c r="AG78" s="1" t="str">
        <f>IF(AND(Table1[[#This Row],[Spec Type2]]="N/A",Table1[[#This Row],[DUT Adj Read]]="N/A",Table1[[#This Row],[Std Adj Read]]="N/A"),"N/A",IF(Table1[[#This Row],[DUT Adj Read]]="N/A",IF(Table1[[#This Row],[Std Adj Read]]&lt;=Table1[[#This Row],[High Tol]],"Pass","Fail"),IF(Table1[[#This Row],[DUT Adj Read]]&lt;=Table1[[#This Row],[High Tol]],"Pass","Fail")))</f>
        <v>Fail</v>
      </c>
      <c r="AH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 s="1" t="b">
        <v>0</v>
      </c>
      <c r="AN78" s="1" t="b">
        <v>0</v>
      </c>
      <c r="AO78" s="1" t="b">
        <v>0</v>
      </c>
    </row>
    <row r="79" spans="1:41" x14ac:dyDescent="0.25">
      <c r="A79" s="10"/>
      <c r="B79" s="10"/>
      <c r="C79" s="10"/>
      <c r="D79" s="10"/>
      <c r="E79" s="10"/>
      <c r="F79" s="10"/>
      <c r="G79" s="10"/>
      <c r="H79" s="10"/>
      <c r="I79" s="1" t="str">
        <f t="shared" si="3"/>
        <v/>
      </c>
      <c r="J79" s="1" t="s">
        <v>35</v>
      </c>
      <c r="K79" s="1" t="str">
        <f t="shared" si="4"/>
        <v/>
      </c>
      <c r="L79" s="1" t="str">
        <f t="shared" si="5"/>
        <v/>
      </c>
      <c r="M79" s="1">
        <f>IF(OR(Table1[[#This Row],[Std Nom]]="",Table1[[#This Row],[Std Read]]=""),0,Table1[[#This Row],[Std Nom]]-Table1[[#This Row],[Std Read]])</f>
        <v>0</v>
      </c>
      <c r="N79" s="1">
        <f>IF(Calculations!$F$5="ACCREDITED 17025 WITH UNCERTAINTIES",$N$10,0)</f>
        <v>0</v>
      </c>
      <c r="Q79" s="1">
        <f>Table1[[#This Row],[High Tol]]-Table1[[#This Row],[Low Tol]]</f>
        <v>0</v>
      </c>
      <c r="R79" s="1">
        <f>2*Table1[[#This Row],[Std Error]]</f>
        <v>0</v>
      </c>
      <c r="S79" s="1" t="str">
        <f>IF(Table1[[#This Row],[High Tol]]="","N/A",IFERROR(ABS(Table1[[#This Row],[Tol Span]]/Table1[[#This Row],[Error Span]]),"N/A"))</f>
        <v>N/A</v>
      </c>
      <c r="T79" s="1" t="str">
        <f>IF(OR(Table1[[#This Row],[Low Tol]]="",Table1[[#This Row],[High Tol]]=""),"Needs Analysis",IF(Table1[[#This Row],[Ratio]]&gt;=4,"Not Significant",IF(Table1[[#This Row],[Ratio]]&gt;=2,"Semi-Significant","Significant")))</f>
        <v>Needs Analysis</v>
      </c>
      <c r="W79" s="1">
        <f>IF(Table1[[#This Row],[Cal Type]]&lt;&gt;"ACCREDITED 17025 WITH UNCERTAINTIES",0,"")</f>
        <v>0</v>
      </c>
      <c r="X79" s="1" t="str">
        <f>IF(Table1[[#This Row],[DUT Read]]="","N/A",Table1[[#This Row],[Std Error]]+Table1[[#This Row],[DUT Read]]+Table1[[#This Row],[DUT Ucty]])</f>
        <v>N/A</v>
      </c>
      <c r="Y79" s="1" t="str">
        <f>IF(Table1[[#This Row],[Std Read]]="","N/A",Table1[[#This Row],[Std Read]]+Table1[[#This Row],[Std Ucty]])</f>
        <v>N/A</v>
      </c>
      <c r="Z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 s="1" t="str">
        <f>IF(Table1[[#This Row],[Spec Type]]="","N/A",Table1[[#This Row],[Spec Type]])</f>
        <v>±</v>
      </c>
      <c r="AC79" s="1" t="str">
        <f>IF(Table1[[#This Row],[Spec Type2]]="N/A","N/A",IF(AND(Table1[[#This Row],[DUT Adj Read]]&gt;=Table1[[#This Row],[Low Tol]],Table1[[#This Row],[DUT Adj Read]]&lt;=Table1[[#This Row],[High Tol]]),"Pass","Fail"))</f>
        <v>Fail</v>
      </c>
      <c r="AD79" s="1" t="str">
        <f>IF(AND(Table1[[#This Row],[Spec Type2]]="N/A",Table1[[#This Row],[DUT Adj Read]]="N/A",Table1[[#This Row],[Std Adj Read]]="N/A"),"N/A",IF(Table1[[#This Row],[DUT Adj Read]]="N/A",IF(Table1[[#This Row],[Std Adj Read]]&gt;Table1[[#This Row],[Low Tol]],"Pass","Fail"),IF(Table1[[#This Row],[DUT Adj Read]]&gt;Table1[[#This Row],[Low Tol]],"Pass","Fail")))</f>
        <v>Pass</v>
      </c>
      <c r="AE79" s="1" t="str">
        <f>IF(AND(Table1[[#This Row],[Spec Type2]]="N/A",Table1[[#This Row],[DUT Adj Read]]="N/A",Table1[[#This Row],[Std Adj Read]]="N/A"),"N/A",IF(Table1[[#This Row],[DUT Adj Read]]="N/A",IF(Table1[[#This Row],[Std Adj Read]]&lt;Table1[[#This Row],[High Tol]],"Pass","Fail"),IF(Table1[[#This Row],[DUT Adj Read]]&lt;Table1[[#This Row],[High Tol]],"Pass","Fail")))</f>
        <v>Fail</v>
      </c>
      <c r="AF79" s="1" t="str">
        <f>IF(AND(Table1[[#This Row],[Spec Type2]]="N/A",Table1[[#This Row],[DUT Adj Read]]="N/A",Table1[[#This Row],[Std Adj Read]]="N/A"),"N/A",IF(Table1[[#This Row],[DUT Adj Read]]="N/A",IF(Table1[[#This Row],[Std Adj Read]]&gt;=Table1[[#This Row],[Low Tol]],"Pass","Fail"),IF(Table1[[#This Row],[DUT Adj Read]]&gt;=Table1[[#This Row],[Low Tol]],"Pass","Fail")))</f>
        <v>Pass</v>
      </c>
      <c r="AG79" s="1" t="str">
        <f>IF(AND(Table1[[#This Row],[Spec Type2]]="N/A",Table1[[#This Row],[DUT Adj Read]]="N/A",Table1[[#This Row],[Std Adj Read]]="N/A"),"N/A",IF(Table1[[#This Row],[DUT Adj Read]]="N/A",IF(Table1[[#This Row],[Std Adj Read]]&lt;=Table1[[#This Row],[High Tol]],"Pass","Fail"),IF(Table1[[#This Row],[DUT Adj Read]]&lt;=Table1[[#This Row],[High Tol]],"Pass","Fail")))</f>
        <v>Fail</v>
      </c>
      <c r="AH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 s="1" t="b">
        <v>0</v>
      </c>
      <c r="AN79" s="1" t="b">
        <v>0</v>
      </c>
      <c r="AO79" s="1" t="b">
        <v>0</v>
      </c>
    </row>
    <row r="80" spans="1:41" x14ac:dyDescent="0.25">
      <c r="A80" s="10"/>
      <c r="B80" s="10"/>
      <c r="C80" s="10"/>
      <c r="D80" s="10"/>
      <c r="E80" s="10"/>
      <c r="F80" s="10"/>
      <c r="G80" s="10"/>
      <c r="H80" s="10"/>
      <c r="I80" s="1" t="str">
        <f t="shared" si="3"/>
        <v/>
      </c>
      <c r="J80" s="1" t="s">
        <v>35</v>
      </c>
      <c r="K80" s="1" t="str">
        <f t="shared" si="4"/>
        <v/>
      </c>
      <c r="L80" s="1" t="str">
        <f t="shared" si="5"/>
        <v/>
      </c>
      <c r="M80" s="1">
        <f>IF(OR(Table1[[#This Row],[Std Nom]]="",Table1[[#This Row],[Std Read]]=""),0,Table1[[#This Row],[Std Nom]]-Table1[[#This Row],[Std Read]])</f>
        <v>0</v>
      </c>
      <c r="N80" s="1">
        <f>IF(Calculations!$F$5="ACCREDITED 17025 WITH UNCERTAINTIES",$N$10,0)</f>
        <v>0</v>
      </c>
      <c r="Q80" s="1">
        <f>Table1[[#This Row],[High Tol]]-Table1[[#This Row],[Low Tol]]</f>
        <v>0</v>
      </c>
      <c r="R80" s="1">
        <f>2*Table1[[#This Row],[Std Error]]</f>
        <v>0</v>
      </c>
      <c r="S80" s="1" t="str">
        <f>IF(Table1[[#This Row],[High Tol]]="","N/A",IFERROR(ABS(Table1[[#This Row],[Tol Span]]/Table1[[#This Row],[Error Span]]),"N/A"))</f>
        <v>N/A</v>
      </c>
      <c r="T80" s="1" t="str">
        <f>IF(OR(Table1[[#This Row],[Low Tol]]="",Table1[[#This Row],[High Tol]]=""),"Needs Analysis",IF(Table1[[#This Row],[Ratio]]&gt;=4,"Not Significant",IF(Table1[[#This Row],[Ratio]]&gt;=2,"Semi-Significant","Significant")))</f>
        <v>Needs Analysis</v>
      </c>
      <c r="W80" s="1">
        <f>IF(Table1[[#This Row],[Cal Type]]&lt;&gt;"ACCREDITED 17025 WITH UNCERTAINTIES",0,"")</f>
        <v>0</v>
      </c>
      <c r="X80" s="1" t="str">
        <f>IF(Table1[[#This Row],[DUT Read]]="","N/A",Table1[[#This Row],[Std Error]]+Table1[[#This Row],[DUT Read]]+Table1[[#This Row],[DUT Ucty]])</f>
        <v>N/A</v>
      </c>
      <c r="Y80" s="1" t="str">
        <f>IF(Table1[[#This Row],[Std Read]]="","N/A",Table1[[#This Row],[Std Read]]+Table1[[#This Row],[Std Ucty]])</f>
        <v>N/A</v>
      </c>
      <c r="Z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 s="1" t="str">
        <f>IF(Table1[[#This Row],[Spec Type]]="","N/A",Table1[[#This Row],[Spec Type]])</f>
        <v>±</v>
      </c>
      <c r="AC80" s="1" t="str">
        <f>IF(Table1[[#This Row],[Spec Type2]]="N/A","N/A",IF(AND(Table1[[#This Row],[DUT Adj Read]]&gt;=Table1[[#This Row],[Low Tol]],Table1[[#This Row],[DUT Adj Read]]&lt;=Table1[[#This Row],[High Tol]]),"Pass","Fail"))</f>
        <v>Fail</v>
      </c>
      <c r="AD80" s="1" t="str">
        <f>IF(AND(Table1[[#This Row],[Spec Type2]]="N/A",Table1[[#This Row],[DUT Adj Read]]="N/A",Table1[[#This Row],[Std Adj Read]]="N/A"),"N/A",IF(Table1[[#This Row],[DUT Adj Read]]="N/A",IF(Table1[[#This Row],[Std Adj Read]]&gt;Table1[[#This Row],[Low Tol]],"Pass","Fail"),IF(Table1[[#This Row],[DUT Adj Read]]&gt;Table1[[#This Row],[Low Tol]],"Pass","Fail")))</f>
        <v>Pass</v>
      </c>
      <c r="AE80" s="1" t="str">
        <f>IF(AND(Table1[[#This Row],[Spec Type2]]="N/A",Table1[[#This Row],[DUT Adj Read]]="N/A",Table1[[#This Row],[Std Adj Read]]="N/A"),"N/A",IF(Table1[[#This Row],[DUT Adj Read]]="N/A",IF(Table1[[#This Row],[Std Adj Read]]&lt;Table1[[#This Row],[High Tol]],"Pass","Fail"),IF(Table1[[#This Row],[DUT Adj Read]]&lt;Table1[[#This Row],[High Tol]],"Pass","Fail")))</f>
        <v>Fail</v>
      </c>
      <c r="AF80" s="1" t="str">
        <f>IF(AND(Table1[[#This Row],[Spec Type2]]="N/A",Table1[[#This Row],[DUT Adj Read]]="N/A",Table1[[#This Row],[Std Adj Read]]="N/A"),"N/A",IF(Table1[[#This Row],[DUT Adj Read]]="N/A",IF(Table1[[#This Row],[Std Adj Read]]&gt;=Table1[[#This Row],[Low Tol]],"Pass","Fail"),IF(Table1[[#This Row],[DUT Adj Read]]&gt;=Table1[[#This Row],[Low Tol]],"Pass","Fail")))</f>
        <v>Pass</v>
      </c>
      <c r="AG80" s="1" t="str">
        <f>IF(AND(Table1[[#This Row],[Spec Type2]]="N/A",Table1[[#This Row],[DUT Adj Read]]="N/A",Table1[[#This Row],[Std Adj Read]]="N/A"),"N/A",IF(Table1[[#This Row],[DUT Adj Read]]="N/A",IF(Table1[[#This Row],[Std Adj Read]]&lt;=Table1[[#This Row],[High Tol]],"Pass","Fail"),IF(Table1[[#This Row],[DUT Adj Read]]&lt;=Table1[[#This Row],[High Tol]],"Pass","Fail")))</f>
        <v>Fail</v>
      </c>
      <c r="AH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 s="1" t="b">
        <v>0</v>
      </c>
      <c r="AN80" s="1" t="b">
        <v>0</v>
      </c>
      <c r="AO80" s="1" t="b">
        <v>0</v>
      </c>
    </row>
    <row r="81" spans="1:41" x14ac:dyDescent="0.25">
      <c r="A81" s="10"/>
      <c r="B81" s="10"/>
      <c r="C81" s="10"/>
      <c r="D81" s="10"/>
      <c r="E81" s="10"/>
      <c r="F81" s="10"/>
      <c r="G81" s="10"/>
      <c r="H81" s="10"/>
      <c r="I81" s="1" t="str">
        <f t="shared" si="3"/>
        <v/>
      </c>
      <c r="J81" s="1" t="s">
        <v>35</v>
      </c>
      <c r="K81" s="1" t="str">
        <f t="shared" si="4"/>
        <v/>
      </c>
      <c r="L81" s="1" t="str">
        <f t="shared" si="5"/>
        <v/>
      </c>
      <c r="M81" s="1">
        <f>IF(OR(Table1[[#This Row],[Std Nom]]="",Table1[[#This Row],[Std Read]]=""),0,Table1[[#This Row],[Std Nom]]-Table1[[#This Row],[Std Read]])</f>
        <v>0</v>
      </c>
      <c r="N81" s="1">
        <f>IF(Calculations!$F$5="ACCREDITED 17025 WITH UNCERTAINTIES",$N$10,0)</f>
        <v>0</v>
      </c>
      <c r="Q81" s="1">
        <f>Table1[[#This Row],[High Tol]]-Table1[[#This Row],[Low Tol]]</f>
        <v>0</v>
      </c>
      <c r="R81" s="1">
        <f>2*Table1[[#This Row],[Std Error]]</f>
        <v>0</v>
      </c>
      <c r="S81" s="1" t="str">
        <f>IF(Table1[[#This Row],[High Tol]]="","N/A",IFERROR(ABS(Table1[[#This Row],[Tol Span]]/Table1[[#This Row],[Error Span]]),"N/A"))</f>
        <v>N/A</v>
      </c>
      <c r="T81" s="1" t="str">
        <f>IF(OR(Table1[[#This Row],[Low Tol]]="",Table1[[#This Row],[High Tol]]=""),"Needs Analysis",IF(Table1[[#This Row],[Ratio]]&gt;=4,"Not Significant",IF(Table1[[#This Row],[Ratio]]&gt;=2,"Semi-Significant","Significant")))</f>
        <v>Needs Analysis</v>
      </c>
      <c r="W81" s="1">
        <f>IF(Table1[[#This Row],[Cal Type]]&lt;&gt;"ACCREDITED 17025 WITH UNCERTAINTIES",0,"")</f>
        <v>0</v>
      </c>
      <c r="X81" s="1" t="str">
        <f>IF(Table1[[#This Row],[DUT Read]]="","N/A",Table1[[#This Row],[Std Error]]+Table1[[#This Row],[DUT Read]]+Table1[[#This Row],[DUT Ucty]])</f>
        <v>N/A</v>
      </c>
      <c r="Y81" s="1" t="str">
        <f>IF(Table1[[#This Row],[Std Read]]="","N/A",Table1[[#This Row],[Std Read]]+Table1[[#This Row],[Std Ucty]])</f>
        <v>N/A</v>
      </c>
      <c r="Z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 s="1" t="str">
        <f>IF(Table1[[#This Row],[Spec Type]]="","N/A",Table1[[#This Row],[Spec Type]])</f>
        <v>±</v>
      </c>
      <c r="AC81" s="1" t="str">
        <f>IF(Table1[[#This Row],[Spec Type2]]="N/A","N/A",IF(AND(Table1[[#This Row],[DUT Adj Read]]&gt;=Table1[[#This Row],[Low Tol]],Table1[[#This Row],[DUT Adj Read]]&lt;=Table1[[#This Row],[High Tol]]),"Pass","Fail"))</f>
        <v>Fail</v>
      </c>
      <c r="AD81" s="1" t="str">
        <f>IF(AND(Table1[[#This Row],[Spec Type2]]="N/A",Table1[[#This Row],[DUT Adj Read]]="N/A",Table1[[#This Row],[Std Adj Read]]="N/A"),"N/A",IF(Table1[[#This Row],[DUT Adj Read]]="N/A",IF(Table1[[#This Row],[Std Adj Read]]&gt;Table1[[#This Row],[Low Tol]],"Pass","Fail"),IF(Table1[[#This Row],[DUT Adj Read]]&gt;Table1[[#This Row],[Low Tol]],"Pass","Fail")))</f>
        <v>Pass</v>
      </c>
      <c r="AE81" s="1" t="str">
        <f>IF(AND(Table1[[#This Row],[Spec Type2]]="N/A",Table1[[#This Row],[DUT Adj Read]]="N/A",Table1[[#This Row],[Std Adj Read]]="N/A"),"N/A",IF(Table1[[#This Row],[DUT Adj Read]]="N/A",IF(Table1[[#This Row],[Std Adj Read]]&lt;Table1[[#This Row],[High Tol]],"Pass","Fail"),IF(Table1[[#This Row],[DUT Adj Read]]&lt;Table1[[#This Row],[High Tol]],"Pass","Fail")))</f>
        <v>Fail</v>
      </c>
      <c r="AF81" s="1" t="str">
        <f>IF(AND(Table1[[#This Row],[Spec Type2]]="N/A",Table1[[#This Row],[DUT Adj Read]]="N/A",Table1[[#This Row],[Std Adj Read]]="N/A"),"N/A",IF(Table1[[#This Row],[DUT Adj Read]]="N/A",IF(Table1[[#This Row],[Std Adj Read]]&gt;=Table1[[#This Row],[Low Tol]],"Pass","Fail"),IF(Table1[[#This Row],[DUT Adj Read]]&gt;=Table1[[#This Row],[Low Tol]],"Pass","Fail")))</f>
        <v>Pass</v>
      </c>
      <c r="AG81" s="1" t="str">
        <f>IF(AND(Table1[[#This Row],[Spec Type2]]="N/A",Table1[[#This Row],[DUT Adj Read]]="N/A",Table1[[#This Row],[Std Adj Read]]="N/A"),"N/A",IF(Table1[[#This Row],[DUT Adj Read]]="N/A",IF(Table1[[#This Row],[Std Adj Read]]&lt;=Table1[[#This Row],[High Tol]],"Pass","Fail"),IF(Table1[[#This Row],[DUT Adj Read]]&lt;=Table1[[#This Row],[High Tol]],"Pass","Fail")))</f>
        <v>Fail</v>
      </c>
      <c r="AH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 s="1" t="b">
        <v>0</v>
      </c>
      <c r="AN81" s="1" t="b">
        <v>0</v>
      </c>
      <c r="AO81" s="1" t="b">
        <v>0</v>
      </c>
    </row>
    <row r="82" spans="1:41" x14ac:dyDescent="0.25">
      <c r="A82" s="10"/>
      <c r="B82" s="10"/>
      <c r="C82" s="10"/>
      <c r="D82" s="10"/>
      <c r="E82" s="10"/>
      <c r="F82" s="10"/>
      <c r="G82" s="10"/>
      <c r="H82" s="10"/>
      <c r="I82" s="1" t="str">
        <f t="shared" si="3"/>
        <v/>
      </c>
      <c r="J82" s="1" t="s">
        <v>35</v>
      </c>
      <c r="K82" s="1" t="str">
        <f t="shared" si="4"/>
        <v/>
      </c>
      <c r="L82" s="1" t="str">
        <f t="shared" si="5"/>
        <v/>
      </c>
      <c r="M82" s="1">
        <f>IF(OR(Table1[[#This Row],[Std Nom]]="",Table1[[#This Row],[Std Read]]=""),0,Table1[[#This Row],[Std Nom]]-Table1[[#This Row],[Std Read]])</f>
        <v>0</v>
      </c>
      <c r="N82" s="1">
        <f>IF(Calculations!$F$5="ACCREDITED 17025 WITH UNCERTAINTIES",$N$10,0)</f>
        <v>0</v>
      </c>
      <c r="Q82" s="1">
        <f>Table1[[#This Row],[High Tol]]-Table1[[#This Row],[Low Tol]]</f>
        <v>0</v>
      </c>
      <c r="R82" s="1">
        <f>2*Table1[[#This Row],[Std Error]]</f>
        <v>0</v>
      </c>
      <c r="S82" s="1" t="str">
        <f>IF(Table1[[#This Row],[High Tol]]="","N/A",IFERROR(ABS(Table1[[#This Row],[Tol Span]]/Table1[[#This Row],[Error Span]]),"N/A"))</f>
        <v>N/A</v>
      </c>
      <c r="T82" s="1" t="str">
        <f>IF(OR(Table1[[#This Row],[Low Tol]]="",Table1[[#This Row],[High Tol]]=""),"Needs Analysis",IF(Table1[[#This Row],[Ratio]]&gt;=4,"Not Significant",IF(Table1[[#This Row],[Ratio]]&gt;=2,"Semi-Significant","Significant")))</f>
        <v>Needs Analysis</v>
      </c>
      <c r="W82" s="1">
        <f>IF(Table1[[#This Row],[Cal Type]]&lt;&gt;"ACCREDITED 17025 WITH UNCERTAINTIES",0,"")</f>
        <v>0</v>
      </c>
      <c r="X82" s="1" t="str">
        <f>IF(Table1[[#This Row],[DUT Read]]="","N/A",Table1[[#This Row],[Std Error]]+Table1[[#This Row],[DUT Read]]+Table1[[#This Row],[DUT Ucty]])</f>
        <v>N/A</v>
      </c>
      <c r="Y82" s="1" t="str">
        <f>IF(Table1[[#This Row],[Std Read]]="","N/A",Table1[[#This Row],[Std Read]]+Table1[[#This Row],[Std Ucty]])</f>
        <v>N/A</v>
      </c>
      <c r="Z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 s="1" t="str">
        <f>IF(Table1[[#This Row],[Spec Type]]="","N/A",Table1[[#This Row],[Spec Type]])</f>
        <v>±</v>
      </c>
      <c r="AC82" s="1" t="str">
        <f>IF(Table1[[#This Row],[Spec Type2]]="N/A","N/A",IF(AND(Table1[[#This Row],[DUT Adj Read]]&gt;=Table1[[#This Row],[Low Tol]],Table1[[#This Row],[DUT Adj Read]]&lt;=Table1[[#This Row],[High Tol]]),"Pass","Fail"))</f>
        <v>Fail</v>
      </c>
      <c r="AD82" s="1" t="str">
        <f>IF(AND(Table1[[#This Row],[Spec Type2]]="N/A",Table1[[#This Row],[DUT Adj Read]]="N/A",Table1[[#This Row],[Std Adj Read]]="N/A"),"N/A",IF(Table1[[#This Row],[DUT Adj Read]]="N/A",IF(Table1[[#This Row],[Std Adj Read]]&gt;Table1[[#This Row],[Low Tol]],"Pass","Fail"),IF(Table1[[#This Row],[DUT Adj Read]]&gt;Table1[[#This Row],[Low Tol]],"Pass","Fail")))</f>
        <v>Pass</v>
      </c>
      <c r="AE82" s="1" t="str">
        <f>IF(AND(Table1[[#This Row],[Spec Type2]]="N/A",Table1[[#This Row],[DUT Adj Read]]="N/A",Table1[[#This Row],[Std Adj Read]]="N/A"),"N/A",IF(Table1[[#This Row],[DUT Adj Read]]="N/A",IF(Table1[[#This Row],[Std Adj Read]]&lt;Table1[[#This Row],[High Tol]],"Pass","Fail"),IF(Table1[[#This Row],[DUT Adj Read]]&lt;Table1[[#This Row],[High Tol]],"Pass","Fail")))</f>
        <v>Fail</v>
      </c>
      <c r="AF82" s="1" t="str">
        <f>IF(AND(Table1[[#This Row],[Spec Type2]]="N/A",Table1[[#This Row],[DUT Adj Read]]="N/A",Table1[[#This Row],[Std Adj Read]]="N/A"),"N/A",IF(Table1[[#This Row],[DUT Adj Read]]="N/A",IF(Table1[[#This Row],[Std Adj Read]]&gt;=Table1[[#This Row],[Low Tol]],"Pass","Fail"),IF(Table1[[#This Row],[DUT Adj Read]]&gt;=Table1[[#This Row],[Low Tol]],"Pass","Fail")))</f>
        <v>Pass</v>
      </c>
      <c r="AG82" s="1" t="str">
        <f>IF(AND(Table1[[#This Row],[Spec Type2]]="N/A",Table1[[#This Row],[DUT Adj Read]]="N/A",Table1[[#This Row],[Std Adj Read]]="N/A"),"N/A",IF(Table1[[#This Row],[DUT Adj Read]]="N/A",IF(Table1[[#This Row],[Std Adj Read]]&lt;=Table1[[#This Row],[High Tol]],"Pass","Fail"),IF(Table1[[#This Row],[DUT Adj Read]]&lt;=Table1[[#This Row],[High Tol]],"Pass","Fail")))</f>
        <v>Fail</v>
      </c>
      <c r="AH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 s="1" t="b">
        <v>0</v>
      </c>
      <c r="AN82" s="1" t="b">
        <v>0</v>
      </c>
      <c r="AO82" s="1" t="b">
        <v>0</v>
      </c>
    </row>
    <row r="83" spans="1:41" x14ac:dyDescent="0.25">
      <c r="A83" s="10"/>
      <c r="B83" s="10"/>
      <c r="C83" s="10"/>
      <c r="D83" s="10"/>
      <c r="E83" s="10"/>
      <c r="F83" s="10"/>
      <c r="G83" s="10"/>
      <c r="H83" s="10"/>
      <c r="I83" s="1" t="str">
        <f t="shared" si="3"/>
        <v/>
      </c>
      <c r="J83" s="1" t="s">
        <v>35</v>
      </c>
      <c r="K83" s="1" t="str">
        <f t="shared" si="4"/>
        <v/>
      </c>
      <c r="L83" s="1" t="str">
        <f t="shared" si="5"/>
        <v/>
      </c>
      <c r="M83" s="1">
        <f>IF(OR(Table1[[#This Row],[Std Nom]]="",Table1[[#This Row],[Std Read]]=""),0,Table1[[#This Row],[Std Nom]]-Table1[[#This Row],[Std Read]])</f>
        <v>0</v>
      </c>
      <c r="N83" s="1">
        <f>IF(Calculations!$F$5="ACCREDITED 17025 WITH UNCERTAINTIES",$N$10,0)</f>
        <v>0</v>
      </c>
      <c r="Q83" s="1">
        <f>Table1[[#This Row],[High Tol]]-Table1[[#This Row],[Low Tol]]</f>
        <v>0</v>
      </c>
      <c r="R83" s="1">
        <f>2*Table1[[#This Row],[Std Error]]</f>
        <v>0</v>
      </c>
      <c r="S83" s="1" t="str">
        <f>IF(Table1[[#This Row],[High Tol]]="","N/A",IFERROR(ABS(Table1[[#This Row],[Tol Span]]/Table1[[#This Row],[Error Span]]),"N/A"))</f>
        <v>N/A</v>
      </c>
      <c r="T83" s="1" t="str">
        <f>IF(OR(Table1[[#This Row],[Low Tol]]="",Table1[[#This Row],[High Tol]]=""),"Needs Analysis",IF(Table1[[#This Row],[Ratio]]&gt;=4,"Not Significant",IF(Table1[[#This Row],[Ratio]]&gt;=2,"Semi-Significant","Significant")))</f>
        <v>Needs Analysis</v>
      </c>
      <c r="W83" s="1">
        <f>IF(Table1[[#This Row],[Cal Type]]&lt;&gt;"ACCREDITED 17025 WITH UNCERTAINTIES",0,"")</f>
        <v>0</v>
      </c>
      <c r="X83" s="1" t="str">
        <f>IF(Table1[[#This Row],[DUT Read]]="","N/A",Table1[[#This Row],[Std Error]]+Table1[[#This Row],[DUT Read]]+Table1[[#This Row],[DUT Ucty]])</f>
        <v>N/A</v>
      </c>
      <c r="Y83" s="1" t="str">
        <f>IF(Table1[[#This Row],[Std Read]]="","N/A",Table1[[#This Row],[Std Read]]+Table1[[#This Row],[Std Ucty]])</f>
        <v>N/A</v>
      </c>
      <c r="Z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 s="1" t="str">
        <f>IF(Table1[[#This Row],[Spec Type]]="","N/A",Table1[[#This Row],[Spec Type]])</f>
        <v>±</v>
      </c>
      <c r="AC83" s="1" t="str">
        <f>IF(Table1[[#This Row],[Spec Type2]]="N/A","N/A",IF(AND(Table1[[#This Row],[DUT Adj Read]]&gt;=Table1[[#This Row],[Low Tol]],Table1[[#This Row],[DUT Adj Read]]&lt;=Table1[[#This Row],[High Tol]]),"Pass","Fail"))</f>
        <v>Fail</v>
      </c>
      <c r="AD83" s="1" t="str">
        <f>IF(AND(Table1[[#This Row],[Spec Type2]]="N/A",Table1[[#This Row],[DUT Adj Read]]="N/A",Table1[[#This Row],[Std Adj Read]]="N/A"),"N/A",IF(Table1[[#This Row],[DUT Adj Read]]="N/A",IF(Table1[[#This Row],[Std Adj Read]]&gt;Table1[[#This Row],[Low Tol]],"Pass","Fail"),IF(Table1[[#This Row],[DUT Adj Read]]&gt;Table1[[#This Row],[Low Tol]],"Pass","Fail")))</f>
        <v>Pass</v>
      </c>
      <c r="AE83" s="1" t="str">
        <f>IF(AND(Table1[[#This Row],[Spec Type2]]="N/A",Table1[[#This Row],[DUT Adj Read]]="N/A",Table1[[#This Row],[Std Adj Read]]="N/A"),"N/A",IF(Table1[[#This Row],[DUT Adj Read]]="N/A",IF(Table1[[#This Row],[Std Adj Read]]&lt;Table1[[#This Row],[High Tol]],"Pass","Fail"),IF(Table1[[#This Row],[DUT Adj Read]]&lt;Table1[[#This Row],[High Tol]],"Pass","Fail")))</f>
        <v>Fail</v>
      </c>
      <c r="AF83" s="1" t="str">
        <f>IF(AND(Table1[[#This Row],[Spec Type2]]="N/A",Table1[[#This Row],[DUT Adj Read]]="N/A",Table1[[#This Row],[Std Adj Read]]="N/A"),"N/A",IF(Table1[[#This Row],[DUT Adj Read]]="N/A",IF(Table1[[#This Row],[Std Adj Read]]&gt;=Table1[[#This Row],[Low Tol]],"Pass","Fail"),IF(Table1[[#This Row],[DUT Adj Read]]&gt;=Table1[[#This Row],[Low Tol]],"Pass","Fail")))</f>
        <v>Pass</v>
      </c>
      <c r="AG83" s="1" t="str">
        <f>IF(AND(Table1[[#This Row],[Spec Type2]]="N/A",Table1[[#This Row],[DUT Adj Read]]="N/A",Table1[[#This Row],[Std Adj Read]]="N/A"),"N/A",IF(Table1[[#This Row],[DUT Adj Read]]="N/A",IF(Table1[[#This Row],[Std Adj Read]]&lt;=Table1[[#This Row],[High Tol]],"Pass","Fail"),IF(Table1[[#This Row],[DUT Adj Read]]&lt;=Table1[[#This Row],[High Tol]],"Pass","Fail")))</f>
        <v>Fail</v>
      </c>
      <c r="AH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 s="1" t="b">
        <v>0</v>
      </c>
      <c r="AN83" s="1" t="b">
        <v>0</v>
      </c>
      <c r="AO83" s="1" t="b">
        <v>0</v>
      </c>
    </row>
    <row r="84" spans="1:41" x14ac:dyDescent="0.25">
      <c r="A84" s="10"/>
      <c r="B84" s="10"/>
      <c r="C84" s="10"/>
      <c r="D84" s="10"/>
      <c r="E84" s="10"/>
      <c r="F84" s="10"/>
      <c r="G84" s="10"/>
      <c r="H84" s="10"/>
      <c r="I84" s="1" t="str">
        <f t="shared" si="3"/>
        <v/>
      </c>
      <c r="J84" s="1" t="s">
        <v>35</v>
      </c>
      <c r="K84" s="1" t="str">
        <f t="shared" si="4"/>
        <v/>
      </c>
      <c r="L84" s="1" t="str">
        <f t="shared" si="5"/>
        <v/>
      </c>
      <c r="M84" s="1">
        <f>IF(OR(Table1[[#This Row],[Std Nom]]="",Table1[[#This Row],[Std Read]]=""),0,Table1[[#This Row],[Std Nom]]-Table1[[#This Row],[Std Read]])</f>
        <v>0</v>
      </c>
      <c r="N84" s="1">
        <f>IF(Calculations!$F$5="ACCREDITED 17025 WITH UNCERTAINTIES",$N$10,0)</f>
        <v>0</v>
      </c>
      <c r="Q84" s="1">
        <f>Table1[[#This Row],[High Tol]]-Table1[[#This Row],[Low Tol]]</f>
        <v>0</v>
      </c>
      <c r="R84" s="1">
        <f>2*Table1[[#This Row],[Std Error]]</f>
        <v>0</v>
      </c>
      <c r="S84" s="1" t="str">
        <f>IF(Table1[[#This Row],[High Tol]]="","N/A",IFERROR(ABS(Table1[[#This Row],[Tol Span]]/Table1[[#This Row],[Error Span]]),"N/A"))</f>
        <v>N/A</v>
      </c>
      <c r="T84" s="1" t="str">
        <f>IF(OR(Table1[[#This Row],[Low Tol]]="",Table1[[#This Row],[High Tol]]=""),"Needs Analysis",IF(Table1[[#This Row],[Ratio]]&gt;=4,"Not Significant",IF(Table1[[#This Row],[Ratio]]&gt;=2,"Semi-Significant","Significant")))</f>
        <v>Needs Analysis</v>
      </c>
      <c r="W84" s="1">
        <f>IF(Table1[[#This Row],[Cal Type]]&lt;&gt;"ACCREDITED 17025 WITH UNCERTAINTIES",0,"")</f>
        <v>0</v>
      </c>
      <c r="X84" s="1" t="str">
        <f>IF(Table1[[#This Row],[DUT Read]]="","N/A",Table1[[#This Row],[Std Error]]+Table1[[#This Row],[DUT Read]]+Table1[[#This Row],[DUT Ucty]])</f>
        <v>N/A</v>
      </c>
      <c r="Y84" s="1" t="str">
        <f>IF(Table1[[#This Row],[Std Read]]="","N/A",Table1[[#This Row],[Std Read]]+Table1[[#This Row],[Std Ucty]])</f>
        <v>N/A</v>
      </c>
      <c r="Z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 s="1" t="str">
        <f>IF(Table1[[#This Row],[Spec Type]]="","N/A",Table1[[#This Row],[Spec Type]])</f>
        <v>±</v>
      </c>
      <c r="AC84" s="1" t="str">
        <f>IF(Table1[[#This Row],[Spec Type2]]="N/A","N/A",IF(AND(Table1[[#This Row],[DUT Adj Read]]&gt;=Table1[[#This Row],[Low Tol]],Table1[[#This Row],[DUT Adj Read]]&lt;=Table1[[#This Row],[High Tol]]),"Pass","Fail"))</f>
        <v>Fail</v>
      </c>
      <c r="AD84" s="1" t="str">
        <f>IF(AND(Table1[[#This Row],[Spec Type2]]="N/A",Table1[[#This Row],[DUT Adj Read]]="N/A",Table1[[#This Row],[Std Adj Read]]="N/A"),"N/A",IF(Table1[[#This Row],[DUT Adj Read]]="N/A",IF(Table1[[#This Row],[Std Adj Read]]&gt;Table1[[#This Row],[Low Tol]],"Pass","Fail"),IF(Table1[[#This Row],[DUT Adj Read]]&gt;Table1[[#This Row],[Low Tol]],"Pass","Fail")))</f>
        <v>Pass</v>
      </c>
      <c r="AE84" s="1" t="str">
        <f>IF(AND(Table1[[#This Row],[Spec Type2]]="N/A",Table1[[#This Row],[DUT Adj Read]]="N/A",Table1[[#This Row],[Std Adj Read]]="N/A"),"N/A",IF(Table1[[#This Row],[DUT Adj Read]]="N/A",IF(Table1[[#This Row],[Std Adj Read]]&lt;Table1[[#This Row],[High Tol]],"Pass","Fail"),IF(Table1[[#This Row],[DUT Adj Read]]&lt;Table1[[#This Row],[High Tol]],"Pass","Fail")))</f>
        <v>Fail</v>
      </c>
      <c r="AF84" s="1" t="str">
        <f>IF(AND(Table1[[#This Row],[Spec Type2]]="N/A",Table1[[#This Row],[DUT Adj Read]]="N/A",Table1[[#This Row],[Std Adj Read]]="N/A"),"N/A",IF(Table1[[#This Row],[DUT Adj Read]]="N/A",IF(Table1[[#This Row],[Std Adj Read]]&gt;=Table1[[#This Row],[Low Tol]],"Pass","Fail"),IF(Table1[[#This Row],[DUT Adj Read]]&gt;=Table1[[#This Row],[Low Tol]],"Pass","Fail")))</f>
        <v>Pass</v>
      </c>
      <c r="AG84" s="1" t="str">
        <f>IF(AND(Table1[[#This Row],[Spec Type2]]="N/A",Table1[[#This Row],[DUT Adj Read]]="N/A",Table1[[#This Row],[Std Adj Read]]="N/A"),"N/A",IF(Table1[[#This Row],[DUT Adj Read]]="N/A",IF(Table1[[#This Row],[Std Adj Read]]&lt;=Table1[[#This Row],[High Tol]],"Pass","Fail"),IF(Table1[[#This Row],[DUT Adj Read]]&lt;=Table1[[#This Row],[High Tol]],"Pass","Fail")))</f>
        <v>Fail</v>
      </c>
      <c r="AH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 s="1" t="b">
        <v>0</v>
      </c>
      <c r="AN84" s="1" t="b">
        <v>0</v>
      </c>
      <c r="AO84" s="1" t="b">
        <v>0</v>
      </c>
    </row>
    <row r="85" spans="1:41" x14ac:dyDescent="0.25">
      <c r="A85" s="10"/>
      <c r="B85" s="10"/>
      <c r="C85" s="10"/>
      <c r="D85" s="10"/>
      <c r="E85" s="10"/>
      <c r="F85" s="10"/>
      <c r="G85" s="10"/>
      <c r="H85" s="10"/>
      <c r="I85" s="1" t="str">
        <f t="shared" si="3"/>
        <v/>
      </c>
      <c r="J85" s="1" t="s">
        <v>35</v>
      </c>
      <c r="K85" s="1" t="str">
        <f t="shared" si="4"/>
        <v/>
      </c>
      <c r="L85" s="1" t="str">
        <f t="shared" si="5"/>
        <v/>
      </c>
      <c r="M85" s="1">
        <f>IF(OR(Table1[[#This Row],[Std Nom]]="",Table1[[#This Row],[Std Read]]=""),0,Table1[[#This Row],[Std Nom]]-Table1[[#This Row],[Std Read]])</f>
        <v>0</v>
      </c>
      <c r="N85" s="1">
        <f>IF(Calculations!$F$5="ACCREDITED 17025 WITH UNCERTAINTIES",$N$10,0)</f>
        <v>0</v>
      </c>
      <c r="Q85" s="1">
        <f>Table1[[#This Row],[High Tol]]-Table1[[#This Row],[Low Tol]]</f>
        <v>0</v>
      </c>
      <c r="R85" s="1">
        <f>2*Table1[[#This Row],[Std Error]]</f>
        <v>0</v>
      </c>
      <c r="S85" s="1" t="str">
        <f>IF(Table1[[#This Row],[High Tol]]="","N/A",IFERROR(ABS(Table1[[#This Row],[Tol Span]]/Table1[[#This Row],[Error Span]]),"N/A"))</f>
        <v>N/A</v>
      </c>
      <c r="T85" s="1" t="str">
        <f>IF(OR(Table1[[#This Row],[Low Tol]]="",Table1[[#This Row],[High Tol]]=""),"Needs Analysis",IF(Table1[[#This Row],[Ratio]]&gt;=4,"Not Significant",IF(Table1[[#This Row],[Ratio]]&gt;=2,"Semi-Significant","Significant")))</f>
        <v>Needs Analysis</v>
      </c>
      <c r="W85" s="1">
        <f>IF(Table1[[#This Row],[Cal Type]]&lt;&gt;"ACCREDITED 17025 WITH UNCERTAINTIES",0,"")</f>
        <v>0</v>
      </c>
      <c r="X85" s="1" t="str">
        <f>IF(Table1[[#This Row],[DUT Read]]="","N/A",Table1[[#This Row],[Std Error]]+Table1[[#This Row],[DUT Read]]+Table1[[#This Row],[DUT Ucty]])</f>
        <v>N/A</v>
      </c>
      <c r="Y85" s="1" t="str">
        <f>IF(Table1[[#This Row],[Std Read]]="","N/A",Table1[[#This Row],[Std Read]]+Table1[[#This Row],[Std Ucty]])</f>
        <v>N/A</v>
      </c>
      <c r="Z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 s="1" t="str">
        <f>IF(Table1[[#This Row],[Spec Type]]="","N/A",Table1[[#This Row],[Spec Type]])</f>
        <v>±</v>
      </c>
      <c r="AC85" s="1" t="str">
        <f>IF(Table1[[#This Row],[Spec Type2]]="N/A","N/A",IF(AND(Table1[[#This Row],[DUT Adj Read]]&gt;=Table1[[#This Row],[Low Tol]],Table1[[#This Row],[DUT Adj Read]]&lt;=Table1[[#This Row],[High Tol]]),"Pass","Fail"))</f>
        <v>Fail</v>
      </c>
      <c r="AD85" s="1" t="str">
        <f>IF(AND(Table1[[#This Row],[Spec Type2]]="N/A",Table1[[#This Row],[DUT Adj Read]]="N/A",Table1[[#This Row],[Std Adj Read]]="N/A"),"N/A",IF(Table1[[#This Row],[DUT Adj Read]]="N/A",IF(Table1[[#This Row],[Std Adj Read]]&gt;Table1[[#This Row],[Low Tol]],"Pass","Fail"),IF(Table1[[#This Row],[DUT Adj Read]]&gt;Table1[[#This Row],[Low Tol]],"Pass","Fail")))</f>
        <v>Pass</v>
      </c>
      <c r="AE85" s="1" t="str">
        <f>IF(AND(Table1[[#This Row],[Spec Type2]]="N/A",Table1[[#This Row],[DUT Adj Read]]="N/A",Table1[[#This Row],[Std Adj Read]]="N/A"),"N/A",IF(Table1[[#This Row],[DUT Adj Read]]="N/A",IF(Table1[[#This Row],[Std Adj Read]]&lt;Table1[[#This Row],[High Tol]],"Pass","Fail"),IF(Table1[[#This Row],[DUT Adj Read]]&lt;Table1[[#This Row],[High Tol]],"Pass","Fail")))</f>
        <v>Fail</v>
      </c>
      <c r="AF85" s="1" t="str">
        <f>IF(AND(Table1[[#This Row],[Spec Type2]]="N/A",Table1[[#This Row],[DUT Adj Read]]="N/A",Table1[[#This Row],[Std Adj Read]]="N/A"),"N/A",IF(Table1[[#This Row],[DUT Adj Read]]="N/A",IF(Table1[[#This Row],[Std Adj Read]]&gt;=Table1[[#This Row],[Low Tol]],"Pass","Fail"),IF(Table1[[#This Row],[DUT Adj Read]]&gt;=Table1[[#This Row],[Low Tol]],"Pass","Fail")))</f>
        <v>Pass</v>
      </c>
      <c r="AG85" s="1" t="str">
        <f>IF(AND(Table1[[#This Row],[Spec Type2]]="N/A",Table1[[#This Row],[DUT Adj Read]]="N/A",Table1[[#This Row],[Std Adj Read]]="N/A"),"N/A",IF(Table1[[#This Row],[DUT Adj Read]]="N/A",IF(Table1[[#This Row],[Std Adj Read]]&lt;=Table1[[#This Row],[High Tol]],"Pass","Fail"),IF(Table1[[#This Row],[DUT Adj Read]]&lt;=Table1[[#This Row],[High Tol]],"Pass","Fail")))</f>
        <v>Fail</v>
      </c>
      <c r="AH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 s="1" t="b">
        <v>0</v>
      </c>
      <c r="AN85" s="1" t="b">
        <v>0</v>
      </c>
      <c r="AO85" s="1" t="b">
        <v>0</v>
      </c>
    </row>
    <row r="86" spans="1:41" x14ac:dyDescent="0.25">
      <c r="A86" s="10"/>
      <c r="B86" s="10"/>
      <c r="C86" s="10"/>
      <c r="D86" s="10"/>
      <c r="E86" s="10"/>
      <c r="F86" s="10"/>
      <c r="G86" s="10"/>
      <c r="H86" s="10"/>
      <c r="I86" s="1" t="str">
        <f t="shared" si="3"/>
        <v/>
      </c>
      <c r="J86" s="1" t="s">
        <v>35</v>
      </c>
      <c r="K86" s="1" t="str">
        <f t="shared" si="4"/>
        <v/>
      </c>
      <c r="L86" s="1" t="str">
        <f t="shared" si="5"/>
        <v/>
      </c>
      <c r="M86" s="1">
        <f>IF(OR(Table1[[#This Row],[Std Nom]]="",Table1[[#This Row],[Std Read]]=""),0,Table1[[#This Row],[Std Nom]]-Table1[[#This Row],[Std Read]])</f>
        <v>0</v>
      </c>
      <c r="N86" s="1">
        <f>IF(Calculations!$F$5="ACCREDITED 17025 WITH UNCERTAINTIES",$N$10,0)</f>
        <v>0</v>
      </c>
      <c r="Q86" s="1">
        <f>Table1[[#This Row],[High Tol]]-Table1[[#This Row],[Low Tol]]</f>
        <v>0</v>
      </c>
      <c r="R86" s="1">
        <f>2*Table1[[#This Row],[Std Error]]</f>
        <v>0</v>
      </c>
      <c r="S86" s="1" t="str">
        <f>IF(Table1[[#This Row],[High Tol]]="","N/A",IFERROR(ABS(Table1[[#This Row],[Tol Span]]/Table1[[#This Row],[Error Span]]),"N/A"))</f>
        <v>N/A</v>
      </c>
      <c r="T86" s="1" t="str">
        <f>IF(OR(Table1[[#This Row],[Low Tol]]="",Table1[[#This Row],[High Tol]]=""),"Needs Analysis",IF(Table1[[#This Row],[Ratio]]&gt;=4,"Not Significant",IF(Table1[[#This Row],[Ratio]]&gt;=2,"Semi-Significant","Significant")))</f>
        <v>Needs Analysis</v>
      </c>
      <c r="W86" s="1">
        <f>IF(Table1[[#This Row],[Cal Type]]&lt;&gt;"ACCREDITED 17025 WITH UNCERTAINTIES",0,"")</f>
        <v>0</v>
      </c>
      <c r="X86" s="1" t="str">
        <f>IF(Table1[[#This Row],[DUT Read]]="","N/A",Table1[[#This Row],[Std Error]]+Table1[[#This Row],[DUT Read]]+Table1[[#This Row],[DUT Ucty]])</f>
        <v>N/A</v>
      </c>
      <c r="Y86" s="1" t="str">
        <f>IF(Table1[[#This Row],[Std Read]]="","N/A",Table1[[#This Row],[Std Read]]+Table1[[#This Row],[Std Ucty]])</f>
        <v>N/A</v>
      </c>
      <c r="Z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 s="1" t="str">
        <f>IF(Table1[[#This Row],[Spec Type]]="","N/A",Table1[[#This Row],[Spec Type]])</f>
        <v>±</v>
      </c>
      <c r="AC86" s="1" t="str">
        <f>IF(Table1[[#This Row],[Spec Type2]]="N/A","N/A",IF(AND(Table1[[#This Row],[DUT Adj Read]]&gt;=Table1[[#This Row],[Low Tol]],Table1[[#This Row],[DUT Adj Read]]&lt;=Table1[[#This Row],[High Tol]]),"Pass","Fail"))</f>
        <v>Fail</v>
      </c>
      <c r="AD86" s="1" t="str">
        <f>IF(AND(Table1[[#This Row],[Spec Type2]]="N/A",Table1[[#This Row],[DUT Adj Read]]="N/A",Table1[[#This Row],[Std Adj Read]]="N/A"),"N/A",IF(Table1[[#This Row],[DUT Adj Read]]="N/A",IF(Table1[[#This Row],[Std Adj Read]]&gt;Table1[[#This Row],[Low Tol]],"Pass","Fail"),IF(Table1[[#This Row],[DUT Adj Read]]&gt;Table1[[#This Row],[Low Tol]],"Pass","Fail")))</f>
        <v>Pass</v>
      </c>
      <c r="AE86" s="1" t="str">
        <f>IF(AND(Table1[[#This Row],[Spec Type2]]="N/A",Table1[[#This Row],[DUT Adj Read]]="N/A",Table1[[#This Row],[Std Adj Read]]="N/A"),"N/A",IF(Table1[[#This Row],[DUT Adj Read]]="N/A",IF(Table1[[#This Row],[Std Adj Read]]&lt;Table1[[#This Row],[High Tol]],"Pass","Fail"),IF(Table1[[#This Row],[DUT Adj Read]]&lt;Table1[[#This Row],[High Tol]],"Pass","Fail")))</f>
        <v>Fail</v>
      </c>
      <c r="AF86" s="1" t="str">
        <f>IF(AND(Table1[[#This Row],[Spec Type2]]="N/A",Table1[[#This Row],[DUT Adj Read]]="N/A",Table1[[#This Row],[Std Adj Read]]="N/A"),"N/A",IF(Table1[[#This Row],[DUT Adj Read]]="N/A",IF(Table1[[#This Row],[Std Adj Read]]&gt;=Table1[[#This Row],[Low Tol]],"Pass","Fail"),IF(Table1[[#This Row],[DUT Adj Read]]&gt;=Table1[[#This Row],[Low Tol]],"Pass","Fail")))</f>
        <v>Pass</v>
      </c>
      <c r="AG86" s="1" t="str">
        <f>IF(AND(Table1[[#This Row],[Spec Type2]]="N/A",Table1[[#This Row],[DUT Adj Read]]="N/A",Table1[[#This Row],[Std Adj Read]]="N/A"),"N/A",IF(Table1[[#This Row],[DUT Adj Read]]="N/A",IF(Table1[[#This Row],[Std Adj Read]]&lt;=Table1[[#This Row],[High Tol]],"Pass","Fail"),IF(Table1[[#This Row],[DUT Adj Read]]&lt;=Table1[[#This Row],[High Tol]],"Pass","Fail")))</f>
        <v>Fail</v>
      </c>
      <c r="AH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 s="1" t="b">
        <v>0</v>
      </c>
      <c r="AN86" s="1" t="b">
        <v>0</v>
      </c>
      <c r="AO86" s="1" t="b">
        <v>0</v>
      </c>
    </row>
    <row r="87" spans="1:41" x14ac:dyDescent="0.25">
      <c r="A87" s="10"/>
      <c r="B87" s="10"/>
      <c r="C87" s="10"/>
      <c r="D87" s="10"/>
      <c r="E87" s="10"/>
      <c r="F87" s="10"/>
      <c r="G87" s="10"/>
      <c r="H87" s="10"/>
      <c r="I87" s="1" t="str">
        <f t="shared" si="3"/>
        <v/>
      </c>
      <c r="J87" s="1" t="s">
        <v>35</v>
      </c>
      <c r="K87" s="1" t="str">
        <f t="shared" si="4"/>
        <v/>
      </c>
      <c r="L87" s="1" t="str">
        <f t="shared" si="5"/>
        <v/>
      </c>
      <c r="M87" s="1">
        <f>IF(OR(Table1[[#This Row],[Std Nom]]="",Table1[[#This Row],[Std Read]]=""),0,Table1[[#This Row],[Std Nom]]-Table1[[#This Row],[Std Read]])</f>
        <v>0</v>
      </c>
      <c r="N87" s="1">
        <f>IF(Calculations!$F$5="ACCREDITED 17025 WITH UNCERTAINTIES",$N$10,0)</f>
        <v>0</v>
      </c>
      <c r="Q87" s="1">
        <f>Table1[[#This Row],[High Tol]]-Table1[[#This Row],[Low Tol]]</f>
        <v>0</v>
      </c>
      <c r="R87" s="1">
        <f>2*Table1[[#This Row],[Std Error]]</f>
        <v>0</v>
      </c>
      <c r="S87" s="1" t="str">
        <f>IF(Table1[[#This Row],[High Tol]]="","N/A",IFERROR(ABS(Table1[[#This Row],[Tol Span]]/Table1[[#This Row],[Error Span]]),"N/A"))</f>
        <v>N/A</v>
      </c>
      <c r="T87" s="1" t="str">
        <f>IF(OR(Table1[[#This Row],[Low Tol]]="",Table1[[#This Row],[High Tol]]=""),"Needs Analysis",IF(Table1[[#This Row],[Ratio]]&gt;=4,"Not Significant",IF(Table1[[#This Row],[Ratio]]&gt;=2,"Semi-Significant","Significant")))</f>
        <v>Needs Analysis</v>
      </c>
      <c r="W87" s="1">
        <f>IF(Table1[[#This Row],[Cal Type]]&lt;&gt;"ACCREDITED 17025 WITH UNCERTAINTIES",0,"")</f>
        <v>0</v>
      </c>
      <c r="X87" s="1" t="str">
        <f>IF(Table1[[#This Row],[DUT Read]]="","N/A",Table1[[#This Row],[Std Error]]+Table1[[#This Row],[DUT Read]]+Table1[[#This Row],[DUT Ucty]])</f>
        <v>N/A</v>
      </c>
      <c r="Y87" s="1" t="str">
        <f>IF(Table1[[#This Row],[Std Read]]="","N/A",Table1[[#This Row],[Std Read]]+Table1[[#This Row],[Std Ucty]])</f>
        <v>N/A</v>
      </c>
      <c r="Z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 s="1" t="str">
        <f>IF(Table1[[#This Row],[Spec Type]]="","N/A",Table1[[#This Row],[Spec Type]])</f>
        <v>±</v>
      </c>
      <c r="AC87" s="1" t="str">
        <f>IF(Table1[[#This Row],[Spec Type2]]="N/A","N/A",IF(AND(Table1[[#This Row],[DUT Adj Read]]&gt;=Table1[[#This Row],[Low Tol]],Table1[[#This Row],[DUT Adj Read]]&lt;=Table1[[#This Row],[High Tol]]),"Pass","Fail"))</f>
        <v>Fail</v>
      </c>
      <c r="AD87" s="1" t="str">
        <f>IF(AND(Table1[[#This Row],[Spec Type2]]="N/A",Table1[[#This Row],[DUT Adj Read]]="N/A",Table1[[#This Row],[Std Adj Read]]="N/A"),"N/A",IF(Table1[[#This Row],[DUT Adj Read]]="N/A",IF(Table1[[#This Row],[Std Adj Read]]&gt;Table1[[#This Row],[Low Tol]],"Pass","Fail"),IF(Table1[[#This Row],[DUT Adj Read]]&gt;Table1[[#This Row],[Low Tol]],"Pass","Fail")))</f>
        <v>Pass</v>
      </c>
      <c r="AE87" s="1" t="str">
        <f>IF(AND(Table1[[#This Row],[Spec Type2]]="N/A",Table1[[#This Row],[DUT Adj Read]]="N/A",Table1[[#This Row],[Std Adj Read]]="N/A"),"N/A",IF(Table1[[#This Row],[DUT Adj Read]]="N/A",IF(Table1[[#This Row],[Std Adj Read]]&lt;Table1[[#This Row],[High Tol]],"Pass","Fail"),IF(Table1[[#This Row],[DUT Adj Read]]&lt;Table1[[#This Row],[High Tol]],"Pass","Fail")))</f>
        <v>Fail</v>
      </c>
      <c r="AF87" s="1" t="str">
        <f>IF(AND(Table1[[#This Row],[Spec Type2]]="N/A",Table1[[#This Row],[DUT Adj Read]]="N/A",Table1[[#This Row],[Std Adj Read]]="N/A"),"N/A",IF(Table1[[#This Row],[DUT Adj Read]]="N/A",IF(Table1[[#This Row],[Std Adj Read]]&gt;=Table1[[#This Row],[Low Tol]],"Pass","Fail"),IF(Table1[[#This Row],[DUT Adj Read]]&gt;=Table1[[#This Row],[Low Tol]],"Pass","Fail")))</f>
        <v>Pass</v>
      </c>
      <c r="AG87" s="1" t="str">
        <f>IF(AND(Table1[[#This Row],[Spec Type2]]="N/A",Table1[[#This Row],[DUT Adj Read]]="N/A",Table1[[#This Row],[Std Adj Read]]="N/A"),"N/A",IF(Table1[[#This Row],[DUT Adj Read]]="N/A",IF(Table1[[#This Row],[Std Adj Read]]&lt;=Table1[[#This Row],[High Tol]],"Pass","Fail"),IF(Table1[[#This Row],[DUT Adj Read]]&lt;=Table1[[#This Row],[High Tol]],"Pass","Fail")))</f>
        <v>Fail</v>
      </c>
      <c r="AH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 s="1" t="b">
        <v>0</v>
      </c>
      <c r="AN87" s="1" t="b">
        <v>0</v>
      </c>
      <c r="AO87" s="1" t="b">
        <v>0</v>
      </c>
    </row>
    <row r="88" spans="1:41" x14ac:dyDescent="0.25">
      <c r="A88" s="10"/>
      <c r="B88" s="10"/>
      <c r="C88" s="10"/>
      <c r="D88" s="10"/>
      <c r="E88" s="10"/>
      <c r="F88" s="10"/>
      <c r="G88" s="10"/>
      <c r="H88" s="10"/>
      <c r="I88" s="1" t="str">
        <f t="shared" si="3"/>
        <v/>
      </c>
      <c r="J88" s="1" t="s">
        <v>35</v>
      </c>
      <c r="K88" s="1" t="str">
        <f t="shared" si="4"/>
        <v/>
      </c>
      <c r="L88" s="1" t="str">
        <f t="shared" si="5"/>
        <v/>
      </c>
      <c r="M88" s="1">
        <f>IF(OR(Table1[[#This Row],[Std Nom]]="",Table1[[#This Row],[Std Read]]=""),0,Table1[[#This Row],[Std Nom]]-Table1[[#This Row],[Std Read]])</f>
        <v>0</v>
      </c>
      <c r="N88" s="1">
        <f>IF(Calculations!$F$5="ACCREDITED 17025 WITH UNCERTAINTIES",$N$10,0)</f>
        <v>0</v>
      </c>
      <c r="Q88" s="1">
        <f>Table1[[#This Row],[High Tol]]-Table1[[#This Row],[Low Tol]]</f>
        <v>0</v>
      </c>
      <c r="R88" s="1">
        <f>2*Table1[[#This Row],[Std Error]]</f>
        <v>0</v>
      </c>
      <c r="S88" s="1" t="str">
        <f>IF(Table1[[#This Row],[High Tol]]="","N/A",IFERROR(ABS(Table1[[#This Row],[Tol Span]]/Table1[[#This Row],[Error Span]]),"N/A"))</f>
        <v>N/A</v>
      </c>
      <c r="T88" s="1" t="str">
        <f>IF(OR(Table1[[#This Row],[Low Tol]]="",Table1[[#This Row],[High Tol]]=""),"Needs Analysis",IF(Table1[[#This Row],[Ratio]]&gt;=4,"Not Significant",IF(Table1[[#This Row],[Ratio]]&gt;=2,"Semi-Significant","Significant")))</f>
        <v>Needs Analysis</v>
      </c>
      <c r="W88" s="1">
        <f>IF(Table1[[#This Row],[Cal Type]]&lt;&gt;"ACCREDITED 17025 WITH UNCERTAINTIES",0,"")</f>
        <v>0</v>
      </c>
      <c r="X88" s="1" t="str">
        <f>IF(Table1[[#This Row],[DUT Read]]="","N/A",Table1[[#This Row],[Std Error]]+Table1[[#This Row],[DUT Read]]+Table1[[#This Row],[DUT Ucty]])</f>
        <v>N/A</v>
      </c>
      <c r="Y88" s="1" t="str">
        <f>IF(Table1[[#This Row],[Std Read]]="","N/A",Table1[[#This Row],[Std Read]]+Table1[[#This Row],[Std Ucty]])</f>
        <v>N/A</v>
      </c>
      <c r="Z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 s="1" t="str">
        <f>IF(Table1[[#This Row],[Spec Type]]="","N/A",Table1[[#This Row],[Spec Type]])</f>
        <v>±</v>
      </c>
      <c r="AC88" s="1" t="str">
        <f>IF(Table1[[#This Row],[Spec Type2]]="N/A","N/A",IF(AND(Table1[[#This Row],[DUT Adj Read]]&gt;=Table1[[#This Row],[Low Tol]],Table1[[#This Row],[DUT Adj Read]]&lt;=Table1[[#This Row],[High Tol]]),"Pass","Fail"))</f>
        <v>Fail</v>
      </c>
      <c r="AD88" s="1" t="str">
        <f>IF(AND(Table1[[#This Row],[Spec Type2]]="N/A",Table1[[#This Row],[DUT Adj Read]]="N/A",Table1[[#This Row],[Std Adj Read]]="N/A"),"N/A",IF(Table1[[#This Row],[DUT Adj Read]]="N/A",IF(Table1[[#This Row],[Std Adj Read]]&gt;Table1[[#This Row],[Low Tol]],"Pass","Fail"),IF(Table1[[#This Row],[DUT Adj Read]]&gt;Table1[[#This Row],[Low Tol]],"Pass","Fail")))</f>
        <v>Pass</v>
      </c>
      <c r="AE88" s="1" t="str">
        <f>IF(AND(Table1[[#This Row],[Spec Type2]]="N/A",Table1[[#This Row],[DUT Adj Read]]="N/A",Table1[[#This Row],[Std Adj Read]]="N/A"),"N/A",IF(Table1[[#This Row],[DUT Adj Read]]="N/A",IF(Table1[[#This Row],[Std Adj Read]]&lt;Table1[[#This Row],[High Tol]],"Pass","Fail"),IF(Table1[[#This Row],[DUT Adj Read]]&lt;Table1[[#This Row],[High Tol]],"Pass","Fail")))</f>
        <v>Fail</v>
      </c>
      <c r="AF88" s="1" t="str">
        <f>IF(AND(Table1[[#This Row],[Spec Type2]]="N/A",Table1[[#This Row],[DUT Adj Read]]="N/A",Table1[[#This Row],[Std Adj Read]]="N/A"),"N/A",IF(Table1[[#This Row],[DUT Adj Read]]="N/A",IF(Table1[[#This Row],[Std Adj Read]]&gt;=Table1[[#This Row],[Low Tol]],"Pass","Fail"),IF(Table1[[#This Row],[DUT Adj Read]]&gt;=Table1[[#This Row],[Low Tol]],"Pass","Fail")))</f>
        <v>Pass</v>
      </c>
      <c r="AG88" s="1" t="str">
        <f>IF(AND(Table1[[#This Row],[Spec Type2]]="N/A",Table1[[#This Row],[DUT Adj Read]]="N/A",Table1[[#This Row],[Std Adj Read]]="N/A"),"N/A",IF(Table1[[#This Row],[DUT Adj Read]]="N/A",IF(Table1[[#This Row],[Std Adj Read]]&lt;=Table1[[#This Row],[High Tol]],"Pass","Fail"),IF(Table1[[#This Row],[DUT Adj Read]]&lt;=Table1[[#This Row],[High Tol]],"Pass","Fail")))</f>
        <v>Fail</v>
      </c>
      <c r="AH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 s="1" t="b">
        <v>0</v>
      </c>
      <c r="AN88" s="1" t="b">
        <v>0</v>
      </c>
      <c r="AO88" s="1" t="b">
        <v>0</v>
      </c>
    </row>
    <row r="89" spans="1:41" x14ac:dyDescent="0.25">
      <c r="A89" s="10"/>
      <c r="B89" s="10"/>
      <c r="C89" s="10"/>
      <c r="D89" s="10"/>
      <c r="E89" s="10"/>
      <c r="F89" s="10"/>
      <c r="G89" s="10"/>
      <c r="H89" s="10"/>
      <c r="I89" s="1" t="str">
        <f t="shared" si="3"/>
        <v/>
      </c>
      <c r="J89" s="1" t="s">
        <v>35</v>
      </c>
      <c r="K89" s="1" t="str">
        <f t="shared" si="4"/>
        <v/>
      </c>
      <c r="L89" s="1" t="str">
        <f t="shared" si="5"/>
        <v/>
      </c>
      <c r="M89" s="1">
        <f>IF(OR(Table1[[#This Row],[Std Nom]]="",Table1[[#This Row],[Std Read]]=""),0,Table1[[#This Row],[Std Nom]]-Table1[[#This Row],[Std Read]])</f>
        <v>0</v>
      </c>
      <c r="N89" s="1">
        <f>IF(Calculations!$F$5="ACCREDITED 17025 WITH UNCERTAINTIES",$N$10,0)</f>
        <v>0</v>
      </c>
      <c r="Q89" s="1">
        <f>Table1[[#This Row],[High Tol]]-Table1[[#This Row],[Low Tol]]</f>
        <v>0</v>
      </c>
      <c r="R89" s="1">
        <f>2*Table1[[#This Row],[Std Error]]</f>
        <v>0</v>
      </c>
      <c r="S89" s="1" t="str">
        <f>IF(Table1[[#This Row],[High Tol]]="","N/A",IFERROR(ABS(Table1[[#This Row],[Tol Span]]/Table1[[#This Row],[Error Span]]),"N/A"))</f>
        <v>N/A</v>
      </c>
      <c r="T89" s="1" t="str">
        <f>IF(OR(Table1[[#This Row],[Low Tol]]="",Table1[[#This Row],[High Tol]]=""),"Needs Analysis",IF(Table1[[#This Row],[Ratio]]&gt;=4,"Not Significant",IF(Table1[[#This Row],[Ratio]]&gt;=2,"Semi-Significant","Significant")))</f>
        <v>Needs Analysis</v>
      </c>
      <c r="W89" s="1">
        <f>IF(Table1[[#This Row],[Cal Type]]&lt;&gt;"ACCREDITED 17025 WITH UNCERTAINTIES",0,"")</f>
        <v>0</v>
      </c>
      <c r="X89" s="1" t="str">
        <f>IF(Table1[[#This Row],[DUT Read]]="","N/A",Table1[[#This Row],[Std Error]]+Table1[[#This Row],[DUT Read]]+Table1[[#This Row],[DUT Ucty]])</f>
        <v>N/A</v>
      </c>
      <c r="Y89" s="1" t="str">
        <f>IF(Table1[[#This Row],[Std Read]]="","N/A",Table1[[#This Row],[Std Read]]+Table1[[#This Row],[Std Ucty]])</f>
        <v>N/A</v>
      </c>
      <c r="Z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 s="1" t="str">
        <f>IF(Table1[[#This Row],[Spec Type]]="","N/A",Table1[[#This Row],[Spec Type]])</f>
        <v>±</v>
      </c>
      <c r="AC89" s="1" t="str">
        <f>IF(Table1[[#This Row],[Spec Type2]]="N/A","N/A",IF(AND(Table1[[#This Row],[DUT Adj Read]]&gt;=Table1[[#This Row],[Low Tol]],Table1[[#This Row],[DUT Adj Read]]&lt;=Table1[[#This Row],[High Tol]]),"Pass","Fail"))</f>
        <v>Fail</v>
      </c>
      <c r="AD89" s="1" t="str">
        <f>IF(AND(Table1[[#This Row],[Spec Type2]]="N/A",Table1[[#This Row],[DUT Adj Read]]="N/A",Table1[[#This Row],[Std Adj Read]]="N/A"),"N/A",IF(Table1[[#This Row],[DUT Adj Read]]="N/A",IF(Table1[[#This Row],[Std Adj Read]]&gt;Table1[[#This Row],[Low Tol]],"Pass","Fail"),IF(Table1[[#This Row],[DUT Adj Read]]&gt;Table1[[#This Row],[Low Tol]],"Pass","Fail")))</f>
        <v>Pass</v>
      </c>
      <c r="AE89" s="1" t="str">
        <f>IF(AND(Table1[[#This Row],[Spec Type2]]="N/A",Table1[[#This Row],[DUT Adj Read]]="N/A",Table1[[#This Row],[Std Adj Read]]="N/A"),"N/A",IF(Table1[[#This Row],[DUT Adj Read]]="N/A",IF(Table1[[#This Row],[Std Adj Read]]&lt;Table1[[#This Row],[High Tol]],"Pass","Fail"),IF(Table1[[#This Row],[DUT Adj Read]]&lt;Table1[[#This Row],[High Tol]],"Pass","Fail")))</f>
        <v>Fail</v>
      </c>
      <c r="AF89" s="1" t="str">
        <f>IF(AND(Table1[[#This Row],[Spec Type2]]="N/A",Table1[[#This Row],[DUT Adj Read]]="N/A",Table1[[#This Row],[Std Adj Read]]="N/A"),"N/A",IF(Table1[[#This Row],[DUT Adj Read]]="N/A",IF(Table1[[#This Row],[Std Adj Read]]&gt;=Table1[[#This Row],[Low Tol]],"Pass","Fail"),IF(Table1[[#This Row],[DUT Adj Read]]&gt;=Table1[[#This Row],[Low Tol]],"Pass","Fail")))</f>
        <v>Pass</v>
      </c>
      <c r="AG89" s="1" t="str">
        <f>IF(AND(Table1[[#This Row],[Spec Type2]]="N/A",Table1[[#This Row],[DUT Adj Read]]="N/A",Table1[[#This Row],[Std Adj Read]]="N/A"),"N/A",IF(Table1[[#This Row],[DUT Adj Read]]="N/A",IF(Table1[[#This Row],[Std Adj Read]]&lt;=Table1[[#This Row],[High Tol]],"Pass","Fail"),IF(Table1[[#This Row],[DUT Adj Read]]&lt;=Table1[[#This Row],[High Tol]],"Pass","Fail")))</f>
        <v>Fail</v>
      </c>
      <c r="AH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 s="1" t="b">
        <v>0</v>
      </c>
      <c r="AN89" s="1" t="b">
        <v>0</v>
      </c>
      <c r="AO89" s="1" t="b">
        <v>0</v>
      </c>
    </row>
    <row r="90" spans="1:41" x14ac:dyDescent="0.25">
      <c r="A90" s="10"/>
      <c r="B90" s="10"/>
      <c r="C90" s="10"/>
      <c r="D90" s="10"/>
      <c r="E90" s="10"/>
      <c r="F90" s="10"/>
      <c r="G90" s="10"/>
      <c r="H90" s="10"/>
      <c r="I90" s="1" t="str">
        <f t="shared" si="3"/>
        <v/>
      </c>
      <c r="J90" s="1" t="s">
        <v>35</v>
      </c>
      <c r="K90" s="1" t="str">
        <f t="shared" si="4"/>
        <v/>
      </c>
      <c r="L90" s="1" t="str">
        <f t="shared" si="5"/>
        <v/>
      </c>
      <c r="M90" s="1">
        <f>IF(OR(Table1[[#This Row],[Std Nom]]="",Table1[[#This Row],[Std Read]]=""),0,Table1[[#This Row],[Std Nom]]-Table1[[#This Row],[Std Read]])</f>
        <v>0</v>
      </c>
      <c r="N90" s="1">
        <f>IF(Calculations!$F$5="ACCREDITED 17025 WITH UNCERTAINTIES",$N$10,0)</f>
        <v>0</v>
      </c>
      <c r="Q90" s="1">
        <f>Table1[[#This Row],[High Tol]]-Table1[[#This Row],[Low Tol]]</f>
        <v>0</v>
      </c>
      <c r="R90" s="1">
        <f>2*Table1[[#This Row],[Std Error]]</f>
        <v>0</v>
      </c>
      <c r="S90" s="1" t="str">
        <f>IF(Table1[[#This Row],[High Tol]]="","N/A",IFERROR(ABS(Table1[[#This Row],[Tol Span]]/Table1[[#This Row],[Error Span]]),"N/A"))</f>
        <v>N/A</v>
      </c>
      <c r="T90" s="1" t="str">
        <f>IF(OR(Table1[[#This Row],[Low Tol]]="",Table1[[#This Row],[High Tol]]=""),"Needs Analysis",IF(Table1[[#This Row],[Ratio]]&gt;=4,"Not Significant",IF(Table1[[#This Row],[Ratio]]&gt;=2,"Semi-Significant","Significant")))</f>
        <v>Needs Analysis</v>
      </c>
      <c r="W90" s="1">
        <f>IF(Table1[[#This Row],[Cal Type]]&lt;&gt;"ACCREDITED 17025 WITH UNCERTAINTIES",0,"")</f>
        <v>0</v>
      </c>
      <c r="X90" s="1" t="str">
        <f>IF(Table1[[#This Row],[DUT Read]]="","N/A",Table1[[#This Row],[Std Error]]+Table1[[#This Row],[DUT Read]]+Table1[[#This Row],[DUT Ucty]])</f>
        <v>N/A</v>
      </c>
      <c r="Y90" s="1" t="str">
        <f>IF(Table1[[#This Row],[Std Read]]="","N/A",Table1[[#This Row],[Std Read]]+Table1[[#This Row],[Std Ucty]])</f>
        <v>N/A</v>
      </c>
      <c r="Z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 s="1" t="str">
        <f>IF(Table1[[#This Row],[Spec Type]]="","N/A",Table1[[#This Row],[Spec Type]])</f>
        <v>±</v>
      </c>
      <c r="AC90" s="1" t="str">
        <f>IF(Table1[[#This Row],[Spec Type2]]="N/A","N/A",IF(AND(Table1[[#This Row],[DUT Adj Read]]&gt;=Table1[[#This Row],[Low Tol]],Table1[[#This Row],[DUT Adj Read]]&lt;=Table1[[#This Row],[High Tol]]),"Pass","Fail"))</f>
        <v>Fail</v>
      </c>
      <c r="AD90" s="1" t="str">
        <f>IF(AND(Table1[[#This Row],[Spec Type2]]="N/A",Table1[[#This Row],[DUT Adj Read]]="N/A",Table1[[#This Row],[Std Adj Read]]="N/A"),"N/A",IF(Table1[[#This Row],[DUT Adj Read]]="N/A",IF(Table1[[#This Row],[Std Adj Read]]&gt;Table1[[#This Row],[Low Tol]],"Pass","Fail"),IF(Table1[[#This Row],[DUT Adj Read]]&gt;Table1[[#This Row],[Low Tol]],"Pass","Fail")))</f>
        <v>Pass</v>
      </c>
      <c r="AE90" s="1" t="str">
        <f>IF(AND(Table1[[#This Row],[Spec Type2]]="N/A",Table1[[#This Row],[DUT Adj Read]]="N/A",Table1[[#This Row],[Std Adj Read]]="N/A"),"N/A",IF(Table1[[#This Row],[DUT Adj Read]]="N/A",IF(Table1[[#This Row],[Std Adj Read]]&lt;Table1[[#This Row],[High Tol]],"Pass","Fail"),IF(Table1[[#This Row],[DUT Adj Read]]&lt;Table1[[#This Row],[High Tol]],"Pass","Fail")))</f>
        <v>Fail</v>
      </c>
      <c r="AF90" s="1" t="str">
        <f>IF(AND(Table1[[#This Row],[Spec Type2]]="N/A",Table1[[#This Row],[DUT Adj Read]]="N/A",Table1[[#This Row],[Std Adj Read]]="N/A"),"N/A",IF(Table1[[#This Row],[DUT Adj Read]]="N/A",IF(Table1[[#This Row],[Std Adj Read]]&gt;=Table1[[#This Row],[Low Tol]],"Pass","Fail"),IF(Table1[[#This Row],[DUT Adj Read]]&gt;=Table1[[#This Row],[Low Tol]],"Pass","Fail")))</f>
        <v>Pass</v>
      </c>
      <c r="AG90" s="1" t="str">
        <f>IF(AND(Table1[[#This Row],[Spec Type2]]="N/A",Table1[[#This Row],[DUT Adj Read]]="N/A",Table1[[#This Row],[Std Adj Read]]="N/A"),"N/A",IF(Table1[[#This Row],[DUT Adj Read]]="N/A",IF(Table1[[#This Row],[Std Adj Read]]&lt;=Table1[[#This Row],[High Tol]],"Pass","Fail"),IF(Table1[[#This Row],[DUT Adj Read]]&lt;=Table1[[#This Row],[High Tol]],"Pass","Fail")))</f>
        <v>Fail</v>
      </c>
      <c r="AH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 s="1" t="b">
        <v>0</v>
      </c>
      <c r="AN90" s="1" t="b">
        <v>0</v>
      </c>
      <c r="AO90" s="1" t="b">
        <v>0</v>
      </c>
    </row>
    <row r="91" spans="1:41" x14ac:dyDescent="0.25">
      <c r="A91" s="10"/>
      <c r="B91" s="10"/>
      <c r="C91" s="10"/>
      <c r="D91" s="10"/>
      <c r="E91" s="10"/>
      <c r="F91" s="10"/>
      <c r="G91" s="10"/>
      <c r="H91" s="10"/>
      <c r="I91" s="1" t="str">
        <f t="shared" si="3"/>
        <v/>
      </c>
      <c r="J91" s="1" t="s">
        <v>35</v>
      </c>
      <c r="K91" s="1" t="str">
        <f t="shared" si="4"/>
        <v/>
      </c>
      <c r="L91" s="1" t="str">
        <f t="shared" si="5"/>
        <v/>
      </c>
      <c r="M91" s="1">
        <f>IF(OR(Table1[[#This Row],[Std Nom]]="",Table1[[#This Row],[Std Read]]=""),0,Table1[[#This Row],[Std Nom]]-Table1[[#This Row],[Std Read]])</f>
        <v>0</v>
      </c>
      <c r="N91" s="1">
        <f>IF(Calculations!$F$5="ACCREDITED 17025 WITH UNCERTAINTIES",$N$10,0)</f>
        <v>0</v>
      </c>
      <c r="Q91" s="1">
        <f>Table1[[#This Row],[High Tol]]-Table1[[#This Row],[Low Tol]]</f>
        <v>0</v>
      </c>
      <c r="R91" s="1">
        <f>2*Table1[[#This Row],[Std Error]]</f>
        <v>0</v>
      </c>
      <c r="S91" s="1" t="str">
        <f>IF(Table1[[#This Row],[High Tol]]="","N/A",IFERROR(ABS(Table1[[#This Row],[Tol Span]]/Table1[[#This Row],[Error Span]]),"N/A"))</f>
        <v>N/A</v>
      </c>
      <c r="T91" s="1" t="str">
        <f>IF(OR(Table1[[#This Row],[Low Tol]]="",Table1[[#This Row],[High Tol]]=""),"Needs Analysis",IF(Table1[[#This Row],[Ratio]]&gt;=4,"Not Significant",IF(Table1[[#This Row],[Ratio]]&gt;=2,"Semi-Significant","Significant")))</f>
        <v>Needs Analysis</v>
      </c>
      <c r="W91" s="1">
        <f>IF(Table1[[#This Row],[Cal Type]]&lt;&gt;"ACCREDITED 17025 WITH UNCERTAINTIES",0,"")</f>
        <v>0</v>
      </c>
      <c r="X91" s="1" t="str">
        <f>IF(Table1[[#This Row],[DUT Read]]="","N/A",Table1[[#This Row],[Std Error]]+Table1[[#This Row],[DUT Read]]+Table1[[#This Row],[DUT Ucty]])</f>
        <v>N/A</v>
      </c>
      <c r="Y91" s="1" t="str">
        <f>IF(Table1[[#This Row],[Std Read]]="","N/A",Table1[[#This Row],[Std Read]]+Table1[[#This Row],[Std Ucty]])</f>
        <v>N/A</v>
      </c>
      <c r="Z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 s="1" t="str">
        <f>IF(Table1[[#This Row],[Spec Type]]="","N/A",Table1[[#This Row],[Spec Type]])</f>
        <v>±</v>
      </c>
      <c r="AC91" s="1" t="str">
        <f>IF(Table1[[#This Row],[Spec Type2]]="N/A","N/A",IF(AND(Table1[[#This Row],[DUT Adj Read]]&gt;=Table1[[#This Row],[Low Tol]],Table1[[#This Row],[DUT Adj Read]]&lt;=Table1[[#This Row],[High Tol]]),"Pass","Fail"))</f>
        <v>Fail</v>
      </c>
      <c r="AD91" s="1" t="str">
        <f>IF(AND(Table1[[#This Row],[Spec Type2]]="N/A",Table1[[#This Row],[DUT Adj Read]]="N/A",Table1[[#This Row],[Std Adj Read]]="N/A"),"N/A",IF(Table1[[#This Row],[DUT Adj Read]]="N/A",IF(Table1[[#This Row],[Std Adj Read]]&gt;Table1[[#This Row],[Low Tol]],"Pass","Fail"),IF(Table1[[#This Row],[DUT Adj Read]]&gt;Table1[[#This Row],[Low Tol]],"Pass","Fail")))</f>
        <v>Pass</v>
      </c>
      <c r="AE91" s="1" t="str">
        <f>IF(AND(Table1[[#This Row],[Spec Type2]]="N/A",Table1[[#This Row],[DUT Adj Read]]="N/A",Table1[[#This Row],[Std Adj Read]]="N/A"),"N/A",IF(Table1[[#This Row],[DUT Adj Read]]="N/A",IF(Table1[[#This Row],[Std Adj Read]]&lt;Table1[[#This Row],[High Tol]],"Pass","Fail"),IF(Table1[[#This Row],[DUT Adj Read]]&lt;Table1[[#This Row],[High Tol]],"Pass","Fail")))</f>
        <v>Fail</v>
      </c>
      <c r="AF91" s="1" t="str">
        <f>IF(AND(Table1[[#This Row],[Spec Type2]]="N/A",Table1[[#This Row],[DUT Adj Read]]="N/A",Table1[[#This Row],[Std Adj Read]]="N/A"),"N/A",IF(Table1[[#This Row],[DUT Adj Read]]="N/A",IF(Table1[[#This Row],[Std Adj Read]]&gt;=Table1[[#This Row],[Low Tol]],"Pass","Fail"),IF(Table1[[#This Row],[DUT Adj Read]]&gt;=Table1[[#This Row],[Low Tol]],"Pass","Fail")))</f>
        <v>Pass</v>
      </c>
      <c r="AG91" s="1" t="str">
        <f>IF(AND(Table1[[#This Row],[Spec Type2]]="N/A",Table1[[#This Row],[DUT Adj Read]]="N/A",Table1[[#This Row],[Std Adj Read]]="N/A"),"N/A",IF(Table1[[#This Row],[DUT Adj Read]]="N/A",IF(Table1[[#This Row],[Std Adj Read]]&lt;=Table1[[#This Row],[High Tol]],"Pass","Fail"),IF(Table1[[#This Row],[DUT Adj Read]]&lt;=Table1[[#This Row],[High Tol]],"Pass","Fail")))</f>
        <v>Fail</v>
      </c>
      <c r="AH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 s="1" t="b">
        <v>0</v>
      </c>
      <c r="AN91" s="1" t="b">
        <v>0</v>
      </c>
      <c r="AO91" s="1" t="b">
        <v>0</v>
      </c>
    </row>
    <row r="92" spans="1:41" x14ac:dyDescent="0.25">
      <c r="A92" s="10"/>
      <c r="B92" s="10"/>
      <c r="C92" s="10"/>
      <c r="D92" s="10"/>
      <c r="E92" s="10"/>
      <c r="F92" s="10"/>
      <c r="G92" s="10"/>
      <c r="H92" s="10"/>
      <c r="I92" s="1" t="str">
        <f t="shared" si="3"/>
        <v/>
      </c>
      <c r="J92" s="1" t="s">
        <v>35</v>
      </c>
      <c r="K92" s="1" t="str">
        <f t="shared" si="4"/>
        <v/>
      </c>
      <c r="L92" s="1" t="str">
        <f t="shared" si="5"/>
        <v/>
      </c>
      <c r="M92" s="1">
        <f>IF(OR(Table1[[#This Row],[Std Nom]]="",Table1[[#This Row],[Std Read]]=""),0,Table1[[#This Row],[Std Nom]]-Table1[[#This Row],[Std Read]])</f>
        <v>0</v>
      </c>
      <c r="N92" s="1">
        <f>IF(Calculations!$F$5="ACCREDITED 17025 WITH UNCERTAINTIES",$N$10,0)</f>
        <v>0</v>
      </c>
      <c r="Q92" s="1">
        <f>Table1[[#This Row],[High Tol]]-Table1[[#This Row],[Low Tol]]</f>
        <v>0</v>
      </c>
      <c r="R92" s="1">
        <f>2*Table1[[#This Row],[Std Error]]</f>
        <v>0</v>
      </c>
      <c r="S92" s="1" t="str">
        <f>IF(Table1[[#This Row],[High Tol]]="","N/A",IFERROR(ABS(Table1[[#This Row],[Tol Span]]/Table1[[#This Row],[Error Span]]),"N/A"))</f>
        <v>N/A</v>
      </c>
      <c r="T92" s="1" t="str">
        <f>IF(OR(Table1[[#This Row],[Low Tol]]="",Table1[[#This Row],[High Tol]]=""),"Needs Analysis",IF(Table1[[#This Row],[Ratio]]&gt;=4,"Not Significant",IF(Table1[[#This Row],[Ratio]]&gt;=2,"Semi-Significant","Significant")))</f>
        <v>Needs Analysis</v>
      </c>
      <c r="W92" s="1">
        <f>IF(Table1[[#This Row],[Cal Type]]&lt;&gt;"ACCREDITED 17025 WITH UNCERTAINTIES",0,"")</f>
        <v>0</v>
      </c>
      <c r="X92" s="1" t="str">
        <f>IF(Table1[[#This Row],[DUT Read]]="","N/A",Table1[[#This Row],[Std Error]]+Table1[[#This Row],[DUT Read]]+Table1[[#This Row],[DUT Ucty]])</f>
        <v>N/A</v>
      </c>
      <c r="Y92" s="1" t="str">
        <f>IF(Table1[[#This Row],[Std Read]]="","N/A",Table1[[#This Row],[Std Read]]+Table1[[#This Row],[Std Ucty]])</f>
        <v>N/A</v>
      </c>
      <c r="Z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 s="1" t="str">
        <f>IF(Table1[[#This Row],[Spec Type]]="","N/A",Table1[[#This Row],[Spec Type]])</f>
        <v>±</v>
      </c>
      <c r="AC92" s="1" t="str">
        <f>IF(Table1[[#This Row],[Spec Type2]]="N/A","N/A",IF(AND(Table1[[#This Row],[DUT Adj Read]]&gt;=Table1[[#This Row],[Low Tol]],Table1[[#This Row],[DUT Adj Read]]&lt;=Table1[[#This Row],[High Tol]]),"Pass","Fail"))</f>
        <v>Fail</v>
      </c>
      <c r="AD92" s="1" t="str">
        <f>IF(AND(Table1[[#This Row],[Spec Type2]]="N/A",Table1[[#This Row],[DUT Adj Read]]="N/A",Table1[[#This Row],[Std Adj Read]]="N/A"),"N/A",IF(Table1[[#This Row],[DUT Adj Read]]="N/A",IF(Table1[[#This Row],[Std Adj Read]]&gt;Table1[[#This Row],[Low Tol]],"Pass","Fail"),IF(Table1[[#This Row],[DUT Adj Read]]&gt;Table1[[#This Row],[Low Tol]],"Pass","Fail")))</f>
        <v>Pass</v>
      </c>
      <c r="AE92" s="1" t="str">
        <f>IF(AND(Table1[[#This Row],[Spec Type2]]="N/A",Table1[[#This Row],[DUT Adj Read]]="N/A",Table1[[#This Row],[Std Adj Read]]="N/A"),"N/A",IF(Table1[[#This Row],[DUT Adj Read]]="N/A",IF(Table1[[#This Row],[Std Adj Read]]&lt;Table1[[#This Row],[High Tol]],"Pass","Fail"),IF(Table1[[#This Row],[DUT Adj Read]]&lt;Table1[[#This Row],[High Tol]],"Pass","Fail")))</f>
        <v>Fail</v>
      </c>
      <c r="AF92" s="1" t="str">
        <f>IF(AND(Table1[[#This Row],[Spec Type2]]="N/A",Table1[[#This Row],[DUT Adj Read]]="N/A",Table1[[#This Row],[Std Adj Read]]="N/A"),"N/A",IF(Table1[[#This Row],[DUT Adj Read]]="N/A",IF(Table1[[#This Row],[Std Adj Read]]&gt;=Table1[[#This Row],[Low Tol]],"Pass","Fail"),IF(Table1[[#This Row],[DUT Adj Read]]&gt;=Table1[[#This Row],[Low Tol]],"Pass","Fail")))</f>
        <v>Pass</v>
      </c>
      <c r="AG92" s="1" t="str">
        <f>IF(AND(Table1[[#This Row],[Spec Type2]]="N/A",Table1[[#This Row],[DUT Adj Read]]="N/A",Table1[[#This Row],[Std Adj Read]]="N/A"),"N/A",IF(Table1[[#This Row],[DUT Adj Read]]="N/A",IF(Table1[[#This Row],[Std Adj Read]]&lt;=Table1[[#This Row],[High Tol]],"Pass","Fail"),IF(Table1[[#This Row],[DUT Adj Read]]&lt;=Table1[[#This Row],[High Tol]],"Pass","Fail")))</f>
        <v>Fail</v>
      </c>
      <c r="AH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 s="1" t="b">
        <v>0</v>
      </c>
      <c r="AN92" s="1" t="b">
        <v>0</v>
      </c>
      <c r="AO92" s="1" t="b">
        <v>0</v>
      </c>
    </row>
    <row r="93" spans="1:41" x14ac:dyDescent="0.25">
      <c r="A93" s="10"/>
      <c r="B93" s="10"/>
      <c r="C93" s="10"/>
      <c r="D93" s="10"/>
      <c r="E93" s="10"/>
      <c r="F93" s="10"/>
      <c r="G93" s="10"/>
      <c r="H93" s="10"/>
      <c r="I93" s="1" t="str">
        <f t="shared" si="3"/>
        <v/>
      </c>
      <c r="J93" s="1" t="s">
        <v>35</v>
      </c>
      <c r="K93" s="1" t="str">
        <f t="shared" si="4"/>
        <v/>
      </c>
      <c r="L93" s="1" t="str">
        <f t="shared" si="5"/>
        <v/>
      </c>
      <c r="M93" s="1">
        <f>IF(OR(Table1[[#This Row],[Std Nom]]="",Table1[[#This Row],[Std Read]]=""),0,Table1[[#This Row],[Std Nom]]-Table1[[#This Row],[Std Read]])</f>
        <v>0</v>
      </c>
      <c r="N93" s="1">
        <f>IF(Calculations!$F$5="ACCREDITED 17025 WITH UNCERTAINTIES",$N$10,0)</f>
        <v>0</v>
      </c>
      <c r="Q93" s="1">
        <f>Table1[[#This Row],[High Tol]]-Table1[[#This Row],[Low Tol]]</f>
        <v>0</v>
      </c>
      <c r="R93" s="1">
        <f>2*Table1[[#This Row],[Std Error]]</f>
        <v>0</v>
      </c>
      <c r="S93" s="1" t="str">
        <f>IF(Table1[[#This Row],[High Tol]]="","N/A",IFERROR(ABS(Table1[[#This Row],[Tol Span]]/Table1[[#This Row],[Error Span]]),"N/A"))</f>
        <v>N/A</v>
      </c>
      <c r="T93" s="1" t="str">
        <f>IF(OR(Table1[[#This Row],[Low Tol]]="",Table1[[#This Row],[High Tol]]=""),"Needs Analysis",IF(Table1[[#This Row],[Ratio]]&gt;=4,"Not Significant",IF(Table1[[#This Row],[Ratio]]&gt;=2,"Semi-Significant","Significant")))</f>
        <v>Needs Analysis</v>
      </c>
      <c r="W93" s="1">
        <f>IF(Table1[[#This Row],[Cal Type]]&lt;&gt;"ACCREDITED 17025 WITH UNCERTAINTIES",0,"")</f>
        <v>0</v>
      </c>
      <c r="X93" s="1" t="str">
        <f>IF(Table1[[#This Row],[DUT Read]]="","N/A",Table1[[#This Row],[Std Error]]+Table1[[#This Row],[DUT Read]]+Table1[[#This Row],[DUT Ucty]])</f>
        <v>N/A</v>
      </c>
      <c r="Y93" s="1" t="str">
        <f>IF(Table1[[#This Row],[Std Read]]="","N/A",Table1[[#This Row],[Std Read]]+Table1[[#This Row],[Std Ucty]])</f>
        <v>N/A</v>
      </c>
      <c r="Z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 s="1" t="str">
        <f>IF(Table1[[#This Row],[Spec Type]]="","N/A",Table1[[#This Row],[Spec Type]])</f>
        <v>±</v>
      </c>
      <c r="AC93" s="1" t="str">
        <f>IF(Table1[[#This Row],[Spec Type2]]="N/A","N/A",IF(AND(Table1[[#This Row],[DUT Adj Read]]&gt;=Table1[[#This Row],[Low Tol]],Table1[[#This Row],[DUT Adj Read]]&lt;=Table1[[#This Row],[High Tol]]),"Pass","Fail"))</f>
        <v>Fail</v>
      </c>
      <c r="AD93" s="1" t="str">
        <f>IF(AND(Table1[[#This Row],[Spec Type2]]="N/A",Table1[[#This Row],[DUT Adj Read]]="N/A",Table1[[#This Row],[Std Adj Read]]="N/A"),"N/A",IF(Table1[[#This Row],[DUT Adj Read]]="N/A",IF(Table1[[#This Row],[Std Adj Read]]&gt;Table1[[#This Row],[Low Tol]],"Pass","Fail"),IF(Table1[[#This Row],[DUT Adj Read]]&gt;Table1[[#This Row],[Low Tol]],"Pass","Fail")))</f>
        <v>Pass</v>
      </c>
      <c r="AE93" s="1" t="str">
        <f>IF(AND(Table1[[#This Row],[Spec Type2]]="N/A",Table1[[#This Row],[DUT Adj Read]]="N/A",Table1[[#This Row],[Std Adj Read]]="N/A"),"N/A",IF(Table1[[#This Row],[DUT Adj Read]]="N/A",IF(Table1[[#This Row],[Std Adj Read]]&lt;Table1[[#This Row],[High Tol]],"Pass","Fail"),IF(Table1[[#This Row],[DUT Adj Read]]&lt;Table1[[#This Row],[High Tol]],"Pass","Fail")))</f>
        <v>Fail</v>
      </c>
      <c r="AF93" s="1" t="str">
        <f>IF(AND(Table1[[#This Row],[Spec Type2]]="N/A",Table1[[#This Row],[DUT Adj Read]]="N/A",Table1[[#This Row],[Std Adj Read]]="N/A"),"N/A",IF(Table1[[#This Row],[DUT Adj Read]]="N/A",IF(Table1[[#This Row],[Std Adj Read]]&gt;=Table1[[#This Row],[Low Tol]],"Pass","Fail"),IF(Table1[[#This Row],[DUT Adj Read]]&gt;=Table1[[#This Row],[Low Tol]],"Pass","Fail")))</f>
        <v>Pass</v>
      </c>
      <c r="AG93" s="1" t="str">
        <f>IF(AND(Table1[[#This Row],[Spec Type2]]="N/A",Table1[[#This Row],[DUT Adj Read]]="N/A",Table1[[#This Row],[Std Adj Read]]="N/A"),"N/A",IF(Table1[[#This Row],[DUT Adj Read]]="N/A",IF(Table1[[#This Row],[Std Adj Read]]&lt;=Table1[[#This Row],[High Tol]],"Pass","Fail"),IF(Table1[[#This Row],[DUT Adj Read]]&lt;=Table1[[#This Row],[High Tol]],"Pass","Fail")))</f>
        <v>Fail</v>
      </c>
      <c r="AH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 s="1" t="b">
        <v>0</v>
      </c>
      <c r="AN93" s="1" t="b">
        <v>0</v>
      </c>
      <c r="AO93" s="1" t="b">
        <v>0</v>
      </c>
    </row>
    <row r="94" spans="1:41" x14ac:dyDescent="0.25">
      <c r="A94" s="10"/>
      <c r="B94" s="10"/>
      <c r="C94" s="10"/>
      <c r="D94" s="10"/>
      <c r="E94" s="10"/>
      <c r="F94" s="10"/>
      <c r="G94" s="10"/>
      <c r="H94" s="10"/>
      <c r="I94" s="1" t="str">
        <f t="shared" si="3"/>
        <v/>
      </c>
      <c r="J94" s="1" t="s">
        <v>35</v>
      </c>
      <c r="K94" s="1" t="str">
        <f t="shared" si="4"/>
        <v/>
      </c>
      <c r="L94" s="1" t="str">
        <f t="shared" si="5"/>
        <v/>
      </c>
      <c r="M94" s="1">
        <f>IF(OR(Table1[[#This Row],[Std Nom]]="",Table1[[#This Row],[Std Read]]=""),0,Table1[[#This Row],[Std Nom]]-Table1[[#This Row],[Std Read]])</f>
        <v>0</v>
      </c>
      <c r="N94" s="1">
        <f>IF(Calculations!$F$5="ACCREDITED 17025 WITH UNCERTAINTIES",$N$10,0)</f>
        <v>0</v>
      </c>
      <c r="Q94" s="1">
        <f>Table1[[#This Row],[High Tol]]-Table1[[#This Row],[Low Tol]]</f>
        <v>0</v>
      </c>
      <c r="R94" s="1">
        <f>2*Table1[[#This Row],[Std Error]]</f>
        <v>0</v>
      </c>
      <c r="S94" s="1" t="str">
        <f>IF(Table1[[#This Row],[High Tol]]="","N/A",IFERROR(ABS(Table1[[#This Row],[Tol Span]]/Table1[[#This Row],[Error Span]]),"N/A"))</f>
        <v>N/A</v>
      </c>
      <c r="T94" s="1" t="str">
        <f>IF(OR(Table1[[#This Row],[Low Tol]]="",Table1[[#This Row],[High Tol]]=""),"Needs Analysis",IF(Table1[[#This Row],[Ratio]]&gt;=4,"Not Significant",IF(Table1[[#This Row],[Ratio]]&gt;=2,"Semi-Significant","Significant")))</f>
        <v>Needs Analysis</v>
      </c>
      <c r="W94" s="1">
        <f>IF(Table1[[#This Row],[Cal Type]]&lt;&gt;"ACCREDITED 17025 WITH UNCERTAINTIES",0,"")</f>
        <v>0</v>
      </c>
      <c r="X94" s="1" t="str">
        <f>IF(Table1[[#This Row],[DUT Read]]="","N/A",Table1[[#This Row],[Std Error]]+Table1[[#This Row],[DUT Read]]+Table1[[#This Row],[DUT Ucty]])</f>
        <v>N/A</v>
      </c>
      <c r="Y94" s="1" t="str">
        <f>IF(Table1[[#This Row],[Std Read]]="","N/A",Table1[[#This Row],[Std Read]]+Table1[[#This Row],[Std Ucty]])</f>
        <v>N/A</v>
      </c>
      <c r="Z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 s="1" t="str">
        <f>IF(Table1[[#This Row],[Spec Type]]="","N/A",Table1[[#This Row],[Spec Type]])</f>
        <v>±</v>
      </c>
      <c r="AC94" s="1" t="str">
        <f>IF(Table1[[#This Row],[Spec Type2]]="N/A","N/A",IF(AND(Table1[[#This Row],[DUT Adj Read]]&gt;=Table1[[#This Row],[Low Tol]],Table1[[#This Row],[DUT Adj Read]]&lt;=Table1[[#This Row],[High Tol]]),"Pass","Fail"))</f>
        <v>Fail</v>
      </c>
      <c r="AD94" s="1" t="str">
        <f>IF(AND(Table1[[#This Row],[Spec Type2]]="N/A",Table1[[#This Row],[DUT Adj Read]]="N/A",Table1[[#This Row],[Std Adj Read]]="N/A"),"N/A",IF(Table1[[#This Row],[DUT Adj Read]]="N/A",IF(Table1[[#This Row],[Std Adj Read]]&gt;Table1[[#This Row],[Low Tol]],"Pass","Fail"),IF(Table1[[#This Row],[DUT Adj Read]]&gt;Table1[[#This Row],[Low Tol]],"Pass","Fail")))</f>
        <v>Pass</v>
      </c>
      <c r="AE94" s="1" t="str">
        <f>IF(AND(Table1[[#This Row],[Spec Type2]]="N/A",Table1[[#This Row],[DUT Adj Read]]="N/A",Table1[[#This Row],[Std Adj Read]]="N/A"),"N/A",IF(Table1[[#This Row],[DUT Adj Read]]="N/A",IF(Table1[[#This Row],[Std Adj Read]]&lt;Table1[[#This Row],[High Tol]],"Pass","Fail"),IF(Table1[[#This Row],[DUT Adj Read]]&lt;Table1[[#This Row],[High Tol]],"Pass","Fail")))</f>
        <v>Fail</v>
      </c>
      <c r="AF94" s="1" t="str">
        <f>IF(AND(Table1[[#This Row],[Spec Type2]]="N/A",Table1[[#This Row],[DUT Adj Read]]="N/A",Table1[[#This Row],[Std Adj Read]]="N/A"),"N/A",IF(Table1[[#This Row],[DUT Adj Read]]="N/A",IF(Table1[[#This Row],[Std Adj Read]]&gt;=Table1[[#This Row],[Low Tol]],"Pass","Fail"),IF(Table1[[#This Row],[DUT Adj Read]]&gt;=Table1[[#This Row],[Low Tol]],"Pass","Fail")))</f>
        <v>Pass</v>
      </c>
      <c r="AG94" s="1" t="str">
        <f>IF(AND(Table1[[#This Row],[Spec Type2]]="N/A",Table1[[#This Row],[DUT Adj Read]]="N/A",Table1[[#This Row],[Std Adj Read]]="N/A"),"N/A",IF(Table1[[#This Row],[DUT Adj Read]]="N/A",IF(Table1[[#This Row],[Std Adj Read]]&lt;=Table1[[#This Row],[High Tol]],"Pass","Fail"),IF(Table1[[#This Row],[DUT Adj Read]]&lt;=Table1[[#This Row],[High Tol]],"Pass","Fail")))</f>
        <v>Fail</v>
      </c>
      <c r="AH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 s="1" t="b">
        <v>0</v>
      </c>
      <c r="AN94" s="1" t="b">
        <v>0</v>
      </c>
      <c r="AO94" s="1" t="b">
        <v>0</v>
      </c>
    </row>
    <row r="95" spans="1:41" x14ac:dyDescent="0.25">
      <c r="A95" s="10"/>
      <c r="B95" s="10"/>
      <c r="C95" s="10"/>
      <c r="D95" s="10"/>
      <c r="E95" s="10"/>
      <c r="F95" s="10"/>
      <c r="G95" s="10"/>
      <c r="H95" s="10"/>
      <c r="I95" s="1" t="str">
        <f t="shared" si="3"/>
        <v/>
      </c>
      <c r="J95" s="1" t="s">
        <v>35</v>
      </c>
      <c r="K95" s="1" t="str">
        <f t="shared" si="4"/>
        <v/>
      </c>
      <c r="L95" s="1" t="str">
        <f t="shared" si="5"/>
        <v/>
      </c>
      <c r="M95" s="1">
        <f>IF(OR(Table1[[#This Row],[Std Nom]]="",Table1[[#This Row],[Std Read]]=""),0,Table1[[#This Row],[Std Nom]]-Table1[[#This Row],[Std Read]])</f>
        <v>0</v>
      </c>
      <c r="N95" s="1">
        <f>IF(Calculations!$F$5="ACCREDITED 17025 WITH UNCERTAINTIES",$N$10,0)</f>
        <v>0</v>
      </c>
      <c r="Q95" s="1">
        <f>Table1[[#This Row],[High Tol]]-Table1[[#This Row],[Low Tol]]</f>
        <v>0</v>
      </c>
      <c r="R95" s="1">
        <f>2*Table1[[#This Row],[Std Error]]</f>
        <v>0</v>
      </c>
      <c r="S95" s="1" t="str">
        <f>IF(Table1[[#This Row],[High Tol]]="","N/A",IFERROR(ABS(Table1[[#This Row],[Tol Span]]/Table1[[#This Row],[Error Span]]),"N/A"))</f>
        <v>N/A</v>
      </c>
      <c r="T95" s="1" t="str">
        <f>IF(OR(Table1[[#This Row],[Low Tol]]="",Table1[[#This Row],[High Tol]]=""),"Needs Analysis",IF(Table1[[#This Row],[Ratio]]&gt;=4,"Not Significant",IF(Table1[[#This Row],[Ratio]]&gt;=2,"Semi-Significant","Significant")))</f>
        <v>Needs Analysis</v>
      </c>
      <c r="W95" s="1">
        <f>IF(Table1[[#This Row],[Cal Type]]&lt;&gt;"ACCREDITED 17025 WITH UNCERTAINTIES",0,"")</f>
        <v>0</v>
      </c>
      <c r="X95" s="1" t="str">
        <f>IF(Table1[[#This Row],[DUT Read]]="","N/A",Table1[[#This Row],[Std Error]]+Table1[[#This Row],[DUT Read]]+Table1[[#This Row],[DUT Ucty]])</f>
        <v>N/A</v>
      </c>
      <c r="Y95" s="1" t="str">
        <f>IF(Table1[[#This Row],[Std Read]]="","N/A",Table1[[#This Row],[Std Read]]+Table1[[#This Row],[Std Ucty]])</f>
        <v>N/A</v>
      </c>
      <c r="Z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 s="1" t="str">
        <f>IF(Table1[[#This Row],[Spec Type]]="","N/A",Table1[[#This Row],[Spec Type]])</f>
        <v>±</v>
      </c>
      <c r="AC95" s="1" t="str">
        <f>IF(Table1[[#This Row],[Spec Type2]]="N/A","N/A",IF(AND(Table1[[#This Row],[DUT Adj Read]]&gt;=Table1[[#This Row],[Low Tol]],Table1[[#This Row],[DUT Adj Read]]&lt;=Table1[[#This Row],[High Tol]]),"Pass","Fail"))</f>
        <v>Fail</v>
      </c>
      <c r="AD95" s="1" t="str">
        <f>IF(AND(Table1[[#This Row],[Spec Type2]]="N/A",Table1[[#This Row],[DUT Adj Read]]="N/A",Table1[[#This Row],[Std Adj Read]]="N/A"),"N/A",IF(Table1[[#This Row],[DUT Adj Read]]="N/A",IF(Table1[[#This Row],[Std Adj Read]]&gt;Table1[[#This Row],[Low Tol]],"Pass","Fail"),IF(Table1[[#This Row],[DUT Adj Read]]&gt;Table1[[#This Row],[Low Tol]],"Pass","Fail")))</f>
        <v>Pass</v>
      </c>
      <c r="AE95" s="1" t="str">
        <f>IF(AND(Table1[[#This Row],[Spec Type2]]="N/A",Table1[[#This Row],[DUT Adj Read]]="N/A",Table1[[#This Row],[Std Adj Read]]="N/A"),"N/A",IF(Table1[[#This Row],[DUT Adj Read]]="N/A",IF(Table1[[#This Row],[Std Adj Read]]&lt;Table1[[#This Row],[High Tol]],"Pass","Fail"),IF(Table1[[#This Row],[DUT Adj Read]]&lt;Table1[[#This Row],[High Tol]],"Pass","Fail")))</f>
        <v>Fail</v>
      </c>
      <c r="AF95" s="1" t="str">
        <f>IF(AND(Table1[[#This Row],[Spec Type2]]="N/A",Table1[[#This Row],[DUT Adj Read]]="N/A",Table1[[#This Row],[Std Adj Read]]="N/A"),"N/A",IF(Table1[[#This Row],[DUT Adj Read]]="N/A",IF(Table1[[#This Row],[Std Adj Read]]&gt;=Table1[[#This Row],[Low Tol]],"Pass","Fail"),IF(Table1[[#This Row],[DUT Adj Read]]&gt;=Table1[[#This Row],[Low Tol]],"Pass","Fail")))</f>
        <v>Pass</v>
      </c>
      <c r="AG95" s="1" t="str">
        <f>IF(AND(Table1[[#This Row],[Spec Type2]]="N/A",Table1[[#This Row],[DUT Adj Read]]="N/A",Table1[[#This Row],[Std Adj Read]]="N/A"),"N/A",IF(Table1[[#This Row],[DUT Adj Read]]="N/A",IF(Table1[[#This Row],[Std Adj Read]]&lt;=Table1[[#This Row],[High Tol]],"Pass","Fail"),IF(Table1[[#This Row],[DUT Adj Read]]&lt;=Table1[[#This Row],[High Tol]],"Pass","Fail")))</f>
        <v>Fail</v>
      </c>
      <c r="AH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 s="1" t="b">
        <v>0</v>
      </c>
      <c r="AN95" s="1" t="b">
        <v>0</v>
      </c>
      <c r="AO95" s="1" t="b">
        <v>0</v>
      </c>
    </row>
    <row r="96" spans="1:41" x14ac:dyDescent="0.25">
      <c r="A96" s="10"/>
      <c r="B96" s="10"/>
      <c r="C96" s="10"/>
      <c r="D96" s="10"/>
      <c r="E96" s="10"/>
      <c r="F96" s="10"/>
      <c r="G96" s="10"/>
      <c r="H96" s="10"/>
      <c r="I96" s="1" t="str">
        <f t="shared" si="3"/>
        <v/>
      </c>
      <c r="J96" s="1" t="s">
        <v>35</v>
      </c>
      <c r="K96" s="1" t="str">
        <f t="shared" si="4"/>
        <v/>
      </c>
      <c r="L96" s="1" t="str">
        <f t="shared" si="5"/>
        <v/>
      </c>
      <c r="M96" s="1">
        <f>IF(OR(Table1[[#This Row],[Std Nom]]="",Table1[[#This Row],[Std Read]]=""),0,Table1[[#This Row],[Std Nom]]-Table1[[#This Row],[Std Read]])</f>
        <v>0</v>
      </c>
      <c r="N96" s="1">
        <f>IF(Calculations!$F$5="ACCREDITED 17025 WITH UNCERTAINTIES",$N$10,0)</f>
        <v>0</v>
      </c>
      <c r="Q96" s="1">
        <f>Table1[[#This Row],[High Tol]]-Table1[[#This Row],[Low Tol]]</f>
        <v>0</v>
      </c>
      <c r="R96" s="1">
        <f>2*Table1[[#This Row],[Std Error]]</f>
        <v>0</v>
      </c>
      <c r="S96" s="1" t="str">
        <f>IF(Table1[[#This Row],[High Tol]]="","N/A",IFERROR(ABS(Table1[[#This Row],[Tol Span]]/Table1[[#This Row],[Error Span]]),"N/A"))</f>
        <v>N/A</v>
      </c>
      <c r="T96" s="1" t="str">
        <f>IF(OR(Table1[[#This Row],[Low Tol]]="",Table1[[#This Row],[High Tol]]=""),"Needs Analysis",IF(Table1[[#This Row],[Ratio]]&gt;=4,"Not Significant",IF(Table1[[#This Row],[Ratio]]&gt;=2,"Semi-Significant","Significant")))</f>
        <v>Needs Analysis</v>
      </c>
      <c r="W96" s="1">
        <f>IF(Table1[[#This Row],[Cal Type]]&lt;&gt;"ACCREDITED 17025 WITH UNCERTAINTIES",0,"")</f>
        <v>0</v>
      </c>
      <c r="X96" s="1" t="str">
        <f>IF(Table1[[#This Row],[DUT Read]]="","N/A",Table1[[#This Row],[Std Error]]+Table1[[#This Row],[DUT Read]]+Table1[[#This Row],[DUT Ucty]])</f>
        <v>N/A</v>
      </c>
      <c r="Y96" s="1" t="str">
        <f>IF(Table1[[#This Row],[Std Read]]="","N/A",Table1[[#This Row],[Std Read]]+Table1[[#This Row],[Std Ucty]])</f>
        <v>N/A</v>
      </c>
      <c r="Z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 s="1" t="str">
        <f>IF(Table1[[#This Row],[Spec Type]]="","N/A",Table1[[#This Row],[Spec Type]])</f>
        <v>±</v>
      </c>
      <c r="AC96" s="1" t="str">
        <f>IF(Table1[[#This Row],[Spec Type2]]="N/A","N/A",IF(AND(Table1[[#This Row],[DUT Adj Read]]&gt;=Table1[[#This Row],[Low Tol]],Table1[[#This Row],[DUT Adj Read]]&lt;=Table1[[#This Row],[High Tol]]),"Pass","Fail"))</f>
        <v>Fail</v>
      </c>
      <c r="AD96" s="1" t="str">
        <f>IF(AND(Table1[[#This Row],[Spec Type2]]="N/A",Table1[[#This Row],[DUT Adj Read]]="N/A",Table1[[#This Row],[Std Adj Read]]="N/A"),"N/A",IF(Table1[[#This Row],[DUT Adj Read]]="N/A",IF(Table1[[#This Row],[Std Adj Read]]&gt;Table1[[#This Row],[Low Tol]],"Pass","Fail"),IF(Table1[[#This Row],[DUT Adj Read]]&gt;Table1[[#This Row],[Low Tol]],"Pass","Fail")))</f>
        <v>Pass</v>
      </c>
      <c r="AE96" s="1" t="str">
        <f>IF(AND(Table1[[#This Row],[Spec Type2]]="N/A",Table1[[#This Row],[DUT Adj Read]]="N/A",Table1[[#This Row],[Std Adj Read]]="N/A"),"N/A",IF(Table1[[#This Row],[DUT Adj Read]]="N/A",IF(Table1[[#This Row],[Std Adj Read]]&lt;Table1[[#This Row],[High Tol]],"Pass","Fail"),IF(Table1[[#This Row],[DUT Adj Read]]&lt;Table1[[#This Row],[High Tol]],"Pass","Fail")))</f>
        <v>Fail</v>
      </c>
      <c r="AF96" s="1" t="str">
        <f>IF(AND(Table1[[#This Row],[Spec Type2]]="N/A",Table1[[#This Row],[DUT Adj Read]]="N/A",Table1[[#This Row],[Std Adj Read]]="N/A"),"N/A",IF(Table1[[#This Row],[DUT Adj Read]]="N/A",IF(Table1[[#This Row],[Std Adj Read]]&gt;=Table1[[#This Row],[Low Tol]],"Pass","Fail"),IF(Table1[[#This Row],[DUT Adj Read]]&gt;=Table1[[#This Row],[Low Tol]],"Pass","Fail")))</f>
        <v>Pass</v>
      </c>
      <c r="AG96" s="1" t="str">
        <f>IF(AND(Table1[[#This Row],[Spec Type2]]="N/A",Table1[[#This Row],[DUT Adj Read]]="N/A",Table1[[#This Row],[Std Adj Read]]="N/A"),"N/A",IF(Table1[[#This Row],[DUT Adj Read]]="N/A",IF(Table1[[#This Row],[Std Adj Read]]&lt;=Table1[[#This Row],[High Tol]],"Pass","Fail"),IF(Table1[[#This Row],[DUT Adj Read]]&lt;=Table1[[#This Row],[High Tol]],"Pass","Fail")))</f>
        <v>Fail</v>
      </c>
      <c r="AH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 s="1" t="b">
        <v>0</v>
      </c>
      <c r="AN96" s="1" t="b">
        <v>0</v>
      </c>
      <c r="AO96" s="1" t="b">
        <v>0</v>
      </c>
    </row>
    <row r="97" spans="1:41" x14ac:dyDescent="0.25">
      <c r="A97" s="10"/>
      <c r="B97" s="10"/>
      <c r="C97" s="10"/>
      <c r="D97" s="10"/>
      <c r="E97" s="10"/>
      <c r="F97" s="10"/>
      <c r="G97" s="10"/>
      <c r="H97" s="10"/>
      <c r="I97" s="1" t="str">
        <f t="shared" si="3"/>
        <v/>
      </c>
      <c r="J97" s="1" t="s">
        <v>35</v>
      </c>
      <c r="K97" s="1" t="str">
        <f t="shared" si="4"/>
        <v/>
      </c>
      <c r="L97" s="1" t="str">
        <f t="shared" si="5"/>
        <v/>
      </c>
      <c r="M97" s="1">
        <f>IF(OR(Table1[[#This Row],[Std Nom]]="",Table1[[#This Row],[Std Read]]=""),0,Table1[[#This Row],[Std Nom]]-Table1[[#This Row],[Std Read]])</f>
        <v>0</v>
      </c>
      <c r="N97" s="1">
        <f>IF(Calculations!$F$5="ACCREDITED 17025 WITH UNCERTAINTIES",$N$10,0)</f>
        <v>0</v>
      </c>
      <c r="Q97" s="1">
        <f>Table1[[#This Row],[High Tol]]-Table1[[#This Row],[Low Tol]]</f>
        <v>0</v>
      </c>
      <c r="R97" s="1">
        <f>2*Table1[[#This Row],[Std Error]]</f>
        <v>0</v>
      </c>
      <c r="S97" s="1" t="str">
        <f>IF(Table1[[#This Row],[High Tol]]="","N/A",IFERROR(ABS(Table1[[#This Row],[Tol Span]]/Table1[[#This Row],[Error Span]]),"N/A"))</f>
        <v>N/A</v>
      </c>
      <c r="T97" s="1" t="str">
        <f>IF(OR(Table1[[#This Row],[Low Tol]]="",Table1[[#This Row],[High Tol]]=""),"Needs Analysis",IF(Table1[[#This Row],[Ratio]]&gt;=4,"Not Significant",IF(Table1[[#This Row],[Ratio]]&gt;=2,"Semi-Significant","Significant")))</f>
        <v>Needs Analysis</v>
      </c>
      <c r="W97" s="1">
        <f>IF(Table1[[#This Row],[Cal Type]]&lt;&gt;"ACCREDITED 17025 WITH UNCERTAINTIES",0,"")</f>
        <v>0</v>
      </c>
      <c r="X97" s="1" t="str">
        <f>IF(Table1[[#This Row],[DUT Read]]="","N/A",Table1[[#This Row],[Std Error]]+Table1[[#This Row],[DUT Read]]+Table1[[#This Row],[DUT Ucty]])</f>
        <v>N/A</v>
      </c>
      <c r="Y97" s="1" t="str">
        <f>IF(Table1[[#This Row],[Std Read]]="","N/A",Table1[[#This Row],[Std Read]]+Table1[[#This Row],[Std Ucty]])</f>
        <v>N/A</v>
      </c>
      <c r="Z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 s="1" t="str">
        <f>IF(Table1[[#This Row],[Spec Type]]="","N/A",Table1[[#This Row],[Spec Type]])</f>
        <v>±</v>
      </c>
      <c r="AC97" s="1" t="str">
        <f>IF(Table1[[#This Row],[Spec Type2]]="N/A","N/A",IF(AND(Table1[[#This Row],[DUT Adj Read]]&gt;=Table1[[#This Row],[Low Tol]],Table1[[#This Row],[DUT Adj Read]]&lt;=Table1[[#This Row],[High Tol]]),"Pass","Fail"))</f>
        <v>Fail</v>
      </c>
      <c r="AD97" s="1" t="str">
        <f>IF(AND(Table1[[#This Row],[Spec Type2]]="N/A",Table1[[#This Row],[DUT Adj Read]]="N/A",Table1[[#This Row],[Std Adj Read]]="N/A"),"N/A",IF(Table1[[#This Row],[DUT Adj Read]]="N/A",IF(Table1[[#This Row],[Std Adj Read]]&gt;Table1[[#This Row],[Low Tol]],"Pass","Fail"),IF(Table1[[#This Row],[DUT Adj Read]]&gt;Table1[[#This Row],[Low Tol]],"Pass","Fail")))</f>
        <v>Pass</v>
      </c>
      <c r="AE97" s="1" t="str">
        <f>IF(AND(Table1[[#This Row],[Spec Type2]]="N/A",Table1[[#This Row],[DUT Adj Read]]="N/A",Table1[[#This Row],[Std Adj Read]]="N/A"),"N/A",IF(Table1[[#This Row],[DUT Adj Read]]="N/A",IF(Table1[[#This Row],[Std Adj Read]]&lt;Table1[[#This Row],[High Tol]],"Pass","Fail"),IF(Table1[[#This Row],[DUT Adj Read]]&lt;Table1[[#This Row],[High Tol]],"Pass","Fail")))</f>
        <v>Fail</v>
      </c>
      <c r="AF97" s="1" t="str">
        <f>IF(AND(Table1[[#This Row],[Spec Type2]]="N/A",Table1[[#This Row],[DUT Adj Read]]="N/A",Table1[[#This Row],[Std Adj Read]]="N/A"),"N/A",IF(Table1[[#This Row],[DUT Adj Read]]="N/A",IF(Table1[[#This Row],[Std Adj Read]]&gt;=Table1[[#This Row],[Low Tol]],"Pass","Fail"),IF(Table1[[#This Row],[DUT Adj Read]]&gt;=Table1[[#This Row],[Low Tol]],"Pass","Fail")))</f>
        <v>Pass</v>
      </c>
      <c r="AG97" s="1" t="str">
        <f>IF(AND(Table1[[#This Row],[Spec Type2]]="N/A",Table1[[#This Row],[DUT Adj Read]]="N/A",Table1[[#This Row],[Std Adj Read]]="N/A"),"N/A",IF(Table1[[#This Row],[DUT Adj Read]]="N/A",IF(Table1[[#This Row],[Std Adj Read]]&lt;=Table1[[#This Row],[High Tol]],"Pass","Fail"),IF(Table1[[#This Row],[DUT Adj Read]]&lt;=Table1[[#This Row],[High Tol]],"Pass","Fail")))</f>
        <v>Fail</v>
      </c>
      <c r="AH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 s="1" t="b">
        <v>0</v>
      </c>
      <c r="AN97" s="1" t="b">
        <v>0</v>
      </c>
      <c r="AO97" s="1" t="b">
        <v>0</v>
      </c>
    </row>
    <row r="98" spans="1:41" x14ac:dyDescent="0.25">
      <c r="A98" s="10"/>
      <c r="B98" s="10"/>
      <c r="C98" s="10"/>
      <c r="D98" s="10"/>
      <c r="E98" s="10"/>
      <c r="F98" s="10"/>
      <c r="G98" s="10"/>
      <c r="H98" s="10"/>
      <c r="I98" s="1" t="str">
        <f t="shared" si="3"/>
        <v/>
      </c>
      <c r="J98" s="1" t="s">
        <v>35</v>
      </c>
      <c r="K98" s="1" t="str">
        <f t="shared" si="4"/>
        <v/>
      </c>
      <c r="L98" s="1" t="str">
        <f t="shared" si="5"/>
        <v/>
      </c>
      <c r="M98" s="1">
        <f>IF(OR(Table1[[#This Row],[Std Nom]]="",Table1[[#This Row],[Std Read]]=""),0,Table1[[#This Row],[Std Nom]]-Table1[[#This Row],[Std Read]])</f>
        <v>0</v>
      </c>
      <c r="N98" s="1">
        <f>IF(Calculations!$F$5="ACCREDITED 17025 WITH UNCERTAINTIES",$N$10,0)</f>
        <v>0</v>
      </c>
      <c r="Q98" s="1">
        <f>Table1[[#This Row],[High Tol]]-Table1[[#This Row],[Low Tol]]</f>
        <v>0</v>
      </c>
      <c r="R98" s="1">
        <f>2*Table1[[#This Row],[Std Error]]</f>
        <v>0</v>
      </c>
      <c r="S98" s="1" t="str">
        <f>IF(Table1[[#This Row],[High Tol]]="","N/A",IFERROR(ABS(Table1[[#This Row],[Tol Span]]/Table1[[#This Row],[Error Span]]),"N/A"))</f>
        <v>N/A</v>
      </c>
      <c r="T98" s="1" t="str">
        <f>IF(OR(Table1[[#This Row],[Low Tol]]="",Table1[[#This Row],[High Tol]]=""),"Needs Analysis",IF(Table1[[#This Row],[Ratio]]&gt;=4,"Not Significant",IF(Table1[[#This Row],[Ratio]]&gt;=2,"Semi-Significant","Significant")))</f>
        <v>Needs Analysis</v>
      </c>
      <c r="W98" s="1">
        <f>IF(Table1[[#This Row],[Cal Type]]&lt;&gt;"ACCREDITED 17025 WITH UNCERTAINTIES",0,"")</f>
        <v>0</v>
      </c>
      <c r="X98" s="1" t="str">
        <f>IF(Table1[[#This Row],[DUT Read]]="","N/A",Table1[[#This Row],[Std Error]]+Table1[[#This Row],[DUT Read]]+Table1[[#This Row],[DUT Ucty]])</f>
        <v>N/A</v>
      </c>
      <c r="Y98" s="1" t="str">
        <f>IF(Table1[[#This Row],[Std Read]]="","N/A",Table1[[#This Row],[Std Read]]+Table1[[#This Row],[Std Ucty]])</f>
        <v>N/A</v>
      </c>
      <c r="Z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 s="1" t="str">
        <f>IF(Table1[[#This Row],[Spec Type]]="","N/A",Table1[[#This Row],[Spec Type]])</f>
        <v>±</v>
      </c>
      <c r="AC98" s="1" t="str">
        <f>IF(Table1[[#This Row],[Spec Type2]]="N/A","N/A",IF(AND(Table1[[#This Row],[DUT Adj Read]]&gt;=Table1[[#This Row],[Low Tol]],Table1[[#This Row],[DUT Adj Read]]&lt;=Table1[[#This Row],[High Tol]]),"Pass","Fail"))</f>
        <v>Fail</v>
      </c>
      <c r="AD98" s="1" t="str">
        <f>IF(AND(Table1[[#This Row],[Spec Type2]]="N/A",Table1[[#This Row],[DUT Adj Read]]="N/A",Table1[[#This Row],[Std Adj Read]]="N/A"),"N/A",IF(Table1[[#This Row],[DUT Adj Read]]="N/A",IF(Table1[[#This Row],[Std Adj Read]]&gt;Table1[[#This Row],[Low Tol]],"Pass","Fail"),IF(Table1[[#This Row],[DUT Adj Read]]&gt;Table1[[#This Row],[Low Tol]],"Pass","Fail")))</f>
        <v>Pass</v>
      </c>
      <c r="AE98" s="1" t="str">
        <f>IF(AND(Table1[[#This Row],[Spec Type2]]="N/A",Table1[[#This Row],[DUT Adj Read]]="N/A",Table1[[#This Row],[Std Adj Read]]="N/A"),"N/A",IF(Table1[[#This Row],[DUT Adj Read]]="N/A",IF(Table1[[#This Row],[Std Adj Read]]&lt;Table1[[#This Row],[High Tol]],"Pass","Fail"),IF(Table1[[#This Row],[DUT Adj Read]]&lt;Table1[[#This Row],[High Tol]],"Pass","Fail")))</f>
        <v>Fail</v>
      </c>
      <c r="AF98" s="1" t="str">
        <f>IF(AND(Table1[[#This Row],[Spec Type2]]="N/A",Table1[[#This Row],[DUT Adj Read]]="N/A",Table1[[#This Row],[Std Adj Read]]="N/A"),"N/A",IF(Table1[[#This Row],[DUT Adj Read]]="N/A",IF(Table1[[#This Row],[Std Adj Read]]&gt;=Table1[[#This Row],[Low Tol]],"Pass","Fail"),IF(Table1[[#This Row],[DUT Adj Read]]&gt;=Table1[[#This Row],[Low Tol]],"Pass","Fail")))</f>
        <v>Pass</v>
      </c>
      <c r="AG98" s="1" t="str">
        <f>IF(AND(Table1[[#This Row],[Spec Type2]]="N/A",Table1[[#This Row],[DUT Adj Read]]="N/A",Table1[[#This Row],[Std Adj Read]]="N/A"),"N/A",IF(Table1[[#This Row],[DUT Adj Read]]="N/A",IF(Table1[[#This Row],[Std Adj Read]]&lt;=Table1[[#This Row],[High Tol]],"Pass","Fail"),IF(Table1[[#This Row],[DUT Adj Read]]&lt;=Table1[[#This Row],[High Tol]],"Pass","Fail")))</f>
        <v>Fail</v>
      </c>
      <c r="AH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 s="1" t="b">
        <v>0</v>
      </c>
      <c r="AN98" s="1" t="b">
        <v>0</v>
      </c>
      <c r="AO98" s="1" t="b">
        <v>0</v>
      </c>
    </row>
    <row r="99" spans="1:41" x14ac:dyDescent="0.25">
      <c r="A99" s="10"/>
      <c r="B99" s="10"/>
      <c r="C99" s="10"/>
      <c r="D99" s="10"/>
      <c r="E99" s="10"/>
      <c r="F99" s="10"/>
      <c r="G99" s="10"/>
      <c r="H99" s="10"/>
      <c r="I99" s="1" t="str">
        <f t="shared" si="3"/>
        <v/>
      </c>
      <c r="J99" s="1" t="s">
        <v>35</v>
      </c>
      <c r="K99" s="1" t="str">
        <f t="shared" si="4"/>
        <v/>
      </c>
      <c r="L99" s="1" t="str">
        <f t="shared" si="5"/>
        <v/>
      </c>
      <c r="M99" s="1">
        <f>IF(OR(Table1[[#This Row],[Std Nom]]="",Table1[[#This Row],[Std Read]]=""),0,Table1[[#This Row],[Std Nom]]-Table1[[#This Row],[Std Read]])</f>
        <v>0</v>
      </c>
      <c r="N99" s="1">
        <f>IF(Calculations!$F$5="ACCREDITED 17025 WITH UNCERTAINTIES",$N$10,0)</f>
        <v>0</v>
      </c>
      <c r="Q99" s="1">
        <f>Table1[[#This Row],[High Tol]]-Table1[[#This Row],[Low Tol]]</f>
        <v>0</v>
      </c>
      <c r="R99" s="1">
        <f>2*Table1[[#This Row],[Std Error]]</f>
        <v>0</v>
      </c>
      <c r="S99" s="1" t="str">
        <f>IF(Table1[[#This Row],[High Tol]]="","N/A",IFERROR(ABS(Table1[[#This Row],[Tol Span]]/Table1[[#This Row],[Error Span]]),"N/A"))</f>
        <v>N/A</v>
      </c>
      <c r="T99" s="1" t="str">
        <f>IF(OR(Table1[[#This Row],[Low Tol]]="",Table1[[#This Row],[High Tol]]=""),"Needs Analysis",IF(Table1[[#This Row],[Ratio]]&gt;=4,"Not Significant",IF(Table1[[#This Row],[Ratio]]&gt;=2,"Semi-Significant","Significant")))</f>
        <v>Needs Analysis</v>
      </c>
      <c r="W99" s="1">
        <f>IF(Table1[[#This Row],[Cal Type]]&lt;&gt;"ACCREDITED 17025 WITH UNCERTAINTIES",0,"")</f>
        <v>0</v>
      </c>
      <c r="X99" s="1" t="str">
        <f>IF(Table1[[#This Row],[DUT Read]]="","N/A",Table1[[#This Row],[Std Error]]+Table1[[#This Row],[DUT Read]]+Table1[[#This Row],[DUT Ucty]])</f>
        <v>N/A</v>
      </c>
      <c r="Y99" s="1" t="str">
        <f>IF(Table1[[#This Row],[Std Read]]="","N/A",Table1[[#This Row],[Std Read]]+Table1[[#This Row],[Std Ucty]])</f>
        <v>N/A</v>
      </c>
      <c r="Z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 s="1" t="str">
        <f>IF(Table1[[#This Row],[Spec Type]]="","N/A",Table1[[#This Row],[Spec Type]])</f>
        <v>±</v>
      </c>
      <c r="AC99" s="1" t="str">
        <f>IF(Table1[[#This Row],[Spec Type2]]="N/A","N/A",IF(AND(Table1[[#This Row],[DUT Adj Read]]&gt;=Table1[[#This Row],[Low Tol]],Table1[[#This Row],[DUT Adj Read]]&lt;=Table1[[#This Row],[High Tol]]),"Pass","Fail"))</f>
        <v>Fail</v>
      </c>
      <c r="AD99" s="1" t="str">
        <f>IF(AND(Table1[[#This Row],[Spec Type2]]="N/A",Table1[[#This Row],[DUT Adj Read]]="N/A",Table1[[#This Row],[Std Adj Read]]="N/A"),"N/A",IF(Table1[[#This Row],[DUT Adj Read]]="N/A",IF(Table1[[#This Row],[Std Adj Read]]&gt;Table1[[#This Row],[Low Tol]],"Pass","Fail"),IF(Table1[[#This Row],[DUT Adj Read]]&gt;Table1[[#This Row],[Low Tol]],"Pass","Fail")))</f>
        <v>Pass</v>
      </c>
      <c r="AE99" s="1" t="str">
        <f>IF(AND(Table1[[#This Row],[Spec Type2]]="N/A",Table1[[#This Row],[DUT Adj Read]]="N/A",Table1[[#This Row],[Std Adj Read]]="N/A"),"N/A",IF(Table1[[#This Row],[DUT Adj Read]]="N/A",IF(Table1[[#This Row],[Std Adj Read]]&lt;Table1[[#This Row],[High Tol]],"Pass","Fail"),IF(Table1[[#This Row],[DUT Adj Read]]&lt;Table1[[#This Row],[High Tol]],"Pass","Fail")))</f>
        <v>Fail</v>
      </c>
      <c r="AF99" s="1" t="str">
        <f>IF(AND(Table1[[#This Row],[Spec Type2]]="N/A",Table1[[#This Row],[DUT Adj Read]]="N/A",Table1[[#This Row],[Std Adj Read]]="N/A"),"N/A",IF(Table1[[#This Row],[DUT Adj Read]]="N/A",IF(Table1[[#This Row],[Std Adj Read]]&gt;=Table1[[#This Row],[Low Tol]],"Pass","Fail"),IF(Table1[[#This Row],[DUT Adj Read]]&gt;=Table1[[#This Row],[Low Tol]],"Pass","Fail")))</f>
        <v>Pass</v>
      </c>
      <c r="AG99" s="1" t="str">
        <f>IF(AND(Table1[[#This Row],[Spec Type2]]="N/A",Table1[[#This Row],[DUT Adj Read]]="N/A",Table1[[#This Row],[Std Adj Read]]="N/A"),"N/A",IF(Table1[[#This Row],[DUT Adj Read]]="N/A",IF(Table1[[#This Row],[Std Adj Read]]&lt;=Table1[[#This Row],[High Tol]],"Pass","Fail"),IF(Table1[[#This Row],[DUT Adj Read]]&lt;=Table1[[#This Row],[High Tol]],"Pass","Fail")))</f>
        <v>Fail</v>
      </c>
      <c r="AH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 s="1" t="b">
        <v>0</v>
      </c>
      <c r="AN99" s="1" t="b">
        <v>0</v>
      </c>
      <c r="AO99" s="1" t="b">
        <v>0</v>
      </c>
    </row>
    <row r="100" spans="1:41" x14ac:dyDescent="0.25">
      <c r="A100" s="10"/>
      <c r="B100" s="10"/>
      <c r="C100" s="10"/>
      <c r="D100" s="10"/>
      <c r="E100" s="10"/>
      <c r="F100" s="10"/>
      <c r="G100" s="10"/>
      <c r="H100" s="10"/>
      <c r="I100" s="1" t="str">
        <f t="shared" si="3"/>
        <v/>
      </c>
      <c r="J100" s="1" t="s">
        <v>35</v>
      </c>
      <c r="K100" s="1" t="str">
        <f t="shared" si="4"/>
        <v/>
      </c>
      <c r="L100" s="1" t="str">
        <f t="shared" si="5"/>
        <v/>
      </c>
      <c r="M100" s="1">
        <f>IF(OR(Table1[[#This Row],[Std Nom]]="",Table1[[#This Row],[Std Read]]=""),0,Table1[[#This Row],[Std Nom]]-Table1[[#This Row],[Std Read]])</f>
        <v>0</v>
      </c>
      <c r="N100" s="1">
        <f>IF(Calculations!$F$5="ACCREDITED 17025 WITH UNCERTAINTIES",$N$10,0)</f>
        <v>0</v>
      </c>
      <c r="Q100" s="1">
        <f>Table1[[#This Row],[High Tol]]-Table1[[#This Row],[Low Tol]]</f>
        <v>0</v>
      </c>
      <c r="R100" s="1">
        <f>2*Table1[[#This Row],[Std Error]]</f>
        <v>0</v>
      </c>
      <c r="S100" s="1" t="str">
        <f>IF(Table1[[#This Row],[High Tol]]="","N/A",IFERROR(ABS(Table1[[#This Row],[Tol Span]]/Table1[[#This Row],[Error Span]]),"N/A"))</f>
        <v>N/A</v>
      </c>
      <c r="T100" s="1" t="str">
        <f>IF(OR(Table1[[#This Row],[Low Tol]]="",Table1[[#This Row],[High Tol]]=""),"Needs Analysis",IF(Table1[[#This Row],[Ratio]]&gt;=4,"Not Significant",IF(Table1[[#This Row],[Ratio]]&gt;=2,"Semi-Significant","Significant")))</f>
        <v>Needs Analysis</v>
      </c>
      <c r="W100" s="1">
        <f>IF(Table1[[#This Row],[Cal Type]]&lt;&gt;"ACCREDITED 17025 WITH UNCERTAINTIES",0,"")</f>
        <v>0</v>
      </c>
      <c r="X100" s="1" t="str">
        <f>IF(Table1[[#This Row],[DUT Read]]="","N/A",Table1[[#This Row],[Std Error]]+Table1[[#This Row],[DUT Read]]+Table1[[#This Row],[DUT Ucty]])</f>
        <v>N/A</v>
      </c>
      <c r="Y100" s="1" t="str">
        <f>IF(Table1[[#This Row],[Std Read]]="","N/A",Table1[[#This Row],[Std Read]]+Table1[[#This Row],[Std Ucty]])</f>
        <v>N/A</v>
      </c>
      <c r="Z1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 s="1" t="str">
        <f>IF(Table1[[#This Row],[Spec Type]]="","N/A",Table1[[#This Row],[Spec Type]])</f>
        <v>±</v>
      </c>
      <c r="AC100" s="1" t="str">
        <f>IF(Table1[[#This Row],[Spec Type2]]="N/A","N/A",IF(AND(Table1[[#This Row],[DUT Adj Read]]&gt;=Table1[[#This Row],[Low Tol]],Table1[[#This Row],[DUT Adj Read]]&lt;=Table1[[#This Row],[High Tol]]),"Pass","Fail"))</f>
        <v>Fail</v>
      </c>
      <c r="AD100" s="1" t="str">
        <f>IF(AND(Table1[[#This Row],[Spec Type2]]="N/A",Table1[[#This Row],[DUT Adj Read]]="N/A",Table1[[#This Row],[Std Adj Read]]="N/A"),"N/A",IF(Table1[[#This Row],[DUT Adj Read]]="N/A",IF(Table1[[#This Row],[Std Adj Read]]&gt;Table1[[#This Row],[Low Tol]],"Pass","Fail"),IF(Table1[[#This Row],[DUT Adj Read]]&gt;Table1[[#This Row],[Low Tol]],"Pass","Fail")))</f>
        <v>Pass</v>
      </c>
      <c r="AE100" s="1" t="str">
        <f>IF(AND(Table1[[#This Row],[Spec Type2]]="N/A",Table1[[#This Row],[DUT Adj Read]]="N/A",Table1[[#This Row],[Std Adj Read]]="N/A"),"N/A",IF(Table1[[#This Row],[DUT Adj Read]]="N/A",IF(Table1[[#This Row],[Std Adj Read]]&lt;Table1[[#This Row],[High Tol]],"Pass","Fail"),IF(Table1[[#This Row],[DUT Adj Read]]&lt;Table1[[#This Row],[High Tol]],"Pass","Fail")))</f>
        <v>Fail</v>
      </c>
      <c r="AF100" s="1" t="str">
        <f>IF(AND(Table1[[#This Row],[Spec Type2]]="N/A",Table1[[#This Row],[DUT Adj Read]]="N/A",Table1[[#This Row],[Std Adj Read]]="N/A"),"N/A",IF(Table1[[#This Row],[DUT Adj Read]]="N/A",IF(Table1[[#This Row],[Std Adj Read]]&gt;=Table1[[#This Row],[Low Tol]],"Pass","Fail"),IF(Table1[[#This Row],[DUT Adj Read]]&gt;=Table1[[#This Row],[Low Tol]],"Pass","Fail")))</f>
        <v>Pass</v>
      </c>
      <c r="AG100" s="1" t="str">
        <f>IF(AND(Table1[[#This Row],[Spec Type2]]="N/A",Table1[[#This Row],[DUT Adj Read]]="N/A",Table1[[#This Row],[Std Adj Read]]="N/A"),"N/A",IF(Table1[[#This Row],[DUT Adj Read]]="N/A",IF(Table1[[#This Row],[Std Adj Read]]&lt;=Table1[[#This Row],[High Tol]],"Pass","Fail"),IF(Table1[[#This Row],[DUT Adj Read]]&lt;=Table1[[#This Row],[High Tol]],"Pass","Fail")))</f>
        <v>Fail</v>
      </c>
      <c r="AH1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 s="1" t="b">
        <v>0</v>
      </c>
      <c r="AN100" s="1" t="b">
        <v>0</v>
      </c>
      <c r="AO100" s="1" t="b">
        <v>0</v>
      </c>
    </row>
    <row r="101" spans="1:41" x14ac:dyDescent="0.25">
      <c r="A101" s="10"/>
      <c r="B101" s="10"/>
      <c r="C101" s="10"/>
      <c r="D101" s="10"/>
      <c r="E101" s="10"/>
      <c r="F101" s="10"/>
      <c r="G101" s="10"/>
      <c r="H101" s="10"/>
      <c r="I101" s="1" t="str">
        <f t="shared" si="3"/>
        <v/>
      </c>
      <c r="J101" s="1" t="s">
        <v>35</v>
      </c>
      <c r="K101" s="1" t="str">
        <f t="shared" si="4"/>
        <v/>
      </c>
      <c r="L101" s="1" t="str">
        <f t="shared" si="5"/>
        <v/>
      </c>
      <c r="M101" s="1">
        <f>IF(OR(Table1[[#This Row],[Std Nom]]="",Table1[[#This Row],[Std Read]]=""),0,Table1[[#This Row],[Std Nom]]-Table1[[#This Row],[Std Read]])</f>
        <v>0</v>
      </c>
      <c r="N101" s="1">
        <f>IF(Calculations!$F$5="ACCREDITED 17025 WITH UNCERTAINTIES",$N$10,0)</f>
        <v>0</v>
      </c>
      <c r="Q101" s="1">
        <f>Table1[[#This Row],[High Tol]]-Table1[[#This Row],[Low Tol]]</f>
        <v>0</v>
      </c>
      <c r="R101" s="1">
        <f>2*Table1[[#This Row],[Std Error]]</f>
        <v>0</v>
      </c>
      <c r="S101" s="1" t="str">
        <f>IF(Table1[[#This Row],[High Tol]]="","N/A",IFERROR(ABS(Table1[[#This Row],[Tol Span]]/Table1[[#This Row],[Error Span]]),"N/A"))</f>
        <v>N/A</v>
      </c>
      <c r="T101" s="1" t="str">
        <f>IF(OR(Table1[[#This Row],[Low Tol]]="",Table1[[#This Row],[High Tol]]=""),"Needs Analysis",IF(Table1[[#This Row],[Ratio]]&gt;=4,"Not Significant",IF(Table1[[#This Row],[Ratio]]&gt;=2,"Semi-Significant","Significant")))</f>
        <v>Needs Analysis</v>
      </c>
      <c r="W101" s="1">
        <f>IF(Table1[[#This Row],[Cal Type]]&lt;&gt;"ACCREDITED 17025 WITH UNCERTAINTIES",0,"")</f>
        <v>0</v>
      </c>
      <c r="X101" s="1" t="str">
        <f>IF(Table1[[#This Row],[DUT Read]]="","N/A",Table1[[#This Row],[Std Error]]+Table1[[#This Row],[DUT Read]]+Table1[[#This Row],[DUT Ucty]])</f>
        <v>N/A</v>
      </c>
      <c r="Y101" s="1" t="str">
        <f>IF(Table1[[#This Row],[Std Read]]="","N/A",Table1[[#This Row],[Std Read]]+Table1[[#This Row],[Std Ucty]])</f>
        <v>N/A</v>
      </c>
      <c r="Z1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 s="1" t="str">
        <f>IF(Table1[[#This Row],[Spec Type]]="","N/A",Table1[[#This Row],[Spec Type]])</f>
        <v>±</v>
      </c>
      <c r="AC101" s="1" t="str">
        <f>IF(Table1[[#This Row],[Spec Type2]]="N/A","N/A",IF(AND(Table1[[#This Row],[DUT Adj Read]]&gt;=Table1[[#This Row],[Low Tol]],Table1[[#This Row],[DUT Adj Read]]&lt;=Table1[[#This Row],[High Tol]]),"Pass","Fail"))</f>
        <v>Fail</v>
      </c>
      <c r="AD101" s="1" t="str">
        <f>IF(AND(Table1[[#This Row],[Spec Type2]]="N/A",Table1[[#This Row],[DUT Adj Read]]="N/A",Table1[[#This Row],[Std Adj Read]]="N/A"),"N/A",IF(Table1[[#This Row],[DUT Adj Read]]="N/A",IF(Table1[[#This Row],[Std Adj Read]]&gt;Table1[[#This Row],[Low Tol]],"Pass","Fail"),IF(Table1[[#This Row],[DUT Adj Read]]&gt;Table1[[#This Row],[Low Tol]],"Pass","Fail")))</f>
        <v>Pass</v>
      </c>
      <c r="AE101" s="1" t="str">
        <f>IF(AND(Table1[[#This Row],[Spec Type2]]="N/A",Table1[[#This Row],[DUT Adj Read]]="N/A",Table1[[#This Row],[Std Adj Read]]="N/A"),"N/A",IF(Table1[[#This Row],[DUT Adj Read]]="N/A",IF(Table1[[#This Row],[Std Adj Read]]&lt;Table1[[#This Row],[High Tol]],"Pass","Fail"),IF(Table1[[#This Row],[DUT Adj Read]]&lt;Table1[[#This Row],[High Tol]],"Pass","Fail")))</f>
        <v>Fail</v>
      </c>
      <c r="AF101" s="1" t="str">
        <f>IF(AND(Table1[[#This Row],[Spec Type2]]="N/A",Table1[[#This Row],[DUT Adj Read]]="N/A",Table1[[#This Row],[Std Adj Read]]="N/A"),"N/A",IF(Table1[[#This Row],[DUT Adj Read]]="N/A",IF(Table1[[#This Row],[Std Adj Read]]&gt;=Table1[[#This Row],[Low Tol]],"Pass","Fail"),IF(Table1[[#This Row],[DUT Adj Read]]&gt;=Table1[[#This Row],[Low Tol]],"Pass","Fail")))</f>
        <v>Pass</v>
      </c>
      <c r="AG101" s="1" t="str">
        <f>IF(AND(Table1[[#This Row],[Spec Type2]]="N/A",Table1[[#This Row],[DUT Adj Read]]="N/A",Table1[[#This Row],[Std Adj Read]]="N/A"),"N/A",IF(Table1[[#This Row],[DUT Adj Read]]="N/A",IF(Table1[[#This Row],[Std Adj Read]]&lt;=Table1[[#This Row],[High Tol]],"Pass","Fail"),IF(Table1[[#This Row],[DUT Adj Read]]&lt;=Table1[[#This Row],[High Tol]],"Pass","Fail")))</f>
        <v>Fail</v>
      </c>
      <c r="AH1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 s="1" t="b">
        <v>0</v>
      </c>
      <c r="AN101" s="1" t="b">
        <v>0</v>
      </c>
      <c r="AO101" s="1" t="b">
        <v>0</v>
      </c>
    </row>
    <row r="102" spans="1:41" x14ac:dyDescent="0.25">
      <c r="A102" s="10"/>
      <c r="B102" s="10"/>
      <c r="C102" s="10"/>
      <c r="D102" s="10"/>
      <c r="E102" s="10"/>
      <c r="F102" s="10"/>
      <c r="G102" s="10"/>
      <c r="H102" s="10"/>
      <c r="I102" s="1" t="str">
        <f t="shared" si="3"/>
        <v/>
      </c>
      <c r="J102" s="1" t="s">
        <v>35</v>
      </c>
      <c r="K102" s="1" t="str">
        <f t="shared" si="4"/>
        <v/>
      </c>
      <c r="L102" s="1" t="str">
        <f t="shared" si="5"/>
        <v/>
      </c>
      <c r="M102" s="1">
        <f>IF(OR(Table1[[#This Row],[Std Nom]]="",Table1[[#This Row],[Std Read]]=""),0,Table1[[#This Row],[Std Nom]]-Table1[[#This Row],[Std Read]])</f>
        <v>0</v>
      </c>
      <c r="N102" s="1">
        <f>IF(Calculations!$F$5="ACCREDITED 17025 WITH UNCERTAINTIES",$N$10,0)</f>
        <v>0</v>
      </c>
      <c r="Q102" s="1">
        <f>Table1[[#This Row],[High Tol]]-Table1[[#This Row],[Low Tol]]</f>
        <v>0</v>
      </c>
      <c r="R102" s="1">
        <f>2*Table1[[#This Row],[Std Error]]</f>
        <v>0</v>
      </c>
      <c r="S102" s="1" t="str">
        <f>IF(Table1[[#This Row],[High Tol]]="","N/A",IFERROR(ABS(Table1[[#This Row],[Tol Span]]/Table1[[#This Row],[Error Span]]),"N/A"))</f>
        <v>N/A</v>
      </c>
      <c r="T102" s="1" t="str">
        <f>IF(OR(Table1[[#This Row],[Low Tol]]="",Table1[[#This Row],[High Tol]]=""),"Needs Analysis",IF(Table1[[#This Row],[Ratio]]&gt;=4,"Not Significant",IF(Table1[[#This Row],[Ratio]]&gt;=2,"Semi-Significant","Significant")))</f>
        <v>Needs Analysis</v>
      </c>
      <c r="W102" s="1">
        <f>IF(Table1[[#This Row],[Cal Type]]&lt;&gt;"ACCREDITED 17025 WITH UNCERTAINTIES",0,"")</f>
        <v>0</v>
      </c>
      <c r="X102" s="1" t="str">
        <f>IF(Table1[[#This Row],[DUT Read]]="","N/A",Table1[[#This Row],[Std Error]]+Table1[[#This Row],[DUT Read]]+Table1[[#This Row],[DUT Ucty]])</f>
        <v>N/A</v>
      </c>
      <c r="Y102" s="1" t="str">
        <f>IF(Table1[[#This Row],[Std Read]]="","N/A",Table1[[#This Row],[Std Read]]+Table1[[#This Row],[Std Ucty]])</f>
        <v>N/A</v>
      </c>
      <c r="Z1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 s="1" t="str">
        <f>IF(Table1[[#This Row],[Spec Type]]="","N/A",Table1[[#This Row],[Spec Type]])</f>
        <v>±</v>
      </c>
      <c r="AC102" s="1" t="str">
        <f>IF(Table1[[#This Row],[Spec Type2]]="N/A","N/A",IF(AND(Table1[[#This Row],[DUT Adj Read]]&gt;=Table1[[#This Row],[Low Tol]],Table1[[#This Row],[DUT Adj Read]]&lt;=Table1[[#This Row],[High Tol]]),"Pass","Fail"))</f>
        <v>Fail</v>
      </c>
      <c r="AD102" s="1" t="str">
        <f>IF(AND(Table1[[#This Row],[Spec Type2]]="N/A",Table1[[#This Row],[DUT Adj Read]]="N/A",Table1[[#This Row],[Std Adj Read]]="N/A"),"N/A",IF(Table1[[#This Row],[DUT Adj Read]]="N/A",IF(Table1[[#This Row],[Std Adj Read]]&gt;Table1[[#This Row],[Low Tol]],"Pass","Fail"),IF(Table1[[#This Row],[DUT Adj Read]]&gt;Table1[[#This Row],[Low Tol]],"Pass","Fail")))</f>
        <v>Pass</v>
      </c>
      <c r="AE102" s="1" t="str">
        <f>IF(AND(Table1[[#This Row],[Spec Type2]]="N/A",Table1[[#This Row],[DUT Adj Read]]="N/A",Table1[[#This Row],[Std Adj Read]]="N/A"),"N/A",IF(Table1[[#This Row],[DUT Adj Read]]="N/A",IF(Table1[[#This Row],[Std Adj Read]]&lt;Table1[[#This Row],[High Tol]],"Pass","Fail"),IF(Table1[[#This Row],[DUT Adj Read]]&lt;Table1[[#This Row],[High Tol]],"Pass","Fail")))</f>
        <v>Fail</v>
      </c>
      <c r="AF102" s="1" t="str">
        <f>IF(AND(Table1[[#This Row],[Spec Type2]]="N/A",Table1[[#This Row],[DUT Adj Read]]="N/A",Table1[[#This Row],[Std Adj Read]]="N/A"),"N/A",IF(Table1[[#This Row],[DUT Adj Read]]="N/A",IF(Table1[[#This Row],[Std Adj Read]]&gt;=Table1[[#This Row],[Low Tol]],"Pass","Fail"),IF(Table1[[#This Row],[DUT Adj Read]]&gt;=Table1[[#This Row],[Low Tol]],"Pass","Fail")))</f>
        <v>Pass</v>
      </c>
      <c r="AG102" s="1" t="str">
        <f>IF(AND(Table1[[#This Row],[Spec Type2]]="N/A",Table1[[#This Row],[DUT Adj Read]]="N/A",Table1[[#This Row],[Std Adj Read]]="N/A"),"N/A",IF(Table1[[#This Row],[DUT Adj Read]]="N/A",IF(Table1[[#This Row],[Std Adj Read]]&lt;=Table1[[#This Row],[High Tol]],"Pass","Fail"),IF(Table1[[#This Row],[DUT Adj Read]]&lt;=Table1[[#This Row],[High Tol]],"Pass","Fail")))</f>
        <v>Fail</v>
      </c>
      <c r="AH1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 s="1" t="b">
        <v>0</v>
      </c>
      <c r="AN102" s="1" t="b">
        <v>0</v>
      </c>
      <c r="AO102" s="1" t="b">
        <v>0</v>
      </c>
    </row>
    <row r="103" spans="1:41" x14ac:dyDescent="0.25">
      <c r="A103" s="10"/>
      <c r="B103" s="10"/>
      <c r="C103" s="10"/>
      <c r="D103" s="10"/>
      <c r="E103" s="10"/>
      <c r="F103" s="10"/>
      <c r="G103" s="10"/>
      <c r="H103" s="10"/>
      <c r="I103" s="1" t="str">
        <f t="shared" si="3"/>
        <v/>
      </c>
      <c r="J103" s="1" t="s">
        <v>35</v>
      </c>
      <c r="K103" s="1" t="str">
        <f t="shared" si="4"/>
        <v/>
      </c>
      <c r="L103" s="1" t="str">
        <f t="shared" si="5"/>
        <v/>
      </c>
      <c r="M103" s="1">
        <f>IF(OR(Table1[[#This Row],[Std Nom]]="",Table1[[#This Row],[Std Read]]=""),0,Table1[[#This Row],[Std Nom]]-Table1[[#This Row],[Std Read]])</f>
        <v>0</v>
      </c>
      <c r="N103" s="1">
        <f>IF(Calculations!$F$5="ACCREDITED 17025 WITH UNCERTAINTIES",$N$10,0)</f>
        <v>0</v>
      </c>
      <c r="Q103" s="1">
        <f>Table1[[#This Row],[High Tol]]-Table1[[#This Row],[Low Tol]]</f>
        <v>0</v>
      </c>
      <c r="R103" s="1">
        <f>2*Table1[[#This Row],[Std Error]]</f>
        <v>0</v>
      </c>
      <c r="S103" s="1" t="str">
        <f>IF(Table1[[#This Row],[High Tol]]="","N/A",IFERROR(ABS(Table1[[#This Row],[Tol Span]]/Table1[[#This Row],[Error Span]]),"N/A"))</f>
        <v>N/A</v>
      </c>
      <c r="T103" s="1" t="str">
        <f>IF(OR(Table1[[#This Row],[Low Tol]]="",Table1[[#This Row],[High Tol]]=""),"Needs Analysis",IF(Table1[[#This Row],[Ratio]]&gt;=4,"Not Significant",IF(Table1[[#This Row],[Ratio]]&gt;=2,"Semi-Significant","Significant")))</f>
        <v>Needs Analysis</v>
      </c>
      <c r="W103" s="1">
        <f>IF(Table1[[#This Row],[Cal Type]]&lt;&gt;"ACCREDITED 17025 WITH UNCERTAINTIES",0,"")</f>
        <v>0</v>
      </c>
      <c r="X103" s="1" t="str">
        <f>IF(Table1[[#This Row],[DUT Read]]="","N/A",Table1[[#This Row],[Std Error]]+Table1[[#This Row],[DUT Read]]+Table1[[#This Row],[DUT Ucty]])</f>
        <v>N/A</v>
      </c>
      <c r="Y103" s="1" t="str">
        <f>IF(Table1[[#This Row],[Std Read]]="","N/A",Table1[[#This Row],[Std Read]]+Table1[[#This Row],[Std Ucty]])</f>
        <v>N/A</v>
      </c>
      <c r="Z1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 s="1" t="str">
        <f>IF(Table1[[#This Row],[Spec Type]]="","N/A",Table1[[#This Row],[Spec Type]])</f>
        <v>±</v>
      </c>
      <c r="AC103" s="1" t="str">
        <f>IF(Table1[[#This Row],[Spec Type2]]="N/A","N/A",IF(AND(Table1[[#This Row],[DUT Adj Read]]&gt;=Table1[[#This Row],[Low Tol]],Table1[[#This Row],[DUT Adj Read]]&lt;=Table1[[#This Row],[High Tol]]),"Pass","Fail"))</f>
        <v>Fail</v>
      </c>
      <c r="AD103" s="1" t="str">
        <f>IF(AND(Table1[[#This Row],[Spec Type2]]="N/A",Table1[[#This Row],[DUT Adj Read]]="N/A",Table1[[#This Row],[Std Adj Read]]="N/A"),"N/A",IF(Table1[[#This Row],[DUT Adj Read]]="N/A",IF(Table1[[#This Row],[Std Adj Read]]&gt;Table1[[#This Row],[Low Tol]],"Pass","Fail"),IF(Table1[[#This Row],[DUT Adj Read]]&gt;Table1[[#This Row],[Low Tol]],"Pass","Fail")))</f>
        <v>Pass</v>
      </c>
      <c r="AE103" s="1" t="str">
        <f>IF(AND(Table1[[#This Row],[Spec Type2]]="N/A",Table1[[#This Row],[DUT Adj Read]]="N/A",Table1[[#This Row],[Std Adj Read]]="N/A"),"N/A",IF(Table1[[#This Row],[DUT Adj Read]]="N/A",IF(Table1[[#This Row],[Std Adj Read]]&lt;Table1[[#This Row],[High Tol]],"Pass","Fail"),IF(Table1[[#This Row],[DUT Adj Read]]&lt;Table1[[#This Row],[High Tol]],"Pass","Fail")))</f>
        <v>Fail</v>
      </c>
      <c r="AF103" s="1" t="str">
        <f>IF(AND(Table1[[#This Row],[Spec Type2]]="N/A",Table1[[#This Row],[DUT Adj Read]]="N/A",Table1[[#This Row],[Std Adj Read]]="N/A"),"N/A",IF(Table1[[#This Row],[DUT Adj Read]]="N/A",IF(Table1[[#This Row],[Std Adj Read]]&gt;=Table1[[#This Row],[Low Tol]],"Pass","Fail"),IF(Table1[[#This Row],[DUT Adj Read]]&gt;=Table1[[#This Row],[Low Tol]],"Pass","Fail")))</f>
        <v>Pass</v>
      </c>
      <c r="AG103" s="1" t="str">
        <f>IF(AND(Table1[[#This Row],[Spec Type2]]="N/A",Table1[[#This Row],[DUT Adj Read]]="N/A",Table1[[#This Row],[Std Adj Read]]="N/A"),"N/A",IF(Table1[[#This Row],[DUT Adj Read]]="N/A",IF(Table1[[#This Row],[Std Adj Read]]&lt;=Table1[[#This Row],[High Tol]],"Pass","Fail"),IF(Table1[[#This Row],[DUT Adj Read]]&lt;=Table1[[#This Row],[High Tol]],"Pass","Fail")))</f>
        <v>Fail</v>
      </c>
      <c r="AH1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 s="1" t="b">
        <v>0</v>
      </c>
      <c r="AN103" s="1" t="b">
        <v>0</v>
      </c>
      <c r="AO103" s="1" t="b">
        <v>0</v>
      </c>
    </row>
    <row r="104" spans="1:41" x14ac:dyDescent="0.25">
      <c r="A104" s="10"/>
      <c r="B104" s="10"/>
      <c r="C104" s="10"/>
      <c r="D104" s="10"/>
      <c r="E104" s="10"/>
      <c r="F104" s="10"/>
      <c r="G104" s="10"/>
      <c r="H104" s="10"/>
      <c r="I104" s="1" t="str">
        <f t="shared" si="3"/>
        <v/>
      </c>
      <c r="J104" s="1" t="s">
        <v>35</v>
      </c>
      <c r="K104" s="1" t="str">
        <f t="shared" si="4"/>
        <v/>
      </c>
      <c r="L104" s="1" t="str">
        <f t="shared" si="5"/>
        <v/>
      </c>
      <c r="M104" s="1">
        <f>IF(OR(Table1[[#This Row],[Std Nom]]="",Table1[[#This Row],[Std Read]]=""),0,Table1[[#This Row],[Std Nom]]-Table1[[#This Row],[Std Read]])</f>
        <v>0</v>
      </c>
      <c r="N104" s="1">
        <f>IF(Calculations!$F$5="ACCREDITED 17025 WITH UNCERTAINTIES",$N$10,0)</f>
        <v>0</v>
      </c>
      <c r="Q104" s="1">
        <f>Table1[[#This Row],[High Tol]]-Table1[[#This Row],[Low Tol]]</f>
        <v>0</v>
      </c>
      <c r="R104" s="1">
        <f>2*Table1[[#This Row],[Std Error]]</f>
        <v>0</v>
      </c>
      <c r="S104" s="1" t="str">
        <f>IF(Table1[[#This Row],[High Tol]]="","N/A",IFERROR(ABS(Table1[[#This Row],[Tol Span]]/Table1[[#This Row],[Error Span]]),"N/A"))</f>
        <v>N/A</v>
      </c>
      <c r="T104" s="1" t="str">
        <f>IF(OR(Table1[[#This Row],[Low Tol]]="",Table1[[#This Row],[High Tol]]=""),"Needs Analysis",IF(Table1[[#This Row],[Ratio]]&gt;=4,"Not Significant",IF(Table1[[#This Row],[Ratio]]&gt;=2,"Semi-Significant","Significant")))</f>
        <v>Needs Analysis</v>
      </c>
      <c r="W104" s="1">
        <f>IF(Table1[[#This Row],[Cal Type]]&lt;&gt;"ACCREDITED 17025 WITH UNCERTAINTIES",0,"")</f>
        <v>0</v>
      </c>
      <c r="X104" s="1" t="str">
        <f>IF(Table1[[#This Row],[DUT Read]]="","N/A",Table1[[#This Row],[Std Error]]+Table1[[#This Row],[DUT Read]]+Table1[[#This Row],[DUT Ucty]])</f>
        <v>N/A</v>
      </c>
      <c r="Y104" s="1" t="str">
        <f>IF(Table1[[#This Row],[Std Read]]="","N/A",Table1[[#This Row],[Std Read]]+Table1[[#This Row],[Std Ucty]])</f>
        <v>N/A</v>
      </c>
      <c r="Z1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 s="1" t="str">
        <f>IF(Table1[[#This Row],[Spec Type]]="","N/A",Table1[[#This Row],[Spec Type]])</f>
        <v>±</v>
      </c>
      <c r="AC104" s="1" t="str">
        <f>IF(Table1[[#This Row],[Spec Type2]]="N/A","N/A",IF(AND(Table1[[#This Row],[DUT Adj Read]]&gt;=Table1[[#This Row],[Low Tol]],Table1[[#This Row],[DUT Adj Read]]&lt;=Table1[[#This Row],[High Tol]]),"Pass","Fail"))</f>
        <v>Fail</v>
      </c>
      <c r="AD104" s="1" t="str">
        <f>IF(AND(Table1[[#This Row],[Spec Type2]]="N/A",Table1[[#This Row],[DUT Adj Read]]="N/A",Table1[[#This Row],[Std Adj Read]]="N/A"),"N/A",IF(Table1[[#This Row],[DUT Adj Read]]="N/A",IF(Table1[[#This Row],[Std Adj Read]]&gt;Table1[[#This Row],[Low Tol]],"Pass","Fail"),IF(Table1[[#This Row],[DUT Adj Read]]&gt;Table1[[#This Row],[Low Tol]],"Pass","Fail")))</f>
        <v>Pass</v>
      </c>
      <c r="AE104" s="1" t="str">
        <f>IF(AND(Table1[[#This Row],[Spec Type2]]="N/A",Table1[[#This Row],[DUT Adj Read]]="N/A",Table1[[#This Row],[Std Adj Read]]="N/A"),"N/A",IF(Table1[[#This Row],[DUT Adj Read]]="N/A",IF(Table1[[#This Row],[Std Adj Read]]&lt;Table1[[#This Row],[High Tol]],"Pass","Fail"),IF(Table1[[#This Row],[DUT Adj Read]]&lt;Table1[[#This Row],[High Tol]],"Pass","Fail")))</f>
        <v>Fail</v>
      </c>
      <c r="AF104" s="1" t="str">
        <f>IF(AND(Table1[[#This Row],[Spec Type2]]="N/A",Table1[[#This Row],[DUT Adj Read]]="N/A",Table1[[#This Row],[Std Adj Read]]="N/A"),"N/A",IF(Table1[[#This Row],[DUT Adj Read]]="N/A",IF(Table1[[#This Row],[Std Adj Read]]&gt;=Table1[[#This Row],[Low Tol]],"Pass","Fail"),IF(Table1[[#This Row],[DUT Adj Read]]&gt;=Table1[[#This Row],[Low Tol]],"Pass","Fail")))</f>
        <v>Pass</v>
      </c>
      <c r="AG104" s="1" t="str">
        <f>IF(AND(Table1[[#This Row],[Spec Type2]]="N/A",Table1[[#This Row],[DUT Adj Read]]="N/A",Table1[[#This Row],[Std Adj Read]]="N/A"),"N/A",IF(Table1[[#This Row],[DUT Adj Read]]="N/A",IF(Table1[[#This Row],[Std Adj Read]]&lt;=Table1[[#This Row],[High Tol]],"Pass","Fail"),IF(Table1[[#This Row],[DUT Adj Read]]&lt;=Table1[[#This Row],[High Tol]],"Pass","Fail")))</f>
        <v>Fail</v>
      </c>
      <c r="AH1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 s="1" t="b">
        <v>0</v>
      </c>
      <c r="AN104" s="1" t="b">
        <v>0</v>
      </c>
      <c r="AO104" s="1" t="b">
        <v>0</v>
      </c>
    </row>
    <row r="105" spans="1:41" x14ac:dyDescent="0.25">
      <c r="A105" s="10"/>
      <c r="B105" s="10"/>
      <c r="C105" s="10"/>
      <c r="D105" s="10"/>
      <c r="E105" s="10"/>
      <c r="F105" s="10"/>
      <c r="G105" s="10"/>
      <c r="H105" s="10"/>
      <c r="I105" s="1" t="str">
        <f t="shared" si="3"/>
        <v/>
      </c>
      <c r="J105" s="1" t="s">
        <v>35</v>
      </c>
      <c r="K105" s="1" t="str">
        <f t="shared" si="4"/>
        <v/>
      </c>
      <c r="L105" s="1" t="str">
        <f t="shared" si="5"/>
        <v/>
      </c>
      <c r="M105" s="1">
        <f>IF(OR(Table1[[#This Row],[Std Nom]]="",Table1[[#This Row],[Std Read]]=""),0,Table1[[#This Row],[Std Nom]]-Table1[[#This Row],[Std Read]])</f>
        <v>0</v>
      </c>
      <c r="N105" s="1">
        <f>IF(Calculations!$F$5="ACCREDITED 17025 WITH UNCERTAINTIES",$N$10,0)</f>
        <v>0</v>
      </c>
      <c r="Q105" s="1">
        <f>Table1[[#This Row],[High Tol]]-Table1[[#This Row],[Low Tol]]</f>
        <v>0</v>
      </c>
      <c r="R105" s="1">
        <f>2*Table1[[#This Row],[Std Error]]</f>
        <v>0</v>
      </c>
      <c r="S105" s="1" t="str">
        <f>IF(Table1[[#This Row],[High Tol]]="","N/A",IFERROR(ABS(Table1[[#This Row],[Tol Span]]/Table1[[#This Row],[Error Span]]),"N/A"))</f>
        <v>N/A</v>
      </c>
      <c r="T105" s="1" t="str">
        <f>IF(OR(Table1[[#This Row],[Low Tol]]="",Table1[[#This Row],[High Tol]]=""),"Needs Analysis",IF(Table1[[#This Row],[Ratio]]&gt;=4,"Not Significant",IF(Table1[[#This Row],[Ratio]]&gt;=2,"Semi-Significant","Significant")))</f>
        <v>Needs Analysis</v>
      </c>
      <c r="W105" s="1">
        <f>IF(Table1[[#This Row],[Cal Type]]&lt;&gt;"ACCREDITED 17025 WITH UNCERTAINTIES",0,"")</f>
        <v>0</v>
      </c>
      <c r="X105" s="1" t="str">
        <f>IF(Table1[[#This Row],[DUT Read]]="","N/A",Table1[[#This Row],[Std Error]]+Table1[[#This Row],[DUT Read]]+Table1[[#This Row],[DUT Ucty]])</f>
        <v>N/A</v>
      </c>
      <c r="Y105" s="1" t="str">
        <f>IF(Table1[[#This Row],[Std Read]]="","N/A",Table1[[#This Row],[Std Read]]+Table1[[#This Row],[Std Ucty]])</f>
        <v>N/A</v>
      </c>
      <c r="Z1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 s="1" t="str">
        <f>IF(Table1[[#This Row],[Spec Type]]="","N/A",Table1[[#This Row],[Spec Type]])</f>
        <v>±</v>
      </c>
      <c r="AC105" s="1" t="str">
        <f>IF(Table1[[#This Row],[Spec Type2]]="N/A","N/A",IF(AND(Table1[[#This Row],[DUT Adj Read]]&gt;=Table1[[#This Row],[Low Tol]],Table1[[#This Row],[DUT Adj Read]]&lt;=Table1[[#This Row],[High Tol]]),"Pass","Fail"))</f>
        <v>Fail</v>
      </c>
      <c r="AD105" s="1" t="str">
        <f>IF(AND(Table1[[#This Row],[Spec Type2]]="N/A",Table1[[#This Row],[DUT Adj Read]]="N/A",Table1[[#This Row],[Std Adj Read]]="N/A"),"N/A",IF(Table1[[#This Row],[DUT Adj Read]]="N/A",IF(Table1[[#This Row],[Std Adj Read]]&gt;Table1[[#This Row],[Low Tol]],"Pass","Fail"),IF(Table1[[#This Row],[DUT Adj Read]]&gt;Table1[[#This Row],[Low Tol]],"Pass","Fail")))</f>
        <v>Pass</v>
      </c>
      <c r="AE105" s="1" t="str">
        <f>IF(AND(Table1[[#This Row],[Spec Type2]]="N/A",Table1[[#This Row],[DUT Adj Read]]="N/A",Table1[[#This Row],[Std Adj Read]]="N/A"),"N/A",IF(Table1[[#This Row],[DUT Adj Read]]="N/A",IF(Table1[[#This Row],[Std Adj Read]]&lt;Table1[[#This Row],[High Tol]],"Pass","Fail"),IF(Table1[[#This Row],[DUT Adj Read]]&lt;Table1[[#This Row],[High Tol]],"Pass","Fail")))</f>
        <v>Fail</v>
      </c>
      <c r="AF105" s="1" t="str">
        <f>IF(AND(Table1[[#This Row],[Spec Type2]]="N/A",Table1[[#This Row],[DUT Adj Read]]="N/A",Table1[[#This Row],[Std Adj Read]]="N/A"),"N/A",IF(Table1[[#This Row],[DUT Adj Read]]="N/A",IF(Table1[[#This Row],[Std Adj Read]]&gt;=Table1[[#This Row],[Low Tol]],"Pass","Fail"),IF(Table1[[#This Row],[DUT Adj Read]]&gt;=Table1[[#This Row],[Low Tol]],"Pass","Fail")))</f>
        <v>Pass</v>
      </c>
      <c r="AG105" s="1" t="str">
        <f>IF(AND(Table1[[#This Row],[Spec Type2]]="N/A",Table1[[#This Row],[DUT Adj Read]]="N/A",Table1[[#This Row],[Std Adj Read]]="N/A"),"N/A",IF(Table1[[#This Row],[DUT Adj Read]]="N/A",IF(Table1[[#This Row],[Std Adj Read]]&lt;=Table1[[#This Row],[High Tol]],"Pass","Fail"),IF(Table1[[#This Row],[DUT Adj Read]]&lt;=Table1[[#This Row],[High Tol]],"Pass","Fail")))</f>
        <v>Fail</v>
      </c>
      <c r="AH1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 s="1" t="b">
        <v>0</v>
      </c>
      <c r="AN105" s="1" t="b">
        <v>0</v>
      </c>
      <c r="AO105" s="1" t="b">
        <v>0</v>
      </c>
    </row>
    <row r="106" spans="1:41" x14ac:dyDescent="0.25">
      <c r="A106" s="10"/>
      <c r="B106" s="10"/>
      <c r="C106" s="10"/>
      <c r="D106" s="10"/>
      <c r="E106" s="10"/>
      <c r="F106" s="10"/>
      <c r="G106" s="10"/>
      <c r="H106" s="10"/>
      <c r="I106" s="1" t="str">
        <f t="shared" si="3"/>
        <v/>
      </c>
      <c r="J106" s="1" t="s">
        <v>35</v>
      </c>
      <c r="K106" s="1" t="str">
        <f t="shared" si="4"/>
        <v/>
      </c>
      <c r="L106" s="1" t="str">
        <f t="shared" si="5"/>
        <v/>
      </c>
      <c r="M106" s="1">
        <f>IF(OR(Table1[[#This Row],[Std Nom]]="",Table1[[#This Row],[Std Read]]=""),0,Table1[[#This Row],[Std Nom]]-Table1[[#This Row],[Std Read]])</f>
        <v>0</v>
      </c>
      <c r="N106" s="1">
        <f>IF(Calculations!$F$5="ACCREDITED 17025 WITH UNCERTAINTIES",$N$10,0)</f>
        <v>0</v>
      </c>
      <c r="Q106" s="1">
        <f>Table1[[#This Row],[High Tol]]-Table1[[#This Row],[Low Tol]]</f>
        <v>0</v>
      </c>
      <c r="R106" s="1">
        <f>2*Table1[[#This Row],[Std Error]]</f>
        <v>0</v>
      </c>
      <c r="S106" s="1" t="str">
        <f>IF(Table1[[#This Row],[High Tol]]="","N/A",IFERROR(ABS(Table1[[#This Row],[Tol Span]]/Table1[[#This Row],[Error Span]]),"N/A"))</f>
        <v>N/A</v>
      </c>
      <c r="T106" s="1" t="str">
        <f>IF(OR(Table1[[#This Row],[Low Tol]]="",Table1[[#This Row],[High Tol]]=""),"Needs Analysis",IF(Table1[[#This Row],[Ratio]]&gt;=4,"Not Significant",IF(Table1[[#This Row],[Ratio]]&gt;=2,"Semi-Significant","Significant")))</f>
        <v>Needs Analysis</v>
      </c>
      <c r="W106" s="1">
        <f>IF(Table1[[#This Row],[Cal Type]]&lt;&gt;"ACCREDITED 17025 WITH UNCERTAINTIES",0,"")</f>
        <v>0</v>
      </c>
      <c r="X106" s="1" t="str">
        <f>IF(Table1[[#This Row],[DUT Read]]="","N/A",Table1[[#This Row],[Std Error]]+Table1[[#This Row],[DUT Read]]+Table1[[#This Row],[DUT Ucty]])</f>
        <v>N/A</v>
      </c>
      <c r="Y106" s="1" t="str">
        <f>IF(Table1[[#This Row],[Std Read]]="","N/A",Table1[[#This Row],[Std Read]]+Table1[[#This Row],[Std Ucty]])</f>
        <v>N/A</v>
      </c>
      <c r="Z1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 s="1" t="str">
        <f>IF(Table1[[#This Row],[Spec Type]]="","N/A",Table1[[#This Row],[Spec Type]])</f>
        <v>±</v>
      </c>
      <c r="AC106" s="1" t="str">
        <f>IF(Table1[[#This Row],[Spec Type2]]="N/A","N/A",IF(AND(Table1[[#This Row],[DUT Adj Read]]&gt;=Table1[[#This Row],[Low Tol]],Table1[[#This Row],[DUT Adj Read]]&lt;=Table1[[#This Row],[High Tol]]),"Pass","Fail"))</f>
        <v>Fail</v>
      </c>
      <c r="AD106" s="1" t="str">
        <f>IF(AND(Table1[[#This Row],[Spec Type2]]="N/A",Table1[[#This Row],[DUT Adj Read]]="N/A",Table1[[#This Row],[Std Adj Read]]="N/A"),"N/A",IF(Table1[[#This Row],[DUT Adj Read]]="N/A",IF(Table1[[#This Row],[Std Adj Read]]&gt;Table1[[#This Row],[Low Tol]],"Pass","Fail"),IF(Table1[[#This Row],[DUT Adj Read]]&gt;Table1[[#This Row],[Low Tol]],"Pass","Fail")))</f>
        <v>Pass</v>
      </c>
      <c r="AE106" s="1" t="str">
        <f>IF(AND(Table1[[#This Row],[Spec Type2]]="N/A",Table1[[#This Row],[DUT Adj Read]]="N/A",Table1[[#This Row],[Std Adj Read]]="N/A"),"N/A",IF(Table1[[#This Row],[DUT Adj Read]]="N/A",IF(Table1[[#This Row],[Std Adj Read]]&lt;Table1[[#This Row],[High Tol]],"Pass","Fail"),IF(Table1[[#This Row],[DUT Adj Read]]&lt;Table1[[#This Row],[High Tol]],"Pass","Fail")))</f>
        <v>Fail</v>
      </c>
      <c r="AF106" s="1" t="str">
        <f>IF(AND(Table1[[#This Row],[Spec Type2]]="N/A",Table1[[#This Row],[DUT Adj Read]]="N/A",Table1[[#This Row],[Std Adj Read]]="N/A"),"N/A",IF(Table1[[#This Row],[DUT Adj Read]]="N/A",IF(Table1[[#This Row],[Std Adj Read]]&gt;=Table1[[#This Row],[Low Tol]],"Pass","Fail"),IF(Table1[[#This Row],[DUT Adj Read]]&gt;=Table1[[#This Row],[Low Tol]],"Pass","Fail")))</f>
        <v>Pass</v>
      </c>
      <c r="AG106" s="1" t="str">
        <f>IF(AND(Table1[[#This Row],[Spec Type2]]="N/A",Table1[[#This Row],[DUT Adj Read]]="N/A",Table1[[#This Row],[Std Adj Read]]="N/A"),"N/A",IF(Table1[[#This Row],[DUT Adj Read]]="N/A",IF(Table1[[#This Row],[Std Adj Read]]&lt;=Table1[[#This Row],[High Tol]],"Pass","Fail"),IF(Table1[[#This Row],[DUT Adj Read]]&lt;=Table1[[#This Row],[High Tol]],"Pass","Fail")))</f>
        <v>Fail</v>
      </c>
      <c r="AH1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 s="1" t="b">
        <v>0</v>
      </c>
      <c r="AN106" s="1" t="b">
        <v>0</v>
      </c>
      <c r="AO106" s="1" t="b">
        <v>0</v>
      </c>
    </row>
    <row r="107" spans="1:41" x14ac:dyDescent="0.25">
      <c r="A107" s="10"/>
      <c r="B107" s="10"/>
      <c r="C107" s="10"/>
      <c r="D107" s="10"/>
      <c r="E107" s="10"/>
      <c r="F107" s="10"/>
      <c r="G107" s="10"/>
      <c r="H107" s="10"/>
      <c r="I107" s="1" t="str">
        <f t="shared" si="3"/>
        <v/>
      </c>
      <c r="J107" s="1" t="s">
        <v>35</v>
      </c>
      <c r="K107" s="1" t="str">
        <f t="shared" si="4"/>
        <v/>
      </c>
      <c r="L107" s="1" t="str">
        <f t="shared" si="5"/>
        <v/>
      </c>
      <c r="M107" s="1">
        <f>IF(OR(Table1[[#This Row],[Std Nom]]="",Table1[[#This Row],[Std Read]]=""),0,Table1[[#This Row],[Std Nom]]-Table1[[#This Row],[Std Read]])</f>
        <v>0</v>
      </c>
      <c r="N107" s="1">
        <f>IF(Calculations!$F$5="ACCREDITED 17025 WITH UNCERTAINTIES",$N$10,0)</f>
        <v>0</v>
      </c>
      <c r="Q107" s="1">
        <f>Table1[[#This Row],[High Tol]]-Table1[[#This Row],[Low Tol]]</f>
        <v>0</v>
      </c>
      <c r="R107" s="1">
        <f>2*Table1[[#This Row],[Std Error]]</f>
        <v>0</v>
      </c>
      <c r="S107" s="1" t="str">
        <f>IF(Table1[[#This Row],[High Tol]]="","N/A",IFERROR(ABS(Table1[[#This Row],[Tol Span]]/Table1[[#This Row],[Error Span]]),"N/A"))</f>
        <v>N/A</v>
      </c>
      <c r="T107" s="1" t="str">
        <f>IF(OR(Table1[[#This Row],[Low Tol]]="",Table1[[#This Row],[High Tol]]=""),"Needs Analysis",IF(Table1[[#This Row],[Ratio]]&gt;=4,"Not Significant",IF(Table1[[#This Row],[Ratio]]&gt;=2,"Semi-Significant","Significant")))</f>
        <v>Needs Analysis</v>
      </c>
      <c r="W107" s="1">
        <f>IF(Table1[[#This Row],[Cal Type]]&lt;&gt;"ACCREDITED 17025 WITH UNCERTAINTIES",0,"")</f>
        <v>0</v>
      </c>
      <c r="X107" s="1" t="str">
        <f>IF(Table1[[#This Row],[DUT Read]]="","N/A",Table1[[#This Row],[Std Error]]+Table1[[#This Row],[DUT Read]]+Table1[[#This Row],[DUT Ucty]])</f>
        <v>N/A</v>
      </c>
      <c r="Y107" s="1" t="str">
        <f>IF(Table1[[#This Row],[Std Read]]="","N/A",Table1[[#This Row],[Std Read]]+Table1[[#This Row],[Std Ucty]])</f>
        <v>N/A</v>
      </c>
      <c r="Z1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 s="1" t="str">
        <f>IF(Table1[[#This Row],[Spec Type]]="","N/A",Table1[[#This Row],[Spec Type]])</f>
        <v>±</v>
      </c>
      <c r="AC107" s="1" t="str">
        <f>IF(Table1[[#This Row],[Spec Type2]]="N/A","N/A",IF(AND(Table1[[#This Row],[DUT Adj Read]]&gt;=Table1[[#This Row],[Low Tol]],Table1[[#This Row],[DUT Adj Read]]&lt;=Table1[[#This Row],[High Tol]]),"Pass","Fail"))</f>
        <v>Fail</v>
      </c>
      <c r="AD107" s="1" t="str">
        <f>IF(AND(Table1[[#This Row],[Spec Type2]]="N/A",Table1[[#This Row],[DUT Adj Read]]="N/A",Table1[[#This Row],[Std Adj Read]]="N/A"),"N/A",IF(Table1[[#This Row],[DUT Adj Read]]="N/A",IF(Table1[[#This Row],[Std Adj Read]]&gt;Table1[[#This Row],[Low Tol]],"Pass","Fail"),IF(Table1[[#This Row],[DUT Adj Read]]&gt;Table1[[#This Row],[Low Tol]],"Pass","Fail")))</f>
        <v>Pass</v>
      </c>
      <c r="AE107" s="1" t="str">
        <f>IF(AND(Table1[[#This Row],[Spec Type2]]="N/A",Table1[[#This Row],[DUT Adj Read]]="N/A",Table1[[#This Row],[Std Adj Read]]="N/A"),"N/A",IF(Table1[[#This Row],[DUT Adj Read]]="N/A",IF(Table1[[#This Row],[Std Adj Read]]&lt;Table1[[#This Row],[High Tol]],"Pass","Fail"),IF(Table1[[#This Row],[DUT Adj Read]]&lt;Table1[[#This Row],[High Tol]],"Pass","Fail")))</f>
        <v>Fail</v>
      </c>
      <c r="AF107" s="1" t="str">
        <f>IF(AND(Table1[[#This Row],[Spec Type2]]="N/A",Table1[[#This Row],[DUT Adj Read]]="N/A",Table1[[#This Row],[Std Adj Read]]="N/A"),"N/A",IF(Table1[[#This Row],[DUT Adj Read]]="N/A",IF(Table1[[#This Row],[Std Adj Read]]&gt;=Table1[[#This Row],[Low Tol]],"Pass","Fail"),IF(Table1[[#This Row],[DUT Adj Read]]&gt;=Table1[[#This Row],[Low Tol]],"Pass","Fail")))</f>
        <v>Pass</v>
      </c>
      <c r="AG107" s="1" t="str">
        <f>IF(AND(Table1[[#This Row],[Spec Type2]]="N/A",Table1[[#This Row],[DUT Adj Read]]="N/A",Table1[[#This Row],[Std Adj Read]]="N/A"),"N/A",IF(Table1[[#This Row],[DUT Adj Read]]="N/A",IF(Table1[[#This Row],[Std Adj Read]]&lt;=Table1[[#This Row],[High Tol]],"Pass","Fail"),IF(Table1[[#This Row],[DUT Adj Read]]&lt;=Table1[[#This Row],[High Tol]],"Pass","Fail")))</f>
        <v>Fail</v>
      </c>
      <c r="AH1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 s="1" t="b">
        <v>0</v>
      </c>
      <c r="AN107" s="1" t="b">
        <v>0</v>
      </c>
      <c r="AO107" s="1" t="b">
        <v>0</v>
      </c>
    </row>
    <row r="108" spans="1:41" x14ac:dyDescent="0.25">
      <c r="A108" s="10"/>
      <c r="B108" s="10"/>
      <c r="C108" s="10"/>
      <c r="D108" s="10"/>
      <c r="E108" s="10"/>
      <c r="F108" s="10"/>
      <c r="G108" s="10"/>
      <c r="H108" s="10"/>
      <c r="I108" s="1" t="str">
        <f t="shared" si="3"/>
        <v/>
      </c>
      <c r="J108" s="1" t="s">
        <v>35</v>
      </c>
      <c r="K108" s="1" t="str">
        <f t="shared" si="4"/>
        <v/>
      </c>
      <c r="L108" s="1" t="str">
        <f t="shared" si="5"/>
        <v/>
      </c>
      <c r="M108" s="1">
        <f>IF(OR(Table1[[#This Row],[Std Nom]]="",Table1[[#This Row],[Std Read]]=""),0,Table1[[#This Row],[Std Nom]]-Table1[[#This Row],[Std Read]])</f>
        <v>0</v>
      </c>
      <c r="N108" s="1">
        <f>IF(Calculations!$F$5="ACCREDITED 17025 WITH UNCERTAINTIES",$N$10,0)</f>
        <v>0</v>
      </c>
      <c r="Q108" s="1">
        <f>Table1[[#This Row],[High Tol]]-Table1[[#This Row],[Low Tol]]</f>
        <v>0</v>
      </c>
      <c r="R108" s="1">
        <f>2*Table1[[#This Row],[Std Error]]</f>
        <v>0</v>
      </c>
      <c r="S108" s="1" t="str">
        <f>IF(Table1[[#This Row],[High Tol]]="","N/A",IFERROR(ABS(Table1[[#This Row],[Tol Span]]/Table1[[#This Row],[Error Span]]),"N/A"))</f>
        <v>N/A</v>
      </c>
      <c r="T108" s="1" t="str">
        <f>IF(OR(Table1[[#This Row],[Low Tol]]="",Table1[[#This Row],[High Tol]]=""),"Needs Analysis",IF(Table1[[#This Row],[Ratio]]&gt;=4,"Not Significant",IF(Table1[[#This Row],[Ratio]]&gt;=2,"Semi-Significant","Significant")))</f>
        <v>Needs Analysis</v>
      </c>
      <c r="W108" s="1">
        <f>IF(Table1[[#This Row],[Cal Type]]&lt;&gt;"ACCREDITED 17025 WITH UNCERTAINTIES",0,"")</f>
        <v>0</v>
      </c>
      <c r="X108" s="1" t="str">
        <f>IF(Table1[[#This Row],[DUT Read]]="","N/A",Table1[[#This Row],[Std Error]]+Table1[[#This Row],[DUT Read]]+Table1[[#This Row],[DUT Ucty]])</f>
        <v>N/A</v>
      </c>
      <c r="Y108" s="1" t="str">
        <f>IF(Table1[[#This Row],[Std Read]]="","N/A",Table1[[#This Row],[Std Read]]+Table1[[#This Row],[Std Ucty]])</f>
        <v>N/A</v>
      </c>
      <c r="Z1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 s="1" t="str">
        <f>IF(Table1[[#This Row],[Spec Type]]="","N/A",Table1[[#This Row],[Spec Type]])</f>
        <v>±</v>
      </c>
      <c r="AC108" s="1" t="str">
        <f>IF(Table1[[#This Row],[Spec Type2]]="N/A","N/A",IF(AND(Table1[[#This Row],[DUT Adj Read]]&gt;=Table1[[#This Row],[Low Tol]],Table1[[#This Row],[DUT Adj Read]]&lt;=Table1[[#This Row],[High Tol]]),"Pass","Fail"))</f>
        <v>Fail</v>
      </c>
      <c r="AD108" s="1" t="str">
        <f>IF(AND(Table1[[#This Row],[Spec Type2]]="N/A",Table1[[#This Row],[DUT Adj Read]]="N/A",Table1[[#This Row],[Std Adj Read]]="N/A"),"N/A",IF(Table1[[#This Row],[DUT Adj Read]]="N/A",IF(Table1[[#This Row],[Std Adj Read]]&gt;Table1[[#This Row],[Low Tol]],"Pass","Fail"),IF(Table1[[#This Row],[DUT Adj Read]]&gt;Table1[[#This Row],[Low Tol]],"Pass","Fail")))</f>
        <v>Pass</v>
      </c>
      <c r="AE108" s="1" t="str">
        <f>IF(AND(Table1[[#This Row],[Spec Type2]]="N/A",Table1[[#This Row],[DUT Adj Read]]="N/A",Table1[[#This Row],[Std Adj Read]]="N/A"),"N/A",IF(Table1[[#This Row],[DUT Adj Read]]="N/A",IF(Table1[[#This Row],[Std Adj Read]]&lt;Table1[[#This Row],[High Tol]],"Pass","Fail"),IF(Table1[[#This Row],[DUT Adj Read]]&lt;Table1[[#This Row],[High Tol]],"Pass","Fail")))</f>
        <v>Fail</v>
      </c>
      <c r="AF108" s="1" t="str">
        <f>IF(AND(Table1[[#This Row],[Spec Type2]]="N/A",Table1[[#This Row],[DUT Adj Read]]="N/A",Table1[[#This Row],[Std Adj Read]]="N/A"),"N/A",IF(Table1[[#This Row],[DUT Adj Read]]="N/A",IF(Table1[[#This Row],[Std Adj Read]]&gt;=Table1[[#This Row],[Low Tol]],"Pass","Fail"),IF(Table1[[#This Row],[DUT Adj Read]]&gt;=Table1[[#This Row],[Low Tol]],"Pass","Fail")))</f>
        <v>Pass</v>
      </c>
      <c r="AG108" s="1" t="str">
        <f>IF(AND(Table1[[#This Row],[Spec Type2]]="N/A",Table1[[#This Row],[DUT Adj Read]]="N/A",Table1[[#This Row],[Std Adj Read]]="N/A"),"N/A",IF(Table1[[#This Row],[DUT Adj Read]]="N/A",IF(Table1[[#This Row],[Std Adj Read]]&lt;=Table1[[#This Row],[High Tol]],"Pass","Fail"),IF(Table1[[#This Row],[DUT Adj Read]]&lt;=Table1[[#This Row],[High Tol]],"Pass","Fail")))</f>
        <v>Fail</v>
      </c>
      <c r="AH1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 s="1" t="b">
        <v>0</v>
      </c>
      <c r="AN108" s="1" t="b">
        <v>0</v>
      </c>
      <c r="AO108" s="1" t="b">
        <v>0</v>
      </c>
    </row>
    <row r="109" spans="1:41" x14ac:dyDescent="0.25">
      <c r="A109" s="10"/>
      <c r="B109" s="10"/>
      <c r="C109" s="10"/>
      <c r="D109" s="10"/>
      <c r="E109" s="10"/>
      <c r="F109" s="10"/>
      <c r="G109" s="10"/>
      <c r="H109" s="10"/>
      <c r="I109" s="1" t="str">
        <f t="shared" si="3"/>
        <v/>
      </c>
      <c r="J109" s="1" t="s">
        <v>35</v>
      </c>
      <c r="K109" s="1" t="str">
        <f t="shared" si="4"/>
        <v/>
      </c>
      <c r="L109" s="1" t="str">
        <f t="shared" si="5"/>
        <v/>
      </c>
      <c r="M109" s="1">
        <f>IF(OR(Table1[[#This Row],[Std Nom]]="",Table1[[#This Row],[Std Read]]=""),0,Table1[[#This Row],[Std Nom]]-Table1[[#This Row],[Std Read]])</f>
        <v>0</v>
      </c>
      <c r="N109" s="1">
        <f>IF(Calculations!$F$5="ACCREDITED 17025 WITH UNCERTAINTIES",$N$10,0)</f>
        <v>0</v>
      </c>
      <c r="Q109" s="1">
        <f>Table1[[#This Row],[High Tol]]-Table1[[#This Row],[Low Tol]]</f>
        <v>0</v>
      </c>
      <c r="R109" s="1">
        <f>2*Table1[[#This Row],[Std Error]]</f>
        <v>0</v>
      </c>
      <c r="S109" s="1" t="str">
        <f>IF(Table1[[#This Row],[High Tol]]="","N/A",IFERROR(ABS(Table1[[#This Row],[Tol Span]]/Table1[[#This Row],[Error Span]]),"N/A"))</f>
        <v>N/A</v>
      </c>
      <c r="T109" s="1" t="str">
        <f>IF(OR(Table1[[#This Row],[Low Tol]]="",Table1[[#This Row],[High Tol]]=""),"Needs Analysis",IF(Table1[[#This Row],[Ratio]]&gt;=4,"Not Significant",IF(Table1[[#This Row],[Ratio]]&gt;=2,"Semi-Significant","Significant")))</f>
        <v>Needs Analysis</v>
      </c>
      <c r="W109" s="1">
        <f>IF(Table1[[#This Row],[Cal Type]]&lt;&gt;"ACCREDITED 17025 WITH UNCERTAINTIES",0,"")</f>
        <v>0</v>
      </c>
      <c r="X109" s="1" t="str">
        <f>IF(Table1[[#This Row],[DUT Read]]="","N/A",Table1[[#This Row],[Std Error]]+Table1[[#This Row],[DUT Read]]+Table1[[#This Row],[DUT Ucty]])</f>
        <v>N/A</v>
      </c>
      <c r="Y109" s="1" t="str">
        <f>IF(Table1[[#This Row],[Std Read]]="","N/A",Table1[[#This Row],[Std Read]]+Table1[[#This Row],[Std Ucty]])</f>
        <v>N/A</v>
      </c>
      <c r="Z1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 s="1" t="str">
        <f>IF(Table1[[#This Row],[Spec Type]]="","N/A",Table1[[#This Row],[Spec Type]])</f>
        <v>±</v>
      </c>
      <c r="AC109" s="1" t="str">
        <f>IF(Table1[[#This Row],[Spec Type2]]="N/A","N/A",IF(AND(Table1[[#This Row],[DUT Adj Read]]&gt;=Table1[[#This Row],[Low Tol]],Table1[[#This Row],[DUT Adj Read]]&lt;=Table1[[#This Row],[High Tol]]),"Pass","Fail"))</f>
        <v>Fail</v>
      </c>
      <c r="AD109" s="1" t="str">
        <f>IF(AND(Table1[[#This Row],[Spec Type2]]="N/A",Table1[[#This Row],[DUT Adj Read]]="N/A",Table1[[#This Row],[Std Adj Read]]="N/A"),"N/A",IF(Table1[[#This Row],[DUT Adj Read]]="N/A",IF(Table1[[#This Row],[Std Adj Read]]&gt;Table1[[#This Row],[Low Tol]],"Pass","Fail"),IF(Table1[[#This Row],[DUT Adj Read]]&gt;Table1[[#This Row],[Low Tol]],"Pass","Fail")))</f>
        <v>Pass</v>
      </c>
      <c r="AE109" s="1" t="str">
        <f>IF(AND(Table1[[#This Row],[Spec Type2]]="N/A",Table1[[#This Row],[DUT Adj Read]]="N/A",Table1[[#This Row],[Std Adj Read]]="N/A"),"N/A",IF(Table1[[#This Row],[DUT Adj Read]]="N/A",IF(Table1[[#This Row],[Std Adj Read]]&lt;Table1[[#This Row],[High Tol]],"Pass","Fail"),IF(Table1[[#This Row],[DUT Adj Read]]&lt;Table1[[#This Row],[High Tol]],"Pass","Fail")))</f>
        <v>Fail</v>
      </c>
      <c r="AF109" s="1" t="str">
        <f>IF(AND(Table1[[#This Row],[Spec Type2]]="N/A",Table1[[#This Row],[DUT Adj Read]]="N/A",Table1[[#This Row],[Std Adj Read]]="N/A"),"N/A",IF(Table1[[#This Row],[DUT Adj Read]]="N/A",IF(Table1[[#This Row],[Std Adj Read]]&gt;=Table1[[#This Row],[Low Tol]],"Pass","Fail"),IF(Table1[[#This Row],[DUT Adj Read]]&gt;=Table1[[#This Row],[Low Tol]],"Pass","Fail")))</f>
        <v>Pass</v>
      </c>
      <c r="AG109" s="1" t="str">
        <f>IF(AND(Table1[[#This Row],[Spec Type2]]="N/A",Table1[[#This Row],[DUT Adj Read]]="N/A",Table1[[#This Row],[Std Adj Read]]="N/A"),"N/A",IF(Table1[[#This Row],[DUT Adj Read]]="N/A",IF(Table1[[#This Row],[Std Adj Read]]&lt;=Table1[[#This Row],[High Tol]],"Pass","Fail"),IF(Table1[[#This Row],[DUT Adj Read]]&lt;=Table1[[#This Row],[High Tol]],"Pass","Fail")))</f>
        <v>Fail</v>
      </c>
      <c r="AH1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 s="1" t="b">
        <v>0</v>
      </c>
      <c r="AN109" s="1" t="b">
        <v>0</v>
      </c>
      <c r="AO109" s="1" t="b">
        <v>0</v>
      </c>
    </row>
    <row r="110" spans="1:41" x14ac:dyDescent="0.25">
      <c r="A110" s="10"/>
      <c r="B110" s="10"/>
      <c r="C110" s="10"/>
      <c r="D110" s="10"/>
      <c r="E110" s="10"/>
      <c r="F110" s="10"/>
      <c r="G110" s="10"/>
      <c r="H110" s="10"/>
      <c r="I110" s="1" t="str">
        <f t="shared" si="3"/>
        <v/>
      </c>
      <c r="J110" s="1" t="s">
        <v>35</v>
      </c>
      <c r="K110" s="1" t="str">
        <f t="shared" si="4"/>
        <v/>
      </c>
      <c r="L110" s="1" t="str">
        <f t="shared" si="5"/>
        <v/>
      </c>
      <c r="M110" s="1">
        <f>IF(OR(Table1[[#This Row],[Std Nom]]="",Table1[[#This Row],[Std Read]]=""),0,Table1[[#This Row],[Std Nom]]-Table1[[#This Row],[Std Read]])</f>
        <v>0</v>
      </c>
      <c r="N110" s="1">
        <f>IF(Calculations!$F$5="ACCREDITED 17025 WITH UNCERTAINTIES",$N$10,0)</f>
        <v>0</v>
      </c>
      <c r="Q110" s="1">
        <f>Table1[[#This Row],[High Tol]]-Table1[[#This Row],[Low Tol]]</f>
        <v>0</v>
      </c>
      <c r="R110" s="1">
        <f>2*Table1[[#This Row],[Std Error]]</f>
        <v>0</v>
      </c>
      <c r="S110" s="1" t="str">
        <f>IF(Table1[[#This Row],[High Tol]]="","N/A",IFERROR(ABS(Table1[[#This Row],[Tol Span]]/Table1[[#This Row],[Error Span]]),"N/A"))</f>
        <v>N/A</v>
      </c>
      <c r="T110" s="1" t="str">
        <f>IF(OR(Table1[[#This Row],[Low Tol]]="",Table1[[#This Row],[High Tol]]=""),"Needs Analysis",IF(Table1[[#This Row],[Ratio]]&gt;=4,"Not Significant",IF(Table1[[#This Row],[Ratio]]&gt;=2,"Semi-Significant","Significant")))</f>
        <v>Needs Analysis</v>
      </c>
      <c r="W110" s="1">
        <f>IF(Table1[[#This Row],[Cal Type]]&lt;&gt;"ACCREDITED 17025 WITH UNCERTAINTIES",0,"")</f>
        <v>0</v>
      </c>
      <c r="X110" s="1" t="str">
        <f>IF(Table1[[#This Row],[DUT Read]]="","N/A",Table1[[#This Row],[Std Error]]+Table1[[#This Row],[DUT Read]]+Table1[[#This Row],[DUT Ucty]])</f>
        <v>N/A</v>
      </c>
      <c r="Y110" s="1" t="str">
        <f>IF(Table1[[#This Row],[Std Read]]="","N/A",Table1[[#This Row],[Std Read]]+Table1[[#This Row],[Std Ucty]])</f>
        <v>N/A</v>
      </c>
      <c r="Z1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 s="1" t="str">
        <f>IF(Table1[[#This Row],[Spec Type]]="","N/A",Table1[[#This Row],[Spec Type]])</f>
        <v>±</v>
      </c>
      <c r="AC110" s="1" t="str">
        <f>IF(Table1[[#This Row],[Spec Type2]]="N/A","N/A",IF(AND(Table1[[#This Row],[DUT Adj Read]]&gt;=Table1[[#This Row],[Low Tol]],Table1[[#This Row],[DUT Adj Read]]&lt;=Table1[[#This Row],[High Tol]]),"Pass","Fail"))</f>
        <v>Fail</v>
      </c>
      <c r="AD110" s="1" t="str">
        <f>IF(AND(Table1[[#This Row],[Spec Type2]]="N/A",Table1[[#This Row],[DUT Adj Read]]="N/A",Table1[[#This Row],[Std Adj Read]]="N/A"),"N/A",IF(Table1[[#This Row],[DUT Adj Read]]="N/A",IF(Table1[[#This Row],[Std Adj Read]]&gt;Table1[[#This Row],[Low Tol]],"Pass","Fail"),IF(Table1[[#This Row],[DUT Adj Read]]&gt;Table1[[#This Row],[Low Tol]],"Pass","Fail")))</f>
        <v>Pass</v>
      </c>
      <c r="AE110" s="1" t="str">
        <f>IF(AND(Table1[[#This Row],[Spec Type2]]="N/A",Table1[[#This Row],[DUT Adj Read]]="N/A",Table1[[#This Row],[Std Adj Read]]="N/A"),"N/A",IF(Table1[[#This Row],[DUT Adj Read]]="N/A",IF(Table1[[#This Row],[Std Adj Read]]&lt;Table1[[#This Row],[High Tol]],"Pass","Fail"),IF(Table1[[#This Row],[DUT Adj Read]]&lt;Table1[[#This Row],[High Tol]],"Pass","Fail")))</f>
        <v>Fail</v>
      </c>
      <c r="AF110" s="1" t="str">
        <f>IF(AND(Table1[[#This Row],[Spec Type2]]="N/A",Table1[[#This Row],[DUT Adj Read]]="N/A",Table1[[#This Row],[Std Adj Read]]="N/A"),"N/A",IF(Table1[[#This Row],[DUT Adj Read]]="N/A",IF(Table1[[#This Row],[Std Adj Read]]&gt;=Table1[[#This Row],[Low Tol]],"Pass","Fail"),IF(Table1[[#This Row],[DUT Adj Read]]&gt;=Table1[[#This Row],[Low Tol]],"Pass","Fail")))</f>
        <v>Pass</v>
      </c>
      <c r="AG110" s="1" t="str">
        <f>IF(AND(Table1[[#This Row],[Spec Type2]]="N/A",Table1[[#This Row],[DUT Adj Read]]="N/A",Table1[[#This Row],[Std Adj Read]]="N/A"),"N/A",IF(Table1[[#This Row],[DUT Adj Read]]="N/A",IF(Table1[[#This Row],[Std Adj Read]]&lt;=Table1[[#This Row],[High Tol]],"Pass","Fail"),IF(Table1[[#This Row],[DUT Adj Read]]&lt;=Table1[[#This Row],[High Tol]],"Pass","Fail")))</f>
        <v>Fail</v>
      </c>
      <c r="AH1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 s="1" t="b">
        <v>0</v>
      </c>
      <c r="AN110" s="1" t="b">
        <v>0</v>
      </c>
      <c r="AO110" s="1" t="b">
        <v>0</v>
      </c>
    </row>
    <row r="111" spans="1:41" x14ac:dyDescent="0.25">
      <c r="A111" s="10"/>
      <c r="B111" s="10"/>
      <c r="C111" s="10"/>
      <c r="D111" s="10"/>
      <c r="E111" s="10"/>
      <c r="F111" s="10"/>
      <c r="G111" s="10"/>
      <c r="H111" s="10"/>
      <c r="I111" s="1" t="str">
        <f t="shared" si="3"/>
        <v/>
      </c>
      <c r="J111" s="1" t="s">
        <v>35</v>
      </c>
      <c r="K111" s="1" t="str">
        <f t="shared" si="4"/>
        <v/>
      </c>
      <c r="L111" s="1" t="str">
        <f t="shared" si="5"/>
        <v/>
      </c>
      <c r="M111" s="1">
        <f>IF(OR(Table1[[#This Row],[Std Nom]]="",Table1[[#This Row],[Std Read]]=""),0,Table1[[#This Row],[Std Nom]]-Table1[[#This Row],[Std Read]])</f>
        <v>0</v>
      </c>
      <c r="N111" s="1">
        <f>IF(Calculations!$F$5="ACCREDITED 17025 WITH UNCERTAINTIES",$N$10,0)</f>
        <v>0</v>
      </c>
      <c r="Q111" s="1">
        <f>Table1[[#This Row],[High Tol]]-Table1[[#This Row],[Low Tol]]</f>
        <v>0</v>
      </c>
      <c r="R111" s="1">
        <f>2*Table1[[#This Row],[Std Error]]</f>
        <v>0</v>
      </c>
      <c r="S111" s="1" t="str">
        <f>IF(Table1[[#This Row],[High Tol]]="","N/A",IFERROR(ABS(Table1[[#This Row],[Tol Span]]/Table1[[#This Row],[Error Span]]),"N/A"))</f>
        <v>N/A</v>
      </c>
      <c r="T111" s="1" t="str">
        <f>IF(OR(Table1[[#This Row],[Low Tol]]="",Table1[[#This Row],[High Tol]]=""),"Needs Analysis",IF(Table1[[#This Row],[Ratio]]&gt;=4,"Not Significant",IF(Table1[[#This Row],[Ratio]]&gt;=2,"Semi-Significant","Significant")))</f>
        <v>Needs Analysis</v>
      </c>
      <c r="W111" s="1">
        <f>IF(Table1[[#This Row],[Cal Type]]&lt;&gt;"ACCREDITED 17025 WITH UNCERTAINTIES",0,"")</f>
        <v>0</v>
      </c>
      <c r="X111" s="1" t="str">
        <f>IF(Table1[[#This Row],[DUT Read]]="","N/A",Table1[[#This Row],[Std Error]]+Table1[[#This Row],[DUT Read]]+Table1[[#This Row],[DUT Ucty]])</f>
        <v>N/A</v>
      </c>
      <c r="Y111" s="1" t="str">
        <f>IF(Table1[[#This Row],[Std Read]]="","N/A",Table1[[#This Row],[Std Read]]+Table1[[#This Row],[Std Ucty]])</f>
        <v>N/A</v>
      </c>
      <c r="Z1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 s="1" t="str">
        <f>IF(Table1[[#This Row],[Spec Type]]="","N/A",Table1[[#This Row],[Spec Type]])</f>
        <v>±</v>
      </c>
      <c r="AC111" s="1" t="str">
        <f>IF(Table1[[#This Row],[Spec Type2]]="N/A","N/A",IF(AND(Table1[[#This Row],[DUT Adj Read]]&gt;=Table1[[#This Row],[Low Tol]],Table1[[#This Row],[DUT Adj Read]]&lt;=Table1[[#This Row],[High Tol]]),"Pass","Fail"))</f>
        <v>Fail</v>
      </c>
      <c r="AD111" s="1" t="str">
        <f>IF(AND(Table1[[#This Row],[Spec Type2]]="N/A",Table1[[#This Row],[DUT Adj Read]]="N/A",Table1[[#This Row],[Std Adj Read]]="N/A"),"N/A",IF(Table1[[#This Row],[DUT Adj Read]]="N/A",IF(Table1[[#This Row],[Std Adj Read]]&gt;Table1[[#This Row],[Low Tol]],"Pass","Fail"),IF(Table1[[#This Row],[DUT Adj Read]]&gt;Table1[[#This Row],[Low Tol]],"Pass","Fail")))</f>
        <v>Pass</v>
      </c>
      <c r="AE111" s="1" t="str">
        <f>IF(AND(Table1[[#This Row],[Spec Type2]]="N/A",Table1[[#This Row],[DUT Adj Read]]="N/A",Table1[[#This Row],[Std Adj Read]]="N/A"),"N/A",IF(Table1[[#This Row],[DUT Adj Read]]="N/A",IF(Table1[[#This Row],[Std Adj Read]]&lt;Table1[[#This Row],[High Tol]],"Pass","Fail"),IF(Table1[[#This Row],[DUT Adj Read]]&lt;Table1[[#This Row],[High Tol]],"Pass","Fail")))</f>
        <v>Fail</v>
      </c>
      <c r="AF111" s="1" t="str">
        <f>IF(AND(Table1[[#This Row],[Spec Type2]]="N/A",Table1[[#This Row],[DUT Adj Read]]="N/A",Table1[[#This Row],[Std Adj Read]]="N/A"),"N/A",IF(Table1[[#This Row],[DUT Adj Read]]="N/A",IF(Table1[[#This Row],[Std Adj Read]]&gt;=Table1[[#This Row],[Low Tol]],"Pass","Fail"),IF(Table1[[#This Row],[DUT Adj Read]]&gt;=Table1[[#This Row],[Low Tol]],"Pass","Fail")))</f>
        <v>Pass</v>
      </c>
      <c r="AG111" s="1" t="str">
        <f>IF(AND(Table1[[#This Row],[Spec Type2]]="N/A",Table1[[#This Row],[DUT Adj Read]]="N/A",Table1[[#This Row],[Std Adj Read]]="N/A"),"N/A",IF(Table1[[#This Row],[DUT Adj Read]]="N/A",IF(Table1[[#This Row],[Std Adj Read]]&lt;=Table1[[#This Row],[High Tol]],"Pass","Fail"),IF(Table1[[#This Row],[DUT Adj Read]]&lt;=Table1[[#This Row],[High Tol]],"Pass","Fail")))</f>
        <v>Fail</v>
      </c>
      <c r="AH1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 s="1" t="b">
        <v>0</v>
      </c>
      <c r="AN111" s="1" t="b">
        <v>0</v>
      </c>
      <c r="AO111" s="1" t="b">
        <v>0</v>
      </c>
    </row>
    <row r="112" spans="1:41" x14ac:dyDescent="0.25">
      <c r="A112" s="10"/>
      <c r="B112" s="10"/>
      <c r="C112" s="10"/>
      <c r="D112" s="10"/>
      <c r="E112" s="10"/>
      <c r="F112" s="10"/>
      <c r="G112" s="10"/>
      <c r="H112" s="10"/>
      <c r="I112" s="1" t="str">
        <f t="shared" si="3"/>
        <v/>
      </c>
      <c r="J112" s="1" t="s">
        <v>35</v>
      </c>
      <c r="K112" s="1" t="str">
        <f t="shared" si="4"/>
        <v/>
      </c>
      <c r="L112" s="1" t="str">
        <f t="shared" si="5"/>
        <v/>
      </c>
      <c r="M112" s="1">
        <f>IF(OR(Table1[[#This Row],[Std Nom]]="",Table1[[#This Row],[Std Read]]=""),0,Table1[[#This Row],[Std Nom]]-Table1[[#This Row],[Std Read]])</f>
        <v>0</v>
      </c>
      <c r="N112" s="1">
        <f>IF(Calculations!$F$5="ACCREDITED 17025 WITH UNCERTAINTIES",$N$10,0)</f>
        <v>0</v>
      </c>
      <c r="Q112" s="1">
        <f>Table1[[#This Row],[High Tol]]-Table1[[#This Row],[Low Tol]]</f>
        <v>0</v>
      </c>
      <c r="R112" s="1">
        <f>2*Table1[[#This Row],[Std Error]]</f>
        <v>0</v>
      </c>
      <c r="S112" s="1" t="str">
        <f>IF(Table1[[#This Row],[High Tol]]="","N/A",IFERROR(ABS(Table1[[#This Row],[Tol Span]]/Table1[[#This Row],[Error Span]]),"N/A"))</f>
        <v>N/A</v>
      </c>
      <c r="T112" s="1" t="str">
        <f>IF(OR(Table1[[#This Row],[Low Tol]]="",Table1[[#This Row],[High Tol]]=""),"Needs Analysis",IF(Table1[[#This Row],[Ratio]]&gt;=4,"Not Significant",IF(Table1[[#This Row],[Ratio]]&gt;=2,"Semi-Significant","Significant")))</f>
        <v>Needs Analysis</v>
      </c>
      <c r="W112" s="1">
        <f>IF(Table1[[#This Row],[Cal Type]]&lt;&gt;"ACCREDITED 17025 WITH UNCERTAINTIES",0,"")</f>
        <v>0</v>
      </c>
      <c r="X112" s="1" t="str">
        <f>IF(Table1[[#This Row],[DUT Read]]="","N/A",Table1[[#This Row],[Std Error]]+Table1[[#This Row],[DUT Read]]+Table1[[#This Row],[DUT Ucty]])</f>
        <v>N/A</v>
      </c>
      <c r="Y112" s="1" t="str">
        <f>IF(Table1[[#This Row],[Std Read]]="","N/A",Table1[[#This Row],[Std Read]]+Table1[[#This Row],[Std Ucty]])</f>
        <v>N/A</v>
      </c>
      <c r="Z1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 s="1" t="str">
        <f>IF(Table1[[#This Row],[Spec Type]]="","N/A",Table1[[#This Row],[Spec Type]])</f>
        <v>±</v>
      </c>
      <c r="AC112" s="1" t="str">
        <f>IF(Table1[[#This Row],[Spec Type2]]="N/A","N/A",IF(AND(Table1[[#This Row],[DUT Adj Read]]&gt;=Table1[[#This Row],[Low Tol]],Table1[[#This Row],[DUT Adj Read]]&lt;=Table1[[#This Row],[High Tol]]),"Pass","Fail"))</f>
        <v>Fail</v>
      </c>
      <c r="AD112" s="1" t="str">
        <f>IF(AND(Table1[[#This Row],[Spec Type2]]="N/A",Table1[[#This Row],[DUT Adj Read]]="N/A",Table1[[#This Row],[Std Adj Read]]="N/A"),"N/A",IF(Table1[[#This Row],[DUT Adj Read]]="N/A",IF(Table1[[#This Row],[Std Adj Read]]&gt;Table1[[#This Row],[Low Tol]],"Pass","Fail"),IF(Table1[[#This Row],[DUT Adj Read]]&gt;Table1[[#This Row],[Low Tol]],"Pass","Fail")))</f>
        <v>Pass</v>
      </c>
      <c r="AE112" s="1" t="str">
        <f>IF(AND(Table1[[#This Row],[Spec Type2]]="N/A",Table1[[#This Row],[DUT Adj Read]]="N/A",Table1[[#This Row],[Std Adj Read]]="N/A"),"N/A",IF(Table1[[#This Row],[DUT Adj Read]]="N/A",IF(Table1[[#This Row],[Std Adj Read]]&lt;Table1[[#This Row],[High Tol]],"Pass","Fail"),IF(Table1[[#This Row],[DUT Adj Read]]&lt;Table1[[#This Row],[High Tol]],"Pass","Fail")))</f>
        <v>Fail</v>
      </c>
      <c r="AF112" s="1" t="str">
        <f>IF(AND(Table1[[#This Row],[Spec Type2]]="N/A",Table1[[#This Row],[DUT Adj Read]]="N/A",Table1[[#This Row],[Std Adj Read]]="N/A"),"N/A",IF(Table1[[#This Row],[DUT Adj Read]]="N/A",IF(Table1[[#This Row],[Std Adj Read]]&gt;=Table1[[#This Row],[Low Tol]],"Pass","Fail"),IF(Table1[[#This Row],[DUT Adj Read]]&gt;=Table1[[#This Row],[Low Tol]],"Pass","Fail")))</f>
        <v>Pass</v>
      </c>
      <c r="AG112" s="1" t="str">
        <f>IF(AND(Table1[[#This Row],[Spec Type2]]="N/A",Table1[[#This Row],[DUT Adj Read]]="N/A",Table1[[#This Row],[Std Adj Read]]="N/A"),"N/A",IF(Table1[[#This Row],[DUT Adj Read]]="N/A",IF(Table1[[#This Row],[Std Adj Read]]&lt;=Table1[[#This Row],[High Tol]],"Pass","Fail"),IF(Table1[[#This Row],[DUT Adj Read]]&lt;=Table1[[#This Row],[High Tol]],"Pass","Fail")))</f>
        <v>Fail</v>
      </c>
      <c r="AH1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 s="1" t="b">
        <v>0</v>
      </c>
      <c r="AN112" s="1" t="b">
        <v>0</v>
      </c>
      <c r="AO112" s="1" t="b">
        <v>0</v>
      </c>
    </row>
    <row r="113" spans="1:41" x14ac:dyDescent="0.25">
      <c r="A113" s="10"/>
      <c r="B113" s="10"/>
      <c r="C113" s="10"/>
      <c r="D113" s="10"/>
      <c r="E113" s="10"/>
      <c r="F113" s="10"/>
      <c r="G113" s="10"/>
      <c r="H113" s="10"/>
      <c r="I113" s="1" t="str">
        <f t="shared" si="3"/>
        <v/>
      </c>
      <c r="J113" s="1" t="s">
        <v>35</v>
      </c>
      <c r="K113" s="1" t="str">
        <f t="shared" si="4"/>
        <v/>
      </c>
      <c r="L113" s="1" t="str">
        <f t="shared" si="5"/>
        <v/>
      </c>
      <c r="M113" s="1">
        <f>IF(OR(Table1[[#This Row],[Std Nom]]="",Table1[[#This Row],[Std Read]]=""),0,Table1[[#This Row],[Std Nom]]-Table1[[#This Row],[Std Read]])</f>
        <v>0</v>
      </c>
      <c r="N113" s="1">
        <f>IF(Calculations!$F$5="ACCREDITED 17025 WITH UNCERTAINTIES",$N$10,0)</f>
        <v>0</v>
      </c>
      <c r="Q113" s="1">
        <f>Table1[[#This Row],[High Tol]]-Table1[[#This Row],[Low Tol]]</f>
        <v>0</v>
      </c>
      <c r="R113" s="1">
        <f>2*Table1[[#This Row],[Std Error]]</f>
        <v>0</v>
      </c>
      <c r="S113" s="1" t="str">
        <f>IF(Table1[[#This Row],[High Tol]]="","N/A",IFERROR(ABS(Table1[[#This Row],[Tol Span]]/Table1[[#This Row],[Error Span]]),"N/A"))</f>
        <v>N/A</v>
      </c>
      <c r="T113" s="1" t="str">
        <f>IF(OR(Table1[[#This Row],[Low Tol]]="",Table1[[#This Row],[High Tol]]=""),"Needs Analysis",IF(Table1[[#This Row],[Ratio]]&gt;=4,"Not Significant",IF(Table1[[#This Row],[Ratio]]&gt;=2,"Semi-Significant","Significant")))</f>
        <v>Needs Analysis</v>
      </c>
      <c r="W113" s="1">
        <f>IF(Table1[[#This Row],[Cal Type]]&lt;&gt;"ACCREDITED 17025 WITH UNCERTAINTIES",0,"")</f>
        <v>0</v>
      </c>
      <c r="X113" s="1" t="str">
        <f>IF(Table1[[#This Row],[DUT Read]]="","N/A",Table1[[#This Row],[Std Error]]+Table1[[#This Row],[DUT Read]]+Table1[[#This Row],[DUT Ucty]])</f>
        <v>N/A</v>
      </c>
      <c r="Y113" s="1" t="str">
        <f>IF(Table1[[#This Row],[Std Read]]="","N/A",Table1[[#This Row],[Std Read]]+Table1[[#This Row],[Std Ucty]])</f>
        <v>N/A</v>
      </c>
      <c r="Z1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 s="1" t="str">
        <f>IF(Table1[[#This Row],[Spec Type]]="","N/A",Table1[[#This Row],[Spec Type]])</f>
        <v>±</v>
      </c>
      <c r="AC113" s="1" t="str">
        <f>IF(Table1[[#This Row],[Spec Type2]]="N/A","N/A",IF(AND(Table1[[#This Row],[DUT Adj Read]]&gt;=Table1[[#This Row],[Low Tol]],Table1[[#This Row],[DUT Adj Read]]&lt;=Table1[[#This Row],[High Tol]]),"Pass","Fail"))</f>
        <v>Fail</v>
      </c>
      <c r="AD113" s="1" t="str">
        <f>IF(AND(Table1[[#This Row],[Spec Type2]]="N/A",Table1[[#This Row],[DUT Adj Read]]="N/A",Table1[[#This Row],[Std Adj Read]]="N/A"),"N/A",IF(Table1[[#This Row],[DUT Adj Read]]="N/A",IF(Table1[[#This Row],[Std Adj Read]]&gt;Table1[[#This Row],[Low Tol]],"Pass","Fail"),IF(Table1[[#This Row],[DUT Adj Read]]&gt;Table1[[#This Row],[Low Tol]],"Pass","Fail")))</f>
        <v>Pass</v>
      </c>
      <c r="AE113" s="1" t="str">
        <f>IF(AND(Table1[[#This Row],[Spec Type2]]="N/A",Table1[[#This Row],[DUT Adj Read]]="N/A",Table1[[#This Row],[Std Adj Read]]="N/A"),"N/A",IF(Table1[[#This Row],[DUT Adj Read]]="N/A",IF(Table1[[#This Row],[Std Adj Read]]&lt;Table1[[#This Row],[High Tol]],"Pass","Fail"),IF(Table1[[#This Row],[DUT Adj Read]]&lt;Table1[[#This Row],[High Tol]],"Pass","Fail")))</f>
        <v>Fail</v>
      </c>
      <c r="AF113" s="1" t="str">
        <f>IF(AND(Table1[[#This Row],[Spec Type2]]="N/A",Table1[[#This Row],[DUT Adj Read]]="N/A",Table1[[#This Row],[Std Adj Read]]="N/A"),"N/A",IF(Table1[[#This Row],[DUT Adj Read]]="N/A",IF(Table1[[#This Row],[Std Adj Read]]&gt;=Table1[[#This Row],[Low Tol]],"Pass","Fail"),IF(Table1[[#This Row],[DUT Adj Read]]&gt;=Table1[[#This Row],[Low Tol]],"Pass","Fail")))</f>
        <v>Pass</v>
      </c>
      <c r="AG113" s="1" t="str">
        <f>IF(AND(Table1[[#This Row],[Spec Type2]]="N/A",Table1[[#This Row],[DUT Adj Read]]="N/A",Table1[[#This Row],[Std Adj Read]]="N/A"),"N/A",IF(Table1[[#This Row],[DUT Adj Read]]="N/A",IF(Table1[[#This Row],[Std Adj Read]]&lt;=Table1[[#This Row],[High Tol]],"Pass","Fail"),IF(Table1[[#This Row],[DUT Adj Read]]&lt;=Table1[[#This Row],[High Tol]],"Pass","Fail")))</f>
        <v>Fail</v>
      </c>
      <c r="AH1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 s="1" t="b">
        <v>0</v>
      </c>
      <c r="AN113" s="1" t="b">
        <v>0</v>
      </c>
      <c r="AO113" s="1" t="b">
        <v>0</v>
      </c>
    </row>
    <row r="114" spans="1:41" x14ac:dyDescent="0.25">
      <c r="A114" s="10"/>
      <c r="B114" s="10"/>
      <c r="C114" s="10"/>
      <c r="D114" s="10"/>
      <c r="E114" s="10"/>
      <c r="F114" s="10"/>
      <c r="G114" s="10"/>
      <c r="H114" s="10"/>
      <c r="I114" s="1" t="str">
        <f t="shared" si="3"/>
        <v/>
      </c>
      <c r="J114" s="1" t="s">
        <v>35</v>
      </c>
      <c r="K114" s="1" t="str">
        <f t="shared" si="4"/>
        <v/>
      </c>
      <c r="L114" s="1" t="str">
        <f t="shared" si="5"/>
        <v/>
      </c>
      <c r="M114" s="1">
        <f>IF(OR(Table1[[#This Row],[Std Nom]]="",Table1[[#This Row],[Std Read]]=""),0,Table1[[#This Row],[Std Nom]]-Table1[[#This Row],[Std Read]])</f>
        <v>0</v>
      </c>
      <c r="N114" s="1">
        <f>IF(Calculations!$F$5="ACCREDITED 17025 WITH UNCERTAINTIES",$N$10,0)</f>
        <v>0</v>
      </c>
      <c r="Q114" s="1">
        <f>Table1[[#This Row],[High Tol]]-Table1[[#This Row],[Low Tol]]</f>
        <v>0</v>
      </c>
      <c r="R114" s="1">
        <f>2*Table1[[#This Row],[Std Error]]</f>
        <v>0</v>
      </c>
      <c r="S114" s="1" t="str">
        <f>IF(Table1[[#This Row],[High Tol]]="","N/A",IFERROR(ABS(Table1[[#This Row],[Tol Span]]/Table1[[#This Row],[Error Span]]),"N/A"))</f>
        <v>N/A</v>
      </c>
      <c r="T114" s="1" t="str">
        <f>IF(OR(Table1[[#This Row],[Low Tol]]="",Table1[[#This Row],[High Tol]]=""),"Needs Analysis",IF(Table1[[#This Row],[Ratio]]&gt;=4,"Not Significant",IF(Table1[[#This Row],[Ratio]]&gt;=2,"Semi-Significant","Significant")))</f>
        <v>Needs Analysis</v>
      </c>
      <c r="W114" s="1">
        <f>IF(Table1[[#This Row],[Cal Type]]&lt;&gt;"ACCREDITED 17025 WITH UNCERTAINTIES",0,"")</f>
        <v>0</v>
      </c>
      <c r="X114" s="1" t="str">
        <f>IF(Table1[[#This Row],[DUT Read]]="","N/A",Table1[[#This Row],[Std Error]]+Table1[[#This Row],[DUT Read]]+Table1[[#This Row],[DUT Ucty]])</f>
        <v>N/A</v>
      </c>
      <c r="Y114" s="1" t="str">
        <f>IF(Table1[[#This Row],[Std Read]]="","N/A",Table1[[#This Row],[Std Read]]+Table1[[#This Row],[Std Ucty]])</f>
        <v>N/A</v>
      </c>
      <c r="Z1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 s="1" t="str">
        <f>IF(Table1[[#This Row],[Spec Type]]="","N/A",Table1[[#This Row],[Spec Type]])</f>
        <v>±</v>
      </c>
      <c r="AC114" s="1" t="str">
        <f>IF(Table1[[#This Row],[Spec Type2]]="N/A","N/A",IF(AND(Table1[[#This Row],[DUT Adj Read]]&gt;=Table1[[#This Row],[Low Tol]],Table1[[#This Row],[DUT Adj Read]]&lt;=Table1[[#This Row],[High Tol]]),"Pass","Fail"))</f>
        <v>Fail</v>
      </c>
      <c r="AD114" s="1" t="str">
        <f>IF(AND(Table1[[#This Row],[Spec Type2]]="N/A",Table1[[#This Row],[DUT Adj Read]]="N/A",Table1[[#This Row],[Std Adj Read]]="N/A"),"N/A",IF(Table1[[#This Row],[DUT Adj Read]]="N/A",IF(Table1[[#This Row],[Std Adj Read]]&gt;Table1[[#This Row],[Low Tol]],"Pass","Fail"),IF(Table1[[#This Row],[DUT Adj Read]]&gt;Table1[[#This Row],[Low Tol]],"Pass","Fail")))</f>
        <v>Pass</v>
      </c>
      <c r="AE114" s="1" t="str">
        <f>IF(AND(Table1[[#This Row],[Spec Type2]]="N/A",Table1[[#This Row],[DUT Adj Read]]="N/A",Table1[[#This Row],[Std Adj Read]]="N/A"),"N/A",IF(Table1[[#This Row],[DUT Adj Read]]="N/A",IF(Table1[[#This Row],[Std Adj Read]]&lt;Table1[[#This Row],[High Tol]],"Pass","Fail"),IF(Table1[[#This Row],[DUT Adj Read]]&lt;Table1[[#This Row],[High Tol]],"Pass","Fail")))</f>
        <v>Fail</v>
      </c>
      <c r="AF114" s="1" t="str">
        <f>IF(AND(Table1[[#This Row],[Spec Type2]]="N/A",Table1[[#This Row],[DUT Adj Read]]="N/A",Table1[[#This Row],[Std Adj Read]]="N/A"),"N/A",IF(Table1[[#This Row],[DUT Adj Read]]="N/A",IF(Table1[[#This Row],[Std Adj Read]]&gt;=Table1[[#This Row],[Low Tol]],"Pass","Fail"),IF(Table1[[#This Row],[DUT Adj Read]]&gt;=Table1[[#This Row],[Low Tol]],"Pass","Fail")))</f>
        <v>Pass</v>
      </c>
      <c r="AG114" s="1" t="str">
        <f>IF(AND(Table1[[#This Row],[Spec Type2]]="N/A",Table1[[#This Row],[DUT Adj Read]]="N/A",Table1[[#This Row],[Std Adj Read]]="N/A"),"N/A",IF(Table1[[#This Row],[DUT Adj Read]]="N/A",IF(Table1[[#This Row],[Std Adj Read]]&lt;=Table1[[#This Row],[High Tol]],"Pass","Fail"),IF(Table1[[#This Row],[DUT Adj Read]]&lt;=Table1[[#This Row],[High Tol]],"Pass","Fail")))</f>
        <v>Fail</v>
      </c>
      <c r="AH1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 s="1" t="b">
        <v>0</v>
      </c>
      <c r="AN114" s="1" t="b">
        <v>0</v>
      </c>
      <c r="AO114" s="1" t="b">
        <v>0</v>
      </c>
    </row>
    <row r="115" spans="1:41" x14ac:dyDescent="0.25">
      <c r="A115" s="10"/>
      <c r="B115" s="10"/>
      <c r="C115" s="10"/>
      <c r="D115" s="10"/>
      <c r="E115" s="10"/>
      <c r="F115" s="10"/>
      <c r="G115" s="10"/>
      <c r="H115" s="10"/>
      <c r="I115" s="1" t="str">
        <f t="shared" si="3"/>
        <v/>
      </c>
      <c r="J115" s="1" t="s">
        <v>35</v>
      </c>
      <c r="K115" s="1" t="str">
        <f t="shared" si="4"/>
        <v/>
      </c>
      <c r="L115" s="1" t="str">
        <f t="shared" si="5"/>
        <v/>
      </c>
      <c r="M115" s="1">
        <f>IF(OR(Table1[[#This Row],[Std Nom]]="",Table1[[#This Row],[Std Read]]=""),0,Table1[[#This Row],[Std Nom]]-Table1[[#This Row],[Std Read]])</f>
        <v>0</v>
      </c>
      <c r="N115" s="1">
        <f>IF(Calculations!$F$5="ACCREDITED 17025 WITH UNCERTAINTIES",$N$10,0)</f>
        <v>0</v>
      </c>
      <c r="Q115" s="1">
        <f>Table1[[#This Row],[High Tol]]-Table1[[#This Row],[Low Tol]]</f>
        <v>0</v>
      </c>
      <c r="R115" s="1">
        <f>2*Table1[[#This Row],[Std Error]]</f>
        <v>0</v>
      </c>
      <c r="S115" s="1" t="str">
        <f>IF(Table1[[#This Row],[High Tol]]="","N/A",IFERROR(ABS(Table1[[#This Row],[Tol Span]]/Table1[[#This Row],[Error Span]]),"N/A"))</f>
        <v>N/A</v>
      </c>
      <c r="T115" s="1" t="str">
        <f>IF(OR(Table1[[#This Row],[Low Tol]]="",Table1[[#This Row],[High Tol]]=""),"Needs Analysis",IF(Table1[[#This Row],[Ratio]]&gt;=4,"Not Significant",IF(Table1[[#This Row],[Ratio]]&gt;=2,"Semi-Significant","Significant")))</f>
        <v>Needs Analysis</v>
      </c>
      <c r="W115" s="1">
        <f>IF(Table1[[#This Row],[Cal Type]]&lt;&gt;"ACCREDITED 17025 WITH UNCERTAINTIES",0,"")</f>
        <v>0</v>
      </c>
      <c r="X115" s="1" t="str">
        <f>IF(Table1[[#This Row],[DUT Read]]="","N/A",Table1[[#This Row],[Std Error]]+Table1[[#This Row],[DUT Read]]+Table1[[#This Row],[DUT Ucty]])</f>
        <v>N/A</v>
      </c>
      <c r="Y115" s="1" t="str">
        <f>IF(Table1[[#This Row],[Std Read]]="","N/A",Table1[[#This Row],[Std Read]]+Table1[[#This Row],[Std Ucty]])</f>
        <v>N/A</v>
      </c>
      <c r="Z1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 s="1" t="str">
        <f>IF(Table1[[#This Row],[Spec Type]]="","N/A",Table1[[#This Row],[Spec Type]])</f>
        <v>±</v>
      </c>
      <c r="AC115" s="1" t="str">
        <f>IF(Table1[[#This Row],[Spec Type2]]="N/A","N/A",IF(AND(Table1[[#This Row],[DUT Adj Read]]&gt;=Table1[[#This Row],[Low Tol]],Table1[[#This Row],[DUT Adj Read]]&lt;=Table1[[#This Row],[High Tol]]),"Pass","Fail"))</f>
        <v>Fail</v>
      </c>
      <c r="AD115" s="1" t="str">
        <f>IF(AND(Table1[[#This Row],[Spec Type2]]="N/A",Table1[[#This Row],[DUT Adj Read]]="N/A",Table1[[#This Row],[Std Adj Read]]="N/A"),"N/A",IF(Table1[[#This Row],[DUT Adj Read]]="N/A",IF(Table1[[#This Row],[Std Adj Read]]&gt;Table1[[#This Row],[Low Tol]],"Pass","Fail"),IF(Table1[[#This Row],[DUT Adj Read]]&gt;Table1[[#This Row],[Low Tol]],"Pass","Fail")))</f>
        <v>Pass</v>
      </c>
      <c r="AE115" s="1" t="str">
        <f>IF(AND(Table1[[#This Row],[Spec Type2]]="N/A",Table1[[#This Row],[DUT Adj Read]]="N/A",Table1[[#This Row],[Std Adj Read]]="N/A"),"N/A",IF(Table1[[#This Row],[DUT Adj Read]]="N/A",IF(Table1[[#This Row],[Std Adj Read]]&lt;Table1[[#This Row],[High Tol]],"Pass","Fail"),IF(Table1[[#This Row],[DUT Adj Read]]&lt;Table1[[#This Row],[High Tol]],"Pass","Fail")))</f>
        <v>Fail</v>
      </c>
      <c r="AF115" s="1" t="str">
        <f>IF(AND(Table1[[#This Row],[Spec Type2]]="N/A",Table1[[#This Row],[DUT Adj Read]]="N/A",Table1[[#This Row],[Std Adj Read]]="N/A"),"N/A",IF(Table1[[#This Row],[DUT Adj Read]]="N/A",IF(Table1[[#This Row],[Std Adj Read]]&gt;=Table1[[#This Row],[Low Tol]],"Pass","Fail"),IF(Table1[[#This Row],[DUT Adj Read]]&gt;=Table1[[#This Row],[Low Tol]],"Pass","Fail")))</f>
        <v>Pass</v>
      </c>
      <c r="AG115" s="1" t="str">
        <f>IF(AND(Table1[[#This Row],[Spec Type2]]="N/A",Table1[[#This Row],[DUT Adj Read]]="N/A",Table1[[#This Row],[Std Adj Read]]="N/A"),"N/A",IF(Table1[[#This Row],[DUT Adj Read]]="N/A",IF(Table1[[#This Row],[Std Adj Read]]&lt;=Table1[[#This Row],[High Tol]],"Pass","Fail"),IF(Table1[[#This Row],[DUT Adj Read]]&lt;=Table1[[#This Row],[High Tol]],"Pass","Fail")))</f>
        <v>Fail</v>
      </c>
      <c r="AH1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 s="1" t="b">
        <v>0</v>
      </c>
      <c r="AN115" s="1" t="b">
        <v>0</v>
      </c>
      <c r="AO115" s="1" t="b">
        <v>0</v>
      </c>
    </row>
    <row r="116" spans="1:41" x14ac:dyDescent="0.25">
      <c r="A116" s="10"/>
      <c r="B116" s="10"/>
      <c r="C116" s="10"/>
      <c r="D116" s="10"/>
      <c r="E116" s="10"/>
      <c r="F116" s="10"/>
      <c r="G116" s="10"/>
      <c r="H116" s="10"/>
      <c r="I116" s="1" t="str">
        <f t="shared" si="3"/>
        <v/>
      </c>
      <c r="J116" s="1" t="s">
        <v>35</v>
      </c>
      <c r="K116" s="1" t="str">
        <f t="shared" si="4"/>
        <v/>
      </c>
      <c r="L116" s="1" t="str">
        <f t="shared" si="5"/>
        <v/>
      </c>
      <c r="M116" s="1">
        <f>IF(OR(Table1[[#This Row],[Std Nom]]="",Table1[[#This Row],[Std Read]]=""),0,Table1[[#This Row],[Std Nom]]-Table1[[#This Row],[Std Read]])</f>
        <v>0</v>
      </c>
      <c r="N116" s="1">
        <f>IF(Calculations!$F$5="ACCREDITED 17025 WITH UNCERTAINTIES",$N$10,0)</f>
        <v>0</v>
      </c>
      <c r="Q116" s="1">
        <f>Table1[[#This Row],[High Tol]]-Table1[[#This Row],[Low Tol]]</f>
        <v>0</v>
      </c>
      <c r="R116" s="1">
        <f>2*Table1[[#This Row],[Std Error]]</f>
        <v>0</v>
      </c>
      <c r="S116" s="1" t="str">
        <f>IF(Table1[[#This Row],[High Tol]]="","N/A",IFERROR(ABS(Table1[[#This Row],[Tol Span]]/Table1[[#This Row],[Error Span]]),"N/A"))</f>
        <v>N/A</v>
      </c>
      <c r="T116" s="1" t="str">
        <f>IF(OR(Table1[[#This Row],[Low Tol]]="",Table1[[#This Row],[High Tol]]=""),"Needs Analysis",IF(Table1[[#This Row],[Ratio]]&gt;=4,"Not Significant",IF(Table1[[#This Row],[Ratio]]&gt;=2,"Semi-Significant","Significant")))</f>
        <v>Needs Analysis</v>
      </c>
      <c r="W116" s="1">
        <f>IF(Table1[[#This Row],[Cal Type]]&lt;&gt;"ACCREDITED 17025 WITH UNCERTAINTIES",0,"")</f>
        <v>0</v>
      </c>
      <c r="X116" s="1" t="str">
        <f>IF(Table1[[#This Row],[DUT Read]]="","N/A",Table1[[#This Row],[Std Error]]+Table1[[#This Row],[DUT Read]]+Table1[[#This Row],[DUT Ucty]])</f>
        <v>N/A</v>
      </c>
      <c r="Y116" s="1" t="str">
        <f>IF(Table1[[#This Row],[Std Read]]="","N/A",Table1[[#This Row],[Std Read]]+Table1[[#This Row],[Std Ucty]])</f>
        <v>N/A</v>
      </c>
      <c r="Z1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 s="1" t="str">
        <f>IF(Table1[[#This Row],[Spec Type]]="","N/A",Table1[[#This Row],[Spec Type]])</f>
        <v>±</v>
      </c>
      <c r="AC116" s="1" t="str">
        <f>IF(Table1[[#This Row],[Spec Type2]]="N/A","N/A",IF(AND(Table1[[#This Row],[DUT Adj Read]]&gt;=Table1[[#This Row],[Low Tol]],Table1[[#This Row],[DUT Adj Read]]&lt;=Table1[[#This Row],[High Tol]]),"Pass","Fail"))</f>
        <v>Fail</v>
      </c>
      <c r="AD116" s="1" t="str">
        <f>IF(AND(Table1[[#This Row],[Spec Type2]]="N/A",Table1[[#This Row],[DUT Adj Read]]="N/A",Table1[[#This Row],[Std Adj Read]]="N/A"),"N/A",IF(Table1[[#This Row],[DUT Adj Read]]="N/A",IF(Table1[[#This Row],[Std Adj Read]]&gt;Table1[[#This Row],[Low Tol]],"Pass","Fail"),IF(Table1[[#This Row],[DUT Adj Read]]&gt;Table1[[#This Row],[Low Tol]],"Pass","Fail")))</f>
        <v>Pass</v>
      </c>
      <c r="AE116" s="1" t="str">
        <f>IF(AND(Table1[[#This Row],[Spec Type2]]="N/A",Table1[[#This Row],[DUT Adj Read]]="N/A",Table1[[#This Row],[Std Adj Read]]="N/A"),"N/A",IF(Table1[[#This Row],[DUT Adj Read]]="N/A",IF(Table1[[#This Row],[Std Adj Read]]&lt;Table1[[#This Row],[High Tol]],"Pass","Fail"),IF(Table1[[#This Row],[DUT Adj Read]]&lt;Table1[[#This Row],[High Tol]],"Pass","Fail")))</f>
        <v>Fail</v>
      </c>
      <c r="AF116" s="1" t="str">
        <f>IF(AND(Table1[[#This Row],[Spec Type2]]="N/A",Table1[[#This Row],[DUT Adj Read]]="N/A",Table1[[#This Row],[Std Adj Read]]="N/A"),"N/A",IF(Table1[[#This Row],[DUT Adj Read]]="N/A",IF(Table1[[#This Row],[Std Adj Read]]&gt;=Table1[[#This Row],[Low Tol]],"Pass","Fail"),IF(Table1[[#This Row],[DUT Adj Read]]&gt;=Table1[[#This Row],[Low Tol]],"Pass","Fail")))</f>
        <v>Pass</v>
      </c>
      <c r="AG116" s="1" t="str">
        <f>IF(AND(Table1[[#This Row],[Spec Type2]]="N/A",Table1[[#This Row],[DUT Adj Read]]="N/A",Table1[[#This Row],[Std Adj Read]]="N/A"),"N/A",IF(Table1[[#This Row],[DUT Adj Read]]="N/A",IF(Table1[[#This Row],[Std Adj Read]]&lt;=Table1[[#This Row],[High Tol]],"Pass","Fail"),IF(Table1[[#This Row],[DUT Adj Read]]&lt;=Table1[[#This Row],[High Tol]],"Pass","Fail")))</f>
        <v>Fail</v>
      </c>
      <c r="AH1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 s="1" t="b">
        <v>0</v>
      </c>
      <c r="AN116" s="1" t="b">
        <v>0</v>
      </c>
      <c r="AO116" s="1" t="b">
        <v>0</v>
      </c>
    </row>
    <row r="117" spans="1:41" x14ac:dyDescent="0.25">
      <c r="A117" s="10"/>
      <c r="B117" s="10"/>
      <c r="C117" s="10"/>
      <c r="D117" s="10"/>
      <c r="E117" s="10"/>
      <c r="F117" s="10"/>
      <c r="G117" s="10"/>
      <c r="H117" s="10"/>
      <c r="I117" s="1" t="str">
        <f t="shared" si="3"/>
        <v/>
      </c>
      <c r="J117" s="1" t="s">
        <v>35</v>
      </c>
      <c r="K117" s="1" t="str">
        <f t="shared" si="4"/>
        <v/>
      </c>
      <c r="L117" s="1" t="str">
        <f t="shared" si="5"/>
        <v/>
      </c>
      <c r="M117" s="1">
        <f>IF(OR(Table1[[#This Row],[Std Nom]]="",Table1[[#This Row],[Std Read]]=""),0,Table1[[#This Row],[Std Nom]]-Table1[[#This Row],[Std Read]])</f>
        <v>0</v>
      </c>
      <c r="N117" s="1">
        <f>IF(Calculations!$F$5="ACCREDITED 17025 WITH UNCERTAINTIES",$N$10,0)</f>
        <v>0</v>
      </c>
      <c r="Q117" s="1">
        <f>Table1[[#This Row],[High Tol]]-Table1[[#This Row],[Low Tol]]</f>
        <v>0</v>
      </c>
      <c r="R117" s="1">
        <f>2*Table1[[#This Row],[Std Error]]</f>
        <v>0</v>
      </c>
      <c r="S117" s="1" t="str">
        <f>IF(Table1[[#This Row],[High Tol]]="","N/A",IFERROR(ABS(Table1[[#This Row],[Tol Span]]/Table1[[#This Row],[Error Span]]),"N/A"))</f>
        <v>N/A</v>
      </c>
      <c r="T117" s="1" t="str">
        <f>IF(OR(Table1[[#This Row],[Low Tol]]="",Table1[[#This Row],[High Tol]]=""),"Needs Analysis",IF(Table1[[#This Row],[Ratio]]&gt;=4,"Not Significant",IF(Table1[[#This Row],[Ratio]]&gt;=2,"Semi-Significant","Significant")))</f>
        <v>Needs Analysis</v>
      </c>
      <c r="W117" s="1">
        <f>IF(Table1[[#This Row],[Cal Type]]&lt;&gt;"ACCREDITED 17025 WITH UNCERTAINTIES",0,"")</f>
        <v>0</v>
      </c>
      <c r="X117" s="1" t="str">
        <f>IF(Table1[[#This Row],[DUT Read]]="","N/A",Table1[[#This Row],[Std Error]]+Table1[[#This Row],[DUT Read]]+Table1[[#This Row],[DUT Ucty]])</f>
        <v>N/A</v>
      </c>
      <c r="Y117" s="1" t="str">
        <f>IF(Table1[[#This Row],[Std Read]]="","N/A",Table1[[#This Row],[Std Read]]+Table1[[#This Row],[Std Ucty]])</f>
        <v>N/A</v>
      </c>
      <c r="Z1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 s="1" t="str">
        <f>IF(Table1[[#This Row],[Spec Type]]="","N/A",Table1[[#This Row],[Spec Type]])</f>
        <v>±</v>
      </c>
      <c r="AC117" s="1" t="str">
        <f>IF(Table1[[#This Row],[Spec Type2]]="N/A","N/A",IF(AND(Table1[[#This Row],[DUT Adj Read]]&gt;=Table1[[#This Row],[Low Tol]],Table1[[#This Row],[DUT Adj Read]]&lt;=Table1[[#This Row],[High Tol]]),"Pass","Fail"))</f>
        <v>Fail</v>
      </c>
      <c r="AD117" s="1" t="str">
        <f>IF(AND(Table1[[#This Row],[Spec Type2]]="N/A",Table1[[#This Row],[DUT Adj Read]]="N/A",Table1[[#This Row],[Std Adj Read]]="N/A"),"N/A",IF(Table1[[#This Row],[DUT Adj Read]]="N/A",IF(Table1[[#This Row],[Std Adj Read]]&gt;Table1[[#This Row],[Low Tol]],"Pass","Fail"),IF(Table1[[#This Row],[DUT Adj Read]]&gt;Table1[[#This Row],[Low Tol]],"Pass","Fail")))</f>
        <v>Pass</v>
      </c>
      <c r="AE117" s="1" t="str">
        <f>IF(AND(Table1[[#This Row],[Spec Type2]]="N/A",Table1[[#This Row],[DUT Adj Read]]="N/A",Table1[[#This Row],[Std Adj Read]]="N/A"),"N/A",IF(Table1[[#This Row],[DUT Adj Read]]="N/A",IF(Table1[[#This Row],[Std Adj Read]]&lt;Table1[[#This Row],[High Tol]],"Pass","Fail"),IF(Table1[[#This Row],[DUT Adj Read]]&lt;Table1[[#This Row],[High Tol]],"Pass","Fail")))</f>
        <v>Fail</v>
      </c>
      <c r="AF117" s="1" t="str">
        <f>IF(AND(Table1[[#This Row],[Spec Type2]]="N/A",Table1[[#This Row],[DUT Adj Read]]="N/A",Table1[[#This Row],[Std Adj Read]]="N/A"),"N/A",IF(Table1[[#This Row],[DUT Adj Read]]="N/A",IF(Table1[[#This Row],[Std Adj Read]]&gt;=Table1[[#This Row],[Low Tol]],"Pass","Fail"),IF(Table1[[#This Row],[DUT Adj Read]]&gt;=Table1[[#This Row],[Low Tol]],"Pass","Fail")))</f>
        <v>Pass</v>
      </c>
      <c r="AG117" s="1" t="str">
        <f>IF(AND(Table1[[#This Row],[Spec Type2]]="N/A",Table1[[#This Row],[DUT Adj Read]]="N/A",Table1[[#This Row],[Std Adj Read]]="N/A"),"N/A",IF(Table1[[#This Row],[DUT Adj Read]]="N/A",IF(Table1[[#This Row],[Std Adj Read]]&lt;=Table1[[#This Row],[High Tol]],"Pass","Fail"),IF(Table1[[#This Row],[DUT Adj Read]]&lt;=Table1[[#This Row],[High Tol]],"Pass","Fail")))</f>
        <v>Fail</v>
      </c>
      <c r="AH1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 s="1" t="b">
        <v>0</v>
      </c>
      <c r="AN117" s="1" t="b">
        <v>0</v>
      </c>
      <c r="AO117" s="1" t="b">
        <v>0</v>
      </c>
    </row>
    <row r="118" spans="1:41" x14ac:dyDescent="0.25">
      <c r="A118" s="10"/>
      <c r="B118" s="10"/>
      <c r="C118" s="10"/>
      <c r="D118" s="10"/>
      <c r="E118" s="10"/>
      <c r="F118" s="10"/>
      <c r="G118" s="10"/>
      <c r="H118" s="10"/>
      <c r="I118" s="1" t="str">
        <f t="shared" si="3"/>
        <v/>
      </c>
      <c r="J118" s="1" t="s">
        <v>35</v>
      </c>
      <c r="K118" s="1" t="str">
        <f t="shared" si="4"/>
        <v/>
      </c>
      <c r="L118" s="1" t="str">
        <f t="shared" si="5"/>
        <v/>
      </c>
      <c r="M118" s="1">
        <f>IF(OR(Table1[[#This Row],[Std Nom]]="",Table1[[#This Row],[Std Read]]=""),0,Table1[[#This Row],[Std Nom]]-Table1[[#This Row],[Std Read]])</f>
        <v>0</v>
      </c>
      <c r="N118" s="1">
        <f>IF(Calculations!$F$5="ACCREDITED 17025 WITH UNCERTAINTIES",$N$10,0)</f>
        <v>0</v>
      </c>
      <c r="Q118" s="1">
        <f>Table1[[#This Row],[High Tol]]-Table1[[#This Row],[Low Tol]]</f>
        <v>0</v>
      </c>
      <c r="R118" s="1">
        <f>2*Table1[[#This Row],[Std Error]]</f>
        <v>0</v>
      </c>
      <c r="S118" s="1" t="str">
        <f>IF(Table1[[#This Row],[High Tol]]="","N/A",IFERROR(ABS(Table1[[#This Row],[Tol Span]]/Table1[[#This Row],[Error Span]]),"N/A"))</f>
        <v>N/A</v>
      </c>
      <c r="T118" s="1" t="str">
        <f>IF(OR(Table1[[#This Row],[Low Tol]]="",Table1[[#This Row],[High Tol]]=""),"Needs Analysis",IF(Table1[[#This Row],[Ratio]]&gt;=4,"Not Significant",IF(Table1[[#This Row],[Ratio]]&gt;=2,"Semi-Significant","Significant")))</f>
        <v>Needs Analysis</v>
      </c>
      <c r="W118" s="1">
        <f>IF(Table1[[#This Row],[Cal Type]]&lt;&gt;"ACCREDITED 17025 WITH UNCERTAINTIES",0,"")</f>
        <v>0</v>
      </c>
      <c r="X118" s="1" t="str">
        <f>IF(Table1[[#This Row],[DUT Read]]="","N/A",Table1[[#This Row],[Std Error]]+Table1[[#This Row],[DUT Read]]+Table1[[#This Row],[DUT Ucty]])</f>
        <v>N/A</v>
      </c>
      <c r="Y118" s="1" t="str">
        <f>IF(Table1[[#This Row],[Std Read]]="","N/A",Table1[[#This Row],[Std Read]]+Table1[[#This Row],[Std Ucty]])</f>
        <v>N/A</v>
      </c>
      <c r="Z1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 s="1" t="str">
        <f>IF(Table1[[#This Row],[Spec Type]]="","N/A",Table1[[#This Row],[Spec Type]])</f>
        <v>±</v>
      </c>
      <c r="AC118" s="1" t="str">
        <f>IF(Table1[[#This Row],[Spec Type2]]="N/A","N/A",IF(AND(Table1[[#This Row],[DUT Adj Read]]&gt;=Table1[[#This Row],[Low Tol]],Table1[[#This Row],[DUT Adj Read]]&lt;=Table1[[#This Row],[High Tol]]),"Pass","Fail"))</f>
        <v>Fail</v>
      </c>
      <c r="AD118" s="1" t="str">
        <f>IF(AND(Table1[[#This Row],[Spec Type2]]="N/A",Table1[[#This Row],[DUT Adj Read]]="N/A",Table1[[#This Row],[Std Adj Read]]="N/A"),"N/A",IF(Table1[[#This Row],[DUT Adj Read]]="N/A",IF(Table1[[#This Row],[Std Adj Read]]&gt;Table1[[#This Row],[Low Tol]],"Pass","Fail"),IF(Table1[[#This Row],[DUT Adj Read]]&gt;Table1[[#This Row],[Low Tol]],"Pass","Fail")))</f>
        <v>Pass</v>
      </c>
      <c r="AE118" s="1" t="str">
        <f>IF(AND(Table1[[#This Row],[Spec Type2]]="N/A",Table1[[#This Row],[DUT Adj Read]]="N/A",Table1[[#This Row],[Std Adj Read]]="N/A"),"N/A",IF(Table1[[#This Row],[DUT Adj Read]]="N/A",IF(Table1[[#This Row],[Std Adj Read]]&lt;Table1[[#This Row],[High Tol]],"Pass","Fail"),IF(Table1[[#This Row],[DUT Adj Read]]&lt;Table1[[#This Row],[High Tol]],"Pass","Fail")))</f>
        <v>Fail</v>
      </c>
      <c r="AF118" s="1" t="str">
        <f>IF(AND(Table1[[#This Row],[Spec Type2]]="N/A",Table1[[#This Row],[DUT Adj Read]]="N/A",Table1[[#This Row],[Std Adj Read]]="N/A"),"N/A",IF(Table1[[#This Row],[DUT Adj Read]]="N/A",IF(Table1[[#This Row],[Std Adj Read]]&gt;=Table1[[#This Row],[Low Tol]],"Pass","Fail"),IF(Table1[[#This Row],[DUT Adj Read]]&gt;=Table1[[#This Row],[Low Tol]],"Pass","Fail")))</f>
        <v>Pass</v>
      </c>
      <c r="AG118" s="1" t="str">
        <f>IF(AND(Table1[[#This Row],[Spec Type2]]="N/A",Table1[[#This Row],[DUT Adj Read]]="N/A",Table1[[#This Row],[Std Adj Read]]="N/A"),"N/A",IF(Table1[[#This Row],[DUT Adj Read]]="N/A",IF(Table1[[#This Row],[Std Adj Read]]&lt;=Table1[[#This Row],[High Tol]],"Pass","Fail"),IF(Table1[[#This Row],[DUT Adj Read]]&lt;=Table1[[#This Row],[High Tol]],"Pass","Fail")))</f>
        <v>Fail</v>
      </c>
      <c r="AH1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 s="1" t="b">
        <v>0</v>
      </c>
      <c r="AN118" s="1" t="b">
        <v>0</v>
      </c>
      <c r="AO118" s="1" t="b">
        <v>0</v>
      </c>
    </row>
    <row r="119" spans="1:41" x14ac:dyDescent="0.25">
      <c r="A119" s="10"/>
      <c r="B119" s="10"/>
      <c r="C119" s="10"/>
      <c r="D119" s="10"/>
      <c r="E119" s="10"/>
      <c r="F119" s="10"/>
      <c r="G119" s="10"/>
      <c r="H119" s="10"/>
      <c r="I119" s="1" t="str">
        <f t="shared" si="3"/>
        <v/>
      </c>
      <c r="J119" s="1" t="s">
        <v>35</v>
      </c>
      <c r="K119" s="1" t="str">
        <f t="shared" si="4"/>
        <v/>
      </c>
      <c r="L119" s="1" t="str">
        <f t="shared" si="5"/>
        <v/>
      </c>
      <c r="M119" s="1">
        <f>IF(OR(Table1[[#This Row],[Std Nom]]="",Table1[[#This Row],[Std Read]]=""),0,Table1[[#This Row],[Std Nom]]-Table1[[#This Row],[Std Read]])</f>
        <v>0</v>
      </c>
      <c r="N119" s="1">
        <f>IF(Calculations!$F$5="ACCREDITED 17025 WITH UNCERTAINTIES",$N$10,0)</f>
        <v>0</v>
      </c>
      <c r="Q119" s="1">
        <f>Table1[[#This Row],[High Tol]]-Table1[[#This Row],[Low Tol]]</f>
        <v>0</v>
      </c>
      <c r="R119" s="1">
        <f>2*Table1[[#This Row],[Std Error]]</f>
        <v>0</v>
      </c>
      <c r="S119" s="1" t="str">
        <f>IF(Table1[[#This Row],[High Tol]]="","N/A",IFERROR(ABS(Table1[[#This Row],[Tol Span]]/Table1[[#This Row],[Error Span]]),"N/A"))</f>
        <v>N/A</v>
      </c>
      <c r="T119" s="1" t="str">
        <f>IF(OR(Table1[[#This Row],[Low Tol]]="",Table1[[#This Row],[High Tol]]=""),"Needs Analysis",IF(Table1[[#This Row],[Ratio]]&gt;=4,"Not Significant",IF(Table1[[#This Row],[Ratio]]&gt;=2,"Semi-Significant","Significant")))</f>
        <v>Needs Analysis</v>
      </c>
      <c r="W119" s="1">
        <f>IF(Table1[[#This Row],[Cal Type]]&lt;&gt;"ACCREDITED 17025 WITH UNCERTAINTIES",0,"")</f>
        <v>0</v>
      </c>
      <c r="X119" s="1" t="str">
        <f>IF(Table1[[#This Row],[DUT Read]]="","N/A",Table1[[#This Row],[Std Error]]+Table1[[#This Row],[DUT Read]]+Table1[[#This Row],[DUT Ucty]])</f>
        <v>N/A</v>
      </c>
      <c r="Y119" s="1" t="str">
        <f>IF(Table1[[#This Row],[Std Read]]="","N/A",Table1[[#This Row],[Std Read]]+Table1[[#This Row],[Std Ucty]])</f>
        <v>N/A</v>
      </c>
      <c r="Z1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 s="1" t="str">
        <f>IF(Table1[[#This Row],[Spec Type]]="","N/A",Table1[[#This Row],[Spec Type]])</f>
        <v>±</v>
      </c>
      <c r="AC119" s="1" t="str">
        <f>IF(Table1[[#This Row],[Spec Type2]]="N/A","N/A",IF(AND(Table1[[#This Row],[DUT Adj Read]]&gt;=Table1[[#This Row],[Low Tol]],Table1[[#This Row],[DUT Adj Read]]&lt;=Table1[[#This Row],[High Tol]]),"Pass","Fail"))</f>
        <v>Fail</v>
      </c>
      <c r="AD119" s="1" t="str">
        <f>IF(AND(Table1[[#This Row],[Spec Type2]]="N/A",Table1[[#This Row],[DUT Adj Read]]="N/A",Table1[[#This Row],[Std Adj Read]]="N/A"),"N/A",IF(Table1[[#This Row],[DUT Adj Read]]="N/A",IF(Table1[[#This Row],[Std Adj Read]]&gt;Table1[[#This Row],[Low Tol]],"Pass","Fail"),IF(Table1[[#This Row],[DUT Adj Read]]&gt;Table1[[#This Row],[Low Tol]],"Pass","Fail")))</f>
        <v>Pass</v>
      </c>
      <c r="AE119" s="1" t="str">
        <f>IF(AND(Table1[[#This Row],[Spec Type2]]="N/A",Table1[[#This Row],[DUT Adj Read]]="N/A",Table1[[#This Row],[Std Adj Read]]="N/A"),"N/A",IF(Table1[[#This Row],[DUT Adj Read]]="N/A",IF(Table1[[#This Row],[Std Adj Read]]&lt;Table1[[#This Row],[High Tol]],"Pass","Fail"),IF(Table1[[#This Row],[DUT Adj Read]]&lt;Table1[[#This Row],[High Tol]],"Pass","Fail")))</f>
        <v>Fail</v>
      </c>
      <c r="AF119" s="1" t="str">
        <f>IF(AND(Table1[[#This Row],[Spec Type2]]="N/A",Table1[[#This Row],[DUT Adj Read]]="N/A",Table1[[#This Row],[Std Adj Read]]="N/A"),"N/A",IF(Table1[[#This Row],[DUT Adj Read]]="N/A",IF(Table1[[#This Row],[Std Adj Read]]&gt;=Table1[[#This Row],[Low Tol]],"Pass","Fail"),IF(Table1[[#This Row],[DUT Adj Read]]&gt;=Table1[[#This Row],[Low Tol]],"Pass","Fail")))</f>
        <v>Pass</v>
      </c>
      <c r="AG119" s="1" t="str">
        <f>IF(AND(Table1[[#This Row],[Spec Type2]]="N/A",Table1[[#This Row],[DUT Adj Read]]="N/A",Table1[[#This Row],[Std Adj Read]]="N/A"),"N/A",IF(Table1[[#This Row],[DUT Adj Read]]="N/A",IF(Table1[[#This Row],[Std Adj Read]]&lt;=Table1[[#This Row],[High Tol]],"Pass","Fail"),IF(Table1[[#This Row],[DUT Adj Read]]&lt;=Table1[[#This Row],[High Tol]],"Pass","Fail")))</f>
        <v>Fail</v>
      </c>
      <c r="AH1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 s="1" t="b">
        <v>0</v>
      </c>
      <c r="AN119" s="1" t="b">
        <v>0</v>
      </c>
      <c r="AO119" s="1" t="b">
        <v>0</v>
      </c>
    </row>
    <row r="120" spans="1:41" x14ac:dyDescent="0.25">
      <c r="A120" s="10"/>
      <c r="B120" s="10"/>
      <c r="C120" s="10"/>
      <c r="D120" s="10"/>
      <c r="E120" s="10"/>
      <c r="F120" s="10"/>
      <c r="G120" s="10"/>
      <c r="H120" s="10"/>
      <c r="I120" s="1" t="str">
        <f t="shared" si="3"/>
        <v/>
      </c>
      <c r="J120" s="1" t="s">
        <v>35</v>
      </c>
      <c r="K120" s="1" t="str">
        <f t="shared" si="4"/>
        <v/>
      </c>
      <c r="L120" s="1" t="str">
        <f t="shared" si="5"/>
        <v/>
      </c>
      <c r="M120" s="1">
        <f>IF(OR(Table1[[#This Row],[Std Nom]]="",Table1[[#This Row],[Std Read]]=""),0,Table1[[#This Row],[Std Nom]]-Table1[[#This Row],[Std Read]])</f>
        <v>0</v>
      </c>
      <c r="N120" s="1">
        <f>IF(Calculations!$F$5="ACCREDITED 17025 WITH UNCERTAINTIES",$N$10,0)</f>
        <v>0</v>
      </c>
      <c r="Q120" s="1">
        <f>Table1[[#This Row],[High Tol]]-Table1[[#This Row],[Low Tol]]</f>
        <v>0</v>
      </c>
      <c r="R120" s="1">
        <f>2*Table1[[#This Row],[Std Error]]</f>
        <v>0</v>
      </c>
      <c r="S120" s="1" t="str">
        <f>IF(Table1[[#This Row],[High Tol]]="","N/A",IFERROR(ABS(Table1[[#This Row],[Tol Span]]/Table1[[#This Row],[Error Span]]),"N/A"))</f>
        <v>N/A</v>
      </c>
      <c r="T120" s="1" t="str">
        <f>IF(OR(Table1[[#This Row],[Low Tol]]="",Table1[[#This Row],[High Tol]]=""),"Needs Analysis",IF(Table1[[#This Row],[Ratio]]&gt;=4,"Not Significant",IF(Table1[[#This Row],[Ratio]]&gt;=2,"Semi-Significant","Significant")))</f>
        <v>Needs Analysis</v>
      </c>
      <c r="W120" s="1">
        <f>IF(Table1[[#This Row],[Cal Type]]&lt;&gt;"ACCREDITED 17025 WITH UNCERTAINTIES",0,"")</f>
        <v>0</v>
      </c>
      <c r="X120" s="1" t="str">
        <f>IF(Table1[[#This Row],[DUT Read]]="","N/A",Table1[[#This Row],[Std Error]]+Table1[[#This Row],[DUT Read]]+Table1[[#This Row],[DUT Ucty]])</f>
        <v>N/A</v>
      </c>
      <c r="Y120" s="1" t="str">
        <f>IF(Table1[[#This Row],[Std Read]]="","N/A",Table1[[#This Row],[Std Read]]+Table1[[#This Row],[Std Ucty]])</f>
        <v>N/A</v>
      </c>
      <c r="Z1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 s="1" t="str">
        <f>IF(Table1[[#This Row],[Spec Type]]="","N/A",Table1[[#This Row],[Spec Type]])</f>
        <v>±</v>
      </c>
      <c r="AC120" s="1" t="str">
        <f>IF(Table1[[#This Row],[Spec Type2]]="N/A","N/A",IF(AND(Table1[[#This Row],[DUT Adj Read]]&gt;=Table1[[#This Row],[Low Tol]],Table1[[#This Row],[DUT Adj Read]]&lt;=Table1[[#This Row],[High Tol]]),"Pass","Fail"))</f>
        <v>Fail</v>
      </c>
      <c r="AD120" s="1" t="str">
        <f>IF(AND(Table1[[#This Row],[Spec Type2]]="N/A",Table1[[#This Row],[DUT Adj Read]]="N/A",Table1[[#This Row],[Std Adj Read]]="N/A"),"N/A",IF(Table1[[#This Row],[DUT Adj Read]]="N/A",IF(Table1[[#This Row],[Std Adj Read]]&gt;Table1[[#This Row],[Low Tol]],"Pass","Fail"),IF(Table1[[#This Row],[DUT Adj Read]]&gt;Table1[[#This Row],[Low Tol]],"Pass","Fail")))</f>
        <v>Pass</v>
      </c>
      <c r="AE120" s="1" t="str">
        <f>IF(AND(Table1[[#This Row],[Spec Type2]]="N/A",Table1[[#This Row],[DUT Adj Read]]="N/A",Table1[[#This Row],[Std Adj Read]]="N/A"),"N/A",IF(Table1[[#This Row],[DUT Adj Read]]="N/A",IF(Table1[[#This Row],[Std Adj Read]]&lt;Table1[[#This Row],[High Tol]],"Pass","Fail"),IF(Table1[[#This Row],[DUT Adj Read]]&lt;Table1[[#This Row],[High Tol]],"Pass","Fail")))</f>
        <v>Fail</v>
      </c>
      <c r="AF120" s="1" t="str">
        <f>IF(AND(Table1[[#This Row],[Spec Type2]]="N/A",Table1[[#This Row],[DUT Adj Read]]="N/A",Table1[[#This Row],[Std Adj Read]]="N/A"),"N/A",IF(Table1[[#This Row],[DUT Adj Read]]="N/A",IF(Table1[[#This Row],[Std Adj Read]]&gt;=Table1[[#This Row],[Low Tol]],"Pass","Fail"),IF(Table1[[#This Row],[DUT Adj Read]]&gt;=Table1[[#This Row],[Low Tol]],"Pass","Fail")))</f>
        <v>Pass</v>
      </c>
      <c r="AG120" s="1" t="str">
        <f>IF(AND(Table1[[#This Row],[Spec Type2]]="N/A",Table1[[#This Row],[DUT Adj Read]]="N/A",Table1[[#This Row],[Std Adj Read]]="N/A"),"N/A",IF(Table1[[#This Row],[DUT Adj Read]]="N/A",IF(Table1[[#This Row],[Std Adj Read]]&lt;=Table1[[#This Row],[High Tol]],"Pass","Fail"),IF(Table1[[#This Row],[DUT Adj Read]]&lt;=Table1[[#This Row],[High Tol]],"Pass","Fail")))</f>
        <v>Fail</v>
      </c>
      <c r="AH1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 s="1" t="b">
        <v>0</v>
      </c>
      <c r="AN120" s="1" t="b">
        <v>0</v>
      </c>
      <c r="AO120" s="1" t="b">
        <v>0</v>
      </c>
    </row>
    <row r="121" spans="1:41" x14ac:dyDescent="0.25">
      <c r="A121" s="10"/>
      <c r="B121" s="10"/>
      <c r="C121" s="10"/>
      <c r="D121" s="10"/>
      <c r="E121" s="10"/>
      <c r="F121" s="10"/>
      <c r="G121" s="10"/>
      <c r="H121" s="10"/>
      <c r="I121" s="1" t="str">
        <f t="shared" si="3"/>
        <v/>
      </c>
      <c r="J121" s="1" t="s">
        <v>35</v>
      </c>
      <c r="K121" s="1" t="str">
        <f t="shared" si="4"/>
        <v/>
      </c>
      <c r="L121" s="1" t="str">
        <f t="shared" si="5"/>
        <v/>
      </c>
      <c r="M121" s="1">
        <f>IF(OR(Table1[[#This Row],[Std Nom]]="",Table1[[#This Row],[Std Read]]=""),0,Table1[[#This Row],[Std Nom]]-Table1[[#This Row],[Std Read]])</f>
        <v>0</v>
      </c>
      <c r="N121" s="1">
        <f>IF(Calculations!$F$5="ACCREDITED 17025 WITH UNCERTAINTIES",$N$10,0)</f>
        <v>0</v>
      </c>
      <c r="Q121" s="1">
        <f>Table1[[#This Row],[High Tol]]-Table1[[#This Row],[Low Tol]]</f>
        <v>0</v>
      </c>
      <c r="R121" s="1">
        <f>2*Table1[[#This Row],[Std Error]]</f>
        <v>0</v>
      </c>
      <c r="S121" s="1" t="str">
        <f>IF(Table1[[#This Row],[High Tol]]="","N/A",IFERROR(ABS(Table1[[#This Row],[Tol Span]]/Table1[[#This Row],[Error Span]]),"N/A"))</f>
        <v>N/A</v>
      </c>
      <c r="T121" s="1" t="str">
        <f>IF(OR(Table1[[#This Row],[Low Tol]]="",Table1[[#This Row],[High Tol]]=""),"Needs Analysis",IF(Table1[[#This Row],[Ratio]]&gt;=4,"Not Significant",IF(Table1[[#This Row],[Ratio]]&gt;=2,"Semi-Significant","Significant")))</f>
        <v>Needs Analysis</v>
      </c>
      <c r="W121" s="1">
        <f>IF(Table1[[#This Row],[Cal Type]]&lt;&gt;"ACCREDITED 17025 WITH UNCERTAINTIES",0,"")</f>
        <v>0</v>
      </c>
      <c r="X121" s="1" t="str">
        <f>IF(Table1[[#This Row],[DUT Read]]="","N/A",Table1[[#This Row],[Std Error]]+Table1[[#This Row],[DUT Read]]+Table1[[#This Row],[DUT Ucty]])</f>
        <v>N/A</v>
      </c>
      <c r="Y121" s="1" t="str">
        <f>IF(Table1[[#This Row],[Std Read]]="","N/A",Table1[[#This Row],[Std Read]]+Table1[[#This Row],[Std Ucty]])</f>
        <v>N/A</v>
      </c>
      <c r="Z1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 s="1" t="str">
        <f>IF(Table1[[#This Row],[Spec Type]]="","N/A",Table1[[#This Row],[Spec Type]])</f>
        <v>±</v>
      </c>
      <c r="AC121" s="1" t="str">
        <f>IF(Table1[[#This Row],[Spec Type2]]="N/A","N/A",IF(AND(Table1[[#This Row],[DUT Adj Read]]&gt;=Table1[[#This Row],[Low Tol]],Table1[[#This Row],[DUT Adj Read]]&lt;=Table1[[#This Row],[High Tol]]),"Pass","Fail"))</f>
        <v>Fail</v>
      </c>
      <c r="AD121" s="1" t="str">
        <f>IF(AND(Table1[[#This Row],[Spec Type2]]="N/A",Table1[[#This Row],[DUT Adj Read]]="N/A",Table1[[#This Row],[Std Adj Read]]="N/A"),"N/A",IF(Table1[[#This Row],[DUT Adj Read]]="N/A",IF(Table1[[#This Row],[Std Adj Read]]&gt;Table1[[#This Row],[Low Tol]],"Pass","Fail"),IF(Table1[[#This Row],[DUT Adj Read]]&gt;Table1[[#This Row],[Low Tol]],"Pass","Fail")))</f>
        <v>Pass</v>
      </c>
      <c r="AE121" s="1" t="str">
        <f>IF(AND(Table1[[#This Row],[Spec Type2]]="N/A",Table1[[#This Row],[DUT Adj Read]]="N/A",Table1[[#This Row],[Std Adj Read]]="N/A"),"N/A",IF(Table1[[#This Row],[DUT Adj Read]]="N/A",IF(Table1[[#This Row],[Std Adj Read]]&lt;Table1[[#This Row],[High Tol]],"Pass","Fail"),IF(Table1[[#This Row],[DUT Adj Read]]&lt;Table1[[#This Row],[High Tol]],"Pass","Fail")))</f>
        <v>Fail</v>
      </c>
      <c r="AF121" s="1" t="str">
        <f>IF(AND(Table1[[#This Row],[Spec Type2]]="N/A",Table1[[#This Row],[DUT Adj Read]]="N/A",Table1[[#This Row],[Std Adj Read]]="N/A"),"N/A",IF(Table1[[#This Row],[DUT Adj Read]]="N/A",IF(Table1[[#This Row],[Std Adj Read]]&gt;=Table1[[#This Row],[Low Tol]],"Pass","Fail"),IF(Table1[[#This Row],[DUT Adj Read]]&gt;=Table1[[#This Row],[Low Tol]],"Pass","Fail")))</f>
        <v>Pass</v>
      </c>
      <c r="AG121" s="1" t="str">
        <f>IF(AND(Table1[[#This Row],[Spec Type2]]="N/A",Table1[[#This Row],[DUT Adj Read]]="N/A",Table1[[#This Row],[Std Adj Read]]="N/A"),"N/A",IF(Table1[[#This Row],[DUT Adj Read]]="N/A",IF(Table1[[#This Row],[Std Adj Read]]&lt;=Table1[[#This Row],[High Tol]],"Pass","Fail"),IF(Table1[[#This Row],[DUT Adj Read]]&lt;=Table1[[#This Row],[High Tol]],"Pass","Fail")))</f>
        <v>Fail</v>
      </c>
      <c r="AH1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 s="1" t="b">
        <v>0</v>
      </c>
      <c r="AN121" s="1" t="b">
        <v>0</v>
      </c>
      <c r="AO121" s="1" t="b">
        <v>0</v>
      </c>
    </row>
    <row r="122" spans="1:41" x14ac:dyDescent="0.25">
      <c r="A122" s="10"/>
      <c r="B122" s="10"/>
      <c r="C122" s="10"/>
      <c r="D122" s="10"/>
      <c r="E122" s="10"/>
      <c r="F122" s="10"/>
      <c r="G122" s="10"/>
      <c r="H122" s="10"/>
      <c r="I122" s="1" t="str">
        <f t="shared" si="3"/>
        <v/>
      </c>
      <c r="J122" s="1" t="s">
        <v>35</v>
      </c>
      <c r="K122" s="1" t="str">
        <f t="shared" si="4"/>
        <v/>
      </c>
      <c r="L122" s="1" t="str">
        <f t="shared" si="5"/>
        <v/>
      </c>
      <c r="M122" s="1">
        <f>IF(OR(Table1[[#This Row],[Std Nom]]="",Table1[[#This Row],[Std Read]]=""),0,Table1[[#This Row],[Std Nom]]-Table1[[#This Row],[Std Read]])</f>
        <v>0</v>
      </c>
      <c r="N122" s="1">
        <f>IF(Calculations!$F$5="ACCREDITED 17025 WITH UNCERTAINTIES",$N$10,0)</f>
        <v>0</v>
      </c>
      <c r="Q122" s="1">
        <f>Table1[[#This Row],[High Tol]]-Table1[[#This Row],[Low Tol]]</f>
        <v>0</v>
      </c>
      <c r="R122" s="1">
        <f>2*Table1[[#This Row],[Std Error]]</f>
        <v>0</v>
      </c>
      <c r="S122" s="1" t="str">
        <f>IF(Table1[[#This Row],[High Tol]]="","N/A",IFERROR(ABS(Table1[[#This Row],[Tol Span]]/Table1[[#This Row],[Error Span]]),"N/A"))</f>
        <v>N/A</v>
      </c>
      <c r="T122" s="1" t="str">
        <f>IF(OR(Table1[[#This Row],[Low Tol]]="",Table1[[#This Row],[High Tol]]=""),"Needs Analysis",IF(Table1[[#This Row],[Ratio]]&gt;=4,"Not Significant",IF(Table1[[#This Row],[Ratio]]&gt;=2,"Semi-Significant","Significant")))</f>
        <v>Needs Analysis</v>
      </c>
      <c r="W122" s="1">
        <f>IF(Table1[[#This Row],[Cal Type]]&lt;&gt;"ACCREDITED 17025 WITH UNCERTAINTIES",0,"")</f>
        <v>0</v>
      </c>
      <c r="X122" s="1" t="str">
        <f>IF(Table1[[#This Row],[DUT Read]]="","N/A",Table1[[#This Row],[Std Error]]+Table1[[#This Row],[DUT Read]]+Table1[[#This Row],[DUT Ucty]])</f>
        <v>N/A</v>
      </c>
      <c r="Y122" s="1" t="str">
        <f>IF(Table1[[#This Row],[Std Read]]="","N/A",Table1[[#This Row],[Std Read]]+Table1[[#This Row],[Std Ucty]])</f>
        <v>N/A</v>
      </c>
      <c r="Z1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 s="1" t="str">
        <f>IF(Table1[[#This Row],[Spec Type]]="","N/A",Table1[[#This Row],[Spec Type]])</f>
        <v>±</v>
      </c>
      <c r="AC122" s="1" t="str">
        <f>IF(Table1[[#This Row],[Spec Type2]]="N/A","N/A",IF(AND(Table1[[#This Row],[DUT Adj Read]]&gt;=Table1[[#This Row],[Low Tol]],Table1[[#This Row],[DUT Adj Read]]&lt;=Table1[[#This Row],[High Tol]]),"Pass","Fail"))</f>
        <v>Fail</v>
      </c>
      <c r="AD122" s="1" t="str">
        <f>IF(AND(Table1[[#This Row],[Spec Type2]]="N/A",Table1[[#This Row],[DUT Adj Read]]="N/A",Table1[[#This Row],[Std Adj Read]]="N/A"),"N/A",IF(Table1[[#This Row],[DUT Adj Read]]="N/A",IF(Table1[[#This Row],[Std Adj Read]]&gt;Table1[[#This Row],[Low Tol]],"Pass","Fail"),IF(Table1[[#This Row],[DUT Adj Read]]&gt;Table1[[#This Row],[Low Tol]],"Pass","Fail")))</f>
        <v>Pass</v>
      </c>
      <c r="AE122" s="1" t="str">
        <f>IF(AND(Table1[[#This Row],[Spec Type2]]="N/A",Table1[[#This Row],[DUT Adj Read]]="N/A",Table1[[#This Row],[Std Adj Read]]="N/A"),"N/A",IF(Table1[[#This Row],[DUT Adj Read]]="N/A",IF(Table1[[#This Row],[Std Adj Read]]&lt;Table1[[#This Row],[High Tol]],"Pass","Fail"),IF(Table1[[#This Row],[DUT Adj Read]]&lt;Table1[[#This Row],[High Tol]],"Pass","Fail")))</f>
        <v>Fail</v>
      </c>
      <c r="AF122" s="1" t="str">
        <f>IF(AND(Table1[[#This Row],[Spec Type2]]="N/A",Table1[[#This Row],[DUT Adj Read]]="N/A",Table1[[#This Row],[Std Adj Read]]="N/A"),"N/A",IF(Table1[[#This Row],[DUT Adj Read]]="N/A",IF(Table1[[#This Row],[Std Adj Read]]&gt;=Table1[[#This Row],[Low Tol]],"Pass","Fail"),IF(Table1[[#This Row],[DUT Adj Read]]&gt;=Table1[[#This Row],[Low Tol]],"Pass","Fail")))</f>
        <v>Pass</v>
      </c>
      <c r="AG122" s="1" t="str">
        <f>IF(AND(Table1[[#This Row],[Spec Type2]]="N/A",Table1[[#This Row],[DUT Adj Read]]="N/A",Table1[[#This Row],[Std Adj Read]]="N/A"),"N/A",IF(Table1[[#This Row],[DUT Adj Read]]="N/A",IF(Table1[[#This Row],[Std Adj Read]]&lt;=Table1[[#This Row],[High Tol]],"Pass","Fail"),IF(Table1[[#This Row],[DUT Adj Read]]&lt;=Table1[[#This Row],[High Tol]],"Pass","Fail")))</f>
        <v>Fail</v>
      </c>
      <c r="AH1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 s="1" t="b">
        <v>0</v>
      </c>
      <c r="AN122" s="1" t="b">
        <v>0</v>
      </c>
      <c r="AO122" s="1" t="b">
        <v>0</v>
      </c>
    </row>
    <row r="123" spans="1:41" x14ac:dyDescent="0.25">
      <c r="A123" s="10"/>
      <c r="B123" s="10"/>
      <c r="C123" s="10"/>
      <c r="D123" s="10"/>
      <c r="E123" s="10"/>
      <c r="F123" s="10"/>
      <c r="G123" s="10"/>
      <c r="H123" s="10"/>
      <c r="I123" s="1" t="str">
        <f t="shared" si="3"/>
        <v/>
      </c>
      <c r="J123" s="1" t="s">
        <v>35</v>
      </c>
      <c r="K123" s="1" t="str">
        <f t="shared" si="4"/>
        <v/>
      </c>
      <c r="L123" s="1" t="str">
        <f t="shared" si="5"/>
        <v/>
      </c>
      <c r="M123" s="1">
        <f>IF(OR(Table1[[#This Row],[Std Nom]]="",Table1[[#This Row],[Std Read]]=""),0,Table1[[#This Row],[Std Nom]]-Table1[[#This Row],[Std Read]])</f>
        <v>0</v>
      </c>
      <c r="N123" s="1">
        <f>IF(Calculations!$F$5="ACCREDITED 17025 WITH UNCERTAINTIES",$N$10,0)</f>
        <v>0</v>
      </c>
      <c r="Q123" s="1">
        <f>Table1[[#This Row],[High Tol]]-Table1[[#This Row],[Low Tol]]</f>
        <v>0</v>
      </c>
      <c r="R123" s="1">
        <f>2*Table1[[#This Row],[Std Error]]</f>
        <v>0</v>
      </c>
      <c r="S123" s="1" t="str">
        <f>IF(Table1[[#This Row],[High Tol]]="","N/A",IFERROR(ABS(Table1[[#This Row],[Tol Span]]/Table1[[#This Row],[Error Span]]),"N/A"))</f>
        <v>N/A</v>
      </c>
      <c r="T123" s="1" t="str">
        <f>IF(OR(Table1[[#This Row],[Low Tol]]="",Table1[[#This Row],[High Tol]]=""),"Needs Analysis",IF(Table1[[#This Row],[Ratio]]&gt;=4,"Not Significant",IF(Table1[[#This Row],[Ratio]]&gt;=2,"Semi-Significant","Significant")))</f>
        <v>Needs Analysis</v>
      </c>
      <c r="W123" s="1">
        <f>IF(Table1[[#This Row],[Cal Type]]&lt;&gt;"ACCREDITED 17025 WITH UNCERTAINTIES",0,"")</f>
        <v>0</v>
      </c>
      <c r="X123" s="1" t="str">
        <f>IF(Table1[[#This Row],[DUT Read]]="","N/A",Table1[[#This Row],[Std Error]]+Table1[[#This Row],[DUT Read]]+Table1[[#This Row],[DUT Ucty]])</f>
        <v>N/A</v>
      </c>
      <c r="Y123" s="1" t="str">
        <f>IF(Table1[[#This Row],[Std Read]]="","N/A",Table1[[#This Row],[Std Read]]+Table1[[#This Row],[Std Ucty]])</f>
        <v>N/A</v>
      </c>
      <c r="Z1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 s="1" t="str">
        <f>IF(Table1[[#This Row],[Spec Type]]="","N/A",Table1[[#This Row],[Spec Type]])</f>
        <v>±</v>
      </c>
      <c r="AC123" s="1" t="str">
        <f>IF(Table1[[#This Row],[Spec Type2]]="N/A","N/A",IF(AND(Table1[[#This Row],[DUT Adj Read]]&gt;=Table1[[#This Row],[Low Tol]],Table1[[#This Row],[DUT Adj Read]]&lt;=Table1[[#This Row],[High Tol]]),"Pass","Fail"))</f>
        <v>Fail</v>
      </c>
      <c r="AD123" s="1" t="str">
        <f>IF(AND(Table1[[#This Row],[Spec Type2]]="N/A",Table1[[#This Row],[DUT Adj Read]]="N/A",Table1[[#This Row],[Std Adj Read]]="N/A"),"N/A",IF(Table1[[#This Row],[DUT Adj Read]]="N/A",IF(Table1[[#This Row],[Std Adj Read]]&gt;Table1[[#This Row],[Low Tol]],"Pass","Fail"),IF(Table1[[#This Row],[DUT Adj Read]]&gt;Table1[[#This Row],[Low Tol]],"Pass","Fail")))</f>
        <v>Pass</v>
      </c>
      <c r="AE123" s="1" t="str">
        <f>IF(AND(Table1[[#This Row],[Spec Type2]]="N/A",Table1[[#This Row],[DUT Adj Read]]="N/A",Table1[[#This Row],[Std Adj Read]]="N/A"),"N/A",IF(Table1[[#This Row],[DUT Adj Read]]="N/A",IF(Table1[[#This Row],[Std Adj Read]]&lt;Table1[[#This Row],[High Tol]],"Pass","Fail"),IF(Table1[[#This Row],[DUT Adj Read]]&lt;Table1[[#This Row],[High Tol]],"Pass","Fail")))</f>
        <v>Fail</v>
      </c>
      <c r="AF123" s="1" t="str">
        <f>IF(AND(Table1[[#This Row],[Spec Type2]]="N/A",Table1[[#This Row],[DUT Adj Read]]="N/A",Table1[[#This Row],[Std Adj Read]]="N/A"),"N/A",IF(Table1[[#This Row],[DUT Adj Read]]="N/A",IF(Table1[[#This Row],[Std Adj Read]]&gt;=Table1[[#This Row],[Low Tol]],"Pass","Fail"),IF(Table1[[#This Row],[DUT Adj Read]]&gt;=Table1[[#This Row],[Low Tol]],"Pass","Fail")))</f>
        <v>Pass</v>
      </c>
      <c r="AG123" s="1" t="str">
        <f>IF(AND(Table1[[#This Row],[Spec Type2]]="N/A",Table1[[#This Row],[DUT Adj Read]]="N/A",Table1[[#This Row],[Std Adj Read]]="N/A"),"N/A",IF(Table1[[#This Row],[DUT Adj Read]]="N/A",IF(Table1[[#This Row],[Std Adj Read]]&lt;=Table1[[#This Row],[High Tol]],"Pass","Fail"),IF(Table1[[#This Row],[DUT Adj Read]]&lt;=Table1[[#This Row],[High Tol]],"Pass","Fail")))</f>
        <v>Fail</v>
      </c>
      <c r="AH1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 s="1" t="b">
        <v>0</v>
      </c>
      <c r="AN123" s="1" t="b">
        <v>0</v>
      </c>
      <c r="AO123" s="1" t="b">
        <v>0</v>
      </c>
    </row>
    <row r="124" spans="1:41" x14ac:dyDescent="0.25">
      <c r="A124" s="10"/>
      <c r="B124" s="10"/>
      <c r="C124" s="10"/>
      <c r="D124" s="10"/>
      <c r="E124" s="10"/>
      <c r="F124" s="10"/>
      <c r="G124" s="10"/>
      <c r="H124" s="10"/>
      <c r="I124" s="1" t="str">
        <f t="shared" si="3"/>
        <v/>
      </c>
      <c r="J124" s="1" t="s">
        <v>35</v>
      </c>
      <c r="K124" s="1" t="str">
        <f t="shared" si="4"/>
        <v/>
      </c>
      <c r="L124" s="1" t="str">
        <f t="shared" si="5"/>
        <v/>
      </c>
      <c r="M124" s="1">
        <f>IF(OR(Table1[[#This Row],[Std Nom]]="",Table1[[#This Row],[Std Read]]=""),0,Table1[[#This Row],[Std Nom]]-Table1[[#This Row],[Std Read]])</f>
        <v>0</v>
      </c>
      <c r="N124" s="1">
        <f>IF(Calculations!$F$5="ACCREDITED 17025 WITH UNCERTAINTIES",$N$10,0)</f>
        <v>0</v>
      </c>
      <c r="Q124" s="1">
        <f>Table1[[#This Row],[High Tol]]-Table1[[#This Row],[Low Tol]]</f>
        <v>0</v>
      </c>
      <c r="R124" s="1">
        <f>2*Table1[[#This Row],[Std Error]]</f>
        <v>0</v>
      </c>
      <c r="S124" s="1" t="str">
        <f>IF(Table1[[#This Row],[High Tol]]="","N/A",IFERROR(ABS(Table1[[#This Row],[Tol Span]]/Table1[[#This Row],[Error Span]]),"N/A"))</f>
        <v>N/A</v>
      </c>
      <c r="T124" s="1" t="str">
        <f>IF(OR(Table1[[#This Row],[Low Tol]]="",Table1[[#This Row],[High Tol]]=""),"Needs Analysis",IF(Table1[[#This Row],[Ratio]]&gt;=4,"Not Significant",IF(Table1[[#This Row],[Ratio]]&gt;=2,"Semi-Significant","Significant")))</f>
        <v>Needs Analysis</v>
      </c>
      <c r="W124" s="1">
        <f>IF(Table1[[#This Row],[Cal Type]]&lt;&gt;"ACCREDITED 17025 WITH UNCERTAINTIES",0,"")</f>
        <v>0</v>
      </c>
      <c r="X124" s="1" t="str">
        <f>IF(Table1[[#This Row],[DUT Read]]="","N/A",Table1[[#This Row],[Std Error]]+Table1[[#This Row],[DUT Read]]+Table1[[#This Row],[DUT Ucty]])</f>
        <v>N/A</v>
      </c>
      <c r="Y124" s="1" t="str">
        <f>IF(Table1[[#This Row],[Std Read]]="","N/A",Table1[[#This Row],[Std Read]]+Table1[[#This Row],[Std Ucty]])</f>
        <v>N/A</v>
      </c>
      <c r="Z1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 s="1" t="str">
        <f>IF(Table1[[#This Row],[Spec Type]]="","N/A",Table1[[#This Row],[Spec Type]])</f>
        <v>±</v>
      </c>
      <c r="AC124" s="1" t="str">
        <f>IF(Table1[[#This Row],[Spec Type2]]="N/A","N/A",IF(AND(Table1[[#This Row],[DUT Adj Read]]&gt;=Table1[[#This Row],[Low Tol]],Table1[[#This Row],[DUT Adj Read]]&lt;=Table1[[#This Row],[High Tol]]),"Pass","Fail"))</f>
        <v>Fail</v>
      </c>
      <c r="AD124" s="1" t="str">
        <f>IF(AND(Table1[[#This Row],[Spec Type2]]="N/A",Table1[[#This Row],[DUT Adj Read]]="N/A",Table1[[#This Row],[Std Adj Read]]="N/A"),"N/A",IF(Table1[[#This Row],[DUT Adj Read]]="N/A",IF(Table1[[#This Row],[Std Adj Read]]&gt;Table1[[#This Row],[Low Tol]],"Pass","Fail"),IF(Table1[[#This Row],[DUT Adj Read]]&gt;Table1[[#This Row],[Low Tol]],"Pass","Fail")))</f>
        <v>Pass</v>
      </c>
      <c r="AE124" s="1" t="str">
        <f>IF(AND(Table1[[#This Row],[Spec Type2]]="N/A",Table1[[#This Row],[DUT Adj Read]]="N/A",Table1[[#This Row],[Std Adj Read]]="N/A"),"N/A",IF(Table1[[#This Row],[DUT Adj Read]]="N/A",IF(Table1[[#This Row],[Std Adj Read]]&lt;Table1[[#This Row],[High Tol]],"Pass","Fail"),IF(Table1[[#This Row],[DUT Adj Read]]&lt;Table1[[#This Row],[High Tol]],"Pass","Fail")))</f>
        <v>Fail</v>
      </c>
      <c r="AF124" s="1" t="str">
        <f>IF(AND(Table1[[#This Row],[Spec Type2]]="N/A",Table1[[#This Row],[DUT Adj Read]]="N/A",Table1[[#This Row],[Std Adj Read]]="N/A"),"N/A",IF(Table1[[#This Row],[DUT Adj Read]]="N/A",IF(Table1[[#This Row],[Std Adj Read]]&gt;=Table1[[#This Row],[Low Tol]],"Pass","Fail"),IF(Table1[[#This Row],[DUT Adj Read]]&gt;=Table1[[#This Row],[Low Tol]],"Pass","Fail")))</f>
        <v>Pass</v>
      </c>
      <c r="AG124" s="1" t="str">
        <f>IF(AND(Table1[[#This Row],[Spec Type2]]="N/A",Table1[[#This Row],[DUT Adj Read]]="N/A",Table1[[#This Row],[Std Adj Read]]="N/A"),"N/A",IF(Table1[[#This Row],[DUT Adj Read]]="N/A",IF(Table1[[#This Row],[Std Adj Read]]&lt;=Table1[[#This Row],[High Tol]],"Pass","Fail"),IF(Table1[[#This Row],[DUT Adj Read]]&lt;=Table1[[#This Row],[High Tol]],"Pass","Fail")))</f>
        <v>Fail</v>
      </c>
      <c r="AH1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 s="1" t="b">
        <v>0</v>
      </c>
      <c r="AN124" s="1" t="b">
        <v>0</v>
      </c>
      <c r="AO124" s="1" t="b">
        <v>0</v>
      </c>
    </row>
    <row r="125" spans="1:41" x14ac:dyDescent="0.25">
      <c r="A125" s="10"/>
      <c r="B125" s="10"/>
      <c r="C125" s="10"/>
      <c r="D125" s="10"/>
      <c r="E125" s="10"/>
      <c r="F125" s="10"/>
      <c r="G125" s="10"/>
      <c r="H125" s="10"/>
      <c r="I125" s="1" t="str">
        <f t="shared" si="3"/>
        <v/>
      </c>
      <c r="J125" s="1" t="s">
        <v>35</v>
      </c>
      <c r="K125" s="1" t="str">
        <f t="shared" si="4"/>
        <v/>
      </c>
      <c r="L125" s="1" t="str">
        <f t="shared" si="5"/>
        <v/>
      </c>
      <c r="M125" s="1">
        <f>IF(OR(Table1[[#This Row],[Std Nom]]="",Table1[[#This Row],[Std Read]]=""),0,Table1[[#This Row],[Std Nom]]-Table1[[#This Row],[Std Read]])</f>
        <v>0</v>
      </c>
      <c r="N125" s="1">
        <f>IF(Calculations!$F$5="ACCREDITED 17025 WITH UNCERTAINTIES",$N$10,0)</f>
        <v>0</v>
      </c>
      <c r="Q125" s="1">
        <f>Table1[[#This Row],[High Tol]]-Table1[[#This Row],[Low Tol]]</f>
        <v>0</v>
      </c>
      <c r="R125" s="1">
        <f>2*Table1[[#This Row],[Std Error]]</f>
        <v>0</v>
      </c>
      <c r="S125" s="1" t="str">
        <f>IF(Table1[[#This Row],[High Tol]]="","N/A",IFERROR(ABS(Table1[[#This Row],[Tol Span]]/Table1[[#This Row],[Error Span]]),"N/A"))</f>
        <v>N/A</v>
      </c>
      <c r="T125" s="1" t="str">
        <f>IF(OR(Table1[[#This Row],[Low Tol]]="",Table1[[#This Row],[High Tol]]=""),"Needs Analysis",IF(Table1[[#This Row],[Ratio]]&gt;=4,"Not Significant",IF(Table1[[#This Row],[Ratio]]&gt;=2,"Semi-Significant","Significant")))</f>
        <v>Needs Analysis</v>
      </c>
      <c r="W125" s="1">
        <f>IF(Table1[[#This Row],[Cal Type]]&lt;&gt;"ACCREDITED 17025 WITH UNCERTAINTIES",0,"")</f>
        <v>0</v>
      </c>
      <c r="X125" s="1" t="str">
        <f>IF(Table1[[#This Row],[DUT Read]]="","N/A",Table1[[#This Row],[Std Error]]+Table1[[#This Row],[DUT Read]]+Table1[[#This Row],[DUT Ucty]])</f>
        <v>N/A</v>
      </c>
      <c r="Y125" s="1" t="str">
        <f>IF(Table1[[#This Row],[Std Read]]="","N/A",Table1[[#This Row],[Std Read]]+Table1[[#This Row],[Std Ucty]])</f>
        <v>N/A</v>
      </c>
      <c r="Z1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 s="1" t="str">
        <f>IF(Table1[[#This Row],[Spec Type]]="","N/A",Table1[[#This Row],[Spec Type]])</f>
        <v>±</v>
      </c>
      <c r="AC125" s="1" t="str">
        <f>IF(Table1[[#This Row],[Spec Type2]]="N/A","N/A",IF(AND(Table1[[#This Row],[DUT Adj Read]]&gt;=Table1[[#This Row],[Low Tol]],Table1[[#This Row],[DUT Adj Read]]&lt;=Table1[[#This Row],[High Tol]]),"Pass","Fail"))</f>
        <v>Fail</v>
      </c>
      <c r="AD125" s="1" t="str">
        <f>IF(AND(Table1[[#This Row],[Spec Type2]]="N/A",Table1[[#This Row],[DUT Adj Read]]="N/A",Table1[[#This Row],[Std Adj Read]]="N/A"),"N/A",IF(Table1[[#This Row],[DUT Adj Read]]="N/A",IF(Table1[[#This Row],[Std Adj Read]]&gt;Table1[[#This Row],[Low Tol]],"Pass","Fail"),IF(Table1[[#This Row],[DUT Adj Read]]&gt;Table1[[#This Row],[Low Tol]],"Pass","Fail")))</f>
        <v>Pass</v>
      </c>
      <c r="AE125" s="1" t="str">
        <f>IF(AND(Table1[[#This Row],[Spec Type2]]="N/A",Table1[[#This Row],[DUT Adj Read]]="N/A",Table1[[#This Row],[Std Adj Read]]="N/A"),"N/A",IF(Table1[[#This Row],[DUT Adj Read]]="N/A",IF(Table1[[#This Row],[Std Adj Read]]&lt;Table1[[#This Row],[High Tol]],"Pass","Fail"),IF(Table1[[#This Row],[DUT Adj Read]]&lt;Table1[[#This Row],[High Tol]],"Pass","Fail")))</f>
        <v>Fail</v>
      </c>
      <c r="AF125" s="1" t="str">
        <f>IF(AND(Table1[[#This Row],[Spec Type2]]="N/A",Table1[[#This Row],[DUT Adj Read]]="N/A",Table1[[#This Row],[Std Adj Read]]="N/A"),"N/A",IF(Table1[[#This Row],[DUT Adj Read]]="N/A",IF(Table1[[#This Row],[Std Adj Read]]&gt;=Table1[[#This Row],[Low Tol]],"Pass","Fail"),IF(Table1[[#This Row],[DUT Adj Read]]&gt;=Table1[[#This Row],[Low Tol]],"Pass","Fail")))</f>
        <v>Pass</v>
      </c>
      <c r="AG125" s="1" t="str">
        <f>IF(AND(Table1[[#This Row],[Spec Type2]]="N/A",Table1[[#This Row],[DUT Adj Read]]="N/A",Table1[[#This Row],[Std Adj Read]]="N/A"),"N/A",IF(Table1[[#This Row],[DUT Adj Read]]="N/A",IF(Table1[[#This Row],[Std Adj Read]]&lt;=Table1[[#This Row],[High Tol]],"Pass","Fail"),IF(Table1[[#This Row],[DUT Adj Read]]&lt;=Table1[[#This Row],[High Tol]],"Pass","Fail")))</f>
        <v>Fail</v>
      </c>
      <c r="AH1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 s="1" t="b">
        <v>0</v>
      </c>
      <c r="AN125" s="1" t="b">
        <v>0</v>
      </c>
      <c r="AO125" s="1" t="b">
        <v>0</v>
      </c>
    </row>
    <row r="126" spans="1:41" x14ac:dyDescent="0.25">
      <c r="A126" s="10"/>
      <c r="B126" s="10"/>
      <c r="C126" s="10"/>
      <c r="D126" s="10"/>
      <c r="E126" s="10"/>
      <c r="F126" s="10"/>
      <c r="G126" s="10"/>
      <c r="H126" s="10"/>
      <c r="I126" s="1" t="str">
        <f t="shared" si="3"/>
        <v/>
      </c>
      <c r="J126" s="1" t="s">
        <v>35</v>
      </c>
      <c r="K126" s="1" t="str">
        <f t="shared" si="4"/>
        <v/>
      </c>
      <c r="L126" s="1" t="str">
        <f t="shared" si="5"/>
        <v/>
      </c>
      <c r="M126" s="1">
        <f>IF(OR(Table1[[#This Row],[Std Nom]]="",Table1[[#This Row],[Std Read]]=""),0,Table1[[#This Row],[Std Nom]]-Table1[[#This Row],[Std Read]])</f>
        <v>0</v>
      </c>
      <c r="N126" s="1">
        <f>IF(Calculations!$F$5="ACCREDITED 17025 WITH UNCERTAINTIES",$N$10,0)</f>
        <v>0</v>
      </c>
      <c r="Q126" s="1">
        <f>Table1[[#This Row],[High Tol]]-Table1[[#This Row],[Low Tol]]</f>
        <v>0</v>
      </c>
      <c r="R126" s="1">
        <f>2*Table1[[#This Row],[Std Error]]</f>
        <v>0</v>
      </c>
      <c r="S126" s="1" t="str">
        <f>IF(Table1[[#This Row],[High Tol]]="","N/A",IFERROR(ABS(Table1[[#This Row],[Tol Span]]/Table1[[#This Row],[Error Span]]),"N/A"))</f>
        <v>N/A</v>
      </c>
      <c r="T126" s="1" t="str">
        <f>IF(OR(Table1[[#This Row],[Low Tol]]="",Table1[[#This Row],[High Tol]]=""),"Needs Analysis",IF(Table1[[#This Row],[Ratio]]&gt;=4,"Not Significant",IF(Table1[[#This Row],[Ratio]]&gt;=2,"Semi-Significant","Significant")))</f>
        <v>Needs Analysis</v>
      </c>
      <c r="W126" s="1">
        <f>IF(Table1[[#This Row],[Cal Type]]&lt;&gt;"ACCREDITED 17025 WITH UNCERTAINTIES",0,"")</f>
        <v>0</v>
      </c>
      <c r="X126" s="1" t="str">
        <f>IF(Table1[[#This Row],[DUT Read]]="","N/A",Table1[[#This Row],[Std Error]]+Table1[[#This Row],[DUT Read]]+Table1[[#This Row],[DUT Ucty]])</f>
        <v>N/A</v>
      </c>
      <c r="Y126" s="1" t="str">
        <f>IF(Table1[[#This Row],[Std Read]]="","N/A",Table1[[#This Row],[Std Read]]+Table1[[#This Row],[Std Ucty]])</f>
        <v>N/A</v>
      </c>
      <c r="Z1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 s="1" t="str">
        <f>IF(Table1[[#This Row],[Spec Type]]="","N/A",Table1[[#This Row],[Spec Type]])</f>
        <v>±</v>
      </c>
      <c r="AC126" s="1" t="str">
        <f>IF(Table1[[#This Row],[Spec Type2]]="N/A","N/A",IF(AND(Table1[[#This Row],[DUT Adj Read]]&gt;=Table1[[#This Row],[Low Tol]],Table1[[#This Row],[DUT Adj Read]]&lt;=Table1[[#This Row],[High Tol]]),"Pass","Fail"))</f>
        <v>Fail</v>
      </c>
      <c r="AD126" s="1" t="str">
        <f>IF(AND(Table1[[#This Row],[Spec Type2]]="N/A",Table1[[#This Row],[DUT Adj Read]]="N/A",Table1[[#This Row],[Std Adj Read]]="N/A"),"N/A",IF(Table1[[#This Row],[DUT Adj Read]]="N/A",IF(Table1[[#This Row],[Std Adj Read]]&gt;Table1[[#This Row],[Low Tol]],"Pass","Fail"),IF(Table1[[#This Row],[DUT Adj Read]]&gt;Table1[[#This Row],[Low Tol]],"Pass","Fail")))</f>
        <v>Pass</v>
      </c>
      <c r="AE126" s="1" t="str">
        <f>IF(AND(Table1[[#This Row],[Spec Type2]]="N/A",Table1[[#This Row],[DUT Adj Read]]="N/A",Table1[[#This Row],[Std Adj Read]]="N/A"),"N/A",IF(Table1[[#This Row],[DUT Adj Read]]="N/A",IF(Table1[[#This Row],[Std Adj Read]]&lt;Table1[[#This Row],[High Tol]],"Pass","Fail"),IF(Table1[[#This Row],[DUT Adj Read]]&lt;Table1[[#This Row],[High Tol]],"Pass","Fail")))</f>
        <v>Fail</v>
      </c>
      <c r="AF126" s="1" t="str">
        <f>IF(AND(Table1[[#This Row],[Spec Type2]]="N/A",Table1[[#This Row],[DUT Adj Read]]="N/A",Table1[[#This Row],[Std Adj Read]]="N/A"),"N/A",IF(Table1[[#This Row],[DUT Adj Read]]="N/A",IF(Table1[[#This Row],[Std Adj Read]]&gt;=Table1[[#This Row],[Low Tol]],"Pass","Fail"),IF(Table1[[#This Row],[DUT Adj Read]]&gt;=Table1[[#This Row],[Low Tol]],"Pass","Fail")))</f>
        <v>Pass</v>
      </c>
      <c r="AG126" s="1" t="str">
        <f>IF(AND(Table1[[#This Row],[Spec Type2]]="N/A",Table1[[#This Row],[DUT Adj Read]]="N/A",Table1[[#This Row],[Std Adj Read]]="N/A"),"N/A",IF(Table1[[#This Row],[DUT Adj Read]]="N/A",IF(Table1[[#This Row],[Std Adj Read]]&lt;=Table1[[#This Row],[High Tol]],"Pass","Fail"),IF(Table1[[#This Row],[DUT Adj Read]]&lt;=Table1[[#This Row],[High Tol]],"Pass","Fail")))</f>
        <v>Fail</v>
      </c>
      <c r="AH1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 s="1" t="b">
        <v>0</v>
      </c>
      <c r="AN126" s="1" t="b">
        <v>0</v>
      </c>
      <c r="AO126" s="1" t="b">
        <v>0</v>
      </c>
    </row>
    <row r="127" spans="1:41" x14ac:dyDescent="0.25">
      <c r="A127" s="10"/>
      <c r="B127" s="10"/>
      <c r="C127" s="10"/>
      <c r="D127" s="10"/>
      <c r="E127" s="10"/>
      <c r="F127" s="10"/>
      <c r="G127" s="10"/>
      <c r="H127" s="10"/>
      <c r="I127" s="1" t="str">
        <f t="shared" si="3"/>
        <v/>
      </c>
      <c r="J127" s="1" t="s">
        <v>35</v>
      </c>
      <c r="K127" s="1" t="str">
        <f t="shared" si="4"/>
        <v/>
      </c>
      <c r="L127" s="1" t="str">
        <f t="shared" si="5"/>
        <v/>
      </c>
      <c r="M127" s="1">
        <f>IF(OR(Table1[[#This Row],[Std Nom]]="",Table1[[#This Row],[Std Read]]=""),0,Table1[[#This Row],[Std Nom]]-Table1[[#This Row],[Std Read]])</f>
        <v>0</v>
      </c>
      <c r="N127" s="1">
        <f>IF(Calculations!$F$5="ACCREDITED 17025 WITH UNCERTAINTIES",$N$10,0)</f>
        <v>0</v>
      </c>
      <c r="Q127" s="1">
        <f>Table1[[#This Row],[High Tol]]-Table1[[#This Row],[Low Tol]]</f>
        <v>0</v>
      </c>
      <c r="R127" s="1">
        <f>2*Table1[[#This Row],[Std Error]]</f>
        <v>0</v>
      </c>
      <c r="S127" s="1" t="str">
        <f>IF(Table1[[#This Row],[High Tol]]="","N/A",IFERROR(ABS(Table1[[#This Row],[Tol Span]]/Table1[[#This Row],[Error Span]]),"N/A"))</f>
        <v>N/A</v>
      </c>
      <c r="T127" s="1" t="str">
        <f>IF(OR(Table1[[#This Row],[Low Tol]]="",Table1[[#This Row],[High Tol]]=""),"Needs Analysis",IF(Table1[[#This Row],[Ratio]]&gt;=4,"Not Significant",IF(Table1[[#This Row],[Ratio]]&gt;=2,"Semi-Significant","Significant")))</f>
        <v>Needs Analysis</v>
      </c>
      <c r="W127" s="1">
        <f>IF(Table1[[#This Row],[Cal Type]]&lt;&gt;"ACCREDITED 17025 WITH UNCERTAINTIES",0,"")</f>
        <v>0</v>
      </c>
      <c r="X127" s="1" t="str">
        <f>IF(Table1[[#This Row],[DUT Read]]="","N/A",Table1[[#This Row],[Std Error]]+Table1[[#This Row],[DUT Read]]+Table1[[#This Row],[DUT Ucty]])</f>
        <v>N/A</v>
      </c>
      <c r="Y127" s="1" t="str">
        <f>IF(Table1[[#This Row],[Std Read]]="","N/A",Table1[[#This Row],[Std Read]]+Table1[[#This Row],[Std Ucty]])</f>
        <v>N/A</v>
      </c>
      <c r="Z1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 s="1" t="str">
        <f>IF(Table1[[#This Row],[Spec Type]]="","N/A",Table1[[#This Row],[Spec Type]])</f>
        <v>±</v>
      </c>
      <c r="AC127" s="1" t="str">
        <f>IF(Table1[[#This Row],[Spec Type2]]="N/A","N/A",IF(AND(Table1[[#This Row],[DUT Adj Read]]&gt;=Table1[[#This Row],[Low Tol]],Table1[[#This Row],[DUT Adj Read]]&lt;=Table1[[#This Row],[High Tol]]),"Pass","Fail"))</f>
        <v>Fail</v>
      </c>
      <c r="AD127" s="1" t="str">
        <f>IF(AND(Table1[[#This Row],[Spec Type2]]="N/A",Table1[[#This Row],[DUT Adj Read]]="N/A",Table1[[#This Row],[Std Adj Read]]="N/A"),"N/A",IF(Table1[[#This Row],[DUT Adj Read]]="N/A",IF(Table1[[#This Row],[Std Adj Read]]&gt;Table1[[#This Row],[Low Tol]],"Pass","Fail"),IF(Table1[[#This Row],[DUT Adj Read]]&gt;Table1[[#This Row],[Low Tol]],"Pass","Fail")))</f>
        <v>Pass</v>
      </c>
      <c r="AE127" s="1" t="str">
        <f>IF(AND(Table1[[#This Row],[Spec Type2]]="N/A",Table1[[#This Row],[DUT Adj Read]]="N/A",Table1[[#This Row],[Std Adj Read]]="N/A"),"N/A",IF(Table1[[#This Row],[DUT Adj Read]]="N/A",IF(Table1[[#This Row],[Std Adj Read]]&lt;Table1[[#This Row],[High Tol]],"Pass","Fail"),IF(Table1[[#This Row],[DUT Adj Read]]&lt;Table1[[#This Row],[High Tol]],"Pass","Fail")))</f>
        <v>Fail</v>
      </c>
      <c r="AF127" s="1" t="str">
        <f>IF(AND(Table1[[#This Row],[Spec Type2]]="N/A",Table1[[#This Row],[DUT Adj Read]]="N/A",Table1[[#This Row],[Std Adj Read]]="N/A"),"N/A",IF(Table1[[#This Row],[DUT Adj Read]]="N/A",IF(Table1[[#This Row],[Std Adj Read]]&gt;=Table1[[#This Row],[Low Tol]],"Pass","Fail"),IF(Table1[[#This Row],[DUT Adj Read]]&gt;=Table1[[#This Row],[Low Tol]],"Pass","Fail")))</f>
        <v>Pass</v>
      </c>
      <c r="AG127" s="1" t="str">
        <f>IF(AND(Table1[[#This Row],[Spec Type2]]="N/A",Table1[[#This Row],[DUT Adj Read]]="N/A",Table1[[#This Row],[Std Adj Read]]="N/A"),"N/A",IF(Table1[[#This Row],[DUT Adj Read]]="N/A",IF(Table1[[#This Row],[Std Adj Read]]&lt;=Table1[[#This Row],[High Tol]],"Pass","Fail"),IF(Table1[[#This Row],[DUT Adj Read]]&lt;=Table1[[#This Row],[High Tol]],"Pass","Fail")))</f>
        <v>Fail</v>
      </c>
      <c r="AH1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 s="1" t="b">
        <v>0</v>
      </c>
      <c r="AN127" s="1" t="b">
        <v>0</v>
      </c>
      <c r="AO127" s="1" t="b">
        <v>0</v>
      </c>
    </row>
    <row r="128" spans="1:41" x14ac:dyDescent="0.25">
      <c r="A128" s="10"/>
      <c r="B128" s="10"/>
      <c r="C128" s="10"/>
      <c r="D128" s="10"/>
      <c r="E128" s="10"/>
      <c r="F128" s="10"/>
      <c r="G128" s="10"/>
      <c r="H128" s="10"/>
      <c r="I128" s="1" t="str">
        <f t="shared" si="3"/>
        <v/>
      </c>
      <c r="J128" s="1" t="s">
        <v>35</v>
      </c>
      <c r="K128" s="1" t="str">
        <f t="shared" si="4"/>
        <v/>
      </c>
      <c r="L128" s="1" t="str">
        <f t="shared" si="5"/>
        <v/>
      </c>
      <c r="M128" s="1">
        <f>IF(OR(Table1[[#This Row],[Std Nom]]="",Table1[[#This Row],[Std Read]]=""),0,Table1[[#This Row],[Std Nom]]-Table1[[#This Row],[Std Read]])</f>
        <v>0</v>
      </c>
      <c r="N128" s="1">
        <f>IF(Calculations!$F$5="ACCREDITED 17025 WITH UNCERTAINTIES",$N$10,0)</f>
        <v>0</v>
      </c>
      <c r="Q128" s="1">
        <f>Table1[[#This Row],[High Tol]]-Table1[[#This Row],[Low Tol]]</f>
        <v>0</v>
      </c>
      <c r="R128" s="1">
        <f>2*Table1[[#This Row],[Std Error]]</f>
        <v>0</v>
      </c>
      <c r="S128" s="1" t="str">
        <f>IF(Table1[[#This Row],[High Tol]]="","N/A",IFERROR(ABS(Table1[[#This Row],[Tol Span]]/Table1[[#This Row],[Error Span]]),"N/A"))</f>
        <v>N/A</v>
      </c>
      <c r="T128" s="1" t="str">
        <f>IF(OR(Table1[[#This Row],[Low Tol]]="",Table1[[#This Row],[High Tol]]=""),"Needs Analysis",IF(Table1[[#This Row],[Ratio]]&gt;=4,"Not Significant",IF(Table1[[#This Row],[Ratio]]&gt;=2,"Semi-Significant","Significant")))</f>
        <v>Needs Analysis</v>
      </c>
      <c r="W128" s="1">
        <f>IF(Table1[[#This Row],[Cal Type]]&lt;&gt;"ACCREDITED 17025 WITH UNCERTAINTIES",0,"")</f>
        <v>0</v>
      </c>
      <c r="X128" s="1" t="str">
        <f>IF(Table1[[#This Row],[DUT Read]]="","N/A",Table1[[#This Row],[Std Error]]+Table1[[#This Row],[DUT Read]]+Table1[[#This Row],[DUT Ucty]])</f>
        <v>N/A</v>
      </c>
      <c r="Y128" s="1" t="str">
        <f>IF(Table1[[#This Row],[Std Read]]="","N/A",Table1[[#This Row],[Std Read]]+Table1[[#This Row],[Std Ucty]])</f>
        <v>N/A</v>
      </c>
      <c r="Z1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 s="1" t="str">
        <f>IF(Table1[[#This Row],[Spec Type]]="","N/A",Table1[[#This Row],[Spec Type]])</f>
        <v>±</v>
      </c>
      <c r="AC128" s="1" t="str">
        <f>IF(Table1[[#This Row],[Spec Type2]]="N/A","N/A",IF(AND(Table1[[#This Row],[DUT Adj Read]]&gt;=Table1[[#This Row],[Low Tol]],Table1[[#This Row],[DUT Adj Read]]&lt;=Table1[[#This Row],[High Tol]]),"Pass","Fail"))</f>
        <v>Fail</v>
      </c>
      <c r="AD128" s="1" t="str">
        <f>IF(AND(Table1[[#This Row],[Spec Type2]]="N/A",Table1[[#This Row],[DUT Adj Read]]="N/A",Table1[[#This Row],[Std Adj Read]]="N/A"),"N/A",IF(Table1[[#This Row],[DUT Adj Read]]="N/A",IF(Table1[[#This Row],[Std Adj Read]]&gt;Table1[[#This Row],[Low Tol]],"Pass","Fail"),IF(Table1[[#This Row],[DUT Adj Read]]&gt;Table1[[#This Row],[Low Tol]],"Pass","Fail")))</f>
        <v>Pass</v>
      </c>
      <c r="AE128" s="1" t="str">
        <f>IF(AND(Table1[[#This Row],[Spec Type2]]="N/A",Table1[[#This Row],[DUT Adj Read]]="N/A",Table1[[#This Row],[Std Adj Read]]="N/A"),"N/A",IF(Table1[[#This Row],[DUT Adj Read]]="N/A",IF(Table1[[#This Row],[Std Adj Read]]&lt;Table1[[#This Row],[High Tol]],"Pass","Fail"),IF(Table1[[#This Row],[DUT Adj Read]]&lt;Table1[[#This Row],[High Tol]],"Pass","Fail")))</f>
        <v>Fail</v>
      </c>
      <c r="AF128" s="1" t="str">
        <f>IF(AND(Table1[[#This Row],[Spec Type2]]="N/A",Table1[[#This Row],[DUT Adj Read]]="N/A",Table1[[#This Row],[Std Adj Read]]="N/A"),"N/A",IF(Table1[[#This Row],[DUT Adj Read]]="N/A",IF(Table1[[#This Row],[Std Adj Read]]&gt;=Table1[[#This Row],[Low Tol]],"Pass","Fail"),IF(Table1[[#This Row],[DUT Adj Read]]&gt;=Table1[[#This Row],[Low Tol]],"Pass","Fail")))</f>
        <v>Pass</v>
      </c>
      <c r="AG128" s="1" t="str">
        <f>IF(AND(Table1[[#This Row],[Spec Type2]]="N/A",Table1[[#This Row],[DUT Adj Read]]="N/A",Table1[[#This Row],[Std Adj Read]]="N/A"),"N/A",IF(Table1[[#This Row],[DUT Adj Read]]="N/A",IF(Table1[[#This Row],[Std Adj Read]]&lt;=Table1[[#This Row],[High Tol]],"Pass","Fail"),IF(Table1[[#This Row],[DUT Adj Read]]&lt;=Table1[[#This Row],[High Tol]],"Pass","Fail")))</f>
        <v>Fail</v>
      </c>
      <c r="AH1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 s="1" t="b">
        <v>0</v>
      </c>
      <c r="AN128" s="1" t="b">
        <v>0</v>
      </c>
      <c r="AO128" s="1" t="b">
        <v>0</v>
      </c>
    </row>
    <row r="129" spans="1:41" x14ac:dyDescent="0.25">
      <c r="A129" s="10"/>
      <c r="B129" s="10"/>
      <c r="C129" s="10"/>
      <c r="D129" s="10"/>
      <c r="E129" s="10"/>
      <c r="F129" s="10"/>
      <c r="G129" s="10"/>
      <c r="H129" s="10"/>
      <c r="I129" s="1" t="str">
        <f t="shared" si="3"/>
        <v/>
      </c>
      <c r="J129" s="1" t="s">
        <v>35</v>
      </c>
      <c r="K129" s="1" t="str">
        <f t="shared" si="4"/>
        <v/>
      </c>
      <c r="L129" s="1" t="str">
        <f t="shared" si="5"/>
        <v/>
      </c>
      <c r="M129" s="1">
        <f>IF(OR(Table1[[#This Row],[Std Nom]]="",Table1[[#This Row],[Std Read]]=""),0,Table1[[#This Row],[Std Nom]]-Table1[[#This Row],[Std Read]])</f>
        <v>0</v>
      </c>
      <c r="N129" s="1">
        <f>IF(Calculations!$F$5="ACCREDITED 17025 WITH UNCERTAINTIES",$N$10,0)</f>
        <v>0</v>
      </c>
      <c r="Q129" s="1">
        <f>Table1[[#This Row],[High Tol]]-Table1[[#This Row],[Low Tol]]</f>
        <v>0</v>
      </c>
      <c r="R129" s="1">
        <f>2*Table1[[#This Row],[Std Error]]</f>
        <v>0</v>
      </c>
      <c r="S129" s="1" t="str">
        <f>IF(Table1[[#This Row],[High Tol]]="","N/A",IFERROR(ABS(Table1[[#This Row],[Tol Span]]/Table1[[#This Row],[Error Span]]),"N/A"))</f>
        <v>N/A</v>
      </c>
      <c r="T129" s="1" t="str">
        <f>IF(OR(Table1[[#This Row],[Low Tol]]="",Table1[[#This Row],[High Tol]]=""),"Needs Analysis",IF(Table1[[#This Row],[Ratio]]&gt;=4,"Not Significant",IF(Table1[[#This Row],[Ratio]]&gt;=2,"Semi-Significant","Significant")))</f>
        <v>Needs Analysis</v>
      </c>
      <c r="W129" s="1">
        <f>IF(Table1[[#This Row],[Cal Type]]&lt;&gt;"ACCREDITED 17025 WITH UNCERTAINTIES",0,"")</f>
        <v>0</v>
      </c>
      <c r="X129" s="1" t="str">
        <f>IF(Table1[[#This Row],[DUT Read]]="","N/A",Table1[[#This Row],[Std Error]]+Table1[[#This Row],[DUT Read]]+Table1[[#This Row],[DUT Ucty]])</f>
        <v>N/A</v>
      </c>
      <c r="Y129" s="1" t="str">
        <f>IF(Table1[[#This Row],[Std Read]]="","N/A",Table1[[#This Row],[Std Read]]+Table1[[#This Row],[Std Ucty]])</f>
        <v>N/A</v>
      </c>
      <c r="Z1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 s="1" t="str">
        <f>IF(Table1[[#This Row],[Spec Type]]="","N/A",Table1[[#This Row],[Spec Type]])</f>
        <v>±</v>
      </c>
      <c r="AC129" s="1" t="str">
        <f>IF(Table1[[#This Row],[Spec Type2]]="N/A","N/A",IF(AND(Table1[[#This Row],[DUT Adj Read]]&gt;=Table1[[#This Row],[Low Tol]],Table1[[#This Row],[DUT Adj Read]]&lt;=Table1[[#This Row],[High Tol]]),"Pass","Fail"))</f>
        <v>Fail</v>
      </c>
      <c r="AD129" s="1" t="str">
        <f>IF(AND(Table1[[#This Row],[Spec Type2]]="N/A",Table1[[#This Row],[DUT Adj Read]]="N/A",Table1[[#This Row],[Std Adj Read]]="N/A"),"N/A",IF(Table1[[#This Row],[DUT Adj Read]]="N/A",IF(Table1[[#This Row],[Std Adj Read]]&gt;Table1[[#This Row],[Low Tol]],"Pass","Fail"),IF(Table1[[#This Row],[DUT Adj Read]]&gt;Table1[[#This Row],[Low Tol]],"Pass","Fail")))</f>
        <v>Pass</v>
      </c>
      <c r="AE129" s="1" t="str">
        <f>IF(AND(Table1[[#This Row],[Spec Type2]]="N/A",Table1[[#This Row],[DUT Adj Read]]="N/A",Table1[[#This Row],[Std Adj Read]]="N/A"),"N/A",IF(Table1[[#This Row],[DUT Adj Read]]="N/A",IF(Table1[[#This Row],[Std Adj Read]]&lt;Table1[[#This Row],[High Tol]],"Pass","Fail"),IF(Table1[[#This Row],[DUT Adj Read]]&lt;Table1[[#This Row],[High Tol]],"Pass","Fail")))</f>
        <v>Fail</v>
      </c>
      <c r="AF129" s="1" t="str">
        <f>IF(AND(Table1[[#This Row],[Spec Type2]]="N/A",Table1[[#This Row],[DUT Adj Read]]="N/A",Table1[[#This Row],[Std Adj Read]]="N/A"),"N/A",IF(Table1[[#This Row],[DUT Adj Read]]="N/A",IF(Table1[[#This Row],[Std Adj Read]]&gt;=Table1[[#This Row],[Low Tol]],"Pass","Fail"),IF(Table1[[#This Row],[DUT Adj Read]]&gt;=Table1[[#This Row],[Low Tol]],"Pass","Fail")))</f>
        <v>Pass</v>
      </c>
      <c r="AG129" s="1" t="str">
        <f>IF(AND(Table1[[#This Row],[Spec Type2]]="N/A",Table1[[#This Row],[DUT Adj Read]]="N/A",Table1[[#This Row],[Std Adj Read]]="N/A"),"N/A",IF(Table1[[#This Row],[DUT Adj Read]]="N/A",IF(Table1[[#This Row],[Std Adj Read]]&lt;=Table1[[#This Row],[High Tol]],"Pass","Fail"),IF(Table1[[#This Row],[DUT Adj Read]]&lt;=Table1[[#This Row],[High Tol]],"Pass","Fail")))</f>
        <v>Fail</v>
      </c>
      <c r="AH1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 s="1" t="b">
        <v>0</v>
      </c>
      <c r="AN129" s="1" t="b">
        <v>0</v>
      </c>
      <c r="AO129" s="1" t="b">
        <v>0</v>
      </c>
    </row>
    <row r="130" spans="1:41" x14ac:dyDescent="0.25">
      <c r="A130" s="10"/>
      <c r="B130" s="10"/>
      <c r="C130" s="10"/>
      <c r="D130" s="10"/>
      <c r="E130" s="10"/>
      <c r="F130" s="10"/>
      <c r="G130" s="10"/>
      <c r="H130" s="10"/>
      <c r="I130" s="1" t="str">
        <f t="shared" si="3"/>
        <v/>
      </c>
      <c r="J130" s="1" t="s">
        <v>35</v>
      </c>
      <c r="K130" s="1" t="str">
        <f t="shared" si="4"/>
        <v/>
      </c>
      <c r="L130" s="1" t="str">
        <f t="shared" si="5"/>
        <v/>
      </c>
      <c r="M130" s="1">
        <f>IF(OR(Table1[[#This Row],[Std Nom]]="",Table1[[#This Row],[Std Read]]=""),0,Table1[[#This Row],[Std Nom]]-Table1[[#This Row],[Std Read]])</f>
        <v>0</v>
      </c>
      <c r="N130" s="1">
        <f>IF(Calculations!$F$5="ACCREDITED 17025 WITH UNCERTAINTIES",$N$10,0)</f>
        <v>0</v>
      </c>
      <c r="Q130" s="1">
        <f>Table1[[#This Row],[High Tol]]-Table1[[#This Row],[Low Tol]]</f>
        <v>0</v>
      </c>
      <c r="R130" s="1">
        <f>2*Table1[[#This Row],[Std Error]]</f>
        <v>0</v>
      </c>
      <c r="S130" s="1" t="str">
        <f>IF(Table1[[#This Row],[High Tol]]="","N/A",IFERROR(ABS(Table1[[#This Row],[Tol Span]]/Table1[[#This Row],[Error Span]]),"N/A"))</f>
        <v>N/A</v>
      </c>
      <c r="T130" s="1" t="str">
        <f>IF(OR(Table1[[#This Row],[Low Tol]]="",Table1[[#This Row],[High Tol]]=""),"Needs Analysis",IF(Table1[[#This Row],[Ratio]]&gt;=4,"Not Significant",IF(Table1[[#This Row],[Ratio]]&gt;=2,"Semi-Significant","Significant")))</f>
        <v>Needs Analysis</v>
      </c>
      <c r="W130" s="1">
        <f>IF(Table1[[#This Row],[Cal Type]]&lt;&gt;"ACCREDITED 17025 WITH UNCERTAINTIES",0,"")</f>
        <v>0</v>
      </c>
      <c r="X130" s="1" t="str">
        <f>IF(Table1[[#This Row],[DUT Read]]="","N/A",Table1[[#This Row],[Std Error]]+Table1[[#This Row],[DUT Read]]+Table1[[#This Row],[DUT Ucty]])</f>
        <v>N/A</v>
      </c>
      <c r="Y130" s="1" t="str">
        <f>IF(Table1[[#This Row],[Std Read]]="","N/A",Table1[[#This Row],[Std Read]]+Table1[[#This Row],[Std Ucty]])</f>
        <v>N/A</v>
      </c>
      <c r="Z1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 s="1" t="str">
        <f>IF(Table1[[#This Row],[Spec Type]]="","N/A",Table1[[#This Row],[Spec Type]])</f>
        <v>±</v>
      </c>
      <c r="AC130" s="1" t="str">
        <f>IF(Table1[[#This Row],[Spec Type2]]="N/A","N/A",IF(AND(Table1[[#This Row],[DUT Adj Read]]&gt;=Table1[[#This Row],[Low Tol]],Table1[[#This Row],[DUT Adj Read]]&lt;=Table1[[#This Row],[High Tol]]),"Pass","Fail"))</f>
        <v>Fail</v>
      </c>
      <c r="AD130" s="1" t="str">
        <f>IF(AND(Table1[[#This Row],[Spec Type2]]="N/A",Table1[[#This Row],[DUT Adj Read]]="N/A",Table1[[#This Row],[Std Adj Read]]="N/A"),"N/A",IF(Table1[[#This Row],[DUT Adj Read]]="N/A",IF(Table1[[#This Row],[Std Adj Read]]&gt;Table1[[#This Row],[Low Tol]],"Pass","Fail"),IF(Table1[[#This Row],[DUT Adj Read]]&gt;Table1[[#This Row],[Low Tol]],"Pass","Fail")))</f>
        <v>Pass</v>
      </c>
      <c r="AE130" s="1" t="str">
        <f>IF(AND(Table1[[#This Row],[Spec Type2]]="N/A",Table1[[#This Row],[DUT Adj Read]]="N/A",Table1[[#This Row],[Std Adj Read]]="N/A"),"N/A",IF(Table1[[#This Row],[DUT Adj Read]]="N/A",IF(Table1[[#This Row],[Std Adj Read]]&lt;Table1[[#This Row],[High Tol]],"Pass","Fail"),IF(Table1[[#This Row],[DUT Adj Read]]&lt;Table1[[#This Row],[High Tol]],"Pass","Fail")))</f>
        <v>Fail</v>
      </c>
      <c r="AF130" s="1" t="str">
        <f>IF(AND(Table1[[#This Row],[Spec Type2]]="N/A",Table1[[#This Row],[DUT Adj Read]]="N/A",Table1[[#This Row],[Std Adj Read]]="N/A"),"N/A",IF(Table1[[#This Row],[DUT Adj Read]]="N/A",IF(Table1[[#This Row],[Std Adj Read]]&gt;=Table1[[#This Row],[Low Tol]],"Pass","Fail"),IF(Table1[[#This Row],[DUT Adj Read]]&gt;=Table1[[#This Row],[Low Tol]],"Pass","Fail")))</f>
        <v>Pass</v>
      </c>
      <c r="AG130" s="1" t="str">
        <f>IF(AND(Table1[[#This Row],[Spec Type2]]="N/A",Table1[[#This Row],[DUT Adj Read]]="N/A",Table1[[#This Row],[Std Adj Read]]="N/A"),"N/A",IF(Table1[[#This Row],[DUT Adj Read]]="N/A",IF(Table1[[#This Row],[Std Adj Read]]&lt;=Table1[[#This Row],[High Tol]],"Pass","Fail"),IF(Table1[[#This Row],[DUT Adj Read]]&lt;=Table1[[#This Row],[High Tol]],"Pass","Fail")))</f>
        <v>Fail</v>
      </c>
      <c r="AH1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 s="1" t="b">
        <v>0</v>
      </c>
      <c r="AN130" s="1" t="b">
        <v>0</v>
      </c>
      <c r="AO130" s="1" t="b">
        <v>0</v>
      </c>
    </row>
    <row r="131" spans="1:41" x14ac:dyDescent="0.25">
      <c r="A131" s="10"/>
      <c r="B131" s="10"/>
      <c r="C131" s="10"/>
      <c r="D131" s="10"/>
      <c r="E131" s="10"/>
      <c r="F131" s="10"/>
      <c r="G131" s="10"/>
      <c r="H131" s="10"/>
      <c r="I131" s="1" t="str">
        <f t="shared" si="3"/>
        <v/>
      </c>
      <c r="J131" s="1" t="s">
        <v>35</v>
      </c>
      <c r="K131" s="1" t="str">
        <f t="shared" si="4"/>
        <v/>
      </c>
      <c r="L131" s="1" t="str">
        <f t="shared" si="5"/>
        <v/>
      </c>
      <c r="M131" s="1">
        <f>IF(OR(Table1[[#This Row],[Std Nom]]="",Table1[[#This Row],[Std Read]]=""),0,Table1[[#This Row],[Std Nom]]-Table1[[#This Row],[Std Read]])</f>
        <v>0</v>
      </c>
      <c r="N131" s="1">
        <f>IF(Calculations!$F$5="ACCREDITED 17025 WITH UNCERTAINTIES",$N$10,0)</f>
        <v>0</v>
      </c>
      <c r="Q131" s="1">
        <f>Table1[[#This Row],[High Tol]]-Table1[[#This Row],[Low Tol]]</f>
        <v>0</v>
      </c>
      <c r="R131" s="1">
        <f>2*Table1[[#This Row],[Std Error]]</f>
        <v>0</v>
      </c>
      <c r="S131" s="1" t="str">
        <f>IF(Table1[[#This Row],[High Tol]]="","N/A",IFERROR(ABS(Table1[[#This Row],[Tol Span]]/Table1[[#This Row],[Error Span]]),"N/A"))</f>
        <v>N/A</v>
      </c>
      <c r="T131" s="1" t="str">
        <f>IF(OR(Table1[[#This Row],[Low Tol]]="",Table1[[#This Row],[High Tol]]=""),"Needs Analysis",IF(Table1[[#This Row],[Ratio]]&gt;=4,"Not Significant",IF(Table1[[#This Row],[Ratio]]&gt;=2,"Semi-Significant","Significant")))</f>
        <v>Needs Analysis</v>
      </c>
      <c r="W131" s="1">
        <f>IF(Table1[[#This Row],[Cal Type]]&lt;&gt;"ACCREDITED 17025 WITH UNCERTAINTIES",0,"")</f>
        <v>0</v>
      </c>
      <c r="X131" s="1" t="str">
        <f>IF(Table1[[#This Row],[DUT Read]]="","N/A",Table1[[#This Row],[Std Error]]+Table1[[#This Row],[DUT Read]]+Table1[[#This Row],[DUT Ucty]])</f>
        <v>N/A</v>
      </c>
      <c r="Y131" s="1" t="str">
        <f>IF(Table1[[#This Row],[Std Read]]="","N/A",Table1[[#This Row],[Std Read]]+Table1[[#This Row],[Std Ucty]])</f>
        <v>N/A</v>
      </c>
      <c r="Z1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 s="1" t="str">
        <f>IF(Table1[[#This Row],[Spec Type]]="","N/A",Table1[[#This Row],[Spec Type]])</f>
        <v>±</v>
      </c>
      <c r="AC131" s="1" t="str">
        <f>IF(Table1[[#This Row],[Spec Type2]]="N/A","N/A",IF(AND(Table1[[#This Row],[DUT Adj Read]]&gt;=Table1[[#This Row],[Low Tol]],Table1[[#This Row],[DUT Adj Read]]&lt;=Table1[[#This Row],[High Tol]]),"Pass","Fail"))</f>
        <v>Fail</v>
      </c>
      <c r="AD131" s="1" t="str">
        <f>IF(AND(Table1[[#This Row],[Spec Type2]]="N/A",Table1[[#This Row],[DUT Adj Read]]="N/A",Table1[[#This Row],[Std Adj Read]]="N/A"),"N/A",IF(Table1[[#This Row],[DUT Adj Read]]="N/A",IF(Table1[[#This Row],[Std Adj Read]]&gt;Table1[[#This Row],[Low Tol]],"Pass","Fail"),IF(Table1[[#This Row],[DUT Adj Read]]&gt;Table1[[#This Row],[Low Tol]],"Pass","Fail")))</f>
        <v>Pass</v>
      </c>
      <c r="AE131" s="1" t="str">
        <f>IF(AND(Table1[[#This Row],[Spec Type2]]="N/A",Table1[[#This Row],[DUT Adj Read]]="N/A",Table1[[#This Row],[Std Adj Read]]="N/A"),"N/A",IF(Table1[[#This Row],[DUT Adj Read]]="N/A",IF(Table1[[#This Row],[Std Adj Read]]&lt;Table1[[#This Row],[High Tol]],"Pass","Fail"),IF(Table1[[#This Row],[DUT Adj Read]]&lt;Table1[[#This Row],[High Tol]],"Pass","Fail")))</f>
        <v>Fail</v>
      </c>
      <c r="AF131" s="1" t="str">
        <f>IF(AND(Table1[[#This Row],[Spec Type2]]="N/A",Table1[[#This Row],[DUT Adj Read]]="N/A",Table1[[#This Row],[Std Adj Read]]="N/A"),"N/A",IF(Table1[[#This Row],[DUT Adj Read]]="N/A",IF(Table1[[#This Row],[Std Adj Read]]&gt;=Table1[[#This Row],[Low Tol]],"Pass","Fail"),IF(Table1[[#This Row],[DUT Adj Read]]&gt;=Table1[[#This Row],[Low Tol]],"Pass","Fail")))</f>
        <v>Pass</v>
      </c>
      <c r="AG131" s="1" t="str">
        <f>IF(AND(Table1[[#This Row],[Spec Type2]]="N/A",Table1[[#This Row],[DUT Adj Read]]="N/A",Table1[[#This Row],[Std Adj Read]]="N/A"),"N/A",IF(Table1[[#This Row],[DUT Adj Read]]="N/A",IF(Table1[[#This Row],[Std Adj Read]]&lt;=Table1[[#This Row],[High Tol]],"Pass","Fail"),IF(Table1[[#This Row],[DUT Adj Read]]&lt;=Table1[[#This Row],[High Tol]],"Pass","Fail")))</f>
        <v>Fail</v>
      </c>
      <c r="AH1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 s="1" t="b">
        <v>0</v>
      </c>
      <c r="AN131" s="1" t="b">
        <v>0</v>
      </c>
      <c r="AO131" s="1" t="b">
        <v>0</v>
      </c>
    </row>
    <row r="132" spans="1:41" x14ac:dyDescent="0.25">
      <c r="A132" s="10"/>
      <c r="B132" s="10"/>
      <c r="C132" s="10"/>
      <c r="D132" s="10"/>
      <c r="E132" s="10"/>
      <c r="F132" s="10"/>
      <c r="G132" s="10"/>
      <c r="H132" s="10"/>
      <c r="I132" s="1" t="str">
        <f t="shared" si="3"/>
        <v/>
      </c>
      <c r="J132" s="1" t="s">
        <v>35</v>
      </c>
      <c r="K132" s="1" t="str">
        <f t="shared" si="4"/>
        <v/>
      </c>
      <c r="L132" s="1" t="str">
        <f t="shared" si="5"/>
        <v/>
      </c>
      <c r="M132" s="1">
        <f>IF(OR(Table1[[#This Row],[Std Nom]]="",Table1[[#This Row],[Std Read]]=""),0,Table1[[#This Row],[Std Nom]]-Table1[[#This Row],[Std Read]])</f>
        <v>0</v>
      </c>
      <c r="N132" s="1">
        <f>IF(Calculations!$F$5="ACCREDITED 17025 WITH UNCERTAINTIES",$N$10,0)</f>
        <v>0</v>
      </c>
      <c r="Q132" s="1">
        <f>Table1[[#This Row],[High Tol]]-Table1[[#This Row],[Low Tol]]</f>
        <v>0</v>
      </c>
      <c r="R132" s="1">
        <f>2*Table1[[#This Row],[Std Error]]</f>
        <v>0</v>
      </c>
      <c r="S132" s="1" t="str">
        <f>IF(Table1[[#This Row],[High Tol]]="","N/A",IFERROR(ABS(Table1[[#This Row],[Tol Span]]/Table1[[#This Row],[Error Span]]),"N/A"))</f>
        <v>N/A</v>
      </c>
      <c r="T132" s="1" t="str">
        <f>IF(OR(Table1[[#This Row],[Low Tol]]="",Table1[[#This Row],[High Tol]]=""),"Needs Analysis",IF(Table1[[#This Row],[Ratio]]&gt;=4,"Not Significant",IF(Table1[[#This Row],[Ratio]]&gt;=2,"Semi-Significant","Significant")))</f>
        <v>Needs Analysis</v>
      </c>
      <c r="W132" s="1">
        <f>IF(Table1[[#This Row],[Cal Type]]&lt;&gt;"ACCREDITED 17025 WITH UNCERTAINTIES",0,"")</f>
        <v>0</v>
      </c>
      <c r="X132" s="1" t="str">
        <f>IF(Table1[[#This Row],[DUT Read]]="","N/A",Table1[[#This Row],[Std Error]]+Table1[[#This Row],[DUT Read]]+Table1[[#This Row],[DUT Ucty]])</f>
        <v>N/A</v>
      </c>
      <c r="Y132" s="1" t="str">
        <f>IF(Table1[[#This Row],[Std Read]]="","N/A",Table1[[#This Row],[Std Read]]+Table1[[#This Row],[Std Ucty]])</f>
        <v>N/A</v>
      </c>
      <c r="Z1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 s="1" t="str">
        <f>IF(Table1[[#This Row],[Spec Type]]="","N/A",Table1[[#This Row],[Spec Type]])</f>
        <v>±</v>
      </c>
      <c r="AC132" s="1" t="str">
        <f>IF(Table1[[#This Row],[Spec Type2]]="N/A","N/A",IF(AND(Table1[[#This Row],[DUT Adj Read]]&gt;=Table1[[#This Row],[Low Tol]],Table1[[#This Row],[DUT Adj Read]]&lt;=Table1[[#This Row],[High Tol]]),"Pass","Fail"))</f>
        <v>Fail</v>
      </c>
      <c r="AD132" s="1" t="str">
        <f>IF(AND(Table1[[#This Row],[Spec Type2]]="N/A",Table1[[#This Row],[DUT Adj Read]]="N/A",Table1[[#This Row],[Std Adj Read]]="N/A"),"N/A",IF(Table1[[#This Row],[DUT Adj Read]]="N/A",IF(Table1[[#This Row],[Std Adj Read]]&gt;Table1[[#This Row],[Low Tol]],"Pass","Fail"),IF(Table1[[#This Row],[DUT Adj Read]]&gt;Table1[[#This Row],[Low Tol]],"Pass","Fail")))</f>
        <v>Pass</v>
      </c>
      <c r="AE132" s="1" t="str">
        <f>IF(AND(Table1[[#This Row],[Spec Type2]]="N/A",Table1[[#This Row],[DUT Adj Read]]="N/A",Table1[[#This Row],[Std Adj Read]]="N/A"),"N/A",IF(Table1[[#This Row],[DUT Adj Read]]="N/A",IF(Table1[[#This Row],[Std Adj Read]]&lt;Table1[[#This Row],[High Tol]],"Pass","Fail"),IF(Table1[[#This Row],[DUT Adj Read]]&lt;Table1[[#This Row],[High Tol]],"Pass","Fail")))</f>
        <v>Fail</v>
      </c>
      <c r="AF132" s="1" t="str">
        <f>IF(AND(Table1[[#This Row],[Spec Type2]]="N/A",Table1[[#This Row],[DUT Adj Read]]="N/A",Table1[[#This Row],[Std Adj Read]]="N/A"),"N/A",IF(Table1[[#This Row],[DUT Adj Read]]="N/A",IF(Table1[[#This Row],[Std Adj Read]]&gt;=Table1[[#This Row],[Low Tol]],"Pass","Fail"),IF(Table1[[#This Row],[DUT Adj Read]]&gt;=Table1[[#This Row],[Low Tol]],"Pass","Fail")))</f>
        <v>Pass</v>
      </c>
      <c r="AG132" s="1" t="str">
        <f>IF(AND(Table1[[#This Row],[Spec Type2]]="N/A",Table1[[#This Row],[DUT Adj Read]]="N/A",Table1[[#This Row],[Std Adj Read]]="N/A"),"N/A",IF(Table1[[#This Row],[DUT Adj Read]]="N/A",IF(Table1[[#This Row],[Std Adj Read]]&lt;=Table1[[#This Row],[High Tol]],"Pass","Fail"),IF(Table1[[#This Row],[DUT Adj Read]]&lt;=Table1[[#This Row],[High Tol]],"Pass","Fail")))</f>
        <v>Fail</v>
      </c>
      <c r="AH1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 s="1" t="b">
        <v>0</v>
      </c>
      <c r="AN132" s="1" t="b">
        <v>0</v>
      </c>
      <c r="AO132" s="1" t="b">
        <v>0</v>
      </c>
    </row>
    <row r="133" spans="1:41" x14ac:dyDescent="0.25">
      <c r="A133" s="10"/>
      <c r="B133" s="10"/>
      <c r="C133" s="10"/>
      <c r="D133" s="10"/>
      <c r="E133" s="10"/>
      <c r="F133" s="10"/>
      <c r="G133" s="10"/>
      <c r="H133" s="10"/>
      <c r="I133" s="1" t="str">
        <f t="shared" si="3"/>
        <v/>
      </c>
      <c r="J133" s="1" t="s">
        <v>35</v>
      </c>
      <c r="K133" s="1" t="str">
        <f t="shared" si="4"/>
        <v/>
      </c>
      <c r="L133" s="1" t="str">
        <f t="shared" si="5"/>
        <v/>
      </c>
      <c r="M133" s="1">
        <f>IF(OR(Table1[[#This Row],[Std Nom]]="",Table1[[#This Row],[Std Read]]=""),0,Table1[[#This Row],[Std Nom]]-Table1[[#This Row],[Std Read]])</f>
        <v>0</v>
      </c>
      <c r="N133" s="1">
        <f>IF(Calculations!$F$5="ACCREDITED 17025 WITH UNCERTAINTIES",$N$10,0)</f>
        <v>0</v>
      </c>
      <c r="Q133" s="1">
        <f>Table1[[#This Row],[High Tol]]-Table1[[#This Row],[Low Tol]]</f>
        <v>0</v>
      </c>
      <c r="R133" s="1">
        <f>2*Table1[[#This Row],[Std Error]]</f>
        <v>0</v>
      </c>
      <c r="S133" s="1" t="str">
        <f>IF(Table1[[#This Row],[High Tol]]="","N/A",IFERROR(ABS(Table1[[#This Row],[Tol Span]]/Table1[[#This Row],[Error Span]]),"N/A"))</f>
        <v>N/A</v>
      </c>
      <c r="T133" s="1" t="str">
        <f>IF(OR(Table1[[#This Row],[Low Tol]]="",Table1[[#This Row],[High Tol]]=""),"Needs Analysis",IF(Table1[[#This Row],[Ratio]]&gt;=4,"Not Significant",IF(Table1[[#This Row],[Ratio]]&gt;=2,"Semi-Significant","Significant")))</f>
        <v>Needs Analysis</v>
      </c>
      <c r="W133" s="1">
        <f>IF(Table1[[#This Row],[Cal Type]]&lt;&gt;"ACCREDITED 17025 WITH UNCERTAINTIES",0,"")</f>
        <v>0</v>
      </c>
      <c r="X133" s="1" t="str">
        <f>IF(Table1[[#This Row],[DUT Read]]="","N/A",Table1[[#This Row],[Std Error]]+Table1[[#This Row],[DUT Read]]+Table1[[#This Row],[DUT Ucty]])</f>
        <v>N/A</v>
      </c>
      <c r="Y133" s="1" t="str">
        <f>IF(Table1[[#This Row],[Std Read]]="","N/A",Table1[[#This Row],[Std Read]]+Table1[[#This Row],[Std Ucty]])</f>
        <v>N/A</v>
      </c>
      <c r="Z1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 s="1" t="str">
        <f>IF(Table1[[#This Row],[Spec Type]]="","N/A",Table1[[#This Row],[Spec Type]])</f>
        <v>±</v>
      </c>
      <c r="AC133" s="1" t="str">
        <f>IF(Table1[[#This Row],[Spec Type2]]="N/A","N/A",IF(AND(Table1[[#This Row],[DUT Adj Read]]&gt;=Table1[[#This Row],[Low Tol]],Table1[[#This Row],[DUT Adj Read]]&lt;=Table1[[#This Row],[High Tol]]),"Pass","Fail"))</f>
        <v>Fail</v>
      </c>
      <c r="AD133" s="1" t="str">
        <f>IF(AND(Table1[[#This Row],[Spec Type2]]="N/A",Table1[[#This Row],[DUT Adj Read]]="N/A",Table1[[#This Row],[Std Adj Read]]="N/A"),"N/A",IF(Table1[[#This Row],[DUT Adj Read]]="N/A",IF(Table1[[#This Row],[Std Adj Read]]&gt;Table1[[#This Row],[Low Tol]],"Pass","Fail"),IF(Table1[[#This Row],[DUT Adj Read]]&gt;Table1[[#This Row],[Low Tol]],"Pass","Fail")))</f>
        <v>Pass</v>
      </c>
      <c r="AE133" s="1" t="str">
        <f>IF(AND(Table1[[#This Row],[Spec Type2]]="N/A",Table1[[#This Row],[DUT Adj Read]]="N/A",Table1[[#This Row],[Std Adj Read]]="N/A"),"N/A",IF(Table1[[#This Row],[DUT Adj Read]]="N/A",IF(Table1[[#This Row],[Std Adj Read]]&lt;Table1[[#This Row],[High Tol]],"Pass","Fail"),IF(Table1[[#This Row],[DUT Adj Read]]&lt;Table1[[#This Row],[High Tol]],"Pass","Fail")))</f>
        <v>Fail</v>
      </c>
      <c r="AF133" s="1" t="str">
        <f>IF(AND(Table1[[#This Row],[Spec Type2]]="N/A",Table1[[#This Row],[DUT Adj Read]]="N/A",Table1[[#This Row],[Std Adj Read]]="N/A"),"N/A",IF(Table1[[#This Row],[DUT Adj Read]]="N/A",IF(Table1[[#This Row],[Std Adj Read]]&gt;=Table1[[#This Row],[Low Tol]],"Pass","Fail"),IF(Table1[[#This Row],[DUT Adj Read]]&gt;=Table1[[#This Row],[Low Tol]],"Pass","Fail")))</f>
        <v>Pass</v>
      </c>
      <c r="AG133" s="1" t="str">
        <f>IF(AND(Table1[[#This Row],[Spec Type2]]="N/A",Table1[[#This Row],[DUT Adj Read]]="N/A",Table1[[#This Row],[Std Adj Read]]="N/A"),"N/A",IF(Table1[[#This Row],[DUT Adj Read]]="N/A",IF(Table1[[#This Row],[Std Adj Read]]&lt;=Table1[[#This Row],[High Tol]],"Pass","Fail"),IF(Table1[[#This Row],[DUT Adj Read]]&lt;=Table1[[#This Row],[High Tol]],"Pass","Fail")))</f>
        <v>Fail</v>
      </c>
      <c r="AH1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 s="1" t="b">
        <v>0</v>
      </c>
      <c r="AN133" s="1" t="b">
        <v>0</v>
      </c>
      <c r="AO133" s="1" t="b">
        <v>0</v>
      </c>
    </row>
    <row r="134" spans="1:41" x14ac:dyDescent="0.25">
      <c r="A134" s="10"/>
      <c r="B134" s="10"/>
      <c r="C134" s="10"/>
      <c r="D134" s="10"/>
      <c r="E134" s="10"/>
      <c r="F134" s="10"/>
      <c r="G134" s="10"/>
      <c r="H134" s="10"/>
      <c r="I134" s="1" t="str">
        <f t="shared" si="3"/>
        <v/>
      </c>
      <c r="J134" s="1" t="s">
        <v>35</v>
      </c>
      <c r="K134" s="1" t="str">
        <f t="shared" si="4"/>
        <v/>
      </c>
      <c r="L134" s="1" t="str">
        <f t="shared" si="5"/>
        <v/>
      </c>
      <c r="M134" s="1">
        <f>IF(OR(Table1[[#This Row],[Std Nom]]="",Table1[[#This Row],[Std Read]]=""),0,Table1[[#This Row],[Std Nom]]-Table1[[#This Row],[Std Read]])</f>
        <v>0</v>
      </c>
      <c r="N134" s="1">
        <f>IF(Calculations!$F$5="ACCREDITED 17025 WITH UNCERTAINTIES",$N$10,0)</f>
        <v>0</v>
      </c>
      <c r="Q134" s="1">
        <f>Table1[[#This Row],[High Tol]]-Table1[[#This Row],[Low Tol]]</f>
        <v>0</v>
      </c>
      <c r="R134" s="1">
        <f>2*Table1[[#This Row],[Std Error]]</f>
        <v>0</v>
      </c>
      <c r="S134" s="1" t="str">
        <f>IF(Table1[[#This Row],[High Tol]]="","N/A",IFERROR(ABS(Table1[[#This Row],[Tol Span]]/Table1[[#This Row],[Error Span]]),"N/A"))</f>
        <v>N/A</v>
      </c>
      <c r="T134" s="1" t="str">
        <f>IF(OR(Table1[[#This Row],[Low Tol]]="",Table1[[#This Row],[High Tol]]=""),"Needs Analysis",IF(Table1[[#This Row],[Ratio]]&gt;=4,"Not Significant",IF(Table1[[#This Row],[Ratio]]&gt;=2,"Semi-Significant","Significant")))</f>
        <v>Needs Analysis</v>
      </c>
      <c r="W134" s="1">
        <f>IF(Table1[[#This Row],[Cal Type]]&lt;&gt;"ACCREDITED 17025 WITH UNCERTAINTIES",0,"")</f>
        <v>0</v>
      </c>
      <c r="X134" s="1" t="str">
        <f>IF(Table1[[#This Row],[DUT Read]]="","N/A",Table1[[#This Row],[Std Error]]+Table1[[#This Row],[DUT Read]]+Table1[[#This Row],[DUT Ucty]])</f>
        <v>N/A</v>
      </c>
      <c r="Y134" s="1" t="str">
        <f>IF(Table1[[#This Row],[Std Read]]="","N/A",Table1[[#This Row],[Std Read]]+Table1[[#This Row],[Std Ucty]])</f>
        <v>N/A</v>
      </c>
      <c r="Z1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 s="1" t="str">
        <f>IF(Table1[[#This Row],[Spec Type]]="","N/A",Table1[[#This Row],[Spec Type]])</f>
        <v>±</v>
      </c>
      <c r="AC134" s="1" t="str">
        <f>IF(Table1[[#This Row],[Spec Type2]]="N/A","N/A",IF(AND(Table1[[#This Row],[DUT Adj Read]]&gt;=Table1[[#This Row],[Low Tol]],Table1[[#This Row],[DUT Adj Read]]&lt;=Table1[[#This Row],[High Tol]]),"Pass","Fail"))</f>
        <v>Fail</v>
      </c>
      <c r="AD134" s="1" t="str">
        <f>IF(AND(Table1[[#This Row],[Spec Type2]]="N/A",Table1[[#This Row],[DUT Adj Read]]="N/A",Table1[[#This Row],[Std Adj Read]]="N/A"),"N/A",IF(Table1[[#This Row],[DUT Adj Read]]="N/A",IF(Table1[[#This Row],[Std Adj Read]]&gt;Table1[[#This Row],[Low Tol]],"Pass","Fail"),IF(Table1[[#This Row],[DUT Adj Read]]&gt;Table1[[#This Row],[Low Tol]],"Pass","Fail")))</f>
        <v>Pass</v>
      </c>
      <c r="AE134" s="1" t="str">
        <f>IF(AND(Table1[[#This Row],[Spec Type2]]="N/A",Table1[[#This Row],[DUT Adj Read]]="N/A",Table1[[#This Row],[Std Adj Read]]="N/A"),"N/A",IF(Table1[[#This Row],[DUT Adj Read]]="N/A",IF(Table1[[#This Row],[Std Adj Read]]&lt;Table1[[#This Row],[High Tol]],"Pass","Fail"),IF(Table1[[#This Row],[DUT Adj Read]]&lt;Table1[[#This Row],[High Tol]],"Pass","Fail")))</f>
        <v>Fail</v>
      </c>
      <c r="AF134" s="1" t="str">
        <f>IF(AND(Table1[[#This Row],[Spec Type2]]="N/A",Table1[[#This Row],[DUT Adj Read]]="N/A",Table1[[#This Row],[Std Adj Read]]="N/A"),"N/A",IF(Table1[[#This Row],[DUT Adj Read]]="N/A",IF(Table1[[#This Row],[Std Adj Read]]&gt;=Table1[[#This Row],[Low Tol]],"Pass","Fail"),IF(Table1[[#This Row],[DUT Adj Read]]&gt;=Table1[[#This Row],[Low Tol]],"Pass","Fail")))</f>
        <v>Pass</v>
      </c>
      <c r="AG134" s="1" t="str">
        <f>IF(AND(Table1[[#This Row],[Spec Type2]]="N/A",Table1[[#This Row],[DUT Adj Read]]="N/A",Table1[[#This Row],[Std Adj Read]]="N/A"),"N/A",IF(Table1[[#This Row],[DUT Adj Read]]="N/A",IF(Table1[[#This Row],[Std Adj Read]]&lt;=Table1[[#This Row],[High Tol]],"Pass","Fail"),IF(Table1[[#This Row],[DUT Adj Read]]&lt;=Table1[[#This Row],[High Tol]],"Pass","Fail")))</f>
        <v>Fail</v>
      </c>
      <c r="AH1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 s="1" t="b">
        <v>0</v>
      </c>
      <c r="AN134" s="1" t="b">
        <v>0</v>
      </c>
      <c r="AO134" s="1" t="b">
        <v>0</v>
      </c>
    </row>
    <row r="135" spans="1:41" x14ac:dyDescent="0.25">
      <c r="A135" s="10"/>
      <c r="B135" s="10"/>
      <c r="C135" s="10"/>
      <c r="D135" s="10"/>
      <c r="E135" s="10"/>
      <c r="F135" s="10"/>
      <c r="G135" s="10"/>
      <c r="H135" s="10"/>
      <c r="I135" s="1" t="str">
        <f t="shared" si="3"/>
        <v/>
      </c>
      <c r="J135" s="1" t="s">
        <v>35</v>
      </c>
      <c r="K135" s="1" t="str">
        <f t="shared" si="4"/>
        <v/>
      </c>
      <c r="L135" s="1" t="str">
        <f t="shared" si="5"/>
        <v/>
      </c>
      <c r="M135" s="1">
        <f>IF(OR(Table1[[#This Row],[Std Nom]]="",Table1[[#This Row],[Std Read]]=""),0,Table1[[#This Row],[Std Nom]]-Table1[[#This Row],[Std Read]])</f>
        <v>0</v>
      </c>
      <c r="N135" s="1">
        <f>IF(Calculations!$F$5="ACCREDITED 17025 WITH UNCERTAINTIES",$N$10,0)</f>
        <v>0</v>
      </c>
      <c r="Q135" s="1">
        <f>Table1[[#This Row],[High Tol]]-Table1[[#This Row],[Low Tol]]</f>
        <v>0</v>
      </c>
      <c r="R135" s="1">
        <f>2*Table1[[#This Row],[Std Error]]</f>
        <v>0</v>
      </c>
      <c r="S135" s="1" t="str">
        <f>IF(Table1[[#This Row],[High Tol]]="","N/A",IFERROR(ABS(Table1[[#This Row],[Tol Span]]/Table1[[#This Row],[Error Span]]),"N/A"))</f>
        <v>N/A</v>
      </c>
      <c r="T135" s="1" t="str">
        <f>IF(OR(Table1[[#This Row],[Low Tol]]="",Table1[[#This Row],[High Tol]]=""),"Needs Analysis",IF(Table1[[#This Row],[Ratio]]&gt;=4,"Not Significant",IF(Table1[[#This Row],[Ratio]]&gt;=2,"Semi-Significant","Significant")))</f>
        <v>Needs Analysis</v>
      </c>
      <c r="W135" s="1">
        <f>IF(Table1[[#This Row],[Cal Type]]&lt;&gt;"ACCREDITED 17025 WITH UNCERTAINTIES",0,"")</f>
        <v>0</v>
      </c>
      <c r="X135" s="1" t="str">
        <f>IF(Table1[[#This Row],[DUT Read]]="","N/A",Table1[[#This Row],[Std Error]]+Table1[[#This Row],[DUT Read]]+Table1[[#This Row],[DUT Ucty]])</f>
        <v>N/A</v>
      </c>
      <c r="Y135" s="1" t="str">
        <f>IF(Table1[[#This Row],[Std Read]]="","N/A",Table1[[#This Row],[Std Read]]+Table1[[#This Row],[Std Ucty]])</f>
        <v>N/A</v>
      </c>
      <c r="Z1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 s="1" t="str">
        <f>IF(Table1[[#This Row],[Spec Type]]="","N/A",Table1[[#This Row],[Spec Type]])</f>
        <v>±</v>
      </c>
      <c r="AC135" s="1" t="str">
        <f>IF(Table1[[#This Row],[Spec Type2]]="N/A","N/A",IF(AND(Table1[[#This Row],[DUT Adj Read]]&gt;=Table1[[#This Row],[Low Tol]],Table1[[#This Row],[DUT Adj Read]]&lt;=Table1[[#This Row],[High Tol]]),"Pass","Fail"))</f>
        <v>Fail</v>
      </c>
      <c r="AD135" s="1" t="str">
        <f>IF(AND(Table1[[#This Row],[Spec Type2]]="N/A",Table1[[#This Row],[DUT Adj Read]]="N/A",Table1[[#This Row],[Std Adj Read]]="N/A"),"N/A",IF(Table1[[#This Row],[DUT Adj Read]]="N/A",IF(Table1[[#This Row],[Std Adj Read]]&gt;Table1[[#This Row],[Low Tol]],"Pass","Fail"),IF(Table1[[#This Row],[DUT Adj Read]]&gt;Table1[[#This Row],[Low Tol]],"Pass","Fail")))</f>
        <v>Pass</v>
      </c>
      <c r="AE135" s="1" t="str">
        <f>IF(AND(Table1[[#This Row],[Spec Type2]]="N/A",Table1[[#This Row],[DUT Adj Read]]="N/A",Table1[[#This Row],[Std Adj Read]]="N/A"),"N/A",IF(Table1[[#This Row],[DUT Adj Read]]="N/A",IF(Table1[[#This Row],[Std Adj Read]]&lt;Table1[[#This Row],[High Tol]],"Pass","Fail"),IF(Table1[[#This Row],[DUT Adj Read]]&lt;Table1[[#This Row],[High Tol]],"Pass","Fail")))</f>
        <v>Fail</v>
      </c>
      <c r="AF135" s="1" t="str">
        <f>IF(AND(Table1[[#This Row],[Spec Type2]]="N/A",Table1[[#This Row],[DUT Adj Read]]="N/A",Table1[[#This Row],[Std Adj Read]]="N/A"),"N/A",IF(Table1[[#This Row],[DUT Adj Read]]="N/A",IF(Table1[[#This Row],[Std Adj Read]]&gt;=Table1[[#This Row],[Low Tol]],"Pass","Fail"),IF(Table1[[#This Row],[DUT Adj Read]]&gt;=Table1[[#This Row],[Low Tol]],"Pass","Fail")))</f>
        <v>Pass</v>
      </c>
      <c r="AG135" s="1" t="str">
        <f>IF(AND(Table1[[#This Row],[Spec Type2]]="N/A",Table1[[#This Row],[DUT Adj Read]]="N/A",Table1[[#This Row],[Std Adj Read]]="N/A"),"N/A",IF(Table1[[#This Row],[DUT Adj Read]]="N/A",IF(Table1[[#This Row],[Std Adj Read]]&lt;=Table1[[#This Row],[High Tol]],"Pass","Fail"),IF(Table1[[#This Row],[DUT Adj Read]]&lt;=Table1[[#This Row],[High Tol]],"Pass","Fail")))</f>
        <v>Fail</v>
      </c>
      <c r="AH1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 s="1" t="b">
        <v>0</v>
      </c>
      <c r="AN135" s="1" t="b">
        <v>0</v>
      </c>
      <c r="AO135" s="1" t="b">
        <v>0</v>
      </c>
    </row>
    <row r="136" spans="1:41" x14ac:dyDescent="0.25">
      <c r="A136" s="10"/>
      <c r="B136" s="10"/>
      <c r="C136" s="10"/>
      <c r="D136" s="10"/>
      <c r="E136" s="10"/>
      <c r="F136" s="10"/>
      <c r="G136" s="10"/>
      <c r="H136" s="10"/>
      <c r="I136" s="1" t="str">
        <f t="shared" si="3"/>
        <v/>
      </c>
      <c r="J136" s="1" t="s">
        <v>35</v>
      </c>
      <c r="K136" s="1" t="str">
        <f t="shared" si="4"/>
        <v/>
      </c>
      <c r="L136" s="1" t="str">
        <f t="shared" si="5"/>
        <v/>
      </c>
      <c r="M136" s="1">
        <f>IF(OR(Table1[[#This Row],[Std Nom]]="",Table1[[#This Row],[Std Read]]=""),0,Table1[[#This Row],[Std Nom]]-Table1[[#This Row],[Std Read]])</f>
        <v>0</v>
      </c>
      <c r="N136" s="1">
        <f>IF(Calculations!$F$5="ACCREDITED 17025 WITH UNCERTAINTIES",$N$10,0)</f>
        <v>0</v>
      </c>
      <c r="Q136" s="1">
        <f>Table1[[#This Row],[High Tol]]-Table1[[#This Row],[Low Tol]]</f>
        <v>0</v>
      </c>
      <c r="R136" s="1">
        <f>2*Table1[[#This Row],[Std Error]]</f>
        <v>0</v>
      </c>
      <c r="S136" s="1" t="str">
        <f>IF(Table1[[#This Row],[High Tol]]="","N/A",IFERROR(ABS(Table1[[#This Row],[Tol Span]]/Table1[[#This Row],[Error Span]]),"N/A"))</f>
        <v>N/A</v>
      </c>
      <c r="T136" s="1" t="str">
        <f>IF(OR(Table1[[#This Row],[Low Tol]]="",Table1[[#This Row],[High Tol]]=""),"Needs Analysis",IF(Table1[[#This Row],[Ratio]]&gt;=4,"Not Significant",IF(Table1[[#This Row],[Ratio]]&gt;=2,"Semi-Significant","Significant")))</f>
        <v>Needs Analysis</v>
      </c>
      <c r="W136" s="1">
        <f>IF(Table1[[#This Row],[Cal Type]]&lt;&gt;"ACCREDITED 17025 WITH UNCERTAINTIES",0,"")</f>
        <v>0</v>
      </c>
      <c r="X136" s="1" t="str">
        <f>IF(Table1[[#This Row],[DUT Read]]="","N/A",Table1[[#This Row],[Std Error]]+Table1[[#This Row],[DUT Read]]+Table1[[#This Row],[DUT Ucty]])</f>
        <v>N/A</v>
      </c>
      <c r="Y136" s="1" t="str">
        <f>IF(Table1[[#This Row],[Std Read]]="","N/A",Table1[[#This Row],[Std Read]]+Table1[[#This Row],[Std Ucty]])</f>
        <v>N/A</v>
      </c>
      <c r="Z1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 s="1" t="str">
        <f>IF(Table1[[#This Row],[Spec Type]]="","N/A",Table1[[#This Row],[Spec Type]])</f>
        <v>±</v>
      </c>
      <c r="AC136" s="1" t="str">
        <f>IF(Table1[[#This Row],[Spec Type2]]="N/A","N/A",IF(AND(Table1[[#This Row],[DUT Adj Read]]&gt;=Table1[[#This Row],[Low Tol]],Table1[[#This Row],[DUT Adj Read]]&lt;=Table1[[#This Row],[High Tol]]),"Pass","Fail"))</f>
        <v>Fail</v>
      </c>
      <c r="AD136" s="1" t="str">
        <f>IF(AND(Table1[[#This Row],[Spec Type2]]="N/A",Table1[[#This Row],[DUT Adj Read]]="N/A",Table1[[#This Row],[Std Adj Read]]="N/A"),"N/A",IF(Table1[[#This Row],[DUT Adj Read]]="N/A",IF(Table1[[#This Row],[Std Adj Read]]&gt;Table1[[#This Row],[Low Tol]],"Pass","Fail"),IF(Table1[[#This Row],[DUT Adj Read]]&gt;Table1[[#This Row],[Low Tol]],"Pass","Fail")))</f>
        <v>Pass</v>
      </c>
      <c r="AE136" s="1" t="str">
        <f>IF(AND(Table1[[#This Row],[Spec Type2]]="N/A",Table1[[#This Row],[DUT Adj Read]]="N/A",Table1[[#This Row],[Std Adj Read]]="N/A"),"N/A",IF(Table1[[#This Row],[DUT Adj Read]]="N/A",IF(Table1[[#This Row],[Std Adj Read]]&lt;Table1[[#This Row],[High Tol]],"Pass","Fail"),IF(Table1[[#This Row],[DUT Adj Read]]&lt;Table1[[#This Row],[High Tol]],"Pass","Fail")))</f>
        <v>Fail</v>
      </c>
      <c r="AF136" s="1" t="str">
        <f>IF(AND(Table1[[#This Row],[Spec Type2]]="N/A",Table1[[#This Row],[DUT Adj Read]]="N/A",Table1[[#This Row],[Std Adj Read]]="N/A"),"N/A",IF(Table1[[#This Row],[DUT Adj Read]]="N/A",IF(Table1[[#This Row],[Std Adj Read]]&gt;=Table1[[#This Row],[Low Tol]],"Pass","Fail"),IF(Table1[[#This Row],[DUT Adj Read]]&gt;=Table1[[#This Row],[Low Tol]],"Pass","Fail")))</f>
        <v>Pass</v>
      </c>
      <c r="AG136" s="1" t="str">
        <f>IF(AND(Table1[[#This Row],[Spec Type2]]="N/A",Table1[[#This Row],[DUT Adj Read]]="N/A",Table1[[#This Row],[Std Adj Read]]="N/A"),"N/A",IF(Table1[[#This Row],[DUT Adj Read]]="N/A",IF(Table1[[#This Row],[Std Adj Read]]&lt;=Table1[[#This Row],[High Tol]],"Pass","Fail"),IF(Table1[[#This Row],[DUT Adj Read]]&lt;=Table1[[#This Row],[High Tol]],"Pass","Fail")))</f>
        <v>Fail</v>
      </c>
      <c r="AH1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 s="1" t="b">
        <v>0</v>
      </c>
      <c r="AN136" s="1" t="b">
        <v>0</v>
      </c>
      <c r="AO136" s="1" t="b">
        <v>0</v>
      </c>
    </row>
    <row r="137" spans="1:41" x14ac:dyDescent="0.25">
      <c r="A137" s="10"/>
      <c r="B137" s="10"/>
      <c r="C137" s="10"/>
      <c r="D137" s="10"/>
      <c r="E137" s="10"/>
      <c r="F137" s="10"/>
      <c r="G137" s="10"/>
      <c r="H137" s="10"/>
      <c r="I137" s="1" t="str">
        <f t="shared" si="3"/>
        <v/>
      </c>
      <c r="J137" s="1" t="s">
        <v>35</v>
      </c>
      <c r="K137" s="1" t="str">
        <f t="shared" si="4"/>
        <v/>
      </c>
      <c r="L137" s="1" t="str">
        <f t="shared" si="5"/>
        <v/>
      </c>
      <c r="M137" s="1">
        <f>IF(OR(Table1[[#This Row],[Std Nom]]="",Table1[[#This Row],[Std Read]]=""),0,Table1[[#This Row],[Std Nom]]-Table1[[#This Row],[Std Read]])</f>
        <v>0</v>
      </c>
      <c r="N137" s="1">
        <f>IF(Calculations!$F$5="ACCREDITED 17025 WITH UNCERTAINTIES",$N$10,0)</f>
        <v>0</v>
      </c>
      <c r="Q137" s="1">
        <f>Table1[[#This Row],[High Tol]]-Table1[[#This Row],[Low Tol]]</f>
        <v>0</v>
      </c>
      <c r="R137" s="1">
        <f>2*Table1[[#This Row],[Std Error]]</f>
        <v>0</v>
      </c>
      <c r="S137" s="1" t="str">
        <f>IF(Table1[[#This Row],[High Tol]]="","N/A",IFERROR(ABS(Table1[[#This Row],[Tol Span]]/Table1[[#This Row],[Error Span]]),"N/A"))</f>
        <v>N/A</v>
      </c>
      <c r="T137" s="1" t="str">
        <f>IF(OR(Table1[[#This Row],[Low Tol]]="",Table1[[#This Row],[High Tol]]=""),"Needs Analysis",IF(Table1[[#This Row],[Ratio]]&gt;=4,"Not Significant",IF(Table1[[#This Row],[Ratio]]&gt;=2,"Semi-Significant","Significant")))</f>
        <v>Needs Analysis</v>
      </c>
      <c r="W137" s="1">
        <f>IF(Table1[[#This Row],[Cal Type]]&lt;&gt;"ACCREDITED 17025 WITH UNCERTAINTIES",0,"")</f>
        <v>0</v>
      </c>
      <c r="X137" s="1" t="str">
        <f>IF(Table1[[#This Row],[DUT Read]]="","N/A",Table1[[#This Row],[Std Error]]+Table1[[#This Row],[DUT Read]]+Table1[[#This Row],[DUT Ucty]])</f>
        <v>N/A</v>
      </c>
      <c r="Y137" s="1" t="str">
        <f>IF(Table1[[#This Row],[Std Read]]="","N/A",Table1[[#This Row],[Std Read]]+Table1[[#This Row],[Std Ucty]])</f>
        <v>N/A</v>
      </c>
      <c r="Z1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 s="1" t="str">
        <f>IF(Table1[[#This Row],[Spec Type]]="","N/A",Table1[[#This Row],[Spec Type]])</f>
        <v>±</v>
      </c>
      <c r="AC137" s="1" t="str">
        <f>IF(Table1[[#This Row],[Spec Type2]]="N/A","N/A",IF(AND(Table1[[#This Row],[DUT Adj Read]]&gt;=Table1[[#This Row],[Low Tol]],Table1[[#This Row],[DUT Adj Read]]&lt;=Table1[[#This Row],[High Tol]]),"Pass","Fail"))</f>
        <v>Fail</v>
      </c>
      <c r="AD137" s="1" t="str">
        <f>IF(AND(Table1[[#This Row],[Spec Type2]]="N/A",Table1[[#This Row],[DUT Adj Read]]="N/A",Table1[[#This Row],[Std Adj Read]]="N/A"),"N/A",IF(Table1[[#This Row],[DUT Adj Read]]="N/A",IF(Table1[[#This Row],[Std Adj Read]]&gt;Table1[[#This Row],[Low Tol]],"Pass","Fail"),IF(Table1[[#This Row],[DUT Adj Read]]&gt;Table1[[#This Row],[Low Tol]],"Pass","Fail")))</f>
        <v>Pass</v>
      </c>
      <c r="AE137" s="1" t="str">
        <f>IF(AND(Table1[[#This Row],[Spec Type2]]="N/A",Table1[[#This Row],[DUT Adj Read]]="N/A",Table1[[#This Row],[Std Adj Read]]="N/A"),"N/A",IF(Table1[[#This Row],[DUT Adj Read]]="N/A",IF(Table1[[#This Row],[Std Adj Read]]&lt;Table1[[#This Row],[High Tol]],"Pass","Fail"),IF(Table1[[#This Row],[DUT Adj Read]]&lt;Table1[[#This Row],[High Tol]],"Pass","Fail")))</f>
        <v>Fail</v>
      </c>
      <c r="AF137" s="1" t="str">
        <f>IF(AND(Table1[[#This Row],[Spec Type2]]="N/A",Table1[[#This Row],[DUT Adj Read]]="N/A",Table1[[#This Row],[Std Adj Read]]="N/A"),"N/A",IF(Table1[[#This Row],[DUT Adj Read]]="N/A",IF(Table1[[#This Row],[Std Adj Read]]&gt;=Table1[[#This Row],[Low Tol]],"Pass","Fail"),IF(Table1[[#This Row],[DUT Adj Read]]&gt;=Table1[[#This Row],[Low Tol]],"Pass","Fail")))</f>
        <v>Pass</v>
      </c>
      <c r="AG137" s="1" t="str">
        <f>IF(AND(Table1[[#This Row],[Spec Type2]]="N/A",Table1[[#This Row],[DUT Adj Read]]="N/A",Table1[[#This Row],[Std Adj Read]]="N/A"),"N/A",IF(Table1[[#This Row],[DUT Adj Read]]="N/A",IF(Table1[[#This Row],[Std Adj Read]]&lt;=Table1[[#This Row],[High Tol]],"Pass","Fail"),IF(Table1[[#This Row],[DUT Adj Read]]&lt;=Table1[[#This Row],[High Tol]],"Pass","Fail")))</f>
        <v>Fail</v>
      </c>
      <c r="AH1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 s="1" t="b">
        <v>0</v>
      </c>
      <c r="AN137" s="1" t="b">
        <v>0</v>
      </c>
      <c r="AO137" s="1" t="b">
        <v>0</v>
      </c>
    </row>
    <row r="138" spans="1:41" x14ac:dyDescent="0.25">
      <c r="A138" s="10"/>
      <c r="B138" s="10"/>
      <c r="C138" s="10"/>
      <c r="D138" s="10"/>
      <c r="E138" s="10"/>
      <c r="F138" s="10"/>
      <c r="G138" s="10"/>
      <c r="H138" s="10"/>
      <c r="I138" s="1" t="str">
        <f t="shared" si="3"/>
        <v/>
      </c>
      <c r="J138" s="1" t="s">
        <v>35</v>
      </c>
      <c r="K138" s="1" t="str">
        <f t="shared" si="4"/>
        <v/>
      </c>
      <c r="L138" s="1" t="str">
        <f t="shared" si="5"/>
        <v/>
      </c>
      <c r="M138" s="1">
        <f>IF(OR(Table1[[#This Row],[Std Nom]]="",Table1[[#This Row],[Std Read]]=""),0,Table1[[#This Row],[Std Nom]]-Table1[[#This Row],[Std Read]])</f>
        <v>0</v>
      </c>
      <c r="N138" s="1">
        <f>IF(Calculations!$F$5="ACCREDITED 17025 WITH UNCERTAINTIES",$N$10,0)</f>
        <v>0</v>
      </c>
      <c r="Q138" s="1">
        <f>Table1[[#This Row],[High Tol]]-Table1[[#This Row],[Low Tol]]</f>
        <v>0</v>
      </c>
      <c r="R138" s="1">
        <f>2*Table1[[#This Row],[Std Error]]</f>
        <v>0</v>
      </c>
      <c r="S138" s="1" t="str">
        <f>IF(Table1[[#This Row],[High Tol]]="","N/A",IFERROR(ABS(Table1[[#This Row],[Tol Span]]/Table1[[#This Row],[Error Span]]),"N/A"))</f>
        <v>N/A</v>
      </c>
      <c r="T138" s="1" t="str">
        <f>IF(OR(Table1[[#This Row],[Low Tol]]="",Table1[[#This Row],[High Tol]]=""),"Needs Analysis",IF(Table1[[#This Row],[Ratio]]&gt;=4,"Not Significant",IF(Table1[[#This Row],[Ratio]]&gt;=2,"Semi-Significant","Significant")))</f>
        <v>Needs Analysis</v>
      </c>
      <c r="W138" s="1">
        <f>IF(Table1[[#This Row],[Cal Type]]&lt;&gt;"ACCREDITED 17025 WITH UNCERTAINTIES",0,"")</f>
        <v>0</v>
      </c>
      <c r="X138" s="1" t="str">
        <f>IF(Table1[[#This Row],[DUT Read]]="","N/A",Table1[[#This Row],[Std Error]]+Table1[[#This Row],[DUT Read]]+Table1[[#This Row],[DUT Ucty]])</f>
        <v>N/A</v>
      </c>
      <c r="Y138" s="1" t="str">
        <f>IF(Table1[[#This Row],[Std Read]]="","N/A",Table1[[#This Row],[Std Read]]+Table1[[#This Row],[Std Ucty]])</f>
        <v>N/A</v>
      </c>
      <c r="Z1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 s="1" t="str">
        <f>IF(Table1[[#This Row],[Spec Type]]="","N/A",Table1[[#This Row],[Spec Type]])</f>
        <v>±</v>
      </c>
      <c r="AC138" s="1" t="str">
        <f>IF(Table1[[#This Row],[Spec Type2]]="N/A","N/A",IF(AND(Table1[[#This Row],[DUT Adj Read]]&gt;=Table1[[#This Row],[Low Tol]],Table1[[#This Row],[DUT Adj Read]]&lt;=Table1[[#This Row],[High Tol]]),"Pass","Fail"))</f>
        <v>Fail</v>
      </c>
      <c r="AD138" s="1" t="str">
        <f>IF(AND(Table1[[#This Row],[Spec Type2]]="N/A",Table1[[#This Row],[DUT Adj Read]]="N/A",Table1[[#This Row],[Std Adj Read]]="N/A"),"N/A",IF(Table1[[#This Row],[DUT Adj Read]]="N/A",IF(Table1[[#This Row],[Std Adj Read]]&gt;Table1[[#This Row],[Low Tol]],"Pass","Fail"),IF(Table1[[#This Row],[DUT Adj Read]]&gt;Table1[[#This Row],[Low Tol]],"Pass","Fail")))</f>
        <v>Pass</v>
      </c>
      <c r="AE138" s="1" t="str">
        <f>IF(AND(Table1[[#This Row],[Spec Type2]]="N/A",Table1[[#This Row],[DUT Adj Read]]="N/A",Table1[[#This Row],[Std Adj Read]]="N/A"),"N/A",IF(Table1[[#This Row],[DUT Adj Read]]="N/A",IF(Table1[[#This Row],[Std Adj Read]]&lt;Table1[[#This Row],[High Tol]],"Pass","Fail"),IF(Table1[[#This Row],[DUT Adj Read]]&lt;Table1[[#This Row],[High Tol]],"Pass","Fail")))</f>
        <v>Fail</v>
      </c>
      <c r="AF138" s="1" t="str">
        <f>IF(AND(Table1[[#This Row],[Spec Type2]]="N/A",Table1[[#This Row],[DUT Adj Read]]="N/A",Table1[[#This Row],[Std Adj Read]]="N/A"),"N/A",IF(Table1[[#This Row],[DUT Adj Read]]="N/A",IF(Table1[[#This Row],[Std Adj Read]]&gt;=Table1[[#This Row],[Low Tol]],"Pass","Fail"),IF(Table1[[#This Row],[DUT Adj Read]]&gt;=Table1[[#This Row],[Low Tol]],"Pass","Fail")))</f>
        <v>Pass</v>
      </c>
      <c r="AG138" s="1" t="str">
        <f>IF(AND(Table1[[#This Row],[Spec Type2]]="N/A",Table1[[#This Row],[DUT Adj Read]]="N/A",Table1[[#This Row],[Std Adj Read]]="N/A"),"N/A",IF(Table1[[#This Row],[DUT Adj Read]]="N/A",IF(Table1[[#This Row],[Std Adj Read]]&lt;=Table1[[#This Row],[High Tol]],"Pass","Fail"),IF(Table1[[#This Row],[DUT Adj Read]]&lt;=Table1[[#This Row],[High Tol]],"Pass","Fail")))</f>
        <v>Fail</v>
      </c>
      <c r="AH1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 s="1" t="b">
        <v>0</v>
      </c>
      <c r="AN138" s="1" t="b">
        <v>0</v>
      </c>
      <c r="AO138" s="1" t="b">
        <v>0</v>
      </c>
    </row>
    <row r="139" spans="1:41" x14ac:dyDescent="0.25">
      <c r="A139" s="10"/>
      <c r="B139" s="10"/>
      <c r="C139" s="10"/>
      <c r="D139" s="10"/>
      <c r="E139" s="10"/>
      <c r="F139" s="10"/>
      <c r="G139" s="10"/>
      <c r="H139" s="10"/>
      <c r="I139" s="1" t="str">
        <f t="shared" ref="I139:I202" si="6">IF($I$10="","",$I$10)</f>
        <v/>
      </c>
      <c r="J139" s="1" t="s">
        <v>35</v>
      </c>
      <c r="K139" s="1" t="str">
        <f t="shared" ref="K139:K202" si="7">IF($K$10="","",$K$10)</f>
        <v/>
      </c>
      <c r="L139" s="1" t="str">
        <f t="shared" ref="L139:L202" si="8">IF($L$10="","",$L$10)</f>
        <v/>
      </c>
      <c r="M139" s="1">
        <f>IF(OR(Table1[[#This Row],[Std Nom]]="",Table1[[#This Row],[Std Read]]=""),0,Table1[[#This Row],[Std Nom]]-Table1[[#This Row],[Std Read]])</f>
        <v>0</v>
      </c>
      <c r="N139" s="1">
        <f>IF(Calculations!$F$5="ACCREDITED 17025 WITH UNCERTAINTIES",$N$10,0)</f>
        <v>0</v>
      </c>
      <c r="Q139" s="1">
        <f>Table1[[#This Row],[High Tol]]-Table1[[#This Row],[Low Tol]]</f>
        <v>0</v>
      </c>
      <c r="R139" s="1">
        <f>2*Table1[[#This Row],[Std Error]]</f>
        <v>0</v>
      </c>
      <c r="S139" s="1" t="str">
        <f>IF(Table1[[#This Row],[High Tol]]="","N/A",IFERROR(ABS(Table1[[#This Row],[Tol Span]]/Table1[[#This Row],[Error Span]]),"N/A"))</f>
        <v>N/A</v>
      </c>
      <c r="T139" s="1" t="str">
        <f>IF(OR(Table1[[#This Row],[Low Tol]]="",Table1[[#This Row],[High Tol]]=""),"Needs Analysis",IF(Table1[[#This Row],[Ratio]]&gt;=4,"Not Significant",IF(Table1[[#This Row],[Ratio]]&gt;=2,"Semi-Significant","Significant")))</f>
        <v>Needs Analysis</v>
      </c>
      <c r="W139" s="1">
        <f>IF(Table1[[#This Row],[Cal Type]]&lt;&gt;"ACCREDITED 17025 WITH UNCERTAINTIES",0,"")</f>
        <v>0</v>
      </c>
      <c r="X139" s="1" t="str">
        <f>IF(Table1[[#This Row],[DUT Read]]="","N/A",Table1[[#This Row],[Std Error]]+Table1[[#This Row],[DUT Read]]+Table1[[#This Row],[DUT Ucty]])</f>
        <v>N/A</v>
      </c>
      <c r="Y139" s="1" t="str">
        <f>IF(Table1[[#This Row],[Std Read]]="","N/A",Table1[[#This Row],[Std Read]]+Table1[[#This Row],[Std Ucty]])</f>
        <v>N/A</v>
      </c>
      <c r="Z1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 s="1" t="str">
        <f>IF(Table1[[#This Row],[Spec Type]]="","N/A",Table1[[#This Row],[Spec Type]])</f>
        <v>±</v>
      </c>
      <c r="AC139" s="1" t="str">
        <f>IF(Table1[[#This Row],[Spec Type2]]="N/A","N/A",IF(AND(Table1[[#This Row],[DUT Adj Read]]&gt;=Table1[[#This Row],[Low Tol]],Table1[[#This Row],[DUT Adj Read]]&lt;=Table1[[#This Row],[High Tol]]),"Pass","Fail"))</f>
        <v>Fail</v>
      </c>
      <c r="AD139" s="1" t="str">
        <f>IF(AND(Table1[[#This Row],[Spec Type2]]="N/A",Table1[[#This Row],[DUT Adj Read]]="N/A",Table1[[#This Row],[Std Adj Read]]="N/A"),"N/A",IF(Table1[[#This Row],[DUT Adj Read]]="N/A",IF(Table1[[#This Row],[Std Adj Read]]&gt;Table1[[#This Row],[Low Tol]],"Pass","Fail"),IF(Table1[[#This Row],[DUT Adj Read]]&gt;Table1[[#This Row],[Low Tol]],"Pass","Fail")))</f>
        <v>Pass</v>
      </c>
      <c r="AE139" s="1" t="str">
        <f>IF(AND(Table1[[#This Row],[Spec Type2]]="N/A",Table1[[#This Row],[DUT Adj Read]]="N/A",Table1[[#This Row],[Std Adj Read]]="N/A"),"N/A",IF(Table1[[#This Row],[DUT Adj Read]]="N/A",IF(Table1[[#This Row],[Std Adj Read]]&lt;Table1[[#This Row],[High Tol]],"Pass","Fail"),IF(Table1[[#This Row],[DUT Adj Read]]&lt;Table1[[#This Row],[High Tol]],"Pass","Fail")))</f>
        <v>Fail</v>
      </c>
      <c r="AF139" s="1" t="str">
        <f>IF(AND(Table1[[#This Row],[Spec Type2]]="N/A",Table1[[#This Row],[DUT Adj Read]]="N/A",Table1[[#This Row],[Std Adj Read]]="N/A"),"N/A",IF(Table1[[#This Row],[DUT Adj Read]]="N/A",IF(Table1[[#This Row],[Std Adj Read]]&gt;=Table1[[#This Row],[Low Tol]],"Pass","Fail"),IF(Table1[[#This Row],[DUT Adj Read]]&gt;=Table1[[#This Row],[Low Tol]],"Pass","Fail")))</f>
        <v>Pass</v>
      </c>
      <c r="AG139" s="1" t="str">
        <f>IF(AND(Table1[[#This Row],[Spec Type2]]="N/A",Table1[[#This Row],[DUT Adj Read]]="N/A",Table1[[#This Row],[Std Adj Read]]="N/A"),"N/A",IF(Table1[[#This Row],[DUT Adj Read]]="N/A",IF(Table1[[#This Row],[Std Adj Read]]&lt;=Table1[[#This Row],[High Tol]],"Pass","Fail"),IF(Table1[[#This Row],[DUT Adj Read]]&lt;=Table1[[#This Row],[High Tol]],"Pass","Fail")))</f>
        <v>Fail</v>
      </c>
      <c r="AH1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 s="1" t="b">
        <v>0</v>
      </c>
      <c r="AN139" s="1" t="b">
        <v>0</v>
      </c>
      <c r="AO139" s="1" t="b">
        <v>0</v>
      </c>
    </row>
    <row r="140" spans="1:41" x14ac:dyDescent="0.25">
      <c r="A140" s="10"/>
      <c r="B140" s="10"/>
      <c r="C140" s="10"/>
      <c r="D140" s="10"/>
      <c r="E140" s="10"/>
      <c r="F140" s="10"/>
      <c r="G140" s="10"/>
      <c r="H140" s="10"/>
      <c r="I140" s="1" t="str">
        <f t="shared" si="6"/>
        <v/>
      </c>
      <c r="J140" s="1" t="s">
        <v>35</v>
      </c>
      <c r="K140" s="1" t="str">
        <f t="shared" si="7"/>
        <v/>
      </c>
      <c r="L140" s="1" t="str">
        <f t="shared" si="8"/>
        <v/>
      </c>
      <c r="M140" s="1">
        <f>IF(OR(Table1[[#This Row],[Std Nom]]="",Table1[[#This Row],[Std Read]]=""),0,Table1[[#This Row],[Std Nom]]-Table1[[#This Row],[Std Read]])</f>
        <v>0</v>
      </c>
      <c r="N140" s="1">
        <f>IF(Calculations!$F$5="ACCREDITED 17025 WITH UNCERTAINTIES",$N$10,0)</f>
        <v>0</v>
      </c>
      <c r="Q140" s="1">
        <f>Table1[[#This Row],[High Tol]]-Table1[[#This Row],[Low Tol]]</f>
        <v>0</v>
      </c>
      <c r="R140" s="1">
        <f>2*Table1[[#This Row],[Std Error]]</f>
        <v>0</v>
      </c>
      <c r="S140" s="1" t="str">
        <f>IF(Table1[[#This Row],[High Tol]]="","N/A",IFERROR(ABS(Table1[[#This Row],[Tol Span]]/Table1[[#This Row],[Error Span]]),"N/A"))</f>
        <v>N/A</v>
      </c>
      <c r="T140" s="1" t="str">
        <f>IF(OR(Table1[[#This Row],[Low Tol]]="",Table1[[#This Row],[High Tol]]=""),"Needs Analysis",IF(Table1[[#This Row],[Ratio]]&gt;=4,"Not Significant",IF(Table1[[#This Row],[Ratio]]&gt;=2,"Semi-Significant","Significant")))</f>
        <v>Needs Analysis</v>
      </c>
      <c r="W140" s="1">
        <f>IF(Table1[[#This Row],[Cal Type]]&lt;&gt;"ACCREDITED 17025 WITH UNCERTAINTIES",0,"")</f>
        <v>0</v>
      </c>
      <c r="X140" s="1" t="str">
        <f>IF(Table1[[#This Row],[DUT Read]]="","N/A",Table1[[#This Row],[Std Error]]+Table1[[#This Row],[DUT Read]]+Table1[[#This Row],[DUT Ucty]])</f>
        <v>N/A</v>
      </c>
      <c r="Y140" s="1" t="str">
        <f>IF(Table1[[#This Row],[Std Read]]="","N/A",Table1[[#This Row],[Std Read]]+Table1[[#This Row],[Std Ucty]])</f>
        <v>N/A</v>
      </c>
      <c r="Z1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 s="1" t="str">
        <f>IF(Table1[[#This Row],[Spec Type]]="","N/A",Table1[[#This Row],[Spec Type]])</f>
        <v>±</v>
      </c>
      <c r="AC140" s="1" t="str">
        <f>IF(Table1[[#This Row],[Spec Type2]]="N/A","N/A",IF(AND(Table1[[#This Row],[DUT Adj Read]]&gt;=Table1[[#This Row],[Low Tol]],Table1[[#This Row],[DUT Adj Read]]&lt;=Table1[[#This Row],[High Tol]]),"Pass","Fail"))</f>
        <v>Fail</v>
      </c>
      <c r="AD140" s="1" t="str">
        <f>IF(AND(Table1[[#This Row],[Spec Type2]]="N/A",Table1[[#This Row],[DUT Adj Read]]="N/A",Table1[[#This Row],[Std Adj Read]]="N/A"),"N/A",IF(Table1[[#This Row],[DUT Adj Read]]="N/A",IF(Table1[[#This Row],[Std Adj Read]]&gt;Table1[[#This Row],[Low Tol]],"Pass","Fail"),IF(Table1[[#This Row],[DUT Adj Read]]&gt;Table1[[#This Row],[Low Tol]],"Pass","Fail")))</f>
        <v>Pass</v>
      </c>
      <c r="AE140" s="1" t="str">
        <f>IF(AND(Table1[[#This Row],[Spec Type2]]="N/A",Table1[[#This Row],[DUT Adj Read]]="N/A",Table1[[#This Row],[Std Adj Read]]="N/A"),"N/A",IF(Table1[[#This Row],[DUT Adj Read]]="N/A",IF(Table1[[#This Row],[Std Adj Read]]&lt;Table1[[#This Row],[High Tol]],"Pass","Fail"),IF(Table1[[#This Row],[DUT Adj Read]]&lt;Table1[[#This Row],[High Tol]],"Pass","Fail")))</f>
        <v>Fail</v>
      </c>
      <c r="AF140" s="1" t="str">
        <f>IF(AND(Table1[[#This Row],[Spec Type2]]="N/A",Table1[[#This Row],[DUT Adj Read]]="N/A",Table1[[#This Row],[Std Adj Read]]="N/A"),"N/A",IF(Table1[[#This Row],[DUT Adj Read]]="N/A",IF(Table1[[#This Row],[Std Adj Read]]&gt;=Table1[[#This Row],[Low Tol]],"Pass","Fail"),IF(Table1[[#This Row],[DUT Adj Read]]&gt;=Table1[[#This Row],[Low Tol]],"Pass","Fail")))</f>
        <v>Pass</v>
      </c>
      <c r="AG140" s="1" t="str">
        <f>IF(AND(Table1[[#This Row],[Spec Type2]]="N/A",Table1[[#This Row],[DUT Adj Read]]="N/A",Table1[[#This Row],[Std Adj Read]]="N/A"),"N/A",IF(Table1[[#This Row],[DUT Adj Read]]="N/A",IF(Table1[[#This Row],[Std Adj Read]]&lt;=Table1[[#This Row],[High Tol]],"Pass","Fail"),IF(Table1[[#This Row],[DUT Adj Read]]&lt;=Table1[[#This Row],[High Tol]],"Pass","Fail")))</f>
        <v>Fail</v>
      </c>
      <c r="AH1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 s="1" t="b">
        <v>0</v>
      </c>
      <c r="AN140" s="1" t="b">
        <v>0</v>
      </c>
      <c r="AO140" s="1" t="b">
        <v>0</v>
      </c>
    </row>
    <row r="141" spans="1:41" x14ac:dyDescent="0.25">
      <c r="A141" s="10"/>
      <c r="B141" s="10"/>
      <c r="C141" s="10"/>
      <c r="D141" s="10"/>
      <c r="E141" s="10"/>
      <c r="F141" s="10"/>
      <c r="G141" s="10"/>
      <c r="H141" s="10"/>
      <c r="I141" s="1" t="str">
        <f t="shared" si="6"/>
        <v/>
      </c>
      <c r="J141" s="1" t="s">
        <v>35</v>
      </c>
      <c r="K141" s="1" t="str">
        <f t="shared" si="7"/>
        <v/>
      </c>
      <c r="L141" s="1" t="str">
        <f t="shared" si="8"/>
        <v/>
      </c>
      <c r="M141" s="1">
        <f>IF(OR(Table1[[#This Row],[Std Nom]]="",Table1[[#This Row],[Std Read]]=""),0,Table1[[#This Row],[Std Nom]]-Table1[[#This Row],[Std Read]])</f>
        <v>0</v>
      </c>
      <c r="N141" s="1">
        <f>IF(Calculations!$F$5="ACCREDITED 17025 WITH UNCERTAINTIES",$N$10,0)</f>
        <v>0</v>
      </c>
      <c r="Q141" s="1">
        <f>Table1[[#This Row],[High Tol]]-Table1[[#This Row],[Low Tol]]</f>
        <v>0</v>
      </c>
      <c r="R141" s="1">
        <f>2*Table1[[#This Row],[Std Error]]</f>
        <v>0</v>
      </c>
      <c r="S141" s="1" t="str">
        <f>IF(Table1[[#This Row],[High Tol]]="","N/A",IFERROR(ABS(Table1[[#This Row],[Tol Span]]/Table1[[#This Row],[Error Span]]),"N/A"))</f>
        <v>N/A</v>
      </c>
      <c r="T141" s="1" t="str">
        <f>IF(OR(Table1[[#This Row],[Low Tol]]="",Table1[[#This Row],[High Tol]]=""),"Needs Analysis",IF(Table1[[#This Row],[Ratio]]&gt;=4,"Not Significant",IF(Table1[[#This Row],[Ratio]]&gt;=2,"Semi-Significant","Significant")))</f>
        <v>Needs Analysis</v>
      </c>
      <c r="W141" s="1">
        <f>IF(Table1[[#This Row],[Cal Type]]&lt;&gt;"ACCREDITED 17025 WITH UNCERTAINTIES",0,"")</f>
        <v>0</v>
      </c>
      <c r="X141" s="1" t="str">
        <f>IF(Table1[[#This Row],[DUT Read]]="","N/A",Table1[[#This Row],[Std Error]]+Table1[[#This Row],[DUT Read]]+Table1[[#This Row],[DUT Ucty]])</f>
        <v>N/A</v>
      </c>
      <c r="Y141" s="1" t="str">
        <f>IF(Table1[[#This Row],[Std Read]]="","N/A",Table1[[#This Row],[Std Read]]+Table1[[#This Row],[Std Ucty]])</f>
        <v>N/A</v>
      </c>
      <c r="Z1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 s="1" t="str">
        <f>IF(Table1[[#This Row],[Spec Type]]="","N/A",Table1[[#This Row],[Spec Type]])</f>
        <v>±</v>
      </c>
      <c r="AC141" s="1" t="str">
        <f>IF(Table1[[#This Row],[Spec Type2]]="N/A","N/A",IF(AND(Table1[[#This Row],[DUT Adj Read]]&gt;=Table1[[#This Row],[Low Tol]],Table1[[#This Row],[DUT Adj Read]]&lt;=Table1[[#This Row],[High Tol]]),"Pass","Fail"))</f>
        <v>Fail</v>
      </c>
      <c r="AD141" s="1" t="str">
        <f>IF(AND(Table1[[#This Row],[Spec Type2]]="N/A",Table1[[#This Row],[DUT Adj Read]]="N/A",Table1[[#This Row],[Std Adj Read]]="N/A"),"N/A",IF(Table1[[#This Row],[DUT Adj Read]]="N/A",IF(Table1[[#This Row],[Std Adj Read]]&gt;Table1[[#This Row],[Low Tol]],"Pass","Fail"),IF(Table1[[#This Row],[DUT Adj Read]]&gt;Table1[[#This Row],[Low Tol]],"Pass","Fail")))</f>
        <v>Pass</v>
      </c>
      <c r="AE141" s="1" t="str">
        <f>IF(AND(Table1[[#This Row],[Spec Type2]]="N/A",Table1[[#This Row],[DUT Adj Read]]="N/A",Table1[[#This Row],[Std Adj Read]]="N/A"),"N/A",IF(Table1[[#This Row],[DUT Adj Read]]="N/A",IF(Table1[[#This Row],[Std Adj Read]]&lt;Table1[[#This Row],[High Tol]],"Pass","Fail"),IF(Table1[[#This Row],[DUT Adj Read]]&lt;Table1[[#This Row],[High Tol]],"Pass","Fail")))</f>
        <v>Fail</v>
      </c>
      <c r="AF141" s="1" t="str">
        <f>IF(AND(Table1[[#This Row],[Spec Type2]]="N/A",Table1[[#This Row],[DUT Adj Read]]="N/A",Table1[[#This Row],[Std Adj Read]]="N/A"),"N/A",IF(Table1[[#This Row],[DUT Adj Read]]="N/A",IF(Table1[[#This Row],[Std Adj Read]]&gt;=Table1[[#This Row],[Low Tol]],"Pass","Fail"),IF(Table1[[#This Row],[DUT Adj Read]]&gt;=Table1[[#This Row],[Low Tol]],"Pass","Fail")))</f>
        <v>Pass</v>
      </c>
      <c r="AG141" s="1" t="str">
        <f>IF(AND(Table1[[#This Row],[Spec Type2]]="N/A",Table1[[#This Row],[DUT Adj Read]]="N/A",Table1[[#This Row],[Std Adj Read]]="N/A"),"N/A",IF(Table1[[#This Row],[DUT Adj Read]]="N/A",IF(Table1[[#This Row],[Std Adj Read]]&lt;=Table1[[#This Row],[High Tol]],"Pass","Fail"),IF(Table1[[#This Row],[DUT Adj Read]]&lt;=Table1[[#This Row],[High Tol]],"Pass","Fail")))</f>
        <v>Fail</v>
      </c>
      <c r="AH1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 s="1" t="b">
        <v>0</v>
      </c>
      <c r="AN141" s="1" t="b">
        <v>0</v>
      </c>
      <c r="AO141" s="1" t="b">
        <v>0</v>
      </c>
    </row>
    <row r="142" spans="1:41" x14ac:dyDescent="0.25">
      <c r="A142" s="10"/>
      <c r="B142" s="10"/>
      <c r="C142" s="10"/>
      <c r="D142" s="10"/>
      <c r="E142" s="10"/>
      <c r="F142" s="10"/>
      <c r="G142" s="10"/>
      <c r="H142" s="10"/>
      <c r="I142" s="1" t="str">
        <f t="shared" si="6"/>
        <v/>
      </c>
      <c r="J142" s="1" t="s">
        <v>35</v>
      </c>
      <c r="K142" s="1" t="str">
        <f t="shared" si="7"/>
        <v/>
      </c>
      <c r="L142" s="1" t="str">
        <f t="shared" si="8"/>
        <v/>
      </c>
      <c r="M142" s="1">
        <f>IF(OR(Table1[[#This Row],[Std Nom]]="",Table1[[#This Row],[Std Read]]=""),0,Table1[[#This Row],[Std Nom]]-Table1[[#This Row],[Std Read]])</f>
        <v>0</v>
      </c>
      <c r="N142" s="1">
        <f>IF(Calculations!$F$5="ACCREDITED 17025 WITH UNCERTAINTIES",$N$10,0)</f>
        <v>0</v>
      </c>
      <c r="Q142" s="1">
        <f>Table1[[#This Row],[High Tol]]-Table1[[#This Row],[Low Tol]]</f>
        <v>0</v>
      </c>
      <c r="R142" s="1">
        <f>2*Table1[[#This Row],[Std Error]]</f>
        <v>0</v>
      </c>
      <c r="S142" s="1" t="str">
        <f>IF(Table1[[#This Row],[High Tol]]="","N/A",IFERROR(ABS(Table1[[#This Row],[Tol Span]]/Table1[[#This Row],[Error Span]]),"N/A"))</f>
        <v>N/A</v>
      </c>
      <c r="T142" s="1" t="str">
        <f>IF(OR(Table1[[#This Row],[Low Tol]]="",Table1[[#This Row],[High Tol]]=""),"Needs Analysis",IF(Table1[[#This Row],[Ratio]]&gt;=4,"Not Significant",IF(Table1[[#This Row],[Ratio]]&gt;=2,"Semi-Significant","Significant")))</f>
        <v>Needs Analysis</v>
      </c>
      <c r="W142" s="1">
        <f>IF(Table1[[#This Row],[Cal Type]]&lt;&gt;"ACCREDITED 17025 WITH UNCERTAINTIES",0,"")</f>
        <v>0</v>
      </c>
      <c r="X142" s="1" t="str">
        <f>IF(Table1[[#This Row],[DUT Read]]="","N/A",Table1[[#This Row],[Std Error]]+Table1[[#This Row],[DUT Read]]+Table1[[#This Row],[DUT Ucty]])</f>
        <v>N/A</v>
      </c>
      <c r="Y142" s="1" t="str">
        <f>IF(Table1[[#This Row],[Std Read]]="","N/A",Table1[[#This Row],[Std Read]]+Table1[[#This Row],[Std Ucty]])</f>
        <v>N/A</v>
      </c>
      <c r="Z1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 s="1" t="str">
        <f>IF(Table1[[#This Row],[Spec Type]]="","N/A",Table1[[#This Row],[Spec Type]])</f>
        <v>±</v>
      </c>
      <c r="AC142" s="1" t="str">
        <f>IF(Table1[[#This Row],[Spec Type2]]="N/A","N/A",IF(AND(Table1[[#This Row],[DUT Adj Read]]&gt;=Table1[[#This Row],[Low Tol]],Table1[[#This Row],[DUT Adj Read]]&lt;=Table1[[#This Row],[High Tol]]),"Pass","Fail"))</f>
        <v>Fail</v>
      </c>
      <c r="AD142" s="1" t="str">
        <f>IF(AND(Table1[[#This Row],[Spec Type2]]="N/A",Table1[[#This Row],[DUT Adj Read]]="N/A",Table1[[#This Row],[Std Adj Read]]="N/A"),"N/A",IF(Table1[[#This Row],[DUT Adj Read]]="N/A",IF(Table1[[#This Row],[Std Adj Read]]&gt;Table1[[#This Row],[Low Tol]],"Pass","Fail"),IF(Table1[[#This Row],[DUT Adj Read]]&gt;Table1[[#This Row],[Low Tol]],"Pass","Fail")))</f>
        <v>Pass</v>
      </c>
      <c r="AE142" s="1" t="str">
        <f>IF(AND(Table1[[#This Row],[Spec Type2]]="N/A",Table1[[#This Row],[DUT Adj Read]]="N/A",Table1[[#This Row],[Std Adj Read]]="N/A"),"N/A",IF(Table1[[#This Row],[DUT Adj Read]]="N/A",IF(Table1[[#This Row],[Std Adj Read]]&lt;Table1[[#This Row],[High Tol]],"Pass","Fail"),IF(Table1[[#This Row],[DUT Adj Read]]&lt;Table1[[#This Row],[High Tol]],"Pass","Fail")))</f>
        <v>Fail</v>
      </c>
      <c r="AF142" s="1" t="str">
        <f>IF(AND(Table1[[#This Row],[Spec Type2]]="N/A",Table1[[#This Row],[DUT Adj Read]]="N/A",Table1[[#This Row],[Std Adj Read]]="N/A"),"N/A",IF(Table1[[#This Row],[DUT Adj Read]]="N/A",IF(Table1[[#This Row],[Std Adj Read]]&gt;=Table1[[#This Row],[Low Tol]],"Pass","Fail"),IF(Table1[[#This Row],[DUT Adj Read]]&gt;=Table1[[#This Row],[Low Tol]],"Pass","Fail")))</f>
        <v>Pass</v>
      </c>
      <c r="AG142" s="1" t="str">
        <f>IF(AND(Table1[[#This Row],[Spec Type2]]="N/A",Table1[[#This Row],[DUT Adj Read]]="N/A",Table1[[#This Row],[Std Adj Read]]="N/A"),"N/A",IF(Table1[[#This Row],[DUT Adj Read]]="N/A",IF(Table1[[#This Row],[Std Adj Read]]&lt;=Table1[[#This Row],[High Tol]],"Pass","Fail"),IF(Table1[[#This Row],[DUT Adj Read]]&lt;=Table1[[#This Row],[High Tol]],"Pass","Fail")))</f>
        <v>Fail</v>
      </c>
      <c r="AH1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 s="1" t="b">
        <v>0</v>
      </c>
      <c r="AN142" s="1" t="b">
        <v>0</v>
      </c>
      <c r="AO142" s="1" t="b">
        <v>0</v>
      </c>
    </row>
    <row r="143" spans="1:41" x14ac:dyDescent="0.25">
      <c r="A143" s="10"/>
      <c r="B143" s="10"/>
      <c r="C143" s="10"/>
      <c r="D143" s="10"/>
      <c r="E143" s="10"/>
      <c r="F143" s="10"/>
      <c r="G143" s="10"/>
      <c r="H143" s="10"/>
      <c r="I143" s="1" t="str">
        <f t="shared" si="6"/>
        <v/>
      </c>
      <c r="J143" s="1" t="s">
        <v>35</v>
      </c>
      <c r="K143" s="1" t="str">
        <f t="shared" si="7"/>
        <v/>
      </c>
      <c r="L143" s="1" t="str">
        <f t="shared" si="8"/>
        <v/>
      </c>
      <c r="M143" s="1">
        <f>IF(OR(Table1[[#This Row],[Std Nom]]="",Table1[[#This Row],[Std Read]]=""),0,Table1[[#This Row],[Std Nom]]-Table1[[#This Row],[Std Read]])</f>
        <v>0</v>
      </c>
      <c r="N143" s="1">
        <f>IF(Calculations!$F$5="ACCREDITED 17025 WITH UNCERTAINTIES",$N$10,0)</f>
        <v>0</v>
      </c>
      <c r="Q143" s="1">
        <f>Table1[[#This Row],[High Tol]]-Table1[[#This Row],[Low Tol]]</f>
        <v>0</v>
      </c>
      <c r="R143" s="1">
        <f>2*Table1[[#This Row],[Std Error]]</f>
        <v>0</v>
      </c>
      <c r="S143" s="1" t="str">
        <f>IF(Table1[[#This Row],[High Tol]]="","N/A",IFERROR(ABS(Table1[[#This Row],[Tol Span]]/Table1[[#This Row],[Error Span]]),"N/A"))</f>
        <v>N/A</v>
      </c>
      <c r="T143" s="1" t="str">
        <f>IF(OR(Table1[[#This Row],[Low Tol]]="",Table1[[#This Row],[High Tol]]=""),"Needs Analysis",IF(Table1[[#This Row],[Ratio]]&gt;=4,"Not Significant",IF(Table1[[#This Row],[Ratio]]&gt;=2,"Semi-Significant","Significant")))</f>
        <v>Needs Analysis</v>
      </c>
      <c r="W143" s="1">
        <f>IF(Table1[[#This Row],[Cal Type]]&lt;&gt;"ACCREDITED 17025 WITH UNCERTAINTIES",0,"")</f>
        <v>0</v>
      </c>
      <c r="X143" s="1" t="str">
        <f>IF(Table1[[#This Row],[DUT Read]]="","N/A",Table1[[#This Row],[Std Error]]+Table1[[#This Row],[DUT Read]]+Table1[[#This Row],[DUT Ucty]])</f>
        <v>N/A</v>
      </c>
      <c r="Y143" s="1" t="str">
        <f>IF(Table1[[#This Row],[Std Read]]="","N/A",Table1[[#This Row],[Std Read]]+Table1[[#This Row],[Std Ucty]])</f>
        <v>N/A</v>
      </c>
      <c r="Z1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 s="1" t="str">
        <f>IF(Table1[[#This Row],[Spec Type]]="","N/A",Table1[[#This Row],[Spec Type]])</f>
        <v>±</v>
      </c>
      <c r="AC143" s="1" t="str">
        <f>IF(Table1[[#This Row],[Spec Type2]]="N/A","N/A",IF(AND(Table1[[#This Row],[DUT Adj Read]]&gt;=Table1[[#This Row],[Low Tol]],Table1[[#This Row],[DUT Adj Read]]&lt;=Table1[[#This Row],[High Tol]]),"Pass","Fail"))</f>
        <v>Fail</v>
      </c>
      <c r="AD143" s="1" t="str">
        <f>IF(AND(Table1[[#This Row],[Spec Type2]]="N/A",Table1[[#This Row],[DUT Adj Read]]="N/A",Table1[[#This Row],[Std Adj Read]]="N/A"),"N/A",IF(Table1[[#This Row],[DUT Adj Read]]="N/A",IF(Table1[[#This Row],[Std Adj Read]]&gt;Table1[[#This Row],[Low Tol]],"Pass","Fail"),IF(Table1[[#This Row],[DUT Adj Read]]&gt;Table1[[#This Row],[Low Tol]],"Pass","Fail")))</f>
        <v>Pass</v>
      </c>
      <c r="AE143" s="1" t="str">
        <f>IF(AND(Table1[[#This Row],[Spec Type2]]="N/A",Table1[[#This Row],[DUT Adj Read]]="N/A",Table1[[#This Row],[Std Adj Read]]="N/A"),"N/A",IF(Table1[[#This Row],[DUT Adj Read]]="N/A",IF(Table1[[#This Row],[Std Adj Read]]&lt;Table1[[#This Row],[High Tol]],"Pass","Fail"),IF(Table1[[#This Row],[DUT Adj Read]]&lt;Table1[[#This Row],[High Tol]],"Pass","Fail")))</f>
        <v>Fail</v>
      </c>
      <c r="AF143" s="1" t="str">
        <f>IF(AND(Table1[[#This Row],[Spec Type2]]="N/A",Table1[[#This Row],[DUT Adj Read]]="N/A",Table1[[#This Row],[Std Adj Read]]="N/A"),"N/A",IF(Table1[[#This Row],[DUT Adj Read]]="N/A",IF(Table1[[#This Row],[Std Adj Read]]&gt;=Table1[[#This Row],[Low Tol]],"Pass","Fail"),IF(Table1[[#This Row],[DUT Adj Read]]&gt;=Table1[[#This Row],[Low Tol]],"Pass","Fail")))</f>
        <v>Pass</v>
      </c>
      <c r="AG143" s="1" t="str">
        <f>IF(AND(Table1[[#This Row],[Spec Type2]]="N/A",Table1[[#This Row],[DUT Adj Read]]="N/A",Table1[[#This Row],[Std Adj Read]]="N/A"),"N/A",IF(Table1[[#This Row],[DUT Adj Read]]="N/A",IF(Table1[[#This Row],[Std Adj Read]]&lt;=Table1[[#This Row],[High Tol]],"Pass","Fail"),IF(Table1[[#This Row],[DUT Adj Read]]&lt;=Table1[[#This Row],[High Tol]],"Pass","Fail")))</f>
        <v>Fail</v>
      </c>
      <c r="AH1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 s="1" t="b">
        <v>0</v>
      </c>
      <c r="AN143" s="1" t="b">
        <v>0</v>
      </c>
      <c r="AO143" s="1" t="b">
        <v>0</v>
      </c>
    </row>
    <row r="144" spans="1:41" x14ac:dyDescent="0.25">
      <c r="A144" s="10"/>
      <c r="B144" s="10"/>
      <c r="C144" s="10"/>
      <c r="D144" s="10"/>
      <c r="E144" s="10"/>
      <c r="F144" s="10"/>
      <c r="G144" s="10"/>
      <c r="H144" s="10"/>
      <c r="I144" s="1" t="str">
        <f t="shared" si="6"/>
        <v/>
      </c>
      <c r="J144" s="1" t="s">
        <v>35</v>
      </c>
      <c r="K144" s="1" t="str">
        <f t="shared" si="7"/>
        <v/>
      </c>
      <c r="L144" s="1" t="str">
        <f t="shared" si="8"/>
        <v/>
      </c>
      <c r="M144" s="1">
        <f>IF(OR(Table1[[#This Row],[Std Nom]]="",Table1[[#This Row],[Std Read]]=""),0,Table1[[#This Row],[Std Nom]]-Table1[[#This Row],[Std Read]])</f>
        <v>0</v>
      </c>
      <c r="N144" s="1">
        <f>IF(Calculations!$F$5="ACCREDITED 17025 WITH UNCERTAINTIES",$N$10,0)</f>
        <v>0</v>
      </c>
      <c r="Q144" s="1">
        <f>Table1[[#This Row],[High Tol]]-Table1[[#This Row],[Low Tol]]</f>
        <v>0</v>
      </c>
      <c r="R144" s="1">
        <f>2*Table1[[#This Row],[Std Error]]</f>
        <v>0</v>
      </c>
      <c r="S144" s="1" t="str">
        <f>IF(Table1[[#This Row],[High Tol]]="","N/A",IFERROR(ABS(Table1[[#This Row],[Tol Span]]/Table1[[#This Row],[Error Span]]),"N/A"))</f>
        <v>N/A</v>
      </c>
      <c r="T144" s="1" t="str">
        <f>IF(OR(Table1[[#This Row],[Low Tol]]="",Table1[[#This Row],[High Tol]]=""),"Needs Analysis",IF(Table1[[#This Row],[Ratio]]&gt;=4,"Not Significant",IF(Table1[[#This Row],[Ratio]]&gt;=2,"Semi-Significant","Significant")))</f>
        <v>Needs Analysis</v>
      </c>
      <c r="W144" s="1">
        <f>IF(Table1[[#This Row],[Cal Type]]&lt;&gt;"ACCREDITED 17025 WITH UNCERTAINTIES",0,"")</f>
        <v>0</v>
      </c>
      <c r="X144" s="1" t="str">
        <f>IF(Table1[[#This Row],[DUT Read]]="","N/A",Table1[[#This Row],[Std Error]]+Table1[[#This Row],[DUT Read]]+Table1[[#This Row],[DUT Ucty]])</f>
        <v>N/A</v>
      </c>
      <c r="Y144" s="1" t="str">
        <f>IF(Table1[[#This Row],[Std Read]]="","N/A",Table1[[#This Row],[Std Read]]+Table1[[#This Row],[Std Ucty]])</f>
        <v>N/A</v>
      </c>
      <c r="Z1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 s="1" t="str">
        <f>IF(Table1[[#This Row],[Spec Type]]="","N/A",Table1[[#This Row],[Spec Type]])</f>
        <v>±</v>
      </c>
      <c r="AC144" s="1" t="str">
        <f>IF(Table1[[#This Row],[Spec Type2]]="N/A","N/A",IF(AND(Table1[[#This Row],[DUT Adj Read]]&gt;=Table1[[#This Row],[Low Tol]],Table1[[#This Row],[DUT Adj Read]]&lt;=Table1[[#This Row],[High Tol]]),"Pass","Fail"))</f>
        <v>Fail</v>
      </c>
      <c r="AD144" s="1" t="str">
        <f>IF(AND(Table1[[#This Row],[Spec Type2]]="N/A",Table1[[#This Row],[DUT Adj Read]]="N/A",Table1[[#This Row],[Std Adj Read]]="N/A"),"N/A",IF(Table1[[#This Row],[DUT Adj Read]]="N/A",IF(Table1[[#This Row],[Std Adj Read]]&gt;Table1[[#This Row],[Low Tol]],"Pass","Fail"),IF(Table1[[#This Row],[DUT Adj Read]]&gt;Table1[[#This Row],[Low Tol]],"Pass","Fail")))</f>
        <v>Pass</v>
      </c>
      <c r="AE144" s="1" t="str">
        <f>IF(AND(Table1[[#This Row],[Spec Type2]]="N/A",Table1[[#This Row],[DUT Adj Read]]="N/A",Table1[[#This Row],[Std Adj Read]]="N/A"),"N/A",IF(Table1[[#This Row],[DUT Adj Read]]="N/A",IF(Table1[[#This Row],[Std Adj Read]]&lt;Table1[[#This Row],[High Tol]],"Pass","Fail"),IF(Table1[[#This Row],[DUT Adj Read]]&lt;Table1[[#This Row],[High Tol]],"Pass","Fail")))</f>
        <v>Fail</v>
      </c>
      <c r="AF144" s="1" t="str">
        <f>IF(AND(Table1[[#This Row],[Spec Type2]]="N/A",Table1[[#This Row],[DUT Adj Read]]="N/A",Table1[[#This Row],[Std Adj Read]]="N/A"),"N/A",IF(Table1[[#This Row],[DUT Adj Read]]="N/A",IF(Table1[[#This Row],[Std Adj Read]]&gt;=Table1[[#This Row],[Low Tol]],"Pass","Fail"),IF(Table1[[#This Row],[DUT Adj Read]]&gt;=Table1[[#This Row],[Low Tol]],"Pass","Fail")))</f>
        <v>Pass</v>
      </c>
      <c r="AG144" s="1" t="str">
        <f>IF(AND(Table1[[#This Row],[Spec Type2]]="N/A",Table1[[#This Row],[DUT Adj Read]]="N/A",Table1[[#This Row],[Std Adj Read]]="N/A"),"N/A",IF(Table1[[#This Row],[DUT Adj Read]]="N/A",IF(Table1[[#This Row],[Std Adj Read]]&lt;=Table1[[#This Row],[High Tol]],"Pass","Fail"),IF(Table1[[#This Row],[DUT Adj Read]]&lt;=Table1[[#This Row],[High Tol]],"Pass","Fail")))</f>
        <v>Fail</v>
      </c>
      <c r="AH1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 s="1" t="b">
        <v>0</v>
      </c>
      <c r="AN144" s="1" t="b">
        <v>0</v>
      </c>
      <c r="AO144" s="1" t="b">
        <v>0</v>
      </c>
    </row>
    <row r="145" spans="1:41" x14ac:dyDescent="0.25">
      <c r="A145" s="10"/>
      <c r="B145" s="10"/>
      <c r="C145" s="10"/>
      <c r="D145" s="10"/>
      <c r="E145" s="10"/>
      <c r="F145" s="10"/>
      <c r="G145" s="10"/>
      <c r="H145" s="10"/>
      <c r="I145" s="1" t="str">
        <f t="shared" si="6"/>
        <v/>
      </c>
      <c r="J145" s="1" t="s">
        <v>35</v>
      </c>
      <c r="K145" s="1" t="str">
        <f t="shared" si="7"/>
        <v/>
      </c>
      <c r="L145" s="1" t="str">
        <f t="shared" si="8"/>
        <v/>
      </c>
      <c r="M145" s="1">
        <f>IF(OR(Table1[[#This Row],[Std Nom]]="",Table1[[#This Row],[Std Read]]=""),0,Table1[[#This Row],[Std Nom]]-Table1[[#This Row],[Std Read]])</f>
        <v>0</v>
      </c>
      <c r="N145" s="1">
        <f>IF(Calculations!$F$5="ACCREDITED 17025 WITH UNCERTAINTIES",$N$10,0)</f>
        <v>0</v>
      </c>
      <c r="Q145" s="1">
        <f>Table1[[#This Row],[High Tol]]-Table1[[#This Row],[Low Tol]]</f>
        <v>0</v>
      </c>
      <c r="R145" s="1">
        <f>2*Table1[[#This Row],[Std Error]]</f>
        <v>0</v>
      </c>
      <c r="S145" s="1" t="str">
        <f>IF(Table1[[#This Row],[High Tol]]="","N/A",IFERROR(ABS(Table1[[#This Row],[Tol Span]]/Table1[[#This Row],[Error Span]]),"N/A"))</f>
        <v>N/A</v>
      </c>
      <c r="T145" s="1" t="str">
        <f>IF(OR(Table1[[#This Row],[Low Tol]]="",Table1[[#This Row],[High Tol]]=""),"Needs Analysis",IF(Table1[[#This Row],[Ratio]]&gt;=4,"Not Significant",IF(Table1[[#This Row],[Ratio]]&gt;=2,"Semi-Significant","Significant")))</f>
        <v>Needs Analysis</v>
      </c>
      <c r="W145" s="1">
        <f>IF(Table1[[#This Row],[Cal Type]]&lt;&gt;"ACCREDITED 17025 WITH UNCERTAINTIES",0,"")</f>
        <v>0</v>
      </c>
      <c r="X145" s="1" t="str">
        <f>IF(Table1[[#This Row],[DUT Read]]="","N/A",Table1[[#This Row],[Std Error]]+Table1[[#This Row],[DUT Read]]+Table1[[#This Row],[DUT Ucty]])</f>
        <v>N/A</v>
      </c>
      <c r="Y145" s="1" t="str">
        <f>IF(Table1[[#This Row],[Std Read]]="","N/A",Table1[[#This Row],[Std Read]]+Table1[[#This Row],[Std Ucty]])</f>
        <v>N/A</v>
      </c>
      <c r="Z1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 s="1" t="str">
        <f>IF(Table1[[#This Row],[Spec Type]]="","N/A",Table1[[#This Row],[Spec Type]])</f>
        <v>±</v>
      </c>
      <c r="AC145" s="1" t="str">
        <f>IF(Table1[[#This Row],[Spec Type2]]="N/A","N/A",IF(AND(Table1[[#This Row],[DUT Adj Read]]&gt;=Table1[[#This Row],[Low Tol]],Table1[[#This Row],[DUT Adj Read]]&lt;=Table1[[#This Row],[High Tol]]),"Pass","Fail"))</f>
        <v>Fail</v>
      </c>
      <c r="AD145" s="1" t="str">
        <f>IF(AND(Table1[[#This Row],[Spec Type2]]="N/A",Table1[[#This Row],[DUT Adj Read]]="N/A",Table1[[#This Row],[Std Adj Read]]="N/A"),"N/A",IF(Table1[[#This Row],[DUT Adj Read]]="N/A",IF(Table1[[#This Row],[Std Adj Read]]&gt;Table1[[#This Row],[Low Tol]],"Pass","Fail"),IF(Table1[[#This Row],[DUT Adj Read]]&gt;Table1[[#This Row],[Low Tol]],"Pass","Fail")))</f>
        <v>Pass</v>
      </c>
      <c r="AE145" s="1" t="str">
        <f>IF(AND(Table1[[#This Row],[Spec Type2]]="N/A",Table1[[#This Row],[DUT Adj Read]]="N/A",Table1[[#This Row],[Std Adj Read]]="N/A"),"N/A",IF(Table1[[#This Row],[DUT Adj Read]]="N/A",IF(Table1[[#This Row],[Std Adj Read]]&lt;Table1[[#This Row],[High Tol]],"Pass","Fail"),IF(Table1[[#This Row],[DUT Adj Read]]&lt;Table1[[#This Row],[High Tol]],"Pass","Fail")))</f>
        <v>Fail</v>
      </c>
      <c r="AF145" s="1" t="str">
        <f>IF(AND(Table1[[#This Row],[Spec Type2]]="N/A",Table1[[#This Row],[DUT Adj Read]]="N/A",Table1[[#This Row],[Std Adj Read]]="N/A"),"N/A",IF(Table1[[#This Row],[DUT Adj Read]]="N/A",IF(Table1[[#This Row],[Std Adj Read]]&gt;=Table1[[#This Row],[Low Tol]],"Pass","Fail"),IF(Table1[[#This Row],[DUT Adj Read]]&gt;=Table1[[#This Row],[Low Tol]],"Pass","Fail")))</f>
        <v>Pass</v>
      </c>
      <c r="AG145" s="1" t="str">
        <f>IF(AND(Table1[[#This Row],[Spec Type2]]="N/A",Table1[[#This Row],[DUT Adj Read]]="N/A",Table1[[#This Row],[Std Adj Read]]="N/A"),"N/A",IF(Table1[[#This Row],[DUT Adj Read]]="N/A",IF(Table1[[#This Row],[Std Adj Read]]&lt;=Table1[[#This Row],[High Tol]],"Pass","Fail"),IF(Table1[[#This Row],[DUT Adj Read]]&lt;=Table1[[#This Row],[High Tol]],"Pass","Fail")))</f>
        <v>Fail</v>
      </c>
      <c r="AH1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 s="1" t="b">
        <v>0</v>
      </c>
      <c r="AN145" s="1" t="b">
        <v>0</v>
      </c>
      <c r="AO145" s="1" t="b">
        <v>0</v>
      </c>
    </row>
    <row r="146" spans="1:41" x14ac:dyDescent="0.25">
      <c r="A146" s="10"/>
      <c r="B146" s="10"/>
      <c r="C146" s="10"/>
      <c r="D146" s="10"/>
      <c r="E146" s="10"/>
      <c r="F146" s="10"/>
      <c r="G146" s="10"/>
      <c r="H146" s="10"/>
      <c r="I146" s="1" t="str">
        <f t="shared" si="6"/>
        <v/>
      </c>
      <c r="J146" s="1" t="s">
        <v>35</v>
      </c>
      <c r="K146" s="1" t="str">
        <f t="shared" si="7"/>
        <v/>
      </c>
      <c r="L146" s="1" t="str">
        <f t="shared" si="8"/>
        <v/>
      </c>
      <c r="M146" s="1">
        <f>IF(OR(Table1[[#This Row],[Std Nom]]="",Table1[[#This Row],[Std Read]]=""),0,Table1[[#This Row],[Std Nom]]-Table1[[#This Row],[Std Read]])</f>
        <v>0</v>
      </c>
      <c r="N146" s="1">
        <f>IF(Calculations!$F$5="ACCREDITED 17025 WITH UNCERTAINTIES",$N$10,0)</f>
        <v>0</v>
      </c>
      <c r="Q146" s="1">
        <f>Table1[[#This Row],[High Tol]]-Table1[[#This Row],[Low Tol]]</f>
        <v>0</v>
      </c>
      <c r="R146" s="1">
        <f>2*Table1[[#This Row],[Std Error]]</f>
        <v>0</v>
      </c>
      <c r="S146" s="1" t="str">
        <f>IF(Table1[[#This Row],[High Tol]]="","N/A",IFERROR(ABS(Table1[[#This Row],[Tol Span]]/Table1[[#This Row],[Error Span]]),"N/A"))</f>
        <v>N/A</v>
      </c>
      <c r="T146" s="1" t="str">
        <f>IF(OR(Table1[[#This Row],[Low Tol]]="",Table1[[#This Row],[High Tol]]=""),"Needs Analysis",IF(Table1[[#This Row],[Ratio]]&gt;=4,"Not Significant",IF(Table1[[#This Row],[Ratio]]&gt;=2,"Semi-Significant","Significant")))</f>
        <v>Needs Analysis</v>
      </c>
      <c r="W146" s="1">
        <f>IF(Table1[[#This Row],[Cal Type]]&lt;&gt;"ACCREDITED 17025 WITH UNCERTAINTIES",0,"")</f>
        <v>0</v>
      </c>
      <c r="X146" s="1" t="str">
        <f>IF(Table1[[#This Row],[DUT Read]]="","N/A",Table1[[#This Row],[Std Error]]+Table1[[#This Row],[DUT Read]]+Table1[[#This Row],[DUT Ucty]])</f>
        <v>N/A</v>
      </c>
      <c r="Y146" s="1" t="str">
        <f>IF(Table1[[#This Row],[Std Read]]="","N/A",Table1[[#This Row],[Std Read]]+Table1[[#This Row],[Std Ucty]])</f>
        <v>N/A</v>
      </c>
      <c r="Z1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 s="1" t="str">
        <f>IF(Table1[[#This Row],[Spec Type]]="","N/A",Table1[[#This Row],[Spec Type]])</f>
        <v>±</v>
      </c>
      <c r="AC146" s="1" t="str">
        <f>IF(Table1[[#This Row],[Spec Type2]]="N/A","N/A",IF(AND(Table1[[#This Row],[DUT Adj Read]]&gt;=Table1[[#This Row],[Low Tol]],Table1[[#This Row],[DUT Adj Read]]&lt;=Table1[[#This Row],[High Tol]]),"Pass","Fail"))</f>
        <v>Fail</v>
      </c>
      <c r="AD146" s="1" t="str">
        <f>IF(AND(Table1[[#This Row],[Spec Type2]]="N/A",Table1[[#This Row],[DUT Adj Read]]="N/A",Table1[[#This Row],[Std Adj Read]]="N/A"),"N/A",IF(Table1[[#This Row],[DUT Adj Read]]="N/A",IF(Table1[[#This Row],[Std Adj Read]]&gt;Table1[[#This Row],[Low Tol]],"Pass","Fail"),IF(Table1[[#This Row],[DUT Adj Read]]&gt;Table1[[#This Row],[Low Tol]],"Pass","Fail")))</f>
        <v>Pass</v>
      </c>
      <c r="AE146" s="1" t="str">
        <f>IF(AND(Table1[[#This Row],[Spec Type2]]="N/A",Table1[[#This Row],[DUT Adj Read]]="N/A",Table1[[#This Row],[Std Adj Read]]="N/A"),"N/A",IF(Table1[[#This Row],[DUT Adj Read]]="N/A",IF(Table1[[#This Row],[Std Adj Read]]&lt;Table1[[#This Row],[High Tol]],"Pass","Fail"),IF(Table1[[#This Row],[DUT Adj Read]]&lt;Table1[[#This Row],[High Tol]],"Pass","Fail")))</f>
        <v>Fail</v>
      </c>
      <c r="AF146" s="1" t="str">
        <f>IF(AND(Table1[[#This Row],[Spec Type2]]="N/A",Table1[[#This Row],[DUT Adj Read]]="N/A",Table1[[#This Row],[Std Adj Read]]="N/A"),"N/A",IF(Table1[[#This Row],[DUT Adj Read]]="N/A",IF(Table1[[#This Row],[Std Adj Read]]&gt;=Table1[[#This Row],[Low Tol]],"Pass","Fail"),IF(Table1[[#This Row],[DUT Adj Read]]&gt;=Table1[[#This Row],[Low Tol]],"Pass","Fail")))</f>
        <v>Pass</v>
      </c>
      <c r="AG146" s="1" t="str">
        <f>IF(AND(Table1[[#This Row],[Spec Type2]]="N/A",Table1[[#This Row],[DUT Adj Read]]="N/A",Table1[[#This Row],[Std Adj Read]]="N/A"),"N/A",IF(Table1[[#This Row],[DUT Adj Read]]="N/A",IF(Table1[[#This Row],[Std Adj Read]]&lt;=Table1[[#This Row],[High Tol]],"Pass","Fail"),IF(Table1[[#This Row],[DUT Adj Read]]&lt;=Table1[[#This Row],[High Tol]],"Pass","Fail")))</f>
        <v>Fail</v>
      </c>
      <c r="AH1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 s="1" t="b">
        <v>0</v>
      </c>
      <c r="AN146" s="1" t="b">
        <v>0</v>
      </c>
      <c r="AO146" s="1" t="b">
        <v>0</v>
      </c>
    </row>
    <row r="147" spans="1:41" x14ac:dyDescent="0.25">
      <c r="A147" s="10"/>
      <c r="B147" s="10"/>
      <c r="C147" s="10"/>
      <c r="D147" s="10"/>
      <c r="E147" s="10"/>
      <c r="F147" s="10"/>
      <c r="G147" s="10"/>
      <c r="H147" s="10"/>
      <c r="I147" s="1" t="str">
        <f t="shared" si="6"/>
        <v/>
      </c>
      <c r="J147" s="1" t="s">
        <v>35</v>
      </c>
      <c r="K147" s="1" t="str">
        <f t="shared" si="7"/>
        <v/>
      </c>
      <c r="L147" s="1" t="str">
        <f t="shared" si="8"/>
        <v/>
      </c>
      <c r="M147" s="1">
        <f>IF(OR(Table1[[#This Row],[Std Nom]]="",Table1[[#This Row],[Std Read]]=""),0,Table1[[#This Row],[Std Nom]]-Table1[[#This Row],[Std Read]])</f>
        <v>0</v>
      </c>
      <c r="N147" s="1">
        <f>IF(Calculations!$F$5="ACCREDITED 17025 WITH UNCERTAINTIES",$N$10,0)</f>
        <v>0</v>
      </c>
      <c r="Q147" s="1">
        <f>Table1[[#This Row],[High Tol]]-Table1[[#This Row],[Low Tol]]</f>
        <v>0</v>
      </c>
      <c r="R147" s="1">
        <f>2*Table1[[#This Row],[Std Error]]</f>
        <v>0</v>
      </c>
      <c r="S147" s="1" t="str">
        <f>IF(Table1[[#This Row],[High Tol]]="","N/A",IFERROR(ABS(Table1[[#This Row],[Tol Span]]/Table1[[#This Row],[Error Span]]),"N/A"))</f>
        <v>N/A</v>
      </c>
      <c r="T147" s="1" t="str">
        <f>IF(OR(Table1[[#This Row],[Low Tol]]="",Table1[[#This Row],[High Tol]]=""),"Needs Analysis",IF(Table1[[#This Row],[Ratio]]&gt;=4,"Not Significant",IF(Table1[[#This Row],[Ratio]]&gt;=2,"Semi-Significant","Significant")))</f>
        <v>Needs Analysis</v>
      </c>
      <c r="W147" s="1">
        <f>IF(Table1[[#This Row],[Cal Type]]&lt;&gt;"ACCREDITED 17025 WITH UNCERTAINTIES",0,"")</f>
        <v>0</v>
      </c>
      <c r="X147" s="1" t="str">
        <f>IF(Table1[[#This Row],[DUT Read]]="","N/A",Table1[[#This Row],[Std Error]]+Table1[[#This Row],[DUT Read]]+Table1[[#This Row],[DUT Ucty]])</f>
        <v>N/A</v>
      </c>
      <c r="Y147" s="1" t="str">
        <f>IF(Table1[[#This Row],[Std Read]]="","N/A",Table1[[#This Row],[Std Read]]+Table1[[#This Row],[Std Ucty]])</f>
        <v>N/A</v>
      </c>
      <c r="Z1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 s="1" t="str">
        <f>IF(Table1[[#This Row],[Spec Type]]="","N/A",Table1[[#This Row],[Spec Type]])</f>
        <v>±</v>
      </c>
      <c r="AC147" s="1" t="str">
        <f>IF(Table1[[#This Row],[Spec Type2]]="N/A","N/A",IF(AND(Table1[[#This Row],[DUT Adj Read]]&gt;=Table1[[#This Row],[Low Tol]],Table1[[#This Row],[DUT Adj Read]]&lt;=Table1[[#This Row],[High Tol]]),"Pass","Fail"))</f>
        <v>Fail</v>
      </c>
      <c r="AD147" s="1" t="str">
        <f>IF(AND(Table1[[#This Row],[Spec Type2]]="N/A",Table1[[#This Row],[DUT Adj Read]]="N/A",Table1[[#This Row],[Std Adj Read]]="N/A"),"N/A",IF(Table1[[#This Row],[DUT Adj Read]]="N/A",IF(Table1[[#This Row],[Std Adj Read]]&gt;Table1[[#This Row],[Low Tol]],"Pass","Fail"),IF(Table1[[#This Row],[DUT Adj Read]]&gt;Table1[[#This Row],[Low Tol]],"Pass","Fail")))</f>
        <v>Pass</v>
      </c>
      <c r="AE147" s="1" t="str">
        <f>IF(AND(Table1[[#This Row],[Spec Type2]]="N/A",Table1[[#This Row],[DUT Adj Read]]="N/A",Table1[[#This Row],[Std Adj Read]]="N/A"),"N/A",IF(Table1[[#This Row],[DUT Adj Read]]="N/A",IF(Table1[[#This Row],[Std Adj Read]]&lt;Table1[[#This Row],[High Tol]],"Pass","Fail"),IF(Table1[[#This Row],[DUT Adj Read]]&lt;Table1[[#This Row],[High Tol]],"Pass","Fail")))</f>
        <v>Fail</v>
      </c>
      <c r="AF147" s="1" t="str">
        <f>IF(AND(Table1[[#This Row],[Spec Type2]]="N/A",Table1[[#This Row],[DUT Adj Read]]="N/A",Table1[[#This Row],[Std Adj Read]]="N/A"),"N/A",IF(Table1[[#This Row],[DUT Adj Read]]="N/A",IF(Table1[[#This Row],[Std Adj Read]]&gt;=Table1[[#This Row],[Low Tol]],"Pass","Fail"),IF(Table1[[#This Row],[DUT Adj Read]]&gt;=Table1[[#This Row],[Low Tol]],"Pass","Fail")))</f>
        <v>Pass</v>
      </c>
      <c r="AG147" s="1" t="str">
        <f>IF(AND(Table1[[#This Row],[Spec Type2]]="N/A",Table1[[#This Row],[DUT Adj Read]]="N/A",Table1[[#This Row],[Std Adj Read]]="N/A"),"N/A",IF(Table1[[#This Row],[DUT Adj Read]]="N/A",IF(Table1[[#This Row],[Std Adj Read]]&lt;=Table1[[#This Row],[High Tol]],"Pass","Fail"),IF(Table1[[#This Row],[DUT Adj Read]]&lt;=Table1[[#This Row],[High Tol]],"Pass","Fail")))</f>
        <v>Fail</v>
      </c>
      <c r="AH1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 s="1" t="b">
        <v>0</v>
      </c>
      <c r="AN147" s="1" t="b">
        <v>0</v>
      </c>
      <c r="AO147" s="1" t="b">
        <v>0</v>
      </c>
    </row>
    <row r="148" spans="1:41" x14ac:dyDescent="0.25">
      <c r="A148" s="10"/>
      <c r="B148" s="10"/>
      <c r="C148" s="10"/>
      <c r="D148" s="10"/>
      <c r="E148" s="10"/>
      <c r="F148" s="10"/>
      <c r="G148" s="10"/>
      <c r="H148" s="10"/>
      <c r="I148" s="1" t="str">
        <f t="shared" si="6"/>
        <v/>
      </c>
      <c r="J148" s="1" t="s">
        <v>35</v>
      </c>
      <c r="K148" s="1" t="str">
        <f t="shared" si="7"/>
        <v/>
      </c>
      <c r="L148" s="1" t="str">
        <f t="shared" si="8"/>
        <v/>
      </c>
      <c r="M148" s="1">
        <f>IF(OR(Table1[[#This Row],[Std Nom]]="",Table1[[#This Row],[Std Read]]=""),0,Table1[[#This Row],[Std Nom]]-Table1[[#This Row],[Std Read]])</f>
        <v>0</v>
      </c>
      <c r="N148" s="1">
        <f>IF(Calculations!$F$5="ACCREDITED 17025 WITH UNCERTAINTIES",$N$10,0)</f>
        <v>0</v>
      </c>
      <c r="Q148" s="1">
        <f>Table1[[#This Row],[High Tol]]-Table1[[#This Row],[Low Tol]]</f>
        <v>0</v>
      </c>
      <c r="R148" s="1">
        <f>2*Table1[[#This Row],[Std Error]]</f>
        <v>0</v>
      </c>
      <c r="S148" s="1" t="str">
        <f>IF(Table1[[#This Row],[High Tol]]="","N/A",IFERROR(ABS(Table1[[#This Row],[Tol Span]]/Table1[[#This Row],[Error Span]]),"N/A"))</f>
        <v>N/A</v>
      </c>
      <c r="T148" s="1" t="str">
        <f>IF(OR(Table1[[#This Row],[Low Tol]]="",Table1[[#This Row],[High Tol]]=""),"Needs Analysis",IF(Table1[[#This Row],[Ratio]]&gt;=4,"Not Significant",IF(Table1[[#This Row],[Ratio]]&gt;=2,"Semi-Significant","Significant")))</f>
        <v>Needs Analysis</v>
      </c>
      <c r="W148" s="1">
        <f>IF(Table1[[#This Row],[Cal Type]]&lt;&gt;"ACCREDITED 17025 WITH UNCERTAINTIES",0,"")</f>
        <v>0</v>
      </c>
      <c r="X148" s="1" t="str">
        <f>IF(Table1[[#This Row],[DUT Read]]="","N/A",Table1[[#This Row],[Std Error]]+Table1[[#This Row],[DUT Read]]+Table1[[#This Row],[DUT Ucty]])</f>
        <v>N/A</v>
      </c>
      <c r="Y148" s="1" t="str">
        <f>IF(Table1[[#This Row],[Std Read]]="","N/A",Table1[[#This Row],[Std Read]]+Table1[[#This Row],[Std Ucty]])</f>
        <v>N/A</v>
      </c>
      <c r="Z1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 s="1" t="str">
        <f>IF(Table1[[#This Row],[Spec Type]]="","N/A",Table1[[#This Row],[Spec Type]])</f>
        <v>±</v>
      </c>
      <c r="AC148" s="1" t="str">
        <f>IF(Table1[[#This Row],[Spec Type2]]="N/A","N/A",IF(AND(Table1[[#This Row],[DUT Adj Read]]&gt;=Table1[[#This Row],[Low Tol]],Table1[[#This Row],[DUT Adj Read]]&lt;=Table1[[#This Row],[High Tol]]),"Pass","Fail"))</f>
        <v>Fail</v>
      </c>
      <c r="AD148" s="1" t="str">
        <f>IF(AND(Table1[[#This Row],[Spec Type2]]="N/A",Table1[[#This Row],[DUT Adj Read]]="N/A",Table1[[#This Row],[Std Adj Read]]="N/A"),"N/A",IF(Table1[[#This Row],[DUT Adj Read]]="N/A",IF(Table1[[#This Row],[Std Adj Read]]&gt;Table1[[#This Row],[Low Tol]],"Pass","Fail"),IF(Table1[[#This Row],[DUT Adj Read]]&gt;Table1[[#This Row],[Low Tol]],"Pass","Fail")))</f>
        <v>Pass</v>
      </c>
      <c r="AE148" s="1" t="str">
        <f>IF(AND(Table1[[#This Row],[Spec Type2]]="N/A",Table1[[#This Row],[DUT Adj Read]]="N/A",Table1[[#This Row],[Std Adj Read]]="N/A"),"N/A",IF(Table1[[#This Row],[DUT Adj Read]]="N/A",IF(Table1[[#This Row],[Std Adj Read]]&lt;Table1[[#This Row],[High Tol]],"Pass","Fail"),IF(Table1[[#This Row],[DUT Adj Read]]&lt;Table1[[#This Row],[High Tol]],"Pass","Fail")))</f>
        <v>Fail</v>
      </c>
      <c r="AF148" s="1" t="str">
        <f>IF(AND(Table1[[#This Row],[Spec Type2]]="N/A",Table1[[#This Row],[DUT Adj Read]]="N/A",Table1[[#This Row],[Std Adj Read]]="N/A"),"N/A",IF(Table1[[#This Row],[DUT Adj Read]]="N/A",IF(Table1[[#This Row],[Std Adj Read]]&gt;=Table1[[#This Row],[Low Tol]],"Pass","Fail"),IF(Table1[[#This Row],[DUT Adj Read]]&gt;=Table1[[#This Row],[Low Tol]],"Pass","Fail")))</f>
        <v>Pass</v>
      </c>
      <c r="AG148" s="1" t="str">
        <f>IF(AND(Table1[[#This Row],[Spec Type2]]="N/A",Table1[[#This Row],[DUT Adj Read]]="N/A",Table1[[#This Row],[Std Adj Read]]="N/A"),"N/A",IF(Table1[[#This Row],[DUT Adj Read]]="N/A",IF(Table1[[#This Row],[Std Adj Read]]&lt;=Table1[[#This Row],[High Tol]],"Pass","Fail"),IF(Table1[[#This Row],[DUT Adj Read]]&lt;=Table1[[#This Row],[High Tol]],"Pass","Fail")))</f>
        <v>Fail</v>
      </c>
      <c r="AH1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 s="1" t="b">
        <v>0</v>
      </c>
      <c r="AN148" s="1" t="b">
        <v>0</v>
      </c>
      <c r="AO148" s="1" t="b">
        <v>0</v>
      </c>
    </row>
    <row r="149" spans="1:41" x14ac:dyDescent="0.25">
      <c r="A149" s="10"/>
      <c r="B149" s="10"/>
      <c r="C149" s="10"/>
      <c r="D149" s="10"/>
      <c r="E149" s="10"/>
      <c r="F149" s="10"/>
      <c r="G149" s="10"/>
      <c r="H149" s="10"/>
      <c r="I149" s="1" t="str">
        <f t="shared" si="6"/>
        <v/>
      </c>
      <c r="J149" s="1" t="s">
        <v>35</v>
      </c>
      <c r="K149" s="1" t="str">
        <f t="shared" si="7"/>
        <v/>
      </c>
      <c r="L149" s="1" t="str">
        <f t="shared" si="8"/>
        <v/>
      </c>
      <c r="M149" s="1">
        <f>IF(OR(Table1[[#This Row],[Std Nom]]="",Table1[[#This Row],[Std Read]]=""),0,Table1[[#This Row],[Std Nom]]-Table1[[#This Row],[Std Read]])</f>
        <v>0</v>
      </c>
      <c r="N149" s="1">
        <f>IF(Calculations!$F$5="ACCREDITED 17025 WITH UNCERTAINTIES",$N$10,0)</f>
        <v>0</v>
      </c>
      <c r="Q149" s="1">
        <f>Table1[[#This Row],[High Tol]]-Table1[[#This Row],[Low Tol]]</f>
        <v>0</v>
      </c>
      <c r="R149" s="1">
        <f>2*Table1[[#This Row],[Std Error]]</f>
        <v>0</v>
      </c>
      <c r="S149" s="1" t="str">
        <f>IF(Table1[[#This Row],[High Tol]]="","N/A",IFERROR(ABS(Table1[[#This Row],[Tol Span]]/Table1[[#This Row],[Error Span]]),"N/A"))</f>
        <v>N/A</v>
      </c>
      <c r="T149" s="1" t="str">
        <f>IF(OR(Table1[[#This Row],[Low Tol]]="",Table1[[#This Row],[High Tol]]=""),"Needs Analysis",IF(Table1[[#This Row],[Ratio]]&gt;=4,"Not Significant",IF(Table1[[#This Row],[Ratio]]&gt;=2,"Semi-Significant","Significant")))</f>
        <v>Needs Analysis</v>
      </c>
      <c r="W149" s="1">
        <f>IF(Table1[[#This Row],[Cal Type]]&lt;&gt;"ACCREDITED 17025 WITH UNCERTAINTIES",0,"")</f>
        <v>0</v>
      </c>
      <c r="X149" s="1" t="str">
        <f>IF(Table1[[#This Row],[DUT Read]]="","N/A",Table1[[#This Row],[Std Error]]+Table1[[#This Row],[DUT Read]]+Table1[[#This Row],[DUT Ucty]])</f>
        <v>N/A</v>
      </c>
      <c r="Y149" s="1" t="str">
        <f>IF(Table1[[#This Row],[Std Read]]="","N/A",Table1[[#This Row],[Std Read]]+Table1[[#This Row],[Std Ucty]])</f>
        <v>N/A</v>
      </c>
      <c r="Z1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 s="1" t="str">
        <f>IF(Table1[[#This Row],[Spec Type]]="","N/A",Table1[[#This Row],[Spec Type]])</f>
        <v>±</v>
      </c>
      <c r="AC149" s="1" t="str">
        <f>IF(Table1[[#This Row],[Spec Type2]]="N/A","N/A",IF(AND(Table1[[#This Row],[DUT Adj Read]]&gt;=Table1[[#This Row],[Low Tol]],Table1[[#This Row],[DUT Adj Read]]&lt;=Table1[[#This Row],[High Tol]]),"Pass","Fail"))</f>
        <v>Fail</v>
      </c>
      <c r="AD149" s="1" t="str">
        <f>IF(AND(Table1[[#This Row],[Spec Type2]]="N/A",Table1[[#This Row],[DUT Adj Read]]="N/A",Table1[[#This Row],[Std Adj Read]]="N/A"),"N/A",IF(Table1[[#This Row],[DUT Adj Read]]="N/A",IF(Table1[[#This Row],[Std Adj Read]]&gt;Table1[[#This Row],[Low Tol]],"Pass","Fail"),IF(Table1[[#This Row],[DUT Adj Read]]&gt;Table1[[#This Row],[Low Tol]],"Pass","Fail")))</f>
        <v>Pass</v>
      </c>
      <c r="AE149" s="1" t="str">
        <f>IF(AND(Table1[[#This Row],[Spec Type2]]="N/A",Table1[[#This Row],[DUT Adj Read]]="N/A",Table1[[#This Row],[Std Adj Read]]="N/A"),"N/A",IF(Table1[[#This Row],[DUT Adj Read]]="N/A",IF(Table1[[#This Row],[Std Adj Read]]&lt;Table1[[#This Row],[High Tol]],"Pass","Fail"),IF(Table1[[#This Row],[DUT Adj Read]]&lt;Table1[[#This Row],[High Tol]],"Pass","Fail")))</f>
        <v>Fail</v>
      </c>
      <c r="AF149" s="1" t="str">
        <f>IF(AND(Table1[[#This Row],[Spec Type2]]="N/A",Table1[[#This Row],[DUT Adj Read]]="N/A",Table1[[#This Row],[Std Adj Read]]="N/A"),"N/A",IF(Table1[[#This Row],[DUT Adj Read]]="N/A",IF(Table1[[#This Row],[Std Adj Read]]&gt;=Table1[[#This Row],[Low Tol]],"Pass","Fail"),IF(Table1[[#This Row],[DUT Adj Read]]&gt;=Table1[[#This Row],[Low Tol]],"Pass","Fail")))</f>
        <v>Pass</v>
      </c>
      <c r="AG149" s="1" t="str">
        <f>IF(AND(Table1[[#This Row],[Spec Type2]]="N/A",Table1[[#This Row],[DUT Adj Read]]="N/A",Table1[[#This Row],[Std Adj Read]]="N/A"),"N/A",IF(Table1[[#This Row],[DUT Adj Read]]="N/A",IF(Table1[[#This Row],[Std Adj Read]]&lt;=Table1[[#This Row],[High Tol]],"Pass","Fail"),IF(Table1[[#This Row],[DUT Adj Read]]&lt;=Table1[[#This Row],[High Tol]],"Pass","Fail")))</f>
        <v>Fail</v>
      </c>
      <c r="AH1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 s="1" t="b">
        <v>0</v>
      </c>
      <c r="AN149" s="1" t="b">
        <v>0</v>
      </c>
      <c r="AO149" s="1" t="b">
        <v>0</v>
      </c>
    </row>
    <row r="150" spans="1:41" x14ac:dyDescent="0.25">
      <c r="A150" s="10"/>
      <c r="B150" s="10"/>
      <c r="C150" s="10"/>
      <c r="D150" s="10"/>
      <c r="E150" s="10"/>
      <c r="F150" s="10"/>
      <c r="G150" s="10"/>
      <c r="H150" s="10"/>
      <c r="I150" s="1" t="str">
        <f t="shared" si="6"/>
        <v/>
      </c>
      <c r="J150" s="1" t="s">
        <v>35</v>
      </c>
      <c r="K150" s="1" t="str">
        <f t="shared" si="7"/>
        <v/>
      </c>
      <c r="L150" s="1" t="str">
        <f t="shared" si="8"/>
        <v/>
      </c>
      <c r="M150" s="1">
        <f>IF(OR(Table1[[#This Row],[Std Nom]]="",Table1[[#This Row],[Std Read]]=""),0,Table1[[#This Row],[Std Nom]]-Table1[[#This Row],[Std Read]])</f>
        <v>0</v>
      </c>
      <c r="N150" s="1">
        <f>IF(Calculations!$F$5="ACCREDITED 17025 WITH UNCERTAINTIES",$N$10,0)</f>
        <v>0</v>
      </c>
      <c r="Q150" s="1">
        <f>Table1[[#This Row],[High Tol]]-Table1[[#This Row],[Low Tol]]</f>
        <v>0</v>
      </c>
      <c r="R150" s="1">
        <f>2*Table1[[#This Row],[Std Error]]</f>
        <v>0</v>
      </c>
      <c r="S150" s="1" t="str">
        <f>IF(Table1[[#This Row],[High Tol]]="","N/A",IFERROR(ABS(Table1[[#This Row],[Tol Span]]/Table1[[#This Row],[Error Span]]),"N/A"))</f>
        <v>N/A</v>
      </c>
      <c r="T150" s="1" t="str">
        <f>IF(OR(Table1[[#This Row],[Low Tol]]="",Table1[[#This Row],[High Tol]]=""),"Needs Analysis",IF(Table1[[#This Row],[Ratio]]&gt;=4,"Not Significant",IF(Table1[[#This Row],[Ratio]]&gt;=2,"Semi-Significant","Significant")))</f>
        <v>Needs Analysis</v>
      </c>
      <c r="W150" s="1">
        <f>IF(Table1[[#This Row],[Cal Type]]&lt;&gt;"ACCREDITED 17025 WITH UNCERTAINTIES",0,"")</f>
        <v>0</v>
      </c>
      <c r="X150" s="1" t="str">
        <f>IF(Table1[[#This Row],[DUT Read]]="","N/A",Table1[[#This Row],[Std Error]]+Table1[[#This Row],[DUT Read]]+Table1[[#This Row],[DUT Ucty]])</f>
        <v>N/A</v>
      </c>
      <c r="Y150" s="1" t="str">
        <f>IF(Table1[[#This Row],[Std Read]]="","N/A",Table1[[#This Row],[Std Read]]+Table1[[#This Row],[Std Ucty]])</f>
        <v>N/A</v>
      </c>
      <c r="Z1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 s="1" t="str">
        <f>IF(Table1[[#This Row],[Spec Type]]="","N/A",Table1[[#This Row],[Spec Type]])</f>
        <v>±</v>
      </c>
      <c r="AC150" s="1" t="str">
        <f>IF(Table1[[#This Row],[Spec Type2]]="N/A","N/A",IF(AND(Table1[[#This Row],[DUT Adj Read]]&gt;=Table1[[#This Row],[Low Tol]],Table1[[#This Row],[DUT Adj Read]]&lt;=Table1[[#This Row],[High Tol]]),"Pass","Fail"))</f>
        <v>Fail</v>
      </c>
      <c r="AD150" s="1" t="str">
        <f>IF(AND(Table1[[#This Row],[Spec Type2]]="N/A",Table1[[#This Row],[DUT Adj Read]]="N/A",Table1[[#This Row],[Std Adj Read]]="N/A"),"N/A",IF(Table1[[#This Row],[DUT Adj Read]]="N/A",IF(Table1[[#This Row],[Std Adj Read]]&gt;Table1[[#This Row],[Low Tol]],"Pass","Fail"),IF(Table1[[#This Row],[DUT Adj Read]]&gt;Table1[[#This Row],[Low Tol]],"Pass","Fail")))</f>
        <v>Pass</v>
      </c>
      <c r="AE150" s="1" t="str">
        <f>IF(AND(Table1[[#This Row],[Spec Type2]]="N/A",Table1[[#This Row],[DUT Adj Read]]="N/A",Table1[[#This Row],[Std Adj Read]]="N/A"),"N/A",IF(Table1[[#This Row],[DUT Adj Read]]="N/A",IF(Table1[[#This Row],[Std Adj Read]]&lt;Table1[[#This Row],[High Tol]],"Pass","Fail"),IF(Table1[[#This Row],[DUT Adj Read]]&lt;Table1[[#This Row],[High Tol]],"Pass","Fail")))</f>
        <v>Fail</v>
      </c>
      <c r="AF150" s="1" t="str">
        <f>IF(AND(Table1[[#This Row],[Spec Type2]]="N/A",Table1[[#This Row],[DUT Adj Read]]="N/A",Table1[[#This Row],[Std Adj Read]]="N/A"),"N/A",IF(Table1[[#This Row],[DUT Adj Read]]="N/A",IF(Table1[[#This Row],[Std Adj Read]]&gt;=Table1[[#This Row],[Low Tol]],"Pass","Fail"),IF(Table1[[#This Row],[DUT Adj Read]]&gt;=Table1[[#This Row],[Low Tol]],"Pass","Fail")))</f>
        <v>Pass</v>
      </c>
      <c r="AG150" s="1" t="str">
        <f>IF(AND(Table1[[#This Row],[Spec Type2]]="N/A",Table1[[#This Row],[DUT Adj Read]]="N/A",Table1[[#This Row],[Std Adj Read]]="N/A"),"N/A",IF(Table1[[#This Row],[DUT Adj Read]]="N/A",IF(Table1[[#This Row],[Std Adj Read]]&lt;=Table1[[#This Row],[High Tol]],"Pass","Fail"),IF(Table1[[#This Row],[DUT Adj Read]]&lt;=Table1[[#This Row],[High Tol]],"Pass","Fail")))</f>
        <v>Fail</v>
      </c>
      <c r="AH1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 s="1" t="b">
        <v>0</v>
      </c>
      <c r="AN150" s="1" t="b">
        <v>0</v>
      </c>
      <c r="AO150" s="1" t="b">
        <v>0</v>
      </c>
    </row>
    <row r="151" spans="1:41" x14ac:dyDescent="0.25">
      <c r="A151" s="10"/>
      <c r="B151" s="10"/>
      <c r="C151" s="10"/>
      <c r="D151" s="10"/>
      <c r="E151" s="10"/>
      <c r="F151" s="10"/>
      <c r="G151" s="10"/>
      <c r="H151" s="10"/>
      <c r="I151" s="1" t="str">
        <f t="shared" si="6"/>
        <v/>
      </c>
      <c r="J151" s="1" t="s">
        <v>35</v>
      </c>
      <c r="K151" s="1" t="str">
        <f t="shared" si="7"/>
        <v/>
      </c>
      <c r="L151" s="1" t="str">
        <f t="shared" si="8"/>
        <v/>
      </c>
      <c r="M151" s="1">
        <f>IF(OR(Table1[[#This Row],[Std Nom]]="",Table1[[#This Row],[Std Read]]=""),0,Table1[[#This Row],[Std Nom]]-Table1[[#This Row],[Std Read]])</f>
        <v>0</v>
      </c>
      <c r="N151" s="1">
        <f>IF(Calculations!$F$5="ACCREDITED 17025 WITH UNCERTAINTIES",$N$10,0)</f>
        <v>0</v>
      </c>
      <c r="Q151" s="1">
        <f>Table1[[#This Row],[High Tol]]-Table1[[#This Row],[Low Tol]]</f>
        <v>0</v>
      </c>
      <c r="R151" s="1">
        <f>2*Table1[[#This Row],[Std Error]]</f>
        <v>0</v>
      </c>
      <c r="S151" s="1" t="str">
        <f>IF(Table1[[#This Row],[High Tol]]="","N/A",IFERROR(ABS(Table1[[#This Row],[Tol Span]]/Table1[[#This Row],[Error Span]]),"N/A"))</f>
        <v>N/A</v>
      </c>
      <c r="T151" s="1" t="str">
        <f>IF(OR(Table1[[#This Row],[Low Tol]]="",Table1[[#This Row],[High Tol]]=""),"Needs Analysis",IF(Table1[[#This Row],[Ratio]]&gt;=4,"Not Significant",IF(Table1[[#This Row],[Ratio]]&gt;=2,"Semi-Significant","Significant")))</f>
        <v>Needs Analysis</v>
      </c>
      <c r="W151" s="1">
        <f>IF(Table1[[#This Row],[Cal Type]]&lt;&gt;"ACCREDITED 17025 WITH UNCERTAINTIES",0,"")</f>
        <v>0</v>
      </c>
      <c r="X151" s="1" t="str">
        <f>IF(Table1[[#This Row],[DUT Read]]="","N/A",Table1[[#This Row],[Std Error]]+Table1[[#This Row],[DUT Read]]+Table1[[#This Row],[DUT Ucty]])</f>
        <v>N/A</v>
      </c>
      <c r="Y151" s="1" t="str">
        <f>IF(Table1[[#This Row],[Std Read]]="","N/A",Table1[[#This Row],[Std Read]]+Table1[[#This Row],[Std Ucty]])</f>
        <v>N/A</v>
      </c>
      <c r="Z1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 s="1" t="str">
        <f>IF(Table1[[#This Row],[Spec Type]]="","N/A",Table1[[#This Row],[Spec Type]])</f>
        <v>±</v>
      </c>
      <c r="AC151" s="1" t="str">
        <f>IF(Table1[[#This Row],[Spec Type2]]="N/A","N/A",IF(AND(Table1[[#This Row],[DUT Adj Read]]&gt;=Table1[[#This Row],[Low Tol]],Table1[[#This Row],[DUT Adj Read]]&lt;=Table1[[#This Row],[High Tol]]),"Pass","Fail"))</f>
        <v>Fail</v>
      </c>
      <c r="AD151" s="1" t="str">
        <f>IF(AND(Table1[[#This Row],[Spec Type2]]="N/A",Table1[[#This Row],[DUT Adj Read]]="N/A",Table1[[#This Row],[Std Adj Read]]="N/A"),"N/A",IF(Table1[[#This Row],[DUT Adj Read]]="N/A",IF(Table1[[#This Row],[Std Adj Read]]&gt;Table1[[#This Row],[Low Tol]],"Pass","Fail"),IF(Table1[[#This Row],[DUT Adj Read]]&gt;Table1[[#This Row],[Low Tol]],"Pass","Fail")))</f>
        <v>Pass</v>
      </c>
      <c r="AE151" s="1" t="str">
        <f>IF(AND(Table1[[#This Row],[Spec Type2]]="N/A",Table1[[#This Row],[DUT Adj Read]]="N/A",Table1[[#This Row],[Std Adj Read]]="N/A"),"N/A",IF(Table1[[#This Row],[DUT Adj Read]]="N/A",IF(Table1[[#This Row],[Std Adj Read]]&lt;Table1[[#This Row],[High Tol]],"Pass","Fail"),IF(Table1[[#This Row],[DUT Adj Read]]&lt;Table1[[#This Row],[High Tol]],"Pass","Fail")))</f>
        <v>Fail</v>
      </c>
      <c r="AF151" s="1" t="str">
        <f>IF(AND(Table1[[#This Row],[Spec Type2]]="N/A",Table1[[#This Row],[DUT Adj Read]]="N/A",Table1[[#This Row],[Std Adj Read]]="N/A"),"N/A",IF(Table1[[#This Row],[DUT Adj Read]]="N/A",IF(Table1[[#This Row],[Std Adj Read]]&gt;=Table1[[#This Row],[Low Tol]],"Pass","Fail"),IF(Table1[[#This Row],[DUT Adj Read]]&gt;=Table1[[#This Row],[Low Tol]],"Pass","Fail")))</f>
        <v>Pass</v>
      </c>
      <c r="AG151" s="1" t="str">
        <f>IF(AND(Table1[[#This Row],[Spec Type2]]="N/A",Table1[[#This Row],[DUT Adj Read]]="N/A",Table1[[#This Row],[Std Adj Read]]="N/A"),"N/A",IF(Table1[[#This Row],[DUT Adj Read]]="N/A",IF(Table1[[#This Row],[Std Adj Read]]&lt;=Table1[[#This Row],[High Tol]],"Pass","Fail"),IF(Table1[[#This Row],[DUT Adj Read]]&lt;=Table1[[#This Row],[High Tol]],"Pass","Fail")))</f>
        <v>Fail</v>
      </c>
      <c r="AH1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 s="1" t="b">
        <v>0</v>
      </c>
      <c r="AN151" s="1" t="b">
        <v>0</v>
      </c>
      <c r="AO151" s="1" t="b">
        <v>0</v>
      </c>
    </row>
    <row r="152" spans="1:41" x14ac:dyDescent="0.25">
      <c r="A152" s="10"/>
      <c r="B152" s="10"/>
      <c r="C152" s="10"/>
      <c r="D152" s="10"/>
      <c r="E152" s="10"/>
      <c r="F152" s="10"/>
      <c r="G152" s="10"/>
      <c r="H152" s="10"/>
      <c r="I152" s="1" t="str">
        <f t="shared" si="6"/>
        <v/>
      </c>
      <c r="J152" s="1" t="s">
        <v>35</v>
      </c>
      <c r="K152" s="1" t="str">
        <f t="shared" si="7"/>
        <v/>
      </c>
      <c r="L152" s="1" t="str">
        <f t="shared" si="8"/>
        <v/>
      </c>
      <c r="M152" s="1">
        <f>IF(OR(Table1[[#This Row],[Std Nom]]="",Table1[[#This Row],[Std Read]]=""),0,Table1[[#This Row],[Std Nom]]-Table1[[#This Row],[Std Read]])</f>
        <v>0</v>
      </c>
      <c r="N152" s="1">
        <f>IF(Calculations!$F$5="ACCREDITED 17025 WITH UNCERTAINTIES",$N$10,0)</f>
        <v>0</v>
      </c>
      <c r="Q152" s="1">
        <f>Table1[[#This Row],[High Tol]]-Table1[[#This Row],[Low Tol]]</f>
        <v>0</v>
      </c>
      <c r="R152" s="1">
        <f>2*Table1[[#This Row],[Std Error]]</f>
        <v>0</v>
      </c>
      <c r="S152" s="1" t="str">
        <f>IF(Table1[[#This Row],[High Tol]]="","N/A",IFERROR(ABS(Table1[[#This Row],[Tol Span]]/Table1[[#This Row],[Error Span]]),"N/A"))</f>
        <v>N/A</v>
      </c>
      <c r="T152" s="1" t="str">
        <f>IF(OR(Table1[[#This Row],[Low Tol]]="",Table1[[#This Row],[High Tol]]=""),"Needs Analysis",IF(Table1[[#This Row],[Ratio]]&gt;=4,"Not Significant",IF(Table1[[#This Row],[Ratio]]&gt;=2,"Semi-Significant","Significant")))</f>
        <v>Needs Analysis</v>
      </c>
      <c r="W152" s="1">
        <f>IF(Table1[[#This Row],[Cal Type]]&lt;&gt;"ACCREDITED 17025 WITH UNCERTAINTIES",0,"")</f>
        <v>0</v>
      </c>
      <c r="X152" s="1" t="str">
        <f>IF(Table1[[#This Row],[DUT Read]]="","N/A",Table1[[#This Row],[Std Error]]+Table1[[#This Row],[DUT Read]]+Table1[[#This Row],[DUT Ucty]])</f>
        <v>N/A</v>
      </c>
      <c r="Y152" s="1" t="str">
        <f>IF(Table1[[#This Row],[Std Read]]="","N/A",Table1[[#This Row],[Std Read]]+Table1[[#This Row],[Std Ucty]])</f>
        <v>N/A</v>
      </c>
      <c r="Z1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 s="1" t="str">
        <f>IF(Table1[[#This Row],[Spec Type]]="","N/A",Table1[[#This Row],[Spec Type]])</f>
        <v>±</v>
      </c>
      <c r="AC152" s="1" t="str">
        <f>IF(Table1[[#This Row],[Spec Type2]]="N/A","N/A",IF(AND(Table1[[#This Row],[DUT Adj Read]]&gt;=Table1[[#This Row],[Low Tol]],Table1[[#This Row],[DUT Adj Read]]&lt;=Table1[[#This Row],[High Tol]]),"Pass","Fail"))</f>
        <v>Fail</v>
      </c>
      <c r="AD152" s="1" t="str">
        <f>IF(AND(Table1[[#This Row],[Spec Type2]]="N/A",Table1[[#This Row],[DUT Adj Read]]="N/A",Table1[[#This Row],[Std Adj Read]]="N/A"),"N/A",IF(Table1[[#This Row],[DUT Adj Read]]="N/A",IF(Table1[[#This Row],[Std Adj Read]]&gt;Table1[[#This Row],[Low Tol]],"Pass","Fail"),IF(Table1[[#This Row],[DUT Adj Read]]&gt;Table1[[#This Row],[Low Tol]],"Pass","Fail")))</f>
        <v>Pass</v>
      </c>
      <c r="AE152" s="1" t="str">
        <f>IF(AND(Table1[[#This Row],[Spec Type2]]="N/A",Table1[[#This Row],[DUT Adj Read]]="N/A",Table1[[#This Row],[Std Adj Read]]="N/A"),"N/A",IF(Table1[[#This Row],[DUT Adj Read]]="N/A",IF(Table1[[#This Row],[Std Adj Read]]&lt;Table1[[#This Row],[High Tol]],"Pass","Fail"),IF(Table1[[#This Row],[DUT Adj Read]]&lt;Table1[[#This Row],[High Tol]],"Pass","Fail")))</f>
        <v>Fail</v>
      </c>
      <c r="AF152" s="1" t="str">
        <f>IF(AND(Table1[[#This Row],[Spec Type2]]="N/A",Table1[[#This Row],[DUT Adj Read]]="N/A",Table1[[#This Row],[Std Adj Read]]="N/A"),"N/A",IF(Table1[[#This Row],[DUT Adj Read]]="N/A",IF(Table1[[#This Row],[Std Adj Read]]&gt;=Table1[[#This Row],[Low Tol]],"Pass","Fail"),IF(Table1[[#This Row],[DUT Adj Read]]&gt;=Table1[[#This Row],[Low Tol]],"Pass","Fail")))</f>
        <v>Pass</v>
      </c>
      <c r="AG152" s="1" t="str">
        <f>IF(AND(Table1[[#This Row],[Spec Type2]]="N/A",Table1[[#This Row],[DUT Adj Read]]="N/A",Table1[[#This Row],[Std Adj Read]]="N/A"),"N/A",IF(Table1[[#This Row],[DUT Adj Read]]="N/A",IF(Table1[[#This Row],[Std Adj Read]]&lt;=Table1[[#This Row],[High Tol]],"Pass","Fail"),IF(Table1[[#This Row],[DUT Adj Read]]&lt;=Table1[[#This Row],[High Tol]],"Pass","Fail")))</f>
        <v>Fail</v>
      </c>
      <c r="AH1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 s="1" t="b">
        <v>0</v>
      </c>
      <c r="AN152" s="1" t="b">
        <v>0</v>
      </c>
      <c r="AO152" s="1" t="b">
        <v>0</v>
      </c>
    </row>
    <row r="153" spans="1:41" x14ac:dyDescent="0.25">
      <c r="A153" s="10"/>
      <c r="B153" s="10"/>
      <c r="C153" s="10"/>
      <c r="D153" s="10"/>
      <c r="E153" s="10"/>
      <c r="F153" s="10"/>
      <c r="G153" s="10"/>
      <c r="H153" s="10"/>
      <c r="I153" s="1" t="str">
        <f t="shared" si="6"/>
        <v/>
      </c>
      <c r="J153" s="1" t="s">
        <v>35</v>
      </c>
      <c r="K153" s="1" t="str">
        <f t="shared" si="7"/>
        <v/>
      </c>
      <c r="L153" s="1" t="str">
        <f t="shared" si="8"/>
        <v/>
      </c>
      <c r="M153" s="1">
        <f>IF(OR(Table1[[#This Row],[Std Nom]]="",Table1[[#This Row],[Std Read]]=""),0,Table1[[#This Row],[Std Nom]]-Table1[[#This Row],[Std Read]])</f>
        <v>0</v>
      </c>
      <c r="N153" s="1">
        <f>IF(Calculations!$F$5="ACCREDITED 17025 WITH UNCERTAINTIES",$N$10,0)</f>
        <v>0</v>
      </c>
      <c r="Q153" s="1">
        <f>Table1[[#This Row],[High Tol]]-Table1[[#This Row],[Low Tol]]</f>
        <v>0</v>
      </c>
      <c r="R153" s="1">
        <f>2*Table1[[#This Row],[Std Error]]</f>
        <v>0</v>
      </c>
      <c r="S153" s="1" t="str">
        <f>IF(Table1[[#This Row],[High Tol]]="","N/A",IFERROR(ABS(Table1[[#This Row],[Tol Span]]/Table1[[#This Row],[Error Span]]),"N/A"))</f>
        <v>N/A</v>
      </c>
      <c r="T153" s="1" t="str">
        <f>IF(OR(Table1[[#This Row],[Low Tol]]="",Table1[[#This Row],[High Tol]]=""),"Needs Analysis",IF(Table1[[#This Row],[Ratio]]&gt;=4,"Not Significant",IF(Table1[[#This Row],[Ratio]]&gt;=2,"Semi-Significant","Significant")))</f>
        <v>Needs Analysis</v>
      </c>
      <c r="W153" s="1">
        <f>IF(Table1[[#This Row],[Cal Type]]&lt;&gt;"ACCREDITED 17025 WITH UNCERTAINTIES",0,"")</f>
        <v>0</v>
      </c>
      <c r="X153" s="1" t="str">
        <f>IF(Table1[[#This Row],[DUT Read]]="","N/A",Table1[[#This Row],[Std Error]]+Table1[[#This Row],[DUT Read]]+Table1[[#This Row],[DUT Ucty]])</f>
        <v>N/A</v>
      </c>
      <c r="Y153" s="1" t="str">
        <f>IF(Table1[[#This Row],[Std Read]]="","N/A",Table1[[#This Row],[Std Read]]+Table1[[#This Row],[Std Ucty]])</f>
        <v>N/A</v>
      </c>
      <c r="Z1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 s="1" t="str">
        <f>IF(Table1[[#This Row],[Spec Type]]="","N/A",Table1[[#This Row],[Spec Type]])</f>
        <v>±</v>
      </c>
      <c r="AC153" s="1" t="str">
        <f>IF(Table1[[#This Row],[Spec Type2]]="N/A","N/A",IF(AND(Table1[[#This Row],[DUT Adj Read]]&gt;=Table1[[#This Row],[Low Tol]],Table1[[#This Row],[DUT Adj Read]]&lt;=Table1[[#This Row],[High Tol]]),"Pass","Fail"))</f>
        <v>Fail</v>
      </c>
      <c r="AD153" s="1" t="str">
        <f>IF(AND(Table1[[#This Row],[Spec Type2]]="N/A",Table1[[#This Row],[DUT Adj Read]]="N/A",Table1[[#This Row],[Std Adj Read]]="N/A"),"N/A",IF(Table1[[#This Row],[DUT Adj Read]]="N/A",IF(Table1[[#This Row],[Std Adj Read]]&gt;Table1[[#This Row],[Low Tol]],"Pass","Fail"),IF(Table1[[#This Row],[DUT Adj Read]]&gt;Table1[[#This Row],[Low Tol]],"Pass","Fail")))</f>
        <v>Pass</v>
      </c>
      <c r="AE153" s="1" t="str">
        <f>IF(AND(Table1[[#This Row],[Spec Type2]]="N/A",Table1[[#This Row],[DUT Adj Read]]="N/A",Table1[[#This Row],[Std Adj Read]]="N/A"),"N/A",IF(Table1[[#This Row],[DUT Adj Read]]="N/A",IF(Table1[[#This Row],[Std Adj Read]]&lt;Table1[[#This Row],[High Tol]],"Pass","Fail"),IF(Table1[[#This Row],[DUT Adj Read]]&lt;Table1[[#This Row],[High Tol]],"Pass","Fail")))</f>
        <v>Fail</v>
      </c>
      <c r="AF153" s="1" t="str">
        <f>IF(AND(Table1[[#This Row],[Spec Type2]]="N/A",Table1[[#This Row],[DUT Adj Read]]="N/A",Table1[[#This Row],[Std Adj Read]]="N/A"),"N/A",IF(Table1[[#This Row],[DUT Adj Read]]="N/A",IF(Table1[[#This Row],[Std Adj Read]]&gt;=Table1[[#This Row],[Low Tol]],"Pass","Fail"),IF(Table1[[#This Row],[DUT Adj Read]]&gt;=Table1[[#This Row],[Low Tol]],"Pass","Fail")))</f>
        <v>Pass</v>
      </c>
      <c r="AG153" s="1" t="str">
        <f>IF(AND(Table1[[#This Row],[Spec Type2]]="N/A",Table1[[#This Row],[DUT Adj Read]]="N/A",Table1[[#This Row],[Std Adj Read]]="N/A"),"N/A",IF(Table1[[#This Row],[DUT Adj Read]]="N/A",IF(Table1[[#This Row],[Std Adj Read]]&lt;=Table1[[#This Row],[High Tol]],"Pass","Fail"),IF(Table1[[#This Row],[DUT Adj Read]]&lt;=Table1[[#This Row],[High Tol]],"Pass","Fail")))</f>
        <v>Fail</v>
      </c>
      <c r="AH1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 s="1" t="b">
        <v>0</v>
      </c>
      <c r="AN153" s="1" t="b">
        <v>0</v>
      </c>
      <c r="AO153" s="1" t="b">
        <v>0</v>
      </c>
    </row>
    <row r="154" spans="1:41" x14ac:dyDescent="0.25">
      <c r="A154" s="10"/>
      <c r="B154" s="10"/>
      <c r="C154" s="10"/>
      <c r="D154" s="10"/>
      <c r="E154" s="10"/>
      <c r="F154" s="10"/>
      <c r="G154" s="10"/>
      <c r="H154" s="10"/>
      <c r="I154" s="1" t="str">
        <f t="shared" si="6"/>
        <v/>
      </c>
      <c r="J154" s="1" t="s">
        <v>35</v>
      </c>
      <c r="K154" s="1" t="str">
        <f t="shared" si="7"/>
        <v/>
      </c>
      <c r="L154" s="1" t="str">
        <f t="shared" si="8"/>
        <v/>
      </c>
      <c r="M154" s="1">
        <f>IF(OR(Table1[[#This Row],[Std Nom]]="",Table1[[#This Row],[Std Read]]=""),0,Table1[[#This Row],[Std Nom]]-Table1[[#This Row],[Std Read]])</f>
        <v>0</v>
      </c>
      <c r="N154" s="1">
        <f>IF(Calculations!$F$5="ACCREDITED 17025 WITH UNCERTAINTIES",$N$10,0)</f>
        <v>0</v>
      </c>
      <c r="Q154" s="1">
        <f>Table1[[#This Row],[High Tol]]-Table1[[#This Row],[Low Tol]]</f>
        <v>0</v>
      </c>
      <c r="R154" s="1">
        <f>2*Table1[[#This Row],[Std Error]]</f>
        <v>0</v>
      </c>
      <c r="S154" s="1" t="str">
        <f>IF(Table1[[#This Row],[High Tol]]="","N/A",IFERROR(ABS(Table1[[#This Row],[Tol Span]]/Table1[[#This Row],[Error Span]]),"N/A"))</f>
        <v>N/A</v>
      </c>
      <c r="T154" s="1" t="str">
        <f>IF(OR(Table1[[#This Row],[Low Tol]]="",Table1[[#This Row],[High Tol]]=""),"Needs Analysis",IF(Table1[[#This Row],[Ratio]]&gt;=4,"Not Significant",IF(Table1[[#This Row],[Ratio]]&gt;=2,"Semi-Significant","Significant")))</f>
        <v>Needs Analysis</v>
      </c>
      <c r="W154" s="1">
        <f>IF(Table1[[#This Row],[Cal Type]]&lt;&gt;"ACCREDITED 17025 WITH UNCERTAINTIES",0,"")</f>
        <v>0</v>
      </c>
      <c r="X154" s="1" t="str">
        <f>IF(Table1[[#This Row],[DUT Read]]="","N/A",Table1[[#This Row],[Std Error]]+Table1[[#This Row],[DUT Read]]+Table1[[#This Row],[DUT Ucty]])</f>
        <v>N/A</v>
      </c>
      <c r="Y154" s="1" t="str">
        <f>IF(Table1[[#This Row],[Std Read]]="","N/A",Table1[[#This Row],[Std Read]]+Table1[[#This Row],[Std Ucty]])</f>
        <v>N/A</v>
      </c>
      <c r="Z1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 s="1" t="str">
        <f>IF(Table1[[#This Row],[Spec Type]]="","N/A",Table1[[#This Row],[Spec Type]])</f>
        <v>±</v>
      </c>
      <c r="AC154" s="1" t="str">
        <f>IF(Table1[[#This Row],[Spec Type2]]="N/A","N/A",IF(AND(Table1[[#This Row],[DUT Adj Read]]&gt;=Table1[[#This Row],[Low Tol]],Table1[[#This Row],[DUT Adj Read]]&lt;=Table1[[#This Row],[High Tol]]),"Pass","Fail"))</f>
        <v>Fail</v>
      </c>
      <c r="AD154" s="1" t="str">
        <f>IF(AND(Table1[[#This Row],[Spec Type2]]="N/A",Table1[[#This Row],[DUT Adj Read]]="N/A",Table1[[#This Row],[Std Adj Read]]="N/A"),"N/A",IF(Table1[[#This Row],[DUT Adj Read]]="N/A",IF(Table1[[#This Row],[Std Adj Read]]&gt;Table1[[#This Row],[Low Tol]],"Pass","Fail"),IF(Table1[[#This Row],[DUT Adj Read]]&gt;Table1[[#This Row],[Low Tol]],"Pass","Fail")))</f>
        <v>Pass</v>
      </c>
      <c r="AE154" s="1" t="str">
        <f>IF(AND(Table1[[#This Row],[Spec Type2]]="N/A",Table1[[#This Row],[DUT Adj Read]]="N/A",Table1[[#This Row],[Std Adj Read]]="N/A"),"N/A",IF(Table1[[#This Row],[DUT Adj Read]]="N/A",IF(Table1[[#This Row],[Std Adj Read]]&lt;Table1[[#This Row],[High Tol]],"Pass","Fail"),IF(Table1[[#This Row],[DUT Adj Read]]&lt;Table1[[#This Row],[High Tol]],"Pass","Fail")))</f>
        <v>Fail</v>
      </c>
      <c r="AF154" s="1" t="str">
        <f>IF(AND(Table1[[#This Row],[Spec Type2]]="N/A",Table1[[#This Row],[DUT Adj Read]]="N/A",Table1[[#This Row],[Std Adj Read]]="N/A"),"N/A",IF(Table1[[#This Row],[DUT Adj Read]]="N/A",IF(Table1[[#This Row],[Std Adj Read]]&gt;=Table1[[#This Row],[Low Tol]],"Pass","Fail"),IF(Table1[[#This Row],[DUT Adj Read]]&gt;=Table1[[#This Row],[Low Tol]],"Pass","Fail")))</f>
        <v>Pass</v>
      </c>
      <c r="AG154" s="1" t="str">
        <f>IF(AND(Table1[[#This Row],[Spec Type2]]="N/A",Table1[[#This Row],[DUT Adj Read]]="N/A",Table1[[#This Row],[Std Adj Read]]="N/A"),"N/A",IF(Table1[[#This Row],[DUT Adj Read]]="N/A",IF(Table1[[#This Row],[Std Adj Read]]&lt;=Table1[[#This Row],[High Tol]],"Pass","Fail"),IF(Table1[[#This Row],[DUT Adj Read]]&lt;=Table1[[#This Row],[High Tol]],"Pass","Fail")))</f>
        <v>Fail</v>
      </c>
      <c r="AH1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 s="1" t="b">
        <v>0</v>
      </c>
      <c r="AN154" s="1" t="b">
        <v>0</v>
      </c>
      <c r="AO154" s="1" t="b">
        <v>0</v>
      </c>
    </row>
    <row r="155" spans="1:41" x14ac:dyDescent="0.25">
      <c r="A155" s="10"/>
      <c r="B155" s="10"/>
      <c r="C155" s="10"/>
      <c r="D155" s="10"/>
      <c r="E155" s="10"/>
      <c r="F155" s="10"/>
      <c r="G155" s="10"/>
      <c r="H155" s="10"/>
      <c r="I155" s="1" t="str">
        <f t="shared" si="6"/>
        <v/>
      </c>
      <c r="J155" s="1" t="s">
        <v>35</v>
      </c>
      <c r="K155" s="1" t="str">
        <f t="shared" si="7"/>
        <v/>
      </c>
      <c r="L155" s="1" t="str">
        <f t="shared" si="8"/>
        <v/>
      </c>
      <c r="M155" s="1">
        <f>IF(OR(Table1[[#This Row],[Std Nom]]="",Table1[[#This Row],[Std Read]]=""),0,Table1[[#This Row],[Std Nom]]-Table1[[#This Row],[Std Read]])</f>
        <v>0</v>
      </c>
      <c r="N155" s="1">
        <f>IF(Calculations!$F$5="ACCREDITED 17025 WITH UNCERTAINTIES",$N$10,0)</f>
        <v>0</v>
      </c>
      <c r="Q155" s="1">
        <f>Table1[[#This Row],[High Tol]]-Table1[[#This Row],[Low Tol]]</f>
        <v>0</v>
      </c>
      <c r="R155" s="1">
        <f>2*Table1[[#This Row],[Std Error]]</f>
        <v>0</v>
      </c>
      <c r="S155" s="1" t="str">
        <f>IF(Table1[[#This Row],[High Tol]]="","N/A",IFERROR(ABS(Table1[[#This Row],[Tol Span]]/Table1[[#This Row],[Error Span]]),"N/A"))</f>
        <v>N/A</v>
      </c>
      <c r="T155" s="1" t="str">
        <f>IF(OR(Table1[[#This Row],[Low Tol]]="",Table1[[#This Row],[High Tol]]=""),"Needs Analysis",IF(Table1[[#This Row],[Ratio]]&gt;=4,"Not Significant",IF(Table1[[#This Row],[Ratio]]&gt;=2,"Semi-Significant","Significant")))</f>
        <v>Needs Analysis</v>
      </c>
      <c r="W155" s="1">
        <f>IF(Table1[[#This Row],[Cal Type]]&lt;&gt;"ACCREDITED 17025 WITH UNCERTAINTIES",0,"")</f>
        <v>0</v>
      </c>
      <c r="X155" s="1" t="str">
        <f>IF(Table1[[#This Row],[DUT Read]]="","N/A",Table1[[#This Row],[Std Error]]+Table1[[#This Row],[DUT Read]]+Table1[[#This Row],[DUT Ucty]])</f>
        <v>N/A</v>
      </c>
      <c r="Y155" s="1" t="str">
        <f>IF(Table1[[#This Row],[Std Read]]="","N/A",Table1[[#This Row],[Std Read]]+Table1[[#This Row],[Std Ucty]])</f>
        <v>N/A</v>
      </c>
      <c r="Z1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 s="1" t="str">
        <f>IF(Table1[[#This Row],[Spec Type]]="","N/A",Table1[[#This Row],[Spec Type]])</f>
        <v>±</v>
      </c>
      <c r="AC155" s="1" t="str">
        <f>IF(Table1[[#This Row],[Spec Type2]]="N/A","N/A",IF(AND(Table1[[#This Row],[DUT Adj Read]]&gt;=Table1[[#This Row],[Low Tol]],Table1[[#This Row],[DUT Adj Read]]&lt;=Table1[[#This Row],[High Tol]]),"Pass","Fail"))</f>
        <v>Fail</v>
      </c>
      <c r="AD155" s="1" t="str">
        <f>IF(AND(Table1[[#This Row],[Spec Type2]]="N/A",Table1[[#This Row],[DUT Adj Read]]="N/A",Table1[[#This Row],[Std Adj Read]]="N/A"),"N/A",IF(Table1[[#This Row],[DUT Adj Read]]="N/A",IF(Table1[[#This Row],[Std Adj Read]]&gt;Table1[[#This Row],[Low Tol]],"Pass","Fail"),IF(Table1[[#This Row],[DUT Adj Read]]&gt;Table1[[#This Row],[Low Tol]],"Pass","Fail")))</f>
        <v>Pass</v>
      </c>
      <c r="AE155" s="1" t="str">
        <f>IF(AND(Table1[[#This Row],[Spec Type2]]="N/A",Table1[[#This Row],[DUT Adj Read]]="N/A",Table1[[#This Row],[Std Adj Read]]="N/A"),"N/A",IF(Table1[[#This Row],[DUT Adj Read]]="N/A",IF(Table1[[#This Row],[Std Adj Read]]&lt;Table1[[#This Row],[High Tol]],"Pass","Fail"),IF(Table1[[#This Row],[DUT Adj Read]]&lt;Table1[[#This Row],[High Tol]],"Pass","Fail")))</f>
        <v>Fail</v>
      </c>
      <c r="AF155" s="1" t="str">
        <f>IF(AND(Table1[[#This Row],[Spec Type2]]="N/A",Table1[[#This Row],[DUT Adj Read]]="N/A",Table1[[#This Row],[Std Adj Read]]="N/A"),"N/A",IF(Table1[[#This Row],[DUT Adj Read]]="N/A",IF(Table1[[#This Row],[Std Adj Read]]&gt;=Table1[[#This Row],[Low Tol]],"Pass","Fail"),IF(Table1[[#This Row],[DUT Adj Read]]&gt;=Table1[[#This Row],[Low Tol]],"Pass","Fail")))</f>
        <v>Pass</v>
      </c>
      <c r="AG155" s="1" t="str">
        <f>IF(AND(Table1[[#This Row],[Spec Type2]]="N/A",Table1[[#This Row],[DUT Adj Read]]="N/A",Table1[[#This Row],[Std Adj Read]]="N/A"),"N/A",IF(Table1[[#This Row],[DUT Adj Read]]="N/A",IF(Table1[[#This Row],[Std Adj Read]]&lt;=Table1[[#This Row],[High Tol]],"Pass","Fail"),IF(Table1[[#This Row],[DUT Adj Read]]&lt;=Table1[[#This Row],[High Tol]],"Pass","Fail")))</f>
        <v>Fail</v>
      </c>
      <c r="AH1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 s="1" t="b">
        <v>0</v>
      </c>
      <c r="AN155" s="1" t="b">
        <v>0</v>
      </c>
      <c r="AO155" s="1" t="b">
        <v>0</v>
      </c>
    </row>
    <row r="156" spans="1:41" x14ac:dyDescent="0.25">
      <c r="A156" s="10"/>
      <c r="B156" s="10"/>
      <c r="C156" s="10"/>
      <c r="D156" s="10"/>
      <c r="E156" s="10"/>
      <c r="F156" s="10"/>
      <c r="G156" s="10"/>
      <c r="H156" s="10"/>
      <c r="I156" s="1" t="str">
        <f t="shared" si="6"/>
        <v/>
      </c>
      <c r="J156" s="1" t="s">
        <v>35</v>
      </c>
      <c r="K156" s="1" t="str">
        <f t="shared" si="7"/>
        <v/>
      </c>
      <c r="L156" s="1" t="str">
        <f t="shared" si="8"/>
        <v/>
      </c>
      <c r="M156" s="1">
        <f>IF(OR(Table1[[#This Row],[Std Nom]]="",Table1[[#This Row],[Std Read]]=""),0,Table1[[#This Row],[Std Nom]]-Table1[[#This Row],[Std Read]])</f>
        <v>0</v>
      </c>
      <c r="N156" s="1">
        <f>IF(Calculations!$F$5="ACCREDITED 17025 WITH UNCERTAINTIES",$N$10,0)</f>
        <v>0</v>
      </c>
      <c r="Q156" s="1">
        <f>Table1[[#This Row],[High Tol]]-Table1[[#This Row],[Low Tol]]</f>
        <v>0</v>
      </c>
      <c r="R156" s="1">
        <f>2*Table1[[#This Row],[Std Error]]</f>
        <v>0</v>
      </c>
      <c r="S156" s="1" t="str">
        <f>IF(Table1[[#This Row],[High Tol]]="","N/A",IFERROR(ABS(Table1[[#This Row],[Tol Span]]/Table1[[#This Row],[Error Span]]),"N/A"))</f>
        <v>N/A</v>
      </c>
      <c r="T156" s="1" t="str">
        <f>IF(OR(Table1[[#This Row],[Low Tol]]="",Table1[[#This Row],[High Tol]]=""),"Needs Analysis",IF(Table1[[#This Row],[Ratio]]&gt;=4,"Not Significant",IF(Table1[[#This Row],[Ratio]]&gt;=2,"Semi-Significant","Significant")))</f>
        <v>Needs Analysis</v>
      </c>
      <c r="W156" s="1">
        <f>IF(Table1[[#This Row],[Cal Type]]&lt;&gt;"ACCREDITED 17025 WITH UNCERTAINTIES",0,"")</f>
        <v>0</v>
      </c>
      <c r="X156" s="1" t="str">
        <f>IF(Table1[[#This Row],[DUT Read]]="","N/A",Table1[[#This Row],[Std Error]]+Table1[[#This Row],[DUT Read]]+Table1[[#This Row],[DUT Ucty]])</f>
        <v>N/A</v>
      </c>
      <c r="Y156" s="1" t="str">
        <f>IF(Table1[[#This Row],[Std Read]]="","N/A",Table1[[#This Row],[Std Read]]+Table1[[#This Row],[Std Ucty]])</f>
        <v>N/A</v>
      </c>
      <c r="Z1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 s="1" t="str">
        <f>IF(Table1[[#This Row],[Spec Type]]="","N/A",Table1[[#This Row],[Spec Type]])</f>
        <v>±</v>
      </c>
      <c r="AC156" s="1" t="str">
        <f>IF(Table1[[#This Row],[Spec Type2]]="N/A","N/A",IF(AND(Table1[[#This Row],[DUT Adj Read]]&gt;=Table1[[#This Row],[Low Tol]],Table1[[#This Row],[DUT Adj Read]]&lt;=Table1[[#This Row],[High Tol]]),"Pass","Fail"))</f>
        <v>Fail</v>
      </c>
      <c r="AD156" s="1" t="str">
        <f>IF(AND(Table1[[#This Row],[Spec Type2]]="N/A",Table1[[#This Row],[DUT Adj Read]]="N/A",Table1[[#This Row],[Std Adj Read]]="N/A"),"N/A",IF(Table1[[#This Row],[DUT Adj Read]]="N/A",IF(Table1[[#This Row],[Std Adj Read]]&gt;Table1[[#This Row],[Low Tol]],"Pass","Fail"),IF(Table1[[#This Row],[DUT Adj Read]]&gt;Table1[[#This Row],[Low Tol]],"Pass","Fail")))</f>
        <v>Pass</v>
      </c>
      <c r="AE156" s="1" t="str">
        <f>IF(AND(Table1[[#This Row],[Spec Type2]]="N/A",Table1[[#This Row],[DUT Adj Read]]="N/A",Table1[[#This Row],[Std Adj Read]]="N/A"),"N/A",IF(Table1[[#This Row],[DUT Adj Read]]="N/A",IF(Table1[[#This Row],[Std Adj Read]]&lt;Table1[[#This Row],[High Tol]],"Pass","Fail"),IF(Table1[[#This Row],[DUT Adj Read]]&lt;Table1[[#This Row],[High Tol]],"Pass","Fail")))</f>
        <v>Fail</v>
      </c>
      <c r="AF156" s="1" t="str">
        <f>IF(AND(Table1[[#This Row],[Spec Type2]]="N/A",Table1[[#This Row],[DUT Adj Read]]="N/A",Table1[[#This Row],[Std Adj Read]]="N/A"),"N/A",IF(Table1[[#This Row],[DUT Adj Read]]="N/A",IF(Table1[[#This Row],[Std Adj Read]]&gt;=Table1[[#This Row],[Low Tol]],"Pass","Fail"),IF(Table1[[#This Row],[DUT Adj Read]]&gt;=Table1[[#This Row],[Low Tol]],"Pass","Fail")))</f>
        <v>Pass</v>
      </c>
      <c r="AG156" s="1" t="str">
        <f>IF(AND(Table1[[#This Row],[Spec Type2]]="N/A",Table1[[#This Row],[DUT Adj Read]]="N/A",Table1[[#This Row],[Std Adj Read]]="N/A"),"N/A",IF(Table1[[#This Row],[DUT Adj Read]]="N/A",IF(Table1[[#This Row],[Std Adj Read]]&lt;=Table1[[#This Row],[High Tol]],"Pass","Fail"),IF(Table1[[#This Row],[DUT Adj Read]]&lt;=Table1[[#This Row],[High Tol]],"Pass","Fail")))</f>
        <v>Fail</v>
      </c>
      <c r="AH1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 s="1" t="b">
        <v>0</v>
      </c>
      <c r="AN156" s="1" t="b">
        <v>0</v>
      </c>
      <c r="AO156" s="1" t="b">
        <v>0</v>
      </c>
    </row>
    <row r="157" spans="1:41" x14ac:dyDescent="0.25">
      <c r="A157" s="10"/>
      <c r="B157" s="10"/>
      <c r="C157" s="10"/>
      <c r="D157" s="10"/>
      <c r="E157" s="10"/>
      <c r="F157" s="10"/>
      <c r="G157" s="10"/>
      <c r="H157" s="10"/>
      <c r="I157" s="1" t="str">
        <f t="shared" si="6"/>
        <v/>
      </c>
      <c r="J157" s="1" t="s">
        <v>35</v>
      </c>
      <c r="K157" s="1" t="str">
        <f t="shared" si="7"/>
        <v/>
      </c>
      <c r="L157" s="1" t="str">
        <f t="shared" si="8"/>
        <v/>
      </c>
      <c r="M157" s="1">
        <f>IF(OR(Table1[[#This Row],[Std Nom]]="",Table1[[#This Row],[Std Read]]=""),0,Table1[[#This Row],[Std Nom]]-Table1[[#This Row],[Std Read]])</f>
        <v>0</v>
      </c>
      <c r="N157" s="1">
        <f>IF(Calculations!$F$5="ACCREDITED 17025 WITH UNCERTAINTIES",$N$10,0)</f>
        <v>0</v>
      </c>
      <c r="Q157" s="1">
        <f>Table1[[#This Row],[High Tol]]-Table1[[#This Row],[Low Tol]]</f>
        <v>0</v>
      </c>
      <c r="R157" s="1">
        <f>2*Table1[[#This Row],[Std Error]]</f>
        <v>0</v>
      </c>
      <c r="S157" s="1" t="str">
        <f>IF(Table1[[#This Row],[High Tol]]="","N/A",IFERROR(ABS(Table1[[#This Row],[Tol Span]]/Table1[[#This Row],[Error Span]]),"N/A"))</f>
        <v>N/A</v>
      </c>
      <c r="T157" s="1" t="str">
        <f>IF(OR(Table1[[#This Row],[Low Tol]]="",Table1[[#This Row],[High Tol]]=""),"Needs Analysis",IF(Table1[[#This Row],[Ratio]]&gt;=4,"Not Significant",IF(Table1[[#This Row],[Ratio]]&gt;=2,"Semi-Significant","Significant")))</f>
        <v>Needs Analysis</v>
      </c>
      <c r="W157" s="1">
        <f>IF(Table1[[#This Row],[Cal Type]]&lt;&gt;"ACCREDITED 17025 WITH UNCERTAINTIES",0,"")</f>
        <v>0</v>
      </c>
      <c r="X157" s="1" t="str">
        <f>IF(Table1[[#This Row],[DUT Read]]="","N/A",Table1[[#This Row],[Std Error]]+Table1[[#This Row],[DUT Read]]+Table1[[#This Row],[DUT Ucty]])</f>
        <v>N/A</v>
      </c>
      <c r="Y157" s="1" t="str">
        <f>IF(Table1[[#This Row],[Std Read]]="","N/A",Table1[[#This Row],[Std Read]]+Table1[[#This Row],[Std Ucty]])</f>
        <v>N/A</v>
      </c>
      <c r="Z1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 s="1" t="str">
        <f>IF(Table1[[#This Row],[Spec Type]]="","N/A",Table1[[#This Row],[Spec Type]])</f>
        <v>±</v>
      </c>
      <c r="AC157" s="1" t="str">
        <f>IF(Table1[[#This Row],[Spec Type2]]="N/A","N/A",IF(AND(Table1[[#This Row],[DUT Adj Read]]&gt;=Table1[[#This Row],[Low Tol]],Table1[[#This Row],[DUT Adj Read]]&lt;=Table1[[#This Row],[High Tol]]),"Pass","Fail"))</f>
        <v>Fail</v>
      </c>
      <c r="AD157" s="1" t="str">
        <f>IF(AND(Table1[[#This Row],[Spec Type2]]="N/A",Table1[[#This Row],[DUT Adj Read]]="N/A",Table1[[#This Row],[Std Adj Read]]="N/A"),"N/A",IF(Table1[[#This Row],[DUT Adj Read]]="N/A",IF(Table1[[#This Row],[Std Adj Read]]&gt;Table1[[#This Row],[Low Tol]],"Pass","Fail"),IF(Table1[[#This Row],[DUT Adj Read]]&gt;Table1[[#This Row],[Low Tol]],"Pass","Fail")))</f>
        <v>Pass</v>
      </c>
      <c r="AE157" s="1" t="str">
        <f>IF(AND(Table1[[#This Row],[Spec Type2]]="N/A",Table1[[#This Row],[DUT Adj Read]]="N/A",Table1[[#This Row],[Std Adj Read]]="N/A"),"N/A",IF(Table1[[#This Row],[DUT Adj Read]]="N/A",IF(Table1[[#This Row],[Std Adj Read]]&lt;Table1[[#This Row],[High Tol]],"Pass","Fail"),IF(Table1[[#This Row],[DUT Adj Read]]&lt;Table1[[#This Row],[High Tol]],"Pass","Fail")))</f>
        <v>Fail</v>
      </c>
      <c r="AF157" s="1" t="str">
        <f>IF(AND(Table1[[#This Row],[Spec Type2]]="N/A",Table1[[#This Row],[DUT Adj Read]]="N/A",Table1[[#This Row],[Std Adj Read]]="N/A"),"N/A",IF(Table1[[#This Row],[DUT Adj Read]]="N/A",IF(Table1[[#This Row],[Std Adj Read]]&gt;=Table1[[#This Row],[Low Tol]],"Pass","Fail"),IF(Table1[[#This Row],[DUT Adj Read]]&gt;=Table1[[#This Row],[Low Tol]],"Pass","Fail")))</f>
        <v>Pass</v>
      </c>
      <c r="AG157" s="1" t="str">
        <f>IF(AND(Table1[[#This Row],[Spec Type2]]="N/A",Table1[[#This Row],[DUT Adj Read]]="N/A",Table1[[#This Row],[Std Adj Read]]="N/A"),"N/A",IF(Table1[[#This Row],[DUT Adj Read]]="N/A",IF(Table1[[#This Row],[Std Adj Read]]&lt;=Table1[[#This Row],[High Tol]],"Pass","Fail"),IF(Table1[[#This Row],[DUT Adj Read]]&lt;=Table1[[#This Row],[High Tol]],"Pass","Fail")))</f>
        <v>Fail</v>
      </c>
      <c r="AH1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 s="1" t="b">
        <v>0</v>
      </c>
      <c r="AN157" s="1" t="b">
        <v>0</v>
      </c>
      <c r="AO157" s="1" t="b">
        <v>0</v>
      </c>
    </row>
    <row r="158" spans="1:41" x14ac:dyDescent="0.25">
      <c r="A158" s="10"/>
      <c r="B158" s="10"/>
      <c r="C158" s="10"/>
      <c r="D158" s="10"/>
      <c r="E158" s="10"/>
      <c r="F158" s="10"/>
      <c r="G158" s="10"/>
      <c r="H158" s="10"/>
      <c r="I158" s="1" t="str">
        <f t="shared" si="6"/>
        <v/>
      </c>
      <c r="J158" s="1" t="s">
        <v>35</v>
      </c>
      <c r="K158" s="1" t="str">
        <f t="shared" si="7"/>
        <v/>
      </c>
      <c r="L158" s="1" t="str">
        <f t="shared" si="8"/>
        <v/>
      </c>
      <c r="M158" s="1">
        <f>IF(OR(Table1[[#This Row],[Std Nom]]="",Table1[[#This Row],[Std Read]]=""),0,Table1[[#This Row],[Std Nom]]-Table1[[#This Row],[Std Read]])</f>
        <v>0</v>
      </c>
      <c r="N158" s="1">
        <f>IF(Calculations!$F$5="ACCREDITED 17025 WITH UNCERTAINTIES",$N$10,0)</f>
        <v>0</v>
      </c>
      <c r="Q158" s="1">
        <f>Table1[[#This Row],[High Tol]]-Table1[[#This Row],[Low Tol]]</f>
        <v>0</v>
      </c>
      <c r="R158" s="1">
        <f>2*Table1[[#This Row],[Std Error]]</f>
        <v>0</v>
      </c>
      <c r="S158" s="1" t="str">
        <f>IF(Table1[[#This Row],[High Tol]]="","N/A",IFERROR(ABS(Table1[[#This Row],[Tol Span]]/Table1[[#This Row],[Error Span]]),"N/A"))</f>
        <v>N/A</v>
      </c>
      <c r="T158" s="1" t="str">
        <f>IF(OR(Table1[[#This Row],[Low Tol]]="",Table1[[#This Row],[High Tol]]=""),"Needs Analysis",IF(Table1[[#This Row],[Ratio]]&gt;=4,"Not Significant",IF(Table1[[#This Row],[Ratio]]&gt;=2,"Semi-Significant","Significant")))</f>
        <v>Needs Analysis</v>
      </c>
      <c r="W158" s="1">
        <f>IF(Table1[[#This Row],[Cal Type]]&lt;&gt;"ACCREDITED 17025 WITH UNCERTAINTIES",0,"")</f>
        <v>0</v>
      </c>
      <c r="X158" s="1" t="str">
        <f>IF(Table1[[#This Row],[DUT Read]]="","N/A",Table1[[#This Row],[Std Error]]+Table1[[#This Row],[DUT Read]]+Table1[[#This Row],[DUT Ucty]])</f>
        <v>N/A</v>
      </c>
      <c r="Y158" s="1" t="str">
        <f>IF(Table1[[#This Row],[Std Read]]="","N/A",Table1[[#This Row],[Std Read]]+Table1[[#This Row],[Std Ucty]])</f>
        <v>N/A</v>
      </c>
      <c r="Z1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 s="1" t="str">
        <f>IF(Table1[[#This Row],[Spec Type]]="","N/A",Table1[[#This Row],[Spec Type]])</f>
        <v>±</v>
      </c>
      <c r="AC158" s="1" t="str">
        <f>IF(Table1[[#This Row],[Spec Type2]]="N/A","N/A",IF(AND(Table1[[#This Row],[DUT Adj Read]]&gt;=Table1[[#This Row],[Low Tol]],Table1[[#This Row],[DUT Adj Read]]&lt;=Table1[[#This Row],[High Tol]]),"Pass","Fail"))</f>
        <v>Fail</v>
      </c>
      <c r="AD158" s="1" t="str">
        <f>IF(AND(Table1[[#This Row],[Spec Type2]]="N/A",Table1[[#This Row],[DUT Adj Read]]="N/A",Table1[[#This Row],[Std Adj Read]]="N/A"),"N/A",IF(Table1[[#This Row],[DUT Adj Read]]="N/A",IF(Table1[[#This Row],[Std Adj Read]]&gt;Table1[[#This Row],[Low Tol]],"Pass","Fail"),IF(Table1[[#This Row],[DUT Adj Read]]&gt;Table1[[#This Row],[Low Tol]],"Pass","Fail")))</f>
        <v>Pass</v>
      </c>
      <c r="AE158" s="1" t="str">
        <f>IF(AND(Table1[[#This Row],[Spec Type2]]="N/A",Table1[[#This Row],[DUT Adj Read]]="N/A",Table1[[#This Row],[Std Adj Read]]="N/A"),"N/A",IF(Table1[[#This Row],[DUT Adj Read]]="N/A",IF(Table1[[#This Row],[Std Adj Read]]&lt;Table1[[#This Row],[High Tol]],"Pass","Fail"),IF(Table1[[#This Row],[DUT Adj Read]]&lt;Table1[[#This Row],[High Tol]],"Pass","Fail")))</f>
        <v>Fail</v>
      </c>
      <c r="AF158" s="1" t="str">
        <f>IF(AND(Table1[[#This Row],[Spec Type2]]="N/A",Table1[[#This Row],[DUT Adj Read]]="N/A",Table1[[#This Row],[Std Adj Read]]="N/A"),"N/A",IF(Table1[[#This Row],[DUT Adj Read]]="N/A",IF(Table1[[#This Row],[Std Adj Read]]&gt;=Table1[[#This Row],[Low Tol]],"Pass","Fail"),IF(Table1[[#This Row],[DUT Adj Read]]&gt;=Table1[[#This Row],[Low Tol]],"Pass","Fail")))</f>
        <v>Pass</v>
      </c>
      <c r="AG158" s="1" t="str">
        <f>IF(AND(Table1[[#This Row],[Spec Type2]]="N/A",Table1[[#This Row],[DUT Adj Read]]="N/A",Table1[[#This Row],[Std Adj Read]]="N/A"),"N/A",IF(Table1[[#This Row],[DUT Adj Read]]="N/A",IF(Table1[[#This Row],[Std Adj Read]]&lt;=Table1[[#This Row],[High Tol]],"Pass","Fail"),IF(Table1[[#This Row],[DUT Adj Read]]&lt;=Table1[[#This Row],[High Tol]],"Pass","Fail")))</f>
        <v>Fail</v>
      </c>
      <c r="AH1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 s="1" t="b">
        <v>0</v>
      </c>
      <c r="AN158" s="1" t="b">
        <v>0</v>
      </c>
      <c r="AO158" s="1" t="b">
        <v>0</v>
      </c>
    </row>
    <row r="159" spans="1:41" x14ac:dyDescent="0.25">
      <c r="A159" s="10"/>
      <c r="B159" s="10"/>
      <c r="C159" s="10"/>
      <c r="D159" s="10"/>
      <c r="E159" s="10"/>
      <c r="F159" s="10"/>
      <c r="G159" s="10"/>
      <c r="H159" s="10"/>
      <c r="I159" s="1" t="str">
        <f t="shared" si="6"/>
        <v/>
      </c>
      <c r="J159" s="1" t="s">
        <v>35</v>
      </c>
      <c r="K159" s="1" t="str">
        <f t="shared" si="7"/>
        <v/>
      </c>
      <c r="L159" s="1" t="str">
        <f t="shared" si="8"/>
        <v/>
      </c>
      <c r="M159" s="1">
        <f>IF(OR(Table1[[#This Row],[Std Nom]]="",Table1[[#This Row],[Std Read]]=""),0,Table1[[#This Row],[Std Nom]]-Table1[[#This Row],[Std Read]])</f>
        <v>0</v>
      </c>
      <c r="N159" s="1">
        <f>IF(Calculations!$F$5="ACCREDITED 17025 WITH UNCERTAINTIES",$N$10,0)</f>
        <v>0</v>
      </c>
      <c r="Q159" s="1">
        <f>Table1[[#This Row],[High Tol]]-Table1[[#This Row],[Low Tol]]</f>
        <v>0</v>
      </c>
      <c r="R159" s="1">
        <f>2*Table1[[#This Row],[Std Error]]</f>
        <v>0</v>
      </c>
      <c r="S159" s="1" t="str">
        <f>IF(Table1[[#This Row],[High Tol]]="","N/A",IFERROR(ABS(Table1[[#This Row],[Tol Span]]/Table1[[#This Row],[Error Span]]),"N/A"))</f>
        <v>N/A</v>
      </c>
      <c r="T159" s="1" t="str">
        <f>IF(OR(Table1[[#This Row],[Low Tol]]="",Table1[[#This Row],[High Tol]]=""),"Needs Analysis",IF(Table1[[#This Row],[Ratio]]&gt;=4,"Not Significant",IF(Table1[[#This Row],[Ratio]]&gt;=2,"Semi-Significant","Significant")))</f>
        <v>Needs Analysis</v>
      </c>
      <c r="W159" s="1">
        <f>IF(Table1[[#This Row],[Cal Type]]&lt;&gt;"ACCREDITED 17025 WITH UNCERTAINTIES",0,"")</f>
        <v>0</v>
      </c>
      <c r="X159" s="1" t="str">
        <f>IF(Table1[[#This Row],[DUT Read]]="","N/A",Table1[[#This Row],[Std Error]]+Table1[[#This Row],[DUT Read]]+Table1[[#This Row],[DUT Ucty]])</f>
        <v>N/A</v>
      </c>
      <c r="Y159" s="1" t="str">
        <f>IF(Table1[[#This Row],[Std Read]]="","N/A",Table1[[#This Row],[Std Read]]+Table1[[#This Row],[Std Ucty]])</f>
        <v>N/A</v>
      </c>
      <c r="Z1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 s="1" t="str">
        <f>IF(Table1[[#This Row],[Spec Type]]="","N/A",Table1[[#This Row],[Spec Type]])</f>
        <v>±</v>
      </c>
      <c r="AC159" s="1" t="str">
        <f>IF(Table1[[#This Row],[Spec Type2]]="N/A","N/A",IF(AND(Table1[[#This Row],[DUT Adj Read]]&gt;=Table1[[#This Row],[Low Tol]],Table1[[#This Row],[DUT Adj Read]]&lt;=Table1[[#This Row],[High Tol]]),"Pass","Fail"))</f>
        <v>Fail</v>
      </c>
      <c r="AD159" s="1" t="str">
        <f>IF(AND(Table1[[#This Row],[Spec Type2]]="N/A",Table1[[#This Row],[DUT Adj Read]]="N/A",Table1[[#This Row],[Std Adj Read]]="N/A"),"N/A",IF(Table1[[#This Row],[DUT Adj Read]]="N/A",IF(Table1[[#This Row],[Std Adj Read]]&gt;Table1[[#This Row],[Low Tol]],"Pass","Fail"),IF(Table1[[#This Row],[DUT Adj Read]]&gt;Table1[[#This Row],[Low Tol]],"Pass","Fail")))</f>
        <v>Pass</v>
      </c>
      <c r="AE159" s="1" t="str">
        <f>IF(AND(Table1[[#This Row],[Spec Type2]]="N/A",Table1[[#This Row],[DUT Adj Read]]="N/A",Table1[[#This Row],[Std Adj Read]]="N/A"),"N/A",IF(Table1[[#This Row],[DUT Adj Read]]="N/A",IF(Table1[[#This Row],[Std Adj Read]]&lt;Table1[[#This Row],[High Tol]],"Pass","Fail"),IF(Table1[[#This Row],[DUT Adj Read]]&lt;Table1[[#This Row],[High Tol]],"Pass","Fail")))</f>
        <v>Fail</v>
      </c>
      <c r="AF159" s="1" t="str">
        <f>IF(AND(Table1[[#This Row],[Spec Type2]]="N/A",Table1[[#This Row],[DUT Adj Read]]="N/A",Table1[[#This Row],[Std Adj Read]]="N/A"),"N/A",IF(Table1[[#This Row],[DUT Adj Read]]="N/A",IF(Table1[[#This Row],[Std Adj Read]]&gt;=Table1[[#This Row],[Low Tol]],"Pass","Fail"),IF(Table1[[#This Row],[DUT Adj Read]]&gt;=Table1[[#This Row],[Low Tol]],"Pass","Fail")))</f>
        <v>Pass</v>
      </c>
      <c r="AG159" s="1" t="str">
        <f>IF(AND(Table1[[#This Row],[Spec Type2]]="N/A",Table1[[#This Row],[DUT Adj Read]]="N/A",Table1[[#This Row],[Std Adj Read]]="N/A"),"N/A",IF(Table1[[#This Row],[DUT Adj Read]]="N/A",IF(Table1[[#This Row],[Std Adj Read]]&lt;=Table1[[#This Row],[High Tol]],"Pass","Fail"),IF(Table1[[#This Row],[DUT Adj Read]]&lt;=Table1[[#This Row],[High Tol]],"Pass","Fail")))</f>
        <v>Fail</v>
      </c>
      <c r="AH1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 s="1" t="b">
        <v>0</v>
      </c>
      <c r="AN159" s="1" t="b">
        <v>0</v>
      </c>
      <c r="AO159" s="1" t="b">
        <v>0</v>
      </c>
    </row>
    <row r="160" spans="1:41" x14ac:dyDescent="0.25">
      <c r="A160" s="10"/>
      <c r="B160" s="10"/>
      <c r="C160" s="10"/>
      <c r="D160" s="10"/>
      <c r="E160" s="10"/>
      <c r="F160" s="10"/>
      <c r="G160" s="10"/>
      <c r="H160" s="10"/>
      <c r="I160" s="1" t="str">
        <f t="shared" si="6"/>
        <v/>
      </c>
      <c r="J160" s="1" t="s">
        <v>35</v>
      </c>
      <c r="K160" s="1" t="str">
        <f t="shared" si="7"/>
        <v/>
      </c>
      <c r="L160" s="1" t="str">
        <f t="shared" si="8"/>
        <v/>
      </c>
      <c r="M160" s="1">
        <f>IF(OR(Table1[[#This Row],[Std Nom]]="",Table1[[#This Row],[Std Read]]=""),0,Table1[[#This Row],[Std Nom]]-Table1[[#This Row],[Std Read]])</f>
        <v>0</v>
      </c>
      <c r="N160" s="1">
        <f>IF(Calculations!$F$5="ACCREDITED 17025 WITH UNCERTAINTIES",$N$10,0)</f>
        <v>0</v>
      </c>
      <c r="Q160" s="1">
        <f>Table1[[#This Row],[High Tol]]-Table1[[#This Row],[Low Tol]]</f>
        <v>0</v>
      </c>
      <c r="R160" s="1">
        <f>2*Table1[[#This Row],[Std Error]]</f>
        <v>0</v>
      </c>
      <c r="S160" s="1" t="str">
        <f>IF(Table1[[#This Row],[High Tol]]="","N/A",IFERROR(ABS(Table1[[#This Row],[Tol Span]]/Table1[[#This Row],[Error Span]]),"N/A"))</f>
        <v>N/A</v>
      </c>
      <c r="T160" s="1" t="str">
        <f>IF(OR(Table1[[#This Row],[Low Tol]]="",Table1[[#This Row],[High Tol]]=""),"Needs Analysis",IF(Table1[[#This Row],[Ratio]]&gt;=4,"Not Significant",IF(Table1[[#This Row],[Ratio]]&gt;=2,"Semi-Significant","Significant")))</f>
        <v>Needs Analysis</v>
      </c>
      <c r="W160" s="1">
        <f>IF(Table1[[#This Row],[Cal Type]]&lt;&gt;"ACCREDITED 17025 WITH UNCERTAINTIES",0,"")</f>
        <v>0</v>
      </c>
      <c r="X160" s="1" t="str">
        <f>IF(Table1[[#This Row],[DUT Read]]="","N/A",Table1[[#This Row],[Std Error]]+Table1[[#This Row],[DUT Read]]+Table1[[#This Row],[DUT Ucty]])</f>
        <v>N/A</v>
      </c>
      <c r="Y160" s="1" t="str">
        <f>IF(Table1[[#This Row],[Std Read]]="","N/A",Table1[[#This Row],[Std Read]]+Table1[[#This Row],[Std Ucty]])</f>
        <v>N/A</v>
      </c>
      <c r="Z1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 s="1" t="str">
        <f>IF(Table1[[#This Row],[Spec Type]]="","N/A",Table1[[#This Row],[Spec Type]])</f>
        <v>±</v>
      </c>
      <c r="AC160" s="1" t="str">
        <f>IF(Table1[[#This Row],[Spec Type2]]="N/A","N/A",IF(AND(Table1[[#This Row],[DUT Adj Read]]&gt;=Table1[[#This Row],[Low Tol]],Table1[[#This Row],[DUT Adj Read]]&lt;=Table1[[#This Row],[High Tol]]),"Pass","Fail"))</f>
        <v>Fail</v>
      </c>
      <c r="AD160" s="1" t="str">
        <f>IF(AND(Table1[[#This Row],[Spec Type2]]="N/A",Table1[[#This Row],[DUT Adj Read]]="N/A",Table1[[#This Row],[Std Adj Read]]="N/A"),"N/A",IF(Table1[[#This Row],[DUT Adj Read]]="N/A",IF(Table1[[#This Row],[Std Adj Read]]&gt;Table1[[#This Row],[Low Tol]],"Pass","Fail"),IF(Table1[[#This Row],[DUT Adj Read]]&gt;Table1[[#This Row],[Low Tol]],"Pass","Fail")))</f>
        <v>Pass</v>
      </c>
      <c r="AE160" s="1" t="str">
        <f>IF(AND(Table1[[#This Row],[Spec Type2]]="N/A",Table1[[#This Row],[DUT Adj Read]]="N/A",Table1[[#This Row],[Std Adj Read]]="N/A"),"N/A",IF(Table1[[#This Row],[DUT Adj Read]]="N/A",IF(Table1[[#This Row],[Std Adj Read]]&lt;Table1[[#This Row],[High Tol]],"Pass","Fail"),IF(Table1[[#This Row],[DUT Adj Read]]&lt;Table1[[#This Row],[High Tol]],"Pass","Fail")))</f>
        <v>Fail</v>
      </c>
      <c r="AF160" s="1" t="str">
        <f>IF(AND(Table1[[#This Row],[Spec Type2]]="N/A",Table1[[#This Row],[DUT Adj Read]]="N/A",Table1[[#This Row],[Std Adj Read]]="N/A"),"N/A",IF(Table1[[#This Row],[DUT Adj Read]]="N/A",IF(Table1[[#This Row],[Std Adj Read]]&gt;=Table1[[#This Row],[Low Tol]],"Pass","Fail"),IF(Table1[[#This Row],[DUT Adj Read]]&gt;=Table1[[#This Row],[Low Tol]],"Pass","Fail")))</f>
        <v>Pass</v>
      </c>
      <c r="AG160" s="1" t="str">
        <f>IF(AND(Table1[[#This Row],[Spec Type2]]="N/A",Table1[[#This Row],[DUT Adj Read]]="N/A",Table1[[#This Row],[Std Adj Read]]="N/A"),"N/A",IF(Table1[[#This Row],[DUT Adj Read]]="N/A",IF(Table1[[#This Row],[Std Adj Read]]&lt;=Table1[[#This Row],[High Tol]],"Pass","Fail"),IF(Table1[[#This Row],[DUT Adj Read]]&lt;=Table1[[#This Row],[High Tol]],"Pass","Fail")))</f>
        <v>Fail</v>
      </c>
      <c r="AH1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 s="1" t="b">
        <v>0</v>
      </c>
      <c r="AN160" s="1" t="b">
        <v>0</v>
      </c>
      <c r="AO160" s="1" t="b">
        <v>0</v>
      </c>
    </row>
    <row r="161" spans="1:41" x14ac:dyDescent="0.25">
      <c r="A161" s="10"/>
      <c r="B161" s="10"/>
      <c r="C161" s="10"/>
      <c r="D161" s="10"/>
      <c r="E161" s="10"/>
      <c r="F161" s="10"/>
      <c r="G161" s="10"/>
      <c r="H161" s="10"/>
      <c r="I161" s="1" t="str">
        <f t="shared" si="6"/>
        <v/>
      </c>
      <c r="J161" s="1" t="s">
        <v>35</v>
      </c>
      <c r="K161" s="1" t="str">
        <f t="shared" si="7"/>
        <v/>
      </c>
      <c r="L161" s="1" t="str">
        <f t="shared" si="8"/>
        <v/>
      </c>
      <c r="M161" s="1">
        <f>IF(OR(Table1[[#This Row],[Std Nom]]="",Table1[[#This Row],[Std Read]]=""),0,Table1[[#This Row],[Std Nom]]-Table1[[#This Row],[Std Read]])</f>
        <v>0</v>
      </c>
      <c r="N161" s="1">
        <f>IF(Calculations!$F$5="ACCREDITED 17025 WITH UNCERTAINTIES",$N$10,0)</f>
        <v>0</v>
      </c>
      <c r="Q161" s="1">
        <f>Table1[[#This Row],[High Tol]]-Table1[[#This Row],[Low Tol]]</f>
        <v>0</v>
      </c>
      <c r="R161" s="1">
        <f>2*Table1[[#This Row],[Std Error]]</f>
        <v>0</v>
      </c>
      <c r="S161" s="1" t="str">
        <f>IF(Table1[[#This Row],[High Tol]]="","N/A",IFERROR(ABS(Table1[[#This Row],[Tol Span]]/Table1[[#This Row],[Error Span]]),"N/A"))</f>
        <v>N/A</v>
      </c>
      <c r="T161" s="1" t="str">
        <f>IF(OR(Table1[[#This Row],[Low Tol]]="",Table1[[#This Row],[High Tol]]=""),"Needs Analysis",IF(Table1[[#This Row],[Ratio]]&gt;=4,"Not Significant",IF(Table1[[#This Row],[Ratio]]&gt;=2,"Semi-Significant","Significant")))</f>
        <v>Needs Analysis</v>
      </c>
      <c r="W161" s="1">
        <f>IF(Table1[[#This Row],[Cal Type]]&lt;&gt;"ACCREDITED 17025 WITH UNCERTAINTIES",0,"")</f>
        <v>0</v>
      </c>
      <c r="X161" s="1" t="str">
        <f>IF(Table1[[#This Row],[DUT Read]]="","N/A",Table1[[#This Row],[Std Error]]+Table1[[#This Row],[DUT Read]]+Table1[[#This Row],[DUT Ucty]])</f>
        <v>N/A</v>
      </c>
      <c r="Y161" s="1" t="str">
        <f>IF(Table1[[#This Row],[Std Read]]="","N/A",Table1[[#This Row],[Std Read]]+Table1[[#This Row],[Std Ucty]])</f>
        <v>N/A</v>
      </c>
      <c r="Z1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 s="1" t="str">
        <f>IF(Table1[[#This Row],[Spec Type]]="","N/A",Table1[[#This Row],[Spec Type]])</f>
        <v>±</v>
      </c>
      <c r="AC161" s="1" t="str">
        <f>IF(Table1[[#This Row],[Spec Type2]]="N/A","N/A",IF(AND(Table1[[#This Row],[DUT Adj Read]]&gt;=Table1[[#This Row],[Low Tol]],Table1[[#This Row],[DUT Adj Read]]&lt;=Table1[[#This Row],[High Tol]]),"Pass","Fail"))</f>
        <v>Fail</v>
      </c>
      <c r="AD161" s="1" t="str">
        <f>IF(AND(Table1[[#This Row],[Spec Type2]]="N/A",Table1[[#This Row],[DUT Adj Read]]="N/A",Table1[[#This Row],[Std Adj Read]]="N/A"),"N/A",IF(Table1[[#This Row],[DUT Adj Read]]="N/A",IF(Table1[[#This Row],[Std Adj Read]]&gt;Table1[[#This Row],[Low Tol]],"Pass","Fail"),IF(Table1[[#This Row],[DUT Adj Read]]&gt;Table1[[#This Row],[Low Tol]],"Pass","Fail")))</f>
        <v>Pass</v>
      </c>
      <c r="AE161" s="1" t="str">
        <f>IF(AND(Table1[[#This Row],[Spec Type2]]="N/A",Table1[[#This Row],[DUT Adj Read]]="N/A",Table1[[#This Row],[Std Adj Read]]="N/A"),"N/A",IF(Table1[[#This Row],[DUT Adj Read]]="N/A",IF(Table1[[#This Row],[Std Adj Read]]&lt;Table1[[#This Row],[High Tol]],"Pass","Fail"),IF(Table1[[#This Row],[DUT Adj Read]]&lt;Table1[[#This Row],[High Tol]],"Pass","Fail")))</f>
        <v>Fail</v>
      </c>
      <c r="AF161" s="1" t="str">
        <f>IF(AND(Table1[[#This Row],[Spec Type2]]="N/A",Table1[[#This Row],[DUT Adj Read]]="N/A",Table1[[#This Row],[Std Adj Read]]="N/A"),"N/A",IF(Table1[[#This Row],[DUT Adj Read]]="N/A",IF(Table1[[#This Row],[Std Adj Read]]&gt;=Table1[[#This Row],[Low Tol]],"Pass","Fail"),IF(Table1[[#This Row],[DUT Adj Read]]&gt;=Table1[[#This Row],[Low Tol]],"Pass","Fail")))</f>
        <v>Pass</v>
      </c>
      <c r="AG161" s="1" t="str">
        <f>IF(AND(Table1[[#This Row],[Spec Type2]]="N/A",Table1[[#This Row],[DUT Adj Read]]="N/A",Table1[[#This Row],[Std Adj Read]]="N/A"),"N/A",IF(Table1[[#This Row],[DUT Adj Read]]="N/A",IF(Table1[[#This Row],[Std Adj Read]]&lt;=Table1[[#This Row],[High Tol]],"Pass","Fail"),IF(Table1[[#This Row],[DUT Adj Read]]&lt;=Table1[[#This Row],[High Tol]],"Pass","Fail")))</f>
        <v>Fail</v>
      </c>
      <c r="AH1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 s="1" t="b">
        <v>0</v>
      </c>
      <c r="AN161" s="1" t="b">
        <v>0</v>
      </c>
      <c r="AO161" s="1" t="b">
        <v>0</v>
      </c>
    </row>
    <row r="162" spans="1:41" x14ac:dyDescent="0.25">
      <c r="A162" s="10"/>
      <c r="B162" s="10"/>
      <c r="C162" s="10"/>
      <c r="D162" s="10"/>
      <c r="E162" s="10"/>
      <c r="F162" s="10"/>
      <c r="G162" s="10"/>
      <c r="H162" s="10"/>
      <c r="I162" s="1" t="str">
        <f t="shared" si="6"/>
        <v/>
      </c>
      <c r="J162" s="1" t="s">
        <v>35</v>
      </c>
      <c r="K162" s="1" t="str">
        <f t="shared" si="7"/>
        <v/>
      </c>
      <c r="L162" s="1" t="str">
        <f t="shared" si="8"/>
        <v/>
      </c>
      <c r="M162" s="1">
        <f>IF(OR(Table1[[#This Row],[Std Nom]]="",Table1[[#This Row],[Std Read]]=""),0,Table1[[#This Row],[Std Nom]]-Table1[[#This Row],[Std Read]])</f>
        <v>0</v>
      </c>
      <c r="N162" s="1">
        <f>IF(Calculations!$F$5="ACCREDITED 17025 WITH UNCERTAINTIES",$N$10,0)</f>
        <v>0</v>
      </c>
      <c r="Q162" s="1">
        <f>Table1[[#This Row],[High Tol]]-Table1[[#This Row],[Low Tol]]</f>
        <v>0</v>
      </c>
      <c r="R162" s="1">
        <f>2*Table1[[#This Row],[Std Error]]</f>
        <v>0</v>
      </c>
      <c r="S162" s="1" t="str">
        <f>IF(Table1[[#This Row],[High Tol]]="","N/A",IFERROR(ABS(Table1[[#This Row],[Tol Span]]/Table1[[#This Row],[Error Span]]),"N/A"))</f>
        <v>N/A</v>
      </c>
      <c r="T162" s="1" t="str">
        <f>IF(OR(Table1[[#This Row],[Low Tol]]="",Table1[[#This Row],[High Tol]]=""),"Needs Analysis",IF(Table1[[#This Row],[Ratio]]&gt;=4,"Not Significant",IF(Table1[[#This Row],[Ratio]]&gt;=2,"Semi-Significant","Significant")))</f>
        <v>Needs Analysis</v>
      </c>
      <c r="W162" s="1">
        <f>IF(Table1[[#This Row],[Cal Type]]&lt;&gt;"ACCREDITED 17025 WITH UNCERTAINTIES",0,"")</f>
        <v>0</v>
      </c>
      <c r="X162" s="1" t="str">
        <f>IF(Table1[[#This Row],[DUT Read]]="","N/A",Table1[[#This Row],[Std Error]]+Table1[[#This Row],[DUT Read]]+Table1[[#This Row],[DUT Ucty]])</f>
        <v>N/A</v>
      </c>
      <c r="Y162" s="1" t="str">
        <f>IF(Table1[[#This Row],[Std Read]]="","N/A",Table1[[#This Row],[Std Read]]+Table1[[#This Row],[Std Ucty]])</f>
        <v>N/A</v>
      </c>
      <c r="Z1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 s="1" t="str">
        <f>IF(Table1[[#This Row],[Spec Type]]="","N/A",Table1[[#This Row],[Spec Type]])</f>
        <v>±</v>
      </c>
      <c r="AC162" s="1" t="str">
        <f>IF(Table1[[#This Row],[Spec Type2]]="N/A","N/A",IF(AND(Table1[[#This Row],[DUT Adj Read]]&gt;=Table1[[#This Row],[Low Tol]],Table1[[#This Row],[DUT Adj Read]]&lt;=Table1[[#This Row],[High Tol]]),"Pass","Fail"))</f>
        <v>Fail</v>
      </c>
      <c r="AD162" s="1" t="str">
        <f>IF(AND(Table1[[#This Row],[Spec Type2]]="N/A",Table1[[#This Row],[DUT Adj Read]]="N/A",Table1[[#This Row],[Std Adj Read]]="N/A"),"N/A",IF(Table1[[#This Row],[DUT Adj Read]]="N/A",IF(Table1[[#This Row],[Std Adj Read]]&gt;Table1[[#This Row],[Low Tol]],"Pass","Fail"),IF(Table1[[#This Row],[DUT Adj Read]]&gt;Table1[[#This Row],[Low Tol]],"Pass","Fail")))</f>
        <v>Pass</v>
      </c>
      <c r="AE162" s="1" t="str">
        <f>IF(AND(Table1[[#This Row],[Spec Type2]]="N/A",Table1[[#This Row],[DUT Adj Read]]="N/A",Table1[[#This Row],[Std Adj Read]]="N/A"),"N/A",IF(Table1[[#This Row],[DUT Adj Read]]="N/A",IF(Table1[[#This Row],[Std Adj Read]]&lt;Table1[[#This Row],[High Tol]],"Pass","Fail"),IF(Table1[[#This Row],[DUT Adj Read]]&lt;Table1[[#This Row],[High Tol]],"Pass","Fail")))</f>
        <v>Fail</v>
      </c>
      <c r="AF162" s="1" t="str">
        <f>IF(AND(Table1[[#This Row],[Spec Type2]]="N/A",Table1[[#This Row],[DUT Adj Read]]="N/A",Table1[[#This Row],[Std Adj Read]]="N/A"),"N/A",IF(Table1[[#This Row],[DUT Adj Read]]="N/A",IF(Table1[[#This Row],[Std Adj Read]]&gt;=Table1[[#This Row],[Low Tol]],"Pass","Fail"),IF(Table1[[#This Row],[DUT Adj Read]]&gt;=Table1[[#This Row],[Low Tol]],"Pass","Fail")))</f>
        <v>Pass</v>
      </c>
      <c r="AG162" s="1" t="str">
        <f>IF(AND(Table1[[#This Row],[Spec Type2]]="N/A",Table1[[#This Row],[DUT Adj Read]]="N/A",Table1[[#This Row],[Std Adj Read]]="N/A"),"N/A",IF(Table1[[#This Row],[DUT Adj Read]]="N/A",IF(Table1[[#This Row],[Std Adj Read]]&lt;=Table1[[#This Row],[High Tol]],"Pass","Fail"),IF(Table1[[#This Row],[DUT Adj Read]]&lt;=Table1[[#This Row],[High Tol]],"Pass","Fail")))</f>
        <v>Fail</v>
      </c>
      <c r="AH1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 s="1" t="b">
        <v>0</v>
      </c>
      <c r="AN162" s="1" t="b">
        <v>0</v>
      </c>
      <c r="AO162" s="1" t="b">
        <v>0</v>
      </c>
    </row>
    <row r="163" spans="1:41" x14ac:dyDescent="0.25">
      <c r="A163" s="10"/>
      <c r="B163" s="10"/>
      <c r="C163" s="10"/>
      <c r="D163" s="10"/>
      <c r="E163" s="10"/>
      <c r="F163" s="10"/>
      <c r="G163" s="10"/>
      <c r="H163" s="10"/>
      <c r="I163" s="1" t="str">
        <f t="shared" si="6"/>
        <v/>
      </c>
      <c r="J163" s="1" t="s">
        <v>35</v>
      </c>
      <c r="K163" s="1" t="str">
        <f t="shared" si="7"/>
        <v/>
      </c>
      <c r="L163" s="1" t="str">
        <f t="shared" si="8"/>
        <v/>
      </c>
      <c r="M163" s="1">
        <f>IF(OR(Table1[[#This Row],[Std Nom]]="",Table1[[#This Row],[Std Read]]=""),0,Table1[[#This Row],[Std Nom]]-Table1[[#This Row],[Std Read]])</f>
        <v>0</v>
      </c>
      <c r="N163" s="1">
        <f>IF(Calculations!$F$5="ACCREDITED 17025 WITH UNCERTAINTIES",$N$10,0)</f>
        <v>0</v>
      </c>
      <c r="Q163" s="1">
        <f>Table1[[#This Row],[High Tol]]-Table1[[#This Row],[Low Tol]]</f>
        <v>0</v>
      </c>
      <c r="R163" s="1">
        <f>2*Table1[[#This Row],[Std Error]]</f>
        <v>0</v>
      </c>
      <c r="S163" s="1" t="str">
        <f>IF(Table1[[#This Row],[High Tol]]="","N/A",IFERROR(ABS(Table1[[#This Row],[Tol Span]]/Table1[[#This Row],[Error Span]]),"N/A"))</f>
        <v>N/A</v>
      </c>
      <c r="T163" s="1" t="str">
        <f>IF(OR(Table1[[#This Row],[Low Tol]]="",Table1[[#This Row],[High Tol]]=""),"Needs Analysis",IF(Table1[[#This Row],[Ratio]]&gt;=4,"Not Significant",IF(Table1[[#This Row],[Ratio]]&gt;=2,"Semi-Significant","Significant")))</f>
        <v>Needs Analysis</v>
      </c>
      <c r="W163" s="1">
        <f>IF(Table1[[#This Row],[Cal Type]]&lt;&gt;"ACCREDITED 17025 WITH UNCERTAINTIES",0,"")</f>
        <v>0</v>
      </c>
      <c r="X163" s="1" t="str">
        <f>IF(Table1[[#This Row],[DUT Read]]="","N/A",Table1[[#This Row],[Std Error]]+Table1[[#This Row],[DUT Read]]+Table1[[#This Row],[DUT Ucty]])</f>
        <v>N/A</v>
      </c>
      <c r="Y163" s="1" t="str">
        <f>IF(Table1[[#This Row],[Std Read]]="","N/A",Table1[[#This Row],[Std Read]]+Table1[[#This Row],[Std Ucty]])</f>
        <v>N/A</v>
      </c>
      <c r="Z1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 s="1" t="str">
        <f>IF(Table1[[#This Row],[Spec Type]]="","N/A",Table1[[#This Row],[Spec Type]])</f>
        <v>±</v>
      </c>
      <c r="AC163" s="1" t="str">
        <f>IF(Table1[[#This Row],[Spec Type2]]="N/A","N/A",IF(AND(Table1[[#This Row],[DUT Adj Read]]&gt;=Table1[[#This Row],[Low Tol]],Table1[[#This Row],[DUT Adj Read]]&lt;=Table1[[#This Row],[High Tol]]),"Pass","Fail"))</f>
        <v>Fail</v>
      </c>
      <c r="AD163" s="1" t="str">
        <f>IF(AND(Table1[[#This Row],[Spec Type2]]="N/A",Table1[[#This Row],[DUT Adj Read]]="N/A",Table1[[#This Row],[Std Adj Read]]="N/A"),"N/A",IF(Table1[[#This Row],[DUT Adj Read]]="N/A",IF(Table1[[#This Row],[Std Adj Read]]&gt;Table1[[#This Row],[Low Tol]],"Pass","Fail"),IF(Table1[[#This Row],[DUT Adj Read]]&gt;Table1[[#This Row],[Low Tol]],"Pass","Fail")))</f>
        <v>Pass</v>
      </c>
      <c r="AE163" s="1" t="str">
        <f>IF(AND(Table1[[#This Row],[Spec Type2]]="N/A",Table1[[#This Row],[DUT Adj Read]]="N/A",Table1[[#This Row],[Std Adj Read]]="N/A"),"N/A",IF(Table1[[#This Row],[DUT Adj Read]]="N/A",IF(Table1[[#This Row],[Std Adj Read]]&lt;Table1[[#This Row],[High Tol]],"Pass","Fail"),IF(Table1[[#This Row],[DUT Adj Read]]&lt;Table1[[#This Row],[High Tol]],"Pass","Fail")))</f>
        <v>Fail</v>
      </c>
      <c r="AF163" s="1" t="str">
        <f>IF(AND(Table1[[#This Row],[Spec Type2]]="N/A",Table1[[#This Row],[DUT Adj Read]]="N/A",Table1[[#This Row],[Std Adj Read]]="N/A"),"N/A",IF(Table1[[#This Row],[DUT Adj Read]]="N/A",IF(Table1[[#This Row],[Std Adj Read]]&gt;=Table1[[#This Row],[Low Tol]],"Pass","Fail"),IF(Table1[[#This Row],[DUT Adj Read]]&gt;=Table1[[#This Row],[Low Tol]],"Pass","Fail")))</f>
        <v>Pass</v>
      </c>
      <c r="AG163" s="1" t="str">
        <f>IF(AND(Table1[[#This Row],[Spec Type2]]="N/A",Table1[[#This Row],[DUT Adj Read]]="N/A",Table1[[#This Row],[Std Adj Read]]="N/A"),"N/A",IF(Table1[[#This Row],[DUT Adj Read]]="N/A",IF(Table1[[#This Row],[Std Adj Read]]&lt;=Table1[[#This Row],[High Tol]],"Pass","Fail"),IF(Table1[[#This Row],[DUT Adj Read]]&lt;=Table1[[#This Row],[High Tol]],"Pass","Fail")))</f>
        <v>Fail</v>
      </c>
      <c r="AH1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 s="1" t="b">
        <v>0</v>
      </c>
      <c r="AN163" s="1" t="b">
        <v>0</v>
      </c>
      <c r="AO163" s="1" t="b">
        <v>0</v>
      </c>
    </row>
    <row r="164" spans="1:41" x14ac:dyDescent="0.25">
      <c r="A164" s="10"/>
      <c r="B164" s="10"/>
      <c r="C164" s="10"/>
      <c r="D164" s="10"/>
      <c r="E164" s="10"/>
      <c r="F164" s="10"/>
      <c r="G164" s="10"/>
      <c r="H164" s="10"/>
      <c r="I164" s="1" t="str">
        <f t="shared" si="6"/>
        <v/>
      </c>
      <c r="J164" s="1" t="s">
        <v>35</v>
      </c>
      <c r="K164" s="1" t="str">
        <f t="shared" si="7"/>
        <v/>
      </c>
      <c r="L164" s="1" t="str">
        <f t="shared" si="8"/>
        <v/>
      </c>
      <c r="M164" s="1">
        <f>IF(OR(Table1[[#This Row],[Std Nom]]="",Table1[[#This Row],[Std Read]]=""),0,Table1[[#This Row],[Std Nom]]-Table1[[#This Row],[Std Read]])</f>
        <v>0</v>
      </c>
      <c r="N164" s="1">
        <f>IF(Calculations!$F$5="ACCREDITED 17025 WITH UNCERTAINTIES",$N$10,0)</f>
        <v>0</v>
      </c>
      <c r="Q164" s="1">
        <f>Table1[[#This Row],[High Tol]]-Table1[[#This Row],[Low Tol]]</f>
        <v>0</v>
      </c>
      <c r="R164" s="1">
        <f>2*Table1[[#This Row],[Std Error]]</f>
        <v>0</v>
      </c>
      <c r="S164" s="1" t="str">
        <f>IF(Table1[[#This Row],[High Tol]]="","N/A",IFERROR(ABS(Table1[[#This Row],[Tol Span]]/Table1[[#This Row],[Error Span]]),"N/A"))</f>
        <v>N/A</v>
      </c>
      <c r="T164" s="1" t="str">
        <f>IF(OR(Table1[[#This Row],[Low Tol]]="",Table1[[#This Row],[High Tol]]=""),"Needs Analysis",IF(Table1[[#This Row],[Ratio]]&gt;=4,"Not Significant",IF(Table1[[#This Row],[Ratio]]&gt;=2,"Semi-Significant","Significant")))</f>
        <v>Needs Analysis</v>
      </c>
      <c r="W164" s="1">
        <f>IF(Table1[[#This Row],[Cal Type]]&lt;&gt;"ACCREDITED 17025 WITH UNCERTAINTIES",0,"")</f>
        <v>0</v>
      </c>
      <c r="X164" s="1" t="str">
        <f>IF(Table1[[#This Row],[DUT Read]]="","N/A",Table1[[#This Row],[Std Error]]+Table1[[#This Row],[DUT Read]]+Table1[[#This Row],[DUT Ucty]])</f>
        <v>N/A</v>
      </c>
      <c r="Y164" s="1" t="str">
        <f>IF(Table1[[#This Row],[Std Read]]="","N/A",Table1[[#This Row],[Std Read]]+Table1[[#This Row],[Std Ucty]])</f>
        <v>N/A</v>
      </c>
      <c r="Z1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 s="1" t="str">
        <f>IF(Table1[[#This Row],[Spec Type]]="","N/A",Table1[[#This Row],[Spec Type]])</f>
        <v>±</v>
      </c>
      <c r="AC164" s="1" t="str">
        <f>IF(Table1[[#This Row],[Spec Type2]]="N/A","N/A",IF(AND(Table1[[#This Row],[DUT Adj Read]]&gt;=Table1[[#This Row],[Low Tol]],Table1[[#This Row],[DUT Adj Read]]&lt;=Table1[[#This Row],[High Tol]]),"Pass","Fail"))</f>
        <v>Fail</v>
      </c>
      <c r="AD164" s="1" t="str">
        <f>IF(AND(Table1[[#This Row],[Spec Type2]]="N/A",Table1[[#This Row],[DUT Adj Read]]="N/A",Table1[[#This Row],[Std Adj Read]]="N/A"),"N/A",IF(Table1[[#This Row],[DUT Adj Read]]="N/A",IF(Table1[[#This Row],[Std Adj Read]]&gt;Table1[[#This Row],[Low Tol]],"Pass","Fail"),IF(Table1[[#This Row],[DUT Adj Read]]&gt;Table1[[#This Row],[Low Tol]],"Pass","Fail")))</f>
        <v>Pass</v>
      </c>
      <c r="AE164" s="1" t="str">
        <f>IF(AND(Table1[[#This Row],[Spec Type2]]="N/A",Table1[[#This Row],[DUT Adj Read]]="N/A",Table1[[#This Row],[Std Adj Read]]="N/A"),"N/A",IF(Table1[[#This Row],[DUT Adj Read]]="N/A",IF(Table1[[#This Row],[Std Adj Read]]&lt;Table1[[#This Row],[High Tol]],"Pass","Fail"),IF(Table1[[#This Row],[DUT Adj Read]]&lt;Table1[[#This Row],[High Tol]],"Pass","Fail")))</f>
        <v>Fail</v>
      </c>
      <c r="AF164" s="1" t="str">
        <f>IF(AND(Table1[[#This Row],[Spec Type2]]="N/A",Table1[[#This Row],[DUT Adj Read]]="N/A",Table1[[#This Row],[Std Adj Read]]="N/A"),"N/A",IF(Table1[[#This Row],[DUT Adj Read]]="N/A",IF(Table1[[#This Row],[Std Adj Read]]&gt;=Table1[[#This Row],[Low Tol]],"Pass","Fail"),IF(Table1[[#This Row],[DUT Adj Read]]&gt;=Table1[[#This Row],[Low Tol]],"Pass","Fail")))</f>
        <v>Pass</v>
      </c>
      <c r="AG164" s="1" t="str">
        <f>IF(AND(Table1[[#This Row],[Spec Type2]]="N/A",Table1[[#This Row],[DUT Adj Read]]="N/A",Table1[[#This Row],[Std Adj Read]]="N/A"),"N/A",IF(Table1[[#This Row],[DUT Adj Read]]="N/A",IF(Table1[[#This Row],[Std Adj Read]]&lt;=Table1[[#This Row],[High Tol]],"Pass","Fail"),IF(Table1[[#This Row],[DUT Adj Read]]&lt;=Table1[[#This Row],[High Tol]],"Pass","Fail")))</f>
        <v>Fail</v>
      </c>
      <c r="AH1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 s="1" t="b">
        <v>0</v>
      </c>
      <c r="AN164" s="1" t="b">
        <v>0</v>
      </c>
      <c r="AO164" s="1" t="b">
        <v>0</v>
      </c>
    </row>
    <row r="165" spans="1:41" x14ac:dyDescent="0.25">
      <c r="A165" s="10"/>
      <c r="B165" s="10"/>
      <c r="C165" s="10"/>
      <c r="D165" s="10"/>
      <c r="E165" s="10"/>
      <c r="F165" s="10"/>
      <c r="G165" s="10"/>
      <c r="H165" s="10"/>
      <c r="I165" s="1" t="str">
        <f t="shared" si="6"/>
        <v/>
      </c>
      <c r="J165" s="1" t="s">
        <v>35</v>
      </c>
      <c r="K165" s="1" t="str">
        <f t="shared" si="7"/>
        <v/>
      </c>
      <c r="L165" s="1" t="str">
        <f t="shared" si="8"/>
        <v/>
      </c>
      <c r="M165" s="1">
        <f>IF(OR(Table1[[#This Row],[Std Nom]]="",Table1[[#This Row],[Std Read]]=""),0,Table1[[#This Row],[Std Nom]]-Table1[[#This Row],[Std Read]])</f>
        <v>0</v>
      </c>
      <c r="N165" s="1">
        <f>IF(Calculations!$F$5="ACCREDITED 17025 WITH UNCERTAINTIES",$N$10,0)</f>
        <v>0</v>
      </c>
      <c r="Q165" s="1">
        <f>Table1[[#This Row],[High Tol]]-Table1[[#This Row],[Low Tol]]</f>
        <v>0</v>
      </c>
      <c r="R165" s="1">
        <f>2*Table1[[#This Row],[Std Error]]</f>
        <v>0</v>
      </c>
      <c r="S165" s="1" t="str">
        <f>IF(Table1[[#This Row],[High Tol]]="","N/A",IFERROR(ABS(Table1[[#This Row],[Tol Span]]/Table1[[#This Row],[Error Span]]),"N/A"))</f>
        <v>N/A</v>
      </c>
      <c r="T165" s="1" t="str">
        <f>IF(OR(Table1[[#This Row],[Low Tol]]="",Table1[[#This Row],[High Tol]]=""),"Needs Analysis",IF(Table1[[#This Row],[Ratio]]&gt;=4,"Not Significant",IF(Table1[[#This Row],[Ratio]]&gt;=2,"Semi-Significant","Significant")))</f>
        <v>Needs Analysis</v>
      </c>
      <c r="W165" s="1">
        <f>IF(Table1[[#This Row],[Cal Type]]&lt;&gt;"ACCREDITED 17025 WITH UNCERTAINTIES",0,"")</f>
        <v>0</v>
      </c>
      <c r="X165" s="1" t="str">
        <f>IF(Table1[[#This Row],[DUT Read]]="","N/A",Table1[[#This Row],[Std Error]]+Table1[[#This Row],[DUT Read]]+Table1[[#This Row],[DUT Ucty]])</f>
        <v>N/A</v>
      </c>
      <c r="Y165" s="1" t="str">
        <f>IF(Table1[[#This Row],[Std Read]]="","N/A",Table1[[#This Row],[Std Read]]+Table1[[#This Row],[Std Ucty]])</f>
        <v>N/A</v>
      </c>
      <c r="Z1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 s="1" t="str">
        <f>IF(Table1[[#This Row],[Spec Type]]="","N/A",Table1[[#This Row],[Spec Type]])</f>
        <v>±</v>
      </c>
      <c r="AC165" s="1" t="str">
        <f>IF(Table1[[#This Row],[Spec Type2]]="N/A","N/A",IF(AND(Table1[[#This Row],[DUT Adj Read]]&gt;=Table1[[#This Row],[Low Tol]],Table1[[#This Row],[DUT Adj Read]]&lt;=Table1[[#This Row],[High Tol]]),"Pass","Fail"))</f>
        <v>Fail</v>
      </c>
      <c r="AD165" s="1" t="str">
        <f>IF(AND(Table1[[#This Row],[Spec Type2]]="N/A",Table1[[#This Row],[DUT Adj Read]]="N/A",Table1[[#This Row],[Std Adj Read]]="N/A"),"N/A",IF(Table1[[#This Row],[DUT Adj Read]]="N/A",IF(Table1[[#This Row],[Std Adj Read]]&gt;Table1[[#This Row],[Low Tol]],"Pass","Fail"),IF(Table1[[#This Row],[DUT Adj Read]]&gt;Table1[[#This Row],[Low Tol]],"Pass","Fail")))</f>
        <v>Pass</v>
      </c>
      <c r="AE165" s="1" t="str">
        <f>IF(AND(Table1[[#This Row],[Spec Type2]]="N/A",Table1[[#This Row],[DUT Adj Read]]="N/A",Table1[[#This Row],[Std Adj Read]]="N/A"),"N/A",IF(Table1[[#This Row],[DUT Adj Read]]="N/A",IF(Table1[[#This Row],[Std Adj Read]]&lt;Table1[[#This Row],[High Tol]],"Pass","Fail"),IF(Table1[[#This Row],[DUT Adj Read]]&lt;Table1[[#This Row],[High Tol]],"Pass","Fail")))</f>
        <v>Fail</v>
      </c>
      <c r="AF165" s="1" t="str">
        <f>IF(AND(Table1[[#This Row],[Spec Type2]]="N/A",Table1[[#This Row],[DUT Adj Read]]="N/A",Table1[[#This Row],[Std Adj Read]]="N/A"),"N/A",IF(Table1[[#This Row],[DUT Adj Read]]="N/A",IF(Table1[[#This Row],[Std Adj Read]]&gt;=Table1[[#This Row],[Low Tol]],"Pass","Fail"),IF(Table1[[#This Row],[DUT Adj Read]]&gt;=Table1[[#This Row],[Low Tol]],"Pass","Fail")))</f>
        <v>Pass</v>
      </c>
      <c r="AG165" s="1" t="str">
        <f>IF(AND(Table1[[#This Row],[Spec Type2]]="N/A",Table1[[#This Row],[DUT Adj Read]]="N/A",Table1[[#This Row],[Std Adj Read]]="N/A"),"N/A",IF(Table1[[#This Row],[DUT Adj Read]]="N/A",IF(Table1[[#This Row],[Std Adj Read]]&lt;=Table1[[#This Row],[High Tol]],"Pass","Fail"),IF(Table1[[#This Row],[DUT Adj Read]]&lt;=Table1[[#This Row],[High Tol]],"Pass","Fail")))</f>
        <v>Fail</v>
      </c>
      <c r="AH1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 s="1" t="b">
        <v>0</v>
      </c>
      <c r="AN165" s="1" t="b">
        <v>0</v>
      </c>
      <c r="AO165" s="1" t="b">
        <v>0</v>
      </c>
    </row>
    <row r="166" spans="1:41" x14ac:dyDescent="0.25">
      <c r="A166" s="10"/>
      <c r="B166" s="10"/>
      <c r="C166" s="10"/>
      <c r="D166" s="10"/>
      <c r="E166" s="10"/>
      <c r="F166" s="10"/>
      <c r="G166" s="10"/>
      <c r="H166" s="10"/>
      <c r="I166" s="1" t="str">
        <f t="shared" si="6"/>
        <v/>
      </c>
      <c r="J166" s="1" t="s">
        <v>35</v>
      </c>
      <c r="K166" s="1" t="str">
        <f t="shared" si="7"/>
        <v/>
      </c>
      <c r="L166" s="1" t="str">
        <f t="shared" si="8"/>
        <v/>
      </c>
      <c r="M166" s="1">
        <f>IF(OR(Table1[[#This Row],[Std Nom]]="",Table1[[#This Row],[Std Read]]=""),0,Table1[[#This Row],[Std Nom]]-Table1[[#This Row],[Std Read]])</f>
        <v>0</v>
      </c>
      <c r="N166" s="1">
        <f>IF(Calculations!$F$5="ACCREDITED 17025 WITH UNCERTAINTIES",$N$10,0)</f>
        <v>0</v>
      </c>
      <c r="Q166" s="1">
        <f>Table1[[#This Row],[High Tol]]-Table1[[#This Row],[Low Tol]]</f>
        <v>0</v>
      </c>
      <c r="R166" s="1">
        <f>2*Table1[[#This Row],[Std Error]]</f>
        <v>0</v>
      </c>
      <c r="S166" s="1" t="str">
        <f>IF(Table1[[#This Row],[High Tol]]="","N/A",IFERROR(ABS(Table1[[#This Row],[Tol Span]]/Table1[[#This Row],[Error Span]]),"N/A"))</f>
        <v>N/A</v>
      </c>
      <c r="T166" s="1" t="str">
        <f>IF(OR(Table1[[#This Row],[Low Tol]]="",Table1[[#This Row],[High Tol]]=""),"Needs Analysis",IF(Table1[[#This Row],[Ratio]]&gt;=4,"Not Significant",IF(Table1[[#This Row],[Ratio]]&gt;=2,"Semi-Significant","Significant")))</f>
        <v>Needs Analysis</v>
      </c>
      <c r="W166" s="1">
        <f>IF(Table1[[#This Row],[Cal Type]]&lt;&gt;"ACCREDITED 17025 WITH UNCERTAINTIES",0,"")</f>
        <v>0</v>
      </c>
      <c r="X166" s="1" t="str">
        <f>IF(Table1[[#This Row],[DUT Read]]="","N/A",Table1[[#This Row],[Std Error]]+Table1[[#This Row],[DUT Read]]+Table1[[#This Row],[DUT Ucty]])</f>
        <v>N/A</v>
      </c>
      <c r="Y166" s="1" t="str">
        <f>IF(Table1[[#This Row],[Std Read]]="","N/A",Table1[[#This Row],[Std Read]]+Table1[[#This Row],[Std Ucty]])</f>
        <v>N/A</v>
      </c>
      <c r="Z1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 s="1" t="str">
        <f>IF(Table1[[#This Row],[Spec Type]]="","N/A",Table1[[#This Row],[Spec Type]])</f>
        <v>±</v>
      </c>
      <c r="AC166" s="1" t="str">
        <f>IF(Table1[[#This Row],[Spec Type2]]="N/A","N/A",IF(AND(Table1[[#This Row],[DUT Adj Read]]&gt;=Table1[[#This Row],[Low Tol]],Table1[[#This Row],[DUT Adj Read]]&lt;=Table1[[#This Row],[High Tol]]),"Pass","Fail"))</f>
        <v>Fail</v>
      </c>
      <c r="AD166" s="1" t="str">
        <f>IF(AND(Table1[[#This Row],[Spec Type2]]="N/A",Table1[[#This Row],[DUT Adj Read]]="N/A",Table1[[#This Row],[Std Adj Read]]="N/A"),"N/A",IF(Table1[[#This Row],[DUT Adj Read]]="N/A",IF(Table1[[#This Row],[Std Adj Read]]&gt;Table1[[#This Row],[Low Tol]],"Pass","Fail"),IF(Table1[[#This Row],[DUT Adj Read]]&gt;Table1[[#This Row],[Low Tol]],"Pass","Fail")))</f>
        <v>Pass</v>
      </c>
      <c r="AE166" s="1" t="str">
        <f>IF(AND(Table1[[#This Row],[Spec Type2]]="N/A",Table1[[#This Row],[DUT Adj Read]]="N/A",Table1[[#This Row],[Std Adj Read]]="N/A"),"N/A",IF(Table1[[#This Row],[DUT Adj Read]]="N/A",IF(Table1[[#This Row],[Std Adj Read]]&lt;Table1[[#This Row],[High Tol]],"Pass","Fail"),IF(Table1[[#This Row],[DUT Adj Read]]&lt;Table1[[#This Row],[High Tol]],"Pass","Fail")))</f>
        <v>Fail</v>
      </c>
      <c r="AF166" s="1" t="str">
        <f>IF(AND(Table1[[#This Row],[Spec Type2]]="N/A",Table1[[#This Row],[DUT Adj Read]]="N/A",Table1[[#This Row],[Std Adj Read]]="N/A"),"N/A",IF(Table1[[#This Row],[DUT Adj Read]]="N/A",IF(Table1[[#This Row],[Std Adj Read]]&gt;=Table1[[#This Row],[Low Tol]],"Pass","Fail"),IF(Table1[[#This Row],[DUT Adj Read]]&gt;=Table1[[#This Row],[Low Tol]],"Pass","Fail")))</f>
        <v>Pass</v>
      </c>
      <c r="AG166" s="1" t="str">
        <f>IF(AND(Table1[[#This Row],[Spec Type2]]="N/A",Table1[[#This Row],[DUT Adj Read]]="N/A",Table1[[#This Row],[Std Adj Read]]="N/A"),"N/A",IF(Table1[[#This Row],[DUT Adj Read]]="N/A",IF(Table1[[#This Row],[Std Adj Read]]&lt;=Table1[[#This Row],[High Tol]],"Pass","Fail"),IF(Table1[[#This Row],[DUT Adj Read]]&lt;=Table1[[#This Row],[High Tol]],"Pass","Fail")))</f>
        <v>Fail</v>
      </c>
      <c r="AH1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 s="1" t="b">
        <v>0</v>
      </c>
      <c r="AN166" s="1" t="b">
        <v>0</v>
      </c>
      <c r="AO166" s="1" t="b">
        <v>0</v>
      </c>
    </row>
    <row r="167" spans="1:41" x14ac:dyDescent="0.25">
      <c r="A167" s="10"/>
      <c r="B167" s="10"/>
      <c r="C167" s="10"/>
      <c r="D167" s="10"/>
      <c r="E167" s="10"/>
      <c r="F167" s="10"/>
      <c r="G167" s="10"/>
      <c r="H167" s="10"/>
      <c r="I167" s="1" t="str">
        <f t="shared" si="6"/>
        <v/>
      </c>
      <c r="J167" s="1" t="s">
        <v>35</v>
      </c>
      <c r="K167" s="1" t="str">
        <f t="shared" si="7"/>
        <v/>
      </c>
      <c r="L167" s="1" t="str">
        <f t="shared" si="8"/>
        <v/>
      </c>
      <c r="M167" s="1">
        <f>IF(OR(Table1[[#This Row],[Std Nom]]="",Table1[[#This Row],[Std Read]]=""),0,Table1[[#This Row],[Std Nom]]-Table1[[#This Row],[Std Read]])</f>
        <v>0</v>
      </c>
      <c r="N167" s="1">
        <f>IF(Calculations!$F$5="ACCREDITED 17025 WITH UNCERTAINTIES",$N$10,0)</f>
        <v>0</v>
      </c>
      <c r="Q167" s="1">
        <f>Table1[[#This Row],[High Tol]]-Table1[[#This Row],[Low Tol]]</f>
        <v>0</v>
      </c>
      <c r="R167" s="1">
        <f>2*Table1[[#This Row],[Std Error]]</f>
        <v>0</v>
      </c>
      <c r="S167" s="1" t="str">
        <f>IF(Table1[[#This Row],[High Tol]]="","N/A",IFERROR(ABS(Table1[[#This Row],[Tol Span]]/Table1[[#This Row],[Error Span]]),"N/A"))</f>
        <v>N/A</v>
      </c>
      <c r="T167" s="1" t="str">
        <f>IF(OR(Table1[[#This Row],[Low Tol]]="",Table1[[#This Row],[High Tol]]=""),"Needs Analysis",IF(Table1[[#This Row],[Ratio]]&gt;=4,"Not Significant",IF(Table1[[#This Row],[Ratio]]&gt;=2,"Semi-Significant","Significant")))</f>
        <v>Needs Analysis</v>
      </c>
      <c r="W167" s="1">
        <f>IF(Table1[[#This Row],[Cal Type]]&lt;&gt;"ACCREDITED 17025 WITH UNCERTAINTIES",0,"")</f>
        <v>0</v>
      </c>
      <c r="X167" s="1" t="str">
        <f>IF(Table1[[#This Row],[DUT Read]]="","N/A",Table1[[#This Row],[Std Error]]+Table1[[#This Row],[DUT Read]]+Table1[[#This Row],[DUT Ucty]])</f>
        <v>N/A</v>
      </c>
      <c r="Y167" s="1" t="str">
        <f>IF(Table1[[#This Row],[Std Read]]="","N/A",Table1[[#This Row],[Std Read]]+Table1[[#This Row],[Std Ucty]])</f>
        <v>N/A</v>
      </c>
      <c r="Z1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 s="1" t="str">
        <f>IF(Table1[[#This Row],[Spec Type]]="","N/A",Table1[[#This Row],[Spec Type]])</f>
        <v>±</v>
      </c>
      <c r="AC167" s="1" t="str">
        <f>IF(Table1[[#This Row],[Spec Type2]]="N/A","N/A",IF(AND(Table1[[#This Row],[DUT Adj Read]]&gt;=Table1[[#This Row],[Low Tol]],Table1[[#This Row],[DUT Adj Read]]&lt;=Table1[[#This Row],[High Tol]]),"Pass","Fail"))</f>
        <v>Fail</v>
      </c>
      <c r="AD167" s="1" t="str">
        <f>IF(AND(Table1[[#This Row],[Spec Type2]]="N/A",Table1[[#This Row],[DUT Adj Read]]="N/A",Table1[[#This Row],[Std Adj Read]]="N/A"),"N/A",IF(Table1[[#This Row],[DUT Adj Read]]="N/A",IF(Table1[[#This Row],[Std Adj Read]]&gt;Table1[[#This Row],[Low Tol]],"Pass","Fail"),IF(Table1[[#This Row],[DUT Adj Read]]&gt;Table1[[#This Row],[Low Tol]],"Pass","Fail")))</f>
        <v>Pass</v>
      </c>
      <c r="AE167" s="1" t="str">
        <f>IF(AND(Table1[[#This Row],[Spec Type2]]="N/A",Table1[[#This Row],[DUT Adj Read]]="N/A",Table1[[#This Row],[Std Adj Read]]="N/A"),"N/A",IF(Table1[[#This Row],[DUT Adj Read]]="N/A",IF(Table1[[#This Row],[Std Adj Read]]&lt;Table1[[#This Row],[High Tol]],"Pass","Fail"),IF(Table1[[#This Row],[DUT Adj Read]]&lt;Table1[[#This Row],[High Tol]],"Pass","Fail")))</f>
        <v>Fail</v>
      </c>
      <c r="AF167" s="1" t="str">
        <f>IF(AND(Table1[[#This Row],[Spec Type2]]="N/A",Table1[[#This Row],[DUT Adj Read]]="N/A",Table1[[#This Row],[Std Adj Read]]="N/A"),"N/A",IF(Table1[[#This Row],[DUT Adj Read]]="N/A",IF(Table1[[#This Row],[Std Adj Read]]&gt;=Table1[[#This Row],[Low Tol]],"Pass","Fail"),IF(Table1[[#This Row],[DUT Adj Read]]&gt;=Table1[[#This Row],[Low Tol]],"Pass","Fail")))</f>
        <v>Pass</v>
      </c>
      <c r="AG167" s="1" t="str">
        <f>IF(AND(Table1[[#This Row],[Spec Type2]]="N/A",Table1[[#This Row],[DUT Adj Read]]="N/A",Table1[[#This Row],[Std Adj Read]]="N/A"),"N/A",IF(Table1[[#This Row],[DUT Adj Read]]="N/A",IF(Table1[[#This Row],[Std Adj Read]]&lt;=Table1[[#This Row],[High Tol]],"Pass","Fail"),IF(Table1[[#This Row],[DUT Adj Read]]&lt;=Table1[[#This Row],[High Tol]],"Pass","Fail")))</f>
        <v>Fail</v>
      </c>
      <c r="AH1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 s="1" t="b">
        <v>0</v>
      </c>
      <c r="AN167" s="1" t="b">
        <v>0</v>
      </c>
      <c r="AO167" s="1" t="b">
        <v>0</v>
      </c>
    </row>
    <row r="168" spans="1:41" x14ac:dyDescent="0.25">
      <c r="A168" s="10"/>
      <c r="B168" s="10"/>
      <c r="C168" s="10"/>
      <c r="D168" s="10"/>
      <c r="E168" s="10"/>
      <c r="F168" s="10"/>
      <c r="G168" s="10"/>
      <c r="H168" s="10"/>
      <c r="I168" s="1" t="str">
        <f t="shared" si="6"/>
        <v/>
      </c>
      <c r="J168" s="1" t="s">
        <v>35</v>
      </c>
      <c r="K168" s="1" t="str">
        <f t="shared" si="7"/>
        <v/>
      </c>
      <c r="L168" s="1" t="str">
        <f t="shared" si="8"/>
        <v/>
      </c>
      <c r="M168" s="1">
        <f>IF(OR(Table1[[#This Row],[Std Nom]]="",Table1[[#This Row],[Std Read]]=""),0,Table1[[#This Row],[Std Nom]]-Table1[[#This Row],[Std Read]])</f>
        <v>0</v>
      </c>
      <c r="N168" s="1">
        <f>IF(Calculations!$F$5="ACCREDITED 17025 WITH UNCERTAINTIES",$N$10,0)</f>
        <v>0</v>
      </c>
      <c r="Q168" s="1">
        <f>Table1[[#This Row],[High Tol]]-Table1[[#This Row],[Low Tol]]</f>
        <v>0</v>
      </c>
      <c r="R168" s="1">
        <f>2*Table1[[#This Row],[Std Error]]</f>
        <v>0</v>
      </c>
      <c r="S168" s="1" t="str">
        <f>IF(Table1[[#This Row],[High Tol]]="","N/A",IFERROR(ABS(Table1[[#This Row],[Tol Span]]/Table1[[#This Row],[Error Span]]),"N/A"))</f>
        <v>N/A</v>
      </c>
      <c r="T168" s="1" t="str">
        <f>IF(OR(Table1[[#This Row],[Low Tol]]="",Table1[[#This Row],[High Tol]]=""),"Needs Analysis",IF(Table1[[#This Row],[Ratio]]&gt;=4,"Not Significant",IF(Table1[[#This Row],[Ratio]]&gt;=2,"Semi-Significant","Significant")))</f>
        <v>Needs Analysis</v>
      </c>
      <c r="W168" s="1">
        <f>IF(Table1[[#This Row],[Cal Type]]&lt;&gt;"ACCREDITED 17025 WITH UNCERTAINTIES",0,"")</f>
        <v>0</v>
      </c>
      <c r="X168" s="1" t="str">
        <f>IF(Table1[[#This Row],[DUT Read]]="","N/A",Table1[[#This Row],[Std Error]]+Table1[[#This Row],[DUT Read]]+Table1[[#This Row],[DUT Ucty]])</f>
        <v>N/A</v>
      </c>
      <c r="Y168" s="1" t="str">
        <f>IF(Table1[[#This Row],[Std Read]]="","N/A",Table1[[#This Row],[Std Read]]+Table1[[#This Row],[Std Ucty]])</f>
        <v>N/A</v>
      </c>
      <c r="Z1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 s="1" t="str">
        <f>IF(Table1[[#This Row],[Spec Type]]="","N/A",Table1[[#This Row],[Spec Type]])</f>
        <v>±</v>
      </c>
      <c r="AC168" s="1" t="str">
        <f>IF(Table1[[#This Row],[Spec Type2]]="N/A","N/A",IF(AND(Table1[[#This Row],[DUT Adj Read]]&gt;=Table1[[#This Row],[Low Tol]],Table1[[#This Row],[DUT Adj Read]]&lt;=Table1[[#This Row],[High Tol]]),"Pass","Fail"))</f>
        <v>Fail</v>
      </c>
      <c r="AD168" s="1" t="str">
        <f>IF(AND(Table1[[#This Row],[Spec Type2]]="N/A",Table1[[#This Row],[DUT Adj Read]]="N/A",Table1[[#This Row],[Std Adj Read]]="N/A"),"N/A",IF(Table1[[#This Row],[DUT Adj Read]]="N/A",IF(Table1[[#This Row],[Std Adj Read]]&gt;Table1[[#This Row],[Low Tol]],"Pass","Fail"),IF(Table1[[#This Row],[DUT Adj Read]]&gt;Table1[[#This Row],[Low Tol]],"Pass","Fail")))</f>
        <v>Pass</v>
      </c>
      <c r="AE168" s="1" t="str">
        <f>IF(AND(Table1[[#This Row],[Spec Type2]]="N/A",Table1[[#This Row],[DUT Adj Read]]="N/A",Table1[[#This Row],[Std Adj Read]]="N/A"),"N/A",IF(Table1[[#This Row],[DUT Adj Read]]="N/A",IF(Table1[[#This Row],[Std Adj Read]]&lt;Table1[[#This Row],[High Tol]],"Pass","Fail"),IF(Table1[[#This Row],[DUT Adj Read]]&lt;Table1[[#This Row],[High Tol]],"Pass","Fail")))</f>
        <v>Fail</v>
      </c>
      <c r="AF168" s="1" t="str">
        <f>IF(AND(Table1[[#This Row],[Spec Type2]]="N/A",Table1[[#This Row],[DUT Adj Read]]="N/A",Table1[[#This Row],[Std Adj Read]]="N/A"),"N/A",IF(Table1[[#This Row],[DUT Adj Read]]="N/A",IF(Table1[[#This Row],[Std Adj Read]]&gt;=Table1[[#This Row],[Low Tol]],"Pass","Fail"),IF(Table1[[#This Row],[DUT Adj Read]]&gt;=Table1[[#This Row],[Low Tol]],"Pass","Fail")))</f>
        <v>Pass</v>
      </c>
      <c r="AG168" s="1" t="str">
        <f>IF(AND(Table1[[#This Row],[Spec Type2]]="N/A",Table1[[#This Row],[DUT Adj Read]]="N/A",Table1[[#This Row],[Std Adj Read]]="N/A"),"N/A",IF(Table1[[#This Row],[DUT Adj Read]]="N/A",IF(Table1[[#This Row],[Std Adj Read]]&lt;=Table1[[#This Row],[High Tol]],"Pass","Fail"),IF(Table1[[#This Row],[DUT Adj Read]]&lt;=Table1[[#This Row],[High Tol]],"Pass","Fail")))</f>
        <v>Fail</v>
      </c>
      <c r="AH1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 s="1" t="b">
        <v>0</v>
      </c>
      <c r="AN168" s="1" t="b">
        <v>0</v>
      </c>
      <c r="AO168" s="1" t="b">
        <v>0</v>
      </c>
    </row>
    <row r="169" spans="1:41" x14ac:dyDescent="0.25">
      <c r="A169" s="10"/>
      <c r="B169" s="10"/>
      <c r="C169" s="10"/>
      <c r="D169" s="10"/>
      <c r="E169" s="10"/>
      <c r="F169" s="10"/>
      <c r="G169" s="10"/>
      <c r="H169" s="10"/>
      <c r="I169" s="1" t="str">
        <f t="shared" si="6"/>
        <v/>
      </c>
      <c r="J169" s="1" t="s">
        <v>35</v>
      </c>
      <c r="K169" s="1" t="str">
        <f t="shared" si="7"/>
        <v/>
      </c>
      <c r="L169" s="1" t="str">
        <f t="shared" si="8"/>
        <v/>
      </c>
      <c r="M169" s="1">
        <f>IF(OR(Table1[[#This Row],[Std Nom]]="",Table1[[#This Row],[Std Read]]=""),0,Table1[[#This Row],[Std Nom]]-Table1[[#This Row],[Std Read]])</f>
        <v>0</v>
      </c>
      <c r="N169" s="1">
        <f>IF(Calculations!$F$5="ACCREDITED 17025 WITH UNCERTAINTIES",$N$10,0)</f>
        <v>0</v>
      </c>
      <c r="Q169" s="1">
        <f>Table1[[#This Row],[High Tol]]-Table1[[#This Row],[Low Tol]]</f>
        <v>0</v>
      </c>
      <c r="R169" s="1">
        <f>2*Table1[[#This Row],[Std Error]]</f>
        <v>0</v>
      </c>
      <c r="S169" s="1" t="str">
        <f>IF(Table1[[#This Row],[High Tol]]="","N/A",IFERROR(ABS(Table1[[#This Row],[Tol Span]]/Table1[[#This Row],[Error Span]]),"N/A"))</f>
        <v>N/A</v>
      </c>
      <c r="T169" s="1" t="str">
        <f>IF(OR(Table1[[#This Row],[Low Tol]]="",Table1[[#This Row],[High Tol]]=""),"Needs Analysis",IF(Table1[[#This Row],[Ratio]]&gt;=4,"Not Significant",IF(Table1[[#This Row],[Ratio]]&gt;=2,"Semi-Significant","Significant")))</f>
        <v>Needs Analysis</v>
      </c>
      <c r="W169" s="1">
        <f>IF(Table1[[#This Row],[Cal Type]]&lt;&gt;"ACCREDITED 17025 WITH UNCERTAINTIES",0,"")</f>
        <v>0</v>
      </c>
      <c r="X169" s="1" t="str">
        <f>IF(Table1[[#This Row],[DUT Read]]="","N/A",Table1[[#This Row],[Std Error]]+Table1[[#This Row],[DUT Read]]+Table1[[#This Row],[DUT Ucty]])</f>
        <v>N/A</v>
      </c>
      <c r="Y169" s="1" t="str">
        <f>IF(Table1[[#This Row],[Std Read]]="","N/A",Table1[[#This Row],[Std Read]]+Table1[[#This Row],[Std Ucty]])</f>
        <v>N/A</v>
      </c>
      <c r="Z1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 s="1" t="str">
        <f>IF(Table1[[#This Row],[Spec Type]]="","N/A",Table1[[#This Row],[Spec Type]])</f>
        <v>±</v>
      </c>
      <c r="AC169" s="1" t="str">
        <f>IF(Table1[[#This Row],[Spec Type2]]="N/A","N/A",IF(AND(Table1[[#This Row],[DUT Adj Read]]&gt;=Table1[[#This Row],[Low Tol]],Table1[[#This Row],[DUT Adj Read]]&lt;=Table1[[#This Row],[High Tol]]),"Pass","Fail"))</f>
        <v>Fail</v>
      </c>
      <c r="AD169" s="1" t="str">
        <f>IF(AND(Table1[[#This Row],[Spec Type2]]="N/A",Table1[[#This Row],[DUT Adj Read]]="N/A",Table1[[#This Row],[Std Adj Read]]="N/A"),"N/A",IF(Table1[[#This Row],[DUT Adj Read]]="N/A",IF(Table1[[#This Row],[Std Adj Read]]&gt;Table1[[#This Row],[Low Tol]],"Pass","Fail"),IF(Table1[[#This Row],[DUT Adj Read]]&gt;Table1[[#This Row],[Low Tol]],"Pass","Fail")))</f>
        <v>Pass</v>
      </c>
      <c r="AE169" s="1" t="str">
        <f>IF(AND(Table1[[#This Row],[Spec Type2]]="N/A",Table1[[#This Row],[DUT Adj Read]]="N/A",Table1[[#This Row],[Std Adj Read]]="N/A"),"N/A",IF(Table1[[#This Row],[DUT Adj Read]]="N/A",IF(Table1[[#This Row],[Std Adj Read]]&lt;Table1[[#This Row],[High Tol]],"Pass","Fail"),IF(Table1[[#This Row],[DUT Adj Read]]&lt;Table1[[#This Row],[High Tol]],"Pass","Fail")))</f>
        <v>Fail</v>
      </c>
      <c r="AF169" s="1" t="str">
        <f>IF(AND(Table1[[#This Row],[Spec Type2]]="N/A",Table1[[#This Row],[DUT Adj Read]]="N/A",Table1[[#This Row],[Std Adj Read]]="N/A"),"N/A",IF(Table1[[#This Row],[DUT Adj Read]]="N/A",IF(Table1[[#This Row],[Std Adj Read]]&gt;=Table1[[#This Row],[Low Tol]],"Pass","Fail"),IF(Table1[[#This Row],[DUT Adj Read]]&gt;=Table1[[#This Row],[Low Tol]],"Pass","Fail")))</f>
        <v>Pass</v>
      </c>
      <c r="AG169" s="1" t="str">
        <f>IF(AND(Table1[[#This Row],[Spec Type2]]="N/A",Table1[[#This Row],[DUT Adj Read]]="N/A",Table1[[#This Row],[Std Adj Read]]="N/A"),"N/A",IF(Table1[[#This Row],[DUT Adj Read]]="N/A",IF(Table1[[#This Row],[Std Adj Read]]&lt;=Table1[[#This Row],[High Tol]],"Pass","Fail"),IF(Table1[[#This Row],[DUT Adj Read]]&lt;=Table1[[#This Row],[High Tol]],"Pass","Fail")))</f>
        <v>Fail</v>
      </c>
      <c r="AH1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 s="1" t="b">
        <v>0</v>
      </c>
      <c r="AN169" s="1" t="b">
        <v>0</v>
      </c>
      <c r="AO169" s="1" t="b">
        <v>0</v>
      </c>
    </row>
    <row r="170" spans="1:41" x14ac:dyDescent="0.25">
      <c r="A170" s="10"/>
      <c r="B170" s="10"/>
      <c r="C170" s="10"/>
      <c r="D170" s="10"/>
      <c r="E170" s="10"/>
      <c r="F170" s="10"/>
      <c r="G170" s="10"/>
      <c r="H170" s="10"/>
      <c r="I170" s="1" t="str">
        <f t="shared" si="6"/>
        <v/>
      </c>
      <c r="J170" s="1" t="s">
        <v>35</v>
      </c>
      <c r="K170" s="1" t="str">
        <f t="shared" si="7"/>
        <v/>
      </c>
      <c r="L170" s="1" t="str">
        <f t="shared" si="8"/>
        <v/>
      </c>
      <c r="M170" s="1">
        <f>IF(OR(Table1[[#This Row],[Std Nom]]="",Table1[[#This Row],[Std Read]]=""),0,Table1[[#This Row],[Std Nom]]-Table1[[#This Row],[Std Read]])</f>
        <v>0</v>
      </c>
      <c r="N170" s="1">
        <f>IF(Calculations!$F$5="ACCREDITED 17025 WITH UNCERTAINTIES",$N$10,0)</f>
        <v>0</v>
      </c>
      <c r="Q170" s="1">
        <f>Table1[[#This Row],[High Tol]]-Table1[[#This Row],[Low Tol]]</f>
        <v>0</v>
      </c>
      <c r="R170" s="1">
        <f>2*Table1[[#This Row],[Std Error]]</f>
        <v>0</v>
      </c>
      <c r="S170" s="1" t="str">
        <f>IF(Table1[[#This Row],[High Tol]]="","N/A",IFERROR(ABS(Table1[[#This Row],[Tol Span]]/Table1[[#This Row],[Error Span]]),"N/A"))</f>
        <v>N/A</v>
      </c>
      <c r="T170" s="1" t="str">
        <f>IF(OR(Table1[[#This Row],[Low Tol]]="",Table1[[#This Row],[High Tol]]=""),"Needs Analysis",IF(Table1[[#This Row],[Ratio]]&gt;=4,"Not Significant",IF(Table1[[#This Row],[Ratio]]&gt;=2,"Semi-Significant","Significant")))</f>
        <v>Needs Analysis</v>
      </c>
      <c r="W170" s="1">
        <f>IF(Table1[[#This Row],[Cal Type]]&lt;&gt;"ACCREDITED 17025 WITH UNCERTAINTIES",0,"")</f>
        <v>0</v>
      </c>
      <c r="X170" s="1" t="str">
        <f>IF(Table1[[#This Row],[DUT Read]]="","N/A",Table1[[#This Row],[Std Error]]+Table1[[#This Row],[DUT Read]]+Table1[[#This Row],[DUT Ucty]])</f>
        <v>N/A</v>
      </c>
      <c r="Y170" s="1" t="str">
        <f>IF(Table1[[#This Row],[Std Read]]="","N/A",Table1[[#This Row],[Std Read]]+Table1[[#This Row],[Std Ucty]])</f>
        <v>N/A</v>
      </c>
      <c r="Z1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 s="1" t="str">
        <f>IF(Table1[[#This Row],[Spec Type]]="","N/A",Table1[[#This Row],[Spec Type]])</f>
        <v>±</v>
      </c>
      <c r="AC170" s="1" t="str">
        <f>IF(Table1[[#This Row],[Spec Type2]]="N/A","N/A",IF(AND(Table1[[#This Row],[DUT Adj Read]]&gt;=Table1[[#This Row],[Low Tol]],Table1[[#This Row],[DUT Adj Read]]&lt;=Table1[[#This Row],[High Tol]]),"Pass","Fail"))</f>
        <v>Fail</v>
      </c>
      <c r="AD170" s="1" t="str">
        <f>IF(AND(Table1[[#This Row],[Spec Type2]]="N/A",Table1[[#This Row],[DUT Adj Read]]="N/A",Table1[[#This Row],[Std Adj Read]]="N/A"),"N/A",IF(Table1[[#This Row],[DUT Adj Read]]="N/A",IF(Table1[[#This Row],[Std Adj Read]]&gt;Table1[[#This Row],[Low Tol]],"Pass","Fail"),IF(Table1[[#This Row],[DUT Adj Read]]&gt;Table1[[#This Row],[Low Tol]],"Pass","Fail")))</f>
        <v>Pass</v>
      </c>
      <c r="AE170" s="1" t="str">
        <f>IF(AND(Table1[[#This Row],[Spec Type2]]="N/A",Table1[[#This Row],[DUT Adj Read]]="N/A",Table1[[#This Row],[Std Adj Read]]="N/A"),"N/A",IF(Table1[[#This Row],[DUT Adj Read]]="N/A",IF(Table1[[#This Row],[Std Adj Read]]&lt;Table1[[#This Row],[High Tol]],"Pass","Fail"),IF(Table1[[#This Row],[DUT Adj Read]]&lt;Table1[[#This Row],[High Tol]],"Pass","Fail")))</f>
        <v>Fail</v>
      </c>
      <c r="AF170" s="1" t="str">
        <f>IF(AND(Table1[[#This Row],[Spec Type2]]="N/A",Table1[[#This Row],[DUT Adj Read]]="N/A",Table1[[#This Row],[Std Adj Read]]="N/A"),"N/A",IF(Table1[[#This Row],[DUT Adj Read]]="N/A",IF(Table1[[#This Row],[Std Adj Read]]&gt;=Table1[[#This Row],[Low Tol]],"Pass","Fail"),IF(Table1[[#This Row],[DUT Adj Read]]&gt;=Table1[[#This Row],[Low Tol]],"Pass","Fail")))</f>
        <v>Pass</v>
      </c>
      <c r="AG170" s="1" t="str">
        <f>IF(AND(Table1[[#This Row],[Spec Type2]]="N/A",Table1[[#This Row],[DUT Adj Read]]="N/A",Table1[[#This Row],[Std Adj Read]]="N/A"),"N/A",IF(Table1[[#This Row],[DUT Adj Read]]="N/A",IF(Table1[[#This Row],[Std Adj Read]]&lt;=Table1[[#This Row],[High Tol]],"Pass","Fail"),IF(Table1[[#This Row],[DUT Adj Read]]&lt;=Table1[[#This Row],[High Tol]],"Pass","Fail")))</f>
        <v>Fail</v>
      </c>
      <c r="AH1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 s="1" t="b">
        <v>0</v>
      </c>
      <c r="AN170" s="1" t="b">
        <v>0</v>
      </c>
      <c r="AO170" s="1" t="b">
        <v>0</v>
      </c>
    </row>
    <row r="171" spans="1:41" x14ac:dyDescent="0.25">
      <c r="A171" s="10"/>
      <c r="B171" s="10"/>
      <c r="C171" s="10"/>
      <c r="D171" s="10"/>
      <c r="E171" s="10"/>
      <c r="F171" s="10"/>
      <c r="G171" s="10"/>
      <c r="H171" s="10"/>
      <c r="I171" s="1" t="str">
        <f t="shared" si="6"/>
        <v/>
      </c>
      <c r="J171" s="1" t="s">
        <v>35</v>
      </c>
      <c r="K171" s="1" t="str">
        <f t="shared" si="7"/>
        <v/>
      </c>
      <c r="L171" s="1" t="str">
        <f t="shared" si="8"/>
        <v/>
      </c>
      <c r="M171" s="1">
        <f>IF(OR(Table1[[#This Row],[Std Nom]]="",Table1[[#This Row],[Std Read]]=""),0,Table1[[#This Row],[Std Nom]]-Table1[[#This Row],[Std Read]])</f>
        <v>0</v>
      </c>
      <c r="N171" s="1">
        <f>IF(Calculations!$F$5="ACCREDITED 17025 WITH UNCERTAINTIES",$N$10,0)</f>
        <v>0</v>
      </c>
      <c r="Q171" s="1">
        <f>Table1[[#This Row],[High Tol]]-Table1[[#This Row],[Low Tol]]</f>
        <v>0</v>
      </c>
      <c r="R171" s="1">
        <f>2*Table1[[#This Row],[Std Error]]</f>
        <v>0</v>
      </c>
      <c r="S171" s="1" t="str">
        <f>IF(Table1[[#This Row],[High Tol]]="","N/A",IFERROR(ABS(Table1[[#This Row],[Tol Span]]/Table1[[#This Row],[Error Span]]),"N/A"))</f>
        <v>N/A</v>
      </c>
      <c r="T171" s="1" t="str">
        <f>IF(OR(Table1[[#This Row],[Low Tol]]="",Table1[[#This Row],[High Tol]]=""),"Needs Analysis",IF(Table1[[#This Row],[Ratio]]&gt;=4,"Not Significant",IF(Table1[[#This Row],[Ratio]]&gt;=2,"Semi-Significant","Significant")))</f>
        <v>Needs Analysis</v>
      </c>
      <c r="W171" s="1">
        <f>IF(Table1[[#This Row],[Cal Type]]&lt;&gt;"ACCREDITED 17025 WITH UNCERTAINTIES",0,"")</f>
        <v>0</v>
      </c>
      <c r="X171" s="1" t="str">
        <f>IF(Table1[[#This Row],[DUT Read]]="","N/A",Table1[[#This Row],[Std Error]]+Table1[[#This Row],[DUT Read]]+Table1[[#This Row],[DUT Ucty]])</f>
        <v>N/A</v>
      </c>
      <c r="Y171" s="1" t="str">
        <f>IF(Table1[[#This Row],[Std Read]]="","N/A",Table1[[#This Row],[Std Read]]+Table1[[#This Row],[Std Ucty]])</f>
        <v>N/A</v>
      </c>
      <c r="Z1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 s="1" t="str">
        <f>IF(Table1[[#This Row],[Spec Type]]="","N/A",Table1[[#This Row],[Spec Type]])</f>
        <v>±</v>
      </c>
      <c r="AC171" s="1" t="str">
        <f>IF(Table1[[#This Row],[Spec Type2]]="N/A","N/A",IF(AND(Table1[[#This Row],[DUT Adj Read]]&gt;=Table1[[#This Row],[Low Tol]],Table1[[#This Row],[DUT Adj Read]]&lt;=Table1[[#This Row],[High Tol]]),"Pass","Fail"))</f>
        <v>Fail</v>
      </c>
      <c r="AD171" s="1" t="str">
        <f>IF(AND(Table1[[#This Row],[Spec Type2]]="N/A",Table1[[#This Row],[DUT Adj Read]]="N/A",Table1[[#This Row],[Std Adj Read]]="N/A"),"N/A",IF(Table1[[#This Row],[DUT Adj Read]]="N/A",IF(Table1[[#This Row],[Std Adj Read]]&gt;Table1[[#This Row],[Low Tol]],"Pass","Fail"),IF(Table1[[#This Row],[DUT Adj Read]]&gt;Table1[[#This Row],[Low Tol]],"Pass","Fail")))</f>
        <v>Pass</v>
      </c>
      <c r="AE171" s="1" t="str">
        <f>IF(AND(Table1[[#This Row],[Spec Type2]]="N/A",Table1[[#This Row],[DUT Adj Read]]="N/A",Table1[[#This Row],[Std Adj Read]]="N/A"),"N/A",IF(Table1[[#This Row],[DUT Adj Read]]="N/A",IF(Table1[[#This Row],[Std Adj Read]]&lt;Table1[[#This Row],[High Tol]],"Pass","Fail"),IF(Table1[[#This Row],[DUT Adj Read]]&lt;Table1[[#This Row],[High Tol]],"Pass","Fail")))</f>
        <v>Fail</v>
      </c>
      <c r="AF171" s="1" t="str">
        <f>IF(AND(Table1[[#This Row],[Spec Type2]]="N/A",Table1[[#This Row],[DUT Adj Read]]="N/A",Table1[[#This Row],[Std Adj Read]]="N/A"),"N/A",IF(Table1[[#This Row],[DUT Adj Read]]="N/A",IF(Table1[[#This Row],[Std Adj Read]]&gt;=Table1[[#This Row],[Low Tol]],"Pass","Fail"),IF(Table1[[#This Row],[DUT Adj Read]]&gt;=Table1[[#This Row],[Low Tol]],"Pass","Fail")))</f>
        <v>Pass</v>
      </c>
      <c r="AG171" s="1" t="str">
        <f>IF(AND(Table1[[#This Row],[Spec Type2]]="N/A",Table1[[#This Row],[DUT Adj Read]]="N/A",Table1[[#This Row],[Std Adj Read]]="N/A"),"N/A",IF(Table1[[#This Row],[DUT Adj Read]]="N/A",IF(Table1[[#This Row],[Std Adj Read]]&lt;=Table1[[#This Row],[High Tol]],"Pass","Fail"),IF(Table1[[#This Row],[DUT Adj Read]]&lt;=Table1[[#This Row],[High Tol]],"Pass","Fail")))</f>
        <v>Fail</v>
      </c>
      <c r="AH1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 s="1" t="b">
        <v>0</v>
      </c>
      <c r="AN171" s="1" t="b">
        <v>0</v>
      </c>
      <c r="AO171" s="1" t="b">
        <v>0</v>
      </c>
    </row>
    <row r="172" spans="1:41" x14ac:dyDescent="0.25">
      <c r="A172" s="10"/>
      <c r="B172" s="10"/>
      <c r="C172" s="10"/>
      <c r="D172" s="10"/>
      <c r="E172" s="10"/>
      <c r="F172" s="10"/>
      <c r="G172" s="10"/>
      <c r="H172" s="10"/>
      <c r="I172" s="1" t="str">
        <f t="shared" si="6"/>
        <v/>
      </c>
      <c r="J172" s="1" t="s">
        <v>35</v>
      </c>
      <c r="K172" s="1" t="str">
        <f t="shared" si="7"/>
        <v/>
      </c>
      <c r="L172" s="1" t="str">
        <f t="shared" si="8"/>
        <v/>
      </c>
      <c r="M172" s="1">
        <f>IF(OR(Table1[[#This Row],[Std Nom]]="",Table1[[#This Row],[Std Read]]=""),0,Table1[[#This Row],[Std Nom]]-Table1[[#This Row],[Std Read]])</f>
        <v>0</v>
      </c>
      <c r="N172" s="1">
        <f>IF(Calculations!$F$5="ACCREDITED 17025 WITH UNCERTAINTIES",$N$10,0)</f>
        <v>0</v>
      </c>
      <c r="Q172" s="1">
        <f>Table1[[#This Row],[High Tol]]-Table1[[#This Row],[Low Tol]]</f>
        <v>0</v>
      </c>
      <c r="R172" s="1">
        <f>2*Table1[[#This Row],[Std Error]]</f>
        <v>0</v>
      </c>
      <c r="S172" s="1" t="str">
        <f>IF(Table1[[#This Row],[High Tol]]="","N/A",IFERROR(ABS(Table1[[#This Row],[Tol Span]]/Table1[[#This Row],[Error Span]]),"N/A"))</f>
        <v>N/A</v>
      </c>
      <c r="T172" s="1" t="str">
        <f>IF(OR(Table1[[#This Row],[Low Tol]]="",Table1[[#This Row],[High Tol]]=""),"Needs Analysis",IF(Table1[[#This Row],[Ratio]]&gt;=4,"Not Significant",IF(Table1[[#This Row],[Ratio]]&gt;=2,"Semi-Significant","Significant")))</f>
        <v>Needs Analysis</v>
      </c>
      <c r="W172" s="1">
        <f>IF(Table1[[#This Row],[Cal Type]]&lt;&gt;"ACCREDITED 17025 WITH UNCERTAINTIES",0,"")</f>
        <v>0</v>
      </c>
      <c r="X172" s="1" t="str">
        <f>IF(Table1[[#This Row],[DUT Read]]="","N/A",Table1[[#This Row],[Std Error]]+Table1[[#This Row],[DUT Read]]+Table1[[#This Row],[DUT Ucty]])</f>
        <v>N/A</v>
      </c>
      <c r="Y172" s="1" t="str">
        <f>IF(Table1[[#This Row],[Std Read]]="","N/A",Table1[[#This Row],[Std Read]]+Table1[[#This Row],[Std Ucty]])</f>
        <v>N/A</v>
      </c>
      <c r="Z1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 s="1" t="str">
        <f>IF(Table1[[#This Row],[Spec Type]]="","N/A",Table1[[#This Row],[Spec Type]])</f>
        <v>±</v>
      </c>
      <c r="AC172" s="1" t="str">
        <f>IF(Table1[[#This Row],[Spec Type2]]="N/A","N/A",IF(AND(Table1[[#This Row],[DUT Adj Read]]&gt;=Table1[[#This Row],[Low Tol]],Table1[[#This Row],[DUT Adj Read]]&lt;=Table1[[#This Row],[High Tol]]),"Pass","Fail"))</f>
        <v>Fail</v>
      </c>
      <c r="AD172" s="1" t="str">
        <f>IF(AND(Table1[[#This Row],[Spec Type2]]="N/A",Table1[[#This Row],[DUT Adj Read]]="N/A",Table1[[#This Row],[Std Adj Read]]="N/A"),"N/A",IF(Table1[[#This Row],[DUT Adj Read]]="N/A",IF(Table1[[#This Row],[Std Adj Read]]&gt;Table1[[#This Row],[Low Tol]],"Pass","Fail"),IF(Table1[[#This Row],[DUT Adj Read]]&gt;Table1[[#This Row],[Low Tol]],"Pass","Fail")))</f>
        <v>Pass</v>
      </c>
      <c r="AE172" s="1" t="str">
        <f>IF(AND(Table1[[#This Row],[Spec Type2]]="N/A",Table1[[#This Row],[DUT Adj Read]]="N/A",Table1[[#This Row],[Std Adj Read]]="N/A"),"N/A",IF(Table1[[#This Row],[DUT Adj Read]]="N/A",IF(Table1[[#This Row],[Std Adj Read]]&lt;Table1[[#This Row],[High Tol]],"Pass","Fail"),IF(Table1[[#This Row],[DUT Adj Read]]&lt;Table1[[#This Row],[High Tol]],"Pass","Fail")))</f>
        <v>Fail</v>
      </c>
      <c r="AF172" s="1" t="str">
        <f>IF(AND(Table1[[#This Row],[Spec Type2]]="N/A",Table1[[#This Row],[DUT Adj Read]]="N/A",Table1[[#This Row],[Std Adj Read]]="N/A"),"N/A",IF(Table1[[#This Row],[DUT Adj Read]]="N/A",IF(Table1[[#This Row],[Std Adj Read]]&gt;=Table1[[#This Row],[Low Tol]],"Pass","Fail"),IF(Table1[[#This Row],[DUT Adj Read]]&gt;=Table1[[#This Row],[Low Tol]],"Pass","Fail")))</f>
        <v>Pass</v>
      </c>
      <c r="AG172" s="1" t="str">
        <f>IF(AND(Table1[[#This Row],[Spec Type2]]="N/A",Table1[[#This Row],[DUT Adj Read]]="N/A",Table1[[#This Row],[Std Adj Read]]="N/A"),"N/A",IF(Table1[[#This Row],[DUT Adj Read]]="N/A",IF(Table1[[#This Row],[Std Adj Read]]&lt;=Table1[[#This Row],[High Tol]],"Pass","Fail"),IF(Table1[[#This Row],[DUT Adj Read]]&lt;=Table1[[#This Row],[High Tol]],"Pass","Fail")))</f>
        <v>Fail</v>
      </c>
      <c r="AH1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 s="1" t="b">
        <v>0</v>
      </c>
      <c r="AN172" s="1" t="b">
        <v>0</v>
      </c>
      <c r="AO172" s="1" t="b">
        <v>0</v>
      </c>
    </row>
    <row r="173" spans="1:41" x14ac:dyDescent="0.25">
      <c r="A173" s="10"/>
      <c r="B173" s="10"/>
      <c r="C173" s="10"/>
      <c r="D173" s="10"/>
      <c r="E173" s="10"/>
      <c r="F173" s="10"/>
      <c r="G173" s="10"/>
      <c r="H173" s="10"/>
      <c r="I173" s="1" t="str">
        <f t="shared" si="6"/>
        <v/>
      </c>
      <c r="J173" s="1" t="s">
        <v>35</v>
      </c>
      <c r="K173" s="1" t="str">
        <f t="shared" si="7"/>
        <v/>
      </c>
      <c r="L173" s="1" t="str">
        <f t="shared" si="8"/>
        <v/>
      </c>
      <c r="M173" s="1">
        <f>IF(OR(Table1[[#This Row],[Std Nom]]="",Table1[[#This Row],[Std Read]]=""),0,Table1[[#This Row],[Std Nom]]-Table1[[#This Row],[Std Read]])</f>
        <v>0</v>
      </c>
      <c r="N173" s="1">
        <f>IF(Calculations!$F$5="ACCREDITED 17025 WITH UNCERTAINTIES",$N$10,0)</f>
        <v>0</v>
      </c>
      <c r="Q173" s="1">
        <f>Table1[[#This Row],[High Tol]]-Table1[[#This Row],[Low Tol]]</f>
        <v>0</v>
      </c>
      <c r="R173" s="1">
        <f>2*Table1[[#This Row],[Std Error]]</f>
        <v>0</v>
      </c>
      <c r="S173" s="1" t="str">
        <f>IF(Table1[[#This Row],[High Tol]]="","N/A",IFERROR(ABS(Table1[[#This Row],[Tol Span]]/Table1[[#This Row],[Error Span]]),"N/A"))</f>
        <v>N/A</v>
      </c>
      <c r="T173" s="1" t="str">
        <f>IF(OR(Table1[[#This Row],[Low Tol]]="",Table1[[#This Row],[High Tol]]=""),"Needs Analysis",IF(Table1[[#This Row],[Ratio]]&gt;=4,"Not Significant",IF(Table1[[#This Row],[Ratio]]&gt;=2,"Semi-Significant","Significant")))</f>
        <v>Needs Analysis</v>
      </c>
      <c r="W173" s="1">
        <f>IF(Table1[[#This Row],[Cal Type]]&lt;&gt;"ACCREDITED 17025 WITH UNCERTAINTIES",0,"")</f>
        <v>0</v>
      </c>
      <c r="X173" s="1" t="str">
        <f>IF(Table1[[#This Row],[DUT Read]]="","N/A",Table1[[#This Row],[Std Error]]+Table1[[#This Row],[DUT Read]]+Table1[[#This Row],[DUT Ucty]])</f>
        <v>N/A</v>
      </c>
      <c r="Y173" s="1" t="str">
        <f>IF(Table1[[#This Row],[Std Read]]="","N/A",Table1[[#This Row],[Std Read]]+Table1[[#This Row],[Std Ucty]])</f>
        <v>N/A</v>
      </c>
      <c r="Z1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 s="1" t="str">
        <f>IF(Table1[[#This Row],[Spec Type]]="","N/A",Table1[[#This Row],[Spec Type]])</f>
        <v>±</v>
      </c>
      <c r="AC173" s="1" t="str">
        <f>IF(Table1[[#This Row],[Spec Type2]]="N/A","N/A",IF(AND(Table1[[#This Row],[DUT Adj Read]]&gt;=Table1[[#This Row],[Low Tol]],Table1[[#This Row],[DUT Adj Read]]&lt;=Table1[[#This Row],[High Tol]]),"Pass","Fail"))</f>
        <v>Fail</v>
      </c>
      <c r="AD173" s="1" t="str">
        <f>IF(AND(Table1[[#This Row],[Spec Type2]]="N/A",Table1[[#This Row],[DUT Adj Read]]="N/A",Table1[[#This Row],[Std Adj Read]]="N/A"),"N/A",IF(Table1[[#This Row],[DUT Adj Read]]="N/A",IF(Table1[[#This Row],[Std Adj Read]]&gt;Table1[[#This Row],[Low Tol]],"Pass","Fail"),IF(Table1[[#This Row],[DUT Adj Read]]&gt;Table1[[#This Row],[Low Tol]],"Pass","Fail")))</f>
        <v>Pass</v>
      </c>
      <c r="AE173" s="1" t="str">
        <f>IF(AND(Table1[[#This Row],[Spec Type2]]="N/A",Table1[[#This Row],[DUT Adj Read]]="N/A",Table1[[#This Row],[Std Adj Read]]="N/A"),"N/A",IF(Table1[[#This Row],[DUT Adj Read]]="N/A",IF(Table1[[#This Row],[Std Adj Read]]&lt;Table1[[#This Row],[High Tol]],"Pass","Fail"),IF(Table1[[#This Row],[DUT Adj Read]]&lt;Table1[[#This Row],[High Tol]],"Pass","Fail")))</f>
        <v>Fail</v>
      </c>
      <c r="AF173" s="1" t="str">
        <f>IF(AND(Table1[[#This Row],[Spec Type2]]="N/A",Table1[[#This Row],[DUT Adj Read]]="N/A",Table1[[#This Row],[Std Adj Read]]="N/A"),"N/A",IF(Table1[[#This Row],[DUT Adj Read]]="N/A",IF(Table1[[#This Row],[Std Adj Read]]&gt;=Table1[[#This Row],[Low Tol]],"Pass","Fail"),IF(Table1[[#This Row],[DUT Adj Read]]&gt;=Table1[[#This Row],[Low Tol]],"Pass","Fail")))</f>
        <v>Pass</v>
      </c>
      <c r="AG173" s="1" t="str">
        <f>IF(AND(Table1[[#This Row],[Spec Type2]]="N/A",Table1[[#This Row],[DUT Adj Read]]="N/A",Table1[[#This Row],[Std Adj Read]]="N/A"),"N/A",IF(Table1[[#This Row],[DUT Adj Read]]="N/A",IF(Table1[[#This Row],[Std Adj Read]]&lt;=Table1[[#This Row],[High Tol]],"Pass","Fail"),IF(Table1[[#This Row],[DUT Adj Read]]&lt;=Table1[[#This Row],[High Tol]],"Pass","Fail")))</f>
        <v>Fail</v>
      </c>
      <c r="AH1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 s="1" t="b">
        <v>0</v>
      </c>
      <c r="AN173" s="1" t="b">
        <v>0</v>
      </c>
      <c r="AO173" s="1" t="b">
        <v>0</v>
      </c>
    </row>
    <row r="174" spans="1:41" x14ac:dyDescent="0.25">
      <c r="A174" s="10"/>
      <c r="B174" s="10"/>
      <c r="C174" s="10"/>
      <c r="D174" s="10"/>
      <c r="E174" s="10"/>
      <c r="F174" s="10"/>
      <c r="G174" s="10"/>
      <c r="H174" s="10"/>
      <c r="I174" s="1" t="str">
        <f t="shared" si="6"/>
        <v/>
      </c>
      <c r="J174" s="1" t="s">
        <v>35</v>
      </c>
      <c r="K174" s="1" t="str">
        <f t="shared" si="7"/>
        <v/>
      </c>
      <c r="L174" s="1" t="str">
        <f t="shared" si="8"/>
        <v/>
      </c>
      <c r="M174" s="1">
        <f>IF(OR(Table1[[#This Row],[Std Nom]]="",Table1[[#This Row],[Std Read]]=""),0,Table1[[#This Row],[Std Nom]]-Table1[[#This Row],[Std Read]])</f>
        <v>0</v>
      </c>
      <c r="N174" s="1">
        <f>IF(Calculations!$F$5="ACCREDITED 17025 WITH UNCERTAINTIES",$N$10,0)</f>
        <v>0</v>
      </c>
      <c r="Q174" s="1">
        <f>Table1[[#This Row],[High Tol]]-Table1[[#This Row],[Low Tol]]</f>
        <v>0</v>
      </c>
      <c r="R174" s="1">
        <f>2*Table1[[#This Row],[Std Error]]</f>
        <v>0</v>
      </c>
      <c r="S174" s="1" t="str">
        <f>IF(Table1[[#This Row],[High Tol]]="","N/A",IFERROR(ABS(Table1[[#This Row],[Tol Span]]/Table1[[#This Row],[Error Span]]),"N/A"))</f>
        <v>N/A</v>
      </c>
      <c r="T174" s="1" t="str">
        <f>IF(OR(Table1[[#This Row],[Low Tol]]="",Table1[[#This Row],[High Tol]]=""),"Needs Analysis",IF(Table1[[#This Row],[Ratio]]&gt;=4,"Not Significant",IF(Table1[[#This Row],[Ratio]]&gt;=2,"Semi-Significant","Significant")))</f>
        <v>Needs Analysis</v>
      </c>
      <c r="W174" s="1">
        <f>IF(Table1[[#This Row],[Cal Type]]&lt;&gt;"ACCREDITED 17025 WITH UNCERTAINTIES",0,"")</f>
        <v>0</v>
      </c>
      <c r="X174" s="1" t="str">
        <f>IF(Table1[[#This Row],[DUT Read]]="","N/A",Table1[[#This Row],[Std Error]]+Table1[[#This Row],[DUT Read]]+Table1[[#This Row],[DUT Ucty]])</f>
        <v>N/A</v>
      </c>
      <c r="Y174" s="1" t="str">
        <f>IF(Table1[[#This Row],[Std Read]]="","N/A",Table1[[#This Row],[Std Read]]+Table1[[#This Row],[Std Ucty]])</f>
        <v>N/A</v>
      </c>
      <c r="Z1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 s="1" t="str">
        <f>IF(Table1[[#This Row],[Spec Type]]="","N/A",Table1[[#This Row],[Spec Type]])</f>
        <v>±</v>
      </c>
      <c r="AC174" s="1" t="str">
        <f>IF(Table1[[#This Row],[Spec Type2]]="N/A","N/A",IF(AND(Table1[[#This Row],[DUT Adj Read]]&gt;=Table1[[#This Row],[Low Tol]],Table1[[#This Row],[DUT Adj Read]]&lt;=Table1[[#This Row],[High Tol]]),"Pass","Fail"))</f>
        <v>Fail</v>
      </c>
      <c r="AD174" s="1" t="str">
        <f>IF(AND(Table1[[#This Row],[Spec Type2]]="N/A",Table1[[#This Row],[DUT Adj Read]]="N/A",Table1[[#This Row],[Std Adj Read]]="N/A"),"N/A",IF(Table1[[#This Row],[DUT Adj Read]]="N/A",IF(Table1[[#This Row],[Std Adj Read]]&gt;Table1[[#This Row],[Low Tol]],"Pass","Fail"),IF(Table1[[#This Row],[DUT Adj Read]]&gt;Table1[[#This Row],[Low Tol]],"Pass","Fail")))</f>
        <v>Pass</v>
      </c>
      <c r="AE174" s="1" t="str">
        <f>IF(AND(Table1[[#This Row],[Spec Type2]]="N/A",Table1[[#This Row],[DUT Adj Read]]="N/A",Table1[[#This Row],[Std Adj Read]]="N/A"),"N/A",IF(Table1[[#This Row],[DUT Adj Read]]="N/A",IF(Table1[[#This Row],[Std Adj Read]]&lt;Table1[[#This Row],[High Tol]],"Pass","Fail"),IF(Table1[[#This Row],[DUT Adj Read]]&lt;Table1[[#This Row],[High Tol]],"Pass","Fail")))</f>
        <v>Fail</v>
      </c>
      <c r="AF174" s="1" t="str">
        <f>IF(AND(Table1[[#This Row],[Spec Type2]]="N/A",Table1[[#This Row],[DUT Adj Read]]="N/A",Table1[[#This Row],[Std Adj Read]]="N/A"),"N/A",IF(Table1[[#This Row],[DUT Adj Read]]="N/A",IF(Table1[[#This Row],[Std Adj Read]]&gt;=Table1[[#This Row],[Low Tol]],"Pass","Fail"),IF(Table1[[#This Row],[DUT Adj Read]]&gt;=Table1[[#This Row],[Low Tol]],"Pass","Fail")))</f>
        <v>Pass</v>
      </c>
      <c r="AG174" s="1" t="str">
        <f>IF(AND(Table1[[#This Row],[Spec Type2]]="N/A",Table1[[#This Row],[DUT Adj Read]]="N/A",Table1[[#This Row],[Std Adj Read]]="N/A"),"N/A",IF(Table1[[#This Row],[DUT Adj Read]]="N/A",IF(Table1[[#This Row],[Std Adj Read]]&lt;=Table1[[#This Row],[High Tol]],"Pass","Fail"),IF(Table1[[#This Row],[DUT Adj Read]]&lt;=Table1[[#This Row],[High Tol]],"Pass","Fail")))</f>
        <v>Fail</v>
      </c>
      <c r="AH1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 s="1" t="b">
        <v>0</v>
      </c>
      <c r="AN174" s="1" t="b">
        <v>0</v>
      </c>
      <c r="AO174" s="1" t="b">
        <v>0</v>
      </c>
    </row>
    <row r="175" spans="1:41" x14ac:dyDescent="0.25">
      <c r="A175" s="10"/>
      <c r="B175" s="10"/>
      <c r="C175" s="10"/>
      <c r="D175" s="10"/>
      <c r="E175" s="10"/>
      <c r="F175" s="10"/>
      <c r="G175" s="10"/>
      <c r="H175" s="10"/>
      <c r="I175" s="1" t="str">
        <f t="shared" si="6"/>
        <v/>
      </c>
      <c r="J175" s="1" t="s">
        <v>35</v>
      </c>
      <c r="K175" s="1" t="str">
        <f t="shared" si="7"/>
        <v/>
      </c>
      <c r="L175" s="1" t="str">
        <f t="shared" si="8"/>
        <v/>
      </c>
      <c r="M175" s="1">
        <f>IF(OR(Table1[[#This Row],[Std Nom]]="",Table1[[#This Row],[Std Read]]=""),0,Table1[[#This Row],[Std Nom]]-Table1[[#This Row],[Std Read]])</f>
        <v>0</v>
      </c>
      <c r="N175" s="1">
        <f>IF(Calculations!$F$5="ACCREDITED 17025 WITH UNCERTAINTIES",$N$10,0)</f>
        <v>0</v>
      </c>
      <c r="Q175" s="1">
        <f>Table1[[#This Row],[High Tol]]-Table1[[#This Row],[Low Tol]]</f>
        <v>0</v>
      </c>
      <c r="R175" s="1">
        <f>2*Table1[[#This Row],[Std Error]]</f>
        <v>0</v>
      </c>
      <c r="S175" s="1" t="str">
        <f>IF(Table1[[#This Row],[High Tol]]="","N/A",IFERROR(ABS(Table1[[#This Row],[Tol Span]]/Table1[[#This Row],[Error Span]]),"N/A"))</f>
        <v>N/A</v>
      </c>
      <c r="T175" s="1" t="str">
        <f>IF(OR(Table1[[#This Row],[Low Tol]]="",Table1[[#This Row],[High Tol]]=""),"Needs Analysis",IF(Table1[[#This Row],[Ratio]]&gt;=4,"Not Significant",IF(Table1[[#This Row],[Ratio]]&gt;=2,"Semi-Significant","Significant")))</f>
        <v>Needs Analysis</v>
      </c>
      <c r="W175" s="1">
        <f>IF(Table1[[#This Row],[Cal Type]]&lt;&gt;"ACCREDITED 17025 WITH UNCERTAINTIES",0,"")</f>
        <v>0</v>
      </c>
      <c r="X175" s="1" t="str">
        <f>IF(Table1[[#This Row],[DUT Read]]="","N/A",Table1[[#This Row],[Std Error]]+Table1[[#This Row],[DUT Read]]+Table1[[#This Row],[DUT Ucty]])</f>
        <v>N/A</v>
      </c>
      <c r="Y175" s="1" t="str">
        <f>IF(Table1[[#This Row],[Std Read]]="","N/A",Table1[[#This Row],[Std Read]]+Table1[[#This Row],[Std Ucty]])</f>
        <v>N/A</v>
      </c>
      <c r="Z1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 s="1" t="str">
        <f>IF(Table1[[#This Row],[Spec Type]]="","N/A",Table1[[#This Row],[Spec Type]])</f>
        <v>±</v>
      </c>
      <c r="AC175" s="1" t="str">
        <f>IF(Table1[[#This Row],[Spec Type2]]="N/A","N/A",IF(AND(Table1[[#This Row],[DUT Adj Read]]&gt;=Table1[[#This Row],[Low Tol]],Table1[[#This Row],[DUT Adj Read]]&lt;=Table1[[#This Row],[High Tol]]),"Pass","Fail"))</f>
        <v>Fail</v>
      </c>
      <c r="AD175" s="1" t="str">
        <f>IF(AND(Table1[[#This Row],[Spec Type2]]="N/A",Table1[[#This Row],[DUT Adj Read]]="N/A",Table1[[#This Row],[Std Adj Read]]="N/A"),"N/A",IF(Table1[[#This Row],[DUT Adj Read]]="N/A",IF(Table1[[#This Row],[Std Adj Read]]&gt;Table1[[#This Row],[Low Tol]],"Pass","Fail"),IF(Table1[[#This Row],[DUT Adj Read]]&gt;Table1[[#This Row],[Low Tol]],"Pass","Fail")))</f>
        <v>Pass</v>
      </c>
      <c r="AE175" s="1" t="str">
        <f>IF(AND(Table1[[#This Row],[Spec Type2]]="N/A",Table1[[#This Row],[DUT Adj Read]]="N/A",Table1[[#This Row],[Std Adj Read]]="N/A"),"N/A",IF(Table1[[#This Row],[DUT Adj Read]]="N/A",IF(Table1[[#This Row],[Std Adj Read]]&lt;Table1[[#This Row],[High Tol]],"Pass","Fail"),IF(Table1[[#This Row],[DUT Adj Read]]&lt;Table1[[#This Row],[High Tol]],"Pass","Fail")))</f>
        <v>Fail</v>
      </c>
      <c r="AF175" s="1" t="str">
        <f>IF(AND(Table1[[#This Row],[Spec Type2]]="N/A",Table1[[#This Row],[DUT Adj Read]]="N/A",Table1[[#This Row],[Std Adj Read]]="N/A"),"N/A",IF(Table1[[#This Row],[DUT Adj Read]]="N/A",IF(Table1[[#This Row],[Std Adj Read]]&gt;=Table1[[#This Row],[Low Tol]],"Pass","Fail"),IF(Table1[[#This Row],[DUT Adj Read]]&gt;=Table1[[#This Row],[Low Tol]],"Pass","Fail")))</f>
        <v>Pass</v>
      </c>
      <c r="AG175" s="1" t="str">
        <f>IF(AND(Table1[[#This Row],[Spec Type2]]="N/A",Table1[[#This Row],[DUT Adj Read]]="N/A",Table1[[#This Row],[Std Adj Read]]="N/A"),"N/A",IF(Table1[[#This Row],[DUT Adj Read]]="N/A",IF(Table1[[#This Row],[Std Adj Read]]&lt;=Table1[[#This Row],[High Tol]],"Pass","Fail"),IF(Table1[[#This Row],[DUT Adj Read]]&lt;=Table1[[#This Row],[High Tol]],"Pass","Fail")))</f>
        <v>Fail</v>
      </c>
      <c r="AH1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 s="1" t="b">
        <v>0</v>
      </c>
      <c r="AN175" s="1" t="b">
        <v>0</v>
      </c>
      <c r="AO175" s="1" t="b">
        <v>0</v>
      </c>
    </row>
    <row r="176" spans="1:41" x14ac:dyDescent="0.25">
      <c r="A176" s="10"/>
      <c r="B176" s="10"/>
      <c r="C176" s="10"/>
      <c r="D176" s="10"/>
      <c r="E176" s="10"/>
      <c r="F176" s="10"/>
      <c r="G176" s="10"/>
      <c r="H176" s="10"/>
      <c r="I176" s="1" t="str">
        <f t="shared" si="6"/>
        <v/>
      </c>
      <c r="J176" s="1" t="s">
        <v>35</v>
      </c>
      <c r="K176" s="1" t="str">
        <f t="shared" si="7"/>
        <v/>
      </c>
      <c r="L176" s="1" t="str">
        <f t="shared" si="8"/>
        <v/>
      </c>
      <c r="M176" s="1">
        <f>IF(OR(Table1[[#This Row],[Std Nom]]="",Table1[[#This Row],[Std Read]]=""),0,Table1[[#This Row],[Std Nom]]-Table1[[#This Row],[Std Read]])</f>
        <v>0</v>
      </c>
      <c r="N176" s="1">
        <f>IF(Calculations!$F$5="ACCREDITED 17025 WITH UNCERTAINTIES",$N$10,0)</f>
        <v>0</v>
      </c>
      <c r="Q176" s="1">
        <f>Table1[[#This Row],[High Tol]]-Table1[[#This Row],[Low Tol]]</f>
        <v>0</v>
      </c>
      <c r="R176" s="1">
        <f>2*Table1[[#This Row],[Std Error]]</f>
        <v>0</v>
      </c>
      <c r="S176" s="1" t="str">
        <f>IF(Table1[[#This Row],[High Tol]]="","N/A",IFERROR(ABS(Table1[[#This Row],[Tol Span]]/Table1[[#This Row],[Error Span]]),"N/A"))</f>
        <v>N/A</v>
      </c>
      <c r="T176" s="1" t="str">
        <f>IF(OR(Table1[[#This Row],[Low Tol]]="",Table1[[#This Row],[High Tol]]=""),"Needs Analysis",IF(Table1[[#This Row],[Ratio]]&gt;=4,"Not Significant",IF(Table1[[#This Row],[Ratio]]&gt;=2,"Semi-Significant","Significant")))</f>
        <v>Needs Analysis</v>
      </c>
      <c r="W176" s="1">
        <f>IF(Table1[[#This Row],[Cal Type]]&lt;&gt;"ACCREDITED 17025 WITH UNCERTAINTIES",0,"")</f>
        <v>0</v>
      </c>
      <c r="X176" s="1" t="str">
        <f>IF(Table1[[#This Row],[DUT Read]]="","N/A",Table1[[#This Row],[Std Error]]+Table1[[#This Row],[DUT Read]]+Table1[[#This Row],[DUT Ucty]])</f>
        <v>N/A</v>
      </c>
      <c r="Y176" s="1" t="str">
        <f>IF(Table1[[#This Row],[Std Read]]="","N/A",Table1[[#This Row],[Std Read]]+Table1[[#This Row],[Std Ucty]])</f>
        <v>N/A</v>
      </c>
      <c r="Z1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 s="1" t="str">
        <f>IF(Table1[[#This Row],[Spec Type]]="","N/A",Table1[[#This Row],[Spec Type]])</f>
        <v>±</v>
      </c>
      <c r="AC176" s="1" t="str">
        <f>IF(Table1[[#This Row],[Spec Type2]]="N/A","N/A",IF(AND(Table1[[#This Row],[DUT Adj Read]]&gt;=Table1[[#This Row],[Low Tol]],Table1[[#This Row],[DUT Adj Read]]&lt;=Table1[[#This Row],[High Tol]]),"Pass","Fail"))</f>
        <v>Fail</v>
      </c>
      <c r="AD176" s="1" t="str">
        <f>IF(AND(Table1[[#This Row],[Spec Type2]]="N/A",Table1[[#This Row],[DUT Adj Read]]="N/A",Table1[[#This Row],[Std Adj Read]]="N/A"),"N/A",IF(Table1[[#This Row],[DUT Adj Read]]="N/A",IF(Table1[[#This Row],[Std Adj Read]]&gt;Table1[[#This Row],[Low Tol]],"Pass","Fail"),IF(Table1[[#This Row],[DUT Adj Read]]&gt;Table1[[#This Row],[Low Tol]],"Pass","Fail")))</f>
        <v>Pass</v>
      </c>
      <c r="AE176" s="1" t="str">
        <f>IF(AND(Table1[[#This Row],[Spec Type2]]="N/A",Table1[[#This Row],[DUT Adj Read]]="N/A",Table1[[#This Row],[Std Adj Read]]="N/A"),"N/A",IF(Table1[[#This Row],[DUT Adj Read]]="N/A",IF(Table1[[#This Row],[Std Adj Read]]&lt;Table1[[#This Row],[High Tol]],"Pass","Fail"),IF(Table1[[#This Row],[DUT Adj Read]]&lt;Table1[[#This Row],[High Tol]],"Pass","Fail")))</f>
        <v>Fail</v>
      </c>
      <c r="AF176" s="1" t="str">
        <f>IF(AND(Table1[[#This Row],[Spec Type2]]="N/A",Table1[[#This Row],[DUT Adj Read]]="N/A",Table1[[#This Row],[Std Adj Read]]="N/A"),"N/A",IF(Table1[[#This Row],[DUT Adj Read]]="N/A",IF(Table1[[#This Row],[Std Adj Read]]&gt;=Table1[[#This Row],[Low Tol]],"Pass","Fail"),IF(Table1[[#This Row],[DUT Adj Read]]&gt;=Table1[[#This Row],[Low Tol]],"Pass","Fail")))</f>
        <v>Pass</v>
      </c>
      <c r="AG176" s="1" t="str">
        <f>IF(AND(Table1[[#This Row],[Spec Type2]]="N/A",Table1[[#This Row],[DUT Adj Read]]="N/A",Table1[[#This Row],[Std Adj Read]]="N/A"),"N/A",IF(Table1[[#This Row],[DUT Adj Read]]="N/A",IF(Table1[[#This Row],[Std Adj Read]]&lt;=Table1[[#This Row],[High Tol]],"Pass","Fail"),IF(Table1[[#This Row],[DUT Adj Read]]&lt;=Table1[[#This Row],[High Tol]],"Pass","Fail")))</f>
        <v>Fail</v>
      </c>
      <c r="AH1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 s="1" t="b">
        <v>0</v>
      </c>
      <c r="AN176" s="1" t="b">
        <v>0</v>
      </c>
      <c r="AO176" s="1" t="b">
        <v>0</v>
      </c>
    </row>
    <row r="177" spans="1:41" x14ac:dyDescent="0.25">
      <c r="A177" s="10"/>
      <c r="B177" s="10"/>
      <c r="C177" s="10"/>
      <c r="D177" s="10"/>
      <c r="E177" s="10"/>
      <c r="F177" s="10"/>
      <c r="G177" s="10"/>
      <c r="H177" s="10"/>
      <c r="I177" s="1" t="str">
        <f t="shared" si="6"/>
        <v/>
      </c>
      <c r="J177" s="1" t="s">
        <v>35</v>
      </c>
      <c r="K177" s="1" t="str">
        <f t="shared" si="7"/>
        <v/>
      </c>
      <c r="L177" s="1" t="str">
        <f t="shared" si="8"/>
        <v/>
      </c>
      <c r="M177" s="1">
        <f>IF(OR(Table1[[#This Row],[Std Nom]]="",Table1[[#This Row],[Std Read]]=""),0,Table1[[#This Row],[Std Nom]]-Table1[[#This Row],[Std Read]])</f>
        <v>0</v>
      </c>
      <c r="N177" s="1">
        <f>IF(Calculations!$F$5="ACCREDITED 17025 WITH UNCERTAINTIES",$N$10,0)</f>
        <v>0</v>
      </c>
      <c r="Q177" s="1">
        <f>Table1[[#This Row],[High Tol]]-Table1[[#This Row],[Low Tol]]</f>
        <v>0</v>
      </c>
      <c r="R177" s="1">
        <f>2*Table1[[#This Row],[Std Error]]</f>
        <v>0</v>
      </c>
      <c r="S177" s="1" t="str">
        <f>IF(Table1[[#This Row],[High Tol]]="","N/A",IFERROR(ABS(Table1[[#This Row],[Tol Span]]/Table1[[#This Row],[Error Span]]),"N/A"))</f>
        <v>N/A</v>
      </c>
      <c r="T177" s="1" t="str">
        <f>IF(OR(Table1[[#This Row],[Low Tol]]="",Table1[[#This Row],[High Tol]]=""),"Needs Analysis",IF(Table1[[#This Row],[Ratio]]&gt;=4,"Not Significant",IF(Table1[[#This Row],[Ratio]]&gt;=2,"Semi-Significant","Significant")))</f>
        <v>Needs Analysis</v>
      </c>
      <c r="W177" s="1">
        <f>IF(Table1[[#This Row],[Cal Type]]&lt;&gt;"ACCREDITED 17025 WITH UNCERTAINTIES",0,"")</f>
        <v>0</v>
      </c>
      <c r="X177" s="1" t="str">
        <f>IF(Table1[[#This Row],[DUT Read]]="","N/A",Table1[[#This Row],[Std Error]]+Table1[[#This Row],[DUT Read]]+Table1[[#This Row],[DUT Ucty]])</f>
        <v>N/A</v>
      </c>
      <c r="Y177" s="1" t="str">
        <f>IF(Table1[[#This Row],[Std Read]]="","N/A",Table1[[#This Row],[Std Read]]+Table1[[#This Row],[Std Ucty]])</f>
        <v>N/A</v>
      </c>
      <c r="Z1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 s="1" t="str">
        <f>IF(Table1[[#This Row],[Spec Type]]="","N/A",Table1[[#This Row],[Spec Type]])</f>
        <v>±</v>
      </c>
      <c r="AC177" s="1" t="str">
        <f>IF(Table1[[#This Row],[Spec Type2]]="N/A","N/A",IF(AND(Table1[[#This Row],[DUT Adj Read]]&gt;=Table1[[#This Row],[Low Tol]],Table1[[#This Row],[DUT Adj Read]]&lt;=Table1[[#This Row],[High Tol]]),"Pass","Fail"))</f>
        <v>Fail</v>
      </c>
      <c r="AD177" s="1" t="str">
        <f>IF(AND(Table1[[#This Row],[Spec Type2]]="N/A",Table1[[#This Row],[DUT Adj Read]]="N/A",Table1[[#This Row],[Std Adj Read]]="N/A"),"N/A",IF(Table1[[#This Row],[DUT Adj Read]]="N/A",IF(Table1[[#This Row],[Std Adj Read]]&gt;Table1[[#This Row],[Low Tol]],"Pass","Fail"),IF(Table1[[#This Row],[DUT Adj Read]]&gt;Table1[[#This Row],[Low Tol]],"Pass","Fail")))</f>
        <v>Pass</v>
      </c>
      <c r="AE177" s="1" t="str">
        <f>IF(AND(Table1[[#This Row],[Spec Type2]]="N/A",Table1[[#This Row],[DUT Adj Read]]="N/A",Table1[[#This Row],[Std Adj Read]]="N/A"),"N/A",IF(Table1[[#This Row],[DUT Adj Read]]="N/A",IF(Table1[[#This Row],[Std Adj Read]]&lt;Table1[[#This Row],[High Tol]],"Pass","Fail"),IF(Table1[[#This Row],[DUT Adj Read]]&lt;Table1[[#This Row],[High Tol]],"Pass","Fail")))</f>
        <v>Fail</v>
      </c>
      <c r="AF177" s="1" t="str">
        <f>IF(AND(Table1[[#This Row],[Spec Type2]]="N/A",Table1[[#This Row],[DUT Adj Read]]="N/A",Table1[[#This Row],[Std Adj Read]]="N/A"),"N/A",IF(Table1[[#This Row],[DUT Adj Read]]="N/A",IF(Table1[[#This Row],[Std Adj Read]]&gt;=Table1[[#This Row],[Low Tol]],"Pass","Fail"),IF(Table1[[#This Row],[DUT Adj Read]]&gt;=Table1[[#This Row],[Low Tol]],"Pass","Fail")))</f>
        <v>Pass</v>
      </c>
      <c r="AG177" s="1" t="str">
        <f>IF(AND(Table1[[#This Row],[Spec Type2]]="N/A",Table1[[#This Row],[DUT Adj Read]]="N/A",Table1[[#This Row],[Std Adj Read]]="N/A"),"N/A",IF(Table1[[#This Row],[DUT Adj Read]]="N/A",IF(Table1[[#This Row],[Std Adj Read]]&lt;=Table1[[#This Row],[High Tol]],"Pass","Fail"),IF(Table1[[#This Row],[DUT Adj Read]]&lt;=Table1[[#This Row],[High Tol]],"Pass","Fail")))</f>
        <v>Fail</v>
      </c>
      <c r="AH1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 s="1" t="b">
        <v>0</v>
      </c>
      <c r="AN177" s="1" t="b">
        <v>0</v>
      </c>
      <c r="AO177" s="1" t="b">
        <v>0</v>
      </c>
    </row>
    <row r="178" spans="1:41" x14ac:dyDescent="0.25">
      <c r="A178" s="10"/>
      <c r="B178" s="10"/>
      <c r="C178" s="10"/>
      <c r="D178" s="10"/>
      <c r="E178" s="10"/>
      <c r="F178" s="10"/>
      <c r="G178" s="10"/>
      <c r="H178" s="10"/>
      <c r="I178" s="1" t="str">
        <f t="shared" si="6"/>
        <v/>
      </c>
      <c r="J178" s="1" t="s">
        <v>35</v>
      </c>
      <c r="K178" s="1" t="str">
        <f t="shared" si="7"/>
        <v/>
      </c>
      <c r="L178" s="1" t="str">
        <f t="shared" si="8"/>
        <v/>
      </c>
      <c r="M178" s="1">
        <f>IF(OR(Table1[[#This Row],[Std Nom]]="",Table1[[#This Row],[Std Read]]=""),0,Table1[[#This Row],[Std Nom]]-Table1[[#This Row],[Std Read]])</f>
        <v>0</v>
      </c>
      <c r="N178" s="1">
        <f>IF(Calculations!$F$5="ACCREDITED 17025 WITH UNCERTAINTIES",$N$10,0)</f>
        <v>0</v>
      </c>
      <c r="Q178" s="1">
        <f>Table1[[#This Row],[High Tol]]-Table1[[#This Row],[Low Tol]]</f>
        <v>0</v>
      </c>
      <c r="R178" s="1">
        <f>2*Table1[[#This Row],[Std Error]]</f>
        <v>0</v>
      </c>
      <c r="S178" s="1" t="str">
        <f>IF(Table1[[#This Row],[High Tol]]="","N/A",IFERROR(ABS(Table1[[#This Row],[Tol Span]]/Table1[[#This Row],[Error Span]]),"N/A"))</f>
        <v>N/A</v>
      </c>
      <c r="T178" s="1" t="str">
        <f>IF(OR(Table1[[#This Row],[Low Tol]]="",Table1[[#This Row],[High Tol]]=""),"Needs Analysis",IF(Table1[[#This Row],[Ratio]]&gt;=4,"Not Significant",IF(Table1[[#This Row],[Ratio]]&gt;=2,"Semi-Significant","Significant")))</f>
        <v>Needs Analysis</v>
      </c>
      <c r="W178" s="1">
        <f>IF(Table1[[#This Row],[Cal Type]]&lt;&gt;"ACCREDITED 17025 WITH UNCERTAINTIES",0,"")</f>
        <v>0</v>
      </c>
      <c r="X178" s="1" t="str">
        <f>IF(Table1[[#This Row],[DUT Read]]="","N/A",Table1[[#This Row],[Std Error]]+Table1[[#This Row],[DUT Read]]+Table1[[#This Row],[DUT Ucty]])</f>
        <v>N/A</v>
      </c>
      <c r="Y178" s="1" t="str">
        <f>IF(Table1[[#This Row],[Std Read]]="","N/A",Table1[[#This Row],[Std Read]]+Table1[[#This Row],[Std Ucty]])</f>
        <v>N/A</v>
      </c>
      <c r="Z1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 s="1" t="str">
        <f>IF(Table1[[#This Row],[Spec Type]]="","N/A",Table1[[#This Row],[Spec Type]])</f>
        <v>±</v>
      </c>
      <c r="AC178" s="1" t="str">
        <f>IF(Table1[[#This Row],[Spec Type2]]="N/A","N/A",IF(AND(Table1[[#This Row],[DUT Adj Read]]&gt;=Table1[[#This Row],[Low Tol]],Table1[[#This Row],[DUT Adj Read]]&lt;=Table1[[#This Row],[High Tol]]),"Pass","Fail"))</f>
        <v>Fail</v>
      </c>
      <c r="AD178" s="1" t="str">
        <f>IF(AND(Table1[[#This Row],[Spec Type2]]="N/A",Table1[[#This Row],[DUT Adj Read]]="N/A",Table1[[#This Row],[Std Adj Read]]="N/A"),"N/A",IF(Table1[[#This Row],[DUT Adj Read]]="N/A",IF(Table1[[#This Row],[Std Adj Read]]&gt;Table1[[#This Row],[Low Tol]],"Pass","Fail"),IF(Table1[[#This Row],[DUT Adj Read]]&gt;Table1[[#This Row],[Low Tol]],"Pass","Fail")))</f>
        <v>Pass</v>
      </c>
      <c r="AE178" s="1" t="str">
        <f>IF(AND(Table1[[#This Row],[Spec Type2]]="N/A",Table1[[#This Row],[DUT Adj Read]]="N/A",Table1[[#This Row],[Std Adj Read]]="N/A"),"N/A",IF(Table1[[#This Row],[DUT Adj Read]]="N/A",IF(Table1[[#This Row],[Std Adj Read]]&lt;Table1[[#This Row],[High Tol]],"Pass","Fail"),IF(Table1[[#This Row],[DUT Adj Read]]&lt;Table1[[#This Row],[High Tol]],"Pass","Fail")))</f>
        <v>Fail</v>
      </c>
      <c r="AF178" s="1" t="str">
        <f>IF(AND(Table1[[#This Row],[Spec Type2]]="N/A",Table1[[#This Row],[DUT Adj Read]]="N/A",Table1[[#This Row],[Std Adj Read]]="N/A"),"N/A",IF(Table1[[#This Row],[DUT Adj Read]]="N/A",IF(Table1[[#This Row],[Std Adj Read]]&gt;=Table1[[#This Row],[Low Tol]],"Pass","Fail"),IF(Table1[[#This Row],[DUT Adj Read]]&gt;=Table1[[#This Row],[Low Tol]],"Pass","Fail")))</f>
        <v>Pass</v>
      </c>
      <c r="AG178" s="1" t="str">
        <f>IF(AND(Table1[[#This Row],[Spec Type2]]="N/A",Table1[[#This Row],[DUT Adj Read]]="N/A",Table1[[#This Row],[Std Adj Read]]="N/A"),"N/A",IF(Table1[[#This Row],[DUT Adj Read]]="N/A",IF(Table1[[#This Row],[Std Adj Read]]&lt;=Table1[[#This Row],[High Tol]],"Pass","Fail"),IF(Table1[[#This Row],[DUT Adj Read]]&lt;=Table1[[#This Row],[High Tol]],"Pass","Fail")))</f>
        <v>Fail</v>
      </c>
      <c r="AH1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 s="1" t="b">
        <v>0</v>
      </c>
      <c r="AN178" s="1" t="b">
        <v>0</v>
      </c>
      <c r="AO178" s="1" t="b">
        <v>0</v>
      </c>
    </row>
    <row r="179" spans="1:41" x14ac:dyDescent="0.25">
      <c r="A179" s="10"/>
      <c r="B179" s="10"/>
      <c r="C179" s="10"/>
      <c r="D179" s="10"/>
      <c r="E179" s="10"/>
      <c r="F179" s="10"/>
      <c r="G179" s="10"/>
      <c r="H179" s="10"/>
      <c r="I179" s="1" t="str">
        <f t="shared" si="6"/>
        <v/>
      </c>
      <c r="J179" s="1" t="s">
        <v>35</v>
      </c>
      <c r="K179" s="1" t="str">
        <f t="shared" si="7"/>
        <v/>
      </c>
      <c r="L179" s="1" t="str">
        <f t="shared" si="8"/>
        <v/>
      </c>
      <c r="M179" s="1">
        <f>IF(OR(Table1[[#This Row],[Std Nom]]="",Table1[[#This Row],[Std Read]]=""),0,Table1[[#This Row],[Std Nom]]-Table1[[#This Row],[Std Read]])</f>
        <v>0</v>
      </c>
      <c r="N179" s="1">
        <f>IF(Calculations!$F$5="ACCREDITED 17025 WITH UNCERTAINTIES",$N$10,0)</f>
        <v>0</v>
      </c>
      <c r="Q179" s="1">
        <f>Table1[[#This Row],[High Tol]]-Table1[[#This Row],[Low Tol]]</f>
        <v>0</v>
      </c>
      <c r="R179" s="1">
        <f>2*Table1[[#This Row],[Std Error]]</f>
        <v>0</v>
      </c>
      <c r="S179" s="1" t="str">
        <f>IF(Table1[[#This Row],[High Tol]]="","N/A",IFERROR(ABS(Table1[[#This Row],[Tol Span]]/Table1[[#This Row],[Error Span]]),"N/A"))</f>
        <v>N/A</v>
      </c>
      <c r="T179" s="1" t="str">
        <f>IF(OR(Table1[[#This Row],[Low Tol]]="",Table1[[#This Row],[High Tol]]=""),"Needs Analysis",IF(Table1[[#This Row],[Ratio]]&gt;=4,"Not Significant",IF(Table1[[#This Row],[Ratio]]&gt;=2,"Semi-Significant","Significant")))</f>
        <v>Needs Analysis</v>
      </c>
      <c r="W179" s="1">
        <f>IF(Table1[[#This Row],[Cal Type]]&lt;&gt;"ACCREDITED 17025 WITH UNCERTAINTIES",0,"")</f>
        <v>0</v>
      </c>
      <c r="X179" s="1" t="str">
        <f>IF(Table1[[#This Row],[DUT Read]]="","N/A",Table1[[#This Row],[Std Error]]+Table1[[#This Row],[DUT Read]]+Table1[[#This Row],[DUT Ucty]])</f>
        <v>N/A</v>
      </c>
      <c r="Y179" s="1" t="str">
        <f>IF(Table1[[#This Row],[Std Read]]="","N/A",Table1[[#This Row],[Std Read]]+Table1[[#This Row],[Std Ucty]])</f>
        <v>N/A</v>
      </c>
      <c r="Z1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 s="1" t="str">
        <f>IF(Table1[[#This Row],[Spec Type]]="","N/A",Table1[[#This Row],[Spec Type]])</f>
        <v>±</v>
      </c>
      <c r="AC179" s="1" t="str">
        <f>IF(Table1[[#This Row],[Spec Type2]]="N/A","N/A",IF(AND(Table1[[#This Row],[DUT Adj Read]]&gt;=Table1[[#This Row],[Low Tol]],Table1[[#This Row],[DUT Adj Read]]&lt;=Table1[[#This Row],[High Tol]]),"Pass","Fail"))</f>
        <v>Fail</v>
      </c>
      <c r="AD179" s="1" t="str">
        <f>IF(AND(Table1[[#This Row],[Spec Type2]]="N/A",Table1[[#This Row],[DUT Adj Read]]="N/A",Table1[[#This Row],[Std Adj Read]]="N/A"),"N/A",IF(Table1[[#This Row],[DUT Adj Read]]="N/A",IF(Table1[[#This Row],[Std Adj Read]]&gt;Table1[[#This Row],[Low Tol]],"Pass","Fail"),IF(Table1[[#This Row],[DUT Adj Read]]&gt;Table1[[#This Row],[Low Tol]],"Pass","Fail")))</f>
        <v>Pass</v>
      </c>
      <c r="AE179" s="1" t="str">
        <f>IF(AND(Table1[[#This Row],[Spec Type2]]="N/A",Table1[[#This Row],[DUT Adj Read]]="N/A",Table1[[#This Row],[Std Adj Read]]="N/A"),"N/A",IF(Table1[[#This Row],[DUT Adj Read]]="N/A",IF(Table1[[#This Row],[Std Adj Read]]&lt;Table1[[#This Row],[High Tol]],"Pass","Fail"),IF(Table1[[#This Row],[DUT Adj Read]]&lt;Table1[[#This Row],[High Tol]],"Pass","Fail")))</f>
        <v>Fail</v>
      </c>
      <c r="AF179" s="1" t="str">
        <f>IF(AND(Table1[[#This Row],[Spec Type2]]="N/A",Table1[[#This Row],[DUT Adj Read]]="N/A",Table1[[#This Row],[Std Adj Read]]="N/A"),"N/A",IF(Table1[[#This Row],[DUT Adj Read]]="N/A",IF(Table1[[#This Row],[Std Adj Read]]&gt;=Table1[[#This Row],[Low Tol]],"Pass","Fail"),IF(Table1[[#This Row],[DUT Adj Read]]&gt;=Table1[[#This Row],[Low Tol]],"Pass","Fail")))</f>
        <v>Pass</v>
      </c>
      <c r="AG179" s="1" t="str">
        <f>IF(AND(Table1[[#This Row],[Spec Type2]]="N/A",Table1[[#This Row],[DUT Adj Read]]="N/A",Table1[[#This Row],[Std Adj Read]]="N/A"),"N/A",IF(Table1[[#This Row],[DUT Adj Read]]="N/A",IF(Table1[[#This Row],[Std Adj Read]]&lt;=Table1[[#This Row],[High Tol]],"Pass","Fail"),IF(Table1[[#This Row],[DUT Adj Read]]&lt;=Table1[[#This Row],[High Tol]],"Pass","Fail")))</f>
        <v>Fail</v>
      </c>
      <c r="AH1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 s="1" t="b">
        <v>0</v>
      </c>
      <c r="AN179" s="1" t="b">
        <v>0</v>
      </c>
      <c r="AO179" s="1" t="b">
        <v>0</v>
      </c>
    </row>
    <row r="180" spans="1:41" x14ac:dyDescent="0.25">
      <c r="A180" s="10"/>
      <c r="B180" s="10"/>
      <c r="C180" s="10"/>
      <c r="D180" s="10"/>
      <c r="E180" s="10"/>
      <c r="F180" s="10"/>
      <c r="G180" s="10"/>
      <c r="H180" s="10"/>
      <c r="I180" s="1" t="str">
        <f t="shared" si="6"/>
        <v/>
      </c>
      <c r="J180" s="1" t="s">
        <v>35</v>
      </c>
      <c r="K180" s="1" t="str">
        <f t="shared" si="7"/>
        <v/>
      </c>
      <c r="L180" s="1" t="str">
        <f t="shared" si="8"/>
        <v/>
      </c>
      <c r="M180" s="1">
        <f>IF(OR(Table1[[#This Row],[Std Nom]]="",Table1[[#This Row],[Std Read]]=""),0,Table1[[#This Row],[Std Nom]]-Table1[[#This Row],[Std Read]])</f>
        <v>0</v>
      </c>
      <c r="N180" s="1">
        <f>IF(Calculations!$F$5="ACCREDITED 17025 WITH UNCERTAINTIES",$N$10,0)</f>
        <v>0</v>
      </c>
      <c r="Q180" s="1">
        <f>Table1[[#This Row],[High Tol]]-Table1[[#This Row],[Low Tol]]</f>
        <v>0</v>
      </c>
      <c r="R180" s="1">
        <f>2*Table1[[#This Row],[Std Error]]</f>
        <v>0</v>
      </c>
      <c r="S180" s="1" t="str">
        <f>IF(Table1[[#This Row],[High Tol]]="","N/A",IFERROR(ABS(Table1[[#This Row],[Tol Span]]/Table1[[#This Row],[Error Span]]),"N/A"))</f>
        <v>N/A</v>
      </c>
      <c r="T180" s="1" t="str">
        <f>IF(OR(Table1[[#This Row],[Low Tol]]="",Table1[[#This Row],[High Tol]]=""),"Needs Analysis",IF(Table1[[#This Row],[Ratio]]&gt;=4,"Not Significant",IF(Table1[[#This Row],[Ratio]]&gt;=2,"Semi-Significant","Significant")))</f>
        <v>Needs Analysis</v>
      </c>
      <c r="W180" s="1">
        <f>IF(Table1[[#This Row],[Cal Type]]&lt;&gt;"ACCREDITED 17025 WITH UNCERTAINTIES",0,"")</f>
        <v>0</v>
      </c>
      <c r="X180" s="1" t="str">
        <f>IF(Table1[[#This Row],[DUT Read]]="","N/A",Table1[[#This Row],[Std Error]]+Table1[[#This Row],[DUT Read]]+Table1[[#This Row],[DUT Ucty]])</f>
        <v>N/A</v>
      </c>
      <c r="Y180" s="1" t="str">
        <f>IF(Table1[[#This Row],[Std Read]]="","N/A",Table1[[#This Row],[Std Read]]+Table1[[#This Row],[Std Ucty]])</f>
        <v>N/A</v>
      </c>
      <c r="Z1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 s="1" t="str">
        <f>IF(Table1[[#This Row],[Spec Type]]="","N/A",Table1[[#This Row],[Spec Type]])</f>
        <v>±</v>
      </c>
      <c r="AC180" s="1" t="str">
        <f>IF(Table1[[#This Row],[Spec Type2]]="N/A","N/A",IF(AND(Table1[[#This Row],[DUT Adj Read]]&gt;=Table1[[#This Row],[Low Tol]],Table1[[#This Row],[DUT Adj Read]]&lt;=Table1[[#This Row],[High Tol]]),"Pass","Fail"))</f>
        <v>Fail</v>
      </c>
      <c r="AD180" s="1" t="str">
        <f>IF(AND(Table1[[#This Row],[Spec Type2]]="N/A",Table1[[#This Row],[DUT Adj Read]]="N/A",Table1[[#This Row],[Std Adj Read]]="N/A"),"N/A",IF(Table1[[#This Row],[DUT Adj Read]]="N/A",IF(Table1[[#This Row],[Std Adj Read]]&gt;Table1[[#This Row],[Low Tol]],"Pass","Fail"),IF(Table1[[#This Row],[DUT Adj Read]]&gt;Table1[[#This Row],[Low Tol]],"Pass","Fail")))</f>
        <v>Pass</v>
      </c>
      <c r="AE180" s="1" t="str">
        <f>IF(AND(Table1[[#This Row],[Spec Type2]]="N/A",Table1[[#This Row],[DUT Adj Read]]="N/A",Table1[[#This Row],[Std Adj Read]]="N/A"),"N/A",IF(Table1[[#This Row],[DUT Adj Read]]="N/A",IF(Table1[[#This Row],[Std Adj Read]]&lt;Table1[[#This Row],[High Tol]],"Pass","Fail"),IF(Table1[[#This Row],[DUT Adj Read]]&lt;Table1[[#This Row],[High Tol]],"Pass","Fail")))</f>
        <v>Fail</v>
      </c>
      <c r="AF180" s="1" t="str">
        <f>IF(AND(Table1[[#This Row],[Spec Type2]]="N/A",Table1[[#This Row],[DUT Adj Read]]="N/A",Table1[[#This Row],[Std Adj Read]]="N/A"),"N/A",IF(Table1[[#This Row],[DUT Adj Read]]="N/A",IF(Table1[[#This Row],[Std Adj Read]]&gt;=Table1[[#This Row],[Low Tol]],"Pass","Fail"),IF(Table1[[#This Row],[DUT Adj Read]]&gt;=Table1[[#This Row],[Low Tol]],"Pass","Fail")))</f>
        <v>Pass</v>
      </c>
      <c r="AG180" s="1" t="str">
        <f>IF(AND(Table1[[#This Row],[Spec Type2]]="N/A",Table1[[#This Row],[DUT Adj Read]]="N/A",Table1[[#This Row],[Std Adj Read]]="N/A"),"N/A",IF(Table1[[#This Row],[DUT Adj Read]]="N/A",IF(Table1[[#This Row],[Std Adj Read]]&lt;=Table1[[#This Row],[High Tol]],"Pass","Fail"),IF(Table1[[#This Row],[DUT Adj Read]]&lt;=Table1[[#This Row],[High Tol]],"Pass","Fail")))</f>
        <v>Fail</v>
      </c>
      <c r="AH1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 s="1" t="b">
        <v>0</v>
      </c>
      <c r="AN180" s="1" t="b">
        <v>0</v>
      </c>
      <c r="AO180" s="1" t="b">
        <v>0</v>
      </c>
    </row>
    <row r="181" spans="1:41" x14ac:dyDescent="0.25">
      <c r="A181" s="10"/>
      <c r="B181" s="10"/>
      <c r="C181" s="10"/>
      <c r="D181" s="10"/>
      <c r="E181" s="10"/>
      <c r="F181" s="10"/>
      <c r="G181" s="10"/>
      <c r="H181" s="10"/>
      <c r="I181" s="1" t="str">
        <f t="shared" si="6"/>
        <v/>
      </c>
      <c r="J181" s="1" t="s">
        <v>35</v>
      </c>
      <c r="K181" s="1" t="str">
        <f t="shared" si="7"/>
        <v/>
      </c>
      <c r="L181" s="1" t="str">
        <f t="shared" si="8"/>
        <v/>
      </c>
      <c r="M181" s="1">
        <f>IF(OR(Table1[[#This Row],[Std Nom]]="",Table1[[#This Row],[Std Read]]=""),0,Table1[[#This Row],[Std Nom]]-Table1[[#This Row],[Std Read]])</f>
        <v>0</v>
      </c>
      <c r="N181" s="1">
        <f>IF(Calculations!$F$5="ACCREDITED 17025 WITH UNCERTAINTIES",$N$10,0)</f>
        <v>0</v>
      </c>
      <c r="Q181" s="1">
        <f>Table1[[#This Row],[High Tol]]-Table1[[#This Row],[Low Tol]]</f>
        <v>0</v>
      </c>
      <c r="R181" s="1">
        <f>2*Table1[[#This Row],[Std Error]]</f>
        <v>0</v>
      </c>
      <c r="S181" s="1" t="str">
        <f>IF(Table1[[#This Row],[High Tol]]="","N/A",IFERROR(ABS(Table1[[#This Row],[Tol Span]]/Table1[[#This Row],[Error Span]]),"N/A"))</f>
        <v>N/A</v>
      </c>
      <c r="T181" s="1" t="str">
        <f>IF(OR(Table1[[#This Row],[Low Tol]]="",Table1[[#This Row],[High Tol]]=""),"Needs Analysis",IF(Table1[[#This Row],[Ratio]]&gt;=4,"Not Significant",IF(Table1[[#This Row],[Ratio]]&gt;=2,"Semi-Significant","Significant")))</f>
        <v>Needs Analysis</v>
      </c>
      <c r="W181" s="1">
        <f>IF(Table1[[#This Row],[Cal Type]]&lt;&gt;"ACCREDITED 17025 WITH UNCERTAINTIES",0,"")</f>
        <v>0</v>
      </c>
      <c r="X181" s="1" t="str">
        <f>IF(Table1[[#This Row],[DUT Read]]="","N/A",Table1[[#This Row],[Std Error]]+Table1[[#This Row],[DUT Read]]+Table1[[#This Row],[DUT Ucty]])</f>
        <v>N/A</v>
      </c>
      <c r="Y181" s="1" t="str">
        <f>IF(Table1[[#This Row],[Std Read]]="","N/A",Table1[[#This Row],[Std Read]]+Table1[[#This Row],[Std Ucty]])</f>
        <v>N/A</v>
      </c>
      <c r="Z1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 s="1" t="str">
        <f>IF(Table1[[#This Row],[Spec Type]]="","N/A",Table1[[#This Row],[Spec Type]])</f>
        <v>±</v>
      </c>
      <c r="AC181" s="1" t="str">
        <f>IF(Table1[[#This Row],[Spec Type2]]="N/A","N/A",IF(AND(Table1[[#This Row],[DUT Adj Read]]&gt;=Table1[[#This Row],[Low Tol]],Table1[[#This Row],[DUT Adj Read]]&lt;=Table1[[#This Row],[High Tol]]),"Pass","Fail"))</f>
        <v>Fail</v>
      </c>
      <c r="AD181" s="1" t="str">
        <f>IF(AND(Table1[[#This Row],[Spec Type2]]="N/A",Table1[[#This Row],[DUT Adj Read]]="N/A",Table1[[#This Row],[Std Adj Read]]="N/A"),"N/A",IF(Table1[[#This Row],[DUT Adj Read]]="N/A",IF(Table1[[#This Row],[Std Adj Read]]&gt;Table1[[#This Row],[Low Tol]],"Pass","Fail"),IF(Table1[[#This Row],[DUT Adj Read]]&gt;Table1[[#This Row],[Low Tol]],"Pass","Fail")))</f>
        <v>Pass</v>
      </c>
      <c r="AE181" s="1" t="str">
        <f>IF(AND(Table1[[#This Row],[Spec Type2]]="N/A",Table1[[#This Row],[DUT Adj Read]]="N/A",Table1[[#This Row],[Std Adj Read]]="N/A"),"N/A",IF(Table1[[#This Row],[DUT Adj Read]]="N/A",IF(Table1[[#This Row],[Std Adj Read]]&lt;Table1[[#This Row],[High Tol]],"Pass","Fail"),IF(Table1[[#This Row],[DUT Adj Read]]&lt;Table1[[#This Row],[High Tol]],"Pass","Fail")))</f>
        <v>Fail</v>
      </c>
      <c r="AF181" s="1" t="str">
        <f>IF(AND(Table1[[#This Row],[Spec Type2]]="N/A",Table1[[#This Row],[DUT Adj Read]]="N/A",Table1[[#This Row],[Std Adj Read]]="N/A"),"N/A",IF(Table1[[#This Row],[DUT Adj Read]]="N/A",IF(Table1[[#This Row],[Std Adj Read]]&gt;=Table1[[#This Row],[Low Tol]],"Pass","Fail"),IF(Table1[[#This Row],[DUT Adj Read]]&gt;=Table1[[#This Row],[Low Tol]],"Pass","Fail")))</f>
        <v>Pass</v>
      </c>
      <c r="AG181" s="1" t="str">
        <f>IF(AND(Table1[[#This Row],[Spec Type2]]="N/A",Table1[[#This Row],[DUT Adj Read]]="N/A",Table1[[#This Row],[Std Adj Read]]="N/A"),"N/A",IF(Table1[[#This Row],[DUT Adj Read]]="N/A",IF(Table1[[#This Row],[Std Adj Read]]&lt;=Table1[[#This Row],[High Tol]],"Pass","Fail"),IF(Table1[[#This Row],[DUT Adj Read]]&lt;=Table1[[#This Row],[High Tol]],"Pass","Fail")))</f>
        <v>Fail</v>
      </c>
      <c r="AH1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 s="1" t="b">
        <v>0</v>
      </c>
      <c r="AN181" s="1" t="b">
        <v>0</v>
      </c>
      <c r="AO181" s="1" t="b">
        <v>0</v>
      </c>
    </row>
    <row r="182" spans="1:41" x14ac:dyDescent="0.25">
      <c r="A182" s="10"/>
      <c r="B182" s="10"/>
      <c r="C182" s="10"/>
      <c r="D182" s="10"/>
      <c r="E182" s="10"/>
      <c r="F182" s="10"/>
      <c r="G182" s="10"/>
      <c r="H182" s="10"/>
      <c r="I182" s="1" t="str">
        <f t="shared" si="6"/>
        <v/>
      </c>
      <c r="J182" s="1" t="s">
        <v>35</v>
      </c>
      <c r="K182" s="1" t="str">
        <f t="shared" si="7"/>
        <v/>
      </c>
      <c r="L182" s="1" t="str">
        <f t="shared" si="8"/>
        <v/>
      </c>
      <c r="M182" s="1">
        <f>IF(OR(Table1[[#This Row],[Std Nom]]="",Table1[[#This Row],[Std Read]]=""),0,Table1[[#This Row],[Std Nom]]-Table1[[#This Row],[Std Read]])</f>
        <v>0</v>
      </c>
      <c r="N182" s="1">
        <f>IF(Calculations!$F$5="ACCREDITED 17025 WITH UNCERTAINTIES",$N$10,0)</f>
        <v>0</v>
      </c>
      <c r="Q182" s="1">
        <f>Table1[[#This Row],[High Tol]]-Table1[[#This Row],[Low Tol]]</f>
        <v>0</v>
      </c>
      <c r="R182" s="1">
        <f>2*Table1[[#This Row],[Std Error]]</f>
        <v>0</v>
      </c>
      <c r="S182" s="1" t="str">
        <f>IF(Table1[[#This Row],[High Tol]]="","N/A",IFERROR(ABS(Table1[[#This Row],[Tol Span]]/Table1[[#This Row],[Error Span]]),"N/A"))</f>
        <v>N/A</v>
      </c>
      <c r="T182" s="1" t="str">
        <f>IF(OR(Table1[[#This Row],[Low Tol]]="",Table1[[#This Row],[High Tol]]=""),"Needs Analysis",IF(Table1[[#This Row],[Ratio]]&gt;=4,"Not Significant",IF(Table1[[#This Row],[Ratio]]&gt;=2,"Semi-Significant","Significant")))</f>
        <v>Needs Analysis</v>
      </c>
      <c r="W182" s="1">
        <f>IF(Table1[[#This Row],[Cal Type]]&lt;&gt;"ACCREDITED 17025 WITH UNCERTAINTIES",0,"")</f>
        <v>0</v>
      </c>
      <c r="X182" s="1" t="str">
        <f>IF(Table1[[#This Row],[DUT Read]]="","N/A",Table1[[#This Row],[Std Error]]+Table1[[#This Row],[DUT Read]]+Table1[[#This Row],[DUT Ucty]])</f>
        <v>N/A</v>
      </c>
      <c r="Y182" s="1" t="str">
        <f>IF(Table1[[#This Row],[Std Read]]="","N/A",Table1[[#This Row],[Std Read]]+Table1[[#This Row],[Std Ucty]])</f>
        <v>N/A</v>
      </c>
      <c r="Z1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 s="1" t="str">
        <f>IF(Table1[[#This Row],[Spec Type]]="","N/A",Table1[[#This Row],[Spec Type]])</f>
        <v>±</v>
      </c>
      <c r="AC182" s="1" t="str">
        <f>IF(Table1[[#This Row],[Spec Type2]]="N/A","N/A",IF(AND(Table1[[#This Row],[DUT Adj Read]]&gt;=Table1[[#This Row],[Low Tol]],Table1[[#This Row],[DUT Adj Read]]&lt;=Table1[[#This Row],[High Tol]]),"Pass","Fail"))</f>
        <v>Fail</v>
      </c>
      <c r="AD182" s="1" t="str">
        <f>IF(AND(Table1[[#This Row],[Spec Type2]]="N/A",Table1[[#This Row],[DUT Adj Read]]="N/A",Table1[[#This Row],[Std Adj Read]]="N/A"),"N/A",IF(Table1[[#This Row],[DUT Adj Read]]="N/A",IF(Table1[[#This Row],[Std Adj Read]]&gt;Table1[[#This Row],[Low Tol]],"Pass","Fail"),IF(Table1[[#This Row],[DUT Adj Read]]&gt;Table1[[#This Row],[Low Tol]],"Pass","Fail")))</f>
        <v>Pass</v>
      </c>
      <c r="AE182" s="1" t="str">
        <f>IF(AND(Table1[[#This Row],[Spec Type2]]="N/A",Table1[[#This Row],[DUT Adj Read]]="N/A",Table1[[#This Row],[Std Adj Read]]="N/A"),"N/A",IF(Table1[[#This Row],[DUT Adj Read]]="N/A",IF(Table1[[#This Row],[Std Adj Read]]&lt;Table1[[#This Row],[High Tol]],"Pass","Fail"),IF(Table1[[#This Row],[DUT Adj Read]]&lt;Table1[[#This Row],[High Tol]],"Pass","Fail")))</f>
        <v>Fail</v>
      </c>
      <c r="AF182" s="1" t="str">
        <f>IF(AND(Table1[[#This Row],[Spec Type2]]="N/A",Table1[[#This Row],[DUT Adj Read]]="N/A",Table1[[#This Row],[Std Adj Read]]="N/A"),"N/A",IF(Table1[[#This Row],[DUT Adj Read]]="N/A",IF(Table1[[#This Row],[Std Adj Read]]&gt;=Table1[[#This Row],[Low Tol]],"Pass","Fail"),IF(Table1[[#This Row],[DUT Adj Read]]&gt;=Table1[[#This Row],[Low Tol]],"Pass","Fail")))</f>
        <v>Pass</v>
      </c>
      <c r="AG182" s="1" t="str">
        <f>IF(AND(Table1[[#This Row],[Spec Type2]]="N/A",Table1[[#This Row],[DUT Adj Read]]="N/A",Table1[[#This Row],[Std Adj Read]]="N/A"),"N/A",IF(Table1[[#This Row],[DUT Adj Read]]="N/A",IF(Table1[[#This Row],[Std Adj Read]]&lt;=Table1[[#This Row],[High Tol]],"Pass","Fail"),IF(Table1[[#This Row],[DUT Adj Read]]&lt;=Table1[[#This Row],[High Tol]],"Pass","Fail")))</f>
        <v>Fail</v>
      </c>
      <c r="AH1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 s="1" t="b">
        <v>0</v>
      </c>
      <c r="AN182" s="1" t="b">
        <v>0</v>
      </c>
      <c r="AO182" s="1" t="b">
        <v>0</v>
      </c>
    </row>
    <row r="183" spans="1:41" x14ac:dyDescent="0.25">
      <c r="A183" s="10"/>
      <c r="B183" s="10"/>
      <c r="C183" s="10"/>
      <c r="D183" s="10"/>
      <c r="E183" s="10"/>
      <c r="F183" s="10"/>
      <c r="G183" s="10"/>
      <c r="H183" s="10"/>
      <c r="I183" s="1" t="str">
        <f t="shared" si="6"/>
        <v/>
      </c>
      <c r="J183" s="1" t="s">
        <v>35</v>
      </c>
      <c r="K183" s="1" t="str">
        <f t="shared" si="7"/>
        <v/>
      </c>
      <c r="L183" s="1" t="str">
        <f t="shared" si="8"/>
        <v/>
      </c>
      <c r="M183" s="1">
        <f>IF(OR(Table1[[#This Row],[Std Nom]]="",Table1[[#This Row],[Std Read]]=""),0,Table1[[#This Row],[Std Nom]]-Table1[[#This Row],[Std Read]])</f>
        <v>0</v>
      </c>
      <c r="N183" s="1">
        <f>IF(Calculations!$F$5="ACCREDITED 17025 WITH UNCERTAINTIES",$N$10,0)</f>
        <v>0</v>
      </c>
      <c r="Q183" s="1">
        <f>Table1[[#This Row],[High Tol]]-Table1[[#This Row],[Low Tol]]</f>
        <v>0</v>
      </c>
      <c r="R183" s="1">
        <f>2*Table1[[#This Row],[Std Error]]</f>
        <v>0</v>
      </c>
      <c r="S183" s="1" t="str">
        <f>IF(Table1[[#This Row],[High Tol]]="","N/A",IFERROR(ABS(Table1[[#This Row],[Tol Span]]/Table1[[#This Row],[Error Span]]),"N/A"))</f>
        <v>N/A</v>
      </c>
      <c r="T183" s="1" t="str">
        <f>IF(OR(Table1[[#This Row],[Low Tol]]="",Table1[[#This Row],[High Tol]]=""),"Needs Analysis",IF(Table1[[#This Row],[Ratio]]&gt;=4,"Not Significant",IF(Table1[[#This Row],[Ratio]]&gt;=2,"Semi-Significant","Significant")))</f>
        <v>Needs Analysis</v>
      </c>
      <c r="W183" s="1">
        <f>IF(Table1[[#This Row],[Cal Type]]&lt;&gt;"ACCREDITED 17025 WITH UNCERTAINTIES",0,"")</f>
        <v>0</v>
      </c>
      <c r="X183" s="1" t="str">
        <f>IF(Table1[[#This Row],[DUT Read]]="","N/A",Table1[[#This Row],[Std Error]]+Table1[[#This Row],[DUT Read]]+Table1[[#This Row],[DUT Ucty]])</f>
        <v>N/A</v>
      </c>
      <c r="Y183" s="1" t="str">
        <f>IF(Table1[[#This Row],[Std Read]]="","N/A",Table1[[#This Row],[Std Read]]+Table1[[#This Row],[Std Ucty]])</f>
        <v>N/A</v>
      </c>
      <c r="Z1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 s="1" t="str">
        <f>IF(Table1[[#This Row],[Spec Type]]="","N/A",Table1[[#This Row],[Spec Type]])</f>
        <v>±</v>
      </c>
      <c r="AC183" s="1" t="str">
        <f>IF(Table1[[#This Row],[Spec Type2]]="N/A","N/A",IF(AND(Table1[[#This Row],[DUT Adj Read]]&gt;=Table1[[#This Row],[Low Tol]],Table1[[#This Row],[DUT Adj Read]]&lt;=Table1[[#This Row],[High Tol]]),"Pass","Fail"))</f>
        <v>Fail</v>
      </c>
      <c r="AD183" s="1" t="str">
        <f>IF(AND(Table1[[#This Row],[Spec Type2]]="N/A",Table1[[#This Row],[DUT Adj Read]]="N/A",Table1[[#This Row],[Std Adj Read]]="N/A"),"N/A",IF(Table1[[#This Row],[DUT Adj Read]]="N/A",IF(Table1[[#This Row],[Std Adj Read]]&gt;Table1[[#This Row],[Low Tol]],"Pass","Fail"),IF(Table1[[#This Row],[DUT Adj Read]]&gt;Table1[[#This Row],[Low Tol]],"Pass","Fail")))</f>
        <v>Pass</v>
      </c>
      <c r="AE183" s="1" t="str">
        <f>IF(AND(Table1[[#This Row],[Spec Type2]]="N/A",Table1[[#This Row],[DUT Adj Read]]="N/A",Table1[[#This Row],[Std Adj Read]]="N/A"),"N/A",IF(Table1[[#This Row],[DUT Adj Read]]="N/A",IF(Table1[[#This Row],[Std Adj Read]]&lt;Table1[[#This Row],[High Tol]],"Pass","Fail"),IF(Table1[[#This Row],[DUT Adj Read]]&lt;Table1[[#This Row],[High Tol]],"Pass","Fail")))</f>
        <v>Fail</v>
      </c>
      <c r="AF183" s="1" t="str">
        <f>IF(AND(Table1[[#This Row],[Spec Type2]]="N/A",Table1[[#This Row],[DUT Adj Read]]="N/A",Table1[[#This Row],[Std Adj Read]]="N/A"),"N/A",IF(Table1[[#This Row],[DUT Adj Read]]="N/A",IF(Table1[[#This Row],[Std Adj Read]]&gt;=Table1[[#This Row],[Low Tol]],"Pass","Fail"),IF(Table1[[#This Row],[DUT Adj Read]]&gt;=Table1[[#This Row],[Low Tol]],"Pass","Fail")))</f>
        <v>Pass</v>
      </c>
      <c r="AG183" s="1" t="str">
        <f>IF(AND(Table1[[#This Row],[Spec Type2]]="N/A",Table1[[#This Row],[DUT Adj Read]]="N/A",Table1[[#This Row],[Std Adj Read]]="N/A"),"N/A",IF(Table1[[#This Row],[DUT Adj Read]]="N/A",IF(Table1[[#This Row],[Std Adj Read]]&lt;=Table1[[#This Row],[High Tol]],"Pass","Fail"),IF(Table1[[#This Row],[DUT Adj Read]]&lt;=Table1[[#This Row],[High Tol]],"Pass","Fail")))</f>
        <v>Fail</v>
      </c>
      <c r="AH1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 s="1" t="b">
        <v>0</v>
      </c>
      <c r="AN183" s="1" t="b">
        <v>0</v>
      </c>
      <c r="AO183" s="1" t="b">
        <v>0</v>
      </c>
    </row>
    <row r="184" spans="1:41" x14ac:dyDescent="0.25">
      <c r="A184" s="10"/>
      <c r="B184" s="10"/>
      <c r="C184" s="10"/>
      <c r="D184" s="10"/>
      <c r="E184" s="10"/>
      <c r="F184" s="10"/>
      <c r="G184" s="10"/>
      <c r="H184" s="10"/>
      <c r="I184" s="1" t="str">
        <f t="shared" si="6"/>
        <v/>
      </c>
      <c r="J184" s="1" t="s">
        <v>35</v>
      </c>
      <c r="K184" s="1" t="str">
        <f t="shared" si="7"/>
        <v/>
      </c>
      <c r="L184" s="1" t="str">
        <f t="shared" si="8"/>
        <v/>
      </c>
      <c r="M184" s="1">
        <f>IF(OR(Table1[[#This Row],[Std Nom]]="",Table1[[#This Row],[Std Read]]=""),0,Table1[[#This Row],[Std Nom]]-Table1[[#This Row],[Std Read]])</f>
        <v>0</v>
      </c>
      <c r="N184" s="1">
        <f>IF(Calculations!$F$5="ACCREDITED 17025 WITH UNCERTAINTIES",$N$10,0)</f>
        <v>0</v>
      </c>
      <c r="Q184" s="1">
        <f>Table1[[#This Row],[High Tol]]-Table1[[#This Row],[Low Tol]]</f>
        <v>0</v>
      </c>
      <c r="R184" s="1">
        <f>2*Table1[[#This Row],[Std Error]]</f>
        <v>0</v>
      </c>
      <c r="S184" s="1" t="str">
        <f>IF(Table1[[#This Row],[High Tol]]="","N/A",IFERROR(ABS(Table1[[#This Row],[Tol Span]]/Table1[[#This Row],[Error Span]]),"N/A"))</f>
        <v>N/A</v>
      </c>
      <c r="T184" s="1" t="str">
        <f>IF(OR(Table1[[#This Row],[Low Tol]]="",Table1[[#This Row],[High Tol]]=""),"Needs Analysis",IF(Table1[[#This Row],[Ratio]]&gt;=4,"Not Significant",IF(Table1[[#This Row],[Ratio]]&gt;=2,"Semi-Significant","Significant")))</f>
        <v>Needs Analysis</v>
      </c>
      <c r="W184" s="1">
        <f>IF(Table1[[#This Row],[Cal Type]]&lt;&gt;"ACCREDITED 17025 WITH UNCERTAINTIES",0,"")</f>
        <v>0</v>
      </c>
      <c r="X184" s="1" t="str">
        <f>IF(Table1[[#This Row],[DUT Read]]="","N/A",Table1[[#This Row],[Std Error]]+Table1[[#This Row],[DUT Read]]+Table1[[#This Row],[DUT Ucty]])</f>
        <v>N/A</v>
      </c>
      <c r="Y184" s="1" t="str">
        <f>IF(Table1[[#This Row],[Std Read]]="","N/A",Table1[[#This Row],[Std Read]]+Table1[[#This Row],[Std Ucty]])</f>
        <v>N/A</v>
      </c>
      <c r="Z1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 s="1" t="str">
        <f>IF(Table1[[#This Row],[Spec Type]]="","N/A",Table1[[#This Row],[Spec Type]])</f>
        <v>±</v>
      </c>
      <c r="AC184" s="1" t="str">
        <f>IF(Table1[[#This Row],[Spec Type2]]="N/A","N/A",IF(AND(Table1[[#This Row],[DUT Adj Read]]&gt;=Table1[[#This Row],[Low Tol]],Table1[[#This Row],[DUT Adj Read]]&lt;=Table1[[#This Row],[High Tol]]),"Pass","Fail"))</f>
        <v>Fail</v>
      </c>
      <c r="AD184" s="1" t="str">
        <f>IF(AND(Table1[[#This Row],[Spec Type2]]="N/A",Table1[[#This Row],[DUT Adj Read]]="N/A",Table1[[#This Row],[Std Adj Read]]="N/A"),"N/A",IF(Table1[[#This Row],[DUT Adj Read]]="N/A",IF(Table1[[#This Row],[Std Adj Read]]&gt;Table1[[#This Row],[Low Tol]],"Pass","Fail"),IF(Table1[[#This Row],[DUT Adj Read]]&gt;Table1[[#This Row],[Low Tol]],"Pass","Fail")))</f>
        <v>Pass</v>
      </c>
      <c r="AE184" s="1" t="str">
        <f>IF(AND(Table1[[#This Row],[Spec Type2]]="N/A",Table1[[#This Row],[DUT Adj Read]]="N/A",Table1[[#This Row],[Std Adj Read]]="N/A"),"N/A",IF(Table1[[#This Row],[DUT Adj Read]]="N/A",IF(Table1[[#This Row],[Std Adj Read]]&lt;Table1[[#This Row],[High Tol]],"Pass","Fail"),IF(Table1[[#This Row],[DUT Adj Read]]&lt;Table1[[#This Row],[High Tol]],"Pass","Fail")))</f>
        <v>Fail</v>
      </c>
      <c r="AF184" s="1" t="str">
        <f>IF(AND(Table1[[#This Row],[Spec Type2]]="N/A",Table1[[#This Row],[DUT Adj Read]]="N/A",Table1[[#This Row],[Std Adj Read]]="N/A"),"N/A",IF(Table1[[#This Row],[DUT Adj Read]]="N/A",IF(Table1[[#This Row],[Std Adj Read]]&gt;=Table1[[#This Row],[Low Tol]],"Pass","Fail"),IF(Table1[[#This Row],[DUT Adj Read]]&gt;=Table1[[#This Row],[Low Tol]],"Pass","Fail")))</f>
        <v>Pass</v>
      </c>
      <c r="AG184" s="1" t="str">
        <f>IF(AND(Table1[[#This Row],[Spec Type2]]="N/A",Table1[[#This Row],[DUT Adj Read]]="N/A",Table1[[#This Row],[Std Adj Read]]="N/A"),"N/A",IF(Table1[[#This Row],[DUT Adj Read]]="N/A",IF(Table1[[#This Row],[Std Adj Read]]&lt;=Table1[[#This Row],[High Tol]],"Pass","Fail"),IF(Table1[[#This Row],[DUT Adj Read]]&lt;=Table1[[#This Row],[High Tol]],"Pass","Fail")))</f>
        <v>Fail</v>
      </c>
      <c r="AH1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 s="1" t="b">
        <v>0</v>
      </c>
      <c r="AN184" s="1" t="b">
        <v>0</v>
      </c>
      <c r="AO184" s="1" t="b">
        <v>0</v>
      </c>
    </row>
    <row r="185" spans="1:41" x14ac:dyDescent="0.25">
      <c r="A185" s="10"/>
      <c r="B185" s="10"/>
      <c r="C185" s="10"/>
      <c r="D185" s="10"/>
      <c r="E185" s="10"/>
      <c r="F185" s="10"/>
      <c r="G185" s="10"/>
      <c r="H185" s="10"/>
      <c r="I185" s="1" t="str">
        <f t="shared" si="6"/>
        <v/>
      </c>
      <c r="J185" s="1" t="s">
        <v>35</v>
      </c>
      <c r="K185" s="1" t="str">
        <f t="shared" si="7"/>
        <v/>
      </c>
      <c r="L185" s="1" t="str">
        <f t="shared" si="8"/>
        <v/>
      </c>
      <c r="M185" s="1">
        <f>IF(OR(Table1[[#This Row],[Std Nom]]="",Table1[[#This Row],[Std Read]]=""),0,Table1[[#This Row],[Std Nom]]-Table1[[#This Row],[Std Read]])</f>
        <v>0</v>
      </c>
      <c r="N185" s="1">
        <f>IF(Calculations!$F$5="ACCREDITED 17025 WITH UNCERTAINTIES",$N$10,0)</f>
        <v>0</v>
      </c>
      <c r="Q185" s="1">
        <f>Table1[[#This Row],[High Tol]]-Table1[[#This Row],[Low Tol]]</f>
        <v>0</v>
      </c>
      <c r="R185" s="1">
        <f>2*Table1[[#This Row],[Std Error]]</f>
        <v>0</v>
      </c>
      <c r="S185" s="1" t="str">
        <f>IF(Table1[[#This Row],[High Tol]]="","N/A",IFERROR(ABS(Table1[[#This Row],[Tol Span]]/Table1[[#This Row],[Error Span]]),"N/A"))</f>
        <v>N/A</v>
      </c>
      <c r="T185" s="1" t="str">
        <f>IF(OR(Table1[[#This Row],[Low Tol]]="",Table1[[#This Row],[High Tol]]=""),"Needs Analysis",IF(Table1[[#This Row],[Ratio]]&gt;=4,"Not Significant",IF(Table1[[#This Row],[Ratio]]&gt;=2,"Semi-Significant","Significant")))</f>
        <v>Needs Analysis</v>
      </c>
      <c r="W185" s="1">
        <f>IF(Table1[[#This Row],[Cal Type]]&lt;&gt;"ACCREDITED 17025 WITH UNCERTAINTIES",0,"")</f>
        <v>0</v>
      </c>
      <c r="X185" s="1" t="str">
        <f>IF(Table1[[#This Row],[DUT Read]]="","N/A",Table1[[#This Row],[Std Error]]+Table1[[#This Row],[DUT Read]]+Table1[[#This Row],[DUT Ucty]])</f>
        <v>N/A</v>
      </c>
      <c r="Y185" s="1" t="str">
        <f>IF(Table1[[#This Row],[Std Read]]="","N/A",Table1[[#This Row],[Std Read]]+Table1[[#This Row],[Std Ucty]])</f>
        <v>N/A</v>
      </c>
      <c r="Z1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 s="1" t="str">
        <f>IF(Table1[[#This Row],[Spec Type]]="","N/A",Table1[[#This Row],[Spec Type]])</f>
        <v>±</v>
      </c>
      <c r="AC185" s="1" t="str">
        <f>IF(Table1[[#This Row],[Spec Type2]]="N/A","N/A",IF(AND(Table1[[#This Row],[DUT Adj Read]]&gt;=Table1[[#This Row],[Low Tol]],Table1[[#This Row],[DUT Adj Read]]&lt;=Table1[[#This Row],[High Tol]]),"Pass","Fail"))</f>
        <v>Fail</v>
      </c>
      <c r="AD185" s="1" t="str">
        <f>IF(AND(Table1[[#This Row],[Spec Type2]]="N/A",Table1[[#This Row],[DUT Adj Read]]="N/A",Table1[[#This Row],[Std Adj Read]]="N/A"),"N/A",IF(Table1[[#This Row],[DUT Adj Read]]="N/A",IF(Table1[[#This Row],[Std Adj Read]]&gt;Table1[[#This Row],[Low Tol]],"Pass","Fail"),IF(Table1[[#This Row],[DUT Adj Read]]&gt;Table1[[#This Row],[Low Tol]],"Pass","Fail")))</f>
        <v>Pass</v>
      </c>
      <c r="AE185" s="1" t="str">
        <f>IF(AND(Table1[[#This Row],[Spec Type2]]="N/A",Table1[[#This Row],[DUT Adj Read]]="N/A",Table1[[#This Row],[Std Adj Read]]="N/A"),"N/A",IF(Table1[[#This Row],[DUT Adj Read]]="N/A",IF(Table1[[#This Row],[Std Adj Read]]&lt;Table1[[#This Row],[High Tol]],"Pass","Fail"),IF(Table1[[#This Row],[DUT Adj Read]]&lt;Table1[[#This Row],[High Tol]],"Pass","Fail")))</f>
        <v>Fail</v>
      </c>
      <c r="AF185" s="1" t="str">
        <f>IF(AND(Table1[[#This Row],[Spec Type2]]="N/A",Table1[[#This Row],[DUT Adj Read]]="N/A",Table1[[#This Row],[Std Adj Read]]="N/A"),"N/A",IF(Table1[[#This Row],[DUT Adj Read]]="N/A",IF(Table1[[#This Row],[Std Adj Read]]&gt;=Table1[[#This Row],[Low Tol]],"Pass","Fail"),IF(Table1[[#This Row],[DUT Adj Read]]&gt;=Table1[[#This Row],[Low Tol]],"Pass","Fail")))</f>
        <v>Pass</v>
      </c>
      <c r="AG185" s="1" t="str">
        <f>IF(AND(Table1[[#This Row],[Spec Type2]]="N/A",Table1[[#This Row],[DUT Adj Read]]="N/A",Table1[[#This Row],[Std Adj Read]]="N/A"),"N/A",IF(Table1[[#This Row],[DUT Adj Read]]="N/A",IF(Table1[[#This Row],[Std Adj Read]]&lt;=Table1[[#This Row],[High Tol]],"Pass","Fail"),IF(Table1[[#This Row],[DUT Adj Read]]&lt;=Table1[[#This Row],[High Tol]],"Pass","Fail")))</f>
        <v>Fail</v>
      </c>
      <c r="AH1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 s="1" t="b">
        <v>0</v>
      </c>
      <c r="AN185" s="1" t="b">
        <v>0</v>
      </c>
      <c r="AO185" s="1" t="b">
        <v>0</v>
      </c>
    </row>
    <row r="186" spans="1:41" x14ac:dyDescent="0.25">
      <c r="A186" s="10"/>
      <c r="B186" s="10"/>
      <c r="C186" s="10"/>
      <c r="D186" s="10"/>
      <c r="E186" s="10"/>
      <c r="F186" s="10"/>
      <c r="G186" s="10"/>
      <c r="H186" s="10"/>
      <c r="I186" s="1" t="str">
        <f t="shared" si="6"/>
        <v/>
      </c>
      <c r="J186" s="1" t="s">
        <v>35</v>
      </c>
      <c r="K186" s="1" t="str">
        <f t="shared" si="7"/>
        <v/>
      </c>
      <c r="L186" s="1" t="str">
        <f t="shared" si="8"/>
        <v/>
      </c>
      <c r="M186" s="1">
        <f>IF(OR(Table1[[#This Row],[Std Nom]]="",Table1[[#This Row],[Std Read]]=""),0,Table1[[#This Row],[Std Nom]]-Table1[[#This Row],[Std Read]])</f>
        <v>0</v>
      </c>
      <c r="N186" s="1">
        <f>IF(Calculations!$F$5="ACCREDITED 17025 WITH UNCERTAINTIES",$N$10,0)</f>
        <v>0</v>
      </c>
      <c r="Q186" s="1">
        <f>Table1[[#This Row],[High Tol]]-Table1[[#This Row],[Low Tol]]</f>
        <v>0</v>
      </c>
      <c r="R186" s="1">
        <f>2*Table1[[#This Row],[Std Error]]</f>
        <v>0</v>
      </c>
      <c r="S186" s="1" t="str">
        <f>IF(Table1[[#This Row],[High Tol]]="","N/A",IFERROR(ABS(Table1[[#This Row],[Tol Span]]/Table1[[#This Row],[Error Span]]),"N/A"))</f>
        <v>N/A</v>
      </c>
      <c r="T186" s="1" t="str">
        <f>IF(OR(Table1[[#This Row],[Low Tol]]="",Table1[[#This Row],[High Tol]]=""),"Needs Analysis",IF(Table1[[#This Row],[Ratio]]&gt;=4,"Not Significant",IF(Table1[[#This Row],[Ratio]]&gt;=2,"Semi-Significant","Significant")))</f>
        <v>Needs Analysis</v>
      </c>
      <c r="W186" s="1">
        <f>IF(Table1[[#This Row],[Cal Type]]&lt;&gt;"ACCREDITED 17025 WITH UNCERTAINTIES",0,"")</f>
        <v>0</v>
      </c>
      <c r="X186" s="1" t="str">
        <f>IF(Table1[[#This Row],[DUT Read]]="","N/A",Table1[[#This Row],[Std Error]]+Table1[[#This Row],[DUT Read]]+Table1[[#This Row],[DUT Ucty]])</f>
        <v>N/A</v>
      </c>
      <c r="Y186" s="1" t="str">
        <f>IF(Table1[[#This Row],[Std Read]]="","N/A",Table1[[#This Row],[Std Read]]+Table1[[#This Row],[Std Ucty]])</f>
        <v>N/A</v>
      </c>
      <c r="Z1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 s="1" t="str">
        <f>IF(Table1[[#This Row],[Spec Type]]="","N/A",Table1[[#This Row],[Spec Type]])</f>
        <v>±</v>
      </c>
      <c r="AC186" s="1" t="str">
        <f>IF(Table1[[#This Row],[Spec Type2]]="N/A","N/A",IF(AND(Table1[[#This Row],[DUT Adj Read]]&gt;=Table1[[#This Row],[Low Tol]],Table1[[#This Row],[DUT Adj Read]]&lt;=Table1[[#This Row],[High Tol]]),"Pass","Fail"))</f>
        <v>Fail</v>
      </c>
      <c r="AD186" s="1" t="str">
        <f>IF(AND(Table1[[#This Row],[Spec Type2]]="N/A",Table1[[#This Row],[DUT Adj Read]]="N/A",Table1[[#This Row],[Std Adj Read]]="N/A"),"N/A",IF(Table1[[#This Row],[DUT Adj Read]]="N/A",IF(Table1[[#This Row],[Std Adj Read]]&gt;Table1[[#This Row],[Low Tol]],"Pass","Fail"),IF(Table1[[#This Row],[DUT Adj Read]]&gt;Table1[[#This Row],[Low Tol]],"Pass","Fail")))</f>
        <v>Pass</v>
      </c>
      <c r="AE186" s="1" t="str">
        <f>IF(AND(Table1[[#This Row],[Spec Type2]]="N/A",Table1[[#This Row],[DUT Adj Read]]="N/A",Table1[[#This Row],[Std Adj Read]]="N/A"),"N/A",IF(Table1[[#This Row],[DUT Adj Read]]="N/A",IF(Table1[[#This Row],[Std Adj Read]]&lt;Table1[[#This Row],[High Tol]],"Pass","Fail"),IF(Table1[[#This Row],[DUT Adj Read]]&lt;Table1[[#This Row],[High Tol]],"Pass","Fail")))</f>
        <v>Fail</v>
      </c>
      <c r="AF186" s="1" t="str">
        <f>IF(AND(Table1[[#This Row],[Spec Type2]]="N/A",Table1[[#This Row],[DUT Adj Read]]="N/A",Table1[[#This Row],[Std Adj Read]]="N/A"),"N/A",IF(Table1[[#This Row],[DUT Adj Read]]="N/A",IF(Table1[[#This Row],[Std Adj Read]]&gt;=Table1[[#This Row],[Low Tol]],"Pass","Fail"),IF(Table1[[#This Row],[DUT Adj Read]]&gt;=Table1[[#This Row],[Low Tol]],"Pass","Fail")))</f>
        <v>Pass</v>
      </c>
      <c r="AG186" s="1" t="str">
        <f>IF(AND(Table1[[#This Row],[Spec Type2]]="N/A",Table1[[#This Row],[DUT Adj Read]]="N/A",Table1[[#This Row],[Std Adj Read]]="N/A"),"N/A",IF(Table1[[#This Row],[DUT Adj Read]]="N/A",IF(Table1[[#This Row],[Std Adj Read]]&lt;=Table1[[#This Row],[High Tol]],"Pass","Fail"),IF(Table1[[#This Row],[DUT Adj Read]]&lt;=Table1[[#This Row],[High Tol]],"Pass","Fail")))</f>
        <v>Fail</v>
      </c>
      <c r="AH1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 s="1" t="b">
        <v>0</v>
      </c>
      <c r="AN186" s="1" t="b">
        <v>0</v>
      </c>
      <c r="AO186" s="1" t="b">
        <v>0</v>
      </c>
    </row>
    <row r="187" spans="1:41" x14ac:dyDescent="0.25">
      <c r="A187" s="10"/>
      <c r="B187" s="10"/>
      <c r="C187" s="10"/>
      <c r="D187" s="10"/>
      <c r="E187" s="10"/>
      <c r="F187" s="10"/>
      <c r="G187" s="10"/>
      <c r="H187" s="10"/>
      <c r="I187" s="1" t="str">
        <f t="shared" si="6"/>
        <v/>
      </c>
      <c r="J187" s="1" t="s">
        <v>35</v>
      </c>
      <c r="K187" s="1" t="str">
        <f t="shared" si="7"/>
        <v/>
      </c>
      <c r="L187" s="1" t="str">
        <f t="shared" si="8"/>
        <v/>
      </c>
      <c r="M187" s="1">
        <f>IF(OR(Table1[[#This Row],[Std Nom]]="",Table1[[#This Row],[Std Read]]=""),0,Table1[[#This Row],[Std Nom]]-Table1[[#This Row],[Std Read]])</f>
        <v>0</v>
      </c>
      <c r="N187" s="1">
        <f>IF(Calculations!$F$5="ACCREDITED 17025 WITH UNCERTAINTIES",$N$10,0)</f>
        <v>0</v>
      </c>
      <c r="Q187" s="1">
        <f>Table1[[#This Row],[High Tol]]-Table1[[#This Row],[Low Tol]]</f>
        <v>0</v>
      </c>
      <c r="R187" s="1">
        <f>2*Table1[[#This Row],[Std Error]]</f>
        <v>0</v>
      </c>
      <c r="S187" s="1" t="str">
        <f>IF(Table1[[#This Row],[High Tol]]="","N/A",IFERROR(ABS(Table1[[#This Row],[Tol Span]]/Table1[[#This Row],[Error Span]]),"N/A"))</f>
        <v>N/A</v>
      </c>
      <c r="T187" s="1" t="str">
        <f>IF(OR(Table1[[#This Row],[Low Tol]]="",Table1[[#This Row],[High Tol]]=""),"Needs Analysis",IF(Table1[[#This Row],[Ratio]]&gt;=4,"Not Significant",IF(Table1[[#This Row],[Ratio]]&gt;=2,"Semi-Significant","Significant")))</f>
        <v>Needs Analysis</v>
      </c>
      <c r="W187" s="1">
        <f>IF(Table1[[#This Row],[Cal Type]]&lt;&gt;"ACCREDITED 17025 WITH UNCERTAINTIES",0,"")</f>
        <v>0</v>
      </c>
      <c r="X187" s="1" t="str">
        <f>IF(Table1[[#This Row],[DUT Read]]="","N/A",Table1[[#This Row],[Std Error]]+Table1[[#This Row],[DUT Read]]+Table1[[#This Row],[DUT Ucty]])</f>
        <v>N/A</v>
      </c>
      <c r="Y187" s="1" t="str">
        <f>IF(Table1[[#This Row],[Std Read]]="","N/A",Table1[[#This Row],[Std Read]]+Table1[[#This Row],[Std Ucty]])</f>
        <v>N/A</v>
      </c>
      <c r="Z1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 s="1" t="str">
        <f>IF(Table1[[#This Row],[Spec Type]]="","N/A",Table1[[#This Row],[Spec Type]])</f>
        <v>±</v>
      </c>
      <c r="AC187" s="1" t="str">
        <f>IF(Table1[[#This Row],[Spec Type2]]="N/A","N/A",IF(AND(Table1[[#This Row],[DUT Adj Read]]&gt;=Table1[[#This Row],[Low Tol]],Table1[[#This Row],[DUT Adj Read]]&lt;=Table1[[#This Row],[High Tol]]),"Pass","Fail"))</f>
        <v>Fail</v>
      </c>
      <c r="AD187" s="1" t="str">
        <f>IF(AND(Table1[[#This Row],[Spec Type2]]="N/A",Table1[[#This Row],[DUT Adj Read]]="N/A",Table1[[#This Row],[Std Adj Read]]="N/A"),"N/A",IF(Table1[[#This Row],[DUT Adj Read]]="N/A",IF(Table1[[#This Row],[Std Adj Read]]&gt;Table1[[#This Row],[Low Tol]],"Pass","Fail"),IF(Table1[[#This Row],[DUT Adj Read]]&gt;Table1[[#This Row],[Low Tol]],"Pass","Fail")))</f>
        <v>Pass</v>
      </c>
      <c r="AE187" s="1" t="str">
        <f>IF(AND(Table1[[#This Row],[Spec Type2]]="N/A",Table1[[#This Row],[DUT Adj Read]]="N/A",Table1[[#This Row],[Std Adj Read]]="N/A"),"N/A",IF(Table1[[#This Row],[DUT Adj Read]]="N/A",IF(Table1[[#This Row],[Std Adj Read]]&lt;Table1[[#This Row],[High Tol]],"Pass","Fail"),IF(Table1[[#This Row],[DUT Adj Read]]&lt;Table1[[#This Row],[High Tol]],"Pass","Fail")))</f>
        <v>Fail</v>
      </c>
      <c r="AF187" s="1" t="str">
        <f>IF(AND(Table1[[#This Row],[Spec Type2]]="N/A",Table1[[#This Row],[DUT Adj Read]]="N/A",Table1[[#This Row],[Std Adj Read]]="N/A"),"N/A",IF(Table1[[#This Row],[DUT Adj Read]]="N/A",IF(Table1[[#This Row],[Std Adj Read]]&gt;=Table1[[#This Row],[Low Tol]],"Pass","Fail"),IF(Table1[[#This Row],[DUT Adj Read]]&gt;=Table1[[#This Row],[Low Tol]],"Pass","Fail")))</f>
        <v>Pass</v>
      </c>
      <c r="AG187" s="1" t="str">
        <f>IF(AND(Table1[[#This Row],[Spec Type2]]="N/A",Table1[[#This Row],[DUT Adj Read]]="N/A",Table1[[#This Row],[Std Adj Read]]="N/A"),"N/A",IF(Table1[[#This Row],[DUT Adj Read]]="N/A",IF(Table1[[#This Row],[Std Adj Read]]&lt;=Table1[[#This Row],[High Tol]],"Pass","Fail"),IF(Table1[[#This Row],[DUT Adj Read]]&lt;=Table1[[#This Row],[High Tol]],"Pass","Fail")))</f>
        <v>Fail</v>
      </c>
      <c r="AH1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 s="1" t="b">
        <v>0</v>
      </c>
      <c r="AN187" s="1" t="b">
        <v>0</v>
      </c>
      <c r="AO187" s="1" t="b">
        <v>0</v>
      </c>
    </row>
    <row r="188" spans="1:41" x14ac:dyDescent="0.25">
      <c r="A188" s="10"/>
      <c r="B188" s="10"/>
      <c r="C188" s="10"/>
      <c r="D188" s="10"/>
      <c r="E188" s="10"/>
      <c r="F188" s="10"/>
      <c r="G188" s="10"/>
      <c r="H188" s="10"/>
      <c r="I188" s="1" t="str">
        <f t="shared" si="6"/>
        <v/>
      </c>
      <c r="J188" s="1" t="s">
        <v>35</v>
      </c>
      <c r="K188" s="1" t="str">
        <f t="shared" si="7"/>
        <v/>
      </c>
      <c r="L188" s="1" t="str">
        <f t="shared" si="8"/>
        <v/>
      </c>
      <c r="M188" s="1">
        <f>IF(OR(Table1[[#This Row],[Std Nom]]="",Table1[[#This Row],[Std Read]]=""),0,Table1[[#This Row],[Std Nom]]-Table1[[#This Row],[Std Read]])</f>
        <v>0</v>
      </c>
      <c r="N188" s="1">
        <f>IF(Calculations!$F$5="ACCREDITED 17025 WITH UNCERTAINTIES",$N$10,0)</f>
        <v>0</v>
      </c>
      <c r="Q188" s="1">
        <f>Table1[[#This Row],[High Tol]]-Table1[[#This Row],[Low Tol]]</f>
        <v>0</v>
      </c>
      <c r="R188" s="1">
        <f>2*Table1[[#This Row],[Std Error]]</f>
        <v>0</v>
      </c>
      <c r="S188" s="1" t="str">
        <f>IF(Table1[[#This Row],[High Tol]]="","N/A",IFERROR(ABS(Table1[[#This Row],[Tol Span]]/Table1[[#This Row],[Error Span]]),"N/A"))</f>
        <v>N/A</v>
      </c>
      <c r="T188" s="1" t="str">
        <f>IF(OR(Table1[[#This Row],[Low Tol]]="",Table1[[#This Row],[High Tol]]=""),"Needs Analysis",IF(Table1[[#This Row],[Ratio]]&gt;=4,"Not Significant",IF(Table1[[#This Row],[Ratio]]&gt;=2,"Semi-Significant","Significant")))</f>
        <v>Needs Analysis</v>
      </c>
      <c r="W188" s="1">
        <f>IF(Table1[[#This Row],[Cal Type]]&lt;&gt;"ACCREDITED 17025 WITH UNCERTAINTIES",0,"")</f>
        <v>0</v>
      </c>
      <c r="X188" s="1" t="str">
        <f>IF(Table1[[#This Row],[DUT Read]]="","N/A",Table1[[#This Row],[Std Error]]+Table1[[#This Row],[DUT Read]]+Table1[[#This Row],[DUT Ucty]])</f>
        <v>N/A</v>
      </c>
      <c r="Y188" s="1" t="str">
        <f>IF(Table1[[#This Row],[Std Read]]="","N/A",Table1[[#This Row],[Std Read]]+Table1[[#This Row],[Std Ucty]])</f>
        <v>N/A</v>
      </c>
      <c r="Z1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 s="1" t="str">
        <f>IF(Table1[[#This Row],[Spec Type]]="","N/A",Table1[[#This Row],[Spec Type]])</f>
        <v>±</v>
      </c>
      <c r="AC188" s="1" t="str">
        <f>IF(Table1[[#This Row],[Spec Type2]]="N/A","N/A",IF(AND(Table1[[#This Row],[DUT Adj Read]]&gt;=Table1[[#This Row],[Low Tol]],Table1[[#This Row],[DUT Adj Read]]&lt;=Table1[[#This Row],[High Tol]]),"Pass","Fail"))</f>
        <v>Fail</v>
      </c>
      <c r="AD188" s="1" t="str">
        <f>IF(AND(Table1[[#This Row],[Spec Type2]]="N/A",Table1[[#This Row],[DUT Adj Read]]="N/A",Table1[[#This Row],[Std Adj Read]]="N/A"),"N/A",IF(Table1[[#This Row],[DUT Adj Read]]="N/A",IF(Table1[[#This Row],[Std Adj Read]]&gt;Table1[[#This Row],[Low Tol]],"Pass","Fail"),IF(Table1[[#This Row],[DUT Adj Read]]&gt;Table1[[#This Row],[Low Tol]],"Pass","Fail")))</f>
        <v>Pass</v>
      </c>
      <c r="AE188" s="1" t="str">
        <f>IF(AND(Table1[[#This Row],[Spec Type2]]="N/A",Table1[[#This Row],[DUT Adj Read]]="N/A",Table1[[#This Row],[Std Adj Read]]="N/A"),"N/A",IF(Table1[[#This Row],[DUT Adj Read]]="N/A",IF(Table1[[#This Row],[Std Adj Read]]&lt;Table1[[#This Row],[High Tol]],"Pass","Fail"),IF(Table1[[#This Row],[DUT Adj Read]]&lt;Table1[[#This Row],[High Tol]],"Pass","Fail")))</f>
        <v>Fail</v>
      </c>
      <c r="AF188" s="1" t="str">
        <f>IF(AND(Table1[[#This Row],[Spec Type2]]="N/A",Table1[[#This Row],[DUT Adj Read]]="N/A",Table1[[#This Row],[Std Adj Read]]="N/A"),"N/A",IF(Table1[[#This Row],[DUT Adj Read]]="N/A",IF(Table1[[#This Row],[Std Adj Read]]&gt;=Table1[[#This Row],[Low Tol]],"Pass","Fail"),IF(Table1[[#This Row],[DUT Adj Read]]&gt;=Table1[[#This Row],[Low Tol]],"Pass","Fail")))</f>
        <v>Pass</v>
      </c>
      <c r="AG188" s="1" t="str">
        <f>IF(AND(Table1[[#This Row],[Spec Type2]]="N/A",Table1[[#This Row],[DUT Adj Read]]="N/A",Table1[[#This Row],[Std Adj Read]]="N/A"),"N/A",IF(Table1[[#This Row],[DUT Adj Read]]="N/A",IF(Table1[[#This Row],[Std Adj Read]]&lt;=Table1[[#This Row],[High Tol]],"Pass","Fail"),IF(Table1[[#This Row],[DUT Adj Read]]&lt;=Table1[[#This Row],[High Tol]],"Pass","Fail")))</f>
        <v>Fail</v>
      </c>
      <c r="AH1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 s="1" t="b">
        <v>0</v>
      </c>
      <c r="AN188" s="1" t="b">
        <v>0</v>
      </c>
      <c r="AO188" s="1" t="b">
        <v>0</v>
      </c>
    </row>
    <row r="189" spans="1:41" x14ac:dyDescent="0.25">
      <c r="A189" s="10"/>
      <c r="B189" s="10"/>
      <c r="C189" s="10"/>
      <c r="D189" s="10"/>
      <c r="E189" s="10"/>
      <c r="F189" s="10"/>
      <c r="G189" s="10"/>
      <c r="H189" s="10"/>
      <c r="I189" s="1" t="str">
        <f t="shared" si="6"/>
        <v/>
      </c>
      <c r="J189" s="1" t="s">
        <v>35</v>
      </c>
      <c r="K189" s="1" t="str">
        <f t="shared" si="7"/>
        <v/>
      </c>
      <c r="L189" s="1" t="str">
        <f t="shared" si="8"/>
        <v/>
      </c>
      <c r="M189" s="1">
        <f>IF(OR(Table1[[#This Row],[Std Nom]]="",Table1[[#This Row],[Std Read]]=""),0,Table1[[#This Row],[Std Nom]]-Table1[[#This Row],[Std Read]])</f>
        <v>0</v>
      </c>
      <c r="N189" s="1">
        <f>IF(Calculations!$F$5="ACCREDITED 17025 WITH UNCERTAINTIES",$N$10,0)</f>
        <v>0</v>
      </c>
      <c r="Q189" s="1">
        <f>Table1[[#This Row],[High Tol]]-Table1[[#This Row],[Low Tol]]</f>
        <v>0</v>
      </c>
      <c r="R189" s="1">
        <f>2*Table1[[#This Row],[Std Error]]</f>
        <v>0</v>
      </c>
      <c r="S189" s="1" t="str">
        <f>IF(Table1[[#This Row],[High Tol]]="","N/A",IFERROR(ABS(Table1[[#This Row],[Tol Span]]/Table1[[#This Row],[Error Span]]),"N/A"))</f>
        <v>N/A</v>
      </c>
      <c r="T189" s="1" t="str">
        <f>IF(OR(Table1[[#This Row],[Low Tol]]="",Table1[[#This Row],[High Tol]]=""),"Needs Analysis",IF(Table1[[#This Row],[Ratio]]&gt;=4,"Not Significant",IF(Table1[[#This Row],[Ratio]]&gt;=2,"Semi-Significant","Significant")))</f>
        <v>Needs Analysis</v>
      </c>
      <c r="W189" s="1">
        <f>IF(Table1[[#This Row],[Cal Type]]&lt;&gt;"ACCREDITED 17025 WITH UNCERTAINTIES",0,"")</f>
        <v>0</v>
      </c>
      <c r="X189" s="1" t="str">
        <f>IF(Table1[[#This Row],[DUT Read]]="","N/A",Table1[[#This Row],[Std Error]]+Table1[[#This Row],[DUT Read]]+Table1[[#This Row],[DUT Ucty]])</f>
        <v>N/A</v>
      </c>
      <c r="Y189" s="1" t="str">
        <f>IF(Table1[[#This Row],[Std Read]]="","N/A",Table1[[#This Row],[Std Read]]+Table1[[#This Row],[Std Ucty]])</f>
        <v>N/A</v>
      </c>
      <c r="Z1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 s="1" t="str">
        <f>IF(Table1[[#This Row],[Spec Type]]="","N/A",Table1[[#This Row],[Spec Type]])</f>
        <v>±</v>
      </c>
      <c r="AC189" s="1" t="str">
        <f>IF(Table1[[#This Row],[Spec Type2]]="N/A","N/A",IF(AND(Table1[[#This Row],[DUT Adj Read]]&gt;=Table1[[#This Row],[Low Tol]],Table1[[#This Row],[DUT Adj Read]]&lt;=Table1[[#This Row],[High Tol]]),"Pass","Fail"))</f>
        <v>Fail</v>
      </c>
      <c r="AD189" s="1" t="str">
        <f>IF(AND(Table1[[#This Row],[Spec Type2]]="N/A",Table1[[#This Row],[DUT Adj Read]]="N/A",Table1[[#This Row],[Std Adj Read]]="N/A"),"N/A",IF(Table1[[#This Row],[DUT Adj Read]]="N/A",IF(Table1[[#This Row],[Std Adj Read]]&gt;Table1[[#This Row],[Low Tol]],"Pass","Fail"),IF(Table1[[#This Row],[DUT Adj Read]]&gt;Table1[[#This Row],[Low Tol]],"Pass","Fail")))</f>
        <v>Pass</v>
      </c>
      <c r="AE189" s="1" t="str">
        <f>IF(AND(Table1[[#This Row],[Spec Type2]]="N/A",Table1[[#This Row],[DUT Adj Read]]="N/A",Table1[[#This Row],[Std Adj Read]]="N/A"),"N/A",IF(Table1[[#This Row],[DUT Adj Read]]="N/A",IF(Table1[[#This Row],[Std Adj Read]]&lt;Table1[[#This Row],[High Tol]],"Pass","Fail"),IF(Table1[[#This Row],[DUT Adj Read]]&lt;Table1[[#This Row],[High Tol]],"Pass","Fail")))</f>
        <v>Fail</v>
      </c>
      <c r="AF189" s="1" t="str">
        <f>IF(AND(Table1[[#This Row],[Spec Type2]]="N/A",Table1[[#This Row],[DUT Adj Read]]="N/A",Table1[[#This Row],[Std Adj Read]]="N/A"),"N/A",IF(Table1[[#This Row],[DUT Adj Read]]="N/A",IF(Table1[[#This Row],[Std Adj Read]]&gt;=Table1[[#This Row],[Low Tol]],"Pass","Fail"),IF(Table1[[#This Row],[DUT Adj Read]]&gt;=Table1[[#This Row],[Low Tol]],"Pass","Fail")))</f>
        <v>Pass</v>
      </c>
      <c r="AG189" s="1" t="str">
        <f>IF(AND(Table1[[#This Row],[Spec Type2]]="N/A",Table1[[#This Row],[DUT Adj Read]]="N/A",Table1[[#This Row],[Std Adj Read]]="N/A"),"N/A",IF(Table1[[#This Row],[DUT Adj Read]]="N/A",IF(Table1[[#This Row],[Std Adj Read]]&lt;=Table1[[#This Row],[High Tol]],"Pass","Fail"),IF(Table1[[#This Row],[DUT Adj Read]]&lt;=Table1[[#This Row],[High Tol]],"Pass","Fail")))</f>
        <v>Fail</v>
      </c>
      <c r="AH1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 s="1" t="b">
        <v>0</v>
      </c>
      <c r="AN189" s="1" t="b">
        <v>0</v>
      </c>
      <c r="AO189" s="1" t="b">
        <v>0</v>
      </c>
    </row>
    <row r="190" spans="1:41" x14ac:dyDescent="0.25">
      <c r="A190" s="10"/>
      <c r="B190" s="10"/>
      <c r="C190" s="10"/>
      <c r="D190" s="10"/>
      <c r="E190" s="10"/>
      <c r="F190" s="10"/>
      <c r="G190" s="10"/>
      <c r="H190" s="10"/>
      <c r="I190" s="1" t="str">
        <f t="shared" si="6"/>
        <v/>
      </c>
      <c r="J190" s="1" t="s">
        <v>35</v>
      </c>
      <c r="K190" s="1" t="str">
        <f t="shared" si="7"/>
        <v/>
      </c>
      <c r="L190" s="1" t="str">
        <f t="shared" si="8"/>
        <v/>
      </c>
      <c r="M190" s="1">
        <f>IF(OR(Table1[[#This Row],[Std Nom]]="",Table1[[#This Row],[Std Read]]=""),0,Table1[[#This Row],[Std Nom]]-Table1[[#This Row],[Std Read]])</f>
        <v>0</v>
      </c>
      <c r="N190" s="1">
        <f>IF(Calculations!$F$5="ACCREDITED 17025 WITH UNCERTAINTIES",$N$10,0)</f>
        <v>0</v>
      </c>
      <c r="Q190" s="1">
        <f>Table1[[#This Row],[High Tol]]-Table1[[#This Row],[Low Tol]]</f>
        <v>0</v>
      </c>
      <c r="R190" s="1">
        <f>2*Table1[[#This Row],[Std Error]]</f>
        <v>0</v>
      </c>
      <c r="S190" s="1" t="str">
        <f>IF(Table1[[#This Row],[High Tol]]="","N/A",IFERROR(ABS(Table1[[#This Row],[Tol Span]]/Table1[[#This Row],[Error Span]]),"N/A"))</f>
        <v>N/A</v>
      </c>
      <c r="T190" s="1" t="str">
        <f>IF(OR(Table1[[#This Row],[Low Tol]]="",Table1[[#This Row],[High Tol]]=""),"Needs Analysis",IF(Table1[[#This Row],[Ratio]]&gt;=4,"Not Significant",IF(Table1[[#This Row],[Ratio]]&gt;=2,"Semi-Significant","Significant")))</f>
        <v>Needs Analysis</v>
      </c>
      <c r="W190" s="1">
        <f>IF(Table1[[#This Row],[Cal Type]]&lt;&gt;"ACCREDITED 17025 WITH UNCERTAINTIES",0,"")</f>
        <v>0</v>
      </c>
      <c r="X190" s="1" t="str">
        <f>IF(Table1[[#This Row],[DUT Read]]="","N/A",Table1[[#This Row],[Std Error]]+Table1[[#This Row],[DUT Read]]+Table1[[#This Row],[DUT Ucty]])</f>
        <v>N/A</v>
      </c>
      <c r="Y190" s="1" t="str">
        <f>IF(Table1[[#This Row],[Std Read]]="","N/A",Table1[[#This Row],[Std Read]]+Table1[[#This Row],[Std Ucty]])</f>
        <v>N/A</v>
      </c>
      <c r="Z1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 s="1" t="str">
        <f>IF(Table1[[#This Row],[Spec Type]]="","N/A",Table1[[#This Row],[Spec Type]])</f>
        <v>±</v>
      </c>
      <c r="AC190" s="1" t="str">
        <f>IF(Table1[[#This Row],[Spec Type2]]="N/A","N/A",IF(AND(Table1[[#This Row],[DUT Adj Read]]&gt;=Table1[[#This Row],[Low Tol]],Table1[[#This Row],[DUT Adj Read]]&lt;=Table1[[#This Row],[High Tol]]),"Pass","Fail"))</f>
        <v>Fail</v>
      </c>
      <c r="AD190" s="1" t="str">
        <f>IF(AND(Table1[[#This Row],[Spec Type2]]="N/A",Table1[[#This Row],[DUT Adj Read]]="N/A",Table1[[#This Row],[Std Adj Read]]="N/A"),"N/A",IF(Table1[[#This Row],[DUT Adj Read]]="N/A",IF(Table1[[#This Row],[Std Adj Read]]&gt;Table1[[#This Row],[Low Tol]],"Pass","Fail"),IF(Table1[[#This Row],[DUT Adj Read]]&gt;Table1[[#This Row],[Low Tol]],"Pass","Fail")))</f>
        <v>Pass</v>
      </c>
      <c r="AE190" s="1" t="str">
        <f>IF(AND(Table1[[#This Row],[Spec Type2]]="N/A",Table1[[#This Row],[DUT Adj Read]]="N/A",Table1[[#This Row],[Std Adj Read]]="N/A"),"N/A",IF(Table1[[#This Row],[DUT Adj Read]]="N/A",IF(Table1[[#This Row],[Std Adj Read]]&lt;Table1[[#This Row],[High Tol]],"Pass","Fail"),IF(Table1[[#This Row],[DUT Adj Read]]&lt;Table1[[#This Row],[High Tol]],"Pass","Fail")))</f>
        <v>Fail</v>
      </c>
      <c r="AF190" s="1" t="str">
        <f>IF(AND(Table1[[#This Row],[Spec Type2]]="N/A",Table1[[#This Row],[DUT Adj Read]]="N/A",Table1[[#This Row],[Std Adj Read]]="N/A"),"N/A",IF(Table1[[#This Row],[DUT Adj Read]]="N/A",IF(Table1[[#This Row],[Std Adj Read]]&gt;=Table1[[#This Row],[Low Tol]],"Pass","Fail"),IF(Table1[[#This Row],[DUT Adj Read]]&gt;=Table1[[#This Row],[Low Tol]],"Pass","Fail")))</f>
        <v>Pass</v>
      </c>
      <c r="AG190" s="1" t="str">
        <f>IF(AND(Table1[[#This Row],[Spec Type2]]="N/A",Table1[[#This Row],[DUT Adj Read]]="N/A",Table1[[#This Row],[Std Adj Read]]="N/A"),"N/A",IF(Table1[[#This Row],[DUT Adj Read]]="N/A",IF(Table1[[#This Row],[Std Adj Read]]&lt;=Table1[[#This Row],[High Tol]],"Pass","Fail"),IF(Table1[[#This Row],[DUT Adj Read]]&lt;=Table1[[#This Row],[High Tol]],"Pass","Fail")))</f>
        <v>Fail</v>
      </c>
      <c r="AH1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 s="1" t="b">
        <v>0</v>
      </c>
      <c r="AN190" s="1" t="b">
        <v>0</v>
      </c>
      <c r="AO190" s="1" t="b">
        <v>0</v>
      </c>
    </row>
    <row r="191" spans="1:41" x14ac:dyDescent="0.25">
      <c r="A191" s="10"/>
      <c r="B191" s="10"/>
      <c r="C191" s="10"/>
      <c r="D191" s="10"/>
      <c r="E191" s="10"/>
      <c r="F191" s="10"/>
      <c r="G191" s="10"/>
      <c r="H191" s="10"/>
      <c r="I191" s="1" t="str">
        <f t="shared" si="6"/>
        <v/>
      </c>
      <c r="J191" s="1" t="s">
        <v>35</v>
      </c>
      <c r="K191" s="1" t="str">
        <f t="shared" si="7"/>
        <v/>
      </c>
      <c r="L191" s="1" t="str">
        <f t="shared" si="8"/>
        <v/>
      </c>
      <c r="M191" s="1">
        <f>IF(OR(Table1[[#This Row],[Std Nom]]="",Table1[[#This Row],[Std Read]]=""),0,Table1[[#This Row],[Std Nom]]-Table1[[#This Row],[Std Read]])</f>
        <v>0</v>
      </c>
      <c r="N191" s="1">
        <f>IF(Calculations!$F$5="ACCREDITED 17025 WITH UNCERTAINTIES",$N$10,0)</f>
        <v>0</v>
      </c>
      <c r="Q191" s="1">
        <f>Table1[[#This Row],[High Tol]]-Table1[[#This Row],[Low Tol]]</f>
        <v>0</v>
      </c>
      <c r="R191" s="1">
        <f>2*Table1[[#This Row],[Std Error]]</f>
        <v>0</v>
      </c>
      <c r="S191" s="1" t="str">
        <f>IF(Table1[[#This Row],[High Tol]]="","N/A",IFERROR(ABS(Table1[[#This Row],[Tol Span]]/Table1[[#This Row],[Error Span]]),"N/A"))</f>
        <v>N/A</v>
      </c>
      <c r="T191" s="1" t="str">
        <f>IF(OR(Table1[[#This Row],[Low Tol]]="",Table1[[#This Row],[High Tol]]=""),"Needs Analysis",IF(Table1[[#This Row],[Ratio]]&gt;=4,"Not Significant",IF(Table1[[#This Row],[Ratio]]&gt;=2,"Semi-Significant","Significant")))</f>
        <v>Needs Analysis</v>
      </c>
      <c r="W191" s="1">
        <f>IF(Table1[[#This Row],[Cal Type]]&lt;&gt;"ACCREDITED 17025 WITH UNCERTAINTIES",0,"")</f>
        <v>0</v>
      </c>
      <c r="X191" s="1" t="str">
        <f>IF(Table1[[#This Row],[DUT Read]]="","N/A",Table1[[#This Row],[Std Error]]+Table1[[#This Row],[DUT Read]]+Table1[[#This Row],[DUT Ucty]])</f>
        <v>N/A</v>
      </c>
      <c r="Y191" s="1" t="str">
        <f>IF(Table1[[#This Row],[Std Read]]="","N/A",Table1[[#This Row],[Std Read]]+Table1[[#This Row],[Std Ucty]])</f>
        <v>N/A</v>
      </c>
      <c r="Z1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 s="1" t="str">
        <f>IF(Table1[[#This Row],[Spec Type]]="","N/A",Table1[[#This Row],[Spec Type]])</f>
        <v>±</v>
      </c>
      <c r="AC191" s="1" t="str">
        <f>IF(Table1[[#This Row],[Spec Type2]]="N/A","N/A",IF(AND(Table1[[#This Row],[DUT Adj Read]]&gt;=Table1[[#This Row],[Low Tol]],Table1[[#This Row],[DUT Adj Read]]&lt;=Table1[[#This Row],[High Tol]]),"Pass","Fail"))</f>
        <v>Fail</v>
      </c>
      <c r="AD191" s="1" t="str">
        <f>IF(AND(Table1[[#This Row],[Spec Type2]]="N/A",Table1[[#This Row],[DUT Adj Read]]="N/A",Table1[[#This Row],[Std Adj Read]]="N/A"),"N/A",IF(Table1[[#This Row],[DUT Adj Read]]="N/A",IF(Table1[[#This Row],[Std Adj Read]]&gt;Table1[[#This Row],[Low Tol]],"Pass","Fail"),IF(Table1[[#This Row],[DUT Adj Read]]&gt;Table1[[#This Row],[Low Tol]],"Pass","Fail")))</f>
        <v>Pass</v>
      </c>
      <c r="AE191" s="1" t="str">
        <f>IF(AND(Table1[[#This Row],[Spec Type2]]="N/A",Table1[[#This Row],[DUT Adj Read]]="N/A",Table1[[#This Row],[Std Adj Read]]="N/A"),"N/A",IF(Table1[[#This Row],[DUT Adj Read]]="N/A",IF(Table1[[#This Row],[Std Adj Read]]&lt;Table1[[#This Row],[High Tol]],"Pass","Fail"),IF(Table1[[#This Row],[DUT Adj Read]]&lt;Table1[[#This Row],[High Tol]],"Pass","Fail")))</f>
        <v>Fail</v>
      </c>
      <c r="AF191" s="1" t="str">
        <f>IF(AND(Table1[[#This Row],[Spec Type2]]="N/A",Table1[[#This Row],[DUT Adj Read]]="N/A",Table1[[#This Row],[Std Adj Read]]="N/A"),"N/A",IF(Table1[[#This Row],[DUT Adj Read]]="N/A",IF(Table1[[#This Row],[Std Adj Read]]&gt;=Table1[[#This Row],[Low Tol]],"Pass","Fail"),IF(Table1[[#This Row],[DUT Adj Read]]&gt;=Table1[[#This Row],[Low Tol]],"Pass","Fail")))</f>
        <v>Pass</v>
      </c>
      <c r="AG191" s="1" t="str">
        <f>IF(AND(Table1[[#This Row],[Spec Type2]]="N/A",Table1[[#This Row],[DUT Adj Read]]="N/A",Table1[[#This Row],[Std Adj Read]]="N/A"),"N/A",IF(Table1[[#This Row],[DUT Adj Read]]="N/A",IF(Table1[[#This Row],[Std Adj Read]]&lt;=Table1[[#This Row],[High Tol]],"Pass","Fail"),IF(Table1[[#This Row],[DUT Adj Read]]&lt;=Table1[[#This Row],[High Tol]],"Pass","Fail")))</f>
        <v>Fail</v>
      </c>
      <c r="AH1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 s="1" t="b">
        <v>0</v>
      </c>
      <c r="AN191" s="1" t="b">
        <v>0</v>
      </c>
      <c r="AO191" s="1" t="b">
        <v>0</v>
      </c>
    </row>
    <row r="192" spans="1:41" x14ac:dyDescent="0.25">
      <c r="A192" s="10"/>
      <c r="B192" s="10"/>
      <c r="C192" s="10"/>
      <c r="D192" s="10"/>
      <c r="E192" s="10"/>
      <c r="F192" s="10"/>
      <c r="G192" s="10"/>
      <c r="H192" s="10"/>
      <c r="I192" s="1" t="str">
        <f t="shared" si="6"/>
        <v/>
      </c>
      <c r="J192" s="1" t="s">
        <v>35</v>
      </c>
      <c r="K192" s="1" t="str">
        <f t="shared" si="7"/>
        <v/>
      </c>
      <c r="L192" s="1" t="str">
        <f t="shared" si="8"/>
        <v/>
      </c>
      <c r="M192" s="1">
        <f>IF(OR(Table1[[#This Row],[Std Nom]]="",Table1[[#This Row],[Std Read]]=""),0,Table1[[#This Row],[Std Nom]]-Table1[[#This Row],[Std Read]])</f>
        <v>0</v>
      </c>
      <c r="N192" s="1">
        <f>IF(Calculations!$F$5="ACCREDITED 17025 WITH UNCERTAINTIES",$N$10,0)</f>
        <v>0</v>
      </c>
      <c r="Q192" s="1">
        <f>Table1[[#This Row],[High Tol]]-Table1[[#This Row],[Low Tol]]</f>
        <v>0</v>
      </c>
      <c r="R192" s="1">
        <f>2*Table1[[#This Row],[Std Error]]</f>
        <v>0</v>
      </c>
      <c r="S192" s="1" t="str">
        <f>IF(Table1[[#This Row],[High Tol]]="","N/A",IFERROR(ABS(Table1[[#This Row],[Tol Span]]/Table1[[#This Row],[Error Span]]),"N/A"))</f>
        <v>N/A</v>
      </c>
      <c r="T192" s="1" t="str">
        <f>IF(OR(Table1[[#This Row],[Low Tol]]="",Table1[[#This Row],[High Tol]]=""),"Needs Analysis",IF(Table1[[#This Row],[Ratio]]&gt;=4,"Not Significant",IF(Table1[[#This Row],[Ratio]]&gt;=2,"Semi-Significant","Significant")))</f>
        <v>Needs Analysis</v>
      </c>
      <c r="W192" s="1">
        <f>IF(Table1[[#This Row],[Cal Type]]&lt;&gt;"ACCREDITED 17025 WITH UNCERTAINTIES",0,"")</f>
        <v>0</v>
      </c>
      <c r="X192" s="1" t="str">
        <f>IF(Table1[[#This Row],[DUT Read]]="","N/A",Table1[[#This Row],[Std Error]]+Table1[[#This Row],[DUT Read]]+Table1[[#This Row],[DUT Ucty]])</f>
        <v>N/A</v>
      </c>
      <c r="Y192" s="1" t="str">
        <f>IF(Table1[[#This Row],[Std Read]]="","N/A",Table1[[#This Row],[Std Read]]+Table1[[#This Row],[Std Ucty]])</f>
        <v>N/A</v>
      </c>
      <c r="Z1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 s="1" t="str">
        <f>IF(Table1[[#This Row],[Spec Type]]="","N/A",Table1[[#This Row],[Spec Type]])</f>
        <v>±</v>
      </c>
      <c r="AC192" s="1" t="str">
        <f>IF(Table1[[#This Row],[Spec Type2]]="N/A","N/A",IF(AND(Table1[[#This Row],[DUT Adj Read]]&gt;=Table1[[#This Row],[Low Tol]],Table1[[#This Row],[DUT Adj Read]]&lt;=Table1[[#This Row],[High Tol]]),"Pass","Fail"))</f>
        <v>Fail</v>
      </c>
      <c r="AD192" s="1" t="str">
        <f>IF(AND(Table1[[#This Row],[Spec Type2]]="N/A",Table1[[#This Row],[DUT Adj Read]]="N/A",Table1[[#This Row],[Std Adj Read]]="N/A"),"N/A",IF(Table1[[#This Row],[DUT Adj Read]]="N/A",IF(Table1[[#This Row],[Std Adj Read]]&gt;Table1[[#This Row],[Low Tol]],"Pass","Fail"),IF(Table1[[#This Row],[DUT Adj Read]]&gt;Table1[[#This Row],[Low Tol]],"Pass","Fail")))</f>
        <v>Pass</v>
      </c>
      <c r="AE192" s="1" t="str">
        <f>IF(AND(Table1[[#This Row],[Spec Type2]]="N/A",Table1[[#This Row],[DUT Adj Read]]="N/A",Table1[[#This Row],[Std Adj Read]]="N/A"),"N/A",IF(Table1[[#This Row],[DUT Adj Read]]="N/A",IF(Table1[[#This Row],[Std Adj Read]]&lt;Table1[[#This Row],[High Tol]],"Pass","Fail"),IF(Table1[[#This Row],[DUT Adj Read]]&lt;Table1[[#This Row],[High Tol]],"Pass","Fail")))</f>
        <v>Fail</v>
      </c>
      <c r="AF192" s="1" t="str">
        <f>IF(AND(Table1[[#This Row],[Spec Type2]]="N/A",Table1[[#This Row],[DUT Adj Read]]="N/A",Table1[[#This Row],[Std Adj Read]]="N/A"),"N/A",IF(Table1[[#This Row],[DUT Adj Read]]="N/A",IF(Table1[[#This Row],[Std Adj Read]]&gt;=Table1[[#This Row],[Low Tol]],"Pass","Fail"),IF(Table1[[#This Row],[DUT Adj Read]]&gt;=Table1[[#This Row],[Low Tol]],"Pass","Fail")))</f>
        <v>Pass</v>
      </c>
      <c r="AG192" s="1" t="str">
        <f>IF(AND(Table1[[#This Row],[Spec Type2]]="N/A",Table1[[#This Row],[DUT Adj Read]]="N/A",Table1[[#This Row],[Std Adj Read]]="N/A"),"N/A",IF(Table1[[#This Row],[DUT Adj Read]]="N/A",IF(Table1[[#This Row],[Std Adj Read]]&lt;=Table1[[#This Row],[High Tol]],"Pass","Fail"),IF(Table1[[#This Row],[DUT Adj Read]]&lt;=Table1[[#This Row],[High Tol]],"Pass","Fail")))</f>
        <v>Fail</v>
      </c>
      <c r="AH1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 s="1" t="b">
        <v>0</v>
      </c>
      <c r="AN192" s="1" t="b">
        <v>0</v>
      </c>
      <c r="AO192" s="1" t="b">
        <v>0</v>
      </c>
    </row>
    <row r="193" spans="1:41" x14ac:dyDescent="0.25">
      <c r="A193" s="10"/>
      <c r="B193" s="10"/>
      <c r="C193" s="10"/>
      <c r="D193" s="10"/>
      <c r="E193" s="10"/>
      <c r="F193" s="10"/>
      <c r="G193" s="10"/>
      <c r="H193" s="10"/>
      <c r="I193" s="1" t="str">
        <f t="shared" si="6"/>
        <v/>
      </c>
      <c r="J193" s="1" t="s">
        <v>35</v>
      </c>
      <c r="K193" s="1" t="str">
        <f t="shared" si="7"/>
        <v/>
      </c>
      <c r="L193" s="1" t="str">
        <f t="shared" si="8"/>
        <v/>
      </c>
      <c r="M193" s="1">
        <f>IF(OR(Table1[[#This Row],[Std Nom]]="",Table1[[#This Row],[Std Read]]=""),0,Table1[[#This Row],[Std Nom]]-Table1[[#This Row],[Std Read]])</f>
        <v>0</v>
      </c>
      <c r="N193" s="1">
        <f>IF(Calculations!$F$5="ACCREDITED 17025 WITH UNCERTAINTIES",$N$10,0)</f>
        <v>0</v>
      </c>
      <c r="Q193" s="1">
        <f>Table1[[#This Row],[High Tol]]-Table1[[#This Row],[Low Tol]]</f>
        <v>0</v>
      </c>
      <c r="R193" s="1">
        <f>2*Table1[[#This Row],[Std Error]]</f>
        <v>0</v>
      </c>
      <c r="S193" s="1" t="str">
        <f>IF(Table1[[#This Row],[High Tol]]="","N/A",IFERROR(ABS(Table1[[#This Row],[Tol Span]]/Table1[[#This Row],[Error Span]]),"N/A"))</f>
        <v>N/A</v>
      </c>
      <c r="T193" s="1" t="str">
        <f>IF(OR(Table1[[#This Row],[Low Tol]]="",Table1[[#This Row],[High Tol]]=""),"Needs Analysis",IF(Table1[[#This Row],[Ratio]]&gt;=4,"Not Significant",IF(Table1[[#This Row],[Ratio]]&gt;=2,"Semi-Significant","Significant")))</f>
        <v>Needs Analysis</v>
      </c>
      <c r="W193" s="1">
        <f>IF(Table1[[#This Row],[Cal Type]]&lt;&gt;"ACCREDITED 17025 WITH UNCERTAINTIES",0,"")</f>
        <v>0</v>
      </c>
      <c r="X193" s="1" t="str">
        <f>IF(Table1[[#This Row],[DUT Read]]="","N/A",Table1[[#This Row],[Std Error]]+Table1[[#This Row],[DUT Read]]+Table1[[#This Row],[DUT Ucty]])</f>
        <v>N/A</v>
      </c>
      <c r="Y193" s="1" t="str">
        <f>IF(Table1[[#This Row],[Std Read]]="","N/A",Table1[[#This Row],[Std Read]]+Table1[[#This Row],[Std Ucty]])</f>
        <v>N/A</v>
      </c>
      <c r="Z1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 s="1" t="str">
        <f>IF(Table1[[#This Row],[Spec Type]]="","N/A",Table1[[#This Row],[Spec Type]])</f>
        <v>±</v>
      </c>
      <c r="AC193" s="1" t="str">
        <f>IF(Table1[[#This Row],[Spec Type2]]="N/A","N/A",IF(AND(Table1[[#This Row],[DUT Adj Read]]&gt;=Table1[[#This Row],[Low Tol]],Table1[[#This Row],[DUT Adj Read]]&lt;=Table1[[#This Row],[High Tol]]),"Pass","Fail"))</f>
        <v>Fail</v>
      </c>
      <c r="AD193" s="1" t="str">
        <f>IF(AND(Table1[[#This Row],[Spec Type2]]="N/A",Table1[[#This Row],[DUT Adj Read]]="N/A",Table1[[#This Row],[Std Adj Read]]="N/A"),"N/A",IF(Table1[[#This Row],[DUT Adj Read]]="N/A",IF(Table1[[#This Row],[Std Adj Read]]&gt;Table1[[#This Row],[Low Tol]],"Pass","Fail"),IF(Table1[[#This Row],[DUT Adj Read]]&gt;Table1[[#This Row],[Low Tol]],"Pass","Fail")))</f>
        <v>Pass</v>
      </c>
      <c r="AE193" s="1" t="str">
        <f>IF(AND(Table1[[#This Row],[Spec Type2]]="N/A",Table1[[#This Row],[DUT Adj Read]]="N/A",Table1[[#This Row],[Std Adj Read]]="N/A"),"N/A",IF(Table1[[#This Row],[DUT Adj Read]]="N/A",IF(Table1[[#This Row],[Std Adj Read]]&lt;Table1[[#This Row],[High Tol]],"Pass","Fail"),IF(Table1[[#This Row],[DUT Adj Read]]&lt;Table1[[#This Row],[High Tol]],"Pass","Fail")))</f>
        <v>Fail</v>
      </c>
      <c r="AF193" s="1" t="str">
        <f>IF(AND(Table1[[#This Row],[Spec Type2]]="N/A",Table1[[#This Row],[DUT Adj Read]]="N/A",Table1[[#This Row],[Std Adj Read]]="N/A"),"N/A",IF(Table1[[#This Row],[DUT Adj Read]]="N/A",IF(Table1[[#This Row],[Std Adj Read]]&gt;=Table1[[#This Row],[Low Tol]],"Pass","Fail"),IF(Table1[[#This Row],[DUT Adj Read]]&gt;=Table1[[#This Row],[Low Tol]],"Pass","Fail")))</f>
        <v>Pass</v>
      </c>
      <c r="AG193" s="1" t="str">
        <f>IF(AND(Table1[[#This Row],[Spec Type2]]="N/A",Table1[[#This Row],[DUT Adj Read]]="N/A",Table1[[#This Row],[Std Adj Read]]="N/A"),"N/A",IF(Table1[[#This Row],[DUT Adj Read]]="N/A",IF(Table1[[#This Row],[Std Adj Read]]&lt;=Table1[[#This Row],[High Tol]],"Pass","Fail"),IF(Table1[[#This Row],[DUT Adj Read]]&lt;=Table1[[#This Row],[High Tol]],"Pass","Fail")))</f>
        <v>Fail</v>
      </c>
      <c r="AH1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 s="1" t="b">
        <v>0</v>
      </c>
      <c r="AN193" s="1" t="b">
        <v>0</v>
      </c>
      <c r="AO193" s="1" t="b">
        <v>0</v>
      </c>
    </row>
    <row r="194" spans="1:41" x14ac:dyDescent="0.25">
      <c r="A194" s="10"/>
      <c r="B194" s="10"/>
      <c r="C194" s="10"/>
      <c r="D194" s="10"/>
      <c r="E194" s="10"/>
      <c r="F194" s="10"/>
      <c r="G194" s="10"/>
      <c r="H194" s="10"/>
      <c r="I194" s="1" t="str">
        <f t="shared" si="6"/>
        <v/>
      </c>
      <c r="J194" s="1" t="s">
        <v>35</v>
      </c>
      <c r="K194" s="1" t="str">
        <f t="shared" si="7"/>
        <v/>
      </c>
      <c r="L194" s="1" t="str">
        <f t="shared" si="8"/>
        <v/>
      </c>
      <c r="M194" s="1">
        <f>IF(OR(Table1[[#This Row],[Std Nom]]="",Table1[[#This Row],[Std Read]]=""),0,Table1[[#This Row],[Std Nom]]-Table1[[#This Row],[Std Read]])</f>
        <v>0</v>
      </c>
      <c r="N194" s="1">
        <f>IF(Calculations!$F$5="ACCREDITED 17025 WITH UNCERTAINTIES",$N$10,0)</f>
        <v>0</v>
      </c>
      <c r="Q194" s="1">
        <f>Table1[[#This Row],[High Tol]]-Table1[[#This Row],[Low Tol]]</f>
        <v>0</v>
      </c>
      <c r="R194" s="1">
        <f>2*Table1[[#This Row],[Std Error]]</f>
        <v>0</v>
      </c>
      <c r="S194" s="1" t="str">
        <f>IF(Table1[[#This Row],[High Tol]]="","N/A",IFERROR(ABS(Table1[[#This Row],[Tol Span]]/Table1[[#This Row],[Error Span]]),"N/A"))</f>
        <v>N/A</v>
      </c>
      <c r="T194" s="1" t="str">
        <f>IF(OR(Table1[[#This Row],[Low Tol]]="",Table1[[#This Row],[High Tol]]=""),"Needs Analysis",IF(Table1[[#This Row],[Ratio]]&gt;=4,"Not Significant",IF(Table1[[#This Row],[Ratio]]&gt;=2,"Semi-Significant","Significant")))</f>
        <v>Needs Analysis</v>
      </c>
      <c r="W194" s="1">
        <f>IF(Table1[[#This Row],[Cal Type]]&lt;&gt;"ACCREDITED 17025 WITH UNCERTAINTIES",0,"")</f>
        <v>0</v>
      </c>
      <c r="X194" s="1" t="str">
        <f>IF(Table1[[#This Row],[DUT Read]]="","N/A",Table1[[#This Row],[Std Error]]+Table1[[#This Row],[DUT Read]]+Table1[[#This Row],[DUT Ucty]])</f>
        <v>N/A</v>
      </c>
      <c r="Y194" s="1" t="str">
        <f>IF(Table1[[#This Row],[Std Read]]="","N/A",Table1[[#This Row],[Std Read]]+Table1[[#This Row],[Std Ucty]])</f>
        <v>N/A</v>
      </c>
      <c r="Z1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 s="1" t="str">
        <f>IF(Table1[[#This Row],[Spec Type]]="","N/A",Table1[[#This Row],[Spec Type]])</f>
        <v>±</v>
      </c>
      <c r="AC194" s="1" t="str">
        <f>IF(Table1[[#This Row],[Spec Type2]]="N/A","N/A",IF(AND(Table1[[#This Row],[DUT Adj Read]]&gt;=Table1[[#This Row],[Low Tol]],Table1[[#This Row],[DUT Adj Read]]&lt;=Table1[[#This Row],[High Tol]]),"Pass","Fail"))</f>
        <v>Fail</v>
      </c>
      <c r="AD194" s="1" t="str">
        <f>IF(AND(Table1[[#This Row],[Spec Type2]]="N/A",Table1[[#This Row],[DUT Adj Read]]="N/A",Table1[[#This Row],[Std Adj Read]]="N/A"),"N/A",IF(Table1[[#This Row],[DUT Adj Read]]="N/A",IF(Table1[[#This Row],[Std Adj Read]]&gt;Table1[[#This Row],[Low Tol]],"Pass","Fail"),IF(Table1[[#This Row],[DUT Adj Read]]&gt;Table1[[#This Row],[Low Tol]],"Pass","Fail")))</f>
        <v>Pass</v>
      </c>
      <c r="AE194" s="1" t="str">
        <f>IF(AND(Table1[[#This Row],[Spec Type2]]="N/A",Table1[[#This Row],[DUT Adj Read]]="N/A",Table1[[#This Row],[Std Adj Read]]="N/A"),"N/A",IF(Table1[[#This Row],[DUT Adj Read]]="N/A",IF(Table1[[#This Row],[Std Adj Read]]&lt;Table1[[#This Row],[High Tol]],"Pass","Fail"),IF(Table1[[#This Row],[DUT Adj Read]]&lt;Table1[[#This Row],[High Tol]],"Pass","Fail")))</f>
        <v>Fail</v>
      </c>
      <c r="AF194" s="1" t="str">
        <f>IF(AND(Table1[[#This Row],[Spec Type2]]="N/A",Table1[[#This Row],[DUT Adj Read]]="N/A",Table1[[#This Row],[Std Adj Read]]="N/A"),"N/A",IF(Table1[[#This Row],[DUT Adj Read]]="N/A",IF(Table1[[#This Row],[Std Adj Read]]&gt;=Table1[[#This Row],[Low Tol]],"Pass","Fail"),IF(Table1[[#This Row],[DUT Adj Read]]&gt;=Table1[[#This Row],[Low Tol]],"Pass","Fail")))</f>
        <v>Pass</v>
      </c>
      <c r="AG194" s="1" t="str">
        <f>IF(AND(Table1[[#This Row],[Spec Type2]]="N/A",Table1[[#This Row],[DUT Adj Read]]="N/A",Table1[[#This Row],[Std Adj Read]]="N/A"),"N/A",IF(Table1[[#This Row],[DUT Adj Read]]="N/A",IF(Table1[[#This Row],[Std Adj Read]]&lt;=Table1[[#This Row],[High Tol]],"Pass","Fail"),IF(Table1[[#This Row],[DUT Adj Read]]&lt;=Table1[[#This Row],[High Tol]],"Pass","Fail")))</f>
        <v>Fail</v>
      </c>
      <c r="AH1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 s="1" t="b">
        <v>0</v>
      </c>
      <c r="AN194" s="1" t="b">
        <v>0</v>
      </c>
      <c r="AO194" s="1" t="b">
        <v>0</v>
      </c>
    </row>
    <row r="195" spans="1:41" x14ac:dyDescent="0.25">
      <c r="A195" s="10"/>
      <c r="B195" s="10"/>
      <c r="C195" s="10"/>
      <c r="D195" s="10"/>
      <c r="E195" s="10"/>
      <c r="F195" s="10"/>
      <c r="G195" s="10"/>
      <c r="H195" s="10"/>
      <c r="I195" s="1" t="str">
        <f t="shared" si="6"/>
        <v/>
      </c>
      <c r="J195" s="1" t="s">
        <v>35</v>
      </c>
      <c r="K195" s="1" t="str">
        <f t="shared" si="7"/>
        <v/>
      </c>
      <c r="L195" s="1" t="str">
        <f t="shared" si="8"/>
        <v/>
      </c>
      <c r="M195" s="1">
        <f>IF(OR(Table1[[#This Row],[Std Nom]]="",Table1[[#This Row],[Std Read]]=""),0,Table1[[#This Row],[Std Nom]]-Table1[[#This Row],[Std Read]])</f>
        <v>0</v>
      </c>
      <c r="N195" s="1">
        <f>IF(Calculations!$F$5="ACCREDITED 17025 WITH UNCERTAINTIES",$N$10,0)</f>
        <v>0</v>
      </c>
      <c r="Q195" s="1">
        <f>Table1[[#This Row],[High Tol]]-Table1[[#This Row],[Low Tol]]</f>
        <v>0</v>
      </c>
      <c r="R195" s="1">
        <f>2*Table1[[#This Row],[Std Error]]</f>
        <v>0</v>
      </c>
      <c r="S195" s="1" t="str">
        <f>IF(Table1[[#This Row],[High Tol]]="","N/A",IFERROR(ABS(Table1[[#This Row],[Tol Span]]/Table1[[#This Row],[Error Span]]),"N/A"))</f>
        <v>N/A</v>
      </c>
      <c r="T195" s="1" t="str">
        <f>IF(OR(Table1[[#This Row],[Low Tol]]="",Table1[[#This Row],[High Tol]]=""),"Needs Analysis",IF(Table1[[#This Row],[Ratio]]&gt;=4,"Not Significant",IF(Table1[[#This Row],[Ratio]]&gt;=2,"Semi-Significant","Significant")))</f>
        <v>Needs Analysis</v>
      </c>
      <c r="W195" s="1">
        <f>IF(Table1[[#This Row],[Cal Type]]&lt;&gt;"ACCREDITED 17025 WITH UNCERTAINTIES",0,"")</f>
        <v>0</v>
      </c>
      <c r="X195" s="1" t="str">
        <f>IF(Table1[[#This Row],[DUT Read]]="","N/A",Table1[[#This Row],[Std Error]]+Table1[[#This Row],[DUT Read]]+Table1[[#This Row],[DUT Ucty]])</f>
        <v>N/A</v>
      </c>
      <c r="Y195" s="1" t="str">
        <f>IF(Table1[[#This Row],[Std Read]]="","N/A",Table1[[#This Row],[Std Read]]+Table1[[#This Row],[Std Ucty]])</f>
        <v>N/A</v>
      </c>
      <c r="Z1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 s="1" t="str">
        <f>IF(Table1[[#This Row],[Spec Type]]="","N/A",Table1[[#This Row],[Spec Type]])</f>
        <v>±</v>
      </c>
      <c r="AC195" s="1" t="str">
        <f>IF(Table1[[#This Row],[Spec Type2]]="N/A","N/A",IF(AND(Table1[[#This Row],[DUT Adj Read]]&gt;=Table1[[#This Row],[Low Tol]],Table1[[#This Row],[DUT Adj Read]]&lt;=Table1[[#This Row],[High Tol]]),"Pass","Fail"))</f>
        <v>Fail</v>
      </c>
      <c r="AD195" s="1" t="str">
        <f>IF(AND(Table1[[#This Row],[Spec Type2]]="N/A",Table1[[#This Row],[DUT Adj Read]]="N/A",Table1[[#This Row],[Std Adj Read]]="N/A"),"N/A",IF(Table1[[#This Row],[DUT Adj Read]]="N/A",IF(Table1[[#This Row],[Std Adj Read]]&gt;Table1[[#This Row],[Low Tol]],"Pass","Fail"),IF(Table1[[#This Row],[DUT Adj Read]]&gt;Table1[[#This Row],[Low Tol]],"Pass","Fail")))</f>
        <v>Pass</v>
      </c>
      <c r="AE195" s="1" t="str">
        <f>IF(AND(Table1[[#This Row],[Spec Type2]]="N/A",Table1[[#This Row],[DUT Adj Read]]="N/A",Table1[[#This Row],[Std Adj Read]]="N/A"),"N/A",IF(Table1[[#This Row],[DUT Adj Read]]="N/A",IF(Table1[[#This Row],[Std Adj Read]]&lt;Table1[[#This Row],[High Tol]],"Pass","Fail"),IF(Table1[[#This Row],[DUT Adj Read]]&lt;Table1[[#This Row],[High Tol]],"Pass","Fail")))</f>
        <v>Fail</v>
      </c>
      <c r="AF195" s="1" t="str">
        <f>IF(AND(Table1[[#This Row],[Spec Type2]]="N/A",Table1[[#This Row],[DUT Adj Read]]="N/A",Table1[[#This Row],[Std Adj Read]]="N/A"),"N/A",IF(Table1[[#This Row],[DUT Adj Read]]="N/A",IF(Table1[[#This Row],[Std Adj Read]]&gt;=Table1[[#This Row],[Low Tol]],"Pass","Fail"),IF(Table1[[#This Row],[DUT Adj Read]]&gt;=Table1[[#This Row],[Low Tol]],"Pass","Fail")))</f>
        <v>Pass</v>
      </c>
      <c r="AG195" s="1" t="str">
        <f>IF(AND(Table1[[#This Row],[Spec Type2]]="N/A",Table1[[#This Row],[DUT Adj Read]]="N/A",Table1[[#This Row],[Std Adj Read]]="N/A"),"N/A",IF(Table1[[#This Row],[DUT Adj Read]]="N/A",IF(Table1[[#This Row],[Std Adj Read]]&lt;=Table1[[#This Row],[High Tol]],"Pass","Fail"),IF(Table1[[#This Row],[DUT Adj Read]]&lt;=Table1[[#This Row],[High Tol]],"Pass","Fail")))</f>
        <v>Fail</v>
      </c>
      <c r="AH1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 s="1" t="b">
        <v>0</v>
      </c>
      <c r="AN195" s="1" t="b">
        <v>0</v>
      </c>
      <c r="AO195" s="1" t="b">
        <v>0</v>
      </c>
    </row>
    <row r="196" spans="1:41" x14ac:dyDescent="0.25">
      <c r="A196" s="10"/>
      <c r="B196" s="10"/>
      <c r="C196" s="10"/>
      <c r="D196" s="10"/>
      <c r="E196" s="10"/>
      <c r="F196" s="10"/>
      <c r="G196" s="10"/>
      <c r="H196" s="10"/>
      <c r="I196" s="1" t="str">
        <f t="shared" si="6"/>
        <v/>
      </c>
      <c r="J196" s="1" t="s">
        <v>35</v>
      </c>
      <c r="K196" s="1" t="str">
        <f t="shared" si="7"/>
        <v/>
      </c>
      <c r="L196" s="1" t="str">
        <f t="shared" si="8"/>
        <v/>
      </c>
      <c r="M196" s="1">
        <f>IF(OR(Table1[[#This Row],[Std Nom]]="",Table1[[#This Row],[Std Read]]=""),0,Table1[[#This Row],[Std Nom]]-Table1[[#This Row],[Std Read]])</f>
        <v>0</v>
      </c>
      <c r="N196" s="1">
        <f>IF(Calculations!$F$5="ACCREDITED 17025 WITH UNCERTAINTIES",$N$10,0)</f>
        <v>0</v>
      </c>
      <c r="Q196" s="1">
        <f>Table1[[#This Row],[High Tol]]-Table1[[#This Row],[Low Tol]]</f>
        <v>0</v>
      </c>
      <c r="R196" s="1">
        <f>2*Table1[[#This Row],[Std Error]]</f>
        <v>0</v>
      </c>
      <c r="S196" s="1" t="str">
        <f>IF(Table1[[#This Row],[High Tol]]="","N/A",IFERROR(ABS(Table1[[#This Row],[Tol Span]]/Table1[[#This Row],[Error Span]]),"N/A"))</f>
        <v>N/A</v>
      </c>
      <c r="T196" s="1" t="str">
        <f>IF(OR(Table1[[#This Row],[Low Tol]]="",Table1[[#This Row],[High Tol]]=""),"Needs Analysis",IF(Table1[[#This Row],[Ratio]]&gt;=4,"Not Significant",IF(Table1[[#This Row],[Ratio]]&gt;=2,"Semi-Significant","Significant")))</f>
        <v>Needs Analysis</v>
      </c>
      <c r="W196" s="1">
        <f>IF(Table1[[#This Row],[Cal Type]]&lt;&gt;"ACCREDITED 17025 WITH UNCERTAINTIES",0,"")</f>
        <v>0</v>
      </c>
      <c r="X196" s="1" t="str">
        <f>IF(Table1[[#This Row],[DUT Read]]="","N/A",Table1[[#This Row],[Std Error]]+Table1[[#This Row],[DUT Read]]+Table1[[#This Row],[DUT Ucty]])</f>
        <v>N/A</v>
      </c>
      <c r="Y196" s="1" t="str">
        <f>IF(Table1[[#This Row],[Std Read]]="","N/A",Table1[[#This Row],[Std Read]]+Table1[[#This Row],[Std Ucty]])</f>
        <v>N/A</v>
      </c>
      <c r="Z1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 s="1" t="str">
        <f>IF(Table1[[#This Row],[Spec Type]]="","N/A",Table1[[#This Row],[Spec Type]])</f>
        <v>±</v>
      </c>
      <c r="AC196" s="1" t="str">
        <f>IF(Table1[[#This Row],[Spec Type2]]="N/A","N/A",IF(AND(Table1[[#This Row],[DUT Adj Read]]&gt;=Table1[[#This Row],[Low Tol]],Table1[[#This Row],[DUT Adj Read]]&lt;=Table1[[#This Row],[High Tol]]),"Pass","Fail"))</f>
        <v>Fail</v>
      </c>
      <c r="AD196" s="1" t="str">
        <f>IF(AND(Table1[[#This Row],[Spec Type2]]="N/A",Table1[[#This Row],[DUT Adj Read]]="N/A",Table1[[#This Row],[Std Adj Read]]="N/A"),"N/A",IF(Table1[[#This Row],[DUT Adj Read]]="N/A",IF(Table1[[#This Row],[Std Adj Read]]&gt;Table1[[#This Row],[Low Tol]],"Pass","Fail"),IF(Table1[[#This Row],[DUT Adj Read]]&gt;Table1[[#This Row],[Low Tol]],"Pass","Fail")))</f>
        <v>Pass</v>
      </c>
      <c r="AE196" s="1" t="str">
        <f>IF(AND(Table1[[#This Row],[Spec Type2]]="N/A",Table1[[#This Row],[DUT Adj Read]]="N/A",Table1[[#This Row],[Std Adj Read]]="N/A"),"N/A",IF(Table1[[#This Row],[DUT Adj Read]]="N/A",IF(Table1[[#This Row],[Std Adj Read]]&lt;Table1[[#This Row],[High Tol]],"Pass","Fail"),IF(Table1[[#This Row],[DUT Adj Read]]&lt;Table1[[#This Row],[High Tol]],"Pass","Fail")))</f>
        <v>Fail</v>
      </c>
      <c r="AF196" s="1" t="str">
        <f>IF(AND(Table1[[#This Row],[Spec Type2]]="N/A",Table1[[#This Row],[DUT Adj Read]]="N/A",Table1[[#This Row],[Std Adj Read]]="N/A"),"N/A",IF(Table1[[#This Row],[DUT Adj Read]]="N/A",IF(Table1[[#This Row],[Std Adj Read]]&gt;=Table1[[#This Row],[Low Tol]],"Pass","Fail"),IF(Table1[[#This Row],[DUT Adj Read]]&gt;=Table1[[#This Row],[Low Tol]],"Pass","Fail")))</f>
        <v>Pass</v>
      </c>
      <c r="AG196" s="1" t="str">
        <f>IF(AND(Table1[[#This Row],[Spec Type2]]="N/A",Table1[[#This Row],[DUT Adj Read]]="N/A",Table1[[#This Row],[Std Adj Read]]="N/A"),"N/A",IF(Table1[[#This Row],[DUT Adj Read]]="N/A",IF(Table1[[#This Row],[Std Adj Read]]&lt;=Table1[[#This Row],[High Tol]],"Pass","Fail"),IF(Table1[[#This Row],[DUT Adj Read]]&lt;=Table1[[#This Row],[High Tol]],"Pass","Fail")))</f>
        <v>Fail</v>
      </c>
      <c r="AH1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 s="1" t="b">
        <v>0</v>
      </c>
      <c r="AN196" s="1" t="b">
        <v>0</v>
      </c>
      <c r="AO196" s="1" t="b">
        <v>0</v>
      </c>
    </row>
    <row r="197" spans="1:41" x14ac:dyDescent="0.25">
      <c r="A197" s="10"/>
      <c r="B197" s="10"/>
      <c r="C197" s="10"/>
      <c r="D197" s="10"/>
      <c r="E197" s="10"/>
      <c r="F197" s="10"/>
      <c r="G197" s="10"/>
      <c r="H197" s="10"/>
      <c r="I197" s="1" t="str">
        <f t="shared" si="6"/>
        <v/>
      </c>
      <c r="J197" s="1" t="s">
        <v>35</v>
      </c>
      <c r="K197" s="1" t="str">
        <f t="shared" si="7"/>
        <v/>
      </c>
      <c r="L197" s="1" t="str">
        <f t="shared" si="8"/>
        <v/>
      </c>
      <c r="M197" s="1">
        <f>IF(OR(Table1[[#This Row],[Std Nom]]="",Table1[[#This Row],[Std Read]]=""),0,Table1[[#This Row],[Std Nom]]-Table1[[#This Row],[Std Read]])</f>
        <v>0</v>
      </c>
      <c r="N197" s="1">
        <f>IF(Calculations!$F$5="ACCREDITED 17025 WITH UNCERTAINTIES",$N$10,0)</f>
        <v>0</v>
      </c>
      <c r="Q197" s="1">
        <f>Table1[[#This Row],[High Tol]]-Table1[[#This Row],[Low Tol]]</f>
        <v>0</v>
      </c>
      <c r="R197" s="1">
        <f>2*Table1[[#This Row],[Std Error]]</f>
        <v>0</v>
      </c>
      <c r="S197" s="1" t="str">
        <f>IF(Table1[[#This Row],[High Tol]]="","N/A",IFERROR(ABS(Table1[[#This Row],[Tol Span]]/Table1[[#This Row],[Error Span]]),"N/A"))</f>
        <v>N/A</v>
      </c>
      <c r="T197" s="1" t="str">
        <f>IF(OR(Table1[[#This Row],[Low Tol]]="",Table1[[#This Row],[High Tol]]=""),"Needs Analysis",IF(Table1[[#This Row],[Ratio]]&gt;=4,"Not Significant",IF(Table1[[#This Row],[Ratio]]&gt;=2,"Semi-Significant","Significant")))</f>
        <v>Needs Analysis</v>
      </c>
      <c r="W197" s="1">
        <f>IF(Table1[[#This Row],[Cal Type]]&lt;&gt;"ACCREDITED 17025 WITH UNCERTAINTIES",0,"")</f>
        <v>0</v>
      </c>
      <c r="X197" s="1" t="str">
        <f>IF(Table1[[#This Row],[DUT Read]]="","N/A",Table1[[#This Row],[Std Error]]+Table1[[#This Row],[DUT Read]]+Table1[[#This Row],[DUT Ucty]])</f>
        <v>N/A</v>
      </c>
      <c r="Y197" s="1" t="str">
        <f>IF(Table1[[#This Row],[Std Read]]="","N/A",Table1[[#This Row],[Std Read]]+Table1[[#This Row],[Std Ucty]])</f>
        <v>N/A</v>
      </c>
      <c r="Z1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 s="1" t="str">
        <f>IF(Table1[[#This Row],[Spec Type]]="","N/A",Table1[[#This Row],[Spec Type]])</f>
        <v>±</v>
      </c>
      <c r="AC197" s="1" t="str">
        <f>IF(Table1[[#This Row],[Spec Type2]]="N/A","N/A",IF(AND(Table1[[#This Row],[DUT Adj Read]]&gt;=Table1[[#This Row],[Low Tol]],Table1[[#This Row],[DUT Adj Read]]&lt;=Table1[[#This Row],[High Tol]]),"Pass","Fail"))</f>
        <v>Fail</v>
      </c>
      <c r="AD197" s="1" t="str">
        <f>IF(AND(Table1[[#This Row],[Spec Type2]]="N/A",Table1[[#This Row],[DUT Adj Read]]="N/A",Table1[[#This Row],[Std Adj Read]]="N/A"),"N/A",IF(Table1[[#This Row],[DUT Adj Read]]="N/A",IF(Table1[[#This Row],[Std Adj Read]]&gt;Table1[[#This Row],[Low Tol]],"Pass","Fail"),IF(Table1[[#This Row],[DUT Adj Read]]&gt;Table1[[#This Row],[Low Tol]],"Pass","Fail")))</f>
        <v>Pass</v>
      </c>
      <c r="AE197" s="1" t="str">
        <f>IF(AND(Table1[[#This Row],[Spec Type2]]="N/A",Table1[[#This Row],[DUT Adj Read]]="N/A",Table1[[#This Row],[Std Adj Read]]="N/A"),"N/A",IF(Table1[[#This Row],[DUT Adj Read]]="N/A",IF(Table1[[#This Row],[Std Adj Read]]&lt;Table1[[#This Row],[High Tol]],"Pass","Fail"),IF(Table1[[#This Row],[DUT Adj Read]]&lt;Table1[[#This Row],[High Tol]],"Pass","Fail")))</f>
        <v>Fail</v>
      </c>
      <c r="AF197" s="1" t="str">
        <f>IF(AND(Table1[[#This Row],[Spec Type2]]="N/A",Table1[[#This Row],[DUT Adj Read]]="N/A",Table1[[#This Row],[Std Adj Read]]="N/A"),"N/A",IF(Table1[[#This Row],[DUT Adj Read]]="N/A",IF(Table1[[#This Row],[Std Adj Read]]&gt;=Table1[[#This Row],[Low Tol]],"Pass","Fail"),IF(Table1[[#This Row],[DUT Adj Read]]&gt;=Table1[[#This Row],[Low Tol]],"Pass","Fail")))</f>
        <v>Pass</v>
      </c>
      <c r="AG197" s="1" t="str">
        <f>IF(AND(Table1[[#This Row],[Spec Type2]]="N/A",Table1[[#This Row],[DUT Adj Read]]="N/A",Table1[[#This Row],[Std Adj Read]]="N/A"),"N/A",IF(Table1[[#This Row],[DUT Adj Read]]="N/A",IF(Table1[[#This Row],[Std Adj Read]]&lt;=Table1[[#This Row],[High Tol]],"Pass","Fail"),IF(Table1[[#This Row],[DUT Adj Read]]&lt;=Table1[[#This Row],[High Tol]],"Pass","Fail")))</f>
        <v>Fail</v>
      </c>
      <c r="AH1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 s="1" t="b">
        <v>0</v>
      </c>
      <c r="AN197" s="1" t="b">
        <v>0</v>
      </c>
      <c r="AO197" s="1" t="b">
        <v>0</v>
      </c>
    </row>
    <row r="198" spans="1:41" x14ac:dyDescent="0.25">
      <c r="A198" s="10"/>
      <c r="B198" s="10"/>
      <c r="C198" s="10"/>
      <c r="D198" s="10"/>
      <c r="E198" s="10"/>
      <c r="F198" s="10"/>
      <c r="G198" s="10"/>
      <c r="H198" s="10"/>
      <c r="I198" s="1" t="str">
        <f t="shared" si="6"/>
        <v/>
      </c>
      <c r="J198" s="1" t="s">
        <v>35</v>
      </c>
      <c r="K198" s="1" t="str">
        <f t="shared" si="7"/>
        <v/>
      </c>
      <c r="L198" s="1" t="str">
        <f t="shared" si="8"/>
        <v/>
      </c>
      <c r="M198" s="1">
        <f>IF(OR(Table1[[#This Row],[Std Nom]]="",Table1[[#This Row],[Std Read]]=""),0,Table1[[#This Row],[Std Nom]]-Table1[[#This Row],[Std Read]])</f>
        <v>0</v>
      </c>
      <c r="N198" s="1">
        <f>IF(Calculations!$F$5="ACCREDITED 17025 WITH UNCERTAINTIES",$N$10,0)</f>
        <v>0</v>
      </c>
      <c r="Q198" s="1">
        <f>Table1[[#This Row],[High Tol]]-Table1[[#This Row],[Low Tol]]</f>
        <v>0</v>
      </c>
      <c r="R198" s="1">
        <f>2*Table1[[#This Row],[Std Error]]</f>
        <v>0</v>
      </c>
      <c r="S198" s="1" t="str">
        <f>IF(Table1[[#This Row],[High Tol]]="","N/A",IFERROR(ABS(Table1[[#This Row],[Tol Span]]/Table1[[#This Row],[Error Span]]),"N/A"))</f>
        <v>N/A</v>
      </c>
      <c r="T198" s="1" t="str">
        <f>IF(OR(Table1[[#This Row],[Low Tol]]="",Table1[[#This Row],[High Tol]]=""),"Needs Analysis",IF(Table1[[#This Row],[Ratio]]&gt;=4,"Not Significant",IF(Table1[[#This Row],[Ratio]]&gt;=2,"Semi-Significant","Significant")))</f>
        <v>Needs Analysis</v>
      </c>
      <c r="W198" s="1">
        <f>IF(Table1[[#This Row],[Cal Type]]&lt;&gt;"ACCREDITED 17025 WITH UNCERTAINTIES",0,"")</f>
        <v>0</v>
      </c>
      <c r="X198" s="1" t="str">
        <f>IF(Table1[[#This Row],[DUT Read]]="","N/A",Table1[[#This Row],[Std Error]]+Table1[[#This Row],[DUT Read]]+Table1[[#This Row],[DUT Ucty]])</f>
        <v>N/A</v>
      </c>
      <c r="Y198" s="1" t="str">
        <f>IF(Table1[[#This Row],[Std Read]]="","N/A",Table1[[#This Row],[Std Read]]+Table1[[#This Row],[Std Ucty]])</f>
        <v>N/A</v>
      </c>
      <c r="Z1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 s="1" t="str">
        <f>IF(Table1[[#This Row],[Spec Type]]="","N/A",Table1[[#This Row],[Spec Type]])</f>
        <v>±</v>
      </c>
      <c r="AC198" s="1" t="str">
        <f>IF(Table1[[#This Row],[Spec Type2]]="N/A","N/A",IF(AND(Table1[[#This Row],[DUT Adj Read]]&gt;=Table1[[#This Row],[Low Tol]],Table1[[#This Row],[DUT Adj Read]]&lt;=Table1[[#This Row],[High Tol]]),"Pass","Fail"))</f>
        <v>Fail</v>
      </c>
      <c r="AD198" s="1" t="str">
        <f>IF(AND(Table1[[#This Row],[Spec Type2]]="N/A",Table1[[#This Row],[DUT Adj Read]]="N/A",Table1[[#This Row],[Std Adj Read]]="N/A"),"N/A",IF(Table1[[#This Row],[DUT Adj Read]]="N/A",IF(Table1[[#This Row],[Std Adj Read]]&gt;Table1[[#This Row],[Low Tol]],"Pass","Fail"),IF(Table1[[#This Row],[DUT Adj Read]]&gt;Table1[[#This Row],[Low Tol]],"Pass","Fail")))</f>
        <v>Pass</v>
      </c>
      <c r="AE198" s="1" t="str">
        <f>IF(AND(Table1[[#This Row],[Spec Type2]]="N/A",Table1[[#This Row],[DUT Adj Read]]="N/A",Table1[[#This Row],[Std Adj Read]]="N/A"),"N/A",IF(Table1[[#This Row],[DUT Adj Read]]="N/A",IF(Table1[[#This Row],[Std Adj Read]]&lt;Table1[[#This Row],[High Tol]],"Pass","Fail"),IF(Table1[[#This Row],[DUT Adj Read]]&lt;Table1[[#This Row],[High Tol]],"Pass","Fail")))</f>
        <v>Fail</v>
      </c>
      <c r="AF198" s="1" t="str">
        <f>IF(AND(Table1[[#This Row],[Spec Type2]]="N/A",Table1[[#This Row],[DUT Adj Read]]="N/A",Table1[[#This Row],[Std Adj Read]]="N/A"),"N/A",IF(Table1[[#This Row],[DUT Adj Read]]="N/A",IF(Table1[[#This Row],[Std Adj Read]]&gt;=Table1[[#This Row],[Low Tol]],"Pass","Fail"),IF(Table1[[#This Row],[DUT Adj Read]]&gt;=Table1[[#This Row],[Low Tol]],"Pass","Fail")))</f>
        <v>Pass</v>
      </c>
      <c r="AG198" s="1" t="str">
        <f>IF(AND(Table1[[#This Row],[Spec Type2]]="N/A",Table1[[#This Row],[DUT Adj Read]]="N/A",Table1[[#This Row],[Std Adj Read]]="N/A"),"N/A",IF(Table1[[#This Row],[DUT Adj Read]]="N/A",IF(Table1[[#This Row],[Std Adj Read]]&lt;=Table1[[#This Row],[High Tol]],"Pass","Fail"),IF(Table1[[#This Row],[DUT Adj Read]]&lt;=Table1[[#This Row],[High Tol]],"Pass","Fail")))</f>
        <v>Fail</v>
      </c>
      <c r="AH1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 s="1" t="b">
        <v>0</v>
      </c>
      <c r="AN198" s="1" t="b">
        <v>0</v>
      </c>
      <c r="AO198" s="1" t="b">
        <v>0</v>
      </c>
    </row>
    <row r="199" spans="1:41" x14ac:dyDescent="0.25">
      <c r="A199" s="10"/>
      <c r="B199" s="10"/>
      <c r="C199" s="10"/>
      <c r="D199" s="10"/>
      <c r="E199" s="10"/>
      <c r="F199" s="10"/>
      <c r="G199" s="10"/>
      <c r="H199" s="10"/>
      <c r="I199" s="1" t="str">
        <f t="shared" si="6"/>
        <v/>
      </c>
      <c r="J199" s="1" t="s">
        <v>35</v>
      </c>
      <c r="K199" s="1" t="str">
        <f t="shared" si="7"/>
        <v/>
      </c>
      <c r="L199" s="1" t="str">
        <f t="shared" si="8"/>
        <v/>
      </c>
      <c r="M199" s="1">
        <f>IF(OR(Table1[[#This Row],[Std Nom]]="",Table1[[#This Row],[Std Read]]=""),0,Table1[[#This Row],[Std Nom]]-Table1[[#This Row],[Std Read]])</f>
        <v>0</v>
      </c>
      <c r="N199" s="1">
        <f>IF(Calculations!$F$5="ACCREDITED 17025 WITH UNCERTAINTIES",$N$10,0)</f>
        <v>0</v>
      </c>
      <c r="Q199" s="1">
        <f>Table1[[#This Row],[High Tol]]-Table1[[#This Row],[Low Tol]]</f>
        <v>0</v>
      </c>
      <c r="R199" s="1">
        <f>2*Table1[[#This Row],[Std Error]]</f>
        <v>0</v>
      </c>
      <c r="S199" s="1" t="str">
        <f>IF(Table1[[#This Row],[High Tol]]="","N/A",IFERROR(ABS(Table1[[#This Row],[Tol Span]]/Table1[[#This Row],[Error Span]]),"N/A"))</f>
        <v>N/A</v>
      </c>
      <c r="T199" s="1" t="str">
        <f>IF(OR(Table1[[#This Row],[Low Tol]]="",Table1[[#This Row],[High Tol]]=""),"Needs Analysis",IF(Table1[[#This Row],[Ratio]]&gt;=4,"Not Significant",IF(Table1[[#This Row],[Ratio]]&gt;=2,"Semi-Significant","Significant")))</f>
        <v>Needs Analysis</v>
      </c>
      <c r="W199" s="1">
        <f>IF(Table1[[#This Row],[Cal Type]]&lt;&gt;"ACCREDITED 17025 WITH UNCERTAINTIES",0,"")</f>
        <v>0</v>
      </c>
      <c r="X199" s="1" t="str">
        <f>IF(Table1[[#This Row],[DUT Read]]="","N/A",Table1[[#This Row],[Std Error]]+Table1[[#This Row],[DUT Read]]+Table1[[#This Row],[DUT Ucty]])</f>
        <v>N/A</v>
      </c>
      <c r="Y199" s="1" t="str">
        <f>IF(Table1[[#This Row],[Std Read]]="","N/A",Table1[[#This Row],[Std Read]]+Table1[[#This Row],[Std Ucty]])</f>
        <v>N/A</v>
      </c>
      <c r="Z1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 s="1" t="str">
        <f>IF(Table1[[#This Row],[Spec Type]]="","N/A",Table1[[#This Row],[Spec Type]])</f>
        <v>±</v>
      </c>
      <c r="AC199" s="1" t="str">
        <f>IF(Table1[[#This Row],[Spec Type2]]="N/A","N/A",IF(AND(Table1[[#This Row],[DUT Adj Read]]&gt;=Table1[[#This Row],[Low Tol]],Table1[[#This Row],[DUT Adj Read]]&lt;=Table1[[#This Row],[High Tol]]),"Pass","Fail"))</f>
        <v>Fail</v>
      </c>
      <c r="AD199" s="1" t="str">
        <f>IF(AND(Table1[[#This Row],[Spec Type2]]="N/A",Table1[[#This Row],[DUT Adj Read]]="N/A",Table1[[#This Row],[Std Adj Read]]="N/A"),"N/A",IF(Table1[[#This Row],[DUT Adj Read]]="N/A",IF(Table1[[#This Row],[Std Adj Read]]&gt;Table1[[#This Row],[Low Tol]],"Pass","Fail"),IF(Table1[[#This Row],[DUT Adj Read]]&gt;Table1[[#This Row],[Low Tol]],"Pass","Fail")))</f>
        <v>Pass</v>
      </c>
      <c r="AE199" s="1" t="str">
        <f>IF(AND(Table1[[#This Row],[Spec Type2]]="N/A",Table1[[#This Row],[DUT Adj Read]]="N/A",Table1[[#This Row],[Std Adj Read]]="N/A"),"N/A",IF(Table1[[#This Row],[DUT Adj Read]]="N/A",IF(Table1[[#This Row],[Std Adj Read]]&lt;Table1[[#This Row],[High Tol]],"Pass","Fail"),IF(Table1[[#This Row],[DUT Adj Read]]&lt;Table1[[#This Row],[High Tol]],"Pass","Fail")))</f>
        <v>Fail</v>
      </c>
      <c r="AF199" s="1" t="str">
        <f>IF(AND(Table1[[#This Row],[Spec Type2]]="N/A",Table1[[#This Row],[DUT Adj Read]]="N/A",Table1[[#This Row],[Std Adj Read]]="N/A"),"N/A",IF(Table1[[#This Row],[DUT Adj Read]]="N/A",IF(Table1[[#This Row],[Std Adj Read]]&gt;=Table1[[#This Row],[Low Tol]],"Pass","Fail"),IF(Table1[[#This Row],[DUT Adj Read]]&gt;=Table1[[#This Row],[Low Tol]],"Pass","Fail")))</f>
        <v>Pass</v>
      </c>
      <c r="AG199" s="1" t="str">
        <f>IF(AND(Table1[[#This Row],[Spec Type2]]="N/A",Table1[[#This Row],[DUT Adj Read]]="N/A",Table1[[#This Row],[Std Adj Read]]="N/A"),"N/A",IF(Table1[[#This Row],[DUT Adj Read]]="N/A",IF(Table1[[#This Row],[Std Adj Read]]&lt;=Table1[[#This Row],[High Tol]],"Pass","Fail"),IF(Table1[[#This Row],[DUT Adj Read]]&lt;=Table1[[#This Row],[High Tol]],"Pass","Fail")))</f>
        <v>Fail</v>
      </c>
      <c r="AH1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 s="1" t="b">
        <v>0</v>
      </c>
      <c r="AN199" s="1" t="b">
        <v>0</v>
      </c>
      <c r="AO199" s="1" t="b">
        <v>0</v>
      </c>
    </row>
    <row r="200" spans="1:41" x14ac:dyDescent="0.25">
      <c r="A200" s="10"/>
      <c r="B200" s="10"/>
      <c r="C200" s="10"/>
      <c r="D200" s="10"/>
      <c r="E200" s="10"/>
      <c r="F200" s="10"/>
      <c r="G200" s="10"/>
      <c r="H200" s="10"/>
      <c r="I200" s="1" t="str">
        <f t="shared" si="6"/>
        <v/>
      </c>
      <c r="J200" s="1" t="s">
        <v>35</v>
      </c>
      <c r="K200" s="1" t="str">
        <f t="shared" si="7"/>
        <v/>
      </c>
      <c r="L200" s="1" t="str">
        <f t="shared" si="8"/>
        <v/>
      </c>
      <c r="M200" s="1">
        <f>IF(OR(Table1[[#This Row],[Std Nom]]="",Table1[[#This Row],[Std Read]]=""),0,Table1[[#This Row],[Std Nom]]-Table1[[#This Row],[Std Read]])</f>
        <v>0</v>
      </c>
      <c r="N200" s="1">
        <f>IF(Calculations!$F$5="ACCREDITED 17025 WITH UNCERTAINTIES",$N$10,0)</f>
        <v>0</v>
      </c>
      <c r="Q200" s="1">
        <f>Table1[[#This Row],[High Tol]]-Table1[[#This Row],[Low Tol]]</f>
        <v>0</v>
      </c>
      <c r="R200" s="1">
        <f>2*Table1[[#This Row],[Std Error]]</f>
        <v>0</v>
      </c>
      <c r="S200" s="1" t="str">
        <f>IF(Table1[[#This Row],[High Tol]]="","N/A",IFERROR(ABS(Table1[[#This Row],[Tol Span]]/Table1[[#This Row],[Error Span]]),"N/A"))</f>
        <v>N/A</v>
      </c>
      <c r="T200" s="1" t="str">
        <f>IF(OR(Table1[[#This Row],[Low Tol]]="",Table1[[#This Row],[High Tol]]=""),"Needs Analysis",IF(Table1[[#This Row],[Ratio]]&gt;=4,"Not Significant",IF(Table1[[#This Row],[Ratio]]&gt;=2,"Semi-Significant","Significant")))</f>
        <v>Needs Analysis</v>
      </c>
      <c r="W200" s="1">
        <f>IF(Table1[[#This Row],[Cal Type]]&lt;&gt;"ACCREDITED 17025 WITH UNCERTAINTIES",0,"")</f>
        <v>0</v>
      </c>
      <c r="X200" s="1" t="str">
        <f>IF(Table1[[#This Row],[DUT Read]]="","N/A",Table1[[#This Row],[Std Error]]+Table1[[#This Row],[DUT Read]]+Table1[[#This Row],[DUT Ucty]])</f>
        <v>N/A</v>
      </c>
      <c r="Y200" s="1" t="str">
        <f>IF(Table1[[#This Row],[Std Read]]="","N/A",Table1[[#This Row],[Std Read]]+Table1[[#This Row],[Std Ucty]])</f>
        <v>N/A</v>
      </c>
      <c r="Z2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 s="1" t="str">
        <f>IF(Table1[[#This Row],[Spec Type]]="","N/A",Table1[[#This Row],[Spec Type]])</f>
        <v>±</v>
      </c>
      <c r="AC200" s="1" t="str">
        <f>IF(Table1[[#This Row],[Spec Type2]]="N/A","N/A",IF(AND(Table1[[#This Row],[DUT Adj Read]]&gt;=Table1[[#This Row],[Low Tol]],Table1[[#This Row],[DUT Adj Read]]&lt;=Table1[[#This Row],[High Tol]]),"Pass","Fail"))</f>
        <v>Fail</v>
      </c>
      <c r="AD200" s="1" t="str">
        <f>IF(AND(Table1[[#This Row],[Spec Type2]]="N/A",Table1[[#This Row],[DUT Adj Read]]="N/A",Table1[[#This Row],[Std Adj Read]]="N/A"),"N/A",IF(Table1[[#This Row],[DUT Adj Read]]="N/A",IF(Table1[[#This Row],[Std Adj Read]]&gt;Table1[[#This Row],[Low Tol]],"Pass","Fail"),IF(Table1[[#This Row],[DUT Adj Read]]&gt;Table1[[#This Row],[Low Tol]],"Pass","Fail")))</f>
        <v>Pass</v>
      </c>
      <c r="AE200" s="1" t="str">
        <f>IF(AND(Table1[[#This Row],[Spec Type2]]="N/A",Table1[[#This Row],[DUT Adj Read]]="N/A",Table1[[#This Row],[Std Adj Read]]="N/A"),"N/A",IF(Table1[[#This Row],[DUT Adj Read]]="N/A",IF(Table1[[#This Row],[Std Adj Read]]&lt;Table1[[#This Row],[High Tol]],"Pass","Fail"),IF(Table1[[#This Row],[DUT Adj Read]]&lt;Table1[[#This Row],[High Tol]],"Pass","Fail")))</f>
        <v>Fail</v>
      </c>
      <c r="AF200" s="1" t="str">
        <f>IF(AND(Table1[[#This Row],[Spec Type2]]="N/A",Table1[[#This Row],[DUT Adj Read]]="N/A",Table1[[#This Row],[Std Adj Read]]="N/A"),"N/A",IF(Table1[[#This Row],[DUT Adj Read]]="N/A",IF(Table1[[#This Row],[Std Adj Read]]&gt;=Table1[[#This Row],[Low Tol]],"Pass","Fail"),IF(Table1[[#This Row],[DUT Adj Read]]&gt;=Table1[[#This Row],[Low Tol]],"Pass","Fail")))</f>
        <v>Pass</v>
      </c>
      <c r="AG200" s="1" t="str">
        <f>IF(AND(Table1[[#This Row],[Spec Type2]]="N/A",Table1[[#This Row],[DUT Adj Read]]="N/A",Table1[[#This Row],[Std Adj Read]]="N/A"),"N/A",IF(Table1[[#This Row],[DUT Adj Read]]="N/A",IF(Table1[[#This Row],[Std Adj Read]]&lt;=Table1[[#This Row],[High Tol]],"Pass","Fail"),IF(Table1[[#This Row],[DUT Adj Read]]&lt;=Table1[[#This Row],[High Tol]],"Pass","Fail")))</f>
        <v>Fail</v>
      </c>
      <c r="AH2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 s="1" t="b">
        <v>0</v>
      </c>
      <c r="AN200" s="1" t="b">
        <v>0</v>
      </c>
      <c r="AO200" s="1" t="b">
        <v>0</v>
      </c>
    </row>
    <row r="201" spans="1:41" x14ac:dyDescent="0.25">
      <c r="A201" s="10"/>
      <c r="B201" s="10"/>
      <c r="C201" s="10"/>
      <c r="D201" s="10"/>
      <c r="E201" s="10"/>
      <c r="F201" s="10"/>
      <c r="G201" s="10"/>
      <c r="H201" s="10"/>
      <c r="I201" s="1" t="str">
        <f t="shared" si="6"/>
        <v/>
      </c>
      <c r="J201" s="1" t="s">
        <v>35</v>
      </c>
      <c r="K201" s="1" t="str">
        <f t="shared" si="7"/>
        <v/>
      </c>
      <c r="L201" s="1" t="str">
        <f t="shared" si="8"/>
        <v/>
      </c>
      <c r="M201" s="1">
        <f>IF(OR(Table1[[#This Row],[Std Nom]]="",Table1[[#This Row],[Std Read]]=""),0,Table1[[#This Row],[Std Nom]]-Table1[[#This Row],[Std Read]])</f>
        <v>0</v>
      </c>
      <c r="N201" s="1">
        <f>IF(Calculations!$F$5="ACCREDITED 17025 WITH UNCERTAINTIES",$N$10,0)</f>
        <v>0</v>
      </c>
      <c r="Q201" s="1">
        <f>Table1[[#This Row],[High Tol]]-Table1[[#This Row],[Low Tol]]</f>
        <v>0</v>
      </c>
      <c r="R201" s="1">
        <f>2*Table1[[#This Row],[Std Error]]</f>
        <v>0</v>
      </c>
      <c r="S201" s="1" t="str">
        <f>IF(Table1[[#This Row],[High Tol]]="","N/A",IFERROR(ABS(Table1[[#This Row],[Tol Span]]/Table1[[#This Row],[Error Span]]),"N/A"))</f>
        <v>N/A</v>
      </c>
      <c r="T201" s="1" t="str">
        <f>IF(OR(Table1[[#This Row],[Low Tol]]="",Table1[[#This Row],[High Tol]]=""),"Needs Analysis",IF(Table1[[#This Row],[Ratio]]&gt;=4,"Not Significant",IF(Table1[[#This Row],[Ratio]]&gt;=2,"Semi-Significant","Significant")))</f>
        <v>Needs Analysis</v>
      </c>
      <c r="W201" s="1">
        <f>IF(Table1[[#This Row],[Cal Type]]&lt;&gt;"ACCREDITED 17025 WITH UNCERTAINTIES",0,"")</f>
        <v>0</v>
      </c>
      <c r="X201" s="1" t="str">
        <f>IF(Table1[[#This Row],[DUT Read]]="","N/A",Table1[[#This Row],[Std Error]]+Table1[[#This Row],[DUT Read]]+Table1[[#This Row],[DUT Ucty]])</f>
        <v>N/A</v>
      </c>
      <c r="Y201" s="1" t="str">
        <f>IF(Table1[[#This Row],[Std Read]]="","N/A",Table1[[#This Row],[Std Read]]+Table1[[#This Row],[Std Ucty]])</f>
        <v>N/A</v>
      </c>
      <c r="Z2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 s="1" t="str">
        <f>IF(Table1[[#This Row],[Spec Type]]="","N/A",Table1[[#This Row],[Spec Type]])</f>
        <v>±</v>
      </c>
      <c r="AC201" s="1" t="str">
        <f>IF(Table1[[#This Row],[Spec Type2]]="N/A","N/A",IF(AND(Table1[[#This Row],[DUT Adj Read]]&gt;=Table1[[#This Row],[Low Tol]],Table1[[#This Row],[DUT Adj Read]]&lt;=Table1[[#This Row],[High Tol]]),"Pass","Fail"))</f>
        <v>Fail</v>
      </c>
      <c r="AD201" s="1" t="str">
        <f>IF(AND(Table1[[#This Row],[Spec Type2]]="N/A",Table1[[#This Row],[DUT Adj Read]]="N/A",Table1[[#This Row],[Std Adj Read]]="N/A"),"N/A",IF(Table1[[#This Row],[DUT Adj Read]]="N/A",IF(Table1[[#This Row],[Std Adj Read]]&gt;Table1[[#This Row],[Low Tol]],"Pass","Fail"),IF(Table1[[#This Row],[DUT Adj Read]]&gt;Table1[[#This Row],[Low Tol]],"Pass","Fail")))</f>
        <v>Pass</v>
      </c>
      <c r="AE201" s="1" t="str">
        <f>IF(AND(Table1[[#This Row],[Spec Type2]]="N/A",Table1[[#This Row],[DUT Adj Read]]="N/A",Table1[[#This Row],[Std Adj Read]]="N/A"),"N/A",IF(Table1[[#This Row],[DUT Adj Read]]="N/A",IF(Table1[[#This Row],[Std Adj Read]]&lt;Table1[[#This Row],[High Tol]],"Pass","Fail"),IF(Table1[[#This Row],[DUT Adj Read]]&lt;Table1[[#This Row],[High Tol]],"Pass","Fail")))</f>
        <v>Fail</v>
      </c>
      <c r="AF201" s="1" t="str">
        <f>IF(AND(Table1[[#This Row],[Spec Type2]]="N/A",Table1[[#This Row],[DUT Adj Read]]="N/A",Table1[[#This Row],[Std Adj Read]]="N/A"),"N/A",IF(Table1[[#This Row],[DUT Adj Read]]="N/A",IF(Table1[[#This Row],[Std Adj Read]]&gt;=Table1[[#This Row],[Low Tol]],"Pass","Fail"),IF(Table1[[#This Row],[DUT Adj Read]]&gt;=Table1[[#This Row],[Low Tol]],"Pass","Fail")))</f>
        <v>Pass</v>
      </c>
      <c r="AG201" s="1" t="str">
        <f>IF(AND(Table1[[#This Row],[Spec Type2]]="N/A",Table1[[#This Row],[DUT Adj Read]]="N/A",Table1[[#This Row],[Std Adj Read]]="N/A"),"N/A",IF(Table1[[#This Row],[DUT Adj Read]]="N/A",IF(Table1[[#This Row],[Std Adj Read]]&lt;=Table1[[#This Row],[High Tol]],"Pass","Fail"),IF(Table1[[#This Row],[DUT Adj Read]]&lt;=Table1[[#This Row],[High Tol]],"Pass","Fail")))</f>
        <v>Fail</v>
      </c>
      <c r="AH2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 s="1" t="b">
        <v>0</v>
      </c>
      <c r="AN201" s="1" t="b">
        <v>0</v>
      </c>
      <c r="AO201" s="1" t="b">
        <v>0</v>
      </c>
    </row>
    <row r="202" spans="1:41" x14ac:dyDescent="0.25">
      <c r="A202" s="10"/>
      <c r="B202" s="10"/>
      <c r="C202" s="10"/>
      <c r="D202" s="10"/>
      <c r="E202" s="10"/>
      <c r="F202" s="10"/>
      <c r="G202" s="10"/>
      <c r="H202" s="10"/>
      <c r="I202" s="1" t="str">
        <f t="shared" si="6"/>
        <v/>
      </c>
      <c r="J202" s="1" t="s">
        <v>35</v>
      </c>
      <c r="K202" s="1" t="str">
        <f t="shared" si="7"/>
        <v/>
      </c>
      <c r="L202" s="1" t="str">
        <f t="shared" si="8"/>
        <v/>
      </c>
      <c r="M202" s="1">
        <f>IF(OR(Table1[[#This Row],[Std Nom]]="",Table1[[#This Row],[Std Read]]=""),0,Table1[[#This Row],[Std Nom]]-Table1[[#This Row],[Std Read]])</f>
        <v>0</v>
      </c>
      <c r="N202" s="1">
        <f>IF(Calculations!$F$5="ACCREDITED 17025 WITH UNCERTAINTIES",$N$10,0)</f>
        <v>0</v>
      </c>
      <c r="Q202" s="1">
        <f>Table1[[#This Row],[High Tol]]-Table1[[#This Row],[Low Tol]]</f>
        <v>0</v>
      </c>
      <c r="R202" s="1">
        <f>2*Table1[[#This Row],[Std Error]]</f>
        <v>0</v>
      </c>
      <c r="S202" s="1" t="str">
        <f>IF(Table1[[#This Row],[High Tol]]="","N/A",IFERROR(ABS(Table1[[#This Row],[Tol Span]]/Table1[[#This Row],[Error Span]]),"N/A"))</f>
        <v>N/A</v>
      </c>
      <c r="T202" s="1" t="str">
        <f>IF(OR(Table1[[#This Row],[Low Tol]]="",Table1[[#This Row],[High Tol]]=""),"Needs Analysis",IF(Table1[[#This Row],[Ratio]]&gt;=4,"Not Significant",IF(Table1[[#This Row],[Ratio]]&gt;=2,"Semi-Significant","Significant")))</f>
        <v>Needs Analysis</v>
      </c>
      <c r="W202" s="1">
        <f>IF(Table1[[#This Row],[Cal Type]]&lt;&gt;"ACCREDITED 17025 WITH UNCERTAINTIES",0,"")</f>
        <v>0</v>
      </c>
      <c r="X202" s="1" t="str">
        <f>IF(Table1[[#This Row],[DUT Read]]="","N/A",Table1[[#This Row],[Std Error]]+Table1[[#This Row],[DUT Read]]+Table1[[#This Row],[DUT Ucty]])</f>
        <v>N/A</v>
      </c>
      <c r="Y202" s="1" t="str">
        <f>IF(Table1[[#This Row],[Std Read]]="","N/A",Table1[[#This Row],[Std Read]]+Table1[[#This Row],[Std Ucty]])</f>
        <v>N/A</v>
      </c>
      <c r="Z2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 s="1" t="str">
        <f>IF(Table1[[#This Row],[Spec Type]]="","N/A",Table1[[#This Row],[Spec Type]])</f>
        <v>±</v>
      </c>
      <c r="AC202" s="1" t="str">
        <f>IF(Table1[[#This Row],[Spec Type2]]="N/A","N/A",IF(AND(Table1[[#This Row],[DUT Adj Read]]&gt;=Table1[[#This Row],[Low Tol]],Table1[[#This Row],[DUT Adj Read]]&lt;=Table1[[#This Row],[High Tol]]),"Pass","Fail"))</f>
        <v>Fail</v>
      </c>
      <c r="AD202" s="1" t="str">
        <f>IF(AND(Table1[[#This Row],[Spec Type2]]="N/A",Table1[[#This Row],[DUT Adj Read]]="N/A",Table1[[#This Row],[Std Adj Read]]="N/A"),"N/A",IF(Table1[[#This Row],[DUT Adj Read]]="N/A",IF(Table1[[#This Row],[Std Adj Read]]&gt;Table1[[#This Row],[Low Tol]],"Pass","Fail"),IF(Table1[[#This Row],[DUT Adj Read]]&gt;Table1[[#This Row],[Low Tol]],"Pass","Fail")))</f>
        <v>Pass</v>
      </c>
      <c r="AE202" s="1" t="str">
        <f>IF(AND(Table1[[#This Row],[Spec Type2]]="N/A",Table1[[#This Row],[DUT Adj Read]]="N/A",Table1[[#This Row],[Std Adj Read]]="N/A"),"N/A",IF(Table1[[#This Row],[DUT Adj Read]]="N/A",IF(Table1[[#This Row],[Std Adj Read]]&lt;Table1[[#This Row],[High Tol]],"Pass","Fail"),IF(Table1[[#This Row],[DUT Adj Read]]&lt;Table1[[#This Row],[High Tol]],"Pass","Fail")))</f>
        <v>Fail</v>
      </c>
      <c r="AF202" s="1" t="str">
        <f>IF(AND(Table1[[#This Row],[Spec Type2]]="N/A",Table1[[#This Row],[DUT Adj Read]]="N/A",Table1[[#This Row],[Std Adj Read]]="N/A"),"N/A",IF(Table1[[#This Row],[DUT Adj Read]]="N/A",IF(Table1[[#This Row],[Std Adj Read]]&gt;=Table1[[#This Row],[Low Tol]],"Pass","Fail"),IF(Table1[[#This Row],[DUT Adj Read]]&gt;=Table1[[#This Row],[Low Tol]],"Pass","Fail")))</f>
        <v>Pass</v>
      </c>
      <c r="AG202" s="1" t="str">
        <f>IF(AND(Table1[[#This Row],[Spec Type2]]="N/A",Table1[[#This Row],[DUT Adj Read]]="N/A",Table1[[#This Row],[Std Adj Read]]="N/A"),"N/A",IF(Table1[[#This Row],[DUT Adj Read]]="N/A",IF(Table1[[#This Row],[Std Adj Read]]&lt;=Table1[[#This Row],[High Tol]],"Pass","Fail"),IF(Table1[[#This Row],[DUT Adj Read]]&lt;=Table1[[#This Row],[High Tol]],"Pass","Fail")))</f>
        <v>Fail</v>
      </c>
      <c r="AH2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 s="1" t="b">
        <v>0</v>
      </c>
      <c r="AN202" s="1" t="b">
        <v>0</v>
      </c>
      <c r="AO202" s="1" t="b">
        <v>0</v>
      </c>
    </row>
    <row r="203" spans="1:41" x14ac:dyDescent="0.25">
      <c r="A203" s="10"/>
      <c r="B203" s="10"/>
      <c r="C203" s="10"/>
      <c r="D203" s="10"/>
      <c r="E203" s="10"/>
      <c r="F203" s="10"/>
      <c r="G203" s="10"/>
      <c r="H203" s="10"/>
      <c r="I203" s="1" t="str">
        <f t="shared" ref="I203:I266" si="9">IF($I$10="","",$I$10)</f>
        <v/>
      </c>
      <c r="J203" s="1" t="s">
        <v>35</v>
      </c>
      <c r="K203" s="1" t="str">
        <f t="shared" ref="K203:K266" si="10">IF($K$10="","",$K$10)</f>
        <v/>
      </c>
      <c r="L203" s="1" t="str">
        <f t="shared" ref="L203:L266" si="11">IF($L$10="","",$L$10)</f>
        <v/>
      </c>
      <c r="M203" s="1">
        <f>IF(OR(Table1[[#This Row],[Std Nom]]="",Table1[[#This Row],[Std Read]]=""),0,Table1[[#This Row],[Std Nom]]-Table1[[#This Row],[Std Read]])</f>
        <v>0</v>
      </c>
      <c r="N203" s="1">
        <f>IF(Calculations!$F$5="ACCREDITED 17025 WITH UNCERTAINTIES",$N$10,0)</f>
        <v>0</v>
      </c>
      <c r="Q203" s="1">
        <f>Table1[[#This Row],[High Tol]]-Table1[[#This Row],[Low Tol]]</f>
        <v>0</v>
      </c>
      <c r="R203" s="1">
        <f>2*Table1[[#This Row],[Std Error]]</f>
        <v>0</v>
      </c>
      <c r="S203" s="1" t="str">
        <f>IF(Table1[[#This Row],[High Tol]]="","N/A",IFERROR(ABS(Table1[[#This Row],[Tol Span]]/Table1[[#This Row],[Error Span]]),"N/A"))</f>
        <v>N/A</v>
      </c>
      <c r="T203" s="1" t="str">
        <f>IF(OR(Table1[[#This Row],[Low Tol]]="",Table1[[#This Row],[High Tol]]=""),"Needs Analysis",IF(Table1[[#This Row],[Ratio]]&gt;=4,"Not Significant",IF(Table1[[#This Row],[Ratio]]&gt;=2,"Semi-Significant","Significant")))</f>
        <v>Needs Analysis</v>
      </c>
      <c r="W203" s="1">
        <f>IF(Table1[[#This Row],[Cal Type]]&lt;&gt;"ACCREDITED 17025 WITH UNCERTAINTIES",0,"")</f>
        <v>0</v>
      </c>
      <c r="X203" s="1" t="str">
        <f>IF(Table1[[#This Row],[DUT Read]]="","N/A",Table1[[#This Row],[Std Error]]+Table1[[#This Row],[DUT Read]]+Table1[[#This Row],[DUT Ucty]])</f>
        <v>N/A</v>
      </c>
      <c r="Y203" s="1" t="str">
        <f>IF(Table1[[#This Row],[Std Read]]="","N/A",Table1[[#This Row],[Std Read]]+Table1[[#This Row],[Std Ucty]])</f>
        <v>N/A</v>
      </c>
      <c r="Z2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 s="1" t="str">
        <f>IF(Table1[[#This Row],[Spec Type]]="","N/A",Table1[[#This Row],[Spec Type]])</f>
        <v>±</v>
      </c>
      <c r="AC203" s="1" t="str">
        <f>IF(Table1[[#This Row],[Spec Type2]]="N/A","N/A",IF(AND(Table1[[#This Row],[DUT Adj Read]]&gt;=Table1[[#This Row],[Low Tol]],Table1[[#This Row],[DUT Adj Read]]&lt;=Table1[[#This Row],[High Tol]]),"Pass","Fail"))</f>
        <v>Fail</v>
      </c>
      <c r="AD203" s="1" t="str">
        <f>IF(AND(Table1[[#This Row],[Spec Type2]]="N/A",Table1[[#This Row],[DUT Adj Read]]="N/A",Table1[[#This Row],[Std Adj Read]]="N/A"),"N/A",IF(Table1[[#This Row],[DUT Adj Read]]="N/A",IF(Table1[[#This Row],[Std Adj Read]]&gt;Table1[[#This Row],[Low Tol]],"Pass","Fail"),IF(Table1[[#This Row],[DUT Adj Read]]&gt;Table1[[#This Row],[Low Tol]],"Pass","Fail")))</f>
        <v>Pass</v>
      </c>
      <c r="AE203" s="1" t="str">
        <f>IF(AND(Table1[[#This Row],[Spec Type2]]="N/A",Table1[[#This Row],[DUT Adj Read]]="N/A",Table1[[#This Row],[Std Adj Read]]="N/A"),"N/A",IF(Table1[[#This Row],[DUT Adj Read]]="N/A",IF(Table1[[#This Row],[Std Adj Read]]&lt;Table1[[#This Row],[High Tol]],"Pass","Fail"),IF(Table1[[#This Row],[DUT Adj Read]]&lt;Table1[[#This Row],[High Tol]],"Pass","Fail")))</f>
        <v>Fail</v>
      </c>
      <c r="AF203" s="1" t="str">
        <f>IF(AND(Table1[[#This Row],[Spec Type2]]="N/A",Table1[[#This Row],[DUT Adj Read]]="N/A",Table1[[#This Row],[Std Adj Read]]="N/A"),"N/A",IF(Table1[[#This Row],[DUT Adj Read]]="N/A",IF(Table1[[#This Row],[Std Adj Read]]&gt;=Table1[[#This Row],[Low Tol]],"Pass","Fail"),IF(Table1[[#This Row],[DUT Adj Read]]&gt;=Table1[[#This Row],[Low Tol]],"Pass","Fail")))</f>
        <v>Pass</v>
      </c>
      <c r="AG203" s="1" t="str">
        <f>IF(AND(Table1[[#This Row],[Spec Type2]]="N/A",Table1[[#This Row],[DUT Adj Read]]="N/A",Table1[[#This Row],[Std Adj Read]]="N/A"),"N/A",IF(Table1[[#This Row],[DUT Adj Read]]="N/A",IF(Table1[[#This Row],[Std Adj Read]]&lt;=Table1[[#This Row],[High Tol]],"Pass","Fail"),IF(Table1[[#This Row],[DUT Adj Read]]&lt;=Table1[[#This Row],[High Tol]],"Pass","Fail")))</f>
        <v>Fail</v>
      </c>
      <c r="AH2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 s="1" t="b">
        <v>0</v>
      </c>
      <c r="AN203" s="1" t="b">
        <v>0</v>
      </c>
      <c r="AO203" s="1" t="b">
        <v>0</v>
      </c>
    </row>
    <row r="204" spans="1:41" x14ac:dyDescent="0.25">
      <c r="A204" s="10"/>
      <c r="B204" s="10"/>
      <c r="C204" s="10"/>
      <c r="D204" s="10"/>
      <c r="E204" s="10"/>
      <c r="F204" s="10"/>
      <c r="G204" s="10"/>
      <c r="H204" s="10"/>
      <c r="I204" s="1" t="str">
        <f t="shared" si="9"/>
        <v/>
      </c>
      <c r="J204" s="1" t="s">
        <v>35</v>
      </c>
      <c r="K204" s="1" t="str">
        <f t="shared" si="10"/>
        <v/>
      </c>
      <c r="L204" s="1" t="str">
        <f t="shared" si="11"/>
        <v/>
      </c>
      <c r="M204" s="1">
        <f>IF(OR(Table1[[#This Row],[Std Nom]]="",Table1[[#This Row],[Std Read]]=""),0,Table1[[#This Row],[Std Nom]]-Table1[[#This Row],[Std Read]])</f>
        <v>0</v>
      </c>
      <c r="N204" s="1">
        <f>IF(Calculations!$F$5="ACCREDITED 17025 WITH UNCERTAINTIES",$N$10,0)</f>
        <v>0</v>
      </c>
      <c r="Q204" s="1">
        <f>Table1[[#This Row],[High Tol]]-Table1[[#This Row],[Low Tol]]</f>
        <v>0</v>
      </c>
      <c r="R204" s="1">
        <f>2*Table1[[#This Row],[Std Error]]</f>
        <v>0</v>
      </c>
      <c r="S204" s="1" t="str">
        <f>IF(Table1[[#This Row],[High Tol]]="","N/A",IFERROR(ABS(Table1[[#This Row],[Tol Span]]/Table1[[#This Row],[Error Span]]),"N/A"))</f>
        <v>N/A</v>
      </c>
      <c r="T204" s="1" t="str">
        <f>IF(OR(Table1[[#This Row],[Low Tol]]="",Table1[[#This Row],[High Tol]]=""),"Needs Analysis",IF(Table1[[#This Row],[Ratio]]&gt;=4,"Not Significant",IF(Table1[[#This Row],[Ratio]]&gt;=2,"Semi-Significant","Significant")))</f>
        <v>Needs Analysis</v>
      </c>
      <c r="W204" s="1">
        <f>IF(Table1[[#This Row],[Cal Type]]&lt;&gt;"ACCREDITED 17025 WITH UNCERTAINTIES",0,"")</f>
        <v>0</v>
      </c>
      <c r="X204" s="1" t="str">
        <f>IF(Table1[[#This Row],[DUT Read]]="","N/A",Table1[[#This Row],[Std Error]]+Table1[[#This Row],[DUT Read]]+Table1[[#This Row],[DUT Ucty]])</f>
        <v>N/A</v>
      </c>
      <c r="Y204" s="1" t="str">
        <f>IF(Table1[[#This Row],[Std Read]]="","N/A",Table1[[#This Row],[Std Read]]+Table1[[#This Row],[Std Ucty]])</f>
        <v>N/A</v>
      </c>
      <c r="Z2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 s="1" t="str">
        <f>IF(Table1[[#This Row],[Spec Type]]="","N/A",Table1[[#This Row],[Spec Type]])</f>
        <v>±</v>
      </c>
      <c r="AC204" s="1" t="str">
        <f>IF(Table1[[#This Row],[Spec Type2]]="N/A","N/A",IF(AND(Table1[[#This Row],[DUT Adj Read]]&gt;=Table1[[#This Row],[Low Tol]],Table1[[#This Row],[DUT Adj Read]]&lt;=Table1[[#This Row],[High Tol]]),"Pass","Fail"))</f>
        <v>Fail</v>
      </c>
      <c r="AD204" s="1" t="str">
        <f>IF(AND(Table1[[#This Row],[Spec Type2]]="N/A",Table1[[#This Row],[DUT Adj Read]]="N/A",Table1[[#This Row],[Std Adj Read]]="N/A"),"N/A",IF(Table1[[#This Row],[DUT Adj Read]]="N/A",IF(Table1[[#This Row],[Std Adj Read]]&gt;Table1[[#This Row],[Low Tol]],"Pass","Fail"),IF(Table1[[#This Row],[DUT Adj Read]]&gt;Table1[[#This Row],[Low Tol]],"Pass","Fail")))</f>
        <v>Pass</v>
      </c>
      <c r="AE204" s="1" t="str">
        <f>IF(AND(Table1[[#This Row],[Spec Type2]]="N/A",Table1[[#This Row],[DUT Adj Read]]="N/A",Table1[[#This Row],[Std Adj Read]]="N/A"),"N/A",IF(Table1[[#This Row],[DUT Adj Read]]="N/A",IF(Table1[[#This Row],[Std Adj Read]]&lt;Table1[[#This Row],[High Tol]],"Pass","Fail"),IF(Table1[[#This Row],[DUT Adj Read]]&lt;Table1[[#This Row],[High Tol]],"Pass","Fail")))</f>
        <v>Fail</v>
      </c>
      <c r="AF204" s="1" t="str">
        <f>IF(AND(Table1[[#This Row],[Spec Type2]]="N/A",Table1[[#This Row],[DUT Adj Read]]="N/A",Table1[[#This Row],[Std Adj Read]]="N/A"),"N/A",IF(Table1[[#This Row],[DUT Adj Read]]="N/A",IF(Table1[[#This Row],[Std Adj Read]]&gt;=Table1[[#This Row],[Low Tol]],"Pass","Fail"),IF(Table1[[#This Row],[DUT Adj Read]]&gt;=Table1[[#This Row],[Low Tol]],"Pass","Fail")))</f>
        <v>Pass</v>
      </c>
      <c r="AG204" s="1" t="str">
        <f>IF(AND(Table1[[#This Row],[Spec Type2]]="N/A",Table1[[#This Row],[DUT Adj Read]]="N/A",Table1[[#This Row],[Std Adj Read]]="N/A"),"N/A",IF(Table1[[#This Row],[DUT Adj Read]]="N/A",IF(Table1[[#This Row],[Std Adj Read]]&lt;=Table1[[#This Row],[High Tol]],"Pass","Fail"),IF(Table1[[#This Row],[DUT Adj Read]]&lt;=Table1[[#This Row],[High Tol]],"Pass","Fail")))</f>
        <v>Fail</v>
      </c>
      <c r="AH2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 s="1" t="b">
        <v>0</v>
      </c>
      <c r="AN204" s="1" t="b">
        <v>0</v>
      </c>
      <c r="AO204" s="1" t="b">
        <v>0</v>
      </c>
    </row>
    <row r="205" spans="1:41" x14ac:dyDescent="0.25">
      <c r="A205" s="10"/>
      <c r="B205" s="10"/>
      <c r="C205" s="10"/>
      <c r="D205" s="10"/>
      <c r="E205" s="10"/>
      <c r="F205" s="10"/>
      <c r="G205" s="10"/>
      <c r="H205" s="10"/>
      <c r="I205" s="1" t="str">
        <f t="shared" si="9"/>
        <v/>
      </c>
      <c r="J205" s="1" t="s">
        <v>35</v>
      </c>
      <c r="K205" s="1" t="str">
        <f t="shared" si="10"/>
        <v/>
      </c>
      <c r="L205" s="1" t="str">
        <f t="shared" si="11"/>
        <v/>
      </c>
      <c r="M205" s="1">
        <f>IF(OR(Table1[[#This Row],[Std Nom]]="",Table1[[#This Row],[Std Read]]=""),0,Table1[[#This Row],[Std Nom]]-Table1[[#This Row],[Std Read]])</f>
        <v>0</v>
      </c>
      <c r="N205" s="1">
        <f>IF(Calculations!$F$5="ACCREDITED 17025 WITH UNCERTAINTIES",$N$10,0)</f>
        <v>0</v>
      </c>
      <c r="Q205" s="1">
        <f>Table1[[#This Row],[High Tol]]-Table1[[#This Row],[Low Tol]]</f>
        <v>0</v>
      </c>
      <c r="R205" s="1">
        <f>2*Table1[[#This Row],[Std Error]]</f>
        <v>0</v>
      </c>
      <c r="S205" s="1" t="str">
        <f>IF(Table1[[#This Row],[High Tol]]="","N/A",IFERROR(ABS(Table1[[#This Row],[Tol Span]]/Table1[[#This Row],[Error Span]]),"N/A"))</f>
        <v>N/A</v>
      </c>
      <c r="T205" s="1" t="str">
        <f>IF(OR(Table1[[#This Row],[Low Tol]]="",Table1[[#This Row],[High Tol]]=""),"Needs Analysis",IF(Table1[[#This Row],[Ratio]]&gt;=4,"Not Significant",IF(Table1[[#This Row],[Ratio]]&gt;=2,"Semi-Significant","Significant")))</f>
        <v>Needs Analysis</v>
      </c>
      <c r="W205" s="1">
        <f>IF(Table1[[#This Row],[Cal Type]]&lt;&gt;"ACCREDITED 17025 WITH UNCERTAINTIES",0,"")</f>
        <v>0</v>
      </c>
      <c r="X205" s="1" t="str">
        <f>IF(Table1[[#This Row],[DUT Read]]="","N/A",Table1[[#This Row],[Std Error]]+Table1[[#This Row],[DUT Read]]+Table1[[#This Row],[DUT Ucty]])</f>
        <v>N/A</v>
      </c>
      <c r="Y205" s="1" t="str">
        <f>IF(Table1[[#This Row],[Std Read]]="","N/A",Table1[[#This Row],[Std Read]]+Table1[[#This Row],[Std Ucty]])</f>
        <v>N/A</v>
      </c>
      <c r="Z2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 s="1" t="str">
        <f>IF(Table1[[#This Row],[Spec Type]]="","N/A",Table1[[#This Row],[Spec Type]])</f>
        <v>±</v>
      </c>
      <c r="AC205" s="1" t="str">
        <f>IF(Table1[[#This Row],[Spec Type2]]="N/A","N/A",IF(AND(Table1[[#This Row],[DUT Adj Read]]&gt;=Table1[[#This Row],[Low Tol]],Table1[[#This Row],[DUT Adj Read]]&lt;=Table1[[#This Row],[High Tol]]),"Pass","Fail"))</f>
        <v>Fail</v>
      </c>
      <c r="AD205" s="1" t="str">
        <f>IF(AND(Table1[[#This Row],[Spec Type2]]="N/A",Table1[[#This Row],[DUT Adj Read]]="N/A",Table1[[#This Row],[Std Adj Read]]="N/A"),"N/A",IF(Table1[[#This Row],[DUT Adj Read]]="N/A",IF(Table1[[#This Row],[Std Adj Read]]&gt;Table1[[#This Row],[Low Tol]],"Pass","Fail"),IF(Table1[[#This Row],[DUT Adj Read]]&gt;Table1[[#This Row],[Low Tol]],"Pass","Fail")))</f>
        <v>Pass</v>
      </c>
      <c r="AE205" s="1" t="str">
        <f>IF(AND(Table1[[#This Row],[Spec Type2]]="N/A",Table1[[#This Row],[DUT Adj Read]]="N/A",Table1[[#This Row],[Std Adj Read]]="N/A"),"N/A",IF(Table1[[#This Row],[DUT Adj Read]]="N/A",IF(Table1[[#This Row],[Std Adj Read]]&lt;Table1[[#This Row],[High Tol]],"Pass","Fail"),IF(Table1[[#This Row],[DUT Adj Read]]&lt;Table1[[#This Row],[High Tol]],"Pass","Fail")))</f>
        <v>Fail</v>
      </c>
      <c r="AF205" s="1" t="str">
        <f>IF(AND(Table1[[#This Row],[Spec Type2]]="N/A",Table1[[#This Row],[DUT Adj Read]]="N/A",Table1[[#This Row],[Std Adj Read]]="N/A"),"N/A",IF(Table1[[#This Row],[DUT Adj Read]]="N/A",IF(Table1[[#This Row],[Std Adj Read]]&gt;=Table1[[#This Row],[Low Tol]],"Pass","Fail"),IF(Table1[[#This Row],[DUT Adj Read]]&gt;=Table1[[#This Row],[Low Tol]],"Pass","Fail")))</f>
        <v>Pass</v>
      </c>
      <c r="AG205" s="1" t="str">
        <f>IF(AND(Table1[[#This Row],[Spec Type2]]="N/A",Table1[[#This Row],[DUT Adj Read]]="N/A",Table1[[#This Row],[Std Adj Read]]="N/A"),"N/A",IF(Table1[[#This Row],[DUT Adj Read]]="N/A",IF(Table1[[#This Row],[Std Adj Read]]&lt;=Table1[[#This Row],[High Tol]],"Pass","Fail"),IF(Table1[[#This Row],[DUT Adj Read]]&lt;=Table1[[#This Row],[High Tol]],"Pass","Fail")))</f>
        <v>Fail</v>
      </c>
      <c r="AH2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 s="1" t="b">
        <v>0</v>
      </c>
      <c r="AN205" s="1" t="b">
        <v>0</v>
      </c>
      <c r="AO205" s="1" t="b">
        <v>0</v>
      </c>
    </row>
    <row r="206" spans="1:41" x14ac:dyDescent="0.25">
      <c r="A206" s="10"/>
      <c r="B206" s="10"/>
      <c r="C206" s="10"/>
      <c r="D206" s="10"/>
      <c r="E206" s="10"/>
      <c r="F206" s="10"/>
      <c r="G206" s="10"/>
      <c r="H206" s="10"/>
      <c r="I206" s="1" t="str">
        <f t="shared" si="9"/>
        <v/>
      </c>
      <c r="J206" s="1" t="s">
        <v>35</v>
      </c>
      <c r="K206" s="1" t="str">
        <f t="shared" si="10"/>
        <v/>
      </c>
      <c r="L206" s="1" t="str">
        <f t="shared" si="11"/>
        <v/>
      </c>
      <c r="M206" s="1">
        <f>IF(OR(Table1[[#This Row],[Std Nom]]="",Table1[[#This Row],[Std Read]]=""),0,Table1[[#This Row],[Std Nom]]-Table1[[#This Row],[Std Read]])</f>
        <v>0</v>
      </c>
      <c r="N206" s="1">
        <f>IF(Calculations!$F$5="ACCREDITED 17025 WITH UNCERTAINTIES",$N$10,0)</f>
        <v>0</v>
      </c>
      <c r="Q206" s="1">
        <f>Table1[[#This Row],[High Tol]]-Table1[[#This Row],[Low Tol]]</f>
        <v>0</v>
      </c>
      <c r="R206" s="1">
        <f>2*Table1[[#This Row],[Std Error]]</f>
        <v>0</v>
      </c>
      <c r="S206" s="1" t="str">
        <f>IF(Table1[[#This Row],[High Tol]]="","N/A",IFERROR(ABS(Table1[[#This Row],[Tol Span]]/Table1[[#This Row],[Error Span]]),"N/A"))</f>
        <v>N/A</v>
      </c>
      <c r="T206" s="1" t="str">
        <f>IF(OR(Table1[[#This Row],[Low Tol]]="",Table1[[#This Row],[High Tol]]=""),"Needs Analysis",IF(Table1[[#This Row],[Ratio]]&gt;=4,"Not Significant",IF(Table1[[#This Row],[Ratio]]&gt;=2,"Semi-Significant","Significant")))</f>
        <v>Needs Analysis</v>
      </c>
      <c r="W206" s="1">
        <f>IF(Table1[[#This Row],[Cal Type]]&lt;&gt;"ACCREDITED 17025 WITH UNCERTAINTIES",0,"")</f>
        <v>0</v>
      </c>
      <c r="X206" s="1" t="str">
        <f>IF(Table1[[#This Row],[DUT Read]]="","N/A",Table1[[#This Row],[Std Error]]+Table1[[#This Row],[DUT Read]]+Table1[[#This Row],[DUT Ucty]])</f>
        <v>N/A</v>
      </c>
      <c r="Y206" s="1" t="str">
        <f>IF(Table1[[#This Row],[Std Read]]="","N/A",Table1[[#This Row],[Std Read]]+Table1[[#This Row],[Std Ucty]])</f>
        <v>N/A</v>
      </c>
      <c r="Z2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 s="1" t="str">
        <f>IF(Table1[[#This Row],[Spec Type]]="","N/A",Table1[[#This Row],[Spec Type]])</f>
        <v>±</v>
      </c>
      <c r="AC206" s="1" t="str">
        <f>IF(Table1[[#This Row],[Spec Type2]]="N/A","N/A",IF(AND(Table1[[#This Row],[DUT Adj Read]]&gt;=Table1[[#This Row],[Low Tol]],Table1[[#This Row],[DUT Adj Read]]&lt;=Table1[[#This Row],[High Tol]]),"Pass","Fail"))</f>
        <v>Fail</v>
      </c>
      <c r="AD206" s="1" t="str">
        <f>IF(AND(Table1[[#This Row],[Spec Type2]]="N/A",Table1[[#This Row],[DUT Adj Read]]="N/A",Table1[[#This Row],[Std Adj Read]]="N/A"),"N/A",IF(Table1[[#This Row],[DUT Adj Read]]="N/A",IF(Table1[[#This Row],[Std Adj Read]]&gt;Table1[[#This Row],[Low Tol]],"Pass","Fail"),IF(Table1[[#This Row],[DUT Adj Read]]&gt;Table1[[#This Row],[Low Tol]],"Pass","Fail")))</f>
        <v>Pass</v>
      </c>
      <c r="AE206" s="1" t="str">
        <f>IF(AND(Table1[[#This Row],[Spec Type2]]="N/A",Table1[[#This Row],[DUT Adj Read]]="N/A",Table1[[#This Row],[Std Adj Read]]="N/A"),"N/A",IF(Table1[[#This Row],[DUT Adj Read]]="N/A",IF(Table1[[#This Row],[Std Adj Read]]&lt;Table1[[#This Row],[High Tol]],"Pass","Fail"),IF(Table1[[#This Row],[DUT Adj Read]]&lt;Table1[[#This Row],[High Tol]],"Pass","Fail")))</f>
        <v>Fail</v>
      </c>
      <c r="AF206" s="1" t="str">
        <f>IF(AND(Table1[[#This Row],[Spec Type2]]="N/A",Table1[[#This Row],[DUT Adj Read]]="N/A",Table1[[#This Row],[Std Adj Read]]="N/A"),"N/A",IF(Table1[[#This Row],[DUT Adj Read]]="N/A",IF(Table1[[#This Row],[Std Adj Read]]&gt;=Table1[[#This Row],[Low Tol]],"Pass","Fail"),IF(Table1[[#This Row],[DUT Adj Read]]&gt;=Table1[[#This Row],[Low Tol]],"Pass","Fail")))</f>
        <v>Pass</v>
      </c>
      <c r="AG206" s="1" t="str">
        <f>IF(AND(Table1[[#This Row],[Spec Type2]]="N/A",Table1[[#This Row],[DUT Adj Read]]="N/A",Table1[[#This Row],[Std Adj Read]]="N/A"),"N/A",IF(Table1[[#This Row],[DUT Adj Read]]="N/A",IF(Table1[[#This Row],[Std Adj Read]]&lt;=Table1[[#This Row],[High Tol]],"Pass","Fail"),IF(Table1[[#This Row],[DUT Adj Read]]&lt;=Table1[[#This Row],[High Tol]],"Pass","Fail")))</f>
        <v>Fail</v>
      </c>
      <c r="AH2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 s="1" t="b">
        <v>0</v>
      </c>
      <c r="AN206" s="1" t="b">
        <v>0</v>
      </c>
      <c r="AO206" s="1" t="b">
        <v>0</v>
      </c>
    </row>
    <row r="207" spans="1:41" x14ac:dyDescent="0.25">
      <c r="A207" s="10"/>
      <c r="B207" s="10"/>
      <c r="C207" s="10"/>
      <c r="D207" s="10"/>
      <c r="E207" s="10"/>
      <c r="F207" s="10"/>
      <c r="G207" s="10"/>
      <c r="H207" s="10"/>
      <c r="I207" s="1" t="str">
        <f t="shared" si="9"/>
        <v/>
      </c>
      <c r="J207" s="1" t="s">
        <v>35</v>
      </c>
      <c r="K207" s="1" t="str">
        <f t="shared" si="10"/>
        <v/>
      </c>
      <c r="L207" s="1" t="str">
        <f t="shared" si="11"/>
        <v/>
      </c>
      <c r="M207" s="1">
        <f>IF(OR(Table1[[#This Row],[Std Nom]]="",Table1[[#This Row],[Std Read]]=""),0,Table1[[#This Row],[Std Nom]]-Table1[[#This Row],[Std Read]])</f>
        <v>0</v>
      </c>
      <c r="N207" s="1">
        <f>IF(Calculations!$F$5="ACCREDITED 17025 WITH UNCERTAINTIES",$N$10,0)</f>
        <v>0</v>
      </c>
      <c r="Q207" s="1">
        <f>Table1[[#This Row],[High Tol]]-Table1[[#This Row],[Low Tol]]</f>
        <v>0</v>
      </c>
      <c r="R207" s="1">
        <f>2*Table1[[#This Row],[Std Error]]</f>
        <v>0</v>
      </c>
      <c r="S207" s="1" t="str">
        <f>IF(Table1[[#This Row],[High Tol]]="","N/A",IFERROR(ABS(Table1[[#This Row],[Tol Span]]/Table1[[#This Row],[Error Span]]),"N/A"))</f>
        <v>N/A</v>
      </c>
      <c r="T207" s="1" t="str">
        <f>IF(OR(Table1[[#This Row],[Low Tol]]="",Table1[[#This Row],[High Tol]]=""),"Needs Analysis",IF(Table1[[#This Row],[Ratio]]&gt;=4,"Not Significant",IF(Table1[[#This Row],[Ratio]]&gt;=2,"Semi-Significant","Significant")))</f>
        <v>Needs Analysis</v>
      </c>
      <c r="W207" s="1">
        <f>IF(Table1[[#This Row],[Cal Type]]&lt;&gt;"ACCREDITED 17025 WITH UNCERTAINTIES",0,"")</f>
        <v>0</v>
      </c>
      <c r="X207" s="1" t="str">
        <f>IF(Table1[[#This Row],[DUT Read]]="","N/A",Table1[[#This Row],[Std Error]]+Table1[[#This Row],[DUT Read]]+Table1[[#This Row],[DUT Ucty]])</f>
        <v>N/A</v>
      </c>
      <c r="Y207" s="1" t="str">
        <f>IF(Table1[[#This Row],[Std Read]]="","N/A",Table1[[#This Row],[Std Read]]+Table1[[#This Row],[Std Ucty]])</f>
        <v>N/A</v>
      </c>
      <c r="Z2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 s="1" t="str">
        <f>IF(Table1[[#This Row],[Spec Type]]="","N/A",Table1[[#This Row],[Spec Type]])</f>
        <v>±</v>
      </c>
      <c r="AC207" s="1" t="str">
        <f>IF(Table1[[#This Row],[Spec Type2]]="N/A","N/A",IF(AND(Table1[[#This Row],[DUT Adj Read]]&gt;=Table1[[#This Row],[Low Tol]],Table1[[#This Row],[DUT Adj Read]]&lt;=Table1[[#This Row],[High Tol]]),"Pass","Fail"))</f>
        <v>Fail</v>
      </c>
      <c r="AD207" s="1" t="str">
        <f>IF(AND(Table1[[#This Row],[Spec Type2]]="N/A",Table1[[#This Row],[DUT Adj Read]]="N/A",Table1[[#This Row],[Std Adj Read]]="N/A"),"N/A",IF(Table1[[#This Row],[DUT Adj Read]]="N/A",IF(Table1[[#This Row],[Std Adj Read]]&gt;Table1[[#This Row],[Low Tol]],"Pass","Fail"),IF(Table1[[#This Row],[DUT Adj Read]]&gt;Table1[[#This Row],[Low Tol]],"Pass","Fail")))</f>
        <v>Pass</v>
      </c>
      <c r="AE207" s="1" t="str">
        <f>IF(AND(Table1[[#This Row],[Spec Type2]]="N/A",Table1[[#This Row],[DUT Adj Read]]="N/A",Table1[[#This Row],[Std Adj Read]]="N/A"),"N/A",IF(Table1[[#This Row],[DUT Adj Read]]="N/A",IF(Table1[[#This Row],[Std Adj Read]]&lt;Table1[[#This Row],[High Tol]],"Pass","Fail"),IF(Table1[[#This Row],[DUT Adj Read]]&lt;Table1[[#This Row],[High Tol]],"Pass","Fail")))</f>
        <v>Fail</v>
      </c>
      <c r="AF207" s="1" t="str">
        <f>IF(AND(Table1[[#This Row],[Spec Type2]]="N/A",Table1[[#This Row],[DUT Adj Read]]="N/A",Table1[[#This Row],[Std Adj Read]]="N/A"),"N/A",IF(Table1[[#This Row],[DUT Adj Read]]="N/A",IF(Table1[[#This Row],[Std Adj Read]]&gt;=Table1[[#This Row],[Low Tol]],"Pass","Fail"),IF(Table1[[#This Row],[DUT Adj Read]]&gt;=Table1[[#This Row],[Low Tol]],"Pass","Fail")))</f>
        <v>Pass</v>
      </c>
      <c r="AG207" s="1" t="str">
        <f>IF(AND(Table1[[#This Row],[Spec Type2]]="N/A",Table1[[#This Row],[DUT Adj Read]]="N/A",Table1[[#This Row],[Std Adj Read]]="N/A"),"N/A",IF(Table1[[#This Row],[DUT Adj Read]]="N/A",IF(Table1[[#This Row],[Std Adj Read]]&lt;=Table1[[#This Row],[High Tol]],"Pass","Fail"),IF(Table1[[#This Row],[DUT Adj Read]]&lt;=Table1[[#This Row],[High Tol]],"Pass","Fail")))</f>
        <v>Fail</v>
      </c>
      <c r="AH2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 s="1" t="b">
        <v>0</v>
      </c>
      <c r="AN207" s="1" t="b">
        <v>0</v>
      </c>
      <c r="AO207" s="1" t="b">
        <v>0</v>
      </c>
    </row>
    <row r="208" spans="1:41" x14ac:dyDescent="0.25">
      <c r="A208" s="10"/>
      <c r="B208" s="10"/>
      <c r="C208" s="10"/>
      <c r="D208" s="10"/>
      <c r="E208" s="10"/>
      <c r="F208" s="10"/>
      <c r="G208" s="10"/>
      <c r="H208" s="10"/>
      <c r="I208" s="1" t="str">
        <f t="shared" si="9"/>
        <v/>
      </c>
      <c r="J208" s="1" t="s">
        <v>35</v>
      </c>
      <c r="K208" s="1" t="str">
        <f t="shared" si="10"/>
        <v/>
      </c>
      <c r="L208" s="1" t="str">
        <f t="shared" si="11"/>
        <v/>
      </c>
      <c r="M208" s="1">
        <f>IF(OR(Table1[[#This Row],[Std Nom]]="",Table1[[#This Row],[Std Read]]=""),0,Table1[[#This Row],[Std Nom]]-Table1[[#This Row],[Std Read]])</f>
        <v>0</v>
      </c>
      <c r="N208" s="1">
        <f>IF(Calculations!$F$5="ACCREDITED 17025 WITH UNCERTAINTIES",$N$10,0)</f>
        <v>0</v>
      </c>
      <c r="Q208" s="1">
        <f>Table1[[#This Row],[High Tol]]-Table1[[#This Row],[Low Tol]]</f>
        <v>0</v>
      </c>
      <c r="R208" s="1">
        <f>2*Table1[[#This Row],[Std Error]]</f>
        <v>0</v>
      </c>
      <c r="S208" s="1" t="str">
        <f>IF(Table1[[#This Row],[High Tol]]="","N/A",IFERROR(ABS(Table1[[#This Row],[Tol Span]]/Table1[[#This Row],[Error Span]]),"N/A"))</f>
        <v>N/A</v>
      </c>
      <c r="T208" s="1" t="str">
        <f>IF(OR(Table1[[#This Row],[Low Tol]]="",Table1[[#This Row],[High Tol]]=""),"Needs Analysis",IF(Table1[[#This Row],[Ratio]]&gt;=4,"Not Significant",IF(Table1[[#This Row],[Ratio]]&gt;=2,"Semi-Significant","Significant")))</f>
        <v>Needs Analysis</v>
      </c>
      <c r="W208" s="1">
        <f>IF(Table1[[#This Row],[Cal Type]]&lt;&gt;"ACCREDITED 17025 WITH UNCERTAINTIES",0,"")</f>
        <v>0</v>
      </c>
      <c r="X208" s="1" t="str">
        <f>IF(Table1[[#This Row],[DUT Read]]="","N/A",Table1[[#This Row],[Std Error]]+Table1[[#This Row],[DUT Read]]+Table1[[#This Row],[DUT Ucty]])</f>
        <v>N/A</v>
      </c>
      <c r="Y208" s="1" t="str">
        <f>IF(Table1[[#This Row],[Std Read]]="","N/A",Table1[[#This Row],[Std Read]]+Table1[[#This Row],[Std Ucty]])</f>
        <v>N/A</v>
      </c>
      <c r="Z2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 s="1" t="str">
        <f>IF(Table1[[#This Row],[Spec Type]]="","N/A",Table1[[#This Row],[Spec Type]])</f>
        <v>±</v>
      </c>
      <c r="AC208" s="1" t="str">
        <f>IF(Table1[[#This Row],[Spec Type2]]="N/A","N/A",IF(AND(Table1[[#This Row],[DUT Adj Read]]&gt;=Table1[[#This Row],[Low Tol]],Table1[[#This Row],[DUT Adj Read]]&lt;=Table1[[#This Row],[High Tol]]),"Pass","Fail"))</f>
        <v>Fail</v>
      </c>
      <c r="AD208" s="1" t="str">
        <f>IF(AND(Table1[[#This Row],[Spec Type2]]="N/A",Table1[[#This Row],[DUT Adj Read]]="N/A",Table1[[#This Row],[Std Adj Read]]="N/A"),"N/A",IF(Table1[[#This Row],[DUT Adj Read]]="N/A",IF(Table1[[#This Row],[Std Adj Read]]&gt;Table1[[#This Row],[Low Tol]],"Pass","Fail"),IF(Table1[[#This Row],[DUT Adj Read]]&gt;Table1[[#This Row],[Low Tol]],"Pass","Fail")))</f>
        <v>Pass</v>
      </c>
      <c r="AE208" s="1" t="str">
        <f>IF(AND(Table1[[#This Row],[Spec Type2]]="N/A",Table1[[#This Row],[DUT Adj Read]]="N/A",Table1[[#This Row],[Std Adj Read]]="N/A"),"N/A",IF(Table1[[#This Row],[DUT Adj Read]]="N/A",IF(Table1[[#This Row],[Std Adj Read]]&lt;Table1[[#This Row],[High Tol]],"Pass","Fail"),IF(Table1[[#This Row],[DUT Adj Read]]&lt;Table1[[#This Row],[High Tol]],"Pass","Fail")))</f>
        <v>Fail</v>
      </c>
      <c r="AF208" s="1" t="str">
        <f>IF(AND(Table1[[#This Row],[Spec Type2]]="N/A",Table1[[#This Row],[DUT Adj Read]]="N/A",Table1[[#This Row],[Std Adj Read]]="N/A"),"N/A",IF(Table1[[#This Row],[DUT Adj Read]]="N/A",IF(Table1[[#This Row],[Std Adj Read]]&gt;=Table1[[#This Row],[Low Tol]],"Pass","Fail"),IF(Table1[[#This Row],[DUT Adj Read]]&gt;=Table1[[#This Row],[Low Tol]],"Pass","Fail")))</f>
        <v>Pass</v>
      </c>
      <c r="AG208" s="1" t="str">
        <f>IF(AND(Table1[[#This Row],[Spec Type2]]="N/A",Table1[[#This Row],[DUT Adj Read]]="N/A",Table1[[#This Row],[Std Adj Read]]="N/A"),"N/A",IF(Table1[[#This Row],[DUT Adj Read]]="N/A",IF(Table1[[#This Row],[Std Adj Read]]&lt;=Table1[[#This Row],[High Tol]],"Pass","Fail"),IF(Table1[[#This Row],[DUT Adj Read]]&lt;=Table1[[#This Row],[High Tol]],"Pass","Fail")))</f>
        <v>Fail</v>
      </c>
      <c r="AH2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 s="1" t="b">
        <v>0</v>
      </c>
      <c r="AN208" s="1" t="b">
        <v>0</v>
      </c>
      <c r="AO208" s="1" t="b">
        <v>0</v>
      </c>
    </row>
    <row r="209" spans="1:41" x14ac:dyDescent="0.25">
      <c r="A209" s="10"/>
      <c r="B209" s="10"/>
      <c r="C209" s="10"/>
      <c r="D209" s="10"/>
      <c r="E209" s="10"/>
      <c r="F209" s="10"/>
      <c r="G209" s="10"/>
      <c r="H209" s="10"/>
      <c r="I209" s="1" t="str">
        <f t="shared" si="9"/>
        <v/>
      </c>
      <c r="J209" s="1" t="s">
        <v>35</v>
      </c>
      <c r="K209" s="1" t="str">
        <f t="shared" si="10"/>
        <v/>
      </c>
      <c r="L209" s="1" t="str">
        <f t="shared" si="11"/>
        <v/>
      </c>
      <c r="M209" s="1">
        <f>IF(OR(Table1[[#This Row],[Std Nom]]="",Table1[[#This Row],[Std Read]]=""),0,Table1[[#This Row],[Std Nom]]-Table1[[#This Row],[Std Read]])</f>
        <v>0</v>
      </c>
      <c r="N209" s="1">
        <f>IF(Calculations!$F$5="ACCREDITED 17025 WITH UNCERTAINTIES",$N$10,0)</f>
        <v>0</v>
      </c>
      <c r="Q209" s="1">
        <f>Table1[[#This Row],[High Tol]]-Table1[[#This Row],[Low Tol]]</f>
        <v>0</v>
      </c>
      <c r="R209" s="1">
        <f>2*Table1[[#This Row],[Std Error]]</f>
        <v>0</v>
      </c>
      <c r="S209" s="1" t="str">
        <f>IF(Table1[[#This Row],[High Tol]]="","N/A",IFERROR(ABS(Table1[[#This Row],[Tol Span]]/Table1[[#This Row],[Error Span]]),"N/A"))</f>
        <v>N/A</v>
      </c>
      <c r="T209" s="1" t="str">
        <f>IF(OR(Table1[[#This Row],[Low Tol]]="",Table1[[#This Row],[High Tol]]=""),"Needs Analysis",IF(Table1[[#This Row],[Ratio]]&gt;=4,"Not Significant",IF(Table1[[#This Row],[Ratio]]&gt;=2,"Semi-Significant","Significant")))</f>
        <v>Needs Analysis</v>
      </c>
      <c r="W209" s="1">
        <f>IF(Table1[[#This Row],[Cal Type]]&lt;&gt;"ACCREDITED 17025 WITH UNCERTAINTIES",0,"")</f>
        <v>0</v>
      </c>
      <c r="X209" s="1" t="str">
        <f>IF(Table1[[#This Row],[DUT Read]]="","N/A",Table1[[#This Row],[Std Error]]+Table1[[#This Row],[DUT Read]]+Table1[[#This Row],[DUT Ucty]])</f>
        <v>N/A</v>
      </c>
      <c r="Y209" s="1" t="str">
        <f>IF(Table1[[#This Row],[Std Read]]="","N/A",Table1[[#This Row],[Std Read]]+Table1[[#This Row],[Std Ucty]])</f>
        <v>N/A</v>
      </c>
      <c r="Z2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 s="1" t="str">
        <f>IF(Table1[[#This Row],[Spec Type]]="","N/A",Table1[[#This Row],[Spec Type]])</f>
        <v>±</v>
      </c>
      <c r="AC209" s="1" t="str">
        <f>IF(Table1[[#This Row],[Spec Type2]]="N/A","N/A",IF(AND(Table1[[#This Row],[DUT Adj Read]]&gt;=Table1[[#This Row],[Low Tol]],Table1[[#This Row],[DUT Adj Read]]&lt;=Table1[[#This Row],[High Tol]]),"Pass","Fail"))</f>
        <v>Fail</v>
      </c>
      <c r="AD209" s="1" t="str">
        <f>IF(AND(Table1[[#This Row],[Spec Type2]]="N/A",Table1[[#This Row],[DUT Adj Read]]="N/A",Table1[[#This Row],[Std Adj Read]]="N/A"),"N/A",IF(Table1[[#This Row],[DUT Adj Read]]="N/A",IF(Table1[[#This Row],[Std Adj Read]]&gt;Table1[[#This Row],[Low Tol]],"Pass","Fail"),IF(Table1[[#This Row],[DUT Adj Read]]&gt;Table1[[#This Row],[Low Tol]],"Pass","Fail")))</f>
        <v>Pass</v>
      </c>
      <c r="AE209" s="1" t="str">
        <f>IF(AND(Table1[[#This Row],[Spec Type2]]="N/A",Table1[[#This Row],[DUT Adj Read]]="N/A",Table1[[#This Row],[Std Adj Read]]="N/A"),"N/A",IF(Table1[[#This Row],[DUT Adj Read]]="N/A",IF(Table1[[#This Row],[Std Adj Read]]&lt;Table1[[#This Row],[High Tol]],"Pass","Fail"),IF(Table1[[#This Row],[DUT Adj Read]]&lt;Table1[[#This Row],[High Tol]],"Pass","Fail")))</f>
        <v>Fail</v>
      </c>
      <c r="AF209" s="1" t="str">
        <f>IF(AND(Table1[[#This Row],[Spec Type2]]="N/A",Table1[[#This Row],[DUT Adj Read]]="N/A",Table1[[#This Row],[Std Adj Read]]="N/A"),"N/A",IF(Table1[[#This Row],[DUT Adj Read]]="N/A",IF(Table1[[#This Row],[Std Adj Read]]&gt;=Table1[[#This Row],[Low Tol]],"Pass","Fail"),IF(Table1[[#This Row],[DUT Adj Read]]&gt;=Table1[[#This Row],[Low Tol]],"Pass","Fail")))</f>
        <v>Pass</v>
      </c>
      <c r="AG209" s="1" t="str">
        <f>IF(AND(Table1[[#This Row],[Spec Type2]]="N/A",Table1[[#This Row],[DUT Adj Read]]="N/A",Table1[[#This Row],[Std Adj Read]]="N/A"),"N/A",IF(Table1[[#This Row],[DUT Adj Read]]="N/A",IF(Table1[[#This Row],[Std Adj Read]]&lt;=Table1[[#This Row],[High Tol]],"Pass","Fail"),IF(Table1[[#This Row],[DUT Adj Read]]&lt;=Table1[[#This Row],[High Tol]],"Pass","Fail")))</f>
        <v>Fail</v>
      </c>
      <c r="AH2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 s="1" t="b">
        <v>0</v>
      </c>
      <c r="AN209" s="1" t="b">
        <v>0</v>
      </c>
      <c r="AO209" s="1" t="b">
        <v>0</v>
      </c>
    </row>
    <row r="210" spans="1:41" x14ac:dyDescent="0.25">
      <c r="A210" s="10"/>
      <c r="B210" s="10"/>
      <c r="C210" s="10"/>
      <c r="D210" s="10"/>
      <c r="E210" s="10"/>
      <c r="F210" s="10"/>
      <c r="G210" s="10"/>
      <c r="H210" s="10"/>
      <c r="I210" s="1" t="str">
        <f t="shared" si="9"/>
        <v/>
      </c>
      <c r="J210" s="1" t="s">
        <v>35</v>
      </c>
      <c r="K210" s="1" t="str">
        <f t="shared" si="10"/>
        <v/>
      </c>
      <c r="L210" s="1" t="str">
        <f t="shared" si="11"/>
        <v/>
      </c>
      <c r="M210" s="1">
        <f>IF(OR(Table1[[#This Row],[Std Nom]]="",Table1[[#This Row],[Std Read]]=""),0,Table1[[#This Row],[Std Nom]]-Table1[[#This Row],[Std Read]])</f>
        <v>0</v>
      </c>
      <c r="N210" s="1">
        <f>IF(Calculations!$F$5="ACCREDITED 17025 WITH UNCERTAINTIES",$N$10,0)</f>
        <v>0</v>
      </c>
      <c r="Q210" s="1">
        <f>Table1[[#This Row],[High Tol]]-Table1[[#This Row],[Low Tol]]</f>
        <v>0</v>
      </c>
      <c r="R210" s="1">
        <f>2*Table1[[#This Row],[Std Error]]</f>
        <v>0</v>
      </c>
      <c r="S210" s="1" t="str">
        <f>IF(Table1[[#This Row],[High Tol]]="","N/A",IFERROR(ABS(Table1[[#This Row],[Tol Span]]/Table1[[#This Row],[Error Span]]),"N/A"))</f>
        <v>N/A</v>
      </c>
      <c r="T210" s="1" t="str">
        <f>IF(OR(Table1[[#This Row],[Low Tol]]="",Table1[[#This Row],[High Tol]]=""),"Needs Analysis",IF(Table1[[#This Row],[Ratio]]&gt;=4,"Not Significant",IF(Table1[[#This Row],[Ratio]]&gt;=2,"Semi-Significant","Significant")))</f>
        <v>Needs Analysis</v>
      </c>
      <c r="W210" s="1">
        <f>IF(Table1[[#This Row],[Cal Type]]&lt;&gt;"ACCREDITED 17025 WITH UNCERTAINTIES",0,"")</f>
        <v>0</v>
      </c>
      <c r="X210" s="1" t="str">
        <f>IF(Table1[[#This Row],[DUT Read]]="","N/A",Table1[[#This Row],[Std Error]]+Table1[[#This Row],[DUT Read]]+Table1[[#This Row],[DUT Ucty]])</f>
        <v>N/A</v>
      </c>
      <c r="Y210" s="1" t="str">
        <f>IF(Table1[[#This Row],[Std Read]]="","N/A",Table1[[#This Row],[Std Read]]+Table1[[#This Row],[Std Ucty]])</f>
        <v>N/A</v>
      </c>
      <c r="Z2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 s="1" t="str">
        <f>IF(Table1[[#This Row],[Spec Type]]="","N/A",Table1[[#This Row],[Spec Type]])</f>
        <v>±</v>
      </c>
      <c r="AC210" s="1" t="str">
        <f>IF(Table1[[#This Row],[Spec Type2]]="N/A","N/A",IF(AND(Table1[[#This Row],[DUT Adj Read]]&gt;=Table1[[#This Row],[Low Tol]],Table1[[#This Row],[DUT Adj Read]]&lt;=Table1[[#This Row],[High Tol]]),"Pass","Fail"))</f>
        <v>Fail</v>
      </c>
      <c r="AD210" s="1" t="str">
        <f>IF(AND(Table1[[#This Row],[Spec Type2]]="N/A",Table1[[#This Row],[DUT Adj Read]]="N/A",Table1[[#This Row],[Std Adj Read]]="N/A"),"N/A",IF(Table1[[#This Row],[DUT Adj Read]]="N/A",IF(Table1[[#This Row],[Std Adj Read]]&gt;Table1[[#This Row],[Low Tol]],"Pass","Fail"),IF(Table1[[#This Row],[DUT Adj Read]]&gt;Table1[[#This Row],[Low Tol]],"Pass","Fail")))</f>
        <v>Pass</v>
      </c>
      <c r="AE210" s="1" t="str">
        <f>IF(AND(Table1[[#This Row],[Spec Type2]]="N/A",Table1[[#This Row],[DUT Adj Read]]="N/A",Table1[[#This Row],[Std Adj Read]]="N/A"),"N/A",IF(Table1[[#This Row],[DUT Adj Read]]="N/A",IF(Table1[[#This Row],[Std Adj Read]]&lt;Table1[[#This Row],[High Tol]],"Pass","Fail"),IF(Table1[[#This Row],[DUT Adj Read]]&lt;Table1[[#This Row],[High Tol]],"Pass","Fail")))</f>
        <v>Fail</v>
      </c>
      <c r="AF210" s="1" t="str">
        <f>IF(AND(Table1[[#This Row],[Spec Type2]]="N/A",Table1[[#This Row],[DUT Adj Read]]="N/A",Table1[[#This Row],[Std Adj Read]]="N/A"),"N/A",IF(Table1[[#This Row],[DUT Adj Read]]="N/A",IF(Table1[[#This Row],[Std Adj Read]]&gt;=Table1[[#This Row],[Low Tol]],"Pass","Fail"),IF(Table1[[#This Row],[DUT Adj Read]]&gt;=Table1[[#This Row],[Low Tol]],"Pass","Fail")))</f>
        <v>Pass</v>
      </c>
      <c r="AG210" s="1" t="str">
        <f>IF(AND(Table1[[#This Row],[Spec Type2]]="N/A",Table1[[#This Row],[DUT Adj Read]]="N/A",Table1[[#This Row],[Std Adj Read]]="N/A"),"N/A",IF(Table1[[#This Row],[DUT Adj Read]]="N/A",IF(Table1[[#This Row],[Std Adj Read]]&lt;=Table1[[#This Row],[High Tol]],"Pass","Fail"),IF(Table1[[#This Row],[DUT Adj Read]]&lt;=Table1[[#This Row],[High Tol]],"Pass","Fail")))</f>
        <v>Fail</v>
      </c>
      <c r="AH2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 s="1" t="b">
        <v>0</v>
      </c>
      <c r="AN210" s="1" t="b">
        <v>0</v>
      </c>
      <c r="AO210" s="1" t="b">
        <v>0</v>
      </c>
    </row>
    <row r="211" spans="1:41" x14ac:dyDescent="0.25">
      <c r="A211" s="10"/>
      <c r="B211" s="10"/>
      <c r="C211" s="10"/>
      <c r="D211" s="10"/>
      <c r="E211" s="10"/>
      <c r="F211" s="10"/>
      <c r="G211" s="10"/>
      <c r="H211" s="10"/>
      <c r="I211" s="1" t="str">
        <f t="shared" si="9"/>
        <v/>
      </c>
      <c r="J211" s="1" t="s">
        <v>35</v>
      </c>
      <c r="K211" s="1" t="str">
        <f t="shared" si="10"/>
        <v/>
      </c>
      <c r="L211" s="1" t="str">
        <f t="shared" si="11"/>
        <v/>
      </c>
      <c r="M211" s="1">
        <f>IF(OR(Table1[[#This Row],[Std Nom]]="",Table1[[#This Row],[Std Read]]=""),0,Table1[[#This Row],[Std Nom]]-Table1[[#This Row],[Std Read]])</f>
        <v>0</v>
      </c>
      <c r="N211" s="1">
        <f>IF(Calculations!$F$5="ACCREDITED 17025 WITH UNCERTAINTIES",$N$10,0)</f>
        <v>0</v>
      </c>
      <c r="Q211" s="1">
        <f>Table1[[#This Row],[High Tol]]-Table1[[#This Row],[Low Tol]]</f>
        <v>0</v>
      </c>
      <c r="R211" s="1">
        <f>2*Table1[[#This Row],[Std Error]]</f>
        <v>0</v>
      </c>
      <c r="S211" s="1" t="str">
        <f>IF(Table1[[#This Row],[High Tol]]="","N/A",IFERROR(ABS(Table1[[#This Row],[Tol Span]]/Table1[[#This Row],[Error Span]]),"N/A"))</f>
        <v>N/A</v>
      </c>
      <c r="T211" s="1" t="str">
        <f>IF(OR(Table1[[#This Row],[Low Tol]]="",Table1[[#This Row],[High Tol]]=""),"Needs Analysis",IF(Table1[[#This Row],[Ratio]]&gt;=4,"Not Significant",IF(Table1[[#This Row],[Ratio]]&gt;=2,"Semi-Significant","Significant")))</f>
        <v>Needs Analysis</v>
      </c>
      <c r="W211" s="1">
        <f>IF(Table1[[#This Row],[Cal Type]]&lt;&gt;"ACCREDITED 17025 WITH UNCERTAINTIES",0,"")</f>
        <v>0</v>
      </c>
      <c r="X211" s="1" t="str">
        <f>IF(Table1[[#This Row],[DUT Read]]="","N/A",Table1[[#This Row],[Std Error]]+Table1[[#This Row],[DUT Read]]+Table1[[#This Row],[DUT Ucty]])</f>
        <v>N/A</v>
      </c>
      <c r="Y211" s="1" t="str">
        <f>IF(Table1[[#This Row],[Std Read]]="","N/A",Table1[[#This Row],[Std Read]]+Table1[[#This Row],[Std Ucty]])</f>
        <v>N/A</v>
      </c>
      <c r="Z2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 s="1" t="str">
        <f>IF(Table1[[#This Row],[Spec Type]]="","N/A",Table1[[#This Row],[Spec Type]])</f>
        <v>±</v>
      </c>
      <c r="AC211" s="1" t="str">
        <f>IF(Table1[[#This Row],[Spec Type2]]="N/A","N/A",IF(AND(Table1[[#This Row],[DUT Adj Read]]&gt;=Table1[[#This Row],[Low Tol]],Table1[[#This Row],[DUT Adj Read]]&lt;=Table1[[#This Row],[High Tol]]),"Pass","Fail"))</f>
        <v>Fail</v>
      </c>
      <c r="AD211" s="1" t="str">
        <f>IF(AND(Table1[[#This Row],[Spec Type2]]="N/A",Table1[[#This Row],[DUT Adj Read]]="N/A",Table1[[#This Row],[Std Adj Read]]="N/A"),"N/A",IF(Table1[[#This Row],[DUT Adj Read]]="N/A",IF(Table1[[#This Row],[Std Adj Read]]&gt;Table1[[#This Row],[Low Tol]],"Pass","Fail"),IF(Table1[[#This Row],[DUT Adj Read]]&gt;Table1[[#This Row],[Low Tol]],"Pass","Fail")))</f>
        <v>Pass</v>
      </c>
      <c r="AE211" s="1" t="str">
        <f>IF(AND(Table1[[#This Row],[Spec Type2]]="N/A",Table1[[#This Row],[DUT Adj Read]]="N/A",Table1[[#This Row],[Std Adj Read]]="N/A"),"N/A",IF(Table1[[#This Row],[DUT Adj Read]]="N/A",IF(Table1[[#This Row],[Std Adj Read]]&lt;Table1[[#This Row],[High Tol]],"Pass","Fail"),IF(Table1[[#This Row],[DUT Adj Read]]&lt;Table1[[#This Row],[High Tol]],"Pass","Fail")))</f>
        <v>Fail</v>
      </c>
      <c r="AF211" s="1" t="str">
        <f>IF(AND(Table1[[#This Row],[Spec Type2]]="N/A",Table1[[#This Row],[DUT Adj Read]]="N/A",Table1[[#This Row],[Std Adj Read]]="N/A"),"N/A",IF(Table1[[#This Row],[DUT Adj Read]]="N/A",IF(Table1[[#This Row],[Std Adj Read]]&gt;=Table1[[#This Row],[Low Tol]],"Pass","Fail"),IF(Table1[[#This Row],[DUT Adj Read]]&gt;=Table1[[#This Row],[Low Tol]],"Pass","Fail")))</f>
        <v>Pass</v>
      </c>
      <c r="AG211" s="1" t="str">
        <f>IF(AND(Table1[[#This Row],[Spec Type2]]="N/A",Table1[[#This Row],[DUT Adj Read]]="N/A",Table1[[#This Row],[Std Adj Read]]="N/A"),"N/A",IF(Table1[[#This Row],[DUT Adj Read]]="N/A",IF(Table1[[#This Row],[Std Adj Read]]&lt;=Table1[[#This Row],[High Tol]],"Pass","Fail"),IF(Table1[[#This Row],[DUT Adj Read]]&lt;=Table1[[#This Row],[High Tol]],"Pass","Fail")))</f>
        <v>Fail</v>
      </c>
      <c r="AH2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 s="1" t="b">
        <v>0</v>
      </c>
      <c r="AN211" s="1" t="b">
        <v>0</v>
      </c>
      <c r="AO211" s="1" t="b">
        <v>0</v>
      </c>
    </row>
    <row r="212" spans="1:41" x14ac:dyDescent="0.25">
      <c r="A212" s="10"/>
      <c r="B212" s="10"/>
      <c r="C212" s="10"/>
      <c r="D212" s="10"/>
      <c r="E212" s="10"/>
      <c r="F212" s="10"/>
      <c r="G212" s="10"/>
      <c r="H212" s="10"/>
      <c r="I212" s="1" t="str">
        <f t="shared" si="9"/>
        <v/>
      </c>
      <c r="J212" s="1" t="s">
        <v>35</v>
      </c>
      <c r="K212" s="1" t="str">
        <f t="shared" si="10"/>
        <v/>
      </c>
      <c r="L212" s="1" t="str">
        <f t="shared" si="11"/>
        <v/>
      </c>
      <c r="M212" s="1">
        <f>IF(OR(Table1[[#This Row],[Std Nom]]="",Table1[[#This Row],[Std Read]]=""),0,Table1[[#This Row],[Std Nom]]-Table1[[#This Row],[Std Read]])</f>
        <v>0</v>
      </c>
      <c r="N212" s="1">
        <f>IF(Calculations!$F$5="ACCREDITED 17025 WITH UNCERTAINTIES",$N$10,0)</f>
        <v>0</v>
      </c>
      <c r="Q212" s="1">
        <f>Table1[[#This Row],[High Tol]]-Table1[[#This Row],[Low Tol]]</f>
        <v>0</v>
      </c>
      <c r="R212" s="1">
        <f>2*Table1[[#This Row],[Std Error]]</f>
        <v>0</v>
      </c>
      <c r="S212" s="1" t="str">
        <f>IF(Table1[[#This Row],[High Tol]]="","N/A",IFERROR(ABS(Table1[[#This Row],[Tol Span]]/Table1[[#This Row],[Error Span]]),"N/A"))</f>
        <v>N/A</v>
      </c>
      <c r="T212" s="1" t="str">
        <f>IF(OR(Table1[[#This Row],[Low Tol]]="",Table1[[#This Row],[High Tol]]=""),"Needs Analysis",IF(Table1[[#This Row],[Ratio]]&gt;=4,"Not Significant",IF(Table1[[#This Row],[Ratio]]&gt;=2,"Semi-Significant","Significant")))</f>
        <v>Needs Analysis</v>
      </c>
      <c r="W212" s="1">
        <f>IF(Table1[[#This Row],[Cal Type]]&lt;&gt;"ACCREDITED 17025 WITH UNCERTAINTIES",0,"")</f>
        <v>0</v>
      </c>
      <c r="X212" s="1" t="str">
        <f>IF(Table1[[#This Row],[DUT Read]]="","N/A",Table1[[#This Row],[Std Error]]+Table1[[#This Row],[DUT Read]]+Table1[[#This Row],[DUT Ucty]])</f>
        <v>N/A</v>
      </c>
      <c r="Y212" s="1" t="str">
        <f>IF(Table1[[#This Row],[Std Read]]="","N/A",Table1[[#This Row],[Std Read]]+Table1[[#This Row],[Std Ucty]])</f>
        <v>N/A</v>
      </c>
      <c r="Z2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 s="1" t="str">
        <f>IF(Table1[[#This Row],[Spec Type]]="","N/A",Table1[[#This Row],[Spec Type]])</f>
        <v>±</v>
      </c>
      <c r="AC212" s="1" t="str">
        <f>IF(Table1[[#This Row],[Spec Type2]]="N/A","N/A",IF(AND(Table1[[#This Row],[DUT Adj Read]]&gt;=Table1[[#This Row],[Low Tol]],Table1[[#This Row],[DUT Adj Read]]&lt;=Table1[[#This Row],[High Tol]]),"Pass","Fail"))</f>
        <v>Fail</v>
      </c>
      <c r="AD212" s="1" t="str">
        <f>IF(AND(Table1[[#This Row],[Spec Type2]]="N/A",Table1[[#This Row],[DUT Adj Read]]="N/A",Table1[[#This Row],[Std Adj Read]]="N/A"),"N/A",IF(Table1[[#This Row],[DUT Adj Read]]="N/A",IF(Table1[[#This Row],[Std Adj Read]]&gt;Table1[[#This Row],[Low Tol]],"Pass","Fail"),IF(Table1[[#This Row],[DUT Adj Read]]&gt;Table1[[#This Row],[Low Tol]],"Pass","Fail")))</f>
        <v>Pass</v>
      </c>
      <c r="AE212" s="1" t="str">
        <f>IF(AND(Table1[[#This Row],[Spec Type2]]="N/A",Table1[[#This Row],[DUT Adj Read]]="N/A",Table1[[#This Row],[Std Adj Read]]="N/A"),"N/A",IF(Table1[[#This Row],[DUT Adj Read]]="N/A",IF(Table1[[#This Row],[Std Adj Read]]&lt;Table1[[#This Row],[High Tol]],"Pass","Fail"),IF(Table1[[#This Row],[DUT Adj Read]]&lt;Table1[[#This Row],[High Tol]],"Pass","Fail")))</f>
        <v>Fail</v>
      </c>
      <c r="AF212" s="1" t="str">
        <f>IF(AND(Table1[[#This Row],[Spec Type2]]="N/A",Table1[[#This Row],[DUT Adj Read]]="N/A",Table1[[#This Row],[Std Adj Read]]="N/A"),"N/A",IF(Table1[[#This Row],[DUT Adj Read]]="N/A",IF(Table1[[#This Row],[Std Adj Read]]&gt;=Table1[[#This Row],[Low Tol]],"Pass","Fail"),IF(Table1[[#This Row],[DUT Adj Read]]&gt;=Table1[[#This Row],[Low Tol]],"Pass","Fail")))</f>
        <v>Pass</v>
      </c>
      <c r="AG212" s="1" t="str">
        <f>IF(AND(Table1[[#This Row],[Spec Type2]]="N/A",Table1[[#This Row],[DUT Adj Read]]="N/A",Table1[[#This Row],[Std Adj Read]]="N/A"),"N/A",IF(Table1[[#This Row],[DUT Adj Read]]="N/A",IF(Table1[[#This Row],[Std Adj Read]]&lt;=Table1[[#This Row],[High Tol]],"Pass","Fail"),IF(Table1[[#This Row],[DUT Adj Read]]&lt;=Table1[[#This Row],[High Tol]],"Pass","Fail")))</f>
        <v>Fail</v>
      </c>
      <c r="AH2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 s="1" t="b">
        <v>0</v>
      </c>
      <c r="AN212" s="1" t="b">
        <v>0</v>
      </c>
      <c r="AO212" s="1" t="b">
        <v>0</v>
      </c>
    </row>
    <row r="213" spans="1:41" x14ac:dyDescent="0.25">
      <c r="A213" s="10"/>
      <c r="B213" s="10"/>
      <c r="C213" s="10"/>
      <c r="D213" s="10"/>
      <c r="E213" s="10"/>
      <c r="F213" s="10"/>
      <c r="G213" s="10"/>
      <c r="H213" s="10"/>
      <c r="I213" s="1" t="str">
        <f t="shared" si="9"/>
        <v/>
      </c>
      <c r="J213" s="1" t="s">
        <v>35</v>
      </c>
      <c r="K213" s="1" t="str">
        <f t="shared" si="10"/>
        <v/>
      </c>
      <c r="L213" s="1" t="str">
        <f t="shared" si="11"/>
        <v/>
      </c>
      <c r="M213" s="1">
        <f>IF(OR(Table1[[#This Row],[Std Nom]]="",Table1[[#This Row],[Std Read]]=""),0,Table1[[#This Row],[Std Nom]]-Table1[[#This Row],[Std Read]])</f>
        <v>0</v>
      </c>
      <c r="N213" s="1">
        <f>IF(Calculations!$F$5="ACCREDITED 17025 WITH UNCERTAINTIES",$N$10,0)</f>
        <v>0</v>
      </c>
      <c r="Q213" s="1">
        <f>Table1[[#This Row],[High Tol]]-Table1[[#This Row],[Low Tol]]</f>
        <v>0</v>
      </c>
      <c r="R213" s="1">
        <f>2*Table1[[#This Row],[Std Error]]</f>
        <v>0</v>
      </c>
      <c r="S213" s="1" t="str">
        <f>IF(Table1[[#This Row],[High Tol]]="","N/A",IFERROR(ABS(Table1[[#This Row],[Tol Span]]/Table1[[#This Row],[Error Span]]),"N/A"))</f>
        <v>N/A</v>
      </c>
      <c r="T213" s="1" t="str">
        <f>IF(OR(Table1[[#This Row],[Low Tol]]="",Table1[[#This Row],[High Tol]]=""),"Needs Analysis",IF(Table1[[#This Row],[Ratio]]&gt;=4,"Not Significant",IF(Table1[[#This Row],[Ratio]]&gt;=2,"Semi-Significant","Significant")))</f>
        <v>Needs Analysis</v>
      </c>
      <c r="W213" s="1">
        <f>IF(Table1[[#This Row],[Cal Type]]&lt;&gt;"ACCREDITED 17025 WITH UNCERTAINTIES",0,"")</f>
        <v>0</v>
      </c>
      <c r="X213" s="1" t="str">
        <f>IF(Table1[[#This Row],[DUT Read]]="","N/A",Table1[[#This Row],[Std Error]]+Table1[[#This Row],[DUT Read]]+Table1[[#This Row],[DUT Ucty]])</f>
        <v>N/A</v>
      </c>
      <c r="Y213" s="1" t="str">
        <f>IF(Table1[[#This Row],[Std Read]]="","N/A",Table1[[#This Row],[Std Read]]+Table1[[#This Row],[Std Ucty]])</f>
        <v>N/A</v>
      </c>
      <c r="Z2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 s="1" t="str">
        <f>IF(Table1[[#This Row],[Spec Type]]="","N/A",Table1[[#This Row],[Spec Type]])</f>
        <v>±</v>
      </c>
      <c r="AC213" s="1" t="str">
        <f>IF(Table1[[#This Row],[Spec Type2]]="N/A","N/A",IF(AND(Table1[[#This Row],[DUT Adj Read]]&gt;=Table1[[#This Row],[Low Tol]],Table1[[#This Row],[DUT Adj Read]]&lt;=Table1[[#This Row],[High Tol]]),"Pass","Fail"))</f>
        <v>Fail</v>
      </c>
      <c r="AD213" s="1" t="str">
        <f>IF(AND(Table1[[#This Row],[Spec Type2]]="N/A",Table1[[#This Row],[DUT Adj Read]]="N/A",Table1[[#This Row],[Std Adj Read]]="N/A"),"N/A",IF(Table1[[#This Row],[DUT Adj Read]]="N/A",IF(Table1[[#This Row],[Std Adj Read]]&gt;Table1[[#This Row],[Low Tol]],"Pass","Fail"),IF(Table1[[#This Row],[DUT Adj Read]]&gt;Table1[[#This Row],[Low Tol]],"Pass","Fail")))</f>
        <v>Pass</v>
      </c>
      <c r="AE213" s="1" t="str">
        <f>IF(AND(Table1[[#This Row],[Spec Type2]]="N/A",Table1[[#This Row],[DUT Adj Read]]="N/A",Table1[[#This Row],[Std Adj Read]]="N/A"),"N/A",IF(Table1[[#This Row],[DUT Adj Read]]="N/A",IF(Table1[[#This Row],[Std Adj Read]]&lt;Table1[[#This Row],[High Tol]],"Pass","Fail"),IF(Table1[[#This Row],[DUT Adj Read]]&lt;Table1[[#This Row],[High Tol]],"Pass","Fail")))</f>
        <v>Fail</v>
      </c>
      <c r="AF213" s="1" t="str">
        <f>IF(AND(Table1[[#This Row],[Spec Type2]]="N/A",Table1[[#This Row],[DUT Adj Read]]="N/A",Table1[[#This Row],[Std Adj Read]]="N/A"),"N/A",IF(Table1[[#This Row],[DUT Adj Read]]="N/A",IF(Table1[[#This Row],[Std Adj Read]]&gt;=Table1[[#This Row],[Low Tol]],"Pass","Fail"),IF(Table1[[#This Row],[DUT Adj Read]]&gt;=Table1[[#This Row],[Low Tol]],"Pass","Fail")))</f>
        <v>Pass</v>
      </c>
      <c r="AG213" s="1" t="str">
        <f>IF(AND(Table1[[#This Row],[Spec Type2]]="N/A",Table1[[#This Row],[DUT Adj Read]]="N/A",Table1[[#This Row],[Std Adj Read]]="N/A"),"N/A",IF(Table1[[#This Row],[DUT Adj Read]]="N/A",IF(Table1[[#This Row],[Std Adj Read]]&lt;=Table1[[#This Row],[High Tol]],"Pass","Fail"),IF(Table1[[#This Row],[DUT Adj Read]]&lt;=Table1[[#This Row],[High Tol]],"Pass","Fail")))</f>
        <v>Fail</v>
      </c>
      <c r="AH2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 s="1" t="b">
        <v>0</v>
      </c>
      <c r="AN213" s="1" t="b">
        <v>0</v>
      </c>
      <c r="AO213" s="1" t="b">
        <v>0</v>
      </c>
    </row>
    <row r="214" spans="1:41" x14ac:dyDescent="0.25">
      <c r="A214" s="10"/>
      <c r="B214" s="10"/>
      <c r="C214" s="10"/>
      <c r="D214" s="10"/>
      <c r="E214" s="10"/>
      <c r="F214" s="10"/>
      <c r="G214" s="10"/>
      <c r="H214" s="10"/>
      <c r="I214" s="1" t="str">
        <f t="shared" si="9"/>
        <v/>
      </c>
      <c r="J214" s="1" t="s">
        <v>35</v>
      </c>
      <c r="K214" s="1" t="str">
        <f t="shared" si="10"/>
        <v/>
      </c>
      <c r="L214" s="1" t="str">
        <f t="shared" si="11"/>
        <v/>
      </c>
      <c r="M214" s="1">
        <f>IF(OR(Table1[[#This Row],[Std Nom]]="",Table1[[#This Row],[Std Read]]=""),0,Table1[[#This Row],[Std Nom]]-Table1[[#This Row],[Std Read]])</f>
        <v>0</v>
      </c>
      <c r="N214" s="1">
        <f>IF(Calculations!$F$5="ACCREDITED 17025 WITH UNCERTAINTIES",$N$10,0)</f>
        <v>0</v>
      </c>
      <c r="Q214" s="1">
        <f>Table1[[#This Row],[High Tol]]-Table1[[#This Row],[Low Tol]]</f>
        <v>0</v>
      </c>
      <c r="R214" s="1">
        <f>2*Table1[[#This Row],[Std Error]]</f>
        <v>0</v>
      </c>
      <c r="S214" s="1" t="str">
        <f>IF(Table1[[#This Row],[High Tol]]="","N/A",IFERROR(ABS(Table1[[#This Row],[Tol Span]]/Table1[[#This Row],[Error Span]]),"N/A"))</f>
        <v>N/A</v>
      </c>
      <c r="T214" s="1" t="str">
        <f>IF(OR(Table1[[#This Row],[Low Tol]]="",Table1[[#This Row],[High Tol]]=""),"Needs Analysis",IF(Table1[[#This Row],[Ratio]]&gt;=4,"Not Significant",IF(Table1[[#This Row],[Ratio]]&gt;=2,"Semi-Significant","Significant")))</f>
        <v>Needs Analysis</v>
      </c>
      <c r="W214" s="1">
        <f>IF(Table1[[#This Row],[Cal Type]]&lt;&gt;"ACCREDITED 17025 WITH UNCERTAINTIES",0,"")</f>
        <v>0</v>
      </c>
      <c r="X214" s="1" t="str">
        <f>IF(Table1[[#This Row],[DUT Read]]="","N/A",Table1[[#This Row],[Std Error]]+Table1[[#This Row],[DUT Read]]+Table1[[#This Row],[DUT Ucty]])</f>
        <v>N/A</v>
      </c>
      <c r="Y214" s="1" t="str">
        <f>IF(Table1[[#This Row],[Std Read]]="","N/A",Table1[[#This Row],[Std Read]]+Table1[[#This Row],[Std Ucty]])</f>
        <v>N/A</v>
      </c>
      <c r="Z2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 s="1" t="str">
        <f>IF(Table1[[#This Row],[Spec Type]]="","N/A",Table1[[#This Row],[Spec Type]])</f>
        <v>±</v>
      </c>
      <c r="AC214" s="1" t="str">
        <f>IF(Table1[[#This Row],[Spec Type2]]="N/A","N/A",IF(AND(Table1[[#This Row],[DUT Adj Read]]&gt;=Table1[[#This Row],[Low Tol]],Table1[[#This Row],[DUT Adj Read]]&lt;=Table1[[#This Row],[High Tol]]),"Pass","Fail"))</f>
        <v>Fail</v>
      </c>
      <c r="AD214" s="1" t="str">
        <f>IF(AND(Table1[[#This Row],[Spec Type2]]="N/A",Table1[[#This Row],[DUT Adj Read]]="N/A",Table1[[#This Row],[Std Adj Read]]="N/A"),"N/A",IF(Table1[[#This Row],[DUT Adj Read]]="N/A",IF(Table1[[#This Row],[Std Adj Read]]&gt;Table1[[#This Row],[Low Tol]],"Pass","Fail"),IF(Table1[[#This Row],[DUT Adj Read]]&gt;Table1[[#This Row],[Low Tol]],"Pass","Fail")))</f>
        <v>Pass</v>
      </c>
      <c r="AE214" s="1" t="str">
        <f>IF(AND(Table1[[#This Row],[Spec Type2]]="N/A",Table1[[#This Row],[DUT Adj Read]]="N/A",Table1[[#This Row],[Std Adj Read]]="N/A"),"N/A",IF(Table1[[#This Row],[DUT Adj Read]]="N/A",IF(Table1[[#This Row],[Std Adj Read]]&lt;Table1[[#This Row],[High Tol]],"Pass","Fail"),IF(Table1[[#This Row],[DUT Adj Read]]&lt;Table1[[#This Row],[High Tol]],"Pass","Fail")))</f>
        <v>Fail</v>
      </c>
      <c r="AF214" s="1" t="str">
        <f>IF(AND(Table1[[#This Row],[Spec Type2]]="N/A",Table1[[#This Row],[DUT Adj Read]]="N/A",Table1[[#This Row],[Std Adj Read]]="N/A"),"N/A",IF(Table1[[#This Row],[DUT Adj Read]]="N/A",IF(Table1[[#This Row],[Std Adj Read]]&gt;=Table1[[#This Row],[Low Tol]],"Pass","Fail"),IF(Table1[[#This Row],[DUT Adj Read]]&gt;=Table1[[#This Row],[Low Tol]],"Pass","Fail")))</f>
        <v>Pass</v>
      </c>
      <c r="AG214" s="1" t="str">
        <f>IF(AND(Table1[[#This Row],[Spec Type2]]="N/A",Table1[[#This Row],[DUT Adj Read]]="N/A",Table1[[#This Row],[Std Adj Read]]="N/A"),"N/A",IF(Table1[[#This Row],[DUT Adj Read]]="N/A",IF(Table1[[#This Row],[Std Adj Read]]&lt;=Table1[[#This Row],[High Tol]],"Pass","Fail"),IF(Table1[[#This Row],[DUT Adj Read]]&lt;=Table1[[#This Row],[High Tol]],"Pass","Fail")))</f>
        <v>Fail</v>
      </c>
      <c r="AH2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 s="1" t="b">
        <v>0</v>
      </c>
      <c r="AN214" s="1" t="b">
        <v>0</v>
      </c>
      <c r="AO214" s="1" t="b">
        <v>0</v>
      </c>
    </row>
    <row r="215" spans="1:41" x14ac:dyDescent="0.25">
      <c r="A215" s="10"/>
      <c r="B215" s="10"/>
      <c r="C215" s="10"/>
      <c r="D215" s="10"/>
      <c r="E215" s="10"/>
      <c r="F215" s="10"/>
      <c r="G215" s="10"/>
      <c r="H215" s="10"/>
      <c r="I215" s="1" t="str">
        <f t="shared" si="9"/>
        <v/>
      </c>
      <c r="J215" s="1" t="s">
        <v>35</v>
      </c>
      <c r="K215" s="1" t="str">
        <f t="shared" si="10"/>
        <v/>
      </c>
      <c r="L215" s="1" t="str">
        <f t="shared" si="11"/>
        <v/>
      </c>
      <c r="M215" s="1">
        <f>IF(OR(Table1[[#This Row],[Std Nom]]="",Table1[[#This Row],[Std Read]]=""),0,Table1[[#This Row],[Std Nom]]-Table1[[#This Row],[Std Read]])</f>
        <v>0</v>
      </c>
      <c r="N215" s="1">
        <f>IF(Calculations!$F$5="ACCREDITED 17025 WITH UNCERTAINTIES",$N$10,0)</f>
        <v>0</v>
      </c>
      <c r="Q215" s="1">
        <f>Table1[[#This Row],[High Tol]]-Table1[[#This Row],[Low Tol]]</f>
        <v>0</v>
      </c>
      <c r="R215" s="1">
        <f>2*Table1[[#This Row],[Std Error]]</f>
        <v>0</v>
      </c>
      <c r="S215" s="1" t="str">
        <f>IF(Table1[[#This Row],[High Tol]]="","N/A",IFERROR(ABS(Table1[[#This Row],[Tol Span]]/Table1[[#This Row],[Error Span]]),"N/A"))</f>
        <v>N/A</v>
      </c>
      <c r="T215" s="1" t="str">
        <f>IF(OR(Table1[[#This Row],[Low Tol]]="",Table1[[#This Row],[High Tol]]=""),"Needs Analysis",IF(Table1[[#This Row],[Ratio]]&gt;=4,"Not Significant",IF(Table1[[#This Row],[Ratio]]&gt;=2,"Semi-Significant","Significant")))</f>
        <v>Needs Analysis</v>
      </c>
      <c r="W215" s="1">
        <f>IF(Table1[[#This Row],[Cal Type]]&lt;&gt;"ACCREDITED 17025 WITH UNCERTAINTIES",0,"")</f>
        <v>0</v>
      </c>
      <c r="X215" s="1" t="str">
        <f>IF(Table1[[#This Row],[DUT Read]]="","N/A",Table1[[#This Row],[Std Error]]+Table1[[#This Row],[DUT Read]]+Table1[[#This Row],[DUT Ucty]])</f>
        <v>N/A</v>
      </c>
      <c r="Y215" s="1" t="str">
        <f>IF(Table1[[#This Row],[Std Read]]="","N/A",Table1[[#This Row],[Std Read]]+Table1[[#This Row],[Std Ucty]])</f>
        <v>N/A</v>
      </c>
      <c r="Z2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 s="1" t="str">
        <f>IF(Table1[[#This Row],[Spec Type]]="","N/A",Table1[[#This Row],[Spec Type]])</f>
        <v>±</v>
      </c>
      <c r="AC215" s="1" t="str">
        <f>IF(Table1[[#This Row],[Spec Type2]]="N/A","N/A",IF(AND(Table1[[#This Row],[DUT Adj Read]]&gt;=Table1[[#This Row],[Low Tol]],Table1[[#This Row],[DUT Adj Read]]&lt;=Table1[[#This Row],[High Tol]]),"Pass","Fail"))</f>
        <v>Fail</v>
      </c>
      <c r="AD215" s="1" t="str">
        <f>IF(AND(Table1[[#This Row],[Spec Type2]]="N/A",Table1[[#This Row],[DUT Adj Read]]="N/A",Table1[[#This Row],[Std Adj Read]]="N/A"),"N/A",IF(Table1[[#This Row],[DUT Adj Read]]="N/A",IF(Table1[[#This Row],[Std Adj Read]]&gt;Table1[[#This Row],[Low Tol]],"Pass","Fail"),IF(Table1[[#This Row],[DUT Adj Read]]&gt;Table1[[#This Row],[Low Tol]],"Pass","Fail")))</f>
        <v>Pass</v>
      </c>
      <c r="AE215" s="1" t="str">
        <f>IF(AND(Table1[[#This Row],[Spec Type2]]="N/A",Table1[[#This Row],[DUT Adj Read]]="N/A",Table1[[#This Row],[Std Adj Read]]="N/A"),"N/A",IF(Table1[[#This Row],[DUT Adj Read]]="N/A",IF(Table1[[#This Row],[Std Adj Read]]&lt;Table1[[#This Row],[High Tol]],"Pass","Fail"),IF(Table1[[#This Row],[DUT Adj Read]]&lt;Table1[[#This Row],[High Tol]],"Pass","Fail")))</f>
        <v>Fail</v>
      </c>
      <c r="AF215" s="1" t="str">
        <f>IF(AND(Table1[[#This Row],[Spec Type2]]="N/A",Table1[[#This Row],[DUT Adj Read]]="N/A",Table1[[#This Row],[Std Adj Read]]="N/A"),"N/A",IF(Table1[[#This Row],[DUT Adj Read]]="N/A",IF(Table1[[#This Row],[Std Adj Read]]&gt;=Table1[[#This Row],[Low Tol]],"Pass","Fail"),IF(Table1[[#This Row],[DUT Adj Read]]&gt;=Table1[[#This Row],[Low Tol]],"Pass","Fail")))</f>
        <v>Pass</v>
      </c>
      <c r="AG215" s="1" t="str">
        <f>IF(AND(Table1[[#This Row],[Spec Type2]]="N/A",Table1[[#This Row],[DUT Adj Read]]="N/A",Table1[[#This Row],[Std Adj Read]]="N/A"),"N/A",IF(Table1[[#This Row],[DUT Adj Read]]="N/A",IF(Table1[[#This Row],[Std Adj Read]]&lt;=Table1[[#This Row],[High Tol]],"Pass","Fail"),IF(Table1[[#This Row],[DUT Adj Read]]&lt;=Table1[[#This Row],[High Tol]],"Pass","Fail")))</f>
        <v>Fail</v>
      </c>
      <c r="AH2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 s="1" t="b">
        <v>0</v>
      </c>
      <c r="AN215" s="1" t="b">
        <v>0</v>
      </c>
      <c r="AO215" s="1" t="b">
        <v>0</v>
      </c>
    </row>
    <row r="216" spans="1:41" x14ac:dyDescent="0.25">
      <c r="A216" s="10"/>
      <c r="B216" s="10"/>
      <c r="C216" s="10"/>
      <c r="D216" s="10"/>
      <c r="E216" s="10"/>
      <c r="F216" s="10"/>
      <c r="G216" s="10"/>
      <c r="H216" s="10"/>
      <c r="I216" s="1" t="str">
        <f t="shared" si="9"/>
        <v/>
      </c>
      <c r="J216" s="1" t="s">
        <v>35</v>
      </c>
      <c r="K216" s="1" t="str">
        <f t="shared" si="10"/>
        <v/>
      </c>
      <c r="L216" s="1" t="str">
        <f t="shared" si="11"/>
        <v/>
      </c>
      <c r="M216" s="1">
        <f>IF(OR(Table1[[#This Row],[Std Nom]]="",Table1[[#This Row],[Std Read]]=""),0,Table1[[#This Row],[Std Nom]]-Table1[[#This Row],[Std Read]])</f>
        <v>0</v>
      </c>
      <c r="N216" s="1">
        <f>IF(Calculations!$F$5="ACCREDITED 17025 WITH UNCERTAINTIES",$N$10,0)</f>
        <v>0</v>
      </c>
      <c r="Q216" s="1">
        <f>Table1[[#This Row],[High Tol]]-Table1[[#This Row],[Low Tol]]</f>
        <v>0</v>
      </c>
      <c r="R216" s="1">
        <f>2*Table1[[#This Row],[Std Error]]</f>
        <v>0</v>
      </c>
      <c r="S216" s="1" t="str">
        <f>IF(Table1[[#This Row],[High Tol]]="","N/A",IFERROR(ABS(Table1[[#This Row],[Tol Span]]/Table1[[#This Row],[Error Span]]),"N/A"))</f>
        <v>N/A</v>
      </c>
      <c r="T216" s="1" t="str">
        <f>IF(OR(Table1[[#This Row],[Low Tol]]="",Table1[[#This Row],[High Tol]]=""),"Needs Analysis",IF(Table1[[#This Row],[Ratio]]&gt;=4,"Not Significant",IF(Table1[[#This Row],[Ratio]]&gt;=2,"Semi-Significant","Significant")))</f>
        <v>Needs Analysis</v>
      </c>
      <c r="W216" s="1">
        <f>IF(Table1[[#This Row],[Cal Type]]&lt;&gt;"ACCREDITED 17025 WITH UNCERTAINTIES",0,"")</f>
        <v>0</v>
      </c>
      <c r="X216" s="1" t="str">
        <f>IF(Table1[[#This Row],[DUT Read]]="","N/A",Table1[[#This Row],[Std Error]]+Table1[[#This Row],[DUT Read]]+Table1[[#This Row],[DUT Ucty]])</f>
        <v>N/A</v>
      </c>
      <c r="Y216" s="1" t="str">
        <f>IF(Table1[[#This Row],[Std Read]]="","N/A",Table1[[#This Row],[Std Read]]+Table1[[#This Row],[Std Ucty]])</f>
        <v>N/A</v>
      </c>
      <c r="Z2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 s="1" t="str">
        <f>IF(Table1[[#This Row],[Spec Type]]="","N/A",Table1[[#This Row],[Spec Type]])</f>
        <v>±</v>
      </c>
      <c r="AC216" s="1" t="str">
        <f>IF(Table1[[#This Row],[Spec Type2]]="N/A","N/A",IF(AND(Table1[[#This Row],[DUT Adj Read]]&gt;=Table1[[#This Row],[Low Tol]],Table1[[#This Row],[DUT Adj Read]]&lt;=Table1[[#This Row],[High Tol]]),"Pass","Fail"))</f>
        <v>Fail</v>
      </c>
      <c r="AD216" s="1" t="str">
        <f>IF(AND(Table1[[#This Row],[Spec Type2]]="N/A",Table1[[#This Row],[DUT Adj Read]]="N/A",Table1[[#This Row],[Std Adj Read]]="N/A"),"N/A",IF(Table1[[#This Row],[DUT Adj Read]]="N/A",IF(Table1[[#This Row],[Std Adj Read]]&gt;Table1[[#This Row],[Low Tol]],"Pass","Fail"),IF(Table1[[#This Row],[DUT Adj Read]]&gt;Table1[[#This Row],[Low Tol]],"Pass","Fail")))</f>
        <v>Pass</v>
      </c>
      <c r="AE216" s="1" t="str">
        <f>IF(AND(Table1[[#This Row],[Spec Type2]]="N/A",Table1[[#This Row],[DUT Adj Read]]="N/A",Table1[[#This Row],[Std Adj Read]]="N/A"),"N/A",IF(Table1[[#This Row],[DUT Adj Read]]="N/A",IF(Table1[[#This Row],[Std Adj Read]]&lt;Table1[[#This Row],[High Tol]],"Pass","Fail"),IF(Table1[[#This Row],[DUT Adj Read]]&lt;Table1[[#This Row],[High Tol]],"Pass","Fail")))</f>
        <v>Fail</v>
      </c>
      <c r="AF216" s="1" t="str">
        <f>IF(AND(Table1[[#This Row],[Spec Type2]]="N/A",Table1[[#This Row],[DUT Adj Read]]="N/A",Table1[[#This Row],[Std Adj Read]]="N/A"),"N/A",IF(Table1[[#This Row],[DUT Adj Read]]="N/A",IF(Table1[[#This Row],[Std Adj Read]]&gt;=Table1[[#This Row],[Low Tol]],"Pass","Fail"),IF(Table1[[#This Row],[DUT Adj Read]]&gt;=Table1[[#This Row],[Low Tol]],"Pass","Fail")))</f>
        <v>Pass</v>
      </c>
      <c r="AG216" s="1" t="str">
        <f>IF(AND(Table1[[#This Row],[Spec Type2]]="N/A",Table1[[#This Row],[DUT Adj Read]]="N/A",Table1[[#This Row],[Std Adj Read]]="N/A"),"N/A",IF(Table1[[#This Row],[DUT Adj Read]]="N/A",IF(Table1[[#This Row],[Std Adj Read]]&lt;=Table1[[#This Row],[High Tol]],"Pass","Fail"),IF(Table1[[#This Row],[DUT Adj Read]]&lt;=Table1[[#This Row],[High Tol]],"Pass","Fail")))</f>
        <v>Fail</v>
      </c>
      <c r="AH2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 s="1" t="b">
        <v>0</v>
      </c>
      <c r="AN216" s="1" t="b">
        <v>0</v>
      </c>
      <c r="AO216" s="1" t="b">
        <v>0</v>
      </c>
    </row>
    <row r="217" spans="1:41" x14ac:dyDescent="0.25">
      <c r="A217" s="10"/>
      <c r="B217" s="10"/>
      <c r="C217" s="10"/>
      <c r="D217" s="10"/>
      <c r="E217" s="10"/>
      <c r="F217" s="10"/>
      <c r="G217" s="10"/>
      <c r="H217" s="10"/>
      <c r="I217" s="1" t="str">
        <f t="shared" si="9"/>
        <v/>
      </c>
      <c r="J217" s="1" t="s">
        <v>35</v>
      </c>
      <c r="K217" s="1" t="str">
        <f t="shared" si="10"/>
        <v/>
      </c>
      <c r="L217" s="1" t="str">
        <f t="shared" si="11"/>
        <v/>
      </c>
      <c r="M217" s="1">
        <f>IF(OR(Table1[[#This Row],[Std Nom]]="",Table1[[#This Row],[Std Read]]=""),0,Table1[[#This Row],[Std Nom]]-Table1[[#This Row],[Std Read]])</f>
        <v>0</v>
      </c>
      <c r="N217" s="1">
        <f>IF(Calculations!$F$5="ACCREDITED 17025 WITH UNCERTAINTIES",$N$10,0)</f>
        <v>0</v>
      </c>
      <c r="Q217" s="1">
        <f>Table1[[#This Row],[High Tol]]-Table1[[#This Row],[Low Tol]]</f>
        <v>0</v>
      </c>
      <c r="R217" s="1">
        <f>2*Table1[[#This Row],[Std Error]]</f>
        <v>0</v>
      </c>
      <c r="S217" s="1" t="str">
        <f>IF(Table1[[#This Row],[High Tol]]="","N/A",IFERROR(ABS(Table1[[#This Row],[Tol Span]]/Table1[[#This Row],[Error Span]]),"N/A"))</f>
        <v>N/A</v>
      </c>
      <c r="T217" s="1" t="str">
        <f>IF(OR(Table1[[#This Row],[Low Tol]]="",Table1[[#This Row],[High Tol]]=""),"Needs Analysis",IF(Table1[[#This Row],[Ratio]]&gt;=4,"Not Significant",IF(Table1[[#This Row],[Ratio]]&gt;=2,"Semi-Significant","Significant")))</f>
        <v>Needs Analysis</v>
      </c>
      <c r="W217" s="1">
        <f>IF(Table1[[#This Row],[Cal Type]]&lt;&gt;"ACCREDITED 17025 WITH UNCERTAINTIES",0,"")</f>
        <v>0</v>
      </c>
      <c r="X217" s="1" t="str">
        <f>IF(Table1[[#This Row],[DUT Read]]="","N/A",Table1[[#This Row],[Std Error]]+Table1[[#This Row],[DUT Read]]+Table1[[#This Row],[DUT Ucty]])</f>
        <v>N/A</v>
      </c>
      <c r="Y217" s="1" t="str">
        <f>IF(Table1[[#This Row],[Std Read]]="","N/A",Table1[[#This Row],[Std Read]]+Table1[[#This Row],[Std Ucty]])</f>
        <v>N/A</v>
      </c>
      <c r="Z2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 s="1" t="str">
        <f>IF(Table1[[#This Row],[Spec Type]]="","N/A",Table1[[#This Row],[Spec Type]])</f>
        <v>±</v>
      </c>
      <c r="AC217" s="1" t="str">
        <f>IF(Table1[[#This Row],[Spec Type2]]="N/A","N/A",IF(AND(Table1[[#This Row],[DUT Adj Read]]&gt;=Table1[[#This Row],[Low Tol]],Table1[[#This Row],[DUT Adj Read]]&lt;=Table1[[#This Row],[High Tol]]),"Pass","Fail"))</f>
        <v>Fail</v>
      </c>
      <c r="AD217" s="1" t="str">
        <f>IF(AND(Table1[[#This Row],[Spec Type2]]="N/A",Table1[[#This Row],[DUT Adj Read]]="N/A",Table1[[#This Row],[Std Adj Read]]="N/A"),"N/A",IF(Table1[[#This Row],[DUT Adj Read]]="N/A",IF(Table1[[#This Row],[Std Adj Read]]&gt;Table1[[#This Row],[Low Tol]],"Pass","Fail"),IF(Table1[[#This Row],[DUT Adj Read]]&gt;Table1[[#This Row],[Low Tol]],"Pass","Fail")))</f>
        <v>Pass</v>
      </c>
      <c r="AE217" s="1" t="str">
        <f>IF(AND(Table1[[#This Row],[Spec Type2]]="N/A",Table1[[#This Row],[DUT Adj Read]]="N/A",Table1[[#This Row],[Std Adj Read]]="N/A"),"N/A",IF(Table1[[#This Row],[DUT Adj Read]]="N/A",IF(Table1[[#This Row],[Std Adj Read]]&lt;Table1[[#This Row],[High Tol]],"Pass","Fail"),IF(Table1[[#This Row],[DUT Adj Read]]&lt;Table1[[#This Row],[High Tol]],"Pass","Fail")))</f>
        <v>Fail</v>
      </c>
      <c r="AF217" s="1" t="str">
        <f>IF(AND(Table1[[#This Row],[Spec Type2]]="N/A",Table1[[#This Row],[DUT Adj Read]]="N/A",Table1[[#This Row],[Std Adj Read]]="N/A"),"N/A",IF(Table1[[#This Row],[DUT Adj Read]]="N/A",IF(Table1[[#This Row],[Std Adj Read]]&gt;=Table1[[#This Row],[Low Tol]],"Pass","Fail"),IF(Table1[[#This Row],[DUT Adj Read]]&gt;=Table1[[#This Row],[Low Tol]],"Pass","Fail")))</f>
        <v>Pass</v>
      </c>
      <c r="AG217" s="1" t="str">
        <f>IF(AND(Table1[[#This Row],[Spec Type2]]="N/A",Table1[[#This Row],[DUT Adj Read]]="N/A",Table1[[#This Row],[Std Adj Read]]="N/A"),"N/A",IF(Table1[[#This Row],[DUT Adj Read]]="N/A",IF(Table1[[#This Row],[Std Adj Read]]&lt;=Table1[[#This Row],[High Tol]],"Pass","Fail"),IF(Table1[[#This Row],[DUT Adj Read]]&lt;=Table1[[#This Row],[High Tol]],"Pass","Fail")))</f>
        <v>Fail</v>
      </c>
      <c r="AH2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 s="1" t="b">
        <v>0</v>
      </c>
      <c r="AN217" s="1" t="b">
        <v>0</v>
      </c>
      <c r="AO217" s="1" t="b">
        <v>0</v>
      </c>
    </row>
    <row r="218" spans="1:41" x14ac:dyDescent="0.25">
      <c r="A218" s="10"/>
      <c r="B218" s="10"/>
      <c r="C218" s="10"/>
      <c r="D218" s="10"/>
      <c r="E218" s="10"/>
      <c r="F218" s="10"/>
      <c r="G218" s="10"/>
      <c r="H218" s="10"/>
      <c r="I218" s="1" t="str">
        <f t="shared" si="9"/>
        <v/>
      </c>
      <c r="J218" s="1" t="s">
        <v>35</v>
      </c>
      <c r="K218" s="1" t="str">
        <f t="shared" si="10"/>
        <v/>
      </c>
      <c r="L218" s="1" t="str">
        <f t="shared" si="11"/>
        <v/>
      </c>
      <c r="M218" s="1">
        <f>IF(OR(Table1[[#This Row],[Std Nom]]="",Table1[[#This Row],[Std Read]]=""),0,Table1[[#This Row],[Std Nom]]-Table1[[#This Row],[Std Read]])</f>
        <v>0</v>
      </c>
      <c r="N218" s="1">
        <f>IF(Calculations!$F$5="ACCREDITED 17025 WITH UNCERTAINTIES",$N$10,0)</f>
        <v>0</v>
      </c>
      <c r="Q218" s="1">
        <f>Table1[[#This Row],[High Tol]]-Table1[[#This Row],[Low Tol]]</f>
        <v>0</v>
      </c>
      <c r="R218" s="1">
        <f>2*Table1[[#This Row],[Std Error]]</f>
        <v>0</v>
      </c>
      <c r="S218" s="1" t="str">
        <f>IF(Table1[[#This Row],[High Tol]]="","N/A",IFERROR(ABS(Table1[[#This Row],[Tol Span]]/Table1[[#This Row],[Error Span]]),"N/A"))</f>
        <v>N/A</v>
      </c>
      <c r="T218" s="1" t="str">
        <f>IF(OR(Table1[[#This Row],[Low Tol]]="",Table1[[#This Row],[High Tol]]=""),"Needs Analysis",IF(Table1[[#This Row],[Ratio]]&gt;=4,"Not Significant",IF(Table1[[#This Row],[Ratio]]&gt;=2,"Semi-Significant","Significant")))</f>
        <v>Needs Analysis</v>
      </c>
      <c r="W218" s="1">
        <f>IF(Table1[[#This Row],[Cal Type]]&lt;&gt;"ACCREDITED 17025 WITH UNCERTAINTIES",0,"")</f>
        <v>0</v>
      </c>
      <c r="X218" s="1" t="str">
        <f>IF(Table1[[#This Row],[DUT Read]]="","N/A",Table1[[#This Row],[Std Error]]+Table1[[#This Row],[DUT Read]]+Table1[[#This Row],[DUT Ucty]])</f>
        <v>N/A</v>
      </c>
      <c r="Y218" s="1" t="str">
        <f>IF(Table1[[#This Row],[Std Read]]="","N/A",Table1[[#This Row],[Std Read]]+Table1[[#This Row],[Std Ucty]])</f>
        <v>N/A</v>
      </c>
      <c r="Z2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 s="1" t="str">
        <f>IF(Table1[[#This Row],[Spec Type]]="","N/A",Table1[[#This Row],[Spec Type]])</f>
        <v>±</v>
      </c>
      <c r="AC218" s="1" t="str">
        <f>IF(Table1[[#This Row],[Spec Type2]]="N/A","N/A",IF(AND(Table1[[#This Row],[DUT Adj Read]]&gt;=Table1[[#This Row],[Low Tol]],Table1[[#This Row],[DUT Adj Read]]&lt;=Table1[[#This Row],[High Tol]]),"Pass","Fail"))</f>
        <v>Fail</v>
      </c>
      <c r="AD218" s="1" t="str">
        <f>IF(AND(Table1[[#This Row],[Spec Type2]]="N/A",Table1[[#This Row],[DUT Adj Read]]="N/A",Table1[[#This Row],[Std Adj Read]]="N/A"),"N/A",IF(Table1[[#This Row],[DUT Adj Read]]="N/A",IF(Table1[[#This Row],[Std Adj Read]]&gt;Table1[[#This Row],[Low Tol]],"Pass","Fail"),IF(Table1[[#This Row],[DUT Adj Read]]&gt;Table1[[#This Row],[Low Tol]],"Pass","Fail")))</f>
        <v>Pass</v>
      </c>
      <c r="AE218" s="1" t="str">
        <f>IF(AND(Table1[[#This Row],[Spec Type2]]="N/A",Table1[[#This Row],[DUT Adj Read]]="N/A",Table1[[#This Row],[Std Adj Read]]="N/A"),"N/A",IF(Table1[[#This Row],[DUT Adj Read]]="N/A",IF(Table1[[#This Row],[Std Adj Read]]&lt;Table1[[#This Row],[High Tol]],"Pass","Fail"),IF(Table1[[#This Row],[DUT Adj Read]]&lt;Table1[[#This Row],[High Tol]],"Pass","Fail")))</f>
        <v>Fail</v>
      </c>
      <c r="AF218" s="1" t="str">
        <f>IF(AND(Table1[[#This Row],[Spec Type2]]="N/A",Table1[[#This Row],[DUT Adj Read]]="N/A",Table1[[#This Row],[Std Adj Read]]="N/A"),"N/A",IF(Table1[[#This Row],[DUT Adj Read]]="N/A",IF(Table1[[#This Row],[Std Adj Read]]&gt;=Table1[[#This Row],[Low Tol]],"Pass","Fail"),IF(Table1[[#This Row],[DUT Adj Read]]&gt;=Table1[[#This Row],[Low Tol]],"Pass","Fail")))</f>
        <v>Pass</v>
      </c>
      <c r="AG218" s="1" t="str">
        <f>IF(AND(Table1[[#This Row],[Spec Type2]]="N/A",Table1[[#This Row],[DUT Adj Read]]="N/A",Table1[[#This Row],[Std Adj Read]]="N/A"),"N/A",IF(Table1[[#This Row],[DUT Adj Read]]="N/A",IF(Table1[[#This Row],[Std Adj Read]]&lt;=Table1[[#This Row],[High Tol]],"Pass","Fail"),IF(Table1[[#This Row],[DUT Adj Read]]&lt;=Table1[[#This Row],[High Tol]],"Pass","Fail")))</f>
        <v>Fail</v>
      </c>
      <c r="AH2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 s="1" t="b">
        <v>0</v>
      </c>
      <c r="AN218" s="1" t="b">
        <v>0</v>
      </c>
      <c r="AO218" s="1" t="b">
        <v>0</v>
      </c>
    </row>
    <row r="219" spans="1:41" x14ac:dyDescent="0.25">
      <c r="A219" s="10"/>
      <c r="B219" s="10"/>
      <c r="C219" s="10"/>
      <c r="D219" s="10"/>
      <c r="E219" s="10"/>
      <c r="F219" s="10"/>
      <c r="G219" s="10"/>
      <c r="H219" s="10"/>
      <c r="I219" s="1" t="str">
        <f t="shared" si="9"/>
        <v/>
      </c>
      <c r="J219" s="1" t="s">
        <v>35</v>
      </c>
      <c r="K219" s="1" t="str">
        <f t="shared" si="10"/>
        <v/>
      </c>
      <c r="L219" s="1" t="str">
        <f t="shared" si="11"/>
        <v/>
      </c>
      <c r="M219" s="1">
        <f>IF(OR(Table1[[#This Row],[Std Nom]]="",Table1[[#This Row],[Std Read]]=""),0,Table1[[#This Row],[Std Nom]]-Table1[[#This Row],[Std Read]])</f>
        <v>0</v>
      </c>
      <c r="N219" s="1">
        <f>IF(Calculations!$F$5="ACCREDITED 17025 WITH UNCERTAINTIES",$N$10,0)</f>
        <v>0</v>
      </c>
      <c r="Q219" s="1">
        <f>Table1[[#This Row],[High Tol]]-Table1[[#This Row],[Low Tol]]</f>
        <v>0</v>
      </c>
      <c r="R219" s="1">
        <f>2*Table1[[#This Row],[Std Error]]</f>
        <v>0</v>
      </c>
      <c r="S219" s="1" t="str">
        <f>IF(Table1[[#This Row],[High Tol]]="","N/A",IFERROR(ABS(Table1[[#This Row],[Tol Span]]/Table1[[#This Row],[Error Span]]),"N/A"))</f>
        <v>N/A</v>
      </c>
      <c r="T219" s="1" t="str">
        <f>IF(OR(Table1[[#This Row],[Low Tol]]="",Table1[[#This Row],[High Tol]]=""),"Needs Analysis",IF(Table1[[#This Row],[Ratio]]&gt;=4,"Not Significant",IF(Table1[[#This Row],[Ratio]]&gt;=2,"Semi-Significant","Significant")))</f>
        <v>Needs Analysis</v>
      </c>
      <c r="W219" s="1">
        <f>IF(Table1[[#This Row],[Cal Type]]&lt;&gt;"ACCREDITED 17025 WITH UNCERTAINTIES",0,"")</f>
        <v>0</v>
      </c>
      <c r="X219" s="1" t="str">
        <f>IF(Table1[[#This Row],[DUT Read]]="","N/A",Table1[[#This Row],[Std Error]]+Table1[[#This Row],[DUT Read]]+Table1[[#This Row],[DUT Ucty]])</f>
        <v>N/A</v>
      </c>
      <c r="Y219" s="1" t="str">
        <f>IF(Table1[[#This Row],[Std Read]]="","N/A",Table1[[#This Row],[Std Read]]+Table1[[#This Row],[Std Ucty]])</f>
        <v>N/A</v>
      </c>
      <c r="Z2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 s="1" t="str">
        <f>IF(Table1[[#This Row],[Spec Type]]="","N/A",Table1[[#This Row],[Spec Type]])</f>
        <v>±</v>
      </c>
      <c r="AC219" s="1" t="str">
        <f>IF(Table1[[#This Row],[Spec Type2]]="N/A","N/A",IF(AND(Table1[[#This Row],[DUT Adj Read]]&gt;=Table1[[#This Row],[Low Tol]],Table1[[#This Row],[DUT Adj Read]]&lt;=Table1[[#This Row],[High Tol]]),"Pass","Fail"))</f>
        <v>Fail</v>
      </c>
      <c r="AD219" s="1" t="str">
        <f>IF(AND(Table1[[#This Row],[Spec Type2]]="N/A",Table1[[#This Row],[DUT Adj Read]]="N/A",Table1[[#This Row],[Std Adj Read]]="N/A"),"N/A",IF(Table1[[#This Row],[DUT Adj Read]]="N/A",IF(Table1[[#This Row],[Std Adj Read]]&gt;Table1[[#This Row],[Low Tol]],"Pass","Fail"),IF(Table1[[#This Row],[DUT Adj Read]]&gt;Table1[[#This Row],[Low Tol]],"Pass","Fail")))</f>
        <v>Pass</v>
      </c>
      <c r="AE219" s="1" t="str">
        <f>IF(AND(Table1[[#This Row],[Spec Type2]]="N/A",Table1[[#This Row],[DUT Adj Read]]="N/A",Table1[[#This Row],[Std Adj Read]]="N/A"),"N/A",IF(Table1[[#This Row],[DUT Adj Read]]="N/A",IF(Table1[[#This Row],[Std Adj Read]]&lt;Table1[[#This Row],[High Tol]],"Pass","Fail"),IF(Table1[[#This Row],[DUT Adj Read]]&lt;Table1[[#This Row],[High Tol]],"Pass","Fail")))</f>
        <v>Fail</v>
      </c>
      <c r="AF219" s="1" t="str">
        <f>IF(AND(Table1[[#This Row],[Spec Type2]]="N/A",Table1[[#This Row],[DUT Adj Read]]="N/A",Table1[[#This Row],[Std Adj Read]]="N/A"),"N/A",IF(Table1[[#This Row],[DUT Adj Read]]="N/A",IF(Table1[[#This Row],[Std Adj Read]]&gt;=Table1[[#This Row],[Low Tol]],"Pass","Fail"),IF(Table1[[#This Row],[DUT Adj Read]]&gt;=Table1[[#This Row],[Low Tol]],"Pass","Fail")))</f>
        <v>Pass</v>
      </c>
      <c r="AG219" s="1" t="str">
        <f>IF(AND(Table1[[#This Row],[Spec Type2]]="N/A",Table1[[#This Row],[DUT Adj Read]]="N/A",Table1[[#This Row],[Std Adj Read]]="N/A"),"N/A",IF(Table1[[#This Row],[DUT Adj Read]]="N/A",IF(Table1[[#This Row],[Std Adj Read]]&lt;=Table1[[#This Row],[High Tol]],"Pass","Fail"),IF(Table1[[#This Row],[DUT Adj Read]]&lt;=Table1[[#This Row],[High Tol]],"Pass","Fail")))</f>
        <v>Fail</v>
      </c>
      <c r="AH2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 s="1" t="b">
        <v>0</v>
      </c>
      <c r="AN219" s="1" t="b">
        <v>0</v>
      </c>
      <c r="AO219" s="1" t="b">
        <v>0</v>
      </c>
    </row>
    <row r="220" spans="1:41" x14ac:dyDescent="0.25">
      <c r="A220" s="10"/>
      <c r="B220" s="10"/>
      <c r="C220" s="10"/>
      <c r="D220" s="10"/>
      <c r="E220" s="10"/>
      <c r="F220" s="10"/>
      <c r="G220" s="10"/>
      <c r="H220" s="10"/>
      <c r="I220" s="1" t="str">
        <f t="shared" si="9"/>
        <v/>
      </c>
      <c r="J220" s="1" t="s">
        <v>35</v>
      </c>
      <c r="K220" s="1" t="str">
        <f t="shared" si="10"/>
        <v/>
      </c>
      <c r="L220" s="1" t="str">
        <f t="shared" si="11"/>
        <v/>
      </c>
      <c r="M220" s="1">
        <f>IF(OR(Table1[[#This Row],[Std Nom]]="",Table1[[#This Row],[Std Read]]=""),0,Table1[[#This Row],[Std Nom]]-Table1[[#This Row],[Std Read]])</f>
        <v>0</v>
      </c>
      <c r="N220" s="1">
        <f>IF(Calculations!$F$5="ACCREDITED 17025 WITH UNCERTAINTIES",$N$10,0)</f>
        <v>0</v>
      </c>
      <c r="Q220" s="1">
        <f>Table1[[#This Row],[High Tol]]-Table1[[#This Row],[Low Tol]]</f>
        <v>0</v>
      </c>
      <c r="R220" s="1">
        <f>2*Table1[[#This Row],[Std Error]]</f>
        <v>0</v>
      </c>
      <c r="S220" s="1" t="str">
        <f>IF(Table1[[#This Row],[High Tol]]="","N/A",IFERROR(ABS(Table1[[#This Row],[Tol Span]]/Table1[[#This Row],[Error Span]]),"N/A"))</f>
        <v>N/A</v>
      </c>
      <c r="T220" s="1" t="str">
        <f>IF(OR(Table1[[#This Row],[Low Tol]]="",Table1[[#This Row],[High Tol]]=""),"Needs Analysis",IF(Table1[[#This Row],[Ratio]]&gt;=4,"Not Significant",IF(Table1[[#This Row],[Ratio]]&gt;=2,"Semi-Significant","Significant")))</f>
        <v>Needs Analysis</v>
      </c>
      <c r="W220" s="1">
        <f>IF(Table1[[#This Row],[Cal Type]]&lt;&gt;"ACCREDITED 17025 WITH UNCERTAINTIES",0,"")</f>
        <v>0</v>
      </c>
      <c r="X220" s="1" t="str">
        <f>IF(Table1[[#This Row],[DUT Read]]="","N/A",Table1[[#This Row],[Std Error]]+Table1[[#This Row],[DUT Read]]+Table1[[#This Row],[DUT Ucty]])</f>
        <v>N/A</v>
      </c>
      <c r="Y220" s="1" t="str">
        <f>IF(Table1[[#This Row],[Std Read]]="","N/A",Table1[[#This Row],[Std Read]]+Table1[[#This Row],[Std Ucty]])</f>
        <v>N/A</v>
      </c>
      <c r="Z2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 s="1" t="str">
        <f>IF(Table1[[#This Row],[Spec Type]]="","N/A",Table1[[#This Row],[Spec Type]])</f>
        <v>±</v>
      </c>
      <c r="AC220" s="1" t="str">
        <f>IF(Table1[[#This Row],[Spec Type2]]="N/A","N/A",IF(AND(Table1[[#This Row],[DUT Adj Read]]&gt;=Table1[[#This Row],[Low Tol]],Table1[[#This Row],[DUT Adj Read]]&lt;=Table1[[#This Row],[High Tol]]),"Pass","Fail"))</f>
        <v>Fail</v>
      </c>
      <c r="AD220" s="1" t="str">
        <f>IF(AND(Table1[[#This Row],[Spec Type2]]="N/A",Table1[[#This Row],[DUT Adj Read]]="N/A",Table1[[#This Row],[Std Adj Read]]="N/A"),"N/A",IF(Table1[[#This Row],[DUT Adj Read]]="N/A",IF(Table1[[#This Row],[Std Adj Read]]&gt;Table1[[#This Row],[Low Tol]],"Pass","Fail"),IF(Table1[[#This Row],[DUT Adj Read]]&gt;Table1[[#This Row],[Low Tol]],"Pass","Fail")))</f>
        <v>Pass</v>
      </c>
      <c r="AE220" s="1" t="str">
        <f>IF(AND(Table1[[#This Row],[Spec Type2]]="N/A",Table1[[#This Row],[DUT Adj Read]]="N/A",Table1[[#This Row],[Std Adj Read]]="N/A"),"N/A",IF(Table1[[#This Row],[DUT Adj Read]]="N/A",IF(Table1[[#This Row],[Std Adj Read]]&lt;Table1[[#This Row],[High Tol]],"Pass","Fail"),IF(Table1[[#This Row],[DUT Adj Read]]&lt;Table1[[#This Row],[High Tol]],"Pass","Fail")))</f>
        <v>Fail</v>
      </c>
      <c r="AF220" s="1" t="str">
        <f>IF(AND(Table1[[#This Row],[Spec Type2]]="N/A",Table1[[#This Row],[DUT Adj Read]]="N/A",Table1[[#This Row],[Std Adj Read]]="N/A"),"N/A",IF(Table1[[#This Row],[DUT Adj Read]]="N/A",IF(Table1[[#This Row],[Std Adj Read]]&gt;=Table1[[#This Row],[Low Tol]],"Pass","Fail"),IF(Table1[[#This Row],[DUT Adj Read]]&gt;=Table1[[#This Row],[Low Tol]],"Pass","Fail")))</f>
        <v>Pass</v>
      </c>
      <c r="AG220" s="1" t="str">
        <f>IF(AND(Table1[[#This Row],[Spec Type2]]="N/A",Table1[[#This Row],[DUT Adj Read]]="N/A",Table1[[#This Row],[Std Adj Read]]="N/A"),"N/A",IF(Table1[[#This Row],[DUT Adj Read]]="N/A",IF(Table1[[#This Row],[Std Adj Read]]&lt;=Table1[[#This Row],[High Tol]],"Pass","Fail"),IF(Table1[[#This Row],[DUT Adj Read]]&lt;=Table1[[#This Row],[High Tol]],"Pass","Fail")))</f>
        <v>Fail</v>
      </c>
      <c r="AH2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 s="1" t="b">
        <v>0</v>
      </c>
      <c r="AN220" s="1" t="b">
        <v>0</v>
      </c>
      <c r="AO220" s="1" t="b">
        <v>0</v>
      </c>
    </row>
    <row r="221" spans="1:41" x14ac:dyDescent="0.25">
      <c r="A221" s="10"/>
      <c r="B221" s="10"/>
      <c r="C221" s="10"/>
      <c r="D221" s="10"/>
      <c r="E221" s="10"/>
      <c r="F221" s="10"/>
      <c r="G221" s="10"/>
      <c r="H221" s="10"/>
      <c r="I221" s="1" t="str">
        <f t="shared" si="9"/>
        <v/>
      </c>
      <c r="J221" s="1" t="s">
        <v>35</v>
      </c>
      <c r="K221" s="1" t="str">
        <f t="shared" si="10"/>
        <v/>
      </c>
      <c r="L221" s="1" t="str">
        <f t="shared" si="11"/>
        <v/>
      </c>
      <c r="M221" s="1">
        <f>IF(OR(Table1[[#This Row],[Std Nom]]="",Table1[[#This Row],[Std Read]]=""),0,Table1[[#This Row],[Std Nom]]-Table1[[#This Row],[Std Read]])</f>
        <v>0</v>
      </c>
      <c r="N221" s="1">
        <f>IF(Calculations!$F$5="ACCREDITED 17025 WITH UNCERTAINTIES",$N$10,0)</f>
        <v>0</v>
      </c>
      <c r="Q221" s="1">
        <f>Table1[[#This Row],[High Tol]]-Table1[[#This Row],[Low Tol]]</f>
        <v>0</v>
      </c>
      <c r="R221" s="1">
        <f>2*Table1[[#This Row],[Std Error]]</f>
        <v>0</v>
      </c>
      <c r="S221" s="1" t="str">
        <f>IF(Table1[[#This Row],[High Tol]]="","N/A",IFERROR(ABS(Table1[[#This Row],[Tol Span]]/Table1[[#This Row],[Error Span]]),"N/A"))</f>
        <v>N/A</v>
      </c>
      <c r="T221" s="1" t="str">
        <f>IF(OR(Table1[[#This Row],[Low Tol]]="",Table1[[#This Row],[High Tol]]=""),"Needs Analysis",IF(Table1[[#This Row],[Ratio]]&gt;=4,"Not Significant",IF(Table1[[#This Row],[Ratio]]&gt;=2,"Semi-Significant","Significant")))</f>
        <v>Needs Analysis</v>
      </c>
      <c r="W221" s="1">
        <f>IF(Table1[[#This Row],[Cal Type]]&lt;&gt;"ACCREDITED 17025 WITH UNCERTAINTIES",0,"")</f>
        <v>0</v>
      </c>
      <c r="X221" s="1" t="str">
        <f>IF(Table1[[#This Row],[DUT Read]]="","N/A",Table1[[#This Row],[Std Error]]+Table1[[#This Row],[DUT Read]]+Table1[[#This Row],[DUT Ucty]])</f>
        <v>N/A</v>
      </c>
      <c r="Y221" s="1" t="str">
        <f>IF(Table1[[#This Row],[Std Read]]="","N/A",Table1[[#This Row],[Std Read]]+Table1[[#This Row],[Std Ucty]])</f>
        <v>N/A</v>
      </c>
      <c r="Z2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 s="1" t="str">
        <f>IF(Table1[[#This Row],[Spec Type]]="","N/A",Table1[[#This Row],[Spec Type]])</f>
        <v>±</v>
      </c>
      <c r="AC221" s="1" t="str">
        <f>IF(Table1[[#This Row],[Spec Type2]]="N/A","N/A",IF(AND(Table1[[#This Row],[DUT Adj Read]]&gt;=Table1[[#This Row],[Low Tol]],Table1[[#This Row],[DUT Adj Read]]&lt;=Table1[[#This Row],[High Tol]]),"Pass","Fail"))</f>
        <v>Fail</v>
      </c>
      <c r="AD221" s="1" t="str">
        <f>IF(AND(Table1[[#This Row],[Spec Type2]]="N/A",Table1[[#This Row],[DUT Adj Read]]="N/A",Table1[[#This Row],[Std Adj Read]]="N/A"),"N/A",IF(Table1[[#This Row],[DUT Adj Read]]="N/A",IF(Table1[[#This Row],[Std Adj Read]]&gt;Table1[[#This Row],[Low Tol]],"Pass","Fail"),IF(Table1[[#This Row],[DUT Adj Read]]&gt;Table1[[#This Row],[Low Tol]],"Pass","Fail")))</f>
        <v>Pass</v>
      </c>
      <c r="AE221" s="1" t="str">
        <f>IF(AND(Table1[[#This Row],[Spec Type2]]="N/A",Table1[[#This Row],[DUT Adj Read]]="N/A",Table1[[#This Row],[Std Adj Read]]="N/A"),"N/A",IF(Table1[[#This Row],[DUT Adj Read]]="N/A",IF(Table1[[#This Row],[Std Adj Read]]&lt;Table1[[#This Row],[High Tol]],"Pass","Fail"),IF(Table1[[#This Row],[DUT Adj Read]]&lt;Table1[[#This Row],[High Tol]],"Pass","Fail")))</f>
        <v>Fail</v>
      </c>
      <c r="AF221" s="1" t="str">
        <f>IF(AND(Table1[[#This Row],[Spec Type2]]="N/A",Table1[[#This Row],[DUT Adj Read]]="N/A",Table1[[#This Row],[Std Adj Read]]="N/A"),"N/A",IF(Table1[[#This Row],[DUT Adj Read]]="N/A",IF(Table1[[#This Row],[Std Adj Read]]&gt;=Table1[[#This Row],[Low Tol]],"Pass","Fail"),IF(Table1[[#This Row],[DUT Adj Read]]&gt;=Table1[[#This Row],[Low Tol]],"Pass","Fail")))</f>
        <v>Pass</v>
      </c>
      <c r="AG221" s="1" t="str">
        <f>IF(AND(Table1[[#This Row],[Spec Type2]]="N/A",Table1[[#This Row],[DUT Adj Read]]="N/A",Table1[[#This Row],[Std Adj Read]]="N/A"),"N/A",IF(Table1[[#This Row],[DUT Adj Read]]="N/A",IF(Table1[[#This Row],[Std Adj Read]]&lt;=Table1[[#This Row],[High Tol]],"Pass","Fail"),IF(Table1[[#This Row],[DUT Adj Read]]&lt;=Table1[[#This Row],[High Tol]],"Pass","Fail")))</f>
        <v>Fail</v>
      </c>
      <c r="AH2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 s="1" t="b">
        <v>0</v>
      </c>
      <c r="AN221" s="1" t="b">
        <v>0</v>
      </c>
      <c r="AO221" s="1" t="b">
        <v>0</v>
      </c>
    </row>
    <row r="222" spans="1:41" x14ac:dyDescent="0.25">
      <c r="A222" s="10"/>
      <c r="B222" s="10"/>
      <c r="C222" s="10"/>
      <c r="D222" s="10"/>
      <c r="E222" s="10"/>
      <c r="F222" s="10"/>
      <c r="G222" s="10"/>
      <c r="H222" s="10"/>
      <c r="I222" s="1" t="str">
        <f t="shared" si="9"/>
        <v/>
      </c>
      <c r="J222" s="1" t="s">
        <v>35</v>
      </c>
      <c r="K222" s="1" t="str">
        <f t="shared" si="10"/>
        <v/>
      </c>
      <c r="L222" s="1" t="str">
        <f t="shared" si="11"/>
        <v/>
      </c>
      <c r="M222" s="1">
        <f>IF(OR(Table1[[#This Row],[Std Nom]]="",Table1[[#This Row],[Std Read]]=""),0,Table1[[#This Row],[Std Nom]]-Table1[[#This Row],[Std Read]])</f>
        <v>0</v>
      </c>
      <c r="N222" s="1">
        <f>IF(Calculations!$F$5="ACCREDITED 17025 WITH UNCERTAINTIES",$N$10,0)</f>
        <v>0</v>
      </c>
      <c r="Q222" s="1">
        <f>Table1[[#This Row],[High Tol]]-Table1[[#This Row],[Low Tol]]</f>
        <v>0</v>
      </c>
      <c r="R222" s="1">
        <f>2*Table1[[#This Row],[Std Error]]</f>
        <v>0</v>
      </c>
      <c r="S222" s="1" t="str">
        <f>IF(Table1[[#This Row],[High Tol]]="","N/A",IFERROR(ABS(Table1[[#This Row],[Tol Span]]/Table1[[#This Row],[Error Span]]),"N/A"))</f>
        <v>N/A</v>
      </c>
      <c r="T222" s="1" t="str">
        <f>IF(OR(Table1[[#This Row],[Low Tol]]="",Table1[[#This Row],[High Tol]]=""),"Needs Analysis",IF(Table1[[#This Row],[Ratio]]&gt;=4,"Not Significant",IF(Table1[[#This Row],[Ratio]]&gt;=2,"Semi-Significant","Significant")))</f>
        <v>Needs Analysis</v>
      </c>
      <c r="W222" s="1">
        <f>IF(Table1[[#This Row],[Cal Type]]&lt;&gt;"ACCREDITED 17025 WITH UNCERTAINTIES",0,"")</f>
        <v>0</v>
      </c>
      <c r="X222" s="1" t="str">
        <f>IF(Table1[[#This Row],[DUT Read]]="","N/A",Table1[[#This Row],[Std Error]]+Table1[[#This Row],[DUT Read]]+Table1[[#This Row],[DUT Ucty]])</f>
        <v>N/A</v>
      </c>
      <c r="Y222" s="1" t="str">
        <f>IF(Table1[[#This Row],[Std Read]]="","N/A",Table1[[#This Row],[Std Read]]+Table1[[#This Row],[Std Ucty]])</f>
        <v>N/A</v>
      </c>
      <c r="Z2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 s="1" t="str">
        <f>IF(Table1[[#This Row],[Spec Type]]="","N/A",Table1[[#This Row],[Spec Type]])</f>
        <v>±</v>
      </c>
      <c r="AC222" s="1" t="str">
        <f>IF(Table1[[#This Row],[Spec Type2]]="N/A","N/A",IF(AND(Table1[[#This Row],[DUT Adj Read]]&gt;=Table1[[#This Row],[Low Tol]],Table1[[#This Row],[DUT Adj Read]]&lt;=Table1[[#This Row],[High Tol]]),"Pass","Fail"))</f>
        <v>Fail</v>
      </c>
      <c r="AD222" s="1" t="str">
        <f>IF(AND(Table1[[#This Row],[Spec Type2]]="N/A",Table1[[#This Row],[DUT Adj Read]]="N/A",Table1[[#This Row],[Std Adj Read]]="N/A"),"N/A",IF(Table1[[#This Row],[DUT Adj Read]]="N/A",IF(Table1[[#This Row],[Std Adj Read]]&gt;Table1[[#This Row],[Low Tol]],"Pass","Fail"),IF(Table1[[#This Row],[DUT Adj Read]]&gt;Table1[[#This Row],[Low Tol]],"Pass","Fail")))</f>
        <v>Pass</v>
      </c>
      <c r="AE222" s="1" t="str">
        <f>IF(AND(Table1[[#This Row],[Spec Type2]]="N/A",Table1[[#This Row],[DUT Adj Read]]="N/A",Table1[[#This Row],[Std Adj Read]]="N/A"),"N/A",IF(Table1[[#This Row],[DUT Adj Read]]="N/A",IF(Table1[[#This Row],[Std Adj Read]]&lt;Table1[[#This Row],[High Tol]],"Pass","Fail"),IF(Table1[[#This Row],[DUT Adj Read]]&lt;Table1[[#This Row],[High Tol]],"Pass","Fail")))</f>
        <v>Fail</v>
      </c>
      <c r="AF222" s="1" t="str">
        <f>IF(AND(Table1[[#This Row],[Spec Type2]]="N/A",Table1[[#This Row],[DUT Adj Read]]="N/A",Table1[[#This Row],[Std Adj Read]]="N/A"),"N/A",IF(Table1[[#This Row],[DUT Adj Read]]="N/A",IF(Table1[[#This Row],[Std Adj Read]]&gt;=Table1[[#This Row],[Low Tol]],"Pass","Fail"),IF(Table1[[#This Row],[DUT Adj Read]]&gt;=Table1[[#This Row],[Low Tol]],"Pass","Fail")))</f>
        <v>Pass</v>
      </c>
      <c r="AG222" s="1" t="str">
        <f>IF(AND(Table1[[#This Row],[Spec Type2]]="N/A",Table1[[#This Row],[DUT Adj Read]]="N/A",Table1[[#This Row],[Std Adj Read]]="N/A"),"N/A",IF(Table1[[#This Row],[DUT Adj Read]]="N/A",IF(Table1[[#This Row],[Std Adj Read]]&lt;=Table1[[#This Row],[High Tol]],"Pass","Fail"),IF(Table1[[#This Row],[DUT Adj Read]]&lt;=Table1[[#This Row],[High Tol]],"Pass","Fail")))</f>
        <v>Fail</v>
      </c>
      <c r="AH2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 s="1" t="b">
        <v>0</v>
      </c>
      <c r="AN222" s="1" t="b">
        <v>0</v>
      </c>
      <c r="AO222" s="1" t="b">
        <v>0</v>
      </c>
    </row>
    <row r="223" spans="1:41" x14ac:dyDescent="0.25">
      <c r="A223" s="10"/>
      <c r="B223" s="10"/>
      <c r="C223" s="10"/>
      <c r="D223" s="10"/>
      <c r="E223" s="10"/>
      <c r="F223" s="10"/>
      <c r="G223" s="10"/>
      <c r="H223" s="10"/>
      <c r="I223" s="1" t="str">
        <f t="shared" si="9"/>
        <v/>
      </c>
      <c r="J223" s="1" t="s">
        <v>35</v>
      </c>
      <c r="K223" s="1" t="str">
        <f t="shared" si="10"/>
        <v/>
      </c>
      <c r="L223" s="1" t="str">
        <f t="shared" si="11"/>
        <v/>
      </c>
      <c r="M223" s="1">
        <f>IF(OR(Table1[[#This Row],[Std Nom]]="",Table1[[#This Row],[Std Read]]=""),0,Table1[[#This Row],[Std Nom]]-Table1[[#This Row],[Std Read]])</f>
        <v>0</v>
      </c>
      <c r="N223" s="1">
        <f>IF(Calculations!$F$5="ACCREDITED 17025 WITH UNCERTAINTIES",$N$10,0)</f>
        <v>0</v>
      </c>
      <c r="Q223" s="1">
        <f>Table1[[#This Row],[High Tol]]-Table1[[#This Row],[Low Tol]]</f>
        <v>0</v>
      </c>
      <c r="R223" s="1">
        <f>2*Table1[[#This Row],[Std Error]]</f>
        <v>0</v>
      </c>
      <c r="S223" s="1" t="str">
        <f>IF(Table1[[#This Row],[High Tol]]="","N/A",IFERROR(ABS(Table1[[#This Row],[Tol Span]]/Table1[[#This Row],[Error Span]]),"N/A"))</f>
        <v>N/A</v>
      </c>
      <c r="T223" s="1" t="str">
        <f>IF(OR(Table1[[#This Row],[Low Tol]]="",Table1[[#This Row],[High Tol]]=""),"Needs Analysis",IF(Table1[[#This Row],[Ratio]]&gt;=4,"Not Significant",IF(Table1[[#This Row],[Ratio]]&gt;=2,"Semi-Significant","Significant")))</f>
        <v>Needs Analysis</v>
      </c>
      <c r="W223" s="1">
        <f>IF(Table1[[#This Row],[Cal Type]]&lt;&gt;"ACCREDITED 17025 WITH UNCERTAINTIES",0,"")</f>
        <v>0</v>
      </c>
      <c r="X223" s="1" t="str">
        <f>IF(Table1[[#This Row],[DUT Read]]="","N/A",Table1[[#This Row],[Std Error]]+Table1[[#This Row],[DUT Read]]+Table1[[#This Row],[DUT Ucty]])</f>
        <v>N/A</v>
      </c>
      <c r="Y223" s="1" t="str">
        <f>IF(Table1[[#This Row],[Std Read]]="","N/A",Table1[[#This Row],[Std Read]]+Table1[[#This Row],[Std Ucty]])</f>
        <v>N/A</v>
      </c>
      <c r="Z2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 s="1" t="str">
        <f>IF(Table1[[#This Row],[Spec Type]]="","N/A",Table1[[#This Row],[Spec Type]])</f>
        <v>±</v>
      </c>
      <c r="AC223" s="1" t="str">
        <f>IF(Table1[[#This Row],[Spec Type2]]="N/A","N/A",IF(AND(Table1[[#This Row],[DUT Adj Read]]&gt;=Table1[[#This Row],[Low Tol]],Table1[[#This Row],[DUT Adj Read]]&lt;=Table1[[#This Row],[High Tol]]),"Pass","Fail"))</f>
        <v>Fail</v>
      </c>
      <c r="AD223" s="1" t="str">
        <f>IF(AND(Table1[[#This Row],[Spec Type2]]="N/A",Table1[[#This Row],[DUT Adj Read]]="N/A",Table1[[#This Row],[Std Adj Read]]="N/A"),"N/A",IF(Table1[[#This Row],[DUT Adj Read]]="N/A",IF(Table1[[#This Row],[Std Adj Read]]&gt;Table1[[#This Row],[Low Tol]],"Pass","Fail"),IF(Table1[[#This Row],[DUT Adj Read]]&gt;Table1[[#This Row],[Low Tol]],"Pass","Fail")))</f>
        <v>Pass</v>
      </c>
      <c r="AE223" s="1" t="str">
        <f>IF(AND(Table1[[#This Row],[Spec Type2]]="N/A",Table1[[#This Row],[DUT Adj Read]]="N/A",Table1[[#This Row],[Std Adj Read]]="N/A"),"N/A",IF(Table1[[#This Row],[DUT Adj Read]]="N/A",IF(Table1[[#This Row],[Std Adj Read]]&lt;Table1[[#This Row],[High Tol]],"Pass","Fail"),IF(Table1[[#This Row],[DUT Adj Read]]&lt;Table1[[#This Row],[High Tol]],"Pass","Fail")))</f>
        <v>Fail</v>
      </c>
      <c r="AF223" s="1" t="str">
        <f>IF(AND(Table1[[#This Row],[Spec Type2]]="N/A",Table1[[#This Row],[DUT Adj Read]]="N/A",Table1[[#This Row],[Std Adj Read]]="N/A"),"N/A",IF(Table1[[#This Row],[DUT Adj Read]]="N/A",IF(Table1[[#This Row],[Std Adj Read]]&gt;=Table1[[#This Row],[Low Tol]],"Pass","Fail"),IF(Table1[[#This Row],[DUT Adj Read]]&gt;=Table1[[#This Row],[Low Tol]],"Pass","Fail")))</f>
        <v>Pass</v>
      </c>
      <c r="AG223" s="1" t="str">
        <f>IF(AND(Table1[[#This Row],[Spec Type2]]="N/A",Table1[[#This Row],[DUT Adj Read]]="N/A",Table1[[#This Row],[Std Adj Read]]="N/A"),"N/A",IF(Table1[[#This Row],[DUT Adj Read]]="N/A",IF(Table1[[#This Row],[Std Adj Read]]&lt;=Table1[[#This Row],[High Tol]],"Pass","Fail"),IF(Table1[[#This Row],[DUT Adj Read]]&lt;=Table1[[#This Row],[High Tol]],"Pass","Fail")))</f>
        <v>Fail</v>
      </c>
      <c r="AH2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 s="1" t="b">
        <v>0</v>
      </c>
      <c r="AN223" s="1" t="b">
        <v>0</v>
      </c>
      <c r="AO223" s="1" t="b">
        <v>0</v>
      </c>
    </row>
    <row r="224" spans="1:41" x14ac:dyDescent="0.25">
      <c r="A224" s="10"/>
      <c r="B224" s="10"/>
      <c r="C224" s="10"/>
      <c r="D224" s="10"/>
      <c r="E224" s="10"/>
      <c r="F224" s="10"/>
      <c r="G224" s="10"/>
      <c r="H224" s="10"/>
      <c r="I224" s="1" t="str">
        <f t="shared" si="9"/>
        <v/>
      </c>
      <c r="J224" s="1" t="s">
        <v>35</v>
      </c>
      <c r="K224" s="1" t="str">
        <f t="shared" si="10"/>
        <v/>
      </c>
      <c r="L224" s="1" t="str">
        <f t="shared" si="11"/>
        <v/>
      </c>
      <c r="M224" s="1">
        <f>IF(OR(Table1[[#This Row],[Std Nom]]="",Table1[[#This Row],[Std Read]]=""),0,Table1[[#This Row],[Std Nom]]-Table1[[#This Row],[Std Read]])</f>
        <v>0</v>
      </c>
      <c r="N224" s="1">
        <f>IF(Calculations!$F$5="ACCREDITED 17025 WITH UNCERTAINTIES",$N$10,0)</f>
        <v>0</v>
      </c>
      <c r="Q224" s="1">
        <f>Table1[[#This Row],[High Tol]]-Table1[[#This Row],[Low Tol]]</f>
        <v>0</v>
      </c>
      <c r="R224" s="1">
        <f>2*Table1[[#This Row],[Std Error]]</f>
        <v>0</v>
      </c>
      <c r="S224" s="1" t="str">
        <f>IF(Table1[[#This Row],[High Tol]]="","N/A",IFERROR(ABS(Table1[[#This Row],[Tol Span]]/Table1[[#This Row],[Error Span]]),"N/A"))</f>
        <v>N/A</v>
      </c>
      <c r="T224" s="1" t="str">
        <f>IF(OR(Table1[[#This Row],[Low Tol]]="",Table1[[#This Row],[High Tol]]=""),"Needs Analysis",IF(Table1[[#This Row],[Ratio]]&gt;=4,"Not Significant",IF(Table1[[#This Row],[Ratio]]&gt;=2,"Semi-Significant","Significant")))</f>
        <v>Needs Analysis</v>
      </c>
      <c r="W224" s="1">
        <f>IF(Table1[[#This Row],[Cal Type]]&lt;&gt;"ACCREDITED 17025 WITH UNCERTAINTIES",0,"")</f>
        <v>0</v>
      </c>
      <c r="X224" s="1" t="str">
        <f>IF(Table1[[#This Row],[DUT Read]]="","N/A",Table1[[#This Row],[Std Error]]+Table1[[#This Row],[DUT Read]]+Table1[[#This Row],[DUT Ucty]])</f>
        <v>N/A</v>
      </c>
      <c r="Y224" s="1" t="str">
        <f>IF(Table1[[#This Row],[Std Read]]="","N/A",Table1[[#This Row],[Std Read]]+Table1[[#This Row],[Std Ucty]])</f>
        <v>N/A</v>
      </c>
      <c r="Z2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 s="1" t="str">
        <f>IF(Table1[[#This Row],[Spec Type]]="","N/A",Table1[[#This Row],[Spec Type]])</f>
        <v>±</v>
      </c>
      <c r="AC224" s="1" t="str">
        <f>IF(Table1[[#This Row],[Spec Type2]]="N/A","N/A",IF(AND(Table1[[#This Row],[DUT Adj Read]]&gt;=Table1[[#This Row],[Low Tol]],Table1[[#This Row],[DUT Adj Read]]&lt;=Table1[[#This Row],[High Tol]]),"Pass","Fail"))</f>
        <v>Fail</v>
      </c>
      <c r="AD224" s="1" t="str">
        <f>IF(AND(Table1[[#This Row],[Spec Type2]]="N/A",Table1[[#This Row],[DUT Adj Read]]="N/A",Table1[[#This Row],[Std Adj Read]]="N/A"),"N/A",IF(Table1[[#This Row],[DUT Adj Read]]="N/A",IF(Table1[[#This Row],[Std Adj Read]]&gt;Table1[[#This Row],[Low Tol]],"Pass","Fail"),IF(Table1[[#This Row],[DUT Adj Read]]&gt;Table1[[#This Row],[Low Tol]],"Pass","Fail")))</f>
        <v>Pass</v>
      </c>
      <c r="AE224" s="1" t="str">
        <f>IF(AND(Table1[[#This Row],[Spec Type2]]="N/A",Table1[[#This Row],[DUT Adj Read]]="N/A",Table1[[#This Row],[Std Adj Read]]="N/A"),"N/A",IF(Table1[[#This Row],[DUT Adj Read]]="N/A",IF(Table1[[#This Row],[Std Adj Read]]&lt;Table1[[#This Row],[High Tol]],"Pass","Fail"),IF(Table1[[#This Row],[DUT Adj Read]]&lt;Table1[[#This Row],[High Tol]],"Pass","Fail")))</f>
        <v>Fail</v>
      </c>
      <c r="AF224" s="1" t="str">
        <f>IF(AND(Table1[[#This Row],[Spec Type2]]="N/A",Table1[[#This Row],[DUT Adj Read]]="N/A",Table1[[#This Row],[Std Adj Read]]="N/A"),"N/A",IF(Table1[[#This Row],[DUT Adj Read]]="N/A",IF(Table1[[#This Row],[Std Adj Read]]&gt;=Table1[[#This Row],[Low Tol]],"Pass","Fail"),IF(Table1[[#This Row],[DUT Adj Read]]&gt;=Table1[[#This Row],[Low Tol]],"Pass","Fail")))</f>
        <v>Pass</v>
      </c>
      <c r="AG224" s="1" t="str">
        <f>IF(AND(Table1[[#This Row],[Spec Type2]]="N/A",Table1[[#This Row],[DUT Adj Read]]="N/A",Table1[[#This Row],[Std Adj Read]]="N/A"),"N/A",IF(Table1[[#This Row],[DUT Adj Read]]="N/A",IF(Table1[[#This Row],[Std Adj Read]]&lt;=Table1[[#This Row],[High Tol]],"Pass","Fail"),IF(Table1[[#This Row],[DUT Adj Read]]&lt;=Table1[[#This Row],[High Tol]],"Pass","Fail")))</f>
        <v>Fail</v>
      </c>
      <c r="AH2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 s="1" t="b">
        <v>0</v>
      </c>
      <c r="AN224" s="1" t="b">
        <v>0</v>
      </c>
      <c r="AO224" s="1" t="b">
        <v>0</v>
      </c>
    </row>
    <row r="225" spans="1:41" x14ac:dyDescent="0.25">
      <c r="A225" s="10"/>
      <c r="B225" s="10"/>
      <c r="C225" s="10"/>
      <c r="D225" s="10"/>
      <c r="E225" s="10"/>
      <c r="F225" s="10"/>
      <c r="G225" s="10"/>
      <c r="H225" s="10"/>
      <c r="I225" s="1" t="str">
        <f t="shared" si="9"/>
        <v/>
      </c>
      <c r="J225" s="1" t="s">
        <v>35</v>
      </c>
      <c r="K225" s="1" t="str">
        <f t="shared" si="10"/>
        <v/>
      </c>
      <c r="L225" s="1" t="str">
        <f t="shared" si="11"/>
        <v/>
      </c>
      <c r="M225" s="1">
        <f>IF(OR(Table1[[#This Row],[Std Nom]]="",Table1[[#This Row],[Std Read]]=""),0,Table1[[#This Row],[Std Nom]]-Table1[[#This Row],[Std Read]])</f>
        <v>0</v>
      </c>
      <c r="N225" s="1">
        <f>IF(Calculations!$F$5="ACCREDITED 17025 WITH UNCERTAINTIES",$N$10,0)</f>
        <v>0</v>
      </c>
      <c r="Q225" s="1">
        <f>Table1[[#This Row],[High Tol]]-Table1[[#This Row],[Low Tol]]</f>
        <v>0</v>
      </c>
      <c r="R225" s="1">
        <f>2*Table1[[#This Row],[Std Error]]</f>
        <v>0</v>
      </c>
      <c r="S225" s="1" t="str">
        <f>IF(Table1[[#This Row],[High Tol]]="","N/A",IFERROR(ABS(Table1[[#This Row],[Tol Span]]/Table1[[#This Row],[Error Span]]),"N/A"))</f>
        <v>N/A</v>
      </c>
      <c r="T225" s="1" t="str">
        <f>IF(OR(Table1[[#This Row],[Low Tol]]="",Table1[[#This Row],[High Tol]]=""),"Needs Analysis",IF(Table1[[#This Row],[Ratio]]&gt;=4,"Not Significant",IF(Table1[[#This Row],[Ratio]]&gt;=2,"Semi-Significant","Significant")))</f>
        <v>Needs Analysis</v>
      </c>
      <c r="W225" s="1">
        <f>IF(Table1[[#This Row],[Cal Type]]&lt;&gt;"ACCREDITED 17025 WITH UNCERTAINTIES",0,"")</f>
        <v>0</v>
      </c>
      <c r="X225" s="1" t="str">
        <f>IF(Table1[[#This Row],[DUT Read]]="","N/A",Table1[[#This Row],[Std Error]]+Table1[[#This Row],[DUT Read]]+Table1[[#This Row],[DUT Ucty]])</f>
        <v>N/A</v>
      </c>
      <c r="Y225" s="1" t="str">
        <f>IF(Table1[[#This Row],[Std Read]]="","N/A",Table1[[#This Row],[Std Read]]+Table1[[#This Row],[Std Ucty]])</f>
        <v>N/A</v>
      </c>
      <c r="Z2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 s="1" t="str">
        <f>IF(Table1[[#This Row],[Spec Type]]="","N/A",Table1[[#This Row],[Spec Type]])</f>
        <v>±</v>
      </c>
      <c r="AC225" s="1" t="str">
        <f>IF(Table1[[#This Row],[Spec Type2]]="N/A","N/A",IF(AND(Table1[[#This Row],[DUT Adj Read]]&gt;=Table1[[#This Row],[Low Tol]],Table1[[#This Row],[DUT Adj Read]]&lt;=Table1[[#This Row],[High Tol]]),"Pass","Fail"))</f>
        <v>Fail</v>
      </c>
      <c r="AD225" s="1" t="str">
        <f>IF(AND(Table1[[#This Row],[Spec Type2]]="N/A",Table1[[#This Row],[DUT Adj Read]]="N/A",Table1[[#This Row],[Std Adj Read]]="N/A"),"N/A",IF(Table1[[#This Row],[DUT Adj Read]]="N/A",IF(Table1[[#This Row],[Std Adj Read]]&gt;Table1[[#This Row],[Low Tol]],"Pass","Fail"),IF(Table1[[#This Row],[DUT Adj Read]]&gt;Table1[[#This Row],[Low Tol]],"Pass","Fail")))</f>
        <v>Pass</v>
      </c>
      <c r="AE225" s="1" t="str">
        <f>IF(AND(Table1[[#This Row],[Spec Type2]]="N/A",Table1[[#This Row],[DUT Adj Read]]="N/A",Table1[[#This Row],[Std Adj Read]]="N/A"),"N/A",IF(Table1[[#This Row],[DUT Adj Read]]="N/A",IF(Table1[[#This Row],[Std Adj Read]]&lt;Table1[[#This Row],[High Tol]],"Pass","Fail"),IF(Table1[[#This Row],[DUT Adj Read]]&lt;Table1[[#This Row],[High Tol]],"Pass","Fail")))</f>
        <v>Fail</v>
      </c>
      <c r="AF225" s="1" t="str">
        <f>IF(AND(Table1[[#This Row],[Spec Type2]]="N/A",Table1[[#This Row],[DUT Adj Read]]="N/A",Table1[[#This Row],[Std Adj Read]]="N/A"),"N/A",IF(Table1[[#This Row],[DUT Adj Read]]="N/A",IF(Table1[[#This Row],[Std Adj Read]]&gt;=Table1[[#This Row],[Low Tol]],"Pass","Fail"),IF(Table1[[#This Row],[DUT Adj Read]]&gt;=Table1[[#This Row],[Low Tol]],"Pass","Fail")))</f>
        <v>Pass</v>
      </c>
      <c r="AG225" s="1" t="str">
        <f>IF(AND(Table1[[#This Row],[Spec Type2]]="N/A",Table1[[#This Row],[DUT Adj Read]]="N/A",Table1[[#This Row],[Std Adj Read]]="N/A"),"N/A",IF(Table1[[#This Row],[DUT Adj Read]]="N/A",IF(Table1[[#This Row],[Std Adj Read]]&lt;=Table1[[#This Row],[High Tol]],"Pass","Fail"),IF(Table1[[#This Row],[DUT Adj Read]]&lt;=Table1[[#This Row],[High Tol]],"Pass","Fail")))</f>
        <v>Fail</v>
      </c>
      <c r="AH2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 s="1" t="b">
        <v>0</v>
      </c>
      <c r="AN225" s="1" t="b">
        <v>0</v>
      </c>
      <c r="AO225" s="1" t="b">
        <v>0</v>
      </c>
    </row>
    <row r="226" spans="1:41" x14ac:dyDescent="0.25">
      <c r="A226" s="10"/>
      <c r="B226" s="10"/>
      <c r="C226" s="10"/>
      <c r="D226" s="10"/>
      <c r="E226" s="10"/>
      <c r="F226" s="10"/>
      <c r="G226" s="10"/>
      <c r="H226" s="10"/>
      <c r="I226" s="1" t="str">
        <f t="shared" si="9"/>
        <v/>
      </c>
      <c r="J226" s="1" t="s">
        <v>35</v>
      </c>
      <c r="K226" s="1" t="str">
        <f t="shared" si="10"/>
        <v/>
      </c>
      <c r="L226" s="1" t="str">
        <f t="shared" si="11"/>
        <v/>
      </c>
      <c r="M226" s="1">
        <f>IF(OR(Table1[[#This Row],[Std Nom]]="",Table1[[#This Row],[Std Read]]=""),0,Table1[[#This Row],[Std Nom]]-Table1[[#This Row],[Std Read]])</f>
        <v>0</v>
      </c>
      <c r="N226" s="1">
        <f>IF(Calculations!$F$5="ACCREDITED 17025 WITH UNCERTAINTIES",$N$10,0)</f>
        <v>0</v>
      </c>
      <c r="Q226" s="1">
        <f>Table1[[#This Row],[High Tol]]-Table1[[#This Row],[Low Tol]]</f>
        <v>0</v>
      </c>
      <c r="R226" s="1">
        <f>2*Table1[[#This Row],[Std Error]]</f>
        <v>0</v>
      </c>
      <c r="S226" s="1" t="str">
        <f>IF(Table1[[#This Row],[High Tol]]="","N/A",IFERROR(ABS(Table1[[#This Row],[Tol Span]]/Table1[[#This Row],[Error Span]]),"N/A"))</f>
        <v>N/A</v>
      </c>
      <c r="T226" s="1" t="str">
        <f>IF(OR(Table1[[#This Row],[Low Tol]]="",Table1[[#This Row],[High Tol]]=""),"Needs Analysis",IF(Table1[[#This Row],[Ratio]]&gt;=4,"Not Significant",IF(Table1[[#This Row],[Ratio]]&gt;=2,"Semi-Significant","Significant")))</f>
        <v>Needs Analysis</v>
      </c>
      <c r="W226" s="1">
        <f>IF(Table1[[#This Row],[Cal Type]]&lt;&gt;"ACCREDITED 17025 WITH UNCERTAINTIES",0,"")</f>
        <v>0</v>
      </c>
      <c r="X226" s="1" t="str">
        <f>IF(Table1[[#This Row],[DUT Read]]="","N/A",Table1[[#This Row],[Std Error]]+Table1[[#This Row],[DUT Read]]+Table1[[#This Row],[DUT Ucty]])</f>
        <v>N/A</v>
      </c>
      <c r="Y226" s="1" t="str">
        <f>IF(Table1[[#This Row],[Std Read]]="","N/A",Table1[[#This Row],[Std Read]]+Table1[[#This Row],[Std Ucty]])</f>
        <v>N/A</v>
      </c>
      <c r="Z2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 s="1" t="str">
        <f>IF(Table1[[#This Row],[Spec Type]]="","N/A",Table1[[#This Row],[Spec Type]])</f>
        <v>±</v>
      </c>
      <c r="AC226" s="1" t="str">
        <f>IF(Table1[[#This Row],[Spec Type2]]="N/A","N/A",IF(AND(Table1[[#This Row],[DUT Adj Read]]&gt;=Table1[[#This Row],[Low Tol]],Table1[[#This Row],[DUT Adj Read]]&lt;=Table1[[#This Row],[High Tol]]),"Pass","Fail"))</f>
        <v>Fail</v>
      </c>
      <c r="AD226" s="1" t="str">
        <f>IF(AND(Table1[[#This Row],[Spec Type2]]="N/A",Table1[[#This Row],[DUT Adj Read]]="N/A",Table1[[#This Row],[Std Adj Read]]="N/A"),"N/A",IF(Table1[[#This Row],[DUT Adj Read]]="N/A",IF(Table1[[#This Row],[Std Adj Read]]&gt;Table1[[#This Row],[Low Tol]],"Pass","Fail"),IF(Table1[[#This Row],[DUT Adj Read]]&gt;Table1[[#This Row],[Low Tol]],"Pass","Fail")))</f>
        <v>Pass</v>
      </c>
      <c r="AE226" s="1" t="str">
        <f>IF(AND(Table1[[#This Row],[Spec Type2]]="N/A",Table1[[#This Row],[DUT Adj Read]]="N/A",Table1[[#This Row],[Std Adj Read]]="N/A"),"N/A",IF(Table1[[#This Row],[DUT Adj Read]]="N/A",IF(Table1[[#This Row],[Std Adj Read]]&lt;Table1[[#This Row],[High Tol]],"Pass","Fail"),IF(Table1[[#This Row],[DUT Adj Read]]&lt;Table1[[#This Row],[High Tol]],"Pass","Fail")))</f>
        <v>Fail</v>
      </c>
      <c r="AF226" s="1" t="str">
        <f>IF(AND(Table1[[#This Row],[Spec Type2]]="N/A",Table1[[#This Row],[DUT Adj Read]]="N/A",Table1[[#This Row],[Std Adj Read]]="N/A"),"N/A",IF(Table1[[#This Row],[DUT Adj Read]]="N/A",IF(Table1[[#This Row],[Std Adj Read]]&gt;=Table1[[#This Row],[Low Tol]],"Pass","Fail"),IF(Table1[[#This Row],[DUT Adj Read]]&gt;=Table1[[#This Row],[Low Tol]],"Pass","Fail")))</f>
        <v>Pass</v>
      </c>
      <c r="AG226" s="1" t="str">
        <f>IF(AND(Table1[[#This Row],[Spec Type2]]="N/A",Table1[[#This Row],[DUT Adj Read]]="N/A",Table1[[#This Row],[Std Adj Read]]="N/A"),"N/A",IF(Table1[[#This Row],[DUT Adj Read]]="N/A",IF(Table1[[#This Row],[Std Adj Read]]&lt;=Table1[[#This Row],[High Tol]],"Pass","Fail"),IF(Table1[[#This Row],[DUT Adj Read]]&lt;=Table1[[#This Row],[High Tol]],"Pass","Fail")))</f>
        <v>Fail</v>
      </c>
      <c r="AH2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 s="1" t="b">
        <v>0</v>
      </c>
      <c r="AN226" s="1" t="b">
        <v>0</v>
      </c>
      <c r="AO226" s="1" t="b">
        <v>0</v>
      </c>
    </row>
    <row r="227" spans="1:41" x14ac:dyDescent="0.25">
      <c r="A227" s="10"/>
      <c r="B227" s="10"/>
      <c r="C227" s="10"/>
      <c r="D227" s="10"/>
      <c r="E227" s="10"/>
      <c r="F227" s="10"/>
      <c r="G227" s="10"/>
      <c r="H227" s="10"/>
      <c r="I227" s="1" t="str">
        <f t="shared" si="9"/>
        <v/>
      </c>
      <c r="J227" s="1" t="s">
        <v>35</v>
      </c>
      <c r="K227" s="1" t="str">
        <f t="shared" si="10"/>
        <v/>
      </c>
      <c r="L227" s="1" t="str">
        <f t="shared" si="11"/>
        <v/>
      </c>
      <c r="M227" s="1">
        <f>IF(OR(Table1[[#This Row],[Std Nom]]="",Table1[[#This Row],[Std Read]]=""),0,Table1[[#This Row],[Std Nom]]-Table1[[#This Row],[Std Read]])</f>
        <v>0</v>
      </c>
      <c r="N227" s="1">
        <f>IF(Calculations!$F$5="ACCREDITED 17025 WITH UNCERTAINTIES",$N$10,0)</f>
        <v>0</v>
      </c>
      <c r="Q227" s="1">
        <f>Table1[[#This Row],[High Tol]]-Table1[[#This Row],[Low Tol]]</f>
        <v>0</v>
      </c>
      <c r="R227" s="1">
        <f>2*Table1[[#This Row],[Std Error]]</f>
        <v>0</v>
      </c>
      <c r="S227" s="1" t="str">
        <f>IF(Table1[[#This Row],[High Tol]]="","N/A",IFERROR(ABS(Table1[[#This Row],[Tol Span]]/Table1[[#This Row],[Error Span]]),"N/A"))</f>
        <v>N/A</v>
      </c>
      <c r="T227" s="1" t="str">
        <f>IF(OR(Table1[[#This Row],[Low Tol]]="",Table1[[#This Row],[High Tol]]=""),"Needs Analysis",IF(Table1[[#This Row],[Ratio]]&gt;=4,"Not Significant",IF(Table1[[#This Row],[Ratio]]&gt;=2,"Semi-Significant","Significant")))</f>
        <v>Needs Analysis</v>
      </c>
      <c r="W227" s="1">
        <f>IF(Table1[[#This Row],[Cal Type]]&lt;&gt;"ACCREDITED 17025 WITH UNCERTAINTIES",0,"")</f>
        <v>0</v>
      </c>
      <c r="X227" s="1" t="str">
        <f>IF(Table1[[#This Row],[DUT Read]]="","N/A",Table1[[#This Row],[Std Error]]+Table1[[#This Row],[DUT Read]]+Table1[[#This Row],[DUT Ucty]])</f>
        <v>N/A</v>
      </c>
      <c r="Y227" s="1" t="str">
        <f>IF(Table1[[#This Row],[Std Read]]="","N/A",Table1[[#This Row],[Std Read]]+Table1[[#This Row],[Std Ucty]])</f>
        <v>N/A</v>
      </c>
      <c r="Z2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 s="1" t="str">
        <f>IF(Table1[[#This Row],[Spec Type]]="","N/A",Table1[[#This Row],[Spec Type]])</f>
        <v>±</v>
      </c>
      <c r="AC227" s="1" t="str">
        <f>IF(Table1[[#This Row],[Spec Type2]]="N/A","N/A",IF(AND(Table1[[#This Row],[DUT Adj Read]]&gt;=Table1[[#This Row],[Low Tol]],Table1[[#This Row],[DUT Adj Read]]&lt;=Table1[[#This Row],[High Tol]]),"Pass","Fail"))</f>
        <v>Fail</v>
      </c>
      <c r="AD227" s="1" t="str">
        <f>IF(AND(Table1[[#This Row],[Spec Type2]]="N/A",Table1[[#This Row],[DUT Adj Read]]="N/A",Table1[[#This Row],[Std Adj Read]]="N/A"),"N/A",IF(Table1[[#This Row],[DUT Adj Read]]="N/A",IF(Table1[[#This Row],[Std Adj Read]]&gt;Table1[[#This Row],[Low Tol]],"Pass","Fail"),IF(Table1[[#This Row],[DUT Adj Read]]&gt;Table1[[#This Row],[Low Tol]],"Pass","Fail")))</f>
        <v>Pass</v>
      </c>
      <c r="AE227" s="1" t="str">
        <f>IF(AND(Table1[[#This Row],[Spec Type2]]="N/A",Table1[[#This Row],[DUT Adj Read]]="N/A",Table1[[#This Row],[Std Adj Read]]="N/A"),"N/A",IF(Table1[[#This Row],[DUT Adj Read]]="N/A",IF(Table1[[#This Row],[Std Adj Read]]&lt;Table1[[#This Row],[High Tol]],"Pass","Fail"),IF(Table1[[#This Row],[DUT Adj Read]]&lt;Table1[[#This Row],[High Tol]],"Pass","Fail")))</f>
        <v>Fail</v>
      </c>
      <c r="AF227" s="1" t="str">
        <f>IF(AND(Table1[[#This Row],[Spec Type2]]="N/A",Table1[[#This Row],[DUT Adj Read]]="N/A",Table1[[#This Row],[Std Adj Read]]="N/A"),"N/A",IF(Table1[[#This Row],[DUT Adj Read]]="N/A",IF(Table1[[#This Row],[Std Adj Read]]&gt;=Table1[[#This Row],[Low Tol]],"Pass","Fail"),IF(Table1[[#This Row],[DUT Adj Read]]&gt;=Table1[[#This Row],[Low Tol]],"Pass","Fail")))</f>
        <v>Pass</v>
      </c>
      <c r="AG227" s="1" t="str">
        <f>IF(AND(Table1[[#This Row],[Spec Type2]]="N/A",Table1[[#This Row],[DUT Adj Read]]="N/A",Table1[[#This Row],[Std Adj Read]]="N/A"),"N/A",IF(Table1[[#This Row],[DUT Adj Read]]="N/A",IF(Table1[[#This Row],[Std Adj Read]]&lt;=Table1[[#This Row],[High Tol]],"Pass","Fail"),IF(Table1[[#This Row],[DUT Adj Read]]&lt;=Table1[[#This Row],[High Tol]],"Pass","Fail")))</f>
        <v>Fail</v>
      </c>
      <c r="AH2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 s="1" t="b">
        <v>0</v>
      </c>
      <c r="AN227" s="1" t="b">
        <v>0</v>
      </c>
      <c r="AO227" s="1" t="b">
        <v>0</v>
      </c>
    </row>
    <row r="228" spans="1:41" x14ac:dyDescent="0.25">
      <c r="A228" s="10"/>
      <c r="B228" s="10"/>
      <c r="C228" s="10"/>
      <c r="D228" s="10"/>
      <c r="E228" s="10"/>
      <c r="F228" s="10"/>
      <c r="G228" s="10"/>
      <c r="H228" s="10"/>
      <c r="I228" s="1" t="str">
        <f t="shared" si="9"/>
        <v/>
      </c>
      <c r="J228" s="1" t="s">
        <v>35</v>
      </c>
      <c r="K228" s="1" t="str">
        <f t="shared" si="10"/>
        <v/>
      </c>
      <c r="L228" s="1" t="str">
        <f t="shared" si="11"/>
        <v/>
      </c>
      <c r="M228" s="1">
        <f>IF(OR(Table1[[#This Row],[Std Nom]]="",Table1[[#This Row],[Std Read]]=""),0,Table1[[#This Row],[Std Nom]]-Table1[[#This Row],[Std Read]])</f>
        <v>0</v>
      </c>
      <c r="N228" s="1">
        <f>IF(Calculations!$F$5="ACCREDITED 17025 WITH UNCERTAINTIES",$N$10,0)</f>
        <v>0</v>
      </c>
      <c r="Q228" s="1">
        <f>Table1[[#This Row],[High Tol]]-Table1[[#This Row],[Low Tol]]</f>
        <v>0</v>
      </c>
      <c r="R228" s="1">
        <f>2*Table1[[#This Row],[Std Error]]</f>
        <v>0</v>
      </c>
      <c r="S228" s="1" t="str">
        <f>IF(Table1[[#This Row],[High Tol]]="","N/A",IFERROR(ABS(Table1[[#This Row],[Tol Span]]/Table1[[#This Row],[Error Span]]),"N/A"))</f>
        <v>N/A</v>
      </c>
      <c r="T228" s="1" t="str">
        <f>IF(OR(Table1[[#This Row],[Low Tol]]="",Table1[[#This Row],[High Tol]]=""),"Needs Analysis",IF(Table1[[#This Row],[Ratio]]&gt;=4,"Not Significant",IF(Table1[[#This Row],[Ratio]]&gt;=2,"Semi-Significant","Significant")))</f>
        <v>Needs Analysis</v>
      </c>
      <c r="W228" s="1">
        <f>IF(Table1[[#This Row],[Cal Type]]&lt;&gt;"ACCREDITED 17025 WITH UNCERTAINTIES",0,"")</f>
        <v>0</v>
      </c>
      <c r="X228" s="1" t="str">
        <f>IF(Table1[[#This Row],[DUT Read]]="","N/A",Table1[[#This Row],[Std Error]]+Table1[[#This Row],[DUT Read]]+Table1[[#This Row],[DUT Ucty]])</f>
        <v>N/A</v>
      </c>
      <c r="Y228" s="1" t="str">
        <f>IF(Table1[[#This Row],[Std Read]]="","N/A",Table1[[#This Row],[Std Read]]+Table1[[#This Row],[Std Ucty]])</f>
        <v>N/A</v>
      </c>
      <c r="Z2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 s="1" t="str">
        <f>IF(Table1[[#This Row],[Spec Type]]="","N/A",Table1[[#This Row],[Spec Type]])</f>
        <v>±</v>
      </c>
      <c r="AC228" s="1" t="str">
        <f>IF(Table1[[#This Row],[Spec Type2]]="N/A","N/A",IF(AND(Table1[[#This Row],[DUT Adj Read]]&gt;=Table1[[#This Row],[Low Tol]],Table1[[#This Row],[DUT Adj Read]]&lt;=Table1[[#This Row],[High Tol]]),"Pass","Fail"))</f>
        <v>Fail</v>
      </c>
      <c r="AD228" s="1" t="str">
        <f>IF(AND(Table1[[#This Row],[Spec Type2]]="N/A",Table1[[#This Row],[DUT Adj Read]]="N/A",Table1[[#This Row],[Std Adj Read]]="N/A"),"N/A",IF(Table1[[#This Row],[DUT Adj Read]]="N/A",IF(Table1[[#This Row],[Std Adj Read]]&gt;Table1[[#This Row],[Low Tol]],"Pass","Fail"),IF(Table1[[#This Row],[DUT Adj Read]]&gt;Table1[[#This Row],[Low Tol]],"Pass","Fail")))</f>
        <v>Pass</v>
      </c>
      <c r="AE228" s="1" t="str">
        <f>IF(AND(Table1[[#This Row],[Spec Type2]]="N/A",Table1[[#This Row],[DUT Adj Read]]="N/A",Table1[[#This Row],[Std Adj Read]]="N/A"),"N/A",IF(Table1[[#This Row],[DUT Adj Read]]="N/A",IF(Table1[[#This Row],[Std Adj Read]]&lt;Table1[[#This Row],[High Tol]],"Pass","Fail"),IF(Table1[[#This Row],[DUT Adj Read]]&lt;Table1[[#This Row],[High Tol]],"Pass","Fail")))</f>
        <v>Fail</v>
      </c>
      <c r="AF228" s="1" t="str">
        <f>IF(AND(Table1[[#This Row],[Spec Type2]]="N/A",Table1[[#This Row],[DUT Adj Read]]="N/A",Table1[[#This Row],[Std Adj Read]]="N/A"),"N/A",IF(Table1[[#This Row],[DUT Adj Read]]="N/A",IF(Table1[[#This Row],[Std Adj Read]]&gt;=Table1[[#This Row],[Low Tol]],"Pass","Fail"),IF(Table1[[#This Row],[DUT Adj Read]]&gt;=Table1[[#This Row],[Low Tol]],"Pass","Fail")))</f>
        <v>Pass</v>
      </c>
      <c r="AG228" s="1" t="str">
        <f>IF(AND(Table1[[#This Row],[Spec Type2]]="N/A",Table1[[#This Row],[DUT Adj Read]]="N/A",Table1[[#This Row],[Std Adj Read]]="N/A"),"N/A",IF(Table1[[#This Row],[DUT Adj Read]]="N/A",IF(Table1[[#This Row],[Std Adj Read]]&lt;=Table1[[#This Row],[High Tol]],"Pass","Fail"),IF(Table1[[#This Row],[DUT Adj Read]]&lt;=Table1[[#This Row],[High Tol]],"Pass","Fail")))</f>
        <v>Fail</v>
      </c>
      <c r="AH2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 s="1" t="b">
        <v>0</v>
      </c>
      <c r="AN228" s="1" t="b">
        <v>0</v>
      </c>
      <c r="AO228" s="1" t="b">
        <v>0</v>
      </c>
    </row>
    <row r="229" spans="1:41" x14ac:dyDescent="0.25">
      <c r="A229" s="10"/>
      <c r="B229" s="10"/>
      <c r="C229" s="10"/>
      <c r="D229" s="10"/>
      <c r="E229" s="10"/>
      <c r="F229" s="10"/>
      <c r="G229" s="10"/>
      <c r="H229" s="10"/>
      <c r="I229" s="1" t="str">
        <f t="shared" si="9"/>
        <v/>
      </c>
      <c r="J229" s="1" t="s">
        <v>35</v>
      </c>
      <c r="K229" s="1" t="str">
        <f t="shared" si="10"/>
        <v/>
      </c>
      <c r="L229" s="1" t="str">
        <f t="shared" si="11"/>
        <v/>
      </c>
      <c r="M229" s="1">
        <f>IF(OR(Table1[[#This Row],[Std Nom]]="",Table1[[#This Row],[Std Read]]=""),0,Table1[[#This Row],[Std Nom]]-Table1[[#This Row],[Std Read]])</f>
        <v>0</v>
      </c>
      <c r="N229" s="1">
        <f>IF(Calculations!$F$5="ACCREDITED 17025 WITH UNCERTAINTIES",$N$10,0)</f>
        <v>0</v>
      </c>
      <c r="Q229" s="1">
        <f>Table1[[#This Row],[High Tol]]-Table1[[#This Row],[Low Tol]]</f>
        <v>0</v>
      </c>
      <c r="R229" s="1">
        <f>2*Table1[[#This Row],[Std Error]]</f>
        <v>0</v>
      </c>
      <c r="S229" s="1" t="str">
        <f>IF(Table1[[#This Row],[High Tol]]="","N/A",IFERROR(ABS(Table1[[#This Row],[Tol Span]]/Table1[[#This Row],[Error Span]]),"N/A"))</f>
        <v>N/A</v>
      </c>
      <c r="T229" s="1" t="str">
        <f>IF(OR(Table1[[#This Row],[Low Tol]]="",Table1[[#This Row],[High Tol]]=""),"Needs Analysis",IF(Table1[[#This Row],[Ratio]]&gt;=4,"Not Significant",IF(Table1[[#This Row],[Ratio]]&gt;=2,"Semi-Significant","Significant")))</f>
        <v>Needs Analysis</v>
      </c>
      <c r="W229" s="1">
        <f>IF(Table1[[#This Row],[Cal Type]]&lt;&gt;"ACCREDITED 17025 WITH UNCERTAINTIES",0,"")</f>
        <v>0</v>
      </c>
      <c r="X229" s="1" t="str">
        <f>IF(Table1[[#This Row],[DUT Read]]="","N/A",Table1[[#This Row],[Std Error]]+Table1[[#This Row],[DUT Read]]+Table1[[#This Row],[DUT Ucty]])</f>
        <v>N/A</v>
      </c>
      <c r="Y229" s="1" t="str">
        <f>IF(Table1[[#This Row],[Std Read]]="","N/A",Table1[[#This Row],[Std Read]]+Table1[[#This Row],[Std Ucty]])</f>
        <v>N/A</v>
      </c>
      <c r="Z2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 s="1" t="str">
        <f>IF(Table1[[#This Row],[Spec Type]]="","N/A",Table1[[#This Row],[Spec Type]])</f>
        <v>±</v>
      </c>
      <c r="AC229" s="1" t="str">
        <f>IF(Table1[[#This Row],[Spec Type2]]="N/A","N/A",IF(AND(Table1[[#This Row],[DUT Adj Read]]&gt;=Table1[[#This Row],[Low Tol]],Table1[[#This Row],[DUT Adj Read]]&lt;=Table1[[#This Row],[High Tol]]),"Pass","Fail"))</f>
        <v>Fail</v>
      </c>
      <c r="AD229" s="1" t="str">
        <f>IF(AND(Table1[[#This Row],[Spec Type2]]="N/A",Table1[[#This Row],[DUT Adj Read]]="N/A",Table1[[#This Row],[Std Adj Read]]="N/A"),"N/A",IF(Table1[[#This Row],[DUT Adj Read]]="N/A",IF(Table1[[#This Row],[Std Adj Read]]&gt;Table1[[#This Row],[Low Tol]],"Pass","Fail"),IF(Table1[[#This Row],[DUT Adj Read]]&gt;Table1[[#This Row],[Low Tol]],"Pass","Fail")))</f>
        <v>Pass</v>
      </c>
      <c r="AE229" s="1" t="str">
        <f>IF(AND(Table1[[#This Row],[Spec Type2]]="N/A",Table1[[#This Row],[DUT Adj Read]]="N/A",Table1[[#This Row],[Std Adj Read]]="N/A"),"N/A",IF(Table1[[#This Row],[DUT Adj Read]]="N/A",IF(Table1[[#This Row],[Std Adj Read]]&lt;Table1[[#This Row],[High Tol]],"Pass","Fail"),IF(Table1[[#This Row],[DUT Adj Read]]&lt;Table1[[#This Row],[High Tol]],"Pass","Fail")))</f>
        <v>Fail</v>
      </c>
      <c r="AF229" s="1" t="str">
        <f>IF(AND(Table1[[#This Row],[Spec Type2]]="N/A",Table1[[#This Row],[DUT Adj Read]]="N/A",Table1[[#This Row],[Std Adj Read]]="N/A"),"N/A",IF(Table1[[#This Row],[DUT Adj Read]]="N/A",IF(Table1[[#This Row],[Std Adj Read]]&gt;=Table1[[#This Row],[Low Tol]],"Pass","Fail"),IF(Table1[[#This Row],[DUT Adj Read]]&gt;=Table1[[#This Row],[Low Tol]],"Pass","Fail")))</f>
        <v>Pass</v>
      </c>
      <c r="AG229" s="1" t="str">
        <f>IF(AND(Table1[[#This Row],[Spec Type2]]="N/A",Table1[[#This Row],[DUT Adj Read]]="N/A",Table1[[#This Row],[Std Adj Read]]="N/A"),"N/A",IF(Table1[[#This Row],[DUT Adj Read]]="N/A",IF(Table1[[#This Row],[Std Adj Read]]&lt;=Table1[[#This Row],[High Tol]],"Pass","Fail"),IF(Table1[[#This Row],[DUT Adj Read]]&lt;=Table1[[#This Row],[High Tol]],"Pass","Fail")))</f>
        <v>Fail</v>
      </c>
      <c r="AH2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 s="1" t="b">
        <v>0</v>
      </c>
      <c r="AN229" s="1" t="b">
        <v>0</v>
      </c>
      <c r="AO229" s="1" t="b">
        <v>0</v>
      </c>
    </row>
    <row r="230" spans="1:41" x14ac:dyDescent="0.25">
      <c r="A230" s="10"/>
      <c r="B230" s="10"/>
      <c r="C230" s="10"/>
      <c r="D230" s="10"/>
      <c r="E230" s="10"/>
      <c r="F230" s="10"/>
      <c r="G230" s="10"/>
      <c r="H230" s="10"/>
      <c r="I230" s="1" t="str">
        <f t="shared" si="9"/>
        <v/>
      </c>
      <c r="J230" s="1" t="s">
        <v>35</v>
      </c>
      <c r="K230" s="1" t="str">
        <f t="shared" si="10"/>
        <v/>
      </c>
      <c r="L230" s="1" t="str">
        <f t="shared" si="11"/>
        <v/>
      </c>
      <c r="M230" s="1">
        <f>IF(OR(Table1[[#This Row],[Std Nom]]="",Table1[[#This Row],[Std Read]]=""),0,Table1[[#This Row],[Std Nom]]-Table1[[#This Row],[Std Read]])</f>
        <v>0</v>
      </c>
      <c r="N230" s="1">
        <f>IF(Calculations!$F$5="ACCREDITED 17025 WITH UNCERTAINTIES",$N$10,0)</f>
        <v>0</v>
      </c>
      <c r="Q230" s="1">
        <f>Table1[[#This Row],[High Tol]]-Table1[[#This Row],[Low Tol]]</f>
        <v>0</v>
      </c>
      <c r="R230" s="1">
        <f>2*Table1[[#This Row],[Std Error]]</f>
        <v>0</v>
      </c>
      <c r="S230" s="1" t="str">
        <f>IF(Table1[[#This Row],[High Tol]]="","N/A",IFERROR(ABS(Table1[[#This Row],[Tol Span]]/Table1[[#This Row],[Error Span]]),"N/A"))</f>
        <v>N/A</v>
      </c>
      <c r="T230" s="1" t="str">
        <f>IF(OR(Table1[[#This Row],[Low Tol]]="",Table1[[#This Row],[High Tol]]=""),"Needs Analysis",IF(Table1[[#This Row],[Ratio]]&gt;=4,"Not Significant",IF(Table1[[#This Row],[Ratio]]&gt;=2,"Semi-Significant","Significant")))</f>
        <v>Needs Analysis</v>
      </c>
      <c r="W230" s="1">
        <f>IF(Table1[[#This Row],[Cal Type]]&lt;&gt;"ACCREDITED 17025 WITH UNCERTAINTIES",0,"")</f>
        <v>0</v>
      </c>
      <c r="X230" s="1" t="str">
        <f>IF(Table1[[#This Row],[DUT Read]]="","N/A",Table1[[#This Row],[Std Error]]+Table1[[#This Row],[DUT Read]]+Table1[[#This Row],[DUT Ucty]])</f>
        <v>N/A</v>
      </c>
      <c r="Y230" s="1" t="str">
        <f>IF(Table1[[#This Row],[Std Read]]="","N/A",Table1[[#This Row],[Std Read]]+Table1[[#This Row],[Std Ucty]])</f>
        <v>N/A</v>
      </c>
      <c r="Z2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 s="1" t="str">
        <f>IF(Table1[[#This Row],[Spec Type]]="","N/A",Table1[[#This Row],[Spec Type]])</f>
        <v>±</v>
      </c>
      <c r="AC230" s="1" t="str">
        <f>IF(Table1[[#This Row],[Spec Type2]]="N/A","N/A",IF(AND(Table1[[#This Row],[DUT Adj Read]]&gt;=Table1[[#This Row],[Low Tol]],Table1[[#This Row],[DUT Adj Read]]&lt;=Table1[[#This Row],[High Tol]]),"Pass","Fail"))</f>
        <v>Fail</v>
      </c>
      <c r="AD230" s="1" t="str">
        <f>IF(AND(Table1[[#This Row],[Spec Type2]]="N/A",Table1[[#This Row],[DUT Adj Read]]="N/A",Table1[[#This Row],[Std Adj Read]]="N/A"),"N/A",IF(Table1[[#This Row],[DUT Adj Read]]="N/A",IF(Table1[[#This Row],[Std Adj Read]]&gt;Table1[[#This Row],[Low Tol]],"Pass","Fail"),IF(Table1[[#This Row],[DUT Adj Read]]&gt;Table1[[#This Row],[Low Tol]],"Pass","Fail")))</f>
        <v>Pass</v>
      </c>
      <c r="AE230" s="1" t="str">
        <f>IF(AND(Table1[[#This Row],[Spec Type2]]="N/A",Table1[[#This Row],[DUT Adj Read]]="N/A",Table1[[#This Row],[Std Adj Read]]="N/A"),"N/A",IF(Table1[[#This Row],[DUT Adj Read]]="N/A",IF(Table1[[#This Row],[Std Adj Read]]&lt;Table1[[#This Row],[High Tol]],"Pass","Fail"),IF(Table1[[#This Row],[DUT Adj Read]]&lt;Table1[[#This Row],[High Tol]],"Pass","Fail")))</f>
        <v>Fail</v>
      </c>
      <c r="AF230" s="1" t="str">
        <f>IF(AND(Table1[[#This Row],[Spec Type2]]="N/A",Table1[[#This Row],[DUT Adj Read]]="N/A",Table1[[#This Row],[Std Adj Read]]="N/A"),"N/A",IF(Table1[[#This Row],[DUT Adj Read]]="N/A",IF(Table1[[#This Row],[Std Adj Read]]&gt;=Table1[[#This Row],[Low Tol]],"Pass","Fail"),IF(Table1[[#This Row],[DUT Adj Read]]&gt;=Table1[[#This Row],[Low Tol]],"Pass","Fail")))</f>
        <v>Pass</v>
      </c>
      <c r="AG230" s="1" t="str">
        <f>IF(AND(Table1[[#This Row],[Spec Type2]]="N/A",Table1[[#This Row],[DUT Adj Read]]="N/A",Table1[[#This Row],[Std Adj Read]]="N/A"),"N/A",IF(Table1[[#This Row],[DUT Adj Read]]="N/A",IF(Table1[[#This Row],[Std Adj Read]]&lt;=Table1[[#This Row],[High Tol]],"Pass","Fail"),IF(Table1[[#This Row],[DUT Adj Read]]&lt;=Table1[[#This Row],[High Tol]],"Pass","Fail")))</f>
        <v>Fail</v>
      </c>
      <c r="AH2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 s="1" t="b">
        <v>0</v>
      </c>
      <c r="AN230" s="1" t="b">
        <v>0</v>
      </c>
      <c r="AO230" s="1" t="b">
        <v>0</v>
      </c>
    </row>
    <row r="231" spans="1:41" x14ac:dyDescent="0.25">
      <c r="A231" s="10"/>
      <c r="B231" s="10"/>
      <c r="C231" s="10"/>
      <c r="D231" s="10"/>
      <c r="E231" s="10"/>
      <c r="F231" s="10"/>
      <c r="G231" s="10"/>
      <c r="H231" s="10"/>
      <c r="I231" s="1" t="str">
        <f t="shared" si="9"/>
        <v/>
      </c>
      <c r="J231" s="1" t="s">
        <v>35</v>
      </c>
      <c r="K231" s="1" t="str">
        <f t="shared" si="10"/>
        <v/>
      </c>
      <c r="L231" s="1" t="str">
        <f t="shared" si="11"/>
        <v/>
      </c>
      <c r="M231" s="1">
        <f>IF(OR(Table1[[#This Row],[Std Nom]]="",Table1[[#This Row],[Std Read]]=""),0,Table1[[#This Row],[Std Nom]]-Table1[[#This Row],[Std Read]])</f>
        <v>0</v>
      </c>
      <c r="N231" s="1">
        <f>IF(Calculations!$F$5="ACCREDITED 17025 WITH UNCERTAINTIES",$N$10,0)</f>
        <v>0</v>
      </c>
      <c r="Q231" s="1">
        <f>Table1[[#This Row],[High Tol]]-Table1[[#This Row],[Low Tol]]</f>
        <v>0</v>
      </c>
      <c r="R231" s="1">
        <f>2*Table1[[#This Row],[Std Error]]</f>
        <v>0</v>
      </c>
      <c r="S231" s="1" t="str">
        <f>IF(Table1[[#This Row],[High Tol]]="","N/A",IFERROR(ABS(Table1[[#This Row],[Tol Span]]/Table1[[#This Row],[Error Span]]),"N/A"))</f>
        <v>N/A</v>
      </c>
      <c r="T231" s="1" t="str">
        <f>IF(OR(Table1[[#This Row],[Low Tol]]="",Table1[[#This Row],[High Tol]]=""),"Needs Analysis",IF(Table1[[#This Row],[Ratio]]&gt;=4,"Not Significant",IF(Table1[[#This Row],[Ratio]]&gt;=2,"Semi-Significant","Significant")))</f>
        <v>Needs Analysis</v>
      </c>
      <c r="W231" s="1">
        <f>IF(Table1[[#This Row],[Cal Type]]&lt;&gt;"ACCREDITED 17025 WITH UNCERTAINTIES",0,"")</f>
        <v>0</v>
      </c>
      <c r="X231" s="1" t="str">
        <f>IF(Table1[[#This Row],[DUT Read]]="","N/A",Table1[[#This Row],[Std Error]]+Table1[[#This Row],[DUT Read]]+Table1[[#This Row],[DUT Ucty]])</f>
        <v>N/A</v>
      </c>
      <c r="Y231" s="1" t="str">
        <f>IF(Table1[[#This Row],[Std Read]]="","N/A",Table1[[#This Row],[Std Read]]+Table1[[#This Row],[Std Ucty]])</f>
        <v>N/A</v>
      </c>
      <c r="Z2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 s="1" t="str">
        <f>IF(Table1[[#This Row],[Spec Type]]="","N/A",Table1[[#This Row],[Spec Type]])</f>
        <v>±</v>
      </c>
      <c r="AC231" s="1" t="str">
        <f>IF(Table1[[#This Row],[Spec Type2]]="N/A","N/A",IF(AND(Table1[[#This Row],[DUT Adj Read]]&gt;=Table1[[#This Row],[Low Tol]],Table1[[#This Row],[DUT Adj Read]]&lt;=Table1[[#This Row],[High Tol]]),"Pass","Fail"))</f>
        <v>Fail</v>
      </c>
      <c r="AD231" s="1" t="str">
        <f>IF(AND(Table1[[#This Row],[Spec Type2]]="N/A",Table1[[#This Row],[DUT Adj Read]]="N/A",Table1[[#This Row],[Std Adj Read]]="N/A"),"N/A",IF(Table1[[#This Row],[DUT Adj Read]]="N/A",IF(Table1[[#This Row],[Std Adj Read]]&gt;Table1[[#This Row],[Low Tol]],"Pass","Fail"),IF(Table1[[#This Row],[DUT Adj Read]]&gt;Table1[[#This Row],[Low Tol]],"Pass","Fail")))</f>
        <v>Pass</v>
      </c>
      <c r="AE231" s="1" t="str">
        <f>IF(AND(Table1[[#This Row],[Spec Type2]]="N/A",Table1[[#This Row],[DUT Adj Read]]="N/A",Table1[[#This Row],[Std Adj Read]]="N/A"),"N/A",IF(Table1[[#This Row],[DUT Adj Read]]="N/A",IF(Table1[[#This Row],[Std Adj Read]]&lt;Table1[[#This Row],[High Tol]],"Pass","Fail"),IF(Table1[[#This Row],[DUT Adj Read]]&lt;Table1[[#This Row],[High Tol]],"Pass","Fail")))</f>
        <v>Fail</v>
      </c>
      <c r="AF231" s="1" t="str">
        <f>IF(AND(Table1[[#This Row],[Spec Type2]]="N/A",Table1[[#This Row],[DUT Adj Read]]="N/A",Table1[[#This Row],[Std Adj Read]]="N/A"),"N/A",IF(Table1[[#This Row],[DUT Adj Read]]="N/A",IF(Table1[[#This Row],[Std Adj Read]]&gt;=Table1[[#This Row],[Low Tol]],"Pass","Fail"),IF(Table1[[#This Row],[DUT Adj Read]]&gt;=Table1[[#This Row],[Low Tol]],"Pass","Fail")))</f>
        <v>Pass</v>
      </c>
      <c r="AG231" s="1" t="str">
        <f>IF(AND(Table1[[#This Row],[Spec Type2]]="N/A",Table1[[#This Row],[DUT Adj Read]]="N/A",Table1[[#This Row],[Std Adj Read]]="N/A"),"N/A",IF(Table1[[#This Row],[DUT Adj Read]]="N/A",IF(Table1[[#This Row],[Std Adj Read]]&lt;=Table1[[#This Row],[High Tol]],"Pass","Fail"),IF(Table1[[#This Row],[DUT Adj Read]]&lt;=Table1[[#This Row],[High Tol]],"Pass","Fail")))</f>
        <v>Fail</v>
      </c>
      <c r="AH2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 s="1" t="b">
        <v>0</v>
      </c>
      <c r="AN231" s="1" t="b">
        <v>0</v>
      </c>
      <c r="AO231" s="1" t="b">
        <v>0</v>
      </c>
    </row>
    <row r="232" spans="1:41" x14ac:dyDescent="0.25">
      <c r="A232" s="10"/>
      <c r="B232" s="10"/>
      <c r="C232" s="10"/>
      <c r="D232" s="10"/>
      <c r="E232" s="10"/>
      <c r="F232" s="10"/>
      <c r="G232" s="10"/>
      <c r="H232" s="10"/>
      <c r="I232" s="1" t="str">
        <f t="shared" si="9"/>
        <v/>
      </c>
      <c r="J232" s="1" t="s">
        <v>35</v>
      </c>
      <c r="K232" s="1" t="str">
        <f t="shared" si="10"/>
        <v/>
      </c>
      <c r="L232" s="1" t="str">
        <f t="shared" si="11"/>
        <v/>
      </c>
      <c r="M232" s="1">
        <f>IF(OR(Table1[[#This Row],[Std Nom]]="",Table1[[#This Row],[Std Read]]=""),0,Table1[[#This Row],[Std Nom]]-Table1[[#This Row],[Std Read]])</f>
        <v>0</v>
      </c>
      <c r="N232" s="1">
        <f>IF(Calculations!$F$5="ACCREDITED 17025 WITH UNCERTAINTIES",$N$10,0)</f>
        <v>0</v>
      </c>
      <c r="Q232" s="1">
        <f>Table1[[#This Row],[High Tol]]-Table1[[#This Row],[Low Tol]]</f>
        <v>0</v>
      </c>
      <c r="R232" s="1">
        <f>2*Table1[[#This Row],[Std Error]]</f>
        <v>0</v>
      </c>
      <c r="S232" s="1" t="str">
        <f>IF(Table1[[#This Row],[High Tol]]="","N/A",IFERROR(ABS(Table1[[#This Row],[Tol Span]]/Table1[[#This Row],[Error Span]]),"N/A"))</f>
        <v>N/A</v>
      </c>
      <c r="T232" s="1" t="str">
        <f>IF(OR(Table1[[#This Row],[Low Tol]]="",Table1[[#This Row],[High Tol]]=""),"Needs Analysis",IF(Table1[[#This Row],[Ratio]]&gt;=4,"Not Significant",IF(Table1[[#This Row],[Ratio]]&gt;=2,"Semi-Significant","Significant")))</f>
        <v>Needs Analysis</v>
      </c>
      <c r="W232" s="1">
        <f>IF(Table1[[#This Row],[Cal Type]]&lt;&gt;"ACCREDITED 17025 WITH UNCERTAINTIES",0,"")</f>
        <v>0</v>
      </c>
      <c r="X232" s="1" t="str">
        <f>IF(Table1[[#This Row],[DUT Read]]="","N/A",Table1[[#This Row],[Std Error]]+Table1[[#This Row],[DUT Read]]+Table1[[#This Row],[DUT Ucty]])</f>
        <v>N/A</v>
      </c>
      <c r="Y232" s="1" t="str">
        <f>IF(Table1[[#This Row],[Std Read]]="","N/A",Table1[[#This Row],[Std Read]]+Table1[[#This Row],[Std Ucty]])</f>
        <v>N/A</v>
      </c>
      <c r="Z2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 s="1" t="str">
        <f>IF(Table1[[#This Row],[Spec Type]]="","N/A",Table1[[#This Row],[Spec Type]])</f>
        <v>±</v>
      </c>
      <c r="AC232" s="1" t="str">
        <f>IF(Table1[[#This Row],[Spec Type2]]="N/A","N/A",IF(AND(Table1[[#This Row],[DUT Adj Read]]&gt;=Table1[[#This Row],[Low Tol]],Table1[[#This Row],[DUT Adj Read]]&lt;=Table1[[#This Row],[High Tol]]),"Pass","Fail"))</f>
        <v>Fail</v>
      </c>
      <c r="AD232" s="1" t="str">
        <f>IF(AND(Table1[[#This Row],[Spec Type2]]="N/A",Table1[[#This Row],[DUT Adj Read]]="N/A",Table1[[#This Row],[Std Adj Read]]="N/A"),"N/A",IF(Table1[[#This Row],[DUT Adj Read]]="N/A",IF(Table1[[#This Row],[Std Adj Read]]&gt;Table1[[#This Row],[Low Tol]],"Pass","Fail"),IF(Table1[[#This Row],[DUT Adj Read]]&gt;Table1[[#This Row],[Low Tol]],"Pass","Fail")))</f>
        <v>Pass</v>
      </c>
      <c r="AE232" s="1" t="str">
        <f>IF(AND(Table1[[#This Row],[Spec Type2]]="N/A",Table1[[#This Row],[DUT Adj Read]]="N/A",Table1[[#This Row],[Std Adj Read]]="N/A"),"N/A",IF(Table1[[#This Row],[DUT Adj Read]]="N/A",IF(Table1[[#This Row],[Std Adj Read]]&lt;Table1[[#This Row],[High Tol]],"Pass","Fail"),IF(Table1[[#This Row],[DUT Adj Read]]&lt;Table1[[#This Row],[High Tol]],"Pass","Fail")))</f>
        <v>Fail</v>
      </c>
      <c r="AF232" s="1" t="str">
        <f>IF(AND(Table1[[#This Row],[Spec Type2]]="N/A",Table1[[#This Row],[DUT Adj Read]]="N/A",Table1[[#This Row],[Std Adj Read]]="N/A"),"N/A",IF(Table1[[#This Row],[DUT Adj Read]]="N/A",IF(Table1[[#This Row],[Std Adj Read]]&gt;=Table1[[#This Row],[Low Tol]],"Pass","Fail"),IF(Table1[[#This Row],[DUT Adj Read]]&gt;=Table1[[#This Row],[Low Tol]],"Pass","Fail")))</f>
        <v>Pass</v>
      </c>
      <c r="AG232" s="1" t="str">
        <f>IF(AND(Table1[[#This Row],[Spec Type2]]="N/A",Table1[[#This Row],[DUT Adj Read]]="N/A",Table1[[#This Row],[Std Adj Read]]="N/A"),"N/A",IF(Table1[[#This Row],[DUT Adj Read]]="N/A",IF(Table1[[#This Row],[Std Adj Read]]&lt;=Table1[[#This Row],[High Tol]],"Pass","Fail"),IF(Table1[[#This Row],[DUT Adj Read]]&lt;=Table1[[#This Row],[High Tol]],"Pass","Fail")))</f>
        <v>Fail</v>
      </c>
      <c r="AH2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 s="1" t="b">
        <v>0</v>
      </c>
      <c r="AN232" s="1" t="b">
        <v>0</v>
      </c>
      <c r="AO232" s="1" t="b">
        <v>0</v>
      </c>
    </row>
    <row r="233" spans="1:41" x14ac:dyDescent="0.25">
      <c r="A233" s="10"/>
      <c r="B233" s="10"/>
      <c r="C233" s="10"/>
      <c r="D233" s="10"/>
      <c r="E233" s="10"/>
      <c r="F233" s="10"/>
      <c r="G233" s="10"/>
      <c r="H233" s="10"/>
      <c r="I233" s="1" t="str">
        <f t="shared" si="9"/>
        <v/>
      </c>
      <c r="J233" s="1" t="s">
        <v>35</v>
      </c>
      <c r="K233" s="1" t="str">
        <f t="shared" si="10"/>
        <v/>
      </c>
      <c r="L233" s="1" t="str">
        <f t="shared" si="11"/>
        <v/>
      </c>
      <c r="M233" s="1">
        <f>IF(OR(Table1[[#This Row],[Std Nom]]="",Table1[[#This Row],[Std Read]]=""),0,Table1[[#This Row],[Std Nom]]-Table1[[#This Row],[Std Read]])</f>
        <v>0</v>
      </c>
      <c r="N233" s="1">
        <f>IF(Calculations!$F$5="ACCREDITED 17025 WITH UNCERTAINTIES",$N$10,0)</f>
        <v>0</v>
      </c>
      <c r="Q233" s="1">
        <f>Table1[[#This Row],[High Tol]]-Table1[[#This Row],[Low Tol]]</f>
        <v>0</v>
      </c>
      <c r="R233" s="1">
        <f>2*Table1[[#This Row],[Std Error]]</f>
        <v>0</v>
      </c>
      <c r="S233" s="1" t="str">
        <f>IF(Table1[[#This Row],[High Tol]]="","N/A",IFERROR(ABS(Table1[[#This Row],[Tol Span]]/Table1[[#This Row],[Error Span]]),"N/A"))</f>
        <v>N/A</v>
      </c>
      <c r="T233" s="1" t="str">
        <f>IF(OR(Table1[[#This Row],[Low Tol]]="",Table1[[#This Row],[High Tol]]=""),"Needs Analysis",IF(Table1[[#This Row],[Ratio]]&gt;=4,"Not Significant",IF(Table1[[#This Row],[Ratio]]&gt;=2,"Semi-Significant","Significant")))</f>
        <v>Needs Analysis</v>
      </c>
      <c r="W233" s="1">
        <f>IF(Table1[[#This Row],[Cal Type]]&lt;&gt;"ACCREDITED 17025 WITH UNCERTAINTIES",0,"")</f>
        <v>0</v>
      </c>
      <c r="X233" s="1" t="str">
        <f>IF(Table1[[#This Row],[DUT Read]]="","N/A",Table1[[#This Row],[Std Error]]+Table1[[#This Row],[DUT Read]]+Table1[[#This Row],[DUT Ucty]])</f>
        <v>N/A</v>
      </c>
      <c r="Y233" s="1" t="str">
        <f>IF(Table1[[#This Row],[Std Read]]="","N/A",Table1[[#This Row],[Std Read]]+Table1[[#This Row],[Std Ucty]])</f>
        <v>N/A</v>
      </c>
      <c r="Z2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 s="1" t="str">
        <f>IF(Table1[[#This Row],[Spec Type]]="","N/A",Table1[[#This Row],[Spec Type]])</f>
        <v>±</v>
      </c>
      <c r="AC233" s="1" t="str">
        <f>IF(Table1[[#This Row],[Spec Type2]]="N/A","N/A",IF(AND(Table1[[#This Row],[DUT Adj Read]]&gt;=Table1[[#This Row],[Low Tol]],Table1[[#This Row],[DUT Adj Read]]&lt;=Table1[[#This Row],[High Tol]]),"Pass","Fail"))</f>
        <v>Fail</v>
      </c>
      <c r="AD233" s="1" t="str">
        <f>IF(AND(Table1[[#This Row],[Spec Type2]]="N/A",Table1[[#This Row],[DUT Adj Read]]="N/A",Table1[[#This Row],[Std Adj Read]]="N/A"),"N/A",IF(Table1[[#This Row],[DUT Adj Read]]="N/A",IF(Table1[[#This Row],[Std Adj Read]]&gt;Table1[[#This Row],[Low Tol]],"Pass","Fail"),IF(Table1[[#This Row],[DUT Adj Read]]&gt;Table1[[#This Row],[Low Tol]],"Pass","Fail")))</f>
        <v>Pass</v>
      </c>
      <c r="AE233" s="1" t="str">
        <f>IF(AND(Table1[[#This Row],[Spec Type2]]="N/A",Table1[[#This Row],[DUT Adj Read]]="N/A",Table1[[#This Row],[Std Adj Read]]="N/A"),"N/A",IF(Table1[[#This Row],[DUT Adj Read]]="N/A",IF(Table1[[#This Row],[Std Adj Read]]&lt;Table1[[#This Row],[High Tol]],"Pass","Fail"),IF(Table1[[#This Row],[DUT Adj Read]]&lt;Table1[[#This Row],[High Tol]],"Pass","Fail")))</f>
        <v>Fail</v>
      </c>
      <c r="AF233" s="1" t="str">
        <f>IF(AND(Table1[[#This Row],[Spec Type2]]="N/A",Table1[[#This Row],[DUT Adj Read]]="N/A",Table1[[#This Row],[Std Adj Read]]="N/A"),"N/A",IF(Table1[[#This Row],[DUT Adj Read]]="N/A",IF(Table1[[#This Row],[Std Adj Read]]&gt;=Table1[[#This Row],[Low Tol]],"Pass","Fail"),IF(Table1[[#This Row],[DUT Adj Read]]&gt;=Table1[[#This Row],[Low Tol]],"Pass","Fail")))</f>
        <v>Pass</v>
      </c>
      <c r="AG233" s="1" t="str">
        <f>IF(AND(Table1[[#This Row],[Spec Type2]]="N/A",Table1[[#This Row],[DUT Adj Read]]="N/A",Table1[[#This Row],[Std Adj Read]]="N/A"),"N/A",IF(Table1[[#This Row],[DUT Adj Read]]="N/A",IF(Table1[[#This Row],[Std Adj Read]]&lt;=Table1[[#This Row],[High Tol]],"Pass","Fail"),IF(Table1[[#This Row],[DUT Adj Read]]&lt;=Table1[[#This Row],[High Tol]],"Pass","Fail")))</f>
        <v>Fail</v>
      </c>
      <c r="AH2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 s="1" t="b">
        <v>0</v>
      </c>
      <c r="AN233" s="1" t="b">
        <v>0</v>
      </c>
      <c r="AO233" s="1" t="b">
        <v>0</v>
      </c>
    </row>
    <row r="234" spans="1:41" x14ac:dyDescent="0.25">
      <c r="A234" s="10"/>
      <c r="B234" s="10"/>
      <c r="C234" s="10"/>
      <c r="D234" s="10"/>
      <c r="E234" s="10"/>
      <c r="F234" s="10"/>
      <c r="G234" s="10"/>
      <c r="H234" s="10"/>
      <c r="I234" s="1" t="str">
        <f t="shared" si="9"/>
        <v/>
      </c>
      <c r="J234" s="1" t="s">
        <v>35</v>
      </c>
      <c r="K234" s="1" t="str">
        <f t="shared" si="10"/>
        <v/>
      </c>
      <c r="L234" s="1" t="str">
        <f t="shared" si="11"/>
        <v/>
      </c>
      <c r="M234" s="1">
        <f>IF(OR(Table1[[#This Row],[Std Nom]]="",Table1[[#This Row],[Std Read]]=""),0,Table1[[#This Row],[Std Nom]]-Table1[[#This Row],[Std Read]])</f>
        <v>0</v>
      </c>
      <c r="N234" s="1">
        <f>IF(Calculations!$F$5="ACCREDITED 17025 WITH UNCERTAINTIES",$N$10,0)</f>
        <v>0</v>
      </c>
      <c r="Q234" s="1">
        <f>Table1[[#This Row],[High Tol]]-Table1[[#This Row],[Low Tol]]</f>
        <v>0</v>
      </c>
      <c r="R234" s="1">
        <f>2*Table1[[#This Row],[Std Error]]</f>
        <v>0</v>
      </c>
      <c r="S234" s="1" t="str">
        <f>IF(Table1[[#This Row],[High Tol]]="","N/A",IFERROR(ABS(Table1[[#This Row],[Tol Span]]/Table1[[#This Row],[Error Span]]),"N/A"))</f>
        <v>N/A</v>
      </c>
      <c r="T234" s="1" t="str">
        <f>IF(OR(Table1[[#This Row],[Low Tol]]="",Table1[[#This Row],[High Tol]]=""),"Needs Analysis",IF(Table1[[#This Row],[Ratio]]&gt;=4,"Not Significant",IF(Table1[[#This Row],[Ratio]]&gt;=2,"Semi-Significant","Significant")))</f>
        <v>Needs Analysis</v>
      </c>
      <c r="W234" s="1">
        <f>IF(Table1[[#This Row],[Cal Type]]&lt;&gt;"ACCREDITED 17025 WITH UNCERTAINTIES",0,"")</f>
        <v>0</v>
      </c>
      <c r="X234" s="1" t="str">
        <f>IF(Table1[[#This Row],[DUT Read]]="","N/A",Table1[[#This Row],[Std Error]]+Table1[[#This Row],[DUT Read]]+Table1[[#This Row],[DUT Ucty]])</f>
        <v>N/A</v>
      </c>
      <c r="Y234" s="1" t="str">
        <f>IF(Table1[[#This Row],[Std Read]]="","N/A",Table1[[#This Row],[Std Read]]+Table1[[#This Row],[Std Ucty]])</f>
        <v>N/A</v>
      </c>
      <c r="Z2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 s="1" t="str">
        <f>IF(Table1[[#This Row],[Spec Type]]="","N/A",Table1[[#This Row],[Spec Type]])</f>
        <v>±</v>
      </c>
      <c r="AC234" s="1" t="str">
        <f>IF(Table1[[#This Row],[Spec Type2]]="N/A","N/A",IF(AND(Table1[[#This Row],[DUT Adj Read]]&gt;=Table1[[#This Row],[Low Tol]],Table1[[#This Row],[DUT Adj Read]]&lt;=Table1[[#This Row],[High Tol]]),"Pass","Fail"))</f>
        <v>Fail</v>
      </c>
      <c r="AD234" s="1" t="str">
        <f>IF(AND(Table1[[#This Row],[Spec Type2]]="N/A",Table1[[#This Row],[DUT Adj Read]]="N/A",Table1[[#This Row],[Std Adj Read]]="N/A"),"N/A",IF(Table1[[#This Row],[DUT Adj Read]]="N/A",IF(Table1[[#This Row],[Std Adj Read]]&gt;Table1[[#This Row],[Low Tol]],"Pass","Fail"),IF(Table1[[#This Row],[DUT Adj Read]]&gt;Table1[[#This Row],[Low Tol]],"Pass","Fail")))</f>
        <v>Pass</v>
      </c>
      <c r="AE234" s="1" t="str">
        <f>IF(AND(Table1[[#This Row],[Spec Type2]]="N/A",Table1[[#This Row],[DUT Adj Read]]="N/A",Table1[[#This Row],[Std Adj Read]]="N/A"),"N/A",IF(Table1[[#This Row],[DUT Adj Read]]="N/A",IF(Table1[[#This Row],[Std Adj Read]]&lt;Table1[[#This Row],[High Tol]],"Pass","Fail"),IF(Table1[[#This Row],[DUT Adj Read]]&lt;Table1[[#This Row],[High Tol]],"Pass","Fail")))</f>
        <v>Fail</v>
      </c>
      <c r="AF234" s="1" t="str">
        <f>IF(AND(Table1[[#This Row],[Spec Type2]]="N/A",Table1[[#This Row],[DUT Adj Read]]="N/A",Table1[[#This Row],[Std Adj Read]]="N/A"),"N/A",IF(Table1[[#This Row],[DUT Adj Read]]="N/A",IF(Table1[[#This Row],[Std Adj Read]]&gt;=Table1[[#This Row],[Low Tol]],"Pass","Fail"),IF(Table1[[#This Row],[DUT Adj Read]]&gt;=Table1[[#This Row],[Low Tol]],"Pass","Fail")))</f>
        <v>Pass</v>
      </c>
      <c r="AG234" s="1" t="str">
        <f>IF(AND(Table1[[#This Row],[Spec Type2]]="N/A",Table1[[#This Row],[DUT Adj Read]]="N/A",Table1[[#This Row],[Std Adj Read]]="N/A"),"N/A",IF(Table1[[#This Row],[DUT Adj Read]]="N/A",IF(Table1[[#This Row],[Std Adj Read]]&lt;=Table1[[#This Row],[High Tol]],"Pass","Fail"),IF(Table1[[#This Row],[DUT Adj Read]]&lt;=Table1[[#This Row],[High Tol]],"Pass","Fail")))</f>
        <v>Fail</v>
      </c>
      <c r="AH2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 s="1" t="b">
        <v>0</v>
      </c>
      <c r="AN234" s="1" t="b">
        <v>0</v>
      </c>
      <c r="AO234" s="1" t="b">
        <v>0</v>
      </c>
    </row>
    <row r="235" spans="1:41" x14ac:dyDescent="0.25">
      <c r="A235" s="10"/>
      <c r="B235" s="10"/>
      <c r="C235" s="10"/>
      <c r="D235" s="10"/>
      <c r="E235" s="10"/>
      <c r="F235" s="10"/>
      <c r="G235" s="10"/>
      <c r="H235" s="10"/>
      <c r="I235" s="1" t="str">
        <f t="shared" si="9"/>
        <v/>
      </c>
      <c r="J235" s="1" t="s">
        <v>35</v>
      </c>
      <c r="K235" s="1" t="str">
        <f t="shared" si="10"/>
        <v/>
      </c>
      <c r="L235" s="1" t="str">
        <f t="shared" si="11"/>
        <v/>
      </c>
      <c r="M235" s="1">
        <f>IF(OR(Table1[[#This Row],[Std Nom]]="",Table1[[#This Row],[Std Read]]=""),0,Table1[[#This Row],[Std Nom]]-Table1[[#This Row],[Std Read]])</f>
        <v>0</v>
      </c>
      <c r="N235" s="1">
        <f>IF(Calculations!$F$5="ACCREDITED 17025 WITH UNCERTAINTIES",$N$10,0)</f>
        <v>0</v>
      </c>
      <c r="Q235" s="1">
        <f>Table1[[#This Row],[High Tol]]-Table1[[#This Row],[Low Tol]]</f>
        <v>0</v>
      </c>
      <c r="R235" s="1">
        <f>2*Table1[[#This Row],[Std Error]]</f>
        <v>0</v>
      </c>
      <c r="S235" s="1" t="str">
        <f>IF(Table1[[#This Row],[High Tol]]="","N/A",IFERROR(ABS(Table1[[#This Row],[Tol Span]]/Table1[[#This Row],[Error Span]]),"N/A"))</f>
        <v>N/A</v>
      </c>
      <c r="T235" s="1" t="str">
        <f>IF(OR(Table1[[#This Row],[Low Tol]]="",Table1[[#This Row],[High Tol]]=""),"Needs Analysis",IF(Table1[[#This Row],[Ratio]]&gt;=4,"Not Significant",IF(Table1[[#This Row],[Ratio]]&gt;=2,"Semi-Significant","Significant")))</f>
        <v>Needs Analysis</v>
      </c>
      <c r="W235" s="1">
        <f>IF(Table1[[#This Row],[Cal Type]]&lt;&gt;"ACCREDITED 17025 WITH UNCERTAINTIES",0,"")</f>
        <v>0</v>
      </c>
      <c r="X235" s="1" t="str">
        <f>IF(Table1[[#This Row],[DUT Read]]="","N/A",Table1[[#This Row],[Std Error]]+Table1[[#This Row],[DUT Read]]+Table1[[#This Row],[DUT Ucty]])</f>
        <v>N/A</v>
      </c>
      <c r="Y235" s="1" t="str">
        <f>IF(Table1[[#This Row],[Std Read]]="","N/A",Table1[[#This Row],[Std Read]]+Table1[[#This Row],[Std Ucty]])</f>
        <v>N/A</v>
      </c>
      <c r="Z2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 s="1" t="str">
        <f>IF(Table1[[#This Row],[Spec Type]]="","N/A",Table1[[#This Row],[Spec Type]])</f>
        <v>±</v>
      </c>
      <c r="AC235" s="1" t="str">
        <f>IF(Table1[[#This Row],[Spec Type2]]="N/A","N/A",IF(AND(Table1[[#This Row],[DUT Adj Read]]&gt;=Table1[[#This Row],[Low Tol]],Table1[[#This Row],[DUT Adj Read]]&lt;=Table1[[#This Row],[High Tol]]),"Pass","Fail"))</f>
        <v>Fail</v>
      </c>
      <c r="AD235" s="1" t="str">
        <f>IF(AND(Table1[[#This Row],[Spec Type2]]="N/A",Table1[[#This Row],[DUT Adj Read]]="N/A",Table1[[#This Row],[Std Adj Read]]="N/A"),"N/A",IF(Table1[[#This Row],[DUT Adj Read]]="N/A",IF(Table1[[#This Row],[Std Adj Read]]&gt;Table1[[#This Row],[Low Tol]],"Pass","Fail"),IF(Table1[[#This Row],[DUT Adj Read]]&gt;Table1[[#This Row],[Low Tol]],"Pass","Fail")))</f>
        <v>Pass</v>
      </c>
      <c r="AE235" s="1" t="str">
        <f>IF(AND(Table1[[#This Row],[Spec Type2]]="N/A",Table1[[#This Row],[DUT Adj Read]]="N/A",Table1[[#This Row],[Std Adj Read]]="N/A"),"N/A",IF(Table1[[#This Row],[DUT Adj Read]]="N/A",IF(Table1[[#This Row],[Std Adj Read]]&lt;Table1[[#This Row],[High Tol]],"Pass","Fail"),IF(Table1[[#This Row],[DUT Adj Read]]&lt;Table1[[#This Row],[High Tol]],"Pass","Fail")))</f>
        <v>Fail</v>
      </c>
      <c r="AF235" s="1" t="str">
        <f>IF(AND(Table1[[#This Row],[Spec Type2]]="N/A",Table1[[#This Row],[DUT Adj Read]]="N/A",Table1[[#This Row],[Std Adj Read]]="N/A"),"N/A",IF(Table1[[#This Row],[DUT Adj Read]]="N/A",IF(Table1[[#This Row],[Std Adj Read]]&gt;=Table1[[#This Row],[Low Tol]],"Pass","Fail"),IF(Table1[[#This Row],[DUT Adj Read]]&gt;=Table1[[#This Row],[Low Tol]],"Pass","Fail")))</f>
        <v>Pass</v>
      </c>
      <c r="AG235" s="1" t="str">
        <f>IF(AND(Table1[[#This Row],[Spec Type2]]="N/A",Table1[[#This Row],[DUT Adj Read]]="N/A",Table1[[#This Row],[Std Adj Read]]="N/A"),"N/A",IF(Table1[[#This Row],[DUT Adj Read]]="N/A",IF(Table1[[#This Row],[Std Adj Read]]&lt;=Table1[[#This Row],[High Tol]],"Pass","Fail"),IF(Table1[[#This Row],[DUT Adj Read]]&lt;=Table1[[#This Row],[High Tol]],"Pass","Fail")))</f>
        <v>Fail</v>
      </c>
      <c r="AH2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 s="1" t="b">
        <v>0</v>
      </c>
      <c r="AN235" s="1" t="b">
        <v>0</v>
      </c>
      <c r="AO235" s="1" t="b">
        <v>0</v>
      </c>
    </row>
    <row r="236" spans="1:41" x14ac:dyDescent="0.25">
      <c r="A236" s="10"/>
      <c r="B236" s="10"/>
      <c r="C236" s="10"/>
      <c r="D236" s="10"/>
      <c r="E236" s="10"/>
      <c r="F236" s="10"/>
      <c r="G236" s="10"/>
      <c r="H236" s="10"/>
      <c r="I236" s="1" t="str">
        <f t="shared" si="9"/>
        <v/>
      </c>
      <c r="J236" s="1" t="s">
        <v>35</v>
      </c>
      <c r="K236" s="1" t="str">
        <f t="shared" si="10"/>
        <v/>
      </c>
      <c r="L236" s="1" t="str">
        <f t="shared" si="11"/>
        <v/>
      </c>
      <c r="M236" s="1">
        <f>IF(OR(Table1[[#This Row],[Std Nom]]="",Table1[[#This Row],[Std Read]]=""),0,Table1[[#This Row],[Std Nom]]-Table1[[#This Row],[Std Read]])</f>
        <v>0</v>
      </c>
      <c r="N236" s="1">
        <f>IF(Calculations!$F$5="ACCREDITED 17025 WITH UNCERTAINTIES",$N$10,0)</f>
        <v>0</v>
      </c>
      <c r="Q236" s="1">
        <f>Table1[[#This Row],[High Tol]]-Table1[[#This Row],[Low Tol]]</f>
        <v>0</v>
      </c>
      <c r="R236" s="1">
        <f>2*Table1[[#This Row],[Std Error]]</f>
        <v>0</v>
      </c>
      <c r="S236" s="1" t="str">
        <f>IF(Table1[[#This Row],[High Tol]]="","N/A",IFERROR(ABS(Table1[[#This Row],[Tol Span]]/Table1[[#This Row],[Error Span]]),"N/A"))</f>
        <v>N/A</v>
      </c>
      <c r="T236" s="1" t="str">
        <f>IF(OR(Table1[[#This Row],[Low Tol]]="",Table1[[#This Row],[High Tol]]=""),"Needs Analysis",IF(Table1[[#This Row],[Ratio]]&gt;=4,"Not Significant",IF(Table1[[#This Row],[Ratio]]&gt;=2,"Semi-Significant","Significant")))</f>
        <v>Needs Analysis</v>
      </c>
      <c r="W236" s="1">
        <f>IF(Table1[[#This Row],[Cal Type]]&lt;&gt;"ACCREDITED 17025 WITH UNCERTAINTIES",0,"")</f>
        <v>0</v>
      </c>
      <c r="X236" s="1" t="str">
        <f>IF(Table1[[#This Row],[DUT Read]]="","N/A",Table1[[#This Row],[Std Error]]+Table1[[#This Row],[DUT Read]]+Table1[[#This Row],[DUT Ucty]])</f>
        <v>N/A</v>
      </c>
      <c r="Y236" s="1" t="str">
        <f>IF(Table1[[#This Row],[Std Read]]="","N/A",Table1[[#This Row],[Std Read]]+Table1[[#This Row],[Std Ucty]])</f>
        <v>N/A</v>
      </c>
      <c r="Z2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 s="1" t="str">
        <f>IF(Table1[[#This Row],[Spec Type]]="","N/A",Table1[[#This Row],[Spec Type]])</f>
        <v>±</v>
      </c>
      <c r="AC236" s="1" t="str">
        <f>IF(Table1[[#This Row],[Spec Type2]]="N/A","N/A",IF(AND(Table1[[#This Row],[DUT Adj Read]]&gt;=Table1[[#This Row],[Low Tol]],Table1[[#This Row],[DUT Adj Read]]&lt;=Table1[[#This Row],[High Tol]]),"Pass","Fail"))</f>
        <v>Fail</v>
      </c>
      <c r="AD236" s="1" t="str">
        <f>IF(AND(Table1[[#This Row],[Spec Type2]]="N/A",Table1[[#This Row],[DUT Adj Read]]="N/A",Table1[[#This Row],[Std Adj Read]]="N/A"),"N/A",IF(Table1[[#This Row],[DUT Adj Read]]="N/A",IF(Table1[[#This Row],[Std Adj Read]]&gt;Table1[[#This Row],[Low Tol]],"Pass","Fail"),IF(Table1[[#This Row],[DUT Adj Read]]&gt;Table1[[#This Row],[Low Tol]],"Pass","Fail")))</f>
        <v>Pass</v>
      </c>
      <c r="AE236" s="1" t="str">
        <f>IF(AND(Table1[[#This Row],[Spec Type2]]="N/A",Table1[[#This Row],[DUT Adj Read]]="N/A",Table1[[#This Row],[Std Adj Read]]="N/A"),"N/A",IF(Table1[[#This Row],[DUT Adj Read]]="N/A",IF(Table1[[#This Row],[Std Adj Read]]&lt;Table1[[#This Row],[High Tol]],"Pass","Fail"),IF(Table1[[#This Row],[DUT Adj Read]]&lt;Table1[[#This Row],[High Tol]],"Pass","Fail")))</f>
        <v>Fail</v>
      </c>
      <c r="AF236" s="1" t="str">
        <f>IF(AND(Table1[[#This Row],[Spec Type2]]="N/A",Table1[[#This Row],[DUT Adj Read]]="N/A",Table1[[#This Row],[Std Adj Read]]="N/A"),"N/A",IF(Table1[[#This Row],[DUT Adj Read]]="N/A",IF(Table1[[#This Row],[Std Adj Read]]&gt;=Table1[[#This Row],[Low Tol]],"Pass","Fail"),IF(Table1[[#This Row],[DUT Adj Read]]&gt;=Table1[[#This Row],[Low Tol]],"Pass","Fail")))</f>
        <v>Pass</v>
      </c>
      <c r="AG236" s="1" t="str">
        <f>IF(AND(Table1[[#This Row],[Spec Type2]]="N/A",Table1[[#This Row],[DUT Adj Read]]="N/A",Table1[[#This Row],[Std Adj Read]]="N/A"),"N/A",IF(Table1[[#This Row],[DUT Adj Read]]="N/A",IF(Table1[[#This Row],[Std Adj Read]]&lt;=Table1[[#This Row],[High Tol]],"Pass","Fail"),IF(Table1[[#This Row],[DUT Adj Read]]&lt;=Table1[[#This Row],[High Tol]],"Pass","Fail")))</f>
        <v>Fail</v>
      </c>
      <c r="AH2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 s="1" t="b">
        <v>0</v>
      </c>
      <c r="AN236" s="1" t="b">
        <v>0</v>
      </c>
      <c r="AO236" s="1" t="b">
        <v>0</v>
      </c>
    </row>
    <row r="237" spans="1:41" x14ac:dyDescent="0.25">
      <c r="A237" s="10"/>
      <c r="B237" s="10"/>
      <c r="C237" s="10"/>
      <c r="D237" s="10"/>
      <c r="E237" s="10"/>
      <c r="F237" s="10"/>
      <c r="G237" s="10"/>
      <c r="H237" s="10"/>
      <c r="I237" s="1" t="str">
        <f t="shared" si="9"/>
        <v/>
      </c>
      <c r="J237" s="1" t="s">
        <v>35</v>
      </c>
      <c r="K237" s="1" t="str">
        <f t="shared" si="10"/>
        <v/>
      </c>
      <c r="L237" s="1" t="str">
        <f t="shared" si="11"/>
        <v/>
      </c>
      <c r="M237" s="1">
        <f>IF(OR(Table1[[#This Row],[Std Nom]]="",Table1[[#This Row],[Std Read]]=""),0,Table1[[#This Row],[Std Nom]]-Table1[[#This Row],[Std Read]])</f>
        <v>0</v>
      </c>
      <c r="N237" s="1">
        <f>IF(Calculations!$F$5="ACCREDITED 17025 WITH UNCERTAINTIES",$N$10,0)</f>
        <v>0</v>
      </c>
      <c r="Q237" s="1">
        <f>Table1[[#This Row],[High Tol]]-Table1[[#This Row],[Low Tol]]</f>
        <v>0</v>
      </c>
      <c r="R237" s="1">
        <f>2*Table1[[#This Row],[Std Error]]</f>
        <v>0</v>
      </c>
      <c r="S237" s="1" t="str">
        <f>IF(Table1[[#This Row],[High Tol]]="","N/A",IFERROR(ABS(Table1[[#This Row],[Tol Span]]/Table1[[#This Row],[Error Span]]),"N/A"))</f>
        <v>N/A</v>
      </c>
      <c r="T237" s="1" t="str">
        <f>IF(OR(Table1[[#This Row],[Low Tol]]="",Table1[[#This Row],[High Tol]]=""),"Needs Analysis",IF(Table1[[#This Row],[Ratio]]&gt;=4,"Not Significant",IF(Table1[[#This Row],[Ratio]]&gt;=2,"Semi-Significant","Significant")))</f>
        <v>Needs Analysis</v>
      </c>
      <c r="W237" s="1">
        <f>IF(Table1[[#This Row],[Cal Type]]&lt;&gt;"ACCREDITED 17025 WITH UNCERTAINTIES",0,"")</f>
        <v>0</v>
      </c>
      <c r="X237" s="1" t="str">
        <f>IF(Table1[[#This Row],[DUT Read]]="","N/A",Table1[[#This Row],[Std Error]]+Table1[[#This Row],[DUT Read]]+Table1[[#This Row],[DUT Ucty]])</f>
        <v>N/A</v>
      </c>
      <c r="Y237" s="1" t="str">
        <f>IF(Table1[[#This Row],[Std Read]]="","N/A",Table1[[#This Row],[Std Read]]+Table1[[#This Row],[Std Ucty]])</f>
        <v>N/A</v>
      </c>
      <c r="Z2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 s="1" t="str">
        <f>IF(Table1[[#This Row],[Spec Type]]="","N/A",Table1[[#This Row],[Spec Type]])</f>
        <v>±</v>
      </c>
      <c r="AC237" s="1" t="str">
        <f>IF(Table1[[#This Row],[Spec Type2]]="N/A","N/A",IF(AND(Table1[[#This Row],[DUT Adj Read]]&gt;=Table1[[#This Row],[Low Tol]],Table1[[#This Row],[DUT Adj Read]]&lt;=Table1[[#This Row],[High Tol]]),"Pass","Fail"))</f>
        <v>Fail</v>
      </c>
      <c r="AD237" s="1" t="str">
        <f>IF(AND(Table1[[#This Row],[Spec Type2]]="N/A",Table1[[#This Row],[DUT Adj Read]]="N/A",Table1[[#This Row],[Std Adj Read]]="N/A"),"N/A",IF(Table1[[#This Row],[DUT Adj Read]]="N/A",IF(Table1[[#This Row],[Std Adj Read]]&gt;Table1[[#This Row],[Low Tol]],"Pass","Fail"),IF(Table1[[#This Row],[DUT Adj Read]]&gt;Table1[[#This Row],[Low Tol]],"Pass","Fail")))</f>
        <v>Pass</v>
      </c>
      <c r="AE237" s="1" t="str">
        <f>IF(AND(Table1[[#This Row],[Spec Type2]]="N/A",Table1[[#This Row],[DUT Adj Read]]="N/A",Table1[[#This Row],[Std Adj Read]]="N/A"),"N/A",IF(Table1[[#This Row],[DUT Adj Read]]="N/A",IF(Table1[[#This Row],[Std Adj Read]]&lt;Table1[[#This Row],[High Tol]],"Pass","Fail"),IF(Table1[[#This Row],[DUT Adj Read]]&lt;Table1[[#This Row],[High Tol]],"Pass","Fail")))</f>
        <v>Fail</v>
      </c>
      <c r="AF237" s="1" t="str">
        <f>IF(AND(Table1[[#This Row],[Spec Type2]]="N/A",Table1[[#This Row],[DUT Adj Read]]="N/A",Table1[[#This Row],[Std Adj Read]]="N/A"),"N/A",IF(Table1[[#This Row],[DUT Adj Read]]="N/A",IF(Table1[[#This Row],[Std Adj Read]]&gt;=Table1[[#This Row],[Low Tol]],"Pass","Fail"),IF(Table1[[#This Row],[DUT Adj Read]]&gt;=Table1[[#This Row],[Low Tol]],"Pass","Fail")))</f>
        <v>Pass</v>
      </c>
      <c r="AG237" s="1" t="str">
        <f>IF(AND(Table1[[#This Row],[Spec Type2]]="N/A",Table1[[#This Row],[DUT Adj Read]]="N/A",Table1[[#This Row],[Std Adj Read]]="N/A"),"N/A",IF(Table1[[#This Row],[DUT Adj Read]]="N/A",IF(Table1[[#This Row],[Std Adj Read]]&lt;=Table1[[#This Row],[High Tol]],"Pass","Fail"),IF(Table1[[#This Row],[DUT Adj Read]]&lt;=Table1[[#This Row],[High Tol]],"Pass","Fail")))</f>
        <v>Fail</v>
      </c>
      <c r="AH2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 s="1" t="b">
        <v>0</v>
      </c>
      <c r="AN237" s="1" t="b">
        <v>0</v>
      </c>
      <c r="AO237" s="1" t="b">
        <v>0</v>
      </c>
    </row>
    <row r="238" spans="1:41" x14ac:dyDescent="0.25">
      <c r="A238" s="10"/>
      <c r="B238" s="10"/>
      <c r="C238" s="10"/>
      <c r="D238" s="10"/>
      <c r="E238" s="10"/>
      <c r="F238" s="10"/>
      <c r="G238" s="10"/>
      <c r="H238" s="10"/>
      <c r="I238" s="1" t="str">
        <f t="shared" si="9"/>
        <v/>
      </c>
      <c r="J238" s="1" t="s">
        <v>35</v>
      </c>
      <c r="K238" s="1" t="str">
        <f t="shared" si="10"/>
        <v/>
      </c>
      <c r="L238" s="1" t="str">
        <f t="shared" si="11"/>
        <v/>
      </c>
      <c r="M238" s="1">
        <f>IF(OR(Table1[[#This Row],[Std Nom]]="",Table1[[#This Row],[Std Read]]=""),0,Table1[[#This Row],[Std Nom]]-Table1[[#This Row],[Std Read]])</f>
        <v>0</v>
      </c>
      <c r="N238" s="1">
        <f>IF(Calculations!$F$5="ACCREDITED 17025 WITH UNCERTAINTIES",$N$10,0)</f>
        <v>0</v>
      </c>
      <c r="Q238" s="1">
        <f>Table1[[#This Row],[High Tol]]-Table1[[#This Row],[Low Tol]]</f>
        <v>0</v>
      </c>
      <c r="R238" s="1">
        <f>2*Table1[[#This Row],[Std Error]]</f>
        <v>0</v>
      </c>
      <c r="S238" s="1" t="str">
        <f>IF(Table1[[#This Row],[High Tol]]="","N/A",IFERROR(ABS(Table1[[#This Row],[Tol Span]]/Table1[[#This Row],[Error Span]]),"N/A"))</f>
        <v>N/A</v>
      </c>
      <c r="T238" s="1" t="str">
        <f>IF(OR(Table1[[#This Row],[Low Tol]]="",Table1[[#This Row],[High Tol]]=""),"Needs Analysis",IF(Table1[[#This Row],[Ratio]]&gt;=4,"Not Significant",IF(Table1[[#This Row],[Ratio]]&gt;=2,"Semi-Significant","Significant")))</f>
        <v>Needs Analysis</v>
      </c>
      <c r="W238" s="1">
        <f>IF(Table1[[#This Row],[Cal Type]]&lt;&gt;"ACCREDITED 17025 WITH UNCERTAINTIES",0,"")</f>
        <v>0</v>
      </c>
      <c r="X238" s="1" t="str">
        <f>IF(Table1[[#This Row],[DUT Read]]="","N/A",Table1[[#This Row],[Std Error]]+Table1[[#This Row],[DUT Read]]+Table1[[#This Row],[DUT Ucty]])</f>
        <v>N/A</v>
      </c>
      <c r="Y238" s="1" t="str">
        <f>IF(Table1[[#This Row],[Std Read]]="","N/A",Table1[[#This Row],[Std Read]]+Table1[[#This Row],[Std Ucty]])</f>
        <v>N/A</v>
      </c>
      <c r="Z2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 s="1" t="str">
        <f>IF(Table1[[#This Row],[Spec Type]]="","N/A",Table1[[#This Row],[Spec Type]])</f>
        <v>±</v>
      </c>
      <c r="AC238" s="1" t="str">
        <f>IF(Table1[[#This Row],[Spec Type2]]="N/A","N/A",IF(AND(Table1[[#This Row],[DUT Adj Read]]&gt;=Table1[[#This Row],[Low Tol]],Table1[[#This Row],[DUT Adj Read]]&lt;=Table1[[#This Row],[High Tol]]),"Pass","Fail"))</f>
        <v>Fail</v>
      </c>
      <c r="AD238" s="1" t="str">
        <f>IF(AND(Table1[[#This Row],[Spec Type2]]="N/A",Table1[[#This Row],[DUT Adj Read]]="N/A",Table1[[#This Row],[Std Adj Read]]="N/A"),"N/A",IF(Table1[[#This Row],[DUT Adj Read]]="N/A",IF(Table1[[#This Row],[Std Adj Read]]&gt;Table1[[#This Row],[Low Tol]],"Pass","Fail"),IF(Table1[[#This Row],[DUT Adj Read]]&gt;Table1[[#This Row],[Low Tol]],"Pass","Fail")))</f>
        <v>Pass</v>
      </c>
      <c r="AE238" s="1" t="str">
        <f>IF(AND(Table1[[#This Row],[Spec Type2]]="N/A",Table1[[#This Row],[DUT Adj Read]]="N/A",Table1[[#This Row],[Std Adj Read]]="N/A"),"N/A",IF(Table1[[#This Row],[DUT Adj Read]]="N/A",IF(Table1[[#This Row],[Std Adj Read]]&lt;Table1[[#This Row],[High Tol]],"Pass","Fail"),IF(Table1[[#This Row],[DUT Adj Read]]&lt;Table1[[#This Row],[High Tol]],"Pass","Fail")))</f>
        <v>Fail</v>
      </c>
      <c r="AF238" s="1" t="str">
        <f>IF(AND(Table1[[#This Row],[Spec Type2]]="N/A",Table1[[#This Row],[DUT Adj Read]]="N/A",Table1[[#This Row],[Std Adj Read]]="N/A"),"N/A",IF(Table1[[#This Row],[DUT Adj Read]]="N/A",IF(Table1[[#This Row],[Std Adj Read]]&gt;=Table1[[#This Row],[Low Tol]],"Pass","Fail"),IF(Table1[[#This Row],[DUT Adj Read]]&gt;=Table1[[#This Row],[Low Tol]],"Pass","Fail")))</f>
        <v>Pass</v>
      </c>
      <c r="AG238" s="1" t="str">
        <f>IF(AND(Table1[[#This Row],[Spec Type2]]="N/A",Table1[[#This Row],[DUT Adj Read]]="N/A",Table1[[#This Row],[Std Adj Read]]="N/A"),"N/A",IF(Table1[[#This Row],[DUT Adj Read]]="N/A",IF(Table1[[#This Row],[Std Adj Read]]&lt;=Table1[[#This Row],[High Tol]],"Pass","Fail"),IF(Table1[[#This Row],[DUT Adj Read]]&lt;=Table1[[#This Row],[High Tol]],"Pass","Fail")))</f>
        <v>Fail</v>
      </c>
      <c r="AH2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 s="1" t="b">
        <v>0</v>
      </c>
      <c r="AN238" s="1" t="b">
        <v>0</v>
      </c>
      <c r="AO238" s="1" t="b">
        <v>0</v>
      </c>
    </row>
    <row r="239" spans="1:41" x14ac:dyDescent="0.25">
      <c r="A239" s="10"/>
      <c r="B239" s="10"/>
      <c r="C239" s="10"/>
      <c r="D239" s="10"/>
      <c r="E239" s="10"/>
      <c r="F239" s="10"/>
      <c r="G239" s="10"/>
      <c r="H239" s="10"/>
      <c r="I239" s="1" t="str">
        <f t="shared" si="9"/>
        <v/>
      </c>
      <c r="J239" s="1" t="s">
        <v>35</v>
      </c>
      <c r="K239" s="1" t="str">
        <f t="shared" si="10"/>
        <v/>
      </c>
      <c r="L239" s="1" t="str">
        <f t="shared" si="11"/>
        <v/>
      </c>
      <c r="M239" s="1">
        <f>IF(OR(Table1[[#This Row],[Std Nom]]="",Table1[[#This Row],[Std Read]]=""),0,Table1[[#This Row],[Std Nom]]-Table1[[#This Row],[Std Read]])</f>
        <v>0</v>
      </c>
      <c r="N239" s="1">
        <f>IF(Calculations!$F$5="ACCREDITED 17025 WITH UNCERTAINTIES",$N$10,0)</f>
        <v>0</v>
      </c>
      <c r="Q239" s="1">
        <f>Table1[[#This Row],[High Tol]]-Table1[[#This Row],[Low Tol]]</f>
        <v>0</v>
      </c>
      <c r="R239" s="1">
        <f>2*Table1[[#This Row],[Std Error]]</f>
        <v>0</v>
      </c>
      <c r="S239" s="1" t="str">
        <f>IF(Table1[[#This Row],[High Tol]]="","N/A",IFERROR(ABS(Table1[[#This Row],[Tol Span]]/Table1[[#This Row],[Error Span]]),"N/A"))</f>
        <v>N/A</v>
      </c>
      <c r="T239" s="1" t="str">
        <f>IF(OR(Table1[[#This Row],[Low Tol]]="",Table1[[#This Row],[High Tol]]=""),"Needs Analysis",IF(Table1[[#This Row],[Ratio]]&gt;=4,"Not Significant",IF(Table1[[#This Row],[Ratio]]&gt;=2,"Semi-Significant","Significant")))</f>
        <v>Needs Analysis</v>
      </c>
      <c r="W239" s="1">
        <f>IF(Table1[[#This Row],[Cal Type]]&lt;&gt;"ACCREDITED 17025 WITH UNCERTAINTIES",0,"")</f>
        <v>0</v>
      </c>
      <c r="X239" s="1" t="str">
        <f>IF(Table1[[#This Row],[DUT Read]]="","N/A",Table1[[#This Row],[Std Error]]+Table1[[#This Row],[DUT Read]]+Table1[[#This Row],[DUT Ucty]])</f>
        <v>N/A</v>
      </c>
      <c r="Y239" s="1" t="str">
        <f>IF(Table1[[#This Row],[Std Read]]="","N/A",Table1[[#This Row],[Std Read]]+Table1[[#This Row],[Std Ucty]])</f>
        <v>N/A</v>
      </c>
      <c r="Z2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 s="1" t="str">
        <f>IF(Table1[[#This Row],[Spec Type]]="","N/A",Table1[[#This Row],[Spec Type]])</f>
        <v>±</v>
      </c>
      <c r="AC239" s="1" t="str">
        <f>IF(Table1[[#This Row],[Spec Type2]]="N/A","N/A",IF(AND(Table1[[#This Row],[DUT Adj Read]]&gt;=Table1[[#This Row],[Low Tol]],Table1[[#This Row],[DUT Adj Read]]&lt;=Table1[[#This Row],[High Tol]]),"Pass","Fail"))</f>
        <v>Fail</v>
      </c>
      <c r="AD239" s="1" t="str">
        <f>IF(AND(Table1[[#This Row],[Spec Type2]]="N/A",Table1[[#This Row],[DUT Adj Read]]="N/A",Table1[[#This Row],[Std Adj Read]]="N/A"),"N/A",IF(Table1[[#This Row],[DUT Adj Read]]="N/A",IF(Table1[[#This Row],[Std Adj Read]]&gt;Table1[[#This Row],[Low Tol]],"Pass","Fail"),IF(Table1[[#This Row],[DUT Adj Read]]&gt;Table1[[#This Row],[Low Tol]],"Pass","Fail")))</f>
        <v>Pass</v>
      </c>
      <c r="AE239" s="1" t="str">
        <f>IF(AND(Table1[[#This Row],[Spec Type2]]="N/A",Table1[[#This Row],[DUT Adj Read]]="N/A",Table1[[#This Row],[Std Adj Read]]="N/A"),"N/A",IF(Table1[[#This Row],[DUT Adj Read]]="N/A",IF(Table1[[#This Row],[Std Adj Read]]&lt;Table1[[#This Row],[High Tol]],"Pass","Fail"),IF(Table1[[#This Row],[DUT Adj Read]]&lt;Table1[[#This Row],[High Tol]],"Pass","Fail")))</f>
        <v>Fail</v>
      </c>
      <c r="AF239" s="1" t="str">
        <f>IF(AND(Table1[[#This Row],[Spec Type2]]="N/A",Table1[[#This Row],[DUT Adj Read]]="N/A",Table1[[#This Row],[Std Adj Read]]="N/A"),"N/A",IF(Table1[[#This Row],[DUT Adj Read]]="N/A",IF(Table1[[#This Row],[Std Adj Read]]&gt;=Table1[[#This Row],[Low Tol]],"Pass","Fail"),IF(Table1[[#This Row],[DUT Adj Read]]&gt;=Table1[[#This Row],[Low Tol]],"Pass","Fail")))</f>
        <v>Pass</v>
      </c>
      <c r="AG239" s="1" t="str">
        <f>IF(AND(Table1[[#This Row],[Spec Type2]]="N/A",Table1[[#This Row],[DUT Adj Read]]="N/A",Table1[[#This Row],[Std Adj Read]]="N/A"),"N/A",IF(Table1[[#This Row],[DUT Adj Read]]="N/A",IF(Table1[[#This Row],[Std Adj Read]]&lt;=Table1[[#This Row],[High Tol]],"Pass","Fail"),IF(Table1[[#This Row],[DUT Adj Read]]&lt;=Table1[[#This Row],[High Tol]],"Pass","Fail")))</f>
        <v>Fail</v>
      </c>
      <c r="AH2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 s="1" t="b">
        <v>0</v>
      </c>
      <c r="AN239" s="1" t="b">
        <v>0</v>
      </c>
      <c r="AO239" s="1" t="b">
        <v>0</v>
      </c>
    </row>
    <row r="240" spans="1:41" x14ac:dyDescent="0.25">
      <c r="A240" s="10"/>
      <c r="B240" s="10"/>
      <c r="C240" s="10"/>
      <c r="D240" s="10"/>
      <c r="E240" s="10"/>
      <c r="F240" s="10"/>
      <c r="G240" s="10"/>
      <c r="H240" s="10"/>
      <c r="I240" s="1" t="str">
        <f t="shared" si="9"/>
        <v/>
      </c>
      <c r="J240" s="1" t="s">
        <v>35</v>
      </c>
      <c r="K240" s="1" t="str">
        <f t="shared" si="10"/>
        <v/>
      </c>
      <c r="L240" s="1" t="str">
        <f t="shared" si="11"/>
        <v/>
      </c>
      <c r="M240" s="1">
        <f>IF(OR(Table1[[#This Row],[Std Nom]]="",Table1[[#This Row],[Std Read]]=""),0,Table1[[#This Row],[Std Nom]]-Table1[[#This Row],[Std Read]])</f>
        <v>0</v>
      </c>
      <c r="N240" s="1">
        <f>IF(Calculations!$F$5="ACCREDITED 17025 WITH UNCERTAINTIES",$N$10,0)</f>
        <v>0</v>
      </c>
      <c r="Q240" s="1">
        <f>Table1[[#This Row],[High Tol]]-Table1[[#This Row],[Low Tol]]</f>
        <v>0</v>
      </c>
      <c r="R240" s="1">
        <f>2*Table1[[#This Row],[Std Error]]</f>
        <v>0</v>
      </c>
      <c r="S240" s="1" t="str">
        <f>IF(Table1[[#This Row],[High Tol]]="","N/A",IFERROR(ABS(Table1[[#This Row],[Tol Span]]/Table1[[#This Row],[Error Span]]),"N/A"))</f>
        <v>N/A</v>
      </c>
      <c r="T240" s="1" t="str">
        <f>IF(OR(Table1[[#This Row],[Low Tol]]="",Table1[[#This Row],[High Tol]]=""),"Needs Analysis",IF(Table1[[#This Row],[Ratio]]&gt;=4,"Not Significant",IF(Table1[[#This Row],[Ratio]]&gt;=2,"Semi-Significant","Significant")))</f>
        <v>Needs Analysis</v>
      </c>
      <c r="W240" s="1">
        <f>IF(Table1[[#This Row],[Cal Type]]&lt;&gt;"ACCREDITED 17025 WITH UNCERTAINTIES",0,"")</f>
        <v>0</v>
      </c>
      <c r="X240" s="1" t="str">
        <f>IF(Table1[[#This Row],[DUT Read]]="","N/A",Table1[[#This Row],[Std Error]]+Table1[[#This Row],[DUT Read]]+Table1[[#This Row],[DUT Ucty]])</f>
        <v>N/A</v>
      </c>
      <c r="Y240" s="1" t="str">
        <f>IF(Table1[[#This Row],[Std Read]]="","N/A",Table1[[#This Row],[Std Read]]+Table1[[#This Row],[Std Ucty]])</f>
        <v>N/A</v>
      </c>
      <c r="Z2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 s="1" t="str">
        <f>IF(Table1[[#This Row],[Spec Type]]="","N/A",Table1[[#This Row],[Spec Type]])</f>
        <v>±</v>
      </c>
      <c r="AC240" s="1" t="str">
        <f>IF(Table1[[#This Row],[Spec Type2]]="N/A","N/A",IF(AND(Table1[[#This Row],[DUT Adj Read]]&gt;=Table1[[#This Row],[Low Tol]],Table1[[#This Row],[DUT Adj Read]]&lt;=Table1[[#This Row],[High Tol]]),"Pass","Fail"))</f>
        <v>Fail</v>
      </c>
      <c r="AD240" s="1" t="str">
        <f>IF(AND(Table1[[#This Row],[Spec Type2]]="N/A",Table1[[#This Row],[DUT Adj Read]]="N/A",Table1[[#This Row],[Std Adj Read]]="N/A"),"N/A",IF(Table1[[#This Row],[DUT Adj Read]]="N/A",IF(Table1[[#This Row],[Std Adj Read]]&gt;Table1[[#This Row],[Low Tol]],"Pass","Fail"),IF(Table1[[#This Row],[DUT Adj Read]]&gt;Table1[[#This Row],[Low Tol]],"Pass","Fail")))</f>
        <v>Pass</v>
      </c>
      <c r="AE240" s="1" t="str">
        <f>IF(AND(Table1[[#This Row],[Spec Type2]]="N/A",Table1[[#This Row],[DUT Adj Read]]="N/A",Table1[[#This Row],[Std Adj Read]]="N/A"),"N/A",IF(Table1[[#This Row],[DUT Adj Read]]="N/A",IF(Table1[[#This Row],[Std Adj Read]]&lt;Table1[[#This Row],[High Tol]],"Pass","Fail"),IF(Table1[[#This Row],[DUT Adj Read]]&lt;Table1[[#This Row],[High Tol]],"Pass","Fail")))</f>
        <v>Fail</v>
      </c>
      <c r="AF240" s="1" t="str">
        <f>IF(AND(Table1[[#This Row],[Spec Type2]]="N/A",Table1[[#This Row],[DUT Adj Read]]="N/A",Table1[[#This Row],[Std Adj Read]]="N/A"),"N/A",IF(Table1[[#This Row],[DUT Adj Read]]="N/A",IF(Table1[[#This Row],[Std Adj Read]]&gt;=Table1[[#This Row],[Low Tol]],"Pass","Fail"),IF(Table1[[#This Row],[DUT Adj Read]]&gt;=Table1[[#This Row],[Low Tol]],"Pass","Fail")))</f>
        <v>Pass</v>
      </c>
      <c r="AG240" s="1" t="str">
        <f>IF(AND(Table1[[#This Row],[Spec Type2]]="N/A",Table1[[#This Row],[DUT Adj Read]]="N/A",Table1[[#This Row],[Std Adj Read]]="N/A"),"N/A",IF(Table1[[#This Row],[DUT Adj Read]]="N/A",IF(Table1[[#This Row],[Std Adj Read]]&lt;=Table1[[#This Row],[High Tol]],"Pass","Fail"),IF(Table1[[#This Row],[DUT Adj Read]]&lt;=Table1[[#This Row],[High Tol]],"Pass","Fail")))</f>
        <v>Fail</v>
      </c>
      <c r="AH2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 s="1" t="b">
        <v>0</v>
      </c>
      <c r="AN240" s="1" t="b">
        <v>0</v>
      </c>
      <c r="AO240" s="1" t="b">
        <v>0</v>
      </c>
    </row>
    <row r="241" spans="1:41" x14ac:dyDescent="0.25">
      <c r="A241" s="10"/>
      <c r="B241" s="10"/>
      <c r="C241" s="10"/>
      <c r="D241" s="10"/>
      <c r="E241" s="10"/>
      <c r="F241" s="10"/>
      <c r="G241" s="10"/>
      <c r="H241" s="10"/>
      <c r="I241" s="1" t="str">
        <f t="shared" si="9"/>
        <v/>
      </c>
      <c r="J241" s="1" t="s">
        <v>35</v>
      </c>
      <c r="K241" s="1" t="str">
        <f t="shared" si="10"/>
        <v/>
      </c>
      <c r="L241" s="1" t="str">
        <f t="shared" si="11"/>
        <v/>
      </c>
      <c r="M241" s="1">
        <f>IF(OR(Table1[[#This Row],[Std Nom]]="",Table1[[#This Row],[Std Read]]=""),0,Table1[[#This Row],[Std Nom]]-Table1[[#This Row],[Std Read]])</f>
        <v>0</v>
      </c>
      <c r="N241" s="1">
        <f>IF(Calculations!$F$5="ACCREDITED 17025 WITH UNCERTAINTIES",$N$10,0)</f>
        <v>0</v>
      </c>
      <c r="Q241" s="1">
        <f>Table1[[#This Row],[High Tol]]-Table1[[#This Row],[Low Tol]]</f>
        <v>0</v>
      </c>
      <c r="R241" s="1">
        <f>2*Table1[[#This Row],[Std Error]]</f>
        <v>0</v>
      </c>
      <c r="S241" s="1" t="str">
        <f>IF(Table1[[#This Row],[High Tol]]="","N/A",IFERROR(ABS(Table1[[#This Row],[Tol Span]]/Table1[[#This Row],[Error Span]]),"N/A"))</f>
        <v>N/A</v>
      </c>
      <c r="T241" s="1" t="str">
        <f>IF(OR(Table1[[#This Row],[Low Tol]]="",Table1[[#This Row],[High Tol]]=""),"Needs Analysis",IF(Table1[[#This Row],[Ratio]]&gt;=4,"Not Significant",IF(Table1[[#This Row],[Ratio]]&gt;=2,"Semi-Significant","Significant")))</f>
        <v>Needs Analysis</v>
      </c>
      <c r="W241" s="1">
        <f>IF(Table1[[#This Row],[Cal Type]]&lt;&gt;"ACCREDITED 17025 WITH UNCERTAINTIES",0,"")</f>
        <v>0</v>
      </c>
      <c r="X241" s="1" t="str">
        <f>IF(Table1[[#This Row],[DUT Read]]="","N/A",Table1[[#This Row],[Std Error]]+Table1[[#This Row],[DUT Read]]+Table1[[#This Row],[DUT Ucty]])</f>
        <v>N/A</v>
      </c>
      <c r="Y241" s="1" t="str">
        <f>IF(Table1[[#This Row],[Std Read]]="","N/A",Table1[[#This Row],[Std Read]]+Table1[[#This Row],[Std Ucty]])</f>
        <v>N/A</v>
      </c>
      <c r="Z2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 s="1" t="str">
        <f>IF(Table1[[#This Row],[Spec Type]]="","N/A",Table1[[#This Row],[Spec Type]])</f>
        <v>±</v>
      </c>
      <c r="AC241" s="1" t="str">
        <f>IF(Table1[[#This Row],[Spec Type2]]="N/A","N/A",IF(AND(Table1[[#This Row],[DUT Adj Read]]&gt;=Table1[[#This Row],[Low Tol]],Table1[[#This Row],[DUT Adj Read]]&lt;=Table1[[#This Row],[High Tol]]),"Pass","Fail"))</f>
        <v>Fail</v>
      </c>
      <c r="AD241" s="1" t="str">
        <f>IF(AND(Table1[[#This Row],[Spec Type2]]="N/A",Table1[[#This Row],[DUT Adj Read]]="N/A",Table1[[#This Row],[Std Adj Read]]="N/A"),"N/A",IF(Table1[[#This Row],[DUT Adj Read]]="N/A",IF(Table1[[#This Row],[Std Adj Read]]&gt;Table1[[#This Row],[Low Tol]],"Pass","Fail"),IF(Table1[[#This Row],[DUT Adj Read]]&gt;Table1[[#This Row],[Low Tol]],"Pass","Fail")))</f>
        <v>Pass</v>
      </c>
      <c r="AE241" s="1" t="str">
        <f>IF(AND(Table1[[#This Row],[Spec Type2]]="N/A",Table1[[#This Row],[DUT Adj Read]]="N/A",Table1[[#This Row],[Std Adj Read]]="N/A"),"N/A",IF(Table1[[#This Row],[DUT Adj Read]]="N/A",IF(Table1[[#This Row],[Std Adj Read]]&lt;Table1[[#This Row],[High Tol]],"Pass","Fail"),IF(Table1[[#This Row],[DUT Adj Read]]&lt;Table1[[#This Row],[High Tol]],"Pass","Fail")))</f>
        <v>Fail</v>
      </c>
      <c r="AF241" s="1" t="str">
        <f>IF(AND(Table1[[#This Row],[Spec Type2]]="N/A",Table1[[#This Row],[DUT Adj Read]]="N/A",Table1[[#This Row],[Std Adj Read]]="N/A"),"N/A",IF(Table1[[#This Row],[DUT Adj Read]]="N/A",IF(Table1[[#This Row],[Std Adj Read]]&gt;=Table1[[#This Row],[Low Tol]],"Pass","Fail"),IF(Table1[[#This Row],[DUT Adj Read]]&gt;=Table1[[#This Row],[Low Tol]],"Pass","Fail")))</f>
        <v>Pass</v>
      </c>
      <c r="AG241" s="1" t="str">
        <f>IF(AND(Table1[[#This Row],[Spec Type2]]="N/A",Table1[[#This Row],[DUT Adj Read]]="N/A",Table1[[#This Row],[Std Adj Read]]="N/A"),"N/A",IF(Table1[[#This Row],[DUT Adj Read]]="N/A",IF(Table1[[#This Row],[Std Adj Read]]&lt;=Table1[[#This Row],[High Tol]],"Pass","Fail"),IF(Table1[[#This Row],[DUT Adj Read]]&lt;=Table1[[#This Row],[High Tol]],"Pass","Fail")))</f>
        <v>Fail</v>
      </c>
      <c r="AH2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 s="1" t="b">
        <v>0</v>
      </c>
      <c r="AN241" s="1" t="b">
        <v>0</v>
      </c>
      <c r="AO241" s="1" t="b">
        <v>0</v>
      </c>
    </row>
    <row r="242" spans="1:41" x14ac:dyDescent="0.25">
      <c r="A242" s="10"/>
      <c r="B242" s="10"/>
      <c r="C242" s="10"/>
      <c r="D242" s="10"/>
      <c r="E242" s="10"/>
      <c r="F242" s="10"/>
      <c r="G242" s="10"/>
      <c r="H242" s="10"/>
      <c r="I242" s="1" t="str">
        <f t="shared" si="9"/>
        <v/>
      </c>
      <c r="J242" s="1" t="s">
        <v>35</v>
      </c>
      <c r="K242" s="1" t="str">
        <f t="shared" si="10"/>
        <v/>
      </c>
      <c r="L242" s="1" t="str">
        <f t="shared" si="11"/>
        <v/>
      </c>
      <c r="M242" s="1">
        <f>IF(OR(Table1[[#This Row],[Std Nom]]="",Table1[[#This Row],[Std Read]]=""),0,Table1[[#This Row],[Std Nom]]-Table1[[#This Row],[Std Read]])</f>
        <v>0</v>
      </c>
      <c r="N242" s="1">
        <f>IF(Calculations!$F$5="ACCREDITED 17025 WITH UNCERTAINTIES",$N$10,0)</f>
        <v>0</v>
      </c>
      <c r="Q242" s="1">
        <f>Table1[[#This Row],[High Tol]]-Table1[[#This Row],[Low Tol]]</f>
        <v>0</v>
      </c>
      <c r="R242" s="1">
        <f>2*Table1[[#This Row],[Std Error]]</f>
        <v>0</v>
      </c>
      <c r="S242" s="1" t="str">
        <f>IF(Table1[[#This Row],[High Tol]]="","N/A",IFERROR(ABS(Table1[[#This Row],[Tol Span]]/Table1[[#This Row],[Error Span]]),"N/A"))</f>
        <v>N/A</v>
      </c>
      <c r="T242" s="1" t="str">
        <f>IF(OR(Table1[[#This Row],[Low Tol]]="",Table1[[#This Row],[High Tol]]=""),"Needs Analysis",IF(Table1[[#This Row],[Ratio]]&gt;=4,"Not Significant",IF(Table1[[#This Row],[Ratio]]&gt;=2,"Semi-Significant","Significant")))</f>
        <v>Needs Analysis</v>
      </c>
      <c r="W242" s="1">
        <f>IF(Table1[[#This Row],[Cal Type]]&lt;&gt;"ACCREDITED 17025 WITH UNCERTAINTIES",0,"")</f>
        <v>0</v>
      </c>
      <c r="X242" s="1" t="str">
        <f>IF(Table1[[#This Row],[DUT Read]]="","N/A",Table1[[#This Row],[Std Error]]+Table1[[#This Row],[DUT Read]]+Table1[[#This Row],[DUT Ucty]])</f>
        <v>N/A</v>
      </c>
      <c r="Y242" s="1" t="str">
        <f>IF(Table1[[#This Row],[Std Read]]="","N/A",Table1[[#This Row],[Std Read]]+Table1[[#This Row],[Std Ucty]])</f>
        <v>N/A</v>
      </c>
      <c r="Z2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 s="1" t="str">
        <f>IF(Table1[[#This Row],[Spec Type]]="","N/A",Table1[[#This Row],[Spec Type]])</f>
        <v>±</v>
      </c>
      <c r="AC242" s="1" t="str">
        <f>IF(Table1[[#This Row],[Spec Type2]]="N/A","N/A",IF(AND(Table1[[#This Row],[DUT Adj Read]]&gt;=Table1[[#This Row],[Low Tol]],Table1[[#This Row],[DUT Adj Read]]&lt;=Table1[[#This Row],[High Tol]]),"Pass","Fail"))</f>
        <v>Fail</v>
      </c>
      <c r="AD242" s="1" t="str">
        <f>IF(AND(Table1[[#This Row],[Spec Type2]]="N/A",Table1[[#This Row],[DUT Adj Read]]="N/A",Table1[[#This Row],[Std Adj Read]]="N/A"),"N/A",IF(Table1[[#This Row],[DUT Adj Read]]="N/A",IF(Table1[[#This Row],[Std Adj Read]]&gt;Table1[[#This Row],[Low Tol]],"Pass","Fail"),IF(Table1[[#This Row],[DUT Adj Read]]&gt;Table1[[#This Row],[Low Tol]],"Pass","Fail")))</f>
        <v>Pass</v>
      </c>
      <c r="AE242" s="1" t="str">
        <f>IF(AND(Table1[[#This Row],[Spec Type2]]="N/A",Table1[[#This Row],[DUT Adj Read]]="N/A",Table1[[#This Row],[Std Adj Read]]="N/A"),"N/A",IF(Table1[[#This Row],[DUT Adj Read]]="N/A",IF(Table1[[#This Row],[Std Adj Read]]&lt;Table1[[#This Row],[High Tol]],"Pass","Fail"),IF(Table1[[#This Row],[DUT Adj Read]]&lt;Table1[[#This Row],[High Tol]],"Pass","Fail")))</f>
        <v>Fail</v>
      </c>
      <c r="AF242" s="1" t="str">
        <f>IF(AND(Table1[[#This Row],[Spec Type2]]="N/A",Table1[[#This Row],[DUT Adj Read]]="N/A",Table1[[#This Row],[Std Adj Read]]="N/A"),"N/A",IF(Table1[[#This Row],[DUT Adj Read]]="N/A",IF(Table1[[#This Row],[Std Adj Read]]&gt;=Table1[[#This Row],[Low Tol]],"Pass","Fail"),IF(Table1[[#This Row],[DUT Adj Read]]&gt;=Table1[[#This Row],[Low Tol]],"Pass","Fail")))</f>
        <v>Pass</v>
      </c>
      <c r="AG242" s="1" t="str">
        <f>IF(AND(Table1[[#This Row],[Spec Type2]]="N/A",Table1[[#This Row],[DUT Adj Read]]="N/A",Table1[[#This Row],[Std Adj Read]]="N/A"),"N/A",IF(Table1[[#This Row],[DUT Adj Read]]="N/A",IF(Table1[[#This Row],[Std Adj Read]]&lt;=Table1[[#This Row],[High Tol]],"Pass","Fail"),IF(Table1[[#This Row],[DUT Adj Read]]&lt;=Table1[[#This Row],[High Tol]],"Pass","Fail")))</f>
        <v>Fail</v>
      </c>
      <c r="AH2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 s="1" t="b">
        <v>0</v>
      </c>
      <c r="AN242" s="1" t="b">
        <v>0</v>
      </c>
      <c r="AO242" s="1" t="b">
        <v>0</v>
      </c>
    </row>
    <row r="243" spans="1:41" x14ac:dyDescent="0.25">
      <c r="A243" s="10"/>
      <c r="B243" s="10"/>
      <c r="C243" s="10"/>
      <c r="D243" s="10"/>
      <c r="E243" s="10"/>
      <c r="F243" s="10"/>
      <c r="G243" s="10"/>
      <c r="H243" s="10"/>
      <c r="I243" s="1" t="str">
        <f t="shared" si="9"/>
        <v/>
      </c>
      <c r="J243" s="1" t="s">
        <v>35</v>
      </c>
      <c r="K243" s="1" t="str">
        <f t="shared" si="10"/>
        <v/>
      </c>
      <c r="L243" s="1" t="str">
        <f t="shared" si="11"/>
        <v/>
      </c>
      <c r="M243" s="1">
        <f>IF(OR(Table1[[#This Row],[Std Nom]]="",Table1[[#This Row],[Std Read]]=""),0,Table1[[#This Row],[Std Nom]]-Table1[[#This Row],[Std Read]])</f>
        <v>0</v>
      </c>
      <c r="N243" s="1">
        <f>IF(Calculations!$F$5="ACCREDITED 17025 WITH UNCERTAINTIES",$N$10,0)</f>
        <v>0</v>
      </c>
      <c r="Q243" s="1">
        <f>Table1[[#This Row],[High Tol]]-Table1[[#This Row],[Low Tol]]</f>
        <v>0</v>
      </c>
      <c r="R243" s="1">
        <f>2*Table1[[#This Row],[Std Error]]</f>
        <v>0</v>
      </c>
      <c r="S243" s="1" t="str">
        <f>IF(Table1[[#This Row],[High Tol]]="","N/A",IFERROR(ABS(Table1[[#This Row],[Tol Span]]/Table1[[#This Row],[Error Span]]),"N/A"))</f>
        <v>N/A</v>
      </c>
      <c r="T243" s="1" t="str">
        <f>IF(OR(Table1[[#This Row],[Low Tol]]="",Table1[[#This Row],[High Tol]]=""),"Needs Analysis",IF(Table1[[#This Row],[Ratio]]&gt;=4,"Not Significant",IF(Table1[[#This Row],[Ratio]]&gt;=2,"Semi-Significant","Significant")))</f>
        <v>Needs Analysis</v>
      </c>
      <c r="W243" s="1">
        <f>IF(Table1[[#This Row],[Cal Type]]&lt;&gt;"ACCREDITED 17025 WITH UNCERTAINTIES",0,"")</f>
        <v>0</v>
      </c>
      <c r="X243" s="1" t="str">
        <f>IF(Table1[[#This Row],[DUT Read]]="","N/A",Table1[[#This Row],[Std Error]]+Table1[[#This Row],[DUT Read]]+Table1[[#This Row],[DUT Ucty]])</f>
        <v>N/A</v>
      </c>
      <c r="Y243" s="1" t="str">
        <f>IF(Table1[[#This Row],[Std Read]]="","N/A",Table1[[#This Row],[Std Read]]+Table1[[#This Row],[Std Ucty]])</f>
        <v>N/A</v>
      </c>
      <c r="Z2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 s="1" t="str">
        <f>IF(Table1[[#This Row],[Spec Type]]="","N/A",Table1[[#This Row],[Spec Type]])</f>
        <v>±</v>
      </c>
      <c r="AC243" s="1" t="str">
        <f>IF(Table1[[#This Row],[Spec Type2]]="N/A","N/A",IF(AND(Table1[[#This Row],[DUT Adj Read]]&gt;=Table1[[#This Row],[Low Tol]],Table1[[#This Row],[DUT Adj Read]]&lt;=Table1[[#This Row],[High Tol]]),"Pass","Fail"))</f>
        <v>Fail</v>
      </c>
      <c r="AD243" s="1" t="str">
        <f>IF(AND(Table1[[#This Row],[Spec Type2]]="N/A",Table1[[#This Row],[DUT Adj Read]]="N/A",Table1[[#This Row],[Std Adj Read]]="N/A"),"N/A",IF(Table1[[#This Row],[DUT Adj Read]]="N/A",IF(Table1[[#This Row],[Std Adj Read]]&gt;Table1[[#This Row],[Low Tol]],"Pass","Fail"),IF(Table1[[#This Row],[DUT Adj Read]]&gt;Table1[[#This Row],[Low Tol]],"Pass","Fail")))</f>
        <v>Pass</v>
      </c>
      <c r="AE243" s="1" t="str">
        <f>IF(AND(Table1[[#This Row],[Spec Type2]]="N/A",Table1[[#This Row],[DUT Adj Read]]="N/A",Table1[[#This Row],[Std Adj Read]]="N/A"),"N/A",IF(Table1[[#This Row],[DUT Adj Read]]="N/A",IF(Table1[[#This Row],[Std Adj Read]]&lt;Table1[[#This Row],[High Tol]],"Pass","Fail"),IF(Table1[[#This Row],[DUT Adj Read]]&lt;Table1[[#This Row],[High Tol]],"Pass","Fail")))</f>
        <v>Fail</v>
      </c>
      <c r="AF243" s="1" t="str">
        <f>IF(AND(Table1[[#This Row],[Spec Type2]]="N/A",Table1[[#This Row],[DUT Adj Read]]="N/A",Table1[[#This Row],[Std Adj Read]]="N/A"),"N/A",IF(Table1[[#This Row],[DUT Adj Read]]="N/A",IF(Table1[[#This Row],[Std Adj Read]]&gt;=Table1[[#This Row],[Low Tol]],"Pass","Fail"),IF(Table1[[#This Row],[DUT Adj Read]]&gt;=Table1[[#This Row],[Low Tol]],"Pass","Fail")))</f>
        <v>Pass</v>
      </c>
      <c r="AG243" s="1" t="str">
        <f>IF(AND(Table1[[#This Row],[Spec Type2]]="N/A",Table1[[#This Row],[DUT Adj Read]]="N/A",Table1[[#This Row],[Std Adj Read]]="N/A"),"N/A",IF(Table1[[#This Row],[DUT Adj Read]]="N/A",IF(Table1[[#This Row],[Std Adj Read]]&lt;=Table1[[#This Row],[High Tol]],"Pass","Fail"),IF(Table1[[#This Row],[DUT Adj Read]]&lt;=Table1[[#This Row],[High Tol]],"Pass","Fail")))</f>
        <v>Fail</v>
      </c>
      <c r="AH2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 s="1" t="b">
        <v>0</v>
      </c>
      <c r="AN243" s="1" t="b">
        <v>0</v>
      </c>
      <c r="AO243" s="1" t="b">
        <v>0</v>
      </c>
    </row>
    <row r="244" spans="1:41" x14ac:dyDescent="0.25">
      <c r="A244" s="10"/>
      <c r="B244" s="10"/>
      <c r="C244" s="10"/>
      <c r="D244" s="10"/>
      <c r="E244" s="10"/>
      <c r="F244" s="10"/>
      <c r="G244" s="10"/>
      <c r="H244" s="10"/>
      <c r="I244" s="1" t="str">
        <f t="shared" si="9"/>
        <v/>
      </c>
      <c r="J244" s="1" t="s">
        <v>35</v>
      </c>
      <c r="K244" s="1" t="str">
        <f t="shared" si="10"/>
        <v/>
      </c>
      <c r="L244" s="1" t="str">
        <f t="shared" si="11"/>
        <v/>
      </c>
      <c r="M244" s="1">
        <f>IF(OR(Table1[[#This Row],[Std Nom]]="",Table1[[#This Row],[Std Read]]=""),0,Table1[[#This Row],[Std Nom]]-Table1[[#This Row],[Std Read]])</f>
        <v>0</v>
      </c>
      <c r="N244" s="1">
        <f>IF(Calculations!$F$5="ACCREDITED 17025 WITH UNCERTAINTIES",$N$10,0)</f>
        <v>0</v>
      </c>
      <c r="Q244" s="1">
        <f>Table1[[#This Row],[High Tol]]-Table1[[#This Row],[Low Tol]]</f>
        <v>0</v>
      </c>
      <c r="R244" s="1">
        <f>2*Table1[[#This Row],[Std Error]]</f>
        <v>0</v>
      </c>
      <c r="S244" s="1" t="str">
        <f>IF(Table1[[#This Row],[High Tol]]="","N/A",IFERROR(ABS(Table1[[#This Row],[Tol Span]]/Table1[[#This Row],[Error Span]]),"N/A"))</f>
        <v>N/A</v>
      </c>
      <c r="T244" s="1" t="str">
        <f>IF(OR(Table1[[#This Row],[Low Tol]]="",Table1[[#This Row],[High Tol]]=""),"Needs Analysis",IF(Table1[[#This Row],[Ratio]]&gt;=4,"Not Significant",IF(Table1[[#This Row],[Ratio]]&gt;=2,"Semi-Significant","Significant")))</f>
        <v>Needs Analysis</v>
      </c>
      <c r="W244" s="1">
        <f>IF(Table1[[#This Row],[Cal Type]]&lt;&gt;"ACCREDITED 17025 WITH UNCERTAINTIES",0,"")</f>
        <v>0</v>
      </c>
      <c r="X244" s="1" t="str">
        <f>IF(Table1[[#This Row],[DUT Read]]="","N/A",Table1[[#This Row],[Std Error]]+Table1[[#This Row],[DUT Read]]+Table1[[#This Row],[DUT Ucty]])</f>
        <v>N/A</v>
      </c>
      <c r="Y244" s="1" t="str">
        <f>IF(Table1[[#This Row],[Std Read]]="","N/A",Table1[[#This Row],[Std Read]]+Table1[[#This Row],[Std Ucty]])</f>
        <v>N/A</v>
      </c>
      <c r="Z2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 s="1" t="str">
        <f>IF(Table1[[#This Row],[Spec Type]]="","N/A",Table1[[#This Row],[Spec Type]])</f>
        <v>±</v>
      </c>
      <c r="AC244" s="1" t="str">
        <f>IF(Table1[[#This Row],[Spec Type2]]="N/A","N/A",IF(AND(Table1[[#This Row],[DUT Adj Read]]&gt;=Table1[[#This Row],[Low Tol]],Table1[[#This Row],[DUT Adj Read]]&lt;=Table1[[#This Row],[High Tol]]),"Pass","Fail"))</f>
        <v>Fail</v>
      </c>
      <c r="AD244" s="1" t="str">
        <f>IF(AND(Table1[[#This Row],[Spec Type2]]="N/A",Table1[[#This Row],[DUT Adj Read]]="N/A",Table1[[#This Row],[Std Adj Read]]="N/A"),"N/A",IF(Table1[[#This Row],[DUT Adj Read]]="N/A",IF(Table1[[#This Row],[Std Adj Read]]&gt;Table1[[#This Row],[Low Tol]],"Pass","Fail"),IF(Table1[[#This Row],[DUT Adj Read]]&gt;Table1[[#This Row],[Low Tol]],"Pass","Fail")))</f>
        <v>Pass</v>
      </c>
      <c r="AE244" s="1" t="str">
        <f>IF(AND(Table1[[#This Row],[Spec Type2]]="N/A",Table1[[#This Row],[DUT Adj Read]]="N/A",Table1[[#This Row],[Std Adj Read]]="N/A"),"N/A",IF(Table1[[#This Row],[DUT Adj Read]]="N/A",IF(Table1[[#This Row],[Std Adj Read]]&lt;Table1[[#This Row],[High Tol]],"Pass","Fail"),IF(Table1[[#This Row],[DUT Adj Read]]&lt;Table1[[#This Row],[High Tol]],"Pass","Fail")))</f>
        <v>Fail</v>
      </c>
      <c r="AF244" s="1" t="str">
        <f>IF(AND(Table1[[#This Row],[Spec Type2]]="N/A",Table1[[#This Row],[DUT Adj Read]]="N/A",Table1[[#This Row],[Std Adj Read]]="N/A"),"N/A",IF(Table1[[#This Row],[DUT Adj Read]]="N/A",IF(Table1[[#This Row],[Std Adj Read]]&gt;=Table1[[#This Row],[Low Tol]],"Pass","Fail"),IF(Table1[[#This Row],[DUT Adj Read]]&gt;=Table1[[#This Row],[Low Tol]],"Pass","Fail")))</f>
        <v>Pass</v>
      </c>
      <c r="AG244" s="1" t="str">
        <f>IF(AND(Table1[[#This Row],[Spec Type2]]="N/A",Table1[[#This Row],[DUT Adj Read]]="N/A",Table1[[#This Row],[Std Adj Read]]="N/A"),"N/A",IF(Table1[[#This Row],[DUT Adj Read]]="N/A",IF(Table1[[#This Row],[Std Adj Read]]&lt;=Table1[[#This Row],[High Tol]],"Pass","Fail"),IF(Table1[[#This Row],[DUT Adj Read]]&lt;=Table1[[#This Row],[High Tol]],"Pass","Fail")))</f>
        <v>Fail</v>
      </c>
      <c r="AH2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 s="1" t="b">
        <v>0</v>
      </c>
      <c r="AN244" s="1" t="b">
        <v>0</v>
      </c>
      <c r="AO244" s="1" t="b">
        <v>0</v>
      </c>
    </row>
    <row r="245" spans="1:41" x14ac:dyDescent="0.25">
      <c r="A245" s="10"/>
      <c r="B245" s="10"/>
      <c r="C245" s="10"/>
      <c r="D245" s="10"/>
      <c r="E245" s="10"/>
      <c r="F245" s="10"/>
      <c r="G245" s="10"/>
      <c r="H245" s="10"/>
      <c r="I245" s="1" t="str">
        <f t="shared" si="9"/>
        <v/>
      </c>
      <c r="J245" s="1" t="s">
        <v>35</v>
      </c>
      <c r="K245" s="1" t="str">
        <f t="shared" si="10"/>
        <v/>
      </c>
      <c r="L245" s="1" t="str">
        <f t="shared" si="11"/>
        <v/>
      </c>
      <c r="M245" s="1">
        <f>IF(OR(Table1[[#This Row],[Std Nom]]="",Table1[[#This Row],[Std Read]]=""),0,Table1[[#This Row],[Std Nom]]-Table1[[#This Row],[Std Read]])</f>
        <v>0</v>
      </c>
      <c r="N245" s="1">
        <f>IF(Calculations!$F$5="ACCREDITED 17025 WITH UNCERTAINTIES",$N$10,0)</f>
        <v>0</v>
      </c>
      <c r="Q245" s="1">
        <f>Table1[[#This Row],[High Tol]]-Table1[[#This Row],[Low Tol]]</f>
        <v>0</v>
      </c>
      <c r="R245" s="1">
        <f>2*Table1[[#This Row],[Std Error]]</f>
        <v>0</v>
      </c>
      <c r="S245" s="1" t="str">
        <f>IF(Table1[[#This Row],[High Tol]]="","N/A",IFERROR(ABS(Table1[[#This Row],[Tol Span]]/Table1[[#This Row],[Error Span]]),"N/A"))</f>
        <v>N/A</v>
      </c>
      <c r="T245" s="1" t="str">
        <f>IF(OR(Table1[[#This Row],[Low Tol]]="",Table1[[#This Row],[High Tol]]=""),"Needs Analysis",IF(Table1[[#This Row],[Ratio]]&gt;=4,"Not Significant",IF(Table1[[#This Row],[Ratio]]&gt;=2,"Semi-Significant","Significant")))</f>
        <v>Needs Analysis</v>
      </c>
      <c r="W245" s="1">
        <f>IF(Table1[[#This Row],[Cal Type]]&lt;&gt;"ACCREDITED 17025 WITH UNCERTAINTIES",0,"")</f>
        <v>0</v>
      </c>
      <c r="X245" s="1" t="str">
        <f>IF(Table1[[#This Row],[DUT Read]]="","N/A",Table1[[#This Row],[Std Error]]+Table1[[#This Row],[DUT Read]]+Table1[[#This Row],[DUT Ucty]])</f>
        <v>N/A</v>
      </c>
      <c r="Y245" s="1" t="str">
        <f>IF(Table1[[#This Row],[Std Read]]="","N/A",Table1[[#This Row],[Std Read]]+Table1[[#This Row],[Std Ucty]])</f>
        <v>N/A</v>
      </c>
      <c r="Z2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 s="1" t="str">
        <f>IF(Table1[[#This Row],[Spec Type]]="","N/A",Table1[[#This Row],[Spec Type]])</f>
        <v>±</v>
      </c>
      <c r="AC245" s="1" t="str">
        <f>IF(Table1[[#This Row],[Spec Type2]]="N/A","N/A",IF(AND(Table1[[#This Row],[DUT Adj Read]]&gt;=Table1[[#This Row],[Low Tol]],Table1[[#This Row],[DUT Adj Read]]&lt;=Table1[[#This Row],[High Tol]]),"Pass","Fail"))</f>
        <v>Fail</v>
      </c>
      <c r="AD245" s="1" t="str">
        <f>IF(AND(Table1[[#This Row],[Spec Type2]]="N/A",Table1[[#This Row],[DUT Adj Read]]="N/A",Table1[[#This Row],[Std Adj Read]]="N/A"),"N/A",IF(Table1[[#This Row],[DUT Adj Read]]="N/A",IF(Table1[[#This Row],[Std Adj Read]]&gt;Table1[[#This Row],[Low Tol]],"Pass","Fail"),IF(Table1[[#This Row],[DUT Adj Read]]&gt;Table1[[#This Row],[Low Tol]],"Pass","Fail")))</f>
        <v>Pass</v>
      </c>
      <c r="AE245" s="1" t="str">
        <f>IF(AND(Table1[[#This Row],[Spec Type2]]="N/A",Table1[[#This Row],[DUT Adj Read]]="N/A",Table1[[#This Row],[Std Adj Read]]="N/A"),"N/A",IF(Table1[[#This Row],[DUT Adj Read]]="N/A",IF(Table1[[#This Row],[Std Adj Read]]&lt;Table1[[#This Row],[High Tol]],"Pass","Fail"),IF(Table1[[#This Row],[DUT Adj Read]]&lt;Table1[[#This Row],[High Tol]],"Pass","Fail")))</f>
        <v>Fail</v>
      </c>
      <c r="AF245" s="1" t="str">
        <f>IF(AND(Table1[[#This Row],[Spec Type2]]="N/A",Table1[[#This Row],[DUT Adj Read]]="N/A",Table1[[#This Row],[Std Adj Read]]="N/A"),"N/A",IF(Table1[[#This Row],[DUT Adj Read]]="N/A",IF(Table1[[#This Row],[Std Adj Read]]&gt;=Table1[[#This Row],[Low Tol]],"Pass","Fail"),IF(Table1[[#This Row],[DUT Adj Read]]&gt;=Table1[[#This Row],[Low Tol]],"Pass","Fail")))</f>
        <v>Pass</v>
      </c>
      <c r="AG245" s="1" t="str">
        <f>IF(AND(Table1[[#This Row],[Spec Type2]]="N/A",Table1[[#This Row],[DUT Adj Read]]="N/A",Table1[[#This Row],[Std Adj Read]]="N/A"),"N/A",IF(Table1[[#This Row],[DUT Adj Read]]="N/A",IF(Table1[[#This Row],[Std Adj Read]]&lt;=Table1[[#This Row],[High Tol]],"Pass","Fail"),IF(Table1[[#This Row],[DUT Adj Read]]&lt;=Table1[[#This Row],[High Tol]],"Pass","Fail")))</f>
        <v>Fail</v>
      </c>
      <c r="AH2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 s="1" t="b">
        <v>0</v>
      </c>
      <c r="AN245" s="1" t="b">
        <v>0</v>
      </c>
      <c r="AO245" s="1" t="b">
        <v>0</v>
      </c>
    </row>
    <row r="246" spans="1:41" x14ac:dyDescent="0.25">
      <c r="A246" s="10"/>
      <c r="B246" s="10"/>
      <c r="C246" s="10"/>
      <c r="D246" s="10"/>
      <c r="E246" s="10"/>
      <c r="F246" s="10"/>
      <c r="G246" s="10"/>
      <c r="H246" s="10"/>
      <c r="I246" s="1" t="str">
        <f t="shared" si="9"/>
        <v/>
      </c>
      <c r="J246" s="1" t="s">
        <v>35</v>
      </c>
      <c r="K246" s="1" t="str">
        <f t="shared" si="10"/>
        <v/>
      </c>
      <c r="L246" s="1" t="str">
        <f t="shared" si="11"/>
        <v/>
      </c>
      <c r="M246" s="1">
        <f>IF(OR(Table1[[#This Row],[Std Nom]]="",Table1[[#This Row],[Std Read]]=""),0,Table1[[#This Row],[Std Nom]]-Table1[[#This Row],[Std Read]])</f>
        <v>0</v>
      </c>
      <c r="N246" s="1">
        <f>IF(Calculations!$F$5="ACCREDITED 17025 WITH UNCERTAINTIES",$N$10,0)</f>
        <v>0</v>
      </c>
      <c r="Q246" s="1">
        <f>Table1[[#This Row],[High Tol]]-Table1[[#This Row],[Low Tol]]</f>
        <v>0</v>
      </c>
      <c r="R246" s="1">
        <f>2*Table1[[#This Row],[Std Error]]</f>
        <v>0</v>
      </c>
      <c r="S246" s="1" t="str">
        <f>IF(Table1[[#This Row],[High Tol]]="","N/A",IFERROR(ABS(Table1[[#This Row],[Tol Span]]/Table1[[#This Row],[Error Span]]),"N/A"))</f>
        <v>N/A</v>
      </c>
      <c r="T246" s="1" t="str">
        <f>IF(OR(Table1[[#This Row],[Low Tol]]="",Table1[[#This Row],[High Tol]]=""),"Needs Analysis",IF(Table1[[#This Row],[Ratio]]&gt;=4,"Not Significant",IF(Table1[[#This Row],[Ratio]]&gt;=2,"Semi-Significant","Significant")))</f>
        <v>Needs Analysis</v>
      </c>
      <c r="W246" s="1">
        <f>IF(Table1[[#This Row],[Cal Type]]&lt;&gt;"ACCREDITED 17025 WITH UNCERTAINTIES",0,"")</f>
        <v>0</v>
      </c>
      <c r="X246" s="1" t="str">
        <f>IF(Table1[[#This Row],[DUT Read]]="","N/A",Table1[[#This Row],[Std Error]]+Table1[[#This Row],[DUT Read]]+Table1[[#This Row],[DUT Ucty]])</f>
        <v>N/A</v>
      </c>
      <c r="Y246" s="1" t="str">
        <f>IF(Table1[[#This Row],[Std Read]]="","N/A",Table1[[#This Row],[Std Read]]+Table1[[#This Row],[Std Ucty]])</f>
        <v>N/A</v>
      </c>
      <c r="Z2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 s="1" t="str">
        <f>IF(Table1[[#This Row],[Spec Type]]="","N/A",Table1[[#This Row],[Spec Type]])</f>
        <v>±</v>
      </c>
      <c r="AC246" s="1" t="str">
        <f>IF(Table1[[#This Row],[Spec Type2]]="N/A","N/A",IF(AND(Table1[[#This Row],[DUT Adj Read]]&gt;=Table1[[#This Row],[Low Tol]],Table1[[#This Row],[DUT Adj Read]]&lt;=Table1[[#This Row],[High Tol]]),"Pass","Fail"))</f>
        <v>Fail</v>
      </c>
      <c r="AD246" s="1" t="str">
        <f>IF(AND(Table1[[#This Row],[Spec Type2]]="N/A",Table1[[#This Row],[DUT Adj Read]]="N/A",Table1[[#This Row],[Std Adj Read]]="N/A"),"N/A",IF(Table1[[#This Row],[DUT Adj Read]]="N/A",IF(Table1[[#This Row],[Std Adj Read]]&gt;Table1[[#This Row],[Low Tol]],"Pass","Fail"),IF(Table1[[#This Row],[DUT Adj Read]]&gt;Table1[[#This Row],[Low Tol]],"Pass","Fail")))</f>
        <v>Pass</v>
      </c>
      <c r="AE246" s="1" t="str">
        <f>IF(AND(Table1[[#This Row],[Spec Type2]]="N/A",Table1[[#This Row],[DUT Adj Read]]="N/A",Table1[[#This Row],[Std Adj Read]]="N/A"),"N/A",IF(Table1[[#This Row],[DUT Adj Read]]="N/A",IF(Table1[[#This Row],[Std Adj Read]]&lt;Table1[[#This Row],[High Tol]],"Pass","Fail"),IF(Table1[[#This Row],[DUT Adj Read]]&lt;Table1[[#This Row],[High Tol]],"Pass","Fail")))</f>
        <v>Fail</v>
      </c>
      <c r="AF246" s="1" t="str">
        <f>IF(AND(Table1[[#This Row],[Spec Type2]]="N/A",Table1[[#This Row],[DUT Adj Read]]="N/A",Table1[[#This Row],[Std Adj Read]]="N/A"),"N/A",IF(Table1[[#This Row],[DUT Adj Read]]="N/A",IF(Table1[[#This Row],[Std Adj Read]]&gt;=Table1[[#This Row],[Low Tol]],"Pass","Fail"),IF(Table1[[#This Row],[DUT Adj Read]]&gt;=Table1[[#This Row],[Low Tol]],"Pass","Fail")))</f>
        <v>Pass</v>
      </c>
      <c r="AG246" s="1" t="str">
        <f>IF(AND(Table1[[#This Row],[Spec Type2]]="N/A",Table1[[#This Row],[DUT Adj Read]]="N/A",Table1[[#This Row],[Std Adj Read]]="N/A"),"N/A",IF(Table1[[#This Row],[DUT Adj Read]]="N/A",IF(Table1[[#This Row],[Std Adj Read]]&lt;=Table1[[#This Row],[High Tol]],"Pass","Fail"),IF(Table1[[#This Row],[DUT Adj Read]]&lt;=Table1[[#This Row],[High Tol]],"Pass","Fail")))</f>
        <v>Fail</v>
      </c>
      <c r="AH2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 s="1" t="b">
        <v>0</v>
      </c>
      <c r="AN246" s="1" t="b">
        <v>0</v>
      </c>
      <c r="AO246" s="1" t="b">
        <v>0</v>
      </c>
    </row>
    <row r="247" spans="1:41" x14ac:dyDescent="0.25">
      <c r="A247" s="10"/>
      <c r="B247" s="10"/>
      <c r="C247" s="10"/>
      <c r="D247" s="10"/>
      <c r="E247" s="10"/>
      <c r="F247" s="10"/>
      <c r="G247" s="10"/>
      <c r="H247" s="10"/>
      <c r="I247" s="1" t="str">
        <f t="shared" si="9"/>
        <v/>
      </c>
      <c r="J247" s="1" t="s">
        <v>35</v>
      </c>
      <c r="K247" s="1" t="str">
        <f t="shared" si="10"/>
        <v/>
      </c>
      <c r="L247" s="1" t="str">
        <f t="shared" si="11"/>
        <v/>
      </c>
      <c r="M247" s="1">
        <f>IF(OR(Table1[[#This Row],[Std Nom]]="",Table1[[#This Row],[Std Read]]=""),0,Table1[[#This Row],[Std Nom]]-Table1[[#This Row],[Std Read]])</f>
        <v>0</v>
      </c>
      <c r="N247" s="1">
        <f>IF(Calculations!$F$5="ACCREDITED 17025 WITH UNCERTAINTIES",$N$10,0)</f>
        <v>0</v>
      </c>
      <c r="Q247" s="1">
        <f>Table1[[#This Row],[High Tol]]-Table1[[#This Row],[Low Tol]]</f>
        <v>0</v>
      </c>
      <c r="R247" s="1">
        <f>2*Table1[[#This Row],[Std Error]]</f>
        <v>0</v>
      </c>
      <c r="S247" s="1" t="str">
        <f>IF(Table1[[#This Row],[High Tol]]="","N/A",IFERROR(ABS(Table1[[#This Row],[Tol Span]]/Table1[[#This Row],[Error Span]]),"N/A"))</f>
        <v>N/A</v>
      </c>
      <c r="T247" s="1" t="str">
        <f>IF(OR(Table1[[#This Row],[Low Tol]]="",Table1[[#This Row],[High Tol]]=""),"Needs Analysis",IF(Table1[[#This Row],[Ratio]]&gt;=4,"Not Significant",IF(Table1[[#This Row],[Ratio]]&gt;=2,"Semi-Significant","Significant")))</f>
        <v>Needs Analysis</v>
      </c>
      <c r="W247" s="1">
        <f>IF(Table1[[#This Row],[Cal Type]]&lt;&gt;"ACCREDITED 17025 WITH UNCERTAINTIES",0,"")</f>
        <v>0</v>
      </c>
      <c r="X247" s="1" t="str">
        <f>IF(Table1[[#This Row],[DUT Read]]="","N/A",Table1[[#This Row],[Std Error]]+Table1[[#This Row],[DUT Read]]+Table1[[#This Row],[DUT Ucty]])</f>
        <v>N/A</v>
      </c>
      <c r="Y247" s="1" t="str">
        <f>IF(Table1[[#This Row],[Std Read]]="","N/A",Table1[[#This Row],[Std Read]]+Table1[[#This Row],[Std Ucty]])</f>
        <v>N/A</v>
      </c>
      <c r="Z2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 s="1" t="str">
        <f>IF(Table1[[#This Row],[Spec Type]]="","N/A",Table1[[#This Row],[Spec Type]])</f>
        <v>±</v>
      </c>
      <c r="AC247" s="1" t="str">
        <f>IF(Table1[[#This Row],[Spec Type2]]="N/A","N/A",IF(AND(Table1[[#This Row],[DUT Adj Read]]&gt;=Table1[[#This Row],[Low Tol]],Table1[[#This Row],[DUT Adj Read]]&lt;=Table1[[#This Row],[High Tol]]),"Pass","Fail"))</f>
        <v>Fail</v>
      </c>
      <c r="AD247" s="1" t="str">
        <f>IF(AND(Table1[[#This Row],[Spec Type2]]="N/A",Table1[[#This Row],[DUT Adj Read]]="N/A",Table1[[#This Row],[Std Adj Read]]="N/A"),"N/A",IF(Table1[[#This Row],[DUT Adj Read]]="N/A",IF(Table1[[#This Row],[Std Adj Read]]&gt;Table1[[#This Row],[Low Tol]],"Pass","Fail"),IF(Table1[[#This Row],[DUT Adj Read]]&gt;Table1[[#This Row],[Low Tol]],"Pass","Fail")))</f>
        <v>Pass</v>
      </c>
      <c r="AE247" s="1" t="str">
        <f>IF(AND(Table1[[#This Row],[Spec Type2]]="N/A",Table1[[#This Row],[DUT Adj Read]]="N/A",Table1[[#This Row],[Std Adj Read]]="N/A"),"N/A",IF(Table1[[#This Row],[DUT Adj Read]]="N/A",IF(Table1[[#This Row],[Std Adj Read]]&lt;Table1[[#This Row],[High Tol]],"Pass","Fail"),IF(Table1[[#This Row],[DUT Adj Read]]&lt;Table1[[#This Row],[High Tol]],"Pass","Fail")))</f>
        <v>Fail</v>
      </c>
      <c r="AF247" s="1" t="str">
        <f>IF(AND(Table1[[#This Row],[Spec Type2]]="N/A",Table1[[#This Row],[DUT Adj Read]]="N/A",Table1[[#This Row],[Std Adj Read]]="N/A"),"N/A",IF(Table1[[#This Row],[DUT Adj Read]]="N/A",IF(Table1[[#This Row],[Std Adj Read]]&gt;=Table1[[#This Row],[Low Tol]],"Pass","Fail"),IF(Table1[[#This Row],[DUT Adj Read]]&gt;=Table1[[#This Row],[Low Tol]],"Pass","Fail")))</f>
        <v>Pass</v>
      </c>
      <c r="AG247" s="1" t="str">
        <f>IF(AND(Table1[[#This Row],[Spec Type2]]="N/A",Table1[[#This Row],[DUT Adj Read]]="N/A",Table1[[#This Row],[Std Adj Read]]="N/A"),"N/A",IF(Table1[[#This Row],[DUT Adj Read]]="N/A",IF(Table1[[#This Row],[Std Adj Read]]&lt;=Table1[[#This Row],[High Tol]],"Pass","Fail"),IF(Table1[[#This Row],[DUT Adj Read]]&lt;=Table1[[#This Row],[High Tol]],"Pass","Fail")))</f>
        <v>Fail</v>
      </c>
      <c r="AH2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 s="1" t="b">
        <v>0</v>
      </c>
      <c r="AN247" s="1" t="b">
        <v>0</v>
      </c>
      <c r="AO247" s="1" t="b">
        <v>0</v>
      </c>
    </row>
    <row r="248" spans="1:41" x14ac:dyDescent="0.25">
      <c r="A248" s="10"/>
      <c r="B248" s="10"/>
      <c r="C248" s="10"/>
      <c r="D248" s="10"/>
      <c r="E248" s="10"/>
      <c r="F248" s="10"/>
      <c r="G248" s="10"/>
      <c r="H248" s="10"/>
      <c r="I248" s="1" t="str">
        <f t="shared" si="9"/>
        <v/>
      </c>
      <c r="J248" s="1" t="s">
        <v>35</v>
      </c>
      <c r="K248" s="1" t="str">
        <f t="shared" si="10"/>
        <v/>
      </c>
      <c r="L248" s="1" t="str">
        <f t="shared" si="11"/>
        <v/>
      </c>
      <c r="M248" s="1">
        <f>IF(OR(Table1[[#This Row],[Std Nom]]="",Table1[[#This Row],[Std Read]]=""),0,Table1[[#This Row],[Std Nom]]-Table1[[#This Row],[Std Read]])</f>
        <v>0</v>
      </c>
      <c r="N248" s="1">
        <f>IF(Calculations!$F$5="ACCREDITED 17025 WITH UNCERTAINTIES",$N$10,0)</f>
        <v>0</v>
      </c>
      <c r="Q248" s="1">
        <f>Table1[[#This Row],[High Tol]]-Table1[[#This Row],[Low Tol]]</f>
        <v>0</v>
      </c>
      <c r="R248" s="1">
        <f>2*Table1[[#This Row],[Std Error]]</f>
        <v>0</v>
      </c>
      <c r="S248" s="1" t="str">
        <f>IF(Table1[[#This Row],[High Tol]]="","N/A",IFERROR(ABS(Table1[[#This Row],[Tol Span]]/Table1[[#This Row],[Error Span]]),"N/A"))</f>
        <v>N/A</v>
      </c>
      <c r="T248" s="1" t="str">
        <f>IF(OR(Table1[[#This Row],[Low Tol]]="",Table1[[#This Row],[High Tol]]=""),"Needs Analysis",IF(Table1[[#This Row],[Ratio]]&gt;=4,"Not Significant",IF(Table1[[#This Row],[Ratio]]&gt;=2,"Semi-Significant","Significant")))</f>
        <v>Needs Analysis</v>
      </c>
      <c r="W248" s="1">
        <f>IF(Table1[[#This Row],[Cal Type]]&lt;&gt;"ACCREDITED 17025 WITH UNCERTAINTIES",0,"")</f>
        <v>0</v>
      </c>
      <c r="X248" s="1" t="str">
        <f>IF(Table1[[#This Row],[DUT Read]]="","N/A",Table1[[#This Row],[Std Error]]+Table1[[#This Row],[DUT Read]]+Table1[[#This Row],[DUT Ucty]])</f>
        <v>N/A</v>
      </c>
      <c r="Y248" s="1" t="str">
        <f>IF(Table1[[#This Row],[Std Read]]="","N/A",Table1[[#This Row],[Std Read]]+Table1[[#This Row],[Std Ucty]])</f>
        <v>N/A</v>
      </c>
      <c r="Z2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 s="1" t="str">
        <f>IF(Table1[[#This Row],[Spec Type]]="","N/A",Table1[[#This Row],[Spec Type]])</f>
        <v>±</v>
      </c>
      <c r="AC248" s="1" t="str">
        <f>IF(Table1[[#This Row],[Spec Type2]]="N/A","N/A",IF(AND(Table1[[#This Row],[DUT Adj Read]]&gt;=Table1[[#This Row],[Low Tol]],Table1[[#This Row],[DUT Adj Read]]&lt;=Table1[[#This Row],[High Tol]]),"Pass","Fail"))</f>
        <v>Fail</v>
      </c>
      <c r="AD248" s="1" t="str">
        <f>IF(AND(Table1[[#This Row],[Spec Type2]]="N/A",Table1[[#This Row],[DUT Adj Read]]="N/A",Table1[[#This Row],[Std Adj Read]]="N/A"),"N/A",IF(Table1[[#This Row],[DUT Adj Read]]="N/A",IF(Table1[[#This Row],[Std Adj Read]]&gt;Table1[[#This Row],[Low Tol]],"Pass","Fail"),IF(Table1[[#This Row],[DUT Adj Read]]&gt;Table1[[#This Row],[Low Tol]],"Pass","Fail")))</f>
        <v>Pass</v>
      </c>
      <c r="AE248" s="1" t="str">
        <f>IF(AND(Table1[[#This Row],[Spec Type2]]="N/A",Table1[[#This Row],[DUT Adj Read]]="N/A",Table1[[#This Row],[Std Adj Read]]="N/A"),"N/A",IF(Table1[[#This Row],[DUT Adj Read]]="N/A",IF(Table1[[#This Row],[Std Adj Read]]&lt;Table1[[#This Row],[High Tol]],"Pass","Fail"),IF(Table1[[#This Row],[DUT Adj Read]]&lt;Table1[[#This Row],[High Tol]],"Pass","Fail")))</f>
        <v>Fail</v>
      </c>
      <c r="AF248" s="1" t="str">
        <f>IF(AND(Table1[[#This Row],[Spec Type2]]="N/A",Table1[[#This Row],[DUT Adj Read]]="N/A",Table1[[#This Row],[Std Adj Read]]="N/A"),"N/A",IF(Table1[[#This Row],[DUT Adj Read]]="N/A",IF(Table1[[#This Row],[Std Adj Read]]&gt;=Table1[[#This Row],[Low Tol]],"Pass","Fail"),IF(Table1[[#This Row],[DUT Adj Read]]&gt;=Table1[[#This Row],[Low Tol]],"Pass","Fail")))</f>
        <v>Pass</v>
      </c>
      <c r="AG248" s="1" t="str">
        <f>IF(AND(Table1[[#This Row],[Spec Type2]]="N/A",Table1[[#This Row],[DUT Adj Read]]="N/A",Table1[[#This Row],[Std Adj Read]]="N/A"),"N/A",IF(Table1[[#This Row],[DUT Adj Read]]="N/A",IF(Table1[[#This Row],[Std Adj Read]]&lt;=Table1[[#This Row],[High Tol]],"Pass","Fail"),IF(Table1[[#This Row],[DUT Adj Read]]&lt;=Table1[[#This Row],[High Tol]],"Pass","Fail")))</f>
        <v>Fail</v>
      </c>
      <c r="AH2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 s="1" t="b">
        <v>0</v>
      </c>
      <c r="AN248" s="1" t="b">
        <v>0</v>
      </c>
      <c r="AO248" s="1" t="b">
        <v>0</v>
      </c>
    </row>
    <row r="249" spans="1:41" x14ac:dyDescent="0.25">
      <c r="A249" s="10"/>
      <c r="B249" s="10"/>
      <c r="C249" s="10"/>
      <c r="D249" s="10"/>
      <c r="E249" s="10"/>
      <c r="F249" s="10"/>
      <c r="G249" s="10"/>
      <c r="H249" s="10"/>
      <c r="I249" s="1" t="str">
        <f t="shared" si="9"/>
        <v/>
      </c>
      <c r="J249" s="1" t="s">
        <v>35</v>
      </c>
      <c r="K249" s="1" t="str">
        <f t="shared" si="10"/>
        <v/>
      </c>
      <c r="L249" s="1" t="str">
        <f t="shared" si="11"/>
        <v/>
      </c>
      <c r="M249" s="1">
        <f>IF(OR(Table1[[#This Row],[Std Nom]]="",Table1[[#This Row],[Std Read]]=""),0,Table1[[#This Row],[Std Nom]]-Table1[[#This Row],[Std Read]])</f>
        <v>0</v>
      </c>
      <c r="N249" s="1">
        <f>IF(Calculations!$F$5="ACCREDITED 17025 WITH UNCERTAINTIES",$N$10,0)</f>
        <v>0</v>
      </c>
      <c r="Q249" s="1">
        <f>Table1[[#This Row],[High Tol]]-Table1[[#This Row],[Low Tol]]</f>
        <v>0</v>
      </c>
      <c r="R249" s="1">
        <f>2*Table1[[#This Row],[Std Error]]</f>
        <v>0</v>
      </c>
      <c r="S249" s="1" t="str">
        <f>IF(Table1[[#This Row],[High Tol]]="","N/A",IFERROR(ABS(Table1[[#This Row],[Tol Span]]/Table1[[#This Row],[Error Span]]),"N/A"))</f>
        <v>N/A</v>
      </c>
      <c r="T249" s="1" t="str">
        <f>IF(OR(Table1[[#This Row],[Low Tol]]="",Table1[[#This Row],[High Tol]]=""),"Needs Analysis",IF(Table1[[#This Row],[Ratio]]&gt;=4,"Not Significant",IF(Table1[[#This Row],[Ratio]]&gt;=2,"Semi-Significant","Significant")))</f>
        <v>Needs Analysis</v>
      </c>
      <c r="W249" s="1">
        <f>IF(Table1[[#This Row],[Cal Type]]&lt;&gt;"ACCREDITED 17025 WITH UNCERTAINTIES",0,"")</f>
        <v>0</v>
      </c>
      <c r="X249" s="1" t="str">
        <f>IF(Table1[[#This Row],[DUT Read]]="","N/A",Table1[[#This Row],[Std Error]]+Table1[[#This Row],[DUT Read]]+Table1[[#This Row],[DUT Ucty]])</f>
        <v>N/A</v>
      </c>
      <c r="Y249" s="1" t="str">
        <f>IF(Table1[[#This Row],[Std Read]]="","N/A",Table1[[#This Row],[Std Read]]+Table1[[#This Row],[Std Ucty]])</f>
        <v>N/A</v>
      </c>
      <c r="Z2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 s="1" t="str">
        <f>IF(Table1[[#This Row],[Spec Type]]="","N/A",Table1[[#This Row],[Spec Type]])</f>
        <v>±</v>
      </c>
      <c r="AC249" s="1" t="str">
        <f>IF(Table1[[#This Row],[Spec Type2]]="N/A","N/A",IF(AND(Table1[[#This Row],[DUT Adj Read]]&gt;=Table1[[#This Row],[Low Tol]],Table1[[#This Row],[DUT Adj Read]]&lt;=Table1[[#This Row],[High Tol]]),"Pass","Fail"))</f>
        <v>Fail</v>
      </c>
      <c r="AD249" s="1" t="str">
        <f>IF(AND(Table1[[#This Row],[Spec Type2]]="N/A",Table1[[#This Row],[DUT Adj Read]]="N/A",Table1[[#This Row],[Std Adj Read]]="N/A"),"N/A",IF(Table1[[#This Row],[DUT Adj Read]]="N/A",IF(Table1[[#This Row],[Std Adj Read]]&gt;Table1[[#This Row],[Low Tol]],"Pass","Fail"),IF(Table1[[#This Row],[DUT Adj Read]]&gt;Table1[[#This Row],[Low Tol]],"Pass","Fail")))</f>
        <v>Pass</v>
      </c>
      <c r="AE249" s="1" t="str">
        <f>IF(AND(Table1[[#This Row],[Spec Type2]]="N/A",Table1[[#This Row],[DUT Adj Read]]="N/A",Table1[[#This Row],[Std Adj Read]]="N/A"),"N/A",IF(Table1[[#This Row],[DUT Adj Read]]="N/A",IF(Table1[[#This Row],[Std Adj Read]]&lt;Table1[[#This Row],[High Tol]],"Pass","Fail"),IF(Table1[[#This Row],[DUT Adj Read]]&lt;Table1[[#This Row],[High Tol]],"Pass","Fail")))</f>
        <v>Fail</v>
      </c>
      <c r="AF249" s="1" t="str">
        <f>IF(AND(Table1[[#This Row],[Spec Type2]]="N/A",Table1[[#This Row],[DUT Adj Read]]="N/A",Table1[[#This Row],[Std Adj Read]]="N/A"),"N/A",IF(Table1[[#This Row],[DUT Adj Read]]="N/A",IF(Table1[[#This Row],[Std Adj Read]]&gt;=Table1[[#This Row],[Low Tol]],"Pass","Fail"),IF(Table1[[#This Row],[DUT Adj Read]]&gt;=Table1[[#This Row],[Low Tol]],"Pass","Fail")))</f>
        <v>Pass</v>
      </c>
      <c r="AG249" s="1" t="str">
        <f>IF(AND(Table1[[#This Row],[Spec Type2]]="N/A",Table1[[#This Row],[DUT Adj Read]]="N/A",Table1[[#This Row],[Std Adj Read]]="N/A"),"N/A",IF(Table1[[#This Row],[DUT Adj Read]]="N/A",IF(Table1[[#This Row],[Std Adj Read]]&lt;=Table1[[#This Row],[High Tol]],"Pass","Fail"),IF(Table1[[#This Row],[DUT Adj Read]]&lt;=Table1[[#This Row],[High Tol]],"Pass","Fail")))</f>
        <v>Fail</v>
      </c>
      <c r="AH2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 s="1" t="b">
        <v>0</v>
      </c>
      <c r="AN249" s="1" t="b">
        <v>0</v>
      </c>
      <c r="AO249" s="1" t="b">
        <v>0</v>
      </c>
    </row>
    <row r="250" spans="1:41" x14ac:dyDescent="0.25">
      <c r="A250" s="10"/>
      <c r="B250" s="10"/>
      <c r="C250" s="10"/>
      <c r="D250" s="10"/>
      <c r="E250" s="10"/>
      <c r="F250" s="10"/>
      <c r="G250" s="10"/>
      <c r="H250" s="10"/>
      <c r="I250" s="1" t="str">
        <f t="shared" si="9"/>
        <v/>
      </c>
      <c r="J250" s="1" t="s">
        <v>35</v>
      </c>
      <c r="K250" s="1" t="str">
        <f t="shared" si="10"/>
        <v/>
      </c>
      <c r="L250" s="1" t="str">
        <f t="shared" si="11"/>
        <v/>
      </c>
      <c r="M250" s="1">
        <f>IF(OR(Table1[[#This Row],[Std Nom]]="",Table1[[#This Row],[Std Read]]=""),0,Table1[[#This Row],[Std Nom]]-Table1[[#This Row],[Std Read]])</f>
        <v>0</v>
      </c>
      <c r="N250" s="1">
        <f>IF(Calculations!$F$5="ACCREDITED 17025 WITH UNCERTAINTIES",$N$10,0)</f>
        <v>0</v>
      </c>
      <c r="Q250" s="1">
        <f>Table1[[#This Row],[High Tol]]-Table1[[#This Row],[Low Tol]]</f>
        <v>0</v>
      </c>
      <c r="R250" s="1">
        <f>2*Table1[[#This Row],[Std Error]]</f>
        <v>0</v>
      </c>
      <c r="S250" s="1" t="str">
        <f>IF(Table1[[#This Row],[High Tol]]="","N/A",IFERROR(ABS(Table1[[#This Row],[Tol Span]]/Table1[[#This Row],[Error Span]]),"N/A"))</f>
        <v>N/A</v>
      </c>
      <c r="T250" s="1" t="str">
        <f>IF(OR(Table1[[#This Row],[Low Tol]]="",Table1[[#This Row],[High Tol]]=""),"Needs Analysis",IF(Table1[[#This Row],[Ratio]]&gt;=4,"Not Significant",IF(Table1[[#This Row],[Ratio]]&gt;=2,"Semi-Significant","Significant")))</f>
        <v>Needs Analysis</v>
      </c>
      <c r="W250" s="1">
        <f>IF(Table1[[#This Row],[Cal Type]]&lt;&gt;"ACCREDITED 17025 WITH UNCERTAINTIES",0,"")</f>
        <v>0</v>
      </c>
      <c r="X250" s="1" t="str">
        <f>IF(Table1[[#This Row],[DUT Read]]="","N/A",Table1[[#This Row],[Std Error]]+Table1[[#This Row],[DUT Read]]+Table1[[#This Row],[DUT Ucty]])</f>
        <v>N/A</v>
      </c>
      <c r="Y250" s="1" t="str">
        <f>IF(Table1[[#This Row],[Std Read]]="","N/A",Table1[[#This Row],[Std Read]]+Table1[[#This Row],[Std Ucty]])</f>
        <v>N/A</v>
      </c>
      <c r="Z2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 s="1" t="str">
        <f>IF(Table1[[#This Row],[Spec Type]]="","N/A",Table1[[#This Row],[Spec Type]])</f>
        <v>±</v>
      </c>
      <c r="AC250" s="1" t="str">
        <f>IF(Table1[[#This Row],[Spec Type2]]="N/A","N/A",IF(AND(Table1[[#This Row],[DUT Adj Read]]&gt;=Table1[[#This Row],[Low Tol]],Table1[[#This Row],[DUT Adj Read]]&lt;=Table1[[#This Row],[High Tol]]),"Pass","Fail"))</f>
        <v>Fail</v>
      </c>
      <c r="AD250" s="1" t="str">
        <f>IF(AND(Table1[[#This Row],[Spec Type2]]="N/A",Table1[[#This Row],[DUT Adj Read]]="N/A",Table1[[#This Row],[Std Adj Read]]="N/A"),"N/A",IF(Table1[[#This Row],[DUT Adj Read]]="N/A",IF(Table1[[#This Row],[Std Adj Read]]&gt;Table1[[#This Row],[Low Tol]],"Pass","Fail"),IF(Table1[[#This Row],[DUT Adj Read]]&gt;Table1[[#This Row],[Low Tol]],"Pass","Fail")))</f>
        <v>Pass</v>
      </c>
      <c r="AE250" s="1" t="str">
        <f>IF(AND(Table1[[#This Row],[Spec Type2]]="N/A",Table1[[#This Row],[DUT Adj Read]]="N/A",Table1[[#This Row],[Std Adj Read]]="N/A"),"N/A",IF(Table1[[#This Row],[DUT Adj Read]]="N/A",IF(Table1[[#This Row],[Std Adj Read]]&lt;Table1[[#This Row],[High Tol]],"Pass","Fail"),IF(Table1[[#This Row],[DUT Adj Read]]&lt;Table1[[#This Row],[High Tol]],"Pass","Fail")))</f>
        <v>Fail</v>
      </c>
      <c r="AF250" s="1" t="str">
        <f>IF(AND(Table1[[#This Row],[Spec Type2]]="N/A",Table1[[#This Row],[DUT Adj Read]]="N/A",Table1[[#This Row],[Std Adj Read]]="N/A"),"N/A",IF(Table1[[#This Row],[DUT Adj Read]]="N/A",IF(Table1[[#This Row],[Std Adj Read]]&gt;=Table1[[#This Row],[Low Tol]],"Pass","Fail"),IF(Table1[[#This Row],[DUT Adj Read]]&gt;=Table1[[#This Row],[Low Tol]],"Pass","Fail")))</f>
        <v>Pass</v>
      </c>
      <c r="AG250" s="1" t="str">
        <f>IF(AND(Table1[[#This Row],[Spec Type2]]="N/A",Table1[[#This Row],[DUT Adj Read]]="N/A",Table1[[#This Row],[Std Adj Read]]="N/A"),"N/A",IF(Table1[[#This Row],[DUT Adj Read]]="N/A",IF(Table1[[#This Row],[Std Adj Read]]&lt;=Table1[[#This Row],[High Tol]],"Pass","Fail"),IF(Table1[[#This Row],[DUT Adj Read]]&lt;=Table1[[#This Row],[High Tol]],"Pass","Fail")))</f>
        <v>Fail</v>
      </c>
      <c r="AH2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 s="1" t="b">
        <v>0</v>
      </c>
      <c r="AN250" s="1" t="b">
        <v>0</v>
      </c>
      <c r="AO250" s="1" t="b">
        <v>0</v>
      </c>
    </row>
    <row r="251" spans="1:41" x14ac:dyDescent="0.25">
      <c r="A251" s="10"/>
      <c r="B251" s="10"/>
      <c r="C251" s="10"/>
      <c r="D251" s="10"/>
      <c r="E251" s="10"/>
      <c r="F251" s="10"/>
      <c r="G251" s="10"/>
      <c r="H251" s="10"/>
      <c r="I251" s="1" t="str">
        <f t="shared" si="9"/>
        <v/>
      </c>
      <c r="J251" s="1" t="s">
        <v>35</v>
      </c>
      <c r="K251" s="1" t="str">
        <f t="shared" si="10"/>
        <v/>
      </c>
      <c r="L251" s="1" t="str">
        <f t="shared" si="11"/>
        <v/>
      </c>
      <c r="M251" s="1">
        <f>IF(OR(Table1[[#This Row],[Std Nom]]="",Table1[[#This Row],[Std Read]]=""),0,Table1[[#This Row],[Std Nom]]-Table1[[#This Row],[Std Read]])</f>
        <v>0</v>
      </c>
      <c r="N251" s="1">
        <f>IF(Calculations!$F$5="ACCREDITED 17025 WITH UNCERTAINTIES",$N$10,0)</f>
        <v>0</v>
      </c>
      <c r="Q251" s="1">
        <f>Table1[[#This Row],[High Tol]]-Table1[[#This Row],[Low Tol]]</f>
        <v>0</v>
      </c>
      <c r="R251" s="1">
        <f>2*Table1[[#This Row],[Std Error]]</f>
        <v>0</v>
      </c>
      <c r="S251" s="1" t="str">
        <f>IF(Table1[[#This Row],[High Tol]]="","N/A",IFERROR(ABS(Table1[[#This Row],[Tol Span]]/Table1[[#This Row],[Error Span]]),"N/A"))</f>
        <v>N/A</v>
      </c>
      <c r="T251" s="1" t="str">
        <f>IF(OR(Table1[[#This Row],[Low Tol]]="",Table1[[#This Row],[High Tol]]=""),"Needs Analysis",IF(Table1[[#This Row],[Ratio]]&gt;=4,"Not Significant",IF(Table1[[#This Row],[Ratio]]&gt;=2,"Semi-Significant","Significant")))</f>
        <v>Needs Analysis</v>
      </c>
      <c r="W251" s="1">
        <f>IF(Table1[[#This Row],[Cal Type]]&lt;&gt;"ACCREDITED 17025 WITH UNCERTAINTIES",0,"")</f>
        <v>0</v>
      </c>
      <c r="X251" s="1" t="str">
        <f>IF(Table1[[#This Row],[DUT Read]]="","N/A",Table1[[#This Row],[Std Error]]+Table1[[#This Row],[DUT Read]]+Table1[[#This Row],[DUT Ucty]])</f>
        <v>N/A</v>
      </c>
      <c r="Y251" s="1" t="str">
        <f>IF(Table1[[#This Row],[Std Read]]="","N/A",Table1[[#This Row],[Std Read]]+Table1[[#This Row],[Std Ucty]])</f>
        <v>N/A</v>
      </c>
      <c r="Z2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 s="1" t="str">
        <f>IF(Table1[[#This Row],[Spec Type]]="","N/A",Table1[[#This Row],[Spec Type]])</f>
        <v>±</v>
      </c>
      <c r="AC251" s="1" t="str">
        <f>IF(Table1[[#This Row],[Spec Type2]]="N/A","N/A",IF(AND(Table1[[#This Row],[DUT Adj Read]]&gt;=Table1[[#This Row],[Low Tol]],Table1[[#This Row],[DUT Adj Read]]&lt;=Table1[[#This Row],[High Tol]]),"Pass","Fail"))</f>
        <v>Fail</v>
      </c>
      <c r="AD251" s="1" t="str">
        <f>IF(AND(Table1[[#This Row],[Spec Type2]]="N/A",Table1[[#This Row],[DUT Adj Read]]="N/A",Table1[[#This Row],[Std Adj Read]]="N/A"),"N/A",IF(Table1[[#This Row],[DUT Adj Read]]="N/A",IF(Table1[[#This Row],[Std Adj Read]]&gt;Table1[[#This Row],[Low Tol]],"Pass","Fail"),IF(Table1[[#This Row],[DUT Adj Read]]&gt;Table1[[#This Row],[Low Tol]],"Pass","Fail")))</f>
        <v>Pass</v>
      </c>
      <c r="AE251" s="1" t="str">
        <f>IF(AND(Table1[[#This Row],[Spec Type2]]="N/A",Table1[[#This Row],[DUT Adj Read]]="N/A",Table1[[#This Row],[Std Adj Read]]="N/A"),"N/A",IF(Table1[[#This Row],[DUT Adj Read]]="N/A",IF(Table1[[#This Row],[Std Adj Read]]&lt;Table1[[#This Row],[High Tol]],"Pass","Fail"),IF(Table1[[#This Row],[DUT Adj Read]]&lt;Table1[[#This Row],[High Tol]],"Pass","Fail")))</f>
        <v>Fail</v>
      </c>
      <c r="AF251" s="1" t="str">
        <f>IF(AND(Table1[[#This Row],[Spec Type2]]="N/A",Table1[[#This Row],[DUT Adj Read]]="N/A",Table1[[#This Row],[Std Adj Read]]="N/A"),"N/A",IF(Table1[[#This Row],[DUT Adj Read]]="N/A",IF(Table1[[#This Row],[Std Adj Read]]&gt;=Table1[[#This Row],[Low Tol]],"Pass","Fail"),IF(Table1[[#This Row],[DUT Adj Read]]&gt;=Table1[[#This Row],[Low Tol]],"Pass","Fail")))</f>
        <v>Pass</v>
      </c>
      <c r="AG251" s="1" t="str">
        <f>IF(AND(Table1[[#This Row],[Spec Type2]]="N/A",Table1[[#This Row],[DUT Adj Read]]="N/A",Table1[[#This Row],[Std Adj Read]]="N/A"),"N/A",IF(Table1[[#This Row],[DUT Adj Read]]="N/A",IF(Table1[[#This Row],[Std Adj Read]]&lt;=Table1[[#This Row],[High Tol]],"Pass","Fail"),IF(Table1[[#This Row],[DUT Adj Read]]&lt;=Table1[[#This Row],[High Tol]],"Pass","Fail")))</f>
        <v>Fail</v>
      </c>
      <c r="AH2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 s="1" t="b">
        <v>0</v>
      </c>
      <c r="AN251" s="1" t="b">
        <v>0</v>
      </c>
      <c r="AO251" s="1" t="b">
        <v>0</v>
      </c>
    </row>
    <row r="252" spans="1:41" x14ac:dyDescent="0.25">
      <c r="A252" s="10"/>
      <c r="B252" s="10"/>
      <c r="C252" s="10"/>
      <c r="D252" s="10"/>
      <c r="E252" s="10"/>
      <c r="F252" s="10"/>
      <c r="G252" s="10"/>
      <c r="H252" s="10"/>
      <c r="I252" s="1" t="str">
        <f t="shared" si="9"/>
        <v/>
      </c>
      <c r="J252" s="1" t="s">
        <v>35</v>
      </c>
      <c r="K252" s="1" t="str">
        <f t="shared" si="10"/>
        <v/>
      </c>
      <c r="L252" s="1" t="str">
        <f t="shared" si="11"/>
        <v/>
      </c>
      <c r="M252" s="1">
        <f>IF(OR(Table1[[#This Row],[Std Nom]]="",Table1[[#This Row],[Std Read]]=""),0,Table1[[#This Row],[Std Nom]]-Table1[[#This Row],[Std Read]])</f>
        <v>0</v>
      </c>
      <c r="N252" s="1">
        <f>IF(Calculations!$F$5="ACCREDITED 17025 WITH UNCERTAINTIES",$N$10,0)</f>
        <v>0</v>
      </c>
      <c r="Q252" s="1">
        <f>Table1[[#This Row],[High Tol]]-Table1[[#This Row],[Low Tol]]</f>
        <v>0</v>
      </c>
      <c r="R252" s="1">
        <f>2*Table1[[#This Row],[Std Error]]</f>
        <v>0</v>
      </c>
      <c r="S252" s="1" t="str">
        <f>IF(Table1[[#This Row],[High Tol]]="","N/A",IFERROR(ABS(Table1[[#This Row],[Tol Span]]/Table1[[#This Row],[Error Span]]),"N/A"))</f>
        <v>N/A</v>
      </c>
      <c r="T252" s="1" t="str">
        <f>IF(OR(Table1[[#This Row],[Low Tol]]="",Table1[[#This Row],[High Tol]]=""),"Needs Analysis",IF(Table1[[#This Row],[Ratio]]&gt;=4,"Not Significant",IF(Table1[[#This Row],[Ratio]]&gt;=2,"Semi-Significant","Significant")))</f>
        <v>Needs Analysis</v>
      </c>
      <c r="W252" s="1">
        <f>IF(Table1[[#This Row],[Cal Type]]&lt;&gt;"ACCREDITED 17025 WITH UNCERTAINTIES",0,"")</f>
        <v>0</v>
      </c>
      <c r="X252" s="1" t="str">
        <f>IF(Table1[[#This Row],[DUT Read]]="","N/A",Table1[[#This Row],[Std Error]]+Table1[[#This Row],[DUT Read]]+Table1[[#This Row],[DUT Ucty]])</f>
        <v>N/A</v>
      </c>
      <c r="Y252" s="1" t="str">
        <f>IF(Table1[[#This Row],[Std Read]]="","N/A",Table1[[#This Row],[Std Read]]+Table1[[#This Row],[Std Ucty]])</f>
        <v>N/A</v>
      </c>
      <c r="Z2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 s="1" t="str">
        <f>IF(Table1[[#This Row],[Spec Type]]="","N/A",Table1[[#This Row],[Spec Type]])</f>
        <v>±</v>
      </c>
      <c r="AC252" s="1" t="str">
        <f>IF(Table1[[#This Row],[Spec Type2]]="N/A","N/A",IF(AND(Table1[[#This Row],[DUT Adj Read]]&gt;=Table1[[#This Row],[Low Tol]],Table1[[#This Row],[DUT Adj Read]]&lt;=Table1[[#This Row],[High Tol]]),"Pass","Fail"))</f>
        <v>Fail</v>
      </c>
      <c r="AD252" s="1" t="str">
        <f>IF(AND(Table1[[#This Row],[Spec Type2]]="N/A",Table1[[#This Row],[DUT Adj Read]]="N/A",Table1[[#This Row],[Std Adj Read]]="N/A"),"N/A",IF(Table1[[#This Row],[DUT Adj Read]]="N/A",IF(Table1[[#This Row],[Std Adj Read]]&gt;Table1[[#This Row],[Low Tol]],"Pass","Fail"),IF(Table1[[#This Row],[DUT Adj Read]]&gt;Table1[[#This Row],[Low Tol]],"Pass","Fail")))</f>
        <v>Pass</v>
      </c>
      <c r="AE252" s="1" t="str">
        <f>IF(AND(Table1[[#This Row],[Spec Type2]]="N/A",Table1[[#This Row],[DUT Adj Read]]="N/A",Table1[[#This Row],[Std Adj Read]]="N/A"),"N/A",IF(Table1[[#This Row],[DUT Adj Read]]="N/A",IF(Table1[[#This Row],[Std Adj Read]]&lt;Table1[[#This Row],[High Tol]],"Pass","Fail"),IF(Table1[[#This Row],[DUT Adj Read]]&lt;Table1[[#This Row],[High Tol]],"Pass","Fail")))</f>
        <v>Fail</v>
      </c>
      <c r="AF252" s="1" t="str">
        <f>IF(AND(Table1[[#This Row],[Spec Type2]]="N/A",Table1[[#This Row],[DUT Adj Read]]="N/A",Table1[[#This Row],[Std Adj Read]]="N/A"),"N/A",IF(Table1[[#This Row],[DUT Adj Read]]="N/A",IF(Table1[[#This Row],[Std Adj Read]]&gt;=Table1[[#This Row],[Low Tol]],"Pass","Fail"),IF(Table1[[#This Row],[DUT Adj Read]]&gt;=Table1[[#This Row],[Low Tol]],"Pass","Fail")))</f>
        <v>Pass</v>
      </c>
      <c r="AG252" s="1" t="str">
        <f>IF(AND(Table1[[#This Row],[Spec Type2]]="N/A",Table1[[#This Row],[DUT Adj Read]]="N/A",Table1[[#This Row],[Std Adj Read]]="N/A"),"N/A",IF(Table1[[#This Row],[DUT Adj Read]]="N/A",IF(Table1[[#This Row],[Std Adj Read]]&lt;=Table1[[#This Row],[High Tol]],"Pass","Fail"),IF(Table1[[#This Row],[DUT Adj Read]]&lt;=Table1[[#This Row],[High Tol]],"Pass","Fail")))</f>
        <v>Fail</v>
      </c>
      <c r="AH2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 s="1" t="b">
        <v>0</v>
      </c>
      <c r="AN252" s="1" t="b">
        <v>0</v>
      </c>
      <c r="AO252" s="1" t="b">
        <v>0</v>
      </c>
    </row>
    <row r="253" spans="1:41" x14ac:dyDescent="0.25">
      <c r="A253" s="10"/>
      <c r="B253" s="10"/>
      <c r="C253" s="10"/>
      <c r="D253" s="10"/>
      <c r="E253" s="10"/>
      <c r="F253" s="10"/>
      <c r="G253" s="10"/>
      <c r="H253" s="10"/>
      <c r="I253" s="1" t="str">
        <f t="shared" si="9"/>
        <v/>
      </c>
      <c r="J253" s="1" t="s">
        <v>35</v>
      </c>
      <c r="K253" s="1" t="str">
        <f t="shared" si="10"/>
        <v/>
      </c>
      <c r="L253" s="1" t="str">
        <f t="shared" si="11"/>
        <v/>
      </c>
      <c r="M253" s="1">
        <f>IF(OR(Table1[[#This Row],[Std Nom]]="",Table1[[#This Row],[Std Read]]=""),0,Table1[[#This Row],[Std Nom]]-Table1[[#This Row],[Std Read]])</f>
        <v>0</v>
      </c>
      <c r="N253" s="1">
        <f>IF(Calculations!$F$5="ACCREDITED 17025 WITH UNCERTAINTIES",$N$10,0)</f>
        <v>0</v>
      </c>
      <c r="Q253" s="1">
        <f>Table1[[#This Row],[High Tol]]-Table1[[#This Row],[Low Tol]]</f>
        <v>0</v>
      </c>
      <c r="R253" s="1">
        <f>2*Table1[[#This Row],[Std Error]]</f>
        <v>0</v>
      </c>
      <c r="S253" s="1" t="str">
        <f>IF(Table1[[#This Row],[High Tol]]="","N/A",IFERROR(ABS(Table1[[#This Row],[Tol Span]]/Table1[[#This Row],[Error Span]]),"N/A"))</f>
        <v>N/A</v>
      </c>
      <c r="T253" s="1" t="str">
        <f>IF(OR(Table1[[#This Row],[Low Tol]]="",Table1[[#This Row],[High Tol]]=""),"Needs Analysis",IF(Table1[[#This Row],[Ratio]]&gt;=4,"Not Significant",IF(Table1[[#This Row],[Ratio]]&gt;=2,"Semi-Significant","Significant")))</f>
        <v>Needs Analysis</v>
      </c>
      <c r="W253" s="1">
        <f>IF(Table1[[#This Row],[Cal Type]]&lt;&gt;"ACCREDITED 17025 WITH UNCERTAINTIES",0,"")</f>
        <v>0</v>
      </c>
      <c r="X253" s="1" t="str">
        <f>IF(Table1[[#This Row],[DUT Read]]="","N/A",Table1[[#This Row],[Std Error]]+Table1[[#This Row],[DUT Read]]+Table1[[#This Row],[DUT Ucty]])</f>
        <v>N/A</v>
      </c>
      <c r="Y253" s="1" t="str">
        <f>IF(Table1[[#This Row],[Std Read]]="","N/A",Table1[[#This Row],[Std Read]]+Table1[[#This Row],[Std Ucty]])</f>
        <v>N/A</v>
      </c>
      <c r="Z2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 s="1" t="str">
        <f>IF(Table1[[#This Row],[Spec Type]]="","N/A",Table1[[#This Row],[Spec Type]])</f>
        <v>±</v>
      </c>
      <c r="AC253" s="1" t="str">
        <f>IF(Table1[[#This Row],[Spec Type2]]="N/A","N/A",IF(AND(Table1[[#This Row],[DUT Adj Read]]&gt;=Table1[[#This Row],[Low Tol]],Table1[[#This Row],[DUT Adj Read]]&lt;=Table1[[#This Row],[High Tol]]),"Pass","Fail"))</f>
        <v>Fail</v>
      </c>
      <c r="AD253" s="1" t="str">
        <f>IF(AND(Table1[[#This Row],[Spec Type2]]="N/A",Table1[[#This Row],[DUT Adj Read]]="N/A",Table1[[#This Row],[Std Adj Read]]="N/A"),"N/A",IF(Table1[[#This Row],[DUT Adj Read]]="N/A",IF(Table1[[#This Row],[Std Adj Read]]&gt;Table1[[#This Row],[Low Tol]],"Pass","Fail"),IF(Table1[[#This Row],[DUT Adj Read]]&gt;Table1[[#This Row],[Low Tol]],"Pass","Fail")))</f>
        <v>Pass</v>
      </c>
      <c r="AE253" s="1" t="str">
        <f>IF(AND(Table1[[#This Row],[Spec Type2]]="N/A",Table1[[#This Row],[DUT Adj Read]]="N/A",Table1[[#This Row],[Std Adj Read]]="N/A"),"N/A",IF(Table1[[#This Row],[DUT Adj Read]]="N/A",IF(Table1[[#This Row],[Std Adj Read]]&lt;Table1[[#This Row],[High Tol]],"Pass","Fail"),IF(Table1[[#This Row],[DUT Adj Read]]&lt;Table1[[#This Row],[High Tol]],"Pass","Fail")))</f>
        <v>Fail</v>
      </c>
      <c r="AF253" s="1" t="str">
        <f>IF(AND(Table1[[#This Row],[Spec Type2]]="N/A",Table1[[#This Row],[DUT Adj Read]]="N/A",Table1[[#This Row],[Std Adj Read]]="N/A"),"N/A",IF(Table1[[#This Row],[DUT Adj Read]]="N/A",IF(Table1[[#This Row],[Std Adj Read]]&gt;=Table1[[#This Row],[Low Tol]],"Pass","Fail"),IF(Table1[[#This Row],[DUT Adj Read]]&gt;=Table1[[#This Row],[Low Tol]],"Pass","Fail")))</f>
        <v>Pass</v>
      </c>
      <c r="AG253" s="1" t="str">
        <f>IF(AND(Table1[[#This Row],[Spec Type2]]="N/A",Table1[[#This Row],[DUT Adj Read]]="N/A",Table1[[#This Row],[Std Adj Read]]="N/A"),"N/A",IF(Table1[[#This Row],[DUT Adj Read]]="N/A",IF(Table1[[#This Row],[Std Adj Read]]&lt;=Table1[[#This Row],[High Tol]],"Pass","Fail"),IF(Table1[[#This Row],[DUT Adj Read]]&lt;=Table1[[#This Row],[High Tol]],"Pass","Fail")))</f>
        <v>Fail</v>
      </c>
      <c r="AH2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 s="1" t="b">
        <v>0</v>
      </c>
      <c r="AN253" s="1" t="b">
        <v>0</v>
      </c>
      <c r="AO253" s="1" t="b">
        <v>0</v>
      </c>
    </row>
    <row r="254" spans="1:41" x14ac:dyDescent="0.25">
      <c r="A254" s="10"/>
      <c r="B254" s="10"/>
      <c r="C254" s="10"/>
      <c r="D254" s="10"/>
      <c r="E254" s="10"/>
      <c r="F254" s="10"/>
      <c r="G254" s="10"/>
      <c r="H254" s="10"/>
      <c r="I254" s="1" t="str">
        <f t="shared" si="9"/>
        <v/>
      </c>
      <c r="J254" s="1" t="s">
        <v>35</v>
      </c>
      <c r="K254" s="1" t="str">
        <f t="shared" si="10"/>
        <v/>
      </c>
      <c r="L254" s="1" t="str">
        <f t="shared" si="11"/>
        <v/>
      </c>
      <c r="M254" s="1">
        <f>IF(OR(Table1[[#This Row],[Std Nom]]="",Table1[[#This Row],[Std Read]]=""),0,Table1[[#This Row],[Std Nom]]-Table1[[#This Row],[Std Read]])</f>
        <v>0</v>
      </c>
      <c r="N254" s="1">
        <f>IF(Calculations!$F$5="ACCREDITED 17025 WITH UNCERTAINTIES",$N$10,0)</f>
        <v>0</v>
      </c>
      <c r="Q254" s="1">
        <f>Table1[[#This Row],[High Tol]]-Table1[[#This Row],[Low Tol]]</f>
        <v>0</v>
      </c>
      <c r="R254" s="1">
        <f>2*Table1[[#This Row],[Std Error]]</f>
        <v>0</v>
      </c>
      <c r="S254" s="1" t="str">
        <f>IF(Table1[[#This Row],[High Tol]]="","N/A",IFERROR(ABS(Table1[[#This Row],[Tol Span]]/Table1[[#This Row],[Error Span]]),"N/A"))</f>
        <v>N/A</v>
      </c>
      <c r="T254" s="1" t="str">
        <f>IF(OR(Table1[[#This Row],[Low Tol]]="",Table1[[#This Row],[High Tol]]=""),"Needs Analysis",IF(Table1[[#This Row],[Ratio]]&gt;=4,"Not Significant",IF(Table1[[#This Row],[Ratio]]&gt;=2,"Semi-Significant","Significant")))</f>
        <v>Needs Analysis</v>
      </c>
      <c r="W254" s="1">
        <f>IF(Table1[[#This Row],[Cal Type]]&lt;&gt;"ACCREDITED 17025 WITH UNCERTAINTIES",0,"")</f>
        <v>0</v>
      </c>
      <c r="X254" s="1" t="str">
        <f>IF(Table1[[#This Row],[DUT Read]]="","N/A",Table1[[#This Row],[Std Error]]+Table1[[#This Row],[DUT Read]]+Table1[[#This Row],[DUT Ucty]])</f>
        <v>N/A</v>
      </c>
      <c r="Y254" s="1" t="str">
        <f>IF(Table1[[#This Row],[Std Read]]="","N/A",Table1[[#This Row],[Std Read]]+Table1[[#This Row],[Std Ucty]])</f>
        <v>N/A</v>
      </c>
      <c r="Z2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 s="1" t="str">
        <f>IF(Table1[[#This Row],[Spec Type]]="","N/A",Table1[[#This Row],[Spec Type]])</f>
        <v>±</v>
      </c>
      <c r="AC254" s="1" t="str">
        <f>IF(Table1[[#This Row],[Spec Type2]]="N/A","N/A",IF(AND(Table1[[#This Row],[DUT Adj Read]]&gt;=Table1[[#This Row],[Low Tol]],Table1[[#This Row],[DUT Adj Read]]&lt;=Table1[[#This Row],[High Tol]]),"Pass","Fail"))</f>
        <v>Fail</v>
      </c>
      <c r="AD254" s="1" t="str">
        <f>IF(AND(Table1[[#This Row],[Spec Type2]]="N/A",Table1[[#This Row],[DUT Adj Read]]="N/A",Table1[[#This Row],[Std Adj Read]]="N/A"),"N/A",IF(Table1[[#This Row],[DUT Adj Read]]="N/A",IF(Table1[[#This Row],[Std Adj Read]]&gt;Table1[[#This Row],[Low Tol]],"Pass","Fail"),IF(Table1[[#This Row],[DUT Adj Read]]&gt;Table1[[#This Row],[Low Tol]],"Pass","Fail")))</f>
        <v>Pass</v>
      </c>
      <c r="AE254" s="1" t="str">
        <f>IF(AND(Table1[[#This Row],[Spec Type2]]="N/A",Table1[[#This Row],[DUT Adj Read]]="N/A",Table1[[#This Row],[Std Adj Read]]="N/A"),"N/A",IF(Table1[[#This Row],[DUT Adj Read]]="N/A",IF(Table1[[#This Row],[Std Adj Read]]&lt;Table1[[#This Row],[High Tol]],"Pass","Fail"),IF(Table1[[#This Row],[DUT Adj Read]]&lt;Table1[[#This Row],[High Tol]],"Pass","Fail")))</f>
        <v>Fail</v>
      </c>
      <c r="AF254" s="1" t="str">
        <f>IF(AND(Table1[[#This Row],[Spec Type2]]="N/A",Table1[[#This Row],[DUT Adj Read]]="N/A",Table1[[#This Row],[Std Adj Read]]="N/A"),"N/A",IF(Table1[[#This Row],[DUT Adj Read]]="N/A",IF(Table1[[#This Row],[Std Adj Read]]&gt;=Table1[[#This Row],[Low Tol]],"Pass","Fail"),IF(Table1[[#This Row],[DUT Adj Read]]&gt;=Table1[[#This Row],[Low Tol]],"Pass","Fail")))</f>
        <v>Pass</v>
      </c>
      <c r="AG254" s="1" t="str">
        <f>IF(AND(Table1[[#This Row],[Spec Type2]]="N/A",Table1[[#This Row],[DUT Adj Read]]="N/A",Table1[[#This Row],[Std Adj Read]]="N/A"),"N/A",IF(Table1[[#This Row],[DUT Adj Read]]="N/A",IF(Table1[[#This Row],[Std Adj Read]]&lt;=Table1[[#This Row],[High Tol]],"Pass","Fail"),IF(Table1[[#This Row],[DUT Adj Read]]&lt;=Table1[[#This Row],[High Tol]],"Pass","Fail")))</f>
        <v>Fail</v>
      </c>
      <c r="AH2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 s="1" t="b">
        <v>0</v>
      </c>
      <c r="AN254" s="1" t="b">
        <v>0</v>
      </c>
      <c r="AO254" s="1" t="b">
        <v>0</v>
      </c>
    </row>
    <row r="255" spans="1:41" x14ac:dyDescent="0.25">
      <c r="A255" s="10"/>
      <c r="B255" s="10"/>
      <c r="C255" s="10"/>
      <c r="D255" s="10"/>
      <c r="E255" s="10"/>
      <c r="F255" s="10"/>
      <c r="G255" s="10"/>
      <c r="H255" s="10"/>
      <c r="I255" s="1" t="str">
        <f t="shared" si="9"/>
        <v/>
      </c>
      <c r="J255" s="1" t="s">
        <v>35</v>
      </c>
      <c r="K255" s="1" t="str">
        <f t="shared" si="10"/>
        <v/>
      </c>
      <c r="L255" s="1" t="str">
        <f t="shared" si="11"/>
        <v/>
      </c>
      <c r="M255" s="1">
        <f>IF(OR(Table1[[#This Row],[Std Nom]]="",Table1[[#This Row],[Std Read]]=""),0,Table1[[#This Row],[Std Nom]]-Table1[[#This Row],[Std Read]])</f>
        <v>0</v>
      </c>
      <c r="N255" s="1">
        <f>IF(Calculations!$F$5="ACCREDITED 17025 WITH UNCERTAINTIES",$N$10,0)</f>
        <v>0</v>
      </c>
      <c r="Q255" s="1">
        <f>Table1[[#This Row],[High Tol]]-Table1[[#This Row],[Low Tol]]</f>
        <v>0</v>
      </c>
      <c r="R255" s="1">
        <f>2*Table1[[#This Row],[Std Error]]</f>
        <v>0</v>
      </c>
      <c r="S255" s="1" t="str">
        <f>IF(Table1[[#This Row],[High Tol]]="","N/A",IFERROR(ABS(Table1[[#This Row],[Tol Span]]/Table1[[#This Row],[Error Span]]),"N/A"))</f>
        <v>N/A</v>
      </c>
      <c r="T255" s="1" t="str">
        <f>IF(OR(Table1[[#This Row],[Low Tol]]="",Table1[[#This Row],[High Tol]]=""),"Needs Analysis",IF(Table1[[#This Row],[Ratio]]&gt;=4,"Not Significant",IF(Table1[[#This Row],[Ratio]]&gt;=2,"Semi-Significant","Significant")))</f>
        <v>Needs Analysis</v>
      </c>
      <c r="W255" s="1">
        <f>IF(Table1[[#This Row],[Cal Type]]&lt;&gt;"ACCREDITED 17025 WITH UNCERTAINTIES",0,"")</f>
        <v>0</v>
      </c>
      <c r="X255" s="1" t="str">
        <f>IF(Table1[[#This Row],[DUT Read]]="","N/A",Table1[[#This Row],[Std Error]]+Table1[[#This Row],[DUT Read]]+Table1[[#This Row],[DUT Ucty]])</f>
        <v>N/A</v>
      </c>
      <c r="Y255" s="1" t="str">
        <f>IF(Table1[[#This Row],[Std Read]]="","N/A",Table1[[#This Row],[Std Read]]+Table1[[#This Row],[Std Ucty]])</f>
        <v>N/A</v>
      </c>
      <c r="Z2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 s="1" t="str">
        <f>IF(Table1[[#This Row],[Spec Type]]="","N/A",Table1[[#This Row],[Spec Type]])</f>
        <v>±</v>
      </c>
      <c r="AC255" s="1" t="str">
        <f>IF(Table1[[#This Row],[Spec Type2]]="N/A","N/A",IF(AND(Table1[[#This Row],[DUT Adj Read]]&gt;=Table1[[#This Row],[Low Tol]],Table1[[#This Row],[DUT Adj Read]]&lt;=Table1[[#This Row],[High Tol]]),"Pass","Fail"))</f>
        <v>Fail</v>
      </c>
      <c r="AD255" s="1" t="str">
        <f>IF(AND(Table1[[#This Row],[Spec Type2]]="N/A",Table1[[#This Row],[DUT Adj Read]]="N/A",Table1[[#This Row],[Std Adj Read]]="N/A"),"N/A",IF(Table1[[#This Row],[DUT Adj Read]]="N/A",IF(Table1[[#This Row],[Std Adj Read]]&gt;Table1[[#This Row],[Low Tol]],"Pass","Fail"),IF(Table1[[#This Row],[DUT Adj Read]]&gt;Table1[[#This Row],[Low Tol]],"Pass","Fail")))</f>
        <v>Pass</v>
      </c>
      <c r="AE255" s="1" t="str">
        <f>IF(AND(Table1[[#This Row],[Spec Type2]]="N/A",Table1[[#This Row],[DUT Adj Read]]="N/A",Table1[[#This Row],[Std Adj Read]]="N/A"),"N/A",IF(Table1[[#This Row],[DUT Adj Read]]="N/A",IF(Table1[[#This Row],[Std Adj Read]]&lt;Table1[[#This Row],[High Tol]],"Pass","Fail"),IF(Table1[[#This Row],[DUT Adj Read]]&lt;Table1[[#This Row],[High Tol]],"Pass","Fail")))</f>
        <v>Fail</v>
      </c>
      <c r="AF255" s="1" t="str">
        <f>IF(AND(Table1[[#This Row],[Spec Type2]]="N/A",Table1[[#This Row],[DUT Adj Read]]="N/A",Table1[[#This Row],[Std Adj Read]]="N/A"),"N/A",IF(Table1[[#This Row],[DUT Adj Read]]="N/A",IF(Table1[[#This Row],[Std Adj Read]]&gt;=Table1[[#This Row],[Low Tol]],"Pass","Fail"),IF(Table1[[#This Row],[DUT Adj Read]]&gt;=Table1[[#This Row],[Low Tol]],"Pass","Fail")))</f>
        <v>Pass</v>
      </c>
      <c r="AG255" s="1" t="str">
        <f>IF(AND(Table1[[#This Row],[Spec Type2]]="N/A",Table1[[#This Row],[DUT Adj Read]]="N/A",Table1[[#This Row],[Std Adj Read]]="N/A"),"N/A",IF(Table1[[#This Row],[DUT Adj Read]]="N/A",IF(Table1[[#This Row],[Std Adj Read]]&lt;=Table1[[#This Row],[High Tol]],"Pass","Fail"),IF(Table1[[#This Row],[DUT Adj Read]]&lt;=Table1[[#This Row],[High Tol]],"Pass","Fail")))</f>
        <v>Fail</v>
      </c>
      <c r="AH2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 s="1" t="b">
        <v>0</v>
      </c>
      <c r="AN255" s="1" t="b">
        <v>0</v>
      </c>
      <c r="AO255" s="1" t="b">
        <v>0</v>
      </c>
    </row>
    <row r="256" spans="1:41" x14ac:dyDescent="0.25">
      <c r="A256" s="10"/>
      <c r="B256" s="10"/>
      <c r="C256" s="10"/>
      <c r="D256" s="10"/>
      <c r="E256" s="10"/>
      <c r="F256" s="10"/>
      <c r="G256" s="10"/>
      <c r="H256" s="10"/>
      <c r="I256" s="1" t="str">
        <f t="shared" si="9"/>
        <v/>
      </c>
      <c r="J256" s="1" t="s">
        <v>35</v>
      </c>
      <c r="K256" s="1" t="str">
        <f t="shared" si="10"/>
        <v/>
      </c>
      <c r="L256" s="1" t="str">
        <f t="shared" si="11"/>
        <v/>
      </c>
      <c r="M256" s="1">
        <f>IF(OR(Table1[[#This Row],[Std Nom]]="",Table1[[#This Row],[Std Read]]=""),0,Table1[[#This Row],[Std Nom]]-Table1[[#This Row],[Std Read]])</f>
        <v>0</v>
      </c>
      <c r="N256" s="1">
        <f>IF(Calculations!$F$5="ACCREDITED 17025 WITH UNCERTAINTIES",$N$10,0)</f>
        <v>0</v>
      </c>
      <c r="Q256" s="1">
        <f>Table1[[#This Row],[High Tol]]-Table1[[#This Row],[Low Tol]]</f>
        <v>0</v>
      </c>
      <c r="R256" s="1">
        <f>2*Table1[[#This Row],[Std Error]]</f>
        <v>0</v>
      </c>
      <c r="S256" s="1" t="str">
        <f>IF(Table1[[#This Row],[High Tol]]="","N/A",IFERROR(ABS(Table1[[#This Row],[Tol Span]]/Table1[[#This Row],[Error Span]]),"N/A"))</f>
        <v>N/A</v>
      </c>
      <c r="T256" s="1" t="str">
        <f>IF(OR(Table1[[#This Row],[Low Tol]]="",Table1[[#This Row],[High Tol]]=""),"Needs Analysis",IF(Table1[[#This Row],[Ratio]]&gt;=4,"Not Significant",IF(Table1[[#This Row],[Ratio]]&gt;=2,"Semi-Significant","Significant")))</f>
        <v>Needs Analysis</v>
      </c>
      <c r="W256" s="1">
        <f>IF(Table1[[#This Row],[Cal Type]]&lt;&gt;"ACCREDITED 17025 WITH UNCERTAINTIES",0,"")</f>
        <v>0</v>
      </c>
      <c r="X256" s="1" t="str">
        <f>IF(Table1[[#This Row],[DUT Read]]="","N/A",Table1[[#This Row],[Std Error]]+Table1[[#This Row],[DUT Read]]+Table1[[#This Row],[DUT Ucty]])</f>
        <v>N/A</v>
      </c>
      <c r="Y256" s="1" t="str">
        <f>IF(Table1[[#This Row],[Std Read]]="","N/A",Table1[[#This Row],[Std Read]]+Table1[[#This Row],[Std Ucty]])</f>
        <v>N/A</v>
      </c>
      <c r="Z2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 s="1" t="str">
        <f>IF(Table1[[#This Row],[Spec Type]]="","N/A",Table1[[#This Row],[Spec Type]])</f>
        <v>±</v>
      </c>
      <c r="AC256" s="1" t="str">
        <f>IF(Table1[[#This Row],[Spec Type2]]="N/A","N/A",IF(AND(Table1[[#This Row],[DUT Adj Read]]&gt;=Table1[[#This Row],[Low Tol]],Table1[[#This Row],[DUT Adj Read]]&lt;=Table1[[#This Row],[High Tol]]),"Pass","Fail"))</f>
        <v>Fail</v>
      </c>
      <c r="AD256" s="1" t="str">
        <f>IF(AND(Table1[[#This Row],[Spec Type2]]="N/A",Table1[[#This Row],[DUT Adj Read]]="N/A",Table1[[#This Row],[Std Adj Read]]="N/A"),"N/A",IF(Table1[[#This Row],[DUT Adj Read]]="N/A",IF(Table1[[#This Row],[Std Adj Read]]&gt;Table1[[#This Row],[Low Tol]],"Pass","Fail"),IF(Table1[[#This Row],[DUT Adj Read]]&gt;Table1[[#This Row],[Low Tol]],"Pass","Fail")))</f>
        <v>Pass</v>
      </c>
      <c r="AE256" s="1" t="str">
        <f>IF(AND(Table1[[#This Row],[Spec Type2]]="N/A",Table1[[#This Row],[DUT Adj Read]]="N/A",Table1[[#This Row],[Std Adj Read]]="N/A"),"N/A",IF(Table1[[#This Row],[DUT Adj Read]]="N/A",IF(Table1[[#This Row],[Std Adj Read]]&lt;Table1[[#This Row],[High Tol]],"Pass","Fail"),IF(Table1[[#This Row],[DUT Adj Read]]&lt;Table1[[#This Row],[High Tol]],"Pass","Fail")))</f>
        <v>Fail</v>
      </c>
      <c r="AF256" s="1" t="str">
        <f>IF(AND(Table1[[#This Row],[Spec Type2]]="N/A",Table1[[#This Row],[DUT Adj Read]]="N/A",Table1[[#This Row],[Std Adj Read]]="N/A"),"N/A",IF(Table1[[#This Row],[DUT Adj Read]]="N/A",IF(Table1[[#This Row],[Std Adj Read]]&gt;=Table1[[#This Row],[Low Tol]],"Pass","Fail"),IF(Table1[[#This Row],[DUT Adj Read]]&gt;=Table1[[#This Row],[Low Tol]],"Pass","Fail")))</f>
        <v>Pass</v>
      </c>
      <c r="AG256" s="1" t="str">
        <f>IF(AND(Table1[[#This Row],[Spec Type2]]="N/A",Table1[[#This Row],[DUT Adj Read]]="N/A",Table1[[#This Row],[Std Adj Read]]="N/A"),"N/A",IF(Table1[[#This Row],[DUT Adj Read]]="N/A",IF(Table1[[#This Row],[Std Adj Read]]&lt;=Table1[[#This Row],[High Tol]],"Pass","Fail"),IF(Table1[[#This Row],[DUT Adj Read]]&lt;=Table1[[#This Row],[High Tol]],"Pass","Fail")))</f>
        <v>Fail</v>
      </c>
      <c r="AH2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 s="1" t="b">
        <v>0</v>
      </c>
      <c r="AN256" s="1" t="b">
        <v>0</v>
      </c>
      <c r="AO256" s="1" t="b">
        <v>0</v>
      </c>
    </row>
    <row r="257" spans="1:41" x14ac:dyDescent="0.25">
      <c r="A257" s="10"/>
      <c r="B257" s="10"/>
      <c r="C257" s="10"/>
      <c r="D257" s="10"/>
      <c r="E257" s="10"/>
      <c r="F257" s="10"/>
      <c r="G257" s="10"/>
      <c r="H257" s="10"/>
      <c r="I257" s="1" t="str">
        <f t="shared" si="9"/>
        <v/>
      </c>
      <c r="J257" s="1" t="s">
        <v>35</v>
      </c>
      <c r="K257" s="1" t="str">
        <f t="shared" si="10"/>
        <v/>
      </c>
      <c r="L257" s="1" t="str">
        <f t="shared" si="11"/>
        <v/>
      </c>
      <c r="M257" s="1">
        <f>IF(OR(Table1[[#This Row],[Std Nom]]="",Table1[[#This Row],[Std Read]]=""),0,Table1[[#This Row],[Std Nom]]-Table1[[#This Row],[Std Read]])</f>
        <v>0</v>
      </c>
      <c r="N257" s="1">
        <f>IF(Calculations!$F$5="ACCREDITED 17025 WITH UNCERTAINTIES",$N$10,0)</f>
        <v>0</v>
      </c>
      <c r="Q257" s="1">
        <f>Table1[[#This Row],[High Tol]]-Table1[[#This Row],[Low Tol]]</f>
        <v>0</v>
      </c>
      <c r="R257" s="1">
        <f>2*Table1[[#This Row],[Std Error]]</f>
        <v>0</v>
      </c>
      <c r="S257" s="1" t="str">
        <f>IF(Table1[[#This Row],[High Tol]]="","N/A",IFERROR(ABS(Table1[[#This Row],[Tol Span]]/Table1[[#This Row],[Error Span]]),"N/A"))</f>
        <v>N/A</v>
      </c>
      <c r="T257" s="1" t="str">
        <f>IF(OR(Table1[[#This Row],[Low Tol]]="",Table1[[#This Row],[High Tol]]=""),"Needs Analysis",IF(Table1[[#This Row],[Ratio]]&gt;=4,"Not Significant",IF(Table1[[#This Row],[Ratio]]&gt;=2,"Semi-Significant","Significant")))</f>
        <v>Needs Analysis</v>
      </c>
      <c r="W257" s="1">
        <f>IF(Table1[[#This Row],[Cal Type]]&lt;&gt;"ACCREDITED 17025 WITH UNCERTAINTIES",0,"")</f>
        <v>0</v>
      </c>
      <c r="X257" s="1" t="str">
        <f>IF(Table1[[#This Row],[DUT Read]]="","N/A",Table1[[#This Row],[Std Error]]+Table1[[#This Row],[DUT Read]]+Table1[[#This Row],[DUT Ucty]])</f>
        <v>N/A</v>
      </c>
      <c r="Y257" s="1" t="str">
        <f>IF(Table1[[#This Row],[Std Read]]="","N/A",Table1[[#This Row],[Std Read]]+Table1[[#This Row],[Std Ucty]])</f>
        <v>N/A</v>
      </c>
      <c r="Z2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 s="1" t="str">
        <f>IF(Table1[[#This Row],[Spec Type]]="","N/A",Table1[[#This Row],[Spec Type]])</f>
        <v>±</v>
      </c>
      <c r="AC257" s="1" t="str">
        <f>IF(Table1[[#This Row],[Spec Type2]]="N/A","N/A",IF(AND(Table1[[#This Row],[DUT Adj Read]]&gt;=Table1[[#This Row],[Low Tol]],Table1[[#This Row],[DUT Adj Read]]&lt;=Table1[[#This Row],[High Tol]]),"Pass","Fail"))</f>
        <v>Fail</v>
      </c>
      <c r="AD257" s="1" t="str">
        <f>IF(AND(Table1[[#This Row],[Spec Type2]]="N/A",Table1[[#This Row],[DUT Adj Read]]="N/A",Table1[[#This Row],[Std Adj Read]]="N/A"),"N/A",IF(Table1[[#This Row],[DUT Adj Read]]="N/A",IF(Table1[[#This Row],[Std Adj Read]]&gt;Table1[[#This Row],[Low Tol]],"Pass","Fail"),IF(Table1[[#This Row],[DUT Adj Read]]&gt;Table1[[#This Row],[Low Tol]],"Pass","Fail")))</f>
        <v>Pass</v>
      </c>
      <c r="AE257" s="1" t="str">
        <f>IF(AND(Table1[[#This Row],[Spec Type2]]="N/A",Table1[[#This Row],[DUT Adj Read]]="N/A",Table1[[#This Row],[Std Adj Read]]="N/A"),"N/A",IF(Table1[[#This Row],[DUT Adj Read]]="N/A",IF(Table1[[#This Row],[Std Adj Read]]&lt;Table1[[#This Row],[High Tol]],"Pass","Fail"),IF(Table1[[#This Row],[DUT Adj Read]]&lt;Table1[[#This Row],[High Tol]],"Pass","Fail")))</f>
        <v>Fail</v>
      </c>
      <c r="AF257" s="1" t="str">
        <f>IF(AND(Table1[[#This Row],[Spec Type2]]="N/A",Table1[[#This Row],[DUT Adj Read]]="N/A",Table1[[#This Row],[Std Adj Read]]="N/A"),"N/A",IF(Table1[[#This Row],[DUT Adj Read]]="N/A",IF(Table1[[#This Row],[Std Adj Read]]&gt;=Table1[[#This Row],[Low Tol]],"Pass","Fail"),IF(Table1[[#This Row],[DUT Adj Read]]&gt;=Table1[[#This Row],[Low Tol]],"Pass","Fail")))</f>
        <v>Pass</v>
      </c>
      <c r="AG257" s="1" t="str">
        <f>IF(AND(Table1[[#This Row],[Spec Type2]]="N/A",Table1[[#This Row],[DUT Adj Read]]="N/A",Table1[[#This Row],[Std Adj Read]]="N/A"),"N/A",IF(Table1[[#This Row],[DUT Adj Read]]="N/A",IF(Table1[[#This Row],[Std Adj Read]]&lt;=Table1[[#This Row],[High Tol]],"Pass","Fail"),IF(Table1[[#This Row],[DUT Adj Read]]&lt;=Table1[[#This Row],[High Tol]],"Pass","Fail")))</f>
        <v>Fail</v>
      </c>
      <c r="AH2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 s="1" t="b">
        <v>0</v>
      </c>
      <c r="AN257" s="1" t="b">
        <v>0</v>
      </c>
      <c r="AO257" s="1" t="b">
        <v>0</v>
      </c>
    </row>
    <row r="258" spans="1:41" x14ac:dyDescent="0.25">
      <c r="A258" s="10"/>
      <c r="B258" s="10"/>
      <c r="C258" s="10"/>
      <c r="D258" s="10"/>
      <c r="E258" s="10"/>
      <c r="F258" s="10"/>
      <c r="G258" s="10"/>
      <c r="H258" s="10"/>
      <c r="I258" s="1" t="str">
        <f t="shared" si="9"/>
        <v/>
      </c>
      <c r="J258" s="1" t="s">
        <v>35</v>
      </c>
      <c r="K258" s="1" t="str">
        <f t="shared" si="10"/>
        <v/>
      </c>
      <c r="L258" s="1" t="str">
        <f t="shared" si="11"/>
        <v/>
      </c>
      <c r="M258" s="1">
        <f>IF(OR(Table1[[#This Row],[Std Nom]]="",Table1[[#This Row],[Std Read]]=""),0,Table1[[#This Row],[Std Nom]]-Table1[[#This Row],[Std Read]])</f>
        <v>0</v>
      </c>
      <c r="N258" s="1">
        <f>IF(Calculations!$F$5="ACCREDITED 17025 WITH UNCERTAINTIES",$N$10,0)</f>
        <v>0</v>
      </c>
      <c r="Q258" s="1">
        <f>Table1[[#This Row],[High Tol]]-Table1[[#This Row],[Low Tol]]</f>
        <v>0</v>
      </c>
      <c r="R258" s="1">
        <f>2*Table1[[#This Row],[Std Error]]</f>
        <v>0</v>
      </c>
      <c r="S258" s="1" t="str">
        <f>IF(Table1[[#This Row],[High Tol]]="","N/A",IFERROR(ABS(Table1[[#This Row],[Tol Span]]/Table1[[#This Row],[Error Span]]),"N/A"))</f>
        <v>N/A</v>
      </c>
      <c r="T258" s="1" t="str">
        <f>IF(OR(Table1[[#This Row],[Low Tol]]="",Table1[[#This Row],[High Tol]]=""),"Needs Analysis",IF(Table1[[#This Row],[Ratio]]&gt;=4,"Not Significant",IF(Table1[[#This Row],[Ratio]]&gt;=2,"Semi-Significant","Significant")))</f>
        <v>Needs Analysis</v>
      </c>
      <c r="W258" s="1">
        <f>IF(Table1[[#This Row],[Cal Type]]&lt;&gt;"ACCREDITED 17025 WITH UNCERTAINTIES",0,"")</f>
        <v>0</v>
      </c>
      <c r="X258" s="1" t="str">
        <f>IF(Table1[[#This Row],[DUT Read]]="","N/A",Table1[[#This Row],[Std Error]]+Table1[[#This Row],[DUT Read]]+Table1[[#This Row],[DUT Ucty]])</f>
        <v>N/A</v>
      </c>
      <c r="Y258" s="1" t="str">
        <f>IF(Table1[[#This Row],[Std Read]]="","N/A",Table1[[#This Row],[Std Read]]+Table1[[#This Row],[Std Ucty]])</f>
        <v>N/A</v>
      </c>
      <c r="Z2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 s="1" t="str">
        <f>IF(Table1[[#This Row],[Spec Type]]="","N/A",Table1[[#This Row],[Spec Type]])</f>
        <v>±</v>
      </c>
      <c r="AC258" s="1" t="str">
        <f>IF(Table1[[#This Row],[Spec Type2]]="N/A","N/A",IF(AND(Table1[[#This Row],[DUT Adj Read]]&gt;=Table1[[#This Row],[Low Tol]],Table1[[#This Row],[DUT Adj Read]]&lt;=Table1[[#This Row],[High Tol]]),"Pass","Fail"))</f>
        <v>Fail</v>
      </c>
      <c r="AD258" s="1" t="str">
        <f>IF(AND(Table1[[#This Row],[Spec Type2]]="N/A",Table1[[#This Row],[DUT Adj Read]]="N/A",Table1[[#This Row],[Std Adj Read]]="N/A"),"N/A",IF(Table1[[#This Row],[DUT Adj Read]]="N/A",IF(Table1[[#This Row],[Std Adj Read]]&gt;Table1[[#This Row],[Low Tol]],"Pass","Fail"),IF(Table1[[#This Row],[DUT Adj Read]]&gt;Table1[[#This Row],[Low Tol]],"Pass","Fail")))</f>
        <v>Pass</v>
      </c>
      <c r="AE258" s="1" t="str">
        <f>IF(AND(Table1[[#This Row],[Spec Type2]]="N/A",Table1[[#This Row],[DUT Adj Read]]="N/A",Table1[[#This Row],[Std Adj Read]]="N/A"),"N/A",IF(Table1[[#This Row],[DUT Adj Read]]="N/A",IF(Table1[[#This Row],[Std Adj Read]]&lt;Table1[[#This Row],[High Tol]],"Pass","Fail"),IF(Table1[[#This Row],[DUT Adj Read]]&lt;Table1[[#This Row],[High Tol]],"Pass","Fail")))</f>
        <v>Fail</v>
      </c>
      <c r="AF258" s="1" t="str">
        <f>IF(AND(Table1[[#This Row],[Spec Type2]]="N/A",Table1[[#This Row],[DUT Adj Read]]="N/A",Table1[[#This Row],[Std Adj Read]]="N/A"),"N/A",IF(Table1[[#This Row],[DUT Adj Read]]="N/A",IF(Table1[[#This Row],[Std Adj Read]]&gt;=Table1[[#This Row],[Low Tol]],"Pass","Fail"),IF(Table1[[#This Row],[DUT Adj Read]]&gt;=Table1[[#This Row],[Low Tol]],"Pass","Fail")))</f>
        <v>Pass</v>
      </c>
      <c r="AG258" s="1" t="str">
        <f>IF(AND(Table1[[#This Row],[Spec Type2]]="N/A",Table1[[#This Row],[DUT Adj Read]]="N/A",Table1[[#This Row],[Std Adj Read]]="N/A"),"N/A",IF(Table1[[#This Row],[DUT Adj Read]]="N/A",IF(Table1[[#This Row],[Std Adj Read]]&lt;=Table1[[#This Row],[High Tol]],"Pass","Fail"),IF(Table1[[#This Row],[DUT Adj Read]]&lt;=Table1[[#This Row],[High Tol]],"Pass","Fail")))</f>
        <v>Fail</v>
      </c>
      <c r="AH2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 s="1" t="b">
        <v>0</v>
      </c>
      <c r="AN258" s="1" t="b">
        <v>0</v>
      </c>
      <c r="AO258" s="1" t="b">
        <v>0</v>
      </c>
    </row>
    <row r="259" spans="1:41" x14ac:dyDescent="0.25">
      <c r="A259" s="10"/>
      <c r="B259" s="10"/>
      <c r="C259" s="10"/>
      <c r="D259" s="10"/>
      <c r="E259" s="10"/>
      <c r="F259" s="10"/>
      <c r="G259" s="10"/>
      <c r="H259" s="10"/>
      <c r="I259" s="1" t="str">
        <f t="shared" si="9"/>
        <v/>
      </c>
      <c r="J259" s="1" t="s">
        <v>35</v>
      </c>
      <c r="K259" s="1" t="str">
        <f t="shared" si="10"/>
        <v/>
      </c>
      <c r="L259" s="1" t="str">
        <f t="shared" si="11"/>
        <v/>
      </c>
      <c r="M259" s="1">
        <f>IF(OR(Table1[[#This Row],[Std Nom]]="",Table1[[#This Row],[Std Read]]=""),0,Table1[[#This Row],[Std Nom]]-Table1[[#This Row],[Std Read]])</f>
        <v>0</v>
      </c>
      <c r="N259" s="1">
        <f>IF(Calculations!$F$5="ACCREDITED 17025 WITH UNCERTAINTIES",$N$10,0)</f>
        <v>0</v>
      </c>
      <c r="Q259" s="1">
        <f>Table1[[#This Row],[High Tol]]-Table1[[#This Row],[Low Tol]]</f>
        <v>0</v>
      </c>
      <c r="R259" s="1">
        <f>2*Table1[[#This Row],[Std Error]]</f>
        <v>0</v>
      </c>
      <c r="S259" s="1" t="str">
        <f>IF(Table1[[#This Row],[High Tol]]="","N/A",IFERROR(ABS(Table1[[#This Row],[Tol Span]]/Table1[[#This Row],[Error Span]]),"N/A"))</f>
        <v>N/A</v>
      </c>
      <c r="T259" s="1" t="str">
        <f>IF(OR(Table1[[#This Row],[Low Tol]]="",Table1[[#This Row],[High Tol]]=""),"Needs Analysis",IF(Table1[[#This Row],[Ratio]]&gt;=4,"Not Significant",IF(Table1[[#This Row],[Ratio]]&gt;=2,"Semi-Significant","Significant")))</f>
        <v>Needs Analysis</v>
      </c>
      <c r="W259" s="1">
        <f>IF(Table1[[#This Row],[Cal Type]]&lt;&gt;"ACCREDITED 17025 WITH UNCERTAINTIES",0,"")</f>
        <v>0</v>
      </c>
      <c r="X259" s="1" t="str">
        <f>IF(Table1[[#This Row],[DUT Read]]="","N/A",Table1[[#This Row],[Std Error]]+Table1[[#This Row],[DUT Read]]+Table1[[#This Row],[DUT Ucty]])</f>
        <v>N/A</v>
      </c>
      <c r="Y259" s="1" t="str">
        <f>IF(Table1[[#This Row],[Std Read]]="","N/A",Table1[[#This Row],[Std Read]]+Table1[[#This Row],[Std Ucty]])</f>
        <v>N/A</v>
      </c>
      <c r="Z2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 s="1" t="str">
        <f>IF(Table1[[#This Row],[Spec Type]]="","N/A",Table1[[#This Row],[Spec Type]])</f>
        <v>±</v>
      </c>
      <c r="AC259" s="1" t="str">
        <f>IF(Table1[[#This Row],[Spec Type2]]="N/A","N/A",IF(AND(Table1[[#This Row],[DUT Adj Read]]&gt;=Table1[[#This Row],[Low Tol]],Table1[[#This Row],[DUT Adj Read]]&lt;=Table1[[#This Row],[High Tol]]),"Pass","Fail"))</f>
        <v>Fail</v>
      </c>
      <c r="AD259" s="1" t="str">
        <f>IF(AND(Table1[[#This Row],[Spec Type2]]="N/A",Table1[[#This Row],[DUT Adj Read]]="N/A",Table1[[#This Row],[Std Adj Read]]="N/A"),"N/A",IF(Table1[[#This Row],[DUT Adj Read]]="N/A",IF(Table1[[#This Row],[Std Adj Read]]&gt;Table1[[#This Row],[Low Tol]],"Pass","Fail"),IF(Table1[[#This Row],[DUT Adj Read]]&gt;Table1[[#This Row],[Low Tol]],"Pass","Fail")))</f>
        <v>Pass</v>
      </c>
      <c r="AE259" s="1" t="str">
        <f>IF(AND(Table1[[#This Row],[Spec Type2]]="N/A",Table1[[#This Row],[DUT Adj Read]]="N/A",Table1[[#This Row],[Std Adj Read]]="N/A"),"N/A",IF(Table1[[#This Row],[DUT Adj Read]]="N/A",IF(Table1[[#This Row],[Std Adj Read]]&lt;Table1[[#This Row],[High Tol]],"Pass","Fail"),IF(Table1[[#This Row],[DUT Adj Read]]&lt;Table1[[#This Row],[High Tol]],"Pass","Fail")))</f>
        <v>Fail</v>
      </c>
      <c r="AF259" s="1" t="str">
        <f>IF(AND(Table1[[#This Row],[Spec Type2]]="N/A",Table1[[#This Row],[DUT Adj Read]]="N/A",Table1[[#This Row],[Std Adj Read]]="N/A"),"N/A",IF(Table1[[#This Row],[DUT Adj Read]]="N/A",IF(Table1[[#This Row],[Std Adj Read]]&gt;=Table1[[#This Row],[Low Tol]],"Pass","Fail"),IF(Table1[[#This Row],[DUT Adj Read]]&gt;=Table1[[#This Row],[Low Tol]],"Pass","Fail")))</f>
        <v>Pass</v>
      </c>
      <c r="AG259" s="1" t="str">
        <f>IF(AND(Table1[[#This Row],[Spec Type2]]="N/A",Table1[[#This Row],[DUT Adj Read]]="N/A",Table1[[#This Row],[Std Adj Read]]="N/A"),"N/A",IF(Table1[[#This Row],[DUT Adj Read]]="N/A",IF(Table1[[#This Row],[Std Adj Read]]&lt;=Table1[[#This Row],[High Tol]],"Pass","Fail"),IF(Table1[[#This Row],[DUT Adj Read]]&lt;=Table1[[#This Row],[High Tol]],"Pass","Fail")))</f>
        <v>Fail</v>
      </c>
      <c r="AH2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 s="1" t="b">
        <v>0</v>
      </c>
      <c r="AN259" s="1" t="b">
        <v>0</v>
      </c>
      <c r="AO259" s="1" t="b">
        <v>0</v>
      </c>
    </row>
    <row r="260" spans="1:41" x14ac:dyDescent="0.25">
      <c r="A260" s="10"/>
      <c r="B260" s="10"/>
      <c r="C260" s="10"/>
      <c r="D260" s="10"/>
      <c r="E260" s="10"/>
      <c r="F260" s="10"/>
      <c r="G260" s="10"/>
      <c r="H260" s="10"/>
      <c r="I260" s="1" t="str">
        <f t="shared" si="9"/>
        <v/>
      </c>
      <c r="J260" s="1" t="s">
        <v>35</v>
      </c>
      <c r="K260" s="1" t="str">
        <f t="shared" si="10"/>
        <v/>
      </c>
      <c r="L260" s="1" t="str">
        <f t="shared" si="11"/>
        <v/>
      </c>
      <c r="M260" s="1">
        <f>IF(OR(Table1[[#This Row],[Std Nom]]="",Table1[[#This Row],[Std Read]]=""),0,Table1[[#This Row],[Std Nom]]-Table1[[#This Row],[Std Read]])</f>
        <v>0</v>
      </c>
      <c r="N260" s="1">
        <f>IF(Calculations!$F$5="ACCREDITED 17025 WITH UNCERTAINTIES",$N$10,0)</f>
        <v>0</v>
      </c>
      <c r="Q260" s="1">
        <f>Table1[[#This Row],[High Tol]]-Table1[[#This Row],[Low Tol]]</f>
        <v>0</v>
      </c>
      <c r="R260" s="1">
        <f>2*Table1[[#This Row],[Std Error]]</f>
        <v>0</v>
      </c>
      <c r="S260" s="1" t="str">
        <f>IF(Table1[[#This Row],[High Tol]]="","N/A",IFERROR(ABS(Table1[[#This Row],[Tol Span]]/Table1[[#This Row],[Error Span]]),"N/A"))</f>
        <v>N/A</v>
      </c>
      <c r="T260" s="1" t="str">
        <f>IF(OR(Table1[[#This Row],[Low Tol]]="",Table1[[#This Row],[High Tol]]=""),"Needs Analysis",IF(Table1[[#This Row],[Ratio]]&gt;=4,"Not Significant",IF(Table1[[#This Row],[Ratio]]&gt;=2,"Semi-Significant","Significant")))</f>
        <v>Needs Analysis</v>
      </c>
      <c r="W260" s="1">
        <f>IF(Table1[[#This Row],[Cal Type]]&lt;&gt;"ACCREDITED 17025 WITH UNCERTAINTIES",0,"")</f>
        <v>0</v>
      </c>
      <c r="X260" s="1" t="str">
        <f>IF(Table1[[#This Row],[DUT Read]]="","N/A",Table1[[#This Row],[Std Error]]+Table1[[#This Row],[DUT Read]]+Table1[[#This Row],[DUT Ucty]])</f>
        <v>N/A</v>
      </c>
      <c r="Y260" s="1" t="str">
        <f>IF(Table1[[#This Row],[Std Read]]="","N/A",Table1[[#This Row],[Std Read]]+Table1[[#This Row],[Std Ucty]])</f>
        <v>N/A</v>
      </c>
      <c r="Z2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 s="1" t="str">
        <f>IF(Table1[[#This Row],[Spec Type]]="","N/A",Table1[[#This Row],[Spec Type]])</f>
        <v>±</v>
      </c>
      <c r="AC260" s="1" t="str">
        <f>IF(Table1[[#This Row],[Spec Type2]]="N/A","N/A",IF(AND(Table1[[#This Row],[DUT Adj Read]]&gt;=Table1[[#This Row],[Low Tol]],Table1[[#This Row],[DUT Adj Read]]&lt;=Table1[[#This Row],[High Tol]]),"Pass","Fail"))</f>
        <v>Fail</v>
      </c>
      <c r="AD260" s="1" t="str">
        <f>IF(AND(Table1[[#This Row],[Spec Type2]]="N/A",Table1[[#This Row],[DUT Adj Read]]="N/A",Table1[[#This Row],[Std Adj Read]]="N/A"),"N/A",IF(Table1[[#This Row],[DUT Adj Read]]="N/A",IF(Table1[[#This Row],[Std Adj Read]]&gt;Table1[[#This Row],[Low Tol]],"Pass","Fail"),IF(Table1[[#This Row],[DUT Adj Read]]&gt;Table1[[#This Row],[Low Tol]],"Pass","Fail")))</f>
        <v>Pass</v>
      </c>
      <c r="AE260" s="1" t="str">
        <f>IF(AND(Table1[[#This Row],[Spec Type2]]="N/A",Table1[[#This Row],[DUT Adj Read]]="N/A",Table1[[#This Row],[Std Adj Read]]="N/A"),"N/A",IF(Table1[[#This Row],[DUT Adj Read]]="N/A",IF(Table1[[#This Row],[Std Adj Read]]&lt;Table1[[#This Row],[High Tol]],"Pass","Fail"),IF(Table1[[#This Row],[DUT Adj Read]]&lt;Table1[[#This Row],[High Tol]],"Pass","Fail")))</f>
        <v>Fail</v>
      </c>
      <c r="AF260" s="1" t="str">
        <f>IF(AND(Table1[[#This Row],[Spec Type2]]="N/A",Table1[[#This Row],[DUT Adj Read]]="N/A",Table1[[#This Row],[Std Adj Read]]="N/A"),"N/A",IF(Table1[[#This Row],[DUT Adj Read]]="N/A",IF(Table1[[#This Row],[Std Adj Read]]&gt;=Table1[[#This Row],[Low Tol]],"Pass","Fail"),IF(Table1[[#This Row],[DUT Adj Read]]&gt;=Table1[[#This Row],[Low Tol]],"Pass","Fail")))</f>
        <v>Pass</v>
      </c>
      <c r="AG260" s="1" t="str">
        <f>IF(AND(Table1[[#This Row],[Spec Type2]]="N/A",Table1[[#This Row],[DUT Adj Read]]="N/A",Table1[[#This Row],[Std Adj Read]]="N/A"),"N/A",IF(Table1[[#This Row],[DUT Adj Read]]="N/A",IF(Table1[[#This Row],[Std Adj Read]]&lt;=Table1[[#This Row],[High Tol]],"Pass","Fail"),IF(Table1[[#This Row],[DUT Adj Read]]&lt;=Table1[[#This Row],[High Tol]],"Pass","Fail")))</f>
        <v>Fail</v>
      </c>
      <c r="AH2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 s="1" t="b">
        <v>0</v>
      </c>
      <c r="AN260" s="1" t="b">
        <v>0</v>
      </c>
      <c r="AO260" s="1" t="b">
        <v>0</v>
      </c>
    </row>
    <row r="261" spans="1:41" x14ac:dyDescent="0.25">
      <c r="A261" s="10"/>
      <c r="B261" s="10"/>
      <c r="C261" s="10"/>
      <c r="D261" s="10"/>
      <c r="E261" s="10"/>
      <c r="F261" s="10"/>
      <c r="G261" s="10"/>
      <c r="H261" s="10"/>
      <c r="I261" s="1" t="str">
        <f t="shared" si="9"/>
        <v/>
      </c>
      <c r="J261" s="1" t="s">
        <v>35</v>
      </c>
      <c r="K261" s="1" t="str">
        <f t="shared" si="10"/>
        <v/>
      </c>
      <c r="L261" s="1" t="str">
        <f t="shared" si="11"/>
        <v/>
      </c>
      <c r="M261" s="1">
        <f>IF(OR(Table1[[#This Row],[Std Nom]]="",Table1[[#This Row],[Std Read]]=""),0,Table1[[#This Row],[Std Nom]]-Table1[[#This Row],[Std Read]])</f>
        <v>0</v>
      </c>
      <c r="N261" s="1">
        <f>IF(Calculations!$F$5="ACCREDITED 17025 WITH UNCERTAINTIES",$N$10,0)</f>
        <v>0</v>
      </c>
      <c r="Q261" s="1">
        <f>Table1[[#This Row],[High Tol]]-Table1[[#This Row],[Low Tol]]</f>
        <v>0</v>
      </c>
      <c r="R261" s="1">
        <f>2*Table1[[#This Row],[Std Error]]</f>
        <v>0</v>
      </c>
      <c r="S261" s="1" t="str">
        <f>IF(Table1[[#This Row],[High Tol]]="","N/A",IFERROR(ABS(Table1[[#This Row],[Tol Span]]/Table1[[#This Row],[Error Span]]),"N/A"))</f>
        <v>N/A</v>
      </c>
      <c r="T261" s="1" t="str">
        <f>IF(OR(Table1[[#This Row],[Low Tol]]="",Table1[[#This Row],[High Tol]]=""),"Needs Analysis",IF(Table1[[#This Row],[Ratio]]&gt;=4,"Not Significant",IF(Table1[[#This Row],[Ratio]]&gt;=2,"Semi-Significant","Significant")))</f>
        <v>Needs Analysis</v>
      </c>
      <c r="W261" s="1">
        <f>IF(Table1[[#This Row],[Cal Type]]&lt;&gt;"ACCREDITED 17025 WITH UNCERTAINTIES",0,"")</f>
        <v>0</v>
      </c>
      <c r="X261" s="1" t="str">
        <f>IF(Table1[[#This Row],[DUT Read]]="","N/A",Table1[[#This Row],[Std Error]]+Table1[[#This Row],[DUT Read]]+Table1[[#This Row],[DUT Ucty]])</f>
        <v>N/A</v>
      </c>
      <c r="Y261" s="1" t="str">
        <f>IF(Table1[[#This Row],[Std Read]]="","N/A",Table1[[#This Row],[Std Read]]+Table1[[#This Row],[Std Ucty]])</f>
        <v>N/A</v>
      </c>
      <c r="Z2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 s="1" t="str">
        <f>IF(Table1[[#This Row],[Spec Type]]="","N/A",Table1[[#This Row],[Spec Type]])</f>
        <v>±</v>
      </c>
      <c r="AC261" s="1" t="str">
        <f>IF(Table1[[#This Row],[Spec Type2]]="N/A","N/A",IF(AND(Table1[[#This Row],[DUT Adj Read]]&gt;=Table1[[#This Row],[Low Tol]],Table1[[#This Row],[DUT Adj Read]]&lt;=Table1[[#This Row],[High Tol]]),"Pass","Fail"))</f>
        <v>Fail</v>
      </c>
      <c r="AD261" s="1" t="str">
        <f>IF(AND(Table1[[#This Row],[Spec Type2]]="N/A",Table1[[#This Row],[DUT Adj Read]]="N/A",Table1[[#This Row],[Std Adj Read]]="N/A"),"N/A",IF(Table1[[#This Row],[DUT Adj Read]]="N/A",IF(Table1[[#This Row],[Std Adj Read]]&gt;Table1[[#This Row],[Low Tol]],"Pass","Fail"),IF(Table1[[#This Row],[DUT Adj Read]]&gt;Table1[[#This Row],[Low Tol]],"Pass","Fail")))</f>
        <v>Pass</v>
      </c>
      <c r="AE261" s="1" t="str">
        <f>IF(AND(Table1[[#This Row],[Spec Type2]]="N/A",Table1[[#This Row],[DUT Adj Read]]="N/A",Table1[[#This Row],[Std Adj Read]]="N/A"),"N/A",IF(Table1[[#This Row],[DUT Adj Read]]="N/A",IF(Table1[[#This Row],[Std Adj Read]]&lt;Table1[[#This Row],[High Tol]],"Pass","Fail"),IF(Table1[[#This Row],[DUT Adj Read]]&lt;Table1[[#This Row],[High Tol]],"Pass","Fail")))</f>
        <v>Fail</v>
      </c>
      <c r="AF261" s="1" t="str">
        <f>IF(AND(Table1[[#This Row],[Spec Type2]]="N/A",Table1[[#This Row],[DUT Adj Read]]="N/A",Table1[[#This Row],[Std Adj Read]]="N/A"),"N/A",IF(Table1[[#This Row],[DUT Adj Read]]="N/A",IF(Table1[[#This Row],[Std Adj Read]]&gt;=Table1[[#This Row],[Low Tol]],"Pass","Fail"),IF(Table1[[#This Row],[DUT Adj Read]]&gt;=Table1[[#This Row],[Low Tol]],"Pass","Fail")))</f>
        <v>Pass</v>
      </c>
      <c r="AG261" s="1" t="str">
        <f>IF(AND(Table1[[#This Row],[Spec Type2]]="N/A",Table1[[#This Row],[DUT Adj Read]]="N/A",Table1[[#This Row],[Std Adj Read]]="N/A"),"N/A",IF(Table1[[#This Row],[DUT Adj Read]]="N/A",IF(Table1[[#This Row],[Std Adj Read]]&lt;=Table1[[#This Row],[High Tol]],"Pass","Fail"),IF(Table1[[#This Row],[DUT Adj Read]]&lt;=Table1[[#This Row],[High Tol]],"Pass","Fail")))</f>
        <v>Fail</v>
      </c>
      <c r="AH2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 s="1" t="b">
        <v>0</v>
      </c>
      <c r="AN261" s="1" t="b">
        <v>0</v>
      </c>
      <c r="AO261" s="1" t="b">
        <v>0</v>
      </c>
    </row>
    <row r="262" spans="1:41" x14ac:dyDescent="0.25">
      <c r="A262" s="10"/>
      <c r="B262" s="10"/>
      <c r="C262" s="10"/>
      <c r="D262" s="10"/>
      <c r="E262" s="10"/>
      <c r="F262" s="10"/>
      <c r="G262" s="10"/>
      <c r="H262" s="10"/>
      <c r="I262" s="1" t="str">
        <f t="shared" si="9"/>
        <v/>
      </c>
      <c r="J262" s="1" t="s">
        <v>35</v>
      </c>
      <c r="K262" s="1" t="str">
        <f t="shared" si="10"/>
        <v/>
      </c>
      <c r="L262" s="1" t="str">
        <f t="shared" si="11"/>
        <v/>
      </c>
      <c r="M262" s="1">
        <f>IF(OR(Table1[[#This Row],[Std Nom]]="",Table1[[#This Row],[Std Read]]=""),0,Table1[[#This Row],[Std Nom]]-Table1[[#This Row],[Std Read]])</f>
        <v>0</v>
      </c>
      <c r="N262" s="1">
        <f>IF(Calculations!$F$5="ACCREDITED 17025 WITH UNCERTAINTIES",$N$10,0)</f>
        <v>0</v>
      </c>
      <c r="Q262" s="1">
        <f>Table1[[#This Row],[High Tol]]-Table1[[#This Row],[Low Tol]]</f>
        <v>0</v>
      </c>
      <c r="R262" s="1">
        <f>2*Table1[[#This Row],[Std Error]]</f>
        <v>0</v>
      </c>
      <c r="S262" s="1" t="str">
        <f>IF(Table1[[#This Row],[High Tol]]="","N/A",IFERROR(ABS(Table1[[#This Row],[Tol Span]]/Table1[[#This Row],[Error Span]]),"N/A"))</f>
        <v>N/A</v>
      </c>
      <c r="T262" s="1" t="str">
        <f>IF(OR(Table1[[#This Row],[Low Tol]]="",Table1[[#This Row],[High Tol]]=""),"Needs Analysis",IF(Table1[[#This Row],[Ratio]]&gt;=4,"Not Significant",IF(Table1[[#This Row],[Ratio]]&gt;=2,"Semi-Significant","Significant")))</f>
        <v>Needs Analysis</v>
      </c>
      <c r="W262" s="1">
        <f>IF(Table1[[#This Row],[Cal Type]]&lt;&gt;"ACCREDITED 17025 WITH UNCERTAINTIES",0,"")</f>
        <v>0</v>
      </c>
      <c r="X262" s="1" t="str">
        <f>IF(Table1[[#This Row],[DUT Read]]="","N/A",Table1[[#This Row],[Std Error]]+Table1[[#This Row],[DUT Read]]+Table1[[#This Row],[DUT Ucty]])</f>
        <v>N/A</v>
      </c>
      <c r="Y262" s="1" t="str">
        <f>IF(Table1[[#This Row],[Std Read]]="","N/A",Table1[[#This Row],[Std Read]]+Table1[[#This Row],[Std Ucty]])</f>
        <v>N/A</v>
      </c>
      <c r="Z2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 s="1" t="str">
        <f>IF(Table1[[#This Row],[Spec Type]]="","N/A",Table1[[#This Row],[Spec Type]])</f>
        <v>±</v>
      </c>
      <c r="AC262" s="1" t="str">
        <f>IF(Table1[[#This Row],[Spec Type2]]="N/A","N/A",IF(AND(Table1[[#This Row],[DUT Adj Read]]&gt;=Table1[[#This Row],[Low Tol]],Table1[[#This Row],[DUT Adj Read]]&lt;=Table1[[#This Row],[High Tol]]),"Pass","Fail"))</f>
        <v>Fail</v>
      </c>
      <c r="AD262" s="1" t="str">
        <f>IF(AND(Table1[[#This Row],[Spec Type2]]="N/A",Table1[[#This Row],[DUT Adj Read]]="N/A",Table1[[#This Row],[Std Adj Read]]="N/A"),"N/A",IF(Table1[[#This Row],[DUT Adj Read]]="N/A",IF(Table1[[#This Row],[Std Adj Read]]&gt;Table1[[#This Row],[Low Tol]],"Pass","Fail"),IF(Table1[[#This Row],[DUT Adj Read]]&gt;Table1[[#This Row],[Low Tol]],"Pass","Fail")))</f>
        <v>Pass</v>
      </c>
      <c r="AE262" s="1" t="str">
        <f>IF(AND(Table1[[#This Row],[Spec Type2]]="N/A",Table1[[#This Row],[DUT Adj Read]]="N/A",Table1[[#This Row],[Std Adj Read]]="N/A"),"N/A",IF(Table1[[#This Row],[DUT Adj Read]]="N/A",IF(Table1[[#This Row],[Std Adj Read]]&lt;Table1[[#This Row],[High Tol]],"Pass","Fail"),IF(Table1[[#This Row],[DUT Adj Read]]&lt;Table1[[#This Row],[High Tol]],"Pass","Fail")))</f>
        <v>Fail</v>
      </c>
      <c r="AF262" s="1" t="str">
        <f>IF(AND(Table1[[#This Row],[Spec Type2]]="N/A",Table1[[#This Row],[DUT Adj Read]]="N/A",Table1[[#This Row],[Std Adj Read]]="N/A"),"N/A",IF(Table1[[#This Row],[DUT Adj Read]]="N/A",IF(Table1[[#This Row],[Std Adj Read]]&gt;=Table1[[#This Row],[Low Tol]],"Pass","Fail"),IF(Table1[[#This Row],[DUT Adj Read]]&gt;=Table1[[#This Row],[Low Tol]],"Pass","Fail")))</f>
        <v>Pass</v>
      </c>
      <c r="AG262" s="1" t="str">
        <f>IF(AND(Table1[[#This Row],[Spec Type2]]="N/A",Table1[[#This Row],[DUT Adj Read]]="N/A",Table1[[#This Row],[Std Adj Read]]="N/A"),"N/A",IF(Table1[[#This Row],[DUT Adj Read]]="N/A",IF(Table1[[#This Row],[Std Adj Read]]&lt;=Table1[[#This Row],[High Tol]],"Pass","Fail"),IF(Table1[[#This Row],[DUT Adj Read]]&lt;=Table1[[#This Row],[High Tol]],"Pass","Fail")))</f>
        <v>Fail</v>
      </c>
      <c r="AH2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 s="1" t="b">
        <v>0</v>
      </c>
      <c r="AN262" s="1" t="b">
        <v>0</v>
      </c>
      <c r="AO262" s="1" t="b">
        <v>0</v>
      </c>
    </row>
    <row r="263" spans="1:41" x14ac:dyDescent="0.25">
      <c r="A263" s="10"/>
      <c r="B263" s="10"/>
      <c r="C263" s="10"/>
      <c r="D263" s="10"/>
      <c r="E263" s="10"/>
      <c r="F263" s="10"/>
      <c r="G263" s="10"/>
      <c r="H263" s="10"/>
      <c r="I263" s="1" t="str">
        <f t="shared" si="9"/>
        <v/>
      </c>
      <c r="J263" s="1" t="s">
        <v>35</v>
      </c>
      <c r="K263" s="1" t="str">
        <f t="shared" si="10"/>
        <v/>
      </c>
      <c r="L263" s="1" t="str">
        <f t="shared" si="11"/>
        <v/>
      </c>
      <c r="M263" s="1">
        <f>IF(OR(Table1[[#This Row],[Std Nom]]="",Table1[[#This Row],[Std Read]]=""),0,Table1[[#This Row],[Std Nom]]-Table1[[#This Row],[Std Read]])</f>
        <v>0</v>
      </c>
      <c r="N263" s="1">
        <f>IF(Calculations!$F$5="ACCREDITED 17025 WITH UNCERTAINTIES",$N$10,0)</f>
        <v>0</v>
      </c>
      <c r="Q263" s="1">
        <f>Table1[[#This Row],[High Tol]]-Table1[[#This Row],[Low Tol]]</f>
        <v>0</v>
      </c>
      <c r="R263" s="1">
        <f>2*Table1[[#This Row],[Std Error]]</f>
        <v>0</v>
      </c>
      <c r="S263" s="1" t="str">
        <f>IF(Table1[[#This Row],[High Tol]]="","N/A",IFERROR(ABS(Table1[[#This Row],[Tol Span]]/Table1[[#This Row],[Error Span]]),"N/A"))</f>
        <v>N/A</v>
      </c>
      <c r="T263" s="1" t="str">
        <f>IF(OR(Table1[[#This Row],[Low Tol]]="",Table1[[#This Row],[High Tol]]=""),"Needs Analysis",IF(Table1[[#This Row],[Ratio]]&gt;=4,"Not Significant",IF(Table1[[#This Row],[Ratio]]&gt;=2,"Semi-Significant","Significant")))</f>
        <v>Needs Analysis</v>
      </c>
      <c r="W263" s="1">
        <f>IF(Table1[[#This Row],[Cal Type]]&lt;&gt;"ACCREDITED 17025 WITH UNCERTAINTIES",0,"")</f>
        <v>0</v>
      </c>
      <c r="X263" s="1" t="str">
        <f>IF(Table1[[#This Row],[DUT Read]]="","N/A",Table1[[#This Row],[Std Error]]+Table1[[#This Row],[DUT Read]]+Table1[[#This Row],[DUT Ucty]])</f>
        <v>N/A</v>
      </c>
      <c r="Y263" s="1" t="str">
        <f>IF(Table1[[#This Row],[Std Read]]="","N/A",Table1[[#This Row],[Std Read]]+Table1[[#This Row],[Std Ucty]])</f>
        <v>N/A</v>
      </c>
      <c r="Z2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 s="1" t="str">
        <f>IF(Table1[[#This Row],[Spec Type]]="","N/A",Table1[[#This Row],[Spec Type]])</f>
        <v>±</v>
      </c>
      <c r="AC263" s="1" t="str">
        <f>IF(Table1[[#This Row],[Spec Type2]]="N/A","N/A",IF(AND(Table1[[#This Row],[DUT Adj Read]]&gt;=Table1[[#This Row],[Low Tol]],Table1[[#This Row],[DUT Adj Read]]&lt;=Table1[[#This Row],[High Tol]]),"Pass","Fail"))</f>
        <v>Fail</v>
      </c>
      <c r="AD263" s="1" t="str">
        <f>IF(AND(Table1[[#This Row],[Spec Type2]]="N/A",Table1[[#This Row],[DUT Adj Read]]="N/A",Table1[[#This Row],[Std Adj Read]]="N/A"),"N/A",IF(Table1[[#This Row],[DUT Adj Read]]="N/A",IF(Table1[[#This Row],[Std Adj Read]]&gt;Table1[[#This Row],[Low Tol]],"Pass","Fail"),IF(Table1[[#This Row],[DUT Adj Read]]&gt;Table1[[#This Row],[Low Tol]],"Pass","Fail")))</f>
        <v>Pass</v>
      </c>
      <c r="AE263" s="1" t="str">
        <f>IF(AND(Table1[[#This Row],[Spec Type2]]="N/A",Table1[[#This Row],[DUT Adj Read]]="N/A",Table1[[#This Row],[Std Adj Read]]="N/A"),"N/A",IF(Table1[[#This Row],[DUT Adj Read]]="N/A",IF(Table1[[#This Row],[Std Adj Read]]&lt;Table1[[#This Row],[High Tol]],"Pass","Fail"),IF(Table1[[#This Row],[DUT Adj Read]]&lt;Table1[[#This Row],[High Tol]],"Pass","Fail")))</f>
        <v>Fail</v>
      </c>
      <c r="AF263" s="1" t="str">
        <f>IF(AND(Table1[[#This Row],[Spec Type2]]="N/A",Table1[[#This Row],[DUT Adj Read]]="N/A",Table1[[#This Row],[Std Adj Read]]="N/A"),"N/A",IF(Table1[[#This Row],[DUT Adj Read]]="N/A",IF(Table1[[#This Row],[Std Adj Read]]&gt;=Table1[[#This Row],[Low Tol]],"Pass","Fail"),IF(Table1[[#This Row],[DUT Adj Read]]&gt;=Table1[[#This Row],[Low Tol]],"Pass","Fail")))</f>
        <v>Pass</v>
      </c>
      <c r="AG263" s="1" t="str">
        <f>IF(AND(Table1[[#This Row],[Spec Type2]]="N/A",Table1[[#This Row],[DUT Adj Read]]="N/A",Table1[[#This Row],[Std Adj Read]]="N/A"),"N/A",IF(Table1[[#This Row],[DUT Adj Read]]="N/A",IF(Table1[[#This Row],[Std Adj Read]]&lt;=Table1[[#This Row],[High Tol]],"Pass","Fail"),IF(Table1[[#This Row],[DUT Adj Read]]&lt;=Table1[[#This Row],[High Tol]],"Pass","Fail")))</f>
        <v>Fail</v>
      </c>
      <c r="AH2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 s="1" t="b">
        <v>0</v>
      </c>
      <c r="AN263" s="1" t="b">
        <v>0</v>
      </c>
      <c r="AO263" s="1" t="b">
        <v>0</v>
      </c>
    </row>
    <row r="264" spans="1:41" x14ac:dyDescent="0.25">
      <c r="A264" s="10"/>
      <c r="B264" s="10"/>
      <c r="C264" s="10"/>
      <c r="D264" s="10"/>
      <c r="E264" s="10"/>
      <c r="F264" s="10"/>
      <c r="G264" s="10"/>
      <c r="H264" s="10"/>
      <c r="I264" s="1" t="str">
        <f t="shared" si="9"/>
        <v/>
      </c>
      <c r="J264" s="1" t="s">
        <v>35</v>
      </c>
      <c r="K264" s="1" t="str">
        <f t="shared" si="10"/>
        <v/>
      </c>
      <c r="L264" s="1" t="str">
        <f t="shared" si="11"/>
        <v/>
      </c>
      <c r="M264" s="1">
        <f>IF(OR(Table1[[#This Row],[Std Nom]]="",Table1[[#This Row],[Std Read]]=""),0,Table1[[#This Row],[Std Nom]]-Table1[[#This Row],[Std Read]])</f>
        <v>0</v>
      </c>
      <c r="N264" s="1">
        <f>IF(Calculations!$F$5="ACCREDITED 17025 WITH UNCERTAINTIES",$N$10,0)</f>
        <v>0</v>
      </c>
      <c r="Q264" s="1">
        <f>Table1[[#This Row],[High Tol]]-Table1[[#This Row],[Low Tol]]</f>
        <v>0</v>
      </c>
      <c r="R264" s="1">
        <f>2*Table1[[#This Row],[Std Error]]</f>
        <v>0</v>
      </c>
      <c r="S264" s="1" t="str">
        <f>IF(Table1[[#This Row],[High Tol]]="","N/A",IFERROR(ABS(Table1[[#This Row],[Tol Span]]/Table1[[#This Row],[Error Span]]),"N/A"))</f>
        <v>N/A</v>
      </c>
      <c r="T264" s="1" t="str">
        <f>IF(OR(Table1[[#This Row],[Low Tol]]="",Table1[[#This Row],[High Tol]]=""),"Needs Analysis",IF(Table1[[#This Row],[Ratio]]&gt;=4,"Not Significant",IF(Table1[[#This Row],[Ratio]]&gt;=2,"Semi-Significant","Significant")))</f>
        <v>Needs Analysis</v>
      </c>
      <c r="W264" s="1">
        <f>IF(Table1[[#This Row],[Cal Type]]&lt;&gt;"ACCREDITED 17025 WITH UNCERTAINTIES",0,"")</f>
        <v>0</v>
      </c>
      <c r="X264" s="1" t="str">
        <f>IF(Table1[[#This Row],[DUT Read]]="","N/A",Table1[[#This Row],[Std Error]]+Table1[[#This Row],[DUT Read]]+Table1[[#This Row],[DUT Ucty]])</f>
        <v>N/A</v>
      </c>
      <c r="Y264" s="1" t="str">
        <f>IF(Table1[[#This Row],[Std Read]]="","N/A",Table1[[#This Row],[Std Read]]+Table1[[#This Row],[Std Ucty]])</f>
        <v>N/A</v>
      </c>
      <c r="Z2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 s="1" t="str">
        <f>IF(Table1[[#This Row],[Spec Type]]="","N/A",Table1[[#This Row],[Spec Type]])</f>
        <v>±</v>
      </c>
      <c r="AC264" s="1" t="str">
        <f>IF(Table1[[#This Row],[Spec Type2]]="N/A","N/A",IF(AND(Table1[[#This Row],[DUT Adj Read]]&gt;=Table1[[#This Row],[Low Tol]],Table1[[#This Row],[DUT Adj Read]]&lt;=Table1[[#This Row],[High Tol]]),"Pass","Fail"))</f>
        <v>Fail</v>
      </c>
      <c r="AD264" s="1" t="str">
        <f>IF(AND(Table1[[#This Row],[Spec Type2]]="N/A",Table1[[#This Row],[DUT Adj Read]]="N/A",Table1[[#This Row],[Std Adj Read]]="N/A"),"N/A",IF(Table1[[#This Row],[DUT Adj Read]]="N/A",IF(Table1[[#This Row],[Std Adj Read]]&gt;Table1[[#This Row],[Low Tol]],"Pass","Fail"),IF(Table1[[#This Row],[DUT Adj Read]]&gt;Table1[[#This Row],[Low Tol]],"Pass","Fail")))</f>
        <v>Pass</v>
      </c>
      <c r="AE264" s="1" t="str">
        <f>IF(AND(Table1[[#This Row],[Spec Type2]]="N/A",Table1[[#This Row],[DUT Adj Read]]="N/A",Table1[[#This Row],[Std Adj Read]]="N/A"),"N/A",IF(Table1[[#This Row],[DUT Adj Read]]="N/A",IF(Table1[[#This Row],[Std Adj Read]]&lt;Table1[[#This Row],[High Tol]],"Pass","Fail"),IF(Table1[[#This Row],[DUT Adj Read]]&lt;Table1[[#This Row],[High Tol]],"Pass","Fail")))</f>
        <v>Fail</v>
      </c>
      <c r="AF264" s="1" t="str">
        <f>IF(AND(Table1[[#This Row],[Spec Type2]]="N/A",Table1[[#This Row],[DUT Adj Read]]="N/A",Table1[[#This Row],[Std Adj Read]]="N/A"),"N/A",IF(Table1[[#This Row],[DUT Adj Read]]="N/A",IF(Table1[[#This Row],[Std Adj Read]]&gt;=Table1[[#This Row],[Low Tol]],"Pass","Fail"),IF(Table1[[#This Row],[DUT Adj Read]]&gt;=Table1[[#This Row],[Low Tol]],"Pass","Fail")))</f>
        <v>Pass</v>
      </c>
      <c r="AG264" s="1" t="str">
        <f>IF(AND(Table1[[#This Row],[Spec Type2]]="N/A",Table1[[#This Row],[DUT Adj Read]]="N/A",Table1[[#This Row],[Std Adj Read]]="N/A"),"N/A",IF(Table1[[#This Row],[DUT Adj Read]]="N/A",IF(Table1[[#This Row],[Std Adj Read]]&lt;=Table1[[#This Row],[High Tol]],"Pass","Fail"),IF(Table1[[#This Row],[DUT Adj Read]]&lt;=Table1[[#This Row],[High Tol]],"Pass","Fail")))</f>
        <v>Fail</v>
      </c>
      <c r="AH2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 s="1" t="b">
        <v>0</v>
      </c>
      <c r="AN264" s="1" t="b">
        <v>0</v>
      </c>
      <c r="AO264" s="1" t="b">
        <v>0</v>
      </c>
    </row>
    <row r="265" spans="1:41" x14ac:dyDescent="0.25">
      <c r="A265" s="10"/>
      <c r="B265" s="10"/>
      <c r="C265" s="10"/>
      <c r="D265" s="10"/>
      <c r="E265" s="10"/>
      <c r="F265" s="10"/>
      <c r="G265" s="10"/>
      <c r="H265" s="10"/>
      <c r="I265" s="1" t="str">
        <f t="shared" si="9"/>
        <v/>
      </c>
      <c r="J265" s="1" t="s">
        <v>35</v>
      </c>
      <c r="K265" s="1" t="str">
        <f t="shared" si="10"/>
        <v/>
      </c>
      <c r="L265" s="1" t="str">
        <f t="shared" si="11"/>
        <v/>
      </c>
      <c r="M265" s="1">
        <f>IF(OR(Table1[[#This Row],[Std Nom]]="",Table1[[#This Row],[Std Read]]=""),0,Table1[[#This Row],[Std Nom]]-Table1[[#This Row],[Std Read]])</f>
        <v>0</v>
      </c>
      <c r="N265" s="1">
        <f>IF(Calculations!$F$5="ACCREDITED 17025 WITH UNCERTAINTIES",$N$10,0)</f>
        <v>0</v>
      </c>
      <c r="Q265" s="1">
        <f>Table1[[#This Row],[High Tol]]-Table1[[#This Row],[Low Tol]]</f>
        <v>0</v>
      </c>
      <c r="R265" s="1">
        <f>2*Table1[[#This Row],[Std Error]]</f>
        <v>0</v>
      </c>
      <c r="S265" s="1" t="str">
        <f>IF(Table1[[#This Row],[High Tol]]="","N/A",IFERROR(ABS(Table1[[#This Row],[Tol Span]]/Table1[[#This Row],[Error Span]]),"N/A"))</f>
        <v>N/A</v>
      </c>
      <c r="T265" s="1" t="str">
        <f>IF(OR(Table1[[#This Row],[Low Tol]]="",Table1[[#This Row],[High Tol]]=""),"Needs Analysis",IF(Table1[[#This Row],[Ratio]]&gt;=4,"Not Significant",IF(Table1[[#This Row],[Ratio]]&gt;=2,"Semi-Significant","Significant")))</f>
        <v>Needs Analysis</v>
      </c>
      <c r="W265" s="1">
        <f>IF(Table1[[#This Row],[Cal Type]]&lt;&gt;"ACCREDITED 17025 WITH UNCERTAINTIES",0,"")</f>
        <v>0</v>
      </c>
      <c r="X265" s="1" t="str">
        <f>IF(Table1[[#This Row],[DUT Read]]="","N/A",Table1[[#This Row],[Std Error]]+Table1[[#This Row],[DUT Read]]+Table1[[#This Row],[DUT Ucty]])</f>
        <v>N/A</v>
      </c>
      <c r="Y265" s="1" t="str">
        <f>IF(Table1[[#This Row],[Std Read]]="","N/A",Table1[[#This Row],[Std Read]]+Table1[[#This Row],[Std Ucty]])</f>
        <v>N/A</v>
      </c>
      <c r="Z2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 s="1" t="str">
        <f>IF(Table1[[#This Row],[Spec Type]]="","N/A",Table1[[#This Row],[Spec Type]])</f>
        <v>±</v>
      </c>
      <c r="AC265" s="1" t="str">
        <f>IF(Table1[[#This Row],[Spec Type2]]="N/A","N/A",IF(AND(Table1[[#This Row],[DUT Adj Read]]&gt;=Table1[[#This Row],[Low Tol]],Table1[[#This Row],[DUT Adj Read]]&lt;=Table1[[#This Row],[High Tol]]),"Pass","Fail"))</f>
        <v>Fail</v>
      </c>
      <c r="AD265" s="1" t="str">
        <f>IF(AND(Table1[[#This Row],[Spec Type2]]="N/A",Table1[[#This Row],[DUT Adj Read]]="N/A",Table1[[#This Row],[Std Adj Read]]="N/A"),"N/A",IF(Table1[[#This Row],[DUT Adj Read]]="N/A",IF(Table1[[#This Row],[Std Adj Read]]&gt;Table1[[#This Row],[Low Tol]],"Pass","Fail"),IF(Table1[[#This Row],[DUT Adj Read]]&gt;Table1[[#This Row],[Low Tol]],"Pass","Fail")))</f>
        <v>Pass</v>
      </c>
      <c r="AE265" s="1" t="str">
        <f>IF(AND(Table1[[#This Row],[Spec Type2]]="N/A",Table1[[#This Row],[DUT Adj Read]]="N/A",Table1[[#This Row],[Std Adj Read]]="N/A"),"N/A",IF(Table1[[#This Row],[DUT Adj Read]]="N/A",IF(Table1[[#This Row],[Std Adj Read]]&lt;Table1[[#This Row],[High Tol]],"Pass","Fail"),IF(Table1[[#This Row],[DUT Adj Read]]&lt;Table1[[#This Row],[High Tol]],"Pass","Fail")))</f>
        <v>Fail</v>
      </c>
      <c r="AF265" s="1" t="str">
        <f>IF(AND(Table1[[#This Row],[Spec Type2]]="N/A",Table1[[#This Row],[DUT Adj Read]]="N/A",Table1[[#This Row],[Std Adj Read]]="N/A"),"N/A",IF(Table1[[#This Row],[DUT Adj Read]]="N/A",IF(Table1[[#This Row],[Std Adj Read]]&gt;=Table1[[#This Row],[Low Tol]],"Pass","Fail"),IF(Table1[[#This Row],[DUT Adj Read]]&gt;=Table1[[#This Row],[Low Tol]],"Pass","Fail")))</f>
        <v>Pass</v>
      </c>
      <c r="AG265" s="1" t="str">
        <f>IF(AND(Table1[[#This Row],[Spec Type2]]="N/A",Table1[[#This Row],[DUT Adj Read]]="N/A",Table1[[#This Row],[Std Adj Read]]="N/A"),"N/A",IF(Table1[[#This Row],[DUT Adj Read]]="N/A",IF(Table1[[#This Row],[Std Adj Read]]&lt;=Table1[[#This Row],[High Tol]],"Pass","Fail"),IF(Table1[[#This Row],[DUT Adj Read]]&lt;=Table1[[#This Row],[High Tol]],"Pass","Fail")))</f>
        <v>Fail</v>
      </c>
      <c r="AH2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 s="1" t="b">
        <v>0</v>
      </c>
      <c r="AN265" s="1" t="b">
        <v>0</v>
      </c>
      <c r="AO265" s="1" t="b">
        <v>0</v>
      </c>
    </row>
    <row r="266" spans="1:41" x14ac:dyDescent="0.25">
      <c r="A266" s="10"/>
      <c r="B266" s="10"/>
      <c r="C266" s="10"/>
      <c r="D266" s="10"/>
      <c r="E266" s="10"/>
      <c r="F266" s="10"/>
      <c r="G266" s="10"/>
      <c r="H266" s="10"/>
      <c r="I266" s="1" t="str">
        <f t="shared" si="9"/>
        <v/>
      </c>
      <c r="J266" s="1" t="s">
        <v>35</v>
      </c>
      <c r="K266" s="1" t="str">
        <f t="shared" si="10"/>
        <v/>
      </c>
      <c r="L266" s="1" t="str">
        <f t="shared" si="11"/>
        <v/>
      </c>
      <c r="M266" s="1">
        <f>IF(OR(Table1[[#This Row],[Std Nom]]="",Table1[[#This Row],[Std Read]]=""),0,Table1[[#This Row],[Std Nom]]-Table1[[#This Row],[Std Read]])</f>
        <v>0</v>
      </c>
      <c r="N266" s="1">
        <f>IF(Calculations!$F$5="ACCREDITED 17025 WITH UNCERTAINTIES",$N$10,0)</f>
        <v>0</v>
      </c>
      <c r="Q266" s="1">
        <f>Table1[[#This Row],[High Tol]]-Table1[[#This Row],[Low Tol]]</f>
        <v>0</v>
      </c>
      <c r="R266" s="1">
        <f>2*Table1[[#This Row],[Std Error]]</f>
        <v>0</v>
      </c>
      <c r="S266" s="1" t="str">
        <f>IF(Table1[[#This Row],[High Tol]]="","N/A",IFERROR(ABS(Table1[[#This Row],[Tol Span]]/Table1[[#This Row],[Error Span]]),"N/A"))</f>
        <v>N/A</v>
      </c>
      <c r="T266" s="1" t="str">
        <f>IF(OR(Table1[[#This Row],[Low Tol]]="",Table1[[#This Row],[High Tol]]=""),"Needs Analysis",IF(Table1[[#This Row],[Ratio]]&gt;=4,"Not Significant",IF(Table1[[#This Row],[Ratio]]&gt;=2,"Semi-Significant","Significant")))</f>
        <v>Needs Analysis</v>
      </c>
      <c r="W266" s="1">
        <f>IF(Table1[[#This Row],[Cal Type]]&lt;&gt;"ACCREDITED 17025 WITH UNCERTAINTIES",0,"")</f>
        <v>0</v>
      </c>
      <c r="X266" s="1" t="str">
        <f>IF(Table1[[#This Row],[DUT Read]]="","N/A",Table1[[#This Row],[Std Error]]+Table1[[#This Row],[DUT Read]]+Table1[[#This Row],[DUT Ucty]])</f>
        <v>N/A</v>
      </c>
      <c r="Y266" s="1" t="str">
        <f>IF(Table1[[#This Row],[Std Read]]="","N/A",Table1[[#This Row],[Std Read]]+Table1[[#This Row],[Std Ucty]])</f>
        <v>N/A</v>
      </c>
      <c r="Z2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 s="1" t="str">
        <f>IF(Table1[[#This Row],[Spec Type]]="","N/A",Table1[[#This Row],[Spec Type]])</f>
        <v>±</v>
      </c>
      <c r="AC266" s="1" t="str">
        <f>IF(Table1[[#This Row],[Spec Type2]]="N/A","N/A",IF(AND(Table1[[#This Row],[DUT Adj Read]]&gt;=Table1[[#This Row],[Low Tol]],Table1[[#This Row],[DUT Adj Read]]&lt;=Table1[[#This Row],[High Tol]]),"Pass","Fail"))</f>
        <v>Fail</v>
      </c>
      <c r="AD266" s="1" t="str">
        <f>IF(AND(Table1[[#This Row],[Spec Type2]]="N/A",Table1[[#This Row],[DUT Adj Read]]="N/A",Table1[[#This Row],[Std Adj Read]]="N/A"),"N/A",IF(Table1[[#This Row],[DUT Adj Read]]="N/A",IF(Table1[[#This Row],[Std Adj Read]]&gt;Table1[[#This Row],[Low Tol]],"Pass","Fail"),IF(Table1[[#This Row],[DUT Adj Read]]&gt;Table1[[#This Row],[Low Tol]],"Pass","Fail")))</f>
        <v>Pass</v>
      </c>
      <c r="AE266" s="1" t="str">
        <f>IF(AND(Table1[[#This Row],[Spec Type2]]="N/A",Table1[[#This Row],[DUT Adj Read]]="N/A",Table1[[#This Row],[Std Adj Read]]="N/A"),"N/A",IF(Table1[[#This Row],[DUT Adj Read]]="N/A",IF(Table1[[#This Row],[Std Adj Read]]&lt;Table1[[#This Row],[High Tol]],"Pass","Fail"),IF(Table1[[#This Row],[DUT Adj Read]]&lt;Table1[[#This Row],[High Tol]],"Pass","Fail")))</f>
        <v>Fail</v>
      </c>
      <c r="AF266" s="1" t="str">
        <f>IF(AND(Table1[[#This Row],[Spec Type2]]="N/A",Table1[[#This Row],[DUT Adj Read]]="N/A",Table1[[#This Row],[Std Adj Read]]="N/A"),"N/A",IF(Table1[[#This Row],[DUT Adj Read]]="N/A",IF(Table1[[#This Row],[Std Adj Read]]&gt;=Table1[[#This Row],[Low Tol]],"Pass","Fail"),IF(Table1[[#This Row],[DUT Adj Read]]&gt;=Table1[[#This Row],[Low Tol]],"Pass","Fail")))</f>
        <v>Pass</v>
      </c>
      <c r="AG266" s="1" t="str">
        <f>IF(AND(Table1[[#This Row],[Spec Type2]]="N/A",Table1[[#This Row],[DUT Adj Read]]="N/A",Table1[[#This Row],[Std Adj Read]]="N/A"),"N/A",IF(Table1[[#This Row],[DUT Adj Read]]="N/A",IF(Table1[[#This Row],[Std Adj Read]]&lt;=Table1[[#This Row],[High Tol]],"Pass","Fail"),IF(Table1[[#This Row],[DUT Adj Read]]&lt;=Table1[[#This Row],[High Tol]],"Pass","Fail")))</f>
        <v>Fail</v>
      </c>
      <c r="AH2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 s="1" t="b">
        <v>0</v>
      </c>
      <c r="AN266" s="1" t="b">
        <v>0</v>
      </c>
      <c r="AO266" s="1" t="b">
        <v>0</v>
      </c>
    </row>
    <row r="267" spans="1:41" x14ac:dyDescent="0.25">
      <c r="A267" s="10"/>
      <c r="B267" s="10"/>
      <c r="C267" s="10"/>
      <c r="D267" s="10"/>
      <c r="E267" s="10"/>
      <c r="F267" s="10"/>
      <c r="G267" s="10"/>
      <c r="H267" s="10"/>
      <c r="I267" s="1" t="str">
        <f t="shared" ref="I267:I330" si="12">IF($I$10="","",$I$10)</f>
        <v/>
      </c>
      <c r="J267" s="1" t="s">
        <v>35</v>
      </c>
      <c r="K267" s="1" t="str">
        <f t="shared" ref="K267:K330" si="13">IF($K$10="","",$K$10)</f>
        <v/>
      </c>
      <c r="L267" s="1" t="str">
        <f t="shared" ref="L267:L330" si="14">IF($L$10="","",$L$10)</f>
        <v/>
      </c>
      <c r="M267" s="1">
        <f>IF(OR(Table1[[#This Row],[Std Nom]]="",Table1[[#This Row],[Std Read]]=""),0,Table1[[#This Row],[Std Nom]]-Table1[[#This Row],[Std Read]])</f>
        <v>0</v>
      </c>
      <c r="N267" s="1">
        <f>IF(Calculations!$F$5="ACCREDITED 17025 WITH UNCERTAINTIES",$N$10,0)</f>
        <v>0</v>
      </c>
      <c r="Q267" s="1">
        <f>Table1[[#This Row],[High Tol]]-Table1[[#This Row],[Low Tol]]</f>
        <v>0</v>
      </c>
      <c r="R267" s="1">
        <f>2*Table1[[#This Row],[Std Error]]</f>
        <v>0</v>
      </c>
      <c r="S267" s="1" t="str">
        <f>IF(Table1[[#This Row],[High Tol]]="","N/A",IFERROR(ABS(Table1[[#This Row],[Tol Span]]/Table1[[#This Row],[Error Span]]),"N/A"))</f>
        <v>N/A</v>
      </c>
      <c r="T267" s="1" t="str">
        <f>IF(OR(Table1[[#This Row],[Low Tol]]="",Table1[[#This Row],[High Tol]]=""),"Needs Analysis",IF(Table1[[#This Row],[Ratio]]&gt;=4,"Not Significant",IF(Table1[[#This Row],[Ratio]]&gt;=2,"Semi-Significant","Significant")))</f>
        <v>Needs Analysis</v>
      </c>
      <c r="W267" s="1">
        <f>IF(Table1[[#This Row],[Cal Type]]&lt;&gt;"ACCREDITED 17025 WITH UNCERTAINTIES",0,"")</f>
        <v>0</v>
      </c>
      <c r="X267" s="1" t="str">
        <f>IF(Table1[[#This Row],[DUT Read]]="","N/A",Table1[[#This Row],[Std Error]]+Table1[[#This Row],[DUT Read]]+Table1[[#This Row],[DUT Ucty]])</f>
        <v>N/A</v>
      </c>
      <c r="Y267" s="1" t="str">
        <f>IF(Table1[[#This Row],[Std Read]]="","N/A",Table1[[#This Row],[Std Read]]+Table1[[#This Row],[Std Ucty]])</f>
        <v>N/A</v>
      </c>
      <c r="Z2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 s="1" t="str">
        <f>IF(Table1[[#This Row],[Spec Type]]="","N/A",Table1[[#This Row],[Spec Type]])</f>
        <v>±</v>
      </c>
      <c r="AC267" s="1" t="str">
        <f>IF(Table1[[#This Row],[Spec Type2]]="N/A","N/A",IF(AND(Table1[[#This Row],[DUT Adj Read]]&gt;=Table1[[#This Row],[Low Tol]],Table1[[#This Row],[DUT Adj Read]]&lt;=Table1[[#This Row],[High Tol]]),"Pass","Fail"))</f>
        <v>Fail</v>
      </c>
      <c r="AD267" s="1" t="str">
        <f>IF(AND(Table1[[#This Row],[Spec Type2]]="N/A",Table1[[#This Row],[DUT Adj Read]]="N/A",Table1[[#This Row],[Std Adj Read]]="N/A"),"N/A",IF(Table1[[#This Row],[DUT Adj Read]]="N/A",IF(Table1[[#This Row],[Std Adj Read]]&gt;Table1[[#This Row],[Low Tol]],"Pass","Fail"),IF(Table1[[#This Row],[DUT Adj Read]]&gt;Table1[[#This Row],[Low Tol]],"Pass","Fail")))</f>
        <v>Pass</v>
      </c>
      <c r="AE267" s="1" t="str">
        <f>IF(AND(Table1[[#This Row],[Spec Type2]]="N/A",Table1[[#This Row],[DUT Adj Read]]="N/A",Table1[[#This Row],[Std Adj Read]]="N/A"),"N/A",IF(Table1[[#This Row],[DUT Adj Read]]="N/A",IF(Table1[[#This Row],[Std Adj Read]]&lt;Table1[[#This Row],[High Tol]],"Pass","Fail"),IF(Table1[[#This Row],[DUT Adj Read]]&lt;Table1[[#This Row],[High Tol]],"Pass","Fail")))</f>
        <v>Fail</v>
      </c>
      <c r="AF267" s="1" t="str">
        <f>IF(AND(Table1[[#This Row],[Spec Type2]]="N/A",Table1[[#This Row],[DUT Adj Read]]="N/A",Table1[[#This Row],[Std Adj Read]]="N/A"),"N/A",IF(Table1[[#This Row],[DUT Adj Read]]="N/A",IF(Table1[[#This Row],[Std Adj Read]]&gt;=Table1[[#This Row],[Low Tol]],"Pass","Fail"),IF(Table1[[#This Row],[DUT Adj Read]]&gt;=Table1[[#This Row],[Low Tol]],"Pass","Fail")))</f>
        <v>Pass</v>
      </c>
      <c r="AG267" s="1" t="str">
        <f>IF(AND(Table1[[#This Row],[Spec Type2]]="N/A",Table1[[#This Row],[DUT Adj Read]]="N/A",Table1[[#This Row],[Std Adj Read]]="N/A"),"N/A",IF(Table1[[#This Row],[DUT Adj Read]]="N/A",IF(Table1[[#This Row],[Std Adj Read]]&lt;=Table1[[#This Row],[High Tol]],"Pass","Fail"),IF(Table1[[#This Row],[DUT Adj Read]]&lt;=Table1[[#This Row],[High Tol]],"Pass","Fail")))</f>
        <v>Fail</v>
      </c>
      <c r="AH2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 s="1" t="b">
        <v>0</v>
      </c>
      <c r="AN267" s="1" t="b">
        <v>0</v>
      </c>
      <c r="AO267" s="1" t="b">
        <v>0</v>
      </c>
    </row>
    <row r="268" spans="1:41" x14ac:dyDescent="0.25">
      <c r="A268" s="10"/>
      <c r="B268" s="10"/>
      <c r="C268" s="10"/>
      <c r="D268" s="10"/>
      <c r="E268" s="10"/>
      <c r="F268" s="10"/>
      <c r="G268" s="10"/>
      <c r="H268" s="10"/>
      <c r="I268" s="1" t="str">
        <f t="shared" si="12"/>
        <v/>
      </c>
      <c r="J268" s="1" t="s">
        <v>35</v>
      </c>
      <c r="K268" s="1" t="str">
        <f t="shared" si="13"/>
        <v/>
      </c>
      <c r="L268" s="1" t="str">
        <f t="shared" si="14"/>
        <v/>
      </c>
      <c r="M268" s="1">
        <f>IF(OR(Table1[[#This Row],[Std Nom]]="",Table1[[#This Row],[Std Read]]=""),0,Table1[[#This Row],[Std Nom]]-Table1[[#This Row],[Std Read]])</f>
        <v>0</v>
      </c>
      <c r="N268" s="1">
        <f>IF(Calculations!$F$5="ACCREDITED 17025 WITH UNCERTAINTIES",$N$10,0)</f>
        <v>0</v>
      </c>
      <c r="Q268" s="1">
        <f>Table1[[#This Row],[High Tol]]-Table1[[#This Row],[Low Tol]]</f>
        <v>0</v>
      </c>
      <c r="R268" s="1">
        <f>2*Table1[[#This Row],[Std Error]]</f>
        <v>0</v>
      </c>
      <c r="S268" s="1" t="str">
        <f>IF(Table1[[#This Row],[High Tol]]="","N/A",IFERROR(ABS(Table1[[#This Row],[Tol Span]]/Table1[[#This Row],[Error Span]]),"N/A"))</f>
        <v>N/A</v>
      </c>
      <c r="T268" s="1" t="str">
        <f>IF(OR(Table1[[#This Row],[Low Tol]]="",Table1[[#This Row],[High Tol]]=""),"Needs Analysis",IF(Table1[[#This Row],[Ratio]]&gt;=4,"Not Significant",IF(Table1[[#This Row],[Ratio]]&gt;=2,"Semi-Significant","Significant")))</f>
        <v>Needs Analysis</v>
      </c>
      <c r="W268" s="1">
        <f>IF(Table1[[#This Row],[Cal Type]]&lt;&gt;"ACCREDITED 17025 WITH UNCERTAINTIES",0,"")</f>
        <v>0</v>
      </c>
      <c r="X268" s="1" t="str">
        <f>IF(Table1[[#This Row],[DUT Read]]="","N/A",Table1[[#This Row],[Std Error]]+Table1[[#This Row],[DUT Read]]+Table1[[#This Row],[DUT Ucty]])</f>
        <v>N/A</v>
      </c>
      <c r="Y268" s="1" t="str">
        <f>IF(Table1[[#This Row],[Std Read]]="","N/A",Table1[[#This Row],[Std Read]]+Table1[[#This Row],[Std Ucty]])</f>
        <v>N/A</v>
      </c>
      <c r="Z2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 s="1" t="str">
        <f>IF(Table1[[#This Row],[Spec Type]]="","N/A",Table1[[#This Row],[Spec Type]])</f>
        <v>±</v>
      </c>
      <c r="AC268" s="1" t="str">
        <f>IF(Table1[[#This Row],[Spec Type2]]="N/A","N/A",IF(AND(Table1[[#This Row],[DUT Adj Read]]&gt;=Table1[[#This Row],[Low Tol]],Table1[[#This Row],[DUT Adj Read]]&lt;=Table1[[#This Row],[High Tol]]),"Pass","Fail"))</f>
        <v>Fail</v>
      </c>
      <c r="AD268" s="1" t="str">
        <f>IF(AND(Table1[[#This Row],[Spec Type2]]="N/A",Table1[[#This Row],[DUT Adj Read]]="N/A",Table1[[#This Row],[Std Adj Read]]="N/A"),"N/A",IF(Table1[[#This Row],[DUT Adj Read]]="N/A",IF(Table1[[#This Row],[Std Adj Read]]&gt;Table1[[#This Row],[Low Tol]],"Pass","Fail"),IF(Table1[[#This Row],[DUT Adj Read]]&gt;Table1[[#This Row],[Low Tol]],"Pass","Fail")))</f>
        <v>Pass</v>
      </c>
      <c r="AE268" s="1" t="str">
        <f>IF(AND(Table1[[#This Row],[Spec Type2]]="N/A",Table1[[#This Row],[DUT Adj Read]]="N/A",Table1[[#This Row],[Std Adj Read]]="N/A"),"N/A",IF(Table1[[#This Row],[DUT Adj Read]]="N/A",IF(Table1[[#This Row],[Std Adj Read]]&lt;Table1[[#This Row],[High Tol]],"Pass","Fail"),IF(Table1[[#This Row],[DUT Adj Read]]&lt;Table1[[#This Row],[High Tol]],"Pass","Fail")))</f>
        <v>Fail</v>
      </c>
      <c r="AF268" s="1" t="str">
        <f>IF(AND(Table1[[#This Row],[Spec Type2]]="N/A",Table1[[#This Row],[DUT Adj Read]]="N/A",Table1[[#This Row],[Std Adj Read]]="N/A"),"N/A",IF(Table1[[#This Row],[DUT Adj Read]]="N/A",IF(Table1[[#This Row],[Std Adj Read]]&gt;=Table1[[#This Row],[Low Tol]],"Pass","Fail"),IF(Table1[[#This Row],[DUT Adj Read]]&gt;=Table1[[#This Row],[Low Tol]],"Pass","Fail")))</f>
        <v>Pass</v>
      </c>
      <c r="AG268" s="1" t="str">
        <f>IF(AND(Table1[[#This Row],[Spec Type2]]="N/A",Table1[[#This Row],[DUT Adj Read]]="N/A",Table1[[#This Row],[Std Adj Read]]="N/A"),"N/A",IF(Table1[[#This Row],[DUT Adj Read]]="N/A",IF(Table1[[#This Row],[Std Adj Read]]&lt;=Table1[[#This Row],[High Tol]],"Pass","Fail"),IF(Table1[[#This Row],[DUT Adj Read]]&lt;=Table1[[#This Row],[High Tol]],"Pass","Fail")))</f>
        <v>Fail</v>
      </c>
      <c r="AH2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 s="1" t="b">
        <v>0</v>
      </c>
      <c r="AN268" s="1" t="b">
        <v>0</v>
      </c>
      <c r="AO268" s="1" t="b">
        <v>0</v>
      </c>
    </row>
    <row r="269" spans="1:41" x14ac:dyDescent="0.25">
      <c r="A269" s="10"/>
      <c r="B269" s="10"/>
      <c r="C269" s="10"/>
      <c r="D269" s="10"/>
      <c r="E269" s="10"/>
      <c r="F269" s="10"/>
      <c r="G269" s="10"/>
      <c r="H269" s="10"/>
      <c r="I269" s="1" t="str">
        <f t="shared" si="12"/>
        <v/>
      </c>
      <c r="J269" s="1" t="s">
        <v>35</v>
      </c>
      <c r="K269" s="1" t="str">
        <f t="shared" si="13"/>
        <v/>
      </c>
      <c r="L269" s="1" t="str">
        <f t="shared" si="14"/>
        <v/>
      </c>
      <c r="M269" s="1">
        <f>IF(OR(Table1[[#This Row],[Std Nom]]="",Table1[[#This Row],[Std Read]]=""),0,Table1[[#This Row],[Std Nom]]-Table1[[#This Row],[Std Read]])</f>
        <v>0</v>
      </c>
      <c r="N269" s="1">
        <f>IF(Calculations!$F$5="ACCREDITED 17025 WITH UNCERTAINTIES",$N$10,0)</f>
        <v>0</v>
      </c>
      <c r="Q269" s="1">
        <f>Table1[[#This Row],[High Tol]]-Table1[[#This Row],[Low Tol]]</f>
        <v>0</v>
      </c>
      <c r="R269" s="1">
        <f>2*Table1[[#This Row],[Std Error]]</f>
        <v>0</v>
      </c>
      <c r="S269" s="1" t="str">
        <f>IF(Table1[[#This Row],[High Tol]]="","N/A",IFERROR(ABS(Table1[[#This Row],[Tol Span]]/Table1[[#This Row],[Error Span]]),"N/A"))</f>
        <v>N/A</v>
      </c>
      <c r="T269" s="1" t="str">
        <f>IF(OR(Table1[[#This Row],[Low Tol]]="",Table1[[#This Row],[High Tol]]=""),"Needs Analysis",IF(Table1[[#This Row],[Ratio]]&gt;=4,"Not Significant",IF(Table1[[#This Row],[Ratio]]&gt;=2,"Semi-Significant","Significant")))</f>
        <v>Needs Analysis</v>
      </c>
      <c r="W269" s="1">
        <f>IF(Table1[[#This Row],[Cal Type]]&lt;&gt;"ACCREDITED 17025 WITH UNCERTAINTIES",0,"")</f>
        <v>0</v>
      </c>
      <c r="X269" s="1" t="str">
        <f>IF(Table1[[#This Row],[DUT Read]]="","N/A",Table1[[#This Row],[Std Error]]+Table1[[#This Row],[DUT Read]]+Table1[[#This Row],[DUT Ucty]])</f>
        <v>N/A</v>
      </c>
      <c r="Y269" s="1" t="str">
        <f>IF(Table1[[#This Row],[Std Read]]="","N/A",Table1[[#This Row],[Std Read]]+Table1[[#This Row],[Std Ucty]])</f>
        <v>N/A</v>
      </c>
      <c r="Z2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 s="1" t="str">
        <f>IF(Table1[[#This Row],[Spec Type]]="","N/A",Table1[[#This Row],[Spec Type]])</f>
        <v>±</v>
      </c>
      <c r="AC269" s="1" t="str">
        <f>IF(Table1[[#This Row],[Spec Type2]]="N/A","N/A",IF(AND(Table1[[#This Row],[DUT Adj Read]]&gt;=Table1[[#This Row],[Low Tol]],Table1[[#This Row],[DUT Adj Read]]&lt;=Table1[[#This Row],[High Tol]]),"Pass","Fail"))</f>
        <v>Fail</v>
      </c>
      <c r="AD269" s="1" t="str">
        <f>IF(AND(Table1[[#This Row],[Spec Type2]]="N/A",Table1[[#This Row],[DUT Adj Read]]="N/A",Table1[[#This Row],[Std Adj Read]]="N/A"),"N/A",IF(Table1[[#This Row],[DUT Adj Read]]="N/A",IF(Table1[[#This Row],[Std Adj Read]]&gt;Table1[[#This Row],[Low Tol]],"Pass","Fail"),IF(Table1[[#This Row],[DUT Adj Read]]&gt;Table1[[#This Row],[Low Tol]],"Pass","Fail")))</f>
        <v>Pass</v>
      </c>
      <c r="AE269" s="1" t="str">
        <f>IF(AND(Table1[[#This Row],[Spec Type2]]="N/A",Table1[[#This Row],[DUT Adj Read]]="N/A",Table1[[#This Row],[Std Adj Read]]="N/A"),"N/A",IF(Table1[[#This Row],[DUT Adj Read]]="N/A",IF(Table1[[#This Row],[Std Adj Read]]&lt;Table1[[#This Row],[High Tol]],"Pass","Fail"),IF(Table1[[#This Row],[DUT Adj Read]]&lt;Table1[[#This Row],[High Tol]],"Pass","Fail")))</f>
        <v>Fail</v>
      </c>
      <c r="AF269" s="1" t="str">
        <f>IF(AND(Table1[[#This Row],[Spec Type2]]="N/A",Table1[[#This Row],[DUT Adj Read]]="N/A",Table1[[#This Row],[Std Adj Read]]="N/A"),"N/A",IF(Table1[[#This Row],[DUT Adj Read]]="N/A",IF(Table1[[#This Row],[Std Adj Read]]&gt;=Table1[[#This Row],[Low Tol]],"Pass","Fail"),IF(Table1[[#This Row],[DUT Adj Read]]&gt;=Table1[[#This Row],[Low Tol]],"Pass","Fail")))</f>
        <v>Pass</v>
      </c>
      <c r="AG269" s="1" t="str">
        <f>IF(AND(Table1[[#This Row],[Spec Type2]]="N/A",Table1[[#This Row],[DUT Adj Read]]="N/A",Table1[[#This Row],[Std Adj Read]]="N/A"),"N/A",IF(Table1[[#This Row],[DUT Adj Read]]="N/A",IF(Table1[[#This Row],[Std Adj Read]]&lt;=Table1[[#This Row],[High Tol]],"Pass","Fail"),IF(Table1[[#This Row],[DUT Adj Read]]&lt;=Table1[[#This Row],[High Tol]],"Pass","Fail")))</f>
        <v>Fail</v>
      </c>
      <c r="AH2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 s="1" t="b">
        <v>0</v>
      </c>
      <c r="AN269" s="1" t="b">
        <v>0</v>
      </c>
      <c r="AO269" s="1" t="b">
        <v>0</v>
      </c>
    </row>
    <row r="270" spans="1:41" x14ac:dyDescent="0.25">
      <c r="A270" s="10"/>
      <c r="B270" s="10"/>
      <c r="C270" s="10"/>
      <c r="D270" s="10"/>
      <c r="E270" s="10"/>
      <c r="F270" s="10"/>
      <c r="G270" s="10"/>
      <c r="H270" s="10"/>
      <c r="I270" s="1" t="str">
        <f t="shared" si="12"/>
        <v/>
      </c>
      <c r="J270" s="1" t="s">
        <v>35</v>
      </c>
      <c r="K270" s="1" t="str">
        <f t="shared" si="13"/>
        <v/>
      </c>
      <c r="L270" s="1" t="str">
        <f t="shared" si="14"/>
        <v/>
      </c>
      <c r="M270" s="1">
        <f>IF(OR(Table1[[#This Row],[Std Nom]]="",Table1[[#This Row],[Std Read]]=""),0,Table1[[#This Row],[Std Nom]]-Table1[[#This Row],[Std Read]])</f>
        <v>0</v>
      </c>
      <c r="N270" s="1">
        <f>IF(Calculations!$F$5="ACCREDITED 17025 WITH UNCERTAINTIES",$N$10,0)</f>
        <v>0</v>
      </c>
      <c r="Q270" s="1">
        <f>Table1[[#This Row],[High Tol]]-Table1[[#This Row],[Low Tol]]</f>
        <v>0</v>
      </c>
      <c r="R270" s="1">
        <f>2*Table1[[#This Row],[Std Error]]</f>
        <v>0</v>
      </c>
      <c r="S270" s="1" t="str">
        <f>IF(Table1[[#This Row],[High Tol]]="","N/A",IFERROR(ABS(Table1[[#This Row],[Tol Span]]/Table1[[#This Row],[Error Span]]),"N/A"))</f>
        <v>N/A</v>
      </c>
      <c r="T270" s="1" t="str">
        <f>IF(OR(Table1[[#This Row],[Low Tol]]="",Table1[[#This Row],[High Tol]]=""),"Needs Analysis",IF(Table1[[#This Row],[Ratio]]&gt;=4,"Not Significant",IF(Table1[[#This Row],[Ratio]]&gt;=2,"Semi-Significant","Significant")))</f>
        <v>Needs Analysis</v>
      </c>
      <c r="W270" s="1">
        <f>IF(Table1[[#This Row],[Cal Type]]&lt;&gt;"ACCREDITED 17025 WITH UNCERTAINTIES",0,"")</f>
        <v>0</v>
      </c>
      <c r="X270" s="1" t="str">
        <f>IF(Table1[[#This Row],[DUT Read]]="","N/A",Table1[[#This Row],[Std Error]]+Table1[[#This Row],[DUT Read]]+Table1[[#This Row],[DUT Ucty]])</f>
        <v>N/A</v>
      </c>
      <c r="Y270" s="1" t="str">
        <f>IF(Table1[[#This Row],[Std Read]]="","N/A",Table1[[#This Row],[Std Read]]+Table1[[#This Row],[Std Ucty]])</f>
        <v>N/A</v>
      </c>
      <c r="Z2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 s="1" t="str">
        <f>IF(Table1[[#This Row],[Spec Type]]="","N/A",Table1[[#This Row],[Spec Type]])</f>
        <v>±</v>
      </c>
      <c r="AC270" s="1" t="str">
        <f>IF(Table1[[#This Row],[Spec Type2]]="N/A","N/A",IF(AND(Table1[[#This Row],[DUT Adj Read]]&gt;=Table1[[#This Row],[Low Tol]],Table1[[#This Row],[DUT Adj Read]]&lt;=Table1[[#This Row],[High Tol]]),"Pass","Fail"))</f>
        <v>Fail</v>
      </c>
      <c r="AD270" s="1" t="str">
        <f>IF(AND(Table1[[#This Row],[Spec Type2]]="N/A",Table1[[#This Row],[DUT Adj Read]]="N/A",Table1[[#This Row],[Std Adj Read]]="N/A"),"N/A",IF(Table1[[#This Row],[DUT Adj Read]]="N/A",IF(Table1[[#This Row],[Std Adj Read]]&gt;Table1[[#This Row],[Low Tol]],"Pass","Fail"),IF(Table1[[#This Row],[DUT Adj Read]]&gt;Table1[[#This Row],[Low Tol]],"Pass","Fail")))</f>
        <v>Pass</v>
      </c>
      <c r="AE270" s="1" t="str">
        <f>IF(AND(Table1[[#This Row],[Spec Type2]]="N/A",Table1[[#This Row],[DUT Adj Read]]="N/A",Table1[[#This Row],[Std Adj Read]]="N/A"),"N/A",IF(Table1[[#This Row],[DUT Adj Read]]="N/A",IF(Table1[[#This Row],[Std Adj Read]]&lt;Table1[[#This Row],[High Tol]],"Pass","Fail"),IF(Table1[[#This Row],[DUT Adj Read]]&lt;Table1[[#This Row],[High Tol]],"Pass","Fail")))</f>
        <v>Fail</v>
      </c>
      <c r="AF270" s="1" t="str">
        <f>IF(AND(Table1[[#This Row],[Spec Type2]]="N/A",Table1[[#This Row],[DUT Adj Read]]="N/A",Table1[[#This Row],[Std Adj Read]]="N/A"),"N/A",IF(Table1[[#This Row],[DUT Adj Read]]="N/A",IF(Table1[[#This Row],[Std Adj Read]]&gt;=Table1[[#This Row],[Low Tol]],"Pass","Fail"),IF(Table1[[#This Row],[DUT Adj Read]]&gt;=Table1[[#This Row],[Low Tol]],"Pass","Fail")))</f>
        <v>Pass</v>
      </c>
      <c r="AG270" s="1" t="str">
        <f>IF(AND(Table1[[#This Row],[Spec Type2]]="N/A",Table1[[#This Row],[DUT Adj Read]]="N/A",Table1[[#This Row],[Std Adj Read]]="N/A"),"N/A",IF(Table1[[#This Row],[DUT Adj Read]]="N/A",IF(Table1[[#This Row],[Std Adj Read]]&lt;=Table1[[#This Row],[High Tol]],"Pass","Fail"),IF(Table1[[#This Row],[DUT Adj Read]]&lt;=Table1[[#This Row],[High Tol]],"Pass","Fail")))</f>
        <v>Fail</v>
      </c>
      <c r="AH2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 s="1" t="b">
        <v>0</v>
      </c>
      <c r="AN270" s="1" t="b">
        <v>0</v>
      </c>
      <c r="AO270" s="1" t="b">
        <v>0</v>
      </c>
    </row>
    <row r="271" spans="1:41" x14ac:dyDescent="0.25">
      <c r="A271" s="10"/>
      <c r="B271" s="10"/>
      <c r="C271" s="10"/>
      <c r="D271" s="10"/>
      <c r="E271" s="10"/>
      <c r="F271" s="10"/>
      <c r="G271" s="10"/>
      <c r="H271" s="10"/>
      <c r="I271" s="1" t="str">
        <f t="shared" si="12"/>
        <v/>
      </c>
      <c r="J271" s="1" t="s">
        <v>35</v>
      </c>
      <c r="K271" s="1" t="str">
        <f t="shared" si="13"/>
        <v/>
      </c>
      <c r="L271" s="1" t="str">
        <f t="shared" si="14"/>
        <v/>
      </c>
      <c r="M271" s="1">
        <f>IF(OR(Table1[[#This Row],[Std Nom]]="",Table1[[#This Row],[Std Read]]=""),0,Table1[[#This Row],[Std Nom]]-Table1[[#This Row],[Std Read]])</f>
        <v>0</v>
      </c>
      <c r="N271" s="1">
        <f>IF(Calculations!$F$5="ACCREDITED 17025 WITH UNCERTAINTIES",$N$10,0)</f>
        <v>0</v>
      </c>
      <c r="Q271" s="1">
        <f>Table1[[#This Row],[High Tol]]-Table1[[#This Row],[Low Tol]]</f>
        <v>0</v>
      </c>
      <c r="R271" s="1">
        <f>2*Table1[[#This Row],[Std Error]]</f>
        <v>0</v>
      </c>
      <c r="S271" s="1" t="str">
        <f>IF(Table1[[#This Row],[High Tol]]="","N/A",IFERROR(ABS(Table1[[#This Row],[Tol Span]]/Table1[[#This Row],[Error Span]]),"N/A"))</f>
        <v>N/A</v>
      </c>
      <c r="T271" s="1" t="str">
        <f>IF(OR(Table1[[#This Row],[Low Tol]]="",Table1[[#This Row],[High Tol]]=""),"Needs Analysis",IF(Table1[[#This Row],[Ratio]]&gt;=4,"Not Significant",IF(Table1[[#This Row],[Ratio]]&gt;=2,"Semi-Significant","Significant")))</f>
        <v>Needs Analysis</v>
      </c>
      <c r="W271" s="1">
        <f>IF(Table1[[#This Row],[Cal Type]]&lt;&gt;"ACCREDITED 17025 WITH UNCERTAINTIES",0,"")</f>
        <v>0</v>
      </c>
      <c r="X271" s="1" t="str">
        <f>IF(Table1[[#This Row],[DUT Read]]="","N/A",Table1[[#This Row],[Std Error]]+Table1[[#This Row],[DUT Read]]+Table1[[#This Row],[DUT Ucty]])</f>
        <v>N/A</v>
      </c>
      <c r="Y271" s="1" t="str">
        <f>IF(Table1[[#This Row],[Std Read]]="","N/A",Table1[[#This Row],[Std Read]]+Table1[[#This Row],[Std Ucty]])</f>
        <v>N/A</v>
      </c>
      <c r="Z2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 s="1" t="str">
        <f>IF(Table1[[#This Row],[Spec Type]]="","N/A",Table1[[#This Row],[Spec Type]])</f>
        <v>±</v>
      </c>
      <c r="AC271" s="1" t="str">
        <f>IF(Table1[[#This Row],[Spec Type2]]="N/A","N/A",IF(AND(Table1[[#This Row],[DUT Adj Read]]&gt;=Table1[[#This Row],[Low Tol]],Table1[[#This Row],[DUT Adj Read]]&lt;=Table1[[#This Row],[High Tol]]),"Pass","Fail"))</f>
        <v>Fail</v>
      </c>
      <c r="AD271" s="1" t="str">
        <f>IF(AND(Table1[[#This Row],[Spec Type2]]="N/A",Table1[[#This Row],[DUT Adj Read]]="N/A",Table1[[#This Row],[Std Adj Read]]="N/A"),"N/A",IF(Table1[[#This Row],[DUT Adj Read]]="N/A",IF(Table1[[#This Row],[Std Adj Read]]&gt;Table1[[#This Row],[Low Tol]],"Pass","Fail"),IF(Table1[[#This Row],[DUT Adj Read]]&gt;Table1[[#This Row],[Low Tol]],"Pass","Fail")))</f>
        <v>Pass</v>
      </c>
      <c r="AE271" s="1" t="str">
        <f>IF(AND(Table1[[#This Row],[Spec Type2]]="N/A",Table1[[#This Row],[DUT Adj Read]]="N/A",Table1[[#This Row],[Std Adj Read]]="N/A"),"N/A",IF(Table1[[#This Row],[DUT Adj Read]]="N/A",IF(Table1[[#This Row],[Std Adj Read]]&lt;Table1[[#This Row],[High Tol]],"Pass","Fail"),IF(Table1[[#This Row],[DUT Adj Read]]&lt;Table1[[#This Row],[High Tol]],"Pass","Fail")))</f>
        <v>Fail</v>
      </c>
      <c r="AF271" s="1" t="str">
        <f>IF(AND(Table1[[#This Row],[Spec Type2]]="N/A",Table1[[#This Row],[DUT Adj Read]]="N/A",Table1[[#This Row],[Std Adj Read]]="N/A"),"N/A",IF(Table1[[#This Row],[DUT Adj Read]]="N/A",IF(Table1[[#This Row],[Std Adj Read]]&gt;=Table1[[#This Row],[Low Tol]],"Pass","Fail"),IF(Table1[[#This Row],[DUT Adj Read]]&gt;=Table1[[#This Row],[Low Tol]],"Pass","Fail")))</f>
        <v>Pass</v>
      </c>
      <c r="AG271" s="1" t="str">
        <f>IF(AND(Table1[[#This Row],[Spec Type2]]="N/A",Table1[[#This Row],[DUT Adj Read]]="N/A",Table1[[#This Row],[Std Adj Read]]="N/A"),"N/A",IF(Table1[[#This Row],[DUT Adj Read]]="N/A",IF(Table1[[#This Row],[Std Adj Read]]&lt;=Table1[[#This Row],[High Tol]],"Pass","Fail"),IF(Table1[[#This Row],[DUT Adj Read]]&lt;=Table1[[#This Row],[High Tol]],"Pass","Fail")))</f>
        <v>Fail</v>
      </c>
      <c r="AH2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 s="1" t="b">
        <v>0</v>
      </c>
      <c r="AN271" s="1" t="b">
        <v>0</v>
      </c>
      <c r="AO271" s="1" t="b">
        <v>0</v>
      </c>
    </row>
    <row r="272" spans="1:41" x14ac:dyDescent="0.25">
      <c r="A272" s="10"/>
      <c r="B272" s="10"/>
      <c r="C272" s="10"/>
      <c r="D272" s="10"/>
      <c r="E272" s="10"/>
      <c r="F272" s="10"/>
      <c r="G272" s="10"/>
      <c r="H272" s="10"/>
      <c r="I272" s="1" t="str">
        <f t="shared" si="12"/>
        <v/>
      </c>
      <c r="J272" s="1" t="s">
        <v>35</v>
      </c>
      <c r="K272" s="1" t="str">
        <f t="shared" si="13"/>
        <v/>
      </c>
      <c r="L272" s="1" t="str">
        <f t="shared" si="14"/>
        <v/>
      </c>
      <c r="M272" s="1">
        <f>IF(OR(Table1[[#This Row],[Std Nom]]="",Table1[[#This Row],[Std Read]]=""),0,Table1[[#This Row],[Std Nom]]-Table1[[#This Row],[Std Read]])</f>
        <v>0</v>
      </c>
      <c r="N272" s="1">
        <f>IF(Calculations!$F$5="ACCREDITED 17025 WITH UNCERTAINTIES",$N$10,0)</f>
        <v>0</v>
      </c>
      <c r="Q272" s="1">
        <f>Table1[[#This Row],[High Tol]]-Table1[[#This Row],[Low Tol]]</f>
        <v>0</v>
      </c>
      <c r="R272" s="1">
        <f>2*Table1[[#This Row],[Std Error]]</f>
        <v>0</v>
      </c>
      <c r="S272" s="1" t="str">
        <f>IF(Table1[[#This Row],[High Tol]]="","N/A",IFERROR(ABS(Table1[[#This Row],[Tol Span]]/Table1[[#This Row],[Error Span]]),"N/A"))</f>
        <v>N/A</v>
      </c>
      <c r="T272" s="1" t="str">
        <f>IF(OR(Table1[[#This Row],[Low Tol]]="",Table1[[#This Row],[High Tol]]=""),"Needs Analysis",IF(Table1[[#This Row],[Ratio]]&gt;=4,"Not Significant",IF(Table1[[#This Row],[Ratio]]&gt;=2,"Semi-Significant","Significant")))</f>
        <v>Needs Analysis</v>
      </c>
      <c r="W272" s="1">
        <f>IF(Table1[[#This Row],[Cal Type]]&lt;&gt;"ACCREDITED 17025 WITH UNCERTAINTIES",0,"")</f>
        <v>0</v>
      </c>
      <c r="X272" s="1" t="str">
        <f>IF(Table1[[#This Row],[DUT Read]]="","N/A",Table1[[#This Row],[Std Error]]+Table1[[#This Row],[DUT Read]]+Table1[[#This Row],[DUT Ucty]])</f>
        <v>N/A</v>
      </c>
      <c r="Y272" s="1" t="str">
        <f>IF(Table1[[#This Row],[Std Read]]="","N/A",Table1[[#This Row],[Std Read]]+Table1[[#This Row],[Std Ucty]])</f>
        <v>N/A</v>
      </c>
      <c r="Z2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 s="1" t="str">
        <f>IF(Table1[[#This Row],[Spec Type]]="","N/A",Table1[[#This Row],[Spec Type]])</f>
        <v>±</v>
      </c>
      <c r="AC272" s="1" t="str">
        <f>IF(Table1[[#This Row],[Spec Type2]]="N/A","N/A",IF(AND(Table1[[#This Row],[DUT Adj Read]]&gt;=Table1[[#This Row],[Low Tol]],Table1[[#This Row],[DUT Adj Read]]&lt;=Table1[[#This Row],[High Tol]]),"Pass","Fail"))</f>
        <v>Fail</v>
      </c>
      <c r="AD272" s="1" t="str">
        <f>IF(AND(Table1[[#This Row],[Spec Type2]]="N/A",Table1[[#This Row],[DUT Adj Read]]="N/A",Table1[[#This Row],[Std Adj Read]]="N/A"),"N/A",IF(Table1[[#This Row],[DUT Adj Read]]="N/A",IF(Table1[[#This Row],[Std Adj Read]]&gt;Table1[[#This Row],[Low Tol]],"Pass","Fail"),IF(Table1[[#This Row],[DUT Adj Read]]&gt;Table1[[#This Row],[Low Tol]],"Pass","Fail")))</f>
        <v>Pass</v>
      </c>
      <c r="AE272" s="1" t="str">
        <f>IF(AND(Table1[[#This Row],[Spec Type2]]="N/A",Table1[[#This Row],[DUT Adj Read]]="N/A",Table1[[#This Row],[Std Adj Read]]="N/A"),"N/A",IF(Table1[[#This Row],[DUT Adj Read]]="N/A",IF(Table1[[#This Row],[Std Adj Read]]&lt;Table1[[#This Row],[High Tol]],"Pass","Fail"),IF(Table1[[#This Row],[DUT Adj Read]]&lt;Table1[[#This Row],[High Tol]],"Pass","Fail")))</f>
        <v>Fail</v>
      </c>
      <c r="AF272" s="1" t="str">
        <f>IF(AND(Table1[[#This Row],[Spec Type2]]="N/A",Table1[[#This Row],[DUT Adj Read]]="N/A",Table1[[#This Row],[Std Adj Read]]="N/A"),"N/A",IF(Table1[[#This Row],[DUT Adj Read]]="N/A",IF(Table1[[#This Row],[Std Adj Read]]&gt;=Table1[[#This Row],[Low Tol]],"Pass","Fail"),IF(Table1[[#This Row],[DUT Adj Read]]&gt;=Table1[[#This Row],[Low Tol]],"Pass","Fail")))</f>
        <v>Pass</v>
      </c>
      <c r="AG272" s="1" t="str">
        <f>IF(AND(Table1[[#This Row],[Spec Type2]]="N/A",Table1[[#This Row],[DUT Adj Read]]="N/A",Table1[[#This Row],[Std Adj Read]]="N/A"),"N/A",IF(Table1[[#This Row],[DUT Adj Read]]="N/A",IF(Table1[[#This Row],[Std Adj Read]]&lt;=Table1[[#This Row],[High Tol]],"Pass","Fail"),IF(Table1[[#This Row],[DUT Adj Read]]&lt;=Table1[[#This Row],[High Tol]],"Pass","Fail")))</f>
        <v>Fail</v>
      </c>
      <c r="AH2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 s="1" t="b">
        <v>0</v>
      </c>
      <c r="AN272" s="1" t="b">
        <v>0</v>
      </c>
      <c r="AO272" s="1" t="b">
        <v>0</v>
      </c>
    </row>
    <row r="273" spans="1:41" x14ac:dyDescent="0.25">
      <c r="A273" s="10"/>
      <c r="B273" s="10"/>
      <c r="C273" s="10"/>
      <c r="D273" s="10"/>
      <c r="E273" s="10"/>
      <c r="F273" s="10"/>
      <c r="G273" s="10"/>
      <c r="H273" s="10"/>
      <c r="I273" s="1" t="str">
        <f t="shared" si="12"/>
        <v/>
      </c>
      <c r="J273" s="1" t="s">
        <v>35</v>
      </c>
      <c r="K273" s="1" t="str">
        <f t="shared" si="13"/>
        <v/>
      </c>
      <c r="L273" s="1" t="str">
        <f t="shared" si="14"/>
        <v/>
      </c>
      <c r="M273" s="1">
        <f>IF(OR(Table1[[#This Row],[Std Nom]]="",Table1[[#This Row],[Std Read]]=""),0,Table1[[#This Row],[Std Nom]]-Table1[[#This Row],[Std Read]])</f>
        <v>0</v>
      </c>
      <c r="N273" s="1">
        <f>IF(Calculations!$F$5="ACCREDITED 17025 WITH UNCERTAINTIES",$N$10,0)</f>
        <v>0</v>
      </c>
      <c r="Q273" s="1">
        <f>Table1[[#This Row],[High Tol]]-Table1[[#This Row],[Low Tol]]</f>
        <v>0</v>
      </c>
      <c r="R273" s="1">
        <f>2*Table1[[#This Row],[Std Error]]</f>
        <v>0</v>
      </c>
      <c r="S273" s="1" t="str">
        <f>IF(Table1[[#This Row],[High Tol]]="","N/A",IFERROR(ABS(Table1[[#This Row],[Tol Span]]/Table1[[#This Row],[Error Span]]),"N/A"))</f>
        <v>N/A</v>
      </c>
      <c r="T273" s="1" t="str">
        <f>IF(OR(Table1[[#This Row],[Low Tol]]="",Table1[[#This Row],[High Tol]]=""),"Needs Analysis",IF(Table1[[#This Row],[Ratio]]&gt;=4,"Not Significant",IF(Table1[[#This Row],[Ratio]]&gt;=2,"Semi-Significant","Significant")))</f>
        <v>Needs Analysis</v>
      </c>
      <c r="W273" s="1">
        <f>IF(Table1[[#This Row],[Cal Type]]&lt;&gt;"ACCREDITED 17025 WITH UNCERTAINTIES",0,"")</f>
        <v>0</v>
      </c>
      <c r="X273" s="1" t="str">
        <f>IF(Table1[[#This Row],[DUT Read]]="","N/A",Table1[[#This Row],[Std Error]]+Table1[[#This Row],[DUT Read]]+Table1[[#This Row],[DUT Ucty]])</f>
        <v>N/A</v>
      </c>
      <c r="Y273" s="1" t="str">
        <f>IF(Table1[[#This Row],[Std Read]]="","N/A",Table1[[#This Row],[Std Read]]+Table1[[#This Row],[Std Ucty]])</f>
        <v>N/A</v>
      </c>
      <c r="Z2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 s="1" t="str">
        <f>IF(Table1[[#This Row],[Spec Type]]="","N/A",Table1[[#This Row],[Spec Type]])</f>
        <v>±</v>
      </c>
      <c r="AC273" s="1" t="str">
        <f>IF(Table1[[#This Row],[Spec Type2]]="N/A","N/A",IF(AND(Table1[[#This Row],[DUT Adj Read]]&gt;=Table1[[#This Row],[Low Tol]],Table1[[#This Row],[DUT Adj Read]]&lt;=Table1[[#This Row],[High Tol]]),"Pass","Fail"))</f>
        <v>Fail</v>
      </c>
      <c r="AD273" s="1" t="str">
        <f>IF(AND(Table1[[#This Row],[Spec Type2]]="N/A",Table1[[#This Row],[DUT Adj Read]]="N/A",Table1[[#This Row],[Std Adj Read]]="N/A"),"N/A",IF(Table1[[#This Row],[DUT Adj Read]]="N/A",IF(Table1[[#This Row],[Std Adj Read]]&gt;Table1[[#This Row],[Low Tol]],"Pass","Fail"),IF(Table1[[#This Row],[DUT Adj Read]]&gt;Table1[[#This Row],[Low Tol]],"Pass","Fail")))</f>
        <v>Pass</v>
      </c>
      <c r="AE273" s="1" t="str">
        <f>IF(AND(Table1[[#This Row],[Spec Type2]]="N/A",Table1[[#This Row],[DUT Adj Read]]="N/A",Table1[[#This Row],[Std Adj Read]]="N/A"),"N/A",IF(Table1[[#This Row],[DUT Adj Read]]="N/A",IF(Table1[[#This Row],[Std Adj Read]]&lt;Table1[[#This Row],[High Tol]],"Pass","Fail"),IF(Table1[[#This Row],[DUT Adj Read]]&lt;Table1[[#This Row],[High Tol]],"Pass","Fail")))</f>
        <v>Fail</v>
      </c>
      <c r="AF273" s="1" t="str">
        <f>IF(AND(Table1[[#This Row],[Spec Type2]]="N/A",Table1[[#This Row],[DUT Adj Read]]="N/A",Table1[[#This Row],[Std Adj Read]]="N/A"),"N/A",IF(Table1[[#This Row],[DUT Adj Read]]="N/A",IF(Table1[[#This Row],[Std Adj Read]]&gt;=Table1[[#This Row],[Low Tol]],"Pass","Fail"),IF(Table1[[#This Row],[DUT Adj Read]]&gt;=Table1[[#This Row],[Low Tol]],"Pass","Fail")))</f>
        <v>Pass</v>
      </c>
      <c r="AG273" s="1" t="str">
        <f>IF(AND(Table1[[#This Row],[Spec Type2]]="N/A",Table1[[#This Row],[DUT Adj Read]]="N/A",Table1[[#This Row],[Std Adj Read]]="N/A"),"N/A",IF(Table1[[#This Row],[DUT Adj Read]]="N/A",IF(Table1[[#This Row],[Std Adj Read]]&lt;=Table1[[#This Row],[High Tol]],"Pass","Fail"),IF(Table1[[#This Row],[DUT Adj Read]]&lt;=Table1[[#This Row],[High Tol]],"Pass","Fail")))</f>
        <v>Fail</v>
      </c>
      <c r="AH2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 s="1" t="b">
        <v>0</v>
      </c>
      <c r="AN273" s="1" t="b">
        <v>0</v>
      </c>
      <c r="AO273" s="1" t="b">
        <v>0</v>
      </c>
    </row>
    <row r="274" spans="1:41" x14ac:dyDescent="0.25">
      <c r="A274" s="10"/>
      <c r="B274" s="10"/>
      <c r="C274" s="10"/>
      <c r="D274" s="10"/>
      <c r="E274" s="10"/>
      <c r="F274" s="10"/>
      <c r="G274" s="10"/>
      <c r="H274" s="10"/>
      <c r="I274" s="1" t="str">
        <f t="shared" si="12"/>
        <v/>
      </c>
      <c r="J274" s="1" t="s">
        <v>35</v>
      </c>
      <c r="K274" s="1" t="str">
        <f t="shared" si="13"/>
        <v/>
      </c>
      <c r="L274" s="1" t="str">
        <f t="shared" si="14"/>
        <v/>
      </c>
      <c r="M274" s="1">
        <f>IF(OR(Table1[[#This Row],[Std Nom]]="",Table1[[#This Row],[Std Read]]=""),0,Table1[[#This Row],[Std Nom]]-Table1[[#This Row],[Std Read]])</f>
        <v>0</v>
      </c>
      <c r="N274" s="1">
        <f>IF(Calculations!$F$5="ACCREDITED 17025 WITH UNCERTAINTIES",$N$10,0)</f>
        <v>0</v>
      </c>
      <c r="Q274" s="1">
        <f>Table1[[#This Row],[High Tol]]-Table1[[#This Row],[Low Tol]]</f>
        <v>0</v>
      </c>
      <c r="R274" s="1">
        <f>2*Table1[[#This Row],[Std Error]]</f>
        <v>0</v>
      </c>
      <c r="S274" s="1" t="str">
        <f>IF(Table1[[#This Row],[High Tol]]="","N/A",IFERROR(ABS(Table1[[#This Row],[Tol Span]]/Table1[[#This Row],[Error Span]]),"N/A"))</f>
        <v>N/A</v>
      </c>
      <c r="T274" s="1" t="str">
        <f>IF(OR(Table1[[#This Row],[Low Tol]]="",Table1[[#This Row],[High Tol]]=""),"Needs Analysis",IF(Table1[[#This Row],[Ratio]]&gt;=4,"Not Significant",IF(Table1[[#This Row],[Ratio]]&gt;=2,"Semi-Significant","Significant")))</f>
        <v>Needs Analysis</v>
      </c>
      <c r="W274" s="1">
        <f>IF(Table1[[#This Row],[Cal Type]]&lt;&gt;"ACCREDITED 17025 WITH UNCERTAINTIES",0,"")</f>
        <v>0</v>
      </c>
      <c r="X274" s="1" t="str">
        <f>IF(Table1[[#This Row],[DUT Read]]="","N/A",Table1[[#This Row],[Std Error]]+Table1[[#This Row],[DUT Read]]+Table1[[#This Row],[DUT Ucty]])</f>
        <v>N/A</v>
      </c>
      <c r="Y274" s="1" t="str">
        <f>IF(Table1[[#This Row],[Std Read]]="","N/A",Table1[[#This Row],[Std Read]]+Table1[[#This Row],[Std Ucty]])</f>
        <v>N/A</v>
      </c>
      <c r="Z2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 s="1" t="str">
        <f>IF(Table1[[#This Row],[Spec Type]]="","N/A",Table1[[#This Row],[Spec Type]])</f>
        <v>±</v>
      </c>
      <c r="AC274" s="1" t="str">
        <f>IF(Table1[[#This Row],[Spec Type2]]="N/A","N/A",IF(AND(Table1[[#This Row],[DUT Adj Read]]&gt;=Table1[[#This Row],[Low Tol]],Table1[[#This Row],[DUT Adj Read]]&lt;=Table1[[#This Row],[High Tol]]),"Pass","Fail"))</f>
        <v>Fail</v>
      </c>
      <c r="AD274" s="1" t="str">
        <f>IF(AND(Table1[[#This Row],[Spec Type2]]="N/A",Table1[[#This Row],[DUT Adj Read]]="N/A",Table1[[#This Row],[Std Adj Read]]="N/A"),"N/A",IF(Table1[[#This Row],[DUT Adj Read]]="N/A",IF(Table1[[#This Row],[Std Adj Read]]&gt;Table1[[#This Row],[Low Tol]],"Pass","Fail"),IF(Table1[[#This Row],[DUT Adj Read]]&gt;Table1[[#This Row],[Low Tol]],"Pass","Fail")))</f>
        <v>Pass</v>
      </c>
      <c r="AE274" s="1" t="str">
        <f>IF(AND(Table1[[#This Row],[Spec Type2]]="N/A",Table1[[#This Row],[DUT Adj Read]]="N/A",Table1[[#This Row],[Std Adj Read]]="N/A"),"N/A",IF(Table1[[#This Row],[DUT Adj Read]]="N/A",IF(Table1[[#This Row],[Std Adj Read]]&lt;Table1[[#This Row],[High Tol]],"Pass","Fail"),IF(Table1[[#This Row],[DUT Adj Read]]&lt;Table1[[#This Row],[High Tol]],"Pass","Fail")))</f>
        <v>Fail</v>
      </c>
      <c r="AF274" s="1" t="str">
        <f>IF(AND(Table1[[#This Row],[Spec Type2]]="N/A",Table1[[#This Row],[DUT Adj Read]]="N/A",Table1[[#This Row],[Std Adj Read]]="N/A"),"N/A",IF(Table1[[#This Row],[DUT Adj Read]]="N/A",IF(Table1[[#This Row],[Std Adj Read]]&gt;=Table1[[#This Row],[Low Tol]],"Pass","Fail"),IF(Table1[[#This Row],[DUT Adj Read]]&gt;=Table1[[#This Row],[Low Tol]],"Pass","Fail")))</f>
        <v>Pass</v>
      </c>
      <c r="AG274" s="1" t="str">
        <f>IF(AND(Table1[[#This Row],[Spec Type2]]="N/A",Table1[[#This Row],[DUT Adj Read]]="N/A",Table1[[#This Row],[Std Adj Read]]="N/A"),"N/A",IF(Table1[[#This Row],[DUT Adj Read]]="N/A",IF(Table1[[#This Row],[Std Adj Read]]&lt;=Table1[[#This Row],[High Tol]],"Pass","Fail"),IF(Table1[[#This Row],[DUT Adj Read]]&lt;=Table1[[#This Row],[High Tol]],"Pass","Fail")))</f>
        <v>Fail</v>
      </c>
      <c r="AH2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 s="1" t="b">
        <v>0</v>
      </c>
      <c r="AN274" s="1" t="b">
        <v>0</v>
      </c>
      <c r="AO274" s="1" t="b">
        <v>0</v>
      </c>
    </row>
    <row r="275" spans="1:41" x14ac:dyDescent="0.25">
      <c r="A275" s="10"/>
      <c r="B275" s="10"/>
      <c r="C275" s="10"/>
      <c r="D275" s="10"/>
      <c r="E275" s="10"/>
      <c r="F275" s="10"/>
      <c r="G275" s="10"/>
      <c r="H275" s="10"/>
      <c r="I275" s="1" t="str">
        <f t="shared" si="12"/>
        <v/>
      </c>
      <c r="J275" s="1" t="s">
        <v>35</v>
      </c>
      <c r="K275" s="1" t="str">
        <f t="shared" si="13"/>
        <v/>
      </c>
      <c r="L275" s="1" t="str">
        <f t="shared" si="14"/>
        <v/>
      </c>
      <c r="M275" s="1">
        <f>IF(OR(Table1[[#This Row],[Std Nom]]="",Table1[[#This Row],[Std Read]]=""),0,Table1[[#This Row],[Std Nom]]-Table1[[#This Row],[Std Read]])</f>
        <v>0</v>
      </c>
      <c r="N275" s="1">
        <f>IF(Calculations!$F$5="ACCREDITED 17025 WITH UNCERTAINTIES",$N$10,0)</f>
        <v>0</v>
      </c>
      <c r="Q275" s="1">
        <f>Table1[[#This Row],[High Tol]]-Table1[[#This Row],[Low Tol]]</f>
        <v>0</v>
      </c>
      <c r="R275" s="1">
        <f>2*Table1[[#This Row],[Std Error]]</f>
        <v>0</v>
      </c>
      <c r="S275" s="1" t="str">
        <f>IF(Table1[[#This Row],[High Tol]]="","N/A",IFERROR(ABS(Table1[[#This Row],[Tol Span]]/Table1[[#This Row],[Error Span]]),"N/A"))</f>
        <v>N/A</v>
      </c>
      <c r="T275" s="1" t="str">
        <f>IF(OR(Table1[[#This Row],[Low Tol]]="",Table1[[#This Row],[High Tol]]=""),"Needs Analysis",IF(Table1[[#This Row],[Ratio]]&gt;=4,"Not Significant",IF(Table1[[#This Row],[Ratio]]&gt;=2,"Semi-Significant","Significant")))</f>
        <v>Needs Analysis</v>
      </c>
      <c r="W275" s="1">
        <f>IF(Table1[[#This Row],[Cal Type]]&lt;&gt;"ACCREDITED 17025 WITH UNCERTAINTIES",0,"")</f>
        <v>0</v>
      </c>
      <c r="X275" s="1" t="str">
        <f>IF(Table1[[#This Row],[DUT Read]]="","N/A",Table1[[#This Row],[Std Error]]+Table1[[#This Row],[DUT Read]]+Table1[[#This Row],[DUT Ucty]])</f>
        <v>N/A</v>
      </c>
      <c r="Y275" s="1" t="str">
        <f>IF(Table1[[#This Row],[Std Read]]="","N/A",Table1[[#This Row],[Std Read]]+Table1[[#This Row],[Std Ucty]])</f>
        <v>N/A</v>
      </c>
      <c r="Z2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 s="1" t="str">
        <f>IF(Table1[[#This Row],[Spec Type]]="","N/A",Table1[[#This Row],[Spec Type]])</f>
        <v>±</v>
      </c>
      <c r="AC275" s="1" t="str">
        <f>IF(Table1[[#This Row],[Spec Type2]]="N/A","N/A",IF(AND(Table1[[#This Row],[DUT Adj Read]]&gt;=Table1[[#This Row],[Low Tol]],Table1[[#This Row],[DUT Adj Read]]&lt;=Table1[[#This Row],[High Tol]]),"Pass","Fail"))</f>
        <v>Fail</v>
      </c>
      <c r="AD275" s="1" t="str">
        <f>IF(AND(Table1[[#This Row],[Spec Type2]]="N/A",Table1[[#This Row],[DUT Adj Read]]="N/A",Table1[[#This Row],[Std Adj Read]]="N/A"),"N/A",IF(Table1[[#This Row],[DUT Adj Read]]="N/A",IF(Table1[[#This Row],[Std Adj Read]]&gt;Table1[[#This Row],[Low Tol]],"Pass","Fail"),IF(Table1[[#This Row],[DUT Adj Read]]&gt;Table1[[#This Row],[Low Tol]],"Pass","Fail")))</f>
        <v>Pass</v>
      </c>
      <c r="AE275" s="1" t="str">
        <f>IF(AND(Table1[[#This Row],[Spec Type2]]="N/A",Table1[[#This Row],[DUT Adj Read]]="N/A",Table1[[#This Row],[Std Adj Read]]="N/A"),"N/A",IF(Table1[[#This Row],[DUT Adj Read]]="N/A",IF(Table1[[#This Row],[Std Adj Read]]&lt;Table1[[#This Row],[High Tol]],"Pass","Fail"),IF(Table1[[#This Row],[DUT Adj Read]]&lt;Table1[[#This Row],[High Tol]],"Pass","Fail")))</f>
        <v>Fail</v>
      </c>
      <c r="AF275" s="1" t="str">
        <f>IF(AND(Table1[[#This Row],[Spec Type2]]="N/A",Table1[[#This Row],[DUT Adj Read]]="N/A",Table1[[#This Row],[Std Adj Read]]="N/A"),"N/A",IF(Table1[[#This Row],[DUT Adj Read]]="N/A",IF(Table1[[#This Row],[Std Adj Read]]&gt;=Table1[[#This Row],[Low Tol]],"Pass","Fail"),IF(Table1[[#This Row],[DUT Adj Read]]&gt;=Table1[[#This Row],[Low Tol]],"Pass","Fail")))</f>
        <v>Pass</v>
      </c>
      <c r="AG275" s="1" t="str">
        <f>IF(AND(Table1[[#This Row],[Spec Type2]]="N/A",Table1[[#This Row],[DUT Adj Read]]="N/A",Table1[[#This Row],[Std Adj Read]]="N/A"),"N/A",IF(Table1[[#This Row],[DUT Adj Read]]="N/A",IF(Table1[[#This Row],[Std Adj Read]]&lt;=Table1[[#This Row],[High Tol]],"Pass","Fail"),IF(Table1[[#This Row],[DUT Adj Read]]&lt;=Table1[[#This Row],[High Tol]],"Pass","Fail")))</f>
        <v>Fail</v>
      </c>
      <c r="AH2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 s="1" t="b">
        <v>0</v>
      </c>
      <c r="AN275" s="1" t="b">
        <v>0</v>
      </c>
      <c r="AO275" s="1" t="b">
        <v>0</v>
      </c>
    </row>
    <row r="276" spans="1:41" x14ac:dyDescent="0.25">
      <c r="A276" s="10"/>
      <c r="B276" s="10"/>
      <c r="C276" s="10"/>
      <c r="D276" s="10"/>
      <c r="E276" s="10"/>
      <c r="F276" s="10"/>
      <c r="G276" s="10"/>
      <c r="H276" s="10"/>
      <c r="I276" s="1" t="str">
        <f t="shared" si="12"/>
        <v/>
      </c>
      <c r="J276" s="1" t="s">
        <v>35</v>
      </c>
      <c r="K276" s="1" t="str">
        <f t="shared" si="13"/>
        <v/>
      </c>
      <c r="L276" s="1" t="str">
        <f t="shared" si="14"/>
        <v/>
      </c>
      <c r="M276" s="1">
        <f>IF(OR(Table1[[#This Row],[Std Nom]]="",Table1[[#This Row],[Std Read]]=""),0,Table1[[#This Row],[Std Nom]]-Table1[[#This Row],[Std Read]])</f>
        <v>0</v>
      </c>
      <c r="N276" s="1">
        <f>IF(Calculations!$F$5="ACCREDITED 17025 WITH UNCERTAINTIES",$N$10,0)</f>
        <v>0</v>
      </c>
      <c r="Q276" s="1">
        <f>Table1[[#This Row],[High Tol]]-Table1[[#This Row],[Low Tol]]</f>
        <v>0</v>
      </c>
      <c r="R276" s="1">
        <f>2*Table1[[#This Row],[Std Error]]</f>
        <v>0</v>
      </c>
      <c r="S276" s="1" t="str">
        <f>IF(Table1[[#This Row],[High Tol]]="","N/A",IFERROR(ABS(Table1[[#This Row],[Tol Span]]/Table1[[#This Row],[Error Span]]),"N/A"))</f>
        <v>N/A</v>
      </c>
      <c r="T276" s="1" t="str">
        <f>IF(OR(Table1[[#This Row],[Low Tol]]="",Table1[[#This Row],[High Tol]]=""),"Needs Analysis",IF(Table1[[#This Row],[Ratio]]&gt;=4,"Not Significant",IF(Table1[[#This Row],[Ratio]]&gt;=2,"Semi-Significant","Significant")))</f>
        <v>Needs Analysis</v>
      </c>
      <c r="W276" s="1">
        <f>IF(Table1[[#This Row],[Cal Type]]&lt;&gt;"ACCREDITED 17025 WITH UNCERTAINTIES",0,"")</f>
        <v>0</v>
      </c>
      <c r="X276" s="1" t="str">
        <f>IF(Table1[[#This Row],[DUT Read]]="","N/A",Table1[[#This Row],[Std Error]]+Table1[[#This Row],[DUT Read]]+Table1[[#This Row],[DUT Ucty]])</f>
        <v>N/A</v>
      </c>
      <c r="Y276" s="1" t="str">
        <f>IF(Table1[[#This Row],[Std Read]]="","N/A",Table1[[#This Row],[Std Read]]+Table1[[#This Row],[Std Ucty]])</f>
        <v>N/A</v>
      </c>
      <c r="Z2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 s="1" t="str">
        <f>IF(Table1[[#This Row],[Spec Type]]="","N/A",Table1[[#This Row],[Spec Type]])</f>
        <v>±</v>
      </c>
      <c r="AC276" s="1" t="str">
        <f>IF(Table1[[#This Row],[Spec Type2]]="N/A","N/A",IF(AND(Table1[[#This Row],[DUT Adj Read]]&gt;=Table1[[#This Row],[Low Tol]],Table1[[#This Row],[DUT Adj Read]]&lt;=Table1[[#This Row],[High Tol]]),"Pass","Fail"))</f>
        <v>Fail</v>
      </c>
      <c r="AD276" s="1" t="str">
        <f>IF(AND(Table1[[#This Row],[Spec Type2]]="N/A",Table1[[#This Row],[DUT Adj Read]]="N/A",Table1[[#This Row],[Std Adj Read]]="N/A"),"N/A",IF(Table1[[#This Row],[DUT Adj Read]]="N/A",IF(Table1[[#This Row],[Std Adj Read]]&gt;Table1[[#This Row],[Low Tol]],"Pass","Fail"),IF(Table1[[#This Row],[DUT Adj Read]]&gt;Table1[[#This Row],[Low Tol]],"Pass","Fail")))</f>
        <v>Pass</v>
      </c>
      <c r="AE276" s="1" t="str">
        <f>IF(AND(Table1[[#This Row],[Spec Type2]]="N/A",Table1[[#This Row],[DUT Adj Read]]="N/A",Table1[[#This Row],[Std Adj Read]]="N/A"),"N/A",IF(Table1[[#This Row],[DUT Adj Read]]="N/A",IF(Table1[[#This Row],[Std Adj Read]]&lt;Table1[[#This Row],[High Tol]],"Pass","Fail"),IF(Table1[[#This Row],[DUT Adj Read]]&lt;Table1[[#This Row],[High Tol]],"Pass","Fail")))</f>
        <v>Fail</v>
      </c>
      <c r="AF276" s="1" t="str">
        <f>IF(AND(Table1[[#This Row],[Spec Type2]]="N/A",Table1[[#This Row],[DUT Adj Read]]="N/A",Table1[[#This Row],[Std Adj Read]]="N/A"),"N/A",IF(Table1[[#This Row],[DUT Adj Read]]="N/A",IF(Table1[[#This Row],[Std Adj Read]]&gt;=Table1[[#This Row],[Low Tol]],"Pass","Fail"),IF(Table1[[#This Row],[DUT Adj Read]]&gt;=Table1[[#This Row],[Low Tol]],"Pass","Fail")))</f>
        <v>Pass</v>
      </c>
      <c r="AG276" s="1" t="str">
        <f>IF(AND(Table1[[#This Row],[Spec Type2]]="N/A",Table1[[#This Row],[DUT Adj Read]]="N/A",Table1[[#This Row],[Std Adj Read]]="N/A"),"N/A",IF(Table1[[#This Row],[DUT Adj Read]]="N/A",IF(Table1[[#This Row],[Std Adj Read]]&lt;=Table1[[#This Row],[High Tol]],"Pass","Fail"),IF(Table1[[#This Row],[DUT Adj Read]]&lt;=Table1[[#This Row],[High Tol]],"Pass","Fail")))</f>
        <v>Fail</v>
      </c>
      <c r="AH2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 s="1" t="b">
        <v>0</v>
      </c>
      <c r="AN276" s="1" t="b">
        <v>0</v>
      </c>
      <c r="AO276" s="1" t="b">
        <v>0</v>
      </c>
    </row>
    <row r="277" spans="1:41" x14ac:dyDescent="0.25">
      <c r="A277" s="10"/>
      <c r="B277" s="10"/>
      <c r="C277" s="10"/>
      <c r="D277" s="10"/>
      <c r="E277" s="10"/>
      <c r="F277" s="10"/>
      <c r="G277" s="10"/>
      <c r="H277" s="10"/>
      <c r="I277" s="1" t="str">
        <f t="shared" si="12"/>
        <v/>
      </c>
      <c r="J277" s="1" t="s">
        <v>35</v>
      </c>
      <c r="K277" s="1" t="str">
        <f t="shared" si="13"/>
        <v/>
      </c>
      <c r="L277" s="1" t="str">
        <f t="shared" si="14"/>
        <v/>
      </c>
      <c r="M277" s="1">
        <f>IF(OR(Table1[[#This Row],[Std Nom]]="",Table1[[#This Row],[Std Read]]=""),0,Table1[[#This Row],[Std Nom]]-Table1[[#This Row],[Std Read]])</f>
        <v>0</v>
      </c>
      <c r="N277" s="1">
        <f>IF(Calculations!$F$5="ACCREDITED 17025 WITH UNCERTAINTIES",$N$10,0)</f>
        <v>0</v>
      </c>
      <c r="Q277" s="1">
        <f>Table1[[#This Row],[High Tol]]-Table1[[#This Row],[Low Tol]]</f>
        <v>0</v>
      </c>
      <c r="R277" s="1">
        <f>2*Table1[[#This Row],[Std Error]]</f>
        <v>0</v>
      </c>
      <c r="S277" s="1" t="str">
        <f>IF(Table1[[#This Row],[High Tol]]="","N/A",IFERROR(ABS(Table1[[#This Row],[Tol Span]]/Table1[[#This Row],[Error Span]]),"N/A"))</f>
        <v>N/A</v>
      </c>
      <c r="T277" s="1" t="str">
        <f>IF(OR(Table1[[#This Row],[Low Tol]]="",Table1[[#This Row],[High Tol]]=""),"Needs Analysis",IF(Table1[[#This Row],[Ratio]]&gt;=4,"Not Significant",IF(Table1[[#This Row],[Ratio]]&gt;=2,"Semi-Significant","Significant")))</f>
        <v>Needs Analysis</v>
      </c>
      <c r="W277" s="1">
        <f>IF(Table1[[#This Row],[Cal Type]]&lt;&gt;"ACCREDITED 17025 WITH UNCERTAINTIES",0,"")</f>
        <v>0</v>
      </c>
      <c r="X277" s="1" t="str">
        <f>IF(Table1[[#This Row],[DUT Read]]="","N/A",Table1[[#This Row],[Std Error]]+Table1[[#This Row],[DUT Read]]+Table1[[#This Row],[DUT Ucty]])</f>
        <v>N/A</v>
      </c>
      <c r="Y277" s="1" t="str">
        <f>IF(Table1[[#This Row],[Std Read]]="","N/A",Table1[[#This Row],[Std Read]]+Table1[[#This Row],[Std Ucty]])</f>
        <v>N/A</v>
      </c>
      <c r="Z2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 s="1" t="str">
        <f>IF(Table1[[#This Row],[Spec Type]]="","N/A",Table1[[#This Row],[Spec Type]])</f>
        <v>±</v>
      </c>
      <c r="AC277" s="1" t="str">
        <f>IF(Table1[[#This Row],[Spec Type2]]="N/A","N/A",IF(AND(Table1[[#This Row],[DUT Adj Read]]&gt;=Table1[[#This Row],[Low Tol]],Table1[[#This Row],[DUT Adj Read]]&lt;=Table1[[#This Row],[High Tol]]),"Pass","Fail"))</f>
        <v>Fail</v>
      </c>
      <c r="AD277" s="1" t="str">
        <f>IF(AND(Table1[[#This Row],[Spec Type2]]="N/A",Table1[[#This Row],[DUT Adj Read]]="N/A",Table1[[#This Row],[Std Adj Read]]="N/A"),"N/A",IF(Table1[[#This Row],[DUT Adj Read]]="N/A",IF(Table1[[#This Row],[Std Adj Read]]&gt;Table1[[#This Row],[Low Tol]],"Pass","Fail"),IF(Table1[[#This Row],[DUT Adj Read]]&gt;Table1[[#This Row],[Low Tol]],"Pass","Fail")))</f>
        <v>Pass</v>
      </c>
      <c r="AE277" s="1" t="str">
        <f>IF(AND(Table1[[#This Row],[Spec Type2]]="N/A",Table1[[#This Row],[DUT Adj Read]]="N/A",Table1[[#This Row],[Std Adj Read]]="N/A"),"N/A",IF(Table1[[#This Row],[DUT Adj Read]]="N/A",IF(Table1[[#This Row],[Std Adj Read]]&lt;Table1[[#This Row],[High Tol]],"Pass","Fail"),IF(Table1[[#This Row],[DUT Adj Read]]&lt;Table1[[#This Row],[High Tol]],"Pass","Fail")))</f>
        <v>Fail</v>
      </c>
      <c r="AF277" s="1" t="str">
        <f>IF(AND(Table1[[#This Row],[Spec Type2]]="N/A",Table1[[#This Row],[DUT Adj Read]]="N/A",Table1[[#This Row],[Std Adj Read]]="N/A"),"N/A",IF(Table1[[#This Row],[DUT Adj Read]]="N/A",IF(Table1[[#This Row],[Std Adj Read]]&gt;=Table1[[#This Row],[Low Tol]],"Pass","Fail"),IF(Table1[[#This Row],[DUT Adj Read]]&gt;=Table1[[#This Row],[Low Tol]],"Pass","Fail")))</f>
        <v>Pass</v>
      </c>
      <c r="AG277" s="1" t="str">
        <f>IF(AND(Table1[[#This Row],[Spec Type2]]="N/A",Table1[[#This Row],[DUT Adj Read]]="N/A",Table1[[#This Row],[Std Adj Read]]="N/A"),"N/A",IF(Table1[[#This Row],[DUT Adj Read]]="N/A",IF(Table1[[#This Row],[Std Adj Read]]&lt;=Table1[[#This Row],[High Tol]],"Pass","Fail"),IF(Table1[[#This Row],[DUT Adj Read]]&lt;=Table1[[#This Row],[High Tol]],"Pass","Fail")))</f>
        <v>Fail</v>
      </c>
      <c r="AH2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 s="1" t="b">
        <v>0</v>
      </c>
      <c r="AN277" s="1" t="b">
        <v>0</v>
      </c>
      <c r="AO277" s="1" t="b">
        <v>0</v>
      </c>
    </row>
    <row r="278" spans="1:41" x14ac:dyDescent="0.25">
      <c r="A278" s="10"/>
      <c r="B278" s="10"/>
      <c r="C278" s="10"/>
      <c r="D278" s="10"/>
      <c r="E278" s="10"/>
      <c r="F278" s="10"/>
      <c r="G278" s="10"/>
      <c r="H278" s="10"/>
      <c r="I278" s="1" t="str">
        <f t="shared" si="12"/>
        <v/>
      </c>
      <c r="J278" s="1" t="s">
        <v>35</v>
      </c>
      <c r="K278" s="1" t="str">
        <f t="shared" si="13"/>
        <v/>
      </c>
      <c r="L278" s="1" t="str">
        <f t="shared" si="14"/>
        <v/>
      </c>
      <c r="M278" s="1">
        <f>IF(OR(Table1[[#This Row],[Std Nom]]="",Table1[[#This Row],[Std Read]]=""),0,Table1[[#This Row],[Std Nom]]-Table1[[#This Row],[Std Read]])</f>
        <v>0</v>
      </c>
      <c r="N278" s="1">
        <f>IF(Calculations!$F$5="ACCREDITED 17025 WITH UNCERTAINTIES",$N$10,0)</f>
        <v>0</v>
      </c>
      <c r="Q278" s="1">
        <f>Table1[[#This Row],[High Tol]]-Table1[[#This Row],[Low Tol]]</f>
        <v>0</v>
      </c>
      <c r="R278" s="1">
        <f>2*Table1[[#This Row],[Std Error]]</f>
        <v>0</v>
      </c>
      <c r="S278" s="1" t="str">
        <f>IF(Table1[[#This Row],[High Tol]]="","N/A",IFERROR(ABS(Table1[[#This Row],[Tol Span]]/Table1[[#This Row],[Error Span]]),"N/A"))</f>
        <v>N/A</v>
      </c>
      <c r="T278" s="1" t="str">
        <f>IF(OR(Table1[[#This Row],[Low Tol]]="",Table1[[#This Row],[High Tol]]=""),"Needs Analysis",IF(Table1[[#This Row],[Ratio]]&gt;=4,"Not Significant",IF(Table1[[#This Row],[Ratio]]&gt;=2,"Semi-Significant","Significant")))</f>
        <v>Needs Analysis</v>
      </c>
      <c r="W278" s="1">
        <f>IF(Table1[[#This Row],[Cal Type]]&lt;&gt;"ACCREDITED 17025 WITH UNCERTAINTIES",0,"")</f>
        <v>0</v>
      </c>
      <c r="X278" s="1" t="str">
        <f>IF(Table1[[#This Row],[DUT Read]]="","N/A",Table1[[#This Row],[Std Error]]+Table1[[#This Row],[DUT Read]]+Table1[[#This Row],[DUT Ucty]])</f>
        <v>N/A</v>
      </c>
      <c r="Y278" s="1" t="str">
        <f>IF(Table1[[#This Row],[Std Read]]="","N/A",Table1[[#This Row],[Std Read]]+Table1[[#This Row],[Std Ucty]])</f>
        <v>N/A</v>
      </c>
      <c r="Z2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 s="1" t="str">
        <f>IF(Table1[[#This Row],[Spec Type]]="","N/A",Table1[[#This Row],[Spec Type]])</f>
        <v>±</v>
      </c>
      <c r="AC278" s="1" t="str">
        <f>IF(Table1[[#This Row],[Spec Type2]]="N/A","N/A",IF(AND(Table1[[#This Row],[DUT Adj Read]]&gt;=Table1[[#This Row],[Low Tol]],Table1[[#This Row],[DUT Adj Read]]&lt;=Table1[[#This Row],[High Tol]]),"Pass","Fail"))</f>
        <v>Fail</v>
      </c>
      <c r="AD278" s="1" t="str">
        <f>IF(AND(Table1[[#This Row],[Spec Type2]]="N/A",Table1[[#This Row],[DUT Adj Read]]="N/A",Table1[[#This Row],[Std Adj Read]]="N/A"),"N/A",IF(Table1[[#This Row],[DUT Adj Read]]="N/A",IF(Table1[[#This Row],[Std Adj Read]]&gt;Table1[[#This Row],[Low Tol]],"Pass","Fail"),IF(Table1[[#This Row],[DUT Adj Read]]&gt;Table1[[#This Row],[Low Tol]],"Pass","Fail")))</f>
        <v>Pass</v>
      </c>
      <c r="AE278" s="1" t="str">
        <f>IF(AND(Table1[[#This Row],[Spec Type2]]="N/A",Table1[[#This Row],[DUT Adj Read]]="N/A",Table1[[#This Row],[Std Adj Read]]="N/A"),"N/A",IF(Table1[[#This Row],[DUT Adj Read]]="N/A",IF(Table1[[#This Row],[Std Adj Read]]&lt;Table1[[#This Row],[High Tol]],"Pass","Fail"),IF(Table1[[#This Row],[DUT Adj Read]]&lt;Table1[[#This Row],[High Tol]],"Pass","Fail")))</f>
        <v>Fail</v>
      </c>
      <c r="AF278" s="1" t="str">
        <f>IF(AND(Table1[[#This Row],[Spec Type2]]="N/A",Table1[[#This Row],[DUT Adj Read]]="N/A",Table1[[#This Row],[Std Adj Read]]="N/A"),"N/A",IF(Table1[[#This Row],[DUT Adj Read]]="N/A",IF(Table1[[#This Row],[Std Adj Read]]&gt;=Table1[[#This Row],[Low Tol]],"Pass","Fail"),IF(Table1[[#This Row],[DUT Adj Read]]&gt;=Table1[[#This Row],[Low Tol]],"Pass","Fail")))</f>
        <v>Pass</v>
      </c>
      <c r="AG278" s="1" t="str">
        <f>IF(AND(Table1[[#This Row],[Spec Type2]]="N/A",Table1[[#This Row],[DUT Adj Read]]="N/A",Table1[[#This Row],[Std Adj Read]]="N/A"),"N/A",IF(Table1[[#This Row],[DUT Adj Read]]="N/A",IF(Table1[[#This Row],[Std Adj Read]]&lt;=Table1[[#This Row],[High Tol]],"Pass","Fail"),IF(Table1[[#This Row],[DUT Adj Read]]&lt;=Table1[[#This Row],[High Tol]],"Pass","Fail")))</f>
        <v>Fail</v>
      </c>
      <c r="AH2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 s="1" t="b">
        <v>0</v>
      </c>
      <c r="AN278" s="1" t="b">
        <v>0</v>
      </c>
      <c r="AO278" s="1" t="b">
        <v>0</v>
      </c>
    </row>
    <row r="279" spans="1:41" x14ac:dyDescent="0.25">
      <c r="A279" s="10"/>
      <c r="B279" s="10"/>
      <c r="C279" s="10"/>
      <c r="D279" s="10"/>
      <c r="E279" s="10"/>
      <c r="F279" s="10"/>
      <c r="G279" s="10"/>
      <c r="H279" s="10"/>
      <c r="I279" s="1" t="str">
        <f t="shared" si="12"/>
        <v/>
      </c>
      <c r="J279" s="1" t="s">
        <v>35</v>
      </c>
      <c r="K279" s="1" t="str">
        <f t="shared" si="13"/>
        <v/>
      </c>
      <c r="L279" s="1" t="str">
        <f t="shared" si="14"/>
        <v/>
      </c>
      <c r="M279" s="1">
        <f>IF(OR(Table1[[#This Row],[Std Nom]]="",Table1[[#This Row],[Std Read]]=""),0,Table1[[#This Row],[Std Nom]]-Table1[[#This Row],[Std Read]])</f>
        <v>0</v>
      </c>
      <c r="N279" s="1">
        <f>IF(Calculations!$F$5="ACCREDITED 17025 WITH UNCERTAINTIES",$N$10,0)</f>
        <v>0</v>
      </c>
      <c r="Q279" s="1">
        <f>Table1[[#This Row],[High Tol]]-Table1[[#This Row],[Low Tol]]</f>
        <v>0</v>
      </c>
      <c r="R279" s="1">
        <f>2*Table1[[#This Row],[Std Error]]</f>
        <v>0</v>
      </c>
      <c r="S279" s="1" t="str">
        <f>IF(Table1[[#This Row],[High Tol]]="","N/A",IFERROR(ABS(Table1[[#This Row],[Tol Span]]/Table1[[#This Row],[Error Span]]),"N/A"))</f>
        <v>N/A</v>
      </c>
      <c r="T279" s="1" t="str">
        <f>IF(OR(Table1[[#This Row],[Low Tol]]="",Table1[[#This Row],[High Tol]]=""),"Needs Analysis",IF(Table1[[#This Row],[Ratio]]&gt;=4,"Not Significant",IF(Table1[[#This Row],[Ratio]]&gt;=2,"Semi-Significant","Significant")))</f>
        <v>Needs Analysis</v>
      </c>
      <c r="W279" s="1">
        <f>IF(Table1[[#This Row],[Cal Type]]&lt;&gt;"ACCREDITED 17025 WITH UNCERTAINTIES",0,"")</f>
        <v>0</v>
      </c>
      <c r="X279" s="1" t="str">
        <f>IF(Table1[[#This Row],[DUT Read]]="","N/A",Table1[[#This Row],[Std Error]]+Table1[[#This Row],[DUT Read]]+Table1[[#This Row],[DUT Ucty]])</f>
        <v>N/A</v>
      </c>
      <c r="Y279" s="1" t="str">
        <f>IF(Table1[[#This Row],[Std Read]]="","N/A",Table1[[#This Row],[Std Read]]+Table1[[#This Row],[Std Ucty]])</f>
        <v>N/A</v>
      </c>
      <c r="Z2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 s="1" t="str">
        <f>IF(Table1[[#This Row],[Spec Type]]="","N/A",Table1[[#This Row],[Spec Type]])</f>
        <v>±</v>
      </c>
      <c r="AC279" s="1" t="str">
        <f>IF(Table1[[#This Row],[Spec Type2]]="N/A","N/A",IF(AND(Table1[[#This Row],[DUT Adj Read]]&gt;=Table1[[#This Row],[Low Tol]],Table1[[#This Row],[DUT Adj Read]]&lt;=Table1[[#This Row],[High Tol]]),"Pass","Fail"))</f>
        <v>Fail</v>
      </c>
      <c r="AD279" s="1" t="str">
        <f>IF(AND(Table1[[#This Row],[Spec Type2]]="N/A",Table1[[#This Row],[DUT Adj Read]]="N/A",Table1[[#This Row],[Std Adj Read]]="N/A"),"N/A",IF(Table1[[#This Row],[DUT Adj Read]]="N/A",IF(Table1[[#This Row],[Std Adj Read]]&gt;Table1[[#This Row],[Low Tol]],"Pass","Fail"),IF(Table1[[#This Row],[DUT Adj Read]]&gt;Table1[[#This Row],[Low Tol]],"Pass","Fail")))</f>
        <v>Pass</v>
      </c>
      <c r="AE279" s="1" t="str">
        <f>IF(AND(Table1[[#This Row],[Spec Type2]]="N/A",Table1[[#This Row],[DUT Adj Read]]="N/A",Table1[[#This Row],[Std Adj Read]]="N/A"),"N/A",IF(Table1[[#This Row],[DUT Adj Read]]="N/A",IF(Table1[[#This Row],[Std Adj Read]]&lt;Table1[[#This Row],[High Tol]],"Pass","Fail"),IF(Table1[[#This Row],[DUT Adj Read]]&lt;Table1[[#This Row],[High Tol]],"Pass","Fail")))</f>
        <v>Fail</v>
      </c>
      <c r="AF279" s="1" t="str">
        <f>IF(AND(Table1[[#This Row],[Spec Type2]]="N/A",Table1[[#This Row],[DUT Adj Read]]="N/A",Table1[[#This Row],[Std Adj Read]]="N/A"),"N/A",IF(Table1[[#This Row],[DUT Adj Read]]="N/A",IF(Table1[[#This Row],[Std Adj Read]]&gt;=Table1[[#This Row],[Low Tol]],"Pass","Fail"),IF(Table1[[#This Row],[DUT Adj Read]]&gt;=Table1[[#This Row],[Low Tol]],"Pass","Fail")))</f>
        <v>Pass</v>
      </c>
      <c r="AG279" s="1" t="str">
        <f>IF(AND(Table1[[#This Row],[Spec Type2]]="N/A",Table1[[#This Row],[DUT Adj Read]]="N/A",Table1[[#This Row],[Std Adj Read]]="N/A"),"N/A",IF(Table1[[#This Row],[DUT Adj Read]]="N/A",IF(Table1[[#This Row],[Std Adj Read]]&lt;=Table1[[#This Row],[High Tol]],"Pass","Fail"),IF(Table1[[#This Row],[DUT Adj Read]]&lt;=Table1[[#This Row],[High Tol]],"Pass","Fail")))</f>
        <v>Fail</v>
      </c>
      <c r="AH2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 s="1" t="b">
        <v>0</v>
      </c>
      <c r="AN279" s="1" t="b">
        <v>0</v>
      </c>
      <c r="AO279" s="1" t="b">
        <v>0</v>
      </c>
    </row>
    <row r="280" spans="1:41" x14ac:dyDescent="0.25">
      <c r="A280" s="10"/>
      <c r="B280" s="10"/>
      <c r="C280" s="10"/>
      <c r="D280" s="10"/>
      <c r="E280" s="10"/>
      <c r="F280" s="10"/>
      <c r="G280" s="10"/>
      <c r="H280" s="10"/>
      <c r="I280" s="1" t="str">
        <f t="shared" si="12"/>
        <v/>
      </c>
      <c r="J280" s="1" t="s">
        <v>35</v>
      </c>
      <c r="K280" s="1" t="str">
        <f t="shared" si="13"/>
        <v/>
      </c>
      <c r="L280" s="1" t="str">
        <f t="shared" si="14"/>
        <v/>
      </c>
      <c r="M280" s="1">
        <f>IF(OR(Table1[[#This Row],[Std Nom]]="",Table1[[#This Row],[Std Read]]=""),0,Table1[[#This Row],[Std Nom]]-Table1[[#This Row],[Std Read]])</f>
        <v>0</v>
      </c>
      <c r="N280" s="1">
        <f>IF(Calculations!$F$5="ACCREDITED 17025 WITH UNCERTAINTIES",$N$10,0)</f>
        <v>0</v>
      </c>
      <c r="Q280" s="1">
        <f>Table1[[#This Row],[High Tol]]-Table1[[#This Row],[Low Tol]]</f>
        <v>0</v>
      </c>
      <c r="R280" s="1">
        <f>2*Table1[[#This Row],[Std Error]]</f>
        <v>0</v>
      </c>
      <c r="S280" s="1" t="str">
        <f>IF(Table1[[#This Row],[High Tol]]="","N/A",IFERROR(ABS(Table1[[#This Row],[Tol Span]]/Table1[[#This Row],[Error Span]]),"N/A"))</f>
        <v>N/A</v>
      </c>
      <c r="T280" s="1" t="str">
        <f>IF(OR(Table1[[#This Row],[Low Tol]]="",Table1[[#This Row],[High Tol]]=""),"Needs Analysis",IF(Table1[[#This Row],[Ratio]]&gt;=4,"Not Significant",IF(Table1[[#This Row],[Ratio]]&gt;=2,"Semi-Significant","Significant")))</f>
        <v>Needs Analysis</v>
      </c>
      <c r="W280" s="1">
        <f>IF(Table1[[#This Row],[Cal Type]]&lt;&gt;"ACCREDITED 17025 WITH UNCERTAINTIES",0,"")</f>
        <v>0</v>
      </c>
      <c r="X280" s="1" t="str">
        <f>IF(Table1[[#This Row],[DUT Read]]="","N/A",Table1[[#This Row],[Std Error]]+Table1[[#This Row],[DUT Read]]+Table1[[#This Row],[DUT Ucty]])</f>
        <v>N/A</v>
      </c>
      <c r="Y280" s="1" t="str">
        <f>IF(Table1[[#This Row],[Std Read]]="","N/A",Table1[[#This Row],[Std Read]]+Table1[[#This Row],[Std Ucty]])</f>
        <v>N/A</v>
      </c>
      <c r="Z2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 s="1" t="str">
        <f>IF(Table1[[#This Row],[Spec Type]]="","N/A",Table1[[#This Row],[Spec Type]])</f>
        <v>±</v>
      </c>
      <c r="AC280" s="1" t="str">
        <f>IF(Table1[[#This Row],[Spec Type2]]="N/A","N/A",IF(AND(Table1[[#This Row],[DUT Adj Read]]&gt;=Table1[[#This Row],[Low Tol]],Table1[[#This Row],[DUT Adj Read]]&lt;=Table1[[#This Row],[High Tol]]),"Pass","Fail"))</f>
        <v>Fail</v>
      </c>
      <c r="AD280" s="1" t="str">
        <f>IF(AND(Table1[[#This Row],[Spec Type2]]="N/A",Table1[[#This Row],[DUT Adj Read]]="N/A",Table1[[#This Row],[Std Adj Read]]="N/A"),"N/A",IF(Table1[[#This Row],[DUT Adj Read]]="N/A",IF(Table1[[#This Row],[Std Adj Read]]&gt;Table1[[#This Row],[Low Tol]],"Pass","Fail"),IF(Table1[[#This Row],[DUT Adj Read]]&gt;Table1[[#This Row],[Low Tol]],"Pass","Fail")))</f>
        <v>Pass</v>
      </c>
      <c r="AE280" s="1" t="str">
        <f>IF(AND(Table1[[#This Row],[Spec Type2]]="N/A",Table1[[#This Row],[DUT Adj Read]]="N/A",Table1[[#This Row],[Std Adj Read]]="N/A"),"N/A",IF(Table1[[#This Row],[DUT Adj Read]]="N/A",IF(Table1[[#This Row],[Std Adj Read]]&lt;Table1[[#This Row],[High Tol]],"Pass","Fail"),IF(Table1[[#This Row],[DUT Adj Read]]&lt;Table1[[#This Row],[High Tol]],"Pass","Fail")))</f>
        <v>Fail</v>
      </c>
      <c r="AF280" s="1" t="str">
        <f>IF(AND(Table1[[#This Row],[Spec Type2]]="N/A",Table1[[#This Row],[DUT Adj Read]]="N/A",Table1[[#This Row],[Std Adj Read]]="N/A"),"N/A",IF(Table1[[#This Row],[DUT Adj Read]]="N/A",IF(Table1[[#This Row],[Std Adj Read]]&gt;=Table1[[#This Row],[Low Tol]],"Pass","Fail"),IF(Table1[[#This Row],[DUT Adj Read]]&gt;=Table1[[#This Row],[Low Tol]],"Pass","Fail")))</f>
        <v>Pass</v>
      </c>
      <c r="AG280" s="1" t="str">
        <f>IF(AND(Table1[[#This Row],[Spec Type2]]="N/A",Table1[[#This Row],[DUT Adj Read]]="N/A",Table1[[#This Row],[Std Adj Read]]="N/A"),"N/A",IF(Table1[[#This Row],[DUT Adj Read]]="N/A",IF(Table1[[#This Row],[Std Adj Read]]&lt;=Table1[[#This Row],[High Tol]],"Pass","Fail"),IF(Table1[[#This Row],[DUT Adj Read]]&lt;=Table1[[#This Row],[High Tol]],"Pass","Fail")))</f>
        <v>Fail</v>
      </c>
      <c r="AH2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 s="1" t="b">
        <v>0</v>
      </c>
      <c r="AN280" s="1" t="b">
        <v>0</v>
      </c>
      <c r="AO280" s="1" t="b">
        <v>0</v>
      </c>
    </row>
    <row r="281" spans="1:41" x14ac:dyDescent="0.25">
      <c r="A281" s="10"/>
      <c r="B281" s="10"/>
      <c r="C281" s="10"/>
      <c r="D281" s="10"/>
      <c r="E281" s="10"/>
      <c r="F281" s="10"/>
      <c r="G281" s="10"/>
      <c r="H281" s="10"/>
      <c r="I281" s="1" t="str">
        <f t="shared" si="12"/>
        <v/>
      </c>
      <c r="J281" s="1" t="s">
        <v>35</v>
      </c>
      <c r="K281" s="1" t="str">
        <f t="shared" si="13"/>
        <v/>
      </c>
      <c r="L281" s="1" t="str">
        <f t="shared" si="14"/>
        <v/>
      </c>
      <c r="M281" s="1">
        <f>IF(OR(Table1[[#This Row],[Std Nom]]="",Table1[[#This Row],[Std Read]]=""),0,Table1[[#This Row],[Std Nom]]-Table1[[#This Row],[Std Read]])</f>
        <v>0</v>
      </c>
      <c r="N281" s="1">
        <f>IF(Calculations!$F$5="ACCREDITED 17025 WITH UNCERTAINTIES",$N$10,0)</f>
        <v>0</v>
      </c>
      <c r="Q281" s="1">
        <f>Table1[[#This Row],[High Tol]]-Table1[[#This Row],[Low Tol]]</f>
        <v>0</v>
      </c>
      <c r="R281" s="1">
        <f>2*Table1[[#This Row],[Std Error]]</f>
        <v>0</v>
      </c>
      <c r="S281" s="1" t="str">
        <f>IF(Table1[[#This Row],[High Tol]]="","N/A",IFERROR(ABS(Table1[[#This Row],[Tol Span]]/Table1[[#This Row],[Error Span]]),"N/A"))</f>
        <v>N/A</v>
      </c>
      <c r="T281" s="1" t="str">
        <f>IF(OR(Table1[[#This Row],[Low Tol]]="",Table1[[#This Row],[High Tol]]=""),"Needs Analysis",IF(Table1[[#This Row],[Ratio]]&gt;=4,"Not Significant",IF(Table1[[#This Row],[Ratio]]&gt;=2,"Semi-Significant","Significant")))</f>
        <v>Needs Analysis</v>
      </c>
      <c r="W281" s="1">
        <f>IF(Table1[[#This Row],[Cal Type]]&lt;&gt;"ACCREDITED 17025 WITH UNCERTAINTIES",0,"")</f>
        <v>0</v>
      </c>
      <c r="X281" s="1" t="str">
        <f>IF(Table1[[#This Row],[DUT Read]]="","N/A",Table1[[#This Row],[Std Error]]+Table1[[#This Row],[DUT Read]]+Table1[[#This Row],[DUT Ucty]])</f>
        <v>N/A</v>
      </c>
      <c r="Y281" s="1" t="str">
        <f>IF(Table1[[#This Row],[Std Read]]="","N/A",Table1[[#This Row],[Std Read]]+Table1[[#This Row],[Std Ucty]])</f>
        <v>N/A</v>
      </c>
      <c r="Z2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 s="1" t="str">
        <f>IF(Table1[[#This Row],[Spec Type]]="","N/A",Table1[[#This Row],[Spec Type]])</f>
        <v>±</v>
      </c>
      <c r="AC281" s="1" t="str">
        <f>IF(Table1[[#This Row],[Spec Type2]]="N/A","N/A",IF(AND(Table1[[#This Row],[DUT Adj Read]]&gt;=Table1[[#This Row],[Low Tol]],Table1[[#This Row],[DUT Adj Read]]&lt;=Table1[[#This Row],[High Tol]]),"Pass","Fail"))</f>
        <v>Fail</v>
      </c>
      <c r="AD281" s="1" t="str">
        <f>IF(AND(Table1[[#This Row],[Spec Type2]]="N/A",Table1[[#This Row],[DUT Adj Read]]="N/A",Table1[[#This Row],[Std Adj Read]]="N/A"),"N/A",IF(Table1[[#This Row],[DUT Adj Read]]="N/A",IF(Table1[[#This Row],[Std Adj Read]]&gt;Table1[[#This Row],[Low Tol]],"Pass","Fail"),IF(Table1[[#This Row],[DUT Adj Read]]&gt;Table1[[#This Row],[Low Tol]],"Pass","Fail")))</f>
        <v>Pass</v>
      </c>
      <c r="AE281" s="1" t="str">
        <f>IF(AND(Table1[[#This Row],[Spec Type2]]="N/A",Table1[[#This Row],[DUT Adj Read]]="N/A",Table1[[#This Row],[Std Adj Read]]="N/A"),"N/A",IF(Table1[[#This Row],[DUT Adj Read]]="N/A",IF(Table1[[#This Row],[Std Adj Read]]&lt;Table1[[#This Row],[High Tol]],"Pass","Fail"),IF(Table1[[#This Row],[DUT Adj Read]]&lt;Table1[[#This Row],[High Tol]],"Pass","Fail")))</f>
        <v>Fail</v>
      </c>
      <c r="AF281" s="1" t="str">
        <f>IF(AND(Table1[[#This Row],[Spec Type2]]="N/A",Table1[[#This Row],[DUT Adj Read]]="N/A",Table1[[#This Row],[Std Adj Read]]="N/A"),"N/A",IF(Table1[[#This Row],[DUT Adj Read]]="N/A",IF(Table1[[#This Row],[Std Adj Read]]&gt;=Table1[[#This Row],[Low Tol]],"Pass","Fail"),IF(Table1[[#This Row],[DUT Adj Read]]&gt;=Table1[[#This Row],[Low Tol]],"Pass","Fail")))</f>
        <v>Pass</v>
      </c>
      <c r="AG281" s="1" t="str">
        <f>IF(AND(Table1[[#This Row],[Spec Type2]]="N/A",Table1[[#This Row],[DUT Adj Read]]="N/A",Table1[[#This Row],[Std Adj Read]]="N/A"),"N/A",IF(Table1[[#This Row],[DUT Adj Read]]="N/A",IF(Table1[[#This Row],[Std Adj Read]]&lt;=Table1[[#This Row],[High Tol]],"Pass","Fail"),IF(Table1[[#This Row],[DUT Adj Read]]&lt;=Table1[[#This Row],[High Tol]],"Pass","Fail")))</f>
        <v>Fail</v>
      </c>
      <c r="AH2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 s="1" t="b">
        <v>0</v>
      </c>
      <c r="AN281" s="1" t="b">
        <v>0</v>
      </c>
      <c r="AO281" s="1" t="b">
        <v>0</v>
      </c>
    </row>
    <row r="282" spans="1:41" x14ac:dyDescent="0.25">
      <c r="A282" s="10"/>
      <c r="B282" s="10"/>
      <c r="C282" s="10"/>
      <c r="D282" s="10"/>
      <c r="E282" s="10"/>
      <c r="F282" s="10"/>
      <c r="G282" s="10"/>
      <c r="H282" s="10"/>
      <c r="I282" s="1" t="str">
        <f t="shared" si="12"/>
        <v/>
      </c>
      <c r="J282" s="1" t="s">
        <v>35</v>
      </c>
      <c r="K282" s="1" t="str">
        <f t="shared" si="13"/>
        <v/>
      </c>
      <c r="L282" s="1" t="str">
        <f t="shared" si="14"/>
        <v/>
      </c>
      <c r="M282" s="1">
        <f>IF(OR(Table1[[#This Row],[Std Nom]]="",Table1[[#This Row],[Std Read]]=""),0,Table1[[#This Row],[Std Nom]]-Table1[[#This Row],[Std Read]])</f>
        <v>0</v>
      </c>
      <c r="N282" s="1">
        <f>IF(Calculations!$F$5="ACCREDITED 17025 WITH UNCERTAINTIES",$N$10,0)</f>
        <v>0</v>
      </c>
      <c r="Q282" s="1">
        <f>Table1[[#This Row],[High Tol]]-Table1[[#This Row],[Low Tol]]</f>
        <v>0</v>
      </c>
      <c r="R282" s="1">
        <f>2*Table1[[#This Row],[Std Error]]</f>
        <v>0</v>
      </c>
      <c r="S282" s="1" t="str">
        <f>IF(Table1[[#This Row],[High Tol]]="","N/A",IFERROR(ABS(Table1[[#This Row],[Tol Span]]/Table1[[#This Row],[Error Span]]),"N/A"))</f>
        <v>N/A</v>
      </c>
      <c r="T282" s="1" t="str">
        <f>IF(OR(Table1[[#This Row],[Low Tol]]="",Table1[[#This Row],[High Tol]]=""),"Needs Analysis",IF(Table1[[#This Row],[Ratio]]&gt;=4,"Not Significant",IF(Table1[[#This Row],[Ratio]]&gt;=2,"Semi-Significant","Significant")))</f>
        <v>Needs Analysis</v>
      </c>
      <c r="W282" s="1">
        <f>IF(Table1[[#This Row],[Cal Type]]&lt;&gt;"ACCREDITED 17025 WITH UNCERTAINTIES",0,"")</f>
        <v>0</v>
      </c>
      <c r="X282" s="1" t="str">
        <f>IF(Table1[[#This Row],[DUT Read]]="","N/A",Table1[[#This Row],[Std Error]]+Table1[[#This Row],[DUT Read]]+Table1[[#This Row],[DUT Ucty]])</f>
        <v>N/A</v>
      </c>
      <c r="Y282" s="1" t="str">
        <f>IF(Table1[[#This Row],[Std Read]]="","N/A",Table1[[#This Row],[Std Read]]+Table1[[#This Row],[Std Ucty]])</f>
        <v>N/A</v>
      </c>
      <c r="Z2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 s="1" t="str">
        <f>IF(Table1[[#This Row],[Spec Type]]="","N/A",Table1[[#This Row],[Spec Type]])</f>
        <v>±</v>
      </c>
      <c r="AC282" s="1" t="str">
        <f>IF(Table1[[#This Row],[Spec Type2]]="N/A","N/A",IF(AND(Table1[[#This Row],[DUT Adj Read]]&gt;=Table1[[#This Row],[Low Tol]],Table1[[#This Row],[DUT Adj Read]]&lt;=Table1[[#This Row],[High Tol]]),"Pass","Fail"))</f>
        <v>Fail</v>
      </c>
      <c r="AD282" s="1" t="str">
        <f>IF(AND(Table1[[#This Row],[Spec Type2]]="N/A",Table1[[#This Row],[DUT Adj Read]]="N/A",Table1[[#This Row],[Std Adj Read]]="N/A"),"N/A",IF(Table1[[#This Row],[DUT Adj Read]]="N/A",IF(Table1[[#This Row],[Std Adj Read]]&gt;Table1[[#This Row],[Low Tol]],"Pass","Fail"),IF(Table1[[#This Row],[DUT Adj Read]]&gt;Table1[[#This Row],[Low Tol]],"Pass","Fail")))</f>
        <v>Pass</v>
      </c>
      <c r="AE282" s="1" t="str">
        <f>IF(AND(Table1[[#This Row],[Spec Type2]]="N/A",Table1[[#This Row],[DUT Adj Read]]="N/A",Table1[[#This Row],[Std Adj Read]]="N/A"),"N/A",IF(Table1[[#This Row],[DUT Adj Read]]="N/A",IF(Table1[[#This Row],[Std Adj Read]]&lt;Table1[[#This Row],[High Tol]],"Pass","Fail"),IF(Table1[[#This Row],[DUT Adj Read]]&lt;Table1[[#This Row],[High Tol]],"Pass","Fail")))</f>
        <v>Fail</v>
      </c>
      <c r="AF282" s="1" t="str">
        <f>IF(AND(Table1[[#This Row],[Spec Type2]]="N/A",Table1[[#This Row],[DUT Adj Read]]="N/A",Table1[[#This Row],[Std Adj Read]]="N/A"),"N/A",IF(Table1[[#This Row],[DUT Adj Read]]="N/A",IF(Table1[[#This Row],[Std Adj Read]]&gt;=Table1[[#This Row],[Low Tol]],"Pass","Fail"),IF(Table1[[#This Row],[DUT Adj Read]]&gt;=Table1[[#This Row],[Low Tol]],"Pass","Fail")))</f>
        <v>Pass</v>
      </c>
      <c r="AG282" s="1" t="str">
        <f>IF(AND(Table1[[#This Row],[Spec Type2]]="N/A",Table1[[#This Row],[DUT Adj Read]]="N/A",Table1[[#This Row],[Std Adj Read]]="N/A"),"N/A",IF(Table1[[#This Row],[DUT Adj Read]]="N/A",IF(Table1[[#This Row],[Std Adj Read]]&lt;=Table1[[#This Row],[High Tol]],"Pass","Fail"),IF(Table1[[#This Row],[DUT Adj Read]]&lt;=Table1[[#This Row],[High Tol]],"Pass","Fail")))</f>
        <v>Fail</v>
      </c>
      <c r="AH2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 s="1" t="b">
        <v>0</v>
      </c>
      <c r="AN282" s="1" t="b">
        <v>0</v>
      </c>
      <c r="AO282" s="1" t="b">
        <v>0</v>
      </c>
    </row>
    <row r="283" spans="1:41" x14ac:dyDescent="0.25">
      <c r="A283" s="10"/>
      <c r="B283" s="10"/>
      <c r="C283" s="10"/>
      <c r="D283" s="10"/>
      <c r="E283" s="10"/>
      <c r="F283" s="10"/>
      <c r="G283" s="10"/>
      <c r="H283" s="10"/>
      <c r="I283" s="1" t="str">
        <f t="shared" si="12"/>
        <v/>
      </c>
      <c r="J283" s="1" t="s">
        <v>35</v>
      </c>
      <c r="K283" s="1" t="str">
        <f t="shared" si="13"/>
        <v/>
      </c>
      <c r="L283" s="1" t="str">
        <f t="shared" si="14"/>
        <v/>
      </c>
      <c r="M283" s="1">
        <f>IF(OR(Table1[[#This Row],[Std Nom]]="",Table1[[#This Row],[Std Read]]=""),0,Table1[[#This Row],[Std Nom]]-Table1[[#This Row],[Std Read]])</f>
        <v>0</v>
      </c>
      <c r="N283" s="1">
        <f>IF(Calculations!$F$5="ACCREDITED 17025 WITH UNCERTAINTIES",$N$10,0)</f>
        <v>0</v>
      </c>
      <c r="Q283" s="1">
        <f>Table1[[#This Row],[High Tol]]-Table1[[#This Row],[Low Tol]]</f>
        <v>0</v>
      </c>
      <c r="R283" s="1">
        <f>2*Table1[[#This Row],[Std Error]]</f>
        <v>0</v>
      </c>
      <c r="S283" s="1" t="str">
        <f>IF(Table1[[#This Row],[High Tol]]="","N/A",IFERROR(ABS(Table1[[#This Row],[Tol Span]]/Table1[[#This Row],[Error Span]]),"N/A"))</f>
        <v>N/A</v>
      </c>
      <c r="T283" s="1" t="str">
        <f>IF(OR(Table1[[#This Row],[Low Tol]]="",Table1[[#This Row],[High Tol]]=""),"Needs Analysis",IF(Table1[[#This Row],[Ratio]]&gt;=4,"Not Significant",IF(Table1[[#This Row],[Ratio]]&gt;=2,"Semi-Significant","Significant")))</f>
        <v>Needs Analysis</v>
      </c>
      <c r="W283" s="1">
        <f>IF(Table1[[#This Row],[Cal Type]]&lt;&gt;"ACCREDITED 17025 WITH UNCERTAINTIES",0,"")</f>
        <v>0</v>
      </c>
      <c r="X283" s="1" t="str">
        <f>IF(Table1[[#This Row],[DUT Read]]="","N/A",Table1[[#This Row],[Std Error]]+Table1[[#This Row],[DUT Read]]+Table1[[#This Row],[DUT Ucty]])</f>
        <v>N/A</v>
      </c>
      <c r="Y283" s="1" t="str">
        <f>IF(Table1[[#This Row],[Std Read]]="","N/A",Table1[[#This Row],[Std Read]]+Table1[[#This Row],[Std Ucty]])</f>
        <v>N/A</v>
      </c>
      <c r="Z2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 s="1" t="str">
        <f>IF(Table1[[#This Row],[Spec Type]]="","N/A",Table1[[#This Row],[Spec Type]])</f>
        <v>±</v>
      </c>
      <c r="AC283" s="1" t="str">
        <f>IF(Table1[[#This Row],[Spec Type2]]="N/A","N/A",IF(AND(Table1[[#This Row],[DUT Adj Read]]&gt;=Table1[[#This Row],[Low Tol]],Table1[[#This Row],[DUT Adj Read]]&lt;=Table1[[#This Row],[High Tol]]),"Pass","Fail"))</f>
        <v>Fail</v>
      </c>
      <c r="AD283" s="1" t="str">
        <f>IF(AND(Table1[[#This Row],[Spec Type2]]="N/A",Table1[[#This Row],[DUT Adj Read]]="N/A",Table1[[#This Row],[Std Adj Read]]="N/A"),"N/A",IF(Table1[[#This Row],[DUT Adj Read]]="N/A",IF(Table1[[#This Row],[Std Adj Read]]&gt;Table1[[#This Row],[Low Tol]],"Pass","Fail"),IF(Table1[[#This Row],[DUT Adj Read]]&gt;Table1[[#This Row],[Low Tol]],"Pass","Fail")))</f>
        <v>Pass</v>
      </c>
      <c r="AE283" s="1" t="str">
        <f>IF(AND(Table1[[#This Row],[Spec Type2]]="N/A",Table1[[#This Row],[DUT Adj Read]]="N/A",Table1[[#This Row],[Std Adj Read]]="N/A"),"N/A",IF(Table1[[#This Row],[DUT Adj Read]]="N/A",IF(Table1[[#This Row],[Std Adj Read]]&lt;Table1[[#This Row],[High Tol]],"Pass","Fail"),IF(Table1[[#This Row],[DUT Adj Read]]&lt;Table1[[#This Row],[High Tol]],"Pass","Fail")))</f>
        <v>Fail</v>
      </c>
      <c r="AF283" s="1" t="str">
        <f>IF(AND(Table1[[#This Row],[Spec Type2]]="N/A",Table1[[#This Row],[DUT Adj Read]]="N/A",Table1[[#This Row],[Std Adj Read]]="N/A"),"N/A",IF(Table1[[#This Row],[DUT Adj Read]]="N/A",IF(Table1[[#This Row],[Std Adj Read]]&gt;=Table1[[#This Row],[Low Tol]],"Pass","Fail"),IF(Table1[[#This Row],[DUT Adj Read]]&gt;=Table1[[#This Row],[Low Tol]],"Pass","Fail")))</f>
        <v>Pass</v>
      </c>
      <c r="AG283" s="1" t="str">
        <f>IF(AND(Table1[[#This Row],[Spec Type2]]="N/A",Table1[[#This Row],[DUT Adj Read]]="N/A",Table1[[#This Row],[Std Adj Read]]="N/A"),"N/A",IF(Table1[[#This Row],[DUT Adj Read]]="N/A",IF(Table1[[#This Row],[Std Adj Read]]&lt;=Table1[[#This Row],[High Tol]],"Pass","Fail"),IF(Table1[[#This Row],[DUT Adj Read]]&lt;=Table1[[#This Row],[High Tol]],"Pass","Fail")))</f>
        <v>Fail</v>
      </c>
      <c r="AH2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 s="1" t="b">
        <v>0</v>
      </c>
      <c r="AN283" s="1" t="b">
        <v>0</v>
      </c>
      <c r="AO283" s="1" t="b">
        <v>0</v>
      </c>
    </row>
    <row r="284" spans="1:41" x14ac:dyDescent="0.25">
      <c r="A284" s="10"/>
      <c r="B284" s="10"/>
      <c r="C284" s="10"/>
      <c r="D284" s="10"/>
      <c r="E284" s="10"/>
      <c r="F284" s="10"/>
      <c r="G284" s="10"/>
      <c r="H284" s="10"/>
      <c r="I284" s="1" t="str">
        <f t="shared" si="12"/>
        <v/>
      </c>
      <c r="J284" s="1" t="s">
        <v>35</v>
      </c>
      <c r="K284" s="1" t="str">
        <f t="shared" si="13"/>
        <v/>
      </c>
      <c r="L284" s="1" t="str">
        <f t="shared" si="14"/>
        <v/>
      </c>
      <c r="M284" s="1">
        <f>IF(OR(Table1[[#This Row],[Std Nom]]="",Table1[[#This Row],[Std Read]]=""),0,Table1[[#This Row],[Std Nom]]-Table1[[#This Row],[Std Read]])</f>
        <v>0</v>
      </c>
      <c r="N284" s="1">
        <f>IF(Calculations!$F$5="ACCREDITED 17025 WITH UNCERTAINTIES",$N$10,0)</f>
        <v>0</v>
      </c>
      <c r="Q284" s="1">
        <f>Table1[[#This Row],[High Tol]]-Table1[[#This Row],[Low Tol]]</f>
        <v>0</v>
      </c>
      <c r="R284" s="1">
        <f>2*Table1[[#This Row],[Std Error]]</f>
        <v>0</v>
      </c>
      <c r="S284" s="1" t="str">
        <f>IF(Table1[[#This Row],[High Tol]]="","N/A",IFERROR(ABS(Table1[[#This Row],[Tol Span]]/Table1[[#This Row],[Error Span]]),"N/A"))</f>
        <v>N/A</v>
      </c>
      <c r="T284" s="1" t="str">
        <f>IF(OR(Table1[[#This Row],[Low Tol]]="",Table1[[#This Row],[High Tol]]=""),"Needs Analysis",IF(Table1[[#This Row],[Ratio]]&gt;=4,"Not Significant",IF(Table1[[#This Row],[Ratio]]&gt;=2,"Semi-Significant","Significant")))</f>
        <v>Needs Analysis</v>
      </c>
      <c r="W284" s="1">
        <f>IF(Table1[[#This Row],[Cal Type]]&lt;&gt;"ACCREDITED 17025 WITH UNCERTAINTIES",0,"")</f>
        <v>0</v>
      </c>
      <c r="X284" s="1" t="str">
        <f>IF(Table1[[#This Row],[DUT Read]]="","N/A",Table1[[#This Row],[Std Error]]+Table1[[#This Row],[DUT Read]]+Table1[[#This Row],[DUT Ucty]])</f>
        <v>N/A</v>
      </c>
      <c r="Y284" s="1" t="str">
        <f>IF(Table1[[#This Row],[Std Read]]="","N/A",Table1[[#This Row],[Std Read]]+Table1[[#This Row],[Std Ucty]])</f>
        <v>N/A</v>
      </c>
      <c r="Z2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 s="1" t="str">
        <f>IF(Table1[[#This Row],[Spec Type]]="","N/A",Table1[[#This Row],[Spec Type]])</f>
        <v>±</v>
      </c>
      <c r="AC284" s="1" t="str">
        <f>IF(Table1[[#This Row],[Spec Type2]]="N/A","N/A",IF(AND(Table1[[#This Row],[DUT Adj Read]]&gt;=Table1[[#This Row],[Low Tol]],Table1[[#This Row],[DUT Adj Read]]&lt;=Table1[[#This Row],[High Tol]]),"Pass","Fail"))</f>
        <v>Fail</v>
      </c>
      <c r="AD284" s="1" t="str">
        <f>IF(AND(Table1[[#This Row],[Spec Type2]]="N/A",Table1[[#This Row],[DUT Adj Read]]="N/A",Table1[[#This Row],[Std Adj Read]]="N/A"),"N/A",IF(Table1[[#This Row],[DUT Adj Read]]="N/A",IF(Table1[[#This Row],[Std Adj Read]]&gt;Table1[[#This Row],[Low Tol]],"Pass","Fail"),IF(Table1[[#This Row],[DUT Adj Read]]&gt;Table1[[#This Row],[Low Tol]],"Pass","Fail")))</f>
        <v>Pass</v>
      </c>
      <c r="AE284" s="1" t="str">
        <f>IF(AND(Table1[[#This Row],[Spec Type2]]="N/A",Table1[[#This Row],[DUT Adj Read]]="N/A",Table1[[#This Row],[Std Adj Read]]="N/A"),"N/A",IF(Table1[[#This Row],[DUT Adj Read]]="N/A",IF(Table1[[#This Row],[Std Adj Read]]&lt;Table1[[#This Row],[High Tol]],"Pass","Fail"),IF(Table1[[#This Row],[DUT Adj Read]]&lt;Table1[[#This Row],[High Tol]],"Pass","Fail")))</f>
        <v>Fail</v>
      </c>
      <c r="AF284" s="1" t="str">
        <f>IF(AND(Table1[[#This Row],[Spec Type2]]="N/A",Table1[[#This Row],[DUT Adj Read]]="N/A",Table1[[#This Row],[Std Adj Read]]="N/A"),"N/A",IF(Table1[[#This Row],[DUT Adj Read]]="N/A",IF(Table1[[#This Row],[Std Adj Read]]&gt;=Table1[[#This Row],[Low Tol]],"Pass","Fail"),IF(Table1[[#This Row],[DUT Adj Read]]&gt;=Table1[[#This Row],[Low Tol]],"Pass","Fail")))</f>
        <v>Pass</v>
      </c>
      <c r="AG284" s="1" t="str">
        <f>IF(AND(Table1[[#This Row],[Spec Type2]]="N/A",Table1[[#This Row],[DUT Adj Read]]="N/A",Table1[[#This Row],[Std Adj Read]]="N/A"),"N/A",IF(Table1[[#This Row],[DUT Adj Read]]="N/A",IF(Table1[[#This Row],[Std Adj Read]]&lt;=Table1[[#This Row],[High Tol]],"Pass","Fail"),IF(Table1[[#This Row],[DUT Adj Read]]&lt;=Table1[[#This Row],[High Tol]],"Pass","Fail")))</f>
        <v>Fail</v>
      </c>
      <c r="AH2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 s="1" t="b">
        <v>0</v>
      </c>
      <c r="AN284" s="1" t="b">
        <v>0</v>
      </c>
      <c r="AO284" s="1" t="b">
        <v>0</v>
      </c>
    </row>
    <row r="285" spans="1:41" x14ac:dyDescent="0.25">
      <c r="A285" s="10"/>
      <c r="B285" s="10"/>
      <c r="C285" s="10"/>
      <c r="D285" s="10"/>
      <c r="E285" s="10"/>
      <c r="F285" s="10"/>
      <c r="G285" s="10"/>
      <c r="H285" s="10"/>
      <c r="I285" s="1" t="str">
        <f t="shared" si="12"/>
        <v/>
      </c>
      <c r="J285" s="1" t="s">
        <v>35</v>
      </c>
      <c r="K285" s="1" t="str">
        <f t="shared" si="13"/>
        <v/>
      </c>
      <c r="L285" s="1" t="str">
        <f t="shared" si="14"/>
        <v/>
      </c>
      <c r="M285" s="1">
        <f>IF(OR(Table1[[#This Row],[Std Nom]]="",Table1[[#This Row],[Std Read]]=""),0,Table1[[#This Row],[Std Nom]]-Table1[[#This Row],[Std Read]])</f>
        <v>0</v>
      </c>
      <c r="N285" s="1">
        <f>IF(Calculations!$F$5="ACCREDITED 17025 WITH UNCERTAINTIES",$N$10,0)</f>
        <v>0</v>
      </c>
      <c r="Q285" s="1">
        <f>Table1[[#This Row],[High Tol]]-Table1[[#This Row],[Low Tol]]</f>
        <v>0</v>
      </c>
      <c r="R285" s="1">
        <f>2*Table1[[#This Row],[Std Error]]</f>
        <v>0</v>
      </c>
      <c r="S285" s="1" t="str">
        <f>IF(Table1[[#This Row],[High Tol]]="","N/A",IFERROR(ABS(Table1[[#This Row],[Tol Span]]/Table1[[#This Row],[Error Span]]),"N/A"))</f>
        <v>N/A</v>
      </c>
      <c r="T285" s="1" t="str">
        <f>IF(OR(Table1[[#This Row],[Low Tol]]="",Table1[[#This Row],[High Tol]]=""),"Needs Analysis",IF(Table1[[#This Row],[Ratio]]&gt;=4,"Not Significant",IF(Table1[[#This Row],[Ratio]]&gt;=2,"Semi-Significant","Significant")))</f>
        <v>Needs Analysis</v>
      </c>
      <c r="W285" s="1">
        <f>IF(Table1[[#This Row],[Cal Type]]&lt;&gt;"ACCREDITED 17025 WITH UNCERTAINTIES",0,"")</f>
        <v>0</v>
      </c>
      <c r="X285" s="1" t="str">
        <f>IF(Table1[[#This Row],[DUT Read]]="","N/A",Table1[[#This Row],[Std Error]]+Table1[[#This Row],[DUT Read]]+Table1[[#This Row],[DUT Ucty]])</f>
        <v>N/A</v>
      </c>
      <c r="Y285" s="1" t="str">
        <f>IF(Table1[[#This Row],[Std Read]]="","N/A",Table1[[#This Row],[Std Read]]+Table1[[#This Row],[Std Ucty]])</f>
        <v>N/A</v>
      </c>
      <c r="Z2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 s="1" t="str">
        <f>IF(Table1[[#This Row],[Spec Type]]="","N/A",Table1[[#This Row],[Spec Type]])</f>
        <v>±</v>
      </c>
      <c r="AC285" s="1" t="str">
        <f>IF(Table1[[#This Row],[Spec Type2]]="N/A","N/A",IF(AND(Table1[[#This Row],[DUT Adj Read]]&gt;=Table1[[#This Row],[Low Tol]],Table1[[#This Row],[DUT Adj Read]]&lt;=Table1[[#This Row],[High Tol]]),"Pass","Fail"))</f>
        <v>Fail</v>
      </c>
      <c r="AD285" s="1" t="str">
        <f>IF(AND(Table1[[#This Row],[Spec Type2]]="N/A",Table1[[#This Row],[DUT Adj Read]]="N/A",Table1[[#This Row],[Std Adj Read]]="N/A"),"N/A",IF(Table1[[#This Row],[DUT Adj Read]]="N/A",IF(Table1[[#This Row],[Std Adj Read]]&gt;Table1[[#This Row],[Low Tol]],"Pass","Fail"),IF(Table1[[#This Row],[DUT Adj Read]]&gt;Table1[[#This Row],[Low Tol]],"Pass","Fail")))</f>
        <v>Pass</v>
      </c>
      <c r="AE285" s="1" t="str">
        <f>IF(AND(Table1[[#This Row],[Spec Type2]]="N/A",Table1[[#This Row],[DUT Adj Read]]="N/A",Table1[[#This Row],[Std Adj Read]]="N/A"),"N/A",IF(Table1[[#This Row],[DUT Adj Read]]="N/A",IF(Table1[[#This Row],[Std Adj Read]]&lt;Table1[[#This Row],[High Tol]],"Pass","Fail"),IF(Table1[[#This Row],[DUT Adj Read]]&lt;Table1[[#This Row],[High Tol]],"Pass","Fail")))</f>
        <v>Fail</v>
      </c>
      <c r="AF285" s="1" t="str">
        <f>IF(AND(Table1[[#This Row],[Spec Type2]]="N/A",Table1[[#This Row],[DUT Adj Read]]="N/A",Table1[[#This Row],[Std Adj Read]]="N/A"),"N/A",IF(Table1[[#This Row],[DUT Adj Read]]="N/A",IF(Table1[[#This Row],[Std Adj Read]]&gt;=Table1[[#This Row],[Low Tol]],"Pass","Fail"),IF(Table1[[#This Row],[DUT Adj Read]]&gt;=Table1[[#This Row],[Low Tol]],"Pass","Fail")))</f>
        <v>Pass</v>
      </c>
      <c r="AG285" s="1" t="str">
        <f>IF(AND(Table1[[#This Row],[Spec Type2]]="N/A",Table1[[#This Row],[DUT Adj Read]]="N/A",Table1[[#This Row],[Std Adj Read]]="N/A"),"N/A",IF(Table1[[#This Row],[DUT Adj Read]]="N/A",IF(Table1[[#This Row],[Std Adj Read]]&lt;=Table1[[#This Row],[High Tol]],"Pass","Fail"),IF(Table1[[#This Row],[DUT Adj Read]]&lt;=Table1[[#This Row],[High Tol]],"Pass","Fail")))</f>
        <v>Fail</v>
      </c>
      <c r="AH2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 s="1" t="b">
        <v>0</v>
      </c>
      <c r="AN285" s="1" t="b">
        <v>0</v>
      </c>
      <c r="AO285" s="1" t="b">
        <v>0</v>
      </c>
    </row>
    <row r="286" spans="1:41" x14ac:dyDescent="0.25">
      <c r="A286" s="10"/>
      <c r="B286" s="10"/>
      <c r="C286" s="10"/>
      <c r="D286" s="10"/>
      <c r="E286" s="10"/>
      <c r="F286" s="10"/>
      <c r="G286" s="10"/>
      <c r="H286" s="10"/>
      <c r="I286" s="1" t="str">
        <f t="shared" si="12"/>
        <v/>
      </c>
      <c r="J286" s="1" t="s">
        <v>35</v>
      </c>
      <c r="K286" s="1" t="str">
        <f t="shared" si="13"/>
        <v/>
      </c>
      <c r="L286" s="1" t="str">
        <f t="shared" si="14"/>
        <v/>
      </c>
      <c r="M286" s="1">
        <f>IF(OR(Table1[[#This Row],[Std Nom]]="",Table1[[#This Row],[Std Read]]=""),0,Table1[[#This Row],[Std Nom]]-Table1[[#This Row],[Std Read]])</f>
        <v>0</v>
      </c>
      <c r="N286" s="1">
        <f>IF(Calculations!$F$5="ACCREDITED 17025 WITH UNCERTAINTIES",$N$10,0)</f>
        <v>0</v>
      </c>
      <c r="Q286" s="1">
        <f>Table1[[#This Row],[High Tol]]-Table1[[#This Row],[Low Tol]]</f>
        <v>0</v>
      </c>
      <c r="R286" s="1">
        <f>2*Table1[[#This Row],[Std Error]]</f>
        <v>0</v>
      </c>
      <c r="S286" s="1" t="str">
        <f>IF(Table1[[#This Row],[High Tol]]="","N/A",IFERROR(ABS(Table1[[#This Row],[Tol Span]]/Table1[[#This Row],[Error Span]]),"N/A"))</f>
        <v>N/A</v>
      </c>
      <c r="T286" s="1" t="str">
        <f>IF(OR(Table1[[#This Row],[Low Tol]]="",Table1[[#This Row],[High Tol]]=""),"Needs Analysis",IF(Table1[[#This Row],[Ratio]]&gt;=4,"Not Significant",IF(Table1[[#This Row],[Ratio]]&gt;=2,"Semi-Significant","Significant")))</f>
        <v>Needs Analysis</v>
      </c>
      <c r="W286" s="1">
        <f>IF(Table1[[#This Row],[Cal Type]]&lt;&gt;"ACCREDITED 17025 WITH UNCERTAINTIES",0,"")</f>
        <v>0</v>
      </c>
      <c r="X286" s="1" t="str">
        <f>IF(Table1[[#This Row],[DUT Read]]="","N/A",Table1[[#This Row],[Std Error]]+Table1[[#This Row],[DUT Read]]+Table1[[#This Row],[DUT Ucty]])</f>
        <v>N/A</v>
      </c>
      <c r="Y286" s="1" t="str">
        <f>IF(Table1[[#This Row],[Std Read]]="","N/A",Table1[[#This Row],[Std Read]]+Table1[[#This Row],[Std Ucty]])</f>
        <v>N/A</v>
      </c>
      <c r="Z2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 s="1" t="str">
        <f>IF(Table1[[#This Row],[Spec Type]]="","N/A",Table1[[#This Row],[Spec Type]])</f>
        <v>±</v>
      </c>
      <c r="AC286" s="1" t="str">
        <f>IF(Table1[[#This Row],[Spec Type2]]="N/A","N/A",IF(AND(Table1[[#This Row],[DUT Adj Read]]&gt;=Table1[[#This Row],[Low Tol]],Table1[[#This Row],[DUT Adj Read]]&lt;=Table1[[#This Row],[High Tol]]),"Pass","Fail"))</f>
        <v>Fail</v>
      </c>
      <c r="AD286" s="1" t="str">
        <f>IF(AND(Table1[[#This Row],[Spec Type2]]="N/A",Table1[[#This Row],[DUT Adj Read]]="N/A",Table1[[#This Row],[Std Adj Read]]="N/A"),"N/A",IF(Table1[[#This Row],[DUT Adj Read]]="N/A",IF(Table1[[#This Row],[Std Adj Read]]&gt;Table1[[#This Row],[Low Tol]],"Pass","Fail"),IF(Table1[[#This Row],[DUT Adj Read]]&gt;Table1[[#This Row],[Low Tol]],"Pass","Fail")))</f>
        <v>Pass</v>
      </c>
      <c r="AE286" s="1" t="str">
        <f>IF(AND(Table1[[#This Row],[Spec Type2]]="N/A",Table1[[#This Row],[DUT Adj Read]]="N/A",Table1[[#This Row],[Std Adj Read]]="N/A"),"N/A",IF(Table1[[#This Row],[DUT Adj Read]]="N/A",IF(Table1[[#This Row],[Std Adj Read]]&lt;Table1[[#This Row],[High Tol]],"Pass","Fail"),IF(Table1[[#This Row],[DUT Adj Read]]&lt;Table1[[#This Row],[High Tol]],"Pass","Fail")))</f>
        <v>Fail</v>
      </c>
      <c r="AF286" s="1" t="str">
        <f>IF(AND(Table1[[#This Row],[Spec Type2]]="N/A",Table1[[#This Row],[DUT Adj Read]]="N/A",Table1[[#This Row],[Std Adj Read]]="N/A"),"N/A",IF(Table1[[#This Row],[DUT Adj Read]]="N/A",IF(Table1[[#This Row],[Std Adj Read]]&gt;=Table1[[#This Row],[Low Tol]],"Pass","Fail"),IF(Table1[[#This Row],[DUT Adj Read]]&gt;=Table1[[#This Row],[Low Tol]],"Pass","Fail")))</f>
        <v>Pass</v>
      </c>
      <c r="AG286" s="1" t="str">
        <f>IF(AND(Table1[[#This Row],[Spec Type2]]="N/A",Table1[[#This Row],[DUT Adj Read]]="N/A",Table1[[#This Row],[Std Adj Read]]="N/A"),"N/A",IF(Table1[[#This Row],[DUT Adj Read]]="N/A",IF(Table1[[#This Row],[Std Adj Read]]&lt;=Table1[[#This Row],[High Tol]],"Pass","Fail"),IF(Table1[[#This Row],[DUT Adj Read]]&lt;=Table1[[#This Row],[High Tol]],"Pass","Fail")))</f>
        <v>Fail</v>
      </c>
      <c r="AH2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 s="1" t="b">
        <v>0</v>
      </c>
      <c r="AN286" s="1" t="b">
        <v>0</v>
      </c>
      <c r="AO286" s="1" t="b">
        <v>0</v>
      </c>
    </row>
    <row r="287" spans="1:41" x14ac:dyDescent="0.25">
      <c r="A287" s="10"/>
      <c r="B287" s="10"/>
      <c r="C287" s="10"/>
      <c r="D287" s="10"/>
      <c r="E287" s="10"/>
      <c r="F287" s="10"/>
      <c r="G287" s="10"/>
      <c r="H287" s="10"/>
      <c r="I287" s="1" t="str">
        <f t="shared" si="12"/>
        <v/>
      </c>
      <c r="J287" s="1" t="s">
        <v>35</v>
      </c>
      <c r="K287" s="1" t="str">
        <f t="shared" si="13"/>
        <v/>
      </c>
      <c r="L287" s="1" t="str">
        <f t="shared" si="14"/>
        <v/>
      </c>
      <c r="M287" s="1">
        <f>IF(OR(Table1[[#This Row],[Std Nom]]="",Table1[[#This Row],[Std Read]]=""),0,Table1[[#This Row],[Std Nom]]-Table1[[#This Row],[Std Read]])</f>
        <v>0</v>
      </c>
      <c r="N287" s="1">
        <f>IF(Calculations!$F$5="ACCREDITED 17025 WITH UNCERTAINTIES",$N$10,0)</f>
        <v>0</v>
      </c>
      <c r="Q287" s="1">
        <f>Table1[[#This Row],[High Tol]]-Table1[[#This Row],[Low Tol]]</f>
        <v>0</v>
      </c>
      <c r="R287" s="1">
        <f>2*Table1[[#This Row],[Std Error]]</f>
        <v>0</v>
      </c>
      <c r="S287" s="1" t="str">
        <f>IF(Table1[[#This Row],[High Tol]]="","N/A",IFERROR(ABS(Table1[[#This Row],[Tol Span]]/Table1[[#This Row],[Error Span]]),"N/A"))</f>
        <v>N/A</v>
      </c>
      <c r="T287" s="1" t="str">
        <f>IF(OR(Table1[[#This Row],[Low Tol]]="",Table1[[#This Row],[High Tol]]=""),"Needs Analysis",IF(Table1[[#This Row],[Ratio]]&gt;=4,"Not Significant",IF(Table1[[#This Row],[Ratio]]&gt;=2,"Semi-Significant","Significant")))</f>
        <v>Needs Analysis</v>
      </c>
      <c r="W287" s="1">
        <f>IF(Table1[[#This Row],[Cal Type]]&lt;&gt;"ACCREDITED 17025 WITH UNCERTAINTIES",0,"")</f>
        <v>0</v>
      </c>
      <c r="X287" s="1" t="str">
        <f>IF(Table1[[#This Row],[DUT Read]]="","N/A",Table1[[#This Row],[Std Error]]+Table1[[#This Row],[DUT Read]]+Table1[[#This Row],[DUT Ucty]])</f>
        <v>N/A</v>
      </c>
      <c r="Y287" s="1" t="str">
        <f>IF(Table1[[#This Row],[Std Read]]="","N/A",Table1[[#This Row],[Std Read]]+Table1[[#This Row],[Std Ucty]])</f>
        <v>N/A</v>
      </c>
      <c r="Z2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 s="1" t="str">
        <f>IF(Table1[[#This Row],[Spec Type]]="","N/A",Table1[[#This Row],[Spec Type]])</f>
        <v>±</v>
      </c>
      <c r="AC287" s="1" t="str">
        <f>IF(Table1[[#This Row],[Spec Type2]]="N/A","N/A",IF(AND(Table1[[#This Row],[DUT Adj Read]]&gt;=Table1[[#This Row],[Low Tol]],Table1[[#This Row],[DUT Adj Read]]&lt;=Table1[[#This Row],[High Tol]]),"Pass","Fail"))</f>
        <v>Fail</v>
      </c>
      <c r="AD287" s="1" t="str">
        <f>IF(AND(Table1[[#This Row],[Spec Type2]]="N/A",Table1[[#This Row],[DUT Adj Read]]="N/A",Table1[[#This Row],[Std Adj Read]]="N/A"),"N/A",IF(Table1[[#This Row],[DUT Adj Read]]="N/A",IF(Table1[[#This Row],[Std Adj Read]]&gt;Table1[[#This Row],[Low Tol]],"Pass","Fail"),IF(Table1[[#This Row],[DUT Adj Read]]&gt;Table1[[#This Row],[Low Tol]],"Pass","Fail")))</f>
        <v>Pass</v>
      </c>
      <c r="AE287" s="1" t="str">
        <f>IF(AND(Table1[[#This Row],[Spec Type2]]="N/A",Table1[[#This Row],[DUT Adj Read]]="N/A",Table1[[#This Row],[Std Adj Read]]="N/A"),"N/A",IF(Table1[[#This Row],[DUT Adj Read]]="N/A",IF(Table1[[#This Row],[Std Adj Read]]&lt;Table1[[#This Row],[High Tol]],"Pass","Fail"),IF(Table1[[#This Row],[DUT Adj Read]]&lt;Table1[[#This Row],[High Tol]],"Pass","Fail")))</f>
        <v>Fail</v>
      </c>
      <c r="AF287" s="1" t="str">
        <f>IF(AND(Table1[[#This Row],[Spec Type2]]="N/A",Table1[[#This Row],[DUT Adj Read]]="N/A",Table1[[#This Row],[Std Adj Read]]="N/A"),"N/A",IF(Table1[[#This Row],[DUT Adj Read]]="N/A",IF(Table1[[#This Row],[Std Adj Read]]&gt;=Table1[[#This Row],[Low Tol]],"Pass","Fail"),IF(Table1[[#This Row],[DUT Adj Read]]&gt;=Table1[[#This Row],[Low Tol]],"Pass","Fail")))</f>
        <v>Pass</v>
      </c>
      <c r="AG287" s="1" t="str">
        <f>IF(AND(Table1[[#This Row],[Spec Type2]]="N/A",Table1[[#This Row],[DUT Adj Read]]="N/A",Table1[[#This Row],[Std Adj Read]]="N/A"),"N/A",IF(Table1[[#This Row],[DUT Adj Read]]="N/A",IF(Table1[[#This Row],[Std Adj Read]]&lt;=Table1[[#This Row],[High Tol]],"Pass","Fail"),IF(Table1[[#This Row],[DUT Adj Read]]&lt;=Table1[[#This Row],[High Tol]],"Pass","Fail")))</f>
        <v>Fail</v>
      </c>
      <c r="AH2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 s="1" t="b">
        <v>0</v>
      </c>
      <c r="AN287" s="1" t="b">
        <v>0</v>
      </c>
      <c r="AO287" s="1" t="b">
        <v>0</v>
      </c>
    </row>
    <row r="288" spans="1:41" x14ac:dyDescent="0.25">
      <c r="A288" s="10"/>
      <c r="B288" s="10"/>
      <c r="C288" s="10"/>
      <c r="D288" s="10"/>
      <c r="E288" s="10"/>
      <c r="F288" s="10"/>
      <c r="G288" s="10"/>
      <c r="H288" s="10"/>
      <c r="I288" s="1" t="str">
        <f t="shared" si="12"/>
        <v/>
      </c>
      <c r="J288" s="1" t="s">
        <v>35</v>
      </c>
      <c r="K288" s="1" t="str">
        <f t="shared" si="13"/>
        <v/>
      </c>
      <c r="L288" s="1" t="str">
        <f t="shared" si="14"/>
        <v/>
      </c>
      <c r="M288" s="1">
        <f>IF(OR(Table1[[#This Row],[Std Nom]]="",Table1[[#This Row],[Std Read]]=""),0,Table1[[#This Row],[Std Nom]]-Table1[[#This Row],[Std Read]])</f>
        <v>0</v>
      </c>
      <c r="N288" s="1">
        <f>IF(Calculations!$F$5="ACCREDITED 17025 WITH UNCERTAINTIES",$N$10,0)</f>
        <v>0</v>
      </c>
      <c r="Q288" s="1">
        <f>Table1[[#This Row],[High Tol]]-Table1[[#This Row],[Low Tol]]</f>
        <v>0</v>
      </c>
      <c r="R288" s="1">
        <f>2*Table1[[#This Row],[Std Error]]</f>
        <v>0</v>
      </c>
      <c r="S288" s="1" t="str">
        <f>IF(Table1[[#This Row],[High Tol]]="","N/A",IFERROR(ABS(Table1[[#This Row],[Tol Span]]/Table1[[#This Row],[Error Span]]),"N/A"))</f>
        <v>N/A</v>
      </c>
      <c r="T288" s="1" t="str">
        <f>IF(OR(Table1[[#This Row],[Low Tol]]="",Table1[[#This Row],[High Tol]]=""),"Needs Analysis",IF(Table1[[#This Row],[Ratio]]&gt;=4,"Not Significant",IF(Table1[[#This Row],[Ratio]]&gt;=2,"Semi-Significant","Significant")))</f>
        <v>Needs Analysis</v>
      </c>
      <c r="W288" s="1">
        <f>IF(Table1[[#This Row],[Cal Type]]&lt;&gt;"ACCREDITED 17025 WITH UNCERTAINTIES",0,"")</f>
        <v>0</v>
      </c>
      <c r="X288" s="1" t="str">
        <f>IF(Table1[[#This Row],[DUT Read]]="","N/A",Table1[[#This Row],[Std Error]]+Table1[[#This Row],[DUT Read]]+Table1[[#This Row],[DUT Ucty]])</f>
        <v>N/A</v>
      </c>
      <c r="Y288" s="1" t="str">
        <f>IF(Table1[[#This Row],[Std Read]]="","N/A",Table1[[#This Row],[Std Read]]+Table1[[#This Row],[Std Ucty]])</f>
        <v>N/A</v>
      </c>
      <c r="Z2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 s="1" t="str">
        <f>IF(Table1[[#This Row],[Spec Type]]="","N/A",Table1[[#This Row],[Spec Type]])</f>
        <v>±</v>
      </c>
      <c r="AC288" s="1" t="str">
        <f>IF(Table1[[#This Row],[Spec Type2]]="N/A","N/A",IF(AND(Table1[[#This Row],[DUT Adj Read]]&gt;=Table1[[#This Row],[Low Tol]],Table1[[#This Row],[DUT Adj Read]]&lt;=Table1[[#This Row],[High Tol]]),"Pass","Fail"))</f>
        <v>Fail</v>
      </c>
      <c r="AD288" s="1" t="str">
        <f>IF(AND(Table1[[#This Row],[Spec Type2]]="N/A",Table1[[#This Row],[DUT Adj Read]]="N/A",Table1[[#This Row],[Std Adj Read]]="N/A"),"N/A",IF(Table1[[#This Row],[DUT Adj Read]]="N/A",IF(Table1[[#This Row],[Std Adj Read]]&gt;Table1[[#This Row],[Low Tol]],"Pass","Fail"),IF(Table1[[#This Row],[DUT Adj Read]]&gt;Table1[[#This Row],[Low Tol]],"Pass","Fail")))</f>
        <v>Pass</v>
      </c>
      <c r="AE288" s="1" t="str">
        <f>IF(AND(Table1[[#This Row],[Spec Type2]]="N/A",Table1[[#This Row],[DUT Adj Read]]="N/A",Table1[[#This Row],[Std Adj Read]]="N/A"),"N/A",IF(Table1[[#This Row],[DUT Adj Read]]="N/A",IF(Table1[[#This Row],[Std Adj Read]]&lt;Table1[[#This Row],[High Tol]],"Pass","Fail"),IF(Table1[[#This Row],[DUT Adj Read]]&lt;Table1[[#This Row],[High Tol]],"Pass","Fail")))</f>
        <v>Fail</v>
      </c>
      <c r="AF288" s="1" t="str">
        <f>IF(AND(Table1[[#This Row],[Spec Type2]]="N/A",Table1[[#This Row],[DUT Adj Read]]="N/A",Table1[[#This Row],[Std Adj Read]]="N/A"),"N/A",IF(Table1[[#This Row],[DUT Adj Read]]="N/A",IF(Table1[[#This Row],[Std Adj Read]]&gt;=Table1[[#This Row],[Low Tol]],"Pass","Fail"),IF(Table1[[#This Row],[DUT Adj Read]]&gt;=Table1[[#This Row],[Low Tol]],"Pass","Fail")))</f>
        <v>Pass</v>
      </c>
      <c r="AG288" s="1" t="str">
        <f>IF(AND(Table1[[#This Row],[Spec Type2]]="N/A",Table1[[#This Row],[DUT Adj Read]]="N/A",Table1[[#This Row],[Std Adj Read]]="N/A"),"N/A",IF(Table1[[#This Row],[DUT Adj Read]]="N/A",IF(Table1[[#This Row],[Std Adj Read]]&lt;=Table1[[#This Row],[High Tol]],"Pass","Fail"),IF(Table1[[#This Row],[DUT Adj Read]]&lt;=Table1[[#This Row],[High Tol]],"Pass","Fail")))</f>
        <v>Fail</v>
      </c>
      <c r="AH2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 s="1" t="b">
        <v>0</v>
      </c>
      <c r="AN288" s="1" t="b">
        <v>0</v>
      </c>
      <c r="AO288" s="1" t="b">
        <v>0</v>
      </c>
    </row>
    <row r="289" spans="1:41" x14ac:dyDescent="0.25">
      <c r="A289" s="10"/>
      <c r="B289" s="10"/>
      <c r="C289" s="10"/>
      <c r="D289" s="10"/>
      <c r="E289" s="10"/>
      <c r="F289" s="10"/>
      <c r="G289" s="10"/>
      <c r="H289" s="10"/>
      <c r="I289" s="1" t="str">
        <f t="shared" si="12"/>
        <v/>
      </c>
      <c r="J289" s="1" t="s">
        <v>35</v>
      </c>
      <c r="K289" s="1" t="str">
        <f t="shared" si="13"/>
        <v/>
      </c>
      <c r="L289" s="1" t="str">
        <f t="shared" si="14"/>
        <v/>
      </c>
      <c r="M289" s="1">
        <f>IF(OR(Table1[[#This Row],[Std Nom]]="",Table1[[#This Row],[Std Read]]=""),0,Table1[[#This Row],[Std Nom]]-Table1[[#This Row],[Std Read]])</f>
        <v>0</v>
      </c>
      <c r="N289" s="1">
        <f>IF(Calculations!$F$5="ACCREDITED 17025 WITH UNCERTAINTIES",$N$10,0)</f>
        <v>0</v>
      </c>
      <c r="Q289" s="1">
        <f>Table1[[#This Row],[High Tol]]-Table1[[#This Row],[Low Tol]]</f>
        <v>0</v>
      </c>
      <c r="R289" s="1">
        <f>2*Table1[[#This Row],[Std Error]]</f>
        <v>0</v>
      </c>
      <c r="S289" s="1" t="str">
        <f>IF(Table1[[#This Row],[High Tol]]="","N/A",IFERROR(ABS(Table1[[#This Row],[Tol Span]]/Table1[[#This Row],[Error Span]]),"N/A"))</f>
        <v>N/A</v>
      </c>
      <c r="T289" s="1" t="str">
        <f>IF(OR(Table1[[#This Row],[Low Tol]]="",Table1[[#This Row],[High Tol]]=""),"Needs Analysis",IF(Table1[[#This Row],[Ratio]]&gt;=4,"Not Significant",IF(Table1[[#This Row],[Ratio]]&gt;=2,"Semi-Significant","Significant")))</f>
        <v>Needs Analysis</v>
      </c>
      <c r="W289" s="1">
        <f>IF(Table1[[#This Row],[Cal Type]]&lt;&gt;"ACCREDITED 17025 WITH UNCERTAINTIES",0,"")</f>
        <v>0</v>
      </c>
      <c r="X289" s="1" t="str">
        <f>IF(Table1[[#This Row],[DUT Read]]="","N/A",Table1[[#This Row],[Std Error]]+Table1[[#This Row],[DUT Read]]+Table1[[#This Row],[DUT Ucty]])</f>
        <v>N/A</v>
      </c>
      <c r="Y289" s="1" t="str">
        <f>IF(Table1[[#This Row],[Std Read]]="","N/A",Table1[[#This Row],[Std Read]]+Table1[[#This Row],[Std Ucty]])</f>
        <v>N/A</v>
      </c>
      <c r="Z2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 s="1" t="str">
        <f>IF(Table1[[#This Row],[Spec Type]]="","N/A",Table1[[#This Row],[Spec Type]])</f>
        <v>±</v>
      </c>
      <c r="AC289" s="1" t="str">
        <f>IF(Table1[[#This Row],[Spec Type2]]="N/A","N/A",IF(AND(Table1[[#This Row],[DUT Adj Read]]&gt;=Table1[[#This Row],[Low Tol]],Table1[[#This Row],[DUT Adj Read]]&lt;=Table1[[#This Row],[High Tol]]),"Pass","Fail"))</f>
        <v>Fail</v>
      </c>
      <c r="AD289" s="1" t="str">
        <f>IF(AND(Table1[[#This Row],[Spec Type2]]="N/A",Table1[[#This Row],[DUT Adj Read]]="N/A",Table1[[#This Row],[Std Adj Read]]="N/A"),"N/A",IF(Table1[[#This Row],[DUT Adj Read]]="N/A",IF(Table1[[#This Row],[Std Adj Read]]&gt;Table1[[#This Row],[Low Tol]],"Pass","Fail"),IF(Table1[[#This Row],[DUT Adj Read]]&gt;Table1[[#This Row],[Low Tol]],"Pass","Fail")))</f>
        <v>Pass</v>
      </c>
      <c r="AE289" s="1" t="str">
        <f>IF(AND(Table1[[#This Row],[Spec Type2]]="N/A",Table1[[#This Row],[DUT Adj Read]]="N/A",Table1[[#This Row],[Std Adj Read]]="N/A"),"N/A",IF(Table1[[#This Row],[DUT Adj Read]]="N/A",IF(Table1[[#This Row],[Std Adj Read]]&lt;Table1[[#This Row],[High Tol]],"Pass","Fail"),IF(Table1[[#This Row],[DUT Adj Read]]&lt;Table1[[#This Row],[High Tol]],"Pass","Fail")))</f>
        <v>Fail</v>
      </c>
      <c r="AF289" s="1" t="str">
        <f>IF(AND(Table1[[#This Row],[Spec Type2]]="N/A",Table1[[#This Row],[DUT Adj Read]]="N/A",Table1[[#This Row],[Std Adj Read]]="N/A"),"N/A",IF(Table1[[#This Row],[DUT Adj Read]]="N/A",IF(Table1[[#This Row],[Std Adj Read]]&gt;=Table1[[#This Row],[Low Tol]],"Pass","Fail"),IF(Table1[[#This Row],[DUT Adj Read]]&gt;=Table1[[#This Row],[Low Tol]],"Pass","Fail")))</f>
        <v>Pass</v>
      </c>
      <c r="AG289" s="1" t="str">
        <f>IF(AND(Table1[[#This Row],[Spec Type2]]="N/A",Table1[[#This Row],[DUT Adj Read]]="N/A",Table1[[#This Row],[Std Adj Read]]="N/A"),"N/A",IF(Table1[[#This Row],[DUT Adj Read]]="N/A",IF(Table1[[#This Row],[Std Adj Read]]&lt;=Table1[[#This Row],[High Tol]],"Pass","Fail"),IF(Table1[[#This Row],[DUT Adj Read]]&lt;=Table1[[#This Row],[High Tol]],"Pass","Fail")))</f>
        <v>Fail</v>
      </c>
      <c r="AH2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 s="1" t="b">
        <v>0</v>
      </c>
      <c r="AN289" s="1" t="b">
        <v>0</v>
      </c>
      <c r="AO289" s="1" t="b">
        <v>0</v>
      </c>
    </row>
    <row r="290" spans="1:41" x14ac:dyDescent="0.25">
      <c r="A290" s="10"/>
      <c r="B290" s="10"/>
      <c r="C290" s="10"/>
      <c r="D290" s="10"/>
      <c r="E290" s="10"/>
      <c r="F290" s="10"/>
      <c r="G290" s="10"/>
      <c r="H290" s="10"/>
      <c r="I290" s="1" t="str">
        <f t="shared" si="12"/>
        <v/>
      </c>
      <c r="J290" s="1" t="s">
        <v>35</v>
      </c>
      <c r="K290" s="1" t="str">
        <f t="shared" si="13"/>
        <v/>
      </c>
      <c r="L290" s="1" t="str">
        <f t="shared" si="14"/>
        <v/>
      </c>
      <c r="M290" s="1">
        <f>IF(OR(Table1[[#This Row],[Std Nom]]="",Table1[[#This Row],[Std Read]]=""),0,Table1[[#This Row],[Std Nom]]-Table1[[#This Row],[Std Read]])</f>
        <v>0</v>
      </c>
      <c r="N290" s="1">
        <f>IF(Calculations!$F$5="ACCREDITED 17025 WITH UNCERTAINTIES",$N$10,0)</f>
        <v>0</v>
      </c>
      <c r="Q290" s="1">
        <f>Table1[[#This Row],[High Tol]]-Table1[[#This Row],[Low Tol]]</f>
        <v>0</v>
      </c>
      <c r="R290" s="1">
        <f>2*Table1[[#This Row],[Std Error]]</f>
        <v>0</v>
      </c>
      <c r="S290" s="1" t="str">
        <f>IF(Table1[[#This Row],[High Tol]]="","N/A",IFERROR(ABS(Table1[[#This Row],[Tol Span]]/Table1[[#This Row],[Error Span]]),"N/A"))</f>
        <v>N/A</v>
      </c>
      <c r="T290" s="1" t="str">
        <f>IF(OR(Table1[[#This Row],[Low Tol]]="",Table1[[#This Row],[High Tol]]=""),"Needs Analysis",IF(Table1[[#This Row],[Ratio]]&gt;=4,"Not Significant",IF(Table1[[#This Row],[Ratio]]&gt;=2,"Semi-Significant","Significant")))</f>
        <v>Needs Analysis</v>
      </c>
      <c r="W290" s="1">
        <f>IF(Table1[[#This Row],[Cal Type]]&lt;&gt;"ACCREDITED 17025 WITH UNCERTAINTIES",0,"")</f>
        <v>0</v>
      </c>
      <c r="X290" s="1" t="str">
        <f>IF(Table1[[#This Row],[DUT Read]]="","N/A",Table1[[#This Row],[Std Error]]+Table1[[#This Row],[DUT Read]]+Table1[[#This Row],[DUT Ucty]])</f>
        <v>N/A</v>
      </c>
      <c r="Y290" s="1" t="str">
        <f>IF(Table1[[#This Row],[Std Read]]="","N/A",Table1[[#This Row],[Std Read]]+Table1[[#This Row],[Std Ucty]])</f>
        <v>N/A</v>
      </c>
      <c r="Z2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 s="1" t="str">
        <f>IF(Table1[[#This Row],[Spec Type]]="","N/A",Table1[[#This Row],[Spec Type]])</f>
        <v>±</v>
      </c>
      <c r="AC290" s="1" t="str">
        <f>IF(Table1[[#This Row],[Spec Type2]]="N/A","N/A",IF(AND(Table1[[#This Row],[DUT Adj Read]]&gt;=Table1[[#This Row],[Low Tol]],Table1[[#This Row],[DUT Adj Read]]&lt;=Table1[[#This Row],[High Tol]]),"Pass","Fail"))</f>
        <v>Fail</v>
      </c>
      <c r="AD290" s="1" t="str">
        <f>IF(AND(Table1[[#This Row],[Spec Type2]]="N/A",Table1[[#This Row],[DUT Adj Read]]="N/A",Table1[[#This Row],[Std Adj Read]]="N/A"),"N/A",IF(Table1[[#This Row],[DUT Adj Read]]="N/A",IF(Table1[[#This Row],[Std Adj Read]]&gt;Table1[[#This Row],[Low Tol]],"Pass","Fail"),IF(Table1[[#This Row],[DUT Adj Read]]&gt;Table1[[#This Row],[Low Tol]],"Pass","Fail")))</f>
        <v>Pass</v>
      </c>
      <c r="AE290" s="1" t="str">
        <f>IF(AND(Table1[[#This Row],[Spec Type2]]="N/A",Table1[[#This Row],[DUT Adj Read]]="N/A",Table1[[#This Row],[Std Adj Read]]="N/A"),"N/A",IF(Table1[[#This Row],[DUT Adj Read]]="N/A",IF(Table1[[#This Row],[Std Adj Read]]&lt;Table1[[#This Row],[High Tol]],"Pass","Fail"),IF(Table1[[#This Row],[DUT Adj Read]]&lt;Table1[[#This Row],[High Tol]],"Pass","Fail")))</f>
        <v>Fail</v>
      </c>
      <c r="AF290" s="1" t="str">
        <f>IF(AND(Table1[[#This Row],[Spec Type2]]="N/A",Table1[[#This Row],[DUT Adj Read]]="N/A",Table1[[#This Row],[Std Adj Read]]="N/A"),"N/A",IF(Table1[[#This Row],[DUT Adj Read]]="N/A",IF(Table1[[#This Row],[Std Adj Read]]&gt;=Table1[[#This Row],[Low Tol]],"Pass","Fail"),IF(Table1[[#This Row],[DUT Adj Read]]&gt;=Table1[[#This Row],[Low Tol]],"Pass","Fail")))</f>
        <v>Pass</v>
      </c>
      <c r="AG290" s="1" t="str">
        <f>IF(AND(Table1[[#This Row],[Spec Type2]]="N/A",Table1[[#This Row],[DUT Adj Read]]="N/A",Table1[[#This Row],[Std Adj Read]]="N/A"),"N/A",IF(Table1[[#This Row],[DUT Adj Read]]="N/A",IF(Table1[[#This Row],[Std Adj Read]]&lt;=Table1[[#This Row],[High Tol]],"Pass","Fail"),IF(Table1[[#This Row],[DUT Adj Read]]&lt;=Table1[[#This Row],[High Tol]],"Pass","Fail")))</f>
        <v>Fail</v>
      </c>
      <c r="AH2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 s="1" t="b">
        <v>0</v>
      </c>
      <c r="AN290" s="1" t="b">
        <v>0</v>
      </c>
      <c r="AO290" s="1" t="b">
        <v>0</v>
      </c>
    </row>
    <row r="291" spans="1:41" x14ac:dyDescent="0.25">
      <c r="A291" s="10"/>
      <c r="B291" s="10"/>
      <c r="C291" s="10"/>
      <c r="D291" s="10"/>
      <c r="E291" s="10"/>
      <c r="F291" s="10"/>
      <c r="G291" s="10"/>
      <c r="H291" s="10"/>
      <c r="I291" s="1" t="str">
        <f t="shared" si="12"/>
        <v/>
      </c>
      <c r="J291" s="1" t="s">
        <v>35</v>
      </c>
      <c r="K291" s="1" t="str">
        <f t="shared" si="13"/>
        <v/>
      </c>
      <c r="L291" s="1" t="str">
        <f t="shared" si="14"/>
        <v/>
      </c>
      <c r="M291" s="1">
        <f>IF(OR(Table1[[#This Row],[Std Nom]]="",Table1[[#This Row],[Std Read]]=""),0,Table1[[#This Row],[Std Nom]]-Table1[[#This Row],[Std Read]])</f>
        <v>0</v>
      </c>
      <c r="N291" s="1">
        <f>IF(Calculations!$F$5="ACCREDITED 17025 WITH UNCERTAINTIES",$N$10,0)</f>
        <v>0</v>
      </c>
      <c r="Q291" s="1">
        <f>Table1[[#This Row],[High Tol]]-Table1[[#This Row],[Low Tol]]</f>
        <v>0</v>
      </c>
      <c r="R291" s="1">
        <f>2*Table1[[#This Row],[Std Error]]</f>
        <v>0</v>
      </c>
      <c r="S291" s="1" t="str">
        <f>IF(Table1[[#This Row],[High Tol]]="","N/A",IFERROR(ABS(Table1[[#This Row],[Tol Span]]/Table1[[#This Row],[Error Span]]),"N/A"))</f>
        <v>N/A</v>
      </c>
      <c r="T291" s="1" t="str">
        <f>IF(OR(Table1[[#This Row],[Low Tol]]="",Table1[[#This Row],[High Tol]]=""),"Needs Analysis",IF(Table1[[#This Row],[Ratio]]&gt;=4,"Not Significant",IF(Table1[[#This Row],[Ratio]]&gt;=2,"Semi-Significant","Significant")))</f>
        <v>Needs Analysis</v>
      </c>
      <c r="W291" s="1">
        <f>IF(Table1[[#This Row],[Cal Type]]&lt;&gt;"ACCREDITED 17025 WITH UNCERTAINTIES",0,"")</f>
        <v>0</v>
      </c>
      <c r="X291" s="1" t="str">
        <f>IF(Table1[[#This Row],[DUT Read]]="","N/A",Table1[[#This Row],[Std Error]]+Table1[[#This Row],[DUT Read]]+Table1[[#This Row],[DUT Ucty]])</f>
        <v>N/A</v>
      </c>
      <c r="Y291" s="1" t="str">
        <f>IF(Table1[[#This Row],[Std Read]]="","N/A",Table1[[#This Row],[Std Read]]+Table1[[#This Row],[Std Ucty]])</f>
        <v>N/A</v>
      </c>
      <c r="Z2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 s="1" t="str">
        <f>IF(Table1[[#This Row],[Spec Type]]="","N/A",Table1[[#This Row],[Spec Type]])</f>
        <v>±</v>
      </c>
      <c r="AC291" s="1" t="str">
        <f>IF(Table1[[#This Row],[Spec Type2]]="N/A","N/A",IF(AND(Table1[[#This Row],[DUT Adj Read]]&gt;=Table1[[#This Row],[Low Tol]],Table1[[#This Row],[DUT Adj Read]]&lt;=Table1[[#This Row],[High Tol]]),"Pass","Fail"))</f>
        <v>Fail</v>
      </c>
      <c r="AD291" s="1" t="str">
        <f>IF(AND(Table1[[#This Row],[Spec Type2]]="N/A",Table1[[#This Row],[DUT Adj Read]]="N/A",Table1[[#This Row],[Std Adj Read]]="N/A"),"N/A",IF(Table1[[#This Row],[DUT Adj Read]]="N/A",IF(Table1[[#This Row],[Std Adj Read]]&gt;Table1[[#This Row],[Low Tol]],"Pass","Fail"),IF(Table1[[#This Row],[DUT Adj Read]]&gt;Table1[[#This Row],[Low Tol]],"Pass","Fail")))</f>
        <v>Pass</v>
      </c>
      <c r="AE291" s="1" t="str">
        <f>IF(AND(Table1[[#This Row],[Spec Type2]]="N/A",Table1[[#This Row],[DUT Adj Read]]="N/A",Table1[[#This Row],[Std Adj Read]]="N/A"),"N/A",IF(Table1[[#This Row],[DUT Adj Read]]="N/A",IF(Table1[[#This Row],[Std Adj Read]]&lt;Table1[[#This Row],[High Tol]],"Pass","Fail"),IF(Table1[[#This Row],[DUT Adj Read]]&lt;Table1[[#This Row],[High Tol]],"Pass","Fail")))</f>
        <v>Fail</v>
      </c>
      <c r="AF291" s="1" t="str">
        <f>IF(AND(Table1[[#This Row],[Spec Type2]]="N/A",Table1[[#This Row],[DUT Adj Read]]="N/A",Table1[[#This Row],[Std Adj Read]]="N/A"),"N/A",IF(Table1[[#This Row],[DUT Adj Read]]="N/A",IF(Table1[[#This Row],[Std Adj Read]]&gt;=Table1[[#This Row],[Low Tol]],"Pass","Fail"),IF(Table1[[#This Row],[DUT Adj Read]]&gt;=Table1[[#This Row],[Low Tol]],"Pass","Fail")))</f>
        <v>Pass</v>
      </c>
      <c r="AG291" s="1" t="str">
        <f>IF(AND(Table1[[#This Row],[Spec Type2]]="N/A",Table1[[#This Row],[DUT Adj Read]]="N/A",Table1[[#This Row],[Std Adj Read]]="N/A"),"N/A",IF(Table1[[#This Row],[DUT Adj Read]]="N/A",IF(Table1[[#This Row],[Std Adj Read]]&lt;=Table1[[#This Row],[High Tol]],"Pass","Fail"),IF(Table1[[#This Row],[DUT Adj Read]]&lt;=Table1[[#This Row],[High Tol]],"Pass","Fail")))</f>
        <v>Fail</v>
      </c>
      <c r="AH2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 s="1" t="b">
        <v>0</v>
      </c>
      <c r="AN291" s="1" t="b">
        <v>0</v>
      </c>
      <c r="AO291" s="1" t="b">
        <v>0</v>
      </c>
    </row>
    <row r="292" spans="1:41" x14ac:dyDescent="0.25">
      <c r="A292" s="10"/>
      <c r="B292" s="10"/>
      <c r="C292" s="10"/>
      <c r="D292" s="10"/>
      <c r="E292" s="10"/>
      <c r="F292" s="10"/>
      <c r="G292" s="10"/>
      <c r="H292" s="10"/>
      <c r="I292" s="1" t="str">
        <f t="shared" si="12"/>
        <v/>
      </c>
      <c r="J292" s="1" t="s">
        <v>35</v>
      </c>
      <c r="K292" s="1" t="str">
        <f t="shared" si="13"/>
        <v/>
      </c>
      <c r="L292" s="1" t="str">
        <f t="shared" si="14"/>
        <v/>
      </c>
      <c r="M292" s="1">
        <f>IF(OR(Table1[[#This Row],[Std Nom]]="",Table1[[#This Row],[Std Read]]=""),0,Table1[[#This Row],[Std Nom]]-Table1[[#This Row],[Std Read]])</f>
        <v>0</v>
      </c>
      <c r="N292" s="1">
        <f>IF(Calculations!$F$5="ACCREDITED 17025 WITH UNCERTAINTIES",$N$10,0)</f>
        <v>0</v>
      </c>
      <c r="Q292" s="1">
        <f>Table1[[#This Row],[High Tol]]-Table1[[#This Row],[Low Tol]]</f>
        <v>0</v>
      </c>
      <c r="R292" s="1">
        <f>2*Table1[[#This Row],[Std Error]]</f>
        <v>0</v>
      </c>
      <c r="S292" s="1" t="str">
        <f>IF(Table1[[#This Row],[High Tol]]="","N/A",IFERROR(ABS(Table1[[#This Row],[Tol Span]]/Table1[[#This Row],[Error Span]]),"N/A"))</f>
        <v>N/A</v>
      </c>
      <c r="T292" s="1" t="str">
        <f>IF(OR(Table1[[#This Row],[Low Tol]]="",Table1[[#This Row],[High Tol]]=""),"Needs Analysis",IF(Table1[[#This Row],[Ratio]]&gt;=4,"Not Significant",IF(Table1[[#This Row],[Ratio]]&gt;=2,"Semi-Significant","Significant")))</f>
        <v>Needs Analysis</v>
      </c>
      <c r="W292" s="1">
        <f>IF(Table1[[#This Row],[Cal Type]]&lt;&gt;"ACCREDITED 17025 WITH UNCERTAINTIES",0,"")</f>
        <v>0</v>
      </c>
      <c r="X292" s="1" t="str">
        <f>IF(Table1[[#This Row],[DUT Read]]="","N/A",Table1[[#This Row],[Std Error]]+Table1[[#This Row],[DUT Read]]+Table1[[#This Row],[DUT Ucty]])</f>
        <v>N/A</v>
      </c>
      <c r="Y292" s="1" t="str">
        <f>IF(Table1[[#This Row],[Std Read]]="","N/A",Table1[[#This Row],[Std Read]]+Table1[[#This Row],[Std Ucty]])</f>
        <v>N/A</v>
      </c>
      <c r="Z2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 s="1" t="str">
        <f>IF(Table1[[#This Row],[Spec Type]]="","N/A",Table1[[#This Row],[Spec Type]])</f>
        <v>±</v>
      </c>
      <c r="AC292" s="1" t="str">
        <f>IF(Table1[[#This Row],[Spec Type2]]="N/A","N/A",IF(AND(Table1[[#This Row],[DUT Adj Read]]&gt;=Table1[[#This Row],[Low Tol]],Table1[[#This Row],[DUT Adj Read]]&lt;=Table1[[#This Row],[High Tol]]),"Pass","Fail"))</f>
        <v>Fail</v>
      </c>
      <c r="AD292" s="1" t="str">
        <f>IF(AND(Table1[[#This Row],[Spec Type2]]="N/A",Table1[[#This Row],[DUT Adj Read]]="N/A",Table1[[#This Row],[Std Adj Read]]="N/A"),"N/A",IF(Table1[[#This Row],[DUT Adj Read]]="N/A",IF(Table1[[#This Row],[Std Adj Read]]&gt;Table1[[#This Row],[Low Tol]],"Pass","Fail"),IF(Table1[[#This Row],[DUT Adj Read]]&gt;Table1[[#This Row],[Low Tol]],"Pass","Fail")))</f>
        <v>Pass</v>
      </c>
      <c r="AE292" s="1" t="str">
        <f>IF(AND(Table1[[#This Row],[Spec Type2]]="N/A",Table1[[#This Row],[DUT Adj Read]]="N/A",Table1[[#This Row],[Std Adj Read]]="N/A"),"N/A",IF(Table1[[#This Row],[DUT Adj Read]]="N/A",IF(Table1[[#This Row],[Std Adj Read]]&lt;Table1[[#This Row],[High Tol]],"Pass","Fail"),IF(Table1[[#This Row],[DUT Adj Read]]&lt;Table1[[#This Row],[High Tol]],"Pass","Fail")))</f>
        <v>Fail</v>
      </c>
      <c r="AF292" s="1" t="str">
        <f>IF(AND(Table1[[#This Row],[Spec Type2]]="N/A",Table1[[#This Row],[DUT Adj Read]]="N/A",Table1[[#This Row],[Std Adj Read]]="N/A"),"N/A",IF(Table1[[#This Row],[DUT Adj Read]]="N/A",IF(Table1[[#This Row],[Std Adj Read]]&gt;=Table1[[#This Row],[Low Tol]],"Pass","Fail"),IF(Table1[[#This Row],[DUT Adj Read]]&gt;=Table1[[#This Row],[Low Tol]],"Pass","Fail")))</f>
        <v>Pass</v>
      </c>
      <c r="AG292" s="1" t="str">
        <f>IF(AND(Table1[[#This Row],[Spec Type2]]="N/A",Table1[[#This Row],[DUT Adj Read]]="N/A",Table1[[#This Row],[Std Adj Read]]="N/A"),"N/A",IF(Table1[[#This Row],[DUT Adj Read]]="N/A",IF(Table1[[#This Row],[Std Adj Read]]&lt;=Table1[[#This Row],[High Tol]],"Pass","Fail"),IF(Table1[[#This Row],[DUT Adj Read]]&lt;=Table1[[#This Row],[High Tol]],"Pass","Fail")))</f>
        <v>Fail</v>
      </c>
      <c r="AH2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 s="1" t="b">
        <v>0</v>
      </c>
      <c r="AN292" s="1" t="b">
        <v>0</v>
      </c>
      <c r="AO292" s="1" t="b">
        <v>0</v>
      </c>
    </row>
    <row r="293" spans="1:41" x14ac:dyDescent="0.25">
      <c r="A293" s="10"/>
      <c r="B293" s="10"/>
      <c r="C293" s="10"/>
      <c r="D293" s="10"/>
      <c r="E293" s="10"/>
      <c r="F293" s="10"/>
      <c r="G293" s="10"/>
      <c r="H293" s="10"/>
      <c r="I293" s="1" t="str">
        <f t="shared" si="12"/>
        <v/>
      </c>
      <c r="J293" s="1" t="s">
        <v>35</v>
      </c>
      <c r="K293" s="1" t="str">
        <f t="shared" si="13"/>
        <v/>
      </c>
      <c r="L293" s="1" t="str">
        <f t="shared" si="14"/>
        <v/>
      </c>
      <c r="M293" s="1">
        <f>IF(OR(Table1[[#This Row],[Std Nom]]="",Table1[[#This Row],[Std Read]]=""),0,Table1[[#This Row],[Std Nom]]-Table1[[#This Row],[Std Read]])</f>
        <v>0</v>
      </c>
      <c r="N293" s="1">
        <f>IF(Calculations!$F$5="ACCREDITED 17025 WITH UNCERTAINTIES",$N$10,0)</f>
        <v>0</v>
      </c>
      <c r="Q293" s="1">
        <f>Table1[[#This Row],[High Tol]]-Table1[[#This Row],[Low Tol]]</f>
        <v>0</v>
      </c>
      <c r="R293" s="1">
        <f>2*Table1[[#This Row],[Std Error]]</f>
        <v>0</v>
      </c>
      <c r="S293" s="1" t="str">
        <f>IF(Table1[[#This Row],[High Tol]]="","N/A",IFERROR(ABS(Table1[[#This Row],[Tol Span]]/Table1[[#This Row],[Error Span]]),"N/A"))</f>
        <v>N/A</v>
      </c>
      <c r="T293" s="1" t="str">
        <f>IF(OR(Table1[[#This Row],[Low Tol]]="",Table1[[#This Row],[High Tol]]=""),"Needs Analysis",IF(Table1[[#This Row],[Ratio]]&gt;=4,"Not Significant",IF(Table1[[#This Row],[Ratio]]&gt;=2,"Semi-Significant","Significant")))</f>
        <v>Needs Analysis</v>
      </c>
      <c r="W293" s="1">
        <f>IF(Table1[[#This Row],[Cal Type]]&lt;&gt;"ACCREDITED 17025 WITH UNCERTAINTIES",0,"")</f>
        <v>0</v>
      </c>
      <c r="X293" s="1" t="str">
        <f>IF(Table1[[#This Row],[DUT Read]]="","N/A",Table1[[#This Row],[Std Error]]+Table1[[#This Row],[DUT Read]]+Table1[[#This Row],[DUT Ucty]])</f>
        <v>N/A</v>
      </c>
      <c r="Y293" s="1" t="str">
        <f>IF(Table1[[#This Row],[Std Read]]="","N/A",Table1[[#This Row],[Std Read]]+Table1[[#This Row],[Std Ucty]])</f>
        <v>N/A</v>
      </c>
      <c r="Z2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 s="1" t="str">
        <f>IF(Table1[[#This Row],[Spec Type]]="","N/A",Table1[[#This Row],[Spec Type]])</f>
        <v>±</v>
      </c>
      <c r="AC293" s="1" t="str">
        <f>IF(Table1[[#This Row],[Spec Type2]]="N/A","N/A",IF(AND(Table1[[#This Row],[DUT Adj Read]]&gt;=Table1[[#This Row],[Low Tol]],Table1[[#This Row],[DUT Adj Read]]&lt;=Table1[[#This Row],[High Tol]]),"Pass","Fail"))</f>
        <v>Fail</v>
      </c>
      <c r="AD293" s="1" t="str">
        <f>IF(AND(Table1[[#This Row],[Spec Type2]]="N/A",Table1[[#This Row],[DUT Adj Read]]="N/A",Table1[[#This Row],[Std Adj Read]]="N/A"),"N/A",IF(Table1[[#This Row],[DUT Adj Read]]="N/A",IF(Table1[[#This Row],[Std Adj Read]]&gt;Table1[[#This Row],[Low Tol]],"Pass","Fail"),IF(Table1[[#This Row],[DUT Adj Read]]&gt;Table1[[#This Row],[Low Tol]],"Pass","Fail")))</f>
        <v>Pass</v>
      </c>
      <c r="AE293" s="1" t="str">
        <f>IF(AND(Table1[[#This Row],[Spec Type2]]="N/A",Table1[[#This Row],[DUT Adj Read]]="N/A",Table1[[#This Row],[Std Adj Read]]="N/A"),"N/A",IF(Table1[[#This Row],[DUT Adj Read]]="N/A",IF(Table1[[#This Row],[Std Adj Read]]&lt;Table1[[#This Row],[High Tol]],"Pass","Fail"),IF(Table1[[#This Row],[DUT Adj Read]]&lt;Table1[[#This Row],[High Tol]],"Pass","Fail")))</f>
        <v>Fail</v>
      </c>
      <c r="AF293" s="1" t="str">
        <f>IF(AND(Table1[[#This Row],[Spec Type2]]="N/A",Table1[[#This Row],[DUT Adj Read]]="N/A",Table1[[#This Row],[Std Adj Read]]="N/A"),"N/A",IF(Table1[[#This Row],[DUT Adj Read]]="N/A",IF(Table1[[#This Row],[Std Adj Read]]&gt;=Table1[[#This Row],[Low Tol]],"Pass","Fail"),IF(Table1[[#This Row],[DUT Adj Read]]&gt;=Table1[[#This Row],[Low Tol]],"Pass","Fail")))</f>
        <v>Pass</v>
      </c>
      <c r="AG293" s="1" t="str">
        <f>IF(AND(Table1[[#This Row],[Spec Type2]]="N/A",Table1[[#This Row],[DUT Adj Read]]="N/A",Table1[[#This Row],[Std Adj Read]]="N/A"),"N/A",IF(Table1[[#This Row],[DUT Adj Read]]="N/A",IF(Table1[[#This Row],[Std Adj Read]]&lt;=Table1[[#This Row],[High Tol]],"Pass","Fail"),IF(Table1[[#This Row],[DUT Adj Read]]&lt;=Table1[[#This Row],[High Tol]],"Pass","Fail")))</f>
        <v>Fail</v>
      </c>
      <c r="AH2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 s="1" t="b">
        <v>0</v>
      </c>
      <c r="AN293" s="1" t="b">
        <v>0</v>
      </c>
      <c r="AO293" s="1" t="b">
        <v>0</v>
      </c>
    </row>
    <row r="294" spans="1:41" x14ac:dyDescent="0.25">
      <c r="A294" s="10"/>
      <c r="B294" s="10"/>
      <c r="C294" s="10"/>
      <c r="D294" s="10"/>
      <c r="E294" s="10"/>
      <c r="F294" s="10"/>
      <c r="G294" s="10"/>
      <c r="H294" s="10"/>
      <c r="I294" s="1" t="str">
        <f t="shared" si="12"/>
        <v/>
      </c>
      <c r="J294" s="1" t="s">
        <v>35</v>
      </c>
      <c r="K294" s="1" t="str">
        <f t="shared" si="13"/>
        <v/>
      </c>
      <c r="L294" s="1" t="str">
        <f t="shared" si="14"/>
        <v/>
      </c>
      <c r="M294" s="1">
        <f>IF(OR(Table1[[#This Row],[Std Nom]]="",Table1[[#This Row],[Std Read]]=""),0,Table1[[#This Row],[Std Nom]]-Table1[[#This Row],[Std Read]])</f>
        <v>0</v>
      </c>
      <c r="N294" s="1">
        <f>IF(Calculations!$F$5="ACCREDITED 17025 WITH UNCERTAINTIES",$N$10,0)</f>
        <v>0</v>
      </c>
      <c r="Q294" s="1">
        <f>Table1[[#This Row],[High Tol]]-Table1[[#This Row],[Low Tol]]</f>
        <v>0</v>
      </c>
      <c r="R294" s="1">
        <f>2*Table1[[#This Row],[Std Error]]</f>
        <v>0</v>
      </c>
      <c r="S294" s="1" t="str">
        <f>IF(Table1[[#This Row],[High Tol]]="","N/A",IFERROR(ABS(Table1[[#This Row],[Tol Span]]/Table1[[#This Row],[Error Span]]),"N/A"))</f>
        <v>N/A</v>
      </c>
      <c r="T294" s="1" t="str">
        <f>IF(OR(Table1[[#This Row],[Low Tol]]="",Table1[[#This Row],[High Tol]]=""),"Needs Analysis",IF(Table1[[#This Row],[Ratio]]&gt;=4,"Not Significant",IF(Table1[[#This Row],[Ratio]]&gt;=2,"Semi-Significant","Significant")))</f>
        <v>Needs Analysis</v>
      </c>
      <c r="W294" s="1">
        <f>IF(Table1[[#This Row],[Cal Type]]&lt;&gt;"ACCREDITED 17025 WITH UNCERTAINTIES",0,"")</f>
        <v>0</v>
      </c>
      <c r="X294" s="1" t="str">
        <f>IF(Table1[[#This Row],[DUT Read]]="","N/A",Table1[[#This Row],[Std Error]]+Table1[[#This Row],[DUT Read]]+Table1[[#This Row],[DUT Ucty]])</f>
        <v>N/A</v>
      </c>
      <c r="Y294" s="1" t="str">
        <f>IF(Table1[[#This Row],[Std Read]]="","N/A",Table1[[#This Row],[Std Read]]+Table1[[#This Row],[Std Ucty]])</f>
        <v>N/A</v>
      </c>
      <c r="Z2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 s="1" t="str">
        <f>IF(Table1[[#This Row],[Spec Type]]="","N/A",Table1[[#This Row],[Spec Type]])</f>
        <v>±</v>
      </c>
      <c r="AC294" s="1" t="str">
        <f>IF(Table1[[#This Row],[Spec Type2]]="N/A","N/A",IF(AND(Table1[[#This Row],[DUT Adj Read]]&gt;=Table1[[#This Row],[Low Tol]],Table1[[#This Row],[DUT Adj Read]]&lt;=Table1[[#This Row],[High Tol]]),"Pass","Fail"))</f>
        <v>Fail</v>
      </c>
      <c r="AD294" s="1" t="str">
        <f>IF(AND(Table1[[#This Row],[Spec Type2]]="N/A",Table1[[#This Row],[DUT Adj Read]]="N/A",Table1[[#This Row],[Std Adj Read]]="N/A"),"N/A",IF(Table1[[#This Row],[DUT Adj Read]]="N/A",IF(Table1[[#This Row],[Std Adj Read]]&gt;Table1[[#This Row],[Low Tol]],"Pass","Fail"),IF(Table1[[#This Row],[DUT Adj Read]]&gt;Table1[[#This Row],[Low Tol]],"Pass","Fail")))</f>
        <v>Pass</v>
      </c>
      <c r="AE294" s="1" t="str">
        <f>IF(AND(Table1[[#This Row],[Spec Type2]]="N/A",Table1[[#This Row],[DUT Adj Read]]="N/A",Table1[[#This Row],[Std Adj Read]]="N/A"),"N/A",IF(Table1[[#This Row],[DUT Adj Read]]="N/A",IF(Table1[[#This Row],[Std Adj Read]]&lt;Table1[[#This Row],[High Tol]],"Pass","Fail"),IF(Table1[[#This Row],[DUT Adj Read]]&lt;Table1[[#This Row],[High Tol]],"Pass","Fail")))</f>
        <v>Fail</v>
      </c>
      <c r="AF294" s="1" t="str">
        <f>IF(AND(Table1[[#This Row],[Spec Type2]]="N/A",Table1[[#This Row],[DUT Adj Read]]="N/A",Table1[[#This Row],[Std Adj Read]]="N/A"),"N/A",IF(Table1[[#This Row],[DUT Adj Read]]="N/A",IF(Table1[[#This Row],[Std Adj Read]]&gt;=Table1[[#This Row],[Low Tol]],"Pass","Fail"),IF(Table1[[#This Row],[DUT Adj Read]]&gt;=Table1[[#This Row],[Low Tol]],"Pass","Fail")))</f>
        <v>Pass</v>
      </c>
      <c r="AG294" s="1" t="str">
        <f>IF(AND(Table1[[#This Row],[Spec Type2]]="N/A",Table1[[#This Row],[DUT Adj Read]]="N/A",Table1[[#This Row],[Std Adj Read]]="N/A"),"N/A",IF(Table1[[#This Row],[DUT Adj Read]]="N/A",IF(Table1[[#This Row],[Std Adj Read]]&lt;=Table1[[#This Row],[High Tol]],"Pass","Fail"),IF(Table1[[#This Row],[DUT Adj Read]]&lt;=Table1[[#This Row],[High Tol]],"Pass","Fail")))</f>
        <v>Fail</v>
      </c>
      <c r="AH2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 s="1" t="b">
        <v>0</v>
      </c>
      <c r="AN294" s="1" t="b">
        <v>0</v>
      </c>
      <c r="AO294" s="1" t="b">
        <v>0</v>
      </c>
    </row>
    <row r="295" spans="1:41" x14ac:dyDescent="0.25">
      <c r="A295" s="10"/>
      <c r="B295" s="10"/>
      <c r="C295" s="10"/>
      <c r="D295" s="10"/>
      <c r="E295" s="10"/>
      <c r="F295" s="10"/>
      <c r="G295" s="10"/>
      <c r="H295" s="10"/>
      <c r="I295" s="1" t="str">
        <f t="shared" si="12"/>
        <v/>
      </c>
      <c r="J295" s="1" t="s">
        <v>35</v>
      </c>
      <c r="K295" s="1" t="str">
        <f t="shared" si="13"/>
        <v/>
      </c>
      <c r="L295" s="1" t="str">
        <f t="shared" si="14"/>
        <v/>
      </c>
      <c r="M295" s="1">
        <f>IF(OR(Table1[[#This Row],[Std Nom]]="",Table1[[#This Row],[Std Read]]=""),0,Table1[[#This Row],[Std Nom]]-Table1[[#This Row],[Std Read]])</f>
        <v>0</v>
      </c>
      <c r="N295" s="1">
        <f>IF(Calculations!$F$5="ACCREDITED 17025 WITH UNCERTAINTIES",$N$10,0)</f>
        <v>0</v>
      </c>
      <c r="Q295" s="1">
        <f>Table1[[#This Row],[High Tol]]-Table1[[#This Row],[Low Tol]]</f>
        <v>0</v>
      </c>
      <c r="R295" s="1">
        <f>2*Table1[[#This Row],[Std Error]]</f>
        <v>0</v>
      </c>
      <c r="S295" s="1" t="str">
        <f>IF(Table1[[#This Row],[High Tol]]="","N/A",IFERROR(ABS(Table1[[#This Row],[Tol Span]]/Table1[[#This Row],[Error Span]]),"N/A"))</f>
        <v>N/A</v>
      </c>
      <c r="T295" s="1" t="str">
        <f>IF(OR(Table1[[#This Row],[Low Tol]]="",Table1[[#This Row],[High Tol]]=""),"Needs Analysis",IF(Table1[[#This Row],[Ratio]]&gt;=4,"Not Significant",IF(Table1[[#This Row],[Ratio]]&gt;=2,"Semi-Significant","Significant")))</f>
        <v>Needs Analysis</v>
      </c>
      <c r="W295" s="1">
        <f>IF(Table1[[#This Row],[Cal Type]]&lt;&gt;"ACCREDITED 17025 WITH UNCERTAINTIES",0,"")</f>
        <v>0</v>
      </c>
      <c r="X295" s="1" t="str">
        <f>IF(Table1[[#This Row],[DUT Read]]="","N/A",Table1[[#This Row],[Std Error]]+Table1[[#This Row],[DUT Read]]+Table1[[#This Row],[DUT Ucty]])</f>
        <v>N/A</v>
      </c>
      <c r="Y295" s="1" t="str">
        <f>IF(Table1[[#This Row],[Std Read]]="","N/A",Table1[[#This Row],[Std Read]]+Table1[[#This Row],[Std Ucty]])</f>
        <v>N/A</v>
      </c>
      <c r="Z2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 s="1" t="str">
        <f>IF(Table1[[#This Row],[Spec Type]]="","N/A",Table1[[#This Row],[Spec Type]])</f>
        <v>±</v>
      </c>
      <c r="AC295" s="1" t="str">
        <f>IF(Table1[[#This Row],[Spec Type2]]="N/A","N/A",IF(AND(Table1[[#This Row],[DUT Adj Read]]&gt;=Table1[[#This Row],[Low Tol]],Table1[[#This Row],[DUT Adj Read]]&lt;=Table1[[#This Row],[High Tol]]),"Pass","Fail"))</f>
        <v>Fail</v>
      </c>
      <c r="AD295" s="1" t="str">
        <f>IF(AND(Table1[[#This Row],[Spec Type2]]="N/A",Table1[[#This Row],[DUT Adj Read]]="N/A",Table1[[#This Row],[Std Adj Read]]="N/A"),"N/A",IF(Table1[[#This Row],[DUT Adj Read]]="N/A",IF(Table1[[#This Row],[Std Adj Read]]&gt;Table1[[#This Row],[Low Tol]],"Pass","Fail"),IF(Table1[[#This Row],[DUT Adj Read]]&gt;Table1[[#This Row],[Low Tol]],"Pass","Fail")))</f>
        <v>Pass</v>
      </c>
      <c r="AE295" s="1" t="str">
        <f>IF(AND(Table1[[#This Row],[Spec Type2]]="N/A",Table1[[#This Row],[DUT Adj Read]]="N/A",Table1[[#This Row],[Std Adj Read]]="N/A"),"N/A",IF(Table1[[#This Row],[DUT Adj Read]]="N/A",IF(Table1[[#This Row],[Std Adj Read]]&lt;Table1[[#This Row],[High Tol]],"Pass","Fail"),IF(Table1[[#This Row],[DUT Adj Read]]&lt;Table1[[#This Row],[High Tol]],"Pass","Fail")))</f>
        <v>Fail</v>
      </c>
      <c r="AF295" s="1" t="str">
        <f>IF(AND(Table1[[#This Row],[Spec Type2]]="N/A",Table1[[#This Row],[DUT Adj Read]]="N/A",Table1[[#This Row],[Std Adj Read]]="N/A"),"N/A",IF(Table1[[#This Row],[DUT Adj Read]]="N/A",IF(Table1[[#This Row],[Std Adj Read]]&gt;=Table1[[#This Row],[Low Tol]],"Pass","Fail"),IF(Table1[[#This Row],[DUT Adj Read]]&gt;=Table1[[#This Row],[Low Tol]],"Pass","Fail")))</f>
        <v>Pass</v>
      </c>
      <c r="AG295" s="1" t="str">
        <f>IF(AND(Table1[[#This Row],[Spec Type2]]="N/A",Table1[[#This Row],[DUT Adj Read]]="N/A",Table1[[#This Row],[Std Adj Read]]="N/A"),"N/A",IF(Table1[[#This Row],[DUT Adj Read]]="N/A",IF(Table1[[#This Row],[Std Adj Read]]&lt;=Table1[[#This Row],[High Tol]],"Pass","Fail"),IF(Table1[[#This Row],[DUT Adj Read]]&lt;=Table1[[#This Row],[High Tol]],"Pass","Fail")))</f>
        <v>Fail</v>
      </c>
      <c r="AH2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 s="1" t="b">
        <v>0</v>
      </c>
      <c r="AN295" s="1" t="b">
        <v>0</v>
      </c>
      <c r="AO295" s="1" t="b">
        <v>0</v>
      </c>
    </row>
    <row r="296" spans="1:41" x14ac:dyDescent="0.25">
      <c r="A296" s="10"/>
      <c r="B296" s="10"/>
      <c r="C296" s="10"/>
      <c r="D296" s="10"/>
      <c r="E296" s="10"/>
      <c r="F296" s="10"/>
      <c r="G296" s="10"/>
      <c r="H296" s="10"/>
      <c r="I296" s="1" t="str">
        <f t="shared" si="12"/>
        <v/>
      </c>
      <c r="J296" s="1" t="s">
        <v>35</v>
      </c>
      <c r="K296" s="1" t="str">
        <f t="shared" si="13"/>
        <v/>
      </c>
      <c r="L296" s="1" t="str">
        <f t="shared" si="14"/>
        <v/>
      </c>
      <c r="M296" s="1">
        <f>IF(OR(Table1[[#This Row],[Std Nom]]="",Table1[[#This Row],[Std Read]]=""),0,Table1[[#This Row],[Std Nom]]-Table1[[#This Row],[Std Read]])</f>
        <v>0</v>
      </c>
      <c r="N296" s="1">
        <f>IF(Calculations!$F$5="ACCREDITED 17025 WITH UNCERTAINTIES",$N$10,0)</f>
        <v>0</v>
      </c>
      <c r="Q296" s="1">
        <f>Table1[[#This Row],[High Tol]]-Table1[[#This Row],[Low Tol]]</f>
        <v>0</v>
      </c>
      <c r="R296" s="1">
        <f>2*Table1[[#This Row],[Std Error]]</f>
        <v>0</v>
      </c>
      <c r="S296" s="1" t="str">
        <f>IF(Table1[[#This Row],[High Tol]]="","N/A",IFERROR(ABS(Table1[[#This Row],[Tol Span]]/Table1[[#This Row],[Error Span]]),"N/A"))</f>
        <v>N/A</v>
      </c>
      <c r="T296" s="1" t="str">
        <f>IF(OR(Table1[[#This Row],[Low Tol]]="",Table1[[#This Row],[High Tol]]=""),"Needs Analysis",IF(Table1[[#This Row],[Ratio]]&gt;=4,"Not Significant",IF(Table1[[#This Row],[Ratio]]&gt;=2,"Semi-Significant","Significant")))</f>
        <v>Needs Analysis</v>
      </c>
      <c r="W296" s="1">
        <f>IF(Table1[[#This Row],[Cal Type]]&lt;&gt;"ACCREDITED 17025 WITH UNCERTAINTIES",0,"")</f>
        <v>0</v>
      </c>
      <c r="X296" s="1" t="str">
        <f>IF(Table1[[#This Row],[DUT Read]]="","N/A",Table1[[#This Row],[Std Error]]+Table1[[#This Row],[DUT Read]]+Table1[[#This Row],[DUT Ucty]])</f>
        <v>N/A</v>
      </c>
      <c r="Y296" s="1" t="str">
        <f>IF(Table1[[#This Row],[Std Read]]="","N/A",Table1[[#This Row],[Std Read]]+Table1[[#This Row],[Std Ucty]])</f>
        <v>N/A</v>
      </c>
      <c r="Z2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 s="1" t="str">
        <f>IF(Table1[[#This Row],[Spec Type]]="","N/A",Table1[[#This Row],[Spec Type]])</f>
        <v>±</v>
      </c>
      <c r="AC296" s="1" t="str">
        <f>IF(Table1[[#This Row],[Spec Type2]]="N/A","N/A",IF(AND(Table1[[#This Row],[DUT Adj Read]]&gt;=Table1[[#This Row],[Low Tol]],Table1[[#This Row],[DUT Adj Read]]&lt;=Table1[[#This Row],[High Tol]]),"Pass","Fail"))</f>
        <v>Fail</v>
      </c>
      <c r="AD296" s="1" t="str">
        <f>IF(AND(Table1[[#This Row],[Spec Type2]]="N/A",Table1[[#This Row],[DUT Adj Read]]="N/A",Table1[[#This Row],[Std Adj Read]]="N/A"),"N/A",IF(Table1[[#This Row],[DUT Adj Read]]="N/A",IF(Table1[[#This Row],[Std Adj Read]]&gt;Table1[[#This Row],[Low Tol]],"Pass","Fail"),IF(Table1[[#This Row],[DUT Adj Read]]&gt;Table1[[#This Row],[Low Tol]],"Pass","Fail")))</f>
        <v>Pass</v>
      </c>
      <c r="AE296" s="1" t="str">
        <f>IF(AND(Table1[[#This Row],[Spec Type2]]="N/A",Table1[[#This Row],[DUT Adj Read]]="N/A",Table1[[#This Row],[Std Adj Read]]="N/A"),"N/A",IF(Table1[[#This Row],[DUT Adj Read]]="N/A",IF(Table1[[#This Row],[Std Adj Read]]&lt;Table1[[#This Row],[High Tol]],"Pass","Fail"),IF(Table1[[#This Row],[DUT Adj Read]]&lt;Table1[[#This Row],[High Tol]],"Pass","Fail")))</f>
        <v>Fail</v>
      </c>
      <c r="AF296" s="1" t="str">
        <f>IF(AND(Table1[[#This Row],[Spec Type2]]="N/A",Table1[[#This Row],[DUT Adj Read]]="N/A",Table1[[#This Row],[Std Adj Read]]="N/A"),"N/A",IF(Table1[[#This Row],[DUT Adj Read]]="N/A",IF(Table1[[#This Row],[Std Adj Read]]&gt;=Table1[[#This Row],[Low Tol]],"Pass","Fail"),IF(Table1[[#This Row],[DUT Adj Read]]&gt;=Table1[[#This Row],[Low Tol]],"Pass","Fail")))</f>
        <v>Pass</v>
      </c>
      <c r="AG296" s="1" t="str">
        <f>IF(AND(Table1[[#This Row],[Spec Type2]]="N/A",Table1[[#This Row],[DUT Adj Read]]="N/A",Table1[[#This Row],[Std Adj Read]]="N/A"),"N/A",IF(Table1[[#This Row],[DUT Adj Read]]="N/A",IF(Table1[[#This Row],[Std Adj Read]]&lt;=Table1[[#This Row],[High Tol]],"Pass","Fail"),IF(Table1[[#This Row],[DUT Adj Read]]&lt;=Table1[[#This Row],[High Tol]],"Pass","Fail")))</f>
        <v>Fail</v>
      </c>
      <c r="AH2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 s="1" t="b">
        <v>0</v>
      </c>
      <c r="AN296" s="1" t="b">
        <v>0</v>
      </c>
      <c r="AO296" s="1" t="b">
        <v>0</v>
      </c>
    </row>
    <row r="297" spans="1:41" x14ac:dyDescent="0.25">
      <c r="A297" s="10"/>
      <c r="B297" s="10"/>
      <c r="C297" s="10"/>
      <c r="D297" s="10"/>
      <c r="E297" s="10"/>
      <c r="F297" s="10"/>
      <c r="G297" s="10"/>
      <c r="H297" s="10"/>
      <c r="I297" s="1" t="str">
        <f t="shared" si="12"/>
        <v/>
      </c>
      <c r="J297" s="1" t="s">
        <v>35</v>
      </c>
      <c r="K297" s="1" t="str">
        <f t="shared" si="13"/>
        <v/>
      </c>
      <c r="L297" s="1" t="str">
        <f t="shared" si="14"/>
        <v/>
      </c>
      <c r="M297" s="1">
        <f>IF(OR(Table1[[#This Row],[Std Nom]]="",Table1[[#This Row],[Std Read]]=""),0,Table1[[#This Row],[Std Nom]]-Table1[[#This Row],[Std Read]])</f>
        <v>0</v>
      </c>
      <c r="N297" s="1">
        <f>IF(Calculations!$F$5="ACCREDITED 17025 WITH UNCERTAINTIES",$N$10,0)</f>
        <v>0</v>
      </c>
      <c r="Q297" s="1">
        <f>Table1[[#This Row],[High Tol]]-Table1[[#This Row],[Low Tol]]</f>
        <v>0</v>
      </c>
      <c r="R297" s="1">
        <f>2*Table1[[#This Row],[Std Error]]</f>
        <v>0</v>
      </c>
      <c r="S297" s="1" t="str">
        <f>IF(Table1[[#This Row],[High Tol]]="","N/A",IFERROR(ABS(Table1[[#This Row],[Tol Span]]/Table1[[#This Row],[Error Span]]),"N/A"))</f>
        <v>N/A</v>
      </c>
      <c r="T297" s="1" t="str">
        <f>IF(OR(Table1[[#This Row],[Low Tol]]="",Table1[[#This Row],[High Tol]]=""),"Needs Analysis",IF(Table1[[#This Row],[Ratio]]&gt;=4,"Not Significant",IF(Table1[[#This Row],[Ratio]]&gt;=2,"Semi-Significant","Significant")))</f>
        <v>Needs Analysis</v>
      </c>
      <c r="W297" s="1">
        <f>IF(Table1[[#This Row],[Cal Type]]&lt;&gt;"ACCREDITED 17025 WITH UNCERTAINTIES",0,"")</f>
        <v>0</v>
      </c>
      <c r="X297" s="1" t="str">
        <f>IF(Table1[[#This Row],[DUT Read]]="","N/A",Table1[[#This Row],[Std Error]]+Table1[[#This Row],[DUT Read]]+Table1[[#This Row],[DUT Ucty]])</f>
        <v>N/A</v>
      </c>
      <c r="Y297" s="1" t="str">
        <f>IF(Table1[[#This Row],[Std Read]]="","N/A",Table1[[#This Row],[Std Read]]+Table1[[#This Row],[Std Ucty]])</f>
        <v>N/A</v>
      </c>
      <c r="Z2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 s="1" t="str">
        <f>IF(Table1[[#This Row],[Spec Type]]="","N/A",Table1[[#This Row],[Spec Type]])</f>
        <v>±</v>
      </c>
      <c r="AC297" s="1" t="str">
        <f>IF(Table1[[#This Row],[Spec Type2]]="N/A","N/A",IF(AND(Table1[[#This Row],[DUT Adj Read]]&gt;=Table1[[#This Row],[Low Tol]],Table1[[#This Row],[DUT Adj Read]]&lt;=Table1[[#This Row],[High Tol]]),"Pass","Fail"))</f>
        <v>Fail</v>
      </c>
      <c r="AD297" s="1" t="str">
        <f>IF(AND(Table1[[#This Row],[Spec Type2]]="N/A",Table1[[#This Row],[DUT Adj Read]]="N/A",Table1[[#This Row],[Std Adj Read]]="N/A"),"N/A",IF(Table1[[#This Row],[DUT Adj Read]]="N/A",IF(Table1[[#This Row],[Std Adj Read]]&gt;Table1[[#This Row],[Low Tol]],"Pass","Fail"),IF(Table1[[#This Row],[DUT Adj Read]]&gt;Table1[[#This Row],[Low Tol]],"Pass","Fail")))</f>
        <v>Pass</v>
      </c>
      <c r="AE297" s="1" t="str">
        <f>IF(AND(Table1[[#This Row],[Spec Type2]]="N/A",Table1[[#This Row],[DUT Adj Read]]="N/A",Table1[[#This Row],[Std Adj Read]]="N/A"),"N/A",IF(Table1[[#This Row],[DUT Adj Read]]="N/A",IF(Table1[[#This Row],[Std Adj Read]]&lt;Table1[[#This Row],[High Tol]],"Pass","Fail"),IF(Table1[[#This Row],[DUT Adj Read]]&lt;Table1[[#This Row],[High Tol]],"Pass","Fail")))</f>
        <v>Fail</v>
      </c>
      <c r="AF297" s="1" t="str">
        <f>IF(AND(Table1[[#This Row],[Spec Type2]]="N/A",Table1[[#This Row],[DUT Adj Read]]="N/A",Table1[[#This Row],[Std Adj Read]]="N/A"),"N/A",IF(Table1[[#This Row],[DUT Adj Read]]="N/A",IF(Table1[[#This Row],[Std Adj Read]]&gt;=Table1[[#This Row],[Low Tol]],"Pass","Fail"),IF(Table1[[#This Row],[DUT Adj Read]]&gt;=Table1[[#This Row],[Low Tol]],"Pass","Fail")))</f>
        <v>Pass</v>
      </c>
      <c r="AG297" s="1" t="str">
        <f>IF(AND(Table1[[#This Row],[Spec Type2]]="N/A",Table1[[#This Row],[DUT Adj Read]]="N/A",Table1[[#This Row],[Std Adj Read]]="N/A"),"N/A",IF(Table1[[#This Row],[DUT Adj Read]]="N/A",IF(Table1[[#This Row],[Std Adj Read]]&lt;=Table1[[#This Row],[High Tol]],"Pass","Fail"),IF(Table1[[#This Row],[DUT Adj Read]]&lt;=Table1[[#This Row],[High Tol]],"Pass","Fail")))</f>
        <v>Fail</v>
      </c>
      <c r="AH2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 s="1" t="b">
        <v>0</v>
      </c>
      <c r="AN297" s="1" t="b">
        <v>0</v>
      </c>
      <c r="AO297" s="1" t="b">
        <v>0</v>
      </c>
    </row>
    <row r="298" spans="1:41" x14ac:dyDescent="0.25">
      <c r="A298" s="10"/>
      <c r="B298" s="10"/>
      <c r="C298" s="10"/>
      <c r="D298" s="10"/>
      <c r="E298" s="10"/>
      <c r="F298" s="10"/>
      <c r="G298" s="10"/>
      <c r="H298" s="10"/>
      <c r="I298" s="1" t="str">
        <f t="shared" si="12"/>
        <v/>
      </c>
      <c r="J298" s="1" t="s">
        <v>35</v>
      </c>
      <c r="K298" s="1" t="str">
        <f t="shared" si="13"/>
        <v/>
      </c>
      <c r="L298" s="1" t="str">
        <f t="shared" si="14"/>
        <v/>
      </c>
      <c r="M298" s="1">
        <f>IF(OR(Table1[[#This Row],[Std Nom]]="",Table1[[#This Row],[Std Read]]=""),0,Table1[[#This Row],[Std Nom]]-Table1[[#This Row],[Std Read]])</f>
        <v>0</v>
      </c>
      <c r="N298" s="1">
        <f>IF(Calculations!$F$5="ACCREDITED 17025 WITH UNCERTAINTIES",$N$10,0)</f>
        <v>0</v>
      </c>
      <c r="Q298" s="1">
        <f>Table1[[#This Row],[High Tol]]-Table1[[#This Row],[Low Tol]]</f>
        <v>0</v>
      </c>
      <c r="R298" s="1">
        <f>2*Table1[[#This Row],[Std Error]]</f>
        <v>0</v>
      </c>
      <c r="S298" s="1" t="str">
        <f>IF(Table1[[#This Row],[High Tol]]="","N/A",IFERROR(ABS(Table1[[#This Row],[Tol Span]]/Table1[[#This Row],[Error Span]]),"N/A"))</f>
        <v>N/A</v>
      </c>
      <c r="T298" s="1" t="str">
        <f>IF(OR(Table1[[#This Row],[Low Tol]]="",Table1[[#This Row],[High Tol]]=""),"Needs Analysis",IF(Table1[[#This Row],[Ratio]]&gt;=4,"Not Significant",IF(Table1[[#This Row],[Ratio]]&gt;=2,"Semi-Significant","Significant")))</f>
        <v>Needs Analysis</v>
      </c>
      <c r="W298" s="1">
        <f>IF(Table1[[#This Row],[Cal Type]]&lt;&gt;"ACCREDITED 17025 WITH UNCERTAINTIES",0,"")</f>
        <v>0</v>
      </c>
      <c r="X298" s="1" t="str">
        <f>IF(Table1[[#This Row],[DUT Read]]="","N/A",Table1[[#This Row],[Std Error]]+Table1[[#This Row],[DUT Read]]+Table1[[#This Row],[DUT Ucty]])</f>
        <v>N/A</v>
      </c>
      <c r="Y298" s="1" t="str">
        <f>IF(Table1[[#This Row],[Std Read]]="","N/A",Table1[[#This Row],[Std Read]]+Table1[[#This Row],[Std Ucty]])</f>
        <v>N/A</v>
      </c>
      <c r="Z2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 s="1" t="str">
        <f>IF(Table1[[#This Row],[Spec Type]]="","N/A",Table1[[#This Row],[Spec Type]])</f>
        <v>±</v>
      </c>
      <c r="AC298" s="1" t="str">
        <f>IF(Table1[[#This Row],[Spec Type2]]="N/A","N/A",IF(AND(Table1[[#This Row],[DUT Adj Read]]&gt;=Table1[[#This Row],[Low Tol]],Table1[[#This Row],[DUT Adj Read]]&lt;=Table1[[#This Row],[High Tol]]),"Pass","Fail"))</f>
        <v>Fail</v>
      </c>
      <c r="AD298" s="1" t="str">
        <f>IF(AND(Table1[[#This Row],[Spec Type2]]="N/A",Table1[[#This Row],[DUT Adj Read]]="N/A",Table1[[#This Row],[Std Adj Read]]="N/A"),"N/A",IF(Table1[[#This Row],[DUT Adj Read]]="N/A",IF(Table1[[#This Row],[Std Adj Read]]&gt;Table1[[#This Row],[Low Tol]],"Pass","Fail"),IF(Table1[[#This Row],[DUT Adj Read]]&gt;Table1[[#This Row],[Low Tol]],"Pass","Fail")))</f>
        <v>Pass</v>
      </c>
      <c r="AE298" s="1" t="str">
        <f>IF(AND(Table1[[#This Row],[Spec Type2]]="N/A",Table1[[#This Row],[DUT Adj Read]]="N/A",Table1[[#This Row],[Std Adj Read]]="N/A"),"N/A",IF(Table1[[#This Row],[DUT Adj Read]]="N/A",IF(Table1[[#This Row],[Std Adj Read]]&lt;Table1[[#This Row],[High Tol]],"Pass","Fail"),IF(Table1[[#This Row],[DUT Adj Read]]&lt;Table1[[#This Row],[High Tol]],"Pass","Fail")))</f>
        <v>Fail</v>
      </c>
      <c r="AF298" s="1" t="str">
        <f>IF(AND(Table1[[#This Row],[Spec Type2]]="N/A",Table1[[#This Row],[DUT Adj Read]]="N/A",Table1[[#This Row],[Std Adj Read]]="N/A"),"N/A",IF(Table1[[#This Row],[DUT Adj Read]]="N/A",IF(Table1[[#This Row],[Std Adj Read]]&gt;=Table1[[#This Row],[Low Tol]],"Pass","Fail"),IF(Table1[[#This Row],[DUT Adj Read]]&gt;=Table1[[#This Row],[Low Tol]],"Pass","Fail")))</f>
        <v>Pass</v>
      </c>
      <c r="AG298" s="1" t="str">
        <f>IF(AND(Table1[[#This Row],[Spec Type2]]="N/A",Table1[[#This Row],[DUT Adj Read]]="N/A",Table1[[#This Row],[Std Adj Read]]="N/A"),"N/A",IF(Table1[[#This Row],[DUT Adj Read]]="N/A",IF(Table1[[#This Row],[Std Adj Read]]&lt;=Table1[[#This Row],[High Tol]],"Pass","Fail"),IF(Table1[[#This Row],[DUT Adj Read]]&lt;=Table1[[#This Row],[High Tol]],"Pass","Fail")))</f>
        <v>Fail</v>
      </c>
      <c r="AH2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 s="1" t="b">
        <v>0</v>
      </c>
      <c r="AN298" s="1" t="b">
        <v>0</v>
      </c>
      <c r="AO298" s="1" t="b">
        <v>0</v>
      </c>
    </row>
    <row r="299" spans="1:41" x14ac:dyDescent="0.25">
      <c r="A299" s="10"/>
      <c r="B299" s="10"/>
      <c r="C299" s="10"/>
      <c r="D299" s="10"/>
      <c r="E299" s="10"/>
      <c r="F299" s="10"/>
      <c r="G299" s="10"/>
      <c r="H299" s="10"/>
      <c r="I299" s="1" t="str">
        <f t="shared" si="12"/>
        <v/>
      </c>
      <c r="J299" s="1" t="s">
        <v>35</v>
      </c>
      <c r="K299" s="1" t="str">
        <f t="shared" si="13"/>
        <v/>
      </c>
      <c r="L299" s="1" t="str">
        <f t="shared" si="14"/>
        <v/>
      </c>
      <c r="M299" s="1">
        <f>IF(OR(Table1[[#This Row],[Std Nom]]="",Table1[[#This Row],[Std Read]]=""),0,Table1[[#This Row],[Std Nom]]-Table1[[#This Row],[Std Read]])</f>
        <v>0</v>
      </c>
      <c r="N299" s="1">
        <f>IF(Calculations!$F$5="ACCREDITED 17025 WITH UNCERTAINTIES",$N$10,0)</f>
        <v>0</v>
      </c>
      <c r="Q299" s="1">
        <f>Table1[[#This Row],[High Tol]]-Table1[[#This Row],[Low Tol]]</f>
        <v>0</v>
      </c>
      <c r="R299" s="1">
        <f>2*Table1[[#This Row],[Std Error]]</f>
        <v>0</v>
      </c>
      <c r="S299" s="1" t="str">
        <f>IF(Table1[[#This Row],[High Tol]]="","N/A",IFERROR(ABS(Table1[[#This Row],[Tol Span]]/Table1[[#This Row],[Error Span]]),"N/A"))</f>
        <v>N/A</v>
      </c>
      <c r="T299" s="1" t="str">
        <f>IF(OR(Table1[[#This Row],[Low Tol]]="",Table1[[#This Row],[High Tol]]=""),"Needs Analysis",IF(Table1[[#This Row],[Ratio]]&gt;=4,"Not Significant",IF(Table1[[#This Row],[Ratio]]&gt;=2,"Semi-Significant","Significant")))</f>
        <v>Needs Analysis</v>
      </c>
      <c r="W299" s="1">
        <f>IF(Table1[[#This Row],[Cal Type]]&lt;&gt;"ACCREDITED 17025 WITH UNCERTAINTIES",0,"")</f>
        <v>0</v>
      </c>
      <c r="X299" s="1" t="str">
        <f>IF(Table1[[#This Row],[DUT Read]]="","N/A",Table1[[#This Row],[Std Error]]+Table1[[#This Row],[DUT Read]]+Table1[[#This Row],[DUT Ucty]])</f>
        <v>N/A</v>
      </c>
      <c r="Y299" s="1" t="str">
        <f>IF(Table1[[#This Row],[Std Read]]="","N/A",Table1[[#This Row],[Std Read]]+Table1[[#This Row],[Std Ucty]])</f>
        <v>N/A</v>
      </c>
      <c r="Z2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 s="1" t="str">
        <f>IF(Table1[[#This Row],[Spec Type]]="","N/A",Table1[[#This Row],[Spec Type]])</f>
        <v>±</v>
      </c>
      <c r="AC299" s="1" t="str">
        <f>IF(Table1[[#This Row],[Spec Type2]]="N/A","N/A",IF(AND(Table1[[#This Row],[DUT Adj Read]]&gt;=Table1[[#This Row],[Low Tol]],Table1[[#This Row],[DUT Adj Read]]&lt;=Table1[[#This Row],[High Tol]]),"Pass","Fail"))</f>
        <v>Fail</v>
      </c>
      <c r="AD299" s="1" t="str">
        <f>IF(AND(Table1[[#This Row],[Spec Type2]]="N/A",Table1[[#This Row],[DUT Adj Read]]="N/A",Table1[[#This Row],[Std Adj Read]]="N/A"),"N/A",IF(Table1[[#This Row],[DUT Adj Read]]="N/A",IF(Table1[[#This Row],[Std Adj Read]]&gt;Table1[[#This Row],[Low Tol]],"Pass","Fail"),IF(Table1[[#This Row],[DUT Adj Read]]&gt;Table1[[#This Row],[Low Tol]],"Pass","Fail")))</f>
        <v>Pass</v>
      </c>
      <c r="AE299" s="1" t="str">
        <f>IF(AND(Table1[[#This Row],[Spec Type2]]="N/A",Table1[[#This Row],[DUT Adj Read]]="N/A",Table1[[#This Row],[Std Adj Read]]="N/A"),"N/A",IF(Table1[[#This Row],[DUT Adj Read]]="N/A",IF(Table1[[#This Row],[Std Adj Read]]&lt;Table1[[#This Row],[High Tol]],"Pass","Fail"),IF(Table1[[#This Row],[DUT Adj Read]]&lt;Table1[[#This Row],[High Tol]],"Pass","Fail")))</f>
        <v>Fail</v>
      </c>
      <c r="AF299" s="1" t="str">
        <f>IF(AND(Table1[[#This Row],[Spec Type2]]="N/A",Table1[[#This Row],[DUT Adj Read]]="N/A",Table1[[#This Row],[Std Adj Read]]="N/A"),"N/A",IF(Table1[[#This Row],[DUT Adj Read]]="N/A",IF(Table1[[#This Row],[Std Adj Read]]&gt;=Table1[[#This Row],[Low Tol]],"Pass","Fail"),IF(Table1[[#This Row],[DUT Adj Read]]&gt;=Table1[[#This Row],[Low Tol]],"Pass","Fail")))</f>
        <v>Pass</v>
      </c>
      <c r="AG299" s="1" t="str">
        <f>IF(AND(Table1[[#This Row],[Spec Type2]]="N/A",Table1[[#This Row],[DUT Adj Read]]="N/A",Table1[[#This Row],[Std Adj Read]]="N/A"),"N/A",IF(Table1[[#This Row],[DUT Adj Read]]="N/A",IF(Table1[[#This Row],[Std Adj Read]]&lt;=Table1[[#This Row],[High Tol]],"Pass","Fail"),IF(Table1[[#This Row],[DUT Adj Read]]&lt;=Table1[[#This Row],[High Tol]],"Pass","Fail")))</f>
        <v>Fail</v>
      </c>
      <c r="AH2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 s="1" t="b">
        <v>0</v>
      </c>
      <c r="AN299" s="1" t="b">
        <v>0</v>
      </c>
      <c r="AO299" s="1" t="b">
        <v>0</v>
      </c>
    </row>
    <row r="300" spans="1:41" x14ac:dyDescent="0.25">
      <c r="A300" s="10"/>
      <c r="B300" s="10"/>
      <c r="C300" s="10"/>
      <c r="D300" s="10"/>
      <c r="E300" s="10"/>
      <c r="F300" s="10"/>
      <c r="G300" s="10"/>
      <c r="H300" s="10"/>
      <c r="I300" s="1" t="str">
        <f t="shared" si="12"/>
        <v/>
      </c>
      <c r="J300" s="1" t="s">
        <v>35</v>
      </c>
      <c r="K300" s="1" t="str">
        <f t="shared" si="13"/>
        <v/>
      </c>
      <c r="L300" s="1" t="str">
        <f t="shared" si="14"/>
        <v/>
      </c>
      <c r="M300" s="1">
        <f>IF(OR(Table1[[#This Row],[Std Nom]]="",Table1[[#This Row],[Std Read]]=""),0,Table1[[#This Row],[Std Nom]]-Table1[[#This Row],[Std Read]])</f>
        <v>0</v>
      </c>
      <c r="N300" s="1">
        <f>IF(Calculations!$F$5="ACCREDITED 17025 WITH UNCERTAINTIES",$N$10,0)</f>
        <v>0</v>
      </c>
      <c r="Q300" s="1">
        <f>Table1[[#This Row],[High Tol]]-Table1[[#This Row],[Low Tol]]</f>
        <v>0</v>
      </c>
      <c r="R300" s="1">
        <f>2*Table1[[#This Row],[Std Error]]</f>
        <v>0</v>
      </c>
      <c r="S300" s="1" t="str">
        <f>IF(Table1[[#This Row],[High Tol]]="","N/A",IFERROR(ABS(Table1[[#This Row],[Tol Span]]/Table1[[#This Row],[Error Span]]),"N/A"))</f>
        <v>N/A</v>
      </c>
      <c r="T300" s="1" t="str">
        <f>IF(OR(Table1[[#This Row],[Low Tol]]="",Table1[[#This Row],[High Tol]]=""),"Needs Analysis",IF(Table1[[#This Row],[Ratio]]&gt;=4,"Not Significant",IF(Table1[[#This Row],[Ratio]]&gt;=2,"Semi-Significant","Significant")))</f>
        <v>Needs Analysis</v>
      </c>
      <c r="W300" s="1">
        <f>IF(Table1[[#This Row],[Cal Type]]&lt;&gt;"ACCREDITED 17025 WITH UNCERTAINTIES",0,"")</f>
        <v>0</v>
      </c>
      <c r="X300" s="1" t="str">
        <f>IF(Table1[[#This Row],[DUT Read]]="","N/A",Table1[[#This Row],[Std Error]]+Table1[[#This Row],[DUT Read]]+Table1[[#This Row],[DUT Ucty]])</f>
        <v>N/A</v>
      </c>
      <c r="Y300" s="1" t="str">
        <f>IF(Table1[[#This Row],[Std Read]]="","N/A",Table1[[#This Row],[Std Read]]+Table1[[#This Row],[Std Ucty]])</f>
        <v>N/A</v>
      </c>
      <c r="Z3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 s="1" t="str">
        <f>IF(Table1[[#This Row],[Spec Type]]="","N/A",Table1[[#This Row],[Spec Type]])</f>
        <v>±</v>
      </c>
      <c r="AC300" s="1" t="str">
        <f>IF(Table1[[#This Row],[Spec Type2]]="N/A","N/A",IF(AND(Table1[[#This Row],[DUT Adj Read]]&gt;=Table1[[#This Row],[Low Tol]],Table1[[#This Row],[DUT Adj Read]]&lt;=Table1[[#This Row],[High Tol]]),"Pass","Fail"))</f>
        <v>Fail</v>
      </c>
      <c r="AD300" s="1" t="str">
        <f>IF(AND(Table1[[#This Row],[Spec Type2]]="N/A",Table1[[#This Row],[DUT Adj Read]]="N/A",Table1[[#This Row],[Std Adj Read]]="N/A"),"N/A",IF(Table1[[#This Row],[DUT Adj Read]]="N/A",IF(Table1[[#This Row],[Std Adj Read]]&gt;Table1[[#This Row],[Low Tol]],"Pass","Fail"),IF(Table1[[#This Row],[DUT Adj Read]]&gt;Table1[[#This Row],[Low Tol]],"Pass","Fail")))</f>
        <v>Pass</v>
      </c>
      <c r="AE300" s="1" t="str">
        <f>IF(AND(Table1[[#This Row],[Spec Type2]]="N/A",Table1[[#This Row],[DUT Adj Read]]="N/A",Table1[[#This Row],[Std Adj Read]]="N/A"),"N/A",IF(Table1[[#This Row],[DUT Adj Read]]="N/A",IF(Table1[[#This Row],[Std Adj Read]]&lt;Table1[[#This Row],[High Tol]],"Pass","Fail"),IF(Table1[[#This Row],[DUT Adj Read]]&lt;Table1[[#This Row],[High Tol]],"Pass","Fail")))</f>
        <v>Fail</v>
      </c>
      <c r="AF300" s="1" t="str">
        <f>IF(AND(Table1[[#This Row],[Spec Type2]]="N/A",Table1[[#This Row],[DUT Adj Read]]="N/A",Table1[[#This Row],[Std Adj Read]]="N/A"),"N/A",IF(Table1[[#This Row],[DUT Adj Read]]="N/A",IF(Table1[[#This Row],[Std Adj Read]]&gt;=Table1[[#This Row],[Low Tol]],"Pass","Fail"),IF(Table1[[#This Row],[DUT Adj Read]]&gt;=Table1[[#This Row],[Low Tol]],"Pass","Fail")))</f>
        <v>Pass</v>
      </c>
      <c r="AG300" s="1" t="str">
        <f>IF(AND(Table1[[#This Row],[Spec Type2]]="N/A",Table1[[#This Row],[DUT Adj Read]]="N/A",Table1[[#This Row],[Std Adj Read]]="N/A"),"N/A",IF(Table1[[#This Row],[DUT Adj Read]]="N/A",IF(Table1[[#This Row],[Std Adj Read]]&lt;=Table1[[#This Row],[High Tol]],"Pass","Fail"),IF(Table1[[#This Row],[DUT Adj Read]]&lt;=Table1[[#This Row],[High Tol]],"Pass","Fail")))</f>
        <v>Fail</v>
      </c>
      <c r="AH3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 s="1" t="b">
        <v>0</v>
      </c>
      <c r="AN300" s="1" t="b">
        <v>0</v>
      </c>
      <c r="AO300" s="1" t="b">
        <v>0</v>
      </c>
    </row>
    <row r="301" spans="1:41" x14ac:dyDescent="0.25">
      <c r="A301" s="10"/>
      <c r="B301" s="10"/>
      <c r="C301" s="10"/>
      <c r="D301" s="10"/>
      <c r="E301" s="10"/>
      <c r="F301" s="10"/>
      <c r="G301" s="10"/>
      <c r="H301" s="10"/>
      <c r="I301" s="1" t="str">
        <f t="shared" si="12"/>
        <v/>
      </c>
      <c r="J301" s="1" t="s">
        <v>35</v>
      </c>
      <c r="K301" s="1" t="str">
        <f t="shared" si="13"/>
        <v/>
      </c>
      <c r="L301" s="1" t="str">
        <f t="shared" si="14"/>
        <v/>
      </c>
      <c r="M301" s="1">
        <f>IF(OR(Table1[[#This Row],[Std Nom]]="",Table1[[#This Row],[Std Read]]=""),0,Table1[[#This Row],[Std Nom]]-Table1[[#This Row],[Std Read]])</f>
        <v>0</v>
      </c>
      <c r="N301" s="1">
        <f>IF(Calculations!$F$5="ACCREDITED 17025 WITH UNCERTAINTIES",$N$10,0)</f>
        <v>0</v>
      </c>
      <c r="Q301" s="1">
        <f>Table1[[#This Row],[High Tol]]-Table1[[#This Row],[Low Tol]]</f>
        <v>0</v>
      </c>
      <c r="R301" s="1">
        <f>2*Table1[[#This Row],[Std Error]]</f>
        <v>0</v>
      </c>
      <c r="S301" s="1" t="str">
        <f>IF(Table1[[#This Row],[High Tol]]="","N/A",IFERROR(ABS(Table1[[#This Row],[Tol Span]]/Table1[[#This Row],[Error Span]]),"N/A"))</f>
        <v>N/A</v>
      </c>
      <c r="T301" s="1" t="str">
        <f>IF(OR(Table1[[#This Row],[Low Tol]]="",Table1[[#This Row],[High Tol]]=""),"Needs Analysis",IF(Table1[[#This Row],[Ratio]]&gt;=4,"Not Significant",IF(Table1[[#This Row],[Ratio]]&gt;=2,"Semi-Significant","Significant")))</f>
        <v>Needs Analysis</v>
      </c>
      <c r="W301" s="1">
        <f>IF(Table1[[#This Row],[Cal Type]]&lt;&gt;"ACCREDITED 17025 WITH UNCERTAINTIES",0,"")</f>
        <v>0</v>
      </c>
      <c r="X301" s="1" t="str">
        <f>IF(Table1[[#This Row],[DUT Read]]="","N/A",Table1[[#This Row],[Std Error]]+Table1[[#This Row],[DUT Read]]+Table1[[#This Row],[DUT Ucty]])</f>
        <v>N/A</v>
      </c>
      <c r="Y301" s="1" t="str">
        <f>IF(Table1[[#This Row],[Std Read]]="","N/A",Table1[[#This Row],[Std Read]]+Table1[[#This Row],[Std Ucty]])</f>
        <v>N/A</v>
      </c>
      <c r="Z3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1" s="1" t="str">
        <f>IF(Table1[[#This Row],[Spec Type]]="","N/A",Table1[[#This Row],[Spec Type]])</f>
        <v>±</v>
      </c>
      <c r="AC301" s="1" t="str">
        <f>IF(Table1[[#This Row],[Spec Type2]]="N/A","N/A",IF(AND(Table1[[#This Row],[DUT Adj Read]]&gt;=Table1[[#This Row],[Low Tol]],Table1[[#This Row],[DUT Adj Read]]&lt;=Table1[[#This Row],[High Tol]]),"Pass","Fail"))</f>
        <v>Fail</v>
      </c>
      <c r="AD301" s="1" t="str">
        <f>IF(AND(Table1[[#This Row],[Spec Type2]]="N/A",Table1[[#This Row],[DUT Adj Read]]="N/A",Table1[[#This Row],[Std Adj Read]]="N/A"),"N/A",IF(Table1[[#This Row],[DUT Adj Read]]="N/A",IF(Table1[[#This Row],[Std Adj Read]]&gt;Table1[[#This Row],[Low Tol]],"Pass","Fail"),IF(Table1[[#This Row],[DUT Adj Read]]&gt;Table1[[#This Row],[Low Tol]],"Pass","Fail")))</f>
        <v>Pass</v>
      </c>
      <c r="AE301" s="1" t="str">
        <f>IF(AND(Table1[[#This Row],[Spec Type2]]="N/A",Table1[[#This Row],[DUT Adj Read]]="N/A",Table1[[#This Row],[Std Adj Read]]="N/A"),"N/A",IF(Table1[[#This Row],[DUT Adj Read]]="N/A",IF(Table1[[#This Row],[Std Adj Read]]&lt;Table1[[#This Row],[High Tol]],"Pass","Fail"),IF(Table1[[#This Row],[DUT Adj Read]]&lt;Table1[[#This Row],[High Tol]],"Pass","Fail")))</f>
        <v>Fail</v>
      </c>
      <c r="AF301" s="1" t="str">
        <f>IF(AND(Table1[[#This Row],[Spec Type2]]="N/A",Table1[[#This Row],[DUT Adj Read]]="N/A",Table1[[#This Row],[Std Adj Read]]="N/A"),"N/A",IF(Table1[[#This Row],[DUT Adj Read]]="N/A",IF(Table1[[#This Row],[Std Adj Read]]&gt;=Table1[[#This Row],[Low Tol]],"Pass","Fail"),IF(Table1[[#This Row],[DUT Adj Read]]&gt;=Table1[[#This Row],[Low Tol]],"Pass","Fail")))</f>
        <v>Pass</v>
      </c>
      <c r="AG301" s="1" t="str">
        <f>IF(AND(Table1[[#This Row],[Spec Type2]]="N/A",Table1[[#This Row],[DUT Adj Read]]="N/A",Table1[[#This Row],[Std Adj Read]]="N/A"),"N/A",IF(Table1[[#This Row],[DUT Adj Read]]="N/A",IF(Table1[[#This Row],[Std Adj Read]]&lt;=Table1[[#This Row],[High Tol]],"Pass","Fail"),IF(Table1[[#This Row],[DUT Adj Read]]&lt;=Table1[[#This Row],[High Tol]],"Pass","Fail")))</f>
        <v>Fail</v>
      </c>
      <c r="AH3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1" s="1" t="b">
        <v>0</v>
      </c>
      <c r="AN301" s="1" t="b">
        <v>0</v>
      </c>
      <c r="AO301" s="1" t="b">
        <v>0</v>
      </c>
    </row>
    <row r="302" spans="1:41" x14ac:dyDescent="0.25">
      <c r="A302" s="10"/>
      <c r="B302" s="10"/>
      <c r="C302" s="10"/>
      <c r="D302" s="10"/>
      <c r="E302" s="10"/>
      <c r="F302" s="10"/>
      <c r="G302" s="10"/>
      <c r="H302" s="10"/>
      <c r="I302" s="1" t="str">
        <f t="shared" si="12"/>
        <v/>
      </c>
      <c r="J302" s="1" t="s">
        <v>35</v>
      </c>
      <c r="K302" s="1" t="str">
        <f t="shared" si="13"/>
        <v/>
      </c>
      <c r="L302" s="1" t="str">
        <f t="shared" si="14"/>
        <v/>
      </c>
      <c r="M302" s="1">
        <f>IF(OR(Table1[[#This Row],[Std Nom]]="",Table1[[#This Row],[Std Read]]=""),0,Table1[[#This Row],[Std Nom]]-Table1[[#This Row],[Std Read]])</f>
        <v>0</v>
      </c>
      <c r="N302" s="1">
        <f>IF(Calculations!$F$5="ACCREDITED 17025 WITH UNCERTAINTIES",$N$10,0)</f>
        <v>0</v>
      </c>
      <c r="Q302" s="1">
        <f>Table1[[#This Row],[High Tol]]-Table1[[#This Row],[Low Tol]]</f>
        <v>0</v>
      </c>
      <c r="R302" s="1">
        <f>2*Table1[[#This Row],[Std Error]]</f>
        <v>0</v>
      </c>
      <c r="S302" s="1" t="str">
        <f>IF(Table1[[#This Row],[High Tol]]="","N/A",IFERROR(ABS(Table1[[#This Row],[Tol Span]]/Table1[[#This Row],[Error Span]]),"N/A"))</f>
        <v>N/A</v>
      </c>
      <c r="T302" s="1" t="str">
        <f>IF(OR(Table1[[#This Row],[Low Tol]]="",Table1[[#This Row],[High Tol]]=""),"Needs Analysis",IF(Table1[[#This Row],[Ratio]]&gt;=4,"Not Significant",IF(Table1[[#This Row],[Ratio]]&gt;=2,"Semi-Significant","Significant")))</f>
        <v>Needs Analysis</v>
      </c>
      <c r="W302" s="1">
        <f>IF(Table1[[#This Row],[Cal Type]]&lt;&gt;"ACCREDITED 17025 WITH UNCERTAINTIES",0,"")</f>
        <v>0</v>
      </c>
      <c r="X302" s="1" t="str">
        <f>IF(Table1[[#This Row],[DUT Read]]="","N/A",Table1[[#This Row],[Std Error]]+Table1[[#This Row],[DUT Read]]+Table1[[#This Row],[DUT Ucty]])</f>
        <v>N/A</v>
      </c>
      <c r="Y302" s="1" t="str">
        <f>IF(Table1[[#This Row],[Std Read]]="","N/A",Table1[[#This Row],[Std Read]]+Table1[[#This Row],[Std Ucty]])</f>
        <v>N/A</v>
      </c>
      <c r="Z3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2" s="1" t="str">
        <f>IF(Table1[[#This Row],[Spec Type]]="","N/A",Table1[[#This Row],[Spec Type]])</f>
        <v>±</v>
      </c>
      <c r="AC302" s="1" t="str">
        <f>IF(Table1[[#This Row],[Spec Type2]]="N/A","N/A",IF(AND(Table1[[#This Row],[DUT Adj Read]]&gt;=Table1[[#This Row],[Low Tol]],Table1[[#This Row],[DUT Adj Read]]&lt;=Table1[[#This Row],[High Tol]]),"Pass","Fail"))</f>
        <v>Fail</v>
      </c>
      <c r="AD302" s="1" t="str">
        <f>IF(AND(Table1[[#This Row],[Spec Type2]]="N/A",Table1[[#This Row],[DUT Adj Read]]="N/A",Table1[[#This Row],[Std Adj Read]]="N/A"),"N/A",IF(Table1[[#This Row],[DUT Adj Read]]="N/A",IF(Table1[[#This Row],[Std Adj Read]]&gt;Table1[[#This Row],[Low Tol]],"Pass","Fail"),IF(Table1[[#This Row],[DUT Adj Read]]&gt;Table1[[#This Row],[Low Tol]],"Pass","Fail")))</f>
        <v>Pass</v>
      </c>
      <c r="AE302" s="1" t="str">
        <f>IF(AND(Table1[[#This Row],[Spec Type2]]="N/A",Table1[[#This Row],[DUT Adj Read]]="N/A",Table1[[#This Row],[Std Adj Read]]="N/A"),"N/A",IF(Table1[[#This Row],[DUT Adj Read]]="N/A",IF(Table1[[#This Row],[Std Adj Read]]&lt;Table1[[#This Row],[High Tol]],"Pass","Fail"),IF(Table1[[#This Row],[DUT Adj Read]]&lt;Table1[[#This Row],[High Tol]],"Pass","Fail")))</f>
        <v>Fail</v>
      </c>
      <c r="AF302" s="1" t="str">
        <f>IF(AND(Table1[[#This Row],[Spec Type2]]="N/A",Table1[[#This Row],[DUT Adj Read]]="N/A",Table1[[#This Row],[Std Adj Read]]="N/A"),"N/A",IF(Table1[[#This Row],[DUT Adj Read]]="N/A",IF(Table1[[#This Row],[Std Adj Read]]&gt;=Table1[[#This Row],[Low Tol]],"Pass","Fail"),IF(Table1[[#This Row],[DUT Adj Read]]&gt;=Table1[[#This Row],[Low Tol]],"Pass","Fail")))</f>
        <v>Pass</v>
      </c>
      <c r="AG302" s="1" t="str">
        <f>IF(AND(Table1[[#This Row],[Spec Type2]]="N/A",Table1[[#This Row],[DUT Adj Read]]="N/A",Table1[[#This Row],[Std Adj Read]]="N/A"),"N/A",IF(Table1[[#This Row],[DUT Adj Read]]="N/A",IF(Table1[[#This Row],[Std Adj Read]]&lt;=Table1[[#This Row],[High Tol]],"Pass","Fail"),IF(Table1[[#This Row],[DUT Adj Read]]&lt;=Table1[[#This Row],[High Tol]],"Pass","Fail")))</f>
        <v>Fail</v>
      </c>
      <c r="AH3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2" s="1" t="b">
        <v>0</v>
      </c>
      <c r="AN302" s="1" t="b">
        <v>0</v>
      </c>
      <c r="AO302" s="1" t="b">
        <v>0</v>
      </c>
    </row>
    <row r="303" spans="1:41" x14ac:dyDescent="0.25">
      <c r="A303" s="10"/>
      <c r="B303" s="10"/>
      <c r="C303" s="10"/>
      <c r="D303" s="10"/>
      <c r="E303" s="10"/>
      <c r="F303" s="10"/>
      <c r="G303" s="10"/>
      <c r="H303" s="10"/>
      <c r="I303" s="1" t="str">
        <f t="shared" si="12"/>
        <v/>
      </c>
      <c r="J303" s="1" t="s">
        <v>35</v>
      </c>
      <c r="K303" s="1" t="str">
        <f t="shared" si="13"/>
        <v/>
      </c>
      <c r="L303" s="1" t="str">
        <f t="shared" si="14"/>
        <v/>
      </c>
      <c r="M303" s="1">
        <f>IF(OR(Table1[[#This Row],[Std Nom]]="",Table1[[#This Row],[Std Read]]=""),0,Table1[[#This Row],[Std Nom]]-Table1[[#This Row],[Std Read]])</f>
        <v>0</v>
      </c>
      <c r="N303" s="1">
        <f>IF(Calculations!$F$5="ACCREDITED 17025 WITH UNCERTAINTIES",$N$10,0)</f>
        <v>0</v>
      </c>
      <c r="Q303" s="1">
        <f>Table1[[#This Row],[High Tol]]-Table1[[#This Row],[Low Tol]]</f>
        <v>0</v>
      </c>
      <c r="R303" s="1">
        <f>2*Table1[[#This Row],[Std Error]]</f>
        <v>0</v>
      </c>
      <c r="S303" s="1" t="str">
        <f>IF(Table1[[#This Row],[High Tol]]="","N/A",IFERROR(ABS(Table1[[#This Row],[Tol Span]]/Table1[[#This Row],[Error Span]]),"N/A"))</f>
        <v>N/A</v>
      </c>
      <c r="T303" s="1" t="str">
        <f>IF(OR(Table1[[#This Row],[Low Tol]]="",Table1[[#This Row],[High Tol]]=""),"Needs Analysis",IF(Table1[[#This Row],[Ratio]]&gt;=4,"Not Significant",IF(Table1[[#This Row],[Ratio]]&gt;=2,"Semi-Significant","Significant")))</f>
        <v>Needs Analysis</v>
      </c>
      <c r="W303" s="1">
        <f>IF(Table1[[#This Row],[Cal Type]]&lt;&gt;"ACCREDITED 17025 WITH UNCERTAINTIES",0,"")</f>
        <v>0</v>
      </c>
      <c r="X303" s="1" t="str">
        <f>IF(Table1[[#This Row],[DUT Read]]="","N/A",Table1[[#This Row],[Std Error]]+Table1[[#This Row],[DUT Read]]+Table1[[#This Row],[DUT Ucty]])</f>
        <v>N/A</v>
      </c>
      <c r="Y303" s="1" t="str">
        <f>IF(Table1[[#This Row],[Std Read]]="","N/A",Table1[[#This Row],[Std Read]]+Table1[[#This Row],[Std Ucty]])</f>
        <v>N/A</v>
      </c>
      <c r="Z3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3" s="1" t="str">
        <f>IF(Table1[[#This Row],[Spec Type]]="","N/A",Table1[[#This Row],[Spec Type]])</f>
        <v>±</v>
      </c>
      <c r="AC303" s="1" t="str">
        <f>IF(Table1[[#This Row],[Spec Type2]]="N/A","N/A",IF(AND(Table1[[#This Row],[DUT Adj Read]]&gt;=Table1[[#This Row],[Low Tol]],Table1[[#This Row],[DUT Adj Read]]&lt;=Table1[[#This Row],[High Tol]]),"Pass","Fail"))</f>
        <v>Fail</v>
      </c>
      <c r="AD303" s="1" t="str">
        <f>IF(AND(Table1[[#This Row],[Spec Type2]]="N/A",Table1[[#This Row],[DUT Adj Read]]="N/A",Table1[[#This Row],[Std Adj Read]]="N/A"),"N/A",IF(Table1[[#This Row],[DUT Adj Read]]="N/A",IF(Table1[[#This Row],[Std Adj Read]]&gt;Table1[[#This Row],[Low Tol]],"Pass","Fail"),IF(Table1[[#This Row],[DUT Adj Read]]&gt;Table1[[#This Row],[Low Tol]],"Pass","Fail")))</f>
        <v>Pass</v>
      </c>
      <c r="AE303" s="1" t="str">
        <f>IF(AND(Table1[[#This Row],[Spec Type2]]="N/A",Table1[[#This Row],[DUT Adj Read]]="N/A",Table1[[#This Row],[Std Adj Read]]="N/A"),"N/A",IF(Table1[[#This Row],[DUT Adj Read]]="N/A",IF(Table1[[#This Row],[Std Adj Read]]&lt;Table1[[#This Row],[High Tol]],"Pass","Fail"),IF(Table1[[#This Row],[DUT Adj Read]]&lt;Table1[[#This Row],[High Tol]],"Pass","Fail")))</f>
        <v>Fail</v>
      </c>
      <c r="AF303" s="1" t="str">
        <f>IF(AND(Table1[[#This Row],[Spec Type2]]="N/A",Table1[[#This Row],[DUT Adj Read]]="N/A",Table1[[#This Row],[Std Adj Read]]="N/A"),"N/A",IF(Table1[[#This Row],[DUT Adj Read]]="N/A",IF(Table1[[#This Row],[Std Adj Read]]&gt;=Table1[[#This Row],[Low Tol]],"Pass","Fail"),IF(Table1[[#This Row],[DUT Adj Read]]&gt;=Table1[[#This Row],[Low Tol]],"Pass","Fail")))</f>
        <v>Pass</v>
      </c>
      <c r="AG303" s="1" t="str">
        <f>IF(AND(Table1[[#This Row],[Spec Type2]]="N/A",Table1[[#This Row],[DUT Adj Read]]="N/A",Table1[[#This Row],[Std Adj Read]]="N/A"),"N/A",IF(Table1[[#This Row],[DUT Adj Read]]="N/A",IF(Table1[[#This Row],[Std Adj Read]]&lt;=Table1[[#This Row],[High Tol]],"Pass","Fail"),IF(Table1[[#This Row],[DUT Adj Read]]&lt;=Table1[[#This Row],[High Tol]],"Pass","Fail")))</f>
        <v>Fail</v>
      </c>
      <c r="AH3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3" s="1" t="b">
        <v>0</v>
      </c>
      <c r="AN303" s="1" t="b">
        <v>0</v>
      </c>
      <c r="AO303" s="1" t="b">
        <v>0</v>
      </c>
    </row>
    <row r="304" spans="1:41" x14ac:dyDescent="0.25">
      <c r="A304" s="10"/>
      <c r="B304" s="10"/>
      <c r="C304" s="10"/>
      <c r="D304" s="10"/>
      <c r="E304" s="10"/>
      <c r="F304" s="10"/>
      <c r="G304" s="10"/>
      <c r="H304" s="10"/>
      <c r="I304" s="1" t="str">
        <f t="shared" si="12"/>
        <v/>
      </c>
      <c r="J304" s="1" t="s">
        <v>35</v>
      </c>
      <c r="K304" s="1" t="str">
        <f t="shared" si="13"/>
        <v/>
      </c>
      <c r="L304" s="1" t="str">
        <f t="shared" si="14"/>
        <v/>
      </c>
      <c r="M304" s="1">
        <f>IF(OR(Table1[[#This Row],[Std Nom]]="",Table1[[#This Row],[Std Read]]=""),0,Table1[[#This Row],[Std Nom]]-Table1[[#This Row],[Std Read]])</f>
        <v>0</v>
      </c>
      <c r="N304" s="1">
        <f>IF(Calculations!$F$5="ACCREDITED 17025 WITH UNCERTAINTIES",$N$10,0)</f>
        <v>0</v>
      </c>
      <c r="Q304" s="1">
        <f>Table1[[#This Row],[High Tol]]-Table1[[#This Row],[Low Tol]]</f>
        <v>0</v>
      </c>
      <c r="R304" s="1">
        <f>2*Table1[[#This Row],[Std Error]]</f>
        <v>0</v>
      </c>
      <c r="S304" s="1" t="str">
        <f>IF(Table1[[#This Row],[High Tol]]="","N/A",IFERROR(ABS(Table1[[#This Row],[Tol Span]]/Table1[[#This Row],[Error Span]]),"N/A"))</f>
        <v>N/A</v>
      </c>
      <c r="T304" s="1" t="str">
        <f>IF(OR(Table1[[#This Row],[Low Tol]]="",Table1[[#This Row],[High Tol]]=""),"Needs Analysis",IF(Table1[[#This Row],[Ratio]]&gt;=4,"Not Significant",IF(Table1[[#This Row],[Ratio]]&gt;=2,"Semi-Significant","Significant")))</f>
        <v>Needs Analysis</v>
      </c>
      <c r="W304" s="1">
        <f>IF(Table1[[#This Row],[Cal Type]]&lt;&gt;"ACCREDITED 17025 WITH UNCERTAINTIES",0,"")</f>
        <v>0</v>
      </c>
      <c r="X304" s="1" t="str">
        <f>IF(Table1[[#This Row],[DUT Read]]="","N/A",Table1[[#This Row],[Std Error]]+Table1[[#This Row],[DUT Read]]+Table1[[#This Row],[DUT Ucty]])</f>
        <v>N/A</v>
      </c>
      <c r="Y304" s="1" t="str">
        <f>IF(Table1[[#This Row],[Std Read]]="","N/A",Table1[[#This Row],[Std Read]]+Table1[[#This Row],[Std Ucty]])</f>
        <v>N/A</v>
      </c>
      <c r="Z3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4" s="1" t="str">
        <f>IF(Table1[[#This Row],[Spec Type]]="","N/A",Table1[[#This Row],[Spec Type]])</f>
        <v>±</v>
      </c>
      <c r="AC304" s="1" t="str">
        <f>IF(Table1[[#This Row],[Spec Type2]]="N/A","N/A",IF(AND(Table1[[#This Row],[DUT Adj Read]]&gt;=Table1[[#This Row],[Low Tol]],Table1[[#This Row],[DUT Adj Read]]&lt;=Table1[[#This Row],[High Tol]]),"Pass","Fail"))</f>
        <v>Fail</v>
      </c>
      <c r="AD304" s="1" t="str">
        <f>IF(AND(Table1[[#This Row],[Spec Type2]]="N/A",Table1[[#This Row],[DUT Adj Read]]="N/A",Table1[[#This Row],[Std Adj Read]]="N/A"),"N/A",IF(Table1[[#This Row],[DUT Adj Read]]="N/A",IF(Table1[[#This Row],[Std Adj Read]]&gt;Table1[[#This Row],[Low Tol]],"Pass","Fail"),IF(Table1[[#This Row],[DUT Adj Read]]&gt;Table1[[#This Row],[Low Tol]],"Pass","Fail")))</f>
        <v>Pass</v>
      </c>
      <c r="AE304" s="1" t="str">
        <f>IF(AND(Table1[[#This Row],[Spec Type2]]="N/A",Table1[[#This Row],[DUT Adj Read]]="N/A",Table1[[#This Row],[Std Adj Read]]="N/A"),"N/A",IF(Table1[[#This Row],[DUT Adj Read]]="N/A",IF(Table1[[#This Row],[Std Adj Read]]&lt;Table1[[#This Row],[High Tol]],"Pass","Fail"),IF(Table1[[#This Row],[DUT Adj Read]]&lt;Table1[[#This Row],[High Tol]],"Pass","Fail")))</f>
        <v>Fail</v>
      </c>
      <c r="AF304" s="1" t="str">
        <f>IF(AND(Table1[[#This Row],[Spec Type2]]="N/A",Table1[[#This Row],[DUT Adj Read]]="N/A",Table1[[#This Row],[Std Adj Read]]="N/A"),"N/A",IF(Table1[[#This Row],[DUT Adj Read]]="N/A",IF(Table1[[#This Row],[Std Adj Read]]&gt;=Table1[[#This Row],[Low Tol]],"Pass","Fail"),IF(Table1[[#This Row],[DUT Adj Read]]&gt;=Table1[[#This Row],[Low Tol]],"Pass","Fail")))</f>
        <v>Pass</v>
      </c>
      <c r="AG304" s="1" t="str">
        <f>IF(AND(Table1[[#This Row],[Spec Type2]]="N/A",Table1[[#This Row],[DUT Adj Read]]="N/A",Table1[[#This Row],[Std Adj Read]]="N/A"),"N/A",IF(Table1[[#This Row],[DUT Adj Read]]="N/A",IF(Table1[[#This Row],[Std Adj Read]]&lt;=Table1[[#This Row],[High Tol]],"Pass","Fail"),IF(Table1[[#This Row],[DUT Adj Read]]&lt;=Table1[[#This Row],[High Tol]],"Pass","Fail")))</f>
        <v>Fail</v>
      </c>
      <c r="AH3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4" s="1" t="b">
        <v>0</v>
      </c>
      <c r="AN304" s="1" t="b">
        <v>0</v>
      </c>
      <c r="AO304" s="1" t="b">
        <v>0</v>
      </c>
    </row>
    <row r="305" spans="1:41" x14ac:dyDescent="0.25">
      <c r="A305" s="10"/>
      <c r="B305" s="10"/>
      <c r="C305" s="10"/>
      <c r="D305" s="10"/>
      <c r="E305" s="10"/>
      <c r="F305" s="10"/>
      <c r="G305" s="10"/>
      <c r="H305" s="10"/>
      <c r="I305" s="1" t="str">
        <f t="shared" si="12"/>
        <v/>
      </c>
      <c r="J305" s="1" t="s">
        <v>35</v>
      </c>
      <c r="K305" s="1" t="str">
        <f t="shared" si="13"/>
        <v/>
      </c>
      <c r="L305" s="1" t="str">
        <f t="shared" si="14"/>
        <v/>
      </c>
      <c r="M305" s="1">
        <f>IF(OR(Table1[[#This Row],[Std Nom]]="",Table1[[#This Row],[Std Read]]=""),0,Table1[[#This Row],[Std Nom]]-Table1[[#This Row],[Std Read]])</f>
        <v>0</v>
      </c>
      <c r="N305" s="1">
        <f>IF(Calculations!$F$5="ACCREDITED 17025 WITH UNCERTAINTIES",$N$10,0)</f>
        <v>0</v>
      </c>
      <c r="Q305" s="1">
        <f>Table1[[#This Row],[High Tol]]-Table1[[#This Row],[Low Tol]]</f>
        <v>0</v>
      </c>
      <c r="R305" s="1">
        <f>2*Table1[[#This Row],[Std Error]]</f>
        <v>0</v>
      </c>
      <c r="S305" s="1" t="str">
        <f>IF(Table1[[#This Row],[High Tol]]="","N/A",IFERROR(ABS(Table1[[#This Row],[Tol Span]]/Table1[[#This Row],[Error Span]]),"N/A"))</f>
        <v>N/A</v>
      </c>
      <c r="T305" s="1" t="str">
        <f>IF(OR(Table1[[#This Row],[Low Tol]]="",Table1[[#This Row],[High Tol]]=""),"Needs Analysis",IF(Table1[[#This Row],[Ratio]]&gt;=4,"Not Significant",IF(Table1[[#This Row],[Ratio]]&gt;=2,"Semi-Significant","Significant")))</f>
        <v>Needs Analysis</v>
      </c>
      <c r="W305" s="1">
        <f>IF(Table1[[#This Row],[Cal Type]]&lt;&gt;"ACCREDITED 17025 WITH UNCERTAINTIES",0,"")</f>
        <v>0</v>
      </c>
      <c r="X305" s="1" t="str">
        <f>IF(Table1[[#This Row],[DUT Read]]="","N/A",Table1[[#This Row],[Std Error]]+Table1[[#This Row],[DUT Read]]+Table1[[#This Row],[DUT Ucty]])</f>
        <v>N/A</v>
      </c>
      <c r="Y305" s="1" t="str">
        <f>IF(Table1[[#This Row],[Std Read]]="","N/A",Table1[[#This Row],[Std Read]]+Table1[[#This Row],[Std Ucty]])</f>
        <v>N/A</v>
      </c>
      <c r="Z3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5" s="1" t="str">
        <f>IF(Table1[[#This Row],[Spec Type]]="","N/A",Table1[[#This Row],[Spec Type]])</f>
        <v>±</v>
      </c>
      <c r="AC305" s="1" t="str">
        <f>IF(Table1[[#This Row],[Spec Type2]]="N/A","N/A",IF(AND(Table1[[#This Row],[DUT Adj Read]]&gt;=Table1[[#This Row],[Low Tol]],Table1[[#This Row],[DUT Adj Read]]&lt;=Table1[[#This Row],[High Tol]]),"Pass","Fail"))</f>
        <v>Fail</v>
      </c>
      <c r="AD305" s="1" t="str">
        <f>IF(AND(Table1[[#This Row],[Spec Type2]]="N/A",Table1[[#This Row],[DUT Adj Read]]="N/A",Table1[[#This Row],[Std Adj Read]]="N/A"),"N/A",IF(Table1[[#This Row],[DUT Adj Read]]="N/A",IF(Table1[[#This Row],[Std Adj Read]]&gt;Table1[[#This Row],[Low Tol]],"Pass","Fail"),IF(Table1[[#This Row],[DUT Adj Read]]&gt;Table1[[#This Row],[Low Tol]],"Pass","Fail")))</f>
        <v>Pass</v>
      </c>
      <c r="AE305" s="1" t="str">
        <f>IF(AND(Table1[[#This Row],[Spec Type2]]="N/A",Table1[[#This Row],[DUT Adj Read]]="N/A",Table1[[#This Row],[Std Adj Read]]="N/A"),"N/A",IF(Table1[[#This Row],[DUT Adj Read]]="N/A",IF(Table1[[#This Row],[Std Adj Read]]&lt;Table1[[#This Row],[High Tol]],"Pass","Fail"),IF(Table1[[#This Row],[DUT Adj Read]]&lt;Table1[[#This Row],[High Tol]],"Pass","Fail")))</f>
        <v>Fail</v>
      </c>
      <c r="AF305" s="1" t="str">
        <f>IF(AND(Table1[[#This Row],[Spec Type2]]="N/A",Table1[[#This Row],[DUT Adj Read]]="N/A",Table1[[#This Row],[Std Adj Read]]="N/A"),"N/A",IF(Table1[[#This Row],[DUT Adj Read]]="N/A",IF(Table1[[#This Row],[Std Adj Read]]&gt;=Table1[[#This Row],[Low Tol]],"Pass","Fail"),IF(Table1[[#This Row],[DUT Adj Read]]&gt;=Table1[[#This Row],[Low Tol]],"Pass","Fail")))</f>
        <v>Pass</v>
      </c>
      <c r="AG305" s="1" t="str">
        <f>IF(AND(Table1[[#This Row],[Spec Type2]]="N/A",Table1[[#This Row],[DUT Adj Read]]="N/A",Table1[[#This Row],[Std Adj Read]]="N/A"),"N/A",IF(Table1[[#This Row],[DUT Adj Read]]="N/A",IF(Table1[[#This Row],[Std Adj Read]]&lt;=Table1[[#This Row],[High Tol]],"Pass","Fail"),IF(Table1[[#This Row],[DUT Adj Read]]&lt;=Table1[[#This Row],[High Tol]],"Pass","Fail")))</f>
        <v>Fail</v>
      </c>
      <c r="AH3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5" s="1" t="b">
        <v>0</v>
      </c>
      <c r="AN305" s="1" t="b">
        <v>0</v>
      </c>
      <c r="AO305" s="1" t="b">
        <v>0</v>
      </c>
    </row>
    <row r="306" spans="1:41" x14ac:dyDescent="0.25">
      <c r="A306" s="10"/>
      <c r="B306" s="10"/>
      <c r="C306" s="10"/>
      <c r="D306" s="10"/>
      <c r="E306" s="10"/>
      <c r="F306" s="10"/>
      <c r="G306" s="10"/>
      <c r="H306" s="10"/>
      <c r="I306" s="1" t="str">
        <f t="shared" si="12"/>
        <v/>
      </c>
      <c r="J306" s="1" t="s">
        <v>35</v>
      </c>
      <c r="K306" s="1" t="str">
        <f t="shared" si="13"/>
        <v/>
      </c>
      <c r="L306" s="1" t="str">
        <f t="shared" si="14"/>
        <v/>
      </c>
      <c r="M306" s="1">
        <f>IF(OR(Table1[[#This Row],[Std Nom]]="",Table1[[#This Row],[Std Read]]=""),0,Table1[[#This Row],[Std Nom]]-Table1[[#This Row],[Std Read]])</f>
        <v>0</v>
      </c>
      <c r="N306" s="1">
        <f>IF(Calculations!$F$5="ACCREDITED 17025 WITH UNCERTAINTIES",$N$10,0)</f>
        <v>0</v>
      </c>
      <c r="Q306" s="1">
        <f>Table1[[#This Row],[High Tol]]-Table1[[#This Row],[Low Tol]]</f>
        <v>0</v>
      </c>
      <c r="R306" s="1">
        <f>2*Table1[[#This Row],[Std Error]]</f>
        <v>0</v>
      </c>
      <c r="S306" s="1" t="str">
        <f>IF(Table1[[#This Row],[High Tol]]="","N/A",IFERROR(ABS(Table1[[#This Row],[Tol Span]]/Table1[[#This Row],[Error Span]]),"N/A"))</f>
        <v>N/A</v>
      </c>
      <c r="T306" s="1" t="str">
        <f>IF(OR(Table1[[#This Row],[Low Tol]]="",Table1[[#This Row],[High Tol]]=""),"Needs Analysis",IF(Table1[[#This Row],[Ratio]]&gt;=4,"Not Significant",IF(Table1[[#This Row],[Ratio]]&gt;=2,"Semi-Significant","Significant")))</f>
        <v>Needs Analysis</v>
      </c>
      <c r="W306" s="1">
        <f>IF(Table1[[#This Row],[Cal Type]]&lt;&gt;"ACCREDITED 17025 WITH UNCERTAINTIES",0,"")</f>
        <v>0</v>
      </c>
      <c r="X306" s="1" t="str">
        <f>IF(Table1[[#This Row],[DUT Read]]="","N/A",Table1[[#This Row],[Std Error]]+Table1[[#This Row],[DUT Read]]+Table1[[#This Row],[DUT Ucty]])</f>
        <v>N/A</v>
      </c>
      <c r="Y306" s="1" t="str">
        <f>IF(Table1[[#This Row],[Std Read]]="","N/A",Table1[[#This Row],[Std Read]]+Table1[[#This Row],[Std Ucty]])</f>
        <v>N/A</v>
      </c>
      <c r="Z3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6" s="1" t="str">
        <f>IF(Table1[[#This Row],[Spec Type]]="","N/A",Table1[[#This Row],[Spec Type]])</f>
        <v>±</v>
      </c>
      <c r="AC306" s="1" t="str">
        <f>IF(Table1[[#This Row],[Spec Type2]]="N/A","N/A",IF(AND(Table1[[#This Row],[DUT Adj Read]]&gt;=Table1[[#This Row],[Low Tol]],Table1[[#This Row],[DUT Adj Read]]&lt;=Table1[[#This Row],[High Tol]]),"Pass","Fail"))</f>
        <v>Fail</v>
      </c>
      <c r="AD306" s="1" t="str">
        <f>IF(AND(Table1[[#This Row],[Spec Type2]]="N/A",Table1[[#This Row],[DUT Adj Read]]="N/A",Table1[[#This Row],[Std Adj Read]]="N/A"),"N/A",IF(Table1[[#This Row],[DUT Adj Read]]="N/A",IF(Table1[[#This Row],[Std Adj Read]]&gt;Table1[[#This Row],[Low Tol]],"Pass","Fail"),IF(Table1[[#This Row],[DUT Adj Read]]&gt;Table1[[#This Row],[Low Tol]],"Pass","Fail")))</f>
        <v>Pass</v>
      </c>
      <c r="AE306" s="1" t="str">
        <f>IF(AND(Table1[[#This Row],[Spec Type2]]="N/A",Table1[[#This Row],[DUT Adj Read]]="N/A",Table1[[#This Row],[Std Adj Read]]="N/A"),"N/A",IF(Table1[[#This Row],[DUT Adj Read]]="N/A",IF(Table1[[#This Row],[Std Adj Read]]&lt;Table1[[#This Row],[High Tol]],"Pass","Fail"),IF(Table1[[#This Row],[DUT Adj Read]]&lt;Table1[[#This Row],[High Tol]],"Pass","Fail")))</f>
        <v>Fail</v>
      </c>
      <c r="AF306" s="1" t="str">
        <f>IF(AND(Table1[[#This Row],[Spec Type2]]="N/A",Table1[[#This Row],[DUT Adj Read]]="N/A",Table1[[#This Row],[Std Adj Read]]="N/A"),"N/A",IF(Table1[[#This Row],[DUT Adj Read]]="N/A",IF(Table1[[#This Row],[Std Adj Read]]&gt;=Table1[[#This Row],[Low Tol]],"Pass","Fail"),IF(Table1[[#This Row],[DUT Adj Read]]&gt;=Table1[[#This Row],[Low Tol]],"Pass","Fail")))</f>
        <v>Pass</v>
      </c>
      <c r="AG306" s="1" t="str">
        <f>IF(AND(Table1[[#This Row],[Spec Type2]]="N/A",Table1[[#This Row],[DUT Adj Read]]="N/A",Table1[[#This Row],[Std Adj Read]]="N/A"),"N/A",IF(Table1[[#This Row],[DUT Adj Read]]="N/A",IF(Table1[[#This Row],[Std Adj Read]]&lt;=Table1[[#This Row],[High Tol]],"Pass","Fail"),IF(Table1[[#This Row],[DUT Adj Read]]&lt;=Table1[[#This Row],[High Tol]],"Pass","Fail")))</f>
        <v>Fail</v>
      </c>
      <c r="AH3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6" s="1" t="b">
        <v>0</v>
      </c>
      <c r="AN306" s="1" t="b">
        <v>0</v>
      </c>
      <c r="AO306" s="1" t="b">
        <v>0</v>
      </c>
    </row>
    <row r="307" spans="1:41" x14ac:dyDescent="0.25">
      <c r="A307" s="10"/>
      <c r="B307" s="10"/>
      <c r="C307" s="10"/>
      <c r="D307" s="10"/>
      <c r="E307" s="10"/>
      <c r="F307" s="10"/>
      <c r="G307" s="10"/>
      <c r="H307" s="10"/>
      <c r="I307" s="1" t="str">
        <f t="shared" si="12"/>
        <v/>
      </c>
      <c r="J307" s="1" t="s">
        <v>35</v>
      </c>
      <c r="K307" s="1" t="str">
        <f t="shared" si="13"/>
        <v/>
      </c>
      <c r="L307" s="1" t="str">
        <f t="shared" si="14"/>
        <v/>
      </c>
      <c r="M307" s="1">
        <f>IF(OR(Table1[[#This Row],[Std Nom]]="",Table1[[#This Row],[Std Read]]=""),0,Table1[[#This Row],[Std Nom]]-Table1[[#This Row],[Std Read]])</f>
        <v>0</v>
      </c>
      <c r="N307" s="1">
        <f>IF(Calculations!$F$5="ACCREDITED 17025 WITH UNCERTAINTIES",$N$10,0)</f>
        <v>0</v>
      </c>
      <c r="Q307" s="1">
        <f>Table1[[#This Row],[High Tol]]-Table1[[#This Row],[Low Tol]]</f>
        <v>0</v>
      </c>
      <c r="R307" s="1">
        <f>2*Table1[[#This Row],[Std Error]]</f>
        <v>0</v>
      </c>
      <c r="S307" s="1" t="str">
        <f>IF(Table1[[#This Row],[High Tol]]="","N/A",IFERROR(ABS(Table1[[#This Row],[Tol Span]]/Table1[[#This Row],[Error Span]]),"N/A"))</f>
        <v>N/A</v>
      </c>
      <c r="T307" s="1" t="str">
        <f>IF(OR(Table1[[#This Row],[Low Tol]]="",Table1[[#This Row],[High Tol]]=""),"Needs Analysis",IF(Table1[[#This Row],[Ratio]]&gt;=4,"Not Significant",IF(Table1[[#This Row],[Ratio]]&gt;=2,"Semi-Significant","Significant")))</f>
        <v>Needs Analysis</v>
      </c>
      <c r="W307" s="1">
        <f>IF(Table1[[#This Row],[Cal Type]]&lt;&gt;"ACCREDITED 17025 WITH UNCERTAINTIES",0,"")</f>
        <v>0</v>
      </c>
      <c r="X307" s="1" t="str">
        <f>IF(Table1[[#This Row],[DUT Read]]="","N/A",Table1[[#This Row],[Std Error]]+Table1[[#This Row],[DUT Read]]+Table1[[#This Row],[DUT Ucty]])</f>
        <v>N/A</v>
      </c>
      <c r="Y307" s="1" t="str">
        <f>IF(Table1[[#This Row],[Std Read]]="","N/A",Table1[[#This Row],[Std Read]]+Table1[[#This Row],[Std Ucty]])</f>
        <v>N/A</v>
      </c>
      <c r="Z3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7" s="1" t="str">
        <f>IF(Table1[[#This Row],[Spec Type]]="","N/A",Table1[[#This Row],[Spec Type]])</f>
        <v>±</v>
      </c>
      <c r="AC307" s="1" t="str">
        <f>IF(Table1[[#This Row],[Spec Type2]]="N/A","N/A",IF(AND(Table1[[#This Row],[DUT Adj Read]]&gt;=Table1[[#This Row],[Low Tol]],Table1[[#This Row],[DUT Adj Read]]&lt;=Table1[[#This Row],[High Tol]]),"Pass","Fail"))</f>
        <v>Fail</v>
      </c>
      <c r="AD307" s="1" t="str">
        <f>IF(AND(Table1[[#This Row],[Spec Type2]]="N/A",Table1[[#This Row],[DUT Adj Read]]="N/A",Table1[[#This Row],[Std Adj Read]]="N/A"),"N/A",IF(Table1[[#This Row],[DUT Adj Read]]="N/A",IF(Table1[[#This Row],[Std Adj Read]]&gt;Table1[[#This Row],[Low Tol]],"Pass","Fail"),IF(Table1[[#This Row],[DUT Adj Read]]&gt;Table1[[#This Row],[Low Tol]],"Pass","Fail")))</f>
        <v>Pass</v>
      </c>
      <c r="AE307" s="1" t="str">
        <f>IF(AND(Table1[[#This Row],[Spec Type2]]="N/A",Table1[[#This Row],[DUT Adj Read]]="N/A",Table1[[#This Row],[Std Adj Read]]="N/A"),"N/A",IF(Table1[[#This Row],[DUT Adj Read]]="N/A",IF(Table1[[#This Row],[Std Adj Read]]&lt;Table1[[#This Row],[High Tol]],"Pass","Fail"),IF(Table1[[#This Row],[DUT Adj Read]]&lt;Table1[[#This Row],[High Tol]],"Pass","Fail")))</f>
        <v>Fail</v>
      </c>
      <c r="AF307" s="1" t="str">
        <f>IF(AND(Table1[[#This Row],[Spec Type2]]="N/A",Table1[[#This Row],[DUT Adj Read]]="N/A",Table1[[#This Row],[Std Adj Read]]="N/A"),"N/A",IF(Table1[[#This Row],[DUT Adj Read]]="N/A",IF(Table1[[#This Row],[Std Adj Read]]&gt;=Table1[[#This Row],[Low Tol]],"Pass","Fail"),IF(Table1[[#This Row],[DUT Adj Read]]&gt;=Table1[[#This Row],[Low Tol]],"Pass","Fail")))</f>
        <v>Pass</v>
      </c>
      <c r="AG307" s="1" t="str">
        <f>IF(AND(Table1[[#This Row],[Spec Type2]]="N/A",Table1[[#This Row],[DUT Adj Read]]="N/A",Table1[[#This Row],[Std Adj Read]]="N/A"),"N/A",IF(Table1[[#This Row],[DUT Adj Read]]="N/A",IF(Table1[[#This Row],[Std Adj Read]]&lt;=Table1[[#This Row],[High Tol]],"Pass","Fail"),IF(Table1[[#This Row],[DUT Adj Read]]&lt;=Table1[[#This Row],[High Tol]],"Pass","Fail")))</f>
        <v>Fail</v>
      </c>
      <c r="AH3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7" s="1" t="b">
        <v>0</v>
      </c>
      <c r="AN307" s="1" t="b">
        <v>0</v>
      </c>
      <c r="AO307" s="1" t="b">
        <v>0</v>
      </c>
    </row>
    <row r="308" spans="1:41" x14ac:dyDescent="0.25">
      <c r="A308" s="10"/>
      <c r="B308" s="10"/>
      <c r="C308" s="10"/>
      <c r="D308" s="10"/>
      <c r="E308" s="10"/>
      <c r="F308" s="10"/>
      <c r="G308" s="10"/>
      <c r="H308" s="10"/>
      <c r="I308" s="1" t="str">
        <f t="shared" si="12"/>
        <v/>
      </c>
      <c r="J308" s="1" t="s">
        <v>35</v>
      </c>
      <c r="K308" s="1" t="str">
        <f t="shared" si="13"/>
        <v/>
      </c>
      <c r="L308" s="1" t="str">
        <f t="shared" si="14"/>
        <v/>
      </c>
      <c r="M308" s="1">
        <f>IF(OR(Table1[[#This Row],[Std Nom]]="",Table1[[#This Row],[Std Read]]=""),0,Table1[[#This Row],[Std Nom]]-Table1[[#This Row],[Std Read]])</f>
        <v>0</v>
      </c>
      <c r="N308" s="1">
        <f>IF(Calculations!$F$5="ACCREDITED 17025 WITH UNCERTAINTIES",$N$10,0)</f>
        <v>0</v>
      </c>
      <c r="Q308" s="1">
        <f>Table1[[#This Row],[High Tol]]-Table1[[#This Row],[Low Tol]]</f>
        <v>0</v>
      </c>
      <c r="R308" s="1">
        <f>2*Table1[[#This Row],[Std Error]]</f>
        <v>0</v>
      </c>
      <c r="S308" s="1" t="str">
        <f>IF(Table1[[#This Row],[High Tol]]="","N/A",IFERROR(ABS(Table1[[#This Row],[Tol Span]]/Table1[[#This Row],[Error Span]]),"N/A"))</f>
        <v>N/A</v>
      </c>
      <c r="T308" s="1" t="str">
        <f>IF(OR(Table1[[#This Row],[Low Tol]]="",Table1[[#This Row],[High Tol]]=""),"Needs Analysis",IF(Table1[[#This Row],[Ratio]]&gt;=4,"Not Significant",IF(Table1[[#This Row],[Ratio]]&gt;=2,"Semi-Significant","Significant")))</f>
        <v>Needs Analysis</v>
      </c>
      <c r="W308" s="1">
        <f>IF(Table1[[#This Row],[Cal Type]]&lt;&gt;"ACCREDITED 17025 WITH UNCERTAINTIES",0,"")</f>
        <v>0</v>
      </c>
      <c r="X308" s="1" t="str">
        <f>IF(Table1[[#This Row],[DUT Read]]="","N/A",Table1[[#This Row],[Std Error]]+Table1[[#This Row],[DUT Read]]+Table1[[#This Row],[DUT Ucty]])</f>
        <v>N/A</v>
      </c>
      <c r="Y308" s="1" t="str">
        <f>IF(Table1[[#This Row],[Std Read]]="","N/A",Table1[[#This Row],[Std Read]]+Table1[[#This Row],[Std Ucty]])</f>
        <v>N/A</v>
      </c>
      <c r="Z3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8" s="1" t="str">
        <f>IF(Table1[[#This Row],[Spec Type]]="","N/A",Table1[[#This Row],[Spec Type]])</f>
        <v>±</v>
      </c>
      <c r="AC308" s="1" t="str">
        <f>IF(Table1[[#This Row],[Spec Type2]]="N/A","N/A",IF(AND(Table1[[#This Row],[DUT Adj Read]]&gt;=Table1[[#This Row],[Low Tol]],Table1[[#This Row],[DUT Adj Read]]&lt;=Table1[[#This Row],[High Tol]]),"Pass","Fail"))</f>
        <v>Fail</v>
      </c>
      <c r="AD308" s="1" t="str">
        <f>IF(AND(Table1[[#This Row],[Spec Type2]]="N/A",Table1[[#This Row],[DUT Adj Read]]="N/A",Table1[[#This Row],[Std Adj Read]]="N/A"),"N/A",IF(Table1[[#This Row],[DUT Adj Read]]="N/A",IF(Table1[[#This Row],[Std Adj Read]]&gt;Table1[[#This Row],[Low Tol]],"Pass","Fail"),IF(Table1[[#This Row],[DUT Adj Read]]&gt;Table1[[#This Row],[Low Tol]],"Pass","Fail")))</f>
        <v>Pass</v>
      </c>
      <c r="AE308" s="1" t="str">
        <f>IF(AND(Table1[[#This Row],[Spec Type2]]="N/A",Table1[[#This Row],[DUT Adj Read]]="N/A",Table1[[#This Row],[Std Adj Read]]="N/A"),"N/A",IF(Table1[[#This Row],[DUT Adj Read]]="N/A",IF(Table1[[#This Row],[Std Adj Read]]&lt;Table1[[#This Row],[High Tol]],"Pass","Fail"),IF(Table1[[#This Row],[DUT Adj Read]]&lt;Table1[[#This Row],[High Tol]],"Pass","Fail")))</f>
        <v>Fail</v>
      </c>
      <c r="AF308" s="1" t="str">
        <f>IF(AND(Table1[[#This Row],[Spec Type2]]="N/A",Table1[[#This Row],[DUT Adj Read]]="N/A",Table1[[#This Row],[Std Adj Read]]="N/A"),"N/A",IF(Table1[[#This Row],[DUT Adj Read]]="N/A",IF(Table1[[#This Row],[Std Adj Read]]&gt;=Table1[[#This Row],[Low Tol]],"Pass","Fail"),IF(Table1[[#This Row],[DUT Adj Read]]&gt;=Table1[[#This Row],[Low Tol]],"Pass","Fail")))</f>
        <v>Pass</v>
      </c>
      <c r="AG308" s="1" t="str">
        <f>IF(AND(Table1[[#This Row],[Spec Type2]]="N/A",Table1[[#This Row],[DUT Adj Read]]="N/A",Table1[[#This Row],[Std Adj Read]]="N/A"),"N/A",IF(Table1[[#This Row],[DUT Adj Read]]="N/A",IF(Table1[[#This Row],[Std Adj Read]]&lt;=Table1[[#This Row],[High Tol]],"Pass","Fail"),IF(Table1[[#This Row],[DUT Adj Read]]&lt;=Table1[[#This Row],[High Tol]],"Pass","Fail")))</f>
        <v>Fail</v>
      </c>
      <c r="AH3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8" s="1" t="b">
        <v>0</v>
      </c>
      <c r="AN308" s="1" t="b">
        <v>0</v>
      </c>
      <c r="AO308" s="1" t="b">
        <v>0</v>
      </c>
    </row>
    <row r="309" spans="1:41" x14ac:dyDescent="0.25">
      <c r="A309" s="10"/>
      <c r="B309" s="10"/>
      <c r="C309" s="10"/>
      <c r="D309" s="10"/>
      <c r="E309" s="10"/>
      <c r="F309" s="10"/>
      <c r="G309" s="10"/>
      <c r="H309" s="10"/>
      <c r="I309" s="1" t="str">
        <f t="shared" si="12"/>
        <v/>
      </c>
      <c r="J309" s="1" t="s">
        <v>35</v>
      </c>
      <c r="K309" s="1" t="str">
        <f t="shared" si="13"/>
        <v/>
      </c>
      <c r="L309" s="1" t="str">
        <f t="shared" si="14"/>
        <v/>
      </c>
      <c r="M309" s="1">
        <f>IF(OR(Table1[[#This Row],[Std Nom]]="",Table1[[#This Row],[Std Read]]=""),0,Table1[[#This Row],[Std Nom]]-Table1[[#This Row],[Std Read]])</f>
        <v>0</v>
      </c>
      <c r="N309" s="1">
        <f>IF(Calculations!$F$5="ACCREDITED 17025 WITH UNCERTAINTIES",$N$10,0)</f>
        <v>0</v>
      </c>
      <c r="Q309" s="1">
        <f>Table1[[#This Row],[High Tol]]-Table1[[#This Row],[Low Tol]]</f>
        <v>0</v>
      </c>
      <c r="R309" s="1">
        <f>2*Table1[[#This Row],[Std Error]]</f>
        <v>0</v>
      </c>
      <c r="S309" s="1" t="str">
        <f>IF(Table1[[#This Row],[High Tol]]="","N/A",IFERROR(ABS(Table1[[#This Row],[Tol Span]]/Table1[[#This Row],[Error Span]]),"N/A"))</f>
        <v>N/A</v>
      </c>
      <c r="T309" s="1" t="str">
        <f>IF(OR(Table1[[#This Row],[Low Tol]]="",Table1[[#This Row],[High Tol]]=""),"Needs Analysis",IF(Table1[[#This Row],[Ratio]]&gt;=4,"Not Significant",IF(Table1[[#This Row],[Ratio]]&gt;=2,"Semi-Significant","Significant")))</f>
        <v>Needs Analysis</v>
      </c>
      <c r="W309" s="1">
        <f>IF(Table1[[#This Row],[Cal Type]]&lt;&gt;"ACCREDITED 17025 WITH UNCERTAINTIES",0,"")</f>
        <v>0</v>
      </c>
      <c r="X309" s="1" t="str">
        <f>IF(Table1[[#This Row],[DUT Read]]="","N/A",Table1[[#This Row],[Std Error]]+Table1[[#This Row],[DUT Read]]+Table1[[#This Row],[DUT Ucty]])</f>
        <v>N/A</v>
      </c>
      <c r="Y309" s="1" t="str">
        <f>IF(Table1[[#This Row],[Std Read]]="","N/A",Table1[[#This Row],[Std Read]]+Table1[[#This Row],[Std Ucty]])</f>
        <v>N/A</v>
      </c>
      <c r="Z3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9" s="1" t="str">
        <f>IF(Table1[[#This Row],[Spec Type]]="","N/A",Table1[[#This Row],[Spec Type]])</f>
        <v>±</v>
      </c>
      <c r="AC309" s="1" t="str">
        <f>IF(Table1[[#This Row],[Spec Type2]]="N/A","N/A",IF(AND(Table1[[#This Row],[DUT Adj Read]]&gt;=Table1[[#This Row],[Low Tol]],Table1[[#This Row],[DUT Adj Read]]&lt;=Table1[[#This Row],[High Tol]]),"Pass","Fail"))</f>
        <v>Fail</v>
      </c>
      <c r="AD309" s="1" t="str">
        <f>IF(AND(Table1[[#This Row],[Spec Type2]]="N/A",Table1[[#This Row],[DUT Adj Read]]="N/A",Table1[[#This Row],[Std Adj Read]]="N/A"),"N/A",IF(Table1[[#This Row],[DUT Adj Read]]="N/A",IF(Table1[[#This Row],[Std Adj Read]]&gt;Table1[[#This Row],[Low Tol]],"Pass","Fail"),IF(Table1[[#This Row],[DUT Adj Read]]&gt;Table1[[#This Row],[Low Tol]],"Pass","Fail")))</f>
        <v>Pass</v>
      </c>
      <c r="AE309" s="1" t="str">
        <f>IF(AND(Table1[[#This Row],[Spec Type2]]="N/A",Table1[[#This Row],[DUT Adj Read]]="N/A",Table1[[#This Row],[Std Adj Read]]="N/A"),"N/A",IF(Table1[[#This Row],[DUT Adj Read]]="N/A",IF(Table1[[#This Row],[Std Adj Read]]&lt;Table1[[#This Row],[High Tol]],"Pass","Fail"),IF(Table1[[#This Row],[DUT Adj Read]]&lt;Table1[[#This Row],[High Tol]],"Pass","Fail")))</f>
        <v>Fail</v>
      </c>
      <c r="AF309" s="1" t="str">
        <f>IF(AND(Table1[[#This Row],[Spec Type2]]="N/A",Table1[[#This Row],[DUT Adj Read]]="N/A",Table1[[#This Row],[Std Adj Read]]="N/A"),"N/A",IF(Table1[[#This Row],[DUT Adj Read]]="N/A",IF(Table1[[#This Row],[Std Adj Read]]&gt;=Table1[[#This Row],[Low Tol]],"Pass","Fail"),IF(Table1[[#This Row],[DUT Adj Read]]&gt;=Table1[[#This Row],[Low Tol]],"Pass","Fail")))</f>
        <v>Pass</v>
      </c>
      <c r="AG309" s="1" t="str">
        <f>IF(AND(Table1[[#This Row],[Spec Type2]]="N/A",Table1[[#This Row],[DUT Adj Read]]="N/A",Table1[[#This Row],[Std Adj Read]]="N/A"),"N/A",IF(Table1[[#This Row],[DUT Adj Read]]="N/A",IF(Table1[[#This Row],[Std Adj Read]]&lt;=Table1[[#This Row],[High Tol]],"Pass","Fail"),IF(Table1[[#This Row],[DUT Adj Read]]&lt;=Table1[[#This Row],[High Tol]],"Pass","Fail")))</f>
        <v>Fail</v>
      </c>
      <c r="AH3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9" s="1" t="b">
        <v>0</v>
      </c>
      <c r="AN309" s="1" t="b">
        <v>0</v>
      </c>
      <c r="AO309" s="1" t="b">
        <v>0</v>
      </c>
    </row>
    <row r="310" spans="1:41" x14ac:dyDescent="0.25">
      <c r="A310" s="10"/>
      <c r="B310" s="10"/>
      <c r="C310" s="10"/>
      <c r="D310" s="10"/>
      <c r="E310" s="10"/>
      <c r="F310" s="10"/>
      <c r="G310" s="10"/>
      <c r="H310" s="10"/>
      <c r="I310" s="1" t="str">
        <f t="shared" si="12"/>
        <v/>
      </c>
      <c r="J310" s="1" t="s">
        <v>35</v>
      </c>
      <c r="K310" s="1" t="str">
        <f t="shared" si="13"/>
        <v/>
      </c>
      <c r="L310" s="1" t="str">
        <f t="shared" si="14"/>
        <v/>
      </c>
      <c r="M310" s="1">
        <f>IF(OR(Table1[[#This Row],[Std Nom]]="",Table1[[#This Row],[Std Read]]=""),0,Table1[[#This Row],[Std Nom]]-Table1[[#This Row],[Std Read]])</f>
        <v>0</v>
      </c>
      <c r="N310" s="1">
        <f>IF(Calculations!$F$5="ACCREDITED 17025 WITH UNCERTAINTIES",$N$10,0)</f>
        <v>0</v>
      </c>
      <c r="Q310" s="1">
        <f>Table1[[#This Row],[High Tol]]-Table1[[#This Row],[Low Tol]]</f>
        <v>0</v>
      </c>
      <c r="R310" s="1">
        <f>2*Table1[[#This Row],[Std Error]]</f>
        <v>0</v>
      </c>
      <c r="S310" s="1" t="str">
        <f>IF(Table1[[#This Row],[High Tol]]="","N/A",IFERROR(ABS(Table1[[#This Row],[Tol Span]]/Table1[[#This Row],[Error Span]]),"N/A"))</f>
        <v>N/A</v>
      </c>
      <c r="T310" s="1" t="str">
        <f>IF(OR(Table1[[#This Row],[Low Tol]]="",Table1[[#This Row],[High Tol]]=""),"Needs Analysis",IF(Table1[[#This Row],[Ratio]]&gt;=4,"Not Significant",IF(Table1[[#This Row],[Ratio]]&gt;=2,"Semi-Significant","Significant")))</f>
        <v>Needs Analysis</v>
      </c>
      <c r="W310" s="1">
        <f>IF(Table1[[#This Row],[Cal Type]]&lt;&gt;"ACCREDITED 17025 WITH UNCERTAINTIES",0,"")</f>
        <v>0</v>
      </c>
      <c r="X310" s="1" t="str">
        <f>IF(Table1[[#This Row],[DUT Read]]="","N/A",Table1[[#This Row],[Std Error]]+Table1[[#This Row],[DUT Read]]+Table1[[#This Row],[DUT Ucty]])</f>
        <v>N/A</v>
      </c>
      <c r="Y310" s="1" t="str">
        <f>IF(Table1[[#This Row],[Std Read]]="","N/A",Table1[[#This Row],[Std Read]]+Table1[[#This Row],[Std Ucty]])</f>
        <v>N/A</v>
      </c>
      <c r="Z3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0" s="1" t="str">
        <f>IF(Table1[[#This Row],[Spec Type]]="","N/A",Table1[[#This Row],[Spec Type]])</f>
        <v>±</v>
      </c>
      <c r="AC310" s="1" t="str">
        <f>IF(Table1[[#This Row],[Spec Type2]]="N/A","N/A",IF(AND(Table1[[#This Row],[DUT Adj Read]]&gt;=Table1[[#This Row],[Low Tol]],Table1[[#This Row],[DUT Adj Read]]&lt;=Table1[[#This Row],[High Tol]]),"Pass","Fail"))</f>
        <v>Fail</v>
      </c>
      <c r="AD310" s="1" t="str">
        <f>IF(AND(Table1[[#This Row],[Spec Type2]]="N/A",Table1[[#This Row],[DUT Adj Read]]="N/A",Table1[[#This Row],[Std Adj Read]]="N/A"),"N/A",IF(Table1[[#This Row],[DUT Adj Read]]="N/A",IF(Table1[[#This Row],[Std Adj Read]]&gt;Table1[[#This Row],[Low Tol]],"Pass","Fail"),IF(Table1[[#This Row],[DUT Adj Read]]&gt;Table1[[#This Row],[Low Tol]],"Pass","Fail")))</f>
        <v>Pass</v>
      </c>
      <c r="AE310" s="1" t="str">
        <f>IF(AND(Table1[[#This Row],[Spec Type2]]="N/A",Table1[[#This Row],[DUT Adj Read]]="N/A",Table1[[#This Row],[Std Adj Read]]="N/A"),"N/A",IF(Table1[[#This Row],[DUT Adj Read]]="N/A",IF(Table1[[#This Row],[Std Adj Read]]&lt;Table1[[#This Row],[High Tol]],"Pass","Fail"),IF(Table1[[#This Row],[DUT Adj Read]]&lt;Table1[[#This Row],[High Tol]],"Pass","Fail")))</f>
        <v>Fail</v>
      </c>
      <c r="AF310" s="1" t="str">
        <f>IF(AND(Table1[[#This Row],[Spec Type2]]="N/A",Table1[[#This Row],[DUT Adj Read]]="N/A",Table1[[#This Row],[Std Adj Read]]="N/A"),"N/A",IF(Table1[[#This Row],[DUT Adj Read]]="N/A",IF(Table1[[#This Row],[Std Adj Read]]&gt;=Table1[[#This Row],[Low Tol]],"Pass","Fail"),IF(Table1[[#This Row],[DUT Adj Read]]&gt;=Table1[[#This Row],[Low Tol]],"Pass","Fail")))</f>
        <v>Pass</v>
      </c>
      <c r="AG310" s="1" t="str">
        <f>IF(AND(Table1[[#This Row],[Spec Type2]]="N/A",Table1[[#This Row],[DUT Adj Read]]="N/A",Table1[[#This Row],[Std Adj Read]]="N/A"),"N/A",IF(Table1[[#This Row],[DUT Adj Read]]="N/A",IF(Table1[[#This Row],[Std Adj Read]]&lt;=Table1[[#This Row],[High Tol]],"Pass","Fail"),IF(Table1[[#This Row],[DUT Adj Read]]&lt;=Table1[[#This Row],[High Tol]],"Pass","Fail")))</f>
        <v>Fail</v>
      </c>
      <c r="AH3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0" s="1" t="b">
        <v>0</v>
      </c>
      <c r="AN310" s="1" t="b">
        <v>0</v>
      </c>
      <c r="AO310" s="1" t="b">
        <v>0</v>
      </c>
    </row>
    <row r="311" spans="1:41" x14ac:dyDescent="0.25">
      <c r="A311" s="10"/>
      <c r="B311" s="10"/>
      <c r="C311" s="10"/>
      <c r="D311" s="10"/>
      <c r="E311" s="10"/>
      <c r="F311" s="10"/>
      <c r="G311" s="10"/>
      <c r="H311" s="10"/>
      <c r="I311" s="1" t="str">
        <f t="shared" si="12"/>
        <v/>
      </c>
      <c r="J311" s="1" t="s">
        <v>35</v>
      </c>
      <c r="K311" s="1" t="str">
        <f t="shared" si="13"/>
        <v/>
      </c>
      <c r="L311" s="1" t="str">
        <f t="shared" si="14"/>
        <v/>
      </c>
      <c r="M311" s="1">
        <f>IF(OR(Table1[[#This Row],[Std Nom]]="",Table1[[#This Row],[Std Read]]=""),0,Table1[[#This Row],[Std Nom]]-Table1[[#This Row],[Std Read]])</f>
        <v>0</v>
      </c>
      <c r="N311" s="1">
        <f>IF(Calculations!$F$5="ACCREDITED 17025 WITH UNCERTAINTIES",$N$10,0)</f>
        <v>0</v>
      </c>
      <c r="Q311" s="1">
        <f>Table1[[#This Row],[High Tol]]-Table1[[#This Row],[Low Tol]]</f>
        <v>0</v>
      </c>
      <c r="R311" s="1">
        <f>2*Table1[[#This Row],[Std Error]]</f>
        <v>0</v>
      </c>
      <c r="S311" s="1" t="str">
        <f>IF(Table1[[#This Row],[High Tol]]="","N/A",IFERROR(ABS(Table1[[#This Row],[Tol Span]]/Table1[[#This Row],[Error Span]]),"N/A"))</f>
        <v>N/A</v>
      </c>
      <c r="T311" s="1" t="str">
        <f>IF(OR(Table1[[#This Row],[Low Tol]]="",Table1[[#This Row],[High Tol]]=""),"Needs Analysis",IF(Table1[[#This Row],[Ratio]]&gt;=4,"Not Significant",IF(Table1[[#This Row],[Ratio]]&gt;=2,"Semi-Significant","Significant")))</f>
        <v>Needs Analysis</v>
      </c>
      <c r="W311" s="1">
        <f>IF(Table1[[#This Row],[Cal Type]]&lt;&gt;"ACCREDITED 17025 WITH UNCERTAINTIES",0,"")</f>
        <v>0</v>
      </c>
      <c r="X311" s="1" t="str">
        <f>IF(Table1[[#This Row],[DUT Read]]="","N/A",Table1[[#This Row],[Std Error]]+Table1[[#This Row],[DUT Read]]+Table1[[#This Row],[DUT Ucty]])</f>
        <v>N/A</v>
      </c>
      <c r="Y311" s="1" t="str">
        <f>IF(Table1[[#This Row],[Std Read]]="","N/A",Table1[[#This Row],[Std Read]]+Table1[[#This Row],[Std Ucty]])</f>
        <v>N/A</v>
      </c>
      <c r="Z3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1" s="1" t="str">
        <f>IF(Table1[[#This Row],[Spec Type]]="","N/A",Table1[[#This Row],[Spec Type]])</f>
        <v>±</v>
      </c>
      <c r="AC311" s="1" t="str">
        <f>IF(Table1[[#This Row],[Spec Type2]]="N/A","N/A",IF(AND(Table1[[#This Row],[DUT Adj Read]]&gt;=Table1[[#This Row],[Low Tol]],Table1[[#This Row],[DUT Adj Read]]&lt;=Table1[[#This Row],[High Tol]]),"Pass","Fail"))</f>
        <v>Fail</v>
      </c>
      <c r="AD311" s="1" t="str">
        <f>IF(AND(Table1[[#This Row],[Spec Type2]]="N/A",Table1[[#This Row],[DUT Adj Read]]="N/A",Table1[[#This Row],[Std Adj Read]]="N/A"),"N/A",IF(Table1[[#This Row],[DUT Adj Read]]="N/A",IF(Table1[[#This Row],[Std Adj Read]]&gt;Table1[[#This Row],[Low Tol]],"Pass","Fail"),IF(Table1[[#This Row],[DUT Adj Read]]&gt;Table1[[#This Row],[Low Tol]],"Pass","Fail")))</f>
        <v>Pass</v>
      </c>
      <c r="AE311" s="1" t="str">
        <f>IF(AND(Table1[[#This Row],[Spec Type2]]="N/A",Table1[[#This Row],[DUT Adj Read]]="N/A",Table1[[#This Row],[Std Adj Read]]="N/A"),"N/A",IF(Table1[[#This Row],[DUT Adj Read]]="N/A",IF(Table1[[#This Row],[Std Adj Read]]&lt;Table1[[#This Row],[High Tol]],"Pass","Fail"),IF(Table1[[#This Row],[DUT Adj Read]]&lt;Table1[[#This Row],[High Tol]],"Pass","Fail")))</f>
        <v>Fail</v>
      </c>
      <c r="AF311" s="1" t="str">
        <f>IF(AND(Table1[[#This Row],[Spec Type2]]="N/A",Table1[[#This Row],[DUT Adj Read]]="N/A",Table1[[#This Row],[Std Adj Read]]="N/A"),"N/A",IF(Table1[[#This Row],[DUT Adj Read]]="N/A",IF(Table1[[#This Row],[Std Adj Read]]&gt;=Table1[[#This Row],[Low Tol]],"Pass","Fail"),IF(Table1[[#This Row],[DUT Adj Read]]&gt;=Table1[[#This Row],[Low Tol]],"Pass","Fail")))</f>
        <v>Pass</v>
      </c>
      <c r="AG311" s="1" t="str">
        <f>IF(AND(Table1[[#This Row],[Spec Type2]]="N/A",Table1[[#This Row],[DUT Adj Read]]="N/A",Table1[[#This Row],[Std Adj Read]]="N/A"),"N/A",IF(Table1[[#This Row],[DUT Adj Read]]="N/A",IF(Table1[[#This Row],[Std Adj Read]]&lt;=Table1[[#This Row],[High Tol]],"Pass","Fail"),IF(Table1[[#This Row],[DUT Adj Read]]&lt;=Table1[[#This Row],[High Tol]],"Pass","Fail")))</f>
        <v>Fail</v>
      </c>
      <c r="AH3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1" s="1" t="b">
        <v>0</v>
      </c>
      <c r="AN311" s="1" t="b">
        <v>0</v>
      </c>
      <c r="AO311" s="1" t="b">
        <v>0</v>
      </c>
    </row>
    <row r="312" spans="1:41" x14ac:dyDescent="0.25">
      <c r="A312" s="10"/>
      <c r="B312" s="10"/>
      <c r="C312" s="10"/>
      <c r="D312" s="10"/>
      <c r="E312" s="10"/>
      <c r="F312" s="10"/>
      <c r="G312" s="10"/>
      <c r="H312" s="10"/>
      <c r="I312" s="1" t="str">
        <f t="shared" si="12"/>
        <v/>
      </c>
      <c r="J312" s="1" t="s">
        <v>35</v>
      </c>
      <c r="K312" s="1" t="str">
        <f t="shared" si="13"/>
        <v/>
      </c>
      <c r="L312" s="1" t="str">
        <f t="shared" si="14"/>
        <v/>
      </c>
      <c r="M312" s="1">
        <f>IF(OR(Table1[[#This Row],[Std Nom]]="",Table1[[#This Row],[Std Read]]=""),0,Table1[[#This Row],[Std Nom]]-Table1[[#This Row],[Std Read]])</f>
        <v>0</v>
      </c>
      <c r="N312" s="1">
        <f>IF(Calculations!$F$5="ACCREDITED 17025 WITH UNCERTAINTIES",$N$10,0)</f>
        <v>0</v>
      </c>
      <c r="Q312" s="1">
        <f>Table1[[#This Row],[High Tol]]-Table1[[#This Row],[Low Tol]]</f>
        <v>0</v>
      </c>
      <c r="R312" s="1">
        <f>2*Table1[[#This Row],[Std Error]]</f>
        <v>0</v>
      </c>
      <c r="S312" s="1" t="str">
        <f>IF(Table1[[#This Row],[High Tol]]="","N/A",IFERROR(ABS(Table1[[#This Row],[Tol Span]]/Table1[[#This Row],[Error Span]]),"N/A"))</f>
        <v>N/A</v>
      </c>
      <c r="T312" s="1" t="str">
        <f>IF(OR(Table1[[#This Row],[Low Tol]]="",Table1[[#This Row],[High Tol]]=""),"Needs Analysis",IF(Table1[[#This Row],[Ratio]]&gt;=4,"Not Significant",IF(Table1[[#This Row],[Ratio]]&gt;=2,"Semi-Significant","Significant")))</f>
        <v>Needs Analysis</v>
      </c>
      <c r="W312" s="1">
        <f>IF(Table1[[#This Row],[Cal Type]]&lt;&gt;"ACCREDITED 17025 WITH UNCERTAINTIES",0,"")</f>
        <v>0</v>
      </c>
      <c r="X312" s="1" t="str">
        <f>IF(Table1[[#This Row],[DUT Read]]="","N/A",Table1[[#This Row],[Std Error]]+Table1[[#This Row],[DUT Read]]+Table1[[#This Row],[DUT Ucty]])</f>
        <v>N/A</v>
      </c>
      <c r="Y312" s="1" t="str">
        <f>IF(Table1[[#This Row],[Std Read]]="","N/A",Table1[[#This Row],[Std Read]]+Table1[[#This Row],[Std Ucty]])</f>
        <v>N/A</v>
      </c>
      <c r="Z3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2" s="1" t="str">
        <f>IF(Table1[[#This Row],[Spec Type]]="","N/A",Table1[[#This Row],[Spec Type]])</f>
        <v>±</v>
      </c>
      <c r="AC312" s="1" t="str">
        <f>IF(Table1[[#This Row],[Spec Type2]]="N/A","N/A",IF(AND(Table1[[#This Row],[DUT Adj Read]]&gt;=Table1[[#This Row],[Low Tol]],Table1[[#This Row],[DUT Adj Read]]&lt;=Table1[[#This Row],[High Tol]]),"Pass","Fail"))</f>
        <v>Fail</v>
      </c>
      <c r="AD312" s="1" t="str">
        <f>IF(AND(Table1[[#This Row],[Spec Type2]]="N/A",Table1[[#This Row],[DUT Adj Read]]="N/A",Table1[[#This Row],[Std Adj Read]]="N/A"),"N/A",IF(Table1[[#This Row],[DUT Adj Read]]="N/A",IF(Table1[[#This Row],[Std Adj Read]]&gt;Table1[[#This Row],[Low Tol]],"Pass","Fail"),IF(Table1[[#This Row],[DUT Adj Read]]&gt;Table1[[#This Row],[Low Tol]],"Pass","Fail")))</f>
        <v>Pass</v>
      </c>
      <c r="AE312" s="1" t="str">
        <f>IF(AND(Table1[[#This Row],[Spec Type2]]="N/A",Table1[[#This Row],[DUT Adj Read]]="N/A",Table1[[#This Row],[Std Adj Read]]="N/A"),"N/A",IF(Table1[[#This Row],[DUT Adj Read]]="N/A",IF(Table1[[#This Row],[Std Adj Read]]&lt;Table1[[#This Row],[High Tol]],"Pass","Fail"),IF(Table1[[#This Row],[DUT Adj Read]]&lt;Table1[[#This Row],[High Tol]],"Pass","Fail")))</f>
        <v>Fail</v>
      </c>
      <c r="AF312" s="1" t="str">
        <f>IF(AND(Table1[[#This Row],[Spec Type2]]="N/A",Table1[[#This Row],[DUT Adj Read]]="N/A",Table1[[#This Row],[Std Adj Read]]="N/A"),"N/A",IF(Table1[[#This Row],[DUT Adj Read]]="N/A",IF(Table1[[#This Row],[Std Adj Read]]&gt;=Table1[[#This Row],[Low Tol]],"Pass","Fail"),IF(Table1[[#This Row],[DUT Adj Read]]&gt;=Table1[[#This Row],[Low Tol]],"Pass","Fail")))</f>
        <v>Pass</v>
      </c>
      <c r="AG312" s="1" t="str">
        <f>IF(AND(Table1[[#This Row],[Spec Type2]]="N/A",Table1[[#This Row],[DUT Adj Read]]="N/A",Table1[[#This Row],[Std Adj Read]]="N/A"),"N/A",IF(Table1[[#This Row],[DUT Adj Read]]="N/A",IF(Table1[[#This Row],[Std Adj Read]]&lt;=Table1[[#This Row],[High Tol]],"Pass","Fail"),IF(Table1[[#This Row],[DUT Adj Read]]&lt;=Table1[[#This Row],[High Tol]],"Pass","Fail")))</f>
        <v>Fail</v>
      </c>
      <c r="AH3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2" s="1" t="b">
        <v>0</v>
      </c>
      <c r="AN312" s="1" t="b">
        <v>0</v>
      </c>
      <c r="AO312" s="1" t="b">
        <v>0</v>
      </c>
    </row>
    <row r="313" spans="1:41" x14ac:dyDescent="0.25">
      <c r="A313" s="10"/>
      <c r="B313" s="10"/>
      <c r="C313" s="10"/>
      <c r="D313" s="10"/>
      <c r="E313" s="10"/>
      <c r="F313" s="10"/>
      <c r="G313" s="10"/>
      <c r="H313" s="10"/>
      <c r="I313" s="1" t="str">
        <f t="shared" si="12"/>
        <v/>
      </c>
      <c r="J313" s="1" t="s">
        <v>35</v>
      </c>
      <c r="K313" s="1" t="str">
        <f t="shared" si="13"/>
        <v/>
      </c>
      <c r="L313" s="1" t="str">
        <f t="shared" si="14"/>
        <v/>
      </c>
      <c r="M313" s="1">
        <f>IF(OR(Table1[[#This Row],[Std Nom]]="",Table1[[#This Row],[Std Read]]=""),0,Table1[[#This Row],[Std Nom]]-Table1[[#This Row],[Std Read]])</f>
        <v>0</v>
      </c>
      <c r="N313" s="1">
        <f>IF(Calculations!$F$5="ACCREDITED 17025 WITH UNCERTAINTIES",$N$10,0)</f>
        <v>0</v>
      </c>
      <c r="Q313" s="1">
        <f>Table1[[#This Row],[High Tol]]-Table1[[#This Row],[Low Tol]]</f>
        <v>0</v>
      </c>
      <c r="R313" s="1">
        <f>2*Table1[[#This Row],[Std Error]]</f>
        <v>0</v>
      </c>
      <c r="S313" s="1" t="str">
        <f>IF(Table1[[#This Row],[High Tol]]="","N/A",IFERROR(ABS(Table1[[#This Row],[Tol Span]]/Table1[[#This Row],[Error Span]]),"N/A"))</f>
        <v>N/A</v>
      </c>
      <c r="T313" s="1" t="str">
        <f>IF(OR(Table1[[#This Row],[Low Tol]]="",Table1[[#This Row],[High Tol]]=""),"Needs Analysis",IF(Table1[[#This Row],[Ratio]]&gt;=4,"Not Significant",IF(Table1[[#This Row],[Ratio]]&gt;=2,"Semi-Significant","Significant")))</f>
        <v>Needs Analysis</v>
      </c>
      <c r="W313" s="1">
        <f>IF(Table1[[#This Row],[Cal Type]]&lt;&gt;"ACCREDITED 17025 WITH UNCERTAINTIES",0,"")</f>
        <v>0</v>
      </c>
      <c r="X313" s="1" t="str">
        <f>IF(Table1[[#This Row],[DUT Read]]="","N/A",Table1[[#This Row],[Std Error]]+Table1[[#This Row],[DUT Read]]+Table1[[#This Row],[DUT Ucty]])</f>
        <v>N/A</v>
      </c>
      <c r="Y313" s="1" t="str">
        <f>IF(Table1[[#This Row],[Std Read]]="","N/A",Table1[[#This Row],[Std Read]]+Table1[[#This Row],[Std Ucty]])</f>
        <v>N/A</v>
      </c>
      <c r="Z3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3" s="1" t="str">
        <f>IF(Table1[[#This Row],[Spec Type]]="","N/A",Table1[[#This Row],[Spec Type]])</f>
        <v>±</v>
      </c>
      <c r="AC313" s="1" t="str">
        <f>IF(Table1[[#This Row],[Spec Type2]]="N/A","N/A",IF(AND(Table1[[#This Row],[DUT Adj Read]]&gt;=Table1[[#This Row],[Low Tol]],Table1[[#This Row],[DUT Adj Read]]&lt;=Table1[[#This Row],[High Tol]]),"Pass","Fail"))</f>
        <v>Fail</v>
      </c>
      <c r="AD313" s="1" t="str">
        <f>IF(AND(Table1[[#This Row],[Spec Type2]]="N/A",Table1[[#This Row],[DUT Adj Read]]="N/A",Table1[[#This Row],[Std Adj Read]]="N/A"),"N/A",IF(Table1[[#This Row],[DUT Adj Read]]="N/A",IF(Table1[[#This Row],[Std Adj Read]]&gt;Table1[[#This Row],[Low Tol]],"Pass","Fail"),IF(Table1[[#This Row],[DUT Adj Read]]&gt;Table1[[#This Row],[Low Tol]],"Pass","Fail")))</f>
        <v>Pass</v>
      </c>
      <c r="AE313" s="1" t="str">
        <f>IF(AND(Table1[[#This Row],[Spec Type2]]="N/A",Table1[[#This Row],[DUT Adj Read]]="N/A",Table1[[#This Row],[Std Adj Read]]="N/A"),"N/A",IF(Table1[[#This Row],[DUT Adj Read]]="N/A",IF(Table1[[#This Row],[Std Adj Read]]&lt;Table1[[#This Row],[High Tol]],"Pass","Fail"),IF(Table1[[#This Row],[DUT Adj Read]]&lt;Table1[[#This Row],[High Tol]],"Pass","Fail")))</f>
        <v>Fail</v>
      </c>
      <c r="AF313" s="1" t="str">
        <f>IF(AND(Table1[[#This Row],[Spec Type2]]="N/A",Table1[[#This Row],[DUT Adj Read]]="N/A",Table1[[#This Row],[Std Adj Read]]="N/A"),"N/A",IF(Table1[[#This Row],[DUT Adj Read]]="N/A",IF(Table1[[#This Row],[Std Adj Read]]&gt;=Table1[[#This Row],[Low Tol]],"Pass","Fail"),IF(Table1[[#This Row],[DUT Adj Read]]&gt;=Table1[[#This Row],[Low Tol]],"Pass","Fail")))</f>
        <v>Pass</v>
      </c>
      <c r="AG313" s="1" t="str">
        <f>IF(AND(Table1[[#This Row],[Spec Type2]]="N/A",Table1[[#This Row],[DUT Adj Read]]="N/A",Table1[[#This Row],[Std Adj Read]]="N/A"),"N/A",IF(Table1[[#This Row],[DUT Adj Read]]="N/A",IF(Table1[[#This Row],[Std Adj Read]]&lt;=Table1[[#This Row],[High Tol]],"Pass","Fail"),IF(Table1[[#This Row],[DUT Adj Read]]&lt;=Table1[[#This Row],[High Tol]],"Pass","Fail")))</f>
        <v>Fail</v>
      </c>
      <c r="AH3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3" s="1" t="b">
        <v>0</v>
      </c>
      <c r="AN313" s="1" t="b">
        <v>0</v>
      </c>
      <c r="AO313" s="1" t="b">
        <v>0</v>
      </c>
    </row>
    <row r="314" spans="1:41" x14ac:dyDescent="0.25">
      <c r="A314" s="10"/>
      <c r="B314" s="10"/>
      <c r="C314" s="10"/>
      <c r="D314" s="10"/>
      <c r="E314" s="10"/>
      <c r="F314" s="10"/>
      <c r="G314" s="10"/>
      <c r="H314" s="10"/>
      <c r="I314" s="1" t="str">
        <f t="shared" si="12"/>
        <v/>
      </c>
      <c r="J314" s="1" t="s">
        <v>35</v>
      </c>
      <c r="K314" s="1" t="str">
        <f t="shared" si="13"/>
        <v/>
      </c>
      <c r="L314" s="1" t="str">
        <f t="shared" si="14"/>
        <v/>
      </c>
      <c r="M314" s="1">
        <f>IF(OR(Table1[[#This Row],[Std Nom]]="",Table1[[#This Row],[Std Read]]=""),0,Table1[[#This Row],[Std Nom]]-Table1[[#This Row],[Std Read]])</f>
        <v>0</v>
      </c>
      <c r="N314" s="1">
        <f>IF(Calculations!$F$5="ACCREDITED 17025 WITH UNCERTAINTIES",$N$10,0)</f>
        <v>0</v>
      </c>
      <c r="Q314" s="1">
        <f>Table1[[#This Row],[High Tol]]-Table1[[#This Row],[Low Tol]]</f>
        <v>0</v>
      </c>
      <c r="R314" s="1">
        <f>2*Table1[[#This Row],[Std Error]]</f>
        <v>0</v>
      </c>
      <c r="S314" s="1" t="str">
        <f>IF(Table1[[#This Row],[High Tol]]="","N/A",IFERROR(ABS(Table1[[#This Row],[Tol Span]]/Table1[[#This Row],[Error Span]]),"N/A"))</f>
        <v>N/A</v>
      </c>
      <c r="T314" s="1" t="str">
        <f>IF(OR(Table1[[#This Row],[Low Tol]]="",Table1[[#This Row],[High Tol]]=""),"Needs Analysis",IF(Table1[[#This Row],[Ratio]]&gt;=4,"Not Significant",IF(Table1[[#This Row],[Ratio]]&gt;=2,"Semi-Significant","Significant")))</f>
        <v>Needs Analysis</v>
      </c>
      <c r="W314" s="1">
        <f>IF(Table1[[#This Row],[Cal Type]]&lt;&gt;"ACCREDITED 17025 WITH UNCERTAINTIES",0,"")</f>
        <v>0</v>
      </c>
      <c r="X314" s="1" t="str">
        <f>IF(Table1[[#This Row],[DUT Read]]="","N/A",Table1[[#This Row],[Std Error]]+Table1[[#This Row],[DUT Read]]+Table1[[#This Row],[DUT Ucty]])</f>
        <v>N/A</v>
      </c>
      <c r="Y314" s="1" t="str">
        <f>IF(Table1[[#This Row],[Std Read]]="","N/A",Table1[[#This Row],[Std Read]]+Table1[[#This Row],[Std Ucty]])</f>
        <v>N/A</v>
      </c>
      <c r="Z3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4" s="1" t="str">
        <f>IF(Table1[[#This Row],[Spec Type]]="","N/A",Table1[[#This Row],[Spec Type]])</f>
        <v>±</v>
      </c>
      <c r="AC314" s="1" t="str">
        <f>IF(Table1[[#This Row],[Spec Type2]]="N/A","N/A",IF(AND(Table1[[#This Row],[DUT Adj Read]]&gt;=Table1[[#This Row],[Low Tol]],Table1[[#This Row],[DUT Adj Read]]&lt;=Table1[[#This Row],[High Tol]]),"Pass","Fail"))</f>
        <v>Fail</v>
      </c>
      <c r="AD314" s="1" t="str">
        <f>IF(AND(Table1[[#This Row],[Spec Type2]]="N/A",Table1[[#This Row],[DUT Adj Read]]="N/A",Table1[[#This Row],[Std Adj Read]]="N/A"),"N/A",IF(Table1[[#This Row],[DUT Adj Read]]="N/A",IF(Table1[[#This Row],[Std Adj Read]]&gt;Table1[[#This Row],[Low Tol]],"Pass","Fail"),IF(Table1[[#This Row],[DUT Adj Read]]&gt;Table1[[#This Row],[Low Tol]],"Pass","Fail")))</f>
        <v>Pass</v>
      </c>
      <c r="AE314" s="1" t="str">
        <f>IF(AND(Table1[[#This Row],[Spec Type2]]="N/A",Table1[[#This Row],[DUT Adj Read]]="N/A",Table1[[#This Row],[Std Adj Read]]="N/A"),"N/A",IF(Table1[[#This Row],[DUT Adj Read]]="N/A",IF(Table1[[#This Row],[Std Adj Read]]&lt;Table1[[#This Row],[High Tol]],"Pass","Fail"),IF(Table1[[#This Row],[DUT Adj Read]]&lt;Table1[[#This Row],[High Tol]],"Pass","Fail")))</f>
        <v>Fail</v>
      </c>
      <c r="AF314" s="1" t="str">
        <f>IF(AND(Table1[[#This Row],[Spec Type2]]="N/A",Table1[[#This Row],[DUT Adj Read]]="N/A",Table1[[#This Row],[Std Adj Read]]="N/A"),"N/A",IF(Table1[[#This Row],[DUT Adj Read]]="N/A",IF(Table1[[#This Row],[Std Adj Read]]&gt;=Table1[[#This Row],[Low Tol]],"Pass","Fail"),IF(Table1[[#This Row],[DUT Adj Read]]&gt;=Table1[[#This Row],[Low Tol]],"Pass","Fail")))</f>
        <v>Pass</v>
      </c>
      <c r="AG314" s="1" t="str">
        <f>IF(AND(Table1[[#This Row],[Spec Type2]]="N/A",Table1[[#This Row],[DUT Adj Read]]="N/A",Table1[[#This Row],[Std Adj Read]]="N/A"),"N/A",IF(Table1[[#This Row],[DUT Adj Read]]="N/A",IF(Table1[[#This Row],[Std Adj Read]]&lt;=Table1[[#This Row],[High Tol]],"Pass","Fail"),IF(Table1[[#This Row],[DUT Adj Read]]&lt;=Table1[[#This Row],[High Tol]],"Pass","Fail")))</f>
        <v>Fail</v>
      </c>
      <c r="AH3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4" s="1" t="b">
        <v>0</v>
      </c>
      <c r="AN314" s="1" t="b">
        <v>0</v>
      </c>
      <c r="AO314" s="1" t="b">
        <v>0</v>
      </c>
    </row>
    <row r="315" spans="1:41" x14ac:dyDescent="0.25">
      <c r="A315" s="10"/>
      <c r="B315" s="10"/>
      <c r="C315" s="10"/>
      <c r="D315" s="10"/>
      <c r="E315" s="10"/>
      <c r="F315" s="10"/>
      <c r="G315" s="10"/>
      <c r="H315" s="10"/>
      <c r="I315" s="1" t="str">
        <f t="shared" si="12"/>
        <v/>
      </c>
      <c r="J315" s="1" t="s">
        <v>35</v>
      </c>
      <c r="K315" s="1" t="str">
        <f t="shared" si="13"/>
        <v/>
      </c>
      <c r="L315" s="1" t="str">
        <f t="shared" si="14"/>
        <v/>
      </c>
      <c r="M315" s="1">
        <f>IF(OR(Table1[[#This Row],[Std Nom]]="",Table1[[#This Row],[Std Read]]=""),0,Table1[[#This Row],[Std Nom]]-Table1[[#This Row],[Std Read]])</f>
        <v>0</v>
      </c>
      <c r="N315" s="1">
        <f>IF(Calculations!$F$5="ACCREDITED 17025 WITH UNCERTAINTIES",$N$10,0)</f>
        <v>0</v>
      </c>
      <c r="Q315" s="1">
        <f>Table1[[#This Row],[High Tol]]-Table1[[#This Row],[Low Tol]]</f>
        <v>0</v>
      </c>
      <c r="R315" s="1">
        <f>2*Table1[[#This Row],[Std Error]]</f>
        <v>0</v>
      </c>
      <c r="S315" s="1" t="str">
        <f>IF(Table1[[#This Row],[High Tol]]="","N/A",IFERROR(ABS(Table1[[#This Row],[Tol Span]]/Table1[[#This Row],[Error Span]]),"N/A"))</f>
        <v>N/A</v>
      </c>
      <c r="T315" s="1" t="str">
        <f>IF(OR(Table1[[#This Row],[Low Tol]]="",Table1[[#This Row],[High Tol]]=""),"Needs Analysis",IF(Table1[[#This Row],[Ratio]]&gt;=4,"Not Significant",IF(Table1[[#This Row],[Ratio]]&gt;=2,"Semi-Significant","Significant")))</f>
        <v>Needs Analysis</v>
      </c>
      <c r="W315" s="1">
        <f>IF(Table1[[#This Row],[Cal Type]]&lt;&gt;"ACCREDITED 17025 WITH UNCERTAINTIES",0,"")</f>
        <v>0</v>
      </c>
      <c r="X315" s="1" t="str">
        <f>IF(Table1[[#This Row],[DUT Read]]="","N/A",Table1[[#This Row],[Std Error]]+Table1[[#This Row],[DUT Read]]+Table1[[#This Row],[DUT Ucty]])</f>
        <v>N/A</v>
      </c>
      <c r="Y315" s="1" t="str">
        <f>IF(Table1[[#This Row],[Std Read]]="","N/A",Table1[[#This Row],[Std Read]]+Table1[[#This Row],[Std Ucty]])</f>
        <v>N/A</v>
      </c>
      <c r="Z3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5" s="1" t="str">
        <f>IF(Table1[[#This Row],[Spec Type]]="","N/A",Table1[[#This Row],[Spec Type]])</f>
        <v>±</v>
      </c>
      <c r="AC315" s="1" t="str">
        <f>IF(Table1[[#This Row],[Spec Type2]]="N/A","N/A",IF(AND(Table1[[#This Row],[DUT Adj Read]]&gt;=Table1[[#This Row],[Low Tol]],Table1[[#This Row],[DUT Adj Read]]&lt;=Table1[[#This Row],[High Tol]]),"Pass","Fail"))</f>
        <v>Fail</v>
      </c>
      <c r="AD315" s="1" t="str">
        <f>IF(AND(Table1[[#This Row],[Spec Type2]]="N/A",Table1[[#This Row],[DUT Adj Read]]="N/A",Table1[[#This Row],[Std Adj Read]]="N/A"),"N/A",IF(Table1[[#This Row],[DUT Adj Read]]="N/A",IF(Table1[[#This Row],[Std Adj Read]]&gt;Table1[[#This Row],[Low Tol]],"Pass","Fail"),IF(Table1[[#This Row],[DUT Adj Read]]&gt;Table1[[#This Row],[Low Tol]],"Pass","Fail")))</f>
        <v>Pass</v>
      </c>
      <c r="AE315" s="1" t="str">
        <f>IF(AND(Table1[[#This Row],[Spec Type2]]="N/A",Table1[[#This Row],[DUT Adj Read]]="N/A",Table1[[#This Row],[Std Adj Read]]="N/A"),"N/A",IF(Table1[[#This Row],[DUT Adj Read]]="N/A",IF(Table1[[#This Row],[Std Adj Read]]&lt;Table1[[#This Row],[High Tol]],"Pass","Fail"),IF(Table1[[#This Row],[DUT Adj Read]]&lt;Table1[[#This Row],[High Tol]],"Pass","Fail")))</f>
        <v>Fail</v>
      </c>
      <c r="AF315" s="1" t="str">
        <f>IF(AND(Table1[[#This Row],[Spec Type2]]="N/A",Table1[[#This Row],[DUT Adj Read]]="N/A",Table1[[#This Row],[Std Adj Read]]="N/A"),"N/A",IF(Table1[[#This Row],[DUT Adj Read]]="N/A",IF(Table1[[#This Row],[Std Adj Read]]&gt;=Table1[[#This Row],[Low Tol]],"Pass","Fail"),IF(Table1[[#This Row],[DUT Adj Read]]&gt;=Table1[[#This Row],[Low Tol]],"Pass","Fail")))</f>
        <v>Pass</v>
      </c>
      <c r="AG315" s="1" t="str">
        <f>IF(AND(Table1[[#This Row],[Spec Type2]]="N/A",Table1[[#This Row],[DUT Adj Read]]="N/A",Table1[[#This Row],[Std Adj Read]]="N/A"),"N/A",IF(Table1[[#This Row],[DUT Adj Read]]="N/A",IF(Table1[[#This Row],[Std Adj Read]]&lt;=Table1[[#This Row],[High Tol]],"Pass","Fail"),IF(Table1[[#This Row],[DUT Adj Read]]&lt;=Table1[[#This Row],[High Tol]],"Pass","Fail")))</f>
        <v>Fail</v>
      </c>
      <c r="AH3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5" s="1" t="b">
        <v>0</v>
      </c>
      <c r="AN315" s="1" t="b">
        <v>0</v>
      </c>
      <c r="AO315" s="1" t="b">
        <v>0</v>
      </c>
    </row>
    <row r="316" spans="1:41" x14ac:dyDescent="0.25">
      <c r="A316" s="10"/>
      <c r="B316" s="10"/>
      <c r="C316" s="10"/>
      <c r="D316" s="10"/>
      <c r="E316" s="10"/>
      <c r="F316" s="10"/>
      <c r="G316" s="10"/>
      <c r="H316" s="10"/>
      <c r="I316" s="1" t="str">
        <f t="shared" si="12"/>
        <v/>
      </c>
      <c r="J316" s="1" t="s">
        <v>35</v>
      </c>
      <c r="K316" s="1" t="str">
        <f t="shared" si="13"/>
        <v/>
      </c>
      <c r="L316" s="1" t="str">
        <f t="shared" si="14"/>
        <v/>
      </c>
      <c r="M316" s="1">
        <f>IF(OR(Table1[[#This Row],[Std Nom]]="",Table1[[#This Row],[Std Read]]=""),0,Table1[[#This Row],[Std Nom]]-Table1[[#This Row],[Std Read]])</f>
        <v>0</v>
      </c>
      <c r="N316" s="1">
        <f>IF(Calculations!$F$5="ACCREDITED 17025 WITH UNCERTAINTIES",$N$10,0)</f>
        <v>0</v>
      </c>
      <c r="Q316" s="1">
        <f>Table1[[#This Row],[High Tol]]-Table1[[#This Row],[Low Tol]]</f>
        <v>0</v>
      </c>
      <c r="R316" s="1">
        <f>2*Table1[[#This Row],[Std Error]]</f>
        <v>0</v>
      </c>
      <c r="S316" s="1" t="str">
        <f>IF(Table1[[#This Row],[High Tol]]="","N/A",IFERROR(ABS(Table1[[#This Row],[Tol Span]]/Table1[[#This Row],[Error Span]]),"N/A"))</f>
        <v>N/A</v>
      </c>
      <c r="T316" s="1" t="str">
        <f>IF(OR(Table1[[#This Row],[Low Tol]]="",Table1[[#This Row],[High Tol]]=""),"Needs Analysis",IF(Table1[[#This Row],[Ratio]]&gt;=4,"Not Significant",IF(Table1[[#This Row],[Ratio]]&gt;=2,"Semi-Significant","Significant")))</f>
        <v>Needs Analysis</v>
      </c>
      <c r="W316" s="1">
        <f>IF(Table1[[#This Row],[Cal Type]]&lt;&gt;"ACCREDITED 17025 WITH UNCERTAINTIES",0,"")</f>
        <v>0</v>
      </c>
      <c r="X316" s="1" t="str">
        <f>IF(Table1[[#This Row],[DUT Read]]="","N/A",Table1[[#This Row],[Std Error]]+Table1[[#This Row],[DUT Read]]+Table1[[#This Row],[DUT Ucty]])</f>
        <v>N/A</v>
      </c>
      <c r="Y316" s="1" t="str">
        <f>IF(Table1[[#This Row],[Std Read]]="","N/A",Table1[[#This Row],[Std Read]]+Table1[[#This Row],[Std Ucty]])</f>
        <v>N/A</v>
      </c>
      <c r="Z3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6" s="1" t="str">
        <f>IF(Table1[[#This Row],[Spec Type]]="","N/A",Table1[[#This Row],[Spec Type]])</f>
        <v>±</v>
      </c>
      <c r="AC316" s="1" t="str">
        <f>IF(Table1[[#This Row],[Spec Type2]]="N/A","N/A",IF(AND(Table1[[#This Row],[DUT Adj Read]]&gt;=Table1[[#This Row],[Low Tol]],Table1[[#This Row],[DUT Adj Read]]&lt;=Table1[[#This Row],[High Tol]]),"Pass","Fail"))</f>
        <v>Fail</v>
      </c>
      <c r="AD316" s="1" t="str">
        <f>IF(AND(Table1[[#This Row],[Spec Type2]]="N/A",Table1[[#This Row],[DUT Adj Read]]="N/A",Table1[[#This Row],[Std Adj Read]]="N/A"),"N/A",IF(Table1[[#This Row],[DUT Adj Read]]="N/A",IF(Table1[[#This Row],[Std Adj Read]]&gt;Table1[[#This Row],[Low Tol]],"Pass","Fail"),IF(Table1[[#This Row],[DUT Adj Read]]&gt;Table1[[#This Row],[Low Tol]],"Pass","Fail")))</f>
        <v>Pass</v>
      </c>
      <c r="AE316" s="1" t="str">
        <f>IF(AND(Table1[[#This Row],[Spec Type2]]="N/A",Table1[[#This Row],[DUT Adj Read]]="N/A",Table1[[#This Row],[Std Adj Read]]="N/A"),"N/A",IF(Table1[[#This Row],[DUT Adj Read]]="N/A",IF(Table1[[#This Row],[Std Adj Read]]&lt;Table1[[#This Row],[High Tol]],"Pass","Fail"),IF(Table1[[#This Row],[DUT Adj Read]]&lt;Table1[[#This Row],[High Tol]],"Pass","Fail")))</f>
        <v>Fail</v>
      </c>
      <c r="AF316" s="1" t="str">
        <f>IF(AND(Table1[[#This Row],[Spec Type2]]="N/A",Table1[[#This Row],[DUT Adj Read]]="N/A",Table1[[#This Row],[Std Adj Read]]="N/A"),"N/A",IF(Table1[[#This Row],[DUT Adj Read]]="N/A",IF(Table1[[#This Row],[Std Adj Read]]&gt;=Table1[[#This Row],[Low Tol]],"Pass","Fail"),IF(Table1[[#This Row],[DUT Adj Read]]&gt;=Table1[[#This Row],[Low Tol]],"Pass","Fail")))</f>
        <v>Pass</v>
      </c>
      <c r="AG316" s="1" t="str">
        <f>IF(AND(Table1[[#This Row],[Spec Type2]]="N/A",Table1[[#This Row],[DUT Adj Read]]="N/A",Table1[[#This Row],[Std Adj Read]]="N/A"),"N/A",IF(Table1[[#This Row],[DUT Adj Read]]="N/A",IF(Table1[[#This Row],[Std Adj Read]]&lt;=Table1[[#This Row],[High Tol]],"Pass","Fail"),IF(Table1[[#This Row],[DUT Adj Read]]&lt;=Table1[[#This Row],[High Tol]],"Pass","Fail")))</f>
        <v>Fail</v>
      </c>
      <c r="AH3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6" s="1" t="b">
        <v>0</v>
      </c>
      <c r="AN316" s="1" t="b">
        <v>0</v>
      </c>
      <c r="AO316" s="1" t="b">
        <v>0</v>
      </c>
    </row>
    <row r="317" spans="1:41" x14ac:dyDescent="0.25">
      <c r="A317" s="10"/>
      <c r="B317" s="10"/>
      <c r="C317" s="10"/>
      <c r="D317" s="10"/>
      <c r="E317" s="10"/>
      <c r="F317" s="10"/>
      <c r="G317" s="10"/>
      <c r="H317" s="10"/>
      <c r="I317" s="1" t="str">
        <f t="shared" si="12"/>
        <v/>
      </c>
      <c r="J317" s="1" t="s">
        <v>35</v>
      </c>
      <c r="K317" s="1" t="str">
        <f t="shared" si="13"/>
        <v/>
      </c>
      <c r="L317" s="1" t="str">
        <f t="shared" si="14"/>
        <v/>
      </c>
      <c r="M317" s="1">
        <f>IF(OR(Table1[[#This Row],[Std Nom]]="",Table1[[#This Row],[Std Read]]=""),0,Table1[[#This Row],[Std Nom]]-Table1[[#This Row],[Std Read]])</f>
        <v>0</v>
      </c>
      <c r="N317" s="1">
        <f>IF(Calculations!$F$5="ACCREDITED 17025 WITH UNCERTAINTIES",$N$10,0)</f>
        <v>0</v>
      </c>
      <c r="Q317" s="1">
        <f>Table1[[#This Row],[High Tol]]-Table1[[#This Row],[Low Tol]]</f>
        <v>0</v>
      </c>
      <c r="R317" s="1">
        <f>2*Table1[[#This Row],[Std Error]]</f>
        <v>0</v>
      </c>
      <c r="S317" s="1" t="str">
        <f>IF(Table1[[#This Row],[High Tol]]="","N/A",IFERROR(ABS(Table1[[#This Row],[Tol Span]]/Table1[[#This Row],[Error Span]]),"N/A"))</f>
        <v>N/A</v>
      </c>
      <c r="T317" s="1" t="str">
        <f>IF(OR(Table1[[#This Row],[Low Tol]]="",Table1[[#This Row],[High Tol]]=""),"Needs Analysis",IF(Table1[[#This Row],[Ratio]]&gt;=4,"Not Significant",IF(Table1[[#This Row],[Ratio]]&gt;=2,"Semi-Significant","Significant")))</f>
        <v>Needs Analysis</v>
      </c>
      <c r="W317" s="1">
        <f>IF(Table1[[#This Row],[Cal Type]]&lt;&gt;"ACCREDITED 17025 WITH UNCERTAINTIES",0,"")</f>
        <v>0</v>
      </c>
      <c r="X317" s="1" t="str">
        <f>IF(Table1[[#This Row],[DUT Read]]="","N/A",Table1[[#This Row],[Std Error]]+Table1[[#This Row],[DUT Read]]+Table1[[#This Row],[DUT Ucty]])</f>
        <v>N/A</v>
      </c>
      <c r="Y317" s="1" t="str">
        <f>IF(Table1[[#This Row],[Std Read]]="","N/A",Table1[[#This Row],[Std Read]]+Table1[[#This Row],[Std Ucty]])</f>
        <v>N/A</v>
      </c>
      <c r="Z3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7" s="1" t="str">
        <f>IF(Table1[[#This Row],[Spec Type]]="","N/A",Table1[[#This Row],[Spec Type]])</f>
        <v>±</v>
      </c>
      <c r="AC317" s="1" t="str">
        <f>IF(Table1[[#This Row],[Spec Type2]]="N/A","N/A",IF(AND(Table1[[#This Row],[DUT Adj Read]]&gt;=Table1[[#This Row],[Low Tol]],Table1[[#This Row],[DUT Adj Read]]&lt;=Table1[[#This Row],[High Tol]]),"Pass","Fail"))</f>
        <v>Fail</v>
      </c>
      <c r="AD317" s="1" t="str">
        <f>IF(AND(Table1[[#This Row],[Spec Type2]]="N/A",Table1[[#This Row],[DUT Adj Read]]="N/A",Table1[[#This Row],[Std Adj Read]]="N/A"),"N/A",IF(Table1[[#This Row],[DUT Adj Read]]="N/A",IF(Table1[[#This Row],[Std Adj Read]]&gt;Table1[[#This Row],[Low Tol]],"Pass","Fail"),IF(Table1[[#This Row],[DUT Adj Read]]&gt;Table1[[#This Row],[Low Tol]],"Pass","Fail")))</f>
        <v>Pass</v>
      </c>
      <c r="AE317" s="1" t="str">
        <f>IF(AND(Table1[[#This Row],[Spec Type2]]="N/A",Table1[[#This Row],[DUT Adj Read]]="N/A",Table1[[#This Row],[Std Adj Read]]="N/A"),"N/A",IF(Table1[[#This Row],[DUT Adj Read]]="N/A",IF(Table1[[#This Row],[Std Adj Read]]&lt;Table1[[#This Row],[High Tol]],"Pass","Fail"),IF(Table1[[#This Row],[DUT Adj Read]]&lt;Table1[[#This Row],[High Tol]],"Pass","Fail")))</f>
        <v>Fail</v>
      </c>
      <c r="AF317" s="1" t="str">
        <f>IF(AND(Table1[[#This Row],[Spec Type2]]="N/A",Table1[[#This Row],[DUT Adj Read]]="N/A",Table1[[#This Row],[Std Adj Read]]="N/A"),"N/A",IF(Table1[[#This Row],[DUT Adj Read]]="N/A",IF(Table1[[#This Row],[Std Adj Read]]&gt;=Table1[[#This Row],[Low Tol]],"Pass","Fail"),IF(Table1[[#This Row],[DUT Adj Read]]&gt;=Table1[[#This Row],[Low Tol]],"Pass","Fail")))</f>
        <v>Pass</v>
      </c>
      <c r="AG317" s="1" t="str">
        <f>IF(AND(Table1[[#This Row],[Spec Type2]]="N/A",Table1[[#This Row],[DUT Adj Read]]="N/A",Table1[[#This Row],[Std Adj Read]]="N/A"),"N/A",IF(Table1[[#This Row],[DUT Adj Read]]="N/A",IF(Table1[[#This Row],[Std Adj Read]]&lt;=Table1[[#This Row],[High Tol]],"Pass","Fail"),IF(Table1[[#This Row],[DUT Adj Read]]&lt;=Table1[[#This Row],[High Tol]],"Pass","Fail")))</f>
        <v>Fail</v>
      </c>
      <c r="AH3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7" s="1" t="b">
        <v>0</v>
      </c>
      <c r="AN317" s="1" t="b">
        <v>0</v>
      </c>
      <c r="AO317" s="1" t="b">
        <v>0</v>
      </c>
    </row>
    <row r="318" spans="1:41" x14ac:dyDescent="0.25">
      <c r="A318" s="10"/>
      <c r="B318" s="10"/>
      <c r="C318" s="10"/>
      <c r="D318" s="10"/>
      <c r="E318" s="10"/>
      <c r="F318" s="10"/>
      <c r="G318" s="10"/>
      <c r="H318" s="10"/>
      <c r="I318" s="1" t="str">
        <f t="shared" si="12"/>
        <v/>
      </c>
      <c r="J318" s="1" t="s">
        <v>35</v>
      </c>
      <c r="K318" s="1" t="str">
        <f t="shared" si="13"/>
        <v/>
      </c>
      <c r="L318" s="1" t="str">
        <f t="shared" si="14"/>
        <v/>
      </c>
      <c r="M318" s="1">
        <f>IF(OR(Table1[[#This Row],[Std Nom]]="",Table1[[#This Row],[Std Read]]=""),0,Table1[[#This Row],[Std Nom]]-Table1[[#This Row],[Std Read]])</f>
        <v>0</v>
      </c>
      <c r="N318" s="1">
        <f>IF(Calculations!$F$5="ACCREDITED 17025 WITH UNCERTAINTIES",$N$10,0)</f>
        <v>0</v>
      </c>
      <c r="Q318" s="1">
        <f>Table1[[#This Row],[High Tol]]-Table1[[#This Row],[Low Tol]]</f>
        <v>0</v>
      </c>
      <c r="R318" s="1">
        <f>2*Table1[[#This Row],[Std Error]]</f>
        <v>0</v>
      </c>
      <c r="S318" s="1" t="str">
        <f>IF(Table1[[#This Row],[High Tol]]="","N/A",IFERROR(ABS(Table1[[#This Row],[Tol Span]]/Table1[[#This Row],[Error Span]]),"N/A"))</f>
        <v>N/A</v>
      </c>
      <c r="T318" s="1" t="str">
        <f>IF(OR(Table1[[#This Row],[Low Tol]]="",Table1[[#This Row],[High Tol]]=""),"Needs Analysis",IF(Table1[[#This Row],[Ratio]]&gt;=4,"Not Significant",IF(Table1[[#This Row],[Ratio]]&gt;=2,"Semi-Significant","Significant")))</f>
        <v>Needs Analysis</v>
      </c>
      <c r="W318" s="1">
        <f>IF(Table1[[#This Row],[Cal Type]]&lt;&gt;"ACCREDITED 17025 WITH UNCERTAINTIES",0,"")</f>
        <v>0</v>
      </c>
      <c r="X318" s="1" t="str">
        <f>IF(Table1[[#This Row],[DUT Read]]="","N/A",Table1[[#This Row],[Std Error]]+Table1[[#This Row],[DUT Read]]+Table1[[#This Row],[DUT Ucty]])</f>
        <v>N/A</v>
      </c>
      <c r="Y318" s="1" t="str">
        <f>IF(Table1[[#This Row],[Std Read]]="","N/A",Table1[[#This Row],[Std Read]]+Table1[[#This Row],[Std Ucty]])</f>
        <v>N/A</v>
      </c>
      <c r="Z3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8" s="1" t="str">
        <f>IF(Table1[[#This Row],[Spec Type]]="","N/A",Table1[[#This Row],[Spec Type]])</f>
        <v>±</v>
      </c>
      <c r="AC318" s="1" t="str">
        <f>IF(Table1[[#This Row],[Spec Type2]]="N/A","N/A",IF(AND(Table1[[#This Row],[DUT Adj Read]]&gt;=Table1[[#This Row],[Low Tol]],Table1[[#This Row],[DUT Adj Read]]&lt;=Table1[[#This Row],[High Tol]]),"Pass","Fail"))</f>
        <v>Fail</v>
      </c>
      <c r="AD318" s="1" t="str">
        <f>IF(AND(Table1[[#This Row],[Spec Type2]]="N/A",Table1[[#This Row],[DUT Adj Read]]="N/A",Table1[[#This Row],[Std Adj Read]]="N/A"),"N/A",IF(Table1[[#This Row],[DUT Adj Read]]="N/A",IF(Table1[[#This Row],[Std Adj Read]]&gt;Table1[[#This Row],[Low Tol]],"Pass","Fail"),IF(Table1[[#This Row],[DUT Adj Read]]&gt;Table1[[#This Row],[Low Tol]],"Pass","Fail")))</f>
        <v>Pass</v>
      </c>
      <c r="AE318" s="1" t="str">
        <f>IF(AND(Table1[[#This Row],[Spec Type2]]="N/A",Table1[[#This Row],[DUT Adj Read]]="N/A",Table1[[#This Row],[Std Adj Read]]="N/A"),"N/A",IF(Table1[[#This Row],[DUT Adj Read]]="N/A",IF(Table1[[#This Row],[Std Adj Read]]&lt;Table1[[#This Row],[High Tol]],"Pass","Fail"),IF(Table1[[#This Row],[DUT Adj Read]]&lt;Table1[[#This Row],[High Tol]],"Pass","Fail")))</f>
        <v>Fail</v>
      </c>
      <c r="AF318" s="1" t="str">
        <f>IF(AND(Table1[[#This Row],[Spec Type2]]="N/A",Table1[[#This Row],[DUT Adj Read]]="N/A",Table1[[#This Row],[Std Adj Read]]="N/A"),"N/A",IF(Table1[[#This Row],[DUT Adj Read]]="N/A",IF(Table1[[#This Row],[Std Adj Read]]&gt;=Table1[[#This Row],[Low Tol]],"Pass","Fail"),IF(Table1[[#This Row],[DUT Adj Read]]&gt;=Table1[[#This Row],[Low Tol]],"Pass","Fail")))</f>
        <v>Pass</v>
      </c>
      <c r="AG318" s="1" t="str">
        <f>IF(AND(Table1[[#This Row],[Spec Type2]]="N/A",Table1[[#This Row],[DUT Adj Read]]="N/A",Table1[[#This Row],[Std Adj Read]]="N/A"),"N/A",IF(Table1[[#This Row],[DUT Adj Read]]="N/A",IF(Table1[[#This Row],[Std Adj Read]]&lt;=Table1[[#This Row],[High Tol]],"Pass","Fail"),IF(Table1[[#This Row],[DUT Adj Read]]&lt;=Table1[[#This Row],[High Tol]],"Pass","Fail")))</f>
        <v>Fail</v>
      </c>
      <c r="AH3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8" s="1" t="b">
        <v>0</v>
      </c>
      <c r="AN318" s="1" t="b">
        <v>0</v>
      </c>
      <c r="AO318" s="1" t="b">
        <v>0</v>
      </c>
    </row>
    <row r="319" spans="1:41" x14ac:dyDescent="0.25">
      <c r="A319" s="10"/>
      <c r="B319" s="10"/>
      <c r="C319" s="10"/>
      <c r="D319" s="10"/>
      <c r="E319" s="10"/>
      <c r="F319" s="10"/>
      <c r="G319" s="10"/>
      <c r="H319" s="10"/>
      <c r="I319" s="1" t="str">
        <f t="shared" si="12"/>
        <v/>
      </c>
      <c r="J319" s="1" t="s">
        <v>35</v>
      </c>
      <c r="K319" s="1" t="str">
        <f t="shared" si="13"/>
        <v/>
      </c>
      <c r="L319" s="1" t="str">
        <f t="shared" si="14"/>
        <v/>
      </c>
      <c r="M319" s="1">
        <f>IF(OR(Table1[[#This Row],[Std Nom]]="",Table1[[#This Row],[Std Read]]=""),0,Table1[[#This Row],[Std Nom]]-Table1[[#This Row],[Std Read]])</f>
        <v>0</v>
      </c>
      <c r="N319" s="1">
        <f>IF(Calculations!$F$5="ACCREDITED 17025 WITH UNCERTAINTIES",$N$10,0)</f>
        <v>0</v>
      </c>
      <c r="Q319" s="1">
        <f>Table1[[#This Row],[High Tol]]-Table1[[#This Row],[Low Tol]]</f>
        <v>0</v>
      </c>
      <c r="R319" s="1">
        <f>2*Table1[[#This Row],[Std Error]]</f>
        <v>0</v>
      </c>
      <c r="S319" s="1" t="str">
        <f>IF(Table1[[#This Row],[High Tol]]="","N/A",IFERROR(ABS(Table1[[#This Row],[Tol Span]]/Table1[[#This Row],[Error Span]]),"N/A"))</f>
        <v>N/A</v>
      </c>
      <c r="T319" s="1" t="str">
        <f>IF(OR(Table1[[#This Row],[Low Tol]]="",Table1[[#This Row],[High Tol]]=""),"Needs Analysis",IF(Table1[[#This Row],[Ratio]]&gt;=4,"Not Significant",IF(Table1[[#This Row],[Ratio]]&gt;=2,"Semi-Significant","Significant")))</f>
        <v>Needs Analysis</v>
      </c>
      <c r="W319" s="1">
        <f>IF(Table1[[#This Row],[Cal Type]]&lt;&gt;"ACCREDITED 17025 WITH UNCERTAINTIES",0,"")</f>
        <v>0</v>
      </c>
      <c r="X319" s="1" t="str">
        <f>IF(Table1[[#This Row],[DUT Read]]="","N/A",Table1[[#This Row],[Std Error]]+Table1[[#This Row],[DUT Read]]+Table1[[#This Row],[DUT Ucty]])</f>
        <v>N/A</v>
      </c>
      <c r="Y319" s="1" t="str">
        <f>IF(Table1[[#This Row],[Std Read]]="","N/A",Table1[[#This Row],[Std Read]]+Table1[[#This Row],[Std Ucty]])</f>
        <v>N/A</v>
      </c>
      <c r="Z3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19" s="1" t="str">
        <f>IF(Table1[[#This Row],[Spec Type]]="","N/A",Table1[[#This Row],[Spec Type]])</f>
        <v>±</v>
      </c>
      <c r="AC319" s="1" t="str">
        <f>IF(Table1[[#This Row],[Spec Type2]]="N/A","N/A",IF(AND(Table1[[#This Row],[DUT Adj Read]]&gt;=Table1[[#This Row],[Low Tol]],Table1[[#This Row],[DUT Adj Read]]&lt;=Table1[[#This Row],[High Tol]]),"Pass","Fail"))</f>
        <v>Fail</v>
      </c>
      <c r="AD319" s="1" t="str">
        <f>IF(AND(Table1[[#This Row],[Spec Type2]]="N/A",Table1[[#This Row],[DUT Adj Read]]="N/A",Table1[[#This Row],[Std Adj Read]]="N/A"),"N/A",IF(Table1[[#This Row],[DUT Adj Read]]="N/A",IF(Table1[[#This Row],[Std Adj Read]]&gt;Table1[[#This Row],[Low Tol]],"Pass","Fail"),IF(Table1[[#This Row],[DUT Adj Read]]&gt;Table1[[#This Row],[Low Tol]],"Pass","Fail")))</f>
        <v>Pass</v>
      </c>
      <c r="AE319" s="1" t="str">
        <f>IF(AND(Table1[[#This Row],[Spec Type2]]="N/A",Table1[[#This Row],[DUT Adj Read]]="N/A",Table1[[#This Row],[Std Adj Read]]="N/A"),"N/A",IF(Table1[[#This Row],[DUT Adj Read]]="N/A",IF(Table1[[#This Row],[Std Adj Read]]&lt;Table1[[#This Row],[High Tol]],"Pass","Fail"),IF(Table1[[#This Row],[DUT Adj Read]]&lt;Table1[[#This Row],[High Tol]],"Pass","Fail")))</f>
        <v>Fail</v>
      </c>
      <c r="AF319" s="1" t="str">
        <f>IF(AND(Table1[[#This Row],[Spec Type2]]="N/A",Table1[[#This Row],[DUT Adj Read]]="N/A",Table1[[#This Row],[Std Adj Read]]="N/A"),"N/A",IF(Table1[[#This Row],[DUT Adj Read]]="N/A",IF(Table1[[#This Row],[Std Adj Read]]&gt;=Table1[[#This Row],[Low Tol]],"Pass","Fail"),IF(Table1[[#This Row],[DUT Adj Read]]&gt;=Table1[[#This Row],[Low Tol]],"Pass","Fail")))</f>
        <v>Pass</v>
      </c>
      <c r="AG319" s="1" t="str">
        <f>IF(AND(Table1[[#This Row],[Spec Type2]]="N/A",Table1[[#This Row],[DUT Adj Read]]="N/A",Table1[[#This Row],[Std Adj Read]]="N/A"),"N/A",IF(Table1[[#This Row],[DUT Adj Read]]="N/A",IF(Table1[[#This Row],[Std Adj Read]]&lt;=Table1[[#This Row],[High Tol]],"Pass","Fail"),IF(Table1[[#This Row],[DUT Adj Read]]&lt;=Table1[[#This Row],[High Tol]],"Pass","Fail")))</f>
        <v>Fail</v>
      </c>
      <c r="AH3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19" s="1" t="b">
        <v>0</v>
      </c>
      <c r="AN319" s="1" t="b">
        <v>0</v>
      </c>
      <c r="AO319" s="1" t="b">
        <v>0</v>
      </c>
    </row>
    <row r="320" spans="1:41" x14ac:dyDescent="0.25">
      <c r="A320" s="10"/>
      <c r="B320" s="10"/>
      <c r="C320" s="10"/>
      <c r="D320" s="10"/>
      <c r="E320" s="10"/>
      <c r="F320" s="10"/>
      <c r="G320" s="10"/>
      <c r="H320" s="10"/>
      <c r="I320" s="1" t="str">
        <f t="shared" si="12"/>
        <v/>
      </c>
      <c r="J320" s="1" t="s">
        <v>35</v>
      </c>
      <c r="K320" s="1" t="str">
        <f t="shared" si="13"/>
        <v/>
      </c>
      <c r="L320" s="1" t="str">
        <f t="shared" si="14"/>
        <v/>
      </c>
      <c r="M320" s="1">
        <f>IF(OR(Table1[[#This Row],[Std Nom]]="",Table1[[#This Row],[Std Read]]=""),0,Table1[[#This Row],[Std Nom]]-Table1[[#This Row],[Std Read]])</f>
        <v>0</v>
      </c>
      <c r="N320" s="1">
        <f>IF(Calculations!$F$5="ACCREDITED 17025 WITH UNCERTAINTIES",$N$10,0)</f>
        <v>0</v>
      </c>
      <c r="Q320" s="1">
        <f>Table1[[#This Row],[High Tol]]-Table1[[#This Row],[Low Tol]]</f>
        <v>0</v>
      </c>
      <c r="R320" s="1">
        <f>2*Table1[[#This Row],[Std Error]]</f>
        <v>0</v>
      </c>
      <c r="S320" s="1" t="str">
        <f>IF(Table1[[#This Row],[High Tol]]="","N/A",IFERROR(ABS(Table1[[#This Row],[Tol Span]]/Table1[[#This Row],[Error Span]]),"N/A"))</f>
        <v>N/A</v>
      </c>
      <c r="T320" s="1" t="str">
        <f>IF(OR(Table1[[#This Row],[Low Tol]]="",Table1[[#This Row],[High Tol]]=""),"Needs Analysis",IF(Table1[[#This Row],[Ratio]]&gt;=4,"Not Significant",IF(Table1[[#This Row],[Ratio]]&gt;=2,"Semi-Significant","Significant")))</f>
        <v>Needs Analysis</v>
      </c>
      <c r="W320" s="1">
        <f>IF(Table1[[#This Row],[Cal Type]]&lt;&gt;"ACCREDITED 17025 WITH UNCERTAINTIES",0,"")</f>
        <v>0</v>
      </c>
      <c r="X320" s="1" t="str">
        <f>IF(Table1[[#This Row],[DUT Read]]="","N/A",Table1[[#This Row],[Std Error]]+Table1[[#This Row],[DUT Read]]+Table1[[#This Row],[DUT Ucty]])</f>
        <v>N/A</v>
      </c>
      <c r="Y320" s="1" t="str">
        <f>IF(Table1[[#This Row],[Std Read]]="","N/A",Table1[[#This Row],[Std Read]]+Table1[[#This Row],[Std Ucty]])</f>
        <v>N/A</v>
      </c>
      <c r="Z3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0" s="1" t="str">
        <f>IF(Table1[[#This Row],[Spec Type]]="","N/A",Table1[[#This Row],[Spec Type]])</f>
        <v>±</v>
      </c>
      <c r="AC320" s="1" t="str">
        <f>IF(Table1[[#This Row],[Spec Type2]]="N/A","N/A",IF(AND(Table1[[#This Row],[DUT Adj Read]]&gt;=Table1[[#This Row],[Low Tol]],Table1[[#This Row],[DUT Adj Read]]&lt;=Table1[[#This Row],[High Tol]]),"Pass","Fail"))</f>
        <v>Fail</v>
      </c>
      <c r="AD320" s="1" t="str">
        <f>IF(AND(Table1[[#This Row],[Spec Type2]]="N/A",Table1[[#This Row],[DUT Adj Read]]="N/A",Table1[[#This Row],[Std Adj Read]]="N/A"),"N/A",IF(Table1[[#This Row],[DUT Adj Read]]="N/A",IF(Table1[[#This Row],[Std Adj Read]]&gt;Table1[[#This Row],[Low Tol]],"Pass","Fail"),IF(Table1[[#This Row],[DUT Adj Read]]&gt;Table1[[#This Row],[Low Tol]],"Pass","Fail")))</f>
        <v>Pass</v>
      </c>
      <c r="AE320" s="1" t="str">
        <f>IF(AND(Table1[[#This Row],[Spec Type2]]="N/A",Table1[[#This Row],[DUT Adj Read]]="N/A",Table1[[#This Row],[Std Adj Read]]="N/A"),"N/A",IF(Table1[[#This Row],[DUT Adj Read]]="N/A",IF(Table1[[#This Row],[Std Adj Read]]&lt;Table1[[#This Row],[High Tol]],"Pass","Fail"),IF(Table1[[#This Row],[DUT Adj Read]]&lt;Table1[[#This Row],[High Tol]],"Pass","Fail")))</f>
        <v>Fail</v>
      </c>
      <c r="AF320" s="1" t="str">
        <f>IF(AND(Table1[[#This Row],[Spec Type2]]="N/A",Table1[[#This Row],[DUT Adj Read]]="N/A",Table1[[#This Row],[Std Adj Read]]="N/A"),"N/A",IF(Table1[[#This Row],[DUT Adj Read]]="N/A",IF(Table1[[#This Row],[Std Adj Read]]&gt;=Table1[[#This Row],[Low Tol]],"Pass","Fail"),IF(Table1[[#This Row],[DUT Adj Read]]&gt;=Table1[[#This Row],[Low Tol]],"Pass","Fail")))</f>
        <v>Pass</v>
      </c>
      <c r="AG320" s="1" t="str">
        <f>IF(AND(Table1[[#This Row],[Spec Type2]]="N/A",Table1[[#This Row],[DUT Adj Read]]="N/A",Table1[[#This Row],[Std Adj Read]]="N/A"),"N/A",IF(Table1[[#This Row],[DUT Adj Read]]="N/A",IF(Table1[[#This Row],[Std Adj Read]]&lt;=Table1[[#This Row],[High Tol]],"Pass","Fail"),IF(Table1[[#This Row],[DUT Adj Read]]&lt;=Table1[[#This Row],[High Tol]],"Pass","Fail")))</f>
        <v>Fail</v>
      </c>
      <c r="AH3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0" s="1" t="b">
        <v>0</v>
      </c>
      <c r="AN320" s="1" t="b">
        <v>0</v>
      </c>
      <c r="AO320" s="1" t="b">
        <v>0</v>
      </c>
    </row>
    <row r="321" spans="1:41" x14ac:dyDescent="0.25">
      <c r="A321" s="10"/>
      <c r="B321" s="10"/>
      <c r="C321" s="10"/>
      <c r="D321" s="10"/>
      <c r="E321" s="10"/>
      <c r="F321" s="10"/>
      <c r="G321" s="10"/>
      <c r="H321" s="10"/>
      <c r="I321" s="1" t="str">
        <f t="shared" si="12"/>
        <v/>
      </c>
      <c r="J321" s="1" t="s">
        <v>35</v>
      </c>
      <c r="K321" s="1" t="str">
        <f t="shared" si="13"/>
        <v/>
      </c>
      <c r="L321" s="1" t="str">
        <f t="shared" si="14"/>
        <v/>
      </c>
      <c r="M321" s="1">
        <f>IF(OR(Table1[[#This Row],[Std Nom]]="",Table1[[#This Row],[Std Read]]=""),0,Table1[[#This Row],[Std Nom]]-Table1[[#This Row],[Std Read]])</f>
        <v>0</v>
      </c>
      <c r="N321" s="1">
        <f>IF(Calculations!$F$5="ACCREDITED 17025 WITH UNCERTAINTIES",$N$10,0)</f>
        <v>0</v>
      </c>
      <c r="Q321" s="1">
        <f>Table1[[#This Row],[High Tol]]-Table1[[#This Row],[Low Tol]]</f>
        <v>0</v>
      </c>
      <c r="R321" s="1">
        <f>2*Table1[[#This Row],[Std Error]]</f>
        <v>0</v>
      </c>
      <c r="S321" s="1" t="str">
        <f>IF(Table1[[#This Row],[High Tol]]="","N/A",IFERROR(ABS(Table1[[#This Row],[Tol Span]]/Table1[[#This Row],[Error Span]]),"N/A"))</f>
        <v>N/A</v>
      </c>
      <c r="T321" s="1" t="str">
        <f>IF(OR(Table1[[#This Row],[Low Tol]]="",Table1[[#This Row],[High Tol]]=""),"Needs Analysis",IF(Table1[[#This Row],[Ratio]]&gt;=4,"Not Significant",IF(Table1[[#This Row],[Ratio]]&gt;=2,"Semi-Significant","Significant")))</f>
        <v>Needs Analysis</v>
      </c>
      <c r="W321" s="1">
        <f>IF(Table1[[#This Row],[Cal Type]]&lt;&gt;"ACCREDITED 17025 WITH UNCERTAINTIES",0,"")</f>
        <v>0</v>
      </c>
      <c r="X321" s="1" t="str">
        <f>IF(Table1[[#This Row],[DUT Read]]="","N/A",Table1[[#This Row],[Std Error]]+Table1[[#This Row],[DUT Read]]+Table1[[#This Row],[DUT Ucty]])</f>
        <v>N/A</v>
      </c>
      <c r="Y321" s="1" t="str">
        <f>IF(Table1[[#This Row],[Std Read]]="","N/A",Table1[[#This Row],[Std Read]]+Table1[[#This Row],[Std Ucty]])</f>
        <v>N/A</v>
      </c>
      <c r="Z3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1" s="1" t="str">
        <f>IF(Table1[[#This Row],[Spec Type]]="","N/A",Table1[[#This Row],[Spec Type]])</f>
        <v>±</v>
      </c>
      <c r="AC321" s="1" t="str">
        <f>IF(Table1[[#This Row],[Spec Type2]]="N/A","N/A",IF(AND(Table1[[#This Row],[DUT Adj Read]]&gt;=Table1[[#This Row],[Low Tol]],Table1[[#This Row],[DUT Adj Read]]&lt;=Table1[[#This Row],[High Tol]]),"Pass","Fail"))</f>
        <v>Fail</v>
      </c>
      <c r="AD321" s="1" t="str">
        <f>IF(AND(Table1[[#This Row],[Spec Type2]]="N/A",Table1[[#This Row],[DUT Adj Read]]="N/A",Table1[[#This Row],[Std Adj Read]]="N/A"),"N/A",IF(Table1[[#This Row],[DUT Adj Read]]="N/A",IF(Table1[[#This Row],[Std Adj Read]]&gt;Table1[[#This Row],[Low Tol]],"Pass","Fail"),IF(Table1[[#This Row],[DUT Adj Read]]&gt;Table1[[#This Row],[Low Tol]],"Pass","Fail")))</f>
        <v>Pass</v>
      </c>
      <c r="AE321" s="1" t="str">
        <f>IF(AND(Table1[[#This Row],[Spec Type2]]="N/A",Table1[[#This Row],[DUT Adj Read]]="N/A",Table1[[#This Row],[Std Adj Read]]="N/A"),"N/A",IF(Table1[[#This Row],[DUT Adj Read]]="N/A",IF(Table1[[#This Row],[Std Adj Read]]&lt;Table1[[#This Row],[High Tol]],"Pass","Fail"),IF(Table1[[#This Row],[DUT Adj Read]]&lt;Table1[[#This Row],[High Tol]],"Pass","Fail")))</f>
        <v>Fail</v>
      </c>
      <c r="AF321" s="1" t="str">
        <f>IF(AND(Table1[[#This Row],[Spec Type2]]="N/A",Table1[[#This Row],[DUT Adj Read]]="N/A",Table1[[#This Row],[Std Adj Read]]="N/A"),"N/A",IF(Table1[[#This Row],[DUT Adj Read]]="N/A",IF(Table1[[#This Row],[Std Adj Read]]&gt;=Table1[[#This Row],[Low Tol]],"Pass","Fail"),IF(Table1[[#This Row],[DUT Adj Read]]&gt;=Table1[[#This Row],[Low Tol]],"Pass","Fail")))</f>
        <v>Pass</v>
      </c>
      <c r="AG321" s="1" t="str">
        <f>IF(AND(Table1[[#This Row],[Spec Type2]]="N/A",Table1[[#This Row],[DUT Adj Read]]="N/A",Table1[[#This Row],[Std Adj Read]]="N/A"),"N/A",IF(Table1[[#This Row],[DUT Adj Read]]="N/A",IF(Table1[[#This Row],[Std Adj Read]]&lt;=Table1[[#This Row],[High Tol]],"Pass","Fail"),IF(Table1[[#This Row],[DUT Adj Read]]&lt;=Table1[[#This Row],[High Tol]],"Pass","Fail")))</f>
        <v>Fail</v>
      </c>
      <c r="AH3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1" s="1" t="b">
        <v>0</v>
      </c>
      <c r="AN321" s="1" t="b">
        <v>0</v>
      </c>
      <c r="AO321" s="1" t="b">
        <v>0</v>
      </c>
    </row>
    <row r="322" spans="1:41" x14ac:dyDescent="0.25">
      <c r="A322" s="10"/>
      <c r="B322" s="10"/>
      <c r="C322" s="10"/>
      <c r="D322" s="10"/>
      <c r="E322" s="10"/>
      <c r="F322" s="10"/>
      <c r="G322" s="10"/>
      <c r="H322" s="10"/>
      <c r="I322" s="1" t="str">
        <f t="shared" si="12"/>
        <v/>
      </c>
      <c r="J322" s="1" t="s">
        <v>35</v>
      </c>
      <c r="K322" s="1" t="str">
        <f t="shared" si="13"/>
        <v/>
      </c>
      <c r="L322" s="1" t="str">
        <f t="shared" si="14"/>
        <v/>
      </c>
      <c r="M322" s="1">
        <f>IF(OR(Table1[[#This Row],[Std Nom]]="",Table1[[#This Row],[Std Read]]=""),0,Table1[[#This Row],[Std Nom]]-Table1[[#This Row],[Std Read]])</f>
        <v>0</v>
      </c>
      <c r="N322" s="1">
        <f>IF(Calculations!$F$5="ACCREDITED 17025 WITH UNCERTAINTIES",$N$10,0)</f>
        <v>0</v>
      </c>
      <c r="Q322" s="1">
        <f>Table1[[#This Row],[High Tol]]-Table1[[#This Row],[Low Tol]]</f>
        <v>0</v>
      </c>
      <c r="R322" s="1">
        <f>2*Table1[[#This Row],[Std Error]]</f>
        <v>0</v>
      </c>
      <c r="S322" s="1" t="str">
        <f>IF(Table1[[#This Row],[High Tol]]="","N/A",IFERROR(ABS(Table1[[#This Row],[Tol Span]]/Table1[[#This Row],[Error Span]]),"N/A"))</f>
        <v>N/A</v>
      </c>
      <c r="T322" s="1" t="str">
        <f>IF(OR(Table1[[#This Row],[Low Tol]]="",Table1[[#This Row],[High Tol]]=""),"Needs Analysis",IF(Table1[[#This Row],[Ratio]]&gt;=4,"Not Significant",IF(Table1[[#This Row],[Ratio]]&gt;=2,"Semi-Significant","Significant")))</f>
        <v>Needs Analysis</v>
      </c>
      <c r="W322" s="1">
        <f>IF(Table1[[#This Row],[Cal Type]]&lt;&gt;"ACCREDITED 17025 WITH UNCERTAINTIES",0,"")</f>
        <v>0</v>
      </c>
      <c r="X322" s="1" t="str">
        <f>IF(Table1[[#This Row],[DUT Read]]="","N/A",Table1[[#This Row],[Std Error]]+Table1[[#This Row],[DUT Read]]+Table1[[#This Row],[DUT Ucty]])</f>
        <v>N/A</v>
      </c>
      <c r="Y322" s="1" t="str">
        <f>IF(Table1[[#This Row],[Std Read]]="","N/A",Table1[[#This Row],[Std Read]]+Table1[[#This Row],[Std Ucty]])</f>
        <v>N/A</v>
      </c>
      <c r="Z3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2" s="1" t="str">
        <f>IF(Table1[[#This Row],[Spec Type]]="","N/A",Table1[[#This Row],[Spec Type]])</f>
        <v>±</v>
      </c>
      <c r="AC322" s="1" t="str">
        <f>IF(Table1[[#This Row],[Spec Type2]]="N/A","N/A",IF(AND(Table1[[#This Row],[DUT Adj Read]]&gt;=Table1[[#This Row],[Low Tol]],Table1[[#This Row],[DUT Adj Read]]&lt;=Table1[[#This Row],[High Tol]]),"Pass","Fail"))</f>
        <v>Fail</v>
      </c>
      <c r="AD322" s="1" t="str">
        <f>IF(AND(Table1[[#This Row],[Spec Type2]]="N/A",Table1[[#This Row],[DUT Adj Read]]="N/A",Table1[[#This Row],[Std Adj Read]]="N/A"),"N/A",IF(Table1[[#This Row],[DUT Adj Read]]="N/A",IF(Table1[[#This Row],[Std Adj Read]]&gt;Table1[[#This Row],[Low Tol]],"Pass","Fail"),IF(Table1[[#This Row],[DUT Adj Read]]&gt;Table1[[#This Row],[Low Tol]],"Pass","Fail")))</f>
        <v>Pass</v>
      </c>
      <c r="AE322" s="1" t="str">
        <f>IF(AND(Table1[[#This Row],[Spec Type2]]="N/A",Table1[[#This Row],[DUT Adj Read]]="N/A",Table1[[#This Row],[Std Adj Read]]="N/A"),"N/A",IF(Table1[[#This Row],[DUT Adj Read]]="N/A",IF(Table1[[#This Row],[Std Adj Read]]&lt;Table1[[#This Row],[High Tol]],"Pass","Fail"),IF(Table1[[#This Row],[DUT Adj Read]]&lt;Table1[[#This Row],[High Tol]],"Pass","Fail")))</f>
        <v>Fail</v>
      </c>
      <c r="AF322" s="1" t="str">
        <f>IF(AND(Table1[[#This Row],[Spec Type2]]="N/A",Table1[[#This Row],[DUT Adj Read]]="N/A",Table1[[#This Row],[Std Adj Read]]="N/A"),"N/A",IF(Table1[[#This Row],[DUT Adj Read]]="N/A",IF(Table1[[#This Row],[Std Adj Read]]&gt;=Table1[[#This Row],[Low Tol]],"Pass","Fail"),IF(Table1[[#This Row],[DUT Adj Read]]&gt;=Table1[[#This Row],[Low Tol]],"Pass","Fail")))</f>
        <v>Pass</v>
      </c>
      <c r="AG322" s="1" t="str">
        <f>IF(AND(Table1[[#This Row],[Spec Type2]]="N/A",Table1[[#This Row],[DUT Adj Read]]="N/A",Table1[[#This Row],[Std Adj Read]]="N/A"),"N/A",IF(Table1[[#This Row],[DUT Adj Read]]="N/A",IF(Table1[[#This Row],[Std Adj Read]]&lt;=Table1[[#This Row],[High Tol]],"Pass","Fail"),IF(Table1[[#This Row],[DUT Adj Read]]&lt;=Table1[[#This Row],[High Tol]],"Pass","Fail")))</f>
        <v>Fail</v>
      </c>
      <c r="AH3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2" s="1" t="b">
        <v>0</v>
      </c>
      <c r="AN322" s="1" t="b">
        <v>0</v>
      </c>
      <c r="AO322" s="1" t="b">
        <v>0</v>
      </c>
    </row>
    <row r="323" spans="1:41" x14ac:dyDescent="0.25">
      <c r="A323" s="10"/>
      <c r="B323" s="10"/>
      <c r="C323" s="10"/>
      <c r="D323" s="10"/>
      <c r="E323" s="10"/>
      <c r="F323" s="10"/>
      <c r="G323" s="10"/>
      <c r="H323" s="10"/>
      <c r="I323" s="1" t="str">
        <f t="shared" si="12"/>
        <v/>
      </c>
      <c r="J323" s="1" t="s">
        <v>35</v>
      </c>
      <c r="K323" s="1" t="str">
        <f t="shared" si="13"/>
        <v/>
      </c>
      <c r="L323" s="1" t="str">
        <f t="shared" si="14"/>
        <v/>
      </c>
      <c r="M323" s="1">
        <f>IF(OR(Table1[[#This Row],[Std Nom]]="",Table1[[#This Row],[Std Read]]=""),0,Table1[[#This Row],[Std Nom]]-Table1[[#This Row],[Std Read]])</f>
        <v>0</v>
      </c>
      <c r="N323" s="1">
        <f>IF(Calculations!$F$5="ACCREDITED 17025 WITH UNCERTAINTIES",$N$10,0)</f>
        <v>0</v>
      </c>
      <c r="Q323" s="1">
        <f>Table1[[#This Row],[High Tol]]-Table1[[#This Row],[Low Tol]]</f>
        <v>0</v>
      </c>
      <c r="R323" s="1">
        <f>2*Table1[[#This Row],[Std Error]]</f>
        <v>0</v>
      </c>
      <c r="S323" s="1" t="str">
        <f>IF(Table1[[#This Row],[High Tol]]="","N/A",IFERROR(ABS(Table1[[#This Row],[Tol Span]]/Table1[[#This Row],[Error Span]]),"N/A"))</f>
        <v>N/A</v>
      </c>
      <c r="T323" s="1" t="str">
        <f>IF(OR(Table1[[#This Row],[Low Tol]]="",Table1[[#This Row],[High Tol]]=""),"Needs Analysis",IF(Table1[[#This Row],[Ratio]]&gt;=4,"Not Significant",IF(Table1[[#This Row],[Ratio]]&gt;=2,"Semi-Significant","Significant")))</f>
        <v>Needs Analysis</v>
      </c>
      <c r="W323" s="1">
        <f>IF(Table1[[#This Row],[Cal Type]]&lt;&gt;"ACCREDITED 17025 WITH UNCERTAINTIES",0,"")</f>
        <v>0</v>
      </c>
      <c r="X323" s="1" t="str">
        <f>IF(Table1[[#This Row],[DUT Read]]="","N/A",Table1[[#This Row],[Std Error]]+Table1[[#This Row],[DUT Read]]+Table1[[#This Row],[DUT Ucty]])</f>
        <v>N/A</v>
      </c>
      <c r="Y323" s="1" t="str">
        <f>IF(Table1[[#This Row],[Std Read]]="","N/A",Table1[[#This Row],[Std Read]]+Table1[[#This Row],[Std Ucty]])</f>
        <v>N/A</v>
      </c>
      <c r="Z3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3" s="1" t="str">
        <f>IF(Table1[[#This Row],[Spec Type]]="","N/A",Table1[[#This Row],[Spec Type]])</f>
        <v>±</v>
      </c>
      <c r="AC323" s="1" t="str">
        <f>IF(Table1[[#This Row],[Spec Type2]]="N/A","N/A",IF(AND(Table1[[#This Row],[DUT Adj Read]]&gt;=Table1[[#This Row],[Low Tol]],Table1[[#This Row],[DUT Adj Read]]&lt;=Table1[[#This Row],[High Tol]]),"Pass","Fail"))</f>
        <v>Fail</v>
      </c>
      <c r="AD323" s="1" t="str">
        <f>IF(AND(Table1[[#This Row],[Spec Type2]]="N/A",Table1[[#This Row],[DUT Adj Read]]="N/A",Table1[[#This Row],[Std Adj Read]]="N/A"),"N/A",IF(Table1[[#This Row],[DUT Adj Read]]="N/A",IF(Table1[[#This Row],[Std Adj Read]]&gt;Table1[[#This Row],[Low Tol]],"Pass","Fail"),IF(Table1[[#This Row],[DUT Adj Read]]&gt;Table1[[#This Row],[Low Tol]],"Pass","Fail")))</f>
        <v>Pass</v>
      </c>
      <c r="AE323" s="1" t="str">
        <f>IF(AND(Table1[[#This Row],[Spec Type2]]="N/A",Table1[[#This Row],[DUT Adj Read]]="N/A",Table1[[#This Row],[Std Adj Read]]="N/A"),"N/A",IF(Table1[[#This Row],[DUT Adj Read]]="N/A",IF(Table1[[#This Row],[Std Adj Read]]&lt;Table1[[#This Row],[High Tol]],"Pass","Fail"),IF(Table1[[#This Row],[DUT Adj Read]]&lt;Table1[[#This Row],[High Tol]],"Pass","Fail")))</f>
        <v>Fail</v>
      </c>
      <c r="AF323" s="1" t="str">
        <f>IF(AND(Table1[[#This Row],[Spec Type2]]="N/A",Table1[[#This Row],[DUT Adj Read]]="N/A",Table1[[#This Row],[Std Adj Read]]="N/A"),"N/A",IF(Table1[[#This Row],[DUT Adj Read]]="N/A",IF(Table1[[#This Row],[Std Adj Read]]&gt;=Table1[[#This Row],[Low Tol]],"Pass","Fail"),IF(Table1[[#This Row],[DUT Adj Read]]&gt;=Table1[[#This Row],[Low Tol]],"Pass","Fail")))</f>
        <v>Pass</v>
      </c>
      <c r="AG323" s="1" t="str">
        <f>IF(AND(Table1[[#This Row],[Spec Type2]]="N/A",Table1[[#This Row],[DUT Adj Read]]="N/A",Table1[[#This Row],[Std Adj Read]]="N/A"),"N/A",IF(Table1[[#This Row],[DUT Adj Read]]="N/A",IF(Table1[[#This Row],[Std Adj Read]]&lt;=Table1[[#This Row],[High Tol]],"Pass","Fail"),IF(Table1[[#This Row],[DUT Adj Read]]&lt;=Table1[[#This Row],[High Tol]],"Pass","Fail")))</f>
        <v>Fail</v>
      </c>
      <c r="AH3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3" s="1" t="b">
        <v>0</v>
      </c>
      <c r="AN323" s="1" t="b">
        <v>0</v>
      </c>
      <c r="AO323" s="1" t="b">
        <v>0</v>
      </c>
    </row>
    <row r="324" spans="1:41" x14ac:dyDescent="0.25">
      <c r="A324" s="10"/>
      <c r="B324" s="10"/>
      <c r="C324" s="10"/>
      <c r="D324" s="10"/>
      <c r="E324" s="10"/>
      <c r="F324" s="10"/>
      <c r="G324" s="10"/>
      <c r="H324" s="10"/>
      <c r="I324" s="1" t="str">
        <f t="shared" si="12"/>
        <v/>
      </c>
      <c r="J324" s="1" t="s">
        <v>35</v>
      </c>
      <c r="K324" s="1" t="str">
        <f t="shared" si="13"/>
        <v/>
      </c>
      <c r="L324" s="1" t="str">
        <f t="shared" si="14"/>
        <v/>
      </c>
      <c r="M324" s="1">
        <f>IF(OR(Table1[[#This Row],[Std Nom]]="",Table1[[#This Row],[Std Read]]=""),0,Table1[[#This Row],[Std Nom]]-Table1[[#This Row],[Std Read]])</f>
        <v>0</v>
      </c>
      <c r="N324" s="1">
        <f>IF(Calculations!$F$5="ACCREDITED 17025 WITH UNCERTAINTIES",$N$10,0)</f>
        <v>0</v>
      </c>
      <c r="Q324" s="1">
        <f>Table1[[#This Row],[High Tol]]-Table1[[#This Row],[Low Tol]]</f>
        <v>0</v>
      </c>
      <c r="R324" s="1">
        <f>2*Table1[[#This Row],[Std Error]]</f>
        <v>0</v>
      </c>
      <c r="S324" s="1" t="str">
        <f>IF(Table1[[#This Row],[High Tol]]="","N/A",IFERROR(ABS(Table1[[#This Row],[Tol Span]]/Table1[[#This Row],[Error Span]]),"N/A"))</f>
        <v>N/A</v>
      </c>
      <c r="T324" s="1" t="str">
        <f>IF(OR(Table1[[#This Row],[Low Tol]]="",Table1[[#This Row],[High Tol]]=""),"Needs Analysis",IF(Table1[[#This Row],[Ratio]]&gt;=4,"Not Significant",IF(Table1[[#This Row],[Ratio]]&gt;=2,"Semi-Significant","Significant")))</f>
        <v>Needs Analysis</v>
      </c>
      <c r="W324" s="1">
        <f>IF(Table1[[#This Row],[Cal Type]]&lt;&gt;"ACCREDITED 17025 WITH UNCERTAINTIES",0,"")</f>
        <v>0</v>
      </c>
      <c r="X324" s="1" t="str">
        <f>IF(Table1[[#This Row],[DUT Read]]="","N/A",Table1[[#This Row],[Std Error]]+Table1[[#This Row],[DUT Read]]+Table1[[#This Row],[DUT Ucty]])</f>
        <v>N/A</v>
      </c>
      <c r="Y324" s="1" t="str">
        <f>IF(Table1[[#This Row],[Std Read]]="","N/A",Table1[[#This Row],[Std Read]]+Table1[[#This Row],[Std Ucty]])</f>
        <v>N/A</v>
      </c>
      <c r="Z3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4" s="1" t="str">
        <f>IF(Table1[[#This Row],[Spec Type]]="","N/A",Table1[[#This Row],[Spec Type]])</f>
        <v>±</v>
      </c>
      <c r="AC324" s="1" t="str">
        <f>IF(Table1[[#This Row],[Spec Type2]]="N/A","N/A",IF(AND(Table1[[#This Row],[DUT Adj Read]]&gt;=Table1[[#This Row],[Low Tol]],Table1[[#This Row],[DUT Adj Read]]&lt;=Table1[[#This Row],[High Tol]]),"Pass","Fail"))</f>
        <v>Fail</v>
      </c>
      <c r="AD324" s="1" t="str">
        <f>IF(AND(Table1[[#This Row],[Spec Type2]]="N/A",Table1[[#This Row],[DUT Adj Read]]="N/A",Table1[[#This Row],[Std Adj Read]]="N/A"),"N/A",IF(Table1[[#This Row],[DUT Adj Read]]="N/A",IF(Table1[[#This Row],[Std Adj Read]]&gt;Table1[[#This Row],[Low Tol]],"Pass","Fail"),IF(Table1[[#This Row],[DUT Adj Read]]&gt;Table1[[#This Row],[Low Tol]],"Pass","Fail")))</f>
        <v>Pass</v>
      </c>
      <c r="AE324" s="1" t="str">
        <f>IF(AND(Table1[[#This Row],[Spec Type2]]="N/A",Table1[[#This Row],[DUT Adj Read]]="N/A",Table1[[#This Row],[Std Adj Read]]="N/A"),"N/A",IF(Table1[[#This Row],[DUT Adj Read]]="N/A",IF(Table1[[#This Row],[Std Adj Read]]&lt;Table1[[#This Row],[High Tol]],"Pass","Fail"),IF(Table1[[#This Row],[DUT Adj Read]]&lt;Table1[[#This Row],[High Tol]],"Pass","Fail")))</f>
        <v>Fail</v>
      </c>
      <c r="AF324" s="1" t="str">
        <f>IF(AND(Table1[[#This Row],[Spec Type2]]="N/A",Table1[[#This Row],[DUT Adj Read]]="N/A",Table1[[#This Row],[Std Adj Read]]="N/A"),"N/A",IF(Table1[[#This Row],[DUT Adj Read]]="N/A",IF(Table1[[#This Row],[Std Adj Read]]&gt;=Table1[[#This Row],[Low Tol]],"Pass","Fail"),IF(Table1[[#This Row],[DUT Adj Read]]&gt;=Table1[[#This Row],[Low Tol]],"Pass","Fail")))</f>
        <v>Pass</v>
      </c>
      <c r="AG324" s="1" t="str">
        <f>IF(AND(Table1[[#This Row],[Spec Type2]]="N/A",Table1[[#This Row],[DUT Adj Read]]="N/A",Table1[[#This Row],[Std Adj Read]]="N/A"),"N/A",IF(Table1[[#This Row],[DUT Adj Read]]="N/A",IF(Table1[[#This Row],[Std Adj Read]]&lt;=Table1[[#This Row],[High Tol]],"Pass","Fail"),IF(Table1[[#This Row],[DUT Adj Read]]&lt;=Table1[[#This Row],[High Tol]],"Pass","Fail")))</f>
        <v>Fail</v>
      </c>
      <c r="AH3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4" s="1" t="b">
        <v>0</v>
      </c>
      <c r="AN324" s="1" t="b">
        <v>0</v>
      </c>
      <c r="AO324" s="1" t="b">
        <v>0</v>
      </c>
    </row>
    <row r="325" spans="1:41" x14ac:dyDescent="0.25">
      <c r="A325" s="10"/>
      <c r="B325" s="10"/>
      <c r="C325" s="10"/>
      <c r="D325" s="10"/>
      <c r="E325" s="10"/>
      <c r="F325" s="10"/>
      <c r="G325" s="10"/>
      <c r="H325" s="10"/>
      <c r="I325" s="1" t="str">
        <f t="shared" si="12"/>
        <v/>
      </c>
      <c r="J325" s="1" t="s">
        <v>35</v>
      </c>
      <c r="K325" s="1" t="str">
        <f t="shared" si="13"/>
        <v/>
      </c>
      <c r="L325" s="1" t="str">
        <f t="shared" si="14"/>
        <v/>
      </c>
      <c r="M325" s="1">
        <f>IF(OR(Table1[[#This Row],[Std Nom]]="",Table1[[#This Row],[Std Read]]=""),0,Table1[[#This Row],[Std Nom]]-Table1[[#This Row],[Std Read]])</f>
        <v>0</v>
      </c>
      <c r="N325" s="1">
        <f>IF(Calculations!$F$5="ACCREDITED 17025 WITH UNCERTAINTIES",$N$10,0)</f>
        <v>0</v>
      </c>
      <c r="Q325" s="1">
        <f>Table1[[#This Row],[High Tol]]-Table1[[#This Row],[Low Tol]]</f>
        <v>0</v>
      </c>
      <c r="R325" s="1">
        <f>2*Table1[[#This Row],[Std Error]]</f>
        <v>0</v>
      </c>
      <c r="S325" s="1" t="str">
        <f>IF(Table1[[#This Row],[High Tol]]="","N/A",IFERROR(ABS(Table1[[#This Row],[Tol Span]]/Table1[[#This Row],[Error Span]]),"N/A"))</f>
        <v>N/A</v>
      </c>
      <c r="T325" s="1" t="str">
        <f>IF(OR(Table1[[#This Row],[Low Tol]]="",Table1[[#This Row],[High Tol]]=""),"Needs Analysis",IF(Table1[[#This Row],[Ratio]]&gt;=4,"Not Significant",IF(Table1[[#This Row],[Ratio]]&gt;=2,"Semi-Significant","Significant")))</f>
        <v>Needs Analysis</v>
      </c>
      <c r="W325" s="1">
        <f>IF(Table1[[#This Row],[Cal Type]]&lt;&gt;"ACCREDITED 17025 WITH UNCERTAINTIES",0,"")</f>
        <v>0</v>
      </c>
      <c r="X325" s="1" t="str">
        <f>IF(Table1[[#This Row],[DUT Read]]="","N/A",Table1[[#This Row],[Std Error]]+Table1[[#This Row],[DUT Read]]+Table1[[#This Row],[DUT Ucty]])</f>
        <v>N/A</v>
      </c>
      <c r="Y325" s="1" t="str">
        <f>IF(Table1[[#This Row],[Std Read]]="","N/A",Table1[[#This Row],[Std Read]]+Table1[[#This Row],[Std Ucty]])</f>
        <v>N/A</v>
      </c>
      <c r="Z3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5" s="1" t="str">
        <f>IF(Table1[[#This Row],[Spec Type]]="","N/A",Table1[[#This Row],[Spec Type]])</f>
        <v>±</v>
      </c>
      <c r="AC325" s="1" t="str">
        <f>IF(Table1[[#This Row],[Spec Type2]]="N/A","N/A",IF(AND(Table1[[#This Row],[DUT Adj Read]]&gt;=Table1[[#This Row],[Low Tol]],Table1[[#This Row],[DUT Adj Read]]&lt;=Table1[[#This Row],[High Tol]]),"Pass","Fail"))</f>
        <v>Fail</v>
      </c>
      <c r="AD325" s="1" t="str">
        <f>IF(AND(Table1[[#This Row],[Spec Type2]]="N/A",Table1[[#This Row],[DUT Adj Read]]="N/A",Table1[[#This Row],[Std Adj Read]]="N/A"),"N/A",IF(Table1[[#This Row],[DUT Adj Read]]="N/A",IF(Table1[[#This Row],[Std Adj Read]]&gt;Table1[[#This Row],[Low Tol]],"Pass","Fail"),IF(Table1[[#This Row],[DUT Adj Read]]&gt;Table1[[#This Row],[Low Tol]],"Pass","Fail")))</f>
        <v>Pass</v>
      </c>
      <c r="AE325" s="1" t="str">
        <f>IF(AND(Table1[[#This Row],[Spec Type2]]="N/A",Table1[[#This Row],[DUT Adj Read]]="N/A",Table1[[#This Row],[Std Adj Read]]="N/A"),"N/A",IF(Table1[[#This Row],[DUT Adj Read]]="N/A",IF(Table1[[#This Row],[Std Adj Read]]&lt;Table1[[#This Row],[High Tol]],"Pass","Fail"),IF(Table1[[#This Row],[DUT Adj Read]]&lt;Table1[[#This Row],[High Tol]],"Pass","Fail")))</f>
        <v>Fail</v>
      </c>
      <c r="AF325" s="1" t="str">
        <f>IF(AND(Table1[[#This Row],[Spec Type2]]="N/A",Table1[[#This Row],[DUT Adj Read]]="N/A",Table1[[#This Row],[Std Adj Read]]="N/A"),"N/A",IF(Table1[[#This Row],[DUT Adj Read]]="N/A",IF(Table1[[#This Row],[Std Adj Read]]&gt;=Table1[[#This Row],[Low Tol]],"Pass","Fail"),IF(Table1[[#This Row],[DUT Adj Read]]&gt;=Table1[[#This Row],[Low Tol]],"Pass","Fail")))</f>
        <v>Pass</v>
      </c>
      <c r="AG325" s="1" t="str">
        <f>IF(AND(Table1[[#This Row],[Spec Type2]]="N/A",Table1[[#This Row],[DUT Adj Read]]="N/A",Table1[[#This Row],[Std Adj Read]]="N/A"),"N/A",IF(Table1[[#This Row],[DUT Adj Read]]="N/A",IF(Table1[[#This Row],[Std Adj Read]]&lt;=Table1[[#This Row],[High Tol]],"Pass","Fail"),IF(Table1[[#This Row],[DUT Adj Read]]&lt;=Table1[[#This Row],[High Tol]],"Pass","Fail")))</f>
        <v>Fail</v>
      </c>
      <c r="AH3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5" s="1" t="b">
        <v>0</v>
      </c>
      <c r="AN325" s="1" t="b">
        <v>0</v>
      </c>
      <c r="AO325" s="1" t="b">
        <v>0</v>
      </c>
    </row>
    <row r="326" spans="1:41" x14ac:dyDescent="0.25">
      <c r="A326" s="10"/>
      <c r="B326" s="10"/>
      <c r="C326" s="10"/>
      <c r="D326" s="10"/>
      <c r="E326" s="10"/>
      <c r="F326" s="10"/>
      <c r="G326" s="10"/>
      <c r="H326" s="10"/>
      <c r="I326" s="1" t="str">
        <f t="shared" si="12"/>
        <v/>
      </c>
      <c r="J326" s="1" t="s">
        <v>35</v>
      </c>
      <c r="K326" s="1" t="str">
        <f t="shared" si="13"/>
        <v/>
      </c>
      <c r="L326" s="1" t="str">
        <f t="shared" si="14"/>
        <v/>
      </c>
      <c r="M326" s="1">
        <f>IF(OR(Table1[[#This Row],[Std Nom]]="",Table1[[#This Row],[Std Read]]=""),0,Table1[[#This Row],[Std Nom]]-Table1[[#This Row],[Std Read]])</f>
        <v>0</v>
      </c>
      <c r="N326" s="1">
        <f>IF(Calculations!$F$5="ACCREDITED 17025 WITH UNCERTAINTIES",$N$10,0)</f>
        <v>0</v>
      </c>
      <c r="Q326" s="1">
        <f>Table1[[#This Row],[High Tol]]-Table1[[#This Row],[Low Tol]]</f>
        <v>0</v>
      </c>
      <c r="R326" s="1">
        <f>2*Table1[[#This Row],[Std Error]]</f>
        <v>0</v>
      </c>
      <c r="S326" s="1" t="str">
        <f>IF(Table1[[#This Row],[High Tol]]="","N/A",IFERROR(ABS(Table1[[#This Row],[Tol Span]]/Table1[[#This Row],[Error Span]]),"N/A"))</f>
        <v>N/A</v>
      </c>
      <c r="T326" s="1" t="str">
        <f>IF(OR(Table1[[#This Row],[Low Tol]]="",Table1[[#This Row],[High Tol]]=""),"Needs Analysis",IF(Table1[[#This Row],[Ratio]]&gt;=4,"Not Significant",IF(Table1[[#This Row],[Ratio]]&gt;=2,"Semi-Significant","Significant")))</f>
        <v>Needs Analysis</v>
      </c>
      <c r="W326" s="1">
        <f>IF(Table1[[#This Row],[Cal Type]]&lt;&gt;"ACCREDITED 17025 WITH UNCERTAINTIES",0,"")</f>
        <v>0</v>
      </c>
      <c r="X326" s="1" t="str">
        <f>IF(Table1[[#This Row],[DUT Read]]="","N/A",Table1[[#This Row],[Std Error]]+Table1[[#This Row],[DUT Read]]+Table1[[#This Row],[DUT Ucty]])</f>
        <v>N/A</v>
      </c>
      <c r="Y326" s="1" t="str">
        <f>IF(Table1[[#This Row],[Std Read]]="","N/A",Table1[[#This Row],[Std Read]]+Table1[[#This Row],[Std Ucty]])</f>
        <v>N/A</v>
      </c>
      <c r="Z3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6" s="1" t="str">
        <f>IF(Table1[[#This Row],[Spec Type]]="","N/A",Table1[[#This Row],[Spec Type]])</f>
        <v>±</v>
      </c>
      <c r="AC326" s="1" t="str">
        <f>IF(Table1[[#This Row],[Spec Type2]]="N/A","N/A",IF(AND(Table1[[#This Row],[DUT Adj Read]]&gt;=Table1[[#This Row],[Low Tol]],Table1[[#This Row],[DUT Adj Read]]&lt;=Table1[[#This Row],[High Tol]]),"Pass","Fail"))</f>
        <v>Fail</v>
      </c>
      <c r="AD326" s="1" t="str">
        <f>IF(AND(Table1[[#This Row],[Spec Type2]]="N/A",Table1[[#This Row],[DUT Adj Read]]="N/A",Table1[[#This Row],[Std Adj Read]]="N/A"),"N/A",IF(Table1[[#This Row],[DUT Adj Read]]="N/A",IF(Table1[[#This Row],[Std Adj Read]]&gt;Table1[[#This Row],[Low Tol]],"Pass","Fail"),IF(Table1[[#This Row],[DUT Adj Read]]&gt;Table1[[#This Row],[Low Tol]],"Pass","Fail")))</f>
        <v>Pass</v>
      </c>
      <c r="AE326" s="1" t="str">
        <f>IF(AND(Table1[[#This Row],[Spec Type2]]="N/A",Table1[[#This Row],[DUT Adj Read]]="N/A",Table1[[#This Row],[Std Adj Read]]="N/A"),"N/A",IF(Table1[[#This Row],[DUT Adj Read]]="N/A",IF(Table1[[#This Row],[Std Adj Read]]&lt;Table1[[#This Row],[High Tol]],"Pass","Fail"),IF(Table1[[#This Row],[DUT Adj Read]]&lt;Table1[[#This Row],[High Tol]],"Pass","Fail")))</f>
        <v>Fail</v>
      </c>
      <c r="AF326" s="1" t="str">
        <f>IF(AND(Table1[[#This Row],[Spec Type2]]="N/A",Table1[[#This Row],[DUT Adj Read]]="N/A",Table1[[#This Row],[Std Adj Read]]="N/A"),"N/A",IF(Table1[[#This Row],[DUT Adj Read]]="N/A",IF(Table1[[#This Row],[Std Adj Read]]&gt;=Table1[[#This Row],[Low Tol]],"Pass","Fail"),IF(Table1[[#This Row],[DUT Adj Read]]&gt;=Table1[[#This Row],[Low Tol]],"Pass","Fail")))</f>
        <v>Pass</v>
      </c>
      <c r="AG326" s="1" t="str">
        <f>IF(AND(Table1[[#This Row],[Spec Type2]]="N/A",Table1[[#This Row],[DUT Adj Read]]="N/A",Table1[[#This Row],[Std Adj Read]]="N/A"),"N/A",IF(Table1[[#This Row],[DUT Adj Read]]="N/A",IF(Table1[[#This Row],[Std Adj Read]]&lt;=Table1[[#This Row],[High Tol]],"Pass","Fail"),IF(Table1[[#This Row],[DUT Adj Read]]&lt;=Table1[[#This Row],[High Tol]],"Pass","Fail")))</f>
        <v>Fail</v>
      </c>
      <c r="AH3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6" s="1" t="b">
        <v>0</v>
      </c>
      <c r="AN326" s="1" t="b">
        <v>0</v>
      </c>
      <c r="AO326" s="1" t="b">
        <v>0</v>
      </c>
    </row>
    <row r="327" spans="1:41" x14ac:dyDescent="0.25">
      <c r="A327" s="10"/>
      <c r="B327" s="10"/>
      <c r="C327" s="10"/>
      <c r="D327" s="10"/>
      <c r="E327" s="10"/>
      <c r="F327" s="10"/>
      <c r="G327" s="10"/>
      <c r="H327" s="10"/>
      <c r="I327" s="1" t="str">
        <f t="shared" si="12"/>
        <v/>
      </c>
      <c r="J327" s="1" t="s">
        <v>35</v>
      </c>
      <c r="K327" s="1" t="str">
        <f t="shared" si="13"/>
        <v/>
      </c>
      <c r="L327" s="1" t="str">
        <f t="shared" si="14"/>
        <v/>
      </c>
      <c r="M327" s="1">
        <f>IF(OR(Table1[[#This Row],[Std Nom]]="",Table1[[#This Row],[Std Read]]=""),0,Table1[[#This Row],[Std Nom]]-Table1[[#This Row],[Std Read]])</f>
        <v>0</v>
      </c>
      <c r="N327" s="1">
        <f>IF(Calculations!$F$5="ACCREDITED 17025 WITH UNCERTAINTIES",$N$10,0)</f>
        <v>0</v>
      </c>
      <c r="Q327" s="1">
        <f>Table1[[#This Row],[High Tol]]-Table1[[#This Row],[Low Tol]]</f>
        <v>0</v>
      </c>
      <c r="R327" s="1">
        <f>2*Table1[[#This Row],[Std Error]]</f>
        <v>0</v>
      </c>
      <c r="S327" s="1" t="str">
        <f>IF(Table1[[#This Row],[High Tol]]="","N/A",IFERROR(ABS(Table1[[#This Row],[Tol Span]]/Table1[[#This Row],[Error Span]]),"N/A"))</f>
        <v>N/A</v>
      </c>
      <c r="T327" s="1" t="str">
        <f>IF(OR(Table1[[#This Row],[Low Tol]]="",Table1[[#This Row],[High Tol]]=""),"Needs Analysis",IF(Table1[[#This Row],[Ratio]]&gt;=4,"Not Significant",IF(Table1[[#This Row],[Ratio]]&gt;=2,"Semi-Significant","Significant")))</f>
        <v>Needs Analysis</v>
      </c>
      <c r="W327" s="1">
        <f>IF(Table1[[#This Row],[Cal Type]]&lt;&gt;"ACCREDITED 17025 WITH UNCERTAINTIES",0,"")</f>
        <v>0</v>
      </c>
      <c r="X327" s="1" t="str">
        <f>IF(Table1[[#This Row],[DUT Read]]="","N/A",Table1[[#This Row],[Std Error]]+Table1[[#This Row],[DUT Read]]+Table1[[#This Row],[DUT Ucty]])</f>
        <v>N/A</v>
      </c>
      <c r="Y327" s="1" t="str">
        <f>IF(Table1[[#This Row],[Std Read]]="","N/A",Table1[[#This Row],[Std Read]]+Table1[[#This Row],[Std Ucty]])</f>
        <v>N/A</v>
      </c>
      <c r="Z3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7" s="1" t="str">
        <f>IF(Table1[[#This Row],[Spec Type]]="","N/A",Table1[[#This Row],[Spec Type]])</f>
        <v>±</v>
      </c>
      <c r="AC327" s="1" t="str">
        <f>IF(Table1[[#This Row],[Spec Type2]]="N/A","N/A",IF(AND(Table1[[#This Row],[DUT Adj Read]]&gt;=Table1[[#This Row],[Low Tol]],Table1[[#This Row],[DUT Adj Read]]&lt;=Table1[[#This Row],[High Tol]]),"Pass","Fail"))</f>
        <v>Fail</v>
      </c>
      <c r="AD327" s="1" t="str">
        <f>IF(AND(Table1[[#This Row],[Spec Type2]]="N/A",Table1[[#This Row],[DUT Adj Read]]="N/A",Table1[[#This Row],[Std Adj Read]]="N/A"),"N/A",IF(Table1[[#This Row],[DUT Adj Read]]="N/A",IF(Table1[[#This Row],[Std Adj Read]]&gt;Table1[[#This Row],[Low Tol]],"Pass","Fail"),IF(Table1[[#This Row],[DUT Adj Read]]&gt;Table1[[#This Row],[Low Tol]],"Pass","Fail")))</f>
        <v>Pass</v>
      </c>
      <c r="AE327" s="1" t="str">
        <f>IF(AND(Table1[[#This Row],[Spec Type2]]="N/A",Table1[[#This Row],[DUT Adj Read]]="N/A",Table1[[#This Row],[Std Adj Read]]="N/A"),"N/A",IF(Table1[[#This Row],[DUT Adj Read]]="N/A",IF(Table1[[#This Row],[Std Adj Read]]&lt;Table1[[#This Row],[High Tol]],"Pass","Fail"),IF(Table1[[#This Row],[DUT Adj Read]]&lt;Table1[[#This Row],[High Tol]],"Pass","Fail")))</f>
        <v>Fail</v>
      </c>
      <c r="AF327" s="1" t="str">
        <f>IF(AND(Table1[[#This Row],[Spec Type2]]="N/A",Table1[[#This Row],[DUT Adj Read]]="N/A",Table1[[#This Row],[Std Adj Read]]="N/A"),"N/A",IF(Table1[[#This Row],[DUT Adj Read]]="N/A",IF(Table1[[#This Row],[Std Adj Read]]&gt;=Table1[[#This Row],[Low Tol]],"Pass","Fail"),IF(Table1[[#This Row],[DUT Adj Read]]&gt;=Table1[[#This Row],[Low Tol]],"Pass","Fail")))</f>
        <v>Pass</v>
      </c>
      <c r="AG327" s="1" t="str">
        <f>IF(AND(Table1[[#This Row],[Spec Type2]]="N/A",Table1[[#This Row],[DUT Adj Read]]="N/A",Table1[[#This Row],[Std Adj Read]]="N/A"),"N/A",IF(Table1[[#This Row],[DUT Adj Read]]="N/A",IF(Table1[[#This Row],[Std Adj Read]]&lt;=Table1[[#This Row],[High Tol]],"Pass","Fail"),IF(Table1[[#This Row],[DUT Adj Read]]&lt;=Table1[[#This Row],[High Tol]],"Pass","Fail")))</f>
        <v>Fail</v>
      </c>
      <c r="AH3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7" s="1" t="b">
        <v>0</v>
      </c>
      <c r="AN327" s="1" t="b">
        <v>0</v>
      </c>
      <c r="AO327" s="1" t="b">
        <v>0</v>
      </c>
    </row>
    <row r="328" spans="1:41" x14ac:dyDescent="0.25">
      <c r="A328" s="10"/>
      <c r="B328" s="10"/>
      <c r="C328" s="10"/>
      <c r="D328" s="10"/>
      <c r="E328" s="10"/>
      <c r="F328" s="10"/>
      <c r="G328" s="10"/>
      <c r="H328" s="10"/>
      <c r="I328" s="1" t="str">
        <f t="shared" si="12"/>
        <v/>
      </c>
      <c r="J328" s="1" t="s">
        <v>35</v>
      </c>
      <c r="K328" s="1" t="str">
        <f t="shared" si="13"/>
        <v/>
      </c>
      <c r="L328" s="1" t="str">
        <f t="shared" si="14"/>
        <v/>
      </c>
      <c r="M328" s="1">
        <f>IF(OR(Table1[[#This Row],[Std Nom]]="",Table1[[#This Row],[Std Read]]=""),0,Table1[[#This Row],[Std Nom]]-Table1[[#This Row],[Std Read]])</f>
        <v>0</v>
      </c>
      <c r="N328" s="1">
        <f>IF(Calculations!$F$5="ACCREDITED 17025 WITH UNCERTAINTIES",$N$10,0)</f>
        <v>0</v>
      </c>
      <c r="Q328" s="1">
        <f>Table1[[#This Row],[High Tol]]-Table1[[#This Row],[Low Tol]]</f>
        <v>0</v>
      </c>
      <c r="R328" s="1">
        <f>2*Table1[[#This Row],[Std Error]]</f>
        <v>0</v>
      </c>
      <c r="S328" s="1" t="str">
        <f>IF(Table1[[#This Row],[High Tol]]="","N/A",IFERROR(ABS(Table1[[#This Row],[Tol Span]]/Table1[[#This Row],[Error Span]]),"N/A"))</f>
        <v>N/A</v>
      </c>
      <c r="T328" s="1" t="str">
        <f>IF(OR(Table1[[#This Row],[Low Tol]]="",Table1[[#This Row],[High Tol]]=""),"Needs Analysis",IF(Table1[[#This Row],[Ratio]]&gt;=4,"Not Significant",IF(Table1[[#This Row],[Ratio]]&gt;=2,"Semi-Significant","Significant")))</f>
        <v>Needs Analysis</v>
      </c>
      <c r="W328" s="1">
        <f>IF(Table1[[#This Row],[Cal Type]]&lt;&gt;"ACCREDITED 17025 WITH UNCERTAINTIES",0,"")</f>
        <v>0</v>
      </c>
      <c r="X328" s="1" t="str">
        <f>IF(Table1[[#This Row],[DUT Read]]="","N/A",Table1[[#This Row],[Std Error]]+Table1[[#This Row],[DUT Read]]+Table1[[#This Row],[DUT Ucty]])</f>
        <v>N/A</v>
      </c>
      <c r="Y328" s="1" t="str">
        <f>IF(Table1[[#This Row],[Std Read]]="","N/A",Table1[[#This Row],[Std Read]]+Table1[[#This Row],[Std Ucty]])</f>
        <v>N/A</v>
      </c>
      <c r="Z3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8" s="1" t="str">
        <f>IF(Table1[[#This Row],[Spec Type]]="","N/A",Table1[[#This Row],[Spec Type]])</f>
        <v>±</v>
      </c>
      <c r="AC328" s="1" t="str">
        <f>IF(Table1[[#This Row],[Spec Type2]]="N/A","N/A",IF(AND(Table1[[#This Row],[DUT Adj Read]]&gt;=Table1[[#This Row],[Low Tol]],Table1[[#This Row],[DUT Adj Read]]&lt;=Table1[[#This Row],[High Tol]]),"Pass","Fail"))</f>
        <v>Fail</v>
      </c>
      <c r="AD328" s="1" t="str">
        <f>IF(AND(Table1[[#This Row],[Spec Type2]]="N/A",Table1[[#This Row],[DUT Adj Read]]="N/A",Table1[[#This Row],[Std Adj Read]]="N/A"),"N/A",IF(Table1[[#This Row],[DUT Adj Read]]="N/A",IF(Table1[[#This Row],[Std Adj Read]]&gt;Table1[[#This Row],[Low Tol]],"Pass","Fail"),IF(Table1[[#This Row],[DUT Adj Read]]&gt;Table1[[#This Row],[Low Tol]],"Pass","Fail")))</f>
        <v>Pass</v>
      </c>
      <c r="AE328" s="1" t="str">
        <f>IF(AND(Table1[[#This Row],[Spec Type2]]="N/A",Table1[[#This Row],[DUT Adj Read]]="N/A",Table1[[#This Row],[Std Adj Read]]="N/A"),"N/A",IF(Table1[[#This Row],[DUT Adj Read]]="N/A",IF(Table1[[#This Row],[Std Adj Read]]&lt;Table1[[#This Row],[High Tol]],"Pass","Fail"),IF(Table1[[#This Row],[DUT Adj Read]]&lt;Table1[[#This Row],[High Tol]],"Pass","Fail")))</f>
        <v>Fail</v>
      </c>
      <c r="AF328" s="1" t="str">
        <f>IF(AND(Table1[[#This Row],[Spec Type2]]="N/A",Table1[[#This Row],[DUT Adj Read]]="N/A",Table1[[#This Row],[Std Adj Read]]="N/A"),"N/A",IF(Table1[[#This Row],[DUT Adj Read]]="N/A",IF(Table1[[#This Row],[Std Adj Read]]&gt;=Table1[[#This Row],[Low Tol]],"Pass","Fail"),IF(Table1[[#This Row],[DUT Adj Read]]&gt;=Table1[[#This Row],[Low Tol]],"Pass","Fail")))</f>
        <v>Pass</v>
      </c>
      <c r="AG328" s="1" t="str">
        <f>IF(AND(Table1[[#This Row],[Spec Type2]]="N/A",Table1[[#This Row],[DUT Adj Read]]="N/A",Table1[[#This Row],[Std Adj Read]]="N/A"),"N/A",IF(Table1[[#This Row],[DUT Adj Read]]="N/A",IF(Table1[[#This Row],[Std Adj Read]]&lt;=Table1[[#This Row],[High Tol]],"Pass","Fail"),IF(Table1[[#This Row],[DUT Adj Read]]&lt;=Table1[[#This Row],[High Tol]],"Pass","Fail")))</f>
        <v>Fail</v>
      </c>
      <c r="AH3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8" s="1" t="b">
        <v>0</v>
      </c>
      <c r="AN328" s="1" t="b">
        <v>0</v>
      </c>
      <c r="AO328" s="1" t="b">
        <v>0</v>
      </c>
    </row>
    <row r="329" spans="1:41" x14ac:dyDescent="0.25">
      <c r="A329" s="10"/>
      <c r="B329" s="10"/>
      <c r="C329" s="10"/>
      <c r="D329" s="10"/>
      <c r="E329" s="10"/>
      <c r="F329" s="10"/>
      <c r="G329" s="10"/>
      <c r="H329" s="10"/>
      <c r="I329" s="1" t="str">
        <f t="shared" si="12"/>
        <v/>
      </c>
      <c r="J329" s="1" t="s">
        <v>35</v>
      </c>
      <c r="K329" s="1" t="str">
        <f t="shared" si="13"/>
        <v/>
      </c>
      <c r="L329" s="1" t="str">
        <f t="shared" si="14"/>
        <v/>
      </c>
      <c r="M329" s="1">
        <f>IF(OR(Table1[[#This Row],[Std Nom]]="",Table1[[#This Row],[Std Read]]=""),0,Table1[[#This Row],[Std Nom]]-Table1[[#This Row],[Std Read]])</f>
        <v>0</v>
      </c>
      <c r="N329" s="1">
        <f>IF(Calculations!$F$5="ACCREDITED 17025 WITH UNCERTAINTIES",$N$10,0)</f>
        <v>0</v>
      </c>
      <c r="Q329" s="1">
        <f>Table1[[#This Row],[High Tol]]-Table1[[#This Row],[Low Tol]]</f>
        <v>0</v>
      </c>
      <c r="R329" s="1">
        <f>2*Table1[[#This Row],[Std Error]]</f>
        <v>0</v>
      </c>
      <c r="S329" s="1" t="str">
        <f>IF(Table1[[#This Row],[High Tol]]="","N/A",IFERROR(ABS(Table1[[#This Row],[Tol Span]]/Table1[[#This Row],[Error Span]]),"N/A"))</f>
        <v>N/A</v>
      </c>
      <c r="T329" s="1" t="str">
        <f>IF(OR(Table1[[#This Row],[Low Tol]]="",Table1[[#This Row],[High Tol]]=""),"Needs Analysis",IF(Table1[[#This Row],[Ratio]]&gt;=4,"Not Significant",IF(Table1[[#This Row],[Ratio]]&gt;=2,"Semi-Significant","Significant")))</f>
        <v>Needs Analysis</v>
      </c>
      <c r="W329" s="1">
        <f>IF(Table1[[#This Row],[Cal Type]]&lt;&gt;"ACCREDITED 17025 WITH UNCERTAINTIES",0,"")</f>
        <v>0</v>
      </c>
      <c r="X329" s="1" t="str">
        <f>IF(Table1[[#This Row],[DUT Read]]="","N/A",Table1[[#This Row],[Std Error]]+Table1[[#This Row],[DUT Read]]+Table1[[#This Row],[DUT Ucty]])</f>
        <v>N/A</v>
      </c>
      <c r="Y329" s="1" t="str">
        <f>IF(Table1[[#This Row],[Std Read]]="","N/A",Table1[[#This Row],[Std Read]]+Table1[[#This Row],[Std Ucty]])</f>
        <v>N/A</v>
      </c>
      <c r="Z3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29" s="1" t="str">
        <f>IF(Table1[[#This Row],[Spec Type]]="","N/A",Table1[[#This Row],[Spec Type]])</f>
        <v>±</v>
      </c>
      <c r="AC329" s="1" t="str">
        <f>IF(Table1[[#This Row],[Spec Type2]]="N/A","N/A",IF(AND(Table1[[#This Row],[DUT Adj Read]]&gt;=Table1[[#This Row],[Low Tol]],Table1[[#This Row],[DUT Adj Read]]&lt;=Table1[[#This Row],[High Tol]]),"Pass","Fail"))</f>
        <v>Fail</v>
      </c>
      <c r="AD329" s="1" t="str">
        <f>IF(AND(Table1[[#This Row],[Spec Type2]]="N/A",Table1[[#This Row],[DUT Adj Read]]="N/A",Table1[[#This Row],[Std Adj Read]]="N/A"),"N/A",IF(Table1[[#This Row],[DUT Adj Read]]="N/A",IF(Table1[[#This Row],[Std Adj Read]]&gt;Table1[[#This Row],[Low Tol]],"Pass","Fail"),IF(Table1[[#This Row],[DUT Adj Read]]&gt;Table1[[#This Row],[Low Tol]],"Pass","Fail")))</f>
        <v>Pass</v>
      </c>
      <c r="AE329" s="1" t="str">
        <f>IF(AND(Table1[[#This Row],[Spec Type2]]="N/A",Table1[[#This Row],[DUT Adj Read]]="N/A",Table1[[#This Row],[Std Adj Read]]="N/A"),"N/A",IF(Table1[[#This Row],[DUT Adj Read]]="N/A",IF(Table1[[#This Row],[Std Adj Read]]&lt;Table1[[#This Row],[High Tol]],"Pass","Fail"),IF(Table1[[#This Row],[DUT Adj Read]]&lt;Table1[[#This Row],[High Tol]],"Pass","Fail")))</f>
        <v>Fail</v>
      </c>
      <c r="AF329" s="1" t="str">
        <f>IF(AND(Table1[[#This Row],[Spec Type2]]="N/A",Table1[[#This Row],[DUT Adj Read]]="N/A",Table1[[#This Row],[Std Adj Read]]="N/A"),"N/A",IF(Table1[[#This Row],[DUT Adj Read]]="N/A",IF(Table1[[#This Row],[Std Adj Read]]&gt;=Table1[[#This Row],[Low Tol]],"Pass","Fail"),IF(Table1[[#This Row],[DUT Adj Read]]&gt;=Table1[[#This Row],[Low Tol]],"Pass","Fail")))</f>
        <v>Pass</v>
      </c>
      <c r="AG329" s="1" t="str">
        <f>IF(AND(Table1[[#This Row],[Spec Type2]]="N/A",Table1[[#This Row],[DUT Adj Read]]="N/A",Table1[[#This Row],[Std Adj Read]]="N/A"),"N/A",IF(Table1[[#This Row],[DUT Adj Read]]="N/A",IF(Table1[[#This Row],[Std Adj Read]]&lt;=Table1[[#This Row],[High Tol]],"Pass","Fail"),IF(Table1[[#This Row],[DUT Adj Read]]&lt;=Table1[[#This Row],[High Tol]],"Pass","Fail")))</f>
        <v>Fail</v>
      </c>
      <c r="AH3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29" s="1" t="b">
        <v>0</v>
      </c>
      <c r="AN329" s="1" t="b">
        <v>0</v>
      </c>
      <c r="AO329" s="1" t="b">
        <v>0</v>
      </c>
    </row>
    <row r="330" spans="1:41" x14ac:dyDescent="0.25">
      <c r="A330" s="10"/>
      <c r="B330" s="10"/>
      <c r="C330" s="10"/>
      <c r="D330" s="10"/>
      <c r="E330" s="10"/>
      <c r="F330" s="10"/>
      <c r="G330" s="10"/>
      <c r="H330" s="10"/>
      <c r="I330" s="1" t="str">
        <f t="shared" si="12"/>
        <v/>
      </c>
      <c r="J330" s="1" t="s">
        <v>35</v>
      </c>
      <c r="K330" s="1" t="str">
        <f t="shared" si="13"/>
        <v/>
      </c>
      <c r="L330" s="1" t="str">
        <f t="shared" si="14"/>
        <v/>
      </c>
      <c r="M330" s="1">
        <f>IF(OR(Table1[[#This Row],[Std Nom]]="",Table1[[#This Row],[Std Read]]=""),0,Table1[[#This Row],[Std Nom]]-Table1[[#This Row],[Std Read]])</f>
        <v>0</v>
      </c>
      <c r="N330" s="1">
        <f>IF(Calculations!$F$5="ACCREDITED 17025 WITH UNCERTAINTIES",$N$10,0)</f>
        <v>0</v>
      </c>
      <c r="Q330" s="1">
        <f>Table1[[#This Row],[High Tol]]-Table1[[#This Row],[Low Tol]]</f>
        <v>0</v>
      </c>
      <c r="R330" s="1">
        <f>2*Table1[[#This Row],[Std Error]]</f>
        <v>0</v>
      </c>
      <c r="S330" s="1" t="str">
        <f>IF(Table1[[#This Row],[High Tol]]="","N/A",IFERROR(ABS(Table1[[#This Row],[Tol Span]]/Table1[[#This Row],[Error Span]]),"N/A"))</f>
        <v>N/A</v>
      </c>
      <c r="T330" s="1" t="str">
        <f>IF(OR(Table1[[#This Row],[Low Tol]]="",Table1[[#This Row],[High Tol]]=""),"Needs Analysis",IF(Table1[[#This Row],[Ratio]]&gt;=4,"Not Significant",IF(Table1[[#This Row],[Ratio]]&gt;=2,"Semi-Significant","Significant")))</f>
        <v>Needs Analysis</v>
      </c>
      <c r="W330" s="1">
        <f>IF(Table1[[#This Row],[Cal Type]]&lt;&gt;"ACCREDITED 17025 WITH UNCERTAINTIES",0,"")</f>
        <v>0</v>
      </c>
      <c r="X330" s="1" t="str">
        <f>IF(Table1[[#This Row],[DUT Read]]="","N/A",Table1[[#This Row],[Std Error]]+Table1[[#This Row],[DUT Read]]+Table1[[#This Row],[DUT Ucty]])</f>
        <v>N/A</v>
      </c>
      <c r="Y330" s="1" t="str">
        <f>IF(Table1[[#This Row],[Std Read]]="","N/A",Table1[[#This Row],[Std Read]]+Table1[[#This Row],[Std Ucty]])</f>
        <v>N/A</v>
      </c>
      <c r="Z3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0" s="1" t="str">
        <f>IF(Table1[[#This Row],[Spec Type]]="","N/A",Table1[[#This Row],[Spec Type]])</f>
        <v>±</v>
      </c>
      <c r="AC330" s="1" t="str">
        <f>IF(Table1[[#This Row],[Spec Type2]]="N/A","N/A",IF(AND(Table1[[#This Row],[DUT Adj Read]]&gt;=Table1[[#This Row],[Low Tol]],Table1[[#This Row],[DUT Adj Read]]&lt;=Table1[[#This Row],[High Tol]]),"Pass","Fail"))</f>
        <v>Fail</v>
      </c>
      <c r="AD330" s="1" t="str">
        <f>IF(AND(Table1[[#This Row],[Spec Type2]]="N/A",Table1[[#This Row],[DUT Adj Read]]="N/A",Table1[[#This Row],[Std Adj Read]]="N/A"),"N/A",IF(Table1[[#This Row],[DUT Adj Read]]="N/A",IF(Table1[[#This Row],[Std Adj Read]]&gt;Table1[[#This Row],[Low Tol]],"Pass","Fail"),IF(Table1[[#This Row],[DUT Adj Read]]&gt;Table1[[#This Row],[Low Tol]],"Pass","Fail")))</f>
        <v>Pass</v>
      </c>
      <c r="AE330" s="1" t="str">
        <f>IF(AND(Table1[[#This Row],[Spec Type2]]="N/A",Table1[[#This Row],[DUT Adj Read]]="N/A",Table1[[#This Row],[Std Adj Read]]="N/A"),"N/A",IF(Table1[[#This Row],[DUT Adj Read]]="N/A",IF(Table1[[#This Row],[Std Adj Read]]&lt;Table1[[#This Row],[High Tol]],"Pass","Fail"),IF(Table1[[#This Row],[DUT Adj Read]]&lt;Table1[[#This Row],[High Tol]],"Pass","Fail")))</f>
        <v>Fail</v>
      </c>
      <c r="AF330" s="1" t="str">
        <f>IF(AND(Table1[[#This Row],[Spec Type2]]="N/A",Table1[[#This Row],[DUT Adj Read]]="N/A",Table1[[#This Row],[Std Adj Read]]="N/A"),"N/A",IF(Table1[[#This Row],[DUT Adj Read]]="N/A",IF(Table1[[#This Row],[Std Adj Read]]&gt;=Table1[[#This Row],[Low Tol]],"Pass","Fail"),IF(Table1[[#This Row],[DUT Adj Read]]&gt;=Table1[[#This Row],[Low Tol]],"Pass","Fail")))</f>
        <v>Pass</v>
      </c>
      <c r="AG330" s="1" t="str">
        <f>IF(AND(Table1[[#This Row],[Spec Type2]]="N/A",Table1[[#This Row],[DUT Adj Read]]="N/A",Table1[[#This Row],[Std Adj Read]]="N/A"),"N/A",IF(Table1[[#This Row],[DUT Adj Read]]="N/A",IF(Table1[[#This Row],[Std Adj Read]]&lt;=Table1[[#This Row],[High Tol]],"Pass","Fail"),IF(Table1[[#This Row],[DUT Adj Read]]&lt;=Table1[[#This Row],[High Tol]],"Pass","Fail")))</f>
        <v>Fail</v>
      </c>
      <c r="AH3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0" s="1" t="b">
        <v>0</v>
      </c>
      <c r="AN330" s="1" t="b">
        <v>0</v>
      </c>
      <c r="AO330" s="1" t="b">
        <v>0</v>
      </c>
    </row>
    <row r="331" spans="1:41" x14ac:dyDescent="0.25">
      <c r="A331" s="10"/>
      <c r="B331" s="10"/>
      <c r="C331" s="10"/>
      <c r="D331" s="10"/>
      <c r="E331" s="10"/>
      <c r="F331" s="10"/>
      <c r="G331" s="10"/>
      <c r="H331" s="10"/>
      <c r="I331" s="1" t="str">
        <f t="shared" ref="I331:I394" si="15">IF($I$10="","",$I$10)</f>
        <v/>
      </c>
      <c r="J331" s="1" t="s">
        <v>35</v>
      </c>
      <c r="K331" s="1" t="str">
        <f t="shared" ref="K331:K394" si="16">IF($K$10="","",$K$10)</f>
        <v/>
      </c>
      <c r="L331" s="1" t="str">
        <f t="shared" ref="L331:L394" si="17">IF($L$10="","",$L$10)</f>
        <v/>
      </c>
      <c r="M331" s="1">
        <f>IF(OR(Table1[[#This Row],[Std Nom]]="",Table1[[#This Row],[Std Read]]=""),0,Table1[[#This Row],[Std Nom]]-Table1[[#This Row],[Std Read]])</f>
        <v>0</v>
      </c>
      <c r="N331" s="1">
        <f>IF(Calculations!$F$5="ACCREDITED 17025 WITH UNCERTAINTIES",$N$10,0)</f>
        <v>0</v>
      </c>
      <c r="Q331" s="1">
        <f>Table1[[#This Row],[High Tol]]-Table1[[#This Row],[Low Tol]]</f>
        <v>0</v>
      </c>
      <c r="R331" s="1">
        <f>2*Table1[[#This Row],[Std Error]]</f>
        <v>0</v>
      </c>
      <c r="S331" s="1" t="str">
        <f>IF(Table1[[#This Row],[High Tol]]="","N/A",IFERROR(ABS(Table1[[#This Row],[Tol Span]]/Table1[[#This Row],[Error Span]]),"N/A"))</f>
        <v>N/A</v>
      </c>
      <c r="T331" s="1" t="str">
        <f>IF(OR(Table1[[#This Row],[Low Tol]]="",Table1[[#This Row],[High Tol]]=""),"Needs Analysis",IF(Table1[[#This Row],[Ratio]]&gt;=4,"Not Significant",IF(Table1[[#This Row],[Ratio]]&gt;=2,"Semi-Significant","Significant")))</f>
        <v>Needs Analysis</v>
      </c>
      <c r="W331" s="1">
        <f>IF(Table1[[#This Row],[Cal Type]]&lt;&gt;"ACCREDITED 17025 WITH UNCERTAINTIES",0,"")</f>
        <v>0</v>
      </c>
      <c r="X331" s="1" t="str">
        <f>IF(Table1[[#This Row],[DUT Read]]="","N/A",Table1[[#This Row],[Std Error]]+Table1[[#This Row],[DUT Read]]+Table1[[#This Row],[DUT Ucty]])</f>
        <v>N/A</v>
      </c>
      <c r="Y331" s="1" t="str">
        <f>IF(Table1[[#This Row],[Std Read]]="","N/A",Table1[[#This Row],[Std Read]]+Table1[[#This Row],[Std Ucty]])</f>
        <v>N/A</v>
      </c>
      <c r="Z3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1" s="1" t="str">
        <f>IF(Table1[[#This Row],[Spec Type]]="","N/A",Table1[[#This Row],[Spec Type]])</f>
        <v>±</v>
      </c>
      <c r="AC331" s="1" t="str">
        <f>IF(Table1[[#This Row],[Spec Type2]]="N/A","N/A",IF(AND(Table1[[#This Row],[DUT Adj Read]]&gt;=Table1[[#This Row],[Low Tol]],Table1[[#This Row],[DUT Adj Read]]&lt;=Table1[[#This Row],[High Tol]]),"Pass","Fail"))</f>
        <v>Fail</v>
      </c>
      <c r="AD331" s="1" t="str">
        <f>IF(AND(Table1[[#This Row],[Spec Type2]]="N/A",Table1[[#This Row],[DUT Adj Read]]="N/A",Table1[[#This Row],[Std Adj Read]]="N/A"),"N/A",IF(Table1[[#This Row],[DUT Adj Read]]="N/A",IF(Table1[[#This Row],[Std Adj Read]]&gt;Table1[[#This Row],[Low Tol]],"Pass","Fail"),IF(Table1[[#This Row],[DUT Adj Read]]&gt;Table1[[#This Row],[Low Tol]],"Pass","Fail")))</f>
        <v>Pass</v>
      </c>
      <c r="AE331" s="1" t="str">
        <f>IF(AND(Table1[[#This Row],[Spec Type2]]="N/A",Table1[[#This Row],[DUT Adj Read]]="N/A",Table1[[#This Row],[Std Adj Read]]="N/A"),"N/A",IF(Table1[[#This Row],[DUT Adj Read]]="N/A",IF(Table1[[#This Row],[Std Adj Read]]&lt;Table1[[#This Row],[High Tol]],"Pass","Fail"),IF(Table1[[#This Row],[DUT Adj Read]]&lt;Table1[[#This Row],[High Tol]],"Pass","Fail")))</f>
        <v>Fail</v>
      </c>
      <c r="AF331" s="1" t="str">
        <f>IF(AND(Table1[[#This Row],[Spec Type2]]="N/A",Table1[[#This Row],[DUT Adj Read]]="N/A",Table1[[#This Row],[Std Adj Read]]="N/A"),"N/A",IF(Table1[[#This Row],[DUT Adj Read]]="N/A",IF(Table1[[#This Row],[Std Adj Read]]&gt;=Table1[[#This Row],[Low Tol]],"Pass","Fail"),IF(Table1[[#This Row],[DUT Adj Read]]&gt;=Table1[[#This Row],[Low Tol]],"Pass","Fail")))</f>
        <v>Pass</v>
      </c>
      <c r="AG331" s="1" t="str">
        <f>IF(AND(Table1[[#This Row],[Spec Type2]]="N/A",Table1[[#This Row],[DUT Adj Read]]="N/A",Table1[[#This Row],[Std Adj Read]]="N/A"),"N/A",IF(Table1[[#This Row],[DUT Adj Read]]="N/A",IF(Table1[[#This Row],[Std Adj Read]]&lt;=Table1[[#This Row],[High Tol]],"Pass","Fail"),IF(Table1[[#This Row],[DUT Adj Read]]&lt;=Table1[[#This Row],[High Tol]],"Pass","Fail")))</f>
        <v>Fail</v>
      </c>
      <c r="AH3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1" s="1" t="b">
        <v>0</v>
      </c>
      <c r="AN331" s="1" t="b">
        <v>0</v>
      </c>
      <c r="AO331" s="1" t="b">
        <v>0</v>
      </c>
    </row>
    <row r="332" spans="1:41" x14ac:dyDescent="0.25">
      <c r="A332" s="10"/>
      <c r="B332" s="10"/>
      <c r="C332" s="10"/>
      <c r="D332" s="10"/>
      <c r="E332" s="10"/>
      <c r="F332" s="10"/>
      <c r="G332" s="10"/>
      <c r="H332" s="10"/>
      <c r="I332" s="1" t="str">
        <f t="shared" si="15"/>
        <v/>
      </c>
      <c r="J332" s="1" t="s">
        <v>35</v>
      </c>
      <c r="K332" s="1" t="str">
        <f t="shared" si="16"/>
        <v/>
      </c>
      <c r="L332" s="1" t="str">
        <f t="shared" si="17"/>
        <v/>
      </c>
      <c r="M332" s="1">
        <f>IF(OR(Table1[[#This Row],[Std Nom]]="",Table1[[#This Row],[Std Read]]=""),0,Table1[[#This Row],[Std Nom]]-Table1[[#This Row],[Std Read]])</f>
        <v>0</v>
      </c>
      <c r="N332" s="1">
        <f>IF(Calculations!$F$5="ACCREDITED 17025 WITH UNCERTAINTIES",$N$10,0)</f>
        <v>0</v>
      </c>
      <c r="Q332" s="1">
        <f>Table1[[#This Row],[High Tol]]-Table1[[#This Row],[Low Tol]]</f>
        <v>0</v>
      </c>
      <c r="R332" s="1">
        <f>2*Table1[[#This Row],[Std Error]]</f>
        <v>0</v>
      </c>
      <c r="S332" s="1" t="str">
        <f>IF(Table1[[#This Row],[High Tol]]="","N/A",IFERROR(ABS(Table1[[#This Row],[Tol Span]]/Table1[[#This Row],[Error Span]]),"N/A"))</f>
        <v>N/A</v>
      </c>
      <c r="T332" s="1" t="str">
        <f>IF(OR(Table1[[#This Row],[Low Tol]]="",Table1[[#This Row],[High Tol]]=""),"Needs Analysis",IF(Table1[[#This Row],[Ratio]]&gt;=4,"Not Significant",IF(Table1[[#This Row],[Ratio]]&gt;=2,"Semi-Significant","Significant")))</f>
        <v>Needs Analysis</v>
      </c>
      <c r="W332" s="1">
        <f>IF(Table1[[#This Row],[Cal Type]]&lt;&gt;"ACCREDITED 17025 WITH UNCERTAINTIES",0,"")</f>
        <v>0</v>
      </c>
      <c r="X332" s="1" t="str">
        <f>IF(Table1[[#This Row],[DUT Read]]="","N/A",Table1[[#This Row],[Std Error]]+Table1[[#This Row],[DUT Read]]+Table1[[#This Row],[DUT Ucty]])</f>
        <v>N/A</v>
      </c>
      <c r="Y332" s="1" t="str">
        <f>IF(Table1[[#This Row],[Std Read]]="","N/A",Table1[[#This Row],[Std Read]]+Table1[[#This Row],[Std Ucty]])</f>
        <v>N/A</v>
      </c>
      <c r="Z3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2" s="1" t="str">
        <f>IF(Table1[[#This Row],[Spec Type]]="","N/A",Table1[[#This Row],[Spec Type]])</f>
        <v>±</v>
      </c>
      <c r="AC332" s="1" t="str">
        <f>IF(Table1[[#This Row],[Spec Type2]]="N/A","N/A",IF(AND(Table1[[#This Row],[DUT Adj Read]]&gt;=Table1[[#This Row],[Low Tol]],Table1[[#This Row],[DUT Adj Read]]&lt;=Table1[[#This Row],[High Tol]]),"Pass","Fail"))</f>
        <v>Fail</v>
      </c>
      <c r="AD332" s="1" t="str">
        <f>IF(AND(Table1[[#This Row],[Spec Type2]]="N/A",Table1[[#This Row],[DUT Adj Read]]="N/A",Table1[[#This Row],[Std Adj Read]]="N/A"),"N/A",IF(Table1[[#This Row],[DUT Adj Read]]="N/A",IF(Table1[[#This Row],[Std Adj Read]]&gt;Table1[[#This Row],[Low Tol]],"Pass","Fail"),IF(Table1[[#This Row],[DUT Adj Read]]&gt;Table1[[#This Row],[Low Tol]],"Pass","Fail")))</f>
        <v>Pass</v>
      </c>
      <c r="AE332" s="1" t="str">
        <f>IF(AND(Table1[[#This Row],[Spec Type2]]="N/A",Table1[[#This Row],[DUT Adj Read]]="N/A",Table1[[#This Row],[Std Adj Read]]="N/A"),"N/A",IF(Table1[[#This Row],[DUT Adj Read]]="N/A",IF(Table1[[#This Row],[Std Adj Read]]&lt;Table1[[#This Row],[High Tol]],"Pass","Fail"),IF(Table1[[#This Row],[DUT Adj Read]]&lt;Table1[[#This Row],[High Tol]],"Pass","Fail")))</f>
        <v>Fail</v>
      </c>
      <c r="AF332" s="1" t="str">
        <f>IF(AND(Table1[[#This Row],[Spec Type2]]="N/A",Table1[[#This Row],[DUT Adj Read]]="N/A",Table1[[#This Row],[Std Adj Read]]="N/A"),"N/A",IF(Table1[[#This Row],[DUT Adj Read]]="N/A",IF(Table1[[#This Row],[Std Adj Read]]&gt;=Table1[[#This Row],[Low Tol]],"Pass","Fail"),IF(Table1[[#This Row],[DUT Adj Read]]&gt;=Table1[[#This Row],[Low Tol]],"Pass","Fail")))</f>
        <v>Pass</v>
      </c>
      <c r="AG332" s="1" t="str">
        <f>IF(AND(Table1[[#This Row],[Spec Type2]]="N/A",Table1[[#This Row],[DUT Adj Read]]="N/A",Table1[[#This Row],[Std Adj Read]]="N/A"),"N/A",IF(Table1[[#This Row],[DUT Adj Read]]="N/A",IF(Table1[[#This Row],[Std Adj Read]]&lt;=Table1[[#This Row],[High Tol]],"Pass","Fail"),IF(Table1[[#This Row],[DUT Adj Read]]&lt;=Table1[[#This Row],[High Tol]],"Pass","Fail")))</f>
        <v>Fail</v>
      </c>
      <c r="AH3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2" s="1" t="b">
        <v>0</v>
      </c>
      <c r="AN332" s="1" t="b">
        <v>0</v>
      </c>
      <c r="AO332" s="1" t="b">
        <v>0</v>
      </c>
    </row>
    <row r="333" spans="1:41" x14ac:dyDescent="0.25">
      <c r="A333" s="10"/>
      <c r="B333" s="10"/>
      <c r="C333" s="10"/>
      <c r="D333" s="10"/>
      <c r="E333" s="10"/>
      <c r="F333" s="10"/>
      <c r="G333" s="10"/>
      <c r="H333" s="10"/>
      <c r="I333" s="1" t="str">
        <f t="shared" si="15"/>
        <v/>
      </c>
      <c r="J333" s="1" t="s">
        <v>35</v>
      </c>
      <c r="K333" s="1" t="str">
        <f t="shared" si="16"/>
        <v/>
      </c>
      <c r="L333" s="1" t="str">
        <f t="shared" si="17"/>
        <v/>
      </c>
      <c r="M333" s="1">
        <f>IF(OR(Table1[[#This Row],[Std Nom]]="",Table1[[#This Row],[Std Read]]=""),0,Table1[[#This Row],[Std Nom]]-Table1[[#This Row],[Std Read]])</f>
        <v>0</v>
      </c>
      <c r="N333" s="1">
        <f>IF(Calculations!$F$5="ACCREDITED 17025 WITH UNCERTAINTIES",$N$10,0)</f>
        <v>0</v>
      </c>
      <c r="Q333" s="1">
        <f>Table1[[#This Row],[High Tol]]-Table1[[#This Row],[Low Tol]]</f>
        <v>0</v>
      </c>
      <c r="R333" s="1">
        <f>2*Table1[[#This Row],[Std Error]]</f>
        <v>0</v>
      </c>
      <c r="S333" s="1" t="str">
        <f>IF(Table1[[#This Row],[High Tol]]="","N/A",IFERROR(ABS(Table1[[#This Row],[Tol Span]]/Table1[[#This Row],[Error Span]]),"N/A"))</f>
        <v>N/A</v>
      </c>
      <c r="T333" s="1" t="str">
        <f>IF(OR(Table1[[#This Row],[Low Tol]]="",Table1[[#This Row],[High Tol]]=""),"Needs Analysis",IF(Table1[[#This Row],[Ratio]]&gt;=4,"Not Significant",IF(Table1[[#This Row],[Ratio]]&gt;=2,"Semi-Significant","Significant")))</f>
        <v>Needs Analysis</v>
      </c>
      <c r="W333" s="1">
        <f>IF(Table1[[#This Row],[Cal Type]]&lt;&gt;"ACCREDITED 17025 WITH UNCERTAINTIES",0,"")</f>
        <v>0</v>
      </c>
      <c r="X333" s="1" t="str">
        <f>IF(Table1[[#This Row],[DUT Read]]="","N/A",Table1[[#This Row],[Std Error]]+Table1[[#This Row],[DUT Read]]+Table1[[#This Row],[DUT Ucty]])</f>
        <v>N/A</v>
      </c>
      <c r="Y333" s="1" t="str">
        <f>IF(Table1[[#This Row],[Std Read]]="","N/A",Table1[[#This Row],[Std Read]]+Table1[[#This Row],[Std Ucty]])</f>
        <v>N/A</v>
      </c>
      <c r="Z3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3" s="1" t="str">
        <f>IF(Table1[[#This Row],[Spec Type]]="","N/A",Table1[[#This Row],[Spec Type]])</f>
        <v>±</v>
      </c>
      <c r="AC333" s="1" t="str">
        <f>IF(Table1[[#This Row],[Spec Type2]]="N/A","N/A",IF(AND(Table1[[#This Row],[DUT Adj Read]]&gt;=Table1[[#This Row],[Low Tol]],Table1[[#This Row],[DUT Adj Read]]&lt;=Table1[[#This Row],[High Tol]]),"Pass","Fail"))</f>
        <v>Fail</v>
      </c>
      <c r="AD333" s="1" t="str">
        <f>IF(AND(Table1[[#This Row],[Spec Type2]]="N/A",Table1[[#This Row],[DUT Adj Read]]="N/A",Table1[[#This Row],[Std Adj Read]]="N/A"),"N/A",IF(Table1[[#This Row],[DUT Adj Read]]="N/A",IF(Table1[[#This Row],[Std Adj Read]]&gt;Table1[[#This Row],[Low Tol]],"Pass","Fail"),IF(Table1[[#This Row],[DUT Adj Read]]&gt;Table1[[#This Row],[Low Tol]],"Pass","Fail")))</f>
        <v>Pass</v>
      </c>
      <c r="AE333" s="1" t="str">
        <f>IF(AND(Table1[[#This Row],[Spec Type2]]="N/A",Table1[[#This Row],[DUT Adj Read]]="N/A",Table1[[#This Row],[Std Adj Read]]="N/A"),"N/A",IF(Table1[[#This Row],[DUT Adj Read]]="N/A",IF(Table1[[#This Row],[Std Adj Read]]&lt;Table1[[#This Row],[High Tol]],"Pass","Fail"),IF(Table1[[#This Row],[DUT Adj Read]]&lt;Table1[[#This Row],[High Tol]],"Pass","Fail")))</f>
        <v>Fail</v>
      </c>
      <c r="AF333" s="1" t="str">
        <f>IF(AND(Table1[[#This Row],[Spec Type2]]="N/A",Table1[[#This Row],[DUT Adj Read]]="N/A",Table1[[#This Row],[Std Adj Read]]="N/A"),"N/A",IF(Table1[[#This Row],[DUT Adj Read]]="N/A",IF(Table1[[#This Row],[Std Adj Read]]&gt;=Table1[[#This Row],[Low Tol]],"Pass","Fail"),IF(Table1[[#This Row],[DUT Adj Read]]&gt;=Table1[[#This Row],[Low Tol]],"Pass","Fail")))</f>
        <v>Pass</v>
      </c>
      <c r="AG333" s="1" t="str">
        <f>IF(AND(Table1[[#This Row],[Spec Type2]]="N/A",Table1[[#This Row],[DUT Adj Read]]="N/A",Table1[[#This Row],[Std Adj Read]]="N/A"),"N/A",IF(Table1[[#This Row],[DUT Adj Read]]="N/A",IF(Table1[[#This Row],[Std Adj Read]]&lt;=Table1[[#This Row],[High Tol]],"Pass","Fail"),IF(Table1[[#This Row],[DUT Adj Read]]&lt;=Table1[[#This Row],[High Tol]],"Pass","Fail")))</f>
        <v>Fail</v>
      </c>
      <c r="AH3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3" s="1" t="b">
        <v>0</v>
      </c>
      <c r="AN333" s="1" t="b">
        <v>0</v>
      </c>
      <c r="AO333" s="1" t="b">
        <v>0</v>
      </c>
    </row>
    <row r="334" spans="1:41" x14ac:dyDescent="0.25">
      <c r="A334" s="10"/>
      <c r="B334" s="10"/>
      <c r="C334" s="10"/>
      <c r="D334" s="10"/>
      <c r="E334" s="10"/>
      <c r="F334" s="10"/>
      <c r="G334" s="10"/>
      <c r="H334" s="10"/>
      <c r="I334" s="1" t="str">
        <f t="shared" si="15"/>
        <v/>
      </c>
      <c r="J334" s="1" t="s">
        <v>35</v>
      </c>
      <c r="K334" s="1" t="str">
        <f t="shared" si="16"/>
        <v/>
      </c>
      <c r="L334" s="1" t="str">
        <f t="shared" si="17"/>
        <v/>
      </c>
      <c r="M334" s="1">
        <f>IF(OR(Table1[[#This Row],[Std Nom]]="",Table1[[#This Row],[Std Read]]=""),0,Table1[[#This Row],[Std Nom]]-Table1[[#This Row],[Std Read]])</f>
        <v>0</v>
      </c>
      <c r="N334" s="1">
        <f>IF(Calculations!$F$5="ACCREDITED 17025 WITH UNCERTAINTIES",$N$10,0)</f>
        <v>0</v>
      </c>
      <c r="Q334" s="1">
        <f>Table1[[#This Row],[High Tol]]-Table1[[#This Row],[Low Tol]]</f>
        <v>0</v>
      </c>
      <c r="R334" s="1">
        <f>2*Table1[[#This Row],[Std Error]]</f>
        <v>0</v>
      </c>
      <c r="S334" s="1" t="str">
        <f>IF(Table1[[#This Row],[High Tol]]="","N/A",IFERROR(ABS(Table1[[#This Row],[Tol Span]]/Table1[[#This Row],[Error Span]]),"N/A"))</f>
        <v>N/A</v>
      </c>
      <c r="T334" s="1" t="str">
        <f>IF(OR(Table1[[#This Row],[Low Tol]]="",Table1[[#This Row],[High Tol]]=""),"Needs Analysis",IF(Table1[[#This Row],[Ratio]]&gt;=4,"Not Significant",IF(Table1[[#This Row],[Ratio]]&gt;=2,"Semi-Significant","Significant")))</f>
        <v>Needs Analysis</v>
      </c>
      <c r="W334" s="1">
        <f>IF(Table1[[#This Row],[Cal Type]]&lt;&gt;"ACCREDITED 17025 WITH UNCERTAINTIES",0,"")</f>
        <v>0</v>
      </c>
      <c r="X334" s="1" t="str">
        <f>IF(Table1[[#This Row],[DUT Read]]="","N/A",Table1[[#This Row],[Std Error]]+Table1[[#This Row],[DUT Read]]+Table1[[#This Row],[DUT Ucty]])</f>
        <v>N/A</v>
      </c>
      <c r="Y334" s="1" t="str">
        <f>IF(Table1[[#This Row],[Std Read]]="","N/A",Table1[[#This Row],[Std Read]]+Table1[[#This Row],[Std Ucty]])</f>
        <v>N/A</v>
      </c>
      <c r="Z3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4" s="1" t="str">
        <f>IF(Table1[[#This Row],[Spec Type]]="","N/A",Table1[[#This Row],[Spec Type]])</f>
        <v>±</v>
      </c>
      <c r="AC334" s="1" t="str">
        <f>IF(Table1[[#This Row],[Spec Type2]]="N/A","N/A",IF(AND(Table1[[#This Row],[DUT Adj Read]]&gt;=Table1[[#This Row],[Low Tol]],Table1[[#This Row],[DUT Adj Read]]&lt;=Table1[[#This Row],[High Tol]]),"Pass","Fail"))</f>
        <v>Fail</v>
      </c>
      <c r="AD334" s="1" t="str">
        <f>IF(AND(Table1[[#This Row],[Spec Type2]]="N/A",Table1[[#This Row],[DUT Adj Read]]="N/A",Table1[[#This Row],[Std Adj Read]]="N/A"),"N/A",IF(Table1[[#This Row],[DUT Adj Read]]="N/A",IF(Table1[[#This Row],[Std Adj Read]]&gt;Table1[[#This Row],[Low Tol]],"Pass","Fail"),IF(Table1[[#This Row],[DUT Adj Read]]&gt;Table1[[#This Row],[Low Tol]],"Pass","Fail")))</f>
        <v>Pass</v>
      </c>
      <c r="AE334" s="1" t="str">
        <f>IF(AND(Table1[[#This Row],[Spec Type2]]="N/A",Table1[[#This Row],[DUT Adj Read]]="N/A",Table1[[#This Row],[Std Adj Read]]="N/A"),"N/A",IF(Table1[[#This Row],[DUT Adj Read]]="N/A",IF(Table1[[#This Row],[Std Adj Read]]&lt;Table1[[#This Row],[High Tol]],"Pass","Fail"),IF(Table1[[#This Row],[DUT Adj Read]]&lt;Table1[[#This Row],[High Tol]],"Pass","Fail")))</f>
        <v>Fail</v>
      </c>
      <c r="AF334" s="1" t="str">
        <f>IF(AND(Table1[[#This Row],[Spec Type2]]="N/A",Table1[[#This Row],[DUT Adj Read]]="N/A",Table1[[#This Row],[Std Adj Read]]="N/A"),"N/A",IF(Table1[[#This Row],[DUT Adj Read]]="N/A",IF(Table1[[#This Row],[Std Adj Read]]&gt;=Table1[[#This Row],[Low Tol]],"Pass","Fail"),IF(Table1[[#This Row],[DUT Adj Read]]&gt;=Table1[[#This Row],[Low Tol]],"Pass","Fail")))</f>
        <v>Pass</v>
      </c>
      <c r="AG334" s="1" t="str">
        <f>IF(AND(Table1[[#This Row],[Spec Type2]]="N/A",Table1[[#This Row],[DUT Adj Read]]="N/A",Table1[[#This Row],[Std Adj Read]]="N/A"),"N/A",IF(Table1[[#This Row],[DUT Adj Read]]="N/A",IF(Table1[[#This Row],[Std Adj Read]]&lt;=Table1[[#This Row],[High Tol]],"Pass","Fail"),IF(Table1[[#This Row],[DUT Adj Read]]&lt;=Table1[[#This Row],[High Tol]],"Pass","Fail")))</f>
        <v>Fail</v>
      </c>
      <c r="AH3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4" s="1" t="b">
        <v>0</v>
      </c>
      <c r="AN334" s="1" t="b">
        <v>0</v>
      </c>
      <c r="AO334" s="1" t="b">
        <v>0</v>
      </c>
    </row>
    <row r="335" spans="1:41" x14ac:dyDescent="0.25">
      <c r="A335" s="10"/>
      <c r="B335" s="10"/>
      <c r="C335" s="10"/>
      <c r="D335" s="10"/>
      <c r="E335" s="10"/>
      <c r="F335" s="10"/>
      <c r="G335" s="10"/>
      <c r="H335" s="10"/>
      <c r="I335" s="1" t="str">
        <f t="shared" si="15"/>
        <v/>
      </c>
      <c r="J335" s="1" t="s">
        <v>35</v>
      </c>
      <c r="K335" s="1" t="str">
        <f t="shared" si="16"/>
        <v/>
      </c>
      <c r="L335" s="1" t="str">
        <f t="shared" si="17"/>
        <v/>
      </c>
      <c r="M335" s="1">
        <f>IF(OR(Table1[[#This Row],[Std Nom]]="",Table1[[#This Row],[Std Read]]=""),0,Table1[[#This Row],[Std Nom]]-Table1[[#This Row],[Std Read]])</f>
        <v>0</v>
      </c>
      <c r="N335" s="1">
        <f>IF(Calculations!$F$5="ACCREDITED 17025 WITH UNCERTAINTIES",$N$10,0)</f>
        <v>0</v>
      </c>
      <c r="Q335" s="1">
        <f>Table1[[#This Row],[High Tol]]-Table1[[#This Row],[Low Tol]]</f>
        <v>0</v>
      </c>
      <c r="R335" s="1">
        <f>2*Table1[[#This Row],[Std Error]]</f>
        <v>0</v>
      </c>
      <c r="S335" s="1" t="str">
        <f>IF(Table1[[#This Row],[High Tol]]="","N/A",IFERROR(ABS(Table1[[#This Row],[Tol Span]]/Table1[[#This Row],[Error Span]]),"N/A"))</f>
        <v>N/A</v>
      </c>
      <c r="T335" s="1" t="str">
        <f>IF(OR(Table1[[#This Row],[Low Tol]]="",Table1[[#This Row],[High Tol]]=""),"Needs Analysis",IF(Table1[[#This Row],[Ratio]]&gt;=4,"Not Significant",IF(Table1[[#This Row],[Ratio]]&gt;=2,"Semi-Significant","Significant")))</f>
        <v>Needs Analysis</v>
      </c>
      <c r="W335" s="1">
        <f>IF(Table1[[#This Row],[Cal Type]]&lt;&gt;"ACCREDITED 17025 WITH UNCERTAINTIES",0,"")</f>
        <v>0</v>
      </c>
      <c r="X335" s="1" t="str">
        <f>IF(Table1[[#This Row],[DUT Read]]="","N/A",Table1[[#This Row],[Std Error]]+Table1[[#This Row],[DUT Read]]+Table1[[#This Row],[DUT Ucty]])</f>
        <v>N/A</v>
      </c>
      <c r="Y335" s="1" t="str">
        <f>IF(Table1[[#This Row],[Std Read]]="","N/A",Table1[[#This Row],[Std Read]]+Table1[[#This Row],[Std Ucty]])</f>
        <v>N/A</v>
      </c>
      <c r="Z3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5" s="1" t="str">
        <f>IF(Table1[[#This Row],[Spec Type]]="","N/A",Table1[[#This Row],[Spec Type]])</f>
        <v>±</v>
      </c>
      <c r="AC335" s="1" t="str">
        <f>IF(Table1[[#This Row],[Spec Type2]]="N/A","N/A",IF(AND(Table1[[#This Row],[DUT Adj Read]]&gt;=Table1[[#This Row],[Low Tol]],Table1[[#This Row],[DUT Adj Read]]&lt;=Table1[[#This Row],[High Tol]]),"Pass","Fail"))</f>
        <v>Fail</v>
      </c>
      <c r="AD335" s="1" t="str">
        <f>IF(AND(Table1[[#This Row],[Spec Type2]]="N/A",Table1[[#This Row],[DUT Adj Read]]="N/A",Table1[[#This Row],[Std Adj Read]]="N/A"),"N/A",IF(Table1[[#This Row],[DUT Adj Read]]="N/A",IF(Table1[[#This Row],[Std Adj Read]]&gt;Table1[[#This Row],[Low Tol]],"Pass","Fail"),IF(Table1[[#This Row],[DUT Adj Read]]&gt;Table1[[#This Row],[Low Tol]],"Pass","Fail")))</f>
        <v>Pass</v>
      </c>
      <c r="AE335" s="1" t="str">
        <f>IF(AND(Table1[[#This Row],[Spec Type2]]="N/A",Table1[[#This Row],[DUT Adj Read]]="N/A",Table1[[#This Row],[Std Adj Read]]="N/A"),"N/A",IF(Table1[[#This Row],[DUT Adj Read]]="N/A",IF(Table1[[#This Row],[Std Adj Read]]&lt;Table1[[#This Row],[High Tol]],"Pass","Fail"),IF(Table1[[#This Row],[DUT Adj Read]]&lt;Table1[[#This Row],[High Tol]],"Pass","Fail")))</f>
        <v>Fail</v>
      </c>
      <c r="AF335" s="1" t="str">
        <f>IF(AND(Table1[[#This Row],[Spec Type2]]="N/A",Table1[[#This Row],[DUT Adj Read]]="N/A",Table1[[#This Row],[Std Adj Read]]="N/A"),"N/A",IF(Table1[[#This Row],[DUT Adj Read]]="N/A",IF(Table1[[#This Row],[Std Adj Read]]&gt;=Table1[[#This Row],[Low Tol]],"Pass","Fail"),IF(Table1[[#This Row],[DUT Adj Read]]&gt;=Table1[[#This Row],[Low Tol]],"Pass","Fail")))</f>
        <v>Pass</v>
      </c>
      <c r="AG335" s="1" t="str">
        <f>IF(AND(Table1[[#This Row],[Spec Type2]]="N/A",Table1[[#This Row],[DUT Adj Read]]="N/A",Table1[[#This Row],[Std Adj Read]]="N/A"),"N/A",IF(Table1[[#This Row],[DUT Adj Read]]="N/A",IF(Table1[[#This Row],[Std Adj Read]]&lt;=Table1[[#This Row],[High Tol]],"Pass","Fail"),IF(Table1[[#This Row],[DUT Adj Read]]&lt;=Table1[[#This Row],[High Tol]],"Pass","Fail")))</f>
        <v>Fail</v>
      </c>
      <c r="AH3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5" s="1" t="b">
        <v>0</v>
      </c>
      <c r="AN335" s="1" t="b">
        <v>0</v>
      </c>
      <c r="AO335" s="1" t="b">
        <v>0</v>
      </c>
    </row>
    <row r="336" spans="1:41" x14ac:dyDescent="0.25">
      <c r="A336" s="10"/>
      <c r="B336" s="10"/>
      <c r="C336" s="10"/>
      <c r="D336" s="10"/>
      <c r="E336" s="10"/>
      <c r="F336" s="10"/>
      <c r="G336" s="10"/>
      <c r="H336" s="10"/>
      <c r="I336" s="1" t="str">
        <f t="shared" si="15"/>
        <v/>
      </c>
      <c r="J336" s="1" t="s">
        <v>35</v>
      </c>
      <c r="K336" s="1" t="str">
        <f t="shared" si="16"/>
        <v/>
      </c>
      <c r="L336" s="1" t="str">
        <f t="shared" si="17"/>
        <v/>
      </c>
      <c r="M336" s="1">
        <f>IF(OR(Table1[[#This Row],[Std Nom]]="",Table1[[#This Row],[Std Read]]=""),0,Table1[[#This Row],[Std Nom]]-Table1[[#This Row],[Std Read]])</f>
        <v>0</v>
      </c>
      <c r="N336" s="1">
        <f>IF(Calculations!$F$5="ACCREDITED 17025 WITH UNCERTAINTIES",$N$10,0)</f>
        <v>0</v>
      </c>
      <c r="Q336" s="1">
        <f>Table1[[#This Row],[High Tol]]-Table1[[#This Row],[Low Tol]]</f>
        <v>0</v>
      </c>
      <c r="R336" s="1">
        <f>2*Table1[[#This Row],[Std Error]]</f>
        <v>0</v>
      </c>
      <c r="S336" s="1" t="str">
        <f>IF(Table1[[#This Row],[High Tol]]="","N/A",IFERROR(ABS(Table1[[#This Row],[Tol Span]]/Table1[[#This Row],[Error Span]]),"N/A"))</f>
        <v>N/A</v>
      </c>
      <c r="T336" s="1" t="str">
        <f>IF(OR(Table1[[#This Row],[Low Tol]]="",Table1[[#This Row],[High Tol]]=""),"Needs Analysis",IF(Table1[[#This Row],[Ratio]]&gt;=4,"Not Significant",IF(Table1[[#This Row],[Ratio]]&gt;=2,"Semi-Significant","Significant")))</f>
        <v>Needs Analysis</v>
      </c>
      <c r="W336" s="1">
        <f>IF(Table1[[#This Row],[Cal Type]]&lt;&gt;"ACCREDITED 17025 WITH UNCERTAINTIES",0,"")</f>
        <v>0</v>
      </c>
      <c r="X336" s="1" t="str">
        <f>IF(Table1[[#This Row],[DUT Read]]="","N/A",Table1[[#This Row],[Std Error]]+Table1[[#This Row],[DUT Read]]+Table1[[#This Row],[DUT Ucty]])</f>
        <v>N/A</v>
      </c>
      <c r="Y336" s="1" t="str">
        <f>IF(Table1[[#This Row],[Std Read]]="","N/A",Table1[[#This Row],[Std Read]]+Table1[[#This Row],[Std Ucty]])</f>
        <v>N/A</v>
      </c>
      <c r="Z3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6" s="1" t="str">
        <f>IF(Table1[[#This Row],[Spec Type]]="","N/A",Table1[[#This Row],[Spec Type]])</f>
        <v>±</v>
      </c>
      <c r="AC336" s="1" t="str">
        <f>IF(Table1[[#This Row],[Spec Type2]]="N/A","N/A",IF(AND(Table1[[#This Row],[DUT Adj Read]]&gt;=Table1[[#This Row],[Low Tol]],Table1[[#This Row],[DUT Adj Read]]&lt;=Table1[[#This Row],[High Tol]]),"Pass","Fail"))</f>
        <v>Fail</v>
      </c>
      <c r="AD336" s="1" t="str">
        <f>IF(AND(Table1[[#This Row],[Spec Type2]]="N/A",Table1[[#This Row],[DUT Adj Read]]="N/A",Table1[[#This Row],[Std Adj Read]]="N/A"),"N/A",IF(Table1[[#This Row],[DUT Adj Read]]="N/A",IF(Table1[[#This Row],[Std Adj Read]]&gt;Table1[[#This Row],[Low Tol]],"Pass","Fail"),IF(Table1[[#This Row],[DUT Adj Read]]&gt;Table1[[#This Row],[Low Tol]],"Pass","Fail")))</f>
        <v>Pass</v>
      </c>
      <c r="AE336" s="1" t="str">
        <f>IF(AND(Table1[[#This Row],[Spec Type2]]="N/A",Table1[[#This Row],[DUT Adj Read]]="N/A",Table1[[#This Row],[Std Adj Read]]="N/A"),"N/A",IF(Table1[[#This Row],[DUT Adj Read]]="N/A",IF(Table1[[#This Row],[Std Adj Read]]&lt;Table1[[#This Row],[High Tol]],"Pass","Fail"),IF(Table1[[#This Row],[DUT Adj Read]]&lt;Table1[[#This Row],[High Tol]],"Pass","Fail")))</f>
        <v>Fail</v>
      </c>
      <c r="AF336" s="1" t="str">
        <f>IF(AND(Table1[[#This Row],[Spec Type2]]="N/A",Table1[[#This Row],[DUT Adj Read]]="N/A",Table1[[#This Row],[Std Adj Read]]="N/A"),"N/A",IF(Table1[[#This Row],[DUT Adj Read]]="N/A",IF(Table1[[#This Row],[Std Adj Read]]&gt;=Table1[[#This Row],[Low Tol]],"Pass","Fail"),IF(Table1[[#This Row],[DUT Adj Read]]&gt;=Table1[[#This Row],[Low Tol]],"Pass","Fail")))</f>
        <v>Pass</v>
      </c>
      <c r="AG336" s="1" t="str">
        <f>IF(AND(Table1[[#This Row],[Spec Type2]]="N/A",Table1[[#This Row],[DUT Adj Read]]="N/A",Table1[[#This Row],[Std Adj Read]]="N/A"),"N/A",IF(Table1[[#This Row],[DUT Adj Read]]="N/A",IF(Table1[[#This Row],[Std Adj Read]]&lt;=Table1[[#This Row],[High Tol]],"Pass","Fail"),IF(Table1[[#This Row],[DUT Adj Read]]&lt;=Table1[[#This Row],[High Tol]],"Pass","Fail")))</f>
        <v>Fail</v>
      </c>
      <c r="AH3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6" s="1" t="b">
        <v>0</v>
      </c>
      <c r="AN336" s="1" t="b">
        <v>0</v>
      </c>
      <c r="AO336" s="1" t="b">
        <v>0</v>
      </c>
    </row>
    <row r="337" spans="1:41" x14ac:dyDescent="0.25">
      <c r="A337" s="10"/>
      <c r="B337" s="10"/>
      <c r="C337" s="10"/>
      <c r="D337" s="10"/>
      <c r="E337" s="10"/>
      <c r="F337" s="10"/>
      <c r="G337" s="10"/>
      <c r="H337" s="10"/>
      <c r="I337" s="1" t="str">
        <f t="shared" si="15"/>
        <v/>
      </c>
      <c r="J337" s="1" t="s">
        <v>35</v>
      </c>
      <c r="K337" s="1" t="str">
        <f t="shared" si="16"/>
        <v/>
      </c>
      <c r="L337" s="1" t="str">
        <f t="shared" si="17"/>
        <v/>
      </c>
      <c r="M337" s="1">
        <f>IF(OR(Table1[[#This Row],[Std Nom]]="",Table1[[#This Row],[Std Read]]=""),0,Table1[[#This Row],[Std Nom]]-Table1[[#This Row],[Std Read]])</f>
        <v>0</v>
      </c>
      <c r="N337" s="1">
        <f>IF(Calculations!$F$5="ACCREDITED 17025 WITH UNCERTAINTIES",$N$10,0)</f>
        <v>0</v>
      </c>
      <c r="Q337" s="1">
        <f>Table1[[#This Row],[High Tol]]-Table1[[#This Row],[Low Tol]]</f>
        <v>0</v>
      </c>
      <c r="R337" s="1">
        <f>2*Table1[[#This Row],[Std Error]]</f>
        <v>0</v>
      </c>
      <c r="S337" s="1" t="str">
        <f>IF(Table1[[#This Row],[High Tol]]="","N/A",IFERROR(ABS(Table1[[#This Row],[Tol Span]]/Table1[[#This Row],[Error Span]]),"N/A"))</f>
        <v>N/A</v>
      </c>
      <c r="T337" s="1" t="str">
        <f>IF(OR(Table1[[#This Row],[Low Tol]]="",Table1[[#This Row],[High Tol]]=""),"Needs Analysis",IF(Table1[[#This Row],[Ratio]]&gt;=4,"Not Significant",IF(Table1[[#This Row],[Ratio]]&gt;=2,"Semi-Significant","Significant")))</f>
        <v>Needs Analysis</v>
      </c>
      <c r="W337" s="1">
        <f>IF(Table1[[#This Row],[Cal Type]]&lt;&gt;"ACCREDITED 17025 WITH UNCERTAINTIES",0,"")</f>
        <v>0</v>
      </c>
      <c r="X337" s="1" t="str">
        <f>IF(Table1[[#This Row],[DUT Read]]="","N/A",Table1[[#This Row],[Std Error]]+Table1[[#This Row],[DUT Read]]+Table1[[#This Row],[DUT Ucty]])</f>
        <v>N/A</v>
      </c>
      <c r="Y337" s="1" t="str">
        <f>IF(Table1[[#This Row],[Std Read]]="","N/A",Table1[[#This Row],[Std Read]]+Table1[[#This Row],[Std Ucty]])</f>
        <v>N/A</v>
      </c>
      <c r="Z3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7" s="1" t="str">
        <f>IF(Table1[[#This Row],[Spec Type]]="","N/A",Table1[[#This Row],[Spec Type]])</f>
        <v>±</v>
      </c>
      <c r="AC337" s="1" t="str">
        <f>IF(Table1[[#This Row],[Spec Type2]]="N/A","N/A",IF(AND(Table1[[#This Row],[DUT Adj Read]]&gt;=Table1[[#This Row],[Low Tol]],Table1[[#This Row],[DUT Adj Read]]&lt;=Table1[[#This Row],[High Tol]]),"Pass","Fail"))</f>
        <v>Fail</v>
      </c>
      <c r="AD337" s="1" t="str">
        <f>IF(AND(Table1[[#This Row],[Spec Type2]]="N/A",Table1[[#This Row],[DUT Adj Read]]="N/A",Table1[[#This Row],[Std Adj Read]]="N/A"),"N/A",IF(Table1[[#This Row],[DUT Adj Read]]="N/A",IF(Table1[[#This Row],[Std Adj Read]]&gt;Table1[[#This Row],[Low Tol]],"Pass","Fail"),IF(Table1[[#This Row],[DUT Adj Read]]&gt;Table1[[#This Row],[Low Tol]],"Pass","Fail")))</f>
        <v>Pass</v>
      </c>
      <c r="AE337" s="1" t="str">
        <f>IF(AND(Table1[[#This Row],[Spec Type2]]="N/A",Table1[[#This Row],[DUT Adj Read]]="N/A",Table1[[#This Row],[Std Adj Read]]="N/A"),"N/A",IF(Table1[[#This Row],[DUT Adj Read]]="N/A",IF(Table1[[#This Row],[Std Adj Read]]&lt;Table1[[#This Row],[High Tol]],"Pass","Fail"),IF(Table1[[#This Row],[DUT Adj Read]]&lt;Table1[[#This Row],[High Tol]],"Pass","Fail")))</f>
        <v>Fail</v>
      </c>
      <c r="AF337" s="1" t="str">
        <f>IF(AND(Table1[[#This Row],[Spec Type2]]="N/A",Table1[[#This Row],[DUT Adj Read]]="N/A",Table1[[#This Row],[Std Adj Read]]="N/A"),"N/A",IF(Table1[[#This Row],[DUT Adj Read]]="N/A",IF(Table1[[#This Row],[Std Adj Read]]&gt;=Table1[[#This Row],[Low Tol]],"Pass","Fail"),IF(Table1[[#This Row],[DUT Adj Read]]&gt;=Table1[[#This Row],[Low Tol]],"Pass","Fail")))</f>
        <v>Pass</v>
      </c>
      <c r="AG337" s="1" t="str">
        <f>IF(AND(Table1[[#This Row],[Spec Type2]]="N/A",Table1[[#This Row],[DUT Adj Read]]="N/A",Table1[[#This Row],[Std Adj Read]]="N/A"),"N/A",IF(Table1[[#This Row],[DUT Adj Read]]="N/A",IF(Table1[[#This Row],[Std Adj Read]]&lt;=Table1[[#This Row],[High Tol]],"Pass","Fail"),IF(Table1[[#This Row],[DUT Adj Read]]&lt;=Table1[[#This Row],[High Tol]],"Pass","Fail")))</f>
        <v>Fail</v>
      </c>
      <c r="AH3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7" s="1" t="b">
        <v>0</v>
      </c>
      <c r="AN337" s="1" t="b">
        <v>0</v>
      </c>
      <c r="AO337" s="1" t="b">
        <v>0</v>
      </c>
    </row>
    <row r="338" spans="1:41" x14ac:dyDescent="0.25">
      <c r="A338" s="10"/>
      <c r="B338" s="10"/>
      <c r="C338" s="10"/>
      <c r="D338" s="10"/>
      <c r="E338" s="10"/>
      <c r="F338" s="10"/>
      <c r="G338" s="10"/>
      <c r="H338" s="10"/>
      <c r="I338" s="1" t="str">
        <f t="shared" si="15"/>
        <v/>
      </c>
      <c r="J338" s="1" t="s">
        <v>35</v>
      </c>
      <c r="K338" s="1" t="str">
        <f t="shared" si="16"/>
        <v/>
      </c>
      <c r="L338" s="1" t="str">
        <f t="shared" si="17"/>
        <v/>
      </c>
      <c r="M338" s="1">
        <f>IF(OR(Table1[[#This Row],[Std Nom]]="",Table1[[#This Row],[Std Read]]=""),0,Table1[[#This Row],[Std Nom]]-Table1[[#This Row],[Std Read]])</f>
        <v>0</v>
      </c>
      <c r="N338" s="1">
        <f>IF(Calculations!$F$5="ACCREDITED 17025 WITH UNCERTAINTIES",$N$10,0)</f>
        <v>0</v>
      </c>
      <c r="Q338" s="1">
        <f>Table1[[#This Row],[High Tol]]-Table1[[#This Row],[Low Tol]]</f>
        <v>0</v>
      </c>
      <c r="R338" s="1">
        <f>2*Table1[[#This Row],[Std Error]]</f>
        <v>0</v>
      </c>
      <c r="S338" s="1" t="str">
        <f>IF(Table1[[#This Row],[High Tol]]="","N/A",IFERROR(ABS(Table1[[#This Row],[Tol Span]]/Table1[[#This Row],[Error Span]]),"N/A"))</f>
        <v>N/A</v>
      </c>
      <c r="T338" s="1" t="str">
        <f>IF(OR(Table1[[#This Row],[Low Tol]]="",Table1[[#This Row],[High Tol]]=""),"Needs Analysis",IF(Table1[[#This Row],[Ratio]]&gt;=4,"Not Significant",IF(Table1[[#This Row],[Ratio]]&gt;=2,"Semi-Significant","Significant")))</f>
        <v>Needs Analysis</v>
      </c>
      <c r="W338" s="1">
        <f>IF(Table1[[#This Row],[Cal Type]]&lt;&gt;"ACCREDITED 17025 WITH UNCERTAINTIES",0,"")</f>
        <v>0</v>
      </c>
      <c r="X338" s="1" t="str">
        <f>IF(Table1[[#This Row],[DUT Read]]="","N/A",Table1[[#This Row],[Std Error]]+Table1[[#This Row],[DUT Read]]+Table1[[#This Row],[DUT Ucty]])</f>
        <v>N/A</v>
      </c>
      <c r="Y338" s="1" t="str">
        <f>IF(Table1[[#This Row],[Std Read]]="","N/A",Table1[[#This Row],[Std Read]]+Table1[[#This Row],[Std Ucty]])</f>
        <v>N/A</v>
      </c>
      <c r="Z3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8" s="1" t="str">
        <f>IF(Table1[[#This Row],[Spec Type]]="","N/A",Table1[[#This Row],[Spec Type]])</f>
        <v>±</v>
      </c>
      <c r="AC338" s="1" t="str">
        <f>IF(Table1[[#This Row],[Spec Type2]]="N/A","N/A",IF(AND(Table1[[#This Row],[DUT Adj Read]]&gt;=Table1[[#This Row],[Low Tol]],Table1[[#This Row],[DUT Adj Read]]&lt;=Table1[[#This Row],[High Tol]]),"Pass","Fail"))</f>
        <v>Fail</v>
      </c>
      <c r="AD338" s="1" t="str">
        <f>IF(AND(Table1[[#This Row],[Spec Type2]]="N/A",Table1[[#This Row],[DUT Adj Read]]="N/A",Table1[[#This Row],[Std Adj Read]]="N/A"),"N/A",IF(Table1[[#This Row],[DUT Adj Read]]="N/A",IF(Table1[[#This Row],[Std Adj Read]]&gt;Table1[[#This Row],[Low Tol]],"Pass","Fail"),IF(Table1[[#This Row],[DUT Adj Read]]&gt;Table1[[#This Row],[Low Tol]],"Pass","Fail")))</f>
        <v>Pass</v>
      </c>
      <c r="AE338" s="1" t="str">
        <f>IF(AND(Table1[[#This Row],[Spec Type2]]="N/A",Table1[[#This Row],[DUT Adj Read]]="N/A",Table1[[#This Row],[Std Adj Read]]="N/A"),"N/A",IF(Table1[[#This Row],[DUT Adj Read]]="N/A",IF(Table1[[#This Row],[Std Adj Read]]&lt;Table1[[#This Row],[High Tol]],"Pass","Fail"),IF(Table1[[#This Row],[DUT Adj Read]]&lt;Table1[[#This Row],[High Tol]],"Pass","Fail")))</f>
        <v>Fail</v>
      </c>
      <c r="AF338" s="1" t="str">
        <f>IF(AND(Table1[[#This Row],[Spec Type2]]="N/A",Table1[[#This Row],[DUT Adj Read]]="N/A",Table1[[#This Row],[Std Adj Read]]="N/A"),"N/A",IF(Table1[[#This Row],[DUT Adj Read]]="N/A",IF(Table1[[#This Row],[Std Adj Read]]&gt;=Table1[[#This Row],[Low Tol]],"Pass","Fail"),IF(Table1[[#This Row],[DUT Adj Read]]&gt;=Table1[[#This Row],[Low Tol]],"Pass","Fail")))</f>
        <v>Pass</v>
      </c>
      <c r="AG338" s="1" t="str">
        <f>IF(AND(Table1[[#This Row],[Spec Type2]]="N/A",Table1[[#This Row],[DUT Adj Read]]="N/A",Table1[[#This Row],[Std Adj Read]]="N/A"),"N/A",IF(Table1[[#This Row],[DUT Adj Read]]="N/A",IF(Table1[[#This Row],[Std Adj Read]]&lt;=Table1[[#This Row],[High Tol]],"Pass","Fail"),IF(Table1[[#This Row],[DUT Adj Read]]&lt;=Table1[[#This Row],[High Tol]],"Pass","Fail")))</f>
        <v>Fail</v>
      </c>
      <c r="AH3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8" s="1" t="b">
        <v>0</v>
      </c>
      <c r="AN338" s="1" t="b">
        <v>0</v>
      </c>
      <c r="AO338" s="1" t="b">
        <v>0</v>
      </c>
    </row>
    <row r="339" spans="1:41" x14ac:dyDescent="0.25">
      <c r="A339" s="10"/>
      <c r="B339" s="10"/>
      <c r="C339" s="10"/>
      <c r="D339" s="10"/>
      <c r="E339" s="10"/>
      <c r="F339" s="10"/>
      <c r="G339" s="10"/>
      <c r="H339" s="10"/>
      <c r="I339" s="1" t="str">
        <f t="shared" si="15"/>
        <v/>
      </c>
      <c r="J339" s="1" t="s">
        <v>35</v>
      </c>
      <c r="K339" s="1" t="str">
        <f t="shared" si="16"/>
        <v/>
      </c>
      <c r="L339" s="1" t="str">
        <f t="shared" si="17"/>
        <v/>
      </c>
      <c r="M339" s="1">
        <f>IF(OR(Table1[[#This Row],[Std Nom]]="",Table1[[#This Row],[Std Read]]=""),0,Table1[[#This Row],[Std Nom]]-Table1[[#This Row],[Std Read]])</f>
        <v>0</v>
      </c>
      <c r="N339" s="1">
        <f>IF(Calculations!$F$5="ACCREDITED 17025 WITH UNCERTAINTIES",$N$10,0)</f>
        <v>0</v>
      </c>
      <c r="Q339" s="1">
        <f>Table1[[#This Row],[High Tol]]-Table1[[#This Row],[Low Tol]]</f>
        <v>0</v>
      </c>
      <c r="R339" s="1">
        <f>2*Table1[[#This Row],[Std Error]]</f>
        <v>0</v>
      </c>
      <c r="S339" s="1" t="str">
        <f>IF(Table1[[#This Row],[High Tol]]="","N/A",IFERROR(ABS(Table1[[#This Row],[Tol Span]]/Table1[[#This Row],[Error Span]]),"N/A"))</f>
        <v>N/A</v>
      </c>
      <c r="T339" s="1" t="str">
        <f>IF(OR(Table1[[#This Row],[Low Tol]]="",Table1[[#This Row],[High Tol]]=""),"Needs Analysis",IF(Table1[[#This Row],[Ratio]]&gt;=4,"Not Significant",IF(Table1[[#This Row],[Ratio]]&gt;=2,"Semi-Significant","Significant")))</f>
        <v>Needs Analysis</v>
      </c>
      <c r="W339" s="1">
        <f>IF(Table1[[#This Row],[Cal Type]]&lt;&gt;"ACCREDITED 17025 WITH UNCERTAINTIES",0,"")</f>
        <v>0</v>
      </c>
      <c r="X339" s="1" t="str">
        <f>IF(Table1[[#This Row],[DUT Read]]="","N/A",Table1[[#This Row],[Std Error]]+Table1[[#This Row],[DUT Read]]+Table1[[#This Row],[DUT Ucty]])</f>
        <v>N/A</v>
      </c>
      <c r="Y339" s="1" t="str">
        <f>IF(Table1[[#This Row],[Std Read]]="","N/A",Table1[[#This Row],[Std Read]]+Table1[[#This Row],[Std Ucty]])</f>
        <v>N/A</v>
      </c>
      <c r="Z3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39" s="1" t="str">
        <f>IF(Table1[[#This Row],[Spec Type]]="","N/A",Table1[[#This Row],[Spec Type]])</f>
        <v>±</v>
      </c>
      <c r="AC339" s="1" t="str">
        <f>IF(Table1[[#This Row],[Spec Type2]]="N/A","N/A",IF(AND(Table1[[#This Row],[DUT Adj Read]]&gt;=Table1[[#This Row],[Low Tol]],Table1[[#This Row],[DUT Adj Read]]&lt;=Table1[[#This Row],[High Tol]]),"Pass","Fail"))</f>
        <v>Fail</v>
      </c>
      <c r="AD339" s="1" t="str">
        <f>IF(AND(Table1[[#This Row],[Spec Type2]]="N/A",Table1[[#This Row],[DUT Adj Read]]="N/A",Table1[[#This Row],[Std Adj Read]]="N/A"),"N/A",IF(Table1[[#This Row],[DUT Adj Read]]="N/A",IF(Table1[[#This Row],[Std Adj Read]]&gt;Table1[[#This Row],[Low Tol]],"Pass","Fail"),IF(Table1[[#This Row],[DUT Adj Read]]&gt;Table1[[#This Row],[Low Tol]],"Pass","Fail")))</f>
        <v>Pass</v>
      </c>
      <c r="AE339" s="1" t="str">
        <f>IF(AND(Table1[[#This Row],[Spec Type2]]="N/A",Table1[[#This Row],[DUT Adj Read]]="N/A",Table1[[#This Row],[Std Adj Read]]="N/A"),"N/A",IF(Table1[[#This Row],[DUT Adj Read]]="N/A",IF(Table1[[#This Row],[Std Adj Read]]&lt;Table1[[#This Row],[High Tol]],"Pass","Fail"),IF(Table1[[#This Row],[DUT Adj Read]]&lt;Table1[[#This Row],[High Tol]],"Pass","Fail")))</f>
        <v>Fail</v>
      </c>
      <c r="AF339" s="1" t="str">
        <f>IF(AND(Table1[[#This Row],[Spec Type2]]="N/A",Table1[[#This Row],[DUT Adj Read]]="N/A",Table1[[#This Row],[Std Adj Read]]="N/A"),"N/A",IF(Table1[[#This Row],[DUT Adj Read]]="N/A",IF(Table1[[#This Row],[Std Adj Read]]&gt;=Table1[[#This Row],[Low Tol]],"Pass","Fail"),IF(Table1[[#This Row],[DUT Adj Read]]&gt;=Table1[[#This Row],[Low Tol]],"Pass","Fail")))</f>
        <v>Pass</v>
      </c>
      <c r="AG339" s="1" t="str">
        <f>IF(AND(Table1[[#This Row],[Spec Type2]]="N/A",Table1[[#This Row],[DUT Adj Read]]="N/A",Table1[[#This Row],[Std Adj Read]]="N/A"),"N/A",IF(Table1[[#This Row],[DUT Adj Read]]="N/A",IF(Table1[[#This Row],[Std Adj Read]]&lt;=Table1[[#This Row],[High Tol]],"Pass","Fail"),IF(Table1[[#This Row],[DUT Adj Read]]&lt;=Table1[[#This Row],[High Tol]],"Pass","Fail")))</f>
        <v>Fail</v>
      </c>
      <c r="AH3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39" s="1" t="b">
        <v>0</v>
      </c>
      <c r="AN339" s="1" t="b">
        <v>0</v>
      </c>
      <c r="AO339" s="1" t="b">
        <v>0</v>
      </c>
    </row>
    <row r="340" spans="1:41" x14ac:dyDescent="0.25">
      <c r="A340" s="10"/>
      <c r="B340" s="10"/>
      <c r="C340" s="10"/>
      <c r="D340" s="10"/>
      <c r="E340" s="10"/>
      <c r="F340" s="10"/>
      <c r="G340" s="10"/>
      <c r="H340" s="10"/>
      <c r="I340" s="1" t="str">
        <f t="shared" si="15"/>
        <v/>
      </c>
      <c r="J340" s="1" t="s">
        <v>35</v>
      </c>
      <c r="K340" s="1" t="str">
        <f t="shared" si="16"/>
        <v/>
      </c>
      <c r="L340" s="1" t="str">
        <f t="shared" si="17"/>
        <v/>
      </c>
      <c r="M340" s="1">
        <f>IF(OR(Table1[[#This Row],[Std Nom]]="",Table1[[#This Row],[Std Read]]=""),0,Table1[[#This Row],[Std Nom]]-Table1[[#This Row],[Std Read]])</f>
        <v>0</v>
      </c>
      <c r="N340" s="1">
        <f>IF(Calculations!$F$5="ACCREDITED 17025 WITH UNCERTAINTIES",$N$10,0)</f>
        <v>0</v>
      </c>
      <c r="Q340" s="1">
        <f>Table1[[#This Row],[High Tol]]-Table1[[#This Row],[Low Tol]]</f>
        <v>0</v>
      </c>
      <c r="R340" s="1">
        <f>2*Table1[[#This Row],[Std Error]]</f>
        <v>0</v>
      </c>
      <c r="S340" s="1" t="str">
        <f>IF(Table1[[#This Row],[High Tol]]="","N/A",IFERROR(ABS(Table1[[#This Row],[Tol Span]]/Table1[[#This Row],[Error Span]]),"N/A"))</f>
        <v>N/A</v>
      </c>
      <c r="T340" s="1" t="str">
        <f>IF(OR(Table1[[#This Row],[Low Tol]]="",Table1[[#This Row],[High Tol]]=""),"Needs Analysis",IF(Table1[[#This Row],[Ratio]]&gt;=4,"Not Significant",IF(Table1[[#This Row],[Ratio]]&gt;=2,"Semi-Significant","Significant")))</f>
        <v>Needs Analysis</v>
      </c>
      <c r="W340" s="1">
        <f>IF(Table1[[#This Row],[Cal Type]]&lt;&gt;"ACCREDITED 17025 WITH UNCERTAINTIES",0,"")</f>
        <v>0</v>
      </c>
      <c r="X340" s="1" t="str">
        <f>IF(Table1[[#This Row],[DUT Read]]="","N/A",Table1[[#This Row],[Std Error]]+Table1[[#This Row],[DUT Read]]+Table1[[#This Row],[DUT Ucty]])</f>
        <v>N/A</v>
      </c>
      <c r="Y340" s="1" t="str">
        <f>IF(Table1[[#This Row],[Std Read]]="","N/A",Table1[[#This Row],[Std Read]]+Table1[[#This Row],[Std Ucty]])</f>
        <v>N/A</v>
      </c>
      <c r="Z3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0" s="1" t="str">
        <f>IF(Table1[[#This Row],[Spec Type]]="","N/A",Table1[[#This Row],[Spec Type]])</f>
        <v>±</v>
      </c>
      <c r="AC340" s="1" t="str">
        <f>IF(Table1[[#This Row],[Spec Type2]]="N/A","N/A",IF(AND(Table1[[#This Row],[DUT Adj Read]]&gt;=Table1[[#This Row],[Low Tol]],Table1[[#This Row],[DUT Adj Read]]&lt;=Table1[[#This Row],[High Tol]]),"Pass","Fail"))</f>
        <v>Fail</v>
      </c>
      <c r="AD340" s="1" t="str">
        <f>IF(AND(Table1[[#This Row],[Spec Type2]]="N/A",Table1[[#This Row],[DUT Adj Read]]="N/A",Table1[[#This Row],[Std Adj Read]]="N/A"),"N/A",IF(Table1[[#This Row],[DUT Adj Read]]="N/A",IF(Table1[[#This Row],[Std Adj Read]]&gt;Table1[[#This Row],[Low Tol]],"Pass","Fail"),IF(Table1[[#This Row],[DUT Adj Read]]&gt;Table1[[#This Row],[Low Tol]],"Pass","Fail")))</f>
        <v>Pass</v>
      </c>
      <c r="AE340" s="1" t="str">
        <f>IF(AND(Table1[[#This Row],[Spec Type2]]="N/A",Table1[[#This Row],[DUT Adj Read]]="N/A",Table1[[#This Row],[Std Adj Read]]="N/A"),"N/A",IF(Table1[[#This Row],[DUT Adj Read]]="N/A",IF(Table1[[#This Row],[Std Adj Read]]&lt;Table1[[#This Row],[High Tol]],"Pass","Fail"),IF(Table1[[#This Row],[DUT Adj Read]]&lt;Table1[[#This Row],[High Tol]],"Pass","Fail")))</f>
        <v>Fail</v>
      </c>
      <c r="AF340" s="1" t="str">
        <f>IF(AND(Table1[[#This Row],[Spec Type2]]="N/A",Table1[[#This Row],[DUT Adj Read]]="N/A",Table1[[#This Row],[Std Adj Read]]="N/A"),"N/A",IF(Table1[[#This Row],[DUT Adj Read]]="N/A",IF(Table1[[#This Row],[Std Adj Read]]&gt;=Table1[[#This Row],[Low Tol]],"Pass","Fail"),IF(Table1[[#This Row],[DUT Adj Read]]&gt;=Table1[[#This Row],[Low Tol]],"Pass","Fail")))</f>
        <v>Pass</v>
      </c>
      <c r="AG340" s="1" t="str">
        <f>IF(AND(Table1[[#This Row],[Spec Type2]]="N/A",Table1[[#This Row],[DUT Adj Read]]="N/A",Table1[[#This Row],[Std Adj Read]]="N/A"),"N/A",IF(Table1[[#This Row],[DUT Adj Read]]="N/A",IF(Table1[[#This Row],[Std Adj Read]]&lt;=Table1[[#This Row],[High Tol]],"Pass","Fail"),IF(Table1[[#This Row],[DUT Adj Read]]&lt;=Table1[[#This Row],[High Tol]],"Pass","Fail")))</f>
        <v>Fail</v>
      </c>
      <c r="AH3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0" s="1" t="b">
        <v>0</v>
      </c>
      <c r="AN340" s="1" t="b">
        <v>0</v>
      </c>
      <c r="AO340" s="1" t="b">
        <v>0</v>
      </c>
    </row>
    <row r="341" spans="1:41" x14ac:dyDescent="0.25">
      <c r="A341" s="10"/>
      <c r="B341" s="10"/>
      <c r="C341" s="10"/>
      <c r="D341" s="10"/>
      <c r="E341" s="10"/>
      <c r="F341" s="10"/>
      <c r="G341" s="10"/>
      <c r="H341" s="10"/>
      <c r="I341" s="1" t="str">
        <f t="shared" si="15"/>
        <v/>
      </c>
      <c r="J341" s="1" t="s">
        <v>35</v>
      </c>
      <c r="K341" s="1" t="str">
        <f t="shared" si="16"/>
        <v/>
      </c>
      <c r="L341" s="1" t="str">
        <f t="shared" si="17"/>
        <v/>
      </c>
      <c r="M341" s="1">
        <f>IF(OR(Table1[[#This Row],[Std Nom]]="",Table1[[#This Row],[Std Read]]=""),0,Table1[[#This Row],[Std Nom]]-Table1[[#This Row],[Std Read]])</f>
        <v>0</v>
      </c>
      <c r="N341" s="1">
        <f>IF(Calculations!$F$5="ACCREDITED 17025 WITH UNCERTAINTIES",$N$10,0)</f>
        <v>0</v>
      </c>
      <c r="Q341" s="1">
        <f>Table1[[#This Row],[High Tol]]-Table1[[#This Row],[Low Tol]]</f>
        <v>0</v>
      </c>
      <c r="R341" s="1">
        <f>2*Table1[[#This Row],[Std Error]]</f>
        <v>0</v>
      </c>
      <c r="S341" s="1" t="str">
        <f>IF(Table1[[#This Row],[High Tol]]="","N/A",IFERROR(ABS(Table1[[#This Row],[Tol Span]]/Table1[[#This Row],[Error Span]]),"N/A"))</f>
        <v>N/A</v>
      </c>
      <c r="T341" s="1" t="str">
        <f>IF(OR(Table1[[#This Row],[Low Tol]]="",Table1[[#This Row],[High Tol]]=""),"Needs Analysis",IF(Table1[[#This Row],[Ratio]]&gt;=4,"Not Significant",IF(Table1[[#This Row],[Ratio]]&gt;=2,"Semi-Significant","Significant")))</f>
        <v>Needs Analysis</v>
      </c>
      <c r="W341" s="1">
        <f>IF(Table1[[#This Row],[Cal Type]]&lt;&gt;"ACCREDITED 17025 WITH UNCERTAINTIES",0,"")</f>
        <v>0</v>
      </c>
      <c r="X341" s="1" t="str">
        <f>IF(Table1[[#This Row],[DUT Read]]="","N/A",Table1[[#This Row],[Std Error]]+Table1[[#This Row],[DUT Read]]+Table1[[#This Row],[DUT Ucty]])</f>
        <v>N/A</v>
      </c>
      <c r="Y341" s="1" t="str">
        <f>IF(Table1[[#This Row],[Std Read]]="","N/A",Table1[[#This Row],[Std Read]]+Table1[[#This Row],[Std Ucty]])</f>
        <v>N/A</v>
      </c>
      <c r="Z3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1" s="1" t="str">
        <f>IF(Table1[[#This Row],[Spec Type]]="","N/A",Table1[[#This Row],[Spec Type]])</f>
        <v>±</v>
      </c>
      <c r="AC341" s="1" t="str">
        <f>IF(Table1[[#This Row],[Spec Type2]]="N/A","N/A",IF(AND(Table1[[#This Row],[DUT Adj Read]]&gt;=Table1[[#This Row],[Low Tol]],Table1[[#This Row],[DUT Adj Read]]&lt;=Table1[[#This Row],[High Tol]]),"Pass","Fail"))</f>
        <v>Fail</v>
      </c>
      <c r="AD341" s="1" t="str">
        <f>IF(AND(Table1[[#This Row],[Spec Type2]]="N/A",Table1[[#This Row],[DUT Adj Read]]="N/A",Table1[[#This Row],[Std Adj Read]]="N/A"),"N/A",IF(Table1[[#This Row],[DUT Adj Read]]="N/A",IF(Table1[[#This Row],[Std Adj Read]]&gt;Table1[[#This Row],[Low Tol]],"Pass","Fail"),IF(Table1[[#This Row],[DUT Adj Read]]&gt;Table1[[#This Row],[Low Tol]],"Pass","Fail")))</f>
        <v>Pass</v>
      </c>
      <c r="AE341" s="1" t="str">
        <f>IF(AND(Table1[[#This Row],[Spec Type2]]="N/A",Table1[[#This Row],[DUT Adj Read]]="N/A",Table1[[#This Row],[Std Adj Read]]="N/A"),"N/A",IF(Table1[[#This Row],[DUT Adj Read]]="N/A",IF(Table1[[#This Row],[Std Adj Read]]&lt;Table1[[#This Row],[High Tol]],"Pass","Fail"),IF(Table1[[#This Row],[DUT Adj Read]]&lt;Table1[[#This Row],[High Tol]],"Pass","Fail")))</f>
        <v>Fail</v>
      </c>
      <c r="AF341" s="1" t="str">
        <f>IF(AND(Table1[[#This Row],[Spec Type2]]="N/A",Table1[[#This Row],[DUT Adj Read]]="N/A",Table1[[#This Row],[Std Adj Read]]="N/A"),"N/A",IF(Table1[[#This Row],[DUT Adj Read]]="N/A",IF(Table1[[#This Row],[Std Adj Read]]&gt;=Table1[[#This Row],[Low Tol]],"Pass","Fail"),IF(Table1[[#This Row],[DUT Adj Read]]&gt;=Table1[[#This Row],[Low Tol]],"Pass","Fail")))</f>
        <v>Pass</v>
      </c>
      <c r="AG341" s="1" t="str">
        <f>IF(AND(Table1[[#This Row],[Spec Type2]]="N/A",Table1[[#This Row],[DUT Adj Read]]="N/A",Table1[[#This Row],[Std Adj Read]]="N/A"),"N/A",IF(Table1[[#This Row],[DUT Adj Read]]="N/A",IF(Table1[[#This Row],[Std Adj Read]]&lt;=Table1[[#This Row],[High Tol]],"Pass","Fail"),IF(Table1[[#This Row],[DUT Adj Read]]&lt;=Table1[[#This Row],[High Tol]],"Pass","Fail")))</f>
        <v>Fail</v>
      </c>
      <c r="AH3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1" s="1" t="b">
        <v>0</v>
      </c>
      <c r="AN341" s="1" t="b">
        <v>0</v>
      </c>
      <c r="AO341" s="1" t="b">
        <v>0</v>
      </c>
    </row>
    <row r="342" spans="1:41" x14ac:dyDescent="0.25">
      <c r="A342" s="10"/>
      <c r="B342" s="10"/>
      <c r="C342" s="10"/>
      <c r="D342" s="10"/>
      <c r="E342" s="10"/>
      <c r="F342" s="10"/>
      <c r="G342" s="10"/>
      <c r="H342" s="10"/>
      <c r="I342" s="1" t="str">
        <f t="shared" si="15"/>
        <v/>
      </c>
      <c r="J342" s="1" t="s">
        <v>35</v>
      </c>
      <c r="K342" s="1" t="str">
        <f t="shared" si="16"/>
        <v/>
      </c>
      <c r="L342" s="1" t="str">
        <f t="shared" si="17"/>
        <v/>
      </c>
      <c r="M342" s="1">
        <f>IF(OR(Table1[[#This Row],[Std Nom]]="",Table1[[#This Row],[Std Read]]=""),0,Table1[[#This Row],[Std Nom]]-Table1[[#This Row],[Std Read]])</f>
        <v>0</v>
      </c>
      <c r="N342" s="1">
        <f>IF(Calculations!$F$5="ACCREDITED 17025 WITH UNCERTAINTIES",$N$10,0)</f>
        <v>0</v>
      </c>
      <c r="Q342" s="1">
        <f>Table1[[#This Row],[High Tol]]-Table1[[#This Row],[Low Tol]]</f>
        <v>0</v>
      </c>
      <c r="R342" s="1">
        <f>2*Table1[[#This Row],[Std Error]]</f>
        <v>0</v>
      </c>
      <c r="S342" s="1" t="str">
        <f>IF(Table1[[#This Row],[High Tol]]="","N/A",IFERROR(ABS(Table1[[#This Row],[Tol Span]]/Table1[[#This Row],[Error Span]]),"N/A"))</f>
        <v>N/A</v>
      </c>
      <c r="T342" s="1" t="str">
        <f>IF(OR(Table1[[#This Row],[Low Tol]]="",Table1[[#This Row],[High Tol]]=""),"Needs Analysis",IF(Table1[[#This Row],[Ratio]]&gt;=4,"Not Significant",IF(Table1[[#This Row],[Ratio]]&gt;=2,"Semi-Significant","Significant")))</f>
        <v>Needs Analysis</v>
      </c>
      <c r="W342" s="1">
        <f>IF(Table1[[#This Row],[Cal Type]]&lt;&gt;"ACCREDITED 17025 WITH UNCERTAINTIES",0,"")</f>
        <v>0</v>
      </c>
      <c r="X342" s="1" t="str">
        <f>IF(Table1[[#This Row],[DUT Read]]="","N/A",Table1[[#This Row],[Std Error]]+Table1[[#This Row],[DUT Read]]+Table1[[#This Row],[DUT Ucty]])</f>
        <v>N/A</v>
      </c>
      <c r="Y342" s="1" t="str">
        <f>IF(Table1[[#This Row],[Std Read]]="","N/A",Table1[[#This Row],[Std Read]]+Table1[[#This Row],[Std Ucty]])</f>
        <v>N/A</v>
      </c>
      <c r="Z3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2" s="1" t="str">
        <f>IF(Table1[[#This Row],[Spec Type]]="","N/A",Table1[[#This Row],[Spec Type]])</f>
        <v>±</v>
      </c>
      <c r="AC342" s="1" t="str">
        <f>IF(Table1[[#This Row],[Spec Type2]]="N/A","N/A",IF(AND(Table1[[#This Row],[DUT Adj Read]]&gt;=Table1[[#This Row],[Low Tol]],Table1[[#This Row],[DUT Adj Read]]&lt;=Table1[[#This Row],[High Tol]]),"Pass","Fail"))</f>
        <v>Fail</v>
      </c>
      <c r="AD342" s="1" t="str">
        <f>IF(AND(Table1[[#This Row],[Spec Type2]]="N/A",Table1[[#This Row],[DUT Adj Read]]="N/A",Table1[[#This Row],[Std Adj Read]]="N/A"),"N/A",IF(Table1[[#This Row],[DUT Adj Read]]="N/A",IF(Table1[[#This Row],[Std Adj Read]]&gt;Table1[[#This Row],[Low Tol]],"Pass","Fail"),IF(Table1[[#This Row],[DUT Adj Read]]&gt;Table1[[#This Row],[Low Tol]],"Pass","Fail")))</f>
        <v>Pass</v>
      </c>
      <c r="AE342" s="1" t="str">
        <f>IF(AND(Table1[[#This Row],[Spec Type2]]="N/A",Table1[[#This Row],[DUT Adj Read]]="N/A",Table1[[#This Row],[Std Adj Read]]="N/A"),"N/A",IF(Table1[[#This Row],[DUT Adj Read]]="N/A",IF(Table1[[#This Row],[Std Adj Read]]&lt;Table1[[#This Row],[High Tol]],"Pass","Fail"),IF(Table1[[#This Row],[DUT Adj Read]]&lt;Table1[[#This Row],[High Tol]],"Pass","Fail")))</f>
        <v>Fail</v>
      </c>
      <c r="AF342" s="1" t="str">
        <f>IF(AND(Table1[[#This Row],[Spec Type2]]="N/A",Table1[[#This Row],[DUT Adj Read]]="N/A",Table1[[#This Row],[Std Adj Read]]="N/A"),"N/A",IF(Table1[[#This Row],[DUT Adj Read]]="N/A",IF(Table1[[#This Row],[Std Adj Read]]&gt;=Table1[[#This Row],[Low Tol]],"Pass","Fail"),IF(Table1[[#This Row],[DUT Adj Read]]&gt;=Table1[[#This Row],[Low Tol]],"Pass","Fail")))</f>
        <v>Pass</v>
      </c>
      <c r="AG342" s="1" t="str">
        <f>IF(AND(Table1[[#This Row],[Spec Type2]]="N/A",Table1[[#This Row],[DUT Adj Read]]="N/A",Table1[[#This Row],[Std Adj Read]]="N/A"),"N/A",IF(Table1[[#This Row],[DUT Adj Read]]="N/A",IF(Table1[[#This Row],[Std Adj Read]]&lt;=Table1[[#This Row],[High Tol]],"Pass","Fail"),IF(Table1[[#This Row],[DUT Adj Read]]&lt;=Table1[[#This Row],[High Tol]],"Pass","Fail")))</f>
        <v>Fail</v>
      </c>
      <c r="AH3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2" s="1" t="b">
        <v>0</v>
      </c>
      <c r="AN342" s="1" t="b">
        <v>0</v>
      </c>
      <c r="AO342" s="1" t="b">
        <v>0</v>
      </c>
    </row>
    <row r="343" spans="1:41" x14ac:dyDescent="0.25">
      <c r="A343" s="10"/>
      <c r="B343" s="10"/>
      <c r="C343" s="10"/>
      <c r="D343" s="10"/>
      <c r="E343" s="10"/>
      <c r="F343" s="10"/>
      <c r="G343" s="10"/>
      <c r="H343" s="10"/>
      <c r="I343" s="1" t="str">
        <f t="shared" si="15"/>
        <v/>
      </c>
      <c r="J343" s="1" t="s">
        <v>35</v>
      </c>
      <c r="K343" s="1" t="str">
        <f t="shared" si="16"/>
        <v/>
      </c>
      <c r="L343" s="1" t="str">
        <f t="shared" si="17"/>
        <v/>
      </c>
      <c r="M343" s="1">
        <f>IF(OR(Table1[[#This Row],[Std Nom]]="",Table1[[#This Row],[Std Read]]=""),0,Table1[[#This Row],[Std Nom]]-Table1[[#This Row],[Std Read]])</f>
        <v>0</v>
      </c>
      <c r="N343" s="1">
        <f>IF(Calculations!$F$5="ACCREDITED 17025 WITH UNCERTAINTIES",$N$10,0)</f>
        <v>0</v>
      </c>
      <c r="Q343" s="1">
        <f>Table1[[#This Row],[High Tol]]-Table1[[#This Row],[Low Tol]]</f>
        <v>0</v>
      </c>
      <c r="R343" s="1">
        <f>2*Table1[[#This Row],[Std Error]]</f>
        <v>0</v>
      </c>
      <c r="S343" s="1" t="str">
        <f>IF(Table1[[#This Row],[High Tol]]="","N/A",IFERROR(ABS(Table1[[#This Row],[Tol Span]]/Table1[[#This Row],[Error Span]]),"N/A"))</f>
        <v>N/A</v>
      </c>
      <c r="T343" s="1" t="str">
        <f>IF(OR(Table1[[#This Row],[Low Tol]]="",Table1[[#This Row],[High Tol]]=""),"Needs Analysis",IF(Table1[[#This Row],[Ratio]]&gt;=4,"Not Significant",IF(Table1[[#This Row],[Ratio]]&gt;=2,"Semi-Significant","Significant")))</f>
        <v>Needs Analysis</v>
      </c>
      <c r="W343" s="1">
        <f>IF(Table1[[#This Row],[Cal Type]]&lt;&gt;"ACCREDITED 17025 WITH UNCERTAINTIES",0,"")</f>
        <v>0</v>
      </c>
      <c r="X343" s="1" t="str">
        <f>IF(Table1[[#This Row],[DUT Read]]="","N/A",Table1[[#This Row],[Std Error]]+Table1[[#This Row],[DUT Read]]+Table1[[#This Row],[DUT Ucty]])</f>
        <v>N/A</v>
      </c>
      <c r="Y343" s="1" t="str">
        <f>IF(Table1[[#This Row],[Std Read]]="","N/A",Table1[[#This Row],[Std Read]]+Table1[[#This Row],[Std Ucty]])</f>
        <v>N/A</v>
      </c>
      <c r="Z3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3" s="1" t="str">
        <f>IF(Table1[[#This Row],[Spec Type]]="","N/A",Table1[[#This Row],[Spec Type]])</f>
        <v>±</v>
      </c>
      <c r="AC343" s="1" t="str">
        <f>IF(Table1[[#This Row],[Spec Type2]]="N/A","N/A",IF(AND(Table1[[#This Row],[DUT Adj Read]]&gt;=Table1[[#This Row],[Low Tol]],Table1[[#This Row],[DUT Adj Read]]&lt;=Table1[[#This Row],[High Tol]]),"Pass","Fail"))</f>
        <v>Fail</v>
      </c>
      <c r="AD343" s="1" t="str">
        <f>IF(AND(Table1[[#This Row],[Spec Type2]]="N/A",Table1[[#This Row],[DUT Adj Read]]="N/A",Table1[[#This Row],[Std Adj Read]]="N/A"),"N/A",IF(Table1[[#This Row],[DUT Adj Read]]="N/A",IF(Table1[[#This Row],[Std Adj Read]]&gt;Table1[[#This Row],[Low Tol]],"Pass","Fail"),IF(Table1[[#This Row],[DUT Adj Read]]&gt;Table1[[#This Row],[Low Tol]],"Pass","Fail")))</f>
        <v>Pass</v>
      </c>
      <c r="AE343" s="1" t="str">
        <f>IF(AND(Table1[[#This Row],[Spec Type2]]="N/A",Table1[[#This Row],[DUT Adj Read]]="N/A",Table1[[#This Row],[Std Adj Read]]="N/A"),"N/A",IF(Table1[[#This Row],[DUT Adj Read]]="N/A",IF(Table1[[#This Row],[Std Adj Read]]&lt;Table1[[#This Row],[High Tol]],"Pass","Fail"),IF(Table1[[#This Row],[DUT Adj Read]]&lt;Table1[[#This Row],[High Tol]],"Pass","Fail")))</f>
        <v>Fail</v>
      </c>
      <c r="AF343" s="1" t="str">
        <f>IF(AND(Table1[[#This Row],[Spec Type2]]="N/A",Table1[[#This Row],[DUT Adj Read]]="N/A",Table1[[#This Row],[Std Adj Read]]="N/A"),"N/A",IF(Table1[[#This Row],[DUT Adj Read]]="N/A",IF(Table1[[#This Row],[Std Adj Read]]&gt;=Table1[[#This Row],[Low Tol]],"Pass","Fail"),IF(Table1[[#This Row],[DUT Adj Read]]&gt;=Table1[[#This Row],[Low Tol]],"Pass","Fail")))</f>
        <v>Pass</v>
      </c>
      <c r="AG343" s="1" t="str">
        <f>IF(AND(Table1[[#This Row],[Spec Type2]]="N/A",Table1[[#This Row],[DUT Adj Read]]="N/A",Table1[[#This Row],[Std Adj Read]]="N/A"),"N/A",IF(Table1[[#This Row],[DUT Adj Read]]="N/A",IF(Table1[[#This Row],[Std Adj Read]]&lt;=Table1[[#This Row],[High Tol]],"Pass","Fail"),IF(Table1[[#This Row],[DUT Adj Read]]&lt;=Table1[[#This Row],[High Tol]],"Pass","Fail")))</f>
        <v>Fail</v>
      </c>
      <c r="AH3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3" s="1" t="b">
        <v>0</v>
      </c>
      <c r="AN343" s="1" t="b">
        <v>0</v>
      </c>
      <c r="AO343" s="1" t="b">
        <v>0</v>
      </c>
    </row>
    <row r="344" spans="1:41" x14ac:dyDescent="0.25">
      <c r="A344" s="10"/>
      <c r="B344" s="10"/>
      <c r="C344" s="10"/>
      <c r="D344" s="10"/>
      <c r="E344" s="10"/>
      <c r="F344" s="10"/>
      <c r="G344" s="10"/>
      <c r="H344" s="10"/>
      <c r="I344" s="1" t="str">
        <f t="shared" si="15"/>
        <v/>
      </c>
      <c r="J344" s="1" t="s">
        <v>35</v>
      </c>
      <c r="K344" s="1" t="str">
        <f t="shared" si="16"/>
        <v/>
      </c>
      <c r="L344" s="1" t="str">
        <f t="shared" si="17"/>
        <v/>
      </c>
      <c r="M344" s="1">
        <f>IF(OR(Table1[[#This Row],[Std Nom]]="",Table1[[#This Row],[Std Read]]=""),0,Table1[[#This Row],[Std Nom]]-Table1[[#This Row],[Std Read]])</f>
        <v>0</v>
      </c>
      <c r="N344" s="1">
        <f>IF(Calculations!$F$5="ACCREDITED 17025 WITH UNCERTAINTIES",$N$10,0)</f>
        <v>0</v>
      </c>
      <c r="Q344" s="1">
        <f>Table1[[#This Row],[High Tol]]-Table1[[#This Row],[Low Tol]]</f>
        <v>0</v>
      </c>
      <c r="R344" s="1">
        <f>2*Table1[[#This Row],[Std Error]]</f>
        <v>0</v>
      </c>
      <c r="S344" s="1" t="str">
        <f>IF(Table1[[#This Row],[High Tol]]="","N/A",IFERROR(ABS(Table1[[#This Row],[Tol Span]]/Table1[[#This Row],[Error Span]]),"N/A"))</f>
        <v>N/A</v>
      </c>
      <c r="T344" s="1" t="str">
        <f>IF(OR(Table1[[#This Row],[Low Tol]]="",Table1[[#This Row],[High Tol]]=""),"Needs Analysis",IF(Table1[[#This Row],[Ratio]]&gt;=4,"Not Significant",IF(Table1[[#This Row],[Ratio]]&gt;=2,"Semi-Significant","Significant")))</f>
        <v>Needs Analysis</v>
      </c>
      <c r="W344" s="1">
        <f>IF(Table1[[#This Row],[Cal Type]]&lt;&gt;"ACCREDITED 17025 WITH UNCERTAINTIES",0,"")</f>
        <v>0</v>
      </c>
      <c r="X344" s="1" t="str">
        <f>IF(Table1[[#This Row],[DUT Read]]="","N/A",Table1[[#This Row],[Std Error]]+Table1[[#This Row],[DUT Read]]+Table1[[#This Row],[DUT Ucty]])</f>
        <v>N/A</v>
      </c>
      <c r="Y344" s="1" t="str">
        <f>IF(Table1[[#This Row],[Std Read]]="","N/A",Table1[[#This Row],[Std Read]]+Table1[[#This Row],[Std Ucty]])</f>
        <v>N/A</v>
      </c>
      <c r="Z3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4" s="1" t="str">
        <f>IF(Table1[[#This Row],[Spec Type]]="","N/A",Table1[[#This Row],[Spec Type]])</f>
        <v>±</v>
      </c>
      <c r="AC344" s="1" t="str">
        <f>IF(Table1[[#This Row],[Spec Type2]]="N/A","N/A",IF(AND(Table1[[#This Row],[DUT Adj Read]]&gt;=Table1[[#This Row],[Low Tol]],Table1[[#This Row],[DUT Adj Read]]&lt;=Table1[[#This Row],[High Tol]]),"Pass","Fail"))</f>
        <v>Fail</v>
      </c>
      <c r="AD344" s="1" t="str">
        <f>IF(AND(Table1[[#This Row],[Spec Type2]]="N/A",Table1[[#This Row],[DUT Adj Read]]="N/A",Table1[[#This Row],[Std Adj Read]]="N/A"),"N/A",IF(Table1[[#This Row],[DUT Adj Read]]="N/A",IF(Table1[[#This Row],[Std Adj Read]]&gt;Table1[[#This Row],[Low Tol]],"Pass","Fail"),IF(Table1[[#This Row],[DUT Adj Read]]&gt;Table1[[#This Row],[Low Tol]],"Pass","Fail")))</f>
        <v>Pass</v>
      </c>
      <c r="AE344" s="1" t="str">
        <f>IF(AND(Table1[[#This Row],[Spec Type2]]="N/A",Table1[[#This Row],[DUT Adj Read]]="N/A",Table1[[#This Row],[Std Adj Read]]="N/A"),"N/A",IF(Table1[[#This Row],[DUT Adj Read]]="N/A",IF(Table1[[#This Row],[Std Adj Read]]&lt;Table1[[#This Row],[High Tol]],"Pass","Fail"),IF(Table1[[#This Row],[DUT Adj Read]]&lt;Table1[[#This Row],[High Tol]],"Pass","Fail")))</f>
        <v>Fail</v>
      </c>
      <c r="AF344" s="1" t="str">
        <f>IF(AND(Table1[[#This Row],[Spec Type2]]="N/A",Table1[[#This Row],[DUT Adj Read]]="N/A",Table1[[#This Row],[Std Adj Read]]="N/A"),"N/A",IF(Table1[[#This Row],[DUT Adj Read]]="N/A",IF(Table1[[#This Row],[Std Adj Read]]&gt;=Table1[[#This Row],[Low Tol]],"Pass","Fail"),IF(Table1[[#This Row],[DUT Adj Read]]&gt;=Table1[[#This Row],[Low Tol]],"Pass","Fail")))</f>
        <v>Pass</v>
      </c>
      <c r="AG344" s="1" t="str">
        <f>IF(AND(Table1[[#This Row],[Spec Type2]]="N/A",Table1[[#This Row],[DUT Adj Read]]="N/A",Table1[[#This Row],[Std Adj Read]]="N/A"),"N/A",IF(Table1[[#This Row],[DUT Adj Read]]="N/A",IF(Table1[[#This Row],[Std Adj Read]]&lt;=Table1[[#This Row],[High Tol]],"Pass","Fail"),IF(Table1[[#This Row],[DUT Adj Read]]&lt;=Table1[[#This Row],[High Tol]],"Pass","Fail")))</f>
        <v>Fail</v>
      </c>
      <c r="AH3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4" s="1" t="b">
        <v>0</v>
      </c>
      <c r="AN344" s="1" t="b">
        <v>0</v>
      </c>
      <c r="AO344" s="1" t="b">
        <v>0</v>
      </c>
    </row>
    <row r="345" spans="1:41" x14ac:dyDescent="0.25">
      <c r="A345" s="10"/>
      <c r="B345" s="10"/>
      <c r="C345" s="10"/>
      <c r="D345" s="10"/>
      <c r="E345" s="10"/>
      <c r="F345" s="10"/>
      <c r="G345" s="10"/>
      <c r="H345" s="10"/>
      <c r="I345" s="1" t="str">
        <f t="shared" si="15"/>
        <v/>
      </c>
      <c r="J345" s="1" t="s">
        <v>35</v>
      </c>
      <c r="K345" s="1" t="str">
        <f t="shared" si="16"/>
        <v/>
      </c>
      <c r="L345" s="1" t="str">
        <f t="shared" si="17"/>
        <v/>
      </c>
      <c r="M345" s="1">
        <f>IF(OR(Table1[[#This Row],[Std Nom]]="",Table1[[#This Row],[Std Read]]=""),0,Table1[[#This Row],[Std Nom]]-Table1[[#This Row],[Std Read]])</f>
        <v>0</v>
      </c>
      <c r="N345" s="1">
        <f>IF(Calculations!$F$5="ACCREDITED 17025 WITH UNCERTAINTIES",$N$10,0)</f>
        <v>0</v>
      </c>
      <c r="Q345" s="1">
        <f>Table1[[#This Row],[High Tol]]-Table1[[#This Row],[Low Tol]]</f>
        <v>0</v>
      </c>
      <c r="R345" s="1">
        <f>2*Table1[[#This Row],[Std Error]]</f>
        <v>0</v>
      </c>
      <c r="S345" s="1" t="str">
        <f>IF(Table1[[#This Row],[High Tol]]="","N/A",IFERROR(ABS(Table1[[#This Row],[Tol Span]]/Table1[[#This Row],[Error Span]]),"N/A"))</f>
        <v>N/A</v>
      </c>
      <c r="T345" s="1" t="str">
        <f>IF(OR(Table1[[#This Row],[Low Tol]]="",Table1[[#This Row],[High Tol]]=""),"Needs Analysis",IF(Table1[[#This Row],[Ratio]]&gt;=4,"Not Significant",IF(Table1[[#This Row],[Ratio]]&gt;=2,"Semi-Significant","Significant")))</f>
        <v>Needs Analysis</v>
      </c>
      <c r="W345" s="1">
        <f>IF(Table1[[#This Row],[Cal Type]]&lt;&gt;"ACCREDITED 17025 WITH UNCERTAINTIES",0,"")</f>
        <v>0</v>
      </c>
      <c r="X345" s="1" t="str">
        <f>IF(Table1[[#This Row],[DUT Read]]="","N/A",Table1[[#This Row],[Std Error]]+Table1[[#This Row],[DUT Read]]+Table1[[#This Row],[DUT Ucty]])</f>
        <v>N/A</v>
      </c>
      <c r="Y345" s="1" t="str">
        <f>IF(Table1[[#This Row],[Std Read]]="","N/A",Table1[[#This Row],[Std Read]]+Table1[[#This Row],[Std Ucty]])</f>
        <v>N/A</v>
      </c>
      <c r="Z3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5" s="1" t="str">
        <f>IF(Table1[[#This Row],[Spec Type]]="","N/A",Table1[[#This Row],[Spec Type]])</f>
        <v>±</v>
      </c>
      <c r="AC345" s="1" t="str">
        <f>IF(Table1[[#This Row],[Spec Type2]]="N/A","N/A",IF(AND(Table1[[#This Row],[DUT Adj Read]]&gt;=Table1[[#This Row],[Low Tol]],Table1[[#This Row],[DUT Adj Read]]&lt;=Table1[[#This Row],[High Tol]]),"Pass","Fail"))</f>
        <v>Fail</v>
      </c>
      <c r="AD345" s="1" t="str">
        <f>IF(AND(Table1[[#This Row],[Spec Type2]]="N/A",Table1[[#This Row],[DUT Adj Read]]="N/A",Table1[[#This Row],[Std Adj Read]]="N/A"),"N/A",IF(Table1[[#This Row],[DUT Adj Read]]="N/A",IF(Table1[[#This Row],[Std Adj Read]]&gt;Table1[[#This Row],[Low Tol]],"Pass","Fail"),IF(Table1[[#This Row],[DUT Adj Read]]&gt;Table1[[#This Row],[Low Tol]],"Pass","Fail")))</f>
        <v>Pass</v>
      </c>
      <c r="AE345" s="1" t="str">
        <f>IF(AND(Table1[[#This Row],[Spec Type2]]="N/A",Table1[[#This Row],[DUT Adj Read]]="N/A",Table1[[#This Row],[Std Adj Read]]="N/A"),"N/A",IF(Table1[[#This Row],[DUT Adj Read]]="N/A",IF(Table1[[#This Row],[Std Adj Read]]&lt;Table1[[#This Row],[High Tol]],"Pass","Fail"),IF(Table1[[#This Row],[DUT Adj Read]]&lt;Table1[[#This Row],[High Tol]],"Pass","Fail")))</f>
        <v>Fail</v>
      </c>
      <c r="AF345" s="1" t="str">
        <f>IF(AND(Table1[[#This Row],[Spec Type2]]="N/A",Table1[[#This Row],[DUT Adj Read]]="N/A",Table1[[#This Row],[Std Adj Read]]="N/A"),"N/A",IF(Table1[[#This Row],[DUT Adj Read]]="N/A",IF(Table1[[#This Row],[Std Adj Read]]&gt;=Table1[[#This Row],[Low Tol]],"Pass","Fail"),IF(Table1[[#This Row],[DUT Adj Read]]&gt;=Table1[[#This Row],[Low Tol]],"Pass","Fail")))</f>
        <v>Pass</v>
      </c>
      <c r="AG345" s="1" t="str">
        <f>IF(AND(Table1[[#This Row],[Spec Type2]]="N/A",Table1[[#This Row],[DUT Adj Read]]="N/A",Table1[[#This Row],[Std Adj Read]]="N/A"),"N/A",IF(Table1[[#This Row],[DUT Adj Read]]="N/A",IF(Table1[[#This Row],[Std Adj Read]]&lt;=Table1[[#This Row],[High Tol]],"Pass","Fail"),IF(Table1[[#This Row],[DUT Adj Read]]&lt;=Table1[[#This Row],[High Tol]],"Pass","Fail")))</f>
        <v>Fail</v>
      </c>
      <c r="AH3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5" s="1" t="b">
        <v>0</v>
      </c>
      <c r="AN345" s="1" t="b">
        <v>0</v>
      </c>
      <c r="AO345" s="1" t="b">
        <v>0</v>
      </c>
    </row>
    <row r="346" spans="1:41" x14ac:dyDescent="0.25">
      <c r="A346" s="10"/>
      <c r="B346" s="10"/>
      <c r="C346" s="10"/>
      <c r="D346" s="10"/>
      <c r="E346" s="10"/>
      <c r="F346" s="10"/>
      <c r="G346" s="10"/>
      <c r="H346" s="10"/>
      <c r="I346" s="1" t="str">
        <f t="shared" si="15"/>
        <v/>
      </c>
      <c r="J346" s="1" t="s">
        <v>35</v>
      </c>
      <c r="K346" s="1" t="str">
        <f t="shared" si="16"/>
        <v/>
      </c>
      <c r="L346" s="1" t="str">
        <f t="shared" si="17"/>
        <v/>
      </c>
      <c r="M346" s="1">
        <f>IF(OR(Table1[[#This Row],[Std Nom]]="",Table1[[#This Row],[Std Read]]=""),0,Table1[[#This Row],[Std Nom]]-Table1[[#This Row],[Std Read]])</f>
        <v>0</v>
      </c>
      <c r="N346" s="1">
        <f>IF(Calculations!$F$5="ACCREDITED 17025 WITH UNCERTAINTIES",$N$10,0)</f>
        <v>0</v>
      </c>
      <c r="Q346" s="1">
        <f>Table1[[#This Row],[High Tol]]-Table1[[#This Row],[Low Tol]]</f>
        <v>0</v>
      </c>
      <c r="R346" s="1">
        <f>2*Table1[[#This Row],[Std Error]]</f>
        <v>0</v>
      </c>
      <c r="S346" s="1" t="str">
        <f>IF(Table1[[#This Row],[High Tol]]="","N/A",IFERROR(ABS(Table1[[#This Row],[Tol Span]]/Table1[[#This Row],[Error Span]]),"N/A"))</f>
        <v>N/A</v>
      </c>
      <c r="T346" s="1" t="str">
        <f>IF(OR(Table1[[#This Row],[Low Tol]]="",Table1[[#This Row],[High Tol]]=""),"Needs Analysis",IF(Table1[[#This Row],[Ratio]]&gt;=4,"Not Significant",IF(Table1[[#This Row],[Ratio]]&gt;=2,"Semi-Significant","Significant")))</f>
        <v>Needs Analysis</v>
      </c>
      <c r="W346" s="1">
        <f>IF(Table1[[#This Row],[Cal Type]]&lt;&gt;"ACCREDITED 17025 WITH UNCERTAINTIES",0,"")</f>
        <v>0</v>
      </c>
      <c r="X346" s="1" t="str">
        <f>IF(Table1[[#This Row],[DUT Read]]="","N/A",Table1[[#This Row],[Std Error]]+Table1[[#This Row],[DUT Read]]+Table1[[#This Row],[DUT Ucty]])</f>
        <v>N/A</v>
      </c>
      <c r="Y346" s="1" t="str">
        <f>IF(Table1[[#This Row],[Std Read]]="","N/A",Table1[[#This Row],[Std Read]]+Table1[[#This Row],[Std Ucty]])</f>
        <v>N/A</v>
      </c>
      <c r="Z3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6" s="1" t="str">
        <f>IF(Table1[[#This Row],[Spec Type]]="","N/A",Table1[[#This Row],[Spec Type]])</f>
        <v>±</v>
      </c>
      <c r="AC346" s="1" t="str">
        <f>IF(Table1[[#This Row],[Spec Type2]]="N/A","N/A",IF(AND(Table1[[#This Row],[DUT Adj Read]]&gt;=Table1[[#This Row],[Low Tol]],Table1[[#This Row],[DUT Adj Read]]&lt;=Table1[[#This Row],[High Tol]]),"Pass","Fail"))</f>
        <v>Fail</v>
      </c>
      <c r="AD346" s="1" t="str">
        <f>IF(AND(Table1[[#This Row],[Spec Type2]]="N/A",Table1[[#This Row],[DUT Adj Read]]="N/A",Table1[[#This Row],[Std Adj Read]]="N/A"),"N/A",IF(Table1[[#This Row],[DUT Adj Read]]="N/A",IF(Table1[[#This Row],[Std Adj Read]]&gt;Table1[[#This Row],[Low Tol]],"Pass","Fail"),IF(Table1[[#This Row],[DUT Adj Read]]&gt;Table1[[#This Row],[Low Tol]],"Pass","Fail")))</f>
        <v>Pass</v>
      </c>
      <c r="AE346" s="1" t="str">
        <f>IF(AND(Table1[[#This Row],[Spec Type2]]="N/A",Table1[[#This Row],[DUT Adj Read]]="N/A",Table1[[#This Row],[Std Adj Read]]="N/A"),"N/A",IF(Table1[[#This Row],[DUT Adj Read]]="N/A",IF(Table1[[#This Row],[Std Adj Read]]&lt;Table1[[#This Row],[High Tol]],"Pass","Fail"),IF(Table1[[#This Row],[DUT Adj Read]]&lt;Table1[[#This Row],[High Tol]],"Pass","Fail")))</f>
        <v>Fail</v>
      </c>
      <c r="AF346" s="1" t="str">
        <f>IF(AND(Table1[[#This Row],[Spec Type2]]="N/A",Table1[[#This Row],[DUT Adj Read]]="N/A",Table1[[#This Row],[Std Adj Read]]="N/A"),"N/A",IF(Table1[[#This Row],[DUT Adj Read]]="N/A",IF(Table1[[#This Row],[Std Adj Read]]&gt;=Table1[[#This Row],[Low Tol]],"Pass","Fail"),IF(Table1[[#This Row],[DUT Adj Read]]&gt;=Table1[[#This Row],[Low Tol]],"Pass","Fail")))</f>
        <v>Pass</v>
      </c>
      <c r="AG346" s="1" t="str">
        <f>IF(AND(Table1[[#This Row],[Spec Type2]]="N/A",Table1[[#This Row],[DUT Adj Read]]="N/A",Table1[[#This Row],[Std Adj Read]]="N/A"),"N/A",IF(Table1[[#This Row],[DUT Adj Read]]="N/A",IF(Table1[[#This Row],[Std Adj Read]]&lt;=Table1[[#This Row],[High Tol]],"Pass","Fail"),IF(Table1[[#This Row],[DUT Adj Read]]&lt;=Table1[[#This Row],[High Tol]],"Pass","Fail")))</f>
        <v>Fail</v>
      </c>
      <c r="AH3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6" s="1" t="b">
        <v>0</v>
      </c>
      <c r="AN346" s="1" t="b">
        <v>0</v>
      </c>
      <c r="AO346" s="1" t="b">
        <v>0</v>
      </c>
    </row>
    <row r="347" spans="1:41" x14ac:dyDescent="0.25">
      <c r="A347" s="10"/>
      <c r="B347" s="10"/>
      <c r="C347" s="10"/>
      <c r="D347" s="10"/>
      <c r="E347" s="10"/>
      <c r="F347" s="10"/>
      <c r="G347" s="10"/>
      <c r="H347" s="10"/>
      <c r="I347" s="1" t="str">
        <f t="shared" si="15"/>
        <v/>
      </c>
      <c r="J347" s="1" t="s">
        <v>35</v>
      </c>
      <c r="K347" s="1" t="str">
        <f t="shared" si="16"/>
        <v/>
      </c>
      <c r="L347" s="1" t="str">
        <f t="shared" si="17"/>
        <v/>
      </c>
      <c r="M347" s="1">
        <f>IF(OR(Table1[[#This Row],[Std Nom]]="",Table1[[#This Row],[Std Read]]=""),0,Table1[[#This Row],[Std Nom]]-Table1[[#This Row],[Std Read]])</f>
        <v>0</v>
      </c>
      <c r="N347" s="1">
        <f>IF(Calculations!$F$5="ACCREDITED 17025 WITH UNCERTAINTIES",$N$10,0)</f>
        <v>0</v>
      </c>
      <c r="Q347" s="1">
        <f>Table1[[#This Row],[High Tol]]-Table1[[#This Row],[Low Tol]]</f>
        <v>0</v>
      </c>
      <c r="R347" s="1">
        <f>2*Table1[[#This Row],[Std Error]]</f>
        <v>0</v>
      </c>
      <c r="S347" s="1" t="str">
        <f>IF(Table1[[#This Row],[High Tol]]="","N/A",IFERROR(ABS(Table1[[#This Row],[Tol Span]]/Table1[[#This Row],[Error Span]]),"N/A"))</f>
        <v>N/A</v>
      </c>
      <c r="T347" s="1" t="str">
        <f>IF(OR(Table1[[#This Row],[Low Tol]]="",Table1[[#This Row],[High Tol]]=""),"Needs Analysis",IF(Table1[[#This Row],[Ratio]]&gt;=4,"Not Significant",IF(Table1[[#This Row],[Ratio]]&gt;=2,"Semi-Significant","Significant")))</f>
        <v>Needs Analysis</v>
      </c>
      <c r="W347" s="1">
        <f>IF(Table1[[#This Row],[Cal Type]]&lt;&gt;"ACCREDITED 17025 WITH UNCERTAINTIES",0,"")</f>
        <v>0</v>
      </c>
      <c r="X347" s="1" t="str">
        <f>IF(Table1[[#This Row],[DUT Read]]="","N/A",Table1[[#This Row],[Std Error]]+Table1[[#This Row],[DUT Read]]+Table1[[#This Row],[DUT Ucty]])</f>
        <v>N/A</v>
      </c>
      <c r="Y347" s="1" t="str">
        <f>IF(Table1[[#This Row],[Std Read]]="","N/A",Table1[[#This Row],[Std Read]]+Table1[[#This Row],[Std Ucty]])</f>
        <v>N/A</v>
      </c>
      <c r="Z3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7" s="1" t="str">
        <f>IF(Table1[[#This Row],[Spec Type]]="","N/A",Table1[[#This Row],[Spec Type]])</f>
        <v>±</v>
      </c>
      <c r="AC347" s="1" t="str">
        <f>IF(Table1[[#This Row],[Spec Type2]]="N/A","N/A",IF(AND(Table1[[#This Row],[DUT Adj Read]]&gt;=Table1[[#This Row],[Low Tol]],Table1[[#This Row],[DUT Adj Read]]&lt;=Table1[[#This Row],[High Tol]]),"Pass","Fail"))</f>
        <v>Fail</v>
      </c>
      <c r="AD347" s="1" t="str">
        <f>IF(AND(Table1[[#This Row],[Spec Type2]]="N/A",Table1[[#This Row],[DUT Adj Read]]="N/A",Table1[[#This Row],[Std Adj Read]]="N/A"),"N/A",IF(Table1[[#This Row],[DUT Adj Read]]="N/A",IF(Table1[[#This Row],[Std Adj Read]]&gt;Table1[[#This Row],[Low Tol]],"Pass","Fail"),IF(Table1[[#This Row],[DUT Adj Read]]&gt;Table1[[#This Row],[Low Tol]],"Pass","Fail")))</f>
        <v>Pass</v>
      </c>
      <c r="AE347" s="1" t="str">
        <f>IF(AND(Table1[[#This Row],[Spec Type2]]="N/A",Table1[[#This Row],[DUT Adj Read]]="N/A",Table1[[#This Row],[Std Adj Read]]="N/A"),"N/A",IF(Table1[[#This Row],[DUT Adj Read]]="N/A",IF(Table1[[#This Row],[Std Adj Read]]&lt;Table1[[#This Row],[High Tol]],"Pass","Fail"),IF(Table1[[#This Row],[DUT Adj Read]]&lt;Table1[[#This Row],[High Tol]],"Pass","Fail")))</f>
        <v>Fail</v>
      </c>
      <c r="AF347" s="1" t="str">
        <f>IF(AND(Table1[[#This Row],[Spec Type2]]="N/A",Table1[[#This Row],[DUT Adj Read]]="N/A",Table1[[#This Row],[Std Adj Read]]="N/A"),"N/A",IF(Table1[[#This Row],[DUT Adj Read]]="N/A",IF(Table1[[#This Row],[Std Adj Read]]&gt;=Table1[[#This Row],[Low Tol]],"Pass","Fail"),IF(Table1[[#This Row],[DUT Adj Read]]&gt;=Table1[[#This Row],[Low Tol]],"Pass","Fail")))</f>
        <v>Pass</v>
      </c>
      <c r="AG347" s="1" t="str">
        <f>IF(AND(Table1[[#This Row],[Spec Type2]]="N/A",Table1[[#This Row],[DUT Adj Read]]="N/A",Table1[[#This Row],[Std Adj Read]]="N/A"),"N/A",IF(Table1[[#This Row],[DUT Adj Read]]="N/A",IF(Table1[[#This Row],[Std Adj Read]]&lt;=Table1[[#This Row],[High Tol]],"Pass","Fail"),IF(Table1[[#This Row],[DUT Adj Read]]&lt;=Table1[[#This Row],[High Tol]],"Pass","Fail")))</f>
        <v>Fail</v>
      </c>
      <c r="AH3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7" s="1" t="b">
        <v>0</v>
      </c>
      <c r="AN347" s="1" t="b">
        <v>0</v>
      </c>
      <c r="AO347" s="1" t="b">
        <v>0</v>
      </c>
    </row>
    <row r="348" spans="1:41" x14ac:dyDescent="0.25">
      <c r="A348" s="10"/>
      <c r="B348" s="10"/>
      <c r="C348" s="10"/>
      <c r="D348" s="10"/>
      <c r="E348" s="10"/>
      <c r="F348" s="10"/>
      <c r="G348" s="10"/>
      <c r="H348" s="10"/>
      <c r="I348" s="1" t="str">
        <f t="shared" si="15"/>
        <v/>
      </c>
      <c r="J348" s="1" t="s">
        <v>35</v>
      </c>
      <c r="K348" s="1" t="str">
        <f t="shared" si="16"/>
        <v/>
      </c>
      <c r="L348" s="1" t="str">
        <f t="shared" si="17"/>
        <v/>
      </c>
      <c r="M348" s="1">
        <f>IF(OR(Table1[[#This Row],[Std Nom]]="",Table1[[#This Row],[Std Read]]=""),0,Table1[[#This Row],[Std Nom]]-Table1[[#This Row],[Std Read]])</f>
        <v>0</v>
      </c>
      <c r="N348" s="1">
        <f>IF(Calculations!$F$5="ACCREDITED 17025 WITH UNCERTAINTIES",$N$10,0)</f>
        <v>0</v>
      </c>
      <c r="Q348" s="1">
        <f>Table1[[#This Row],[High Tol]]-Table1[[#This Row],[Low Tol]]</f>
        <v>0</v>
      </c>
      <c r="R348" s="1">
        <f>2*Table1[[#This Row],[Std Error]]</f>
        <v>0</v>
      </c>
      <c r="S348" s="1" t="str">
        <f>IF(Table1[[#This Row],[High Tol]]="","N/A",IFERROR(ABS(Table1[[#This Row],[Tol Span]]/Table1[[#This Row],[Error Span]]),"N/A"))</f>
        <v>N/A</v>
      </c>
      <c r="T348" s="1" t="str">
        <f>IF(OR(Table1[[#This Row],[Low Tol]]="",Table1[[#This Row],[High Tol]]=""),"Needs Analysis",IF(Table1[[#This Row],[Ratio]]&gt;=4,"Not Significant",IF(Table1[[#This Row],[Ratio]]&gt;=2,"Semi-Significant","Significant")))</f>
        <v>Needs Analysis</v>
      </c>
      <c r="W348" s="1">
        <f>IF(Table1[[#This Row],[Cal Type]]&lt;&gt;"ACCREDITED 17025 WITH UNCERTAINTIES",0,"")</f>
        <v>0</v>
      </c>
      <c r="X348" s="1" t="str">
        <f>IF(Table1[[#This Row],[DUT Read]]="","N/A",Table1[[#This Row],[Std Error]]+Table1[[#This Row],[DUT Read]]+Table1[[#This Row],[DUT Ucty]])</f>
        <v>N/A</v>
      </c>
      <c r="Y348" s="1" t="str">
        <f>IF(Table1[[#This Row],[Std Read]]="","N/A",Table1[[#This Row],[Std Read]]+Table1[[#This Row],[Std Ucty]])</f>
        <v>N/A</v>
      </c>
      <c r="Z3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8" s="1" t="str">
        <f>IF(Table1[[#This Row],[Spec Type]]="","N/A",Table1[[#This Row],[Spec Type]])</f>
        <v>±</v>
      </c>
      <c r="AC348" s="1" t="str">
        <f>IF(Table1[[#This Row],[Spec Type2]]="N/A","N/A",IF(AND(Table1[[#This Row],[DUT Adj Read]]&gt;=Table1[[#This Row],[Low Tol]],Table1[[#This Row],[DUT Adj Read]]&lt;=Table1[[#This Row],[High Tol]]),"Pass","Fail"))</f>
        <v>Fail</v>
      </c>
      <c r="AD348" s="1" t="str">
        <f>IF(AND(Table1[[#This Row],[Spec Type2]]="N/A",Table1[[#This Row],[DUT Adj Read]]="N/A",Table1[[#This Row],[Std Adj Read]]="N/A"),"N/A",IF(Table1[[#This Row],[DUT Adj Read]]="N/A",IF(Table1[[#This Row],[Std Adj Read]]&gt;Table1[[#This Row],[Low Tol]],"Pass","Fail"),IF(Table1[[#This Row],[DUT Adj Read]]&gt;Table1[[#This Row],[Low Tol]],"Pass","Fail")))</f>
        <v>Pass</v>
      </c>
      <c r="AE348" s="1" t="str">
        <f>IF(AND(Table1[[#This Row],[Spec Type2]]="N/A",Table1[[#This Row],[DUT Adj Read]]="N/A",Table1[[#This Row],[Std Adj Read]]="N/A"),"N/A",IF(Table1[[#This Row],[DUT Adj Read]]="N/A",IF(Table1[[#This Row],[Std Adj Read]]&lt;Table1[[#This Row],[High Tol]],"Pass","Fail"),IF(Table1[[#This Row],[DUT Adj Read]]&lt;Table1[[#This Row],[High Tol]],"Pass","Fail")))</f>
        <v>Fail</v>
      </c>
      <c r="AF348" s="1" t="str">
        <f>IF(AND(Table1[[#This Row],[Spec Type2]]="N/A",Table1[[#This Row],[DUT Adj Read]]="N/A",Table1[[#This Row],[Std Adj Read]]="N/A"),"N/A",IF(Table1[[#This Row],[DUT Adj Read]]="N/A",IF(Table1[[#This Row],[Std Adj Read]]&gt;=Table1[[#This Row],[Low Tol]],"Pass","Fail"),IF(Table1[[#This Row],[DUT Adj Read]]&gt;=Table1[[#This Row],[Low Tol]],"Pass","Fail")))</f>
        <v>Pass</v>
      </c>
      <c r="AG348" s="1" t="str">
        <f>IF(AND(Table1[[#This Row],[Spec Type2]]="N/A",Table1[[#This Row],[DUT Adj Read]]="N/A",Table1[[#This Row],[Std Adj Read]]="N/A"),"N/A",IF(Table1[[#This Row],[DUT Adj Read]]="N/A",IF(Table1[[#This Row],[Std Adj Read]]&lt;=Table1[[#This Row],[High Tol]],"Pass","Fail"),IF(Table1[[#This Row],[DUT Adj Read]]&lt;=Table1[[#This Row],[High Tol]],"Pass","Fail")))</f>
        <v>Fail</v>
      </c>
      <c r="AH3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8" s="1" t="b">
        <v>0</v>
      </c>
      <c r="AN348" s="1" t="b">
        <v>0</v>
      </c>
      <c r="AO348" s="1" t="b">
        <v>0</v>
      </c>
    </row>
    <row r="349" spans="1:41" x14ac:dyDescent="0.25">
      <c r="A349" s="10"/>
      <c r="B349" s="10"/>
      <c r="C349" s="10"/>
      <c r="D349" s="10"/>
      <c r="E349" s="10"/>
      <c r="F349" s="10"/>
      <c r="G349" s="10"/>
      <c r="H349" s="10"/>
      <c r="I349" s="1" t="str">
        <f t="shared" si="15"/>
        <v/>
      </c>
      <c r="J349" s="1" t="s">
        <v>35</v>
      </c>
      <c r="K349" s="1" t="str">
        <f t="shared" si="16"/>
        <v/>
      </c>
      <c r="L349" s="1" t="str">
        <f t="shared" si="17"/>
        <v/>
      </c>
      <c r="M349" s="1">
        <f>IF(OR(Table1[[#This Row],[Std Nom]]="",Table1[[#This Row],[Std Read]]=""),0,Table1[[#This Row],[Std Nom]]-Table1[[#This Row],[Std Read]])</f>
        <v>0</v>
      </c>
      <c r="N349" s="1">
        <f>IF(Calculations!$F$5="ACCREDITED 17025 WITH UNCERTAINTIES",$N$10,0)</f>
        <v>0</v>
      </c>
      <c r="Q349" s="1">
        <f>Table1[[#This Row],[High Tol]]-Table1[[#This Row],[Low Tol]]</f>
        <v>0</v>
      </c>
      <c r="R349" s="1">
        <f>2*Table1[[#This Row],[Std Error]]</f>
        <v>0</v>
      </c>
      <c r="S349" s="1" t="str">
        <f>IF(Table1[[#This Row],[High Tol]]="","N/A",IFERROR(ABS(Table1[[#This Row],[Tol Span]]/Table1[[#This Row],[Error Span]]),"N/A"))</f>
        <v>N/A</v>
      </c>
      <c r="T349" s="1" t="str">
        <f>IF(OR(Table1[[#This Row],[Low Tol]]="",Table1[[#This Row],[High Tol]]=""),"Needs Analysis",IF(Table1[[#This Row],[Ratio]]&gt;=4,"Not Significant",IF(Table1[[#This Row],[Ratio]]&gt;=2,"Semi-Significant","Significant")))</f>
        <v>Needs Analysis</v>
      </c>
      <c r="W349" s="1">
        <f>IF(Table1[[#This Row],[Cal Type]]&lt;&gt;"ACCREDITED 17025 WITH UNCERTAINTIES",0,"")</f>
        <v>0</v>
      </c>
      <c r="X349" s="1" t="str">
        <f>IF(Table1[[#This Row],[DUT Read]]="","N/A",Table1[[#This Row],[Std Error]]+Table1[[#This Row],[DUT Read]]+Table1[[#This Row],[DUT Ucty]])</f>
        <v>N/A</v>
      </c>
      <c r="Y349" s="1" t="str">
        <f>IF(Table1[[#This Row],[Std Read]]="","N/A",Table1[[#This Row],[Std Read]]+Table1[[#This Row],[Std Ucty]])</f>
        <v>N/A</v>
      </c>
      <c r="Z3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49" s="1" t="str">
        <f>IF(Table1[[#This Row],[Spec Type]]="","N/A",Table1[[#This Row],[Spec Type]])</f>
        <v>±</v>
      </c>
      <c r="AC349" s="1" t="str">
        <f>IF(Table1[[#This Row],[Spec Type2]]="N/A","N/A",IF(AND(Table1[[#This Row],[DUT Adj Read]]&gt;=Table1[[#This Row],[Low Tol]],Table1[[#This Row],[DUT Adj Read]]&lt;=Table1[[#This Row],[High Tol]]),"Pass","Fail"))</f>
        <v>Fail</v>
      </c>
      <c r="AD349" s="1" t="str">
        <f>IF(AND(Table1[[#This Row],[Spec Type2]]="N/A",Table1[[#This Row],[DUT Adj Read]]="N/A",Table1[[#This Row],[Std Adj Read]]="N/A"),"N/A",IF(Table1[[#This Row],[DUT Adj Read]]="N/A",IF(Table1[[#This Row],[Std Adj Read]]&gt;Table1[[#This Row],[Low Tol]],"Pass","Fail"),IF(Table1[[#This Row],[DUT Adj Read]]&gt;Table1[[#This Row],[Low Tol]],"Pass","Fail")))</f>
        <v>Pass</v>
      </c>
      <c r="AE349" s="1" t="str">
        <f>IF(AND(Table1[[#This Row],[Spec Type2]]="N/A",Table1[[#This Row],[DUT Adj Read]]="N/A",Table1[[#This Row],[Std Adj Read]]="N/A"),"N/A",IF(Table1[[#This Row],[DUT Adj Read]]="N/A",IF(Table1[[#This Row],[Std Adj Read]]&lt;Table1[[#This Row],[High Tol]],"Pass","Fail"),IF(Table1[[#This Row],[DUT Adj Read]]&lt;Table1[[#This Row],[High Tol]],"Pass","Fail")))</f>
        <v>Fail</v>
      </c>
      <c r="AF349" s="1" t="str">
        <f>IF(AND(Table1[[#This Row],[Spec Type2]]="N/A",Table1[[#This Row],[DUT Adj Read]]="N/A",Table1[[#This Row],[Std Adj Read]]="N/A"),"N/A",IF(Table1[[#This Row],[DUT Adj Read]]="N/A",IF(Table1[[#This Row],[Std Adj Read]]&gt;=Table1[[#This Row],[Low Tol]],"Pass","Fail"),IF(Table1[[#This Row],[DUT Adj Read]]&gt;=Table1[[#This Row],[Low Tol]],"Pass","Fail")))</f>
        <v>Pass</v>
      </c>
      <c r="AG349" s="1" t="str">
        <f>IF(AND(Table1[[#This Row],[Spec Type2]]="N/A",Table1[[#This Row],[DUT Adj Read]]="N/A",Table1[[#This Row],[Std Adj Read]]="N/A"),"N/A",IF(Table1[[#This Row],[DUT Adj Read]]="N/A",IF(Table1[[#This Row],[Std Adj Read]]&lt;=Table1[[#This Row],[High Tol]],"Pass","Fail"),IF(Table1[[#This Row],[DUT Adj Read]]&lt;=Table1[[#This Row],[High Tol]],"Pass","Fail")))</f>
        <v>Fail</v>
      </c>
      <c r="AH3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49" s="1" t="b">
        <v>0</v>
      </c>
      <c r="AN349" s="1" t="b">
        <v>0</v>
      </c>
      <c r="AO349" s="1" t="b">
        <v>0</v>
      </c>
    </row>
    <row r="350" spans="1:41" x14ac:dyDescent="0.25">
      <c r="A350" s="10"/>
      <c r="B350" s="10"/>
      <c r="C350" s="10"/>
      <c r="D350" s="10"/>
      <c r="E350" s="10"/>
      <c r="F350" s="10"/>
      <c r="G350" s="10"/>
      <c r="H350" s="10"/>
      <c r="I350" s="1" t="str">
        <f t="shared" si="15"/>
        <v/>
      </c>
      <c r="J350" s="1" t="s">
        <v>35</v>
      </c>
      <c r="K350" s="1" t="str">
        <f t="shared" si="16"/>
        <v/>
      </c>
      <c r="L350" s="1" t="str">
        <f t="shared" si="17"/>
        <v/>
      </c>
      <c r="M350" s="1">
        <f>IF(OR(Table1[[#This Row],[Std Nom]]="",Table1[[#This Row],[Std Read]]=""),0,Table1[[#This Row],[Std Nom]]-Table1[[#This Row],[Std Read]])</f>
        <v>0</v>
      </c>
      <c r="N350" s="1">
        <f>IF(Calculations!$F$5="ACCREDITED 17025 WITH UNCERTAINTIES",$N$10,0)</f>
        <v>0</v>
      </c>
      <c r="Q350" s="1">
        <f>Table1[[#This Row],[High Tol]]-Table1[[#This Row],[Low Tol]]</f>
        <v>0</v>
      </c>
      <c r="R350" s="1">
        <f>2*Table1[[#This Row],[Std Error]]</f>
        <v>0</v>
      </c>
      <c r="S350" s="1" t="str">
        <f>IF(Table1[[#This Row],[High Tol]]="","N/A",IFERROR(ABS(Table1[[#This Row],[Tol Span]]/Table1[[#This Row],[Error Span]]),"N/A"))</f>
        <v>N/A</v>
      </c>
      <c r="T350" s="1" t="str">
        <f>IF(OR(Table1[[#This Row],[Low Tol]]="",Table1[[#This Row],[High Tol]]=""),"Needs Analysis",IF(Table1[[#This Row],[Ratio]]&gt;=4,"Not Significant",IF(Table1[[#This Row],[Ratio]]&gt;=2,"Semi-Significant","Significant")))</f>
        <v>Needs Analysis</v>
      </c>
      <c r="W350" s="1">
        <f>IF(Table1[[#This Row],[Cal Type]]&lt;&gt;"ACCREDITED 17025 WITH UNCERTAINTIES",0,"")</f>
        <v>0</v>
      </c>
      <c r="X350" s="1" t="str">
        <f>IF(Table1[[#This Row],[DUT Read]]="","N/A",Table1[[#This Row],[Std Error]]+Table1[[#This Row],[DUT Read]]+Table1[[#This Row],[DUT Ucty]])</f>
        <v>N/A</v>
      </c>
      <c r="Y350" s="1" t="str">
        <f>IF(Table1[[#This Row],[Std Read]]="","N/A",Table1[[#This Row],[Std Read]]+Table1[[#This Row],[Std Ucty]])</f>
        <v>N/A</v>
      </c>
      <c r="Z3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0" s="1" t="str">
        <f>IF(Table1[[#This Row],[Spec Type]]="","N/A",Table1[[#This Row],[Spec Type]])</f>
        <v>±</v>
      </c>
      <c r="AC350" s="1" t="str">
        <f>IF(Table1[[#This Row],[Spec Type2]]="N/A","N/A",IF(AND(Table1[[#This Row],[DUT Adj Read]]&gt;=Table1[[#This Row],[Low Tol]],Table1[[#This Row],[DUT Adj Read]]&lt;=Table1[[#This Row],[High Tol]]),"Pass","Fail"))</f>
        <v>Fail</v>
      </c>
      <c r="AD350" s="1" t="str">
        <f>IF(AND(Table1[[#This Row],[Spec Type2]]="N/A",Table1[[#This Row],[DUT Adj Read]]="N/A",Table1[[#This Row],[Std Adj Read]]="N/A"),"N/A",IF(Table1[[#This Row],[DUT Adj Read]]="N/A",IF(Table1[[#This Row],[Std Adj Read]]&gt;Table1[[#This Row],[Low Tol]],"Pass","Fail"),IF(Table1[[#This Row],[DUT Adj Read]]&gt;Table1[[#This Row],[Low Tol]],"Pass","Fail")))</f>
        <v>Pass</v>
      </c>
      <c r="AE350" s="1" t="str">
        <f>IF(AND(Table1[[#This Row],[Spec Type2]]="N/A",Table1[[#This Row],[DUT Adj Read]]="N/A",Table1[[#This Row],[Std Adj Read]]="N/A"),"N/A",IF(Table1[[#This Row],[DUT Adj Read]]="N/A",IF(Table1[[#This Row],[Std Adj Read]]&lt;Table1[[#This Row],[High Tol]],"Pass","Fail"),IF(Table1[[#This Row],[DUT Adj Read]]&lt;Table1[[#This Row],[High Tol]],"Pass","Fail")))</f>
        <v>Fail</v>
      </c>
      <c r="AF350" s="1" t="str">
        <f>IF(AND(Table1[[#This Row],[Spec Type2]]="N/A",Table1[[#This Row],[DUT Adj Read]]="N/A",Table1[[#This Row],[Std Adj Read]]="N/A"),"N/A",IF(Table1[[#This Row],[DUT Adj Read]]="N/A",IF(Table1[[#This Row],[Std Adj Read]]&gt;=Table1[[#This Row],[Low Tol]],"Pass","Fail"),IF(Table1[[#This Row],[DUT Adj Read]]&gt;=Table1[[#This Row],[Low Tol]],"Pass","Fail")))</f>
        <v>Pass</v>
      </c>
      <c r="AG350" s="1" t="str">
        <f>IF(AND(Table1[[#This Row],[Spec Type2]]="N/A",Table1[[#This Row],[DUT Adj Read]]="N/A",Table1[[#This Row],[Std Adj Read]]="N/A"),"N/A",IF(Table1[[#This Row],[DUT Adj Read]]="N/A",IF(Table1[[#This Row],[Std Adj Read]]&lt;=Table1[[#This Row],[High Tol]],"Pass","Fail"),IF(Table1[[#This Row],[DUT Adj Read]]&lt;=Table1[[#This Row],[High Tol]],"Pass","Fail")))</f>
        <v>Fail</v>
      </c>
      <c r="AH3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0" s="1" t="b">
        <v>0</v>
      </c>
      <c r="AN350" s="1" t="b">
        <v>0</v>
      </c>
      <c r="AO350" s="1" t="b">
        <v>0</v>
      </c>
    </row>
    <row r="351" spans="1:41" x14ac:dyDescent="0.25">
      <c r="A351" s="10"/>
      <c r="B351" s="10"/>
      <c r="C351" s="10"/>
      <c r="D351" s="10"/>
      <c r="E351" s="10"/>
      <c r="F351" s="10"/>
      <c r="G351" s="10"/>
      <c r="H351" s="10"/>
      <c r="I351" s="1" t="str">
        <f t="shared" si="15"/>
        <v/>
      </c>
      <c r="J351" s="1" t="s">
        <v>35</v>
      </c>
      <c r="K351" s="1" t="str">
        <f t="shared" si="16"/>
        <v/>
      </c>
      <c r="L351" s="1" t="str">
        <f t="shared" si="17"/>
        <v/>
      </c>
      <c r="M351" s="1">
        <f>IF(OR(Table1[[#This Row],[Std Nom]]="",Table1[[#This Row],[Std Read]]=""),0,Table1[[#This Row],[Std Nom]]-Table1[[#This Row],[Std Read]])</f>
        <v>0</v>
      </c>
      <c r="N351" s="1">
        <f>IF(Calculations!$F$5="ACCREDITED 17025 WITH UNCERTAINTIES",$N$10,0)</f>
        <v>0</v>
      </c>
      <c r="Q351" s="1">
        <f>Table1[[#This Row],[High Tol]]-Table1[[#This Row],[Low Tol]]</f>
        <v>0</v>
      </c>
      <c r="R351" s="1">
        <f>2*Table1[[#This Row],[Std Error]]</f>
        <v>0</v>
      </c>
      <c r="S351" s="1" t="str">
        <f>IF(Table1[[#This Row],[High Tol]]="","N/A",IFERROR(ABS(Table1[[#This Row],[Tol Span]]/Table1[[#This Row],[Error Span]]),"N/A"))</f>
        <v>N/A</v>
      </c>
      <c r="T351" s="1" t="str">
        <f>IF(OR(Table1[[#This Row],[Low Tol]]="",Table1[[#This Row],[High Tol]]=""),"Needs Analysis",IF(Table1[[#This Row],[Ratio]]&gt;=4,"Not Significant",IF(Table1[[#This Row],[Ratio]]&gt;=2,"Semi-Significant","Significant")))</f>
        <v>Needs Analysis</v>
      </c>
      <c r="W351" s="1">
        <f>IF(Table1[[#This Row],[Cal Type]]&lt;&gt;"ACCREDITED 17025 WITH UNCERTAINTIES",0,"")</f>
        <v>0</v>
      </c>
      <c r="X351" s="1" t="str">
        <f>IF(Table1[[#This Row],[DUT Read]]="","N/A",Table1[[#This Row],[Std Error]]+Table1[[#This Row],[DUT Read]]+Table1[[#This Row],[DUT Ucty]])</f>
        <v>N/A</v>
      </c>
      <c r="Y351" s="1" t="str">
        <f>IF(Table1[[#This Row],[Std Read]]="","N/A",Table1[[#This Row],[Std Read]]+Table1[[#This Row],[Std Ucty]])</f>
        <v>N/A</v>
      </c>
      <c r="Z3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1" s="1" t="str">
        <f>IF(Table1[[#This Row],[Spec Type]]="","N/A",Table1[[#This Row],[Spec Type]])</f>
        <v>±</v>
      </c>
      <c r="AC351" s="1" t="str">
        <f>IF(Table1[[#This Row],[Spec Type2]]="N/A","N/A",IF(AND(Table1[[#This Row],[DUT Adj Read]]&gt;=Table1[[#This Row],[Low Tol]],Table1[[#This Row],[DUT Adj Read]]&lt;=Table1[[#This Row],[High Tol]]),"Pass","Fail"))</f>
        <v>Fail</v>
      </c>
      <c r="AD351" s="1" t="str">
        <f>IF(AND(Table1[[#This Row],[Spec Type2]]="N/A",Table1[[#This Row],[DUT Adj Read]]="N/A",Table1[[#This Row],[Std Adj Read]]="N/A"),"N/A",IF(Table1[[#This Row],[DUT Adj Read]]="N/A",IF(Table1[[#This Row],[Std Adj Read]]&gt;Table1[[#This Row],[Low Tol]],"Pass","Fail"),IF(Table1[[#This Row],[DUT Adj Read]]&gt;Table1[[#This Row],[Low Tol]],"Pass","Fail")))</f>
        <v>Pass</v>
      </c>
      <c r="AE351" s="1" t="str">
        <f>IF(AND(Table1[[#This Row],[Spec Type2]]="N/A",Table1[[#This Row],[DUT Adj Read]]="N/A",Table1[[#This Row],[Std Adj Read]]="N/A"),"N/A",IF(Table1[[#This Row],[DUT Adj Read]]="N/A",IF(Table1[[#This Row],[Std Adj Read]]&lt;Table1[[#This Row],[High Tol]],"Pass","Fail"),IF(Table1[[#This Row],[DUT Adj Read]]&lt;Table1[[#This Row],[High Tol]],"Pass","Fail")))</f>
        <v>Fail</v>
      </c>
      <c r="AF351" s="1" t="str">
        <f>IF(AND(Table1[[#This Row],[Spec Type2]]="N/A",Table1[[#This Row],[DUT Adj Read]]="N/A",Table1[[#This Row],[Std Adj Read]]="N/A"),"N/A",IF(Table1[[#This Row],[DUT Adj Read]]="N/A",IF(Table1[[#This Row],[Std Adj Read]]&gt;=Table1[[#This Row],[Low Tol]],"Pass","Fail"),IF(Table1[[#This Row],[DUT Adj Read]]&gt;=Table1[[#This Row],[Low Tol]],"Pass","Fail")))</f>
        <v>Pass</v>
      </c>
      <c r="AG351" s="1" t="str">
        <f>IF(AND(Table1[[#This Row],[Spec Type2]]="N/A",Table1[[#This Row],[DUT Adj Read]]="N/A",Table1[[#This Row],[Std Adj Read]]="N/A"),"N/A",IF(Table1[[#This Row],[DUT Adj Read]]="N/A",IF(Table1[[#This Row],[Std Adj Read]]&lt;=Table1[[#This Row],[High Tol]],"Pass","Fail"),IF(Table1[[#This Row],[DUT Adj Read]]&lt;=Table1[[#This Row],[High Tol]],"Pass","Fail")))</f>
        <v>Fail</v>
      </c>
      <c r="AH3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1" s="1" t="b">
        <v>0</v>
      </c>
      <c r="AN351" s="1" t="b">
        <v>0</v>
      </c>
      <c r="AO351" s="1" t="b">
        <v>0</v>
      </c>
    </row>
    <row r="352" spans="1:41" x14ac:dyDescent="0.25">
      <c r="A352" s="10"/>
      <c r="B352" s="10"/>
      <c r="C352" s="10"/>
      <c r="D352" s="10"/>
      <c r="E352" s="10"/>
      <c r="F352" s="10"/>
      <c r="G352" s="10"/>
      <c r="H352" s="10"/>
      <c r="I352" s="1" t="str">
        <f t="shared" si="15"/>
        <v/>
      </c>
      <c r="J352" s="1" t="s">
        <v>35</v>
      </c>
      <c r="K352" s="1" t="str">
        <f t="shared" si="16"/>
        <v/>
      </c>
      <c r="L352" s="1" t="str">
        <f t="shared" si="17"/>
        <v/>
      </c>
      <c r="M352" s="1">
        <f>IF(OR(Table1[[#This Row],[Std Nom]]="",Table1[[#This Row],[Std Read]]=""),0,Table1[[#This Row],[Std Nom]]-Table1[[#This Row],[Std Read]])</f>
        <v>0</v>
      </c>
      <c r="N352" s="1">
        <f>IF(Calculations!$F$5="ACCREDITED 17025 WITH UNCERTAINTIES",$N$10,0)</f>
        <v>0</v>
      </c>
      <c r="Q352" s="1">
        <f>Table1[[#This Row],[High Tol]]-Table1[[#This Row],[Low Tol]]</f>
        <v>0</v>
      </c>
      <c r="R352" s="1">
        <f>2*Table1[[#This Row],[Std Error]]</f>
        <v>0</v>
      </c>
      <c r="S352" s="1" t="str">
        <f>IF(Table1[[#This Row],[High Tol]]="","N/A",IFERROR(ABS(Table1[[#This Row],[Tol Span]]/Table1[[#This Row],[Error Span]]),"N/A"))</f>
        <v>N/A</v>
      </c>
      <c r="T352" s="1" t="str">
        <f>IF(OR(Table1[[#This Row],[Low Tol]]="",Table1[[#This Row],[High Tol]]=""),"Needs Analysis",IF(Table1[[#This Row],[Ratio]]&gt;=4,"Not Significant",IF(Table1[[#This Row],[Ratio]]&gt;=2,"Semi-Significant","Significant")))</f>
        <v>Needs Analysis</v>
      </c>
      <c r="W352" s="1">
        <f>IF(Table1[[#This Row],[Cal Type]]&lt;&gt;"ACCREDITED 17025 WITH UNCERTAINTIES",0,"")</f>
        <v>0</v>
      </c>
      <c r="X352" s="1" t="str">
        <f>IF(Table1[[#This Row],[DUT Read]]="","N/A",Table1[[#This Row],[Std Error]]+Table1[[#This Row],[DUT Read]]+Table1[[#This Row],[DUT Ucty]])</f>
        <v>N/A</v>
      </c>
      <c r="Y352" s="1" t="str">
        <f>IF(Table1[[#This Row],[Std Read]]="","N/A",Table1[[#This Row],[Std Read]]+Table1[[#This Row],[Std Ucty]])</f>
        <v>N/A</v>
      </c>
      <c r="Z3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2" s="1" t="str">
        <f>IF(Table1[[#This Row],[Spec Type]]="","N/A",Table1[[#This Row],[Spec Type]])</f>
        <v>±</v>
      </c>
      <c r="AC352" s="1" t="str">
        <f>IF(Table1[[#This Row],[Spec Type2]]="N/A","N/A",IF(AND(Table1[[#This Row],[DUT Adj Read]]&gt;=Table1[[#This Row],[Low Tol]],Table1[[#This Row],[DUT Adj Read]]&lt;=Table1[[#This Row],[High Tol]]),"Pass","Fail"))</f>
        <v>Fail</v>
      </c>
      <c r="AD352" s="1" t="str">
        <f>IF(AND(Table1[[#This Row],[Spec Type2]]="N/A",Table1[[#This Row],[DUT Adj Read]]="N/A",Table1[[#This Row],[Std Adj Read]]="N/A"),"N/A",IF(Table1[[#This Row],[DUT Adj Read]]="N/A",IF(Table1[[#This Row],[Std Adj Read]]&gt;Table1[[#This Row],[Low Tol]],"Pass","Fail"),IF(Table1[[#This Row],[DUT Adj Read]]&gt;Table1[[#This Row],[Low Tol]],"Pass","Fail")))</f>
        <v>Pass</v>
      </c>
      <c r="AE352" s="1" t="str">
        <f>IF(AND(Table1[[#This Row],[Spec Type2]]="N/A",Table1[[#This Row],[DUT Adj Read]]="N/A",Table1[[#This Row],[Std Adj Read]]="N/A"),"N/A",IF(Table1[[#This Row],[DUT Adj Read]]="N/A",IF(Table1[[#This Row],[Std Adj Read]]&lt;Table1[[#This Row],[High Tol]],"Pass","Fail"),IF(Table1[[#This Row],[DUT Adj Read]]&lt;Table1[[#This Row],[High Tol]],"Pass","Fail")))</f>
        <v>Fail</v>
      </c>
      <c r="AF352" s="1" t="str">
        <f>IF(AND(Table1[[#This Row],[Spec Type2]]="N/A",Table1[[#This Row],[DUT Adj Read]]="N/A",Table1[[#This Row],[Std Adj Read]]="N/A"),"N/A",IF(Table1[[#This Row],[DUT Adj Read]]="N/A",IF(Table1[[#This Row],[Std Adj Read]]&gt;=Table1[[#This Row],[Low Tol]],"Pass","Fail"),IF(Table1[[#This Row],[DUT Adj Read]]&gt;=Table1[[#This Row],[Low Tol]],"Pass","Fail")))</f>
        <v>Pass</v>
      </c>
      <c r="AG352" s="1" t="str">
        <f>IF(AND(Table1[[#This Row],[Spec Type2]]="N/A",Table1[[#This Row],[DUT Adj Read]]="N/A",Table1[[#This Row],[Std Adj Read]]="N/A"),"N/A",IF(Table1[[#This Row],[DUT Adj Read]]="N/A",IF(Table1[[#This Row],[Std Adj Read]]&lt;=Table1[[#This Row],[High Tol]],"Pass","Fail"),IF(Table1[[#This Row],[DUT Adj Read]]&lt;=Table1[[#This Row],[High Tol]],"Pass","Fail")))</f>
        <v>Fail</v>
      </c>
      <c r="AH3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2" s="1" t="b">
        <v>0</v>
      </c>
      <c r="AN352" s="1" t="b">
        <v>0</v>
      </c>
      <c r="AO352" s="1" t="b">
        <v>0</v>
      </c>
    </row>
    <row r="353" spans="1:41" x14ac:dyDescent="0.25">
      <c r="A353" s="10"/>
      <c r="B353" s="10"/>
      <c r="C353" s="10"/>
      <c r="D353" s="10"/>
      <c r="E353" s="10"/>
      <c r="F353" s="10"/>
      <c r="G353" s="10"/>
      <c r="H353" s="10"/>
      <c r="I353" s="1" t="str">
        <f t="shared" si="15"/>
        <v/>
      </c>
      <c r="J353" s="1" t="s">
        <v>35</v>
      </c>
      <c r="K353" s="1" t="str">
        <f t="shared" si="16"/>
        <v/>
      </c>
      <c r="L353" s="1" t="str">
        <f t="shared" si="17"/>
        <v/>
      </c>
      <c r="M353" s="1">
        <f>IF(OR(Table1[[#This Row],[Std Nom]]="",Table1[[#This Row],[Std Read]]=""),0,Table1[[#This Row],[Std Nom]]-Table1[[#This Row],[Std Read]])</f>
        <v>0</v>
      </c>
      <c r="N353" s="1">
        <f>IF(Calculations!$F$5="ACCREDITED 17025 WITH UNCERTAINTIES",$N$10,0)</f>
        <v>0</v>
      </c>
      <c r="Q353" s="1">
        <f>Table1[[#This Row],[High Tol]]-Table1[[#This Row],[Low Tol]]</f>
        <v>0</v>
      </c>
      <c r="R353" s="1">
        <f>2*Table1[[#This Row],[Std Error]]</f>
        <v>0</v>
      </c>
      <c r="S353" s="1" t="str">
        <f>IF(Table1[[#This Row],[High Tol]]="","N/A",IFERROR(ABS(Table1[[#This Row],[Tol Span]]/Table1[[#This Row],[Error Span]]),"N/A"))</f>
        <v>N/A</v>
      </c>
      <c r="T353" s="1" t="str">
        <f>IF(OR(Table1[[#This Row],[Low Tol]]="",Table1[[#This Row],[High Tol]]=""),"Needs Analysis",IF(Table1[[#This Row],[Ratio]]&gt;=4,"Not Significant",IF(Table1[[#This Row],[Ratio]]&gt;=2,"Semi-Significant","Significant")))</f>
        <v>Needs Analysis</v>
      </c>
      <c r="W353" s="1">
        <f>IF(Table1[[#This Row],[Cal Type]]&lt;&gt;"ACCREDITED 17025 WITH UNCERTAINTIES",0,"")</f>
        <v>0</v>
      </c>
      <c r="X353" s="1" t="str">
        <f>IF(Table1[[#This Row],[DUT Read]]="","N/A",Table1[[#This Row],[Std Error]]+Table1[[#This Row],[DUT Read]]+Table1[[#This Row],[DUT Ucty]])</f>
        <v>N/A</v>
      </c>
      <c r="Y353" s="1" t="str">
        <f>IF(Table1[[#This Row],[Std Read]]="","N/A",Table1[[#This Row],[Std Read]]+Table1[[#This Row],[Std Ucty]])</f>
        <v>N/A</v>
      </c>
      <c r="Z3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3" s="1" t="str">
        <f>IF(Table1[[#This Row],[Spec Type]]="","N/A",Table1[[#This Row],[Spec Type]])</f>
        <v>±</v>
      </c>
      <c r="AC353" s="1" t="str">
        <f>IF(Table1[[#This Row],[Spec Type2]]="N/A","N/A",IF(AND(Table1[[#This Row],[DUT Adj Read]]&gt;=Table1[[#This Row],[Low Tol]],Table1[[#This Row],[DUT Adj Read]]&lt;=Table1[[#This Row],[High Tol]]),"Pass","Fail"))</f>
        <v>Fail</v>
      </c>
      <c r="AD353" s="1" t="str">
        <f>IF(AND(Table1[[#This Row],[Spec Type2]]="N/A",Table1[[#This Row],[DUT Adj Read]]="N/A",Table1[[#This Row],[Std Adj Read]]="N/A"),"N/A",IF(Table1[[#This Row],[DUT Adj Read]]="N/A",IF(Table1[[#This Row],[Std Adj Read]]&gt;Table1[[#This Row],[Low Tol]],"Pass","Fail"),IF(Table1[[#This Row],[DUT Adj Read]]&gt;Table1[[#This Row],[Low Tol]],"Pass","Fail")))</f>
        <v>Pass</v>
      </c>
      <c r="AE353" s="1" t="str">
        <f>IF(AND(Table1[[#This Row],[Spec Type2]]="N/A",Table1[[#This Row],[DUT Adj Read]]="N/A",Table1[[#This Row],[Std Adj Read]]="N/A"),"N/A",IF(Table1[[#This Row],[DUT Adj Read]]="N/A",IF(Table1[[#This Row],[Std Adj Read]]&lt;Table1[[#This Row],[High Tol]],"Pass","Fail"),IF(Table1[[#This Row],[DUT Adj Read]]&lt;Table1[[#This Row],[High Tol]],"Pass","Fail")))</f>
        <v>Fail</v>
      </c>
      <c r="AF353" s="1" t="str">
        <f>IF(AND(Table1[[#This Row],[Spec Type2]]="N/A",Table1[[#This Row],[DUT Adj Read]]="N/A",Table1[[#This Row],[Std Adj Read]]="N/A"),"N/A",IF(Table1[[#This Row],[DUT Adj Read]]="N/A",IF(Table1[[#This Row],[Std Adj Read]]&gt;=Table1[[#This Row],[Low Tol]],"Pass","Fail"),IF(Table1[[#This Row],[DUT Adj Read]]&gt;=Table1[[#This Row],[Low Tol]],"Pass","Fail")))</f>
        <v>Pass</v>
      </c>
      <c r="AG353" s="1" t="str">
        <f>IF(AND(Table1[[#This Row],[Spec Type2]]="N/A",Table1[[#This Row],[DUT Adj Read]]="N/A",Table1[[#This Row],[Std Adj Read]]="N/A"),"N/A",IF(Table1[[#This Row],[DUT Adj Read]]="N/A",IF(Table1[[#This Row],[Std Adj Read]]&lt;=Table1[[#This Row],[High Tol]],"Pass","Fail"),IF(Table1[[#This Row],[DUT Adj Read]]&lt;=Table1[[#This Row],[High Tol]],"Pass","Fail")))</f>
        <v>Fail</v>
      </c>
      <c r="AH3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3" s="1" t="b">
        <v>0</v>
      </c>
      <c r="AN353" s="1" t="b">
        <v>0</v>
      </c>
      <c r="AO353" s="1" t="b">
        <v>0</v>
      </c>
    </row>
    <row r="354" spans="1:41" x14ac:dyDescent="0.25">
      <c r="A354" s="10"/>
      <c r="B354" s="10"/>
      <c r="C354" s="10"/>
      <c r="D354" s="10"/>
      <c r="E354" s="10"/>
      <c r="F354" s="10"/>
      <c r="G354" s="10"/>
      <c r="H354" s="10"/>
      <c r="I354" s="1" t="str">
        <f t="shared" si="15"/>
        <v/>
      </c>
      <c r="J354" s="1" t="s">
        <v>35</v>
      </c>
      <c r="K354" s="1" t="str">
        <f t="shared" si="16"/>
        <v/>
      </c>
      <c r="L354" s="1" t="str">
        <f t="shared" si="17"/>
        <v/>
      </c>
      <c r="M354" s="1">
        <f>IF(OR(Table1[[#This Row],[Std Nom]]="",Table1[[#This Row],[Std Read]]=""),0,Table1[[#This Row],[Std Nom]]-Table1[[#This Row],[Std Read]])</f>
        <v>0</v>
      </c>
      <c r="N354" s="1">
        <f>IF(Calculations!$F$5="ACCREDITED 17025 WITH UNCERTAINTIES",$N$10,0)</f>
        <v>0</v>
      </c>
      <c r="Q354" s="1">
        <f>Table1[[#This Row],[High Tol]]-Table1[[#This Row],[Low Tol]]</f>
        <v>0</v>
      </c>
      <c r="R354" s="1">
        <f>2*Table1[[#This Row],[Std Error]]</f>
        <v>0</v>
      </c>
      <c r="S354" s="1" t="str">
        <f>IF(Table1[[#This Row],[High Tol]]="","N/A",IFERROR(ABS(Table1[[#This Row],[Tol Span]]/Table1[[#This Row],[Error Span]]),"N/A"))</f>
        <v>N/A</v>
      </c>
      <c r="T354" s="1" t="str">
        <f>IF(OR(Table1[[#This Row],[Low Tol]]="",Table1[[#This Row],[High Tol]]=""),"Needs Analysis",IF(Table1[[#This Row],[Ratio]]&gt;=4,"Not Significant",IF(Table1[[#This Row],[Ratio]]&gt;=2,"Semi-Significant","Significant")))</f>
        <v>Needs Analysis</v>
      </c>
      <c r="W354" s="1">
        <f>IF(Table1[[#This Row],[Cal Type]]&lt;&gt;"ACCREDITED 17025 WITH UNCERTAINTIES",0,"")</f>
        <v>0</v>
      </c>
      <c r="X354" s="1" t="str">
        <f>IF(Table1[[#This Row],[DUT Read]]="","N/A",Table1[[#This Row],[Std Error]]+Table1[[#This Row],[DUT Read]]+Table1[[#This Row],[DUT Ucty]])</f>
        <v>N/A</v>
      </c>
      <c r="Y354" s="1" t="str">
        <f>IF(Table1[[#This Row],[Std Read]]="","N/A",Table1[[#This Row],[Std Read]]+Table1[[#This Row],[Std Ucty]])</f>
        <v>N/A</v>
      </c>
      <c r="Z3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4" s="1" t="str">
        <f>IF(Table1[[#This Row],[Spec Type]]="","N/A",Table1[[#This Row],[Spec Type]])</f>
        <v>±</v>
      </c>
      <c r="AC354" s="1" t="str">
        <f>IF(Table1[[#This Row],[Spec Type2]]="N/A","N/A",IF(AND(Table1[[#This Row],[DUT Adj Read]]&gt;=Table1[[#This Row],[Low Tol]],Table1[[#This Row],[DUT Adj Read]]&lt;=Table1[[#This Row],[High Tol]]),"Pass","Fail"))</f>
        <v>Fail</v>
      </c>
      <c r="AD354" s="1" t="str">
        <f>IF(AND(Table1[[#This Row],[Spec Type2]]="N/A",Table1[[#This Row],[DUT Adj Read]]="N/A",Table1[[#This Row],[Std Adj Read]]="N/A"),"N/A",IF(Table1[[#This Row],[DUT Adj Read]]="N/A",IF(Table1[[#This Row],[Std Adj Read]]&gt;Table1[[#This Row],[Low Tol]],"Pass","Fail"),IF(Table1[[#This Row],[DUT Adj Read]]&gt;Table1[[#This Row],[Low Tol]],"Pass","Fail")))</f>
        <v>Pass</v>
      </c>
      <c r="AE354" s="1" t="str">
        <f>IF(AND(Table1[[#This Row],[Spec Type2]]="N/A",Table1[[#This Row],[DUT Adj Read]]="N/A",Table1[[#This Row],[Std Adj Read]]="N/A"),"N/A",IF(Table1[[#This Row],[DUT Adj Read]]="N/A",IF(Table1[[#This Row],[Std Adj Read]]&lt;Table1[[#This Row],[High Tol]],"Pass","Fail"),IF(Table1[[#This Row],[DUT Adj Read]]&lt;Table1[[#This Row],[High Tol]],"Pass","Fail")))</f>
        <v>Fail</v>
      </c>
      <c r="AF354" s="1" t="str">
        <f>IF(AND(Table1[[#This Row],[Spec Type2]]="N/A",Table1[[#This Row],[DUT Adj Read]]="N/A",Table1[[#This Row],[Std Adj Read]]="N/A"),"N/A",IF(Table1[[#This Row],[DUT Adj Read]]="N/A",IF(Table1[[#This Row],[Std Adj Read]]&gt;=Table1[[#This Row],[Low Tol]],"Pass","Fail"),IF(Table1[[#This Row],[DUT Adj Read]]&gt;=Table1[[#This Row],[Low Tol]],"Pass","Fail")))</f>
        <v>Pass</v>
      </c>
      <c r="AG354" s="1" t="str">
        <f>IF(AND(Table1[[#This Row],[Spec Type2]]="N/A",Table1[[#This Row],[DUT Adj Read]]="N/A",Table1[[#This Row],[Std Adj Read]]="N/A"),"N/A",IF(Table1[[#This Row],[DUT Adj Read]]="N/A",IF(Table1[[#This Row],[Std Adj Read]]&lt;=Table1[[#This Row],[High Tol]],"Pass","Fail"),IF(Table1[[#This Row],[DUT Adj Read]]&lt;=Table1[[#This Row],[High Tol]],"Pass","Fail")))</f>
        <v>Fail</v>
      </c>
      <c r="AH3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4" s="1" t="b">
        <v>0</v>
      </c>
      <c r="AN354" s="1" t="b">
        <v>0</v>
      </c>
      <c r="AO354" s="1" t="b">
        <v>0</v>
      </c>
    </row>
    <row r="355" spans="1:41" x14ac:dyDescent="0.25">
      <c r="A355" s="10"/>
      <c r="B355" s="10"/>
      <c r="C355" s="10"/>
      <c r="D355" s="10"/>
      <c r="E355" s="10"/>
      <c r="F355" s="10"/>
      <c r="G355" s="10"/>
      <c r="H355" s="10"/>
      <c r="I355" s="1" t="str">
        <f t="shared" si="15"/>
        <v/>
      </c>
      <c r="J355" s="1" t="s">
        <v>35</v>
      </c>
      <c r="K355" s="1" t="str">
        <f t="shared" si="16"/>
        <v/>
      </c>
      <c r="L355" s="1" t="str">
        <f t="shared" si="17"/>
        <v/>
      </c>
      <c r="M355" s="1">
        <f>IF(OR(Table1[[#This Row],[Std Nom]]="",Table1[[#This Row],[Std Read]]=""),0,Table1[[#This Row],[Std Nom]]-Table1[[#This Row],[Std Read]])</f>
        <v>0</v>
      </c>
      <c r="N355" s="1">
        <f>IF(Calculations!$F$5="ACCREDITED 17025 WITH UNCERTAINTIES",$N$10,0)</f>
        <v>0</v>
      </c>
      <c r="Q355" s="1">
        <f>Table1[[#This Row],[High Tol]]-Table1[[#This Row],[Low Tol]]</f>
        <v>0</v>
      </c>
      <c r="R355" s="1">
        <f>2*Table1[[#This Row],[Std Error]]</f>
        <v>0</v>
      </c>
      <c r="S355" s="1" t="str">
        <f>IF(Table1[[#This Row],[High Tol]]="","N/A",IFERROR(ABS(Table1[[#This Row],[Tol Span]]/Table1[[#This Row],[Error Span]]),"N/A"))</f>
        <v>N/A</v>
      </c>
      <c r="T355" s="1" t="str">
        <f>IF(OR(Table1[[#This Row],[Low Tol]]="",Table1[[#This Row],[High Tol]]=""),"Needs Analysis",IF(Table1[[#This Row],[Ratio]]&gt;=4,"Not Significant",IF(Table1[[#This Row],[Ratio]]&gt;=2,"Semi-Significant","Significant")))</f>
        <v>Needs Analysis</v>
      </c>
      <c r="W355" s="1">
        <f>IF(Table1[[#This Row],[Cal Type]]&lt;&gt;"ACCREDITED 17025 WITH UNCERTAINTIES",0,"")</f>
        <v>0</v>
      </c>
      <c r="X355" s="1" t="str">
        <f>IF(Table1[[#This Row],[DUT Read]]="","N/A",Table1[[#This Row],[Std Error]]+Table1[[#This Row],[DUT Read]]+Table1[[#This Row],[DUT Ucty]])</f>
        <v>N/A</v>
      </c>
      <c r="Y355" s="1" t="str">
        <f>IF(Table1[[#This Row],[Std Read]]="","N/A",Table1[[#This Row],[Std Read]]+Table1[[#This Row],[Std Ucty]])</f>
        <v>N/A</v>
      </c>
      <c r="Z3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5" s="1" t="str">
        <f>IF(Table1[[#This Row],[Spec Type]]="","N/A",Table1[[#This Row],[Spec Type]])</f>
        <v>±</v>
      </c>
      <c r="AC355" s="1" t="str">
        <f>IF(Table1[[#This Row],[Spec Type2]]="N/A","N/A",IF(AND(Table1[[#This Row],[DUT Adj Read]]&gt;=Table1[[#This Row],[Low Tol]],Table1[[#This Row],[DUT Adj Read]]&lt;=Table1[[#This Row],[High Tol]]),"Pass","Fail"))</f>
        <v>Fail</v>
      </c>
      <c r="AD355" s="1" t="str">
        <f>IF(AND(Table1[[#This Row],[Spec Type2]]="N/A",Table1[[#This Row],[DUT Adj Read]]="N/A",Table1[[#This Row],[Std Adj Read]]="N/A"),"N/A",IF(Table1[[#This Row],[DUT Adj Read]]="N/A",IF(Table1[[#This Row],[Std Adj Read]]&gt;Table1[[#This Row],[Low Tol]],"Pass","Fail"),IF(Table1[[#This Row],[DUT Adj Read]]&gt;Table1[[#This Row],[Low Tol]],"Pass","Fail")))</f>
        <v>Pass</v>
      </c>
      <c r="AE355" s="1" t="str">
        <f>IF(AND(Table1[[#This Row],[Spec Type2]]="N/A",Table1[[#This Row],[DUT Adj Read]]="N/A",Table1[[#This Row],[Std Adj Read]]="N/A"),"N/A",IF(Table1[[#This Row],[DUT Adj Read]]="N/A",IF(Table1[[#This Row],[Std Adj Read]]&lt;Table1[[#This Row],[High Tol]],"Pass","Fail"),IF(Table1[[#This Row],[DUT Adj Read]]&lt;Table1[[#This Row],[High Tol]],"Pass","Fail")))</f>
        <v>Fail</v>
      </c>
      <c r="AF355" s="1" t="str">
        <f>IF(AND(Table1[[#This Row],[Spec Type2]]="N/A",Table1[[#This Row],[DUT Adj Read]]="N/A",Table1[[#This Row],[Std Adj Read]]="N/A"),"N/A",IF(Table1[[#This Row],[DUT Adj Read]]="N/A",IF(Table1[[#This Row],[Std Adj Read]]&gt;=Table1[[#This Row],[Low Tol]],"Pass","Fail"),IF(Table1[[#This Row],[DUT Adj Read]]&gt;=Table1[[#This Row],[Low Tol]],"Pass","Fail")))</f>
        <v>Pass</v>
      </c>
      <c r="AG355" s="1" t="str">
        <f>IF(AND(Table1[[#This Row],[Spec Type2]]="N/A",Table1[[#This Row],[DUT Adj Read]]="N/A",Table1[[#This Row],[Std Adj Read]]="N/A"),"N/A",IF(Table1[[#This Row],[DUT Adj Read]]="N/A",IF(Table1[[#This Row],[Std Adj Read]]&lt;=Table1[[#This Row],[High Tol]],"Pass","Fail"),IF(Table1[[#This Row],[DUT Adj Read]]&lt;=Table1[[#This Row],[High Tol]],"Pass","Fail")))</f>
        <v>Fail</v>
      </c>
      <c r="AH3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5" s="1" t="b">
        <v>0</v>
      </c>
      <c r="AN355" s="1" t="b">
        <v>0</v>
      </c>
      <c r="AO355" s="1" t="b">
        <v>0</v>
      </c>
    </row>
    <row r="356" spans="1:41" x14ac:dyDescent="0.25">
      <c r="A356" s="10"/>
      <c r="B356" s="10"/>
      <c r="C356" s="10"/>
      <c r="D356" s="10"/>
      <c r="E356" s="10"/>
      <c r="F356" s="10"/>
      <c r="G356" s="10"/>
      <c r="H356" s="10"/>
      <c r="I356" s="1" t="str">
        <f t="shared" si="15"/>
        <v/>
      </c>
      <c r="J356" s="1" t="s">
        <v>35</v>
      </c>
      <c r="K356" s="1" t="str">
        <f t="shared" si="16"/>
        <v/>
      </c>
      <c r="L356" s="1" t="str">
        <f t="shared" si="17"/>
        <v/>
      </c>
      <c r="M356" s="1">
        <f>IF(OR(Table1[[#This Row],[Std Nom]]="",Table1[[#This Row],[Std Read]]=""),0,Table1[[#This Row],[Std Nom]]-Table1[[#This Row],[Std Read]])</f>
        <v>0</v>
      </c>
      <c r="N356" s="1">
        <f>IF(Calculations!$F$5="ACCREDITED 17025 WITH UNCERTAINTIES",$N$10,0)</f>
        <v>0</v>
      </c>
      <c r="Q356" s="1">
        <f>Table1[[#This Row],[High Tol]]-Table1[[#This Row],[Low Tol]]</f>
        <v>0</v>
      </c>
      <c r="R356" s="1">
        <f>2*Table1[[#This Row],[Std Error]]</f>
        <v>0</v>
      </c>
      <c r="S356" s="1" t="str">
        <f>IF(Table1[[#This Row],[High Tol]]="","N/A",IFERROR(ABS(Table1[[#This Row],[Tol Span]]/Table1[[#This Row],[Error Span]]),"N/A"))</f>
        <v>N/A</v>
      </c>
      <c r="T356" s="1" t="str">
        <f>IF(OR(Table1[[#This Row],[Low Tol]]="",Table1[[#This Row],[High Tol]]=""),"Needs Analysis",IF(Table1[[#This Row],[Ratio]]&gt;=4,"Not Significant",IF(Table1[[#This Row],[Ratio]]&gt;=2,"Semi-Significant","Significant")))</f>
        <v>Needs Analysis</v>
      </c>
      <c r="W356" s="1">
        <f>IF(Table1[[#This Row],[Cal Type]]&lt;&gt;"ACCREDITED 17025 WITH UNCERTAINTIES",0,"")</f>
        <v>0</v>
      </c>
      <c r="X356" s="1" t="str">
        <f>IF(Table1[[#This Row],[DUT Read]]="","N/A",Table1[[#This Row],[Std Error]]+Table1[[#This Row],[DUT Read]]+Table1[[#This Row],[DUT Ucty]])</f>
        <v>N/A</v>
      </c>
      <c r="Y356" s="1" t="str">
        <f>IF(Table1[[#This Row],[Std Read]]="","N/A",Table1[[#This Row],[Std Read]]+Table1[[#This Row],[Std Ucty]])</f>
        <v>N/A</v>
      </c>
      <c r="Z3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6" s="1" t="str">
        <f>IF(Table1[[#This Row],[Spec Type]]="","N/A",Table1[[#This Row],[Spec Type]])</f>
        <v>±</v>
      </c>
      <c r="AC356" s="1" t="str">
        <f>IF(Table1[[#This Row],[Spec Type2]]="N/A","N/A",IF(AND(Table1[[#This Row],[DUT Adj Read]]&gt;=Table1[[#This Row],[Low Tol]],Table1[[#This Row],[DUT Adj Read]]&lt;=Table1[[#This Row],[High Tol]]),"Pass","Fail"))</f>
        <v>Fail</v>
      </c>
      <c r="AD356" s="1" t="str">
        <f>IF(AND(Table1[[#This Row],[Spec Type2]]="N/A",Table1[[#This Row],[DUT Adj Read]]="N/A",Table1[[#This Row],[Std Adj Read]]="N/A"),"N/A",IF(Table1[[#This Row],[DUT Adj Read]]="N/A",IF(Table1[[#This Row],[Std Adj Read]]&gt;Table1[[#This Row],[Low Tol]],"Pass","Fail"),IF(Table1[[#This Row],[DUT Adj Read]]&gt;Table1[[#This Row],[Low Tol]],"Pass","Fail")))</f>
        <v>Pass</v>
      </c>
      <c r="AE356" s="1" t="str">
        <f>IF(AND(Table1[[#This Row],[Spec Type2]]="N/A",Table1[[#This Row],[DUT Adj Read]]="N/A",Table1[[#This Row],[Std Adj Read]]="N/A"),"N/A",IF(Table1[[#This Row],[DUT Adj Read]]="N/A",IF(Table1[[#This Row],[Std Adj Read]]&lt;Table1[[#This Row],[High Tol]],"Pass","Fail"),IF(Table1[[#This Row],[DUT Adj Read]]&lt;Table1[[#This Row],[High Tol]],"Pass","Fail")))</f>
        <v>Fail</v>
      </c>
      <c r="AF356" s="1" t="str">
        <f>IF(AND(Table1[[#This Row],[Spec Type2]]="N/A",Table1[[#This Row],[DUT Adj Read]]="N/A",Table1[[#This Row],[Std Adj Read]]="N/A"),"N/A",IF(Table1[[#This Row],[DUT Adj Read]]="N/A",IF(Table1[[#This Row],[Std Adj Read]]&gt;=Table1[[#This Row],[Low Tol]],"Pass","Fail"),IF(Table1[[#This Row],[DUT Adj Read]]&gt;=Table1[[#This Row],[Low Tol]],"Pass","Fail")))</f>
        <v>Pass</v>
      </c>
      <c r="AG356" s="1" t="str">
        <f>IF(AND(Table1[[#This Row],[Spec Type2]]="N/A",Table1[[#This Row],[DUT Adj Read]]="N/A",Table1[[#This Row],[Std Adj Read]]="N/A"),"N/A",IF(Table1[[#This Row],[DUT Adj Read]]="N/A",IF(Table1[[#This Row],[Std Adj Read]]&lt;=Table1[[#This Row],[High Tol]],"Pass","Fail"),IF(Table1[[#This Row],[DUT Adj Read]]&lt;=Table1[[#This Row],[High Tol]],"Pass","Fail")))</f>
        <v>Fail</v>
      </c>
      <c r="AH3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6" s="1" t="b">
        <v>0</v>
      </c>
      <c r="AN356" s="1" t="b">
        <v>0</v>
      </c>
      <c r="AO356" s="1" t="b">
        <v>0</v>
      </c>
    </row>
    <row r="357" spans="1:41" x14ac:dyDescent="0.25">
      <c r="A357" s="10"/>
      <c r="B357" s="10"/>
      <c r="C357" s="10"/>
      <c r="D357" s="10"/>
      <c r="E357" s="10"/>
      <c r="F357" s="10"/>
      <c r="G357" s="10"/>
      <c r="H357" s="10"/>
      <c r="I357" s="1" t="str">
        <f t="shared" si="15"/>
        <v/>
      </c>
      <c r="J357" s="1" t="s">
        <v>35</v>
      </c>
      <c r="K357" s="1" t="str">
        <f t="shared" si="16"/>
        <v/>
      </c>
      <c r="L357" s="1" t="str">
        <f t="shared" si="17"/>
        <v/>
      </c>
      <c r="M357" s="1">
        <f>IF(OR(Table1[[#This Row],[Std Nom]]="",Table1[[#This Row],[Std Read]]=""),0,Table1[[#This Row],[Std Nom]]-Table1[[#This Row],[Std Read]])</f>
        <v>0</v>
      </c>
      <c r="N357" s="1">
        <f>IF(Calculations!$F$5="ACCREDITED 17025 WITH UNCERTAINTIES",$N$10,0)</f>
        <v>0</v>
      </c>
      <c r="Q357" s="1">
        <f>Table1[[#This Row],[High Tol]]-Table1[[#This Row],[Low Tol]]</f>
        <v>0</v>
      </c>
      <c r="R357" s="1">
        <f>2*Table1[[#This Row],[Std Error]]</f>
        <v>0</v>
      </c>
      <c r="S357" s="1" t="str">
        <f>IF(Table1[[#This Row],[High Tol]]="","N/A",IFERROR(ABS(Table1[[#This Row],[Tol Span]]/Table1[[#This Row],[Error Span]]),"N/A"))</f>
        <v>N/A</v>
      </c>
      <c r="T357" s="1" t="str">
        <f>IF(OR(Table1[[#This Row],[Low Tol]]="",Table1[[#This Row],[High Tol]]=""),"Needs Analysis",IF(Table1[[#This Row],[Ratio]]&gt;=4,"Not Significant",IF(Table1[[#This Row],[Ratio]]&gt;=2,"Semi-Significant","Significant")))</f>
        <v>Needs Analysis</v>
      </c>
      <c r="W357" s="1">
        <f>IF(Table1[[#This Row],[Cal Type]]&lt;&gt;"ACCREDITED 17025 WITH UNCERTAINTIES",0,"")</f>
        <v>0</v>
      </c>
      <c r="X357" s="1" t="str">
        <f>IF(Table1[[#This Row],[DUT Read]]="","N/A",Table1[[#This Row],[Std Error]]+Table1[[#This Row],[DUT Read]]+Table1[[#This Row],[DUT Ucty]])</f>
        <v>N/A</v>
      </c>
      <c r="Y357" s="1" t="str">
        <f>IF(Table1[[#This Row],[Std Read]]="","N/A",Table1[[#This Row],[Std Read]]+Table1[[#This Row],[Std Ucty]])</f>
        <v>N/A</v>
      </c>
      <c r="Z3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7" s="1" t="str">
        <f>IF(Table1[[#This Row],[Spec Type]]="","N/A",Table1[[#This Row],[Spec Type]])</f>
        <v>±</v>
      </c>
      <c r="AC357" s="1" t="str">
        <f>IF(Table1[[#This Row],[Spec Type2]]="N/A","N/A",IF(AND(Table1[[#This Row],[DUT Adj Read]]&gt;=Table1[[#This Row],[Low Tol]],Table1[[#This Row],[DUT Adj Read]]&lt;=Table1[[#This Row],[High Tol]]),"Pass","Fail"))</f>
        <v>Fail</v>
      </c>
      <c r="AD357" s="1" t="str">
        <f>IF(AND(Table1[[#This Row],[Spec Type2]]="N/A",Table1[[#This Row],[DUT Adj Read]]="N/A",Table1[[#This Row],[Std Adj Read]]="N/A"),"N/A",IF(Table1[[#This Row],[DUT Adj Read]]="N/A",IF(Table1[[#This Row],[Std Adj Read]]&gt;Table1[[#This Row],[Low Tol]],"Pass","Fail"),IF(Table1[[#This Row],[DUT Adj Read]]&gt;Table1[[#This Row],[Low Tol]],"Pass","Fail")))</f>
        <v>Pass</v>
      </c>
      <c r="AE357" s="1" t="str">
        <f>IF(AND(Table1[[#This Row],[Spec Type2]]="N/A",Table1[[#This Row],[DUT Adj Read]]="N/A",Table1[[#This Row],[Std Adj Read]]="N/A"),"N/A",IF(Table1[[#This Row],[DUT Adj Read]]="N/A",IF(Table1[[#This Row],[Std Adj Read]]&lt;Table1[[#This Row],[High Tol]],"Pass","Fail"),IF(Table1[[#This Row],[DUT Adj Read]]&lt;Table1[[#This Row],[High Tol]],"Pass","Fail")))</f>
        <v>Fail</v>
      </c>
      <c r="AF357" s="1" t="str">
        <f>IF(AND(Table1[[#This Row],[Spec Type2]]="N/A",Table1[[#This Row],[DUT Adj Read]]="N/A",Table1[[#This Row],[Std Adj Read]]="N/A"),"N/A",IF(Table1[[#This Row],[DUT Adj Read]]="N/A",IF(Table1[[#This Row],[Std Adj Read]]&gt;=Table1[[#This Row],[Low Tol]],"Pass","Fail"),IF(Table1[[#This Row],[DUT Adj Read]]&gt;=Table1[[#This Row],[Low Tol]],"Pass","Fail")))</f>
        <v>Pass</v>
      </c>
      <c r="AG357" s="1" t="str">
        <f>IF(AND(Table1[[#This Row],[Spec Type2]]="N/A",Table1[[#This Row],[DUT Adj Read]]="N/A",Table1[[#This Row],[Std Adj Read]]="N/A"),"N/A",IF(Table1[[#This Row],[DUT Adj Read]]="N/A",IF(Table1[[#This Row],[Std Adj Read]]&lt;=Table1[[#This Row],[High Tol]],"Pass","Fail"),IF(Table1[[#This Row],[DUT Adj Read]]&lt;=Table1[[#This Row],[High Tol]],"Pass","Fail")))</f>
        <v>Fail</v>
      </c>
      <c r="AH3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7" s="1" t="b">
        <v>0</v>
      </c>
      <c r="AN357" s="1" t="b">
        <v>0</v>
      </c>
      <c r="AO357" s="1" t="b">
        <v>0</v>
      </c>
    </row>
    <row r="358" spans="1:41" x14ac:dyDescent="0.25">
      <c r="A358" s="10"/>
      <c r="B358" s="10"/>
      <c r="C358" s="10"/>
      <c r="D358" s="10"/>
      <c r="E358" s="10"/>
      <c r="F358" s="10"/>
      <c r="G358" s="10"/>
      <c r="H358" s="10"/>
      <c r="I358" s="1" t="str">
        <f t="shared" si="15"/>
        <v/>
      </c>
      <c r="J358" s="1" t="s">
        <v>35</v>
      </c>
      <c r="K358" s="1" t="str">
        <f t="shared" si="16"/>
        <v/>
      </c>
      <c r="L358" s="1" t="str">
        <f t="shared" si="17"/>
        <v/>
      </c>
      <c r="M358" s="1">
        <f>IF(OR(Table1[[#This Row],[Std Nom]]="",Table1[[#This Row],[Std Read]]=""),0,Table1[[#This Row],[Std Nom]]-Table1[[#This Row],[Std Read]])</f>
        <v>0</v>
      </c>
      <c r="N358" s="1">
        <f>IF(Calculations!$F$5="ACCREDITED 17025 WITH UNCERTAINTIES",$N$10,0)</f>
        <v>0</v>
      </c>
      <c r="Q358" s="1">
        <f>Table1[[#This Row],[High Tol]]-Table1[[#This Row],[Low Tol]]</f>
        <v>0</v>
      </c>
      <c r="R358" s="1">
        <f>2*Table1[[#This Row],[Std Error]]</f>
        <v>0</v>
      </c>
      <c r="S358" s="1" t="str">
        <f>IF(Table1[[#This Row],[High Tol]]="","N/A",IFERROR(ABS(Table1[[#This Row],[Tol Span]]/Table1[[#This Row],[Error Span]]),"N/A"))</f>
        <v>N/A</v>
      </c>
      <c r="T358" s="1" t="str">
        <f>IF(OR(Table1[[#This Row],[Low Tol]]="",Table1[[#This Row],[High Tol]]=""),"Needs Analysis",IF(Table1[[#This Row],[Ratio]]&gt;=4,"Not Significant",IF(Table1[[#This Row],[Ratio]]&gt;=2,"Semi-Significant","Significant")))</f>
        <v>Needs Analysis</v>
      </c>
      <c r="W358" s="1">
        <f>IF(Table1[[#This Row],[Cal Type]]&lt;&gt;"ACCREDITED 17025 WITH UNCERTAINTIES",0,"")</f>
        <v>0</v>
      </c>
      <c r="X358" s="1" t="str">
        <f>IF(Table1[[#This Row],[DUT Read]]="","N/A",Table1[[#This Row],[Std Error]]+Table1[[#This Row],[DUT Read]]+Table1[[#This Row],[DUT Ucty]])</f>
        <v>N/A</v>
      </c>
      <c r="Y358" s="1" t="str">
        <f>IF(Table1[[#This Row],[Std Read]]="","N/A",Table1[[#This Row],[Std Read]]+Table1[[#This Row],[Std Ucty]])</f>
        <v>N/A</v>
      </c>
      <c r="Z3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8" s="1" t="str">
        <f>IF(Table1[[#This Row],[Spec Type]]="","N/A",Table1[[#This Row],[Spec Type]])</f>
        <v>±</v>
      </c>
      <c r="AC358" s="1" t="str">
        <f>IF(Table1[[#This Row],[Spec Type2]]="N/A","N/A",IF(AND(Table1[[#This Row],[DUT Adj Read]]&gt;=Table1[[#This Row],[Low Tol]],Table1[[#This Row],[DUT Adj Read]]&lt;=Table1[[#This Row],[High Tol]]),"Pass","Fail"))</f>
        <v>Fail</v>
      </c>
      <c r="AD358" s="1" t="str">
        <f>IF(AND(Table1[[#This Row],[Spec Type2]]="N/A",Table1[[#This Row],[DUT Adj Read]]="N/A",Table1[[#This Row],[Std Adj Read]]="N/A"),"N/A",IF(Table1[[#This Row],[DUT Adj Read]]="N/A",IF(Table1[[#This Row],[Std Adj Read]]&gt;Table1[[#This Row],[Low Tol]],"Pass","Fail"),IF(Table1[[#This Row],[DUT Adj Read]]&gt;Table1[[#This Row],[Low Tol]],"Pass","Fail")))</f>
        <v>Pass</v>
      </c>
      <c r="AE358" s="1" t="str">
        <f>IF(AND(Table1[[#This Row],[Spec Type2]]="N/A",Table1[[#This Row],[DUT Adj Read]]="N/A",Table1[[#This Row],[Std Adj Read]]="N/A"),"N/A",IF(Table1[[#This Row],[DUT Adj Read]]="N/A",IF(Table1[[#This Row],[Std Adj Read]]&lt;Table1[[#This Row],[High Tol]],"Pass","Fail"),IF(Table1[[#This Row],[DUT Adj Read]]&lt;Table1[[#This Row],[High Tol]],"Pass","Fail")))</f>
        <v>Fail</v>
      </c>
      <c r="AF358" s="1" t="str">
        <f>IF(AND(Table1[[#This Row],[Spec Type2]]="N/A",Table1[[#This Row],[DUT Adj Read]]="N/A",Table1[[#This Row],[Std Adj Read]]="N/A"),"N/A",IF(Table1[[#This Row],[DUT Adj Read]]="N/A",IF(Table1[[#This Row],[Std Adj Read]]&gt;=Table1[[#This Row],[Low Tol]],"Pass","Fail"),IF(Table1[[#This Row],[DUT Adj Read]]&gt;=Table1[[#This Row],[Low Tol]],"Pass","Fail")))</f>
        <v>Pass</v>
      </c>
      <c r="AG358" s="1" t="str">
        <f>IF(AND(Table1[[#This Row],[Spec Type2]]="N/A",Table1[[#This Row],[DUT Adj Read]]="N/A",Table1[[#This Row],[Std Adj Read]]="N/A"),"N/A",IF(Table1[[#This Row],[DUT Adj Read]]="N/A",IF(Table1[[#This Row],[Std Adj Read]]&lt;=Table1[[#This Row],[High Tol]],"Pass","Fail"),IF(Table1[[#This Row],[DUT Adj Read]]&lt;=Table1[[#This Row],[High Tol]],"Pass","Fail")))</f>
        <v>Fail</v>
      </c>
      <c r="AH3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8" s="1" t="b">
        <v>0</v>
      </c>
      <c r="AN358" s="1" t="b">
        <v>0</v>
      </c>
      <c r="AO358" s="1" t="b">
        <v>0</v>
      </c>
    </row>
    <row r="359" spans="1:41" x14ac:dyDescent="0.25">
      <c r="A359" s="10"/>
      <c r="B359" s="10"/>
      <c r="C359" s="10"/>
      <c r="D359" s="10"/>
      <c r="E359" s="10"/>
      <c r="F359" s="10"/>
      <c r="G359" s="10"/>
      <c r="H359" s="10"/>
      <c r="I359" s="1" t="str">
        <f t="shared" si="15"/>
        <v/>
      </c>
      <c r="J359" s="1" t="s">
        <v>35</v>
      </c>
      <c r="K359" s="1" t="str">
        <f t="shared" si="16"/>
        <v/>
      </c>
      <c r="L359" s="1" t="str">
        <f t="shared" si="17"/>
        <v/>
      </c>
      <c r="M359" s="1">
        <f>IF(OR(Table1[[#This Row],[Std Nom]]="",Table1[[#This Row],[Std Read]]=""),0,Table1[[#This Row],[Std Nom]]-Table1[[#This Row],[Std Read]])</f>
        <v>0</v>
      </c>
      <c r="N359" s="1">
        <f>IF(Calculations!$F$5="ACCREDITED 17025 WITH UNCERTAINTIES",$N$10,0)</f>
        <v>0</v>
      </c>
      <c r="Q359" s="1">
        <f>Table1[[#This Row],[High Tol]]-Table1[[#This Row],[Low Tol]]</f>
        <v>0</v>
      </c>
      <c r="R359" s="1">
        <f>2*Table1[[#This Row],[Std Error]]</f>
        <v>0</v>
      </c>
      <c r="S359" s="1" t="str">
        <f>IF(Table1[[#This Row],[High Tol]]="","N/A",IFERROR(ABS(Table1[[#This Row],[Tol Span]]/Table1[[#This Row],[Error Span]]),"N/A"))</f>
        <v>N/A</v>
      </c>
      <c r="T359" s="1" t="str">
        <f>IF(OR(Table1[[#This Row],[Low Tol]]="",Table1[[#This Row],[High Tol]]=""),"Needs Analysis",IF(Table1[[#This Row],[Ratio]]&gt;=4,"Not Significant",IF(Table1[[#This Row],[Ratio]]&gt;=2,"Semi-Significant","Significant")))</f>
        <v>Needs Analysis</v>
      </c>
      <c r="W359" s="1">
        <f>IF(Table1[[#This Row],[Cal Type]]&lt;&gt;"ACCREDITED 17025 WITH UNCERTAINTIES",0,"")</f>
        <v>0</v>
      </c>
      <c r="X359" s="1" t="str">
        <f>IF(Table1[[#This Row],[DUT Read]]="","N/A",Table1[[#This Row],[Std Error]]+Table1[[#This Row],[DUT Read]]+Table1[[#This Row],[DUT Ucty]])</f>
        <v>N/A</v>
      </c>
      <c r="Y359" s="1" t="str">
        <f>IF(Table1[[#This Row],[Std Read]]="","N/A",Table1[[#This Row],[Std Read]]+Table1[[#This Row],[Std Ucty]])</f>
        <v>N/A</v>
      </c>
      <c r="Z3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59" s="1" t="str">
        <f>IF(Table1[[#This Row],[Spec Type]]="","N/A",Table1[[#This Row],[Spec Type]])</f>
        <v>±</v>
      </c>
      <c r="AC359" s="1" t="str">
        <f>IF(Table1[[#This Row],[Spec Type2]]="N/A","N/A",IF(AND(Table1[[#This Row],[DUT Adj Read]]&gt;=Table1[[#This Row],[Low Tol]],Table1[[#This Row],[DUT Adj Read]]&lt;=Table1[[#This Row],[High Tol]]),"Pass","Fail"))</f>
        <v>Fail</v>
      </c>
      <c r="AD359" s="1" t="str">
        <f>IF(AND(Table1[[#This Row],[Spec Type2]]="N/A",Table1[[#This Row],[DUT Adj Read]]="N/A",Table1[[#This Row],[Std Adj Read]]="N/A"),"N/A",IF(Table1[[#This Row],[DUT Adj Read]]="N/A",IF(Table1[[#This Row],[Std Adj Read]]&gt;Table1[[#This Row],[Low Tol]],"Pass","Fail"),IF(Table1[[#This Row],[DUT Adj Read]]&gt;Table1[[#This Row],[Low Tol]],"Pass","Fail")))</f>
        <v>Pass</v>
      </c>
      <c r="AE359" s="1" t="str">
        <f>IF(AND(Table1[[#This Row],[Spec Type2]]="N/A",Table1[[#This Row],[DUT Adj Read]]="N/A",Table1[[#This Row],[Std Adj Read]]="N/A"),"N/A",IF(Table1[[#This Row],[DUT Adj Read]]="N/A",IF(Table1[[#This Row],[Std Adj Read]]&lt;Table1[[#This Row],[High Tol]],"Pass","Fail"),IF(Table1[[#This Row],[DUT Adj Read]]&lt;Table1[[#This Row],[High Tol]],"Pass","Fail")))</f>
        <v>Fail</v>
      </c>
      <c r="AF359" s="1" t="str">
        <f>IF(AND(Table1[[#This Row],[Spec Type2]]="N/A",Table1[[#This Row],[DUT Adj Read]]="N/A",Table1[[#This Row],[Std Adj Read]]="N/A"),"N/A",IF(Table1[[#This Row],[DUT Adj Read]]="N/A",IF(Table1[[#This Row],[Std Adj Read]]&gt;=Table1[[#This Row],[Low Tol]],"Pass","Fail"),IF(Table1[[#This Row],[DUT Adj Read]]&gt;=Table1[[#This Row],[Low Tol]],"Pass","Fail")))</f>
        <v>Pass</v>
      </c>
      <c r="AG359" s="1" t="str">
        <f>IF(AND(Table1[[#This Row],[Spec Type2]]="N/A",Table1[[#This Row],[DUT Adj Read]]="N/A",Table1[[#This Row],[Std Adj Read]]="N/A"),"N/A",IF(Table1[[#This Row],[DUT Adj Read]]="N/A",IF(Table1[[#This Row],[Std Adj Read]]&lt;=Table1[[#This Row],[High Tol]],"Pass","Fail"),IF(Table1[[#This Row],[DUT Adj Read]]&lt;=Table1[[#This Row],[High Tol]],"Pass","Fail")))</f>
        <v>Fail</v>
      </c>
      <c r="AH3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59" s="1" t="b">
        <v>0</v>
      </c>
      <c r="AN359" s="1" t="b">
        <v>0</v>
      </c>
      <c r="AO359" s="1" t="b">
        <v>0</v>
      </c>
    </row>
    <row r="360" spans="1:41" x14ac:dyDescent="0.25">
      <c r="A360" s="10"/>
      <c r="B360" s="10"/>
      <c r="C360" s="10"/>
      <c r="D360" s="10"/>
      <c r="E360" s="10"/>
      <c r="F360" s="10"/>
      <c r="G360" s="10"/>
      <c r="H360" s="10"/>
      <c r="I360" s="1" t="str">
        <f t="shared" si="15"/>
        <v/>
      </c>
      <c r="J360" s="1" t="s">
        <v>35</v>
      </c>
      <c r="K360" s="1" t="str">
        <f t="shared" si="16"/>
        <v/>
      </c>
      <c r="L360" s="1" t="str">
        <f t="shared" si="17"/>
        <v/>
      </c>
      <c r="M360" s="1">
        <f>IF(OR(Table1[[#This Row],[Std Nom]]="",Table1[[#This Row],[Std Read]]=""),0,Table1[[#This Row],[Std Nom]]-Table1[[#This Row],[Std Read]])</f>
        <v>0</v>
      </c>
      <c r="N360" s="1">
        <f>IF(Calculations!$F$5="ACCREDITED 17025 WITH UNCERTAINTIES",$N$10,0)</f>
        <v>0</v>
      </c>
      <c r="Q360" s="1">
        <f>Table1[[#This Row],[High Tol]]-Table1[[#This Row],[Low Tol]]</f>
        <v>0</v>
      </c>
      <c r="R360" s="1">
        <f>2*Table1[[#This Row],[Std Error]]</f>
        <v>0</v>
      </c>
      <c r="S360" s="1" t="str">
        <f>IF(Table1[[#This Row],[High Tol]]="","N/A",IFERROR(ABS(Table1[[#This Row],[Tol Span]]/Table1[[#This Row],[Error Span]]),"N/A"))</f>
        <v>N/A</v>
      </c>
      <c r="T360" s="1" t="str">
        <f>IF(OR(Table1[[#This Row],[Low Tol]]="",Table1[[#This Row],[High Tol]]=""),"Needs Analysis",IF(Table1[[#This Row],[Ratio]]&gt;=4,"Not Significant",IF(Table1[[#This Row],[Ratio]]&gt;=2,"Semi-Significant","Significant")))</f>
        <v>Needs Analysis</v>
      </c>
      <c r="W360" s="1">
        <f>IF(Table1[[#This Row],[Cal Type]]&lt;&gt;"ACCREDITED 17025 WITH UNCERTAINTIES",0,"")</f>
        <v>0</v>
      </c>
      <c r="X360" s="1" t="str">
        <f>IF(Table1[[#This Row],[DUT Read]]="","N/A",Table1[[#This Row],[Std Error]]+Table1[[#This Row],[DUT Read]]+Table1[[#This Row],[DUT Ucty]])</f>
        <v>N/A</v>
      </c>
      <c r="Y360" s="1" t="str">
        <f>IF(Table1[[#This Row],[Std Read]]="","N/A",Table1[[#This Row],[Std Read]]+Table1[[#This Row],[Std Ucty]])</f>
        <v>N/A</v>
      </c>
      <c r="Z3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0" s="1" t="str">
        <f>IF(Table1[[#This Row],[Spec Type]]="","N/A",Table1[[#This Row],[Spec Type]])</f>
        <v>±</v>
      </c>
      <c r="AC360" s="1" t="str">
        <f>IF(Table1[[#This Row],[Spec Type2]]="N/A","N/A",IF(AND(Table1[[#This Row],[DUT Adj Read]]&gt;=Table1[[#This Row],[Low Tol]],Table1[[#This Row],[DUT Adj Read]]&lt;=Table1[[#This Row],[High Tol]]),"Pass","Fail"))</f>
        <v>Fail</v>
      </c>
      <c r="AD360" s="1" t="str">
        <f>IF(AND(Table1[[#This Row],[Spec Type2]]="N/A",Table1[[#This Row],[DUT Adj Read]]="N/A",Table1[[#This Row],[Std Adj Read]]="N/A"),"N/A",IF(Table1[[#This Row],[DUT Adj Read]]="N/A",IF(Table1[[#This Row],[Std Adj Read]]&gt;Table1[[#This Row],[Low Tol]],"Pass","Fail"),IF(Table1[[#This Row],[DUT Adj Read]]&gt;Table1[[#This Row],[Low Tol]],"Pass","Fail")))</f>
        <v>Pass</v>
      </c>
      <c r="AE360" s="1" t="str">
        <f>IF(AND(Table1[[#This Row],[Spec Type2]]="N/A",Table1[[#This Row],[DUT Adj Read]]="N/A",Table1[[#This Row],[Std Adj Read]]="N/A"),"N/A",IF(Table1[[#This Row],[DUT Adj Read]]="N/A",IF(Table1[[#This Row],[Std Adj Read]]&lt;Table1[[#This Row],[High Tol]],"Pass","Fail"),IF(Table1[[#This Row],[DUT Adj Read]]&lt;Table1[[#This Row],[High Tol]],"Pass","Fail")))</f>
        <v>Fail</v>
      </c>
      <c r="AF360" s="1" t="str">
        <f>IF(AND(Table1[[#This Row],[Spec Type2]]="N/A",Table1[[#This Row],[DUT Adj Read]]="N/A",Table1[[#This Row],[Std Adj Read]]="N/A"),"N/A",IF(Table1[[#This Row],[DUT Adj Read]]="N/A",IF(Table1[[#This Row],[Std Adj Read]]&gt;=Table1[[#This Row],[Low Tol]],"Pass","Fail"),IF(Table1[[#This Row],[DUT Adj Read]]&gt;=Table1[[#This Row],[Low Tol]],"Pass","Fail")))</f>
        <v>Pass</v>
      </c>
      <c r="AG360" s="1" t="str">
        <f>IF(AND(Table1[[#This Row],[Spec Type2]]="N/A",Table1[[#This Row],[DUT Adj Read]]="N/A",Table1[[#This Row],[Std Adj Read]]="N/A"),"N/A",IF(Table1[[#This Row],[DUT Adj Read]]="N/A",IF(Table1[[#This Row],[Std Adj Read]]&lt;=Table1[[#This Row],[High Tol]],"Pass","Fail"),IF(Table1[[#This Row],[DUT Adj Read]]&lt;=Table1[[#This Row],[High Tol]],"Pass","Fail")))</f>
        <v>Fail</v>
      </c>
      <c r="AH3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0" s="1" t="b">
        <v>0</v>
      </c>
      <c r="AN360" s="1" t="b">
        <v>0</v>
      </c>
      <c r="AO360" s="1" t="b">
        <v>0</v>
      </c>
    </row>
    <row r="361" spans="1:41" x14ac:dyDescent="0.25">
      <c r="A361" s="10"/>
      <c r="B361" s="10"/>
      <c r="C361" s="10"/>
      <c r="D361" s="10"/>
      <c r="E361" s="10"/>
      <c r="F361" s="10"/>
      <c r="G361" s="10"/>
      <c r="H361" s="10"/>
      <c r="I361" s="1" t="str">
        <f t="shared" si="15"/>
        <v/>
      </c>
      <c r="J361" s="1" t="s">
        <v>35</v>
      </c>
      <c r="K361" s="1" t="str">
        <f t="shared" si="16"/>
        <v/>
      </c>
      <c r="L361" s="1" t="str">
        <f t="shared" si="17"/>
        <v/>
      </c>
      <c r="M361" s="1">
        <f>IF(OR(Table1[[#This Row],[Std Nom]]="",Table1[[#This Row],[Std Read]]=""),0,Table1[[#This Row],[Std Nom]]-Table1[[#This Row],[Std Read]])</f>
        <v>0</v>
      </c>
      <c r="N361" s="1">
        <f>IF(Calculations!$F$5="ACCREDITED 17025 WITH UNCERTAINTIES",$N$10,0)</f>
        <v>0</v>
      </c>
      <c r="Q361" s="1">
        <f>Table1[[#This Row],[High Tol]]-Table1[[#This Row],[Low Tol]]</f>
        <v>0</v>
      </c>
      <c r="R361" s="1">
        <f>2*Table1[[#This Row],[Std Error]]</f>
        <v>0</v>
      </c>
      <c r="S361" s="1" t="str">
        <f>IF(Table1[[#This Row],[High Tol]]="","N/A",IFERROR(ABS(Table1[[#This Row],[Tol Span]]/Table1[[#This Row],[Error Span]]),"N/A"))</f>
        <v>N/A</v>
      </c>
      <c r="T361" s="1" t="str">
        <f>IF(OR(Table1[[#This Row],[Low Tol]]="",Table1[[#This Row],[High Tol]]=""),"Needs Analysis",IF(Table1[[#This Row],[Ratio]]&gt;=4,"Not Significant",IF(Table1[[#This Row],[Ratio]]&gt;=2,"Semi-Significant","Significant")))</f>
        <v>Needs Analysis</v>
      </c>
      <c r="W361" s="1">
        <f>IF(Table1[[#This Row],[Cal Type]]&lt;&gt;"ACCREDITED 17025 WITH UNCERTAINTIES",0,"")</f>
        <v>0</v>
      </c>
      <c r="X361" s="1" t="str">
        <f>IF(Table1[[#This Row],[DUT Read]]="","N/A",Table1[[#This Row],[Std Error]]+Table1[[#This Row],[DUT Read]]+Table1[[#This Row],[DUT Ucty]])</f>
        <v>N/A</v>
      </c>
      <c r="Y361" s="1" t="str">
        <f>IF(Table1[[#This Row],[Std Read]]="","N/A",Table1[[#This Row],[Std Read]]+Table1[[#This Row],[Std Ucty]])</f>
        <v>N/A</v>
      </c>
      <c r="Z3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1" s="1" t="str">
        <f>IF(Table1[[#This Row],[Spec Type]]="","N/A",Table1[[#This Row],[Spec Type]])</f>
        <v>±</v>
      </c>
      <c r="AC361" s="1" t="str">
        <f>IF(Table1[[#This Row],[Spec Type2]]="N/A","N/A",IF(AND(Table1[[#This Row],[DUT Adj Read]]&gt;=Table1[[#This Row],[Low Tol]],Table1[[#This Row],[DUT Adj Read]]&lt;=Table1[[#This Row],[High Tol]]),"Pass","Fail"))</f>
        <v>Fail</v>
      </c>
      <c r="AD361" s="1" t="str">
        <f>IF(AND(Table1[[#This Row],[Spec Type2]]="N/A",Table1[[#This Row],[DUT Adj Read]]="N/A",Table1[[#This Row],[Std Adj Read]]="N/A"),"N/A",IF(Table1[[#This Row],[DUT Adj Read]]="N/A",IF(Table1[[#This Row],[Std Adj Read]]&gt;Table1[[#This Row],[Low Tol]],"Pass","Fail"),IF(Table1[[#This Row],[DUT Adj Read]]&gt;Table1[[#This Row],[Low Tol]],"Pass","Fail")))</f>
        <v>Pass</v>
      </c>
      <c r="AE361" s="1" t="str">
        <f>IF(AND(Table1[[#This Row],[Spec Type2]]="N/A",Table1[[#This Row],[DUT Adj Read]]="N/A",Table1[[#This Row],[Std Adj Read]]="N/A"),"N/A",IF(Table1[[#This Row],[DUT Adj Read]]="N/A",IF(Table1[[#This Row],[Std Adj Read]]&lt;Table1[[#This Row],[High Tol]],"Pass","Fail"),IF(Table1[[#This Row],[DUT Adj Read]]&lt;Table1[[#This Row],[High Tol]],"Pass","Fail")))</f>
        <v>Fail</v>
      </c>
      <c r="AF361" s="1" t="str">
        <f>IF(AND(Table1[[#This Row],[Spec Type2]]="N/A",Table1[[#This Row],[DUT Adj Read]]="N/A",Table1[[#This Row],[Std Adj Read]]="N/A"),"N/A",IF(Table1[[#This Row],[DUT Adj Read]]="N/A",IF(Table1[[#This Row],[Std Adj Read]]&gt;=Table1[[#This Row],[Low Tol]],"Pass","Fail"),IF(Table1[[#This Row],[DUT Adj Read]]&gt;=Table1[[#This Row],[Low Tol]],"Pass","Fail")))</f>
        <v>Pass</v>
      </c>
      <c r="AG361" s="1" t="str">
        <f>IF(AND(Table1[[#This Row],[Spec Type2]]="N/A",Table1[[#This Row],[DUT Adj Read]]="N/A",Table1[[#This Row],[Std Adj Read]]="N/A"),"N/A",IF(Table1[[#This Row],[DUT Adj Read]]="N/A",IF(Table1[[#This Row],[Std Adj Read]]&lt;=Table1[[#This Row],[High Tol]],"Pass","Fail"),IF(Table1[[#This Row],[DUT Adj Read]]&lt;=Table1[[#This Row],[High Tol]],"Pass","Fail")))</f>
        <v>Fail</v>
      </c>
      <c r="AH3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1" s="1" t="b">
        <v>0</v>
      </c>
      <c r="AN361" s="1" t="b">
        <v>0</v>
      </c>
      <c r="AO361" s="1" t="b">
        <v>0</v>
      </c>
    </row>
    <row r="362" spans="1:41" x14ac:dyDescent="0.25">
      <c r="A362" s="10"/>
      <c r="B362" s="10"/>
      <c r="C362" s="10"/>
      <c r="D362" s="10"/>
      <c r="E362" s="10"/>
      <c r="F362" s="10"/>
      <c r="G362" s="10"/>
      <c r="H362" s="10"/>
      <c r="I362" s="1" t="str">
        <f t="shared" si="15"/>
        <v/>
      </c>
      <c r="J362" s="1" t="s">
        <v>35</v>
      </c>
      <c r="K362" s="1" t="str">
        <f t="shared" si="16"/>
        <v/>
      </c>
      <c r="L362" s="1" t="str">
        <f t="shared" si="17"/>
        <v/>
      </c>
      <c r="M362" s="1">
        <f>IF(OR(Table1[[#This Row],[Std Nom]]="",Table1[[#This Row],[Std Read]]=""),0,Table1[[#This Row],[Std Nom]]-Table1[[#This Row],[Std Read]])</f>
        <v>0</v>
      </c>
      <c r="N362" s="1">
        <f>IF(Calculations!$F$5="ACCREDITED 17025 WITH UNCERTAINTIES",$N$10,0)</f>
        <v>0</v>
      </c>
      <c r="Q362" s="1">
        <f>Table1[[#This Row],[High Tol]]-Table1[[#This Row],[Low Tol]]</f>
        <v>0</v>
      </c>
      <c r="R362" s="1">
        <f>2*Table1[[#This Row],[Std Error]]</f>
        <v>0</v>
      </c>
      <c r="S362" s="1" t="str">
        <f>IF(Table1[[#This Row],[High Tol]]="","N/A",IFERROR(ABS(Table1[[#This Row],[Tol Span]]/Table1[[#This Row],[Error Span]]),"N/A"))</f>
        <v>N/A</v>
      </c>
      <c r="T362" s="1" t="str">
        <f>IF(OR(Table1[[#This Row],[Low Tol]]="",Table1[[#This Row],[High Tol]]=""),"Needs Analysis",IF(Table1[[#This Row],[Ratio]]&gt;=4,"Not Significant",IF(Table1[[#This Row],[Ratio]]&gt;=2,"Semi-Significant","Significant")))</f>
        <v>Needs Analysis</v>
      </c>
      <c r="W362" s="1">
        <f>IF(Table1[[#This Row],[Cal Type]]&lt;&gt;"ACCREDITED 17025 WITH UNCERTAINTIES",0,"")</f>
        <v>0</v>
      </c>
      <c r="X362" s="1" t="str">
        <f>IF(Table1[[#This Row],[DUT Read]]="","N/A",Table1[[#This Row],[Std Error]]+Table1[[#This Row],[DUT Read]]+Table1[[#This Row],[DUT Ucty]])</f>
        <v>N/A</v>
      </c>
      <c r="Y362" s="1" t="str">
        <f>IF(Table1[[#This Row],[Std Read]]="","N/A",Table1[[#This Row],[Std Read]]+Table1[[#This Row],[Std Ucty]])</f>
        <v>N/A</v>
      </c>
      <c r="Z3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2" s="1" t="str">
        <f>IF(Table1[[#This Row],[Spec Type]]="","N/A",Table1[[#This Row],[Spec Type]])</f>
        <v>±</v>
      </c>
      <c r="AC362" s="1" t="str">
        <f>IF(Table1[[#This Row],[Spec Type2]]="N/A","N/A",IF(AND(Table1[[#This Row],[DUT Adj Read]]&gt;=Table1[[#This Row],[Low Tol]],Table1[[#This Row],[DUT Adj Read]]&lt;=Table1[[#This Row],[High Tol]]),"Pass","Fail"))</f>
        <v>Fail</v>
      </c>
      <c r="AD362" s="1" t="str">
        <f>IF(AND(Table1[[#This Row],[Spec Type2]]="N/A",Table1[[#This Row],[DUT Adj Read]]="N/A",Table1[[#This Row],[Std Adj Read]]="N/A"),"N/A",IF(Table1[[#This Row],[DUT Adj Read]]="N/A",IF(Table1[[#This Row],[Std Adj Read]]&gt;Table1[[#This Row],[Low Tol]],"Pass","Fail"),IF(Table1[[#This Row],[DUT Adj Read]]&gt;Table1[[#This Row],[Low Tol]],"Pass","Fail")))</f>
        <v>Pass</v>
      </c>
      <c r="AE362" s="1" t="str">
        <f>IF(AND(Table1[[#This Row],[Spec Type2]]="N/A",Table1[[#This Row],[DUT Adj Read]]="N/A",Table1[[#This Row],[Std Adj Read]]="N/A"),"N/A",IF(Table1[[#This Row],[DUT Adj Read]]="N/A",IF(Table1[[#This Row],[Std Adj Read]]&lt;Table1[[#This Row],[High Tol]],"Pass","Fail"),IF(Table1[[#This Row],[DUT Adj Read]]&lt;Table1[[#This Row],[High Tol]],"Pass","Fail")))</f>
        <v>Fail</v>
      </c>
      <c r="AF362" s="1" t="str">
        <f>IF(AND(Table1[[#This Row],[Spec Type2]]="N/A",Table1[[#This Row],[DUT Adj Read]]="N/A",Table1[[#This Row],[Std Adj Read]]="N/A"),"N/A",IF(Table1[[#This Row],[DUT Adj Read]]="N/A",IF(Table1[[#This Row],[Std Adj Read]]&gt;=Table1[[#This Row],[Low Tol]],"Pass","Fail"),IF(Table1[[#This Row],[DUT Adj Read]]&gt;=Table1[[#This Row],[Low Tol]],"Pass","Fail")))</f>
        <v>Pass</v>
      </c>
      <c r="AG362" s="1" t="str">
        <f>IF(AND(Table1[[#This Row],[Spec Type2]]="N/A",Table1[[#This Row],[DUT Adj Read]]="N/A",Table1[[#This Row],[Std Adj Read]]="N/A"),"N/A",IF(Table1[[#This Row],[DUT Adj Read]]="N/A",IF(Table1[[#This Row],[Std Adj Read]]&lt;=Table1[[#This Row],[High Tol]],"Pass","Fail"),IF(Table1[[#This Row],[DUT Adj Read]]&lt;=Table1[[#This Row],[High Tol]],"Pass","Fail")))</f>
        <v>Fail</v>
      </c>
      <c r="AH3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2" s="1" t="b">
        <v>0</v>
      </c>
      <c r="AN362" s="1" t="b">
        <v>0</v>
      </c>
      <c r="AO362" s="1" t="b">
        <v>0</v>
      </c>
    </row>
    <row r="363" spans="1:41" x14ac:dyDescent="0.25">
      <c r="A363" s="10"/>
      <c r="B363" s="10"/>
      <c r="C363" s="10"/>
      <c r="D363" s="10"/>
      <c r="E363" s="10"/>
      <c r="F363" s="10"/>
      <c r="G363" s="10"/>
      <c r="H363" s="10"/>
      <c r="I363" s="1" t="str">
        <f t="shared" si="15"/>
        <v/>
      </c>
      <c r="J363" s="1" t="s">
        <v>35</v>
      </c>
      <c r="K363" s="1" t="str">
        <f t="shared" si="16"/>
        <v/>
      </c>
      <c r="L363" s="1" t="str">
        <f t="shared" si="17"/>
        <v/>
      </c>
      <c r="M363" s="1">
        <f>IF(OR(Table1[[#This Row],[Std Nom]]="",Table1[[#This Row],[Std Read]]=""),0,Table1[[#This Row],[Std Nom]]-Table1[[#This Row],[Std Read]])</f>
        <v>0</v>
      </c>
      <c r="N363" s="1">
        <f>IF(Calculations!$F$5="ACCREDITED 17025 WITH UNCERTAINTIES",$N$10,0)</f>
        <v>0</v>
      </c>
      <c r="Q363" s="1">
        <f>Table1[[#This Row],[High Tol]]-Table1[[#This Row],[Low Tol]]</f>
        <v>0</v>
      </c>
      <c r="R363" s="1">
        <f>2*Table1[[#This Row],[Std Error]]</f>
        <v>0</v>
      </c>
      <c r="S363" s="1" t="str">
        <f>IF(Table1[[#This Row],[High Tol]]="","N/A",IFERROR(ABS(Table1[[#This Row],[Tol Span]]/Table1[[#This Row],[Error Span]]),"N/A"))</f>
        <v>N/A</v>
      </c>
      <c r="T363" s="1" t="str">
        <f>IF(OR(Table1[[#This Row],[Low Tol]]="",Table1[[#This Row],[High Tol]]=""),"Needs Analysis",IF(Table1[[#This Row],[Ratio]]&gt;=4,"Not Significant",IF(Table1[[#This Row],[Ratio]]&gt;=2,"Semi-Significant","Significant")))</f>
        <v>Needs Analysis</v>
      </c>
      <c r="W363" s="1">
        <f>IF(Table1[[#This Row],[Cal Type]]&lt;&gt;"ACCREDITED 17025 WITH UNCERTAINTIES",0,"")</f>
        <v>0</v>
      </c>
      <c r="X363" s="1" t="str">
        <f>IF(Table1[[#This Row],[DUT Read]]="","N/A",Table1[[#This Row],[Std Error]]+Table1[[#This Row],[DUT Read]]+Table1[[#This Row],[DUT Ucty]])</f>
        <v>N/A</v>
      </c>
      <c r="Y363" s="1" t="str">
        <f>IF(Table1[[#This Row],[Std Read]]="","N/A",Table1[[#This Row],[Std Read]]+Table1[[#This Row],[Std Ucty]])</f>
        <v>N/A</v>
      </c>
      <c r="Z3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3" s="1" t="str">
        <f>IF(Table1[[#This Row],[Spec Type]]="","N/A",Table1[[#This Row],[Spec Type]])</f>
        <v>±</v>
      </c>
      <c r="AC363" s="1" t="str">
        <f>IF(Table1[[#This Row],[Spec Type2]]="N/A","N/A",IF(AND(Table1[[#This Row],[DUT Adj Read]]&gt;=Table1[[#This Row],[Low Tol]],Table1[[#This Row],[DUT Adj Read]]&lt;=Table1[[#This Row],[High Tol]]),"Pass","Fail"))</f>
        <v>Fail</v>
      </c>
      <c r="AD363" s="1" t="str">
        <f>IF(AND(Table1[[#This Row],[Spec Type2]]="N/A",Table1[[#This Row],[DUT Adj Read]]="N/A",Table1[[#This Row],[Std Adj Read]]="N/A"),"N/A",IF(Table1[[#This Row],[DUT Adj Read]]="N/A",IF(Table1[[#This Row],[Std Adj Read]]&gt;Table1[[#This Row],[Low Tol]],"Pass","Fail"),IF(Table1[[#This Row],[DUT Adj Read]]&gt;Table1[[#This Row],[Low Tol]],"Pass","Fail")))</f>
        <v>Pass</v>
      </c>
      <c r="AE363" s="1" t="str">
        <f>IF(AND(Table1[[#This Row],[Spec Type2]]="N/A",Table1[[#This Row],[DUT Adj Read]]="N/A",Table1[[#This Row],[Std Adj Read]]="N/A"),"N/A",IF(Table1[[#This Row],[DUT Adj Read]]="N/A",IF(Table1[[#This Row],[Std Adj Read]]&lt;Table1[[#This Row],[High Tol]],"Pass","Fail"),IF(Table1[[#This Row],[DUT Adj Read]]&lt;Table1[[#This Row],[High Tol]],"Pass","Fail")))</f>
        <v>Fail</v>
      </c>
      <c r="AF363" s="1" t="str">
        <f>IF(AND(Table1[[#This Row],[Spec Type2]]="N/A",Table1[[#This Row],[DUT Adj Read]]="N/A",Table1[[#This Row],[Std Adj Read]]="N/A"),"N/A",IF(Table1[[#This Row],[DUT Adj Read]]="N/A",IF(Table1[[#This Row],[Std Adj Read]]&gt;=Table1[[#This Row],[Low Tol]],"Pass","Fail"),IF(Table1[[#This Row],[DUT Adj Read]]&gt;=Table1[[#This Row],[Low Tol]],"Pass","Fail")))</f>
        <v>Pass</v>
      </c>
      <c r="AG363" s="1" t="str">
        <f>IF(AND(Table1[[#This Row],[Spec Type2]]="N/A",Table1[[#This Row],[DUT Adj Read]]="N/A",Table1[[#This Row],[Std Adj Read]]="N/A"),"N/A",IF(Table1[[#This Row],[DUT Adj Read]]="N/A",IF(Table1[[#This Row],[Std Adj Read]]&lt;=Table1[[#This Row],[High Tol]],"Pass","Fail"),IF(Table1[[#This Row],[DUT Adj Read]]&lt;=Table1[[#This Row],[High Tol]],"Pass","Fail")))</f>
        <v>Fail</v>
      </c>
      <c r="AH3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3" s="1" t="b">
        <v>0</v>
      </c>
      <c r="AN363" s="1" t="b">
        <v>0</v>
      </c>
      <c r="AO363" s="1" t="b">
        <v>0</v>
      </c>
    </row>
    <row r="364" spans="1:41" x14ac:dyDescent="0.25">
      <c r="A364" s="10"/>
      <c r="B364" s="10"/>
      <c r="C364" s="10"/>
      <c r="D364" s="10"/>
      <c r="E364" s="10"/>
      <c r="F364" s="10"/>
      <c r="G364" s="10"/>
      <c r="H364" s="10"/>
      <c r="I364" s="1" t="str">
        <f t="shared" si="15"/>
        <v/>
      </c>
      <c r="J364" s="1" t="s">
        <v>35</v>
      </c>
      <c r="K364" s="1" t="str">
        <f t="shared" si="16"/>
        <v/>
      </c>
      <c r="L364" s="1" t="str">
        <f t="shared" si="17"/>
        <v/>
      </c>
      <c r="M364" s="1">
        <f>IF(OR(Table1[[#This Row],[Std Nom]]="",Table1[[#This Row],[Std Read]]=""),0,Table1[[#This Row],[Std Nom]]-Table1[[#This Row],[Std Read]])</f>
        <v>0</v>
      </c>
      <c r="N364" s="1">
        <f>IF(Calculations!$F$5="ACCREDITED 17025 WITH UNCERTAINTIES",$N$10,0)</f>
        <v>0</v>
      </c>
      <c r="Q364" s="1">
        <f>Table1[[#This Row],[High Tol]]-Table1[[#This Row],[Low Tol]]</f>
        <v>0</v>
      </c>
      <c r="R364" s="1">
        <f>2*Table1[[#This Row],[Std Error]]</f>
        <v>0</v>
      </c>
      <c r="S364" s="1" t="str">
        <f>IF(Table1[[#This Row],[High Tol]]="","N/A",IFERROR(ABS(Table1[[#This Row],[Tol Span]]/Table1[[#This Row],[Error Span]]),"N/A"))</f>
        <v>N/A</v>
      </c>
      <c r="T364" s="1" t="str">
        <f>IF(OR(Table1[[#This Row],[Low Tol]]="",Table1[[#This Row],[High Tol]]=""),"Needs Analysis",IF(Table1[[#This Row],[Ratio]]&gt;=4,"Not Significant",IF(Table1[[#This Row],[Ratio]]&gt;=2,"Semi-Significant","Significant")))</f>
        <v>Needs Analysis</v>
      </c>
      <c r="W364" s="1">
        <f>IF(Table1[[#This Row],[Cal Type]]&lt;&gt;"ACCREDITED 17025 WITH UNCERTAINTIES",0,"")</f>
        <v>0</v>
      </c>
      <c r="X364" s="1" t="str">
        <f>IF(Table1[[#This Row],[DUT Read]]="","N/A",Table1[[#This Row],[Std Error]]+Table1[[#This Row],[DUT Read]]+Table1[[#This Row],[DUT Ucty]])</f>
        <v>N/A</v>
      </c>
      <c r="Y364" s="1" t="str">
        <f>IF(Table1[[#This Row],[Std Read]]="","N/A",Table1[[#This Row],[Std Read]]+Table1[[#This Row],[Std Ucty]])</f>
        <v>N/A</v>
      </c>
      <c r="Z3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4" s="1" t="str">
        <f>IF(Table1[[#This Row],[Spec Type]]="","N/A",Table1[[#This Row],[Spec Type]])</f>
        <v>±</v>
      </c>
      <c r="AC364" s="1" t="str">
        <f>IF(Table1[[#This Row],[Spec Type2]]="N/A","N/A",IF(AND(Table1[[#This Row],[DUT Adj Read]]&gt;=Table1[[#This Row],[Low Tol]],Table1[[#This Row],[DUT Adj Read]]&lt;=Table1[[#This Row],[High Tol]]),"Pass","Fail"))</f>
        <v>Fail</v>
      </c>
      <c r="AD364" s="1" t="str">
        <f>IF(AND(Table1[[#This Row],[Spec Type2]]="N/A",Table1[[#This Row],[DUT Adj Read]]="N/A",Table1[[#This Row],[Std Adj Read]]="N/A"),"N/A",IF(Table1[[#This Row],[DUT Adj Read]]="N/A",IF(Table1[[#This Row],[Std Adj Read]]&gt;Table1[[#This Row],[Low Tol]],"Pass","Fail"),IF(Table1[[#This Row],[DUT Adj Read]]&gt;Table1[[#This Row],[Low Tol]],"Pass","Fail")))</f>
        <v>Pass</v>
      </c>
      <c r="AE364" s="1" t="str">
        <f>IF(AND(Table1[[#This Row],[Spec Type2]]="N/A",Table1[[#This Row],[DUT Adj Read]]="N/A",Table1[[#This Row],[Std Adj Read]]="N/A"),"N/A",IF(Table1[[#This Row],[DUT Adj Read]]="N/A",IF(Table1[[#This Row],[Std Adj Read]]&lt;Table1[[#This Row],[High Tol]],"Pass","Fail"),IF(Table1[[#This Row],[DUT Adj Read]]&lt;Table1[[#This Row],[High Tol]],"Pass","Fail")))</f>
        <v>Fail</v>
      </c>
      <c r="AF364" s="1" t="str">
        <f>IF(AND(Table1[[#This Row],[Spec Type2]]="N/A",Table1[[#This Row],[DUT Adj Read]]="N/A",Table1[[#This Row],[Std Adj Read]]="N/A"),"N/A",IF(Table1[[#This Row],[DUT Adj Read]]="N/A",IF(Table1[[#This Row],[Std Adj Read]]&gt;=Table1[[#This Row],[Low Tol]],"Pass","Fail"),IF(Table1[[#This Row],[DUT Adj Read]]&gt;=Table1[[#This Row],[Low Tol]],"Pass","Fail")))</f>
        <v>Pass</v>
      </c>
      <c r="AG364" s="1" t="str">
        <f>IF(AND(Table1[[#This Row],[Spec Type2]]="N/A",Table1[[#This Row],[DUT Adj Read]]="N/A",Table1[[#This Row],[Std Adj Read]]="N/A"),"N/A",IF(Table1[[#This Row],[DUT Adj Read]]="N/A",IF(Table1[[#This Row],[Std Adj Read]]&lt;=Table1[[#This Row],[High Tol]],"Pass","Fail"),IF(Table1[[#This Row],[DUT Adj Read]]&lt;=Table1[[#This Row],[High Tol]],"Pass","Fail")))</f>
        <v>Fail</v>
      </c>
      <c r="AH3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4" s="1" t="b">
        <v>0</v>
      </c>
      <c r="AN364" s="1" t="b">
        <v>0</v>
      </c>
      <c r="AO364" s="1" t="b">
        <v>0</v>
      </c>
    </row>
    <row r="365" spans="1:41" x14ac:dyDescent="0.25">
      <c r="A365" s="10"/>
      <c r="B365" s="10"/>
      <c r="C365" s="10"/>
      <c r="D365" s="10"/>
      <c r="E365" s="10"/>
      <c r="F365" s="10"/>
      <c r="G365" s="10"/>
      <c r="H365" s="10"/>
      <c r="I365" s="1" t="str">
        <f t="shared" si="15"/>
        <v/>
      </c>
      <c r="J365" s="1" t="s">
        <v>35</v>
      </c>
      <c r="K365" s="1" t="str">
        <f t="shared" si="16"/>
        <v/>
      </c>
      <c r="L365" s="1" t="str">
        <f t="shared" si="17"/>
        <v/>
      </c>
      <c r="M365" s="1">
        <f>IF(OR(Table1[[#This Row],[Std Nom]]="",Table1[[#This Row],[Std Read]]=""),0,Table1[[#This Row],[Std Nom]]-Table1[[#This Row],[Std Read]])</f>
        <v>0</v>
      </c>
      <c r="N365" s="1">
        <f>IF(Calculations!$F$5="ACCREDITED 17025 WITH UNCERTAINTIES",$N$10,0)</f>
        <v>0</v>
      </c>
      <c r="Q365" s="1">
        <f>Table1[[#This Row],[High Tol]]-Table1[[#This Row],[Low Tol]]</f>
        <v>0</v>
      </c>
      <c r="R365" s="1">
        <f>2*Table1[[#This Row],[Std Error]]</f>
        <v>0</v>
      </c>
      <c r="S365" s="1" t="str">
        <f>IF(Table1[[#This Row],[High Tol]]="","N/A",IFERROR(ABS(Table1[[#This Row],[Tol Span]]/Table1[[#This Row],[Error Span]]),"N/A"))</f>
        <v>N/A</v>
      </c>
      <c r="T365" s="1" t="str">
        <f>IF(OR(Table1[[#This Row],[Low Tol]]="",Table1[[#This Row],[High Tol]]=""),"Needs Analysis",IF(Table1[[#This Row],[Ratio]]&gt;=4,"Not Significant",IF(Table1[[#This Row],[Ratio]]&gt;=2,"Semi-Significant","Significant")))</f>
        <v>Needs Analysis</v>
      </c>
      <c r="W365" s="1">
        <f>IF(Table1[[#This Row],[Cal Type]]&lt;&gt;"ACCREDITED 17025 WITH UNCERTAINTIES",0,"")</f>
        <v>0</v>
      </c>
      <c r="X365" s="1" t="str">
        <f>IF(Table1[[#This Row],[DUT Read]]="","N/A",Table1[[#This Row],[Std Error]]+Table1[[#This Row],[DUT Read]]+Table1[[#This Row],[DUT Ucty]])</f>
        <v>N/A</v>
      </c>
      <c r="Y365" s="1" t="str">
        <f>IF(Table1[[#This Row],[Std Read]]="","N/A",Table1[[#This Row],[Std Read]]+Table1[[#This Row],[Std Ucty]])</f>
        <v>N/A</v>
      </c>
      <c r="Z3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5" s="1" t="str">
        <f>IF(Table1[[#This Row],[Spec Type]]="","N/A",Table1[[#This Row],[Spec Type]])</f>
        <v>±</v>
      </c>
      <c r="AC365" s="1" t="str">
        <f>IF(Table1[[#This Row],[Spec Type2]]="N/A","N/A",IF(AND(Table1[[#This Row],[DUT Adj Read]]&gt;=Table1[[#This Row],[Low Tol]],Table1[[#This Row],[DUT Adj Read]]&lt;=Table1[[#This Row],[High Tol]]),"Pass","Fail"))</f>
        <v>Fail</v>
      </c>
      <c r="AD365" s="1" t="str">
        <f>IF(AND(Table1[[#This Row],[Spec Type2]]="N/A",Table1[[#This Row],[DUT Adj Read]]="N/A",Table1[[#This Row],[Std Adj Read]]="N/A"),"N/A",IF(Table1[[#This Row],[DUT Adj Read]]="N/A",IF(Table1[[#This Row],[Std Adj Read]]&gt;Table1[[#This Row],[Low Tol]],"Pass","Fail"),IF(Table1[[#This Row],[DUT Adj Read]]&gt;Table1[[#This Row],[Low Tol]],"Pass","Fail")))</f>
        <v>Pass</v>
      </c>
      <c r="AE365" s="1" t="str">
        <f>IF(AND(Table1[[#This Row],[Spec Type2]]="N/A",Table1[[#This Row],[DUT Adj Read]]="N/A",Table1[[#This Row],[Std Adj Read]]="N/A"),"N/A",IF(Table1[[#This Row],[DUT Adj Read]]="N/A",IF(Table1[[#This Row],[Std Adj Read]]&lt;Table1[[#This Row],[High Tol]],"Pass","Fail"),IF(Table1[[#This Row],[DUT Adj Read]]&lt;Table1[[#This Row],[High Tol]],"Pass","Fail")))</f>
        <v>Fail</v>
      </c>
      <c r="AF365" s="1" t="str">
        <f>IF(AND(Table1[[#This Row],[Spec Type2]]="N/A",Table1[[#This Row],[DUT Adj Read]]="N/A",Table1[[#This Row],[Std Adj Read]]="N/A"),"N/A",IF(Table1[[#This Row],[DUT Adj Read]]="N/A",IF(Table1[[#This Row],[Std Adj Read]]&gt;=Table1[[#This Row],[Low Tol]],"Pass","Fail"),IF(Table1[[#This Row],[DUT Adj Read]]&gt;=Table1[[#This Row],[Low Tol]],"Pass","Fail")))</f>
        <v>Pass</v>
      </c>
      <c r="AG365" s="1" t="str">
        <f>IF(AND(Table1[[#This Row],[Spec Type2]]="N/A",Table1[[#This Row],[DUT Adj Read]]="N/A",Table1[[#This Row],[Std Adj Read]]="N/A"),"N/A",IF(Table1[[#This Row],[DUT Adj Read]]="N/A",IF(Table1[[#This Row],[Std Adj Read]]&lt;=Table1[[#This Row],[High Tol]],"Pass","Fail"),IF(Table1[[#This Row],[DUT Adj Read]]&lt;=Table1[[#This Row],[High Tol]],"Pass","Fail")))</f>
        <v>Fail</v>
      </c>
      <c r="AH3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5" s="1" t="b">
        <v>0</v>
      </c>
      <c r="AN365" s="1" t="b">
        <v>0</v>
      </c>
      <c r="AO365" s="1" t="b">
        <v>0</v>
      </c>
    </row>
    <row r="366" spans="1:41" x14ac:dyDescent="0.25">
      <c r="A366" s="10"/>
      <c r="B366" s="10"/>
      <c r="C366" s="10"/>
      <c r="D366" s="10"/>
      <c r="E366" s="10"/>
      <c r="F366" s="10"/>
      <c r="G366" s="10"/>
      <c r="H366" s="10"/>
      <c r="I366" s="1" t="str">
        <f t="shared" si="15"/>
        <v/>
      </c>
      <c r="J366" s="1" t="s">
        <v>35</v>
      </c>
      <c r="K366" s="1" t="str">
        <f t="shared" si="16"/>
        <v/>
      </c>
      <c r="L366" s="1" t="str">
        <f t="shared" si="17"/>
        <v/>
      </c>
      <c r="M366" s="1">
        <f>IF(OR(Table1[[#This Row],[Std Nom]]="",Table1[[#This Row],[Std Read]]=""),0,Table1[[#This Row],[Std Nom]]-Table1[[#This Row],[Std Read]])</f>
        <v>0</v>
      </c>
      <c r="N366" s="1">
        <f>IF(Calculations!$F$5="ACCREDITED 17025 WITH UNCERTAINTIES",$N$10,0)</f>
        <v>0</v>
      </c>
      <c r="Q366" s="1">
        <f>Table1[[#This Row],[High Tol]]-Table1[[#This Row],[Low Tol]]</f>
        <v>0</v>
      </c>
      <c r="R366" s="1">
        <f>2*Table1[[#This Row],[Std Error]]</f>
        <v>0</v>
      </c>
      <c r="S366" s="1" t="str">
        <f>IF(Table1[[#This Row],[High Tol]]="","N/A",IFERROR(ABS(Table1[[#This Row],[Tol Span]]/Table1[[#This Row],[Error Span]]),"N/A"))</f>
        <v>N/A</v>
      </c>
      <c r="T366" s="1" t="str">
        <f>IF(OR(Table1[[#This Row],[Low Tol]]="",Table1[[#This Row],[High Tol]]=""),"Needs Analysis",IF(Table1[[#This Row],[Ratio]]&gt;=4,"Not Significant",IF(Table1[[#This Row],[Ratio]]&gt;=2,"Semi-Significant","Significant")))</f>
        <v>Needs Analysis</v>
      </c>
      <c r="W366" s="1">
        <f>IF(Table1[[#This Row],[Cal Type]]&lt;&gt;"ACCREDITED 17025 WITH UNCERTAINTIES",0,"")</f>
        <v>0</v>
      </c>
      <c r="X366" s="1" t="str">
        <f>IF(Table1[[#This Row],[DUT Read]]="","N/A",Table1[[#This Row],[Std Error]]+Table1[[#This Row],[DUT Read]]+Table1[[#This Row],[DUT Ucty]])</f>
        <v>N/A</v>
      </c>
      <c r="Y366" s="1" t="str">
        <f>IF(Table1[[#This Row],[Std Read]]="","N/A",Table1[[#This Row],[Std Read]]+Table1[[#This Row],[Std Ucty]])</f>
        <v>N/A</v>
      </c>
      <c r="Z3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6" s="1" t="str">
        <f>IF(Table1[[#This Row],[Spec Type]]="","N/A",Table1[[#This Row],[Spec Type]])</f>
        <v>±</v>
      </c>
      <c r="AC366" s="1" t="str">
        <f>IF(Table1[[#This Row],[Spec Type2]]="N/A","N/A",IF(AND(Table1[[#This Row],[DUT Adj Read]]&gt;=Table1[[#This Row],[Low Tol]],Table1[[#This Row],[DUT Adj Read]]&lt;=Table1[[#This Row],[High Tol]]),"Pass","Fail"))</f>
        <v>Fail</v>
      </c>
      <c r="AD366" s="1" t="str">
        <f>IF(AND(Table1[[#This Row],[Spec Type2]]="N/A",Table1[[#This Row],[DUT Adj Read]]="N/A",Table1[[#This Row],[Std Adj Read]]="N/A"),"N/A",IF(Table1[[#This Row],[DUT Adj Read]]="N/A",IF(Table1[[#This Row],[Std Adj Read]]&gt;Table1[[#This Row],[Low Tol]],"Pass","Fail"),IF(Table1[[#This Row],[DUT Adj Read]]&gt;Table1[[#This Row],[Low Tol]],"Pass","Fail")))</f>
        <v>Pass</v>
      </c>
      <c r="AE366" s="1" t="str">
        <f>IF(AND(Table1[[#This Row],[Spec Type2]]="N/A",Table1[[#This Row],[DUT Adj Read]]="N/A",Table1[[#This Row],[Std Adj Read]]="N/A"),"N/A",IF(Table1[[#This Row],[DUT Adj Read]]="N/A",IF(Table1[[#This Row],[Std Adj Read]]&lt;Table1[[#This Row],[High Tol]],"Pass","Fail"),IF(Table1[[#This Row],[DUT Adj Read]]&lt;Table1[[#This Row],[High Tol]],"Pass","Fail")))</f>
        <v>Fail</v>
      </c>
      <c r="AF366" s="1" t="str">
        <f>IF(AND(Table1[[#This Row],[Spec Type2]]="N/A",Table1[[#This Row],[DUT Adj Read]]="N/A",Table1[[#This Row],[Std Adj Read]]="N/A"),"N/A",IF(Table1[[#This Row],[DUT Adj Read]]="N/A",IF(Table1[[#This Row],[Std Adj Read]]&gt;=Table1[[#This Row],[Low Tol]],"Pass","Fail"),IF(Table1[[#This Row],[DUT Adj Read]]&gt;=Table1[[#This Row],[Low Tol]],"Pass","Fail")))</f>
        <v>Pass</v>
      </c>
      <c r="AG366" s="1" t="str">
        <f>IF(AND(Table1[[#This Row],[Spec Type2]]="N/A",Table1[[#This Row],[DUT Adj Read]]="N/A",Table1[[#This Row],[Std Adj Read]]="N/A"),"N/A",IF(Table1[[#This Row],[DUT Adj Read]]="N/A",IF(Table1[[#This Row],[Std Adj Read]]&lt;=Table1[[#This Row],[High Tol]],"Pass","Fail"),IF(Table1[[#This Row],[DUT Adj Read]]&lt;=Table1[[#This Row],[High Tol]],"Pass","Fail")))</f>
        <v>Fail</v>
      </c>
      <c r="AH3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6" s="1" t="b">
        <v>0</v>
      </c>
      <c r="AN366" s="1" t="b">
        <v>0</v>
      </c>
      <c r="AO366" s="1" t="b">
        <v>0</v>
      </c>
    </row>
    <row r="367" spans="1:41" x14ac:dyDescent="0.25">
      <c r="A367" s="10"/>
      <c r="B367" s="10"/>
      <c r="C367" s="10"/>
      <c r="D367" s="10"/>
      <c r="E367" s="10"/>
      <c r="F367" s="10"/>
      <c r="G367" s="10"/>
      <c r="H367" s="10"/>
      <c r="I367" s="1" t="str">
        <f t="shared" si="15"/>
        <v/>
      </c>
      <c r="J367" s="1" t="s">
        <v>35</v>
      </c>
      <c r="K367" s="1" t="str">
        <f t="shared" si="16"/>
        <v/>
      </c>
      <c r="L367" s="1" t="str">
        <f t="shared" si="17"/>
        <v/>
      </c>
      <c r="M367" s="1">
        <f>IF(OR(Table1[[#This Row],[Std Nom]]="",Table1[[#This Row],[Std Read]]=""),0,Table1[[#This Row],[Std Nom]]-Table1[[#This Row],[Std Read]])</f>
        <v>0</v>
      </c>
      <c r="N367" s="1">
        <f>IF(Calculations!$F$5="ACCREDITED 17025 WITH UNCERTAINTIES",$N$10,0)</f>
        <v>0</v>
      </c>
      <c r="Q367" s="1">
        <f>Table1[[#This Row],[High Tol]]-Table1[[#This Row],[Low Tol]]</f>
        <v>0</v>
      </c>
      <c r="R367" s="1">
        <f>2*Table1[[#This Row],[Std Error]]</f>
        <v>0</v>
      </c>
      <c r="S367" s="1" t="str">
        <f>IF(Table1[[#This Row],[High Tol]]="","N/A",IFERROR(ABS(Table1[[#This Row],[Tol Span]]/Table1[[#This Row],[Error Span]]),"N/A"))</f>
        <v>N/A</v>
      </c>
      <c r="T367" s="1" t="str">
        <f>IF(OR(Table1[[#This Row],[Low Tol]]="",Table1[[#This Row],[High Tol]]=""),"Needs Analysis",IF(Table1[[#This Row],[Ratio]]&gt;=4,"Not Significant",IF(Table1[[#This Row],[Ratio]]&gt;=2,"Semi-Significant","Significant")))</f>
        <v>Needs Analysis</v>
      </c>
      <c r="W367" s="1">
        <f>IF(Table1[[#This Row],[Cal Type]]&lt;&gt;"ACCREDITED 17025 WITH UNCERTAINTIES",0,"")</f>
        <v>0</v>
      </c>
      <c r="X367" s="1" t="str">
        <f>IF(Table1[[#This Row],[DUT Read]]="","N/A",Table1[[#This Row],[Std Error]]+Table1[[#This Row],[DUT Read]]+Table1[[#This Row],[DUT Ucty]])</f>
        <v>N/A</v>
      </c>
      <c r="Y367" s="1" t="str">
        <f>IF(Table1[[#This Row],[Std Read]]="","N/A",Table1[[#This Row],[Std Read]]+Table1[[#This Row],[Std Ucty]])</f>
        <v>N/A</v>
      </c>
      <c r="Z3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7" s="1" t="str">
        <f>IF(Table1[[#This Row],[Spec Type]]="","N/A",Table1[[#This Row],[Spec Type]])</f>
        <v>±</v>
      </c>
      <c r="AC367" s="1" t="str">
        <f>IF(Table1[[#This Row],[Spec Type2]]="N/A","N/A",IF(AND(Table1[[#This Row],[DUT Adj Read]]&gt;=Table1[[#This Row],[Low Tol]],Table1[[#This Row],[DUT Adj Read]]&lt;=Table1[[#This Row],[High Tol]]),"Pass","Fail"))</f>
        <v>Fail</v>
      </c>
      <c r="AD367" s="1" t="str">
        <f>IF(AND(Table1[[#This Row],[Spec Type2]]="N/A",Table1[[#This Row],[DUT Adj Read]]="N/A",Table1[[#This Row],[Std Adj Read]]="N/A"),"N/A",IF(Table1[[#This Row],[DUT Adj Read]]="N/A",IF(Table1[[#This Row],[Std Adj Read]]&gt;Table1[[#This Row],[Low Tol]],"Pass","Fail"),IF(Table1[[#This Row],[DUT Adj Read]]&gt;Table1[[#This Row],[Low Tol]],"Pass","Fail")))</f>
        <v>Pass</v>
      </c>
      <c r="AE367" s="1" t="str">
        <f>IF(AND(Table1[[#This Row],[Spec Type2]]="N/A",Table1[[#This Row],[DUT Adj Read]]="N/A",Table1[[#This Row],[Std Adj Read]]="N/A"),"N/A",IF(Table1[[#This Row],[DUT Adj Read]]="N/A",IF(Table1[[#This Row],[Std Adj Read]]&lt;Table1[[#This Row],[High Tol]],"Pass","Fail"),IF(Table1[[#This Row],[DUT Adj Read]]&lt;Table1[[#This Row],[High Tol]],"Pass","Fail")))</f>
        <v>Fail</v>
      </c>
      <c r="AF367" s="1" t="str">
        <f>IF(AND(Table1[[#This Row],[Spec Type2]]="N/A",Table1[[#This Row],[DUT Adj Read]]="N/A",Table1[[#This Row],[Std Adj Read]]="N/A"),"N/A",IF(Table1[[#This Row],[DUT Adj Read]]="N/A",IF(Table1[[#This Row],[Std Adj Read]]&gt;=Table1[[#This Row],[Low Tol]],"Pass","Fail"),IF(Table1[[#This Row],[DUT Adj Read]]&gt;=Table1[[#This Row],[Low Tol]],"Pass","Fail")))</f>
        <v>Pass</v>
      </c>
      <c r="AG367" s="1" t="str">
        <f>IF(AND(Table1[[#This Row],[Spec Type2]]="N/A",Table1[[#This Row],[DUT Adj Read]]="N/A",Table1[[#This Row],[Std Adj Read]]="N/A"),"N/A",IF(Table1[[#This Row],[DUT Adj Read]]="N/A",IF(Table1[[#This Row],[Std Adj Read]]&lt;=Table1[[#This Row],[High Tol]],"Pass","Fail"),IF(Table1[[#This Row],[DUT Adj Read]]&lt;=Table1[[#This Row],[High Tol]],"Pass","Fail")))</f>
        <v>Fail</v>
      </c>
      <c r="AH3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7" s="1" t="b">
        <v>0</v>
      </c>
      <c r="AN367" s="1" t="b">
        <v>0</v>
      </c>
      <c r="AO367" s="1" t="b">
        <v>0</v>
      </c>
    </row>
    <row r="368" spans="1:41" x14ac:dyDescent="0.25">
      <c r="A368" s="10"/>
      <c r="B368" s="10"/>
      <c r="C368" s="10"/>
      <c r="D368" s="10"/>
      <c r="E368" s="10"/>
      <c r="F368" s="10"/>
      <c r="G368" s="10"/>
      <c r="H368" s="10"/>
      <c r="I368" s="1" t="str">
        <f t="shared" si="15"/>
        <v/>
      </c>
      <c r="J368" s="1" t="s">
        <v>35</v>
      </c>
      <c r="K368" s="1" t="str">
        <f t="shared" si="16"/>
        <v/>
      </c>
      <c r="L368" s="1" t="str">
        <f t="shared" si="17"/>
        <v/>
      </c>
      <c r="M368" s="1">
        <f>IF(OR(Table1[[#This Row],[Std Nom]]="",Table1[[#This Row],[Std Read]]=""),0,Table1[[#This Row],[Std Nom]]-Table1[[#This Row],[Std Read]])</f>
        <v>0</v>
      </c>
      <c r="N368" s="1">
        <f>IF(Calculations!$F$5="ACCREDITED 17025 WITH UNCERTAINTIES",$N$10,0)</f>
        <v>0</v>
      </c>
      <c r="Q368" s="1">
        <f>Table1[[#This Row],[High Tol]]-Table1[[#This Row],[Low Tol]]</f>
        <v>0</v>
      </c>
      <c r="R368" s="1">
        <f>2*Table1[[#This Row],[Std Error]]</f>
        <v>0</v>
      </c>
      <c r="S368" s="1" t="str">
        <f>IF(Table1[[#This Row],[High Tol]]="","N/A",IFERROR(ABS(Table1[[#This Row],[Tol Span]]/Table1[[#This Row],[Error Span]]),"N/A"))</f>
        <v>N/A</v>
      </c>
      <c r="T368" s="1" t="str">
        <f>IF(OR(Table1[[#This Row],[Low Tol]]="",Table1[[#This Row],[High Tol]]=""),"Needs Analysis",IF(Table1[[#This Row],[Ratio]]&gt;=4,"Not Significant",IF(Table1[[#This Row],[Ratio]]&gt;=2,"Semi-Significant","Significant")))</f>
        <v>Needs Analysis</v>
      </c>
      <c r="W368" s="1">
        <f>IF(Table1[[#This Row],[Cal Type]]&lt;&gt;"ACCREDITED 17025 WITH UNCERTAINTIES",0,"")</f>
        <v>0</v>
      </c>
      <c r="X368" s="1" t="str">
        <f>IF(Table1[[#This Row],[DUT Read]]="","N/A",Table1[[#This Row],[Std Error]]+Table1[[#This Row],[DUT Read]]+Table1[[#This Row],[DUT Ucty]])</f>
        <v>N/A</v>
      </c>
      <c r="Y368" s="1" t="str">
        <f>IF(Table1[[#This Row],[Std Read]]="","N/A",Table1[[#This Row],[Std Read]]+Table1[[#This Row],[Std Ucty]])</f>
        <v>N/A</v>
      </c>
      <c r="Z3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8" s="1" t="str">
        <f>IF(Table1[[#This Row],[Spec Type]]="","N/A",Table1[[#This Row],[Spec Type]])</f>
        <v>±</v>
      </c>
      <c r="AC368" s="1" t="str">
        <f>IF(Table1[[#This Row],[Spec Type2]]="N/A","N/A",IF(AND(Table1[[#This Row],[DUT Adj Read]]&gt;=Table1[[#This Row],[Low Tol]],Table1[[#This Row],[DUT Adj Read]]&lt;=Table1[[#This Row],[High Tol]]),"Pass","Fail"))</f>
        <v>Fail</v>
      </c>
      <c r="AD368" s="1" t="str">
        <f>IF(AND(Table1[[#This Row],[Spec Type2]]="N/A",Table1[[#This Row],[DUT Adj Read]]="N/A",Table1[[#This Row],[Std Adj Read]]="N/A"),"N/A",IF(Table1[[#This Row],[DUT Adj Read]]="N/A",IF(Table1[[#This Row],[Std Adj Read]]&gt;Table1[[#This Row],[Low Tol]],"Pass","Fail"),IF(Table1[[#This Row],[DUT Adj Read]]&gt;Table1[[#This Row],[Low Tol]],"Pass","Fail")))</f>
        <v>Pass</v>
      </c>
      <c r="AE368" s="1" t="str">
        <f>IF(AND(Table1[[#This Row],[Spec Type2]]="N/A",Table1[[#This Row],[DUT Adj Read]]="N/A",Table1[[#This Row],[Std Adj Read]]="N/A"),"N/A",IF(Table1[[#This Row],[DUT Adj Read]]="N/A",IF(Table1[[#This Row],[Std Adj Read]]&lt;Table1[[#This Row],[High Tol]],"Pass","Fail"),IF(Table1[[#This Row],[DUT Adj Read]]&lt;Table1[[#This Row],[High Tol]],"Pass","Fail")))</f>
        <v>Fail</v>
      </c>
      <c r="AF368" s="1" t="str">
        <f>IF(AND(Table1[[#This Row],[Spec Type2]]="N/A",Table1[[#This Row],[DUT Adj Read]]="N/A",Table1[[#This Row],[Std Adj Read]]="N/A"),"N/A",IF(Table1[[#This Row],[DUT Adj Read]]="N/A",IF(Table1[[#This Row],[Std Adj Read]]&gt;=Table1[[#This Row],[Low Tol]],"Pass","Fail"),IF(Table1[[#This Row],[DUT Adj Read]]&gt;=Table1[[#This Row],[Low Tol]],"Pass","Fail")))</f>
        <v>Pass</v>
      </c>
      <c r="AG368" s="1" t="str">
        <f>IF(AND(Table1[[#This Row],[Spec Type2]]="N/A",Table1[[#This Row],[DUT Adj Read]]="N/A",Table1[[#This Row],[Std Adj Read]]="N/A"),"N/A",IF(Table1[[#This Row],[DUT Adj Read]]="N/A",IF(Table1[[#This Row],[Std Adj Read]]&lt;=Table1[[#This Row],[High Tol]],"Pass","Fail"),IF(Table1[[#This Row],[DUT Adj Read]]&lt;=Table1[[#This Row],[High Tol]],"Pass","Fail")))</f>
        <v>Fail</v>
      </c>
      <c r="AH3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8" s="1" t="b">
        <v>0</v>
      </c>
      <c r="AN368" s="1" t="b">
        <v>0</v>
      </c>
      <c r="AO368" s="1" t="b">
        <v>0</v>
      </c>
    </row>
    <row r="369" spans="1:41" x14ac:dyDescent="0.25">
      <c r="A369" s="10"/>
      <c r="B369" s="10"/>
      <c r="C369" s="10"/>
      <c r="D369" s="10"/>
      <c r="E369" s="10"/>
      <c r="F369" s="10"/>
      <c r="G369" s="10"/>
      <c r="H369" s="10"/>
      <c r="I369" s="1" t="str">
        <f t="shared" si="15"/>
        <v/>
      </c>
      <c r="J369" s="1" t="s">
        <v>35</v>
      </c>
      <c r="K369" s="1" t="str">
        <f t="shared" si="16"/>
        <v/>
      </c>
      <c r="L369" s="1" t="str">
        <f t="shared" si="17"/>
        <v/>
      </c>
      <c r="M369" s="1">
        <f>IF(OR(Table1[[#This Row],[Std Nom]]="",Table1[[#This Row],[Std Read]]=""),0,Table1[[#This Row],[Std Nom]]-Table1[[#This Row],[Std Read]])</f>
        <v>0</v>
      </c>
      <c r="N369" s="1">
        <f>IF(Calculations!$F$5="ACCREDITED 17025 WITH UNCERTAINTIES",$N$10,0)</f>
        <v>0</v>
      </c>
      <c r="Q369" s="1">
        <f>Table1[[#This Row],[High Tol]]-Table1[[#This Row],[Low Tol]]</f>
        <v>0</v>
      </c>
      <c r="R369" s="1">
        <f>2*Table1[[#This Row],[Std Error]]</f>
        <v>0</v>
      </c>
      <c r="S369" s="1" t="str">
        <f>IF(Table1[[#This Row],[High Tol]]="","N/A",IFERROR(ABS(Table1[[#This Row],[Tol Span]]/Table1[[#This Row],[Error Span]]),"N/A"))</f>
        <v>N/A</v>
      </c>
      <c r="T369" s="1" t="str">
        <f>IF(OR(Table1[[#This Row],[Low Tol]]="",Table1[[#This Row],[High Tol]]=""),"Needs Analysis",IF(Table1[[#This Row],[Ratio]]&gt;=4,"Not Significant",IF(Table1[[#This Row],[Ratio]]&gt;=2,"Semi-Significant","Significant")))</f>
        <v>Needs Analysis</v>
      </c>
      <c r="W369" s="1">
        <f>IF(Table1[[#This Row],[Cal Type]]&lt;&gt;"ACCREDITED 17025 WITH UNCERTAINTIES",0,"")</f>
        <v>0</v>
      </c>
      <c r="X369" s="1" t="str">
        <f>IF(Table1[[#This Row],[DUT Read]]="","N/A",Table1[[#This Row],[Std Error]]+Table1[[#This Row],[DUT Read]]+Table1[[#This Row],[DUT Ucty]])</f>
        <v>N/A</v>
      </c>
      <c r="Y369" s="1" t="str">
        <f>IF(Table1[[#This Row],[Std Read]]="","N/A",Table1[[#This Row],[Std Read]]+Table1[[#This Row],[Std Ucty]])</f>
        <v>N/A</v>
      </c>
      <c r="Z3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69" s="1" t="str">
        <f>IF(Table1[[#This Row],[Spec Type]]="","N/A",Table1[[#This Row],[Spec Type]])</f>
        <v>±</v>
      </c>
      <c r="AC369" s="1" t="str">
        <f>IF(Table1[[#This Row],[Spec Type2]]="N/A","N/A",IF(AND(Table1[[#This Row],[DUT Adj Read]]&gt;=Table1[[#This Row],[Low Tol]],Table1[[#This Row],[DUT Adj Read]]&lt;=Table1[[#This Row],[High Tol]]),"Pass","Fail"))</f>
        <v>Fail</v>
      </c>
      <c r="AD369" s="1" t="str">
        <f>IF(AND(Table1[[#This Row],[Spec Type2]]="N/A",Table1[[#This Row],[DUT Adj Read]]="N/A",Table1[[#This Row],[Std Adj Read]]="N/A"),"N/A",IF(Table1[[#This Row],[DUT Adj Read]]="N/A",IF(Table1[[#This Row],[Std Adj Read]]&gt;Table1[[#This Row],[Low Tol]],"Pass","Fail"),IF(Table1[[#This Row],[DUT Adj Read]]&gt;Table1[[#This Row],[Low Tol]],"Pass","Fail")))</f>
        <v>Pass</v>
      </c>
      <c r="AE369" s="1" t="str">
        <f>IF(AND(Table1[[#This Row],[Spec Type2]]="N/A",Table1[[#This Row],[DUT Adj Read]]="N/A",Table1[[#This Row],[Std Adj Read]]="N/A"),"N/A",IF(Table1[[#This Row],[DUT Adj Read]]="N/A",IF(Table1[[#This Row],[Std Adj Read]]&lt;Table1[[#This Row],[High Tol]],"Pass","Fail"),IF(Table1[[#This Row],[DUT Adj Read]]&lt;Table1[[#This Row],[High Tol]],"Pass","Fail")))</f>
        <v>Fail</v>
      </c>
      <c r="AF369" s="1" t="str">
        <f>IF(AND(Table1[[#This Row],[Spec Type2]]="N/A",Table1[[#This Row],[DUT Adj Read]]="N/A",Table1[[#This Row],[Std Adj Read]]="N/A"),"N/A",IF(Table1[[#This Row],[DUT Adj Read]]="N/A",IF(Table1[[#This Row],[Std Adj Read]]&gt;=Table1[[#This Row],[Low Tol]],"Pass","Fail"),IF(Table1[[#This Row],[DUT Adj Read]]&gt;=Table1[[#This Row],[Low Tol]],"Pass","Fail")))</f>
        <v>Pass</v>
      </c>
      <c r="AG369" s="1" t="str">
        <f>IF(AND(Table1[[#This Row],[Spec Type2]]="N/A",Table1[[#This Row],[DUT Adj Read]]="N/A",Table1[[#This Row],[Std Adj Read]]="N/A"),"N/A",IF(Table1[[#This Row],[DUT Adj Read]]="N/A",IF(Table1[[#This Row],[Std Adj Read]]&lt;=Table1[[#This Row],[High Tol]],"Pass","Fail"),IF(Table1[[#This Row],[DUT Adj Read]]&lt;=Table1[[#This Row],[High Tol]],"Pass","Fail")))</f>
        <v>Fail</v>
      </c>
      <c r="AH3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69" s="1" t="b">
        <v>0</v>
      </c>
      <c r="AN369" s="1" t="b">
        <v>0</v>
      </c>
      <c r="AO369" s="1" t="b">
        <v>0</v>
      </c>
    </row>
    <row r="370" spans="1:41" x14ac:dyDescent="0.25">
      <c r="A370" s="10"/>
      <c r="B370" s="10"/>
      <c r="C370" s="10"/>
      <c r="D370" s="10"/>
      <c r="E370" s="10"/>
      <c r="F370" s="10"/>
      <c r="G370" s="10"/>
      <c r="H370" s="10"/>
      <c r="I370" s="1" t="str">
        <f t="shared" si="15"/>
        <v/>
      </c>
      <c r="J370" s="1" t="s">
        <v>35</v>
      </c>
      <c r="K370" s="1" t="str">
        <f t="shared" si="16"/>
        <v/>
      </c>
      <c r="L370" s="1" t="str">
        <f t="shared" si="17"/>
        <v/>
      </c>
      <c r="M370" s="1">
        <f>IF(OR(Table1[[#This Row],[Std Nom]]="",Table1[[#This Row],[Std Read]]=""),0,Table1[[#This Row],[Std Nom]]-Table1[[#This Row],[Std Read]])</f>
        <v>0</v>
      </c>
      <c r="N370" s="1">
        <f>IF(Calculations!$F$5="ACCREDITED 17025 WITH UNCERTAINTIES",$N$10,0)</f>
        <v>0</v>
      </c>
      <c r="Q370" s="1">
        <f>Table1[[#This Row],[High Tol]]-Table1[[#This Row],[Low Tol]]</f>
        <v>0</v>
      </c>
      <c r="R370" s="1">
        <f>2*Table1[[#This Row],[Std Error]]</f>
        <v>0</v>
      </c>
      <c r="S370" s="1" t="str">
        <f>IF(Table1[[#This Row],[High Tol]]="","N/A",IFERROR(ABS(Table1[[#This Row],[Tol Span]]/Table1[[#This Row],[Error Span]]),"N/A"))</f>
        <v>N/A</v>
      </c>
      <c r="T370" s="1" t="str">
        <f>IF(OR(Table1[[#This Row],[Low Tol]]="",Table1[[#This Row],[High Tol]]=""),"Needs Analysis",IF(Table1[[#This Row],[Ratio]]&gt;=4,"Not Significant",IF(Table1[[#This Row],[Ratio]]&gt;=2,"Semi-Significant","Significant")))</f>
        <v>Needs Analysis</v>
      </c>
      <c r="W370" s="1">
        <f>IF(Table1[[#This Row],[Cal Type]]&lt;&gt;"ACCREDITED 17025 WITH UNCERTAINTIES",0,"")</f>
        <v>0</v>
      </c>
      <c r="X370" s="1" t="str">
        <f>IF(Table1[[#This Row],[DUT Read]]="","N/A",Table1[[#This Row],[Std Error]]+Table1[[#This Row],[DUT Read]]+Table1[[#This Row],[DUT Ucty]])</f>
        <v>N/A</v>
      </c>
      <c r="Y370" s="1" t="str">
        <f>IF(Table1[[#This Row],[Std Read]]="","N/A",Table1[[#This Row],[Std Read]]+Table1[[#This Row],[Std Ucty]])</f>
        <v>N/A</v>
      </c>
      <c r="Z3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0" s="1" t="str">
        <f>IF(Table1[[#This Row],[Spec Type]]="","N/A",Table1[[#This Row],[Spec Type]])</f>
        <v>±</v>
      </c>
      <c r="AC370" s="1" t="str">
        <f>IF(Table1[[#This Row],[Spec Type2]]="N/A","N/A",IF(AND(Table1[[#This Row],[DUT Adj Read]]&gt;=Table1[[#This Row],[Low Tol]],Table1[[#This Row],[DUT Adj Read]]&lt;=Table1[[#This Row],[High Tol]]),"Pass","Fail"))</f>
        <v>Fail</v>
      </c>
      <c r="AD370" s="1" t="str">
        <f>IF(AND(Table1[[#This Row],[Spec Type2]]="N/A",Table1[[#This Row],[DUT Adj Read]]="N/A",Table1[[#This Row],[Std Adj Read]]="N/A"),"N/A",IF(Table1[[#This Row],[DUT Adj Read]]="N/A",IF(Table1[[#This Row],[Std Adj Read]]&gt;Table1[[#This Row],[Low Tol]],"Pass","Fail"),IF(Table1[[#This Row],[DUT Adj Read]]&gt;Table1[[#This Row],[Low Tol]],"Pass","Fail")))</f>
        <v>Pass</v>
      </c>
      <c r="AE370" s="1" t="str">
        <f>IF(AND(Table1[[#This Row],[Spec Type2]]="N/A",Table1[[#This Row],[DUT Adj Read]]="N/A",Table1[[#This Row],[Std Adj Read]]="N/A"),"N/A",IF(Table1[[#This Row],[DUT Adj Read]]="N/A",IF(Table1[[#This Row],[Std Adj Read]]&lt;Table1[[#This Row],[High Tol]],"Pass","Fail"),IF(Table1[[#This Row],[DUT Adj Read]]&lt;Table1[[#This Row],[High Tol]],"Pass","Fail")))</f>
        <v>Fail</v>
      </c>
      <c r="AF370" s="1" t="str">
        <f>IF(AND(Table1[[#This Row],[Spec Type2]]="N/A",Table1[[#This Row],[DUT Adj Read]]="N/A",Table1[[#This Row],[Std Adj Read]]="N/A"),"N/A",IF(Table1[[#This Row],[DUT Adj Read]]="N/A",IF(Table1[[#This Row],[Std Adj Read]]&gt;=Table1[[#This Row],[Low Tol]],"Pass","Fail"),IF(Table1[[#This Row],[DUT Adj Read]]&gt;=Table1[[#This Row],[Low Tol]],"Pass","Fail")))</f>
        <v>Pass</v>
      </c>
      <c r="AG370" s="1" t="str">
        <f>IF(AND(Table1[[#This Row],[Spec Type2]]="N/A",Table1[[#This Row],[DUT Adj Read]]="N/A",Table1[[#This Row],[Std Adj Read]]="N/A"),"N/A",IF(Table1[[#This Row],[DUT Adj Read]]="N/A",IF(Table1[[#This Row],[Std Adj Read]]&lt;=Table1[[#This Row],[High Tol]],"Pass","Fail"),IF(Table1[[#This Row],[DUT Adj Read]]&lt;=Table1[[#This Row],[High Tol]],"Pass","Fail")))</f>
        <v>Fail</v>
      </c>
      <c r="AH3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0" s="1" t="b">
        <v>0</v>
      </c>
      <c r="AN370" s="1" t="b">
        <v>0</v>
      </c>
      <c r="AO370" s="1" t="b">
        <v>0</v>
      </c>
    </row>
    <row r="371" spans="1:41" x14ac:dyDescent="0.25">
      <c r="A371" s="10"/>
      <c r="B371" s="10"/>
      <c r="C371" s="10"/>
      <c r="D371" s="10"/>
      <c r="E371" s="10"/>
      <c r="F371" s="10"/>
      <c r="G371" s="10"/>
      <c r="H371" s="10"/>
      <c r="I371" s="1" t="str">
        <f t="shared" si="15"/>
        <v/>
      </c>
      <c r="J371" s="1" t="s">
        <v>35</v>
      </c>
      <c r="K371" s="1" t="str">
        <f t="shared" si="16"/>
        <v/>
      </c>
      <c r="L371" s="1" t="str">
        <f t="shared" si="17"/>
        <v/>
      </c>
      <c r="M371" s="1">
        <f>IF(OR(Table1[[#This Row],[Std Nom]]="",Table1[[#This Row],[Std Read]]=""),0,Table1[[#This Row],[Std Nom]]-Table1[[#This Row],[Std Read]])</f>
        <v>0</v>
      </c>
      <c r="N371" s="1">
        <f>IF(Calculations!$F$5="ACCREDITED 17025 WITH UNCERTAINTIES",$N$10,0)</f>
        <v>0</v>
      </c>
      <c r="Q371" s="1">
        <f>Table1[[#This Row],[High Tol]]-Table1[[#This Row],[Low Tol]]</f>
        <v>0</v>
      </c>
      <c r="R371" s="1">
        <f>2*Table1[[#This Row],[Std Error]]</f>
        <v>0</v>
      </c>
      <c r="S371" s="1" t="str">
        <f>IF(Table1[[#This Row],[High Tol]]="","N/A",IFERROR(ABS(Table1[[#This Row],[Tol Span]]/Table1[[#This Row],[Error Span]]),"N/A"))</f>
        <v>N/A</v>
      </c>
      <c r="T371" s="1" t="str">
        <f>IF(OR(Table1[[#This Row],[Low Tol]]="",Table1[[#This Row],[High Tol]]=""),"Needs Analysis",IF(Table1[[#This Row],[Ratio]]&gt;=4,"Not Significant",IF(Table1[[#This Row],[Ratio]]&gt;=2,"Semi-Significant","Significant")))</f>
        <v>Needs Analysis</v>
      </c>
      <c r="W371" s="1">
        <f>IF(Table1[[#This Row],[Cal Type]]&lt;&gt;"ACCREDITED 17025 WITH UNCERTAINTIES",0,"")</f>
        <v>0</v>
      </c>
      <c r="X371" s="1" t="str">
        <f>IF(Table1[[#This Row],[DUT Read]]="","N/A",Table1[[#This Row],[Std Error]]+Table1[[#This Row],[DUT Read]]+Table1[[#This Row],[DUT Ucty]])</f>
        <v>N/A</v>
      </c>
      <c r="Y371" s="1" t="str">
        <f>IF(Table1[[#This Row],[Std Read]]="","N/A",Table1[[#This Row],[Std Read]]+Table1[[#This Row],[Std Ucty]])</f>
        <v>N/A</v>
      </c>
      <c r="Z3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1" s="1" t="str">
        <f>IF(Table1[[#This Row],[Spec Type]]="","N/A",Table1[[#This Row],[Spec Type]])</f>
        <v>±</v>
      </c>
      <c r="AC371" s="1" t="str">
        <f>IF(Table1[[#This Row],[Spec Type2]]="N/A","N/A",IF(AND(Table1[[#This Row],[DUT Adj Read]]&gt;=Table1[[#This Row],[Low Tol]],Table1[[#This Row],[DUT Adj Read]]&lt;=Table1[[#This Row],[High Tol]]),"Pass","Fail"))</f>
        <v>Fail</v>
      </c>
      <c r="AD371" s="1" t="str">
        <f>IF(AND(Table1[[#This Row],[Spec Type2]]="N/A",Table1[[#This Row],[DUT Adj Read]]="N/A",Table1[[#This Row],[Std Adj Read]]="N/A"),"N/A",IF(Table1[[#This Row],[DUT Adj Read]]="N/A",IF(Table1[[#This Row],[Std Adj Read]]&gt;Table1[[#This Row],[Low Tol]],"Pass","Fail"),IF(Table1[[#This Row],[DUT Adj Read]]&gt;Table1[[#This Row],[Low Tol]],"Pass","Fail")))</f>
        <v>Pass</v>
      </c>
      <c r="AE371" s="1" t="str">
        <f>IF(AND(Table1[[#This Row],[Spec Type2]]="N/A",Table1[[#This Row],[DUT Adj Read]]="N/A",Table1[[#This Row],[Std Adj Read]]="N/A"),"N/A",IF(Table1[[#This Row],[DUT Adj Read]]="N/A",IF(Table1[[#This Row],[Std Adj Read]]&lt;Table1[[#This Row],[High Tol]],"Pass","Fail"),IF(Table1[[#This Row],[DUT Adj Read]]&lt;Table1[[#This Row],[High Tol]],"Pass","Fail")))</f>
        <v>Fail</v>
      </c>
      <c r="AF371" s="1" t="str">
        <f>IF(AND(Table1[[#This Row],[Spec Type2]]="N/A",Table1[[#This Row],[DUT Adj Read]]="N/A",Table1[[#This Row],[Std Adj Read]]="N/A"),"N/A",IF(Table1[[#This Row],[DUT Adj Read]]="N/A",IF(Table1[[#This Row],[Std Adj Read]]&gt;=Table1[[#This Row],[Low Tol]],"Pass","Fail"),IF(Table1[[#This Row],[DUT Adj Read]]&gt;=Table1[[#This Row],[Low Tol]],"Pass","Fail")))</f>
        <v>Pass</v>
      </c>
      <c r="AG371" s="1" t="str">
        <f>IF(AND(Table1[[#This Row],[Spec Type2]]="N/A",Table1[[#This Row],[DUT Adj Read]]="N/A",Table1[[#This Row],[Std Adj Read]]="N/A"),"N/A",IF(Table1[[#This Row],[DUT Adj Read]]="N/A",IF(Table1[[#This Row],[Std Adj Read]]&lt;=Table1[[#This Row],[High Tol]],"Pass","Fail"),IF(Table1[[#This Row],[DUT Adj Read]]&lt;=Table1[[#This Row],[High Tol]],"Pass","Fail")))</f>
        <v>Fail</v>
      </c>
      <c r="AH3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1" s="1" t="b">
        <v>0</v>
      </c>
      <c r="AN371" s="1" t="b">
        <v>0</v>
      </c>
      <c r="AO371" s="1" t="b">
        <v>0</v>
      </c>
    </row>
    <row r="372" spans="1:41" x14ac:dyDescent="0.25">
      <c r="A372" s="10"/>
      <c r="B372" s="10"/>
      <c r="C372" s="10"/>
      <c r="D372" s="10"/>
      <c r="E372" s="10"/>
      <c r="F372" s="10"/>
      <c r="G372" s="10"/>
      <c r="H372" s="10"/>
      <c r="I372" s="1" t="str">
        <f t="shared" si="15"/>
        <v/>
      </c>
      <c r="J372" s="1" t="s">
        <v>35</v>
      </c>
      <c r="K372" s="1" t="str">
        <f t="shared" si="16"/>
        <v/>
      </c>
      <c r="L372" s="1" t="str">
        <f t="shared" si="17"/>
        <v/>
      </c>
      <c r="M372" s="1">
        <f>IF(OR(Table1[[#This Row],[Std Nom]]="",Table1[[#This Row],[Std Read]]=""),0,Table1[[#This Row],[Std Nom]]-Table1[[#This Row],[Std Read]])</f>
        <v>0</v>
      </c>
      <c r="N372" s="1">
        <f>IF(Calculations!$F$5="ACCREDITED 17025 WITH UNCERTAINTIES",$N$10,0)</f>
        <v>0</v>
      </c>
      <c r="Q372" s="1">
        <f>Table1[[#This Row],[High Tol]]-Table1[[#This Row],[Low Tol]]</f>
        <v>0</v>
      </c>
      <c r="R372" s="1">
        <f>2*Table1[[#This Row],[Std Error]]</f>
        <v>0</v>
      </c>
      <c r="S372" s="1" t="str">
        <f>IF(Table1[[#This Row],[High Tol]]="","N/A",IFERROR(ABS(Table1[[#This Row],[Tol Span]]/Table1[[#This Row],[Error Span]]),"N/A"))</f>
        <v>N/A</v>
      </c>
      <c r="T372" s="1" t="str">
        <f>IF(OR(Table1[[#This Row],[Low Tol]]="",Table1[[#This Row],[High Tol]]=""),"Needs Analysis",IF(Table1[[#This Row],[Ratio]]&gt;=4,"Not Significant",IF(Table1[[#This Row],[Ratio]]&gt;=2,"Semi-Significant","Significant")))</f>
        <v>Needs Analysis</v>
      </c>
      <c r="W372" s="1">
        <f>IF(Table1[[#This Row],[Cal Type]]&lt;&gt;"ACCREDITED 17025 WITH UNCERTAINTIES",0,"")</f>
        <v>0</v>
      </c>
      <c r="X372" s="1" t="str">
        <f>IF(Table1[[#This Row],[DUT Read]]="","N/A",Table1[[#This Row],[Std Error]]+Table1[[#This Row],[DUT Read]]+Table1[[#This Row],[DUT Ucty]])</f>
        <v>N/A</v>
      </c>
      <c r="Y372" s="1" t="str">
        <f>IF(Table1[[#This Row],[Std Read]]="","N/A",Table1[[#This Row],[Std Read]]+Table1[[#This Row],[Std Ucty]])</f>
        <v>N/A</v>
      </c>
      <c r="Z3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2" s="1" t="str">
        <f>IF(Table1[[#This Row],[Spec Type]]="","N/A",Table1[[#This Row],[Spec Type]])</f>
        <v>±</v>
      </c>
      <c r="AC372" s="1" t="str">
        <f>IF(Table1[[#This Row],[Spec Type2]]="N/A","N/A",IF(AND(Table1[[#This Row],[DUT Adj Read]]&gt;=Table1[[#This Row],[Low Tol]],Table1[[#This Row],[DUT Adj Read]]&lt;=Table1[[#This Row],[High Tol]]),"Pass","Fail"))</f>
        <v>Fail</v>
      </c>
      <c r="AD372" s="1" t="str">
        <f>IF(AND(Table1[[#This Row],[Spec Type2]]="N/A",Table1[[#This Row],[DUT Adj Read]]="N/A",Table1[[#This Row],[Std Adj Read]]="N/A"),"N/A",IF(Table1[[#This Row],[DUT Adj Read]]="N/A",IF(Table1[[#This Row],[Std Adj Read]]&gt;Table1[[#This Row],[Low Tol]],"Pass","Fail"),IF(Table1[[#This Row],[DUT Adj Read]]&gt;Table1[[#This Row],[Low Tol]],"Pass","Fail")))</f>
        <v>Pass</v>
      </c>
      <c r="AE372" s="1" t="str">
        <f>IF(AND(Table1[[#This Row],[Spec Type2]]="N/A",Table1[[#This Row],[DUT Adj Read]]="N/A",Table1[[#This Row],[Std Adj Read]]="N/A"),"N/A",IF(Table1[[#This Row],[DUT Adj Read]]="N/A",IF(Table1[[#This Row],[Std Adj Read]]&lt;Table1[[#This Row],[High Tol]],"Pass","Fail"),IF(Table1[[#This Row],[DUT Adj Read]]&lt;Table1[[#This Row],[High Tol]],"Pass","Fail")))</f>
        <v>Fail</v>
      </c>
      <c r="AF372" s="1" t="str">
        <f>IF(AND(Table1[[#This Row],[Spec Type2]]="N/A",Table1[[#This Row],[DUT Adj Read]]="N/A",Table1[[#This Row],[Std Adj Read]]="N/A"),"N/A",IF(Table1[[#This Row],[DUT Adj Read]]="N/A",IF(Table1[[#This Row],[Std Adj Read]]&gt;=Table1[[#This Row],[Low Tol]],"Pass","Fail"),IF(Table1[[#This Row],[DUT Adj Read]]&gt;=Table1[[#This Row],[Low Tol]],"Pass","Fail")))</f>
        <v>Pass</v>
      </c>
      <c r="AG372" s="1" t="str">
        <f>IF(AND(Table1[[#This Row],[Spec Type2]]="N/A",Table1[[#This Row],[DUT Adj Read]]="N/A",Table1[[#This Row],[Std Adj Read]]="N/A"),"N/A",IF(Table1[[#This Row],[DUT Adj Read]]="N/A",IF(Table1[[#This Row],[Std Adj Read]]&lt;=Table1[[#This Row],[High Tol]],"Pass","Fail"),IF(Table1[[#This Row],[DUT Adj Read]]&lt;=Table1[[#This Row],[High Tol]],"Pass","Fail")))</f>
        <v>Fail</v>
      </c>
      <c r="AH3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2" s="1" t="b">
        <v>0</v>
      </c>
      <c r="AN372" s="1" t="b">
        <v>0</v>
      </c>
      <c r="AO372" s="1" t="b">
        <v>0</v>
      </c>
    </row>
    <row r="373" spans="1:41" x14ac:dyDescent="0.25">
      <c r="A373" s="10"/>
      <c r="B373" s="10"/>
      <c r="C373" s="10"/>
      <c r="D373" s="10"/>
      <c r="E373" s="10"/>
      <c r="F373" s="10"/>
      <c r="G373" s="10"/>
      <c r="H373" s="10"/>
      <c r="I373" s="1" t="str">
        <f t="shared" si="15"/>
        <v/>
      </c>
      <c r="J373" s="1" t="s">
        <v>35</v>
      </c>
      <c r="K373" s="1" t="str">
        <f t="shared" si="16"/>
        <v/>
      </c>
      <c r="L373" s="1" t="str">
        <f t="shared" si="17"/>
        <v/>
      </c>
      <c r="M373" s="1">
        <f>IF(OR(Table1[[#This Row],[Std Nom]]="",Table1[[#This Row],[Std Read]]=""),0,Table1[[#This Row],[Std Nom]]-Table1[[#This Row],[Std Read]])</f>
        <v>0</v>
      </c>
      <c r="N373" s="1">
        <f>IF(Calculations!$F$5="ACCREDITED 17025 WITH UNCERTAINTIES",$N$10,0)</f>
        <v>0</v>
      </c>
      <c r="Q373" s="1">
        <f>Table1[[#This Row],[High Tol]]-Table1[[#This Row],[Low Tol]]</f>
        <v>0</v>
      </c>
      <c r="R373" s="1">
        <f>2*Table1[[#This Row],[Std Error]]</f>
        <v>0</v>
      </c>
      <c r="S373" s="1" t="str">
        <f>IF(Table1[[#This Row],[High Tol]]="","N/A",IFERROR(ABS(Table1[[#This Row],[Tol Span]]/Table1[[#This Row],[Error Span]]),"N/A"))</f>
        <v>N/A</v>
      </c>
      <c r="T373" s="1" t="str">
        <f>IF(OR(Table1[[#This Row],[Low Tol]]="",Table1[[#This Row],[High Tol]]=""),"Needs Analysis",IF(Table1[[#This Row],[Ratio]]&gt;=4,"Not Significant",IF(Table1[[#This Row],[Ratio]]&gt;=2,"Semi-Significant","Significant")))</f>
        <v>Needs Analysis</v>
      </c>
      <c r="W373" s="1">
        <f>IF(Table1[[#This Row],[Cal Type]]&lt;&gt;"ACCREDITED 17025 WITH UNCERTAINTIES",0,"")</f>
        <v>0</v>
      </c>
      <c r="X373" s="1" t="str">
        <f>IF(Table1[[#This Row],[DUT Read]]="","N/A",Table1[[#This Row],[Std Error]]+Table1[[#This Row],[DUT Read]]+Table1[[#This Row],[DUT Ucty]])</f>
        <v>N/A</v>
      </c>
      <c r="Y373" s="1" t="str">
        <f>IF(Table1[[#This Row],[Std Read]]="","N/A",Table1[[#This Row],[Std Read]]+Table1[[#This Row],[Std Ucty]])</f>
        <v>N/A</v>
      </c>
      <c r="Z3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3" s="1" t="str">
        <f>IF(Table1[[#This Row],[Spec Type]]="","N/A",Table1[[#This Row],[Spec Type]])</f>
        <v>±</v>
      </c>
      <c r="AC373" s="1" t="str">
        <f>IF(Table1[[#This Row],[Spec Type2]]="N/A","N/A",IF(AND(Table1[[#This Row],[DUT Adj Read]]&gt;=Table1[[#This Row],[Low Tol]],Table1[[#This Row],[DUT Adj Read]]&lt;=Table1[[#This Row],[High Tol]]),"Pass","Fail"))</f>
        <v>Fail</v>
      </c>
      <c r="AD373" s="1" t="str">
        <f>IF(AND(Table1[[#This Row],[Spec Type2]]="N/A",Table1[[#This Row],[DUT Adj Read]]="N/A",Table1[[#This Row],[Std Adj Read]]="N/A"),"N/A",IF(Table1[[#This Row],[DUT Adj Read]]="N/A",IF(Table1[[#This Row],[Std Adj Read]]&gt;Table1[[#This Row],[Low Tol]],"Pass","Fail"),IF(Table1[[#This Row],[DUT Adj Read]]&gt;Table1[[#This Row],[Low Tol]],"Pass","Fail")))</f>
        <v>Pass</v>
      </c>
      <c r="AE373" s="1" t="str">
        <f>IF(AND(Table1[[#This Row],[Spec Type2]]="N/A",Table1[[#This Row],[DUT Adj Read]]="N/A",Table1[[#This Row],[Std Adj Read]]="N/A"),"N/A",IF(Table1[[#This Row],[DUT Adj Read]]="N/A",IF(Table1[[#This Row],[Std Adj Read]]&lt;Table1[[#This Row],[High Tol]],"Pass","Fail"),IF(Table1[[#This Row],[DUT Adj Read]]&lt;Table1[[#This Row],[High Tol]],"Pass","Fail")))</f>
        <v>Fail</v>
      </c>
      <c r="AF373" s="1" t="str">
        <f>IF(AND(Table1[[#This Row],[Spec Type2]]="N/A",Table1[[#This Row],[DUT Adj Read]]="N/A",Table1[[#This Row],[Std Adj Read]]="N/A"),"N/A",IF(Table1[[#This Row],[DUT Adj Read]]="N/A",IF(Table1[[#This Row],[Std Adj Read]]&gt;=Table1[[#This Row],[Low Tol]],"Pass","Fail"),IF(Table1[[#This Row],[DUT Adj Read]]&gt;=Table1[[#This Row],[Low Tol]],"Pass","Fail")))</f>
        <v>Pass</v>
      </c>
      <c r="AG373" s="1" t="str">
        <f>IF(AND(Table1[[#This Row],[Spec Type2]]="N/A",Table1[[#This Row],[DUT Adj Read]]="N/A",Table1[[#This Row],[Std Adj Read]]="N/A"),"N/A",IF(Table1[[#This Row],[DUT Adj Read]]="N/A",IF(Table1[[#This Row],[Std Adj Read]]&lt;=Table1[[#This Row],[High Tol]],"Pass","Fail"),IF(Table1[[#This Row],[DUT Adj Read]]&lt;=Table1[[#This Row],[High Tol]],"Pass","Fail")))</f>
        <v>Fail</v>
      </c>
      <c r="AH3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3" s="1" t="b">
        <v>0</v>
      </c>
      <c r="AN373" s="1" t="b">
        <v>0</v>
      </c>
      <c r="AO373" s="1" t="b">
        <v>0</v>
      </c>
    </row>
    <row r="374" spans="1:41" x14ac:dyDescent="0.25">
      <c r="A374" s="10"/>
      <c r="B374" s="10"/>
      <c r="C374" s="10"/>
      <c r="D374" s="10"/>
      <c r="E374" s="10"/>
      <c r="F374" s="10"/>
      <c r="G374" s="10"/>
      <c r="H374" s="10"/>
      <c r="I374" s="1" t="str">
        <f t="shared" si="15"/>
        <v/>
      </c>
      <c r="J374" s="1" t="s">
        <v>35</v>
      </c>
      <c r="K374" s="1" t="str">
        <f t="shared" si="16"/>
        <v/>
      </c>
      <c r="L374" s="1" t="str">
        <f t="shared" si="17"/>
        <v/>
      </c>
      <c r="M374" s="1">
        <f>IF(OR(Table1[[#This Row],[Std Nom]]="",Table1[[#This Row],[Std Read]]=""),0,Table1[[#This Row],[Std Nom]]-Table1[[#This Row],[Std Read]])</f>
        <v>0</v>
      </c>
      <c r="N374" s="1">
        <f>IF(Calculations!$F$5="ACCREDITED 17025 WITH UNCERTAINTIES",$N$10,0)</f>
        <v>0</v>
      </c>
      <c r="Q374" s="1">
        <f>Table1[[#This Row],[High Tol]]-Table1[[#This Row],[Low Tol]]</f>
        <v>0</v>
      </c>
      <c r="R374" s="1">
        <f>2*Table1[[#This Row],[Std Error]]</f>
        <v>0</v>
      </c>
      <c r="S374" s="1" t="str">
        <f>IF(Table1[[#This Row],[High Tol]]="","N/A",IFERROR(ABS(Table1[[#This Row],[Tol Span]]/Table1[[#This Row],[Error Span]]),"N/A"))</f>
        <v>N/A</v>
      </c>
      <c r="T374" s="1" t="str">
        <f>IF(OR(Table1[[#This Row],[Low Tol]]="",Table1[[#This Row],[High Tol]]=""),"Needs Analysis",IF(Table1[[#This Row],[Ratio]]&gt;=4,"Not Significant",IF(Table1[[#This Row],[Ratio]]&gt;=2,"Semi-Significant","Significant")))</f>
        <v>Needs Analysis</v>
      </c>
      <c r="W374" s="1">
        <f>IF(Table1[[#This Row],[Cal Type]]&lt;&gt;"ACCREDITED 17025 WITH UNCERTAINTIES",0,"")</f>
        <v>0</v>
      </c>
      <c r="X374" s="1" t="str">
        <f>IF(Table1[[#This Row],[DUT Read]]="","N/A",Table1[[#This Row],[Std Error]]+Table1[[#This Row],[DUT Read]]+Table1[[#This Row],[DUT Ucty]])</f>
        <v>N/A</v>
      </c>
      <c r="Y374" s="1" t="str">
        <f>IF(Table1[[#This Row],[Std Read]]="","N/A",Table1[[#This Row],[Std Read]]+Table1[[#This Row],[Std Ucty]])</f>
        <v>N/A</v>
      </c>
      <c r="Z3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4" s="1" t="str">
        <f>IF(Table1[[#This Row],[Spec Type]]="","N/A",Table1[[#This Row],[Spec Type]])</f>
        <v>±</v>
      </c>
      <c r="AC374" s="1" t="str">
        <f>IF(Table1[[#This Row],[Spec Type2]]="N/A","N/A",IF(AND(Table1[[#This Row],[DUT Adj Read]]&gt;=Table1[[#This Row],[Low Tol]],Table1[[#This Row],[DUT Adj Read]]&lt;=Table1[[#This Row],[High Tol]]),"Pass","Fail"))</f>
        <v>Fail</v>
      </c>
      <c r="AD374" s="1" t="str">
        <f>IF(AND(Table1[[#This Row],[Spec Type2]]="N/A",Table1[[#This Row],[DUT Adj Read]]="N/A",Table1[[#This Row],[Std Adj Read]]="N/A"),"N/A",IF(Table1[[#This Row],[DUT Adj Read]]="N/A",IF(Table1[[#This Row],[Std Adj Read]]&gt;Table1[[#This Row],[Low Tol]],"Pass","Fail"),IF(Table1[[#This Row],[DUT Adj Read]]&gt;Table1[[#This Row],[Low Tol]],"Pass","Fail")))</f>
        <v>Pass</v>
      </c>
      <c r="AE374" s="1" t="str">
        <f>IF(AND(Table1[[#This Row],[Spec Type2]]="N/A",Table1[[#This Row],[DUT Adj Read]]="N/A",Table1[[#This Row],[Std Adj Read]]="N/A"),"N/A",IF(Table1[[#This Row],[DUT Adj Read]]="N/A",IF(Table1[[#This Row],[Std Adj Read]]&lt;Table1[[#This Row],[High Tol]],"Pass","Fail"),IF(Table1[[#This Row],[DUT Adj Read]]&lt;Table1[[#This Row],[High Tol]],"Pass","Fail")))</f>
        <v>Fail</v>
      </c>
      <c r="AF374" s="1" t="str">
        <f>IF(AND(Table1[[#This Row],[Spec Type2]]="N/A",Table1[[#This Row],[DUT Adj Read]]="N/A",Table1[[#This Row],[Std Adj Read]]="N/A"),"N/A",IF(Table1[[#This Row],[DUT Adj Read]]="N/A",IF(Table1[[#This Row],[Std Adj Read]]&gt;=Table1[[#This Row],[Low Tol]],"Pass","Fail"),IF(Table1[[#This Row],[DUT Adj Read]]&gt;=Table1[[#This Row],[Low Tol]],"Pass","Fail")))</f>
        <v>Pass</v>
      </c>
      <c r="AG374" s="1" t="str">
        <f>IF(AND(Table1[[#This Row],[Spec Type2]]="N/A",Table1[[#This Row],[DUT Adj Read]]="N/A",Table1[[#This Row],[Std Adj Read]]="N/A"),"N/A",IF(Table1[[#This Row],[DUT Adj Read]]="N/A",IF(Table1[[#This Row],[Std Adj Read]]&lt;=Table1[[#This Row],[High Tol]],"Pass","Fail"),IF(Table1[[#This Row],[DUT Adj Read]]&lt;=Table1[[#This Row],[High Tol]],"Pass","Fail")))</f>
        <v>Fail</v>
      </c>
      <c r="AH3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4" s="1" t="b">
        <v>0</v>
      </c>
      <c r="AN374" s="1" t="b">
        <v>0</v>
      </c>
      <c r="AO374" s="1" t="b">
        <v>0</v>
      </c>
    </row>
    <row r="375" spans="1:41" x14ac:dyDescent="0.25">
      <c r="A375" s="10"/>
      <c r="B375" s="10"/>
      <c r="C375" s="10"/>
      <c r="D375" s="10"/>
      <c r="E375" s="10"/>
      <c r="F375" s="10"/>
      <c r="G375" s="10"/>
      <c r="H375" s="10"/>
      <c r="I375" s="1" t="str">
        <f t="shared" si="15"/>
        <v/>
      </c>
      <c r="J375" s="1" t="s">
        <v>35</v>
      </c>
      <c r="K375" s="1" t="str">
        <f t="shared" si="16"/>
        <v/>
      </c>
      <c r="L375" s="1" t="str">
        <f t="shared" si="17"/>
        <v/>
      </c>
      <c r="M375" s="1">
        <f>IF(OR(Table1[[#This Row],[Std Nom]]="",Table1[[#This Row],[Std Read]]=""),0,Table1[[#This Row],[Std Nom]]-Table1[[#This Row],[Std Read]])</f>
        <v>0</v>
      </c>
      <c r="N375" s="1">
        <f>IF(Calculations!$F$5="ACCREDITED 17025 WITH UNCERTAINTIES",$N$10,0)</f>
        <v>0</v>
      </c>
      <c r="Q375" s="1">
        <f>Table1[[#This Row],[High Tol]]-Table1[[#This Row],[Low Tol]]</f>
        <v>0</v>
      </c>
      <c r="R375" s="1">
        <f>2*Table1[[#This Row],[Std Error]]</f>
        <v>0</v>
      </c>
      <c r="S375" s="1" t="str">
        <f>IF(Table1[[#This Row],[High Tol]]="","N/A",IFERROR(ABS(Table1[[#This Row],[Tol Span]]/Table1[[#This Row],[Error Span]]),"N/A"))</f>
        <v>N/A</v>
      </c>
      <c r="T375" s="1" t="str">
        <f>IF(OR(Table1[[#This Row],[Low Tol]]="",Table1[[#This Row],[High Tol]]=""),"Needs Analysis",IF(Table1[[#This Row],[Ratio]]&gt;=4,"Not Significant",IF(Table1[[#This Row],[Ratio]]&gt;=2,"Semi-Significant","Significant")))</f>
        <v>Needs Analysis</v>
      </c>
      <c r="W375" s="1">
        <f>IF(Table1[[#This Row],[Cal Type]]&lt;&gt;"ACCREDITED 17025 WITH UNCERTAINTIES",0,"")</f>
        <v>0</v>
      </c>
      <c r="X375" s="1" t="str">
        <f>IF(Table1[[#This Row],[DUT Read]]="","N/A",Table1[[#This Row],[Std Error]]+Table1[[#This Row],[DUT Read]]+Table1[[#This Row],[DUT Ucty]])</f>
        <v>N/A</v>
      </c>
      <c r="Y375" s="1" t="str">
        <f>IF(Table1[[#This Row],[Std Read]]="","N/A",Table1[[#This Row],[Std Read]]+Table1[[#This Row],[Std Ucty]])</f>
        <v>N/A</v>
      </c>
      <c r="Z3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5" s="1" t="str">
        <f>IF(Table1[[#This Row],[Spec Type]]="","N/A",Table1[[#This Row],[Spec Type]])</f>
        <v>±</v>
      </c>
      <c r="AC375" s="1" t="str">
        <f>IF(Table1[[#This Row],[Spec Type2]]="N/A","N/A",IF(AND(Table1[[#This Row],[DUT Adj Read]]&gt;=Table1[[#This Row],[Low Tol]],Table1[[#This Row],[DUT Adj Read]]&lt;=Table1[[#This Row],[High Tol]]),"Pass","Fail"))</f>
        <v>Fail</v>
      </c>
      <c r="AD375" s="1" t="str">
        <f>IF(AND(Table1[[#This Row],[Spec Type2]]="N/A",Table1[[#This Row],[DUT Adj Read]]="N/A",Table1[[#This Row],[Std Adj Read]]="N/A"),"N/A",IF(Table1[[#This Row],[DUT Adj Read]]="N/A",IF(Table1[[#This Row],[Std Adj Read]]&gt;Table1[[#This Row],[Low Tol]],"Pass","Fail"),IF(Table1[[#This Row],[DUT Adj Read]]&gt;Table1[[#This Row],[Low Tol]],"Pass","Fail")))</f>
        <v>Pass</v>
      </c>
      <c r="AE375" s="1" t="str">
        <f>IF(AND(Table1[[#This Row],[Spec Type2]]="N/A",Table1[[#This Row],[DUT Adj Read]]="N/A",Table1[[#This Row],[Std Adj Read]]="N/A"),"N/A",IF(Table1[[#This Row],[DUT Adj Read]]="N/A",IF(Table1[[#This Row],[Std Adj Read]]&lt;Table1[[#This Row],[High Tol]],"Pass","Fail"),IF(Table1[[#This Row],[DUT Adj Read]]&lt;Table1[[#This Row],[High Tol]],"Pass","Fail")))</f>
        <v>Fail</v>
      </c>
      <c r="AF375" s="1" t="str">
        <f>IF(AND(Table1[[#This Row],[Spec Type2]]="N/A",Table1[[#This Row],[DUT Adj Read]]="N/A",Table1[[#This Row],[Std Adj Read]]="N/A"),"N/A",IF(Table1[[#This Row],[DUT Adj Read]]="N/A",IF(Table1[[#This Row],[Std Adj Read]]&gt;=Table1[[#This Row],[Low Tol]],"Pass","Fail"),IF(Table1[[#This Row],[DUT Adj Read]]&gt;=Table1[[#This Row],[Low Tol]],"Pass","Fail")))</f>
        <v>Pass</v>
      </c>
      <c r="AG375" s="1" t="str">
        <f>IF(AND(Table1[[#This Row],[Spec Type2]]="N/A",Table1[[#This Row],[DUT Adj Read]]="N/A",Table1[[#This Row],[Std Adj Read]]="N/A"),"N/A",IF(Table1[[#This Row],[DUT Adj Read]]="N/A",IF(Table1[[#This Row],[Std Adj Read]]&lt;=Table1[[#This Row],[High Tol]],"Pass","Fail"),IF(Table1[[#This Row],[DUT Adj Read]]&lt;=Table1[[#This Row],[High Tol]],"Pass","Fail")))</f>
        <v>Fail</v>
      </c>
      <c r="AH3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5" s="1" t="b">
        <v>0</v>
      </c>
      <c r="AN375" s="1" t="b">
        <v>0</v>
      </c>
      <c r="AO375" s="1" t="b">
        <v>0</v>
      </c>
    </row>
    <row r="376" spans="1:41" x14ac:dyDescent="0.25">
      <c r="A376" s="10"/>
      <c r="B376" s="10"/>
      <c r="C376" s="10"/>
      <c r="D376" s="10"/>
      <c r="E376" s="10"/>
      <c r="F376" s="10"/>
      <c r="G376" s="10"/>
      <c r="H376" s="10"/>
      <c r="I376" s="1" t="str">
        <f t="shared" si="15"/>
        <v/>
      </c>
      <c r="J376" s="1" t="s">
        <v>35</v>
      </c>
      <c r="K376" s="1" t="str">
        <f t="shared" si="16"/>
        <v/>
      </c>
      <c r="L376" s="1" t="str">
        <f t="shared" si="17"/>
        <v/>
      </c>
      <c r="M376" s="1">
        <f>IF(OR(Table1[[#This Row],[Std Nom]]="",Table1[[#This Row],[Std Read]]=""),0,Table1[[#This Row],[Std Nom]]-Table1[[#This Row],[Std Read]])</f>
        <v>0</v>
      </c>
      <c r="N376" s="1">
        <f>IF(Calculations!$F$5="ACCREDITED 17025 WITH UNCERTAINTIES",$N$10,0)</f>
        <v>0</v>
      </c>
      <c r="Q376" s="1">
        <f>Table1[[#This Row],[High Tol]]-Table1[[#This Row],[Low Tol]]</f>
        <v>0</v>
      </c>
      <c r="R376" s="1">
        <f>2*Table1[[#This Row],[Std Error]]</f>
        <v>0</v>
      </c>
      <c r="S376" s="1" t="str">
        <f>IF(Table1[[#This Row],[High Tol]]="","N/A",IFERROR(ABS(Table1[[#This Row],[Tol Span]]/Table1[[#This Row],[Error Span]]),"N/A"))</f>
        <v>N/A</v>
      </c>
      <c r="T376" s="1" t="str">
        <f>IF(OR(Table1[[#This Row],[Low Tol]]="",Table1[[#This Row],[High Tol]]=""),"Needs Analysis",IF(Table1[[#This Row],[Ratio]]&gt;=4,"Not Significant",IF(Table1[[#This Row],[Ratio]]&gt;=2,"Semi-Significant","Significant")))</f>
        <v>Needs Analysis</v>
      </c>
      <c r="W376" s="1">
        <f>IF(Table1[[#This Row],[Cal Type]]&lt;&gt;"ACCREDITED 17025 WITH UNCERTAINTIES",0,"")</f>
        <v>0</v>
      </c>
      <c r="X376" s="1" t="str">
        <f>IF(Table1[[#This Row],[DUT Read]]="","N/A",Table1[[#This Row],[Std Error]]+Table1[[#This Row],[DUT Read]]+Table1[[#This Row],[DUT Ucty]])</f>
        <v>N/A</v>
      </c>
      <c r="Y376" s="1" t="str">
        <f>IF(Table1[[#This Row],[Std Read]]="","N/A",Table1[[#This Row],[Std Read]]+Table1[[#This Row],[Std Ucty]])</f>
        <v>N/A</v>
      </c>
      <c r="Z3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6" s="1" t="str">
        <f>IF(Table1[[#This Row],[Spec Type]]="","N/A",Table1[[#This Row],[Spec Type]])</f>
        <v>±</v>
      </c>
      <c r="AC376" s="1" t="str">
        <f>IF(Table1[[#This Row],[Spec Type2]]="N/A","N/A",IF(AND(Table1[[#This Row],[DUT Adj Read]]&gt;=Table1[[#This Row],[Low Tol]],Table1[[#This Row],[DUT Adj Read]]&lt;=Table1[[#This Row],[High Tol]]),"Pass","Fail"))</f>
        <v>Fail</v>
      </c>
      <c r="AD376" s="1" t="str">
        <f>IF(AND(Table1[[#This Row],[Spec Type2]]="N/A",Table1[[#This Row],[DUT Adj Read]]="N/A",Table1[[#This Row],[Std Adj Read]]="N/A"),"N/A",IF(Table1[[#This Row],[DUT Adj Read]]="N/A",IF(Table1[[#This Row],[Std Adj Read]]&gt;Table1[[#This Row],[Low Tol]],"Pass","Fail"),IF(Table1[[#This Row],[DUT Adj Read]]&gt;Table1[[#This Row],[Low Tol]],"Pass","Fail")))</f>
        <v>Pass</v>
      </c>
      <c r="AE376" s="1" t="str">
        <f>IF(AND(Table1[[#This Row],[Spec Type2]]="N/A",Table1[[#This Row],[DUT Adj Read]]="N/A",Table1[[#This Row],[Std Adj Read]]="N/A"),"N/A",IF(Table1[[#This Row],[DUT Adj Read]]="N/A",IF(Table1[[#This Row],[Std Adj Read]]&lt;Table1[[#This Row],[High Tol]],"Pass","Fail"),IF(Table1[[#This Row],[DUT Adj Read]]&lt;Table1[[#This Row],[High Tol]],"Pass","Fail")))</f>
        <v>Fail</v>
      </c>
      <c r="AF376" s="1" t="str">
        <f>IF(AND(Table1[[#This Row],[Spec Type2]]="N/A",Table1[[#This Row],[DUT Adj Read]]="N/A",Table1[[#This Row],[Std Adj Read]]="N/A"),"N/A",IF(Table1[[#This Row],[DUT Adj Read]]="N/A",IF(Table1[[#This Row],[Std Adj Read]]&gt;=Table1[[#This Row],[Low Tol]],"Pass","Fail"),IF(Table1[[#This Row],[DUT Adj Read]]&gt;=Table1[[#This Row],[Low Tol]],"Pass","Fail")))</f>
        <v>Pass</v>
      </c>
      <c r="AG376" s="1" t="str">
        <f>IF(AND(Table1[[#This Row],[Spec Type2]]="N/A",Table1[[#This Row],[DUT Adj Read]]="N/A",Table1[[#This Row],[Std Adj Read]]="N/A"),"N/A",IF(Table1[[#This Row],[DUT Adj Read]]="N/A",IF(Table1[[#This Row],[Std Adj Read]]&lt;=Table1[[#This Row],[High Tol]],"Pass","Fail"),IF(Table1[[#This Row],[DUT Adj Read]]&lt;=Table1[[#This Row],[High Tol]],"Pass","Fail")))</f>
        <v>Fail</v>
      </c>
      <c r="AH3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6" s="1" t="b">
        <v>0</v>
      </c>
      <c r="AN376" s="1" t="b">
        <v>0</v>
      </c>
      <c r="AO376" s="1" t="b">
        <v>0</v>
      </c>
    </row>
    <row r="377" spans="1:41" x14ac:dyDescent="0.25">
      <c r="A377" s="10"/>
      <c r="B377" s="10"/>
      <c r="C377" s="10"/>
      <c r="D377" s="10"/>
      <c r="E377" s="10"/>
      <c r="F377" s="10"/>
      <c r="G377" s="10"/>
      <c r="H377" s="10"/>
      <c r="I377" s="1" t="str">
        <f t="shared" si="15"/>
        <v/>
      </c>
      <c r="J377" s="1" t="s">
        <v>35</v>
      </c>
      <c r="K377" s="1" t="str">
        <f t="shared" si="16"/>
        <v/>
      </c>
      <c r="L377" s="1" t="str">
        <f t="shared" si="17"/>
        <v/>
      </c>
      <c r="M377" s="1">
        <f>IF(OR(Table1[[#This Row],[Std Nom]]="",Table1[[#This Row],[Std Read]]=""),0,Table1[[#This Row],[Std Nom]]-Table1[[#This Row],[Std Read]])</f>
        <v>0</v>
      </c>
      <c r="N377" s="1">
        <f>IF(Calculations!$F$5="ACCREDITED 17025 WITH UNCERTAINTIES",$N$10,0)</f>
        <v>0</v>
      </c>
      <c r="Q377" s="1">
        <f>Table1[[#This Row],[High Tol]]-Table1[[#This Row],[Low Tol]]</f>
        <v>0</v>
      </c>
      <c r="R377" s="1">
        <f>2*Table1[[#This Row],[Std Error]]</f>
        <v>0</v>
      </c>
      <c r="S377" s="1" t="str">
        <f>IF(Table1[[#This Row],[High Tol]]="","N/A",IFERROR(ABS(Table1[[#This Row],[Tol Span]]/Table1[[#This Row],[Error Span]]),"N/A"))</f>
        <v>N/A</v>
      </c>
      <c r="T377" s="1" t="str">
        <f>IF(OR(Table1[[#This Row],[Low Tol]]="",Table1[[#This Row],[High Tol]]=""),"Needs Analysis",IF(Table1[[#This Row],[Ratio]]&gt;=4,"Not Significant",IF(Table1[[#This Row],[Ratio]]&gt;=2,"Semi-Significant","Significant")))</f>
        <v>Needs Analysis</v>
      </c>
      <c r="W377" s="1">
        <f>IF(Table1[[#This Row],[Cal Type]]&lt;&gt;"ACCREDITED 17025 WITH UNCERTAINTIES",0,"")</f>
        <v>0</v>
      </c>
      <c r="X377" s="1" t="str">
        <f>IF(Table1[[#This Row],[DUT Read]]="","N/A",Table1[[#This Row],[Std Error]]+Table1[[#This Row],[DUT Read]]+Table1[[#This Row],[DUT Ucty]])</f>
        <v>N/A</v>
      </c>
      <c r="Y377" s="1" t="str">
        <f>IF(Table1[[#This Row],[Std Read]]="","N/A",Table1[[#This Row],[Std Read]]+Table1[[#This Row],[Std Ucty]])</f>
        <v>N/A</v>
      </c>
      <c r="Z3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7" s="1" t="str">
        <f>IF(Table1[[#This Row],[Spec Type]]="","N/A",Table1[[#This Row],[Spec Type]])</f>
        <v>±</v>
      </c>
      <c r="AC377" s="1" t="str">
        <f>IF(Table1[[#This Row],[Spec Type2]]="N/A","N/A",IF(AND(Table1[[#This Row],[DUT Adj Read]]&gt;=Table1[[#This Row],[Low Tol]],Table1[[#This Row],[DUT Adj Read]]&lt;=Table1[[#This Row],[High Tol]]),"Pass","Fail"))</f>
        <v>Fail</v>
      </c>
      <c r="AD377" s="1" t="str">
        <f>IF(AND(Table1[[#This Row],[Spec Type2]]="N/A",Table1[[#This Row],[DUT Adj Read]]="N/A",Table1[[#This Row],[Std Adj Read]]="N/A"),"N/A",IF(Table1[[#This Row],[DUT Adj Read]]="N/A",IF(Table1[[#This Row],[Std Adj Read]]&gt;Table1[[#This Row],[Low Tol]],"Pass","Fail"),IF(Table1[[#This Row],[DUT Adj Read]]&gt;Table1[[#This Row],[Low Tol]],"Pass","Fail")))</f>
        <v>Pass</v>
      </c>
      <c r="AE377" s="1" t="str">
        <f>IF(AND(Table1[[#This Row],[Spec Type2]]="N/A",Table1[[#This Row],[DUT Adj Read]]="N/A",Table1[[#This Row],[Std Adj Read]]="N/A"),"N/A",IF(Table1[[#This Row],[DUT Adj Read]]="N/A",IF(Table1[[#This Row],[Std Adj Read]]&lt;Table1[[#This Row],[High Tol]],"Pass","Fail"),IF(Table1[[#This Row],[DUT Adj Read]]&lt;Table1[[#This Row],[High Tol]],"Pass","Fail")))</f>
        <v>Fail</v>
      </c>
      <c r="AF377" s="1" t="str">
        <f>IF(AND(Table1[[#This Row],[Spec Type2]]="N/A",Table1[[#This Row],[DUT Adj Read]]="N/A",Table1[[#This Row],[Std Adj Read]]="N/A"),"N/A",IF(Table1[[#This Row],[DUT Adj Read]]="N/A",IF(Table1[[#This Row],[Std Adj Read]]&gt;=Table1[[#This Row],[Low Tol]],"Pass","Fail"),IF(Table1[[#This Row],[DUT Adj Read]]&gt;=Table1[[#This Row],[Low Tol]],"Pass","Fail")))</f>
        <v>Pass</v>
      </c>
      <c r="AG377" s="1" t="str">
        <f>IF(AND(Table1[[#This Row],[Spec Type2]]="N/A",Table1[[#This Row],[DUT Adj Read]]="N/A",Table1[[#This Row],[Std Adj Read]]="N/A"),"N/A",IF(Table1[[#This Row],[DUT Adj Read]]="N/A",IF(Table1[[#This Row],[Std Adj Read]]&lt;=Table1[[#This Row],[High Tol]],"Pass","Fail"),IF(Table1[[#This Row],[DUT Adj Read]]&lt;=Table1[[#This Row],[High Tol]],"Pass","Fail")))</f>
        <v>Fail</v>
      </c>
      <c r="AH3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7" s="1" t="b">
        <v>0</v>
      </c>
      <c r="AN377" s="1" t="b">
        <v>0</v>
      </c>
      <c r="AO377" s="1" t="b">
        <v>0</v>
      </c>
    </row>
    <row r="378" spans="1:41" x14ac:dyDescent="0.25">
      <c r="A378" s="10"/>
      <c r="B378" s="10"/>
      <c r="C378" s="10"/>
      <c r="D378" s="10"/>
      <c r="E378" s="10"/>
      <c r="F378" s="10"/>
      <c r="G378" s="10"/>
      <c r="H378" s="10"/>
      <c r="I378" s="1" t="str">
        <f t="shared" si="15"/>
        <v/>
      </c>
      <c r="J378" s="1" t="s">
        <v>35</v>
      </c>
      <c r="K378" s="1" t="str">
        <f t="shared" si="16"/>
        <v/>
      </c>
      <c r="L378" s="1" t="str">
        <f t="shared" si="17"/>
        <v/>
      </c>
      <c r="M378" s="1">
        <f>IF(OR(Table1[[#This Row],[Std Nom]]="",Table1[[#This Row],[Std Read]]=""),0,Table1[[#This Row],[Std Nom]]-Table1[[#This Row],[Std Read]])</f>
        <v>0</v>
      </c>
      <c r="N378" s="1">
        <f>IF(Calculations!$F$5="ACCREDITED 17025 WITH UNCERTAINTIES",$N$10,0)</f>
        <v>0</v>
      </c>
      <c r="Q378" s="1">
        <f>Table1[[#This Row],[High Tol]]-Table1[[#This Row],[Low Tol]]</f>
        <v>0</v>
      </c>
      <c r="R378" s="1">
        <f>2*Table1[[#This Row],[Std Error]]</f>
        <v>0</v>
      </c>
      <c r="S378" s="1" t="str">
        <f>IF(Table1[[#This Row],[High Tol]]="","N/A",IFERROR(ABS(Table1[[#This Row],[Tol Span]]/Table1[[#This Row],[Error Span]]),"N/A"))</f>
        <v>N/A</v>
      </c>
      <c r="T378" s="1" t="str">
        <f>IF(OR(Table1[[#This Row],[Low Tol]]="",Table1[[#This Row],[High Tol]]=""),"Needs Analysis",IF(Table1[[#This Row],[Ratio]]&gt;=4,"Not Significant",IF(Table1[[#This Row],[Ratio]]&gt;=2,"Semi-Significant","Significant")))</f>
        <v>Needs Analysis</v>
      </c>
      <c r="W378" s="1">
        <f>IF(Table1[[#This Row],[Cal Type]]&lt;&gt;"ACCREDITED 17025 WITH UNCERTAINTIES",0,"")</f>
        <v>0</v>
      </c>
      <c r="X378" s="1" t="str">
        <f>IF(Table1[[#This Row],[DUT Read]]="","N/A",Table1[[#This Row],[Std Error]]+Table1[[#This Row],[DUT Read]]+Table1[[#This Row],[DUT Ucty]])</f>
        <v>N/A</v>
      </c>
      <c r="Y378" s="1" t="str">
        <f>IF(Table1[[#This Row],[Std Read]]="","N/A",Table1[[#This Row],[Std Read]]+Table1[[#This Row],[Std Ucty]])</f>
        <v>N/A</v>
      </c>
      <c r="Z3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8" s="1" t="str">
        <f>IF(Table1[[#This Row],[Spec Type]]="","N/A",Table1[[#This Row],[Spec Type]])</f>
        <v>±</v>
      </c>
      <c r="AC378" s="1" t="str">
        <f>IF(Table1[[#This Row],[Spec Type2]]="N/A","N/A",IF(AND(Table1[[#This Row],[DUT Adj Read]]&gt;=Table1[[#This Row],[Low Tol]],Table1[[#This Row],[DUT Adj Read]]&lt;=Table1[[#This Row],[High Tol]]),"Pass","Fail"))</f>
        <v>Fail</v>
      </c>
      <c r="AD378" s="1" t="str">
        <f>IF(AND(Table1[[#This Row],[Spec Type2]]="N/A",Table1[[#This Row],[DUT Adj Read]]="N/A",Table1[[#This Row],[Std Adj Read]]="N/A"),"N/A",IF(Table1[[#This Row],[DUT Adj Read]]="N/A",IF(Table1[[#This Row],[Std Adj Read]]&gt;Table1[[#This Row],[Low Tol]],"Pass","Fail"),IF(Table1[[#This Row],[DUT Adj Read]]&gt;Table1[[#This Row],[Low Tol]],"Pass","Fail")))</f>
        <v>Pass</v>
      </c>
      <c r="AE378" s="1" t="str">
        <f>IF(AND(Table1[[#This Row],[Spec Type2]]="N/A",Table1[[#This Row],[DUT Adj Read]]="N/A",Table1[[#This Row],[Std Adj Read]]="N/A"),"N/A",IF(Table1[[#This Row],[DUT Adj Read]]="N/A",IF(Table1[[#This Row],[Std Adj Read]]&lt;Table1[[#This Row],[High Tol]],"Pass","Fail"),IF(Table1[[#This Row],[DUT Adj Read]]&lt;Table1[[#This Row],[High Tol]],"Pass","Fail")))</f>
        <v>Fail</v>
      </c>
      <c r="AF378" s="1" t="str">
        <f>IF(AND(Table1[[#This Row],[Spec Type2]]="N/A",Table1[[#This Row],[DUT Adj Read]]="N/A",Table1[[#This Row],[Std Adj Read]]="N/A"),"N/A",IF(Table1[[#This Row],[DUT Adj Read]]="N/A",IF(Table1[[#This Row],[Std Adj Read]]&gt;=Table1[[#This Row],[Low Tol]],"Pass","Fail"),IF(Table1[[#This Row],[DUT Adj Read]]&gt;=Table1[[#This Row],[Low Tol]],"Pass","Fail")))</f>
        <v>Pass</v>
      </c>
      <c r="AG378" s="1" t="str">
        <f>IF(AND(Table1[[#This Row],[Spec Type2]]="N/A",Table1[[#This Row],[DUT Adj Read]]="N/A",Table1[[#This Row],[Std Adj Read]]="N/A"),"N/A",IF(Table1[[#This Row],[DUT Adj Read]]="N/A",IF(Table1[[#This Row],[Std Adj Read]]&lt;=Table1[[#This Row],[High Tol]],"Pass","Fail"),IF(Table1[[#This Row],[DUT Adj Read]]&lt;=Table1[[#This Row],[High Tol]],"Pass","Fail")))</f>
        <v>Fail</v>
      </c>
      <c r="AH3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8" s="1" t="b">
        <v>0</v>
      </c>
      <c r="AN378" s="1" t="b">
        <v>0</v>
      </c>
      <c r="AO378" s="1" t="b">
        <v>0</v>
      </c>
    </row>
    <row r="379" spans="1:41" x14ac:dyDescent="0.25">
      <c r="A379" s="10"/>
      <c r="B379" s="10"/>
      <c r="C379" s="10"/>
      <c r="D379" s="10"/>
      <c r="E379" s="10"/>
      <c r="F379" s="10"/>
      <c r="G379" s="10"/>
      <c r="H379" s="10"/>
      <c r="I379" s="1" t="str">
        <f t="shared" si="15"/>
        <v/>
      </c>
      <c r="J379" s="1" t="s">
        <v>35</v>
      </c>
      <c r="K379" s="1" t="str">
        <f t="shared" si="16"/>
        <v/>
      </c>
      <c r="L379" s="1" t="str">
        <f t="shared" si="17"/>
        <v/>
      </c>
      <c r="M379" s="1">
        <f>IF(OR(Table1[[#This Row],[Std Nom]]="",Table1[[#This Row],[Std Read]]=""),0,Table1[[#This Row],[Std Nom]]-Table1[[#This Row],[Std Read]])</f>
        <v>0</v>
      </c>
      <c r="N379" s="1">
        <f>IF(Calculations!$F$5="ACCREDITED 17025 WITH UNCERTAINTIES",$N$10,0)</f>
        <v>0</v>
      </c>
      <c r="Q379" s="1">
        <f>Table1[[#This Row],[High Tol]]-Table1[[#This Row],[Low Tol]]</f>
        <v>0</v>
      </c>
      <c r="R379" s="1">
        <f>2*Table1[[#This Row],[Std Error]]</f>
        <v>0</v>
      </c>
      <c r="S379" s="1" t="str">
        <f>IF(Table1[[#This Row],[High Tol]]="","N/A",IFERROR(ABS(Table1[[#This Row],[Tol Span]]/Table1[[#This Row],[Error Span]]),"N/A"))</f>
        <v>N/A</v>
      </c>
      <c r="T379" s="1" t="str">
        <f>IF(OR(Table1[[#This Row],[Low Tol]]="",Table1[[#This Row],[High Tol]]=""),"Needs Analysis",IF(Table1[[#This Row],[Ratio]]&gt;=4,"Not Significant",IF(Table1[[#This Row],[Ratio]]&gt;=2,"Semi-Significant","Significant")))</f>
        <v>Needs Analysis</v>
      </c>
      <c r="W379" s="1">
        <f>IF(Table1[[#This Row],[Cal Type]]&lt;&gt;"ACCREDITED 17025 WITH UNCERTAINTIES",0,"")</f>
        <v>0</v>
      </c>
      <c r="X379" s="1" t="str">
        <f>IF(Table1[[#This Row],[DUT Read]]="","N/A",Table1[[#This Row],[Std Error]]+Table1[[#This Row],[DUT Read]]+Table1[[#This Row],[DUT Ucty]])</f>
        <v>N/A</v>
      </c>
      <c r="Y379" s="1" t="str">
        <f>IF(Table1[[#This Row],[Std Read]]="","N/A",Table1[[#This Row],[Std Read]]+Table1[[#This Row],[Std Ucty]])</f>
        <v>N/A</v>
      </c>
      <c r="Z3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79" s="1" t="str">
        <f>IF(Table1[[#This Row],[Spec Type]]="","N/A",Table1[[#This Row],[Spec Type]])</f>
        <v>±</v>
      </c>
      <c r="AC379" s="1" t="str">
        <f>IF(Table1[[#This Row],[Spec Type2]]="N/A","N/A",IF(AND(Table1[[#This Row],[DUT Adj Read]]&gt;=Table1[[#This Row],[Low Tol]],Table1[[#This Row],[DUT Adj Read]]&lt;=Table1[[#This Row],[High Tol]]),"Pass","Fail"))</f>
        <v>Fail</v>
      </c>
      <c r="AD379" s="1" t="str">
        <f>IF(AND(Table1[[#This Row],[Spec Type2]]="N/A",Table1[[#This Row],[DUT Adj Read]]="N/A",Table1[[#This Row],[Std Adj Read]]="N/A"),"N/A",IF(Table1[[#This Row],[DUT Adj Read]]="N/A",IF(Table1[[#This Row],[Std Adj Read]]&gt;Table1[[#This Row],[Low Tol]],"Pass","Fail"),IF(Table1[[#This Row],[DUT Adj Read]]&gt;Table1[[#This Row],[Low Tol]],"Pass","Fail")))</f>
        <v>Pass</v>
      </c>
      <c r="AE379" s="1" t="str">
        <f>IF(AND(Table1[[#This Row],[Spec Type2]]="N/A",Table1[[#This Row],[DUT Adj Read]]="N/A",Table1[[#This Row],[Std Adj Read]]="N/A"),"N/A",IF(Table1[[#This Row],[DUT Adj Read]]="N/A",IF(Table1[[#This Row],[Std Adj Read]]&lt;Table1[[#This Row],[High Tol]],"Pass","Fail"),IF(Table1[[#This Row],[DUT Adj Read]]&lt;Table1[[#This Row],[High Tol]],"Pass","Fail")))</f>
        <v>Fail</v>
      </c>
      <c r="AF379" s="1" t="str">
        <f>IF(AND(Table1[[#This Row],[Spec Type2]]="N/A",Table1[[#This Row],[DUT Adj Read]]="N/A",Table1[[#This Row],[Std Adj Read]]="N/A"),"N/A",IF(Table1[[#This Row],[DUT Adj Read]]="N/A",IF(Table1[[#This Row],[Std Adj Read]]&gt;=Table1[[#This Row],[Low Tol]],"Pass","Fail"),IF(Table1[[#This Row],[DUT Adj Read]]&gt;=Table1[[#This Row],[Low Tol]],"Pass","Fail")))</f>
        <v>Pass</v>
      </c>
      <c r="AG379" s="1" t="str">
        <f>IF(AND(Table1[[#This Row],[Spec Type2]]="N/A",Table1[[#This Row],[DUT Adj Read]]="N/A",Table1[[#This Row],[Std Adj Read]]="N/A"),"N/A",IF(Table1[[#This Row],[DUT Adj Read]]="N/A",IF(Table1[[#This Row],[Std Adj Read]]&lt;=Table1[[#This Row],[High Tol]],"Pass","Fail"),IF(Table1[[#This Row],[DUT Adj Read]]&lt;=Table1[[#This Row],[High Tol]],"Pass","Fail")))</f>
        <v>Fail</v>
      </c>
      <c r="AH3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79" s="1" t="b">
        <v>0</v>
      </c>
      <c r="AN379" s="1" t="b">
        <v>0</v>
      </c>
      <c r="AO379" s="1" t="b">
        <v>0</v>
      </c>
    </row>
    <row r="380" spans="1:41" x14ac:dyDescent="0.25">
      <c r="A380" s="10"/>
      <c r="B380" s="10"/>
      <c r="C380" s="10"/>
      <c r="D380" s="10"/>
      <c r="E380" s="10"/>
      <c r="F380" s="10"/>
      <c r="G380" s="10"/>
      <c r="H380" s="10"/>
      <c r="I380" s="1" t="str">
        <f t="shared" si="15"/>
        <v/>
      </c>
      <c r="J380" s="1" t="s">
        <v>35</v>
      </c>
      <c r="K380" s="1" t="str">
        <f t="shared" si="16"/>
        <v/>
      </c>
      <c r="L380" s="1" t="str">
        <f t="shared" si="17"/>
        <v/>
      </c>
      <c r="M380" s="1">
        <f>IF(OR(Table1[[#This Row],[Std Nom]]="",Table1[[#This Row],[Std Read]]=""),0,Table1[[#This Row],[Std Nom]]-Table1[[#This Row],[Std Read]])</f>
        <v>0</v>
      </c>
      <c r="N380" s="1">
        <f>IF(Calculations!$F$5="ACCREDITED 17025 WITH UNCERTAINTIES",$N$10,0)</f>
        <v>0</v>
      </c>
      <c r="Q380" s="1">
        <f>Table1[[#This Row],[High Tol]]-Table1[[#This Row],[Low Tol]]</f>
        <v>0</v>
      </c>
      <c r="R380" s="1">
        <f>2*Table1[[#This Row],[Std Error]]</f>
        <v>0</v>
      </c>
      <c r="S380" s="1" t="str">
        <f>IF(Table1[[#This Row],[High Tol]]="","N/A",IFERROR(ABS(Table1[[#This Row],[Tol Span]]/Table1[[#This Row],[Error Span]]),"N/A"))</f>
        <v>N/A</v>
      </c>
      <c r="T380" s="1" t="str">
        <f>IF(OR(Table1[[#This Row],[Low Tol]]="",Table1[[#This Row],[High Tol]]=""),"Needs Analysis",IF(Table1[[#This Row],[Ratio]]&gt;=4,"Not Significant",IF(Table1[[#This Row],[Ratio]]&gt;=2,"Semi-Significant","Significant")))</f>
        <v>Needs Analysis</v>
      </c>
      <c r="W380" s="1">
        <f>IF(Table1[[#This Row],[Cal Type]]&lt;&gt;"ACCREDITED 17025 WITH UNCERTAINTIES",0,"")</f>
        <v>0</v>
      </c>
      <c r="X380" s="1" t="str">
        <f>IF(Table1[[#This Row],[DUT Read]]="","N/A",Table1[[#This Row],[Std Error]]+Table1[[#This Row],[DUT Read]]+Table1[[#This Row],[DUT Ucty]])</f>
        <v>N/A</v>
      </c>
      <c r="Y380" s="1" t="str">
        <f>IF(Table1[[#This Row],[Std Read]]="","N/A",Table1[[#This Row],[Std Read]]+Table1[[#This Row],[Std Ucty]])</f>
        <v>N/A</v>
      </c>
      <c r="Z3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0" s="1" t="str">
        <f>IF(Table1[[#This Row],[Spec Type]]="","N/A",Table1[[#This Row],[Spec Type]])</f>
        <v>±</v>
      </c>
      <c r="AC380" s="1" t="str">
        <f>IF(Table1[[#This Row],[Spec Type2]]="N/A","N/A",IF(AND(Table1[[#This Row],[DUT Adj Read]]&gt;=Table1[[#This Row],[Low Tol]],Table1[[#This Row],[DUT Adj Read]]&lt;=Table1[[#This Row],[High Tol]]),"Pass","Fail"))</f>
        <v>Fail</v>
      </c>
      <c r="AD380" s="1" t="str">
        <f>IF(AND(Table1[[#This Row],[Spec Type2]]="N/A",Table1[[#This Row],[DUT Adj Read]]="N/A",Table1[[#This Row],[Std Adj Read]]="N/A"),"N/A",IF(Table1[[#This Row],[DUT Adj Read]]="N/A",IF(Table1[[#This Row],[Std Adj Read]]&gt;Table1[[#This Row],[Low Tol]],"Pass","Fail"),IF(Table1[[#This Row],[DUT Adj Read]]&gt;Table1[[#This Row],[Low Tol]],"Pass","Fail")))</f>
        <v>Pass</v>
      </c>
      <c r="AE380" s="1" t="str">
        <f>IF(AND(Table1[[#This Row],[Spec Type2]]="N/A",Table1[[#This Row],[DUT Adj Read]]="N/A",Table1[[#This Row],[Std Adj Read]]="N/A"),"N/A",IF(Table1[[#This Row],[DUT Adj Read]]="N/A",IF(Table1[[#This Row],[Std Adj Read]]&lt;Table1[[#This Row],[High Tol]],"Pass","Fail"),IF(Table1[[#This Row],[DUT Adj Read]]&lt;Table1[[#This Row],[High Tol]],"Pass","Fail")))</f>
        <v>Fail</v>
      </c>
      <c r="AF380" s="1" t="str">
        <f>IF(AND(Table1[[#This Row],[Spec Type2]]="N/A",Table1[[#This Row],[DUT Adj Read]]="N/A",Table1[[#This Row],[Std Adj Read]]="N/A"),"N/A",IF(Table1[[#This Row],[DUT Adj Read]]="N/A",IF(Table1[[#This Row],[Std Adj Read]]&gt;=Table1[[#This Row],[Low Tol]],"Pass","Fail"),IF(Table1[[#This Row],[DUT Adj Read]]&gt;=Table1[[#This Row],[Low Tol]],"Pass","Fail")))</f>
        <v>Pass</v>
      </c>
      <c r="AG380" s="1" t="str">
        <f>IF(AND(Table1[[#This Row],[Spec Type2]]="N/A",Table1[[#This Row],[DUT Adj Read]]="N/A",Table1[[#This Row],[Std Adj Read]]="N/A"),"N/A",IF(Table1[[#This Row],[DUT Adj Read]]="N/A",IF(Table1[[#This Row],[Std Adj Read]]&lt;=Table1[[#This Row],[High Tol]],"Pass","Fail"),IF(Table1[[#This Row],[DUT Adj Read]]&lt;=Table1[[#This Row],[High Tol]],"Pass","Fail")))</f>
        <v>Fail</v>
      </c>
      <c r="AH3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0" s="1" t="b">
        <v>0</v>
      </c>
      <c r="AN380" s="1" t="b">
        <v>0</v>
      </c>
      <c r="AO380" s="1" t="b">
        <v>0</v>
      </c>
    </row>
    <row r="381" spans="1:41" x14ac:dyDescent="0.25">
      <c r="A381" s="10"/>
      <c r="B381" s="10"/>
      <c r="C381" s="10"/>
      <c r="D381" s="10"/>
      <c r="E381" s="10"/>
      <c r="F381" s="10"/>
      <c r="G381" s="10"/>
      <c r="H381" s="10"/>
      <c r="I381" s="1" t="str">
        <f t="shared" si="15"/>
        <v/>
      </c>
      <c r="J381" s="1" t="s">
        <v>35</v>
      </c>
      <c r="K381" s="1" t="str">
        <f t="shared" si="16"/>
        <v/>
      </c>
      <c r="L381" s="1" t="str">
        <f t="shared" si="17"/>
        <v/>
      </c>
      <c r="M381" s="1">
        <f>IF(OR(Table1[[#This Row],[Std Nom]]="",Table1[[#This Row],[Std Read]]=""),0,Table1[[#This Row],[Std Nom]]-Table1[[#This Row],[Std Read]])</f>
        <v>0</v>
      </c>
      <c r="N381" s="1">
        <f>IF(Calculations!$F$5="ACCREDITED 17025 WITH UNCERTAINTIES",$N$10,0)</f>
        <v>0</v>
      </c>
      <c r="Q381" s="1">
        <f>Table1[[#This Row],[High Tol]]-Table1[[#This Row],[Low Tol]]</f>
        <v>0</v>
      </c>
      <c r="R381" s="1">
        <f>2*Table1[[#This Row],[Std Error]]</f>
        <v>0</v>
      </c>
      <c r="S381" s="1" t="str">
        <f>IF(Table1[[#This Row],[High Tol]]="","N/A",IFERROR(ABS(Table1[[#This Row],[Tol Span]]/Table1[[#This Row],[Error Span]]),"N/A"))</f>
        <v>N/A</v>
      </c>
      <c r="T381" s="1" t="str">
        <f>IF(OR(Table1[[#This Row],[Low Tol]]="",Table1[[#This Row],[High Tol]]=""),"Needs Analysis",IF(Table1[[#This Row],[Ratio]]&gt;=4,"Not Significant",IF(Table1[[#This Row],[Ratio]]&gt;=2,"Semi-Significant","Significant")))</f>
        <v>Needs Analysis</v>
      </c>
      <c r="W381" s="1">
        <f>IF(Table1[[#This Row],[Cal Type]]&lt;&gt;"ACCREDITED 17025 WITH UNCERTAINTIES",0,"")</f>
        <v>0</v>
      </c>
      <c r="X381" s="1" t="str">
        <f>IF(Table1[[#This Row],[DUT Read]]="","N/A",Table1[[#This Row],[Std Error]]+Table1[[#This Row],[DUT Read]]+Table1[[#This Row],[DUT Ucty]])</f>
        <v>N/A</v>
      </c>
      <c r="Y381" s="1" t="str">
        <f>IF(Table1[[#This Row],[Std Read]]="","N/A",Table1[[#This Row],[Std Read]]+Table1[[#This Row],[Std Ucty]])</f>
        <v>N/A</v>
      </c>
      <c r="Z3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1" s="1" t="str">
        <f>IF(Table1[[#This Row],[Spec Type]]="","N/A",Table1[[#This Row],[Spec Type]])</f>
        <v>±</v>
      </c>
      <c r="AC381" s="1" t="str">
        <f>IF(Table1[[#This Row],[Spec Type2]]="N/A","N/A",IF(AND(Table1[[#This Row],[DUT Adj Read]]&gt;=Table1[[#This Row],[Low Tol]],Table1[[#This Row],[DUT Adj Read]]&lt;=Table1[[#This Row],[High Tol]]),"Pass","Fail"))</f>
        <v>Fail</v>
      </c>
      <c r="AD381" s="1" t="str">
        <f>IF(AND(Table1[[#This Row],[Spec Type2]]="N/A",Table1[[#This Row],[DUT Adj Read]]="N/A",Table1[[#This Row],[Std Adj Read]]="N/A"),"N/A",IF(Table1[[#This Row],[DUT Adj Read]]="N/A",IF(Table1[[#This Row],[Std Adj Read]]&gt;Table1[[#This Row],[Low Tol]],"Pass","Fail"),IF(Table1[[#This Row],[DUT Adj Read]]&gt;Table1[[#This Row],[Low Tol]],"Pass","Fail")))</f>
        <v>Pass</v>
      </c>
      <c r="AE381" s="1" t="str">
        <f>IF(AND(Table1[[#This Row],[Spec Type2]]="N/A",Table1[[#This Row],[DUT Adj Read]]="N/A",Table1[[#This Row],[Std Adj Read]]="N/A"),"N/A",IF(Table1[[#This Row],[DUT Adj Read]]="N/A",IF(Table1[[#This Row],[Std Adj Read]]&lt;Table1[[#This Row],[High Tol]],"Pass","Fail"),IF(Table1[[#This Row],[DUT Adj Read]]&lt;Table1[[#This Row],[High Tol]],"Pass","Fail")))</f>
        <v>Fail</v>
      </c>
      <c r="AF381" s="1" t="str">
        <f>IF(AND(Table1[[#This Row],[Spec Type2]]="N/A",Table1[[#This Row],[DUT Adj Read]]="N/A",Table1[[#This Row],[Std Adj Read]]="N/A"),"N/A",IF(Table1[[#This Row],[DUT Adj Read]]="N/A",IF(Table1[[#This Row],[Std Adj Read]]&gt;=Table1[[#This Row],[Low Tol]],"Pass","Fail"),IF(Table1[[#This Row],[DUT Adj Read]]&gt;=Table1[[#This Row],[Low Tol]],"Pass","Fail")))</f>
        <v>Pass</v>
      </c>
      <c r="AG381" s="1" t="str">
        <f>IF(AND(Table1[[#This Row],[Spec Type2]]="N/A",Table1[[#This Row],[DUT Adj Read]]="N/A",Table1[[#This Row],[Std Adj Read]]="N/A"),"N/A",IF(Table1[[#This Row],[DUT Adj Read]]="N/A",IF(Table1[[#This Row],[Std Adj Read]]&lt;=Table1[[#This Row],[High Tol]],"Pass","Fail"),IF(Table1[[#This Row],[DUT Adj Read]]&lt;=Table1[[#This Row],[High Tol]],"Pass","Fail")))</f>
        <v>Fail</v>
      </c>
      <c r="AH3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1" s="1" t="b">
        <v>0</v>
      </c>
      <c r="AN381" s="1" t="b">
        <v>0</v>
      </c>
      <c r="AO381" s="1" t="b">
        <v>0</v>
      </c>
    </row>
    <row r="382" spans="1:41" x14ac:dyDescent="0.25">
      <c r="A382" s="10"/>
      <c r="B382" s="10"/>
      <c r="C382" s="10"/>
      <c r="D382" s="10"/>
      <c r="E382" s="10"/>
      <c r="F382" s="10"/>
      <c r="G382" s="10"/>
      <c r="H382" s="10"/>
      <c r="I382" s="1" t="str">
        <f t="shared" si="15"/>
        <v/>
      </c>
      <c r="J382" s="1" t="s">
        <v>35</v>
      </c>
      <c r="K382" s="1" t="str">
        <f t="shared" si="16"/>
        <v/>
      </c>
      <c r="L382" s="1" t="str">
        <f t="shared" si="17"/>
        <v/>
      </c>
      <c r="M382" s="1">
        <f>IF(OR(Table1[[#This Row],[Std Nom]]="",Table1[[#This Row],[Std Read]]=""),0,Table1[[#This Row],[Std Nom]]-Table1[[#This Row],[Std Read]])</f>
        <v>0</v>
      </c>
      <c r="N382" s="1">
        <f>IF(Calculations!$F$5="ACCREDITED 17025 WITH UNCERTAINTIES",$N$10,0)</f>
        <v>0</v>
      </c>
      <c r="Q382" s="1">
        <f>Table1[[#This Row],[High Tol]]-Table1[[#This Row],[Low Tol]]</f>
        <v>0</v>
      </c>
      <c r="R382" s="1">
        <f>2*Table1[[#This Row],[Std Error]]</f>
        <v>0</v>
      </c>
      <c r="S382" s="1" t="str">
        <f>IF(Table1[[#This Row],[High Tol]]="","N/A",IFERROR(ABS(Table1[[#This Row],[Tol Span]]/Table1[[#This Row],[Error Span]]),"N/A"))</f>
        <v>N/A</v>
      </c>
      <c r="T382" s="1" t="str">
        <f>IF(OR(Table1[[#This Row],[Low Tol]]="",Table1[[#This Row],[High Tol]]=""),"Needs Analysis",IF(Table1[[#This Row],[Ratio]]&gt;=4,"Not Significant",IF(Table1[[#This Row],[Ratio]]&gt;=2,"Semi-Significant","Significant")))</f>
        <v>Needs Analysis</v>
      </c>
      <c r="W382" s="1">
        <f>IF(Table1[[#This Row],[Cal Type]]&lt;&gt;"ACCREDITED 17025 WITH UNCERTAINTIES",0,"")</f>
        <v>0</v>
      </c>
      <c r="X382" s="1" t="str">
        <f>IF(Table1[[#This Row],[DUT Read]]="","N/A",Table1[[#This Row],[Std Error]]+Table1[[#This Row],[DUT Read]]+Table1[[#This Row],[DUT Ucty]])</f>
        <v>N/A</v>
      </c>
      <c r="Y382" s="1" t="str">
        <f>IF(Table1[[#This Row],[Std Read]]="","N/A",Table1[[#This Row],[Std Read]]+Table1[[#This Row],[Std Ucty]])</f>
        <v>N/A</v>
      </c>
      <c r="Z3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2" s="1" t="str">
        <f>IF(Table1[[#This Row],[Spec Type]]="","N/A",Table1[[#This Row],[Spec Type]])</f>
        <v>±</v>
      </c>
      <c r="AC382" s="1" t="str">
        <f>IF(Table1[[#This Row],[Spec Type2]]="N/A","N/A",IF(AND(Table1[[#This Row],[DUT Adj Read]]&gt;=Table1[[#This Row],[Low Tol]],Table1[[#This Row],[DUT Adj Read]]&lt;=Table1[[#This Row],[High Tol]]),"Pass","Fail"))</f>
        <v>Fail</v>
      </c>
      <c r="AD382" s="1" t="str">
        <f>IF(AND(Table1[[#This Row],[Spec Type2]]="N/A",Table1[[#This Row],[DUT Adj Read]]="N/A",Table1[[#This Row],[Std Adj Read]]="N/A"),"N/A",IF(Table1[[#This Row],[DUT Adj Read]]="N/A",IF(Table1[[#This Row],[Std Adj Read]]&gt;Table1[[#This Row],[Low Tol]],"Pass","Fail"),IF(Table1[[#This Row],[DUT Adj Read]]&gt;Table1[[#This Row],[Low Tol]],"Pass","Fail")))</f>
        <v>Pass</v>
      </c>
      <c r="AE382" s="1" t="str">
        <f>IF(AND(Table1[[#This Row],[Spec Type2]]="N/A",Table1[[#This Row],[DUT Adj Read]]="N/A",Table1[[#This Row],[Std Adj Read]]="N/A"),"N/A",IF(Table1[[#This Row],[DUT Adj Read]]="N/A",IF(Table1[[#This Row],[Std Adj Read]]&lt;Table1[[#This Row],[High Tol]],"Pass","Fail"),IF(Table1[[#This Row],[DUT Adj Read]]&lt;Table1[[#This Row],[High Tol]],"Pass","Fail")))</f>
        <v>Fail</v>
      </c>
      <c r="AF382" s="1" t="str">
        <f>IF(AND(Table1[[#This Row],[Spec Type2]]="N/A",Table1[[#This Row],[DUT Adj Read]]="N/A",Table1[[#This Row],[Std Adj Read]]="N/A"),"N/A",IF(Table1[[#This Row],[DUT Adj Read]]="N/A",IF(Table1[[#This Row],[Std Adj Read]]&gt;=Table1[[#This Row],[Low Tol]],"Pass","Fail"),IF(Table1[[#This Row],[DUT Adj Read]]&gt;=Table1[[#This Row],[Low Tol]],"Pass","Fail")))</f>
        <v>Pass</v>
      </c>
      <c r="AG382" s="1" t="str">
        <f>IF(AND(Table1[[#This Row],[Spec Type2]]="N/A",Table1[[#This Row],[DUT Adj Read]]="N/A",Table1[[#This Row],[Std Adj Read]]="N/A"),"N/A",IF(Table1[[#This Row],[DUT Adj Read]]="N/A",IF(Table1[[#This Row],[Std Adj Read]]&lt;=Table1[[#This Row],[High Tol]],"Pass","Fail"),IF(Table1[[#This Row],[DUT Adj Read]]&lt;=Table1[[#This Row],[High Tol]],"Pass","Fail")))</f>
        <v>Fail</v>
      </c>
      <c r="AH3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2" s="1" t="b">
        <v>0</v>
      </c>
      <c r="AN382" s="1" t="b">
        <v>0</v>
      </c>
      <c r="AO382" s="1" t="b">
        <v>0</v>
      </c>
    </row>
    <row r="383" spans="1:41" x14ac:dyDescent="0.25">
      <c r="A383" s="10"/>
      <c r="B383" s="10"/>
      <c r="C383" s="10"/>
      <c r="D383" s="10"/>
      <c r="E383" s="10"/>
      <c r="F383" s="10"/>
      <c r="G383" s="10"/>
      <c r="H383" s="10"/>
      <c r="I383" s="1" t="str">
        <f t="shared" si="15"/>
        <v/>
      </c>
      <c r="J383" s="1" t="s">
        <v>35</v>
      </c>
      <c r="K383" s="1" t="str">
        <f t="shared" si="16"/>
        <v/>
      </c>
      <c r="L383" s="1" t="str">
        <f t="shared" si="17"/>
        <v/>
      </c>
      <c r="M383" s="1">
        <f>IF(OR(Table1[[#This Row],[Std Nom]]="",Table1[[#This Row],[Std Read]]=""),0,Table1[[#This Row],[Std Nom]]-Table1[[#This Row],[Std Read]])</f>
        <v>0</v>
      </c>
      <c r="N383" s="1">
        <f>IF(Calculations!$F$5="ACCREDITED 17025 WITH UNCERTAINTIES",$N$10,0)</f>
        <v>0</v>
      </c>
      <c r="Q383" s="1">
        <f>Table1[[#This Row],[High Tol]]-Table1[[#This Row],[Low Tol]]</f>
        <v>0</v>
      </c>
      <c r="R383" s="1">
        <f>2*Table1[[#This Row],[Std Error]]</f>
        <v>0</v>
      </c>
      <c r="S383" s="1" t="str">
        <f>IF(Table1[[#This Row],[High Tol]]="","N/A",IFERROR(ABS(Table1[[#This Row],[Tol Span]]/Table1[[#This Row],[Error Span]]),"N/A"))</f>
        <v>N/A</v>
      </c>
      <c r="T383" s="1" t="str">
        <f>IF(OR(Table1[[#This Row],[Low Tol]]="",Table1[[#This Row],[High Tol]]=""),"Needs Analysis",IF(Table1[[#This Row],[Ratio]]&gt;=4,"Not Significant",IF(Table1[[#This Row],[Ratio]]&gt;=2,"Semi-Significant","Significant")))</f>
        <v>Needs Analysis</v>
      </c>
      <c r="W383" s="1">
        <f>IF(Table1[[#This Row],[Cal Type]]&lt;&gt;"ACCREDITED 17025 WITH UNCERTAINTIES",0,"")</f>
        <v>0</v>
      </c>
      <c r="X383" s="1" t="str">
        <f>IF(Table1[[#This Row],[DUT Read]]="","N/A",Table1[[#This Row],[Std Error]]+Table1[[#This Row],[DUT Read]]+Table1[[#This Row],[DUT Ucty]])</f>
        <v>N/A</v>
      </c>
      <c r="Y383" s="1" t="str">
        <f>IF(Table1[[#This Row],[Std Read]]="","N/A",Table1[[#This Row],[Std Read]]+Table1[[#This Row],[Std Ucty]])</f>
        <v>N/A</v>
      </c>
      <c r="Z3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3" s="1" t="str">
        <f>IF(Table1[[#This Row],[Spec Type]]="","N/A",Table1[[#This Row],[Spec Type]])</f>
        <v>±</v>
      </c>
      <c r="AC383" s="1" t="str">
        <f>IF(Table1[[#This Row],[Spec Type2]]="N/A","N/A",IF(AND(Table1[[#This Row],[DUT Adj Read]]&gt;=Table1[[#This Row],[Low Tol]],Table1[[#This Row],[DUT Adj Read]]&lt;=Table1[[#This Row],[High Tol]]),"Pass","Fail"))</f>
        <v>Fail</v>
      </c>
      <c r="AD383" s="1" t="str">
        <f>IF(AND(Table1[[#This Row],[Spec Type2]]="N/A",Table1[[#This Row],[DUT Adj Read]]="N/A",Table1[[#This Row],[Std Adj Read]]="N/A"),"N/A",IF(Table1[[#This Row],[DUT Adj Read]]="N/A",IF(Table1[[#This Row],[Std Adj Read]]&gt;Table1[[#This Row],[Low Tol]],"Pass","Fail"),IF(Table1[[#This Row],[DUT Adj Read]]&gt;Table1[[#This Row],[Low Tol]],"Pass","Fail")))</f>
        <v>Pass</v>
      </c>
      <c r="AE383" s="1" t="str">
        <f>IF(AND(Table1[[#This Row],[Spec Type2]]="N/A",Table1[[#This Row],[DUT Adj Read]]="N/A",Table1[[#This Row],[Std Adj Read]]="N/A"),"N/A",IF(Table1[[#This Row],[DUT Adj Read]]="N/A",IF(Table1[[#This Row],[Std Adj Read]]&lt;Table1[[#This Row],[High Tol]],"Pass","Fail"),IF(Table1[[#This Row],[DUT Adj Read]]&lt;Table1[[#This Row],[High Tol]],"Pass","Fail")))</f>
        <v>Fail</v>
      </c>
      <c r="AF383" s="1" t="str">
        <f>IF(AND(Table1[[#This Row],[Spec Type2]]="N/A",Table1[[#This Row],[DUT Adj Read]]="N/A",Table1[[#This Row],[Std Adj Read]]="N/A"),"N/A",IF(Table1[[#This Row],[DUT Adj Read]]="N/A",IF(Table1[[#This Row],[Std Adj Read]]&gt;=Table1[[#This Row],[Low Tol]],"Pass","Fail"),IF(Table1[[#This Row],[DUT Adj Read]]&gt;=Table1[[#This Row],[Low Tol]],"Pass","Fail")))</f>
        <v>Pass</v>
      </c>
      <c r="AG383" s="1" t="str">
        <f>IF(AND(Table1[[#This Row],[Spec Type2]]="N/A",Table1[[#This Row],[DUT Adj Read]]="N/A",Table1[[#This Row],[Std Adj Read]]="N/A"),"N/A",IF(Table1[[#This Row],[DUT Adj Read]]="N/A",IF(Table1[[#This Row],[Std Adj Read]]&lt;=Table1[[#This Row],[High Tol]],"Pass","Fail"),IF(Table1[[#This Row],[DUT Adj Read]]&lt;=Table1[[#This Row],[High Tol]],"Pass","Fail")))</f>
        <v>Fail</v>
      </c>
      <c r="AH3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3" s="1" t="b">
        <v>0</v>
      </c>
      <c r="AN383" s="1" t="b">
        <v>0</v>
      </c>
      <c r="AO383" s="1" t="b">
        <v>0</v>
      </c>
    </row>
    <row r="384" spans="1:41" x14ac:dyDescent="0.25">
      <c r="A384" s="10"/>
      <c r="B384" s="10"/>
      <c r="C384" s="10"/>
      <c r="D384" s="10"/>
      <c r="E384" s="10"/>
      <c r="F384" s="10"/>
      <c r="G384" s="10"/>
      <c r="H384" s="10"/>
      <c r="I384" s="1" t="str">
        <f t="shared" si="15"/>
        <v/>
      </c>
      <c r="J384" s="1" t="s">
        <v>35</v>
      </c>
      <c r="K384" s="1" t="str">
        <f t="shared" si="16"/>
        <v/>
      </c>
      <c r="L384" s="1" t="str">
        <f t="shared" si="17"/>
        <v/>
      </c>
      <c r="M384" s="1">
        <f>IF(OR(Table1[[#This Row],[Std Nom]]="",Table1[[#This Row],[Std Read]]=""),0,Table1[[#This Row],[Std Nom]]-Table1[[#This Row],[Std Read]])</f>
        <v>0</v>
      </c>
      <c r="N384" s="1">
        <f>IF(Calculations!$F$5="ACCREDITED 17025 WITH UNCERTAINTIES",$N$10,0)</f>
        <v>0</v>
      </c>
      <c r="Q384" s="1">
        <f>Table1[[#This Row],[High Tol]]-Table1[[#This Row],[Low Tol]]</f>
        <v>0</v>
      </c>
      <c r="R384" s="1">
        <f>2*Table1[[#This Row],[Std Error]]</f>
        <v>0</v>
      </c>
      <c r="S384" s="1" t="str">
        <f>IF(Table1[[#This Row],[High Tol]]="","N/A",IFERROR(ABS(Table1[[#This Row],[Tol Span]]/Table1[[#This Row],[Error Span]]),"N/A"))</f>
        <v>N/A</v>
      </c>
      <c r="T384" s="1" t="str">
        <f>IF(OR(Table1[[#This Row],[Low Tol]]="",Table1[[#This Row],[High Tol]]=""),"Needs Analysis",IF(Table1[[#This Row],[Ratio]]&gt;=4,"Not Significant",IF(Table1[[#This Row],[Ratio]]&gt;=2,"Semi-Significant","Significant")))</f>
        <v>Needs Analysis</v>
      </c>
      <c r="W384" s="1">
        <f>IF(Table1[[#This Row],[Cal Type]]&lt;&gt;"ACCREDITED 17025 WITH UNCERTAINTIES",0,"")</f>
        <v>0</v>
      </c>
      <c r="X384" s="1" t="str">
        <f>IF(Table1[[#This Row],[DUT Read]]="","N/A",Table1[[#This Row],[Std Error]]+Table1[[#This Row],[DUT Read]]+Table1[[#This Row],[DUT Ucty]])</f>
        <v>N/A</v>
      </c>
      <c r="Y384" s="1" t="str">
        <f>IF(Table1[[#This Row],[Std Read]]="","N/A",Table1[[#This Row],[Std Read]]+Table1[[#This Row],[Std Ucty]])</f>
        <v>N/A</v>
      </c>
      <c r="Z3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4" s="1" t="str">
        <f>IF(Table1[[#This Row],[Spec Type]]="","N/A",Table1[[#This Row],[Spec Type]])</f>
        <v>±</v>
      </c>
      <c r="AC384" s="1" t="str">
        <f>IF(Table1[[#This Row],[Spec Type2]]="N/A","N/A",IF(AND(Table1[[#This Row],[DUT Adj Read]]&gt;=Table1[[#This Row],[Low Tol]],Table1[[#This Row],[DUT Adj Read]]&lt;=Table1[[#This Row],[High Tol]]),"Pass","Fail"))</f>
        <v>Fail</v>
      </c>
      <c r="AD384" s="1" t="str">
        <f>IF(AND(Table1[[#This Row],[Spec Type2]]="N/A",Table1[[#This Row],[DUT Adj Read]]="N/A",Table1[[#This Row],[Std Adj Read]]="N/A"),"N/A",IF(Table1[[#This Row],[DUT Adj Read]]="N/A",IF(Table1[[#This Row],[Std Adj Read]]&gt;Table1[[#This Row],[Low Tol]],"Pass","Fail"),IF(Table1[[#This Row],[DUT Adj Read]]&gt;Table1[[#This Row],[Low Tol]],"Pass","Fail")))</f>
        <v>Pass</v>
      </c>
      <c r="AE384" s="1" t="str">
        <f>IF(AND(Table1[[#This Row],[Spec Type2]]="N/A",Table1[[#This Row],[DUT Adj Read]]="N/A",Table1[[#This Row],[Std Adj Read]]="N/A"),"N/A",IF(Table1[[#This Row],[DUT Adj Read]]="N/A",IF(Table1[[#This Row],[Std Adj Read]]&lt;Table1[[#This Row],[High Tol]],"Pass","Fail"),IF(Table1[[#This Row],[DUT Adj Read]]&lt;Table1[[#This Row],[High Tol]],"Pass","Fail")))</f>
        <v>Fail</v>
      </c>
      <c r="AF384" s="1" t="str">
        <f>IF(AND(Table1[[#This Row],[Spec Type2]]="N/A",Table1[[#This Row],[DUT Adj Read]]="N/A",Table1[[#This Row],[Std Adj Read]]="N/A"),"N/A",IF(Table1[[#This Row],[DUT Adj Read]]="N/A",IF(Table1[[#This Row],[Std Adj Read]]&gt;=Table1[[#This Row],[Low Tol]],"Pass","Fail"),IF(Table1[[#This Row],[DUT Adj Read]]&gt;=Table1[[#This Row],[Low Tol]],"Pass","Fail")))</f>
        <v>Pass</v>
      </c>
      <c r="AG384" s="1" t="str">
        <f>IF(AND(Table1[[#This Row],[Spec Type2]]="N/A",Table1[[#This Row],[DUT Adj Read]]="N/A",Table1[[#This Row],[Std Adj Read]]="N/A"),"N/A",IF(Table1[[#This Row],[DUT Adj Read]]="N/A",IF(Table1[[#This Row],[Std Adj Read]]&lt;=Table1[[#This Row],[High Tol]],"Pass","Fail"),IF(Table1[[#This Row],[DUT Adj Read]]&lt;=Table1[[#This Row],[High Tol]],"Pass","Fail")))</f>
        <v>Fail</v>
      </c>
      <c r="AH3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4" s="1" t="b">
        <v>0</v>
      </c>
      <c r="AN384" s="1" t="b">
        <v>0</v>
      </c>
      <c r="AO384" s="1" t="b">
        <v>0</v>
      </c>
    </row>
    <row r="385" spans="1:41" x14ac:dyDescent="0.25">
      <c r="A385" s="10"/>
      <c r="B385" s="10"/>
      <c r="C385" s="10"/>
      <c r="D385" s="10"/>
      <c r="E385" s="10"/>
      <c r="F385" s="10"/>
      <c r="G385" s="10"/>
      <c r="H385" s="10"/>
      <c r="I385" s="1" t="str">
        <f t="shared" si="15"/>
        <v/>
      </c>
      <c r="J385" s="1" t="s">
        <v>35</v>
      </c>
      <c r="K385" s="1" t="str">
        <f t="shared" si="16"/>
        <v/>
      </c>
      <c r="L385" s="1" t="str">
        <f t="shared" si="17"/>
        <v/>
      </c>
      <c r="M385" s="1">
        <f>IF(OR(Table1[[#This Row],[Std Nom]]="",Table1[[#This Row],[Std Read]]=""),0,Table1[[#This Row],[Std Nom]]-Table1[[#This Row],[Std Read]])</f>
        <v>0</v>
      </c>
      <c r="N385" s="1">
        <f>IF(Calculations!$F$5="ACCREDITED 17025 WITH UNCERTAINTIES",$N$10,0)</f>
        <v>0</v>
      </c>
      <c r="Q385" s="1">
        <f>Table1[[#This Row],[High Tol]]-Table1[[#This Row],[Low Tol]]</f>
        <v>0</v>
      </c>
      <c r="R385" s="1">
        <f>2*Table1[[#This Row],[Std Error]]</f>
        <v>0</v>
      </c>
      <c r="S385" s="1" t="str">
        <f>IF(Table1[[#This Row],[High Tol]]="","N/A",IFERROR(ABS(Table1[[#This Row],[Tol Span]]/Table1[[#This Row],[Error Span]]),"N/A"))</f>
        <v>N/A</v>
      </c>
      <c r="T385" s="1" t="str">
        <f>IF(OR(Table1[[#This Row],[Low Tol]]="",Table1[[#This Row],[High Tol]]=""),"Needs Analysis",IF(Table1[[#This Row],[Ratio]]&gt;=4,"Not Significant",IF(Table1[[#This Row],[Ratio]]&gt;=2,"Semi-Significant","Significant")))</f>
        <v>Needs Analysis</v>
      </c>
      <c r="W385" s="1">
        <f>IF(Table1[[#This Row],[Cal Type]]&lt;&gt;"ACCREDITED 17025 WITH UNCERTAINTIES",0,"")</f>
        <v>0</v>
      </c>
      <c r="X385" s="1" t="str">
        <f>IF(Table1[[#This Row],[DUT Read]]="","N/A",Table1[[#This Row],[Std Error]]+Table1[[#This Row],[DUT Read]]+Table1[[#This Row],[DUT Ucty]])</f>
        <v>N/A</v>
      </c>
      <c r="Y385" s="1" t="str">
        <f>IF(Table1[[#This Row],[Std Read]]="","N/A",Table1[[#This Row],[Std Read]]+Table1[[#This Row],[Std Ucty]])</f>
        <v>N/A</v>
      </c>
      <c r="Z3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5" s="1" t="str">
        <f>IF(Table1[[#This Row],[Spec Type]]="","N/A",Table1[[#This Row],[Spec Type]])</f>
        <v>±</v>
      </c>
      <c r="AC385" s="1" t="str">
        <f>IF(Table1[[#This Row],[Spec Type2]]="N/A","N/A",IF(AND(Table1[[#This Row],[DUT Adj Read]]&gt;=Table1[[#This Row],[Low Tol]],Table1[[#This Row],[DUT Adj Read]]&lt;=Table1[[#This Row],[High Tol]]),"Pass","Fail"))</f>
        <v>Fail</v>
      </c>
      <c r="AD385" s="1" t="str">
        <f>IF(AND(Table1[[#This Row],[Spec Type2]]="N/A",Table1[[#This Row],[DUT Adj Read]]="N/A",Table1[[#This Row],[Std Adj Read]]="N/A"),"N/A",IF(Table1[[#This Row],[DUT Adj Read]]="N/A",IF(Table1[[#This Row],[Std Adj Read]]&gt;Table1[[#This Row],[Low Tol]],"Pass","Fail"),IF(Table1[[#This Row],[DUT Adj Read]]&gt;Table1[[#This Row],[Low Tol]],"Pass","Fail")))</f>
        <v>Pass</v>
      </c>
      <c r="AE385" s="1" t="str">
        <f>IF(AND(Table1[[#This Row],[Spec Type2]]="N/A",Table1[[#This Row],[DUT Adj Read]]="N/A",Table1[[#This Row],[Std Adj Read]]="N/A"),"N/A",IF(Table1[[#This Row],[DUT Adj Read]]="N/A",IF(Table1[[#This Row],[Std Adj Read]]&lt;Table1[[#This Row],[High Tol]],"Pass","Fail"),IF(Table1[[#This Row],[DUT Adj Read]]&lt;Table1[[#This Row],[High Tol]],"Pass","Fail")))</f>
        <v>Fail</v>
      </c>
      <c r="AF385" s="1" t="str">
        <f>IF(AND(Table1[[#This Row],[Spec Type2]]="N/A",Table1[[#This Row],[DUT Adj Read]]="N/A",Table1[[#This Row],[Std Adj Read]]="N/A"),"N/A",IF(Table1[[#This Row],[DUT Adj Read]]="N/A",IF(Table1[[#This Row],[Std Adj Read]]&gt;=Table1[[#This Row],[Low Tol]],"Pass","Fail"),IF(Table1[[#This Row],[DUT Adj Read]]&gt;=Table1[[#This Row],[Low Tol]],"Pass","Fail")))</f>
        <v>Pass</v>
      </c>
      <c r="AG385" s="1" t="str">
        <f>IF(AND(Table1[[#This Row],[Spec Type2]]="N/A",Table1[[#This Row],[DUT Adj Read]]="N/A",Table1[[#This Row],[Std Adj Read]]="N/A"),"N/A",IF(Table1[[#This Row],[DUT Adj Read]]="N/A",IF(Table1[[#This Row],[Std Adj Read]]&lt;=Table1[[#This Row],[High Tol]],"Pass","Fail"),IF(Table1[[#This Row],[DUT Adj Read]]&lt;=Table1[[#This Row],[High Tol]],"Pass","Fail")))</f>
        <v>Fail</v>
      </c>
      <c r="AH3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5" s="1" t="b">
        <v>0</v>
      </c>
      <c r="AN385" s="1" t="b">
        <v>0</v>
      </c>
      <c r="AO385" s="1" t="b">
        <v>0</v>
      </c>
    </row>
    <row r="386" spans="1:41" x14ac:dyDescent="0.25">
      <c r="A386" s="10"/>
      <c r="B386" s="10"/>
      <c r="C386" s="10"/>
      <c r="D386" s="10"/>
      <c r="E386" s="10"/>
      <c r="F386" s="10"/>
      <c r="G386" s="10"/>
      <c r="H386" s="10"/>
      <c r="I386" s="1" t="str">
        <f t="shared" si="15"/>
        <v/>
      </c>
      <c r="J386" s="1" t="s">
        <v>35</v>
      </c>
      <c r="K386" s="1" t="str">
        <f t="shared" si="16"/>
        <v/>
      </c>
      <c r="L386" s="1" t="str">
        <f t="shared" si="17"/>
        <v/>
      </c>
      <c r="M386" s="1">
        <f>IF(OR(Table1[[#This Row],[Std Nom]]="",Table1[[#This Row],[Std Read]]=""),0,Table1[[#This Row],[Std Nom]]-Table1[[#This Row],[Std Read]])</f>
        <v>0</v>
      </c>
      <c r="N386" s="1">
        <f>IF(Calculations!$F$5="ACCREDITED 17025 WITH UNCERTAINTIES",$N$10,0)</f>
        <v>0</v>
      </c>
      <c r="Q386" s="1">
        <f>Table1[[#This Row],[High Tol]]-Table1[[#This Row],[Low Tol]]</f>
        <v>0</v>
      </c>
      <c r="R386" s="1">
        <f>2*Table1[[#This Row],[Std Error]]</f>
        <v>0</v>
      </c>
      <c r="S386" s="1" t="str">
        <f>IF(Table1[[#This Row],[High Tol]]="","N/A",IFERROR(ABS(Table1[[#This Row],[Tol Span]]/Table1[[#This Row],[Error Span]]),"N/A"))</f>
        <v>N/A</v>
      </c>
      <c r="T386" s="1" t="str">
        <f>IF(OR(Table1[[#This Row],[Low Tol]]="",Table1[[#This Row],[High Tol]]=""),"Needs Analysis",IF(Table1[[#This Row],[Ratio]]&gt;=4,"Not Significant",IF(Table1[[#This Row],[Ratio]]&gt;=2,"Semi-Significant","Significant")))</f>
        <v>Needs Analysis</v>
      </c>
      <c r="W386" s="1">
        <f>IF(Table1[[#This Row],[Cal Type]]&lt;&gt;"ACCREDITED 17025 WITH UNCERTAINTIES",0,"")</f>
        <v>0</v>
      </c>
      <c r="X386" s="1" t="str">
        <f>IF(Table1[[#This Row],[DUT Read]]="","N/A",Table1[[#This Row],[Std Error]]+Table1[[#This Row],[DUT Read]]+Table1[[#This Row],[DUT Ucty]])</f>
        <v>N/A</v>
      </c>
      <c r="Y386" s="1" t="str">
        <f>IF(Table1[[#This Row],[Std Read]]="","N/A",Table1[[#This Row],[Std Read]]+Table1[[#This Row],[Std Ucty]])</f>
        <v>N/A</v>
      </c>
      <c r="Z3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6" s="1" t="str">
        <f>IF(Table1[[#This Row],[Spec Type]]="","N/A",Table1[[#This Row],[Spec Type]])</f>
        <v>±</v>
      </c>
      <c r="AC386" s="1" t="str">
        <f>IF(Table1[[#This Row],[Spec Type2]]="N/A","N/A",IF(AND(Table1[[#This Row],[DUT Adj Read]]&gt;=Table1[[#This Row],[Low Tol]],Table1[[#This Row],[DUT Adj Read]]&lt;=Table1[[#This Row],[High Tol]]),"Pass","Fail"))</f>
        <v>Fail</v>
      </c>
      <c r="AD386" s="1" t="str">
        <f>IF(AND(Table1[[#This Row],[Spec Type2]]="N/A",Table1[[#This Row],[DUT Adj Read]]="N/A",Table1[[#This Row],[Std Adj Read]]="N/A"),"N/A",IF(Table1[[#This Row],[DUT Adj Read]]="N/A",IF(Table1[[#This Row],[Std Adj Read]]&gt;Table1[[#This Row],[Low Tol]],"Pass","Fail"),IF(Table1[[#This Row],[DUT Adj Read]]&gt;Table1[[#This Row],[Low Tol]],"Pass","Fail")))</f>
        <v>Pass</v>
      </c>
      <c r="AE386" s="1" t="str">
        <f>IF(AND(Table1[[#This Row],[Spec Type2]]="N/A",Table1[[#This Row],[DUT Adj Read]]="N/A",Table1[[#This Row],[Std Adj Read]]="N/A"),"N/A",IF(Table1[[#This Row],[DUT Adj Read]]="N/A",IF(Table1[[#This Row],[Std Adj Read]]&lt;Table1[[#This Row],[High Tol]],"Pass","Fail"),IF(Table1[[#This Row],[DUT Adj Read]]&lt;Table1[[#This Row],[High Tol]],"Pass","Fail")))</f>
        <v>Fail</v>
      </c>
      <c r="AF386" s="1" t="str">
        <f>IF(AND(Table1[[#This Row],[Spec Type2]]="N/A",Table1[[#This Row],[DUT Adj Read]]="N/A",Table1[[#This Row],[Std Adj Read]]="N/A"),"N/A",IF(Table1[[#This Row],[DUT Adj Read]]="N/A",IF(Table1[[#This Row],[Std Adj Read]]&gt;=Table1[[#This Row],[Low Tol]],"Pass","Fail"),IF(Table1[[#This Row],[DUT Adj Read]]&gt;=Table1[[#This Row],[Low Tol]],"Pass","Fail")))</f>
        <v>Pass</v>
      </c>
      <c r="AG386" s="1" t="str">
        <f>IF(AND(Table1[[#This Row],[Spec Type2]]="N/A",Table1[[#This Row],[DUT Adj Read]]="N/A",Table1[[#This Row],[Std Adj Read]]="N/A"),"N/A",IF(Table1[[#This Row],[DUT Adj Read]]="N/A",IF(Table1[[#This Row],[Std Adj Read]]&lt;=Table1[[#This Row],[High Tol]],"Pass","Fail"),IF(Table1[[#This Row],[DUT Adj Read]]&lt;=Table1[[#This Row],[High Tol]],"Pass","Fail")))</f>
        <v>Fail</v>
      </c>
      <c r="AH3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6" s="1" t="b">
        <v>0</v>
      </c>
      <c r="AN386" s="1" t="b">
        <v>0</v>
      </c>
      <c r="AO386" s="1" t="b">
        <v>0</v>
      </c>
    </row>
    <row r="387" spans="1:41" x14ac:dyDescent="0.25">
      <c r="A387" s="10"/>
      <c r="B387" s="10"/>
      <c r="C387" s="10"/>
      <c r="D387" s="10"/>
      <c r="E387" s="10"/>
      <c r="F387" s="10"/>
      <c r="G387" s="10"/>
      <c r="H387" s="10"/>
      <c r="I387" s="1" t="str">
        <f t="shared" si="15"/>
        <v/>
      </c>
      <c r="J387" s="1" t="s">
        <v>35</v>
      </c>
      <c r="K387" s="1" t="str">
        <f t="shared" si="16"/>
        <v/>
      </c>
      <c r="L387" s="1" t="str">
        <f t="shared" si="17"/>
        <v/>
      </c>
      <c r="M387" s="1">
        <f>IF(OR(Table1[[#This Row],[Std Nom]]="",Table1[[#This Row],[Std Read]]=""),0,Table1[[#This Row],[Std Nom]]-Table1[[#This Row],[Std Read]])</f>
        <v>0</v>
      </c>
      <c r="N387" s="1">
        <f>IF(Calculations!$F$5="ACCREDITED 17025 WITH UNCERTAINTIES",$N$10,0)</f>
        <v>0</v>
      </c>
      <c r="Q387" s="1">
        <f>Table1[[#This Row],[High Tol]]-Table1[[#This Row],[Low Tol]]</f>
        <v>0</v>
      </c>
      <c r="R387" s="1">
        <f>2*Table1[[#This Row],[Std Error]]</f>
        <v>0</v>
      </c>
      <c r="S387" s="1" t="str">
        <f>IF(Table1[[#This Row],[High Tol]]="","N/A",IFERROR(ABS(Table1[[#This Row],[Tol Span]]/Table1[[#This Row],[Error Span]]),"N/A"))</f>
        <v>N/A</v>
      </c>
      <c r="T387" s="1" t="str">
        <f>IF(OR(Table1[[#This Row],[Low Tol]]="",Table1[[#This Row],[High Tol]]=""),"Needs Analysis",IF(Table1[[#This Row],[Ratio]]&gt;=4,"Not Significant",IF(Table1[[#This Row],[Ratio]]&gt;=2,"Semi-Significant","Significant")))</f>
        <v>Needs Analysis</v>
      </c>
      <c r="W387" s="1">
        <f>IF(Table1[[#This Row],[Cal Type]]&lt;&gt;"ACCREDITED 17025 WITH UNCERTAINTIES",0,"")</f>
        <v>0</v>
      </c>
      <c r="X387" s="1" t="str">
        <f>IF(Table1[[#This Row],[DUT Read]]="","N/A",Table1[[#This Row],[Std Error]]+Table1[[#This Row],[DUT Read]]+Table1[[#This Row],[DUT Ucty]])</f>
        <v>N/A</v>
      </c>
      <c r="Y387" s="1" t="str">
        <f>IF(Table1[[#This Row],[Std Read]]="","N/A",Table1[[#This Row],[Std Read]]+Table1[[#This Row],[Std Ucty]])</f>
        <v>N/A</v>
      </c>
      <c r="Z3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7" s="1" t="str">
        <f>IF(Table1[[#This Row],[Spec Type]]="","N/A",Table1[[#This Row],[Spec Type]])</f>
        <v>±</v>
      </c>
      <c r="AC387" s="1" t="str">
        <f>IF(Table1[[#This Row],[Spec Type2]]="N/A","N/A",IF(AND(Table1[[#This Row],[DUT Adj Read]]&gt;=Table1[[#This Row],[Low Tol]],Table1[[#This Row],[DUT Adj Read]]&lt;=Table1[[#This Row],[High Tol]]),"Pass","Fail"))</f>
        <v>Fail</v>
      </c>
      <c r="AD387" s="1" t="str">
        <f>IF(AND(Table1[[#This Row],[Spec Type2]]="N/A",Table1[[#This Row],[DUT Adj Read]]="N/A",Table1[[#This Row],[Std Adj Read]]="N/A"),"N/A",IF(Table1[[#This Row],[DUT Adj Read]]="N/A",IF(Table1[[#This Row],[Std Adj Read]]&gt;Table1[[#This Row],[Low Tol]],"Pass","Fail"),IF(Table1[[#This Row],[DUT Adj Read]]&gt;Table1[[#This Row],[Low Tol]],"Pass","Fail")))</f>
        <v>Pass</v>
      </c>
      <c r="AE387" s="1" t="str">
        <f>IF(AND(Table1[[#This Row],[Spec Type2]]="N/A",Table1[[#This Row],[DUT Adj Read]]="N/A",Table1[[#This Row],[Std Adj Read]]="N/A"),"N/A",IF(Table1[[#This Row],[DUT Adj Read]]="N/A",IF(Table1[[#This Row],[Std Adj Read]]&lt;Table1[[#This Row],[High Tol]],"Pass","Fail"),IF(Table1[[#This Row],[DUT Adj Read]]&lt;Table1[[#This Row],[High Tol]],"Pass","Fail")))</f>
        <v>Fail</v>
      </c>
      <c r="AF387" s="1" t="str">
        <f>IF(AND(Table1[[#This Row],[Spec Type2]]="N/A",Table1[[#This Row],[DUT Adj Read]]="N/A",Table1[[#This Row],[Std Adj Read]]="N/A"),"N/A",IF(Table1[[#This Row],[DUT Adj Read]]="N/A",IF(Table1[[#This Row],[Std Adj Read]]&gt;=Table1[[#This Row],[Low Tol]],"Pass","Fail"),IF(Table1[[#This Row],[DUT Adj Read]]&gt;=Table1[[#This Row],[Low Tol]],"Pass","Fail")))</f>
        <v>Pass</v>
      </c>
      <c r="AG387" s="1" t="str">
        <f>IF(AND(Table1[[#This Row],[Spec Type2]]="N/A",Table1[[#This Row],[DUT Adj Read]]="N/A",Table1[[#This Row],[Std Adj Read]]="N/A"),"N/A",IF(Table1[[#This Row],[DUT Adj Read]]="N/A",IF(Table1[[#This Row],[Std Adj Read]]&lt;=Table1[[#This Row],[High Tol]],"Pass","Fail"),IF(Table1[[#This Row],[DUT Adj Read]]&lt;=Table1[[#This Row],[High Tol]],"Pass","Fail")))</f>
        <v>Fail</v>
      </c>
      <c r="AH3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7" s="1" t="b">
        <v>0</v>
      </c>
      <c r="AN387" s="1" t="b">
        <v>0</v>
      </c>
      <c r="AO387" s="1" t="b">
        <v>0</v>
      </c>
    </row>
    <row r="388" spans="1:41" x14ac:dyDescent="0.25">
      <c r="A388" s="10"/>
      <c r="B388" s="10"/>
      <c r="C388" s="10"/>
      <c r="D388" s="10"/>
      <c r="E388" s="10"/>
      <c r="F388" s="10"/>
      <c r="G388" s="10"/>
      <c r="H388" s="10"/>
      <c r="I388" s="1" t="str">
        <f t="shared" si="15"/>
        <v/>
      </c>
      <c r="J388" s="1" t="s">
        <v>35</v>
      </c>
      <c r="K388" s="1" t="str">
        <f t="shared" si="16"/>
        <v/>
      </c>
      <c r="L388" s="1" t="str">
        <f t="shared" si="17"/>
        <v/>
      </c>
      <c r="M388" s="1">
        <f>IF(OR(Table1[[#This Row],[Std Nom]]="",Table1[[#This Row],[Std Read]]=""),0,Table1[[#This Row],[Std Nom]]-Table1[[#This Row],[Std Read]])</f>
        <v>0</v>
      </c>
      <c r="N388" s="1">
        <f>IF(Calculations!$F$5="ACCREDITED 17025 WITH UNCERTAINTIES",$N$10,0)</f>
        <v>0</v>
      </c>
      <c r="Q388" s="1">
        <f>Table1[[#This Row],[High Tol]]-Table1[[#This Row],[Low Tol]]</f>
        <v>0</v>
      </c>
      <c r="R388" s="1">
        <f>2*Table1[[#This Row],[Std Error]]</f>
        <v>0</v>
      </c>
      <c r="S388" s="1" t="str">
        <f>IF(Table1[[#This Row],[High Tol]]="","N/A",IFERROR(ABS(Table1[[#This Row],[Tol Span]]/Table1[[#This Row],[Error Span]]),"N/A"))</f>
        <v>N/A</v>
      </c>
      <c r="T388" s="1" t="str">
        <f>IF(OR(Table1[[#This Row],[Low Tol]]="",Table1[[#This Row],[High Tol]]=""),"Needs Analysis",IF(Table1[[#This Row],[Ratio]]&gt;=4,"Not Significant",IF(Table1[[#This Row],[Ratio]]&gt;=2,"Semi-Significant","Significant")))</f>
        <v>Needs Analysis</v>
      </c>
      <c r="W388" s="1">
        <f>IF(Table1[[#This Row],[Cal Type]]&lt;&gt;"ACCREDITED 17025 WITH UNCERTAINTIES",0,"")</f>
        <v>0</v>
      </c>
      <c r="X388" s="1" t="str">
        <f>IF(Table1[[#This Row],[DUT Read]]="","N/A",Table1[[#This Row],[Std Error]]+Table1[[#This Row],[DUT Read]]+Table1[[#This Row],[DUT Ucty]])</f>
        <v>N/A</v>
      </c>
      <c r="Y388" s="1" t="str">
        <f>IF(Table1[[#This Row],[Std Read]]="","N/A",Table1[[#This Row],[Std Read]]+Table1[[#This Row],[Std Ucty]])</f>
        <v>N/A</v>
      </c>
      <c r="Z3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8" s="1" t="str">
        <f>IF(Table1[[#This Row],[Spec Type]]="","N/A",Table1[[#This Row],[Spec Type]])</f>
        <v>±</v>
      </c>
      <c r="AC388" s="1" t="str">
        <f>IF(Table1[[#This Row],[Spec Type2]]="N/A","N/A",IF(AND(Table1[[#This Row],[DUT Adj Read]]&gt;=Table1[[#This Row],[Low Tol]],Table1[[#This Row],[DUT Adj Read]]&lt;=Table1[[#This Row],[High Tol]]),"Pass","Fail"))</f>
        <v>Fail</v>
      </c>
      <c r="AD388" s="1" t="str">
        <f>IF(AND(Table1[[#This Row],[Spec Type2]]="N/A",Table1[[#This Row],[DUT Adj Read]]="N/A",Table1[[#This Row],[Std Adj Read]]="N/A"),"N/A",IF(Table1[[#This Row],[DUT Adj Read]]="N/A",IF(Table1[[#This Row],[Std Adj Read]]&gt;Table1[[#This Row],[Low Tol]],"Pass","Fail"),IF(Table1[[#This Row],[DUT Adj Read]]&gt;Table1[[#This Row],[Low Tol]],"Pass","Fail")))</f>
        <v>Pass</v>
      </c>
      <c r="AE388" s="1" t="str">
        <f>IF(AND(Table1[[#This Row],[Spec Type2]]="N/A",Table1[[#This Row],[DUT Adj Read]]="N/A",Table1[[#This Row],[Std Adj Read]]="N/A"),"N/A",IF(Table1[[#This Row],[DUT Adj Read]]="N/A",IF(Table1[[#This Row],[Std Adj Read]]&lt;Table1[[#This Row],[High Tol]],"Pass","Fail"),IF(Table1[[#This Row],[DUT Adj Read]]&lt;Table1[[#This Row],[High Tol]],"Pass","Fail")))</f>
        <v>Fail</v>
      </c>
      <c r="AF388" s="1" t="str">
        <f>IF(AND(Table1[[#This Row],[Spec Type2]]="N/A",Table1[[#This Row],[DUT Adj Read]]="N/A",Table1[[#This Row],[Std Adj Read]]="N/A"),"N/A",IF(Table1[[#This Row],[DUT Adj Read]]="N/A",IF(Table1[[#This Row],[Std Adj Read]]&gt;=Table1[[#This Row],[Low Tol]],"Pass","Fail"),IF(Table1[[#This Row],[DUT Adj Read]]&gt;=Table1[[#This Row],[Low Tol]],"Pass","Fail")))</f>
        <v>Pass</v>
      </c>
      <c r="AG388" s="1" t="str">
        <f>IF(AND(Table1[[#This Row],[Spec Type2]]="N/A",Table1[[#This Row],[DUT Adj Read]]="N/A",Table1[[#This Row],[Std Adj Read]]="N/A"),"N/A",IF(Table1[[#This Row],[DUT Adj Read]]="N/A",IF(Table1[[#This Row],[Std Adj Read]]&lt;=Table1[[#This Row],[High Tol]],"Pass","Fail"),IF(Table1[[#This Row],[DUT Adj Read]]&lt;=Table1[[#This Row],[High Tol]],"Pass","Fail")))</f>
        <v>Fail</v>
      </c>
      <c r="AH3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8" s="1" t="b">
        <v>0</v>
      </c>
      <c r="AN388" s="1" t="b">
        <v>0</v>
      </c>
      <c r="AO388" s="1" t="b">
        <v>0</v>
      </c>
    </row>
    <row r="389" spans="1:41" x14ac:dyDescent="0.25">
      <c r="A389" s="10"/>
      <c r="B389" s="10"/>
      <c r="C389" s="10"/>
      <c r="D389" s="10"/>
      <c r="E389" s="10"/>
      <c r="F389" s="10"/>
      <c r="G389" s="10"/>
      <c r="H389" s="10"/>
      <c r="I389" s="1" t="str">
        <f t="shared" si="15"/>
        <v/>
      </c>
      <c r="J389" s="1" t="s">
        <v>35</v>
      </c>
      <c r="K389" s="1" t="str">
        <f t="shared" si="16"/>
        <v/>
      </c>
      <c r="L389" s="1" t="str">
        <f t="shared" si="17"/>
        <v/>
      </c>
      <c r="M389" s="1">
        <f>IF(OR(Table1[[#This Row],[Std Nom]]="",Table1[[#This Row],[Std Read]]=""),0,Table1[[#This Row],[Std Nom]]-Table1[[#This Row],[Std Read]])</f>
        <v>0</v>
      </c>
      <c r="N389" s="1">
        <f>IF(Calculations!$F$5="ACCREDITED 17025 WITH UNCERTAINTIES",$N$10,0)</f>
        <v>0</v>
      </c>
      <c r="Q389" s="1">
        <f>Table1[[#This Row],[High Tol]]-Table1[[#This Row],[Low Tol]]</f>
        <v>0</v>
      </c>
      <c r="R389" s="1">
        <f>2*Table1[[#This Row],[Std Error]]</f>
        <v>0</v>
      </c>
      <c r="S389" s="1" t="str">
        <f>IF(Table1[[#This Row],[High Tol]]="","N/A",IFERROR(ABS(Table1[[#This Row],[Tol Span]]/Table1[[#This Row],[Error Span]]),"N/A"))</f>
        <v>N/A</v>
      </c>
      <c r="T389" s="1" t="str">
        <f>IF(OR(Table1[[#This Row],[Low Tol]]="",Table1[[#This Row],[High Tol]]=""),"Needs Analysis",IF(Table1[[#This Row],[Ratio]]&gt;=4,"Not Significant",IF(Table1[[#This Row],[Ratio]]&gt;=2,"Semi-Significant","Significant")))</f>
        <v>Needs Analysis</v>
      </c>
      <c r="W389" s="1">
        <f>IF(Table1[[#This Row],[Cal Type]]&lt;&gt;"ACCREDITED 17025 WITH UNCERTAINTIES",0,"")</f>
        <v>0</v>
      </c>
      <c r="X389" s="1" t="str">
        <f>IF(Table1[[#This Row],[DUT Read]]="","N/A",Table1[[#This Row],[Std Error]]+Table1[[#This Row],[DUT Read]]+Table1[[#This Row],[DUT Ucty]])</f>
        <v>N/A</v>
      </c>
      <c r="Y389" s="1" t="str">
        <f>IF(Table1[[#This Row],[Std Read]]="","N/A",Table1[[#This Row],[Std Read]]+Table1[[#This Row],[Std Ucty]])</f>
        <v>N/A</v>
      </c>
      <c r="Z3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89" s="1" t="str">
        <f>IF(Table1[[#This Row],[Spec Type]]="","N/A",Table1[[#This Row],[Spec Type]])</f>
        <v>±</v>
      </c>
      <c r="AC389" s="1" t="str">
        <f>IF(Table1[[#This Row],[Spec Type2]]="N/A","N/A",IF(AND(Table1[[#This Row],[DUT Adj Read]]&gt;=Table1[[#This Row],[Low Tol]],Table1[[#This Row],[DUT Adj Read]]&lt;=Table1[[#This Row],[High Tol]]),"Pass","Fail"))</f>
        <v>Fail</v>
      </c>
      <c r="AD389" s="1" t="str">
        <f>IF(AND(Table1[[#This Row],[Spec Type2]]="N/A",Table1[[#This Row],[DUT Adj Read]]="N/A",Table1[[#This Row],[Std Adj Read]]="N/A"),"N/A",IF(Table1[[#This Row],[DUT Adj Read]]="N/A",IF(Table1[[#This Row],[Std Adj Read]]&gt;Table1[[#This Row],[Low Tol]],"Pass","Fail"),IF(Table1[[#This Row],[DUT Adj Read]]&gt;Table1[[#This Row],[Low Tol]],"Pass","Fail")))</f>
        <v>Pass</v>
      </c>
      <c r="AE389" s="1" t="str">
        <f>IF(AND(Table1[[#This Row],[Spec Type2]]="N/A",Table1[[#This Row],[DUT Adj Read]]="N/A",Table1[[#This Row],[Std Adj Read]]="N/A"),"N/A",IF(Table1[[#This Row],[DUT Adj Read]]="N/A",IF(Table1[[#This Row],[Std Adj Read]]&lt;Table1[[#This Row],[High Tol]],"Pass","Fail"),IF(Table1[[#This Row],[DUT Adj Read]]&lt;Table1[[#This Row],[High Tol]],"Pass","Fail")))</f>
        <v>Fail</v>
      </c>
      <c r="AF389" s="1" t="str">
        <f>IF(AND(Table1[[#This Row],[Spec Type2]]="N/A",Table1[[#This Row],[DUT Adj Read]]="N/A",Table1[[#This Row],[Std Adj Read]]="N/A"),"N/A",IF(Table1[[#This Row],[DUT Adj Read]]="N/A",IF(Table1[[#This Row],[Std Adj Read]]&gt;=Table1[[#This Row],[Low Tol]],"Pass","Fail"),IF(Table1[[#This Row],[DUT Adj Read]]&gt;=Table1[[#This Row],[Low Tol]],"Pass","Fail")))</f>
        <v>Pass</v>
      </c>
      <c r="AG389" s="1" t="str">
        <f>IF(AND(Table1[[#This Row],[Spec Type2]]="N/A",Table1[[#This Row],[DUT Adj Read]]="N/A",Table1[[#This Row],[Std Adj Read]]="N/A"),"N/A",IF(Table1[[#This Row],[DUT Adj Read]]="N/A",IF(Table1[[#This Row],[Std Adj Read]]&lt;=Table1[[#This Row],[High Tol]],"Pass","Fail"),IF(Table1[[#This Row],[DUT Adj Read]]&lt;=Table1[[#This Row],[High Tol]],"Pass","Fail")))</f>
        <v>Fail</v>
      </c>
      <c r="AH3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89" s="1" t="b">
        <v>0</v>
      </c>
      <c r="AN389" s="1" t="b">
        <v>0</v>
      </c>
      <c r="AO389" s="1" t="b">
        <v>0</v>
      </c>
    </row>
    <row r="390" spans="1:41" x14ac:dyDescent="0.25">
      <c r="A390" s="10"/>
      <c r="B390" s="10"/>
      <c r="C390" s="10"/>
      <c r="D390" s="10"/>
      <c r="E390" s="10"/>
      <c r="F390" s="10"/>
      <c r="G390" s="10"/>
      <c r="H390" s="10"/>
      <c r="I390" s="1" t="str">
        <f t="shared" si="15"/>
        <v/>
      </c>
      <c r="J390" s="1" t="s">
        <v>35</v>
      </c>
      <c r="K390" s="1" t="str">
        <f t="shared" si="16"/>
        <v/>
      </c>
      <c r="L390" s="1" t="str">
        <f t="shared" si="17"/>
        <v/>
      </c>
      <c r="M390" s="1">
        <f>IF(OR(Table1[[#This Row],[Std Nom]]="",Table1[[#This Row],[Std Read]]=""),0,Table1[[#This Row],[Std Nom]]-Table1[[#This Row],[Std Read]])</f>
        <v>0</v>
      </c>
      <c r="N390" s="1">
        <f>IF(Calculations!$F$5="ACCREDITED 17025 WITH UNCERTAINTIES",$N$10,0)</f>
        <v>0</v>
      </c>
      <c r="Q390" s="1">
        <f>Table1[[#This Row],[High Tol]]-Table1[[#This Row],[Low Tol]]</f>
        <v>0</v>
      </c>
      <c r="R390" s="1">
        <f>2*Table1[[#This Row],[Std Error]]</f>
        <v>0</v>
      </c>
      <c r="S390" s="1" t="str">
        <f>IF(Table1[[#This Row],[High Tol]]="","N/A",IFERROR(ABS(Table1[[#This Row],[Tol Span]]/Table1[[#This Row],[Error Span]]),"N/A"))</f>
        <v>N/A</v>
      </c>
      <c r="T390" s="1" t="str">
        <f>IF(OR(Table1[[#This Row],[Low Tol]]="",Table1[[#This Row],[High Tol]]=""),"Needs Analysis",IF(Table1[[#This Row],[Ratio]]&gt;=4,"Not Significant",IF(Table1[[#This Row],[Ratio]]&gt;=2,"Semi-Significant","Significant")))</f>
        <v>Needs Analysis</v>
      </c>
      <c r="W390" s="1">
        <f>IF(Table1[[#This Row],[Cal Type]]&lt;&gt;"ACCREDITED 17025 WITH UNCERTAINTIES",0,"")</f>
        <v>0</v>
      </c>
      <c r="X390" s="1" t="str">
        <f>IF(Table1[[#This Row],[DUT Read]]="","N/A",Table1[[#This Row],[Std Error]]+Table1[[#This Row],[DUT Read]]+Table1[[#This Row],[DUT Ucty]])</f>
        <v>N/A</v>
      </c>
      <c r="Y390" s="1" t="str">
        <f>IF(Table1[[#This Row],[Std Read]]="","N/A",Table1[[#This Row],[Std Read]]+Table1[[#This Row],[Std Ucty]])</f>
        <v>N/A</v>
      </c>
      <c r="Z3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0" s="1" t="str">
        <f>IF(Table1[[#This Row],[Spec Type]]="","N/A",Table1[[#This Row],[Spec Type]])</f>
        <v>±</v>
      </c>
      <c r="AC390" s="1" t="str">
        <f>IF(Table1[[#This Row],[Spec Type2]]="N/A","N/A",IF(AND(Table1[[#This Row],[DUT Adj Read]]&gt;=Table1[[#This Row],[Low Tol]],Table1[[#This Row],[DUT Adj Read]]&lt;=Table1[[#This Row],[High Tol]]),"Pass","Fail"))</f>
        <v>Fail</v>
      </c>
      <c r="AD390" s="1" t="str">
        <f>IF(AND(Table1[[#This Row],[Spec Type2]]="N/A",Table1[[#This Row],[DUT Adj Read]]="N/A",Table1[[#This Row],[Std Adj Read]]="N/A"),"N/A",IF(Table1[[#This Row],[DUT Adj Read]]="N/A",IF(Table1[[#This Row],[Std Adj Read]]&gt;Table1[[#This Row],[Low Tol]],"Pass","Fail"),IF(Table1[[#This Row],[DUT Adj Read]]&gt;Table1[[#This Row],[Low Tol]],"Pass","Fail")))</f>
        <v>Pass</v>
      </c>
      <c r="AE390" s="1" t="str">
        <f>IF(AND(Table1[[#This Row],[Spec Type2]]="N/A",Table1[[#This Row],[DUT Adj Read]]="N/A",Table1[[#This Row],[Std Adj Read]]="N/A"),"N/A",IF(Table1[[#This Row],[DUT Adj Read]]="N/A",IF(Table1[[#This Row],[Std Adj Read]]&lt;Table1[[#This Row],[High Tol]],"Pass","Fail"),IF(Table1[[#This Row],[DUT Adj Read]]&lt;Table1[[#This Row],[High Tol]],"Pass","Fail")))</f>
        <v>Fail</v>
      </c>
      <c r="AF390" s="1" t="str">
        <f>IF(AND(Table1[[#This Row],[Spec Type2]]="N/A",Table1[[#This Row],[DUT Adj Read]]="N/A",Table1[[#This Row],[Std Adj Read]]="N/A"),"N/A",IF(Table1[[#This Row],[DUT Adj Read]]="N/A",IF(Table1[[#This Row],[Std Adj Read]]&gt;=Table1[[#This Row],[Low Tol]],"Pass","Fail"),IF(Table1[[#This Row],[DUT Adj Read]]&gt;=Table1[[#This Row],[Low Tol]],"Pass","Fail")))</f>
        <v>Pass</v>
      </c>
      <c r="AG390" s="1" t="str">
        <f>IF(AND(Table1[[#This Row],[Spec Type2]]="N/A",Table1[[#This Row],[DUT Adj Read]]="N/A",Table1[[#This Row],[Std Adj Read]]="N/A"),"N/A",IF(Table1[[#This Row],[DUT Adj Read]]="N/A",IF(Table1[[#This Row],[Std Adj Read]]&lt;=Table1[[#This Row],[High Tol]],"Pass","Fail"),IF(Table1[[#This Row],[DUT Adj Read]]&lt;=Table1[[#This Row],[High Tol]],"Pass","Fail")))</f>
        <v>Fail</v>
      </c>
      <c r="AH3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0" s="1" t="b">
        <v>0</v>
      </c>
      <c r="AN390" s="1" t="b">
        <v>0</v>
      </c>
      <c r="AO390" s="1" t="b">
        <v>0</v>
      </c>
    </row>
    <row r="391" spans="1:41" x14ac:dyDescent="0.25">
      <c r="A391" s="10"/>
      <c r="B391" s="10"/>
      <c r="C391" s="10"/>
      <c r="D391" s="10"/>
      <c r="E391" s="10"/>
      <c r="F391" s="10"/>
      <c r="G391" s="10"/>
      <c r="H391" s="10"/>
      <c r="I391" s="1" t="str">
        <f t="shared" si="15"/>
        <v/>
      </c>
      <c r="J391" s="1" t="s">
        <v>35</v>
      </c>
      <c r="K391" s="1" t="str">
        <f t="shared" si="16"/>
        <v/>
      </c>
      <c r="L391" s="1" t="str">
        <f t="shared" si="17"/>
        <v/>
      </c>
      <c r="M391" s="1">
        <f>IF(OR(Table1[[#This Row],[Std Nom]]="",Table1[[#This Row],[Std Read]]=""),0,Table1[[#This Row],[Std Nom]]-Table1[[#This Row],[Std Read]])</f>
        <v>0</v>
      </c>
      <c r="N391" s="1">
        <f>IF(Calculations!$F$5="ACCREDITED 17025 WITH UNCERTAINTIES",$N$10,0)</f>
        <v>0</v>
      </c>
      <c r="Q391" s="1">
        <f>Table1[[#This Row],[High Tol]]-Table1[[#This Row],[Low Tol]]</f>
        <v>0</v>
      </c>
      <c r="R391" s="1">
        <f>2*Table1[[#This Row],[Std Error]]</f>
        <v>0</v>
      </c>
      <c r="S391" s="1" t="str">
        <f>IF(Table1[[#This Row],[High Tol]]="","N/A",IFERROR(ABS(Table1[[#This Row],[Tol Span]]/Table1[[#This Row],[Error Span]]),"N/A"))</f>
        <v>N/A</v>
      </c>
      <c r="T391" s="1" t="str">
        <f>IF(OR(Table1[[#This Row],[Low Tol]]="",Table1[[#This Row],[High Tol]]=""),"Needs Analysis",IF(Table1[[#This Row],[Ratio]]&gt;=4,"Not Significant",IF(Table1[[#This Row],[Ratio]]&gt;=2,"Semi-Significant","Significant")))</f>
        <v>Needs Analysis</v>
      </c>
      <c r="W391" s="1">
        <f>IF(Table1[[#This Row],[Cal Type]]&lt;&gt;"ACCREDITED 17025 WITH UNCERTAINTIES",0,"")</f>
        <v>0</v>
      </c>
      <c r="X391" s="1" t="str">
        <f>IF(Table1[[#This Row],[DUT Read]]="","N/A",Table1[[#This Row],[Std Error]]+Table1[[#This Row],[DUT Read]]+Table1[[#This Row],[DUT Ucty]])</f>
        <v>N/A</v>
      </c>
      <c r="Y391" s="1" t="str">
        <f>IF(Table1[[#This Row],[Std Read]]="","N/A",Table1[[#This Row],[Std Read]]+Table1[[#This Row],[Std Ucty]])</f>
        <v>N/A</v>
      </c>
      <c r="Z3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1" s="1" t="str">
        <f>IF(Table1[[#This Row],[Spec Type]]="","N/A",Table1[[#This Row],[Spec Type]])</f>
        <v>±</v>
      </c>
      <c r="AC391" s="1" t="str">
        <f>IF(Table1[[#This Row],[Spec Type2]]="N/A","N/A",IF(AND(Table1[[#This Row],[DUT Adj Read]]&gt;=Table1[[#This Row],[Low Tol]],Table1[[#This Row],[DUT Adj Read]]&lt;=Table1[[#This Row],[High Tol]]),"Pass","Fail"))</f>
        <v>Fail</v>
      </c>
      <c r="AD391" s="1" t="str">
        <f>IF(AND(Table1[[#This Row],[Spec Type2]]="N/A",Table1[[#This Row],[DUT Adj Read]]="N/A",Table1[[#This Row],[Std Adj Read]]="N/A"),"N/A",IF(Table1[[#This Row],[DUT Adj Read]]="N/A",IF(Table1[[#This Row],[Std Adj Read]]&gt;Table1[[#This Row],[Low Tol]],"Pass","Fail"),IF(Table1[[#This Row],[DUT Adj Read]]&gt;Table1[[#This Row],[Low Tol]],"Pass","Fail")))</f>
        <v>Pass</v>
      </c>
      <c r="AE391" s="1" t="str">
        <f>IF(AND(Table1[[#This Row],[Spec Type2]]="N/A",Table1[[#This Row],[DUT Adj Read]]="N/A",Table1[[#This Row],[Std Adj Read]]="N/A"),"N/A",IF(Table1[[#This Row],[DUT Adj Read]]="N/A",IF(Table1[[#This Row],[Std Adj Read]]&lt;Table1[[#This Row],[High Tol]],"Pass","Fail"),IF(Table1[[#This Row],[DUT Adj Read]]&lt;Table1[[#This Row],[High Tol]],"Pass","Fail")))</f>
        <v>Fail</v>
      </c>
      <c r="AF391" s="1" t="str">
        <f>IF(AND(Table1[[#This Row],[Spec Type2]]="N/A",Table1[[#This Row],[DUT Adj Read]]="N/A",Table1[[#This Row],[Std Adj Read]]="N/A"),"N/A",IF(Table1[[#This Row],[DUT Adj Read]]="N/A",IF(Table1[[#This Row],[Std Adj Read]]&gt;=Table1[[#This Row],[Low Tol]],"Pass","Fail"),IF(Table1[[#This Row],[DUT Adj Read]]&gt;=Table1[[#This Row],[Low Tol]],"Pass","Fail")))</f>
        <v>Pass</v>
      </c>
      <c r="AG391" s="1" t="str">
        <f>IF(AND(Table1[[#This Row],[Spec Type2]]="N/A",Table1[[#This Row],[DUT Adj Read]]="N/A",Table1[[#This Row],[Std Adj Read]]="N/A"),"N/A",IF(Table1[[#This Row],[DUT Adj Read]]="N/A",IF(Table1[[#This Row],[Std Adj Read]]&lt;=Table1[[#This Row],[High Tol]],"Pass","Fail"),IF(Table1[[#This Row],[DUT Adj Read]]&lt;=Table1[[#This Row],[High Tol]],"Pass","Fail")))</f>
        <v>Fail</v>
      </c>
      <c r="AH3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1" s="1" t="b">
        <v>0</v>
      </c>
      <c r="AN391" s="1" t="b">
        <v>0</v>
      </c>
      <c r="AO391" s="1" t="b">
        <v>0</v>
      </c>
    </row>
    <row r="392" spans="1:41" x14ac:dyDescent="0.25">
      <c r="A392" s="10"/>
      <c r="B392" s="10"/>
      <c r="C392" s="10"/>
      <c r="D392" s="10"/>
      <c r="E392" s="10"/>
      <c r="F392" s="10"/>
      <c r="G392" s="10"/>
      <c r="H392" s="10"/>
      <c r="I392" s="1" t="str">
        <f t="shared" si="15"/>
        <v/>
      </c>
      <c r="J392" s="1" t="s">
        <v>35</v>
      </c>
      <c r="K392" s="1" t="str">
        <f t="shared" si="16"/>
        <v/>
      </c>
      <c r="L392" s="1" t="str">
        <f t="shared" si="17"/>
        <v/>
      </c>
      <c r="M392" s="1">
        <f>IF(OR(Table1[[#This Row],[Std Nom]]="",Table1[[#This Row],[Std Read]]=""),0,Table1[[#This Row],[Std Nom]]-Table1[[#This Row],[Std Read]])</f>
        <v>0</v>
      </c>
      <c r="N392" s="1">
        <f>IF(Calculations!$F$5="ACCREDITED 17025 WITH UNCERTAINTIES",$N$10,0)</f>
        <v>0</v>
      </c>
      <c r="Q392" s="1">
        <f>Table1[[#This Row],[High Tol]]-Table1[[#This Row],[Low Tol]]</f>
        <v>0</v>
      </c>
      <c r="R392" s="1">
        <f>2*Table1[[#This Row],[Std Error]]</f>
        <v>0</v>
      </c>
      <c r="S392" s="1" t="str">
        <f>IF(Table1[[#This Row],[High Tol]]="","N/A",IFERROR(ABS(Table1[[#This Row],[Tol Span]]/Table1[[#This Row],[Error Span]]),"N/A"))</f>
        <v>N/A</v>
      </c>
      <c r="T392" s="1" t="str">
        <f>IF(OR(Table1[[#This Row],[Low Tol]]="",Table1[[#This Row],[High Tol]]=""),"Needs Analysis",IF(Table1[[#This Row],[Ratio]]&gt;=4,"Not Significant",IF(Table1[[#This Row],[Ratio]]&gt;=2,"Semi-Significant","Significant")))</f>
        <v>Needs Analysis</v>
      </c>
      <c r="W392" s="1">
        <f>IF(Table1[[#This Row],[Cal Type]]&lt;&gt;"ACCREDITED 17025 WITH UNCERTAINTIES",0,"")</f>
        <v>0</v>
      </c>
      <c r="X392" s="1" t="str">
        <f>IF(Table1[[#This Row],[DUT Read]]="","N/A",Table1[[#This Row],[Std Error]]+Table1[[#This Row],[DUT Read]]+Table1[[#This Row],[DUT Ucty]])</f>
        <v>N/A</v>
      </c>
      <c r="Y392" s="1" t="str">
        <f>IF(Table1[[#This Row],[Std Read]]="","N/A",Table1[[#This Row],[Std Read]]+Table1[[#This Row],[Std Ucty]])</f>
        <v>N/A</v>
      </c>
      <c r="Z3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2" s="1" t="str">
        <f>IF(Table1[[#This Row],[Spec Type]]="","N/A",Table1[[#This Row],[Spec Type]])</f>
        <v>±</v>
      </c>
      <c r="AC392" s="1" t="str">
        <f>IF(Table1[[#This Row],[Spec Type2]]="N/A","N/A",IF(AND(Table1[[#This Row],[DUT Adj Read]]&gt;=Table1[[#This Row],[Low Tol]],Table1[[#This Row],[DUT Adj Read]]&lt;=Table1[[#This Row],[High Tol]]),"Pass","Fail"))</f>
        <v>Fail</v>
      </c>
      <c r="AD392" s="1" t="str">
        <f>IF(AND(Table1[[#This Row],[Spec Type2]]="N/A",Table1[[#This Row],[DUT Adj Read]]="N/A",Table1[[#This Row],[Std Adj Read]]="N/A"),"N/A",IF(Table1[[#This Row],[DUT Adj Read]]="N/A",IF(Table1[[#This Row],[Std Adj Read]]&gt;Table1[[#This Row],[Low Tol]],"Pass","Fail"),IF(Table1[[#This Row],[DUT Adj Read]]&gt;Table1[[#This Row],[Low Tol]],"Pass","Fail")))</f>
        <v>Pass</v>
      </c>
      <c r="AE392" s="1" t="str">
        <f>IF(AND(Table1[[#This Row],[Spec Type2]]="N/A",Table1[[#This Row],[DUT Adj Read]]="N/A",Table1[[#This Row],[Std Adj Read]]="N/A"),"N/A",IF(Table1[[#This Row],[DUT Adj Read]]="N/A",IF(Table1[[#This Row],[Std Adj Read]]&lt;Table1[[#This Row],[High Tol]],"Pass","Fail"),IF(Table1[[#This Row],[DUT Adj Read]]&lt;Table1[[#This Row],[High Tol]],"Pass","Fail")))</f>
        <v>Fail</v>
      </c>
      <c r="AF392" s="1" t="str">
        <f>IF(AND(Table1[[#This Row],[Spec Type2]]="N/A",Table1[[#This Row],[DUT Adj Read]]="N/A",Table1[[#This Row],[Std Adj Read]]="N/A"),"N/A",IF(Table1[[#This Row],[DUT Adj Read]]="N/A",IF(Table1[[#This Row],[Std Adj Read]]&gt;=Table1[[#This Row],[Low Tol]],"Pass","Fail"),IF(Table1[[#This Row],[DUT Adj Read]]&gt;=Table1[[#This Row],[Low Tol]],"Pass","Fail")))</f>
        <v>Pass</v>
      </c>
      <c r="AG392" s="1" t="str">
        <f>IF(AND(Table1[[#This Row],[Spec Type2]]="N/A",Table1[[#This Row],[DUT Adj Read]]="N/A",Table1[[#This Row],[Std Adj Read]]="N/A"),"N/A",IF(Table1[[#This Row],[DUT Adj Read]]="N/A",IF(Table1[[#This Row],[Std Adj Read]]&lt;=Table1[[#This Row],[High Tol]],"Pass","Fail"),IF(Table1[[#This Row],[DUT Adj Read]]&lt;=Table1[[#This Row],[High Tol]],"Pass","Fail")))</f>
        <v>Fail</v>
      </c>
      <c r="AH3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2" s="1" t="b">
        <v>0</v>
      </c>
      <c r="AN392" s="1" t="b">
        <v>0</v>
      </c>
      <c r="AO392" s="1" t="b">
        <v>0</v>
      </c>
    </row>
    <row r="393" spans="1:41" x14ac:dyDescent="0.25">
      <c r="A393" s="10"/>
      <c r="B393" s="10"/>
      <c r="C393" s="10"/>
      <c r="D393" s="10"/>
      <c r="E393" s="10"/>
      <c r="F393" s="10"/>
      <c r="G393" s="10"/>
      <c r="H393" s="10"/>
      <c r="I393" s="1" t="str">
        <f t="shared" si="15"/>
        <v/>
      </c>
      <c r="J393" s="1" t="s">
        <v>35</v>
      </c>
      <c r="K393" s="1" t="str">
        <f t="shared" si="16"/>
        <v/>
      </c>
      <c r="L393" s="1" t="str">
        <f t="shared" si="17"/>
        <v/>
      </c>
      <c r="M393" s="1">
        <f>IF(OR(Table1[[#This Row],[Std Nom]]="",Table1[[#This Row],[Std Read]]=""),0,Table1[[#This Row],[Std Nom]]-Table1[[#This Row],[Std Read]])</f>
        <v>0</v>
      </c>
      <c r="N393" s="1">
        <f>IF(Calculations!$F$5="ACCREDITED 17025 WITH UNCERTAINTIES",$N$10,0)</f>
        <v>0</v>
      </c>
      <c r="Q393" s="1">
        <f>Table1[[#This Row],[High Tol]]-Table1[[#This Row],[Low Tol]]</f>
        <v>0</v>
      </c>
      <c r="R393" s="1">
        <f>2*Table1[[#This Row],[Std Error]]</f>
        <v>0</v>
      </c>
      <c r="S393" s="1" t="str">
        <f>IF(Table1[[#This Row],[High Tol]]="","N/A",IFERROR(ABS(Table1[[#This Row],[Tol Span]]/Table1[[#This Row],[Error Span]]),"N/A"))</f>
        <v>N/A</v>
      </c>
      <c r="T393" s="1" t="str">
        <f>IF(OR(Table1[[#This Row],[Low Tol]]="",Table1[[#This Row],[High Tol]]=""),"Needs Analysis",IF(Table1[[#This Row],[Ratio]]&gt;=4,"Not Significant",IF(Table1[[#This Row],[Ratio]]&gt;=2,"Semi-Significant","Significant")))</f>
        <v>Needs Analysis</v>
      </c>
      <c r="W393" s="1">
        <f>IF(Table1[[#This Row],[Cal Type]]&lt;&gt;"ACCREDITED 17025 WITH UNCERTAINTIES",0,"")</f>
        <v>0</v>
      </c>
      <c r="X393" s="1" t="str">
        <f>IF(Table1[[#This Row],[DUT Read]]="","N/A",Table1[[#This Row],[Std Error]]+Table1[[#This Row],[DUT Read]]+Table1[[#This Row],[DUT Ucty]])</f>
        <v>N/A</v>
      </c>
      <c r="Y393" s="1" t="str">
        <f>IF(Table1[[#This Row],[Std Read]]="","N/A",Table1[[#This Row],[Std Read]]+Table1[[#This Row],[Std Ucty]])</f>
        <v>N/A</v>
      </c>
      <c r="Z3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3" s="1" t="str">
        <f>IF(Table1[[#This Row],[Spec Type]]="","N/A",Table1[[#This Row],[Spec Type]])</f>
        <v>±</v>
      </c>
      <c r="AC393" s="1" t="str">
        <f>IF(Table1[[#This Row],[Spec Type2]]="N/A","N/A",IF(AND(Table1[[#This Row],[DUT Adj Read]]&gt;=Table1[[#This Row],[Low Tol]],Table1[[#This Row],[DUT Adj Read]]&lt;=Table1[[#This Row],[High Tol]]),"Pass","Fail"))</f>
        <v>Fail</v>
      </c>
      <c r="AD393" s="1" t="str">
        <f>IF(AND(Table1[[#This Row],[Spec Type2]]="N/A",Table1[[#This Row],[DUT Adj Read]]="N/A",Table1[[#This Row],[Std Adj Read]]="N/A"),"N/A",IF(Table1[[#This Row],[DUT Adj Read]]="N/A",IF(Table1[[#This Row],[Std Adj Read]]&gt;Table1[[#This Row],[Low Tol]],"Pass","Fail"),IF(Table1[[#This Row],[DUT Adj Read]]&gt;Table1[[#This Row],[Low Tol]],"Pass","Fail")))</f>
        <v>Pass</v>
      </c>
      <c r="AE393" s="1" t="str">
        <f>IF(AND(Table1[[#This Row],[Spec Type2]]="N/A",Table1[[#This Row],[DUT Adj Read]]="N/A",Table1[[#This Row],[Std Adj Read]]="N/A"),"N/A",IF(Table1[[#This Row],[DUT Adj Read]]="N/A",IF(Table1[[#This Row],[Std Adj Read]]&lt;Table1[[#This Row],[High Tol]],"Pass","Fail"),IF(Table1[[#This Row],[DUT Adj Read]]&lt;Table1[[#This Row],[High Tol]],"Pass","Fail")))</f>
        <v>Fail</v>
      </c>
      <c r="AF393" s="1" t="str">
        <f>IF(AND(Table1[[#This Row],[Spec Type2]]="N/A",Table1[[#This Row],[DUT Adj Read]]="N/A",Table1[[#This Row],[Std Adj Read]]="N/A"),"N/A",IF(Table1[[#This Row],[DUT Adj Read]]="N/A",IF(Table1[[#This Row],[Std Adj Read]]&gt;=Table1[[#This Row],[Low Tol]],"Pass","Fail"),IF(Table1[[#This Row],[DUT Adj Read]]&gt;=Table1[[#This Row],[Low Tol]],"Pass","Fail")))</f>
        <v>Pass</v>
      </c>
      <c r="AG393" s="1" t="str">
        <f>IF(AND(Table1[[#This Row],[Spec Type2]]="N/A",Table1[[#This Row],[DUT Adj Read]]="N/A",Table1[[#This Row],[Std Adj Read]]="N/A"),"N/A",IF(Table1[[#This Row],[DUT Adj Read]]="N/A",IF(Table1[[#This Row],[Std Adj Read]]&lt;=Table1[[#This Row],[High Tol]],"Pass","Fail"),IF(Table1[[#This Row],[DUT Adj Read]]&lt;=Table1[[#This Row],[High Tol]],"Pass","Fail")))</f>
        <v>Fail</v>
      </c>
      <c r="AH3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3" s="1" t="b">
        <v>0</v>
      </c>
      <c r="AN393" s="1" t="b">
        <v>0</v>
      </c>
      <c r="AO393" s="1" t="b">
        <v>0</v>
      </c>
    </row>
    <row r="394" spans="1:41" x14ac:dyDescent="0.25">
      <c r="A394" s="10"/>
      <c r="B394" s="10"/>
      <c r="C394" s="10"/>
      <c r="D394" s="10"/>
      <c r="E394" s="10"/>
      <c r="F394" s="10"/>
      <c r="G394" s="10"/>
      <c r="H394" s="10"/>
      <c r="I394" s="1" t="str">
        <f t="shared" si="15"/>
        <v/>
      </c>
      <c r="J394" s="1" t="s">
        <v>35</v>
      </c>
      <c r="K394" s="1" t="str">
        <f t="shared" si="16"/>
        <v/>
      </c>
      <c r="L394" s="1" t="str">
        <f t="shared" si="17"/>
        <v/>
      </c>
      <c r="M394" s="1">
        <f>IF(OR(Table1[[#This Row],[Std Nom]]="",Table1[[#This Row],[Std Read]]=""),0,Table1[[#This Row],[Std Nom]]-Table1[[#This Row],[Std Read]])</f>
        <v>0</v>
      </c>
      <c r="N394" s="1">
        <f>IF(Calculations!$F$5="ACCREDITED 17025 WITH UNCERTAINTIES",$N$10,0)</f>
        <v>0</v>
      </c>
      <c r="Q394" s="1">
        <f>Table1[[#This Row],[High Tol]]-Table1[[#This Row],[Low Tol]]</f>
        <v>0</v>
      </c>
      <c r="R394" s="1">
        <f>2*Table1[[#This Row],[Std Error]]</f>
        <v>0</v>
      </c>
      <c r="S394" s="1" t="str">
        <f>IF(Table1[[#This Row],[High Tol]]="","N/A",IFERROR(ABS(Table1[[#This Row],[Tol Span]]/Table1[[#This Row],[Error Span]]),"N/A"))</f>
        <v>N/A</v>
      </c>
      <c r="T394" s="1" t="str">
        <f>IF(OR(Table1[[#This Row],[Low Tol]]="",Table1[[#This Row],[High Tol]]=""),"Needs Analysis",IF(Table1[[#This Row],[Ratio]]&gt;=4,"Not Significant",IF(Table1[[#This Row],[Ratio]]&gt;=2,"Semi-Significant","Significant")))</f>
        <v>Needs Analysis</v>
      </c>
      <c r="W394" s="1">
        <f>IF(Table1[[#This Row],[Cal Type]]&lt;&gt;"ACCREDITED 17025 WITH UNCERTAINTIES",0,"")</f>
        <v>0</v>
      </c>
      <c r="X394" s="1" t="str">
        <f>IF(Table1[[#This Row],[DUT Read]]="","N/A",Table1[[#This Row],[Std Error]]+Table1[[#This Row],[DUT Read]]+Table1[[#This Row],[DUT Ucty]])</f>
        <v>N/A</v>
      </c>
      <c r="Y394" s="1" t="str">
        <f>IF(Table1[[#This Row],[Std Read]]="","N/A",Table1[[#This Row],[Std Read]]+Table1[[#This Row],[Std Ucty]])</f>
        <v>N/A</v>
      </c>
      <c r="Z3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4" s="1" t="str">
        <f>IF(Table1[[#This Row],[Spec Type]]="","N/A",Table1[[#This Row],[Spec Type]])</f>
        <v>±</v>
      </c>
      <c r="AC394" s="1" t="str">
        <f>IF(Table1[[#This Row],[Spec Type2]]="N/A","N/A",IF(AND(Table1[[#This Row],[DUT Adj Read]]&gt;=Table1[[#This Row],[Low Tol]],Table1[[#This Row],[DUT Adj Read]]&lt;=Table1[[#This Row],[High Tol]]),"Pass","Fail"))</f>
        <v>Fail</v>
      </c>
      <c r="AD394" s="1" t="str">
        <f>IF(AND(Table1[[#This Row],[Spec Type2]]="N/A",Table1[[#This Row],[DUT Adj Read]]="N/A",Table1[[#This Row],[Std Adj Read]]="N/A"),"N/A",IF(Table1[[#This Row],[DUT Adj Read]]="N/A",IF(Table1[[#This Row],[Std Adj Read]]&gt;Table1[[#This Row],[Low Tol]],"Pass","Fail"),IF(Table1[[#This Row],[DUT Adj Read]]&gt;Table1[[#This Row],[Low Tol]],"Pass","Fail")))</f>
        <v>Pass</v>
      </c>
      <c r="AE394" s="1" t="str">
        <f>IF(AND(Table1[[#This Row],[Spec Type2]]="N/A",Table1[[#This Row],[DUT Adj Read]]="N/A",Table1[[#This Row],[Std Adj Read]]="N/A"),"N/A",IF(Table1[[#This Row],[DUT Adj Read]]="N/A",IF(Table1[[#This Row],[Std Adj Read]]&lt;Table1[[#This Row],[High Tol]],"Pass","Fail"),IF(Table1[[#This Row],[DUT Adj Read]]&lt;Table1[[#This Row],[High Tol]],"Pass","Fail")))</f>
        <v>Fail</v>
      </c>
      <c r="AF394" s="1" t="str">
        <f>IF(AND(Table1[[#This Row],[Spec Type2]]="N/A",Table1[[#This Row],[DUT Adj Read]]="N/A",Table1[[#This Row],[Std Adj Read]]="N/A"),"N/A",IF(Table1[[#This Row],[DUT Adj Read]]="N/A",IF(Table1[[#This Row],[Std Adj Read]]&gt;=Table1[[#This Row],[Low Tol]],"Pass","Fail"),IF(Table1[[#This Row],[DUT Adj Read]]&gt;=Table1[[#This Row],[Low Tol]],"Pass","Fail")))</f>
        <v>Pass</v>
      </c>
      <c r="AG394" s="1" t="str">
        <f>IF(AND(Table1[[#This Row],[Spec Type2]]="N/A",Table1[[#This Row],[DUT Adj Read]]="N/A",Table1[[#This Row],[Std Adj Read]]="N/A"),"N/A",IF(Table1[[#This Row],[DUT Adj Read]]="N/A",IF(Table1[[#This Row],[Std Adj Read]]&lt;=Table1[[#This Row],[High Tol]],"Pass","Fail"),IF(Table1[[#This Row],[DUT Adj Read]]&lt;=Table1[[#This Row],[High Tol]],"Pass","Fail")))</f>
        <v>Fail</v>
      </c>
      <c r="AH3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4" s="1" t="b">
        <v>0</v>
      </c>
      <c r="AN394" s="1" t="b">
        <v>0</v>
      </c>
      <c r="AO394" s="1" t="b">
        <v>0</v>
      </c>
    </row>
    <row r="395" spans="1:41" x14ac:dyDescent="0.25">
      <c r="A395" s="10"/>
      <c r="B395" s="10"/>
      <c r="C395" s="10"/>
      <c r="D395" s="10"/>
      <c r="E395" s="10"/>
      <c r="F395" s="10"/>
      <c r="G395" s="10"/>
      <c r="H395" s="10"/>
      <c r="I395" s="1" t="str">
        <f t="shared" ref="I395:I458" si="18">IF($I$10="","",$I$10)</f>
        <v/>
      </c>
      <c r="J395" s="1" t="s">
        <v>35</v>
      </c>
      <c r="K395" s="1" t="str">
        <f t="shared" ref="K395:K458" si="19">IF($K$10="","",$K$10)</f>
        <v/>
      </c>
      <c r="L395" s="1" t="str">
        <f t="shared" ref="L395:L458" si="20">IF($L$10="","",$L$10)</f>
        <v/>
      </c>
      <c r="M395" s="1">
        <f>IF(OR(Table1[[#This Row],[Std Nom]]="",Table1[[#This Row],[Std Read]]=""),0,Table1[[#This Row],[Std Nom]]-Table1[[#This Row],[Std Read]])</f>
        <v>0</v>
      </c>
      <c r="N395" s="1">
        <f>IF(Calculations!$F$5="ACCREDITED 17025 WITH UNCERTAINTIES",$N$10,0)</f>
        <v>0</v>
      </c>
      <c r="Q395" s="1">
        <f>Table1[[#This Row],[High Tol]]-Table1[[#This Row],[Low Tol]]</f>
        <v>0</v>
      </c>
      <c r="R395" s="1">
        <f>2*Table1[[#This Row],[Std Error]]</f>
        <v>0</v>
      </c>
      <c r="S395" s="1" t="str">
        <f>IF(Table1[[#This Row],[High Tol]]="","N/A",IFERROR(ABS(Table1[[#This Row],[Tol Span]]/Table1[[#This Row],[Error Span]]),"N/A"))</f>
        <v>N/A</v>
      </c>
      <c r="T395" s="1" t="str">
        <f>IF(OR(Table1[[#This Row],[Low Tol]]="",Table1[[#This Row],[High Tol]]=""),"Needs Analysis",IF(Table1[[#This Row],[Ratio]]&gt;=4,"Not Significant",IF(Table1[[#This Row],[Ratio]]&gt;=2,"Semi-Significant","Significant")))</f>
        <v>Needs Analysis</v>
      </c>
      <c r="W395" s="1">
        <f>IF(Table1[[#This Row],[Cal Type]]&lt;&gt;"ACCREDITED 17025 WITH UNCERTAINTIES",0,"")</f>
        <v>0</v>
      </c>
      <c r="X395" s="1" t="str">
        <f>IF(Table1[[#This Row],[DUT Read]]="","N/A",Table1[[#This Row],[Std Error]]+Table1[[#This Row],[DUT Read]]+Table1[[#This Row],[DUT Ucty]])</f>
        <v>N/A</v>
      </c>
      <c r="Y395" s="1" t="str">
        <f>IF(Table1[[#This Row],[Std Read]]="","N/A",Table1[[#This Row],[Std Read]]+Table1[[#This Row],[Std Ucty]])</f>
        <v>N/A</v>
      </c>
      <c r="Z3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5" s="1" t="str">
        <f>IF(Table1[[#This Row],[Spec Type]]="","N/A",Table1[[#This Row],[Spec Type]])</f>
        <v>±</v>
      </c>
      <c r="AC395" s="1" t="str">
        <f>IF(Table1[[#This Row],[Spec Type2]]="N/A","N/A",IF(AND(Table1[[#This Row],[DUT Adj Read]]&gt;=Table1[[#This Row],[Low Tol]],Table1[[#This Row],[DUT Adj Read]]&lt;=Table1[[#This Row],[High Tol]]),"Pass","Fail"))</f>
        <v>Fail</v>
      </c>
      <c r="AD395" s="1" t="str">
        <f>IF(AND(Table1[[#This Row],[Spec Type2]]="N/A",Table1[[#This Row],[DUT Adj Read]]="N/A",Table1[[#This Row],[Std Adj Read]]="N/A"),"N/A",IF(Table1[[#This Row],[DUT Adj Read]]="N/A",IF(Table1[[#This Row],[Std Adj Read]]&gt;Table1[[#This Row],[Low Tol]],"Pass","Fail"),IF(Table1[[#This Row],[DUT Adj Read]]&gt;Table1[[#This Row],[Low Tol]],"Pass","Fail")))</f>
        <v>Pass</v>
      </c>
      <c r="AE395" s="1" t="str">
        <f>IF(AND(Table1[[#This Row],[Spec Type2]]="N/A",Table1[[#This Row],[DUT Adj Read]]="N/A",Table1[[#This Row],[Std Adj Read]]="N/A"),"N/A",IF(Table1[[#This Row],[DUT Adj Read]]="N/A",IF(Table1[[#This Row],[Std Adj Read]]&lt;Table1[[#This Row],[High Tol]],"Pass","Fail"),IF(Table1[[#This Row],[DUT Adj Read]]&lt;Table1[[#This Row],[High Tol]],"Pass","Fail")))</f>
        <v>Fail</v>
      </c>
      <c r="AF395" s="1" t="str">
        <f>IF(AND(Table1[[#This Row],[Spec Type2]]="N/A",Table1[[#This Row],[DUT Adj Read]]="N/A",Table1[[#This Row],[Std Adj Read]]="N/A"),"N/A",IF(Table1[[#This Row],[DUT Adj Read]]="N/A",IF(Table1[[#This Row],[Std Adj Read]]&gt;=Table1[[#This Row],[Low Tol]],"Pass","Fail"),IF(Table1[[#This Row],[DUT Adj Read]]&gt;=Table1[[#This Row],[Low Tol]],"Pass","Fail")))</f>
        <v>Pass</v>
      </c>
      <c r="AG395" s="1" t="str">
        <f>IF(AND(Table1[[#This Row],[Spec Type2]]="N/A",Table1[[#This Row],[DUT Adj Read]]="N/A",Table1[[#This Row],[Std Adj Read]]="N/A"),"N/A",IF(Table1[[#This Row],[DUT Adj Read]]="N/A",IF(Table1[[#This Row],[Std Adj Read]]&lt;=Table1[[#This Row],[High Tol]],"Pass","Fail"),IF(Table1[[#This Row],[DUT Adj Read]]&lt;=Table1[[#This Row],[High Tol]],"Pass","Fail")))</f>
        <v>Fail</v>
      </c>
      <c r="AH3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5" s="1" t="b">
        <v>0</v>
      </c>
      <c r="AN395" s="1" t="b">
        <v>0</v>
      </c>
      <c r="AO395" s="1" t="b">
        <v>0</v>
      </c>
    </row>
    <row r="396" spans="1:41" x14ac:dyDescent="0.25">
      <c r="A396" s="10"/>
      <c r="B396" s="10"/>
      <c r="C396" s="10"/>
      <c r="D396" s="10"/>
      <c r="E396" s="10"/>
      <c r="F396" s="10"/>
      <c r="G396" s="10"/>
      <c r="H396" s="10"/>
      <c r="I396" s="1" t="str">
        <f t="shared" si="18"/>
        <v/>
      </c>
      <c r="J396" s="1" t="s">
        <v>35</v>
      </c>
      <c r="K396" s="1" t="str">
        <f t="shared" si="19"/>
        <v/>
      </c>
      <c r="L396" s="1" t="str">
        <f t="shared" si="20"/>
        <v/>
      </c>
      <c r="M396" s="1">
        <f>IF(OR(Table1[[#This Row],[Std Nom]]="",Table1[[#This Row],[Std Read]]=""),0,Table1[[#This Row],[Std Nom]]-Table1[[#This Row],[Std Read]])</f>
        <v>0</v>
      </c>
      <c r="N396" s="1">
        <f>IF(Calculations!$F$5="ACCREDITED 17025 WITH UNCERTAINTIES",$N$10,0)</f>
        <v>0</v>
      </c>
      <c r="Q396" s="1">
        <f>Table1[[#This Row],[High Tol]]-Table1[[#This Row],[Low Tol]]</f>
        <v>0</v>
      </c>
      <c r="R396" s="1">
        <f>2*Table1[[#This Row],[Std Error]]</f>
        <v>0</v>
      </c>
      <c r="S396" s="1" t="str">
        <f>IF(Table1[[#This Row],[High Tol]]="","N/A",IFERROR(ABS(Table1[[#This Row],[Tol Span]]/Table1[[#This Row],[Error Span]]),"N/A"))</f>
        <v>N/A</v>
      </c>
      <c r="T396" s="1" t="str">
        <f>IF(OR(Table1[[#This Row],[Low Tol]]="",Table1[[#This Row],[High Tol]]=""),"Needs Analysis",IF(Table1[[#This Row],[Ratio]]&gt;=4,"Not Significant",IF(Table1[[#This Row],[Ratio]]&gt;=2,"Semi-Significant","Significant")))</f>
        <v>Needs Analysis</v>
      </c>
      <c r="W396" s="1">
        <f>IF(Table1[[#This Row],[Cal Type]]&lt;&gt;"ACCREDITED 17025 WITH UNCERTAINTIES",0,"")</f>
        <v>0</v>
      </c>
      <c r="X396" s="1" t="str">
        <f>IF(Table1[[#This Row],[DUT Read]]="","N/A",Table1[[#This Row],[Std Error]]+Table1[[#This Row],[DUT Read]]+Table1[[#This Row],[DUT Ucty]])</f>
        <v>N/A</v>
      </c>
      <c r="Y396" s="1" t="str">
        <f>IF(Table1[[#This Row],[Std Read]]="","N/A",Table1[[#This Row],[Std Read]]+Table1[[#This Row],[Std Ucty]])</f>
        <v>N/A</v>
      </c>
      <c r="Z3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6" s="1" t="str">
        <f>IF(Table1[[#This Row],[Spec Type]]="","N/A",Table1[[#This Row],[Spec Type]])</f>
        <v>±</v>
      </c>
      <c r="AC396" s="1" t="str">
        <f>IF(Table1[[#This Row],[Spec Type2]]="N/A","N/A",IF(AND(Table1[[#This Row],[DUT Adj Read]]&gt;=Table1[[#This Row],[Low Tol]],Table1[[#This Row],[DUT Adj Read]]&lt;=Table1[[#This Row],[High Tol]]),"Pass","Fail"))</f>
        <v>Fail</v>
      </c>
      <c r="AD396" s="1" t="str">
        <f>IF(AND(Table1[[#This Row],[Spec Type2]]="N/A",Table1[[#This Row],[DUT Adj Read]]="N/A",Table1[[#This Row],[Std Adj Read]]="N/A"),"N/A",IF(Table1[[#This Row],[DUT Adj Read]]="N/A",IF(Table1[[#This Row],[Std Adj Read]]&gt;Table1[[#This Row],[Low Tol]],"Pass","Fail"),IF(Table1[[#This Row],[DUT Adj Read]]&gt;Table1[[#This Row],[Low Tol]],"Pass","Fail")))</f>
        <v>Pass</v>
      </c>
      <c r="AE396" s="1" t="str">
        <f>IF(AND(Table1[[#This Row],[Spec Type2]]="N/A",Table1[[#This Row],[DUT Adj Read]]="N/A",Table1[[#This Row],[Std Adj Read]]="N/A"),"N/A",IF(Table1[[#This Row],[DUT Adj Read]]="N/A",IF(Table1[[#This Row],[Std Adj Read]]&lt;Table1[[#This Row],[High Tol]],"Pass","Fail"),IF(Table1[[#This Row],[DUT Adj Read]]&lt;Table1[[#This Row],[High Tol]],"Pass","Fail")))</f>
        <v>Fail</v>
      </c>
      <c r="AF396" s="1" t="str">
        <f>IF(AND(Table1[[#This Row],[Spec Type2]]="N/A",Table1[[#This Row],[DUT Adj Read]]="N/A",Table1[[#This Row],[Std Adj Read]]="N/A"),"N/A",IF(Table1[[#This Row],[DUT Adj Read]]="N/A",IF(Table1[[#This Row],[Std Adj Read]]&gt;=Table1[[#This Row],[Low Tol]],"Pass","Fail"),IF(Table1[[#This Row],[DUT Adj Read]]&gt;=Table1[[#This Row],[Low Tol]],"Pass","Fail")))</f>
        <v>Pass</v>
      </c>
      <c r="AG396" s="1" t="str">
        <f>IF(AND(Table1[[#This Row],[Spec Type2]]="N/A",Table1[[#This Row],[DUT Adj Read]]="N/A",Table1[[#This Row],[Std Adj Read]]="N/A"),"N/A",IF(Table1[[#This Row],[DUT Adj Read]]="N/A",IF(Table1[[#This Row],[Std Adj Read]]&lt;=Table1[[#This Row],[High Tol]],"Pass","Fail"),IF(Table1[[#This Row],[DUT Adj Read]]&lt;=Table1[[#This Row],[High Tol]],"Pass","Fail")))</f>
        <v>Fail</v>
      </c>
      <c r="AH3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6" s="1" t="b">
        <v>0</v>
      </c>
      <c r="AN396" s="1" t="b">
        <v>0</v>
      </c>
      <c r="AO396" s="1" t="b">
        <v>0</v>
      </c>
    </row>
    <row r="397" spans="1:41" x14ac:dyDescent="0.25">
      <c r="A397" s="10"/>
      <c r="B397" s="10"/>
      <c r="C397" s="10"/>
      <c r="D397" s="10"/>
      <c r="E397" s="10"/>
      <c r="F397" s="10"/>
      <c r="G397" s="10"/>
      <c r="H397" s="10"/>
      <c r="I397" s="1" t="str">
        <f t="shared" si="18"/>
        <v/>
      </c>
      <c r="J397" s="1" t="s">
        <v>35</v>
      </c>
      <c r="K397" s="1" t="str">
        <f t="shared" si="19"/>
        <v/>
      </c>
      <c r="L397" s="1" t="str">
        <f t="shared" si="20"/>
        <v/>
      </c>
      <c r="M397" s="1">
        <f>IF(OR(Table1[[#This Row],[Std Nom]]="",Table1[[#This Row],[Std Read]]=""),0,Table1[[#This Row],[Std Nom]]-Table1[[#This Row],[Std Read]])</f>
        <v>0</v>
      </c>
      <c r="N397" s="1">
        <f>IF(Calculations!$F$5="ACCREDITED 17025 WITH UNCERTAINTIES",$N$10,0)</f>
        <v>0</v>
      </c>
      <c r="Q397" s="1">
        <f>Table1[[#This Row],[High Tol]]-Table1[[#This Row],[Low Tol]]</f>
        <v>0</v>
      </c>
      <c r="R397" s="1">
        <f>2*Table1[[#This Row],[Std Error]]</f>
        <v>0</v>
      </c>
      <c r="S397" s="1" t="str">
        <f>IF(Table1[[#This Row],[High Tol]]="","N/A",IFERROR(ABS(Table1[[#This Row],[Tol Span]]/Table1[[#This Row],[Error Span]]),"N/A"))</f>
        <v>N/A</v>
      </c>
      <c r="T397" s="1" t="str">
        <f>IF(OR(Table1[[#This Row],[Low Tol]]="",Table1[[#This Row],[High Tol]]=""),"Needs Analysis",IF(Table1[[#This Row],[Ratio]]&gt;=4,"Not Significant",IF(Table1[[#This Row],[Ratio]]&gt;=2,"Semi-Significant","Significant")))</f>
        <v>Needs Analysis</v>
      </c>
      <c r="W397" s="1">
        <f>IF(Table1[[#This Row],[Cal Type]]&lt;&gt;"ACCREDITED 17025 WITH UNCERTAINTIES",0,"")</f>
        <v>0</v>
      </c>
      <c r="X397" s="1" t="str">
        <f>IF(Table1[[#This Row],[DUT Read]]="","N/A",Table1[[#This Row],[Std Error]]+Table1[[#This Row],[DUT Read]]+Table1[[#This Row],[DUT Ucty]])</f>
        <v>N/A</v>
      </c>
      <c r="Y397" s="1" t="str">
        <f>IF(Table1[[#This Row],[Std Read]]="","N/A",Table1[[#This Row],[Std Read]]+Table1[[#This Row],[Std Ucty]])</f>
        <v>N/A</v>
      </c>
      <c r="Z3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7" s="1" t="str">
        <f>IF(Table1[[#This Row],[Spec Type]]="","N/A",Table1[[#This Row],[Spec Type]])</f>
        <v>±</v>
      </c>
      <c r="AC397" s="1" t="str">
        <f>IF(Table1[[#This Row],[Spec Type2]]="N/A","N/A",IF(AND(Table1[[#This Row],[DUT Adj Read]]&gt;=Table1[[#This Row],[Low Tol]],Table1[[#This Row],[DUT Adj Read]]&lt;=Table1[[#This Row],[High Tol]]),"Pass","Fail"))</f>
        <v>Fail</v>
      </c>
      <c r="AD397" s="1" t="str">
        <f>IF(AND(Table1[[#This Row],[Spec Type2]]="N/A",Table1[[#This Row],[DUT Adj Read]]="N/A",Table1[[#This Row],[Std Adj Read]]="N/A"),"N/A",IF(Table1[[#This Row],[DUT Adj Read]]="N/A",IF(Table1[[#This Row],[Std Adj Read]]&gt;Table1[[#This Row],[Low Tol]],"Pass","Fail"),IF(Table1[[#This Row],[DUT Adj Read]]&gt;Table1[[#This Row],[Low Tol]],"Pass","Fail")))</f>
        <v>Pass</v>
      </c>
      <c r="AE397" s="1" t="str">
        <f>IF(AND(Table1[[#This Row],[Spec Type2]]="N/A",Table1[[#This Row],[DUT Adj Read]]="N/A",Table1[[#This Row],[Std Adj Read]]="N/A"),"N/A",IF(Table1[[#This Row],[DUT Adj Read]]="N/A",IF(Table1[[#This Row],[Std Adj Read]]&lt;Table1[[#This Row],[High Tol]],"Pass","Fail"),IF(Table1[[#This Row],[DUT Adj Read]]&lt;Table1[[#This Row],[High Tol]],"Pass","Fail")))</f>
        <v>Fail</v>
      </c>
      <c r="AF397" s="1" t="str">
        <f>IF(AND(Table1[[#This Row],[Spec Type2]]="N/A",Table1[[#This Row],[DUT Adj Read]]="N/A",Table1[[#This Row],[Std Adj Read]]="N/A"),"N/A",IF(Table1[[#This Row],[DUT Adj Read]]="N/A",IF(Table1[[#This Row],[Std Adj Read]]&gt;=Table1[[#This Row],[Low Tol]],"Pass","Fail"),IF(Table1[[#This Row],[DUT Adj Read]]&gt;=Table1[[#This Row],[Low Tol]],"Pass","Fail")))</f>
        <v>Pass</v>
      </c>
      <c r="AG397" s="1" t="str">
        <f>IF(AND(Table1[[#This Row],[Spec Type2]]="N/A",Table1[[#This Row],[DUT Adj Read]]="N/A",Table1[[#This Row],[Std Adj Read]]="N/A"),"N/A",IF(Table1[[#This Row],[DUT Adj Read]]="N/A",IF(Table1[[#This Row],[Std Adj Read]]&lt;=Table1[[#This Row],[High Tol]],"Pass","Fail"),IF(Table1[[#This Row],[DUT Adj Read]]&lt;=Table1[[#This Row],[High Tol]],"Pass","Fail")))</f>
        <v>Fail</v>
      </c>
      <c r="AH3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7" s="1" t="b">
        <v>0</v>
      </c>
      <c r="AN397" s="1" t="b">
        <v>0</v>
      </c>
      <c r="AO397" s="1" t="b">
        <v>0</v>
      </c>
    </row>
    <row r="398" spans="1:41" x14ac:dyDescent="0.25">
      <c r="A398" s="10"/>
      <c r="B398" s="10"/>
      <c r="C398" s="10"/>
      <c r="D398" s="10"/>
      <c r="E398" s="10"/>
      <c r="F398" s="10"/>
      <c r="G398" s="10"/>
      <c r="H398" s="10"/>
      <c r="I398" s="1" t="str">
        <f t="shared" si="18"/>
        <v/>
      </c>
      <c r="J398" s="1" t="s">
        <v>35</v>
      </c>
      <c r="K398" s="1" t="str">
        <f t="shared" si="19"/>
        <v/>
      </c>
      <c r="L398" s="1" t="str">
        <f t="shared" si="20"/>
        <v/>
      </c>
      <c r="M398" s="1">
        <f>IF(OR(Table1[[#This Row],[Std Nom]]="",Table1[[#This Row],[Std Read]]=""),0,Table1[[#This Row],[Std Nom]]-Table1[[#This Row],[Std Read]])</f>
        <v>0</v>
      </c>
      <c r="N398" s="1">
        <f>IF(Calculations!$F$5="ACCREDITED 17025 WITH UNCERTAINTIES",$N$10,0)</f>
        <v>0</v>
      </c>
      <c r="Q398" s="1">
        <f>Table1[[#This Row],[High Tol]]-Table1[[#This Row],[Low Tol]]</f>
        <v>0</v>
      </c>
      <c r="R398" s="1">
        <f>2*Table1[[#This Row],[Std Error]]</f>
        <v>0</v>
      </c>
      <c r="S398" s="1" t="str">
        <f>IF(Table1[[#This Row],[High Tol]]="","N/A",IFERROR(ABS(Table1[[#This Row],[Tol Span]]/Table1[[#This Row],[Error Span]]),"N/A"))</f>
        <v>N/A</v>
      </c>
      <c r="T398" s="1" t="str">
        <f>IF(OR(Table1[[#This Row],[Low Tol]]="",Table1[[#This Row],[High Tol]]=""),"Needs Analysis",IF(Table1[[#This Row],[Ratio]]&gt;=4,"Not Significant",IF(Table1[[#This Row],[Ratio]]&gt;=2,"Semi-Significant","Significant")))</f>
        <v>Needs Analysis</v>
      </c>
      <c r="W398" s="1">
        <f>IF(Table1[[#This Row],[Cal Type]]&lt;&gt;"ACCREDITED 17025 WITH UNCERTAINTIES",0,"")</f>
        <v>0</v>
      </c>
      <c r="X398" s="1" t="str">
        <f>IF(Table1[[#This Row],[DUT Read]]="","N/A",Table1[[#This Row],[Std Error]]+Table1[[#This Row],[DUT Read]]+Table1[[#This Row],[DUT Ucty]])</f>
        <v>N/A</v>
      </c>
      <c r="Y398" s="1" t="str">
        <f>IF(Table1[[#This Row],[Std Read]]="","N/A",Table1[[#This Row],[Std Read]]+Table1[[#This Row],[Std Ucty]])</f>
        <v>N/A</v>
      </c>
      <c r="Z3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8" s="1" t="str">
        <f>IF(Table1[[#This Row],[Spec Type]]="","N/A",Table1[[#This Row],[Spec Type]])</f>
        <v>±</v>
      </c>
      <c r="AC398" s="1" t="str">
        <f>IF(Table1[[#This Row],[Spec Type2]]="N/A","N/A",IF(AND(Table1[[#This Row],[DUT Adj Read]]&gt;=Table1[[#This Row],[Low Tol]],Table1[[#This Row],[DUT Adj Read]]&lt;=Table1[[#This Row],[High Tol]]),"Pass","Fail"))</f>
        <v>Fail</v>
      </c>
      <c r="AD398" s="1" t="str">
        <f>IF(AND(Table1[[#This Row],[Spec Type2]]="N/A",Table1[[#This Row],[DUT Adj Read]]="N/A",Table1[[#This Row],[Std Adj Read]]="N/A"),"N/A",IF(Table1[[#This Row],[DUT Adj Read]]="N/A",IF(Table1[[#This Row],[Std Adj Read]]&gt;Table1[[#This Row],[Low Tol]],"Pass","Fail"),IF(Table1[[#This Row],[DUT Adj Read]]&gt;Table1[[#This Row],[Low Tol]],"Pass","Fail")))</f>
        <v>Pass</v>
      </c>
      <c r="AE398" s="1" t="str">
        <f>IF(AND(Table1[[#This Row],[Spec Type2]]="N/A",Table1[[#This Row],[DUT Adj Read]]="N/A",Table1[[#This Row],[Std Adj Read]]="N/A"),"N/A",IF(Table1[[#This Row],[DUT Adj Read]]="N/A",IF(Table1[[#This Row],[Std Adj Read]]&lt;Table1[[#This Row],[High Tol]],"Pass","Fail"),IF(Table1[[#This Row],[DUT Adj Read]]&lt;Table1[[#This Row],[High Tol]],"Pass","Fail")))</f>
        <v>Fail</v>
      </c>
      <c r="AF398" s="1" t="str">
        <f>IF(AND(Table1[[#This Row],[Spec Type2]]="N/A",Table1[[#This Row],[DUT Adj Read]]="N/A",Table1[[#This Row],[Std Adj Read]]="N/A"),"N/A",IF(Table1[[#This Row],[DUT Adj Read]]="N/A",IF(Table1[[#This Row],[Std Adj Read]]&gt;=Table1[[#This Row],[Low Tol]],"Pass","Fail"),IF(Table1[[#This Row],[DUT Adj Read]]&gt;=Table1[[#This Row],[Low Tol]],"Pass","Fail")))</f>
        <v>Pass</v>
      </c>
      <c r="AG398" s="1" t="str">
        <f>IF(AND(Table1[[#This Row],[Spec Type2]]="N/A",Table1[[#This Row],[DUT Adj Read]]="N/A",Table1[[#This Row],[Std Adj Read]]="N/A"),"N/A",IF(Table1[[#This Row],[DUT Adj Read]]="N/A",IF(Table1[[#This Row],[Std Adj Read]]&lt;=Table1[[#This Row],[High Tol]],"Pass","Fail"),IF(Table1[[#This Row],[DUT Adj Read]]&lt;=Table1[[#This Row],[High Tol]],"Pass","Fail")))</f>
        <v>Fail</v>
      </c>
      <c r="AH3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8" s="1" t="b">
        <v>0</v>
      </c>
      <c r="AN398" s="1" t="b">
        <v>0</v>
      </c>
      <c r="AO398" s="1" t="b">
        <v>0</v>
      </c>
    </row>
    <row r="399" spans="1:41" x14ac:dyDescent="0.25">
      <c r="A399" s="10"/>
      <c r="B399" s="10"/>
      <c r="C399" s="10"/>
      <c r="D399" s="10"/>
      <c r="E399" s="10"/>
      <c r="F399" s="10"/>
      <c r="G399" s="10"/>
      <c r="H399" s="10"/>
      <c r="I399" s="1" t="str">
        <f t="shared" si="18"/>
        <v/>
      </c>
      <c r="J399" s="1" t="s">
        <v>35</v>
      </c>
      <c r="K399" s="1" t="str">
        <f t="shared" si="19"/>
        <v/>
      </c>
      <c r="L399" s="1" t="str">
        <f t="shared" si="20"/>
        <v/>
      </c>
      <c r="M399" s="1">
        <f>IF(OR(Table1[[#This Row],[Std Nom]]="",Table1[[#This Row],[Std Read]]=""),0,Table1[[#This Row],[Std Nom]]-Table1[[#This Row],[Std Read]])</f>
        <v>0</v>
      </c>
      <c r="N399" s="1">
        <f>IF(Calculations!$F$5="ACCREDITED 17025 WITH UNCERTAINTIES",$N$10,0)</f>
        <v>0</v>
      </c>
      <c r="Q399" s="1">
        <f>Table1[[#This Row],[High Tol]]-Table1[[#This Row],[Low Tol]]</f>
        <v>0</v>
      </c>
      <c r="R399" s="1">
        <f>2*Table1[[#This Row],[Std Error]]</f>
        <v>0</v>
      </c>
      <c r="S399" s="1" t="str">
        <f>IF(Table1[[#This Row],[High Tol]]="","N/A",IFERROR(ABS(Table1[[#This Row],[Tol Span]]/Table1[[#This Row],[Error Span]]),"N/A"))</f>
        <v>N/A</v>
      </c>
      <c r="T399" s="1" t="str">
        <f>IF(OR(Table1[[#This Row],[Low Tol]]="",Table1[[#This Row],[High Tol]]=""),"Needs Analysis",IF(Table1[[#This Row],[Ratio]]&gt;=4,"Not Significant",IF(Table1[[#This Row],[Ratio]]&gt;=2,"Semi-Significant","Significant")))</f>
        <v>Needs Analysis</v>
      </c>
      <c r="W399" s="1">
        <f>IF(Table1[[#This Row],[Cal Type]]&lt;&gt;"ACCREDITED 17025 WITH UNCERTAINTIES",0,"")</f>
        <v>0</v>
      </c>
      <c r="X399" s="1" t="str">
        <f>IF(Table1[[#This Row],[DUT Read]]="","N/A",Table1[[#This Row],[Std Error]]+Table1[[#This Row],[DUT Read]]+Table1[[#This Row],[DUT Ucty]])</f>
        <v>N/A</v>
      </c>
      <c r="Y399" s="1" t="str">
        <f>IF(Table1[[#This Row],[Std Read]]="","N/A",Table1[[#This Row],[Std Read]]+Table1[[#This Row],[Std Ucty]])</f>
        <v>N/A</v>
      </c>
      <c r="Z3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99" s="1" t="str">
        <f>IF(Table1[[#This Row],[Spec Type]]="","N/A",Table1[[#This Row],[Spec Type]])</f>
        <v>±</v>
      </c>
      <c r="AC399" s="1" t="str">
        <f>IF(Table1[[#This Row],[Spec Type2]]="N/A","N/A",IF(AND(Table1[[#This Row],[DUT Adj Read]]&gt;=Table1[[#This Row],[Low Tol]],Table1[[#This Row],[DUT Adj Read]]&lt;=Table1[[#This Row],[High Tol]]),"Pass","Fail"))</f>
        <v>Fail</v>
      </c>
      <c r="AD399" s="1" t="str">
        <f>IF(AND(Table1[[#This Row],[Spec Type2]]="N/A",Table1[[#This Row],[DUT Adj Read]]="N/A",Table1[[#This Row],[Std Adj Read]]="N/A"),"N/A",IF(Table1[[#This Row],[DUT Adj Read]]="N/A",IF(Table1[[#This Row],[Std Adj Read]]&gt;Table1[[#This Row],[Low Tol]],"Pass","Fail"),IF(Table1[[#This Row],[DUT Adj Read]]&gt;Table1[[#This Row],[Low Tol]],"Pass","Fail")))</f>
        <v>Pass</v>
      </c>
      <c r="AE399" s="1" t="str">
        <f>IF(AND(Table1[[#This Row],[Spec Type2]]="N/A",Table1[[#This Row],[DUT Adj Read]]="N/A",Table1[[#This Row],[Std Adj Read]]="N/A"),"N/A",IF(Table1[[#This Row],[DUT Adj Read]]="N/A",IF(Table1[[#This Row],[Std Adj Read]]&lt;Table1[[#This Row],[High Tol]],"Pass","Fail"),IF(Table1[[#This Row],[DUT Adj Read]]&lt;Table1[[#This Row],[High Tol]],"Pass","Fail")))</f>
        <v>Fail</v>
      </c>
      <c r="AF399" s="1" t="str">
        <f>IF(AND(Table1[[#This Row],[Spec Type2]]="N/A",Table1[[#This Row],[DUT Adj Read]]="N/A",Table1[[#This Row],[Std Adj Read]]="N/A"),"N/A",IF(Table1[[#This Row],[DUT Adj Read]]="N/A",IF(Table1[[#This Row],[Std Adj Read]]&gt;=Table1[[#This Row],[Low Tol]],"Pass","Fail"),IF(Table1[[#This Row],[DUT Adj Read]]&gt;=Table1[[#This Row],[Low Tol]],"Pass","Fail")))</f>
        <v>Pass</v>
      </c>
      <c r="AG399" s="1" t="str">
        <f>IF(AND(Table1[[#This Row],[Spec Type2]]="N/A",Table1[[#This Row],[DUT Adj Read]]="N/A",Table1[[#This Row],[Std Adj Read]]="N/A"),"N/A",IF(Table1[[#This Row],[DUT Adj Read]]="N/A",IF(Table1[[#This Row],[Std Adj Read]]&lt;=Table1[[#This Row],[High Tol]],"Pass","Fail"),IF(Table1[[#This Row],[DUT Adj Read]]&lt;=Table1[[#This Row],[High Tol]],"Pass","Fail")))</f>
        <v>Fail</v>
      </c>
      <c r="AH3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99" s="1" t="b">
        <v>0</v>
      </c>
      <c r="AN399" s="1" t="b">
        <v>0</v>
      </c>
      <c r="AO399" s="1" t="b">
        <v>0</v>
      </c>
    </row>
    <row r="400" spans="1:41" x14ac:dyDescent="0.25">
      <c r="A400" s="10"/>
      <c r="B400" s="10"/>
      <c r="C400" s="10"/>
      <c r="D400" s="10"/>
      <c r="E400" s="10"/>
      <c r="F400" s="10"/>
      <c r="G400" s="10"/>
      <c r="H400" s="10"/>
      <c r="I400" s="1" t="str">
        <f t="shared" si="18"/>
        <v/>
      </c>
      <c r="J400" s="1" t="s">
        <v>35</v>
      </c>
      <c r="K400" s="1" t="str">
        <f t="shared" si="19"/>
        <v/>
      </c>
      <c r="L400" s="1" t="str">
        <f t="shared" si="20"/>
        <v/>
      </c>
      <c r="M400" s="1">
        <f>IF(OR(Table1[[#This Row],[Std Nom]]="",Table1[[#This Row],[Std Read]]=""),0,Table1[[#This Row],[Std Nom]]-Table1[[#This Row],[Std Read]])</f>
        <v>0</v>
      </c>
      <c r="N400" s="1">
        <f>IF(Calculations!$F$5="ACCREDITED 17025 WITH UNCERTAINTIES",$N$10,0)</f>
        <v>0</v>
      </c>
      <c r="Q400" s="1">
        <f>Table1[[#This Row],[High Tol]]-Table1[[#This Row],[Low Tol]]</f>
        <v>0</v>
      </c>
      <c r="R400" s="1">
        <f>2*Table1[[#This Row],[Std Error]]</f>
        <v>0</v>
      </c>
      <c r="S400" s="1" t="str">
        <f>IF(Table1[[#This Row],[High Tol]]="","N/A",IFERROR(ABS(Table1[[#This Row],[Tol Span]]/Table1[[#This Row],[Error Span]]),"N/A"))</f>
        <v>N/A</v>
      </c>
      <c r="T400" s="1" t="str">
        <f>IF(OR(Table1[[#This Row],[Low Tol]]="",Table1[[#This Row],[High Tol]]=""),"Needs Analysis",IF(Table1[[#This Row],[Ratio]]&gt;=4,"Not Significant",IF(Table1[[#This Row],[Ratio]]&gt;=2,"Semi-Significant","Significant")))</f>
        <v>Needs Analysis</v>
      </c>
      <c r="W400" s="1">
        <f>IF(Table1[[#This Row],[Cal Type]]&lt;&gt;"ACCREDITED 17025 WITH UNCERTAINTIES",0,"")</f>
        <v>0</v>
      </c>
      <c r="X400" s="1" t="str">
        <f>IF(Table1[[#This Row],[DUT Read]]="","N/A",Table1[[#This Row],[Std Error]]+Table1[[#This Row],[DUT Read]]+Table1[[#This Row],[DUT Ucty]])</f>
        <v>N/A</v>
      </c>
      <c r="Y400" s="1" t="str">
        <f>IF(Table1[[#This Row],[Std Read]]="","N/A",Table1[[#This Row],[Std Read]]+Table1[[#This Row],[Std Ucty]])</f>
        <v>N/A</v>
      </c>
      <c r="Z4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0" s="1" t="str">
        <f>IF(Table1[[#This Row],[Spec Type]]="","N/A",Table1[[#This Row],[Spec Type]])</f>
        <v>±</v>
      </c>
      <c r="AC400" s="1" t="str">
        <f>IF(Table1[[#This Row],[Spec Type2]]="N/A","N/A",IF(AND(Table1[[#This Row],[DUT Adj Read]]&gt;=Table1[[#This Row],[Low Tol]],Table1[[#This Row],[DUT Adj Read]]&lt;=Table1[[#This Row],[High Tol]]),"Pass","Fail"))</f>
        <v>Fail</v>
      </c>
      <c r="AD400" s="1" t="str">
        <f>IF(AND(Table1[[#This Row],[Spec Type2]]="N/A",Table1[[#This Row],[DUT Adj Read]]="N/A",Table1[[#This Row],[Std Adj Read]]="N/A"),"N/A",IF(Table1[[#This Row],[DUT Adj Read]]="N/A",IF(Table1[[#This Row],[Std Adj Read]]&gt;Table1[[#This Row],[Low Tol]],"Pass","Fail"),IF(Table1[[#This Row],[DUT Adj Read]]&gt;Table1[[#This Row],[Low Tol]],"Pass","Fail")))</f>
        <v>Pass</v>
      </c>
      <c r="AE400" s="1" t="str">
        <f>IF(AND(Table1[[#This Row],[Spec Type2]]="N/A",Table1[[#This Row],[DUT Adj Read]]="N/A",Table1[[#This Row],[Std Adj Read]]="N/A"),"N/A",IF(Table1[[#This Row],[DUT Adj Read]]="N/A",IF(Table1[[#This Row],[Std Adj Read]]&lt;Table1[[#This Row],[High Tol]],"Pass","Fail"),IF(Table1[[#This Row],[DUT Adj Read]]&lt;Table1[[#This Row],[High Tol]],"Pass","Fail")))</f>
        <v>Fail</v>
      </c>
      <c r="AF400" s="1" t="str">
        <f>IF(AND(Table1[[#This Row],[Spec Type2]]="N/A",Table1[[#This Row],[DUT Adj Read]]="N/A",Table1[[#This Row],[Std Adj Read]]="N/A"),"N/A",IF(Table1[[#This Row],[DUT Adj Read]]="N/A",IF(Table1[[#This Row],[Std Adj Read]]&gt;=Table1[[#This Row],[Low Tol]],"Pass","Fail"),IF(Table1[[#This Row],[DUT Adj Read]]&gt;=Table1[[#This Row],[Low Tol]],"Pass","Fail")))</f>
        <v>Pass</v>
      </c>
      <c r="AG400" s="1" t="str">
        <f>IF(AND(Table1[[#This Row],[Spec Type2]]="N/A",Table1[[#This Row],[DUT Adj Read]]="N/A",Table1[[#This Row],[Std Adj Read]]="N/A"),"N/A",IF(Table1[[#This Row],[DUT Adj Read]]="N/A",IF(Table1[[#This Row],[Std Adj Read]]&lt;=Table1[[#This Row],[High Tol]],"Pass","Fail"),IF(Table1[[#This Row],[DUT Adj Read]]&lt;=Table1[[#This Row],[High Tol]],"Pass","Fail")))</f>
        <v>Fail</v>
      </c>
      <c r="AH4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0" s="1" t="b">
        <v>0</v>
      </c>
      <c r="AN400" s="1" t="b">
        <v>0</v>
      </c>
      <c r="AO400" s="1" t="b">
        <v>0</v>
      </c>
    </row>
    <row r="401" spans="1:41" x14ac:dyDescent="0.25">
      <c r="A401" s="10"/>
      <c r="B401" s="10"/>
      <c r="C401" s="10"/>
      <c r="D401" s="10"/>
      <c r="E401" s="10"/>
      <c r="F401" s="10"/>
      <c r="G401" s="10"/>
      <c r="H401" s="10"/>
      <c r="I401" s="1" t="str">
        <f t="shared" si="18"/>
        <v/>
      </c>
      <c r="J401" s="1" t="s">
        <v>35</v>
      </c>
      <c r="K401" s="1" t="str">
        <f t="shared" si="19"/>
        <v/>
      </c>
      <c r="L401" s="1" t="str">
        <f t="shared" si="20"/>
        <v/>
      </c>
      <c r="M401" s="1">
        <f>IF(OR(Table1[[#This Row],[Std Nom]]="",Table1[[#This Row],[Std Read]]=""),0,Table1[[#This Row],[Std Nom]]-Table1[[#This Row],[Std Read]])</f>
        <v>0</v>
      </c>
      <c r="N401" s="1">
        <f>IF(Calculations!$F$5="ACCREDITED 17025 WITH UNCERTAINTIES",$N$10,0)</f>
        <v>0</v>
      </c>
      <c r="Q401" s="1">
        <f>Table1[[#This Row],[High Tol]]-Table1[[#This Row],[Low Tol]]</f>
        <v>0</v>
      </c>
      <c r="R401" s="1">
        <f>2*Table1[[#This Row],[Std Error]]</f>
        <v>0</v>
      </c>
      <c r="S401" s="1" t="str">
        <f>IF(Table1[[#This Row],[High Tol]]="","N/A",IFERROR(ABS(Table1[[#This Row],[Tol Span]]/Table1[[#This Row],[Error Span]]),"N/A"))</f>
        <v>N/A</v>
      </c>
      <c r="T401" s="1" t="str">
        <f>IF(OR(Table1[[#This Row],[Low Tol]]="",Table1[[#This Row],[High Tol]]=""),"Needs Analysis",IF(Table1[[#This Row],[Ratio]]&gt;=4,"Not Significant",IF(Table1[[#This Row],[Ratio]]&gt;=2,"Semi-Significant","Significant")))</f>
        <v>Needs Analysis</v>
      </c>
      <c r="W401" s="1">
        <f>IF(Table1[[#This Row],[Cal Type]]&lt;&gt;"ACCREDITED 17025 WITH UNCERTAINTIES",0,"")</f>
        <v>0</v>
      </c>
      <c r="X401" s="1" t="str">
        <f>IF(Table1[[#This Row],[DUT Read]]="","N/A",Table1[[#This Row],[Std Error]]+Table1[[#This Row],[DUT Read]]+Table1[[#This Row],[DUT Ucty]])</f>
        <v>N/A</v>
      </c>
      <c r="Y401" s="1" t="str">
        <f>IF(Table1[[#This Row],[Std Read]]="","N/A",Table1[[#This Row],[Std Read]]+Table1[[#This Row],[Std Ucty]])</f>
        <v>N/A</v>
      </c>
      <c r="Z4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1" s="1" t="str">
        <f>IF(Table1[[#This Row],[Spec Type]]="","N/A",Table1[[#This Row],[Spec Type]])</f>
        <v>±</v>
      </c>
      <c r="AC401" s="1" t="str">
        <f>IF(Table1[[#This Row],[Spec Type2]]="N/A","N/A",IF(AND(Table1[[#This Row],[DUT Adj Read]]&gt;=Table1[[#This Row],[Low Tol]],Table1[[#This Row],[DUT Adj Read]]&lt;=Table1[[#This Row],[High Tol]]),"Pass","Fail"))</f>
        <v>Fail</v>
      </c>
      <c r="AD401" s="1" t="str">
        <f>IF(AND(Table1[[#This Row],[Spec Type2]]="N/A",Table1[[#This Row],[DUT Adj Read]]="N/A",Table1[[#This Row],[Std Adj Read]]="N/A"),"N/A",IF(Table1[[#This Row],[DUT Adj Read]]="N/A",IF(Table1[[#This Row],[Std Adj Read]]&gt;Table1[[#This Row],[Low Tol]],"Pass","Fail"),IF(Table1[[#This Row],[DUT Adj Read]]&gt;Table1[[#This Row],[Low Tol]],"Pass","Fail")))</f>
        <v>Pass</v>
      </c>
      <c r="AE401" s="1" t="str">
        <f>IF(AND(Table1[[#This Row],[Spec Type2]]="N/A",Table1[[#This Row],[DUT Adj Read]]="N/A",Table1[[#This Row],[Std Adj Read]]="N/A"),"N/A",IF(Table1[[#This Row],[DUT Adj Read]]="N/A",IF(Table1[[#This Row],[Std Adj Read]]&lt;Table1[[#This Row],[High Tol]],"Pass","Fail"),IF(Table1[[#This Row],[DUT Adj Read]]&lt;Table1[[#This Row],[High Tol]],"Pass","Fail")))</f>
        <v>Fail</v>
      </c>
      <c r="AF401" s="1" t="str">
        <f>IF(AND(Table1[[#This Row],[Spec Type2]]="N/A",Table1[[#This Row],[DUT Adj Read]]="N/A",Table1[[#This Row],[Std Adj Read]]="N/A"),"N/A",IF(Table1[[#This Row],[DUT Adj Read]]="N/A",IF(Table1[[#This Row],[Std Adj Read]]&gt;=Table1[[#This Row],[Low Tol]],"Pass","Fail"),IF(Table1[[#This Row],[DUT Adj Read]]&gt;=Table1[[#This Row],[Low Tol]],"Pass","Fail")))</f>
        <v>Pass</v>
      </c>
      <c r="AG401" s="1" t="str">
        <f>IF(AND(Table1[[#This Row],[Spec Type2]]="N/A",Table1[[#This Row],[DUT Adj Read]]="N/A",Table1[[#This Row],[Std Adj Read]]="N/A"),"N/A",IF(Table1[[#This Row],[DUT Adj Read]]="N/A",IF(Table1[[#This Row],[Std Adj Read]]&lt;=Table1[[#This Row],[High Tol]],"Pass","Fail"),IF(Table1[[#This Row],[DUT Adj Read]]&lt;=Table1[[#This Row],[High Tol]],"Pass","Fail")))</f>
        <v>Fail</v>
      </c>
      <c r="AH4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1" s="1" t="b">
        <v>0</v>
      </c>
      <c r="AN401" s="1" t="b">
        <v>0</v>
      </c>
      <c r="AO401" s="1" t="b">
        <v>0</v>
      </c>
    </row>
    <row r="402" spans="1:41" x14ac:dyDescent="0.25">
      <c r="A402" s="10"/>
      <c r="B402" s="10"/>
      <c r="C402" s="10"/>
      <c r="D402" s="10"/>
      <c r="E402" s="10"/>
      <c r="F402" s="10"/>
      <c r="G402" s="10"/>
      <c r="H402" s="10"/>
      <c r="I402" s="1" t="str">
        <f t="shared" si="18"/>
        <v/>
      </c>
      <c r="J402" s="1" t="s">
        <v>35</v>
      </c>
      <c r="K402" s="1" t="str">
        <f t="shared" si="19"/>
        <v/>
      </c>
      <c r="L402" s="1" t="str">
        <f t="shared" si="20"/>
        <v/>
      </c>
      <c r="M402" s="1">
        <f>IF(OR(Table1[[#This Row],[Std Nom]]="",Table1[[#This Row],[Std Read]]=""),0,Table1[[#This Row],[Std Nom]]-Table1[[#This Row],[Std Read]])</f>
        <v>0</v>
      </c>
      <c r="N402" s="1">
        <f>IF(Calculations!$F$5="ACCREDITED 17025 WITH UNCERTAINTIES",$N$10,0)</f>
        <v>0</v>
      </c>
      <c r="Q402" s="1">
        <f>Table1[[#This Row],[High Tol]]-Table1[[#This Row],[Low Tol]]</f>
        <v>0</v>
      </c>
      <c r="R402" s="1">
        <f>2*Table1[[#This Row],[Std Error]]</f>
        <v>0</v>
      </c>
      <c r="S402" s="1" t="str">
        <f>IF(Table1[[#This Row],[High Tol]]="","N/A",IFERROR(ABS(Table1[[#This Row],[Tol Span]]/Table1[[#This Row],[Error Span]]),"N/A"))</f>
        <v>N/A</v>
      </c>
      <c r="T402" s="1" t="str">
        <f>IF(OR(Table1[[#This Row],[Low Tol]]="",Table1[[#This Row],[High Tol]]=""),"Needs Analysis",IF(Table1[[#This Row],[Ratio]]&gt;=4,"Not Significant",IF(Table1[[#This Row],[Ratio]]&gt;=2,"Semi-Significant","Significant")))</f>
        <v>Needs Analysis</v>
      </c>
      <c r="W402" s="1">
        <f>IF(Table1[[#This Row],[Cal Type]]&lt;&gt;"ACCREDITED 17025 WITH UNCERTAINTIES",0,"")</f>
        <v>0</v>
      </c>
      <c r="X402" s="1" t="str">
        <f>IF(Table1[[#This Row],[DUT Read]]="","N/A",Table1[[#This Row],[Std Error]]+Table1[[#This Row],[DUT Read]]+Table1[[#This Row],[DUT Ucty]])</f>
        <v>N/A</v>
      </c>
      <c r="Y402" s="1" t="str">
        <f>IF(Table1[[#This Row],[Std Read]]="","N/A",Table1[[#This Row],[Std Read]]+Table1[[#This Row],[Std Ucty]])</f>
        <v>N/A</v>
      </c>
      <c r="Z4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2" s="1" t="str">
        <f>IF(Table1[[#This Row],[Spec Type]]="","N/A",Table1[[#This Row],[Spec Type]])</f>
        <v>±</v>
      </c>
      <c r="AC402" s="1" t="str">
        <f>IF(Table1[[#This Row],[Spec Type2]]="N/A","N/A",IF(AND(Table1[[#This Row],[DUT Adj Read]]&gt;=Table1[[#This Row],[Low Tol]],Table1[[#This Row],[DUT Adj Read]]&lt;=Table1[[#This Row],[High Tol]]),"Pass","Fail"))</f>
        <v>Fail</v>
      </c>
      <c r="AD402" s="1" t="str">
        <f>IF(AND(Table1[[#This Row],[Spec Type2]]="N/A",Table1[[#This Row],[DUT Adj Read]]="N/A",Table1[[#This Row],[Std Adj Read]]="N/A"),"N/A",IF(Table1[[#This Row],[DUT Adj Read]]="N/A",IF(Table1[[#This Row],[Std Adj Read]]&gt;Table1[[#This Row],[Low Tol]],"Pass","Fail"),IF(Table1[[#This Row],[DUT Adj Read]]&gt;Table1[[#This Row],[Low Tol]],"Pass","Fail")))</f>
        <v>Pass</v>
      </c>
      <c r="AE402" s="1" t="str">
        <f>IF(AND(Table1[[#This Row],[Spec Type2]]="N/A",Table1[[#This Row],[DUT Adj Read]]="N/A",Table1[[#This Row],[Std Adj Read]]="N/A"),"N/A",IF(Table1[[#This Row],[DUT Adj Read]]="N/A",IF(Table1[[#This Row],[Std Adj Read]]&lt;Table1[[#This Row],[High Tol]],"Pass","Fail"),IF(Table1[[#This Row],[DUT Adj Read]]&lt;Table1[[#This Row],[High Tol]],"Pass","Fail")))</f>
        <v>Fail</v>
      </c>
      <c r="AF402" s="1" t="str">
        <f>IF(AND(Table1[[#This Row],[Spec Type2]]="N/A",Table1[[#This Row],[DUT Adj Read]]="N/A",Table1[[#This Row],[Std Adj Read]]="N/A"),"N/A",IF(Table1[[#This Row],[DUT Adj Read]]="N/A",IF(Table1[[#This Row],[Std Adj Read]]&gt;=Table1[[#This Row],[Low Tol]],"Pass","Fail"),IF(Table1[[#This Row],[DUT Adj Read]]&gt;=Table1[[#This Row],[Low Tol]],"Pass","Fail")))</f>
        <v>Pass</v>
      </c>
      <c r="AG402" s="1" t="str">
        <f>IF(AND(Table1[[#This Row],[Spec Type2]]="N/A",Table1[[#This Row],[DUT Adj Read]]="N/A",Table1[[#This Row],[Std Adj Read]]="N/A"),"N/A",IF(Table1[[#This Row],[DUT Adj Read]]="N/A",IF(Table1[[#This Row],[Std Adj Read]]&lt;=Table1[[#This Row],[High Tol]],"Pass","Fail"),IF(Table1[[#This Row],[DUT Adj Read]]&lt;=Table1[[#This Row],[High Tol]],"Pass","Fail")))</f>
        <v>Fail</v>
      </c>
      <c r="AH4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2" s="1" t="b">
        <v>0</v>
      </c>
      <c r="AN402" s="1" t="b">
        <v>0</v>
      </c>
      <c r="AO402" s="1" t="b">
        <v>0</v>
      </c>
    </row>
    <row r="403" spans="1:41" x14ac:dyDescent="0.25">
      <c r="A403" s="10"/>
      <c r="B403" s="10"/>
      <c r="C403" s="10"/>
      <c r="D403" s="10"/>
      <c r="E403" s="10"/>
      <c r="F403" s="10"/>
      <c r="G403" s="10"/>
      <c r="H403" s="10"/>
      <c r="I403" s="1" t="str">
        <f t="shared" si="18"/>
        <v/>
      </c>
      <c r="J403" s="1" t="s">
        <v>35</v>
      </c>
      <c r="K403" s="1" t="str">
        <f t="shared" si="19"/>
        <v/>
      </c>
      <c r="L403" s="1" t="str">
        <f t="shared" si="20"/>
        <v/>
      </c>
      <c r="M403" s="1">
        <f>IF(OR(Table1[[#This Row],[Std Nom]]="",Table1[[#This Row],[Std Read]]=""),0,Table1[[#This Row],[Std Nom]]-Table1[[#This Row],[Std Read]])</f>
        <v>0</v>
      </c>
      <c r="N403" s="1">
        <f>IF(Calculations!$F$5="ACCREDITED 17025 WITH UNCERTAINTIES",$N$10,0)</f>
        <v>0</v>
      </c>
      <c r="Q403" s="1">
        <f>Table1[[#This Row],[High Tol]]-Table1[[#This Row],[Low Tol]]</f>
        <v>0</v>
      </c>
      <c r="R403" s="1">
        <f>2*Table1[[#This Row],[Std Error]]</f>
        <v>0</v>
      </c>
      <c r="S403" s="1" t="str">
        <f>IF(Table1[[#This Row],[High Tol]]="","N/A",IFERROR(ABS(Table1[[#This Row],[Tol Span]]/Table1[[#This Row],[Error Span]]),"N/A"))</f>
        <v>N/A</v>
      </c>
      <c r="T403" s="1" t="str">
        <f>IF(OR(Table1[[#This Row],[Low Tol]]="",Table1[[#This Row],[High Tol]]=""),"Needs Analysis",IF(Table1[[#This Row],[Ratio]]&gt;=4,"Not Significant",IF(Table1[[#This Row],[Ratio]]&gt;=2,"Semi-Significant","Significant")))</f>
        <v>Needs Analysis</v>
      </c>
      <c r="W403" s="1">
        <f>IF(Table1[[#This Row],[Cal Type]]&lt;&gt;"ACCREDITED 17025 WITH UNCERTAINTIES",0,"")</f>
        <v>0</v>
      </c>
      <c r="X403" s="1" t="str">
        <f>IF(Table1[[#This Row],[DUT Read]]="","N/A",Table1[[#This Row],[Std Error]]+Table1[[#This Row],[DUT Read]]+Table1[[#This Row],[DUT Ucty]])</f>
        <v>N/A</v>
      </c>
      <c r="Y403" s="1" t="str">
        <f>IF(Table1[[#This Row],[Std Read]]="","N/A",Table1[[#This Row],[Std Read]]+Table1[[#This Row],[Std Ucty]])</f>
        <v>N/A</v>
      </c>
      <c r="Z4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3" s="1" t="str">
        <f>IF(Table1[[#This Row],[Spec Type]]="","N/A",Table1[[#This Row],[Spec Type]])</f>
        <v>±</v>
      </c>
      <c r="AC403" s="1" t="str">
        <f>IF(Table1[[#This Row],[Spec Type2]]="N/A","N/A",IF(AND(Table1[[#This Row],[DUT Adj Read]]&gt;=Table1[[#This Row],[Low Tol]],Table1[[#This Row],[DUT Adj Read]]&lt;=Table1[[#This Row],[High Tol]]),"Pass","Fail"))</f>
        <v>Fail</v>
      </c>
      <c r="AD403" s="1" t="str">
        <f>IF(AND(Table1[[#This Row],[Spec Type2]]="N/A",Table1[[#This Row],[DUT Adj Read]]="N/A",Table1[[#This Row],[Std Adj Read]]="N/A"),"N/A",IF(Table1[[#This Row],[DUT Adj Read]]="N/A",IF(Table1[[#This Row],[Std Adj Read]]&gt;Table1[[#This Row],[Low Tol]],"Pass","Fail"),IF(Table1[[#This Row],[DUT Adj Read]]&gt;Table1[[#This Row],[Low Tol]],"Pass","Fail")))</f>
        <v>Pass</v>
      </c>
      <c r="AE403" s="1" t="str">
        <f>IF(AND(Table1[[#This Row],[Spec Type2]]="N/A",Table1[[#This Row],[DUT Adj Read]]="N/A",Table1[[#This Row],[Std Adj Read]]="N/A"),"N/A",IF(Table1[[#This Row],[DUT Adj Read]]="N/A",IF(Table1[[#This Row],[Std Adj Read]]&lt;Table1[[#This Row],[High Tol]],"Pass","Fail"),IF(Table1[[#This Row],[DUT Adj Read]]&lt;Table1[[#This Row],[High Tol]],"Pass","Fail")))</f>
        <v>Fail</v>
      </c>
      <c r="AF403" s="1" t="str">
        <f>IF(AND(Table1[[#This Row],[Spec Type2]]="N/A",Table1[[#This Row],[DUT Adj Read]]="N/A",Table1[[#This Row],[Std Adj Read]]="N/A"),"N/A",IF(Table1[[#This Row],[DUT Adj Read]]="N/A",IF(Table1[[#This Row],[Std Adj Read]]&gt;=Table1[[#This Row],[Low Tol]],"Pass","Fail"),IF(Table1[[#This Row],[DUT Adj Read]]&gt;=Table1[[#This Row],[Low Tol]],"Pass","Fail")))</f>
        <v>Pass</v>
      </c>
      <c r="AG403" s="1" t="str">
        <f>IF(AND(Table1[[#This Row],[Spec Type2]]="N/A",Table1[[#This Row],[DUT Adj Read]]="N/A",Table1[[#This Row],[Std Adj Read]]="N/A"),"N/A",IF(Table1[[#This Row],[DUT Adj Read]]="N/A",IF(Table1[[#This Row],[Std Adj Read]]&lt;=Table1[[#This Row],[High Tol]],"Pass","Fail"),IF(Table1[[#This Row],[DUT Adj Read]]&lt;=Table1[[#This Row],[High Tol]],"Pass","Fail")))</f>
        <v>Fail</v>
      </c>
      <c r="AH4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3" s="1" t="b">
        <v>0</v>
      </c>
      <c r="AN403" s="1" t="b">
        <v>0</v>
      </c>
      <c r="AO403" s="1" t="b">
        <v>0</v>
      </c>
    </row>
    <row r="404" spans="1:41" x14ac:dyDescent="0.25">
      <c r="A404" s="10"/>
      <c r="B404" s="10"/>
      <c r="C404" s="10"/>
      <c r="D404" s="10"/>
      <c r="E404" s="10"/>
      <c r="F404" s="10"/>
      <c r="G404" s="10"/>
      <c r="H404" s="10"/>
      <c r="I404" s="1" t="str">
        <f t="shared" si="18"/>
        <v/>
      </c>
      <c r="J404" s="1" t="s">
        <v>35</v>
      </c>
      <c r="K404" s="1" t="str">
        <f t="shared" si="19"/>
        <v/>
      </c>
      <c r="L404" s="1" t="str">
        <f t="shared" si="20"/>
        <v/>
      </c>
      <c r="M404" s="1">
        <f>IF(OR(Table1[[#This Row],[Std Nom]]="",Table1[[#This Row],[Std Read]]=""),0,Table1[[#This Row],[Std Nom]]-Table1[[#This Row],[Std Read]])</f>
        <v>0</v>
      </c>
      <c r="N404" s="1">
        <f>IF(Calculations!$F$5="ACCREDITED 17025 WITH UNCERTAINTIES",$N$10,0)</f>
        <v>0</v>
      </c>
      <c r="Q404" s="1">
        <f>Table1[[#This Row],[High Tol]]-Table1[[#This Row],[Low Tol]]</f>
        <v>0</v>
      </c>
      <c r="R404" s="1">
        <f>2*Table1[[#This Row],[Std Error]]</f>
        <v>0</v>
      </c>
      <c r="S404" s="1" t="str">
        <f>IF(Table1[[#This Row],[High Tol]]="","N/A",IFERROR(ABS(Table1[[#This Row],[Tol Span]]/Table1[[#This Row],[Error Span]]),"N/A"))</f>
        <v>N/A</v>
      </c>
      <c r="T404" s="1" t="str">
        <f>IF(OR(Table1[[#This Row],[Low Tol]]="",Table1[[#This Row],[High Tol]]=""),"Needs Analysis",IF(Table1[[#This Row],[Ratio]]&gt;=4,"Not Significant",IF(Table1[[#This Row],[Ratio]]&gt;=2,"Semi-Significant","Significant")))</f>
        <v>Needs Analysis</v>
      </c>
      <c r="W404" s="1">
        <f>IF(Table1[[#This Row],[Cal Type]]&lt;&gt;"ACCREDITED 17025 WITH UNCERTAINTIES",0,"")</f>
        <v>0</v>
      </c>
      <c r="X404" s="1" t="str">
        <f>IF(Table1[[#This Row],[DUT Read]]="","N/A",Table1[[#This Row],[Std Error]]+Table1[[#This Row],[DUT Read]]+Table1[[#This Row],[DUT Ucty]])</f>
        <v>N/A</v>
      </c>
      <c r="Y404" s="1" t="str">
        <f>IF(Table1[[#This Row],[Std Read]]="","N/A",Table1[[#This Row],[Std Read]]+Table1[[#This Row],[Std Ucty]])</f>
        <v>N/A</v>
      </c>
      <c r="Z4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4" s="1" t="str">
        <f>IF(Table1[[#This Row],[Spec Type]]="","N/A",Table1[[#This Row],[Spec Type]])</f>
        <v>±</v>
      </c>
      <c r="AC404" s="1" t="str">
        <f>IF(Table1[[#This Row],[Spec Type2]]="N/A","N/A",IF(AND(Table1[[#This Row],[DUT Adj Read]]&gt;=Table1[[#This Row],[Low Tol]],Table1[[#This Row],[DUT Adj Read]]&lt;=Table1[[#This Row],[High Tol]]),"Pass","Fail"))</f>
        <v>Fail</v>
      </c>
      <c r="AD404" s="1" t="str">
        <f>IF(AND(Table1[[#This Row],[Spec Type2]]="N/A",Table1[[#This Row],[DUT Adj Read]]="N/A",Table1[[#This Row],[Std Adj Read]]="N/A"),"N/A",IF(Table1[[#This Row],[DUT Adj Read]]="N/A",IF(Table1[[#This Row],[Std Adj Read]]&gt;Table1[[#This Row],[Low Tol]],"Pass","Fail"),IF(Table1[[#This Row],[DUT Adj Read]]&gt;Table1[[#This Row],[Low Tol]],"Pass","Fail")))</f>
        <v>Pass</v>
      </c>
      <c r="AE404" s="1" t="str">
        <f>IF(AND(Table1[[#This Row],[Spec Type2]]="N/A",Table1[[#This Row],[DUT Adj Read]]="N/A",Table1[[#This Row],[Std Adj Read]]="N/A"),"N/A",IF(Table1[[#This Row],[DUT Adj Read]]="N/A",IF(Table1[[#This Row],[Std Adj Read]]&lt;Table1[[#This Row],[High Tol]],"Pass","Fail"),IF(Table1[[#This Row],[DUT Adj Read]]&lt;Table1[[#This Row],[High Tol]],"Pass","Fail")))</f>
        <v>Fail</v>
      </c>
      <c r="AF404" s="1" t="str">
        <f>IF(AND(Table1[[#This Row],[Spec Type2]]="N/A",Table1[[#This Row],[DUT Adj Read]]="N/A",Table1[[#This Row],[Std Adj Read]]="N/A"),"N/A",IF(Table1[[#This Row],[DUT Adj Read]]="N/A",IF(Table1[[#This Row],[Std Adj Read]]&gt;=Table1[[#This Row],[Low Tol]],"Pass","Fail"),IF(Table1[[#This Row],[DUT Adj Read]]&gt;=Table1[[#This Row],[Low Tol]],"Pass","Fail")))</f>
        <v>Pass</v>
      </c>
      <c r="AG404" s="1" t="str">
        <f>IF(AND(Table1[[#This Row],[Spec Type2]]="N/A",Table1[[#This Row],[DUT Adj Read]]="N/A",Table1[[#This Row],[Std Adj Read]]="N/A"),"N/A",IF(Table1[[#This Row],[DUT Adj Read]]="N/A",IF(Table1[[#This Row],[Std Adj Read]]&lt;=Table1[[#This Row],[High Tol]],"Pass","Fail"),IF(Table1[[#This Row],[DUT Adj Read]]&lt;=Table1[[#This Row],[High Tol]],"Pass","Fail")))</f>
        <v>Fail</v>
      </c>
      <c r="AH4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4" s="1" t="b">
        <v>0</v>
      </c>
      <c r="AN404" s="1" t="b">
        <v>0</v>
      </c>
      <c r="AO404" s="1" t="b">
        <v>0</v>
      </c>
    </row>
    <row r="405" spans="1:41" x14ac:dyDescent="0.25">
      <c r="A405" s="10"/>
      <c r="B405" s="10"/>
      <c r="C405" s="10"/>
      <c r="D405" s="10"/>
      <c r="E405" s="10"/>
      <c r="F405" s="10"/>
      <c r="G405" s="10"/>
      <c r="H405" s="10"/>
      <c r="I405" s="1" t="str">
        <f t="shared" si="18"/>
        <v/>
      </c>
      <c r="J405" s="1" t="s">
        <v>35</v>
      </c>
      <c r="K405" s="1" t="str">
        <f t="shared" si="19"/>
        <v/>
      </c>
      <c r="L405" s="1" t="str">
        <f t="shared" si="20"/>
        <v/>
      </c>
      <c r="M405" s="1">
        <f>IF(OR(Table1[[#This Row],[Std Nom]]="",Table1[[#This Row],[Std Read]]=""),0,Table1[[#This Row],[Std Nom]]-Table1[[#This Row],[Std Read]])</f>
        <v>0</v>
      </c>
      <c r="N405" s="1">
        <f>IF(Calculations!$F$5="ACCREDITED 17025 WITH UNCERTAINTIES",$N$10,0)</f>
        <v>0</v>
      </c>
      <c r="Q405" s="1">
        <f>Table1[[#This Row],[High Tol]]-Table1[[#This Row],[Low Tol]]</f>
        <v>0</v>
      </c>
      <c r="R405" s="1">
        <f>2*Table1[[#This Row],[Std Error]]</f>
        <v>0</v>
      </c>
      <c r="S405" s="1" t="str">
        <f>IF(Table1[[#This Row],[High Tol]]="","N/A",IFERROR(ABS(Table1[[#This Row],[Tol Span]]/Table1[[#This Row],[Error Span]]),"N/A"))</f>
        <v>N/A</v>
      </c>
      <c r="T405" s="1" t="str">
        <f>IF(OR(Table1[[#This Row],[Low Tol]]="",Table1[[#This Row],[High Tol]]=""),"Needs Analysis",IF(Table1[[#This Row],[Ratio]]&gt;=4,"Not Significant",IF(Table1[[#This Row],[Ratio]]&gt;=2,"Semi-Significant","Significant")))</f>
        <v>Needs Analysis</v>
      </c>
      <c r="W405" s="1">
        <f>IF(Table1[[#This Row],[Cal Type]]&lt;&gt;"ACCREDITED 17025 WITH UNCERTAINTIES",0,"")</f>
        <v>0</v>
      </c>
      <c r="X405" s="1" t="str">
        <f>IF(Table1[[#This Row],[DUT Read]]="","N/A",Table1[[#This Row],[Std Error]]+Table1[[#This Row],[DUT Read]]+Table1[[#This Row],[DUT Ucty]])</f>
        <v>N/A</v>
      </c>
      <c r="Y405" s="1" t="str">
        <f>IF(Table1[[#This Row],[Std Read]]="","N/A",Table1[[#This Row],[Std Read]]+Table1[[#This Row],[Std Ucty]])</f>
        <v>N/A</v>
      </c>
      <c r="Z4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5" s="1" t="str">
        <f>IF(Table1[[#This Row],[Spec Type]]="","N/A",Table1[[#This Row],[Spec Type]])</f>
        <v>±</v>
      </c>
      <c r="AC405" s="1" t="str">
        <f>IF(Table1[[#This Row],[Spec Type2]]="N/A","N/A",IF(AND(Table1[[#This Row],[DUT Adj Read]]&gt;=Table1[[#This Row],[Low Tol]],Table1[[#This Row],[DUT Adj Read]]&lt;=Table1[[#This Row],[High Tol]]),"Pass","Fail"))</f>
        <v>Fail</v>
      </c>
      <c r="AD405" s="1" t="str">
        <f>IF(AND(Table1[[#This Row],[Spec Type2]]="N/A",Table1[[#This Row],[DUT Adj Read]]="N/A",Table1[[#This Row],[Std Adj Read]]="N/A"),"N/A",IF(Table1[[#This Row],[DUT Adj Read]]="N/A",IF(Table1[[#This Row],[Std Adj Read]]&gt;Table1[[#This Row],[Low Tol]],"Pass","Fail"),IF(Table1[[#This Row],[DUT Adj Read]]&gt;Table1[[#This Row],[Low Tol]],"Pass","Fail")))</f>
        <v>Pass</v>
      </c>
      <c r="AE405" s="1" t="str">
        <f>IF(AND(Table1[[#This Row],[Spec Type2]]="N/A",Table1[[#This Row],[DUT Adj Read]]="N/A",Table1[[#This Row],[Std Adj Read]]="N/A"),"N/A",IF(Table1[[#This Row],[DUT Adj Read]]="N/A",IF(Table1[[#This Row],[Std Adj Read]]&lt;Table1[[#This Row],[High Tol]],"Pass","Fail"),IF(Table1[[#This Row],[DUT Adj Read]]&lt;Table1[[#This Row],[High Tol]],"Pass","Fail")))</f>
        <v>Fail</v>
      </c>
      <c r="AF405" s="1" t="str">
        <f>IF(AND(Table1[[#This Row],[Spec Type2]]="N/A",Table1[[#This Row],[DUT Adj Read]]="N/A",Table1[[#This Row],[Std Adj Read]]="N/A"),"N/A",IF(Table1[[#This Row],[DUT Adj Read]]="N/A",IF(Table1[[#This Row],[Std Adj Read]]&gt;=Table1[[#This Row],[Low Tol]],"Pass","Fail"),IF(Table1[[#This Row],[DUT Adj Read]]&gt;=Table1[[#This Row],[Low Tol]],"Pass","Fail")))</f>
        <v>Pass</v>
      </c>
      <c r="AG405" s="1" t="str">
        <f>IF(AND(Table1[[#This Row],[Spec Type2]]="N/A",Table1[[#This Row],[DUT Adj Read]]="N/A",Table1[[#This Row],[Std Adj Read]]="N/A"),"N/A",IF(Table1[[#This Row],[DUT Adj Read]]="N/A",IF(Table1[[#This Row],[Std Adj Read]]&lt;=Table1[[#This Row],[High Tol]],"Pass","Fail"),IF(Table1[[#This Row],[DUT Adj Read]]&lt;=Table1[[#This Row],[High Tol]],"Pass","Fail")))</f>
        <v>Fail</v>
      </c>
      <c r="AH4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5" s="1" t="b">
        <v>0</v>
      </c>
      <c r="AN405" s="1" t="b">
        <v>0</v>
      </c>
      <c r="AO405" s="1" t="b">
        <v>0</v>
      </c>
    </row>
    <row r="406" spans="1:41" x14ac:dyDescent="0.25">
      <c r="A406" s="10"/>
      <c r="B406" s="10"/>
      <c r="C406" s="10"/>
      <c r="D406" s="10"/>
      <c r="E406" s="10"/>
      <c r="F406" s="10"/>
      <c r="G406" s="10"/>
      <c r="H406" s="10"/>
      <c r="I406" s="1" t="str">
        <f t="shared" si="18"/>
        <v/>
      </c>
      <c r="J406" s="1" t="s">
        <v>35</v>
      </c>
      <c r="K406" s="1" t="str">
        <f t="shared" si="19"/>
        <v/>
      </c>
      <c r="L406" s="1" t="str">
        <f t="shared" si="20"/>
        <v/>
      </c>
      <c r="M406" s="1">
        <f>IF(OR(Table1[[#This Row],[Std Nom]]="",Table1[[#This Row],[Std Read]]=""),0,Table1[[#This Row],[Std Nom]]-Table1[[#This Row],[Std Read]])</f>
        <v>0</v>
      </c>
      <c r="N406" s="1">
        <f>IF(Calculations!$F$5="ACCREDITED 17025 WITH UNCERTAINTIES",$N$10,0)</f>
        <v>0</v>
      </c>
      <c r="Q406" s="1">
        <f>Table1[[#This Row],[High Tol]]-Table1[[#This Row],[Low Tol]]</f>
        <v>0</v>
      </c>
      <c r="R406" s="1">
        <f>2*Table1[[#This Row],[Std Error]]</f>
        <v>0</v>
      </c>
      <c r="S406" s="1" t="str">
        <f>IF(Table1[[#This Row],[High Tol]]="","N/A",IFERROR(ABS(Table1[[#This Row],[Tol Span]]/Table1[[#This Row],[Error Span]]),"N/A"))</f>
        <v>N/A</v>
      </c>
      <c r="T406" s="1" t="str">
        <f>IF(OR(Table1[[#This Row],[Low Tol]]="",Table1[[#This Row],[High Tol]]=""),"Needs Analysis",IF(Table1[[#This Row],[Ratio]]&gt;=4,"Not Significant",IF(Table1[[#This Row],[Ratio]]&gt;=2,"Semi-Significant","Significant")))</f>
        <v>Needs Analysis</v>
      </c>
      <c r="W406" s="1">
        <f>IF(Table1[[#This Row],[Cal Type]]&lt;&gt;"ACCREDITED 17025 WITH UNCERTAINTIES",0,"")</f>
        <v>0</v>
      </c>
      <c r="X406" s="1" t="str">
        <f>IF(Table1[[#This Row],[DUT Read]]="","N/A",Table1[[#This Row],[Std Error]]+Table1[[#This Row],[DUT Read]]+Table1[[#This Row],[DUT Ucty]])</f>
        <v>N/A</v>
      </c>
      <c r="Y406" s="1" t="str">
        <f>IF(Table1[[#This Row],[Std Read]]="","N/A",Table1[[#This Row],[Std Read]]+Table1[[#This Row],[Std Ucty]])</f>
        <v>N/A</v>
      </c>
      <c r="Z4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6" s="1" t="str">
        <f>IF(Table1[[#This Row],[Spec Type]]="","N/A",Table1[[#This Row],[Spec Type]])</f>
        <v>±</v>
      </c>
      <c r="AC406" s="1" t="str">
        <f>IF(Table1[[#This Row],[Spec Type2]]="N/A","N/A",IF(AND(Table1[[#This Row],[DUT Adj Read]]&gt;=Table1[[#This Row],[Low Tol]],Table1[[#This Row],[DUT Adj Read]]&lt;=Table1[[#This Row],[High Tol]]),"Pass","Fail"))</f>
        <v>Fail</v>
      </c>
      <c r="AD406" s="1" t="str">
        <f>IF(AND(Table1[[#This Row],[Spec Type2]]="N/A",Table1[[#This Row],[DUT Adj Read]]="N/A",Table1[[#This Row],[Std Adj Read]]="N/A"),"N/A",IF(Table1[[#This Row],[DUT Adj Read]]="N/A",IF(Table1[[#This Row],[Std Adj Read]]&gt;Table1[[#This Row],[Low Tol]],"Pass","Fail"),IF(Table1[[#This Row],[DUT Adj Read]]&gt;Table1[[#This Row],[Low Tol]],"Pass","Fail")))</f>
        <v>Pass</v>
      </c>
      <c r="AE406" s="1" t="str">
        <f>IF(AND(Table1[[#This Row],[Spec Type2]]="N/A",Table1[[#This Row],[DUT Adj Read]]="N/A",Table1[[#This Row],[Std Adj Read]]="N/A"),"N/A",IF(Table1[[#This Row],[DUT Adj Read]]="N/A",IF(Table1[[#This Row],[Std Adj Read]]&lt;Table1[[#This Row],[High Tol]],"Pass","Fail"),IF(Table1[[#This Row],[DUT Adj Read]]&lt;Table1[[#This Row],[High Tol]],"Pass","Fail")))</f>
        <v>Fail</v>
      </c>
      <c r="AF406" s="1" t="str">
        <f>IF(AND(Table1[[#This Row],[Spec Type2]]="N/A",Table1[[#This Row],[DUT Adj Read]]="N/A",Table1[[#This Row],[Std Adj Read]]="N/A"),"N/A",IF(Table1[[#This Row],[DUT Adj Read]]="N/A",IF(Table1[[#This Row],[Std Adj Read]]&gt;=Table1[[#This Row],[Low Tol]],"Pass","Fail"),IF(Table1[[#This Row],[DUT Adj Read]]&gt;=Table1[[#This Row],[Low Tol]],"Pass","Fail")))</f>
        <v>Pass</v>
      </c>
      <c r="AG406" s="1" t="str">
        <f>IF(AND(Table1[[#This Row],[Spec Type2]]="N/A",Table1[[#This Row],[DUT Adj Read]]="N/A",Table1[[#This Row],[Std Adj Read]]="N/A"),"N/A",IF(Table1[[#This Row],[DUT Adj Read]]="N/A",IF(Table1[[#This Row],[Std Adj Read]]&lt;=Table1[[#This Row],[High Tol]],"Pass","Fail"),IF(Table1[[#This Row],[DUT Adj Read]]&lt;=Table1[[#This Row],[High Tol]],"Pass","Fail")))</f>
        <v>Fail</v>
      </c>
      <c r="AH4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6" s="1" t="b">
        <v>0</v>
      </c>
      <c r="AN406" s="1" t="b">
        <v>0</v>
      </c>
      <c r="AO406" s="1" t="b">
        <v>0</v>
      </c>
    </row>
    <row r="407" spans="1:41" x14ac:dyDescent="0.25">
      <c r="A407" s="10"/>
      <c r="B407" s="10"/>
      <c r="C407" s="10"/>
      <c r="D407" s="10"/>
      <c r="E407" s="10"/>
      <c r="F407" s="10"/>
      <c r="G407" s="10"/>
      <c r="H407" s="10"/>
      <c r="I407" s="1" t="str">
        <f t="shared" si="18"/>
        <v/>
      </c>
      <c r="J407" s="1" t="s">
        <v>35</v>
      </c>
      <c r="K407" s="1" t="str">
        <f t="shared" si="19"/>
        <v/>
      </c>
      <c r="L407" s="1" t="str">
        <f t="shared" si="20"/>
        <v/>
      </c>
      <c r="M407" s="1">
        <f>IF(OR(Table1[[#This Row],[Std Nom]]="",Table1[[#This Row],[Std Read]]=""),0,Table1[[#This Row],[Std Nom]]-Table1[[#This Row],[Std Read]])</f>
        <v>0</v>
      </c>
      <c r="N407" s="1">
        <f>IF(Calculations!$F$5="ACCREDITED 17025 WITH UNCERTAINTIES",$N$10,0)</f>
        <v>0</v>
      </c>
      <c r="Q407" s="1">
        <f>Table1[[#This Row],[High Tol]]-Table1[[#This Row],[Low Tol]]</f>
        <v>0</v>
      </c>
      <c r="R407" s="1">
        <f>2*Table1[[#This Row],[Std Error]]</f>
        <v>0</v>
      </c>
      <c r="S407" s="1" t="str">
        <f>IF(Table1[[#This Row],[High Tol]]="","N/A",IFERROR(ABS(Table1[[#This Row],[Tol Span]]/Table1[[#This Row],[Error Span]]),"N/A"))</f>
        <v>N/A</v>
      </c>
      <c r="T407" s="1" t="str">
        <f>IF(OR(Table1[[#This Row],[Low Tol]]="",Table1[[#This Row],[High Tol]]=""),"Needs Analysis",IF(Table1[[#This Row],[Ratio]]&gt;=4,"Not Significant",IF(Table1[[#This Row],[Ratio]]&gt;=2,"Semi-Significant","Significant")))</f>
        <v>Needs Analysis</v>
      </c>
      <c r="W407" s="1">
        <f>IF(Table1[[#This Row],[Cal Type]]&lt;&gt;"ACCREDITED 17025 WITH UNCERTAINTIES",0,"")</f>
        <v>0</v>
      </c>
      <c r="X407" s="1" t="str">
        <f>IF(Table1[[#This Row],[DUT Read]]="","N/A",Table1[[#This Row],[Std Error]]+Table1[[#This Row],[DUT Read]]+Table1[[#This Row],[DUT Ucty]])</f>
        <v>N/A</v>
      </c>
      <c r="Y407" s="1" t="str">
        <f>IF(Table1[[#This Row],[Std Read]]="","N/A",Table1[[#This Row],[Std Read]]+Table1[[#This Row],[Std Ucty]])</f>
        <v>N/A</v>
      </c>
      <c r="Z4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7" s="1" t="str">
        <f>IF(Table1[[#This Row],[Spec Type]]="","N/A",Table1[[#This Row],[Spec Type]])</f>
        <v>±</v>
      </c>
      <c r="AC407" s="1" t="str">
        <f>IF(Table1[[#This Row],[Spec Type2]]="N/A","N/A",IF(AND(Table1[[#This Row],[DUT Adj Read]]&gt;=Table1[[#This Row],[Low Tol]],Table1[[#This Row],[DUT Adj Read]]&lt;=Table1[[#This Row],[High Tol]]),"Pass","Fail"))</f>
        <v>Fail</v>
      </c>
      <c r="AD407" s="1" t="str">
        <f>IF(AND(Table1[[#This Row],[Spec Type2]]="N/A",Table1[[#This Row],[DUT Adj Read]]="N/A",Table1[[#This Row],[Std Adj Read]]="N/A"),"N/A",IF(Table1[[#This Row],[DUT Adj Read]]="N/A",IF(Table1[[#This Row],[Std Adj Read]]&gt;Table1[[#This Row],[Low Tol]],"Pass","Fail"),IF(Table1[[#This Row],[DUT Adj Read]]&gt;Table1[[#This Row],[Low Tol]],"Pass","Fail")))</f>
        <v>Pass</v>
      </c>
      <c r="AE407" s="1" t="str">
        <f>IF(AND(Table1[[#This Row],[Spec Type2]]="N/A",Table1[[#This Row],[DUT Adj Read]]="N/A",Table1[[#This Row],[Std Adj Read]]="N/A"),"N/A",IF(Table1[[#This Row],[DUT Adj Read]]="N/A",IF(Table1[[#This Row],[Std Adj Read]]&lt;Table1[[#This Row],[High Tol]],"Pass","Fail"),IF(Table1[[#This Row],[DUT Adj Read]]&lt;Table1[[#This Row],[High Tol]],"Pass","Fail")))</f>
        <v>Fail</v>
      </c>
      <c r="AF407" s="1" t="str">
        <f>IF(AND(Table1[[#This Row],[Spec Type2]]="N/A",Table1[[#This Row],[DUT Adj Read]]="N/A",Table1[[#This Row],[Std Adj Read]]="N/A"),"N/A",IF(Table1[[#This Row],[DUT Adj Read]]="N/A",IF(Table1[[#This Row],[Std Adj Read]]&gt;=Table1[[#This Row],[Low Tol]],"Pass","Fail"),IF(Table1[[#This Row],[DUT Adj Read]]&gt;=Table1[[#This Row],[Low Tol]],"Pass","Fail")))</f>
        <v>Pass</v>
      </c>
      <c r="AG407" s="1" t="str">
        <f>IF(AND(Table1[[#This Row],[Spec Type2]]="N/A",Table1[[#This Row],[DUT Adj Read]]="N/A",Table1[[#This Row],[Std Adj Read]]="N/A"),"N/A",IF(Table1[[#This Row],[DUT Adj Read]]="N/A",IF(Table1[[#This Row],[Std Adj Read]]&lt;=Table1[[#This Row],[High Tol]],"Pass","Fail"),IF(Table1[[#This Row],[DUT Adj Read]]&lt;=Table1[[#This Row],[High Tol]],"Pass","Fail")))</f>
        <v>Fail</v>
      </c>
      <c r="AH4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7" s="1" t="b">
        <v>0</v>
      </c>
      <c r="AN407" s="1" t="b">
        <v>0</v>
      </c>
      <c r="AO407" s="1" t="b">
        <v>0</v>
      </c>
    </row>
    <row r="408" spans="1:41" x14ac:dyDescent="0.25">
      <c r="A408" s="10"/>
      <c r="B408" s="10"/>
      <c r="C408" s="10"/>
      <c r="D408" s="10"/>
      <c r="E408" s="10"/>
      <c r="F408" s="10"/>
      <c r="G408" s="10"/>
      <c r="H408" s="10"/>
      <c r="I408" s="1" t="str">
        <f t="shared" si="18"/>
        <v/>
      </c>
      <c r="J408" s="1" t="s">
        <v>35</v>
      </c>
      <c r="K408" s="1" t="str">
        <f t="shared" si="19"/>
        <v/>
      </c>
      <c r="L408" s="1" t="str">
        <f t="shared" si="20"/>
        <v/>
      </c>
      <c r="M408" s="1">
        <f>IF(OR(Table1[[#This Row],[Std Nom]]="",Table1[[#This Row],[Std Read]]=""),0,Table1[[#This Row],[Std Nom]]-Table1[[#This Row],[Std Read]])</f>
        <v>0</v>
      </c>
      <c r="N408" s="1">
        <f>IF(Calculations!$F$5="ACCREDITED 17025 WITH UNCERTAINTIES",$N$10,0)</f>
        <v>0</v>
      </c>
      <c r="Q408" s="1">
        <f>Table1[[#This Row],[High Tol]]-Table1[[#This Row],[Low Tol]]</f>
        <v>0</v>
      </c>
      <c r="R408" s="1">
        <f>2*Table1[[#This Row],[Std Error]]</f>
        <v>0</v>
      </c>
      <c r="S408" s="1" t="str">
        <f>IF(Table1[[#This Row],[High Tol]]="","N/A",IFERROR(ABS(Table1[[#This Row],[Tol Span]]/Table1[[#This Row],[Error Span]]),"N/A"))</f>
        <v>N/A</v>
      </c>
      <c r="T408" s="1" t="str">
        <f>IF(OR(Table1[[#This Row],[Low Tol]]="",Table1[[#This Row],[High Tol]]=""),"Needs Analysis",IF(Table1[[#This Row],[Ratio]]&gt;=4,"Not Significant",IF(Table1[[#This Row],[Ratio]]&gt;=2,"Semi-Significant","Significant")))</f>
        <v>Needs Analysis</v>
      </c>
      <c r="W408" s="1">
        <f>IF(Table1[[#This Row],[Cal Type]]&lt;&gt;"ACCREDITED 17025 WITH UNCERTAINTIES",0,"")</f>
        <v>0</v>
      </c>
      <c r="X408" s="1" t="str">
        <f>IF(Table1[[#This Row],[DUT Read]]="","N/A",Table1[[#This Row],[Std Error]]+Table1[[#This Row],[DUT Read]]+Table1[[#This Row],[DUT Ucty]])</f>
        <v>N/A</v>
      </c>
      <c r="Y408" s="1" t="str">
        <f>IF(Table1[[#This Row],[Std Read]]="","N/A",Table1[[#This Row],[Std Read]]+Table1[[#This Row],[Std Ucty]])</f>
        <v>N/A</v>
      </c>
      <c r="Z4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8" s="1" t="str">
        <f>IF(Table1[[#This Row],[Spec Type]]="","N/A",Table1[[#This Row],[Spec Type]])</f>
        <v>±</v>
      </c>
      <c r="AC408" s="1" t="str">
        <f>IF(Table1[[#This Row],[Spec Type2]]="N/A","N/A",IF(AND(Table1[[#This Row],[DUT Adj Read]]&gt;=Table1[[#This Row],[Low Tol]],Table1[[#This Row],[DUT Adj Read]]&lt;=Table1[[#This Row],[High Tol]]),"Pass","Fail"))</f>
        <v>Fail</v>
      </c>
      <c r="AD408" s="1" t="str">
        <f>IF(AND(Table1[[#This Row],[Spec Type2]]="N/A",Table1[[#This Row],[DUT Adj Read]]="N/A",Table1[[#This Row],[Std Adj Read]]="N/A"),"N/A",IF(Table1[[#This Row],[DUT Adj Read]]="N/A",IF(Table1[[#This Row],[Std Adj Read]]&gt;Table1[[#This Row],[Low Tol]],"Pass","Fail"),IF(Table1[[#This Row],[DUT Adj Read]]&gt;Table1[[#This Row],[Low Tol]],"Pass","Fail")))</f>
        <v>Pass</v>
      </c>
      <c r="AE408" s="1" t="str">
        <f>IF(AND(Table1[[#This Row],[Spec Type2]]="N/A",Table1[[#This Row],[DUT Adj Read]]="N/A",Table1[[#This Row],[Std Adj Read]]="N/A"),"N/A",IF(Table1[[#This Row],[DUT Adj Read]]="N/A",IF(Table1[[#This Row],[Std Adj Read]]&lt;Table1[[#This Row],[High Tol]],"Pass","Fail"),IF(Table1[[#This Row],[DUT Adj Read]]&lt;Table1[[#This Row],[High Tol]],"Pass","Fail")))</f>
        <v>Fail</v>
      </c>
      <c r="AF408" s="1" t="str">
        <f>IF(AND(Table1[[#This Row],[Spec Type2]]="N/A",Table1[[#This Row],[DUT Adj Read]]="N/A",Table1[[#This Row],[Std Adj Read]]="N/A"),"N/A",IF(Table1[[#This Row],[DUT Adj Read]]="N/A",IF(Table1[[#This Row],[Std Adj Read]]&gt;=Table1[[#This Row],[Low Tol]],"Pass","Fail"),IF(Table1[[#This Row],[DUT Adj Read]]&gt;=Table1[[#This Row],[Low Tol]],"Pass","Fail")))</f>
        <v>Pass</v>
      </c>
      <c r="AG408" s="1" t="str">
        <f>IF(AND(Table1[[#This Row],[Spec Type2]]="N/A",Table1[[#This Row],[DUT Adj Read]]="N/A",Table1[[#This Row],[Std Adj Read]]="N/A"),"N/A",IF(Table1[[#This Row],[DUT Adj Read]]="N/A",IF(Table1[[#This Row],[Std Adj Read]]&lt;=Table1[[#This Row],[High Tol]],"Pass","Fail"),IF(Table1[[#This Row],[DUT Adj Read]]&lt;=Table1[[#This Row],[High Tol]],"Pass","Fail")))</f>
        <v>Fail</v>
      </c>
      <c r="AH4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8" s="1" t="b">
        <v>0</v>
      </c>
      <c r="AN408" s="1" t="b">
        <v>0</v>
      </c>
      <c r="AO408" s="1" t="b">
        <v>0</v>
      </c>
    </row>
    <row r="409" spans="1:41" x14ac:dyDescent="0.25">
      <c r="A409" s="10"/>
      <c r="B409" s="10"/>
      <c r="C409" s="10"/>
      <c r="D409" s="10"/>
      <c r="E409" s="10"/>
      <c r="F409" s="10"/>
      <c r="G409" s="10"/>
      <c r="H409" s="10"/>
      <c r="I409" s="1" t="str">
        <f t="shared" si="18"/>
        <v/>
      </c>
      <c r="J409" s="1" t="s">
        <v>35</v>
      </c>
      <c r="K409" s="1" t="str">
        <f t="shared" si="19"/>
        <v/>
      </c>
      <c r="L409" s="1" t="str">
        <f t="shared" si="20"/>
        <v/>
      </c>
      <c r="M409" s="1">
        <f>IF(OR(Table1[[#This Row],[Std Nom]]="",Table1[[#This Row],[Std Read]]=""),0,Table1[[#This Row],[Std Nom]]-Table1[[#This Row],[Std Read]])</f>
        <v>0</v>
      </c>
      <c r="N409" s="1">
        <f>IF(Calculations!$F$5="ACCREDITED 17025 WITH UNCERTAINTIES",$N$10,0)</f>
        <v>0</v>
      </c>
      <c r="Q409" s="1">
        <f>Table1[[#This Row],[High Tol]]-Table1[[#This Row],[Low Tol]]</f>
        <v>0</v>
      </c>
      <c r="R409" s="1">
        <f>2*Table1[[#This Row],[Std Error]]</f>
        <v>0</v>
      </c>
      <c r="S409" s="1" t="str">
        <f>IF(Table1[[#This Row],[High Tol]]="","N/A",IFERROR(ABS(Table1[[#This Row],[Tol Span]]/Table1[[#This Row],[Error Span]]),"N/A"))</f>
        <v>N/A</v>
      </c>
      <c r="T409" s="1" t="str">
        <f>IF(OR(Table1[[#This Row],[Low Tol]]="",Table1[[#This Row],[High Tol]]=""),"Needs Analysis",IF(Table1[[#This Row],[Ratio]]&gt;=4,"Not Significant",IF(Table1[[#This Row],[Ratio]]&gt;=2,"Semi-Significant","Significant")))</f>
        <v>Needs Analysis</v>
      </c>
      <c r="W409" s="1">
        <f>IF(Table1[[#This Row],[Cal Type]]&lt;&gt;"ACCREDITED 17025 WITH UNCERTAINTIES",0,"")</f>
        <v>0</v>
      </c>
      <c r="X409" s="1" t="str">
        <f>IF(Table1[[#This Row],[DUT Read]]="","N/A",Table1[[#This Row],[Std Error]]+Table1[[#This Row],[DUT Read]]+Table1[[#This Row],[DUT Ucty]])</f>
        <v>N/A</v>
      </c>
      <c r="Y409" s="1" t="str">
        <f>IF(Table1[[#This Row],[Std Read]]="","N/A",Table1[[#This Row],[Std Read]]+Table1[[#This Row],[Std Ucty]])</f>
        <v>N/A</v>
      </c>
      <c r="Z4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09" s="1" t="str">
        <f>IF(Table1[[#This Row],[Spec Type]]="","N/A",Table1[[#This Row],[Spec Type]])</f>
        <v>±</v>
      </c>
      <c r="AC409" s="1" t="str">
        <f>IF(Table1[[#This Row],[Spec Type2]]="N/A","N/A",IF(AND(Table1[[#This Row],[DUT Adj Read]]&gt;=Table1[[#This Row],[Low Tol]],Table1[[#This Row],[DUT Adj Read]]&lt;=Table1[[#This Row],[High Tol]]),"Pass","Fail"))</f>
        <v>Fail</v>
      </c>
      <c r="AD409" s="1" t="str">
        <f>IF(AND(Table1[[#This Row],[Spec Type2]]="N/A",Table1[[#This Row],[DUT Adj Read]]="N/A",Table1[[#This Row],[Std Adj Read]]="N/A"),"N/A",IF(Table1[[#This Row],[DUT Adj Read]]="N/A",IF(Table1[[#This Row],[Std Adj Read]]&gt;Table1[[#This Row],[Low Tol]],"Pass","Fail"),IF(Table1[[#This Row],[DUT Adj Read]]&gt;Table1[[#This Row],[Low Tol]],"Pass","Fail")))</f>
        <v>Pass</v>
      </c>
      <c r="AE409" s="1" t="str">
        <f>IF(AND(Table1[[#This Row],[Spec Type2]]="N/A",Table1[[#This Row],[DUT Adj Read]]="N/A",Table1[[#This Row],[Std Adj Read]]="N/A"),"N/A",IF(Table1[[#This Row],[DUT Adj Read]]="N/A",IF(Table1[[#This Row],[Std Adj Read]]&lt;Table1[[#This Row],[High Tol]],"Pass","Fail"),IF(Table1[[#This Row],[DUT Adj Read]]&lt;Table1[[#This Row],[High Tol]],"Pass","Fail")))</f>
        <v>Fail</v>
      </c>
      <c r="AF409" s="1" t="str">
        <f>IF(AND(Table1[[#This Row],[Spec Type2]]="N/A",Table1[[#This Row],[DUT Adj Read]]="N/A",Table1[[#This Row],[Std Adj Read]]="N/A"),"N/A",IF(Table1[[#This Row],[DUT Adj Read]]="N/A",IF(Table1[[#This Row],[Std Adj Read]]&gt;=Table1[[#This Row],[Low Tol]],"Pass","Fail"),IF(Table1[[#This Row],[DUT Adj Read]]&gt;=Table1[[#This Row],[Low Tol]],"Pass","Fail")))</f>
        <v>Pass</v>
      </c>
      <c r="AG409" s="1" t="str">
        <f>IF(AND(Table1[[#This Row],[Spec Type2]]="N/A",Table1[[#This Row],[DUT Adj Read]]="N/A",Table1[[#This Row],[Std Adj Read]]="N/A"),"N/A",IF(Table1[[#This Row],[DUT Adj Read]]="N/A",IF(Table1[[#This Row],[Std Adj Read]]&lt;=Table1[[#This Row],[High Tol]],"Pass","Fail"),IF(Table1[[#This Row],[DUT Adj Read]]&lt;=Table1[[#This Row],[High Tol]],"Pass","Fail")))</f>
        <v>Fail</v>
      </c>
      <c r="AH4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09" s="1" t="b">
        <v>0</v>
      </c>
      <c r="AN409" s="1" t="b">
        <v>0</v>
      </c>
      <c r="AO409" s="1" t="b">
        <v>0</v>
      </c>
    </row>
    <row r="410" spans="1:41" x14ac:dyDescent="0.25">
      <c r="A410" s="10"/>
      <c r="B410" s="10"/>
      <c r="C410" s="10"/>
      <c r="D410" s="10"/>
      <c r="E410" s="10"/>
      <c r="F410" s="10"/>
      <c r="G410" s="10"/>
      <c r="H410" s="10"/>
      <c r="I410" s="1" t="str">
        <f t="shared" si="18"/>
        <v/>
      </c>
      <c r="J410" s="1" t="s">
        <v>35</v>
      </c>
      <c r="K410" s="1" t="str">
        <f t="shared" si="19"/>
        <v/>
      </c>
      <c r="L410" s="1" t="str">
        <f t="shared" si="20"/>
        <v/>
      </c>
      <c r="M410" s="1">
        <f>IF(OR(Table1[[#This Row],[Std Nom]]="",Table1[[#This Row],[Std Read]]=""),0,Table1[[#This Row],[Std Nom]]-Table1[[#This Row],[Std Read]])</f>
        <v>0</v>
      </c>
      <c r="N410" s="1">
        <f>IF(Calculations!$F$5="ACCREDITED 17025 WITH UNCERTAINTIES",$N$10,0)</f>
        <v>0</v>
      </c>
      <c r="Q410" s="1">
        <f>Table1[[#This Row],[High Tol]]-Table1[[#This Row],[Low Tol]]</f>
        <v>0</v>
      </c>
      <c r="R410" s="1">
        <f>2*Table1[[#This Row],[Std Error]]</f>
        <v>0</v>
      </c>
      <c r="S410" s="1" t="str">
        <f>IF(Table1[[#This Row],[High Tol]]="","N/A",IFERROR(ABS(Table1[[#This Row],[Tol Span]]/Table1[[#This Row],[Error Span]]),"N/A"))</f>
        <v>N/A</v>
      </c>
      <c r="T410" s="1" t="str">
        <f>IF(OR(Table1[[#This Row],[Low Tol]]="",Table1[[#This Row],[High Tol]]=""),"Needs Analysis",IF(Table1[[#This Row],[Ratio]]&gt;=4,"Not Significant",IF(Table1[[#This Row],[Ratio]]&gt;=2,"Semi-Significant","Significant")))</f>
        <v>Needs Analysis</v>
      </c>
      <c r="W410" s="1">
        <f>IF(Table1[[#This Row],[Cal Type]]&lt;&gt;"ACCREDITED 17025 WITH UNCERTAINTIES",0,"")</f>
        <v>0</v>
      </c>
      <c r="X410" s="1" t="str">
        <f>IF(Table1[[#This Row],[DUT Read]]="","N/A",Table1[[#This Row],[Std Error]]+Table1[[#This Row],[DUT Read]]+Table1[[#This Row],[DUT Ucty]])</f>
        <v>N/A</v>
      </c>
      <c r="Y410" s="1" t="str">
        <f>IF(Table1[[#This Row],[Std Read]]="","N/A",Table1[[#This Row],[Std Read]]+Table1[[#This Row],[Std Ucty]])</f>
        <v>N/A</v>
      </c>
      <c r="Z4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0" s="1" t="str">
        <f>IF(Table1[[#This Row],[Spec Type]]="","N/A",Table1[[#This Row],[Spec Type]])</f>
        <v>±</v>
      </c>
      <c r="AC410" s="1" t="str">
        <f>IF(Table1[[#This Row],[Spec Type2]]="N/A","N/A",IF(AND(Table1[[#This Row],[DUT Adj Read]]&gt;=Table1[[#This Row],[Low Tol]],Table1[[#This Row],[DUT Adj Read]]&lt;=Table1[[#This Row],[High Tol]]),"Pass","Fail"))</f>
        <v>Fail</v>
      </c>
      <c r="AD410" s="1" t="str">
        <f>IF(AND(Table1[[#This Row],[Spec Type2]]="N/A",Table1[[#This Row],[DUT Adj Read]]="N/A",Table1[[#This Row],[Std Adj Read]]="N/A"),"N/A",IF(Table1[[#This Row],[DUT Adj Read]]="N/A",IF(Table1[[#This Row],[Std Adj Read]]&gt;Table1[[#This Row],[Low Tol]],"Pass","Fail"),IF(Table1[[#This Row],[DUT Adj Read]]&gt;Table1[[#This Row],[Low Tol]],"Pass","Fail")))</f>
        <v>Pass</v>
      </c>
      <c r="AE410" s="1" t="str">
        <f>IF(AND(Table1[[#This Row],[Spec Type2]]="N/A",Table1[[#This Row],[DUT Adj Read]]="N/A",Table1[[#This Row],[Std Adj Read]]="N/A"),"N/A",IF(Table1[[#This Row],[DUT Adj Read]]="N/A",IF(Table1[[#This Row],[Std Adj Read]]&lt;Table1[[#This Row],[High Tol]],"Pass","Fail"),IF(Table1[[#This Row],[DUT Adj Read]]&lt;Table1[[#This Row],[High Tol]],"Pass","Fail")))</f>
        <v>Fail</v>
      </c>
      <c r="AF410" s="1" t="str">
        <f>IF(AND(Table1[[#This Row],[Spec Type2]]="N/A",Table1[[#This Row],[DUT Adj Read]]="N/A",Table1[[#This Row],[Std Adj Read]]="N/A"),"N/A",IF(Table1[[#This Row],[DUT Adj Read]]="N/A",IF(Table1[[#This Row],[Std Adj Read]]&gt;=Table1[[#This Row],[Low Tol]],"Pass","Fail"),IF(Table1[[#This Row],[DUT Adj Read]]&gt;=Table1[[#This Row],[Low Tol]],"Pass","Fail")))</f>
        <v>Pass</v>
      </c>
      <c r="AG410" s="1" t="str">
        <f>IF(AND(Table1[[#This Row],[Spec Type2]]="N/A",Table1[[#This Row],[DUT Adj Read]]="N/A",Table1[[#This Row],[Std Adj Read]]="N/A"),"N/A",IF(Table1[[#This Row],[DUT Adj Read]]="N/A",IF(Table1[[#This Row],[Std Adj Read]]&lt;=Table1[[#This Row],[High Tol]],"Pass","Fail"),IF(Table1[[#This Row],[DUT Adj Read]]&lt;=Table1[[#This Row],[High Tol]],"Pass","Fail")))</f>
        <v>Fail</v>
      </c>
      <c r="AH4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0" s="1" t="b">
        <v>0</v>
      </c>
      <c r="AN410" s="1" t="b">
        <v>0</v>
      </c>
      <c r="AO410" s="1" t="b">
        <v>0</v>
      </c>
    </row>
    <row r="411" spans="1:41" x14ac:dyDescent="0.25">
      <c r="A411" s="10"/>
      <c r="B411" s="10"/>
      <c r="C411" s="10"/>
      <c r="D411" s="10"/>
      <c r="E411" s="10"/>
      <c r="F411" s="10"/>
      <c r="G411" s="10"/>
      <c r="H411" s="10"/>
      <c r="I411" s="1" t="str">
        <f t="shared" si="18"/>
        <v/>
      </c>
      <c r="J411" s="1" t="s">
        <v>35</v>
      </c>
      <c r="K411" s="1" t="str">
        <f t="shared" si="19"/>
        <v/>
      </c>
      <c r="L411" s="1" t="str">
        <f t="shared" si="20"/>
        <v/>
      </c>
      <c r="M411" s="1">
        <f>IF(OR(Table1[[#This Row],[Std Nom]]="",Table1[[#This Row],[Std Read]]=""),0,Table1[[#This Row],[Std Nom]]-Table1[[#This Row],[Std Read]])</f>
        <v>0</v>
      </c>
      <c r="N411" s="1">
        <f>IF(Calculations!$F$5="ACCREDITED 17025 WITH UNCERTAINTIES",$N$10,0)</f>
        <v>0</v>
      </c>
      <c r="Q411" s="1">
        <f>Table1[[#This Row],[High Tol]]-Table1[[#This Row],[Low Tol]]</f>
        <v>0</v>
      </c>
      <c r="R411" s="1">
        <f>2*Table1[[#This Row],[Std Error]]</f>
        <v>0</v>
      </c>
      <c r="S411" s="1" t="str">
        <f>IF(Table1[[#This Row],[High Tol]]="","N/A",IFERROR(ABS(Table1[[#This Row],[Tol Span]]/Table1[[#This Row],[Error Span]]),"N/A"))</f>
        <v>N/A</v>
      </c>
      <c r="T411" s="1" t="str">
        <f>IF(OR(Table1[[#This Row],[Low Tol]]="",Table1[[#This Row],[High Tol]]=""),"Needs Analysis",IF(Table1[[#This Row],[Ratio]]&gt;=4,"Not Significant",IF(Table1[[#This Row],[Ratio]]&gt;=2,"Semi-Significant","Significant")))</f>
        <v>Needs Analysis</v>
      </c>
      <c r="W411" s="1">
        <f>IF(Table1[[#This Row],[Cal Type]]&lt;&gt;"ACCREDITED 17025 WITH UNCERTAINTIES",0,"")</f>
        <v>0</v>
      </c>
      <c r="X411" s="1" t="str">
        <f>IF(Table1[[#This Row],[DUT Read]]="","N/A",Table1[[#This Row],[Std Error]]+Table1[[#This Row],[DUT Read]]+Table1[[#This Row],[DUT Ucty]])</f>
        <v>N/A</v>
      </c>
      <c r="Y411" s="1" t="str">
        <f>IF(Table1[[#This Row],[Std Read]]="","N/A",Table1[[#This Row],[Std Read]]+Table1[[#This Row],[Std Ucty]])</f>
        <v>N/A</v>
      </c>
      <c r="Z4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1" s="1" t="str">
        <f>IF(Table1[[#This Row],[Spec Type]]="","N/A",Table1[[#This Row],[Spec Type]])</f>
        <v>±</v>
      </c>
      <c r="AC411" s="1" t="str">
        <f>IF(Table1[[#This Row],[Spec Type2]]="N/A","N/A",IF(AND(Table1[[#This Row],[DUT Adj Read]]&gt;=Table1[[#This Row],[Low Tol]],Table1[[#This Row],[DUT Adj Read]]&lt;=Table1[[#This Row],[High Tol]]),"Pass","Fail"))</f>
        <v>Fail</v>
      </c>
      <c r="AD411" s="1" t="str">
        <f>IF(AND(Table1[[#This Row],[Spec Type2]]="N/A",Table1[[#This Row],[DUT Adj Read]]="N/A",Table1[[#This Row],[Std Adj Read]]="N/A"),"N/A",IF(Table1[[#This Row],[DUT Adj Read]]="N/A",IF(Table1[[#This Row],[Std Adj Read]]&gt;Table1[[#This Row],[Low Tol]],"Pass","Fail"),IF(Table1[[#This Row],[DUT Adj Read]]&gt;Table1[[#This Row],[Low Tol]],"Pass","Fail")))</f>
        <v>Pass</v>
      </c>
      <c r="AE411" s="1" t="str">
        <f>IF(AND(Table1[[#This Row],[Spec Type2]]="N/A",Table1[[#This Row],[DUT Adj Read]]="N/A",Table1[[#This Row],[Std Adj Read]]="N/A"),"N/A",IF(Table1[[#This Row],[DUT Adj Read]]="N/A",IF(Table1[[#This Row],[Std Adj Read]]&lt;Table1[[#This Row],[High Tol]],"Pass","Fail"),IF(Table1[[#This Row],[DUT Adj Read]]&lt;Table1[[#This Row],[High Tol]],"Pass","Fail")))</f>
        <v>Fail</v>
      </c>
      <c r="AF411" s="1" t="str">
        <f>IF(AND(Table1[[#This Row],[Spec Type2]]="N/A",Table1[[#This Row],[DUT Adj Read]]="N/A",Table1[[#This Row],[Std Adj Read]]="N/A"),"N/A",IF(Table1[[#This Row],[DUT Adj Read]]="N/A",IF(Table1[[#This Row],[Std Adj Read]]&gt;=Table1[[#This Row],[Low Tol]],"Pass","Fail"),IF(Table1[[#This Row],[DUT Adj Read]]&gt;=Table1[[#This Row],[Low Tol]],"Pass","Fail")))</f>
        <v>Pass</v>
      </c>
      <c r="AG411" s="1" t="str">
        <f>IF(AND(Table1[[#This Row],[Spec Type2]]="N/A",Table1[[#This Row],[DUT Adj Read]]="N/A",Table1[[#This Row],[Std Adj Read]]="N/A"),"N/A",IF(Table1[[#This Row],[DUT Adj Read]]="N/A",IF(Table1[[#This Row],[Std Adj Read]]&lt;=Table1[[#This Row],[High Tol]],"Pass","Fail"),IF(Table1[[#This Row],[DUT Adj Read]]&lt;=Table1[[#This Row],[High Tol]],"Pass","Fail")))</f>
        <v>Fail</v>
      </c>
      <c r="AH4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1" s="1" t="b">
        <v>0</v>
      </c>
      <c r="AN411" s="1" t="b">
        <v>0</v>
      </c>
      <c r="AO411" s="1" t="b">
        <v>0</v>
      </c>
    </row>
    <row r="412" spans="1:41" x14ac:dyDescent="0.25">
      <c r="A412" s="10"/>
      <c r="B412" s="10"/>
      <c r="C412" s="10"/>
      <c r="D412" s="10"/>
      <c r="E412" s="10"/>
      <c r="F412" s="10"/>
      <c r="G412" s="10"/>
      <c r="H412" s="10"/>
      <c r="I412" s="1" t="str">
        <f t="shared" si="18"/>
        <v/>
      </c>
      <c r="J412" s="1" t="s">
        <v>35</v>
      </c>
      <c r="K412" s="1" t="str">
        <f t="shared" si="19"/>
        <v/>
      </c>
      <c r="L412" s="1" t="str">
        <f t="shared" si="20"/>
        <v/>
      </c>
      <c r="M412" s="1">
        <f>IF(OR(Table1[[#This Row],[Std Nom]]="",Table1[[#This Row],[Std Read]]=""),0,Table1[[#This Row],[Std Nom]]-Table1[[#This Row],[Std Read]])</f>
        <v>0</v>
      </c>
      <c r="N412" s="1">
        <f>IF(Calculations!$F$5="ACCREDITED 17025 WITH UNCERTAINTIES",$N$10,0)</f>
        <v>0</v>
      </c>
      <c r="Q412" s="1">
        <f>Table1[[#This Row],[High Tol]]-Table1[[#This Row],[Low Tol]]</f>
        <v>0</v>
      </c>
      <c r="R412" s="1">
        <f>2*Table1[[#This Row],[Std Error]]</f>
        <v>0</v>
      </c>
      <c r="S412" s="1" t="str">
        <f>IF(Table1[[#This Row],[High Tol]]="","N/A",IFERROR(ABS(Table1[[#This Row],[Tol Span]]/Table1[[#This Row],[Error Span]]),"N/A"))</f>
        <v>N/A</v>
      </c>
      <c r="T412" s="1" t="str">
        <f>IF(OR(Table1[[#This Row],[Low Tol]]="",Table1[[#This Row],[High Tol]]=""),"Needs Analysis",IF(Table1[[#This Row],[Ratio]]&gt;=4,"Not Significant",IF(Table1[[#This Row],[Ratio]]&gt;=2,"Semi-Significant","Significant")))</f>
        <v>Needs Analysis</v>
      </c>
      <c r="W412" s="1">
        <f>IF(Table1[[#This Row],[Cal Type]]&lt;&gt;"ACCREDITED 17025 WITH UNCERTAINTIES",0,"")</f>
        <v>0</v>
      </c>
      <c r="X412" s="1" t="str">
        <f>IF(Table1[[#This Row],[DUT Read]]="","N/A",Table1[[#This Row],[Std Error]]+Table1[[#This Row],[DUT Read]]+Table1[[#This Row],[DUT Ucty]])</f>
        <v>N/A</v>
      </c>
      <c r="Y412" s="1" t="str">
        <f>IF(Table1[[#This Row],[Std Read]]="","N/A",Table1[[#This Row],[Std Read]]+Table1[[#This Row],[Std Ucty]])</f>
        <v>N/A</v>
      </c>
      <c r="Z4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2" s="1" t="str">
        <f>IF(Table1[[#This Row],[Spec Type]]="","N/A",Table1[[#This Row],[Spec Type]])</f>
        <v>±</v>
      </c>
      <c r="AC412" s="1" t="str">
        <f>IF(Table1[[#This Row],[Spec Type2]]="N/A","N/A",IF(AND(Table1[[#This Row],[DUT Adj Read]]&gt;=Table1[[#This Row],[Low Tol]],Table1[[#This Row],[DUT Adj Read]]&lt;=Table1[[#This Row],[High Tol]]),"Pass","Fail"))</f>
        <v>Fail</v>
      </c>
      <c r="AD412" s="1" t="str">
        <f>IF(AND(Table1[[#This Row],[Spec Type2]]="N/A",Table1[[#This Row],[DUT Adj Read]]="N/A",Table1[[#This Row],[Std Adj Read]]="N/A"),"N/A",IF(Table1[[#This Row],[DUT Adj Read]]="N/A",IF(Table1[[#This Row],[Std Adj Read]]&gt;Table1[[#This Row],[Low Tol]],"Pass","Fail"),IF(Table1[[#This Row],[DUT Adj Read]]&gt;Table1[[#This Row],[Low Tol]],"Pass","Fail")))</f>
        <v>Pass</v>
      </c>
      <c r="AE412" s="1" t="str">
        <f>IF(AND(Table1[[#This Row],[Spec Type2]]="N/A",Table1[[#This Row],[DUT Adj Read]]="N/A",Table1[[#This Row],[Std Adj Read]]="N/A"),"N/A",IF(Table1[[#This Row],[DUT Adj Read]]="N/A",IF(Table1[[#This Row],[Std Adj Read]]&lt;Table1[[#This Row],[High Tol]],"Pass","Fail"),IF(Table1[[#This Row],[DUT Adj Read]]&lt;Table1[[#This Row],[High Tol]],"Pass","Fail")))</f>
        <v>Fail</v>
      </c>
      <c r="AF412" s="1" t="str">
        <f>IF(AND(Table1[[#This Row],[Spec Type2]]="N/A",Table1[[#This Row],[DUT Adj Read]]="N/A",Table1[[#This Row],[Std Adj Read]]="N/A"),"N/A",IF(Table1[[#This Row],[DUT Adj Read]]="N/A",IF(Table1[[#This Row],[Std Adj Read]]&gt;=Table1[[#This Row],[Low Tol]],"Pass","Fail"),IF(Table1[[#This Row],[DUT Adj Read]]&gt;=Table1[[#This Row],[Low Tol]],"Pass","Fail")))</f>
        <v>Pass</v>
      </c>
      <c r="AG412" s="1" t="str">
        <f>IF(AND(Table1[[#This Row],[Spec Type2]]="N/A",Table1[[#This Row],[DUT Adj Read]]="N/A",Table1[[#This Row],[Std Adj Read]]="N/A"),"N/A",IF(Table1[[#This Row],[DUT Adj Read]]="N/A",IF(Table1[[#This Row],[Std Adj Read]]&lt;=Table1[[#This Row],[High Tol]],"Pass","Fail"),IF(Table1[[#This Row],[DUT Adj Read]]&lt;=Table1[[#This Row],[High Tol]],"Pass","Fail")))</f>
        <v>Fail</v>
      </c>
      <c r="AH4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2" s="1" t="b">
        <v>0</v>
      </c>
      <c r="AN412" s="1" t="b">
        <v>0</v>
      </c>
      <c r="AO412" s="1" t="b">
        <v>0</v>
      </c>
    </row>
    <row r="413" spans="1:41" x14ac:dyDescent="0.25">
      <c r="A413" s="10"/>
      <c r="B413" s="10"/>
      <c r="C413" s="10"/>
      <c r="D413" s="10"/>
      <c r="E413" s="10"/>
      <c r="F413" s="10"/>
      <c r="G413" s="10"/>
      <c r="H413" s="10"/>
      <c r="I413" s="1" t="str">
        <f t="shared" si="18"/>
        <v/>
      </c>
      <c r="J413" s="1" t="s">
        <v>35</v>
      </c>
      <c r="K413" s="1" t="str">
        <f t="shared" si="19"/>
        <v/>
      </c>
      <c r="L413" s="1" t="str">
        <f t="shared" si="20"/>
        <v/>
      </c>
      <c r="M413" s="1">
        <f>IF(OR(Table1[[#This Row],[Std Nom]]="",Table1[[#This Row],[Std Read]]=""),0,Table1[[#This Row],[Std Nom]]-Table1[[#This Row],[Std Read]])</f>
        <v>0</v>
      </c>
      <c r="N413" s="1">
        <f>IF(Calculations!$F$5="ACCREDITED 17025 WITH UNCERTAINTIES",$N$10,0)</f>
        <v>0</v>
      </c>
      <c r="Q413" s="1">
        <f>Table1[[#This Row],[High Tol]]-Table1[[#This Row],[Low Tol]]</f>
        <v>0</v>
      </c>
      <c r="R413" s="1">
        <f>2*Table1[[#This Row],[Std Error]]</f>
        <v>0</v>
      </c>
      <c r="S413" s="1" t="str">
        <f>IF(Table1[[#This Row],[High Tol]]="","N/A",IFERROR(ABS(Table1[[#This Row],[Tol Span]]/Table1[[#This Row],[Error Span]]),"N/A"))</f>
        <v>N/A</v>
      </c>
      <c r="T413" s="1" t="str">
        <f>IF(OR(Table1[[#This Row],[Low Tol]]="",Table1[[#This Row],[High Tol]]=""),"Needs Analysis",IF(Table1[[#This Row],[Ratio]]&gt;=4,"Not Significant",IF(Table1[[#This Row],[Ratio]]&gt;=2,"Semi-Significant","Significant")))</f>
        <v>Needs Analysis</v>
      </c>
      <c r="W413" s="1">
        <f>IF(Table1[[#This Row],[Cal Type]]&lt;&gt;"ACCREDITED 17025 WITH UNCERTAINTIES",0,"")</f>
        <v>0</v>
      </c>
      <c r="X413" s="1" t="str">
        <f>IF(Table1[[#This Row],[DUT Read]]="","N/A",Table1[[#This Row],[Std Error]]+Table1[[#This Row],[DUT Read]]+Table1[[#This Row],[DUT Ucty]])</f>
        <v>N/A</v>
      </c>
      <c r="Y413" s="1" t="str">
        <f>IF(Table1[[#This Row],[Std Read]]="","N/A",Table1[[#This Row],[Std Read]]+Table1[[#This Row],[Std Ucty]])</f>
        <v>N/A</v>
      </c>
      <c r="Z4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3" s="1" t="str">
        <f>IF(Table1[[#This Row],[Spec Type]]="","N/A",Table1[[#This Row],[Spec Type]])</f>
        <v>±</v>
      </c>
      <c r="AC413" s="1" t="str">
        <f>IF(Table1[[#This Row],[Spec Type2]]="N/A","N/A",IF(AND(Table1[[#This Row],[DUT Adj Read]]&gt;=Table1[[#This Row],[Low Tol]],Table1[[#This Row],[DUT Adj Read]]&lt;=Table1[[#This Row],[High Tol]]),"Pass","Fail"))</f>
        <v>Fail</v>
      </c>
      <c r="AD413" s="1" t="str">
        <f>IF(AND(Table1[[#This Row],[Spec Type2]]="N/A",Table1[[#This Row],[DUT Adj Read]]="N/A",Table1[[#This Row],[Std Adj Read]]="N/A"),"N/A",IF(Table1[[#This Row],[DUT Adj Read]]="N/A",IF(Table1[[#This Row],[Std Adj Read]]&gt;Table1[[#This Row],[Low Tol]],"Pass","Fail"),IF(Table1[[#This Row],[DUT Adj Read]]&gt;Table1[[#This Row],[Low Tol]],"Pass","Fail")))</f>
        <v>Pass</v>
      </c>
      <c r="AE413" s="1" t="str">
        <f>IF(AND(Table1[[#This Row],[Spec Type2]]="N/A",Table1[[#This Row],[DUT Adj Read]]="N/A",Table1[[#This Row],[Std Adj Read]]="N/A"),"N/A",IF(Table1[[#This Row],[DUT Adj Read]]="N/A",IF(Table1[[#This Row],[Std Adj Read]]&lt;Table1[[#This Row],[High Tol]],"Pass","Fail"),IF(Table1[[#This Row],[DUT Adj Read]]&lt;Table1[[#This Row],[High Tol]],"Pass","Fail")))</f>
        <v>Fail</v>
      </c>
      <c r="AF413" s="1" t="str">
        <f>IF(AND(Table1[[#This Row],[Spec Type2]]="N/A",Table1[[#This Row],[DUT Adj Read]]="N/A",Table1[[#This Row],[Std Adj Read]]="N/A"),"N/A",IF(Table1[[#This Row],[DUT Adj Read]]="N/A",IF(Table1[[#This Row],[Std Adj Read]]&gt;=Table1[[#This Row],[Low Tol]],"Pass","Fail"),IF(Table1[[#This Row],[DUT Adj Read]]&gt;=Table1[[#This Row],[Low Tol]],"Pass","Fail")))</f>
        <v>Pass</v>
      </c>
      <c r="AG413" s="1" t="str">
        <f>IF(AND(Table1[[#This Row],[Spec Type2]]="N/A",Table1[[#This Row],[DUT Adj Read]]="N/A",Table1[[#This Row],[Std Adj Read]]="N/A"),"N/A",IF(Table1[[#This Row],[DUT Adj Read]]="N/A",IF(Table1[[#This Row],[Std Adj Read]]&lt;=Table1[[#This Row],[High Tol]],"Pass","Fail"),IF(Table1[[#This Row],[DUT Adj Read]]&lt;=Table1[[#This Row],[High Tol]],"Pass","Fail")))</f>
        <v>Fail</v>
      </c>
      <c r="AH4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3" s="1" t="b">
        <v>0</v>
      </c>
      <c r="AN413" s="1" t="b">
        <v>0</v>
      </c>
      <c r="AO413" s="1" t="b">
        <v>0</v>
      </c>
    </row>
    <row r="414" spans="1:41" x14ac:dyDescent="0.25">
      <c r="A414" s="10"/>
      <c r="B414" s="10"/>
      <c r="C414" s="10"/>
      <c r="D414" s="10"/>
      <c r="E414" s="10"/>
      <c r="F414" s="10"/>
      <c r="G414" s="10"/>
      <c r="H414" s="10"/>
      <c r="I414" s="1" t="str">
        <f t="shared" si="18"/>
        <v/>
      </c>
      <c r="J414" s="1" t="s">
        <v>35</v>
      </c>
      <c r="K414" s="1" t="str">
        <f t="shared" si="19"/>
        <v/>
      </c>
      <c r="L414" s="1" t="str">
        <f t="shared" si="20"/>
        <v/>
      </c>
      <c r="M414" s="1">
        <f>IF(OR(Table1[[#This Row],[Std Nom]]="",Table1[[#This Row],[Std Read]]=""),0,Table1[[#This Row],[Std Nom]]-Table1[[#This Row],[Std Read]])</f>
        <v>0</v>
      </c>
      <c r="N414" s="1">
        <f>IF(Calculations!$F$5="ACCREDITED 17025 WITH UNCERTAINTIES",$N$10,0)</f>
        <v>0</v>
      </c>
      <c r="Q414" s="1">
        <f>Table1[[#This Row],[High Tol]]-Table1[[#This Row],[Low Tol]]</f>
        <v>0</v>
      </c>
      <c r="R414" s="1">
        <f>2*Table1[[#This Row],[Std Error]]</f>
        <v>0</v>
      </c>
      <c r="S414" s="1" t="str">
        <f>IF(Table1[[#This Row],[High Tol]]="","N/A",IFERROR(ABS(Table1[[#This Row],[Tol Span]]/Table1[[#This Row],[Error Span]]),"N/A"))</f>
        <v>N/A</v>
      </c>
      <c r="T414" s="1" t="str">
        <f>IF(OR(Table1[[#This Row],[Low Tol]]="",Table1[[#This Row],[High Tol]]=""),"Needs Analysis",IF(Table1[[#This Row],[Ratio]]&gt;=4,"Not Significant",IF(Table1[[#This Row],[Ratio]]&gt;=2,"Semi-Significant","Significant")))</f>
        <v>Needs Analysis</v>
      </c>
      <c r="W414" s="1">
        <f>IF(Table1[[#This Row],[Cal Type]]&lt;&gt;"ACCREDITED 17025 WITH UNCERTAINTIES",0,"")</f>
        <v>0</v>
      </c>
      <c r="X414" s="1" t="str">
        <f>IF(Table1[[#This Row],[DUT Read]]="","N/A",Table1[[#This Row],[Std Error]]+Table1[[#This Row],[DUT Read]]+Table1[[#This Row],[DUT Ucty]])</f>
        <v>N/A</v>
      </c>
      <c r="Y414" s="1" t="str">
        <f>IF(Table1[[#This Row],[Std Read]]="","N/A",Table1[[#This Row],[Std Read]]+Table1[[#This Row],[Std Ucty]])</f>
        <v>N/A</v>
      </c>
      <c r="Z4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4" s="1" t="str">
        <f>IF(Table1[[#This Row],[Spec Type]]="","N/A",Table1[[#This Row],[Spec Type]])</f>
        <v>±</v>
      </c>
      <c r="AC414" s="1" t="str">
        <f>IF(Table1[[#This Row],[Spec Type2]]="N/A","N/A",IF(AND(Table1[[#This Row],[DUT Adj Read]]&gt;=Table1[[#This Row],[Low Tol]],Table1[[#This Row],[DUT Adj Read]]&lt;=Table1[[#This Row],[High Tol]]),"Pass","Fail"))</f>
        <v>Fail</v>
      </c>
      <c r="AD414" s="1" t="str">
        <f>IF(AND(Table1[[#This Row],[Spec Type2]]="N/A",Table1[[#This Row],[DUT Adj Read]]="N/A",Table1[[#This Row],[Std Adj Read]]="N/A"),"N/A",IF(Table1[[#This Row],[DUT Adj Read]]="N/A",IF(Table1[[#This Row],[Std Adj Read]]&gt;Table1[[#This Row],[Low Tol]],"Pass","Fail"),IF(Table1[[#This Row],[DUT Adj Read]]&gt;Table1[[#This Row],[Low Tol]],"Pass","Fail")))</f>
        <v>Pass</v>
      </c>
      <c r="AE414" s="1" t="str">
        <f>IF(AND(Table1[[#This Row],[Spec Type2]]="N/A",Table1[[#This Row],[DUT Adj Read]]="N/A",Table1[[#This Row],[Std Adj Read]]="N/A"),"N/A",IF(Table1[[#This Row],[DUT Adj Read]]="N/A",IF(Table1[[#This Row],[Std Adj Read]]&lt;Table1[[#This Row],[High Tol]],"Pass","Fail"),IF(Table1[[#This Row],[DUT Adj Read]]&lt;Table1[[#This Row],[High Tol]],"Pass","Fail")))</f>
        <v>Fail</v>
      </c>
      <c r="AF414" s="1" t="str">
        <f>IF(AND(Table1[[#This Row],[Spec Type2]]="N/A",Table1[[#This Row],[DUT Adj Read]]="N/A",Table1[[#This Row],[Std Adj Read]]="N/A"),"N/A",IF(Table1[[#This Row],[DUT Adj Read]]="N/A",IF(Table1[[#This Row],[Std Adj Read]]&gt;=Table1[[#This Row],[Low Tol]],"Pass","Fail"),IF(Table1[[#This Row],[DUT Adj Read]]&gt;=Table1[[#This Row],[Low Tol]],"Pass","Fail")))</f>
        <v>Pass</v>
      </c>
      <c r="AG414" s="1" t="str">
        <f>IF(AND(Table1[[#This Row],[Spec Type2]]="N/A",Table1[[#This Row],[DUT Adj Read]]="N/A",Table1[[#This Row],[Std Adj Read]]="N/A"),"N/A",IF(Table1[[#This Row],[DUT Adj Read]]="N/A",IF(Table1[[#This Row],[Std Adj Read]]&lt;=Table1[[#This Row],[High Tol]],"Pass","Fail"),IF(Table1[[#This Row],[DUT Adj Read]]&lt;=Table1[[#This Row],[High Tol]],"Pass","Fail")))</f>
        <v>Fail</v>
      </c>
      <c r="AH4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4" s="1" t="b">
        <v>0</v>
      </c>
      <c r="AN414" s="1" t="b">
        <v>0</v>
      </c>
      <c r="AO414" s="1" t="b">
        <v>0</v>
      </c>
    </row>
    <row r="415" spans="1:41" x14ac:dyDescent="0.25">
      <c r="A415" s="10"/>
      <c r="B415" s="10"/>
      <c r="C415" s="10"/>
      <c r="D415" s="10"/>
      <c r="E415" s="10"/>
      <c r="F415" s="10"/>
      <c r="G415" s="10"/>
      <c r="H415" s="10"/>
      <c r="I415" s="1" t="str">
        <f t="shared" si="18"/>
        <v/>
      </c>
      <c r="J415" s="1" t="s">
        <v>35</v>
      </c>
      <c r="K415" s="1" t="str">
        <f t="shared" si="19"/>
        <v/>
      </c>
      <c r="L415" s="1" t="str">
        <f t="shared" si="20"/>
        <v/>
      </c>
      <c r="M415" s="1">
        <f>IF(OR(Table1[[#This Row],[Std Nom]]="",Table1[[#This Row],[Std Read]]=""),0,Table1[[#This Row],[Std Nom]]-Table1[[#This Row],[Std Read]])</f>
        <v>0</v>
      </c>
      <c r="N415" s="1">
        <f>IF(Calculations!$F$5="ACCREDITED 17025 WITH UNCERTAINTIES",$N$10,0)</f>
        <v>0</v>
      </c>
      <c r="Q415" s="1">
        <f>Table1[[#This Row],[High Tol]]-Table1[[#This Row],[Low Tol]]</f>
        <v>0</v>
      </c>
      <c r="R415" s="1">
        <f>2*Table1[[#This Row],[Std Error]]</f>
        <v>0</v>
      </c>
      <c r="S415" s="1" t="str">
        <f>IF(Table1[[#This Row],[High Tol]]="","N/A",IFERROR(ABS(Table1[[#This Row],[Tol Span]]/Table1[[#This Row],[Error Span]]),"N/A"))</f>
        <v>N/A</v>
      </c>
      <c r="T415" s="1" t="str">
        <f>IF(OR(Table1[[#This Row],[Low Tol]]="",Table1[[#This Row],[High Tol]]=""),"Needs Analysis",IF(Table1[[#This Row],[Ratio]]&gt;=4,"Not Significant",IF(Table1[[#This Row],[Ratio]]&gt;=2,"Semi-Significant","Significant")))</f>
        <v>Needs Analysis</v>
      </c>
      <c r="W415" s="1">
        <f>IF(Table1[[#This Row],[Cal Type]]&lt;&gt;"ACCREDITED 17025 WITH UNCERTAINTIES",0,"")</f>
        <v>0</v>
      </c>
      <c r="X415" s="1" t="str">
        <f>IF(Table1[[#This Row],[DUT Read]]="","N/A",Table1[[#This Row],[Std Error]]+Table1[[#This Row],[DUT Read]]+Table1[[#This Row],[DUT Ucty]])</f>
        <v>N/A</v>
      </c>
      <c r="Y415" s="1" t="str">
        <f>IF(Table1[[#This Row],[Std Read]]="","N/A",Table1[[#This Row],[Std Read]]+Table1[[#This Row],[Std Ucty]])</f>
        <v>N/A</v>
      </c>
      <c r="Z4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5" s="1" t="str">
        <f>IF(Table1[[#This Row],[Spec Type]]="","N/A",Table1[[#This Row],[Spec Type]])</f>
        <v>±</v>
      </c>
      <c r="AC415" s="1" t="str">
        <f>IF(Table1[[#This Row],[Spec Type2]]="N/A","N/A",IF(AND(Table1[[#This Row],[DUT Adj Read]]&gt;=Table1[[#This Row],[Low Tol]],Table1[[#This Row],[DUT Adj Read]]&lt;=Table1[[#This Row],[High Tol]]),"Pass","Fail"))</f>
        <v>Fail</v>
      </c>
      <c r="AD415" s="1" t="str">
        <f>IF(AND(Table1[[#This Row],[Spec Type2]]="N/A",Table1[[#This Row],[DUT Adj Read]]="N/A",Table1[[#This Row],[Std Adj Read]]="N/A"),"N/A",IF(Table1[[#This Row],[DUT Adj Read]]="N/A",IF(Table1[[#This Row],[Std Adj Read]]&gt;Table1[[#This Row],[Low Tol]],"Pass","Fail"),IF(Table1[[#This Row],[DUT Adj Read]]&gt;Table1[[#This Row],[Low Tol]],"Pass","Fail")))</f>
        <v>Pass</v>
      </c>
      <c r="AE415" s="1" t="str">
        <f>IF(AND(Table1[[#This Row],[Spec Type2]]="N/A",Table1[[#This Row],[DUT Adj Read]]="N/A",Table1[[#This Row],[Std Adj Read]]="N/A"),"N/A",IF(Table1[[#This Row],[DUT Adj Read]]="N/A",IF(Table1[[#This Row],[Std Adj Read]]&lt;Table1[[#This Row],[High Tol]],"Pass","Fail"),IF(Table1[[#This Row],[DUT Adj Read]]&lt;Table1[[#This Row],[High Tol]],"Pass","Fail")))</f>
        <v>Fail</v>
      </c>
      <c r="AF415" s="1" t="str">
        <f>IF(AND(Table1[[#This Row],[Spec Type2]]="N/A",Table1[[#This Row],[DUT Adj Read]]="N/A",Table1[[#This Row],[Std Adj Read]]="N/A"),"N/A",IF(Table1[[#This Row],[DUT Adj Read]]="N/A",IF(Table1[[#This Row],[Std Adj Read]]&gt;=Table1[[#This Row],[Low Tol]],"Pass","Fail"),IF(Table1[[#This Row],[DUT Adj Read]]&gt;=Table1[[#This Row],[Low Tol]],"Pass","Fail")))</f>
        <v>Pass</v>
      </c>
      <c r="AG415" s="1" t="str">
        <f>IF(AND(Table1[[#This Row],[Spec Type2]]="N/A",Table1[[#This Row],[DUT Adj Read]]="N/A",Table1[[#This Row],[Std Adj Read]]="N/A"),"N/A",IF(Table1[[#This Row],[DUT Adj Read]]="N/A",IF(Table1[[#This Row],[Std Adj Read]]&lt;=Table1[[#This Row],[High Tol]],"Pass","Fail"),IF(Table1[[#This Row],[DUT Adj Read]]&lt;=Table1[[#This Row],[High Tol]],"Pass","Fail")))</f>
        <v>Fail</v>
      </c>
      <c r="AH4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5" s="1" t="b">
        <v>0</v>
      </c>
      <c r="AN415" s="1" t="b">
        <v>0</v>
      </c>
      <c r="AO415" s="1" t="b">
        <v>0</v>
      </c>
    </row>
    <row r="416" spans="1:41" x14ac:dyDescent="0.25">
      <c r="A416" s="10"/>
      <c r="B416" s="10"/>
      <c r="C416" s="10"/>
      <c r="D416" s="10"/>
      <c r="E416" s="10"/>
      <c r="F416" s="10"/>
      <c r="G416" s="10"/>
      <c r="H416" s="10"/>
      <c r="I416" s="1" t="str">
        <f t="shared" si="18"/>
        <v/>
      </c>
      <c r="J416" s="1" t="s">
        <v>35</v>
      </c>
      <c r="K416" s="1" t="str">
        <f t="shared" si="19"/>
        <v/>
      </c>
      <c r="L416" s="1" t="str">
        <f t="shared" si="20"/>
        <v/>
      </c>
      <c r="M416" s="1">
        <f>IF(OR(Table1[[#This Row],[Std Nom]]="",Table1[[#This Row],[Std Read]]=""),0,Table1[[#This Row],[Std Nom]]-Table1[[#This Row],[Std Read]])</f>
        <v>0</v>
      </c>
      <c r="N416" s="1">
        <f>IF(Calculations!$F$5="ACCREDITED 17025 WITH UNCERTAINTIES",$N$10,0)</f>
        <v>0</v>
      </c>
      <c r="Q416" s="1">
        <f>Table1[[#This Row],[High Tol]]-Table1[[#This Row],[Low Tol]]</f>
        <v>0</v>
      </c>
      <c r="R416" s="1">
        <f>2*Table1[[#This Row],[Std Error]]</f>
        <v>0</v>
      </c>
      <c r="S416" s="1" t="str">
        <f>IF(Table1[[#This Row],[High Tol]]="","N/A",IFERROR(ABS(Table1[[#This Row],[Tol Span]]/Table1[[#This Row],[Error Span]]),"N/A"))</f>
        <v>N/A</v>
      </c>
      <c r="T416" s="1" t="str">
        <f>IF(OR(Table1[[#This Row],[Low Tol]]="",Table1[[#This Row],[High Tol]]=""),"Needs Analysis",IF(Table1[[#This Row],[Ratio]]&gt;=4,"Not Significant",IF(Table1[[#This Row],[Ratio]]&gt;=2,"Semi-Significant","Significant")))</f>
        <v>Needs Analysis</v>
      </c>
      <c r="W416" s="1">
        <f>IF(Table1[[#This Row],[Cal Type]]&lt;&gt;"ACCREDITED 17025 WITH UNCERTAINTIES",0,"")</f>
        <v>0</v>
      </c>
      <c r="X416" s="1" t="str">
        <f>IF(Table1[[#This Row],[DUT Read]]="","N/A",Table1[[#This Row],[Std Error]]+Table1[[#This Row],[DUT Read]]+Table1[[#This Row],[DUT Ucty]])</f>
        <v>N/A</v>
      </c>
      <c r="Y416" s="1" t="str">
        <f>IF(Table1[[#This Row],[Std Read]]="","N/A",Table1[[#This Row],[Std Read]]+Table1[[#This Row],[Std Ucty]])</f>
        <v>N/A</v>
      </c>
      <c r="Z4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6" s="1" t="str">
        <f>IF(Table1[[#This Row],[Spec Type]]="","N/A",Table1[[#This Row],[Spec Type]])</f>
        <v>±</v>
      </c>
      <c r="AC416" s="1" t="str">
        <f>IF(Table1[[#This Row],[Spec Type2]]="N/A","N/A",IF(AND(Table1[[#This Row],[DUT Adj Read]]&gt;=Table1[[#This Row],[Low Tol]],Table1[[#This Row],[DUT Adj Read]]&lt;=Table1[[#This Row],[High Tol]]),"Pass","Fail"))</f>
        <v>Fail</v>
      </c>
      <c r="AD416" s="1" t="str">
        <f>IF(AND(Table1[[#This Row],[Spec Type2]]="N/A",Table1[[#This Row],[DUT Adj Read]]="N/A",Table1[[#This Row],[Std Adj Read]]="N/A"),"N/A",IF(Table1[[#This Row],[DUT Adj Read]]="N/A",IF(Table1[[#This Row],[Std Adj Read]]&gt;Table1[[#This Row],[Low Tol]],"Pass","Fail"),IF(Table1[[#This Row],[DUT Adj Read]]&gt;Table1[[#This Row],[Low Tol]],"Pass","Fail")))</f>
        <v>Pass</v>
      </c>
      <c r="AE416" s="1" t="str">
        <f>IF(AND(Table1[[#This Row],[Spec Type2]]="N/A",Table1[[#This Row],[DUT Adj Read]]="N/A",Table1[[#This Row],[Std Adj Read]]="N/A"),"N/A",IF(Table1[[#This Row],[DUT Adj Read]]="N/A",IF(Table1[[#This Row],[Std Adj Read]]&lt;Table1[[#This Row],[High Tol]],"Pass","Fail"),IF(Table1[[#This Row],[DUT Adj Read]]&lt;Table1[[#This Row],[High Tol]],"Pass","Fail")))</f>
        <v>Fail</v>
      </c>
      <c r="AF416" s="1" t="str">
        <f>IF(AND(Table1[[#This Row],[Spec Type2]]="N/A",Table1[[#This Row],[DUT Adj Read]]="N/A",Table1[[#This Row],[Std Adj Read]]="N/A"),"N/A",IF(Table1[[#This Row],[DUT Adj Read]]="N/A",IF(Table1[[#This Row],[Std Adj Read]]&gt;=Table1[[#This Row],[Low Tol]],"Pass","Fail"),IF(Table1[[#This Row],[DUT Adj Read]]&gt;=Table1[[#This Row],[Low Tol]],"Pass","Fail")))</f>
        <v>Pass</v>
      </c>
      <c r="AG416" s="1" t="str">
        <f>IF(AND(Table1[[#This Row],[Spec Type2]]="N/A",Table1[[#This Row],[DUT Adj Read]]="N/A",Table1[[#This Row],[Std Adj Read]]="N/A"),"N/A",IF(Table1[[#This Row],[DUT Adj Read]]="N/A",IF(Table1[[#This Row],[Std Adj Read]]&lt;=Table1[[#This Row],[High Tol]],"Pass","Fail"),IF(Table1[[#This Row],[DUT Adj Read]]&lt;=Table1[[#This Row],[High Tol]],"Pass","Fail")))</f>
        <v>Fail</v>
      </c>
      <c r="AH4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6" s="1" t="b">
        <v>0</v>
      </c>
      <c r="AN416" s="1" t="b">
        <v>0</v>
      </c>
      <c r="AO416" s="1" t="b">
        <v>0</v>
      </c>
    </row>
    <row r="417" spans="1:41" x14ac:dyDescent="0.25">
      <c r="A417" s="10"/>
      <c r="B417" s="10"/>
      <c r="C417" s="10"/>
      <c r="D417" s="10"/>
      <c r="E417" s="10"/>
      <c r="F417" s="10"/>
      <c r="G417" s="10"/>
      <c r="H417" s="10"/>
      <c r="I417" s="1" t="str">
        <f t="shared" si="18"/>
        <v/>
      </c>
      <c r="J417" s="1" t="s">
        <v>35</v>
      </c>
      <c r="K417" s="1" t="str">
        <f t="shared" si="19"/>
        <v/>
      </c>
      <c r="L417" s="1" t="str">
        <f t="shared" si="20"/>
        <v/>
      </c>
      <c r="M417" s="1">
        <f>IF(OR(Table1[[#This Row],[Std Nom]]="",Table1[[#This Row],[Std Read]]=""),0,Table1[[#This Row],[Std Nom]]-Table1[[#This Row],[Std Read]])</f>
        <v>0</v>
      </c>
      <c r="N417" s="1">
        <f>IF(Calculations!$F$5="ACCREDITED 17025 WITH UNCERTAINTIES",$N$10,0)</f>
        <v>0</v>
      </c>
      <c r="Q417" s="1">
        <f>Table1[[#This Row],[High Tol]]-Table1[[#This Row],[Low Tol]]</f>
        <v>0</v>
      </c>
      <c r="R417" s="1">
        <f>2*Table1[[#This Row],[Std Error]]</f>
        <v>0</v>
      </c>
      <c r="S417" s="1" t="str">
        <f>IF(Table1[[#This Row],[High Tol]]="","N/A",IFERROR(ABS(Table1[[#This Row],[Tol Span]]/Table1[[#This Row],[Error Span]]),"N/A"))</f>
        <v>N/A</v>
      </c>
      <c r="T417" s="1" t="str">
        <f>IF(OR(Table1[[#This Row],[Low Tol]]="",Table1[[#This Row],[High Tol]]=""),"Needs Analysis",IF(Table1[[#This Row],[Ratio]]&gt;=4,"Not Significant",IF(Table1[[#This Row],[Ratio]]&gt;=2,"Semi-Significant","Significant")))</f>
        <v>Needs Analysis</v>
      </c>
      <c r="W417" s="1">
        <f>IF(Table1[[#This Row],[Cal Type]]&lt;&gt;"ACCREDITED 17025 WITH UNCERTAINTIES",0,"")</f>
        <v>0</v>
      </c>
      <c r="X417" s="1" t="str">
        <f>IF(Table1[[#This Row],[DUT Read]]="","N/A",Table1[[#This Row],[Std Error]]+Table1[[#This Row],[DUT Read]]+Table1[[#This Row],[DUT Ucty]])</f>
        <v>N/A</v>
      </c>
      <c r="Y417" s="1" t="str">
        <f>IF(Table1[[#This Row],[Std Read]]="","N/A",Table1[[#This Row],[Std Read]]+Table1[[#This Row],[Std Ucty]])</f>
        <v>N/A</v>
      </c>
      <c r="Z4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7" s="1" t="str">
        <f>IF(Table1[[#This Row],[Spec Type]]="","N/A",Table1[[#This Row],[Spec Type]])</f>
        <v>±</v>
      </c>
      <c r="AC417" s="1" t="str">
        <f>IF(Table1[[#This Row],[Spec Type2]]="N/A","N/A",IF(AND(Table1[[#This Row],[DUT Adj Read]]&gt;=Table1[[#This Row],[Low Tol]],Table1[[#This Row],[DUT Adj Read]]&lt;=Table1[[#This Row],[High Tol]]),"Pass","Fail"))</f>
        <v>Fail</v>
      </c>
      <c r="AD417" s="1" t="str">
        <f>IF(AND(Table1[[#This Row],[Spec Type2]]="N/A",Table1[[#This Row],[DUT Adj Read]]="N/A",Table1[[#This Row],[Std Adj Read]]="N/A"),"N/A",IF(Table1[[#This Row],[DUT Adj Read]]="N/A",IF(Table1[[#This Row],[Std Adj Read]]&gt;Table1[[#This Row],[Low Tol]],"Pass","Fail"),IF(Table1[[#This Row],[DUT Adj Read]]&gt;Table1[[#This Row],[Low Tol]],"Pass","Fail")))</f>
        <v>Pass</v>
      </c>
      <c r="AE417" s="1" t="str">
        <f>IF(AND(Table1[[#This Row],[Spec Type2]]="N/A",Table1[[#This Row],[DUT Adj Read]]="N/A",Table1[[#This Row],[Std Adj Read]]="N/A"),"N/A",IF(Table1[[#This Row],[DUT Adj Read]]="N/A",IF(Table1[[#This Row],[Std Adj Read]]&lt;Table1[[#This Row],[High Tol]],"Pass","Fail"),IF(Table1[[#This Row],[DUT Adj Read]]&lt;Table1[[#This Row],[High Tol]],"Pass","Fail")))</f>
        <v>Fail</v>
      </c>
      <c r="AF417" s="1" t="str">
        <f>IF(AND(Table1[[#This Row],[Spec Type2]]="N/A",Table1[[#This Row],[DUT Adj Read]]="N/A",Table1[[#This Row],[Std Adj Read]]="N/A"),"N/A",IF(Table1[[#This Row],[DUT Adj Read]]="N/A",IF(Table1[[#This Row],[Std Adj Read]]&gt;=Table1[[#This Row],[Low Tol]],"Pass","Fail"),IF(Table1[[#This Row],[DUT Adj Read]]&gt;=Table1[[#This Row],[Low Tol]],"Pass","Fail")))</f>
        <v>Pass</v>
      </c>
      <c r="AG417" s="1" t="str">
        <f>IF(AND(Table1[[#This Row],[Spec Type2]]="N/A",Table1[[#This Row],[DUT Adj Read]]="N/A",Table1[[#This Row],[Std Adj Read]]="N/A"),"N/A",IF(Table1[[#This Row],[DUT Adj Read]]="N/A",IF(Table1[[#This Row],[Std Adj Read]]&lt;=Table1[[#This Row],[High Tol]],"Pass","Fail"),IF(Table1[[#This Row],[DUT Adj Read]]&lt;=Table1[[#This Row],[High Tol]],"Pass","Fail")))</f>
        <v>Fail</v>
      </c>
      <c r="AH4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7" s="1" t="b">
        <v>0</v>
      </c>
      <c r="AN417" s="1" t="b">
        <v>0</v>
      </c>
      <c r="AO417" s="1" t="b">
        <v>0</v>
      </c>
    </row>
    <row r="418" spans="1:41" x14ac:dyDescent="0.25">
      <c r="A418" s="10"/>
      <c r="B418" s="10"/>
      <c r="C418" s="10"/>
      <c r="D418" s="10"/>
      <c r="E418" s="10"/>
      <c r="F418" s="10"/>
      <c r="G418" s="10"/>
      <c r="H418" s="10"/>
      <c r="I418" s="1" t="str">
        <f t="shared" si="18"/>
        <v/>
      </c>
      <c r="J418" s="1" t="s">
        <v>35</v>
      </c>
      <c r="K418" s="1" t="str">
        <f t="shared" si="19"/>
        <v/>
      </c>
      <c r="L418" s="1" t="str">
        <f t="shared" si="20"/>
        <v/>
      </c>
      <c r="M418" s="1">
        <f>IF(OR(Table1[[#This Row],[Std Nom]]="",Table1[[#This Row],[Std Read]]=""),0,Table1[[#This Row],[Std Nom]]-Table1[[#This Row],[Std Read]])</f>
        <v>0</v>
      </c>
      <c r="N418" s="1">
        <f>IF(Calculations!$F$5="ACCREDITED 17025 WITH UNCERTAINTIES",$N$10,0)</f>
        <v>0</v>
      </c>
      <c r="Q418" s="1">
        <f>Table1[[#This Row],[High Tol]]-Table1[[#This Row],[Low Tol]]</f>
        <v>0</v>
      </c>
      <c r="R418" s="1">
        <f>2*Table1[[#This Row],[Std Error]]</f>
        <v>0</v>
      </c>
      <c r="S418" s="1" t="str">
        <f>IF(Table1[[#This Row],[High Tol]]="","N/A",IFERROR(ABS(Table1[[#This Row],[Tol Span]]/Table1[[#This Row],[Error Span]]),"N/A"))</f>
        <v>N/A</v>
      </c>
      <c r="T418" s="1" t="str">
        <f>IF(OR(Table1[[#This Row],[Low Tol]]="",Table1[[#This Row],[High Tol]]=""),"Needs Analysis",IF(Table1[[#This Row],[Ratio]]&gt;=4,"Not Significant",IF(Table1[[#This Row],[Ratio]]&gt;=2,"Semi-Significant","Significant")))</f>
        <v>Needs Analysis</v>
      </c>
      <c r="W418" s="1">
        <f>IF(Table1[[#This Row],[Cal Type]]&lt;&gt;"ACCREDITED 17025 WITH UNCERTAINTIES",0,"")</f>
        <v>0</v>
      </c>
      <c r="X418" s="1" t="str">
        <f>IF(Table1[[#This Row],[DUT Read]]="","N/A",Table1[[#This Row],[Std Error]]+Table1[[#This Row],[DUT Read]]+Table1[[#This Row],[DUT Ucty]])</f>
        <v>N/A</v>
      </c>
      <c r="Y418" s="1" t="str">
        <f>IF(Table1[[#This Row],[Std Read]]="","N/A",Table1[[#This Row],[Std Read]]+Table1[[#This Row],[Std Ucty]])</f>
        <v>N/A</v>
      </c>
      <c r="Z4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8" s="1" t="str">
        <f>IF(Table1[[#This Row],[Spec Type]]="","N/A",Table1[[#This Row],[Spec Type]])</f>
        <v>±</v>
      </c>
      <c r="AC418" s="1" t="str">
        <f>IF(Table1[[#This Row],[Spec Type2]]="N/A","N/A",IF(AND(Table1[[#This Row],[DUT Adj Read]]&gt;=Table1[[#This Row],[Low Tol]],Table1[[#This Row],[DUT Adj Read]]&lt;=Table1[[#This Row],[High Tol]]),"Pass","Fail"))</f>
        <v>Fail</v>
      </c>
      <c r="AD418" s="1" t="str">
        <f>IF(AND(Table1[[#This Row],[Spec Type2]]="N/A",Table1[[#This Row],[DUT Adj Read]]="N/A",Table1[[#This Row],[Std Adj Read]]="N/A"),"N/A",IF(Table1[[#This Row],[DUT Adj Read]]="N/A",IF(Table1[[#This Row],[Std Adj Read]]&gt;Table1[[#This Row],[Low Tol]],"Pass","Fail"),IF(Table1[[#This Row],[DUT Adj Read]]&gt;Table1[[#This Row],[Low Tol]],"Pass","Fail")))</f>
        <v>Pass</v>
      </c>
      <c r="AE418" s="1" t="str">
        <f>IF(AND(Table1[[#This Row],[Spec Type2]]="N/A",Table1[[#This Row],[DUT Adj Read]]="N/A",Table1[[#This Row],[Std Adj Read]]="N/A"),"N/A",IF(Table1[[#This Row],[DUT Adj Read]]="N/A",IF(Table1[[#This Row],[Std Adj Read]]&lt;Table1[[#This Row],[High Tol]],"Pass","Fail"),IF(Table1[[#This Row],[DUT Adj Read]]&lt;Table1[[#This Row],[High Tol]],"Pass","Fail")))</f>
        <v>Fail</v>
      </c>
      <c r="AF418" s="1" t="str">
        <f>IF(AND(Table1[[#This Row],[Spec Type2]]="N/A",Table1[[#This Row],[DUT Adj Read]]="N/A",Table1[[#This Row],[Std Adj Read]]="N/A"),"N/A",IF(Table1[[#This Row],[DUT Adj Read]]="N/A",IF(Table1[[#This Row],[Std Adj Read]]&gt;=Table1[[#This Row],[Low Tol]],"Pass","Fail"),IF(Table1[[#This Row],[DUT Adj Read]]&gt;=Table1[[#This Row],[Low Tol]],"Pass","Fail")))</f>
        <v>Pass</v>
      </c>
      <c r="AG418" s="1" t="str">
        <f>IF(AND(Table1[[#This Row],[Spec Type2]]="N/A",Table1[[#This Row],[DUT Adj Read]]="N/A",Table1[[#This Row],[Std Adj Read]]="N/A"),"N/A",IF(Table1[[#This Row],[DUT Adj Read]]="N/A",IF(Table1[[#This Row],[Std Adj Read]]&lt;=Table1[[#This Row],[High Tol]],"Pass","Fail"),IF(Table1[[#This Row],[DUT Adj Read]]&lt;=Table1[[#This Row],[High Tol]],"Pass","Fail")))</f>
        <v>Fail</v>
      </c>
      <c r="AH4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8" s="1" t="b">
        <v>0</v>
      </c>
      <c r="AN418" s="1" t="b">
        <v>0</v>
      </c>
      <c r="AO418" s="1" t="b">
        <v>0</v>
      </c>
    </row>
    <row r="419" spans="1:41" x14ac:dyDescent="0.25">
      <c r="A419" s="10"/>
      <c r="B419" s="10"/>
      <c r="C419" s="10"/>
      <c r="D419" s="10"/>
      <c r="E419" s="10"/>
      <c r="F419" s="10"/>
      <c r="G419" s="10"/>
      <c r="H419" s="10"/>
      <c r="I419" s="1" t="str">
        <f t="shared" si="18"/>
        <v/>
      </c>
      <c r="J419" s="1" t="s">
        <v>35</v>
      </c>
      <c r="K419" s="1" t="str">
        <f t="shared" si="19"/>
        <v/>
      </c>
      <c r="L419" s="1" t="str">
        <f t="shared" si="20"/>
        <v/>
      </c>
      <c r="M419" s="1">
        <f>IF(OR(Table1[[#This Row],[Std Nom]]="",Table1[[#This Row],[Std Read]]=""),0,Table1[[#This Row],[Std Nom]]-Table1[[#This Row],[Std Read]])</f>
        <v>0</v>
      </c>
      <c r="N419" s="1">
        <f>IF(Calculations!$F$5="ACCREDITED 17025 WITH UNCERTAINTIES",$N$10,0)</f>
        <v>0</v>
      </c>
      <c r="Q419" s="1">
        <f>Table1[[#This Row],[High Tol]]-Table1[[#This Row],[Low Tol]]</f>
        <v>0</v>
      </c>
      <c r="R419" s="1">
        <f>2*Table1[[#This Row],[Std Error]]</f>
        <v>0</v>
      </c>
      <c r="S419" s="1" t="str">
        <f>IF(Table1[[#This Row],[High Tol]]="","N/A",IFERROR(ABS(Table1[[#This Row],[Tol Span]]/Table1[[#This Row],[Error Span]]),"N/A"))</f>
        <v>N/A</v>
      </c>
      <c r="T419" s="1" t="str">
        <f>IF(OR(Table1[[#This Row],[Low Tol]]="",Table1[[#This Row],[High Tol]]=""),"Needs Analysis",IF(Table1[[#This Row],[Ratio]]&gt;=4,"Not Significant",IF(Table1[[#This Row],[Ratio]]&gt;=2,"Semi-Significant","Significant")))</f>
        <v>Needs Analysis</v>
      </c>
      <c r="W419" s="1">
        <f>IF(Table1[[#This Row],[Cal Type]]&lt;&gt;"ACCREDITED 17025 WITH UNCERTAINTIES",0,"")</f>
        <v>0</v>
      </c>
      <c r="X419" s="1" t="str">
        <f>IF(Table1[[#This Row],[DUT Read]]="","N/A",Table1[[#This Row],[Std Error]]+Table1[[#This Row],[DUT Read]]+Table1[[#This Row],[DUT Ucty]])</f>
        <v>N/A</v>
      </c>
      <c r="Y419" s="1" t="str">
        <f>IF(Table1[[#This Row],[Std Read]]="","N/A",Table1[[#This Row],[Std Read]]+Table1[[#This Row],[Std Ucty]])</f>
        <v>N/A</v>
      </c>
      <c r="Z4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19" s="1" t="str">
        <f>IF(Table1[[#This Row],[Spec Type]]="","N/A",Table1[[#This Row],[Spec Type]])</f>
        <v>±</v>
      </c>
      <c r="AC419" s="1" t="str">
        <f>IF(Table1[[#This Row],[Spec Type2]]="N/A","N/A",IF(AND(Table1[[#This Row],[DUT Adj Read]]&gt;=Table1[[#This Row],[Low Tol]],Table1[[#This Row],[DUT Adj Read]]&lt;=Table1[[#This Row],[High Tol]]),"Pass","Fail"))</f>
        <v>Fail</v>
      </c>
      <c r="AD419" s="1" t="str">
        <f>IF(AND(Table1[[#This Row],[Spec Type2]]="N/A",Table1[[#This Row],[DUT Adj Read]]="N/A",Table1[[#This Row],[Std Adj Read]]="N/A"),"N/A",IF(Table1[[#This Row],[DUT Adj Read]]="N/A",IF(Table1[[#This Row],[Std Adj Read]]&gt;Table1[[#This Row],[Low Tol]],"Pass","Fail"),IF(Table1[[#This Row],[DUT Adj Read]]&gt;Table1[[#This Row],[Low Tol]],"Pass","Fail")))</f>
        <v>Pass</v>
      </c>
      <c r="AE419" s="1" t="str">
        <f>IF(AND(Table1[[#This Row],[Spec Type2]]="N/A",Table1[[#This Row],[DUT Adj Read]]="N/A",Table1[[#This Row],[Std Adj Read]]="N/A"),"N/A",IF(Table1[[#This Row],[DUT Adj Read]]="N/A",IF(Table1[[#This Row],[Std Adj Read]]&lt;Table1[[#This Row],[High Tol]],"Pass","Fail"),IF(Table1[[#This Row],[DUT Adj Read]]&lt;Table1[[#This Row],[High Tol]],"Pass","Fail")))</f>
        <v>Fail</v>
      </c>
      <c r="AF419" s="1" t="str">
        <f>IF(AND(Table1[[#This Row],[Spec Type2]]="N/A",Table1[[#This Row],[DUT Adj Read]]="N/A",Table1[[#This Row],[Std Adj Read]]="N/A"),"N/A",IF(Table1[[#This Row],[DUT Adj Read]]="N/A",IF(Table1[[#This Row],[Std Adj Read]]&gt;=Table1[[#This Row],[Low Tol]],"Pass","Fail"),IF(Table1[[#This Row],[DUT Adj Read]]&gt;=Table1[[#This Row],[Low Tol]],"Pass","Fail")))</f>
        <v>Pass</v>
      </c>
      <c r="AG419" s="1" t="str">
        <f>IF(AND(Table1[[#This Row],[Spec Type2]]="N/A",Table1[[#This Row],[DUT Adj Read]]="N/A",Table1[[#This Row],[Std Adj Read]]="N/A"),"N/A",IF(Table1[[#This Row],[DUT Adj Read]]="N/A",IF(Table1[[#This Row],[Std Adj Read]]&lt;=Table1[[#This Row],[High Tol]],"Pass","Fail"),IF(Table1[[#This Row],[DUT Adj Read]]&lt;=Table1[[#This Row],[High Tol]],"Pass","Fail")))</f>
        <v>Fail</v>
      </c>
      <c r="AH4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19" s="1" t="b">
        <v>0</v>
      </c>
      <c r="AN419" s="1" t="b">
        <v>0</v>
      </c>
      <c r="AO419" s="1" t="b">
        <v>0</v>
      </c>
    </row>
    <row r="420" spans="1:41" x14ac:dyDescent="0.25">
      <c r="A420" s="10"/>
      <c r="B420" s="10"/>
      <c r="C420" s="10"/>
      <c r="D420" s="10"/>
      <c r="E420" s="10"/>
      <c r="F420" s="10"/>
      <c r="G420" s="10"/>
      <c r="H420" s="10"/>
      <c r="I420" s="1" t="str">
        <f t="shared" si="18"/>
        <v/>
      </c>
      <c r="J420" s="1" t="s">
        <v>35</v>
      </c>
      <c r="K420" s="1" t="str">
        <f t="shared" si="19"/>
        <v/>
      </c>
      <c r="L420" s="1" t="str">
        <f t="shared" si="20"/>
        <v/>
      </c>
      <c r="M420" s="1">
        <f>IF(OR(Table1[[#This Row],[Std Nom]]="",Table1[[#This Row],[Std Read]]=""),0,Table1[[#This Row],[Std Nom]]-Table1[[#This Row],[Std Read]])</f>
        <v>0</v>
      </c>
      <c r="N420" s="1">
        <f>IF(Calculations!$F$5="ACCREDITED 17025 WITH UNCERTAINTIES",$N$10,0)</f>
        <v>0</v>
      </c>
      <c r="Q420" s="1">
        <f>Table1[[#This Row],[High Tol]]-Table1[[#This Row],[Low Tol]]</f>
        <v>0</v>
      </c>
      <c r="R420" s="1">
        <f>2*Table1[[#This Row],[Std Error]]</f>
        <v>0</v>
      </c>
      <c r="S420" s="1" t="str">
        <f>IF(Table1[[#This Row],[High Tol]]="","N/A",IFERROR(ABS(Table1[[#This Row],[Tol Span]]/Table1[[#This Row],[Error Span]]),"N/A"))</f>
        <v>N/A</v>
      </c>
      <c r="T420" s="1" t="str">
        <f>IF(OR(Table1[[#This Row],[Low Tol]]="",Table1[[#This Row],[High Tol]]=""),"Needs Analysis",IF(Table1[[#This Row],[Ratio]]&gt;=4,"Not Significant",IF(Table1[[#This Row],[Ratio]]&gt;=2,"Semi-Significant","Significant")))</f>
        <v>Needs Analysis</v>
      </c>
      <c r="W420" s="1">
        <f>IF(Table1[[#This Row],[Cal Type]]&lt;&gt;"ACCREDITED 17025 WITH UNCERTAINTIES",0,"")</f>
        <v>0</v>
      </c>
      <c r="X420" s="1" t="str">
        <f>IF(Table1[[#This Row],[DUT Read]]="","N/A",Table1[[#This Row],[Std Error]]+Table1[[#This Row],[DUT Read]]+Table1[[#This Row],[DUT Ucty]])</f>
        <v>N/A</v>
      </c>
      <c r="Y420" s="1" t="str">
        <f>IF(Table1[[#This Row],[Std Read]]="","N/A",Table1[[#This Row],[Std Read]]+Table1[[#This Row],[Std Ucty]])</f>
        <v>N/A</v>
      </c>
      <c r="Z4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0" s="1" t="str">
        <f>IF(Table1[[#This Row],[Spec Type]]="","N/A",Table1[[#This Row],[Spec Type]])</f>
        <v>±</v>
      </c>
      <c r="AC420" s="1" t="str">
        <f>IF(Table1[[#This Row],[Spec Type2]]="N/A","N/A",IF(AND(Table1[[#This Row],[DUT Adj Read]]&gt;=Table1[[#This Row],[Low Tol]],Table1[[#This Row],[DUT Adj Read]]&lt;=Table1[[#This Row],[High Tol]]),"Pass","Fail"))</f>
        <v>Fail</v>
      </c>
      <c r="AD420" s="1" t="str">
        <f>IF(AND(Table1[[#This Row],[Spec Type2]]="N/A",Table1[[#This Row],[DUT Adj Read]]="N/A",Table1[[#This Row],[Std Adj Read]]="N/A"),"N/A",IF(Table1[[#This Row],[DUT Adj Read]]="N/A",IF(Table1[[#This Row],[Std Adj Read]]&gt;Table1[[#This Row],[Low Tol]],"Pass","Fail"),IF(Table1[[#This Row],[DUT Adj Read]]&gt;Table1[[#This Row],[Low Tol]],"Pass","Fail")))</f>
        <v>Pass</v>
      </c>
      <c r="AE420" s="1" t="str">
        <f>IF(AND(Table1[[#This Row],[Spec Type2]]="N/A",Table1[[#This Row],[DUT Adj Read]]="N/A",Table1[[#This Row],[Std Adj Read]]="N/A"),"N/A",IF(Table1[[#This Row],[DUT Adj Read]]="N/A",IF(Table1[[#This Row],[Std Adj Read]]&lt;Table1[[#This Row],[High Tol]],"Pass","Fail"),IF(Table1[[#This Row],[DUT Adj Read]]&lt;Table1[[#This Row],[High Tol]],"Pass","Fail")))</f>
        <v>Fail</v>
      </c>
      <c r="AF420" s="1" t="str">
        <f>IF(AND(Table1[[#This Row],[Spec Type2]]="N/A",Table1[[#This Row],[DUT Adj Read]]="N/A",Table1[[#This Row],[Std Adj Read]]="N/A"),"N/A",IF(Table1[[#This Row],[DUT Adj Read]]="N/A",IF(Table1[[#This Row],[Std Adj Read]]&gt;=Table1[[#This Row],[Low Tol]],"Pass","Fail"),IF(Table1[[#This Row],[DUT Adj Read]]&gt;=Table1[[#This Row],[Low Tol]],"Pass","Fail")))</f>
        <v>Pass</v>
      </c>
      <c r="AG420" s="1" t="str">
        <f>IF(AND(Table1[[#This Row],[Spec Type2]]="N/A",Table1[[#This Row],[DUT Adj Read]]="N/A",Table1[[#This Row],[Std Adj Read]]="N/A"),"N/A",IF(Table1[[#This Row],[DUT Adj Read]]="N/A",IF(Table1[[#This Row],[Std Adj Read]]&lt;=Table1[[#This Row],[High Tol]],"Pass","Fail"),IF(Table1[[#This Row],[DUT Adj Read]]&lt;=Table1[[#This Row],[High Tol]],"Pass","Fail")))</f>
        <v>Fail</v>
      </c>
      <c r="AH4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0" s="1" t="b">
        <v>0</v>
      </c>
      <c r="AN420" s="1" t="b">
        <v>0</v>
      </c>
      <c r="AO420" s="1" t="b">
        <v>0</v>
      </c>
    </row>
    <row r="421" spans="1:41" x14ac:dyDescent="0.25">
      <c r="A421" s="10"/>
      <c r="B421" s="10"/>
      <c r="C421" s="10"/>
      <c r="D421" s="10"/>
      <c r="E421" s="10"/>
      <c r="F421" s="10"/>
      <c r="G421" s="10"/>
      <c r="H421" s="10"/>
      <c r="I421" s="1" t="str">
        <f t="shared" si="18"/>
        <v/>
      </c>
      <c r="J421" s="1" t="s">
        <v>35</v>
      </c>
      <c r="K421" s="1" t="str">
        <f t="shared" si="19"/>
        <v/>
      </c>
      <c r="L421" s="1" t="str">
        <f t="shared" si="20"/>
        <v/>
      </c>
      <c r="M421" s="1">
        <f>IF(OR(Table1[[#This Row],[Std Nom]]="",Table1[[#This Row],[Std Read]]=""),0,Table1[[#This Row],[Std Nom]]-Table1[[#This Row],[Std Read]])</f>
        <v>0</v>
      </c>
      <c r="N421" s="1">
        <f>IF(Calculations!$F$5="ACCREDITED 17025 WITH UNCERTAINTIES",$N$10,0)</f>
        <v>0</v>
      </c>
      <c r="Q421" s="1">
        <f>Table1[[#This Row],[High Tol]]-Table1[[#This Row],[Low Tol]]</f>
        <v>0</v>
      </c>
      <c r="R421" s="1">
        <f>2*Table1[[#This Row],[Std Error]]</f>
        <v>0</v>
      </c>
      <c r="S421" s="1" t="str">
        <f>IF(Table1[[#This Row],[High Tol]]="","N/A",IFERROR(ABS(Table1[[#This Row],[Tol Span]]/Table1[[#This Row],[Error Span]]),"N/A"))</f>
        <v>N/A</v>
      </c>
      <c r="T421" s="1" t="str">
        <f>IF(OR(Table1[[#This Row],[Low Tol]]="",Table1[[#This Row],[High Tol]]=""),"Needs Analysis",IF(Table1[[#This Row],[Ratio]]&gt;=4,"Not Significant",IF(Table1[[#This Row],[Ratio]]&gt;=2,"Semi-Significant","Significant")))</f>
        <v>Needs Analysis</v>
      </c>
      <c r="W421" s="1">
        <f>IF(Table1[[#This Row],[Cal Type]]&lt;&gt;"ACCREDITED 17025 WITH UNCERTAINTIES",0,"")</f>
        <v>0</v>
      </c>
      <c r="X421" s="1" t="str">
        <f>IF(Table1[[#This Row],[DUT Read]]="","N/A",Table1[[#This Row],[Std Error]]+Table1[[#This Row],[DUT Read]]+Table1[[#This Row],[DUT Ucty]])</f>
        <v>N/A</v>
      </c>
      <c r="Y421" s="1" t="str">
        <f>IF(Table1[[#This Row],[Std Read]]="","N/A",Table1[[#This Row],[Std Read]]+Table1[[#This Row],[Std Ucty]])</f>
        <v>N/A</v>
      </c>
      <c r="Z4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1" s="1" t="str">
        <f>IF(Table1[[#This Row],[Spec Type]]="","N/A",Table1[[#This Row],[Spec Type]])</f>
        <v>±</v>
      </c>
      <c r="AC421" s="1" t="str">
        <f>IF(Table1[[#This Row],[Spec Type2]]="N/A","N/A",IF(AND(Table1[[#This Row],[DUT Adj Read]]&gt;=Table1[[#This Row],[Low Tol]],Table1[[#This Row],[DUT Adj Read]]&lt;=Table1[[#This Row],[High Tol]]),"Pass","Fail"))</f>
        <v>Fail</v>
      </c>
      <c r="AD421" s="1" t="str">
        <f>IF(AND(Table1[[#This Row],[Spec Type2]]="N/A",Table1[[#This Row],[DUT Adj Read]]="N/A",Table1[[#This Row],[Std Adj Read]]="N/A"),"N/A",IF(Table1[[#This Row],[DUT Adj Read]]="N/A",IF(Table1[[#This Row],[Std Adj Read]]&gt;Table1[[#This Row],[Low Tol]],"Pass","Fail"),IF(Table1[[#This Row],[DUT Adj Read]]&gt;Table1[[#This Row],[Low Tol]],"Pass","Fail")))</f>
        <v>Pass</v>
      </c>
      <c r="AE421" s="1" t="str">
        <f>IF(AND(Table1[[#This Row],[Spec Type2]]="N/A",Table1[[#This Row],[DUT Adj Read]]="N/A",Table1[[#This Row],[Std Adj Read]]="N/A"),"N/A",IF(Table1[[#This Row],[DUT Adj Read]]="N/A",IF(Table1[[#This Row],[Std Adj Read]]&lt;Table1[[#This Row],[High Tol]],"Pass","Fail"),IF(Table1[[#This Row],[DUT Adj Read]]&lt;Table1[[#This Row],[High Tol]],"Pass","Fail")))</f>
        <v>Fail</v>
      </c>
      <c r="AF421" s="1" t="str">
        <f>IF(AND(Table1[[#This Row],[Spec Type2]]="N/A",Table1[[#This Row],[DUT Adj Read]]="N/A",Table1[[#This Row],[Std Adj Read]]="N/A"),"N/A",IF(Table1[[#This Row],[DUT Adj Read]]="N/A",IF(Table1[[#This Row],[Std Adj Read]]&gt;=Table1[[#This Row],[Low Tol]],"Pass","Fail"),IF(Table1[[#This Row],[DUT Adj Read]]&gt;=Table1[[#This Row],[Low Tol]],"Pass","Fail")))</f>
        <v>Pass</v>
      </c>
      <c r="AG421" s="1" t="str">
        <f>IF(AND(Table1[[#This Row],[Spec Type2]]="N/A",Table1[[#This Row],[DUT Adj Read]]="N/A",Table1[[#This Row],[Std Adj Read]]="N/A"),"N/A",IF(Table1[[#This Row],[DUT Adj Read]]="N/A",IF(Table1[[#This Row],[Std Adj Read]]&lt;=Table1[[#This Row],[High Tol]],"Pass","Fail"),IF(Table1[[#This Row],[DUT Adj Read]]&lt;=Table1[[#This Row],[High Tol]],"Pass","Fail")))</f>
        <v>Fail</v>
      </c>
      <c r="AH4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1" s="1" t="b">
        <v>0</v>
      </c>
      <c r="AN421" s="1" t="b">
        <v>0</v>
      </c>
      <c r="AO421" s="1" t="b">
        <v>0</v>
      </c>
    </row>
    <row r="422" spans="1:41" x14ac:dyDescent="0.25">
      <c r="A422" s="10"/>
      <c r="B422" s="10"/>
      <c r="C422" s="10"/>
      <c r="D422" s="10"/>
      <c r="E422" s="10"/>
      <c r="F422" s="10"/>
      <c r="G422" s="10"/>
      <c r="H422" s="10"/>
      <c r="I422" s="1" t="str">
        <f t="shared" si="18"/>
        <v/>
      </c>
      <c r="J422" s="1" t="s">
        <v>35</v>
      </c>
      <c r="K422" s="1" t="str">
        <f t="shared" si="19"/>
        <v/>
      </c>
      <c r="L422" s="1" t="str">
        <f t="shared" si="20"/>
        <v/>
      </c>
      <c r="M422" s="1">
        <f>IF(OR(Table1[[#This Row],[Std Nom]]="",Table1[[#This Row],[Std Read]]=""),0,Table1[[#This Row],[Std Nom]]-Table1[[#This Row],[Std Read]])</f>
        <v>0</v>
      </c>
      <c r="N422" s="1">
        <f>IF(Calculations!$F$5="ACCREDITED 17025 WITH UNCERTAINTIES",$N$10,0)</f>
        <v>0</v>
      </c>
      <c r="Q422" s="1">
        <f>Table1[[#This Row],[High Tol]]-Table1[[#This Row],[Low Tol]]</f>
        <v>0</v>
      </c>
      <c r="R422" s="1">
        <f>2*Table1[[#This Row],[Std Error]]</f>
        <v>0</v>
      </c>
      <c r="S422" s="1" t="str">
        <f>IF(Table1[[#This Row],[High Tol]]="","N/A",IFERROR(ABS(Table1[[#This Row],[Tol Span]]/Table1[[#This Row],[Error Span]]),"N/A"))</f>
        <v>N/A</v>
      </c>
      <c r="T422" s="1" t="str">
        <f>IF(OR(Table1[[#This Row],[Low Tol]]="",Table1[[#This Row],[High Tol]]=""),"Needs Analysis",IF(Table1[[#This Row],[Ratio]]&gt;=4,"Not Significant",IF(Table1[[#This Row],[Ratio]]&gt;=2,"Semi-Significant","Significant")))</f>
        <v>Needs Analysis</v>
      </c>
      <c r="W422" s="1">
        <f>IF(Table1[[#This Row],[Cal Type]]&lt;&gt;"ACCREDITED 17025 WITH UNCERTAINTIES",0,"")</f>
        <v>0</v>
      </c>
      <c r="X422" s="1" t="str">
        <f>IF(Table1[[#This Row],[DUT Read]]="","N/A",Table1[[#This Row],[Std Error]]+Table1[[#This Row],[DUT Read]]+Table1[[#This Row],[DUT Ucty]])</f>
        <v>N/A</v>
      </c>
      <c r="Y422" s="1" t="str">
        <f>IF(Table1[[#This Row],[Std Read]]="","N/A",Table1[[#This Row],[Std Read]]+Table1[[#This Row],[Std Ucty]])</f>
        <v>N/A</v>
      </c>
      <c r="Z4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2" s="1" t="str">
        <f>IF(Table1[[#This Row],[Spec Type]]="","N/A",Table1[[#This Row],[Spec Type]])</f>
        <v>±</v>
      </c>
      <c r="AC422" s="1" t="str">
        <f>IF(Table1[[#This Row],[Spec Type2]]="N/A","N/A",IF(AND(Table1[[#This Row],[DUT Adj Read]]&gt;=Table1[[#This Row],[Low Tol]],Table1[[#This Row],[DUT Adj Read]]&lt;=Table1[[#This Row],[High Tol]]),"Pass","Fail"))</f>
        <v>Fail</v>
      </c>
      <c r="AD422" s="1" t="str">
        <f>IF(AND(Table1[[#This Row],[Spec Type2]]="N/A",Table1[[#This Row],[DUT Adj Read]]="N/A",Table1[[#This Row],[Std Adj Read]]="N/A"),"N/A",IF(Table1[[#This Row],[DUT Adj Read]]="N/A",IF(Table1[[#This Row],[Std Adj Read]]&gt;Table1[[#This Row],[Low Tol]],"Pass","Fail"),IF(Table1[[#This Row],[DUT Adj Read]]&gt;Table1[[#This Row],[Low Tol]],"Pass","Fail")))</f>
        <v>Pass</v>
      </c>
      <c r="AE422" s="1" t="str">
        <f>IF(AND(Table1[[#This Row],[Spec Type2]]="N/A",Table1[[#This Row],[DUT Adj Read]]="N/A",Table1[[#This Row],[Std Adj Read]]="N/A"),"N/A",IF(Table1[[#This Row],[DUT Adj Read]]="N/A",IF(Table1[[#This Row],[Std Adj Read]]&lt;Table1[[#This Row],[High Tol]],"Pass","Fail"),IF(Table1[[#This Row],[DUT Adj Read]]&lt;Table1[[#This Row],[High Tol]],"Pass","Fail")))</f>
        <v>Fail</v>
      </c>
      <c r="AF422" s="1" t="str">
        <f>IF(AND(Table1[[#This Row],[Spec Type2]]="N/A",Table1[[#This Row],[DUT Adj Read]]="N/A",Table1[[#This Row],[Std Adj Read]]="N/A"),"N/A",IF(Table1[[#This Row],[DUT Adj Read]]="N/A",IF(Table1[[#This Row],[Std Adj Read]]&gt;=Table1[[#This Row],[Low Tol]],"Pass","Fail"),IF(Table1[[#This Row],[DUT Adj Read]]&gt;=Table1[[#This Row],[Low Tol]],"Pass","Fail")))</f>
        <v>Pass</v>
      </c>
      <c r="AG422" s="1" t="str">
        <f>IF(AND(Table1[[#This Row],[Spec Type2]]="N/A",Table1[[#This Row],[DUT Adj Read]]="N/A",Table1[[#This Row],[Std Adj Read]]="N/A"),"N/A",IF(Table1[[#This Row],[DUT Adj Read]]="N/A",IF(Table1[[#This Row],[Std Adj Read]]&lt;=Table1[[#This Row],[High Tol]],"Pass","Fail"),IF(Table1[[#This Row],[DUT Adj Read]]&lt;=Table1[[#This Row],[High Tol]],"Pass","Fail")))</f>
        <v>Fail</v>
      </c>
      <c r="AH4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2" s="1" t="b">
        <v>0</v>
      </c>
      <c r="AN422" s="1" t="b">
        <v>0</v>
      </c>
      <c r="AO422" s="1" t="b">
        <v>0</v>
      </c>
    </row>
    <row r="423" spans="1:41" x14ac:dyDescent="0.25">
      <c r="A423" s="10"/>
      <c r="B423" s="10"/>
      <c r="C423" s="10"/>
      <c r="D423" s="10"/>
      <c r="E423" s="10"/>
      <c r="F423" s="10"/>
      <c r="G423" s="10"/>
      <c r="H423" s="10"/>
      <c r="I423" s="1" t="str">
        <f t="shared" si="18"/>
        <v/>
      </c>
      <c r="J423" s="1" t="s">
        <v>35</v>
      </c>
      <c r="K423" s="1" t="str">
        <f t="shared" si="19"/>
        <v/>
      </c>
      <c r="L423" s="1" t="str">
        <f t="shared" si="20"/>
        <v/>
      </c>
      <c r="M423" s="1">
        <f>IF(OR(Table1[[#This Row],[Std Nom]]="",Table1[[#This Row],[Std Read]]=""),0,Table1[[#This Row],[Std Nom]]-Table1[[#This Row],[Std Read]])</f>
        <v>0</v>
      </c>
      <c r="N423" s="1">
        <f>IF(Calculations!$F$5="ACCREDITED 17025 WITH UNCERTAINTIES",$N$10,0)</f>
        <v>0</v>
      </c>
      <c r="Q423" s="1">
        <f>Table1[[#This Row],[High Tol]]-Table1[[#This Row],[Low Tol]]</f>
        <v>0</v>
      </c>
      <c r="R423" s="1">
        <f>2*Table1[[#This Row],[Std Error]]</f>
        <v>0</v>
      </c>
      <c r="S423" s="1" t="str">
        <f>IF(Table1[[#This Row],[High Tol]]="","N/A",IFERROR(ABS(Table1[[#This Row],[Tol Span]]/Table1[[#This Row],[Error Span]]),"N/A"))</f>
        <v>N/A</v>
      </c>
      <c r="T423" s="1" t="str">
        <f>IF(OR(Table1[[#This Row],[Low Tol]]="",Table1[[#This Row],[High Tol]]=""),"Needs Analysis",IF(Table1[[#This Row],[Ratio]]&gt;=4,"Not Significant",IF(Table1[[#This Row],[Ratio]]&gt;=2,"Semi-Significant","Significant")))</f>
        <v>Needs Analysis</v>
      </c>
      <c r="W423" s="1">
        <f>IF(Table1[[#This Row],[Cal Type]]&lt;&gt;"ACCREDITED 17025 WITH UNCERTAINTIES",0,"")</f>
        <v>0</v>
      </c>
      <c r="X423" s="1" t="str">
        <f>IF(Table1[[#This Row],[DUT Read]]="","N/A",Table1[[#This Row],[Std Error]]+Table1[[#This Row],[DUT Read]]+Table1[[#This Row],[DUT Ucty]])</f>
        <v>N/A</v>
      </c>
      <c r="Y423" s="1" t="str">
        <f>IF(Table1[[#This Row],[Std Read]]="","N/A",Table1[[#This Row],[Std Read]]+Table1[[#This Row],[Std Ucty]])</f>
        <v>N/A</v>
      </c>
      <c r="Z4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3" s="1" t="str">
        <f>IF(Table1[[#This Row],[Spec Type]]="","N/A",Table1[[#This Row],[Spec Type]])</f>
        <v>±</v>
      </c>
      <c r="AC423" s="1" t="str">
        <f>IF(Table1[[#This Row],[Spec Type2]]="N/A","N/A",IF(AND(Table1[[#This Row],[DUT Adj Read]]&gt;=Table1[[#This Row],[Low Tol]],Table1[[#This Row],[DUT Adj Read]]&lt;=Table1[[#This Row],[High Tol]]),"Pass","Fail"))</f>
        <v>Fail</v>
      </c>
      <c r="AD423" s="1" t="str">
        <f>IF(AND(Table1[[#This Row],[Spec Type2]]="N/A",Table1[[#This Row],[DUT Adj Read]]="N/A",Table1[[#This Row],[Std Adj Read]]="N/A"),"N/A",IF(Table1[[#This Row],[DUT Adj Read]]="N/A",IF(Table1[[#This Row],[Std Adj Read]]&gt;Table1[[#This Row],[Low Tol]],"Pass","Fail"),IF(Table1[[#This Row],[DUT Adj Read]]&gt;Table1[[#This Row],[Low Tol]],"Pass","Fail")))</f>
        <v>Pass</v>
      </c>
      <c r="AE423" s="1" t="str">
        <f>IF(AND(Table1[[#This Row],[Spec Type2]]="N/A",Table1[[#This Row],[DUT Adj Read]]="N/A",Table1[[#This Row],[Std Adj Read]]="N/A"),"N/A",IF(Table1[[#This Row],[DUT Adj Read]]="N/A",IF(Table1[[#This Row],[Std Adj Read]]&lt;Table1[[#This Row],[High Tol]],"Pass","Fail"),IF(Table1[[#This Row],[DUT Adj Read]]&lt;Table1[[#This Row],[High Tol]],"Pass","Fail")))</f>
        <v>Fail</v>
      </c>
      <c r="AF423" s="1" t="str">
        <f>IF(AND(Table1[[#This Row],[Spec Type2]]="N/A",Table1[[#This Row],[DUT Adj Read]]="N/A",Table1[[#This Row],[Std Adj Read]]="N/A"),"N/A",IF(Table1[[#This Row],[DUT Adj Read]]="N/A",IF(Table1[[#This Row],[Std Adj Read]]&gt;=Table1[[#This Row],[Low Tol]],"Pass","Fail"),IF(Table1[[#This Row],[DUT Adj Read]]&gt;=Table1[[#This Row],[Low Tol]],"Pass","Fail")))</f>
        <v>Pass</v>
      </c>
      <c r="AG423" s="1" t="str">
        <f>IF(AND(Table1[[#This Row],[Spec Type2]]="N/A",Table1[[#This Row],[DUT Adj Read]]="N/A",Table1[[#This Row],[Std Adj Read]]="N/A"),"N/A",IF(Table1[[#This Row],[DUT Adj Read]]="N/A",IF(Table1[[#This Row],[Std Adj Read]]&lt;=Table1[[#This Row],[High Tol]],"Pass","Fail"),IF(Table1[[#This Row],[DUT Adj Read]]&lt;=Table1[[#This Row],[High Tol]],"Pass","Fail")))</f>
        <v>Fail</v>
      </c>
      <c r="AH4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3" s="1" t="b">
        <v>0</v>
      </c>
      <c r="AN423" s="1" t="b">
        <v>0</v>
      </c>
      <c r="AO423" s="1" t="b">
        <v>0</v>
      </c>
    </row>
    <row r="424" spans="1:41" x14ac:dyDescent="0.25">
      <c r="A424" s="10"/>
      <c r="B424" s="10"/>
      <c r="C424" s="10"/>
      <c r="D424" s="10"/>
      <c r="E424" s="10"/>
      <c r="F424" s="10"/>
      <c r="G424" s="10"/>
      <c r="H424" s="10"/>
      <c r="I424" s="1" t="str">
        <f t="shared" si="18"/>
        <v/>
      </c>
      <c r="J424" s="1" t="s">
        <v>35</v>
      </c>
      <c r="K424" s="1" t="str">
        <f t="shared" si="19"/>
        <v/>
      </c>
      <c r="L424" s="1" t="str">
        <f t="shared" si="20"/>
        <v/>
      </c>
      <c r="M424" s="1">
        <f>IF(OR(Table1[[#This Row],[Std Nom]]="",Table1[[#This Row],[Std Read]]=""),0,Table1[[#This Row],[Std Nom]]-Table1[[#This Row],[Std Read]])</f>
        <v>0</v>
      </c>
      <c r="N424" s="1">
        <f>IF(Calculations!$F$5="ACCREDITED 17025 WITH UNCERTAINTIES",$N$10,0)</f>
        <v>0</v>
      </c>
      <c r="Q424" s="1">
        <f>Table1[[#This Row],[High Tol]]-Table1[[#This Row],[Low Tol]]</f>
        <v>0</v>
      </c>
      <c r="R424" s="1">
        <f>2*Table1[[#This Row],[Std Error]]</f>
        <v>0</v>
      </c>
      <c r="S424" s="1" t="str">
        <f>IF(Table1[[#This Row],[High Tol]]="","N/A",IFERROR(ABS(Table1[[#This Row],[Tol Span]]/Table1[[#This Row],[Error Span]]),"N/A"))</f>
        <v>N/A</v>
      </c>
      <c r="T424" s="1" t="str">
        <f>IF(OR(Table1[[#This Row],[Low Tol]]="",Table1[[#This Row],[High Tol]]=""),"Needs Analysis",IF(Table1[[#This Row],[Ratio]]&gt;=4,"Not Significant",IF(Table1[[#This Row],[Ratio]]&gt;=2,"Semi-Significant","Significant")))</f>
        <v>Needs Analysis</v>
      </c>
      <c r="W424" s="1">
        <f>IF(Table1[[#This Row],[Cal Type]]&lt;&gt;"ACCREDITED 17025 WITH UNCERTAINTIES",0,"")</f>
        <v>0</v>
      </c>
      <c r="X424" s="1" t="str">
        <f>IF(Table1[[#This Row],[DUT Read]]="","N/A",Table1[[#This Row],[Std Error]]+Table1[[#This Row],[DUT Read]]+Table1[[#This Row],[DUT Ucty]])</f>
        <v>N/A</v>
      </c>
      <c r="Y424" s="1" t="str">
        <f>IF(Table1[[#This Row],[Std Read]]="","N/A",Table1[[#This Row],[Std Read]]+Table1[[#This Row],[Std Ucty]])</f>
        <v>N/A</v>
      </c>
      <c r="Z4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4" s="1" t="str">
        <f>IF(Table1[[#This Row],[Spec Type]]="","N/A",Table1[[#This Row],[Spec Type]])</f>
        <v>±</v>
      </c>
      <c r="AC424" s="1" t="str">
        <f>IF(Table1[[#This Row],[Spec Type2]]="N/A","N/A",IF(AND(Table1[[#This Row],[DUT Adj Read]]&gt;=Table1[[#This Row],[Low Tol]],Table1[[#This Row],[DUT Adj Read]]&lt;=Table1[[#This Row],[High Tol]]),"Pass","Fail"))</f>
        <v>Fail</v>
      </c>
      <c r="AD424" s="1" t="str">
        <f>IF(AND(Table1[[#This Row],[Spec Type2]]="N/A",Table1[[#This Row],[DUT Adj Read]]="N/A",Table1[[#This Row],[Std Adj Read]]="N/A"),"N/A",IF(Table1[[#This Row],[DUT Adj Read]]="N/A",IF(Table1[[#This Row],[Std Adj Read]]&gt;Table1[[#This Row],[Low Tol]],"Pass","Fail"),IF(Table1[[#This Row],[DUT Adj Read]]&gt;Table1[[#This Row],[Low Tol]],"Pass","Fail")))</f>
        <v>Pass</v>
      </c>
      <c r="AE424" s="1" t="str">
        <f>IF(AND(Table1[[#This Row],[Spec Type2]]="N/A",Table1[[#This Row],[DUT Adj Read]]="N/A",Table1[[#This Row],[Std Adj Read]]="N/A"),"N/A",IF(Table1[[#This Row],[DUT Adj Read]]="N/A",IF(Table1[[#This Row],[Std Adj Read]]&lt;Table1[[#This Row],[High Tol]],"Pass","Fail"),IF(Table1[[#This Row],[DUT Adj Read]]&lt;Table1[[#This Row],[High Tol]],"Pass","Fail")))</f>
        <v>Fail</v>
      </c>
      <c r="AF424" s="1" t="str">
        <f>IF(AND(Table1[[#This Row],[Spec Type2]]="N/A",Table1[[#This Row],[DUT Adj Read]]="N/A",Table1[[#This Row],[Std Adj Read]]="N/A"),"N/A",IF(Table1[[#This Row],[DUT Adj Read]]="N/A",IF(Table1[[#This Row],[Std Adj Read]]&gt;=Table1[[#This Row],[Low Tol]],"Pass","Fail"),IF(Table1[[#This Row],[DUT Adj Read]]&gt;=Table1[[#This Row],[Low Tol]],"Pass","Fail")))</f>
        <v>Pass</v>
      </c>
      <c r="AG424" s="1" t="str">
        <f>IF(AND(Table1[[#This Row],[Spec Type2]]="N/A",Table1[[#This Row],[DUT Adj Read]]="N/A",Table1[[#This Row],[Std Adj Read]]="N/A"),"N/A",IF(Table1[[#This Row],[DUT Adj Read]]="N/A",IF(Table1[[#This Row],[Std Adj Read]]&lt;=Table1[[#This Row],[High Tol]],"Pass","Fail"),IF(Table1[[#This Row],[DUT Adj Read]]&lt;=Table1[[#This Row],[High Tol]],"Pass","Fail")))</f>
        <v>Fail</v>
      </c>
      <c r="AH4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4" s="1" t="b">
        <v>0</v>
      </c>
      <c r="AN424" s="1" t="b">
        <v>0</v>
      </c>
      <c r="AO424" s="1" t="b">
        <v>0</v>
      </c>
    </row>
    <row r="425" spans="1:41" x14ac:dyDescent="0.25">
      <c r="A425" s="10"/>
      <c r="B425" s="10"/>
      <c r="C425" s="10"/>
      <c r="D425" s="10"/>
      <c r="E425" s="10"/>
      <c r="F425" s="10"/>
      <c r="G425" s="10"/>
      <c r="H425" s="10"/>
      <c r="I425" s="1" t="str">
        <f t="shared" si="18"/>
        <v/>
      </c>
      <c r="J425" s="1" t="s">
        <v>35</v>
      </c>
      <c r="K425" s="1" t="str">
        <f t="shared" si="19"/>
        <v/>
      </c>
      <c r="L425" s="1" t="str">
        <f t="shared" si="20"/>
        <v/>
      </c>
      <c r="M425" s="1">
        <f>IF(OR(Table1[[#This Row],[Std Nom]]="",Table1[[#This Row],[Std Read]]=""),0,Table1[[#This Row],[Std Nom]]-Table1[[#This Row],[Std Read]])</f>
        <v>0</v>
      </c>
      <c r="N425" s="1">
        <f>IF(Calculations!$F$5="ACCREDITED 17025 WITH UNCERTAINTIES",$N$10,0)</f>
        <v>0</v>
      </c>
      <c r="Q425" s="1">
        <f>Table1[[#This Row],[High Tol]]-Table1[[#This Row],[Low Tol]]</f>
        <v>0</v>
      </c>
      <c r="R425" s="1">
        <f>2*Table1[[#This Row],[Std Error]]</f>
        <v>0</v>
      </c>
      <c r="S425" s="1" t="str">
        <f>IF(Table1[[#This Row],[High Tol]]="","N/A",IFERROR(ABS(Table1[[#This Row],[Tol Span]]/Table1[[#This Row],[Error Span]]),"N/A"))</f>
        <v>N/A</v>
      </c>
      <c r="T425" s="1" t="str">
        <f>IF(OR(Table1[[#This Row],[Low Tol]]="",Table1[[#This Row],[High Tol]]=""),"Needs Analysis",IF(Table1[[#This Row],[Ratio]]&gt;=4,"Not Significant",IF(Table1[[#This Row],[Ratio]]&gt;=2,"Semi-Significant","Significant")))</f>
        <v>Needs Analysis</v>
      </c>
      <c r="W425" s="1">
        <f>IF(Table1[[#This Row],[Cal Type]]&lt;&gt;"ACCREDITED 17025 WITH UNCERTAINTIES",0,"")</f>
        <v>0</v>
      </c>
      <c r="X425" s="1" t="str">
        <f>IF(Table1[[#This Row],[DUT Read]]="","N/A",Table1[[#This Row],[Std Error]]+Table1[[#This Row],[DUT Read]]+Table1[[#This Row],[DUT Ucty]])</f>
        <v>N/A</v>
      </c>
      <c r="Y425" s="1" t="str">
        <f>IF(Table1[[#This Row],[Std Read]]="","N/A",Table1[[#This Row],[Std Read]]+Table1[[#This Row],[Std Ucty]])</f>
        <v>N/A</v>
      </c>
      <c r="Z4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5" s="1" t="str">
        <f>IF(Table1[[#This Row],[Spec Type]]="","N/A",Table1[[#This Row],[Spec Type]])</f>
        <v>±</v>
      </c>
      <c r="AC425" s="1" t="str">
        <f>IF(Table1[[#This Row],[Spec Type2]]="N/A","N/A",IF(AND(Table1[[#This Row],[DUT Adj Read]]&gt;=Table1[[#This Row],[Low Tol]],Table1[[#This Row],[DUT Adj Read]]&lt;=Table1[[#This Row],[High Tol]]),"Pass","Fail"))</f>
        <v>Fail</v>
      </c>
      <c r="AD425" s="1" t="str">
        <f>IF(AND(Table1[[#This Row],[Spec Type2]]="N/A",Table1[[#This Row],[DUT Adj Read]]="N/A",Table1[[#This Row],[Std Adj Read]]="N/A"),"N/A",IF(Table1[[#This Row],[DUT Adj Read]]="N/A",IF(Table1[[#This Row],[Std Adj Read]]&gt;Table1[[#This Row],[Low Tol]],"Pass","Fail"),IF(Table1[[#This Row],[DUT Adj Read]]&gt;Table1[[#This Row],[Low Tol]],"Pass","Fail")))</f>
        <v>Pass</v>
      </c>
      <c r="AE425" s="1" t="str">
        <f>IF(AND(Table1[[#This Row],[Spec Type2]]="N/A",Table1[[#This Row],[DUT Adj Read]]="N/A",Table1[[#This Row],[Std Adj Read]]="N/A"),"N/A",IF(Table1[[#This Row],[DUT Adj Read]]="N/A",IF(Table1[[#This Row],[Std Adj Read]]&lt;Table1[[#This Row],[High Tol]],"Pass","Fail"),IF(Table1[[#This Row],[DUT Adj Read]]&lt;Table1[[#This Row],[High Tol]],"Pass","Fail")))</f>
        <v>Fail</v>
      </c>
      <c r="AF425" s="1" t="str">
        <f>IF(AND(Table1[[#This Row],[Spec Type2]]="N/A",Table1[[#This Row],[DUT Adj Read]]="N/A",Table1[[#This Row],[Std Adj Read]]="N/A"),"N/A",IF(Table1[[#This Row],[DUT Adj Read]]="N/A",IF(Table1[[#This Row],[Std Adj Read]]&gt;=Table1[[#This Row],[Low Tol]],"Pass","Fail"),IF(Table1[[#This Row],[DUT Adj Read]]&gt;=Table1[[#This Row],[Low Tol]],"Pass","Fail")))</f>
        <v>Pass</v>
      </c>
      <c r="AG425" s="1" t="str">
        <f>IF(AND(Table1[[#This Row],[Spec Type2]]="N/A",Table1[[#This Row],[DUT Adj Read]]="N/A",Table1[[#This Row],[Std Adj Read]]="N/A"),"N/A",IF(Table1[[#This Row],[DUT Adj Read]]="N/A",IF(Table1[[#This Row],[Std Adj Read]]&lt;=Table1[[#This Row],[High Tol]],"Pass","Fail"),IF(Table1[[#This Row],[DUT Adj Read]]&lt;=Table1[[#This Row],[High Tol]],"Pass","Fail")))</f>
        <v>Fail</v>
      </c>
      <c r="AH4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5" s="1" t="b">
        <v>0</v>
      </c>
      <c r="AN425" s="1" t="b">
        <v>0</v>
      </c>
      <c r="AO425" s="1" t="b">
        <v>0</v>
      </c>
    </row>
    <row r="426" spans="1:41" x14ac:dyDescent="0.25">
      <c r="A426" s="10"/>
      <c r="B426" s="10"/>
      <c r="C426" s="10"/>
      <c r="D426" s="10"/>
      <c r="E426" s="10"/>
      <c r="F426" s="10"/>
      <c r="G426" s="10"/>
      <c r="H426" s="10"/>
      <c r="I426" s="1" t="str">
        <f t="shared" si="18"/>
        <v/>
      </c>
      <c r="J426" s="1" t="s">
        <v>35</v>
      </c>
      <c r="K426" s="1" t="str">
        <f t="shared" si="19"/>
        <v/>
      </c>
      <c r="L426" s="1" t="str">
        <f t="shared" si="20"/>
        <v/>
      </c>
      <c r="M426" s="1">
        <f>IF(OR(Table1[[#This Row],[Std Nom]]="",Table1[[#This Row],[Std Read]]=""),0,Table1[[#This Row],[Std Nom]]-Table1[[#This Row],[Std Read]])</f>
        <v>0</v>
      </c>
      <c r="N426" s="1">
        <f>IF(Calculations!$F$5="ACCREDITED 17025 WITH UNCERTAINTIES",$N$10,0)</f>
        <v>0</v>
      </c>
      <c r="Q426" s="1">
        <f>Table1[[#This Row],[High Tol]]-Table1[[#This Row],[Low Tol]]</f>
        <v>0</v>
      </c>
      <c r="R426" s="1">
        <f>2*Table1[[#This Row],[Std Error]]</f>
        <v>0</v>
      </c>
      <c r="S426" s="1" t="str">
        <f>IF(Table1[[#This Row],[High Tol]]="","N/A",IFERROR(ABS(Table1[[#This Row],[Tol Span]]/Table1[[#This Row],[Error Span]]),"N/A"))</f>
        <v>N/A</v>
      </c>
      <c r="T426" s="1" t="str">
        <f>IF(OR(Table1[[#This Row],[Low Tol]]="",Table1[[#This Row],[High Tol]]=""),"Needs Analysis",IF(Table1[[#This Row],[Ratio]]&gt;=4,"Not Significant",IF(Table1[[#This Row],[Ratio]]&gt;=2,"Semi-Significant","Significant")))</f>
        <v>Needs Analysis</v>
      </c>
      <c r="W426" s="1">
        <f>IF(Table1[[#This Row],[Cal Type]]&lt;&gt;"ACCREDITED 17025 WITH UNCERTAINTIES",0,"")</f>
        <v>0</v>
      </c>
      <c r="X426" s="1" t="str">
        <f>IF(Table1[[#This Row],[DUT Read]]="","N/A",Table1[[#This Row],[Std Error]]+Table1[[#This Row],[DUT Read]]+Table1[[#This Row],[DUT Ucty]])</f>
        <v>N/A</v>
      </c>
      <c r="Y426" s="1" t="str">
        <f>IF(Table1[[#This Row],[Std Read]]="","N/A",Table1[[#This Row],[Std Read]]+Table1[[#This Row],[Std Ucty]])</f>
        <v>N/A</v>
      </c>
      <c r="Z4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6" s="1" t="str">
        <f>IF(Table1[[#This Row],[Spec Type]]="","N/A",Table1[[#This Row],[Spec Type]])</f>
        <v>±</v>
      </c>
      <c r="AC426" s="1" t="str">
        <f>IF(Table1[[#This Row],[Spec Type2]]="N/A","N/A",IF(AND(Table1[[#This Row],[DUT Adj Read]]&gt;=Table1[[#This Row],[Low Tol]],Table1[[#This Row],[DUT Adj Read]]&lt;=Table1[[#This Row],[High Tol]]),"Pass","Fail"))</f>
        <v>Fail</v>
      </c>
      <c r="AD426" s="1" t="str">
        <f>IF(AND(Table1[[#This Row],[Spec Type2]]="N/A",Table1[[#This Row],[DUT Adj Read]]="N/A",Table1[[#This Row],[Std Adj Read]]="N/A"),"N/A",IF(Table1[[#This Row],[DUT Adj Read]]="N/A",IF(Table1[[#This Row],[Std Adj Read]]&gt;Table1[[#This Row],[Low Tol]],"Pass","Fail"),IF(Table1[[#This Row],[DUT Adj Read]]&gt;Table1[[#This Row],[Low Tol]],"Pass","Fail")))</f>
        <v>Pass</v>
      </c>
      <c r="AE426" s="1" t="str">
        <f>IF(AND(Table1[[#This Row],[Spec Type2]]="N/A",Table1[[#This Row],[DUT Adj Read]]="N/A",Table1[[#This Row],[Std Adj Read]]="N/A"),"N/A",IF(Table1[[#This Row],[DUT Adj Read]]="N/A",IF(Table1[[#This Row],[Std Adj Read]]&lt;Table1[[#This Row],[High Tol]],"Pass","Fail"),IF(Table1[[#This Row],[DUT Adj Read]]&lt;Table1[[#This Row],[High Tol]],"Pass","Fail")))</f>
        <v>Fail</v>
      </c>
      <c r="AF426" s="1" t="str">
        <f>IF(AND(Table1[[#This Row],[Spec Type2]]="N/A",Table1[[#This Row],[DUT Adj Read]]="N/A",Table1[[#This Row],[Std Adj Read]]="N/A"),"N/A",IF(Table1[[#This Row],[DUT Adj Read]]="N/A",IF(Table1[[#This Row],[Std Adj Read]]&gt;=Table1[[#This Row],[Low Tol]],"Pass","Fail"),IF(Table1[[#This Row],[DUT Adj Read]]&gt;=Table1[[#This Row],[Low Tol]],"Pass","Fail")))</f>
        <v>Pass</v>
      </c>
      <c r="AG426" s="1" t="str">
        <f>IF(AND(Table1[[#This Row],[Spec Type2]]="N/A",Table1[[#This Row],[DUT Adj Read]]="N/A",Table1[[#This Row],[Std Adj Read]]="N/A"),"N/A",IF(Table1[[#This Row],[DUT Adj Read]]="N/A",IF(Table1[[#This Row],[Std Adj Read]]&lt;=Table1[[#This Row],[High Tol]],"Pass","Fail"),IF(Table1[[#This Row],[DUT Adj Read]]&lt;=Table1[[#This Row],[High Tol]],"Pass","Fail")))</f>
        <v>Fail</v>
      </c>
      <c r="AH4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6" s="1" t="b">
        <v>0</v>
      </c>
      <c r="AN426" s="1" t="b">
        <v>0</v>
      </c>
      <c r="AO426" s="1" t="b">
        <v>0</v>
      </c>
    </row>
    <row r="427" spans="1:41" x14ac:dyDescent="0.25">
      <c r="A427" s="10"/>
      <c r="B427" s="10"/>
      <c r="C427" s="10"/>
      <c r="D427" s="10"/>
      <c r="E427" s="10"/>
      <c r="F427" s="10"/>
      <c r="G427" s="10"/>
      <c r="H427" s="10"/>
      <c r="I427" s="1" t="str">
        <f t="shared" si="18"/>
        <v/>
      </c>
      <c r="J427" s="1" t="s">
        <v>35</v>
      </c>
      <c r="K427" s="1" t="str">
        <f t="shared" si="19"/>
        <v/>
      </c>
      <c r="L427" s="1" t="str">
        <f t="shared" si="20"/>
        <v/>
      </c>
      <c r="M427" s="1">
        <f>IF(OR(Table1[[#This Row],[Std Nom]]="",Table1[[#This Row],[Std Read]]=""),0,Table1[[#This Row],[Std Nom]]-Table1[[#This Row],[Std Read]])</f>
        <v>0</v>
      </c>
      <c r="N427" s="1">
        <f>IF(Calculations!$F$5="ACCREDITED 17025 WITH UNCERTAINTIES",$N$10,0)</f>
        <v>0</v>
      </c>
      <c r="Q427" s="1">
        <f>Table1[[#This Row],[High Tol]]-Table1[[#This Row],[Low Tol]]</f>
        <v>0</v>
      </c>
      <c r="R427" s="1">
        <f>2*Table1[[#This Row],[Std Error]]</f>
        <v>0</v>
      </c>
      <c r="S427" s="1" t="str">
        <f>IF(Table1[[#This Row],[High Tol]]="","N/A",IFERROR(ABS(Table1[[#This Row],[Tol Span]]/Table1[[#This Row],[Error Span]]),"N/A"))</f>
        <v>N/A</v>
      </c>
      <c r="T427" s="1" t="str">
        <f>IF(OR(Table1[[#This Row],[Low Tol]]="",Table1[[#This Row],[High Tol]]=""),"Needs Analysis",IF(Table1[[#This Row],[Ratio]]&gt;=4,"Not Significant",IF(Table1[[#This Row],[Ratio]]&gt;=2,"Semi-Significant","Significant")))</f>
        <v>Needs Analysis</v>
      </c>
      <c r="W427" s="1">
        <f>IF(Table1[[#This Row],[Cal Type]]&lt;&gt;"ACCREDITED 17025 WITH UNCERTAINTIES",0,"")</f>
        <v>0</v>
      </c>
      <c r="X427" s="1" t="str">
        <f>IF(Table1[[#This Row],[DUT Read]]="","N/A",Table1[[#This Row],[Std Error]]+Table1[[#This Row],[DUT Read]]+Table1[[#This Row],[DUT Ucty]])</f>
        <v>N/A</v>
      </c>
      <c r="Y427" s="1" t="str">
        <f>IF(Table1[[#This Row],[Std Read]]="","N/A",Table1[[#This Row],[Std Read]]+Table1[[#This Row],[Std Ucty]])</f>
        <v>N/A</v>
      </c>
      <c r="Z4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7" s="1" t="str">
        <f>IF(Table1[[#This Row],[Spec Type]]="","N/A",Table1[[#This Row],[Spec Type]])</f>
        <v>±</v>
      </c>
      <c r="AC427" s="1" t="str">
        <f>IF(Table1[[#This Row],[Spec Type2]]="N/A","N/A",IF(AND(Table1[[#This Row],[DUT Adj Read]]&gt;=Table1[[#This Row],[Low Tol]],Table1[[#This Row],[DUT Adj Read]]&lt;=Table1[[#This Row],[High Tol]]),"Pass","Fail"))</f>
        <v>Fail</v>
      </c>
      <c r="AD427" s="1" t="str">
        <f>IF(AND(Table1[[#This Row],[Spec Type2]]="N/A",Table1[[#This Row],[DUT Adj Read]]="N/A",Table1[[#This Row],[Std Adj Read]]="N/A"),"N/A",IF(Table1[[#This Row],[DUT Adj Read]]="N/A",IF(Table1[[#This Row],[Std Adj Read]]&gt;Table1[[#This Row],[Low Tol]],"Pass","Fail"),IF(Table1[[#This Row],[DUT Adj Read]]&gt;Table1[[#This Row],[Low Tol]],"Pass","Fail")))</f>
        <v>Pass</v>
      </c>
      <c r="AE427" s="1" t="str">
        <f>IF(AND(Table1[[#This Row],[Spec Type2]]="N/A",Table1[[#This Row],[DUT Adj Read]]="N/A",Table1[[#This Row],[Std Adj Read]]="N/A"),"N/A",IF(Table1[[#This Row],[DUT Adj Read]]="N/A",IF(Table1[[#This Row],[Std Adj Read]]&lt;Table1[[#This Row],[High Tol]],"Pass","Fail"),IF(Table1[[#This Row],[DUT Adj Read]]&lt;Table1[[#This Row],[High Tol]],"Pass","Fail")))</f>
        <v>Fail</v>
      </c>
      <c r="AF427" s="1" t="str">
        <f>IF(AND(Table1[[#This Row],[Spec Type2]]="N/A",Table1[[#This Row],[DUT Adj Read]]="N/A",Table1[[#This Row],[Std Adj Read]]="N/A"),"N/A",IF(Table1[[#This Row],[DUT Adj Read]]="N/A",IF(Table1[[#This Row],[Std Adj Read]]&gt;=Table1[[#This Row],[Low Tol]],"Pass","Fail"),IF(Table1[[#This Row],[DUT Adj Read]]&gt;=Table1[[#This Row],[Low Tol]],"Pass","Fail")))</f>
        <v>Pass</v>
      </c>
      <c r="AG427" s="1" t="str">
        <f>IF(AND(Table1[[#This Row],[Spec Type2]]="N/A",Table1[[#This Row],[DUT Adj Read]]="N/A",Table1[[#This Row],[Std Adj Read]]="N/A"),"N/A",IF(Table1[[#This Row],[DUT Adj Read]]="N/A",IF(Table1[[#This Row],[Std Adj Read]]&lt;=Table1[[#This Row],[High Tol]],"Pass","Fail"),IF(Table1[[#This Row],[DUT Adj Read]]&lt;=Table1[[#This Row],[High Tol]],"Pass","Fail")))</f>
        <v>Fail</v>
      </c>
      <c r="AH4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7" s="1" t="b">
        <v>0</v>
      </c>
      <c r="AN427" s="1" t="b">
        <v>0</v>
      </c>
      <c r="AO427" s="1" t="b">
        <v>0</v>
      </c>
    </row>
    <row r="428" spans="1:41" x14ac:dyDescent="0.25">
      <c r="A428" s="10"/>
      <c r="B428" s="10"/>
      <c r="C428" s="10"/>
      <c r="D428" s="10"/>
      <c r="E428" s="10"/>
      <c r="F428" s="10"/>
      <c r="G428" s="10"/>
      <c r="H428" s="10"/>
      <c r="I428" s="1" t="str">
        <f t="shared" si="18"/>
        <v/>
      </c>
      <c r="J428" s="1" t="s">
        <v>35</v>
      </c>
      <c r="K428" s="1" t="str">
        <f t="shared" si="19"/>
        <v/>
      </c>
      <c r="L428" s="1" t="str">
        <f t="shared" si="20"/>
        <v/>
      </c>
      <c r="M428" s="1">
        <f>IF(OR(Table1[[#This Row],[Std Nom]]="",Table1[[#This Row],[Std Read]]=""),0,Table1[[#This Row],[Std Nom]]-Table1[[#This Row],[Std Read]])</f>
        <v>0</v>
      </c>
      <c r="N428" s="1">
        <f>IF(Calculations!$F$5="ACCREDITED 17025 WITH UNCERTAINTIES",$N$10,0)</f>
        <v>0</v>
      </c>
      <c r="Q428" s="1">
        <f>Table1[[#This Row],[High Tol]]-Table1[[#This Row],[Low Tol]]</f>
        <v>0</v>
      </c>
      <c r="R428" s="1">
        <f>2*Table1[[#This Row],[Std Error]]</f>
        <v>0</v>
      </c>
      <c r="S428" s="1" t="str">
        <f>IF(Table1[[#This Row],[High Tol]]="","N/A",IFERROR(ABS(Table1[[#This Row],[Tol Span]]/Table1[[#This Row],[Error Span]]),"N/A"))</f>
        <v>N/A</v>
      </c>
      <c r="T428" s="1" t="str">
        <f>IF(OR(Table1[[#This Row],[Low Tol]]="",Table1[[#This Row],[High Tol]]=""),"Needs Analysis",IF(Table1[[#This Row],[Ratio]]&gt;=4,"Not Significant",IF(Table1[[#This Row],[Ratio]]&gt;=2,"Semi-Significant","Significant")))</f>
        <v>Needs Analysis</v>
      </c>
      <c r="W428" s="1">
        <f>IF(Table1[[#This Row],[Cal Type]]&lt;&gt;"ACCREDITED 17025 WITH UNCERTAINTIES",0,"")</f>
        <v>0</v>
      </c>
      <c r="X428" s="1" t="str">
        <f>IF(Table1[[#This Row],[DUT Read]]="","N/A",Table1[[#This Row],[Std Error]]+Table1[[#This Row],[DUT Read]]+Table1[[#This Row],[DUT Ucty]])</f>
        <v>N/A</v>
      </c>
      <c r="Y428" s="1" t="str">
        <f>IF(Table1[[#This Row],[Std Read]]="","N/A",Table1[[#This Row],[Std Read]]+Table1[[#This Row],[Std Ucty]])</f>
        <v>N/A</v>
      </c>
      <c r="Z4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8" s="1" t="str">
        <f>IF(Table1[[#This Row],[Spec Type]]="","N/A",Table1[[#This Row],[Spec Type]])</f>
        <v>±</v>
      </c>
      <c r="AC428" s="1" t="str">
        <f>IF(Table1[[#This Row],[Spec Type2]]="N/A","N/A",IF(AND(Table1[[#This Row],[DUT Adj Read]]&gt;=Table1[[#This Row],[Low Tol]],Table1[[#This Row],[DUT Adj Read]]&lt;=Table1[[#This Row],[High Tol]]),"Pass","Fail"))</f>
        <v>Fail</v>
      </c>
      <c r="AD428" s="1" t="str">
        <f>IF(AND(Table1[[#This Row],[Spec Type2]]="N/A",Table1[[#This Row],[DUT Adj Read]]="N/A",Table1[[#This Row],[Std Adj Read]]="N/A"),"N/A",IF(Table1[[#This Row],[DUT Adj Read]]="N/A",IF(Table1[[#This Row],[Std Adj Read]]&gt;Table1[[#This Row],[Low Tol]],"Pass","Fail"),IF(Table1[[#This Row],[DUT Adj Read]]&gt;Table1[[#This Row],[Low Tol]],"Pass","Fail")))</f>
        <v>Pass</v>
      </c>
      <c r="AE428" s="1" t="str">
        <f>IF(AND(Table1[[#This Row],[Spec Type2]]="N/A",Table1[[#This Row],[DUT Adj Read]]="N/A",Table1[[#This Row],[Std Adj Read]]="N/A"),"N/A",IF(Table1[[#This Row],[DUT Adj Read]]="N/A",IF(Table1[[#This Row],[Std Adj Read]]&lt;Table1[[#This Row],[High Tol]],"Pass","Fail"),IF(Table1[[#This Row],[DUT Adj Read]]&lt;Table1[[#This Row],[High Tol]],"Pass","Fail")))</f>
        <v>Fail</v>
      </c>
      <c r="AF428" s="1" t="str">
        <f>IF(AND(Table1[[#This Row],[Spec Type2]]="N/A",Table1[[#This Row],[DUT Adj Read]]="N/A",Table1[[#This Row],[Std Adj Read]]="N/A"),"N/A",IF(Table1[[#This Row],[DUT Adj Read]]="N/A",IF(Table1[[#This Row],[Std Adj Read]]&gt;=Table1[[#This Row],[Low Tol]],"Pass","Fail"),IF(Table1[[#This Row],[DUT Adj Read]]&gt;=Table1[[#This Row],[Low Tol]],"Pass","Fail")))</f>
        <v>Pass</v>
      </c>
      <c r="AG428" s="1" t="str">
        <f>IF(AND(Table1[[#This Row],[Spec Type2]]="N/A",Table1[[#This Row],[DUT Adj Read]]="N/A",Table1[[#This Row],[Std Adj Read]]="N/A"),"N/A",IF(Table1[[#This Row],[DUT Adj Read]]="N/A",IF(Table1[[#This Row],[Std Adj Read]]&lt;=Table1[[#This Row],[High Tol]],"Pass","Fail"),IF(Table1[[#This Row],[DUT Adj Read]]&lt;=Table1[[#This Row],[High Tol]],"Pass","Fail")))</f>
        <v>Fail</v>
      </c>
      <c r="AH4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8" s="1" t="b">
        <v>0</v>
      </c>
      <c r="AN428" s="1" t="b">
        <v>0</v>
      </c>
      <c r="AO428" s="1" t="b">
        <v>0</v>
      </c>
    </row>
    <row r="429" spans="1:41" x14ac:dyDescent="0.25">
      <c r="A429" s="10"/>
      <c r="B429" s="10"/>
      <c r="C429" s="10"/>
      <c r="D429" s="10"/>
      <c r="E429" s="10"/>
      <c r="F429" s="10"/>
      <c r="G429" s="10"/>
      <c r="H429" s="10"/>
      <c r="I429" s="1" t="str">
        <f t="shared" si="18"/>
        <v/>
      </c>
      <c r="J429" s="1" t="s">
        <v>35</v>
      </c>
      <c r="K429" s="1" t="str">
        <f t="shared" si="19"/>
        <v/>
      </c>
      <c r="L429" s="1" t="str">
        <f t="shared" si="20"/>
        <v/>
      </c>
      <c r="M429" s="1">
        <f>IF(OR(Table1[[#This Row],[Std Nom]]="",Table1[[#This Row],[Std Read]]=""),0,Table1[[#This Row],[Std Nom]]-Table1[[#This Row],[Std Read]])</f>
        <v>0</v>
      </c>
      <c r="N429" s="1">
        <f>IF(Calculations!$F$5="ACCREDITED 17025 WITH UNCERTAINTIES",$N$10,0)</f>
        <v>0</v>
      </c>
      <c r="Q429" s="1">
        <f>Table1[[#This Row],[High Tol]]-Table1[[#This Row],[Low Tol]]</f>
        <v>0</v>
      </c>
      <c r="R429" s="1">
        <f>2*Table1[[#This Row],[Std Error]]</f>
        <v>0</v>
      </c>
      <c r="S429" s="1" t="str">
        <f>IF(Table1[[#This Row],[High Tol]]="","N/A",IFERROR(ABS(Table1[[#This Row],[Tol Span]]/Table1[[#This Row],[Error Span]]),"N/A"))</f>
        <v>N/A</v>
      </c>
      <c r="T429" s="1" t="str">
        <f>IF(OR(Table1[[#This Row],[Low Tol]]="",Table1[[#This Row],[High Tol]]=""),"Needs Analysis",IF(Table1[[#This Row],[Ratio]]&gt;=4,"Not Significant",IF(Table1[[#This Row],[Ratio]]&gt;=2,"Semi-Significant","Significant")))</f>
        <v>Needs Analysis</v>
      </c>
      <c r="W429" s="1">
        <f>IF(Table1[[#This Row],[Cal Type]]&lt;&gt;"ACCREDITED 17025 WITH UNCERTAINTIES",0,"")</f>
        <v>0</v>
      </c>
      <c r="X429" s="1" t="str">
        <f>IF(Table1[[#This Row],[DUT Read]]="","N/A",Table1[[#This Row],[Std Error]]+Table1[[#This Row],[DUT Read]]+Table1[[#This Row],[DUT Ucty]])</f>
        <v>N/A</v>
      </c>
      <c r="Y429" s="1" t="str">
        <f>IF(Table1[[#This Row],[Std Read]]="","N/A",Table1[[#This Row],[Std Read]]+Table1[[#This Row],[Std Ucty]])</f>
        <v>N/A</v>
      </c>
      <c r="Z4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29" s="1" t="str">
        <f>IF(Table1[[#This Row],[Spec Type]]="","N/A",Table1[[#This Row],[Spec Type]])</f>
        <v>±</v>
      </c>
      <c r="AC429" s="1" t="str">
        <f>IF(Table1[[#This Row],[Spec Type2]]="N/A","N/A",IF(AND(Table1[[#This Row],[DUT Adj Read]]&gt;=Table1[[#This Row],[Low Tol]],Table1[[#This Row],[DUT Adj Read]]&lt;=Table1[[#This Row],[High Tol]]),"Pass","Fail"))</f>
        <v>Fail</v>
      </c>
      <c r="AD429" s="1" t="str">
        <f>IF(AND(Table1[[#This Row],[Spec Type2]]="N/A",Table1[[#This Row],[DUT Adj Read]]="N/A",Table1[[#This Row],[Std Adj Read]]="N/A"),"N/A",IF(Table1[[#This Row],[DUT Adj Read]]="N/A",IF(Table1[[#This Row],[Std Adj Read]]&gt;Table1[[#This Row],[Low Tol]],"Pass","Fail"),IF(Table1[[#This Row],[DUT Adj Read]]&gt;Table1[[#This Row],[Low Tol]],"Pass","Fail")))</f>
        <v>Pass</v>
      </c>
      <c r="AE429" s="1" t="str">
        <f>IF(AND(Table1[[#This Row],[Spec Type2]]="N/A",Table1[[#This Row],[DUT Adj Read]]="N/A",Table1[[#This Row],[Std Adj Read]]="N/A"),"N/A",IF(Table1[[#This Row],[DUT Adj Read]]="N/A",IF(Table1[[#This Row],[Std Adj Read]]&lt;Table1[[#This Row],[High Tol]],"Pass","Fail"),IF(Table1[[#This Row],[DUT Adj Read]]&lt;Table1[[#This Row],[High Tol]],"Pass","Fail")))</f>
        <v>Fail</v>
      </c>
      <c r="AF429" s="1" t="str">
        <f>IF(AND(Table1[[#This Row],[Spec Type2]]="N/A",Table1[[#This Row],[DUT Adj Read]]="N/A",Table1[[#This Row],[Std Adj Read]]="N/A"),"N/A",IF(Table1[[#This Row],[DUT Adj Read]]="N/A",IF(Table1[[#This Row],[Std Adj Read]]&gt;=Table1[[#This Row],[Low Tol]],"Pass","Fail"),IF(Table1[[#This Row],[DUT Adj Read]]&gt;=Table1[[#This Row],[Low Tol]],"Pass","Fail")))</f>
        <v>Pass</v>
      </c>
      <c r="AG429" s="1" t="str">
        <f>IF(AND(Table1[[#This Row],[Spec Type2]]="N/A",Table1[[#This Row],[DUT Adj Read]]="N/A",Table1[[#This Row],[Std Adj Read]]="N/A"),"N/A",IF(Table1[[#This Row],[DUT Adj Read]]="N/A",IF(Table1[[#This Row],[Std Adj Read]]&lt;=Table1[[#This Row],[High Tol]],"Pass","Fail"),IF(Table1[[#This Row],[DUT Adj Read]]&lt;=Table1[[#This Row],[High Tol]],"Pass","Fail")))</f>
        <v>Fail</v>
      </c>
      <c r="AH4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29" s="1" t="b">
        <v>0</v>
      </c>
      <c r="AN429" s="1" t="b">
        <v>0</v>
      </c>
      <c r="AO429" s="1" t="b">
        <v>0</v>
      </c>
    </row>
    <row r="430" spans="1:41" x14ac:dyDescent="0.25">
      <c r="A430" s="10"/>
      <c r="B430" s="10"/>
      <c r="C430" s="10"/>
      <c r="D430" s="10"/>
      <c r="E430" s="10"/>
      <c r="F430" s="10"/>
      <c r="G430" s="10"/>
      <c r="H430" s="10"/>
      <c r="I430" s="1" t="str">
        <f t="shared" si="18"/>
        <v/>
      </c>
      <c r="J430" s="1" t="s">
        <v>35</v>
      </c>
      <c r="K430" s="1" t="str">
        <f t="shared" si="19"/>
        <v/>
      </c>
      <c r="L430" s="1" t="str">
        <f t="shared" si="20"/>
        <v/>
      </c>
      <c r="M430" s="1">
        <f>IF(OR(Table1[[#This Row],[Std Nom]]="",Table1[[#This Row],[Std Read]]=""),0,Table1[[#This Row],[Std Nom]]-Table1[[#This Row],[Std Read]])</f>
        <v>0</v>
      </c>
      <c r="N430" s="1">
        <f>IF(Calculations!$F$5="ACCREDITED 17025 WITH UNCERTAINTIES",$N$10,0)</f>
        <v>0</v>
      </c>
      <c r="Q430" s="1">
        <f>Table1[[#This Row],[High Tol]]-Table1[[#This Row],[Low Tol]]</f>
        <v>0</v>
      </c>
      <c r="R430" s="1">
        <f>2*Table1[[#This Row],[Std Error]]</f>
        <v>0</v>
      </c>
      <c r="S430" s="1" t="str">
        <f>IF(Table1[[#This Row],[High Tol]]="","N/A",IFERROR(ABS(Table1[[#This Row],[Tol Span]]/Table1[[#This Row],[Error Span]]),"N/A"))</f>
        <v>N/A</v>
      </c>
      <c r="T430" s="1" t="str">
        <f>IF(OR(Table1[[#This Row],[Low Tol]]="",Table1[[#This Row],[High Tol]]=""),"Needs Analysis",IF(Table1[[#This Row],[Ratio]]&gt;=4,"Not Significant",IF(Table1[[#This Row],[Ratio]]&gt;=2,"Semi-Significant","Significant")))</f>
        <v>Needs Analysis</v>
      </c>
      <c r="W430" s="1">
        <f>IF(Table1[[#This Row],[Cal Type]]&lt;&gt;"ACCREDITED 17025 WITH UNCERTAINTIES",0,"")</f>
        <v>0</v>
      </c>
      <c r="X430" s="1" t="str">
        <f>IF(Table1[[#This Row],[DUT Read]]="","N/A",Table1[[#This Row],[Std Error]]+Table1[[#This Row],[DUT Read]]+Table1[[#This Row],[DUT Ucty]])</f>
        <v>N/A</v>
      </c>
      <c r="Y430" s="1" t="str">
        <f>IF(Table1[[#This Row],[Std Read]]="","N/A",Table1[[#This Row],[Std Read]]+Table1[[#This Row],[Std Ucty]])</f>
        <v>N/A</v>
      </c>
      <c r="Z4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0" s="1" t="str">
        <f>IF(Table1[[#This Row],[Spec Type]]="","N/A",Table1[[#This Row],[Spec Type]])</f>
        <v>±</v>
      </c>
      <c r="AC430" s="1" t="str">
        <f>IF(Table1[[#This Row],[Spec Type2]]="N/A","N/A",IF(AND(Table1[[#This Row],[DUT Adj Read]]&gt;=Table1[[#This Row],[Low Tol]],Table1[[#This Row],[DUT Adj Read]]&lt;=Table1[[#This Row],[High Tol]]),"Pass","Fail"))</f>
        <v>Fail</v>
      </c>
      <c r="AD430" s="1" t="str">
        <f>IF(AND(Table1[[#This Row],[Spec Type2]]="N/A",Table1[[#This Row],[DUT Adj Read]]="N/A",Table1[[#This Row],[Std Adj Read]]="N/A"),"N/A",IF(Table1[[#This Row],[DUT Adj Read]]="N/A",IF(Table1[[#This Row],[Std Adj Read]]&gt;Table1[[#This Row],[Low Tol]],"Pass","Fail"),IF(Table1[[#This Row],[DUT Adj Read]]&gt;Table1[[#This Row],[Low Tol]],"Pass","Fail")))</f>
        <v>Pass</v>
      </c>
      <c r="AE430" s="1" t="str">
        <f>IF(AND(Table1[[#This Row],[Spec Type2]]="N/A",Table1[[#This Row],[DUT Adj Read]]="N/A",Table1[[#This Row],[Std Adj Read]]="N/A"),"N/A",IF(Table1[[#This Row],[DUT Adj Read]]="N/A",IF(Table1[[#This Row],[Std Adj Read]]&lt;Table1[[#This Row],[High Tol]],"Pass","Fail"),IF(Table1[[#This Row],[DUT Adj Read]]&lt;Table1[[#This Row],[High Tol]],"Pass","Fail")))</f>
        <v>Fail</v>
      </c>
      <c r="AF430" s="1" t="str">
        <f>IF(AND(Table1[[#This Row],[Spec Type2]]="N/A",Table1[[#This Row],[DUT Adj Read]]="N/A",Table1[[#This Row],[Std Adj Read]]="N/A"),"N/A",IF(Table1[[#This Row],[DUT Adj Read]]="N/A",IF(Table1[[#This Row],[Std Adj Read]]&gt;=Table1[[#This Row],[Low Tol]],"Pass","Fail"),IF(Table1[[#This Row],[DUT Adj Read]]&gt;=Table1[[#This Row],[Low Tol]],"Pass","Fail")))</f>
        <v>Pass</v>
      </c>
      <c r="AG430" s="1" t="str">
        <f>IF(AND(Table1[[#This Row],[Spec Type2]]="N/A",Table1[[#This Row],[DUT Adj Read]]="N/A",Table1[[#This Row],[Std Adj Read]]="N/A"),"N/A",IF(Table1[[#This Row],[DUT Adj Read]]="N/A",IF(Table1[[#This Row],[Std Adj Read]]&lt;=Table1[[#This Row],[High Tol]],"Pass","Fail"),IF(Table1[[#This Row],[DUT Adj Read]]&lt;=Table1[[#This Row],[High Tol]],"Pass","Fail")))</f>
        <v>Fail</v>
      </c>
      <c r="AH4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0" s="1" t="b">
        <v>0</v>
      </c>
      <c r="AN430" s="1" t="b">
        <v>0</v>
      </c>
      <c r="AO430" s="1" t="b">
        <v>0</v>
      </c>
    </row>
    <row r="431" spans="1:41" x14ac:dyDescent="0.25">
      <c r="A431" s="10"/>
      <c r="B431" s="10"/>
      <c r="C431" s="10"/>
      <c r="D431" s="10"/>
      <c r="E431" s="10"/>
      <c r="F431" s="10"/>
      <c r="G431" s="10"/>
      <c r="H431" s="10"/>
      <c r="I431" s="1" t="str">
        <f t="shared" si="18"/>
        <v/>
      </c>
      <c r="J431" s="1" t="s">
        <v>35</v>
      </c>
      <c r="K431" s="1" t="str">
        <f t="shared" si="19"/>
        <v/>
      </c>
      <c r="L431" s="1" t="str">
        <f t="shared" si="20"/>
        <v/>
      </c>
      <c r="M431" s="1">
        <f>IF(OR(Table1[[#This Row],[Std Nom]]="",Table1[[#This Row],[Std Read]]=""),0,Table1[[#This Row],[Std Nom]]-Table1[[#This Row],[Std Read]])</f>
        <v>0</v>
      </c>
      <c r="N431" s="1">
        <f>IF(Calculations!$F$5="ACCREDITED 17025 WITH UNCERTAINTIES",$N$10,0)</f>
        <v>0</v>
      </c>
      <c r="Q431" s="1">
        <f>Table1[[#This Row],[High Tol]]-Table1[[#This Row],[Low Tol]]</f>
        <v>0</v>
      </c>
      <c r="R431" s="1">
        <f>2*Table1[[#This Row],[Std Error]]</f>
        <v>0</v>
      </c>
      <c r="S431" s="1" t="str">
        <f>IF(Table1[[#This Row],[High Tol]]="","N/A",IFERROR(ABS(Table1[[#This Row],[Tol Span]]/Table1[[#This Row],[Error Span]]),"N/A"))</f>
        <v>N/A</v>
      </c>
      <c r="T431" s="1" t="str">
        <f>IF(OR(Table1[[#This Row],[Low Tol]]="",Table1[[#This Row],[High Tol]]=""),"Needs Analysis",IF(Table1[[#This Row],[Ratio]]&gt;=4,"Not Significant",IF(Table1[[#This Row],[Ratio]]&gt;=2,"Semi-Significant","Significant")))</f>
        <v>Needs Analysis</v>
      </c>
      <c r="W431" s="1">
        <f>IF(Table1[[#This Row],[Cal Type]]&lt;&gt;"ACCREDITED 17025 WITH UNCERTAINTIES",0,"")</f>
        <v>0</v>
      </c>
      <c r="X431" s="1" t="str">
        <f>IF(Table1[[#This Row],[DUT Read]]="","N/A",Table1[[#This Row],[Std Error]]+Table1[[#This Row],[DUT Read]]+Table1[[#This Row],[DUT Ucty]])</f>
        <v>N/A</v>
      </c>
      <c r="Y431" s="1" t="str">
        <f>IF(Table1[[#This Row],[Std Read]]="","N/A",Table1[[#This Row],[Std Read]]+Table1[[#This Row],[Std Ucty]])</f>
        <v>N/A</v>
      </c>
      <c r="Z4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1" s="1" t="str">
        <f>IF(Table1[[#This Row],[Spec Type]]="","N/A",Table1[[#This Row],[Spec Type]])</f>
        <v>±</v>
      </c>
      <c r="AC431" s="1" t="str">
        <f>IF(Table1[[#This Row],[Spec Type2]]="N/A","N/A",IF(AND(Table1[[#This Row],[DUT Adj Read]]&gt;=Table1[[#This Row],[Low Tol]],Table1[[#This Row],[DUT Adj Read]]&lt;=Table1[[#This Row],[High Tol]]),"Pass","Fail"))</f>
        <v>Fail</v>
      </c>
      <c r="AD431" s="1" t="str">
        <f>IF(AND(Table1[[#This Row],[Spec Type2]]="N/A",Table1[[#This Row],[DUT Adj Read]]="N/A",Table1[[#This Row],[Std Adj Read]]="N/A"),"N/A",IF(Table1[[#This Row],[DUT Adj Read]]="N/A",IF(Table1[[#This Row],[Std Adj Read]]&gt;Table1[[#This Row],[Low Tol]],"Pass","Fail"),IF(Table1[[#This Row],[DUT Adj Read]]&gt;Table1[[#This Row],[Low Tol]],"Pass","Fail")))</f>
        <v>Pass</v>
      </c>
      <c r="AE431" s="1" t="str">
        <f>IF(AND(Table1[[#This Row],[Spec Type2]]="N/A",Table1[[#This Row],[DUT Adj Read]]="N/A",Table1[[#This Row],[Std Adj Read]]="N/A"),"N/A",IF(Table1[[#This Row],[DUT Adj Read]]="N/A",IF(Table1[[#This Row],[Std Adj Read]]&lt;Table1[[#This Row],[High Tol]],"Pass","Fail"),IF(Table1[[#This Row],[DUT Adj Read]]&lt;Table1[[#This Row],[High Tol]],"Pass","Fail")))</f>
        <v>Fail</v>
      </c>
      <c r="AF431" s="1" t="str">
        <f>IF(AND(Table1[[#This Row],[Spec Type2]]="N/A",Table1[[#This Row],[DUT Adj Read]]="N/A",Table1[[#This Row],[Std Adj Read]]="N/A"),"N/A",IF(Table1[[#This Row],[DUT Adj Read]]="N/A",IF(Table1[[#This Row],[Std Adj Read]]&gt;=Table1[[#This Row],[Low Tol]],"Pass","Fail"),IF(Table1[[#This Row],[DUT Adj Read]]&gt;=Table1[[#This Row],[Low Tol]],"Pass","Fail")))</f>
        <v>Pass</v>
      </c>
      <c r="AG431" s="1" t="str">
        <f>IF(AND(Table1[[#This Row],[Spec Type2]]="N/A",Table1[[#This Row],[DUT Adj Read]]="N/A",Table1[[#This Row],[Std Adj Read]]="N/A"),"N/A",IF(Table1[[#This Row],[DUT Adj Read]]="N/A",IF(Table1[[#This Row],[Std Adj Read]]&lt;=Table1[[#This Row],[High Tol]],"Pass","Fail"),IF(Table1[[#This Row],[DUT Adj Read]]&lt;=Table1[[#This Row],[High Tol]],"Pass","Fail")))</f>
        <v>Fail</v>
      </c>
      <c r="AH4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1" s="1" t="b">
        <v>0</v>
      </c>
      <c r="AN431" s="1" t="b">
        <v>0</v>
      </c>
      <c r="AO431" s="1" t="b">
        <v>0</v>
      </c>
    </row>
    <row r="432" spans="1:41" x14ac:dyDescent="0.25">
      <c r="A432" s="10"/>
      <c r="B432" s="10"/>
      <c r="C432" s="10"/>
      <c r="D432" s="10"/>
      <c r="E432" s="10"/>
      <c r="F432" s="10"/>
      <c r="G432" s="10"/>
      <c r="H432" s="10"/>
      <c r="I432" s="1" t="str">
        <f t="shared" si="18"/>
        <v/>
      </c>
      <c r="J432" s="1" t="s">
        <v>35</v>
      </c>
      <c r="K432" s="1" t="str">
        <f t="shared" si="19"/>
        <v/>
      </c>
      <c r="L432" s="1" t="str">
        <f t="shared" si="20"/>
        <v/>
      </c>
      <c r="M432" s="1">
        <f>IF(OR(Table1[[#This Row],[Std Nom]]="",Table1[[#This Row],[Std Read]]=""),0,Table1[[#This Row],[Std Nom]]-Table1[[#This Row],[Std Read]])</f>
        <v>0</v>
      </c>
      <c r="N432" s="1">
        <f>IF(Calculations!$F$5="ACCREDITED 17025 WITH UNCERTAINTIES",$N$10,0)</f>
        <v>0</v>
      </c>
      <c r="Q432" s="1">
        <f>Table1[[#This Row],[High Tol]]-Table1[[#This Row],[Low Tol]]</f>
        <v>0</v>
      </c>
      <c r="R432" s="1">
        <f>2*Table1[[#This Row],[Std Error]]</f>
        <v>0</v>
      </c>
      <c r="S432" s="1" t="str">
        <f>IF(Table1[[#This Row],[High Tol]]="","N/A",IFERROR(ABS(Table1[[#This Row],[Tol Span]]/Table1[[#This Row],[Error Span]]),"N/A"))</f>
        <v>N/A</v>
      </c>
      <c r="T432" s="1" t="str">
        <f>IF(OR(Table1[[#This Row],[Low Tol]]="",Table1[[#This Row],[High Tol]]=""),"Needs Analysis",IF(Table1[[#This Row],[Ratio]]&gt;=4,"Not Significant",IF(Table1[[#This Row],[Ratio]]&gt;=2,"Semi-Significant","Significant")))</f>
        <v>Needs Analysis</v>
      </c>
      <c r="W432" s="1">
        <f>IF(Table1[[#This Row],[Cal Type]]&lt;&gt;"ACCREDITED 17025 WITH UNCERTAINTIES",0,"")</f>
        <v>0</v>
      </c>
      <c r="X432" s="1" t="str">
        <f>IF(Table1[[#This Row],[DUT Read]]="","N/A",Table1[[#This Row],[Std Error]]+Table1[[#This Row],[DUT Read]]+Table1[[#This Row],[DUT Ucty]])</f>
        <v>N/A</v>
      </c>
      <c r="Y432" s="1" t="str">
        <f>IF(Table1[[#This Row],[Std Read]]="","N/A",Table1[[#This Row],[Std Read]]+Table1[[#This Row],[Std Ucty]])</f>
        <v>N/A</v>
      </c>
      <c r="Z4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2" s="1" t="str">
        <f>IF(Table1[[#This Row],[Spec Type]]="","N/A",Table1[[#This Row],[Spec Type]])</f>
        <v>±</v>
      </c>
      <c r="AC432" s="1" t="str">
        <f>IF(Table1[[#This Row],[Spec Type2]]="N/A","N/A",IF(AND(Table1[[#This Row],[DUT Adj Read]]&gt;=Table1[[#This Row],[Low Tol]],Table1[[#This Row],[DUT Adj Read]]&lt;=Table1[[#This Row],[High Tol]]),"Pass","Fail"))</f>
        <v>Fail</v>
      </c>
      <c r="AD432" s="1" t="str">
        <f>IF(AND(Table1[[#This Row],[Spec Type2]]="N/A",Table1[[#This Row],[DUT Adj Read]]="N/A",Table1[[#This Row],[Std Adj Read]]="N/A"),"N/A",IF(Table1[[#This Row],[DUT Adj Read]]="N/A",IF(Table1[[#This Row],[Std Adj Read]]&gt;Table1[[#This Row],[Low Tol]],"Pass","Fail"),IF(Table1[[#This Row],[DUT Adj Read]]&gt;Table1[[#This Row],[Low Tol]],"Pass","Fail")))</f>
        <v>Pass</v>
      </c>
      <c r="AE432" s="1" t="str">
        <f>IF(AND(Table1[[#This Row],[Spec Type2]]="N/A",Table1[[#This Row],[DUT Adj Read]]="N/A",Table1[[#This Row],[Std Adj Read]]="N/A"),"N/A",IF(Table1[[#This Row],[DUT Adj Read]]="N/A",IF(Table1[[#This Row],[Std Adj Read]]&lt;Table1[[#This Row],[High Tol]],"Pass","Fail"),IF(Table1[[#This Row],[DUT Adj Read]]&lt;Table1[[#This Row],[High Tol]],"Pass","Fail")))</f>
        <v>Fail</v>
      </c>
      <c r="AF432" s="1" t="str">
        <f>IF(AND(Table1[[#This Row],[Spec Type2]]="N/A",Table1[[#This Row],[DUT Adj Read]]="N/A",Table1[[#This Row],[Std Adj Read]]="N/A"),"N/A",IF(Table1[[#This Row],[DUT Adj Read]]="N/A",IF(Table1[[#This Row],[Std Adj Read]]&gt;=Table1[[#This Row],[Low Tol]],"Pass","Fail"),IF(Table1[[#This Row],[DUT Adj Read]]&gt;=Table1[[#This Row],[Low Tol]],"Pass","Fail")))</f>
        <v>Pass</v>
      </c>
      <c r="AG432" s="1" t="str">
        <f>IF(AND(Table1[[#This Row],[Spec Type2]]="N/A",Table1[[#This Row],[DUT Adj Read]]="N/A",Table1[[#This Row],[Std Adj Read]]="N/A"),"N/A",IF(Table1[[#This Row],[DUT Adj Read]]="N/A",IF(Table1[[#This Row],[Std Adj Read]]&lt;=Table1[[#This Row],[High Tol]],"Pass","Fail"),IF(Table1[[#This Row],[DUT Adj Read]]&lt;=Table1[[#This Row],[High Tol]],"Pass","Fail")))</f>
        <v>Fail</v>
      </c>
      <c r="AH4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2" s="1" t="b">
        <v>0</v>
      </c>
      <c r="AN432" s="1" t="b">
        <v>0</v>
      </c>
      <c r="AO432" s="1" t="b">
        <v>0</v>
      </c>
    </row>
    <row r="433" spans="1:41" x14ac:dyDescent="0.25">
      <c r="A433" s="10"/>
      <c r="B433" s="10"/>
      <c r="C433" s="10"/>
      <c r="D433" s="10"/>
      <c r="E433" s="10"/>
      <c r="F433" s="10"/>
      <c r="G433" s="10"/>
      <c r="H433" s="10"/>
      <c r="I433" s="1" t="str">
        <f t="shared" si="18"/>
        <v/>
      </c>
      <c r="J433" s="1" t="s">
        <v>35</v>
      </c>
      <c r="K433" s="1" t="str">
        <f t="shared" si="19"/>
        <v/>
      </c>
      <c r="L433" s="1" t="str">
        <f t="shared" si="20"/>
        <v/>
      </c>
      <c r="M433" s="1">
        <f>IF(OR(Table1[[#This Row],[Std Nom]]="",Table1[[#This Row],[Std Read]]=""),0,Table1[[#This Row],[Std Nom]]-Table1[[#This Row],[Std Read]])</f>
        <v>0</v>
      </c>
      <c r="N433" s="1">
        <f>IF(Calculations!$F$5="ACCREDITED 17025 WITH UNCERTAINTIES",$N$10,0)</f>
        <v>0</v>
      </c>
      <c r="Q433" s="1">
        <f>Table1[[#This Row],[High Tol]]-Table1[[#This Row],[Low Tol]]</f>
        <v>0</v>
      </c>
      <c r="R433" s="1">
        <f>2*Table1[[#This Row],[Std Error]]</f>
        <v>0</v>
      </c>
      <c r="S433" s="1" t="str">
        <f>IF(Table1[[#This Row],[High Tol]]="","N/A",IFERROR(ABS(Table1[[#This Row],[Tol Span]]/Table1[[#This Row],[Error Span]]),"N/A"))</f>
        <v>N/A</v>
      </c>
      <c r="T433" s="1" t="str">
        <f>IF(OR(Table1[[#This Row],[Low Tol]]="",Table1[[#This Row],[High Tol]]=""),"Needs Analysis",IF(Table1[[#This Row],[Ratio]]&gt;=4,"Not Significant",IF(Table1[[#This Row],[Ratio]]&gt;=2,"Semi-Significant","Significant")))</f>
        <v>Needs Analysis</v>
      </c>
      <c r="W433" s="1">
        <f>IF(Table1[[#This Row],[Cal Type]]&lt;&gt;"ACCREDITED 17025 WITH UNCERTAINTIES",0,"")</f>
        <v>0</v>
      </c>
      <c r="X433" s="1" t="str">
        <f>IF(Table1[[#This Row],[DUT Read]]="","N/A",Table1[[#This Row],[Std Error]]+Table1[[#This Row],[DUT Read]]+Table1[[#This Row],[DUT Ucty]])</f>
        <v>N/A</v>
      </c>
      <c r="Y433" s="1" t="str">
        <f>IF(Table1[[#This Row],[Std Read]]="","N/A",Table1[[#This Row],[Std Read]]+Table1[[#This Row],[Std Ucty]])</f>
        <v>N/A</v>
      </c>
      <c r="Z4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3" s="1" t="str">
        <f>IF(Table1[[#This Row],[Spec Type]]="","N/A",Table1[[#This Row],[Spec Type]])</f>
        <v>±</v>
      </c>
      <c r="AC433" s="1" t="str">
        <f>IF(Table1[[#This Row],[Spec Type2]]="N/A","N/A",IF(AND(Table1[[#This Row],[DUT Adj Read]]&gt;=Table1[[#This Row],[Low Tol]],Table1[[#This Row],[DUT Adj Read]]&lt;=Table1[[#This Row],[High Tol]]),"Pass","Fail"))</f>
        <v>Fail</v>
      </c>
      <c r="AD433" s="1" t="str">
        <f>IF(AND(Table1[[#This Row],[Spec Type2]]="N/A",Table1[[#This Row],[DUT Adj Read]]="N/A",Table1[[#This Row],[Std Adj Read]]="N/A"),"N/A",IF(Table1[[#This Row],[DUT Adj Read]]="N/A",IF(Table1[[#This Row],[Std Adj Read]]&gt;Table1[[#This Row],[Low Tol]],"Pass","Fail"),IF(Table1[[#This Row],[DUT Adj Read]]&gt;Table1[[#This Row],[Low Tol]],"Pass","Fail")))</f>
        <v>Pass</v>
      </c>
      <c r="AE433" s="1" t="str">
        <f>IF(AND(Table1[[#This Row],[Spec Type2]]="N/A",Table1[[#This Row],[DUT Adj Read]]="N/A",Table1[[#This Row],[Std Adj Read]]="N/A"),"N/A",IF(Table1[[#This Row],[DUT Adj Read]]="N/A",IF(Table1[[#This Row],[Std Adj Read]]&lt;Table1[[#This Row],[High Tol]],"Pass","Fail"),IF(Table1[[#This Row],[DUT Adj Read]]&lt;Table1[[#This Row],[High Tol]],"Pass","Fail")))</f>
        <v>Fail</v>
      </c>
      <c r="AF433" s="1" t="str">
        <f>IF(AND(Table1[[#This Row],[Spec Type2]]="N/A",Table1[[#This Row],[DUT Adj Read]]="N/A",Table1[[#This Row],[Std Adj Read]]="N/A"),"N/A",IF(Table1[[#This Row],[DUT Adj Read]]="N/A",IF(Table1[[#This Row],[Std Adj Read]]&gt;=Table1[[#This Row],[Low Tol]],"Pass","Fail"),IF(Table1[[#This Row],[DUT Adj Read]]&gt;=Table1[[#This Row],[Low Tol]],"Pass","Fail")))</f>
        <v>Pass</v>
      </c>
      <c r="AG433" s="1" t="str">
        <f>IF(AND(Table1[[#This Row],[Spec Type2]]="N/A",Table1[[#This Row],[DUT Adj Read]]="N/A",Table1[[#This Row],[Std Adj Read]]="N/A"),"N/A",IF(Table1[[#This Row],[DUT Adj Read]]="N/A",IF(Table1[[#This Row],[Std Adj Read]]&lt;=Table1[[#This Row],[High Tol]],"Pass","Fail"),IF(Table1[[#This Row],[DUT Adj Read]]&lt;=Table1[[#This Row],[High Tol]],"Pass","Fail")))</f>
        <v>Fail</v>
      </c>
      <c r="AH4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3" s="1" t="b">
        <v>0</v>
      </c>
      <c r="AN433" s="1" t="b">
        <v>0</v>
      </c>
      <c r="AO433" s="1" t="b">
        <v>0</v>
      </c>
    </row>
    <row r="434" spans="1:41" x14ac:dyDescent="0.25">
      <c r="A434" s="10"/>
      <c r="B434" s="10"/>
      <c r="C434" s="10"/>
      <c r="D434" s="10"/>
      <c r="E434" s="10"/>
      <c r="F434" s="10"/>
      <c r="G434" s="10"/>
      <c r="H434" s="10"/>
      <c r="I434" s="1" t="str">
        <f t="shared" si="18"/>
        <v/>
      </c>
      <c r="J434" s="1" t="s">
        <v>35</v>
      </c>
      <c r="K434" s="1" t="str">
        <f t="shared" si="19"/>
        <v/>
      </c>
      <c r="L434" s="1" t="str">
        <f t="shared" si="20"/>
        <v/>
      </c>
      <c r="M434" s="1">
        <f>IF(OR(Table1[[#This Row],[Std Nom]]="",Table1[[#This Row],[Std Read]]=""),0,Table1[[#This Row],[Std Nom]]-Table1[[#This Row],[Std Read]])</f>
        <v>0</v>
      </c>
      <c r="N434" s="1">
        <f>IF(Calculations!$F$5="ACCREDITED 17025 WITH UNCERTAINTIES",$N$10,0)</f>
        <v>0</v>
      </c>
      <c r="Q434" s="1">
        <f>Table1[[#This Row],[High Tol]]-Table1[[#This Row],[Low Tol]]</f>
        <v>0</v>
      </c>
      <c r="R434" s="1">
        <f>2*Table1[[#This Row],[Std Error]]</f>
        <v>0</v>
      </c>
      <c r="S434" s="1" t="str">
        <f>IF(Table1[[#This Row],[High Tol]]="","N/A",IFERROR(ABS(Table1[[#This Row],[Tol Span]]/Table1[[#This Row],[Error Span]]),"N/A"))</f>
        <v>N/A</v>
      </c>
      <c r="T434" s="1" t="str">
        <f>IF(OR(Table1[[#This Row],[Low Tol]]="",Table1[[#This Row],[High Tol]]=""),"Needs Analysis",IF(Table1[[#This Row],[Ratio]]&gt;=4,"Not Significant",IF(Table1[[#This Row],[Ratio]]&gt;=2,"Semi-Significant","Significant")))</f>
        <v>Needs Analysis</v>
      </c>
      <c r="W434" s="1">
        <f>IF(Table1[[#This Row],[Cal Type]]&lt;&gt;"ACCREDITED 17025 WITH UNCERTAINTIES",0,"")</f>
        <v>0</v>
      </c>
      <c r="X434" s="1" t="str">
        <f>IF(Table1[[#This Row],[DUT Read]]="","N/A",Table1[[#This Row],[Std Error]]+Table1[[#This Row],[DUT Read]]+Table1[[#This Row],[DUT Ucty]])</f>
        <v>N/A</v>
      </c>
      <c r="Y434" s="1" t="str">
        <f>IF(Table1[[#This Row],[Std Read]]="","N/A",Table1[[#This Row],[Std Read]]+Table1[[#This Row],[Std Ucty]])</f>
        <v>N/A</v>
      </c>
      <c r="Z4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4" s="1" t="str">
        <f>IF(Table1[[#This Row],[Spec Type]]="","N/A",Table1[[#This Row],[Spec Type]])</f>
        <v>±</v>
      </c>
      <c r="AC434" s="1" t="str">
        <f>IF(Table1[[#This Row],[Spec Type2]]="N/A","N/A",IF(AND(Table1[[#This Row],[DUT Adj Read]]&gt;=Table1[[#This Row],[Low Tol]],Table1[[#This Row],[DUT Adj Read]]&lt;=Table1[[#This Row],[High Tol]]),"Pass","Fail"))</f>
        <v>Fail</v>
      </c>
      <c r="AD434" s="1" t="str">
        <f>IF(AND(Table1[[#This Row],[Spec Type2]]="N/A",Table1[[#This Row],[DUT Adj Read]]="N/A",Table1[[#This Row],[Std Adj Read]]="N/A"),"N/A",IF(Table1[[#This Row],[DUT Adj Read]]="N/A",IF(Table1[[#This Row],[Std Adj Read]]&gt;Table1[[#This Row],[Low Tol]],"Pass","Fail"),IF(Table1[[#This Row],[DUT Adj Read]]&gt;Table1[[#This Row],[Low Tol]],"Pass","Fail")))</f>
        <v>Pass</v>
      </c>
      <c r="AE434" s="1" t="str">
        <f>IF(AND(Table1[[#This Row],[Spec Type2]]="N/A",Table1[[#This Row],[DUT Adj Read]]="N/A",Table1[[#This Row],[Std Adj Read]]="N/A"),"N/A",IF(Table1[[#This Row],[DUT Adj Read]]="N/A",IF(Table1[[#This Row],[Std Adj Read]]&lt;Table1[[#This Row],[High Tol]],"Pass","Fail"),IF(Table1[[#This Row],[DUT Adj Read]]&lt;Table1[[#This Row],[High Tol]],"Pass","Fail")))</f>
        <v>Fail</v>
      </c>
      <c r="AF434" s="1" t="str">
        <f>IF(AND(Table1[[#This Row],[Spec Type2]]="N/A",Table1[[#This Row],[DUT Adj Read]]="N/A",Table1[[#This Row],[Std Adj Read]]="N/A"),"N/A",IF(Table1[[#This Row],[DUT Adj Read]]="N/A",IF(Table1[[#This Row],[Std Adj Read]]&gt;=Table1[[#This Row],[Low Tol]],"Pass","Fail"),IF(Table1[[#This Row],[DUT Adj Read]]&gt;=Table1[[#This Row],[Low Tol]],"Pass","Fail")))</f>
        <v>Pass</v>
      </c>
      <c r="AG434" s="1" t="str">
        <f>IF(AND(Table1[[#This Row],[Spec Type2]]="N/A",Table1[[#This Row],[DUT Adj Read]]="N/A",Table1[[#This Row],[Std Adj Read]]="N/A"),"N/A",IF(Table1[[#This Row],[DUT Adj Read]]="N/A",IF(Table1[[#This Row],[Std Adj Read]]&lt;=Table1[[#This Row],[High Tol]],"Pass","Fail"),IF(Table1[[#This Row],[DUT Adj Read]]&lt;=Table1[[#This Row],[High Tol]],"Pass","Fail")))</f>
        <v>Fail</v>
      </c>
      <c r="AH4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4" s="1" t="b">
        <v>0</v>
      </c>
      <c r="AN434" s="1" t="b">
        <v>0</v>
      </c>
      <c r="AO434" s="1" t="b">
        <v>0</v>
      </c>
    </row>
    <row r="435" spans="1:41" x14ac:dyDescent="0.25">
      <c r="A435" s="10"/>
      <c r="B435" s="10"/>
      <c r="C435" s="10"/>
      <c r="D435" s="10"/>
      <c r="E435" s="10"/>
      <c r="F435" s="10"/>
      <c r="G435" s="10"/>
      <c r="H435" s="10"/>
      <c r="I435" s="1" t="str">
        <f t="shared" si="18"/>
        <v/>
      </c>
      <c r="J435" s="1" t="s">
        <v>35</v>
      </c>
      <c r="K435" s="1" t="str">
        <f t="shared" si="19"/>
        <v/>
      </c>
      <c r="L435" s="1" t="str">
        <f t="shared" si="20"/>
        <v/>
      </c>
      <c r="M435" s="1">
        <f>IF(OR(Table1[[#This Row],[Std Nom]]="",Table1[[#This Row],[Std Read]]=""),0,Table1[[#This Row],[Std Nom]]-Table1[[#This Row],[Std Read]])</f>
        <v>0</v>
      </c>
      <c r="N435" s="1">
        <f>IF(Calculations!$F$5="ACCREDITED 17025 WITH UNCERTAINTIES",$N$10,0)</f>
        <v>0</v>
      </c>
      <c r="Q435" s="1">
        <f>Table1[[#This Row],[High Tol]]-Table1[[#This Row],[Low Tol]]</f>
        <v>0</v>
      </c>
      <c r="R435" s="1">
        <f>2*Table1[[#This Row],[Std Error]]</f>
        <v>0</v>
      </c>
      <c r="S435" s="1" t="str">
        <f>IF(Table1[[#This Row],[High Tol]]="","N/A",IFERROR(ABS(Table1[[#This Row],[Tol Span]]/Table1[[#This Row],[Error Span]]),"N/A"))</f>
        <v>N/A</v>
      </c>
      <c r="T435" s="1" t="str">
        <f>IF(OR(Table1[[#This Row],[Low Tol]]="",Table1[[#This Row],[High Tol]]=""),"Needs Analysis",IF(Table1[[#This Row],[Ratio]]&gt;=4,"Not Significant",IF(Table1[[#This Row],[Ratio]]&gt;=2,"Semi-Significant","Significant")))</f>
        <v>Needs Analysis</v>
      </c>
      <c r="W435" s="1">
        <f>IF(Table1[[#This Row],[Cal Type]]&lt;&gt;"ACCREDITED 17025 WITH UNCERTAINTIES",0,"")</f>
        <v>0</v>
      </c>
      <c r="X435" s="1" t="str">
        <f>IF(Table1[[#This Row],[DUT Read]]="","N/A",Table1[[#This Row],[Std Error]]+Table1[[#This Row],[DUT Read]]+Table1[[#This Row],[DUT Ucty]])</f>
        <v>N/A</v>
      </c>
      <c r="Y435" s="1" t="str">
        <f>IF(Table1[[#This Row],[Std Read]]="","N/A",Table1[[#This Row],[Std Read]]+Table1[[#This Row],[Std Ucty]])</f>
        <v>N/A</v>
      </c>
      <c r="Z4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5" s="1" t="str">
        <f>IF(Table1[[#This Row],[Spec Type]]="","N/A",Table1[[#This Row],[Spec Type]])</f>
        <v>±</v>
      </c>
      <c r="AC435" s="1" t="str">
        <f>IF(Table1[[#This Row],[Spec Type2]]="N/A","N/A",IF(AND(Table1[[#This Row],[DUT Adj Read]]&gt;=Table1[[#This Row],[Low Tol]],Table1[[#This Row],[DUT Adj Read]]&lt;=Table1[[#This Row],[High Tol]]),"Pass","Fail"))</f>
        <v>Fail</v>
      </c>
      <c r="AD435" s="1" t="str">
        <f>IF(AND(Table1[[#This Row],[Spec Type2]]="N/A",Table1[[#This Row],[DUT Adj Read]]="N/A",Table1[[#This Row],[Std Adj Read]]="N/A"),"N/A",IF(Table1[[#This Row],[DUT Adj Read]]="N/A",IF(Table1[[#This Row],[Std Adj Read]]&gt;Table1[[#This Row],[Low Tol]],"Pass","Fail"),IF(Table1[[#This Row],[DUT Adj Read]]&gt;Table1[[#This Row],[Low Tol]],"Pass","Fail")))</f>
        <v>Pass</v>
      </c>
      <c r="AE435" s="1" t="str">
        <f>IF(AND(Table1[[#This Row],[Spec Type2]]="N/A",Table1[[#This Row],[DUT Adj Read]]="N/A",Table1[[#This Row],[Std Adj Read]]="N/A"),"N/A",IF(Table1[[#This Row],[DUT Adj Read]]="N/A",IF(Table1[[#This Row],[Std Adj Read]]&lt;Table1[[#This Row],[High Tol]],"Pass","Fail"),IF(Table1[[#This Row],[DUT Adj Read]]&lt;Table1[[#This Row],[High Tol]],"Pass","Fail")))</f>
        <v>Fail</v>
      </c>
      <c r="AF435" s="1" t="str">
        <f>IF(AND(Table1[[#This Row],[Spec Type2]]="N/A",Table1[[#This Row],[DUT Adj Read]]="N/A",Table1[[#This Row],[Std Adj Read]]="N/A"),"N/A",IF(Table1[[#This Row],[DUT Adj Read]]="N/A",IF(Table1[[#This Row],[Std Adj Read]]&gt;=Table1[[#This Row],[Low Tol]],"Pass","Fail"),IF(Table1[[#This Row],[DUT Adj Read]]&gt;=Table1[[#This Row],[Low Tol]],"Pass","Fail")))</f>
        <v>Pass</v>
      </c>
      <c r="AG435" s="1" t="str">
        <f>IF(AND(Table1[[#This Row],[Spec Type2]]="N/A",Table1[[#This Row],[DUT Adj Read]]="N/A",Table1[[#This Row],[Std Adj Read]]="N/A"),"N/A",IF(Table1[[#This Row],[DUT Adj Read]]="N/A",IF(Table1[[#This Row],[Std Adj Read]]&lt;=Table1[[#This Row],[High Tol]],"Pass","Fail"),IF(Table1[[#This Row],[DUT Adj Read]]&lt;=Table1[[#This Row],[High Tol]],"Pass","Fail")))</f>
        <v>Fail</v>
      </c>
      <c r="AH4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5" s="1" t="b">
        <v>0</v>
      </c>
      <c r="AN435" s="1" t="b">
        <v>0</v>
      </c>
      <c r="AO435" s="1" t="b">
        <v>0</v>
      </c>
    </row>
    <row r="436" spans="1:41" x14ac:dyDescent="0.25">
      <c r="A436" s="10"/>
      <c r="B436" s="10"/>
      <c r="C436" s="10"/>
      <c r="D436" s="10"/>
      <c r="E436" s="10"/>
      <c r="F436" s="10"/>
      <c r="G436" s="10"/>
      <c r="H436" s="10"/>
      <c r="I436" s="1" t="str">
        <f t="shared" si="18"/>
        <v/>
      </c>
      <c r="J436" s="1" t="s">
        <v>35</v>
      </c>
      <c r="K436" s="1" t="str">
        <f t="shared" si="19"/>
        <v/>
      </c>
      <c r="L436" s="1" t="str">
        <f t="shared" si="20"/>
        <v/>
      </c>
      <c r="M436" s="1">
        <f>IF(OR(Table1[[#This Row],[Std Nom]]="",Table1[[#This Row],[Std Read]]=""),0,Table1[[#This Row],[Std Nom]]-Table1[[#This Row],[Std Read]])</f>
        <v>0</v>
      </c>
      <c r="N436" s="1">
        <f>IF(Calculations!$F$5="ACCREDITED 17025 WITH UNCERTAINTIES",$N$10,0)</f>
        <v>0</v>
      </c>
      <c r="Q436" s="1">
        <f>Table1[[#This Row],[High Tol]]-Table1[[#This Row],[Low Tol]]</f>
        <v>0</v>
      </c>
      <c r="R436" s="1">
        <f>2*Table1[[#This Row],[Std Error]]</f>
        <v>0</v>
      </c>
      <c r="S436" s="1" t="str">
        <f>IF(Table1[[#This Row],[High Tol]]="","N/A",IFERROR(ABS(Table1[[#This Row],[Tol Span]]/Table1[[#This Row],[Error Span]]),"N/A"))</f>
        <v>N/A</v>
      </c>
      <c r="T436" s="1" t="str">
        <f>IF(OR(Table1[[#This Row],[Low Tol]]="",Table1[[#This Row],[High Tol]]=""),"Needs Analysis",IF(Table1[[#This Row],[Ratio]]&gt;=4,"Not Significant",IF(Table1[[#This Row],[Ratio]]&gt;=2,"Semi-Significant","Significant")))</f>
        <v>Needs Analysis</v>
      </c>
      <c r="W436" s="1">
        <f>IF(Table1[[#This Row],[Cal Type]]&lt;&gt;"ACCREDITED 17025 WITH UNCERTAINTIES",0,"")</f>
        <v>0</v>
      </c>
      <c r="X436" s="1" t="str">
        <f>IF(Table1[[#This Row],[DUT Read]]="","N/A",Table1[[#This Row],[Std Error]]+Table1[[#This Row],[DUT Read]]+Table1[[#This Row],[DUT Ucty]])</f>
        <v>N/A</v>
      </c>
      <c r="Y436" s="1" t="str">
        <f>IF(Table1[[#This Row],[Std Read]]="","N/A",Table1[[#This Row],[Std Read]]+Table1[[#This Row],[Std Ucty]])</f>
        <v>N/A</v>
      </c>
      <c r="Z4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6" s="1" t="str">
        <f>IF(Table1[[#This Row],[Spec Type]]="","N/A",Table1[[#This Row],[Spec Type]])</f>
        <v>±</v>
      </c>
      <c r="AC436" s="1" t="str">
        <f>IF(Table1[[#This Row],[Spec Type2]]="N/A","N/A",IF(AND(Table1[[#This Row],[DUT Adj Read]]&gt;=Table1[[#This Row],[Low Tol]],Table1[[#This Row],[DUT Adj Read]]&lt;=Table1[[#This Row],[High Tol]]),"Pass","Fail"))</f>
        <v>Fail</v>
      </c>
      <c r="AD436" s="1" t="str">
        <f>IF(AND(Table1[[#This Row],[Spec Type2]]="N/A",Table1[[#This Row],[DUT Adj Read]]="N/A",Table1[[#This Row],[Std Adj Read]]="N/A"),"N/A",IF(Table1[[#This Row],[DUT Adj Read]]="N/A",IF(Table1[[#This Row],[Std Adj Read]]&gt;Table1[[#This Row],[Low Tol]],"Pass","Fail"),IF(Table1[[#This Row],[DUT Adj Read]]&gt;Table1[[#This Row],[Low Tol]],"Pass","Fail")))</f>
        <v>Pass</v>
      </c>
      <c r="AE436" s="1" t="str">
        <f>IF(AND(Table1[[#This Row],[Spec Type2]]="N/A",Table1[[#This Row],[DUT Adj Read]]="N/A",Table1[[#This Row],[Std Adj Read]]="N/A"),"N/A",IF(Table1[[#This Row],[DUT Adj Read]]="N/A",IF(Table1[[#This Row],[Std Adj Read]]&lt;Table1[[#This Row],[High Tol]],"Pass","Fail"),IF(Table1[[#This Row],[DUT Adj Read]]&lt;Table1[[#This Row],[High Tol]],"Pass","Fail")))</f>
        <v>Fail</v>
      </c>
      <c r="AF436" s="1" t="str">
        <f>IF(AND(Table1[[#This Row],[Spec Type2]]="N/A",Table1[[#This Row],[DUT Adj Read]]="N/A",Table1[[#This Row],[Std Adj Read]]="N/A"),"N/A",IF(Table1[[#This Row],[DUT Adj Read]]="N/A",IF(Table1[[#This Row],[Std Adj Read]]&gt;=Table1[[#This Row],[Low Tol]],"Pass","Fail"),IF(Table1[[#This Row],[DUT Adj Read]]&gt;=Table1[[#This Row],[Low Tol]],"Pass","Fail")))</f>
        <v>Pass</v>
      </c>
      <c r="AG436" s="1" t="str">
        <f>IF(AND(Table1[[#This Row],[Spec Type2]]="N/A",Table1[[#This Row],[DUT Adj Read]]="N/A",Table1[[#This Row],[Std Adj Read]]="N/A"),"N/A",IF(Table1[[#This Row],[DUT Adj Read]]="N/A",IF(Table1[[#This Row],[Std Adj Read]]&lt;=Table1[[#This Row],[High Tol]],"Pass","Fail"),IF(Table1[[#This Row],[DUT Adj Read]]&lt;=Table1[[#This Row],[High Tol]],"Pass","Fail")))</f>
        <v>Fail</v>
      </c>
      <c r="AH4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6" s="1" t="b">
        <v>0</v>
      </c>
      <c r="AN436" s="1" t="b">
        <v>0</v>
      </c>
      <c r="AO436" s="1" t="b">
        <v>0</v>
      </c>
    </row>
    <row r="437" spans="1:41" x14ac:dyDescent="0.25">
      <c r="A437" s="10"/>
      <c r="B437" s="10"/>
      <c r="C437" s="10"/>
      <c r="D437" s="10"/>
      <c r="E437" s="10"/>
      <c r="F437" s="10"/>
      <c r="G437" s="10"/>
      <c r="H437" s="10"/>
      <c r="I437" s="1" t="str">
        <f t="shared" si="18"/>
        <v/>
      </c>
      <c r="J437" s="1" t="s">
        <v>35</v>
      </c>
      <c r="K437" s="1" t="str">
        <f t="shared" si="19"/>
        <v/>
      </c>
      <c r="L437" s="1" t="str">
        <f t="shared" si="20"/>
        <v/>
      </c>
      <c r="M437" s="1">
        <f>IF(OR(Table1[[#This Row],[Std Nom]]="",Table1[[#This Row],[Std Read]]=""),0,Table1[[#This Row],[Std Nom]]-Table1[[#This Row],[Std Read]])</f>
        <v>0</v>
      </c>
      <c r="N437" s="1">
        <f>IF(Calculations!$F$5="ACCREDITED 17025 WITH UNCERTAINTIES",$N$10,0)</f>
        <v>0</v>
      </c>
      <c r="Q437" s="1">
        <f>Table1[[#This Row],[High Tol]]-Table1[[#This Row],[Low Tol]]</f>
        <v>0</v>
      </c>
      <c r="R437" s="1">
        <f>2*Table1[[#This Row],[Std Error]]</f>
        <v>0</v>
      </c>
      <c r="S437" s="1" t="str">
        <f>IF(Table1[[#This Row],[High Tol]]="","N/A",IFERROR(ABS(Table1[[#This Row],[Tol Span]]/Table1[[#This Row],[Error Span]]),"N/A"))</f>
        <v>N/A</v>
      </c>
      <c r="T437" s="1" t="str">
        <f>IF(OR(Table1[[#This Row],[Low Tol]]="",Table1[[#This Row],[High Tol]]=""),"Needs Analysis",IF(Table1[[#This Row],[Ratio]]&gt;=4,"Not Significant",IF(Table1[[#This Row],[Ratio]]&gt;=2,"Semi-Significant","Significant")))</f>
        <v>Needs Analysis</v>
      </c>
      <c r="W437" s="1">
        <f>IF(Table1[[#This Row],[Cal Type]]&lt;&gt;"ACCREDITED 17025 WITH UNCERTAINTIES",0,"")</f>
        <v>0</v>
      </c>
      <c r="X437" s="1" t="str">
        <f>IF(Table1[[#This Row],[DUT Read]]="","N/A",Table1[[#This Row],[Std Error]]+Table1[[#This Row],[DUT Read]]+Table1[[#This Row],[DUT Ucty]])</f>
        <v>N/A</v>
      </c>
      <c r="Y437" s="1" t="str">
        <f>IF(Table1[[#This Row],[Std Read]]="","N/A",Table1[[#This Row],[Std Read]]+Table1[[#This Row],[Std Ucty]])</f>
        <v>N/A</v>
      </c>
      <c r="Z4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7" s="1" t="str">
        <f>IF(Table1[[#This Row],[Spec Type]]="","N/A",Table1[[#This Row],[Spec Type]])</f>
        <v>±</v>
      </c>
      <c r="AC437" s="1" t="str">
        <f>IF(Table1[[#This Row],[Spec Type2]]="N/A","N/A",IF(AND(Table1[[#This Row],[DUT Adj Read]]&gt;=Table1[[#This Row],[Low Tol]],Table1[[#This Row],[DUT Adj Read]]&lt;=Table1[[#This Row],[High Tol]]),"Pass","Fail"))</f>
        <v>Fail</v>
      </c>
      <c r="AD437" s="1" t="str">
        <f>IF(AND(Table1[[#This Row],[Spec Type2]]="N/A",Table1[[#This Row],[DUT Adj Read]]="N/A",Table1[[#This Row],[Std Adj Read]]="N/A"),"N/A",IF(Table1[[#This Row],[DUT Adj Read]]="N/A",IF(Table1[[#This Row],[Std Adj Read]]&gt;Table1[[#This Row],[Low Tol]],"Pass","Fail"),IF(Table1[[#This Row],[DUT Adj Read]]&gt;Table1[[#This Row],[Low Tol]],"Pass","Fail")))</f>
        <v>Pass</v>
      </c>
      <c r="AE437" s="1" t="str">
        <f>IF(AND(Table1[[#This Row],[Spec Type2]]="N/A",Table1[[#This Row],[DUT Adj Read]]="N/A",Table1[[#This Row],[Std Adj Read]]="N/A"),"N/A",IF(Table1[[#This Row],[DUT Adj Read]]="N/A",IF(Table1[[#This Row],[Std Adj Read]]&lt;Table1[[#This Row],[High Tol]],"Pass","Fail"),IF(Table1[[#This Row],[DUT Adj Read]]&lt;Table1[[#This Row],[High Tol]],"Pass","Fail")))</f>
        <v>Fail</v>
      </c>
      <c r="AF437" s="1" t="str">
        <f>IF(AND(Table1[[#This Row],[Spec Type2]]="N/A",Table1[[#This Row],[DUT Adj Read]]="N/A",Table1[[#This Row],[Std Adj Read]]="N/A"),"N/A",IF(Table1[[#This Row],[DUT Adj Read]]="N/A",IF(Table1[[#This Row],[Std Adj Read]]&gt;=Table1[[#This Row],[Low Tol]],"Pass","Fail"),IF(Table1[[#This Row],[DUT Adj Read]]&gt;=Table1[[#This Row],[Low Tol]],"Pass","Fail")))</f>
        <v>Pass</v>
      </c>
      <c r="AG437" s="1" t="str">
        <f>IF(AND(Table1[[#This Row],[Spec Type2]]="N/A",Table1[[#This Row],[DUT Adj Read]]="N/A",Table1[[#This Row],[Std Adj Read]]="N/A"),"N/A",IF(Table1[[#This Row],[DUT Adj Read]]="N/A",IF(Table1[[#This Row],[Std Adj Read]]&lt;=Table1[[#This Row],[High Tol]],"Pass","Fail"),IF(Table1[[#This Row],[DUT Adj Read]]&lt;=Table1[[#This Row],[High Tol]],"Pass","Fail")))</f>
        <v>Fail</v>
      </c>
      <c r="AH4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7" s="1" t="b">
        <v>0</v>
      </c>
      <c r="AN437" s="1" t="b">
        <v>0</v>
      </c>
      <c r="AO437" s="1" t="b">
        <v>0</v>
      </c>
    </row>
    <row r="438" spans="1:41" x14ac:dyDescent="0.25">
      <c r="A438" s="10"/>
      <c r="B438" s="10"/>
      <c r="C438" s="10"/>
      <c r="D438" s="10"/>
      <c r="E438" s="10"/>
      <c r="F438" s="10"/>
      <c r="G438" s="10"/>
      <c r="H438" s="10"/>
      <c r="I438" s="1" t="str">
        <f t="shared" si="18"/>
        <v/>
      </c>
      <c r="J438" s="1" t="s">
        <v>35</v>
      </c>
      <c r="K438" s="1" t="str">
        <f t="shared" si="19"/>
        <v/>
      </c>
      <c r="L438" s="1" t="str">
        <f t="shared" si="20"/>
        <v/>
      </c>
      <c r="M438" s="1">
        <f>IF(OR(Table1[[#This Row],[Std Nom]]="",Table1[[#This Row],[Std Read]]=""),0,Table1[[#This Row],[Std Nom]]-Table1[[#This Row],[Std Read]])</f>
        <v>0</v>
      </c>
      <c r="N438" s="1">
        <f>IF(Calculations!$F$5="ACCREDITED 17025 WITH UNCERTAINTIES",$N$10,0)</f>
        <v>0</v>
      </c>
      <c r="Q438" s="1">
        <f>Table1[[#This Row],[High Tol]]-Table1[[#This Row],[Low Tol]]</f>
        <v>0</v>
      </c>
      <c r="R438" s="1">
        <f>2*Table1[[#This Row],[Std Error]]</f>
        <v>0</v>
      </c>
      <c r="S438" s="1" t="str">
        <f>IF(Table1[[#This Row],[High Tol]]="","N/A",IFERROR(ABS(Table1[[#This Row],[Tol Span]]/Table1[[#This Row],[Error Span]]),"N/A"))</f>
        <v>N/A</v>
      </c>
      <c r="T438" s="1" t="str">
        <f>IF(OR(Table1[[#This Row],[Low Tol]]="",Table1[[#This Row],[High Tol]]=""),"Needs Analysis",IF(Table1[[#This Row],[Ratio]]&gt;=4,"Not Significant",IF(Table1[[#This Row],[Ratio]]&gt;=2,"Semi-Significant","Significant")))</f>
        <v>Needs Analysis</v>
      </c>
      <c r="W438" s="1">
        <f>IF(Table1[[#This Row],[Cal Type]]&lt;&gt;"ACCREDITED 17025 WITH UNCERTAINTIES",0,"")</f>
        <v>0</v>
      </c>
      <c r="X438" s="1" t="str">
        <f>IF(Table1[[#This Row],[DUT Read]]="","N/A",Table1[[#This Row],[Std Error]]+Table1[[#This Row],[DUT Read]]+Table1[[#This Row],[DUT Ucty]])</f>
        <v>N/A</v>
      </c>
      <c r="Y438" s="1" t="str">
        <f>IF(Table1[[#This Row],[Std Read]]="","N/A",Table1[[#This Row],[Std Read]]+Table1[[#This Row],[Std Ucty]])</f>
        <v>N/A</v>
      </c>
      <c r="Z4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8" s="1" t="str">
        <f>IF(Table1[[#This Row],[Spec Type]]="","N/A",Table1[[#This Row],[Spec Type]])</f>
        <v>±</v>
      </c>
      <c r="AC438" s="1" t="str">
        <f>IF(Table1[[#This Row],[Spec Type2]]="N/A","N/A",IF(AND(Table1[[#This Row],[DUT Adj Read]]&gt;=Table1[[#This Row],[Low Tol]],Table1[[#This Row],[DUT Adj Read]]&lt;=Table1[[#This Row],[High Tol]]),"Pass","Fail"))</f>
        <v>Fail</v>
      </c>
      <c r="AD438" s="1" t="str">
        <f>IF(AND(Table1[[#This Row],[Spec Type2]]="N/A",Table1[[#This Row],[DUT Adj Read]]="N/A",Table1[[#This Row],[Std Adj Read]]="N/A"),"N/A",IF(Table1[[#This Row],[DUT Adj Read]]="N/A",IF(Table1[[#This Row],[Std Adj Read]]&gt;Table1[[#This Row],[Low Tol]],"Pass","Fail"),IF(Table1[[#This Row],[DUT Adj Read]]&gt;Table1[[#This Row],[Low Tol]],"Pass","Fail")))</f>
        <v>Pass</v>
      </c>
      <c r="AE438" s="1" t="str">
        <f>IF(AND(Table1[[#This Row],[Spec Type2]]="N/A",Table1[[#This Row],[DUT Adj Read]]="N/A",Table1[[#This Row],[Std Adj Read]]="N/A"),"N/A",IF(Table1[[#This Row],[DUT Adj Read]]="N/A",IF(Table1[[#This Row],[Std Adj Read]]&lt;Table1[[#This Row],[High Tol]],"Pass","Fail"),IF(Table1[[#This Row],[DUT Adj Read]]&lt;Table1[[#This Row],[High Tol]],"Pass","Fail")))</f>
        <v>Fail</v>
      </c>
      <c r="AF438" s="1" t="str">
        <f>IF(AND(Table1[[#This Row],[Spec Type2]]="N/A",Table1[[#This Row],[DUT Adj Read]]="N/A",Table1[[#This Row],[Std Adj Read]]="N/A"),"N/A",IF(Table1[[#This Row],[DUT Adj Read]]="N/A",IF(Table1[[#This Row],[Std Adj Read]]&gt;=Table1[[#This Row],[Low Tol]],"Pass","Fail"),IF(Table1[[#This Row],[DUT Adj Read]]&gt;=Table1[[#This Row],[Low Tol]],"Pass","Fail")))</f>
        <v>Pass</v>
      </c>
      <c r="AG438" s="1" t="str">
        <f>IF(AND(Table1[[#This Row],[Spec Type2]]="N/A",Table1[[#This Row],[DUT Adj Read]]="N/A",Table1[[#This Row],[Std Adj Read]]="N/A"),"N/A",IF(Table1[[#This Row],[DUT Adj Read]]="N/A",IF(Table1[[#This Row],[Std Adj Read]]&lt;=Table1[[#This Row],[High Tol]],"Pass","Fail"),IF(Table1[[#This Row],[DUT Adj Read]]&lt;=Table1[[#This Row],[High Tol]],"Pass","Fail")))</f>
        <v>Fail</v>
      </c>
      <c r="AH4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8" s="1" t="b">
        <v>0</v>
      </c>
      <c r="AN438" s="1" t="b">
        <v>0</v>
      </c>
      <c r="AO438" s="1" t="b">
        <v>0</v>
      </c>
    </row>
    <row r="439" spans="1:41" x14ac:dyDescent="0.25">
      <c r="A439" s="10"/>
      <c r="B439" s="10"/>
      <c r="C439" s="10"/>
      <c r="D439" s="10"/>
      <c r="E439" s="10"/>
      <c r="F439" s="10"/>
      <c r="G439" s="10"/>
      <c r="H439" s="10"/>
      <c r="I439" s="1" t="str">
        <f t="shared" si="18"/>
        <v/>
      </c>
      <c r="J439" s="1" t="s">
        <v>35</v>
      </c>
      <c r="K439" s="1" t="str">
        <f t="shared" si="19"/>
        <v/>
      </c>
      <c r="L439" s="1" t="str">
        <f t="shared" si="20"/>
        <v/>
      </c>
      <c r="M439" s="1">
        <f>IF(OR(Table1[[#This Row],[Std Nom]]="",Table1[[#This Row],[Std Read]]=""),0,Table1[[#This Row],[Std Nom]]-Table1[[#This Row],[Std Read]])</f>
        <v>0</v>
      </c>
      <c r="N439" s="1">
        <f>IF(Calculations!$F$5="ACCREDITED 17025 WITH UNCERTAINTIES",$N$10,0)</f>
        <v>0</v>
      </c>
      <c r="Q439" s="1">
        <f>Table1[[#This Row],[High Tol]]-Table1[[#This Row],[Low Tol]]</f>
        <v>0</v>
      </c>
      <c r="R439" s="1">
        <f>2*Table1[[#This Row],[Std Error]]</f>
        <v>0</v>
      </c>
      <c r="S439" s="1" t="str">
        <f>IF(Table1[[#This Row],[High Tol]]="","N/A",IFERROR(ABS(Table1[[#This Row],[Tol Span]]/Table1[[#This Row],[Error Span]]),"N/A"))</f>
        <v>N/A</v>
      </c>
      <c r="T439" s="1" t="str">
        <f>IF(OR(Table1[[#This Row],[Low Tol]]="",Table1[[#This Row],[High Tol]]=""),"Needs Analysis",IF(Table1[[#This Row],[Ratio]]&gt;=4,"Not Significant",IF(Table1[[#This Row],[Ratio]]&gt;=2,"Semi-Significant","Significant")))</f>
        <v>Needs Analysis</v>
      </c>
      <c r="W439" s="1">
        <f>IF(Table1[[#This Row],[Cal Type]]&lt;&gt;"ACCREDITED 17025 WITH UNCERTAINTIES",0,"")</f>
        <v>0</v>
      </c>
      <c r="X439" s="1" t="str">
        <f>IF(Table1[[#This Row],[DUT Read]]="","N/A",Table1[[#This Row],[Std Error]]+Table1[[#This Row],[DUT Read]]+Table1[[#This Row],[DUT Ucty]])</f>
        <v>N/A</v>
      </c>
      <c r="Y439" s="1" t="str">
        <f>IF(Table1[[#This Row],[Std Read]]="","N/A",Table1[[#This Row],[Std Read]]+Table1[[#This Row],[Std Ucty]])</f>
        <v>N/A</v>
      </c>
      <c r="Z4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39" s="1" t="str">
        <f>IF(Table1[[#This Row],[Spec Type]]="","N/A",Table1[[#This Row],[Spec Type]])</f>
        <v>±</v>
      </c>
      <c r="AC439" s="1" t="str">
        <f>IF(Table1[[#This Row],[Spec Type2]]="N/A","N/A",IF(AND(Table1[[#This Row],[DUT Adj Read]]&gt;=Table1[[#This Row],[Low Tol]],Table1[[#This Row],[DUT Adj Read]]&lt;=Table1[[#This Row],[High Tol]]),"Pass","Fail"))</f>
        <v>Fail</v>
      </c>
      <c r="AD439" s="1" t="str">
        <f>IF(AND(Table1[[#This Row],[Spec Type2]]="N/A",Table1[[#This Row],[DUT Adj Read]]="N/A",Table1[[#This Row],[Std Adj Read]]="N/A"),"N/A",IF(Table1[[#This Row],[DUT Adj Read]]="N/A",IF(Table1[[#This Row],[Std Adj Read]]&gt;Table1[[#This Row],[Low Tol]],"Pass","Fail"),IF(Table1[[#This Row],[DUT Adj Read]]&gt;Table1[[#This Row],[Low Tol]],"Pass","Fail")))</f>
        <v>Pass</v>
      </c>
      <c r="AE439" s="1" t="str">
        <f>IF(AND(Table1[[#This Row],[Spec Type2]]="N/A",Table1[[#This Row],[DUT Adj Read]]="N/A",Table1[[#This Row],[Std Adj Read]]="N/A"),"N/A",IF(Table1[[#This Row],[DUT Adj Read]]="N/A",IF(Table1[[#This Row],[Std Adj Read]]&lt;Table1[[#This Row],[High Tol]],"Pass","Fail"),IF(Table1[[#This Row],[DUT Adj Read]]&lt;Table1[[#This Row],[High Tol]],"Pass","Fail")))</f>
        <v>Fail</v>
      </c>
      <c r="AF439" s="1" t="str">
        <f>IF(AND(Table1[[#This Row],[Spec Type2]]="N/A",Table1[[#This Row],[DUT Adj Read]]="N/A",Table1[[#This Row],[Std Adj Read]]="N/A"),"N/A",IF(Table1[[#This Row],[DUT Adj Read]]="N/A",IF(Table1[[#This Row],[Std Adj Read]]&gt;=Table1[[#This Row],[Low Tol]],"Pass","Fail"),IF(Table1[[#This Row],[DUT Adj Read]]&gt;=Table1[[#This Row],[Low Tol]],"Pass","Fail")))</f>
        <v>Pass</v>
      </c>
      <c r="AG439" s="1" t="str">
        <f>IF(AND(Table1[[#This Row],[Spec Type2]]="N/A",Table1[[#This Row],[DUT Adj Read]]="N/A",Table1[[#This Row],[Std Adj Read]]="N/A"),"N/A",IF(Table1[[#This Row],[DUT Adj Read]]="N/A",IF(Table1[[#This Row],[Std Adj Read]]&lt;=Table1[[#This Row],[High Tol]],"Pass","Fail"),IF(Table1[[#This Row],[DUT Adj Read]]&lt;=Table1[[#This Row],[High Tol]],"Pass","Fail")))</f>
        <v>Fail</v>
      </c>
      <c r="AH4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39" s="1" t="b">
        <v>0</v>
      </c>
      <c r="AN439" s="1" t="b">
        <v>0</v>
      </c>
      <c r="AO439" s="1" t="b">
        <v>0</v>
      </c>
    </row>
    <row r="440" spans="1:41" x14ac:dyDescent="0.25">
      <c r="A440" s="10"/>
      <c r="B440" s="10"/>
      <c r="C440" s="10"/>
      <c r="D440" s="10"/>
      <c r="E440" s="10"/>
      <c r="F440" s="10"/>
      <c r="G440" s="10"/>
      <c r="H440" s="10"/>
      <c r="I440" s="1" t="str">
        <f t="shared" si="18"/>
        <v/>
      </c>
      <c r="J440" s="1" t="s">
        <v>35</v>
      </c>
      <c r="K440" s="1" t="str">
        <f t="shared" si="19"/>
        <v/>
      </c>
      <c r="L440" s="1" t="str">
        <f t="shared" si="20"/>
        <v/>
      </c>
      <c r="M440" s="1">
        <f>IF(OR(Table1[[#This Row],[Std Nom]]="",Table1[[#This Row],[Std Read]]=""),0,Table1[[#This Row],[Std Nom]]-Table1[[#This Row],[Std Read]])</f>
        <v>0</v>
      </c>
      <c r="N440" s="1">
        <f>IF(Calculations!$F$5="ACCREDITED 17025 WITH UNCERTAINTIES",$N$10,0)</f>
        <v>0</v>
      </c>
      <c r="Q440" s="1">
        <f>Table1[[#This Row],[High Tol]]-Table1[[#This Row],[Low Tol]]</f>
        <v>0</v>
      </c>
      <c r="R440" s="1">
        <f>2*Table1[[#This Row],[Std Error]]</f>
        <v>0</v>
      </c>
      <c r="S440" s="1" t="str">
        <f>IF(Table1[[#This Row],[High Tol]]="","N/A",IFERROR(ABS(Table1[[#This Row],[Tol Span]]/Table1[[#This Row],[Error Span]]),"N/A"))</f>
        <v>N/A</v>
      </c>
      <c r="T440" s="1" t="str">
        <f>IF(OR(Table1[[#This Row],[Low Tol]]="",Table1[[#This Row],[High Tol]]=""),"Needs Analysis",IF(Table1[[#This Row],[Ratio]]&gt;=4,"Not Significant",IF(Table1[[#This Row],[Ratio]]&gt;=2,"Semi-Significant","Significant")))</f>
        <v>Needs Analysis</v>
      </c>
      <c r="W440" s="1">
        <f>IF(Table1[[#This Row],[Cal Type]]&lt;&gt;"ACCREDITED 17025 WITH UNCERTAINTIES",0,"")</f>
        <v>0</v>
      </c>
      <c r="X440" s="1" t="str">
        <f>IF(Table1[[#This Row],[DUT Read]]="","N/A",Table1[[#This Row],[Std Error]]+Table1[[#This Row],[DUT Read]]+Table1[[#This Row],[DUT Ucty]])</f>
        <v>N/A</v>
      </c>
      <c r="Y440" s="1" t="str">
        <f>IF(Table1[[#This Row],[Std Read]]="","N/A",Table1[[#This Row],[Std Read]]+Table1[[#This Row],[Std Ucty]])</f>
        <v>N/A</v>
      </c>
      <c r="Z4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0" s="1" t="str">
        <f>IF(Table1[[#This Row],[Spec Type]]="","N/A",Table1[[#This Row],[Spec Type]])</f>
        <v>±</v>
      </c>
      <c r="AC440" s="1" t="str">
        <f>IF(Table1[[#This Row],[Spec Type2]]="N/A","N/A",IF(AND(Table1[[#This Row],[DUT Adj Read]]&gt;=Table1[[#This Row],[Low Tol]],Table1[[#This Row],[DUT Adj Read]]&lt;=Table1[[#This Row],[High Tol]]),"Pass","Fail"))</f>
        <v>Fail</v>
      </c>
      <c r="AD440" s="1" t="str">
        <f>IF(AND(Table1[[#This Row],[Spec Type2]]="N/A",Table1[[#This Row],[DUT Adj Read]]="N/A",Table1[[#This Row],[Std Adj Read]]="N/A"),"N/A",IF(Table1[[#This Row],[DUT Adj Read]]="N/A",IF(Table1[[#This Row],[Std Adj Read]]&gt;Table1[[#This Row],[Low Tol]],"Pass","Fail"),IF(Table1[[#This Row],[DUT Adj Read]]&gt;Table1[[#This Row],[Low Tol]],"Pass","Fail")))</f>
        <v>Pass</v>
      </c>
      <c r="AE440" s="1" t="str">
        <f>IF(AND(Table1[[#This Row],[Spec Type2]]="N/A",Table1[[#This Row],[DUT Adj Read]]="N/A",Table1[[#This Row],[Std Adj Read]]="N/A"),"N/A",IF(Table1[[#This Row],[DUT Adj Read]]="N/A",IF(Table1[[#This Row],[Std Adj Read]]&lt;Table1[[#This Row],[High Tol]],"Pass","Fail"),IF(Table1[[#This Row],[DUT Adj Read]]&lt;Table1[[#This Row],[High Tol]],"Pass","Fail")))</f>
        <v>Fail</v>
      </c>
      <c r="AF440" s="1" t="str">
        <f>IF(AND(Table1[[#This Row],[Spec Type2]]="N/A",Table1[[#This Row],[DUT Adj Read]]="N/A",Table1[[#This Row],[Std Adj Read]]="N/A"),"N/A",IF(Table1[[#This Row],[DUT Adj Read]]="N/A",IF(Table1[[#This Row],[Std Adj Read]]&gt;=Table1[[#This Row],[Low Tol]],"Pass","Fail"),IF(Table1[[#This Row],[DUT Adj Read]]&gt;=Table1[[#This Row],[Low Tol]],"Pass","Fail")))</f>
        <v>Pass</v>
      </c>
      <c r="AG440" s="1" t="str">
        <f>IF(AND(Table1[[#This Row],[Spec Type2]]="N/A",Table1[[#This Row],[DUT Adj Read]]="N/A",Table1[[#This Row],[Std Adj Read]]="N/A"),"N/A",IF(Table1[[#This Row],[DUT Adj Read]]="N/A",IF(Table1[[#This Row],[Std Adj Read]]&lt;=Table1[[#This Row],[High Tol]],"Pass","Fail"),IF(Table1[[#This Row],[DUT Adj Read]]&lt;=Table1[[#This Row],[High Tol]],"Pass","Fail")))</f>
        <v>Fail</v>
      </c>
      <c r="AH4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0" s="1" t="b">
        <v>0</v>
      </c>
      <c r="AN440" s="1" t="b">
        <v>0</v>
      </c>
      <c r="AO440" s="1" t="b">
        <v>0</v>
      </c>
    </row>
    <row r="441" spans="1:41" x14ac:dyDescent="0.25">
      <c r="A441" s="10"/>
      <c r="B441" s="10"/>
      <c r="C441" s="10"/>
      <c r="D441" s="10"/>
      <c r="E441" s="10"/>
      <c r="F441" s="10"/>
      <c r="G441" s="10"/>
      <c r="H441" s="10"/>
      <c r="I441" s="1" t="str">
        <f t="shared" si="18"/>
        <v/>
      </c>
      <c r="J441" s="1" t="s">
        <v>35</v>
      </c>
      <c r="K441" s="1" t="str">
        <f t="shared" si="19"/>
        <v/>
      </c>
      <c r="L441" s="1" t="str">
        <f t="shared" si="20"/>
        <v/>
      </c>
      <c r="M441" s="1">
        <f>IF(OR(Table1[[#This Row],[Std Nom]]="",Table1[[#This Row],[Std Read]]=""),0,Table1[[#This Row],[Std Nom]]-Table1[[#This Row],[Std Read]])</f>
        <v>0</v>
      </c>
      <c r="N441" s="1">
        <f>IF(Calculations!$F$5="ACCREDITED 17025 WITH UNCERTAINTIES",$N$10,0)</f>
        <v>0</v>
      </c>
      <c r="Q441" s="1">
        <f>Table1[[#This Row],[High Tol]]-Table1[[#This Row],[Low Tol]]</f>
        <v>0</v>
      </c>
      <c r="R441" s="1">
        <f>2*Table1[[#This Row],[Std Error]]</f>
        <v>0</v>
      </c>
      <c r="S441" s="1" t="str">
        <f>IF(Table1[[#This Row],[High Tol]]="","N/A",IFERROR(ABS(Table1[[#This Row],[Tol Span]]/Table1[[#This Row],[Error Span]]),"N/A"))</f>
        <v>N/A</v>
      </c>
      <c r="T441" s="1" t="str">
        <f>IF(OR(Table1[[#This Row],[Low Tol]]="",Table1[[#This Row],[High Tol]]=""),"Needs Analysis",IF(Table1[[#This Row],[Ratio]]&gt;=4,"Not Significant",IF(Table1[[#This Row],[Ratio]]&gt;=2,"Semi-Significant","Significant")))</f>
        <v>Needs Analysis</v>
      </c>
      <c r="W441" s="1">
        <f>IF(Table1[[#This Row],[Cal Type]]&lt;&gt;"ACCREDITED 17025 WITH UNCERTAINTIES",0,"")</f>
        <v>0</v>
      </c>
      <c r="X441" s="1" t="str">
        <f>IF(Table1[[#This Row],[DUT Read]]="","N/A",Table1[[#This Row],[Std Error]]+Table1[[#This Row],[DUT Read]]+Table1[[#This Row],[DUT Ucty]])</f>
        <v>N/A</v>
      </c>
      <c r="Y441" s="1" t="str">
        <f>IF(Table1[[#This Row],[Std Read]]="","N/A",Table1[[#This Row],[Std Read]]+Table1[[#This Row],[Std Ucty]])</f>
        <v>N/A</v>
      </c>
      <c r="Z4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1" s="1" t="str">
        <f>IF(Table1[[#This Row],[Spec Type]]="","N/A",Table1[[#This Row],[Spec Type]])</f>
        <v>±</v>
      </c>
      <c r="AC441" s="1" t="str">
        <f>IF(Table1[[#This Row],[Spec Type2]]="N/A","N/A",IF(AND(Table1[[#This Row],[DUT Adj Read]]&gt;=Table1[[#This Row],[Low Tol]],Table1[[#This Row],[DUT Adj Read]]&lt;=Table1[[#This Row],[High Tol]]),"Pass","Fail"))</f>
        <v>Fail</v>
      </c>
      <c r="AD441" s="1" t="str">
        <f>IF(AND(Table1[[#This Row],[Spec Type2]]="N/A",Table1[[#This Row],[DUT Adj Read]]="N/A",Table1[[#This Row],[Std Adj Read]]="N/A"),"N/A",IF(Table1[[#This Row],[DUT Adj Read]]="N/A",IF(Table1[[#This Row],[Std Adj Read]]&gt;Table1[[#This Row],[Low Tol]],"Pass","Fail"),IF(Table1[[#This Row],[DUT Adj Read]]&gt;Table1[[#This Row],[Low Tol]],"Pass","Fail")))</f>
        <v>Pass</v>
      </c>
      <c r="AE441" s="1" t="str">
        <f>IF(AND(Table1[[#This Row],[Spec Type2]]="N/A",Table1[[#This Row],[DUT Adj Read]]="N/A",Table1[[#This Row],[Std Adj Read]]="N/A"),"N/A",IF(Table1[[#This Row],[DUT Adj Read]]="N/A",IF(Table1[[#This Row],[Std Adj Read]]&lt;Table1[[#This Row],[High Tol]],"Pass","Fail"),IF(Table1[[#This Row],[DUT Adj Read]]&lt;Table1[[#This Row],[High Tol]],"Pass","Fail")))</f>
        <v>Fail</v>
      </c>
      <c r="AF441" s="1" t="str">
        <f>IF(AND(Table1[[#This Row],[Spec Type2]]="N/A",Table1[[#This Row],[DUT Adj Read]]="N/A",Table1[[#This Row],[Std Adj Read]]="N/A"),"N/A",IF(Table1[[#This Row],[DUT Adj Read]]="N/A",IF(Table1[[#This Row],[Std Adj Read]]&gt;=Table1[[#This Row],[Low Tol]],"Pass","Fail"),IF(Table1[[#This Row],[DUT Adj Read]]&gt;=Table1[[#This Row],[Low Tol]],"Pass","Fail")))</f>
        <v>Pass</v>
      </c>
      <c r="AG441" s="1" t="str">
        <f>IF(AND(Table1[[#This Row],[Spec Type2]]="N/A",Table1[[#This Row],[DUT Adj Read]]="N/A",Table1[[#This Row],[Std Adj Read]]="N/A"),"N/A",IF(Table1[[#This Row],[DUT Adj Read]]="N/A",IF(Table1[[#This Row],[Std Adj Read]]&lt;=Table1[[#This Row],[High Tol]],"Pass","Fail"),IF(Table1[[#This Row],[DUT Adj Read]]&lt;=Table1[[#This Row],[High Tol]],"Pass","Fail")))</f>
        <v>Fail</v>
      </c>
      <c r="AH4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1" s="1" t="b">
        <v>0</v>
      </c>
      <c r="AN441" s="1" t="b">
        <v>0</v>
      </c>
      <c r="AO441" s="1" t="b">
        <v>0</v>
      </c>
    </row>
    <row r="442" spans="1:41" x14ac:dyDescent="0.25">
      <c r="A442" s="10"/>
      <c r="B442" s="10"/>
      <c r="C442" s="10"/>
      <c r="D442" s="10"/>
      <c r="E442" s="10"/>
      <c r="F442" s="10"/>
      <c r="G442" s="10"/>
      <c r="H442" s="10"/>
      <c r="I442" s="1" t="str">
        <f t="shared" si="18"/>
        <v/>
      </c>
      <c r="J442" s="1" t="s">
        <v>35</v>
      </c>
      <c r="K442" s="1" t="str">
        <f t="shared" si="19"/>
        <v/>
      </c>
      <c r="L442" s="1" t="str">
        <f t="shared" si="20"/>
        <v/>
      </c>
      <c r="M442" s="1">
        <f>IF(OR(Table1[[#This Row],[Std Nom]]="",Table1[[#This Row],[Std Read]]=""),0,Table1[[#This Row],[Std Nom]]-Table1[[#This Row],[Std Read]])</f>
        <v>0</v>
      </c>
      <c r="N442" s="1">
        <f>IF(Calculations!$F$5="ACCREDITED 17025 WITH UNCERTAINTIES",$N$10,0)</f>
        <v>0</v>
      </c>
      <c r="Q442" s="1">
        <f>Table1[[#This Row],[High Tol]]-Table1[[#This Row],[Low Tol]]</f>
        <v>0</v>
      </c>
      <c r="R442" s="1">
        <f>2*Table1[[#This Row],[Std Error]]</f>
        <v>0</v>
      </c>
      <c r="S442" s="1" t="str">
        <f>IF(Table1[[#This Row],[High Tol]]="","N/A",IFERROR(ABS(Table1[[#This Row],[Tol Span]]/Table1[[#This Row],[Error Span]]),"N/A"))</f>
        <v>N/A</v>
      </c>
      <c r="T442" s="1" t="str">
        <f>IF(OR(Table1[[#This Row],[Low Tol]]="",Table1[[#This Row],[High Tol]]=""),"Needs Analysis",IF(Table1[[#This Row],[Ratio]]&gt;=4,"Not Significant",IF(Table1[[#This Row],[Ratio]]&gt;=2,"Semi-Significant","Significant")))</f>
        <v>Needs Analysis</v>
      </c>
      <c r="W442" s="1">
        <f>IF(Table1[[#This Row],[Cal Type]]&lt;&gt;"ACCREDITED 17025 WITH UNCERTAINTIES",0,"")</f>
        <v>0</v>
      </c>
      <c r="X442" s="1" t="str">
        <f>IF(Table1[[#This Row],[DUT Read]]="","N/A",Table1[[#This Row],[Std Error]]+Table1[[#This Row],[DUT Read]]+Table1[[#This Row],[DUT Ucty]])</f>
        <v>N/A</v>
      </c>
      <c r="Y442" s="1" t="str">
        <f>IF(Table1[[#This Row],[Std Read]]="","N/A",Table1[[#This Row],[Std Read]]+Table1[[#This Row],[Std Ucty]])</f>
        <v>N/A</v>
      </c>
      <c r="Z4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2" s="1" t="str">
        <f>IF(Table1[[#This Row],[Spec Type]]="","N/A",Table1[[#This Row],[Spec Type]])</f>
        <v>±</v>
      </c>
      <c r="AC442" s="1" t="str">
        <f>IF(Table1[[#This Row],[Spec Type2]]="N/A","N/A",IF(AND(Table1[[#This Row],[DUT Adj Read]]&gt;=Table1[[#This Row],[Low Tol]],Table1[[#This Row],[DUT Adj Read]]&lt;=Table1[[#This Row],[High Tol]]),"Pass","Fail"))</f>
        <v>Fail</v>
      </c>
      <c r="AD442" s="1" t="str">
        <f>IF(AND(Table1[[#This Row],[Spec Type2]]="N/A",Table1[[#This Row],[DUT Adj Read]]="N/A",Table1[[#This Row],[Std Adj Read]]="N/A"),"N/A",IF(Table1[[#This Row],[DUT Adj Read]]="N/A",IF(Table1[[#This Row],[Std Adj Read]]&gt;Table1[[#This Row],[Low Tol]],"Pass","Fail"),IF(Table1[[#This Row],[DUT Adj Read]]&gt;Table1[[#This Row],[Low Tol]],"Pass","Fail")))</f>
        <v>Pass</v>
      </c>
      <c r="AE442" s="1" t="str">
        <f>IF(AND(Table1[[#This Row],[Spec Type2]]="N/A",Table1[[#This Row],[DUT Adj Read]]="N/A",Table1[[#This Row],[Std Adj Read]]="N/A"),"N/A",IF(Table1[[#This Row],[DUT Adj Read]]="N/A",IF(Table1[[#This Row],[Std Adj Read]]&lt;Table1[[#This Row],[High Tol]],"Pass","Fail"),IF(Table1[[#This Row],[DUT Adj Read]]&lt;Table1[[#This Row],[High Tol]],"Pass","Fail")))</f>
        <v>Fail</v>
      </c>
      <c r="AF442" s="1" t="str">
        <f>IF(AND(Table1[[#This Row],[Spec Type2]]="N/A",Table1[[#This Row],[DUT Adj Read]]="N/A",Table1[[#This Row],[Std Adj Read]]="N/A"),"N/A",IF(Table1[[#This Row],[DUT Adj Read]]="N/A",IF(Table1[[#This Row],[Std Adj Read]]&gt;=Table1[[#This Row],[Low Tol]],"Pass","Fail"),IF(Table1[[#This Row],[DUT Adj Read]]&gt;=Table1[[#This Row],[Low Tol]],"Pass","Fail")))</f>
        <v>Pass</v>
      </c>
      <c r="AG442" s="1" t="str">
        <f>IF(AND(Table1[[#This Row],[Spec Type2]]="N/A",Table1[[#This Row],[DUT Adj Read]]="N/A",Table1[[#This Row],[Std Adj Read]]="N/A"),"N/A",IF(Table1[[#This Row],[DUT Adj Read]]="N/A",IF(Table1[[#This Row],[Std Adj Read]]&lt;=Table1[[#This Row],[High Tol]],"Pass","Fail"),IF(Table1[[#This Row],[DUT Adj Read]]&lt;=Table1[[#This Row],[High Tol]],"Pass","Fail")))</f>
        <v>Fail</v>
      </c>
      <c r="AH4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2" s="1" t="b">
        <v>0</v>
      </c>
      <c r="AN442" s="1" t="b">
        <v>0</v>
      </c>
      <c r="AO442" s="1" t="b">
        <v>0</v>
      </c>
    </row>
    <row r="443" spans="1:41" x14ac:dyDescent="0.25">
      <c r="A443" s="10"/>
      <c r="B443" s="10"/>
      <c r="C443" s="10"/>
      <c r="D443" s="10"/>
      <c r="E443" s="10"/>
      <c r="F443" s="10"/>
      <c r="G443" s="10"/>
      <c r="H443" s="10"/>
      <c r="I443" s="1" t="str">
        <f t="shared" si="18"/>
        <v/>
      </c>
      <c r="J443" s="1" t="s">
        <v>35</v>
      </c>
      <c r="K443" s="1" t="str">
        <f t="shared" si="19"/>
        <v/>
      </c>
      <c r="L443" s="1" t="str">
        <f t="shared" si="20"/>
        <v/>
      </c>
      <c r="M443" s="1">
        <f>IF(OR(Table1[[#This Row],[Std Nom]]="",Table1[[#This Row],[Std Read]]=""),0,Table1[[#This Row],[Std Nom]]-Table1[[#This Row],[Std Read]])</f>
        <v>0</v>
      </c>
      <c r="N443" s="1">
        <f>IF(Calculations!$F$5="ACCREDITED 17025 WITH UNCERTAINTIES",$N$10,0)</f>
        <v>0</v>
      </c>
      <c r="Q443" s="1">
        <f>Table1[[#This Row],[High Tol]]-Table1[[#This Row],[Low Tol]]</f>
        <v>0</v>
      </c>
      <c r="R443" s="1">
        <f>2*Table1[[#This Row],[Std Error]]</f>
        <v>0</v>
      </c>
      <c r="S443" s="1" t="str">
        <f>IF(Table1[[#This Row],[High Tol]]="","N/A",IFERROR(ABS(Table1[[#This Row],[Tol Span]]/Table1[[#This Row],[Error Span]]),"N/A"))</f>
        <v>N/A</v>
      </c>
      <c r="T443" s="1" t="str">
        <f>IF(OR(Table1[[#This Row],[Low Tol]]="",Table1[[#This Row],[High Tol]]=""),"Needs Analysis",IF(Table1[[#This Row],[Ratio]]&gt;=4,"Not Significant",IF(Table1[[#This Row],[Ratio]]&gt;=2,"Semi-Significant","Significant")))</f>
        <v>Needs Analysis</v>
      </c>
      <c r="W443" s="1">
        <f>IF(Table1[[#This Row],[Cal Type]]&lt;&gt;"ACCREDITED 17025 WITH UNCERTAINTIES",0,"")</f>
        <v>0</v>
      </c>
      <c r="X443" s="1" t="str">
        <f>IF(Table1[[#This Row],[DUT Read]]="","N/A",Table1[[#This Row],[Std Error]]+Table1[[#This Row],[DUT Read]]+Table1[[#This Row],[DUT Ucty]])</f>
        <v>N/A</v>
      </c>
      <c r="Y443" s="1" t="str">
        <f>IF(Table1[[#This Row],[Std Read]]="","N/A",Table1[[#This Row],[Std Read]]+Table1[[#This Row],[Std Ucty]])</f>
        <v>N/A</v>
      </c>
      <c r="Z4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3" s="1" t="str">
        <f>IF(Table1[[#This Row],[Spec Type]]="","N/A",Table1[[#This Row],[Spec Type]])</f>
        <v>±</v>
      </c>
      <c r="AC443" s="1" t="str">
        <f>IF(Table1[[#This Row],[Spec Type2]]="N/A","N/A",IF(AND(Table1[[#This Row],[DUT Adj Read]]&gt;=Table1[[#This Row],[Low Tol]],Table1[[#This Row],[DUT Adj Read]]&lt;=Table1[[#This Row],[High Tol]]),"Pass","Fail"))</f>
        <v>Fail</v>
      </c>
      <c r="AD443" s="1" t="str">
        <f>IF(AND(Table1[[#This Row],[Spec Type2]]="N/A",Table1[[#This Row],[DUT Adj Read]]="N/A",Table1[[#This Row],[Std Adj Read]]="N/A"),"N/A",IF(Table1[[#This Row],[DUT Adj Read]]="N/A",IF(Table1[[#This Row],[Std Adj Read]]&gt;Table1[[#This Row],[Low Tol]],"Pass","Fail"),IF(Table1[[#This Row],[DUT Adj Read]]&gt;Table1[[#This Row],[Low Tol]],"Pass","Fail")))</f>
        <v>Pass</v>
      </c>
      <c r="AE443" s="1" t="str">
        <f>IF(AND(Table1[[#This Row],[Spec Type2]]="N/A",Table1[[#This Row],[DUT Adj Read]]="N/A",Table1[[#This Row],[Std Adj Read]]="N/A"),"N/A",IF(Table1[[#This Row],[DUT Adj Read]]="N/A",IF(Table1[[#This Row],[Std Adj Read]]&lt;Table1[[#This Row],[High Tol]],"Pass","Fail"),IF(Table1[[#This Row],[DUT Adj Read]]&lt;Table1[[#This Row],[High Tol]],"Pass","Fail")))</f>
        <v>Fail</v>
      </c>
      <c r="AF443" s="1" t="str">
        <f>IF(AND(Table1[[#This Row],[Spec Type2]]="N/A",Table1[[#This Row],[DUT Adj Read]]="N/A",Table1[[#This Row],[Std Adj Read]]="N/A"),"N/A",IF(Table1[[#This Row],[DUT Adj Read]]="N/A",IF(Table1[[#This Row],[Std Adj Read]]&gt;=Table1[[#This Row],[Low Tol]],"Pass","Fail"),IF(Table1[[#This Row],[DUT Adj Read]]&gt;=Table1[[#This Row],[Low Tol]],"Pass","Fail")))</f>
        <v>Pass</v>
      </c>
      <c r="AG443" s="1" t="str">
        <f>IF(AND(Table1[[#This Row],[Spec Type2]]="N/A",Table1[[#This Row],[DUT Adj Read]]="N/A",Table1[[#This Row],[Std Adj Read]]="N/A"),"N/A",IF(Table1[[#This Row],[DUT Adj Read]]="N/A",IF(Table1[[#This Row],[Std Adj Read]]&lt;=Table1[[#This Row],[High Tol]],"Pass","Fail"),IF(Table1[[#This Row],[DUT Adj Read]]&lt;=Table1[[#This Row],[High Tol]],"Pass","Fail")))</f>
        <v>Fail</v>
      </c>
      <c r="AH4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3" s="1" t="b">
        <v>0</v>
      </c>
      <c r="AN443" s="1" t="b">
        <v>0</v>
      </c>
      <c r="AO443" s="1" t="b">
        <v>0</v>
      </c>
    </row>
    <row r="444" spans="1:41" x14ac:dyDescent="0.25">
      <c r="A444" s="10"/>
      <c r="B444" s="10"/>
      <c r="C444" s="10"/>
      <c r="D444" s="10"/>
      <c r="E444" s="10"/>
      <c r="F444" s="10"/>
      <c r="G444" s="10"/>
      <c r="H444" s="10"/>
      <c r="I444" s="1" t="str">
        <f t="shared" si="18"/>
        <v/>
      </c>
      <c r="J444" s="1" t="s">
        <v>35</v>
      </c>
      <c r="K444" s="1" t="str">
        <f t="shared" si="19"/>
        <v/>
      </c>
      <c r="L444" s="1" t="str">
        <f t="shared" si="20"/>
        <v/>
      </c>
      <c r="M444" s="1">
        <f>IF(OR(Table1[[#This Row],[Std Nom]]="",Table1[[#This Row],[Std Read]]=""),0,Table1[[#This Row],[Std Nom]]-Table1[[#This Row],[Std Read]])</f>
        <v>0</v>
      </c>
      <c r="N444" s="1">
        <f>IF(Calculations!$F$5="ACCREDITED 17025 WITH UNCERTAINTIES",$N$10,0)</f>
        <v>0</v>
      </c>
      <c r="Q444" s="1">
        <f>Table1[[#This Row],[High Tol]]-Table1[[#This Row],[Low Tol]]</f>
        <v>0</v>
      </c>
      <c r="R444" s="1">
        <f>2*Table1[[#This Row],[Std Error]]</f>
        <v>0</v>
      </c>
      <c r="S444" s="1" t="str">
        <f>IF(Table1[[#This Row],[High Tol]]="","N/A",IFERROR(ABS(Table1[[#This Row],[Tol Span]]/Table1[[#This Row],[Error Span]]),"N/A"))</f>
        <v>N/A</v>
      </c>
      <c r="T444" s="1" t="str">
        <f>IF(OR(Table1[[#This Row],[Low Tol]]="",Table1[[#This Row],[High Tol]]=""),"Needs Analysis",IF(Table1[[#This Row],[Ratio]]&gt;=4,"Not Significant",IF(Table1[[#This Row],[Ratio]]&gt;=2,"Semi-Significant","Significant")))</f>
        <v>Needs Analysis</v>
      </c>
      <c r="W444" s="1">
        <f>IF(Table1[[#This Row],[Cal Type]]&lt;&gt;"ACCREDITED 17025 WITH UNCERTAINTIES",0,"")</f>
        <v>0</v>
      </c>
      <c r="X444" s="1" t="str">
        <f>IF(Table1[[#This Row],[DUT Read]]="","N/A",Table1[[#This Row],[Std Error]]+Table1[[#This Row],[DUT Read]]+Table1[[#This Row],[DUT Ucty]])</f>
        <v>N/A</v>
      </c>
      <c r="Y444" s="1" t="str">
        <f>IF(Table1[[#This Row],[Std Read]]="","N/A",Table1[[#This Row],[Std Read]]+Table1[[#This Row],[Std Ucty]])</f>
        <v>N/A</v>
      </c>
      <c r="Z4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4" s="1" t="str">
        <f>IF(Table1[[#This Row],[Spec Type]]="","N/A",Table1[[#This Row],[Spec Type]])</f>
        <v>±</v>
      </c>
      <c r="AC444" s="1" t="str">
        <f>IF(Table1[[#This Row],[Spec Type2]]="N/A","N/A",IF(AND(Table1[[#This Row],[DUT Adj Read]]&gt;=Table1[[#This Row],[Low Tol]],Table1[[#This Row],[DUT Adj Read]]&lt;=Table1[[#This Row],[High Tol]]),"Pass","Fail"))</f>
        <v>Fail</v>
      </c>
      <c r="AD444" s="1" t="str">
        <f>IF(AND(Table1[[#This Row],[Spec Type2]]="N/A",Table1[[#This Row],[DUT Adj Read]]="N/A",Table1[[#This Row],[Std Adj Read]]="N/A"),"N/A",IF(Table1[[#This Row],[DUT Adj Read]]="N/A",IF(Table1[[#This Row],[Std Adj Read]]&gt;Table1[[#This Row],[Low Tol]],"Pass","Fail"),IF(Table1[[#This Row],[DUT Adj Read]]&gt;Table1[[#This Row],[Low Tol]],"Pass","Fail")))</f>
        <v>Pass</v>
      </c>
      <c r="AE444" s="1" t="str">
        <f>IF(AND(Table1[[#This Row],[Spec Type2]]="N/A",Table1[[#This Row],[DUT Adj Read]]="N/A",Table1[[#This Row],[Std Adj Read]]="N/A"),"N/A",IF(Table1[[#This Row],[DUT Adj Read]]="N/A",IF(Table1[[#This Row],[Std Adj Read]]&lt;Table1[[#This Row],[High Tol]],"Pass","Fail"),IF(Table1[[#This Row],[DUT Adj Read]]&lt;Table1[[#This Row],[High Tol]],"Pass","Fail")))</f>
        <v>Fail</v>
      </c>
      <c r="AF444" s="1" t="str">
        <f>IF(AND(Table1[[#This Row],[Spec Type2]]="N/A",Table1[[#This Row],[DUT Adj Read]]="N/A",Table1[[#This Row],[Std Adj Read]]="N/A"),"N/A",IF(Table1[[#This Row],[DUT Adj Read]]="N/A",IF(Table1[[#This Row],[Std Adj Read]]&gt;=Table1[[#This Row],[Low Tol]],"Pass","Fail"),IF(Table1[[#This Row],[DUT Adj Read]]&gt;=Table1[[#This Row],[Low Tol]],"Pass","Fail")))</f>
        <v>Pass</v>
      </c>
      <c r="AG444" s="1" t="str">
        <f>IF(AND(Table1[[#This Row],[Spec Type2]]="N/A",Table1[[#This Row],[DUT Adj Read]]="N/A",Table1[[#This Row],[Std Adj Read]]="N/A"),"N/A",IF(Table1[[#This Row],[DUT Adj Read]]="N/A",IF(Table1[[#This Row],[Std Adj Read]]&lt;=Table1[[#This Row],[High Tol]],"Pass","Fail"),IF(Table1[[#This Row],[DUT Adj Read]]&lt;=Table1[[#This Row],[High Tol]],"Pass","Fail")))</f>
        <v>Fail</v>
      </c>
      <c r="AH4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4" s="1" t="b">
        <v>0</v>
      </c>
      <c r="AN444" s="1" t="b">
        <v>0</v>
      </c>
      <c r="AO444" s="1" t="b">
        <v>0</v>
      </c>
    </row>
    <row r="445" spans="1:41" x14ac:dyDescent="0.25">
      <c r="A445" s="10"/>
      <c r="B445" s="10"/>
      <c r="C445" s="10"/>
      <c r="D445" s="10"/>
      <c r="E445" s="10"/>
      <c r="F445" s="10"/>
      <c r="G445" s="10"/>
      <c r="H445" s="10"/>
      <c r="I445" s="1" t="str">
        <f t="shared" si="18"/>
        <v/>
      </c>
      <c r="J445" s="1" t="s">
        <v>35</v>
      </c>
      <c r="K445" s="1" t="str">
        <f t="shared" si="19"/>
        <v/>
      </c>
      <c r="L445" s="1" t="str">
        <f t="shared" si="20"/>
        <v/>
      </c>
      <c r="M445" s="1">
        <f>IF(OR(Table1[[#This Row],[Std Nom]]="",Table1[[#This Row],[Std Read]]=""),0,Table1[[#This Row],[Std Nom]]-Table1[[#This Row],[Std Read]])</f>
        <v>0</v>
      </c>
      <c r="N445" s="1">
        <f>IF(Calculations!$F$5="ACCREDITED 17025 WITH UNCERTAINTIES",$N$10,0)</f>
        <v>0</v>
      </c>
      <c r="Q445" s="1">
        <f>Table1[[#This Row],[High Tol]]-Table1[[#This Row],[Low Tol]]</f>
        <v>0</v>
      </c>
      <c r="R445" s="1">
        <f>2*Table1[[#This Row],[Std Error]]</f>
        <v>0</v>
      </c>
      <c r="S445" s="1" t="str">
        <f>IF(Table1[[#This Row],[High Tol]]="","N/A",IFERROR(ABS(Table1[[#This Row],[Tol Span]]/Table1[[#This Row],[Error Span]]),"N/A"))</f>
        <v>N/A</v>
      </c>
      <c r="T445" s="1" t="str">
        <f>IF(OR(Table1[[#This Row],[Low Tol]]="",Table1[[#This Row],[High Tol]]=""),"Needs Analysis",IF(Table1[[#This Row],[Ratio]]&gt;=4,"Not Significant",IF(Table1[[#This Row],[Ratio]]&gt;=2,"Semi-Significant","Significant")))</f>
        <v>Needs Analysis</v>
      </c>
      <c r="W445" s="1">
        <f>IF(Table1[[#This Row],[Cal Type]]&lt;&gt;"ACCREDITED 17025 WITH UNCERTAINTIES",0,"")</f>
        <v>0</v>
      </c>
      <c r="X445" s="1" t="str">
        <f>IF(Table1[[#This Row],[DUT Read]]="","N/A",Table1[[#This Row],[Std Error]]+Table1[[#This Row],[DUT Read]]+Table1[[#This Row],[DUT Ucty]])</f>
        <v>N/A</v>
      </c>
      <c r="Y445" s="1" t="str">
        <f>IF(Table1[[#This Row],[Std Read]]="","N/A",Table1[[#This Row],[Std Read]]+Table1[[#This Row],[Std Ucty]])</f>
        <v>N/A</v>
      </c>
      <c r="Z4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5" s="1" t="str">
        <f>IF(Table1[[#This Row],[Spec Type]]="","N/A",Table1[[#This Row],[Spec Type]])</f>
        <v>±</v>
      </c>
      <c r="AC445" s="1" t="str">
        <f>IF(Table1[[#This Row],[Spec Type2]]="N/A","N/A",IF(AND(Table1[[#This Row],[DUT Adj Read]]&gt;=Table1[[#This Row],[Low Tol]],Table1[[#This Row],[DUT Adj Read]]&lt;=Table1[[#This Row],[High Tol]]),"Pass","Fail"))</f>
        <v>Fail</v>
      </c>
      <c r="AD445" s="1" t="str">
        <f>IF(AND(Table1[[#This Row],[Spec Type2]]="N/A",Table1[[#This Row],[DUT Adj Read]]="N/A",Table1[[#This Row],[Std Adj Read]]="N/A"),"N/A",IF(Table1[[#This Row],[DUT Adj Read]]="N/A",IF(Table1[[#This Row],[Std Adj Read]]&gt;Table1[[#This Row],[Low Tol]],"Pass","Fail"),IF(Table1[[#This Row],[DUT Adj Read]]&gt;Table1[[#This Row],[Low Tol]],"Pass","Fail")))</f>
        <v>Pass</v>
      </c>
      <c r="AE445" s="1" t="str">
        <f>IF(AND(Table1[[#This Row],[Spec Type2]]="N/A",Table1[[#This Row],[DUT Adj Read]]="N/A",Table1[[#This Row],[Std Adj Read]]="N/A"),"N/A",IF(Table1[[#This Row],[DUT Adj Read]]="N/A",IF(Table1[[#This Row],[Std Adj Read]]&lt;Table1[[#This Row],[High Tol]],"Pass","Fail"),IF(Table1[[#This Row],[DUT Adj Read]]&lt;Table1[[#This Row],[High Tol]],"Pass","Fail")))</f>
        <v>Fail</v>
      </c>
      <c r="AF445" s="1" t="str">
        <f>IF(AND(Table1[[#This Row],[Spec Type2]]="N/A",Table1[[#This Row],[DUT Adj Read]]="N/A",Table1[[#This Row],[Std Adj Read]]="N/A"),"N/A",IF(Table1[[#This Row],[DUT Adj Read]]="N/A",IF(Table1[[#This Row],[Std Adj Read]]&gt;=Table1[[#This Row],[Low Tol]],"Pass","Fail"),IF(Table1[[#This Row],[DUT Adj Read]]&gt;=Table1[[#This Row],[Low Tol]],"Pass","Fail")))</f>
        <v>Pass</v>
      </c>
      <c r="AG445" s="1" t="str">
        <f>IF(AND(Table1[[#This Row],[Spec Type2]]="N/A",Table1[[#This Row],[DUT Adj Read]]="N/A",Table1[[#This Row],[Std Adj Read]]="N/A"),"N/A",IF(Table1[[#This Row],[DUT Adj Read]]="N/A",IF(Table1[[#This Row],[Std Adj Read]]&lt;=Table1[[#This Row],[High Tol]],"Pass","Fail"),IF(Table1[[#This Row],[DUT Adj Read]]&lt;=Table1[[#This Row],[High Tol]],"Pass","Fail")))</f>
        <v>Fail</v>
      </c>
      <c r="AH4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5" s="1" t="b">
        <v>0</v>
      </c>
      <c r="AN445" s="1" t="b">
        <v>0</v>
      </c>
      <c r="AO445" s="1" t="b">
        <v>0</v>
      </c>
    </row>
    <row r="446" spans="1:41" x14ac:dyDescent="0.25">
      <c r="A446" s="10"/>
      <c r="B446" s="10"/>
      <c r="C446" s="10"/>
      <c r="D446" s="10"/>
      <c r="E446" s="10"/>
      <c r="F446" s="10"/>
      <c r="G446" s="10"/>
      <c r="H446" s="10"/>
      <c r="I446" s="1" t="str">
        <f t="shared" si="18"/>
        <v/>
      </c>
      <c r="J446" s="1" t="s">
        <v>35</v>
      </c>
      <c r="K446" s="1" t="str">
        <f t="shared" si="19"/>
        <v/>
      </c>
      <c r="L446" s="1" t="str">
        <f t="shared" si="20"/>
        <v/>
      </c>
      <c r="M446" s="1">
        <f>IF(OR(Table1[[#This Row],[Std Nom]]="",Table1[[#This Row],[Std Read]]=""),0,Table1[[#This Row],[Std Nom]]-Table1[[#This Row],[Std Read]])</f>
        <v>0</v>
      </c>
      <c r="N446" s="1">
        <f>IF(Calculations!$F$5="ACCREDITED 17025 WITH UNCERTAINTIES",$N$10,0)</f>
        <v>0</v>
      </c>
      <c r="Q446" s="1">
        <f>Table1[[#This Row],[High Tol]]-Table1[[#This Row],[Low Tol]]</f>
        <v>0</v>
      </c>
      <c r="R446" s="1">
        <f>2*Table1[[#This Row],[Std Error]]</f>
        <v>0</v>
      </c>
      <c r="S446" s="1" t="str">
        <f>IF(Table1[[#This Row],[High Tol]]="","N/A",IFERROR(ABS(Table1[[#This Row],[Tol Span]]/Table1[[#This Row],[Error Span]]),"N/A"))</f>
        <v>N/A</v>
      </c>
      <c r="T446" s="1" t="str">
        <f>IF(OR(Table1[[#This Row],[Low Tol]]="",Table1[[#This Row],[High Tol]]=""),"Needs Analysis",IF(Table1[[#This Row],[Ratio]]&gt;=4,"Not Significant",IF(Table1[[#This Row],[Ratio]]&gt;=2,"Semi-Significant","Significant")))</f>
        <v>Needs Analysis</v>
      </c>
      <c r="W446" s="1">
        <f>IF(Table1[[#This Row],[Cal Type]]&lt;&gt;"ACCREDITED 17025 WITH UNCERTAINTIES",0,"")</f>
        <v>0</v>
      </c>
      <c r="X446" s="1" t="str">
        <f>IF(Table1[[#This Row],[DUT Read]]="","N/A",Table1[[#This Row],[Std Error]]+Table1[[#This Row],[DUT Read]]+Table1[[#This Row],[DUT Ucty]])</f>
        <v>N/A</v>
      </c>
      <c r="Y446" s="1" t="str">
        <f>IF(Table1[[#This Row],[Std Read]]="","N/A",Table1[[#This Row],[Std Read]]+Table1[[#This Row],[Std Ucty]])</f>
        <v>N/A</v>
      </c>
      <c r="Z4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6" s="1" t="str">
        <f>IF(Table1[[#This Row],[Spec Type]]="","N/A",Table1[[#This Row],[Spec Type]])</f>
        <v>±</v>
      </c>
      <c r="AC446" s="1" t="str">
        <f>IF(Table1[[#This Row],[Spec Type2]]="N/A","N/A",IF(AND(Table1[[#This Row],[DUT Adj Read]]&gt;=Table1[[#This Row],[Low Tol]],Table1[[#This Row],[DUT Adj Read]]&lt;=Table1[[#This Row],[High Tol]]),"Pass","Fail"))</f>
        <v>Fail</v>
      </c>
      <c r="AD446" s="1" t="str">
        <f>IF(AND(Table1[[#This Row],[Spec Type2]]="N/A",Table1[[#This Row],[DUT Adj Read]]="N/A",Table1[[#This Row],[Std Adj Read]]="N/A"),"N/A",IF(Table1[[#This Row],[DUT Adj Read]]="N/A",IF(Table1[[#This Row],[Std Adj Read]]&gt;Table1[[#This Row],[Low Tol]],"Pass","Fail"),IF(Table1[[#This Row],[DUT Adj Read]]&gt;Table1[[#This Row],[Low Tol]],"Pass","Fail")))</f>
        <v>Pass</v>
      </c>
      <c r="AE446" s="1" t="str">
        <f>IF(AND(Table1[[#This Row],[Spec Type2]]="N/A",Table1[[#This Row],[DUT Adj Read]]="N/A",Table1[[#This Row],[Std Adj Read]]="N/A"),"N/A",IF(Table1[[#This Row],[DUT Adj Read]]="N/A",IF(Table1[[#This Row],[Std Adj Read]]&lt;Table1[[#This Row],[High Tol]],"Pass","Fail"),IF(Table1[[#This Row],[DUT Adj Read]]&lt;Table1[[#This Row],[High Tol]],"Pass","Fail")))</f>
        <v>Fail</v>
      </c>
      <c r="AF446" s="1" t="str">
        <f>IF(AND(Table1[[#This Row],[Spec Type2]]="N/A",Table1[[#This Row],[DUT Adj Read]]="N/A",Table1[[#This Row],[Std Adj Read]]="N/A"),"N/A",IF(Table1[[#This Row],[DUT Adj Read]]="N/A",IF(Table1[[#This Row],[Std Adj Read]]&gt;=Table1[[#This Row],[Low Tol]],"Pass","Fail"),IF(Table1[[#This Row],[DUT Adj Read]]&gt;=Table1[[#This Row],[Low Tol]],"Pass","Fail")))</f>
        <v>Pass</v>
      </c>
      <c r="AG446" s="1" t="str">
        <f>IF(AND(Table1[[#This Row],[Spec Type2]]="N/A",Table1[[#This Row],[DUT Adj Read]]="N/A",Table1[[#This Row],[Std Adj Read]]="N/A"),"N/A",IF(Table1[[#This Row],[DUT Adj Read]]="N/A",IF(Table1[[#This Row],[Std Adj Read]]&lt;=Table1[[#This Row],[High Tol]],"Pass","Fail"),IF(Table1[[#This Row],[DUT Adj Read]]&lt;=Table1[[#This Row],[High Tol]],"Pass","Fail")))</f>
        <v>Fail</v>
      </c>
      <c r="AH4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6" s="1" t="b">
        <v>0</v>
      </c>
      <c r="AN446" s="1" t="b">
        <v>0</v>
      </c>
      <c r="AO446" s="1" t="b">
        <v>0</v>
      </c>
    </row>
    <row r="447" spans="1:41" x14ac:dyDescent="0.25">
      <c r="A447" s="10"/>
      <c r="B447" s="10"/>
      <c r="C447" s="10"/>
      <c r="D447" s="10"/>
      <c r="E447" s="10"/>
      <c r="F447" s="10"/>
      <c r="G447" s="10"/>
      <c r="H447" s="10"/>
      <c r="I447" s="1" t="str">
        <f t="shared" si="18"/>
        <v/>
      </c>
      <c r="J447" s="1" t="s">
        <v>35</v>
      </c>
      <c r="K447" s="1" t="str">
        <f t="shared" si="19"/>
        <v/>
      </c>
      <c r="L447" s="1" t="str">
        <f t="shared" si="20"/>
        <v/>
      </c>
      <c r="M447" s="1">
        <f>IF(OR(Table1[[#This Row],[Std Nom]]="",Table1[[#This Row],[Std Read]]=""),0,Table1[[#This Row],[Std Nom]]-Table1[[#This Row],[Std Read]])</f>
        <v>0</v>
      </c>
      <c r="N447" s="1">
        <f>IF(Calculations!$F$5="ACCREDITED 17025 WITH UNCERTAINTIES",$N$10,0)</f>
        <v>0</v>
      </c>
      <c r="Q447" s="1">
        <f>Table1[[#This Row],[High Tol]]-Table1[[#This Row],[Low Tol]]</f>
        <v>0</v>
      </c>
      <c r="R447" s="1">
        <f>2*Table1[[#This Row],[Std Error]]</f>
        <v>0</v>
      </c>
      <c r="S447" s="1" t="str">
        <f>IF(Table1[[#This Row],[High Tol]]="","N/A",IFERROR(ABS(Table1[[#This Row],[Tol Span]]/Table1[[#This Row],[Error Span]]),"N/A"))</f>
        <v>N/A</v>
      </c>
      <c r="T447" s="1" t="str">
        <f>IF(OR(Table1[[#This Row],[Low Tol]]="",Table1[[#This Row],[High Tol]]=""),"Needs Analysis",IF(Table1[[#This Row],[Ratio]]&gt;=4,"Not Significant",IF(Table1[[#This Row],[Ratio]]&gt;=2,"Semi-Significant","Significant")))</f>
        <v>Needs Analysis</v>
      </c>
      <c r="W447" s="1">
        <f>IF(Table1[[#This Row],[Cal Type]]&lt;&gt;"ACCREDITED 17025 WITH UNCERTAINTIES",0,"")</f>
        <v>0</v>
      </c>
      <c r="X447" s="1" t="str">
        <f>IF(Table1[[#This Row],[DUT Read]]="","N/A",Table1[[#This Row],[Std Error]]+Table1[[#This Row],[DUT Read]]+Table1[[#This Row],[DUT Ucty]])</f>
        <v>N/A</v>
      </c>
      <c r="Y447" s="1" t="str">
        <f>IF(Table1[[#This Row],[Std Read]]="","N/A",Table1[[#This Row],[Std Read]]+Table1[[#This Row],[Std Ucty]])</f>
        <v>N/A</v>
      </c>
      <c r="Z4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7" s="1" t="str">
        <f>IF(Table1[[#This Row],[Spec Type]]="","N/A",Table1[[#This Row],[Spec Type]])</f>
        <v>±</v>
      </c>
      <c r="AC447" s="1" t="str">
        <f>IF(Table1[[#This Row],[Spec Type2]]="N/A","N/A",IF(AND(Table1[[#This Row],[DUT Adj Read]]&gt;=Table1[[#This Row],[Low Tol]],Table1[[#This Row],[DUT Adj Read]]&lt;=Table1[[#This Row],[High Tol]]),"Pass","Fail"))</f>
        <v>Fail</v>
      </c>
      <c r="AD447" s="1" t="str">
        <f>IF(AND(Table1[[#This Row],[Spec Type2]]="N/A",Table1[[#This Row],[DUT Adj Read]]="N/A",Table1[[#This Row],[Std Adj Read]]="N/A"),"N/A",IF(Table1[[#This Row],[DUT Adj Read]]="N/A",IF(Table1[[#This Row],[Std Adj Read]]&gt;Table1[[#This Row],[Low Tol]],"Pass","Fail"),IF(Table1[[#This Row],[DUT Adj Read]]&gt;Table1[[#This Row],[Low Tol]],"Pass","Fail")))</f>
        <v>Pass</v>
      </c>
      <c r="AE447" s="1" t="str">
        <f>IF(AND(Table1[[#This Row],[Spec Type2]]="N/A",Table1[[#This Row],[DUT Adj Read]]="N/A",Table1[[#This Row],[Std Adj Read]]="N/A"),"N/A",IF(Table1[[#This Row],[DUT Adj Read]]="N/A",IF(Table1[[#This Row],[Std Adj Read]]&lt;Table1[[#This Row],[High Tol]],"Pass","Fail"),IF(Table1[[#This Row],[DUT Adj Read]]&lt;Table1[[#This Row],[High Tol]],"Pass","Fail")))</f>
        <v>Fail</v>
      </c>
      <c r="AF447" s="1" t="str">
        <f>IF(AND(Table1[[#This Row],[Spec Type2]]="N/A",Table1[[#This Row],[DUT Adj Read]]="N/A",Table1[[#This Row],[Std Adj Read]]="N/A"),"N/A",IF(Table1[[#This Row],[DUT Adj Read]]="N/A",IF(Table1[[#This Row],[Std Adj Read]]&gt;=Table1[[#This Row],[Low Tol]],"Pass","Fail"),IF(Table1[[#This Row],[DUT Adj Read]]&gt;=Table1[[#This Row],[Low Tol]],"Pass","Fail")))</f>
        <v>Pass</v>
      </c>
      <c r="AG447" s="1" t="str">
        <f>IF(AND(Table1[[#This Row],[Spec Type2]]="N/A",Table1[[#This Row],[DUT Adj Read]]="N/A",Table1[[#This Row],[Std Adj Read]]="N/A"),"N/A",IF(Table1[[#This Row],[DUT Adj Read]]="N/A",IF(Table1[[#This Row],[Std Adj Read]]&lt;=Table1[[#This Row],[High Tol]],"Pass","Fail"),IF(Table1[[#This Row],[DUT Adj Read]]&lt;=Table1[[#This Row],[High Tol]],"Pass","Fail")))</f>
        <v>Fail</v>
      </c>
      <c r="AH4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7" s="1" t="b">
        <v>0</v>
      </c>
      <c r="AN447" s="1" t="b">
        <v>0</v>
      </c>
      <c r="AO447" s="1" t="b">
        <v>0</v>
      </c>
    </row>
    <row r="448" spans="1:41" x14ac:dyDescent="0.25">
      <c r="A448" s="10"/>
      <c r="B448" s="10"/>
      <c r="C448" s="10"/>
      <c r="D448" s="10"/>
      <c r="E448" s="10"/>
      <c r="F448" s="10"/>
      <c r="G448" s="10"/>
      <c r="H448" s="10"/>
      <c r="I448" s="1" t="str">
        <f t="shared" si="18"/>
        <v/>
      </c>
      <c r="J448" s="1" t="s">
        <v>35</v>
      </c>
      <c r="K448" s="1" t="str">
        <f t="shared" si="19"/>
        <v/>
      </c>
      <c r="L448" s="1" t="str">
        <f t="shared" si="20"/>
        <v/>
      </c>
      <c r="M448" s="1">
        <f>IF(OR(Table1[[#This Row],[Std Nom]]="",Table1[[#This Row],[Std Read]]=""),0,Table1[[#This Row],[Std Nom]]-Table1[[#This Row],[Std Read]])</f>
        <v>0</v>
      </c>
      <c r="N448" s="1">
        <f>IF(Calculations!$F$5="ACCREDITED 17025 WITH UNCERTAINTIES",$N$10,0)</f>
        <v>0</v>
      </c>
      <c r="Q448" s="1">
        <f>Table1[[#This Row],[High Tol]]-Table1[[#This Row],[Low Tol]]</f>
        <v>0</v>
      </c>
      <c r="R448" s="1">
        <f>2*Table1[[#This Row],[Std Error]]</f>
        <v>0</v>
      </c>
      <c r="S448" s="1" t="str">
        <f>IF(Table1[[#This Row],[High Tol]]="","N/A",IFERROR(ABS(Table1[[#This Row],[Tol Span]]/Table1[[#This Row],[Error Span]]),"N/A"))</f>
        <v>N/A</v>
      </c>
      <c r="T448" s="1" t="str">
        <f>IF(OR(Table1[[#This Row],[Low Tol]]="",Table1[[#This Row],[High Tol]]=""),"Needs Analysis",IF(Table1[[#This Row],[Ratio]]&gt;=4,"Not Significant",IF(Table1[[#This Row],[Ratio]]&gt;=2,"Semi-Significant","Significant")))</f>
        <v>Needs Analysis</v>
      </c>
      <c r="W448" s="1">
        <f>IF(Table1[[#This Row],[Cal Type]]&lt;&gt;"ACCREDITED 17025 WITH UNCERTAINTIES",0,"")</f>
        <v>0</v>
      </c>
      <c r="X448" s="1" t="str">
        <f>IF(Table1[[#This Row],[DUT Read]]="","N/A",Table1[[#This Row],[Std Error]]+Table1[[#This Row],[DUT Read]]+Table1[[#This Row],[DUT Ucty]])</f>
        <v>N/A</v>
      </c>
      <c r="Y448" s="1" t="str">
        <f>IF(Table1[[#This Row],[Std Read]]="","N/A",Table1[[#This Row],[Std Read]]+Table1[[#This Row],[Std Ucty]])</f>
        <v>N/A</v>
      </c>
      <c r="Z4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8" s="1" t="str">
        <f>IF(Table1[[#This Row],[Spec Type]]="","N/A",Table1[[#This Row],[Spec Type]])</f>
        <v>±</v>
      </c>
      <c r="AC448" s="1" t="str">
        <f>IF(Table1[[#This Row],[Spec Type2]]="N/A","N/A",IF(AND(Table1[[#This Row],[DUT Adj Read]]&gt;=Table1[[#This Row],[Low Tol]],Table1[[#This Row],[DUT Adj Read]]&lt;=Table1[[#This Row],[High Tol]]),"Pass","Fail"))</f>
        <v>Fail</v>
      </c>
      <c r="AD448" s="1" t="str">
        <f>IF(AND(Table1[[#This Row],[Spec Type2]]="N/A",Table1[[#This Row],[DUT Adj Read]]="N/A",Table1[[#This Row],[Std Adj Read]]="N/A"),"N/A",IF(Table1[[#This Row],[DUT Adj Read]]="N/A",IF(Table1[[#This Row],[Std Adj Read]]&gt;Table1[[#This Row],[Low Tol]],"Pass","Fail"),IF(Table1[[#This Row],[DUT Adj Read]]&gt;Table1[[#This Row],[Low Tol]],"Pass","Fail")))</f>
        <v>Pass</v>
      </c>
      <c r="AE448" s="1" t="str">
        <f>IF(AND(Table1[[#This Row],[Spec Type2]]="N/A",Table1[[#This Row],[DUT Adj Read]]="N/A",Table1[[#This Row],[Std Adj Read]]="N/A"),"N/A",IF(Table1[[#This Row],[DUT Adj Read]]="N/A",IF(Table1[[#This Row],[Std Adj Read]]&lt;Table1[[#This Row],[High Tol]],"Pass","Fail"),IF(Table1[[#This Row],[DUT Adj Read]]&lt;Table1[[#This Row],[High Tol]],"Pass","Fail")))</f>
        <v>Fail</v>
      </c>
      <c r="AF448" s="1" t="str">
        <f>IF(AND(Table1[[#This Row],[Spec Type2]]="N/A",Table1[[#This Row],[DUT Adj Read]]="N/A",Table1[[#This Row],[Std Adj Read]]="N/A"),"N/A",IF(Table1[[#This Row],[DUT Adj Read]]="N/A",IF(Table1[[#This Row],[Std Adj Read]]&gt;=Table1[[#This Row],[Low Tol]],"Pass","Fail"),IF(Table1[[#This Row],[DUT Adj Read]]&gt;=Table1[[#This Row],[Low Tol]],"Pass","Fail")))</f>
        <v>Pass</v>
      </c>
      <c r="AG448" s="1" t="str">
        <f>IF(AND(Table1[[#This Row],[Spec Type2]]="N/A",Table1[[#This Row],[DUT Adj Read]]="N/A",Table1[[#This Row],[Std Adj Read]]="N/A"),"N/A",IF(Table1[[#This Row],[DUT Adj Read]]="N/A",IF(Table1[[#This Row],[Std Adj Read]]&lt;=Table1[[#This Row],[High Tol]],"Pass","Fail"),IF(Table1[[#This Row],[DUT Adj Read]]&lt;=Table1[[#This Row],[High Tol]],"Pass","Fail")))</f>
        <v>Fail</v>
      </c>
      <c r="AH4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8" s="1" t="b">
        <v>0</v>
      </c>
      <c r="AN448" s="1" t="b">
        <v>0</v>
      </c>
      <c r="AO448" s="1" t="b">
        <v>0</v>
      </c>
    </row>
    <row r="449" spans="1:41" x14ac:dyDescent="0.25">
      <c r="A449" s="10"/>
      <c r="B449" s="10"/>
      <c r="C449" s="10"/>
      <c r="D449" s="10"/>
      <c r="E449" s="10"/>
      <c r="F449" s="10"/>
      <c r="G449" s="10"/>
      <c r="H449" s="10"/>
      <c r="I449" s="1" t="str">
        <f t="shared" si="18"/>
        <v/>
      </c>
      <c r="J449" s="1" t="s">
        <v>35</v>
      </c>
      <c r="K449" s="1" t="str">
        <f t="shared" si="19"/>
        <v/>
      </c>
      <c r="L449" s="1" t="str">
        <f t="shared" si="20"/>
        <v/>
      </c>
      <c r="M449" s="1">
        <f>IF(OR(Table1[[#This Row],[Std Nom]]="",Table1[[#This Row],[Std Read]]=""),0,Table1[[#This Row],[Std Nom]]-Table1[[#This Row],[Std Read]])</f>
        <v>0</v>
      </c>
      <c r="N449" s="1">
        <f>IF(Calculations!$F$5="ACCREDITED 17025 WITH UNCERTAINTIES",$N$10,0)</f>
        <v>0</v>
      </c>
      <c r="Q449" s="1">
        <f>Table1[[#This Row],[High Tol]]-Table1[[#This Row],[Low Tol]]</f>
        <v>0</v>
      </c>
      <c r="R449" s="1">
        <f>2*Table1[[#This Row],[Std Error]]</f>
        <v>0</v>
      </c>
      <c r="S449" s="1" t="str">
        <f>IF(Table1[[#This Row],[High Tol]]="","N/A",IFERROR(ABS(Table1[[#This Row],[Tol Span]]/Table1[[#This Row],[Error Span]]),"N/A"))</f>
        <v>N/A</v>
      </c>
      <c r="T449" s="1" t="str">
        <f>IF(OR(Table1[[#This Row],[Low Tol]]="",Table1[[#This Row],[High Tol]]=""),"Needs Analysis",IF(Table1[[#This Row],[Ratio]]&gt;=4,"Not Significant",IF(Table1[[#This Row],[Ratio]]&gt;=2,"Semi-Significant","Significant")))</f>
        <v>Needs Analysis</v>
      </c>
      <c r="W449" s="1">
        <f>IF(Table1[[#This Row],[Cal Type]]&lt;&gt;"ACCREDITED 17025 WITH UNCERTAINTIES",0,"")</f>
        <v>0</v>
      </c>
      <c r="X449" s="1" t="str">
        <f>IF(Table1[[#This Row],[DUT Read]]="","N/A",Table1[[#This Row],[Std Error]]+Table1[[#This Row],[DUT Read]]+Table1[[#This Row],[DUT Ucty]])</f>
        <v>N/A</v>
      </c>
      <c r="Y449" s="1" t="str">
        <f>IF(Table1[[#This Row],[Std Read]]="","N/A",Table1[[#This Row],[Std Read]]+Table1[[#This Row],[Std Ucty]])</f>
        <v>N/A</v>
      </c>
      <c r="Z4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49" s="1" t="str">
        <f>IF(Table1[[#This Row],[Spec Type]]="","N/A",Table1[[#This Row],[Spec Type]])</f>
        <v>±</v>
      </c>
      <c r="AC449" s="1" t="str">
        <f>IF(Table1[[#This Row],[Spec Type2]]="N/A","N/A",IF(AND(Table1[[#This Row],[DUT Adj Read]]&gt;=Table1[[#This Row],[Low Tol]],Table1[[#This Row],[DUT Adj Read]]&lt;=Table1[[#This Row],[High Tol]]),"Pass","Fail"))</f>
        <v>Fail</v>
      </c>
      <c r="AD449" s="1" t="str">
        <f>IF(AND(Table1[[#This Row],[Spec Type2]]="N/A",Table1[[#This Row],[DUT Adj Read]]="N/A",Table1[[#This Row],[Std Adj Read]]="N/A"),"N/A",IF(Table1[[#This Row],[DUT Adj Read]]="N/A",IF(Table1[[#This Row],[Std Adj Read]]&gt;Table1[[#This Row],[Low Tol]],"Pass","Fail"),IF(Table1[[#This Row],[DUT Adj Read]]&gt;Table1[[#This Row],[Low Tol]],"Pass","Fail")))</f>
        <v>Pass</v>
      </c>
      <c r="AE449" s="1" t="str">
        <f>IF(AND(Table1[[#This Row],[Spec Type2]]="N/A",Table1[[#This Row],[DUT Adj Read]]="N/A",Table1[[#This Row],[Std Adj Read]]="N/A"),"N/A",IF(Table1[[#This Row],[DUT Adj Read]]="N/A",IF(Table1[[#This Row],[Std Adj Read]]&lt;Table1[[#This Row],[High Tol]],"Pass","Fail"),IF(Table1[[#This Row],[DUT Adj Read]]&lt;Table1[[#This Row],[High Tol]],"Pass","Fail")))</f>
        <v>Fail</v>
      </c>
      <c r="AF449" s="1" t="str">
        <f>IF(AND(Table1[[#This Row],[Spec Type2]]="N/A",Table1[[#This Row],[DUT Adj Read]]="N/A",Table1[[#This Row],[Std Adj Read]]="N/A"),"N/A",IF(Table1[[#This Row],[DUT Adj Read]]="N/A",IF(Table1[[#This Row],[Std Adj Read]]&gt;=Table1[[#This Row],[Low Tol]],"Pass","Fail"),IF(Table1[[#This Row],[DUT Adj Read]]&gt;=Table1[[#This Row],[Low Tol]],"Pass","Fail")))</f>
        <v>Pass</v>
      </c>
      <c r="AG449" s="1" t="str">
        <f>IF(AND(Table1[[#This Row],[Spec Type2]]="N/A",Table1[[#This Row],[DUT Adj Read]]="N/A",Table1[[#This Row],[Std Adj Read]]="N/A"),"N/A",IF(Table1[[#This Row],[DUT Adj Read]]="N/A",IF(Table1[[#This Row],[Std Adj Read]]&lt;=Table1[[#This Row],[High Tol]],"Pass","Fail"),IF(Table1[[#This Row],[DUT Adj Read]]&lt;=Table1[[#This Row],[High Tol]],"Pass","Fail")))</f>
        <v>Fail</v>
      </c>
      <c r="AH4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49" s="1" t="b">
        <v>0</v>
      </c>
      <c r="AN449" s="1" t="b">
        <v>0</v>
      </c>
      <c r="AO449" s="1" t="b">
        <v>0</v>
      </c>
    </row>
    <row r="450" spans="1:41" x14ac:dyDescent="0.25">
      <c r="A450" s="10"/>
      <c r="B450" s="10"/>
      <c r="C450" s="10"/>
      <c r="D450" s="10"/>
      <c r="E450" s="10"/>
      <c r="F450" s="10"/>
      <c r="G450" s="10"/>
      <c r="H450" s="10"/>
      <c r="I450" s="1" t="str">
        <f t="shared" si="18"/>
        <v/>
      </c>
      <c r="J450" s="1" t="s">
        <v>35</v>
      </c>
      <c r="K450" s="1" t="str">
        <f t="shared" si="19"/>
        <v/>
      </c>
      <c r="L450" s="1" t="str">
        <f t="shared" si="20"/>
        <v/>
      </c>
      <c r="M450" s="1">
        <f>IF(OR(Table1[[#This Row],[Std Nom]]="",Table1[[#This Row],[Std Read]]=""),0,Table1[[#This Row],[Std Nom]]-Table1[[#This Row],[Std Read]])</f>
        <v>0</v>
      </c>
      <c r="N450" s="1">
        <f>IF(Calculations!$F$5="ACCREDITED 17025 WITH UNCERTAINTIES",$N$10,0)</f>
        <v>0</v>
      </c>
      <c r="Q450" s="1">
        <f>Table1[[#This Row],[High Tol]]-Table1[[#This Row],[Low Tol]]</f>
        <v>0</v>
      </c>
      <c r="R450" s="1">
        <f>2*Table1[[#This Row],[Std Error]]</f>
        <v>0</v>
      </c>
      <c r="S450" s="1" t="str">
        <f>IF(Table1[[#This Row],[High Tol]]="","N/A",IFERROR(ABS(Table1[[#This Row],[Tol Span]]/Table1[[#This Row],[Error Span]]),"N/A"))</f>
        <v>N/A</v>
      </c>
      <c r="T450" s="1" t="str">
        <f>IF(OR(Table1[[#This Row],[Low Tol]]="",Table1[[#This Row],[High Tol]]=""),"Needs Analysis",IF(Table1[[#This Row],[Ratio]]&gt;=4,"Not Significant",IF(Table1[[#This Row],[Ratio]]&gt;=2,"Semi-Significant","Significant")))</f>
        <v>Needs Analysis</v>
      </c>
      <c r="W450" s="1">
        <f>IF(Table1[[#This Row],[Cal Type]]&lt;&gt;"ACCREDITED 17025 WITH UNCERTAINTIES",0,"")</f>
        <v>0</v>
      </c>
      <c r="X450" s="1" t="str">
        <f>IF(Table1[[#This Row],[DUT Read]]="","N/A",Table1[[#This Row],[Std Error]]+Table1[[#This Row],[DUT Read]]+Table1[[#This Row],[DUT Ucty]])</f>
        <v>N/A</v>
      </c>
      <c r="Y450" s="1" t="str">
        <f>IF(Table1[[#This Row],[Std Read]]="","N/A",Table1[[#This Row],[Std Read]]+Table1[[#This Row],[Std Ucty]])</f>
        <v>N/A</v>
      </c>
      <c r="Z4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0" s="1" t="str">
        <f>IF(Table1[[#This Row],[Spec Type]]="","N/A",Table1[[#This Row],[Spec Type]])</f>
        <v>±</v>
      </c>
      <c r="AC450" s="1" t="str">
        <f>IF(Table1[[#This Row],[Spec Type2]]="N/A","N/A",IF(AND(Table1[[#This Row],[DUT Adj Read]]&gt;=Table1[[#This Row],[Low Tol]],Table1[[#This Row],[DUT Adj Read]]&lt;=Table1[[#This Row],[High Tol]]),"Pass","Fail"))</f>
        <v>Fail</v>
      </c>
      <c r="AD450" s="1" t="str">
        <f>IF(AND(Table1[[#This Row],[Spec Type2]]="N/A",Table1[[#This Row],[DUT Adj Read]]="N/A",Table1[[#This Row],[Std Adj Read]]="N/A"),"N/A",IF(Table1[[#This Row],[DUT Adj Read]]="N/A",IF(Table1[[#This Row],[Std Adj Read]]&gt;Table1[[#This Row],[Low Tol]],"Pass","Fail"),IF(Table1[[#This Row],[DUT Adj Read]]&gt;Table1[[#This Row],[Low Tol]],"Pass","Fail")))</f>
        <v>Pass</v>
      </c>
      <c r="AE450" s="1" t="str">
        <f>IF(AND(Table1[[#This Row],[Spec Type2]]="N/A",Table1[[#This Row],[DUT Adj Read]]="N/A",Table1[[#This Row],[Std Adj Read]]="N/A"),"N/A",IF(Table1[[#This Row],[DUT Adj Read]]="N/A",IF(Table1[[#This Row],[Std Adj Read]]&lt;Table1[[#This Row],[High Tol]],"Pass","Fail"),IF(Table1[[#This Row],[DUT Adj Read]]&lt;Table1[[#This Row],[High Tol]],"Pass","Fail")))</f>
        <v>Fail</v>
      </c>
      <c r="AF450" s="1" t="str">
        <f>IF(AND(Table1[[#This Row],[Spec Type2]]="N/A",Table1[[#This Row],[DUT Adj Read]]="N/A",Table1[[#This Row],[Std Adj Read]]="N/A"),"N/A",IF(Table1[[#This Row],[DUT Adj Read]]="N/A",IF(Table1[[#This Row],[Std Adj Read]]&gt;=Table1[[#This Row],[Low Tol]],"Pass","Fail"),IF(Table1[[#This Row],[DUT Adj Read]]&gt;=Table1[[#This Row],[Low Tol]],"Pass","Fail")))</f>
        <v>Pass</v>
      </c>
      <c r="AG450" s="1" t="str">
        <f>IF(AND(Table1[[#This Row],[Spec Type2]]="N/A",Table1[[#This Row],[DUT Adj Read]]="N/A",Table1[[#This Row],[Std Adj Read]]="N/A"),"N/A",IF(Table1[[#This Row],[DUT Adj Read]]="N/A",IF(Table1[[#This Row],[Std Adj Read]]&lt;=Table1[[#This Row],[High Tol]],"Pass","Fail"),IF(Table1[[#This Row],[DUT Adj Read]]&lt;=Table1[[#This Row],[High Tol]],"Pass","Fail")))</f>
        <v>Fail</v>
      </c>
      <c r="AH4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0" s="1" t="b">
        <v>0</v>
      </c>
      <c r="AN450" s="1" t="b">
        <v>0</v>
      </c>
      <c r="AO450" s="1" t="b">
        <v>0</v>
      </c>
    </row>
    <row r="451" spans="1:41" x14ac:dyDescent="0.25">
      <c r="A451" s="10"/>
      <c r="B451" s="10"/>
      <c r="C451" s="10"/>
      <c r="D451" s="10"/>
      <c r="E451" s="10"/>
      <c r="F451" s="10"/>
      <c r="G451" s="10"/>
      <c r="H451" s="10"/>
      <c r="I451" s="1" t="str">
        <f t="shared" si="18"/>
        <v/>
      </c>
      <c r="J451" s="1" t="s">
        <v>35</v>
      </c>
      <c r="K451" s="1" t="str">
        <f t="shared" si="19"/>
        <v/>
      </c>
      <c r="L451" s="1" t="str">
        <f t="shared" si="20"/>
        <v/>
      </c>
      <c r="M451" s="1">
        <f>IF(OR(Table1[[#This Row],[Std Nom]]="",Table1[[#This Row],[Std Read]]=""),0,Table1[[#This Row],[Std Nom]]-Table1[[#This Row],[Std Read]])</f>
        <v>0</v>
      </c>
      <c r="N451" s="1">
        <f>IF(Calculations!$F$5="ACCREDITED 17025 WITH UNCERTAINTIES",$N$10,0)</f>
        <v>0</v>
      </c>
      <c r="Q451" s="1">
        <f>Table1[[#This Row],[High Tol]]-Table1[[#This Row],[Low Tol]]</f>
        <v>0</v>
      </c>
      <c r="R451" s="1">
        <f>2*Table1[[#This Row],[Std Error]]</f>
        <v>0</v>
      </c>
      <c r="S451" s="1" t="str">
        <f>IF(Table1[[#This Row],[High Tol]]="","N/A",IFERROR(ABS(Table1[[#This Row],[Tol Span]]/Table1[[#This Row],[Error Span]]),"N/A"))</f>
        <v>N/A</v>
      </c>
      <c r="T451" s="1" t="str">
        <f>IF(OR(Table1[[#This Row],[Low Tol]]="",Table1[[#This Row],[High Tol]]=""),"Needs Analysis",IF(Table1[[#This Row],[Ratio]]&gt;=4,"Not Significant",IF(Table1[[#This Row],[Ratio]]&gt;=2,"Semi-Significant","Significant")))</f>
        <v>Needs Analysis</v>
      </c>
      <c r="W451" s="1">
        <f>IF(Table1[[#This Row],[Cal Type]]&lt;&gt;"ACCREDITED 17025 WITH UNCERTAINTIES",0,"")</f>
        <v>0</v>
      </c>
      <c r="X451" s="1" t="str">
        <f>IF(Table1[[#This Row],[DUT Read]]="","N/A",Table1[[#This Row],[Std Error]]+Table1[[#This Row],[DUT Read]]+Table1[[#This Row],[DUT Ucty]])</f>
        <v>N/A</v>
      </c>
      <c r="Y451" s="1" t="str">
        <f>IF(Table1[[#This Row],[Std Read]]="","N/A",Table1[[#This Row],[Std Read]]+Table1[[#This Row],[Std Ucty]])</f>
        <v>N/A</v>
      </c>
      <c r="Z4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1" s="1" t="str">
        <f>IF(Table1[[#This Row],[Spec Type]]="","N/A",Table1[[#This Row],[Spec Type]])</f>
        <v>±</v>
      </c>
      <c r="AC451" s="1" t="str">
        <f>IF(Table1[[#This Row],[Spec Type2]]="N/A","N/A",IF(AND(Table1[[#This Row],[DUT Adj Read]]&gt;=Table1[[#This Row],[Low Tol]],Table1[[#This Row],[DUT Adj Read]]&lt;=Table1[[#This Row],[High Tol]]),"Pass","Fail"))</f>
        <v>Fail</v>
      </c>
      <c r="AD451" s="1" t="str">
        <f>IF(AND(Table1[[#This Row],[Spec Type2]]="N/A",Table1[[#This Row],[DUT Adj Read]]="N/A",Table1[[#This Row],[Std Adj Read]]="N/A"),"N/A",IF(Table1[[#This Row],[DUT Adj Read]]="N/A",IF(Table1[[#This Row],[Std Adj Read]]&gt;Table1[[#This Row],[Low Tol]],"Pass","Fail"),IF(Table1[[#This Row],[DUT Adj Read]]&gt;Table1[[#This Row],[Low Tol]],"Pass","Fail")))</f>
        <v>Pass</v>
      </c>
      <c r="AE451" s="1" t="str">
        <f>IF(AND(Table1[[#This Row],[Spec Type2]]="N/A",Table1[[#This Row],[DUT Adj Read]]="N/A",Table1[[#This Row],[Std Adj Read]]="N/A"),"N/A",IF(Table1[[#This Row],[DUT Adj Read]]="N/A",IF(Table1[[#This Row],[Std Adj Read]]&lt;Table1[[#This Row],[High Tol]],"Pass","Fail"),IF(Table1[[#This Row],[DUT Adj Read]]&lt;Table1[[#This Row],[High Tol]],"Pass","Fail")))</f>
        <v>Fail</v>
      </c>
      <c r="AF451" s="1" t="str">
        <f>IF(AND(Table1[[#This Row],[Spec Type2]]="N/A",Table1[[#This Row],[DUT Adj Read]]="N/A",Table1[[#This Row],[Std Adj Read]]="N/A"),"N/A",IF(Table1[[#This Row],[DUT Adj Read]]="N/A",IF(Table1[[#This Row],[Std Adj Read]]&gt;=Table1[[#This Row],[Low Tol]],"Pass","Fail"),IF(Table1[[#This Row],[DUT Adj Read]]&gt;=Table1[[#This Row],[Low Tol]],"Pass","Fail")))</f>
        <v>Pass</v>
      </c>
      <c r="AG451" s="1" t="str">
        <f>IF(AND(Table1[[#This Row],[Spec Type2]]="N/A",Table1[[#This Row],[DUT Adj Read]]="N/A",Table1[[#This Row],[Std Adj Read]]="N/A"),"N/A",IF(Table1[[#This Row],[DUT Adj Read]]="N/A",IF(Table1[[#This Row],[Std Adj Read]]&lt;=Table1[[#This Row],[High Tol]],"Pass","Fail"),IF(Table1[[#This Row],[DUT Adj Read]]&lt;=Table1[[#This Row],[High Tol]],"Pass","Fail")))</f>
        <v>Fail</v>
      </c>
      <c r="AH4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1" s="1" t="b">
        <v>0</v>
      </c>
      <c r="AN451" s="1" t="b">
        <v>0</v>
      </c>
      <c r="AO451" s="1" t="b">
        <v>0</v>
      </c>
    </row>
    <row r="452" spans="1:41" x14ac:dyDescent="0.25">
      <c r="A452" s="10"/>
      <c r="B452" s="10"/>
      <c r="C452" s="10"/>
      <c r="D452" s="10"/>
      <c r="E452" s="10"/>
      <c r="F452" s="10"/>
      <c r="G452" s="10"/>
      <c r="H452" s="10"/>
      <c r="I452" s="1" t="str">
        <f t="shared" si="18"/>
        <v/>
      </c>
      <c r="J452" s="1" t="s">
        <v>35</v>
      </c>
      <c r="K452" s="1" t="str">
        <f t="shared" si="19"/>
        <v/>
      </c>
      <c r="L452" s="1" t="str">
        <f t="shared" si="20"/>
        <v/>
      </c>
      <c r="M452" s="1">
        <f>IF(OR(Table1[[#This Row],[Std Nom]]="",Table1[[#This Row],[Std Read]]=""),0,Table1[[#This Row],[Std Nom]]-Table1[[#This Row],[Std Read]])</f>
        <v>0</v>
      </c>
      <c r="N452" s="1">
        <f>IF(Calculations!$F$5="ACCREDITED 17025 WITH UNCERTAINTIES",$N$10,0)</f>
        <v>0</v>
      </c>
      <c r="Q452" s="1">
        <f>Table1[[#This Row],[High Tol]]-Table1[[#This Row],[Low Tol]]</f>
        <v>0</v>
      </c>
      <c r="R452" s="1">
        <f>2*Table1[[#This Row],[Std Error]]</f>
        <v>0</v>
      </c>
      <c r="S452" s="1" t="str">
        <f>IF(Table1[[#This Row],[High Tol]]="","N/A",IFERROR(ABS(Table1[[#This Row],[Tol Span]]/Table1[[#This Row],[Error Span]]),"N/A"))</f>
        <v>N/A</v>
      </c>
      <c r="T452" s="1" t="str">
        <f>IF(OR(Table1[[#This Row],[Low Tol]]="",Table1[[#This Row],[High Tol]]=""),"Needs Analysis",IF(Table1[[#This Row],[Ratio]]&gt;=4,"Not Significant",IF(Table1[[#This Row],[Ratio]]&gt;=2,"Semi-Significant","Significant")))</f>
        <v>Needs Analysis</v>
      </c>
      <c r="W452" s="1">
        <f>IF(Table1[[#This Row],[Cal Type]]&lt;&gt;"ACCREDITED 17025 WITH UNCERTAINTIES",0,"")</f>
        <v>0</v>
      </c>
      <c r="X452" s="1" t="str">
        <f>IF(Table1[[#This Row],[DUT Read]]="","N/A",Table1[[#This Row],[Std Error]]+Table1[[#This Row],[DUT Read]]+Table1[[#This Row],[DUT Ucty]])</f>
        <v>N/A</v>
      </c>
      <c r="Y452" s="1" t="str">
        <f>IF(Table1[[#This Row],[Std Read]]="","N/A",Table1[[#This Row],[Std Read]]+Table1[[#This Row],[Std Ucty]])</f>
        <v>N/A</v>
      </c>
      <c r="Z4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2" s="1" t="str">
        <f>IF(Table1[[#This Row],[Spec Type]]="","N/A",Table1[[#This Row],[Spec Type]])</f>
        <v>±</v>
      </c>
      <c r="AC452" s="1" t="str">
        <f>IF(Table1[[#This Row],[Spec Type2]]="N/A","N/A",IF(AND(Table1[[#This Row],[DUT Adj Read]]&gt;=Table1[[#This Row],[Low Tol]],Table1[[#This Row],[DUT Adj Read]]&lt;=Table1[[#This Row],[High Tol]]),"Pass","Fail"))</f>
        <v>Fail</v>
      </c>
      <c r="AD452" s="1" t="str">
        <f>IF(AND(Table1[[#This Row],[Spec Type2]]="N/A",Table1[[#This Row],[DUT Adj Read]]="N/A",Table1[[#This Row],[Std Adj Read]]="N/A"),"N/A",IF(Table1[[#This Row],[DUT Adj Read]]="N/A",IF(Table1[[#This Row],[Std Adj Read]]&gt;Table1[[#This Row],[Low Tol]],"Pass","Fail"),IF(Table1[[#This Row],[DUT Adj Read]]&gt;Table1[[#This Row],[Low Tol]],"Pass","Fail")))</f>
        <v>Pass</v>
      </c>
      <c r="AE452" s="1" t="str">
        <f>IF(AND(Table1[[#This Row],[Spec Type2]]="N/A",Table1[[#This Row],[DUT Adj Read]]="N/A",Table1[[#This Row],[Std Adj Read]]="N/A"),"N/A",IF(Table1[[#This Row],[DUT Adj Read]]="N/A",IF(Table1[[#This Row],[Std Adj Read]]&lt;Table1[[#This Row],[High Tol]],"Pass","Fail"),IF(Table1[[#This Row],[DUT Adj Read]]&lt;Table1[[#This Row],[High Tol]],"Pass","Fail")))</f>
        <v>Fail</v>
      </c>
      <c r="AF452" s="1" t="str">
        <f>IF(AND(Table1[[#This Row],[Spec Type2]]="N/A",Table1[[#This Row],[DUT Adj Read]]="N/A",Table1[[#This Row],[Std Adj Read]]="N/A"),"N/A",IF(Table1[[#This Row],[DUT Adj Read]]="N/A",IF(Table1[[#This Row],[Std Adj Read]]&gt;=Table1[[#This Row],[Low Tol]],"Pass","Fail"),IF(Table1[[#This Row],[DUT Adj Read]]&gt;=Table1[[#This Row],[Low Tol]],"Pass","Fail")))</f>
        <v>Pass</v>
      </c>
      <c r="AG452" s="1" t="str">
        <f>IF(AND(Table1[[#This Row],[Spec Type2]]="N/A",Table1[[#This Row],[DUT Adj Read]]="N/A",Table1[[#This Row],[Std Adj Read]]="N/A"),"N/A",IF(Table1[[#This Row],[DUT Adj Read]]="N/A",IF(Table1[[#This Row],[Std Adj Read]]&lt;=Table1[[#This Row],[High Tol]],"Pass","Fail"),IF(Table1[[#This Row],[DUT Adj Read]]&lt;=Table1[[#This Row],[High Tol]],"Pass","Fail")))</f>
        <v>Fail</v>
      </c>
      <c r="AH4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2" s="1" t="b">
        <v>0</v>
      </c>
      <c r="AN452" s="1" t="b">
        <v>0</v>
      </c>
      <c r="AO452" s="1" t="b">
        <v>0</v>
      </c>
    </row>
    <row r="453" spans="1:41" x14ac:dyDescent="0.25">
      <c r="A453" s="10"/>
      <c r="B453" s="10"/>
      <c r="C453" s="10"/>
      <c r="D453" s="10"/>
      <c r="E453" s="10"/>
      <c r="F453" s="10"/>
      <c r="G453" s="10"/>
      <c r="H453" s="10"/>
      <c r="I453" s="1" t="str">
        <f t="shared" si="18"/>
        <v/>
      </c>
      <c r="J453" s="1" t="s">
        <v>35</v>
      </c>
      <c r="K453" s="1" t="str">
        <f t="shared" si="19"/>
        <v/>
      </c>
      <c r="L453" s="1" t="str">
        <f t="shared" si="20"/>
        <v/>
      </c>
      <c r="M453" s="1">
        <f>IF(OR(Table1[[#This Row],[Std Nom]]="",Table1[[#This Row],[Std Read]]=""),0,Table1[[#This Row],[Std Nom]]-Table1[[#This Row],[Std Read]])</f>
        <v>0</v>
      </c>
      <c r="N453" s="1">
        <f>IF(Calculations!$F$5="ACCREDITED 17025 WITH UNCERTAINTIES",$N$10,0)</f>
        <v>0</v>
      </c>
      <c r="Q453" s="1">
        <f>Table1[[#This Row],[High Tol]]-Table1[[#This Row],[Low Tol]]</f>
        <v>0</v>
      </c>
      <c r="R453" s="1">
        <f>2*Table1[[#This Row],[Std Error]]</f>
        <v>0</v>
      </c>
      <c r="S453" s="1" t="str">
        <f>IF(Table1[[#This Row],[High Tol]]="","N/A",IFERROR(ABS(Table1[[#This Row],[Tol Span]]/Table1[[#This Row],[Error Span]]),"N/A"))</f>
        <v>N/A</v>
      </c>
      <c r="T453" s="1" t="str">
        <f>IF(OR(Table1[[#This Row],[Low Tol]]="",Table1[[#This Row],[High Tol]]=""),"Needs Analysis",IF(Table1[[#This Row],[Ratio]]&gt;=4,"Not Significant",IF(Table1[[#This Row],[Ratio]]&gt;=2,"Semi-Significant","Significant")))</f>
        <v>Needs Analysis</v>
      </c>
      <c r="W453" s="1">
        <f>IF(Table1[[#This Row],[Cal Type]]&lt;&gt;"ACCREDITED 17025 WITH UNCERTAINTIES",0,"")</f>
        <v>0</v>
      </c>
      <c r="X453" s="1" t="str">
        <f>IF(Table1[[#This Row],[DUT Read]]="","N/A",Table1[[#This Row],[Std Error]]+Table1[[#This Row],[DUT Read]]+Table1[[#This Row],[DUT Ucty]])</f>
        <v>N/A</v>
      </c>
      <c r="Y453" s="1" t="str">
        <f>IF(Table1[[#This Row],[Std Read]]="","N/A",Table1[[#This Row],[Std Read]]+Table1[[#This Row],[Std Ucty]])</f>
        <v>N/A</v>
      </c>
      <c r="Z4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3" s="1" t="str">
        <f>IF(Table1[[#This Row],[Spec Type]]="","N/A",Table1[[#This Row],[Spec Type]])</f>
        <v>±</v>
      </c>
      <c r="AC453" s="1" t="str">
        <f>IF(Table1[[#This Row],[Spec Type2]]="N/A","N/A",IF(AND(Table1[[#This Row],[DUT Adj Read]]&gt;=Table1[[#This Row],[Low Tol]],Table1[[#This Row],[DUT Adj Read]]&lt;=Table1[[#This Row],[High Tol]]),"Pass","Fail"))</f>
        <v>Fail</v>
      </c>
      <c r="AD453" s="1" t="str">
        <f>IF(AND(Table1[[#This Row],[Spec Type2]]="N/A",Table1[[#This Row],[DUT Adj Read]]="N/A",Table1[[#This Row],[Std Adj Read]]="N/A"),"N/A",IF(Table1[[#This Row],[DUT Adj Read]]="N/A",IF(Table1[[#This Row],[Std Adj Read]]&gt;Table1[[#This Row],[Low Tol]],"Pass","Fail"),IF(Table1[[#This Row],[DUT Adj Read]]&gt;Table1[[#This Row],[Low Tol]],"Pass","Fail")))</f>
        <v>Pass</v>
      </c>
      <c r="AE453" s="1" t="str">
        <f>IF(AND(Table1[[#This Row],[Spec Type2]]="N/A",Table1[[#This Row],[DUT Adj Read]]="N/A",Table1[[#This Row],[Std Adj Read]]="N/A"),"N/A",IF(Table1[[#This Row],[DUT Adj Read]]="N/A",IF(Table1[[#This Row],[Std Adj Read]]&lt;Table1[[#This Row],[High Tol]],"Pass","Fail"),IF(Table1[[#This Row],[DUT Adj Read]]&lt;Table1[[#This Row],[High Tol]],"Pass","Fail")))</f>
        <v>Fail</v>
      </c>
      <c r="AF453" s="1" t="str">
        <f>IF(AND(Table1[[#This Row],[Spec Type2]]="N/A",Table1[[#This Row],[DUT Adj Read]]="N/A",Table1[[#This Row],[Std Adj Read]]="N/A"),"N/A",IF(Table1[[#This Row],[DUT Adj Read]]="N/A",IF(Table1[[#This Row],[Std Adj Read]]&gt;=Table1[[#This Row],[Low Tol]],"Pass","Fail"),IF(Table1[[#This Row],[DUT Adj Read]]&gt;=Table1[[#This Row],[Low Tol]],"Pass","Fail")))</f>
        <v>Pass</v>
      </c>
      <c r="AG453" s="1" t="str">
        <f>IF(AND(Table1[[#This Row],[Spec Type2]]="N/A",Table1[[#This Row],[DUT Adj Read]]="N/A",Table1[[#This Row],[Std Adj Read]]="N/A"),"N/A",IF(Table1[[#This Row],[DUT Adj Read]]="N/A",IF(Table1[[#This Row],[Std Adj Read]]&lt;=Table1[[#This Row],[High Tol]],"Pass","Fail"),IF(Table1[[#This Row],[DUT Adj Read]]&lt;=Table1[[#This Row],[High Tol]],"Pass","Fail")))</f>
        <v>Fail</v>
      </c>
      <c r="AH4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3" s="1" t="b">
        <v>0</v>
      </c>
      <c r="AN453" s="1" t="b">
        <v>0</v>
      </c>
      <c r="AO453" s="1" t="b">
        <v>0</v>
      </c>
    </row>
    <row r="454" spans="1:41" x14ac:dyDescent="0.25">
      <c r="A454" s="10"/>
      <c r="B454" s="10"/>
      <c r="C454" s="10"/>
      <c r="D454" s="10"/>
      <c r="E454" s="10"/>
      <c r="F454" s="10"/>
      <c r="G454" s="10"/>
      <c r="H454" s="10"/>
      <c r="I454" s="1" t="str">
        <f t="shared" si="18"/>
        <v/>
      </c>
      <c r="J454" s="1" t="s">
        <v>35</v>
      </c>
      <c r="K454" s="1" t="str">
        <f t="shared" si="19"/>
        <v/>
      </c>
      <c r="L454" s="1" t="str">
        <f t="shared" si="20"/>
        <v/>
      </c>
      <c r="M454" s="1">
        <f>IF(OR(Table1[[#This Row],[Std Nom]]="",Table1[[#This Row],[Std Read]]=""),0,Table1[[#This Row],[Std Nom]]-Table1[[#This Row],[Std Read]])</f>
        <v>0</v>
      </c>
      <c r="N454" s="1">
        <f>IF(Calculations!$F$5="ACCREDITED 17025 WITH UNCERTAINTIES",$N$10,0)</f>
        <v>0</v>
      </c>
      <c r="Q454" s="1">
        <f>Table1[[#This Row],[High Tol]]-Table1[[#This Row],[Low Tol]]</f>
        <v>0</v>
      </c>
      <c r="R454" s="1">
        <f>2*Table1[[#This Row],[Std Error]]</f>
        <v>0</v>
      </c>
      <c r="S454" s="1" t="str">
        <f>IF(Table1[[#This Row],[High Tol]]="","N/A",IFERROR(ABS(Table1[[#This Row],[Tol Span]]/Table1[[#This Row],[Error Span]]),"N/A"))</f>
        <v>N/A</v>
      </c>
      <c r="T454" s="1" t="str">
        <f>IF(OR(Table1[[#This Row],[Low Tol]]="",Table1[[#This Row],[High Tol]]=""),"Needs Analysis",IF(Table1[[#This Row],[Ratio]]&gt;=4,"Not Significant",IF(Table1[[#This Row],[Ratio]]&gt;=2,"Semi-Significant","Significant")))</f>
        <v>Needs Analysis</v>
      </c>
      <c r="W454" s="1">
        <f>IF(Table1[[#This Row],[Cal Type]]&lt;&gt;"ACCREDITED 17025 WITH UNCERTAINTIES",0,"")</f>
        <v>0</v>
      </c>
      <c r="X454" s="1" t="str">
        <f>IF(Table1[[#This Row],[DUT Read]]="","N/A",Table1[[#This Row],[Std Error]]+Table1[[#This Row],[DUT Read]]+Table1[[#This Row],[DUT Ucty]])</f>
        <v>N/A</v>
      </c>
      <c r="Y454" s="1" t="str">
        <f>IF(Table1[[#This Row],[Std Read]]="","N/A",Table1[[#This Row],[Std Read]]+Table1[[#This Row],[Std Ucty]])</f>
        <v>N/A</v>
      </c>
      <c r="Z4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4" s="1" t="str">
        <f>IF(Table1[[#This Row],[Spec Type]]="","N/A",Table1[[#This Row],[Spec Type]])</f>
        <v>±</v>
      </c>
      <c r="AC454" s="1" t="str">
        <f>IF(Table1[[#This Row],[Spec Type2]]="N/A","N/A",IF(AND(Table1[[#This Row],[DUT Adj Read]]&gt;=Table1[[#This Row],[Low Tol]],Table1[[#This Row],[DUT Adj Read]]&lt;=Table1[[#This Row],[High Tol]]),"Pass","Fail"))</f>
        <v>Fail</v>
      </c>
      <c r="AD454" s="1" t="str">
        <f>IF(AND(Table1[[#This Row],[Spec Type2]]="N/A",Table1[[#This Row],[DUT Adj Read]]="N/A",Table1[[#This Row],[Std Adj Read]]="N/A"),"N/A",IF(Table1[[#This Row],[DUT Adj Read]]="N/A",IF(Table1[[#This Row],[Std Adj Read]]&gt;Table1[[#This Row],[Low Tol]],"Pass","Fail"),IF(Table1[[#This Row],[DUT Adj Read]]&gt;Table1[[#This Row],[Low Tol]],"Pass","Fail")))</f>
        <v>Pass</v>
      </c>
      <c r="AE454" s="1" t="str">
        <f>IF(AND(Table1[[#This Row],[Spec Type2]]="N/A",Table1[[#This Row],[DUT Adj Read]]="N/A",Table1[[#This Row],[Std Adj Read]]="N/A"),"N/A",IF(Table1[[#This Row],[DUT Adj Read]]="N/A",IF(Table1[[#This Row],[Std Adj Read]]&lt;Table1[[#This Row],[High Tol]],"Pass","Fail"),IF(Table1[[#This Row],[DUT Adj Read]]&lt;Table1[[#This Row],[High Tol]],"Pass","Fail")))</f>
        <v>Fail</v>
      </c>
      <c r="AF454" s="1" t="str">
        <f>IF(AND(Table1[[#This Row],[Spec Type2]]="N/A",Table1[[#This Row],[DUT Adj Read]]="N/A",Table1[[#This Row],[Std Adj Read]]="N/A"),"N/A",IF(Table1[[#This Row],[DUT Adj Read]]="N/A",IF(Table1[[#This Row],[Std Adj Read]]&gt;=Table1[[#This Row],[Low Tol]],"Pass","Fail"),IF(Table1[[#This Row],[DUT Adj Read]]&gt;=Table1[[#This Row],[Low Tol]],"Pass","Fail")))</f>
        <v>Pass</v>
      </c>
      <c r="AG454" s="1" t="str">
        <f>IF(AND(Table1[[#This Row],[Spec Type2]]="N/A",Table1[[#This Row],[DUT Adj Read]]="N/A",Table1[[#This Row],[Std Adj Read]]="N/A"),"N/A",IF(Table1[[#This Row],[DUT Adj Read]]="N/A",IF(Table1[[#This Row],[Std Adj Read]]&lt;=Table1[[#This Row],[High Tol]],"Pass","Fail"),IF(Table1[[#This Row],[DUT Adj Read]]&lt;=Table1[[#This Row],[High Tol]],"Pass","Fail")))</f>
        <v>Fail</v>
      </c>
      <c r="AH4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4" s="1" t="b">
        <v>0</v>
      </c>
      <c r="AN454" s="1" t="b">
        <v>0</v>
      </c>
      <c r="AO454" s="1" t="b">
        <v>0</v>
      </c>
    </row>
    <row r="455" spans="1:41" x14ac:dyDescent="0.25">
      <c r="A455" s="10"/>
      <c r="B455" s="10"/>
      <c r="C455" s="10"/>
      <c r="D455" s="10"/>
      <c r="E455" s="10"/>
      <c r="F455" s="10"/>
      <c r="G455" s="10"/>
      <c r="H455" s="10"/>
      <c r="I455" s="1" t="str">
        <f t="shared" si="18"/>
        <v/>
      </c>
      <c r="J455" s="1" t="s">
        <v>35</v>
      </c>
      <c r="K455" s="1" t="str">
        <f t="shared" si="19"/>
        <v/>
      </c>
      <c r="L455" s="1" t="str">
        <f t="shared" si="20"/>
        <v/>
      </c>
      <c r="M455" s="1">
        <f>IF(OR(Table1[[#This Row],[Std Nom]]="",Table1[[#This Row],[Std Read]]=""),0,Table1[[#This Row],[Std Nom]]-Table1[[#This Row],[Std Read]])</f>
        <v>0</v>
      </c>
      <c r="N455" s="1">
        <f>IF(Calculations!$F$5="ACCREDITED 17025 WITH UNCERTAINTIES",$N$10,0)</f>
        <v>0</v>
      </c>
      <c r="Q455" s="1">
        <f>Table1[[#This Row],[High Tol]]-Table1[[#This Row],[Low Tol]]</f>
        <v>0</v>
      </c>
      <c r="R455" s="1">
        <f>2*Table1[[#This Row],[Std Error]]</f>
        <v>0</v>
      </c>
      <c r="S455" s="1" t="str">
        <f>IF(Table1[[#This Row],[High Tol]]="","N/A",IFERROR(ABS(Table1[[#This Row],[Tol Span]]/Table1[[#This Row],[Error Span]]),"N/A"))</f>
        <v>N/A</v>
      </c>
      <c r="T455" s="1" t="str">
        <f>IF(OR(Table1[[#This Row],[Low Tol]]="",Table1[[#This Row],[High Tol]]=""),"Needs Analysis",IF(Table1[[#This Row],[Ratio]]&gt;=4,"Not Significant",IF(Table1[[#This Row],[Ratio]]&gt;=2,"Semi-Significant","Significant")))</f>
        <v>Needs Analysis</v>
      </c>
      <c r="W455" s="1">
        <f>IF(Table1[[#This Row],[Cal Type]]&lt;&gt;"ACCREDITED 17025 WITH UNCERTAINTIES",0,"")</f>
        <v>0</v>
      </c>
      <c r="X455" s="1" t="str">
        <f>IF(Table1[[#This Row],[DUT Read]]="","N/A",Table1[[#This Row],[Std Error]]+Table1[[#This Row],[DUT Read]]+Table1[[#This Row],[DUT Ucty]])</f>
        <v>N/A</v>
      </c>
      <c r="Y455" s="1" t="str">
        <f>IF(Table1[[#This Row],[Std Read]]="","N/A",Table1[[#This Row],[Std Read]]+Table1[[#This Row],[Std Ucty]])</f>
        <v>N/A</v>
      </c>
      <c r="Z4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5" s="1" t="str">
        <f>IF(Table1[[#This Row],[Spec Type]]="","N/A",Table1[[#This Row],[Spec Type]])</f>
        <v>±</v>
      </c>
      <c r="AC455" s="1" t="str">
        <f>IF(Table1[[#This Row],[Spec Type2]]="N/A","N/A",IF(AND(Table1[[#This Row],[DUT Adj Read]]&gt;=Table1[[#This Row],[Low Tol]],Table1[[#This Row],[DUT Adj Read]]&lt;=Table1[[#This Row],[High Tol]]),"Pass","Fail"))</f>
        <v>Fail</v>
      </c>
      <c r="AD455" s="1" t="str">
        <f>IF(AND(Table1[[#This Row],[Spec Type2]]="N/A",Table1[[#This Row],[DUT Adj Read]]="N/A",Table1[[#This Row],[Std Adj Read]]="N/A"),"N/A",IF(Table1[[#This Row],[DUT Adj Read]]="N/A",IF(Table1[[#This Row],[Std Adj Read]]&gt;Table1[[#This Row],[Low Tol]],"Pass","Fail"),IF(Table1[[#This Row],[DUT Adj Read]]&gt;Table1[[#This Row],[Low Tol]],"Pass","Fail")))</f>
        <v>Pass</v>
      </c>
      <c r="AE455" s="1" t="str">
        <f>IF(AND(Table1[[#This Row],[Spec Type2]]="N/A",Table1[[#This Row],[DUT Adj Read]]="N/A",Table1[[#This Row],[Std Adj Read]]="N/A"),"N/A",IF(Table1[[#This Row],[DUT Adj Read]]="N/A",IF(Table1[[#This Row],[Std Adj Read]]&lt;Table1[[#This Row],[High Tol]],"Pass","Fail"),IF(Table1[[#This Row],[DUT Adj Read]]&lt;Table1[[#This Row],[High Tol]],"Pass","Fail")))</f>
        <v>Fail</v>
      </c>
      <c r="AF455" s="1" t="str">
        <f>IF(AND(Table1[[#This Row],[Spec Type2]]="N/A",Table1[[#This Row],[DUT Adj Read]]="N/A",Table1[[#This Row],[Std Adj Read]]="N/A"),"N/A",IF(Table1[[#This Row],[DUT Adj Read]]="N/A",IF(Table1[[#This Row],[Std Adj Read]]&gt;=Table1[[#This Row],[Low Tol]],"Pass","Fail"),IF(Table1[[#This Row],[DUT Adj Read]]&gt;=Table1[[#This Row],[Low Tol]],"Pass","Fail")))</f>
        <v>Pass</v>
      </c>
      <c r="AG455" s="1" t="str">
        <f>IF(AND(Table1[[#This Row],[Spec Type2]]="N/A",Table1[[#This Row],[DUT Adj Read]]="N/A",Table1[[#This Row],[Std Adj Read]]="N/A"),"N/A",IF(Table1[[#This Row],[DUT Adj Read]]="N/A",IF(Table1[[#This Row],[Std Adj Read]]&lt;=Table1[[#This Row],[High Tol]],"Pass","Fail"),IF(Table1[[#This Row],[DUT Adj Read]]&lt;=Table1[[#This Row],[High Tol]],"Pass","Fail")))</f>
        <v>Fail</v>
      </c>
      <c r="AH4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5" s="1" t="b">
        <v>0</v>
      </c>
      <c r="AN455" s="1" t="b">
        <v>0</v>
      </c>
      <c r="AO455" s="1" t="b">
        <v>0</v>
      </c>
    </row>
    <row r="456" spans="1:41" x14ac:dyDescent="0.25">
      <c r="A456" s="10"/>
      <c r="B456" s="10"/>
      <c r="C456" s="10"/>
      <c r="D456" s="10"/>
      <c r="E456" s="10"/>
      <c r="F456" s="10"/>
      <c r="G456" s="10"/>
      <c r="H456" s="10"/>
      <c r="I456" s="1" t="str">
        <f t="shared" si="18"/>
        <v/>
      </c>
      <c r="J456" s="1" t="s">
        <v>35</v>
      </c>
      <c r="K456" s="1" t="str">
        <f t="shared" si="19"/>
        <v/>
      </c>
      <c r="L456" s="1" t="str">
        <f t="shared" si="20"/>
        <v/>
      </c>
      <c r="M456" s="1">
        <f>IF(OR(Table1[[#This Row],[Std Nom]]="",Table1[[#This Row],[Std Read]]=""),0,Table1[[#This Row],[Std Nom]]-Table1[[#This Row],[Std Read]])</f>
        <v>0</v>
      </c>
      <c r="N456" s="1">
        <f>IF(Calculations!$F$5="ACCREDITED 17025 WITH UNCERTAINTIES",$N$10,0)</f>
        <v>0</v>
      </c>
      <c r="Q456" s="1">
        <f>Table1[[#This Row],[High Tol]]-Table1[[#This Row],[Low Tol]]</f>
        <v>0</v>
      </c>
      <c r="R456" s="1">
        <f>2*Table1[[#This Row],[Std Error]]</f>
        <v>0</v>
      </c>
      <c r="S456" s="1" t="str">
        <f>IF(Table1[[#This Row],[High Tol]]="","N/A",IFERROR(ABS(Table1[[#This Row],[Tol Span]]/Table1[[#This Row],[Error Span]]),"N/A"))</f>
        <v>N/A</v>
      </c>
      <c r="T456" s="1" t="str">
        <f>IF(OR(Table1[[#This Row],[Low Tol]]="",Table1[[#This Row],[High Tol]]=""),"Needs Analysis",IF(Table1[[#This Row],[Ratio]]&gt;=4,"Not Significant",IF(Table1[[#This Row],[Ratio]]&gt;=2,"Semi-Significant","Significant")))</f>
        <v>Needs Analysis</v>
      </c>
      <c r="W456" s="1">
        <f>IF(Table1[[#This Row],[Cal Type]]&lt;&gt;"ACCREDITED 17025 WITH UNCERTAINTIES",0,"")</f>
        <v>0</v>
      </c>
      <c r="X456" s="1" t="str">
        <f>IF(Table1[[#This Row],[DUT Read]]="","N/A",Table1[[#This Row],[Std Error]]+Table1[[#This Row],[DUT Read]]+Table1[[#This Row],[DUT Ucty]])</f>
        <v>N/A</v>
      </c>
      <c r="Y456" s="1" t="str">
        <f>IF(Table1[[#This Row],[Std Read]]="","N/A",Table1[[#This Row],[Std Read]]+Table1[[#This Row],[Std Ucty]])</f>
        <v>N/A</v>
      </c>
      <c r="Z4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6" s="1" t="str">
        <f>IF(Table1[[#This Row],[Spec Type]]="","N/A",Table1[[#This Row],[Spec Type]])</f>
        <v>±</v>
      </c>
      <c r="AC456" s="1" t="str">
        <f>IF(Table1[[#This Row],[Spec Type2]]="N/A","N/A",IF(AND(Table1[[#This Row],[DUT Adj Read]]&gt;=Table1[[#This Row],[Low Tol]],Table1[[#This Row],[DUT Adj Read]]&lt;=Table1[[#This Row],[High Tol]]),"Pass","Fail"))</f>
        <v>Fail</v>
      </c>
      <c r="AD456" s="1" t="str">
        <f>IF(AND(Table1[[#This Row],[Spec Type2]]="N/A",Table1[[#This Row],[DUT Adj Read]]="N/A",Table1[[#This Row],[Std Adj Read]]="N/A"),"N/A",IF(Table1[[#This Row],[DUT Adj Read]]="N/A",IF(Table1[[#This Row],[Std Adj Read]]&gt;Table1[[#This Row],[Low Tol]],"Pass","Fail"),IF(Table1[[#This Row],[DUT Adj Read]]&gt;Table1[[#This Row],[Low Tol]],"Pass","Fail")))</f>
        <v>Pass</v>
      </c>
      <c r="AE456" s="1" t="str">
        <f>IF(AND(Table1[[#This Row],[Spec Type2]]="N/A",Table1[[#This Row],[DUT Adj Read]]="N/A",Table1[[#This Row],[Std Adj Read]]="N/A"),"N/A",IF(Table1[[#This Row],[DUT Adj Read]]="N/A",IF(Table1[[#This Row],[Std Adj Read]]&lt;Table1[[#This Row],[High Tol]],"Pass","Fail"),IF(Table1[[#This Row],[DUT Adj Read]]&lt;Table1[[#This Row],[High Tol]],"Pass","Fail")))</f>
        <v>Fail</v>
      </c>
      <c r="AF456" s="1" t="str">
        <f>IF(AND(Table1[[#This Row],[Spec Type2]]="N/A",Table1[[#This Row],[DUT Adj Read]]="N/A",Table1[[#This Row],[Std Adj Read]]="N/A"),"N/A",IF(Table1[[#This Row],[DUT Adj Read]]="N/A",IF(Table1[[#This Row],[Std Adj Read]]&gt;=Table1[[#This Row],[Low Tol]],"Pass","Fail"),IF(Table1[[#This Row],[DUT Adj Read]]&gt;=Table1[[#This Row],[Low Tol]],"Pass","Fail")))</f>
        <v>Pass</v>
      </c>
      <c r="AG456" s="1" t="str">
        <f>IF(AND(Table1[[#This Row],[Spec Type2]]="N/A",Table1[[#This Row],[DUT Adj Read]]="N/A",Table1[[#This Row],[Std Adj Read]]="N/A"),"N/A",IF(Table1[[#This Row],[DUT Adj Read]]="N/A",IF(Table1[[#This Row],[Std Adj Read]]&lt;=Table1[[#This Row],[High Tol]],"Pass","Fail"),IF(Table1[[#This Row],[DUT Adj Read]]&lt;=Table1[[#This Row],[High Tol]],"Pass","Fail")))</f>
        <v>Fail</v>
      </c>
      <c r="AH4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6" s="1" t="b">
        <v>0</v>
      </c>
      <c r="AN456" s="1" t="b">
        <v>0</v>
      </c>
      <c r="AO456" s="1" t="b">
        <v>0</v>
      </c>
    </row>
    <row r="457" spans="1:41" x14ac:dyDescent="0.25">
      <c r="A457" s="10"/>
      <c r="B457" s="10"/>
      <c r="C457" s="10"/>
      <c r="D457" s="10"/>
      <c r="E457" s="10"/>
      <c r="F457" s="10"/>
      <c r="G457" s="10"/>
      <c r="H457" s="10"/>
      <c r="I457" s="1" t="str">
        <f t="shared" si="18"/>
        <v/>
      </c>
      <c r="J457" s="1" t="s">
        <v>35</v>
      </c>
      <c r="K457" s="1" t="str">
        <f t="shared" si="19"/>
        <v/>
      </c>
      <c r="L457" s="1" t="str">
        <f t="shared" si="20"/>
        <v/>
      </c>
      <c r="M457" s="1">
        <f>IF(OR(Table1[[#This Row],[Std Nom]]="",Table1[[#This Row],[Std Read]]=""),0,Table1[[#This Row],[Std Nom]]-Table1[[#This Row],[Std Read]])</f>
        <v>0</v>
      </c>
      <c r="N457" s="1">
        <f>IF(Calculations!$F$5="ACCREDITED 17025 WITH UNCERTAINTIES",$N$10,0)</f>
        <v>0</v>
      </c>
      <c r="Q457" s="1">
        <f>Table1[[#This Row],[High Tol]]-Table1[[#This Row],[Low Tol]]</f>
        <v>0</v>
      </c>
      <c r="R457" s="1">
        <f>2*Table1[[#This Row],[Std Error]]</f>
        <v>0</v>
      </c>
      <c r="S457" s="1" t="str">
        <f>IF(Table1[[#This Row],[High Tol]]="","N/A",IFERROR(ABS(Table1[[#This Row],[Tol Span]]/Table1[[#This Row],[Error Span]]),"N/A"))</f>
        <v>N/A</v>
      </c>
      <c r="T457" s="1" t="str">
        <f>IF(OR(Table1[[#This Row],[Low Tol]]="",Table1[[#This Row],[High Tol]]=""),"Needs Analysis",IF(Table1[[#This Row],[Ratio]]&gt;=4,"Not Significant",IF(Table1[[#This Row],[Ratio]]&gt;=2,"Semi-Significant","Significant")))</f>
        <v>Needs Analysis</v>
      </c>
      <c r="W457" s="1">
        <f>IF(Table1[[#This Row],[Cal Type]]&lt;&gt;"ACCREDITED 17025 WITH UNCERTAINTIES",0,"")</f>
        <v>0</v>
      </c>
      <c r="X457" s="1" t="str">
        <f>IF(Table1[[#This Row],[DUT Read]]="","N/A",Table1[[#This Row],[Std Error]]+Table1[[#This Row],[DUT Read]]+Table1[[#This Row],[DUT Ucty]])</f>
        <v>N/A</v>
      </c>
      <c r="Y457" s="1" t="str">
        <f>IF(Table1[[#This Row],[Std Read]]="","N/A",Table1[[#This Row],[Std Read]]+Table1[[#This Row],[Std Ucty]])</f>
        <v>N/A</v>
      </c>
      <c r="Z4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7" s="1" t="str">
        <f>IF(Table1[[#This Row],[Spec Type]]="","N/A",Table1[[#This Row],[Spec Type]])</f>
        <v>±</v>
      </c>
      <c r="AC457" s="1" t="str">
        <f>IF(Table1[[#This Row],[Spec Type2]]="N/A","N/A",IF(AND(Table1[[#This Row],[DUT Adj Read]]&gt;=Table1[[#This Row],[Low Tol]],Table1[[#This Row],[DUT Adj Read]]&lt;=Table1[[#This Row],[High Tol]]),"Pass","Fail"))</f>
        <v>Fail</v>
      </c>
      <c r="AD457" s="1" t="str">
        <f>IF(AND(Table1[[#This Row],[Spec Type2]]="N/A",Table1[[#This Row],[DUT Adj Read]]="N/A",Table1[[#This Row],[Std Adj Read]]="N/A"),"N/A",IF(Table1[[#This Row],[DUT Adj Read]]="N/A",IF(Table1[[#This Row],[Std Adj Read]]&gt;Table1[[#This Row],[Low Tol]],"Pass","Fail"),IF(Table1[[#This Row],[DUT Adj Read]]&gt;Table1[[#This Row],[Low Tol]],"Pass","Fail")))</f>
        <v>Pass</v>
      </c>
      <c r="AE457" s="1" t="str">
        <f>IF(AND(Table1[[#This Row],[Spec Type2]]="N/A",Table1[[#This Row],[DUT Adj Read]]="N/A",Table1[[#This Row],[Std Adj Read]]="N/A"),"N/A",IF(Table1[[#This Row],[DUT Adj Read]]="N/A",IF(Table1[[#This Row],[Std Adj Read]]&lt;Table1[[#This Row],[High Tol]],"Pass","Fail"),IF(Table1[[#This Row],[DUT Adj Read]]&lt;Table1[[#This Row],[High Tol]],"Pass","Fail")))</f>
        <v>Fail</v>
      </c>
      <c r="AF457" s="1" t="str">
        <f>IF(AND(Table1[[#This Row],[Spec Type2]]="N/A",Table1[[#This Row],[DUT Adj Read]]="N/A",Table1[[#This Row],[Std Adj Read]]="N/A"),"N/A",IF(Table1[[#This Row],[DUT Adj Read]]="N/A",IF(Table1[[#This Row],[Std Adj Read]]&gt;=Table1[[#This Row],[Low Tol]],"Pass","Fail"),IF(Table1[[#This Row],[DUT Adj Read]]&gt;=Table1[[#This Row],[Low Tol]],"Pass","Fail")))</f>
        <v>Pass</v>
      </c>
      <c r="AG457" s="1" t="str">
        <f>IF(AND(Table1[[#This Row],[Spec Type2]]="N/A",Table1[[#This Row],[DUT Adj Read]]="N/A",Table1[[#This Row],[Std Adj Read]]="N/A"),"N/A",IF(Table1[[#This Row],[DUT Adj Read]]="N/A",IF(Table1[[#This Row],[Std Adj Read]]&lt;=Table1[[#This Row],[High Tol]],"Pass","Fail"),IF(Table1[[#This Row],[DUT Adj Read]]&lt;=Table1[[#This Row],[High Tol]],"Pass","Fail")))</f>
        <v>Fail</v>
      </c>
      <c r="AH4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7" s="1" t="b">
        <v>0</v>
      </c>
      <c r="AN457" s="1" t="b">
        <v>0</v>
      </c>
      <c r="AO457" s="1" t="b">
        <v>0</v>
      </c>
    </row>
    <row r="458" spans="1:41" x14ac:dyDescent="0.25">
      <c r="A458" s="10"/>
      <c r="B458" s="10"/>
      <c r="C458" s="10"/>
      <c r="D458" s="10"/>
      <c r="E458" s="10"/>
      <c r="F458" s="10"/>
      <c r="G458" s="10"/>
      <c r="H458" s="10"/>
      <c r="I458" s="1" t="str">
        <f t="shared" si="18"/>
        <v/>
      </c>
      <c r="J458" s="1" t="s">
        <v>35</v>
      </c>
      <c r="K458" s="1" t="str">
        <f t="shared" si="19"/>
        <v/>
      </c>
      <c r="L458" s="1" t="str">
        <f t="shared" si="20"/>
        <v/>
      </c>
      <c r="M458" s="1">
        <f>IF(OR(Table1[[#This Row],[Std Nom]]="",Table1[[#This Row],[Std Read]]=""),0,Table1[[#This Row],[Std Nom]]-Table1[[#This Row],[Std Read]])</f>
        <v>0</v>
      </c>
      <c r="N458" s="1">
        <f>IF(Calculations!$F$5="ACCREDITED 17025 WITH UNCERTAINTIES",$N$10,0)</f>
        <v>0</v>
      </c>
      <c r="Q458" s="1">
        <f>Table1[[#This Row],[High Tol]]-Table1[[#This Row],[Low Tol]]</f>
        <v>0</v>
      </c>
      <c r="R458" s="1">
        <f>2*Table1[[#This Row],[Std Error]]</f>
        <v>0</v>
      </c>
      <c r="S458" s="1" t="str">
        <f>IF(Table1[[#This Row],[High Tol]]="","N/A",IFERROR(ABS(Table1[[#This Row],[Tol Span]]/Table1[[#This Row],[Error Span]]),"N/A"))</f>
        <v>N/A</v>
      </c>
      <c r="T458" s="1" t="str">
        <f>IF(OR(Table1[[#This Row],[Low Tol]]="",Table1[[#This Row],[High Tol]]=""),"Needs Analysis",IF(Table1[[#This Row],[Ratio]]&gt;=4,"Not Significant",IF(Table1[[#This Row],[Ratio]]&gt;=2,"Semi-Significant","Significant")))</f>
        <v>Needs Analysis</v>
      </c>
      <c r="W458" s="1">
        <f>IF(Table1[[#This Row],[Cal Type]]&lt;&gt;"ACCREDITED 17025 WITH UNCERTAINTIES",0,"")</f>
        <v>0</v>
      </c>
      <c r="X458" s="1" t="str">
        <f>IF(Table1[[#This Row],[DUT Read]]="","N/A",Table1[[#This Row],[Std Error]]+Table1[[#This Row],[DUT Read]]+Table1[[#This Row],[DUT Ucty]])</f>
        <v>N/A</v>
      </c>
      <c r="Y458" s="1" t="str">
        <f>IF(Table1[[#This Row],[Std Read]]="","N/A",Table1[[#This Row],[Std Read]]+Table1[[#This Row],[Std Ucty]])</f>
        <v>N/A</v>
      </c>
      <c r="Z4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8" s="1" t="str">
        <f>IF(Table1[[#This Row],[Spec Type]]="","N/A",Table1[[#This Row],[Spec Type]])</f>
        <v>±</v>
      </c>
      <c r="AC458" s="1" t="str">
        <f>IF(Table1[[#This Row],[Spec Type2]]="N/A","N/A",IF(AND(Table1[[#This Row],[DUT Adj Read]]&gt;=Table1[[#This Row],[Low Tol]],Table1[[#This Row],[DUT Adj Read]]&lt;=Table1[[#This Row],[High Tol]]),"Pass","Fail"))</f>
        <v>Fail</v>
      </c>
      <c r="AD458" s="1" t="str">
        <f>IF(AND(Table1[[#This Row],[Spec Type2]]="N/A",Table1[[#This Row],[DUT Adj Read]]="N/A",Table1[[#This Row],[Std Adj Read]]="N/A"),"N/A",IF(Table1[[#This Row],[DUT Adj Read]]="N/A",IF(Table1[[#This Row],[Std Adj Read]]&gt;Table1[[#This Row],[Low Tol]],"Pass","Fail"),IF(Table1[[#This Row],[DUT Adj Read]]&gt;Table1[[#This Row],[Low Tol]],"Pass","Fail")))</f>
        <v>Pass</v>
      </c>
      <c r="AE458" s="1" t="str">
        <f>IF(AND(Table1[[#This Row],[Spec Type2]]="N/A",Table1[[#This Row],[DUT Adj Read]]="N/A",Table1[[#This Row],[Std Adj Read]]="N/A"),"N/A",IF(Table1[[#This Row],[DUT Adj Read]]="N/A",IF(Table1[[#This Row],[Std Adj Read]]&lt;Table1[[#This Row],[High Tol]],"Pass","Fail"),IF(Table1[[#This Row],[DUT Adj Read]]&lt;Table1[[#This Row],[High Tol]],"Pass","Fail")))</f>
        <v>Fail</v>
      </c>
      <c r="AF458" s="1" t="str">
        <f>IF(AND(Table1[[#This Row],[Spec Type2]]="N/A",Table1[[#This Row],[DUT Adj Read]]="N/A",Table1[[#This Row],[Std Adj Read]]="N/A"),"N/A",IF(Table1[[#This Row],[DUT Adj Read]]="N/A",IF(Table1[[#This Row],[Std Adj Read]]&gt;=Table1[[#This Row],[Low Tol]],"Pass","Fail"),IF(Table1[[#This Row],[DUT Adj Read]]&gt;=Table1[[#This Row],[Low Tol]],"Pass","Fail")))</f>
        <v>Pass</v>
      </c>
      <c r="AG458" s="1" t="str">
        <f>IF(AND(Table1[[#This Row],[Spec Type2]]="N/A",Table1[[#This Row],[DUT Adj Read]]="N/A",Table1[[#This Row],[Std Adj Read]]="N/A"),"N/A",IF(Table1[[#This Row],[DUT Adj Read]]="N/A",IF(Table1[[#This Row],[Std Adj Read]]&lt;=Table1[[#This Row],[High Tol]],"Pass","Fail"),IF(Table1[[#This Row],[DUT Adj Read]]&lt;=Table1[[#This Row],[High Tol]],"Pass","Fail")))</f>
        <v>Fail</v>
      </c>
      <c r="AH4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8" s="1" t="b">
        <v>0</v>
      </c>
      <c r="AN458" s="1" t="b">
        <v>0</v>
      </c>
      <c r="AO458" s="1" t="b">
        <v>0</v>
      </c>
    </row>
    <row r="459" spans="1:41" x14ac:dyDescent="0.25">
      <c r="A459" s="10"/>
      <c r="B459" s="10"/>
      <c r="C459" s="10"/>
      <c r="D459" s="10"/>
      <c r="E459" s="10"/>
      <c r="F459" s="10"/>
      <c r="G459" s="10"/>
      <c r="H459" s="10"/>
      <c r="I459" s="1" t="str">
        <f t="shared" ref="I459:I522" si="21">IF($I$10="","",$I$10)</f>
        <v/>
      </c>
      <c r="J459" s="1" t="s">
        <v>35</v>
      </c>
      <c r="K459" s="1" t="str">
        <f t="shared" ref="K459:K522" si="22">IF($K$10="","",$K$10)</f>
        <v/>
      </c>
      <c r="L459" s="1" t="str">
        <f t="shared" ref="L459:L522" si="23">IF($L$10="","",$L$10)</f>
        <v/>
      </c>
      <c r="M459" s="1">
        <f>IF(OR(Table1[[#This Row],[Std Nom]]="",Table1[[#This Row],[Std Read]]=""),0,Table1[[#This Row],[Std Nom]]-Table1[[#This Row],[Std Read]])</f>
        <v>0</v>
      </c>
      <c r="N459" s="1">
        <f>IF(Calculations!$F$5="ACCREDITED 17025 WITH UNCERTAINTIES",$N$10,0)</f>
        <v>0</v>
      </c>
      <c r="Q459" s="1">
        <f>Table1[[#This Row],[High Tol]]-Table1[[#This Row],[Low Tol]]</f>
        <v>0</v>
      </c>
      <c r="R459" s="1">
        <f>2*Table1[[#This Row],[Std Error]]</f>
        <v>0</v>
      </c>
      <c r="S459" s="1" t="str">
        <f>IF(Table1[[#This Row],[High Tol]]="","N/A",IFERROR(ABS(Table1[[#This Row],[Tol Span]]/Table1[[#This Row],[Error Span]]),"N/A"))</f>
        <v>N/A</v>
      </c>
      <c r="T459" s="1" t="str">
        <f>IF(OR(Table1[[#This Row],[Low Tol]]="",Table1[[#This Row],[High Tol]]=""),"Needs Analysis",IF(Table1[[#This Row],[Ratio]]&gt;=4,"Not Significant",IF(Table1[[#This Row],[Ratio]]&gt;=2,"Semi-Significant","Significant")))</f>
        <v>Needs Analysis</v>
      </c>
      <c r="W459" s="1">
        <f>IF(Table1[[#This Row],[Cal Type]]&lt;&gt;"ACCREDITED 17025 WITH UNCERTAINTIES",0,"")</f>
        <v>0</v>
      </c>
      <c r="X459" s="1" t="str">
        <f>IF(Table1[[#This Row],[DUT Read]]="","N/A",Table1[[#This Row],[Std Error]]+Table1[[#This Row],[DUT Read]]+Table1[[#This Row],[DUT Ucty]])</f>
        <v>N/A</v>
      </c>
      <c r="Y459" s="1" t="str">
        <f>IF(Table1[[#This Row],[Std Read]]="","N/A",Table1[[#This Row],[Std Read]]+Table1[[#This Row],[Std Ucty]])</f>
        <v>N/A</v>
      </c>
      <c r="Z4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59" s="1" t="str">
        <f>IF(Table1[[#This Row],[Spec Type]]="","N/A",Table1[[#This Row],[Spec Type]])</f>
        <v>±</v>
      </c>
      <c r="AC459" s="1" t="str">
        <f>IF(Table1[[#This Row],[Spec Type2]]="N/A","N/A",IF(AND(Table1[[#This Row],[DUT Adj Read]]&gt;=Table1[[#This Row],[Low Tol]],Table1[[#This Row],[DUT Adj Read]]&lt;=Table1[[#This Row],[High Tol]]),"Pass","Fail"))</f>
        <v>Fail</v>
      </c>
      <c r="AD459" s="1" t="str">
        <f>IF(AND(Table1[[#This Row],[Spec Type2]]="N/A",Table1[[#This Row],[DUT Adj Read]]="N/A",Table1[[#This Row],[Std Adj Read]]="N/A"),"N/A",IF(Table1[[#This Row],[DUT Adj Read]]="N/A",IF(Table1[[#This Row],[Std Adj Read]]&gt;Table1[[#This Row],[Low Tol]],"Pass","Fail"),IF(Table1[[#This Row],[DUT Adj Read]]&gt;Table1[[#This Row],[Low Tol]],"Pass","Fail")))</f>
        <v>Pass</v>
      </c>
      <c r="AE459" s="1" t="str">
        <f>IF(AND(Table1[[#This Row],[Spec Type2]]="N/A",Table1[[#This Row],[DUT Adj Read]]="N/A",Table1[[#This Row],[Std Adj Read]]="N/A"),"N/A",IF(Table1[[#This Row],[DUT Adj Read]]="N/A",IF(Table1[[#This Row],[Std Adj Read]]&lt;Table1[[#This Row],[High Tol]],"Pass","Fail"),IF(Table1[[#This Row],[DUT Adj Read]]&lt;Table1[[#This Row],[High Tol]],"Pass","Fail")))</f>
        <v>Fail</v>
      </c>
      <c r="AF459" s="1" t="str">
        <f>IF(AND(Table1[[#This Row],[Spec Type2]]="N/A",Table1[[#This Row],[DUT Adj Read]]="N/A",Table1[[#This Row],[Std Adj Read]]="N/A"),"N/A",IF(Table1[[#This Row],[DUT Adj Read]]="N/A",IF(Table1[[#This Row],[Std Adj Read]]&gt;=Table1[[#This Row],[Low Tol]],"Pass","Fail"),IF(Table1[[#This Row],[DUT Adj Read]]&gt;=Table1[[#This Row],[Low Tol]],"Pass","Fail")))</f>
        <v>Pass</v>
      </c>
      <c r="AG459" s="1" t="str">
        <f>IF(AND(Table1[[#This Row],[Spec Type2]]="N/A",Table1[[#This Row],[DUT Adj Read]]="N/A",Table1[[#This Row],[Std Adj Read]]="N/A"),"N/A",IF(Table1[[#This Row],[DUT Adj Read]]="N/A",IF(Table1[[#This Row],[Std Adj Read]]&lt;=Table1[[#This Row],[High Tol]],"Pass","Fail"),IF(Table1[[#This Row],[DUT Adj Read]]&lt;=Table1[[#This Row],[High Tol]],"Pass","Fail")))</f>
        <v>Fail</v>
      </c>
      <c r="AH4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59" s="1" t="b">
        <v>0</v>
      </c>
      <c r="AN459" s="1" t="b">
        <v>0</v>
      </c>
      <c r="AO459" s="1" t="b">
        <v>0</v>
      </c>
    </row>
    <row r="460" spans="1:41" x14ac:dyDescent="0.25">
      <c r="A460" s="10"/>
      <c r="B460" s="10"/>
      <c r="C460" s="10"/>
      <c r="D460" s="10"/>
      <c r="E460" s="10"/>
      <c r="F460" s="10"/>
      <c r="G460" s="10"/>
      <c r="H460" s="10"/>
      <c r="I460" s="1" t="str">
        <f t="shared" si="21"/>
        <v/>
      </c>
      <c r="J460" s="1" t="s">
        <v>35</v>
      </c>
      <c r="K460" s="1" t="str">
        <f t="shared" si="22"/>
        <v/>
      </c>
      <c r="L460" s="1" t="str">
        <f t="shared" si="23"/>
        <v/>
      </c>
      <c r="M460" s="1">
        <f>IF(OR(Table1[[#This Row],[Std Nom]]="",Table1[[#This Row],[Std Read]]=""),0,Table1[[#This Row],[Std Nom]]-Table1[[#This Row],[Std Read]])</f>
        <v>0</v>
      </c>
      <c r="N460" s="1">
        <f>IF(Calculations!$F$5="ACCREDITED 17025 WITH UNCERTAINTIES",$N$10,0)</f>
        <v>0</v>
      </c>
      <c r="Q460" s="1">
        <f>Table1[[#This Row],[High Tol]]-Table1[[#This Row],[Low Tol]]</f>
        <v>0</v>
      </c>
      <c r="R460" s="1">
        <f>2*Table1[[#This Row],[Std Error]]</f>
        <v>0</v>
      </c>
      <c r="S460" s="1" t="str">
        <f>IF(Table1[[#This Row],[High Tol]]="","N/A",IFERROR(ABS(Table1[[#This Row],[Tol Span]]/Table1[[#This Row],[Error Span]]),"N/A"))</f>
        <v>N/A</v>
      </c>
      <c r="T460" s="1" t="str">
        <f>IF(OR(Table1[[#This Row],[Low Tol]]="",Table1[[#This Row],[High Tol]]=""),"Needs Analysis",IF(Table1[[#This Row],[Ratio]]&gt;=4,"Not Significant",IF(Table1[[#This Row],[Ratio]]&gt;=2,"Semi-Significant","Significant")))</f>
        <v>Needs Analysis</v>
      </c>
      <c r="W460" s="1">
        <f>IF(Table1[[#This Row],[Cal Type]]&lt;&gt;"ACCREDITED 17025 WITH UNCERTAINTIES",0,"")</f>
        <v>0</v>
      </c>
      <c r="X460" s="1" t="str">
        <f>IF(Table1[[#This Row],[DUT Read]]="","N/A",Table1[[#This Row],[Std Error]]+Table1[[#This Row],[DUT Read]]+Table1[[#This Row],[DUT Ucty]])</f>
        <v>N/A</v>
      </c>
      <c r="Y460" s="1" t="str">
        <f>IF(Table1[[#This Row],[Std Read]]="","N/A",Table1[[#This Row],[Std Read]]+Table1[[#This Row],[Std Ucty]])</f>
        <v>N/A</v>
      </c>
      <c r="Z4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0" s="1" t="str">
        <f>IF(Table1[[#This Row],[Spec Type]]="","N/A",Table1[[#This Row],[Spec Type]])</f>
        <v>±</v>
      </c>
      <c r="AC460" s="1" t="str">
        <f>IF(Table1[[#This Row],[Spec Type2]]="N/A","N/A",IF(AND(Table1[[#This Row],[DUT Adj Read]]&gt;=Table1[[#This Row],[Low Tol]],Table1[[#This Row],[DUT Adj Read]]&lt;=Table1[[#This Row],[High Tol]]),"Pass","Fail"))</f>
        <v>Fail</v>
      </c>
      <c r="AD460" s="1" t="str">
        <f>IF(AND(Table1[[#This Row],[Spec Type2]]="N/A",Table1[[#This Row],[DUT Adj Read]]="N/A",Table1[[#This Row],[Std Adj Read]]="N/A"),"N/A",IF(Table1[[#This Row],[DUT Adj Read]]="N/A",IF(Table1[[#This Row],[Std Adj Read]]&gt;Table1[[#This Row],[Low Tol]],"Pass","Fail"),IF(Table1[[#This Row],[DUT Adj Read]]&gt;Table1[[#This Row],[Low Tol]],"Pass","Fail")))</f>
        <v>Pass</v>
      </c>
      <c r="AE460" s="1" t="str">
        <f>IF(AND(Table1[[#This Row],[Spec Type2]]="N/A",Table1[[#This Row],[DUT Adj Read]]="N/A",Table1[[#This Row],[Std Adj Read]]="N/A"),"N/A",IF(Table1[[#This Row],[DUT Adj Read]]="N/A",IF(Table1[[#This Row],[Std Adj Read]]&lt;Table1[[#This Row],[High Tol]],"Pass","Fail"),IF(Table1[[#This Row],[DUT Adj Read]]&lt;Table1[[#This Row],[High Tol]],"Pass","Fail")))</f>
        <v>Fail</v>
      </c>
      <c r="AF460" s="1" t="str">
        <f>IF(AND(Table1[[#This Row],[Spec Type2]]="N/A",Table1[[#This Row],[DUT Adj Read]]="N/A",Table1[[#This Row],[Std Adj Read]]="N/A"),"N/A",IF(Table1[[#This Row],[DUT Adj Read]]="N/A",IF(Table1[[#This Row],[Std Adj Read]]&gt;=Table1[[#This Row],[Low Tol]],"Pass","Fail"),IF(Table1[[#This Row],[DUT Adj Read]]&gt;=Table1[[#This Row],[Low Tol]],"Pass","Fail")))</f>
        <v>Pass</v>
      </c>
      <c r="AG460" s="1" t="str">
        <f>IF(AND(Table1[[#This Row],[Spec Type2]]="N/A",Table1[[#This Row],[DUT Adj Read]]="N/A",Table1[[#This Row],[Std Adj Read]]="N/A"),"N/A",IF(Table1[[#This Row],[DUT Adj Read]]="N/A",IF(Table1[[#This Row],[Std Adj Read]]&lt;=Table1[[#This Row],[High Tol]],"Pass","Fail"),IF(Table1[[#This Row],[DUT Adj Read]]&lt;=Table1[[#This Row],[High Tol]],"Pass","Fail")))</f>
        <v>Fail</v>
      </c>
      <c r="AH4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0" s="1" t="b">
        <v>0</v>
      </c>
      <c r="AN460" s="1" t="b">
        <v>0</v>
      </c>
      <c r="AO460" s="1" t="b">
        <v>0</v>
      </c>
    </row>
    <row r="461" spans="1:41" x14ac:dyDescent="0.25">
      <c r="A461" s="10"/>
      <c r="B461" s="10"/>
      <c r="C461" s="10"/>
      <c r="D461" s="10"/>
      <c r="E461" s="10"/>
      <c r="F461" s="10"/>
      <c r="G461" s="10"/>
      <c r="H461" s="10"/>
      <c r="I461" s="1" t="str">
        <f t="shared" si="21"/>
        <v/>
      </c>
      <c r="J461" s="1" t="s">
        <v>35</v>
      </c>
      <c r="K461" s="1" t="str">
        <f t="shared" si="22"/>
        <v/>
      </c>
      <c r="L461" s="1" t="str">
        <f t="shared" si="23"/>
        <v/>
      </c>
      <c r="M461" s="1">
        <f>IF(OR(Table1[[#This Row],[Std Nom]]="",Table1[[#This Row],[Std Read]]=""),0,Table1[[#This Row],[Std Nom]]-Table1[[#This Row],[Std Read]])</f>
        <v>0</v>
      </c>
      <c r="N461" s="1">
        <f>IF(Calculations!$F$5="ACCREDITED 17025 WITH UNCERTAINTIES",$N$10,0)</f>
        <v>0</v>
      </c>
      <c r="Q461" s="1">
        <f>Table1[[#This Row],[High Tol]]-Table1[[#This Row],[Low Tol]]</f>
        <v>0</v>
      </c>
      <c r="R461" s="1">
        <f>2*Table1[[#This Row],[Std Error]]</f>
        <v>0</v>
      </c>
      <c r="S461" s="1" t="str">
        <f>IF(Table1[[#This Row],[High Tol]]="","N/A",IFERROR(ABS(Table1[[#This Row],[Tol Span]]/Table1[[#This Row],[Error Span]]),"N/A"))</f>
        <v>N/A</v>
      </c>
      <c r="T461" s="1" t="str">
        <f>IF(OR(Table1[[#This Row],[Low Tol]]="",Table1[[#This Row],[High Tol]]=""),"Needs Analysis",IF(Table1[[#This Row],[Ratio]]&gt;=4,"Not Significant",IF(Table1[[#This Row],[Ratio]]&gt;=2,"Semi-Significant","Significant")))</f>
        <v>Needs Analysis</v>
      </c>
      <c r="W461" s="1">
        <f>IF(Table1[[#This Row],[Cal Type]]&lt;&gt;"ACCREDITED 17025 WITH UNCERTAINTIES",0,"")</f>
        <v>0</v>
      </c>
      <c r="X461" s="1" t="str">
        <f>IF(Table1[[#This Row],[DUT Read]]="","N/A",Table1[[#This Row],[Std Error]]+Table1[[#This Row],[DUT Read]]+Table1[[#This Row],[DUT Ucty]])</f>
        <v>N/A</v>
      </c>
      <c r="Y461" s="1" t="str">
        <f>IF(Table1[[#This Row],[Std Read]]="","N/A",Table1[[#This Row],[Std Read]]+Table1[[#This Row],[Std Ucty]])</f>
        <v>N/A</v>
      </c>
      <c r="Z4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1" s="1" t="str">
        <f>IF(Table1[[#This Row],[Spec Type]]="","N/A",Table1[[#This Row],[Spec Type]])</f>
        <v>±</v>
      </c>
      <c r="AC461" s="1" t="str">
        <f>IF(Table1[[#This Row],[Spec Type2]]="N/A","N/A",IF(AND(Table1[[#This Row],[DUT Adj Read]]&gt;=Table1[[#This Row],[Low Tol]],Table1[[#This Row],[DUT Adj Read]]&lt;=Table1[[#This Row],[High Tol]]),"Pass","Fail"))</f>
        <v>Fail</v>
      </c>
      <c r="AD461" s="1" t="str">
        <f>IF(AND(Table1[[#This Row],[Spec Type2]]="N/A",Table1[[#This Row],[DUT Adj Read]]="N/A",Table1[[#This Row],[Std Adj Read]]="N/A"),"N/A",IF(Table1[[#This Row],[DUT Adj Read]]="N/A",IF(Table1[[#This Row],[Std Adj Read]]&gt;Table1[[#This Row],[Low Tol]],"Pass","Fail"),IF(Table1[[#This Row],[DUT Adj Read]]&gt;Table1[[#This Row],[Low Tol]],"Pass","Fail")))</f>
        <v>Pass</v>
      </c>
      <c r="AE461" s="1" t="str">
        <f>IF(AND(Table1[[#This Row],[Spec Type2]]="N/A",Table1[[#This Row],[DUT Adj Read]]="N/A",Table1[[#This Row],[Std Adj Read]]="N/A"),"N/A",IF(Table1[[#This Row],[DUT Adj Read]]="N/A",IF(Table1[[#This Row],[Std Adj Read]]&lt;Table1[[#This Row],[High Tol]],"Pass","Fail"),IF(Table1[[#This Row],[DUT Adj Read]]&lt;Table1[[#This Row],[High Tol]],"Pass","Fail")))</f>
        <v>Fail</v>
      </c>
      <c r="AF461" s="1" t="str">
        <f>IF(AND(Table1[[#This Row],[Spec Type2]]="N/A",Table1[[#This Row],[DUT Adj Read]]="N/A",Table1[[#This Row],[Std Adj Read]]="N/A"),"N/A",IF(Table1[[#This Row],[DUT Adj Read]]="N/A",IF(Table1[[#This Row],[Std Adj Read]]&gt;=Table1[[#This Row],[Low Tol]],"Pass","Fail"),IF(Table1[[#This Row],[DUT Adj Read]]&gt;=Table1[[#This Row],[Low Tol]],"Pass","Fail")))</f>
        <v>Pass</v>
      </c>
      <c r="AG461" s="1" t="str">
        <f>IF(AND(Table1[[#This Row],[Spec Type2]]="N/A",Table1[[#This Row],[DUT Adj Read]]="N/A",Table1[[#This Row],[Std Adj Read]]="N/A"),"N/A",IF(Table1[[#This Row],[DUT Adj Read]]="N/A",IF(Table1[[#This Row],[Std Adj Read]]&lt;=Table1[[#This Row],[High Tol]],"Pass","Fail"),IF(Table1[[#This Row],[DUT Adj Read]]&lt;=Table1[[#This Row],[High Tol]],"Pass","Fail")))</f>
        <v>Fail</v>
      </c>
      <c r="AH4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1" s="1" t="b">
        <v>0</v>
      </c>
      <c r="AN461" s="1" t="b">
        <v>0</v>
      </c>
      <c r="AO461" s="1" t="b">
        <v>0</v>
      </c>
    </row>
    <row r="462" spans="1:41" x14ac:dyDescent="0.25">
      <c r="A462" s="10"/>
      <c r="B462" s="10"/>
      <c r="C462" s="10"/>
      <c r="D462" s="10"/>
      <c r="E462" s="10"/>
      <c r="F462" s="10"/>
      <c r="G462" s="10"/>
      <c r="H462" s="10"/>
      <c r="I462" s="1" t="str">
        <f t="shared" si="21"/>
        <v/>
      </c>
      <c r="J462" s="1" t="s">
        <v>35</v>
      </c>
      <c r="K462" s="1" t="str">
        <f t="shared" si="22"/>
        <v/>
      </c>
      <c r="L462" s="1" t="str">
        <f t="shared" si="23"/>
        <v/>
      </c>
      <c r="M462" s="1">
        <f>IF(OR(Table1[[#This Row],[Std Nom]]="",Table1[[#This Row],[Std Read]]=""),0,Table1[[#This Row],[Std Nom]]-Table1[[#This Row],[Std Read]])</f>
        <v>0</v>
      </c>
      <c r="N462" s="1">
        <f>IF(Calculations!$F$5="ACCREDITED 17025 WITH UNCERTAINTIES",$N$10,0)</f>
        <v>0</v>
      </c>
      <c r="Q462" s="1">
        <f>Table1[[#This Row],[High Tol]]-Table1[[#This Row],[Low Tol]]</f>
        <v>0</v>
      </c>
      <c r="R462" s="1">
        <f>2*Table1[[#This Row],[Std Error]]</f>
        <v>0</v>
      </c>
      <c r="S462" s="1" t="str">
        <f>IF(Table1[[#This Row],[High Tol]]="","N/A",IFERROR(ABS(Table1[[#This Row],[Tol Span]]/Table1[[#This Row],[Error Span]]),"N/A"))</f>
        <v>N/A</v>
      </c>
      <c r="T462" s="1" t="str">
        <f>IF(OR(Table1[[#This Row],[Low Tol]]="",Table1[[#This Row],[High Tol]]=""),"Needs Analysis",IF(Table1[[#This Row],[Ratio]]&gt;=4,"Not Significant",IF(Table1[[#This Row],[Ratio]]&gt;=2,"Semi-Significant","Significant")))</f>
        <v>Needs Analysis</v>
      </c>
      <c r="W462" s="1">
        <f>IF(Table1[[#This Row],[Cal Type]]&lt;&gt;"ACCREDITED 17025 WITH UNCERTAINTIES",0,"")</f>
        <v>0</v>
      </c>
      <c r="X462" s="1" t="str">
        <f>IF(Table1[[#This Row],[DUT Read]]="","N/A",Table1[[#This Row],[Std Error]]+Table1[[#This Row],[DUT Read]]+Table1[[#This Row],[DUT Ucty]])</f>
        <v>N/A</v>
      </c>
      <c r="Y462" s="1" t="str">
        <f>IF(Table1[[#This Row],[Std Read]]="","N/A",Table1[[#This Row],[Std Read]]+Table1[[#This Row],[Std Ucty]])</f>
        <v>N/A</v>
      </c>
      <c r="Z4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2" s="1" t="str">
        <f>IF(Table1[[#This Row],[Spec Type]]="","N/A",Table1[[#This Row],[Spec Type]])</f>
        <v>±</v>
      </c>
      <c r="AC462" s="1" t="str">
        <f>IF(Table1[[#This Row],[Spec Type2]]="N/A","N/A",IF(AND(Table1[[#This Row],[DUT Adj Read]]&gt;=Table1[[#This Row],[Low Tol]],Table1[[#This Row],[DUT Adj Read]]&lt;=Table1[[#This Row],[High Tol]]),"Pass","Fail"))</f>
        <v>Fail</v>
      </c>
      <c r="AD462" s="1" t="str">
        <f>IF(AND(Table1[[#This Row],[Spec Type2]]="N/A",Table1[[#This Row],[DUT Adj Read]]="N/A",Table1[[#This Row],[Std Adj Read]]="N/A"),"N/A",IF(Table1[[#This Row],[DUT Adj Read]]="N/A",IF(Table1[[#This Row],[Std Adj Read]]&gt;Table1[[#This Row],[Low Tol]],"Pass","Fail"),IF(Table1[[#This Row],[DUT Adj Read]]&gt;Table1[[#This Row],[Low Tol]],"Pass","Fail")))</f>
        <v>Pass</v>
      </c>
      <c r="AE462" s="1" t="str">
        <f>IF(AND(Table1[[#This Row],[Spec Type2]]="N/A",Table1[[#This Row],[DUT Adj Read]]="N/A",Table1[[#This Row],[Std Adj Read]]="N/A"),"N/A",IF(Table1[[#This Row],[DUT Adj Read]]="N/A",IF(Table1[[#This Row],[Std Adj Read]]&lt;Table1[[#This Row],[High Tol]],"Pass","Fail"),IF(Table1[[#This Row],[DUT Adj Read]]&lt;Table1[[#This Row],[High Tol]],"Pass","Fail")))</f>
        <v>Fail</v>
      </c>
      <c r="AF462" s="1" t="str">
        <f>IF(AND(Table1[[#This Row],[Spec Type2]]="N/A",Table1[[#This Row],[DUT Adj Read]]="N/A",Table1[[#This Row],[Std Adj Read]]="N/A"),"N/A",IF(Table1[[#This Row],[DUT Adj Read]]="N/A",IF(Table1[[#This Row],[Std Adj Read]]&gt;=Table1[[#This Row],[Low Tol]],"Pass","Fail"),IF(Table1[[#This Row],[DUT Adj Read]]&gt;=Table1[[#This Row],[Low Tol]],"Pass","Fail")))</f>
        <v>Pass</v>
      </c>
      <c r="AG462" s="1" t="str">
        <f>IF(AND(Table1[[#This Row],[Spec Type2]]="N/A",Table1[[#This Row],[DUT Adj Read]]="N/A",Table1[[#This Row],[Std Adj Read]]="N/A"),"N/A",IF(Table1[[#This Row],[DUT Adj Read]]="N/A",IF(Table1[[#This Row],[Std Adj Read]]&lt;=Table1[[#This Row],[High Tol]],"Pass","Fail"),IF(Table1[[#This Row],[DUT Adj Read]]&lt;=Table1[[#This Row],[High Tol]],"Pass","Fail")))</f>
        <v>Fail</v>
      </c>
      <c r="AH4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2" s="1" t="b">
        <v>0</v>
      </c>
      <c r="AN462" s="1" t="b">
        <v>0</v>
      </c>
      <c r="AO462" s="1" t="b">
        <v>0</v>
      </c>
    </row>
    <row r="463" spans="1:41" x14ac:dyDescent="0.25">
      <c r="A463" s="10"/>
      <c r="B463" s="10"/>
      <c r="C463" s="10"/>
      <c r="D463" s="10"/>
      <c r="E463" s="10"/>
      <c r="F463" s="10"/>
      <c r="G463" s="10"/>
      <c r="H463" s="10"/>
      <c r="I463" s="1" t="str">
        <f t="shared" si="21"/>
        <v/>
      </c>
      <c r="J463" s="1" t="s">
        <v>35</v>
      </c>
      <c r="K463" s="1" t="str">
        <f t="shared" si="22"/>
        <v/>
      </c>
      <c r="L463" s="1" t="str">
        <f t="shared" si="23"/>
        <v/>
      </c>
      <c r="M463" s="1">
        <f>IF(OR(Table1[[#This Row],[Std Nom]]="",Table1[[#This Row],[Std Read]]=""),0,Table1[[#This Row],[Std Nom]]-Table1[[#This Row],[Std Read]])</f>
        <v>0</v>
      </c>
      <c r="N463" s="1">
        <f>IF(Calculations!$F$5="ACCREDITED 17025 WITH UNCERTAINTIES",$N$10,0)</f>
        <v>0</v>
      </c>
      <c r="Q463" s="1">
        <f>Table1[[#This Row],[High Tol]]-Table1[[#This Row],[Low Tol]]</f>
        <v>0</v>
      </c>
      <c r="R463" s="1">
        <f>2*Table1[[#This Row],[Std Error]]</f>
        <v>0</v>
      </c>
      <c r="S463" s="1" t="str">
        <f>IF(Table1[[#This Row],[High Tol]]="","N/A",IFERROR(ABS(Table1[[#This Row],[Tol Span]]/Table1[[#This Row],[Error Span]]),"N/A"))</f>
        <v>N/A</v>
      </c>
      <c r="T463" s="1" t="str">
        <f>IF(OR(Table1[[#This Row],[Low Tol]]="",Table1[[#This Row],[High Tol]]=""),"Needs Analysis",IF(Table1[[#This Row],[Ratio]]&gt;=4,"Not Significant",IF(Table1[[#This Row],[Ratio]]&gt;=2,"Semi-Significant","Significant")))</f>
        <v>Needs Analysis</v>
      </c>
      <c r="W463" s="1">
        <f>IF(Table1[[#This Row],[Cal Type]]&lt;&gt;"ACCREDITED 17025 WITH UNCERTAINTIES",0,"")</f>
        <v>0</v>
      </c>
      <c r="X463" s="1" t="str">
        <f>IF(Table1[[#This Row],[DUT Read]]="","N/A",Table1[[#This Row],[Std Error]]+Table1[[#This Row],[DUT Read]]+Table1[[#This Row],[DUT Ucty]])</f>
        <v>N/A</v>
      </c>
      <c r="Y463" s="1" t="str">
        <f>IF(Table1[[#This Row],[Std Read]]="","N/A",Table1[[#This Row],[Std Read]]+Table1[[#This Row],[Std Ucty]])</f>
        <v>N/A</v>
      </c>
      <c r="Z4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3" s="1" t="str">
        <f>IF(Table1[[#This Row],[Spec Type]]="","N/A",Table1[[#This Row],[Spec Type]])</f>
        <v>±</v>
      </c>
      <c r="AC463" s="1" t="str">
        <f>IF(Table1[[#This Row],[Spec Type2]]="N/A","N/A",IF(AND(Table1[[#This Row],[DUT Adj Read]]&gt;=Table1[[#This Row],[Low Tol]],Table1[[#This Row],[DUT Adj Read]]&lt;=Table1[[#This Row],[High Tol]]),"Pass","Fail"))</f>
        <v>Fail</v>
      </c>
      <c r="AD463" s="1" t="str">
        <f>IF(AND(Table1[[#This Row],[Spec Type2]]="N/A",Table1[[#This Row],[DUT Adj Read]]="N/A",Table1[[#This Row],[Std Adj Read]]="N/A"),"N/A",IF(Table1[[#This Row],[DUT Adj Read]]="N/A",IF(Table1[[#This Row],[Std Adj Read]]&gt;Table1[[#This Row],[Low Tol]],"Pass","Fail"),IF(Table1[[#This Row],[DUT Adj Read]]&gt;Table1[[#This Row],[Low Tol]],"Pass","Fail")))</f>
        <v>Pass</v>
      </c>
      <c r="AE463" s="1" t="str">
        <f>IF(AND(Table1[[#This Row],[Spec Type2]]="N/A",Table1[[#This Row],[DUT Adj Read]]="N/A",Table1[[#This Row],[Std Adj Read]]="N/A"),"N/A",IF(Table1[[#This Row],[DUT Adj Read]]="N/A",IF(Table1[[#This Row],[Std Adj Read]]&lt;Table1[[#This Row],[High Tol]],"Pass","Fail"),IF(Table1[[#This Row],[DUT Adj Read]]&lt;Table1[[#This Row],[High Tol]],"Pass","Fail")))</f>
        <v>Fail</v>
      </c>
      <c r="AF463" s="1" t="str">
        <f>IF(AND(Table1[[#This Row],[Spec Type2]]="N/A",Table1[[#This Row],[DUT Adj Read]]="N/A",Table1[[#This Row],[Std Adj Read]]="N/A"),"N/A",IF(Table1[[#This Row],[DUT Adj Read]]="N/A",IF(Table1[[#This Row],[Std Adj Read]]&gt;=Table1[[#This Row],[Low Tol]],"Pass","Fail"),IF(Table1[[#This Row],[DUT Adj Read]]&gt;=Table1[[#This Row],[Low Tol]],"Pass","Fail")))</f>
        <v>Pass</v>
      </c>
      <c r="AG463" s="1" t="str">
        <f>IF(AND(Table1[[#This Row],[Spec Type2]]="N/A",Table1[[#This Row],[DUT Adj Read]]="N/A",Table1[[#This Row],[Std Adj Read]]="N/A"),"N/A",IF(Table1[[#This Row],[DUT Adj Read]]="N/A",IF(Table1[[#This Row],[Std Adj Read]]&lt;=Table1[[#This Row],[High Tol]],"Pass","Fail"),IF(Table1[[#This Row],[DUT Adj Read]]&lt;=Table1[[#This Row],[High Tol]],"Pass","Fail")))</f>
        <v>Fail</v>
      </c>
      <c r="AH4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3" s="1" t="b">
        <v>0</v>
      </c>
      <c r="AN463" s="1" t="b">
        <v>0</v>
      </c>
      <c r="AO463" s="1" t="b">
        <v>0</v>
      </c>
    </row>
    <row r="464" spans="1:41" x14ac:dyDescent="0.25">
      <c r="A464" s="10"/>
      <c r="B464" s="10"/>
      <c r="C464" s="10"/>
      <c r="D464" s="10"/>
      <c r="E464" s="10"/>
      <c r="F464" s="10"/>
      <c r="G464" s="10"/>
      <c r="H464" s="10"/>
      <c r="I464" s="1" t="str">
        <f t="shared" si="21"/>
        <v/>
      </c>
      <c r="J464" s="1" t="s">
        <v>35</v>
      </c>
      <c r="K464" s="1" t="str">
        <f t="shared" si="22"/>
        <v/>
      </c>
      <c r="L464" s="1" t="str">
        <f t="shared" si="23"/>
        <v/>
      </c>
      <c r="M464" s="1">
        <f>IF(OR(Table1[[#This Row],[Std Nom]]="",Table1[[#This Row],[Std Read]]=""),0,Table1[[#This Row],[Std Nom]]-Table1[[#This Row],[Std Read]])</f>
        <v>0</v>
      </c>
      <c r="N464" s="1">
        <f>IF(Calculations!$F$5="ACCREDITED 17025 WITH UNCERTAINTIES",$N$10,0)</f>
        <v>0</v>
      </c>
      <c r="Q464" s="1">
        <f>Table1[[#This Row],[High Tol]]-Table1[[#This Row],[Low Tol]]</f>
        <v>0</v>
      </c>
      <c r="R464" s="1">
        <f>2*Table1[[#This Row],[Std Error]]</f>
        <v>0</v>
      </c>
      <c r="S464" s="1" t="str">
        <f>IF(Table1[[#This Row],[High Tol]]="","N/A",IFERROR(ABS(Table1[[#This Row],[Tol Span]]/Table1[[#This Row],[Error Span]]),"N/A"))</f>
        <v>N/A</v>
      </c>
      <c r="T464" s="1" t="str">
        <f>IF(OR(Table1[[#This Row],[Low Tol]]="",Table1[[#This Row],[High Tol]]=""),"Needs Analysis",IF(Table1[[#This Row],[Ratio]]&gt;=4,"Not Significant",IF(Table1[[#This Row],[Ratio]]&gt;=2,"Semi-Significant","Significant")))</f>
        <v>Needs Analysis</v>
      </c>
      <c r="W464" s="1">
        <f>IF(Table1[[#This Row],[Cal Type]]&lt;&gt;"ACCREDITED 17025 WITH UNCERTAINTIES",0,"")</f>
        <v>0</v>
      </c>
      <c r="X464" s="1" t="str">
        <f>IF(Table1[[#This Row],[DUT Read]]="","N/A",Table1[[#This Row],[Std Error]]+Table1[[#This Row],[DUT Read]]+Table1[[#This Row],[DUT Ucty]])</f>
        <v>N/A</v>
      </c>
      <c r="Y464" s="1" t="str">
        <f>IF(Table1[[#This Row],[Std Read]]="","N/A",Table1[[#This Row],[Std Read]]+Table1[[#This Row],[Std Ucty]])</f>
        <v>N/A</v>
      </c>
      <c r="Z4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4" s="1" t="str">
        <f>IF(Table1[[#This Row],[Spec Type]]="","N/A",Table1[[#This Row],[Spec Type]])</f>
        <v>±</v>
      </c>
      <c r="AC464" s="1" t="str">
        <f>IF(Table1[[#This Row],[Spec Type2]]="N/A","N/A",IF(AND(Table1[[#This Row],[DUT Adj Read]]&gt;=Table1[[#This Row],[Low Tol]],Table1[[#This Row],[DUT Adj Read]]&lt;=Table1[[#This Row],[High Tol]]),"Pass","Fail"))</f>
        <v>Fail</v>
      </c>
      <c r="AD464" s="1" t="str">
        <f>IF(AND(Table1[[#This Row],[Spec Type2]]="N/A",Table1[[#This Row],[DUT Adj Read]]="N/A",Table1[[#This Row],[Std Adj Read]]="N/A"),"N/A",IF(Table1[[#This Row],[DUT Adj Read]]="N/A",IF(Table1[[#This Row],[Std Adj Read]]&gt;Table1[[#This Row],[Low Tol]],"Pass","Fail"),IF(Table1[[#This Row],[DUT Adj Read]]&gt;Table1[[#This Row],[Low Tol]],"Pass","Fail")))</f>
        <v>Pass</v>
      </c>
      <c r="AE464" s="1" t="str">
        <f>IF(AND(Table1[[#This Row],[Spec Type2]]="N/A",Table1[[#This Row],[DUT Adj Read]]="N/A",Table1[[#This Row],[Std Adj Read]]="N/A"),"N/A",IF(Table1[[#This Row],[DUT Adj Read]]="N/A",IF(Table1[[#This Row],[Std Adj Read]]&lt;Table1[[#This Row],[High Tol]],"Pass","Fail"),IF(Table1[[#This Row],[DUT Adj Read]]&lt;Table1[[#This Row],[High Tol]],"Pass","Fail")))</f>
        <v>Fail</v>
      </c>
      <c r="AF464" s="1" t="str">
        <f>IF(AND(Table1[[#This Row],[Spec Type2]]="N/A",Table1[[#This Row],[DUT Adj Read]]="N/A",Table1[[#This Row],[Std Adj Read]]="N/A"),"N/A",IF(Table1[[#This Row],[DUT Adj Read]]="N/A",IF(Table1[[#This Row],[Std Adj Read]]&gt;=Table1[[#This Row],[Low Tol]],"Pass","Fail"),IF(Table1[[#This Row],[DUT Adj Read]]&gt;=Table1[[#This Row],[Low Tol]],"Pass","Fail")))</f>
        <v>Pass</v>
      </c>
      <c r="AG464" s="1" t="str">
        <f>IF(AND(Table1[[#This Row],[Spec Type2]]="N/A",Table1[[#This Row],[DUT Adj Read]]="N/A",Table1[[#This Row],[Std Adj Read]]="N/A"),"N/A",IF(Table1[[#This Row],[DUT Adj Read]]="N/A",IF(Table1[[#This Row],[Std Adj Read]]&lt;=Table1[[#This Row],[High Tol]],"Pass","Fail"),IF(Table1[[#This Row],[DUT Adj Read]]&lt;=Table1[[#This Row],[High Tol]],"Pass","Fail")))</f>
        <v>Fail</v>
      </c>
      <c r="AH4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4" s="1" t="b">
        <v>0</v>
      </c>
      <c r="AN464" s="1" t="b">
        <v>0</v>
      </c>
      <c r="AO464" s="1" t="b">
        <v>0</v>
      </c>
    </row>
    <row r="465" spans="1:41" x14ac:dyDescent="0.25">
      <c r="A465" s="10"/>
      <c r="B465" s="10"/>
      <c r="C465" s="10"/>
      <c r="D465" s="10"/>
      <c r="E465" s="10"/>
      <c r="F465" s="10"/>
      <c r="G465" s="10"/>
      <c r="H465" s="10"/>
      <c r="I465" s="1" t="str">
        <f t="shared" si="21"/>
        <v/>
      </c>
      <c r="J465" s="1" t="s">
        <v>35</v>
      </c>
      <c r="K465" s="1" t="str">
        <f t="shared" si="22"/>
        <v/>
      </c>
      <c r="L465" s="1" t="str">
        <f t="shared" si="23"/>
        <v/>
      </c>
      <c r="M465" s="1">
        <f>IF(OR(Table1[[#This Row],[Std Nom]]="",Table1[[#This Row],[Std Read]]=""),0,Table1[[#This Row],[Std Nom]]-Table1[[#This Row],[Std Read]])</f>
        <v>0</v>
      </c>
      <c r="N465" s="1">
        <f>IF(Calculations!$F$5="ACCREDITED 17025 WITH UNCERTAINTIES",$N$10,0)</f>
        <v>0</v>
      </c>
      <c r="Q465" s="1">
        <f>Table1[[#This Row],[High Tol]]-Table1[[#This Row],[Low Tol]]</f>
        <v>0</v>
      </c>
      <c r="R465" s="1">
        <f>2*Table1[[#This Row],[Std Error]]</f>
        <v>0</v>
      </c>
      <c r="S465" s="1" t="str">
        <f>IF(Table1[[#This Row],[High Tol]]="","N/A",IFERROR(ABS(Table1[[#This Row],[Tol Span]]/Table1[[#This Row],[Error Span]]),"N/A"))</f>
        <v>N/A</v>
      </c>
      <c r="T465" s="1" t="str">
        <f>IF(OR(Table1[[#This Row],[Low Tol]]="",Table1[[#This Row],[High Tol]]=""),"Needs Analysis",IF(Table1[[#This Row],[Ratio]]&gt;=4,"Not Significant",IF(Table1[[#This Row],[Ratio]]&gt;=2,"Semi-Significant","Significant")))</f>
        <v>Needs Analysis</v>
      </c>
      <c r="W465" s="1">
        <f>IF(Table1[[#This Row],[Cal Type]]&lt;&gt;"ACCREDITED 17025 WITH UNCERTAINTIES",0,"")</f>
        <v>0</v>
      </c>
      <c r="X465" s="1" t="str">
        <f>IF(Table1[[#This Row],[DUT Read]]="","N/A",Table1[[#This Row],[Std Error]]+Table1[[#This Row],[DUT Read]]+Table1[[#This Row],[DUT Ucty]])</f>
        <v>N/A</v>
      </c>
      <c r="Y465" s="1" t="str">
        <f>IF(Table1[[#This Row],[Std Read]]="","N/A",Table1[[#This Row],[Std Read]]+Table1[[#This Row],[Std Ucty]])</f>
        <v>N/A</v>
      </c>
      <c r="Z4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5" s="1" t="str">
        <f>IF(Table1[[#This Row],[Spec Type]]="","N/A",Table1[[#This Row],[Spec Type]])</f>
        <v>±</v>
      </c>
      <c r="AC465" s="1" t="str">
        <f>IF(Table1[[#This Row],[Spec Type2]]="N/A","N/A",IF(AND(Table1[[#This Row],[DUT Adj Read]]&gt;=Table1[[#This Row],[Low Tol]],Table1[[#This Row],[DUT Adj Read]]&lt;=Table1[[#This Row],[High Tol]]),"Pass","Fail"))</f>
        <v>Fail</v>
      </c>
      <c r="AD465" s="1" t="str">
        <f>IF(AND(Table1[[#This Row],[Spec Type2]]="N/A",Table1[[#This Row],[DUT Adj Read]]="N/A",Table1[[#This Row],[Std Adj Read]]="N/A"),"N/A",IF(Table1[[#This Row],[DUT Adj Read]]="N/A",IF(Table1[[#This Row],[Std Adj Read]]&gt;Table1[[#This Row],[Low Tol]],"Pass","Fail"),IF(Table1[[#This Row],[DUT Adj Read]]&gt;Table1[[#This Row],[Low Tol]],"Pass","Fail")))</f>
        <v>Pass</v>
      </c>
      <c r="AE465" s="1" t="str">
        <f>IF(AND(Table1[[#This Row],[Spec Type2]]="N/A",Table1[[#This Row],[DUT Adj Read]]="N/A",Table1[[#This Row],[Std Adj Read]]="N/A"),"N/A",IF(Table1[[#This Row],[DUT Adj Read]]="N/A",IF(Table1[[#This Row],[Std Adj Read]]&lt;Table1[[#This Row],[High Tol]],"Pass","Fail"),IF(Table1[[#This Row],[DUT Adj Read]]&lt;Table1[[#This Row],[High Tol]],"Pass","Fail")))</f>
        <v>Fail</v>
      </c>
      <c r="AF465" s="1" t="str">
        <f>IF(AND(Table1[[#This Row],[Spec Type2]]="N/A",Table1[[#This Row],[DUT Adj Read]]="N/A",Table1[[#This Row],[Std Adj Read]]="N/A"),"N/A",IF(Table1[[#This Row],[DUT Adj Read]]="N/A",IF(Table1[[#This Row],[Std Adj Read]]&gt;=Table1[[#This Row],[Low Tol]],"Pass","Fail"),IF(Table1[[#This Row],[DUT Adj Read]]&gt;=Table1[[#This Row],[Low Tol]],"Pass","Fail")))</f>
        <v>Pass</v>
      </c>
      <c r="AG465" s="1" t="str">
        <f>IF(AND(Table1[[#This Row],[Spec Type2]]="N/A",Table1[[#This Row],[DUT Adj Read]]="N/A",Table1[[#This Row],[Std Adj Read]]="N/A"),"N/A",IF(Table1[[#This Row],[DUT Adj Read]]="N/A",IF(Table1[[#This Row],[Std Adj Read]]&lt;=Table1[[#This Row],[High Tol]],"Pass","Fail"),IF(Table1[[#This Row],[DUT Adj Read]]&lt;=Table1[[#This Row],[High Tol]],"Pass","Fail")))</f>
        <v>Fail</v>
      </c>
      <c r="AH4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5" s="1" t="b">
        <v>0</v>
      </c>
      <c r="AN465" s="1" t="b">
        <v>0</v>
      </c>
      <c r="AO465" s="1" t="b">
        <v>0</v>
      </c>
    </row>
    <row r="466" spans="1:41" x14ac:dyDescent="0.25">
      <c r="A466" s="10"/>
      <c r="B466" s="10"/>
      <c r="C466" s="10"/>
      <c r="D466" s="10"/>
      <c r="E466" s="10"/>
      <c r="F466" s="10"/>
      <c r="G466" s="10"/>
      <c r="H466" s="10"/>
      <c r="I466" s="1" t="str">
        <f t="shared" si="21"/>
        <v/>
      </c>
      <c r="J466" s="1" t="s">
        <v>35</v>
      </c>
      <c r="K466" s="1" t="str">
        <f t="shared" si="22"/>
        <v/>
      </c>
      <c r="L466" s="1" t="str">
        <f t="shared" si="23"/>
        <v/>
      </c>
      <c r="M466" s="1">
        <f>IF(OR(Table1[[#This Row],[Std Nom]]="",Table1[[#This Row],[Std Read]]=""),0,Table1[[#This Row],[Std Nom]]-Table1[[#This Row],[Std Read]])</f>
        <v>0</v>
      </c>
      <c r="N466" s="1">
        <f>IF(Calculations!$F$5="ACCREDITED 17025 WITH UNCERTAINTIES",$N$10,0)</f>
        <v>0</v>
      </c>
      <c r="Q466" s="1">
        <f>Table1[[#This Row],[High Tol]]-Table1[[#This Row],[Low Tol]]</f>
        <v>0</v>
      </c>
      <c r="R466" s="1">
        <f>2*Table1[[#This Row],[Std Error]]</f>
        <v>0</v>
      </c>
      <c r="S466" s="1" t="str">
        <f>IF(Table1[[#This Row],[High Tol]]="","N/A",IFERROR(ABS(Table1[[#This Row],[Tol Span]]/Table1[[#This Row],[Error Span]]),"N/A"))</f>
        <v>N/A</v>
      </c>
      <c r="T466" s="1" t="str">
        <f>IF(OR(Table1[[#This Row],[Low Tol]]="",Table1[[#This Row],[High Tol]]=""),"Needs Analysis",IF(Table1[[#This Row],[Ratio]]&gt;=4,"Not Significant",IF(Table1[[#This Row],[Ratio]]&gt;=2,"Semi-Significant","Significant")))</f>
        <v>Needs Analysis</v>
      </c>
      <c r="W466" s="1">
        <f>IF(Table1[[#This Row],[Cal Type]]&lt;&gt;"ACCREDITED 17025 WITH UNCERTAINTIES",0,"")</f>
        <v>0</v>
      </c>
      <c r="X466" s="1" t="str">
        <f>IF(Table1[[#This Row],[DUT Read]]="","N/A",Table1[[#This Row],[Std Error]]+Table1[[#This Row],[DUT Read]]+Table1[[#This Row],[DUT Ucty]])</f>
        <v>N/A</v>
      </c>
      <c r="Y466" s="1" t="str">
        <f>IF(Table1[[#This Row],[Std Read]]="","N/A",Table1[[#This Row],[Std Read]]+Table1[[#This Row],[Std Ucty]])</f>
        <v>N/A</v>
      </c>
      <c r="Z4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6" s="1" t="str">
        <f>IF(Table1[[#This Row],[Spec Type]]="","N/A",Table1[[#This Row],[Spec Type]])</f>
        <v>±</v>
      </c>
      <c r="AC466" s="1" t="str">
        <f>IF(Table1[[#This Row],[Spec Type2]]="N/A","N/A",IF(AND(Table1[[#This Row],[DUT Adj Read]]&gt;=Table1[[#This Row],[Low Tol]],Table1[[#This Row],[DUT Adj Read]]&lt;=Table1[[#This Row],[High Tol]]),"Pass","Fail"))</f>
        <v>Fail</v>
      </c>
      <c r="AD466" s="1" t="str">
        <f>IF(AND(Table1[[#This Row],[Spec Type2]]="N/A",Table1[[#This Row],[DUT Adj Read]]="N/A",Table1[[#This Row],[Std Adj Read]]="N/A"),"N/A",IF(Table1[[#This Row],[DUT Adj Read]]="N/A",IF(Table1[[#This Row],[Std Adj Read]]&gt;Table1[[#This Row],[Low Tol]],"Pass","Fail"),IF(Table1[[#This Row],[DUT Adj Read]]&gt;Table1[[#This Row],[Low Tol]],"Pass","Fail")))</f>
        <v>Pass</v>
      </c>
      <c r="AE466" s="1" t="str">
        <f>IF(AND(Table1[[#This Row],[Spec Type2]]="N/A",Table1[[#This Row],[DUT Adj Read]]="N/A",Table1[[#This Row],[Std Adj Read]]="N/A"),"N/A",IF(Table1[[#This Row],[DUT Adj Read]]="N/A",IF(Table1[[#This Row],[Std Adj Read]]&lt;Table1[[#This Row],[High Tol]],"Pass","Fail"),IF(Table1[[#This Row],[DUT Adj Read]]&lt;Table1[[#This Row],[High Tol]],"Pass","Fail")))</f>
        <v>Fail</v>
      </c>
      <c r="AF466" s="1" t="str">
        <f>IF(AND(Table1[[#This Row],[Spec Type2]]="N/A",Table1[[#This Row],[DUT Adj Read]]="N/A",Table1[[#This Row],[Std Adj Read]]="N/A"),"N/A",IF(Table1[[#This Row],[DUT Adj Read]]="N/A",IF(Table1[[#This Row],[Std Adj Read]]&gt;=Table1[[#This Row],[Low Tol]],"Pass","Fail"),IF(Table1[[#This Row],[DUT Adj Read]]&gt;=Table1[[#This Row],[Low Tol]],"Pass","Fail")))</f>
        <v>Pass</v>
      </c>
      <c r="AG466" s="1" t="str">
        <f>IF(AND(Table1[[#This Row],[Spec Type2]]="N/A",Table1[[#This Row],[DUT Adj Read]]="N/A",Table1[[#This Row],[Std Adj Read]]="N/A"),"N/A",IF(Table1[[#This Row],[DUT Adj Read]]="N/A",IF(Table1[[#This Row],[Std Adj Read]]&lt;=Table1[[#This Row],[High Tol]],"Pass","Fail"),IF(Table1[[#This Row],[DUT Adj Read]]&lt;=Table1[[#This Row],[High Tol]],"Pass","Fail")))</f>
        <v>Fail</v>
      </c>
      <c r="AH4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6" s="1" t="b">
        <v>0</v>
      </c>
      <c r="AN466" s="1" t="b">
        <v>0</v>
      </c>
      <c r="AO466" s="1" t="b">
        <v>0</v>
      </c>
    </row>
    <row r="467" spans="1:41" x14ac:dyDescent="0.25">
      <c r="A467" s="10"/>
      <c r="B467" s="10"/>
      <c r="C467" s="10"/>
      <c r="D467" s="10"/>
      <c r="E467" s="10"/>
      <c r="F467" s="10"/>
      <c r="G467" s="10"/>
      <c r="H467" s="10"/>
      <c r="I467" s="1" t="str">
        <f t="shared" si="21"/>
        <v/>
      </c>
      <c r="J467" s="1" t="s">
        <v>35</v>
      </c>
      <c r="K467" s="1" t="str">
        <f t="shared" si="22"/>
        <v/>
      </c>
      <c r="L467" s="1" t="str">
        <f t="shared" si="23"/>
        <v/>
      </c>
      <c r="M467" s="1">
        <f>IF(OR(Table1[[#This Row],[Std Nom]]="",Table1[[#This Row],[Std Read]]=""),0,Table1[[#This Row],[Std Nom]]-Table1[[#This Row],[Std Read]])</f>
        <v>0</v>
      </c>
      <c r="N467" s="1">
        <f>IF(Calculations!$F$5="ACCREDITED 17025 WITH UNCERTAINTIES",$N$10,0)</f>
        <v>0</v>
      </c>
      <c r="Q467" s="1">
        <f>Table1[[#This Row],[High Tol]]-Table1[[#This Row],[Low Tol]]</f>
        <v>0</v>
      </c>
      <c r="R467" s="1">
        <f>2*Table1[[#This Row],[Std Error]]</f>
        <v>0</v>
      </c>
      <c r="S467" s="1" t="str">
        <f>IF(Table1[[#This Row],[High Tol]]="","N/A",IFERROR(ABS(Table1[[#This Row],[Tol Span]]/Table1[[#This Row],[Error Span]]),"N/A"))</f>
        <v>N/A</v>
      </c>
      <c r="T467" s="1" t="str">
        <f>IF(OR(Table1[[#This Row],[Low Tol]]="",Table1[[#This Row],[High Tol]]=""),"Needs Analysis",IF(Table1[[#This Row],[Ratio]]&gt;=4,"Not Significant",IF(Table1[[#This Row],[Ratio]]&gt;=2,"Semi-Significant","Significant")))</f>
        <v>Needs Analysis</v>
      </c>
      <c r="W467" s="1">
        <f>IF(Table1[[#This Row],[Cal Type]]&lt;&gt;"ACCREDITED 17025 WITH UNCERTAINTIES",0,"")</f>
        <v>0</v>
      </c>
      <c r="X467" s="1" t="str">
        <f>IF(Table1[[#This Row],[DUT Read]]="","N/A",Table1[[#This Row],[Std Error]]+Table1[[#This Row],[DUT Read]]+Table1[[#This Row],[DUT Ucty]])</f>
        <v>N/A</v>
      </c>
      <c r="Y467" s="1" t="str">
        <f>IF(Table1[[#This Row],[Std Read]]="","N/A",Table1[[#This Row],[Std Read]]+Table1[[#This Row],[Std Ucty]])</f>
        <v>N/A</v>
      </c>
      <c r="Z4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7" s="1" t="str">
        <f>IF(Table1[[#This Row],[Spec Type]]="","N/A",Table1[[#This Row],[Spec Type]])</f>
        <v>±</v>
      </c>
      <c r="AC467" s="1" t="str">
        <f>IF(Table1[[#This Row],[Spec Type2]]="N/A","N/A",IF(AND(Table1[[#This Row],[DUT Adj Read]]&gt;=Table1[[#This Row],[Low Tol]],Table1[[#This Row],[DUT Adj Read]]&lt;=Table1[[#This Row],[High Tol]]),"Pass","Fail"))</f>
        <v>Fail</v>
      </c>
      <c r="AD467" s="1" t="str">
        <f>IF(AND(Table1[[#This Row],[Spec Type2]]="N/A",Table1[[#This Row],[DUT Adj Read]]="N/A",Table1[[#This Row],[Std Adj Read]]="N/A"),"N/A",IF(Table1[[#This Row],[DUT Adj Read]]="N/A",IF(Table1[[#This Row],[Std Adj Read]]&gt;Table1[[#This Row],[Low Tol]],"Pass","Fail"),IF(Table1[[#This Row],[DUT Adj Read]]&gt;Table1[[#This Row],[Low Tol]],"Pass","Fail")))</f>
        <v>Pass</v>
      </c>
      <c r="AE467" s="1" t="str">
        <f>IF(AND(Table1[[#This Row],[Spec Type2]]="N/A",Table1[[#This Row],[DUT Adj Read]]="N/A",Table1[[#This Row],[Std Adj Read]]="N/A"),"N/A",IF(Table1[[#This Row],[DUT Adj Read]]="N/A",IF(Table1[[#This Row],[Std Adj Read]]&lt;Table1[[#This Row],[High Tol]],"Pass","Fail"),IF(Table1[[#This Row],[DUT Adj Read]]&lt;Table1[[#This Row],[High Tol]],"Pass","Fail")))</f>
        <v>Fail</v>
      </c>
      <c r="AF467" s="1" t="str">
        <f>IF(AND(Table1[[#This Row],[Spec Type2]]="N/A",Table1[[#This Row],[DUT Adj Read]]="N/A",Table1[[#This Row],[Std Adj Read]]="N/A"),"N/A",IF(Table1[[#This Row],[DUT Adj Read]]="N/A",IF(Table1[[#This Row],[Std Adj Read]]&gt;=Table1[[#This Row],[Low Tol]],"Pass","Fail"),IF(Table1[[#This Row],[DUT Adj Read]]&gt;=Table1[[#This Row],[Low Tol]],"Pass","Fail")))</f>
        <v>Pass</v>
      </c>
      <c r="AG467" s="1" t="str">
        <f>IF(AND(Table1[[#This Row],[Spec Type2]]="N/A",Table1[[#This Row],[DUT Adj Read]]="N/A",Table1[[#This Row],[Std Adj Read]]="N/A"),"N/A",IF(Table1[[#This Row],[DUT Adj Read]]="N/A",IF(Table1[[#This Row],[Std Adj Read]]&lt;=Table1[[#This Row],[High Tol]],"Pass","Fail"),IF(Table1[[#This Row],[DUT Adj Read]]&lt;=Table1[[#This Row],[High Tol]],"Pass","Fail")))</f>
        <v>Fail</v>
      </c>
      <c r="AH4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7" s="1" t="b">
        <v>0</v>
      </c>
      <c r="AN467" s="1" t="b">
        <v>0</v>
      </c>
      <c r="AO467" s="1" t="b">
        <v>0</v>
      </c>
    </row>
    <row r="468" spans="1:41" x14ac:dyDescent="0.25">
      <c r="A468" s="10"/>
      <c r="B468" s="10"/>
      <c r="C468" s="10"/>
      <c r="D468" s="10"/>
      <c r="E468" s="10"/>
      <c r="F468" s="10"/>
      <c r="G468" s="10"/>
      <c r="H468" s="10"/>
      <c r="I468" s="1" t="str">
        <f t="shared" si="21"/>
        <v/>
      </c>
      <c r="J468" s="1" t="s">
        <v>35</v>
      </c>
      <c r="K468" s="1" t="str">
        <f t="shared" si="22"/>
        <v/>
      </c>
      <c r="L468" s="1" t="str">
        <f t="shared" si="23"/>
        <v/>
      </c>
      <c r="M468" s="1">
        <f>IF(OR(Table1[[#This Row],[Std Nom]]="",Table1[[#This Row],[Std Read]]=""),0,Table1[[#This Row],[Std Nom]]-Table1[[#This Row],[Std Read]])</f>
        <v>0</v>
      </c>
      <c r="N468" s="1">
        <f>IF(Calculations!$F$5="ACCREDITED 17025 WITH UNCERTAINTIES",$N$10,0)</f>
        <v>0</v>
      </c>
      <c r="Q468" s="1">
        <f>Table1[[#This Row],[High Tol]]-Table1[[#This Row],[Low Tol]]</f>
        <v>0</v>
      </c>
      <c r="R468" s="1">
        <f>2*Table1[[#This Row],[Std Error]]</f>
        <v>0</v>
      </c>
      <c r="S468" s="1" t="str">
        <f>IF(Table1[[#This Row],[High Tol]]="","N/A",IFERROR(ABS(Table1[[#This Row],[Tol Span]]/Table1[[#This Row],[Error Span]]),"N/A"))</f>
        <v>N/A</v>
      </c>
      <c r="T468" s="1" t="str">
        <f>IF(OR(Table1[[#This Row],[Low Tol]]="",Table1[[#This Row],[High Tol]]=""),"Needs Analysis",IF(Table1[[#This Row],[Ratio]]&gt;=4,"Not Significant",IF(Table1[[#This Row],[Ratio]]&gt;=2,"Semi-Significant","Significant")))</f>
        <v>Needs Analysis</v>
      </c>
      <c r="W468" s="1">
        <f>IF(Table1[[#This Row],[Cal Type]]&lt;&gt;"ACCREDITED 17025 WITH UNCERTAINTIES",0,"")</f>
        <v>0</v>
      </c>
      <c r="X468" s="1" t="str">
        <f>IF(Table1[[#This Row],[DUT Read]]="","N/A",Table1[[#This Row],[Std Error]]+Table1[[#This Row],[DUT Read]]+Table1[[#This Row],[DUT Ucty]])</f>
        <v>N/A</v>
      </c>
      <c r="Y468" s="1" t="str">
        <f>IF(Table1[[#This Row],[Std Read]]="","N/A",Table1[[#This Row],[Std Read]]+Table1[[#This Row],[Std Ucty]])</f>
        <v>N/A</v>
      </c>
      <c r="Z4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8" s="1" t="str">
        <f>IF(Table1[[#This Row],[Spec Type]]="","N/A",Table1[[#This Row],[Spec Type]])</f>
        <v>±</v>
      </c>
      <c r="AC468" s="1" t="str">
        <f>IF(Table1[[#This Row],[Spec Type2]]="N/A","N/A",IF(AND(Table1[[#This Row],[DUT Adj Read]]&gt;=Table1[[#This Row],[Low Tol]],Table1[[#This Row],[DUT Adj Read]]&lt;=Table1[[#This Row],[High Tol]]),"Pass","Fail"))</f>
        <v>Fail</v>
      </c>
      <c r="AD468" s="1" t="str">
        <f>IF(AND(Table1[[#This Row],[Spec Type2]]="N/A",Table1[[#This Row],[DUT Adj Read]]="N/A",Table1[[#This Row],[Std Adj Read]]="N/A"),"N/A",IF(Table1[[#This Row],[DUT Adj Read]]="N/A",IF(Table1[[#This Row],[Std Adj Read]]&gt;Table1[[#This Row],[Low Tol]],"Pass","Fail"),IF(Table1[[#This Row],[DUT Adj Read]]&gt;Table1[[#This Row],[Low Tol]],"Pass","Fail")))</f>
        <v>Pass</v>
      </c>
      <c r="AE468" s="1" t="str">
        <f>IF(AND(Table1[[#This Row],[Spec Type2]]="N/A",Table1[[#This Row],[DUT Adj Read]]="N/A",Table1[[#This Row],[Std Adj Read]]="N/A"),"N/A",IF(Table1[[#This Row],[DUT Adj Read]]="N/A",IF(Table1[[#This Row],[Std Adj Read]]&lt;Table1[[#This Row],[High Tol]],"Pass","Fail"),IF(Table1[[#This Row],[DUT Adj Read]]&lt;Table1[[#This Row],[High Tol]],"Pass","Fail")))</f>
        <v>Fail</v>
      </c>
      <c r="AF468" s="1" t="str">
        <f>IF(AND(Table1[[#This Row],[Spec Type2]]="N/A",Table1[[#This Row],[DUT Adj Read]]="N/A",Table1[[#This Row],[Std Adj Read]]="N/A"),"N/A",IF(Table1[[#This Row],[DUT Adj Read]]="N/A",IF(Table1[[#This Row],[Std Adj Read]]&gt;=Table1[[#This Row],[Low Tol]],"Pass","Fail"),IF(Table1[[#This Row],[DUT Adj Read]]&gt;=Table1[[#This Row],[Low Tol]],"Pass","Fail")))</f>
        <v>Pass</v>
      </c>
      <c r="AG468" s="1" t="str">
        <f>IF(AND(Table1[[#This Row],[Spec Type2]]="N/A",Table1[[#This Row],[DUT Adj Read]]="N/A",Table1[[#This Row],[Std Adj Read]]="N/A"),"N/A",IF(Table1[[#This Row],[DUT Adj Read]]="N/A",IF(Table1[[#This Row],[Std Adj Read]]&lt;=Table1[[#This Row],[High Tol]],"Pass","Fail"),IF(Table1[[#This Row],[DUT Adj Read]]&lt;=Table1[[#This Row],[High Tol]],"Pass","Fail")))</f>
        <v>Fail</v>
      </c>
      <c r="AH4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8" s="1" t="b">
        <v>0</v>
      </c>
      <c r="AN468" s="1" t="b">
        <v>0</v>
      </c>
      <c r="AO468" s="1" t="b">
        <v>0</v>
      </c>
    </row>
    <row r="469" spans="1:41" x14ac:dyDescent="0.25">
      <c r="A469" s="10"/>
      <c r="B469" s="10"/>
      <c r="C469" s="10"/>
      <c r="D469" s="10"/>
      <c r="E469" s="10"/>
      <c r="F469" s="10"/>
      <c r="G469" s="10"/>
      <c r="H469" s="10"/>
      <c r="I469" s="1" t="str">
        <f t="shared" si="21"/>
        <v/>
      </c>
      <c r="J469" s="1" t="s">
        <v>35</v>
      </c>
      <c r="K469" s="1" t="str">
        <f t="shared" si="22"/>
        <v/>
      </c>
      <c r="L469" s="1" t="str">
        <f t="shared" si="23"/>
        <v/>
      </c>
      <c r="M469" s="1">
        <f>IF(OR(Table1[[#This Row],[Std Nom]]="",Table1[[#This Row],[Std Read]]=""),0,Table1[[#This Row],[Std Nom]]-Table1[[#This Row],[Std Read]])</f>
        <v>0</v>
      </c>
      <c r="N469" s="1">
        <f>IF(Calculations!$F$5="ACCREDITED 17025 WITH UNCERTAINTIES",$N$10,0)</f>
        <v>0</v>
      </c>
      <c r="Q469" s="1">
        <f>Table1[[#This Row],[High Tol]]-Table1[[#This Row],[Low Tol]]</f>
        <v>0</v>
      </c>
      <c r="R469" s="1">
        <f>2*Table1[[#This Row],[Std Error]]</f>
        <v>0</v>
      </c>
      <c r="S469" s="1" t="str">
        <f>IF(Table1[[#This Row],[High Tol]]="","N/A",IFERROR(ABS(Table1[[#This Row],[Tol Span]]/Table1[[#This Row],[Error Span]]),"N/A"))</f>
        <v>N/A</v>
      </c>
      <c r="T469" s="1" t="str">
        <f>IF(OR(Table1[[#This Row],[Low Tol]]="",Table1[[#This Row],[High Tol]]=""),"Needs Analysis",IF(Table1[[#This Row],[Ratio]]&gt;=4,"Not Significant",IF(Table1[[#This Row],[Ratio]]&gt;=2,"Semi-Significant","Significant")))</f>
        <v>Needs Analysis</v>
      </c>
      <c r="W469" s="1">
        <f>IF(Table1[[#This Row],[Cal Type]]&lt;&gt;"ACCREDITED 17025 WITH UNCERTAINTIES",0,"")</f>
        <v>0</v>
      </c>
      <c r="X469" s="1" t="str">
        <f>IF(Table1[[#This Row],[DUT Read]]="","N/A",Table1[[#This Row],[Std Error]]+Table1[[#This Row],[DUT Read]]+Table1[[#This Row],[DUT Ucty]])</f>
        <v>N/A</v>
      </c>
      <c r="Y469" s="1" t="str">
        <f>IF(Table1[[#This Row],[Std Read]]="","N/A",Table1[[#This Row],[Std Read]]+Table1[[#This Row],[Std Ucty]])</f>
        <v>N/A</v>
      </c>
      <c r="Z4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69" s="1" t="str">
        <f>IF(Table1[[#This Row],[Spec Type]]="","N/A",Table1[[#This Row],[Spec Type]])</f>
        <v>±</v>
      </c>
      <c r="AC469" s="1" t="str">
        <f>IF(Table1[[#This Row],[Spec Type2]]="N/A","N/A",IF(AND(Table1[[#This Row],[DUT Adj Read]]&gt;=Table1[[#This Row],[Low Tol]],Table1[[#This Row],[DUT Adj Read]]&lt;=Table1[[#This Row],[High Tol]]),"Pass","Fail"))</f>
        <v>Fail</v>
      </c>
      <c r="AD469" s="1" t="str">
        <f>IF(AND(Table1[[#This Row],[Spec Type2]]="N/A",Table1[[#This Row],[DUT Adj Read]]="N/A",Table1[[#This Row],[Std Adj Read]]="N/A"),"N/A",IF(Table1[[#This Row],[DUT Adj Read]]="N/A",IF(Table1[[#This Row],[Std Adj Read]]&gt;Table1[[#This Row],[Low Tol]],"Pass","Fail"),IF(Table1[[#This Row],[DUT Adj Read]]&gt;Table1[[#This Row],[Low Tol]],"Pass","Fail")))</f>
        <v>Pass</v>
      </c>
      <c r="AE469" s="1" t="str">
        <f>IF(AND(Table1[[#This Row],[Spec Type2]]="N/A",Table1[[#This Row],[DUT Adj Read]]="N/A",Table1[[#This Row],[Std Adj Read]]="N/A"),"N/A",IF(Table1[[#This Row],[DUT Adj Read]]="N/A",IF(Table1[[#This Row],[Std Adj Read]]&lt;Table1[[#This Row],[High Tol]],"Pass","Fail"),IF(Table1[[#This Row],[DUT Adj Read]]&lt;Table1[[#This Row],[High Tol]],"Pass","Fail")))</f>
        <v>Fail</v>
      </c>
      <c r="AF469" s="1" t="str">
        <f>IF(AND(Table1[[#This Row],[Spec Type2]]="N/A",Table1[[#This Row],[DUT Adj Read]]="N/A",Table1[[#This Row],[Std Adj Read]]="N/A"),"N/A",IF(Table1[[#This Row],[DUT Adj Read]]="N/A",IF(Table1[[#This Row],[Std Adj Read]]&gt;=Table1[[#This Row],[Low Tol]],"Pass","Fail"),IF(Table1[[#This Row],[DUT Adj Read]]&gt;=Table1[[#This Row],[Low Tol]],"Pass","Fail")))</f>
        <v>Pass</v>
      </c>
      <c r="AG469" s="1" t="str">
        <f>IF(AND(Table1[[#This Row],[Spec Type2]]="N/A",Table1[[#This Row],[DUT Adj Read]]="N/A",Table1[[#This Row],[Std Adj Read]]="N/A"),"N/A",IF(Table1[[#This Row],[DUT Adj Read]]="N/A",IF(Table1[[#This Row],[Std Adj Read]]&lt;=Table1[[#This Row],[High Tol]],"Pass","Fail"),IF(Table1[[#This Row],[DUT Adj Read]]&lt;=Table1[[#This Row],[High Tol]],"Pass","Fail")))</f>
        <v>Fail</v>
      </c>
      <c r="AH4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69" s="1" t="b">
        <v>0</v>
      </c>
      <c r="AN469" s="1" t="b">
        <v>0</v>
      </c>
      <c r="AO469" s="1" t="b">
        <v>0</v>
      </c>
    </row>
    <row r="470" spans="1:41" x14ac:dyDescent="0.25">
      <c r="A470" s="10"/>
      <c r="B470" s="10"/>
      <c r="C470" s="10"/>
      <c r="D470" s="10"/>
      <c r="E470" s="10"/>
      <c r="F470" s="10"/>
      <c r="G470" s="10"/>
      <c r="H470" s="10"/>
      <c r="I470" s="1" t="str">
        <f t="shared" si="21"/>
        <v/>
      </c>
      <c r="J470" s="1" t="s">
        <v>35</v>
      </c>
      <c r="K470" s="1" t="str">
        <f t="shared" si="22"/>
        <v/>
      </c>
      <c r="L470" s="1" t="str">
        <f t="shared" si="23"/>
        <v/>
      </c>
      <c r="M470" s="1">
        <f>IF(OR(Table1[[#This Row],[Std Nom]]="",Table1[[#This Row],[Std Read]]=""),0,Table1[[#This Row],[Std Nom]]-Table1[[#This Row],[Std Read]])</f>
        <v>0</v>
      </c>
      <c r="N470" s="1">
        <f>IF(Calculations!$F$5="ACCREDITED 17025 WITH UNCERTAINTIES",$N$10,0)</f>
        <v>0</v>
      </c>
      <c r="Q470" s="1">
        <f>Table1[[#This Row],[High Tol]]-Table1[[#This Row],[Low Tol]]</f>
        <v>0</v>
      </c>
      <c r="R470" s="1">
        <f>2*Table1[[#This Row],[Std Error]]</f>
        <v>0</v>
      </c>
      <c r="S470" s="1" t="str">
        <f>IF(Table1[[#This Row],[High Tol]]="","N/A",IFERROR(ABS(Table1[[#This Row],[Tol Span]]/Table1[[#This Row],[Error Span]]),"N/A"))</f>
        <v>N/A</v>
      </c>
      <c r="T470" s="1" t="str">
        <f>IF(OR(Table1[[#This Row],[Low Tol]]="",Table1[[#This Row],[High Tol]]=""),"Needs Analysis",IF(Table1[[#This Row],[Ratio]]&gt;=4,"Not Significant",IF(Table1[[#This Row],[Ratio]]&gt;=2,"Semi-Significant","Significant")))</f>
        <v>Needs Analysis</v>
      </c>
      <c r="W470" s="1">
        <f>IF(Table1[[#This Row],[Cal Type]]&lt;&gt;"ACCREDITED 17025 WITH UNCERTAINTIES",0,"")</f>
        <v>0</v>
      </c>
      <c r="X470" s="1" t="str">
        <f>IF(Table1[[#This Row],[DUT Read]]="","N/A",Table1[[#This Row],[Std Error]]+Table1[[#This Row],[DUT Read]]+Table1[[#This Row],[DUT Ucty]])</f>
        <v>N/A</v>
      </c>
      <c r="Y470" s="1" t="str">
        <f>IF(Table1[[#This Row],[Std Read]]="","N/A",Table1[[#This Row],[Std Read]]+Table1[[#This Row],[Std Ucty]])</f>
        <v>N/A</v>
      </c>
      <c r="Z4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0" s="1" t="str">
        <f>IF(Table1[[#This Row],[Spec Type]]="","N/A",Table1[[#This Row],[Spec Type]])</f>
        <v>±</v>
      </c>
      <c r="AC470" s="1" t="str">
        <f>IF(Table1[[#This Row],[Spec Type2]]="N/A","N/A",IF(AND(Table1[[#This Row],[DUT Adj Read]]&gt;=Table1[[#This Row],[Low Tol]],Table1[[#This Row],[DUT Adj Read]]&lt;=Table1[[#This Row],[High Tol]]),"Pass","Fail"))</f>
        <v>Fail</v>
      </c>
      <c r="AD470" s="1" t="str">
        <f>IF(AND(Table1[[#This Row],[Spec Type2]]="N/A",Table1[[#This Row],[DUT Adj Read]]="N/A",Table1[[#This Row],[Std Adj Read]]="N/A"),"N/A",IF(Table1[[#This Row],[DUT Adj Read]]="N/A",IF(Table1[[#This Row],[Std Adj Read]]&gt;Table1[[#This Row],[Low Tol]],"Pass","Fail"),IF(Table1[[#This Row],[DUT Adj Read]]&gt;Table1[[#This Row],[Low Tol]],"Pass","Fail")))</f>
        <v>Pass</v>
      </c>
      <c r="AE470" s="1" t="str">
        <f>IF(AND(Table1[[#This Row],[Spec Type2]]="N/A",Table1[[#This Row],[DUT Adj Read]]="N/A",Table1[[#This Row],[Std Adj Read]]="N/A"),"N/A",IF(Table1[[#This Row],[DUT Adj Read]]="N/A",IF(Table1[[#This Row],[Std Adj Read]]&lt;Table1[[#This Row],[High Tol]],"Pass","Fail"),IF(Table1[[#This Row],[DUT Adj Read]]&lt;Table1[[#This Row],[High Tol]],"Pass","Fail")))</f>
        <v>Fail</v>
      </c>
      <c r="AF470" s="1" t="str">
        <f>IF(AND(Table1[[#This Row],[Spec Type2]]="N/A",Table1[[#This Row],[DUT Adj Read]]="N/A",Table1[[#This Row],[Std Adj Read]]="N/A"),"N/A",IF(Table1[[#This Row],[DUT Adj Read]]="N/A",IF(Table1[[#This Row],[Std Adj Read]]&gt;=Table1[[#This Row],[Low Tol]],"Pass","Fail"),IF(Table1[[#This Row],[DUT Adj Read]]&gt;=Table1[[#This Row],[Low Tol]],"Pass","Fail")))</f>
        <v>Pass</v>
      </c>
      <c r="AG470" s="1" t="str">
        <f>IF(AND(Table1[[#This Row],[Spec Type2]]="N/A",Table1[[#This Row],[DUT Adj Read]]="N/A",Table1[[#This Row],[Std Adj Read]]="N/A"),"N/A",IF(Table1[[#This Row],[DUT Adj Read]]="N/A",IF(Table1[[#This Row],[Std Adj Read]]&lt;=Table1[[#This Row],[High Tol]],"Pass","Fail"),IF(Table1[[#This Row],[DUT Adj Read]]&lt;=Table1[[#This Row],[High Tol]],"Pass","Fail")))</f>
        <v>Fail</v>
      </c>
      <c r="AH4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0" s="1" t="b">
        <v>0</v>
      </c>
      <c r="AN470" s="1" t="b">
        <v>0</v>
      </c>
      <c r="AO470" s="1" t="b">
        <v>0</v>
      </c>
    </row>
    <row r="471" spans="1:41" x14ac:dyDescent="0.25">
      <c r="A471" s="10"/>
      <c r="B471" s="10"/>
      <c r="C471" s="10"/>
      <c r="D471" s="10"/>
      <c r="E471" s="10"/>
      <c r="F471" s="10"/>
      <c r="G471" s="10"/>
      <c r="H471" s="10"/>
      <c r="I471" s="1" t="str">
        <f t="shared" si="21"/>
        <v/>
      </c>
      <c r="J471" s="1" t="s">
        <v>35</v>
      </c>
      <c r="K471" s="1" t="str">
        <f t="shared" si="22"/>
        <v/>
      </c>
      <c r="L471" s="1" t="str">
        <f t="shared" si="23"/>
        <v/>
      </c>
      <c r="M471" s="1">
        <f>IF(OR(Table1[[#This Row],[Std Nom]]="",Table1[[#This Row],[Std Read]]=""),0,Table1[[#This Row],[Std Nom]]-Table1[[#This Row],[Std Read]])</f>
        <v>0</v>
      </c>
      <c r="N471" s="1">
        <f>IF(Calculations!$F$5="ACCREDITED 17025 WITH UNCERTAINTIES",$N$10,0)</f>
        <v>0</v>
      </c>
      <c r="Q471" s="1">
        <f>Table1[[#This Row],[High Tol]]-Table1[[#This Row],[Low Tol]]</f>
        <v>0</v>
      </c>
      <c r="R471" s="1">
        <f>2*Table1[[#This Row],[Std Error]]</f>
        <v>0</v>
      </c>
      <c r="S471" s="1" t="str">
        <f>IF(Table1[[#This Row],[High Tol]]="","N/A",IFERROR(ABS(Table1[[#This Row],[Tol Span]]/Table1[[#This Row],[Error Span]]),"N/A"))</f>
        <v>N/A</v>
      </c>
      <c r="T471" s="1" t="str">
        <f>IF(OR(Table1[[#This Row],[Low Tol]]="",Table1[[#This Row],[High Tol]]=""),"Needs Analysis",IF(Table1[[#This Row],[Ratio]]&gt;=4,"Not Significant",IF(Table1[[#This Row],[Ratio]]&gt;=2,"Semi-Significant","Significant")))</f>
        <v>Needs Analysis</v>
      </c>
      <c r="W471" s="1">
        <f>IF(Table1[[#This Row],[Cal Type]]&lt;&gt;"ACCREDITED 17025 WITH UNCERTAINTIES",0,"")</f>
        <v>0</v>
      </c>
      <c r="X471" s="1" t="str">
        <f>IF(Table1[[#This Row],[DUT Read]]="","N/A",Table1[[#This Row],[Std Error]]+Table1[[#This Row],[DUT Read]]+Table1[[#This Row],[DUT Ucty]])</f>
        <v>N/A</v>
      </c>
      <c r="Y471" s="1" t="str">
        <f>IF(Table1[[#This Row],[Std Read]]="","N/A",Table1[[#This Row],[Std Read]]+Table1[[#This Row],[Std Ucty]])</f>
        <v>N/A</v>
      </c>
      <c r="Z4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1" s="1" t="str">
        <f>IF(Table1[[#This Row],[Spec Type]]="","N/A",Table1[[#This Row],[Spec Type]])</f>
        <v>±</v>
      </c>
      <c r="AC471" s="1" t="str">
        <f>IF(Table1[[#This Row],[Spec Type2]]="N/A","N/A",IF(AND(Table1[[#This Row],[DUT Adj Read]]&gt;=Table1[[#This Row],[Low Tol]],Table1[[#This Row],[DUT Adj Read]]&lt;=Table1[[#This Row],[High Tol]]),"Pass","Fail"))</f>
        <v>Fail</v>
      </c>
      <c r="AD471" s="1" t="str">
        <f>IF(AND(Table1[[#This Row],[Spec Type2]]="N/A",Table1[[#This Row],[DUT Adj Read]]="N/A",Table1[[#This Row],[Std Adj Read]]="N/A"),"N/A",IF(Table1[[#This Row],[DUT Adj Read]]="N/A",IF(Table1[[#This Row],[Std Adj Read]]&gt;Table1[[#This Row],[Low Tol]],"Pass","Fail"),IF(Table1[[#This Row],[DUT Adj Read]]&gt;Table1[[#This Row],[Low Tol]],"Pass","Fail")))</f>
        <v>Pass</v>
      </c>
      <c r="AE471" s="1" t="str">
        <f>IF(AND(Table1[[#This Row],[Spec Type2]]="N/A",Table1[[#This Row],[DUT Adj Read]]="N/A",Table1[[#This Row],[Std Adj Read]]="N/A"),"N/A",IF(Table1[[#This Row],[DUT Adj Read]]="N/A",IF(Table1[[#This Row],[Std Adj Read]]&lt;Table1[[#This Row],[High Tol]],"Pass","Fail"),IF(Table1[[#This Row],[DUT Adj Read]]&lt;Table1[[#This Row],[High Tol]],"Pass","Fail")))</f>
        <v>Fail</v>
      </c>
      <c r="AF471" s="1" t="str">
        <f>IF(AND(Table1[[#This Row],[Spec Type2]]="N/A",Table1[[#This Row],[DUT Adj Read]]="N/A",Table1[[#This Row],[Std Adj Read]]="N/A"),"N/A",IF(Table1[[#This Row],[DUT Adj Read]]="N/A",IF(Table1[[#This Row],[Std Adj Read]]&gt;=Table1[[#This Row],[Low Tol]],"Pass","Fail"),IF(Table1[[#This Row],[DUT Adj Read]]&gt;=Table1[[#This Row],[Low Tol]],"Pass","Fail")))</f>
        <v>Pass</v>
      </c>
      <c r="AG471" s="1" t="str">
        <f>IF(AND(Table1[[#This Row],[Spec Type2]]="N/A",Table1[[#This Row],[DUT Adj Read]]="N/A",Table1[[#This Row],[Std Adj Read]]="N/A"),"N/A",IF(Table1[[#This Row],[DUT Adj Read]]="N/A",IF(Table1[[#This Row],[Std Adj Read]]&lt;=Table1[[#This Row],[High Tol]],"Pass","Fail"),IF(Table1[[#This Row],[DUT Adj Read]]&lt;=Table1[[#This Row],[High Tol]],"Pass","Fail")))</f>
        <v>Fail</v>
      </c>
      <c r="AH4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1" s="1" t="b">
        <v>0</v>
      </c>
      <c r="AN471" s="1" t="b">
        <v>0</v>
      </c>
      <c r="AO471" s="1" t="b">
        <v>0</v>
      </c>
    </row>
    <row r="472" spans="1:41" x14ac:dyDescent="0.25">
      <c r="A472" s="10"/>
      <c r="B472" s="10"/>
      <c r="C472" s="10"/>
      <c r="D472" s="10"/>
      <c r="E472" s="10"/>
      <c r="F472" s="10"/>
      <c r="G472" s="10"/>
      <c r="H472" s="10"/>
      <c r="I472" s="1" t="str">
        <f t="shared" si="21"/>
        <v/>
      </c>
      <c r="J472" s="1" t="s">
        <v>35</v>
      </c>
      <c r="K472" s="1" t="str">
        <f t="shared" si="22"/>
        <v/>
      </c>
      <c r="L472" s="1" t="str">
        <f t="shared" si="23"/>
        <v/>
      </c>
      <c r="M472" s="1">
        <f>IF(OR(Table1[[#This Row],[Std Nom]]="",Table1[[#This Row],[Std Read]]=""),0,Table1[[#This Row],[Std Nom]]-Table1[[#This Row],[Std Read]])</f>
        <v>0</v>
      </c>
      <c r="N472" s="1">
        <f>IF(Calculations!$F$5="ACCREDITED 17025 WITH UNCERTAINTIES",$N$10,0)</f>
        <v>0</v>
      </c>
      <c r="Q472" s="1">
        <f>Table1[[#This Row],[High Tol]]-Table1[[#This Row],[Low Tol]]</f>
        <v>0</v>
      </c>
      <c r="R472" s="1">
        <f>2*Table1[[#This Row],[Std Error]]</f>
        <v>0</v>
      </c>
      <c r="S472" s="1" t="str">
        <f>IF(Table1[[#This Row],[High Tol]]="","N/A",IFERROR(ABS(Table1[[#This Row],[Tol Span]]/Table1[[#This Row],[Error Span]]),"N/A"))</f>
        <v>N/A</v>
      </c>
      <c r="T472" s="1" t="str">
        <f>IF(OR(Table1[[#This Row],[Low Tol]]="",Table1[[#This Row],[High Tol]]=""),"Needs Analysis",IF(Table1[[#This Row],[Ratio]]&gt;=4,"Not Significant",IF(Table1[[#This Row],[Ratio]]&gt;=2,"Semi-Significant","Significant")))</f>
        <v>Needs Analysis</v>
      </c>
      <c r="W472" s="1">
        <f>IF(Table1[[#This Row],[Cal Type]]&lt;&gt;"ACCREDITED 17025 WITH UNCERTAINTIES",0,"")</f>
        <v>0</v>
      </c>
      <c r="X472" s="1" t="str">
        <f>IF(Table1[[#This Row],[DUT Read]]="","N/A",Table1[[#This Row],[Std Error]]+Table1[[#This Row],[DUT Read]]+Table1[[#This Row],[DUT Ucty]])</f>
        <v>N/A</v>
      </c>
      <c r="Y472" s="1" t="str">
        <f>IF(Table1[[#This Row],[Std Read]]="","N/A",Table1[[#This Row],[Std Read]]+Table1[[#This Row],[Std Ucty]])</f>
        <v>N/A</v>
      </c>
      <c r="Z4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2" s="1" t="str">
        <f>IF(Table1[[#This Row],[Spec Type]]="","N/A",Table1[[#This Row],[Spec Type]])</f>
        <v>±</v>
      </c>
      <c r="AC472" s="1" t="str">
        <f>IF(Table1[[#This Row],[Spec Type2]]="N/A","N/A",IF(AND(Table1[[#This Row],[DUT Adj Read]]&gt;=Table1[[#This Row],[Low Tol]],Table1[[#This Row],[DUT Adj Read]]&lt;=Table1[[#This Row],[High Tol]]),"Pass","Fail"))</f>
        <v>Fail</v>
      </c>
      <c r="AD472" s="1" t="str">
        <f>IF(AND(Table1[[#This Row],[Spec Type2]]="N/A",Table1[[#This Row],[DUT Adj Read]]="N/A",Table1[[#This Row],[Std Adj Read]]="N/A"),"N/A",IF(Table1[[#This Row],[DUT Adj Read]]="N/A",IF(Table1[[#This Row],[Std Adj Read]]&gt;Table1[[#This Row],[Low Tol]],"Pass","Fail"),IF(Table1[[#This Row],[DUT Adj Read]]&gt;Table1[[#This Row],[Low Tol]],"Pass","Fail")))</f>
        <v>Pass</v>
      </c>
      <c r="AE472" s="1" t="str">
        <f>IF(AND(Table1[[#This Row],[Spec Type2]]="N/A",Table1[[#This Row],[DUT Adj Read]]="N/A",Table1[[#This Row],[Std Adj Read]]="N/A"),"N/A",IF(Table1[[#This Row],[DUT Adj Read]]="N/A",IF(Table1[[#This Row],[Std Adj Read]]&lt;Table1[[#This Row],[High Tol]],"Pass","Fail"),IF(Table1[[#This Row],[DUT Adj Read]]&lt;Table1[[#This Row],[High Tol]],"Pass","Fail")))</f>
        <v>Fail</v>
      </c>
      <c r="AF472" s="1" t="str">
        <f>IF(AND(Table1[[#This Row],[Spec Type2]]="N/A",Table1[[#This Row],[DUT Adj Read]]="N/A",Table1[[#This Row],[Std Adj Read]]="N/A"),"N/A",IF(Table1[[#This Row],[DUT Adj Read]]="N/A",IF(Table1[[#This Row],[Std Adj Read]]&gt;=Table1[[#This Row],[Low Tol]],"Pass","Fail"),IF(Table1[[#This Row],[DUT Adj Read]]&gt;=Table1[[#This Row],[Low Tol]],"Pass","Fail")))</f>
        <v>Pass</v>
      </c>
      <c r="AG472" s="1" t="str">
        <f>IF(AND(Table1[[#This Row],[Spec Type2]]="N/A",Table1[[#This Row],[DUT Adj Read]]="N/A",Table1[[#This Row],[Std Adj Read]]="N/A"),"N/A",IF(Table1[[#This Row],[DUT Adj Read]]="N/A",IF(Table1[[#This Row],[Std Adj Read]]&lt;=Table1[[#This Row],[High Tol]],"Pass","Fail"),IF(Table1[[#This Row],[DUT Adj Read]]&lt;=Table1[[#This Row],[High Tol]],"Pass","Fail")))</f>
        <v>Fail</v>
      </c>
      <c r="AH4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2" s="1" t="b">
        <v>0</v>
      </c>
      <c r="AN472" s="1" t="b">
        <v>0</v>
      </c>
      <c r="AO472" s="1" t="b">
        <v>0</v>
      </c>
    </row>
    <row r="473" spans="1:41" x14ac:dyDescent="0.25">
      <c r="A473" s="10"/>
      <c r="B473" s="10"/>
      <c r="C473" s="10"/>
      <c r="D473" s="10"/>
      <c r="E473" s="10"/>
      <c r="F473" s="10"/>
      <c r="G473" s="10"/>
      <c r="H473" s="10"/>
      <c r="I473" s="1" t="str">
        <f t="shared" si="21"/>
        <v/>
      </c>
      <c r="J473" s="1" t="s">
        <v>35</v>
      </c>
      <c r="K473" s="1" t="str">
        <f t="shared" si="22"/>
        <v/>
      </c>
      <c r="L473" s="1" t="str">
        <f t="shared" si="23"/>
        <v/>
      </c>
      <c r="M473" s="1">
        <f>IF(OR(Table1[[#This Row],[Std Nom]]="",Table1[[#This Row],[Std Read]]=""),0,Table1[[#This Row],[Std Nom]]-Table1[[#This Row],[Std Read]])</f>
        <v>0</v>
      </c>
      <c r="N473" s="1">
        <f>IF(Calculations!$F$5="ACCREDITED 17025 WITH UNCERTAINTIES",$N$10,0)</f>
        <v>0</v>
      </c>
      <c r="Q473" s="1">
        <f>Table1[[#This Row],[High Tol]]-Table1[[#This Row],[Low Tol]]</f>
        <v>0</v>
      </c>
      <c r="R473" s="1">
        <f>2*Table1[[#This Row],[Std Error]]</f>
        <v>0</v>
      </c>
      <c r="S473" s="1" t="str">
        <f>IF(Table1[[#This Row],[High Tol]]="","N/A",IFERROR(ABS(Table1[[#This Row],[Tol Span]]/Table1[[#This Row],[Error Span]]),"N/A"))</f>
        <v>N/A</v>
      </c>
      <c r="T473" s="1" t="str">
        <f>IF(OR(Table1[[#This Row],[Low Tol]]="",Table1[[#This Row],[High Tol]]=""),"Needs Analysis",IF(Table1[[#This Row],[Ratio]]&gt;=4,"Not Significant",IF(Table1[[#This Row],[Ratio]]&gt;=2,"Semi-Significant","Significant")))</f>
        <v>Needs Analysis</v>
      </c>
      <c r="W473" s="1">
        <f>IF(Table1[[#This Row],[Cal Type]]&lt;&gt;"ACCREDITED 17025 WITH UNCERTAINTIES",0,"")</f>
        <v>0</v>
      </c>
      <c r="X473" s="1" t="str">
        <f>IF(Table1[[#This Row],[DUT Read]]="","N/A",Table1[[#This Row],[Std Error]]+Table1[[#This Row],[DUT Read]]+Table1[[#This Row],[DUT Ucty]])</f>
        <v>N/A</v>
      </c>
      <c r="Y473" s="1" t="str">
        <f>IF(Table1[[#This Row],[Std Read]]="","N/A",Table1[[#This Row],[Std Read]]+Table1[[#This Row],[Std Ucty]])</f>
        <v>N/A</v>
      </c>
      <c r="Z4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3" s="1" t="str">
        <f>IF(Table1[[#This Row],[Spec Type]]="","N/A",Table1[[#This Row],[Spec Type]])</f>
        <v>±</v>
      </c>
      <c r="AC473" s="1" t="str">
        <f>IF(Table1[[#This Row],[Spec Type2]]="N/A","N/A",IF(AND(Table1[[#This Row],[DUT Adj Read]]&gt;=Table1[[#This Row],[Low Tol]],Table1[[#This Row],[DUT Adj Read]]&lt;=Table1[[#This Row],[High Tol]]),"Pass","Fail"))</f>
        <v>Fail</v>
      </c>
      <c r="AD473" s="1" t="str">
        <f>IF(AND(Table1[[#This Row],[Spec Type2]]="N/A",Table1[[#This Row],[DUT Adj Read]]="N/A",Table1[[#This Row],[Std Adj Read]]="N/A"),"N/A",IF(Table1[[#This Row],[DUT Adj Read]]="N/A",IF(Table1[[#This Row],[Std Adj Read]]&gt;Table1[[#This Row],[Low Tol]],"Pass","Fail"),IF(Table1[[#This Row],[DUT Adj Read]]&gt;Table1[[#This Row],[Low Tol]],"Pass","Fail")))</f>
        <v>Pass</v>
      </c>
      <c r="AE473" s="1" t="str">
        <f>IF(AND(Table1[[#This Row],[Spec Type2]]="N/A",Table1[[#This Row],[DUT Adj Read]]="N/A",Table1[[#This Row],[Std Adj Read]]="N/A"),"N/A",IF(Table1[[#This Row],[DUT Adj Read]]="N/A",IF(Table1[[#This Row],[Std Adj Read]]&lt;Table1[[#This Row],[High Tol]],"Pass","Fail"),IF(Table1[[#This Row],[DUT Adj Read]]&lt;Table1[[#This Row],[High Tol]],"Pass","Fail")))</f>
        <v>Fail</v>
      </c>
      <c r="AF473" s="1" t="str">
        <f>IF(AND(Table1[[#This Row],[Spec Type2]]="N/A",Table1[[#This Row],[DUT Adj Read]]="N/A",Table1[[#This Row],[Std Adj Read]]="N/A"),"N/A",IF(Table1[[#This Row],[DUT Adj Read]]="N/A",IF(Table1[[#This Row],[Std Adj Read]]&gt;=Table1[[#This Row],[Low Tol]],"Pass","Fail"),IF(Table1[[#This Row],[DUT Adj Read]]&gt;=Table1[[#This Row],[Low Tol]],"Pass","Fail")))</f>
        <v>Pass</v>
      </c>
      <c r="AG473" s="1" t="str">
        <f>IF(AND(Table1[[#This Row],[Spec Type2]]="N/A",Table1[[#This Row],[DUT Adj Read]]="N/A",Table1[[#This Row],[Std Adj Read]]="N/A"),"N/A",IF(Table1[[#This Row],[DUT Adj Read]]="N/A",IF(Table1[[#This Row],[Std Adj Read]]&lt;=Table1[[#This Row],[High Tol]],"Pass","Fail"),IF(Table1[[#This Row],[DUT Adj Read]]&lt;=Table1[[#This Row],[High Tol]],"Pass","Fail")))</f>
        <v>Fail</v>
      </c>
      <c r="AH4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3" s="1" t="b">
        <v>0</v>
      </c>
      <c r="AN473" s="1" t="b">
        <v>0</v>
      </c>
      <c r="AO473" s="1" t="b">
        <v>0</v>
      </c>
    </row>
    <row r="474" spans="1:41" x14ac:dyDescent="0.25">
      <c r="A474" s="10"/>
      <c r="B474" s="10"/>
      <c r="C474" s="10"/>
      <c r="D474" s="10"/>
      <c r="E474" s="10"/>
      <c r="F474" s="10"/>
      <c r="G474" s="10"/>
      <c r="H474" s="10"/>
      <c r="I474" s="1" t="str">
        <f t="shared" si="21"/>
        <v/>
      </c>
      <c r="J474" s="1" t="s">
        <v>35</v>
      </c>
      <c r="K474" s="1" t="str">
        <f t="shared" si="22"/>
        <v/>
      </c>
      <c r="L474" s="1" t="str">
        <f t="shared" si="23"/>
        <v/>
      </c>
      <c r="M474" s="1">
        <f>IF(OR(Table1[[#This Row],[Std Nom]]="",Table1[[#This Row],[Std Read]]=""),0,Table1[[#This Row],[Std Nom]]-Table1[[#This Row],[Std Read]])</f>
        <v>0</v>
      </c>
      <c r="N474" s="1">
        <f>IF(Calculations!$F$5="ACCREDITED 17025 WITH UNCERTAINTIES",$N$10,0)</f>
        <v>0</v>
      </c>
      <c r="Q474" s="1">
        <f>Table1[[#This Row],[High Tol]]-Table1[[#This Row],[Low Tol]]</f>
        <v>0</v>
      </c>
      <c r="R474" s="1">
        <f>2*Table1[[#This Row],[Std Error]]</f>
        <v>0</v>
      </c>
      <c r="S474" s="1" t="str">
        <f>IF(Table1[[#This Row],[High Tol]]="","N/A",IFERROR(ABS(Table1[[#This Row],[Tol Span]]/Table1[[#This Row],[Error Span]]),"N/A"))</f>
        <v>N/A</v>
      </c>
      <c r="T474" s="1" t="str">
        <f>IF(OR(Table1[[#This Row],[Low Tol]]="",Table1[[#This Row],[High Tol]]=""),"Needs Analysis",IF(Table1[[#This Row],[Ratio]]&gt;=4,"Not Significant",IF(Table1[[#This Row],[Ratio]]&gt;=2,"Semi-Significant","Significant")))</f>
        <v>Needs Analysis</v>
      </c>
      <c r="W474" s="1">
        <f>IF(Table1[[#This Row],[Cal Type]]&lt;&gt;"ACCREDITED 17025 WITH UNCERTAINTIES",0,"")</f>
        <v>0</v>
      </c>
      <c r="X474" s="1" t="str">
        <f>IF(Table1[[#This Row],[DUT Read]]="","N/A",Table1[[#This Row],[Std Error]]+Table1[[#This Row],[DUT Read]]+Table1[[#This Row],[DUT Ucty]])</f>
        <v>N/A</v>
      </c>
      <c r="Y474" s="1" t="str">
        <f>IF(Table1[[#This Row],[Std Read]]="","N/A",Table1[[#This Row],[Std Read]]+Table1[[#This Row],[Std Ucty]])</f>
        <v>N/A</v>
      </c>
      <c r="Z4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4" s="1" t="str">
        <f>IF(Table1[[#This Row],[Spec Type]]="","N/A",Table1[[#This Row],[Spec Type]])</f>
        <v>±</v>
      </c>
      <c r="AC474" s="1" t="str">
        <f>IF(Table1[[#This Row],[Spec Type2]]="N/A","N/A",IF(AND(Table1[[#This Row],[DUT Adj Read]]&gt;=Table1[[#This Row],[Low Tol]],Table1[[#This Row],[DUT Adj Read]]&lt;=Table1[[#This Row],[High Tol]]),"Pass","Fail"))</f>
        <v>Fail</v>
      </c>
      <c r="AD474" s="1" t="str">
        <f>IF(AND(Table1[[#This Row],[Spec Type2]]="N/A",Table1[[#This Row],[DUT Adj Read]]="N/A",Table1[[#This Row],[Std Adj Read]]="N/A"),"N/A",IF(Table1[[#This Row],[DUT Adj Read]]="N/A",IF(Table1[[#This Row],[Std Adj Read]]&gt;Table1[[#This Row],[Low Tol]],"Pass","Fail"),IF(Table1[[#This Row],[DUT Adj Read]]&gt;Table1[[#This Row],[Low Tol]],"Pass","Fail")))</f>
        <v>Pass</v>
      </c>
      <c r="AE474" s="1" t="str">
        <f>IF(AND(Table1[[#This Row],[Spec Type2]]="N/A",Table1[[#This Row],[DUT Adj Read]]="N/A",Table1[[#This Row],[Std Adj Read]]="N/A"),"N/A",IF(Table1[[#This Row],[DUT Adj Read]]="N/A",IF(Table1[[#This Row],[Std Adj Read]]&lt;Table1[[#This Row],[High Tol]],"Pass","Fail"),IF(Table1[[#This Row],[DUT Adj Read]]&lt;Table1[[#This Row],[High Tol]],"Pass","Fail")))</f>
        <v>Fail</v>
      </c>
      <c r="AF474" s="1" t="str">
        <f>IF(AND(Table1[[#This Row],[Spec Type2]]="N/A",Table1[[#This Row],[DUT Adj Read]]="N/A",Table1[[#This Row],[Std Adj Read]]="N/A"),"N/A",IF(Table1[[#This Row],[DUT Adj Read]]="N/A",IF(Table1[[#This Row],[Std Adj Read]]&gt;=Table1[[#This Row],[Low Tol]],"Pass","Fail"),IF(Table1[[#This Row],[DUT Adj Read]]&gt;=Table1[[#This Row],[Low Tol]],"Pass","Fail")))</f>
        <v>Pass</v>
      </c>
      <c r="AG474" s="1" t="str">
        <f>IF(AND(Table1[[#This Row],[Spec Type2]]="N/A",Table1[[#This Row],[DUT Adj Read]]="N/A",Table1[[#This Row],[Std Adj Read]]="N/A"),"N/A",IF(Table1[[#This Row],[DUT Adj Read]]="N/A",IF(Table1[[#This Row],[Std Adj Read]]&lt;=Table1[[#This Row],[High Tol]],"Pass","Fail"),IF(Table1[[#This Row],[DUT Adj Read]]&lt;=Table1[[#This Row],[High Tol]],"Pass","Fail")))</f>
        <v>Fail</v>
      </c>
      <c r="AH4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4" s="1" t="b">
        <v>0</v>
      </c>
      <c r="AN474" s="1" t="b">
        <v>0</v>
      </c>
      <c r="AO474" s="1" t="b">
        <v>0</v>
      </c>
    </row>
    <row r="475" spans="1:41" x14ac:dyDescent="0.25">
      <c r="A475" s="10"/>
      <c r="B475" s="10"/>
      <c r="C475" s="10"/>
      <c r="D475" s="10"/>
      <c r="E475" s="10"/>
      <c r="F475" s="10"/>
      <c r="G475" s="10"/>
      <c r="H475" s="10"/>
      <c r="I475" s="1" t="str">
        <f t="shared" si="21"/>
        <v/>
      </c>
      <c r="J475" s="1" t="s">
        <v>35</v>
      </c>
      <c r="K475" s="1" t="str">
        <f t="shared" si="22"/>
        <v/>
      </c>
      <c r="L475" s="1" t="str">
        <f t="shared" si="23"/>
        <v/>
      </c>
      <c r="M475" s="1">
        <f>IF(OR(Table1[[#This Row],[Std Nom]]="",Table1[[#This Row],[Std Read]]=""),0,Table1[[#This Row],[Std Nom]]-Table1[[#This Row],[Std Read]])</f>
        <v>0</v>
      </c>
      <c r="N475" s="1">
        <f>IF(Calculations!$F$5="ACCREDITED 17025 WITH UNCERTAINTIES",$N$10,0)</f>
        <v>0</v>
      </c>
      <c r="Q475" s="1">
        <f>Table1[[#This Row],[High Tol]]-Table1[[#This Row],[Low Tol]]</f>
        <v>0</v>
      </c>
      <c r="R475" s="1">
        <f>2*Table1[[#This Row],[Std Error]]</f>
        <v>0</v>
      </c>
      <c r="S475" s="1" t="str">
        <f>IF(Table1[[#This Row],[High Tol]]="","N/A",IFERROR(ABS(Table1[[#This Row],[Tol Span]]/Table1[[#This Row],[Error Span]]),"N/A"))</f>
        <v>N/A</v>
      </c>
      <c r="T475" s="1" t="str">
        <f>IF(OR(Table1[[#This Row],[Low Tol]]="",Table1[[#This Row],[High Tol]]=""),"Needs Analysis",IF(Table1[[#This Row],[Ratio]]&gt;=4,"Not Significant",IF(Table1[[#This Row],[Ratio]]&gt;=2,"Semi-Significant","Significant")))</f>
        <v>Needs Analysis</v>
      </c>
      <c r="W475" s="1">
        <f>IF(Table1[[#This Row],[Cal Type]]&lt;&gt;"ACCREDITED 17025 WITH UNCERTAINTIES",0,"")</f>
        <v>0</v>
      </c>
      <c r="X475" s="1" t="str">
        <f>IF(Table1[[#This Row],[DUT Read]]="","N/A",Table1[[#This Row],[Std Error]]+Table1[[#This Row],[DUT Read]]+Table1[[#This Row],[DUT Ucty]])</f>
        <v>N/A</v>
      </c>
      <c r="Y475" s="1" t="str">
        <f>IF(Table1[[#This Row],[Std Read]]="","N/A",Table1[[#This Row],[Std Read]]+Table1[[#This Row],[Std Ucty]])</f>
        <v>N/A</v>
      </c>
      <c r="Z4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5" s="1" t="str">
        <f>IF(Table1[[#This Row],[Spec Type]]="","N/A",Table1[[#This Row],[Spec Type]])</f>
        <v>±</v>
      </c>
      <c r="AC475" s="1" t="str">
        <f>IF(Table1[[#This Row],[Spec Type2]]="N/A","N/A",IF(AND(Table1[[#This Row],[DUT Adj Read]]&gt;=Table1[[#This Row],[Low Tol]],Table1[[#This Row],[DUT Adj Read]]&lt;=Table1[[#This Row],[High Tol]]),"Pass","Fail"))</f>
        <v>Fail</v>
      </c>
      <c r="AD475" s="1" t="str">
        <f>IF(AND(Table1[[#This Row],[Spec Type2]]="N/A",Table1[[#This Row],[DUT Adj Read]]="N/A",Table1[[#This Row],[Std Adj Read]]="N/A"),"N/A",IF(Table1[[#This Row],[DUT Adj Read]]="N/A",IF(Table1[[#This Row],[Std Adj Read]]&gt;Table1[[#This Row],[Low Tol]],"Pass","Fail"),IF(Table1[[#This Row],[DUT Adj Read]]&gt;Table1[[#This Row],[Low Tol]],"Pass","Fail")))</f>
        <v>Pass</v>
      </c>
      <c r="AE475" s="1" t="str">
        <f>IF(AND(Table1[[#This Row],[Spec Type2]]="N/A",Table1[[#This Row],[DUT Adj Read]]="N/A",Table1[[#This Row],[Std Adj Read]]="N/A"),"N/A",IF(Table1[[#This Row],[DUT Adj Read]]="N/A",IF(Table1[[#This Row],[Std Adj Read]]&lt;Table1[[#This Row],[High Tol]],"Pass","Fail"),IF(Table1[[#This Row],[DUT Adj Read]]&lt;Table1[[#This Row],[High Tol]],"Pass","Fail")))</f>
        <v>Fail</v>
      </c>
      <c r="AF475" s="1" t="str">
        <f>IF(AND(Table1[[#This Row],[Spec Type2]]="N/A",Table1[[#This Row],[DUT Adj Read]]="N/A",Table1[[#This Row],[Std Adj Read]]="N/A"),"N/A",IF(Table1[[#This Row],[DUT Adj Read]]="N/A",IF(Table1[[#This Row],[Std Adj Read]]&gt;=Table1[[#This Row],[Low Tol]],"Pass","Fail"),IF(Table1[[#This Row],[DUT Adj Read]]&gt;=Table1[[#This Row],[Low Tol]],"Pass","Fail")))</f>
        <v>Pass</v>
      </c>
      <c r="AG475" s="1" t="str">
        <f>IF(AND(Table1[[#This Row],[Spec Type2]]="N/A",Table1[[#This Row],[DUT Adj Read]]="N/A",Table1[[#This Row],[Std Adj Read]]="N/A"),"N/A",IF(Table1[[#This Row],[DUT Adj Read]]="N/A",IF(Table1[[#This Row],[Std Adj Read]]&lt;=Table1[[#This Row],[High Tol]],"Pass","Fail"),IF(Table1[[#This Row],[DUT Adj Read]]&lt;=Table1[[#This Row],[High Tol]],"Pass","Fail")))</f>
        <v>Fail</v>
      </c>
      <c r="AH4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5" s="1" t="b">
        <v>0</v>
      </c>
      <c r="AN475" s="1" t="b">
        <v>0</v>
      </c>
      <c r="AO475" s="1" t="b">
        <v>0</v>
      </c>
    </row>
    <row r="476" spans="1:41" x14ac:dyDescent="0.25">
      <c r="A476" s="10"/>
      <c r="B476" s="10"/>
      <c r="C476" s="10"/>
      <c r="D476" s="10"/>
      <c r="E476" s="10"/>
      <c r="F476" s="10"/>
      <c r="G476" s="10"/>
      <c r="H476" s="10"/>
      <c r="I476" s="1" t="str">
        <f t="shared" si="21"/>
        <v/>
      </c>
      <c r="J476" s="1" t="s">
        <v>35</v>
      </c>
      <c r="K476" s="1" t="str">
        <f t="shared" si="22"/>
        <v/>
      </c>
      <c r="L476" s="1" t="str">
        <f t="shared" si="23"/>
        <v/>
      </c>
      <c r="M476" s="1">
        <f>IF(OR(Table1[[#This Row],[Std Nom]]="",Table1[[#This Row],[Std Read]]=""),0,Table1[[#This Row],[Std Nom]]-Table1[[#This Row],[Std Read]])</f>
        <v>0</v>
      </c>
      <c r="N476" s="1">
        <f>IF(Calculations!$F$5="ACCREDITED 17025 WITH UNCERTAINTIES",$N$10,0)</f>
        <v>0</v>
      </c>
      <c r="Q476" s="1">
        <f>Table1[[#This Row],[High Tol]]-Table1[[#This Row],[Low Tol]]</f>
        <v>0</v>
      </c>
      <c r="R476" s="1">
        <f>2*Table1[[#This Row],[Std Error]]</f>
        <v>0</v>
      </c>
      <c r="S476" s="1" t="str">
        <f>IF(Table1[[#This Row],[High Tol]]="","N/A",IFERROR(ABS(Table1[[#This Row],[Tol Span]]/Table1[[#This Row],[Error Span]]),"N/A"))</f>
        <v>N/A</v>
      </c>
      <c r="T476" s="1" t="str">
        <f>IF(OR(Table1[[#This Row],[Low Tol]]="",Table1[[#This Row],[High Tol]]=""),"Needs Analysis",IF(Table1[[#This Row],[Ratio]]&gt;=4,"Not Significant",IF(Table1[[#This Row],[Ratio]]&gt;=2,"Semi-Significant","Significant")))</f>
        <v>Needs Analysis</v>
      </c>
      <c r="W476" s="1">
        <f>IF(Table1[[#This Row],[Cal Type]]&lt;&gt;"ACCREDITED 17025 WITH UNCERTAINTIES",0,"")</f>
        <v>0</v>
      </c>
      <c r="X476" s="1" t="str">
        <f>IF(Table1[[#This Row],[DUT Read]]="","N/A",Table1[[#This Row],[Std Error]]+Table1[[#This Row],[DUT Read]]+Table1[[#This Row],[DUT Ucty]])</f>
        <v>N/A</v>
      </c>
      <c r="Y476" s="1" t="str">
        <f>IF(Table1[[#This Row],[Std Read]]="","N/A",Table1[[#This Row],[Std Read]]+Table1[[#This Row],[Std Ucty]])</f>
        <v>N/A</v>
      </c>
      <c r="Z4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6" s="1" t="str">
        <f>IF(Table1[[#This Row],[Spec Type]]="","N/A",Table1[[#This Row],[Spec Type]])</f>
        <v>±</v>
      </c>
      <c r="AC476" s="1" t="str">
        <f>IF(Table1[[#This Row],[Spec Type2]]="N/A","N/A",IF(AND(Table1[[#This Row],[DUT Adj Read]]&gt;=Table1[[#This Row],[Low Tol]],Table1[[#This Row],[DUT Adj Read]]&lt;=Table1[[#This Row],[High Tol]]),"Pass","Fail"))</f>
        <v>Fail</v>
      </c>
      <c r="AD476" s="1" t="str">
        <f>IF(AND(Table1[[#This Row],[Spec Type2]]="N/A",Table1[[#This Row],[DUT Adj Read]]="N/A",Table1[[#This Row],[Std Adj Read]]="N/A"),"N/A",IF(Table1[[#This Row],[DUT Adj Read]]="N/A",IF(Table1[[#This Row],[Std Adj Read]]&gt;Table1[[#This Row],[Low Tol]],"Pass","Fail"),IF(Table1[[#This Row],[DUT Adj Read]]&gt;Table1[[#This Row],[Low Tol]],"Pass","Fail")))</f>
        <v>Pass</v>
      </c>
      <c r="AE476" s="1" t="str">
        <f>IF(AND(Table1[[#This Row],[Spec Type2]]="N/A",Table1[[#This Row],[DUT Adj Read]]="N/A",Table1[[#This Row],[Std Adj Read]]="N/A"),"N/A",IF(Table1[[#This Row],[DUT Adj Read]]="N/A",IF(Table1[[#This Row],[Std Adj Read]]&lt;Table1[[#This Row],[High Tol]],"Pass","Fail"),IF(Table1[[#This Row],[DUT Adj Read]]&lt;Table1[[#This Row],[High Tol]],"Pass","Fail")))</f>
        <v>Fail</v>
      </c>
      <c r="AF476" s="1" t="str">
        <f>IF(AND(Table1[[#This Row],[Spec Type2]]="N/A",Table1[[#This Row],[DUT Adj Read]]="N/A",Table1[[#This Row],[Std Adj Read]]="N/A"),"N/A",IF(Table1[[#This Row],[DUT Adj Read]]="N/A",IF(Table1[[#This Row],[Std Adj Read]]&gt;=Table1[[#This Row],[Low Tol]],"Pass","Fail"),IF(Table1[[#This Row],[DUT Adj Read]]&gt;=Table1[[#This Row],[Low Tol]],"Pass","Fail")))</f>
        <v>Pass</v>
      </c>
      <c r="AG476" s="1" t="str">
        <f>IF(AND(Table1[[#This Row],[Spec Type2]]="N/A",Table1[[#This Row],[DUT Adj Read]]="N/A",Table1[[#This Row],[Std Adj Read]]="N/A"),"N/A",IF(Table1[[#This Row],[DUT Adj Read]]="N/A",IF(Table1[[#This Row],[Std Adj Read]]&lt;=Table1[[#This Row],[High Tol]],"Pass","Fail"),IF(Table1[[#This Row],[DUT Adj Read]]&lt;=Table1[[#This Row],[High Tol]],"Pass","Fail")))</f>
        <v>Fail</v>
      </c>
      <c r="AH4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6" s="1" t="b">
        <v>0</v>
      </c>
      <c r="AN476" s="1" t="b">
        <v>0</v>
      </c>
      <c r="AO476" s="1" t="b">
        <v>0</v>
      </c>
    </row>
    <row r="477" spans="1:41" x14ac:dyDescent="0.25">
      <c r="A477" s="10"/>
      <c r="B477" s="10"/>
      <c r="C477" s="10"/>
      <c r="D477" s="10"/>
      <c r="E477" s="10"/>
      <c r="F477" s="10"/>
      <c r="G477" s="10"/>
      <c r="H477" s="10"/>
      <c r="I477" s="1" t="str">
        <f t="shared" si="21"/>
        <v/>
      </c>
      <c r="J477" s="1" t="s">
        <v>35</v>
      </c>
      <c r="K477" s="1" t="str">
        <f t="shared" si="22"/>
        <v/>
      </c>
      <c r="L477" s="1" t="str">
        <f t="shared" si="23"/>
        <v/>
      </c>
      <c r="M477" s="1">
        <f>IF(OR(Table1[[#This Row],[Std Nom]]="",Table1[[#This Row],[Std Read]]=""),0,Table1[[#This Row],[Std Nom]]-Table1[[#This Row],[Std Read]])</f>
        <v>0</v>
      </c>
      <c r="N477" s="1">
        <f>IF(Calculations!$F$5="ACCREDITED 17025 WITH UNCERTAINTIES",$N$10,0)</f>
        <v>0</v>
      </c>
      <c r="Q477" s="1">
        <f>Table1[[#This Row],[High Tol]]-Table1[[#This Row],[Low Tol]]</f>
        <v>0</v>
      </c>
      <c r="R477" s="1">
        <f>2*Table1[[#This Row],[Std Error]]</f>
        <v>0</v>
      </c>
      <c r="S477" s="1" t="str">
        <f>IF(Table1[[#This Row],[High Tol]]="","N/A",IFERROR(ABS(Table1[[#This Row],[Tol Span]]/Table1[[#This Row],[Error Span]]),"N/A"))</f>
        <v>N/A</v>
      </c>
      <c r="T477" s="1" t="str">
        <f>IF(OR(Table1[[#This Row],[Low Tol]]="",Table1[[#This Row],[High Tol]]=""),"Needs Analysis",IF(Table1[[#This Row],[Ratio]]&gt;=4,"Not Significant",IF(Table1[[#This Row],[Ratio]]&gt;=2,"Semi-Significant","Significant")))</f>
        <v>Needs Analysis</v>
      </c>
      <c r="W477" s="1">
        <f>IF(Table1[[#This Row],[Cal Type]]&lt;&gt;"ACCREDITED 17025 WITH UNCERTAINTIES",0,"")</f>
        <v>0</v>
      </c>
      <c r="X477" s="1" t="str">
        <f>IF(Table1[[#This Row],[DUT Read]]="","N/A",Table1[[#This Row],[Std Error]]+Table1[[#This Row],[DUT Read]]+Table1[[#This Row],[DUT Ucty]])</f>
        <v>N/A</v>
      </c>
      <c r="Y477" s="1" t="str">
        <f>IF(Table1[[#This Row],[Std Read]]="","N/A",Table1[[#This Row],[Std Read]]+Table1[[#This Row],[Std Ucty]])</f>
        <v>N/A</v>
      </c>
      <c r="Z4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7" s="1" t="str">
        <f>IF(Table1[[#This Row],[Spec Type]]="","N/A",Table1[[#This Row],[Spec Type]])</f>
        <v>±</v>
      </c>
      <c r="AC477" s="1" t="str">
        <f>IF(Table1[[#This Row],[Spec Type2]]="N/A","N/A",IF(AND(Table1[[#This Row],[DUT Adj Read]]&gt;=Table1[[#This Row],[Low Tol]],Table1[[#This Row],[DUT Adj Read]]&lt;=Table1[[#This Row],[High Tol]]),"Pass","Fail"))</f>
        <v>Fail</v>
      </c>
      <c r="AD477" s="1" t="str">
        <f>IF(AND(Table1[[#This Row],[Spec Type2]]="N/A",Table1[[#This Row],[DUT Adj Read]]="N/A",Table1[[#This Row],[Std Adj Read]]="N/A"),"N/A",IF(Table1[[#This Row],[DUT Adj Read]]="N/A",IF(Table1[[#This Row],[Std Adj Read]]&gt;Table1[[#This Row],[Low Tol]],"Pass","Fail"),IF(Table1[[#This Row],[DUT Adj Read]]&gt;Table1[[#This Row],[Low Tol]],"Pass","Fail")))</f>
        <v>Pass</v>
      </c>
      <c r="AE477" s="1" t="str">
        <f>IF(AND(Table1[[#This Row],[Spec Type2]]="N/A",Table1[[#This Row],[DUT Adj Read]]="N/A",Table1[[#This Row],[Std Adj Read]]="N/A"),"N/A",IF(Table1[[#This Row],[DUT Adj Read]]="N/A",IF(Table1[[#This Row],[Std Adj Read]]&lt;Table1[[#This Row],[High Tol]],"Pass","Fail"),IF(Table1[[#This Row],[DUT Adj Read]]&lt;Table1[[#This Row],[High Tol]],"Pass","Fail")))</f>
        <v>Fail</v>
      </c>
      <c r="AF477" s="1" t="str">
        <f>IF(AND(Table1[[#This Row],[Spec Type2]]="N/A",Table1[[#This Row],[DUT Adj Read]]="N/A",Table1[[#This Row],[Std Adj Read]]="N/A"),"N/A",IF(Table1[[#This Row],[DUT Adj Read]]="N/A",IF(Table1[[#This Row],[Std Adj Read]]&gt;=Table1[[#This Row],[Low Tol]],"Pass","Fail"),IF(Table1[[#This Row],[DUT Adj Read]]&gt;=Table1[[#This Row],[Low Tol]],"Pass","Fail")))</f>
        <v>Pass</v>
      </c>
      <c r="AG477" s="1" t="str">
        <f>IF(AND(Table1[[#This Row],[Spec Type2]]="N/A",Table1[[#This Row],[DUT Adj Read]]="N/A",Table1[[#This Row],[Std Adj Read]]="N/A"),"N/A",IF(Table1[[#This Row],[DUT Adj Read]]="N/A",IF(Table1[[#This Row],[Std Adj Read]]&lt;=Table1[[#This Row],[High Tol]],"Pass","Fail"),IF(Table1[[#This Row],[DUT Adj Read]]&lt;=Table1[[#This Row],[High Tol]],"Pass","Fail")))</f>
        <v>Fail</v>
      </c>
      <c r="AH4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7" s="1" t="b">
        <v>0</v>
      </c>
      <c r="AN477" s="1" t="b">
        <v>0</v>
      </c>
      <c r="AO477" s="1" t="b">
        <v>0</v>
      </c>
    </row>
    <row r="478" spans="1:41" x14ac:dyDescent="0.25">
      <c r="A478" s="10"/>
      <c r="B478" s="10"/>
      <c r="C478" s="10"/>
      <c r="D478" s="10"/>
      <c r="E478" s="10"/>
      <c r="F478" s="10"/>
      <c r="G478" s="10"/>
      <c r="H478" s="10"/>
      <c r="I478" s="1" t="str">
        <f t="shared" si="21"/>
        <v/>
      </c>
      <c r="J478" s="1" t="s">
        <v>35</v>
      </c>
      <c r="K478" s="1" t="str">
        <f t="shared" si="22"/>
        <v/>
      </c>
      <c r="L478" s="1" t="str">
        <f t="shared" si="23"/>
        <v/>
      </c>
      <c r="M478" s="1">
        <f>IF(OR(Table1[[#This Row],[Std Nom]]="",Table1[[#This Row],[Std Read]]=""),0,Table1[[#This Row],[Std Nom]]-Table1[[#This Row],[Std Read]])</f>
        <v>0</v>
      </c>
      <c r="N478" s="1">
        <f>IF(Calculations!$F$5="ACCREDITED 17025 WITH UNCERTAINTIES",$N$10,0)</f>
        <v>0</v>
      </c>
      <c r="Q478" s="1">
        <f>Table1[[#This Row],[High Tol]]-Table1[[#This Row],[Low Tol]]</f>
        <v>0</v>
      </c>
      <c r="R478" s="1">
        <f>2*Table1[[#This Row],[Std Error]]</f>
        <v>0</v>
      </c>
      <c r="S478" s="1" t="str">
        <f>IF(Table1[[#This Row],[High Tol]]="","N/A",IFERROR(ABS(Table1[[#This Row],[Tol Span]]/Table1[[#This Row],[Error Span]]),"N/A"))</f>
        <v>N/A</v>
      </c>
      <c r="T478" s="1" t="str">
        <f>IF(OR(Table1[[#This Row],[Low Tol]]="",Table1[[#This Row],[High Tol]]=""),"Needs Analysis",IF(Table1[[#This Row],[Ratio]]&gt;=4,"Not Significant",IF(Table1[[#This Row],[Ratio]]&gt;=2,"Semi-Significant","Significant")))</f>
        <v>Needs Analysis</v>
      </c>
      <c r="W478" s="1">
        <f>IF(Table1[[#This Row],[Cal Type]]&lt;&gt;"ACCREDITED 17025 WITH UNCERTAINTIES",0,"")</f>
        <v>0</v>
      </c>
      <c r="X478" s="1" t="str">
        <f>IF(Table1[[#This Row],[DUT Read]]="","N/A",Table1[[#This Row],[Std Error]]+Table1[[#This Row],[DUT Read]]+Table1[[#This Row],[DUT Ucty]])</f>
        <v>N/A</v>
      </c>
      <c r="Y478" s="1" t="str">
        <f>IF(Table1[[#This Row],[Std Read]]="","N/A",Table1[[#This Row],[Std Read]]+Table1[[#This Row],[Std Ucty]])</f>
        <v>N/A</v>
      </c>
      <c r="Z4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8" s="1" t="str">
        <f>IF(Table1[[#This Row],[Spec Type]]="","N/A",Table1[[#This Row],[Spec Type]])</f>
        <v>±</v>
      </c>
      <c r="AC478" s="1" t="str">
        <f>IF(Table1[[#This Row],[Spec Type2]]="N/A","N/A",IF(AND(Table1[[#This Row],[DUT Adj Read]]&gt;=Table1[[#This Row],[Low Tol]],Table1[[#This Row],[DUT Adj Read]]&lt;=Table1[[#This Row],[High Tol]]),"Pass","Fail"))</f>
        <v>Fail</v>
      </c>
      <c r="AD478" s="1" t="str">
        <f>IF(AND(Table1[[#This Row],[Spec Type2]]="N/A",Table1[[#This Row],[DUT Adj Read]]="N/A",Table1[[#This Row],[Std Adj Read]]="N/A"),"N/A",IF(Table1[[#This Row],[DUT Adj Read]]="N/A",IF(Table1[[#This Row],[Std Adj Read]]&gt;Table1[[#This Row],[Low Tol]],"Pass","Fail"),IF(Table1[[#This Row],[DUT Adj Read]]&gt;Table1[[#This Row],[Low Tol]],"Pass","Fail")))</f>
        <v>Pass</v>
      </c>
      <c r="AE478" s="1" t="str">
        <f>IF(AND(Table1[[#This Row],[Spec Type2]]="N/A",Table1[[#This Row],[DUT Adj Read]]="N/A",Table1[[#This Row],[Std Adj Read]]="N/A"),"N/A",IF(Table1[[#This Row],[DUT Adj Read]]="N/A",IF(Table1[[#This Row],[Std Adj Read]]&lt;Table1[[#This Row],[High Tol]],"Pass","Fail"),IF(Table1[[#This Row],[DUT Adj Read]]&lt;Table1[[#This Row],[High Tol]],"Pass","Fail")))</f>
        <v>Fail</v>
      </c>
      <c r="AF478" s="1" t="str">
        <f>IF(AND(Table1[[#This Row],[Spec Type2]]="N/A",Table1[[#This Row],[DUT Adj Read]]="N/A",Table1[[#This Row],[Std Adj Read]]="N/A"),"N/A",IF(Table1[[#This Row],[DUT Adj Read]]="N/A",IF(Table1[[#This Row],[Std Adj Read]]&gt;=Table1[[#This Row],[Low Tol]],"Pass","Fail"),IF(Table1[[#This Row],[DUT Adj Read]]&gt;=Table1[[#This Row],[Low Tol]],"Pass","Fail")))</f>
        <v>Pass</v>
      </c>
      <c r="AG478" s="1" t="str">
        <f>IF(AND(Table1[[#This Row],[Spec Type2]]="N/A",Table1[[#This Row],[DUT Adj Read]]="N/A",Table1[[#This Row],[Std Adj Read]]="N/A"),"N/A",IF(Table1[[#This Row],[DUT Adj Read]]="N/A",IF(Table1[[#This Row],[Std Adj Read]]&lt;=Table1[[#This Row],[High Tol]],"Pass","Fail"),IF(Table1[[#This Row],[DUT Adj Read]]&lt;=Table1[[#This Row],[High Tol]],"Pass","Fail")))</f>
        <v>Fail</v>
      </c>
      <c r="AH4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8" s="1" t="b">
        <v>0</v>
      </c>
      <c r="AN478" s="1" t="b">
        <v>0</v>
      </c>
      <c r="AO478" s="1" t="b">
        <v>0</v>
      </c>
    </row>
    <row r="479" spans="1:41" x14ac:dyDescent="0.25">
      <c r="A479" s="10"/>
      <c r="B479" s="10"/>
      <c r="C479" s="10"/>
      <c r="D479" s="10"/>
      <c r="E479" s="10"/>
      <c r="F479" s="10"/>
      <c r="G479" s="10"/>
      <c r="H479" s="10"/>
      <c r="I479" s="1" t="str">
        <f t="shared" si="21"/>
        <v/>
      </c>
      <c r="J479" s="1" t="s">
        <v>35</v>
      </c>
      <c r="K479" s="1" t="str">
        <f t="shared" si="22"/>
        <v/>
      </c>
      <c r="L479" s="1" t="str">
        <f t="shared" si="23"/>
        <v/>
      </c>
      <c r="M479" s="1">
        <f>IF(OR(Table1[[#This Row],[Std Nom]]="",Table1[[#This Row],[Std Read]]=""),0,Table1[[#This Row],[Std Nom]]-Table1[[#This Row],[Std Read]])</f>
        <v>0</v>
      </c>
      <c r="N479" s="1">
        <f>IF(Calculations!$F$5="ACCREDITED 17025 WITH UNCERTAINTIES",$N$10,0)</f>
        <v>0</v>
      </c>
      <c r="Q479" s="1">
        <f>Table1[[#This Row],[High Tol]]-Table1[[#This Row],[Low Tol]]</f>
        <v>0</v>
      </c>
      <c r="R479" s="1">
        <f>2*Table1[[#This Row],[Std Error]]</f>
        <v>0</v>
      </c>
      <c r="S479" s="1" t="str">
        <f>IF(Table1[[#This Row],[High Tol]]="","N/A",IFERROR(ABS(Table1[[#This Row],[Tol Span]]/Table1[[#This Row],[Error Span]]),"N/A"))</f>
        <v>N/A</v>
      </c>
      <c r="T479" s="1" t="str">
        <f>IF(OR(Table1[[#This Row],[Low Tol]]="",Table1[[#This Row],[High Tol]]=""),"Needs Analysis",IF(Table1[[#This Row],[Ratio]]&gt;=4,"Not Significant",IF(Table1[[#This Row],[Ratio]]&gt;=2,"Semi-Significant","Significant")))</f>
        <v>Needs Analysis</v>
      </c>
      <c r="W479" s="1">
        <f>IF(Table1[[#This Row],[Cal Type]]&lt;&gt;"ACCREDITED 17025 WITH UNCERTAINTIES",0,"")</f>
        <v>0</v>
      </c>
      <c r="X479" s="1" t="str">
        <f>IF(Table1[[#This Row],[DUT Read]]="","N/A",Table1[[#This Row],[Std Error]]+Table1[[#This Row],[DUT Read]]+Table1[[#This Row],[DUT Ucty]])</f>
        <v>N/A</v>
      </c>
      <c r="Y479" s="1" t="str">
        <f>IF(Table1[[#This Row],[Std Read]]="","N/A",Table1[[#This Row],[Std Read]]+Table1[[#This Row],[Std Ucty]])</f>
        <v>N/A</v>
      </c>
      <c r="Z4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79" s="1" t="str">
        <f>IF(Table1[[#This Row],[Spec Type]]="","N/A",Table1[[#This Row],[Spec Type]])</f>
        <v>±</v>
      </c>
      <c r="AC479" s="1" t="str">
        <f>IF(Table1[[#This Row],[Spec Type2]]="N/A","N/A",IF(AND(Table1[[#This Row],[DUT Adj Read]]&gt;=Table1[[#This Row],[Low Tol]],Table1[[#This Row],[DUT Adj Read]]&lt;=Table1[[#This Row],[High Tol]]),"Pass","Fail"))</f>
        <v>Fail</v>
      </c>
      <c r="AD479" s="1" t="str">
        <f>IF(AND(Table1[[#This Row],[Spec Type2]]="N/A",Table1[[#This Row],[DUT Adj Read]]="N/A",Table1[[#This Row],[Std Adj Read]]="N/A"),"N/A",IF(Table1[[#This Row],[DUT Adj Read]]="N/A",IF(Table1[[#This Row],[Std Adj Read]]&gt;Table1[[#This Row],[Low Tol]],"Pass","Fail"),IF(Table1[[#This Row],[DUT Adj Read]]&gt;Table1[[#This Row],[Low Tol]],"Pass","Fail")))</f>
        <v>Pass</v>
      </c>
      <c r="AE479" s="1" t="str">
        <f>IF(AND(Table1[[#This Row],[Spec Type2]]="N/A",Table1[[#This Row],[DUT Adj Read]]="N/A",Table1[[#This Row],[Std Adj Read]]="N/A"),"N/A",IF(Table1[[#This Row],[DUT Adj Read]]="N/A",IF(Table1[[#This Row],[Std Adj Read]]&lt;Table1[[#This Row],[High Tol]],"Pass","Fail"),IF(Table1[[#This Row],[DUT Adj Read]]&lt;Table1[[#This Row],[High Tol]],"Pass","Fail")))</f>
        <v>Fail</v>
      </c>
      <c r="AF479" s="1" t="str">
        <f>IF(AND(Table1[[#This Row],[Spec Type2]]="N/A",Table1[[#This Row],[DUT Adj Read]]="N/A",Table1[[#This Row],[Std Adj Read]]="N/A"),"N/A",IF(Table1[[#This Row],[DUT Adj Read]]="N/A",IF(Table1[[#This Row],[Std Adj Read]]&gt;=Table1[[#This Row],[Low Tol]],"Pass","Fail"),IF(Table1[[#This Row],[DUT Adj Read]]&gt;=Table1[[#This Row],[Low Tol]],"Pass","Fail")))</f>
        <v>Pass</v>
      </c>
      <c r="AG479" s="1" t="str">
        <f>IF(AND(Table1[[#This Row],[Spec Type2]]="N/A",Table1[[#This Row],[DUT Adj Read]]="N/A",Table1[[#This Row],[Std Adj Read]]="N/A"),"N/A",IF(Table1[[#This Row],[DUT Adj Read]]="N/A",IF(Table1[[#This Row],[Std Adj Read]]&lt;=Table1[[#This Row],[High Tol]],"Pass","Fail"),IF(Table1[[#This Row],[DUT Adj Read]]&lt;=Table1[[#This Row],[High Tol]],"Pass","Fail")))</f>
        <v>Fail</v>
      </c>
      <c r="AH4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79" s="1" t="b">
        <v>0</v>
      </c>
      <c r="AN479" s="1" t="b">
        <v>0</v>
      </c>
      <c r="AO479" s="1" t="b">
        <v>0</v>
      </c>
    </row>
    <row r="480" spans="1:41" x14ac:dyDescent="0.25">
      <c r="A480" s="10"/>
      <c r="B480" s="10"/>
      <c r="C480" s="10"/>
      <c r="D480" s="10"/>
      <c r="E480" s="10"/>
      <c r="F480" s="10"/>
      <c r="G480" s="10"/>
      <c r="H480" s="10"/>
      <c r="I480" s="1" t="str">
        <f t="shared" si="21"/>
        <v/>
      </c>
      <c r="J480" s="1" t="s">
        <v>35</v>
      </c>
      <c r="K480" s="1" t="str">
        <f t="shared" si="22"/>
        <v/>
      </c>
      <c r="L480" s="1" t="str">
        <f t="shared" si="23"/>
        <v/>
      </c>
      <c r="M480" s="1">
        <f>IF(OR(Table1[[#This Row],[Std Nom]]="",Table1[[#This Row],[Std Read]]=""),0,Table1[[#This Row],[Std Nom]]-Table1[[#This Row],[Std Read]])</f>
        <v>0</v>
      </c>
      <c r="N480" s="1">
        <f>IF(Calculations!$F$5="ACCREDITED 17025 WITH UNCERTAINTIES",$N$10,0)</f>
        <v>0</v>
      </c>
      <c r="Q480" s="1">
        <f>Table1[[#This Row],[High Tol]]-Table1[[#This Row],[Low Tol]]</f>
        <v>0</v>
      </c>
      <c r="R480" s="1">
        <f>2*Table1[[#This Row],[Std Error]]</f>
        <v>0</v>
      </c>
      <c r="S480" s="1" t="str">
        <f>IF(Table1[[#This Row],[High Tol]]="","N/A",IFERROR(ABS(Table1[[#This Row],[Tol Span]]/Table1[[#This Row],[Error Span]]),"N/A"))</f>
        <v>N/A</v>
      </c>
      <c r="T480" s="1" t="str">
        <f>IF(OR(Table1[[#This Row],[Low Tol]]="",Table1[[#This Row],[High Tol]]=""),"Needs Analysis",IF(Table1[[#This Row],[Ratio]]&gt;=4,"Not Significant",IF(Table1[[#This Row],[Ratio]]&gt;=2,"Semi-Significant","Significant")))</f>
        <v>Needs Analysis</v>
      </c>
      <c r="W480" s="1">
        <f>IF(Table1[[#This Row],[Cal Type]]&lt;&gt;"ACCREDITED 17025 WITH UNCERTAINTIES",0,"")</f>
        <v>0</v>
      </c>
      <c r="X480" s="1" t="str">
        <f>IF(Table1[[#This Row],[DUT Read]]="","N/A",Table1[[#This Row],[Std Error]]+Table1[[#This Row],[DUT Read]]+Table1[[#This Row],[DUT Ucty]])</f>
        <v>N/A</v>
      </c>
      <c r="Y480" s="1" t="str">
        <f>IF(Table1[[#This Row],[Std Read]]="","N/A",Table1[[#This Row],[Std Read]]+Table1[[#This Row],[Std Ucty]])</f>
        <v>N/A</v>
      </c>
      <c r="Z4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0" s="1" t="str">
        <f>IF(Table1[[#This Row],[Spec Type]]="","N/A",Table1[[#This Row],[Spec Type]])</f>
        <v>±</v>
      </c>
      <c r="AC480" s="1" t="str">
        <f>IF(Table1[[#This Row],[Spec Type2]]="N/A","N/A",IF(AND(Table1[[#This Row],[DUT Adj Read]]&gt;=Table1[[#This Row],[Low Tol]],Table1[[#This Row],[DUT Adj Read]]&lt;=Table1[[#This Row],[High Tol]]),"Pass","Fail"))</f>
        <v>Fail</v>
      </c>
      <c r="AD480" s="1" t="str">
        <f>IF(AND(Table1[[#This Row],[Spec Type2]]="N/A",Table1[[#This Row],[DUT Adj Read]]="N/A",Table1[[#This Row],[Std Adj Read]]="N/A"),"N/A",IF(Table1[[#This Row],[DUT Adj Read]]="N/A",IF(Table1[[#This Row],[Std Adj Read]]&gt;Table1[[#This Row],[Low Tol]],"Pass","Fail"),IF(Table1[[#This Row],[DUT Adj Read]]&gt;Table1[[#This Row],[Low Tol]],"Pass","Fail")))</f>
        <v>Pass</v>
      </c>
      <c r="AE480" s="1" t="str">
        <f>IF(AND(Table1[[#This Row],[Spec Type2]]="N/A",Table1[[#This Row],[DUT Adj Read]]="N/A",Table1[[#This Row],[Std Adj Read]]="N/A"),"N/A",IF(Table1[[#This Row],[DUT Adj Read]]="N/A",IF(Table1[[#This Row],[Std Adj Read]]&lt;Table1[[#This Row],[High Tol]],"Pass","Fail"),IF(Table1[[#This Row],[DUT Adj Read]]&lt;Table1[[#This Row],[High Tol]],"Pass","Fail")))</f>
        <v>Fail</v>
      </c>
      <c r="AF480" s="1" t="str">
        <f>IF(AND(Table1[[#This Row],[Spec Type2]]="N/A",Table1[[#This Row],[DUT Adj Read]]="N/A",Table1[[#This Row],[Std Adj Read]]="N/A"),"N/A",IF(Table1[[#This Row],[DUT Adj Read]]="N/A",IF(Table1[[#This Row],[Std Adj Read]]&gt;=Table1[[#This Row],[Low Tol]],"Pass","Fail"),IF(Table1[[#This Row],[DUT Adj Read]]&gt;=Table1[[#This Row],[Low Tol]],"Pass","Fail")))</f>
        <v>Pass</v>
      </c>
      <c r="AG480" s="1" t="str">
        <f>IF(AND(Table1[[#This Row],[Spec Type2]]="N/A",Table1[[#This Row],[DUT Adj Read]]="N/A",Table1[[#This Row],[Std Adj Read]]="N/A"),"N/A",IF(Table1[[#This Row],[DUT Adj Read]]="N/A",IF(Table1[[#This Row],[Std Adj Read]]&lt;=Table1[[#This Row],[High Tol]],"Pass","Fail"),IF(Table1[[#This Row],[DUT Adj Read]]&lt;=Table1[[#This Row],[High Tol]],"Pass","Fail")))</f>
        <v>Fail</v>
      </c>
      <c r="AH4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0" s="1" t="b">
        <v>0</v>
      </c>
      <c r="AN480" s="1" t="b">
        <v>0</v>
      </c>
      <c r="AO480" s="1" t="b">
        <v>0</v>
      </c>
    </row>
    <row r="481" spans="1:41" x14ac:dyDescent="0.25">
      <c r="A481" s="10"/>
      <c r="B481" s="10"/>
      <c r="C481" s="10"/>
      <c r="D481" s="10"/>
      <c r="E481" s="10"/>
      <c r="F481" s="10"/>
      <c r="G481" s="10"/>
      <c r="H481" s="10"/>
      <c r="I481" s="1" t="str">
        <f t="shared" si="21"/>
        <v/>
      </c>
      <c r="J481" s="1" t="s">
        <v>35</v>
      </c>
      <c r="K481" s="1" t="str">
        <f t="shared" si="22"/>
        <v/>
      </c>
      <c r="L481" s="1" t="str">
        <f t="shared" si="23"/>
        <v/>
      </c>
      <c r="M481" s="1">
        <f>IF(OR(Table1[[#This Row],[Std Nom]]="",Table1[[#This Row],[Std Read]]=""),0,Table1[[#This Row],[Std Nom]]-Table1[[#This Row],[Std Read]])</f>
        <v>0</v>
      </c>
      <c r="N481" s="1">
        <f>IF(Calculations!$F$5="ACCREDITED 17025 WITH UNCERTAINTIES",$N$10,0)</f>
        <v>0</v>
      </c>
      <c r="Q481" s="1">
        <f>Table1[[#This Row],[High Tol]]-Table1[[#This Row],[Low Tol]]</f>
        <v>0</v>
      </c>
      <c r="R481" s="1">
        <f>2*Table1[[#This Row],[Std Error]]</f>
        <v>0</v>
      </c>
      <c r="S481" s="1" t="str">
        <f>IF(Table1[[#This Row],[High Tol]]="","N/A",IFERROR(ABS(Table1[[#This Row],[Tol Span]]/Table1[[#This Row],[Error Span]]),"N/A"))</f>
        <v>N/A</v>
      </c>
      <c r="T481" s="1" t="str">
        <f>IF(OR(Table1[[#This Row],[Low Tol]]="",Table1[[#This Row],[High Tol]]=""),"Needs Analysis",IF(Table1[[#This Row],[Ratio]]&gt;=4,"Not Significant",IF(Table1[[#This Row],[Ratio]]&gt;=2,"Semi-Significant","Significant")))</f>
        <v>Needs Analysis</v>
      </c>
      <c r="W481" s="1">
        <f>IF(Table1[[#This Row],[Cal Type]]&lt;&gt;"ACCREDITED 17025 WITH UNCERTAINTIES",0,"")</f>
        <v>0</v>
      </c>
      <c r="X481" s="1" t="str">
        <f>IF(Table1[[#This Row],[DUT Read]]="","N/A",Table1[[#This Row],[Std Error]]+Table1[[#This Row],[DUT Read]]+Table1[[#This Row],[DUT Ucty]])</f>
        <v>N/A</v>
      </c>
      <c r="Y481" s="1" t="str">
        <f>IF(Table1[[#This Row],[Std Read]]="","N/A",Table1[[#This Row],[Std Read]]+Table1[[#This Row],[Std Ucty]])</f>
        <v>N/A</v>
      </c>
      <c r="Z4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1" s="1" t="str">
        <f>IF(Table1[[#This Row],[Spec Type]]="","N/A",Table1[[#This Row],[Spec Type]])</f>
        <v>±</v>
      </c>
      <c r="AC481" s="1" t="str">
        <f>IF(Table1[[#This Row],[Spec Type2]]="N/A","N/A",IF(AND(Table1[[#This Row],[DUT Adj Read]]&gt;=Table1[[#This Row],[Low Tol]],Table1[[#This Row],[DUT Adj Read]]&lt;=Table1[[#This Row],[High Tol]]),"Pass","Fail"))</f>
        <v>Fail</v>
      </c>
      <c r="AD481" s="1" t="str">
        <f>IF(AND(Table1[[#This Row],[Spec Type2]]="N/A",Table1[[#This Row],[DUT Adj Read]]="N/A",Table1[[#This Row],[Std Adj Read]]="N/A"),"N/A",IF(Table1[[#This Row],[DUT Adj Read]]="N/A",IF(Table1[[#This Row],[Std Adj Read]]&gt;Table1[[#This Row],[Low Tol]],"Pass","Fail"),IF(Table1[[#This Row],[DUT Adj Read]]&gt;Table1[[#This Row],[Low Tol]],"Pass","Fail")))</f>
        <v>Pass</v>
      </c>
      <c r="AE481" s="1" t="str">
        <f>IF(AND(Table1[[#This Row],[Spec Type2]]="N/A",Table1[[#This Row],[DUT Adj Read]]="N/A",Table1[[#This Row],[Std Adj Read]]="N/A"),"N/A",IF(Table1[[#This Row],[DUT Adj Read]]="N/A",IF(Table1[[#This Row],[Std Adj Read]]&lt;Table1[[#This Row],[High Tol]],"Pass","Fail"),IF(Table1[[#This Row],[DUT Adj Read]]&lt;Table1[[#This Row],[High Tol]],"Pass","Fail")))</f>
        <v>Fail</v>
      </c>
      <c r="AF481" s="1" t="str">
        <f>IF(AND(Table1[[#This Row],[Spec Type2]]="N/A",Table1[[#This Row],[DUT Adj Read]]="N/A",Table1[[#This Row],[Std Adj Read]]="N/A"),"N/A",IF(Table1[[#This Row],[DUT Adj Read]]="N/A",IF(Table1[[#This Row],[Std Adj Read]]&gt;=Table1[[#This Row],[Low Tol]],"Pass","Fail"),IF(Table1[[#This Row],[DUT Adj Read]]&gt;=Table1[[#This Row],[Low Tol]],"Pass","Fail")))</f>
        <v>Pass</v>
      </c>
      <c r="AG481" s="1" t="str">
        <f>IF(AND(Table1[[#This Row],[Spec Type2]]="N/A",Table1[[#This Row],[DUT Adj Read]]="N/A",Table1[[#This Row],[Std Adj Read]]="N/A"),"N/A",IF(Table1[[#This Row],[DUT Adj Read]]="N/A",IF(Table1[[#This Row],[Std Adj Read]]&lt;=Table1[[#This Row],[High Tol]],"Pass","Fail"),IF(Table1[[#This Row],[DUT Adj Read]]&lt;=Table1[[#This Row],[High Tol]],"Pass","Fail")))</f>
        <v>Fail</v>
      </c>
      <c r="AH4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1" s="1" t="b">
        <v>0</v>
      </c>
      <c r="AN481" s="1" t="b">
        <v>0</v>
      </c>
      <c r="AO481" s="1" t="b">
        <v>0</v>
      </c>
    </row>
    <row r="482" spans="1:41" x14ac:dyDescent="0.25">
      <c r="A482" s="10"/>
      <c r="B482" s="10"/>
      <c r="C482" s="10"/>
      <c r="D482" s="10"/>
      <c r="E482" s="10"/>
      <c r="F482" s="10"/>
      <c r="G482" s="10"/>
      <c r="H482" s="10"/>
      <c r="I482" s="1" t="str">
        <f t="shared" si="21"/>
        <v/>
      </c>
      <c r="J482" s="1" t="s">
        <v>35</v>
      </c>
      <c r="K482" s="1" t="str">
        <f t="shared" si="22"/>
        <v/>
      </c>
      <c r="L482" s="1" t="str">
        <f t="shared" si="23"/>
        <v/>
      </c>
      <c r="M482" s="1">
        <f>IF(OR(Table1[[#This Row],[Std Nom]]="",Table1[[#This Row],[Std Read]]=""),0,Table1[[#This Row],[Std Nom]]-Table1[[#This Row],[Std Read]])</f>
        <v>0</v>
      </c>
      <c r="N482" s="1">
        <f>IF(Calculations!$F$5="ACCREDITED 17025 WITH UNCERTAINTIES",$N$10,0)</f>
        <v>0</v>
      </c>
      <c r="Q482" s="1">
        <f>Table1[[#This Row],[High Tol]]-Table1[[#This Row],[Low Tol]]</f>
        <v>0</v>
      </c>
      <c r="R482" s="1">
        <f>2*Table1[[#This Row],[Std Error]]</f>
        <v>0</v>
      </c>
      <c r="S482" s="1" t="str">
        <f>IF(Table1[[#This Row],[High Tol]]="","N/A",IFERROR(ABS(Table1[[#This Row],[Tol Span]]/Table1[[#This Row],[Error Span]]),"N/A"))</f>
        <v>N/A</v>
      </c>
      <c r="T482" s="1" t="str">
        <f>IF(OR(Table1[[#This Row],[Low Tol]]="",Table1[[#This Row],[High Tol]]=""),"Needs Analysis",IF(Table1[[#This Row],[Ratio]]&gt;=4,"Not Significant",IF(Table1[[#This Row],[Ratio]]&gt;=2,"Semi-Significant","Significant")))</f>
        <v>Needs Analysis</v>
      </c>
      <c r="W482" s="1">
        <f>IF(Table1[[#This Row],[Cal Type]]&lt;&gt;"ACCREDITED 17025 WITH UNCERTAINTIES",0,"")</f>
        <v>0</v>
      </c>
      <c r="X482" s="1" t="str">
        <f>IF(Table1[[#This Row],[DUT Read]]="","N/A",Table1[[#This Row],[Std Error]]+Table1[[#This Row],[DUT Read]]+Table1[[#This Row],[DUT Ucty]])</f>
        <v>N/A</v>
      </c>
      <c r="Y482" s="1" t="str">
        <f>IF(Table1[[#This Row],[Std Read]]="","N/A",Table1[[#This Row],[Std Read]]+Table1[[#This Row],[Std Ucty]])</f>
        <v>N/A</v>
      </c>
      <c r="Z4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2" s="1" t="str">
        <f>IF(Table1[[#This Row],[Spec Type]]="","N/A",Table1[[#This Row],[Spec Type]])</f>
        <v>±</v>
      </c>
      <c r="AC482" s="1" t="str">
        <f>IF(Table1[[#This Row],[Spec Type2]]="N/A","N/A",IF(AND(Table1[[#This Row],[DUT Adj Read]]&gt;=Table1[[#This Row],[Low Tol]],Table1[[#This Row],[DUT Adj Read]]&lt;=Table1[[#This Row],[High Tol]]),"Pass","Fail"))</f>
        <v>Fail</v>
      </c>
      <c r="AD482" s="1" t="str">
        <f>IF(AND(Table1[[#This Row],[Spec Type2]]="N/A",Table1[[#This Row],[DUT Adj Read]]="N/A",Table1[[#This Row],[Std Adj Read]]="N/A"),"N/A",IF(Table1[[#This Row],[DUT Adj Read]]="N/A",IF(Table1[[#This Row],[Std Adj Read]]&gt;Table1[[#This Row],[Low Tol]],"Pass","Fail"),IF(Table1[[#This Row],[DUT Adj Read]]&gt;Table1[[#This Row],[Low Tol]],"Pass","Fail")))</f>
        <v>Pass</v>
      </c>
      <c r="AE482" s="1" t="str">
        <f>IF(AND(Table1[[#This Row],[Spec Type2]]="N/A",Table1[[#This Row],[DUT Adj Read]]="N/A",Table1[[#This Row],[Std Adj Read]]="N/A"),"N/A",IF(Table1[[#This Row],[DUT Adj Read]]="N/A",IF(Table1[[#This Row],[Std Adj Read]]&lt;Table1[[#This Row],[High Tol]],"Pass","Fail"),IF(Table1[[#This Row],[DUT Adj Read]]&lt;Table1[[#This Row],[High Tol]],"Pass","Fail")))</f>
        <v>Fail</v>
      </c>
      <c r="AF482" s="1" t="str">
        <f>IF(AND(Table1[[#This Row],[Spec Type2]]="N/A",Table1[[#This Row],[DUT Adj Read]]="N/A",Table1[[#This Row],[Std Adj Read]]="N/A"),"N/A",IF(Table1[[#This Row],[DUT Adj Read]]="N/A",IF(Table1[[#This Row],[Std Adj Read]]&gt;=Table1[[#This Row],[Low Tol]],"Pass","Fail"),IF(Table1[[#This Row],[DUT Adj Read]]&gt;=Table1[[#This Row],[Low Tol]],"Pass","Fail")))</f>
        <v>Pass</v>
      </c>
      <c r="AG482" s="1" t="str">
        <f>IF(AND(Table1[[#This Row],[Spec Type2]]="N/A",Table1[[#This Row],[DUT Adj Read]]="N/A",Table1[[#This Row],[Std Adj Read]]="N/A"),"N/A",IF(Table1[[#This Row],[DUT Adj Read]]="N/A",IF(Table1[[#This Row],[Std Adj Read]]&lt;=Table1[[#This Row],[High Tol]],"Pass","Fail"),IF(Table1[[#This Row],[DUT Adj Read]]&lt;=Table1[[#This Row],[High Tol]],"Pass","Fail")))</f>
        <v>Fail</v>
      </c>
      <c r="AH4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2" s="1" t="b">
        <v>0</v>
      </c>
      <c r="AN482" s="1" t="b">
        <v>0</v>
      </c>
      <c r="AO482" s="1" t="b">
        <v>0</v>
      </c>
    </row>
    <row r="483" spans="1:41" x14ac:dyDescent="0.25">
      <c r="A483" s="10"/>
      <c r="B483" s="10"/>
      <c r="C483" s="10"/>
      <c r="D483" s="10"/>
      <c r="E483" s="10"/>
      <c r="F483" s="10"/>
      <c r="G483" s="10"/>
      <c r="H483" s="10"/>
      <c r="I483" s="1" t="str">
        <f t="shared" si="21"/>
        <v/>
      </c>
      <c r="J483" s="1" t="s">
        <v>35</v>
      </c>
      <c r="K483" s="1" t="str">
        <f t="shared" si="22"/>
        <v/>
      </c>
      <c r="L483" s="1" t="str">
        <f t="shared" si="23"/>
        <v/>
      </c>
      <c r="M483" s="1">
        <f>IF(OR(Table1[[#This Row],[Std Nom]]="",Table1[[#This Row],[Std Read]]=""),0,Table1[[#This Row],[Std Nom]]-Table1[[#This Row],[Std Read]])</f>
        <v>0</v>
      </c>
      <c r="N483" s="1">
        <f>IF(Calculations!$F$5="ACCREDITED 17025 WITH UNCERTAINTIES",$N$10,0)</f>
        <v>0</v>
      </c>
      <c r="Q483" s="1">
        <f>Table1[[#This Row],[High Tol]]-Table1[[#This Row],[Low Tol]]</f>
        <v>0</v>
      </c>
      <c r="R483" s="1">
        <f>2*Table1[[#This Row],[Std Error]]</f>
        <v>0</v>
      </c>
      <c r="S483" s="1" t="str">
        <f>IF(Table1[[#This Row],[High Tol]]="","N/A",IFERROR(ABS(Table1[[#This Row],[Tol Span]]/Table1[[#This Row],[Error Span]]),"N/A"))</f>
        <v>N/A</v>
      </c>
      <c r="T483" s="1" t="str">
        <f>IF(OR(Table1[[#This Row],[Low Tol]]="",Table1[[#This Row],[High Tol]]=""),"Needs Analysis",IF(Table1[[#This Row],[Ratio]]&gt;=4,"Not Significant",IF(Table1[[#This Row],[Ratio]]&gt;=2,"Semi-Significant","Significant")))</f>
        <v>Needs Analysis</v>
      </c>
      <c r="W483" s="1">
        <f>IF(Table1[[#This Row],[Cal Type]]&lt;&gt;"ACCREDITED 17025 WITH UNCERTAINTIES",0,"")</f>
        <v>0</v>
      </c>
      <c r="X483" s="1" t="str">
        <f>IF(Table1[[#This Row],[DUT Read]]="","N/A",Table1[[#This Row],[Std Error]]+Table1[[#This Row],[DUT Read]]+Table1[[#This Row],[DUT Ucty]])</f>
        <v>N/A</v>
      </c>
      <c r="Y483" s="1" t="str">
        <f>IF(Table1[[#This Row],[Std Read]]="","N/A",Table1[[#This Row],[Std Read]]+Table1[[#This Row],[Std Ucty]])</f>
        <v>N/A</v>
      </c>
      <c r="Z4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3" s="1" t="str">
        <f>IF(Table1[[#This Row],[Spec Type]]="","N/A",Table1[[#This Row],[Spec Type]])</f>
        <v>±</v>
      </c>
      <c r="AC483" s="1" t="str">
        <f>IF(Table1[[#This Row],[Spec Type2]]="N/A","N/A",IF(AND(Table1[[#This Row],[DUT Adj Read]]&gt;=Table1[[#This Row],[Low Tol]],Table1[[#This Row],[DUT Adj Read]]&lt;=Table1[[#This Row],[High Tol]]),"Pass","Fail"))</f>
        <v>Fail</v>
      </c>
      <c r="AD483" s="1" t="str">
        <f>IF(AND(Table1[[#This Row],[Spec Type2]]="N/A",Table1[[#This Row],[DUT Adj Read]]="N/A",Table1[[#This Row],[Std Adj Read]]="N/A"),"N/A",IF(Table1[[#This Row],[DUT Adj Read]]="N/A",IF(Table1[[#This Row],[Std Adj Read]]&gt;Table1[[#This Row],[Low Tol]],"Pass","Fail"),IF(Table1[[#This Row],[DUT Adj Read]]&gt;Table1[[#This Row],[Low Tol]],"Pass","Fail")))</f>
        <v>Pass</v>
      </c>
      <c r="AE483" s="1" t="str">
        <f>IF(AND(Table1[[#This Row],[Spec Type2]]="N/A",Table1[[#This Row],[DUT Adj Read]]="N/A",Table1[[#This Row],[Std Adj Read]]="N/A"),"N/A",IF(Table1[[#This Row],[DUT Adj Read]]="N/A",IF(Table1[[#This Row],[Std Adj Read]]&lt;Table1[[#This Row],[High Tol]],"Pass","Fail"),IF(Table1[[#This Row],[DUT Adj Read]]&lt;Table1[[#This Row],[High Tol]],"Pass","Fail")))</f>
        <v>Fail</v>
      </c>
      <c r="AF483" s="1" t="str">
        <f>IF(AND(Table1[[#This Row],[Spec Type2]]="N/A",Table1[[#This Row],[DUT Adj Read]]="N/A",Table1[[#This Row],[Std Adj Read]]="N/A"),"N/A",IF(Table1[[#This Row],[DUT Adj Read]]="N/A",IF(Table1[[#This Row],[Std Adj Read]]&gt;=Table1[[#This Row],[Low Tol]],"Pass","Fail"),IF(Table1[[#This Row],[DUT Adj Read]]&gt;=Table1[[#This Row],[Low Tol]],"Pass","Fail")))</f>
        <v>Pass</v>
      </c>
      <c r="AG483" s="1" t="str">
        <f>IF(AND(Table1[[#This Row],[Spec Type2]]="N/A",Table1[[#This Row],[DUT Adj Read]]="N/A",Table1[[#This Row],[Std Adj Read]]="N/A"),"N/A",IF(Table1[[#This Row],[DUT Adj Read]]="N/A",IF(Table1[[#This Row],[Std Adj Read]]&lt;=Table1[[#This Row],[High Tol]],"Pass","Fail"),IF(Table1[[#This Row],[DUT Adj Read]]&lt;=Table1[[#This Row],[High Tol]],"Pass","Fail")))</f>
        <v>Fail</v>
      </c>
      <c r="AH4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3" s="1" t="b">
        <v>0</v>
      </c>
      <c r="AN483" s="1" t="b">
        <v>0</v>
      </c>
      <c r="AO483" s="1" t="b">
        <v>0</v>
      </c>
    </row>
    <row r="484" spans="1:41" x14ac:dyDescent="0.25">
      <c r="A484" s="10"/>
      <c r="B484" s="10"/>
      <c r="C484" s="10"/>
      <c r="D484" s="10"/>
      <c r="E484" s="10"/>
      <c r="F484" s="10"/>
      <c r="G484" s="10"/>
      <c r="H484" s="10"/>
      <c r="I484" s="1" t="str">
        <f t="shared" si="21"/>
        <v/>
      </c>
      <c r="J484" s="1" t="s">
        <v>35</v>
      </c>
      <c r="K484" s="1" t="str">
        <f t="shared" si="22"/>
        <v/>
      </c>
      <c r="L484" s="1" t="str">
        <f t="shared" si="23"/>
        <v/>
      </c>
      <c r="M484" s="1">
        <f>IF(OR(Table1[[#This Row],[Std Nom]]="",Table1[[#This Row],[Std Read]]=""),0,Table1[[#This Row],[Std Nom]]-Table1[[#This Row],[Std Read]])</f>
        <v>0</v>
      </c>
      <c r="N484" s="1">
        <f>IF(Calculations!$F$5="ACCREDITED 17025 WITH UNCERTAINTIES",$N$10,0)</f>
        <v>0</v>
      </c>
      <c r="Q484" s="1">
        <f>Table1[[#This Row],[High Tol]]-Table1[[#This Row],[Low Tol]]</f>
        <v>0</v>
      </c>
      <c r="R484" s="1">
        <f>2*Table1[[#This Row],[Std Error]]</f>
        <v>0</v>
      </c>
      <c r="S484" s="1" t="str">
        <f>IF(Table1[[#This Row],[High Tol]]="","N/A",IFERROR(ABS(Table1[[#This Row],[Tol Span]]/Table1[[#This Row],[Error Span]]),"N/A"))</f>
        <v>N/A</v>
      </c>
      <c r="T484" s="1" t="str">
        <f>IF(OR(Table1[[#This Row],[Low Tol]]="",Table1[[#This Row],[High Tol]]=""),"Needs Analysis",IF(Table1[[#This Row],[Ratio]]&gt;=4,"Not Significant",IF(Table1[[#This Row],[Ratio]]&gt;=2,"Semi-Significant","Significant")))</f>
        <v>Needs Analysis</v>
      </c>
      <c r="W484" s="1">
        <f>IF(Table1[[#This Row],[Cal Type]]&lt;&gt;"ACCREDITED 17025 WITH UNCERTAINTIES",0,"")</f>
        <v>0</v>
      </c>
      <c r="X484" s="1" t="str">
        <f>IF(Table1[[#This Row],[DUT Read]]="","N/A",Table1[[#This Row],[Std Error]]+Table1[[#This Row],[DUT Read]]+Table1[[#This Row],[DUT Ucty]])</f>
        <v>N/A</v>
      </c>
      <c r="Y484" s="1" t="str">
        <f>IF(Table1[[#This Row],[Std Read]]="","N/A",Table1[[#This Row],[Std Read]]+Table1[[#This Row],[Std Ucty]])</f>
        <v>N/A</v>
      </c>
      <c r="Z4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4" s="1" t="str">
        <f>IF(Table1[[#This Row],[Spec Type]]="","N/A",Table1[[#This Row],[Spec Type]])</f>
        <v>±</v>
      </c>
      <c r="AC484" s="1" t="str">
        <f>IF(Table1[[#This Row],[Spec Type2]]="N/A","N/A",IF(AND(Table1[[#This Row],[DUT Adj Read]]&gt;=Table1[[#This Row],[Low Tol]],Table1[[#This Row],[DUT Adj Read]]&lt;=Table1[[#This Row],[High Tol]]),"Pass","Fail"))</f>
        <v>Fail</v>
      </c>
      <c r="AD484" s="1" t="str">
        <f>IF(AND(Table1[[#This Row],[Spec Type2]]="N/A",Table1[[#This Row],[DUT Adj Read]]="N/A",Table1[[#This Row],[Std Adj Read]]="N/A"),"N/A",IF(Table1[[#This Row],[DUT Adj Read]]="N/A",IF(Table1[[#This Row],[Std Adj Read]]&gt;Table1[[#This Row],[Low Tol]],"Pass","Fail"),IF(Table1[[#This Row],[DUT Adj Read]]&gt;Table1[[#This Row],[Low Tol]],"Pass","Fail")))</f>
        <v>Pass</v>
      </c>
      <c r="AE484" s="1" t="str">
        <f>IF(AND(Table1[[#This Row],[Spec Type2]]="N/A",Table1[[#This Row],[DUT Adj Read]]="N/A",Table1[[#This Row],[Std Adj Read]]="N/A"),"N/A",IF(Table1[[#This Row],[DUT Adj Read]]="N/A",IF(Table1[[#This Row],[Std Adj Read]]&lt;Table1[[#This Row],[High Tol]],"Pass","Fail"),IF(Table1[[#This Row],[DUT Adj Read]]&lt;Table1[[#This Row],[High Tol]],"Pass","Fail")))</f>
        <v>Fail</v>
      </c>
      <c r="AF484" s="1" t="str">
        <f>IF(AND(Table1[[#This Row],[Spec Type2]]="N/A",Table1[[#This Row],[DUT Adj Read]]="N/A",Table1[[#This Row],[Std Adj Read]]="N/A"),"N/A",IF(Table1[[#This Row],[DUT Adj Read]]="N/A",IF(Table1[[#This Row],[Std Adj Read]]&gt;=Table1[[#This Row],[Low Tol]],"Pass","Fail"),IF(Table1[[#This Row],[DUT Adj Read]]&gt;=Table1[[#This Row],[Low Tol]],"Pass","Fail")))</f>
        <v>Pass</v>
      </c>
      <c r="AG484" s="1" t="str">
        <f>IF(AND(Table1[[#This Row],[Spec Type2]]="N/A",Table1[[#This Row],[DUT Adj Read]]="N/A",Table1[[#This Row],[Std Adj Read]]="N/A"),"N/A",IF(Table1[[#This Row],[DUT Adj Read]]="N/A",IF(Table1[[#This Row],[Std Adj Read]]&lt;=Table1[[#This Row],[High Tol]],"Pass","Fail"),IF(Table1[[#This Row],[DUT Adj Read]]&lt;=Table1[[#This Row],[High Tol]],"Pass","Fail")))</f>
        <v>Fail</v>
      </c>
      <c r="AH4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4" s="1" t="b">
        <v>0</v>
      </c>
      <c r="AN484" s="1" t="b">
        <v>0</v>
      </c>
      <c r="AO484" s="1" t="b">
        <v>0</v>
      </c>
    </row>
    <row r="485" spans="1:41" x14ac:dyDescent="0.25">
      <c r="A485" s="10"/>
      <c r="B485" s="10"/>
      <c r="C485" s="10"/>
      <c r="D485" s="10"/>
      <c r="E485" s="10"/>
      <c r="F485" s="10"/>
      <c r="G485" s="10"/>
      <c r="H485" s="10"/>
      <c r="I485" s="1" t="str">
        <f t="shared" si="21"/>
        <v/>
      </c>
      <c r="J485" s="1" t="s">
        <v>35</v>
      </c>
      <c r="K485" s="1" t="str">
        <f t="shared" si="22"/>
        <v/>
      </c>
      <c r="L485" s="1" t="str">
        <f t="shared" si="23"/>
        <v/>
      </c>
      <c r="M485" s="1">
        <f>IF(OR(Table1[[#This Row],[Std Nom]]="",Table1[[#This Row],[Std Read]]=""),0,Table1[[#This Row],[Std Nom]]-Table1[[#This Row],[Std Read]])</f>
        <v>0</v>
      </c>
      <c r="N485" s="1">
        <f>IF(Calculations!$F$5="ACCREDITED 17025 WITH UNCERTAINTIES",$N$10,0)</f>
        <v>0</v>
      </c>
      <c r="Q485" s="1">
        <f>Table1[[#This Row],[High Tol]]-Table1[[#This Row],[Low Tol]]</f>
        <v>0</v>
      </c>
      <c r="R485" s="1">
        <f>2*Table1[[#This Row],[Std Error]]</f>
        <v>0</v>
      </c>
      <c r="S485" s="1" t="str">
        <f>IF(Table1[[#This Row],[High Tol]]="","N/A",IFERROR(ABS(Table1[[#This Row],[Tol Span]]/Table1[[#This Row],[Error Span]]),"N/A"))</f>
        <v>N/A</v>
      </c>
      <c r="T485" s="1" t="str">
        <f>IF(OR(Table1[[#This Row],[Low Tol]]="",Table1[[#This Row],[High Tol]]=""),"Needs Analysis",IF(Table1[[#This Row],[Ratio]]&gt;=4,"Not Significant",IF(Table1[[#This Row],[Ratio]]&gt;=2,"Semi-Significant","Significant")))</f>
        <v>Needs Analysis</v>
      </c>
      <c r="W485" s="1">
        <f>IF(Table1[[#This Row],[Cal Type]]&lt;&gt;"ACCREDITED 17025 WITH UNCERTAINTIES",0,"")</f>
        <v>0</v>
      </c>
      <c r="X485" s="1" t="str">
        <f>IF(Table1[[#This Row],[DUT Read]]="","N/A",Table1[[#This Row],[Std Error]]+Table1[[#This Row],[DUT Read]]+Table1[[#This Row],[DUT Ucty]])</f>
        <v>N/A</v>
      </c>
      <c r="Y485" s="1" t="str">
        <f>IF(Table1[[#This Row],[Std Read]]="","N/A",Table1[[#This Row],[Std Read]]+Table1[[#This Row],[Std Ucty]])</f>
        <v>N/A</v>
      </c>
      <c r="Z4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5" s="1" t="str">
        <f>IF(Table1[[#This Row],[Spec Type]]="","N/A",Table1[[#This Row],[Spec Type]])</f>
        <v>±</v>
      </c>
      <c r="AC485" s="1" t="str">
        <f>IF(Table1[[#This Row],[Spec Type2]]="N/A","N/A",IF(AND(Table1[[#This Row],[DUT Adj Read]]&gt;=Table1[[#This Row],[Low Tol]],Table1[[#This Row],[DUT Adj Read]]&lt;=Table1[[#This Row],[High Tol]]),"Pass","Fail"))</f>
        <v>Fail</v>
      </c>
      <c r="AD485" s="1" t="str">
        <f>IF(AND(Table1[[#This Row],[Spec Type2]]="N/A",Table1[[#This Row],[DUT Adj Read]]="N/A",Table1[[#This Row],[Std Adj Read]]="N/A"),"N/A",IF(Table1[[#This Row],[DUT Adj Read]]="N/A",IF(Table1[[#This Row],[Std Adj Read]]&gt;Table1[[#This Row],[Low Tol]],"Pass","Fail"),IF(Table1[[#This Row],[DUT Adj Read]]&gt;Table1[[#This Row],[Low Tol]],"Pass","Fail")))</f>
        <v>Pass</v>
      </c>
      <c r="AE485" s="1" t="str">
        <f>IF(AND(Table1[[#This Row],[Spec Type2]]="N/A",Table1[[#This Row],[DUT Adj Read]]="N/A",Table1[[#This Row],[Std Adj Read]]="N/A"),"N/A",IF(Table1[[#This Row],[DUT Adj Read]]="N/A",IF(Table1[[#This Row],[Std Adj Read]]&lt;Table1[[#This Row],[High Tol]],"Pass","Fail"),IF(Table1[[#This Row],[DUT Adj Read]]&lt;Table1[[#This Row],[High Tol]],"Pass","Fail")))</f>
        <v>Fail</v>
      </c>
      <c r="AF485" s="1" t="str">
        <f>IF(AND(Table1[[#This Row],[Spec Type2]]="N/A",Table1[[#This Row],[DUT Adj Read]]="N/A",Table1[[#This Row],[Std Adj Read]]="N/A"),"N/A",IF(Table1[[#This Row],[DUT Adj Read]]="N/A",IF(Table1[[#This Row],[Std Adj Read]]&gt;=Table1[[#This Row],[Low Tol]],"Pass","Fail"),IF(Table1[[#This Row],[DUT Adj Read]]&gt;=Table1[[#This Row],[Low Tol]],"Pass","Fail")))</f>
        <v>Pass</v>
      </c>
      <c r="AG485" s="1" t="str">
        <f>IF(AND(Table1[[#This Row],[Spec Type2]]="N/A",Table1[[#This Row],[DUT Adj Read]]="N/A",Table1[[#This Row],[Std Adj Read]]="N/A"),"N/A",IF(Table1[[#This Row],[DUT Adj Read]]="N/A",IF(Table1[[#This Row],[Std Adj Read]]&lt;=Table1[[#This Row],[High Tol]],"Pass","Fail"),IF(Table1[[#This Row],[DUT Adj Read]]&lt;=Table1[[#This Row],[High Tol]],"Pass","Fail")))</f>
        <v>Fail</v>
      </c>
      <c r="AH4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5" s="1" t="b">
        <v>0</v>
      </c>
      <c r="AN485" s="1" t="b">
        <v>0</v>
      </c>
      <c r="AO485" s="1" t="b">
        <v>0</v>
      </c>
    </row>
    <row r="486" spans="1:41" x14ac:dyDescent="0.25">
      <c r="A486" s="10"/>
      <c r="B486" s="10"/>
      <c r="C486" s="10"/>
      <c r="D486" s="10"/>
      <c r="E486" s="10"/>
      <c r="F486" s="10"/>
      <c r="G486" s="10"/>
      <c r="H486" s="10"/>
      <c r="I486" s="1" t="str">
        <f t="shared" si="21"/>
        <v/>
      </c>
      <c r="J486" s="1" t="s">
        <v>35</v>
      </c>
      <c r="K486" s="1" t="str">
        <f t="shared" si="22"/>
        <v/>
      </c>
      <c r="L486" s="1" t="str">
        <f t="shared" si="23"/>
        <v/>
      </c>
      <c r="M486" s="1">
        <f>IF(OR(Table1[[#This Row],[Std Nom]]="",Table1[[#This Row],[Std Read]]=""),0,Table1[[#This Row],[Std Nom]]-Table1[[#This Row],[Std Read]])</f>
        <v>0</v>
      </c>
      <c r="N486" s="1">
        <f>IF(Calculations!$F$5="ACCREDITED 17025 WITH UNCERTAINTIES",$N$10,0)</f>
        <v>0</v>
      </c>
      <c r="Q486" s="1">
        <f>Table1[[#This Row],[High Tol]]-Table1[[#This Row],[Low Tol]]</f>
        <v>0</v>
      </c>
      <c r="R486" s="1">
        <f>2*Table1[[#This Row],[Std Error]]</f>
        <v>0</v>
      </c>
      <c r="S486" s="1" t="str">
        <f>IF(Table1[[#This Row],[High Tol]]="","N/A",IFERROR(ABS(Table1[[#This Row],[Tol Span]]/Table1[[#This Row],[Error Span]]),"N/A"))</f>
        <v>N/A</v>
      </c>
      <c r="T486" s="1" t="str">
        <f>IF(OR(Table1[[#This Row],[Low Tol]]="",Table1[[#This Row],[High Tol]]=""),"Needs Analysis",IF(Table1[[#This Row],[Ratio]]&gt;=4,"Not Significant",IF(Table1[[#This Row],[Ratio]]&gt;=2,"Semi-Significant","Significant")))</f>
        <v>Needs Analysis</v>
      </c>
      <c r="W486" s="1">
        <f>IF(Table1[[#This Row],[Cal Type]]&lt;&gt;"ACCREDITED 17025 WITH UNCERTAINTIES",0,"")</f>
        <v>0</v>
      </c>
      <c r="X486" s="1" t="str">
        <f>IF(Table1[[#This Row],[DUT Read]]="","N/A",Table1[[#This Row],[Std Error]]+Table1[[#This Row],[DUT Read]]+Table1[[#This Row],[DUT Ucty]])</f>
        <v>N/A</v>
      </c>
      <c r="Y486" s="1" t="str">
        <f>IF(Table1[[#This Row],[Std Read]]="","N/A",Table1[[#This Row],[Std Read]]+Table1[[#This Row],[Std Ucty]])</f>
        <v>N/A</v>
      </c>
      <c r="Z4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6" s="1" t="str">
        <f>IF(Table1[[#This Row],[Spec Type]]="","N/A",Table1[[#This Row],[Spec Type]])</f>
        <v>±</v>
      </c>
      <c r="AC486" s="1" t="str">
        <f>IF(Table1[[#This Row],[Spec Type2]]="N/A","N/A",IF(AND(Table1[[#This Row],[DUT Adj Read]]&gt;=Table1[[#This Row],[Low Tol]],Table1[[#This Row],[DUT Adj Read]]&lt;=Table1[[#This Row],[High Tol]]),"Pass","Fail"))</f>
        <v>Fail</v>
      </c>
      <c r="AD486" s="1" t="str">
        <f>IF(AND(Table1[[#This Row],[Spec Type2]]="N/A",Table1[[#This Row],[DUT Adj Read]]="N/A",Table1[[#This Row],[Std Adj Read]]="N/A"),"N/A",IF(Table1[[#This Row],[DUT Adj Read]]="N/A",IF(Table1[[#This Row],[Std Adj Read]]&gt;Table1[[#This Row],[Low Tol]],"Pass","Fail"),IF(Table1[[#This Row],[DUT Adj Read]]&gt;Table1[[#This Row],[Low Tol]],"Pass","Fail")))</f>
        <v>Pass</v>
      </c>
      <c r="AE486" s="1" t="str">
        <f>IF(AND(Table1[[#This Row],[Spec Type2]]="N/A",Table1[[#This Row],[DUT Adj Read]]="N/A",Table1[[#This Row],[Std Adj Read]]="N/A"),"N/A",IF(Table1[[#This Row],[DUT Adj Read]]="N/A",IF(Table1[[#This Row],[Std Adj Read]]&lt;Table1[[#This Row],[High Tol]],"Pass","Fail"),IF(Table1[[#This Row],[DUT Adj Read]]&lt;Table1[[#This Row],[High Tol]],"Pass","Fail")))</f>
        <v>Fail</v>
      </c>
      <c r="AF486" s="1" t="str">
        <f>IF(AND(Table1[[#This Row],[Spec Type2]]="N/A",Table1[[#This Row],[DUT Adj Read]]="N/A",Table1[[#This Row],[Std Adj Read]]="N/A"),"N/A",IF(Table1[[#This Row],[DUT Adj Read]]="N/A",IF(Table1[[#This Row],[Std Adj Read]]&gt;=Table1[[#This Row],[Low Tol]],"Pass","Fail"),IF(Table1[[#This Row],[DUT Adj Read]]&gt;=Table1[[#This Row],[Low Tol]],"Pass","Fail")))</f>
        <v>Pass</v>
      </c>
      <c r="AG486" s="1" t="str">
        <f>IF(AND(Table1[[#This Row],[Spec Type2]]="N/A",Table1[[#This Row],[DUT Adj Read]]="N/A",Table1[[#This Row],[Std Adj Read]]="N/A"),"N/A",IF(Table1[[#This Row],[DUT Adj Read]]="N/A",IF(Table1[[#This Row],[Std Adj Read]]&lt;=Table1[[#This Row],[High Tol]],"Pass","Fail"),IF(Table1[[#This Row],[DUT Adj Read]]&lt;=Table1[[#This Row],[High Tol]],"Pass","Fail")))</f>
        <v>Fail</v>
      </c>
      <c r="AH4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6" s="1" t="b">
        <v>0</v>
      </c>
      <c r="AN486" s="1" t="b">
        <v>0</v>
      </c>
      <c r="AO486" s="1" t="b">
        <v>0</v>
      </c>
    </row>
    <row r="487" spans="1:41" x14ac:dyDescent="0.25">
      <c r="A487" s="10"/>
      <c r="B487" s="10"/>
      <c r="C487" s="10"/>
      <c r="D487" s="10"/>
      <c r="E487" s="10"/>
      <c r="F487" s="10"/>
      <c r="G487" s="10"/>
      <c r="H487" s="10"/>
      <c r="I487" s="1" t="str">
        <f t="shared" si="21"/>
        <v/>
      </c>
      <c r="J487" s="1" t="s">
        <v>35</v>
      </c>
      <c r="K487" s="1" t="str">
        <f t="shared" si="22"/>
        <v/>
      </c>
      <c r="L487" s="1" t="str">
        <f t="shared" si="23"/>
        <v/>
      </c>
      <c r="M487" s="1">
        <f>IF(OR(Table1[[#This Row],[Std Nom]]="",Table1[[#This Row],[Std Read]]=""),0,Table1[[#This Row],[Std Nom]]-Table1[[#This Row],[Std Read]])</f>
        <v>0</v>
      </c>
      <c r="N487" s="1">
        <f>IF(Calculations!$F$5="ACCREDITED 17025 WITH UNCERTAINTIES",$N$10,0)</f>
        <v>0</v>
      </c>
      <c r="Q487" s="1">
        <f>Table1[[#This Row],[High Tol]]-Table1[[#This Row],[Low Tol]]</f>
        <v>0</v>
      </c>
      <c r="R487" s="1">
        <f>2*Table1[[#This Row],[Std Error]]</f>
        <v>0</v>
      </c>
      <c r="S487" s="1" t="str">
        <f>IF(Table1[[#This Row],[High Tol]]="","N/A",IFERROR(ABS(Table1[[#This Row],[Tol Span]]/Table1[[#This Row],[Error Span]]),"N/A"))</f>
        <v>N/A</v>
      </c>
      <c r="T487" s="1" t="str">
        <f>IF(OR(Table1[[#This Row],[Low Tol]]="",Table1[[#This Row],[High Tol]]=""),"Needs Analysis",IF(Table1[[#This Row],[Ratio]]&gt;=4,"Not Significant",IF(Table1[[#This Row],[Ratio]]&gt;=2,"Semi-Significant","Significant")))</f>
        <v>Needs Analysis</v>
      </c>
      <c r="W487" s="1">
        <f>IF(Table1[[#This Row],[Cal Type]]&lt;&gt;"ACCREDITED 17025 WITH UNCERTAINTIES",0,"")</f>
        <v>0</v>
      </c>
      <c r="X487" s="1" t="str">
        <f>IF(Table1[[#This Row],[DUT Read]]="","N/A",Table1[[#This Row],[Std Error]]+Table1[[#This Row],[DUT Read]]+Table1[[#This Row],[DUT Ucty]])</f>
        <v>N/A</v>
      </c>
      <c r="Y487" s="1" t="str">
        <f>IF(Table1[[#This Row],[Std Read]]="","N/A",Table1[[#This Row],[Std Read]]+Table1[[#This Row],[Std Ucty]])</f>
        <v>N/A</v>
      </c>
      <c r="Z4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7" s="1" t="str">
        <f>IF(Table1[[#This Row],[Spec Type]]="","N/A",Table1[[#This Row],[Spec Type]])</f>
        <v>±</v>
      </c>
      <c r="AC487" s="1" t="str">
        <f>IF(Table1[[#This Row],[Spec Type2]]="N/A","N/A",IF(AND(Table1[[#This Row],[DUT Adj Read]]&gt;=Table1[[#This Row],[Low Tol]],Table1[[#This Row],[DUT Adj Read]]&lt;=Table1[[#This Row],[High Tol]]),"Pass","Fail"))</f>
        <v>Fail</v>
      </c>
      <c r="AD487" s="1" t="str">
        <f>IF(AND(Table1[[#This Row],[Spec Type2]]="N/A",Table1[[#This Row],[DUT Adj Read]]="N/A",Table1[[#This Row],[Std Adj Read]]="N/A"),"N/A",IF(Table1[[#This Row],[DUT Adj Read]]="N/A",IF(Table1[[#This Row],[Std Adj Read]]&gt;Table1[[#This Row],[Low Tol]],"Pass","Fail"),IF(Table1[[#This Row],[DUT Adj Read]]&gt;Table1[[#This Row],[Low Tol]],"Pass","Fail")))</f>
        <v>Pass</v>
      </c>
      <c r="AE487" s="1" t="str">
        <f>IF(AND(Table1[[#This Row],[Spec Type2]]="N/A",Table1[[#This Row],[DUT Adj Read]]="N/A",Table1[[#This Row],[Std Adj Read]]="N/A"),"N/A",IF(Table1[[#This Row],[DUT Adj Read]]="N/A",IF(Table1[[#This Row],[Std Adj Read]]&lt;Table1[[#This Row],[High Tol]],"Pass","Fail"),IF(Table1[[#This Row],[DUT Adj Read]]&lt;Table1[[#This Row],[High Tol]],"Pass","Fail")))</f>
        <v>Fail</v>
      </c>
      <c r="AF487" s="1" t="str">
        <f>IF(AND(Table1[[#This Row],[Spec Type2]]="N/A",Table1[[#This Row],[DUT Adj Read]]="N/A",Table1[[#This Row],[Std Adj Read]]="N/A"),"N/A",IF(Table1[[#This Row],[DUT Adj Read]]="N/A",IF(Table1[[#This Row],[Std Adj Read]]&gt;=Table1[[#This Row],[Low Tol]],"Pass","Fail"),IF(Table1[[#This Row],[DUT Adj Read]]&gt;=Table1[[#This Row],[Low Tol]],"Pass","Fail")))</f>
        <v>Pass</v>
      </c>
      <c r="AG487" s="1" t="str">
        <f>IF(AND(Table1[[#This Row],[Spec Type2]]="N/A",Table1[[#This Row],[DUT Adj Read]]="N/A",Table1[[#This Row],[Std Adj Read]]="N/A"),"N/A",IF(Table1[[#This Row],[DUT Adj Read]]="N/A",IF(Table1[[#This Row],[Std Adj Read]]&lt;=Table1[[#This Row],[High Tol]],"Pass","Fail"),IF(Table1[[#This Row],[DUT Adj Read]]&lt;=Table1[[#This Row],[High Tol]],"Pass","Fail")))</f>
        <v>Fail</v>
      </c>
      <c r="AH4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7" s="1" t="b">
        <v>0</v>
      </c>
      <c r="AN487" s="1" t="b">
        <v>0</v>
      </c>
      <c r="AO487" s="1" t="b">
        <v>0</v>
      </c>
    </row>
    <row r="488" spans="1:41" x14ac:dyDescent="0.25">
      <c r="A488" s="10"/>
      <c r="B488" s="10"/>
      <c r="C488" s="10"/>
      <c r="D488" s="10"/>
      <c r="E488" s="10"/>
      <c r="F488" s="10"/>
      <c r="G488" s="10"/>
      <c r="H488" s="10"/>
      <c r="I488" s="1" t="str">
        <f t="shared" si="21"/>
        <v/>
      </c>
      <c r="J488" s="1" t="s">
        <v>35</v>
      </c>
      <c r="K488" s="1" t="str">
        <f t="shared" si="22"/>
        <v/>
      </c>
      <c r="L488" s="1" t="str">
        <f t="shared" si="23"/>
        <v/>
      </c>
      <c r="M488" s="1">
        <f>IF(OR(Table1[[#This Row],[Std Nom]]="",Table1[[#This Row],[Std Read]]=""),0,Table1[[#This Row],[Std Nom]]-Table1[[#This Row],[Std Read]])</f>
        <v>0</v>
      </c>
      <c r="N488" s="1">
        <f>IF(Calculations!$F$5="ACCREDITED 17025 WITH UNCERTAINTIES",$N$10,0)</f>
        <v>0</v>
      </c>
      <c r="Q488" s="1">
        <f>Table1[[#This Row],[High Tol]]-Table1[[#This Row],[Low Tol]]</f>
        <v>0</v>
      </c>
      <c r="R488" s="1">
        <f>2*Table1[[#This Row],[Std Error]]</f>
        <v>0</v>
      </c>
      <c r="S488" s="1" t="str">
        <f>IF(Table1[[#This Row],[High Tol]]="","N/A",IFERROR(ABS(Table1[[#This Row],[Tol Span]]/Table1[[#This Row],[Error Span]]),"N/A"))</f>
        <v>N/A</v>
      </c>
      <c r="T488" s="1" t="str">
        <f>IF(OR(Table1[[#This Row],[Low Tol]]="",Table1[[#This Row],[High Tol]]=""),"Needs Analysis",IF(Table1[[#This Row],[Ratio]]&gt;=4,"Not Significant",IF(Table1[[#This Row],[Ratio]]&gt;=2,"Semi-Significant","Significant")))</f>
        <v>Needs Analysis</v>
      </c>
      <c r="W488" s="1">
        <f>IF(Table1[[#This Row],[Cal Type]]&lt;&gt;"ACCREDITED 17025 WITH UNCERTAINTIES",0,"")</f>
        <v>0</v>
      </c>
      <c r="X488" s="1" t="str">
        <f>IF(Table1[[#This Row],[DUT Read]]="","N/A",Table1[[#This Row],[Std Error]]+Table1[[#This Row],[DUT Read]]+Table1[[#This Row],[DUT Ucty]])</f>
        <v>N/A</v>
      </c>
      <c r="Y488" s="1" t="str">
        <f>IF(Table1[[#This Row],[Std Read]]="","N/A",Table1[[#This Row],[Std Read]]+Table1[[#This Row],[Std Ucty]])</f>
        <v>N/A</v>
      </c>
      <c r="Z4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8" s="1" t="str">
        <f>IF(Table1[[#This Row],[Spec Type]]="","N/A",Table1[[#This Row],[Spec Type]])</f>
        <v>±</v>
      </c>
      <c r="AC488" s="1" t="str">
        <f>IF(Table1[[#This Row],[Spec Type2]]="N/A","N/A",IF(AND(Table1[[#This Row],[DUT Adj Read]]&gt;=Table1[[#This Row],[Low Tol]],Table1[[#This Row],[DUT Adj Read]]&lt;=Table1[[#This Row],[High Tol]]),"Pass","Fail"))</f>
        <v>Fail</v>
      </c>
      <c r="AD488" s="1" t="str">
        <f>IF(AND(Table1[[#This Row],[Spec Type2]]="N/A",Table1[[#This Row],[DUT Adj Read]]="N/A",Table1[[#This Row],[Std Adj Read]]="N/A"),"N/A",IF(Table1[[#This Row],[DUT Adj Read]]="N/A",IF(Table1[[#This Row],[Std Adj Read]]&gt;Table1[[#This Row],[Low Tol]],"Pass","Fail"),IF(Table1[[#This Row],[DUT Adj Read]]&gt;Table1[[#This Row],[Low Tol]],"Pass","Fail")))</f>
        <v>Pass</v>
      </c>
      <c r="AE488" s="1" t="str">
        <f>IF(AND(Table1[[#This Row],[Spec Type2]]="N/A",Table1[[#This Row],[DUT Adj Read]]="N/A",Table1[[#This Row],[Std Adj Read]]="N/A"),"N/A",IF(Table1[[#This Row],[DUT Adj Read]]="N/A",IF(Table1[[#This Row],[Std Adj Read]]&lt;Table1[[#This Row],[High Tol]],"Pass","Fail"),IF(Table1[[#This Row],[DUT Adj Read]]&lt;Table1[[#This Row],[High Tol]],"Pass","Fail")))</f>
        <v>Fail</v>
      </c>
      <c r="AF488" s="1" t="str">
        <f>IF(AND(Table1[[#This Row],[Spec Type2]]="N/A",Table1[[#This Row],[DUT Adj Read]]="N/A",Table1[[#This Row],[Std Adj Read]]="N/A"),"N/A",IF(Table1[[#This Row],[DUT Adj Read]]="N/A",IF(Table1[[#This Row],[Std Adj Read]]&gt;=Table1[[#This Row],[Low Tol]],"Pass","Fail"),IF(Table1[[#This Row],[DUT Adj Read]]&gt;=Table1[[#This Row],[Low Tol]],"Pass","Fail")))</f>
        <v>Pass</v>
      </c>
      <c r="AG488" s="1" t="str">
        <f>IF(AND(Table1[[#This Row],[Spec Type2]]="N/A",Table1[[#This Row],[DUT Adj Read]]="N/A",Table1[[#This Row],[Std Adj Read]]="N/A"),"N/A",IF(Table1[[#This Row],[DUT Adj Read]]="N/A",IF(Table1[[#This Row],[Std Adj Read]]&lt;=Table1[[#This Row],[High Tol]],"Pass","Fail"),IF(Table1[[#This Row],[DUT Adj Read]]&lt;=Table1[[#This Row],[High Tol]],"Pass","Fail")))</f>
        <v>Fail</v>
      </c>
      <c r="AH4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8" s="1" t="b">
        <v>0</v>
      </c>
      <c r="AN488" s="1" t="b">
        <v>0</v>
      </c>
      <c r="AO488" s="1" t="b">
        <v>0</v>
      </c>
    </row>
    <row r="489" spans="1:41" x14ac:dyDescent="0.25">
      <c r="A489" s="10"/>
      <c r="B489" s="10"/>
      <c r="C489" s="10"/>
      <c r="D489" s="10"/>
      <c r="E489" s="10"/>
      <c r="F489" s="10"/>
      <c r="G489" s="10"/>
      <c r="H489" s="10"/>
      <c r="I489" s="1" t="str">
        <f t="shared" si="21"/>
        <v/>
      </c>
      <c r="J489" s="1" t="s">
        <v>35</v>
      </c>
      <c r="K489" s="1" t="str">
        <f t="shared" si="22"/>
        <v/>
      </c>
      <c r="L489" s="1" t="str">
        <f t="shared" si="23"/>
        <v/>
      </c>
      <c r="M489" s="1">
        <f>IF(OR(Table1[[#This Row],[Std Nom]]="",Table1[[#This Row],[Std Read]]=""),0,Table1[[#This Row],[Std Nom]]-Table1[[#This Row],[Std Read]])</f>
        <v>0</v>
      </c>
      <c r="N489" s="1">
        <f>IF(Calculations!$F$5="ACCREDITED 17025 WITH UNCERTAINTIES",$N$10,0)</f>
        <v>0</v>
      </c>
      <c r="Q489" s="1">
        <f>Table1[[#This Row],[High Tol]]-Table1[[#This Row],[Low Tol]]</f>
        <v>0</v>
      </c>
      <c r="R489" s="1">
        <f>2*Table1[[#This Row],[Std Error]]</f>
        <v>0</v>
      </c>
      <c r="S489" s="1" t="str">
        <f>IF(Table1[[#This Row],[High Tol]]="","N/A",IFERROR(ABS(Table1[[#This Row],[Tol Span]]/Table1[[#This Row],[Error Span]]),"N/A"))</f>
        <v>N/A</v>
      </c>
      <c r="T489" s="1" t="str">
        <f>IF(OR(Table1[[#This Row],[Low Tol]]="",Table1[[#This Row],[High Tol]]=""),"Needs Analysis",IF(Table1[[#This Row],[Ratio]]&gt;=4,"Not Significant",IF(Table1[[#This Row],[Ratio]]&gt;=2,"Semi-Significant","Significant")))</f>
        <v>Needs Analysis</v>
      </c>
      <c r="W489" s="1">
        <f>IF(Table1[[#This Row],[Cal Type]]&lt;&gt;"ACCREDITED 17025 WITH UNCERTAINTIES",0,"")</f>
        <v>0</v>
      </c>
      <c r="X489" s="1" t="str">
        <f>IF(Table1[[#This Row],[DUT Read]]="","N/A",Table1[[#This Row],[Std Error]]+Table1[[#This Row],[DUT Read]]+Table1[[#This Row],[DUT Ucty]])</f>
        <v>N/A</v>
      </c>
      <c r="Y489" s="1" t="str">
        <f>IF(Table1[[#This Row],[Std Read]]="","N/A",Table1[[#This Row],[Std Read]]+Table1[[#This Row],[Std Ucty]])</f>
        <v>N/A</v>
      </c>
      <c r="Z4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89" s="1" t="str">
        <f>IF(Table1[[#This Row],[Spec Type]]="","N/A",Table1[[#This Row],[Spec Type]])</f>
        <v>±</v>
      </c>
      <c r="AC489" s="1" t="str">
        <f>IF(Table1[[#This Row],[Spec Type2]]="N/A","N/A",IF(AND(Table1[[#This Row],[DUT Adj Read]]&gt;=Table1[[#This Row],[Low Tol]],Table1[[#This Row],[DUT Adj Read]]&lt;=Table1[[#This Row],[High Tol]]),"Pass","Fail"))</f>
        <v>Fail</v>
      </c>
      <c r="AD489" s="1" t="str">
        <f>IF(AND(Table1[[#This Row],[Spec Type2]]="N/A",Table1[[#This Row],[DUT Adj Read]]="N/A",Table1[[#This Row],[Std Adj Read]]="N/A"),"N/A",IF(Table1[[#This Row],[DUT Adj Read]]="N/A",IF(Table1[[#This Row],[Std Adj Read]]&gt;Table1[[#This Row],[Low Tol]],"Pass","Fail"),IF(Table1[[#This Row],[DUT Adj Read]]&gt;Table1[[#This Row],[Low Tol]],"Pass","Fail")))</f>
        <v>Pass</v>
      </c>
      <c r="AE489" s="1" t="str">
        <f>IF(AND(Table1[[#This Row],[Spec Type2]]="N/A",Table1[[#This Row],[DUT Adj Read]]="N/A",Table1[[#This Row],[Std Adj Read]]="N/A"),"N/A",IF(Table1[[#This Row],[DUT Adj Read]]="N/A",IF(Table1[[#This Row],[Std Adj Read]]&lt;Table1[[#This Row],[High Tol]],"Pass","Fail"),IF(Table1[[#This Row],[DUT Adj Read]]&lt;Table1[[#This Row],[High Tol]],"Pass","Fail")))</f>
        <v>Fail</v>
      </c>
      <c r="AF489" s="1" t="str">
        <f>IF(AND(Table1[[#This Row],[Spec Type2]]="N/A",Table1[[#This Row],[DUT Adj Read]]="N/A",Table1[[#This Row],[Std Adj Read]]="N/A"),"N/A",IF(Table1[[#This Row],[DUT Adj Read]]="N/A",IF(Table1[[#This Row],[Std Adj Read]]&gt;=Table1[[#This Row],[Low Tol]],"Pass","Fail"),IF(Table1[[#This Row],[DUT Adj Read]]&gt;=Table1[[#This Row],[Low Tol]],"Pass","Fail")))</f>
        <v>Pass</v>
      </c>
      <c r="AG489" s="1" t="str">
        <f>IF(AND(Table1[[#This Row],[Spec Type2]]="N/A",Table1[[#This Row],[DUT Adj Read]]="N/A",Table1[[#This Row],[Std Adj Read]]="N/A"),"N/A",IF(Table1[[#This Row],[DUT Adj Read]]="N/A",IF(Table1[[#This Row],[Std Adj Read]]&lt;=Table1[[#This Row],[High Tol]],"Pass","Fail"),IF(Table1[[#This Row],[DUT Adj Read]]&lt;=Table1[[#This Row],[High Tol]],"Pass","Fail")))</f>
        <v>Fail</v>
      </c>
      <c r="AH4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89" s="1" t="b">
        <v>0</v>
      </c>
      <c r="AN489" s="1" t="b">
        <v>0</v>
      </c>
      <c r="AO489" s="1" t="b">
        <v>0</v>
      </c>
    </row>
    <row r="490" spans="1:41" x14ac:dyDescent="0.25">
      <c r="A490" s="10"/>
      <c r="B490" s="10"/>
      <c r="C490" s="10"/>
      <c r="D490" s="10"/>
      <c r="E490" s="10"/>
      <c r="F490" s="10"/>
      <c r="G490" s="10"/>
      <c r="H490" s="10"/>
      <c r="I490" s="1" t="str">
        <f t="shared" si="21"/>
        <v/>
      </c>
      <c r="J490" s="1" t="s">
        <v>35</v>
      </c>
      <c r="K490" s="1" t="str">
        <f t="shared" si="22"/>
        <v/>
      </c>
      <c r="L490" s="1" t="str">
        <f t="shared" si="23"/>
        <v/>
      </c>
      <c r="M490" s="1">
        <f>IF(OR(Table1[[#This Row],[Std Nom]]="",Table1[[#This Row],[Std Read]]=""),0,Table1[[#This Row],[Std Nom]]-Table1[[#This Row],[Std Read]])</f>
        <v>0</v>
      </c>
      <c r="N490" s="1">
        <f>IF(Calculations!$F$5="ACCREDITED 17025 WITH UNCERTAINTIES",$N$10,0)</f>
        <v>0</v>
      </c>
      <c r="Q490" s="1">
        <f>Table1[[#This Row],[High Tol]]-Table1[[#This Row],[Low Tol]]</f>
        <v>0</v>
      </c>
      <c r="R490" s="1">
        <f>2*Table1[[#This Row],[Std Error]]</f>
        <v>0</v>
      </c>
      <c r="S490" s="1" t="str">
        <f>IF(Table1[[#This Row],[High Tol]]="","N/A",IFERROR(ABS(Table1[[#This Row],[Tol Span]]/Table1[[#This Row],[Error Span]]),"N/A"))</f>
        <v>N/A</v>
      </c>
      <c r="T490" s="1" t="str">
        <f>IF(OR(Table1[[#This Row],[Low Tol]]="",Table1[[#This Row],[High Tol]]=""),"Needs Analysis",IF(Table1[[#This Row],[Ratio]]&gt;=4,"Not Significant",IF(Table1[[#This Row],[Ratio]]&gt;=2,"Semi-Significant","Significant")))</f>
        <v>Needs Analysis</v>
      </c>
      <c r="W490" s="1">
        <f>IF(Table1[[#This Row],[Cal Type]]&lt;&gt;"ACCREDITED 17025 WITH UNCERTAINTIES",0,"")</f>
        <v>0</v>
      </c>
      <c r="X490" s="1" t="str">
        <f>IF(Table1[[#This Row],[DUT Read]]="","N/A",Table1[[#This Row],[Std Error]]+Table1[[#This Row],[DUT Read]]+Table1[[#This Row],[DUT Ucty]])</f>
        <v>N/A</v>
      </c>
      <c r="Y490" s="1" t="str">
        <f>IF(Table1[[#This Row],[Std Read]]="","N/A",Table1[[#This Row],[Std Read]]+Table1[[#This Row],[Std Ucty]])</f>
        <v>N/A</v>
      </c>
      <c r="Z4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0" s="1" t="str">
        <f>IF(Table1[[#This Row],[Spec Type]]="","N/A",Table1[[#This Row],[Spec Type]])</f>
        <v>±</v>
      </c>
      <c r="AC490" s="1" t="str">
        <f>IF(Table1[[#This Row],[Spec Type2]]="N/A","N/A",IF(AND(Table1[[#This Row],[DUT Adj Read]]&gt;=Table1[[#This Row],[Low Tol]],Table1[[#This Row],[DUT Adj Read]]&lt;=Table1[[#This Row],[High Tol]]),"Pass","Fail"))</f>
        <v>Fail</v>
      </c>
      <c r="AD490" s="1" t="str">
        <f>IF(AND(Table1[[#This Row],[Spec Type2]]="N/A",Table1[[#This Row],[DUT Adj Read]]="N/A",Table1[[#This Row],[Std Adj Read]]="N/A"),"N/A",IF(Table1[[#This Row],[DUT Adj Read]]="N/A",IF(Table1[[#This Row],[Std Adj Read]]&gt;Table1[[#This Row],[Low Tol]],"Pass","Fail"),IF(Table1[[#This Row],[DUT Adj Read]]&gt;Table1[[#This Row],[Low Tol]],"Pass","Fail")))</f>
        <v>Pass</v>
      </c>
      <c r="AE490" s="1" t="str">
        <f>IF(AND(Table1[[#This Row],[Spec Type2]]="N/A",Table1[[#This Row],[DUT Adj Read]]="N/A",Table1[[#This Row],[Std Adj Read]]="N/A"),"N/A",IF(Table1[[#This Row],[DUT Adj Read]]="N/A",IF(Table1[[#This Row],[Std Adj Read]]&lt;Table1[[#This Row],[High Tol]],"Pass","Fail"),IF(Table1[[#This Row],[DUT Adj Read]]&lt;Table1[[#This Row],[High Tol]],"Pass","Fail")))</f>
        <v>Fail</v>
      </c>
      <c r="AF490" s="1" t="str">
        <f>IF(AND(Table1[[#This Row],[Spec Type2]]="N/A",Table1[[#This Row],[DUT Adj Read]]="N/A",Table1[[#This Row],[Std Adj Read]]="N/A"),"N/A",IF(Table1[[#This Row],[DUT Adj Read]]="N/A",IF(Table1[[#This Row],[Std Adj Read]]&gt;=Table1[[#This Row],[Low Tol]],"Pass","Fail"),IF(Table1[[#This Row],[DUT Adj Read]]&gt;=Table1[[#This Row],[Low Tol]],"Pass","Fail")))</f>
        <v>Pass</v>
      </c>
      <c r="AG490" s="1" t="str">
        <f>IF(AND(Table1[[#This Row],[Spec Type2]]="N/A",Table1[[#This Row],[DUT Adj Read]]="N/A",Table1[[#This Row],[Std Adj Read]]="N/A"),"N/A",IF(Table1[[#This Row],[DUT Adj Read]]="N/A",IF(Table1[[#This Row],[Std Adj Read]]&lt;=Table1[[#This Row],[High Tol]],"Pass","Fail"),IF(Table1[[#This Row],[DUT Adj Read]]&lt;=Table1[[#This Row],[High Tol]],"Pass","Fail")))</f>
        <v>Fail</v>
      </c>
      <c r="AH4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0" s="1" t="b">
        <v>0</v>
      </c>
      <c r="AN490" s="1" t="b">
        <v>0</v>
      </c>
      <c r="AO490" s="1" t="b">
        <v>0</v>
      </c>
    </row>
    <row r="491" spans="1:41" x14ac:dyDescent="0.25">
      <c r="A491" s="10"/>
      <c r="B491" s="10"/>
      <c r="C491" s="10"/>
      <c r="D491" s="10"/>
      <c r="E491" s="10"/>
      <c r="F491" s="10"/>
      <c r="G491" s="10"/>
      <c r="H491" s="10"/>
      <c r="I491" s="1" t="str">
        <f t="shared" si="21"/>
        <v/>
      </c>
      <c r="J491" s="1" t="s">
        <v>35</v>
      </c>
      <c r="K491" s="1" t="str">
        <f t="shared" si="22"/>
        <v/>
      </c>
      <c r="L491" s="1" t="str">
        <f t="shared" si="23"/>
        <v/>
      </c>
      <c r="M491" s="1">
        <f>IF(OR(Table1[[#This Row],[Std Nom]]="",Table1[[#This Row],[Std Read]]=""),0,Table1[[#This Row],[Std Nom]]-Table1[[#This Row],[Std Read]])</f>
        <v>0</v>
      </c>
      <c r="N491" s="1">
        <f>IF(Calculations!$F$5="ACCREDITED 17025 WITH UNCERTAINTIES",$N$10,0)</f>
        <v>0</v>
      </c>
      <c r="Q491" s="1">
        <f>Table1[[#This Row],[High Tol]]-Table1[[#This Row],[Low Tol]]</f>
        <v>0</v>
      </c>
      <c r="R491" s="1">
        <f>2*Table1[[#This Row],[Std Error]]</f>
        <v>0</v>
      </c>
      <c r="S491" s="1" t="str">
        <f>IF(Table1[[#This Row],[High Tol]]="","N/A",IFERROR(ABS(Table1[[#This Row],[Tol Span]]/Table1[[#This Row],[Error Span]]),"N/A"))</f>
        <v>N/A</v>
      </c>
      <c r="T491" s="1" t="str">
        <f>IF(OR(Table1[[#This Row],[Low Tol]]="",Table1[[#This Row],[High Tol]]=""),"Needs Analysis",IF(Table1[[#This Row],[Ratio]]&gt;=4,"Not Significant",IF(Table1[[#This Row],[Ratio]]&gt;=2,"Semi-Significant","Significant")))</f>
        <v>Needs Analysis</v>
      </c>
      <c r="W491" s="1">
        <f>IF(Table1[[#This Row],[Cal Type]]&lt;&gt;"ACCREDITED 17025 WITH UNCERTAINTIES",0,"")</f>
        <v>0</v>
      </c>
      <c r="X491" s="1" t="str">
        <f>IF(Table1[[#This Row],[DUT Read]]="","N/A",Table1[[#This Row],[Std Error]]+Table1[[#This Row],[DUT Read]]+Table1[[#This Row],[DUT Ucty]])</f>
        <v>N/A</v>
      </c>
      <c r="Y491" s="1" t="str">
        <f>IF(Table1[[#This Row],[Std Read]]="","N/A",Table1[[#This Row],[Std Read]]+Table1[[#This Row],[Std Ucty]])</f>
        <v>N/A</v>
      </c>
      <c r="Z4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1" s="1" t="str">
        <f>IF(Table1[[#This Row],[Spec Type]]="","N/A",Table1[[#This Row],[Spec Type]])</f>
        <v>±</v>
      </c>
      <c r="AC491" s="1" t="str">
        <f>IF(Table1[[#This Row],[Spec Type2]]="N/A","N/A",IF(AND(Table1[[#This Row],[DUT Adj Read]]&gt;=Table1[[#This Row],[Low Tol]],Table1[[#This Row],[DUT Adj Read]]&lt;=Table1[[#This Row],[High Tol]]),"Pass","Fail"))</f>
        <v>Fail</v>
      </c>
      <c r="AD491" s="1" t="str">
        <f>IF(AND(Table1[[#This Row],[Spec Type2]]="N/A",Table1[[#This Row],[DUT Adj Read]]="N/A",Table1[[#This Row],[Std Adj Read]]="N/A"),"N/A",IF(Table1[[#This Row],[DUT Adj Read]]="N/A",IF(Table1[[#This Row],[Std Adj Read]]&gt;Table1[[#This Row],[Low Tol]],"Pass","Fail"),IF(Table1[[#This Row],[DUT Adj Read]]&gt;Table1[[#This Row],[Low Tol]],"Pass","Fail")))</f>
        <v>Pass</v>
      </c>
      <c r="AE491" s="1" t="str">
        <f>IF(AND(Table1[[#This Row],[Spec Type2]]="N/A",Table1[[#This Row],[DUT Adj Read]]="N/A",Table1[[#This Row],[Std Adj Read]]="N/A"),"N/A",IF(Table1[[#This Row],[DUT Adj Read]]="N/A",IF(Table1[[#This Row],[Std Adj Read]]&lt;Table1[[#This Row],[High Tol]],"Pass","Fail"),IF(Table1[[#This Row],[DUT Adj Read]]&lt;Table1[[#This Row],[High Tol]],"Pass","Fail")))</f>
        <v>Fail</v>
      </c>
      <c r="AF491" s="1" t="str">
        <f>IF(AND(Table1[[#This Row],[Spec Type2]]="N/A",Table1[[#This Row],[DUT Adj Read]]="N/A",Table1[[#This Row],[Std Adj Read]]="N/A"),"N/A",IF(Table1[[#This Row],[DUT Adj Read]]="N/A",IF(Table1[[#This Row],[Std Adj Read]]&gt;=Table1[[#This Row],[Low Tol]],"Pass","Fail"),IF(Table1[[#This Row],[DUT Adj Read]]&gt;=Table1[[#This Row],[Low Tol]],"Pass","Fail")))</f>
        <v>Pass</v>
      </c>
      <c r="AG491" s="1" t="str">
        <f>IF(AND(Table1[[#This Row],[Spec Type2]]="N/A",Table1[[#This Row],[DUT Adj Read]]="N/A",Table1[[#This Row],[Std Adj Read]]="N/A"),"N/A",IF(Table1[[#This Row],[DUT Adj Read]]="N/A",IF(Table1[[#This Row],[Std Adj Read]]&lt;=Table1[[#This Row],[High Tol]],"Pass","Fail"),IF(Table1[[#This Row],[DUT Adj Read]]&lt;=Table1[[#This Row],[High Tol]],"Pass","Fail")))</f>
        <v>Fail</v>
      </c>
      <c r="AH4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1" s="1" t="b">
        <v>0</v>
      </c>
      <c r="AN491" s="1" t="b">
        <v>0</v>
      </c>
      <c r="AO491" s="1" t="b">
        <v>0</v>
      </c>
    </row>
    <row r="492" spans="1:41" x14ac:dyDescent="0.25">
      <c r="A492" s="10"/>
      <c r="B492" s="10"/>
      <c r="C492" s="10"/>
      <c r="D492" s="10"/>
      <c r="E492" s="10"/>
      <c r="F492" s="10"/>
      <c r="G492" s="10"/>
      <c r="H492" s="10"/>
      <c r="I492" s="1" t="str">
        <f t="shared" si="21"/>
        <v/>
      </c>
      <c r="J492" s="1" t="s">
        <v>35</v>
      </c>
      <c r="K492" s="1" t="str">
        <f t="shared" si="22"/>
        <v/>
      </c>
      <c r="L492" s="1" t="str">
        <f t="shared" si="23"/>
        <v/>
      </c>
      <c r="M492" s="1">
        <f>IF(OR(Table1[[#This Row],[Std Nom]]="",Table1[[#This Row],[Std Read]]=""),0,Table1[[#This Row],[Std Nom]]-Table1[[#This Row],[Std Read]])</f>
        <v>0</v>
      </c>
      <c r="N492" s="1">
        <f>IF(Calculations!$F$5="ACCREDITED 17025 WITH UNCERTAINTIES",$N$10,0)</f>
        <v>0</v>
      </c>
      <c r="Q492" s="1">
        <f>Table1[[#This Row],[High Tol]]-Table1[[#This Row],[Low Tol]]</f>
        <v>0</v>
      </c>
      <c r="R492" s="1">
        <f>2*Table1[[#This Row],[Std Error]]</f>
        <v>0</v>
      </c>
      <c r="S492" s="1" t="str">
        <f>IF(Table1[[#This Row],[High Tol]]="","N/A",IFERROR(ABS(Table1[[#This Row],[Tol Span]]/Table1[[#This Row],[Error Span]]),"N/A"))</f>
        <v>N/A</v>
      </c>
      <c r="T492" s="1" t="str">
        <f>IF(OR(Table1[[#This Row],[Low Tol]]="",Table1[[#This Row],[High Tol]]=""),"Needs Analysis",IF(Table1[[#This Row],[Ratio]]&gt;=4,"Not Significant",IF(Table1[[#This Row],[Ratio]]&gt;=2,"Semi-Significant","Significant")))</f>
        <v>Needs Analysis</v>
      </c>
      <c r="W492" s="1">
        <f>IF(Table1[[#This Row],[Cal Type]]&lt;&gt;"ACCREDITED 17025 WITH UNCERTAINTIES",0,"")</f>
        <v>0</v>
      </c>
      <c r="X492" s="1" t="str">
        <f>IF(Table1[[#This Row],[DUT Read]]="","N/A",Table1[[#This Row],[Std Error]]+Table1[[#This Row],[DUT Read]]+Table1[[#This Row],[DUT Ucty]])</f>
        <v>N/A</v>
      </c>
      <c r="Y492" s="1" t="str">
        <f>IF(Table1[[#This Row],[Std Read]]="","N/A",Table1[[#This Row],[Std Read]]+Table1[[#This Row],[Std Ucty]])</f>
        <v>N/A</v>
      </c>
      <c r="Z4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2" s="1" t="str">
        <f>IF(Table1[[#This Row],[Spec Type]]="","N/A",Table1[[#This Row],[Spec Type]])</f>
        <v>±</v>
      </c>
      <c r="AC492" s="1" t="str">
        <f>IF(Table1[[#This Row],[Spec Type2]]="N/A","N/A",IF(AND(Table1[[#This Row],[DUT Adj Read]]&gt;=Table1[[#This Row],[Low Tol]],Table1[[#This Row],[DUT Adj Read]]&lt;=Table1[[#This Row],[High Tol]]),"Pass","Fail"))</f>
        <v>Fail</v>
      </c>
      <c r="AD492" s="1" t="str">
        <f>IF(AND(Table1[[#This Row],[Spec Type2]]="N/A",Table1[[#This Row],[DUT Adj Read]]="N/A",Table1[[#This Row],[Std Adj Read]]="N/A"),"N/A",IF(Table1[[#This Row],[DUT Adj Read]]="N/A",IF(Table1[[#This Row],[Std Adj Read]]&gt;Table1[[#This Row],[Low Tol]],"Pass","Fail"),IF(Table1[[#This Row],[DUT Adj Read]]&gt;Table1[[#This Row],[Low Tol]],"Pass","Fail")))</f>
        <v>Pass</v>
      </c>
      <c r="AE492" s="1" t="str">
        <f>IF(AND(Table1[[#This Row],[Spec Type2]]="N/A",Table1[[#This Row],[DUT Adj Read]]="N/A",Table1[[#This Row],[Std Adj Read]]="N/A"),"N/A",IF(Table1[[#This Row],[DUT Adj Read]]="N/A",IF(Table1[[#This Row],[Std Adj Read]]&lt;Table1[[#This Row],[High Tol]],"Pass","Fail"),IF(Table1[[#This Row],[DUT Adj Read]]&lt;Table1[[#This Row],[High Tol]],"Pass","Fail")))</f>
        <v>Fail</v>
      </c>
      <c r="AF492" s="1" t="str">
        <f>IF(AND(Table1[[#This Row],[Spec Type2]]="N/A",Table1[[#This Row],[DUT Adj Read]]="N/A",Table1[[#This Row],[Std Adj Read]]="N/A"),"N/A",IF(Table1[[#This Row],[DUT Adj Read]]="N/A",IF(Table1[[#This Row],[Std Adj Read]]&gt;=Table1[[#This Row],[Low Tol]],"Pass","Fail"),IF(Table1[[#This Row],[DUT Adj Read]]&gt;=Table1[[#This Row],[Low Tol]],"Pass","Fail")))</f>
        <v>Pass</v>
      </c>
      <c r="AG492" s="1" t="str">
        <f>IF(AND(Table1[[#This Row],[Spec Type2]]="N/A",Table1[[#This Row],[DUT Adj Read]]="N/A",Table1[[#This Row],[Std Adj Read]]="N/A"),"N/A",IF(Table1[[#This Row],[DUT Adj Read]]="N/A",IF(Table1[[#This Row],[Std Adj Read]]&lt;=Table1[[#This Row],[High Tol]],"Pass","Fail"),IF(Table1[[#This Row],[DUT Adj Read]]&lt;=Table1[[#This Row],[High Tol]],"Pass","Fail")))</f>
        <v>Fail</v>
      </c>
      <c r="AH4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2" s="1" t="b">
        <v>0</v>
      </c>
      <c r="AN492" s="1" t="b">
        <v>0</v>
      </c>
      <c r="AO492" s="1" t="b">
        <v>0</v>
      </c>
    </row>
    <row r="493" spans="1:41" x14ac:dyDescent="0.25">
      <c r="A493" s="10"/>
      <c r="B493" s="10"/>
      <c r="C493" s="10"/>
      <c r="D493" s="10"/>
      <c r="E493" s="10"/>
      <c r="F493" s="10"/>
      <c r="G493" s="10"/>
      <c r="H493" s="10"/>
      <c r="I493" s="1" t="str">
        <f t="shared" si="21"/>
        <v/>
      </c>
      <c r="J493" s="1" t="s">
        <v>35</v>
      </c>
      <c r="K493" s="1" t="str">
        <f t="shared" si="22"/>
        <v/>
      </c>
      <c r="L493" s="1" t="str">
        <f t="shared" si="23"/>
        <v/>
      </c>
      <c r="M493" s="1">
        <f>IF(OR(Table1[[#This Row],[Std Nom]]="",Table1[[#This Row],[Std Read]]=""),0,Table1[[#This Row],[Std Nom]]-Table1[[#This Row],[Std Read]])</f>
        <v>0</v>
      </c>
      <c r="N493" s="1">
        <f>IF(Calculations!$F$5="ACCREDITED 17025 WITH UNCERTAINTIES",$N$10,0)</f>
        <v>0</v>
      </c>
      <c r="Q493" s="1">
        <f>Table1[[#This Row],[High Tol]]-Table1[[#This Row],[Low Tol]]</f>
        <v>0</v>
      </c>
      <c r="R493" s="1">
        <f>2*Table1[[#This Row],[Std Error]]</f>
        <v>0</v>
      </c>
      <c r="S493" s="1" t="str">
        <f>IF(Table1[[#This Row],[High Tol]]="","N/A",IFERROR(ABS(Table1[[#This Row],[Tol Span]]/Table1[[#This Row],[Error Span]]),"N/A"))</f>
        <v>N/A</v>
      </c>
      <c r="T493" s="1" t="str">
        <f>IF(OR(Table1[[#This Row],[Low Tol]]="",Table1[[#This Row],[High Tol]]=""),"Needs Analysis",IF(Table1[[#This Row],[Ratio]]&gt;=4,"Not Significant",IF(Table1[[#This Row],[Ratio]]&gt;=2,"Semi-Significant","Significant")))</f>
        <v>Needs Analysis</v>
      </c>
      <c r="W493" s="1">
        <f>IF(Table1[[#This Row],[Cal Type]]&lt;&gt;"ACCREDITED 17025 WITH UNCERTAINTIES",0,"")</f>
        <v>0</v>
      </c>
      <c r="X493" s="1" t="str">
        <f>IF(Table1[[#This Row],[DUT Read]]="","N/A",Table1[[#This Row],[Std Error]]+Table1[[#This Row],[DUT Read]]+Table1[[#This Row],[DUT Ucty]])</f>
        <v>N/A</v>
      </c>
      <c r="Y493" s="1" t="str">
        <f>IF(Table1[[#This Row],[Std Read]]="","N/A",Table1[[#This Row],[Std Read]]+Table1[[#This Row],[Std Ucty]])</f>
        <v>N/A</v>
      </c>
      <c r="Z4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3" s="1" t="str">
        <f>IF(Table1[[#This Row],[Spec Type]]="","N/A",Table1[[#This Row],[Spec Type]])</f>
        <v>±</v>
      </c>
      <c r="AC493" s="1" t="str">
        <f>IF(Table1[[#This Row],[Spec Type2]]="N/A","N/A",IF(AND(Table1[[#This Row],[DUT Adj Read]]&gt;=Table1[[#This Row],[Low Tol]],Table1[[#This Row],[DUT Adj Read]]&lt;=Table1[[#This Row],[High Tol]]),"Pass","Fail"))</f>
        <v>Fail</v>
      </c>
      <c r="AD493" s="1" t="str">
        <f>IF(AND(Table1[[#This Row],[Spec Type2]]="N/A",Table1[[#This Row],[DUT Adj Read]]="N/A",Table1[[#This Row],[Std Adj Read]]="N/A"),"N/A",IF(Table1[[#This Row],[DUT Adj Read]]="N/A",IF(Table1[[#This Row],[Std Adj Read]]&gt;Table1[[#This Row],[Low Tol]],"Pass","Fail"),IF(Table1[[#This Row],[DUT Adj Read]]&gt;Table1[[#This Row],[Low Tol]],"Pass","Fail")))</f>
        <v>Pass</v>
      </c>
      <c r="AE493" s="1" t="str">
        <f>IF(AND(Table1[[#This Row],[Spec Type2]]="N/A",Table1[[#This Row],[DUT Adj Read]]="N/A",Table1[[#This Row],[Std Adj Read]]="N/A"),"N/A",IF(Table1[[#This Row],[DUT Adj Read]]="N/A",IF(Table1[[#This Row],[Std Adj Read]]&lt;Table1[[#This Row],[High Tol]],"Pass","Fail"),IF(Table1[[#This Row],[DUT Adj Read]]&lt;Table1[[#This Row],[High Tol]],"Pass","Fail")))</f>
        <v>Fail</v>
      </c>
      <c r="AF493" s="1" t="str">
        <f>IF(AND(Table1[[#This Row],[Spec Type2]]="N/A",Table1[[#This Row],[DUT Adj Read]]="N/A",Table1[[#This Row],[Std Adj Read]]="N/A"),"N/A",IF(Table1[[#This Row],[DUT Adj Read]]="N/A",IF(Table1[[#This Row],[Std Adj Read]]&gt;=Table1[[#This Row],[Low Tol]],"Pass","Fail"),IF(Table1[[#This Row],[DUT Adj Read]]&gt;=Table1[[#This Row],[Low Tol]],"Pass","Fail")))</f>
        <v>Pass</v>
      </c>
      <c r="AG493" s="1" t="str">
        <f>IF(AND(Table1[[#This Row],[Spec Type2]]="N/A",Table1[[#This Row],[DUT Adj Read]]="N/A",Table1[[#This Row],[Std Adj Read]]="N/A"),"N/A",IF(Table1[[#This Row],[DUT Adj Read]]="N/A",IF(Table1[[#This Row],[Std Adj Read]]&lt;=Table1[[#This Row],[High Tol]],"Pass","Fail"),IF(Table1[[#This Row],[DUT Adj Read]]&lt;=Table1[[#This Row],[High Tol]],"Pass","Fail")))</f>
        <v>Fail</v>
      </c>
      <c r="AH4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3" s="1" t="b">
        <v>0</v>
      </c>
      <c r="AN493" s="1" t="b">
        <v>0</v>
      </c>
      <c r="AO493" s="1" t="b">
        <v>0</v>
      </c>
    </row>
    <row r="494" spans="1:41" x14ac:dyDescent="0.25">
      <c r="A494" s="10"/>
      <c r="B494" s="10"/>
      <c r="C494" s="10"/>
      <c r="D494" s="10"/>
      <c r="E494" s="10"/>
      <c r="F494" s="10"/>
      <c r="G494" s="10"/>
      <c r="H494" s="10"/>
      <c r="I494" s="1" t="str">
        <f t="shared" si="21"/>
        <v/>
      </c>
      <c r="J494" s="1" t="s">
        <v>35</v>
      </c>
      <c r="K494" s="1" t="str">
        <f t="shared" si="22"/>
        <v/>
      </c>
      <c r="L494" s="1" t="str">
        <f t="shared" si="23"/>
        <v/>
      </c>
      <c r="M494" s="1">
        <f>IF(OR(Table1[[#This Row],[Std Nom]]="",Table1[[#This Row],[Std Read]]=""),0,Table1[[#This Row],[Std Nom]]-Table1[[#This Row],[Std Read]])</f>
        <v>0</v>
      </c>
      <c r="N494" s="1">
        <f>IF(Calculations!$F$5="ACCREDITED 17025 WITH UNCERTAINTIES",$N$10,0)</f>
        <v>0</v>
      </c>
      <c r="Q494" s="1">
        <f>Table1[[#This Row],[High Tol]]-Table1[[#This Row],[Low Tol]]</f>
        <v>0</v>
      </c>
      <c r="R494" s="1">
        <f>2*Table1[[#This Row],[Std Error]]</f>
        <v>0</v>
      </c>
      <c r="S494" s="1" t="str">
        <f>IF(Table1[[#This Row],[High Tol]]="","N/A",IFERROR(ABS(Table1[[#This Row],[Tol Span]]/Table1[[#This Row],[Error Span]]),"N/A"))</f>
        <v>N/A</v>
      </c>
      <c r="T494" s="1" t="str">
        <f>IF(OR(Table1[[#This Row],[Low Tol]]="",Table1[[#This Row],[High Tol]]=""),"Needs Analysis",IF(Table1[[#This Row],[Ratio]]&gt;=4,"Not Significant",IF(Table1[[#This Row],[Ratio]]&gt;=2,"Semi-Significant","Significant")))</f>
        <v>Needs Analysis</v>
      </c>
      <c r="W494" s="1">
        <f>IF(Table1[[#This Row],[Cal Type]]&lt;&gt;"ACCREDITED 17025 WITH UNCERTAINTIES",0,"")</f>
        <v>0</v>
      </c>
      <c r="X494" s="1" t="str">
        <f>IF(Table1[[#This Row],[DUT Read]]="","N/A",Table1[[#This Row],[Std Error]]+Table1[[#This Row],[DUT Read]]+Table1[[#This Row],[DUT Ucty]])</f>
        <v>N/A</v>
      </c>
      <c r="Y494" s="1" t="str">
        <f>IF(Table1[[#This Row],[Std Read]]="","N/A",Table1[[#This Row],[Std Read]]+Table1[[#This Row],[Std Ucty]])</f>
        <v>N/A</v>
      </c>
      <c r="Z4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4" s="1" t="str">
        <f>IF(Table1[[#This Row],[Spec Type]]="","N/A",Table1[[#This Row],[Spec Type]])</f>
        <v>±</v>
      </c>
      <c r="AC494" s="1" t="str">
        <f>IF(Table1[[#This Row],[Spec Type2]]="N/A","N/A",IF(AND(Table1[[#This Row],[DUT Adj Read]]&gt;=Table1[[#This Row],[Low Tol]],Table1[[#This Row],[DUT Adj Read]]&lt;=Table1[[#This Row],[High Tol]]),"Pass","Fail"))</f>
        <v>Fail</v>
      </c>
      <c r="AD494" s="1" t="str">
        <f>IF(AND(Table1[[#This Row],[Spec Type2]]="N/A",Table1[[#This Row],[DUT Adj Read]]="N/A",Table1[[#This Row],[Std Adj Read]]="N/A"),"N/A",IF(Table1[[#This Row],[DUT Adj Read]]="N/A",IF(Table1[[#This Row],[Std Adj Read]]&gt;Table1[[#This Row],[Low Tol]],"Pass","Fail"),IF(Table1[[#This Row],[DUT Adj Read]]&gt;Table1[[#This Row],[Low Tol]],"Pass","Fail")))</f>
        <v>Pass</v>
      </c>
      <c r="AE494" s="1" t="str">
        <f>IF(AND(Table1[[#This Row],[Spec Type2]]="N/A",Table1[[#This Row],[DUT Adj Read]]="N/A",Table1[[#This Row],[Std Adj Read]]="N/A"),"N/A",IF(Table1[[#This Row],[DUT Adj Read]]="N/A",IF(Table1[[#This Row],[Std Adj Read]]&lt;Table1[[#This Row],[High Tol]],"Pass","Fail"),IF(Table1[[#This Row],[DUT Adj Read]]&lt;Table1[[#This Row],[High Tol]],"Pass","Fail")))</f>
        <v>Fail</v>
      </c>
      <c r="AF494" s="1" t="str">
        <f>IF(AND(Table1[[#This Row],[Spec Type2]]="N/A",Table1[[#This Row],[DUT Adj Read]]="N/A",Table1[[#This Row],[Std Adj Read]]="N/A"),"N/A",IF(Table1[[#This Row],[DUT Adj Read]]="N/A",IF(Table1[[#This Row],[Std Adj Read]]&gt;=Table1[[#This Row],[Low Tol]],"Pass","Fail"),IF(Table1[[#This Row],[DUT Adj Read]]&gt;=Table1[[#This Row],[Low Tol]],"Pass","Fail")))</f>
        <v>Pass</v>
      </c>
      <c r="AG494" s="1" t="str">
        <f>IF(AND(Table1[[#This Row],[Spec Type2]]="N/A",Table1[[#This Row],[DUT Adj Read]]="N/A",Table1[[#This Row],[Std Adj Read]]="N/A"),"N/A",IF(Table1[[#This Row],[DUT Adj Read]]="N/A",IF(Table1[[#This Row],[Std Adj Read]]&lt;=Table1[[#This Row],[High Tol]],"Pass","Fail"),IF(Table1[[#This Row],[DUT Adj Read]]&lt;=Table1[[#This Row],[High Tol]],"Pass","Fail")))</f>
        <v>Fail</v>
      </c>
      <c r="AH4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4" s="1" t="b">
        <v>0</v>
      </c>
      <c r="AN494" s="1" t="b">
        <v>0</v>
      </c>
      <c r="AO494" s="1" t="b">
        <v>0</v>
      </c>
    </row>
    <row r="495" spans="1:41" x14ac:dyDescent="0.25">
      <c r="A495" s="10"/>
      <c r="B495" s="10"/>
      <c r="C495" s="10"/>
      <c r="D495" s="10"/>
      <c r="E495" s="10"/>
      <c r="F495" s="10"/>
      <c r="G495" s="10"/>
      <c r="H495" s="10"/>
      <c r="I495" s="1" t="str">
        <f t="shared" si="21"/>
        <v/>
      </c>
      <c r="J495" s="1" t="s">
        <v>35</v>
      </c>
      <c r="K495" s="1" t="str">
        <f t="shared" si="22"/>
        <v/>
      </c>
      <c r="L495" s="1" t="str">
        <f t="shared" si="23"/>
        <v/>
      </c>
      <c r="M495" s="1">
        <f>IF(OR(Table1[[#This Row],[Std Nom]]="",Table1[[#This Row],[Std Read]]=""),0,Table1[[#This Row],[Std Nom]]-Table1[[#This Row],[Std Read]])</f>
        <v>0</v>
      </c>
      <c r="N495" s="1">
        <f>IF(Calculations!$F$5="ACCREDITED 17025 WITH UNCERTAINTIES",$N$10,0)</f>
        <v>0</v>
      </c>
      <c r="Q495" s="1">
        <f>Table1[[#This Row],[High Tol]]-Table1[[#This Row],[Low Tol]]</f>
        <v>0</v>
      </c>
      <c r="R495" s="1">
        <f>2*Table1[[#This Row],[Std Error]]</f>
        <v>0</v>
      </c>
      <c r="S495" s="1" t="str">
        <f>IF(Table1[[#This Row],[High Tol]]="","N/A",IFERROR(ABS(Table1[[#This Row],[Tol Span]]/Table1[[#This Row],[Error Span]]),"N/A"))</f>
        <v>N/A</v>
      </c>
      <c r="T495" s="1" t="str">
        <f>IF(OR(Table1[[#This Row],[Low Tol]]="",Table1[[#This Row],[High Tol]]=""),"Needs Analysis",IF(Table1[[#This Row],[Ratio]]&gt;=4,"Not Significant",IF(Table1[[#This Row],[Ratio]]&gt;=2,"Semi-Significant","Significant")))</f>
        <v>Needs Analysis</v>
      </c>
      <c r="W495" s="1">
        <f>IF(Table1[[#This Row],[Cal Type]]&lt;&gt;"ACCREDITED 17025 WITH UNCERTAINTIES",0,"")</f>
        <v>0</v>
      </c>
      <c r="X495" s="1" t="str">
        <f>IF(Table1[[#This Row],[DUT Read]]="","N/A",Table1[[#This Row],[Std Error]]+Table1[[#This Row],[DUT Read]]+Table1[[#This Row],[DUT Ucty]])</f>
        <v>N/A</v>
      </c>
      <c r="Y495" s="1" t="str">
        <f>IF(Table1[[#This Row],[Std Read]]="","N/A",Table1[[#This Row],[Std Read]]+Table1[[#This Row],[Std Ucty]])</f>
        <v>N/A</v>
      </c>
      <c r="Z4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5" s="1" t="str">
        <f>IF(Table1[[#This Row],[Spec Type]]="","N/A",Table1[[#This Row],[Spec Type]])</f>
        <v>±</v>
      </c>
      <c r="AC495" s="1" t="str">
        <f>IF(Table1[[#This Row],[Spec Type2]]="N/A","N/A",IF(AND(Table1[[#This Row],[DUT Adj Read]]&gt;=Table1[[#This Row],[Low Tol]],Table1[[#This Row],[DUT Adj Read]]&lt;=Table1[[#This Row],[High Tol]]),"Pass","Fail"))</f>
        <v>Fail</v>
      </c>
      <c r="AD495" s="1" t="str">
        <f>IF(AND(Table1[[#This Row],[Spec Type2]]="N/A",Table1[[#This Row],[DUT Adj Read]]="N/A",Table1[[#This Row],[Std Adj Read]]="N/A"),"N/A",IF(Table1[[#This Row],[DUT Adj Read]]="N/A",IF(Table1[[#This Row],[Std Adj Read]]&gt;Table1[[#This Row],[Low Tol]],"Pass","Fail"),IF(Table1[[#This Row],[DUT Adj Read]]&gt;Table1[[#This Row],[Low Tol]],"Pass","Fail")))</f>
        <v>Pass</v>
      </c>
      <c r="AE495" s="1" t="str">
        <f>IF(AND(Table1[[#This Row],[Spec Type2]]="N/A",Table1[[#This Row],[DUT Adj Read]]="N/A",Table1[[#This Row],[Std Adj Read]]="N/A"),"N/A",IF(Table1[[#This Row],[DUT Adj Read]]="N/A",IF(Table1[[#This Row],[Std Adj Read]]&lt;Table1[[#This Row],[High Tol]],"Pass","Fail"),IF(Table1[[#This Row],[DUT Adj Read]]&lt;Table1[[#This Row],[High Tol]],"Pass","Fail")))</f>
        <v>Fail</v>
      </c>
      <c r="AF495" s="1" t="str">
        <f>IF(AND(Table1[[#This Row],[Spec Type2]]="N/A",Table1[[#This Row],[DUT Adj Read]]="N/A",Table1[[#This Row],[Std Adj Read]]="N/A"),"N/A",IF(Table1[[#This Row],[DUT Adj Read]]="N/A",IF(Table1[[#This Row],[Std Adj Read]]&gt;=Table1[[#This Row],[Low Tol]],"Pass","Fail"),IF(Table1[[#This Row],[DUT Adj Read]]&gt;=Table1[[#This Row],[Low Tol]],"Pass","Fail")))</f>
        <v>Pass</v>
      </c>
      <c r="AG495" s="1" t="str">
        <f>IF(AND(Table1[[#This Row],[Spec Type2]]="N/A",Table1[[#This Row],[DUT Adj Read]]="N/A",Table1[[#This Row],[Std Adj Read]]="N/A"),"N/A",IF(Table1[[#This Row],[DUT Adj Read]]="N/A",IF(Table1[[#This Row],[Std Adj Read]]&lt;=Table1[[#This Row],[High Tol]],"Pass","Fail"),IF(Table1[[#This Row],[DUT Adj Read]]&lt;=Table1[[#This Row],[High Tol]],"Pass","Fail")))</f>
        <v>Fail</v>
      </c>
      <c r="AH4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5" s="1" t="b">
        <v>0</v>
      </c>
      <c r="AN495" s="1" t="b">
        <v>0</v>
      </c>
      <c r="AO495" s="1" t="b">
        <v>0</v>
      </c>
    </row>
    <row r="496" spans="1:41" x14ac:dyDescent="0.25">
      <c r="A496" s="10"/>
      <c r="B496" s="10"/>
      <c r="C496" s="10"/>
      <c r="D496" s="10"/>
      <c r="E496" s="10"/>
      <c r="F496" s="10"/>
      <c r="G496" s="10"/>
      <c r="H496" s="10"/>
      <c r="I496" s="1" t="str">
        <f t="shared" si="21"/>
        <v/>
      </c>
      <c r="J496" s="1" t="s">
        <v>35</v>
      </c>
      <c r="K496" s="1" t="str">
        <f t="shared" si="22"/>
        <v/>
      </c>
      <c r="L496" s="1" t="str">
        <f t="shared" si="23"/>
        <v/>
      </c>
      <c r="M496" s="1">
        <f>IF(OR(Table1[[#This Row],[Std Nom]]="",Table1[[#This Row],[Std Read]]=""),0,Table1[[#This Row],[Std Nom]]-Table1[[#This Row],[Std Read]])</f>
        <v>0</v>
      </c>
      <c r="N496" s="1">
        <f>IF(Calculations!$F$5="ACCREDITED 17025 WITH UNCERTAINTIES",$N$10,0)</f>
        <v>0</v>
      </c>
      <c r="Q496" s="1">
        <f>Table1[[#This Row],[High Tol]]-Table1[[#This Row],[Low Tol]]</f>
        <v>0</v>
      </c>
      <c r="R496" s="1">
        <f>2*Table1[[#This Row],[Std Error]]</f>
        <v>0</v>
      </c>
      <c r="S496" s="1" t="str">
        <f>IF(Table1[[#This Row],[High Tol]]="","N/A",IFERROR(ABS(Table1[[#This Row],[Tol Span]]/Table1[[#This Row],[Error Span]]),"N/A"))</f>
        <v>N/A</v>
      </c>
      <c r="T496" s="1" t="str">
        <f>IF(OR(Table1[[#This Row],[Low Tol]]="",Table1[[#This Row],[High Tol]]=""),"Needs Analysis",IF(Table1[[#This Row],[Ratio]]&gt;=4,"Not Significant",IF(Table1[[#This Row],[Ratio]]&gt;=2,"Semi-Significant","Significant")))</f>
        <v>Needs Analysis</v>
      </c>
      <c r="W496" s="1">
        <f>IF(Table1[[#This Row],[Cal Type]]&lt;&gt;"ACCREDITED 17025 WITH UNCERTAINTIES",0,"")</f>
        <v>0</v>
      </c>
      <c r="X496" s="1" t="str">
        <f>IF(Table1[[#This Row],[DUT Read]]="","N/A",Table1[[#This Row],[Std Error]]+Table1[[#This Row],[DUT Read]]+Table1[[#This Row],[DUT Ucty]])</f>
        <v>N/A</v>
      </c>
      <c r="Y496" s="1" t="str">
        <f>IF(Table1[[#This Row],[Std Read]]="","N/A",Table1[[#This Row],[Std Read]]+Table1[[#This Row],[Std Ucty]])</f>
        <v>N/A</v>
      </c>
      <c r="Z4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6" s="1" t="str">
        <f>IF(Table1[[#This Row],[Spec Type]]="","N/A",Table1[[#This Row],[Spec Type]])</f>
        <v>±</v>
      </c>
      <c r="AC496" s="1" t="str">
        <f>IF(Table1[[#This Row],[Spec Type2]]="N/A","N/A",IF(AND(Table1[[#This Row],[DUT Adj Read]]&gt;=Table1[[#This Row],[Low Tol]],Table1[[#This Row],[DUT Adj Read]]&lt;=Table1[[#This Row],[High Tol]]),"Pass","Fail"))</f>
        <v>Fail</v>
      </c>
      <c r="AD496" s="1" t="str">
        <f>IF(AND(Table1[[#This Row],[Spec Type2]]="N/A",Table1[[#This Row],[DUT Adj Read]]="N/A",Table1[[#This Row],[Std Adj Read]]="N/A"),"N/A",IF(Table1[[#This Row],[DUT Adj Read]]="N/A",IF(Table1[[#This Row],[Std Adj Read]]&gt;Table1[[#This Row],[Low Tol]],"Pass","Fail"),IF(Table1[[#This Row],[DUT Adj Read]]&gt;Table1[[#This Row],[Low Tol]],"Pass","Fail")))</f>
        <v>Pass</v>
      </c>
      <c r="AE496" s="1" t="str">
        <f>IF(AND(Table1[[#This Row],[Spec Type2]]="N/A",Table1[[#This Row],[DUT Adj Read]]="N/A",Table1[[#This Row],[Std Adj Read]]="N/A"),"N/A",IF(Table1[[#This Row],[DUT Adj Read]]="N/A",IF(Table1[[#This Row],[Std Adj Read]]&lt;Table1[[#This Row],[High Tol]],"Pass","Fail"),IF(Table1[[#This Row],[DUT Adj Read]]&lt;Table1[[#This Row],[High Tol]],"Pass","Fail")))</f>
        <v>Fail</v>
      </c>
      <c r="AF496" s="1" t="str">
        <f>IF(AND(Table1[[#This Row],[Spec Type2]]="N/A",Table1[[#This Row],[DUT Adj Read]]="N/A",Table1[[#This Row],[Std Adj Read]]="N/A"),"N/A",IF(Table1[[#This Row],[DUT Adj Read]]="N/A",IF(Table1[[#This Row],[Std Adj Read]]&gt;=Table1[[#This Row],[Low Tol]],"Pass","Fail"),IF(Table1[[#This Row],[DUT Adj Read]]&gt;=Table1[[#This Row],[Low Tol]],"Pass","Fail")))</f>
        <v>Pass</v>
      </c>
      <c r="AG496" s="1" t="str">
        <f>IF(AND(Table1[[#This Row],[Spec Type2]]="N/A",Table1[[#This Row],[DUT Adj Read]]="N/A",Table1[[#This Row],[Std Adj Read]]="N/A"),"N/A",IF(Table1[[#This Row],[DUT Adj Read]]="N/A",IF(Table1[[#This Row],[Std Adj Read]]&lt;=Table1[[#This Row],[High Tol]],"Pass","Fail"),IF(Table1[[#This Row],[DUT Adj Read]]&lt;=Table1[[#This Row],[High Tol]],"Pass","Fail")))</f>
        <v>Fail</v>
      </c>
      <c r="AH4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6" s="1" t="b">
        <v>0</v>
      </c>
      <c r="AN496" s="1" t="b">
        <v>0</v>
      </c>
      <c r="AO496" s="1" t="b">
        <v>0</v>
      </c>
    </row>
    <row r="497" spans="1:41" x14ac:dyDescent="0.25">
      <c r="A497" s="10"/>
      <c r="B497" s="10"/>
      <c r="C497" s="10"/>
      <c r="D497" s="10"/>
      <c r="E497" s="10"/>
      <c r="F497" s="10"/>
      <c r="G497" s="10"/>
      <c r="H497" s="10"/>
      <c r="I497" s="1" t="str">
        <f t="shared" si="21"/>
        <v/>
      </c>
      <c r="J497" s="1" t="s">
        <v>35</v>
      </c>
      <c r="K497" s="1" t="str">
        <f t="shared" si="22"/>
        <v/>
      </c>
      <c r="L497" s="1" t="str">
        <f t="shared" si="23"/>
        <v/>
      </c>
      <c r="M497" s="1">
        <f>IF(OR(Table1[[#This Row],[Std Nom]]="",Table1[[#This Row],[Std Read]]=""),0,Table1[[#This Row],[Std Nom]]-Table1[[#This Row],[Std Read]])</f>
        <v>0</v>
      </c>
      <c r="N497" s="1">
        <f>IF(Calculations!$F$5="ACCREDITED 17025 WITH UNCERTAINTIES",$N$10,0)</f>
        <v>0</v>
      </c>
      <c r="Q497" s="1">
        <f>Table1[[#This Row],[High Tol]]-Table1[[#This Row],[Low Tol]]</f>
        <v>0</v>
      </c>
      <c r="R497" s="1">
        <f>2*Table1[[#This Row],[Std Error]]</f>
        <v>0</v>
      </c>
      <c r="S497" s="1" t="str">
        <f>IF(Table1[[#This Row],[High Tol]]="","N/A",IFERROR(ABS(Table1[[#This Row],[Tol Span]]/Table1[[#This Row],[Error Span]]),"N/A"))</f>
        <v>N/A</v>
      </c>
      <c r="T497" s="1" t="str">
        <f>IF(OR(Table1[[#This Row],[Low Tol]]="",Table1[[#This Row],[High Tol]]=""),"Needs Analysis",IF(Table1[[#This Row],[Ratio]]&gt;=4,"Not Significant",IF(Table1[[#This Row],[Ratio]]&gt;=2,"Semi-Significant","Significant")))</f>
        <v>Needs Analysis</v>
      </c>
      <c r="W497" s="1">
        <f>IF(Table1[[#This Row],[Cal Type]]&lt;&gt;"ACCREDITED 17025 WITH UNCERTAINTIES",0,"")</f>
        <v>0</v>
      </c>
      <c r="X497" s="1" t="str">
        <f>IF(Table1[[#This Row],[DUT Read]]="","N/A",Table1[[#This Row],[Std Error]]+Table1[[#This Row],[DUT Read]]+Table1[[#This Row],[DUT Ucty]])</f>
        <v>N/A</v>
      </c>
      <c r="Y497" s="1" t="str">
        <f>IF(Table1[[#This Row],[Std Read]]="","N/A",Table1[[#This Row],[Std Read]]+Table1[[#This Row],[Std Ucty]])</f>
        <v>N/A</v>
      </c>
      <c r="Z4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7" s="1" t="str">
        <f>IF(Table1[[#This Row],[Spec Type]]="","N/A",Table1[[#This Row],[Spec Type]])</f>
        <v>±</v>
      </c>
      <c r="AC497" s="1" t="str">
        <f>IF(Table1[[#This Row],[Spec Type2]]="N/A","N/A",IF(AND(Table1[[#This Row],[DUT Adj Read]]&gt;=Table1[[#This Row],[Low Tol]],Table1[[#This Row],[DUT Adj Read]]&lt;=Table1[[#This Row],[High Tol]]),"Pass","Fail"))</f>
        <v>Fail</v>
      </c>
      <c r="AD497" s="1" t="str">
        <f>IF(AND(Table1[[#This Row],[Spec Type2]]="N/A",Table1[[#This Row],[DUT Adj Read]]="N/A",Table1[[#This Row],[Std Adj Read]]="N/A"),"N/A",IF(Table1[[#This Row],[DUT Adj Read]]="N/A",IF(Table1[[#This Row],[Std Adj Read]]&gt;Table1[[#This Row],[Low Tol]],"Pass","Fail"),IF(Table1[[#This Row],[DUT Adj Read]]&gt;Table1[[#This Row],[Low Tol]],"Pass","Fail")))</f>
        <v>Pass</v>
      </c>
      <c r="AE497" s="1" t="str">
        <f>IF(AND(Table1[[#This Row],[Spec Type2]]="N/A",Table1[[#This Row],[DUT Adj Read]]="N/A",Table1[[#This Row],[Std Adj Read]]="N/A"),"N/A",IF(Table1[[#This Row],[DUT Adj Read]]="N/A",IF(Table1[[#This Row],[Std Adj Read]]&lt;Table1[[#This Row],[High Tol]],"Pass","Fail"),IF(Table1[[#This Row],[DUT Adj Read]]&lt;Table1[[#This Row],[High Tol]],"Pass","Fail")))</f>
        <v>Fail</v>
      </c>
      <c r="AF497" s="1" t="str">
        <f>IF(AND(Table1[[#This Row],[Spec Type2]]="N/A",Table1[[#This Row],[DUT Adj Read]]="N/A",Table1[[#This Row],[Std Adj Read]]="N/A"),"N/A",IF(Table1[[#This Row],[DUT Adj Read]]="N/A",IF(Table1[[#This Row],[Std Adj Read]]&gt;=Table1[[#This Row],[Low Tol]],"Pass","Fail"),IF(Table1[[#This Row],[DUT Adj Read]]&gt;=Table1[[#This Row],[Low Tol]],"Pass","Fail")))</f>
        <v>Pass</v>
      </c>
      <c r="AG497" s="1" t="str">
        <f>IF(AND(Table1[[#This Row],[Spec Type2]]="N/A",Table1[[#This Row],[DUT Adj Read]]="N/A",Table1[[#This Row],[Std Adj Read]]="N/A"),"N/A",IF(Table1[[#This Row],[DUT Adj Read]]="N/A",IF(Table1[[#This Row],[Std Adj Read]]&lt;=Table1[[#This Row],[High Tol]],"Pass","Fail"),IF(Table1[[#This Row],[DUT Adj Read]]&lt;=Table1[[#This Row],[High Tol]],"Pass","Fail")))</f>
        <v>Fail</v>
      </c>
      <c r="AH4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7" s="1" t="b">
        <v>0</v>
      </c>
      <c r="AN497" s="1" t="b">
        <v>0</v>
      </c>
      <c r="AO497" s="1" t="b">
        <v>0</v>
      </c>
    </row>
    <row r="498" spans="1:41" x14ac:dyDescent="0.25">
      <c r="A498" s="10"/>
      <c r="B498" s="10"/>
      <c r="C498" s="10"/>
      <c r="D498" s="10"/>
      <c r="E498" s="10"/>
      <c r="F498" s="10"/>
      <c r="G498" s="10"/>
      <c r="H498" s="10"/>
      <c r="I498" s="1" t="str">
        <f t="shared" si="21"/>
        <v/>
      </c>
      <c r="J498" s="1" t="s">
        <v>35</v>
      </c>
      <c r="K498" s="1" t="str">
        <f t="shared" si="22"/>
        <v/>
      </c>
      <c r="L498" s="1" t="str">
        <f t="shared" si="23"/>
        <v/>
      </c>
      <c r="M498" s="1">
        <f>IF(OR(Table1[[#This Row],[Std Nom]]="",Table1[[#This Row],[Std Read]]=""),0,Table1[[#This Row],[Std Nom]]-Table1[[#This Row],[Std Read]])</f>
        <v>0</v>
      </c>
      <c r="N498" s="1">
        <f>IF(Calculations!$F$5="ACCREDITED 17025 WITH UNCERTAINTIES",$N$10,0)</f>
        <v>0</v>
      </c>
      <c r="Q498" s="1">
        <f>Table1[[#This Row],[High Tol]]-Table1[[#This Row],[Low Tol]]</f>
        <v>0</v>
      </c>
      <c r="R498" s="1">
        <f>2*Table1[[#This Row],[Std Error]]</f>
        <v>0</v>
      </c>
      <c r="S498" s="1" t="str">
        <f>IF(Table1[[#This Row],[High Tol]]="","N/A",IFERROR(ABS(Table1[[#This Row],[Tol Span]]/Table1[[#This Row],[Error Span]]),"N/A"))</f>
        <v>N/A</v>
      </c>
      <c r="T498" s="1" t="str">
        <f>IF(OR(Table1[[#This Row],[Low Tol]]="",Table1[[#This Row],[High Tol]]=""),"Needs Analysis",IF(Table1[[#This Row],[Ratio]]&gt;=4,"Not Significant",IF(Table1[[#This Row],[Ratio]]&gt;=2,"Semi-Significant","Significant")))</f>
        <v>Needs Analysis</v>
      </c>
      <c r="W498" s="1">
        <f>IF(Table1[[#This Row],[Cal Type]]&lt;&gt;"ACCREDITED 17025 WITH UNCERTAINTIES",0,"")</f>
        <v>0</v>
      </c>
      <c r="X498" s="1" t="str">
        <f>IF(Table1[[#This Row],[DUT Read]]="","N/A",Table1[[#This Row],[Std Error]]+Table1[[#This Row],[DUT Read]]+Table1[[#This Row],[DUT Ucty]])</f>
        <v>N/A</v>
      </c>
      <c r="Y498" s="1" t="str">
        <f>IF(Table1[[#This Row],[Std Read]]="","N/A",Table1[[#This Row],[Std Read]]+Table1[[#This Row],[Std Ucty]])</f>
        <v>N/A</v>
      </c>
      <c r="Z4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8" s="1" t="str">
        <f>IF(Table1[[#This Row],[Spec Type]]="","N/A",Table1[[#This Row],[Spec Type]])</f>
        <v>±</v>
      </c>
      <c r="AC498" s="1" t="str">
        <f>IF(Table1[[#This Row],[Spec Type2]]="N/A","N/A",IF(AND(Table1[[#This Row],[DUT Adj Read]]&gt;=Table1[[#This Row],[Low Tol]],Table1[[#This Row],[DUT Adj Read]]&lt;=Table1[[#This Row],[High Tol]]),"Pass","Fail"))</f>
        <v>Fail</v>
      </c>
      <c r="AD498" s="1" t="str">
        <f>IF(AND(Table1[[#This Row],[Spec Type2]]="N/A",Table1[[#This Row],[DUT Adj Read]]="N/A",Table1[[#This Row],[Std Adj Read]]="N/A"),"N/A",IF(Table1[[#This Row],[DUT Adj Read]]="N/A",IF(Table1[[#This Row],[Std Adj Read]]&gt;Table1[[#This Row],[Low Tol]],"Pass","Fail"),IF(Table1[[#This Row],[DUT Adj Read]]&gt;Table1[[#This Row],[Low Tol]],"Pass","Fail")))</f>
        <v>Pass</v>
      </c>
      <c r="AE498" s="1" t="str">
        <f>IF(AND(Table1[[#This Row],[Spec Type2]]="N/A",Table1[[#This Row],[DUT Adj Read]]="N/A",Table1[[#This Row],[Std Adj Read]]="N/A"),"N/A",IF(Table1[[#This Row],[DUT Adj Read]]="N/A",IF(Table1[[#This Row],[Std Adj Read]]&lt;Table1[[#This Row],[High Tol]],"Pass","Fail"),IF(Table1[[#This Row],[DUT Adj Read]]&lt;Table1[[#This Row],[High Tol]],"Pass","Fail")))</f>
        <v>Fail</v>
      </c>
      <c r="AF498" s="1" t="str">
        <f>IF(AND(Table1[[#This Row],[Spec Type2]]="N/A",Table1[[#This Row],[DUT Adj Read]]="N/A",Table1[[#This Row],[Std Adj Read]]="N/A"),"N/A",IF(Table1[[#This Row],[DUT Adj Read]]="N/A",IF(Table1[[#This Row],[Std Adj Read]]&gt;=Table1[[#This Row],[Low Tol]],"Pass","Fail"),IF(Table1[[#This Row],[DUT Adj Read]]&gt;=Table1[[#This Row],[Low Tol]],"Pass","Fail")))</f>
        <v>Pass</v>
      </c>
      <c r="AG498" s="1" t="str">
        <f>IF(AND(Table1[[#This Row],[Spec Type2]]="N/A",Table1[[#This Row],[DUT Adj Read]]="N/A",Table1[[#This Row],[Std Adj Read]]="N/A"),"N/A",IF(Table1[[#This Row],[DUT Adj Read]]="N/A",IF(Table1[[#This Row],[Std Adj Read]]&lt;=Table1[[#This Row],[High Tol]],"Pass","Fail"),IF(Table1[[#This Row],[DUT Adj Read]]&lt;=Table1[[#This Row],[High Tol]],"Pass","Fail")))</f>
        <v>Fail</v>
      </c>
      <c r="AH4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8" s="1" t="b">
        <v>0</v>
      </c>
      <c r="AN498" s="1" t="b">
        <v>0</v>
      </c>
      <c r="AO498" s="1" t="b">
        <v>0</v>
      </c>
    </row>
    <row r="499" spans="1:41" x14ac:dyDescent="0.25">
      <c r="A499" s="10"/>
      <c r="B499" s="10"/>
      <c r="C499" s="10"/>
      <c r="D499" s="10"/>
      <c r="E499" s="10"/>
      <c r="F499" s="10"/>
      <c r="G499" s="10"/>
      <c r="H499" s="10"/>
      <c r="I499" s="1" t="str">
        <f t="shared" si="21"/>
        <v/>
      </c>
      <c r="J499" s="1" t="s">
        <v>35</v>
      </c>
      <c r="K499" s="1" t="str">
        <f t="shared" si="22"/>
        <v/>
      </c>
      <c r="L499" s="1" t="str">
        <f t="shared" si="23"/>
        <v/>
      </c>
      <c r="M499" s="1">
        <f>IF(OR(Table1[[#This Row],[Std Nom]]="",Table1[[#This Row],[Std Read]]=""),0,Table1[[#This Row],[Std Nom]]-Table1[[#This Row],[Std Read]])</f>
        <v>0</v>
      </c>
      <c r="N499" s="1">
        <f>IF(Calculations!$F$5="ACCREDITED 17025 WITH UNCERTAINTIES",$N$10,0)</f>
        <v>0</v>
      </c>
      <c r="Q499" s="1">
        <f>Table1[[#This Row],[High Tol]]-Table1[[#This Row],[Low Tol]]</f>
        <v>0</v>
      </c>
      <c r="R499" s="1">
        <f>2*Table1[[#This Row],[Std Error]]</f>
        <v>0</v>
      </c>
      <c r="S499" s="1" t="str">
        <f>IF(Table1[[#This Row],[High Tol]]="","N/A",IFERROR(ABS(Table1[[#This Row],[Tol Span]]/Table1[[#This Row],[Error Span]]),"N/A"))</f>
        <v>N/A</v>
      </c>
      <c r="T499" s="1" t="str">
        <f>IF(OR(Table1[[#This Row],[Low Tol]]="",Table1[[#This Row],[High Tol]]=""),"Needs Analysis",IF(Table1[[#This Row],[Ratio]]&gt;=4,"Not Significant",IF(Table1[[#This Row],[Ratio]]&gt;=2,"Semi-Significant","Significant")))</f>
        <v>Needs Analysis</v>
      </c>
      <c r="W499" s="1">
        <f>IF(Table1[[#This Row],[Cal Type]]&lt;&gt;"ACCREDITED 17025 WITH UNCERTAINTIES",0,"")</f>
        <v>0</v>
      </c>
      <c r="X499" s="1" t="str">
        <f>IF(Table1[[#This Row],[DUT Read]]="","N/A",Table1[[#This Row],[Std Error]]+Table1[[#This Row],[DUT Read]]+Table1[[#This Row],[DUT Ucty]])</f>
        <v>N/A</v>
      </c>
      <c r="Y499" s="1" t="str">
        <f>IF(Table1[[#This Row],[Std Read]]="","N/A",Table1[[#This Row],[Std Read]]+Table1[[#This Row],[Std Ucty]])</f>
        <v>N/A</v>
      </c>
      <c r="Z4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499" s="1" t="str">
        <f>IF(Table1[[#This Row],[Spec Type]]="","N/A",Table1[[#This Row],[Spec Type]])</f>
        <v>±</v>
      </c>
      <c r="AC499" s="1" t="str">
        <f>IF(Table1[[#This Row],[Spec Type2]]="N/A","N/A",IF(AND(Table1[[#This Row],[DUT Adj Read]]&gt;=Table1[[#This Row],[Low Tol]],Table1[[#This Row],[DUT Adj Read]]&lt;=Table1[[#This Row],[High Tol]]),"Pass","Fail"))</f>
        <v>Fail</v>
      </c>
      <c r="AD499" s="1" t="str">
        <f>IF(AND(Table1[[#This Row],[Spec Type2]]="N/A",Table1[[#This Row],[DUT Adj Read]]="N/A",Table1[[#This Row],[Std Adj Read]]="N/A"),"N/A",IF(Table1[[#This Row],[DUT Adj Read]]="N/A",IF(Table1[[#This Row],[Std Adj Read]]&gt;Table1[[#This Row],[Low Tol]],"Pass","Fail"),IF(Table1[[#This Row],[DUT Adj Read]]&gt;Table1[[#This Row],[Low Tol]],"Pass","Fail")))</f>
        <v>Pass</v>
      </c>
      <c r="AE499" s="1" t="str">
        <f>IF(AND(Table1[[#This Row],[Spec Type2]]="N/A",Table1[[#This Row],[DUT Adj Read]]="N/A",Table1[[#This Row],[Std Adj Read]]="N/A"),"N/A",IF(Table1[[#This Row],[DUT Adj Read]]="N/A",IF(Table1[[#This Row],[Std Adj Read]]&lt;Table1[[#This Row],[High Tol]],"Pass","Fail"),IF(Table1[[#This Row],[DUT Adj Read]]&lt;Table1[[#This Row],[High Tol]],"Pass","Fail")))</f>
        <v>Fail</v>
      </c>
      <c r="AF499" s="1" t="str">
        <f>IF(AND(Table1[[#This Row],[Spec Type2]]="N/A",Table1[[#This Row],[DUT Adj Read]]="N/A",Table1[[#This Row],[Std Adj Read]]="N/A"),"N/A",IF(Table1[[#This Row],[DUT Adj Read]]="N/A",IF(Table1[[#This Row],[Std Adj Read]]&gt;=Table1[[#This Row],[Low Tol]],"Pass","Fail"),IF(Table1[[#This Row],[DUT Adj Read]]&gt;=Table1[[#This Row],[Low Tol]],"Pass","Fail")))</f>
        <v>Pass</v>
      </c>
      <c r="AG499" s="1" t="str">
        <f>IF(AND(Table1[[#This Row],[Spec Type2]]="N/A",Table1[[#This Row],[DUT Adj Read]]="N/A",Table1[[#This Row],[Std Adj Read]]="N/A"),"N/A",IF(Table1[[#This Row],[DUT Adj Read]]="N/A",IF(Table1[[#This Row],[Std Adj Read]]&lt;=Table1[[#This Row],[High Tol]],"Pass","Fail"),IF(Table1[[#This Row],[DUT Adj Read]]&lt;=Table1[[#This Row],[High Tol]],"Pass","Fail")))</f>
        <v>Fail</v>
      </c>
      <c r="AH4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499" s="1" t="b">
        <v>0</v>
      </c>
      <c r="AN499" s="1" t="b">
        <v>0</v>
      </c>
      <c r="AO499" s="1" t="b">
        <v>0</v>
      </c>
    </row>
    <row r="500" spans="1:41" x14ac:dyDescent="0.25">
      <c r="A500" s="10"/>
      <c r="B500" s="10"/>
      <c r="C500" s="10"/>
      <c r="D500" s="10"/>
      <c r="E500" s="10"/>
      <c r="F500" s="10"/>
      <c r="G500" s="10"/>
      <c r="H500" s="10"/>
      <c r="I500" s="1" t="str">
        <f t="shared" si="21"/>
        <v/>
      </c>
      <c r="J500" s="1" t="s">
        <v>35</v>
      </c>
      <c r="K500" s="1" t="str">
        <f t="shared" si="22"/>
        <v/>
      </c>
      <c r="L500" s="1" t="str">
        <f t="shared" si="23"/>
        <v/>
      </c>
      <c r="M500" s="1">
        <f>IF(OR(Table1[[#This Row],[Std Nom]]="",Table1[[#This Row],[Std Read]]=""),0,Table1[[#This Row],[Std Nom]]-Table1[[#This Row],[Std Read]])</f>
        <v>0</v>
      </c>
      <c r="N500" s="1">
        <f>IF(Calculations!$F$5="ACCREDITED 17025 WITH UNCERTAINTIES",$N$10,0)</f>
        <v>0</v>
      </c>
      <c r="Q500" s="1">
        <f>Table1[[#This Row],[High Tol]]-Table1[[#This Row],[Low Tol]]</f>
        <v>0</v>
      </c>
      <c r="R500" s="1">
        <f>2*Table1[[#This Row],[Std Error]]</f>
        <v>0</v>
      </c>
      <c r="S500" s="1" t="str">
        <f>IF(Table1[[#This Row],[High Tol]]="","N/A",IFERROR(ABS(Table1[[#This Row],[Tol Span]]/Table1[[#This Row],[Error Span]]),"N/A"))</f>
        <v>N/A</v>
      </c>
      <c r="T500" s="1" t="str">
        <f>IF(OR(Table1[[#This Row],[Low Tol]]="",Table1[[#This Row],[High Tol]]=""),"Needs Analysis",IF(Table1[[#This Row],[Ratio]]&gt;=4,"Not Significant",IF(Table1[[#This Row],[Ratio]]&gt;=2,"Semi-Significant","Significant")))</f>
        <v>Needs Analysis</v>
      </c>
      <c r="W500" s="1">
        <f>IF(Table1[[#This Row],[Cal Type]]&lt;&gt;"ACCREDITED 17025 WITH UNCERTAINTIES",0,"")</f>
        <v>0</v>
      </c>
      <c r="X500" s="1" t="str">
        <f>IF(Table1[[#This Row],[DUT Read]]="","N/A",Table1[[#This Row],[Std Error]]+Table1[[#This Row],[DUT Read]]+Table1[[#This Row],[DUT Ucty]])</f>
        <v>N/A</v>
      </c>
      <c r="Y500" s="1" t="str">
        <f>IF(Table1[[#This Row],[Std Read]]="","N/A",Table1[[#This Row],[Std Read]]+Table1[[#This Row],[Std Ucty]])</f>
        <v>N/A</v>
      </c>
      <c r="Z5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0" s="1" t="str">
        <f>IF(Table1[[#This Row],[Spec Type]]="","N/A",Table1[[#This Row],[Spec Type]])</f>
        <v>±</v>
      </c>
      <c r="AC500" s="1" t="str">
        <f>IF(Table1[[#This Row],[Spec Type2]]="N/A","N/A",IF(AND(Table1[[#This Row],[DUT Adj Read]]&gt;=Table1[[#This Row],[Low Tol]],Table1[[#This Row],[DUT Adj Read]]&lt;=Table1[[#This Row],[High Tol]]),"Pass","Fail"))</f>
        <v>Fail</v>
      </c>
      <c r="AD500" s="1" t="str">
        <f>IF(AND(Table1[[#This Row],[Spec Type2]]="N/A",Table1[[#This Row],[DUT Adj Read]]="N/A",Table1[[#This Row],[Std Adj Read]]="N/A"),"N/A",IF(Table1[[#This Row],[DUT Adj Read]]="N/A",IF(Table1[[#This Row],[Std Adj Read]]&gt;Table1[[#This Row],[Low Tol]],"Pass","Fail"),IF(Table1[[#This Row],[DUT Adj Read]]&gt;Table1[[#This Row],[Low Tol]],"Pass","Fail")))</f>
        <v>Pass</v>
      </c>
      <c r="AE500" s="1" t="str">
        <f>IF(AND(Table1[[#This Row],[Spec Type2]]="N/A",Table1[[#This Row],[DUT Adj Read]]="N/A",Table1[[#This Row],[Std Adj Read]]="N/A"),"N/A",IF(Table1[[#This Row],[DUT Adj Read]]="N/A",IF(Table1[[#This Row],[Std Adj Read]]&lt;Table1[[#This Row],[High Tol]],"Pass","Fail"),IF(Table1[[#This Row],[DUT Adj Read]]&lt;Table1[[#This Row],[High Tol]],"Pass","Fail")))</f>
        <v>Fail</v>
      </c>
      <c r="AF500" s="1" t="str">
        <f>IF(AND(Table1[[#This Row],[Spec Type2]]="N/A",Table1[[#This Row],[DUT Adj Read]]="N/A",Table1[[#This Row],[Std Adj Read]]="N/A"),"N/A",IF(Table1[[#This Row],[DUT Adj Read]]="N/A",IF(Table1[[#This Row],[Std Adj Read]]&gt;=Table1[[#This Row],[Low Tol]],"Pass","Fail"),IF(Table1[[#This Row],[DUT Adj Read]]&gt;=Table1[[#This Row],[Low Tol]],"Pass","Fail")))</f>
        <v>Pass</v>
      </c>
      <c r="AG500" s="1" t="str">
        <f>IF(AND(Table1[[#This Row],[Spec Type2]]="N/A",Table1[[#This Row],[DUT Adj Read]]="N/A",Table1[[#This Row],[Std Adj Read]]="N/A"),"N/A",IF(Table1[[#This Row],[DUT Adj Read]]="N/A",IF(Table1[[#This Row],[Std Adj Read]]&lt;=Table1[[#This Row],[High Tol]],"Pass","Fail"),IF(Table1[[#This Row],[DUT Adj Read]]&lt;=Table1[[#This Row],[High Tol]],"Pass","Fail")))</f>
        <v>Fail</v>
      </c>
      <c r="AH5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0" s="1" t="b">
        <v>0</v>
      </c>
      <c r="AN500" s="1" t="b">
        <v>0</v>
      </c>
      <c r="AO500" s="1" t="b">
        <v>0</v>
      </c>
    </row>
    <row r="501" spans="1:41" x14ac:dyDescent="0.25">
      <c r="A501" s="10"/>
      <c r="B501" s="10"/>
      <c r="C501" s="10"/>
      <c r="D501" s="10"/>
      <c r="E501" s="10"/>
      <c r="F501" s="10"/>
      <c r="G501" s="10"/>
      <c r="H501" s="10"/>
      <c r="I501" s="1" t="str">
        <f t="shared" si="21"/>
        <v/>
      </c>
      <c r="J501" s="1" t="s">
        <v>35</v>
      </c>
      <c r="K501" s="1" t="str">
        <f t="shared" si="22"/>
        <v/>
      </c>
      <c r="L501" s="1" t="str">
        <f t="shared" si="23"/>
        <v/>
      </c>
      <c r="M501" s="1">
        <f>IF(OR(Table1[[#This Row],[Std Nom]]="",Table1[[#This Row],[Std Read]]=""),0,Table1[[#This Row],[Std Nom]]-Table1[[#This Row],[Std Read]])</f>
        <v>0</v>
      </c>
      <c r="N501" s="1">
        <f>IF(Calculations!$F$5="ACCREDITED 17025 WITH UNCERTAINTIES",$N$10,0)</f>
        <v>0</v>
      </c>
      <c r="Q501" s="1">
        <f>Table1[[#This Row],[High Tol]]-Table1[[#This Row],[Low Tol]]</f>
        <v>0</v>
      </c>
      <c r="R501" s="1">
        <f>2*Table1[[#This Row],[Std Error]]</f>
        <v>0</v>
      </c>
      <c r="S501" s="1" t="str">
        <f>IF(Table1[[#This Row],[High Tol]]="","N/A",IFERROR(ABS(Table1[[#This Row],[Tol Span]]/Table1[[#This Row],[Error Span]]),"N/A"))</f>
        <v>N/A</v>
      </c>
      <c r="T501" s="1" t="str">
        <f>IF(OR(Table1[[#This Row],[Low Tol]]="",Table1[[#This Row],[High Tol]]=""),"Needs Analysis",IF(Table1[[#This Row],[Ratio]]&gt;=4,"Not Significant",IF(Table1[[#This Row],[Ratio]]&gt;=2,"Semi-Significant","Significant")))</f>
        <v>Needs Analysis</v>
      </c>
      <c r="W501" s="1">
        <f>IF(Table1[[#This Row],[Cal Type]]&lt;&gt;"ACCREDITED 17025 WITH UNCERTAINTIES",0,"")</f>
        <v>0</v>
      </c>
      <c r="X501" s="1" t="str">
        <f>IF(Table1[[#This Row],[DUT Read]]="","N/A",Table1[[#This Row],[Std Error]]+Table1[[#This Row],[DUT Read]]+Table1[[#This Row],[DUT Ucty]])</f>
        <v>N/A</v>
      </c>
      <c r="Y501" s="1" t="str">
        <f>IF(Table1[[#This Row],[Std Read]]="","N/A",Table1[[#This Row],[Std Read]]+Table1[[#This Row],[Std Ucty]])</f>
        <v>N/A</v>
      </c>
      <c r="Z5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1" s="1" t="str">
        <f>IF(Table1[[#This Row],[Spec Type]]="","N/A",Table1[[#This Row],[Spec Type]])</f>
        <v>±</v>
      </c>
      <c r="AC501" s="1" t="str">
        <f>IF(Table1[[#This Row],[Spec Type2]]="N/A","N/A",IF(AND(Table1[[#This Row],[DUT Adj Read]]&gt;=Table1[[#This Row],[Low Tol]],Table1[[#This Row],[DUT Adj Read]]&lt;=Table1[[#This Row],[High Tol]]),"Pass","Fail"))</f>
        <v>Fail</v>
      </c>
      <c r="AD501" s="1" t="str">
        <f>IF(AND(Table1[[#This Row],[Spec Type2]]="N/A",Table1[[#This Row],[DUT Adj Read]]="N/A",Table1[[#This Row],[Std Adj Read]]="N/A"),"N/A",IF(Table1[[#This Row],[DUT Adj Read]]="N/A",IF(Table1[[#This Row],[Std Adj Read]]&gt;Table1[[#This Row],[Low Tol]],"Pass","Fail"),IF(Table1[[#This Row],[DUT Adj Read]]&gt;Table1[[#This Row],[Low Tol]],"Pass","Fail")))</f>
        <v>Pass</v>
      </c>
      <c r="AE501" s="1" t="str">
        <f>IF(AND(Table1[[#This Row],[Spec Type2]]="N/A",Table1[[#This Row],[DUT Adj Read]]="N/A",Table1[[#This Row],[Std Adj Read]]="N/A"),"N/A",IF(Table1[[#This Row],[DUT Adj Read]]="N/A",IF(Table1[[#This Row],[Std Adj Read]]&lt;Table1[[#This Row],[High Tol]],"Pass","Fail"),IF(Table1[[#This Row],[DUT Adj Read]]&lt;Table1[[#This Row],[High Tol]],"Pass","Fail")))</f>
        <v>Fail</v>
      </c>
      <c r="AF501" s="1" t="str">
        <f>IF(AND(Table1[[#This Row],[Spec Type2]]="N/A",Table1[[#This Row],[DUT Adj Read]]="N/A",Table1[[#This Row],[Std Adj Read]]="N/A"),"N/A",IF(Table1[[#This Row],[DUT Adj Read]]="N/A",IF(Table1[[#This Row],[Std Adj Read]]&gt;=Table1[[#This Row],[Low Tol]],"Pass","Fail"),IF(Table1[[#This Row],[DUT Adj Read]]&gt;=Table1[[#This Row],[Low Tol]],"Pass","Fail")))</f>
        <v>Pass</v>
      </c>
      <c r="AG501" s="1" t="str">
        <f>IF(AND(Table1[[#This Row],[Spec Type2]]="N/A",Table1[[#This Row],[DUT Adj Read]]="N/A",Table1[[#This Row],[Std Adj Read]]="N/A"),"N/A",IF(Table1[[#This Row],[DUT Adj Read]]="N/A",IF(Table1[[#This Row],[Std Adj Read]]&lt;=Table1[[#This Row],[High Tol]],"Pass","Fail"),IF(Table1[[#This Row],[DUT Adj Read]]&lt;=Table1[[#This Row],[High Tol]],"Pass","Fail")))</f>
        <v>Fail</v>
      </c>
      <c r="AH5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1" s="1" t="b">
        <v>0</v>
      </c>
      <c r="AN501" s="1" t="b">
        <v>0</v>
      </c>
      <c r="AO501" s="1" t="b">
        <v>0</v>
      </c>
    </row>
    <row r="502" spans="1:41" x14ac:dyDescent="0.25">
      <c r="A502" s="10"/>
      <c r="B502" s="10"/>
      <c r="C502" s="10"/>
      <c r="D502" s="10"/>
      <c r="E502" s="10"/>
      <c r="F502" s="10"/>
      <c r="G502" s="10"/>
      <c r="H502" s="10"/>
      <c r="I502" s="1" t="str">
        <f t="shared" si="21"/>
        <v/>
      </c>
      <c r="J502" s="1" t="s">
        <v>35</v>
      </c>
      <c r="K502" s="1" t="str">
        <f t="shared" si="22"/>
        <v/>
      </c>
      <c r="L502" s="1" t="str">
        <f t="shared" si="23"/>
        <v/>
      </c>
      <c r="M502" s="1">
        <f>IF(OR(Table1[[#This Row],[Std Nom]]="",Table1[[#This Row],[Std Read]]=""),0,Table1[[#This Row],[Std Nom]]-Table1[[#This Row],[Std Read]])</f>
        <v>0</v>
      </c>
      <c r="N502" s="1">
        <f>IF(Calculations!$F$5="ACCREDITED 17025 WITH UNCERTAINTIES",$N$10,0)</f>
        <v>0</v>
      </c>
      <c r="Q502" s="1">
        <f>Table1[[#This Row],[High Tol]]-Table1[[#This Row],[Low Tol]]</f>
        <v>0</v>
      </c>
      <c r="R502" s="1">
        <f>2*Table1[[#This Row],[Std Error]]</f>
        <v>0</v>
      </c>
      <c r="S502" s="1" t="str">
        <f>IF(Table1[[#This Row],[High Tol]]="","N/A",IFERROR(ABS(Table1[[#This Row],[Tol Span]]/Table1[[#This Row],[Error Span]]),"N/A"))</f>
        <v>N/A</v>
      </c>
      <c r="T502" s="1" t="str">
        <f>IF(OR(Table1[[#This Row],[Low Tol]]="",Table1[[#This Row],[High Tol]]=""),"Needs Analysis",IF(Table1[[#This Row],[Ratio]]&gt;=4,"Not Significant",IF(Table1[[#This Row],[Ratio]]&gt;=2,"Semi-Significant","Significant")))</f>
        <v>Needs Analysis</v>
      </c>
      <c r="W502" s="1">
        <f>IF(Table1[[#This Row],[Cal Type]]&lt;&gt;"ACCREDITED 17025 WITH UNCERTAINTIES",0,"")</f>
        <v>0</v>
      </c>
      <c r="X502" s="1" t="str">
        <f>IF(Table1[[#This Row],[DUT Read]]="","N/A",Table1[[#This Row],[Std Error]]+Table1[[#This Row],[DUT Read]]+Table1[[#This Row],[DUT Ucty]])</f>
        <v>N/A</v>
      </c>
      <c r="Y502" s="1" t="str">
        <f>IF(Table1[[#This Row],[Std Read]]="","N/A",Table1[[#This Row],[Std Read]]+Table1[[#This Row],[Std Ucty]])</f>
        <v>N/A</v>
      </c>
      <c r="Z5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2" s="1" t="str">
        <f>IF(Table1[[#This Row],[Spec Type]]="","N/A",Table1[[#This Row],[Spec Type]])</f>
        <v>±</v>
      </c>
      <c r="AC502" s="1" t="str">
        <f>IF(Table1[[#This Row],[Spec Type2]]="N/A","N/A",IF(AND(Table1[[#This Row],[DUT Adj Read]]&gt;=Table1[[#This Row],[Low Tol]],Table1[[#This Row],[DUT Adj Read]]&lt;=Table1[[#This Row],[High Tol]]),"Pass","Fail"))</f>
        <v>Fail</v>
      </c>
      <c r="AD502" s="1" t="str">
        <f>IF(AND(Table1[[#This Row],[Spec Type2]]="N/A",Table1[[#This Row],[DUT Adj Read]]="N/A",Table1[[#This Row],[Std Adj Read]]="N/A"),"N/A",IF(Table1[[#This Row],[DUT Adj Read]]="N/A",IF(Table1[[#This Row],[Std Adj Read]]&gt;Table1[[#This Row],[Low Tol]],"Pass","Fail"),IF(Table1[[#This Row],[DUT Adj Read]]&gt;Table1[[#This Row],[Low Tol]],"Pass","Fail")))</f>
        <v>Pass</v>
      </c>
      <c r="AE502" s="1" t="str">
        <f>IF(AND(Table1[[#This Row],[Spec Type2]]="N/A",Table1[[#This Row],[DUT Adj Read]]="N/A",Table1[[#This Row],[Std Adj Read]]="N/A"),"N/A",IF(Table1[[#This Row],[DUT Adj Read]]="N/A",IF(Table1[[#This Row],[Std Adj Read]]&lt;Table1[[#This Row],[High Tol]],"Pass","Fail"),IF(Table1[[#This Row],[DUT Adj Read]]&lt;Table1[[#This Row],[High Tol]],"Pass","Fail")))</f>
        <v>Fail</v>
      </c>
      <c r="AF502" s="1" t="str">
        <f>IF(AND(Table1[[#This Row],[Spec Type2]]="N/A",Table1[[#This Row],[DUT Adj Read]]="N/A",Table1[[#This Row],[Std Adj Read]]="N/A"),"N/A",IF(Table1[[#This Row],[DUT Adj Read]]="N/A",IF(Table1[[#This Row],[Std Adj Read]]&gt;=Table1[[#This Row],[Low Tol]],"Pass","Fail"),IF(Table1[[#This Row],[DUT Adj Read]]&gt;=Table1[[#This Row],[Low Tol]],"Pass","Fail")))</f>
        <v>Pass</v>
      </c>
      <c r="AG502" s="1" t="str">
        <f>IF(AND(Table1[[#This Row],[Spec Type2]]="N/A",Table1[[#This Row],[DUT Adj Read]]="N/A",Table1[[#This Row],[Std Adj Read]]="N/A"),"N/A",IF(Table1[[#This Row],[DUT Adj Read]]="N/A",IF(Table1[[#This Row],[Std Adj Read]]&lt;=Table1[[#This Row],[High Tol]],"Pass","Fail"),IF(Table1[[#This Row],[DUT Adj Read]]&lt;=Table1[[#This Row],[High Tol]],"Pass","Fail")))</f>
        <v>Fail</v>
      </c>
      <c r="AH5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2" s="1" t="b">
        <v>0</v>
      </c>
      <c r="AN502" s="1" t="b">
        <v>0</v>
      </c>
      <c r="AO502" s="1" t="b">
        <v>0</v>
      </c>
    </row>
    <row r="503" spans="1:41" x14ac:dyDescent="0.25">
      <c r="A503" s="10"/>
      <c r="B503" s="10"/>
      <c r="C503" s="10"/>
      <c r="D503" s="10"/>
      <c r="E503" s="10"/>
      <c r="F503" s="10"/>
      <c r="G503" s="10"/>
      <c r="H503" s="10"/>
      <c r="I503" s="1" t="str">
        <f t="shared" si="21"/>
        <v/>
      </c>
      <c r="J503" s="1" t="s">
        <v>35</v>
      </c>
      <c r="K503" s="1" t="str">
        <f t="shared" si="22"/>
        <v/>
      </c>
      <c r="L503" s="1" t="str">
        <f t="shared" si="23"/>
        <v/>
      </c>
      <c r="M503" s="1">
        <f>IF(OR(Table1[[#This Row],[Std Nom]]="",Table1[[#This Row],[Std Read]]=""),0,Table1[[#This Row],[Std Nom]]-Table1[[#This Row],[Std Read]])</f>
        <v>0</v>
      </c>
      <c r="N503" s="1">
        <f>IF(Calculations!$F$5="ACCREDITED 17025 WITH UNCERTAINTIES",$N$10,0)</f>
        <v>0</v>
      </c>
      <c r="Q503" s="1">
        <f>Table1[[#This Row],[High Tol]]-Table1[[#This Row],[Low Tol]]</f>
        <v>0</v>
      </c>
      <c r="R503" s="1">
        <f>2*Table1[[#This Row],[Std Error]]</f>
        <v>0</v>
      </c>
      <c r="S503" s="1" t="str">
        <f>IF(Table1[[#This Row],[High Tol]]="","N/A",IFERROR(ABS(Table1[[#This Row],[Tol Span]]/Table1[[#This Row],[Error Span]]),"N/A"))</f>
        <v>N/A</v>
      </c>
      <c r="T503" s="1" t="str">
        <f>IF(OR(Table1[[#This Row],[Low Tol]]="",Table1[[#This Row],[High Tol]]=""),"Needs Analysis",IF(Table1[[#This Row],[Ratio]]&gt;=4,"Not Significant",IF(Table1[[#This Row],[Ratio]]&gt;=2,"Semi-Significant","Significant")))</f>
        <v>Needs Analysis</v>
      </c>
      <c r="W503" s="1">
        <f>IF(Table1[[#This Row],[Cal Type]]&lt;&gt;"ACCREDITED 17025 WITH UNCERTAINTIES",0,"")</f>
        <v>0</v>
      </c>
      <c r="X503" s="1" t="str">
        <f>IF(Table1[[#This Row],[DUT Read]]="","N/A",Table1[[#This Row],[Std Error]]+Table1[[#This Row],[DUT Read]]+Table1[[#This Row],[DUT Ucty]])</f>
        <v>N/A</v>
      </c>
      <c r="Y503" s="1" t="str">
        <f>IF(Table1[[#This Row],[Std Read]]="","N/A",Table1[[#This Row],[Std Read]]+Table1[[#This Row],[Std Ucty]])</f>
        <v>N/A</v>
      </c>
      <c r="Z5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3" s="1" t="str">
        <f>IF(Table1[[#This Row],[Spec Type]]="","N/A",Table1[[#This Row],[Spec Type]])</f>
        <v>±</v>
      </c>
      <c r="AC503" s="1" t="str">
        <f>IF(Table1[[#This Row],[Spec Type2]]="N/A","N/A",IF(AND(Table1[[#This Row],[DUT Adj Read]]&gt;=Table1[[#This Row],[Low Tol]],Table1[[#This Row],[DUT Adj Read]]&lt;=Table1[[#This Row],[High Tol]]),"Pass","Fail"))</f>
        <v>Fail</v>
      </c>
      <c r="AD503" s="1" t="str">
        <f>IF(AND(Table1[[#This Row],[Spec Type2]]="N/A",Table1[[#This Row],[DUT Adj Read]]="N/A",Table1[[#This Row],[Std Adj Read]]="N/A"),"N/A",IF(Table1[[#This Row],[DUT Adj Read]]="N/A",IF(Table1[[#This Row],[Std Adj Read]]&gt;Table1[[#This Row],[Low Tol]],"Pass","Fail"),IF(Table1[[#This Row],[DUT Adj Read]]&gt;Table1[[#This Row],[Low Tol]],"Pass","Fail")))</f>
        <v>Pass</v>
      </c>
      <c r="AE503" s="1" t="str">
        <f>IF(AND(Table1[[#This Row],[Spec Type2]]="N/A",Table1[[#This Row],[DUT Adj Read]]="N/A",Table1[[#This Row],[Std Adj Read]]="N/A"),"N/A",IF(Table1[[#This Row],[DUT Adj Read]]="N/A",IF(Table1[[#This Row],[Std Adj Read]]&lt;Table1[[#This Row],[High Tol]],"Pass","Fail"),IF(Table1[[#This Row],[DUT Adj Read]]&lt;Table1[[#This Row],[High Tol]],"Pass","Fail")))</f>
        <v>Fail</v>
      </c>
      <c r="AF503" s="1" t="str">
        <f>IF(AND(Table1[[#This Row],[Spec Type2]]="N/A",Table1[[#This Row],[DUT Adj Read]]="N/A",Table1[[#This Row],[Std Adj Read]]="N/A"),"N/A",IF(Table1[[#This Row],[DUT Adj Read]]="N/A",IF(Table1[[#This Row],[Std Adj Read]]&gt;=Table1[[#This Row],[Low Tol]],"Pass","Fail"),IF(Table1[[#This Row],[DUT Adj Read]]&gt;=Table1[[#This Row],[Low Tol]],"Pass","Fail")))</f>
        <v>Pass</v>
      </c>
      <c r="AG503" s="1" t="str">
        <f>IF(AND(Table1[[#This Row],[Spec Type2]]="N/A",Table1[[#This Row],[DUT Adj Read]]="N/A",Table1[[#This Row],[Std Adj Read]]="N/A"),"N/A",IF(Table1[[#This Row],[DUT Adj Read]]="N/A",IF(Table1[[#This Row],[Std Adj Read]]&lt;=Table1[[#This Row],[High Tol]],"Pass","Fail"),IF(Table1[[#This Row],[DUT Adj Read]]&lt;=Table1[[#This Row],[High Tol]],"Pass","Fail")))</f>
        <v>Fail</v>
      </c>
      <c r="AH5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3" s="1" t="b">
        <v>0</v>
      </c>
      <c r="AN503" s="1" t="b">
        <v>0</v>
      </c>
      <c r="AO503" s="1" t="b">
        <v>0</v>
      </c>
    </row>
    <row r="504" spans="1:41" x14ac:dyDescent="0.25">
      <c r="A504" s="10"/>
      <c r="B504" s="10"/>
      <c r="C504" s="10"/>
      <c r="D504" s="10"/>
      <c r="E504" s="10"/>
      <c r="F504" s="10"/>
      <c r="G504" s="10"/>
      <c r="H504" s="10"/>
      <c r="I504" s="1" t="str">
        <f t="shared" si="21"/>
        <v/>
      </c>
      <c r="J504" s="1" t="s">
        <v>35</v>
      </c>
      <c r="K504" s="1" t="str">
        <f t="shared" si="22"/>
        <v/>
      </c>
      <c r="L504" s="1" t="str">
        <f t="shared" si="23"/>
        <v/>
      </c>
      <c r="M504" s="1">
        <f>IF(OR(Table1[[#This Row],[Std Nom]]="",Table1[[#This Row],[Std Read]]=""),0,Table1[[#This Row],[Std Nom]]-Table1[[#This Row],[Std Read]])</f>
        <v>0</v>
      </c>
      <c r="N504" s="1">
        <f>IF(Calculations!$F$5="ACCREDITED 17025 WITH UNCERTAINTIES",$N$10,0)</f>
        <v>0</v>
      </c>
      <c r="Q504" s="1">
        <f>Table1[[#This Row],[High Tol]]-Table1[[#This Row],[Low Tol]]</f>
        <v>0</v>
      </c>
      <c r="R504" s="1">
        <f>2*Table1[[#This Row],[Std Error]]</f>
        <v>0</v>
      </c>
      <c r="S504" s="1" t="str">
        <f>IF(Table1[[#This Row],[High Tol]]="","N/A",IFERROR(ABS(Table1[[#This Row],[Tol Span]]/Table1[[#This Row],[Error Span]]),"N/A"))</f>
        <v>N/A</v>
      </c>
      <c r="T504" s="1" t="str">
        <f>IF(OR(Table1[[#This Row],[Low Tol]]="",Table1[[#This Row],[High Tol]]=""),"Needs Analysis",IF(Table1[[#This Row],[Ratio]]&gt;=4,"Not Significant",IF(Table1[[#This Row],[Ratio]]&gt;=2,"Semi-Significant","Significant")))</f>
        <v>Needs Analysis</v>
      </c>
      <c r="W504" s="1">
        <f>IF(Table1[[#This Row],[Cal Type]]&lt;&gt;"ACCREDITED 17025 WITH UNCERTAINTIES",0,"")</f>
        <v>0</v>
      </c>
      <c r="X504" s="1" t="str">
        <f>IF(Table1[[#This Row],[DUT Read]]="","N/A",Table1[[#This Row],[Std Error]]+Table1[[#This Row],[DUT Read]]+Table1[[#This Row],[DUT Ucty]])</f>
        <v>N/A</v>
      </c>
      <c r="Y504" s="1" t="str">
        <f>IF(Table1[[#This Row],[Std Read]]="","N/A",Table1[[#This Row],[Std Read]]+Table1[[#This Row],[Std Ucty]])</f>
        <v>N/A</v>
      </c>
      <c r="Z5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4" s="1" t="str">
        <f>IF(Table1[[#This Row],[Spec Type]]="","N/A",Table1[[#This Row],[Spec Type]])</f>
        <v>±</v>
      </c>
      <c r="AC504" s="1" t="str">
        <f>IF(Table1[[#This Row],[Spec Type2]]="N/A","N/A",IF(AND(Table1[[#This Row],[DUT Adj Read]]&gt;=Table1[[#This Row],[Low Tol]],Table1[[#This Row],[DUT Adj Read]]&lt;=Table1[[#This Row],[High Tol]]),"Pass","Fail"))</f>
        <v>Fail</v>
      </c>
      <c r="AD504" s="1" t="str">
        <f>IF(AND(Table1[[#This Row],[Spec Type2]]="N/A",Table1[[#This Row],[DUT Adj Read]]="N/A",Table1[[#This Row],[Std Adj Read]]="N/A"),"N/A",IF(Table1[[#This Row],[DUT Adj Read]]="N/A",IF(Table1[[#This Row],[Std Adj Read]]&gt;Table1[[#This Row],[Low Tol]],"Pass","Fail"),IF(Table1[[#This Row],[DUT Adj Read]]&gt;Table1[[#This Row],[Low Tol]],"Pass","Fail")))</f>
        <v>Pass</v>
      </c>
      <c r="AE504" s="1" t="str">
        <f>IF(AND(Table1[[#This Row],[Spec Type2]]="N/A",Table1[[#This Row],[DUT Adj Read]]="N/A",Table1[[#This Row],[Std Adj Read]]="N/A"),"N/A",IF(Table1[[#This Row],[DUT Adj Read]]="N/A",IF(Table1[[#This Row],[Std Adj Read]]&lt;Table1[[#This Row],[High Tol]],"Pass","Fail"),IF(Table1[[#This Row],[DUT Adj Read]]&lt;Table1[[#This Row],[High Tol]],"Pass","Fail")))</f>
        <v>Fail</v>
      </c>
      <c r="AF504" s="1" t="str">
        <f>IF(AND(Table1[[#This Row],[Spec Type2]]="N/A",Table1[[#This Row],[DUT Adj Read]]="N/A",Table1[[#This Row],[Std Adj Read]]="N/A"),"N/A",IF(Table1[[#This Row],[DUT Adj Read]]="N/A",IF(Table1[[#This Row],[Std Adj Read]]&gt;=Table1[[#This Row],[Low Tol]],"Pass","Fail"),IF(Table1[[#This Row],[DUT Adj Read]]&gt;=Table1[[#This Row],[Low Tol]],"Pass","Fail")))</f>
        <v>Pass</v>
      </c>
      <c r="AG504" s="1" t="str">
        <f>IF(AND(Table1[[#This Row],[Spec Type2]]="N/A",Table1[[#This Row],[DUT Adj Read]]="N/A",Table1[[#This Row],[Std Adj Read]]="N/A"),"N/A",IF(Table1[[#This Row],[DUT Adj Read]]="N/A",IF(Table1[[#This Row],[Std Adj Read]]&lt;=Table1[[#This Row],[High Tol]],"Pass","Fail"),IF(Table1[[#This Row],[DUT Adj Read]]&lt;=Table1[[#This Row],[High Tol]],"Pass","Fail")))</f>
        <v>Fail</v>
      </c>
      <c r="AH5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4" s="1" t="b">
        <v>0</v>
      </c>
      <c r="AN504" s="1" t="b">
        <v>0</v>
      </c>
      <c r="AO504" s="1" t="b">
        <v>0</v>
      </c>
    </row>
    <row r="505" spans="1:41" x14ac:dyDescent="0.25">
      <c r="A505" s="10"/>
      <c r="B505" s="10"/>
      <c r="C505" s="10"/>
      <c r="D505" s="10"/>
      <c r="E505" s="10"/>
      <c r="F505" s="10"/>
      <c r="G505" s="10"/>
      <c r="H505" s="10"/>
      <c r="I505" s="1" t="str">
        <f t="shared" si="21"/>
        <v/>
      </c>
      <c r="J505" s="1" t="s">
        <v>35</v>
      </c>
      <c r="K505" s="1" t="str">
        <f t="shared" si="22"/>
        <v/>
      </c>
      <c r="L505" s="1" t="str">
        <f t="shared" si="23"/>
        <v/>
      </c>
      <c r="M505" s="1">
        <f>IF(OR(Table1[[#This Row],[Std Nom]]="",Table1[[#This Row],[Std Read]]=""),0,Table1[[#This Row],[Std Nom]]-Table1[[#This Row],[Std Read]])</f>
        <v>0</v>
      </c>
      <c r="N505" s="1">
        <f>IF(Calculations!$F$5="ACCREDITED 17025 WITH UNCERTAINTIES",$N$10,0)</f>
        <v>0</v>
      </c>
      <c r="Q505" s="1">
        <f>Table1[[#This Row],[High Tol]]-Table1[[#This Row],[Low Tol]]</f>
        <v>0</v>
      </c>
      <c r="R505" s="1">
        <f>2*Table1[[#This Row],[Std Error]]</f>
        <v>0</v>
      </c>
      <c r="S505" s="1" t="str">
        <f>IF(Table1[[#This Row],[High Tol]]="","N/A",IFERROR(ABS(Table1[[#This Row],[Tol Span]]/Table1[[#This Row],[Error Span]]),"N/A"))</f>
        <v>N/A</v>
      </c>
      <c r="T505" s="1" t="str">
        <f>IF(OR(Table1[[#This Row],[Low Tol]]="",Table1[[#This Row],[High Tol]]=""),"Needs Analysis",IF(Table1[[#This Row],[Ratio]]&gt;=4,"Not Significant",IF(Table1[[#This Row],[Ratio]]&gt;=2,"Semi-Significant","Significant")))</f>
        <v>Needs Analysis</v>
      </c>
      <c r="W505" s="1">
        <f>IF(Table1[[#This Row],[Cal Type]]&lt;&gt;"ACCREDITED 17025 WITH UNCERTAINTIES",0,"")</f>
        <v>0</v>
      </c>
      <c r="X505" s="1" t="str">
        <f>IF(Table1[[#This Row],[DUT Read]]="","N/A",Table1[[#This Row],[Std Error]]+Table1[[#This Row],[DUT Read]]+Table1[[#This Row],[DUT Ucty]])</f>
        <v>N/A</v>
      </c>
      <c r="Y505" s="1" t="str">
        <f>IF(Table1[[#This Row],[Std Read]]="","N/A",Table1[[#This Row],[Std Read]]+Table1[[#This Row],[Std Ucty]])</f>
        <v>N/A</v>
      </c>
      <c r="Z5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5" s="1" t="str">
        <f>IF(Table1[[#This Row],[Spec Type]]="","N/A",Table1[[#This Row],[Spec Type]])</f>
        <v>±</v>
      </c>
      <c r="AC505" s="1" t="str">
        <f>IF(Table1[[#This Row],[Spec Type2]]="N/A","N/A",IF(AND(Table1[[#This Row],[DUT Adj Read]]&gt;=Table1[[#This Row],[Low Tol]],Table1[[#This Row],[DUT Adj Read]]&lt;=Table1[[#This Row],[High Tol]]),"Pass","Fail"))</f>
        <v>Fail</v>
      </c>
      <c r="AD505" s="1" t="str">
        <f>IF(AND(Table1[[#This Row],[Spec Type2]]="N/A",Table1[[#This Row],[DUT Adj Read]]="N/A",Table1[[#This Row],[Std Adj Read]]="N/A"),"N/A",IF(Table1[[#This Row],[DUT Adj Read]]="N/A",IF(Table1[[#This Row],[Std Adj Read]]&gt;Table1[[#This Row],[Low Tol]],"Pass","Fail"),IF(Table1[[#This Row],[DUT Adj Read]]&gt;Table1[[#This Row],[Low Tol]],"Pass","Fail")))</f>
        <v>Pass</v>
      </c>
      <c r="AE505" s="1" t="str">
        <f>IF(AND(Table1[[#This Row],[Spec Type2]]="N/A",Table1[[#This Row],[DUT Adj Read]]="N/A",Table1[[#This Row],[Std Adj Read]]="N/A"),"N/A",IF(Table1[[#This Row],[DUT Adj Read]]="N/A",IF(Table1[[#This Row],[Std Adj Read]]&lt;Table1[[#This Row],[High Tol]],"Pass","Fail"),IF(Table1[[#This Row],[DUT Adj Read]]&lt;Table1[[#This Row],[High Tol]],"Pass","Fail")))</f>
        <v>Fail</v>
      </c>
      <c r="AF505" s="1" t="str">
        <f>IF(AND(Table1[[#This Row],[Spec Type2]]="N/A",Table1[[#This Row],[DUT Adj Read]]="N/A",Table1[[#This Row],[Std Adj Read]]="N/A"),"N/A",IF(Table1[[#This Row],[DUT Adj Read]]="N/A",IF(Table1[[#This Row],[Std Adj Read]]&gt;=Table1[[#This Row],[Low Tol]],"Pass","Fail"),IF(Table1[[#This Row],[DUT Adj Read]]&gt;=Table1[[#This Row],[Low Tol]],"Pass","Fail")))</f>
        <v>Pass</v>
      </c>
      <c r="AG505" s="1" t="str">
        <f>IF(AND(Table1[[#This Row],[Spec Type2]]="N/A",Table1[[#This Row],[DUT Adj Read]]="N/A",Table1[[#This Row],[Std Adj Read]]="N/A"),"N/A",IF(Table1[[#This Row],[DUT Adj Read]]="N/A",IF(Table1[[#This Row],[Std Adj Read]]&lt;=Table1[[#This Row],[High Tol]],"Pass","Fail"),IF(Table1[[#This Row],[DUT Adj Read]]&lt;=Table1[[#This Row],[High Tol]],"Pass","Fail")))</f>
        <v>Fail</v>
      </c>
      <c r="AH5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5" s="1" t="b">
        <v>0</v>
      </c>
      <c r="AN505" s="1" t="b">
        <v>0</v>
      </c>
      <c r="AO505" s="1" t="b">
        <v>0</v>
      </c>
    </row>
    <row r="506" spans="1:41" x14ac:dyDescent="0.25">
      <c r="A506" s="10"/>
      <c r="B506" s="10"/>
      <c r="C506" s="10"/>
      <c r="D506" s="10"/>
      <c r="E506" s="10"/>
      <c r="F506" s="10"/>
      <c r="G506" s="10"/>
      <c r="H506" s="10"/>
      <c r="I506" s="1" t="str">
        <f t="shared" si="21"/>
        <v/>
      </c>
      <c r="J506" s="1" t="s">
        <v>35</v>
      </c>
      <c r="K506" s="1" t="str">
        <f t="shared" si="22"/>
        <v/>
      </c>
      <c r="L506" s="1" t="str">
        <f t="shared" si="23"/>
        <v/>
      </c>
      <c r="M506" s="1">
        <f>IF(OR(Table1[[#This Row],[Std Nom]]="",Table1[[#This Row],[Std Read]]=""),0,Table1[[#This Row],[Std Nom]]-Table1[[#This Row],[Std Read]])</f>
        <v>0</v>
      </c>
      <c r="N506" s="1">
        <f>IF(Calculations!$F$5="ACCREDITED 17025 WITH UNCERTAINTIES",$N$10,0)</f>
        <v>0</v>
      </c>
      <c r="Q506" s="1">
        <f>Table1[[#This Row],[High Tol]]-Table1[[#This Row],[Low Tol]]</f>
        <v>0</v>
      </c>
      <c r="R506" s="1">
        <f>2*Table1[[#This Row],[Std Error]]</f>
        <v>0</v>
      </c>
      <c r="S506" s="1" t="str">
        <f>IF(Table1[[#This Row],[High Tol]]="","N/A",IFERROR(ABS(Table1[[#This Row],[Tol Span]]/Table1[[#This Row],[Error Span]]),"N/A"))</f>
        <v>N/A</v>
      </c>
      <c r="T506" s="1" t="str">
        <f>IF(OR(Table1[[#This Row],[Low Tol]]="",Table1[[#This Row],[High Tol]]=""),"Needs Analysis",IF(Table1[[#This Row],[Ratio]]&gt;=4,"Not Significant",IF(Table1[[#This Row],[Ratio]]&gt;=2,"Semi-Significant","Significant")))</f>
        <v>Needs Analysis</v>
      </c>
      <c r="W506" s="1">
        <f>IF(Table1[[#This Row],[Cal Type]]&lt;&gt;"ACCREDITED 17025 WITH UNCERTAINTIES",0,"")</f>
        <v>0</v>
      </c>
      <c r="X506" s="1" t="str">
        <f>IF(Table1[[#This Row],[DUT Read]]="","N/A",Table1[[#This Row],[Std Error]]+Table1[[#This Row],[DUT Read]]+Table1[[#This Row],[DUT Ucty]])</f>
        <v>N/A</v>
      </c>
      <c r="Y506" s="1" t="str">
        <f>IF(Table1[[#This Row],[Std Read]]="","N/A",Table1[[#This Row],[Std Read]]+Table1[[#This Row],[Std Ucty]])</f>
        <v>N/A</v>
      </c>
      <c r="Z5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6" s="1" t="str">
        <f>IF(Table1[[#This Row],[Spec Type]]="","N/A",Table1[[#This Row],[Spec Type]])</f>
        <v>±</v>
      </c>
      <c r="AC506" s="1" t="str">
        <f>IF(Table1[[#This Row],[Spec Type2]]="N/A","N/A",IF(AND(Table1[[#This Row],[DUT Adj Read]]&gt;=Table1[[#This Row],[Low Tol]],Table1[[#This Row],[DUT Adj Read]]&lt;=Table1[[#This Row],[High Tol]]),"Pass","Fail"))</f>
        <v>Fail</v>
      </c>
      <c r="AD506" s="1" t="str">
        <f>IF(AND(Table1[[#This Row],[Spec Type2]]="N/A",Table1[[#This Row],[DUT Adj Read]]="N/A",Table1[[#This Row],[Std Adj Read]]="N/A"),"N/A",IF(Table1[[#This Row],[DUT Adj Read]]="N/A",IF(Table1[[#This Row],[Std Adj Read]]&gt;Table1[[#This Row],[Low Tol]],"Pass","Fail"),IF(Table1[[#This Row],[DUT Adj Read]]&gt;Table1[[#This Row],[Low Tol]],"Pass","Fail")))</f>
        <v>Pass</v>
      </c>
      <c r="AE506" s="1" t="str">
        <f>IF(AND(Table1[[#This Row],[Spec Type2]]="N/A",Table1[[#This Row],[DUT Adj Read]]="N/A",Table1[[#This Row],[Std Adj Read]]="N/A"),"N/A",IF(Table1[[#This Row],[DUT Adj Read]]="N/A",IF(Table1[[#This Row],[Std Adj Read]]&lt;Table1[[#This Row],[High Tol]],"Pass","Fail"),IF(Table1[[#This Row],[DUT Adj Read]]&lt;Table1[[#This Row],[High Tol]],"Pass","Fail")))</f>
        <v>Fail</v>
      </c>
      <c r="AF506" s="1" t="str">
        <f>IF(AND(Table1[[#This Row],[Spec Type2]]="N/A",Table1[[#This Row],[DUT Adj Read]]="N/A",Table1[[#This Row],[Std Adj Read]]="N/A"),"N/A",IF(Table1[[#This Row],[DUT Adj Read]]="N/A",IF(Table1[[#This Row],[Std Adj Read]]&gt;=Table1[[#This Row],[Low Tol]],"Pass","Fail"),IF(Table1[[#This Row],[DUT Adj Read]]&gt;=Table1[[#This Row],[Low Tol]],"Pass","Fail")))</f>
        <v>Pass</v>
      </c>
      <c r="AG506" s="1" t="str">
        <f>IF(AND(Table1[[#This Row],[Spec Type2]]="N/A",Table1[[#This Row],[DUT Adj Read]]="N/A",Table1[[#This Row],[Std Adj Read]]="N/A"),"N/A",IF(Table1[[#This Row],[DUT Adj Read]]="N/A",IF(Table1[[#This Row],[Std Adj Read]]&lt;=Table1[[#This Row],[High Tol]],"Pass","Fail"),IF(Table1[[#This Row],[DUT Adj Read]]&lt;=Table1[[#This Row],[High Tol]],"Pass","Fail")))</f>
        <v>Fail</v>
      </c>
      <c r="AH5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6" s="1" t="b">
        <v>0</v>
      </c>
      <c r="AN506" s="1" t="b">
        <v>0</v>
      </c>
      <c r="AO506" s="1" t="b">
        <v>0</v>
      </c>
    </row>
    <row r="507" spans="1:41" x14ac:dyDescent="0.25">
      <c r="A507" s="10"/>
      <c r="B507" s="10"/>
      <c r="C507" s="10"/>
      <c r="D507" s="10"/>
      <c r="E507" s="10"/>
      <c r="F507" s="10"/>
      <c r="G507" s="10"/>
      <c r="H507" s="10"/>
      <c r="I507" s="1" t="str">
        <f t="shared" si="21"/>
        <v/>
      </c>
      <c r="J507" s="1" t="s">
        <v>35</v>
      </c>
      <c r="K507" s="1" t="str">
        <f t="shared" si="22"/>
        <v/>
      </c>
      <c r="L507" s="1" t="str">
        <f t="shared" si="23"/>
        <v/>
      </c>
      <c r="M507" s="1">
        <f>IF(OR(Table1[[#This Row],[Std Nom]]="",Table1[[#This Row],[Std Read]]=""),0,Table1[[#This Row],[Std Nom]]-Table1[[#This Row],[Std Read]])</f>
        <v>0</v>
      </c>
      <c r="N507" s="1">
        <f>IF(Calculations!$F$5="ACCREDITED 17025 WITH UNCERTAINTIES",$N$10,0)</f>
        <v>0</v>
      </c>
      <c r="Q507" s="1">
        <f>Table1[[#This Row],[High Tol]]-Table1[[#This Row],[Low Tol]]</f>
        <v>0</v>
      </c>
      <c r="R507" s="1">
        <f>2*Table1[[#This Row],[Std Error]]</f>
        <v>0</v>
      </c>
      <c r="S507" s="1" t="str">
        <f>IF(Table1[[#This Row],[High Tol]]="","N/A",IFERROR(ABS(Table1[[#This Row],[Tol Span]]/Table1[[#This Row],[Error Span]]),"N/A"))</f>
        <v>N/A</v>
      </c>
      <c r="T507" s="1" t="str">
        <f>IF(OR(Table1[[#This Row],[Low Tol]]="",Table1[[#This Row],[High Tol]]=""),"Needs Analysis",IF(Table1[[#This Row],[Ratio]]&gt;=4,"Not Significant",IF(Table1[[#This Row],[Ratio]]&gt;=2,"Semi-Significant","Significant")))</f>
        <v>Needs Analysis</v>
      </c>
      <c r="W507" s="1">
        <f>IF(Table1[[#This Row],[Cal Type]]&lt;&gt;"ACCREDITED 17025 WITH UNCERTAINTIES",0,"")</f>
        <v>0</v>
      </c>
      <c r="X507" s="1" t="str">
        <f>IF(Table1[[#This Row],[DUT Read]]="","N/A",Table1[[#This Row],[Std Error]]+Table1[[#This Row],[DUT Read]]+Table1[[#This Row],[DUT Ucty]])</f>
        <v>N/A</v>
      </c>
      <c r="Y507" s="1" t="str">
        <f>IF(Table1[[#This Row],[Std Read]]="","N/A",Table1[[#This Row],[Std Read]]+Table1[[#This Row],[Std Ucty]])</f>
        <v>N/A</v>
      </c>
      <c r="Z5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7" s="1" t="str">
        <f>IF(Table1[[#This Row],[Spec Type]]="","N/A",Table1[[#This Row],[Spec Type]])</f>
        <v>±</v>
      </c>
      <c r="AC507" s="1" t="str">
        <f>IF(Table1[[#This Row],[Spec Type2]]="N/A","N/A",IF(AND(Table1[[#This Row],[DUT Adj Read]]&gt;=Table1[[#This Row],[Low Tol]],Table1[[#This Row],[DUT Adj Read]]&lt;=Table1[[#This Row],[High Tol]]),"Pass","Fail"))</f>
        <v>Fail</v>
      </c>
      <c r="AD507" s="1" t="str">
        <f>IF(AND(Table1[[#This Row],[Spec Type2]]="N/A",Table1[[#This Row],[DUT Adj Read]]="N/A",Table1[[#This Row],[Std Adj Read]]="N/A"),"N/A",IF(Table1[[#This Row],[DUT Adj Read]]="N/A",IF(Table1[[#This Row],[Std Adj Read]]&gt;Table1[[#This Row],[Low Tol]],"Pass","Fail"),IF(Table1[[#This Row],[DUT Adj Read]]&gt;Table1[[#This Row],[Low Tol]],"Pass","Fail")))</f>
        <v>Pass</v>
      </c>
      <c r="AE507" s="1" t="str">
        <f>IF(AND(Table1[[#This Row],[Spec Type2]]="N/A",Table1[[#This Row],[DUT Adj Read]]="N/A",Table1[[#This Row],[Std Adj Read]]="N/A"),"N/A",IF(Table1[[#This Row],[DUT Adj Read]]="N/A",IF(Table1[[#This Row],[Std Adj Read]]&lt;Table1[[#This Row],[High Tol]],"Pass","Fail"),IF(Table1[[#This Row],[DUT Adj Read]]&lt;Table1[[#This Row],[High Tol]],"Pass","Fail")))</f>
        <v>Fail</v>
      </c>
      <c r="AF507" s="1" t="str">
        <f>IF(AND(Table1[[#This Row],[Spec Type2]]="N/A",Table1[[#This Row],[DUT Adj Read]]="N/A",Table1[[#This Row],[Std Adj Read]]="N/A"),"N/A",IF(Table1[[#This Row],[DUT Adj Read]]="N/A",IF(Table1[[#This Row],[Std Adj Read]]&gt;=Table1[[#This Row],[Low Tol]],"Pass","Fail"),IF(Table1[[#This Row],[DUT Adj Read]]&gt;=Table1[[#This Row],[Low Tol]],"Pass","Fail")))</f>
        <v>Pass</v>
      </c>
      <c r="AG507" s="1" t="str">
        <f>IF(AND(Table1[[#This Row],[Spec Type2]]="N/A",Table1[[#This Row],[DUT Adj Read]]="N/A",Table1[[#This Row],[Std Adj Read]]="N/A"),"N/A",IF(Table1[[#This Row],[DUT Adj Read]]="N/A",IF(Table1[[#This Row],[Std Adj Read]]&lt;=Table1[[#This Row],[High Tol]],"Pass","Fail"),IF(Table1[[#This Row],[DUT Adj Read]]&lt;=Table1[[#This Row],[High Tol]],"Pass","Fail")))</f>
        <v>Fail</v>
      </c>
      <c r="AH5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7" s="1" t="b">
        <v>0</v>
      </c>
      <c r="AN507" s="1" t="b">
        <v>0</v>
      </c>
      <c r="AO507" s="1" t="b">
        <v>0</v>
      </c>
    </row>
    <row r="508" spans="1:41" x14ac:dyDescent="0.25">
      <c r="A508" s="10"/>
      <c r="B508" s="10"/>
      <c r="C508" s="10"/>
      <c r="D508" s="10"/>
      <c r="E508" s="10"/>
      <c r="F508" s="10"/>
      <c r="G508" s="10"/>
      <c r="H508" s="10"/>
      <c r="I508" s="1" t="str">
        <f t="shared" si="21"/>
        <v/>
      </c>
      <c r="J508" s="1" t="s">
        <v>35</v>
      </c>
      <c r="K508" s="1" t="str">
        <f t="shared" si="22"/>
        <v/>
      </c>
      <c r="L508" s="1" t="str">
        <f t="shared" si="23"/>
        <v/>
      </c>
      <c r="M508" s="1">
        <f>IF(OR(Table1[[#This Row],[Std Nom]]="",Table1[[#This Row],[Std Read]]=""),0,Table1[[#This Row],[Std Nom]]-Table1[[#This Row],[Std Read]])</f>
        <v>0</v>
      </c>
      <c r="N508" s="1">
        <f>IF(Calculations!$F$5="ACCREDITED 17025 WITH UNCERTAINTIES",$N$10,0)</f>
        <v>0</v>
      </c>
      <c r="Q508" s="1">
        <f>Table1[[#This Row],[High Tol]]-Table1[[#This Row],[Low Tol]]</f>
        <v>0</v>
      </c>
      <c r="R508" s="1">
        <f>2*Table1[[#This Row],[Std Error]]</f>
        <v>0</v>
      </c>
      <c r="S508" s="1" t="str">
        <f>IF(Table1[[#This Row],[High Tol]]="","N/A",IFERROR(ABS(Table1[[#This Row],[Tol Span]]/Table1[[#This Row],[Error Span]]),"N/A"))</f>
        <v>N/A</v>
      </c>
      <c r="T508" s="1" t="str">
        <f>IF(OR(Table1[[#This Row],[Low Tol]]="",Table1[[#This Row],[High Tol]]=""),"Needs Analysis",IF(Table1[[#This Row],[Ratio]]&gt;=4,"Not Significant",IF(Table1[[#This Row],[Ratio]]&gt;=2,"Semi-Significant","Significant")))</f>
        <v>Needs Analysis</v>
      </c>
      <c r="W508" s="1">
        <f>IF(Table1[[#This Row],[Cal Type]]&lt;&gt;"ACCREDITED 17025 WITH UNCERTAINTIES",0,"")</f>
        <v>0</v>
      </c>
      <c r="X508" s="1" t="str">
        <f>IF(Table1[[#This Row],[DUT Read]]="","N/A",Table1[[#This Row],[Std Error]]+Table1[[#This Row],[DUT Read]]+Table1[[#This Row],[DUT Ucty]])</f>
        <v>N/A</v>
      </c>
      <c r="Y508" s="1" t="str">
        <f>IF(Table1[[#This Row],[Std Read]]="","N/A",Table1[[#This Row],[Std Read]]+Table1[[#This Row],[Std Ucty]])</f>
        <v>N/A</v>
      </c>
      <c r="Z5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8" s="1" t="str">
        <f>IF(Table1[[#This Row],[Spec Type]]="","N/A",Table1[[#This Row],[Spec Type]])</f>
        <v>±</v>
      </c>
      <c r="AC508" s="1" t="str">
        <f>IF(Table1[[#This Row],[Spec Type2]]="N/A","N/A",IF(AND(Table1[[#This Row],[DUT Adj Read]]&gt;=Table1[[#This Row],[Low Tol]],Table1[[#This Row],[DUT Adj Read]]&lt;=Table1[[#This Row],[High Tol]]),"Pass","Fail"))</f>
        <v>Fail</v>
      </c>
      <c r="AD508" s="1" t="str">
        <f>IF(AND(Table1[[#This Row],[Spec Type2]]="N/A",Table1[[#This Row],[DUT Adj Read]]="N/A",Table1[[#This Row],[Std Adj Read]]="N/A"),"N/A",IF(Table1[[#This Row],[DUT Adj Read]]="N/A",IF(Table1[[#This Row],[Std Adj Read]]&gt;Table1[[#This Row],[Low Tol]],"Pass","Fail"),IF(Table1[[#This Row],[DUT Adj Read]]&gt;Table1[[#This Row],[Low Tol]],"Pass","Fail")))</f>
        <v>Pass</v>
      </c>
      <c r="AE508" s="1" t="str">
        <f>IF(AND(Table1[[#This Row],[Spec Type2]]="N/A",Table1[[#This Row],[DUT Adj Read]]="N/A",Table1[[#This Row],[Std Adj Read]]="N/A"),"N/A",IF(Table1[[#This Row],[DUT Adj Read]]="N/A",IF(Table1[[#This Row],[Std Adj Read]]&lt;Table1[[#This Row],[High Tol]],"Pass","Fail"),IF(Table1[[#This Row],[DUT Adj Read]]&lt;Table1[[#This Row],[High Tol]],"Pass","Fail")))</f>
        <v>Fail</v>
      </c>
      <c r="AF508" s="1" t="str">
        <f>IF(AND(Table1[[#This Row],[Spec Type2]]="N/A",Table1[[#This Row],[DUT Adj Read]]="N/A",Table1[[#This Row],[Std Adj Read]]="N/A"),"N/A",IF(Table1[[#This Row],[DUT Adj Read]]="N/A",IF(Table1[[#This Row],[Std Adj Read]]&gt;=Table1[[#This Row],[Low Tol]],"Pass","Fail"),IF(Table1[[#This Row],[DUT Adj Read]]&gt;=Table1[[#This Row],[Low Tol]],"Pass","Fail")))</f>
        <v>Pass</v>
      </c>
      <c r="AG508" s="1" t="str">
        <f>IF(AND(Table1[[#This Row],[Spec Type2]]="N/A",Table1[[#This Row],[DUT Adj Read]]="N/A",Table1[[#This Row],[Std Adj Read]]="N/A"),"N/A",IF(Table1[[#This Row],[DUT Adj Read]]="N/A",IF(Table1[[#This Row],[Std Adj Read]]&lt;=Table1[[#This Row],[High Tol]],"Pass","Fail"),IF(Table1[[#This Row],[DUT Adj Read]]&lt;=Table1[[#This Row],[High Tol]],"Pass","Fail")))</f>
        <v>Fail</v>
      </c>
      <c r="AH5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8" s="1" t="b">
        <v>0</v>
      </c>
      <c r="AN508" s="1" t="b">
        <v>0</v>
      </c>
      <c r="AO508" s="1" t="b">
        <v>0</v>
      </c>
    </row>
    <row r="509" spans="1:41" x14ac:dyDescent="0.25">
      <c r="A509" s="10"/>
      <c r="B509" s="10"/>
      <c r="C509" s="10"/>
      <c r="D509" s="10"/>
      <c r="E509" s="10"/>
      <c r="F509" s="10"/>
      <c r="G509" s="10"/>
      <c r="H509" s="10"/>
      <c r="I509" s="1" t="str">
        <f t="shared" si="21"/>
        <v/>
      </c>
      <c r="J509" s="1" t="s">
        <v>35</v>
      </c>
      <c r="K509" s="1" t="str">
        <f t="shared" si="22"/>
        <v/>
      </c>
      <c r="L509" s="1" t="str">
        <f t="shared" si="23"/>
        <v/>
      </c>
      <c r="M509" s="1">
        <f>IF(OR(Table1[[#This Row],[Std Nom]]="",Table1[[#This Row],[Std Read]]=""),0,Table1[[#This Row],[Std Nom]]-Table1[[#This Row],[Std Read]])</f>
        <v>0</v>
      </c>
      <c r="N509" s="1">
        <f>IF(Calculations!$F$5="ACCREDITED 17025 WITH UNCERTAINTIES",$N$10,0)</f>
        <v>0</v>
      </c>
      <c r="Q509" s="1">
        <f>Table1[[#This Row],[High Tol]]-Table1[[#This Row],[Low Tol]]</f>
        <v>0</v>
      </c>
      <c r="R509" s="1">
        <f>2*Table1[[#This Row],[Std Error]]</f>
        <v>0</v>
      </c>
      <c r="S509" s="1" t="str">
        <f>IF(Table1[[#This Row],[High Tol]]="","N/A",IFERROR(ABS(Table1[[#This Row],[Tol Span]]/Table1[[#This Row],[Error Span]]),"N/A"))</f>
        <v>N/A</v>
      </c>
      <c r="T509" s="1" t="str">
        <f>IF(OR(Table1[[#This Row],[Low Tol]]="",Table1[[#This Row],[High Tol]]=""),"Needs Analysis",IF(Table1[[#This Row],[Ratio]]&gt;=4,"Not Significant",IF(Table1[[#This Row],[Ratio]]&gt;=2,"Semi-Significant","Significant")))</f>
        <v>Needs Analysis</v>
      </c>
      <c r="W509" s="1">
        <f>IF(Table1[[#This Row],[Cal Type]]&lt;&gt;"ACCREDITED 17025 WITH UNCERTAINTIES",0,"")</f>
        <v>0</v>
      </c>
      <c r="X509" s="1" t="str">
        <f>IF(Table1[[#This Row],[DUT Read]]="","N/A",Table1[[#This Row],[Std Error]]+Table1[[#This Row],[DUT Read]]+Table1[[#This Row],[DUT Ucty]])</f>
        <v>N/A</v>
      </c>
      <c r="Y509" s="1" t="str">
        <f>IF(Table1[[#This Row],[Std Read]]="","N/A",Table1[[#This Row],[Std Read]]+Table1[[#This Row],[Std Ucty]])</f>
        <v>N/A</v>
      </c>
      <c r="Z5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09" s="1" t="str">
        <f>IF(Table1[[#This Row],[Spec Type]]="","N/A",Table1[[#This Row],[Spec Type]])</f>
        <v>±</v>
      </c>
      <c r="AC509" s="1" t="str">
        <f>IF(Table1[[#This Row],[Spec Type2]]="N/A","N/A",IF(AND(Table1[[#This Row],[DUT Adj Read]]&gt;=Table1[[#This Row],[Low Tol]],Table1[[#This Row],[DUT Adj Read]]&lt;=Table1[[#This Row],[High Tol]]),"Pass","Fail"))</f>
        <v>Fail</v>
      </c>
      <c r="AD509" s="1" t="str">
        <f>IF(AND(Table1[[#This Row],[Spec Type2]]="N/A",Table1[[#This Row],[DUT Adj Read]]="N/A",Table1[[#This Row],[Std Adj Read]]="N/A"),"N/A",IF(Table1[[#This Row],[DUT Adj Read]]="N/A",IF(Table1[[#This Row],[Std Adj Read]]&gt;Table1[[#This Row],[Low Tol]],"Pass","Fail"),IF(Table1[[#This Row],[DUT Adj Read]]&gt;Table1[[#This Row],[Low Tol]],"Pass","Fail")))</f>
        <v>Pass</v>
      </c>
      <c r="AE509" s="1" t="str">
        <f>IF(AND(Table1[[#This Row],[Spec Type2]]="N/A",Table1[[#This Row],[DUT Adj Read]]="N/A",Table1[[#This Row],[Std Adj Read]]="N/A"),"N/A",IF(Table1[[#This Row],[DUT Adj Read]]="N/A",IF(Table1[[#This Row],[Std Adj Read]]&lt;Table1[[#This Row],[High Tol]],"Pass","Fail"),IF(Table1[[#This Row],[DUT Adj Read]]&lt;Table1[[#This Row],[High Tol]],"Pass","Fail")))</f>
        <v>Fail</v>
      </c>
      <c r="AF509" s="1" t="str">
        <f>IF(AND(Table1[[#This Row],[Spec Type2]]="N/A",Table1[[#This Row],[DUT Adj Read]]="N/A",Table1[[#This Row],[Std Adj Read]]="N/A"),"N/A",IF(Table1[[#This Row],[DUT Adj Read]]="N/A",IF(Table1[[#This Row],[Std Adj Read]]&gt;=Table1[[#This Row],[Low Tol]],"Pass","Fail"),IF(Table1[[#This Row],[DUT Adj Read]]&gt;=Table1[[#This Row],[Low Tol]],"Pass","Fail")))</f>
        <v>Pass</v>
      </c>
      <c r="AG509" s="1" t="str">
        <f>IF(AND(Table1[[#This Row],[Spec Type2]]="N/A",Table1[[#This Row],[DUT Adj Read]]="N/A",Table1[[#This Row],[Std Adj Read]]="N/A"),"N/A",IF(Table1[[#This Row],[DUT Adj Read]]="N/A",IF(Table1[[#This Row],[Std Adj Read]]&lt;=Table1[[#This Row],[High Tol]],"Pass","Fail"),IF(Table1[[#This Row],[DUT Adj Read]]&lt;=Table1[[#This Row],[High Tol]],"Pass","Fail")))</f>
        <v>Fail</v>
      </c>
      <c r="AH5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09" s="1" t="b">
        <v>0</v>
      </c>
      <c r="AN509" s="1" t="b">
        <v>0</v>
      </c>
      <c r="AO509" s="1" t="b">
        <v>0</v>
      </c>
    </row>
    <row r="510" spans="1:41" x14ac:dyDescent="0.25">
      <c r="A510" s="10"/>
      <c r="B510" s="10"/>
      <c r="C510" s="10"/>
      <c r="D510" s="10"/>
      <c r="E510" s="10"/>
      <c r="F510" s="10"/>
      <c r="G510" s="10"/>
      <c r="H510" s="10"/>
      <c r="I510" s="1" t="str">
        <f t="shared" si="21"/>
        <v/>
      </c>
      <c r="J510" s="1" t="s">
        <v>35</v>
      </c>
      <c r="K510" s="1" t="str">
        <f t="shared" si="22"/>
        <v/>
      </c>
      <c r="L510" s="1" t="str">
        <f t="shared" si="23"/>
        <v/>
      </c>
      <c r="M510" s="1">
        <f>IF(OR(Table1[[#This Row],[Std Nom]]="",Table1[[#This Row],[Std Read]]=""),0,Table1[[#This Row],[Std Nom]]-Table1[[#This Row],[Std Read]])</f>
        <v>0</v>
      </c>
      <c r="N510" s="1">
        <f>IF(Calculations!$F$5="ACCREDITED 17025 WITH UNCERTAINTIES",$N$10,0)</f>
        <v>0</v>
      </c>
      <c r="Q510" s="1">
        <f>Table1[[#This Row],[High Tol]]-Table1[[#This Row],[Low Tol]]</f>
        <v>0</v>
      </c>
      <c r="R510" s="1">
        <f>2*Table1[[#This Row],[Std Error]]</f>
        <v>0</v>
      </c>
      <c r="S510" s="1" t="str">
        <f>IF(Table1[[#This Row],[High Tol]]="","N/A",IFERROR(ABS(Table1[[#This Row],[Tol Span]]/Table1[[#This Row],[Error Span]]),"N/A"))</f>
        <v>N/A</v>
      </c>
      <c r="T510" s="1" t="str">
        <f>IF(OR(Table1[[#This Row],[Low Tol]]="",Table1[[#This Row],[High Tol]]=""),"Needs Analysis",IF(Table1[[#This Row],[Ratio]]&gt;=4,"Not Significant",IF(Table1[[#This Row],[Ratio]]&gt;=2,"Semi-Significant","Significant")))</f>
        <v>Needs Analysis</v>
      </c>
      <c r="W510" s="1">
        <f>IF(Table1[[#This Row],[Cal Type]]&lt;&gt;"ACCREDITED 17025 WITH UNCERTAINTIES",0,"")</f>
        <v>0</v>
      </c>
      <c r="X510" s="1" t="str">
        <f>IF(Table1[[#This Row],[DUT Read]]="","N/A",Table1[[#This Row],[Std Error]]+Table1[[#This Row],[DUT Read]]+Table1[[#This Row],[DUT Ucty]])</f>
        <v>N/A</v>
      </c>
      <c r="Y510" s="1" t="str">
        <f>IF(Table1[[#This Row],[Std Read]]="","N/A",Table1[[#This Row],[Std Read]]+Table1[[#This Row],[Std Ucty]])</f>
        <v>N/A</v>
      </c>
      <c r="Z5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0" s="1" t="str">
        <f>IF(Table1[[#This Row],[Spec Type]]="","N/A",Table1[[#This Row],[Spec Type]])</f>
        <v>±</v>
      </c>
      <c r="AC510" s="1" t="str">
        <f>IF(Table1[[#This Row],[Spec Type2]]="N/A","N/A",IF(AND(Table1[[#This Row],[DUT Adj Read]]&gt;=Table1[[#This Row],[Low Tol]],Table1[[#This Row],[DUT Adj Read]]&lt;=Table1[[#This Row],[High Tol]]),"Pass","Fail"))</f>
        <v>Fail</v>
      </c>
      <c r="AD510" s="1" t="str">
        <f>IF(AND(Table1[[#This Row],[Spec Type2]]="N/A",Table1[[#This Row],[DUT Adj Read]]="N/A",Table1[[#This Row],[Std Adj Read]]="N/A"),"N/A",IF(Table1[[#This Row],[DUT Adj Read]]="N/A",IF(Table1[[#This Row],[Std Adj Read]]&gt;Table1[[#This Row],[Low Tol]],"Pass","Fail"),IF(Table1[[#This Row],[DUT Adj Read]]&gt;Table1[[#This Row],[Low Tol]],"Pass","Fail")))</f>
        <v>Pass</v>
      </c>
      <c r="AE510" s="1" t="str">
        <f>IF(AND(Table1[[#This Row],[Spec Type2]]="N/A",Table1[[#This Row],[DUT Adj Read]]="N/A",Table1[[#This Row],[Std Adj Read]]="N/A"),"N/A",IF(Table1[[#This Row],[DUT Adj Read]]="N/A",IF(Table1[[#This Row],[Std Adj Read]]&lt;Table1[[#This Row],[High Tol]],"Pass","Fail"),IF(Table1[[#This Row],[DUT Adj Read]]&lt;Table1[[#This Row],[High Tol]],"Pass","Fail")))</f>
        <v>Fail</v>
      </c>
      <c r="AF510" s="1" t="str">
        <f>IF(AND(Table1[[#This Row],[Spec Type2]]="N/A",Table1[[#This Row],[DUT Adj Read]]="N/A",Table1[[#This Row],[Std Adj Read]]="N/A"),"N/A",IF(Table1[[#This Row],[DUT Adj Read]]="N/A",IF(Table1[[#This Row],[Std Adj Read]]&gt;=Table1[[#This Row],[Low Tol]],"Pass","Fail"),IF(Table1[[#This Row],[DUT Adj Read]]&gt;=Table1[[#This Row],[Low Tol]],"Pass","Fail")))</f>
        <v>Pass</v>
      </c>
      <c r="AG510" s="1" t="str">
        <f>IF(AND(Table1[[#This Row],[Spec Type2]]="N/A",Table1[[#This Row],[DUT Adj Read]]="N/A",Table1[[#This Row],[Std Adj Read]]="N/A"),"N/A",IF(Table1[[#This Row],[DUT Adj Read]]="N/A",IF(Table1[[#This Row],[Std Adj Read]]&lt;=Table1[[#This Row],[High Tol]],"Pass","Fail"),IF(Table1[[#This Row],[DUT Adj Read]]&lt;=Table1[[#This Row],[High Tol]],"Pass","Fail")))</f>
        <v>Fail</v>
      </c>
      <c r="AH5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0" s="1" t="b">
        <v>0</v>
      </c>
      <c r="AN510" s="1" t="b">
        <v>0</v>
      </c>
      <c r="AO510" s="1" t="b">
        <v>0</v>
      </c>
    </row>
    <row r="511" spans="1:41" x14ac:dyDescent="0.25">
      <c r="A511" s="10"/>
      <c r="B511" s="10"/>
      <c r="C511" s="10"/>
      <c r="D511" s="10"/>
      <c r="E511" s="10"/>
      <c r="F511" s="10"/>
      <c r="G511" s="10"/>
      <c r="H511" s="10"/>
      <c r="I511" s="1" t="str">
        <f t="shared" si="21"/>
        <v/>
      </c>
      <c r="J511" s="1" t="s">
        <v>35</v>
      </c>
      <c r="K511" s="1" t="str">
        <f t="shared" si="22"/>
        <v/>
      </c>
      <c r="L511" s="1" t="str">
        <f t="shared" si="23"/>
        <v/>
      </c>
      <c r="M511" s="1">
        <f>IF(OR(Table1[[#This Row],[Std Nom]]="",Table1[[#This Row],[Std Read]]=""),0,Table1[[#This Row],[Std Nom]]-Table1[[#This Row],[Std Read]])</f>
        <v>0</v>
      </c>
      <c r="N511" s="1">
        <f>IF(Calculations!$F$5="ACCREDITED 17025 WITH UNCERTAINTIES",$N$10,0)</f>
        <v>0</v>
      </c>
      <c r="Q511" s="1">
        <f>Table1[[#This Row],[High Tol]]-Table1[[#This Row],[Low Tol]]</f>
        <v>0</v>
      </c>
      <c r="R511" s="1">
        <f>2*Table1[[#This Row],[Std Error]]</f>
        <v>0</v>
      </c>
      <c r="S511" s="1" t="str">
        <f>IF(Table1[[#This Row],[High Tol]]="","N/A",IFERROR(ABS(Table1[[#This Row],[Tol Span]]/Table1[[#This Row],[Error Span]]),"N/A"))</f>
        <v>N/A</v>
      </c>
      <c r="T511" s="1" t="str">
        <f>IF(OR(Table1[[#This Row],[Low Tol]]="",Table1[[#This Row],[High Tol]]=""),"Needs Analysis",IF(Table1[[#This Row],[Ratio]]&gt;=4,"Not Significant",IF(Table1[[#This Row],[Ratio]]&gt;=2,"Semi-Significant","Significant")))</f>
        <v>Needs Analysis</v>
      </c>
      <c r="W511" s="1">
        <f>IF(Table1[[#This Row],[Cal Type]]&lt;&gt;"ACCREDITED 17025 WITH UNCERTAINTIES",0,"")</f>
        <v>0</v>
      </c>
      <c r="X511" s="1" t="str">
        <f>IF(Table1[[#This Row],[DUT Read]]="","N/A",Table1[[#This Row],[Std Error]]+Table1[[#This Row],[DUT Read]]+Table1[[#This Row],[DUT Ucty]])</f>
        <v>N/A</v>
      </c>
      <c r="Y511" s="1" t="str">
        <f>IF(Table1[[#This Row],[Std Read]]="","N/A",Table1[[#This Row],[Std Read]]+Table1[[#This Row],[Std Ucty]])</f>
        <v>N/A</v>
      </c>
      <c r="Z5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1" s="1" t="str">
        <f>IF(Table1[[#This Row],[Spec Type]]="","N/A",Table1[[#This Row],[Spec Type]])</f>
        <v>±</v>
      </c>
      <c r="AC511" s="1" t="str">
        <f>IF(Table1[[#This Row],[Spec Type2]]="N/A","N/A",IF(AND(Table1[[#This Row],[DUT Adj Read]]&gt;=Table1[[#This Row],[Low Tol]],Table1[[#This Row],[DUT Adj Read]]&lt;=Table1[[#This Row],[High Tol]]),"Pass","Fail"))</f>
        <v>Fail</v>
      </c>
      <c r="AD511" s="1" t="str">
        <f>IF(AND(Table1[[#This Row],[Spec Type2]]="N/A",Table1[[#This Row],[DUT Adj Read]]="N/A",Table1[[#This Row],[Std Adj Read]]="N/A"),"N/A",IF(Table1[[#This Row],[DUT Adj Read]]="N/A",IF(Table1[[#This Row],[Std Adj Read]]&gt;Table1[[#This Row],[Low Tol]],"Pass","Fail"),IF(Table1[[#This Row],[DUT Adj Read]]&gt;Table1[[#This Row],[Low Tol]],"Pass","Fail")))</f>
        <v>Pass</v>
      </c>
      <c r="AE511" s="1" t="str">
        <f>IF(AND(Table1[[#This Row],[Spec Type2]]="N/A",Table1[[#This Row],[DUT Adj Read]]="N/A",Table1[[#This Row],[Std Adj Read]]="N/A"),"N/A",IF(Table1[[#This Row],[DUT Adj Read]]="N/A",IF(Table1[[#This Row],[Std Adj Read]]&lt;Table1[[#This Row],[High Tol]],"Pass","Fail"),IF(Table1[[#This Row],[DUT Adj Read]]&lt;Table1[[#This Row],[High Tol]],"Pass","Fail")))</f>
        <v>Fail</v>
      </c>
      <c r="AF511" s="1" t="str">
        <f>IF(AND(Table1[[#This Row],[Spec Type2]]="N/A",Table1[[#This Row],[DUT Adj Read]]="N/A",Table1[[#This Row],[Std Adj Read]]="N/A"),"N/A",IF(Table1[[#This Row],[DUT Adj Read]]="N/A",IF(Table1[[#This Row],[Std Adj Read]]&gt;=Table1[[#This Row],[Low Tol]],"Pass","Fail"),IF(Table1[[#This Row],[DUT Adj Read]]&gt;=Table1[[#This Row],[Low Tol]],"Pass","Fail")))</f>
        <v>Pass</v>
      </c>
      <c r="AG511" s="1" t="str">
        <f>IF(AND(Table1[[#This Row],[Spec Type2]]="N/A",Table1[[#This Row],[DUT Adj Read]]="N/A",Table1[[#This Row],[Std Adj Read]]="N/A"),"N/A",IF(Table1[[#This Row],[DUT Adj Read]]="N/A",IF(Table1[[#This Row],[Std Adj Read]]&lt;=Table1[[#This Row],[High Tol]],"Pass","Fail"),IF(Table1[[#This Row],[DUT Adj Read]]&lt;=Table1[[#This Row],[High Tol]],"Pass","Fail")))</f>
        <v>Fail</v>
      </c>
      <c r="AH5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1" s="1" t="b">
        <v>0</v>
      </c>
      <c r="AN511" s="1" t="b">
        <v>0</v>
      </c>
      <c r="AO511" s="1" t="b">
        <v>0</v>
      </c>
    </row>
    <row r="512" spans="1:41" x14ac:dyDescent="0.25">
      <c r="A512" s="10"/>
      <c r="B512" s="10"/>
      <c r="C512" s="10"/>
      <c r="D512" s="10"/>
      <c r="E512" s="10"/>
      <c r="F512" s="10"/>
      <c r="G512" s="10"/>
      <c r="H512" s="10"/>
      <c r="I512" s="1" t="str">
        <f t="shared" si="21"/>
        <v/>
      </c>
      <c r="J512" s="1" t="s">
        <v>35</v>
      </c>
      <c r="K512" s="1" t="str">
        <f t="shared" si="22"/>
        <v/>
      </c>
      <c r="L512" s="1" t="str">
        <f t="shared" si="23"/>
        <v/>
      </c>
      <c r="M512" s="1">
        <f>IF(OR(Table1[[#This Row],[Std Nom]]="",Table1[[#This Row],[Std Read]]=""),0,Table1[[#This Row],[Std Nom]]-Table1[[#This Row],[Std Read]])</f>
        <v>0</v>
      </c>
      <c r="N512" s="1">
        <f>IF(Calculations!$F$5="ACCREDITED 17025 WITH UNCERTAINTIES",$N$10,0)</f>
        <v>0</v>
      </c>
      <c r="Q512" s="1">
        <f>Table1[[#This Row],[High Tol]]-Table1[[#This Row],[Low Tol]]</f>
        <v>0</v>
      </c>
      <c r="R512" s="1">
        <f>2*Table1[[#This Row],[Std Error]]</f>
        <v>0</v>
      </c>
      <c r="S512" s="1" t="str">
        <f>IF(Table1[[#This Row],[High Tol]]="","N/A",IFERROR(ABS(Table1[[#This Row],[Tol Span]]/Table1[[#This Row],[Error Span]]),"N/A"))</f>
        <v>N/A</v>
      </c>
      <c r="T512" s="1" t="str">
        <f>IF(OR(Table1[[#This Row],[Low Tol]]="",Table1[[#This Row],[High Tol]]=""),"Needs Analysis",IF(Table1[[#This Row],[Ratio]]&gt;=4,"Not Significant",IF(Table1[[#This Row],[Ratio]]&gt;=2,"Semi-Significant","Significant")))</f>
        <v>Needs Analysis</v>
      </c>
      <c r="W512" s="1">
        <f>IF(Table1[[#This Row],[Cal Type]]&lt;&gt;"ACCREDITED 17025 WITH UNCERTAINTIES",0,"")</f>
        <v>0</v>
      </c>
      <c r="X512" s="1" t="str">
        <f>IF(Table1[[#This Row],[DUT Read]]="","N/A",Table1[[#This Row],[Std Error]]+Table1[[#This Row],[DUT Read]]+Table1[[#This Row],[DUT Ucty]])</f>
        <v>N/A</v>
      </c>
      <c r="Y512" s="1" t="str">
        <f>IF(Table1[[#This Row],[Std Read]]="","N/A",Table1[[#This Row],[Std Read]]+Table1[[#This Row],[Std Ucty]])</f>
        <v>N/A</v>
      </c>
      <c r="Z5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2" s="1" t="str">
        <f>IF(Table1[[#This Row],[Spec Type]]="","N/A",Table1[[#This Row],[Spec Type]])</f>
        <v>±</v>
      </c>
      <c r="AC512" s="1" t="str">
        <f>IF(Table1[[#This Row],[Spec Type2]]="N/A","N/A",IF(AND(Table1[[#This Row],[DUT Adj Read]]&gt;=Table1[[#This Row],[Low Tol]],Table1[[#This Row],[DUT Adj Read]]&lt;=Table1[[#This Row],[High Tol]]),"Pass","Fail"))</f>
        <v>Fail</v>
      </c>
      <c r="AD512" s="1" t="str">
        <f>IF(AND(Table1[[#This Row],[Spec Type2]]="N/A",Table1[[#This Row],[DUT Adj Read]]="N/A",Table1[[#This Row],[Std Adj Read]]="N/A"),"N/A",IF(Table1[[#This Row],[DUT Adj Read]]="N/A",IF(Table1[[#This Row],[Std Adj Read]]&gt;Table1[[#This Row],[Low Tol]],"Pass","Fail"),IF(Table1[[#This Row],[DUT Adj Read]]&gt;Table1[[#This Row],[Low Tol]],"Pass","Fail")))</f>
        <v>Pass</v>
      </c>
      <c r="AE512" s="1" t="str">
        <f>IF(AND(Table1[[#This Row],[Spec Type2]]="N/A",Table1[[#This Row],[DUT Adj Read]]="N/A",Table1[[#This Row],[Std Adj Read]]="N/A"),"N/A",IF(Table1[[#This Row],[DUT Adj Read]]="N/A",IF(Table1[[#This Row],[Std Adj Read]]&lt;Table1[[#This Row],[High Tol]],"Pass","Fail"),IF(Table1[[#This Row],[DUT Adj Read]]&lt;Table1[[#This Row],[High Tol]],"Pass","Fail")))</f>
        <v>Fail</v>
      </c>
      <c r="AF512" s="1" t="str">
        <f>IF(AND(Table1[[#This Row],[Spec Type2]]="N/A",Table1[[#This Row],[DUT Adj Read]]="N/A",Table1[[#This Row],[Std Adj Read]]="N/A"),"N/A",IF(Table1[[#This Row],[DUT Adj Read]]="N/A",IF(Table1[[#This Row],[Std Adj Read]]&gt;=Table1[[#This Row],[Low Tol]],"Pass","Fail"),IF(Table1[[#This Row],[DUT Adj Read]]&gt;=Table1[[#This Row],[Low Tol]],"Pass","Fail")))</f>
        <v>Pass</v>
      </c>
      <c r="AG512" s="1" t="str">
        <f>IF(AND(Table1[[#This Row],[Spec Type2]]="N/A",Table1[[#This Row],[DUT Adj Read]]="N/A",Table1[[#This Row],[Std Adj Read]]="N/A"),"N/A",IF(Table1[[#This Row],[DUT Adj Read]]="N/A",IF(Table1[[#This Row],[Std Adj Read]]&lt;=Table1[[#This Row],[High Tol]],"Pass","Fail"),IF(Table1[[#This Row],[DUT Adj Read]]&lt;=Table1[[#This Row],[High Tol]],"Pass","Fail")))</f>
        <v>Fail</v>
      </c>
      <c r="AH5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2" s="1" t="b">
        <v>0</v>
      </c>
      <c r="AN512" s="1" t="b">
        <v>0</v>
      </c>
      <c r="AO512" s="1" t="b">
        <v>0</v>
      </c>
    </row>
    <row r="513" spans="1:41" x14ac:dyDescent="0.25">
      <c r="A513" s="10"/>
      <c r="B513" s="10"/>
      <c r="C513" s="10"/>
      <c r="D513" s="10"/>
      <c r="E513" s="10"/>
      <c r="F513" s="10"/>
      <c r="G513" s="10"/>
      <c r="H513" s="10"/>
      <c r="I513" s="1" t="str">
        <f t="shared" si="21"/>
        <v/>
      </c>
      <c r="J513" s="1" t="s">
        <v>35</v>
      </c>
      <c r="K513" s="1" t="str">
        <f t="shared" si="22"/>
        <v/>
      </c>
      <c r="L513" s="1" t="str">
        <f t="shared" si="23"/>
        <v/>
      </c>
      <c r="M513" s="1">
        <f>IF(OR(Table1[[#This Row],[Std Nom]]="",Table1[[#This Row],[Std Read]]=""),0,Table1[[#This Row],[Std Nom]]-Table1[[#This Row],[Std Read]])</f>
        <v>0</v>
      </c>
      <c r="N513" s="1">
        <f>IF(Calculations!$F$5="ACCREDITED 17025 WITH UNCERTAINTIES",$N$10,0)</f>
        <v>0</v>
      </c>
      <c r="Q513" s="1">
        <f>Table1[[#This Row],[High Tol]]-Table1[[#This Row],[Low Tol]]</f>
        <v>0</v>
      </c>
      <c r="R513" s="1">
        <f>2*Table1[[#This Row],[Std Error]]</f>
        <v>0</v>
      </c>
      <c r="S513" s="1" t="str">
        <f>IF(Table1[[#This Row],[High Tol]]="","N/A",IFERROR(ABS(Table1[[#This Row],[Tol Span]]/Table1[[#This Row],[Error Span]]),"N/A"))</f>
        <v>N/A</v>
      </c>
      <c r="T513" s="1" t="str">
        <f>IF(OR(Table1[[#This Row],[Low Tol]]="",Table1[[#This Row],[High Tol]]=""),"Needs Analysis",IF(Table1[[#This Row],[Ratio]]&gt;=4,"Not Significant",IF(Table1[[#This Row],[Ratio]]&gt;=2,"Semi-Significant","Significant")))</f>
        <v>Needs Analysis</v>
      </c>
      <c r="W513" s="1">
        <f>IF(Table1[[#This Row],[Cal Type]]&lt;&gt;"ACCREDITED 17025 WITH UNCERTAINTIES",0,"")</f>
        <v>0</v>
      </c>
      <c r="X513" s="1" t="str">
        <f>IF(Table1[[#This Row],[DUT Read]]="","N/A",Table1[[#This Row],[Std Error]]+Table1[[#This Row],[DUT Read]]+Table1[[#This Row],[DUT Ucty]])</f>
        <v>N/A</v>
      </c>
      <c r="Y513" s="1" t="str">
        <f>IF(Table1[[#This Row],[Std Read]]="","N/A",Table1[[#This Row],[Std Read]]+Table1[[#This Row],[Std Ucty]])</f>
        <v>N/A</v>
      </c>
      <c r="Z5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3" s="1" t="str">
        <f>IF(Table1[[#This Row],[Spec Type]]="","N/A",Table1[[#This Row],[Spec Type]])</f>
        <v>±</v>
      </c>
      <c r="AC513" s="1" t="str">
        <f>IF(Table1[[#This Row],[Spec Type2]]="N/A","N/A",IF(AND(Table1[[#This Row],[DUT Adj Read]]&gt;=Table1[[#This Row],[Low Tol]],Table1[[#This Row],[DUT Adj Read]]&lt;=Table1[[#This Row],[High Tol]]),"Pass","Fail"))</f>
        <v>Fail</v>
      </c>
      <c r="AD513" s="1" t="str">
        <f>IF(AND(Table1[[#This Row],[Spec Type2]]="N/A",Table1[[#This Row],[DUT Adj Read]]="N/A",Table1[[#This Row],[Std Adj Read]]="N/A"),"N/A",IF(Table1[[#This Row],[DUT Adj Read]]="N/A",IF(Table1[[#This Row],[Std Adj Read]]&gt;Table1[[#This Row],[Low Tol]],"Pass","Fail"),IF(Table1[[#This Row],[DUT Adj Read]]&gt;Table1[[#This Row],[Low Tol]],"Pass","Fail")))</f>
        <v>Pass</v>
      </c>
      <c r="AE513" s="1" t="str">
        <f>IF(AND(Table1[[#This Row],[Spec Type2]]="N/A",Table1[[#This Row],[DUT Adj Read]]="N/A",Table1[[#This Row],[Std Adj Read]]="N/A"),"N/A",IF(Table1[[#This Row],[DUT Adj Read]]="N/A",IF(Table1[[#This Row],[Std Adj Read]]&lt;Table1[[#This Row],[High Tol]],"Pass","Fail"),IF(Table1[[#This Row],[DUT Adj Read]]&lt;Table1[[#This Row],[High Tol]],"Pass","Fail")))</f>
        <v>Fail</v>
      </c>
      <c r="AF513" s="1" t="str">
        <f>IF(AND(Table1[[#This Row],[Spec Type2]]="N/A",Table1[[#This Row],[DUT Adj Read]]="N/A",Table1[[#This Row],[Std Adj Read]]="N/A"),"N/A",IF(Table1[[#This Row],[DUT Adj Read]]="N/A",IF(Table1[[#This Row],[Std Adj Read]]&gt;=Table1[[#This Row],[Low Tol]],"Pass","Fail"),IF(Table1[[#This Row],[DUT Adj Read]]&gt;=Table1[[#This Row],[Low Tol]],"Pass","Fail")))</f>
        <v>Pass</v>
      </c>
      <c r="AG513" s="1" t="str">
        <f>IF(AND(Table1[[#This Row],[Spec Type2]]="N/A",Table1[[#This Row],[DUT Adj Read]]="N/A",Table1[[#This Row],[Std Adj Read]]="N/A"),"N/A",IF(Table1[[#This Row],[DUT Adj Read]]="N/A",IF(Table1[[#This Row],[Std Adj Read]]&lt;=Table1[[#This Row],[High Tol]],"Pass","Fail"),IF(Table1[[#This Row],[DUT Adj Read]]&lt;=Table1[[#This Row],[High Tol]],"Pass","Fail")))</f>
        <v>Fail</v>
      </c>
      <c r="AH5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3" s="1" t="b">
        <v>0</v>
      </c>
      <c r="AN513" s="1" t="b">
        <v>0</v>
      </c>
      <c r="AO513" s="1" t="b">
        <v>0</v>
      </c>
    </row>
    <row r="514" spans="1:41" x14ac:dyDescent="0.25">
      <c r="A514" s="10"/>
      <c r="B514" s="10"/>
      <c r="C514" s="10"/>
      <c r="D514" s="10"/>
      <c r="E514" s="10"/>
      <c r="F514" s="10"/>
      <c r="G514" s="10"/>
      <c r="H514" s="10"/>
      <c r="I514" s="1" t="str">
        <f t="shared" si="21"/>
        <v/>
      </c>
      <c r="J514" s="1" t="s">
        <v>35</v>
      </c>
      <c r="K514" s="1" t="str">
        <f t="shared" si="22"/>
        <v/>
      </c>
      <c r="L514" s="1" t="str">
        <f t="shared" si="23"/>
        <v/>
      </c>
      <c r="M514" s="1">
        <f>IF(OR(Table1[[#This Row],[Std Nom]]="",Table1[[#This Row],[Std Read]]=""),0,Table1[[#This Row],[Std Nom]]-Table1[[#This Row],[Std Read]])</f>
        <v>0</v>
      </c>
      <c r="N514" s="1">
        <f>IF(Calculations!$F$5="ACCREDITED 17025 WITH UNCERTAINTIES",$N$10,0)</f>
        <v>0</v>
      </c>
      <c r="Q514" s="1">
        <f>Table1[[#This Row],[High Tol]]-Table1[[#This Row],[Low Tol]]</f>
        <v>0</v>
      </c>
      <c r="R514" s="1">
        <f>2*Table1[[#This Row],[Std Error]]</f>
        <v>0</v>
      </c>
      <c r="S514" s="1" t="str">
        <f>IF(Table1[[#This Row],[High Tol]]="","N/A",IFERROR(ABS(Table1[[#This Row],[Tol Span]]/Table1[[#This Row],[Error Span]]),"N/A"))</f>
        <v>N/A</v>
      </c>
      <c r="T514" s="1" t="str">
        <f>IF(OR(Table1[[#This Row],[Low Tol]]="",Table1[[#This Row],[High Tol]]=""),"Needs Analysis",IF(Table1[[#This Row],[Ratio]]&gt;=4,"Not Significant",IF(Table1[[#This Row],[Ratio]]&gt;=2,"Semi-Significant","Significant")))</f>
        <v>Needs Analysis</v>
      </c>
      <c r="W514" s="1">
        <f>IF(Table1[[#This Row],[Cal Type]]&lt;&gt;"ACCREDITED 17025 WITH UNCERTAINTIES",0,"")</f>
        <v>0</v>
      </c>
      <c r="X514" s="1" t="str">
        <f>IF(Table1[[#This Row],[DUT Read]]="","N/A",Table1[[#This Row],[Std Error]]+Table1[[#This Row],[DUT Read]]+Table1[[#This Row],[DUT Ucty]])</f>
        <v>N/A</v>
      </c>
      <c r="Y514" s="1" t="str">
        <f>IF(Table1[[#This Row],[Std Read]]="","N/A",Table1[[#This Row],[Std Read]]+Table1[[#This Row],[Std Ucty]])</f>
        <v>N/A</v>
      </c>
      <c r="Z5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4" s="1" t="str">
        <f>IF(Table1[[#This Row],[Spec Type]]="","N/A",Table1[[#This Row],[Spec Type]])</f>
        <v>±</v>
      </c>
      <c r="AC514" s="1" t="str">
        <f>IF(Table1[[#This Row],[Spec Type2]]="N/A","N/A",IF(AND(Table1[[#This Row],[DUT Adj Read]]&gt;=Table1[[#This Row],[Low Tol]],Table1[[#This Row],[DUT Adj Read]]&lt;=Table1[[#This Row],[High Tol]]),"Pass","Fail"))</f>
        <v>Fail</v>
      </c>
      <c r="AD514" s="1" t="str">
        <f>IF(AND(Table1[[#This Row],[Spec Type2]]="N/A",Table1[[#This Row],[DUT Adj Read]]="N/A",Table1[[#This Row],[Std Adj Read]]="N/A"),"N/A",IF(Table1[[#This Row],[DUT Adj Read]]="N/A",IF(Table1[[#This Row],[Std Adj Read]]&gt;Table1[[#This Row],[Low Tol]],"Pass","Fail"),IF(Table1[[#This Row],[DUT Adj Read]]&gt;Table1[[#This Row],[Low Tol]],"Pass","Fail")))</f>
        <v>Pass</v>
      </c>
      <c r="AE514" s="1" t="str">
        <f>IF(AND(Table1[[#This Row],[Spec Type2]]="N/A",Table1[[#This Row],[DUT Adj Read]]="N/A",Table1[[#This Row],[Std Adj Read]]="N/A"),"N/A",IF(Table1[[#This Row],[DUT Adj Read]]="N/A",IF(Table1[[#This Row],[Std Adj Read]]&lt;Table1[[#This Row],[High Tol]],"Pass","Fail"),IF(Table1[[#This Row],[DUT Adj Read]]&lt;Table1[[#This Row],[High Tol]],"Pass","Fail")))</f>
        <v>Fail</v>
      </c>
      <c r="AF514" s="1" t="str">
        <f>IF(AND(Table1[[#This Row],[Spec Type2]]="N/A",Table1[[#This Row],[DUT Adj Read]]="N/A",Table1[[#This Row],[Std Adj Read]]="N/A"),"N/A",IF(Table1[[#This Row],[DUT Adj Read]]="N/A",IF(Table1[[#This Row],[Std Adj Read]]&gt;=Table1[[#This Row],[Low Tol]],"Pass","Fail"),IF(Table1[[#This Row],[DUT Adj Read]]&gt;=Table1[[#This Row],[Low Tol]],"Pass","Fail")))</f>
        <v>Pass</v>
      </c>
      <c r="AG514" s="1" t="str">
        <f>IF(AND(Table1[[#This Row],[Spec Type2]]="N/A",Table1[[#This Row],[DUT Adj Read]]="N/A",Table1[[#This Row],[Std Adj Read]]="N/A"),"N/A",IF(Table1[[#This Row],[DUT Adj Read]]="N/A",IF(Table1[[#This Row],[Std Adj Read]]&lt;=Table1[[#This Row],[High Tol]],"Pass","Fail"),IF(Table1[[#This Row],[DUT Adj Read]]&lt;=Table1[[#This Row],[High Tol]],"Pass","Fail")))</f>
        <v>Fail</v>
      </c>
      <c r="AH5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4" s="1" t="b">
        <v>0</v>
      </c>
      <c r="AN514" s="1" t="b">
        <v>0</v>
      </c>
      <c r="AO514" s="1" t="b">
        <v>0</v>
      </c>
    </row>
    <row r="515" spans="1:41" x14ac:dyDescent="0.25">
      <c r="A515" s="10"/>
      <c r="B515" s="10"/>
      <c r="C515" s="10"/>
      <c r="D515" s="10"/>
      <c r="E515" s="10"/>
      <c r="F515" s="10"/>
      <c r="G515" s="10"/>
      <c r="H515" s="10"/>
      <c r="I515" s="1" t="str">
        <f t="shared" si="21"/>
        <v/>
      </c>
      <c r="J515" s="1" t="s">
        <v>35</v>
      </c>
      <c r="K515" s="1" t="str">
        <f t="shared" si="22"/>
        <v/>
      </c>
      <c r="L515" s="1" t="str">
        <f t="shared" si="23"/>
        <v/>
      </c>
      <c r="M515" s="1">
        <f>IF(OR(Table1[[#This Row],[Std Nom]]="",Table1[[#This Row],[Std Read]]=""),0,Table1[[#This Row],[Std Nom]]-Table1[[#This Row],[Std Read]])</f>
        <v>0</v>
      </c>
      <c r="N515" s="1">
        <f>IF(Calculations!$F$5="ACCREDITED 17025 WITH UNCERTAINTIES",$N$10,0)</f>
        <v>0</v>
      </c>
      <c r="Q515" s="1">
        <f>Table1[[#This Row],[High Tol]]-Table1[[#This Row],[Low Tol]]</f>
        <v>0</v>
      </c>
      <c r="R515" s="1">
        <f>2*Table1[[#This Row],[Std Error]]</f>
        <v>0</v>
      </c>
      <c r="S515" s="1" t="str">
        <f>IF(Table1[[#This Row],[High Tol]]="","N/A",IFERROR(ABS(Table1[[#This Row],[Tol Span]]/Table1[[#This Row],[Error Span]]),"N/A"))</f>
        <v>N/A</v>
      </c>
      <c r="T515" s="1" t="str">
        <f>IF(OR(Table1[[#This Row],[Low Tol]]="",Table1[[#This Row],[High Tol]]=""),"Needs Analysis",IF(Table1[[#This Row],[Ratio]]&gt;=4,"Not Significant",IF(Table1[[#This Row],[Ratio]]&gt;=2,"Semi-Significant","Significant")))</f>
        <v>Needs Analysis</v>
      </c>
      <c r="W515" s="1">
        <f>IF(Table1[[#This Row],[Cal Type]]&lt;&gt;"ACCREDITED 17025 WITH UNCERTAINTIES",0,"")</f>
        <v>0</v>
      </c>
      <c r="X515" s="1" t="str">
        <f>IF(Table1[[#This Row],[DUT Read]]="","N/A",Table1[[#This Row],[Std Error]]+Table1[[#This Row],[DUT Read]]+Table1[[#This Row],[DUT Ucty]])</f>
        <v>N/A</v>
      </c>
      <c r="Y515" s="1" t="str">
        <f>IF(Table1[[#This Row],[Std Read]]="","N/A",Table1[[#This Row],[Std Read]]+Table1[[#This Row],[Std Ucty]])</f>
        <v>N/A</v>
      </c>
      <c r="Z5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5" s="1" t="str">
        <f>IF(Table1[[#This Row],[Spec Type]]="","N/A",Table1[[#This Row],[Spec Type]])</f>
        <v>±</v>
      </c>
      <c r="AC515" s="1" t="str">
        <f>IF(Table1[[#This Row],[Spec Type2]]="N/A","N/A",IF(AND(Table1[[#This Row],[DUT Adj Read]]&gt;=Table1[[#This Row],[Low Tol]],Table1[[#This Row],[DUT Adj Read]]&lt;=Table1[[#This Row],[High Tol]]),"Pass","Fail"))</f>
        <v>Fail</v>
      </c>
      <c r="AD515" s="1" t="str">
        <f>IF(AND(Table1[[#This Row],[Spec Type2]]="N/A",Table1[[#This Row],[DUT Adj Read]]="N/A",Table1[[#This Row],[Std Adj Read]]="N/A"),"N/A",IF(Table1[[#This Row],[DUT Adj Read]]="N/A",IF(Table1[[#This Row],[Std Adj Read]]&gt;Table1[[#This Row],[Low Tol]],"Pass","Fail"),IF(Table1[[#This Row],[DUT Adj Read]]&gt;Table1[[#This Row],[Low Tol]],"Pass","Fail")))</f>
        <v>Pass</v>
      </c>
      <c r="AE515" s="1" t="str">
        <f>IF(AND(Table1[[#This Row],[Spec Type2]]="N/A",Table1[[#This Row],[DUT Adj Read]]="N/A",Table1[[#This Row],[Std Adj Read]]="N/A"),"N/A",IF(Table1[[#This Row],[DUT Adj Read]]="N/A",IF(Table1[[#This Row],[Std Adj Read]]&lt;Table1[[#This Row],[High Tol]],"Pass","Fail"),IF(Table1[[#This Row],[DUT Adj Read]]&lt;Table1[[#This Row],[High Tol]],"Pass","Fail")))</f>
        <v>Fail</v>
      </c>
      <c r="AF515" s="1" t="str">
        <f>IF(AND(Table1[[#This Row],[Spec Type2]]="N/A",Table1[[#This Row],[DUT Adj Read]]="N/A",Table1[[#This Row],[Std Adj Read]]="N/A"),"N/A",IF(Table1[[#This Row],[DUT Adj Read]]="N/A",IF(Table1[[#This Row],[Std Adj Read]]&gt;=Table1[[#This Row],[Low Tol]],"Pass","Fail"),IF(Table1[[#This Row],[DUT Adj Read]]&gt;=Table1[[#This Row],[Low Tol]],"Pass","Fail")))</f>
        <v>Pass</v>
      </c>
      <c r="AG515" s="1" t="str">
        <f>IF(AND(Table1[[#This Row],[Spec Type2]]="N/A",Table1[[#This Row],[DUT Adj Read]]="N/A",Table1[[#This Row],[Std Adj Read]]="N/A"),"N/A",IF(Table1[[#This Row],[DUT Adj Read]]="N/A",IF(Table1[[#This Row],[Std Adj Read]]&lt;=Table1[[#This Row],[High Tol]],"Pass","Fail"),IF(Table1[[#This Row],[DUT Adj Read]]&lt;=Table1[[#This Row],[High Tol]],"Pass","Fail")))</f>
        <v>Fail</v>
      </c>
      <c r="AH5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5" s="1" t="b">
        <v>0</v>
      </c>
      <c r="AN515" s="1" t="b">
        <v>0</v>
      </c>
      <c r="AO515" s="1" t="b">
        <v>0</v>
      </c>
    </row>
    <row r="516" spans="1:41" x14ac:dyDescent="0.25">
      <c r="A516" s="10"/>
      <c r="B516" s="10"/>
      <c r="C516" s="10"/>
      <c r="D516" s="10"/>
      <c r="E516" s="10"/>
      <c r="F516" s="10"/>
      <c r="G516" s="10"/>
      <c r="H516" s="10"/>
      <c r="I516" s="1" t="str">
        <f t="shared" si="21"/>
        <v/>
      </c>
      <c r="J516" s="1" t="s">
        <v>35</v>
      </c>
      <c r="K516" s="1" t="str">
        <f t="shared" si="22"/>
        <v/>
      </c>
      <c r="L516" s="1" t="str">
        <f t="shared" si="23"/>
        <v/>
      </c>
      <c r="M516" s="1">
        <f>IF(OR(Table1[[#This Row],[Std Nom]]="",Table1[[#This Row],[Std Read]]=""),0,Table1[[#This Row],[Std Nom]]-Table1[[#This Row],[Std Read]])</f>
        <v>0</v>
      </c>
      <c r="N516" s="1">
        <f>IF(Calculations!$F$5="ACCREDITED 17025 WITH UNCERTAINTIES",$N$10,0)</f>
        <v>0</v>
      </c>
      <c r="Q516" s="1">
        <f>Table1[[#This Row],[High Tol]]-Table1[[#This Row],[Low Tol]]</f>
        <v>0</v>
      </c>
      <c r="R516" s="1">
        <f>2*Table1[[#This Row],[Std Error]]</f>
        <v>0</v>
      </c>
      <c r="S516" s="1" t="str">
        <f>IF(Table1[[#This Row],[High Tol]]="","N/A",IFERROR(ABS(Table1[[#This Row],[Tol Span]]/Table1[[#This Row],[Error Span]]),"N/A"))</f>
        <v>N/A</v>
      </c>
      <c r="T516" s="1" t="str">
        <f>IF(OR(Table1[[#This Row],[Low Tol]]="",Table1[[#This Row],[High Tol]]=""),"Needs Analysis",IF(Table1[[#This Row],[Ratio]]&gt;=4,"Not Significant",IF(Table1[[#This Row],[Ratio]]&gt;=2,"Semi-Significant","Significant")))</f>
        <v>Needs Analysis</v>
      </c>
      <c r="W516" s="1">
        <f>IF(Table1[[#This Row],[Cal Type]]&lt;&gt;"ACCREDITED 17025 WITH UNCERTAINTIES",0,"")</f>
        <v>0</v>
      </c>
      <c r="X516" s="1" t="str">
        <f>IF(Table1[[#This Row],[DUT Read]]="","N/A",Table1[[#This Row],[Std Error]]+Table1[[#This Row],[DUT Read]]+Table1[[#This Row],[DUT Ucty]])</f>
        <v>N/A</v>
      </c>
      <c r="Y516" s="1" t="str">
        <f>IF(Table1[[#This Row],[Std Read]]="","N/A",Table1[[#This Row],[Std Read]]+Table1[[#This Row],[Std Ucty]])</f>
        <v>N/A</v>
      </c>
      <c r="Z5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6" s="1" t="str">
        <f>IF(Table1[[#This Row],[Spec Type]]="","N/A",Table1[[#This Row],[Spec Type]])</f>
        <v>±</v>
      </c>
      <c r="AC516" s="1" t="str">
        <f>IF(Table1[[#This Row],[Spec Type2]]="N/A","N/A",IF(AND(Table1[[#This Row],[DUT Adj Read]]&gt;=Table1[[#This Row],[Low Tol]],Table1[[#This Row],[DUT Adj Read]]&lt;=Table1[[#This Row],[High Tol]]),"Pass","Fail"))</f>
        <v>Fail</v>
      </c>
      <c r="AD516" s="1" t="str">
        <f>IF(AND(Table1[[#This Row],[Spec Type2]]="N/A",Table1[[#This Row],[DUT Adj Read]]="N/A",Table1[[#This Row],[Std Adj Read]]="N/A"),"N/A",IF(Table1[[#This Row],[DUT Adj Read]]="N/A",IF(Table1[[#This Row],[Std Adj Read]]&gt;Table1[[#This Row],[Low Tol]],"Pass","Fail"),IF(Table1[[#This Row],[DUT Adj Read]]&gt;Table1[[#This Row],[Low Tol]],"Pass","Fail")))</f>
        <v>Pass</v>
      </c>
      <c r="AE516" s="1" t="str">
        <f>IF(AND(Table1[[#This Row],[Spec Type2]]="N/A",Table1[[#This Row],[DUT Adj Read]]="N/A",Table1[[#This Row],[Std Adj Read]]="N/A"),"N/A",IF(Table1[[#This Row],[DUT Adj Read]]="N/A",IF(Table1[[#This Row],[Std Adj Read]]&lt;Table1[[#This Row],[High Tol]],"Pass","Fail"),IF(Table1[[#This Row],[DUT Adj Read]]&lt;Table1[[#This Row],[High Tol]],"Pass","Fail")))</f>
        <v>Fail</v>
      </c>
      <c r="AF516" s="1" t="str">
        <f>IF(AND(Table1[[#This Row],[Spec Type2]]="N/A",Table1[[#This Row],[DUT Adj Read]]="N/A",Table1[[#This Row],[Std Adj Read]]="N/A"),"N/A",IF(Table1[[#This Row],[DUT Adj Read]]="N/A",IF(Table1[[#This Row],[Std Adj Read]]&gt;=Table1[[#This Row],[Low Tol]],"Pass","Fail"),IF(Table1[[#This Row],[DUT Adj Read]]&gt;=Table1[[#This Row],[Low Tol]],"Pass","Fail")))</f>
        <v>Pass</v>
      </c>
      <c r="AG516" s="1" t="str">
        <f>IF(AND(Table1[[#This Row],[Spec Type2]]="N/A",Table1[[#This Row],[DUT Adj Read]]="N/A",Table1[[#This Row],[Std Adj Read]]="N/A"),"N/A",IF(Table1[[#This Row],[DUT Adj Read]]="N/A",IF(Table1[[#This Row],[Std Adj Read]]&lt;=Table1[[#This Row],[High Tol]],"Pass","Fail"),IF(Table1[[#This Row],[DUT Adj Read]]&lt;=Table1[[#This Row],[High Tol]],"Pass","Fail")))</f>
        <v>Fail</v>
      </c>
      <c r="AH5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6" s="1" t="b">
        <v>0</v>
      </c>
      <c r="AN516" s="1" t="b">
        <v>0</v>
      </c>
      <c r="AO516" s="1" t="b">
        <v>0</v>
      </c>
    </row>
    <row r="517" spans="1:41" x14ac:dyDescent="0.25">
      <c r="A517" s="10"/>
      <c r="B517" s="10"/>
      <c r="C517" s="10"/>
      <c r="D517" s="10"/>
      <c r="E517" s="10"/>
      <c r="F517" s="10"/>
      <c r="G517" s="10"/>
      <c r="H517" s="10"/>
      <c r="I517" s="1" t="str">
        <f t="shared" si="21"/>
        <v/>
      </c>
      <c r="J517" s="1" t="s">
        <v>35</v>
      </c>
      <c r="K517" s="1" t="str">
        <f t="shared" si="22"/>
        <v/>
      </c>
      <c r="L517" s="1" t="str">
        <f t="shared" si="23"/>
        <v/>
      </c>
      <c r="M517" s="1">
        <f>IF(OR(Table1[[#This Row],[Std Nom]]="",Table1[[#This Row],[Std Read]]=""),0,Table1[[#This Row],[Std Nom]]-Table1[[#This Row],[Std Read]])</f>
        <v>0</v>
      </c>
      <c r="N517" s="1">
        <f>IF(Calculations!$F$5="ACCREDITED 17025 WITH UNCERTAINTIES",$N$10,0)</f>
        <v>0</v>
      </c>
      <c r="Q517" s="1">
        <f>Table1[[#This Row],[High Tol]]-Table1[[#This Row],[Low Tol]]</f>
        <v>0</v>
      </c>
      <c r="R517" s="1">
        <f>2*Table1[[#This Row],[Std Error]]</f>
        <v>0</v>
      </c>
      <c r="S517" s="1" t="str">
        <f>IF(Table1[[#This Row],[High Tol]]="","N/A",IFERROR(ABS(Table1[[#This Row],[Tol Span]]/Table1[[#This Row],[Error Span]]),"N/A"))</f>
        <v>N/A</v>
      </c>
      <c r="T517" s="1" t="str">
        <f>IF(OR(Table1[[#This Row],[Low Tol]]="",Table1[[#This Row],[High Tol]]=""),"Needs Analysis",IF(Table1[[#This Row],[Ratio]]&gt;=4,"Not Significant",IF(Table1[[#This Row],[Ratio]]&gt;=2,"Semi-Significant","Significant")))</f>
        <v>Needs Analysis</v>
      </c>
      <c r="W517" s="1">
        <f>IF(Table1[[#This Row],[Cal Type]]&lt;&gt;"ACCREDITED 17025 WITH UNCERTAINTIES",0,"")</f>
        <v>0</v>
      </c>
      <c r="X517" s="1" t="str">
        <f>IF(Table1[[#This Row],[DUT Read]]="","N/A",Table1[[#This Row],[Std Error]]+Table1[[#This Row],[DUT Read]]+Table1[[#This Row],[DUT Ucty]])</f>
        <v>N/A</v>
      </c>
      <c r="Y517" s="1" t="str">
        <f>IF(Table1[[#This Row],[Std Read]]="","N/A",Table1[[#This Row],[Std Read]]+Table1[[#This Row],[Std Ucty]])</f>
        <v>N/A</v>
      </c>
      <c r="Z5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7" s="1" t="str">
        <f>IF(Table1[[#This Row],[Spec Type]]="","N/A",Table1[[#This Row],[Spec Type]])</f>
        <v>±</v>
      </c>
      <c r="AC517" s="1" t="str">
        <f>IF(Table1[[#This Row],[Spec Type2]]="N/A","N/A",IF(AND(Table1[[#This Row],[DUT Adj Read]]&gt;=Table1[[#This Row],[Low Tol]],Table1[[#This Row],[DUT Adj Read]]&lt;=Table1[[#This Row],[High Tol]]),"Pass","Fail"))</f>
        <v>Fail</v>
      </c>
      <c r="AD517" s="1" t="str">
        <f>IF(AND(Table1[[#This Row],[Spec Type2]]="N/A",Table1[[#This Row],[DUT Adj Read]]="N/A",Table1[[#This Row],[Std Adj Read]]="N/A"),"N/A",IF(Table1[[#This Row],[DUT Adj Read]]="N/A",IF(Table1[[#This Row],[Std Adj Read]]&gt;Table1[[#This Row],[Low Tol]],"Pass","Fail"),IF(Table1[[#This Row],[DUT Adj Read]]&gt;Table1[[#This Row],[Low Tol]],"Pass","Fail")))</f>
        <v>Pass</v>
      </c>
      <c r="AE517" s="1" t="str">
        <f>IF(AND(Table1[[#This Row],[Spec Type2]]="N/A",Table1[[#This Row],[DUT Adj Read]]="N/A",Table1[[#This Row],[Std Adj Read]]="N/A"),"N/A",IF(Table1[[#This Row],[DUT Adj Read]]="N/A",IF(Table1[[#This Row],[Std Adj Read]]&lt;Table1[[#This Row],[High Tol]],"Pass","Fail"),IF(Table1[[#This Row],[DUT Adj Read]]&lt;Table1[[#This Row],[High Tol]],"Pass","Fail")))</f>
        <v>Fail</v>
      </c>
      <c r="AF517" s="1" t="str">
        <f>IF(AND(Table1[[#This Row],[Spec Type2]]="N/A",Table1[[#This Row],[DUT Adj Read]]="N/A",Table1[[#This Row],[Std Adj Read]]="N/A"),"N/A",IF(Table1[[#This Row],[DUT Adj Read]]="N/A",IF(Table1[[#This Row],[Std Adj Read]]&gt;=Table1[[#This Row],[Low Tol]],"Pass","Fail"),IF(Table1[[#This Row],[DUT Adj Read]]&gt;=Table1[[#This Row],[Low Tol]],"Pass","Fail")))</f>
        <v>Pass</v>
      </c>
      <c r="AG517" s="1" t="str">
        <f>IF(AND(Table1[[#This Row],[Spec Type2]]="N/A",Table1[[#This Row],[DUT Adj Read]]="N/A",Table1[[#This Row],[Std Adj Read]]="N/A"),"N/A",IF(Table1[[#This Row],[DUT Adj Read]]="N/A",IF(Table1[[#This Row],[Std Adj Read]]&lt;=Table1[[#This Row],[High Tol]],"Pass","Fail"),IF(Table1[[#This Row],[DUT Adj Read]]&lt;=Table1[[#This Row],[High Tol]],"Pass","Fail")))</f>
        <v>Fail</v>
      </c>
      <c r="AH5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7" s="1" t="b">
        <v>0</v>
      </c>
      <c r="AN517" s="1" t="b">
        <v>0</v>
      </c>
      <c r="AO517" s="1" t="b">
        <v>0</v>
      </c>
    </row>
    <row r="518" spans="1:41" x14ac:dyDescent="0.25">
      <c r="A518" s="10"/>
      <c r="B518" s="10"/>
      <c r="C518" s="10"/>
      <c r="D518" s="10"/>
      <c r="E518" s="10"/>
      <c r="F518" s="10"/>
      <c r="G518" s="10"/>
      <c r="H518" s="10"/>
      <c r="I518" s="1" t="str">
        <f t="shared" si="21"/>
        <v/>
      </c>
      <c r="J518" s="1" t="s">
        <v>35</v>
      </c>
      <c r="K518" s="1" t="str">
        <f t="shared" si="22"/>
        <v/>
      </c>
      <c r="L518" s="1" t="str">
        <f t="shared" si="23"/>
        <v/>
      </c>
      <c r="M518" s="1">
        <f>IF(OR(Table1[[#This Row],[Std Nom]]="",Table1[[#This Row],[Std Read]]=""),0,Table1[[#This Row],[Std Nom]]-Table1[[#This Row],[Std Read]])</f>
        <v>0</v>
      </c>
      <c r="N518" s="1">
        <f>IF(Calculations!$F$5="ACCREDITED 17025 WITH UNCERTAINTIES",$N$10,0)</f>
        <v>0</v>
      </c>
      <c r="Q518" s="1">
        <f>Table1[[#This Row],[High Tol]]-Table1[[#This Row],[Low Tol]]</f>
        <v>0</v>
      </c>
      <c r="R518" s="1">
        <f>2*Table1[[#This Row],[Std Error]]</f>
        <v>0</v>
      </c>
      <c r="S518" s="1" t="str">
        <f>IF(Table1[[#This Row],[High Tol]]="","N/A",IFERROR(ABS(Table1[[#This Row],[Tol Span]]/Table1[[#This Row],[Error Span]]),"N/A"))</f>
        <v>N/A</v>
      </c>
      <c r="T518" s="1" t="str">
        <f>IF(OR(Table1[[#This Row],[Low Tol]]="",Table1[[#This Row],[High Tol]]=""),"Needs Analysis",IF(Table1[[#This Row],[Ratio]]&gt;=4,"Not Significant",IF(Table1[[#This Row],[Ratio]]&gt;=2,"Semi-Significant","Significant")))</f>
        <v>Needs Analysis</v>
      </c>
      <c r="W518" s="1">
        <f>IF(Table1[[#This Row],[Cal Type]]&lt;&gt;"ACCREDITED 17025 WITH UNCERTAINTIES",0,"")</f>
        <v>0</v>
      </c>
      <c r="X518" s="1" t="str">
        <f>IF(Table1[[#This Row],[DUT Read]]="","N/A",Table1[[#This Row],[Std Error]]+Table1[[#This Row],[DUT Read]]+Table1[[#This Row],[DUT Ucty]])</f>
        <v>N/A</v>
      </c>
      <c r="Y518" s="1" t="str">
        <f>IF(Table1[[#This Row],[Std Read]]="","N/A",Table1[[#This Row],[Std Read]]+Table1[[#This Row],[Std Ucty]])</f>
        <v>N/A</v>
      </c>
      <c r="Z5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8" s="1" t="str">
        <f>IF(Table1[[#This Row],[Spec Type]]="","N/A",Table1[[#This Row],[Spec Type]])</f>
        <v>±</v>
      </c>
      <c r="AC518" s="1" t="str">
        <f>IF(Table1[[#This Row],[Spec Type2]]="N/A","N/A",IF(AND(Table1[[#This Row],[DUT Adj Read]]&gt;=Table1[[#This Row],[Low Tol]],Table1[[#This Row],[DUT Adj Read]]&lt;=Table1[[#This Row],[High Tol]]),"Pass","Fail"))</f>
        <v>Fail</v>
      </c>
      <c r="AD518" s="1" t="str">
        <f>IF(AND(Table1[[#This Row],[Spec Type2]]="N/A",Table1[[#This Row],[DUT Adj Read]]="N/A",Table1[[#This Row],[Std Adj Read]]="N/A"),"N/A",IF(Table1[[#This Row],[DUT Adj Read]]="N/A",IF(Table1[[#This Row],[Std Adj Read]]&gt;Table1[[#This Row],[Low Tol]],"Pass","Fail"),IF(Table1[[#This Row],[DUT Adj Read]]&gt;Table1[[#This Row],[Low Tol]],"Pass","Fail")))</f>
        <v>Pass</v>
      </c>
      <c r="AE518" s="1" t="str">
        <f>IF(AND(Table1[[#This Row],[Spec Type2]]="N/A",Table1[[#This Row],[DUT Adj Read]]="N/A",Table1[[#This Row],[Std Adj Read]]="N/A"),"N/A",IF(Table1[[#This Row],[DUT Adj Read]]="N/A",IF(Table1[[#This Row],[Std Adj Read]]&lt;Table1[[#This Row],[High Tol]],"Pass","Fail"),IF(Table1[[#This Row],[DUT Adj Read]]&lt;Table1[[#This Row],[High Tol]],"Pass","Fail")))</f>
        <v>Fail</v>
      </c>
      <c r="AF518" s="1" t="str">
        <f>IF(AND(Table1[[#This Row],[Spec Type2]]="N/A",Table1[[#This Row],[DUT Adj Read]]="N/A",Table1[[#This Row],[Std Adj Read]]="N/A"),"N/A",IF(Table1[[#This Row],[DUT Adj Read]]="N/A",IF(Table1[[#This Row],[Std Adj Read]]&gt;=Table1[[#This Row],[Low Tol]],"Pass","Fail"),IF(Table1[[#This Row],[DUT Adj Read]]&gt;=Table1[[#This Row],[Low Tol]],"Pass","Fail")))</f>
        <v>Pass</v>
      </c>
      <c r="AG518" s="1" t="str">
        <f>IF(AND(Table1[[#This Row],[Spec Type2]]="N/A",Table1[[#This Row],[DUT Adj Read]]="N/A",Table1[[#This Row],[Std Adj Read]]="N/A"),"N/A",IF(Table1[[#This Row],[DUT Adj Read]]="N/A",IF(Table1[[#This Row],[Std Adj Read]]&lt;=Table1[[#This Row],[High Tol]],"Pass","Fail"),IF(Table1[[#This Row],[DUT Adj Read]]&lt;=Table1[[#This Row],[High Tol]],"Pass","Fail")))</f>
        <v>Fail</v>
      </c>
      <c r="AH5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8" s="1" t="b">
        <v>0</v>
      </c>
      <c r="AN518" s="1" t="b">
        <v>0</v>
      </c>
      <c r="AO518" s="1" t="b">
        <v>0</v>
      </c>
    </row>
    <row r="519" spans="1:41" x14ac:dyDescent="0.25">
      <c r="A519" s="10"/>
      <c r="B519" s="10"/>
      <c r="C519" s="10"/>
      <c r="D519" s="10"/>
      <c r="E519" s="10"/>
      <c r="F519" s="10"/>
      <c r="G519" s="10"/>
      <c r="H519" s="10"/>
      <c r="I519" s="1" t="str">
        <f t="shared" si="21"/>
        <v/>
      </c>
      <c r="J519" s="1" t="s">
        <v>35</v>
      </c>
      <c r="K519" s="1" t="str">
        <f t="shared" si="22"/>
        <v/>
      </c>
      <c r="L519" s="1" t="str">
        <f t="shared" si="23"/>
        <v/>
      </c>
      <c r="M519" s="1">
        <f>IF(OR(Table1[[#This Row],[Std Nom]]="",Table1[[#This Row],[Std Read]]=""),0,Table1[[#This Row],[Std Nom]]-Table1[[#This Row],[Std Read]])</f>
        <v>0</v>
      </c>
      <c r="N519" s="1">
        <f>IF(Calculations!$F$5="ACCREDITED 17025 WITH UNCERTAINTIES",$N$10,0)</f>
        <v>0</v>
      </c>
      <c r="Q519" s="1">
        <f>Table1[[#This Row],[High Tol]]-Table1[[#This Row],[Low Tol]]</f>
        <v>0</v>
      </c>
      <c r="R519" s="1">
        <f>2*Table1[[#This Row],[Std Error]]</f>
        <v>0</v>
      </c>
      <c r="S519" s="1" t="str">
        <f>IF(Table1[[#This Row],[High Tol]]="","N/A",IFERROR(ABS(Table1[[#This Row],[Tol Span]]/Table1[[#This Row],[Error Span]]),"N/A"))</f>
        <v>N/A</v>
      </c>
      <c r="T519" s="1" t="str">
        <f>IF(OR(Table1[[#This Row],[Low Tol]]="",Table1[[#This Row],[High Tol]]=""),"Needs Analysis",IF(Table1[[#This Row],[Ratio]]&gt;=4,"Not Significant",IF(Table1[[#This Row],[Ratio]]&gt;=2,"Semi-Significant","Significant")))</f>
        <v>Needs Analysis</v>
      </c>
      <c r="W519" s="1">
        <f>IF(Table1[[#This Row],[Cal Type]]&lt;&gt;"ACCREDITED 17025 WITH UNCERTAINTIES",0,"")</f>
        <v>0</v>
      </c>
      <c r="X519" s="1" t="str">
        <f>IF(Table1[[#This Row],[DUT Read]]="","N/A",Table1[[#This Row],[Std Error]]+Table1[[#This Row],[DUT Read]]+Table1[[#This Row],[DUT Ucty]])</f>
        <v>N/A</v>
      </c>
      <c r="Y519" s="1" t="str">
        <f>IF(Table1[[#This Row],[Std Read]]="","N/A",Table1[[#This Row],[Std Read]]+Table1[[#This Row],[Std Ucty]])</f>
        <v>N/A</v>
      </c>
      <c r="Z5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19" s="1" t="str">
        <f>IF(Table1[[#This Row],[Spec Type]]="","N/A",Table1[[#This Row],[Spec Type]])</f>
        <v>±</v>
      </c>
      <c r="AC519" s="1" t="str">
        <f>IF(Table1[[#This Row],[Spec Type2]]="N/A","N/A",IF(AND(Table1[[#This Row],[DUT Adj Read]]&gt;=Table1[[#This Row],[Low Tol]],Table1[[#This Row],[DUT Adj Read]]&lt;=Table1[[#This Row],[High Tol]]),"Pass","Fail"))</f>
        <v>Fail</v>
      </c>
      <c r="AD519" s="1" t="str">
        <f>IF(AND(Table1[[#This Row],[Spec Type2]]="N/A",Table1[[#This Row],[DUT Adj Read]]="N/A",Table1[[#This Row],[Std Adj Read]]="N/A"),"N/A",IF(Table1[[#This Row],[DUT Adj Read]]="N/A",IF(Table1[[#This Row],[Std Adj Read]]&gt;Table1[[#This Row],[Low Tol]],"Pass","Fail"),IF(Table1[[#This Row],[DUT Adj Read]]&gt;Table1[[#This Row],[Low Tol]],"Pass","Fail")))</f>
        <v>Pass</v>
      </c>
      <c r="AE519" s="1" t="str">
        <f>IF(AND(Table1[[#This Row],[Spec Type2]]="N/A",Table1[[#This Row],[DUT Adj Read]]="N/A",Table1[[#This Row],[Std Adj Read]]="N/A"),"N/A",IF(Table1[[#This Row],[DUT Adj Read]]="N/A",IF(Table1[[#This Row],[Std Adj Read]]&lt;Table1[[#This Row],[High Tol]],"Pass","Fail"),IF(Table1[[#This Row],[DUT Adj Read]]&lt;Table1[[#This Row],[High Tol]],"Pass","Fail")))</f>
        <v>Fail</v>
      </c>
      <c r="AF519" s="1" t="str">
        <f>IF(AND(Table1[[#This Row],[Spec Type2]]="N/A",Table1[[#This Row],[DUT Adj Read]]="N/A",Table1[[#This Row],[Std Adj Read]]="N/A"),"N/A",IF(Table1[[#This Row],[DUT Adj Read]]="N/A",IF(Table1[[#This Row],[Std Adj Read]]&gt;=Table1[[#This Row],[Low Tol]],"Pass","Fail"),IF(Table1[[#This Row],[DUT Adj Read]]&gt;=Table1[[#This Row],[Low Tol]],"Pass","Fail")))</f>
        <v>Pass</v>
      </c>
      <c r="AG519" s="1" t="str">
        <f>IF(AND(Table1[[#This Row],[Spec Type2]]="N/A",Table1[[#This Row],[DUT Adj Read]]="N/A",Table1[[#This Row],[Std Adj Read]]="N/A"),"N/A",IF(Table1[[#This Row],[DUT Adj Read]]="N/A",IF(Table1[[#This Row],[Std Adj Read]]&lt;=Table1[[#This Row],[High Tol]],"Pass","Fail"),IF(Table1[[#This Row],[DUT Adj Read]]&lt;=Table1[[#This Row],[High Tol]],"Pass","Fail")))</f>
        <v>Fail</v>
      </c>
      <c r="AH5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19" s="1" t="b">
        <v>0</v>
      </c>
      <c r="AN519" s="1" t="b">
        <v>0</v>
      </c>
      <c r="AO519" s="1" t="b">
        <v>0</v>
      </c>
    </row>
    <row r="520" spans="1:41" x14ac:dyDescent="0.25">
      <c r="A520" s="10"/>
      <c r="B520" s="10"/>
      <c r="C520" s="10"/>
      <c r="D520" s="10"/>
      <c r="E520" s="10"/>
      <c r="F520" s="10"/>
      <c r="G520" s="10"/>
      <c r="H520" s="10"/>
      <c r="I520" s="1" t="str">
        <f t="shared" si="21"/>
        <v/>
      </c>
      <c r="J520" s="1" t="s">
        <v>35</v>
      </c>
      <c r="K520" s="1" t="str">
        <f t="shared" si="22"/>
        <v/>
      </c>
      <c r="L520" s="1" t="str">
        <f t="shared" si="23"/>
        <v/>
      </c>
      <c r="M520" s="1">
        <f>IF(OR(Table1[[#This Row],[Std Nom]]="",Table1[[#This Row],[Std Read]]=""),0,Table1[[#This Row],[Std Nom]]-Table1[[#This Row],[Std Read]])</f>
        <v>0</v>
      </c>
      <c r="N520" s="1">
        <f>IF(Calculations!$F$5="ACCREDITED 17025 WITH UNCERTAINTIES",$N$10,0)</f>
        <v>0</v>
      </c>
      <c r="Q520" s="1">
        <f>Table1[[#This Row],[High Tol]]-Table1[[#This Row],[Low Tol]]</f>
        <v>0</v>
      </c>
      <c r="R520" s="1">
        <f>2*Table1[[#This Row],[Std Error]]</f>
        <v>0</v>
      </c>
      <c r="S520" s="1" t="str">
        <f>IF(Table1[[#This Row],[High Tol]]="","N/A",IFERROR(ABS(Table1[[#This Row],[Tol Span]]/Table1[[#This Row],[Error Span]]),"N/A"))</f>
        <v>N/A</v>
      </c>
      <c r="T520" s="1" t="str">
        <f>IF(OR(Table1[[#This Row],[Low Tol]]="",Table1[[#This Row],[High Tol]]=""),"Needs Analysis",IF(Table1[[#This Row],[Ratio]]&gt;=4,"Not Significant",IF(Table1[[#This Row],[Ratio]]&gt;=2,"Semi-Significant","Significant")))</f>
        <v>Needs Analysis</v>
      </c>
      <c r="W520" s="1">
        <f>IF(Table1[[#This Row],[Cal Type]]&lt;&gt;"ACCREDITED 17025 WITH UNCERTAINTIES",0,"")</f>
        <v>0</v>
      </c>
      <c r="X520" s="1" t="str">
        <f>IF(Table1[[#This Row],[DUT Read]]="","N/A",Table1[[#This Row],[Std Error]]+Table1[[#This Row],[DUT Read]]+Table1[[#This Row],[DUT Ucty]])</f>
        <v>N/A</v>
      </c>
      <c r="Y520" s="1" t="str">
        <f>IF(Table1[[#This Row],[Std Read]]="","N/A",Table1[[#This Row],[Std Read]]+Table1[[#This Row],[Std Ucty]])</f>
        <v>N/A</v>
      </c>
      <c r="Z5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0" s="1" t="str">
        <f>IF(Table1[[#This Row],[Spec Type]]="","N/A",Table1[[#This Row],[Spec Type]])</f>
        <v>±</v>
      </c>
      <c r="AC520" s="1" t="str">
        <f>IF(Table1[[#This Row],[Spec Type2]]="N/A","N/A",IF(AND(Table1[[#This Row],[DUT Adj Read]]&gt;=Table1[[#This Row],[Low Tol]],Table1[[#This Row],[DUT Adj Read]]&lt;=Table1[[#This Row],[High Tol]]),"Pass","Fail"))</f>
        <v>Fail</v>
      </c>
      <c r="AD520" s="1" t="str">
        <f>IF(AND(Table1[[#This Row],[Spec Type2]]="N/A",Table1[[#This Row],[DUT Adj Read]]="N/A",Table1[[#This Row],[Std Adj Read]]="N/A"),"N/A",IF(Table1[[#This Row],[DUT Adj Read]]="N/A",IF(Table1[[#This Row],[Std Adj Read]]&gt;Table1[[#This Row],[Low Tol]],"Pass","Fail"),IF(Table1[[#This Row],[DUT Adj Read]]&gt;Table1[[#This Row],[Low Tol]],"Pass","Fail")))</f>
        <v>Pass</v>
      </c>
      <c r="AE520" s="1" t="str">
        <f>IF(AND(Table1[[#This Row],[Spec Type2]]="N/A",Table1[[#This Row],[DUT Adj Read]]="N/A",Table1[[#This Row],[Std Adj Read]]="N/A"),"N/A",IF(Table1[[#This Row],[DUT Adj Read]]="N/A",IF(Table1[[#This Row],[Std Adj Read]]&lt;Table1[[#This Row],[High Tol]],"Pass","Fail"),IF(Table1[[#This Row],[DUT Adj Read]]&lt;Table1[[#This Row],[High Tol]],"Pass","Fail")))</f>
        <v>Fail</v>
      </c>
      <c r="AF520" s="1" t="str">
        <f>IF(AND(Table1[[#This Row],[Spec Type2]]="N/A",Table1[[#This Row],[DUT Adj Read]]="N/A",Table1[[#This Row],[Std Adj Read]]="N/A"),"N/A",IF(Table1[[#This Row],[DUT Adj Read]]="N/A",IF(Table1[[#This Row],[Std Adj Read]]&gt;=Table1[[#This Row],[Low Tol]],"Pass","Fail"),IF(Table1[[#This Row],[DUT Adj Read]]&gt;=Table1[[#This Row],[Low Tol]],"Pass","Fail")))</f>
        <v>Pass</v>
      </c>
      <c r="AG520" s="1" t="str">
        <f>IF(AND(Table1[[#This Row],[Spec Type2]]="N/A",Table1[[#This Row],[DUT Adj Read]]="N/A",Table1[[#This Row],[Std Adj Read]]="N/A"),"N/A",IF(Table1[[#This Row],[DUT Adj Read]]="N/A",IF(Table1[[#This Row],[Std Adj Read]]&lt;=Table1[[#This Row],[High Tol]],"Pass","Fail"),IF(Table1[[#This Row],[DUT Adj Read]]&lt;=Table1[[#This Row],[High Tol]],"Pass","Fail")))</f>
        <v>Fail</v>
      </c>
      <c r="AH5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0" s="1" t="b">
        <v>0</v>
      </c>
      <c r="AN520" s="1" t="b">
        <v>0</v>
      </c>
      <c r="AO520" s="1" t="b">
        <v>0</v>
      </c>
    </row>
    <row r="521" spans="1:41" x14ac:dyDescent="0.25">
      <c r="A521" s="10"/>
      <c r="B521" s="10"/>
      <c r="C521" s="10"/>
      <c r="D521" s="10"/>
      <c r="E521" s="10"/>
      <c r="F521" s="10"/>
      <c r="G521" s="10"/>
      <c r="H521" s="10"/>
      <c r="I521" s="1" t="str">
        <f t="shared" si="21"/>
        <v/>
      </c>
      <c r="J521" s="1" t="s">
        <v>35</v>
      </c>
      <c r="K521" s="1" t="str">
        <f t="shared" si="22"/>
        <v/>
      </c>
      <c r="L521" s="1" t="str">
        <f t="shared" si="23"/>
        <v/>
      </c>
      <c r="M521" s="1">
        <f>IF(OR(Table1[[#This Row],[Std Nom]]="",Table1[[#This Row],[Std Read]]=""),0,Table1[[#This Row],[Std Nom]]-Table1[[#This Row],[Std Read]])</f>
        <v>0</v>
      </c>
      <c r="N521" s="1">
        <f>IF(Calculations!$F$5="ACCREDITED 17025 WITH UNCERTAINTIES",$N$10,0)</f>
        <v>0</v>
      </c>
      <c r="Q521" s="1">
        <f>Table1[[#This Row],[High Tol]]-Table1[[#This Row],[Low Tol]]</f>
        <v>0</v>
      </c>
      <c r="R521" s="1">
        <f>2*Table1[[#This Row],[Std Error]]</f>
        <v>0</v>
      </c>
      <c r="S521" s="1" t="str">
        <f>IF(Table1[[#This Row],[High Tol]]="","N/A",IFERROR(ABS(Table1[[#This Row],[Tol Span]]/Table1[[#This Row],[Error Span]]),"N/A"))</f>
        <v>N/A</v>
      </c>
      <c r="T521" s="1" t="str">
        <f>IF(OR(Table1[[#This Row],[Low Tol]]="",Table1[[#This Row],[High Tol]]=""),"Needs Analysis",IF(Table1[[#This Row],[Ratio]]&gt;=4,"Not Significant",IF(Table1[[#This Row],[Ratio]]&gt;=2,"Semi-Significant","Significant")))</f>
        <v>Needs Analysis</v>
      </c>
      <c r="W521" s="1">
        <f>IF(Table1[[#This Row],[Cal Type]]&lt;&gt;"ACCREDITED 17025 WITH UNCERTAINTIES",0,"")</f>
        <v>0</v>
      </c>
      <c r="X521" s="1" t="str">
        <f>IF(Table1[[#This Row],[DUT Read]]="","N/A",Table1[[#This Row],[Std Error]]+Table1[[#This Row],[DUT Read]]+Table1[[#This Row],[DUT Ucty]])</f>
        <v>N/A</v>
      </c>
      <c r="Y521" s="1" t="str">
        <f>IF(Table1[[#This Row],[Std Read]]="","N/A",Table1[[#This Row],[Std Read]]+Table1[[#This Row],[Std Ucty]])</f>
        <v>N/A</v>
      </c>
      <c r="Z5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1" s="1" t="str">
        <f>IF(Table1[[#This Row],[Spec Type]]="","N/A",Table1[[#This Row],[Spec Type]])</f>
        <v>±</v>
      </c>
      <c r="AC521" s="1" t="str">
        <f>IF(Table1[[#This Row],[Spec Type2]]="N/A","N/A",IF(AND(Table1[[#This Row],[DUT Adj Read]]&gt;=Table1[[#This Row],[Low Tol]],Table1[[#This Row],[DUT Adj Read]]&lt;=Table1[[#This Row],[High Tol]]),"Pass","Fail"))</f>
        <v>Fail</v>
      </c>
      <c r="AD521" s="1" t="str">
        <f>IF(AND(Table1[[#This Row],[Spec Type2]]="N/A",Table1[[#This Row],[DUT Adj Read]]="N/A",Table1[[#This Row],[Std Adj Read]]="N/A"),"N/A",IF(Table1[[#This Row],[DUT Adj Read]]="N/A",IF(Table1[[#This Row],[Std Adj Read]]&gt;Table1[[#This Row],[Low Tol]],"Pass","Fail"),IF(Table1[[#This Row],[DUT Adj Read]]&gt;Table1[[#This Row],[Low Tol]],"Pass","Fail")))</f>
        <v>Pass</v>
      </c>
      <c r="AE521" s="1" t="str">
        <f>IF(AND(Table1[[#This Row],[Spec Type2]]="N/A",Table1[[#This Row],[DUT Adj Read]]="N/A",Table1[[#This Row],[Std Adj Read]]="N/A"),"N/A",IF(Table1[[#This Row],[DUT Adj Read]]="N/A",IF(Table1[[#This Row],[Std Adj Read]]&lt;Table1[[#This Row],[High Tol]],"Pass","Fail"),IF(Table1[[#This Row],[DUT Adj Read]]&lt;Table1[[#This Row],[High Tol]],"Pass","Fail")))</f>
        <v>Fail</v>
      </c>
      <c r="AF521" s="1" t="str">
        <f>IF(AND(Table1[[#This Row],[Spec Type2]]="N/A",Table1[[#This Row],[DUT Adj Read]]="N/A",Table1[[#This Row],[Std Adj Read]]="N/A"),"N/A",IF(Table1[[#This Row],[DUT Adj Read]]="N/A",IF(Table1[[#This Row],[Std Adj Read]]&gt;=Table1[[#This Row],[Low Tol]],"Pass","Fail"),IF(Table1[[#This Row],[DUT Adj Read]]&gt;=Table1[[#This Row],[Low Tol]],"Pass","Fail")))</f>
        <v>Pass</v>
      </c>
      <c r="AG521" s="1" t="str">
        <f>IF(AND(Table1[[#This Row],[Spec Type2]]="N/A",Table1[[#This Row],[DUT Adj Read]]="N/A",Table1[[#This Row],[Std Adj Read]]="N/A"),"N/A",IF(Table1[[#This Row],[DUT Adj Read]]="N/A",IF(Table1[[#This Row],[Std Adj Read]]&lt;=Table1[[#This Row],[High Tol]],"Pass","Fail"),IF(Table1[[#This Row],[DUT Adj Read]]&lt;=Table1[[#This Row],[High Tol]],"Pass","Fail")))</f>
        <v>Fail</v>
      </c>
      <c r="AH5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1" s="1" t="b">
        <v>0</v>
      </c>
      <c r="AN521" s="1" t="b">
        <v>0</v>
      </c>
      <c r="AO521" s="1" t="b">
        <v>0</v>
      </c>
    </row>
    <row r="522" spans="1:41" x14ac:dyDescent="0.25">
      <c r="A522" s="10"/>
      <c r="B522" s="10"/>
      <c r="C522" s="10"/>
      <c r="D522" s="10"/>
      <c r="E522" s="10"/>
      <c r="F522" s="10"/>
      <c r="G522" s="10"/>
      <c r="H522" s="10"/>
      <c r="I522" s="1" t="str">
        <f t="shared" si="21"/>
        <v/>
      </c>
      <c r="J522" s="1" t="s">
        <v>35</v>
      </c>
      <c r="K522" s="1" t="str">
        <f t="shared" si="22"/>
        <v/>
      </c>
      <c r="L522" s="1" t="str">
        <f t="shared" si="23"/>
        <v/>
      </c>
      <c r="M522" s="1">
        <f>IF(OR(Table1[[#This Row],[Std Nom]]="",Table1[[#This Row],[Std Read]]=""),0,Table1[[#This Row],[Std Nom]]-Table1[[#This Row],[Std Read]])</f>
        <v>0</v>
      </c>
      <c r="N522" s="1">
        <f>IF(Calculations!$F$5="ACCREDITED 17025 WITH UNCERTAINTIES",$N$10,0)</f>
        <v>0</v>
      </c>
      <c r="Q522" s="1">
        <f>Table1[[#This Row],[High Tol]]-Table1[[#This Row],[Low Tol]]</f>
        <v>0</v>
      </c>
      <c r="R522" s="1">
        <f>2*Table1[[#This Row],[Std Error]]</f>
        <v>0</v>
      </c>
      <c r="S522" s="1" t="str">
        <f>IF(Table1[[#This Row],[High Tol]]="","N/A",IFERROR(ABS(Table1[[#This Row],[Tol Span]]/Table1[[#This Row],[Error Span]]),"N/A"))</f>
        <v>N/A</v>
      </c>
      <c r="T522" s="1" t="str">
        <f>IF(OR(Table1[[#This Row],[Low Tol]]="",Table1[[#This Row],[High Tol]]=""),"Needs Analysis",IF(Table1[[#This Row],[Ratio]]&gt;=4,"Not Significant",IF(Table1[[#This Row],[Ratio]]&gt;=2,"Semi-Significant","Significant")))</f>
        <v>Needs Analysis</v>
      </c>
      <c r="W522" s="1">
        <f>IF(Table1[[#This Row],[Cal Type]]&lt;&gt;"ACCREDITED 17025 WITH UNCERTAINTIES",0,"")</f>
        <v>0</v>
      </c>
      <c r="X522" s="1" t="str">
        <f>IF(Table1[[#This Row],[DUT Read]]="","N/A",Table1[[#This Row],[Std Error]]+Table1[[#This Row],[DUT Read]]+Table1[[#This Row],[DUT Ucty]])</f>
        <v>N/A</v>
      </c>
      <c r="Y522" s="1" t="str">
        <f>IF(Table1[[#This Row],[Std Read]]="","N/A",Table1[[#This Row],[Std Read]]+Table1[[#This Row],[Std Ucty]])</f>
        <v>N/A</v>
      </c>
      <c r="Z5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2" s="1" t="str">
        <f>IF(Table1[[#This Row],[Spec Type]]="","N/A",Table1[[#This Row],[Spec Type]])</f>
        <v>±</v>
      </c>
      <c r="AC522" s="1" t="str">
        <f>IF(Table1[[#This Row],[Spec Type2]]="N/A","N/A",IF(AND(Table1[[#This Row],[DUT Adj Read]]&gt;=Table1[[#This Row],[Low Tol]],Table1[[#This Row],[DUT Adj Read]]&lt;=Table1[[#This Row],[High Tol]]),"Pass","Fail"))</f>
        <v>Fail</v>
      </c>
      <c r="AD522" s="1" t="str">
        <f>IF(AND(Table1[[#This Row],[Spec Type2]]="N/A",Table1[[#This Row],[DUT Adj Read]]="N/A",Table1[[#This Row],[Std Adj Read]]="N/A"),"N/A",IF(Table1[[#This Row],[DUT Adj Read]]="N/A",IF(Table1[[#This Row],[Std Adj Read]]&gt;Table1[[#This Row],[Low Tol]],"Pass","Fail"),IF(Table1[[#This Row],[DUT Adj Read]]&gt;Table1[[#This Row],[Low Tol]],"Pass","Fail")))</f>
        <v>Pass</v>
      </c>
      <c r="AE522" s="1" t="str">
        <f>IF(AND(Table1[[#This Row],[Spec Type2]]="N/A",Table1[[#This Row],[DUT Adj Read]]="N/A",Table1[[#This Row],[Std Adj Read]]="N/A"),"N/A",IF(Table1[[#This Row],[DUT Adj Read]]="N/A",IF(Table1[[#This Row],[Std Adj Read]]&lt;Table1[[#This Row],[High Tol]],"Pass","Fail"),IF(Table1[[#This Row],[DUT Adj Read]]&lt;Table1[[#This Row],[High Tol]],"Pass","Fail")))</f>
        <v>Fail</v>
      </c>
      <c r="AF522" s="1" t="str">
        <f>IF(AND(Table1[[#This Row],[Spec Type2]]="N/A",Table1[[#This Row],[DUT Adj Read]]="N/A",Table1[[#This Row],[Std Adj Read]]="N/A"),"N/A",IF(Table1[[#This Row],[DUT Adj Read]]="N/A",IF(Table1[[#This Row],[Std Adj Read]]&gt;=Table1[[#This Row],[Low Tol]],"Pass","Fail"),IF(Table1[[#This Row],[DUT Adj Read]]&gt;=Table1[[#This Row],[Low Tol]],"Pass","Fail")))</f>
        <v>Pass</v>
      </c>
      <c r="AG522" s="1" t="str">
        <f>IF(AND(Table1[[#This Row],[Spec Type2]]="N/A",Table1[[#This Row],[DUT Adj Read]]="N/A",Table1[[#This Row],[Std Adj Read]]="N/A"),"N/A",IF(Table1[[#This Row],[DUT Adj Read]]="N/A",IF(Table1[[#This Row],[Std Adj Read]]&lt;=Table1[[#This Row],[High Tol]],"Pass","Fail"),IF(Table1[[#This Row],[DUT Adj Read]]&lt;=Table1[[#This Row],[High Tol]],"Pass","Fail")))</f>
        <v>Fail</v>
      </c>
      <c r="AH5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2" s="1" t="b">
        <v>0</v>
      </c>
      <c r="AN522" s="1" t="b">
        <v>0</v>
      </c>
      <c r="AO522" s="1" t="b">
        <v>0</v>
      </c>
    </row>
    <row r="523" spans="1:41" x14ac:dyDescent="0.25">
      <c r="A523" s="10"/>
      <c r="B523" s="10"/>
      <c r="C523" s="10"/>
      <c r="D523" s="10"/>
      <c r="E523" s="10"/>
      <c r="F523" s="10"/>
      <c r="G523" s="10"/>
      <c r="H523" s="10"/>
      <c r="I523" s="1" t="str">
        <f t="shared" ref="I523:I586" si="24">IF($I$10="","",$I$10)</f>
        <v/>
      </c>
      <c r="J523" s="1" t="s">
        <v>35</v>
      </c>
      <c r="K523" s="1" t="str">
        <f t="shared" ref="K523:K586" si="25">IF($K$10="","",$K$10)</f>
        <v/>
      </c>
      <c r="L523" s="1" t="str">
        <f t="shared" ref="L523:L586" si="26">IF($L$10="","",$L$10)</f>
        <v/>
      </c>
      <c r="M523" s="1">
        <f>IF(OR(Table1[[#This Row],[Std Nom]]="",Table1[[#This Row],[Std Read]]=""),0,Table1[[#This Row],[Std Nom]]-Table1[[#This Row],[Std Read]])</f>
        <v>0</v>
      </c>
      <c r="N523" s="1">
        <f>IF(Calculations!$F$5="ACCREDITED 17025 WITH UNCERTAINTIES",$N$10,0)</f>
        <v>0</v>
      </c>
      <c r="Q523" s="1">
        <f>Table1[[#This Row],[High Tol]]-Table1[[#This Row],[Low Tol]]</f>
        <v>0</v>
      </c>
      <c r="R523" s="1">
        <f>2*Table1[[#This Row],[Std Error]]</f>
        <v>0</v>
      </c>
      <c r="S523" s="1" t="str">
        <f>IF(Table1[[#This Row],[High Tol]]="","N/A",IFERROR(ABS(Table1[[#This Row],[Tol Span]]/Table1[[#This Row],[Error Span]]),"N/A"))</f>
        <v>N/A</v>
      </c>
      <c r="T523" s="1" t="str">
        <f>IF(OR(Table1[[#This Row],[Low Tol]]="",Table1[[#This Row],[High Tol]]=""),"Needs Analysis",IF(Table1[[#This Row],[Ratio]]&gt;=4,"Not Significant",IF(Table1[[#This Row],[Ratio]]&gt;=2,"Semi-Significant","Significant")))</f>
        <v>Needs Analysis</v>
      </c>
      <c r="W523" s="1">
        <f>IF(Table1[[#This Row],[Cal Type]]&lt;&gt;"ACCREDITED 17025 WITH UNCERTAINTIES",0,"")</f>
        <v>0</v>
      </c>
      <c r="X523" s="1" t="str">
        <f>IF(Table1[[#This Row],[DUT Read]]="","N/A",Table1[[#This Row],[Std Error]]+Table1[[#This Row],[DUT Read]]+Table1[[#This Row],[DUT Ucty]])</f>
        <v>N/A</v>
      </c>
      <c r="Y523" s="1" t="str">
        <f>IF(Table1[[#This Row],[Std Read]]="","N/A",Table1[[#This Row],[Std Read]]+Table1[[#This Row],[Std Ucty]])</f>
        <v>N/A</v>
      </c>
      <c r="Z5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3" s="1" t="str">
        <f>IF(Table1[[#This Row],[Spec Type]]="","N/A",Table1[[#This Row],[Spec Type]])</f>
        <v>±</v>
      </c>
      <c r="AC523" s="1" t="str">
        <f>IF(Table1[[#This Row],[Spec Type2]]="N/A","N/A",IF(AND(Table1[[#This Row],[DUT Adj Read]]&gt;=Table1[[#This Row],[Low Tol]],Table1[[#This Row],[DUT Adj Read]]&lt;=Table1[[#This Row],[High Tol]]),"Pass","Fail"))</f>
        <v>Fail</v>
      </c>
      <c r="AD523" s="1" t="str">
        <f>IF(AND(Table1[[#This Row],[Spec Type2]]="N/A",Table1[[#This Row],[DUT Adj Read]]="N/A",Table1[[#This Row],[Std Adj Read]]="N/A"),"N/A",IF(Table1[[#This Row],[DUT Adj Read]]="N/A",IF(Table1[[#This Row],[Std Adj Read]]&gt;Table1[[#This Row],[Low Tol]],"Pass","Fail"),IF(Table1[[#This Row],[DUT Adj Read]]&gt;Table1[[#This Row],[Low Tol]],"Pass","Fail")))</f>
        <v>Pass</v>
      </c>
      <c r="AE523" s="1" t="str">
        <f>IF(AND(Table1[[#This Row],[Spec Type2]]="N/A",Table1[[#This Row],[DUT Adj Read]]="N/A",Table1[[#This Row],[Std Adj Read]]="N/A"),"N/A",IF(Table1[[#This Row],[DUT Adj Read]]="N/A",IF(Table1[[#This Row],[Std Adj Read]]&lt;Table1[[#This Row],[High Tol]],"Pass","Fail"),IF(Table1[[#This Row],[DUT Adj Read]]&lt;Table1[[#This Row],[High Tol]],"Pass","Fail")))</f>
        <v>Fail</v>
      </c>
      <c r="AF523" s="1" t="str">
        <f>IF(AND(Table1[[#This Row],[Spec Type2]]="N/A",Table1[[#This Row],[DUT Adj Read]]="N/A",Table1[[#This Row],[Std Adj Read]]="N/A"),"N/A",IF(Table1[[#This Row],[DUT Adj Read]]="N/A",IF(Table1[[#This Row],[Std Adj Read]]&gt;=Table1[[#This Row],[Low Tol]],"Pass","Fail"),IF(Table1[[#This Row],[DUT Adj Read]]&gt;=Table1[[#This Row],[Low Tol]],"Pass","Fail")))</f>
        <v>Pass</v>
      </c>
      <c r="AG523" s="1" t="str">
        <f>IF(AND(Table1[[#This Row],[Spec Type2]]="N/A",Table1[[#This Row],[DUT Adj Read]]="N/A",Table1[[#This Row],[Std Adj Read]]="N/A"),"N/A",IF(Table1[[#This Row],[DUT Adj Read]]="N/A",IF(Table1[[#This Row],[Std Adj Read]]&lt;=Table1[[#This Row],[High Tol]],"Pass","Fail"),IF(Table1[[#This Row],[DUT Adj Read]]&lt;=Table1[[#This Row],[High Tol]],"Pass","Fail")))</f>
        <v>Fail</v>
      </c>
      <c r="AH5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3" s="1" t="b">
        <v>0</v>
      </c>
      <c r="AN523" s="1" t="b">
        <v>0</v>
      </c>
      <c r="AO523" s="1" t="b">
        <v>0</v>
      </c>
    </row>
    <row r="524" spans="1:41" x14ac:dyDescent="0.25">
      <c r="A524" s="10"/>
      <c r="B524" s="10"/>
      <c r="C524" s="10"/>
      <c r="D524" s="10"/>
      <c r="E524" s="10"/>
      <c r="F524" s="10"/>
      <c r="G524" s="10"/>
      <c r="H524" s="10"/>
      <c r="I524" s="1" t="str">
        <f t="shared" si="24"/>
        <v/>
      </c>
      <c r="J524" s="1" t="s">
        <v>35</v>
      </c>
      <c r="K524" s="1" t="str">
        <f t="shared" si="25"/>
        <v/>
      </c>
      <c r="L524" s="1" t="str">
        <f t="shared" si="26"/>
        <v/>
      </c>
      <c r="M524" s="1">
        <f>IF(OR(Table1[[#This Row],[Std Nom]]="",Table1[[#This Row],[Std Read]]=""),0,Table1[[#This Row],[Std Nom]]-Table1[[#This Row],[Std Read]])</f>
        <v>0</v>
      </c>
      <c r="N524" s="1">
        <f>IF(Calculations!$F$5="ACCREDITED 17025 WITH UNCERTAINTIES",$N$10,0)</f>
        <v>0</v>
      </c>
      <c r="Q524" s="1">
        <f>Table1[[#This Row],[High Tol]]-Table1[[#This Row],[Low Tol]]</f>
        <v>0</v>
      </c>
      <c r="R524" s="1">
        <f>2*Table1[[#This Row],[Std Error]]</f>
        <v>0</v>
      </c>
      <c r="S524" s="1" t="str">
        <f>IF(Table1[[#This Row],[High Tol]]="","N/A",IFERROR(ABS(Table1[[#This Row],[Tol Span]]/Table1[[#This Row],[Error Span]]),"N/A"))</f>
        <v>N/A</v>
      </c>
      <c r="T524" s="1" t="str">
        <f>IF(OR(Table1[[#This Row],[Low Tol]]="",Table1[[#This Row],[High Tol]]=""),"Needs Analysis",IF(Table1[[#This Row],[Ratio]]&gt;=4,"Not Significant",IF(Table1[[#This Row],[Ratio]]&gt;=2,"Semi-Significant","Significant")))</f>
        <v>Needs Analysis</v>
      </c>
      <c r="W524" s="1">
        <f>IF(Table1[[#This Row],[Cal Type]]&lt;&gt;"ACCREDITED 17025 WITH UNCERTAINTIES",0,"")</f>
        <v>0</v>
      </c>
      <c r="X524" s="1" t="str">
        <f>IF(Table1[[#This Row],[DUT Read]]="","N/A",Table1[[#This Row],[Std Error]]+Table1[[#This Row],[DUT Read]]+Table1[[#This Row],[DUT Ucty]])</f>
        <v>N/A</v>
      </c>
      <c r="Y524" s="1" t="str">
        <f>IF(Table1[[#This Row],[Std Read]]="","N/A",Table1[[#This Row],[Std Read]]+Table1[[#This Row],[Std Ucty]])</f>
        <v>N/A</v>
      </c>
      <c r="Z5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4" s="1" t="str">
        <f>IF(Table1[[#This Row],[Spec Type]]="","N/A",Table1[[#This Row],[Spec Type]])</f>
        <v>±</v>
      </c>
      <c r="AC524" s="1" t="str">
        <f>IF(Table1[[#This Row],[Spec Type2]]="N/A","N/A",IF(AND(Table1[[#This Row],[DUT Adj Read]]&gt;=Table1[[#This Row],[Low Tol]],Table1[[#This Row],[DUT Adj Read]]&lt;=Table1[[#This Row],[High Tol]]),"Pass","Fail"))</f>
        <v>Fail</v>
      </c>
      <c r="AD524" s="1" t="str">
        <f>IF(AND(Table1[[#This Row],[Spec Type2]]="N/A",Table1[[#This Row],[DUT Adj Read]]="N/A",Table1[[#This Row],[Std Adj Read]]="N/A"),"N/A",IF(Table1[[#This Row],[DUT Adj Read]]="N/A",IF(Table1[[#This Row],[Std Adj Read]]&gt;Table1[[#This Row],[Low Tol]],"Pass","Fail"),IF(Table1[[#This Row],[DUT Adj Read]]&gt;Table1[[#This Row],[Low Tol]],"Pass","Fail")))</f>
        <v>Pass</v>
      </c>
      <c r="AE524" s="1" t="str">
        <f>IF(AND(Table1[[#This Row],[Spec Type2]]="N/A",Table1[[#This Row],[DUT Adj Read]]="N/A",Table1[[#This Row],[Std Adj Read]]="N/A"),"N/A",IF(Table1[[#This Row],[DUT Adj Read]]="N/A",IF(Table1[[#This Row],[Std Adj Read]]&lt;Table1[[#This Row],[High Tol]],"Pass","Fail"),IF(Table1[[#This Row],[DUT Adj Read]]&lt;Table1[[#This Row],[High Tol]],"Pass","Fail")))</f>
        <v>Fail</v>
      </c>
      <c r="AF524" s="1" t="str">
        <f>IF(AND(Table1[[#This Row],[Spec Type2]]="N/A",Table1[[#This Row],[DUT Adj Read]]="N/A",Table1[[#This Row],[Std Adj Read]]="N/A"),"N/A",IF(Table1[[#This Row],[DUT Adj Read]]="N/A",IF(Table1[[#This Row],[Std Adj Read]]&gt;=Table1[[#This Row],[Low Tol]],"Pass","Fail"),IF(Table1[[#This Row],[DUT Adj Read]]&gt;=Table1[[#This Row],[Low Tol]],"Pass","Fail")))</f>
        <v>Pass</v>
      </c>
      <c r="AG524" s="1" t="str">
        <f>IF(AND(Table1[[#This Row],[Spec Type2]]="N/A",Table1[[#This Row],[DUT Adj Read]]="N/A",Table1[[#This Row],[Std Adj Read]]="N/A"),"N/A",IF(Table1[[#This Row],[DUT Adj Read]]="N/A",IF(Table1[[#This Row],[Std Adj Read]]&lt;=Table1[[#This Row],[High Tol]],"Pass","Fail"),IF(Table1[[#This Row],[DUT Adj Read]]&lt;=Table1[[#This Row],[High Tol]],"Pass","Fail")))</f>
        <v>Fail</v>
      </c>
      <c r="AH5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4" s="1" t="b">
        <v>0</v>
      </c>
      <c r="AN524" s="1" t="b">
        <v>0</v>
      </c>
      <c r="AO524" s="1" t="b">
        <v>0</v>
      </c>
    </row>
    <row r="525" spans="1:41" x14ac:dyDescent="0.25">
      <c r="A525" s="10"/>
      <c r="B525" s="10"/>
      <c r="C525" s="10"/>
      <c r="D525" s="10"/>
      <c r="E525" s="10"/>
      <c r="F525" s="10"/>
      <c r="G525" s="10"/>
      <c r="H525" s="10"/>
      <c r="I525" s="1" t="str">
        <f t="shared" si="24"/>
        <v/>
      </c>
      <c r="J525" s="1" t="s">
        <v>35</v>
      </c>
      <c r="K525" s="1" t="str">
        <f t="shared" si="25"/>
        <v/>
      </c>
      <c r="L525" s="1" t="str">
        <f t="shared" si="26"/>
        <v/>
      </c>
      <c r="M525" s="1">
        <f>IF(OR(Table1[[#This Row],[Std Nom]]="",Table1[[#This Row],[Std Read]]=""),0,Table1[[#This Row],[Std Nom]]-Table1[[#This Row],[Std Read]])</f>
        <v>0</v>
      </c>
      <c r="N525" s="1">
        <f>IF(Calculations!$F$5="ACCREDITED 17025 WITH UNCERTAINTIES",$N$10,0)</f>
        <v>0</v>
      </c>
      <c r="Q525" s="1">
        <f>Table1[[#This Row],[High Tol]]-Table1[[#This Row],[Low Tol]]</f>
        <v>0</v>
      </c>
      <c r="R525" s="1">
        <f>2*Table1[[#This Row],[Std Error]]</f>
        <v>0</v>
      </c>
      <c r="S525" s="1" t="str">
        <f>IF(Table1[[#This Row],[High Tol]]="","N/A",IFERROR(ABS(Table1[[#This Row],[Tol Span]]/Table1[[#This Row],[Error Span]]),"N/A"))</f>
        <v>N/A</v>
      </c>
      <c r="T525" s="1" t="str">
        <f>IF(OR(Table1[[#This Row],[Low Tol]]="",Table1[[#This Row],[High Tol]]=""),"Needs Analysis",IF(Table1[[#This Row],[Ratio]]&gt;=4,"Not Significant",IF(Table1[[#This Row],[Ratio]]&gt;=2,"Semi-Significant","Significant")))</f>
        <v>Needs Analysis</v>
      </c>
      <c r="W525" s="1">
        <f>IF(Table1[[#This Row],[Cal Type]]&lt;&gt;"ACCREDITED 17025 WITH UNCERTAINTIES",0,"")</f>
        <v>0</v>
      </c>
      <c r="X525" s="1" t="str">
        <f>IF(Table1[[#This Row],[DUT Read]]="","N/A",Table1[[#This Row],[Std Error]]+Table1[[#This Row],[DUT Read]]+Table1[[#This Row],[DUT Ucty]])</f>
        <v>N/A</v>
      </c>
      <c r="Y525" s="1" t="str">
        <f>IF(Table1[[#This Row],[Std Read]]="","N/A",Table1[[#This Row],[Std Read]]+Table1[[#This Row],[Std Ucty]])</f>
        <v>N/A</v>
      </c>
      <c r="Z5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5" s="1" t="str">
        <f>IF(Table1[[#This Row],[Spec Type]]="","N/A",Table1[[#This Row],[Spec Type]])</f>
        <v>±</v>
      </c>
      <c r="AC525" s="1" t="str">
        <f>IF(Table1[[#This Row],[Spec Type2]]="N/A","N/A",IF(AND(Table1[[#This Row],[DUT Adj Read]]&gt;=Table1[[#This Row],[Low Tol]],Table1[[#This Row],[DUT Adj Read]]&lt;=Table1[[#This Row],[High Tol]]),"Pass","Fail"))</f>
        <v>Fail</v>
      </c>
      <c r="AD525" s="1" t="str">
        <f>IF(AND(Table1[[#This Row],[Spec Type2]]="N/A",Table1[[#This Row],[DUT Adj Read]]="N/A",Table1[[#This Row],[Std Adj Read]]="N/A"),"N/A",IF(Table1[[#This Row],[DUT Adj Read]]="N/A",IF(Table1[[#This Row],[Std Adj Read]]&gt;Table1[[#This Row],[Low Tol]],"Pass","Fail"),IF(Table1[[#This Row],[DUT Adj Read]]&gt;Table1[[#This Row],[Low Tol]],"Pass","Fail")))</f>
        <v>Pass</v>
      </c>
      <c r="AE525" s="1" t="str">
        <f>IF(AND(Table1[[#This Row],[Spec Type2]]="N/A",Table1[[#This Row],[DUT Adj Read]]="N/A",Table1[[#This Row],[Std Adj Read]]="N/A"),"N/A",IF(Table1[[#This Row],[DUT Adj Read]]="N/A",IF(Table1[[#This Row],[Std Adj Read]]&lt;Table1[[#This Row],[High Tol]],"Pass","Fail"),IF(Table1[[#This Row],[DUT Adj Read]]&lt;Table1[[#This Row],[High Tol]],"Pass","Fail")))</f>
        <v>Fail</v>
      </c>
      <c r="AF525" s="1" t="str">
        <f>IF(AND(Table1[[#This Row],[Spec Type2]]="N/A",Table1[[#This Row],[DUT Adj Read]]="N/A",Table1[[#This Row],[Std Adj Read]]="N/A"),"N/A",IF(Table1[[#This Row],[DUT Adj Read]]="N/A",IF(Table1[[#This Row],[Std Adj Read]]&gt;=Table1[[#This Row],[Low Tol]],"Pass","Fail"),IF(Table1[[#This Row],[DUT Adj Read]]&gt;=Table1[[#This Row],[Low Tol]],"Pass","Fail")))</f>
        <v>Pass</v>
      </c>
      <c r="AG525" s="1" t="str">
        <f>IF(AND(Table1[[#This Row],[Spec Type2]]="N/A",Table1[[#This Row],[DUT Adj Read]]="N/A",Table1[[#This Row],[Std Adj Read]]="N/A"),"N/A",IF(Table1[[#This Row],[DUT Adj Read]]="N/A",IF(Table1[[#This Row],[Std Adj Read]]&lt;=Table1[[#This Row],[High Tol]],"Pass","Fail"),IF(Table1[[#This Row],[DUT Adj Read]]&lt;=Table1[[#This Row],[High Tol]],"Pass","Fail")))</f>
        <v>Fail</v>
      </c>
      <c r="AH5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5" s="1" t="b">
        <v>0</v>
      </c>
      <c r="AN525" s="1" t="b">
        <v>0</v>
      </c>
      <c r="AO525" s="1" t="b">
        <v>0</v>
      </c>
    </row>
    <row r="526" spans="1:41" x14ac:dyDescent="0.25">
      <c r="A526" s="10"/>
      <c r="B526" s="10"/>
      <c r="C526" s="10"/>
      <c r="D526" s="10"/>
      <c r="E526" s="10"/>
      <c r="F526" s="10"/>
      <c r="G526" s="10"/>
      <c r="H526" s="10"/>
      <c r="I526" s="1" t="str">
        <f t="shared" si="24"/>
        <v/>
      </c>
      <c r="J526" s="1" t="s">
        <v>35</v>
      </c>
      <c r="K526" s="1" t="str">
        <f t="shared" si="25"/>
        <v/>
      </c>
      <c r="L526" s="1" t="str">
        <f t="shared" si="26"/>
        <v/>
      </c>
      <c r="M526" s="1">
        <f>IF(OR(Table1[[#This Row],[Std Nom]]="",Table1[[#This Row],[Std Read]]=""),0,Table1[[#This Row],[Std Nom]]-Table1[[#This Row],[Std Read]])</f>
        <v>0</v>
      </c>
      <c r="N526" s="1">
        <f>IF(Calculations!$F$5="ACCREDITED 17025 WITH UNCERTAINTIES",$N$10,0)</f>
        <v>0</v>
      </c>
      <c r="Q526" s="1">
        <f>Table1[[#This Row],[High Tol]]-Table1[[#This Row],[Low Tol]]</f>
        <v>0</v>
      </c>
      <c r="R526" s="1">
        <f>2*Table1[[#This Row],[Std Error]]</f>
        <v>0</v>
      </c>
      <c r="S526" s="1" t="str">
        <f>IF(Table1[[#This Row],[High Tol]]="","N/A",IFERROR(ABS(Table1[[#This Row],[Tol Span]]/Table1[[#This Row],[Error Span]]),"N/A"))</f>
        <v>N/A</v>
      </c>
      <c r="T526" s="1" t="str">
        <f>IF(OR(Table1[[#This Row],[Low Tol]]="",Table1[[#This Row],[High Tol]]=""),"Needs Analysis",IF(Table1[[#This Row],[Ratio]]&gt;=4,"Not Significant",IF(Table1[[#This Row],[Ratio]]&gt;=2,"Semi-Significant","Significant")))</f>
        <v>Needs Analysis</v>
      </c>
      <c r="W526" s="1">
        <f>IF(Table1[[#This Row],[Cal Type]]&lt;&gt;"ACCREDITED 17025 WITH UNCERTAINTIES",0,"")</f>
        <v>0</v>
      </c>
      <c r="X526" s="1" t="str">
        <f>IF(Table1[[#This Row],[DUT Read]]="","N/A",Table1[[#This Row],[Std Error]]+Table1[[#This Row],[DUT Read]]+Table1[[#This Row],[DUT Ucty]])</f>
        <v>N/A</v>
      </c>
      <c r="Y526" s="1" t="str">
        <f>IF(Table1[[#This Row],[Std Read]]="","N/A",Table1[[#This Row],[Std Read]]+Table1[[#This Row],[Std Ucty]])</f>
        <v>N/A</v>
      </c>
      <c r="Z5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6" s="1" t="str">
        <f>IF(Table1[[#This Row],[Spec Type]]="","N/A",Table1[[#This Row],[Spec Type]])</f>
        <v>±</v>
      </c>
      <c r="AC526" s="1" t="str">
        <f>IF(Table1[[#This Row],[Spec Type2]]="N/A","N/A",IF(AND(Table1[[#This Row],[DUT Adj Read]]&gt;=Table1[[#This Row],[Low Tol]],Table1[[#This Row],[DUT Adj Read]]&lt;=Table1[[#This Row],[High Tol]]),"Pass","Fail"))</f>
        <v>Fail</v>
      </c>
      <c r="AD526" s="1" t="str">
        <f>IF(AND(Table1[[#This Row],[Spec Type2]]="N/A",Table1[[#This Row],[DUT Adj Read]]="N/A",Table1[[#This Row],[Std Adj Read]]="N/A"),"N/A",IF(Table1[[#This Row],[DUT Adj Read]]="N/A",IF(Table1[[#This Row],[Std Adj Read]]&gt;Table1[[#This Row],[Low Tol]],"Pass","Fail"),IF(Table1[[#This Row],[DUT Adj Read]]&gt;Table1[[#This Row],[Low Tol]],"Pass","Fail")))</f>
        <v>Pass</v>
      </c>
      <c r="AE526" s="1" t="str">
        <f>IF(AND(Table1[[#This Row],[Spec Type2]]="N/A",Table1[[#This Row],[DUT Adj Read]]="N/A",Table1[[#This Row],[Std Adj Read]]="N/A"),"N/A",IF(Table1[[#This Row],[DUT Adj Read]]="N/A",IF(Table1[[#This Row],[Std Adj Read]]&lt;Table1[[#This Row],[High Tol]],"Pass","Fail"),IF(Table1[[#This Row],[DUT Adj Read]]&lt;Table1[[#This Row],[High Tol]],"Pass","Fail")))</f>
        <v>Fail</v>
      </c>
      <c r="AF526" s="1" t="str">
        <f>IF(AND(Table1[[#This Row],[Spec Type2]]="N/A",Table1[[#This Row],[DUT Adj Read]]="N/A",Table1[[#This Row],[Std Adj Read]]="N/A"),"N/A",IF(Table1[[#This Row],[DUT Adj Read]]="N/A",IF(Table1[[#This Row],[Std Adj Read]]&gt;=Table1[[#This Row],[Low Tol]],"Pass","Fail"),IF(Table1[[#This Row],[DUT Adj Read]]&gt;=Table1[[#This Row],[Low Tol]],"Pass","Fail")))</f>
        <v>Pass</v>
      </c>
      <c r="AG526" s="1" t="str">
        <f>IF(AND(Table1[[#This Row],[Spec Type2]]="N/A",Table1[[#This Row],[DUT Adj Read]]="N/A",Table1[[#This Row],[Std Adj Read]]="N/A"),"N/A",IF(Table1[[#This Row],[DUT Adj Read]]="N/A",IF(Table1[[#This Row],[Std Adj Read]]&lt;=Table1[[#This Row],[High Tol]],"Pass","Fail"),IF(Table1[[#This Row],[DUT Adj Read]]&lt;=Table1[[#This Row],[High Tol]],"Pass","Fail")))</f>
        <v>Fail</v>
      </c>
      <c r="AH5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6" s="1" t="b">
        <v>0</v>
      </c>
      <c r="AN526" s="1" t="b">
        <v>0</v>
      </c>
      <c r="AO526" s="1" t="b">
        <v>0</v>
      </c>
    </row>
    <row r="527" spans="1:41" x14ac:dyDescent="0.25">
      <c r="A527" s="10"/>
      <c r="B527" s="10"/>
      <c r="C527" s="10"/>
      <c r="D527" s="10"/>
      <c r="E527" s="10"/>
      <c r="F527" s="10"/>
      <c r="G527" s="10"/>
      <c r="H527" s="10"/>
      <c r="I527" s="1" t="str">
        <f t="shared" si="24"/>
        <v/>
      </c>
      <c r="J527" s="1" t="s">
        <v>35</v>
      </c>
      <c r="K527" s="1" t="str">
        <f t="shared" si="25"/>
        <v/>
      </c>
      <c r="L527" s="1" t="str">
        <f t="shared" si="26"/>
        <v/>
      </c>
      <c r="M527" s="1">
        <f>IF(OR(Table1[[#This Row],[Std Nom]]="",Table1[[#This Row],[Std Read]]=""),0,Table1[[#This Row],[Std Nom]]-Table1[[#This Row],[Std Read]])</f>
        <v>0</v>
      </c>
      <c r="N527" s="1">
        <f>IF(Calculations!$F$5="ACCREDITED 17025 WITH UNCERTAINTIES",$N$10,0)</f>
        <v>0</v>
      </c>
      <c r="Q527" s="1">
        <f>Table1[[#This Row],[High Tol]]-Table1[[#This Row],[Low Tol]]</f>
        <v>0</v>
      </c>
      <c r="R527" s="1">
        <f>2*Table1[[#This Row],[Std Error]]</f>
        <v>0</v>
      </c>
      <c r="S527" s="1" t="str">
        <f>IF(Table1[[#This Row],[High Tol]]="","N/A",IFERROR(ABS(Table1[[#This Row],[Tol Span]]/Table1[[#This Row],[Error Span]]),"N/A"))</f>
        <v>N/A</v>
      </c>
      <c r="T527" s="1" t="str">
        <f>IF(OR(Table1[[#This Row],[Low Tol]]="",Table1[[#This Row],[High Tol]]=""),"Needs Analysis",IF(Table1[[#This Row],[Ratio]]&gt;=4,"Not Significant",IF(Table1[[#This Row],[Ratio]]&gt;=2,"Semi-Significant","Significant")))</f>
        <v>Needs Analysis</v>
      </c>
      <c r="W527" s="1">
        <f>IF(Table1[[#This Row],[Cal Type]]&lt;&gt;"ACCREDITED 17025 WITH UNCERTAINTIES",0,"")</f>
        <v>0</v>
      </c>
      <c r="X527" s="1" t="str">
        <f>IF(Table1[[#This Row],[DUT Read]]="","N/A",Table1[[#This Row],[Std Error]]+Table1[[#This Row],[DUT Read]]+Table1[[#This Row],[DUT Ucty]])</f>
        <v>N/A</v>
      </c>
      <c r="Y527" s="1" t="str">
        <f>IF(Table1[[#This Row],[Std Read]]="","N/A",Table1[[#This Row],[Std Read]]+Table1[[#This Row],[Std Ucty]])</f>
        <v>N/A</v>
      </c>
      <c r="Z5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7" s="1" t="str">
        <f>IF(Table1[[#This Row],[Spec Type]]="","N/A",Table1[[#This Row],[Spec Type]])</f>
        <v>±</v>
      </c>
      <c r="AC527" s="1" t="str">
        <f>IF(Table1[[#This Row],[Spec Type2]]="N/A","N/A",IF(AND(Table1[[#This Row],[DUT Adj Read]]&gt;=Table1[[#This Row],[Low Tol]],Table1[[#This Row],[DUT Adj Read]]&lt;=Table1[[#This Row],[High Tol]]),"Pass","Fail"))</f>
        <v>Fail</v>
      </c>
      <c r="AD527" s="1" t="str">
        <f>IF(AND(Table1[[#This Row],[Spec Type2]]="N/A",Table1[[#This Row],[DUT Adj Read]]="N/A",Table1[[#This Row],[Std Adj Read]]="N/A"),"N/A",IF(Table1[[#This Row],[DUT Adj Read]]="N/A",IF(Table1[[#This Row],[Std Adj Read]]&gt;Table1[[#This Row],[Low Tol]],"Pass","Fail"),IF(Table1[[#This Row],[DUT Adj Read]]&gt;Table1[[#This Row],[Low Tol]],"Pass","Fail")))</f>
        <v>Pass</v>
      </c>
      <c r="AE527" s="1" t="str">
        <f>IF(AND(Table1[[#This Row],[Spec Type2]]="N/A",Table1[[#This Row],[DUT Adj Read]]="N/A",Table1[[#This Row],[Std Adj Read]]="N/A"),"N/A",IF(Table1[[#This Row],[DUT Adj Read]]="N/A",IF(Table1[[#This Row],[Std Adj Read]]&lt;Table1[[#This Row],[High Tol]],"Pass","Fail"),IF(Table1[[#This Row],[DUT Adj Read]]&lt;Table1[[#This Row],[High Tol]],"Pass","Fail")))</f>
        <v>Fail</v>
      </c>
      <c r="AF527" s="1" t="str">
        <f>IF(AND(Table1[[#This Row],[Spec Type2]]="N/A",Table1[[#This Row],[DUT Adj Read]]="N/A",Table1[[#This Row],[Std Adj Read]]="N/A"),"N/A",IF(Table1[[#This Row],[DUT Adj Read]]="N/A",IF(Table1[[#This Row],[Std Adj Read]]&gt;=Table1[[#This Row],[Low Tol]],"Pass","Fail"),IF(Table1[[#This Row],[DUT Adj Read]]&gt;=Table1[[#This Row],[Low Tol]],"Pass","Fail")))</f>
        <v>Pass</v>
      </c>
      <c r="AG527" s="1" t="str">
        <f>IF(AND(Table1[[#This Row],[Spec Type2]]="N/A",Table1[[#This Row],[DUT Adj Read]]="N/A",Table1[[#This Row],[Std Adj Read]]="N/A"),"N/A",IF(Table1[[#This Row],[DUT Adj Read]]="N/A",IF(Table1[[#This Row],[Std Adj Read]]&lt;=Table1[[#This Row],[High Tol]],"Pass","Fail"),IF(Table1[[#This Row],[DUT Adj Read]]&lt;=Table1[[#This Row],[High Tol]],"Pass","Fail")))</f>
        <v>Fail</v>
      </c>
      <c r="AH5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7" s="1" t="b">
        <v>0</v>
      </c>
      <c r="AN527" s="1" t="b">
        <v>0</v>
      </c>
      <c r="AO527" s="1" t="b">
        <v>0</v>
      </c>
    </row>
    <row r="528" spans="1:41" x14ac:dyDescent="0.25">
      <c r="A528" s="10"/>
      <c r="B528" s="10"/>
      <c r="C528" s="10"/>
      <c r="D528" s="10"/>
      <c r="E528" s="10"/>
      <c r="F528" s="10"/>
      <c r="G528" s="10"/>
      <c r="H528" s="10"/>
      <c r="I528" s="1" t="str">
        <f t="shared" si="24"/>
        <v/>
      </c>
      <c r="J528" s="1" t="s">
        <v>35</v>
      </c>
      <c r="K528" s="1" t="str">
        <f t="shared" si="25"/>
        <v/>
      </c>
      <c r="L528" s="1" t="str">
        <f t="shared" si="26"/>
        <v/>
      </c>
      <c r="M528" s="1">
        <f>IF(OR(Table1[[#This Row],[Std Nom]]="",Table1[[#This Row],[Std Read]]=""),0,Table1[[#This Row],[Std Nom]]-Table1[[#This Row],[Std Read]])</f>
        <v>0</v>
      </c>
      <c r="N528" s="1">
        <f>IF(Calculations!$F$5="ACCREDITED 17025 WITH UNCERTAINTIES",$N$10,0)</f>
        <v>0</v>
      </c>
      <c r="Q528" s="1">
        <f>Table1[[#This Row],[High Tol]]-Table1[[#This Row],[Low Tol]]</f>
        <v>0</v>
      </c>
      <c r="R528" s="1">
        <f>2*Table1[[#This Row],[Std Error]]</f>
        <v>0</v>
      </c>
      <c r="S528" s="1" t="str">
        <f>IF(Table1[[#This Row],[High Tol]]="","N/A",IFERROR(ABS(Table1[[#This Row],[Tol Span]]/Table1[[#This Row],[Error Span]]),"N/A"))</f>
        <v>N/A</v>
      </c>
      <c r="T528" s="1" t="str">
        <f>IF(OR(Table1[[#This Row],[Low Tol]]="",Table1[[#This Row],[High Tol]]=""),"Needs Analysis",IF(Table1[[#This Row],[Ratio]]&gt;=4,"Not Significant",IF(Table1[[#This Row],[Ratio]]&gt;=2,"Semi-Significant","Significant")))</f>
        <v>Needs Analysis</v>
      </c>
      <c r="W528" s="1">
        <f>IF(Table1[[#This Row],[Cal Type]]&lt;&gt;"ACCREDITED 17025 WITH UNCERTAINTIES",0,"")</f>
        <v>0</v>
      </c>
      <c r="X528" s="1" t="str">
        <f>IF(Table1[[#This Row],[DUT Read]]="","N/A",Table1[[#This Row],[Std Error]]+Table1[[#This Row],[DUT Read]]+Table1[[#This Row],[DUT Ucty]])</f>
        <v>N/A</v>
      </c>
      <c r="Y528" s="1" t="str">
        <f>IF(Table1[[#This Row],[Std Read]]="","N/A",Table1[[#This Row],[Std Read]]+Table1[[#This Row],[Std Ucty]])</f>
        <v>N/A</v>
      </c>
      <c r="Z5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8" s="1" t="str">
        <f>IF(Table1[[#This Row],[Spec Type]]="","N/A",Table1[[#This Row],[Spec Type]])</f>
        <v>±</v>
      </c>
      <c r="AC528" s="1" t="str">
        <f>IF(Table1[[#This Row],[Spec Type2]]="N/A","N/A",IF(AND(Table1[[#This Row],[DUT Adj Read]]&gt;=Table1[[#This Row],[Low Tol]],Table1[[#This Row],[DUT Adj Read]]&lt;=Table1[[#This Row],[High Tol]]),"Pass","Fail"))</f>
        <v>Fail</v>
      </c>
      <c r="AD528" s="1" t="str">
        <f>IF(AND(Table1[[#This Row],[Spec Type2]]="N/A",Table1[[#This Row],[DUT Adj Read]]="N/A",Table1[[#This Row],[Std Adj Read]]="N/A"),"N/A",IF(Table1[[#This Row],[DUT Adj Read]]="N/A",IF(Table1[[#This Row],[Std Adj Read]]&gt;Table1[[#This Row],[Low Tol]],"Pass","Fail"),IF(Table1[[#This Row],[DUT Adj Read]]&gt;Table1[[#This Row],[Low Tol]],"Pass","Fail")))</f>
        <v>Pass</v>
      </c>
      <c r="AE528" s="1" t="str">
        <f>IF(AND(Table1[[#This Row],[Spec Type2]]="N/A",Table1[[#This Row],[DUT Adj Read]]="N/A",Table1[[#This Row],[Std Adj Read]]="N/A"),"N/A",IF(Table1[[#This Row],[DUT Adj Read]]="N/A",IF(Table1[[#This Row],[Std Adj Read]]&lt;Table1[[#This Row],[High Tol]],"Pass","Fail"),IF(Table1[[#This Row],[DUT Adj Read]]&lt;Table1[[#This Row],[High Tol]],"Pass","Fail")))</f>
        <v>Fail</v>
      </c>
      <c r="AF528" s="1" t="str">
        <f>IF(AND(Table1[[#This Row],[Spec Type2]]="N/A",Table1[[#This Row],[DUT Adj Read]]="N/A",Table1[[#This Row],[Std Adj Read]]="N/A"),"N/A",IF(Table1[[#This Row],[DUT Adj Read]]="N/A",IF(Table1[[#This Row],[Std Adj Read]]&gt;=Table1[[#This Row],[Low Tol]],"Pass","Fail"),IF(Table1[[#This Row],[DUT Adj Read]]&gt;=Table1[[#This Row],[Low Tol]],"Pass","Fail")))</f>
        <v>Pass</v>
      </c>
      <c r="AG528" s="1" t="str">
        <f>IF(AND(Table1[[#This Row],[Spec Type2]]="N/A",Table1[[#This Row],[DUT Adj Read]]="N/A",Table1[[#This Row],[Std Adj Read]]="N/A"),"N/A",IF(Table1[[#This Row],[DUT Adj Read]]="N/A",IF(Table1[[#This Row],[Std Adj Read]]&lt;=Table1[[#This Row],[High Tol]],"Pass","Fail"),IF(Table1[[#This Row],[DUT Adj Read]]&lt;=Table1[[#This Row],[High Tol]],"Pass","Fail")))</f>
        <v>Fail</v>
      </c>
      <c r="AH5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8" s="1" t="b">
        <v>0</v>
      </c>
      <c r="AN528" s="1" t="b">
        <v>0</v>
      </c>
      <c r="AO528" s="1" t="b">
        <v>0</v>
      </c>
    </row>
    <row r="529" spans="1:41" x14ac:dyDescent="0.25">
      <c r="A529" s="10"/>
      <c r="B529" s="10"/>
      <c r="C529" s="10"/>
      <c r="D529" s="10"/>
      <c r="E529" s="10"/>
      <c r="F529" s="10"/>
      <c r="G529" s="10"/>
      <c r="H529" s="10"/>
      <c r="I529" s="1" t="str">
        <f t="shared" si="24"/>
        <v/>
      </c>
      <c r="J529" s="1" t="s">
        <v>35</v>
      </c>
      <c r="K529" s="1" t="str">
        <f t="shared" si="25"/>
        <v/>
      </c>
      <c r="L529" s="1" t="str">
        <f t="shared" si="26"/>
        <v/>
      </c>
      <c r="M529" s="1">
        <f>IF(OR(Table1[[#This Row],[Std Nom]]="",Table1[[#This Row],[Std Read]]=""),0,Table1[[#This Row],[Std Nom]]-Table1[[#This Row],[Std Read]])</f>
        <v>0</v>
      </c>
      <c r="N529" s="1">
        <f>IF(Calculations!$F$5="ACCREDITED 17025 WITH UNCERTAINTIES",$N$10,0)</f>
        <v>0</v>
      </c>
      <c r="Q529" s="1">
        <f>Table1[[#This Row],[High Tol]]-Table1[[#This Row],[Low Tol]]</f>
        <v>0</v>
      </c>
      <c r="R529" s="1">
        <f>2*Table1[[#This Row],[Std Error]]</f>
        <v>0</v>
      </c>
      <c r="S529" s="1" t="str">
        <f>IF(Table1[[#This Row],[High Tol]]="","N/A",IFERROR(ABS(Table1[[#This Row],[Tol Span]]/Table1[[#This Row],[Error Span]]),"N/A"))</f>
        <v>N/A</v>
      </c>
      <c r="T529" s="1" t="str">
        <f>IF(OR(Table1[[#This Row],[Low Tol]]="",Table1[[#This Row],[High Tol]]=""),"Needs Analysis",IF(Table1[[#This Row],[Ratio]]&gt;=4,"Not Significant",IF(Table1[[#This Row],[Ratio]]&gt;=2,"Semi-Significant","Significant")))</f>
        <v>Needs Analysis</v>
      </c>
      <c r="W529" s="1">
        <f>IF(Table1[[#This Row],[Cal Type]]&lt;&gt;"ACCREDITED 17025 WITH UNCERTAINTIES",0,"")</f>
        <v>0</v>
      </c>
      <c r="X529" s="1" t="str">
        <f>IF(Table1[[#This Row],[DUT Read]]="","N/A",Table1[[#This Row],[Std Error]]+Table1[[#This Row],[DUT Read]]+Table1[[#This Row],[DUT Ucty]])</f>
        <v>N/A</v>
      </c>
      <c r="Y529" s="1" t="str">
        <f>IF(Table1[[#This Row],[Std Read]]="","N/A",Table1[[#This Row],[Std Read]]+Table1[[#This Row],[Std Ucty]])</f>
        <v>N/A</v>
      </c>
      <c r="Z5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29" s="1" t="str">
        <f>IF(Table1[[#This Row],[Spec Type]]="","N/A",Table1[[#This Row],[Spec Type]])</f>
        <v>±</v>
      </c>
      <c r="AC529" s="1" t="str">
        <f>IF(Table1[[#This Row],[Spec Type2]]="N/A","N/A",IF(AND(Table1[[#This Row],[DUT Adj Read]]&gt;=Table1[[#This Row],[Low Tol]],Table1[[#This Row],[DUT Adj Read]]&lt;=Table1[[#This Row],[High Tol]]),"Pass","Fail"))</f>
        <v>Fail</v>
      </c>
      <c r="AD529" s="1" t="str">
        <f>IF(AND(Table1[[#This Row],[Spec Type2]]="N/A",Table1[[#This Row],[DUT Adj Read]]="N/A",Table1[[#This Row],[Std Adj Read]]="N/A"),"N/A",IF(Table1[[#This Row],[DUT Adj Read]]="N/A",IF(Table1[[#This Row],[Std Adj Read]]&gt;Table1[[#This Row],[Low Tol]],"Pass","Fail"),IF(Table1[[#This Row],[DUT Adj Read]]&gt;Table1[[#This Row],[Low Tol]],"Pass","Fail")))</f>
        <v>Pass</v>
      </c>
      <c r="AE529" s="1" t="str">
        <f>IF(AND(Table1[[#This Row],[Spec Type2]]="N/A",Table1[[#This Row],[DUT Adj Read]]="N/A",Table1[[#This Row],[Std Adj Read]]="N/A"),"N/A",IF(Table1[[#This Row],[DUT Adj Read]]="N/A",IF(Table1[[#This Row],[Std Adj Read]]&lt;Table1[[#This Row],[High Tol]],"Pass","Fail"),IF(Table1[[#This Row],[DUT Adj Read]]&lt;Table1[[#This Row],[High Tol]],"Pass","Fail")))</f>
        <v>Fail</v>
      </c>
      <c r="AF529" s="1" t="str">
        <f>IF(AND(Table1[[#This Row],[Spec Type2]]="N/A",Table1[[#This Row],[DUT Adj Read]]="N/A",Table1[[#This Row],[Std Adj Read]]="N/A"),"N/A",IF(Table1[[#This Row],[DUT Adj Read]]="N/A",IF(Table1[[#This Row],[Std Adj Read]]&gt;=Table1[[#This Row],[Low Tol]],"Pass","Fail"),IF(Table1[[#This Row],[DUT Adj Read]]&gt;=Table1[[#This Row],[Low Tol]],"Pass","Fail")))</f>
        <v>Pass</v>
      </c>
      <c r="AG529" s="1" t="str">
        <f>IF(AND(Table1[[#This Row],[Spec Type2]]="N/A",Table1[[#This Row],[DUT Adj Read]]="N/A",Table1[[#This Row],[Std Adj Read]]="N/A"),"N/A",IF(Table1[[#This Row],[DUT Adj Read]]="N/A",IF(Table1[[#This Row],[Std Adj Read]]&lt;=Table1[[#This Row],[High Tol]],"Pass","Fail"),IF(Table1[[#This Row],[DUT Adj Read]]&lt;=Table1[[#This Row],[High Tol]],"Pass","Fail")))</f>
        <v>Fail</v>
      </c>
      <c r="AH5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29" s="1" t="b">
        <v>0</v>
      </c>
      <c r="AN529" s="1" t="b">
        <v>0</v>
      </c>
      <c r="AO529" s="1" t="b">
        <v>0</v>
      </c>
    </row>
    <row r="530" spans="1:41" x14ac:dyDescent="0.25">
      <c r="A530" s="10"/>
      <c r="B530" s="10"/>
      <c r="C530" s="10"/>
      <c r="D530" s="10"/>
      <c r="E530" s="10"/>
      <c r="F530" s="10"/>
      <c r="G530" s="10"/>
      <c r="H530" s="10"/>
      <c r="I530" s="1" t="str">
        <f t="shared" si="24"/>
        <v/>
      </c>
      <c r="J530" s="1" t="s">
        <v>35</v>
      </c>
      <c r="K530" s="1" t="str">
        <f t="shared" si="25"/>
        <v/>
      </c>
      <c r="L530" s="1" t="str">
        <f t="shared" si="26"/>
        <v/>
      </c>
      <c r="M530" s="1">
        <f>IF(OR(Table1[[#This Row],[Std Nom]]="",Table1[[#This Row],[Std Read]]=""),0,Table1[[#This Row],[Std Nom]]-Table1[[#This Row],[Std Read]])</f>
        <v>0</v>
      </c>
      <c r="N530" s="1">
        <f>IF(Calculations!$F$5="ACCREDITED 17025 WITH UNCERTAINTIES",$N$10,0)</f>
        <v>0</v>
      </c>
      <c r="Q530" s="1">
        <f>Table1[[#This Row],[High Tol]]-Table1[[#This Row],[Low Tol]]</f>
        <v>0</v>
      </c>
      <c r="R530" s="1">
        <f>2*Table1[[#This Row],[Std Error]]</f>
        <v>0</v>
      </c>
      <c r="S530" s="1" t="str">
        <f>IF(Table1[[#This Row],[High Tol]]="","N/A",IFERROR(ABS(Table1[[#This Row],[Tol Span]]/Table1[[#This Row],[Error Span]]),"N/A"))</f>
        <v>N/A</v>
      </c>
      <c r="T530" s="1" t="str">
        <f>IF(OR(Table1[[#This Row],[Low Tol]]="",Table1[[#This Row],[High Tol]]=""),"Needs Analysis",IF(Table1[[#This Row],[Ratio]]&gt;=4,"Not Significant",IF(Table1[[#This Row],[Ratio]]&gt;=2,"Semi-Significant","Significant")))</f>
        <v>Needs Analysis</v>
      </c>
      <c r="W530" s="1">
        <f>IF(Table1[[#This Row],[Cal Type]]&lt;&gt;"ACCREDITED 17025 WITH UNCERTAINTIES",0,"")</f>
        <v>0</v>
      </c>
      <c r="X530" s="1" t="str">
        <f>IF(Table1[[#This Row],[DUT Read]]="","N/A",Table1[[#This Row],[Std Error]]+Table1[[#This Row],[DUT Read]]+Table1[[#This Row],[DUT Ucty]])</f>
        <v>N/A</v>
      </c>
      <c r="Y530" s="1" t="str">
        <f>IF(Table1[[#This Row],[Std Read]]="","N/A",Table1[[#This Row],[Std Read]]+Table1[[#This Row],[Std Ucty]])</f>
        <v>N/A</v>
      </c>
      <c r="Z5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0" s="1" t="str">
        <f>IF(Table1[[#This Row],[Spec Type]]="","N/A",Table1[[#This Row],[Spec Type]])</f>
        <v>±</v>
      </c>
      <c r="AC530" s="1" t="str">
        <f>IF(Table1[[#This Row],[Spec Type2]]="N/A","N/A",IF(AND(Table1[[#This Row],[DUT Adj Read]]&gt;=Table1[[#This Row],[Low Tol]],Table1[[#This Row],[DUT Adj Read]]&lt;=Table1[[#This Row],[High Tol]]),"Pass","Fail"))</f>
        <v>Fail</v>
      </c>
      <c r="AD530" s="1" t="str">
        <f>IF(AND(Table1[[#This Row],[Spec Type2]]="N/A",Table1[[#This Row],[DUT Adj Read]]="N/A",Table1[[#This Row],[Std Adj Read]]="N/A"),"N/A",IF(Table1[[#This Row],[DUT Adj Read]]="N/A",IF(Table1[[#This Row],[Std Adj Read]]&gt;Table1[[#This Row],[Low Tol]],"Pass","Fail"),IF(Table1[[#This Row],[DUT Adj Read]]&gt;Table1[[#This Row],[Low Tol]],"Pass","Fail")))</f>
        <v>Pass</v>
      </c>
      <c r="AE530" s="1" t="str">
        <f>IF(AND(Table1[[#This Row],[Spec Type2]]="N/A",Table1[[#This Row],[DUT Adj Read]]="N/A",Table1[[#This Row],[Std Adj Read]]="N/A"),"N/A",IF(Table1[[#This Row],[DUT Adj Read]]="N/A",IF(Table1[[#This Row],[Std Adj Read]]&lt;Table1[[#This Row],[High Tol]],"Pass","Fail"),IF(Table1[[#This Row],[DUT Adj Read]]&lt;Table1[[#This Row],[High Tol]],"Pass","Fail")))</f>
        <v>Fail</v>
      </c>
      <c r="AF530" s="1" t="str">
        <f>IF(AND(Table1[[#This Row],[Spec Type2]]="N/A",Table1[[#This Row],[DUT Adj Read]]="N/A",Table1[[#This Row],[Std Adj Read]]="N/A"),"N/A",IF(Table1[[#This Row],[DUT Adj Read]]="N/A",IF(Table1[[#This Row],[Std Adj Read]]&gt;=Table1[[#This Row],[Low Tol]],"Pass","Fail"),IF(Table1[[#This Row],[DUT Adj Read]]&gt;=Table1[[#This Row],[Low Tol]],"Pass","Fail")))</f>
        <v>Pass</v>
      </c>
      <c r="AG530" s="1" t="str">
        <f>IF(AND(Table1[[#This Row],[Spec Type2]]="N/A",Table1[[#This Row],[DUT Adj Read]]="N/A",Table1[[#This Row],[Std Adj Read]]="N/A"),"N/A",IF(Table1[[#This Row],[DUT Adj Read]]="N/A",IF(Table1[[#This Row],[Std Adj Read]]&lt;=Table1[[#This Row],[High Tol]],"Pass","Fail"),IF(Table1[[#This Row],[DUT Adj Read]]&lt;=Table1[[#This Row],[High Tol]],"Pass","Fail")))</f>
        <v>Fail</v>
      </c>
      <c r="AH5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0" s="1" t="b">
        <v>0</v>
      </c>
      <c r="AN530" s="1" t="b">
        <v>0</v>
      </c>
      <c r="AO530" s="1" t="b">
        <v>0</v>
      </c>
    </row>
    <row r="531" spans="1:41" x14ac:dyDescent="0.25">
      <c r="A531" s="10"/>
      <c r="B531" s="10"/>
      <c r="C531" s="10"/>
      <c r="D531" s="10"/>
      <c r="E531" s="10"/>
      <c r="F531" s="10"/>
      <c r="G531" s="10"/>
      <c r="H531" s="10"/>
      <c r="I531" s="1" t="str">
        <f t="shared" si="24"/>
        <v/>
      </c>
      <c r="J531" s="1" t="s">
        <v>35</v>
      </c>
      <c r="K531" s="1" t="str">
        <f t="shared" si="25"/>
        <v/>
      </c>
      <c r="L531" s="1" t="str">
        <f t="shared" si="26"/>
        <v/>
      </c>
      <c r="M531" s="1">
        <f>IF(OR(Table1[[#This Row],[Std Nom]]="",Table1[[#This Row],[Std Read]]=""),0,Table1[[#This Row],[Std Nom]]-Table1[[#This Row],[Std Read]])</f>
        <v>0</v>
      </c>
      <c r="N531" s="1">
        <f>IF(Calculations!$F$5="ACCREDITED 17025 WITH UNCERTAINTIES",$N$10,0)</f>
        <v>0</v>
      </c>
      <c r="Q531" s="1">
        <f>Table1[[#This Row],[High Tol]]-Table1[[#This Row],[Low Tol]]</f>
        <v>0</v>
      </c>
      <c r="R531" s="1">
        <f>2*Table1[[#This Row],[Std Error]]</f>
        <v>0</v>
      </c>
      <c r="S531" s="1" t="str">
        <f>IF(Table1[[#This Row],[High Tol]]="","N/A",IFERROR(ABS(Table1[[#This Row],[Tol Span]]/Table1[[#This Row],[Error Span]]),"N/A"))</f>
        <v>N/A</v>
      </c>
      <c r="T531" s="1" t="str">
        <f>IF(OR(Table1[[#This Row],[Low Tol]]="",Table1[[#This Row],[High Tol]]=""),"Needs Analysis",IF(Table1[[#This Row],[Ratio]]&gt;=4,"Not Significant",IF(Table1[[#This Row],[Ratio]]&gt;=2,"Semi-Significant","Significant")))</f>
        <v>Needs Analysis</v>
      </c>
      <c r="W531" s="1">
        <f>IF(Table1[[#This Row],[Cal Type]]&lt;&gt;"ACCREDITED 17025 WITH UNCERTAINTIES",0,"")</f>
        <v>0</v>
      </c>
      <c r="X531" s="1" t="str">
        <f>IF(Table1[[#This Row],[DUT Read]]="","N/A",Table1[[#This Row],[Std Error]]+Table1[[#This Row],[DUT Read]]+Table1[[#This Row],[DUT Ucty]])</f>
        <v>N/A</v>
      </c>
      <c r="Y531" s="1" t="str">
        <f>IF(Table1[[#This Row],[Std Read]]="","N/A",Table1[[#This Row],[Std Read]]+Table1[[#This Row],[Std Ucty]])</f>
        <v>N/A</v>
      </c>
      <c r="Z5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1" s="1" t="str">
        <f>IF(Table1[[#This Row],[Spec Type]]="","N/A",Table1[[#This Row],[Spec Type]])</f>
        <v>±</v>
      </c>
      <c r="AC531" s="1" t="str">
        <f>IF(Table1[[#This Row],[Spec Type2]]="N/A","N/A",IF(AND(Table1[[#This Row],[DUT Adj Read]]&gt;=Table1[[#This Row],[Low Tol]],Table1[[#This Row],[DUT Adj Read]]&lt;=Table1[[#This Row],[High Tol]]),"Pass","Fail"))</f>
        <v>Fail</v>
      </c>
      <c r="AD531" s="1" t="str">
        <f>IF(AND(Table1[[#This Row],[Spec Type2]]="N/A",Table1[[#This Row],[DUT Adj Read]]="N/A",Table1[[#This Row],[Std Adj Read]]="N/A"),"N/A",IF(Table1[[#This Row],[DUT Adj Read]]="N/A",IF(Table1[[#This Row],[Std Adj Read]]&gt;Table1[[#This Row],[Low Tol]],"Pass","Fail"),IF(Table1[[#This Row],[DUT Adj Read]]&gt;Table1[[#This Row],[Low Tol]],"Pass","Fail")))</f>
        <v>Pass</v>
      </c>
      <c r="AE531" s="1" t="str">
        <f>IF(AND(Table1[[#This Row],[Spec Type2]]="N/A",Table1[[#This Row],[DUT Adj Read]]="N/A",Table1[[#This Row],[Std Adj Read]]="N/A"),"N/A",IF(Table1[[#This Row],[DUT Adj Read]]="N/A",IF(Table1[[#This Row],[Std Adj Read]]&lt;Table1[[#This Row],[High Tol]],"Pass","Fail"),IF(Table1[[#This Row],[DUT Adj Read]]&lt;Table1[[#This Row],[High Tol]],"Pass","Fail")))</f>
        <v>Fail</v>
      </c>
      <c r="AF531" s="1" t="str">
        <f>IF(AND(Table1[[#This Row],[Spec Type2]]="N/A",Table1[[#This Row],[DUT Adj Read]]="N/A",Table1[[#This Row],[Std Adj Read]]="N/A"),"N/A",IF(Table1[[#This Row],[DUT Adj Read]]="N/A",IF(Table1[[#This Row],[Std Adj Read]]&gt;=Table1[[#This Row],[Low Tol]],"Pass","Fail"),IF(Table1[[#This Row],[DUT Adj Read]]&gt;=Table1[[#This Row],[Low Tol]],"Pass","Fail")))</f>
        <v>Pass</v>
      </c>
      <c r="AG531" s="1" t="str">
        <f>IF(AND(Table1[[#This Row],[Spec Type2]]="N/A",Table1[[#This Row],[DUT Adj Read]]="N/A",Table1[[#This Row],[Std Adj Read]]="N/A"),"N/A",IF(Table1[[#This Row],[DUT Adj Read]]="N/A",IF(Table1[[#This Row],[Std Adj Read]]&lt;=Table1[[#This Row],[High Tol]],"Pass","Fail"),IF(Table1[[#This Row],[DUT Adj Read]]&lt;=Table1[[#This Row],[High Tol]],"Pass","Fail")))</f>
        <v>Fail</v>
      </c>
      <c r="AH5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1" s="1" t="b">
        <v>0</v>
      </c>
      <c r="AN531" s="1" t="b">
        <v>0</v>
      </c>
      <c r="AO531" s="1" t="b">
        <v>0</v>
      </c>
    </row>
    <row r="532" spans="1:41" x14ac:dyDescent="0.25">
      <c r="A532" s="10"/>
      <c r="B532" s="10"/>
      <c r="C532" s="10"/>
      <c r="D532" s="10"/>
      <c r="E532" s="10"/>
      <c r="F532" s="10"/>
      <c r="G532" s="10"/>
      <c r="H532" s="10"/>
      <c r="I532" s="1" t="str">
        <f t="shared" si="24"/>
        <v/>
      </c>
      <c r="J532" s="1" t="s">
        <v>35</v>
      </c>
      <c r="K532" s="1" t="str">
        <f t="shared" si="25"/>
        <v/>
      </c>
      <c r="L532" s="1" t="str">
        <f t="shared" si="26"/>
        <v/>
      </c>
      <c r="M532" s="1">
        <f>IF(OR(Table1[[#This Row],[Std Nom]]="",Table1[[#This Row],[Std Read]]=""),0,Table1[[#This Row],[Std Nom]]-Table1[[#This Row],[Std Read]])</f>
        <v>0</v>
      </c>
      <c r="N532" s="1">
        <f>IF(Calculations!$F$5="ACCREDITED 17025 WITH UNCERTAINTIES",$N$10,0)</f>
        <v>0</v>
      </c>
      <c r="Q532" s="1">
        <f>Table1[[#This Row],[High Tol]]-Table1[[#This Row],[Low Tol]]</f>
        <v>0</v>
      </c>
      <c r="R532" s="1">
        <f>2*Table1[[#This Row],[Std Error]]</f>
        <v>0</v>
      </c>
      <c r="S532" s="1" t="str">
        <f>IF(Table1[[#This Row],[High Tol]]="","N/A",IFERROR(ABS(Table1[[#This Row],[Tol Span]]/Table1[[#This Row],[Error Span]]),"N/A"))</f>
        <v>N/A</v>
      </c>
      <c r="T532" s="1" t="str">
        <f>IF(OR(Table1[[#This Row],[Low Tol]]="",Table1[[#This Row],[High Tol]]=""),"Needs Analysis",IF(Table1[[#This Row],[Ratio]]&gt;=4,"Not Significant",IF(Table1[[#This Row],[Ratio]]&gt;=2,"Semi-Significant","Significant")))</f>
        <v>Needs Analysis</v>
      </c>
      <c r="W532" s="1">
        <f>IF(Table1[[#This Row],[Cal Type]]&lt;&gt;"ACCREDITED 17025 WITH UNCERTAINTIES",0,"")</f>
        <v>0</v>
      </c>
      <c r="X532" s="1" t="str">
        <f>IF(Table1[[#This Row],[DUT Read]]="","N/A",Table1[[#This Row],[Std Error]]+Table1[[#This Row],[DUT Read]]+Table1[[#This Row],[DUT Ucty]])</f>
        <v>N/A</v>
      </c>
      <c r="Y532" s="1" t="str">
        <f>IF(Table1[[#This Row],[Std Read]]="","N/A",Table1[[#This Row],[Std Read]]+Table1[[#This Row],[Std Ucty]])</f>
        <v>N/A</v>
      </c>
      <c r="Z5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2" s="1" t="str">
        <f>IF(Table1[[#This Row],[Spec Type]]="","N/A",Table1[[#This Row],[Spec Type]])</f>
        <v>±</v>
      </c>
      <c r="AC532" s="1" t="str">
        <f>IF(Table1[[#This Row],[Spec Type2]]="N/A","N/A",IF(AND(Table1[[#This Row],[DUT Adj Read]]&gt;=Table1[[#This Row],[Low Tol]],Table1[[#This Row],[DUT Adj Read]]&lt;=Table1[[#This Row],[High Tol]]),"Pass","Fail"))</f>
        <v>Fail</v>
      </c>
      <c r="AD532" s="1" t="str">
        <f>IF(AND(Table1[[#This Row],[Spec Type2]]="N/A",Table1[[#This Row],[DUT Adj Read]]="N/A",Table1[[#This Row],[Std Adj Read]]="N/A"),"N/A",IF(Table1[[#This Row],[DUT Adj Read]]="N/A",IF(Table1[[#This Row],[Std Adj Read]]&gt;Table1[[#This Row],[Low Tol]],"Pass","Fail"),IF(Table1[[#This Row],[DUT Adj Read]]&gt;Table1[[#This Row],[Low Tol]],"Pass","Fail")))</f>
        <v>Pass</v>
      </c>
      <c r="AE532" s="1" t="str">
        <f>IF(AND(Table1[[#This Row],[Spec Type2]]="N/A",Table1[[#This Row],[DUT Adj Read]]="N/A",Table1[[#This Row],[Std Adj Read]]="N/A"),"N/A",IF(Table1[[#This Row],[DUT Adj Read]]="N/A",IF(Table1[[#This Row],[Std Adj Read]]&lt;Table1[[#This Row],[High Tol]],"Pass","Fail"),IF(Table1[[#This Row],[DUT Adj Read]]&lt;Table1[[#This Row],[High Tol]],"Pass","Fail")))</f>
        <v>Fail</v>
      </c>
      <c r="AF532" s="1" t="str">
        <f>IF(AND(Table1[[#This Row],[Spec Type2]]="N/A",Table1[[#This Row],[DUT Adj Read]]="N/A",Table1[[#This Row],[Std Adj Read]]="N/A"),"N/A",IF(Table1[[#This Row],[DUT Adj Read]]="N/A",IF(Table1[[#This Row],[Std Adj Read]]&gt;=Table1[[#This Row],[Low Tol]],"Pass","Fail"),IF(Table1[[#This Row],[DUT Adj Read]]&gt;=Table1[[#This Row],[Low Tol]],"Pass","Fail")))</f>
        <v>Pass</v>
      </c>
      <c r="AG532" s="1" t="str">
        <f>IF(AND(Table1[[#This Row],[Spec Type2]]="N/A",Table1[[#This Row],[DUT Adj Read]]="N/A",Table1[[#This Row],[Std Adj Read]]="N/A"),"N/A",IF(Table1[[#This Row],[DUT Adj Read]]="N/A",IF(Table1[[#This Row],[Std Adj Read]]&lt;=Table1[[#This Row],[High Tol]],"Pass","Fail"),IF(Table1[[#This Row],[DUT Adj Read]]&lt;=Table1[[#This Row],[High Tol]],"Pass","Fail")))</f>
        <v>Fail</v>
      </c>
      <c r="AH5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2" s="1" t="b">
        <v>0</v>
      </c>
      <c r="AN532" s="1" t="b">
        <v>0</v>
      </c>
      <c r="AO532" s="1" t="b">
        <v>0</v>
      </c>
    </row>
    <row r="533" spans="1:41" x14ac:dyDescent="0.25">
      <c r="A533" s="10"/>
      <c r="B533" s="10"/>
      <c r="C533" s="10"/>
      <c r="D533" s="10"/>
      <c r="E533" s="10"/>
      <c r="F533" s="10"/>
      <c r="G533" s="10"/>
      <c r="H533" s="10"/>
      <c r="I533" s="1" t="str">
        <f t="shared" si="24"/>
        <v/>
      </c>
      <c r="J533" s="1" t="s">
        <v>35</v>
      </c>
      <c r="K533" s="1" t="str">
        <f t="shared" si="25"/>
        <v/>
      </c>
      <c r="L533" s="1" t="str">
        <f t="shared" si="26"/>
        <v/>
      </c>
      <c r="M533" s="1">
        <f>IF(OR(Table1[[#This Row],[Std Nom]]="",Table1[[#This Row],[Std Read]]=""),0,Table1[[#This Row],[Std Nom]]-Table1[[#This Row],[Std Read]])</f>
        <v>0</v>
      </c>
      <c r="N533" s="1">
        <f>IF(Calculations!$F$5="ACCREDITED 17025 WITH UNCERTAINTIES",$N$10,0)</f>
        <v>0</v>
      </c>
      <c r="Q533" s="1">
        <f>Table1[[#This Row],[High Tol]]-Table1[[#This Row],[Low Tol]]</f>
        <v>0</v>
      </c>
      <c r="R533" s="1">
        <f>2*Table1[[#This Row],[Std Error]]</f>
        <v>0</v>
      </c>
      <c r="S533" s="1" t="str">
        <f>IF(Table1[[#This Row],[High Tol]]="","N/A",IFERROR(ABS(Table1[[#This Row],[Tol Span]]/Table1[[#This Row],[Error Span]]),"N/A"))</f>
        <v>N/A</v>
      </c>
      <c r="T533" s="1" t="str">
        <f>IF(OR(Table1[[#This Row],[Low Tol]]="",Table1[[#This Row],[High Tol]]=""),"Needs Analysis",IF(Table1[[#This Row],[Ratio]]&gt;=4,"Not Significant",IF(Table1[[#This Row],[Ratio]]&gt;=2,"Semi-Significant","Significant")))</f>
        <v>Needs Analysis</v>
      </c>
      <c r="W533" s="1">
        <f>IF(Table1[[#This Row],[Cal Type]]&lt;&gt;"ACCREDITED 17025 WITH UNCERTAINTIES",0,"")</f>
        <v>0</v>
      </c>
      <c r="X533" s="1" t="str">
        <f>IF(Table1[[#This Row],[DUT Read]]="","N/A",Table1[[#This Row],[Std Error]]+Table1[[#This Row],[DUT Read]]+Table1[[#This Row],[DUT Ucty]])</f>
        <v>N/A</v>
      </c>
      <c r="Y533" s="1" t="str">
        <f>IF(Table1[[#This Row],[Std Read]]="","N/A",Table1[[#This Row],[Std Read]]+Table1[[#This Row],[Std Ucty]])</f>
        <v>N/A</v>
      </c>
      <c r="Z5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3" s="1" t="str">
        <f>IF(Table1[[#This Row],[Spec Type]]="","N/A",Table1[[#This Row],[Spec Type]])</f>
        <v>±</v>
      </c>
      <c r="AC533" s="1" t="str">
        <f>IF(Table1[[#This Row],[Spec Type2]]="N/A","N/A",IF(AND(Table1[[#This Row],[DUT Adj Read]]&gt;=Table1[[#This Row],[Low Tol]],Table1[[#This Row],[DUT Adj Read]]&lt;=Table1[[#This Row],[High Tol]]),"Pass","Fail"))</f>
        <v>Fail</v>
      </c>
      <c r="AD533" s="1" t="str">
        <f>IF(AND(Table1[[#This Row],[Spec Type2]]="N/A",Table1[[#This Row],[DUT Adj Read]]="N/A",Table1[[#This Row],[Std Adj Read]]="N/A"),"N/A",IF(Table1[[#This Row],[DUT Adj Read]]="N/A",IF(Table1[[#This Row],[Std Adj Read]]&gt;Table1[[#This Row],[Low Tol]],"Pass","Fail"),IF(Table1[[#This Row],[DUT Adj Read]]&gt;Table1[[#This Row],[Low Tol]],"Pass","Fail")))</f>
        <v>Pass</v>
      </c>
      <c r="AE533" s="1" t="str">
        <f>IF(AND(Table1[[#This Row],[Spec Type2]]="N/A",Table1[[#This Row],[DUT Adj Read]]="N/A",Table1[[#This Row],[Std Adj Read]]="N/A"),"N/A",IF(Table1[[#This Row],[DUT Adj Read]]="N/A",IF(Table1[[#This Row],[Std Adj Read]]&lt;Table1[[#This Row],[High Tol]],"Pass","Fail"),IF(Table1[[#This Row],[DUT Adj Read]]&lt;Table1[[#This Row],[High Tol]],"Pass","Fail")))</f>
        <v>Fail</v>
      </c>
      <c r="AF533" s="1" t="str">
        <f>IF(AND(Table1[[#This Row],[Spec Type2]]="N/A",Table1[[#This Row],[DUT Adj Read]]="N/A",Table1[[#This Row],[Std Adj Read]]="N/A"),"N/A",IF(Table1[[#This Row],[DUT Adj Read]]="N/A",IF(Table1[[#This Row],[Std Adj Read]]&gt;=Table1[[#This Row],[Low Tol]],"Pass","Fail"),IF(Table1[[#This Row],[DUT Adj Read]]&gt;=Table1[[#This Row],[Low Tol]],"Pass","Fail")))</f>
        <v>Pass</v>
      </c>
      <c r="AG533" s="1" t="str">
        <f>IF(AND(Table1[[#This Row],[Spec Type2]]="N/A",Table1[[#This Row],[DUT Adj Read]]="N/A",Table1[[#This Row],[Std Adj Read]]="N/A"),"N/A",IF(Table1[[#This Row],[DUT Adj Read]]="N/A",IF(Table1[[#This Row],[Std Adj Read]]&lt;=Table1[[#This Row],[High Tol]],"Pass","Fail"),IF(Table1[[#This Row],[DUT Adj Read]]&lt;=Table1[[#This Row],[High Tol]],"Pass","Fail")))</f>
        <v>Fail</v>
      </c>
      <c r="AH5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3" s="1" t="b">
        <v>0</v>
      </c>
      <c r="AN533" s="1" t="b">
        <v>0</v>
      </c>
      <c r="AO533" s="1" t="b">
        <v>0</v>
      </c>
    </row>
    <row r="534" spans="1:41" x14ac:dyDescent="0.25">
      <c r="A534" s="10"/>
      <c r="B534" s="10"/>
      <c r="C534" s="10"/>
      <c r="D534" s="10"/>
      <c r="E534" s="10"/>
      <c r="F534" s="10"/>
      <c r="G534" s="10"/>
      <c r="H534" s="10"/>
      <c r="I534" s="1" t="str">
        <f t="shared" si="24"/>
        <v/>
      </c>
      <c r="J534" s="1" t="s">
        <v>35</v>
      </c>
      <c r="K534" s="1" t="str">
        <f t="shared" si="25"/>
        <v/>
      </c>
      <c r="L534" s="1" t="str">
        <f t="shared" si="26"/>
        <v/>
      </c>
      <c r="M534" s="1">
        <f>IF(OR(Table1[[#This Row],[Std Nom]]="",Table1[[#This Row],[Std Read]]=""),0,Table1[[#This Row],[Std Nom]]-Table1[[#This Row],[Std Read]])</f>
        <v>0</v>
      </c>
      <c r="N534" s="1">
        <f>IF(Calculations!$F$5="ACCREDITED 17025 WITH UNCERTAINTIES",$N$10,0)</f>
        <v>0</v>
      </c>
      <c r="Q534" s="1">
        <f>Table1[[#This Row],[High Tol]]-Table1[[#This Row],[Low Tol]]</f>
        <v>0</v>
      </c>
      <c r="R534" s="1">
        <f>2*Table1[[#This Row],[Std Error]]</f>
        <v>0</v>
      </c>
      <c r="S534" s="1" t="str">
        <f>IF(Table1[[#This Row],[High Tol]]="","N/A",IFERROR(ABS(Table1[[#This Row],[Tol Span]]/Table1[[#This Row],[Error Span]]),"N/A"))</f>
        <v>N/A</v>
      </c>
      <c r="T534" s="1" t="str">
        <f>IF(OR(Table1[[#This Row],[Low Tol]]="",Table1[[#This Row],[High Tol]]=""),"Needs Analysis",IF(Table1[[#This Row],[Ratio]]&gt;=4,"Not Significant",IF(Table1[[#This Row],[Ratio]]&gt;=2,"Semi-Significant","Significant")))</f>
        <v>Needs Analysis</v>
      </c>
      <c r="W534" s="1">
        <f>IF(Table1[[#This Row],[Cal Type]]&lt;&gt;"ACCREDITED 17025 WITH UNCERTAINTIES",0,"")</f>
        <v>0</v>
      </c>
      <c r="X534" s="1" t="str">
        <f>IF(Table1[[#This Row],[DUT Read]]="","N/A",Table1[[#This Row],[Std Error]]+Table1[[#This Row],[DUT Read]]+Table1[[#This Row],[DUT Ucty]])</f>
        <v>N/A</v>
      </c>
      <c r="Y534" s="1" t="str">
        <f>IF(Table1[[#This Row],[Std Read]]="","N/A",Table1[[#This Row],[Std Read]]+Table1[[#This Row],[Std Ucty]])</f>
        <v>N/A</v>
      </c>
      <c r="Z5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4" s="1" t="str">
        <f>IF(Table1[[#This Row],[Spec Type]]="","N/A",Table1[[#This Row],[Spec Type]])</f>
        <v>±</v>
      </c>
      <c r="AC534" s="1" t="str">
        <f>IF(Table1[[#This Row],[Spec Type2]]="N/A","N/A",IF(AND(Table1[[#This Row],[DUT Adj Read]]&gt;=Table1[[#This Row],[Low Tol]],Table1[[#This Row],[DUT Adj Read]]&lt;=Table1[[#This Row],[High Tol]]),"Pass","Fail"))</f>
        <v>Fail</v>
      </c>
      <c r="AD534" s="1" t="str">
        <f>IF(AND(Table1[[#This Row],[Spec Type2]]="N/A",Table1[[#This Row],[DUT Adj Read]]="N/A",Table1[[#This Row],[Std Adj Read]]="N/A"),"N/A",IF(Table1[[#This Row],[DUT Adj Read]]="N/A",IF(Table1[[#This Row],[Std Adj Read]]&gt;Table1[[#This Row],[Low Tol]],"Pass","Fail"),IF(Table1[[#This Row],[DUT Adj Read]]&gt;Table1[[#This Row],[Low Tol]],"Pass","Fail")))</f>
        <v>Pass</v>
      </c>
      <c r="AE534" s="1" t="str">
        <f>IF(AND(Table1[[#This Row],[Spec Type2]]="N/A",Table1[[#This Row],[DUT Adj Read]]="N/A",Table1[[#This Row],[Std Adj Read]]="N/A"),"N/A",IF(Table1[[#This Row],[DUT Adj Read]]="N/A",IF(Table1[[#This Row],[Std Adj Read]]&lt;Table1[[#This Row],[High Tol]],"Pass","Fail"),IF(Table1[[#This Row],[DUT Adj Read]]&lt;Table1[[#This Row],[High Tol]],"Pass","Fail")))</f>
        <v>Fail</v>
      </c>
      <c r="AF534" s="1" t="str">
        <f>IF(AND(Table1[[#This Row],[Spec Type2]]="N/A",Table1[[#This Row],[DUT Adj Read]]="N/A",Table1[[#This Row],[Std Adj Read]]="N/A"),"N/A",IF(Table1[[#This Row],[DUT Adj Read]]="N/A",IF(Table1[[#This Row],[Std Adj Read]]&gt;=Table1[[#This Row],[Low Tol]],"Pass","Fail"),IF(Table1[[#This Row],[DUT Adj Read]]&gt;=Table1[[#This Row],[Low Tol]],"Pass","Fail")))</f>
        <v>Pass</v>
      </c>
      <c r="AG534" s="1" t="str">
        <f>IF(AND(Table1[[#This Row],[Spec Type2]]="N/A",Table1[[#This Row],[DUT Adj Read]]="N/A",Table1[[#This Row],[Std Adj Read]]="N/A"),"N/A",IF(Table1[[#This Row],[DUT Adj Read]]="N/A",IF(Table1[[#This Row],[Std Adj Read]]&lt;=Table1[[#This Row],[High Tol]],"Pass","Fail"),IF(Table1[[#This Row],[DUT Adj Read]]&lt;=Table1[[#This Row],[High Tol]],"Pass","Fail")))</f>
        <v>Fail</v>
      </c>
      <c r="AH5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4" s="1" t="b">
        <v>0</v>
      </c>
      <c r="AN534" s="1" t="b">
        <v>0</v>
      </c>
      <c r="AO534" s="1" t="b">
        <v>0</v>
      </c>
    </row>
    <row r="535" spans="1:41" x14ac:dyDescent="0.25">
      <c r="A535" s="10"/>
      <c r="B535" s="10"/>
      <c r="C535" s="10"/>
      <c r="D535" s="10"/>
      <c r="E535" s="10"/>
      <c r="F535" s="10"/>
      <c r="G535" s="10"/>
      <c r="H535" s="10"/>
      <c r="I535" s="1" t="str">
        <f t="shared" si="24"/>
        <v/>
      </c>
      <c r="J535" s="1" t="s">
        <v>35</v>
      </c>
      <c r="K535" s="1" t="str">
        <f t="shared" si="25"/>
        <v/>
      </c>
      <c r="L535" s="1" t="str">
        <f t="shared" si="26"/>
        <v/>
      </c>
      <c r="M535" s="1">
        <f>IF(OR(Table1[[#This Row],[Std Nom]]="",Table1[[#This Row],[Std Read]]=""),0,Table1[[#This Row],[Std Nom]]-Table1[[#This Row],[Std Read]])</f>
        <v>0</v>
      </c>
      <c r="N535" s="1">
        <f>IF(Calculations!$F$5="ACCREDITED 17025 WITH UNCERTAINTIES",$N$10,0)</f>
        <v>0</v>
      </c>
      <c r="Q535" s="1">
        <f>Table1[[#This Row],[High Tol]]-Table1[[#This Row],[Low Tol]]</f>
        <v>0</v>
      </c>
      <c r="R535" s="1">
        <f>2*Table1[[#This Row],[Std Error]]</f>
        <v>0</v>
      </c>
      <c r="S535" s="1" t="str">
        <f>IF(Table1[[#This Row],[High Tol]]="","N/A",IFERROR(ABS(Table1[[#This Row],[Tol Span]]/Table1[[#This Row],[Error Span]]),"N/A"))</f>
        <v>N/A</v>
      </c>
      <c r="T535" s="1" t="str">
        <f>IF(OR(Table1[[#This Row],[Low Tol]]="",Table1[[#This Row],[High Tol]]=""),"Needs Analysis",IF(Table1[[#This Row],[Ratio]]&gt;=4,"Not Significant",IF(Table1[[#This Row],[Ratio]]&gt;=2,"Semi-Significant","Significant")))</f>
        <v>Needs Analysis</v>
      </c>
      <c r="W535" s="1">
        <f>IF(Table1[[#This Row],[Cal Type]]&lt;&gt;"ACCREDITED 17025 WITH UNCERTAINTIES",0,"")</f>
        <v>0</v>
      </c>
      <c r="X535" s="1" t="str">
        <f>IF(Table1[[#This Row],[DUT Read]]="","N/A",Table1[[#This Row],[Std Error]]+Table1[[#This Row],[DUT Read]]+Table1[[#This Row],[DUT Ucty]])</f>
        <v>N/A</v>
      </c>
      <c r="Y535" s="1" t="str">
        <f>IF(Table1[[#This Row],[Std Read]]="","N/A",Table1[[#This Row],[Std Read]]+Table1[[#This Row],[Std Ucty]])</f>
        <v>N/A</v>
      </c>
      <c r="Z5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5" s="1" t="str">
        <f>IF(Table1[[#This Row],[Spec Type]]="","N/A",Table1[[#This Row],[Spec Type]])</f>
        <v>±</v>
      </c>
      <c r="AC535" s="1" t="str">
        <f>IF(Table1[[#This Row],[Spec Type2]]="N/A","N/A",IF(AND(Table1[[#This Row],[DUT Adj Read]]&gt;=Table1[[#This Row],[Low Tol]],Table1[[#This Row],[DUT Adj Read]]&lt;=Table1[[#This Row],[High Tol]]),"Pass","Fail"))</f>
        <v>Fail</v>
      </c>
      <c r="AD535" s="1" t="str">
        <f>IF(AND(Table1[[#This Row],[Spec Type2]]="N/A",Table1[[#This Row],[DUT Adj Read]]="N/A",Table1[[#This Row],[Std Adj Read]]="N/A"),"N/A",IF(Table1[[#This Row],[DUT Adj Read]]="N/A",IF(Table1[[#This Row],[Std Adj Read]]&gt;Table1[[#This Row],[Low Tol]],"Pass","Fail"),IF(Table1[[#This Row],[DUT Adj Read]]&gt;Table1[[#This Row],[Low Tol]],"Pass","Fail")))</f>
        <v>Pass</v>
      </c>
      <c r="AE535" s="1" t="str">
        <f>IF(AND(Table1[[#This Row],[Spec Type2]]="N/A",Table1[[#This Row],[DUT Adj Read]]="N/A",Table1[[#This Row],[Std Adj Read]]="N/A"),"N/A",IF(Table1[[#This Row],[DUT Adj Read]]="N/A",IF(Table1[[#This Row],[Std Adj Read]]&lt;Table1[[#This Row],[High Tol]],"Pass","Fail"),IF(Table1[[#This Row],[DUT Adj Read]]&lt;Table1[[#This Row],[High Tol]],"Pass","Fail")))</f>
        <v>Fail</v>
      </c>
      <c r="AF535" s="1" t="str">
        <f>IF(AND(Table1[[#This Row],[Spec Type2]]="N/A",Table1[[#This Row],[DUT Adj Read]]="N/A",Table1[[#This Row],[Std Adj Read]]="N/A"),"N/A",IF(Table1[[#This Row],[DUT Adj Read]]="N/A",IF(Table1[[#This Row],[Std Adj Read]]&gt;=Table1[[#This Row],[Low Tol]],"Pass","Fail"),IF(Table1[[#This Row],[DUT Adj Read]]&gt;=Table1[[#This Row],[Low Tol]],"Pass","Fail")))</f>
        <v>Pass</v>
      </c>
      <c r="AG535" s="1" t="str">
        <f>IF(AND(Table1[[#This Row],[Spec Type2]]="N/A",Table1[[#This Row],[DUT Adj Read]]="N/A",Table1[[#This Row],[Std Adj Read]]="N/A"),"N/A",IF(Table1[[#This Row],[DUT Adj Read]]="N/A",IF(Table1[[#This Row],[Std Adj Read]]&lt;=Table1[[#This Row],[High Tol]],"Pass","Fail"),IF(Table1[[#This Row],[DUT Adj Read]]&lt;=Table1[[#This Row],[High Tol]],"Pass","Fail")))</f>
        <v>Fail</v>
      </c>
      <c r="AH5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5" s="1" t="b">
        <v>0</v>
      </c>
      <c r="AN535" s="1" t="b">
        <v>0</v>
      </c>
      <c r="AO535" s="1" t="b">
        <v>0</v>
      </c>
    </row>
    <row r="536" spans="1:41" x14ac:dyDescent="0.25">
      <c r="A536" s="10"/>
      <c r="B536" s="10"/>
      <c r="C536" s="10"/>
      <c r="D536" s="10"/>
      <c r="E536" s="10"/>
      <c r="F536" s="10"/>
      <c r="G536" s="10"/>
      <c r="H536" s="10"/>
      <c r="I536" s="1" t="str">
        <f t="shared" si="24"/>
        <v/>
      </c>
      <c r="J536" s="1" t="s">
        <v>35</v>
      </c>
      <c r="K536" s="1" t="str">
        <f t="shared" si="25"/>
        <v/>
      </c>
      <c r="L536" s="1" t="str">
        <f t="shared" si="26"/>
        <v/>
      </c>
      <c r="M536" s="1">
        <f>IF(OR(Table1[[#This Row],[Std Nom]]="",Table1[[#This Row],[Std Read]]=""),0,Table1[[#This Row],[Std Nom]]-Table1[[#This Row],[Std Read]])</f>
        <v>0</v>
      </c>
      <c r="N536" s="1">
        <f>IF(Calculations!$F$5="ACCREDITED 17025 WITH UNCERTAINTIES",$N$10,0)</f>
        <v>0</v>
      </c>
      <c r="Q536" s="1">
        <f>Table1[[#This Row],[High Tol]]-Table1[[#This Row],[Low Tol]]</f>
        <v>0</v>
      </c>
      <c r="R536" s="1">
        <f>2*Table1[[#This Row],[Std Error]]</f>
        <v>0</v>
      </c>
      <c r="S536" s="1" t="str">
        <f>IF(Table1[[#This Row],[High Tol]]="","N/A",IFERROR(ABS(Table1[[#This Row],[Tol Span]]/Table1[[#This Row],[Error Span]]),"N/A"))</f>
        <v>N/A</v>
      </c>
      <c r="T536" s="1" t="str">
        <f>IF(OR(Table1[[#This Row],[Low Tol]]="",Table1[[#This Row],[High Tol]]=""),"Needs Analysis",IF(Table1[[#This Row],[Ratio]]&gt;=4,"Not Significant",IF(Table1[[#This Row],[Ratio]]&gt;=2,"Semi-Significant","Significant")))</f>
        <v>Needs Analysis</v>
      </c>
      <c r="W536" s="1">
        <f>IF(Table1[[#This Row],[Cal Type]]&lt;&gt;"ACCREDITED 17025 WITH UNCERTAINTIES",0,"")</f>
        <v>0</v>
      </c>
      <c r="X536" s="1" t="str">
        <f>IF(Table1[[#This Row],[DUT Read]]="","N/A",Table1[[#This Row],[Std Error]]+Table1[[#This Row],[DUT Read]]+Table1[[#This Row],[DUT Ucty]])</f>
        <v>N/A</v>
      </c>
      <c r="Y536" s="1" t="str">
        <f>IF(Table1[[#This Row],[Std Read]]="","N/A",Table1[[#This Row],[Std Read]]+Table1[[#This Row],[Std Ucty]])</f>
        <v>N/A</v>
      </c>
      <c r="Z5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6" s="1" t="str">
        <f>IF(Table1[[#This Row],[Spec Type]]="","N/A",Table1[[#This Row],[Spec Type]])</f>
        <v>±</v>
      </c>
      <c r="AC536" s="1" t="str">
        <f>IF(Table1[[#This Row],[Spec Type2]]="N/A","N/A",IF(AND(Table1[[#This Row],[DUT Adj Read]]&gt;=Table1[[#This Row],[Low Tol]],Table1[[#This Row],[DUT Adj Read]]&lt;=Table1[[#This Row],[High Tol]]),"Pass","Fail"))</f>
        <v>Fail</v>
      </c>
      <c r="AD536" s="1" t="str">
        <f>IF(AND(Table1[[#This Row],[Spec Type2]]="N/A",Table1[[#This Row],[DUT Adj Read]]="N/A",Table1[[#This Row],[Std Adj Read]]="N/A"),"N/A",IF(Table1[[#This Row],[DUT Adj Read]]="N/A",IF(Table1[[#This Row],[Std Adj Read]]&gt;Table1[[#This Row],[Low Tol]],"Pass","Fail"),IF(Table1[[#This Row],[DUT Adj Read]]&gt;Table1[[#This Row],[Low Tol]],"Pass","Fail")))</f>
        <v>Pass</v>
      </c>
      <c r="AE536" s="1" t="str">
        <f>IF(AND(Table1[[#This Row],[Spec Type2]]="N/A",Table1[[#This Row],[DUT Adj Read]]="N/A",Table1[[#This Row],[Std Adj Read]]="N/A"),"N/A",IF(Table1[[#This Row],[DUT Adj Read]]="N/A",IF(Table1[[#This Row],[Std Adj Read]]&lt;Table1[[#This Row],[High Tol]],"Pass","Fail"),IF(Table1[[#This Row],[DUT Adj Read]]&lt;Table1[[#This Row],[High Tol]],"Pass","Fail")))</f>
        <v>Fail</v>
      </c>
      <c r="AF536" s="1" t="str">
        <f>IF(AND(Table1[[#This Row],[Spec Type2]]="N/A",Table1[[#This Row],[DUT Adj Read]]="N/A",Table1[[#This Row],[Std Adj Read]]="N/A"),"N/A",IF(Table1[[#This Row],[DUT Adj Read]]="N/A",IF(Table1[[#This Row],[Std Adj Read]]&gt;=Table1[[#This Row],[Low Tol]],"Pass","Fail"),IF(Table1[[#This Row],[DUT Adj Read]]&gt;=Table1[[#This Row],[Low Tol]],"Pass","Fail")))</f>
        <v>Pass</v>
      </c>
      <c r="AG536" s="1" t="str">
        <f>IF(AND(Table1[[#This Row],[Spec Type2]]="N/A",Table1[[#This Row],[DUT Adj Read]]="N/A",Table1[[#This Row],[Std Adj Read]]="N/A"),"N/A",IF(Table1[[#This Row],[DUT Adj Read]]="N/A",IF(Table1[[#This Row],[Std Adj Read]]&lt;=Table1[[#This Row],[High Tol]],"Pass","Fail"),IF(Table1[[#This Row],[DUT Adj Read]]&lt;=Table1[[#This Row],[High Tol]],"Pass","Fail")))</f>
        <v>Fail</v>
      </c>
      <c r="AH5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6" s="1" t="b">
        <v>0</v>
      </c>
      <c r="AN536" s="1" t="b">
        <v>0</v>
      </c>
      <c r="AO536" s="1" t="b">
        <v>0</v>
      </c>
    </row>
    <row r="537" spans="1:41" x14ac:dyDescent="0.25">
      <c r="A537" s="10"/>
      <c r="B537" s="10"/>
      <c r="C537" s="10"/>
      <c r="D537" s="10"/>
      <c r="E537" s="10"/>
      <c r="F537" s="10"/>
      <c r="G537" s="10"/>
      <c r="H537" s="10"/>
      <c r="I537" s="1" t="str">
        <f t="shared" si="24"/>
        <v/>
      </c>
      <c r="J537" s="1" t="s">
        <v>35</v>
      </c>
      <c r="K537" s="1" t="str">
        <f t="shared" si="25"/>
        <v/>
      </c>
      <c r="L537" s="1" t="str">
        <f t="shared" si="26"/>
        <v/>
      </c>
      <c r="M537" s="1">
        <f>IF(OR(Table1[[#This Row],[Std Nom]]="",Table1[[#This Row],[Std Read]]=""),0,Table1[[#This Row],[Std Nom]]-Table1[[#This Row],[Std Read]])</f>
        <v>0</v>
      </c>
      <c r="N537" s="1">
        <f>IF(Calculations!$F$5="ACCREDITED 17025 WITH UNCERTAINTIES",$N$10,0)</f>
        <v>0</v>
      </c>
      <c r="Q537" s="1">
        <f>Table1[[#This Row],[High Tol]]-Table1[[#This Row],[Low Tol]]</f>
        <v>0</v>
      </c>
      <c r="R537" s="1">
        <f>2*Table1[[#This Row],[Std Error]]</f>
        <v>0</v>
      </c>
      <c r="S537" s="1" t="str">
        <f>IF(Table1[[#This Row],[High Tol]]="","N/A",IFERROR(ABS(Table1[[#This Row],[Tol Span]]/Table1[[#This Row],[Error Span]]),"N/A"))</f>
        <v>N/A</v>
      </c>
      <c r="T537" s="1" t="str">
        <f>IF(OR(Table1[[#This Row],[Low Tol]]="",Table1[[#This Row],[High Tol]]=""),"Needs Analysis",IF(Table1[[#This Row],[Ratio]]&gt;=4,"Not Significant",IF(Table1[[#This Row],[Ratio]]&gt;=2,"Semi-Significant","Significant")))</f>
        <v>Needs Analysis</v>
      </c>
      <c r="W537" s="1">
        <f>IF(Table1[[#This Row],[Cal Type]]&lt;&gt;"ACCREDITED 17025 WITH UNCERTAINTIES",0,"")</f>
        <v>0</v>
      </c>
      <c r="X537" s="1" t="str">
        <f>IF(Table1[[#This Row],[DUT Read]]="","N/A",Table1[[#This Row],[Std Error]]+Table1[[#This Row],[DUT Read]]+Table1[[#This Row],[DUT Ucty]])</f>
        <v>N/A</v>
      </c>
      <c r="Y537" s="1" t="str">
        <f>IF(Table1[[#This Row],[Std Read]]="","N/A",Table1[[#This Row],[Std Read]]+Table1[[#This Row],[Std Ucty]])</f>
        <v>N/A</v>
      </c>
      <c r="Z5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7" s="1" t="str">
        <f>IF(Table1[[#This Row],[Spec Type]]="","N/A",Table1[[#This Row],[Spec Type]])</f>
        <v>±</v>
      </c>
      <c r="AC537" s="1" t="str">
        <f>IF(Table1[[#This Row],[Spec Type2]]="N/A","N/A",IF(AND(Table1[[#This Row],[DUT Adj Read]]&gt;=Table1[[#This Row],[Low Tol]],Table1[[#This Row],[DUT Adj Read]]&lt;=Table1[[#This Row],[High Tol]]),"Pass","Fail"))</f>
        <v>Fail</v>
      </c>
      <c r="AD537" s="1" t="str">
        <f>IF(AND(Table1[[#This Row],[Spec Type2]]="N/A",Table1[[#This Row],[DUT Adj Read]]="N/A",Table1[[#This Row],[Std Adj Read]]="N/A"),"N/A",IF(Table1[[#This Row],[DUT Adj Read]]="N/A",IF(Table1[[#This Row],[Std Adj Read]]&gt;Table1[[#This Row],[Low Tol]],"Pass","Fail"),IF(Table1[[#This Row],[DUT Adj Read]]&gt;Table1[[#This Row],[Low Tol]],"Pass","Fail")))</f>
        <v>Pass</v>
      </c>
      <c r="AE537" s="1" t="str">
        <f>IF(AND(Table1[[#This Row],[Spec Type2]]="N/A",Table1[[#This Row],[DUT Adj Read]]="N/A",Table1[[#This Row],[Std Adj Read]]="N/A"),"N/A",IF(Table1[[#This Row],[DUT Adj Read]]="N/A",IF(Table1[[#This Row],[Std Adj Read]]&lt;Table1[[#This Row],[High Tol]],"Pass","Fail"),IF(Table1[[#This Row],[DUT Adj Read]]&lt;Table1[[#This Row],[High Tol]],"Pass","Fail")))</f>
        <v>Fail</v>
      </c>
      <c r="AF537" s="1" t="str">
        <f>IF(AND(Table1[[#This Row],[Spec Type2]]="N/A",Table1[[#This Row],[DUT Adj Read]]="N/A",Table1[[#This Row],[Std Adj Read]]="N/A"),"N/A",IF(Table1[[#This Row],[DUT Adj Read]]="N/A",IF(Table1[[#This Row],[Std Adj Read]]&gt;=Table1[[#This Row],[Low Tol]],"Pass","Fail"),IF(Table1[[#This Row],[DUT Adj Read]]&gt;=Table1[[#This Row],[Low Tol]],"Pass","Fail")))</f>
        <v>Pass</v>
      </c>
      <c r="AG537" s="1" t="str">
        <f>IF(AND(Table1[[#This Row],[Spec Type2]]="N/A",Table1[[#This Row],[DUT Adj Read]]="N/A",Table1[[#This Row],[Std Adj Read]]="N/A"),"N/A",IF(Table1[[#This Row],[DUT Adj Read]]="N/A",IF(Table1[[#This Row],[Std Adj Read]]&lt;=Table1[[#This Row],[High Tol]],"Pass","Fail"),IF(Table1[[#This Row],[DUT Adj Read]]&lt;=Table1[[#This Row],[High Tol]],"Pass","Fail")))</f>
        <v>Fail</v>
      </c>
      <c r="AH5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7" s="1" t="b">
        <v>0</v>
      </c>
      <c r="AN537" s="1" t="b">
        <v>0</v>
      </c>
      <c r="AO537" s="1" t="b">
        <v>0</v>
      </c>
    </row>
    <row r="538" spans="1:41" x14ac:dyDescent="0.25">
      <c r="A538" s="10"/>
      <c r="B538" s="10"/>
      <c r="C538" s="10"/>
      <c r="D538" s="10"/>
      <c r="E538" s="10"/>
      <c r="F538" s="10"/>
      <c r="G538" s="10"/>
      <c r="H538" s="10"/>
      <c r="I538" s="1" t="str">
        <f t="shared" si="24"/>
        <v/>
      </c>
      <c r="J538" s="1" t="s">
        <v>35</v>
      </c>
      <c r="K538" s="1" t="str">
        <f t="shared" si="25"/>
        <v/>
      </c>
      <c r="L538" s="1" t="str">
        <f t="shared" si="26"/>
        <v/>
      </c>
      <c r="M538" s="1">
        <f>IF(OR(Table1[[#This Row],[Std Nom]]="",Table1[[#This Row],[Std Read]]=""),0,Table1[[#This Row],[Std Nom]]-Table1[[#This Row],[Std Read]])</f>
        <v>0</v>
      </c>
      <c r="N538" s="1">
        <f>IF(Calculations!$F$5="ACCREDITED 17025 WITH UNCERTAINTIES",$N$10,0)</f>
        <v>0</v>
      </c>
      <c r="Q538" s="1">
        <f>Table1[[#This Row],[High Tol]]-Table1[[#This Row],[Low Tol]]</f>
        <v>0</v>
      </c>
      <c r="R538" s="1">
        <f>2*Table1[[#This Row],[Std Error]]</f>
        <v>0</v>
      </c>
      <c r="S538" s="1" t="str">
        <f>IF(Table1[[#This Row],[High Tol]]="","N/A",IFERROR(ABS(Table1[[#This Row],[Tol Span]]/Table1[[#This Row],[Error Span]]),"N/A"))</f>
        <v>N/A</v>
      </c>
      <c r="T538" s="1" t="str">
        <f>IF(OR(Table1[[#This Row],[Low Tol]]="",Table1[[#This Row],[High Tol]]=""),"Needs Analysis",IF(Table1[[#This Row],[Ratio]]&gt;=4,"Not Significant",IF(Table1[[#This Row],[Ratio]]&gt;=2,"Semi-Significant","Significant")))</f>
        <v>Needs Analysis</v>
      </c>
      <c r="W538" s="1">
        <f>IF(Table1[[#This Row],[Cal Type]]&lt;&gt;"ACCREDITED 17025 WITH UNCERTAINTIES",0,"")</f>
        <v>0</v>
      </c>
      <c r="X538" s="1" t="str">
        <f>IF(Table1[[#This Row],[DUT Read]]="","N/A",Table1[[#This Row],[Std Error]]+Table1[[#This Row],[DUT Read]]+Table1[[#This Row],[DUT Ucty]])</f>
        <v>N/A</v>
      </c>
      <c r="Y538" s="1" t="str">
        <f>IF(Table1[[#This Row],[Std Read]]="","N/A",Table1[[#This Row],[Std Read]]+Table1[[#This Row],[Std Ucty]])</f>
        <v>N/A</v>
      </c>
      <c r="Z5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8" s="1" t="str">
        <f>IF(Table1[[#This Row],[Spec Type]]="","N/A",Table1[[#This Row],[Spec Type]])</f>
        <v>±</v>
      </c>
      <c r="AC538" s="1" t="str">
        <f>IF(Table1[[#This Row],[Spec Type2]]="N/A","N/A",IF(AND(Table1[[#This Row],[DUT Adj Read]]&gt;=Table1[[#This Row],[Low Tol]],Table1[[#This Row],[DUT Adj Read]]&lt;=Table1[[#This Row],[High Tol]]),"Pass","Fail"))</f>
        <v>Fail</v>
      </c>
      <c r="AD538" s="1" t="str">
        <f>IF(AND(Table1[[#This Row],[Spec Type2]]="N/A",Table1[[#This Row],[DUT Adj Read]]="N/A",Table1[[#This Row],[Std Adj Read]]="N/A"),"N/A",IF(Table1[[#This Row],[DUT Adj Read]]="N/A",IF(Table1[[#This Row],[Std Adj Read]]&gt;Table1[[#This Row],[Low Tol]],"Pass","Fail"),IF(Table1[[#This Row],[DUT Adj Read]]&gt;Table1[[#This Row],[Low Tol]],"Pass","Fail")))</f>
        <v>Pass</v>
      </c>
      <c r="AE538" s="1" t="str">
        <f>IF(AND(Table1[[#This Row],[Spec Type2]]="N/A",Table1[[#This Row],[DUT Adj Read]]="N/A",Table1[[#This Row],[Std Adj Read]]="N/A"),"N/A",IF(Table1[[#This Row],[DUT Adj Read]]="N/A",IF(Table1[[#This Row],[Std Adj Read]]&lt;Table1[[#This Row],[High Tol]],"Pass","Fail"),IF(Table1[[#This Row],[DUT Adj Read]]&lt;Table1[[#This Row],[High Tol]],"Pass","Fail")))</f>
        <v>Fail</v>
      </c>
      <c r="AF538" s="1" t="str">
        <f>IF(AND(Table1[[#This Row],[Spec Type2]]="N/A",Table1[[#This Row],[DUT Adj Read]]="N/A",Table1[[#This Row],[Std Adj Read]]="N/A"),"N/A",IF(Table1[[#This Row],[DUT Adj Read]]="N/A",IF(Table1[[#This Row],[Std Adj Read]]&gt;=Table1[[#This Row],[Low Tol]],"Pass","Fail"),IF(Table1[[#This Row],[DUT Adj Read]]&gt;=Table1[[#This Row],[Low Tol]],"Pass","Fail")))</f>
        <v>Pass</v>
      </c>
      <c r="AG538" s="1" t="str">
        <f>IF(AND(Table1[[#This Row],[Spec Type2]]="N/A",Table1[[#This Row],[DUT Adj Read]]="N/A",Table1[[#This Row],[Std Adj Read]]="N/A"),"N/A",IF(Table1[[#This Row],[DUT Adj Read]]="N/A",IF(Table1[[#This Row],[Std Adj Read]]&lt;=Table1[[#This Row],[High Tol]],"Pass","Fail"),IF(Table1[[#This Row],[DUT Adj Read]]&lt;=Table1[[#This Row],[High Tol]],"Pass","Fail")))</f>
        <v>Fail</v>
      </c>
      <c r="AH5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8" s="1" t="b">
        <v>0</v>
      </c>
      <c r="AN538" s="1" t="b">
        <v>0</v>
      </c>
      <c r="AO538" s="1" t="b">
        <v>0</v>
      </c>
    </row>
    <row r="539" spans="1:41" x14ac:dyDescent="0.25">
      <c r="A539" s="10"/>
      <c r="B539" s="10"/>
      <c r="C539" s="10"/>
      <c r="D539" s="10"/>
      <c r="E539" s="10"/>
      <c r="F539" s="10"/>
      <c r="G539" s="10"/>
      <c r="H539" s="10"/>
      <c r="I539" s="1" t="str">
        <f t="shared" si="24"/>
        <v/>
      </c>
      <c r="J539" s="1" t="s">
        <v>35</v>
      </c>
      <c r="K539" s="1" t="str">
        <f t="shared" si="25"/>
        <v/>
      </c>
      <c r="L539" s="1" t="str">
        <f t="shared" si="26"/>
        <v/>
      </c>
      <c r="M539" s="1">
        <f>IF(OR(Table1[[#This Row],[Std Nom]]="",Table1[[#This Row],[Std Read]]=""),0,Table1[[#This Row],[Std Nom]]-Table1[[#This Row],[Std Read]])</f>
        <v>0</v>
      </c>
      <c r="N539" s="1">
        <f>IF(Calculations!$F$5="ACCREDITED 17025 WITH UNCERTAINTIES",$N$10,0)</f>
        <v>0</v>
      </c>
      <c r="Q539" s="1">
        <f>Table1[[#This Row],[High Tol]]-Table1[[#This Row],[Low Tol]]</f>
        <v>0</v>
      </c>
      <c r="R539" s="1">
        <f>2*Table1[[#This Row],[Std Error]]</f>
        <v>0</v>
      </c>
      <c r="S539" s="1" t="str">
        <f>IF(Table1[[#This Row],[High Tol]]="","N/A",IFERROR(ABS(Table1[[#This Row],[Tol Span]]/Table1[[#This Row],[Error Span]]),"N/A"))</f>
        <v>N/A</v>
      </c>
      <c r="T539" s="1" t="str">
        <f>IF(OR(Table1[[#This Row],[Low Tol]]="",Table1[[#This Row],[High Tol]]=""),"Needs Analysis",IF(Table1[[#This Row],[Ratio]]&gt;=4,"Not Significant",IF(Table1[[#This Row],[Ratio]]&gt;=2,"Semi-Significant","Significant")))</f>
        <v>Needs Analysis</v>
      </c>
      <c r="W539" s="1">
        <f>IF(Table1[[#This Row],[Cal Type]]&lt;&gt;"ACCREDITED 17025 WITH UNCERTAINTIES",0,"")</f>
        <v>0</v>
      </c>
      <c r="X539" s="1" t="str">
        <f>IF(Table1[[#This Row],[DUT Read]]="","N/A",Table1[[#This Row],[Std Error]]+Table1[[#This Row],[DUT Read]]+Table1[[#This Row],[DUT Ucty]])</f>
        <v>N/A</v>
      </c>
      <c r="Y539" s="1" t="str">
        <f>IF(Table1[[#This Row],[Std Read]]="","N/A",Table1[[#This Row],[Std Read]]+Table1[[#This Row],[Std Ucty]])</f>
        <v>N/A</v>
      </c>
      <c r="Z5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39" s="1" t="str">
        <f>IF(Table1[[#This Row],[Spec Type]]="","N/A",Table1[[#This Row],[Spec Type]])</f>
        <v>±</v>
      </c>
      <c r="AC539" s="1" t="str">
        <f>IF(Table1[[#This Row],[Spec Type2]]="N/A","N/A",IF(AND(Table1[[#This Row],[DUT Adj Read]]&gt;=Table1[[#This Row],[Low Tol]],Table1[[#This Row],[DUT Adj Read]]&lt;=Table1[[#This Row],[High Tol]]),"Pass","Fail"))</f>
        <v>Fail</v>
      </c>
      <c r="AD539" s="1" t="str">
        <f>IF(AND(Table1[[#This Row],[Spec Type2]]="N/A",Table1[[#This Row],[DUT Adj Read]]="N/A",Table1[[#This Row],[Std Adj Read]]="N/A"),"N/A",IF(Table1[[#This Row],[DUT Adj Read]]="N/A",IF(Table1[[#This Row],[Std Adj Read]]&gt;Table1[[#This Row],[Low Tol]],"Pass","Fail"),IF(Table1[[#This Row],[DUT Adj Read]]&gt;Table1[[#This Row],[Low Tol]],"Pass","Fail")))</f>
        <v>Pass</v>
      </c>
      <c r="AE539" s="1" t="str">
        <f>IF(AND(Table1[[#This Row],[Spec Type2]]="N/A",Table1[[#This Row],[DUT Adj Read]]="N/A",Table1[[#This Row],[Std Adj Read]]="N/A"),"N/A",IF(Table1[[#This Row],[DUT Adj Read]]="N/A",IF(Table1[[#This Row],[Std Adj Read]]&lt;Table1[[#This Row],[High Tol]],"Pass","Fail"),IF(Table1[[#This Row],[DUT Adj Read]]&lt;Table1[[#This Row],[High Tol]],"Pass","Fail")))</f>
        <v>Fail</v>
      </c>
      <c r="AF539" s="1" t="str">
        <f>IF(AND(Table1[[#This Row],[Spec Type2]]="N/A",Table1[[#This Row],[DUT Adj Read]]="N/A",Table1[[#This Row],[Std Adj Read]]="N/A"),"N/A",IF(Table1[[#This Row],[DUT Adj Read]]="N/A",IF(Table1[[#This Row],[Std Adj Read]]&gt;=Table1[[#This Row],[Low Tol]],"Pass","Fail"),IF(Table1[[#This Row],[DUT Adj Read]]&gt;=Table1[[#This Row],[Low Tol]],"Pass","Fail")))</f>
        <v>Pass</v>
      </c>
      <c r="AG539" s="1" t="str">
        <f>IF(AND(Table1[[#This Row],[Spec Type2]]="N/A",Table1[[#This Row],[DUT Adj Read]]="N/A",Table1[[#This Row],[Std Adj Read]]="N/A"),"N/A",IF(Table1[[#This Row],[DUT Adj Read]]="N/A",IF(Table1[[#This Row],[Std Adj Read]]&lt;=Table1[[#This Row],[High Tol]],"Pass","Fail"),IF(Table1[[#This Row],[DUT Adj Read]]&lt;=Table1[[#This Row],[High Tol]],"Pass","Fail")))</f>
        <v>Fail</v>
      </c>
      <c r="AH5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39" s="1" t="b">
        <v>0</v>
      </c>
      <c r="AN539" s="1" t="b">
        <v>0</v>
      </c>
      <c r="AO539" s="1" t="b">
        <v>0</v>
      </c>
    </row>
    <row r="540" spans="1:41" x14ac:dyDescent="0.25">
      <c r="A540" s="10"/>
      <c r="B540" s="10"/>
      <c r="C540" s="10"/>
      <c r="D540" s="10"/>
      <c r="E540" s="10"/>
      <c r="F540" s="10"/>
      <c r="G540" s="10"/>
      <c r="H540" s="10"/>
      <c r="I540" s="1" t="str">
        <f t="shared" si="24"/>
        <v/>
      </c>
      <c r="J540" s="1" t="s">
        <v>35</v>
      </c>
      <c r="K540" s="1" t="str">
        <f t="shared" si="25"/>
        <v/>
      </c>
      <c r="L540" s="1" t="str">
        <f t="shared" si="26"/>
        <v/>
      </c>
      <c r="M540" s="1">
        <f>IF(OR(Table1[[#This Row],[Std Nom]]="",Table1[[#This Row],[Std Read]]=""),0,Table1[[#This Row],[Std Nom]]-Table1[[#This Row],[Std Read]])</f>
        <v>0</v>
      </c>
      <c r="N540" s="1">
        <f>IF(Calculations!$F$5="ACCREDITED 17025 WITH UNCERTAINTIES",$N$10,0)</f>
        <v>0</v>
      </c>
      <c r="Q540" s="1">
        <f>Table1[[#This Row],[High Tol]]-Table1[[#This Row],[Low Tol]]</f>
        <v>0</v>
      </c>
      <c r="R540" s="1">
        <f>2*Table1[[#This Row],[Std Error]]</f>
        <v>0</v>
      </c>
      <c r="S540" s="1" t="str">
        <f>IF(Table1[[#This Row],[High Tol]]="","N/A",IFERROR(ABS(Table1[[#This Row],[Tol Span]]/Table1[[#This Row],[Error Span]]),"N/A"))</f>
        <v>N/A</v>
      </c>
      <c r="T540" s="1" t="str">
        <f>IF(OR(Table1[[#This Row],[Low Tol]]="",Table1[[#This Row],[High Tol]]=""),"Needs Analysis",IF(Table1[[#This Row],[Ratio]]&gt;=4,"Not Significant",IF(Table1[[#This Row],[Ratio]]&gt;=2,"Semi-Significant","Significant")))</f>
        <v>Needs Analysis</v>
      </c>
      <c r="W540" s="1">
        <f>IF(Table1[[#This Row],[Cal Type]]&lt;&gt;"ACCREDITED 17025 WITH UNCERTAINTIES",0,"")</f>
        <v>0</v>
      </c>
      <c r="X540" s="1" t="str">
        <f>IF(Table1[[#This Row],[DUT Read]]="","N/A",Table1[[#This Row],[Std Error]]+Table1[[#This Row],[DUT Read]]+Table1[[#This Row],[DUT Ucty]])</f>
        <v>N/A</v>
      </c>
      <c r="Y540" s="1" t="str">
        <f>IF(Table1[[#This Row],[Std Read]]="","N/A",Table1[[#This Row],[Std Read]]+Table1[[#This Row],[Std Ucty]])</f>
        <v>N/A</v>
      </c>
      <c r="Z5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0" s="1" t="str">
        <f>IF(Table1[[#This Row],[Spec Type]]="","N/A",Table1[[#This Row],[Spec Type]])</f>
        <v>±</v>
      </c>
      <c r="AC540" s="1" t="str">
        <f>IF(Table1[[#This Row],[Spec Type2]]="N/A","N/A",IF(AND(Table1[[#This Row],[DUT Adj Read]]&gt;=Table1[[#This Row],[Low Tol]],Table1[[#This Row],[DUT Adj Read]]&lt;=Table1[[#This Row],[High Tol]]),"Pass","Fail"))</f>
        <v>Fail</v>
      </c>
      <c r="AD540" s="1" t="str">
        <f>IF(AND(Table1[[#This Row],[Spec Type2]]="N/A",Table1[[#This Row],[DUT Adj Read]]="N/A",Table1[[#This Row],[Std Adj Read]]="N/A"),"N/A",IF(Table1[[#This Row],[DUT Adj Read]]="N/A",IF(Table1[[#This Row],[Std Adj Read]]&gt;Table1[[#This Row],[Low Tol]],"Pass","Fail"),IF(Table1[[#This Row],[DUT Adj Read]]&gt;Table1[[#This Row],[Low Tol]],"Pass","Fail")))</f>
        <v>Pass</v>
      </c>
      <c r="AE540" s="1" t="str">
        <f>IF(AND(Table1[[#This Row],[Spec Type2]]="N/A",Table1[[#This Row],[DUT Adj Read]]="N/A",Table1[[#This Row],[Std Adj Read]]="N/A"),"N/A",IF(Table1[[#This Row],[DUT Adj Read]]="N/A",IF(Table1[[#This Row],[Std Adj Read]]&lt;Table1[[#This Row],[High Tol]],"Pass","Fail"),IF(Table1[[#This Row],[DUT Adj Read]]&lt;Table1[[#This Row],[High Tol]],"Pass","Fail")))</f>
        <v>Fail</v>
      </c>
      <c r="AF540" s="1" t="str">
        <f>IF(AND(Table1[[#This Row],[Spec Type2]]="N/A",Table1[[#This Row],[DUT Adj Read]]="N/A",Table1[[#This Row],[Std Adj Read]]="N/A"),"N/A",IF(Table1[[#This Row],[DUT Adj Read]]="N/A",IF(Table1[[#This Row],[Std Adj Read]]&gt;=Table1[[#This Row],[Low Tol]],"Pass","Fail"),IF(Table1[[#This Row],[DUT Adj Read]]&gt;=Table1[[#This Row],[Low Tol]],"Pass","Fail")))</f>
        <v>Pass</v>
      </c>
      <c r="AG540" s="1" t="str">
        <f>IF(AND(Table1[[#This Row],[Spec Type2]]="N/A",Table1[[#This Row],[DUT Adj Read]]="N/A",Table1[[#This Row],[Std Adj Read]]="N/A"),"N/A",IF(Table1[[#This Row],[DUT Adj Read]]="N/A",IF(Table1[[#This Row],[Std Adj Read]]&lt;=Table1[[#This Row],[High Tol]],"Pass","Fail"),IF(Table1[[#This Row],[DUT Adj Read]]&lt;=Table1[[#This Row],[High Tol]],"Pass","Fail")))</f>
        <v>Fail</v>
      </c>
      <c r="AH5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0" s="1" t="b">
        <v>0</v>
      </c>
      <c r="AN540" s="1" t="b">
        <v>0</v>
      </c>
      <c r="AO540" s="1" t="b">
        <v>0</v>
      </c>
    </row>
    <row r="541" spans="1:41" x14ac:dyDescent="0.25">
      <c r="A541" s="10"/>
      <c r="B541" s="10"/>
      <c r="C541" s="10"/>
      <c r="D541" s="10"/>
      <c r="E541" s="10"/>
      <c r="F541" s="10"/>
      <c r="G541" s="10"/>
      <c r="H541" s="10"/>
      <c r="I541" s="1" t="str">
        <f t="shared" si="24"/>
        <v/>
      </c>
      <c r="J541" s="1" t="s">
        <v>35</v>
      </c>
      <c r="K541" s="1" t="str">
        <f t="shared" si="25"/>
        <v/>
      </c>
      <c r="L541" s="1" t="str">
        <f t="shared" si="26"/>
        <v/>
      </c>
      <c r="M541" s="1">
        <f>IF(OR(Table1[[#This Row],[Std Nom]]="",Table1[[#This Row],[Std Read]]=""),0,Table1[[#This Row],[Std Nom]]-Table1[[#This Row],[Std Read]])</f>
        <v>0</v>
      </c>
      <c r="N541" s="1">
        <f>IF(Calculations!$F$5="ACCREDITED 17025 WITH UNCERTAINTIES",$N$10,0)</f>
        <v>0</v>
      </c>
      <c r="Q541" s="1">
        <f>Table1[[#This Row],[High Tol]]-Table1[[#This Row],[Low Tol]]</f>
        <v>0</v>
      </c>
      <c r="R541" s="1">
        <f>2*Table1[[#This Row],[Std Error]]</f>
        <v>0</v>
      </c>
      <c r="S541" s="1" t="str">
        <f>IF(Table1[[#This Row],[High Tol]]="","N/A",IFERROR(ABS(Table1[[#This Row],[Tol Span]]/Table1[[#This Row],[Error Span]]),"N/A"))</f>
        <v>N/A</v>
      </c>
      <c r="T541" s="1" t="str">
        <f>IF(OR(Table1[[#This Row],[Low Tol]]="",Table1[[#This Row],[High Tol]]=""),"Needs Analysis",IF(Table1[[#This Row],[Ratio]]&gt;=4,"Not Significant",IF(Table1[[#This Row],[Ratio]]&gt;=2,"Semi-Significant","Significant")))</f>
        <v>Needs Analysis</v>
      </c>
      <c r="W541" s="1">
        <f>IF(Table1[[#This Row],[Cal Type]]&lt;&gt;"ACCREDITED 17025 WITH UNCERTAINTIES",0,"")</f>
        <v>0</v>
      </c>
      <c r="X541" s="1" t="str">
        <f>IF(Table1[[#This Row],[DUT Read]]="","N/A",Table1[[#This Row],[Std Error]]+Table1[[#This Row],[DUT Read]]+Table1[[#This Row],[DUT Ucty]])</f>
        <v>N/A</v>
      </c>
      <c r="Y541" s="1" t="str">
        <f>IF(Table1[[#This Row],[Std Read]]="","N/A",Table1[[#This Row],[Std Read]]+Table1[[#This Row],[Std Ucty]])</f>
        <v>N/A</v>
      </c>
      <c r="Z5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1" s="1" t="str">
        <f>IF(Table1[[#This Row],[Spec Type]]="","N/A",Table1[[#This Row],[Spec Type]])</f>
        <v>±</v>
      </c>
      <c r="AC541" s="1" t="str">
        <f>IF(Table1[[#This Row],[Spec Type2]]="N/A","N/A",IF(AND(Table1[[#This Row],[DUT Adj Read]]&gt;=Table1[[#This Row],[Low Tol]],Table1[[#This Row],[DUT Adj Read]]&lt;=Table1[[#This Row],[High Tol]]),"Pass","Fail"))</f>
        <v>Fail</v>
      </c>
      <c r="AD541" s="1" t="str">
        <f>IF(AND(Table1[[#This Row],[Spec Type2]]="N/A",Table1[[#This Row],[DUT Adj Read]]="N/A",Table1[[#This Row],[Std Adj Read]]="N/A"),"N/A",IF(Table1[[#This Row],[DUT Adj Read]]="N/A",IF(Table1[[#This Row],[Std Adj Read]]&gt;Table1[[#This Row],[Low Tol]],"Pass","Fail"),IF(Table1[[#This Row],[DUT Adj Read]]&gt;Table1[[#This Row],[Low Tol]],"Pass","Fail")))</f>
        <v>Pass</v>
      </c>
      <c r="AE541" s="1" t="str">
        <f>IF(AND(Table1[[#This Row],[Spec Type2]]="N/A",Table1[[#This Row],[DUT Adj Read]]="N/A",Table1[[#This Row],[Std Adj Read]]="N/A"),"N/A",IF(Table1[[#This Row],[DUT Adj Read]]="N/A",IF(Table1[[#This Row],[Std Adj Read]]&lt;Table1[[#This Row],[High Tol]],"Pass","Fail"),IF(Table1[[#This Row],[DUT Adj Read]]&lt;Table1[[#This Row],[High Tol]],"Pass","Fail")))</f>
        <v>Fail</v>
      </c>
      <c r="AF541" s="1" t="str">
        <f>IF(AND(Table1[[#This Row],[Spec Type2]]="N/A",Table1[[#This Row],[DUT Adj Read]]="N/A",Table1[[#This Row],[Std Adj Read]]="N/A"),"N/A",IF(Table1[[#This Row],[DUT Adj Read]]="N/A",IF(Table1[[#This Row],[Std Adj Read]]&gt;=Table1[[#This Row],[Low Tol]],"Pass","Fail"),IF(Table1[[#This Row],[DUT Adj Read]]&gt;=Table1[[#This Row],[Low Tol]],"Pass","Fail")))</f>
        <v>Pass</v>
      </c>
      <c r="AG541" s="1" t="str">
        <f>IF(AND(Table1[[#This Row],[Spec Type2]]="N/A",Table1[[#This Row],[DUT Adj Read]]="N/A",Table1[[#This Row],[Std Adj Read]]="N/A"),"N/A",IF(Table1[[#This Row],[DUT Adj Read]]="N/A",IF(Table1[[#This Row],[Std Adj Read]]&lt;=Table1[[#This Row],[High Tol]],"Pass","Fail"),IF(Table1[[#This Row],[DUT Adj Read]]&lt;=Table1[[#This Row],[High Tol]],"Pass","Fail")))</f>
        <v>Fail</v>
      </c>
      <c r="AH5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1" s="1" t="b">
        <v>0</v>
      </c>
      <c r="AN541" s="1" t="b">
        <v>0</v>
      </c>
      <c r="AO541" s="1" t="b">
        <v>0</v>
      </c>
    </row>
    <row r="542" spans="1:41" x14ac:dyDescent="0.25">
      <c r="A542" s="10"/>
      <c r="B542" s="10"/>
      <c r="C542" s="10"/>
      <c r="D542" s="10"/>
      <c r="E542" s="10"/>
      <c r="F542" s="10"/>
      <c r="G542" s="10"/>
      <c r="H542" s="10"/>
      <c r="I542" s="1" t="str">
        <f t="shared" si="24"/>
        <v/>
      </c>
      <c r="J542" s="1" t="s">
        <v>35</v>
      </c>
      <c r="K542" s="1" t="str">
        <f t="shared" si="25"/>
        <v/>
      </c>
      <c r="L542" s="1" t="str">
        <f t="shared" si="26"/>
        <v/>
      </c>
      <c r="M542" s="1">
        <f>IF(OR(Table1[[#This Row],[Std Nom]]="",Table1[[#This Row],[Std Read]]=""),0,Table1[[#This Row],[Std Nom]]-Table1[[#This Row],[Std Read]])</f>
        <v>0</v>
      </c>
      <c r="N542" s="1">
        <f>IF(Calculations!$F$5="ACCREDITED 17025 WITH UNCERTAINTIES",$N$10,0)</f>
        <v>0</v>
      </c>
      <c r="Q542" s="1">
        <f>Table1[[#This Row],[High Tol]]-Table1[[#This Row],[Low Tol]]</f>
        <v>0</v>
      </c>
      <c r="R542" s="1">
        <f>2*Table1[[#This Row],[Std Error]]</f>
        <v>0</v>
      </c>
      <c r="S542" s="1" t="str">
        <f>IF(Table1[[#This Row],[High Tol]]="","N/A",IFERROR(ABS(Table1[[#This Row],[Tol Span]]/Table1[[#This Row],[Error Span]]),"N/A"))</f>
        <v>N/A</v>
      </c>
      <c r="T542" s="1" t="str">
        <f>IF(OR(Table1[[#This Row],[Low Tol]]="",Table1[[#This Row],[High Tol]]=""),"Needs Analysis",IF(Table1[[#This Row],[Ratio]]&gt;=4,"Not Significant",IF(Table1[[#This Row],[Ratio]]&gt;=2,"Semi-Significant","Significant")))</f>
        <v>Needs Analysis</v>
      </c>
      <c r="W542" s="1">
        <f>IF(Table1[[#This Row],[Cal Type]]&lt;&gt;"ACCREDITED 17025 WITH UNCERTAINTIES",0,"")</f>
        <v>0</v>
      </c>
      <c r="X542" s="1" t="str">
        <f>IF(Table1[[#This Row],[DUT Read]]="","N/A",Table1[[#This Row],[Std Error]]+Table1[[#This Row],[DUT Read]]+Table1[[#This Row],[DUT Ucty]])</f>
        <v>N/A</v>
      </c>
      <c r="Y542" s="1" t="str">
        <f>IF(Table1[[#This Row],[Std Read]]="","N/A",Table1[[#This Row],[Std Read]]+Table1[[#This Row],[Std Ucty]])</f>
        <v>N/A</v>
      </c>
      <c r="Z5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2" s="1" t="str">
        <f>IF(Table1[[#This Row],[Spec Type]]="","N/A",Table1[[#This Row],[Spec Type]])</f>
        <v>±</v>
      </c>
      <c r="AC542" s="1" t="str">
        <f>IF(Table1[[#This Row],[Spec Type2]]="N/A","N/A",IF(AND(Table1[[#This Row],[DUT Adj Read]]&gt;=Table1[[#This Row],[Low Tol]],Table1[[#This Row],[DUT Adj Read]]&lt;=Table1[[#This Row],[High Tol]]),"Pass","Fail"))</f>
        <v>Fail</v>
      </c>
      <c r="AD542" s="1" t="str">
        <f>IF(AND(Table1[[#This Row],[Spec Type2]]="N/A",Table1[[#This Row],[DUT Adj Read]]="N/A",Table1[[#This Row],[Std Adj Read]]="N/A"),"N/A",IF(Table1[[#This Row],[DUT Adj Read]]="N/A",IF(Table1[[#This Row],[Std Adj Read]]&gt;Table1[[#This Row],[Low Tol]],"Pass","Fail"),IF(Table1[[#This Row],[DUT Adj Read]]&gt;Table1[[#This Row],[Low Tol]],"Pass","Fail")))</f>
        <v>Pass</v>
      </c>
      <c r="AE542" s="1" t="str">
        <f>IF(AND(Table1[[#This Row],[Spec Type2]]="N/A",Table1[[#This Row],[DUT Adj Read]]="N/A",Table1[[#This Row],[Std Adj Read]]="N/A"),"N/A",IF(Table1[[#This Row],[DUT Adj Read]]="N/A",IF(Table1[[#This Row],[Std Adj Read]]&lt;Table1[[#This Row],[High Tol]],"Pass","Fail"),IF(Table1[[#This Row],[DUT Adj Read]]&lt;Table1[[#This Row],[High Tol]],"Pass","Fail")))</f>
        <v>Fail</v>
      </c>
      <c r="AF542" s="1" t="str">
        <f>IF(AND(Table1[[#This Row],[Spec Type2]]="N/A",Table1[[#This Row],[DUT Adj Read]]="N/A",Table1[[#This Row],[Std Adj Read]]="N/A"),"N/A",IF(Table1[[#This Row],[DUT Adj Read]]="N/A",IF(Table1[[#This Row],[Std Adj Read]]&gt;=Table1[[#This Row],[Low Tol]],"Pass","Fail"),IF(Table1[[#This Row],[DUT Adj Read]]&gt;=Table1[[#This Row],[Low Tol]],"Pass","Fail")))</f>
        <v>Pass</v>
      </c>
      <c r="AG542" s="1" t="str">
        <f>IF(AND(Table1[[#This Row],[Spec Type2]]="N/A",Table1[[#This Row],[DUT Adj Read]]="N/A",Table1[[#This Row],[Std Adj Read]]="N/A"),"N/A",IF(Table1[[#This Row],[DUT Adj Read]]="N/A",IF(Table1[[#This Row],[Std Adj Read]]&lt;=Table1[[#This Row],[High Tol]],"Pass","Fail"),IF(Table1[[#This Row],[DUT Adj Read]]&lt;=Table1[[#This Row],[High Tol]],"Pass","Fail")))</f>
        <v>Fail</v>
      </c>
      <c r="AH5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2" s="1" t="b">
        <v>0</v>
      </c>
      <c r="AN542" s="1" t="b">
        <v>0</v>
      </c>
      <c r="AO542" s="1" t="b">
        <v>0</v>
      </c>
    </row>
    <row r="543" spans="1:41" x14ac:dyDescent="0.25">
      <c r="A543" s="10"/>
      <c r="B543" s="10"/>
      <c r="C543" s="10"/>
      <c r="D543" s="10"/>
      <c r="E543" s="10"/>
      <c r="F543" s="10"/>
      <c r="G543" s="10"/>
      <c r="H543" s="10"/>
      <c r="I543" s="1" t="str">
        <f t="shared" si="24"/>
        <v/>
      </c>
      <c r="J543" s="1" t="s">
        <v>35</v>
      </c>
      <c r="K543" s="1" t="str">
        <f t="shared" si="25"/>
        <v/>
      </c>
      <c r="L543" s="1" t="str">
        <f t="shared" si="26"/>
        <v/>
      </c>
      <c r="M543" s="1">
        <f>IF(OR(Table1[[#This Row],[Std Nom]]="",Table1[[#This Row],[Std Read]]=""),0,Table1[[#This Row],[Std Nom]]-Table1[[#This Row],[Std Read]])</f>
        <v>0</v>
      </c>
      <c r="N543" s="1">
        <f>IF(Calculations!$F$5="ACCREDITED 17025 WITH UNCERTAINTIES",$N$10,0)</f>
        <v>0</v>
      </c>
      <c r="Q543" s="1">
        <f>Table1[[#This Row],[High Tol]]-Table1[[#This Row],[Low Tol]]</f>
        <v>0</v>
      </c>
      <c r="R543" s="1">
        <f>2*Table1[[#This Row],[Std Error]]</f>
        <v>0</v>
      </c>
      <c r="S543" s="1" t="str">
        <f>IF(Table1[[#This Row],[High Tol]]="","N/A",IFERROR(ABS(Table1[[#This Row],[Tol Span]]/Table1[[#This Row],[Error Span]]),"N/A"))</f>
        <v>N/A</v>
      </c>
      <c r="T543" s="1" t="str">
        <f>IF(OR(Table1[[#This Row],[Low Tol]]="",Table1[[#This Row],[High Tol]]=""),"Needs Analysis",IF(Table1[[#This Row],[Ratio]]&gt;=4,"Not Significant",IF(Table1[[#This Row],[Ratio]]&gt;=2,"Semi-Significant","Significant")))</f>
        <v>Needs Analysis</v>
      </c>
      <c r="W543" s="1">
        <f>IF(Table1[[#This Row],[Cal Type]]&lt;&gt;"ACCREDITED 17025 WITH UNCERTAINTIES",0,"")</f>
        <v>0</v>
      </c>
      <c r="X543" s="1" t="str">
        <f>IF(Table1[[#This Row],[DUT Read]]="","N/A",Table1[[#This Row],[Std Error]]+Table1[[#This Row],[DUT Read]]+Table1[[#This Row],[DUT Ucty]])</f>
        <v>N/A</v>
      </c>
      <c r="Y543" s="1" t="str">
        <f>IF(Table1[[#This Row],[Std Read]]="","N/A",Table1[[#This Row],[Std Read]]+Table1[[#This Row],[Std Ucty]])</f>
        <v>N/A</v>
      </c>
      <c r="Z5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3" s="1" t="str">
        <f>IF(Table1[[#This Row],[Spec Type]]="","N/A",Table1[[#This Row],[Spec Type]])</f>
        <v>±</v>
      </c>
      <c r="AC543" s="1" t="str">
        <f>IF(Table1[[#This Row],[Spec Type2]]="N/A","N/A",IF(AND(Table1[[#This Row],[DUT Adj Read]]&gt;=Table1[[#This Row],[Low Tol]],Table1[[#This Row],[DUT Adj Read]]&lt;=Table1[[#This Row],[High Tol]]),"Pass","Fail"))</f>
        <v>Fail</v>
      </c>
      <c r="AD543" s="1" t="str">
        <f>IF(AND(Table1[[#This Row],[Spec Type2]]="N/A",Table1[[#This Row],[DUT Adj Read]]="N/A",Table1[[#This Row],[Std Adj Read]]="N/A"),"N/A",IF(Table1[[#This Row],[DUT Adj Read]]="N/A",IF(Table1[[#This Row],[Std Adj Read]]&gt;Table1[[#This Row],[Low Tol]],"Pass","Fail"),IF(Table1[[#This Row],[DUT Adj Read]]&gt;Table1[[#This Row],[Low Tol]],"Pass","Fail")))</f>
        <v>Pass</v>
      </c>
      <c r="AE543" s="1" t="str">
        <f>IF(AND(Table1[[#This Row],[Spec Type2]]="N/A",Table1[[#This Row],[DUT Adj Read]]="N/A",Table1[[#This Row],[Std Adj Read]]="N/A"),"N/A",IF(Table1[[#This Row],[DUT Adj Read]]="N/A",IF(Table1[[#This Row],[Std Adj Read]]&lt;Table1[[#This Row],[High Tol]],"Pass","Fail"),IF(Table1[[#This Row],[DUT Adj Read]]&lt;Table1[[#This Row],[High Tol]],"Pass","Fail")))</f>
        <v>Fail</v>
      </c>
      <c r="AF543" s="1" t="str">
        <f>IF(AND(Table1[[#This Row],[Spec Type2]]="N/A",Table1[[#This Row],[DUT Adj Read]]="N/A",Table1[[#This Row],[Std Adj Read]]="N/A"),"N/A",IF(Table1[[#This Row],[DUT Adj Read]]="N/A",IF(Table1[[#This Row],[Std Adj Read]]&gt;=Table1[[#This Row],[Low Tol]],"Pass","Fail"),IF(Table1[[#This Row],[DUT Adj Read]]&gt;=Table1[[#This Row],[Low Tol]],"Pass","Fail")))</f>
        <v>Pass</v>
      </c>
      <c r="AG543" s="1" t="str">
        <f>IF(AND(Table1[[#This Row],[Spec Type2]]="N/A",Table1[[#This Row],[DUT Adj Read]]="N/A",Table1[[#This Row],[Std Adj Read]]="N/A"),"N/A",IF(Table1[[#This Row],[DUT Adj Read]]="N/A",IF(Table1[[#This Row],[Std Adj Read]]&lt;=Table1[[#This Row],[High Tol]],"Pass","Fail"),IF(Table1[[#This Row],[DUT Adj Read]]&lt;=Table1[[#This Row],[High Tol]],"Pass","Fail")))</f>
        <v>Fail</v>
      </c>
      <c r="AH5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3" s="1" t="b">
        <v>0</v>
      </c>
      <c r="AN543" s="1" t="b">
        <v>0</v>
      </c>
      <c r="AO543" s="1" t="b">
        <v>0</v>
      </c>
    </row>
    <row r="544" spans="1:41" x14ac:dyDescent="0.25">
      <c r="A544" s="10"/>
      <c r="B544" s="10"/>
      <c r="C544" s="10"/>
      <c r="D544" s="10"/>
      <c r="E544" s="10"/>
      <c r="F544" s="10"/>
      <c r="G544" s="10"/>
      <c r="H544" s="10"/>
      <c r="I544" s="1" t="str">
        <f t="shared" si="24"/>
        <v/>
      </c>
      <c r="J544" s="1" t="s">
        <v>35</v>
      </c>
      <c r="K544" s="1" t="str">
        <f t="shared" si="25"/>
        <v/>
      </c>
      <c r="L544" s="1" t="str">
        <f t="shared" si="26"/>
        <v/>
      </c>
      <c r="M544" s="1">
        <f>IF(OR(Table1[[#This Row],[Std Nom]]="",Table1[[#This Row],[Std Read]]=""),0,Table1[[#This Row],[Std Nom]]-Table1[[#This Row],[Std Read]])</f>
        <v>0</v>
      </c>
      <c r="N544" s="1">
        <f>IF(Calculations!$F$5="ACCREDITED 17025 WITH UNCERTAINTIES",$N$10,0)</f>
        <v>0</v>
      </c>
      <c r="Q544" s="1">
        <f>Table1[[#This Row],[High Tol]]-Table1[[#This Row],[Low Tol]]</f>
        <v>0</v>
      </c>
      <c r="R544" s="1">
        <f>2*Table1[[#This Row],[Std Error]]</f>
        <v>0</v>
      </c>
      <c r="S544" s="1" t="str">
        <f>IF(Table1[[#This Row],[High Tol]]="","N/A",IFERROR(ABS(Table1[[#This Row],[Tol Span]]/Table1[[#This Row],[Error Span]]),"N/A"))</f>
        <v>N/A</v>
      </c>
      <c r="T544" s="1" t="str">
        <f>IF(OR(Table1[[#This Row],[Low Tol]]="",Table1[[#This Row],[High Tol]]=""),"Needs Analysis",IF(Table1[[#This Row],[Ratio]]&gt;=4,"Not Significant",IF(Table1[[#This Row],[Ratio]]&gt;=2,"Semi-Significant","Significant")))</f>
        <v>Needs Analysis</v>
      </c>
      <c r="W544" s="1">
        <f>IF(Table1[[#This Row],[Cal Type]]&lt;&gt;"ACCREDITED 17025 WITH UNCERTAINTIES",0,"")</f>
        <v>0</v>
      </c>
      <c r="X544" s="1" t="str">
        <f>IF(Table1[[#This Row],[DUT Read]]="","N/A",Table1[[#This Row],[Std Error]]+Table1[[#This Row],[DUT Read]]+Table1[[#This Row],[DUT Ucty]])</f>
        <v>N/A</v>
      </c>
      <c r="Y544" s="1" t="str">
        <f>IF(Table1[[#This Row],[Std Read]]="","N/A",Table1[[#This Row],[Std Read]]+Table1[[#This Row],[Std Ucty]])</f>
        <v>N/A</v>
      </c>
      <c r="Z5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4" s="1" t="str">
        <f>IF(Table1[[#This Row],[Spec Type]]="","N/A",Table1[[#This Row],[Spec Type]])</f>
        <v>±</v>
      </c>
      <c r="AC544" s="1" t="str">
        <f>IF(Table1[[#This Row],[Spec Type2]]="N/A","N/A",IF(AND(Table1[[#This Row],[DUT Adj Read]]&gt;=Table1[[#This Row],[Low Tol]],Table1[[#This Row],[DUT Adj Read]]&lt;=Table1[[#This Row],[High Tol]]),"Pass","Fail"))</f>
        <v>Fail</v>
      </c>
      <c r="AD544" s="1" t="str">
        <f>IF(AND(Table1[[#This Row],[Spec Type2]]="N/A",Table1[[#This Row],[DUT Adj Read]]="N/A",Table1[[#This Row],[Std Adj Read]]="N/A"),"N/A",IF(Table1[[#This Row],[DUT Adj Read]]="N/A",IF(Table1[[#This Row],[Std Adj Read]]&gt;Table1[[#This Row],[Low Tol]],"Pass","Fail"),IF(Table1[[#This Row],[DUT Adj Read]]&gt;Table1[[#This Row],[Low Tol]],"Pass","Fail")))</f>
        <v>Pass</v>
      </c>
      <c r="AE544" s="1" t="str">
        <f>IF(AND(Table1[[#This Row],[Spec Type2]]="N/A",Table1[[#This Row],[DUT Adj Read]]="N/A",Table1[[#This Row],[Std Adj Read]]="N/A"),"N/A",IF(Table1[[#This Row],[DUT Adj Read]]="N/A",IF(Table1[[#This Row],[Std Adj Read]]&lt;Table1[[#This Row],[High Tol]],"Pass","Fail"),IF(Table1[[#This Row],[DUT Adj Read]]&lt;Table1[[#This Row],[High Tol]],"Pass","Fail")))</f>
        <v>Fail</v>
      </c>
      <c r="AF544" s="1" t="str">
        <f>IF(AND(Table1[[#This Row],[Spec Type2]]="N/A",Table1[[#This Row],[DUT Adj Read]]="N/A",Table1[[#This Row],[Std Adj Read]]="N/A"),"N/A",IF(Table1[[#This Row],[DUT Adj Read]]="N/A",IF(Table1[[#This Row],[Std Adj Read]]&gt;=Table1[[#This Row],[Low Tol]],"Pass","Fail"),IF(Table1[[#This Row],[DUT Adj Read]]&gt;=Table1[[#This Row],[Low Tol]],"Pass","Fail")))</f>
        <v>Pass</v>
      </c>
      <c r="AG544" s="1" t="str">
        <f>IF(AND(Table1[[#This Row],[Spec Type2]]="N/A",Table1[[#This Row],[DUT Adj Read]]="N/A",Table1[[#This Row],[Std Adj Read]]="N/A"),"N/A",IF(Table1[[#This Row],[DUT Adj Read]]="N/A",IF(Table1[[#This Row],[Std Adj Read]]&lt;=Table1[[#This Row],[High Tol]],"Pass","Fail"),IF(Table1[[#This Row],[DUT Adj Read]]&lt;=Table1[[#This Row],[High Tol]],"Pass","Fail")))</f>
        <v>Fail</v>
      </c>
      <c r="AH5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4" s="1" t="b">
        <v>0</v>
      </c>
      <c r="AN544" s="1" t="b">
        <v>0</v>
      </c>
      <c r="AO544" s="1" t="b">
        <v>0</v>
      </c>
    </row>
    <row r="545" spans="1:41" x14ac:dyDescent="0.25">
      <c r="A545" s="10"/>
      <c r="B545" s="10"/>
      <c r="C545" s="10"/>
      <c r="D545" s="10"/>
      <c r="E545" s="10"/>
      <c r="F545" s="10"/>
      <c r="G545" s="10"/>
      <c r="H545" s="10"/>
      <c r="I545" s="1" t="str">
        <f t="shared" si="24"/>
        <v/>
      </c>
      <c r="J545" s="1" t="s">
        <v>35</v>
      </c>
      <c r="K545" s="1" t="str">
        <f t="shared" si="25"/>
        <v/>
      </c>
      <c r="L545" s="1" t="str">
        <f t="shared" si="26"/>
        <v/>
      </c>
      <c r="M545" s="1">
        <f>IF(OR(Table1[[#This Row],[Std Nom]]="",Table1[[#This Row],[Std Read]]=""),0,Table1[[#This Row],[Std Nom]]-Table1[[#This Row],[Std Read]])</f>
        <v>0</v>
      </c>
      <c r="N545" s="1">
        <f>IF(Calculations!$F$5="ACCREDITED 17025 WITH UNCERTAINTIES",$N$10,0)</f>
        <v>0</v>
      </c>
      <c r="Q545" s="1">
        <f>Table1[[#This Row],[High Tol]]-Table1[[#This Row],[Low Tol]]</f>
        <v>0</v>
      </c>
      <c r="R545" s="1">
        <f>2*Table1[[#This Row],[Std Error]]</f>
        <v>0</v>
      </c>
      <c r="S545" s="1" t="str">
        <f>IF(Table1[[#This Row],[High Tol]]="","N/A",IFERROR(ABS(Table1[[#This Row],[Tol Span]]/Table1[[#This Row],[Error Span]]),"N/A"))</f>
        <v>N/A</v>
      </c>
      <c r="T545" s="1" t="str">
        <f>IF(OR(Table1[[#This Row],[Low Tol]]="",Table1[[#This Row],[High Tol]]=""),"Needs Analysis",IF(Table1[[#This Row],[Ratio]]&gt;=4,"Not Significant",IF(Table1[[#This Row],[Ratio]]&gt;=2,"Semi-Significant","Significant")))</f>
        <v>Needs Analysis</v>
      </c>
      <c r="W545" s="1">
        <f>IF(Table1[[#This Row],[Cal Type]]&lt;&gt;"ACCREDITED 17025 WITH UNCERTAINTIES",0,"")</f>
        <v>0</v>
      </c>
      <c r="X545" s="1" t="str">
        <f>IF(Table1[[#This Row],[DUT Read]]="","N/A",Table1[[#This Row],[Std Error]]+Table1[[#This Row],[DUT Read]]+Table1[[#This Row],[DUT Ucty]])</f>
        <v>N/A</v>
      </c>
      <c r="Y545" s="1" t="str">
        <f>IF(Table1[[#This Row],[Std Read]]="","N/A",Table1[[#This Row],[Std Read]]+Table1[[#This Row],[Std Ucty]])</f>
        <v>N/A</v>
      </c>
      <c r="Z5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5" s="1" t="str">
        <f>IF(Table1[[#This Row],[Spec Type]]="","N/A",Table1[[#This Row],[Spec Type]])</f>
        <v>±</v>
      </c>
      <c r="AC545" s="1" t="str">
        <f>IF(Table1[[#This Row],[Spec Type2]]="N/A","N/A",IF(AND(Table1[[#This Row],[DUT Adj Read]]&gt;=Table1[[#This Row],[Low Tol]],Table1[[#This Row],[DUT Adj Read]]&lt;=Table1[[#This Row],[High Tol]]),"Pass","Fail"))</f>
        <v>Fail</v>
      </c>
      <c r="AD545" s="1" t="str">
        <f>IF(AND(Table1[[#This Row],[Spec Type2]]="N/A",Table1[[#This Row],[DUT Adj Read]]="N/A",Table1[[#This Row],[Std Adj Read]]="N/A"),"N/A",IF(Table1[[#This Row],[DUT Adj Read]]="N/A",IF(Table1[[#This Row],[Std Adj Read]]&gt;Table1[[#This Row],[Low Tol]],"Pass","Fail"),IF(Table1[[#This Row],[DUT Adj Read]]&gt;Table1[[#This Row],[Low Tol]],"Pass","Fail")))</f>
        <v>Pass</v>
      </c>
      <c r="AE545" s="1" t="str">
        <f>IF(AND(Table1[[#This Row],[Spec Type2]]="N/A",Table1[[#This Row],[DUT Adj Read]]="N/A",Table1[[#This Row],[Std Adj Read]]="N/A"),"N/A",IF(Table1[[#This Row],[DUT Adj Read]]="N/A",IF(Table1[[#This Row],[Std Adj Read]]&lt;Table1[[#This Row],[High Tol]],"Pass","Fail"),IF(Table1[[#This Row],[DUT Adj Read]]&lt;Table1[[#This Row],[High Tol]],"Pass","Fail")))</f>
        <v>Fail</v>
      </c>
      <c r="AF545" s="1" t="str">
        <f>IF(AND(Table1[[#This Row],[Spec Type2]]="N/A",Table1[[#This Row],[DUT Adj Read]]="N/A",Table1[[#This Row],[Std Adj Read]]="N/A"),"N/A",IF(Table1[[#This Row],[DUT Adj Read]]="N/A",IF(Table1[[#This Row],[Std Adj Read]]&gt;=Table1[[#This Row],[Low Tol]],"Pass","Fail"),IF(Table1[[#This Row],[DUT Adj Read]]&gt;=Table1[[#This Row],[Low Tol]],"Pass","Fail")))</f>
        <v>Pass</v>
      </c>
      <c r="AG545" s="1" t="str">
        <f>IF(AND(Table1[[#This Row],[Spec Type2]]="N/A",Table1[[#This Row],[DUT Adj Read]]="N/A",Table1[[#This Row],[Std Adj Read]]="N/A"),"N/A",IF(Table1[[#This Row],[DUT Adj Read]]="N/A",IF(Table1[[#This Row],[Std Adj Read]]&lt;=Table1[[#This Row],[High Tol]],"Pass","Fail"),IF(Table1[[#This Row],[DUT Adj Read]]&lt;=Table1[[#This Row],[High Tol]],"Pass","Fail")))</f>
        <v>Fail</v>
      </c>
      <c r="AH5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5" s="1" t="b">
        <v>0</v>
      </c>
      <c r="AN545" s="1" t="b">
        <v>0</v>
      </c>
      <c r="AO545" s="1" t="b">
        <v>0</v>
      </c>
    </row>
    <row r="546" spans="1:41" x14ac:dyDescent="0.25">
      <c r="A546" s="10"/>
      <c r="B546" s="10"/>
      <c r="C546" s="10"/>
      <c r="D546" s="10"/>
      <c r="E546" s="10"/>
      <c r="F546" s="10"/>
      <c r="G546" s="10"/>
      <c r="H546" s="10"/>
      <c r="I546" s="1" t="str">
        <f t="shared" si="24"/>
        <v/>
      </c>
      <c r="J546" s="1" t="s">
        <v>35</v>
      </c>
      <c r="K546" s="1" t="str">
        <f t="shared" si="25"/>
        <v/>
      </c>
      <c r="L546" s="1" t="str">
        <f t="shared" si="26"/>
        <v/>
      </c>
      <c r="M546" s="1">
        <f>IF(OR(Table1[[#This Row],[Std Nom]]="",Table1[[#This Row],[Std Read]]=""),0,Table1[[#This Row],[Std Nom]]-Table1[[#This Row],[Std Read]])</f>
        <v>0</v>
      </c>
      <c r="N546" s="1">
        <f>IF(Calculations!$F$5="ACCREDITED 17025 WITH UNCERTAINTIES",$N$10,0)</f>
        <v>0</v>
      </c>
      <c r="Q546" s="1">
        <f>Table1[[#This Row],[High Tol]]-Table1[[#This Row],[Low Tol]]</f>
        <v>0</v>
      </c>
      <c r="R546" s="1">
        <f>2*Table1[[#This Row],[Std Error]]</f>
        <v>0</v>
      </c>
      <c r="S546" s="1" t="str">
        <f>IF(Table1[[#This Row],[High Tol]]="","N/A",IFERROR(ABS(Table1[[#This Row],[Tol Span]]/Table1[[#This Row],[Error Span]]),"N/A"))</f>
        <v>N/A</v>
      </c>
      <c r="T546" s="1" t="str">
        <f>IF(OR(Table1[[#This Row],[Low Tol]]="",Table1[[#This Row],[High Tol]]=""),"Needs Analysis",IF(Table1[[#This Row],[Ratio]]&gt;=4,"Not Significant",IF(Table1[[#This Row],[Ratio]]&gt;=2,"Semi-Significant","Significant")))</f>
        <v>Needs Analysis</v>
      </c>
      <c r="W546" s="1">
        <f>IF(Table1[[#This Row],[Cal Type]]&lt;&gt;"ACCREDITED 17025 WITH UNCERTAINTIES",0,"")</f>
        <v>0</v>
      </c>
      <c r="X546" s="1" t="str">
        <f>IF(Table1[[#This Row],[DUT Read]]="","N/A",Table1[[#This Row],[Std Error]]+Table1[[#This Row],[DUT Read]]+Table1[[#This Row],[DUT Ucty]])</f>
        <v>N/A</v>
      </c>
      <c r="Y546" s="1" t="str">
        <f>IF(Table1[[#This Row],[Std Read]]="","N/A",Table1[[#This Row],[Std Read]]+Table1[[#This Row],[Std Ucty]])</f>
        <v>N/A</v>
      </c>
      <c r="Z5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6" s="1" t="str">
        <f>IF(Table1[[#This Row],[Spec Type]]="","N/A",Table1[[#This Row],[Spec Type]])</f>
        <v>±</v>
      </c>
      <c r="AC546" s="1" t="str">
        <f>IF(Table1[[#This Row],[Spec Type2]]="N/A","N/A",IF(AND(Table1[[#This Row],[DUT Adj Read]]&gt;=Table1[[#This Row],[Low Tol]],Table1[[#This Row],[DUT Adj Read]]&lt;=Table1[[#This Row],[High Tol]]),"Pass","Fail"))</f>
        <v>Fail</v>
      </c>
      <c r="AD546" s="1" t="str">
        <f>IF(AND(Table1[[#This Row],[Spec Type2]]="N/A",Table1[[#This Row],[DUT Adj Read]]="N/A",Table1[[#This Row],[Std Adj Read]]="N/A"),"N/A",IF(Table1[[#This Row],[DUT Adj Read]]="N/A",IF(Table1[[#This Row],[Std Adj Read]]&gt;Table1[[#This Row],[Low Tol]],"Pass","Fail"),IF(Table1[[#This Row],[DUT Adj Read]]&gt;Table1[[#This Row],[Low Tol]],"Pass","Fail")))</f>
        <v>Pass</v>
      </c>
      <c r="AE546" s="1" t="str">
        <f>IF(AND(Table1[[#This Row],[Spec Type2]]="N/A",Table1[[#This Row],[DUT Adj Read]]="N/A",Table1[[#This Row],[Std Adj Read]]="N/A"),"N/A",IF(Table1[[#This Row],[DUT Adj Read]]="N/A",IF(Table1[[#This Row],[Std Adj Read]]&lt;Table1[[#This Row],[High Tol]],"Pass","Fail"),IF(Table1[[#This Row],[DUT Adj Read]]&lt;Table1[[#This Row],[High Tol]],"Pass","Fail")))</f>
        <v>Fail</v>
      </c>
      <c r="AF546" s="1" t="str">
        <f>IF(AND(Table1[[#This Row],[Spec Type2]]="N/A",Table1[[#This Row],[DUT Adj Read]]="N/A",Table1[[#This Row],[Std Adj Read]]="N/A"),"N/A",IF(Table1[[#This Row],[DUT Adj Read]]="N/A",IF(Table1[[#This Row],[Std Adj Read]]&gt;=Table1[[#This Row],[Low Tol]],"Pass","Fail"),IF(Table1[[#This Row],[DUT Adj Read]]&gt;=Table1[[#This Row],[Low Tol]],"Pass","Fail")))</f>
        <v>Pass</v>
      </c>
      <c r="AG546" s="1" t="str">
        <f>IF(AND(Table1[[#This Row],[Spec Type2]]="N/A",Table1[[#This Row],[DUT Adj Read]]="N/A",Table1[[#This Row],[Std Adj Read]]="N/A"),"N/A",IF(Table1[[#This Row],[DUT Adj Read]]="N/A",IF(Table1[[#This Row],[Std Adj Read]]&lt;=Table1[[#This Row],[High Tol]],"Pass","Fail"),IF(Table1[[#This Row],[DUT Adj Read]]&lt;=Table1[[#This Row],[High Tol]],"Pass","Fail")))</f>
        <v>Fail</v>
      </c>
      <c r="AH5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6" s="1" t="b">
        <v>0</v>
      </c>
      <c r="AN546" s="1" t="b">
        <v>0</v>
      </c>
      <c r="AO546" s="1" t="b">
        <v>0</v>
      </c>
    </row>
    <row r="547" spans="1:41" x14ac:dyDescent="0.25">
      <c r="A547" s="10"/>
      <c r="B547" s="10"/>
      <c r="C547" s="10"/>
      <c r="D547" s="10"/>
      <c r="E547" s="10"/>
      <c r="F547" s="10"/>
      <c r="G547" s="10"/>
      <c r="H547" s="10"/>
      <c r="I547" s="1" t="str">
        <f t="shared" si="24"/>
        <v/>
      </c>
      <c r="J547" s="1" t="s">
        <v>35</v>
      </c>
      <c r="K547" s="1" t="str">
        <f t="shared" si="25"/>
        <v/>
      </c>
      <c r="L547" s="1" t="str">
        <f t="shared" si="26"/>
        <v/>
      </c>
      <c r="M547" s="1">
        <f>IF(OR(Table1[[#This Row],[Std Nom]]="",Table1[[#This Row],[Std Read]]=""),0,Table1[[#This Row],[Std Nom]]-Table1[[#This Row],[Std Read]])</f>
        <v>0</v>
      </c>
      <c r="N547" s="1">
        <f>IF(Calculations!$F$5="ACCREDITED 17025 WITH UNCERTAINTIES",$N$10,0)</f>
        <v>0</v>
      </c>
      <c r="Q547" s="1">
        <f>Table1[[#This Row],[High Tol]]-Table1[[#This Row],[Low Tol]]</f>
        <v>0</v>
      </c>
      <c r="R547" s="1">
        <f>2*Table1[[#This Row],[Std Error]]</f>
        <v>0</v>
      </c>
      <c r="S547" s="1" t="str">
        <f>IF(Table1[[#This Row],[High Tol]]="","N/A",IFERROR(ABS(Table1[[#This Row],[Tol Span]]/Table1[[#This Row],[Error Span]]),"N/A"))</f>
        <v>N/A</v>
      </c>
      <c r="T547" s="1" t="str">
        <f>IF(OR(Table1[[#This Row],[Low Tol]]="",Table1[[#This Row],[High Tol]]=""),"Needs Analysis",IF(Table1[[#This Row],[Ratio]]&gt;=4,"Not Significant",IF(Table1[[#This Row],[Ratio]]&gt;=2,"Semi-Significant","Significant")))</f>
        <v>Needs Analysis</v>
      </c>
      <c r="W547" s="1">
        <f>IF(Table1[[#This Row],[Cal Type]]&lt;&gt;"ACCREDITED 17025 WITH UNCERTAINTIES",0,"")</f>
        <v>0</v>
      </c>
      <c r="X547" s="1" t="str">
        <f>IF(Table1[[#This Row],[DUT Read]]="","N/A",Table1[[#This Row],[Std Error]]+Table1[[#This Row],[DUT Read]]+Table1[[#This Row],[DUT Ucty]])</f>
        <v>N/A</v>
      </c>
      <c r="Y547" s="1" t="str">
        <f>IF(Table1[[#This Row],[Std Read]]="","N/A",Table1[[#This Row],[Std Read]]+Table1[[#This Row],[Std Ucty]])</f>
        <v>N/A</v>
      </c>
      <c r="Z5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7" s="1" t="str">
        <f>IF(Table1[[#This Row],[Spec Type]]="","N/A",Table1[[#This Row],[Spec Type]])</f>
        <v>±</v>
      </c>
      <c r="AC547" s="1" t="str">
        <f>IF(Table1[[#This Row],[Spec Type2]]="N/A","N/A",IF(AND(Table1[[#This Row],[DUT Adj Read]]&gt;=Table1[[#This Row],[Low Tol]],Table1[[#This Row],[DUT Adj Read]]&lt;=Table1[[#This Row],[High Tol]]),"Pass","Fail"))</f>
        <v>Fail</v>
      </c>
      <c r="AD547" s="1" t="str">
        <f>IF(AND(Table1[[#This Row],[Spec Type2]]="N/A",Table1[[#This Row],[DUT Adj Read]]="N/A",Table1[[#This Row],[Std Adj Read]]="N/A"),"N/A",IF(Table1[[#This Row],[DUT Adj Read]]="N/A",IF(Table1[[#This Row],[Std Adj Read]]&gt;Table1[[#This Row],[Low Tol]],"Pass","Fail"),IF(Table1[[#This Row],[DUT Adj Read]]&gt;Table1[[#This Row],[Low Tol]],"Pass","Fail")))</f>
        <v>Pass</v>
      </c>
      <c r="AE547" s="1" t="str">
        <f>IF(AND(Table1[[#This Row],[Spec Type2]]="N/A",Table1[[#This Row],[DUT Adj Read]]="N/A",Table1[[#This Row],[Std Adj Read]]="N/A"),"N/A",IF(Table1[[#This Row],[DUT Adj Read]]="N/A",IF(Table1[[#This Row],[Std Adj Read]]&lt;Table1[[#This Row],[High Tol]],"Pass","Fail"),IF(Table1[[#This Row],[DUT Adj Read]]&lt;Table1[[#This Row],[High Tol]],"Pass","Fail")))</f>
        <v>Fail</v>
      </c>
      <c r="AF547" s="1" t="str">
        <f>IF(AND(Table1[[#This Row],[Spec Type2]]="N/A",Table1[[#This Row],[DUT Adj Read]]="N/A",Table1[[#This Row],[Std Adj Read]]="N/A"),"N/A",IF(Table1[[#This Row],[DUT Adj Read]]="N/A",IF(Table1[[#This Row],[Std Adj Read]]&gt;=Table1[[#This Row],[Low Tol]],"Pass","Fail"),IF(Table1[[#This Row],[DUT Adj Read]]&gt;=Table1[[#This Row],[Low Tol]],"Pass","Fail")))</f>
        <v>Pass</v>
      </c>
      <c r="AG547" s="1" t="str">
        <f>IF(AND(Table1[[#This Row],[Spec Type2]]="N/A",Table1[[#This Row],[DUT Adj Read]]="N/A",Table1[[#This Row],[Std Adj Read]]="N/A"),"N/A",IF(Table1[[#This Row],[DUT Adj Read]]="N/A",IF(Table1[[#This Row],[Std Adj Read]]&lt;=Table1[[#This Row],[High Tol]],"Pass","Fail"),IF(Table1[[#This Row],[DUT Adj Read]]&lt;=Table1[[#This Row],[High Tol]],"Pass","Fail")))</f>
        <v>Fail</v>
      </c>
      <c r="AH5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7" s="1" t="b">
        <v>0</v>
      </c>
      <c r="AN547" s="1" t="b">
        <v>0</v>
      </c>
      <c r="AO547" s="1" t="b">
        <v>0</v>
      </c>
    </row>
    <row r="548" spans="1:41" x14ac:dyDescent="0.25">
      <c r="A548" s="10"/>
      <c r="B548" s="10"/>
      <c r="C548" s="10"/>
      <c r="D548" s="10"/>
      <c r="E548" s="10"/>
      <c r="F548" s="10"/>
      <c r="G548" s="10"/>
      <c r="H548" s="10"/>
      <c r="I548" s="1" t="str">
        <f t="shared" si="24"/>
        <v/>
      </c>
      <c r="J548" s="1" t="s">
        <v>35</v>
      </c>
      <c r="K548" s="1" t="str">
        <f t="shared" si="25"/>
        <v/>
      </c>
      <c r="L548" s="1" t="str">
        <f t="shared" si="26"/>
        <v/>
      </c>
      <c r="M548" s="1">
        <f>IF(OR(Table1[[#This Row],[Std Nom]]="",Table1[[#This Row],[Std Read]]=""),0,Table1[[#This Row],[Std Nom]]-Table1[[#This Row],[Std Read]])</f>
        <v>0</v>
      </c>
      <c r="N548" s="1">
        <f>IF(Calculations!$F$5="ACCREDITED 17025 WITH UNCERTAINTIES",$N$10,0)</f>
        <v>0</v>
      </c>
      <c r="Q548" s="1">
        <f>Table1[[#This Row],[High Tol]]-Table1[[#This Row],[Low Tol]]</f>
        <v>0</v>
      </c>
      <c r="R548" s="1">
        <f>2*Table1[[#This Row],[Std Error]]</f>
        <v>0</v>
      </c>
      <c r="S548" s="1" t="str">
        <f>IF(Table1[[#This Row],[High Tol]]="","N/A",IFERROR(ABS(Table1[[#This Row],[Tol Span]]/Table1[[#This Row],[Error Span]]),"N/A"))</f>
        <v>N/A</v>
      </c>
      <c r="T548" s="1" t="str">
        <f>IF(OR(Table1[[#This Row],[Low Tol]]="",Table1[[#This Row],[High Tol]]=""),"Needs Analysis",IF(Table1[[#This Row],[Ratio]]&gt;=4,"Not Significant",IF(Table1[[#This Row],[Ratio]]&gt;=2,"Semi-Significant","Significant")))</f>
        <v>Needs Analysis</v>
      </c>
      <c r="W548" s="1">
        <f>IF(Table1[[#This Row],[Cal Type]]&lt;&gt;"ACCREDITED 17025 WITH UNCERTAINTIES",0,"")</f>
        <v>0</v>
      </c>
      <c r="X548" s="1" t="str">
        <f>IF(Table1[[#This Row],[DUT Read]]="","N/A",Table1[[#This Row],[Std Error]]+Table1[[#This Row],[DUT Read]]+Table1[[#This Row],[DUT Ucty]])</f>
        <v>N/A</v>
      </c>
      <c r="Y548" s="1" t="str">
        <f>IF(Table1[[#This Row],[Std Read]]="","N/A",Table1[[#This Row],[Std Read]]+Table1[[#This Row],[Std Ucty]])</f>
        <v>N/A</v>
      </c>
      <c r="Z5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8" s="1" t="str">
        <f>IF(Table1[[#This Row],[Spec Type]]="","N/A",Table1[[#This Row],[Spec Type]])</f>
        <v>±</v>
      </c>
      <c r="AC548" s="1" t="str">
        <f>IF(Table1[[#This Row],[Spec Type2]]="N/A","N/A",IF(AND(Table1[[#This Row],[DUT Adj Read]]&gt;=Table1[[#This Row],[Low Tol]],Table1[[#This Row],[DUT Adj Read]]&lt;=Table1[[#This Row],[High Tol]]),"Pass","Fail"))</f>
        <v>Fail</v>
      </c>
      <c r="AD548" s="1" t="str">
        <f>IF(AND(Table1[[#This Row],[Spec Type2]]="N/A",Table1[[#This Row],[DUT Adj Read]]="N/A",Table1[[#This Row],[Std Adj Read]]="N/A"),"N/A",IF(Table1[[#This Row],[DUT Adj Read]]="N/A",IF(Table1[[#This Row],[Std Adj Read]]&gt;Table1[[#This Row],[Low Tol]],"Pass","Fail"),IF(Table1[[#This Row],[DUT Adj Read]]&gt;Table1[[#This Row],[Low Tol]],"Pass","Fail")))</f>
        <v>Pass</v>
      </c>
      <c r="AE548" s="1" t="str">
        <f>IF(AND(Table1[[#This Row],[Spec Type2]]="N/A",Table1[[#This Row],[DUT Adj Read]]="N/A",Table1[[#This Row],[Std Adj Read]]="N/A"),"N/A",IF(Table1[[#This Row],[DUT Adj Read]]="N/A",IF(Table1[[#This Row],[Std Adj Read]]&lt;Table1[[#This Row],[High Tol]],"Pass","Fail"),IF(Table1[[#This Row],[DUT Adj Read]]&lt;Table1[[#This Row],[High Tol]],"Pass","Fail")))</f>
        <v>Fail</v>
      </c>
      <c r="AF548" s="1" t="str">
        <f>IF(AND(Table1[[#This Row],[Spec Type2]]="N/A",Table1[[#This Row],[DUT Adj Read]]="N/A",Table1[[#This Row],[Std Adj Read]]="N/A"),"N/A",IF(Table1[[#This Row],[DUT Adj Read]]="N/A",IF(Table1[[#This Row],[Std Adj Read]]&gt;=Table1[[#This Row],[Low Tol]],"Pass","Fail"),IF(Table1[[#This Row],[DUT Adj Read]]&gt;=Table1[[#This Row],[Low Tol]],"Pass","Fail")))</f>
        <v>Pass</v>
      </c>
      <c r="AG548" s="1" t="str">
        <f>IF(AND(Table1[[#This Row],[Spec Type2]]="N/A",Table1[[#This Row],[DUT Adj Read]]="N/A",Table1[[#This Row],[Std Adj Read]]="N/A"),"N/A",IF(Table1[[#This Row],[DUT Adj Read]]="N/A",IF(Table1[[#This Row],[Std Adj Read]]&lt;=Table1[[#This Row],[High Tol]],"Pass","Fail"),IF(Table1[[#This Row],[DUT Adj Read]]&lt;=Table1[[#This Row],[High Tol]],"Pass","Fail")))</f>
        <v>Fail</v>
      </c>
      <c r="AH5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8" s="1" t="b">
        <v>0</v>
      </c>
      <c r="AN548" s="1" t="b">
        <v>0</v>
      </c>
      <c r="AO548" s="1" t="b">
        <v>0</v>
      </c>
    </row>
    <row r="549" spans="1:41" x14ac:dyDescent="0.25">
      <c r="A549" s="10"/>
      <c r="B549" s="10"/>
      <c r="C549" s="10"/>
      <c r="D549" s="10"/>
      <c r="E549" s="10"/>
      <c r="F549" s="10"/>
      <c r="G549" s="10"/>
      <c r="H549" s="10"/>
      <c r="I549" s="1" t="str">
        <f t="shared" si="24"/>
        <v/>
      </c>
      <c r="J549" s="1" t="s">
        <v>35</v>
      </c>
      <c r="K549" s="1" t="str">
        <f t="shared" si="25"/>
        <v/>
      </c>
      <c r="L549" s="1" t="str">
        <f t="shared" si="26"/>
        <v/>
      </c>
      <c r="M549" s="1">
        <f>IF(OR(Table1[[#This Row],[Std Nom]]="",Table1[[#This Row],[Std Read]]=""),0,Table1[[#This Row],[Std Nom]]-Table1[[#This Row],[Std Read]])</f>
        <v>0</v>
      </c>
      <c r="N549" s="1">
        <f>IF(Calculations!$F$5="ACCREDITED 17025 WITH UNCERTAINTIES",$N$10,0)</f>
        <v>0</v>
      </c>
      <c r="Q549" s="1">
        <f>Table1[[#This Row],[High Tol]]-Table1[[#This Row],[Low Tol]]</f>
        <v>0</v>
      </c>
      <c r="R549" s="1">
        <f>2*Table1[[#This Row],[Std Error]]</f>
        <v>0</v>
      </c>
      <c r="S549" s="1" t="str">
        <f>IF(Table1[[#This Row],[High Tol]]="","N/A",IFERROR(ABS(Table1[[#This Row],[Tol Span]]/Table1[[#This Row],[Error Span]]),"N/A"))</f>
        <v>N/A</v>
      </c>
      <c r="T549" s="1" t="str">
        <f>IF(OR(Table1[[#This Row],[Low Tol]]="",Table1[[#This Row],[High Tol]]=""),"Needs Analysis",IF(Table1[[#This Row],[Ratio]]&gt;=4,"Not Significant",IF(Table1[[#This Row],[Ratio]]&gt;=2,"Semi-Significant","Significant")))</f>
        <v>Needs Analysis</v>
      </c>
      <c r="W549" s="1">
        <f>IF(Table1[[#This Row],[Cal Type]]&lt;&gt;"ACCREDITED 17025 WITH UNCERTAINTIES",0,"")</f>
        <v>0</v>
      </c>
      <c r="X549" s="1" t="str">
        <f>IF(Table1[[#This Row],[DUT Read]]="","N/A",Table1[[#This Row],[Std Error]]+Table1[[#This Row],[DUT Read]]+Table1[[#This Row],[DUT Ucty]])</f>
        <v>N/A</v>
      </c>
      <c r="Y549" s="1" t="str">
        <f>IF(Table1[[#This Row],[Std Read]]="","N/A",Table1[[#This Row],[Std Read]]+Table1[[#This Row],[Std Ucty]])</f>
        <v>N/A</v>
      </c>
      <c r="Z5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49" s="1" t="str">
        <f>IF(Table1[[#This Row],[Spec Type]]="","N/A",Table1[[#This Row],[Spec Type]])</f>
        <v>±</v>
      </c>
      <c r="AC549" s="1" t="str">
        <f>IF(Table1[[#This Row],[Spec Type2]]="N/A","N/A",IF(AND(Table1[[#This Row],[DUT Adj Read]]&gt;=Table1[[#This Row],[Low Tol]],Table1[[#This Row],[DUT Adj Read]]&lt;=Table1[[#This Row],[High Tol]]),"Pass","Fail"))</f>
        <v>Fail</v>
      </c>
      <c r="AD549" s="1" t="str">
        <f>IF(AND(Table1[[#This Row],[Spec Type2]]="N/A",Table1[[#This Row],[DUT Adj Read]]="N/A",Table1[[#This Row],[Std Adj Read]]="N/A"),"N/A",IF(Table1[[#This Row],[DUT Adj Read]]="N/A",IF(Table1[[#This Row],[Std Adj Read]]&gt;Table1[[#This Row],[Low Tol]],"Pass","Fail"),IF(Table1[[#This Row],[DUT Adj Read]]&gt;Table1[[#This Row],[Low Tol]],"Pass","Fail")))</f>
        <v>Pass</v>
      </c>
      <c r="AE549" s="1" t="str">
        <f>IF(AND(Table1[[#This Row],[Spec Type2]]="N/A",Table1[[#This Row],[DUT Adj Read]]="N/A",Table1[[#This Row],[Std Adj Read]]="N/A"),"N/A",IF(Table1[[#This Row],[DUT Adj Read]]="N/A",IF(Table1[[#This Row],[Std Adj Read]]&lt;Table1[[#This Row],[High Tol]],"Pass","Fail"),IF(Table1[[#This Row],[DUT Adj Read]]&lt;Table1[[#This Row],[High Tol]],"Pass","Fail")))</f>
        <v>Fail</v>
      </c>
      <c r="AF549" s="1" t="str">
        <f>IF(AND(Table1[[#This Row],[Spec Type2]]="N/A",Table1[[#This Row],[DUT Adj Read]]="N/A",Table1[[#This Row],[Std Adj Read]]="N/A"),"N/A",IF(Table1[[#This Row],[DUT Adj Read]]="N/A",IF(Table1[[#This Row],[Std Adj Read]]&gt;=Table1[[#This Row],[Low Tol]],"Pass","Fail"),IF(Table1[[#This Row],[DUT Adj Read]]&gt;=Table1[[#This Row],[Low Tol]],"Pass","Fail")))</f>
        <v>Pass</v>
      </c>
      <c r="AG549" s="1" t="str">
        <f>IF(AND(Table1[[#This Row],[Spec Type2]]="N/A",Table1[[#This Row],[DUT Adj Read]]="N/A",Table1[[#This Row],[Std Adj Read]]="N/A"),"N/A",IF(Table1[[#This Row],[DUT Adj Read]]="N/A",IF(Table1[[#This Row],[Std Adj Read]]&lt;=Table1[[#This Row],[High Tol]],"Pass","Fail"),IF(Table1[[#This Row],[DUT Adj Read]]&lt;=Table1[[#This Row],[High Tol]],"Pass","Fail")))</f>
        <v>Fail</v>
      </c>
      <c r="AH5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49" s="1" t="b">
        <v>0</v>
      </c>
      <c r="AN549" s="1" t="b">
        <v>0</v>
      </c>
      <c r="AO549" s="1" t="b">
        <v>0</v>
      </c>
    </row>
    <row r="550" spans="1:41" x14ac:dyDescent="0.25">
      <c r="A550" s="10"/>
      <c r="B550" s="10"/>
      <c r="C550" s="10"/>
      <c r="D550" s="10"/>
      <c r="E550" s="10"/>
      <c r="F550" s="10"/>
      <c r="G550" s="10"/>
      <c r="H550" s="10"/>
      <c r="I550" s="1" t="str">
        <f t="shared" si="24"/>
        <v/>
      </c>
      <c r="J550" s="1" t="s">
        <v>35</v>
      </c>
      <c r="K550" s="1" t="str">
        <f t="shared" si="25"/>
        <v/>
      </c>
      <c r="L550" s="1" t="str">
        <f t="shared" si="26"/>
        <v/>
      </c>
      <c r="M550" s="1">
        <f>IF(OR(Table1[[#This Row],[Std Nom]]="",Table1[[#This Row],[Std Read]]=""),0,Table1[[#This Row],[Std Nom]]-Table1[[#This Row],[Std Read]])</f>
        <v>0</v>
      </c>
      <c r="N550" s="1">
        <f>IF(Calculations!$F$5="ACCREDITED 17025 WITH UNCERTAINTIES",$N$10,0)</f>
        <v>0</v>
      </c>
      <c r="Q550" s="1">
        <f>Table1[[#This Row],[High Tol]]-Table1[[#This Row],[Low Tol]]</f>
        <v>0</v>
      </c>
      <c r="R550" s="1">
        <f>2*Table1[[#This Row],[Std Error]]</f>
        <v>0</v>
      </c>
      <c r="S550" s="1" t="str">
        <f>IF(Table1[[#This Row],[High Tol]]="","N/A",IFERROR(ABS(Table1[[#This Row],[Tol Span]]/Table1[[#This Row],[Error Span]]),"N/A"))</f>
        <v>N/A</v>
      </c>
      <c r="T550" s="1" t="str">
        <f>IF(OR(Table1[[#This Row],[Low Tol]]="",Table1[[#This Row],[High Tol]]=""),"Needs Analysis",IF(Table1[[#This Row],[Ratio]]&gt;=4,"Not Significant",IF(Table1[[#This Row],[Ratio]]&gt;=2,"Semi-Significant","Significant")))</f>
        <v>Needs Analysis</v>
      </c>
      <c r="W550" s="1">
        <f>IF(Table1[[#This Row],[Cal Type]]&lt;&gt;"ACCREDITED 17025 WITH UNCERTAINTIES",0,"")</f>
        <v>0</v>
      </c>
      <c r="X550" s="1" t="str">
        <f>IF(Table1[[#This Row],[DUT Read]]="","N/A",Table1[[#This Row],[Std Error]]+Table1[[#This Row],[DUT Read]]+Table1[[#This Row],[DUT Ucty]])</f>
        <v>N/A</v>
      </c>
      <c r="Y550" s="1" t="str">
        <f>IF(Table1[[#This Row],[Std Read]]="","N/A",Table1[[#This Row],[Std Read]]+Table1[[#This Row],[Std Ucty]])</f>
        <v>N/A</v>
      </c>
      <c r="Z5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0" s="1" t="str">
        <f>IF(Table1[[#This Row],[Spec Type]]="","N/A",Table1[[#This Row],[Spec Type]])</f>
        <v>±</v>
      </c>
      <c r="AC550" s="1" t="str">
        <f>IF(Table1[[#This Row],[Spec Type2]]="N/A","N/A",IF(AND(Table1[[#This Row],[DUT Adj Read]]&gt;=Table1[[#This Row],[Low Tol]],Table1[[#This Row],[DUT Adj Read]]&lt;=Table1[[#This Row],[High Tol]]),"Pass","Fail"))</f>
        <v>Fail</v>
      </c>
      <c r="AD550" s="1" t="str">
        <f>IF(AND(Table1[[#This Row],[Spec Type2]]="N/A",Table1[[#This Row],[DUT Adj Read]]="N/A",Table1[[#This Row],[Std Adj Read]]="N/A"),"N/A",IF(Table1[[#This Row],[DUT Adj Read]]="N/A",IF(Table1[[#This Row],[Std Adj Read]]&gt;Table1[[#This Row],[Low Tol]],"Pass","Fail"),IF(Table1[[#This Row],[DUT Adj Read]]&gt;Table1[[#This Row],[Low Tol]],"Pass","Fail")))</f>
        <v>Pass</v>
      </c>
      <c r="AE550" s="1" t="str">
        <f>IF(AND(Table1[[#This Row],[Spec Type2]]="N/A",Table1[[#This Row],[DUT Adj Read]]="N/A",Table1[[#This Row],[Std Adj Read]]="N/A"),"N/A",IF(Table1[[#This Row],[DUT Adj Read]]="N/A",IF(Table1[[#This Row],[Std Adj Read]]&lt;Table1[[#This Row],[High Tol]],"Pass","Fail"),IF(Table1[[#This Row],[DUT Adj Read]]&lt;Table1[[#This Row],[High Tol]],"Pass","Fail")))</f>
        <v>Fail</v>
      </c>
      <c r="AF550" s="1" t="str">
        <f>IF(AND(Table1[[#This Row],[Spec Type2]]="N/A",Table1[[#This Row],[DUT Adj Read]]="N/A",Table1[[#This Row],[Std Adj Read]]="N/A"),"N/A",IF(Table1[[#This Row],[DUT Adj Read]]="N/A",IF(Table1[[#This Row],[Std Adj Read]]&gt;=Table1[[#This Row],[Low Tol]],"Pass","Fail"),IF(Table1[[#This Row],[DUT Adj Read]]&gt;=Table1[[#This Row],[Low Tol]],"Pass","Fail")))</f>
        <v>Pass</v>
      </c>
      <c r="AG550" s="1" t="str">
        <f>IF(AND(Table1[[#This Row],[Spec Type2]]="N/A",Table1[[#This Row],[DUT Adj Read]]="N/A",Table1[[#This Row],[Std Adj Read]]="N/A"),"N/A",IF(Table1[[#This Row],[DUT Adj Read]]="N/A",IF(Table1[[#This Row],[Std Adj Read]]&lt;=Table1[[#This Row],[High Tol]],"Pass","Fail"),IF(Table1[[#This Row],[DUT Adj Read]]&lt;=Table1[[#This Row],[High Tol]],"Pass","Fail")))</f>
        <v>Fail</v>
      </c>
      <c r="AH5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0" s="1" t="b">
        <v>0</v>
      </c>
      <c r="AN550" s="1" t="b">
        <v>0</v>
      </c>
      <c r="AO550" s="1" t="b">
        <v>0</v>
      </c>
    </row>
    <row r="551" spans="1:41" x14ac:dyDescent="0.25">
      <c r="A551" s="10"/>
      <c r="B551" s="10"/>
      <c r="C551" s="10"/>
      <c r="D551" s="10"/>
      <c r="E551" s="10"/>
      <c r="F551" s="10"/>
      <c r="G551" s="10"/>
      <c r="H551" s="10"/>
      <c r="I551" s="1" t="str">
        <f t="shared" si="24"/>
        <v/>
      </c>
      <c r="J551" s="1" t="s">
        <v>35</v>
      </c>
      <c r="K551" s="1" t="str">
        <f t="shared" si="25"/>
        <v/>
      </c>
      <c r="L551" s="1" t="str">
        <f t="shared" si="26"/>
        <v/>
      </c>
      <c r="M551" s="1">
        <f>IF(OR(Table1[[#This Row],[Std Nom]]="",Table1[[#This Row],[Std Read]]=""),0,Table1[[#This Row],[Std Nom]]-Table1[[#This Row],[Std Read]])</f>
        <v>0</v>
      </c>
      <c r="N551" s="1">
        <f>IF(Calculations!$F$5="ACCREDITED 17025 WITH UNCERTAINTIES",$N$10,0)</f>
        <v>0</v>
      </c>
      <c r="Q551" s="1">
        <f>Table1[[#This Row],[High Tol]]-Table1[[#This Row],[Low Tol]]</f>
        <v>0</v>
      </c>
      <c r="R551" s="1">
        <f>2*Table1[[#This Row],[Std Error]]</f>
        <v>0</v>
      </c>
      <c r="S551" s="1" t="str">
        <f>IF(Table1[[#This Row],[High Tol]]="","N/A",IFERROR(ABS(Table1[[#This Row],[Tol Span]]/Table1[[#This Row],[Error Span]]),"N/A"))</f>
        <v>N/A</v>
      </c>
      <c r="T551" s="1" t="str">
        <f>IF(OR(Table1[[#This Row],[Low Tol]]="",Table1[[#This Row],[High Tol]]=""),"Needs Analysis",IF(Table1[[#This Row],[Ratio]]&gt;=4,"Not Significant",IF(Table1[[#This Row],[Ratio]]&gt;=2,"Semi-Significant","Significant")))</f>
        <v>Needs Analysis</v>
      </c>
      <c r="W551" s="1">
        <f>IF(Table1[[#This Row],[Cal Type]]&lt;&gt;"ACCREDITED 17025 WITH UNCERTAINTIES",0,"")</f>
        <v>0</v>
      </c>
      <c r="X551" s="1" t="str">
        <f>IF(Table1[[#This Row],[DUT Read]]="","N/A",Table1[[#This Row],[Std Error]]+Table1[[#This Row],[DUT Read]]+Table1[[#This Row],[DUT Ucty]])</f>
        <v>N/A</v>
      </c>
      <c r="Y551" s="1" t="str">
        <f>IF(Table1[[#This Row],[Std Read]]="","N/A",Table1[[#This Row],[Std Read]]+Table1[[#This Row],[Std Ucty]])</f>
        <v>N/A</v>
      </c>
      <c r="Z5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1" s="1" t="str">
        <f>IF(Table1[[#This Row],[Spec Type]]="","N/A",Table1[[#This Row],[Spec Type]])</f>
        <v>±</v>
      </c>
      <c r="AC551" s="1" t="str">
        <f>IF(Table1[[#This Row],[Spec Type2]]="N/A","N/A",IF(AND(Table1[[#This Row],[DUT Adj Read]]&gt;=Table1[[#This Row],[Low Tol]],Table1[[#This Row],[DUT Adj Read]]&lt;=Table1[[#This Row],[High Tol]]),"Pass","Fail"))</f>
        <v>Fail</v>
      </c>
      <c r="AD551" s="1" t="str">
        <f>IF(AND(Table1[[#This Row],[Spec Type2]]="N/A",Table1[[#This Row],[DUT Adj Read]]="N/A",Table1[[#This Row],[Std Adj Read]]="N/A"),"N/A",IF(Table1[[#This Row],[DUT Adj Read]]="N/A",IF(Table1[[#This Row],[Std Adj Read]]&gt;Table1[[#This Row],[Low Tol]],"Pass","Fail"),IF(Table1[[#This Row],[DUT Adj Read]]&gt;Table1[[#This Row],[Low Tol]],"Pass","Fail")))</f>
        <v>Pass</v>
      </c>
      <c r="AE551" s="1" t="str">
        <f>IF(AND(Table1[[#This Row],[Spec Type2]]="N/A",Table1[[#This Row],[DUT Adj Read]]="N/A",Table1[[#This Row],[Std Adj Read]]="N/A"),"N/A",IF(Table1[[#This Row],[DUT Adj Read]]="N/A",IF(Table1[[#This Row],[Std Adj Read]]&lt;Table1[[#This Row],[High Tol]],"Pass","Fail"),IF(Table1[[#This Row],[DUT Adj Read]]&lt;Table1[[#This Row],[High Tol]],"Pass","Fail")))</f>
        <v>Fail</v>
      </c>
      <c r="AF551" s="1" t="str">
        <f>IF(AND(Table1[[#This Row],[Spec Type2]]="N/A",Table1[[#This Row],[DUT Adj Read]]="N/A",Table1[[#This Row],[Std Adj Read]]="N/A"),"N/A",IF(Table1[[#This Row],[DUT Adj Read]]="N/A",IF(Table1[[#This Row],[Std Adj Read]]&gt;=Table1[[#This Row],[Low Tol]],"Pass","Fail"),IF(Table1[[#This Row],[DUT Adj Read]]&gt;=Table1[[#This Row],[Low Tol]],"Pass","Fail")))</f>
        <v>Pass</v>
      </c>
      <c r="AG551" s="1" t="str">
        <f>IF(AND(Table1[[#This Row],[Spec Type2]]="N/A",Table1[[#This Row],[DUT Adj Read]]="N/A",Table1[[#This Row],[Std Adj Read]]="N/A"),"N/A",IF(Table1[[#This Row],[DUT Adj Read]]="N/A",IF(Table1[[#This Row],[Std Adj Read]]&lt;=Table1[[#This Row],[High Tol]],"Pass","Fail"),IF(Table1[[#This Row],[DUT Adj Read]]&lt;=Table1[[#This Row],[High Tol]],"Pass","Fail")))</f>
        <v>Fail</v>
      </c>
      <c r="AH5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1" s="1" t="b">
        <v>0</v>
      </c>
      <c r="AN551" s="1" t="b">
        <v>0</v>
      </c>
      <c r="AO551" s="1" t="b">
        <v>0</v>
      </c>
    </row>
    <row r="552" spans="1:41" x14ac:dyDescent="0.25">
      <c r="A552" s="10"/>
      <c r="B552" s="10"/>
      <c r="C552" s="10"/>
      <c r="D552" s="10"/>
      <c r="E552" s="10"/>
      <c r="F552" s="10"/>
      <c r="G552" s="10"/>
      <c r="H552" s="10"/>
      <c r="I552" s="1" t="str">
        <f t="shared" si="24"/>
        <v/>
      </c>
      <c r="J552" s="1" t="s">
        <v>35</v>
      </c>
      <c r="K552" s="1" t="str">
        <f t="shared" si="25"/>
        <v/>
      </c>
      <c r="L552" s="1" t="str">
        <f t="shared" si="26"/>
        <v/>
      </c>
      <c r="M552" s="1">
        <f>IF(OR(Table1[[#This Row],[Std Nom]]="",Table1[[#This Row],[Std Read]]=""),0,Table1[[#This Row],[Std Nom]]-Table1[[#This Row],[Std Read]])</f>
        <v>0</v>
      </c>
      <c r="N552" s="1">
        <f>IF(Calculations!$F$5="ACCREDITED 17025 WITH UNCERTAINTIES",$N$10,0)</f>
        <v>0</v>
      </c>
      <c r="Q552" s="1">
        <f>Table1[[#This Row],[High Tol]]-Table1[[#This Row],[Low Tol]]</f>
        <v>0</v>
      </c>
      <c r="R552" s="1">
        <f>2*Table1[[#This Row],[Std Error]]</f>
        <v>0</v>
      </c>
      <c r="S552" s="1" t="str">
        <f>IF(Table1[[#This Row],[High Tol]]="","N/A",IFERROR(ABS(Table1[[#This Row],[Tol Span]]/Table1[[#This Row],[Error Span]]),"N/A"))</f>
        <v>N/A</v>
      </c>
      <c r="T552" s="1" t="str">
        <f>IF(OR(Table1[[#This Row],[Low Tol]]="",Table1[[#This Row],[High Tol]]=""),"Needs Analysis",IF(Table1[[#This Row],[Ratio]]&gt;=4,"Not Significant",IF(Table1[[#This Row],[Ratio]]&gt;=2,"Semi-Significant","Significant")))</f>
        <v>Needs Analysis</v>
      </c>
      <c r="W552" s="1">
        <f>IF(Table1[[#This Row],[Cal Type]]&lt;&gt;"ACCREDITED 17025 WITH UNCERTAINTIES",0,"")</f>
        <v>0</v>
      </c>
      <c r="X552" s="1" t="str">
        <f>IF(Table1[[#This Row],[DUT Read]]="","N/A",Table1[[#This Row],[Std Error]]+Table1[[#This Row],[DUT Read]]+Table1[[#This Row],[DUT Ucty]])</f>
        <v>N/A</v>
      </c>
      <c r="Y552" s="1" t="str">
        <f>IF(Table1[[#This Row],[Std Read]]="","N/A",Table1[[#This Row],[Std Read]]+Table1[[#This Row],[Std Ucty]])</f>
        <v>N/A</v>
      </c>
      <c r="Z5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2" s="1" t="str">
        <f>IF(Table1[[#This Row],[Spec Type]]="","N/A",Table1[[#This Row],[Spec Type]])</f>
        <v>±</v>
      </c>
      <c r="AC552" s="1" t="str">
        <f>IF(Table1[[#This Row],[Spec Type2]]="N/A","N/A",IF(AND(Table1[[#This Row],[DUT Adj Read]]&gt;=Table1[[#This Row],[Low Tol]],Table1[[#This Row],[DUT Adj Read]]&lt;=Table1[[#This Row],[High Tol]]),"Pass","Fail"))</f>
        <v>Fail</v>
      </c>
      <c r="AD552" s="1" t="str">
        <f>IF(AND(Table1[[#This Row],[Spec Type2]]="N/A",Table1[[#This Row],[DUT Adj Read]]="N/A",Table1[[#This Row],[Std Adj Read]]="N/A"),"N/A",IF(Table1[[#This Row],[DUT Adj Read]]="N/A",IF(Table1[[#This Row],[Std Adj Read]]&gt;Table1[[#This Row],[Low Tol]],"Pass","Fail"),IF(Table1[[#This Row],[DUT Adj Read]]&gt;Table1[[#This Row],[Low Tol]],"Pass","Fail")))</f>
        <v>Pass</v>
      </c>
      <c r="AE552" s="1" t="str">
        <f>IF(AND(Table1[[#This Row],[Spec Type2]]="N/A",Table1[[#This Row],[DUT Adj Read]]="N/A",Table1[[#This Row],[Std Adj Read]]="N/A"),"N/A",IF(Table1[[#This Row],[DUT Adj Read]]="N/A",IF(Table1[[#This Row],[Std Adj Read]]&lt;Table1[[#This Row],[High Tol]],"Pass","Fail"),IF(Table1[[#This Row],[DUT Adj Read]]&lt;Table1[[#This Row],[High Tol]],"Pass","Fail")))</f>
        <v>Fail</v>
      </c>
      <c r="AF552" s="1" t="str">
        <f>IF(AND(Table1[[#This Row],[Spec Type2]]="N/A",Table1[[#This Row],[DUT Adj Read]]="N/A",Table1[[#This Row],[Std Adj Read]]="N/A"),"N/A",IF(Table1[[#This Row],[DUT Adj Read]]="N/A",IF(Table1[[#This Row],[Std Adj Read]]&gt;=Table1[[#This Row],[Low Tol]],"Pass","Fail"),IF(Table1[[#This Row],[DUT Adj Read]]&gt;=Table1[[#This Row],[Low Tol]],"Pass","Fail")))</f>
        <v>Pass</v>
      </c>
      <c r="AG552" s="1" t="str">
        <f>IF(AND(Table1[[#This Row],[Spec Type2]]="N/A",Table1[[#This Row],[DUT Adj Read]]="N/A",Table1[[#This Row],[Std Adj Read]]="N/A"),"N/A",IF(Table1[[#This Row],[DUT Adj Read]]="N/A",IF(Table1[[#This Row],[Std Adj Read]]&lt;=Table1[[#This Row],[High Tol]],"Pass","Fail"),IF(Table1[[#This Row],[DUT Adj Read]]&lt;=Table1[[#This Row],[High Tol]],"Pass","Fail")))</f>
        <v>Fail</v>
      </c>
      <c r="AH5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2" s="1" t="b">
        <v>0</v>
      </c>
      <c r="AN552" s="1" t="b">
        <v>0</v>
      </c>
      <c r="AO552" s="1" t="b">
        <v>0</v>
      </c>
    </row>
    <row r="553" spans="1:41" x14ac:dyDescent="0.25">
      <c r="A553" s="10"/>
      <c r="B553" s="10"/>
      <c r="C553" s="10"/>
      <c r="D553" s="10"/>
      <c r="E553" s="10"/>
      <c r="F553" s="10"/>
      <c r="G553" s="10"/>
      <c r="H553" s="10"/>
      <c r="I553" s="1" t="str">
        <f t="shared" si="24"/>
        <v/>
      </c>
      <c r="J553" s="1" t="s">
        <v>35</v>
      </c>
      <c r="K553" s="1" t="str">
        <f t="shared" si="25"/>
        <v/>
      </c>
      <c r="L553" s="1" t="str">
        <f t="shared" si="26"/>
        <v/>
      </c>
      <c r="M553" s="1">
        <f>IF(OR(Table1[[#This Row],[Std Nom]]="",Table1[[#This Row],[Std Read]]=""),0,Table1[[#This Row],[Std Nom]]-Table1[[#This Row],[Std Read]])</f>
        <v>0</v>
      </c>
      <c r="N553" s="1">
        <f>IF(Calculations!$F$5="ACCREDITED 17025 WITH UNCERTAINTIES",$N$10,0)</f>
        <v>0</v>
      </c>
      <c r="Q553" s="1">
        <f>Table1[[#This Row],[High Tol]]-Table1[[#This Row],[Low Tol]]</f>
        <v>0</v>
      </c>
      <c r="R553" s="1">
        <f>2*Table1[[#This Row],[Std Error]]</f>
        <v>0</v>
      </c>
      <c r="S553" s="1" t="str">
        <f>IF(Table1[[#This Row],[High Tol]]="","N/A",IFERROR(ABS(Table1[[#This Row],[Tol Span]]/Table1[[#This Row],[Error Span]]),"N/A"))</f>
        <v>N/A</v>
      </c>
      <c r="T553" s="1" t="str">
        <f>IF(OR(Table1[[#This Row],[Low Tol]]="",Table1[[#This Row],[High Tol]]=""),"Needs Analysis",IF(Table1[[#This Row],[Ratio]]&gt;=4,"Not Significant",IF(Table1[[#This Row],[Ratio]]&gt;=2,"Semi-Significant","Significant")))</f>
        <v>Needs Analysis</v>
      </c>
      <c r="W553" s="1">
        <f>IF(Table1[[#This Row],[Cal Type]]&lt;&gt;"ACCREDITED 17025 WITH UNCERTAINTIES",0,"")</f>
        <v>0</v>
      </c>
      <c r="X553" s="1" t="str">
        <f>IF(Table1[[#This Row],[DUT Read]]="","N/A",Table1[[#This Row],[Std Error]]+Table1[[#This Row],[DUT Read]]+Table1[[#This Row],[DUT Ucty]])</f>
        <v>N/A</v>
      </c>
      <c r="Y553" s="1" t="str">
        <f>IF(Table1[[#This Row],[Std Read]]="","N/A",Table1[[#This Row],[Std Read]]+Table1[[#This Row],[Std Ucty]])</f>
        <v>N/A</v>
      </c>
      <c r="Z5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3" s="1" t="str">
        <f>IF(Table1[[#This Row],[Spec Type]]="","N/A",Table1[[#This Row],[Spec Type]])</f>
        <v>±</v>
      </c>
      <c r="AC553" s="1" t="str">
        <f>IF(Table1[[#This Row],[Spec Type2]]="N/A","N/A",IF(AND(Table1[[#This Row],[DUT Adj Read]]&gt;=Table1[[#This Row],[Low Tol]],Table1[[#This Row],[DUT Adj Read]]&lt;=Table1[[#This Row],[High Tol]]),"Pass","Fail"))</f>
        <v>Fail</v>
      </c>
      <c r="AD553" s="1" t="str">
        <f>IF(AND(Table1[[#This Row],[Spec Type2]]="N/A",Table1[[#This Row],[DUT Adj Read]]="N/A",Table1[[#This Row],[Std Adj Read]]="N/A"),"N/A",IF(Table1[[#This Row],[DUT Adj Read]]="N/A",IF(Table1[[#This Row],[Std Adj Read]]&gt;Table1[[#This Row],[Low Tol]],"Pass","Fail"),IF(Table1[[#This Row],[DUT Adj Read]]&gt;Table1[[#This Row],[Low Tol]],"Pass","Fail")))</f>
        <v>Pass</v>
      </c>
      <c r="AE553" s="1" t="str">
        <f>IF(AND(Table1[[#This Row],[Spec Type2]]="N/A",Table1[[#This Row],[DUT Adj Read]]="N/A",Table1[[#This Row],[Std Adj Read]]="N/A"),"N/A",IF(Table1[[#This Row],[DUT Adj Read]]="N/A",IF(Table1[[#This Row],[Std Adj Read]]&lt;Table1[[#This Row],[High Tol]],"Pass","Fail"),IF(Table1[[#This Row],[DUT Adj Read]]&lt;Table1[[#This Row],[High Tol]],"Pass","Fail")))</f>
        <v>Fail</v>
      </c>
      <c r="AF553" s="1" t="str">
        <f>IF(AND(Table1[[#This Row],[Spec Type2]]="N/A",Table1[[#This Row],[DUT Adj Read]]="N/A",Table1[[#This Row],[Std Adj Read]]="N/A"),"N/A",IF(Table1[[#This Row],[DUT Adj Read]]="N/A",IF(Table1[[#This Row],[Std Adj Read]]&gt;=Table1[[#This Row],[Low Tol]],"Pass","Fail"),IF(Table1[[#This Row],[DUT Adj Read]]&gt;=Table1[[#This Row],[Low Tol]],"Pass","Fail")))</f>
        <v>Pass</v>
      </c>
      <c r="AG553" s="1" t="str">
        <f>IF(AND(Table1[[#This Row],[Spec Type2]]="N/A",Table1[[#This Row],[DUT Adj Read]]="N/A",Table1[[#This Row],[Std Adj Read]]="N/A"),"N/A",IF(Table1[[#This Row],[DUT Adj Read]]="N/A",IF(Table1[[#This Row],[Std Adj Read]]&lt;=Table1[[#This Row],[High Tol]],"Pass","Fail"),IF(Table1[[#This Row],[DUT Adj Read]]&lt;=Table1[[#This Row],[High Tol]],"Pass","Fail")))</f>
        <v>Fail</v>
      </c>
      <c r="AH5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3" s="1" t="b">
        <v>0</v>
      </c>
      <c r="AN553" s="1" t="b">
        <v>0</v>
      </c>
      <c r="AO553" s="1" t="b">
        <v>0</v>
      </c>
    </row>
    <row r="554" spans="1:41" x14ac:dyDescent="0.25">
      <c r="A554" s="10"/>
      <c r="B554" s="10"/>
      <c r="C554" s="10"/>
      <c r="D554" s="10"/>
      <c r="E554" s="10"/>
      <c r="F554" s="10"/>
      <c r="G554" s="10"/>
      <c r="H554" s="10"/>
      <c r="I554" s="1" t="str">
        <f t="shared" si="24"/>
        <v/>
      </c>
      <c r="J554" s="1" t="s">
        <v>35</v>
      </c>
      <c r="K554" s="1" t="str">
        <f t="shared" si="25"/>
        <v/>
      </c>
      <c r="L554" s="1" t="str">
        <f t="shared" si="26"/>
        <v/>
      </c>
      <c r="M554" s="1">
        <f>IF(OR(Table1[[#This Row],[Std Nom]]="",Table1[[#This Row],[Std Read]]=""),0,Table1[[#This Row],[Std Nom]]-Table1[[#This Row],[Std Read]])</f>
        <v>0</v>
      </c>
      <c r="N554" s="1">
        <f>IF(Calculations!$F$5="ACCREDITED 17025 WITH UNCERTAINTIES",$N$10,0)</f>
        <v>0</v>
      </c>
      <c r="Q554" s="1">
        <f>Table1[[#This Row],[High Tol]]-Table1[[#This Row],[Low Tol]]</f>
        <v>0</v>
      </c>
      <c r="R554" s="1">
        <f>2*Table1[[#This Row],[Std Error]]</f>
        <v>0</v>
      </c>
      <c r="S554" s="1" t="str">
        <f>IF(Table1[[#This Row],[High Tol]]="","N/A",IFERROR(ABS(Table1[[#This Row],[Tol Span]]/Table1[[#This Row],[Error Span]]),"N/A"))</f>
        <v>N/A</v>
      </c>
      <c r="T554" s="1" t="str">
        <f>IF(OR(Table1[[#This Row],[Low Tol]]="",Table1[[#This Row],[High Tol]]=""),"Needs Analysis",IF(Table1[[#This Row],[Ratio]]&gt;=4,"Not Significant",IF(Table1[[#This Row],[Ratio]]&gt;=2,"Semi-Significant","Significant")))</f>
        <v>Needs Analysis</v>
      </c>
      <c r="W554" s="1">
        <f>IF(Table1[[#This Row],[Cal Type]]&lt;&gt;"ACCREDITED 17025 WITH UNCERTAINTIES",0,"")</f>
        <v>0</v>
      </c>
      <c r="X554" s="1" t="str">
        <f>IF(Table1[[#This Row],[DUT Read]]="","N/A",Table1[[#This Row],[Std Error]]+Table1[[#This Row],[DUT Read]]+Table1[[#This Row],[DUT Ucty]])</f>
        <v>N/A</v>
      </c>
      <c r="Y554" s="1" t="str">
        <f>IF(Table1[[#This Row],[Std Read]]="","N/A",Table1[[#This Row],[Std Read]]+Table1[[#This Row],[Std Ucty]])</f>
        <v>N/A</v>
      </c>
      <c r="Z5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4" s="1" t="str">
        <f>IF(Table1[[#This Row],[Spec Type]]="","N/A",Table1[[#This Row],[Spec Type]])</f>
        <v>±</v>
      </c>
      <c r="AC554" s="1" t="str">
        <f>IF(Table1[[#This Row],[Spec Type2]]="N/A","N/A",IF(AND(Table1[[#This Row],[DUT Adj Read]]&gt;=Table1[[#This Row],[Low Tol]],Table1[[#This Row],[DUT Adj Read]]&lt;=Table1[[#This Row],[High Tol]]),"Pass","Fail"))</f>
        <v>Fail</v>
      </c>
      <c r="AD554" s="1" t="str">
        <f>IF(AND(Table1[[#This Row],[Spec Type2]]="N/A",Table1[[#This Row],[DUT Adj Read]]="N/A",Table1[[#This Row],[Std Adj Read]]="N/A"),"N/A",IF(Table1[[#This Row],[DUT Adj Read]]="N/A",IF(Table1[[#This Row],[Std Adj Read]]&gt;Table1[[#This Row],[Low Tol]],"Pass","Fail"),IF(Table1[[#This Row],[DUT Adj Read]]&gt;Table1[[#This Row],[Low Tol]],"Pass","Fail")))</f>
        <v>Pass</v>
      </c>
      <c r="AE554" s="1" t="str">
        <f>IF(AND(Table1[[#This Row],[Spec Type2]]="N/A",Table1[[#This Row],[DUT Adj Read]]="N/A",Table1[[#This Row],[Std Adj Read]]="N/A"),"N/A",IF(Table1[[#This Row],[DUT Adj Read]]="N/A",IF(Table1[[#This Row],[Std Adj Read]]&lt;Table1[[#This Row],[High Tol]],"Pass","Fail"),IF(Table1[[#This Row],[DUT Adj Read]]&lt;Table1[[#This Row],[High Tol]],"Pass","Fail")))</f>
        <v>Fail</v>
      </c>
      <c r="AF554" s="1" t="str">
        <f>IF(AND(Table1[[#This Row],[Spec Type2]]="N/A",Table1[[#This Row],[DUT Adj Read]]="N/A",Table1[[#This Row],[Std Adj Read]]="N/A"),"N/A",IF(Table1[[#This Row],[DUT Adj Read]]="N/A",IF(Table1[[#This Row],[Std Adj Read]]&gt;=Table1[[#This Row],[Low Tol]],"Pass","Fail"),IF(Table1[[#This Row],[DUT Adj Read]]&gt;=Table1[[#This Row],[Low Tol]],"Pass","Fail")))</f>
        <v>Pass</v>
      </c>
      <c r="AG554" s="1" t="str">
        <f>IF(AND(Table1[[#This Row],[Spec Type2]]="N/A",Table1[[#This Row],[DUT Adj Read]]="N/A",Table1[[#This Row],[Std Adj Read]]="N/A"),"N/A",IF(Table1[[#This Row],[DUT Adj Read]]="N/A",IF(Table1[[#This Row],[Std Adj Read]]&lt;=Table1[[#This Row],[High Tol]],"Pass","Fail"),IF(Table1[[#This Row],[DUT Adj Read]]&lt;=Table1[[#This Row],[High Tol]],"Pass","Fail")))</f>
        <v>Fail</v>
      </c>
      <c r="AH5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4" s="1" t="b">
        <v>0</v>
      </c>
      <c r="AN554" s="1" t="b">
        <v>0</v>
      </c>
      <c r="AO554" s="1" t="b">
        <v>0</v>
      </c>
    </row>
    <row r="555" spans="1:41" x14ac:dyDescent="0.25">
      <c r="A555" s="10"/>
      <c r="B555" s="10"/>
      <c r="C555" s="10"/>
      <c r="D555" s="10"/>
      <c r="E555" s="10"/>
      <c r="F555" s="10"/>
      <c r="G555" s="10"/>
      <c r="H555" s="10"/>
      <c r="I555" s="1" t="str">
        <f t="shared" si="24"/>
        <v/>
      </c>
      <c r="J555" s="1" t="s">
        <v>35</v>
      </c>
      <c r="K555" s="1" t="str">
        <f t="shared" si="25"/>
        <v/>
      </c>
      <c r="L555" s="1" t="str">
        <f t="shared" si="26"/>
        <v/>
      </c>
      <c r="M555" s="1">
        <f>IF(OR(Table1[[#This Row],[Std Nom]]="",Table1[[#This Row],[Std Read]]=""),0,Table1[[#This Row],[Std Nom]]-Table1[[#This Row],[Std Read]])</f>
        <v>0</v>
      </c>
      <c r="N555" s="1">
        <f>IF(Calculations!$F$5="ACCREDITED 17025 WITH UNCERTAINTIES",$N$10,0)</f>
        <v>0</v>
      </c>
      <c r="Q555" s="1">
        <f>Table1[[#This Row],[High Tol]]-Table1[[#This Row],[Low Tol]]</f>
        <v>0</v>
      </c>
      <c r="R555" s="1">
        <f>2*Table1[[#This Row],[Std Error]]</f>
        <v>0</v>
      </c>
      <c r="S555" s="1" t="str">
        <f>IF(Table1[[#This Row],[High Tol]]="","N/A",IFERROR(ABS(Table1[[#This Row],[Tol Span]]/Table1[[#This Row],[Error Span]]),"N/A"))</f>
        <v>N/A</v>
      </c>
      <c r="T555" s="1" t="str">
        <f>IF(OR(Table1[[#This Row],[Low Tol]]="",Table1[[#This Row],[High Tol]]=""),"Needs Analysis",IF(Table1[[#This Row],[Ratio]]&gt;=4,"Not Significant",IF(Table1[[#This Row],[Ratio]]&gt;=2,"Semi-Significant","Significant")))</f>
        <v>Needs Analysis</v>
      </c>
      <c r="W555" s="1">
        <f>IF(Table1[[#This Row],[Cal Type]]&lt;&gt;"ACCREDITED 17025 WITH UNCERTAINTIES",0,"")</f>
        <v>0</v>
      </c>
      <c r="X555" s="1" t="str">
        <f>IF(Table1[[#This Row],[DUT Read]]="","N/A",Table1[[#This Row],[Std Error]]+Table1[[#This Row],[DUT Read]]+Table1[[#This Row],[DUT Ucty]])</f>
        <v>N/A</v>
      </c>
      <c r="Y555" s="1" t="str">
        <f>IF(Table1[[#This Row],[Std Read]]="","N/A",Table1[[#This Row],[Std Read]]+Table1[[#This Row],[Std Ucty]])</f>
        <v>N/A</v>
      </c>
      <c r="Z5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5" s="1" t="str">
        <f>IF(Table1[[#This Row],[Spec Type]]="","N/A",Table1[[#This Row],[Spec Type]])</f>
        <v>±</v>
      </c>
      <c r="AC555" s="1" t="str">
        <f>IF(Table1[[#This Row],[Spec Type2]]="N/A","N/A",IF(AND(Table1[[#This Row],[DUT Adj Read]]&gt;=Table1[[#This Row],[Low Tol]],Table1[[#This Row],[DUT Adj Read]]&lt;=Table1[[#This Row],[High Tol]]),"Pass","Fail"))</f>
        <v>Fail</v>
      </c>
      <c r="AD555" s="1" t="str">
        <f>IF(AND(Table1[[#This Row],[Spec Type2]]="N/A",Table1[[#This Row],[DUT Adj Read]]="N/A",Table1[[#This Row],[Std Adj Read]]="N/A"),"N/A",IF(Table1[[#This Row],[DUT Adj Read]]="N/A",IF(Table1[[#This Row],[Std Adj Read]]&gt;Table1[[#This Row],[Low Tol]],"Pass","Fail"),IF(Table1[[#This Row],[DUT Adj Read]]&gt;Table1[[#This Row],[Low Tol]],"Pass","Fail")))</f>
        <v>Pass</v>
      </c>
      <c r="AE555" s="1" t="str">
        <f>IF(AND(Table1[[#This Row],[Spec Type2]]="N/A",Table1[[#This Row],[DUT Adj Read]]="N/A",Table1[[#This Row],[Std Adj Read]]="N/A"),"N/A",IF(Table1[[#This Row],[DUT Adj Read]]="N/A",IF(Table1[[#This Row],[Std Adj Read]]&lt;Table1[[#This Row],[High Tol]],"Pass","Fail"),IF(Table1[[#This Row],[DUT Adj Read]]&lt;Table1[[#This Row],[High Tol]],"Pass","Fail")))</f>
        <v>Fail</v>
      </c>
      <c r="AF555" s="1" t="str">
        <f>IF(AND(Table1[[#This Row],[Spec Type2]]="N/A",Table1[[#This Row],[DUT Adj Read]]="N/A",Table1[[#This Row],[Std Adj Read]]="N/A"),"N/A",IF(Table1[[#This Row],[DUT Adj Read]]="N/A",IF(Table1[[#This Row],[Std Adj Read]]&gt;=Table1[[#This Row],[Low Tol]],"Pass","Fail"),IF(Table1[[#This Row],[DUT Adj Read]]&gt;=Table1[[#This Row],[Low Tol]],"Pass","Fail")))</f>
        <v>Pass</v>
      </c>
      <c r="AG555" s="1" t="str">
        <f>IF(AND(Table1[[#This Row],[Spec Type2]]="N/A",Table1[[#This Row],[DUT Adj Read]]="N/A",Table1[[#This Row],[Std Adj Read]]="N/A"),"N/A",IF(Table1[[#This Row],[DUT Adj Read]]="N/A",IF(Table1[[#This Row],[Std Adj Read]]&lt;=Table1[[#This Row],[High Tol]],"Pass","Fail"),IF(Table1[[#This Row],[DUT Adj Read]]&lt;=Table1[[#This Row],[High Tol]],"Pass","Fail")))</f>
        <v>Fail</v>
      </c>
      <c r="AH5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5" s="1" t="b">
        <v>0</v>
      </c>
      <c r="AN555" s="1" t="b">
        <v>0</v>
      </c>
      <c r="AO555" s="1" t="b">
        <v>0</v>
      </c>
    </row>
    <row r="556" spans="1:41" x14ac:dyDescent="0.25">
      <c r="A556" s="10"/>
      <c r="B556" s="10"/>
      <c r="C556" s="10"/>
      <c r="D556" s="10"/>
      <c r="E556" s="10"/>
      <c r="F556" s="10"/>
      <c r="G556" s="10"/>
      <c r="H556" s="10"/>
      <c r="I556" s="1" t="str">
        <f t="shared" si="24"/>
        <v/>
      </c>
      <c r="J556" s="1" t="s">
        <v>35</v>
      </c>
      <c r="K556" s="1" t="str">
        <f t="shared" si="25"/>
        <v/>
      </c>
      <c r="L556" s="1" t="str">
        <f t="shared" si="26"/>
        <v/>
      </c>
      <c r="M556" s="1">
        <f>IF(OR(Table1[[#This Row],[Std Nom]]="",Table1[[#This Row],[Std Read]]=""),0,Table1[[#This Row],[Std Nom]]-Table1[[#This Row],[Std Read]])</f>
        <v>0</v>
      </c>
      <c r="N556" s="1">
        <f>IF(Calculations!$F$5="ACCREDITED 17025 WITH UNCERTAINTIES",$N$10,0)</f>
        <v>0</v>
      </c>
      <c r="Q556" s="1">
        <f>Table1[[#This Row],[High Tol]]-Table1[[#This Row],[Low Tol]]</f>
        <v>0</v>
      </c>
      <c r="R556" s="1">
        <f>2*Table1[[#This Row],[Std Error]]</f>
        <v>0</v>
      </c>
      <c r="S556" s="1" t="str">
        <f>IF(Table1[[#This Row],[High Tol]]="","N/A",IFERROR(ABS(Table1[[#This Row],[Tol Span]]/Table1[[#This Row],[Error Span]]),"N/A"))</f>
        <v>N/A</v>
      </c>
      <c r="T556" s="1" t="str">
        <f>IF(OR(Table1[[#This Row],[Low Tol]]="",Table1[[#This Row],[High Tol]]=""),"Needs Analysis",IF(Table1[[#This Row],[Ratio]]&gt;=4,"Not Significant",IF(Table1[[#This Row],[Ratio]]&gt;=2,"Semi-Significant","Significant")))</f>
        <v>Needs Analysis</v>
      </c>
      <c r="W556" s="1">
        <f>IF(Table1[[#This Row],[Cal Type]]&lt;&gt;"ACCREDITED 17025 WITH UNCERTAINTIES",0,"")</f>
        <v>0</v>
      </c>
      <c r="X556" s="1" t="str">
        <f>IF(Table1[[#This Row],[DUT Read]]="","N/A",Table1[[#This Row],[Std Error]]+Table1[[#This Row],[DUT Read]]+Table1[[#This Row],[DUT Ucty]])</f>
        <v>N/A</v>
      </c>
      <c r="Y556" s="1" t="str">
        <f>IF(Table1[[#This Row],[Std Read]]="","N/A",Table1[[#This Row],[Std Read]]+Table1[[#This Row],[Std Ucty]])</f>
        <v>N/A</v>
      </c>
      <c r="Z5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6" s="1" t="str">
        <f>IF(Table1[[#This Row],[Spec Type]]="","N/A",Table1[[#This Row],[Spec Type]])</f>
        <v>±</v>
      </c>
      <c r="AC556" s="1" t="str">
        <f>IF(Table1[[#This Row],[Spec Type2]]="N/A","N/A",IF(AND(Table1[[#This Row],[DUT Adj Read]]&gt;=Table1[[#This Row],[Low Tol]],Table1[[#This Row],[DUT Adj Read]]&lt;=Table1[[#This Row],[High Tol]]),"Pass","Fail"))</f>
        <v>Fail</v>
      </c>
      <c r="AD556" s="1" t="str">
        <f>IF(AND(Table1[[#This Row],[Spec Type2]]="N/A",Table1[[#This Row],[DUT Adj Read]]="N/A",Table1[[#This Row],[Std Adj Read]]="N/A"),"N/A",IF(Table1[[#This Row],[DUT Adj Read]]="N/A",IF(Table1[[#This Row],[Std Adj Read]]&gt;Table1[[#This Row],[Low Tol]],"Pass","Fail"),IF(Table1[[#This Row],[DUT Adj Read]]&gt;Table1[[#This Row],[Low Tol]],"Pass","Fail")))</f>
        <v>Pass</v>
      </c>
      <c r="AE556" s="1" t="str">
        <f>IF(AND(Table1[[#This Row],[Spec Type2]]="N/A",Table1[[#This Row],[DUT Adj Read]]="N/A",Table1[[#This Row],[Std Adj Read]]="N/A"),"N/A",IF(Table1[[#This Row],[DUT Adj Read]]="N/A",IF(Table1[[#This Row],[Std Adj Read]]&lt;Table1[[#This Row],[High Tol]],"Pass","Fail"),IF(Table1[[#This Row],[DUT Adj Read]]&lt;Table1[[#This Row],[High Tol]],"Pass","Fail")))</f>
        <v>Fail</v>
      </c>
      <c r="AF556" s="1" t="str">
        <f>IF(AND(Table1[[#This Row],[Spec Type2]]="N/A",Table1[[#This Row],[DUT Adj Read]]="N/A",Table1[[#This Row],[Std Adj Read]]="N/A"),"N/A",IF(Table1[[#This Row],[DUT Adj Read]]="N/A",IF(Table1[[#This Row],[Std Adj Read]]&gt;=Table1[[#This Row],[Low Tol]],"Pass","Fail"),IF(Table1[[#This Row],[DUT Adj Read]]&gt;=Table1[[#This Row],[Low Tol]],"Pass","Fail")))</f>
        <v>Pass</v>
      </c>
      <c r="AG556" s="1" t="str">
        <f>IF(AND(Table1[[#This Row],[Spec Type2]]="N/A",Table1[[#This Row],[DUT Adj Read]]="N/A",Table1[[#This Row],[Std Adj Read]]="N/A"),"N/A",IF(Table1[[#This Row],[DUT Adj Read]]="N/A",IF(Table1[[#This Row],[Std Adj Read]]&lt;=Table1[[#This Row],[High Tol]],"Pass","Fail"),IF(Table1[[#This Row],[DUT Adj Read]]&lt;=Table1[[#This Row],[High Tol]],"Pass","Fail")))</f>
        <v>Fail</v>
      </c>
      <c r="AH5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6" s="1" t="b">
        <v>0</v>
      </c>
      <c r="AN556" s="1" t="b">
        <v>0</v>
      </c>
      <c r="AO556" s="1" t="b">
        <v>0</v>
      </c>
    </row>
    <row r="557" spans="1:41" x14ac:dyDescent="0.25">
      <c r="A557" s="10"/>
      <c r="B557" s="10"/>
      <c r="C557" s="10"/>
      <c r="D557" s="10"/>
      <c r="E557" s="10"/>
      <c r="F557" s="10"/>
      <c r="G557" s="10"/>
      <c r="H557" s="10"/>
      <c r="I557" s="1" t="str">
        <f t="shared" si="24"/>
        <v/>
      </c>
      <c r="J557" s="1" t="s">
        <v>35</v>
      </c>
      <c r="K557" s="1" t="str">
        <f t="shared" si="25"/>
        <v/>
      </c>
      <c r="L557" s="1" t="str">
        <f t="shared" si="26"/>
        <v/>
      </c>
      <c r="M557" s="1">
        <f>IF(OR(Table1[[#This Row],[Std Nom]]="",Table1[[#This Row],[Std Read]]=""),0,Table1[[#This Row],[Std Nom]]-Table1[[#This Row],[Std Read]])</f>
        <v>0</v>
      </c>
      <c r="N557" s="1">
        <f>IF(Calculations!$F$5="ACCREDITED 17025 WITH UNCERTAINTIES",$N$10,0)</f>
        <v>0</v>
      </c>
      <c r="Q557" s="1">
        <f>Table1[[#This Row],[High Tol]]-Table1[[#This Row],[Low Tol]]</f>
        <v>0</v>
      </c>
      <c r="R557" s="1">
        <f>2*Table1[[#This Row],[Std Error]]</f>
        <v>0</v>
      </c>
      <c r="S557" s="1" t="str">
        <f>IF(Table1[[#This Row],[High Tol]]="","N/A",IFERROR(ABS(Table1[[#This Row],[Tol Span]]/Table1[[#This Row],[Error Span]]),"N/A"))</f>
        <v>N/A</v>
      </c>
      <c r="T557" s="1" t="str">
        <f>IF(OR(Table1[[#This Row],[Low Tol]]="",Table1[[#This Row],[High Tol]]=""),"Needs Analysis",IF(Table1[[#This Row],[Ratio]]&gt;=4,"Not Significant",IF(Table1[[#This Row],[Ratio]]&gt;=2,"Semi-Significant","Significant")))</f>
        <v>Needs Analysis</v>
      </c>
      <c r="W557" s="1">
        <f>IF(Table1[[#This Row],[Cal Type]]&lt;&gt;"ACCREDITED 17025 WITH UNCERTAINTIES",0,"")</f>
        <v>0</v>
      </c>
      <c r="X557" s="1" t="str">
        <f>IF(Table1[[#This Row],[DUT Read]]="","N/A",Table1[[#This Row],[Std Error]]+Table1[[#This Row],[DUT Read]]+Table1[[#This Row],[DUT Ucty]])</f>
        <v>N/A</v>
      </c>
      <c r="Y557" s="1" t="str">
        <f>IF(Table1[[#This Row],[Std Read]]="","N/A",Table1[[#This Row],[Std Read]]+Table1[[#This Row],[Std Ucty]])</f>
        <v>N/A</v>
      </c>
      <c r="Z5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7" s="1" t="str">
        <f>IF(Table1[[#This Row],[Spec Type]]="","N/A",Table1[[#This Row],[Spec Type]])</f>
        <v>±</v>
      </c>
      <c r="AC557" s="1" t="str">
        <f>IF(Table1[[#This Row],[Spec Type2]]="N/A","N/A",IF(AND(Table1[[#This Row],[DUT Adj Read]]&gt;=Table1[[#This Row],[Low Tol]],Table1[[#This Row],[DUT Adj Read]]&lt;=Table1[[#This Row],[High Tol]]),"Pass","Fail"))</f>
        <v>Fail</v>
      </c>
      <c r="AD557" s="1" t="str">
        <f>IF(AND(Table1[[#This Row],[Spec Type2]]="N/A",Table1[[#This Row],[DUT Adj Read]]="N/A",Table1[[#This Row],[Std Adj Read]]="N/A"),"N/A",IF(Table1[[#This Row],[DUT Adj Read]]="N/A",IF(Table1[[#This Row],[Std Adj Read]]&gt;Table1[[#This Row],[Low Tol]],"Pass","Fail"),IF(Table1[[#This Row],[DUT Adj Read]]&gt;Table1[[#This Row],[Low Tol]],"Pass","Fail")))</f>
        <v>Pass</v>
      </c>
      <c r="AE557" s="1" t="str">
        <f>IF(AND(Table1[[#This Row],[Spec Type2]]="N/A",Table1[[#This Row],[DUT Adj Read]]="N/A",Table1[[#This Row],[Std Adj Read]]="N/A"),"N/A",IF(Table1[[#This Row],[DUT Adj Read]]="N/A",IF(Table1[[#This Row],[Std Adj Read]]&lt;Table1[[#This Row],[High Tol]],"Pass","Fail"),IF(Table1[[#This Row],[DUT Adj Read]]&lt;Table1[[#This Row],[High Tol]],"Pass","Fail")))</f>
        <v>Fail</v>
      </c>
      <c r="AF557" s="1" t="str">
        <f>IF(AND(Table1[[#This Row],[Spec Type2]]="N/A",Table1[[#This Row],[DUT Adj Read]]="N/A",Table1[[#This Row],[Std Adj Read]]="N/A"),"N/A",IF(Table1[[#This Row],[DUT Adj Read]]="N/A",IF(Table1[[#This Row],[Std Adj Read]]&gt;=Table1[[#This Row],[Low Tol]],"Pass","Fail"),IF(Table1[[#This Row],[DUT Adj Read]]&gt;=Table1[[#This Row],[Low Tol]],"Pass","Fail")))</f>
        <v>Pass</v>
      </c>
      <c r="AG557" s="1" t="str">
        <f>IF(AND(Table1[[#This Row],[Spec Type2]]="N/A",Table1[[#This Row],[DUT Adj Read]]="N/A",Table1[[#This Row],[Std Adj Read]]="N/A"),"N/A",IF(Table1[[#This Row],[DUT Adj Read]]="N/A",IF(Table1[[#This Row],[Std Adj Read]]&lt;=Table1[[#This Row],[High Tol]],"Pass","Fail"),IF(Table1[[#This Row],[DUT Adj Read]]&lt;=Table1[[#This Row],[High Tol]],"Pass","Fail")))</f>
        <v>Fail</v>
      </c>
      <c r="AH5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7" s="1" t="b">
        <v>0</v>
      </c>
      <c r="AN557" s="1" t="b">
        <v>0</v>
      </c>
      <c r="AO557" s="1" t="b">
        <v>0</v>
      </c>
    </row>
    <row r="558" spans="1:41" x14ac:dyDescent="0.25">
      <c r="A558" s="10"/>
      <c r="B558" s="10"/>
      <c r="C558" s="10"/>
      <c r="D558" s="10"/>
      <c r="E558" s="10"/>
      <c r="F558" s="10"/>
      <c r="G558" s="10"/>
      <c r="H558" s="10"/>
      <c r="I558" s="1" t="str">
        <f t="shared" si="24"/>
        <v/>
      </c>
      <c r="J558" s="1" t="s">
        <v>35</v>
      </c>
      <c r="K558" s="1" t="str">
        <f t="shared" si="25"/>
        <v/>
      </c>
      <c r="L558" s="1" t="str">
        <f t="shared" si="26"/>
        <v/>
      </c>
      <c r="M558" s="1">
        <f>IF(OR(Table1[[#This Row],[Std Nom]]="",Table1[[#This Row],[Std Read]]=""),0,Table1[[#This Row],[Std Nom]]-Table1[[#This Row],[Std Read]])</f>
        <v>0</v>
      </c>
      <c r="N558" s="1">
        <f>IF(Calculations!$F$5="ACCREDITED 17025 WITH UNCERTAINTIES",$N$10,0)</f>
        <v>0</v>
      </c>
      <c r="Q558" s="1">
        <f>Table1[[#This Row],[High Tol]]-Table1[[#This Row],[Low Tol]]</f>
        <v>0</v>
      </c>
      <c r="R558" s="1">
        <f>2*Table1[[#This Row],[Std Error]]</f>
        <v>0</v>
      </c>
      <c r="S558" s="1" t="str">
        <f>IF(Table1[[#This Row],[High Tol]]="","N/A",IFERROR(ABS(Table1[[#This Row],[Tol Span]]/Table1[[#This Row],[Error Span]]),"N/A"))</f>
        <v>N/A</v>
      </c>
      <c r="T558" s="1" t="str">
        <f>IF(OR(Table1[[#This Row],[Low Tol]]="",Table1[[#This Row],[High Tol]]=""),"Needs Analysis",IF(Table1[[#This Row],[Ratio]]&gt;=4,"Not Significant",IF(Table1[[#This Row],[Ratio]]&gt;=2,"Semi-Significant","Significant")))</f>
        <v>Needs Analysis</v>
      </c>
      <c r="W558" s="1">
        <f>IF(Table1[[#This Row],[Cal Type]]&lt;&gt;"ACCREDITED 17025 WITH UNCERTAINTIES",0,"")</f>
        <v>0</v>
      </c>
      <c r="X558" s="1" t="str">
        <f>IF(Table1[[#This Row],[DUT Read]]="","N/A",Table1[[#This Row],[Std Error]]+Table1[[#This Row],[DUT Read]]+Table1[[#This Row],[DUT Ucty]])</f>
        <v>N/A</v>
      </c>
      <c r="Y558" s="1" t="str">
        <f>IF(Table1[[#This Row],[Std Read]]="","N/A",Table1[[#This Row],[Std Read]]+Table1[[#This Row],[Std Ucty]])</f>
        <v>N/A</v>
      </c>
      <c r="Z5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8" s="1" t="str">
        <f>IF(Table1[[#This Row],[Spec Type]]="","N/A",Table1[[#This Row],[Spec Type]])</f>
        <v>±</v>
      </c>
      <c r="AC558" s="1" t="str">
        <f>IF(Table1[[#This Row],[Spec Type2]]="N/A","N/A",IF(AND(Table1[[#This Row],[DUT Adj Read]]&gt;=Table1[[#This Row],[Low Tol]],Table1[[#This Row],[DUT Adj Read]]&lt;=Table1[[#This Row],[High Tol]]),"Pass","Fail"))</f>
        <v>Fail</v>
      </c>
      <c r="AD558" s="1" t="str">
        <f>IF(AND(Table1[[#This Row],[Spec Type2]]="N/A",Table1[[#This Row],[DUT Adj Read]]="N/A",Table1[[#This Row],[Std Adj Read]]="N/A"),"N/A",IF(Table1[[#This Row],[DUT Adj Read]]="N/A",IF(Table1[[#This Row],[Std Adj Read]]&gt;Table1[[#This Row],[Low Tol]],"Pass","Fail"),IF(Table1[[#This Row],[DUT Adj Read]]&gt;Table1[[#This Row],[Low Tol]],"Pass","Fail")))</f>
        <v>Pass</v>
      </c>
      <c r="AE558" s="1" t="str">
        <f>IF(AND(Table1[[#This Row],[Spec Type2]]="N/A",Table1[[#This Row],[DUT Adj Read]]="N/A",Table1[[#This Row],[Std Adj Read]]="N/A"),"N/A",IF(Table1[[#This Row],[DUT Adj Read]]="N/A",IF(Table1[[#This Row],[Std Adj Read]]&lt;Table1[[#This Row],[High Tol]],"Pass","Fail"),IF(Table1[[#This Row],[DUT Adj Read]]&lt;Table1[[#This Row],[High Tol]],"Pass","Fail")))</f>
        <v>Fail</v>
      </c>
      <c r="AF558" s="1" t="str">
        <f>IF(AND(Table1[[#This Row],[Spec Type2]]="N/A",Table1[[#This Row],[DUT Adj Read]]="N/A",Table1[[#This Row],[Std Adj Read]]="N/A"),"N/A",IF(Table1[[#This Row],[DUT Adj Read]]="N/A",IF(Table1[[#This Row],[Std Adj Read]]&gt;=Table1[[#This Row],[Low Tol]],"Pass","Fail"),IF(Table1[[#This Row],[DUT Adj Read]]&gt;=Table1[[#This Row],[Low Tol]],"Pass","Fail")))</f>
        <v>Pass</v>
      </c>
      <c r="AG558" s="1" t="str">
        <f>IF(AND(Table1[[#This Row],[Spec Type2]]="N/A",Table1[[#This Row],[DUT Adj Read]]="N/A",Table1[[#This Row],[Std Adj Read]]="N/A"),"N/A",IF(Table1[[#This Row],[DUT Adj Read]]="N/A",IF(Table1[[#This Row],[Std Adj Read]]&lt;=Table1[[#This Row],[High Tol]],"Pass","Fail"),IF(Table1[[#This Row],[DUT Adj Read]]&lt;=Table1[[#This Row],[High Tol]],"Pass","Fail")))</f>
        <v>Fail</v>
      </c>
      <c r="AH5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8" s="1" t="b">
        <v>0</v>
      </c>
      <c r="AN558" s="1" t="b">
        <v>0</v>
      </c>
      <c r="AO558" s="1" t="b">
        <v>0</v>
      </c>
    </row>
    <row r="559" spans="1:41" x14ac:dyDescent="0.25">
      <c r="A559" s="10"/>
      <c r="B559" s="10"/>
      <c r="C559" s="10"/>
      <c r="D559" s="10"/>
      <c r="E559" s="10"/>
      <c r="F559" s="10"/>
      <c r="G559" s="10"/>
      <c r="H559" s="10"/>
      <c r="I559" s="1" t="str">
        <f t="shared" si="24"/>
        <v/>
      </c>
      <c r="J559" s="1" t="s">
        <v>35</v>
      </c>
      <c r="K559" s="1" t="str">
        <f t="shared" si="25"/>
        <v/>
      </c>
      <c r="L559" s="1" t="str">
        <f t="shared" si="26"/>
        <v/>
      </c>
      <c r="M559" s="1">
        <f>IF(OR(Table1[[#This Row],[Std Nom]]="",Table1[[#This Row],[Std Read]]=""),0,Table1[[#This Row],[Std Nom]]-Table1[[#This Row],[Std Read]])</f>
        <v>0</v>
      </c>
      <c r="N559" s="1">
        <f>IF(Calculations!$F$5="ACCREDITED 17025 WITH UNCERTAINTIES",$N$10,0)</f>
        <v>0</v>
      </c>
      <c r="Q559" s="1">
        <f>Table1[[#This Row],[High Tol]]-Table1[[#This Row],[Low Tol]]</f>
        <v>0</v>
      </c>
      <c r="R559" s="1">
        <f>2*Table1[[#This Row],[Std Error]]</f>
        <v>0</v>
      </c>
      <c r="S559" s="1" t="str">
        <f>IF(Table1[[#This Row],[High Tol]]="","N/A",IFERROR(ABS(Table1[[#This Row],[Tol Span]]/Table1[[#This Row],[Error Span]]),"N/A"))</f>
        <v>N/A</v>
      </c>
      <c r="T559" s="1" t="str">
        <f>IF(OR(Table1[[#This Row],[Low Tol]]="",Table1[[#This Row],[High Tol]]=""),"Needs Analysis",IF(Table1[[#This Row],[Ratio]]&gt;=4,"Not Significant",IF(Table1[[#This Row],[Ratio]]&gt;=2,"Semi-Significant","Significant")))</f>
        <v>Needs Analysis</v>
      </c>
      <c r="W559" s="1">
        <f>IF(Table1[[#This Row],[Cal Type]]&lt;&gt;"ACCREDITED 17025 WITH UNCERTAINTIES",0,"")</f>
        <v>0</v>
      </c>
      <c r="X559" s="1" t="str">
        <f>IF(Table1[[#This Row],[DUT Read]]="","N/A",Table1[[#This Row],[Std Error]]+Table1[[#This Row],[DUT Read]]+Table1[[#This Row],[DUT Ucty]])</f>
        <v>N/A</v>
      </c>
      <c r="Y559" s="1" t="str">
        <f>IF(Table1[[#This Row],[Std Read]]="","N/A",Table1[[#This Row],[Std Read]]+Table1[[#This Row],[Std Ucty]])</f>
        <v>N/A</v>
      </c>
      <c r="Z5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59" s="1" t="str">
        <f>IF(Table1[[#This Row],[Spec Type]]="","N/A",Table1[[#This Row],[Spec Type]])</f>
        <v>±</v>
      </c>
      <c r="AC559" s="1" t="str">
        <f>IF(Table1[[#This Row],[Spec Type2]]="N/A","N/A",IF(AND(Table1[[#This Row],[DUT Adj Read]]&gt;=Table1[[#This Row],[Low Tol]],Table1[[#This Row],[DUT Adj Read]]&lt;=Table1[[#This Row],[High Tol]]),"Pass","Fail"))</f>
        <v>Fail</v>
      </c>
      <c r="AD559" s="1" t="str">
        <f>IF(AND(Table1[[#This Row],[Spec Type2]]="N/A",Table1[[#This Row],[DUT Adj Read]]="N/A",Table1[[#This Row],[Std Adj Read]]="N/A"),"N/A",IF(Table1[[#This Row],[DUT Adj Read]]="N/A",IF(Table1[[#This Row],[Std Adj Read]]&gt;Table1[[#This Row],[Low Tol]],"Pass","Fail"),IF(Table1[[#This Row],[DUT Adj Read]]&gt;Table1[[#This Row],[Low Tol]],"Pass","Fail")))</f>
        <v>Pass</v>
      </c>
      <c r="AE559" s="1" t="str">
        <f>IF(AND(Table1[[#This Row],[Spec Type2]]="N/A",Table1[[#This Row],[DUT Adj Read]]="N/A",Table1[[#This Row],[Std Adj Read]]="N/A"),"N/A",IF(Table1[[#This Row],[DUT Adj Read]]="N/A",IF(Table1[[#This Row],[Std Adj Read]]&lt;Table1[[#This Row],[High Tol]],"Pass","Fail"),IF(Table1[[#This Row],[DUT Adj Read]]&lt;Table1[[#This Row],[High Tol]],"Pass","Fail")))</f>
        <v>Fail</v>
      </c>
      <c r="AF559" s="1" t="str">
        <f>IF(AND(Table1[[#This Row],[Spec Type2]]="N/A",Table1[[#This Row],[DUT Adj Read]]="N/A",Table1[[#This Row],[Std Adj Read]]="N/A"),"N/A",IF(Table1[[#This Row],[DUT Adj Read]]="N/A",IF(Table1[[#This Row],[Std Adj Read]]&gt;=Table1[[#This Row],[Low Tol]],"Pass","Fail"),IF(Table1[[#This Row],[DUT Adj Read]]&gt;=Table1[[#This Row],[Low Tol]],"Pass","Fail")))</f>
        <v>Pass</v>
      </c>
      <c r="AG559" s="1" t="str">
        <f>IF(AND(Table1[[#This Row],[Spec Type2]]="N/A",Table1[[#This Row],[DUT Adj Read]]="N/A",Table1[[#This Row],[Std Adj Read]]="N/A"),"N/A",IF(Table1[[#This Row],[DUT Adj Read]]="N/A",IF(Table1[[#This Row],[Std Adj Read]]&lt;=Table1[[#This Row],[High Tol]],"Pass","Fail"),IF(Table1[[#This Row],[DUT Adj Read]]&lt;=Table1[[#This Row],[High Tol]],"Pass","Fail")))</f>
        <v>Fail</v>
      </c>
      <c r="AH5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59" s="1" t="b">
        <v>0</v>
      </c>
      <c r="AN559" s="1" t="b">
        <v>0</v>
      </c>
      <c r="AO559" s="1" t="b">
        <v>0</v>
      </c>
    </row>
    <row r="560" spans="1:41" x14ac:dyDescent="0.25">
      <c r="A560" s="10"/>
      <c r="B560" s="10"/>
      <c r="C560" s="10"/>
      <c r="D560" s="10"/>
      <c r="E560" s="10"/>
      <c r="F560" s="10"/>
      <c r="G560" s="10"/>
      <c r="H560" s="10"/>
      <c r="I560" s="1" t="str">
        <f t="shared" si="24"/>
        <v/>
      </c>
      <c r="J560" s="1" t="s">
        <v>35</v>
      </c>
      <c r="K560" s="1" t="str">
        <f t="shared" si="25"/>
        <v/>
      </c>
      <c r="L560" s="1" t="str">
        <f t="shared" si="26"/>
        <v/>
      </c>
      <c r="M560" s="1">
        <f>IF(OR(Table1[[#This Row],[Std Nom]]="",Table1[[#This Row],[Std Read]]=""),0,Table1[[#This Row],[Std Nom]]-Table1[[#This Row],[Std Read]])</f>
        <v>0</v>
      </c>
      <c r="N560" s="1">
        <f>IF(Calculations!$F$5="ACCREDITED 17025 WITH UNCERTAINTIES",$N$10,0)</f>
        <v>0</v>
      </c>
      <c r="Q560" s="1">
        <f>Table1[[#This Row],[High Tol]]-Table1[[#This Row],[Low Tol]]</f>
        <v>0</v>
      </c>
      <c r="R560" s="1">
        <f>2*Table1[[#This Row],[Std Error]]</f>
        <v>0</v>
      </c>
      <c r="S560" s="1" t="str">
        <f>IF(Table1[[#This Row],[High Tol]]="","N/A",IFERROR(ABS(Table1[[#This Row],[Tol Span]]/Table1[[#This Row],[Error Span]]),"N/A"))</f>
        <v>N/A</v>
      </c>
      <c r="T560" s="1" t="str">
        <f>IF(OR(Table1[[#This Row],[Low Tol]]="",Table1[[#This Row],[High Tol]]=""),"Needs Analysis",IF(Table1[[#This Row],[Ratio]]&gt;=4,"Not Significant",IF(Table1[[#This Row],[Ratio]]&gt;=2,"Semi-Significant","Significant")))</f>
        <v>Needs Analysis</v>
      </c>
      <c r="W560" s="1">
        <f>IF(Table1[[#This Row],[Cal Type]]&lt;&gt;"ACCREDITED 17025 WITH UNCERTAINTIES",0,"")</f>
        <v>0</v>
      </c>
      <c r="X560" s="1" t="str">
        <f>IF(Table1[[#This Row],[DUT Read]]="","N/A",Table1[[#This Row],[Std Error]]+Table1[[#This Row],[DUT Read]]+Table1[[#This Row],[DUT Ucty]])</f>
        <v>N/A</v>
      </c>
      <c r="Y560" s="1" t="str">
        <f>IF(Table1[[#This Row],[Std Read]]="","N/A",Table1[[#This Row],[Std Read]]+Table1[[#This Row],[Std Ucty]])</f>
        <v>N/A</v>
      </c>
      <c r="Z5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0" s="1" t="str">
        <f>IF(Table1[[#This Row],[Spec Type]]="","N/A",Table1[[#This Row],[Spec Type]])</f>
        <v>±</v>
      </c>
      <c r="AC560" s="1" t="str">
        <f>IF(Table1[[#This Row],[Spec Type2]]="N/A","N/A",IF(AND(Table1[[#This Row],[DUT Adj Read]]&gt;=Table1[[#This Row],[Low Tol]],Table1[[#This Row],[DUT Adj Read]]&lt;=Table1[[#This Row],[High Tol]]),"Pass","Fail"))</f>
        <v>Fail</v>
      </c>
      <c r="AD560" s="1" t="str">
        <f>IF(AND(Table1[[#This Row],[Spec Type2]]="N/A",Table1[[#This Row],[DUT Adj Read]]="N/A",Table1[[#This Row],[Std Adj Read]]="N/A"),"N/A",IF(Table1[[#This Row],[DUT Adj Read]]="N/A",IF(Table1[[#This Row],[Std Adj Read]]&gt;Table1[[#This Row],[Low Tol]],"Pass","Fail"),IF(Table1[[#This Row],[DUT Adj Read]]&gt;Table1[[#This Row],[Low Tol]],"Pass","Fail")))</f>
        <v>Pass</v>
      </c>
      <c r="AE560" s="1" t="str">
        <f>IF(AND(Table1[[#This Row],[Spec Type2]]="N/A",Table1[[#This Row],[DUT Adj Read]]="N/A",Table1[[#This Row],[Std Adj Read]]="N/A"),"N/A",IF(Table1[[#This Row],[DUT Adj Read]]="N/A",IF(Table1[[#This Row],[Std Adj Read]]&lt;Table1[[#This Row],[High Tol]],"Pass","Fail"),IF(Table1[[#This Row],[DUT Adj Read]]&lt;Table1[[#This Row],[High Tol]],"Pass","Fail")))</f>
        <v>Fail</v>
      </c>
      <c r="AF560" s="1" t="str">
        <f>IF(AND(Table1[[#This Row],[Spec Type2]]="N/A",Table1[[#This Row],[DUT Adj Read]]="N/A",Table1[[#This Row],[Std Adj Read]]="N/A"),"N/A",IF(Table1[[#This Row],[DUT Adj Read]]="N/A",IF(Table1[[#This Row],[Std Adj Read]]&gt;=Table1[[#This Row],[Low Tol]],"Pass","Fail"),IF(Table1[[#This Row],[DUT Adj Read]]&gt;=Table1[[#This Row],[Low Tol]],"Pass","Fail")))</f>
        <v>Pass</v>
      </c>
      <c r="AG560" s="1" t="str">
        <f>IF(AND(Table1[[#This Row],[Spec Type2]]="N/A",Table1[[#This Row],[DUT Adj Read]]="N/A",Table1[[#This Row],[Std Adj Read]]="N/A"),"N/A",IF(Table1[[#This Row],[DUT Adj Read]]="N/A",IF(Table1[[#This Row],[Std Adj Read]]&lt;=Table1[[#This Row],[High Tol]],"Pass","Fail"),IF(Table1[[#This Row],[DUT Adj Read]]&lt;=Table1[[#This Row],[High Tol]],"Pass","Fail")))</f>
        <v>Fail</v>
      </c>
      <c r="AH5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0" s="1" t="b">
        <v>0</v>
      </c>
      <c r="AN560" s="1" t="b">
        <v>0</v>
      </c>
      <c r="AO560" s="1" t="b">
        <v>0</v>
      </c>
    </row>
    <row r="561" spans="1:41" x14ac:dyDescent="0.25">
      <c r="A561" s="10"/>
      <c r="B561" s="10"/>
      <c r="C561" s="10"/>
      <c r="D561" s="10"/>
      <c r="E561" s="10"/>
      <c r="F561" s="10"/>
      <c r="G561" s="10"/>
      <c r="H561" s="10"/>
      <c r="I561" s="1" t="str">
        <f t="shared" si="24"/>
        <v/>
      </c>
      <c r="J561" s="1" t="s">
        <v>35</v>
      </c>
      <c r="K561" s="1" t="str">
        <f t="shared" si="25"/>
        <v/>
      </c>
      <c r="L561" s="1" t="str">
        <f t="shared" si="26"/>
        <v/>
      </c>
      <c r="M561" s="1">
        <f>IF(OR(Table1[[#This Row],[Std Nom]]="",Table1[[#This Row],[Std Read]]=""),0,Table1[[#This Row],[Std Nom]]-Table1[[#This Row],[Std Read]])</f>
        <v>0</v>
      </c>
      <c r="N561" s="1">
        <f>IF(Calculations!$F$5="ACCREDITED 17025 WITH UNCERTAINTIES",$N$10,0)</f>
        <v>0</v>
      </c>
      <c r="Q561" s="1">
        <f>Table1[[#This Row],[High Tol]]-Table1[[#This Row],[Low Tol]]</f>
        <v>0</v>
      </c>
      <c r="R561" s="1">
        <f>2*Table1[[#This Row],[Std Error]]</f>
        <v>0</v>
      </c>
      <c r="S561" s="1" t="str">
        <f>IF(Table1[[#This Row],[High Tol]]="","N/A",IFERROR(ABS(Table1[[#This Row],[Tol Span]]/Table1[[#This Row],[Error Span]]),"N/A"))</f>
        <v>N/A</v>
      </c>
      <c r="T561" s="1" t="str">
        <f>IF(OR(Table1[[#This Row],[Low Tol]]="",Table1[[#This Row],[High Tol]]=""),"Needs Analysis",IF(Table1[[#This Row],[Ratio]]&gt;=4,"Not Significant",IF(Table1[[#This Row],[Ratio]]&gt;=2,"Semi-Significant","Significant")))</f>
        <v>Needs Analysis</v>
      </c>
      <c r="W561" s="1">
        <f>IF(Table1[[#This Row],[Cal Type]]&lt;&gt;"ACCREDITED 17025 WITH UNCERTAINTIES",0,"")</f>
        <v>0</v>
      </c>
      <c r="X561" s="1" t="str">
        <f>IF(Table1[[#This Row],[DUT Read]]="","N/A",Table1[[#This Row],[Std Error]]+Table1[[#This Row],[DUT Read]]+Table1[[#This Row],[DUT Ucty]])</f>
        <v>N/A</v>
      </c>
      <c r="Y561" s="1" t="str">
        <f>IF(Table1[[#This Row],[Std Read]]="","N/A",Table1[[#This Row],[Std Read]]+Table1[[#This Row],[Std Ucty]])</f>
        <v>N/A</v>
      </c>
      <c r="Z5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1" s="1" t="str">
        <f>IF(Table1[[#This Row],[Spec Type]]="","N/A",Table1[[#This Row],[Spec Type]])</f>
        <v>±</v>
      </c>
      <c r="AC561" s="1" t="str">
        <f>IF(Table1[[#This Row],[Spec Type2]]="N/A","N/A",IF(AND(Table1[[#This Row],[DUT Adj Read]]&gt;=Table1[[#This Row],[Low Tol]],Table1[[#This Row],[DUT Adj Read]]&lt;=Table1[[#This Row],[High Tol]]),"Pass","Fail"))</f>
        <v>Fail</v>
      </c>
      <c r="AD561" s="1" t="str">
        <f>IF(AND(Table1[[#This Row],[Spec Type2]]="N/A",Table1[[#This Row],[DUT Adj Read]]="N/A",Table1[[#This Row],[Std Adj Read]]="N/A"),"N/A",IF(Table1[[#This Row],[DUT Adj Read]]="N/A",IF(Table1[[#This Row],[Std Adj Read]]&gt;Table1[[#This Row],[Low Tol]],"Pass","Fail"),IF(Table1[[#This Row],[DUT Adj Read]]&gt;Table1[[#This Row],[Low Tol]],"Pass","Fail")))</f>
        <v>Pass</v>
      </c>
      <c r="AE561" s="1" t="str">
        <f>IF(AND(Table1[[#This Row],[Spec Type2]]="N/A",Table1[[#This Row],[DUT Adj Read]]="N/A",Table1[[#This Row],[Std Adj Read]]="N/A"),"N/A",IF(Table1[[#This Row],[DUT Adj Read]]="N/A",IF(Table1[[#This Row],[Std Adj Read]]&lt;Table1[[#This Row],[High Tol]],"Pass","Fail"),IF(Table1[[#This Row],[DUT Adj Read]]&lt;Table1[[#This Row],[High Tol]],"Pass","Fail")))</f>
        <v>Fail</v>
      </c>
      <c r="AF561" s="1" t="str">
        <f>IF(AND(Table1[[#This Row],[Spec Type2]]="N/A",Table1[[#This Row],[DUT Adj Read]]="N/A",Table1[[#This Row],[Std Adj Read]]="N/A"),"N/A",IF(Table1[[#This Row],[DUT Adj Read]]="N/A",IF(Table1[[#This Row],[Std Adj Read]]&gt;=Table1[[#This Row],[Low Tol]],"Pass","Fail"),IF(Table1[[#This Row],[DUT Adj Read]]&gt;=Table1[[#This Row],[Low Tol]],"Pass","Fail")))</f>
        <v>Pass</v>
      </c>
      <c r="AG561" s="1" t="str">
        <f>IF(AND(Table1[[#This Row],[Spec Type2]]="N/A",Table1[[#This Row],[DUT Adj Read]]="N/A",Table1[[#This Row],[Std Adj Read]]="N/A"),"N/A",IF(Table1[[#This Row],[DUT Adj Read]]="N/A",IF(Table1[[#This Row],[Std Adj Read]]&lt;=Table1[[#This Row],[High Tol]],"Pass","Fail"),IF(Table1[[#This Row],[DUT Adj Read]]&lt;=Table1[[#This Row],[High Tol]],"Pass","Fail")))</f>
        <v>Fail</v>
      </c>
      <c r="AH5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1" s="1" t="b">
        <v>0</v>
      </c>
      <c r="AN561" s="1" t="b">
        <v>0</v>
      </c>
      <c r="AO561" s="1" t="b">
        <v>0</v>
      </c>
    </row>
    <row r="562" spans="1:41" x14ac:dyDescent="0.25">
      <c r="A562" s="10"/>
      <c r="B562" s="10"/>
      <c r="C562" s="10"/>
      <c r="D562" s="10"/>
      <c r="E562" s="10"/>
      <c r="F562" s="10"/>
      <c r="G562" s="10"/>
      <c r="H562" s="10"/>
      <c r="I562" s="1" t="str">
        <f t="shared" si="24"/>
        <v/>
      </c>
      <c r="J562" s="1" t="s">
        <v>35</v>
      </c>
      <c r="K562" s="1" t="str">
        <f t="shared" si="25"/>
        <v/>
      </c>
      <c r="L562" s="1" t="str">
        <f t="shared" si="26"/>
        <v/>
      </c>
      <c r="M562" s="1">
        <f>IF(OR(Table1[[#This Row],[Std Nom]]="",Table1[[#This Row],[Std Read]]=""),0,Table1[[#This Row],[Std Nom]]-Table1[[#This Row],[Std Read]])</f>
        <v>0</v>
      </c>
      <c r="N562" s="1">
        <f>IF(Calculations!$F$5="ACCREDITED 17025 WITH UNCERTAINTIES",$N$10,0)</f>
        <v>0</v>
      </c>
      <c r="Q562" s="1">
        <f>Table1[[#This Row],[High Tol]]-Table1[[#This Row],[Low Tol]]</f>
        <v>0</v>
      </c>
      <c r="R562" s="1">
        <f>2*Table1[[#This Row],[Std Error]]</f>
        <v>0</v>
      </c>
      <c r="S562" s="1" t="str">
        <f>IF(Table1[[#This Row],[High Tol]]="","N/A",IFERROR(ABS(Table1[[#This Row],[Tol Span]]/Table1[[#This Row],[Error Span]]),"N/A"))</f>
        <v>N/A</v>
      </c>
      <c r="T562" s="1" t="str">
        <f>IF(OR(Table1[[#This Row],[Low Tol]]="",Table1[[#This Row],[High Tol]]=""),"Needs Analysis",IF(Table1[[#This Row],[Ratio]]&gt;=4,"Not Significant",IF(Table1[[#This Row],[Ratio]]&gt;=2,"Semi-Significant","Significant")))</f>
        <v>Needs Analysis</v>
      </c>
      <c r="W562" s="1">
        <f>IF(Table1[[#This Row],[Cal Type]]&lt;&gt;"ACCREDITED 17025 WITH UNCERTAINTIES",0,"")</f>
        <v>0</v>
      </c>
      <c r="X562" s="1" t="str">
        <f>IF(Table1[[#This Row],[DUT Read]]="","N/A",Table1[[#This Row],[Std Error]]+Table1[[#This Row],[DUT Read]]+Table1[[#This Row],[DUT Ucty]])</f>
        <v>N/A</v>
      </c>
      <c r="Y562" s="1" t="str">
        <f>IF(Table1[[#This Row],[Std Read]]="","N/A",Table1[[#This Row],[Std Read]]+Table1[[#This Row],[Std Ucty]])</f>
        <v>N/A</v>
      </c>
      <c r="Z5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2" s="1" t="str">
        <f>IF(Table1[[#This Row],[Spec Type]]="","N/A",Table1[[#This Row],[Spec Type]])</f>
        <v>±</v>
      </c>
      <c r="AC562" s="1" t="str">
        <f>IF(Table1[[#This Row],[Spec Type2]]="N/A","N/A",IF(AND(Table1[[#This Row],[DUT Adj Read]]&gt;=Table1[[#This Row],[Low Tol]],Table1[[#This Row],[DUT Adj Read]]&lt;=Table1[[#This Row],[High Tol]]),"Pass","Fail"))</f>
        <v>Fail</v>
      </c>
      <c r="AD562" s="1" t="str">
        <f>IF(AND(Table1[[#This Row],[Spec Type2]]="N/A",Table1[[#This Row],[DUT Adj Read]]="N/A",Table1[[#This Row],[Std Adj Read]]="N/A"),"N/A",IF(Table1[[#This Row],[DUT Adj Read]]="N/A",IF(Table1[[#This Row],[Std Adj Read]]&gt;Table1[[#This Row],[Low Tol]],"Pass","Fail"),IF(Table1[[#This Row],[DUT Adj Read]]&gt;Table1[[#This Row],[Low Tol]],"Pass","Fail")))</f>
        <v>Pass</v>
      </c>
      <c r="AE562" s="1" t="str">
        <f>IF(AND(Table1[[#This Row],[Spec Type2]]="N/A",Table1[[#This Row],[DUT Adj Read]]="N/A",Table1[[#This Row],[Std Adj Read]]="N/A"),"N/A",IF(Table1[[#This Row],[DUT Adj Read]]="N/A",IF(Table1[[#This Row],[Std Adj Read]]&lt;Table1[[#This Row],[High Tol]],"Pass","Fail"),IF(Table1[[#This Row],[DUT Adj Read]]&lt;Table1[[#This Row],[High Tol]],"Pass","Fail")))</f>
        <v>Fail</v>
      </c>
      <c r="AF562" s="1" t="str">
        <f>IF(AND(Table1[[#This Row],[Spec Type2]]="N/A",Table1[[#This Row],[DUT Adj Read]]="N/A",Table1[[#This Row],[Std Adj Read]]="N/A"),"N/A",IF(Table1[[#This Row],[DUT Adj Read]]="N/A",IF(Table1[[#This Row],[Std Adj Read]]&gt;=Table1[[#This Row],[Low Tol]],"Pass","Fail"),IF(Table1[[#This Row],[DUT Adj Read]]&gt;=Table1[[#This Row],[Low Tol]],"Pass","Fail")))</f>
        <v>Pass</v>
      </c>
      <c r="AG562" s="1" t="str">
        <f>IF(AND(Table1[[#This Row],[Spec Type2]]="N/A",Table1[[#This Row],[DUT Adj Read]]="N/A",Table1[[#This Row],[Std Adj Read]]="N/A"),"N/A",IF(Table1[[#This Row],[DUT Adj Read]]="N/A",IF(Table1[[#This Row],[Std Adj Read]]&lt;=Table1[[#This Row],[High Tol]],"Pass","Fail"),IF(Table1[[#This Row],[DUT Adj Read]]&lt;=Table1[[#This Row],[High Tol]],"Pass","Fail")))</f>
        <v>Fail</v>
      </c>
      <c r="AH5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2" s="1" t="b">
        <v>0</v>
      </c>
      <c r="AN562" s="1" t="b">
        <v>0</v>
      </c>
      <c r="AO562" s="1" t="b">
        <v>0</v>
      </c>
    </row>
    <row r="563" spans="1:41" x14ac:dyDescent="0.25">
      <c r="A563" s="10"/>
      <c r="B563" s="10"/>
      <c r="C563" s="10"/>
      <c r="D563" s="10"/>
      <c r="E563" s="10"/>
      <c r="F563" s="10"/>
      <c r="G563" s="10"/>
      <c r="H563" s="10"/>
      <c r="I563" s="1" t="str">
        <f t="shared" si="24"/>
        <v/>
      </c>
      <c r="J563" s="1" t="s">
        <v>35</v>
      </c>
      <c r="K563" s="1" t="str">
        <f t="shared" si="25"/>
        <v/>
      </c>
      <c r="L563" s="1" t="str">
        <f t="shared" si="26"/>
        <v/>
      </c>
      <c r="M563" s="1">
        <f>IF(OR(Table1[[#This Row],[Std Nom]]="",Table1[[#This Row],[Std Read]]=""),0,Table1[[#This Row],[Std Nom]]-Table1[[#This Row],[Std Read]])</f>
        <v>0</v>
      </c>
      <c r="N563" s="1">
        <f>IF(Calculations!$F$5="ACCREDITED 17025 WITH UNCERTAINTIES",$N$10,0)</f>
        <v>0</v>
      </c>
      <c r="Q563" s="1">
        <f>Table1[[#This Row],[High Tol]]-Table1[[#This Row],[Low Tol]]</f>
        <v>0</v>
      </c>
      <c r="R563" s="1">
        <f>2*Table1[[#This Row],[Std Error]]</f>
        <v>0</v>
      </c>
      <c r="S563" s="1" t="str">
        <f>IF(Table1[[#This Row],[High Tol]]="","N/A",IFERROR(ABS(Table1[[#This Row],[Tol Span]]/Table1[[#This Row],[Error Span]]),"N/A"))</f>
        <v>N/A</v>
      </c>
      <c r="T563" s="1" t="str">
        <f>IF(OR(Table1[[#This Row],[Low Tol]]="",Table1[[#This Row],[High Tol]]=""),"Needs Analysis",IF(Table1[[#This Row],[Ratio]]&gt;=4,"Not Significant",IF(Table1[[#This Row],[Ratio]]&gt;=2,"Semi-Significant","Significant")))</f>
        <v>Needs Analysis</v>
      </c>
      <c r="W563" s="1">
        <f>IF(Table1[[#This Row],[Cal Type]]&lt;&gt;"ACCREDITED 17025 WITH UNCERTAINTIES",0,"")</f>
        <v>0</v>
      </c>
      <c r="X563" s="1" t="str">
        <f>IF(Table1[[#This Row],[DUT Read]]="","N/A",Table1[[#This Row],[Std Error]]+Table1[[#This Row],[DUT Read]]+Table1[[#This Row],[DUT Ucty]])</f>
        <v>N/A</v>
      </c>
      <c r="Y563" s="1" t="str">
        <f>IF(Table1[[#This Row],[Std Read]]="","N/A",Table1[[#This Row],[Std Read]]+Table1[[#This Row],[Std Ucty]])</f>
        <v>N/A</v>
      </c>
      <c r="Z5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3" s="1" t="str">
        <f>IF(Table1[[#This Row],[Spec Type]]="","N/A",Table1[[#This Row],[Spec Type]])</f>
        <v>±</v>
      </c>
      <c r="AC563" s="1" t="str">
        <f>IF(Table1[[#This Row],[Spec Type2]]="N/A","N/A",IF(AND(Table1[[#This Row],[DUT Adj Read]]&gt;=Table1[[#This Row],[Low Tol]],Table1[[#This Row],[DUT Adj Read]]&lt;=Table1[[#This Row],[High Tol]]),"Pass","Fail"))</f>
        <v>Fail</v>
      </c>
      <c r="AD563" s="1" t="str">
        <f>IF(AND(Table1[[#This Row],[Spec Type2]]="N/A",Table1[[#This Row],[DUT Adj Read]]="N/A",Table1[[#This Row],[Std Adj Read]]="N/A"),"N/A",IF(Table1[[#This Row],[DUT Adj Read]]="N/A",IF(Table1[[#This Row],[Std Adj Read]]&gt;Table1[[#This Row],[Low Tol]],"Pass","Fail"),IF(Table1[[#This Row],[DUT Adj Read]]&gt;Table1[[#This Row],[Low Tol]],"Pass","Fail")))</f>
        <v>Pass</v>
      </c>
      <c r="AE563" s="1" t="str">
        <f>IF(AND(Table1[[#This Row],[Spec Type2]]="N/A",Table1[[#This Row],[DUT Adj Read]]="N/A",Table1[[#This Row],[Std Adj Read]]="N/A"),"N/A",IF(Table1[[#This Row],[DUT Adj Read]]="N/A",IF(Table1[[#This Row],[Std Adj Read]]&lt;Table1[[#This Row],[High Tol]],"Pass","Fail"),IF(Table1[[#This Row],[DUT Adj Read]]&lt;Table1[[#This Row],[High Tol]],"Pass","Fail")))</f>
        <v>Fail</v>
      </c>
      <c r="AF563" s="1" t="str">
        <f>IF(AND(Table1[[#This Row],[Spec Type2]]="N/A",Table1[[#This Row],[DUT Adj Read]]="N/A",Table1[[#This Row],[Std Adj Read]]="N/A"),"N/A",IF(Table1[[#This Row],[DUT Adj Read]]="N/A",IF(Table1[[#This Row],[Std Adj Read]]&gt;=Table1[[#This Row],[Low Tol]],"Pass","Fail"),IF(Table1[[#This Row],[DUT Adj Read]]&gt;=Table1[[#This Row],[Low Tol]],"Pass","Fail")))</f>
        <v>Pass</v>
      </c>
      <c r="AG563" s="1" t="str">
        <f>IF(AND(Table1[[#This Row],[Spec Type2]]="N/A",Table1[[#This Row],[DUT Adj Read]]="N/A",Table1[[#This Row],[Std Adj Read]]="N/A"),"N/A",IF(Table1[[#This Row],[DUT Adj Read]]="N/A",IF(Table1[[#This Row],[Std Adj Read]]&lt;=Table1[[#This Row],[High Tol]],"Pass","Fail"),IF(Table1[[#This Row],[DUT Adj Read]]&lt;=Table1[[#This Row],[High Tol]],"Pass","Fail")))</f>
        <v>Fail</v>
      </c>
      <c r="AH5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3" s="1" t="b">
        <v>0</v>
      </c>
      <c r="AN563" s="1" t="b">
        <v>0</v>
      </c>
      <c r="AO563" s="1" t="b">
        <v>0</v>
      </c>
    </row>
    <row r="564" spans="1:41" x14ac:dyDescent="0.25">
      <c r="A564" s="10"/>
      <c r="B564" s="10"/>
      <c r="C564" s="10"/>
      <c r="D564" s="10"/>
      <c r="E564" s="10"/>
      <c r="F564" s="10"/>
      <c r="G564" s="10"/>
      <c r="H564" s="10"/>
      <c r="I564" s="1" t="str">
        <f t="shared" si="24"/>
        <v/>
      </c>
      <c r="J564" s="1" t="s">
        <v>35</v>
      </c>
      <c r="K564" s="1" t="str">
        <f t="shared" si="25"/>
        <v/>
      </c>
      <c r="L564" s="1" t="str">
        <f t="shared" si="26"/>
        <v/>
      </c>
      <c r="M564" s="1">
        <f>IF(OR(Table1[[#This Row],[Std Nom]]="",Table1[[#This Row],[Std Read]]=""),0,Table1[[#This Row],[Std Nom]]-Table1[[#This Row],[Std Read]])</f>
        <v>0</v>
      </c>
      <c r="N564" s="1">
        <f>IF(Calculations!$F$5="ACCREDITED 17025 WITH UNCERTAINTIES",$N$10,0)</f>
        <v>0</v>
      </c>
      <c r="Q564" s="1">
        <f>Table1[[#This Row],[High Tol]]-Table1[[#This Row],[Low Tol]]</f>
        <v>0</v>
      </c>
      <c r="R564" s="1">
        <f>2*Table1[[#This Row],[Std Error]]</f>
        <v>0</v>
      </c>
      <c r="S564" s="1" t="str">
        <f>IF(Table1[[#This Row],[High Tol]]="","N/A",IFERROR(ABS(Table1[[#This Row],[Tol Span]]/Table1[[#This Row],[Error Span]]),"N/A"))</f>
        <v>N/A</v>
      </c>
      <c r="T564" s="1" t="str">
        <f>IF(OR(Table1[[#This Row],[Low Tol]]="",Table1[[#This Row],[High Tol]]=""),"Needs Analysis",IF(Table1[[#This Row],[Ratio]]&gt;=4,"Not Significant",IF(Table1[[#This Row],[Ratio]]&gt;=2,"Semi-Significant","Significant")))</f>
        <v>Needs Analysis</v>
      </c>
      <c r="W564" s="1">
        <f>IF(Table1[[#This Row],[Cal Type]]&lt;&gt;"ACCREDITED 17025 WITH UNCERTAINTIES",0,"")</f>
        <v>0</v>
      </c>
      <c r="X564" s="1" t="str">
        <f>IF(Table1[[#This Row],[DUT Read]]="","N/A",Table1[[#This Row],[Std Error]]+Table1[[#This Row],[DUT Read]]+Table1[[#This Row],[DUT Ucty]])</f>
        <v>N/A</v>
      </c>
      <c r="Y564" s="1" t="str">
        <f>IF(Table1[[#This Row],[Std Read]]="","N/A",Table1[[#This Row],[Std Read]]+Table1[[#This Row],[Std Ucty]])</f>
        <v>N/A</v>
      </c>
      <c r="Z5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4" s="1" t="str">
        <f>IF(Table1[[#This Row],[Spec Type]]="","N/A",Table1[[#This Row],[Spec Type]])</f>
        <v>±</v>
      </c>
      <c r="AC564" s="1" t="str">
        <f>IF(Table1[[#This Row],[Spec Type2]]="N/A","N/A",IF(AND(Table1[[#This Row],[DUT Adj Read]]&gt;=Table1[[#This Row],[Low Tol]],Table1[[#This Row],[DUT Adj Read]]&lt;=Table1[[#This Row],[High Tol]]),"Pass","Fail"))</f>
        <v>Fail</v>
      </c>
      <c r="AD564" s="1" t="str">
        <f>IF(AND(Table1[[#This Row],[Spec Type2]]="N/A",Table1[[#This Row],[DUT Adj Read]]="N/A",Table1[[#This Row],[Std Adj Read]]="N/A"),"N/A",IF(Table1[[#This Row],[DUT Adj Read]]="N/A",IF(Table1[[#This Row],[Std Adj Read]]&gt;Table1[[#This Row],[Low Tol]],"Pass","Fail"),IF(Table1[[#This Row],[DUT Adj Read]]&gt;Table1[[#This Row],[Low Tol]],"Pass","Fail")))</f>
        <v>Pass</v>
      </c>
      <c r="AE564" s="1" t="str">
        <f>IF(AND(Table1[[#This Row],[Spec Type2]]="N/A",Table1[[#This Row],[DUT Adj Read]]="N/A",Table1[[#This Row],[Std Adj Read]]="N/A"),"N/A",IF(Table1[[#This Row],[DUT Adj Read]]="N/A",IF(Table1[[#This Row],[Std Adj Read]]&lt;Table1[[#This Row],[High Tol]],"Pass","Fail"),IF(Table1[[#This Row],[DUT Adj Read]]&lt;Table1[[#This Row],[High Tol]],"Pass","Fail")))</f>
        <v>Fail</v>
      </c>
      <c r="AF564" s="1" t="str">
        <f>IF(AND(Table1[[#This Row],[Spec Type2]]="N/A",Table1[[#This Row],[DUT Adj Read]]="N/A",Table1[[#This Row],[Std Adj Read]]="N/A"),"N/A",IF(Table1[[#This Row],[DUT Adj Read]]="N/A",IF(Table1[[#This Row],[Std Adj Read]]&gt;=Table1[[#This Row],[Low Tol]],"Pass","Fail"),IF(Table1[[#This Row],[DUT Adj Read]]&gt;=Table1[[#This Row],[Low Tol]],"Pass","Fail")))</f>
        <v>Pass</v>
      </c>
      <c r="AG564" s="1" t="str">
        <f>IF(AND(Table1[[#This Row],[Spec Type2]]="N/A",Table1[[#This Row],[DUT Adj Read]]="N/A",Table1[[#This Row],[Std Adj Read]]="N/A"),"N/A",IF(Table1[[#This Row],[DUT Adj Read]]="N/A",IF(Table1[[#This Row],[Std Adj Read]]&lt;=Table1[[#This Row],[High Tol]],"Pass","Fail"),IF(Table1[[#This Row],[DUT Adj Read]]&lt;=Table1[[#This Row],[High Tol]],"Pass","Fail")))</f>
        <v>Fail</v>
      </c>
      <c r="AH5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4" s="1" t="b">
        <v>0</v>
      </c>
      <c r="AN564" s="1" t="b">
        <v>0</v>
      </c>
      <c r="AO564" s="1" t="b">
        <v>0</v>
      </c>
    </row>
    <row r="565" spans="1:41" x14ac:dyDescent="0.25">
      <c r="A565" s="10"/>
      <c r="B565" s="10"/>
      <c r="C565" s="10"/>
      <c r="D565" s="10"/>
      <c r="E565" s="10"/>
      <c r="F565" s="10"/>
      <c r="G565" s="10"/>
      <c r="H565" s="10"/>
      <c r="I565" s="1" t="str">
        <f t="shared" si="24"/>
        <v/>
      </c>
      <c r="J565" s="1" t="s">
        <v>35</v>
      </c>
      <c r="K565" s="1" t="str">
        <f t="shared" si="25"/>
        <v/>
      </c>
      <c r="L565" s="1" t="str">
        <f t="shared" si="26"/>
        <v/>
      </c>
      <c r="M565" s="1">
        <f>IF(OR(Table1[[#This Row],[Std Nom]]="",Table1[[#This Row],[Std Read]]=""),0,Table1[[#This Row],[Std Nom]]-Table1[[#This Row],[Std Read]])</f>
        <v>0</v>
      </c>
      <c r="N565" s="1">
        <f>IF(Calculations!$F$5="ACCREDITED 17025 WITH UNCERTAINTIES",$N$10,0)</f>
        <v>0</v>
      </c>
      <c r="Q565" s="1">
        <f>Table1[[#This Row],[High Tol]]-Table1[[#This Row],[Low Tol]]</f>
        <v>0</v>
      </c>
      <c r="R565" s="1">
        <f>2*Table1[[#This Row],[Std Error]]</f>
        <v>0</v>
      </c>
      <c r="S565" s="1" t="str">
        <f>IF(Table1[[#This Row],[High Tol]]="","N/A",IFERROR(ABS(Table1[[#This Row],[Tol Span]]/Table1[[#This Row],[Error Span]]),"N/A"))</f>
        <v>N/A</v>
      </c>
      <c r="T565" s="1" t="str">
        <f>IF(OR(Table1[[#This Row],[Low Tol]]="",Table1[[#This Row],[High Tol]]=""),"Needs Analysis",IF(Table1[[#This Row],[Ratio]]&gt;=4,"Not Significant",IF(Table1[[#This Row],[Ratio]]&gt;=2,"Semi-Significant","Significant")))</f>
        <v>Needs Analysis</v>
      </c>
      <c r="W565" s="1">
        <f>IF(Table1[[#This Row],[Cal Type]]&lt;&gt;"ACCREDITED 17025 WITH UNCERTAINTIES",0,"")</f>
        <v>0</v>
      </c>
      <c r="X565" s="1" t="str">
        <f>IF(Table1[[#This Row],[DUT Read]]="","N/A",Table1[[#This Row],[Std Error]]+Table1[[#This Row],[DUT Read]]+Table1[[#This Row],[DUT Ucty]])</f>
        <v>N/A</v>
      </c>
      <c r="Y565" s="1" t="str">
        <f>IF(Table1[[#This Row],[Std Read]]="","N/A",Table1[[#This Row],[Std Read]]+Table1[[#This Row],[Std Ucty]])</f>
        <v>N/A</v>
      </c>
      <c r="Z5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5" s="1" t="str">
        <f>IF(Table1[[#This Row],[Spec Type]]="","N/A",Table1[[#This Row],[Spec Type]])</f>
        <v>±</v>
      </c>
      <c r="AC565" s="1" t="str">
        <f>IF(Table1[[#This Row],[Spec Type2]]="N/A","N/A",IF(AND(Table1[[#This Row],[DUT Adj Read]]&gt;=Table1[[#This Row],[Low Tol]],Table1[[#This Row],[DUT Adj Read]]&lt;=Table1[[#This Row],[High Tol]]),"Pass","Fail"))</f>
        <v>Fail</v>
      </c>
      <c r="AD565" s="1" t="str">
        <f>IF(AND(Table1[[#This Row],[Spec Type2]]="N/A",Table1[[#This Row],[DUT Adj Read]]="N/A",Table1[[#This Row],[Std Adj Read]]="N/A"),"N/A",IF(Table1[[#This Row],[DUT Adj Read]]="N/A",IF(Table1[[#This Row],[Std Adj Read]]&gt;Table1[[#This Row],[Low Tol]],"Pass","Fail"),IF(Table1[[#This Row],[DUT Adj Read]]&gt;Table1[[#This Row],[Low Tol]],"Pass","Fail")))</f>
        <v>Pass</v>
      </c>
      <c r="AE565" s="1" t="str">
        <f>IF(AND(Table1[[#This Row],[Spec Type2]]="N/A",Table1[[#This Row],[DUT Adj Read]]="N/A",Table1[[#This Row],[Std Adj Read]]="N/A"),"N/A",IF(Table1[[#This Row],[DUT Adj Read]]="N/A",IF(Table1[[#This Row],[Std Adj Read]]&lt;Table1[[#This Row],[High Tol]],"Pass","Fail"),IF(Table1[[#This Row],[DUT Adj Read]]&lt;Table1[[#This Row],[High Tol]],"Pass","Fail")))</f>
        <v>Fail</v>
      </c>
      <c r="AF565" s="1" t="str">
        <f>IF(AND(Table1[[#This Row],[Spec Type2]]="N/A",Table1[[#This Row],[DUT Adj Read]]="N/A",Table1[[#This Row],[Std Adj Read]]="N/A"),"N/A",IF(Table1[[#This Row],[DUT Adj Read]]="N/A",IF(Table1[[#This Row],[Std Adj Read]]&gt;=Table1[[#This Row],[Low Tol]],"Pass","Fail"),IF(Table1[[#This Row],[DUT Adj Read]]&gt;=Table1[[#This Row],[Low Tol]],"Pass","Fail")))</f>
        <v>Pass</v>
      </c>
      <c r="AG565" s="1" t="str">
        <f>IF(AND(Table1[[#This Row],[Spec Type2]]="N/A",Table1[[#This Row],[DUT Adj Read]]="N/A",Table1[[#This Row],[Std Adj Read]]="N/A"),"N/A",IF(Table1[[#This Row],[DUT Adj Read]]="N/A",IF(Table1[[#This Row],[Std Adj Read]]&lt;=Table1[[#This Row],[High Tol]],"Pass","Fail"),IF(Table1[[#This Row],[DUT Adj Read]]&lt;=Table1[[#This Row],[High Tol]],"Pass","Fail")))</f>
        <v>Fail</v>
      </c>
      <c r="AH5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5" s="1" t="b">
        <v>0</v>
      </c>
      <c r="AN565" s="1" t="b">
        <v>0</v>
      </c>
      <c r="AO565" s="1" t="b">
        <v>0</v>
      </c>
    </row>
    <row r="566" spans="1:41" x14ac:dyDescent="0.25">
      <c r="A566" s="10"/>
      <c r="B566" s="10"/>
      <c r="C566" s="10"/>
      <c r="D566" s="10"/>
      <c r="E566" s="10"/>
      <c r="F566" s="10"/>
      <c r="G566" s="10"/>
      <c r="H566" s="10"/>
      <c r="I566" s="1" t="str">
        <f t="shared" si="24"/>
        <v/>
      </c>
      <c r="J566" s="1" t="s">
        <v>35</v>
      </c>
      <c r="K566" s="1" t="str">
        <f t="shared" si="25"/>
        <v/>
      </c>
      <c r="L566" s="1" t="str">
        <f t="shared" si="26"/>
        <v/>
      </c>
      <c r="M566" s="1">
        <f>IF(OR(Table1[[#This Row],[Std Nom]]="",Table1[[#This Row],[Std Read]]=""),0,Table1[[#This Row],[Std Nom]]-Table1[[#This Row],[Std Read]])</f>
        <v>0</v>
      </c>
      <c r="N566" s="1">
        <f>IF(Calculations!$F$5="ACCREDITED 17025 WITH UNCERTAINTIES",$N$10,0)</f>
        <v>0</v>
      </c>
      <c r="Q566" s="1">
        <f>Table1[[#This Row],[High Tol]]-Table1[[#This Row],[Low Tol]]</f>
        <v>0</v>
      </c>
      <c r="R566" s="1">
        <f>2*Table1[[#This Row],[Std Error]]</f>
        <v>0</v>
      </c>
      <c r="S566" s="1" t="str">
        <f>IF(Table1[[#This Row],[High Tol]]="","N/A",IFERROR(ABS(Table1[[#This Row],[Tol Span]]/Table1[[#This Row],[Error Span]]),"N/A"))</f>
        <v>N/A</v>
      </c>
      <c r="T566" s="1" t="str">
        <f>IF(OR(Table1[[#This Row],[Low Tol]]="",Table1[[#This Row],[High Tol]]=""),"Needs Analysis",IF(Table1[[#This Row],[Ratio]]&gt;=4,"Not Significant",IF(Table1[[#This Row],[Ratio]]&gt;=2,"Semi-Significant","Significant")))</f>
        <v>Needs Analysis</v>
      </c>
      <c r="W566" s="1">
        <f>IF(Table1[[#This Row],[Cal Type]]&lt;&gt;"ACCREDITED 17025 WITH UNCERTAINTIES",0,"")</f>
        <v>0</v>
      </c>
      <c r="X566" s="1" t="str">
        <f>IF(Table1[[#This Row],[DUT Read]]="","N/A",Table1[[#This Row],[Std Error]]+Table1[[#This Row],[DUT Read]]+Table1[[#This Row],[DUT Ucty]])</f>
        <v>N/A</v>
      </c>
      <c r="Y566" s="1" t="str">
        <f>IF(Table1[[#This Row],[Std Read]]="","N/A",Table1[[#This Row],[Std Read]]+Table1[[#This Row],[Std Ucty]])</f>
        <v>N/A</v>
      </c>
      <c r="Z5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6" s="1" t="str">
        <f>IF(Table1[[#This Row],[Spec Type]]="","N/A",Table1[[#This Row],[Spec Type]])</f>
        <v>±</v>
      </c>
      <c r="AC566" s="1" t="str">
        <f>IF(Table1[[#This Row],[Spec Type2]]="N/A","N/A",IF(AND(Table1[[#This Row],[DUT Adj Read]]&gt;=Table1[[#This Row],[Low Tol]],Table1[[#This Row],[DUT Adj Read]]&lt;=Table1[[#This Row],[High Tol]]),"Pass","Fail"))</f>
        <v>Fail</v>
      </c>
      <c r="AD566" s="1" t="str">
        <f>IF(AND(Table1[[#This Row],[Spec Type2]]="N/A",Table1[[#This Row],[DUT Adj Read]]="N/A",Table1[[#This Row],[Std Adj Read]]="N/A"),"N/A",IF(Table1[[#This Row],[DUT Adj Read]]="N/A",IF(Table1[[#This Row],[Std Adj Read]]&gt;Table1[[#This Row],[Low Tol]],"Pass","Fail"),IF(Table1[[#This Row],[DUT Adj Read]]&gt;Table1[[#This Row],[Low Tol]],"Pass","Fail")))</f>
        <v>Pass</v>
      </c>
      <c r="AE566" s="1" t="str">
        <f>IF(AND(Table1[[#This Row],[Spec Type2]]="N/A",Table1[[#This Row],[DUT Adj Read]]="N/A",Table1[[#This Row],[Std Adj Read]]="N/A"),"N/A",IF(Table1[[#This Row],[DUT Adj Read]]="N/A",IF(Table1[[#This Row],[Std Adj Read]]&lt;Table1[[#This Row],[High Tol]],"Pass","Fail"),IF(Table1[[#This Row],[DUT Adj Read]]&lt;Table1[[#This Row],[High Tol]],"Pass","Fail")))</f>
        <v>Fail</v>
      </c>
      <c r="AF566" s="1" t="str">
        <f>IF(AND(Table1[[#This Row],[Spec Type2]]="N/A",Table1[[#This Row],[DUT Adj Read]]="N/A",Table1[[#This Row],[Std Adj Read]]="N/A"),"N/A",IF(Table1[[#This Row],[DUT Adj Read]]="N/A",IF(Table1[[#This Row],[Std Adj Read]]&gt;=Table1[[#This Row],[Low Tol]],"Pass","Fail"),IF(Table1[[#This Row],[DUT Adj Read]]&gt;=Table1[[#This Row],[Low Tol]],"Pass","Fail")))</f>
        <v>Pass</v>
      </c>
      <c r="AG566" s="1" t="str">
        <f>IF(AND(Table1[[#This Row],[Spec Type2]]="N/A",Table1[[#This Row],[DUT Adj Read]]="N/A",Table1[[#This Row],[Std Adj Read]]="N/A"),"N/A",IF(Table1[[#This Row],[DUT Adj Read]]="N/A",IF(Table1[[#This Row],[Std Adj Read]]&lt;=Table1[[#This Row],[High Tol]],"Pass","Fail"),IF(Table1[[#This Row],[DUT Adj Read]]&lt;=Table1[[#This Row],[High Tol]],"Pass","Fail")))</f>
        <v>Fail</v>
      </c>
      <c r="AH5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6" s="1" t="b">
        <v>0</v>
      </c>
      <c r="AN566" s="1" t="b">
        <v>0</v>
      </c>
      <c r="AO566" s="1" t="b">
        <v>0</v>
      </c>
    </row>
    <row r="567" spans="1:41" x14ac:dyDescent="0.25">
      <c r="A567" s="10"/>
      <c r="B567" s="10"/>
      <c r="C567" s="10"/>
      <c r="D567" s="10"/>
      <c r="E567" s="10"/>
      <c r="F567" s="10"/>
      <c r="G567" s="10"/>
      <c r="H567" s="10"/>
      <c r="I567" s="1" t="str">
        <f t="shared" si="24"/>
        <v/>
      </c>
      <c r="J567" s="1" t="s">
        <v>35</v>
      </c>
      <c r="K567" s="1" t="str">
        <f t="shared" si="25"/>
        <v/>
      </c>
      <c r="L567" s="1" t="str">
        <f t="shared" si="26"/>
        <v/>
      </c>
      <c r="M567" s="1">
        <f>IF(OR(Table1[[#This Row],[Std Nom]]="",Table1[[#This Row],[Std Read]]=""),0,Table1[[#This Row],[Std Nom]]-Table1[[#This Row],[Std Read]])</f>
        <v>0</v>
      </c>
      <c r="N567" s="1">
        <f>IF(Calculations!$F$5="ACCREDITED 17025 WITH UNCERTAINTIES",$N$10,0)</f>
        <v>0</v>
      </c>
      <c r="Q567" s="1">
        <f>Table1[[#This Row],[High Tol]]-Table1[[#This Row],[Low Tol]]</f>
        <v>0</v>
      </c>
      <c r="R567" s="1">
        <f>2*Table1[[#This Row],[Std Error]]</f>
        <v>0</v>
      </c>
      <c r="S567" s="1" t="str">
        <f>IF(Table1[[#This Row],[High Tol]]="","N/A",IFERROR(ABS(Table1[[#This Row],[Tol Span]]/Table1[[#This Row],[Error Span]]),"N/A"))</f>
        <v>N/A</v>
      </c>
      <c r="T567" s="1" t="str">
        <f>IF(OR(Table1[[#This Row],[Low Tol]]="",Table1[[#This Row],[High Tol]]=""),"Needs Analysis",IF(Table1[[#This Row],[Ratio]]&gt;=4,"Not Significant",IF(Table1[[#This Row],[Ratio]]&gt;=2,"Semi-Significant","Significant")))</f>
        <v>Needs Analysis</v>
      </c>
      <c r="W567" s="1">
        <f>IF(Table1[[#This Row],[Cal Type]]&lt;&gt;"ACCREDITED 17025 WITH UNCERTAINTIES",0,"")</f>
        <v>0</v>
      </c>
      <c r="X567" s="1" t="str">
        <f>IF(Table1[[#This Row],[DUT Read]]="","N/A",Table1[[#This Row],[Std Error]]+Table1[[#This Row],[DUT Read]]+Table1[[#This Row],[DUT Ucty]])</f>
        <v>N/A</v>
      </c>
      <c r="Y567" s="1" t="str">
        <f>IF(Table1[[#This Row],[Std Read]]="","N/A",Table1[[#This Row],[Std Read]]+Table1[[#This Row],[Std Ucty]])</f>
        <v>N/A</v>
      </c>
      <c r="Z5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7" s="1" t="str">
        <f>IF(Table1[[#This Row],[Spec Type]]="","N/A",Table1[[#This Row],[Spec Type]])</f>
        <v>±</v>
      </c>
      <c r="AC567" s="1" t="str">
        <f>IF(Table1[[#This Row],[Spec Type2]]="N/A","N/A",IF(AND(Table1[[#This Row],[DUT Adj Read]]&gt;=Table1[[#This Row],[Low Tol]],Table1[[#This Row],[DUT Adj Read]]&lt;=Table1[[#This Row],[High Tol]]),"Pass","Fail"))</f>
        <v>Fail</v>
      </c>
      <c r="AD567" s="1" t="str">
        <f>IF(AND(Table1[[#This Row],[Spec Type2]]="N/A",Table1[[#This Row],[DUT Adj Read]]="N/A",Table1[[#This Row],[Std Adj Read]]="N/A"),"N/A",IF(Table1[[#This Row],[DUT Adj Read]]="N/A",IF(Table1[[#This Row],[Std Adj Read]]&gt;Table1[[#This Row],[Low Tol]],"Pass","Fail"),IF(Table1[[#This Row],[DUT Adj Read]]&gt;Table1[[#This Row],[Low Tol]],"Pass","Fail")))</f>
        <v>Pass</v>
      </c>
      <c r="AE567" s="1" t="str">
        <f>IF(AND(Table1[[#This Row],[Spec Type2]]="N/A",Table1[[#This Row],[DUT Adj Read]]="N/A",Table1[[#This Row],[Std Adj Read]]="N/A"),"N/A",IF(Table1[[#This Row],[DUT Adj Read]]="N/A",IF(Table1[[#This Row],[Std Adj Read]]&lt;Table1[[#This Row],[High Tol]],"Pass","Fail"),IF(Table1[[#This Row],[DUT Adj Read]]&lt;Table1[[#This Row],[High Tol]],"Pass","Fail")))</f>
        <v>Fail</v>
      </c>
      <c r="AF567" s="1" t="str">
        <f>IF(AND(Table1[[#This Row],[Spec Type2]]="N/A",Table1[[#This Row],[DUT Adj Read]]="N/A",Table1[[#This Row],[Std Adj Read]]="N/A"),"N/A",IF(Table1[[#This Row],[DUT Adj Read]]="N/A",IF(Table1[[#This Row],[Std Adj Read]]&gt;=Table1[[#This Row],[Low Tol]],"Pass","Fail"),IF(Table1[[#This Row],[DUT Adj Read]]&gt;=Table1[[#This Row],[Low Tol]],"Pass","Fail")))</f>
        <v>Pass</v>
      </c>
      <c r="AG567" s="1" t="str">
        <f>IF(AND(Table1[[#This Row],[Spec Type2]]="N/A",Table1[[#This Row],[DUT Adj Read]]="N/A",Table1[[#This Row],[Std Adj Read]]="N/A"),"N/A",IF(Table1[[#This Row],[DUT Adj Read]]="N/A",IF(Table1[[#This Row],[Std Adj Read]]&lt;=Table1[[#This Row],[High Tol]],"Pass","Fail"),IF(Table1[[#This Row],[DUT Adj Read]]&lt;=Table1[[#This Row],[High Tol]],"Pass","Fail")))</f>
        <v>Fail</v>
      </c>
      <c r="AH5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7" s="1" t="b">
        <v>0</v>
      </c>
      <c r="AN567" s="1" t="b">
        <v>0</v>
      </c>
      <c r="AO567" s="1" t="b">
        <v>0</v>
      </c>
    </row>
    <row r="568" spans="1:41" x14ac:dyDescent="0.25">
      <c r="A568" s="10"/>
      <c r="B568" s="10"/>
      <c r="C568" s="10"/>
      <c r="D568" s="10"/>
      <c r="E568" s="10"/>
      <c r="F568" s="10"/>
      <c r="G568" s="10"/>
      <c r="H568" s="10"/>
      <c r="I568" s="1" t="str">
        <f t="shared" si="24"/>
        <v/>
      </c>
      <c r="J568" s="1" t="s">
        <v>35</v>
      </c>
      <c r="K568" s="1" t="str">
        <f t="shared" si="25"/>
        <v/>
      </c>
      <c r="L568" s="1" t="str">
        <f t="shared" si="26"/>
        <v/>
      </c>
      <c r="M568" s="1">
        <f>IF(OR(Table1[[#This Row],[Std Nom]]="",Table1[[#This Row],[Std Read]]=""),0,Table1[[#This Row],[Std Nom]]-Table1[[#This Row],[Std Read]])</f>
        <v>0</v>
      </c>
      <c r="N568" s="1">
        <f>IF(Calculations!$F$5="ACCREDITED 17025 WITH UNCERTAINTIES",$N$10,0)</f>
        <v>0</v>
      </c>
      <c r="Q568" s="1">
        <f>Table1[[#This Row],[High Tol]]-Table1[[#This Row],[Low Tol]]</f>
        <v>0</v>
      </c>
      <c r="R568" s="1">
        <f>2*Table1[[#This Row],[Std Error]]</f>
        <v>0</v>
      </c>
      <c r="S568" s="1" t="str">
        <f>IF(Table1[[#This Row],[High Tol]]="","N/A",IFERROR(ABS(Table1[[#This Row],[Tol Span]]/Table1[[#This Row],[Error Span]]),"N/A"))</f>
        <v>N/A</v>
      </c>
      <c r="T568" s="1" t="str">
        <f>IF(OR(Table1[[#This Row],[Low Tol]]="",Table1[[#This Row],[High Tol]]=""),"Needs Analysis",IF(Table1[[#This Row],[Ratio]]&gt;=4,"Not Significant",IF(Table1[[#This Row],[Ratio]]&gt;=2,"Semi-Significant","Significant")))</f>
        <v>Needs Analysis</v>
      </c>
      <c r="W568" s="1">
        <f>IF(Table1[[#This Row],[Cal Type]]&lt;&gt;"ACCREDITED 17025 WITH UNCERTAINTIES",0,"")</f>
        <v>0</v>
      </c>
      <c r="X568" s="1" t="str">
        <f>IF(Table1[[#This Row],[DUT Read]]="","N/A",Table1[[#This Row],[Std Error]]+Table1[[#This Row],[DUT Read]]+Table1[[#This Row],[DUT Ucty]])</f>
        <v>N/A</v>
      </c>
      <c r="Y568" s="1" t="str">
        <f>IF(Table1[[#This Row],[Std Read]]="","N/A",Table1[[#This Row],[Std Read]]+Table1[[#This Row],[Std Ucty]])</f>
        <v>N/A</v>
      </c>
      <c r="Z5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8" s="1" t="str">
        <f>IF(Table1[[#This Row],[Spec Type]]="","N/A",Table1[[#This Row],[Spec Type]])</f>
        <v>±</v>
      </c>
      <c r="AC568" s="1" t="str">
        <f>IF(Table1[[#This Row],[Spec Type2]]="N/A","N/A",IF(AND(Table1[[#This Row],[DUT Adj Read]]&gt;=Table1[[#This Row],[Low Tol]],Table1[[#This Row],[DUT Adj Read]]&lt;=Table1[[#This Row],[High Tol]]),"Pass","Fail"))</f>
        <v>Fail</v>
      </c>
      <c r="AD568" s="1" t="str">
        <f>IF(AND(Table1[[#This Row],[Spec Type2]]="N/A",Table1[[#This Row],[DUT Adj Read]]="N/A",Table1[[#This Row],[Std Adj Read]]="N/A"),"N/A",IF(Table1[[#This Row],[DUT Adj Read]]="N/A",IF(Table1[[#This Row],[Std Adj Read]]&gt;Table1[[#This Row],[Low Tol]],"Pass","Fail"),IF(Table1[[#This Row],[DUT Adj Read]]&gt;Table1[[#This Row],[Low Tol]],"Pass","Fail")))</f>
        <v>Pass</v>
      </c>
      <c r="AE568" s="1" t="str">
        <f>IF(AND(Table1[[#This Row],[Spec Type2]]="N/A",Table1[[#This Row],[DUT Adj Read]]="N/A",Table1[[#This Row],[Std Adj Read]]="N/A"),"N/A",IF(Table1[[#This Row],[DUT Adj Read]]="N/A",IF(Table1[[#This Row],[Std Adj Read]]&lt;Table1[[#This Row],[High Tol]],"Pass","Fail"),IF(Table1[[#This Row],[DUT Adj Read]]&lt;Table1[[#This Row],[High Tol]],"Pass","Fail")))</f>
        <v>Fail</v>
      </c>
      <c r="AF568" s="1" t="str">
        <f>IF(AND(Table1[[#This Row],[Spec Type2]]="N/A",Table1[[#This Row],[DUT Adj Read]]="N/A",Table1[[#This Row],[Std Adj Read]]="N/A"),"N/A",IF(Table1[[#This Row],[DUT Adj Read]]="N/A",IF(Table1[[#This Row],[Std Adj Read]]&gt;=Table1[[#This Row],[Low Tol]],"Pass","Fail"),IF(Table1[[#This Row],[DUT Adj Read]]&gt;=Table1[[#This Row],[Low Tol]],"Pass","Fail")))</f>
        <v>Pass</v>
      </c>
      <c r="AG568" s="1" t="str">
        <f>IF(AND(Table1[[#This Row],[Spec Type2]]="N/A",Table1[[#This Row],[DUT Adj Read]]="N/A",Table1[[#This Row],[Std Adj Read]]="N/A"),"N/A",IF(Table1[[#This Row],[DUT Adj Read]]="N/A",IF(Table1[[#This Row],[Std Adj Read]]&lt;=Table1[[#This Row],[High Tol]],"Pass","Fail"),IF(Table1[[#This Row],[DUT Adj Read]]&lt;=Table1[[#This Row],[High Tol]],"Pass","Fail")))</f>
        <v>Fail</v>
      </c>
      <c r="AH5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8" s="1" t="b">
        <v>0</v>
      </c>
      <c r="AN568" s="1" t="b">
        <v>0</v>
      </c>
      <c r="AO568" s="1" t="b">
        <v>0</v>
      </c>
    </row>
    <row r="569" spans="1:41" x14ac:dyDescent="0.25">
      <c r="A569" s="10"/>
      <c r="B569" s="10"/>
      <c r="C569" s="10"/>
      <c r="D569" s="10"/>
      <c r="E569" s="10"/>
      <c r="F569" s="10"/>
      <c r="G569" s="10"/>
      <c r="H569" s="10"/>
      <c r="I569" s="1" t="str">
        <f t="shared" si="24"/>
        <v/>
      </c>
      <c r="J569" s="1" t="s">
        <v>35</v>
      </c>
      <c r="K569" s="1" t="str">
        <f t="shared" si="25"/>
        <v/>
      </c>
      <c r="L569" s="1" t="str">
        <f t="shared" si="26"/>
        <v/>
      </c>
      <c r="M569" s="1">
        <f>IF(OR(Table1[[#This Row],[Std Nom]]="",Table1[[#This Row],[Std Read]]=""),0,Table1[[#This Row],[Std Nom]]-Table1[[#This Row],[Std Read]])</f>
        <v>0</v>
      </c>
      <c r="N569" s="1">
        <f>IF(Calculations!$F$5="ACCREDITED 17025 WITH UNCERTAINTIES",$N$10,0)</f>
        <v>0</v>
      </c>
      <c r="Q569" s="1">
        <f>Table1[[#This Row],[High Tol]]-Table1[[#This Row],[Low Tol]]</f>
        <v>0</v>
      </c>
      <c r="R569" s="1">
        <f>2*Table1[[#This Row],[Std Error]]</f>
        <v>0</v>
      </c>
      <c r="S569" s="1" t="str">
        <f>IF(Table1[[#This Row],[High Tol]]="","N/A",IFERROR(ABS(Table1[[#This Row],[Tol Span]]/Table1[[#This Row],[Error Span]]),"N/A"))</f>
        <v>N/A</v>
      </c>
      <c r="T569" s="1" t="str">
        <f>IF(OR(Table1[[#This Row],[Low Tol]]="",Table1[[#This Row],[High Tol]]=""),"Needs Analysis",IF(Table1[[#This Row],[Ratio]]&gt;=4,"Not Significant",IF(Table1[[#This Row],[Ratio]]&gt;=2,"Semi-Significant","Significant")))</f>
        <v>Needs Analysis</v>
      </c>
      <c r="W569" s="1">
        <f>IF(Table1[[#This Row],[Cal Type]]&lt;&gt;"ACCREDITED 17025 WITH UNCERTAINTIES",0,"")</f>
        <v>0</v>
      </c>
      <c r="X569" s="1" t="str">
        <f>IF(Table1[[#This Row],[DUT Read]]="","N/A",Table1[[#This Row],[Std Error]]+Table1[[#This Row],[DUT Read]]+Table1[[#This Row],[DUT Ucty]])</f>
        <v>N/A</v>
      </c>
      <c r="Y569" s="1" t="str">
        <f>IF(Table1[[#This Row],[Std Read]]="","N/A",Table1[[#This Row],[Std Read]]+Table1[[#This Row],[Std Ucty]])</f>
        <v>N/A</v>
      </c>
      <c r="Z5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69" s="1" t="str">
        <f>IF(Table1[[#This Row],[Spec Type]]="","N/A",Table1[[#This Row],[Spec Type]])</f>
        <v>±</v>
      </c>
      <c r="AC569" s="1" t="str">
        <f>IF(Table1[[#This Row],[Spec Type2]]="N/A","N/A",IF(AND(Table1[[#This Row],[DUT Adj Read]]&gt;=Table1[[#This Row],[Low Tol]],Table1[[#This Row],[DUT Adj Read]]&lt;=Table1[[#This Row],[High Tol]]),"Pass","Fail"))</f>
        <v>Fail</v>
      </c>
      <c r="AD569" s="1" t="str">
        <f>IF(AND(Table1[[#This Row],[Spec Type2]]="N/A",Table1[[#This Row],[DUT Adj Read]]="N/A",Table1[[#This Row],[Std Adj Read]]="N/A"),"N/A",IF(Table1[[#This Row],[DUT Adj Read]]="N/A",IF(Table1[[#This Row],[Std Adj Read]]&gt;Table1[[#This Row],[Low Tol]],"Pass","Fail"),IF(Table1[[#This Row],[DUT Adj Read]]&gt;Table1[[#This Row],[Low Tol]],"Pass","Fail")))</f>
        <v>Pass</v>
      </c>
      <c r="AE569" s="1" t="str">
        <f>IF(AND(Table1[[#This Row],[Spec Type2]]="N/A",Table1[[#This Row],[DUT Adj Read]]="N/A",Table1[[#This Row],[Std Adj Read]]="N/A"),"N/A",IF(Table1[[#This Row],[DUT Adj Read]]="N/A",IF(Table1[[#This Row],[Std Adj Read]]&lt;Table1[[#This Row],[High Tol]],"Pass","Fail"),IF(Table1[[#This Row],[DUT Adj Read]]&lt;Table1[[#This Row],[High Tol]],"Pass","Fail")))</f>
        <v>Fail</v>
      </c>
      <c r="AF569" s="1" t="str">
        <f>IF(AND(Table1[[#This Row],[Spec Type2]]="N/A",Table1[[#This Row],[DUT Adj Read]]="N/A",Table1[[#This Row],[Std Adj Read]]="N/A"),"N/A",IF(Table1[[#This Row],[DUT Adj Read]]="N/A",IF(Table1[[#This Row],[Std Adj Read]]&gt;=Table1[[#This Row],[Low Tol]],"Pass","Fail"),IF(Table1[[#This Row],[DUT Adj Read]]&gt;=Table1[[#This Row],[Low Tol]],"Pass","Fail")))</f>
        <v>Pass</v>
      </c>
      <c r="AG569" s="1" t="str">
        <f>IF(AND(Table1[[#This Row],[Spec Type2]]="N/A",Table1[[#This Row],[DUT Adj Read]]="N/A",Table1[[#This Row],[Std Adj Read]]="N/A"),"N/A",IF(Table1[[#This Row],[DUT Adj Read]]="N/A",IF(Table1[[#This Row],[Std Adj Read]]&lt;=Table1[[#This Row],[High Tol]],"Pass","Fail"),IF(Table1[[#This Row],[DUT Adj Read]]&lt;=Table1[[#This Row],[High Tol]],"Pass","Fail")))</f>
        <v>Fail</v>
      </c>
      <c r="AH5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69" s="1" t="b">
        <v>0</v>
      </c>
      <c r="AN569" s="1" t="b">
        <v>0</v>
      </c>
      <c r="AO569" s="1" t="b">
        <v>0</v>
      </c>
    </row>
    <row r="570" spans="1:41" x14ac:dyDescent="0.25">
      <c r="A570" s="10"/>
      <c r="B570" s="10"/>
      <c r="C570" s="10"/>
      <c r="D570" s="10"/>
      <c r="E570" s="10"/>
      <c r="F570" s="10"/>
      <c r="G570" s="10"/>
      <c r="H570" s="10"/>
      <c r="I570" s="1" t="str">
        <f t="shared" si="24"/>
        <v/>
      </c>
      <c r="J570" s="1" t="s">
        <v>35</v>
      </c>
      <c r="K570" s="1" t="str">
        <f t="shared" si="25"/>
        <v/>
      </c>
      <c r="L570" s="1" t="str">
        <f t="shared" si="26"/>
        <v/>
      </c>
      <c r="M570" s="1">
        <f>IF(OR(Table1[[#This Row],[Std Nom]]="",Table1[[#This Row],[Std Read]]=""),0,Table1[[#This Row],[Std Nom]]-Table1[[#This Row],[Std Read]])</f>
        <v>0</v>
      </c>
      <c r="N570" s="1">
        <f>IF(Calculations!$F$5="ACCREDITED 17025 WITH UNCERTAINTIES",$N$10,0)</f>
        <v>0</v>
      </c>
      <c r="Q570" s="1">
        <f>Table1[[#This Row],[High Tol]]-Table1[[#This Row],[Low Tol]]</f>
        <v>0</v>
      </c>
      <c r="R570" s="1">
        <f>2*Table1[[#This Row],[Std Error]]</f>
        <v>0</v>
      </c>
      <c r="S570" s="1" t="str">
        <f>IF(Table1[[#This Row],[High Tol]]="","N/A",IFERROR(ABS(Table1[[#This Row],[Tol Span]]/Table1[[#This Row],[Error Span]]),"N/A"))</f>
        <v>N/A</v>
      </c>
      <c r="T570" s="1" t="str">
        <f>IF(OR(Table1[[#This Row],[Low Tol]]="",Table1[[#This Row],[High Tol]]=""),"Needs Analysis",IF(Table1[[#This Row],[Ratio]]&gt;=4,"Not Significant",IF(Table1[[#This Row],[Ratio]]&gt;=2,"Semi-Significant","Significant")))</f>
        <v>Needs Analysis</v>
      </c>
      <c r="W570" s="1">
        <f>IF(Table1[[#This Row],[Cal Type]]&lt;&gt;"ACCREDITED 17025 WITH UNCERTAINTIES",0,"")</f>
        <v>0</v>
      </c>
      <c r="X570" s="1" t="str">
        <f>IF(Table1[[#This Row],[DUT Read]]="","N/A",Table1[[#This Row],[Std Error]]+Table1[[#This Row],[DUT Read]]+Table1[[#This Row],[DUT Ucty]])</f>
        <v>N/A</v>
      </c>
      <c r="Y570" s="1" t="str">
        <f>IF(Table1[[#This Row],[Std Read]]="","N/A",Table1[[#This Row],[Std Read]]+Table1[[#This Row],[Std Ucty]])</f>
        <v>N/A</v>
      </c>
      <c r="Z5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0" s="1" t="str">
        <f>IF(Table1[[#This Row],[Spec Type]]="","N/A",Table1[[#This Row],[Spec Type]])</f>
        <v>±</v>
      </c>
      <c r="AC570" s="1" t="str">
        <f>IF(Table1[[#This Row],[Spec Type2]]="N/A","N/A",IF(AND(Table1[[#This Row],[DUT Adj Read]]&gt;=Table1[[#This Row],[Low Tol]],Table1[[#This Row],[DUT Adj Read]]&lt;=Table1[[#This Row],[High Tol]]),"Pass","Fail"))</f>
        <v>Fail</v>
      </c>
      <c r="AD570" s="1" t="str">
        <f>IF(AND(Table1[[#This Row],[Spec Type2]]="N/A",Table1[[#This Row],[DUT Adj Read]]="N/A",Table1[[#This Row],[Std Adj Read]]="N/A"),"N/A",IF(Table1[[#This Row],[DUT Adj Read]]="N/A",IF(Table1[[#This Row],[Std Adj Read]]&gt;Table1[[#This Row],[Low Tol]],"Pass","Fail"),IF(Table1[[#This Row],[DUT Adj Read]]&gt;Table1[[#This Row],[Low Tol]],"Pass","Fail")))</f>
        <v>Pass</v>
      </c>
      <c r="AE570" s="1" t="str">
        <f>IF(AND(Table1[[#This Row],[Spec Type2]]="N/A",Table1[[#This Row],[DUT Adj Read]]="N/A",Table1[[#This Row],[Std Adj Read]]="N/A"),"N/A",IF(Table1[[#This Row],[DUT Adj Read]]="N/A",IF(Table1[[#This Row],[Std Adj Read]]&lt;Table1[[#This Row],[High Tol]],"Pass","Fail"),IF(Table1[[#This Row],[DUT Adj Read]]&lt;Table1[[#This Row],[High Tol]],"Pass","Fail")))</f>
        <v>Fail</v>
      </c>
      <c r="AF570" s="1" t="str">
        <f>IF(AND(Table1[[#This Row],[Spec Type2]]="N/A",Table1[[#This Row],[DUT Adj Read]]="N/A",Table1[[#This Row],[Std Adj Read]]="N/A"),"N/A",IF(Table1[[#This Row],[DUT Adj Read]]="N/A",IF(Table1[[#This Row],[Std Adj Read]]&gt;=Table1[[#This Row],[Low Tol]],"Pass","Fail"),IF(Table1[[#This Row],[DUT Adj Read]]&gt;=Table1[[#This Row],[Low Tol]],"Pass","Fail")))</f>
        <v>Pass</v>
      </c>
      <c r="AG570" s="1" t="str">
        <f>IF(AND(Table1[[#This Row],[Spec Type2]]="N/A",Table1[[#This Row],[DUT Adj Read]]="N/A",Table1[[#This Row],[Std Adj Read]]="N/A"),"N/A",IF(Table1[[#This Row],[DUT Adj Read]]="N/A",IF(Table1[[#This Row],[Std Adj Read]]&lt;=Table1[[#This Row],[High Tol]],"Pass","Fail"),IF(Table1[[#This Row],[DUT Adj Read]]&lt;=Table1[[#This Row],[High Tol]],"Pass","Fail")))</f>
        <v>Fail</v>
      </c>
      <c r="AH5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0" s="1" t="b">
        <v>0</v>
      </c>
      <c r="AN570" s="1" t="b">
        <v>0</v>
      </c>
      <c r="AO570" s="1" t="b">
        <v>0</v>
      </c>
    </row>
    <row r="571" spans="1:41" x14ac:dyDescent="0.25">
      <c r="A571" s="10"/>
      <c r="B571" s="10"/>
      <c r="C571" s="10"/>
      <c r="D571" s="10"/>
      <c r="E571" s="10"/>
      <c r="F571" s="10"/>
      <c r="G571" s="10"/>
      <c r="H571" s="10"/>
      <c r="I571" s="1" t="str">
        <f t="shared" si="24"/>
        <v/>
      </c>
      <c r="J571" s="1" t="s">
        <v>35</v>
      </c>
      <c r="K571" s="1" t="str">
        <f t="shared" si="25"/>
        <v/>
      </c>
      <c r="L571" s="1" t="str">
        <f t="shared" si="26"/>
        <v/>
      </c>
      <c r="M571" s="1">
        <f>IF(OR(Table1[[#This Row],[Std Nom]]="",Table1[[#This Row],[Std Read]]=""),0,Table1[[#This Row],[Std Nom]]-Table1[[#This Row],[Std Read]])</f>
        <v>0</v>
      </c>
      <c r="N571" s="1">
        <f>IF(Calculations!$F$5="ACCREDITED 17025 WITH UNCERTAINTIES",$N$10,0)</f>
        <v>0</v>
      </c>
      <c r="Q571" s="1">
        <f>Table1[[#This Row],[High Tol]]-Table1[[#This Row],[Low Tol]]</f>
        <v>0</v>
      </c>
      <c r="R571" s="1">
        <f>2*Table1[[#This Row],[Std Error]]</f>
        <v>0</v>
      </c>
      <c r="S571" s="1" t="str">
        <f>IF(Table1[[#This Row],[High Tol]]="","N/A",IFERROR(ABS(Table1[[#This Row],[Tol Span]]/Table1[[#This Row],[Error Span]]),"N/A"))</f>
        <v>N/A</v>
      </c>
      <c r="T571" s="1" t="str">
        <f>IF(OR(Table1[[#This Row],[Low Tol]]="",Table1[[#This Row],[High Tol]]=""),"Needs Analysis",IF(Table1[[#This Row],[Ratio]]&gt;=4,"Not Significant",IF(Table1[[#This Row],[Ratio]]&gt;=2,"Semi-Significant","Significant")))</f>
        <v>Needs Analysis</v>
      </c>
      <c r="W571" s="1">
        <f>IF(Table1[[#This Row],[Cal Type]]&lt;&gt;"ACCREDITED 17025 WITH UNCERTAINTIES",0,"")</f>
        <v>0</v>
      </c>
      <c r="X571" s="1" t="str">
        <f>IF(Table1[[#This Row],[DUT Read]]="","N/A",Table1[[#This Row],[Std Error]]+Table1[[#This Row],[DUT Read]]+Table1[[#This Row],[DUT Ucty]])</f>
        <v>N/A</v>
      </c>
      <c r="Y571" s="1" t="str">
        <f>IF(Table1[[#This Row],[Std Read]]="","N/A",Table1[[#This Row],[Std Read]]+Table1[[#This Row],[Std Ucty]])</f>
        <v>N/A</v>
      </c>
      <c r="Z5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1" s="1" t="str">
        <f>IF(Table1[[#This Row],[Spec Type]]="","N/A",Table1[[#This Row],[Spec Type]])</f>
        <v>±</v>
      </c>
      <c r="AC571" s="1" t="str">
        <f>IF(Table1[[#This Row],[Spec Type2]]="N/A","N/A",IF(AND(Table1[[#This Row],[DUT Adj Read]]&gt;=Table1[[#This Row],[Low Tol]],Table1[[#This Row],[DUT Adj Read]]&lt;=Table1[[#This Row],[High Tol]]),"Pass","Fail"))</f>
        <v>Fail</v>
      </c>
      <c r="AD571" s="1" t="str">
        <f>IF(AND(Table1[[#This Row],[Spec Type2]]="N/A",Table1[[#This Row],[DUT Adj Read]]="N/A",Table1[[#This Row],[Std Adj Read]]="N/A"),"N/A",IF(Table1[[#This Row],[DUT Adj Read]]="N/A",IF(Table1[[#This Row],[Std Adj Read]]&gt;Table1[[#This Row],[Low Tol]],"Pass","Fail"),IF(Table1[[#This Row],[DUT Adj Read]]&gt;Table1[[#This Row],[Low Tol]],"Pass","Fail")))</f>
        <v>Pass</v>
      </c>
      <c r="AE571" s="1" t="str">
        <f>IF(AND(Table1[[#This Row],[Spec Type2]]="N/A",Table1[[#This Row],[DUT Adj Read]]="N/A",Table1[[#This Row],[Std Adj Read]]="N/A"),"N/A",IF(Table1[[#This Row],[DUT Adj Read]]="N/A",IF(Table1[[#This Row],[Std Adj Read]]&lt;Table1[[#This Row],[High Tol]],"Pass","Fail"),IF(Table1[[#This Row],[DUT Adj Read]]&lt;Table1[[#This Row],[High Tol]],"Pass","Fail")))</f>
        <v>Fail</v>
      </c>
      <c r="AF571" s="1" t="str">
        <f>IF(AND(Table1[[#This Row],[Spec Type2]]="N/A",Table1[[#This Row],[DUT Adj Read]]="N/A",Table1[[#This Row],[Std Adj Read]]="N/A"),"N/A",IF(Table1[[#This Row],[DUT Adj Read]]="N/A",IF(Table1[[#This Row],[Std Adj Read]]&gt;=Table1[[#This Row],[Low Tol]],"Pass","Fail"),IF(Table1[[#This Row],[DUT Adj Read]]&gt;=Table1[[#This Row],[Low Tol]],"Pass","Fail")))</f>
        <v>Pass</v>
      </c>
      <c r="AG571" s="1" t="str">
        <f>IF(AND(Table1[[#This Row],[Spec Type2]]="N/A",Table1[[#This Row],[DUT Adj Read]]="N/A",Table1[[#This Row],[Std Adj Read]]="N/A"),"N/A",IF(Table1[[#This Row],[DUT Adj Read]]="N/A",IF(Table1[[#This Row],[Std Adj Read]]&lt;=Table1[[#This Row],[High Tol]],"Pass","Fail"),IF(Table1[[#This Row],[DUT Adj Read]]&lt;=Table1[[#This Row],[High Tol]],"Pass","Fail")))</f>
        <v>Fail</v>
      </c>
      <c r="AH5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1" s="1" t="b">
        <v>0</v>
      </c>
      <c r="AN571" s="1" t="b">
        <v>0</v>
      </c>
      <c r="AO571" s="1" t="b">
        <v>0</v>
      </c>
    </row>
    <row r="572" spans="1:41" x14ac:dyDescent="0.25">
      <c r="A572" s="10"/>
      <c r="B572" s="10"/>
      <c r="C572" s="10"/>
      <c r="D572" s="10"/>
      <c r="E572" s="10"/>
      <c r="F572" s="10"/>
      <c r="G572" s="10"/>
      <c r="H572" s="10"/>
      <c r="I572" s="1" t="str">
        <f t="shared" si="24"/>
        <v/>
      </c>
      <c r="J572" s="1" t="s">
        <v>35</v>
      </c>
      <c r="K572" s="1" t="str">
        <f t="shared" si="25"/>
        <v/>
      </c>
      <c r="L572" s="1" t="str">
        <f t="shared" si="26"/>
        <v/>
      </c>
      <c r="M572" s="1">
        <f>IF(OR(Table1[[#This Row],[Std Nom]]="",Table1[[#This Row],[Std Read]]=""),0,Table1[[#This Row],[Std Nom]]-Table1[[#This Row],[Std Read]])</f>
        <v>0</v>
      </c>
      <c r="N572" s="1">
        <f>IF(Calculations!$F$5="ACCREDITED 17025 WITH UNCERTAINTIES",$N$10,0)</f>
        <v>0</v>
      </c>
      <c r="Q572" s="1">
        <f>Table1[[#This Row],[High Tol]]-Table1[[#This Row],[Low Tol]]</f>
        <v>0</v>
      </c>
      <c r="R572" s="1">
        <f>2*Table1[[#This Row],[Std Error]]</f>
        <v>0</v>
      </c>
      <c r="S572" s="1" t="str">
        <f>IF(Table1[[#This Row],[High Tol]]="","N/A",IFERROR(ABS(Table1[[#This Row],[Tol Span]]/Table1[[#This Row],[Error Span]]),"N/A"))</f>
        <v>N/A</v>
      </c>
      <c r="T572" s="1" t="str">
        <f>IF(OR(Table1[[#This Row],[Low Tol]]="",Table1[[#This Row],[High Tol]]=""),"Needs Analysis",IF(Table1[[#This Row],[Ratio]]&gt;=4,"Not Significant",IF(Table1[[#This Row],[Ratio]]&gt;=2,"Semi-Significant","Significant")))</f>
        <v>Needs Analysis</v>
      </c>
      <c r="W572" s="1">
        <f>IF(Table1[[#This Row],[Cal Type]]&lt;&gt;"ACCREDITED 17025 WITH UNCERTAINTIES",0,"")</f>
        <v>0</v>
      </c>
      <c r="X572" s="1" t="str">
        <f>IF(Table1[[#This Row],[DUT Read]]="","N/A",Table1[[#This Row],[Std Error]]+Table1[[#This Row],[DUT Read]]+Table1[[#This Row],[DUT Ucty]])</f>
        <v>N/A</v>
      </c>
      <c r="Y572" s="1" t="str">
        <f>IF(Table1[[#This Row],[Std Read]]="","N/A",Table1[[#This Row],[Std Read]]+Table1[[#This Row],[Std Ucty]])</f>
        <v>N/A</v>
      </c>
      <c r="Z5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2" s="1" t="str">
        <f>IF(Table1[[#This Row],[Spec Type]]="","N/A",Table1[[#This Row],[Spec Type]])</f>
        <v>±</v>
      </c>
      <c r="AC572" s="1" t="str">
        <f>IF(Table1[[#This Row],[Spec Type2]]="N/A","N/A",IF(AND(Table1[[#This Row],[DUT Adj Read]]&gt;=Table1[[#This Row],[Low Tol]],Table1[[#This Row],[DUT Adj Read]]&lt;=Table1[[#This Row],[High Tol]]),"Pass","Fail"))</f>
        <v>Fail</v>
      </c>
      <c r="AD572" s="1" t="str">
        <f>IF(AND(Table1[[#This Row],[Spec Type2]]="N/A",Table1[[#This Row],[DUT Adj Read]]="N/A",Table1[[#This Row],[Std Adj Read]]="N/A"),"N/A",IF(Table1[[#This Row],[DUT Adj Read]]="N/A",IF(Table1[[#This Row],[Std Adj Read]]&gt;Table1[[#This Row],[Low Tol]],"Pass","Fail"),IF(Table1[[#This Row],[DUT Adj Read]]&gt;Table1[[#This Row],[Low Tol]],"Pass","Fail")))</f>
        <v>Pass</v>
      </c>
      <c r="AE572" s="1" t="str">
        <f>IF(AND(Table1[[#This Row],[Spec Type2]]="N/A",Table1[[#This Row],[DUT Adj Read]]="N/A",Table1[[#This Row],[Std Adj Read]]="N/A"),"N/A",IF(Table1[[#This Row],[DUT Adj Read]]="N/A",IF(Table1[[#This Row],[Std Adj Read]]&lt;Table1[[#This Row],[High Tol]],"Pass","Fail"),IF(Table1[[#This Row],[DUT Adj Read]]&lt;Table1[[#This Row],[High Tol]],"Pass","Fail")))</f>
        <v>Fail</v>
      </c>
      <c r="AF572" s="1" t="str">
        <f>IF(AND(Table1[[#This Row],[Spec Type2]]="N/A",Table1[[#This Row],[DUT Adj Read]]="N/A",Table1[[#This Row],[Std Adj Read]]="N/A"),"N/A",IF(Table1[[#This Row],[DUT Adj Read]]="N/A",IF(Table1[[#This Row],[Std Adj Read]]&gt;=Table1[[#This Row],[Low Tol]],"Pass","Fail"),IF(Table1[[#This Row],[DUT Adj Read]]&gt;=Table1[[#This Row],[Low Tol]],"Pass","Fail")))</f>
        <v>Pass</v>
      </c>
      <c r="AG572" s="1" t="str">
        <f>IF(AND(Table1[[#This Row],[Spec Type2]]="N/A",Table1[[#This Row],[DUT Adj Read]]="N/A",Table1[[#This Row],[Std Adj Read]]="N/A"),"N/A",IF(Table1[[#This Row],[DUT Adj Read]]="N/A",IF(Table1[[#This Row],[Std Adj Read]]&lt;=Table1[[#This Row],[High Tol]],"Pass","Fail"),IF(Table1[[#This Row],[DUT Adj Read]]&lt;=Table1[[#This Row],[High Tol]],"Pass","Fail")))</f>
        <v>Fail</v>
      </c>
      <c r="AH5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2" s="1" t="b">
        <v>0</v>
      </c>
      <c r="AN572" s="1" t="b">
        <v>0</v>
      </c>
      <c r="AO572" s="1" t="b">
        <v>0</v>
      </c>
    </row>
    <row r="573" spans="1:41" x14ac:dyDescent="0.25">
      <c r="A573" s="10"/>
      <c r="B573" s="10"/>
      <c r="C573" s="10"/>
      <c r="D573" s="10"/>
      <c r="E573" s="10"/>
      <c r="F573" s="10"/>
      <c r="G573" s="10"/>
      <c r="H573" s="10"/>
      <c r="I573" s="1" t="str">
        <f t="shared" si="24"/>
        <v/>
      </c>
      <c r="J573" s="1" t="s">
        <v>35</v>
      </c>
      <c r="K573" s="1" t="str">
        <f t="shared" si="25"/>
        <v/>
      </c>
      <c r="L573" s="1" t="str">
        <f t="shared" si="26"/>
        <v/>
      </c>
      <c r="M573" s="1">
        <f>IF(OR(Table1[[#This Row],[Std Nom]]="",Table1[[#This Row],[Std Read]]=""),0,Table1[[#This Row],[Std Nom]]-Table1[[#This Row],[Std Read]])</f>
        <v>0</v>
      </c>
      <c r="N573" s="1">
        <f>IF(Calculations!$F$5="ACCREDITED 17025 WITH UNCERTAINTIES",$N$10,0)</f>
        <v>0</v>
      </c>
      <c r="Q573" s="1">
        <f>Table1[[#This Row],[High Tol]]-Table1[[#This Row],[Low Tol]]</f>
        <v>0</v>
      </c>
      <c r="R573" s="1">
        <f>2*Table1[[#This Row],[Std Error]]</f>
        <v>0</v>
      </c>
      <c r="S573" s="1" t="str">
        <f>IF(Table1[[#This Row],[High Tol]]="","N/A",IFERROR(ABS(Table1[[#This Row],[Tol Span]]/Table1[[#This Row],[Error Span]]),"N/A"))</f>
        <v>N/A</v>
      </c>
      <c r="T573" s="1" t="str">
        <f>IF(OR(Table1[[#This Row],[Low Tol]]="",Table1[[#This Row],[High Tol]]=""),"Needs Analysis",IF(Table1[[#This Row],[Ratio]]&gt;=4,"Not Significant",IF(Table1[[#This Row],[Ratio]]&gt;=2,"Semi-Significant","Significant")))</f>
        <v>Needs Analysis</v>
      </c>
      <c r="W573" s="1">
        <f>IF(Table1[[#This Row],[Cal Type]]&lt;&gt;"ACCREDITED 17025 WITH UNCERTAINTIES",0,"")</f>
        <v>0</v>
      </c>
      <c r="X573" s="1" t="str">
        <f>IF(Table1[[#This Row],[DUT Read]]="","N/A",Table1[[#This Row],[Std Error]]+Table1[[#This Row],[DUT Read]]+Table1[[#This Row],[DUT Ucty]])</f>
        <v>N/A</v>
      </c>
      <c r="Y573" s="1" t="str">
        <f>IF(Table1[[#This Row],[Std Read]]="","N/A",Table1[[#This Row],[Std Read]]+Table1[[#This Row],[Std Ucty]])</f>
        <v>N/A</v>
      </c>
      <c r="Z5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3" s="1" t="str">
        <f>IF(Table1[[#This Row],[Spec Type]]="","N/A",Table1[[#This Row],[Spec Type]])</f>
        <v>±</v>
      </c>
      <c r="AC573" s="1" t="str">
        <f>IF(Table1[[#This Row],[Spec Type2]]="N/A","N/A",IF(AND(Table1[[#This Row],[DUT Adj Read]]&gt;=Table1[[#This Row],[Low Tol]],Table1[[#This Row],[DUT Adj Read]]&lt;=Table1[[#This Row],[High Tol]]),"Pass","Fail"))</f>
        <v>Fail</v>
      </c>
      <c r="AD573" s="1" t="str">
        <f>IF(AND(Table1[[#This Row],[Spec Type2]]="N/A",Table1[[#This Row],[DUT Adj Read]]="N/A",Table1[[#This Row],[Std Adj Read]]="N/A"),"N/A",IF(Table1[[#This Row],[DUT Adj Read]]="N/A",IF(Table1[[#This Row],[Std Adj Read]]&gt;Table1[[#This Row],[Low Tol]],"Pass","Fail"),IF(Table1[[#This Row],[DUT Adj Read]]&gt;Table1[[#This Row],[Low Tol]],"Pass","Fail")))</f>
        <v>Pass</v>
      </c>
      <c r="AE573" s="1" t="str">
        <f>IF(AND(Table1[[#This Row],[Spec Type2]]="N/A",Table1[[#This Row],[DUT Adj Read]]="N/A",Table1[[#This Row],[Std Adj Read]]="N/A"),"N/A",IF(Table1[[#This Row],[DUT Adj Read]]="N/A",IF(Table1[[#This Row],[Std Adj Read]]&lt;Table1[[#This Row],[High Tol]],"Pass","Fail"),IF(Table1[[#This Row],[DUT Adj Read]]&lt;Table1[[#This Row],[High Tol]],"Pass","Fail")))</f>
        <v>Fail</v>
      </c>
      <c r="AF573" s="1" t="str">
        <f>IF(AND(Table1[[#This Row],[Spec Type2]]="N/A",Table1[[#This Row],[DUT Adj Read]]="N/A",Table1[[#This Row],[Std Adj Read]]="N/A"),"N/A",IF(Table1[[#This Row],[DUT Adj Read]]="N/A",IF(Table1[[#This Row],[Std Adj Read]]&gt;=Table1[[#This Row],[Low Tol]],"Pass","Fail"),IF(Table1[[#This Row],[DUT Adj Read]]&gt;=Table1[[#This Row],[Low Tol]],"Pass","Fail")))</f>
        <v>Pass</v>
      </c>
      <c r="AG573" s="1" t="str">
        <f>IF(AND(Table1[[#This Row],[Spec Type2]]="N/A",Table1[[#This Row],[DUT Adj Read]]="N/A",Table1[[#This Row],[Std Adj Read]]="N/A"),"N/A",IF(Table1[[#This Row],[DUT Adj Read]]="N/A",IF(Table1[[#This Row],[Std Adj Read]]&lt;=Table1[[#This Row],[High Tol]],"Pass","Fail"),IF(Table1[[#This Row],[DUT Adj Read]]&lt;=Table1[[#This Row],[High Tol]],"Pass","Fail")))</f>
        <v>Fail</v>
      </c>
      <c r="AH5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3" s="1" t="b">
        <v>0</v>
      </c>
      <c r="AN573" s="1" t="b">
        <v>0</v>
      </c>
      <c r="AO573" s="1" t="b">
        <v>0</v>
      </c>
    </row>
    <row r="574" spans="1:41" x14ac:dyDescent="0.25">
      <c r="A574" s="10"/>
      <c r="B574" s="10"/>
      <c r="C574" s="10"/>
      <c r="D574" s="10"/>
      <c r="E574" s="10"/>
      <c r="F574" s="10"/>
      <c r="G574" s="10"/>
      <c r="H574" s="10"/>
      <c r="I574" s="1" t="str">
        <f t="shared" si="24"/>
        <v/>
      </c>
      <c r="J574" s="1" t="s">
        <v>35</v>
      </c>
      <c r="K574" s="1" t="str">
        <f t="shared" si="25"/>
        <v/>
      </c>
      <c r="L574" s="1" t="str">
        <f t="shared" si="26"/>
        <v/>
      </c>
      <c r="M574" s="1">
        <f>IF(OR(Table1[[#This Row],[Std Nom]]="",Table1[[#This Row],[Std Read]]=""),0,Table1[[#This Row],[Std Nom]]-Table1[[#This Row],[Std Read]])</f>
        <v>0</v>
      </c>
      <c r="N574" s="1">
        <f>IF(Calculations!$F$5="ACCREDITED 17025 WITH UNCERTAINTIES",$N$10,0)</f>
        <v>0</v>
      </c>
      <c r="Q574" s="1">
        <f>Table1[[#This Row],[High Tol]]-Table1[[#This Row],[Low Tol]]</f>
        <v>0</v>
      </c>
      <c r="R574" s="1">
        <f>2*Table1[[#This Row],[Std Error]]</f>
        <v>0</v>
      </c>
      <c r="S574" s="1" t="str">
        <f>IF(Table1[[#This Row],[High Tol]]="","N/A",IFERROR(ABS(Table1[[#This Row],[Tol Span]]/Table1[[#This Row],[Error Span]]),"N/A"))</f>
        <v>N/A</v>
      </c>
      <c r="T574" s="1" t="str">
        <f>IF(OR(Table1[[#This Row],[Low Tol]]="",Table1[[#This Row],[High Tol]]=""),"Needs Analysis",IF(Table1[[#This Row],[Ratio]]&gt;=4,"Not Significant",IF(Table1[[#This Row],[Ratio]]&gt;=2,"Semi-Significant","Significant")))</f>
        <v>Needs Analysis</v>
      </c>
      <c r="W574" s="1">
        <f>IF(Table1[[#This Row],[Cal Type]]&lt;&gt;"ACCREDITED 17025 WITH UNCERTAINTIES",0,"")</f>
        <v>0</v>
      </c>
      <c r="X574" s="1" t="str">
        <f>IF(Table1[[#This Row],[DUT Read]]="","N/A",Table1[[#This Row],[Std Error]]+Table1[[#This Row],[DUT Read]]+Table1[[#This Row],[DUT Ucty]])</f>
        <v>N/A</v>
      </c>
      <c r="Y574" s="1" t="str">
        <f>IF(Table1[[#This Row],[Std Read]]="","N/A",Table1[[#This Row],[Std Read]]+Table1[[#This Row],[Std Ucty]])</f>
        <v>N/A</v>
      </c>
      <c r="Z5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4" s="1" t="str">
        <f>IF(Table1[[#This Row],[Spec Type]]="","N/A",Table1[[#This Row],[Spec Type]])</f>
        <v>±</v>
      </c>
      <c r="AC574" s="1" t="str">
        <f>IF(Table1[[#This Row],[Spec Type2]]="N/A","N/A",IF(AND(Table1[[#This Row],[DUT Adj Read]]&gt;=Table1[[#This Row],[Low Tol]],Table1[[#This Row],[DUT Adj Read]]&lt;=Table1[[#This Row],[High Tol]]),"Pass","Fail"))</f>
        <v>Fail</v>
      </c>
      <c r="AD574" s="1" t="str">
        <f>IF(AND(Table1[[#This Row],[Spec Type2]]="N/A",Table1[[#This Row],[DUT Adj Read]]="N/A",Table1[[#This Row],[Std Adj Read]]="N/A"),"N/A",IF(Table1[[#This Row],[DUT Adj Read]]="N/A",IF(Table1[[#This Row],[Std Adj Read]]&gt;Table1[[#This Row],[Low Tol]],"Pass","Fail"),IF(Table1[[#This Row],[DUT Adj Read]]&gt;Table1[[#This Row],[Low Tol]],"Pass","Fail")))</f>
        <v>Pass</v>
      </c>
      <c r="AE574" s="1" t="str">
        <f>IF(AND(Table1[[#This Row],[Spec Type2]]="N/A",Table1[[#This Row],[DUT Adj Read]]="N/A",Table1[[#This Row],[Std Adj Read]]="N/A"),"N/A",IF(Table1[[#This Row],[DUT Adj Read]]="N/A",IF(Table1[[#This Row],[Std Adj Read]]&lt;Table1[[#This Row],[High Tol]],"Pass","Fail"),IF(Table1[[#This Row],[DUT Adj Read]]&lt;Table1[[#This Row],[High Tol]],"Pass","Fail")))</f>
        <v>Fail</v>
      </c>
      <c r="AF574" s="1" t="str">
        <f>IF(AND(Table1[[#This Row],[Spec Type2]]="N/A",Table1[[#This Row],[DUT Adj Read]]="N/A",Table1[[#This Row],[Std Adj Read]]="N/A"),"N/A",IF(Table1[[#This Row],[DUT Adj Read]]="N/A",IF(Table1[[#This Row],[Std Adj Read]]&gt;=Table1[[#This Row],[Low Tol]],"Pass","Fail"),IF(Table1[[#This Row],[DUT Adj Read]]&gt;=Table1[[#This Row],[Low Tol]],"Pass","Fail")))</f>
        <v>Pass</v>
      </c>
      <c r="AG574" s="1" t="str">
        <f>IF(AND(Table1[[#This Row],[Spec Type2]]="N/A",Table1[[#This Row],[DUT Adj Read]]="N/A",Table1[[#This Row],[Std Adj Read]]="N/A"),"N/A",IF(Table1[[#This Row],[DUT Adj Read]]="N/A",IF(Table1[[#This Row],[Std Adj Read]]&lt;=Table1[[#This Row],[High Tol]],"Pass","Fail"),IF(Table1[[#This Row],[DUT Adj Read]]&lt;=Table1[[#This Row],[High Tol]],"Pass","Fail")))</f>
        <v>Fail</v>
      </c>
      <c r="AH5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4" s="1" t="b">
        <v>0</v>
      </c>
      <c r="AN574" s="1" t="b">
        <v>0</v>
      </c>
      <c r="AO574" s="1" t="b">
        <v>0</v>
      </c>
    </row>
    <row r="575" spans="1:41" x14ac:dyDescent="0.25">
      <c r="A575" s="10"/>
      <c r="B575" s="10"/>
      <c r="C575" s="10"/>
      <c r="D575" s="10"/>
      <c r="E575" s="10"/>
      <c r="F575" s="10"/>
      <c r="G575" s="10"/>
      <c r="H575" s="10"/>
      <c r="I575" s="1" t="str">
        <f t="shared" si="24"/>
        <v/>
      </c>
      <c r="J575" s="1" t="s">
        <v>35</v>
      </c>
      <c r="K575" s="1" t="str">
        <f t="shared" si="25"/>
        <v/>
      </c>
      <c r="L575" s="1" t="str">
        <f t="shared" si="26"/>
        <v/>
      </c>
      <c r="M575" s="1">
        <f>IF(OR(Table1[[#This Row],[Std Nom]]="",Table1[[#This Row],[Std Read]]=""),0,Table1[[#This Row],[Std Nom]]-Table1[[#This Row],[Std Read]])</f>
        <v>0</v>
      </c>
      <c r="N575" s="1">
        <f>IF(Calculations!$F$5="ACCREDITED 17025 WITH UNCERTAINTIES",$N$10,0)</f>
        <v>0</v>
      </c>
      <c r="Q575" s="1">
        <f>Table1[[#This Row],[High Tol]]-Table1[[#This Row],[Low Tol]]</f>
        <v>0</v>
      </c>
      <c r="R575" s="1">
        <f>2*Table1[[#This Row],[Std Error]]</f>
        <v>0</v>
      </c>
      <c r="S575" s="1" t="str">
        <f>IF(Table1[[#This Row],[High Tol]]="","N/A",IFERROR(ABS(Table1[[#This Row],[Tol Span]]/Table1[[#This Row],[Error Span]]),"N/A"))</f>
        <v>N/A</v>
      </c>
      <c r="T575" s="1" t="str">
        <f>IF(OR(Table1[[#This Row],[Low Tol]]="",Table1[[#This Row],[High Tol]]=""),"Needs Analysis",IF(Table1[[#This Row],[Ratio]]&gt;=4,"Not Significant",IF(Table1[[#This Row],[Ratio]]&gt;=2,"Semi-Significant","Significant")))</f>
        <v>Needs Analysis</v>
      </c>
      <c r="W575" s="1">
        <f>IF(Table1[[#This Row],[Cal Type]]&lt;&gt;"ACCREDITED 17025 WITH UNCERTAINTIES",0,"")</f>
        <v>0</v>
      </c>
      <c r="X575" s="1" t="str">
        <f>IF(Table1[[#This Row],[DUT Read]]="","N/A",Table1[[#This Row],[Std Error]]+Table1[[#This Row],[DUT Read]]+Table1[[#This Row],[DUT Ucty]])</f>
        <v>N/A</v>
      </c>
      <c r="Y575" s="1" t="str">
        <f>IF(Table1[[#This Row],[Std Read]]="","N/A",Table1[[#This Row],[Std Read]]+Table1[[#This Row],[Std Ucty]])</f>
        <v>N/A</v>
      </c>
      <c r="Z5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5" s="1" t="str">
        <f>IF(Table1[[#This Row],[Spec Type]]="","N/A",Table1[[#This Row],[Spec Type]])</f>
        <v>±</v>
      </c>
      <c r="AC575" s="1" t="str">
        <f>IF(Table1[[#This Row],[Spec Type2]]="N/A","N/A",IF(AND(Table1[[#This Row],[DUT Adj Read]]&gt;=Table1[[#This Row],[Low Tol]],Table1[[#This Row],[DUT Adj Read]]&lt;=Table1[[#This Row],[High Tol]]),"Pass","Fail"))</f>
        <v>Fail</v>
      </c>
      <c r="AD575" s="1" t="str">
        <f>IF(AND(Table1[[#This Row],[Spec Type2]]="N/A",Table1[[#This Row],[DUT Adj Read]]="N/A",Table1[[#This Row],[Std Adj Read]]="N/A"),"N/A",IF(Table1[[#This Row],[DUT Adj Read]]="N/A",IF(Table1[[#This Row],[Std Adj Read]]&gt;Table1[[#This Row],[Low Tol]],"Pass","Fail"),IF(Table1[[#This Row],[DUT Adj Read]]&gt;Table1[[#This Row],[Low Tol]],"Pass","Fail")))</f>
        <v>Pass</v>
      </c>
      <c r="AE575" s="1" t="str">
        <f>IF(AND(Table1[[#This Row],[Spec Type2]]="N/A",Table1[[#This Row],[DUT Adj Read]]="N/A",Table1[[#This Row],[Std Adj Read]]="N/A"),"N/A",IF(Table1[[#This Row],[DUT Adj Read]]="N/A",IF(Table1[[#This Row],[Std Adj Read]]&lt;Table1[[#This Row],[High Tol]],"Pass","Fail"),IF(Table1[[#This Row],[DUT Adj Read]]&lt;Table1[[#This Row],[High Tol]],"Pass","Fail")))</f>
        <v>Fail</v>
      </c>
      <c r="AF575" s="1" t="str">
        <f>IF(AND(Table1[[#This Row],[Spec Type2]]="N/A",Table1[[#This Row],[DUT Adj Read]]="N/A",Table1[[#This Row],[Std Adj Read]]="N/A"),"N/A",IF(Table1[[#This Row],[DUT Adj Read]]="N/A",IF(Table1[[#This Row],[Std Adj Read]]&gt;=Table1[[#This Row],[Low Tol]],"Pass","Fail"),IF(Table1[[#This Row],[DUT Adj Read]]&gt;=Table1[[#This Row],[Low Tol]],"Pass","Fail")))</f>
        <v>Pass</v>
      </c>
      <c r="AG575" s="1" t="str">
        <f>IF(AND(Table1[[#This Row],[Spec Type2]]="N/A",Table1[[#This Row],[DUT Adj Read]]="N/A",Table1[[#This Row],[Std Adj Read]]="N/A"),"N/A",IF(Table1[[#This Row],[DUT Adj Read]]="N/A",IF(Table1[[#This Row],[Std Adj Read]]&lt;=Table1[[#This Row],[High Tol]],"Pass","Fail"),IF(Table1[[#This Row],[DUT Adj Read]]&lt;=Table1[[#This Row],[High Tol]],"Pass","Fail")))</f>
        <v>Fail</v>
      </c>
      <c r="AH5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5" s="1" t="b">
        <v>0</v>
      </c>
      <c r="AN575" s="1" t="b">
        <v>0</v>
      </c>
      <c r="AO575" s="1" t="b">
        <v>0</v>
      </c>
    </row>
    <row r="576" spans="1:41" x14ac:dyDescent="0.25">
      <c r="A576" s="10"/>
      <c r="B576" s="10"/>
      <c r="C576" s="10"/>
      <c r="D576" s="10"/>
      <c r="E576" s="10"/>
      <c r="F576" s="10"/>
      <c r="G576" s="10"/>
      <c r="H576" s="10"/>
      <c r="I576" s="1" t="str">
        <f t="shared" si="24"/>
        <v/>
      </c>
      <c r="J576" s="1" t="s">
        <v>35</v>
      </c>
      <c r="K576" s="1" t="str">
        <f t="shared" si="25"/>
        <v/>
      </c>
      <c r="L576" s="1" t="str">
        <f t="shared" si="26"/>
        <v/>
      </c>
      <c r="M576" s="1">
        <f>IF(OR(Table1[[#This Row],[Std Nom]]="",Table1[[#This Row],[Std Read]]=""),0,Table1[[#This Row],[Std Nom]]-Table1[[#This Row],[Std Read]])</f>
        <v>0</v>
      </c>
      <c r="N576" s="1">
        <f>IF(Calculations!$F$5="ACCREDITED 17025 WITH UNCERTAINTIES",$N$10,0)</f>
        <v>0</v>
      </c>
      <c r="Q576" s="1">
        <f>Table1[[#This Row],[High Tol]]-Table1[[#This Row],[Low Tol]]</f>
        <v>0</v>
      </c>
      <c r="R576" s="1">
        <f>2*Table1[[#This Row],[Std Error]]</f>
        <v>0</v>
      </c>
      <c r="S576" s="1" t="str">
        <f>IF(Table1[[#This Row],[High Tol]]="","N/A",IFERROR(ABS(Table1[[#This Row],[Tol Span]]/Table1[[#This Row],[Error Span]]),"N/A"))</f>
        <v>N/A</v>
      </c>
      <c r="T576" s="1" t="str">
        <f>IF(OR(Table1[[#This Row],[Low Tol]]="",Table1[[#This Row],[High Tol]]=""),"Needs Analysis",IF(Table1[[#This Row],[Ratio]]&gt;=4,"Not Significant",IF(Table1[[#This Row],[Ratio]]&gt;=2,"Semi-Significant","Significant")))</f>
        <v>Needs Analysis</v>
      </c>
      <c r="W576" s="1">
        <f>IF(Table1[[#This Row],[Cal Type]]&lt;&gt;"ACCREDITED 17025 WITH UNCERTAINTIES",0,"")</f>
        <v>0</v>
      </c>
      <c r="X576" s="1" t="str">
        <f>IF(Table1[[#This Row],[DUT Read]]="","N/A",Table1[[#This Row],[Std Error]]+Table1[[#This Row],[DUT Read]]+Table1[[#This Row],[DUT Ucty]])</f>
        <v>N/A</v>
      </c>
      <c r="Y576" s="1" t="str">
        <f>IF(Table1[[#This Row],[Std Read]]="","N/A",Table1[[#This Row],[Std Read]]+Table1[[#This Row],[Std Ucty]])</f>
        <v>N/A</v>
      </c>
      <c r="Z5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6" s="1" t="str">
        <f>IF(Table1[[#This Row],[Spec Type]]="","N/A",Table1[[#This Row],[Spec Type]])</f>
        <v>±</v>
      </c>
      <c r="AC576" s="1" t="str">
        <f>IF(Table1[[#This Row],[Spec Type2]]="N/A","N/A",IF(AND(Table1[[#This Row],[DUT Adj Read]]&gt;=Table1[[#This Row],[Low Tol]],Table1[[#This Row],[DUT Adj Read]]&lt;=Table1[[#This Row],[High Tol]]),"Pass","Fail"))</f>
        <v>Fail</v>
      </c>
      <c r="AD576" s="1" t="str">
        <f>IF(AND(Table1[[#This Row],[Spec Type2]]="N/A",Table1[[#This Row],[DUT Adj Read]]="N/A",Table1[[#This Row],[Std Adj Read]]="N/A"),"N/A",IF(Table1[[#This Row],[DUT Adj Read]]="N/A",IF(Table1[[#This Row],[Std Adj Read]]&gt;Table1[[#This Row],[Low Tol]],"Pass","Fail"),IF(Table1[[#This Row],[DUT Adj Read]]&gt;Table1[[#This Row],[Low Tol]],"Pass","Fail")))</f>
        <v>Pass</v>
      </c>
      <c r="AE576" s="1" t="str">
        <f>IF(AND(Table1[[#This Row],[Spec Type2]]="N/A",Table1[[#This Row],[DUT Adj Read]]="N/A",Table1[[#This Row],[Std Adj Read]]="N/A"),"N/A",IF(Table1[[#This Row],[DUT Adj Read]]="N/A",IF(Table1[[#This Row],[Std Adj Read]]&lt;Table1[[#This Row],[High Tol]],"Pass","Fail"),IF(Table1[[#This Row],[DUT Adj Read]]&lt;Table1[[#This Row],[High Tol]],"Pass","Fail")))</f>
        <v>Fail</v>
      </c>
      <c r="AF576" s="1" t="str">
        <f>IF(AND(Table1[[#This Row],[Spec Type2]]="N/A",Table1[[#This Row],[DUT Adj Read]]="N/A",Table1[[#This Row],[Std Adj Read]]="N/A"),"N/A",IF(Table1[[#This Row],[DUT Adj Read]]="N/A",IF(Table1[[#This Row],[Std Adj Read]]&gt;=Table1[[#This Row],[Low Tol]],"Pass","Fail"),IF(Table1[[#This Row],[DUT Adj Read]]&gt;=Table1[[#This Row],[Low Tol]],"Pass","Fail")))</f>
        <v>Pass</v>
      </c>
      <c r="AG576" s="1" t="str">
        <f>IF(AND(Table1[[#This Row],[Spec Type2]]="N/A",Table1[[#This Row],[DUT Adj Read]]="N/A",Table1[[#This Row],[Std Adj Read]]="N/A"),"N/A",IF(Table1[[#This Row],[DUT Adj Read]]="N/A",IF(Table1[[#This Row],[Std Adj Read]]&lt;=Table1[[#This Row],[High Tol]],"Pass","Fail"),IF(Table1[[#This Row],[DUT Adj Read]]&lt;=Table1[[#This Row],[High Tol]],"Pass","Fail")))</f>
        <v>Fail</v>
      </c>
      <c r="AH5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6" s="1" t="b">
        <v>0</v>
      </c>
      <c r="AN576" s="1" t="b">
        <v>0</v>
      </c>
      <c r="AO576" s="1" t="b">
        <v>0</v>
      </c>
    </row>
    <row r="577" spans="1:41" x14ac:dyDescent="0.25">
      <c r="A577" s="10"/>
      <c r="B577" s="10"/>
      <c r="C577" s="10"/>
      <c r="D577" s="10"/>
      <c r="E577" s="10"/>
      <c r="F577" s="10"/>
      <c r="G577" s="10"/>
      <c r="H577" s="10"/>
      <c r="I577" s="1" t="str">
        <f t="shared" si="24"/>
        <v/>
      </c>
      <c r="J577" s="1" t="s">
        <v>35</v>
      </c>
      <c r="K577" s="1" t="str">
        <f t="shared" si="25"/>
        <v/>
      </c>
      <c r="L577" s="1" t="str">
        <f t="shared" si="26"/>
        <v/>
      </c>
      <c r="M577" s="1">
        <f>IF(OR(Table1[[#This Row],[Std Nom]]="",Table1[[#This Row],[Std Read]]=""),0,Table1[[#This Row],[Std Nom]]-Table1[[#This Row],[Std Read]])</f>
        <v>0</v>
      </c>
      <c r="N577" s="1">
        <f>IF(Calculations!$F$5="ACCREDITED 17025 WITH UNCERTAINTIES",$N$10,0)</f>
        <v>0</v>
      </c>
      <c r="Q577" s="1">
        <f>Table1[[#This Row],[High Tol]]-Table1[[#This Row],[Low Tol]]</f>
        <v>0</v>
      </c>
      <c r="R577" s="1">
        <f>2*Table1[[#This Row],[Std Error]]</f>
        <v>0</v>
      </c>
      <c r="S577" s="1" t="str">
        <f>IF(Table1[[#This Row],[High Tol]]="","N/A",IFERROR(ABS(Table1[[#This Row],[Tol Span]]/Table1[[#This Row],[Error Span]]),"N/A"))</f>
        <v>N/A</v>
      </c>
      <c r="T577" s="1" t="str">
        <f>IF(OR(Table1[[#This Row],[Low Tol]]="",Table1[[#This Row],[High Tol]]=""),"Needs Analysis",IF(Table1[[#This Row],[Ratio]]&gt;=4,"Not Significant",IF(Table1[[#This Row],[Ratio]]&gt;=2,"Semi-Significant","Significant")))</f>
        <v>Needs Analysis</v>
      </c>
      <c r="W577" s="1">
        <f>IF(Table1[[#This Row],[Cal Type]]&lt;&gt;"ACCREDITED 17025 WITH UNCERTAINTIES",0,"")</f>
        <v>0</v>
      </c>
      <c r="X577" s="1" t="str">
        <f>IF(Table1[[#This Row],[DUT Read]]="","N/A",Table1[[#This Row],[Std Error]]+Table1[[#This Row],[DUT Read]]+Table1[[#This Row],[DUT Ucty]])</f>
        <v>N/A</v>
      </c>
      <c r="Y577" s="1" t="str">
        <f>IF(Table1[[#This Row],[Std Read]]="","N/A",Table1[[#This Row],[Std Read]]+Table1[[#This Row],[Std Ucty]])</f>
        <v>N/A</v>
      </c>
      <c r="Z5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7" s="1" t="str">
        <f>IF(Table1[[#This Row],[Spec Type]]="","N/A",Table1[[#This Row],[Spec Type]])</f>
        <v>±</v>
      </c>
      <c r="AC577" s="1" t="str">
        <f>IF(Table1[[#This Row],[Spec Type2]]="N/A","N/A",IF(AND(Table1[[#This Row],[DUT Adj Read]]&gt;=Table1[[#This Row],[Low Tol]],Table1[[#This Row],[DUT Adj Read]]&lt;=Table1[[#This Row],[High Tol]]),"Pass","Fail"))</f>
        <v>Fail</v>
      </c>
      <c r="AD577" s="1" t="str">
        <f>IF(AND(Table1[[#This Row],[Spec Type2]]="N/A",Table1[[#This Row],[DUT Adj Read]]="N/A",Table1[[#This Row],[Std Adj Read]]="N/A"),"N/A",IF(Table1[[#This Row],[DUT Adj Read]]="N/A",IF(Table1[[#This Row],[Std Adj Read]]&gt;Table1[[#This Row],[Low Tol]],"Pass","Fail"),IF(Table1[[#This Row],[DUT Adj Read]]&gt;Table1[[#This Row],[Low Tol]],"Pass","Fail")))</f>
        <v>Pass</v>
      </c>
      <c r="AE577" s="1" t="str">
        <f>IF(AND(Table1[[#This Row],[Spec Type2]]="N/A",Table1[[#This Row],[DUT Adj Read]]="N/A",Table1[[#This Row],[Std Adj Read]]="N/A"),"N/A",IF(Table1[[#This Row],[DUT Adj Read]]="N/A",IF(Table1[[#This Row],[Std Adj Read]]&lt;Table1[[#This Row],[High Tol]],"Pass","Fail"),IF(Table1[[#This Row],[DUT Adj Read]]&lt;Table1[[#This Row],[High Tol]],"Pass","Fail")))</f>
        <v>Fail</v>
      </c>
      <c r="AF577" s="1" t="str">
        <f>IF(AND(Table1[[#This Row],[Spec Type2]]="N/A",Table1[[#This Row],[DUT Adj Read]]="N/A",Table1[[#This Row],[Std Adj Read]]="N/A"),"N/A",IF(Table1[[#This Row],[DUT Adj Read]]="N/A",IF(Table1[[#This Row],[Std Adj Read]]&gt;=Table1[[#This Row],[Low Tol]],"Pass","Fail"),IF(Table1[[#This Row],[DUT Adj Read]]&gt;=Table1[[#This Row],[Low Tol]],"Pass","Fail")))</f>
        <v>Pass</v>
      </c>
      <c r="AG577" s="1" t="str">
        <f>IF(AND(Table1[[#This Row],[Spec Type2]]="N/A",Table1[[#This Row],[DUT Adj Read]]="N/A",Table1[[#This Row],[Std Adj Read]]="N/A"),"N/A",IF(Table1[[#This Row],[DUT Adj Read]]="N/A",IF(Table1[[#This Row],[Std Adj Read]]&lt;=Table1[[#This Row],[High Tol]],"Pass","Fail"),IF(Table1[[#This Row],[DUT Adj Read]]&lt;=Table1[[#This Row],[High Tol]],"Pass","Fail")))</f>
        <v>Fail</v>
      </c>
      <c r="AH5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7" s="1" t="b">
        <v>0</v>
      </c>
      <c r="AN577" s="1" t="b">
        <v>0</v>
      </c>
      <c r="AO577" s="1" t="b">
        <v>0</v>
      </c>
    </row>
    <row r="578" spans="1:41" x14ac:dyDescent="0.25">
      <c r="A578" s="10"/>
      <c r="B578" s="10"/>
      <c r="C578" s="10"/>
      <c r="D578" s="10"/>
      <c r="E578" s="10"/>
      <c r="F578" s="10"/>
      <c r="G578" s="10"/>
      <c r="H578" s="10"/>
      <c r="I578" s="1" t="str">
        <f t="shared" si="24"/>
        <v/>
      </c>
      <c r="J578" s="1" t="s">
        <v>35</v>
      </c>
      <c r="K578" s="1" t="str">
        <f t="shared" si="25"/>
        <v/>
      </c>
      <c r="L578" s="1" t="str">
        <f t="shared" si="26"/>
        <v/>
      </c>
      <c r="M578" s="1">
        <f>IF(OR(Table1[[#This Row],[Std Nom]]="",Table1[[#This Row],[Std Read]]=""),0,Table1[[#This Row],[Std Nom]]-Table1[[#This Row],[Std Read]])</f>
        <v>0</v>
      </c>
      <c r="N578" s="1">
        <f>IF(Calculations!$F$5="ACCREDITED 17025 WITH UNCERTAINTIES",$N$10,0)</f>
        <v>0</v>
      </c>
      <c r="Q578" s="1">
        <f>Table1[[#This Row],[High Tol]]-Table1[[#This Row],[Low Tol]]</f>
        <v>0</v>
      </c>
      <c r="R578" s="1">
        <f>2*Table1[[#This Row],[Std Error]]</f>
        <v>0</v>
      </c>
      <c r="S578" s="1" t="str">
        <f>IF(Table1[[#This Row],[High Tol]]="","N/A",IFERROR(ABS(Table1[[#This Row],[Tol Span]]/Table1[[#This Row],[Error Span]]),"N/A"))</f>
        <v>N/A</v>
      </c>
      <c r="T578" s="1" t="str">
        <f>IF(OR(Table1[[#This Row],[Low Tol]]="",Table1[[#This Row],[High Tol]]=""),"Needs Analysis",IF(Table1[[#This Row],[Ratio]]&gt;=4,"Not Significant",IF(Table1[[#This Row],[Ratio]]&gt;=2,"Semi-Significant","Significant")))</f>
        <v>Needs Analysis</v>
      </c>
      <c r="W578" s="1">
        <f>IF(Table1[[#This Row],[Cal Type]]&lt;&gt;"ACCREDITED 17025 WITH UNCERTAINTIES",0,"")</f>
        <v>0</v>
      </c>
      <c r="X578" s="1" t="str">
        <f>IF(Table1[[#This Row],[DUT Read]]="","N/A",Table1[[#This Row],[Std Error]]+Table1[[#This Row],[DUT Read]]+Table1[[#This Row],[DUT Ucty]])</f>
        <v>N/A</v>
      </c>
      <c r="Y578" s="1" t="str">
        <f>IF(Table1[[#This Row],[Std Read]]="","N/A",Table1[[#This Row],[Std Read]]+Table1[[#This Row],[Std Ucty]])</f>
        <v>N/A</v>
      </c>
      <c r="Z5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8" s="1" t="str">
        <f>IF(Table1[[#This Row],[Spec Type]]="","N/A",Table1[[#This Row],[Spec Type]])</f>
        <v>±</v>
      </c>
      <c r="AC578" s="1" t="str">
        <f>IF(Table1[[#This Row],[Spec Type2]]="N/A","N/A",IF(AND(Table1[[#This Row],[DUT Adj Read]]&gt;=Table1[[#This Row],[Low Tol]],Table1[[#This Row],[DUT Adj Read]]&lt;=Table1[[#This Row],[High Tol]]),"Pass","Fail"))</f>
        <v>Fail</v>
      </c>
      <c r="AD578" s="1" t="str">
        <f>IF(AND(Table1[[#This Row],[Spec Type2]]="N/A",Table1[[#This Row],[DUT Adj Read]]="N/A",Table1[[#This Row],[Std Adj Read]]="N/A"),"N/A",IF(Table1[[#This Row],[DUT Adj Read]]="N/A",IF(Table1[[#This Row],[Std Adj Read]]&gt;Table1[[#This Row],[Low Tol]],"Pass","Fail"),IF(Table1[[#This Row],[DUT Adj Read]]&gt;Table1[[#This Row],[Low Tol]],"Pass","Fail")))</f>
        <v>Pass</v>
      </c>
      <c r="AE578" s="1" t="str">
        <f>IF(AND(Table1[[#This Row],[Spec Type2]]="N/A",Table1[[#This Row],[DUT Adj Read]]="N/A",Table1[[#This Row],[Std Adj Read]]="N/A"),"N/A",IF(Table1[[#This Row],[DUT Adj Read]]="N/A",IF(Table1[[#This Row],[Std Adj Read]]&lt;Table1[[#This Row],[High Tol]],"Pass","Fail"),IF(Table1[[#This Row],[DUT Adj Read]]&lt;Table1[[#This Row],[High Tol]],"Pass","Fail")))</f>
        <v>Fail</v>
      </c>
      <c r="AF578" s="1" t="str">
        <f>IF(AND(Table1[[#This Row],[Spec Type2]]="N/A",Table1[[#This Row],[DUT Adj Read]]="N/A",Table1[[#This Row],[Std Adj Read]]="N/A"),"N/A",IF(Table1[[#This Row],[DUT Adj Read]]="N/A",IF(Table1[[#This Row],[Std Adj Read]]&gt;=Table1[[#This Row],[Low Tol]],"Pass","Fail"),IF(Table1[[#This Row],[DUT Adj Read]]&gt;=Table1[[#This Row],[Low Tol]],"Pass","Fail")))</f>
        <v>Pass</v>
      </c>
      <c r="AG578" s="1" t="str">
        <f>IF(AND(Table1[[#This Row],[Spec Type2]]="N/A",Table1[[#This Row],[DUT Adj Read]]="N/A",Table1[[#This Row],[Std Adj Read]]="N/A"),"N/A",IF(Table1[[#This Row],[DUT Adj Read]]="N/A",IF(Table1[[#This Row],[Std Adj Read]]&lt;=Table1[[#This Row],[High Tol]],"Pass","Fail"),IF(Table1[[#This Row],[DUT Adj Read]]&lt;=Table1[[#This Row],[High Tol]],"Pass","Fail")))</f>
        <v>Fail</v>
      </c>
      <c r="AH5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8" s="1" t="b">
        <v>0</v>
      </c>
      <c r="AN578" s="1" t="b">
        <v>0</v>
      </c>
      <c r="AO578" s="1" t="b">
        <v>0</v>
      </c>
    </row>
    <row r="579" spans="1:41" x14ac:dyDescent="0.25">
      <c r="A579" s="10"/>
      <c r="B579" s="10"/>
      <c r="C579" s="10"/>
      <c r="D579" s="10"/>
      <c r="E579" s="10"/>
      <c r="F579" s="10"/>
      <c r="G579" s="10"/>
      <c r="H579" s="10"/>
      <c r="I579" s="1" t="str">
        <f t="shared" si="24"/>
        <v/>
      </c>
      <c r="J579" s="1" t="s">
        <v>35</v>
      </c>
      <c r="K579" s="1" t="str">
        <f t="shared" si="25"/>
        <v/>
      </c>
      <c r="L579" s="1" t="str">
        <f t="shared" si="26"/>
        <v/>
      </c>
      <c r="M579" s="1">
        <f>IF(OR(Table1[[#This Row],[Std Nom]]="",Table1[[#This Row],[Std Read]]=""),0,Table1[[#This Row],[Std Nom]]-Table1[[#This Row],[Std Read]])</f>
        <v>0</v>
      </c>
      <c r="N579" s="1">
        <f>IF(Calculations!$F$5="ACCREDITED 17025 WITH UNCERTAINTIES",$N$10,0)</f>
        <v>0</v>
      </c>
      <c r="Q579" s="1">
        <f>Table1[[#This Row],[High Tol]]-Table1[[#This Row],[Low Tol]]</f>
        <v>0</v>
      </c>
      <c r="R579" s="1">
        <f>2*Table1[[#This Row],[Std Error]]</f>
        <v>0</v>
      </c>
      <c r="S579" s="1" t="str">
        <f>IF(Table1[[#This Row],[High Tol]]="","N/A",IFERROR(ABS(Table1[[#This Row],[Tol Span]]/Table1[[#This Row],[Error Span]]),"N/A"))</f>
        <v>N/A</v>
      </c>
      <c r="T579" s="1" t="str">
        <f>IF(OR(Table1[[#This Row],[Low Tol]]="",Table1[[#This Row],[High Tol]]=""),"Needs Analysis",IF(Table1[[#This Row],[Ratio]]&gt;=4,"Not Significant",IF(Table1[[#This Row],[Ratio]]&gt;=2,"Semi-Significant","Significant")))</f>
        <v>Needs Analysis</v>
      </c>
      <c r="W579" s="1">
        <f>IF(Table1[[#This Row],[Cal Type]]&lt;&gt;"ACCREDITED 17025 WITH UNCERTAINTIES",0,"")</f>
        <v>0</v>
      </c>
      <c r="X579" s="1" t="str">
        <f>IF(Table1[[#This Row],[DUT Read]]="","N/A",Table1[[#This Row],[Std Error]]+Table1[[#This Row],[DUT Read]]+Table1[[#This Row],[DUT Ucty]])</f>
        <v>N/A</v>
      </c>
      <c r="Y579" s="1" t="str">
        <f>IF(Table1[[#This Row],[Std Read]]="","N/A",Table1[[#This Row],[Std Read]]+Table1[[#This Row],[Std Ucty]])</f>
        <v>N/A</v>
      </c>
      <c r="Z5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79" s="1" t="str">
        <f>IF(Table1[[#This Row],[Spec Type]]="","N/A",Table1[[#This Row],[Spec Type]])</f>
        <v>±</v>
      </c>
      <c r="AC579" s="1" t="str">
        <f>IF(Table1[[#This Row],[Spec Type2]]="N/A","N/A",IF(AND(Table1[[#This Row],[DUT Adj Read]]&gt;=Table1[[#This Row],[Low Tol]],Table1[[#This Row],[DUT Adj Read]]&lt;=Table1[[#This Row],[High Tol]]),"Pass","Fail"))</f>
        <v>Fail</v>
      </c>
      <c r="AD579" s="1" t="str">
        <f>IF(AND(Table1[[#This Row],[Spec Type2]]="N/A",Table1[[#This Row],[DUT Adj Read]]="N/A",Table1[[#This Row],[Std Adj Read]]="N/A"),"N/A",IF(Table1[[#This Row],[DUT Adj Read]]="N/A",IF(Table1[[#This Row],[Std Adj Read]]&gt;Table1[[#This Row],[Low Tol]],"Pass","Fail"),IF(Table1[[#This Row],[DUT Adj Read]]&gt;Table1[[#This Row],[Low Tol]],"Pass","Fail")))</f>
        <v>Pass</v>
      </c>
      <c r="AE579" s="1" t="str">
        <f>IF(AND(Table1[[#This Row],[Spec Type2]]="N/A",Table1[[#This Row],[DUT Adj Read]]="N/A",Table1[[#This Row],[Std Adj Read]]="N/A"),"N/A",IF(Table1[[#This Row],[DUT Adj Read]]="N/A",IF(Table1[[#This Row],[Std Adj Read]]&lt;Table1[[#This Row],[High Tol]],"Pass","Fail"),IF(Table1[[#This Row],[DUT Adj Read]]&lt;Table1[[#This Row],[High Tol]],"Pass","Fail")))</f>
        <v>Fail</v>
      </c>
      <c r="AF579" s="1" t="str">
        <f>IF(AND(Table1[[#This Row],[Spec Type2]]="N/A",Table1[[#This Row],[DUT Adj Read]]="N/A",Table1[[#This Row],[Std Adj Read]]="N/A"),"N/A",IF(Table1[[#This Row],[DUT Adj Read]]="N/A",IF(Table1[[#This Row],[Std Adj Read]]&gt;=Table1[[#This Row],[Low Tol]],"Pass","Fail"),IF(Table1[[#This Row],[DUT Adj Read]]&gt;=Table1[[#This Row],[Low Tol]],"Pass","Fail")))</f>
        <v>Pass</v>
      </c>
      <c r="AG579" s="1" t="str">
        <f>IF(AND(Table1[[#This Row],[Spec Type2]]="N/A",Table1[[#This Row],[DUT Adj Read]]="N/A",Table1[[#This Row],[Std Adj Read]]="N/A"),"N/A",IF(Table1[[#This Row],[DUT Adj Read]]="N/A",IF(Table1[[#This Row],[Std Adj Read]]&lt;=Table1[[#This Row],[High Tol]],"Pass","Fail"),IF(Table1[[#This Row],[DUT Adj Read]]&lt;=Table1[[#This Row],[High Tol]],"Pass","Fail")))</f>
        <v>Fail</v>
      </c>
      <c r="AH5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79" s="1" t="b">
        <v>0</v>
      </c>
      <c r="AN579" s="1" t="b">
        <v>0</v>
      </c>
      <c r="AO579" s="1" t="b">
        <v>0</v>
      </c>
    </row>
    <row r="580" spans="1:41" x14ac:dyDescent="0.25">
      <c r="A580" s="10"/>
      <c r="B580" s="10"/>
      <c r="C580" s="10"/>
      <c r="D580" s="10"/>
      <c r="E580" s="10"/>
      <c r="F580" s="10"/>
      <c r="G580" s="10"/>
      <c r="H580" s="10"/>
      <c r="I580" s="1" t="str">
        <f t="shared" si="24"/>
        <v/>
      </c>
      <c r="J580" s="1" t="s">
        <v>35</v>
      </c>
      <c r="K580" s="1" t="str">
        <f t="shared" si="25"/>
        <v/>
      </c>
      <c r="L580" s="1" t="str">
        <f t="shared" si="26"/>
        <v/>
      </c>
      <c r="M580" s="1">
        <f>IF(OR(Table1[[#This Row],[Std Nom]]="",Table1[[#This Row],[Std Read]]=""),0,Table1[[#This Row],[Std Nom]]-Table1[[#This Row],[Std Read]])</f>
        <v>0</v>
      </c>
      <c r="N580" s="1">
        <f>IF(Calculations!$F$5="ACCREDITED 17025 WITH UNCERTAINTIES",$N$10,0)</f>
        <v>0</v>
      </c>
      <c r="Q580" s="1">
        <f>Table1[[#This Row],[High Tol]]-Table1[[#This Row],[Low Tol]]</f>
        <v>0</v>
      </c>
      <c r="R580" s="1">
        <f>2*Table1[[#This Row],[Std Error]]</f>
        <v>0</v>
      </c>
      <c r="S580" s="1" t="str">
        <f>IF(Table1[[#This Row],[High Tol]]="","N/A",IFERROR(ABS(Table1[[#This Row],[Tol Span]]/Table1[[#This Row],[Error Span]]),"N/A"))</f>
        <v>N/A</v>
      </c>
      <c r="T580" s="1" t="str">
        <f>IF(OR(Table1[[#This Row],[Low Tol]]="",Table1[[#This Row],[High Tol]]=""),"Needs Analysis",IF(Table1[[#This Row],[Ratio]]&gt;=4,"Not Significant",IF(Table1[[#This Row],[Ratio]]&gt;=2,"Semi-Significant","Significant")))</f>
        <v>Needs Analysis</v>
      </c>
      <c r="W580" s="1">
        <f>IF(Table1[[#This Row],[Cal Type]]&lt;&gt;"ACCREDITED 17025 WITH UNCERTAINTIES",0,"")</f>
        <v>0</v>
      </c>
      <c r="X580" s="1" t="str">
        <f>IF(Table1[[#This Row],[DUT Read]]="","N/A",Table1[[#This Row],[Std Error]]+Table1[[#This Row],[DUT Read]]+Table1[[#This Row],[DUT Ucty]])</f>
        <v>N/A</v>
      </c>
      <c r="Y580" s="1" t="str">
        <f>IF(Table1[[#This Row],[Std Read]]="","N/A",Table1[[#This Row],[Std Read]]+Table1[[#This Row],[Std Ucty]])</f>
        <v>N/A</v>
      </c>
      <c r="Z5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0" s="1" t="str">
        <f>IF(Table1[[#This Row],[Spec Type]]="","N/A",Table1[[#This Row],[Spec Type]])</f>
        <v>±</v>
      </c>
      <c r="AC580" s="1" t="str">
        <f>IF(Table1[[#This Row],[Spec Type2]]="N/A","N/A",IF(AND(Table1[[#This Row],[DUT Adj Read]]&gt;=Table1[[#This Row],[Low Tol]],Table1[[#This Row],[DUT Adj Read]]&lt;=Table1[[#This Row],[High Tol]]),"Pass","Fail"))</f>
        <v>Fail</v>
      </c>
      <c r="AD580" s="1" t="str">
        <f>IF(AND(Table1[[#This Row],[Spec Type2]]="N/A",Table1[[#This Row],[DUT Adj Read]]="N/A",Table1[[#This Row],[Std Adj Read]]="N/A"),"N/A",IF(Table1[[#This Row],[DUT Adj Read]]="N/A",IF(Table1[[#This Row],[Std Adj Read]]&gt;Table1[[#This Row],[Low Tol]],"Pass","Fail"),IF(Table1[[#This Row],[DUT Adj Read]]&gt;Table1[[#This Row],[Low Tol]],"Pass","Fail")))</f>
        <v>Pass</v>
      </c>
      <c r="AE580" s="1" t="str">
        <f>IF(AND(Table1[[#This Row],[Spec Type2]]="N/A",Table1[[#This Row],[DUT Adj Read]]="N/A",Table1[[#This Row],[Std Adj Read]]="N/A"),"N/A",IF(Table1[[#This Row],[DUT Adj Read]]="N/A",IF(Table1[[#This Row],[Std Adj Read]]&lt;Table1[[#This Row],[High Tol]],"Pass","Fail"),IF(Table1[[#This Row],[DUT Adj Read]]&lt;Table1[[#This Row],[High Tol]],"Pass","Fail")))</f>
        <v>Fail</v>
      </c>
      <c r="AF580" s="1" t="str">
        <f>IF(AND(Table1[[#This Row],[Spec Type2]]="N/A",Table1[[#This Row],[DUT Adj Read]]="N/A",Table1[[#This Row],[Std Adj Read]]="N/A"),"N/A",IF(Table1[[#This Row],[DUT Adj Read]]="N/A",IF(Table1[[#This Row],[Std Adj Read]]&gt;=Table1[[#This Row],[Low Tol]],"Pass","Fail"),IF(Table1[[#This Row],[DUT Adj Read]]&gt;=Table1[[#This Row],[Low Tol]],"Pass","Fail")))</f>
        <v>Pass</v>
      </c>
      <c r="AG580" s="1" t="str">
        <f>IF(AND(Table1[[#This Row],[Spec Type2]]="N/A",Table1[[#This Row],[DUT Adj Read]]="N/A",Table1[[#This Row],[Std Adj Read]]="N/A"),"N/A",IF(Table1[[#This Row],[DUT Adj Read]]="N/A",IF(Table1[[#This Row],[Std Adj Read]]&lt;=Table1[[#This Row],[High Tol]],"Pass","Fail"),IF(Table1[[#This Row],[DUT Adj Read]]&lt;=Table1[[#This Row],[High Tol]],"Pass","Fail")))</f>
        <v>Fail</v>
      </c>
      <c r="AH5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0" s="1" t="b">
        <v>0</v>
      </c>
      <c r="AN580" s="1" t="b">
        <v>0</v>
      </c>
      <c r="AO580" s="1" t="b">
        <v>0</v>
      </c>
    </row>
    <row r="581" spans="1:41" x14ac:dyDescent="0.25">
      <c r="A581" s="10"/>
      <c r="B581" s="10"/>
      <c r="C581" s="10"/>
      <c r="D581" s="10"/>
      <c r="E581" s="10"/>
      <c r="F581" s="10"/>
      <c r="G581" s="10"/>
      <c r="H581" s="10"/>
      <c r="I581" s="1" t="str">
        <f t="shared" si="24"/>
        <v/>
      </c>
      <c r="J581" s="1" t="s">
        <v>35</v>
      </c>
      <c r="K581" s="1" t="str">
        <f t="shared" si="25"/>
        <v/>
      </c>
      <c r="L581" s="1" t="str">
        <f t="shared" si="26"/>
        <v/>
      </c>
      <c r="M581" s="1">
        <f>IF(OR(Table1[[#This Row],[Std Nom]]="",Table1[[#This Row],[Std Read]]=""),0,Table1[[#This Row],[Std Nom]]-Table1[[#This Row],[Std Read]])</f>
        <v>0</v>
      </c>
      <c r="N581" s="1">
        <f>IF(Calculations!$F$5="ACCREDITED 17025 WITH UNCERTAINTIES",$N$10,0)</f>
        <v>0</v>
      </c>
      <c r="Q581" s="1">
        <f>Table1[[#This Row],[High Tol]]-Table1[[#This Row],[Low Tol]]</f>
        <v>0</v>
      </c>
      <c r="R581" s="1">
        <f>2*Table1[[#This Row],[Std Error]]</f>
        <v>0</v>
      </c>
      <c r="S581" s="1" t="str">
        <f>IF(Table1[[#This Row],[High Tol]]="","N/A",IFERROR(ABS(Table1[[#This Row],[Tol Span]]/Table1[[#This Row],[Error Span]]),"N/A"))</f>
        <v>N/A</v>
      </c>
      <c r="T581" s="1" t="str">
        <f>IF(OR(Table1[[#This Row],[Low Tol]]="",Table1[[#This Row],[High Tol]]=""),"Needs Analysis",IF(Table1[[#This Row],[Ratio]]&gt;=4,"Not Significant",IF(Table1[[#This Row],[Ratio]]&gt;=2,"Semi-Significant","Significant")))</f>
        <v>Needs Analysis</v>
      </c>
      <c r="W581" s="1">
        <f>IF(Table1[[#This Row],[Cal Type]]&lt;&gt;"ACCREDITED 17025 WITH UNCERTAINTIES",0,"")</f>
        <v>0</v>
      </c>
      <c r="X581" s="1" t="str">
        <f>IF(Table1[[#This Row],[DUT Read]]="","N/A",Table1[[#This Row],[Std Error]]+Table1[[#This Row],[DUT Read]]+Table1[[#This Row],[DUT Ucty]])</f>
        <v>N/A</v>
      </c>
      <c r="Y581" s="1" t="str">
        <f>IF(Table1[[#This Row],[Std Read]]="","N/A",Table1[[#This Row],[Std Read]]+Table1[[#This Row],[Std Ucty]])</f>
        <v>N/A</v>
      </c>
      <c r="Z5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1" s="1" t="str">
        <f>IF(Table1[[#This Row],[Spec Type]]="","N/A",Table1[[#This Row],[Spec Type]])</f>
        <v>±</v>
      </c>
      <c r="AC581" s="1" t="str">
        <f>IF(Table1[[#This Row],[Spec Type2]]="N/A","N/A",IF(AND(Table1[[#This Row],[DUT Adj Read]]&gt;=Table1[[#This Row],[Low Tol]],Table1[[#This Row],[DUT Adj Read]]&lt;=Table1[[#This Row],[High Tol]]),"Pass","Fail"))</f>
        <v>Fail</v>
      </c>
      <c r="AD581" s="1" t="str">
        <f>IF(AND(Table1[[#This Row],[Spec Type2]]="N/A",Table1[[#This Row],[DUT Adj Read]]="N/A",Table1[[#This Row],[Std Adj Read]]="N/A"),"N/A",IF(Table1[[#This Row],[DUT Adj Read]]="N/A",IF(Table1[[#This Row],[Std Adj Read]]&gt;Table1[[#This Row],[Low Tol]],"Pass","Fail"),IF(Table1[[#This Row],[DUT Adj Read]]&gt;Table1[[#This Row],[Low Tol]],"Pass","Fail")))</f>
        <v>Pass</v>
      </c>
      <c r="AE581" s="1" t="str">
        <f>IF(AND(Table1[[#This Row],[Spec Type2]]="N/A",Table1[[#This Row],[DUT Adj Read]]="N/A",Table1[[#This Row],[Std Adj Read]]="N/A"),"N/A",IF(Table1[[#This Row],[DUT Adj Read]]="N/A",IF(Table1[[#This Row],[Std Adj Read]]&lt;Table1[[#This Row],[High Tol]],"Pass","Fail"),IF(Table1[[#This Row],[DUT Adj Read]]&lt;Table1[[#This Row],[High Tol]],"Pass","Fail")))</f>
        <v>Fail</v>
      </c>
      <c r="AF581" s="1" t="str">
        <f>IF(AND(Table1[[#This Row],[Spec Type2]]="N/A",Table1[[#This Row],[DUT Adj Read]]="N/A",Table1[[#This Row],[Std Adj Read]]="N/A"),"N/A",IF(Table1[[#This Row],[DUT Adj Read]]="N/A",IF(Table1[[#This Row],[Std Adj Read]]&gt;=Table1[[#This Row],[Low Tol]],"Pass","Fail"),IF(Table1[[#This Row],[DUT Adj Read]]&gt;=Table1[[#This Row],[Low Tol]],"Pass","Fail")))</f>
        <v>Pass</v>
      </c>
      <c r="AG581" s="1" t="str">
        <f>IF(AND(Table1[[#This Row],[Spec Type2]]="N/A",Table1[[#This Row],[DUT Adj Read]]="N/A",Table1[[#This Row],[Std Adj Read]]="N/A"),"N/A",IF(Table1[[#This Row],[DUT Adj Read]]="N/A",IF(Table1[[#This Row],[Std Adj Read]]&lt;=Table1[[#This Row],[High Tol]],"Pass","Fail"),IF(Table1[[#This Row],[DUT Adj Read]]&lt;=Table1[[#This Row],[High Tol]],"Pass","Fail")))</f>
        <v>Fail</v>
      </c>
      <c r="AH5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1" s="1" t="b">
        <v>0</v>
      </c>
      <c r="AN581" s="1" t="b">
        <v>0</v>
      </c>
      <c r="AO581" s="1" t="b">
        <v>0</v>
      </c>
    </row>
    <row r="582" spans="1:41" x14ac:dyDescent="0.25">
      <c r="A582" s="10"/>
      <c r="B582" s="10"/>
      <c r="C582" s="10"/>
      <c r="D582" s="10"/>
      <c r="E582" s="10"/>
      <c r="F582" s="10"/>
      <c r="G582" s="10"/>
      <c r="H582" s="10"/>
      <c r="I582" s="1" t="str">
        <f t="shared" si="24"/>
        <v/>
      </c>
      <c r="J582" s="1" t="s">
        <v>35</v>
      </c>
      <c r="K582" s="1" t="str">
        <f t="shared" si="25"/>
        <v/>
      </c>
      <c r="L582" s="1" t="str">
        <f t="shared" si="26"/>
        <v/>
      </c>
      <c r="M582" s="1">
        <f>IF(OR(Table1[[#This Row],[Std Nom]]="",Table1[[#This Row],[Std Read]]=""),0,Table1[[#This Row],[Std Nom]]-Table1[[#This Row],[Std Read]])</f>
        <v>0</v>
      </c>
      <c r="N582" s="1">
        <f>IF(Calculations!$F$5="ACCREDITED 17025 WITH UNCERTAINTIES",$N$10,0)</f>
        <v>0</v>
      </c>
      <c r="Q582" s="1">
        <f>Table1[[#This Row],[High Tol]]-Table1[[#This Row],[Low Tol]]</f>
        <v>0</v>
      </c>
      <c r="R582" s="1">
        <f>2*Table1[[#This Row],[Std Error]]</f>
        <v>0</v>
      </c>
      <c r="S582" s="1" t="str">
        <f>IF(Table1[[#This Row],[High Tol]]="","N/A",IFERROR(ABS(Table1[[#This Row],[Tol Span]]/Table1[[#This Row],[Error Span]]),"N/A"))</f>
        <v>N/A</v>
      </c>
      <c r="T582" s="1" t="str">
        <f>IF(OR(Table1[[#This Row],[Low Tol]]="",Table1[[#This Row],[High Tol]]=""),"Needs Analysis",IF(Table1[[#This Row],[Ratio]]&gt;=4,"Not Significant",IF(Table1[[#This Row],[Ratio]]&gt;=2,"Semi-Significant","Significant")))</f>
        <v>Needs Analysis</v>
      </c>
      <c r="W582" s="1">
        <f>IF(Table1[[#This Row],[Cal Type]]&lt;&gt;"ACCREDITED 17025 WITH UNCERTAINTIES",0,"")</f>
        <v>0</v>
      </c>
      <c r="X582" s="1" t="str">
        <f>IF(Table1[[#This Row],[DUT Read]]="","N/A",Table1[[#This Row],[Std Error]]+Table1[[#This Row],[DUT Read]]+Table1[[#This Row],[DUT Ucty]])</f>
        <v>N/A</v>
      </c>
      <c r="Y582" s="1" t="str">
        <f>IF(Table1[[#This Row],[Std Read]]="","N/A",Table1[[#This Row],[Std Read]]+Table1[[#This Row],[Std Ucty]])</f>
        <v>N/A</v>
      </c>
      <c r="Z5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2" s="1" t="str">
        <f>IF(Table1[[#This Row],[Spec Type]]="","N/A",Table1[[#This Row],[Spec Type]])</f>
        <v>±</v>
      </c>
      <c r="AC582" s="1" t="str">
        <f>IF(Table1[[#This Row],[Spec Type2]]="N/A","N/A",IF(AND(Table1[[#This Row],[DUT Adj Read]]&gt;=Table1[[#This Row],[Low Tol]],Table1[[#This Row],[DUT Adj Read]]&lt;=Table1[[#This Row],[High Tol]]),"Pass","Fail"))</f>
        <v>Fail</v>
      </c>
      <c r="AD582" s="1" t="str">
        <f>IF(AND(Table1[[#This Row],[Spec Type2]]="N/A",Table1[[#This Row],[DUT Adj Read]]="N/A",Table1[[#This Row],[Std Adj Read]]="N/A"),"N/A",IF(Table1[[#This Row],[DUT Adj Read]]="N/A",IF(Table1[[#This Row],[Std Adj Read]]&gt;Table1[[#This Row],[Low Tol]],"Pass","Fail"),IF(Table1[[#This Row],[DUT Adj Read]]&gt;Table1[[#This Row],[Low Tol]],"Pass","Fail")))</f>
        <v>Pass</v>
      </c>
      <c r="AE582" s="1" t="str">
        <f>IF(AND(Table1[[#This Row],[Spec Type2]]="N/A",Table1[[#This Row],[DUT Adj Read]]="N/A",Table1[[#This Row],[Std Adj Read]]="N/A"),"N/A",IF(Table1[[#This Row],[DUT Adj Read]]="N/A",IF(Table1[[#This Row],[Std Adj Read]]&lt;Table1[[#This Row],[High Tol]],"Pass","Fail"),IF(Table1[[#This Row],[DUT Adj Read]]&lt;Table1[[#This Row],[High Tol]],"Pass","Fail")))</f>
        <v>Fail</v>
      </c>
      <c r="AF582" s="1" t="str">
        <f>IF(AND(Table1[[#This Row],[Spec Type2]]="N/A",Table1[[#This Row],[DUT Adj Read]]="N/A",Table1[[#This Row],[Std Adj Read]]="N/A"),"N/A",IF(Table1[[#This Row],[DUT Adj Read]]="N/A",IF(Table1[[#This Row],[Std Adj Read]]&gt;=Table1[[#This Row],[Low Tol]],"Pass","Fail"),IF(Table1[[#This Row],[DUT Adj Read]]&gt;=Table1[[#This Row],[Low Tol]],"Pass","Fail")))</f>
        <v>Pass</v>
      </c>
      <c r="AG582" s="1" t="str">
        <f>IF(AND(Table1[[#This Row],[Spec Type2]]="N/A",Table1[[#This Row],[DUT Adj Read]]="N/A",Table1[[#This Row],[Std Adj Read]]="N/A"),"N/A",IF(Table1[[#This Row],[DUT Adj Read]]="N/A",IF(Table1[[#This Row],[Std Adj Read]]&lt;=Table1[[#This Row],[High Tol]],"Pass","Fail"),IF(Table1[[#This Row],[DUT Adj Read]]&lt;=Table1[[#This Row],[High Tol]],"Pass","Fail")))</f>
        <v>Fail</v>
      </c>
      <c r="AH5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2" s="1" t="b">
        <v>0</v>
      </c>
      <c r="AN582" s="1" t="b">
        <v>0</v>
      </c>
      <c r="AO582" s="1" t="b">
        <v>0</v>
      </c>
    </row>
    <row r="583" spans="1:41" x14ac:dyDescent="0.25">
      <c r="A583" s="10"/>
      <c r="B583" s="10"/>
      <c r="C583" s="10"/>
      <c r="D583" s="10"/>
      <c r="E583" s="10"/>
      <c r="F583" s="10"/>
      <c r="G583" s="10"/>
      <c r="H583" s="10"/>
      <c r="I583" s="1" t="str">
        <f t="shared" si="24"/>
        <v/>
      </c>
      <c r="J583" s="1" t="s">
        <v>35</v>
      </c>
      <c r="K583" s="1" t="str">
        <f t="shared" si="25"/>
        <v/>
      </c>
      <c r="L583" s="1" t="str">
        <f t="shared" si="26"/>
        <v/>
      </c>
      <c r="M583" s="1">
        <f>IF(OR(Table1[[#This Row],[Std Nom]]="",Table1[[#This Row],[Std Read]]=""),0,Table1[[#This Row],[Std Nom]]-Table1[[#This Row],[Std Read]])</f>
        <v>0</v>
      </c>
      <c r="N583" s="1">
        <f>IF(Calculations!$F$5="ACCREDITED 17025 WITH UNCERTAINTIES",$N$10,0)</f>
        <v>0</v>
      </c>
      <c r="Q583" s="1">
        <f>Table1[[#This Row],[High Tol]]-Table1[[#This Row],[Low Tol]]</f>
        <v>0</v>
      </c>
      <c r="R583" s="1">
        <f>2*Table1[[#This Row],[Std Error]]</f>
        <v>0</v>
      </c>
      <c r="S583" s="1" t="str">
        <f>IF(Table1[[#This Row],[High Tol]]="","N/A",IFERROR(ABS(Table1[[#This Row],[Tol Span]]/Table1[[#This Row],[Error Span]]),"N/A"))</f>
        <v>N/A</v>
      </c>
      <c r="T583" s="1" t="str">
        <f>IF(OR(Table1[[#This Row],[Low Tol]]="",Table1[[#This Row],[High Tol]]=""),"Needs Analysis",IF(Table1[[#This Row],[Ratio]]&gt;=4,"Not Significant",IF(Table1[[#This Row],[Ratio]]&gt;=2,"Semi-Significant","Significant")))</f>
        <v>Needs Analysis</v>
      </c>
      <c r="W583" s="1">
        <f>IF(Table1[[#This Row],[Cal Type]]&lt;&gt;"ACCREDITED 17025 WITH UNCERTAINTIES",0,"")</f>
        <v>0</v>
      </c>
      <c r="X583" s="1" t="str">
        <f>IF(Table1[[#This Row],[DUT Read]]="","N/A",Table1[[#This Row],[Std Error]]+Table1[[#This Row],[DUT Read]]+Table1[[#This Row],[DUT Ucty]])</f>
        <v>N/A</v>
      </c>
      <c r="Y583" s="1" t="str">
        <f>IF(Table1[[#This Row],[Std Read]]="","N/A",Table1[[#This Row],[Std Read]]+Table1[[#This Row],[Std Ucty]])</f>
        <v>N/A</v>
      </c>
      <c r="Z5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3" s="1" t="str">
        <f>IF(Table1[[#This Row],[Spec Type]]="","N/A",Table1[[#This Row],[Spec Type]])</f>
        <v>±</v>
      </c>
      <c r="AC583" s="1" t="str">
        <f>IF(Table1[[#This Row],[Spec Type2]]="N/A","N/A",IF(AND(Table1[[#This Row],[DUT Adj Read]]&gt;=Table1[[#This Row],[Low Tol]],Table1[[#This Row],[DUT Adj Read]]&lt;=Table1[[#This Row],[High Tol]]),"Pass","Fail"))</f>
        <v>Fail</v>
      </c>
      <c r="AD583" s="1" t="str">
        <f>IF(AND(Table1[[#This Row],[Spec Type2]]="N/A",Table1[[#This Row],[DUT Adj Read]]="N/A",Table1[[#This Row],[Std Adj Read]]="N/A"),"N/A",IF(Table1[[#This Row],[DUT Adj Read]]="N/A",IF(Table1[[#This Row],[Std Adj Read]]&gt;Table1[[#This Row],[Low Tol]],"Pass","Fail"),IF(Table1[[#This Row],[DUT Adj Read]]&gt;Table1[[#This Row],[Low Tol]],"Pass","Fail")))</f>
        <v>Pass</v>
      </c>
      <c r="AE583" s="1" t="str">
        <f>IF(AND(Table1[[#This Row],[Spec Type2]]="N/A",Table1[[#This Row],[DUT Adj Read]]="N/A",Table1[[#This Row],[Std Adj Read]]="N/A"),"N/A",IF(Table1[[#This Row],[DUT Adj Read]]="N/A",IF(Table1[[#This Row],[Std Adj Read]]&lt;Table1[[#This Row],[High Tol]],"Pass","Fail"),IF(Table1[[#This Row],[DUT Adj Read]]&lt;Table1[[#This Row],[High Tol]],"Pass","Fail")))</f>
        <v>Fail</v>
      </c>
      <c r="AF583" s="1" t="str">
        <f>IF(AND(Table1[[#This Row],[Spec Type2]]="N/A",Table1[[#This Row],[DUT Adj Read]]="N/A",Table1[[#This Row],[Std Adj Read]]="N/A"),"N/A",IF(Table1[[#This Row],[DUT Adj Read]]="N/A",IF(Table1[[#This Row],[Std Adj Read]]&gt;=Table1[[#This Row],[Low Tol]],"Pass","Fail"),IF(Table1[[#This Row],[DUT Adj Read]]&gt;=Table1[[#This Row],[Low Tol]],"Pass","Fail")))</f>
        <v>Pass</v>
      </c>
      <c r="AG583" s="1" t="str">
        <f>IF(AND(Table1[[#This Row],[Spec Type2]]="N/A",Table1[[#This Row],[DUT Adj Read]]="N/A",Table1[[#This Row],[Std Adj Read]]="N/A"),"N/A",IF(Table1[[#This Row],[DUT Adj Read]]="N/A",IF(Table1[[#This Row],[Std Adj Read]]&lt;=Table1[[#This Row],[High Tol]],"Pass","Fail"),IF(Table1[[#This Row],[DUT Adj Read]]&lt;=Table1[[#This Row],[High Tol]],"Pass","Fail")))</f>
        <v>Fail</v>
      </c>
      <c r="AH5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3" s="1" t="b">
        <v>0</v>
      </c>
      <c r="AN583" s="1" t="b">
        <v>0</v>
      </c>
      <c r="AO583" s="1" t="b">
        <v>0</v>
      </c>
    </row>
    <row r="584" spans="1:41" x14ac:dyDescent="0.25">
      <c r="A584" s="10"/>
      <c r="B584" s="10"/>
      <c r="C584" s="10"/>
      <c r="D584" s="10"/>
      <c r="E584" s="10"/>
      <c r="F584" s="10"/>
      <c r="G584" s="10"/>
      <c r="H584" s="10"/>
      <c r="I584" s="1" t="str">
        <f t="shared" si="24"/>
        <v/>
      </c>
      <c r="J584" s="1" t="s">
        <v>35</v>
      </c>
      <c r="K584" s="1" t="str">
        <f t="shared" si="25"/>
        <v/>
      </c>
      <c r="L584" s="1" t="str">
        <f t="shared" si="26"/>
        <v/>
      </c>
      <c r="M584" s="1">
        <f>IF(OR(Table1[[#This Row],[Std Nom]]="",Table1[[#This Row],[Std Read]]=""),0,Table1[[#This Row],[Std Nom]]-Table1[[#This Row],[Std Read]])</f>
        <v>0</v>
      </c>
      <c r="N584" s="1">
        <f>IF(Calculations!$F$5="ACCREDITED 17025 WITH UNCERTAINTIES",$N$10,0)</f>
        <v>0</v>
      </c>
      <c r="Q584" s="1">
        <f>Table1[[#This Row],[High Tol]]-Table1[[#This Row],[Low Tol]]</f>
        <v>0</v>
      </c>
      <c r="R584" s="1">
        <f>2*Table1[[#This Row],[Std Error]]</f>
        <v>0</v>
      </c>
      <c r="S584" s="1" t="str">
        <f>IF(Table1[[#This Row],[High Tol]]="","N/A",IFERROR(ABS(Table1[[#This Row],[Tol Span]]/Table1[[#This Row],[Error Span]]),"N/A"))</f>
        <v>N/A</v>
      </c>
      <c r="T584" s="1" t="str">
        <f>IF(OR(Table1[[#This Row],[Low Tol]]="",Table1[[#This Row],[High Tol]]=""),"Needs Analysis",IF(Table1[[#This Row],[Ratio]]&gt;=4,"Not Significant",IF(Table1[[#This Row],[Ratio]]&gt;=2,"Semi-Significant","Significant")))</f>
        <v>Needs Analysis</v>
      </c>
      <c r="W584" s="1">
        <f>IF(Table1[[#This Row],[Cal Type]]&lt;&gt;"ACCREDITED 17025 WITH UNCERTAINTIES",0,"")</f>
        <v>0</v>
      </c>
      <c r="X584" s="1" t="str">
        <f>IF(Table1[[#This Row],[DUT Read]]="","N/A",Table1[[#This Row],[Std Error]]+Table1[[#This Row],[DUT Read]]+Table1[[#This Row],[DUT Ucty]])</f>
        <v>N/A</v>
      </c>
      <c r="Y584" s="1" t="str">
        <f>IF(Table1[[#This Row],[Std Read]]="","N/A",Table1[[#This Row],[Std Read]]+Table1[[#This Row],[Std Ucty]])</f>
        <v>N/A</v>
      </c>
      <c r="Z5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4" s="1" t="str">
        <f>IF(Table1[[#This Row],[Spec Type]]="","N/A",Table1[[#This Row],[Spec Type]])</f>
        <v>±</v>
      </c>
      <c r="AC584" s="1" t="str">
        <f>IF(Table1[[#This Row],[Spec Type2]]="N/A","N/A",IF(AND(Table1[[#This Row],[DUT Adj Read]]&gt;=Table1[[#This Row],[Low Tol]],Table1[[#This Row],[DUT Adj Read]]&lt;=Table1[[#This Row],[High Tol]]),"Pass","Fail"))</f>
        <v>Fail</v>
      </c>
      <c r="AD584" s="1" t="str">
        <f>IF(AND(Table1[[#This Row],[Spec Type2]]="N/A",Table1[[#This Row],[DUT Adj Read]]="N/A",Table1[[#This Row],[Std Adj Read]]="N/A"),"N/A",IF(Table1[[#This Row],[DUT Adj Read]]="N/A",IF(Table1[[#This Row],[Std Adj Read]]&gt;Table1[[#This Row],[Low Tol]],"Pass","Fail"),IF(Table1[[#This Row],[DUT Adj Read]]&gt;Table1[[#This Row],[Low Tol]],"Pass","Fail")))</f>
        <v>Pass</v>
      </c>
      <c r="AE584" s="1" t="str">
        <f>IF(AND(Table1[[#This Row],[Spec Type2]]="N/A",Table1[[#This Row],[DUT Adj Read]]="N/A",Table1[[#This Row],[Std Adj Read]]="N/A"),"N/A",IF(Table1[[#This Row],[DUT Adj Read]]="N/A",IF(Table1[[#This Row],[Std Adj Read]]&lt;Table1[[#This Row],[High Tol]],"Pass","Fail"),IF(Table1[[#This Row],[DUT Adj Read]]&lt;Table1[[#This Row],[High Tol]],"Pass","Fail")))</f>
        <v>Fail</v>
      </c>
      <c r="AF584" s="1" t="str">
        <f>IF(AND(Table1[[#This Row],[Spec Type2]]="N/A",Table1[[#This Row],[DUT Adj Read]]="N/A",Table1[[#This Row],[Std Adj Read]]="N/A"),"N/A",IF(Table1[[#This Row],[DUT Adj Read]]="N/A",IF(Table1[[#This Row],[Std Adj Read]]&gt;=Table1[[#This Row],[Low Tol]],"Pass","Fail"),IF(Table1[[#This Row],[DUT Adj Read]]&gt;=Table1[[#This Row],[Low Tol]],"Pass","Fail")))</f>
        <v>Pass</v>
      </c>
      <c r="AG584" s="1" t="str">
        <f>IF(AND(Table1[[#This Row],[Spec Type2]]="N/A",Table1[[#This Row],[DUT Adj Read]]="N/A",Table1[[#This Row],[Std Adj Read]]="N/A"),"N/A",IF(Table1[[#This Row],[DUT Adj Read]]="N/A",IF(Table1[[#This Row],[Std Adj Read]]&lt;=Table1[[#This Row],[High Tol]],"Pass","Fail"),IF(Table1[[#This Row],[DUT Adj Read]]&lt;=Table1[[#This Row],[High Tol]],"Pass","Fail")))</f>
        <v>Fail</v>
      </c>
      <c r="AH5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4" s="1" t="b">
        <v>0</v>
      </c>
      <c r="AN584" s="1" t="b">
        <v>0</v>
      </c>
      <c r="AO584" s="1" t="b">
        <v>0</v>
      </c>
    </row>
    <row r="585" spans="1:41" x14ac:dyDescent="0.25">
      <c r="A585" s="10"/>
      <c r="B585" s="10"/>
      <c r="C585" s="10"/>
      <c r="D585" s="10"/>
      <c r="E585" s="10"/>
      <c r="F585" s="10"/>
      <c r="G585" s="10"/>
      <c r="H585" s="10"/>
      <c r="I585" s="1" t="str">
        <f t="shared" si="24"/>
        <v/>
      </c>
      <c r="J585" s="1" t="s">
        <v>35</v>
      </c>
      <c r="K585" s="1" t="str">
        <f t="shared" si="25"/>
        <v/>
      </c>
      <c r="L585" s="1" t="str">
        <f t="shared" si="26"/>
        <v/>
      </c>
      <c r="M585" s="1">
        <f>IF(OR(Table1[[#This Row],[Std Nom]]="",Table1[[#This Row],[Std Read]]=""),0,Table1[[#This Row],[Std Nom]]-Table1[[#This Row],[Std Read]])</f>
        <v>0</v>
      </c>
      <c r="N585" s="1">
        <f>IF(Calculations!$F$5="ACCREDITED 17025 WITH UNCERTAINTIES",$N$10,0)</f>
        <v>0</v>
      </c>
      <c r="Q585" s="1">
        <f>Table1[[#This Row],[High Tol]]-Table1[[#This Row],[Low Tol]]</f>
        <v>0</v>
      </c>
      <c r="R585" s="1">
        <f>2*Table1[[#This Row],[Std Error]]</f>
        <v>0</v>
      </c>
      <c r="S585" s="1" t="str">
        <f>IF(Table1[[#This Row],[High Tol]]="","N/A",IFERROR(ABS(Table1[[#This Row],[Tol Span]]/Table1[[#This Row],[Error Span]]),"N/A"))</f>
        <v>N/A</v>
      </c>
      <c r="T585" s="1" t="str">
        <f>IF(OR(Table1[[#This Row],[Low Tol]]="",Table1[[#This Row],[High Tol]]=""),"Needs Analysis",IF(Table1[[#This Row],[Ratio]]&gt;=4,"Not Significant",IF(Table1[[#This Row],[Ratio]]&gt;=2,"Semi-Significant","Significant")))</f>
        <v>Needs Analysis</v>
      </c>
      <c r="W585" s="1">
        <f>IF(Table1[[#This Row],[Cal Type]]&lt;&gt;"ACCREDITED 17025 WITH UNCERTAINTIES",0,"")</f>
        <v>0</v>
      </c>
      <c r="X585" s="1" t="str">
        <f>IF(Table1[[#This Row],[DUT Read]]="","N/A",Table1[[#This Row],[Std Error]]+Table1[[#This Row],[DUT Read]]+Table1[[#This Row],[DUT Ucty]])</f>
        <v>N/A</v>
      </c>
      <c r="Y585" s="1" t="str">
        <f>IF(Table1[[#This Row],[Std Read]]="","N/A",Table1[[#This Row],[Std Read]]+Table1[[#This Row],[Std Ucty]])</f>
        <v>N/A</v>
      </c>
      <c r="Z5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5" s="1" t="str">
        <f>IF(Table1[[#This Row],[Spec Type]]="","N/A",Table1[[#This Row],[Spec Type]])</f>
        <v>±</v>
      </c>
      <c r="AC585" s="1" t="str">
        <f>IF(Table1[[#This Row],[Spec Type2]]="N/A","N/A",IF(AND(Table1[[#This Row],[DUT Adj Read]]&gt;=Table1[[#This Row],[Low Tol]],Table1[[#This Row],[DUT Adj Read]]&lt;=Table1[[#This Row],[High Tol]]),"Pass","Fail"))</f>
        <v>Fail</v>
      </c>
      <c r="AD585" s="1" t="str">
        <f>IF(AND(Table1[[#This Row],[Spec Type2]]="N/A",Table1[[#This Row],[DUT Adj Read]]="N/A",Table1[[#This Row],[Std Adj Read]]="N/A"),"N/A",IF(Table1[[#This Row],[DUT Adj Read]]="N/A",IF(Table1[[#This Row],[Std Adj Read]]&gt;Table1[[#This Row],[Low Tol]],"Pass","Fail"),IF(Table1[[#This Row],[DUT Adj Read]]&gt;Table1[[#This Row],[Low Tol]],"Pass","Fail")))</f>
        <v>Pass</v>
      </c>
      <c r="AE585" s="1" t="str">
        <f>IF(AND(Table1[[#This Row],[Spec Type2]]="N/A",Table1[[#This Row],[DUT Adj Read]]="N/A",Table1[[#This Row],[Std Adj Read]]="N/A"),"N/A",IF(Table1[[#This Row],[DUT Adj Read]]="N/A",IF(Table1[[#This Row],[Std Adj Read]]&lt;Table1[[#This Row],[High Tol]],"Pass","Fail"),IF(Table1[[#This Row],[DUT Adj Read]]&lt;Table1[[#This Row],[High Tol]],"Pass","Fail")))</f>
        <v>Fail</v>
      </c>
      <c r="AF585" s="1" t="str">
        <f>IF(AND(Table1[[#This Row],[Spec Type2]]="N/A",Table1[[#This Row],[DUT Adj Read]]="N/A",Table1[[#This Row],[Std Adj Read]]="N/A"),"N/A",IF(Table1[[#This Row],[DUT Adj Read]]="N/A",IF(Table1[[#This Row],[Std Adj Read]]&gt;=Table1[[#This Row],[Low Tol]],"Pass","Fail"),IF(Table1[[#This Row],[DUT Adj Read]]&gt;=Table1[[#This Row],[Low Tol]],"Pass","Fail")))</f>
        <v>Pass</v>
      </c>
      <c r="AG585" s="1" t="str">
        <f>IF(AND(Table1[[#This Row],[Spec Type2]]="N/A",Table1[[#This Row],[DUT Adj Read]]="N/A",Table1[[#This Row],[Std Adj Read]]="N/A"),"N/A",IF(Table1[[#This Row],[DUT Adj Read]]="N/A",IF(Table1[[#This Row],[Std Adj Read]]&lt;=Table1[[#This Row],[High Tol]],"Pass","Fail"),IF(Table1[[#This Row],[DUT Adj Read]]&lt;=Table1[[#This Row],[High Tol]],"Pass","Fail")))</f>
        <v>Fail</v>
      </c>
      <c r="AH5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5" s="1" t="b">
        <v>0</v>
      </c>
      <c r="AN585" s="1" t="b">
        <v>0</v>
      </c>
      <c r="AO585" s="1" t="b">
        <v>0</v>
      </c>
    </row>
    <row r="586" spans="1:41" x14ac:dyDescent="0.25">
      <c r="A586" s="10"/>
      <c r="B586" s="10"/>
      <c r="C586" s="10"/>
      <c r="D586" s="10"/>
      <c r="E586" s="10"/>
      <c r="F586" s="10"/>
      <c r="G586" s="10"/>
      <c r="H586" s="10"/>
      <c r="I586" s="1" t="str">
        <f t="shared" si="24"/>
        <v/>
      </c>
      <c r="J586" s="1" t="s">
        <v>35</v>
      </c>
      <c r="K586" s="1" t="str">
        <f t="shared" si="25"/>
        <v/>
      </c>
      <c r="L586" s="1" t="str">
        <f t="shared" si="26"/>
        <v/>
      </c>
      <c r="M586" s="1">
        <f>IF(OR(Table1[[#This Row],[Std Nom]]="",Table1[[#This Row],[Std Read]]=""),0,Table1[[#This Row],[Std Nom]]-Table1[[#This Row],[Std Read]])</f>
        <v>0</v>
      </c>
      <c r="N586" s="1">
        <f>IF(Calculations!$F$5="ACCREDITED 17025 WITH UNCERTAINTIES",$N$10,0)</f>
        <v>0</v>
      </c>
      <c r="Q586" s="1">
        <f>Table1[[#This Row],[High Tol]]-Table1[[#This Row],[Low Tol]]</f>
        <v>0</v>
      </c>
      <c r="R586" s="1">
        <f>2*Table1[[#This Row],[Std Error]]</f>
        <v>0</v>
      </c>
      <c r="S586" s="1" t="str">
        <f>IF(Table1[[#This Row],[High Tol]]="","N/A",IFERROR(ABS(Table1[[#This Row],[Tol Span]]/Table1[[#This Row],[Error Span]]),"N/A"))</f>
        <v>N/A</v>
      </c>
      <c r="T586" s="1" t="str">
        <f>IF(OR(Table1[[#This Row],[Low Tol]]="",Table1[[#This Row],[High Tol]]=""),"Needs Analysis",IF(Table1[[#This Row],[Ratio]]&gt;=4,"Not Significant",IF(Table1[[#This Row],[Ratio]]&gt;=2,"Semi-Significant","Significant")))</f>
        <v>Needs Analysis</v>
      </c>
      <c r="W586" s="1">
        <f>IF(Table1[[#This Row],[Cal Type]]&lt;&gt;"ACCREDITED 17025 WITH UNCERTAINTIES",0,"")</f>
        <v>0</v>
      </c>
      <c r="X586" s="1" t="str">
        <f>IF(Table1[[#This Row],[DUT Read]]="","N/A",Table1[[#This Row],[Std Error]]+Table1[[#This Row],[DUT Read]]+Table1[[#This Row],[DUT Ucty]])</f>
        <v>N/A</v>
      </c>
      <c r="Y586" s="1" t="str">
        <f>IF(Table1[[#This Row],[Std Read]]="","N/A",Table1[[#This Row],[Std Read]]+Table1[[#This Row],[Std Ucty]])</f>
        <v>N/A</v>
      </c>
      <c r="Z5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6" s="1" t="str">
        <f>IF(Table1[[#This Row],[Spec Type]]="","N/A",Table1[[#This Row],[Spec Type]])</f>
        <v>±</v>
      </c>
      <c r="AC586" s="1" t="str">
        <f>IF(Table1[[#This Row],[Spec Type2]]="N/A","N/A",IF(AND(Table1[[#This Row],[DUT Adj Read]]&gt;=Table1[[#This Row],[Low Tol]],Table1[[#This Row],[DUT Adj Read]]&lt;=Table1[[#This Row],[High Tol]]),"Pass","Fail"))</f>
        <v>Fail</v>
      </c>
      <c r="AD586" s="1" t="str">
        <f>IF(AND(Table1[[#This Row],[Spec Type2]]="N/A",Table1[[#This Row],[DUT Adj Read]]="N/A",Table1[[#This Row],[Std Adj Read]]="N/A"),"N/A",IF(Table1[[#This Row],[DUT Adj Read]]="N/A",IF(Table1[[#This Row],[Std Adj Read]]&gt;Table1[[#This Row],[Low Tol]],"Pass","Fail"),IF(Table1[[#This Row],[DUT Adj Read]]&gt;Table1[[#This Row],[Low Tol]],"Pass","Fail")))</f>
        <v>Pass</v>
      </c>
      <c r="AE586" s="1" t="str">
        <f>IF(AND(Table1[[#This Row],[Spec Type2]]="N/A",Table1[[#This Row],[DUT Adj Read]]="N/A",Table1[[#This Row],[Std Adj Read]]="N/A"),"N/A",IF(Table1[[#This Row],[DUT Adj Read]]="N/A",IF(Table1[[#This Row],[Std Adj Read]]&lt;Table1[[#This Row],[High Tol]],"Pass","Fail"),IF(Table1[[#This Row],[DUT Adj Read]]&lt;Table1[[#This Row],[High Tol]],"Pass","Fail")))</f>
        <v>Fail</v>
      </c>
      <c r="AF586" s="1" t="str">
        <f>IF(AND(Table1[[#This Row],[Spec Type2]]="N/A",Table1[[#This Row],[DUT Adj Read]]="N/A",Table1[[#This Row],[Std Adj Read]]="N/A"),"N/A",IF(Table1[[#This Row],[DUT Adj Read]]="N/A",IF(Table1[[#This Row],[Std Adj Read]]&gt;=Table1[[#This Row],[Low Tol]],"Pass","Fail"),IF(Table1[[#This Row],[DUT Adj Read]]&gt;=Table1[[#This Row],[Low Tol]],"Pass","Fail")))</f>
        <v>Pass</v>
      </c>
      <c r="AG586" s="1" t="str">
        <f>IF(AND(Table1[[#This Row],[Spec Type2]]="N/A",Table1[[#This Row],[DUT Adj Read]]="N/A",Table1[[#This Row],[Std Adj Read]]="N/A"),"N/A",IF(Table1[[#This Row],[DUT Adj Read]]="N/A",IF(Table1[[#This Row],[Std Adj Read]]&lt;=Table1[[#This Row],[High Tol]],"Pass","Fail"),IF(Table1[[#This Row],[DUT Adj Read]]&lt;=Table1[[#This Row],[High Tol]],"Pass","Fail")))</f>
        <v>Fail</v>
      </c>
      <c r="AH5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6" s="1" t="b">
        <v>0</v>
      </c>
      <c r="AN586" s="1" t="b">
        <v>0</v>
      </c>
      <c r="AO586" s="1" t="b">
        <v>0</v>
      </c>
    </row>
    <row r="587" spans="1:41" x14ac:dyDescent="0.25">
      <c r="A587" s="10"/>
      <c r="B587" s="10"/>
      <c r="C587" s="10"/>
      <c r="D587" s="10"/>
      <c r="E587" s="10"/>
      <c r="F587" s="10"/>
      <c r="G587" s="10"/>
      <c r="H587" s="10"/>
      <c r="I587" s="1" t="str">
        <f t="shared" ref="I587:I650" si="27">IF($I$10="","",$I$10)</f>
        <v/>
      </c>
      <c r="J587" s="1" t="s">
        <v>35</v>
      </c>
      <c r="K587" s="1" t="str">
        <f t="shared" ref="K587:K650" si="28">IF($K$10="","",$K$10)</f>
        <v/>
      </c>
      <c r="L587" s="1" t="str">
        <f t="shared" ref="L587:L650" si="29">IF($L$10="","",$L$10)</f>
        <v/>
      </c>
      <c r="M587" s="1">
        <f>IF(OR(Table1[[#This Row],[Std Nom]]="",Table1[[#This Row],[Std Read]]=""),0,Table1[[#This Row],[Std Nom]]-Table1[[#This Row],[Std Read]])</f>
        <v>0</v>
      </c>
      <c r="N587" s="1">
        <f>IF(Calculations!$F$5="ACCREDITED 17025 WITH UNCERTAINTIES",$N$10,0)</f>
        <v>0</v>
      </c>
      <c r="Q587" s="1">
        <f>Table1[[#This Row],[High Tol]]-Table1[[#This Row],[Low Tol]]</f>
        <v>0</v>
      </c>
      <c r="R587" s="1">
        <f>2*Table1[[#This Row],[Std Error]]</f>
        <v>0</v>
      </c>
      <c r="S587" s="1" t="str">
        <f>IF(Table1[[#This Row],[High Tol]]="","N/A",IFERROR(ABS(Table1[[#This Row],[Tol Span]]/Table1[[#This Row],[Error Span]]),"N/A"))</f>
        <v>N/A</v>
      </c>
      <c r="T587" s="1" t="str">
        <f>IF(OR(Table1[[#This Row],[Low Tol]]="",Table1[[#This Row],[High Tol]]=""),"Needs Analysis",IF(Table1[[#This Row],[Ratio]]&gt;=4,"Not Significant",IF(Table1[[#This Row],[Ratio]]&gt;=2,"Semi-Significant","Significant")))</f>
        <v>Needs Analysis</v>
      </c>
      <c r="W587" s="1">
        <f>IF(Table1[[#This Row],[Cal Type]]&lt;&gt;"ACCREDITED 17025 WITH UNCERTAINTIES",0,"")</f>
        <v>0</v>
      </c>
      <c r="X587" s="1" t="str">
        <f>IF(Table1[[#This Row],[DUT Read]]="","N/A",Table1[[#This Row],[Std Error]]+Table1[[#This Row],[DUT Read]]+Table1[[#This Row],[DUT Ucty]])</f>
        <v>N/A</v>
      </c>
      <c r="Y587" s="1" t="str">
        <f>IF(Table1[[#This Row],[Std Read]]="","N/A",Table1[[#This Row],[Std Read]]+Table1[[#This Row],[Std Ucty]])</f>
        <v>N/A</v>
      </c>
      <c r="Z5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7" s="1" t="str">
        <f>IF(Table1[[#This Row],[Spec Type]]="","N/A",Table1[[#This Row],[Spec Type]])</f>
        <v>±</v>
      </c>
      <c r="AC587" s="1" t="str">
        <f>IF(Table1[[#This Row],[Spec Type2]]="N/A","N/A",IF(AND(Table1[[#This Row],[DUT Adj Read]]&gt;=Table1[[#This Row],[Low Tol]],Table1[[#This Row],[DUT Adj Read]]&lt;=Table1[[#This Row],[High Tol]]),"Pass","Fail"))</f>
        <v>Fail</v>
      </c>
      <c r="AD587" s="1" t="str">
        <f>IF(AND(Table1[[#This Row],[Spec Type2]]="N/A",Table1[[#This Row],[DUT Adj Read]]="N/A",Table1[[#This Row],[Std Adj Read]]="N/A"),"N/A",IF(Table1[[#This Row],[DUT Adj Read]]="N/A",IF(Table1[[#This Row],[Std Adj Read]]&gt;Table1[[#This Row],[Low Tol]],"Pass","Fail"),IF(Table1[[#This Row],[DUT Adj Read]]&gt;Table1[[#This Row],[Low Tol]],"Pass","Fail")))</f>
        <v>Pass</v>
      </c>
      <c r="AE587" s="1" t="str">
        <f>IF(AND(Table1[[#This Row],[Spec Type2]]="N/A",Table1[[#This Row],[DUT Adj Read]]="N/A",Table1[[#This Row],[Std Adj Read]]="N/A"),"N/A",IF(Table1[[#This Row],[DUT Adj Read]]="N/A",IF(Table1[[#This Row],[Std Adj Read]]&lt;Table1[[#This Row],[High Tol]],"Pass","Fail"),IF(Table1[[#This Row],[DUT Adj Read]]&lt;Table1[[#This Row],[High Tol]],"Pass","Fail")))</f>
        <v>Fail</v>
      </c>
      <c r="AF587" s="1" t="str">
        <f>IF(AND(Table1[[#This Row],[Spec Type2]]="N/A",Table1[[#This Row],[DUT Adj Read]]="N/A",Table1[[#This Row],[Std Adj Read]]="N/A"),"N/A",IF(Table1[[#This Row],[DUT Adj Read]]="N/A",IF(Table1[[#This Row],[Std Adj Read]]&gt;=Table1[[#This Row],[Low Tol]],"Pass","Fail"),IF(Table1[[#This Row],[DUT Adj Read]]&gt;=Table1[[#This Row],[Low Tol]],"Pass","Fail")))</f>
        <v>Pass</v>
      </c>
      <c r="AG587" s="1" t="str">
        <f>IF(AND(Table1[[#This Row],[Spec Type2]]="N/A",Table1[[#This Row],[DUT Adj Read]]="N/A",Table1[[#This Row],[Std Adj Read]]="N/A"),"N/A",IF(Table1[[#This Row],[DUT Adj Read]]="N/A",IF(Table1[[#This Row],[Std Adj Read]]&lt;=Table1[[#This Row],[High Tol]],"Pass","Fail"),IF(Table1[[#This Row],[DUT Adj Read]]&lt;=Table1[[#This Row],[High Tol]],"Pass","Fail")))</f>
        <v>Fail</v>
      </c>
      <c r="AH5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7" s="1" t="b">
        <v>0</v>
      </c>
      <c r="AN587" s="1" t="b">
        <v>0</v>
      </c>
      <c r="AO587" s="1" t="b">
        <v>0</v>
      </c>
    </row>
    <row r="588" spans="1:41" x14ac:dyDescent="0.25">
      <c r="A588" s="10"/>
      <c r="B588" s="10"/>
      <c r="C588" s="10"/>
      <c r="D588" s="10"/>
      <c r="E588" s="10"/>
      <c r="F588" s="10"/>
      <c r="G588" s="10"/>
      <c r="H588" s="10"/>
      <c r="I588" s="1" t="str">
        <f t="shared" si="27"/>
        <v/>
      </c>
      <c r="J588" s="1" t="s">
        <v>35</v>
      </c>
      <c r="K588" s="1" t="str">
        <f t="shared" si="28"/>
        <v/>
      </c>
      <c r="L588" s="1" t="str">
        <f t="shared" si="29"/>
        <v/>
      </c>
      <c r="M588" s="1">
        <f>IF(OR(Table1[[#This Row],[Std Nom]]="",Table1[[#This Row],[Std Read]]=""),0,Table1[[#This Row],[Std Nom]]-Table1[[#This Row],[Std Read]])</f>
        <v>0</v>
      </c>
      <c r="N588" s="1">
        <f>IF(Calculations!$F$5="ACCREDITED 17025 WITH UNCERTAINTIES",$N$10,0)</f>
        <v>0</v>
      </c>
      <c r="Q588" s="1">
        <f>Table1[[#This Row],[High Tol]]-Table1[[#This Row],[Low Tol]]</f>
        <v>0</v>
      </c>
      <c r="R588" s="1">
        <f>2*Table1[[#This Row],[Std Error]]</f>
        <v>0</v>
      </c>
      <c r="S588" s="1" t="str">
        <f>IF(Table1[[#This Row],[High Tol]]="","N/A",IFERROR(ABS(Table1[[#This Row],[Tol Span]]/Table1[[#This Row],[Error Span]]),"N/A"))</f>
        <v>N/A</v>
      </c>
      <c r="T588" s="1" t="str">
        <f>IF(OR(Table1[[#This Row],[Low Tol]]="",Table1[[#This Row],[High Tol]]=""),"Needs Analysis",IF(Table1[[#This Row],[Ratio]]&gt;=4,"Not Significant",IF(Table1[[#This Row],[Ratio]]&gt;=2,"Semi-Significant","Significant")))</f>
        <v>Needs Analysis</v>
      </c>
      <c r="W588" s="1">
        <f>IF(Table1[[#This Row],[Cal Type]]&lt;&gt;"ACCREDITED 17025 WITH UNCERTAINTIES",0,"")</f>
        <v>0</v>
      </c>
      <c r="X588" s="1" t="str">
        <f>IF(Table1[[#This Row],[DUT Read]]="","N/A",Table1[[#This Row],[Std Error]]+Table1[[#This Row],[DUT Read]]+Table1[[#This Row],[DUT Ucty]])</f>
        <v>N/A</v>
      </c>
      <c r="Y588" s="1" t="str">
        <f>IF(Table1[[#This Row],[Std Read]]="","N/A",Table1[[#This Row],[Std Read]]+Table1[[#This Row],[Std Ucty]])</f>
        <v>N/A</v>
      </c>
      <c r="Z5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8" s="1" t="str">
        <f>IF(Table1[[#This Row],[Spec Type]]="","N/A",Table1[[#This Row],[Spec Type]])</f>
        <v>±</v>
      </c>
      <c r="AC588" s="1" t="str">
        <f>IF(Table1[[#This Row],[Spec Type2]]="N/A","N/A",IF(AND(Table1[[#This Row],[DUT Adj Read]]&gt;=Table1[[#This Row],[Low Tol]],Table1[[#This Row],[DUT Adj Read]]&lt;=Table1[[#This Row],[High Tol]]),"Pass","Fail"))</f>
        <v>Fail</v>
      </c>
      <c r="AD588" s="1" t="str">
        <f>IF(AND(Table1[[#This Row],[Spec Type2]]="N/A",Table1[[#This Row],[DUT Adj Read]]="N/A",Table1[[#This Row],[Std Adj Read]]="N/A"),"N/A",IF(Table1[[#This Row],[DUT Adj Read]]="N/A",IF(Table1[[#This Row],[Std Adj Read]]&gt;Table1[[#This Row],[Low Tol]],"Pass","Fail"),IF(Table1[[#This Row],[DUT Adj Read]]&gt;Table1[[#This Row],[Low Tol]],"Pass","Fail")))</f>
        <v>Pass</v>
      </c>
      <c r="AE588" s="1" t="str">
        <f>IF(AND(Table1[[#This Row],[Spec Type2]]="N/A",Table1[[#This Row],[DUT Adj Read]]="N/A",Table1[[#This Row],[Std Adj Read]]="N/A"),"N/A",IF(Table1[[#This Row],[DUT Adj Read]]="N/A",IF(Table1[[#This Row],[Std Adj Read]]&lt;Table1[[#This Row],[High Tol]],"Pass","Fail"),IF(Table1[[#This Row],[DUT Adj Read]]&lt;Table1[[#This Row],[High Tol]],"Pass","Fail")))</f>
        <v>Fail</v>
      </c>
      <c r="AF588" s="1" t="str">
        <f>IF(AND(Table1[[#This Row],[Spec Type2]]="N/A",Table1[[#This Row],[DUT Adj Read]]="N/A",Table1[[#This Row],[Std Adj Read]]="N/A"),"N/A",IF(Table1[[#This Row],[DUT Adj Read]]="N/A",IF(Table1[[#This Row],[Std Adj Read]]&gt;=Table1[[#This Row],[Low Tol]],"Pass","Fail"),IF(Table1[[#This Row],[DUT Adj Read]]&gt;=Table1[[#This Row],[Low Tol]],"Pass","Fail")))</f>
        <v>Pass</v>
      </c>
      <c r="AG588" s="1" t="str">
        <f>IF(AND(Table1[[#This Row],[Spec Type2]]="N/A",Table1[[#This Row],[DUT Adj Read]]="N/A",Table1[[#This Row],[Std Adj Read]]="N/A"),"N/A",IF(Table1[[#This Row],[DUT Adj Read]]="N/A",IF(Table1[[#This Row],[Std Adj Read]]&lt;=Table1[[#This Row],[High Tol]],"Pass","Fail"),IF(Table1[[#This Row],[DUT Adj Read]]&lt;=Table1[[#This Row],[High Tol]],"Pass","Fail")))</f>
        <v>Fail</v>
      </c>
      <c r="AH5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8" s="1" t="b">
        <v>0</v>
      </c>
      <c r="AN588" s="1" t="b">
        <v>0</v>
      </c>
      <c r="AO588" s="1" t="b">
        <v>0</v>
      </c>
    </row>
    <row r="589" spans="1:41" x14ac:dyDescent="0.25">
      <c r="A589" s="10"/>
      <c r="B589" s="10"/>
      <c r="C589" s="10"/>
      <c r="D589" s="10"/>
      <c r="E589" s="10"/>
      <c r="F589" s="10"/>
      <c r="G589" s="10"/>
      <c r="H589" s="10"/>
      <c r="I589" s="1" t="str">
        <f t="shared" si="27"/>
        <v/>
      </c>
      <c r="J589" s="1" t="s">
        <v>35</v>
      </c>
      <c r="K589" s="1" t="str">
        <f t="shared" si="28"/>
        <v/>
      </c>
      <c r="L589" s="1" t="str">
        <f t="shared" si="29"/>
        <v/>
      </c>
      <c r="M589" s="1">
        <f>IF(OR(Table1[[#This Row],[Std Nom]]="",Table1[[#This Row],[Std Read]]=""),0,Table1[[#This Row],[Std Nom]]-Table1[[#This Row],[Std Read]])</f>
        <v>0</v>
      </c>
      <c r="N589" s="1">
        <f>IF(Calculations!$F$5="ACCREDITED 17025 WITH UNCERTAINTIES",$N$10,0)</f>
        <v>0</v>
      </c>
      <c r="Q589" s="1">
        <f>Table1[[#This Row],[High Tol]]-Table1[[#This Row],[Low Tol]]</f>
        <v>0</v>
      </c>
      <c r="R589" s="1">
        <f>2*Table1[[#This Row],[Std Error]]</f>
        <v>0</v>
      </c>
      <c r="S589" s="1" t="str">
        <f>IF(Table1[[#This Row],[High Tol]]="","N/A",IFERROR(ABS(Table1[[#This Row],[Tol Span]]/Table1[[#This Row],[Error Span]]),"N/A"))</f>
        <v>N/A</v>
      </c>
      <c r="T589" s="1" t="str">
        <f>IF(OR(Table1[[#This Row],[Low Tol]]="",Table1[[#This Row],[High Tol]]=""),"Needs Analysis",IF(Table1[[#This Row],[Ratio]]&gt;=4,"Not Significant",IF(Table1[[#This Row],[Ratio]]&gt;=2,"Semi-Significant","Significant")))</f>
        <v>Needs Analysis</v>
      </c>
      <c r="W589" s="1">
        <f>IF(Table1[[#This Row],[Cal Type]]&lt;&gt;"ACCREDITED 17025 WITH UNCERTAINTIES",0,"")</f>
        <v>0</v>
      </c>
      <c r="X589" s="1" t="str">
        <f>IF(Table1[[#This Row],[DUT Read]]="","N/A",Table1[[#This Row],[Std Error]]+Table1[[#This Row],[DUT Read]]+Table1[[#This Row],[DUT Ucty]])</f>
        <v>N/A</v>
      </c>
      <c r="Y589" s="1" t="str">
        <f>IF(Table1[[#This Row],[Std Read]]="","N/A",Table1[[#This Row],[Std Read]]+Table1[[#This Row],[Std Ucty]])</f>
        <v>N/A</v>
      </c>
      <c r="Z5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89" s="1" t="str">
        <f>IF(Table1[[#This Row],[Spec Type]]="","N/A",Table1[[#This Row],[Spec Type]])</f>
        <v>±</v>
      </c>
      <c r="AC589" s="1" t="str">
        <f>IF(Table1[[#This Row],[Spec Type2]]="N/A","N/A",IF(AND(Table1[[#This Row],[DUT Adj Read]]&gt;=Table1[[#This Row],[Low Tol]],Table1[[#This Row],[DUT Adj Read]]&lt;=Table1[[#This Row],[High Tol]]),"Pass","Fail"))</f>
        <v>Fail</v>
      </c>
      <c r="AD589" s="1" t="str">
        <f>IF(AND(Table1[[#This Row],[Spec Type2]]="N/A",Table1[[#This Row],[DUT Adj Read]]="N/A",Table1[[#This Row],[Std Adj Read]]="N/A"),"N/A",IF(Table1[[#This Row],[DUT Adj Read]]="N/A",IF(Table1[[#This Row],[Std Adj Read]]&gt;Table1[[#This Row],[Low Tol]],"Pass","Fail"),IF(Table1[[#This Row],[DUT Adj Read]]&gt;Table1[[#This Row],[Low Tol]],"Pass","Fail")))</f>
        <v>Pass</v>
      </c>
      <c r="AE589" s="1" t="str">
        <f>IF(AND(Table1[[#This Row],[Spec Type2]]="N/A",Table1[[#This Row],[DUT Adj Read]]="N/A",Table1[[#This Row],[Std Adj Read]]="N/A"),"N/A",IF(Table1[[#This Row],[DUT Adj Read]]="N/A",IF(Table1[[#This Row],[Std Adj Read]]&lt;Table1[[#This Row],[High Tol]],"Pass","Fail"),IF(Table1[[#This Row],[DUT Adj Read]]&lt;Table1[[#This Row],[High Tol]],"Pass","Fail")))</f>
        <v>Fail</v>
      </c>
      <c r="AF589" s="1" t="str">
        <f>IF(AND(Table1[[#This Row],[Spec Type2]]="N/A",Table1[[#This Row],[DUT Adj Read]]="N/A",Table1[[#This Row],[Std Adj Read]]="N/A"),"N/A",IF(Table1[[#This Row],[DUT Adj Read]]="N/A",IF(Table1[[#This Row],[Std Adj Read]]&gt;=Table1[[#This Row],[Low Tol]],"Pass","Fail"),IF(Table1[[#This Row],[DUT Adj Read]]&gt;=Table1[[#This Row],[Low Tol]],"Pass","Fail")))</f>
        <v>Pass</v>
      </c>
      <c r="AG589" s="1" t="str">
        <f>IF(AND(Table1[[#This Row],[Spec Type2]]="N/A",Table1[[#This Row],[DUT Adj Read]]="N/A",Table1[[#This Row],[Std Adj Read]]="N/A"),"N/A",IF(Table1[[#This Row],[DUT Adj Read]]="N/A",IF(Table1[[#This Row],[Std Adj Read]]&lt;=Table1[[#This Row],[High Tol]],"Pass","Fail"),IF(Table1[[#This Row],[DUT Adj Read]]&lt;=Table1[[#This Row],[High Tol]],"Pass","Fail")))</f>
        <v>Fail</v>
      </c>
      <c r="AH5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89" s="1" t="b">
        <v>0</v>
      </c>
      <c r="AN589" s="1" t="b">
        <v>0</v>
      </c>
      <c r="AO589" s="1" t="b">
        <v>0</v>
      </c>
    </row>
    <row r="590" spans="1:41" x14ac:dyDescent="0.25">
      <c r="A590" s="10"/>
      <c r="B590" s="10"/>
      <c r="C590" s="10"/>
      <c r="D590" s="10"/>
      <c r="E590" s="10"/>
      <c r="F590" s="10"/>
      <c r="G590" s="10"/>
      <c r="H590" s="10"/>
      <c r="I590" s="1" t="str">
        <f t="shared" si="27"/>
        <v/>
      </c>
      <c r="J590" s="1" t="s">
        <v>35</v>
      </c>
      <c r="K590" s="1" t="str">
        <f t="shared" si="28"/>
        <v/>
      </c>
      <c r="L590" s="1" t="str">
        <f t="shared" si="29"/>
        <v/>
      </c>
      <c r="M590" s="1">
        <f>IF(OR(Table1[[#This Row],[Std Nom]]="",Table1[[#This Row],[Std Read]]=""),0,Table1[[#This Row],[Std Nom]]-Table1[[#This Row],[Std Read]])</f>
        <v>0</v>
      </c>
      <c r="N590" s="1">
        <f>IF(Calculations!$F$5="ACCREDITED 17025 WITH UNCERTAINTIES",$N$10,0)</f>
        <v>0</v>
      </c>
      <c r="Q590" s="1">
        <f>Table1[[#This Row],[High Tol]]-Table1[[#This Row],[Low Tol]]</f>
        <v>0</v>
      </c>
      <c r="R590" s="1">
        <f>2*Table1[[#This Row],[Std Error]]</f>
        <v>0</v>
      </c>
      <c r="S590" s="1" t="str">
        <f>IF(Table1[[#This Row],[High Tol]]="","N/A",IFERROR(ABS(Table1[[#This Row],[Tol Span]]/Table1[[#This Row],[Error Span]]),"N/A"))</f>
        <v>N/A</v>
      </c>
      <c r="T590" s="1" t="str">
        <f>IF(OR(Table1[[#This Row],[Low Tol]]="",Table1[[#This Row],[High Tol]]=""),"Needs Analysis",IF(Table1[[#This Row],[Ratio]]&gt;=4,"Not Significant",IF(Table1[[#This Row],[Ratio]]&gt;=2,"Semi-Significant","Significant")))</f>
        <v>Needs Analysis</v>
      </c>
      <c r="W590" s="1">
        <f>IF(Table1[[#This Row],[Cal Type]]&lt;&gt;"ACCREDITED 17025 WITH UNCERTAINTIES",0,"")</f>
        <v>0</v>
      </c>
      <c r="X590" s="1" t="str">
        <f>IF(Table1[[#This Row],[DUT Read]]="","N/A",Table1[[#This Row],[Std Error]]+Table1[[#This Row],[DUT Read]]+Table1[[#This Row],[DUT Ucty]])</f>
        <v>N/A</v>
      </c>
      <c r="Y590" s="1" t="str">
        <f>IF(Table1[[#This Row],[Std Read]]="","N/A",Table1[[#This Row],[Std Read]]+Table1[[#This Row],[Std Ucty]])</f>
        <v>N/A</v>
      </c>
      <c r="Z5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0" s="1" t="str">
        <f>IF(Table1[[#This Row],[Spec Type]]="","N/A",Table1[[#This Row],[Spec Type]])</f>
        <v>±</v>
      </c>
      <c r="AC590" s="1" t="str">
        <f>IF(Table1[[#This Row],[Spec Type2]]="N/A","N/A",IF(AND(Table1[[#This Row],[DUT Adj Read]]&gt;=Table1[[#This Row],[Low Tol]],Table1[[#This Row],[DUT Adj Read]]&lt;=Table1[[#This Row],[High Tol]]),"Pass","Fail"))</f>
        <v>Fail</v>
      </c>
      <c r="AD590" s="1" t="str">
        <f>IF(AND(Table1[[#This Row],[Spec Type2]]="N/A",Table1[[#This Row],[DUT Adj Read]]="N/A",Table1[[#This Row],[Std Adj Read]]="N/A"),"N/A",IF(Table1[[#This Row],[DUT Adj Read]]="N/A",IF(Table1[[#This Row],[Std Adj Read]]&gt;Table1[[#This Row],[Low Tol]],"Pass","Fail"),IF(Table1[[#This Row],[DUT Adj Read]]&gt;Table1[[#This Row],[Low Tol]],"Pass","Fail")))</f>
        <v>Pass</v>
      </c>
      <c r="AE590" s="1" t="str">
        <f>IF(AND(Table1[[#This Row],[Spec Type2]]="N/A",Table1[[#This Row],[DUT Adj Read]]="N/A",Table1[[#This Row],[Std Adj Read]]="N/A"),"N/A",IF(Table1[[#This Row],[DUT Adj Read]]="N/A",IF(Table1[[#This Row],[Std Adj Read]]&lt;Table1[[#This Row],[High Tol]],"Pass","Fail"),IF(Table1[[#This Row],[DUT Adj Read]]&lt;Table1[[#This Row],[High Tol]],"Pass","Fail")))</f>
        <v>Fail</v>
      </c>
      <c r="AF590" s="1" t="str">
        <f>IF(AND(Table1[[#This Row],[Spec Type2]]="N/A",Table1[[#This Row],[DUT Adj Read]]="N/A",Table1[[#This Row],[Std Adj Read]]="N/A"),"N/A",IF(Table1[[#This Row],[DUT Adj Read]]="N/A",IF(Table1[[#This Row],[Std Adj Read]]&gt;=Table1[[#This Row],[Low Tol]],"Pass","Fail"),IF(Table1[[#This Row],[DUT Adj Read]]&gt;=Table1[[#This Row],[Low Tol]],"Pass","Fail")))</f>
        <v>Pass</v>
      </c>
      <c r="AG590" s="1" t="str">
        <f>IF(AND(Table1[[#This Row],[Spec Type2]]="N/A",Table1[[#This Row],[DUT Adj Read]]="N/A",Table1[[#This Row],[Std Adj Read]]="N/A"),"N/A",IF(Table1[[#This Row],[DUT Adj Read]]="N/A",IF(Table1[[#This Row],[Std Adj Read]]&lt;=Table1[[#This Row],[High Tol]],"Pass","Fail"),IF(Table1[[#This Row],[DUT Adj Read]]&lt;=Table1[[#This Row],[High Tol]],"Pass","Fail")))</f>
        <v>Fail</v>
      </c>
      <c r="AH5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0" s="1" t="b">
        <v>0</v>
      </c>
      <c r="AN590" s="1" t="b">
        <v>0</v>
      </c>
      <c r="AO590" s="1" t="b">
        <v>0</v>
      </c>
    </row>
    <row r="591" spans="1:41" x14ac:dyDescent="0.25">
      <c r="A591" s="10"/>
      <c r="B591" s="10"/>
      <c r="C591" s="10"/>
      <c r="D591" s="10"/>
      <c r="E591" s="10"/>
      <c r="F591" s="10"/>
      <c r="G591" s="10"/>
      <c r="H591" s="10"/>
      <c r="I591" s="1" t="str">
        <f t="shared" si="27"/>
        <v/>
      </c>
      <c r="J591" s="1" t="s">
        <v>35</v>
      </c>
      <c r="K591" s="1" t="str">
        <f t="shared" si="28"/>
        <v/>
      </c>
      <c r="L591" s="1" t="str">
        <f t="shared" si="29"/>
        <v/>
      </c>
      <c r="M591" s="1">
        <f>IF(OR(Table1[[#This Row],[Std Nom]]="",Table1[[#This Row],[Std Read]]=""),0,Table1[[#This Row],[Std Nom]]-Table1[[#This Row],[Std Read]])</f>
        <v>0</v>
      </c>
      <c r="N591" s="1">
        <f>IF(Calculations!$F$5="ACCREDITED 17025 WITH UNCERTAINTIES",$N$10,0)</f>
        <v>0</v>
      </c>
      <c r="Q591" s="1">
        <f>Table1[[#This Row],[High Tol]]-Table1[[#This Row],[Low Tol]]</f>
        <v>0</v>
      </c>
      <c r="R591" s="1">
        <f>2*Table1[[#This Row],[Std Error]]</f>
        <v>0</v>
      </c>
      <c r="S591" s="1" t="str">
        <f>IF(Table1[[#This Row],[High Tol]]="","N/A",IFERROR(ABS(Table1[[#This Row],[Tol Span]]/Table1[[#This Row],[Error Span]]),"N/A"))</f>
        <v>N/A</v>
      </c>
      <c r="T591" s="1" t="str">
        <f>IF(OR(Table1[[#This Row],[Low Tol]]="",Table1[[#This Row],[High Tol]]=""),"Needs Analysis",IF(Table1[[#This Row],[Ratio]]&gt;=4,"Not Significant",IF(Table1[[#This Row],[Ratio]]&gt;=2,"Semi-Significant","Significant")))</f>
        <v>Needs Analysis</v>
      </c>
      <c r="W591" s="1">
        <f>IF(Table1[[#This Row],[Cal Type]]&lt;&gt;"ACCREDITED 17025 WITH UNCERTAINTIES",0,"")</f>
        <v>0</v>
      </c>
      <c r="X591" s="1" t="str">
        <f>IF(Table1[[#This Row],[DUT Read]]="","N/A",Table1[[#This Row],[Std Error]]+Table1[[#This Row],[DUT Read]]+Table1[[#This Row],[DUT Ucty]])</f>
        <v>N/A</v>
      </c>
      <c r="Y591" s="1" t="str">
        <f>IF(Table1[[#This Row],[Std Read]]="","N/A",Table1[[#This Row],[Std Read]]+Table1[[#This Row],[Std Ucty]])</f>
        <v>N/A</v>
      </c>
      <c r="Z5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1" s="1" t="str">
        <f>IF(Table1[[#This Row],[Spec Type]]="","N/A",Table1[[#This Row],[Spec Type]])</f>
        <v>±</v>
      </c>
      <c r="AC591" s="1" t="str">
        <f>IF(Table1[[#This Row],[Spec Type2]]="N/A","N/A",IF(AND(Table1[[#This Row],[DUT Adj Read]]&gt;=Table1[[#This Row],[Low Tol]],Table1[[#This Row],[DUT Adj Read]]&lt;=Table1[[#This Row],[High Tol]]),"Pass","Fail"))</f>
        <v>Fail</v>
      </c>
      <c r="AD591" s="1" t="str">
        <f>IF(AND(Table1[[#This Row],[Spec Type2]]="N/A",Table1[[#This Row],[DUT Adj Read]]="N/A",Table1[[#This Row],[Std Adj Read]]="N/A"),"N/A",IF(Table1[[#This Row],[DUT Adj Read]]="N/A",IF(Table1[[#This Row],[Std Adj Read]]&gt;Table1[[#This Row],[Low Tol]],"Pass","Fail"),IF(Table1[[#This Row],[DUT Adj Read]]&gt;Table1[[#This Row],[Low Tol]],"Pass","Fail")))</f>
        <v>Pass</v>
      </c>
      <c r="AE591" s="1" t="str">
        <f>IF(AND(Table1[[#This Row],[Spec Type2]]="N/A",Table1[[#This Row],[DUT Adj Read]]="N/A",Table1[[#This Row],[Std Adj Read]]="N/A"),"N/A",IF(Table1[[#This Row],[DUT Adj Read]]="N/A",IF(Table1[[#This Row],[Std Adj Read]]&lt;Table1[[#This Row],[High Tol]],"Pass","Fail"),IF(Table1[[#This Row],[DUT Adj Read]]&lt;Table1[[#This Row],[High Tol]],"Pass","Fail")))</f>
        <v>Fail</v>
      </c>
      <c r="AF591" s="1" t="str">
        <f>IF(AND(Table1[[#This Row],[Spec Type2]]="N/A",Table1[[#This Row],[DUT Adj Read]]="N/A",Table1[[#This Row],[Std Adj Read]]="N/A"),"N/A",IF(Table1[[#This Row],[DUT Adj Read]]="N/A",IF(Table1[[#This Row],[Std Adj Read]]&gt;=Table1[[#This Row],[Low Tol]],"Pass","Fail"),IF(Table1[[#This Row],[DUT Adj Read]]&gt;=Table1[[#This Row],[Low Tol]],"Pass","Fail")))</f>
        <v>Pass</v>
      </c>
      <c r="AG591" s="1" t="str">
        <f>IF(AND(Table1[[#This Row],[Spec Type2]]="N/A",Table1[[#This Row],[DUT Adj Read]]="N/A",Table1[[#This Row],[Std Adj Read]]="N/A"),"N/A",IF(Table1[[#This Row],[DUT Adj Read]]="N/A",IF(Table1[[#This Row],[Std Adj Read]]&lt;=Table1[[#This Row],[High Tol]],"Pass","Fail"),IF(Table1[[#This Row],[DUT Adj Read]]&lt;=Table1[[#This Row],[High Tol]],"Pass","Fail")))</f>
        <v>Fail</v>
      </c>
      <c r="AH5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1" s="1" t="b">
        <v>0</v>
      </c>
      <c r="AN591" s="1" t="b">
        <v>0</v>
      </c>
      <c r="AO591" s="1" t="b">
        <v>0</v>
      </c>
    </row>
    <row r="592" spans="1:41" x14ac:dyDescent="0.25">
      <c r="A592" s="10"/>
      <c r="B592" s="10"/>
      <c r="C592" s="10"/>
      <c r="D592" s="10"/>
      <c r="E592" s="10"/>
      <c r="F592" s="10"/>
      <c r="G592" s="10"/>
      <c r="H592" s="10"/>
      <c r="I592" s="1" t="str">
        <f t="shared" si="27"/>
        <v/>
      </c>
      <c r="J592" s="1" t="s">
        <v>35</v>
      </c>
      <c r="K592" s="1" t="str">
        <f t="shared" si="28"/>
        <v/>
      </c>
      <c r="L592" s="1" t="str">
        <f t="shared" si="29"/>
        <v/>
      </c>
      <c r="M592" s="1">
        <f>IF(OR(Table1[[#This Row],[Std Nom]]="",Table1[[#This Row],[Std Read]]=""),0,Table1[[#This Row],[Std Nom]]-Table1[[#This Row],[Std Read]])</f>
        <v>0</v>
      </c>
      <c r="N592" s="1">
        <f>IF(Calculations!$F$5="ACCREDITED 17025 WITH UNCERTAINTIES",$N$10,0)</f>
        <v>0</v>
      </c>
      <c r="Q592" s="1">
        <f>Table1[[#This Row],[High Tol]]-Table1[[#This Row],[Low Tol]]</f>
        <v>0</v>
      </c>
      <c r="R592" s="1">
        <f>2*Table1[[#This Row],[Std Error]]</f>
        <v>0</v>
      </c>
      <c r="S592" s="1" t="str">
        <f>IF(Table1[[#This Row],[High Tol]]="","N/A",IFERROR(ABS(Table1[[#This Row],[Tol Span]]/Table1[[#This Row],[Error Span]]),"N/A"))</f>
        <v>N/A</v>
      </c>
      <c r="T592" s="1" t="str">
        <f>IF(OR(Table1[[#This Row],[Low Tol]]="",Table1[[#This Row],[High Tol]]=""),"Needs Analysis",IF(Table1[[#This Row],[Ratio]]&gt;=4,"Not Significant",IF(Table1[[#This Row],[Ratio]]&gt;=2,"Semi-Significant","Significant")))</f>
        <v>Needs Analysis</v>
      </c>
      <c r="W592" s="1">
        <f>IF(Table1[[#This Row],[Cal Type]]&lt;&gt;"ACCREDITED 17025 WITH UNCERTAINTIES",0,"")</f>
        <v>0</v>
      </c>
      <c r="X592" s="1" t="str">
        <f>IF(Table1[[#This Row],[DUT Read]]="","N/A",Table1[[#This Row],[Std Error]]+Table1[[#This Row],[DUT Read]]+Table1[[#This Row],[DUT Ucty]])</f>
        <v>N/A</v>
      </c>
      <c r="Y592" s="1" t="str">
        <f>IF(Table1[[#This Row],[Std Read]]="","N/A",Table1[[#This Row],[Std Read]]+Table1[[#This Row],[Std Ucty]])</f>
        <v>N/A</v>
      </c>
      <c r="Z5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2" s="1" t="str">
        <f>IF(Table1[[#This Row],[Spec Type]]="","N/A",Table1[[#This Row],[Spec Type]])</f>
        <v>±</v>
      </c>
      <c r="AC592" s="1" t="str">
        <f>IF(Table1[[#This Row],[Spec Type2]]="N/A","N/A",IF(AND(Table1[[#This Row],[DUT Adj Read]]&gt;=Table1[[#This Row],[Low Tol]],Table1[[#This Row],[DUT Adj Read]]&lt;=Table1[[#This Row],[High Tol]]),"Pass","Fail"))</f>
        <v>Fail</v>
      </c>
      <c r="AD592" s="1" t="str">
        <f>IF(AND(Table1[[#This Row],[Spec Type2]]="N/A",Table1[[#This Row],[DUT Adj Read]]="N/A",Table1[[#This Row],[Std Adj Read]]="N/A"),"N/A",IF(Table1[[#This Row],[DUT Adj Read]]="N/A",IF(Table1[[#This Row],[Std Adj Read]]&gt;Table1[[#This Row],[Low Tol]],"Pass","Fail"),IF(Table1[[#This Row],[DUT Adj Read]]&gt;Table1[[#This Row],[Low Tol]],"Pass","Fail")))</f>
        <v>Pass</v>
      </c>
      <c r="AE592" s="1" t="str">
        <f>IF(AND(Table1[[#This Row],[Spec Type2]]="N/A",Table1[[#This Row],[DUT Adj Read]]="N/A",Table1[[#This Row],[Std Adj Read]]="N/A"),"N/A",IF(Table1[[#This Row],[DUT Adj Read]]="N/A",IF(Table1[[#This Row],[Std Adj Read]]&lt;Table1[[#This Row],[High Tol]],"Pass","Fail"),IF(Table1[[#This Row],[DUT Adj Read]]&lt;Table1[[#This Row],[High Tol]],"Pass","Fail")))</f>
        <v>Fail</v>
      </c>
      <c r="AF592" s="1" t="str">
        <f>IF(AND(Table1[[#This Row],[Spec Type2]]="N/A",Table1[[#This Row],[DUT Adj Read]]="N/A",Table1[[#This Row],[Std Adj Read]]="N/A"),"N/A",IF(Table1[[#This Row],[DUT Adj Read]]="N/A",IF(Table1[[#This Row],[Std Adj Read]]&gt;=Table1[[#This Row],[Low Tol]],"Pass","Fail"),IF(Table1[[#This Row],[DUT Adj Read]]&gt;=Table1[[#This Row],[Low Tol]],"Pass","Fail")))</f>
        <v>Pass</v>
      </c>
      <c r="AG592" s="1" t="str">
        <f>IF(AND(Table1[[#This Row],[Spec Type2]]="N/A",Table1[[#This Row],[DUT Adj Read]]="N/A",Table1[[#This Row],[Std Adj Read]]="N/A"),"N/A",IF(Table1[[#This Row],[DUT Adj Read]]="N/A",IF(Table1[[#This Row],[Std Adj Read]]&lt;=Table1[[#This Row],[High Tol]],"Pass","Fail"),IF(Table1[[#This Row],[DUT Adj Read]]&lt;=Table1[[#This Row],[High Tol]],"Pass","Fail")))</f>
        <v>Fail</v>
      </c>
      <c r="AH5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2" s="1" t="b">
        <v>0</v>
      </c>
      <c r="AN592" s="1" t="b">
        <v>0</v>
      </c>
      <c r="AO592" s="1" t="b">
        <v>0</v>
      </c>
    </row>
    <row r="593" spans="1:41" x14ac:dyDescent="0.25">
      <c r="A593" s="10"/>
      <c r="B593" s="10"/>
      <c r="C593" s="10"/>
      <c r="D593" s="10"/>
      <c r="E593" s="10"/>
      <c r="F593" s="10"/>
      <c r="G593" s="10"/>
      <c r="H593" s="10"/>
      <c r="I593" s="1" t="str">
        <f t="shared" si="27"/>
        <v/>
      </c>
      <c r="J593" s="1" t="s">
        <v>35</v>
      </c>
      <c r="K593" s="1" t="str">
        <f t="shared" si="28"/>
        <v/>
      </c>
      <c r="L593" s="1" t="str">
        <f t="shared" si="29"/>
        <v/>
      </c>
      <c r="M593" s="1">
        <f>IF(OR(Table1[[#This Row],[Std Nom]]="",Table1[[#This Row],[Std Read]]=""),0,Table1[[#This Row],[Std Nom]]-Table1[[#This Row],[Std Read]])</f>
        <v>0</v>
      </c>
      <c r="N593" s="1">
        <f>IF(Calculations!$F$5="ACCREDITED 17025 WITH UNCERTAINTIES",$N$10,0)</f>
        <v>0</v>
      </c>
      <c r="Q593" s="1">
        <f>Table1[[#This Row],[High Tol]]-Table1[[#This Row],[Low Tol]]</f>
        <v>0</v>
      </c>
      <c r="R593" s="1">
        <f>2*Table1[[#This Row],[Std Error]]</f>
        <v>0</v>
      </c>
      <c r="S593" s="1" t="str">
        <f>IF(Table1[[#This Row],[High Tol]]="","N/A",IFERROR(ABS(Table1[[#This Row],[Tol Span]]/Table1[[#This Row],[Error Span]]),"N/A"))</f>
        <v>N/A</v>
      </c>
      <c r="T593" s="1" t="str">
        <f>IF(OR(Table1[[#This Row],[Low Tol]]="",Table1[[#This Row],[High Tol]]=""),"Needs Analysis",IF(Table1[[#This Row],[Ratio]]&gt;=4,"Not Significant",IF(Table1[[#This Row],[Ratio]]&gt;=2,"Semi-Significant","Significant")))</f>
        <v>Needs Analysis</v>
      </c>
      <c r="W593" s="1">
        <f>IF(Table1[[#This Row],[Cal Type]]&lt;&gt;"ACCREDITED 17025 WITH UNCERTAINTIES",0,"")</f>
        <v>0</v>
      </c>
      <c r="X593" s="1" t="str">
        <f>IF(Table1[[#This Row],[DUT Read]]="","N/A",Table1[[#This Row],[Std Error]]+Table1[[#This Row],[DUT Read]]+Table1[[#This Row],[DUT Ucty]])</f>
        <v>N/A</v>
      </c>
      <c r="Y593" s="1" t="str">
        <f>IF(Table1[[#This Row],[Std Read]]="","N/A",Table1[[#This Row],[Std Read]]+Table1[[#This Row],[Std Ucty]])</f>
        <v>N/A</v>
      </c>
      <c r="Z5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3" s="1" t="str">
        <f>IF(Table1[[#This Row],[Spec Type]]="","N/A",Table1[[#This Row],[Spec Type]])</f>
        <v>±</v>
      </c>
      <c r="AC593" s="1" t="str">
        <f>IF(Table1[[#This Row],[Spec Type2]]="N/A","N/A",IF(AND(Table1[[#This Row],[DUT Adj Read]]&gt;=Table1[[#This Row],[Low Tol]],Table1[[#This Row],[DUT Adj Read]]&lt;=Table1[[#This Row],[High Tol]]),"Pass","Fail"))</f>
        <v>Fail</v>
      </c>
      <c r="AD593" s="1" t="str">
        <f>IF(AND(Table1[[#This Row],[Spec Type2]]="N/A",Table1[[#This Row],[DUT Adj Read]]="N/A",Table1[[#This Row],[Std Adj Read]]="N/A"),"N/A",IF(Table1[[#This Row],[DUT Adj Read]]="N/A",IF(Table1[[#This Row],[Std Adj Read]]&gt;Table1[[#This Row],[Low Tol]],"Pass","Fail"),IF(Table1[[#This Row],[DUT Adj Read]]&gt;Table1[[#This Row],[Low Tol]],"Pass","Fail")))</f>
        <v>Pass</v>
      </c>
      <c r="AE593" s="1" t="str">
        <f>IF(AND(Table1[[#This Row],[Spec Type2]]="N/A",Table1[[#This Row],[DUT Adj Read]]="N/A",Table1[[#This Row],[Std Adj Read]]="N/A"),"N/A",IF(Table1[[#This Row],[DUT Adj Read]]="N/A",IF(Table1[[#This Row],[Std Adj Read]]&lt;Table1[[#This Row],[High Tol]],"Pass","Fail"),IF(Table1[[#This Row],[DUT Adj Read]]&lt;Table1[[#This Row],[High Tol]],"Pass","Fail")))</f>
        <v>Fail</v>
      </c>
      <c r="AF593" s="1" t="str">
        <f>IF(AND(Table1[[#This Row],[Spec Type2]]="N/A",Table1[[#This Row],[DUT Adj Read]]="N/A",Table1[[#This Row],[Std Adj Read]]="N/A"),"N/A",IF(Table1[[#This Row],[DUT Adj Read]]="N/A",IF(Table1[[#This Row],[Std Adj Read]]&gt;=Table1[[#This Row],[Low Tol]],"Pass","Fail"),IF(Table1[[#This Row],[DUT Adj Read]]&gt;=Table1[[#This Row],[Low Tol]],"Pass","Fail")))</f>
        <v>Pass</v>
      </c>
      <c r="AG593" s="1" t="str">
        <f>IF(AND(Table1[[#This Row],[Spec Type2]]="N/A",Table1[[#This Row],[DUT Adj Read]]="N/A",Table1[[#This Row],[Std Adj Read]]="N/A"),"N/A",IF(Table1[[#This Row],[DUT Adj Read]]="N/A",IF(Table1[[#This Row],[Std Adj Read]]&lt;=Table1[[#This Row],[High Tol]],"Pass","Fail"),IF(Table1[[#This Row],[DUT Adj Read]]&lt;=Table1[[#This Row],[High Tol]],"Pass","Fail")))</f>
        <v>Fail</v>
      </c>
      <c r="AH5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3" s="1" t="b">
        <v>0</v>
      </c>
      <c r="AN593" s="1" t="b">
        <v>0</v>
      </c>
      <c r="AO593" s="1" t="b">
        <v>0</v>
      </c>
    </row>
    <row r="594" spans="1:41" x14ac:dyDescent="0.25">
      <c r="A594" s="10"/>
      <c r="B594" s="10"/>
      <c r="C594" s="10"/>
      <c r="D594" s="10"/>
      <c r="E594" s="10"/>
      <c r="F594" s="10"/>
      <c r="G594" s="10"/>
      <c r="H594" s="10"/>
      <c r="I594" s="1" t="str">
        <f t="shared" si="27"/>
        <v/>
      </c>
      <c r="J594" s="1" t="s">
        <v>35</v>
      </c>
      <c r="K594" s="1" t="str">
        <f t="shared" si="28"/>
        <v/>
      </c>
      <c r="L594" s="1" t="str">
        <f t="shared" si="29"/>
        <v/>
      </c>
      <c r="M594" s="1">
        <f>IF(OR(Table1[[#This Row],[Std Nom]]="",Table1[[#This Row],[Std Read]]=""),0,Table1[[#This Row],[Std Nom]]-Table1[[#This Row],[Std Read]])</f>
        <v>0</v>
      </c>
      <c r="N594" s="1">
        <f>IF(Calculations!$F$5="ACCREDITED 17025 WITH UNCERTAINTIES",$N$10,0)</f>
        <v>0</v>
      </c>
      <c r="Q594" s="1">
        <f>Table1[[#This Row],[High Tol]]-Table1[[#This Row],[Low Tol]]</f>
        <v>0</v>
      </c>
      <c r="R594" s="1">
        <f>2*Table1[[#This Row],[Std Error]]</f>
        <v>0</v>
      </c>
      <c r="S594" s="1" t="str">
        <f>IF(Table1[[#This Row],[High Tol]]="","N/A",IFERROR(ABS(Table1[[#This Row],[Tol Span]]/Table1[[#This Row],[Error Span]]),"N/A"))</f>
        <v>N/A</v>
      </c>
      <c r="T594" s="1" t="str">
        <f>IF(OR(Table1[[#This Row],[Low Tol]]="",Table1[[#This Row],[High Tol]]=""),"Needs Analysis",IF(Table1[[#This Row],[Ratio]]&gt;=4,"Not Significant",IF(Table1[[#This Row],[Ratio]]&gt;=2,"Semi-Significant","Significant")))</f>
        <v>Needs Analysis</v>
      </c>
      <c r="W594" s="1">
        <f>IF(Table1[[#This Row],[Cal Type]]&lt;&gt;"ACCREDITED 17025 WITH UNCERTAINTIES",0,"")</f>
        <v>0</v>
      </c>
      <c r="X594" s="1" t="str">
        <f>IF(Table1[[#This Row],[DUT Read]]="","N/A",Table1[[#This Row],[Std Error]]+Table1[[#This Row],[DUT Read]]+Table1[[#This Row],[DUT Ucty]])</f>
        <v>N/A</v>
      </c>
      <c r="Y594" s="1" t="str">
        <f>IF(Table1[[#This Row],[Std Read]]="","N/A",Table1[[#This Row],[Std Read]]+Table1[[#This Row],[Std Ucty]])</f>
        <v>N/A</v>
      </c>
      <c r="Z5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4" s="1" t="str">
        <f>IF(Table1[[#This Row],[Spec Type]]="","N/A",Table1[[#This Row],[Spec Type]])</f>
        <v>±</v>
      </c>
      <c r="AC594" s="1" t="str">
        <f>IF(Table1[[#This Row],[Spec Type2]]="N/A","N/A",IF(AND(Table1[[#This Row],[DUT Adj Read]]&gt;=Table1[[#This Row],[Low Tol]],Table1[[#This Row],[DUT Adj Read]]&lt;=Table1[[#This Row],[High Tol]]),"Pass","Fail"))</f>
        <v>Fail</v>
      </c>
      <c r="AD594" s="1" t="str">
        <f>IF(AND(Table1[[#This Row],[Spec Type2]]="N/A",Table1[[#This Row],[DUT Adj Read]]="N/A",Table1[[#This Row],[Std Adj Read]]="N/A"),"N/A",IF(Table1[[#This Row],[DUT Adj Read]]="N/A",IF(Table1[[#This Row],[Std Adj Read]]&gt;Table1[[#This Row],[Low Tol]],"Pass","Fail"),IF(Table1[[#This Row],[DUT Adj Read]]&gt;Table1[[#This Row],[Low Tol]],"Pass","Fail")))</f>
        <v>Pass</v>
      </c>
      <c r="AE594" s="1" t="str">
        <f>IF(AND(Table1[[#This Row],[Spec Type2]]="N/A",Table1[[#This Row],[DUT Adj Read]]="N/A",Table1[[#This Row],[Std Adj Read]]="N/A"),"N/A",IF(Table1[[#This Row],[DUT Adj Read]]="N/A",IF(Table1[[#This Row],[Std Adj Read]]&lt;Table1[[#This Row],[High Tol]],"Pass","Fail"),IF(Table1[[#This Row],[DUT Adj Read]]&lt;Table1[[#This Row],[High Tol]],"Pass","Fail")))</f>
        <v>Fail</v>
      </c>
      <c r="AF594" s="1" t="str">
        <f>IF(AND(Table1[[#This Row],[Spec Type2]]="N/A",Table1[[#This Row],[DUT Adj Read]]="N/A",Table1[[#This Row],[Std Adj Read]]="N/A"),"N/A",IF(Table1[[#This Row],[DUT Adj Read]]="N/A",IF(Table1[[#This Row],[Std Adj Read]]&gt;=Table1[[#This Row],[Low Tol]],"Pass","Fail"),IF(Table1[[#This Row],[DUT Adj Read]]&gt;=Table1[[#This Row],[Low Tol]],"Pass","Fail")))</f>
        <v>Pass</v>
      </c>
      <c r="AG594" s="1" t="str">
        <f>IF(AND(Table1[[#This Row],[Spec Type2]]="N/A",Table1[[#This Row],[DUT Adj Read]]="N/A",Table1[[#This Row],[Std Adj Read]]="N/A"),"N/A",IF(Table1[[#This Row],[DUT Adj Read]]="N/A",IF(Table1[[#This Row],[Std Adj Read]]&lt;=Table1[[#This Row],[High Tol]],"Pass","Fail"),IF(Table1[[#This Row],[DUT Adj Read]]&lt;=Table1[[#This Row],[High Tol]],"Pass","Fail")))</f>
        <v>Fail</v>
      </c>
      <c r="AH5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4" s="1" t="b">
        <v>0</v>
      </c>
      <c r="AN594" s="1" t="b">
        <v>0</v>
      </c>
      <c r="AO594" s="1" t="b">
        <v>0</v>
      </c>
    </row>
    <row r="595" spans="1:41" x14ac:dyDescent="0.25">
      <c r="A595" s="10"/>
      <c r="B595" s="10"/>
      <c r="C595" s="10"/>
      <c r="D595" s="10"/>
      <c r="E595" s="10"/>
      <c r="F595" s="10"/>
      <c r="G595" s="10"/>
      <c r="H595" s="10"/>
      <c r="I595" s="1" t="str">
        <f t="shared" si="27"/>
        <v/>
      </c>
      <c r="J595" s="1" t="s">
        <v>35</v>
      </c>
      <c r="K595" s="1" t="str">
        <f t="shared" si="28"/>
        <v/>
      </c>
      <c r="L595" s="1" t="str">
        <f t="shared" si="29"/>
        <v/>
      </c>
      <c r="M595" s="1">
        <f>IF(OR(Table1[[#This Row],[Std Nom]]="",Table1[[#This Row],[Std Read]]=""),0,Table1[[#This Row],[Std Nom]]-Table1[[#This Row],[Std Read]])</f>
        <v>0</v>
      </c>
      <c r="N595" s="1">
        <f>IF(Calculations!$F$5="ACCREDITED 17025 WITH UNCERTAINTIES",$N$10,0)</f>
        <v>0</v>
      </c>
      <c r="Q595" s="1">
        <f>Table1[[#This Row],[High Tol]]-Table1[[#This Row],[Low Tol]]</f>
        <v>0</v>
      </c>
      <c r="R595" s="1">
        <f>2*Table1[[#This Row],[Std Error]]</f>
        <v>0</v>
      </c>
      <c r="S595" s="1" t="str">
        <f>IF(Table1[[#This Row],[High Tol]]="","N/A",IFERROR(ABS(Table1[[#This Row],[Tol Span]]/Table1[[#This Row],[Error Span]]),"N/A"))</f>
        <v>N/A</v>
      </c>
      <c r="T595" s="1" t="str">
        <f>IF(OR(Table1[[#This Row],[Low Tol]]="",Table1[[#This Row],[High Tol]]=""),"Needs Analysis",IF(Table1[[#This Row],[Ratio]]&gt;=4,"Not Significant",IF(Table1[[#This Row],[Ratio]]&gt;=2,"Semi-Significant","Significant")))</f>
        <v>Needs Analysis</v>
      </c>
      <c r="W595" s="1">
        <f>IF(Table1[[#This Row],[Cal Type]]&lt;&gt;"ACCREDITED 17025 WITH UNCERTAINTIES",0,"")</f>
        <v>0</v>
      </c>
      <c r="X595" s="1" t="str">
        <f>IF(Table1[[#This Row],[DUT Read]]="","N/A",Table1[[#This Row],[Std Error]]+Table1[[#This Row],[DUT Read]]+Table1[[#This Row],[DUT Ucty]])</f>
        <v>N/A</v>
      </c>
      <c r="Y595" s="1" t="str">
        <f>IF(Table1[[#This Row],[Std Read]]="","N/A",Table1[[#This Row],[Std Read]]+Table1[[#This Row],[Std Ucty]])</f>
        <v>N/A</v>
      </c>
      <c r="Z5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5" s="1" t="str">
        <f>IF(Table1[[#This Row],[Spec Type]]="","N/A",Table1[[#This Row],[Spec Type]])</f>
        <v>±</v>
      </c>
      <c r="AC595" s="1" t="str">
        <f>IF(Table1[[#This Row],[Spec Type2]]="N/A","N/A",IF(AND(Table1[[#This Row],[DUT Adj Read]]&gt;=Table1[[#This Row],[Low Tol]],Table1[[#This Row],[DUT Adj Read]]&lt;=Table1[[#This Row],[High Tol]]),"Pass","Fail"))</f>
        <v>Fail</v>
      </c>
      <c r="AD595" s="1" t="str">
        <f>IF(AND(Table1[[#This Row],[Spec Type2]]="N/A",Table1[[#This Row],[DUT Adj Read]]="N/A",Table1[[#This Row],[Std Adj Read]]="N/A"),"N/A",IF(Table1[[#This Row],[DUT Adj Read]]="N/A",IF(Table1[[#This Row],[Std Adj Read]]&gt;Table1[[#This Row],[Low Tol]],"Pass","Fail"),IF(Table1[[#This Row],[DUT Adj Read]]&gt;Table1[[#This Row],[Low Tol]],"Pass","Fail")))</f>
        <v>Pass</v>
      </c>
      <c r="AE595" s="1" t="str">
        <f>IF(AND(Table1[[#This Row],[Spec Type2]]="N/A",Table1[[#This Row],[DUT Adj Read]]="N/A",Table1[[#This Row],[Std Adj Read]]="N/A"),"N/A",IF(Table1[[#This Row],[DUT Adj Read]]="N/A",IF(Table1[[#This Row],[Std Adj Read]]&lt;Table1[[#This Row],[High Tol]],"Pass","Fail"),IF(Table1[[#This Row],[DUT Adj Read]]&lt;Table1[[#This Row],[High Tol]],"Pass","Fail")))</f>
        <v>Fail</v>
      </c>
      <c r="AF595" s="1" t="str">
        <f>IF(AND(Table1[[#This Row],[Spec Type2]]="N/A",Table1[[#This Row],[DUT Adj Read]]="N/A",Table1[[#This Row],[Std Adj Read]]="N/A"),"N/A",IF(Table1[[#This Row],[DUT Adj Read]]="N/A",IF(Table1[[#This Row],[Std Adj Read]]&gt;=Table1[[#This Row],[Low Tol]],"Pass","Fail"),IF(Table1[[#This Row],[DUT Adj Read]]&gt;=Table1[[#This Row],[Low Tol]],"Pass","Fail")))</f>
        <v>Pass</v>
      </c>
      <c r="AG595" s="1" t="str">
        <f>IF(AND(Table1[[#This Row],[Spec Type2]]="N/A",Table1[[#This Row],[DUT Adj Read]]="N/A",Table1[[#This Row],[Std Adj Read]]="N/A"),"N/A",IF(Table1[[#This Row],[DUT Adj Read]]="N/A",IF(Table1[[#This Row],[Std Adj Read]]&lt;=Table1[[#This Row],[High Tol]],"Pass","Fail"),IF(Table1[[#This Row],[DUT Adj Read]]&lt;=Table1[[#This Row],[High Tol]],"Pass","Fail")))</f>
        <v>Fail</v>
      </c>
      <c r="AH5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5" s="1" t="b">
        <v>0</v>
      </c>
      <c r="AN595" s="1" t="b">
        <v>0</v>
      </c>
      <c r="AO595" s="1" t="b">
        <v>0</v>
      </c>
    </row>
    <row r="596" spans="1:41" x14ac:dyDescent="0.25">
      <c r="A596" s="10"/>
      <c r="B596" s="10"/>
      <c r="C596" s="10"/>
      <c r="D596" s="10"/>
      <c r="E596" s="10"/>
      <c r="F596" s="10"/>
      <c r="G596" s="10"/>
      <c r="H596" s="10"/>
      <c r="I596" s="1" t="str">
        <f t="shared" si="27"/>
        <v/>
      </c>
      <c r="J596" s="1" t="s">
        <v>35</v>
      </c>
      <c r="K596" s="1" t="str">
        <f t="shared" si="28"/>
        <v/>
      </c>
      <c r="L596" s="1" t="str">
        <f t="shared" si="29"/>
        <v/>
      </c>
      <c r="M596" s="1">
        <f>IF(OR(Table1[[#This Row],[Std Nom]]="",Table1[[#This Row],[Std Read]]=""),0,Table1[[#This Row],[Std Nom]]-Table1[[#This Row],[Std Read]])</f>
        <v>0</v>
      </c>
      <c r="N596" s="1">
        <f>IF(Calculations!$F$5="ACCREDITED 17025 WITH UNCERTAINTIES",$N$10,0)</f>
        <v>0</v>
      </c>
      <c r="Q596" s="1">
        <f>Table1[[#This Row],[High Tol]]-Table1[[#This Row],[Low Tol]]</f>
        <v>0</v>
      </c>
      <c r="R596" s="1">
        <f>2*Table1[[#This Row],[Std Error]]</f>
        <v>0</v>
      </c>
      <c r="S596" s="1" t="str">
        <f>IF(Table1[[#This Row],[High Tol]]="","N/A",IFERROR(ABS(Table1[[#This Row],[Tol Span]]/Table1[[#This Row],[Error Span]]),"N/A"))</f>
        <v>N/A</v>
      </c>
      <c r="T596" s="1" t="str">
        <f>IF(OR(Table1[[#This Row],[Low Tol]]="",Table1[[#This Row],[High Tol]]=""),"Needs Analysis",IF(Table1[[#This Row],[Ratio]]&gt;=4,"Not Significant",IF(Table1[[#This Row],[Ratio]]&gt;=2,"Semi-Significant","Significant")))</f>
        <v>Needs Analysis</v>
      </c>
      <c r="W596" s="1">
        <f>IF(Table1[[#This Row],[Cal Type]]&lt;&gt;"ACCREDITED 17025 WITH UNCERTAINTIES",0,"")</f>
        <v>0</v>
      </c>
      <c r="X596" s="1" t="str">
        <f>IF(Table1[[#This Row],[DUT Read]]="","N/A",Table1[[#This Row],[Std Error]]+Table1[[#This Row],[DUT Read]]+Table1[[#This Row],[DUT Ucty]])</f>
        <v>N/A</v>
      </c>
      <c r="Y596" s="1" t="str">
        <f>IF(Table1[[#This Row],[Std Read]]="","N/A",Table1[[#This Row],[Std Read]]+Table1[[#This Row],[Std Ucty]])</f>
        <v>N/A</v>
      </c>
      <c r="Z5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6" s="1" t="str">
        <f>IF(Table1[[#This Row],[Spec Type]]="","N/A",Table1[[#This Row],[Spec Type]])</f>
        <v>±</v>
      </c>
      <c r="AC596" s="1" t="str">
        <f>IF(Table1[[#This Row],[Spec Type2]]="N/A","N/A",IF(AND(Table1[[#This Row],[DUT Adj Read]]&gt;=Table1[[#This Row],[Low Tol]],Table1[[#This Row],[DUT Adj Read]]&lt;=Table1[[#This Row],[High Tol]]),"Pass","Fail"))</f>
        <v>Fail</v>
      </c>
      <c r="AD596" s="1" t="str">
        <f>IF(AND(Table1[[#This Row],[Spec Type2]]="N/A",Table1[[#This Row],[DUT Adj Read]]="N/A",Table1[[#This Row],[Std Adj Read]]="N/A"),"N/A",IF(Table1[[#This Row],[DUT Adj Read]]="N/A",IF(Table1[[#This Row],[Std Adj Read]]&gt;Table1[[#This Row],[Low Tol]],"Pass","Fail"),IF(Table1[[#This Row],[DUT Adj Read]]&gt;Table1[[#This Row],[Low Tol]],"Pass","Fail")))</f>
        <v>Pass</v>
      </c>
      <c r="AE596" s="1" t="str">
        <f>IF(AND(Table1[[#This Row],[Spec Type2]]="N/A",Table1[[#This Row],[DUT Adj Read]]="N/A",Table1[[#This Row],[Std Adj Read]]="N/A"),"N/A",IF(Table1[[#This Row],[DUT Adj Read]]="N/A",IF(Table1[[#This Row],[Std Adj Read]]&lt;Table1[[#This Row],[High Tol]],"Pass","Fail"),IF(Table1[[#This Row],[DUT Adj Read]]&lt;Table1[[#This Row],[High Tol]],"Pass","Fail")))</f>
        <v>Fail</v>
      </c>
      <c r="AF596" s="1" t="str">
        <f>IF(AND(Table1[[#This Row],[Spec Type2]]="N/A",Table1[[#This Row],[DUT Adj Read]]="N/A",Table1[[#This Row],[Std Adj Read]]="N/A"),"N/A",IF(Table1[[#This Row],[DUT Adj Read]]="N/A",IF(Table1[[#This Row],[Std Adj Read]]&gt;=Table1[[#This Row],[Low Tol]],"Pass","Fail"),IF(Table1[[#This Row],[DUT Adj Read]]&gt;=Table1[[#This Row],[Low Tol]],"Pass","Fail")))</f>
        <v>Pass</v>
      </c>
      <c r="AG596" s="1" t="str">
        <f>IF(AND(Table1[[#This Row],[Spec Type2]]="N/A",Table1[[#This Row],[DUT Adj Read]]="N/A",Table1[[#This Row],[Std Adj Read]]="N/A"),"N/A",IF(Table1[[#This Row],[DUT Adj Read]]="N/A",IF(Table1[[#This Row],[Std Adj Read]]&lt;=Table1[[#This Row],[High Tol]],"Pass","Fail"),IF(Table1[[#This Row],[DUT Adj Read]]&lt;=Table1[[#This Row],[High Tol]],"Pass","Fail")))</f>
        <v>Fail</v>
      </c>
      <c r="AH5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6" s="1" t="b">
        <v>0</v>
      </c>
      <c r="AN596" s="1" t="b">
        <v>0</v>
      </c>
      <c r="AO596" s="1" t="b">
        <v>0</v>
      </c>
    </row>
    <row r="597" spans="1:41" x14ac:dyDescent="0.25">
      <c r="A597" s="10"/>
      <c r="B597" s="10"/>
      <c r="C597" s="10"/>
      <c r="D597" s="10"/>
      <c r="E597" s="10"/>
      <c r="F597" s="10"/>
      <c r="G597" s="10"/>
      <c r="H597" s="10"/>
      <c r="I597" s="1" t="str">
        <f t="shared" si="27"/>
        <v/>
      </c>
      <c r="J597" s="1" t="s">
        <v>35</v>
      </c>
      <c r="K597" s="1" t="str">
        <f t="shared" si="28"/>
        <v/>
      </c>
      <c r="L597" s="1" t="str">
        <f t="shared" si="29"/>
        <v/>
      </c>
      <c r="M597" s="1">
        <f>IF(OR(Table1[[#This Row],[Std Nom]]="",Table1[[#This Row],[Std Read]]=""),0,Table1[[#This Row],[Std Nom]]-Table1[[#This Row],[Std Read]])</f>
        <v>0</v>
      </c>
      <c r="N597" s="1">
        <f>IF(Calculations!$F$5="ACCREDITED 17025 WITH UNCERTAINTIES",$N$10,0)</f>
        <v>0</v>
      </c>
      <c r="Q597" s="1">
        <f>Table1[[#This Row],[High Tol]]-Table1[[#This Row],[Low Tol]]</f>
        <v>0</v>
      </c>
      <c r="R597" s="1">
        <f>2*Table1[[#This Row],[Std Error]]</f>
        <v>0</v>
      </c>
      <c r="S597" s="1" t="str">
        <f>IF(Table1[[#This Row],[High Tol]]="","N/A",IFERROR(ABS(Table1[[#This Row],[Tol Span]]/Table1[[#This Row],[Error Span]]),"N/A"))</f>
        <v>N/A</v>
      </c>
      <c r="T597" s="1" t="str">
        <f>IF(OR(Table1[[#This Row],[Low Tol]]="",Table1[[#This Row],[High Tol]]=""),"Needs Analysis",IF(Table1[[#This Row],[Ratio]]&gt;=4,"Not Significant",IF(Table1[[#This Row],[Ratio]]&gt;=2,"Semi-Significant","Significant")))</f>
        <v>Needs Analysis</v>
      </c>
      <c r="W597" s="1">
        <f>IF(Table1[[#This Row],[Cal Type]]&lt;&gt;"ACCREDITED 17025 WITH UNCERTAINTIES",0,"")</f>
        <v>0</v>
      </c>
      <c r="X597" s="1" t="str">
        <f>IF(Table1[[#This Row],[DUT Read]]="","N/A",Table1[[#This Row],[Std Error]]+Table1[[#This Row],[DUT Read]]+Table1[[#This Row],[DUT Ucty]])</f>
        <v>N/A</v>
      </c>
      <c r="Y597" s="1" t="str">
        <f>IF(Table1[[#This Row],[Std Read]]="","N/A",Table1[[#This Row],[Std Read]]+Table1[[#This Row],[Std Ucty]])</f>
        <v>N/A</v>
      </c>
      <c r="Z5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7" s="1" t="str">
        <f>IF(Table1[[#This Row],[Spec Type]]="","N/A",Table1[[#This Row],[Spec Type]])</f>
        <v>±</v>
      </c>
      <c r="AC597" s="1" t="str">
        <f>IF(Table1[[#This Row],[Spec Type2]]="N/A","N/A",IF(AND(Table1[[#This Row],[DUT Adj Read]]&gt;=Table1[[#This Row],[Low Tol]],Table1[[#This Row],[DUT Adj Read]]&lt;=Table1[[#This Row],[High Tol]]),"Pass","Fail"))</f>
        <v>Fail</v>
      </c>
      <c r="AD597" s="1" t="str">
        <f>IF(AND(Table1[[#This Row],[Spec Type2]]="N/A",Table1[[#This Row],[DUT Adj Read]]="N/A",Table1[[#This Row],[Std Adj Read]]="N/A"),"N/A",IF(Table1[[#This Row],[DUT Adj Read]]="N/A",IF(Table1[[#This Row],[Std Adj Read]]&gt;Table1[[#This Row],[Low Tol]],"Pass","Fail"),IF(Table1[[#This Row],[DUT Adj Read]]&gt;Table1[[#This Row],[Low Tol]],"Pass","Fail")))</f>
        <v>Pass</v>
      </c>
      <c r="AE597" s="1" t="str">
        <f>IF(AND(Table1[[#This Row],[Spec Type2]]="N/A",Table1[[#This Row],[DUT Adj Read]]="N/A",Table1[[#This Row],[Std Adj Read]]="N/A"),"N/A",IF(Table1[[#This Row],[DUT Adj Read]]="N/A",IF(Table1[[#This Row],[Std Adj Read]]&lt;Table1[[#This Row],[High Tol]],"Pass","Fail"),IF(Table1[[#This Row],[DUT Adj Read]]&lt;Table1[[#This Row],[High Tol]],"Pass","Fail")))</f>
        <v>Fail</v>
      </c>
      <c r="AF597" s="1" t="str">
        <f>IF(AND(Table1[[#This Row],[Spec Type2]]="N/A",Table1[[#This Row],[DUT Adj Read]]="N/A",Table1[[#This Row],[Std Adj Read]]="N/A"),"N/A",IF(Table1[[#This Row],[DUT Adj Read]]="N/A",IF(Table1[[#This Row],[Std Adj Read]]&gt;=Table1[[#This Row],[Low Tol]],"Pass","Fail"),IF(Table1[[#This Row],[DUT Adj Read]]&gt;=Table1[[#This Row],[Low Tol]],"Pass","Fail")))</f>
        <v>Pass</v>
      </c>
      <c r="AG597" s="1" t="str">
        <f>IF(AND(Table1[[#This Row],[Spec Type2]]="N/A",Table1[[#This Row],[DUT Adj Read]]="N/A",Table1[[#This Row],[Std Adj Read]]="N/A"),"N/A",IF(Table1[[#This Row],[DUT Adj Read]]="N/A",IF(Table1[[#This Row],[Std Adj Read]]&lt;=Table1[[#This Row],[High Tol]],"Pass","Fail"),IF(Table1[[#This Row],[DUT Adj Read]]&lt;=Table1[[#This Row],[High Tol]],"Pass","Fail")))</f>
        <v>Fail</v>
      </c>
      <c r="AH5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7" s="1" t="b">
        <v>0</v>
      </c>
      <c r="AN597" s="1" t="b">
        <v>0</v>
      </c>
      <c r="AO597" s="1" t="b">
        <v>0</v>
      </c>
    </row>
    <row r="598" spans="1:41" x14ac:dyDescent="0.25">
      <c r="A598" s="10"/>
      <c r="B598" s="10"/>
      <c r="C598" s="10"/>
      <c r="D598" s="10"/>
      <c r="E598" s="10"/>
      <c r="F598" s="10"/>
      <c r="G598" s="10"/>
      <c r="H598" s="10"/>
      <c r="I598" s="1" t="str">
        <f t="shared" si="27"/>
        <v/>
      </c>
      <c r="J598" s="1" t="s">
        <v>35</v>
      </c>
      <c r="K598" s="1" t="str">
        <f t="shared" si="28"/>
        <v/>
      </c>
      <c r="L598" s="1" t="str">
        <f t="shared" si="29"/>
        <v/>
      </c>
      <c r="M598" s="1">
        <f>IF(OR(Table1[[#This Row],[Std Nom]]="",Table1[[#This Row],[Std Read]]=""),0,Table1[[#This Row],[Std Nom]]-Table1[[#This Row],[Std Read]])</f>
        <v>0</v>
      </c>
      <c r="N598" s="1">
        <f>IF(Calculations!$F$5="ACCREDITED 17025 WITH UNCERTAINTIES",$N$10,0)</f>
        <v>0</v>
      </c>
      <c r="Q598" s="1">
        <f>Table1[[#This Row],[High Tol]]-Table1[[#This Row],[Low Tol]]</f>
        <v>0</v>
      </c>
      <c r="R598" s="1">
        <f>2*Table1[[#This Row],[Std Error]]</f>
        <v>0</v>
      </c>
      <c r="S598" s="1" t="str">
        <f>IF(Table1[[#This Row],[High Tol]]="","N/A",IFERROR(ABS(Table1[[#This Row],[Tol Span]]/Table1[[#This Row],[Error Span]]),"N/A"))</f>
        <v>N/A</v>
      </c>
      <c r="T598" s="1" t="str">
        <f>IF(OR(Table1[[#This Row],[Low Tol]]="",Table1[[#This Row],[High Tol]]=""),"Needs Analysis",IF(Table1[[#This Row],[Ratio]]&gt;=4,"Not Significant",IF(Table1[[#This Row],[Ratio]]&gt;=2,"Semi-Significant","Significant")))</f>
        <v>Needs Analysis</v>
      </c>
      <c r="W598" s="1">
        <f>IF(Table1[[#This Row],[Cal Type]]&lt;&gt;"ACCREDITED 17025 WITH UNCERTAINTIES",0,"")</f>
        <v>0</v>
      </c>
      <c r="X598" s="1" t="str">
        <f>IF(Table1[[#This Row],[DUT Read]]="","N/A",Table1[[#This Row],[Std Error]]+Table1[[#This Row],[DUT Read]]+Table1[[#This Row],[DUT Ucty]])</f>
        <v>N/A</v>
      </c>
      <c r="Y598" s="1" t="str">
        <f>IF(Table1[[#This Row],[Std Read]]="","N/A",Table1[[#This Row],[Std Read]]+Table1[[#This Row],[Std Ucty]])</f>
        <v>N/A</v>
      </c>
      <c r="Z5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8" s="1" t="str">
        <f>IF(Table1[[#This Row],[Spec Type]]="","N/A",Table1[[#This Row],[Spec Type]])</f>
        <v>±</v>
      </c>
      <c r="AC598" s="1" t="str">
        <f>IF(Table1[[#This Row],[Spec Type2]]="N/A","N/A",IF(AND(Table1[[#This Row],[DUT Adj Read]]&gt;=Table1[[#This Row],[Low Tol]],Table1[[#This Row],[DUT Adj Read]]&lt;=Table1[[#This Row],[High Tol]]),"Pass","Fail"))</f>
        <v>Fail</v>
      </c>
      <c r="AD598" s="1" t="str">
        <f>IF(AND(Table1[[#This Row],[Spec Type2]]="N/A",Table1[[#This Row],[DUT Adj Read]]="N/A",Table1[[#This Row],[Std Adj Read]]="N/A"),"N/A",IF(Table1[[#This Row],[DUT Adj Read]]="N/A",IF(Table1[[#This Row],[Std Adj Read]]&gt;Table1[[#This Row],[Low Tol]],"Pass","Fail"),IF(Table1[[#This Row],[DUT Adj Read]]&gt;Table1[[#This Row],[Low Tol]],"Pass","Fail")))</f>
        <v>Pass</v>
      </c>
      <c r="AE598" s="1" t="str">
        <f>IF(AND(Table1[[#This Row],[Spec Type2]]="N/A",Table1[[#This Row],[DUT Adj Read]]="N/A",Table1[[#This Row],[Std Adj Read]]="N/A"),"N/A",IF(Table1[[#This Row],[DUT Adj Read]]="N/A",IF(Table1[[#This Row],[Std Adj Read]]&lt;Table1[[#This Row],[High Tol]],"Pass","Fail"),IF(Table1[[#This Row],[DUT Adj Read]]&lt;Table1[[#This Row],[High Tol]],"Pass","Fail")))</f>
        <v>Fail</v>
      </c>
      <c r="AF598" s="1" t="str">
        <f>IF(AND(Table1[[#This Row],[Spec Type2]]="N/A",Table1[[#This Row],[DUT Adj Read]]="N/A",Table1[[#This Row],[Std Adj Read]]="N/A"),"N/A",IF(Table1[[#This Row],[DUT Adj Read]]="N/A",IF(Table1[[#This Row],[Std Adj Read]]&gt;=Table1[[#This Row],[Low Tol]],"Pass","Fail"),IF(Table1[[#This Row],[DUT Adj Read]]&gt;=Table1[[#This Row],[Low Tol]],"Pass","Fail")))</f>
        <v>Pass</v>
      </c>
      <c r="AG598" s="1" t="str">
        <f>IF(AND(Table1[[#This Row],[Spec Type2]]="N/A",Table1[[#This Row],[DUT Adj Read]]="N/A",Table1[[#This Row],[Std Adj Read]]="N/A"),"N/A",IF(Table1[[#This Row],[DUT Adj Read]]="N/A",IF(Table1[[#This Row],[Std Adj Read]]&lt;=Table1[[#This Row],[High Tol]],"Pass","Fail"),IF(Table1[[#This Row],[DUT Adj Read]]&lt;=Table1[[#This Row],[High Tol]],"Pass","Fail")))</f>
        <v>Fail</v>
      </c>
      <c r="AH5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8" s="1" t="b">
        <v>0</v>
      </c>
      <c r="AN598" s="1" t="b">
        <v>0</v>
      </c>
      <c r="AO598" s="1" t="b">
        <v>0</v>
      </c>
    </row>
    <row r="599" spans="1:41" x14ac:dyDescent="0.25">
      <c r="A599" s="10"/>
      <c r="B599" s="10"/>
      <c r="C599" s="10"/>
      <c r="D599" s="10"/>
      <c r="E599" s="10"/>
      <c r="F599" s="10"/>
      <c r="G599" s="10"/>
      <c r="H599" s="10"/>
      <c r="I599" s="1" t="str">
        <f t="shared" si="27"/>
        <v/>
      </c>
      <c r="J599" s="1" t="s">
        <v>35</v>
      </c>
      <c r="K599" s="1" t="str">
        <f t="shared" si="28"/>
        <v/>
      </c>
      <c r="L599" s="1" t="str">
        <f t="shared" si="29"/>
        <v/>
      </c>
      <c r="M599" s="1">
        <f>IF(OR(Table1[[#This Row],[Std Nom]]="",Table1[[#This Row],[Std Read]]=""),0,Table1[[#This Row],[Std Nom]]-Table1[[#This Row],[Std Read]])</f>
        <v>0</v>
      </c>
      <c r="N599" s="1">
        <f>IF(Calculations!$F$5="ACCREDITED 17025 WITH UNCERTAINTIES",$N$10,0)</f>
        <v>0</v>
      </c>
      <c r="Q599" s="1">
        <f>Table1[[#This Row],[High Tol]]-Table1[[#This Row],[Low Tol]]</f>
        <v>0</v>
      </c>
      <c r="R599" s="1">
        <f>2*Table1[[#This Row],[Std Error]]</f>
        <v>0</v>
      </c>
      <c r="S599" s="1" t="str">
        <f>IF(Table1[[#This Row],[High Tol]]="","N/A",IFERROR(ABS(Table1[[#This Row],[Tol Span]]/Table1[[#This Row],[Error Span]]),"N/A"))</f>
        <v>N/A</v>
      </c>
      <c r="T599" s="1" t="str">
        <f>IF(OR(Table1[[#This Row],[Low Tol]]="",Table1[[#This Row],[High Tol]]=""),"Needs Analysis",IF(Table1[[#This Row],[Ratio]]&gt;=4,"Not Significant",IF(Table1[[#This Row],[Ratio]]&gt;=2,"Semi-Significant","Significant")))</f>
        <v>Needs Analysis</v>
      </c>
      <c r="W599" s="1">
        <f>IF(Table1[[#This Row],[Cal Type]]&lt;&gt;"ACCREDITED 17025 WITH UNCERTAINTIES",0,"")</f>
        <v>0</v>
      </c>
      <c r="X599" s="1" t="str">
        <f>IF(Table1[[#This Row],[DUT Read]]="","N/A",Table1[[#This Row],[Std Error]]+Table1[[#This Row],[DUT Read]]+Table1[[#This Row],[DUT Ucty]])</f>
        <v>N/A</v>
      </c>
      <c r="Y599" s="1" t="str">
        <f>IF(Table1[[#This Row],[Std Read]]="","N/A",Table1[[#This Row],[Std Read]]+Table1[[#This Row],[Std Ucty]])</f>
        <v>N/A</v>
      </c>
      <c r="Z5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599" s="1" t="str">
        <f>IF(Table1[[#This Row],[Spec Type]]="","N/A",Table1[[#This Row],[Spec Type]])</f>
        <v>±</v>
      </c>
      <c r="AC599" s="1" t="str">
        <f>IF(Table1[[#This Row],[Spec Type2]]="N/A","N/A",IF(AND(Table1[[#This Row],[DUT Adj Read]]&gt;=Table1[[#This Row],[Low Tol]],Table1[[#This Row],[DUT Adj Read]]&lt;=Table1[[#This Row],[High Tol]]),"Pass","Fail"))</f>
        <v>Fail</v>
      </c>
      <c r="AD599" s="1" t="str">
        <f>IF(AND(Table1[[#This Row],[Spec Type2]]="N/A",Table1[[#This Row],[DUT Adj Read]]="N/A",Table1[[#This Row],[Std Adj Read]]="N/A"),"N/A",IF(Table1[[#This Row],[DUT Adj Read]]="N/A",IF(Table1[[#This Row],[Std Adj Read]]&gt;Table1[[#This Row],[Low Tol]],"Pass","Fail"),IF(Table1[[#This Row],[DUT Adj Read]]&gt;Table1[[#This Row],[Low Tol]],"Pass","Fail")))</f>
        <v>Pass</v>
      </c>
      <c r="AE599" s="1" t="str">
        <f>IF(AND(Table1[[#This Row],[Spec Type2]]="N/A",Table1[[#This Row],[DUT Adj Read]]="N/A",Table1[[#This Row],[Std Adj Read]]="N/A"),"N/A",IF(Table1[[#This Row],[DUT Adj Read]]="N/A",IF(Table1[[#This Row],[Std Adj Read]]&lt;Table1[[#This Row],[High Tol]],"Pass","Fail"),IF(Table1[[#This Row],[DUT Adj Read]]&lt;Table1[[#This Row],[High Tol]],"Pass","Fail")))</f>
        <v>Fail</v>
      </c>
      <c r="AF599" s="1" t="str">
        <f>IF(AND(Table1[[#This Row],[Spec Type2]]="N/A",Table1[[#This Row],[DUT Adj Read]]="N/A",Table1[[#This Row],[Std Adj Read]]="N/A"),"N/A",IF(Table1[[#This Row],[DUT Adj Read]]="N/A",IF(Table1[[#This Row],[Std Adj Read]]&gt;=Table1[[#This Row],[Low Tol]],"Pass","Fail"),IF(Table1[[#This Row],[DUT Adj Read]]&gt;=Table1[[#This Row],[Low Tol]],"Pass","Fail")))</f>
        <v>Pass</v>
      </c>
      <c r="AG599" s="1" t="str">
        <f>IF(AND(Table1[[#This Row],[Spec Type2]]="N/A",Table1[[#This Row],[DUT Adj Read]]="N/A",Table1[[#This Row],[Std Adj Read]]="N/A"),"N/A",IF(Table1[[#This Row],[DUT Adj Read]]="N/A",IF(Table1[[#This Row],[Std Adj Read]]&lt;=Table1[[#This Row],[High Tol]],"Pass","Fail"),IF(Table1[[#This Row],[DUT Adj Read]]&lt;=Table1[[#This Row],[High Tol]],"Pass","Fail")))</f>
        <v>Fail</v>
      </c>
      <c r="AH5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599" s="1" t="b">
        <v>0</v>
      </c>
      <c r="AN599" s="1" t="b">
        <v>0</v>
      </c>
      <c r="AO599" s="1" t="b">
        <v>0</v>
      </c>
    </row>
    <row r="600" spans="1:41" x14ac:dyDescent="0.25">
      <c r="A600" s="10"/>
      <c r="B600" s="10"/>
      <c r="C600" s="10"/>
      <c r="D600" s="10"/>
      <c r="E600" s="10"/>
      <c r="F600" s="10"/>
      <c r="G600" s="10"/>
      <c r="H600" s="10"/>
      <c r="I600" s="1" t="str">
        <f t="shared" si="27"/>
        <v/>
      </c>
      <c r="J600" s="1" t="s">
        <v>35</v>
      </c>
      <c r="K600" s="1" t="str">
        <f t="shared" si="28"/>
        <v/>
      </c>
      <c r="L600" s="1" t="str">
        <f t="shared" si="29"/>
        <v/>
      </c>
      <c r="M600" s="1">
        <f>IF(OR(Table1[[#This Row],[Std Nom]]="",Table1[[#This Row],[Std Read]]=""),0,Table1[[#This Row],[Std Nom]]-Table1[[#This Row],[Std Read]])</f>
        <v>0</v>
      </c>
      <c r="N600" s="1">
        <f>IF(Calculations!$F$5="ACCREDITED 17025 WITH UNCERTAINTIES",$N$10,0)</f>
        <v>0</v>
      </c>
      <c r="Q600" s="1">
        <f>Table1[[#This Row],[High Tol]]-Table1[[#This Row],[Low Tol]]</f>
        <v>0</v>
      </c>
      <c r="R600" s="1">
        <f>2*Table1[[#This Row],[Std Error]]</f>
        <v>0</v>
      </c>
      <c r="S600" s="1" t="str">
        <f>IF(Table1[[#This Row],[High Tol]]="","N/A",IFERROR(ABS(Table1[[#This Row],[Tol Span]]/Table1[[#This Row],[Error Span]]),"N/A"))</f>
        <v>N/A</v>
      </c>
      <c r="T600" s="1" t="str">
        <f>IF(OR(Table1[[#This Row],[Low Tol]]="",Table1[[#This Row],[High Tol]]=""),"Needs Analysis",IF(Table1[[#This Row],[Ratio]]&gt;=4,"Not Significant",IF(Table1[[#This Row],[Ratio]]&gt;=2,"Semi-Significant","Significant")))</f>
        <v>Needs Analysis</v>
      </c>
      <c r="W600" s="1">
        <f>IF(Table1[[#This Row],[Cal Type]]&lt;&gt;"ACCREDITED 17025 WITH UNCERTAINTIES",0,"")</f>
        <v>0</v>
      </c>
      <c r="X600" s="1" t="str">
        <f>IF(Table1[[#This Row],[DUT Read]]="","N/A",Table1[[#This Row],[Std Error]]+Table1[[#This Row],[DUT Read]]+Table1[[#This Row],[DUT Ucty]])</f>
        <v>N/A</v>
      </c>
      <c r="Y600" s="1" t="str">
        <f>IF(Table1[[#This Row],[Std Read]]="","N/A",Table1[[#This Row],[Std Read]]+Table1[[#This Row],[Std Ucty]])</f>
        <v>N/A</v>
      </c>
      <c r="Z6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0" s="1" t="str">
        <f>IF(Table1[[#This Row],[Spec Type]]="","N/A",Table1[[#This Row],[Spec Type]])</f>
        <v>±</v>
      </c>
      <c r="AC600" s="1" t="str">
        <f>IF(Table1[[#This Row],[Spec Type2]]="N/A","N/A",IF(AND(Table1[[#This Row],[DUT Adj Read]]&gt;=Table1[[#This Row],[Low Tol]],Table1[[#This Row],[DUT Adj Read]]&lt;=Table1[[#This Row],[High Tol]]),"Pass","Fail"))</f>
        <v>Fail</v>
      </c>
      <c r="AD600" s="1" t="str">
        <f>IF(AND(Table1[[#This Row],[Spec Type2]]="N/A",Table1[[#This Row],[DUT Adj Read]]="N/A",Table1[[#This Row],[Std Adj Read]]="N/A"),"N/A",IF(Table1[[#This Row],[DUT Adj Read]]="N/A",IF(Table1[[#This Row],[Std Adj Read]]&gt;Table1[[#This Row],[Low Tol]],"Pass","Fail"),IF(Table1[[#This Row],[DUT Adj Read]]&gt;Table1[[#This Row],[Low Tol]],"Pass","Fail")))</f>
        <v>Pass</v>
      </c>
      <c r="AE600" s="1" t="str">
        <f>IF(AND(Table1[[#This Row],[Spec Type2]]="N/A",Table1[[#This Row],[DUT Adj Read]]="N/A",Table1[[#This Row],[Std Adj Read]]="N/A"),"N/A",IF(Table1[[#This Row],[DUT Adj Read]]="N/A",IF(Table1[[#This Row],[Std Adj Read]]&lt;Table1[[#This Row],[High Tol]],"Pass","Fail"),IF(Table1[[#This Row],[DUT Adj Read]]&lt;Table1[[#This Row],[High Tol]],"Pass","Fail")))</f>
        <v>Fail</v>
      </c>
      <c r="AF600" s="1" t="str">
        <f>IF(AND(Table1[[#This Row],[Spec Type2]]="N/A",Table1[[#This Row],[DUT Adj Read]]="N/A",Table1[[#This Row],[Std Adj Read]]="N/A"),"N/A",IF(Table1[[#This Row],[DUT Adj Read]]="N/A",IF(Table1[[#This Row],[Std Adj Read]]&gt;=Table1[[#This Row],[Low Tol]],"Pass","Fail"),IF(Table1[[#This Row],[DUT Adj Read]]&gt;=Table1[[#This Row],[Low Tol]],"Pass","Fail")))</f>
        <v>Pass</v>
      </c>
      <c r="AG600" s="1" t="str">
        <f>IF(AND(Table1[[#This Row],[Spec Type2]]="N/A",Table1[[#This Row],[DUT Adj Read]]="N/A",Table1[[#This Row],[Std Adj Read]]="N/A"),"N/A",IF(Table1[[#This Row],[DUT Adj Read]]="N/A",IF(Table1[[#This Row],[Std Adj Read]]&lt;=Table1[[#This Row],[High Tol]],"Pass","Fail"),IF(Table1[[#This Row],[DUT Adj Read]]&lt;=Table1[[#This Row],[High Tol]],"Pass","Fail")))</f>
        <v>Fail</v>
      </c>
      <c r="AH6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0" s="1" t="b">
        <v>0</v>
      </c>
      <c r="AN600" s="1" t="b">
        <v>0</v>
      </c>
      <c r="AO600" s="1" t="b">
        <v>0</v>
      </c>
    </row>
    <row r="601" spans="1:41" x14ac:dyDescent="0.25">
      <c r="A601" s="10"/>
      <c r="B601" s="10"/>
      <c r="C601" s="10"/>
      <c r="D601" s="10"/>
      <c r="E601" s="10"/>
      <c r="F601" s="10"/>
      <c r="G601" s="10"/>
      <c r="H601" s="10"/>
      <c r="I601" s="1" t="str">
        <f t="shared" si="27"/>
        <v/>
      </c>
      <c r="J601" s="1" t="s">
        <v>35</v>
      </c>
      <c r="K601" s="1" t="str">
        <f t="shared" si="28"/>
        <v/>
      </c>
      <c r="L601" s="1" t="str">
        <f t="shared" si="29"/>
        <v/>
      </c>
      <c r="M601" s="1">
        <f>IF(OR(Table1[[#This Row],[Std Nom]]="",Table1[[#This Row],[Std Read]]=""),0,Table1[[#This Row],[Std Nom]]-Table1[[#This Row],[Std Read]])</f>
        <v>0</v>
      </c>
      <c r="N601" s="1">
        <f>IF(Calculations!$F$5="ACCREDITED 17025 WITH UNCERTAINTIES",$N$10,0)</f>
        <v>0</v>
      </c>
      <c r="Q601" s="1">
        <f>Table1[[#This Row],[High Tol]]-Table1[[#This Row],[Low Tol]]</f>
        <v>0</v>
      </c>
      <c r="R601" s="1">
        <f>2*Table1[[#This Row],[Std Error]]</f>
        <v>0</v>
      </c>
      <c r="S601" s="1" t="str">
        <f>IF(Table1[[#This Row],[High Tol]]="","N/A",IFERROR(ABS(Table1[[#This Row],[Tol Span]]/Table1[[#This Row],[Error Span]]),"N/A"))</f>
        <v>N/A</v>
      </c>
      <c r="T601" s="1" t="str">
        <f>IF(OR(Table1[[#This Row],[Low Tol]]="",Table1[[#This Row],[High Tol]]=""),"Needs Analysis",IF(Table1[[#This Row],[Ratio]]&gt;=4,"Not Significant",IF(Table1[[#This Row],[Ratio]]&gt;=2,"Semi-Significant","Significant")))</f>
        <v>Needs Analysis</v>
      </c>
      <c r="W601" s="1">
        <f>IF(Table1[[#This Row],[Cal Type]]&lt;&gt;"ACCREDITED 17025 WITH UNCERTAINTIES",0,"")</f>
        <v>0</v>
      </c>
      <c r="X601" s="1" t="str">
        <f>IF(Table1[[#This Row],[DUT Read]]="","N/A",Table1[[#This Row],[Std Error]]+Table1[[#This Row],[DUT Read]]+Table1[[#This Row],[DUT Ucty]])</f>
        <v>N/A</v>
      </c>
      <c r="Y601" s="1" t="str">
        <f>IF(Table1[[#This Row],[Std Read]]="","N/A",Table1[[#This Row],[Std Read]]+Table1[[#This Row],[Std Ucty]])</f>
        <v>N/A</v>
      </c>
      <c r="Z6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1" s="1" t="str">
        <f>IF(Table1[[#This Row],[Spec Type]]="","N/A",Table1[[#This Row],[Spec Type]])</f>
        <v>±</v>
      </c>
      <c r="AC601" s="1" t="str">
        <f>IF(Table1[[#This Row],[Spec Type2]]="N/A","N/A",IF(AND(Table1[[#This Row],[DUT Adj Read]]&gt;=Table1[[#This Row],[Low Tol]],Table1[[#This Row],[DUT Adj Read]]&lt;=Table1[[#This Row],[High Tol]]),"Pass","Fail"))</f>
        <v>Fail</v>
      </c>
      <c r="AD601" s="1" t="str">
        <f>IF(AND(Table1[[#This Row],[Spec Type2]]="N/A",Table1[[#This Row],[DUT Adj Read]]="N/A",Table1[[#This Row],[Std Adj Read]]="N/A"),"N/A",IF(Table1[[#This Row],[DUT Adj Read]]="N/A",IF(Table1[[#This Row],[Std Adj Read]]&gt;Table1[[#This Row],[Low Tol]],"Pass","Fail"),IF(Table1[[#This Row],[DUT Adj Read]]&gt;Table1[[#This Row],[Low Tol]],"Pass","Fail")))</f>
        <v>Pass</v>
      </c>
      <c r="AE601" s="1" t="str">
        <f>IF(AND(Table1[[#This Row],[Spec Type2]]="N/A",Table1[[#This Row],[DUT Adj Read]]="N/A",Table1[[#This Row],[Std Adj Read]]="N/A"),"N/A",IF(Table1[[#This Row],[DUT Adj Read]]="N/A",IF(Table1[[#This Row],[Std Adj Read]]&lt;Table1[[#This Row],[High Tol]],"Pass","Fail"),IF(Table1[[#This Row],[DUT Adj Read]]&lt;Table1[[#This Row],[High Tol]],"Pass","Fail")))</f>
        <v>Fail</v>
      </c>
      <c r="AF601" s="1" t="str">
        <f>IF(AND(Table1[[#This Row],[Spec Type2]]="N/A",Table1[[#This Row],[DUT Adj Read]]="N/A",Table1[[#This Row],[Std Adj Read]]="N/A"),"N/A",IF(Table1[[#This Row],[DUT Adj Read]]="N/A",IF(Table1[[#This Row],[Std Adj Read]]&gt;=Table1[[#This Row],[Low Tol]],"Pass","Fail"),IF(Table1[[#This Row],[DUT Adj Read]]&gt;=Table1[[#This Row],[Low Tol]],"Pass","Fail")))</f>
        <v>Pass</v>
      </c>
      <c r="AG601" s="1" t="str">
        <f>IF(AND(Table1[[#This Row],[Spec Type2]]="N/A",Table1[[#This Row],[DUT Adj Read]]="N/A",Table1[[#This Row],[Std Adj Read]]="N/A"),"N/A",IF(Table1[[#This Row],[DUT Adj Read]]="N/A",IF(Table1[[#This Row],[Std Adj Read]]&lt;=Table1[[#This Row],[High Tol]],"Pass","Fail"),IF(Table1[[#This Row],[DUT Adj Read]]&lt;=Table1[[#This Row],[High Tol]],"Pass","Fail")))</f>
        <v>Fail</v>
      </c>
      <c r="AH6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1" s="1" t="b">
        <v>0</v>
      </c>
      <c r="AN601" s="1" t="b">
        <v>0</v>
      </c>
      <c r="AO601" s="1" t="b">
        <v>0</v>
      </c>
    </row>
    <row r="602" spans="1:41" x14ac:dyDescent="0.25">
      <c r="A602" s="10"/>
      <c r="B602" s="10"/>
      <c r="C602" s="10"/>
      <c r="D602" s="10"/>
      <c r="E602" s="10"/>
      <c r="F602" s="10"/>
      <c r="G602" s="10"/>
      <c r="H602" s="10"/>
      <c r="I602" s="1" t="str">
        <f t="shared" si="27"/>
        <v/>
      </c>
      <c r="J602" s="1" t="s">
        <v>35</v>
      </c>
      <c r="K602" s="1" t="str">
        <f t="shared" si="28"/>
        <v/>
      </c>
      <c r="L602" s="1" t="str">
        <f t="shared" si="29"/>
        <v/>
      </c>
      <c r="M602" s="1">
        <f>IF(OR(Table1[[#This Row],[Std Nom]]="",Table1[[#This Row],[Std Read]]=""),0,Table1[[#This Row],[Std Nom]]-Table1[[#This Row],[Std Read]])</f>
        <v>0</v>
      </c>
      <c r="N602" s="1">
        <f>IF(Calculations!$F$5="ACCREDITED 17025 WITH UNCERTAINTIES",$N$10,0)</f>
        <v>0</v>
      </c>
      <c r="Q602" s="1">
        <f>Table1[[#This Row],[High Tol]]-Table1[[#This Row],[Low Tol]]</f>
        <v>0</v>
      </c>
      <c r="R602" s="1">
        <f>2*Table1[[#This Row],[Std Error]]</f>
        <v>0</v>
      </c>
      <c r="S602" s="1" t="str">
        <f>IF(Table1[[#This Row],[High Tol]]="","N/A",IFERROR(ABS(Table1[[#This Row],[Tol Span]]/Table1[[#This Row],[Error Span]]),"N/A"))</f>
        <v>N/A</v>
      </c>
      <c r="T602" s="1" t="str">
        <f>IF(OR(Table1[[#This Row],[Low Tol]]="",Table1[[#This Row],[High Tol]]=""),"Needs Analysis",IF(Table1[[#This Row],[Ratio]]&gt;=4,"Not Significant",IF(Table1[[#This Row],[Ratio]]&gt;=2,"Semi-Significant","Significant")))</f>
        <v>Needs Analysis</v>
      </c>
      <c r="W602" s="1">
        <f>IF(Table1[[#This Row],[Cal Type]]&lt;&gt;"ACCREDITED 17025 WITH UNCERTAINTIES",0,"")</f>
        <v>0</v>
      </c>
      <c r="X602" s="1" t="str">
        <f>IF(Table1[[#This Row],[DUT Read]]="","N/A",Table1[[#This Row],[Std Error]]+Table1[[#This Row],[DUT Read]]+Table1[[#This Row],[DUT Ucty]])</f>
        <v>N/A</v>
      </c>
      <c r="Y602" s="1" t="str">
        <f>IF(Table1[[#This Row],[Std Read]]="","N/A",Table1[[#This Row],[Std Read]]+Table1[[#This Row],[Std Ucty]])</f>
        <v>N/A</v>
      </c>
      <c r="Z6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2" s="1" t="str">
        <f>IF(Table1[[#This Row],[Spec Type]]="","N/A",Table1[[#This Row],[Spec Type]])</f>
        <v>±</v>
      </c>
      <c r="AC602" s="1" t="str">
        <f>IF(Table1[[#This Row],[Spec Type2]]="N/A","N/A",IF(AND(Table1[[#This Row],[DUT Adj Read]]&gt;=Table1[[#This Row],[Low Tol]],Table1[[#This Row],[DUT Adj Read]]&lt;=Table1[[#This Row],[High Tol]]),"Pass","Fail"))</f>
        <v>Fail</v>
      </c>
      <c r="AD602" s="1" t="str">
        <f>IF(AND(Table1[[#This Row],[Spec Type2]]="N/A",Table1[[#This Row],[DUT Adj Read]]="N/A",Table1[[#This Row],[Std Adj Read]]="N/A"),"N/A",IF(Table1[[#This Row],[DUT Adj Read]]="N/A",IF(Table1[[#This Row],[Std Adj Read]]&gt;Table1[[#This Row],[Low Tol]],"Pass","Fail"),IF(Table1[[#This Row],[DUT Adj Read]]&gt;Table1[[#This Row],[Low Tol]],"Pass","Fail")))</f>
        <v>Pass</v>
      </c>
      <c r="AE602" s="1" t="str">
        <f>IF(AND(Table1[[#This Row],[Spec Type2]]="N/A",Table1[[#This Row],[DUT Adj Read]]="N/A",Table1[[#This Row],[Std Adj Read]]="N/A"),"N/A",IF(Table1[[#This Row],[DUT Adj Read]]="N/A",IF(Table1[[#This Row],[Std Adj Read]]&lt;Table1[[#This Row],[High Tol]],"Pass","Fail"),IF(Table1[[#This Row],[DUT Adj Read]]&lt;Table1[[#This Row],[High Tol]],"Pass","Fail")))</f>
        <v>Fail</v>
      </c>
      <c r="AF602" s="1" t="str">
        <f>IF(AND(Table1[[#This Row],[Spec Type2]]="N/A",Table1[[#This Row],[DUT Adj Read]]="N/A",Table1[[#This Row],[Std Adj Read]]="N/A"),"N/A",IF(Table1[[#This Row],[DUT Adj Read]]="N/A",IF(Table1[[#This Row],[Std Adj Read]]&gt;=Table1[[#This Row],[Low Tol]],"Pass","Fail"),IF(Table1[[#This Row],[DUT Adj Read]]&gt;=Table1[[#This Row],[Low Tol]],"Pass","Fail")))</f>
        <v>Pass</v>
      </c>
      <c r="AG602" s="1" t="str">
        <f>IF(AND(Table1[[#This Row],[Spec Type2]]="N/A",Table1[[#This Row],[DUT Adj Read]]="N/A",Table1[[#This Row],[Std Adj Read]]="N/A"),"N/A",IF(Table1[[#This Row],[DUT Adj Read]]="N/A",IF(Table1[[#This Row],[Std Adj Read]]&lt;=Table1[[#This Row],[High Tol]],"Pass","Fail"),IF(Table1[[#This Row],[DUT Adj Read]]&lt;=Table1[[#This Row],[High Tol]],"Pass","Fail")))</f>
        <v>Fail</v>
      </c>
      <c r="AH6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2" s="1" t="b">
        <v>0</v>
      </c>
      <c r="AN602" s="1" t="b">
        <v>0</v>
      </c>
      <c r="AO602" s="1" t="b">
        <v>0</v>
      </c>
    </row>
    <row r="603" spans="1:41" x14ac:dyDescent="0.25">
      <c r="A603" s="10"/>
      <c r="B603" s="10"/>
      <c r="C603" s="10"/>
      <c r="D603" s="10"/>
      <c r="E603" s="10"/>
      <c r="F603" s="10"/>
      <c r="G603" s="10"/>
      <c r="H603" s="10"/>
      <c r="I603" s="1" t="str">
        <f t="shared" si="27"/>
        <v/>
      </c>
      <c r="J603" s="1" t="s">
        <v>35</v>
      </c>
      <c r="K603" s="1" t="str">
        <f t="shared" si="28"/>
        <v/>
      </c>
      <c r="L603" s="1" t="str">
        <f t="shared" si="29"/>
        <v/>
      </c>
      <c r="M603" s="1">
        <f>IF(OR(Table1[[#This Row],[Std Nom]]="",Table1[[#This Row],[Std Read]]=""),0,Table1[[#This Row],[Std Nom]]-Table1[[#This Row],[Std Read]])</f>
        <v>0</v>
      </c>
      <c r="N603" s="1">
        <f>IF(Calculations!$F$5="ACCREDITED 17025 WITH UNCERTAINTIES",$N$10,0)</f>
        <v>0</v>
      </c>
      <c r="Q603" s="1">
        <f>Table1[[#This Row],[High Tol]]-Table1[[#This Row],[Low Tol]]</f>
        <v>0</v>
      </c>
      <c r="R603" s="1">
        <f>2*Table1[[#This Row],[Std Error]]</f>
        <v>0</v>
      </c>
      <c r="S603" s="1" t="str">
        <f>IF(Table1[[#This Row],[High Tol]]="","N/A",IFERROR(ABS(Table1[[#This Row],[Tol Span]]/Table1[[#This Row],[Error Span]]),"N/A"))</f>
        <v>N/A</v>
      </c>
      <c r="T603" s="1" t="str">
        <f>IF(OR(Table1[[#This Row],[Low Tol]]="",Table1[[#This Row],[High Tol]]=""),"Needs Analysis",IF(Table1[[#This Row],[Ratio]]&gt;=4,"Not Significant",IF(Table1[[#This Row],[Ratio]]&gt;=2,"Semi-Significant","Significant")))</f>
        <v>Needs Analysis</v>
      </c>
      <c r="W603" s="1">
        <f>IF(Table1[[#This Row],[Cal Type]]&lt;&gt;"ACCREDITED 17025 WITH UNCERTAINTIES",0,"")</f>
        <v>0</v>
      </c>
      <c r="X603" s="1" t="str">
        <f>IF(Table1[[#This Row],[DUT Read]]="","N/A",Table1[[#This Row],[Std Error]]+Table1[[#This Row],[DUT Read]]+Table1[[#This Row],[DUT Ucty]])</f>
        <v>N/A</v>
      </c>
      <c r="Y603" s="1" t="str">
        <f>IF(Table1[[#This Row],[Std Read]]="","N/A",Table1[[#This Row],[Std Read]]+Table1[[#This Row],[Std Ucty]])</f>
        <v>N/A</v>
      </c>
      <c r="Z6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3" s="1" t="str">
        <f>IF(Table1[[#This Row],[Spec Type]]="","N/A",Table1[[#This Row],[Spec Type]])</f>
        <v>±</v>
      </c>
      <c r="AC603" s="1" t="str">
        <f>IF(Table1[[#This Row],[Spec Type2]]="N/A","N/A",IF(AND(Table1[[#This Row],[DUT Adj Read]]&gt;=Table1[[#This Row],[Low Tol]],Table1[[#This Row],[DUT Adj Read]]&lt;=Table1[[#This Row],[High Tol]]),"Pass","Fail"))</f>
        <v>Fail</v>
      </c>
      <c r="AD603" s="1" t="str">
        <f>IF(AND(Table1[[#This Row],[Spec Type2]]="N/A",Table1[[#This Row],[DUT Adj Read]]="N/A",Table1[[#This Row],[Std Adj Read]]="N/A"),"N/A",IF(Table1[[#This Row],[DUT Adj Read]]="N/A",IF(Table1[[#This Row],[Std Adj Read]]&gt;Table1[[#This Row],[Low Tol]],"Pass","Fail"),IF(Table1[[#This Row],[DUT Adj Read]]&gt;Table1[[#This Row],[Low Tol]],"Pass","Fail")))</f>
        <v>Pass</v>
      </c>
      <c r="AE603" s="1" t="str">
        <f>IF(AND(Table1[[#This Row],[Spec Type2]]="N/A",Table1[[#This Row],[DUT Adj Read]]="N/A",Table1[[#This Row],[Std Adj Read]]="N/A"),"N/A",IF(Table1[[#This Row],[DUT Adj Read]]="N/A",IF(Table1[[#This Row],[Std Adj Read]]&lt;Table1[[#This Row],[High Tol]],"Pass","Fail"),IF(Table1[[#This Row],[DUT Adj Read]]&lt;Table1[[#This Row],[High Tol]],"Pass","Fail")))</f>
        <v>Fail</v>
      </c>
      <c r="AF603" s="1" t="str">
        <f>IF(AND(Table1[[#This Row],[Spec Type2]]="N/A",Table1[[#This Row],[DUT Adj Read]]="N/A",Table1[[#This Row],[Std Adj Read]]="N/A"),"N/A",IF(Table1[[#This Row],[DUT Adj Read]]="N/A",IF(Table1[[#This Row],[Std Adj Read]]&gt;=Table1[[#This Row],[Low Tol]],"Pass","Fail"),IF(Table1[[#This Row],[DUT Adj Read]]&gt;=Table1[[#This Row],[Low Tol]],"Pass","Fail")))</f>
        <v>Pass</v>
      </c>
      <c r="AG603" s="1" t="str">
        <f>IF(AND(Table1[[#This Row],[Spec Type2]]="N/A",Table1[[#This Row],[DUT Adj Read]]="N/A",Table1[[#This Row],[Std Adj Read]]="N/A"),"N/A",IF(Table1[[#This Row],[DUT Adj Read]]="N/A",IF(Table1[[#This Row],[Std Adj Read]]&lt;=Table1[[#This Row],[High Tol]],"Pass","Fail"),IF(Table1[[#This Row],[DUT Adj Read]]&lt;=Table1[[#This Row],[High Tol]],"Pass","Fail")))</f>
        <v>Fail</v>
      </c>
      <c r="AH6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3" s="1" t="b">
        <v>0</v>
      </c>
      <c r="AN603" s="1" t="b">
        <v>0</v>
      </c>
      <c r="AO603" s="1" t="b">
        <v>0</v>
      </c>
    </row>
    <row r="604" spans="1:41" x14ac:dyDescent="0.25">
      <c r="A604" s="10"/>
      <c r="B604" s="10"/>
      <c r="C604" s="10"/>
      <c r="D604" s="10"/>
      <c r="E604" s="10"/>
      <c r="F604" s="10"/>
      <c r="G604" s="10"/>
      <c r="H604" s="10"/>
      <c r="I604" s="1" t="str">
        <f t="shared" si="27"/>
        <v/>
      </c>
      <c r="J604" s="1" t="s">
        <v>35</v>
      </c>
      <c r="K604" s="1" t="str">
        <f t="shared" si="28"/>
        <v/>
      </c>
      <c r="L604" s="1" t="str">
        <f t="shared" si="29"/>
        <v/>
      </c>
      <c r="M604" s="1">
        <f>IF(OR(Table1[[#This Row],[Std Nom]]="",Table1[[#This Row],[Std Read]]=""),0,Table1[[#This Row],[Std Nom]]-Table1[[#This Row],[Std Read]])</f>
        <v>0</v>
      </c>
      <c r="N604" s="1">
        <f>IF(Calculations!$F$5="ACCREDITED 17025 WITH UNCERTAINTIES",$N$10,0)</f>
        <v>0</v>
      </c>
      <c r="Q604" s="1">
        <f>Table1[[#This Row],[High Tol]]-Table1[[#This Row],[Low Tol]]</f>
        <v>0</v>
      </c>
      <c r="R604" s="1">
        <f>2*Table1[[#This Row],[Std Error]]</f>
        <v>0</v>
      </c>
      <c r="S604" s="1" t="str">
        <f>IF(Table1[[#This Row],[High Tol]]="","N/A",IFERROR(ABS(Table1[[#This Row],[Tol Span]]/Table1[[#This Row],[Error Span]]),"N/A"))</f>
        <v>N/A</v>
      </c>
      <c r="T604" s="1" t="str">
        <f>IF(OR(Table1[[#This Row],[Low Tol]]="",Table1[[#This Row],[High Tol]]=""),"Needs Analysis",IF(Table1[[#This Row],[Ratio]]&gt;=4,"Not Significant",IF(Table1[[#This Row],[Ratio]]&gt;=2,"Semi-Significant","Significant")))</f>
        <v>Needs Analysis</v>
      </c>
      <c r="W604" s="1">
        <f>IF(Table1[[#This Row],[Cal Type]]&lt;&gt;"ACCREDITED 17025 WITH UNCERTAINTIES",0,"")</f>
        <v>0</v>
      </c>
      <c r="X604" s="1" t="str">
        <f>IF(Table1[[#This Row],[DUT Read]]="","N/A",Table1[[#This Row],[Std Error]]+Table1[[#This Row],[DUT Read]]+Table1[[#This Row],[DUT Ucty]])</f>
        <v>N/A</v>
      </c>
      <c r="Y604" s="1" t="str">
        <f>IF(Table1[[#This Row],[Std Read]]="","N/A",Table1[[#This Row],[Std Read]]+Table1[[#This Row],[Std Ucty]])</f>
        <v>N/A</v>
      </c>
      <c r="Z6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4" s="1" t="str">
        <f>IF(Table1[[#This Row],[Spec Type]]="","N/A",Table1[[#This Row],[Spec Type]])</f>
        <v>±</v>
      </c>
      <c r="AC604" s="1" t="str">
        <f>IF(Table1[[#This Row],[Spec Type2]]="N/A","N/A",IF(AND(Table1[[#This Row],[DUT Adj Read]]&gt;=Table1[[#This Row],[Low Tol]],Table1[[#This Row],[DUT Adj Read]]&lt;=Table1[[#This Row],[High Tol]]),"Pass","Fail"))</f>
        <v>Fail</v>
      </c>
      <c r="AD604" s="1" t="str">
        <f>IF(AND(Table1[[#This Row],[Spec Type2]]="N/A",Table1[[#This Row],[DUT Adj Read]]="N/A",Table1[[#This Row],[Std Adj Read]]="N/A"),"N/A",IF(Table1[[#This Row],[DUT Adj Read]]="N/A",IF(Table1[[#This Row],[Std Adj Read]]&gt;Table1[[#This Row],[Low Tol]],"Pass","Fail"),IF(Table1[[#This Row],[DUT Adj Read]]&gt;Table1[[#This Row],[Low Tol]],"Pass","Fail")))</f>
        <v>Pass</v>
      </c>
      <c r="AE604" s="1" t="str">
        <f>IF(AND(Table1[[#This Row],[Spec Type2]]="N/A",Table1[[#This Row],[DUT Adj Read]]="N/A",Table1[[#This Row],[Std Adj Read]]="N/A"),"N/A",IF(Table1[[#This Row],[DUT Adj Read]]="N/A",IF(Table1[[#This Row],[Std Adj Read]]&lt;Table1[[#This Row],[High Tol]],"Pass","Fail"),IF(Table1[[#This Row],[DUT Adj Read]]&lt;Table1[[#This Row],[High Tol]],"Pass","Fail")))</f>
        <v>Fail</v>
      </c>
      <c r="AF604" s="1" t="str">
        <f>IF(AND(Table1[[#This Row],[Spec Type2]]="N/A",Table1[[#This Row],[DUT Adj Read]]="N/A",Table1[[#This Row],[Std Adj Read]]="N/A"),"N/A",IF(Table1[[#This Row],[DUT Adj Read]]="N/A",IF(Table1[[#This Row],[Std Adj Read]]&gt;=Table1[[#This Row],[Low Tol]],"Pass","Fail"),IF(Table1[[#This Row],[DUT Adj Read]]&gt;=Table1[[#This Row],[Low Tol]],"Pass","Fail")))</f>
        <v>Pass</v>
      </c>
      <c r="AG604" s="1" t="str">
        <f>IF(AND(Table1[[#This Row],[Spec Type2]]="N/A",Table1[[#This Row],[DUT Adj Read]]="N/A",Table1[[#This Row],[Std Adj Read]]="N/A"),"N/A",IF(Table1[[#This Row],[DUT Adj Read]]="N/A",IF(Table1[[#This Row],[Std Adj Read]]&lt;=Table1[[#This Row],[High Tol]],"Pass","Fail"),IF(Table1[[#This Row],[DUT Adj Read]]&lt;=Table1[[#This Row],[High Tol]],"Pass","Fail")))</f>
        <v>Fail</v>
      </c>
      <c r="AH6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4" s="1" t="b">
        <v>0</v>
      </c>
      <c r="AN604" s="1" t="b">
        <v>0</v>
      </c>
      <c r="AO604" s="1" t="b">
        <v>0</v>
      </c>
    </row>
    <row r="605" spans="1:41" x14ac:dyDescent="0.25">
      <c r="A605" s="10"/>
      <c r="B605" s="10"/>
      <c r="C605" s="10"/>
      <c r="D605" s="10"/>
      <c r="E605" s="10"/>
      <c r="F605" s="10"/>
      <c r="G605" s="10"/>
      <c r="H605" s="10"/>
      <c r="I605" s="1" t="str">
        <f t="shared" si="27"/>
        <v/>
      </c>
      <c r="J605" s="1" t="s">
        <v>35</v>
      </c>
      <c r="K605" s="1" t="str">
        <f t="shared" si="28"/>
        <v/>
      </c>
      <c r="L605" s="1" t="str">
        <f t="shared" si="29"/>
        <v/>
      </c>
      <c r="M605" s="1">
        <f>IF(OR(Table1[[#This Row],[Std Nom]]="",Table1[[#This Row],[Std Read]]=""),0,Table1[[#This Row],[Std Nom]]-Table1[[#This Row],[Std Read]])</f>
        <v>0</v>
      </c>
      <c r="N605" s="1">
        <f>IF(Calculations!$F$5="ACCREDITED 17025 WITH UNCERTAINTIES",$N$10,0)</f>
        <v>0</v>
      </c>
      <c r="Q605" s="1">
        <f>Table1[[#This Row],[High Tol]]-Table1[[#This Row],[Low Tol]]</f>
        <v>0</v>
      </c>
      <c r="R605" s="1">
        <f>2*Table1[[#This Row],[Std Error]]</f>
        <v>0</v>
      </c>
      <c r="S605" s="1" t="str">
        <f>IF(Table1[[#This Row],[High Tol]]="","N/A",IFERROR(ABS(Table1[[#This Row],[Tol Span]]/Table1[[#This Row],[Error Span]]),"N/A"))</f>
        <v>N/A</v>
      </c>
      <c r="T605" s="1" t="str">
        <f>IF(OR(Table1[[#This Row],[Low Tol]]="",Table1[[#This Row],[High Tol]]=""),"Needs Analysis",IF(Table1[[#This Row],[Ratio]]&gt;=4,"Not Significant",IF(Table1[[#This Row],[Ratio]]&gt;=2,"Semi-Significant","Significant")))</f>
        <v>Needs Analysis</v>
      </c>
      <c r="W605" s="1">
        <f>IF(Table1[[#This Row],[Cal Type]]&lt;&gt;"ACCREDITED 17025 WITH UNCERTAINTIES",0,"")</f>
        <v>0</v>
      </c>
      <c r="X605" s="1" t="str">
        <f>IF(Table1[[#This Row],[DUT Read]]="","N/A",Table1[[#This Row],[Std Error]]+Table1[[#This Row],[DUT Read]]+Table1[[#This Row],[DUT Ucty]])</f>
        <v>N/A</v>
      </c>
      <c r="Y605" s="1" t="str">
        <f>IF(Table1[[#This Row],[Std Read]]="","N/A",Table1[[#This Row],[Std Read]]+Table1[[#This Row],[Std Ucty]])</f>
        <v>N/A</v>
      </c>
      <c r="Z6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5" s="1" t="str">
        <f>IF(Table1[[#This Row],[Spec Type]]="","N/A",Table1[[#This Row],[Spec Type]])</f>
        <v>±</v>
      </c>
      <c r="AC605" s="1" t="str">
        <f>IF(Table1[[#This Row],[Spec Type2]]="N/A","N/A",IF(AND(Table1[[#This Row],[DUT Adj Read]]&gt;=Table1[[#This Row],[Low Tol]],Table1[[#This Row],[DUT Adj Read]]&lt;=Table1[[#This Row],[High Tol]]),"Pass","Fail"))</f>
        <v>Fail</v>
      </c>
      <c r="AD605" s="1" t="str">
        <f>IF(AND(Table1[[#This Row],[Spec Type2]]="N/A",Table1[[#This Row],[DUT Adj Read]]="N/A",Table1[[#This Row],[Std Adj Read]]="N/A"),"N/A",IF(Table1[[#This Row],[DUT Adj Read]]="N/A",IF(Table1[[#This Row],[Std Adj Read]]&gt;Table1[[#This Row],[Low Tol]],"Pass","Fail"),IF(Table1[[#This Row],[DUT Adj Read]]&gt;Table1[[#This Row],[Low Tol]],"Pass","Fail")))</f>
        <v>Pass</v>
      </c>
      <c r="AE605" s="1" t="str">
        <f>IF(AND(Table1[[#This Row],[Spec Type2]]="N/A",Table1[[#This Row],[DUT Adj Read]]="N/A",Table1[[#This Row],[Std Adj Read]]="N/A"),"N/A",IF(Table1[[#This Row],[DUT Adj Read]]="N/A",IF(Table1[[#This Row],[Std Adj Read]]&lt;Table1[[#This Row],[High Tol]],"Pass","Fail"),IF(Table1[[#This Row],[DUT Adj Read]]&lt;Table1[[#This Row],[High Tol]],"Pass","Fail")))</f>
        <v>Fail</v>
      </c>
      <c r="AF605" s="1" t="str">
        <f>IF(AND(Table1[[#This Row],[Spec Type2]]="N/A",Table1[[#This Row],[DUT Adj Read]]="N/A",Table1[[#This Row],[Std Adj Read]]="N/A"),"N/A",IF(Table1[[#This Row],[DUT Adj Read]]="N/A",IF(Table1[[#This Row],[Std Adj Read]]&gt;=Table1[[#This Row],[Low Tol]],"Pass","Fail"),IF(Table1[[#This Row],[DUT Adj Read]]&gt;=Table1[[#This Row],[Low Tol]],"Pass","Fail")))</f>
        <v>Pass</v>
      </c>
      <c r="AG605" s="1" t="str">
        <f>IF(AND(Table1[[#This Row],[Spec Type2]]="N/A",Table1[[#This Row],[DUT Adj Read]]="N/A",Table1[[#This Row],[Std Adj Read]]="N/A"),"N/A",IF(Table1[[#This Row],[DUT Adj Read]]="N/A",IF(Table1[[#This Row],[Std Adj Read]]&lt;=Table1[[#This Row],[High Tol]],"Pass","Fail"),IF(Table1[[#This Row],[DUT Adj Read]]&lt;=Table1[[#This Row],[High Tol]],"Pass","Fail")))</f>
        <v>Fail</v>
      </c>
      <c r="AH6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5" s="1" t="b">
        <v>0</v>
      </c>
      <c r="AN605" s="1" t="b">
        <v>0</v>
      </c>
      <c r="AO605" s="1" t="b">
        <v>0</v>
      </c>
    </row>
    <row r="606" spans="1:41" x14ac:dyDescent="0.25">
      <c r="A606" s="10"/>
      <c r="B606" s="10"/>
      <c r="C606" s="10"/>
      <c r="D606" s="10"/>
      <c r="E606" s="10"/>
      <c r="F606" s="10"/>
      <c r="G606" s="10"/>
      <c r="H606" s="10"/>
      <c r="I606" s="1" t="str">
        <f t="shared" si="27"/>
        <v/>
      </c>
      <c r="J606" s="1" t="s">
        <v>35</v>
      </c>
      <c r="K606" s="1" t="str">
        <f t="shared" si="28"/>
        <v/>
      </c>
      <c r="L606" s="1" t="str">
        <f t="shared" si="29"/>
        <v/>
      </c>
      <c r="M606" s="1">
        <f>IF(OR(Table1[[#This Row],[Std Nom]]="",Table1[[#This Row],[Std Read]]=""),0,Table1[[#This Row],[Std Nom]]-Table1[[#This Row],[Std Read]])</f>
        <v>0</v>
      </c>
      <c r="N606" s="1">
        <f>IF(Calculations!$F$5="ACCREDITED 17025 WITH UNCERTAINTIES",$N$10,0)</f>
        <v>0</v>
      </c>
      <c r="Q606" s="1">
        <f>Table1[[#This Row],[High Tol]]-Table1[[#This Row],[Low Tol]]</f>
        <v>0</v>
      </c>
      <c r="R606" s="1">
        <f>2*Table1[[#This Row],[Std Error]]</f>
        <v>0</v>
      </c>
      <c r="S606" s="1" t="str">
        <f>IF(Table1[[#This Row],[High Tol]]="","N/A",IFERROR(ABS(Table1[[#This Row],[Tol Span]]/Table1[[#This Row],[Error Span]]),"N/A"))</f>
        <v>N/A</v>
      </c>
      <c r="T606" s="1" t="str">
        <f>IF(OR(Table1[[#This Row],[Low Tol]]="",Table1[[#This Row],[High Tol]]=""),"Needs Analysis",IF(Table1[[#This Row],[Ratio]]&gt;=4,"Not Significant",IF(Table1[[#This Row],[Ratio]]&gt;=2,"Semi-Significant","Significant")))</f>
        <v>Needs Analysis</v>
      </c>
      <c r="W606" s="1">
        <f>IF(Table1[[#This Row],[Cal Type]]&lt;&gt;"ACCREDITED 17025 WITH UNCERTAINTIES",0,"")</f>
        <v>0</v>
      </c>
      <c r="X606" s="1" t="str">
        <f>IF(Table1[[#This Row],[DUT Read]]="","N/A",Table1[[#This Row],[Std Error]]+Table1[[#This Row],[DUT Read]]+Table1[[#This Row],[DUT Ucty]])</f>
        <v>N/A</v>
      </c>
      <c r="Y606" s="1" t="str">
        <f>IF(Table1[[#This Row],[Std Read]]="","N/A",Table1[[#This Row],[Std Read]]+Table1[[#This Row],[Std Ucty]])</f>
        <v>N/A</v>
      </c>
      <c r="Z6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6" s="1" t="str">
        <f>IF(Table1[[#This Row],[Spec Type]]="","N/A",Table1[[#This Row],[Spec Type]])</f>
        <v>±</v>
      </c>
      <c r="AC606" s="1" t="str">
        <f>IF(Table1[[#This Row],[Spec Type2]]="N/A","N/A",IF(AND(Table1[[#This Row],[DUT Adj Read]]&gt;=Table1[[#This Row],[Low Tol]],Table1[[#This Row],[DUT Adj Read]]&lt;=Table1[[#This Row],[High Tol]]),"Pass","Fail"))</f>
        <v>Fail</v>
      </c>
      <c r="AD606" s="1" t="str">
        <f>IF(AND(Table1[[#This Row],[Spec Type2]]="N/A",Table1[[#This Row],[DUT Adj Read]]="N/A",Table1[[#This Row],[Std Adj Read]]="N/A"),"N/A",IF(Table1[[#This Row],[DUT Adj Read]]="N/A",IF(Table1[[#This Row],[Std Adj Read]]&gt;Table1[[#This Row],[Low Tol]],"Pass","Fail"),IF(Table1[[#This Row],[DUT Adj Read]]&gt;Table1[[#This Row],[Low Tol]],"Pass","Fail")))</f>
        <v>Pass</v>
      </c>
      <c r="AE606" s="1" t="str">
        <f>IF(AND(Table1[[#This Row],[Spec Type2]]="N/A",Table1[[#This Row],[DUT Adj Read]]="N/A",Table1[[#This Row],[Std Adj Read]]="N/A"),"N/A",IF(Table1[[#This Row],[DUT Adj Read]]="N/A",IF(Table1[[#This Row],[Std Adj Read]]&lt;Table1[[#This Row],[High Tol]],"Pass","Fail"),IF(Table1[[#This Row],[DUT Adj Read]]&lt;Table1[[#This Row],[High Tol]],"Pass","Fail")))</f>
        <v>Fail</v>
      </c>
      <c r="AF606" s="1" t="str">
        <f>IF(AND(Table1[[#This Row],[Spec Type2]]="N/A",Table1[[#This Row],[DUT Adj Read]]="N/A",Table1[[#This Row],[Std Adj Read]]="N/A"),"N/A",IF(Table1[[#This Row],[DUT Adj Read]]="N/A",IF(Table1[[#This Row],[Std Adj Read]]&gt;=Table1[[#This Row],[Low Tol]],"Pass","Fail"),IF(Table1[[#This Row],[DUT Adj Read]]&gt;=Table1[[#This Row],[Low Tol]],"Pass","Fail")))</f>
        <v>Pass</v>
      </c>
      <c r="AG606" s="1" t="str">
        <f>IF(AND(Table1[[#This Row],[Spec Type2]]="N/A",Table1[[#This Row],[DUT Adj Read]]="N/A",Table1[[#This Row],[Std Adj Read]]="N/A"),"N/A",IF(Table1[[#This Row],[DUT Adj Read]]="N/A",IF(Table1[[#This Row],[Std Adj Read]]&lt;=Table1[[#This Row],[High Tol]],"Pass","Fail"),IF(Table1[[#This Row],[DUT Adj Read]]&lt;=Table1[[#This Row],[High Tol]],"Pass","Fail")))</f>
        <v>Fail</v>
      </c>
      <c r="AH6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6" s="1" t="b">
        <v>0</v>
      </c>
      <c r="AN606" s="1" t="b">
        <v>0</v>
      </c>
      <c r="AO606" s="1" t="b">
        <v>0</v>
      </c>
    </row>
    <row r="607" spans="1:41" x14ac:dyDescent="0.25">
      <c r="A607" s="10"/>
      <c r="B607" s="10"/>
      <c r="C607" s="10"/>
      <c r="D607" s="10"/>
      <c r="E607" s="10"/>
      <c r="F607" s="10"/>
      <c r="G607" s="10"/>
      <c r="H607" s="10"/>
      <c r="I607" s="1" t="str">
        <f t="shared" si="27"/>
        <v/>
      </c>
      <c r="J607" s="1" t="s">
        <v>35</v>
      </c>
      <c r="K607" s="1" t="str">
        <f t="shared" si="28"/>
        <v/>
      </c>
      <c r="L607" s="1" t="str">
        <f t="shared" si="29"/>
        <v/>
      </c>
      <c r="M607" s="1">
        <f>IF(OR(Table1[[#This Row],[Std Nom]]="",Table1[[#This Row],[Std Read]]=""),0,Table1[[#This Row],[Std Nom]]-Table1[[#This Row],[Std Read]])</f>
        <v>0</v>
      </c>
      <c r="N607" s="1">
        <f>IF(Calculations!$F$5="ACCREDITED 17025 WITH UNCERTAINTIES",$N$10,0)</f>
        <v>0</v>
      </c>
      <c r="Q607" s="1">
        <f>Table1[[#This Row],[High Tol]]-Table1[[#This Row],[Low Tol]]</f>
        <v>0</v>
      </c>
      <c r="R607" s="1">
        <f>2*Table1[[#This Row],[Std Error]]</f>
        <v>0</v>
      </c>
      <c r="S607" s="1" t="str">
        <f>IF(Table1[[#This Row],[High Tol]]="","N/A",IFERROR(ABS(Table1[[#This Row],[Tol Span]]/Table1[[#This Row],[Error Span]]),"N/A"))</f>
        <v>N/A</v>
      </c>
      <c r="T607" s="1" t="str">
        <f>IF(OR(Table1[[#This Row],[Low Tol]]="",Table1[[#This Row],[High Tol]]=""),"Needs Analysis",IF(Table1[[#This Row],[Ratio]]&gt;=4,"Not Significant",IF(Table1[[#This Row],[Ratio]]&gt;=2,"Semi-Significant","Significant")))</f>
        <v>Needs Analysis</v>
      </c>
      <c r="W607" s="1">
        <f>IF(Table1[[#This Row],[Cal Type]]&lt;&gt;"ACCREDITED 17025 WITH UNCERTAINTIES",0,"")</f>
        <v>0</v>
      </c>
      <c r="X607" s="1" t="str">
        <f>IF(Table1[[#This Row],[DUT Read]]="","N/A",Table1[[#This Row],[Std Error]]+Table1[[#This Row],[DUT Read]]+Table1[[#This Row],[DUT Ucty]])</f>
        <v>N/A</v>
      </c>
      <c r="Y607" s="1" t="str">
        <f>IF(Table1[[#This Row],[Std Read]]="","N/A",Table1[[#This Row],[Std Read]]+Table1[[#This Row],[Std Ucty]])</f>
        <v>N/A</v>
      </c>
      <c r="Z6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7" s="1" t="str">
        <f>IF(Table1[[#This Row],[Spec Type]]="","N/A",Table1[[#This Row],[Spec Type]])</f>
        <v>±</v>
      </c>
      <c r="AC607" s="1" t="str">
        <f>IF(Table1[[#This Row],[Spec Type2]]="N/A","N/A",IF(AND(Table1[[#This Row],[DUT Adj Read]]&gt;=Table1[[#This Row],[Low Tol]],Table1[[#This Row],[DUT Adj Read]]&lt;=Table1[[#This Row],[High Tol]]),"Pass","Fail"))</f>
        <v>Fail</v>
      </c>
      <c r="AD607" s="1" t="str">
        <f>IF(AND(Table1[[#This Row],[Spec Type2]]="N/A",Table1[[#This Row],[DUT Adj Read]]="N/A",Table1[[#This Row],[Std Adj Read]]="N/A"),"N/A",IF(Table1[[#This Row],[DUT Adj Read]]="N/A",IF(Table1[[#This Row],[Std Adj Read]]&gt;Table1[[#This Row],[Low Tol]],"Pass","Fail"),IF(Table1[[#This Row],[DUT Adj Read]]&gt;Table1[[#This Row],[Low Tol]],"Pass","Fail")))</f>
        <v>Pass</v>
      </c>
      <c r="AE607" s="1" t="str">
        <f>IF(AND(Table1[[#This Row],[Spec Type2]]="N/A",Table1[[#This Row],[DUT Adj Read]]="N/A",Table1[[#This Row],[Std Adj Read]]="N/A"),"N/A",IF(Table1[[#This Row],[DUT Adj Read]]="N/A",IF(Table1[[#This Row],[Std Adj Read]]&lt;Table1[[#This Row],[High Tol]],"Pass","Fail"),IF(Table1[[#This Row],[DUT Adj Read]]&lt;Table1[[#This Row],[High Tol]],"Pass","Fail")))</f>
        <v>Fail</v>
      </c>
      <c r="AF607" s="1" t="str">
        <f>IF(AND(Table1[[#This Row],[Spec Type2]]="N/A",Table1[[#This Row],[DUT Adj Read]]="N/A",Table1[[#This Row],[Std Adj Read]]="N/A"),"N/A",IF(Table1[[#This Row],[DUT Adj Read]]="N/A",IF(Table1[[#This Row],[Std Adj Read]]&gt;=Table1[[#This Row],[Low Tol]],"Pass","Fail"),IF(Table1[[#This Row],[DUT Adj Read]]&gt;=Table1[[#This Row],[Low Tol]],"Pass","Fail")))</f>
        <v>Pass</v>
      </c>
      <c r="AG607" s="1" t="str">
        <f>IF(AND(Table1[[#This Row],[Spec Type2]]="N/A",Table1[[#This Row],[DUT Adj Read]]="N/A",Table1[[#This Row],[Std Adj Read]]="N/A"),"N/A",IF(Table1[[#This Row],[DUT Adj Read]]="N/A",IF(Table1[[#This Row],[Std Adj Read]]&lt;=Table1[[#This Row],[High Tol]],"Pass","Fail"),IF(Table1[[#This Row],[DUT Adj Read]]&lt;=Table1[[#This Row],[High Tol]],"Pass","Fail")))</f>
        <v>Fail</v>
      </c>
      <c r="AH6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7" s="1" t="b">
        <v>0</v>
      </c>
      <c r="AN607" s="1" t="b">
        <v>0</v>
      </c>
      <c r="AO607" s="1" t="b">
        <v>0</v>
      </c>
    </row>
    <row r="608" spans="1:41" x14ac:dyDescent="0.25">
      <c r="A608" s="10"/>
      <c r="B608" s="10"/>
      <c r="C608" s="10"/>
      <c r="D608" s="10"/>
      <c r="E608" s="10"/>
      <c r="F608" s="10"/>
      <c r="G608" s="10"/>
      <c r="H608" s="10"/>
      <c r="I608" s="1" t="str">
        <f t="shared" si="27"/>
        <v/>
      </c>
      <c r="J608" s="1" t="s">
        <v>35</v>
      </c>
      <c r="K608" s="1" t="str">
        <f t="shared" si="28"/>
        <v/>
      </c>
      <c r="L608" s="1" t="str">
        <f t="shared" si="29"/>
        <v/>
      </c>
      <c r="M608" s="1">
        <f>IF(OR(Table1[[#This Row],[Std Nom]]="",Table1[[#This Row],[Std Read]]=""),0,Table1[[#This Row],[Std Nom]]-Table1[[#This Row],[Std Read]])</f>
        <v>0</v>
      </c>
      <c r="N608" s="1">
        <f>IF(Calculations!$F$5="ACCREDITED 17025 WITH UNCERTAINTIES",$N$10,0)</f>
        <v>0</v>
      </c>
      <c r="Q608" s="1">
        <f>Table1[[#This Row],[High Tol]]-Table1[[#This Row],[Low Tol]]</f>
        <v>0</v>
      </c>
      <c r="R608" s="1">
        <f>2*Table1[[#This Row],[Std Error]]</f>
        <v>0</v>
      </c>
      <c r="S608" s="1" t="str">
        <f>IF(Table1[[#This Row],[High Tol]]="","N/A",IFERROR(ABS(Table1[[#This Row],[Tol Span]]/Table1[[#This Row],[Error Span]]),"N/A"))</f>
        <v>N/A</v>
      </c>
      <c r="T608" s="1" t="str">
        <f>IF(OR(Table1[[#This Row],[Low Tol]]="",Table1[[#This Row],[High Tol]]=""),"Needs Analysis",IF(Table1[[#This Row],[Ratio]]&gt;=4,"Not Significant",IF(Table1[[#This Row],[Ratio]]&gt;=2,"Semi-Significant","Significant")))</f>
        <v>Needs Analysis</v>
      </c>
      <c r="W608" s="1">
        <f>IF(Table1[[#This Row],[Cal Type]]&lt;&gt;"ACCREDITED 17025 WITH UNCERTAINTIES",0,"")</f>
        <v>0</v>
      </c>
      <c r="X608" s="1" t="str">
        <f>IF(Table1[[#This Row],[DUT Read]]="","N/A",Table1[[#This Row],[Std Error]]+Table1[[#This Row],[DUT Read]]+Table1[[#This Row],[DUT Ucty]])</f>
        <v>N/A</v>
      </c>
      <c r="Y608" s="1" t="str">
        <f>IF(Table1[[#This Row],[Std Read]]="","N/A",Table1[[#This Row],[Std Read]]+Table1[[#This Row],[Std Ucty]])</f>
        <v>N/A</v>
      </c>
      <c r="Z6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8" s="1" t="str">
        <f>IF(Table1[[#This Row],[Spec Type]]="","N/A",Table1[[#This Row],[Spec Type]])</f>
        <v>±</v>
      </c>
      <c r="AC608" s="1" t="str">
        <f>IF(Table1[[#This Row],[Spec Type2]]="N/A","N/A",IF(AND(Table1[[#This Row],[DUT Adj Read]]&gt;=Table1[[#This Row],[Low Tol]],Table1[[#This Row],[DUT Adj Read]]&lt;=Table1[[#This Row],[High Tol]]),"Pass","Fail"))</f>
        <v>Fail</v>
      </c>
      <c r="AD608" s="1" t="str">
        <f>IF(AND(Table1[[#This Row],[Spec Type2]]="N/A",Table1[[#This Row],[DUT Adj Read]]="N/A",Table1[[#This Row],[Std Adj Read]]="N/A"),"N/A",IF(Table1[[#This Row],[DUT Adj Read]]="N/A",IF(Table1[[#This Row],[Std Adj Read]]&gt;Table1[[#This Row],[Low Tol]],"Pass","Fail"),IF(Table1[[#This Row],[DUT Adj Read]]&gt;Table1[[#This Row],[Low Tol]],"Pass","Fail")))</f>
        <v>Pass</v>
      </c>
      <c r="AE608" s="1" t="str">
        <f>IF(AND(Table1[[#This Row],[Spec Type2]]="N/A",Table1[[#This Row],[DUT Adj Read]]="N/A",Table1[[#This Row],[Std Adj Read]]="N/A"),"N/A",IF(Table1[[#This Row],[DUT Adj Read]]="N/A",IF(Table1[[#This Row],[Std Adj Read]]&lt;Table1[[#This Row],[High Tol]],"Pass","Fail"),IF(Table1[[#This Row],[DUT Adj Read]]&lt;Table1[[#This Row],[High Tol]],"Pass","Fail")))</f>
        <v>Fail</v>
      </c>
      <c r="AF608" s="1" t="str">
        <f>IF(AND(Table1[[#This Row],[Spec Type2]]="N/A",Table1[[#This Row],[DUT Adj Read]]="N/A",Table1[[#This Row],[Std Adj Read]]="N/A"),"N/A",IF(Table1[[#This Row],[DUT Adj Read]]="N/A",IF(Table1[[#This Row],[Std Adj Read]]&gt;=Table1[[#This Row],[Low Tol]],"Pass","Fail"),IF(Table1[[#This Row],[DUT Adj Read]]&gt;=Table1[[#This Row],[Low Tol]],"Pass","Fail")))</f>
        <v>Pass</v>
      </c>
      <c r="AG608" s="1" t="str">
        <f>IF(AND(Table1[[#This Row],[Spec Type2]]="N/A",Table1[[#This Row],[DUT Adj Read]]="N/A",Table1[[#This Row],[Std Adj Read]]="N/A"),"N/A",IF(Table1[[#This Row],[DUT Adj Read]]="N/A",IF(Table1[[#This Row],[Std Adj Read]]&lt;=Table1[[#This Row],[High Tol]],"Pass","Fail"),IF(Table1[[#This Row],[DUT Adj Read]]&lt;=Table1[[#This Row],[High Tol]],"Pass","Fail")))</f>
        <v>Fail</v>
      </c>
      <c r="AH6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8" s="1" t="b">
        <v>0</v>
      </c>
      <c r="AN608" s="1" t="b">
        <v>0</v>
      </c>
      <c r="AO608" s="1" t="b">
        <v>0</v>
      </c>
    </row>
    <row r="609" spans="1:41" x14ac:dyDescent="0.25">
      <c r="A609" s="10"/>
      <c r="B609" s="10"/>
      <c r="C609" s="10"/>
      <c r="D609" s="10"/>
      <c r="E609" s="10"/>
      <c r="F609" s="10"/>
      <c r="G609" s="10"/>
      <c r="H609" s="10"/>
      <c r="I609" s="1" t="str">
        <f t="shared" si="27"/>
        <v/>
      </c>
      <c r="J609" s="1" t="s">
        <v>35</v>
      </c>
      <c r="K609" s="1" t="str">
        <f t="shared" si="28"/>
        <v/>
      </c>
      <c r="L609" s="1" t="str">
        <f t="shared" si="29"/>
        <v/>
      </c>
      <c r="M609" s="1">
        <f>IF(OR(Table1[[#This Row],[Std Nom]]="",Table1[[#This Row],[Std Read]]=""),0,Table1[[#This Row],[Std Nom]]-Table1[[#This Row],[Std Read]])</f>
        <v>0</v>
      </c>
      <c r="N609" s="1">
        <f>IF(Calculations!$F$5="ACCREDITED 17025 WITH UNCERTAINTIES",$N$10,0)</f>
        <v>0</v>
      </c>
      <c r="Q609" s="1">
        <f>Table1[[#This Row],[High Tol]]-Table1[[#This Row],[Low Tol]]</f>
        <v>0</v>
      </c>
      <c r="R609" s="1">
        <f>2*Table1[[#This Row],[Std Error]]</f>
        <v>0</v>
      </c>
      <c r="S609" s="1" t="str">
        <f>IF(Table1[[#This Row],[High Tol]]="","N/A",IFERROR(ABS(Table1[[#This Row],[Tol Span]]/Table1[[#This Row],[Error Span]]),"N/A"))</f>
        <v>N/A</v>
      </c>
      <c r="T609" s="1" t="str">
        <f>IF(OR(Table1[[#This Row],[Low Tol]]="",Table1[[#This Row],[High Tol]]=""),"Needs Analysis",IF(Table1[[#This Row],[Ratio]]&gt;=4,"Not Significant",IF(Table1[[#This Row],[Ratio]]&gt;=2,"Semi-Significant","Significant")))</f>
        <v>Needs Analysis</v>
      </c>
      <c r="W609" s="1">
        <f>IF(Table1[[#This Row],[Cal Type]]&lt;&gt;"ACCREDITED 17025 WITH UNCERTAINTIES",0,"")</f>
        <v>0</v>
      </c>
      <c r="X609" s="1" t="str">
        <f>IF(Table1[[#This Row],[DUT Read]]="","N/A",Table1[[#This Row],[Std Error]]+Table1[[#This Row],[DUT Read]]+Table1[[#This Row],[DUT Ucty]])</f>
        <v>N/A</v>
      </c>
      <c r="Y609" s="1" t="str">
        <f>IF(Table1[[#This Row],[Std Read]]="","N/A",Table1[[#This Row],[Std Read]]+Table1[[#This Row],[Std Ucty]])</f>
        <v>N/A</v>
      </c>
      <c r="Z6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09" s="1" t="str">
        <f>IF(Table1[[#This Row],[Spec Type]]="","N/A",Table1[[#This Row],[Spec Type]])</f>
        <v>±</v>
      </c>
      <c r="AC609" s="1" t="str">
        <f>IF(Table1[[#This Row],[Spec Type2]]="N/A","N/A",IF(AND(Table1[[#This Row],[DUT Adj Read]]&gt;=Table1[[#This Row],[Low Tol]],Table1[[#This Row],[DUT Adj Read]]&lt;=Table1[[#This Row],[High Tol]]),"Pass","Fail"))</f>
        <v>Fail</v>
      </c>
      <c r="AD609" s="1" t="str">
        <f>IF(AND(Table1[[#This Row],[Spec Type2]]="N/A",Table1[[#This Row],[DUT Adj Read]]="N/A",Table1[[#This Row],[Std Adj Read]]="N/A"),"N/A",IF(Table1[[#This Row],[DUT Adj Read]]="N/A",IF(Table1[[#This Row],[Std Adj Read]]&gt;Table1[[#This Row],[Low Tol]],"Pass","Fail"),IF(Table1[[#This Row],[DUT Adj Read]]&gt;Table1[[#This Row],[Low Tol]],"Pass","Fail")))</f>
        <v>Pass</v>
      </c>
      <c r="AE609" s="1" t="str">
        <f>IF(AND(Table1[[#This Row],[Spec Type2]]="N/A",Table1[[#This Row],[DUT Adj Read]]="N/A",Table1[[#This Row],[Std Adj Read]]="N/A"),"N/A",IF(Table1[[#This Row],[DUT Adj Read]]="N/A",IF(Table1[[#This Row],[Std Adj Read]]&lt;Table1[[#This Row],[High Tol]],"Pass","Fail"),IF(Table1[[#This Row],[DUT Adj Read]]&lt;Table1[[#This Row],[High Tol]],"Pass","Fail")))</f>
        <v>Fail</v>
      </c>
      <c r="AF609" s="1" t="str">
        <f>IF(AND(Table1[[#This Row],[Spec Type2]]="N/A",Table1[[#This Row],[DUT Adj Read]]="N/A",Table1[[#This Row],[Std Adj Read]]="N/A"),"N/A",IF(Table1[[#This Row],[DUT Adj Read]]="N/A",IF(Table1[[#This Row],[Std Adj Read]]&gt;=Table1[[#This Row],[Low Tol]],"Pass","Fail"),IF(Table1[[#This Row],[DUT Adj Read]]&gt;=Table1[[#This Row],[Low Tol]],"Pass","Fail")))</f>
        <v>Pass</v>
      </c>
      <c r="AG609" s="1" t="str">
        <f>IF(AND(Table1[[#This Row],[Spec Type2]]="N/A",Table1[[#This Row],[DUT Adj Read]]="N/A",Table1[[#This Row],[Std Adj Read]]="N/A"),"N/A",IF(Table1[[#This Row],[DUT Adj Read]]="N/A",IF(Table1[[#This Row],[Std Adj Read]]&lt;=Table1[[#This Row],[High Tol]],"Pass","Fail"),IF(Table1[[#This Row],[DUT Adj Read]]&lt;=Table1[[#This Row],[High Tol]],"Pass","Fail")))</f>
        <v>Fail</v>
      </c>
      <c r="AH6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09" s="1" t="b">
        <v>0</v>
      </c>
      <c r="AN609" s="1" t="b">
        <v>0</v>
      </c>
      <c r="AO609" s="1" t="b">
        <v>0</v>
      </c>
    </row>
    <row r="610" spans="1:41" x14ac:dyDescent="0.25">
      <c r="A610" s="10"/>
      <c r="B610" s="10"/>
      <c r="C610" s="10"/>
      <c r="D610" s="10"/>
      <c r="E610" s="10"/>
      <c r="F610" s="10"/>
      <c r="G610" s="10"/>
      <c r="H610" s="10"/>
      <c r="I610" s="1" t="str">
        <f t="shared" si="27"/>
        <v/>
      </c>
      <c r="J610" s="1" t="s">
        <v>35</v>
      </c>
      <c r="K610" s="1" t="str">
        <f t="shared" si="28"/>
        <v/>
      </c>
      <c r="L610" s="1" t="str">
        <f t="shared" si="29"/>
        <v/>
      </c>
      <c r="M610" s="1">
        <f>IF(OR(Table1[[#This Row],[Std Nom]]="",Table1[[#This Row],[Std Read]]=""),0,Table1[[#This Row],[Std Nom]]-Table1[[#This Row],[Std Read]])</f>
        <v>0</v>
      </c>
      <c r="N610" s="1">
        <f>IF(Calculations!$F$5="ACCREDITED 17025 WITH UNCERTAINTIES",$N$10,0)</f>
        <v>0</v>
      </c>
      <c r="Q610" s="1">
        <f>Table1[[#This Row],[High Tol]]-Table1[[#This Row],[Low Tol]]</f>
        <v>0</v>
      </c>
      <c r="R610" s="1">
        <f>2*Table1[[#This Row],[Std Error]]</f>
        <v>0</v>
      </c>
      <c r="S610" s="1" t="str">
        <f>IF(Table1[[#This Row],[High Tol]]="","N/A",IFERROR(ABS(Table1[[#This Row],[Tol Span]]/Table1[[#This Row],[Error Span]]),"N/A"))</f>
        <v>N/A</v>
      </c>
      <c r="T610" s="1" t="str">
        <f>IF(OR(Table1[[#This Row],[Low Tol]]="",Table1[[#This Row],[High Tol]]=""),"Needs Analysis",IF(Table1[[#This Row],[Ratio]]&gt;=4,"Not Significant",IF(Table1[[#This Row],[Ratio]]&gt;=2,"Semi-Significant","Significant")))</f>
        <v>Needs Analysis</v>
      </c>
      <c r="W610" s="1">
        <f>IF(Table1[[#This Row],[Cal Type]]&lt;&gt;"ACCREDITED 17025 WITH UNCERTAINTIES",0,"")</f>
        <v>0</v>
      </c>
      <c r="X610" s="1" t="str">
        <f>IF(Table1[[#This Row],[DUT Read]]="","N/A",Table1[[#This Row],[Std Error]]+Table1[[#This Row],[DUT Read]]+Table1[[#This Row],[DUT Ucty]])</f>
        <v>N/A</v>
      </c>
      <c r="Y610" s="1" t="str">
        <f>IF(Table1[[#This Row],[Std Read]]="","N/A",Table1[[#This Row],[Std Read]]+Table1[[#This Row],[Std Ucty]])</f>
        <v>N/A</v>
      </c>
      <c r="Z6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0" s="1" t="str">
        <f>IF(Table1[[#This Row],[Spec Type]]="","N/A",Table1[[#This Row],[Spec Type]])</f>
        <v>±</v>
      </c>
      <c r="AC610" s="1" t="str">
        <f>IF(Table1[[#This Row],[Spec Type2]]="N/A","N/A",IF(AND(Table1[[#This Row],[DUT Adj Read]]&gt;=Table1[[#This Row],[Low Tol]],Table1[[#This Row],[DUT Adj Read]]&lt;=Table1[[#This Row],[High Tol]]),"Pass","Fail"))</f>
        <v>Fail</v>
      </c>
      <c r="AD610" s="1" t="str">
        <f>IF(AND(Table1[[#This Row],[Spec Type2]]="N/A",Table1[[#This Row],[DUT Adj Read]]="N/A",Table1[[#This Row],[Std Adj Read]]="N/A"),"N/A",IF(Table1[[#This Row],[DUT Adj Read]]="N/A",IF(Table1[[#This Row],[Std Adj Read]]&gt;Table1[[#This Row],[Low Tol]],"Pass","Fail"),IF(Table1[[#This Row],[DUT Adj Read]]&gt;Table1[[#This Row],[Low Tol]],"Pass","Fail")))</f>
        <v>Pass</v>
      </c>
      <c r="AE610" s="1" t="str">
        <f>IF(AND(Table1[[#This Row],[Spec Type2]]="N/A",Table1[[#This Row],[DUT Adj Read]]="N/A",Table1[[#This Row],[Std Adj Read]]="N/A"),"N/A",IF(Table1[[#This Row],[DUT Adj Read]]="N/A",IF(Table1[[#This Row],[Std Adj Read]]&lt;Table1[[#This Row],[High Tol]],"Pass","Fail"),IF(Table1[[#This Row],[DUT Adj Read]]&lt;Table1[[#This Row],[High Tol]],"Pass","Fail")))</f>
        <v>Fail</v>
      </c>
      <c r="AF610" s="1" t="str">
        <f>IF(AND(Table1[[#This Row],[Spec Type2]]="N/A",Table1[[#This Row],[DUT Adj Read]]="N/A",Table1[[#This Row],[Std Adj Read]]="N/A"),"N/A",IF(Table1[[#This Row],[DUT Adj Read]]="N/A",IF(Table1[[#This Row],[Std Adj Read]]&gt;=Table1[[#This Row],[Low Tol]],"Pass","Fail"),IF(Table1[[#This Row],[DUT Adj Read]]&gt;=Table1[[#This Row],[Low Tol]],"Pass","Fail")))</f>
        <v>Pass</v>
      </c>
      <c r="AG610" s="1" t="str">
        <f>IF(AND(Table1[[#This Row],[Spec Type2]]="N/A",Table1[[#This Row],[DUT Adj Read]]="N/A",Table1[[#This Row],[Std Adj Read]]="N/A"),"N/A",IF(Table1[[#This Row],[DUT Adj Read]]="N/A",IF(Table1[[#This Row],[Std Adj Read]]&lt;=Table1[[#This Row],[High Tol]],"Pass","Fail"),IF(Table1[[#This Row],[DUT Adj Read]]&lt;=Table1[[#This Row],[High Tol]],"Pass","Fail")))</f>
        <v>Fail</v>
      </c>
      <c r="AH6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0" s="1" t="b">
        <v>0</v>
      </c>
      <c r="AN610" s="1" t="b">
        <v>0</v>
      </c>
      <c r="AO610" s="1" t="b">
        <v>0</v>
      </c>
    </row>
    <row r="611" spans="1:41" x14ac:dyDescent="0.25">
      <c r="A611" s="10"/>
      <c r="B611" s="10"/>
      <c r="C611" s="10"/>
      <c r="D611" s="10"/>
      <c r="E611" s="10"/>
      <c r="F611" s="10"/>
      <c r="G611" s="10"/>
      <c r="H611" s="10"/>
      <c r="I611" s="1" t="str">
        <f t="shared" si="27"/>
        <v/>
      </c>
      <c r="J611" s="1" t="s">
        <v>35</v>
      </c>
      <c r="K611" s="1" t="str">
        <f t="shared" si="28"/>
        <v/>
      </c>
      <c r="L611" s="1" t="str">
        <f t="shared" si="29"/>
        <v/>
      </c>
      <c r="M611" s="1">
        <f>IF(OR(Table1[[#This Row],[Std Nom]]="",Table1[[#This Row],[Std Read]]=""),0,Table1[[#This Row],[Std Nom]]-Table1[[#This Row],[Std Read]])</f>
        <v>0</v>
      </c>
      <c r="N611" s="1">
        <f>IF(Calculations!$F$5="ACCREDITED 17025 WITH UNCERTAINTIES",$N$10,0)</f>
        <v>0</v>
      </c>
      <c r="Q611" s="1">
        <f>Table1[[#This Row],[High Tol]]-Table1[[#This Row],[Low Tol]]</f>
        <v>0</v>
      </c>
      <c r="R611" s="1">
        <f>2*Table1[[#This Row],[Std Error]]</f>
        <v>0</v>
      </c>
      <c r="S611" s="1" t="str">
        <f>IF(Table1[[#This Row],[High Tol]]="","N/A",IFERROR(ABS(Table1[[#This Row],[Tol Span]]/Table1[[#This Row],[Error Span]]),"N/A"))</f>
        <v>N/A</v>
      </c>
      <c r="T611" s="1" t="str">
        <f>IF(OR(Table1[[#This Row],[Low Tol]]="",Table1[[#This Row],[High Tol]]=""),"Needs Analysis",IF(Table1[[#This Row],[Ratio]]&gt;=4,"Not Significant",IF(Table1[[#This Row],[Ratio]]&gt;=2,"Semi-Significant","Significant")))</f>
        <v>Needs Analysis</v>
      </c>
      <c r="W611" s="1">
        <f>IF(Table1[[#This Row],[Cal Type]]&lt;&gt;"ACCREDITED 17025 WITH UNCERTAINTIES",0,"")</f>
        <v>0</v>
      </c>
      <c r="X611" s="1" t="str">
        <f>IF(Table1[[#This Row],[DUT Read]]="","N/A",Table1[[#This Row],[Std Error]]+Table1[[#This Row],[DUT Read]]+Table1[[#This Row],[DUT Ucty]])</f>
        <v>N/A</v>
      </c>
      <c r="Y611" s="1" t="str">
        <f>IF(Table1[[#This Row],[Std Read]]="","N/A",Table1[[#This Row],[Std Read]]+Table1[[#This Row],[Std Ucty]])</f>
        <v>N/A</v>
      </c>
      <c r="Z6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1" s="1" t="str">
        <f>IF(Table1[[#This Row],[Spec Type]]="","N/A",Table1[[#This Row],[Spec Type]])</f>
        <v>±</v>
      </c>
      <c r="AC611" s="1" t="str">
        <f>IF(Table1[[#This Row],[Spec Type2]]="N/A","N/A",IF(AND(Table1[[#This Row],[DUT Adj Read]]&gt;=Table1[[#This Row],[Low Tol]],Table1[[#This Row],[DUT Adj Read]]&lt;=Table1[[#This Row],[High Tol]]),"Pass","Fail"))</f>
        <v>Fail</v>
      </c>
      <c r="AD611" s="1" t="str">
        <f>IF(AND(Table1[[#This Row],[Spec Type2]]="N/A",Table1[[#This Row],[DUT Adj Read]]="N/A",Table1[[#This Row],[Std Adj Read]]="N/A"),"N/A",IF(Table1[[#This Row],[DUT Adj Read]]="N/A",IF(Table1[[#This Row],[Std Adj Read]]&gt;Table1[[#This Row],[Low Tol]],"Pass","Fail"),IF(Table1[[#This Row],[DUT Adj Read]]&gt;Table1[[#This Row],[Low Tol]],"Pass","Fail")))</f>
        <v>Pass</v>
      </c>
      <c r="AE611" s="1" t="str">
        <f>IF(AND(Table1[[#This Row],[Spec Type2]]="N/A",Table1[[#This Row],[DUT Adj Read]]="N/A",Table1[[#This Row],[Std Adj Read]]="N/A"),"N/A",IF(Table1[[#This Row],[DUT Adj Read]]="N/A",IF(Table1[[#This Row],[Std Adj Read]]&lt;Table1[[#This Row],[High Tol]],"Pass","Fail"),IF(Table1[[#This Row],[DUT Adj Read]]&lt;Table1[[#This Row],[High Tol]],"Pass","Fail")))</f>
        <v>Fail</v>
      </c>
      <c r="AF611" s="1" t="str">
        <f>IF(AND(Table1[[#This Row],[Spec Type2]]="N/A",Table1[[#This Row],[DUT Adj Read]]="N/A",Table1[[#This Row],[Std Adj Read]]="N/A"),"N/A",IF(Table1[[#This Row],[DUT Adj Read]]="N/A",IF(Table1[[#This Row],[Std Adj Read]]&gt;=Table1[[#This Row],[Low Tol]],"Pass","Fail"),IF(Table1[[#This Row],[DUT Adj Read]]&gt;=Table1[[#This Row],[Low Tol]],"Pass","Fail")))</f>
        <v>Pass</v>
      </c>
      <c r="AG611" s="1" t="str">
        <f>IF(AND(Table1[[#This Row],[Spec Type2]]="N/A",Table1[[#This Row],[DUT Adj Read]]="N/A",Table1[[#This Row],[Std Adj Read]]="N/A"),"N/A",IF(Table1[[#This Row],[DUT Adj Read]]="N/A",IF(Table1[[#This Row],[Std Adj Read]]&lt;=Table1[[#This Row],[High Tol]],"Pass","Fail"),IF(Table1[[#This Row],[DUT Adj Read]]&lt;=Table1[[#This Row],[High Tol]],"Pass","Fail")))</f>
        <v>Fail</v>
      </c>
      <c r="AH6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1" s="1" t="b">
        <v>0</v>
      </c>
      <c r="AN611" s="1" t="b">
        <v>0</v>
      </c>
      <c r="AO611" s="1" t="b">
        <v>0</v>
      </c>
    </row>
    <row r="612" spans="1:41" x14ac:dyDescent="0.25">
      <c r="A612" s="10"/>
      <c r="B612" s="10"/>
      <c r="C612" s="10"/>
      <c r="D612" s="10"/>
      <c r="E612" s="10"/>
      <c r="F612" s="10"/>
      <c r="G612" s="10"/>
      <c r="H612" s="10"/>
      <c r="I612" s="1" t="str">
        <f t="shared" si="27"/>
        <v/>
      </c>
      <c r="J612" s="1" t="s">
        <v>35</v>
      </c>
      <c r="K612" s="1" t="str">
        <f t="shared" si="28"/>
        <v/>
      </c>
      <c r="L612" s="1" t="str">
        <f t="shared" si="29"/>
        <v/>
      </c>
      <c r="M612" s="1">
        <f>IF(OR(Table1[[#This Row],[Std Nom]]="",Table1[[#This Row],[Std Read]]=""),0,Table1[[#This Row],[Std Nom]]-Table1[[#This Row],[Std Read]])</f>
        <v>0</v>
      </c>
      <c r="N612" s="1">
        <f>IF(Calculations!$F$5="ACCREDITED 17025 WITH UNCERTAINTIES",$N$10,0)</f>
        <v>0</v>
      </c>
      <c r="Q612" s="1">
        <f>Table1[[#This Row],[High Tol]]-Table1[[#This Row],[Low Tol]]</f>
        <v>0</v>
      </c>
      <c r="R612" s="1">
        <f>2*Table1[[#This Row],[Std Error]]</f>
        <v>0</v>
      </c>
      <c r="S612" s="1" t="str">
        <f>IF(Table1[[#This Row],[High Tol]]="","N/A",IFERROR(ABS(Table1[[#This Row],[Tol Span]]/Table1[[#This Row],[Error Span]]),"N/A"))</f>
        <v>N/A</v>
      </c>
      <c r="T612" s="1" t="str">
        <f>IF(OR(Table1[[#This Row],[Low Tol]]="",Table1[[#This Row],[High Tol]]=""),"Needs Analysis",IF(Table1[[#This Row],[Ratio]]&gt;=4,"Not Significant",IF(Table1[[#This Row],[Ratio]]&gt;=2,"Semi-Significant","Significant")))</f>
        <v>Needs Analysis</v>
      </c>
      <c r="W612" s="1">
        <f>IF(Table1[[#This Row],[Cal Type]]&lt;&gt;"ACCREDITED 17025 WITH UNCERTAINTIES",0,"")</f>
        <v>0</v>
      </c>
      <c r="X612" s="1" t="str">
        <f>IF(Table1[[#This Row],[DUT Read]]="","N/A",Table1[[#This Row],[Std Error]]+Table1[[#This Row],[DUT Read]]+Table1[[#This Row],[DUT Ucty]])</f>
        <v>N/A</v>
      </c>
      <c r="Y612" s="1" t="str">
        <f>IF(Table1[[#This Row],[Std Read]]="","N/A",Table1[[#This Row],[Std Read]]+Table1[[#This Row],[Std Ucty]])</f>
        <v>N/A</v>
      </c>
      <c r="Z6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2" s="1" t="str">
        <f>IF(Table1[[#This Row],[Spec Type]]="","N/A",Table1[[#This Row],[Spec Type]])</f>
        <v>±</v>
      </c>
      <c r="AC612" s="1" t="str">
        <f>IF(Table1[[#This Row],[Spec Type2]]="N/A","N/A",IF(AND(Table1[[#This Row],[DUT Adj Read]]&gt;=Table1[[#This Row],[Low Tol]],Table1[[#This Row],[DUT Adj Read]]&lt;=Table1[[#This Row],[High Tol]]),"Pass","Fail"))</f>
        <v>Fail</v>
      </c>
      <c r="AD612" s="1" t="str">
        <f>IF(AND(Table1[[#This Row],[Spec Type2]]="N/A",Table1[[#This Row],[DUT Adj Read]]="N/A",Table1[[#This Row],[Std Adj Read]]="N/A"),"N/A",IF(Table1[[#This Row],[DUT Adj Read]]="N/A",IF(Table1[[#This Row],[Std Adj Read]]&gt;Table1[[#This Row],[Low Tol]],"Pass","Fail"),IF(Table1[[#This Row],[DUT Adj Read]]&gt;Table1[[#This Row],[Low Tol]],"Pass","Fail")))</f>
        <v>Pass</v>
      </c>
      <c r="AE612" s="1" t="str">
        <f>IF(AND(Table1[[#This Row],[Spec Type2]]="N/A",Table1[[#This Row],[DUT Adj Read]]="N/A",Table1[[#This Row],[Std Adj Read]]="N/A"),"N/A",IF(Table1[[#This Row],[DUT Adj Read]]="N/A",IF(Table1[[#This Row],[Std Adj Read]]&lt;Table1[[#This Row],[High Tol]],"Pass","Fail"),IF(Table1[[#This Row],[DUT Adj Read]]&lt;Table1[[#This Row],[High Tol]],"Pass","Fail")))</f>
        <v>Fail</v>
      </c>
      <c r="AF612" s="1" t="str">
        <f>IF(AND(Table1[[#This Row],[Spec Type2]]="N/A",Table1[[#This Row],[DUT Adj Read]]="N/A",Table1[[#This Row],[Std Adj Read]]="N/A"),"N/A",IF(Table1[[#This Row],[DUT Adj Read]]="N/A",IF(Table1[[#This Row],[Std Adj Read]]&gt;=Table1[[#This Row],[Low Tol]],"Pass","Fail"),IF(Table1[[#This Row],[DUT Adj Read]]&gt;=Table1[[#This Row],[Low Tol]],"Pass","Fail")))</f>
        <v>Pass</v>
      </c>
      <c r="AG612" s="1" t="str">
        <f>IF(AND(Table1[[#This Row],[Spec Type2]]="N/A",Table1[[#This Row],[DUT Adj Read]]="N/A",Table1[[#This Row],[Std Adj Read]]="N/A"),"N/A",IF(Table1[[#This Row],[DUT Adj Read]]="N/A",IF(Table1[[#This Row],[Std Adj Read]]&lt;=Table1[[#This Row],[High Tol]],"Pass","Fail"),IF(Table1[[#This Row],[DUT Adj Read]]&lt;=Table1[[#This Row],[High Tol]],"Pass","Fail")))</f>
        <v>Fail</v>
      </c>
      <c r="AH6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2" s="1" t="b">
        <v>0</v>
      </c>
      <c r="AN612" s="1" t="b">
        <v>0</v>
      </c>
      <c r="AO612" s="1" t="b">
        <v>0</v>
      </c>
    </row>
    <row r="613" spans="1:41" x14ac:dyDescent="0.25">
      <c r="A613" s="10"/>
      <c r="B613" s="10"/>
      <c r="C613" s="10"/>
      <c r="D613" s="10"/>
      <c r="E613" s="10"/>
      <c r="F613" s="10"/>
      <c r="G613" s="10"/>
      <c r="H613" s="10"/>
      <c r="I613" s="1" t="str">
        <f t="shared" si="27"/>
        <v/>
      </c>
      <c r="J613" s="1" t="s">
        <v>35</v>
      </c>
      <c r="K613" s="1" t="str">
        <f t="shared" si="28"/>
        <v/>
      </c>
      <c r="L613" s="1" t="str">
        <f t="shared" si="29"/>
        <v/>
      </c>
      <c r="M613" s="1">
        <f>IF(OR(Table1[[#This Row],[Std Nom]]="",Table1[[#This Row],[Std Read]]=""),0,Table1[[#This Row],[Std Nom]]-Table1[[#This Row],[Std Read]])</f>
        <v>0</v>
      </c>
      <c r="N613" s="1">
        <f>IF(Calculations!$F$5="ACCREDITED 17025 WITH UNCERTAINTIES",$N$10,0)</f>
        <v>0</v>
      </c>
      <c r="Q613" s="1">
        <f>Table1[[#This Row],[High Tol]]-Table1[[#This Row],[Low Tol]]</f>
        <v>0</v>
      </c>
      <c r="R613" s="1">
        <f>2*Table1[[#This Row],[Std Error]]</f>
        <v>0</v>
      </c>
      <c r="S613" s="1" t="str">
        <f>IF(Table1[[#This Row],[High Tol]]="","N/A",IFERROR(ABS(Table1[[#This Row],[Tol Span]]/Table1[[#This Row],[Error Span]]),"N/A"))</f>
        <v>N/A</v>
      </c>
      <c r="T613" s="1" t="str">
        <f>IF(OR(Table1[[#This Row],[Low Tol]]="",Table1[[#This Row],[High Tol]]=""),"Needs Analysis",IF(Table1[[#This Row],[Ratio]]&gt;=4,"Not Significant",IF(Table1[[#This Row],[Ratio]]&gt;=2,"Semi-Significant","Significant")))</f>
        <v>Needs Analysis</v>
      </c>
      <c r="W613" s="1">
        <f>IF(Table1[[#This Row],[Cal Type]]&lt;&gt;"ACCREDITED 17025 WITH UNCERTAINTIES",0,"")</f>
        <v>0</v>
      </c>
      <c r="X613" s="1" t="str">
        <f>IF(Table1[[#This Row],[DUT Read]]="","N/A",Table1[[#This Row],[Std Error]]+Table1[[#This Row],[DUT Read]]+Table1[[#This Row],[DUT Ucty]])</f>
        <v>N/A</v>
      </c>
      <c r="Y613" s="1" t="str">
        <f>IF(Table1[[#This Row],[Std Read]]="","N/A",Table1[[#This Row],[Std Read]]+Table1[[#This Row],[Std Ucty]])</f>
        <v>N/A</v>
      </c>
      <c r="Z6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3" s="1" t="str">
        <f>IF(Table1[[#This Row],[Spec Type]]="","N/A",Table1[[#This Row],[Spec Type]])</f>
        <v>±</v>
      </c>
      <c r="AC613" s="1" t="str">
        <f>IF(Table1[[#This Row],[Spec Type2]]="N/A","N/A",IF(AND(Table1[[#This Row],[DUT Adj Read]]&gt;=Table1[[#This Row],[Low Tol]],Table1[[#This Row],[DUT Adj Read]]&lt;=Table1[[#This Row],[High Tol]]),"Pass","Fail"))</f>
        <v>Fail</v>
      </c>
      <c r="AD613" s="1" t="str">
        <f>IF(AND(Table1[[#This Row],[Spec Type2]]="N/A",Table1[[#This Row],[DUT Adj Read]]="N/A",Table1[[#This Row],[Std Adj Read]]="N/A"),"N/A",IF(Table1[[#This Row],[DUT Adj Read]]="N/A",IF(Table1[[#This Row],[Std Adj Read]]&gt;Table1[[#This Row],[Low Tol]],"Pass","Fail"),IF(Table1[[#This Row],[DUT Adj Read]]&gt;Table1[[#This Row],[Low Tol]],"Pass","Fail")))</f>
        <v>Pass</v>
      </c>
      <c r="AE613" s="1" t="str">
        <f>IF(AND(Table1[[#This Row],[Spec Type2]]="N/A",Table1[[#This Row],[DUT Adj Read]]="N/A",Table1[[#This Row],[Std Adj Read]]="N/A"),"N/A",IF(Table1[[#This Row],[DUT Adj Read]]="N/A",IF(Table1[[#This Row],[Std Adj Read]]&lt;Table1[[#This Row],[High Tol]],"Pass","Fail"),IF(Table1[[#This Row],[DUT Adj Read]]&lt;Table1[[#This Row],[High Tol]],"Pass","Fail")))</f>
        <v>Fail</v>
      </c>
      <c r="AF613" s="1" t="str">
        <f>IF(AND(Table1[[#This Row],[Spec Type2]]="N/A",Table1[[#This Row],[DUT Adj Read]]="N/A",Table1[[#This Row],[Std Adj Read]]="N/A"),"N/A",IF(Table1[[#This Row],[DUT Adj Read]]="N/A",IF(Table1[[#This Row],[Std Adj Read]]&gt;=Table1[[#This Row],[Low Tol]],"Pass","Fail"),IF(Table1[[#This Row],[DUT Adj Read]]&gt;=Table1[[#This Row],[Low Tol]],"Pass","Fail")))</f>
        <v>Pass</v>
      </c>
      <c r="AG613" s="1" t="str">
        <f>IF(AND(Table1[[#This Row],[Spec Type2]]="N/A",Table1[[#This Row],[DUT Adj Read]]="N/A",Table1[[#This Row],[Std Adj Read]]="N/A"),"N/A",IF(Table1[[#This Row],[DUT Adj Read]]="N/A",IF(Table1[[#This Row],[Std Adj Read]]&lt;=Table1[[#This Row],[High Tol]],"Pass","Fail"),IF(Table1[[#This Row],[DUT Adj Read]]&lt;=Table1[[#This Row],[High Tol]],"Pass","Fail")))</f>
        <v>Fail</v>
      </c>
      <c r="AH6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3" s="1" t="b">
        <v>0</v>
      </c>
      <c r="AN613" s="1" t="b">
        <v>0</v>
      </c>
      <c r="AO613" s="1" t="b">
        <v>0</v>
      </c>
    </row>
    <row r="614" spans="1:41" x14ac:dyDescent="0.25">
      <c r="A614" s="10"/>
      <c r="B614" s="10"/>
      <c r="C614" s="10"/>
      <c r="D614" s="10"/>
      <c r="E614" s="10"/>
      <c r="F614" s="10"/>
      <c r="G614" s="10"/>
      <c r="H614" s="10"/>
      <c r="I614" s="1" t="str">
        <f t="shared" si="27"/>
        <v/>
      </c>
      <c r="J614" s="1" t="s">
        <v>35</v>
      </c>
      <c r="K614" s="1" t="str">
        <f t="shared" si="28"/>
        <v/>
      </c>
      <c r="L614" s="1" t="str">
        <f t="shared" si="29"/>
        <v/>
      </c>
      <c r="M614" s="1">
        <f>IF(OR(Table1[[#This Row],[Std Nom]]="",Table1[[#This Row],[Std Read]]=""),0,Table1[[#This Row],[Std Nom]]-Table1[[#This Row],[Std Read]])</f>
        <v>0</v>
      </c>
      <c r="N614" s="1">
        <f>IF(Calculations!$F$5="ACCREDITED 17025 WITH UNCERTAINTIES",$N$10,0)</f>
        <v>0</v>
      </c>
      <c r="Q614" s="1">
        <f>Table1[[#This Row],[High Tol]]-Table1[[#This Row],[Low Tol]]</f>
        <v>0</v>
      </c>
      <c r="R614" s="1">
        <f>2*Table1[[#This Row],[Std Error]]</f>
        <v>0</v>
      </c>
      <c r="S614" s="1" t="str">
        <f>IF(Table1[[#This Row],[High Tol]]="","N/A",IFERROR(ABS(Table1[[#This Row],[Tol Span]]/Table1[[#This Row],[Error Span]]),"N/A"))</f>
        <v>N/A</v>
      </c>
      <c r="T614" s="1" t="str">
        <f>IF(OR(Table1[[#This Row],[Low Tol]]="",Table1[[#This Row],[High Tol]]=""),"Needs Analysis",IF(Table1[[#This Row],[Ratio]]&gt;=4,"Not Significant",IF(Table1[[#This Row],[Ratio]]&gt;=2,"Semi-Significant","Significant")))</f>
        <v>Needs Analysis</v>
      </c>
      <c r="W614" s="1">
        <f>IF(Table1[[#This Row],[Cal Type]]&lt;&gt;"ACCREDITED 17025 WITH UNCERTAINTIES",0,"")</f>
        <v>0</v>
      </c>
      <c r="X614" s="1" t="str">
        <f>IF(Table1[[#This Row],[DUT Read]]="","N/A",Table1[[#This Row],[Std Error]]+Table1[[#This Row],[DUT Read]]+Table1[[#This Row],[DUT Ucty]])</f>
        <v>N/A</v>
      </c>
      <c r="Y614" s="1" t="str">
        <f>IF(Table1[[#This Row],[Std Read]]="","N/A",Table1[[#This Row],[Std Read]]+Table1[[#This Row],[Std Ucty]])</f>
        <v>N/A</v>
      </c>
      <c r="Z6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4" s="1" t="str">
        <f>IF(Table1[[#This Row],[Spec Type]]="","N/A",Table1[[#This Row],[Spec Type]])</f>
        <v>±</v>
      </c>
      <c r="AC614" s="1" t="str">
        <f>IF(Table1[[#This Row],[Spec Type2]]="N/A","N/A",IF(AND(Table1[[#This Row],[DUT Adj Read]]&gt;=Table1[[#This Row],[Low Tol]],Table1[[#This Row],[DUT Adj Read]]&lt;=Table1[[#This Row],[High Tol]]),"Pass","Fail"))</f>
        <v>Fail</v>
      </c>
      <c r="AD614" s="1" t="str">
        <f>IF(AND(Table1[[#This Row],[Spec Type2]]="N/A",Table1[[#This Row],[DUT Adj Read]]="N/A",Table1[[#This Row],[Std Adj Read]]="N/A"),"N/A",IF(Table1[[#This Row],[DUT Adj Read]]="N/A",IF(Table1[[#This Row],[Std Adj Read]]&gt;Table1[[#This Row],[Low Tol]],"Pass","Fail"),IF(Table1[[#This Row],[DUT Adj Read]]&gt;Table1[[#This Row],[Low Tol]],"Pass","Fail")))</f>
        <v>Pass</v>
      </c>
      <c r="AE614" s="1" t="str">
        <f>IF(AND(Table1[[#This Row],[Spec Type2]]="N/A",Table1[[#This Row],[DUT Adj Read]]="N/A",Table1[[#This Row],[Std Adj Read]]="N/A"),"N/A",IF(Table1[[#This Row],[DUT Adj Read]]="N/A",IF(Table1[[#This Row],[Std Adj Read]]&lt;Table1[[#This Row],[High Tol]],"Pass","Fail"),IF(Table1[[#This Row],[DUT Adj Read]]&lt;Table1[[#This Row],[High Tol]],"Pass","Fail")))</f>
        <v>Fail</v>
      </c>
      <c r="AF614" s="1" t="str">
        <f>IF(AND(Table1[[#This Row],[Spec Type2]]="N/A",Table1[[#This Row],[DUT Adj Read]]="N/A",Table1[[#This Row],[Std Adj Read]]="N/A"),"N/A",IF(Table1[[#This Row],[DUT Adj Read]]="N/A",IF(Table1[[#This Row],[Std Adj Read]]&gt;=Table1[[#This Row],[Low Tol]],"Pass","Fail"),IF(Table1[[#This Row],[DUT Adj Read]]&gt;=Table1[[#This Row],[Low Tol]],"Pass","Fail")))</f>
        <v>Pass</v>
      </c>
      <c r="AG614" s="1" t="str">
        <f>IF(AND(Table1[[#This Row],[Spec Type2]]="N/A",Table1[[#This Row],[DUT Adj Read]]="N/A",Table1[[#This Row],[Std Adj Read]]="N/A"),"N/A",IF(Table1[[#This Row],[DUT Adj Read]]="N/A",IF(Table1[[#This Row],[Std Adj Read]]&lt;=Table1[[#This Row],[High Tol]],"Pass","Fail"),IF(Table1[[#This Row],[DUT Adj Read]]&lt;=Table1[[#This Row],[High Tol]],"Pass","Fail")))</f>
        <v>Fail</v>
      </c>
      <c r="AH6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4" s="1" t="b">
        <v>0</v>
      </c>
      <c r="AN614" s="1" t="b">
        <v>0</v>
      </c>
      <c r="AO614" s="1" t="b">
        <v>0</v>
      </c>
    </row>
    <row r="615" spans="1:41" x14ac:dyDescent="0.25">
      <c r="A615" s="10"/>
      <c r="B615" s="10"/>
      <c r="C615" s="10"/>
      <c r="D615" s="10"/>
      <c r="E615" s="10"/>
      <c r="F615" s="10"/>
      <c r="G615" s="10"/>
      <c r="H615" s="10"/>
      <c r="I615" s="1" t="str">
        <f t="shared" si="27"/>
        <v/>
      </c>
      <c r="J615" s="1" t="s">
        <v>35</v>
      </c>
      <c r="K615" s="1" t="str">
        <f t="shared" si="28"/>
        <v/>
      </c>
      <c r="L615" s="1" t="str">
        <f t="shared" si="29"/>
        <v/>
      </c>
      <c r="M615" s="1">
        <f>IF(OR(Table1[[#This Row],[Std Nom]]="",Table1[[#This Row],[Std Read]]=""),0,Table1[[#This Row],[Std Nom]]-Table1[[#This Row],[Std Read]])</f>
        <v>0</v>
      </c>
      <c r="N615" s="1">
        <f>IF(Calculations!$F$5="ACCREDITED 17025 WITH UNCERTAINTIES",$N$10,0)</f>
        <v>0</v>
      </c>
      <c r="Q615" s="1">
        <f>Table1[[#This Row],[High Tol]]-Table1[[#This Row],[Low Tol]]</f>
        <v>0</v>
      </c>
      <c r="R615" s="1">
        <f>2*Table1[[#This Row],[Std Error]]</f>
        <v>0</v>
      </c>
      <c r="S615" s="1" t="str">
        <f>IF(Table1[[#This Row],[High Tol]]="","N/A",IFERROR(ABS(Table1[[#This Row],[Tol Span]]/Table1[[#This Row],[Error Span]]),"N/A"))</f>
        <v>N/A</v>
      </c>
      <c r="T615" s="1" t="str">
        <f>IF(OR(Table1[[#This Row],[Low Tol]]="",Table1[[#This Row],[High Tol]]=""),"Needs Analysis",IF(Table1[[#This Row],[Ratio]]&gt;=4,"Not Significant",IF(Table1[[#This Row],[Ratio]]&gt;=2,"Semi-Significant","Significant")))</f>
        <v>Needs Analysis</v>
      </c>
      <c r="W615" s="1">
        <f>IF(Table1[[#This Row],[Cal Type]]&lt;&gt;"ACCREDITED 17025 WITH UNCERTAINTIES",0,"")</f>
        <v>0</v>
      </c>
      <c r="X615" s="1" t="str">
        <f>IF(Table1[[#This Row],[DUT Read]]="","N/A",Table1[[#This Row],[Std Error]]+Table1[[#This Row],[DUT Read]]+Table1[[#This Row],[DUT Ucty]])</f>
        <v>N/A</v>
      </c>
      <c r="Y615" s="1" t="str">
        <f>IF(Table1[[#This Row],[Std Read]]="","N/A",Table1[[#This Row],[Std Read]]+Table1[[#This Row],[Std Ucty]])</f>
        <v>N/A</v>
      </c>
      <c r="Z6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5" s="1" t="str">
        <f>IF(Table1[[#This Row],[Spec Type]]="","N/A",Table1[[#This Row],[Spec Type]])</f>
        <v>±</v>
      </c>
      <c r="AC615" s="1" t="str">
        <f>IF(Table1[[#This Row],[Spec Type2]]="N/A","N/A",IF(AND(Table1[[#This Row],[DUT Adj Read]]&gt;=Table1[[#This Row],[Low Tol]],Table1[[#This Row],[DUT Adj Read]]&lt;=Table1[[#This Row],[High Tol]]),"Pass","Fail"))</f>
        <v>Fail</v>
      </c>
      <c r="AD615" s="1" t="str">
        <f>IF(AND(Table1[[#This Row],[Spec Type2]]="N/A",Table1[[#This Row],[DUT Adj Read]]="N/A",Table1[[#This Row],[Std Adj Read]]="N/A"),"N/A",IF(Table1[[#This Row],[DUT Adj Read]]="N/A",IF(Table1[[#This Row],[Std Adj Read]]&gt;Table1[[#This Row],[Low Tol]],"Pass","Fail"),IF(Table1[[#This Row],[DUT Adj Read]]&gt;Table1[[#This Row],[Low Tol]],"Pass","Fail")))</f>
        <v>Pass</v>
      </c>
      <c r="AE615" s="1" t="str">
        <f>IF(AND(Table1[[#This Row],[Spec Type2]]="N/A",Table1[[#This Row],[DUT Adj Read]]="N/A",Table1[[#This Row],[Std Adj Read]]="N/A"),"N/A",IF(Table1[[#This Row],[DUT Adj Read]]="N/A",IF(Table1[[#This Row],[Std Adj Read]]&lt;Table1[[#This Row],[High Tol]],"Pass","Fail"),IF(Table1[[#This Row],[DUT Adj Read]]&lt;Table1[[#This Row],[High Tol]],"Pass","Fail")))</f>
        <v>Fail</v>
      </c>
      <c r="AF615" s="1" t="str">
        <f>IF(AND(Table1[[#This Row],[Spec Type2]]="N/A",Table1[[#This Row],[DUT Adj Read]]="N/A",Table1[[#This Row],[Std Adj Read]]="N/A"),"N/A",IF(Table1[[#This Row],[DUT Adj Read]]="N/A",IF(Table1[[#This Row],[Std Adj Read]]&gt;=Table1[[#This Row],[Low Tol]],"Pass","Fail"),IF(Table1[[#This Row],[DUT Adj Read]]&gt;=Table1[[#This Row],[Low Tol]],"Pass","Fail")))</f>
        <v>Pass</v>
      </c>
      <c r="AG615" s="1" t="str">
        <f>IF(AND(Table1[[#This Row],[Spec Type2]]="N/A",Table1[[#This Row],[DUT Adj Read]]="N/A",Table1[[#This Row],[Std Adj Read]]="N/A"),"N/A",IF(Table1[[#This Row],[DUT Adj Read]]="N/A",IF(Table1[[#This Row],[Std Adj Read]]&lt;=Table1[[#This Row],[High Tol]],"Pass","Fail"),IF(Table1[[#This Row],[DUT Adj Read]]&lt;=Table1[[#This Row],[High Tol]],"Pass","Fail")))</f>
        <v>Fail</v>
      </c>
      <c r="AH6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5" s="1" t="b">
        <v>0</v>
      </c>
      <c r="AN615" s="1" t="b">
        <v>0</v>
      </c>
      <c r="AO615" s="1" t="b">
        <v>0</v>
      </c>
    </row>
    <row r="616" spans="1:41" x14ac:dyDescent="0.25">
      <c r="A616" s="10"/>
      <c r="B616" s="10"/>
      <c r="C616" s="10"/>
      <c r="D616" s="10"/>
      <c r="E616" s="10"/>
      <c r="F616" s="10"/>
      <c r="G616" s="10"/>
      <c r="H616" s="10"/>
      <c r="I616" s="1" t="str">
        <f t="shared" si="27"/>
        <v/>
      </c>
      <c r="J616" s="1" t="s">
        <v>35</v>
      </c>
      <c r="K616" s="1" t="str">
        <f t="shared" si="28"/>
        <v/>
      </c>
      <c r="L616" s="1" t="str">
        <f t="shared" si="29"/>
        <v/>
      </c>
      <c r="M616" s="1">
        <f>IF(OR(Table1[[#This Row],[Std Nom]]="",Table1[[#This Row],[Std Read]]=""),0,Table1[[#This Row],[Std Nom]]-Table1[[#This Row],[Std Read]])</f>
        <v>0</v>
      </c>
      <c r="N616" s="1">
        <f>IF(Calculations!$F$5="ACCREDITED 17025 WITH UNCERTAINTIES",$N$10,0)</f>
        <v>0</v>
      </c>
      <c r="Q616" s="1">
        <f>Table1[[#This Row],[High Tol]]-Table1[[#This Row],[Low Tol]]</f>
        <v>0</v>
      </c>
      <c r="R616" s="1">
        <f>2*Table1[[#This Row],[Std Error]]</f>
        <v>0</v>
      </c>
      <c r="S616" s="1" t="str">
        <f>IF(Table1[[#This Row],[High Tol]]="","N/A",IFERROR(ABS(Table1[[#This Row],[Tol Span]]/Table1[[#This Row],[Error Span]]),"N/A"))</f>
        <v>N/A</v>
      </c>
      <c r="T616" s="1" t="str">
        <f>IF(OR(Table1[[#This Row],[Low Tol]]="",Table1[[#This Row],[High Tol]]=""),"Needs Analysis",IF(Table1[[#This Row],[Ratio]]&gt;=4,"Not Significant",IF(Table1[[#This Row],[Ratio]]&gt;=2,"Semi-Significant","Significant")))</f>
        <v>Needs Analysis</v>
      </c>
      <c r="W616" s="1">
        <f>IF(Table1[[#This Row],[Cal Type]]&lt;&gt;"ACCREDITED 17025 WITH UNCERTAINTIES",0,"")</f>
        <v>0</v>
      </c>
      <c r="X616" s="1" t="str">
        <f>IF(Table1[[#This Row],[DUT Read]]="","N/A",Table1[[#This Row],[Std Error]]+Table1[[#This Row],[DUT Read]]+Table1[[#This Row],[DUT Ucty]])</f>
        <v>N/A</v>
      </c>
      <c r="Y616" s="1" t="str">
        <f>IF(Table1[[#This Row],[Std Read]]="","N/A",Table1[[#This Row],[Std Read]]+Table1[[#This Row],[Std Ucty]])</f>
        <v>N/A</v>
      </c>
      <c r="Z6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6" s="1" t="str">
        <f>IF(Table1[[#This Row],[Spec Type]]="","N/A",Table1[[#This Row],[Spec Type]])</f>
        <v>±</v>
      </c>
      <c r="AC616" s="1" t="str">
        <f>IF(Table1[[#This Row],[Spec Type2]]="N/A","N/A",IF(AND(Table1[[#This Row],[DUT Adj Read]]&gt;=Table1[[#This Row],[Low Tol]],Table1[[#This Row],[DUT Adj Read]]&lt;=Table1[[#This Row],[High Tol]]),"Pass","Fail"))</f>
        <v>Fail</v>
      </c>
      <c r="AD616" s="1" t="str">
        <f>IF(AND(Table1[[#This Row],[Spec Type2]]="N/A",Table1[[#This Row],[DUT Adj Read]]="N/A",Table1[[#This Row],[Std Adj Read]]="N/A"),"N/A",IF(Table1[[#This Row],[DUT Adj Read]]="N/A",IF(Table1[[#This Row],[Std Adj Read]]&gt;Table1[[#This Row],[Low Tol]],"Pass","Fail"),IF(Table1[[#This Row],[DUT Adj Read]]&gt;Table1[[#This Row],[Low Tol]],"Pass","Fail")))</f>
        <v>Pass</v>
      </c>
      <c r="AE616" s="1" t="str">
        <f>IF(AND(Table1[[#This Row],[Spec Type2]]="N/A",Table1[[#This Row],[DUT Adj Read]]="N/A",Table1[[#This Row],[Std Adj Read]]="N/A"),"N/A",IF(Table1[[#This Row],[DUT Adj Read]]="N/A",IF(Table1[[#This Row],[Std Adj Read]]&lt;Table1[[#This Row],[High Tol]],"Pass","Fail"),IF(Table1[[#This Row],[DUT Adj Read]]&lt;Table1[[#This Row],[High Tol]],"Pass","Fail")))</f>
        <v>Fail</v>
      </c>
      <c r="AF616" s="1" t="str">
        <f>IF(AND(Table1[[#This Row],[Spec Type2]]="N/A",Table1[[#This Row],[DUT Adj Read]]="N/A",Table1[[#This Row],[Std Adj Read]]="N/A"),"N/A",IF(Table1[[#This Row],[DUT Adj Read]]="N/A",IF(Table1[[#This Row],[Std Adj Read]]&gt;=Table1[[#This Row],[Low Tol]],"Pass","Fail"),IF(Table1[[#This Row],[DUT Adj Read]]&gt;=Table1[[#This Row],[Low Tol]],"Pass","Fail")))</f>
        <v>Pass</v>
      </c>
      <c r="AG616" s="1" t="str">
        <f>IF(AND(Table1[[#This Row],[Spec Type2]]="N/A",Table1[[#This Row],[DUT Adj Read]]="N/A",Table1[[#This Row],[Std Adj Read]]="N/A"),"N/A",IF(Table1[[#This Row],[DUT Adj Read]]="N/A",IF(Table1[[#This Row],[Std Adj Read]]&lt;=Table1[[#This Row],[High Tol]],"Pass","Fail"),IF(Table1[[#This Row],[DUT Adj Read]]&lt;=Table1[[#This Row],[High Tol]],"Pass","Fail")))</f>
        <v>Fail</v>
      </c>
      <c r="AH6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6" s="1" t="b">
        <v>0</v>
      </c>
      <c r="AN616" s="1" t="b">
        <v>0</v>
      </c>
      <c r="AO616" s="1" t="b">
        <v>0</v>
      </c>
    </row>
    <row r="617" spans="1:41" x14ac:dyDescent="0.25">
      <c r="A617" s="10"/>
      <c r="B617" s="10"/>
      <c r="C617" s="10"/>
      <c r="D617" s="10"/>
      <c r="E617" s="10"/>
      <c r="F617" s="10"/>
      <c r="G617" s="10"/>
      <c r="H617" s="10"/>
      <c r="I617" s="1" t="str">
        <f t="shared" si="27"/>
        <v/>
      </c>
      <c r="J617" s="1" t="s">
        <v>35</v>
      </c>
      <c r="K617" s="1" t="str">
        <f t="shared" si="28"/>
        <v/>
      </c>
      <c r="L617" s="1" t="str">
        <f t="shared" si="29"/>
        <v/>
      </c>
      <c r="M617" s="1">
        <f>IF(OR(Table1[[#This Row],[Std Nom]]="",Table1[[#This Row],[Std Read]]=""),0,Table1[[#This Row],[Std Nom]]-Table1[[#This Row],[Std Read]])</f>
        <v>0</v>
      </c>
      <c r="N617" s="1">
        <f>IF(Calculations!$F$5="ACCREDITED 17025 WITH UNCERTAINTIES",$N$10,0)</f>
        <v>0</v>
      </c>
      <c r="Q617" s="1">
        <f>Table1[[#This Row],[High Tol]]-Table1[[#This Row],[Low Tol]]</f>
        <v>0</v>
      </c>
      <c r="R617" s="1">
        <f>2*Table1[[#This Row],[Std Error]]</f>
        <v>0</v>
      </c>
      <c r="S617" s="1" t="str">
        <f>IF(Table1[[#This Row],[High Tol]]="","N/A",IFERROR(ABS(Table1[[#This Row],[Tol Span]]/Table1[[#This Row],[Error Span]]),"N/A"))</f>
        <v>N/A</v>
      </c>
      <c r="T617" s="1" t="str">
        <f>IF(OR(Table1[[#This Row],[Low Tol]]="",Table1[[#This Row],[High Tol]]=""),"Needs Analysis",IF(Table1[[#This Row],[Ratio]]&gt;=4,"Not Significant",IF(Table1[[#This Row],[Ratio]]&gt;=2,"Semi-Significant","Significant")))</f>
        <v>Needs Analysis</v>
      </c>
      <c r="W617" s="1">
        <f>IF(Table1[[#This Row],[Cal Type]]&lt;&gt;"ACCREDITED 17025 WITH UNCERTAINTIES",0,"")</f>
        <v>0</v>
      </c>
      <c r="X617" s="1" t="str">
        <f>IF(Table1[[#This Row],[DUT Read]]="","N/A",Table1[[#This Row],[Std Error]]+Table1[[#This Row],[DUT Read]]+Table1[[#This Row],[DUT Ucty]])</f>
        <v>N/A</v>
      </c>
      <c r="Y617" s="1" t="str">
        <f>IF(Table1[[#This Row],[Std Read]]="","N/A",Table1[[#This Row],[Std Read]]+Table1[[#This Row],[Std Ucty]])</f>
        <v>N/A</v>
      </c>
      <c r="Z6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7" s="1" t="str">
        <f>IF(Table1[[#This Row],[Spec Type]]="","N/A",Table1[[#This Row],[Spec Type]])</f>
        <v>±</v>
      </c>
      <c r="AC617" s="1" t="str">
        <f>IF(Table1[[#This Row],[Spec Type2]]="N/A","N/A",IF(AND(Table1[[#This Row],[DUT Adj Read]]&gt;=Table1[[#This Row],[Low Tol]],Table1[[#This Row],[DUT Adj Read]]&lt;=Table1[[#This Row],[High Tol]]),"Pass","Fail"))</f>
        <v>Fail</v>
      </c>
      <c r="AD617" s="1" t="str">
        <f>IF(AND(Table1[[#This Row],[Spec Type2]]="N/A",Table1[[#This Row],[DUT Adj Read]]="N/A",Table1[[#This Row],[Std Adj Read]]="N/A"),"N/A",IF(Table1[[#This Row],[DUT Adj Read]]="N/A",IF(Table1[[#This Row],[Std Adj Read]]&gt;Table1[[#This Row],[Low Tol]],"Pass","Fail"),IF(Table1[[#This Row],[DUT Adj Read]]&gt;Table1[[#This Row],[Low Tol]],"Pass","Fail")))</f>
        <v>Pass</v>
      </c>
      <c r="AE617" s="1" t="str">
        <f>IF(AND(Table1[[#This Row],[Spec Type2]]="N/A",Table1[[#This Row],[DUT Adj Read]]="N/A",Table1[[#This Row],[Std Adj Read]]="N/A"),"N/A",IF(Table1[[#This Row],[DUT Adj Read]]="N/A",IF(Table1[[#This Row],[Std Adj Read]]&lt;Table1[[#This Row],[High Tol]],"Pass","Fail"),IF(Table1[[#This Row],[DUT Adj Read]]&lt;Table1[[#This Row],[High Tol]],"Pass","Fail")))</f>
        <v>Fail</v>
      </c>
      <c r="AF617" s="1" t="str">
        <f>IF(AND(Table1[[#This Row],[Spec Type2]]="N/A",Table1[[#This Row],[DUT Adj Read]]="N/A",Table1[[#This Row],[Std Adj Read]]="N/A"),"N/A",IF(Table1[[#This Row],[DUT Adj Read]]="N/A",IF(Table1[[#This Row],[Std Adj Read]]&gt;=Table1[[#This Row],[Low Tol]],"Pass","Fail"),IF(Table1[[#This Row],[DUT Adj Read]]&gt;=Table1[[#This Row],[Low Tol]],"Pass","Fail")))</f>
        <v>Pass</v>
      </c>
      <c r="AG617" s="1" t="str">
        <f>IF(AND(Table1[[#This Row],[Spec Type2]]="N/A",Table1[[#This Row],[DUT Adj Read]]="N/A",Table1[[#This Row],[Std Adj Read]]="N/A"),"N/A",IF(Table1[[#This Row],[DUT Adj Read]]="N/A",IF(Table1[[#This Row],[Std Adj Read]]&lt;=Table1[[#This Row],[High Tol]],"Pass","Fail"),IF(Table1[[#This Row],[DUT Adj Read]]&lt;=Table1[[#This Row],[High Tol]],"Pass","Fail")))</f>
        <v>Fail</v>
      </c>
      <c r="AH6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7" s="1" t="b">
        <v>0</v>
      </c>
      <c r="AN617" s="1" t="b">
        <v>0</v>
      </c>
      <c r="AO617" s="1" t="b">
        <v>0</v>
      </c>
    </row>
    <row r="618" spans="1:41" x14ac:dyDescent="0.25">
      <c r="A618" s="10"/>
      <c r="B618" s="10"/>
      <c r="C618" s="10"/>
      <c r="D618" s="10"/>
      <c r="E618" s="10"/>
      <c r="F618" s="10"/>
      <c r="G618" s="10"/>
      <c r="H618" s="10"/>
      <c r="I618" s="1" t="str">
        <f t="shared" si="27"/>
        <v/>
      </c>
      <c r="J618" s="1" t="s">
        <v>35</v>
      </c>
      <c r="K618" s="1" t="str">
        <f t="shared" si="28"/>
        <v/>
      </c>
      <c r="L618" s="1" t="str">
        <f t="shared" si="29"/>
        <v/>
      </c>
      <c r="M618" s="1">
        <f>IF(OR(Table1[[#This Row],[Std Nom]]="",Table1[[#This Row],[Std Read]]=""),0,Table1[[#This Row],[Std Nom]]-Table1[[#This Row],[Std Read]])</f>
        <v>0</v>
      </c>
      <c r="N618" s="1">
        <f>IF(Calculations!$F$5="ACCREDITED 17025 WITH UNCERTAINTIES",$N$10,0)</f>
        <v>0</v>
      </c>
      <c r="Q618" s="1">
        <f>Table1[[#This Row],[High Tol]]-Table1[[#This Row],[Low Tol]]</f>
        <v>0</v>
      </c>
      <c r="R618" s="1">
        <f>2*Table1[[#This Row],[Std Error]]</f>
        <v>0</v>
      </c>
      <c r="S618" s="1" t="str">
        <f>IF(Table1[[#This Row],[High Tol]]="","N/A",IFERROR(ABS(Table1[[#This Row],[Tol Span]]/Table1[[#This Row],[Error Span]]),"N/A"))</f>
        <v>N/A</v>
      </c>
      <c r="T618" s="1" t="str">
        <f>IF(OR(Table1[[#This Row],[Low Tol]]="",Table1[[#This Row],[High Tol]]=""),"Needs Analysis",IF(Table1[[#This Row],[Ratio]]&gt;=4,"Not Significant",IF(Table1[[#This Row],[Ratio]]&gt;=2,"Semi-Significant","Significant")))</f>
        <v>Needs Analysis</v>
      </c>
      <c r="W618" s="1">
        <f>IF(Table1[[#This Row],[Cal Type]]&lt;&gt;"ACCREDITED 17025 WITH UNCERTAINTIES",0,"")</f>
        <v>0</v>
      </c>
      <c r="X618" s="1" t="str">
        <f>IF(Table1[[#This Row],[DUT Read]]="","N/A",Table1[[#This Row],[Std Error]]+Table1[[#This Row],[DUT Read]]+Table1[[#This Row],[DUT Ucty]])</f>
        <v>N/A</v>
      </c>
      <c r="Y618" s="1" t="str">
        <f>IF(Table1[[#This Row],[Std Read]]="","N/A",Table1[[#This Row],[Std Read]]+Table1[[#This Row],[Std Ucty]])</f>
        <v>N/A</v>
      </c>
      <c r="Z6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8" s="1" t="str">
        <f>IF(Table1[[#This Row],[Spec Type]]="","N/A",Table1[[#This Row],[Spec Type]])</f>
        <v>±</v>
      </c>
      <c r="AC618" s="1" t="str">
        <f>IF(Table1[[#This Row],[Spec Type2]]="N/A","N/A",IF(AND(Table1[[#This Row],[DUT Adj Read]]&gt;=Table1[[#This Row],[Low Tol]],Table1[[#This Row],[DUT Adj Read]]&lt;=Table1[[#This Row],[High Tol]]),"Pass","Fail"))</f>
        <v>Fail</v>
      </c>
      <c r="AD618" s="1" t="str">
        <f>IF(AND(Table1[[#This Row],[Spec Type2]]="N/A",Table1[[#This Row],[DUT Adj Read]]="N/A",Table1[[#This Row],[Std Adj Read]]="N/A"),"N/A",IF(Table1[[#This Row],[DUT Adj Read]]="N/A",IF(Table1[[#This Row],[Std Adj Read]]&gt;Table1[[#This Row],[Low Tol]],"Pass","Fail"),IF(Table1[[#This Row],[DUT Adj Read]]&gt;Table1[[#This Row],[Low Tol]],"Pass","Fail")))</f>
        <v>Pass</v>
      </c>
      <c r="AE618" s="1" t="str">
        <f>IF(AND(Table1[[#This Row],[Spec Type2]]="N/A",Table1[[#This Row],[DUT Adj Read]]="N/A",Table1[[#This Row],[Std Adj Read]]="N/A"),"N/A",IF(Table1[[#This Row],[DUT Adj Read]]="N/A",IF(Table1[[#This Row],[Std Adj Read]]&lt;Table1[[#This Row],[High Tol]],"Pass","Fail"),IF(Table1[[#This Row],[DUT Adj Read]]&lt;Table1[[#This Row],[High Tol]],"Pass","Fail")))</f>
        <v>Fail</v>
      </c>
      <c r="AF618" s="1" t="str">
        <f>IF(AND(Table1[[#This Row],[Spec Type2]]="N/A",Table1[[#This Row],[DUT Adj Read]]="N/A",Table1[[#This Row],[Std Adj Read]]="N/A"),"N/A",IF(Table1[[#This Row],[DUT Adj Read]]="N/A",IF(Table1[[#This Row],[Std Adj Read]]&gt;=Table1[[#This Row],[Low Tol]],"Pass","Fail"),IF(Table1[[#This Row],[DUT Adj Read]]&gt;=Table1[[#This Row],[Low Tol]],"Pass","Fail")))</f>
        <v>Pass</v>
      </c>
      <c r="AG618" s="1" t="str">
        <f>IF(AND(Table1[[#This Row],[Spec Type2]]="N/A",Table1[[#This Row],[DUT Adj Read]]="N/A",Table1[[#This Row],[Std Adj Read]]="N/A"),"N/A",IF(Table1[[#This Row],[DUT Adj Read]]="N/A",IF(Table1[[#This Row],[Std Adj Read]]&lt;=Table1[[#This Row],[High Tol]],"Pass","Fail"),IF(Table1[[#This Row],[DUT Adj Read]]&lt;=Table1[[#This Row],[High Tol]],"Pass","Fail")))</f>
        <v>Fail</v>
      </c>
      <c r="AH6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8" s="1" t="b">
        <v>0</v>
      </c>
      <c r="AN618" s="1" t="b">
        <v>0</v>
      </c>
      <c r="AO618" s="1" t="b">
        <v>0</v>
      </c>
    </row>
    <row r="619" spans="1:41" x14ac:dyDescent="0.25">
      <c r="A619" s="10"/>
      <c r="B619" s="10"/>
      <c r="C619" s="10"/>
      <c r="D619" s="10"/>
      <c r="E619" s="10"/>
      <c r="F619" s="10"/>
      <c r="G619" s="10"/>
      <c r="H619" s="10"/>
      <c r="I619" s="1" t="str">
        <f t="shared" si="27"/>
        <v/>
      </c>
      <c r="J619" s="1" t="s">
        <v>35</v>
      </c>
      <c r="K619" s="1" t="str">
        <f t="shared" si="28"/>
        <v/>
      </c>
      <c r="L619" s="1" t="str">
        <f t="shared" si="29"/>
        <v/>
      </c>
      <c r="M619" s="1">
        <f>IF(OR(Table1[[#This Row],[Std Nom]]="",Table1[[#This Row],[Std Read]]=""),0,Table1[[#This Row],[Std Nom]]-Table1[[#This Row],[Std Read]])</f>
        <v>0</v>
      </c>
      <c r="N619" s="1">
        <f>IF(Calculations!$F$5="ACCREDITED 17025 WITH UNCERTAINTIES",$N$10,0)</f>
        <v>0</v>
      </c>
      <c r="Q619" s="1">
        <f>Table1[[#This Row],[High Tol]]-Table1[[#This Row],[Low Tol]]</f>
        <v>0</v>
      </c>
      <c r="R619" s="1">
        <f>2*Table1[[#This Row],[Std Error]]</f>
        <v>0</v>
      </c>
      <c r="S619" s="1" t="str">
        <f>IF(Table1[[#This Row],[High Tol]]="","N/A",IFERROR(ABS(Table1[[#This Row],[Tol Span]]/Table1[[#This Row],[Error Span]]),"N/A"))</f>
        <v>N/A</v>
      </c>
      <c r="T619" s="1" t="str">
        <f>IF(OR(Table1[[#This Row],[Low Tol]]="",Table1[[#This Row],[High Tol]]=""),"Needs Analysis",IF(Table1[[#This Row],[Ratio]]&gt;=4,"Not Significant",IF(Table1[[#This Row],[Ratio]]&gt;=2,"Semi-Significant","Significant")))</f>
        <v>Needs Analysis</v>
      </c>
      <c r="W619" s="1">
        <f>IF(Table1[[#This Row],[Cal Type]]&lt;&gt;"ACCREDITED 17025 WITH UNCERTAINTIES",0,"")</f>
        <v>0</v>
      </c>
      <c r="X619" s="1" t="str">
        <f>IF(Table1[[#This Row],[DUT Read]]="","N/A",Table1[[#This Row],[Std Error]]+Table1[[#This Row],[DUT Read]]+Table1[[#This Row],[DUT Ucty]])</f>
        <v>N/A</v>
      </c>
      <c r="Y619" s="1" t="str">
        <f>IF(Table1[[#This Row],[Std Read]]="","N/A",Table1[[#This Row],[Std Read]]+Table1[[#This Row],[Std Ucty]])</f>
        <v>N/A</v>
      </c>
      <c r="Z6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19" s="1" t="str">
        <f>IF(Table1[[#This Row],[Spec Type]]="","N/A",Table1[[#This Row],[Spec Type]])</f>
        <v>±</v>
      </c>
      <c r="AC619" s="1" t="str">
        <f>IF(Table1[[#This Row],[Spec Type2]]="N/A","N/A",IF(AND(Table1[[#This Row],[DUT Adj Read]]&gt;=Table1[[#This Row],[Low Tol]],Table1[[#This Row],[DUT Adj Read]]&lt;=Table1[[#This Row],[High Tol]]),"Pass","Fail"))</f>
        <v>Fail</v>
      </c>
      <c r="AD619" s="1" t="str">
        <f>IF(AND(Table1[[#This Row],[Spec Type2]]="N/A",Table1[[#This Row],[DUT Adj Read]]="N/A",Table1[[#This Row],[Std Adj Read]]="N/A"),"N/A",IF(Table1[[#This Row],[DUT Adj Read]]="N/A",IF(Table1[[#This Row],[Std Adj Read]]&gt;Table1[[#This Row],[Low Tol]],"Pass","Fail"),IF(Table1[[#This Row],[DUT Adj Read]]&gt;Table1[[#This Row],[Low Tol]],"Pass","Fail")))</f>
        <v>Pass</v>
      </c>
      <c r="AE619" s="1" t="str">
        <f>IF(AND(Table1[[#This Row],[Spec Type2]]="N/A",Table1[[#This Row],[DUT Adj Read]]="N/A",Table1[[#This Row],[Std Adj Read]]="N/A"),"N/A",IF(Table1[[#This Row],[DUT Adj Read]]="N/A",IF(Table1[[#This Row],[Std Adj Read]]&lt;Table1[[#This Row],[High Tol]],"Pass","Fail"),IF(Table1[[#This Row],[DUT Adj Read]]&lt;Table1[[#This Row],[High Tol]],"Pass","Fail")))</f>
        <v>Fail</v>
      </c>
      <c r="AF619" s="1" t="str">
        <f>IF(AND(Table1[[#This Row],[Spec Type2]]="N/A",Table1[[#This Row],[DUT Adj Read]]="N/A",Table1[[#This Row],[Std Adj Read]]="N/A"),"N/A",IF(Table1[[#This Row],[DUT Adj Read]]="N/A",IF(Table1[[#This Row],[Std Adj Read]]&gt;=Table1[[#This Row],[Low Tol]],"Pass","Fail"),IF(Table1[[#This Row],[DUT Adj Read]]&gt;=Table1[[#This Row],[Low Tol]],"Pass","Fail")))</f>
        <v>Pass</v>
      </c>
      <c r="AG619" s="1" t="str">
        <f>IF(AND(Table1[[#This Row],[Spec Type2]]="N/A",Table1[[#This Row],[DUT Adj Read]]="N/A",Table1[[#This Row],[Std Adj Read]]="N/A"),"N/A",IF(Table1[[#This Row],[DUT Adj Read]]="N/A",IF(Table1[[#This Row],[Std Adj Read]]&lt;=Table1[[#This Row],[High Tol]],"Pass","Fail"),IF(Table1[[#This Row],[DUT Adj Read]]&lt;=Table1[[#This Row],[High Tol]],"Pass","Fail")))</f>
        <v>Fail</v>
      </c>
      <c r="AH6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19" s="1" t="b">
        <v>0</v>
      </c>
      <c r="AN619" s="1" t="b">
        <v>0</v>
      </c>
      <c r="AO619" s="1" t="b">
        <v>0</v>
      </c>
    </row>
    <row r="620" spans="1:41" x14ac:dyDescent="0.25">
      <c r="A620" s="10"/>
      <c r="B620" s="10"/>
      <c r="C620" s="10"/>
      <c r="D620" s="10"/>
      <c r="E620" s="10"/>
      <c r="F620" s="10"/>
      <c r="G620" s="10"/>
      <c r="H620" s="10"/>
      <c r="I620" s="1" t="str">
        <f t="shared" si="27"/>
        <v/>
      </c>
      <c r="J620" s="1" t="s">
        <v>35</v>
      </c>
      <c r="K620" s="1" t="str">
        <f t="shared" si="28"/>
        <v/>
      </c>
      <c r="L620" s="1" t="str">
        <f t="shared" si="29"/>
        <v/>
      </c>
      <c r="M620" s="1">
        <f>IF(OR(Table1[[#This Row],[Std Nom]]="",Table1[[#This Row],[Std Read]]=""),0,Table1[[#This Row],[Std Nom]]-Table1[[#This Row],[Std Read]])</f>
        <v>0</v>
      </c>
      <c r="N620" s="1">
        <f>IF(Calculations!$F$5="ACCREDITED 17025 WITH UNCERTAINTIES",$N$10,0)</f>
        <v>0</v>
      </c>
      <c r="Q620" s="1">
        <f>Table1[[#This Row],[High Tol]]-Table1[[#This Row],[Low Tol]]</f>
        <v>0</v>
      </c>
      <c r="R620" s="1">
        <f>2*Table1[[#This Row],[Std Error]]</f>
        <v>0</v>
      </c>
      <c r="S620" s="1" t="str">
        <f>IF(Table1[[#This Row],[High Tol]]="","N/A",IFERROR(ABS(Table1[[#This Row],[Tol Span]]/Table1[[#This Row],[Error Span]]),"N/A"))</f>
        <v>N/A</v>
      </c>
      <c r="T620" s="1" t="str">
        <f>IF(OR(Table1[[#This Row],[Low Tol]]="",Table1[[#This Row],[High Tol]]=""),"Needs Analysis",IF(Table1[[#This Row],[Ratio]]&gt;=4,"Not Significant",IF(Table1[[#This Row],[Ratio]]&gt;=2,"Semi-Significant","Significant")))</f>
        <v>Needs Analysis</v>
      </c>
      <c r="W620" s="1">
        <f>IF(Table1[[#This Row],[Cal Type]]&lt;&gt;"ACCREDITED 17025 WITH UNCERTAINTIES",0,"")</f>
        <v>0</v>
      </c>
      <c r="X620" s="1" t="str">
        <f>IF(Table1[[#This Row],[DUT Read]]="","N/A",Table1[[#This Row],[Std Error]]+Table1[[#This Row],[DUT Read]]+Table1[[#This Row],[DUT Ucty]])</f>
        <v>N/A</v>
      </c>
      <c r="Y620" s="1" t="str">
        <f>IF(Table1[[#This Row],[Std Read]]="","N/A",Table1[[#This Row],[Std Read]]+Table1[[#This Row],[Std Ucty]])</f>
        <v>N/A</v>
      </c>
      <c r="Z6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0" s="1" t="str">
        <f>IF(Table1[[#This Row],[Spec Type]]="","N/A",Table1[[#This Row],[Spec Type]])</f>
        <v>±</v>
      </c>
      <c r="AC620" s="1" t="str">
        <f>IF(Table1[[#This Row],[Spec Type2]]="N/A","N/A",IF(AND(Table1[[#This Row],[DUT Adj Read]]&gt;=Table1[[#This Row],[Low Tol]],Table1[[#This Row],[DUT Adj Read]]&lt;=Table1[[#This Row],[High Tol]]),"Pass","Fail"))</f>
        <v>Fail</v>
      </c>
      <c r="AD620" s="1" t="str">
        <f>IF(AND(Table1[[#This Row],[Spec Type2]]="N/A",Table1[[#This Row],[DUT Adj Read]]="N/A",Table1[[#This Row],[Std Adj Read]]="N/A"),"N/A",IF(Table1[[#This Row],[DUT Adj Read]]="N/A",IF(Table1[[#This Row],[Std Adj Read]]&gt;Table1[[#This Row],[Low Tol]],"Pass","Fail"),IF(Table1[[#This Row],[DUT Adj Read]]&gt;Table1[[#This Row],[Low Tol]],"Pass","Fail")))</f>
        <v>Pass</v>
      </c>
      <c r="AE620" s="1" t="str">
        <f>IF(AND(Table1[[#This Row],[Spec Type2]]="N/A",Table1[[#This Row],[DUT Adj Read]]="N/A",Table1[[#This Row],[Std Adj Read]]="N/A"),"N/A",IF(Table1[[#This Row],[DUT Adj Read]]="N/A",IF(Table1[[#This Row],[Std Adj Read]]&lt;Table1[[#This Row],[High Tol]],"Pass","Fail"),IF(Table1[[#This Row],[DUT Adj Read]]&lt;Table1[[#This Row],[High Tol]],"Pass","Fail")))</f>
        <v>Fail</v>
      </c>
      <c r="AF620" s="1" t="str">
        <f>IF(AND(Table1[[#This Row],[Spec Type2]]="N/A",Table1[[#This Row],[DUT Adj Read]]="N/A",Table1[[#This Row],[Std Adj Read]]="N/A"),"N/A",IF(Table1[[#This Row],[DUT Adj Read]]="N/A",IF(Table1[[#This Row],[Std Adj Read]]&gt;=Table1[[#This Row],[Low Tol]],"Pass","Fail"),IF(Table1[[#This Row],[DUT Adj Read]]&gt;=Table1[[#This Row],[Low Tol]],"Pass","Fail")))</f>
        <v>Pass</v>
      </c>
      <c r="AG620" s="1" t="str">
        <f>IF(AND(Table1[[#This Row],[Spec Type2]]="N/A",Table1[[#This Row],[DUT Adj Read]]="N/A",Table1[[#This Row],[Std Adj Read]]="N/A"),"N/A",IF(Table1[[#This Row],[DUT Adj Read]]="N/A",IF(Table1[[#This Row],[Std Adj Read]]&lt;=Table1[[#This Row],[High Tol]],"Pass","Fail"),IF(Table1[[#This Row],[DUT Adj Read]]&lt;=Table1[[#This Row],[High Tol]],"Pass","Fail")))</f>
        <v>Fail</v>
      </c>
      <c r="AH6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0" s="1" t="b">
        <v>0</v>
      </c>
      <c r="AN620" s="1" t="b">
        <v>0</v>
      </c>
      <c r="AO620" s="1" t="b">
        <v>0</v>
      </c>
    </row>
    <row r="621" spans="1:41" x14ac:dyDescent="0.25">
      <c r="A621" s="10"/>
      <c r="B621" s="10"/>
      <c r="C621" s="10"/>
      <c r="D621" s="10"/>
      <c r="E621" s="10"/>
      <c r="F621" s="10"/>
      <c r="G621" s="10"/>
      <c r="H621" s="10"/>
      <c r="I621" s="1" t="str">
        <f t="shared" si="27"/>
        <v/>
      </c>
      <c r="J621" s="1" t="s">
        <v>35</v>
      </c>
      <c r="K621" s="1" t="str">
        <f t="shared" si="28"/>
        <v/>
      </c>
      <c r="L621" s="1" t="str">
        <f t="shared" si="29"/>
        <v/>
      </c>
      <c r="M621" s="1">
        <f>IF(OR(Table1[[#This Row],[Std Nom]]="",Table1[[#This Row],[Std Read]]=""),0,Table1[[#This Row],[Std Nom]]-Table1[[#This Row],[Std Read]])</f>
        <v>0</v>
      </c>
      <c r="N621" s="1">
        <f>IF(Calculations!$F$5="ACCREDITED 17025 WITH UNCERTAINTIES",$N$10,0)</f>
        <v>0</v>
      </c>
      <c r="Q621" s="1">
        <f>Table1[[#This Row],[High Tol]]-Table1[[#This Row],[Low Tol]]</f>
        <v>0</v>
      </c>
      <c r="R621" s="1">
        <f>2*Table1[[#This Row],[Std Error]]</f>
        <v>0</v>
      </c>
      <c r="S621" s="1" t="str">
        <f>IF(Table1[[#This Row],[High Tol]]="","N/A",IFERROR(ABS(Table1[[#This Row],[Tol Span]]/Table1[[#This Row],[Error Span]]),"N/A"))</f>
        <v>N/A</v>
      </c>
      <c r="T621" s="1" t="str">
        <f>IF(OR(Table1[[#This Row],[Low Tol]]="",Table1[[#This Row],[High Tol]]=""),"Needs Analysis",IF(Table1[[#This Row],[Ratio]]&gt;=4,"Not Significant",IF(Table1[[#This Row],[Ratio]]&gt;=2,"Semi-Significant","Significant")))</f>
        <v>Needs Analysis</v>
      </c>
      <c r="W621" s="1">
        <f>IF(Table1[[#This Row],[Cal Type]]&lt;&gt;"ACCREDITED 17025 WITH UNCERTAINTIES",0,"")</f>
        <v>0</v>
      </c>
      <c r="X621" s="1" t="str">
        <f>IF(Table1[[#This Row],[DUT Read]]="","N/A",Table1[[#This Row],[Std Error]]+Table1[[#This Row],[DUT Read]]+Table1[[#This Row],[DUT Ucty]])</f>
        <v>N/A</v>
      </c>
      <c r="Y621" s="1" t="str">
        <f>IF(Table1[[#This Row],[Std Read]]="","N/A",Table1[[#This Row],[Std Read]]+Table1[[#This Row],[Std Ucty]])</f>
        <v>N/A</v>
      </c>
      <c r="Z6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1" s="1" t="str">
        <f>IF(Table1[[#This Row],[Spec Type]]="","N/A",Table1[[#This Row],[Spec Type]])</f>
        <v>±</v>
      </c>
      <c r="AC621" s="1" t="str">
        <f>IF(Table1[[#This Row],[Spec Type2]]="N/A","N/A",IF(AND(Table1[[#This Row],[DUT Adj Read]]&gt;=Table1[[#This Row],[Low Tol]],Table1[[#This Row],[DUT Adj Read]]&lt;=Table1[[#This Row],[High Tol]]),"Pass","Fail"))</f>
        <v>Fail</v>
      </c>
      <c r="AD621" s="1" t="str">
        <f>IF(AND(Table1[[#This Row],[Spec Type2]]="N/A",Table1[[#This Row],[DUT Adj Read]]="N/A",Table1[[#This Row],[Std Adj Read]]="N/A"),"N/A",IF(Table1[[#This Row],[DUT Adj Read]]="N/A",IF(Table1[[#This Row],[Std Adj Read]]&gt;Table1[[#This Row],[Low Tol]],"Pass","Fail"),IF(Table1[[#This Row],[DUT Adj Read]]&gt;Table1[[#This Row],[Low Tol]],"Pass","Fail")))</f>
        <v>Pass</v>
      </c>
      <c r="AE621" s="1" t="str">
        <f>IF(AND(Table1[[#This Row],[Spec Type2]]="N/A",Table1[[#This Row],[DUT Adj Read]]="N/A",Table1[[#This Row],[Std Adj Read]]="N/A"),"N/A",IF(Table1[[#This Row],[DUT Adj Read]]="N/A",IF(Table1[[#This Row],[Std Adj Read]]&lt;Table1[[#This Row],[High Tol]],"Pass","Fail"),IF(Table1[[#This Row],[DUT Adj Read]]&lt;Table1[[#This Row],[High Tol]],"Pass","Fail")))</f>
        <v>Fail</v>
      </c>
      <c r="AF621" s="1" t="str">
        <f>IF(AND(Table1[[#This Row],[Spec Type2]]="N/A",Table1[[#This Row],[DUT Adj Read]]="N/A",Table1[[#This Row],[Std Adj Read]]="N/A"),"N/A",IF(Table1[[#This Row],[DUT Adj Read]]="N/A",IF(Table1[[#This Row],[Std Adj Read]]&gt;=Table1[[#This Row],[Low Tol]],"Pass","Fail"),IF(Table1[[#This Row],[DUT Adj Read]]&gt;=Table1[[#This Row],[Low Tol]],"Pass","Fail")))</f>
        <v>Pass</v>
      </c>
      <c r="AG621" s="1" t="str">
        <f>IF(AND(Table1[[#This Row],[Spec Type2]]="N/A",Table1[[#This Row],[DUT Adj Read]]="N/A",Table1[[#This Row],[Std Adj Read]]="N/A"),"N/A",IF(Table1[[#This Row],[DUT Adj Read]]="N/A",IF(Table1[[#This Row],[Std Adj Read]]&lt;=Table1[[#This Row],[High Tol]],"Pass","Fail"),IF(Table1[[#This Row],[DUT Adj Read]]&lt;=Table1[[#This Row],[High Tol]],"Pass","Fail")))</f>
        <v>Fail</v>
      </c>
      <c r="AH6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1" s="1" t="b">
        <v>0</v>
      </c>
      <c r="AN621" s="1" t="b">
        <v>0</v>
      </c>
      <c r="AO621" s="1" t="b">
        <v>0</v>
      </c>
    </row>
    <row r="622" spans="1:41" x14ac:dyDescent="0.25">
      <c r="A622" s="10"/>
      <c r="B622" s="10"/>
      <c r="C622" s="10"/>
      <c r="D622" s="10"/>
      <c r="E622" s="10"/>
      <c r="F622" s="10"/>
      <c r="G622" s="10"/>
      <c r="H622" s="10"/>
      <c r="I622" s="1" t="str">
        <f t="shared" si="27"/>
        <v/>
      </c>
      <c r="J622" s="1" t="s">
        <v>35</v>
      </c>
      <c r="K622" s="1" t="str">
        <f t="shared" si="28"/>
        <v/>
      </c>
      <c r="L622" s="1" t="str">
        <f t="shared" si="29"/>
        <v/>
      </c>
      <c r="M622" s="1">
        <f>IF(OR(Table1[[#This Row],[Std Nom]]="",Table1[[#This Row],[Std Read]]=""),0,Table1[[#This Row],[Std Nom]]-Table1[[#This Row],[Std Read]])</f>
        <v>0</v>
      </c>
      <c r="N622" s="1">
        <f>IF(Calculations!$F$5="ACCREDITED 17025 WITH UNCERTAINTIES",$N$10,0)</f>
        <v>0</v>
      </c>
      <c r="Q622" s="1">
        <f>Table1[[#This Row],[High Tol]]-Table1[[#This Row],[Low Tol]]</f>
        <v>0</v>
      </c>
      <c r="R622" s="1">
        <f>2*Table1[[#This Row],[Std Error]]</f>
        <v>0</v>
      </c>
      <c r="S622" s="1" t="str">
        <f>IF(Table1[[#This Row],[High Tol]]="","N/A",IFERROR(ABS(Table1[[#This Row],[Tol Span]]/Table1[[#This Row],[Error Span]]),"N/A"))</f>
        <v>N/A</v>
      </c>
      <c r="T622" s="1" t="str">
        <f>IF(OR(Table1[[#This Row],[Low Tol]]="",Table1[[#This Row],[High Tol]]=""),"Needs Analysis",IF(Table1[[#This Row],[Ratio]]&gt;=4,"Not Significant",IF(Table1[[#This Row],[Ratio]]&gt;=2,"Semi-Significant","Significant")))</f>
        <v>Needs Analysis</v>
      </c>
      <c r="W622" s="1">
        <f>IF(Table1[[#This Row],[Cal Type]]&lt;&gt;"ACCREDITED 17025 WITH UNCERTAINTIES",0,"")</f>
        <v>0</v>
      </c>
      <c r="X622" s="1" t="str">
        <f>IF(Table1[[#This Row],[DUT Read]]="","N/A",Table1[[#This Row],[Std Error]]+Table1[[#This Row],[DUT Read]]+Table1[[#This Row],[DUT Ucty]])</f>
        <v>N/A</v>
      </c>
      <c r="Y622" s="1" t="str">
        <f>IF(Table1[[#This Row],[Std Read]]="","N/A",Table1[[#This Row],[Std Read]]+Table1[[#This Row],[Std Ucty]])</f>
        <v>N/A</v>
      </c>
      <c r="Z6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2" s="1" t="str">
        <f>IF(Table1[[#This Row],[Spec Type]]="","N/A",Table1[[#This Row],[Spec Type]])</f>
        <v>±</v>
      </c>
      <c r="AC622" s="1" t="str">
        <f>IF(Table1[[#This Row],[Spec Type2]]="N/A","N/A",IF(AND(Table1[[#This Row],[DUT Adj Read]]&gt;=Table1[[#This Row],[Low Tol]],Table1[[#This Row],[DUT Adj Read]]&lt;=Table1[[#This Row],[High Tol]]),"Pass","Fail"))</f>
        <v>Fail</v>
      </c>
      <c r="AD622" s="1" t="str">
        <f>IF(AND(Table1[[#This Row],[Spec Type2]]="N/A",Table1[[#This Row],[DUT Adj Read]]="N/A",Table1[[#This Row],[Std Adj Read]]="N/A"),"N/A",IF(Table1[[#This Row],[DUT Adj Read]]="N/A",IF(Table1[[#This Row],[Std Adj Read]]&gt;Table1[[#This Row],[Low Tol]],"Pass","Fail"),IF(Table1[[#This Row],[DUT Adj Read]]&gt;Table1[[#This Row],[Low Tol]],"Pass","Fail")))</f>
        <v>Pass</v>
      </c>
      <c r="AE622" s="1" t="str">
        <f>IF(AND(Table1[[#This Row],[Spec Type2]]="N/A",Table1[[#This Row],[DUT Adj Read]]="N/A",Table1[[#This Row],[Std Adj Read]]="N/A"),"N/A",IF(Table1[[#This Row],[DUT Adj Read]]="N/A",IF(Table1[[#This Row],[Std Adj Read]]&lt;Table1[[#This Row],[High Tol]],"Pass","Fail"),IF(Table1[[#This Row],[DUT Adj Read]]&lt;Table1[[#This Row],[High Tol]],"Pass","Fail")))</f>
        <v>Fail</v>
      </c>
      <c r="AF622" s="1" t="str">
        <f>IF(AND(Table1[[#This Row],[Spec Type2]]="N/A",Table1[[#This Row],[DUT Adj Read]]="N/A",Table1[[#This Row],[Std Adj Read]]="N/A"),"N/A",IF(Table1[[#This Row],[DUT Adj Read]]="N/A",IF(Table1[[#This Row],[Std Adj Read]]&gt;=Table1[[#This Row],[Low Tol]],"Pass","Fail"),IF(Table1[[#This Row],[DUT Adj Read]]&gt;=Table1[[#This Row],[Low Tol]],"Pass","Fail")))</f>
        <v>Pass</v>
      </c>
      <c r="AG622" s="1" t="str">
        <f>IF(AND(Table1[[#This Row],[Spec Type2]]="N/A",Table1[[#This Row],[DUT Adj Read]]="N/A",Table1[[#This Row],[Std Adj Read]]="N/A"),"N/A",IF(Table1[[#This Row],[DUT Adj Read]]="N/A",IF(Table1[[#This Row],[Std Adj Read]]&lt;=Table1[[#This Row],[High Tol]],"Pass","Fail"),IF(Table1[[#This Row],[DUT Adj Read]]&lt;=Table1[[#This Row],[High Tol]],"Pass","Fail")))</f>
        <v>Fail</v>
      </c>
      <c r="AH6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2" s="1" t="b">
        <v>0</v>
      </c>
      <c r="AN622" s="1" t="b">
        <v>0</v>
      </c>
      <c r="AO622" s="1" t="b">
        <v>0</v>
      </c>
    </row>
    <row r="623" spans="1:41" x14ac:dyDescent="0.25">
      <c r="A623" s="10"/>
      <c r="B623" s="10"/>
      <c r="C623" s="10"/>
      <c r="D623" s="10"/>
      <c r="E623" s="10"/>
      <c r="F623" s="10"/>
      <c r="G623" s="10"/>
      <c r="H623" s="10"/>
      <c r="I623" s="1" t="str">
        <f t="shared" si="27"/>
        <v/>
      </c>
      <c r="J623" s="1" t="s">
        <v>35</v>
      </c>
      <c r="K623" s="1" t="str">
        <f t="shared" si="28"/>
        <v/>
      </c>
      <c r="L623" s="1" t="str">
        <f t="shared" si="29"/>
        <v/>
      </c>
      <c r="M623" s="1">
        <f>IF(OR(Table1[[#This Row],[Std Nom]]="",Table1[[#This Row],[Std Read]]=""),0,Table1[[#This Row],[Std Nom]]-Table1[[#This Row],[Std Read]])</f>
        <v>0</v>
      </c>
      <c r="N623" s="1">
        <f>IF(Calculations!$F$5="ACCREDITED 17025 WITH UNCERTAINTIES",$N$10,0)</f>
        <v>0</v>
      </c>
      <c r="Q623" s="1">
        <f>Table1[[#This Row],[High Tol]]-Table1[[#This Row],[Low Tol]]</f>
        <v>0</v>
      </c>
      <c r="R623" s="1">
        <f>2*Table1[[#This Row],[Std Error]]</f>
        <v>0</v>
      </c>
      <c r="S623" s="1" t="str">
        <f>IF(Table1[[#This Row],[High Tol]]="","N/A",IFERROR(ABS(Table1[[#This Row],[Tol Span]]/Table1[[#This Row],[Error Span]]),"N/A"))</f>
        <v>N/A</v>
      </c>
      <c r="T623" s="1" t="str">
        <f>IF(OR(Table1[[#This Row],[Low Tol]]="",Table1[[#This Row],[High Tol]]=""),"Needs Analysis",IF(Table1[[#This Row],[Ratio]]&gt;=4,"Not Significant",IF(Table1[[#This Row],[Ratio]]&gt;=2,"Semi-Significant","Significant")))</f>
        <v>Needs Analysis</v>
      </c>
      <c r="W623" s="1">
        <f>IF(Table1[[#This Row],[Cal Type]]&lt;&gt;"ACCREDITED 17025 WITH UNCERTAINTIES",0,"")</f>
        <v>0</v>
      </c>
      <c r="X623" s="1" t="str">
        <f>IF(Table1[[#This Row],[DUT Read]]="","N/A",Table1[[#This Row],[Std Error]]+Table1[[#This Row],[DUT Read]]+Table1[[#This Row],[DUT Ucty]])</f>
        <v>N/A</v>
      </c>
      <c r="Y623" s="1" t="str">
        <f>IF(Table1[[#This Row],[Std Read]]="","N/A",Table1[[#This Row],[Std Read]]+Table1[[#This Row],[Std Ucty]])</f>
        <v>N/A</v>
      </c>
      <c r="Z6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3" s="1" t="str">
        <f>IF(Table1[[#This Row],[Spec Type]]="","N/A",Table1[[#This Row],[Spec Type]])</f>
        <v>±</v>
      </c>
      <c r="AC623" s="1" t="str">
        <f>IF(Table1[[#This Row],[Spec Type2]]="N/A","N/A",IF(AND(Table1[[#This Row],[DUT Adj Read]]&gt;=Table1[[#This Row],[Low Tol]],Table1[[#This Row],[DUT Adj Read]]&lt;=Table1[[#This Row],[High Tol]]),"Pass","Fail"))</f>
        <v>Fail</v>
      </c>
      <c r="AD623" s="1" t="str">
        <f>IF(AND(Table1[[#This Row],[Spec Type2]]="N/A",Table1[[#This Row],[DUT Adj Read]]="N/A",Table1[[#This Row],[Std Adj Read]]="N/A"),"N/A",IF(Table1[[#This Row],[DUT Adj Read]]="N/A",IF(Table1[[#This Row],[Std Adj Read]]&gt;Table1[[#This Row],[Low Tol]],"Pass","Fail"),IF(Table1[[#This Row],[DUT Adj Read]]&gt;Table1[[#This Row],[Low Tol]],"Pass","Fail")))</f>
        <v>Pass</v>
      </c>
      <c r="AE623" s="1" t="str">
        <f>IF(AND(Table1[[#This Row],[Spec Type2]]="N/A",Table1[[#This Row],[DUT Adj Read]]="N/A",Table1[[#This Row],[Std Adj Read]]="N/A"),"N/A",IF(Table1[[#This Row],[DUT Adj Read]]="N/A",IF(Table1[[#This Row],[Std Adj Read]]&lt;Table1[[#This Row],[High Tol]],"Pass","Fail"),IF(Table1[[#This Row],[DUT Adj Read]]&lt;Table1[[#This Row],[High Tol]],"Pass","Fail")))</f>
        <v>Fail</v>
      </c>
      <c r="AF623" s="1" t="str">
        <f>IF(AND(Table1[[#This Row],[Spec Type2]]="N/A",Table1[[#This Row],[DUT Adj Read]]="N/A",Table1[[#This Row],[Std Adj Read]]="N/A"),"N/A",IF(Table1[[#This Row],[DUT Adj Read]]="N/A",IF(Table1[[#This Row],[Std Adj Read]]&gt;=Table1[[#This Row],[Low Tol]],"Pass","Fail"),IF(Table1[[#This Row],[DUT Adj Read]]&gt;=Table1[[#This Row],[Low Tol]],"Pass","Fail")))</f>
        <v>Pass</v>
      </c>
      <c r="AG623" s="1" t="str">
        <f>IF(AND(Table1[[#This Row],[Spec Type2]]="N/A",Table1[[#This Row],[DUT Adj Read]]="N/A",Table1[[#This Row],[Std Adj Read]]="N/A"),"N/A",IF(Table1[[#This Row],[DUT Adj Read]]="N/A",IF(Table1[[#This Row],[Std Adj Read]]&lt;=Table1[[#This Row],[High Tol]],"Pass","Fail"),IF(Table1[[#This Row],[DUT Adj Read]]&lt;=Table1[[#This Row],[High Tol]],"Pass","Fail")))</f>
        <v>Fail</v>
      </c>
      <c r="AH6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3" s="1" t="b">
        <v>0</v>
      </c>
      <c r="AN623" s="1" t="b">
        <v>0</v>
      </c>
      <c r="AO623" s="1" t="b">
        <v>0</v>
      </c>
    </row>
    <row r="624" spans="1:41" x14ac:dyDescent="0.25">
      <c r="A624" s="10"/>
      <c r="B624" s="10"/>
      <c r="C624" s="10"/>
      <c r="D624" s="10"/>
      <c r="E624" s="10"/>
      <c r="F624" s="10"/>
      <c r="G624" s="10"/>
      <c r="H624" s="10"/>
      <c r="I624" s="1" t="str">
        <f t="shared" si="27"/>
        <v/>
      </c>
      <c r="J624" s="1" t="s">
        <v>35</v>
      </c>
      <c r="K624" s="1" t="str">
        <f t="shared" si="28"/>
        <v/>
      </c>
      <c r="L624" s="1" t="str">
        <f t="shared" si="29"/>
        <v/>
      </c>
      <c r="M624" s="1">
        <f>IF(OR(Table1[[#This Row],[Std Nom]]="",Table1[[#This Row],[Std Read]]=""),0,Table1[[#This Row],[Std Nom]]-Table1[[#This Row],[Std Read]])</f>
        <v>0</v>
      </c>
      <c r="N624" s="1">
        <f>IF(Calculations!$F$5="ACCREDITED 17025 WITH UNCERTAINTIES",$N$10,0)</f>
        <v>0</v>
      </c>
      <c r="Q624" s="1">
        <f>Table1[[#This Row],[High Tol]]-Table1[[#This Row],[Low Tol]]</f>
        <v>0</v>
      </c>
      <c r="R624" s="1">
        <f>2*Table1[[#This Row],[Std Error]]</f>
        <v>0</v>
      </c>
      <c r="S624" s="1" t="str">
        <f>IF(Table1[[#This Row],[High Tol]]="","N/A",IFERROR(ABS(Table1[[#This Row],[Tol Span]]/Table1[[#This Row],[Error Span]]),"N/A"))</f>
        <v>N/A</v>
      </c>
      <c r="T624" s="1" t="str">
        <f>IF(OR(Table1[[#This Row],[Low Tol]]="",Table1[[#This Row],[High Tol]]=""),"Needs Analysis",IF(Table1[[#This Row],[Ratio]]&gt;=4,"Not Significant",IF(Table1[[#This Row],[Ratio]]&gt;=2,"Semi-Significant","Significant")))</f>
        <v>Needs Analysis</v>
      </c>
      <c r="W624" s="1">
        <f>IF(Table1[[#This Row],[Cal Type]]&lt;&gt;"ACCREDITED 17025 WITH UNCERTAINTIES",0,"")</f>
        <v>0</v>
      </c>
      <c r="X624" s="1" t="str">
        <f>IF(Table1[[#This Row],[DUT Read]]="","N/A",Table1[[#This Row],[Std Error]]+Table1[[#This Row],[DUT Read]]+Table1[[#This Row],[DUT Ucty]])</f>
        <v>N/A</v>
      </c>
      <c r="Y624" s="1" t="str">
        <f>IF(Table1[[#This Row],[Std Read]]="","N/A",Table1[[#This Row],[Std Read]]+Table1[[#This Row],[Std Ucty]])</f>
        <v>N/A</v>
      </c>
      <c r="Z6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4" s="1" t="str">
        <f>IF(Table1[[#This Row],[Spec Type]]="","N/A",Table1[[#This Row],[Spec Type]])</f>
        <v>±</v>
      </c>
      <c r="AC624" s="1" t="str">
        <f>IF(Table1[[#This Row],[Spec Type2]]="N/A","N/A",IF(AND(Table1[[#This Row],[DUT Adj Read]]&gt;=Table1[[#This Row],[Low Tol]],Table1[[#This Row],[DUT Adj Read]]&lt;=Table1[[#This Row],[High Tol]]),"Pass","Fail"))</f>
        <v>Fail</v>
      </c>
      <c r="AD624" s="1" t="str">
        <f>IF(AND(Table1[[#This Row],[Spec Type2]]="N/A",Table1[[#This Row],[DUT Adj Read]]="N/A",Table1[[#This Row],[Std Adj Read]]="N/A"),"N/A",IF(Table1[[#This Row],[DUT Adj Read]]="N/A",IF(Table1[[#This Row],[Std Adj Read]]&gt;Table1[[#This Row],[Low Tol]],"Pass","Fail"),IF(Table1[[#This Row],[DUT Adj Read]]&gt;Table1[[#This Row],[Low Tol]],"Pass","Fail")))</f>
        <v>Pass</v>
      </c>
      <c r="AE624" s="1" t="str">
        <f>IF(AND(Table1[[#This Row],[Spec Type2]]="N/A",Table1[[#This Row],[DUT Adj Read]]="N/A",Table1[[#This Row],[Std Adj Read]]="N/A"),"N/A",IF(Table1[[#This Row],[DUT Adj Read]]="N/A",IF(Table1[[#This Row],[Std Adj Read]]&lt;Table1[[#This Row],[High Tol]],"Pass","Fail"),IF(Table1[[#This Row],[DUT Adj Read]]&lt;Table1[[#This Row],[High Tol]],"Pass","Fail")))</f>
        <v>Fail</v>
      </c>
      <c r="AF624" s="1" t="str">
        <f>IF(AND(Table1[[#This Row],[Spec Type2]]="N/A",Table1[[#This Row],[DUT Adj Read]]="N/A",Table1[[#This Row],[Std Adj Read]]="N/A"),"N/A",IF(Table1[[#This Row],[DUT Adj Read]]="N/A",IF(Table1[[#This Row],[Std Adj Read]]&gt;=Table1[[#This Row],[Low Tol]],"Pass","Fail"),IF(Table1[[#This Row],[DUT Adj Read]]&gt;=Table1[[#This Row],[Low Tol]],"Pass","Fail")))</f>
        <v>Pass</v>
      </c>
      <c r="AG624" s="1" t="str">
        <f>IF(AND(Table1[[#This Row],[Spec Type2]]="N/A",Table1[[#This Row],[DUT Adj Read]]="N/A",Table1[[#This Row],[Std Adj Read]]="N/A"),"N/A",IF(Table1[[#This Row],[DUT Adj Read]]="N/A",IF(Table1[[#This Row],[Std Adj Read]]&lt;=Table1[[#This Row],[High Tol]],"Pass","Fail"),IF(Table1[[#This Row],[DUT Adj Read]]&lt;=Table1[[#This Row],[High Tol]],"Pass","Fail")))</f>
        <v>Fail</v>
      </c>
      <c r="AH6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4" s="1" t="b">
        <v>0</v>
      </c>
      <c r="AN624" s="1" t="b">
        <v>0</v>
      </c>
      <c r="AO624" s="1" t="b">
        <v>0</v>
      </c>
    </row>
    <row r="625" spans="1:41" x14ac:dyDescent="0.25">
      <c r="A625" s="10"/>
      <c r="B625" s="10"/>
      <c r="C625" s="10"/>
      <c r="D625" s="10"/>
      <c r="E625" s="10"/>
      <c r="F625" s="10"/>
      <c r="G625" s="10"/>
      <c r="H625" s="10"/>
      <c r="I625" s="1" t="str">
        <f t="shared" si="27"/>
        <v/>
      </c>
      <c r="J625" s="1" t="s">
        <v>35</v>
      </c>
      <c r="K625" s="1" t="str">
        <f t="shared" si="28"/>
        <v/>
      </c>
      <c r="L625" s="1" t="str">
        <f t="shared" si="29"/>
        <v/>
      </c>
      <c r="M625" s="1">
        <f>IF(OR(Table1[[#This Row],[Std Nom]]="",Table1[[#This Row],[Std Read]]=""),0,Table1[[#This Row],[Std Nom]]-Table1[[#This Row],[Std Read]])</f>
        <v>0</v>
      </c>
      <c r="N625" s="1">
        <f>IF(Calculations!$F$5="ACCREDITED 17025 WITH UNCERTAINTIES",$N$10,0)</f>
        <v>0</v>
      </c>
      <c r="Q625" s="1">
        <f>Table1[[#This Row],[High Tol]]-Table1[[#This Row],[Low Tol]]</f>
        <v>0</v>
      </c>
      <c r="R625" s="1">
        <f>2*Table1[[#This Row],[Std Error]]</f>
        <v>0</v>
      </c>
      <c r="S625" s="1" t="str">
        <f>IF(Table1[[#This Row],[High Tol]]="","N/A",IFERROR(ABS(Table1[[#This Row],[Tol Span]]/Table1[[#This Row],[Error Span]]),"N/A"))</f>
        <v>N/A</v>
      </c>
      <c r="T625" s="1" t="str">
        <f>IF(OR(Table1[[#This Row],[Low Tol]]="",Table1[[#This Row],[High Tol]]=""),"Needs Analysis",IF(Table1[[#This Row],[Ratio]]&gt;=4,"Not Significant",IF(Table1[[#This Row],[Ratio]]&gt;=2,"Semi-Significant","Significant")))</f>
        <v>Needs Analysis</v>
      </c>
      <c r="W625" s="1">
        <f>IF(Table1[[#This Row],[Cal Type]]&lt;&gt;"ACCREDITED 17025 WITH UNCERTAINTIES",0,"")</f>
        <v>0</v>
      </c>
      <c r="X625" s="1" t="str">
        <f>IF(Table1[[#This Row],[DUT Read]]="","N/A",Table1[[#This Row],[Std Error]]+Table1[[#This Row],[DUT Read]]+Table1[[#This Row],[DUT Ucty]])</f>
        <v>N/A</v>
      </c>
      <c r="Y625" s="1" t="str">
        <f>IF(Table1[[#This Row],[Std Read]]="","N/A",Table1[[#This Row],[Std Read]]+Table1[[#This Row],[Std Ucty]])</f>
        <v>N/A</v>
      </c>
      <c r="Z6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5" s="1" t="str">
        <f>IF(Table1[[#This Row],[Spec Type]]="","N/A",Table1[[#This Row],[Spec Type]])</f>
        <v>±</v>
      </c>
      <c r="AC625" s="1" t="str">
        <f>IF(Table1[[#This Row],[Spec Type2]]="N/A","N/A",IF(AND(Table1[[#This Row],[DUT Adj Read]]&gt;=Table1[[#This Row],[Low Tol]],Table1[[#This Row],[DUT Adj Read]]&lt;=Table1[[#This Row],[High Tol]]),"Pass","Fail"))</f>
        <v>Fail</v>
      </c>
      <c r="AD625" s="1" t="str">
        <f>IF(AND(Table1[[#This Row],[Spec Type2]]="N/A",Table1[[#This Row],[DUT Adj Read]]="N/A",Table1[[#This Row],[Std Adj Read]]="N/A"),"N/A",IF(Table1[[#This Row],[DUT Adj Read]]="N/A",IF(Table1[[#This Row],[Std Adj Read]]&gt;Table1[[#This Row],[Low Tol]],"Pass","Fail"),IF(Table1[[#This Row],[DUT Adj Read]]&gt;Table1[[#This Row],[Low Tol]],"Pass","Fail")))</f>
        <v>Pass</v>
      </c>
      <c r="AE625" s="1" t="str">
        <f>IF(AND(Table1[[#This Row],[Spec Type2]]="N/A",Table1[[#This Row],[DUT Adj Read]]="N/A",Table1[[#This Row],[Std Adj Read]]="N/A"),"N/A",IF(Table1[[#This Row],[DUT Adj Read]]="N/A",IF(Table1[[#This Row],[Std Adj Read]]&lt;Table1[[#This Row],[High Tol]],"Pass","Fail"),IF(Table1[[#This Row],[DUT Adj Read]]&lt;Table1[[#This Row],[High Tol]],"Pass","Fail")))</f>
        <v>Fail</v>
      </c>
      <c r="AF625" s="1" t="str">
        <f>IF(AND(Table1[[#This Row],[Spec Type2]]="N/A",Table1[[#This Row],[DUT Adj Read]]="N/A",Table1[[#This Row],[Std Adj Read]]="N/A"),"N/A",IF(Table1[[#This Row],[DUT Adj Read]]="N/A",IF(Table1[[#This Row],[Std Adj Read]]&gt;=Table1[[#This Row],[Low Tol]],"Pass","Fail"),IF(Table1[[#This Row],[DUT Adj Read]]&gt;=Table1[[#This Row],[Low Tol]],"Pass","Fail")))</f>
        <v>Pass</v>
      </c>
      <c r="AG625" s="1" t="str">
        <f>IF(AND(Table1[[#This Row],[Spec Type2]]="N/A",Table1[[#This Row],[DUT Adj Read]]="N/A",Table1[[#This Row],[Std Adj Read]]="N/A"),"N/A",IF(Table1[[#This Row],[DUT Adj Read]]="N/A",IF(Table1[[#This Row],[Std Adj Read]]&lt;=Table1[[#This Row],[High Tol]],"Pass","Fail"),IF(Table1[[#This Row],[DUT Adj Read]]&lt;=Table1[[#This Row],[High Tol]],"Pass","Fail")))</f>
        <v>Fail</v>
      </c>
      <c r="AH6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5" s="1" t="b">
        <v>0</v>
      </c>
      <c r="AN625" s="1" t="b">
        <v>0</v>
      </c>
      <c r="AO625" s="1" t="b">
        <v>0</v>
      </c>
    </row>
    <row r="626" spans="1:41" x14ac:dyDescent="0.25">
      <c r="A626" s="10"/>
      <c r="B626" s="10"/>
      <c r="C626" s="10"/>
      <c r="D626" s="10"/>
      <c r="E626" s="10"/>
      <c r="F626" s="10"/>
      <c r="G626" s="10"/>
      <c r="H626" s="10"/>
      <c r="I626" s="1" t="str">
        <f t="shared" si="27"/>
        <v/>
      </c>
      <c r="J626" s="1" t="s">
        <v>35</v>
      </c>
      <c r="K626" s="1" t="str">
        <f t="shared" si="28"/>
        <v/>
      </c>
      <c r="L626" s="1" t="str">
        <f t="shared" si="29"/>
        <v/>
      </c>
      <c r="M626" s="1">
        <f>IF(OR(Table1[[#This Row],[Std Nom]]="",Table1[[#This Row],[Std Read]]=""),0,Table1[[#This Row],[Std Nom]]-Table1[[#This Row],[Std Read]])</f>
        <v>0</v>
      </c>
      <c r="N626" s="1">
        <f>IF(Calculations!$F$5="ACCREDITED 17025 WITH UNCERTAINTIES",$N$10,0)</f>
        <v>0</v>
      </c>
      <c r="Q626" s="1">
        <f>Table1[[#This Row],[High Tol]]-Table1[[#This Row],[Low Tol]]</f>
        <v>0</v>
      </c>
      <c r="R626" s="1">
        <f>2*Table1[[#This Row],[Std Error]]</f>
        <v>0</v>
      </c>
      <c r="S626" s="1" t="str">
        <f>IF(Table1[[#This Row],[High Tol]]="","N/A",IFERROR(ABS(Table1[[#This Row],[Tol Span]]/Table1[[#This Row],[Error Span]]),"N/A"))</f>
        <v>N/A</v>
      </c>
      <c r="T626" s="1" t="str">
        <f>IF(OR(Table1[[#This Row],[Low Tol]]="",Table1[[#This Row],[High Tol]]=""),"Needs Analysis",IF(Table1[[#This Row],[Ratio]]&gt;=4,"Not Significant",IF(Table1[[#This Row],[Ratio]]&gt;=2,"Semi-Significant","Significant")))</f>
        <v>Needs Analysis</v>
      </c>
      <c r="W626" s="1">
        <f>IF(Table1[[#This Row],[Cal Type]]&lt;&gt;"ACCREDITED 17025 WITH UNCERTAINTIES",0,"")</f>
        <v>0</v>
      </c>
      <c r="X626" s="1" t="str">
        <f>IF(Table1[[#This Row],[DUT Read]]="","N/A",Table1[[#This Row],[Std Error]]+Table1[[#This Row],[DUT Read]]+Table1[[#This Row],[DUT Ucty]])</f>
        <v>N/A</v>
      </c>
      <c r="Y626" s="1" t="str">
        <f>IF(Table1[[#This Row],[Std Read]]="","N/A",Table1[[#This Row],[Std Read]]+Table1[[#This Row],[Std Ucty]])</f>
        <v>N/A</v>
      </c>
      <c r="Z6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6" s="1" t="str">
        <f>IF(Table1[[#This Row],[Spec Type]]="","N/A",Table1[[#This Row],[Spec Type]])</f>
        <v>±</v>
      </c>
      <c r="AC626" s="1" t="str">
        <f>IF(Table1[[#This Row],[Spec Type2]]="N/A","N/A",IF(AND(Table1[[#This Row],[DUT Adj Read]]&gt;=Table1[[#This Row],[Low Tol]],Table1[[#This Row],[DUT Adj Read]]&lt;=Table1[[#This Row],[High Tol]]),"Pass","Fail"))</f>
        <v>Fail</v>
      </c>
      <c r="AD626" s="1" t="str">
        <f>IF(AND(Table1[[#This Row],[Spec Type2]]="N/A",Table1[[#This Row],[DUT Adj Read]]="N/A",Table1[[#This Row],[Std Adj Read]]="N/A"),"N/A",IF(Table1[[#This Row],[DUT Adj Read]]="N/A",IF(Table1[[#This Row],[Std Adj Read]]&gt;Table1[[#This Row],[Low Tol]],"Pass","Fail"),IF(Table1[[#This Row],[DUT Adj Read]]&gt;Table1[[#This Row],[Low Tol]],"Pass","Fail")))</f>
        <v>Pass</v>
      </c>
      <c r="AE626" s="1" t="str">
        <f>IF(AND(Table1[[#This Row],[Spec Type2]]="N/A",Table1[[#This Row],[DUT Adj Read]]="N/A",Table1[[#This Row],[Std Adj Read]]="N/A"),"N/A",IF(Table1[[#This Row],[DUT Adj Read]]="N/A",IF(Table1[[#This Row],[Std Adj Read]]&lt;Table1[[#This Row],[High Tol]],"Pass","Fail"),IF(Table1[[#This Row],[DUT Adj Read]]&lt;Table1[[#This Row],[High Tol]],"Pass","Fail")))</f>
        <v>Fail</v>
      </c>
      <c r="AF626" s="1" t="str">
        <f>IF(AND(Table1[[#This Row],[Spec Type2]]="N/A",Table1[[#This Row],[DUT Adj Read]]="N/A",Table1[[#This Row],[Std Adj Read]]="N/A"),"N/A",IF(Table1[[#This Row],[DUT Adj Read]]="N/A",IF(Table1[[#This Row],[Std Adj Read]]&gt;=Table1[[#This Row],[Low Tol]],"Pass","Fail"),IF(Table1[[#This Row],[DUT Adj Read]]&gt;=Table1[[#This Row],[Low Tol]],"Pass","Fail")))</f>
        <v>Pass</v>
      </c>
      <c r="AG626" s="1" t="str">
        <f>IF(AND(Table1[[#This Row],[Spec Type2]]="N/A",Table1[[#This Row],[DUT Adj Read]]="N/A",Table1[[#This Row],[Std Adj Read]]="N/A"),"N/A",IF(Table1[[#This Row],[DUT Adj Read]]="N/A",IF(Table1[[#This Row],[Std Adj Read]]&lt;=Table1[[#This Row],[High Tol]],"Pass","Fail"),IF(Table1[[#This Row],[DUT Adj Read]]&lt;=Table1[[#This Row],[High Tol]],"Pass","Fail")))</f>
        <v>Fail</v>
      </c>
      <c r="AH6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6" s="1" t="b">
        <v>0</v>
      </c>
      <c r="AN626" s="1" t="b">
        <v>0</v>
      </c>
      <c r="AO626" s="1" t="b">
        <v>0</v>
      </c>
    </row>
    <row r="627" spans="1:41" x14ac:dyDescent="0.25">
      <c r="A627" s="10"/>
      <c r="B627" s="10"/>
      <c r="C627" s="10"/>
      <c r="D627" s="10"/>
      <c r="E627" s="10"/>
      <c r="F627" s="10"/>
      <c r="G627" s="10"/>
      <c r="H627" s="10"/>
      <c r="I627" s="1" t="str">
        <f t="shared" si="27"/>
        <v/>
      </c>
      <c r="J627" s="1" t="s">
        <v>35</v>
      </c>
      <c r="K627" s="1" t="str">
        <f t="shared" si="28"/>
        <v/>
      </c>
      <c r="L627" s="1" t="str">
        <f t="shared" si="29"/>
        <v/>
      </c>
      <c r="M627" s="1">
        <f>IF(OR(Table1[[#This Row],[Std Nom]]="",Table1[[#This Row],[Std Read]]=""),0,Table1[[#This Row],[Std Nom]]-Table1[[#This Row],[Std Read]])</f>
        <v>0</v>
      </c>
      <c r="N627" s="1">
        <f>IF(Calculations!$F$5="ACCREDITED 17025 WITH UNCERTAINTIES",$N$10,0)</f>
        <v>0</v>
      </c>
      <c r="Q627" s="1">
        <f>Table1[[#This Row],[High Tol]]-Table1[[#This Row],[Low Tol]]</f>
        <v>0</v>
      </c>
      <c r="R627" s="1">
        <f>2*Table1[[#This Row],[Std Error]]</f>
        <v>0</v>
      </c>
      <c r="S627" s="1" t="str">
        <f>IF(Table1[[#This Row],[High Tol]]="","N/A",IFERROR(ABS(Table1[[#This Row],[Tol Span]]/Table1[[#This Row],[Error Span]]),"N/A"))</f>
        <v>N/A</v>
      </c>
      <c r="T627" s="1" t="str">
        <f>IF(OR(Table1[[#This Row],[Low Tol]]="",Table1[[#This Row],[High Tol]]=""),"Needs Analysis",IF(Table1[[#This Row],[Ratio]]&gt;=4,"Not Significant",IF(Table1[[#This Row],[Ratio]]&gt;=2,"Semi-Significant","Significant")))</f>
        <v>Needs Analysis</v>
      </c>
      <c r="W627" s="1">
        <f>IF(Table1[[#This Row],[Cal Type]]&lt;&gt;"ACCREDITED 17025 WITH UNCERTAINTIES",0,"")</f>
        <v>0</v>
      </c>
      <c r="X627" s="1" t="str">
        <f>IF(Table1[[#This Row],[DUT Read]]="","N/A",Table1[[#This Row],[Std Error]]+Table1[[#This Row],[DUT Read]]+Table1[[#This Row],[DUT Ucty]])</f>
        <v>N/A</v>
      </c>
      <c r="Y627" s="1" t="str">
        <f>IF(Table1[[#This Row],[Std Read]]="","N/A",Table1[[#This Row],[Std Read]]+Table1[[#This Row],[Std Ucty]])</f>
        <v>N/A</v>
      </c>
      <c r="Z6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7" s="1" t="str">
        <f>IF(Table1[[#This Row],[Spec Type]]="","N/A",Table1[[#This Row],[Spec Type]])</f>
        <v>±</v>
      </c>
      <c r="AC627" s="1" t="str">
        <f>IF(Table1[[#This Row],[Spec Type2]]="N/A","N/A",IF(AND(Table1[[#This Row],[DUT Adj Read]]&gt;=Table1[[#This Row],[Low Tol]],Table1[[#This Row],[DUT Adj Read]]&lt;=Table1[[#This Row],[High Tol]]),"Pass","Fail"))</f>
        <v>Fail</v>
      </c>
      <c r="AD627" s="1" t="str">
        <f>IF(AND(Table1[[#This Row],[Spec Type2]]="N/A",Table1[[#This Row],[DUT Adj Read]]="N/A",Table1[[#This Row],[Std Adj Read]]="N/A"),"N/A",IF(Table1[[#This Row],[DUT Adj Read]]="N/A",IF(Table1[[#This Row],[Std Adj Read]]&gt;Table1[[#This Row],[Low Tol]],"Pass","Fail"),IF(Table1[[#This Row],[DUT Adj Read]]&gt;Table1[[#This Row],[Low Tol]],"Pass","Fail")))</f>
        <v>Pass</v>
      </c>
      <c r="AE627" s="1" t="str">
        <f>IF(AND(Table1[[#This Row],[Spec Type2]]="N/A",Table1[[#This Row],[DUT Adj Read]]="N/A",Table1[[#This Row],[Std Adj Read]]="N/A"),"N/A",IF(Table1[[#This Row],[DUT Adj Read]]="N/A",IF(Table1[[#This Row],[Std Adj Read]]&lt;Table1[[#This Row],[High Tol]],"Pass","Fail"),IF(Table1[[#This Row],[DUT Adj Read]]&lt;Table1[[#This Row],[High Tol]],"Pass","Fail")))</f>
        <v>Fail</v>
      </c>
      <c r="AF627" s="1" t="str">
        <f>IF(AND(Table1[[#This Row],[Spec Type2]]="N/A",Table1[[#This Row],[DUT Adj Read]]="N/A",Table1[[#This Row],[Std Adj Read]]="N/A"),"N/A",IF(Table1[[#This Row],[DUT Adj Read]]="N/A",IF(Table1[[#This Row],[Std Adj Read]]&gt;=Table1[[#This Row],[Low Tol]],"Pass","Fail"),IF(Table1[[#This Row],[DUT Adj Read]]&gt;=Table1[[#This Row],[Low Tol]],"Pass","Fail")))</f>
        <v>Pass</v>
      </c>
      <c r="AG627" s="1" t="str">
        <f>IF(AND(Table1[[#This Row],[Spec Type2]]="N/A",Table1[[#This Row],[DUT Adj Read]]="N/A",Table1[[#This Row],[Std Adj Read]]="N/A"),"N/A",IF(Table1[[#This Row],[DUT Adj Read]]="N/A",IF(Table1[[#This Row],[Std Adj Read]]&lt;=Table1[[#This Row],[High Tol]],"Pass","Fail"),IF(Table1[[#This Row],[DUT Adj Read]]&lt;=Table1[[#This Row],[High Tol]],"Pass","Fail")))</f>
        <v>Fail</v>
      </c>
      <c r="AH6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7" s="1" t="b">
        <v>0</v>
      </c>
      <c r="AN627" s="1" t="b">
        <v>0</v>
      </c>
      <c r="AO627" s="1" t="b">
        <v>0</v>
      </c>
    </row>
    <row r="628" spans="1:41" x14ac:dyDescent="0.25">
      <c r="A628" s="10"/>
      <c r="B628" s="10"/>
      <c r="C628" s="10"/>
      <c r="D628" s="10"/>
      <c r="E628" s="10"/>
      <c r="F628" s="10"/>
      <c r="G628" s="10"/>
      <c r="H628" s="10"/>
      <c r="I628" s="1" t="str">
        <f t="shared" si="27"/>
        <v/>
      </c>
      <c r="J628" s="1" t="s">
        <v>35</v>
      </c>
      <c r="K628" s="1" t="str">
        <f t="shared" si="28"/>
        <v/>
      </c>
      <c r="L628" s="1" t="str">
        <f t="shared" si="29"/>
        <v/>
      </c>
      <c r="M628" s="1">
        <f>IF(OR(Table1[[#This Row],[Std Nom]]="",Table1[[#This Row],[Std Read]]=""),0,Table1[[#This Row],[Std Nom]]-Table1[[#This Row],[Std Read]])</f>
        <v>0</v>
      </c>
      <c r="N628" s="1">
        <f>IF(Calculations!$F$5="ACCREDITED 17025 WITH UNCERTAINTIES",$N$10,0)</f>
        <v>0</v>
      </c>
      <c r="Q628" s="1">
        <f>Table1[[#This Row],[High Tol]]-Table1[[#This Row],[Low Tol]]</f>
        <v>0</v>
      </c>
      <c r="R628" s="1">
        <f>2*Table1[[#This Row],[Std Error]]</f>
        <v>0</v>
      </c>
      <c r="S628" s="1" t="str">
        <f>IF(Table1[[#This Row],[High Tol]]="","N/A",IFERROR(ABS(Table1[[#This Row],[Tol Span]]/Table1[[#This Row],[Error Span]]),"N/A"))</f>
        <v>N/A</v>
      </c>
      <c r="T628" s="1" t="str">
        <f>IF(OR(Table1[[#This Row],[Low Tol]]="",Table1[[#This Row],[High Tol]]=""),"Needs Analysis",IF(Table1[[#This Row],[Ratio]]&gt;=4,"Not Significant",IF(Table1[[#This Row],[Ratio]]&gt;=2,"Semi-Significant","Significant")))</f>
        <v>Needs Analysis</v>
      </c>
      <c r="W628" s="1">
        <f>IF(Table1[[#This Row],[Cal Type]]&lt;&gt;"ACCREDITED 17025 WITH UNCERTAINTIES",0,"")</f>
        <v>0</v>
      </c>
      <c r="X628" s="1" t="str">
        <f>IF(Table1[[#This Row],[DUT Read]]="","N/A",Table1[[#This Row],[Std Error]]+Table1[[#This Row],[DUT Read]]+Table1[[#This Row],[DUT Ucty]])</f>
        <v>N/A</v>
      </c>
      <c r="Y628" s="1" t="str">
        <f>IF(Table1[[#This Row],[Std Read]]="","N/A",Table1[[#This Row],[Std Read]]+Table1[[#This Row],[Std Ucty]])</f>
        <v>N/A</v>
      </c>
      <c r="Z6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8" s="1" t="str">
        <f>IF(Table1[[#This Row],[Spec Type]]="","N/A",Table1[[#This Row],[Spec Type]])</f>
        <v>±</v>
      </c>
      <c r="AC628" s="1" t="str">
        <f>IF(Table1[[#This Row],[Spec Type2]]="N/A","N/A",IF(AND(Table1[[#This Row],[DUT Adj Read]]&gt;=Table1[[#This Row],[Low Tol]],Table1[[#This Row],[DUT Adj Read]]&lt;=Table1[[#This Row],[High Tol]]),"Pass","Fail"))</f>
        <v>Fail</v>
      </c>
      <c r="AD628" s="1" t="str">
        <f>IF(AND(Table1[[#This Row],[Spec Type2]]="N/A",Table1[[#This Row],[DUT Adj Read]]="N/A",Table1[[#This Row],[Std Adj Read]]="N/A"),"N/A",IF(Table1[[#This Row],[DUT Adj Read]]="N/A",IF(Table1[[#This Row],[Std Adj Read]]&gt;Table1[[#This Row],[Low Tol]],"Pass","Fail"),IF(Table1[[#This Row],[DUT Adj Read]]&gt;Table1[[#This Row],[Low Tol]],"Pass","Fail")))</f>
        <v>Pass</v>
      </c>
      <c r="AE628" s="1" t="str">
        <f>IF(AND(Table1[[#This Row],[Spec Type2]]="N/A",Table1[[#This Row],[DUT Adj Read]]="N/A",Table1[[#This Row],[Std Adj Read]]="N/A"),"N/A",IF(Table1[[#This Row],[DUT Adj Read]]="N/A",IF(Table1[[#This Row],[Std Adj Read]]&lt;Table1[[#This Row],[High Tol]],"Pass","Fail"),IF(Table1[[#This Row],[DUT Adj Read]]&lt;Table1[[#This Row],[High Tol]],"Pass","Fail")))</f>
        <v>Fail</v>
      </c>
      <c r="AF628" s="1" t="str">
        <f>IF(AND(Table1[[#This Row],[Spec Type2]]="N/A",Table1[[#This Row],[DUT Adj Read]]="N/A",Table1[[#This Row],[Std Adj Read]]="N/A"),"N/A",IF(Table1[[#This Row],[DUT Adj Read]]="N/A",IF(Table1[[#This Row],[Std Adj Read]]&gt;=Table1[[#This Row],[Low Tol]],"Pass","Fail"),IF(Table1[[#This Row],[DUT Adj Read]]&gt;=Table1[[#This Row],[Low Tol]],"Pass","Fail")))</f>
        <v>Pass</v>
      </c>
      <c r="AG628" s="1" t="str">
        <f>IF(AND(Table1[[#This Row],[Spec Type2]]="N/A",Table1[[#This Row],[DUT Adj Read]]="N/A",Table1[[#This Row],[Std Adj Read]]="N/A"),"N/A",IF(Table1[[#This Row],[DUT Adj Read]]="N/A",IF(Table1[[#This Row],[Std Adj Read]]&lt;=Table1[[#This Row],[High Tol]],"Pass","Fail"),IF(Table1[[#This Row],[DUT Adj Read]]&lt;=Table1[[#This Row],[High Tol]],"Pass","Fail")))</f>
        <v>Fail</v>
      </c>
      <c r="AH6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8" s="1" t="b">
        <v>0</v>
      </c>
      <c r="AN628" s="1" t="b">
        <v>0</v>
      </c>
      <c r="AO628" s="1" t="b">
        <v>0</v>
      </c>
    </row>
    <row r="629" spans="1:41" x14ac:dyDescent="0.25">
      <c r="A629" s="10"/>
      <c r="B629" s="10"/>
      <c r="C629" s="10"/>
      <c r="D629" s="10"/>
      <c r="E629" s="10"/>
      <c r="F629" s="10"/>
      <c r="G629" s="10"/>
      <c r="H629" s="10"/>
      <c r="I629" s="1" t="str">
        <f t="shared" si="27"/>
        <v/>
      </c>
      <c r="J629" s="1" t="s">
        <v>35</v>
      </c>
      <c r="K629" s="1" t="str">
        <f t="shared" si="28"/>
        <v/>
      </c>
      <c r="L629" s="1" t="str">
        <f t="shared" si="29"/>
        <v/>
      </c>
      <c r="M629" s="1">
        <f>IF(OR(Table1[[#This Row],[Std Nom]]="",Table1[[#This Row],[Std Read]]=""),0,Table1[[#This Row],[Std Nom]]-Table1[[#This Row],[Std Read]])</f>
        <v>0</v>
      </c>
      <c r="N629" s="1">
        <f>IF(Calculations!$F$5="ACCREDITED 17025 WITH UNCERTAINTIES",$N$10,0)</f>
        <v>0</v>
      </c>
      <c r="Q629" s="1">
        <f>Table1[[#This Row],[High Tol]]-Table1[[#This Row],[Low Tol]]</f>
        <v>0</v>
      </c>
      <c r="R629" s="1">
        <f>2*Table1[[#This Row],[Std Error]]</f>
        <v>0</v>
      </c>
      <c r="S629" s="1" t="str">
        <f>IF(Table1[[#This Row],[High Tol]]="","N/A",IFERROR(ABS(Table1[[#This Row],[Tol Span]]/Table1[[#This Row],[Error Span]]),"N/A"))</f>
        <v>N/A</v>
      </c>
      <c r="T629" s="1" t="str">
        <f>IF(OR(Table1[[#This Row],[Low Tol]]="",Table1[[#This Row],[High Tol]]=""),"Needs Analysis",IF(Table1[[#This Row],[Ratio]]&gt;=4,"Not Significant",IF(Table1[[#This Row],[Ratio]]&gt;=2,"Semi-Significant","Significant")))</f>
        <v>Needs Analysis</v>
      </c>
      <c r="W629" s="1">
        <f>IF(Table1[[#This Row],[Cal Type]]&lt;&gt;"ACCREDITED 17025 WITH UNCERTAINTIES",0,"")</f>
        <v>0</v>
      </c>
      <c r="X629" s="1" t="str">
        <f>IF(Table1[[#This Row],[DUT Read]]="","N/A",Table1[[#This Row],[Std Error]]+Table1[[#This Row],[DUT Read]]+Table1[[#This Row],[DUT Ucty]])</f>
        <v>N/A</v>
      </c>
      <c r="Y629" s="1" t="str">
        <f>IF(Table1[[#This Row],[Std Read]]="","N/A",Table1[[#This Row],[Std Read]]+Table1[[#This Row],[Std Ucty]])</f>
        <v>N/A</v>
      </c>
      <c r="Z6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29" s="1" t="str">
        <f>IF(Table1[[#This Row],[Spec Type]]="","N/A",Table1[[#This Row],[Spec Type]])</f>
        <v>±</v>
      </c>
      <c r="AC629" s="1" t="str">
        <f>IF(Table1[[#This Row],[Spec Type2]]="N/A","N/A",IF(AND(Table1[[#This Row],[DUT Adj Read]]&gt;=Table1[[#This Row],[Low Tol]],Table1[[#This Row],[DUT Adj Read]]&lt;=Table1[[#This Row],[High Tol]]),"Pass","Fail"))</f>
        <v>Fail</v>
      </c>
      <c r="AD629" s="1" t="str">
        <f>IF(AND(Table1[[#This Row],[Spec Type2]]="N/A",Table1[[#This Row],[DUT Adj Read]]="N/A",Table1[[#This Row],[Std Adj Read]]="N/A"),"N/A",IF(Table1[[#This Row],[DUT Adj Read]]="N/A",IF(Table1[[#This Row],[Std Adj Read]]&gt;Table1[[#This Row],[Low Tol]],"Pass","Fail"),IF(Table1[[#This Row],[DUT Adj Read]]&gt;Table1[[#This Row],[Low Tol]],"Pass","Fail")))</f>
        <v>Pass</v>
      </c>
      <c r="AE629" s="1" t="str">
        <f>IF(AND(Table1[[#This Row],[Spec Type2]]="N/A",Table1[[#This Row],[DUT Adj Read]]="N/A",Table1[[#This Row],[Std Adj Read]]="N/A"),"N/A",IF(Table1[[#This Row],[DUT Adj Read]]="N/A",IF(Table1[[#This Row],[Std Adj Read]]&lt;Table1[[#This Row],[High Tol]],"Pass","Fail"),IF(Table1[[#This Row],[DUT Adj Read]]&lt;Table1[[#This Row],[High Tol]],"Pass","Fail")))</f>
        <v>Fail</v>
      </c>
      <c r="AF629" s="1" t="str">
        <f>IF(AND(Table1[[#This Row],[Spec Type2]]="N/A",Table1[[#This Row],[DUT Adj Read]]="N/A",Table1[[#This Row],[Std Adj Read]]="N/A"),"N/A",IF(Table1[[#This Row],[DUT Adj Read]]="N/A",IF(Table1[[#This Row],[Std Adj Read]]&gt;=Table1[[#This Row],[Low Tol]],"Pass","Fail"),IF(Table1[[#This Row],[DUT Adj Read]]&gt;=Table1[[#This Row],[Low Tol]],"Pass","Fail")))</f>
        <v>Pass</v>
      </c>
      <c r="AG629" s="1" t="str">
        <f>IF(AND(Table1[[#This Row],[Spec Type2]]="N/A",Table1[[#This Row],[DUT Adj Read]]="N/A",Table1[[#This Row],[Std Adj Read]]="N/A"),"N/A",IF(Table1[[#This Row],[DUT Adj Read]]="N/A",IF(Table1[[#This Row],[Std Adj Read]]&lt;=Table1[[#This Row],[High Tol]],"Pass","Fail"),IF(Table1[[#This Row],[DUT Adj Read]]&lt;=Table1[[#This Row],[High Tol]],"Pass","Fail")))</f>
        <v>Fail</v>
      </c>
      <c r="AH6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29" s="1" t="b">
        <v>0</v>
      </c>
      <c r="AN629" s="1" t="b">
        <v>0</v>
      </c>
      <c r="AO629" s="1" t="b">
        <v>0</v>
      </c>
    </row>
    <row r="630" spans="1:41" x14ac:dyDescent="0.25">
      <c r="A630" s="10"/>
      <c r="B630" s="10"/>
      <c r="C630" s="10"/>
      <c r="D630" s="10"/>
      <c r="E630" s="10"/>
      <c r="F630" s="10"/>
      <c r="G630" s="10"/>
      <c r="H630" s="10"/>
      <c r="I630" s="1" t="str">
        <f t="shared" si="27"/>
        <v/>
      </c>
      <c r="J630" s="1" t="s">
        <v>35</v>
      </c>
      <c r="K630" s="1" t="str">
        <f t="shared" si="28"/>
        <v/>
      </c>
      <c r="L630" s="1" t="str">
        <f t="shared" si="29"/>
        <v/>
      </c>
      <c r="M630" s="1">
        <f>IF(OR(Table1[[#This Row],[Std Nom]]="",Table1[[#This Row],[Std Read]]=""),0,Table1[[#This Row],[Std Nom]]-Table1[[#This Row],[Std Read]])</f>
        <v>0</v>
      </c>
      <c r="N630" s="1">
        <f>IF(Calculations!$F$5="ACCREDITED 17025 WITH UNCERTAINTIES",$N$10,0)</f>
        <v>0</v>
      </c>
      <c r="Q630" s="1">
        <f>Table1[[#This Row],[High Tol]]-Table1[[#This Row],[Low Tol]]</f>
        <v>0</v>
      </c>
      <c r="R630" s="1">
        <f>2*Table1[[#This Row],[Std Error]]</f>
        <v>0</v>
      </c>
      <c r="S630" s="1" t="str">
        <f>IF(Table1[[#This Row],[High Tol]]="","N/A",IFERROR(ABS(Table1[[#This Row],[Tol Span]]/Table1[[#This Row],[Error Span]]),"N/A"))</f>
        <v>N/A</v>
      </c>
      <c r="T630" s="1" t="str">
        <f>IF(OR(Table1[[#This Row],[Low Tol]]="",Table1[[#This Row],[High Tol]]=""),"Needs Analysis",IF(Table1[[#This Row],[Ratio]]&gt;=4,"Not Significant",IF(Table1[[#This Row],[Ratio]]&gt;=2,"Semi-Significant","Significant")))</f>
        <v>Needs Analysis</v>
      </c>
      <c r="W630" s="1">
        <f>IF(Table1[[#This Row],[Cal Type]]&lt;&gt;"ACCREDITED 17025 WITH UNCERTAINTIES",0,"")</f>
        <v>0</v>
      </c>
      <c r="X630" s="1" t="str">
        <f>IF(Table1[[#This Row],[DUT Read]]="","N/A",Table1[[#This Row],[Std Error]]+Table1[[#This Row],[DUT Read]]+Table1[[#This Row],[DUT Ucty]])</f>
        <v>N/A</v>
      </c>
      <c r="Y630" s="1" t="str">
        <f>IF(Table1[[#This Row],[Std Read]]="","N/A",Table1[[#This Row],[Std Read]]+Table1[[#This Row],[Std Ucty]])</f>
        <v>N/A</v>
      </c>
      <c r="Z6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0" s="1" t="str">
        <f>IF(Table1[[#This Row],[Spec Type]]="","N/A",Table1[[#This Row],[Spec Type]])</f>
        <v>±</v>
      </c>
      <c r="AC630" s="1" t="str">
        <f>IF(Table1[[#This Row],[Spec Type2]]="N/A","N/A",IF(AND(Table1[[#This Row],[DUT Adj Read]]&gt;=Table1[[#This Row],[Low Tol]],Table1[[#This Row],[DUT Adj Read]]&lt;=Table1[[#This Row],[High Tol]]),"Pass","Fail"))</f>
        <v>Fail</v>
      </c>
      <c r="AD630" s="1" t="str">
        <f>IF(AND(Table1[[#This Row],[Spec Type2]]="N/A",Table1[[#This Row],[DUT Adj Read]]="N/A",Table1[[#This Row],[Std Adj Read]]="N/A"),"N/A",IF(Table1[[#This Row],[DUT Adj Read]]="N/A",IF(Table1[[#This Row],[Std Adj Read]]&gt;Table1[[#This Row],[Low Tol]],"Pass","Fail"),IF(Table1[[#This Row],[DUT Adj Read]]&gt;Table1[[#This Row],[Low Tol]],"Pass","Fail")))</f>
        <v>Pass</v>
      </c>
      <c r="AE630" s="1" t="str">
        <f>IF(AND(Table1[[#This Row],[Spec Type2]]="N/A",Table1[[#This Row],[DUT Adj Read]]="N/A",Table1[[#This Row],[Std Adj Read]]="N/A"),"N/A",IF(Table1[[#This Row],[DUT Adj Read]]="N/A",IF(Table1[[#This Row],[Std Adj Read]]&lt;Table1[[#This Row],[High Tol]],"Pass","Fail"),IF(Table1[[#This Row],[DUT Adj Read]]&lt;Table1[[#This Row],[High Tol]],"Pass","Fail")))</f>
        <v>Fail</v>
      </c>
      <c r="AF630" s="1" t="str">
        <f>IF(AND(Table1[[#This Row],[Spec Type2]]="N/A",Table1[[#This Row],[DUT Adj Read]]="N/A",Table1[[#This Row],[Std Adj Read]]="N/A"),"N/A",IF(Table1[[#This Row],[DUT Adj Read]]="N/A",IF(Table1[[#This Row],[Std Adj Read]]&gt;=Table1[[#This Row],[Low Tol]],"Pass","Fail"),IF(Table1[[#This Row],[DUT Adj Read]]&gt;=Table1[[#This Row],[Low Tol]],"Pass","Fail")))</f>
        <v>Pass</v>
      </c>
      <c r="AG630" s="1" t="str">
        <f>IF(AND(Table1[[#This Row],[Spec Type2]]="N/A",Table1[[#This Row],[DUT Adj Read]]="N/A",Table1[[#This Row],[Std Adj Read]]="N/A"),"N/A",IF(Table1[[#This Row],[DUT Adj Read]]="N/A",IF(Table1[[#This Row],[Std Adj Read]]&lt;=Table1[[#This Row],[High Tol]],"Pass","Fail"),IF(Table1[[#This Row],[DUT Adj Read]]&lt;=Table1[[#This Row],[High Tol]],"Pass","Fail")))</f>
        <v>Fail</v>
      </c>
      <c r="AH6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0" s="1" t="b">
        <v>0</v>
      </c>
      <c r="AN630" s="1" t="b">
        <v>0</v>
      </c>
      <c r="AO630" s="1" t="b">
        <v>0</v>
      </c>
    </row>
    <row r="631" spans="1:41" x14ac:dyDescent="0.25">
      <c r="A631" s="10"/>
      <c r="B631" s="10"/>
      <c r="C631" s="10"/>
      <c r="D631" s="10"/>
      <c r="E631" s="10"/>
      <c r="F631" s="10"/>
      <c r="G631" s="10"/>
      <c r="H631" s="10"/>
      <c r="I631" s="1" t="str">
        <f t="shared" si="27"/>
        <v/>
      </c>
      <c r="J631" s="1" t="s">
        <v>35</v>
      </c>
      <c r="K631" s="1" t="str">
        <f t="shared" si="28"/>
        <v/>
      </c>
      <c r="L631" s="1" t="str">
        <f t="shared" si="29"/>
        <v/>
      </c>
      <c r="M631" s="1">
        <f>IF(OR(Table1[[#This Row],[Std Nom]]="",Table1[[#This Row],[Std Read]]=""),0,Table1[[#This Row],[Std Nom]]-Table1[[#This Row],[Std Read]])</f>
        <v>0</v>
      </c>
      <c r="N631" s="1">
        <f>IF(Calculations!$F$5="ACCREDITED 17025 WITH UNCERTAINTIES",$N$10,0)</f>
        <v>0</v>
      </c>
      <c r="Q631" s="1">
        <f>Table1[[#This Row],[High Tol]]-Table1[[#This Row],[Low Tol]]</f>
        <v>0</v>
      </c>
      <c r="R631" s="1">
        <f>2*Table1[[#This Row],[Std Error]]</f>
        <v>0</v>
      </c>
      <c r="S631" s="1" t="str">
        <f>IF(Table1[[#This Row],[High Tol]]="","N/A",IFERROR(ABS(Table1[[#This Row],[Tol Span]]/Table1[[#This Row],[Error Span]]),"N/A"))</f>
        <v>N/A</v>
      </c>
      <c r="T631" s="1" t="str">
        <f>IF(OR(Table1[[#This Row],[Low Tol]]="",Table1[[#This Row],[High Tol]]=""),"Needs Analysis",IF(Table1[[#This Row],[Ratio]]&gt;=4,"Not Significant",IF(Table1[[#This Row],[Ratio]]&gt;=2,"Semi-Significant","Significant")))</f>
        <v>Needs Analysis</v>
      </c>
      <c r="W631" s="1">
        <f>IF(Table1[[#This Row],[Cal Type]]&lt;&gt;"ACCREDITED 17025 WITH UNCERTAINTIES",0,"")</f>
        <v>0</v>
      </c>
      <c r="X631" s="1" t="str">
        <f>IF(Table1[[#This Row],[DUT Read]]="","N/A",Table1[[#This Row],[Std Error]]+Table1[[#This Row],[DUT Read]]+Table1[[#This Row],[DUT Ucty]])</f>
        <v>N/A</v>
      </c>
      <c r="Y631" s="1" t="str">
        <f>IF(Table1[[#This Row],[Std Read]]="","N/A",Table1[[#This Row],[Std Read]]+Table1[[#This Row],[Std Ucty]])</f>
        <v>N/A</v>
      </c>
      <c r="Z6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1" s="1" t="str">
        <f>IF(Table1[[#This Row],[Spec Type]]="","N/A",Table1[[#This Row],[Spec Type]])</f>
        <v>±</v>
      </c>
      <c r="AC631" s="1" t="str">
        <f>IF(Table1[[#This Row],[Spec Type2]]="N/A","N/A",IF(AND(Table1[[#This Row],[DUT Adj Read]]&gt;=Table1[[#This Row],[Low Tol]],Table1[[#This Row],[DUT Adj Read]]&lt;=Table1[[#This Row],[High Tol]]),"Pass","Fail"))</f>
        <v>Fail</v>
      </c>
      <c r="AD631" s="1" t="str">
        <f>IF(AND(Table1[[#This Row],[Spec Type2]]="N/A",Table1[[#This Row],[DUT Adj Read]]="N/A",Table1[[#This Row],[Std Adj Read]]="N/A"),"N/A",IF(Table1[[#This Row],[DUT Adj Read]]="N/A",IF(Table1[[#This Row],[Std Adj Read]]&gt;Table1[[#This Row],[Low Tol]],"Pass","Fail"),IF(Table1[[#This Row],[DUT Adj Read]]&gt;Table1[[#This Row],[Low Tol]],"Pass","Fail")))</f>
        <v>Pass</v>
      </c>
      <c r="AE631" s="1" t="str">
        <f>IF(AND(Table1[[#This Row],[Spec Type2]]="N/A",Table1[[#This Row],[DUT Adj Read]]="N/A",Table1[[#This Row],[Std Adj Read]]="N/A"),"N/A",IF(Table1[[#This Row],[DUT Adj Read]]="N/A",IF(Table1[[#This Row],[Std Adj Read]]&lt;Table1[[#This Row],[High Tol]],"Pass","Fail"),IF(Table1[[#This Row],[DUT Adj Read]]&lt;Table1[[#This Row],[High Tol]],"Pass","Fail")))</f>
        <v>Fail</v>
      </c>
      <c r="AF631" s="1" t="str">
        <f>IF(AND(Table1[[#This Row],[Spec Type2]]="N/A",Table1[[#This Row],[DUT Adj Read]]="N/A",Table1[[#This Row],[Std Adj Read]]="N/A"),"N/A",IF(Table1[[#This Row],[DUT Adj Read]]="N/A",IF(Table1[[#This Row],[Std Adj Read]]&gt;=Table1[[#This Row],[Low Tol]],"Pass","Fail"),IF(Table1[[#This Row],[DUT Adj Read]]&gt;=Table1[[#This Row],[Low Tol]],"Pass","Fail")))</f>
        <v>Pass</v>
      </c>
      <c r="AG631" s="1" t="str">
        <f>IF(AND(Table1[[#This Row],[Spec Type2]]="N/A",Table1[[#This Row],[DUT Adj Read]]="N/A",Table1[[#This Row],[Std Adj Read]]="N/A"),"N/A",IF(Table1[[#This Row],[DUT Adj Read]]="N/A",IF(Table1[[#This Row],[Std Adj Read]]&lt;=Table1[[#This Row],[High Tol]],"Pass","Fail"),IF(Table1[[#This Row],[DUT Adj Read]]&lt;=Table1[[#This Row],[High Tol]],"Pass","Fail")))</f>
        <v>Fail</v>
      </c>
      <c r="AH6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1" s="1" t="b">
        <v>0</v>
      </c>
      <c r="AN631" s="1" t="b">
        <v>0</v>
      </c>
      <c r="AO631" s="1" t="b">
        <v>0</v>
      </c>
    </row>
    <row r="632" spans="1:41" x14ac:dyDescent="0.25">
      <c r="A632" s="10"/>
      <c r="B632" s="10"/>
      <c r="C632" s="10"/>
      <c r="D632" s="10"/>
      <c r="E632" s="10"/>
      <c r="F632" s="10"/>
      <c r="G632" s="10"/>
      <c r="H632" s="10"/>
      <c r="I632" s="1" t="str">
        <f t="shared" si="27"/>
        <v/>
      </c>
      <c r="J632" s="1" t="s">
        <v>35</v>
      </c>
      <c r="K632" s="1" t="str">
        <f t="shared" si="28"/>
        <v/>
      </c>
      <c r="L632" s="1" t="str">
        <f t="shared" si="29"/>
        <v/>
      </c>
      <c r="M632" s="1">
        <f>IF(OR(Table1[[#This Row],[Std Nom]]="",Table1[[#This Row],[Std Read]]=""),0,Table1[[#This Row],[Std Nom]]-Table1[[#This Row],[Std Read]])</f>
        <v>0</v>
      </c>
      <c r="N632" s="1">
        <f>IF(Calculations!$F$5="ACCREDITED 17025 WITH UNCERTAINTIES",$N$10,0)</f>
        <v>0</v>
      </c>
      <c r="Q632" s="1">
        <f>Table1[[#This Row],[High Tol]]-Table1[[#This Row],[Low Tol]]</f>
        <v>0</v>
      </c>
      <c r="R632" s="1">
        <f>2*Table1[[#This Row],[Std Error]]</f>
        <v>0</v>
      </c>
      <c r="S632" s="1" t="str">
        <f>IF(Table1[[#This Row],[High Tol]]="","N/A",IFERROR(ABS(Table1[[#This Row],[Tol Span]]/Table1[[#This Row],[Error Span]]),"N/A"))</f>
        <v>N/A</v>
      </c>
      <c r="T632" s="1" t="str">
        <f>IF(OR(Table1[[#This Row],[Low Tol]]="",Table1[[#This Row],[High Tol]]=""),"Needs Analysis",IF(Table1[[#This Row],[Ratio]]&gt;=4,"Not Significant",IF(Table1[[#This Row],[Ratio]]&gt;=2,"Semi-Significant","Significant")))</f>
        <v>Needs Analysis</v>
      </c>
      <c r="W632" s="1">
        <f>IF(Table1[[#This Row],[Cal Type]]&lt;&gt;"ACCREDITED 17025 WITH UNCERTAINTIES",0,"")</f>
        <v>0</v>
      </c>
      <c r="X632" s="1" t="str">
        <f>IF(Table1[[#This Row],[DUT Read]]="","N/A",Table1[[#This Row],[Std Error]]+Table1[[#This Row],[DUT Read]]+Table1[[#This Row],[DUT Ucty]])</f>
        <v>N/A</v>
      </c>
      <c r="Y632" s="1" t="str">
        <f>IF(Table1[[#This Row],[Std Read]]="","N/A",Table1[[#This Row],[Std Read]]+Table1[[#This Row],[Std Ucty]])</f>
        <v>N/A</v>
      </c>
      <c r="Z6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2" s="1" t="str">
        <f>IF(Table1[[#This Row],[Spec Type]]="","N/A",Table1[[#This Row],[Spec Type]])</f>
        <v>±</v>
      </c>
      <c r="AC632" s="1" t="str">
        <f>IF(Table1[[#This Row],[Spec Type2]]="N/A","N/A",IF(AND(Table1[[#This Row],[DUT Adj Read]]&gt;=Table1[[#This Row],[Low Tol]],Table1[[#This Row],[DUT Adj Read]]&lt;=Table1[[#This Row],[High Tol]]),"Pass","Fail"))</f>
        <v>Fail</v>
      </c>
      <c r="AD632" s="1" t="str">
        <f>IF(AND(Table1[[#This Row],[Spec Type2]]="N/A",Table1[[#This Row],[DUT Adj Read]]="N/A",Table1[[#This Row],[Std Adj Read]]="N/A"),"N/A",IF(Table1[[#This Row],[DUT Adj Read]]="N/A",IF(Table1[[#This Row],[Std Adj Read]]&gt;Table1[[#This Row],[Low Tol]],"Pass","Fail"),IF(Table1[[#This Row],[DUT Adj Read]]&gt;Table1[[#This Row],[Low Tol]],"Pass","Fail")))</f>
        <v>Pass</v>
      </c>
      <c r="AE632" s="1" t="str">
        <f>IF(AND(Table1[[#This Row],[Spec Type2]]="N/A",Table1[[#This Row],[DUT Adj Read]]="N/A",Table1[[#This Row],[Std Adj Read]]="N/A"),"N/A",IF(Table1[[#This Row],[DUT Adj Read]]="N/A",IF(Table1[[#This Row],[Std Adj Read]]&lt;Table1[[#This Row],[High Tol]],"Pass","Fail"),IF(Table1[[#This Row],[DUT Adj Read]]&lt;Table1[[#This Row],[High Tol]],"Pass","Fail")))</f>
        <v>Fail</v>
      </c>
      <c r="AF632" s="1" t="str">
        <f>IF(AND(Table1[[#This Row],[Spec Type2]]="N/A",Table1[[#This Row],[DUT Adj Read]]="N/A",Table1[[#This Row],[Std Adj Read]]="N/A"),"N/A",IF(Table1[[#This Row],[DUT Adj Read]]="N/A",IF(Table1[[#This Row],[Std Adj Read]]&gt;=Table1[[#This Row],[Low Tol]],"Pass","Fail"),IF(Table1[[#This Row],[DUT Adj Read]]&gt;=Table1[[#This Row],[Low Tol]],"Pass","Fail")))</f>
        <v>Pass</v>
      </c>
      <c r="AG632" s="1" t="str">
        <f>IF(AND(Table1[[#This Row],[Spec Type2]]="N/A",Table1[[#This Row],[DUT Adj Read]]="N/A",Table1[[#This Row],[Std Adj Read]]="N/A"),"N/A",IF(Table1[[#This Row],[DUT Adj Read]]="N/A",IF(Table1[[#This Row],[Std Adj Read]]&lt;=Table1[[#This Row],[High Tol]],"Pass","Fail"),IF(Table1[[#This Row],[DUT Adj Read]]&lt;=Table1[[#This Row],[High Tol]],"Pass","Fail")))</f>
        <v>Fail</v>
      </c>
      <c r="AH6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2" s="1" t="b">
        <v>0</v>
      </c>
      <c r="AN632" s="1" t="b">
        <v>0</v>
      </c>
      <c r="AO632" s="1" t="b">
        <v>0</v>
      </c>
    </row>
    <row r="633" spans="1:41" x14ac:dyDescent="0.25">
      <c r="A633" s="10"/>
      <c r="B633" s="10"/>
      <c r="C633" s="10"/>
      <c r="D633" s="10"/>
      <c r="E633" s="10"/>
      <c r="F633" s="10"/>
      <c r="G633" s="10"/>
      <c r="H633" s="10"/>
      <c r="I633" s="1" t="str">
        <f t="shared" si="27"/>
        <v/>
      </c>
      <c r="J633" s="1" t="s">
        <v>35</v>
      </c>
      <c r="K633" s="1" t="str">
        <f t="shared" si="28"/>
        <v/>
      </c>
      <c r="L633" s="1" t="str">
        <f t="shared" si="29"/>
        <v/>
      </c>
      <c r="M633" s="1">
        <f>IF(OR(Table1[[#This Row],[Std Nom]]="",Table1[[#This Row],[Std Read]]=""),0,Table1[[#This Row],[Std Nom]]-Table1[[#This Row],[Std Read]])</f>
        <v>0</v>
      </c>
      <c r="N633" s="1">
        <f>IF(Calculations!$F$5="ACCREDITED 17025 WITH UNCERTAINTIES",$N$10,0)</f>
        <v>0</v>
      </c>
      <c r="Q633" s="1">
        <f>Table1[[#This Row],[High Tol]]-Table1[[#This Row],[Low Tol]]</f>
        <v>0</v>
      </c>
      <c r="R633" s="1">
        <f>2*Table1[[#This Row],[Std Error]]</f>
        <v>0</v>
      </c>
      <c r="S633" s="1" t="str">
        <f>IF(Table1[[#This Row],[High Tol]]="","N/A",IFERROR(ABS(Table1[[#This Row],[Tol Span]]/Table1[[#This Row],[Error Span]]),"N/A"))</f>
        <v>N/A</v>
      </c>
      <c r="T633" s="1" t="str">
        <f>IF(OR(Table1[[#This Row],[Low Tol]]="",Table1[[#This Row],[High Tol]]=""),"Needs Analysis",IF(Table1[[#This Row],[Ratio]]&gt;=4,"Not Significant",IF(Table1[[#This Row],[Ratio]]&gt;=2,"Semi-Significant","Significant")))</f>
        <v>Needs Analysis</v>
      </c>
      <c r="W633" s="1">
        <f>IF(Table1[[#This Row],[Cal Type]]&lt;&gt;"ACCREDITED 17025 WITH UNCERTAINTIES",0,"")</f>
        <v>0</v>
      </c>
      <c r="X633" s="1" t="str">
        <f>IF(Table1[[#This Row],[DUT Read]]="","N/A",Table1[[#This Row],[Std Error]]+Table1[[#This Row],[DUT Read]]+Table1[[#This Row],[DUT Ucty]])</f>
        <v>N/A</v>
      </c>
      <c r="Y633" s="1" t="str">
        <f>IF(Table1[[#This Row],[Std Read]]="","N/A",Table1[[#This Row],[Std Read]]+Table1[[#This Row],[Std Ucty]])</f>
        <v>N/A</v>
      </c>
      <c r="Z6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3" s="1" t="str">
        <f>IF(Table1[[#This Row],[Spec Type]]="","N/A",Table1[[#This Row],[Spec Type]])</f>
        <v>±</v>
      </c>
      <c r="AC633" s="1" t="str">
        <f>IF(Table1[[#This Row],[Spec Type2]]="N/A","N/A",IF(AND(Table1[[#This Row],[DUT Adj Read]]&gt;=Table1[[#This Row],[Low Tol]],Table1[[#This Row],[DUT Adj Read]]&lt;=Table1[[#This Row],[High Tol]]),"Pass","Fail"))</f>
        <v>Fail</v>
      </c>
      <c r="AD633" s="1" t="str">
        <f>IF(AND(Table1[[#This Row],[Spec Type2]]="N/A",Table1[[#This Row],[DUT Adj Read]]="N/A",Table1[[#This Row],[Std Adj Read]]="N/A"),"N/A",IF(Table1[[#This Row],[DUT Adj Read]]="N/A",IF(Table1[[#This Row],[Std Adj Read]]&gt;Table1[[#This Row],[Low Tol]],"Pass","Fail"),IF(Table1[[#This Row],[DUT Adj Read]]&gt;Table1[[#This Row],[Low Tol]],"Pass","Fail")))</f>
        <v>Pass</v>
      </c>
      <c r="AE633" s="1" t="str">
        <f>IF(AND(Table1[[#This Row],[Spec Type2]]="N/A",Table1[[#This Row],[DUT Adj Read]]="N/A",Table1[[#This Row],[Std Adj Read]]="N/A"),"N/A",IF(Table1[[#This Row],[DUT Adj Read]]="N/A",IF(Table1[[#This Row],[Std Adj Read]]&lt;Table1[[#This Row],[High Tol]],"Pass","Fail"),IF(Table1[[#This Row],[DUT Adj Read]]&lt;Table1[[#This Row],[High Tol]],"Pass","Fail")))</f>
        <v>Fail</v>
      </c>
      <c r="AF633" s="1" t="str">
        <f>IF(AND(Table1[[#This Row],[Spec Type2]]="N/A",Table1[[#This Row],[DUT Adj Read]]="N/A",Table1[[#This Row],[Std Adj Read]]="N/A"),"N/A",IF(Table1[[#This Row],[DUT Adj Read]]="N/A",IF(Table1[[#This Row],[Std Adj Read]]&gt;=Table1[[#This Row],[Low Tol]],"Pass","Fail"),IF(Table1[[#This Row],[DUT Adj Read]]&gt;=Table1[[#This Row],[Low Tol]],"Pass","Fail")))</f>
        <v>Pass</v>
      </c>
      <c r="AG633" s="1" t="str">
        <f>IF(AND(Table1[[#This Row],[Spec Type2]]="N/A",Table1[[#This Row],[DUT Adj Read]]="N/A",Table1[[#This Row],[Std Adj Read]]="N/A"),"N/A",IF(Table1[[#This Row],[DUT Adj Read]]="N/A",IF(Table1[[#This Row],[Std Adj Read]]&lt;=Table1[[#This Row],[High Tol]],"Pass","Fail"),IF(Table1[[#This Row],[DUT Adj Read]]&lt;=Table1[[#This Row],[High Tol]],"Pass","Fail")))</f>
        <v>Fail</v>
      </c>
      <c r="AH6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3" s="1" t="b">
        <v>0</v>
      </c>
      <c r="AN633" s="1" t="b">
        <v>0</v>
      </c>
      <c r="AO633" s="1" t="b">
        <v>0</v>
      </c>
    </row>
    <row r="634" spans="1:41" x14ac:dyDescent="0.25">
      <c r="A634" s="10"/>
      <c r="B634" s="10"/>
      <c r="C634" s="10"/>
      <c r="D634" s="10"/>
      <c r="E634" s="10"/>
      <c r="F634" s="10"/>
      <c r="G634" s="10"/>
      <c r="H634" s="10"/>
      <c r="I634" s="1" t="str">
        <f t="shared" si="27"/>
        <v/>
      </c>
      <c r="J634" s="1" t="s">
        <v>35</v>
      </c>
      <c r="K634" s="1" t="str">
        <f t="shared" si="28"/>
        <v/>
      </c>
      <c r="L634" s="1" t="str">
        <f t="shared" si="29"/>
        <v/>
      </c>
      <c r="M634" s="1">
        <f>IF(OR(Table1[[#This Row],[Std Nom]]="",Table1[[#This Row],[Std Read]]=""),0,Table1[[#This Row],[Std Nom]]-Table1[[#This Row],[Std Read]])</f>
        <v>0</v>
      </c>
      <c r="N634" s="1">
        <f>IF(Calculations!$F$5="ACCREDITED 17025 WITH UNCERTAINTIES",$N$10,0)</f>
        <v>0</v>
      </c>
      <c r="Q634" s="1">
        <f>Table1[[#This Row],[High Tol]]-Table1[[#This Row],[Low Tol]]</f>
        <v>0</v>
      </c>
      <c r="R634" s="1">
        <f>2*Table1[[#This Row],[Std Error]]</f>
        <v>0</v>
      </c>
      <c r="S634" s="1" t="str">
        <f>IF(Table1[[#This Row],[High Tol]]="","N/A",IFERROR(ABS(Table1[[#This Row],[Tol Span]]/Table1[[#This Row],[Error Span]]),"N/A"))</f>
        <v>N/A</v>
      </c>
      <c r="T634" s="1" t="str">
        <f>IF(OR(Table1[[#This Row],[Low Tol]]="",Table1[[#This Row],[High Tol]]=""),"Needs Analysis",IF(Table1[[#This Row],[Ratio]]&gt;=4,"Not Significant",IF(Table1[[#This Row],[Ratio]]&gt;=2,"Semi-Significant","Significant")))</f>
        <v>Needs Analysis</v>
      </c>
      <c r="W634" s="1">
        <f>IF(Table1[[#This Row],[Cal Type]]&lt;&gt;"ACCREDITED 17025 WITH UNCERTAINTIES",0,"")</f>
        <v>0</v>
      </c>
      <c r="X634" s="1" t="str">
        <f>IF(Table1[[#This Row],[DUT Read]]="","N/A",Table1[[#This Row],[Std Error]]+Table1[[#This Row],[DUT Read]]+Table1[[#This Row],[DUT Ucty]])</f>
        <v>N/A</v>
      </c>
      <c r="Y634" s="1" t="str">
        <f>IF(Table1[[#This Row],[Std Read]]="","N/A",Table1[[#This Row],[Std Read]]+Table1[[#This Row],[Std Ucty]])</f>
        <v>N/A</v>
      </c>
      <c r="Z6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4" s="1" t="str">
        <f>IF(Table1[[#This Row],[Spec Type]]="","N/A",Table1[[#This Row],[Spec Type]])</f>
        <v>±</v>
      </c>
      <c r="AC634" s="1" t="str">
        <f>IF(Table1[[#This Row],[Spec Type2]]="N/A","N/A",IF(AND(Table1[[#This Row],[DUT Adj Read]]&gt;=Table1[[#This Row],[Low Tol]],Table1[[#This Row],[DUT Adj Read]]&lt;=Table1[[#This Row],[High Tol]]),"Pass","Fail"))</f>
        <v>Fail</v>
      </c>
      <c r="AD634" s="1" t="str">
        <f>IF(AND(Table1[[#This Row],[Spec Type2]]="N/A",Table1[[#This Row],[DUT Adj Read]]="N/A",Table1[[#This Row],[Std Adj Read]]="N/A"),"N/A",IF(Table1[[#This Row],[DUT Adj Read]]="N/A",IF(Table1[[#This Row],[Std Adj Read]]&gt;Table1[[#This Row],[Low Tol]],"Pass","Fail"),IF(Table1[[#This Row],[DUT Adj Read]]&gt;Table1[[#This Row],[Low Tol]],"Pass","Fail")))</f>
        <v>Pass</v>
      </c>
      <c r="AE634" s="1" t="str">
        <f>IF(AND(Table1[[#This Row],[Spec Type2]]="N/A",Table1[[#This Row],[DUT Adj Read]]="N/A",Table1[[#This Row],[Std Adj Read]]="N/A"),"N/A",IF(Table1[[#This Row],[DUT Adj Read]]="N/A",IF(Table1[[#This Row],[Std Adj Read]]&lt;Table1[[#This Row],[High Tol]],"Pass","Fail"),IF(Table1[[#This Row],[DUT Adj Read]]&lt;Table1[[#This Row],[High Tol]],"Pass","Fail")))</f>
        <v>Fail</v>
      </c>
      <c r="AF634" s="1" t="str">
        <f>IF(AND(Table1[[#This Row],[Spec Type2]]="N/A",Table1[[#This Row],[DUT Adj Read]]="N/A",Table1[[#This Row],[Std Adj Read]]="N/A"),"N/A",IF(Table1[[#This Row],[DUT Adj Read]]="N/A",IF(Table1[[#This Row],[Std Adj Read]]&gt;=Table1[[#This Row],[Low Tol]],"Pass","Fail"),IF(Table1[[#This Row],[DUT Adj Read]]&gt;=Table1[[#This Row],[Low Tol]],"Pass","Fail")))</f>
        <v>Pass</v>
      </c>
      <c r="AG634" s="1" t="str">
        <f>IF(AND(Table1[[#This Row],[Spec Type2]]="N/A",Table1[[#This Row],[DUT Adj Read]]="N/A",Table1[[#This Row],[Std Adj Read]]="N/A"),"N/A",IF(Table1[[#This Row],[DUT Adj Read]]="N/A",IF(Table1[[#This Row],[Std Adj Read]]&lt;=Table1[[#This Row],[High Tol]],"Pass","Fail"),IF(Table1[[#This Row],[DUT Adj Read]]&lt;=Table1[[#This Row],[High Tol]],"Pass","Fail")))</f>
        <v>Fail</v>
      </c>
      <c r="AH6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4" s="1" t="b">
        <v>0</v>
      </c>
      <c r="AN634" s="1" t="b">
        <v>0</v>
      </c>
      <c r="AO634" s="1" t="b">
        <v>0</v>
      </c>
    </row>
    <row r="635" spans="1:41" x14ac:dyDescent="0.25">
      <c r="A635" s="10"/>
      <c r="B635" s="10"/>
      <c r="C635" s="10"/>
      <c r="D635" s="10"/>
      <c r="E635" s="10"/>
      <c r="F635" s="10"/>
      <c r="G635" s="10"/>
      <c r="H635" s="10"/>
      <c r="I635" s="1" t="str">
        <f t="shared" si="27"/>
        <v/>
      </c>
      <c r="J635" s="1" t="s">
        <v>35</v>
      </c>
      <c r="K635" s="1" t="str">
        <f t="shared" si="28"/>
        <v/>
      </c>
      <c r="L635" s="1" t="str">
        <f t="shared" si="29"/>
        <v/>
      </c>
      <c r="M635" s="1">
        <f>IF(OR(Table1[[#This Row],[Std Nom]]="",Table1[[#This Row],[Std Read]]=""),0,Table1[[#This Row],[Std Nom]]-Table1[[#This Row],[Std Read]])</f>
        <v>0</v>
      </c>
      <c r="N635" s="1">
        <f>IF(Calculations!$F$5="ACCREDITED 17025 WITH UNCERTAINTIES",$N$10,0)</f>
        <v>0</v>
      </c>
      <c r="Q635" s="1">
        <f>Table1[[#This Row],[High Tol]]-Table1[[#This Row],[Low Tol]]</f>
        <v>0</v>
      </c>
      <c r="R635" s="1">
        <f>2*Table1[[#This Row],[Std Error]]</f>
        <v>0</v>
      </c>
      <c r="S635" s="1" t="str">
        <f>IF(Table1[[#This Row],[High Tol]]="","N/A",IFERROR(ABS(Table1[[#This Row],[Tol Span]]/Table1[[#This Row],[Error Span]]),"N/A"))</f>
        <v>N/A</v>
      </c>
      <c r="T635" s="1" t="str">
        <f>IF(OR(Table1[[#This Row],[Low Tol]]="",Table1[[#This Row],[High Tol]]=""),"Needs Analysis",IF(Table1[[#This Row],[Ratio]]&gt;=4,"Not Significant",IF(Table1[[#This Row],[Ratio]]&gt;=2,"Semi-Significant","Significant")))</f>
        <v>Needs Analysis</v>
      </c>
      <c r="W635" s="1">
        <f>IF(Table1[[#This Row],[Cal Type]]&lt;&gt;"ACCREDITED 17025 WITH UNCERTAINTIES",0,"")</f>
        <v>0</v>
      </c>
      <c r="X635" s="1" t="str">
        <f>IF(Table1[[#This Row],[DUT Read]]="","N/A",Table1[[#This Row],[Std Error]]+Table1[[#This Row],[DUT Read]]+Table1[[#This Row],[DUT Ucty]])</f>
        <v>N/A</v>
      </c>
      <c r="Y635" s="1" t="str">
        <f>IF(Table1[[#This Row],[Std Read]]="","N/A",Table1[[#This Row],[Std Read]]+Table1[[#This Row],[Std Ucty]])</f>
        <v>N/A</v>
      </c>
      <c r="Z6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5" s="1" t="str">
        <f>IF(Table1[[#This Row],[Spec Type]]="","N/A",Table1[[#This Row],[Spec Type]])</f>
        <v>±</v>
      </c>
      <c r="AC635" s="1" t="str">
        <f>IF(Table1[[#This Row],[Spec Type2]]="N/A","N/A",IF(AND(Table1[[#This Row],[DUT Adj Read]]&gt;=Table1[[#This Row],[Low Tol]],Table1[[#This Row],[DUT Adj Read]]&lt;=Table1[[#This Row],[High Tol]]),"Pass","Fail"))</f>
        <v>Fail</v>
      </c>
      <c r="AD635" s="1" t="str">
        <f>IF(AND(Table1[[#This Row],[Spec Type2]]="N/A",Table1[[#This Row],[DUT Adj Read]]="N/A",Table1[[#This Row],[Std Adj Read]]="N/A"),"N/A",IF(Table1[[#This Row],[DUT Adj Read]]="N/A",IF(Table1[[#This Row],[Std Adj Read]]&gt;Table1[[#This Row],[Low Tol]],"Pass","Fail"),IF(Table1[[#This Row],[DUT Adj Read]]&gt;Table1[[#This Row],[Low Tol]],"Pass","Fail")))</f>
        <v>Pass</v>
      </c>
      <c r="AE635" s="1" t="str">
        <f>IF(AND(Table1[[#This Row],[Spec Type2]]="N/A",Table1[[#This Row],[DUT Adj Read]]="N/A",Table1[[#This Row],[Std Adj Read]]="N/A"),"N/A",IF(Table1[[#This Row],[DUT Adj Read]]="N/A",IF(Table1[[#This Row],[Std Adj Read]]&lt;Table1[[#This Row],[High Tol]],"Pass","Fail"),IF(Table1[[#This Row],[DUT Adj Read]]&lt;Table1[[#This Row],[High Tol]],"Pass","Fail")))</f>
        <v>Fail</v>
      </c>
      <c r="AF635" s="1" t="str">
        <f>IF(AND(Table1[[#This Row],[Spec Type2]]="N/A",Table1[[#This Row],[DUT Adj Read]]="N/A",Table1[[#This Row],[Std Adj Read]]="N/A"),"N/A",IF(Table1[[#This Row],[DUT Adj Read]]="N/A",IF(Table1[[#This Row],[Std Adj Read]]&gt;=Table1[[#This Row],[Low Tol]],"Pass","Fail"),IF(Table1[[#This Row],[DUT Adj Read]]&gt;=Table1[[#This Row],[Low Tol]],"Pass","Fail")))</f>
        <v>Pass</v>
      </c>
      <c r="AG635" s="1" t="str">
        <f>IF(AND(Table1[[#This Row],[Spec Type2]]="N/A",Table1[[#This Row],[DUT Adj Read]]="N/A",Table1[[#This Row],[Std Adj Read]]="N/A"),"N/A",IF(Table1[[#This Row],[DUT Adj Read]]="N/A",IF(Table1[[#This Row],[Std Adj Read]]&lt;=Table1[[#This Row],[High Tol]],"Pass","Fail"),IF(Table1[[#This Row],[DUT Adj Read]]&lt;=Table1[[#This Row],[High Tol]],"Pass","Fail")))</f>
        <v>Fail</v>
      </c>
      <c r="AH6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5" s="1" t="b">
        <v>0</v>
      </c>
      <c r="AN635" s="1" t="b">
        <v>0</v>
      </c>
      <c r="AO635" s="1" t="b">
        <v>0</v>
      </c>
    </row>
    <row r="636" spans="1:41" x14ac:dyDescent="0.25">
      <c r="A636" s="10"/>
      <c r="B636" s="10"/>
      <c r="C636" s="10"/>
      <c r="D636" s="10"/>
      <c r="E636" s="10"/>
      <c r="F636" s="10"/>
      <c r="G636" s="10"/>
      <c r="H636" s="10"/>
      <c r="I636" s="1" t="str">
        <f t="shared" si="27"/>
        <v/>
      </c>
      <c r="J636" s="1" t="s">
        <v>35</v>
      </c>
      <c r="K636" s="1" t="str">
        <f t="shared" si="28"/>
        <v/>
      </c>
      <c r="L636" s="1" t="str">
        <f t="shared" si="29"/>
        <v/>
      </c>
      <c r="M636" s="1">
        <f>IF(OR(Table1[[#This Row],[Std Nom]]="",Table1[[#This Row],[Std Read]]=""),0,Table1[[#This Row],[Std Nom]]-Table1[[#This Row],[Std Read]])</f>
        <v>0</v>
      </c>
      <c r="N636" s="1">
        <f>IF(Calculations!$F$5="ACCREDITED 17025 WITH UNCERTAINTIES",$N$10,0)</f>
        <v>0</v>
      </c>
      <c r="Q636" s="1">
        <f>Table1[[#This Row],[High Tol]]-Table1[[#This Row],[Low Tol]]</f>
        <v>0</v>
      </c>
      <c r="R636" s="1">
        <f>2*Table1[[#This Row],[Std Error]]</f>
        <v>0</v>
      </c>
      <c r="S636" s="1" t="str">
        <f>IF(Table1[[#This Row],[High Tol]]="","N/A",IFERROR(ABS(Table1[[#This Row],[Tol Span]]/Table1[[#This Row],[Error Span]]),"N/A"))</f>
        <v>N/A</v>
      </c>
      <c r="T636" s="1" t="str">
        <f>IF(OR(Table1[[#This Row],[Low Tol]]="",Table1[[#This Row],[High Tol]]=""),"Needs Analysis",IF(Table1[[#This Row],[Ratio]]&gt;=4,"Not Significant",IF(Table1[[#This Row],[Ratio]]&gt;=2,"Semi-Significant","Significant")))</f>
        <v>Needs Analysis</v>
      </c>
      <c r="W636" s="1">
        <f>IF(Table1[[#This Row],[Cal Type]]&lt;&gt;"ACCREDITED 17025 WITH UNCERTAINTIES",0,"")</f>
        <v>0</v>
      </c>
      <c r="X636" s="1" t="str">
        <f>IF(Table1[[#This Row],[DUT Read]]="","N/A",Table1[[#This Row],[Std Error]]+Table1[[#This Row],[DUT Read]]+Table1[[#This Row],[DUT Ucty]])</f>
        <v>N/A</v>
      </c>
      <c r="Y636" s="1" t="str">
        <f>IF(Table1[[#This Row],[Std Read]]="","N/A",Table1[[#This Row],[Std Read]]+Table1[[#This Row],[Std Ucty]])</f>
        <v>N/A</v>
      </c>
      <c r="Z6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6" s="1" t="str">
        <f>IF(Table1[[#This Row],[Spec Type]]="","N/A",Table1[[#This Row],[Spec Type]])</f>
        <v>±</v>
      </c>
      <c r="AC636" s="1" t="str">
        <f>IF(Table1[[#This Row],[Spec Type2]]="N/A","N/A",IF(AND(Table1[[#This Row],[DUT Adj Read]]&gt;=Table1[[#This Row],[Low Tol]],Table1[[#This Row],[DUT Adj Read]]&lt;=Table1[[#This Row],[High Tol]]),"Pass","Fail"))</f>
        <v>Fail</v>
      </c>
      <c r="AD636" s="1" t="str">
        <f>IF(AND(Table1[[#This Row],[Spec Type2]]="N/A",Table1[[#This Row],[DUT Adj Read]]="N/A",Table1[[#This Row],[Std Adj Read]]="N/A"),"N/A",IF(Table1[[#This Row],[DUT Adj Read]]="N/A",IF(Table1[[#This Row],[Std Adj Read]]&gt;Table1[[#This Row],[Low Tol]],"Pass","Fail"),IF(Table1[[#This Row],[DUT Adj Read]]&gt;Table1[[#This Row],[Low Tol]],"Pass","Fail")))</f>
        <v>Pass</v>
      </c>
      <c r="AE636" s="1" t="str">
        <f>IF(AND(Table1[[#This Row],[Spec Type2]]="N/A",Table1[[#This Row],[DUT Adj Read]]="N/A",Table1[[#This Row],[Std Adj Read]]="N/A"),"N/A",IF(Table1[[#This Row],[DUT Adj Read]]="N/A",IF(Table1[[#This Row],[Std Adj Read]]&lt;Table1[[#This Row],[High Tol]],"Pass","Fail"),IF(Table1[[#This Row],[DUT Adj Read]]&lt;Table1[[#This Row],[High Tol]],"Pass","Fail")))</f>
        <v>Fail</v>
      </c>
      <c r="AF636" s="1" t="str">
        <f>IF(AND(Table1[[#This Row],[Spec Type2]]="N/A",Table1[[#This Row],[DUT Adj Read]]="N/A",Table1[[#This Row],[Std Adj Read]]="N/A"),"N/A",IF(Table1[[#This Row],[DUT Adj Read]]="N/A",IF(Table1[[#This Row],[Std Adj Read]]&gt;=Table1[[#This Row],[Low Tol]],"Pass","Fail"),IF(Table1[[#This Row],[DUT Adj Read]]&gt;=Table1[[#This Row],[Low Tol]],"Pass","Fail")))</f>
        <v>Pass</v>
      </c>
      <c r="AG636" s="1" t="str">
        <f>IF(AND(Table1[[#This Row],[Spec Type2]]="N/A",Table1[[#This Row],[DUT Adj Read]]="N/A",Table1[[#This Row],[Std Adj Read]]="N/A"),"N/A",IF(Table1[[#This Row],[DUT Adj Read]]="N/A",IF(Table1[[#This Row],[Std Adj Read]]&lt;=Table1[[#This Row],[High Tol]],"Pass","Fail"),IF(Table1[[#This Row],[DUT Adj Read]]&lt;=Table1[[#This Row],[High Tol]],"Pass","Fail")))</f>
        <v>Fail</v>
      </c>
      <c r="AH6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6" s="1" t="b">
        <v>0</v>
      </c>
      <c r="AN636" s="1" t="b">
        <v>0</v>
      </c>
      <c r="AO636" s="1" t="b">
        <v>0</v>
      </c>
    </row>
    <row r="637" spans="1:41" x14ac:dyDescent="0.25">
      <c r="A637" s="10"/>
      <c r="B637" s="10"/>
      <c r="C637" s="10"/>
      <c r="D637" s="10"/>
      <c r="E637" s="10"/>
      <c r="F637" s="10"/>
      <c r="G637" s="10"/>
      <c r="H637" s="10"/>
      <c r="I637" s="1" t="str">
        <f t="shared" si="27"/>
        <v/>
      </c>
      <c r="J637" s="1" t="s">
        <v>35</v>
      </c>
      <c r="K637" s="1" t="str">
        <f t="shared" si="28"/>
        <v/>
      </c>
      <c r="L637" s="1" t="str">
        <f t="shared" si="29"/>
        <v/>
      </c>
      <c r="M637" s="1">
        <f>IF(OR(Table1[[#This Row],[Std Nom]]="",Table1[[#This Row],[Std Read]]=""),0,Table1[[#This Row],[Std Nom]]-Table1[[#This Row],[Std Read]])</f>
        <v>0</v>
      </c>
      <c r="N637" s="1">
        <f>IF(Calculations!$F$5="ACCREDITED 17025 WITH UNCERTAINTIES",$N$10,0)</f>
        <v>0</v>
      </c>
      <c r="Q637" s="1">
        <f>Table1[[#This Row],[High Tol]]-Table1[[#This Row],[Low Tol]]</f>
        <v>0</v>
      </c>
      <c r="R637" s="1">
        <f>2*Table1[[#This Row],[Std Error]]</f>
        <v>0</v>
      </c>
      <c r="S637" s="1" t="str">
        <f>IF(Table1[[#This Row],[High Tol]]="","N/A",IFERROR(ABS(Table1[[#This Row],[Tol Span]]/Table1[[#This Row],[Error Span]]),"N/A"))</f>
        <v>N/A</v>
      </c>
      <c r="T637" s="1" t="str">
        <f>IF(OR(Table1[[#This Row],[Low Tol]]="",Table1[[#This Row],[High Tol]]=""),"Needs Analysis",IF(Table1[[#This Row],[Ratio]]&gt;=4,"Not Significant",IF(Table1[[#This Row],[Ratio]]&gt;=2,"Semi-Significant","Significant")))</f>
        <v>Needs Analysis</v>
      </c>
      <c r="W637" s="1">
        <f>IF(Table1[[#This Row],[Cal Type]]&lt;&gt;"ACCREDITED 17025 WITH UNCERTAINTIES",0,"")</f>
        <v>0</v>
      </c>
      <c r="X637" s="1" t="str">
        <f>IF(Table1[[#This Row],[DUT Read]]="","N/A",Table1[[#This Row],[Std Error]]+Table1[[#This Row],[DUT Read]]+Table1[[#This Row],[DUT Ucty]])</f>
        <v>N/A</v>
      </c>
      <c r="Y637" s="1" t="str">
        <f>IF(Table1[[#This Row],[Std Read]]="","N/A",Table1[[#This Row],[Std Read]]+Table1[[#This Row],[Std Ucty]])</f>
        <v>N/A</v>
      </c>
      <c r="Z6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7" s="1" t="str">
        <f>IF(Table1[[#This Row],[Spec Type]]="","N/A",Table1[[#This Row],[Spec Type]])</f>
        <v>±</v>
      </c>
      <c r="AC637" s="1" t="str">
        <f>IF(Table1[[#This Row],[Spec Type2]]="N/A","N/A",IF(AND(Table1[[#This Row],[DUT Adj Read]]&gt;=Table1[[#This Row],[Low Tol]],Table1[[#This Row],[DUT Adj Read]]&lt;=Table1[[#This Row],[High Tol]]),"Pass","Fail"))</f>
        <v>Fail</v>
      </c>
      <c r="AD637" s="1" t="str">
        <f>IF(AND(Table1[[#This Row],[Spec Type2]]="N/A",Table1[[#This Row],[DUT Adj Read]]="N/A",Table1[[#This Row],[Std Adj Read]]="N/A"),"N/A",IF(Table1[[#This Row],[DUT Adj Read]]="N/A",IF(Table1[[#This Row],[Std Adj Read]]&gt;Table1[[#This Row],[Low Tol]],"Pass","Fail"),IF(Table1[[#This Row],[DUT Adj Read]]&gt;Table1[[#This Row],[Low Tol]],"Pass","Fail")))</f>
        <v>Pass</v>
      </c>
      <c r="AE637" s="1" t="str">
        <f>IF(AND(Table1[[#This Row],[Spec Type2]]="N/A",Table1[[#This Row],[DUT Adj Read]]="N/A",Table1[[#This Row],[Std Adj Read]]="N/A"),"N/A",IF(Table1[[#This Row],[DUT Adj Read]]="N/A",IF(Table1[[#This Row],[Std Adj Read]]&lt;Table1[[#This Row],[High Tol]],"Pass","Fail"),IF(Table1[[#This Row],[DUT Adj Read]]&lt;Table1[[#This Row],[High Tol]],"Pass","Fail")))</f>
        <v>Fail</v>
      </c>
      <c r="AF637" s="1" t="str">
        <f>IF(AND(Table1[[#This Row],[Spec Type2]]="N/A",Table1[[#This Row],[DUT Adj Read]]="N/A",Table1[[#This Row],[Std Adj Read]]="N/A"),"N/A",IF(Table1[[#This Row],[DUT Adj Read]]="N/A",IF(Table1[[#This Row],[Std Adj Read]]&gt;=Table1[[#This Row],[Low Tol]],"Pass","Fail"),IF(Table1[[#This Row],[DUT Adj Read]]&gt;=Table1[[#This Row],[Low Tol]],"Pass","Fail")))</f>
        <v>Pass</v>
      </c>
      <c r="AG637" s="1" t="str">
        <f>IF(AND(Table1[[#This Row],[Spec Type2]]="N/A",Table1[[#This Row],[DUT Adj Read]]="N/A",Table1[[#This Row],[Std Adj Read]]="N/A"),"N/A",IF(Table1[[#This Row],[DUT Adj Read]]="N/A",IF(Table1[[#This Row],[Std Adj Read]]&lt;=Table1[[#This Row],[High Tol]],"Pass","Fail"),IF(Table1[[#This Row],[DUT Adj Read]]&lt;=Table1[[#This Row],[High Tol]],"Pass","Fail")))</f>
        <v>Fail</v>
      </c>
      <c r="AH6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7" s="1" t="b">
        <v>0</v>
      </c>
      <c r="AN637" s="1" t="b">
        <v>0</v>
      </c>
      <c r="AO637" s="1" t="b">
        <v>0</v>
      </c>
    </row>
    <row r="638" spans="1:41" x14ac:dyDescent="0.25">
      <c r="A638" s="10"/>
      <c r="B638" s="10"/>
      <c r="C638" s="10"/>
      <c r="D638" s="10"/>
      <c r="E638" s="10"/>
      <c r="F638" s="10"/>
      <c r="G638" s="10"/>
      <c r="H638" s="10"/>
      <c r="I638" s="1" t="str">
        <f t="shared" si="27"/>
        <v/>
      </c>
      <c r="J638" s="1" t="s">
        <v>35</v>
      </c>
      <c r="K638" s="1" t="str">
        <f t="shared" si="28"/>
        <v/>
      </c>
      <c r="L638" s="1" t="str">
        <f t="shared" si="29"/>
        <v/>
      </c>
      <c r="M638" s="1">
        <f>IF(OR(Table1[[#This Row],[Std Nom]]="",Table1[[#This Row],[Std Read]]=""),0,Table1[[#This Row],[Std Nom]]-Table1[[#This Row],[Std Read]])</f>
        <v>0</v>
      </c>
      <c r="N638" s="1">
        <f>IF(Calculations!$F$5="ACCREDITED 17025 WITH UNCERTAINTIES",$N$10,0)</f>
        <v>0</v>
      </c>
      <c r="Q638" s="1">
        <f>Table1[[#This Row],[High Tol]]-Table1[[#This Row],[Low Tol]]</f>
        <v>0</v>
      </c>
      <c r="R638" s="1">
        <f>2*Table1[[#This Row],[Std Error]]</f>
        <v>0</v>
      </c>
      <c r="S638" s="1" t="str">
        <f>IF(Table1[[#This Row],[High Tol]]="","N/A",IFERROR(ABS(Table1[[#This Row],[Tol Span]]/Table1[[#This Row],[Error Span]]),"N/A"))</f>
        <v>N/A</v>
      </c>
      <c r="T638" s="1" t="str">
        <f>IF(OR(Table1[[#This Row],[Low Tol]]="",Table1[[#This Row],[High Tol]]=""),"Needs Analysis",IF(Table1[[#This Row],[Ratio]]&gt;=4,"Not Significant",IF(Table1[[#This Row],[Ratio]]&gt;=2,"Semi-Significant","Significant")))</f>
        <v>Needs Analysis</v>
      </c>
      <c r="W638" s="1">
        <f>IF(Table1[[#This Row],[Cal Type]]&lt;&gt;"ACCREDITED 17025 WITH UNCERTAINTIES",0,"")</f>
        <v>0</v>
      </c>
      <c r="X638" s="1" t="str">
        <f>IF(Table1[[#This Row],[DUT Read]]="","N/A",Table1[[#This Row],[Std Error]]+Table1[[#This Row],[DUT Read]]+Table1[[#This Row],[DUT Ucty]])</f>
        <v>N/A</v>
      </c>
      <c r="Y638" s="1" t="str">
        <f>IF(Table1[[#This Row],[Std Read]]="","N/A",Table1[[#This Row],[Std Read]]+Table1[[#This Row],[Std Ucty]])</f>
        <v>N/A</v>
      </c>
      <c r="Z6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8" s="1" t="str">
        <f>IF(Table1[[#This Row],[Spec Type]]="","N/A",Table1[[#This Row],[Spec Type]])</f>
        <v>±</v>
      </c>
      <c r="AC638" s="1" t="str">
        <f>IF(Table1[[#This Row],[Spec Type2]]="N/A","N/A",IF(AND(Table1[[#This Row],[DUT Adj Read]]&gt;=Table1[[#This Row],[Low Tol]],Table1[[#This Row],[DUT Adj Read]]&lt;=Table1[[#This Row],[High Tol]]),"Pass","Fail"))</f>
        <v>Fail</v>
      </c>
      <c r="AD638" s="1" t="str">
        <f>IF(AND(Table1[[#This Row],[Spec Type2]]="N/A",Table1[[#This Row],[DUT Adj Read]]="N/A",Table1[[#This Row],[Std Adj Read]]="N/A"),"N/A",IF(Table1[[#This Row],[DUT Adj Read]]="N/A",IF(Table1[[#This Row],[Std Adj Read]]&gt;Table1[[#This Row],[Low Tol]],"Pass","Fail"),IF(Table1[[#This Row],[DUT Adj Read]]&gt;Table1[[#This Row],[Low Tol]],"Pass","Fail")))</f>
        <v>Pass</v>
      </c>
      <c r="AE638" s="1" t="str">
        <f>IF(AND(Table1[[#This Row],[Spec Type2]]="N/A",Table1[[#This Row],[DUT Adj Read]]="N/A",Table1[[#This Row],[Std Adj Read]]="N/A"),"N/A",IF(Table1[[#This Row],[DUT Adj Read]]="N/A",IF(Table1[[#This Row],[Std Adj Read]]&lt;Table1[[#This Row],[High Tol]],"Pass","Fail"),IF(Table1[[#This Row],[DUT Adj Read]]&lt;Table1[[#This Row],[High Tol]],"Pass","Fail")))</f>
        <v>Fail</v>
      </c>
      <c r="AF638" s="1" t="str">
        <f>IF(AND(Table1[[#This Row],[Spec Type2]]="N/A",Table1[[#This Row],[DUT Adj Read]]="N/A",Table1[[#This Row],[Std Adj Read]]="N/A"),"N/A",IF(Table1[[#This Row],[DUT Adj Read]]="N/A",IF(Table1[[#This Row],[Std Adj Read]]&gt;=Table1[[#This Row],[Low Tol]],"Pass","Fail"),IF(Table1[[#This Row],[DUT Adj Read]]&gt;=Table1[[#This Row],[Low Tol]],"Pass","Fail")))</f>
        <v>Pass</v>
      </c>
      <c r="AG638" s="1" t="str">
        <f>IF(AND(Table1[[#This Row],[Spec Type2]]="N/A",Table1[[#This Row],[DUT Adj Read]]="N/A",Table1[[#This Row],[Std Adj Read]]="N/A"),"N/A",IF(Table1[[#This Row],[DUT Adj Read]]="N/A",IF(Table1[[#This Row],[Std Adj Read]]&lt;=Table1[[#This Row],[High Tol]],"Pass","Fail"),IF(Table1[[#This Row],[DUT Adj Read]]&lt;=Table1[[#This Row],[High Tol]],"Pass","Fail")))</f>
        <v>Fail</v>
      </c>
      <c r="AH6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8" s="1" t="b">
        <v>0</v>
      </c>
      <c r="AN638" s="1" t="b">
        <v>0</v>
      </c>
      <c r="AO638" s="1" t="b">
        <v>0</v>
      </c>
    </row>
    <row r="639" spans="1:41" x14ac:dyDescent="0.25">
      <c r="A639" s="10"/>
      <c r="B639" s="10"/>
      <c r="C639" s="10"/>
      <c r="D639" s="10"/>
      <c r="E639" s="10"/>
      <c r="F639" s="10"/>
      <c r="G639" s="10"/>
      <c r="H639" s="10"/>
      <c r="I639" s="1" t="str">
        <f t="shared" si="27"/>
        <v/>
      </c>
      <c r="J639" s="1" t="s">
        <v>35</v>
      </c>
      <c r="K639" s="1" t="str">
        <f t="shared" si="28"/>
        <v/>
      </c>
      <c r="L639" s="1" t="str">
        <f t="shared" si="29"/>
        <v/>
      </c>
      <c r="M639" s="1">
        <f>IF(OR(Table1[[#This Row],[Std Nom]]="",Table1[[#This Row],[Std Read]]=""),0,Table1[[#This Row],[Std Nom]]-Table1[[#This Row],[Std Read]])</f>
        <v>0</v>
      </c>
      <c r="N639" s="1">
        <f>IF(Calculations!$F$5="ACCREDITED 17025 WITH UNCERTAINTIES",$N$10,0)</f>
        <v>0</v>
      </c>
      <c r="Q639" s="1">
        <f>Table1[[#This Row],[High Tol]]-Table1[[#This Row],[Low Tol]]</f>
        <v>0</v>
      </c>
      <c r="R639" s="1">
        <f>2*Table1[[#This Row],[Std Error]]</f>
        <v>0</v>
      </c>
      <c r="S639" s="1" t="str">
        <f>IF(Table1[[#This Row],[High Tol]]="","N/A",IFERROR(ABS(Table1[[#This Row],[Tol Span]]/Table1[[#This Row],[Error Span]]),"N/A"))</f>
        <v>N/A</v>
      </c>
      <c r="T639" s="1" t="str">
        <f>IF(OR(Table1[[#This Row],[Low Tol]]="",Table1[[#This Row],[High Tol]]=""),"Needs Analysis",IF(Table1[[#This Row],[Ratio]]&gt;=4,"Not Significant",IF(Table1[[#This Row],[Ratio]]&gt;=2,"Semi-Significant","Significant")))</f>
        <v>Needs Analysis</v>
      </c>
      <c r="W639" s="1">
        <f>IF(Table1[[#This Row],[Cal Type]]&lt;&gt;"ACCREDITED 17025 WITH UNCERTAINTIES",0,"")</f>
        <v>0</v>
      </c>
      <c r="X639" s="1" t="str">
        <f>IF(Table1[[#This Row],[DUT Read]]="","N/A",Table1[[#This Row],[Std Error]]+Table1[[#This Row],[DUT Read]]+Table1[[#This Row],[DUT Ucty]])</f>
        <v>N/A</v>
      </c>
      <c r="Y639" s="1" t="str">
        <f>IF(Table1[[#This Row],[Std Read]]="","N/A",Table1[[#This Row],[Std Read]]+Table1[[#This Row],[Std Ucty]])</f>
        <v>N/A</v>
      </c>
      <c r="Z6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39" s="1" t="str">
        <f>IF(Table1[[#This Row],[Spec Type]]="","N/A",Table1[[#This Row],[Spec Type]])</f>
        <v>±</v>
      </c>
      <c r="AC639" s="1" t="str">
        <f>IF(Table1[[#This Row],[Spec Type2]]="N/A","N/A",IF(AND(Table1[[#This Row],[DUT Adj Read]]&gt;=Table1[[#This Row],[Low Tol]],Table1[[#This Row],[DUT Adj Read]]&lt;=Table1[[#This Row],[High Tol]]),"Pass","Fail"))</f>
        <v>Fail</v>
      </c>
      <c r="AD639" s="1" t="str">
        <f>IF(AND(Table1[[#This Row],[Spec Type2]]="N/A",Table1[[#This Row],[DUT Adj Read]]="N/A",Table1[[#This Row],[Std Adj Read]]="N/A"),"N/A",IF(Table1[[#This Row],[DUT Adj Read]]="N/A",IF(Table1[[#This Row],[Std Adj Read]]&gt;Table1[[#This Row],[Low Tol]],"Pass","Fail"),IF(Table1[[#This Row],[DUT Adj Read]]&gt;Table1[[#This Row],[Low Tol]],"Pass","Fail")))</f>
        <v>Pass</v>
      </c>
      <c r="AE639" s="1" t="str">
        <f>IF(AND(Table1[[#This Row],[Spec Type2]]="N/A",Table1[[#This Row],[DUT Adj Read]]="N/A",Table1[[#This Row],[Std Adj Read]]="N/A"),"N/A",IF(Table1[[#This Row],[DUT Adj Read]]="N/A",IF(Table1[[#This Row],[Std Adj Read]]&lt;Table1[[#This Row],[High Tol]],"Pass","Fail"),IF(Table1[[#This Row],[DUT Adj Read]]&lt;Table1[[#This Row],[High Tol]],"Pass","Fail")))</f>
        <v>Fail</v>
      </c>
      <c r="AF639" s="1" t="str">
        <f>IF(AND(Table1[[#This Row],[Spec Type2]]="N/A",Table1[[#This Row],[DUT Adj Read]]="N/A",Table1[[#This Row],[Std Adj Read]]="N/A"),"N/A",IF(Table1[[#This Row],[DUT Adj Read]]="N/A",IF(Table1[[#This Row],[Std Adj Read]]&gt;=Table1[[#This Row],[Low Tol]],"Pass","Fail"),IF(Table1[[#This Row],[DUT Adj Read]]&gt;=Table1[[#This Row],[Low Tol]],"Pass","Fail")))</f>
        <v>Pass</v>
      </c>
      <c r="AG639" s="1" t="str">
        <f>IF(AND(Table1[[#This Row],[Spec Type2]]="N/A",Table1[[#This Row],[DUT Adj Read]]="N/A",Table1[[#This Row],[Std Adj Read]]="N/A"),"N/A",IF(Table1[[#This Row],[DUT Adj Read]]="N/A",IF(Table1[[#This Row],[Std Adj Read]]&lt;=Table1[[#This Row],[High Tol]],"Pass","Fail"),IF(Table1[[#This Row],[DUT Adj Read]]&lt;=Table1[[#This Row],[High Tol]],"Pass","Fail")))</f>
        <v>Fail</v>
      </c>
      <c r="AH6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39" s="1" t="b">
        <v>0</v>
      </c>
      <c r="AN639" s="1" t="b">
        <v>0</v>
      </c>
      <c r="AO639" s="1" t="b">
        <v>0</v>
      </c>
    </row>
    <row r="640" spans="1:41" x14ac:dyDescent="0.25">
      <c r="A640" s="10"/>
      <c r="B640" s="10"/>
      <c r="C640" s="10"/>
      <c r="D640" s="10"/>
      <c r="E640" s="10"/>
      <c r="F640" s="10"/>
      <c r="G640" s="10"/>
      <c r="H640" s="10"/>
      <c r="I640" s="1" t="str">
        <f t="shared" si="27"/>
        <v/>
      </c>
      <c r="J640" s="1" t="s">
        <v>35</v>
      </c>
      <c r="K640" s="1" t="str">
        <f t="shared" si="28"/>
        <v/>
      </c>
      <c r="L640" s="1" t="str">
        <f t="shared" si="29"/>
        <v/>
      </c>
      <c r="M640" s="1">
        <f>IF(OR(Table1[[#This Row],[Std Nom]]="",Table1[[#This Row],[Std Read]]=""),0,Table1[[#This Row],[Std Nom]]-Table1[[#This Row],[Std Read]])</f>
        <v>0</v>
      </c>
      <c r="N640" s="1">
        <f>IF(Calculations!$F$5="ACCREDITED 17025 WITH UNCERTAINTIES",$N$10,0)</f>
        <v>0</v>
      </c>
      <c r="Q640" s="1">
        <f>Table1[[#This Row],[High Tol]]-Table1[[#This Row],[Low Tol]]</f>
        <v>0</v>
      </c>
      <c r="R640" s="1">
        <f>2*Table1[[#This Row],[Std Error]]</f>
        <v>0</v>
      </c>
      <c r="S640" s="1" t="str">
        <f>IF(Table1[[#This Row],[High Tol]]="","N/A",IFERROR(ABS(Table1[[#This Row],[Tol Span]]/Table1[[#This Row],[Error Span]]),"N/A"))</f>
        <v>N/A</v>
      </c>
      <c r="T640" s="1" t="str">
        <f>IF(OR(Table1[[#This Row],[Low Tol]]="",Table1[[#This Row],[High Tol]]=""),"Needs Analysis",IF(Table1[[#This Row],[Ratio]]&gt;=4,"Not Significant",IF(Table1[[#This Row],[Ratio]]&gt;=2,"Semi-Significant","Significant")))</f>
        <v>Needs Analysis</v>
      </c>
      <c r="W640" s="1">
        <f>IF(Table1[[#This Row],[Cal Type]]&lt;&gt;"ACCREDITED 17025 WITH UNCERTAINTIES",0,"")</f>
        <v>0</v>
      </c>
      <c r="X640" s="1" t="str">
        <f>IF(Table1[[#This Row],[DUT Read]]="","N/A",Table1[[#This Row],[Std Error]]+Table1[[#This Row],[DUT Read]]+Table1[[#This Row],[DUT Ucty]])</f>
        <v>N/A</v>
      </c>
      <c r="Y640" s="1" t="str">
        <f>IF(Table1[[#This Row],[Std Read]]="","N/A",Table1[[#This Row],[Std Read]]+Table1[[#This Row],[Std Ucty]])</f>
        <v>N/A</v>
      </c>
      <c r="Z6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0" s="1" t="str">
        <f>IF(Table1[[#This Row],[Spec Type]]="","N/A",Table1[[#This Row],[Spec Type]])</f>
        <v>±</v>
      </c>
      <c r="AC640" s="1" t="str">
        <f>IF(Table1[[#This Row],[Spec Type2]]="N/A","N/A",IF(AND(Table1[[#This Row],[DUT Adj Read]]&gt;=Table1[[#This Row],[Low Tol]],Table1[[#This Row],[DUT Adj Read]]&lt;=Table1[[#This Row],[High Tol]]),"Pass","Fail"))</f>
        <v>Fail</v>
      </c>
      <c r="AD640" s="1" t="str">
        <f>IF(AND(Table1[[#This Row],[Spec Type2]]="N/A",Table1[[#This Row],[DUT Adj Read]]="N/A",Table1[[#This Row],[Std Adj Read]]="N/A"),"N/A",IF(Table1[[#This Row],[DUT Adj Read]]="N/A",IF(Table1[[#This Row],[Std Adj Read]]&gt;Table1[[#This Row],[Low Tol]],"Pass","Fail"),IF(Table1[[#This Row],[DUT Adj Read]]&gt;Table1[[#This Row],[Low Tol]],"Pass","Fail")))</f>
        <v>Pass</v>
      </c>
      <c r="AE640" s="1" t="str">
        <f>IF(AND(Table1[[#This Row],[Spec Type2]]="N/A",Table1[[#This Row],[DUT Adj Read]]="N/A",Table1[[#This Row],[Std Adj Read]]="N/A"),"N/A",IF(Table1[[#This Row],[DUT Adj Read]]="N/A",IF(Table1[[#This Row],[Std Adj Read]]&lt;Table1[[#This Row],[High Tol]],"Pass","Fail"),IF(Table1[[#This Row],[DUT Adj Read]]&lt;Table1[[#This Row],[High Tol]],"Pass","Fail")))</f>
        <v>Fail</v>
      </c>
      <c r="AF640" s="1" t="str">
        <f>IF(AND(Table1[[#This Row],[Spec Type2]]="N/A",Table1[[#This Row],[DUT Adj Read]]="N/A",Table1[[#This Row],[Std Adj Read]]="N/A"),"N/A",IF(Table1[[#This Row],[DUT Adj Read]]="N/A",IF(Table1[[#This Row],[Std Adj Read]]&gt;=Table1[[#This Row],[Low Tol]],"Pass","Fail"),IF(Table1[[#This Row],[DUT Adj Read]]&gt;=Table1[[#This Row],[Low Tol]],"Pass","Fail")))</f>
        <v>Pass</v>
      </c>
      <c r="AG640" s="1" t="str">
        <f>IF(AND(Table1[[#This Row],[Spec Type2]]="N/A",Table1[[#This Row],[DUT Adj Read]]="N/A",Table1[[#This Row],[Std Adj Read]]="N/A"),"N/A",IF(Table1[[#This Row],[DUT Adj Read]]="N/A",IF(Table1[[#This Row],[Std Adj Read]]&lt;=Table1[[#This Row],[High Tol]],"Pass","Fail"),IF(Table1[[#This Row],[DUT Adj Read]]&lt;=Table1[[#This Row],[High Tol]],"Pass","Fail")))</f>
        <v>Fail</v>
      </c>
      <c r="AH6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0" s="1" t="b">
        <v>0</v>
      </c>
      <c r="AN640" s="1" t="b">
        <v>0</v>
      </c>
      <c r="AO640" s="1" t="b">
        <v>0</v>
      </c>
    </row>
    <row r="641" spans="1:41" x14ac:dyDescent="0.25">
      <c r="A641" s="10"/>
      <c r="B641" s="10"/>
      <c r="C641" s="10"/>
      <c r="D641" s="10"/>
      <c r="E641" s="10"/>
      <c r="F641" s="10"/>
      <c r="G641" s="10"/>
      <c r="H641" s="10"/>
      <c r="I641" s="1" t="str">
        <f t="shared" si="27"/>
        <v/>
      </c>
      <c r="J641" s="1" t="s">
        <v>35</v>
      </c>
      <c r="K641" s="1" t="str">
        <f t="shared" si="28"/>
        <v/>
      </c>
      <c r="L641" s="1" t="str">
        <f t="shared" si="29"/>
        <v/>
      </c>
      <c r="M641" s="1">
        <f>IF(OR(Table1[[#This Row],[Std Nom]]="",Table1[[#This Row],[Std Read]]=""),0,Table1[[#This Row],[Std Nom]]-Table1[[#This Row],[Std Read]])</f>
        <v>0</v>
      </c>
      <c r="N641" s="1">
        <f>IF(Calculations!$F$5="ACCREDITED 17025 WITH UNCERTAINTIES",$N$10,0)</f>
        <v>0</v>
      </c>
      <c r="Q641" s="1">
        <f>Table1[[#This Row],[High Tol]]-Table1[[#This Row],[Low Tol]]</f>
        <v>0</v>
      </c>
      <c r="R641" s="1">
        <f>2*Table1[[#This Row],[Std Error]]</f>
        <v>0</v>
      </c>
      <c r="S641" s="1" t="str">
        <f>IF(Table1[[#This Row],[High Tol]]="","N/A",IFERROR(ABS(Table1[[#This Row],[Tol Span]]/Table1[[#This Row],[Error Span]]),"N/A"))</f>
        <v>N/A</v>
      </c>
      <c r="T641" s="1" t="str">
        <f>IF(OR(Table1[[#This Row],[Low Tol]]="",Table1[[#This Row],[High Tol]]=""),"Needs Analysis",IF(Table1[[#This Row],[Ratio]]&gt;=4,"Not Significant",IF(Table1[[#This Row],[Ratio]]&gt;=2,"Semi-Significant","Significant")))</f>
        <v>Needs Analysis</v>
      </c>
      <c r="W641" s="1">
        <f>IF(Table1[[#This Row],[Cal Type]]&lt;&gt;"ACCREDITED 17025 WITH UNCERTAINTIES",0,"")</f>
        <v>0</v>
      </c>
      <c r="X641" s="1" t="str">
        <f>IF(Table1[[#This Row],[DUT Read]]="","N/A",Table1[[#This Row],[Std Error]]+Table1[[#This Row],[DUT Read]]+Table1[[#This Row],[DUT Ucty]])</f>
        <v>N/A</v>
      </c>
      <c r="Y641" s="1" t="str">
        <f>IF(Table1[[#This Row],[Std Read]]="","N/A",Table1[[#This Row],[Std Read]]+Table1[[#This Row],[Std Ucty]])</f>
        <v>N/A</v>
      </c>
      <c r="Z6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1" s="1" t="str">
        <f>IF(Table1[[#This Row],[Spec Type]]="","N/A",Table1[[#This Row],[Spec Type]])</f>
        <v>±</v>
      </c>
      <c r="AC641" s="1" t="str">
        <f>IF(Table1[[#This Row],[Spec Type2]]="N/A","N/A",IF(AND(Table1[[#This Row],[DUT Adj Read]]&gt;=Table1[[#This Row],[Low Tol]],Table1[[#This Row],[DUT Adj Read]]&lt;=Table1[[#This Row],[High Tol]]),"Pass","Fail"))</f>
        <v>Fail</v>
      </c>
      <c r="AD641" s="1" t="str">
        <f>IF(AND(Table1[[#This Row],[Spec Type2]]="N/A",Table1[[#This Row],[DUT Adj Read]]="N/A",Table1[[#This Row],[Std Adj Read]]="N/A"),"N/A",IF(Table1[[#This Row],[DUT Adj Read]]="N/A",IF(Table1[[#This Row],[Std Adj Read]]&gt;Table1[[#This Row],[Low Tol]],"Pass","Fail"),IF(Table1[[#This Row],[DUT Adj Read]]&gt;Table1[[#This Row],[Low Tol]],"Pass","Fail")))</f>
        <v>Pass</v>
      </c>
      <c r="AE641" s="1" t="str">
        <f>IF(AND(Table1[[#This Row],[Spec Type2]]="N/A",Table1[[#This Row],[DUT Adj Read]]="N/A",Table1[[#This Row],[Std Adj Read]]="N/A"),"N/A",IF(Table1[[#This Row],[DUT Adj Read]]="N/A",IF(Table1[[#This Row],[Std Adj Read]]&lt;Table1[[#This Row],[High Tol]],"Pass","Fail"),IF(Table1[[#This Row],[DUT Adj Read]]&lt;Table1[[#This Row],[High Tol]],"Pass","Fail")))</f>
        <v>Fail</v>
      </c>
      <c r="AF641" s="1" t="str">
        <f>IF(AND(Table1[[#This Row],[Spec Type2]]="N/A",Table1[[#This Row],[DUT Adj Read]]="N/A",Table1[[#This Row],[Std Adj Read]]="N/A"),"N/A",IF(Table1[[#This Row],[DUT Adj Read]]="N/A",IF(Table1[[#This Row],[Std Adj Read]]&gt;=Table1[[#This Row],[Low Tol]],"Pass","Fail"),IF(Table1[[#This Row],[DUT Adj Read]]&gt;=Table1[[#This Row],[Low Tol]],"Pass","Fail")))</f>
        <v>Pass</v>
      </c>
      <c r="AG641" s="1" t="str">
        <f>IF(AND(Table1[[#This Row],[Spec Type2]]="N/A",Table1[[#This Row],[DUT Adj Read]]="N/A",Table1[[#This Row],[Std Adj Read]]="N/A"),"N/A",IF(Table1[[#This Row],[DUT Adj Read]]="N/A",IF(Table1[[#This Row],[Std Adj Read]]&lt;=Table1[[#This Row],[High Tol]],"Pass","Fail"),IF(Table1[[#This Row],[DUT Adj Read]]&lt;=Table1[[#This Row],[High Tol]],"Pass","Fail")))</f>
        <v>Fail</v>
      </c>
      <c r="AH6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1" s="1" t="b">
        <v>0</v>
      </c>
      <c r="AN641" s="1" t="b">
        <v>0</v>
      </c>
      <c r="AO641" s="1" t="b">
        <v>0</v>
      </c>
    </row>
    <row r="642" spans="1:41" x14ac:dyDescent="0.25">
      <c r="A642" s="10"/>
      <c r="B642" s="10"/>
      <c r="C642" s="10"/>
      <c r="D642" s="10"/>
      <c r="E642" s="10"/>
      <c r="F642" s="10"/>
      <c r="G642" s="10"/>
      <c r="H642" s="10"/>
      <c r="I642" s="1" t="str">
        <f t="shared" si="27"/>
        <v/>
      </c>
      <c r="J642" s="1" t="s">
        <v>35</v>
      </c>
      <c r="K642" s="1" t="str">
        <f t="shared" si="28"/>
        <v/>
      </c>
      <c r="L642" s="1" t="str">
        <f t="shared" si="29"/>
        <v/>
      </c>
      <c r="M642" s="1">
        <f>IF(OR(Table1[[#This Row],[Std Nom]]="",Table1[[#This Row],[Std Read]]=""),0,Table1[[#This Row],[Std Nom]]-Table1[[#This Row],[Std Read]])</f>
        <v>0</v>
      </c>
      <c r="N642" s="1">
        <f>IF(Calculations!$F$5="ACCREDITED 17025 WITH UNCERTAINTIES",$N$10,0)</f>
        <v>0</v>
      </c>
      <c r="Q642" s="1">
        <f>Table1[[#This Row],[High Tol]]-Table1[[#This Row],[Low Tol]]</f>
        <v>0</v>
      </c>
      <c r="R642" s="1">
        <f>2*Table1[[#This Row],[Std Error]]</f>
        <v>0</v>
      </c>
      <c r="S642" s="1" t="str">
        <f>IF(Table1[[#This Row],[High Tol]]="","N/A",IFERROR(ABS(Table1[[#This Row],[Tol Span]]/Table1[[#This Row],[Error Span]]),"N/A"))</f>
        <v>N/A</v>
      </c>
      <c r="T642" s="1" t="str">
        <f>IF(OR(Table1[[#This Row],[Low Tol]]="",Table1[[#This Row],[High Tol]]=""),"Needs Analysis",IF(Table1[[#This Row],[Ratio]]&gt;=4,"Not Significant",IF(Table1[[#This Row],[Ratio]]&gt;=2,"Semi-Significant","Significant")))</f>
        <v>Needs Analysis</v>
      </c>
      <c r="W642" s="1">
        <f>IF(Table1[[#This Row],[Cal Type]]&lt;&gt;"ACCREDITED 17025 WITH UNCERTAINTIES",0,"")</f>
        <v>0</v>
      </c>
      <c r="X642" s="1" t="str">
        <f>IF(Table1[[#This Row],[DUT Read]]="","N/A",Table1[[#This Row],[Std Error]]+Table1[[#This Row],[DUT Read]]+Table1[[#This Row],[DUT Ucty]])</f>
        <v>N/A</v>
      </c>
      <c r="Y642" s="1" t="str">
        <f>IF(Table1[[#This Row],[Std Read]]="","N/A",Table1[[#This Row],[Std Read]]+Table1[[#This Row],[Std Ucty]])</f>
        <v>N/A</v>
      </c>
      <c r="Z6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2" s="1" t="str">
        <f>IF(Table1[[#This Row],[Spec Type]]="","N/A",Table1[[#This Row],[Spec Type]])</f>
        <v>±</v>
      </c>
      <c r="AC642" s="1" t="str">
        <f>IF(Table1[[#This Row],[Spec Type2]]="N/A","N/A",IF(AND(Table1[[#This Row],[DUT Adj Read]]&gt;=Table1[[#This Row],[Low Tol]],Table1[[#This Row],[DUT Adj Read]]&lt;=Table1[[#This Row],[High Tol]]),"Pass","Fail"))</f>
        <v>Fail</v>
      </c>
      <c r="AD642" s="1" t="str">
        <f>IF(AND(Table1[[#This Row],[Spec Type2]]="N/A",Table1[[#This Row],[DUT Adj Read]]="N/A",Table1[[#This Row],[Std Adj Read]]="N/A"),"N/A",IF(Table1[[#This Row],[DUT Adj Read]]="N/A",IF(Table1[[#This Row],[Std Adj Read]]&gt;Table1[[#This Row],[Low Tol]],"Pass","Fail"),IF(Table1[[#This Row],[DUT Adj Read]]&gt;Table1[[#This Row],[Low Tol]],"Pass","Fail")))</f>
        <v>Pass</v>
      </c>
      <c r="AE642" s="1" t="str">
        <f>IF(AND(Table1[[#This Row],[Spec Type2]]="N/A",Table1[[#This Row],[DUT Adj Read]]="N/A",Table1[[#This Row],[Std Adj Read]]="N/A"),"N/A",IF(Table1[[#This Row],[DUT Adj Read]]="N/A",IF(Table1[[#This Row],[Std Adj Read]]&lt;Table1[[#This Row],[High Tol]],"Pass","Fail"),IF(Table1[[#This Row],[DUT Adj Read]]&lt;Table1[[#This Row],[High Tol]],"Pass","Fail")))</f>
        <v>Fail</v>
      </c>
      <c r="AF642" s="1" t="str">
        <f>IF(AND(Table1[[#This Row],[Spec Type2]]="N/A",Table1[[#This Row],[DUT Adj Read]]="N/A",Table1[[#This Row],[Std Adj Read]]="N/A"),"N/A",IF(Table1[[#This Row],[DUT Adj Read]]="N/A",IF(Table1[[#This Row],[Std Adj Read]]&gt;=Table1[[#This Row],[Low Tol]],"Pass","Fail"),IF(Table1[[#This Row],[DUT Adj Read]]&gt;=Table1[[#This Row],[Low Tol]],"Pass","Fail")))</f>
        <v>Pass</v>
      </c>
      <c r="AG642" s="1" t="str">
        <f>IF(AND(Table1[[#This Row],[Spec Type2]]="N/A",Table1[[#This Row],[DUT Adj Read]]="N/A",Table1[[#This Row],[Std Adj Read]]="N/A"),"N/A",IF(Table1[[#This Row],[DUT Adj Read]]="N/A",IF(Table1[[#This Row],[Std Adj Read]]&lt;=Table1[[#This Row],[High Tol]],"Pass","Fail"),IF(Table1[[#This Row],[DUT Adj Read]]&lt;=Table1[[#This Row],[High Tol]],"Pass","Fail")))</f>
        <v>Fail</v>
      </c>
      <c r="AH6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2" s="1" t="b">
        <v>0</v>
      </c>
      <c r="AN642" s="1" t="b">
        <v>0</v>
      </c>
      <c r="AO642" s="1" t="b">
        <v>0</v>
      </c>
    </row>
    <row r="643" spans="1:41" x14ac:dyDescent="0.25">
      <c r="A643" s="10"/>
      <c r="B643" s="10"/>
      <c r="C643" s="10"/>
      <c r="D643" s="10"/>
      <c r="E643" s="10"/>
      <c r="F643" s="10"/>
      <c r="G643" s="10"/>
      <c r="H643" s="10"/>
      <c r="I643" s="1" t="str">
        <f t="shared" si="27"/>
        <v/>
      </c>
      <c r="J643" s="1" t="s">
        <v>35</v>
      </c>
      <c r="K643" s="1" t="str">
        <f t="shared" si="28"/>
        <v/>
      </c>
      <c r="L643" s="1" t="str">
        <f t="shared" si="29"/>
        <v/>
      </c>
      <c r="M643" s="1">
        <f>IF(OR(Table1[[#This Row],[Std Nom]]="",Table1[[#This Row],[Std Read]]=""),0,Table1[[#This Row],[Std Nom]]-Table1[[#This Row],[Std Read]])</f>
        <v>0</v>
      </c>
      <c r="N643" s="1">
        <f>IF(Calculations!$F$5="ACCREDITED 17025 WITH UNCERTAINTIES",$N$10,0)</f>
        <v>0</v>
      </c>
      <c r="Q643" s="1">
        <f>Table1[[#This Row],[High Tol]]-Table1[[#This Row],[Low Tol]]</f>
        <v>0</v>
      </c>
      <c r="R643" s="1">
        <f>2*Table1[[#This Row],[Std Error]]</f>
        <v>0</v>
      </c>
      <c r="S643" s="1" t="str">
        <f>IF(Table1[[#This Row],[High Tol]]="","N/A",IFERROR(ABS(Table1[[#This Row],[Tol Span]]/Table1[[#This Row],[Error Span]]),"N/A"))</f>
        <v>N/A</v>
      </c>
      <c r="T643" s="1" t="str">
        <f>IF(OR(Table1[[#This Row],[Low Tol]]="",Table1[[#This Row],[High Tol]]=""),"Needs Analysis",IF(Table1[[#This Row],[Ratio]]&gt;=4,"Not Significant",IF(Table1[[#This Row],[Ratio]]&gt;=2,"Semi-Significant","Significant")))</f>
        <v>Needs Analysis</v>
      </c>
      <c r="W643" s="1">
        <f>IF(Table1[[#This Row],[Cal Type]]&lt;&gt;"ACCREDITED 17025 WITH UNCERTAINTIES",0,"")</f>
        <v>0</v>
      </c>
      <c r="X643" s="1" t="str">
        <f>IF(Table1[[#This Row],[DUT Read]]="","N/A",Table1[[#This Row],[Std Error]]+Table1[[#This Row],[DUT Read]]+Table1[[#This Row],[DUT Ucty]])</f>
        <v>N/A</v>
      </c>
      <c r="Y643" s="1" t="str">
        <f>IF(Table1[[#This Row],[Std Read]]="","N/A",Table1[[#This Row],[Std Read]]+Table1[[#This Row],[Std Ucty]])</f>
        <v>N/A</v>
      </c>
      <c r="Z6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3" s="1" t="str">
        <f>IF(Table1[[#This Row],[Spec Type]]="","N/A",Table1[[#This Row],[Spec Type]])</f>
        <v>±</v>
      </c>
      <c r="AC643" s="1" t="str">
        <f>IF(Table1[[#This Row],[Spec Type2]]="N/A","N/A",IF(AND(Table1[[#This Row],[DUT Adj Read]]&gt;=Table1[[#This Row],[Low Tol]],Table1[[#This Row],[DUT Adj Read]]&lt;=Table1[[#This Row],[High Tol]]),"Pass","Fail"))</f>
        <v>Fail</v>
      </c>
      <c r="AD643" s="1" t="str">
        <f>IF(AND(Table1[[#This Row],[Spec Type2]]="N/A",Table1[[#This Row],[DUT Adj Read]]="N/A",Table1[[#This Row],[Std Adj Read]]="N/A"),"N/A",IF(Table1[[#This Row],[DUT Adj Read]]="N/A",IF(Table1[[#This Row],[Std Adj Read]]&gt;Table1[[#This Row],[Low Tol]],"Pass","Fail"),IF(Table1[[#This Row],[DUT Adj Read]]&gt;Table1[[#This Row],[Low Tol]],"Pass","Fail")))</f>
        <v>Pass</v>
      </c>
      <c r="AE643" s="1" t="str">
        <f>IF(AND(Table1[[#This Row],[Spec Type2]]="N/A",Table1[[#This Row],[DUT Adj Read]]="N/A",Table1[[#This Row],[Std Adj Read]]="N/A"),"N/A",IF(Table1[[#This Row],[DUT Adj Read]]="N/A",IF(Table1[[#This Row],[Std Adj Read]]&lt;Table1[[#This Row],[High Tol]],"Pass","Fail"),IF(Table1[[#This Row],[DUT Adj Read]]&lt;Table1[[#This Row],[High Tol]],"Pass","Fail")))</f>
        <v>Fail</v>
      </c>
      <c r="AF643" s="1" t="str">
        <f>IF(AND(Table1[[#This Row],[Spec Type2]]="N/A",Table1[[#This Row],[DUT Adj Read]]="N/A",Table1[[#This Row],[Std Adj Read]]="N/A"),"N/A",IF(Table1[[#This Row],[DUT Adj Read]]="N/A",IF(Table1[[#This Row],[Std Adj Read]]&gt;=Table1[[#This Row],[Low Tol]],"Pass","Fail"),IF(Table1[[#This Row],[DUT Adj Read]]&gt;=Table1[[#This Row],[Low Tol]],"Pass","Fail")))</f>
        <v>Pass</v>
      </c>
      <c r="AG643" s="1" t="str">
        <f>IF(AND(Table1[[#This Row],[Spec Type2]]="N/A",Table1[[#This Row],[DUT Adj Read]]="N/A",Table1[[#This Row],[Std Adj Read]]="N/A"),"N/A",IF(Table1[[#This Row],[DUT Adj Read]]="N/A",IF(Table1[[#This Row],[Std Adj Read]]&lt;=Table1[[#This Row],[High Tol]],"Pass","Fail"),IF(Table1[[#This Row],[DUT Adj Read]]&lt;=Table1[[#This Row],[High Tol]],"Pass","Fail")))</f>
        <v>Fail</v>
      </c>
      <c r="AH6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3" s="1" t="b">
        <v>0</v>
      </c>
      <c r="AN643" s="1" t="b">
        <v>0</v>
      </c>
      <c r="AO643" s="1" t="b">
        <v>0</v>
      </c>
    </row>
    <row r="644" spans="1:41" x14ac:dyDescent="0.25">
      <c r="A644" s="10"/>
      <c r="B644" s="10"/>
      <c r="C644" s="10"/>
      <c r="D644" s="10"/>
      <c r="E644" s="10"/>
      <c r="F644" s="10"/>
      <c r="G644" s="10"/>
      <c r="H644" s="10"/>
      <c r="I644" s="1" t="str">
        <f t="shared" si="27"/>
        <v/>
      </c>
      <c r="J644" s="1" t="s">
        <v>35</v>
      </c>
      <c r="K644" s="1" t="str">
        <f t="shared" si="28"/>
        <v/>
      </c>
      <c r="L644" s="1" t="str">
        <f t="shared" si="29"/>
        <v/>
      </c>
      <c r="M644" s="1">
        <f>IF(OR(Table1[[#This Row],[Std Nom]]="",Table1[[#This Row],[Std Read]]=""),0,Table1[[#This Row],[Std Nom]]-Table1[[#This Row],[Std Read]])</f>
        <v>0</v>
      </c>
      <c r="N644" s="1">
        <f>IF(Calculations!$F$5="ACCREDITED 17025 WITH UNCERTAINTIES",$N$10,0)</f>
        <v>0</v>
      </c>
      <c r="Q644" s="1">
        <f>Table1[[#This Row],[High Tol]]-Table1[[#This Row],[Low Tol]]</f>
        <v>0</v>
      </c>
      <c r="R644" s="1">
        <f>2*Table1[[#This Row],[Std Error]]</f>
        <v>0</v>
      </c>
      <c r="S644" s="1" t="str">
        <f>IF(Table1[[#This Row],[High Tol]]="","N/A",IFERROR(ABS(Table1[[#This Row],[Tol Span]]/Table1[[#This Row],[Error Span]]),"N/A"))</f>
        <v>N/A</v>
      </c>
      <c r="T644" s="1" t="str">
        <f>IF(OR(Table1[[#This Row],[Low Tol]]="",Table1[[#This Row],[High Tol]]=""),"Needs Analysis",IF(Table1[[#This Row],[Ratio]]&gt;=4,"Not Significant",IF(Table1[[#This Row],[Ratio]]&gt;=2,"Semi-Significant","Significant")))</f>
        <v>Needs Analysis</v>
      </c>
      <c r="W644" s="1">
        <f>IF(Table1[[#This Row],[Cal Type]]&lt;&gt;"ACCREDITED 17025 WITH UNCERTAINTIES",0,"")</f>
        <v>0</v>
      </c>
      <c r="X644" s="1" t="str">
        <f>IF(Table1[[#This Row],[DUT Read]]="","N/A",Table1[[#This Row],[Std Error]]+Table1[[#This Row],[DUT Read]]+Table1[[#This Row],[DUT Ucty]])</f>
        <v>N/A</v>
      </c>
      <c r="Y644" s="1" t="str">
        <f>IF(Table1[[#This Row],[Std Read]]="","N/A",Table1[[#This Row],[Std Read]]+Table1[[#This Row],[Std Ucty]])</f>
        <v>N/A</v>
      </c>
      <c r="Z6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4" s="1" t="str">
        <f>IF(Table1[[#This Row],[Spec Type]]="","N/A",Table1[[#This Row],[Spec Type]])</f>
        <v>±</v>
      </c>
      <c r="AC644" s="1" t="str">
        <f>IF(Table1[[#This Row],[Spec Type2]]="N/A","N/A",IF(AND(Table1[[#This Row],[DUT Adj Read]]&gt;=Table1[[#This Row],[Low Tol]],Table1[[#This Row],[DUT Adj Read]]&lt;=Table1[[#This Row],[High Tol]]),"Pass","Fail"))</f>
        <v>Fail</v>
      </c>
      <c r="AD644" s="1" t="str">
        <f>IF(AND(Table1[[#This Row],[Spec Type2]]="N/A",Table1[[#This Row],[DUT Adj Read]]="N/A",Table1[[#This Row],[Std Adj Read]]="N/A"),"N/A",IF(Table1[[#This Row],[DUT Adj Read]]="N/A",IF(Table1[[#This Row],[Std Adj Read]]&gt;Table1[[#This Row],[Low Tol]],"Pass","Fail"),IF(Table1[[#This Row],[DUT Adj Read]]&gt;Table1[[#This Row],[Low Tol]],"Pass","Fail")))</f>
        <v>Pass</v>
      </c>
      <c r="AE644" s="1" t="str">
        <f>IF(AND(Table1[[#This Row],[Spec Type2]]="N/A",Table1[[#This Row],[DUT Adj Read]]="N/A",Table1[[#This Row],[Std Adj Read]]="N/A"),"N/A",IF(Table1[[#This Row],[DUT Adj Read]]="N/A",IF(Table1[[#This Row],[Std Adj Read]]&lt;Table1[[#This Row],[High Tol]],"Pass","Fail"),IF(Table1[[#This Row],[DUT Adj Read]]&lt;Table1[[#This Row],[High Tol]],"Pass","Fail")))</f>
        <v>Fail</v>
      </c>
      <c r="AF644" s="1" t="str">
        <f>IF(AND(Table1[[#This Row],[Spec Type2]]="N/A",Table1[[#This Row],[DUT Adj Read]]="N/A",Table1[[#This Row],[Std Adj Read]]="N/A"),"N/A",IF(Table1[[#This Row],[DUT Adj Read]]="N/A",IF(Table1[[#This Row],[Std Adj Read]]&gt;=Table1[[#This Row],[Low Tol]],"Pass","Fail"),IF(Table1[[#This Row],[DUT Adj Read]]&gt;=Table1[[#This Row],[Low Tol]],"Pass","Fail")))</f>
        <v>Pass</v>
      </c>
      <c r="AG644" s="1" t="str">
        <f>IF(AND(Table1[[#This Row],[Spec Type2]]="N/A",Table1[[#This Row],[DUT Adj Read]]="N/A",Table1[[#This Row],[Std Adj Read]]="N/A"),"N/A",IF(Table1[[#This Row],[DUT Adj Read]]="N/A",IF(Table1[[#This Row],[Std Adj Read]]&lt;=Table1[[#This Row],[High Tol]],"Pass","Fail"),IF(Table1[[#This Row],[DUT Adj Read]]&lt;=Table1[[#This Row],[High Tol]],"Pass","Fail")))</f>
        <v>Fail</v>
      </c>
      <c r="AH6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4" s="1" t="b">
        <v>0</v>
      </c>
      <c r="AN644" s="1" t="b">
        <v>0</v>
      </c>
      <c r="AO644" s="1" t="b">
        <v>0</v>
      </c>
    </row>
    <row r="645" spans="1:41" x14ac:dyDescent="0.25">
      <c r="A645" s="10"/>
      <c r="B645" s="10"/>
      <c r="C645" s="10"/>
      <c r="D645" s="10"/>
      <c r="E645" s="10"/>
      <c r="F645" s="10"/>
      <c r="G645" s="10"/>
      <c r="H645" s="10"/>
      <c r="I645" s="1" t="str">
        <f t="shared" si="27"/>
        <v/>
      </c>
      <c r="J645" s="1" t="s">
        <v>35</v>
      </c>
      <c r="K645" s="1" t="str">
        <f t="shared" si="28"/>
        <v/>
      </c>
      <c r="L645" s="1" t="str">
        <f t="shared" si="29"/>
        <v/>
      </c>
      <c r="M645" s="1">
        <f>IF(OR(Table1[[#This Row],[Std Nom]]="",Table1[[#This Row],[Std Read]]=""),0,Table1[[#This Row],[Std Nom]]-Table1[[#This Row],[Std Read]])</f>
        <v>0</v>
      </c>
      <c r="N645" s="1">
        <f>IF(Calculations!$F$5="ACCREDITED 17025 WITH UNCERTAINTIES",$N$10,0)</f>
        <v>0</v>
      </c>
      <c r="Q645" s="1">
        <f>Table1[[#This Row],[High Tol]]-Table1[[#This Row],[Low Tol]]</f>
        <v>0</v>
      </c>
      <c r="R645" s="1">
        <f>2*Table1[[#This Row],[Std Error]]</f>
        <v>0</v>
      </c>
      <c r="S645" s="1" t="str">
        <f>IF(Table1[[#This Row],[High Tol]]="","N/A",IFERROR(ABS(Table1[[#This Row],[Tol Span]]/Table1[[#This Row],[Error Span]]),"N/A"))</f>
        <v>N/A</v>
      </c>
      <c r="T645" s="1" t="str">
        <f>IF(OR(Table1[[#This Row],[Low Tol]]="",Table1[[#This Row],[High Tol]]=""),"Needs Analysis",IF(Table1[[#This Row],[Ratio]]&gt;=4,"Not Significant",IF(Table1[[#This Row],[Ratio]]&gt;=2,"Semi-Significant","Significant")))</f>
        <v>Needs Analysis</v>
      </c>
      <c r="W645" s="1">
        <f>IF(Table1[[#This Row],[Cal Type]]&lt;&gt;"ACCREDITED 17025 WITH UNCERTAINTIES",0,"")</f>
        <v>0</v>
      </c>
      <c r="X645" s="1" t="str">
        <f>IF(Table1[[#This Row],[DUT Read]]="","N/A",Table1[[#This Row],[Std Error]]+Table1[[#This Row],[DUT Read]]+Table1[[#This Row],[DUT Ucty]])</f>
        <v>N/A</v>
      </c>
      <c r="Y645" s="1" t="str">
        <f>IF(Table1[[#This Row],[Std Read]]="","N/A",Table1[[#This Row],[Std Read]]+Table1[[#This Row],[Std Ucty]])</f>
        <v>N/A</v>
      </c>
      <c r="Z6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5" s="1" t="str">
        <f>IF(Table1[[#This Row],[Spec Type]]="","N/A",Table1[[#This Row],[Spec Type]])</f>
        <v>±</v>
      </c>
      <c r="AC645" s="1" t="str">
        <f>IF(Table1[[#This Row],[Spec Type2]]="N/A","N/A",IF(AND(Table1[[#This Row],[DUT Adj Read]]&gt;=Table1[[#This Row],[Low Tol]],Table1[[#This Row],[DUT Adj Read]]&lt;=Table1[[#This Row],[High Tol]]),"Pass","Fail"))</f>
        <v>Fail</v>
      </c>
      <c r="AD645" s="1" t="str">
        <f>IF(AND(Table1[[#This Row],[Spec Type2]]="N/A",Table1[[#This Row],[DUT Adj Read]]="N/A",Table1[[#This Row],[Std Adj Read]]="N/A"),"N/A",IF(Table1[[#This Row],[DUT Adj Read]]="N/A",IF(Table1[[#This Row],[Std Adj Read]]&gt;Table1[[#This Row],[Low Tol]],"Pass","Fail"),IF(Table1[[#This Row],[DUT Adj Read]]&gt;Table1[[#This Row],[Low Tol]],"Pass","Fail")))</f>
        <v>Pass</v>
      </c>
      <c r="AE645" s="1" t="str">
        <f>IF(AND(Table1[[#This Row],[Spec Type2]]="N/A",Table1[[#This Row],[DUT Adj Read]]="N/A",Table1[[#This Row],[Std Adj Read]]="N/A"),"N/A",IF(Table1[[#This Row],[DUT Adj Read]]="N/A",IF(Table1[[#This Row],[Std Adj Read]]&lt;Table1[[#This Row],[High Tol]],"Pass","Fail"),IF(Table1[[#This Row],[DUT Adj Read]]&lt;Table1[[#This Row],[High Tol]],"Pass","Fail")))</f>
        <v>Fail</v>
      </c>
      <c r="AF645" s="1" t="str">
        <f>IF(AND(Table1[[#This Row],[Spec Type2]]="N/A",Table1[[#This Row],[DUT Adj Read]]="N/A",Table1[[#This Row],[Std Adj Read]]="N/A"),"N/A",IF(Table1[[#This Row],[DUT Adj Read]]="N/A",IF(Table1[[#This Row],[Std Adj Read]]&gt;=Table1[[#This Row],[Low Tol]],"Pass","Fail"),IF(Table1[[#This Row],[DUT Adj Read]]&gt;=Table1[[#This Row],[Low Tol]],"Pass","Fail")))</f>
        <v>Pass</v>
      </c>
      <c r="AG645" s="1" t="str">
        <f>IF(AND(Table1[[#This Row],[Spec Type2]]="N/A",Table1[[#This Row],[DUT Adj Read]]="N/A",Table1[[#This Row],[Std Adj Read]]="N/A"),"N/A",IF(Table1[[#This Row],[DUT Adj Read]]="N/A",IF(Table1[[#This Row],[Std Adj Read]]&lt;=Table1[[#This Row],[High Tol]],"Pass","Fail"),IF(Table1[[#This Row],[DUT Adj Read]]&lt;=Table1[[#This Row],[High Tol]],"Pass","Fail")))</f>
        <v>Fail</v>
      </c>
      <c r="AH6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5" s="1" t="b">
        <v>0</v>
      </c>
      <c r="AN645" s="1" t="b">
        <v>0</v>
      </c>
      <c r="AO645" s="1" t="b">
        <v>0</v>
      </c>
    </row>
    <row r="646" spans="1:41" x14ac:dyDescent="0.25">
      <c r="A646" s="10"/>
      <c r="B646" s="10"/>
      <c r="C646" s="10"/>
      <c r="D646" s="10"/>
      <c r="E646" s="10"/>
      <c r="F646" s="10"/>
      <c r="G646" s="10"/>
      <c r="H646" s="10"/>
      <c r="I646" s="1" t="str">
        <f t="shared" si="27"/>
        <v/>
      </c>
      <c r="J646" s="1" t="s">
        <v>35</v>
      </c>
      <c r="K646" s="1" t="str">
        <f t="shared" si="28"/>
        <v/>
      </c>
      <c r="L646" s="1" t="str">
        <f t="shared" si="29"/>
        <v/>
      </c>
      <c r="M646" s="1">
        <f>IF(OR(Table1[[#This Row],[Std Nom]]="",Table1[[#This Row],[Std Read]]=""),0,Table1[[#This Row],[Std Nom]]-Table1[[#This Row],[Std Read]])</f>
        <v>0</v>
      </c>
      <c r="N646" s="1">
        <f>IF(Calculations!$F$5="ACCREDITED 17025 WITH UNCERTAINTIES",$N$10,0)</f>
        <v>0</v>
      </c>
      <c r="Q646" s="1">
        <f>Table1[[#This Row],[High Tol]]-Table1[[#This Row],[Low Tol]]</f>
        <v>0</v>
      </c>
      <c r="R646" s="1">
        <f>2*Table1[[#This Row],[Std Error]]</f>
        <v>0</v>
      </c>
      <c r="S646" s="1" t="str">
        <f>IF(Table1[[#This Row],[High Tol]]="","N/A",IFERROR(ABS(Table1[[#This Row],[Tol Span]]/Table1[[#This Row],[Error Span]]),"N/A"))</f>
        <v>N/A</v>
      </c>
      <c r="T646" s="1" t="str">
        <f>IF(OR(Table1[[#This Row],[Low Tol]]="",Table1[[#This Row],[High Tol]]=""),"Needs Analysis",IF(Table1[[#This Row],[Ratio]]&gt;=4,"Not Significant",IF(Table1[[#This Row],[Ratio]]&gt;=2,"Semi-Significant","Significant")))</f>
        <v>Needs Analysis</v>
      </c>
      <c r="W646" s="1">
        <f>IF(Table1[[#This Row],[Cal Type]]&lt;&gt;"ACCREDITED 17025 WITH UNCERTAINTIES",0,"")</f>
        <v>0</v>
      </c>
      <c r="X646" s="1" t="str">
        <f>IF(Table1[[#This Row],[DUT Read]]="","N/A",Table1[[#This Row],[Std Error]]+Table1[[#This Row],[DUT Read]]+Table1[[#This Row],[DUT Ucty]])</f>
        <v>N/A</v>
      </c>
      <c r="Y646" s="1" t="str">
        <f>IF(Table1[[#This Row],[Std Read]]="","N/A",Table1[[#This Row],[Std Read]]+Table1[[#This Row],[Std Ucty]])</f>
        <v>N/A</v>
      </c>
      <c r="Z6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6" s="1" t="str">
        <f>IF(Table1[[#This Row],[Spec Type]]="","N/A",Table1[[#This Row],[Spec Type]])</f>
        <v>±</v>
      </c>
      <c r="AC646" s="1" t="str">
        <f>IF(Table1[[#This Row],[Spec Type2]]="N/A","N/A",IF(AND(Table1[[#This Row],[DUT Adj Read]]&gt;=Table1[[#This Row],[Low Tol]],Table1[[#This Row],[DUT Adj Read]]&lt;=Table1[[#This Row],[High Tol]]),"Pass","Fail"))</f>
        <v>Fail</v>
      </c>
      <c r="AD646" s="1" t="str">
        <f>IF(AND(Table1[[#This Row],[Spec Type2]]="N/A",Table1[[#This Row],[DUT Adj Read]]="N/A",Table1[[#This Row],[Std Adj Read]]="N/A"),"N/A",IF(Table1[[#This Row],[DUT Adj Read]]="N/A",IF(Table1[[#This Row],[Std Adj Read]]&gt;Table1[[#This Row],[Low Tol]],"Pass","Fail"),IF(Table1[[#This Row],[DUT Adj Read]]&gt;Table1[[#This Row],[Low Tol]],"Pass","Fail")))</f>
        <v>Pass</v>
      </c>
      <c r="AE646" s="1" t="str">
        <f>IF(AND(Table1[[#This Row],[Spec Type2]]="N/A",Table1[[#This Row],[DUT Adj Read]]="N/A",Table1[[#This Row],[Std Adj Read]]="N/A"),"N/A",IF(Table1[[#This Row],[DUT Adj Read]]="N/A",IF(Table1[[#This Row],[Std Adj Read]]&lt;Table1[[#This Row],[High Tol]],"Pass","Fail"),IF(Table1[[#This Row],[DUT Adj Read]]&lt;Table1[[#This Row],[High Tol]],"Pass","Fail")))</f>
        <v>Fail</v>
      </c>
      <c r="AF646" s="1" t="str">
        <f>IF(AND(Table1[[#This Row],[Spec Type2]]="N/A",Table1[[#This Row],[DUT Adj Read]]="N/A",Table1[[#This Row],[Std Adj Read]]="N/A"),"N/A",IF(Table1[[#This Row],[DUT Adj Read]]="N/A",IF(Table1[[#This Row],[Std Adj Read]]&gt;=Table1[[#This Row],[Low Tol]],"Pass","Fail"),IF(Table1[[#This Row],[DUT Adj Read]]&gt;=Table1[[#This Row],[Low Tol]],"Pass","Fail")))</f>
        <v>Pass</v>
      </c>
      <c r="AG646" s="1" t="str">
        <f>IF(AND(Table1[[#This Row],[Spec Type2]]="N/A",Table1[[#This Row],[DUT Adj Read]]="N/A",Table1[[#This Row],[Std Adj Read]]="N/A"),"N/A",IF(Table1[[#This Row],[DUT Adj Read]]="N/A",IF(Table1[[#This Row],[Std Adj Read]]&lt;=Table1[[#This Row],[High Tol]],"Pass","Fail"),IF(Table1[[#This Row],[DUT Adj Read]]&lt;=Table1[[#This Row],[High Tol]],"Pass","Fail")))</f>
        <v>Fail</v>
      </c>
      <c r="AH6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6" s="1" t="b">
        <v>0</v>
      </c>
      <c r="AN646" s="1" t="b">
        <v>0</v>
      </c>
      <c r="AO646" s="1" t="b">
        <v>0</v>
      </c>
    </row>
    <row r="647" spans="1:41" x14ac:dyDescent="0.25">
      <c r="A647" s="10"/>
      <c r="B647" s="10"/>
      <c r="C647" s="10"/>
      <c r="D647" s="10"/>
      <c r="E647" s="10"/>
      <c r="F647" s="10"/>
      <c r="G647" s="10"/>
      <c r="H647" s="10"/>
      <c r="I647" s="1" t="str">
        <f t="shared" si="27"/>
        <v/>
      </c>
      <c r="J647" s="1" t="s">
        <v>35</v>
      </c>
      <c r="K647" s="1" t="str">
        <f t="shared" si="28"/>
        <v/>
      </c>
      <c r="L647" s="1" t="str">
        <f t="shared" si="29"/>
        <v/>
      </c>
      <c r="M647" s="1">
        <f>IF(OR(Table1[[#This Row],[Std Nom]]="",Table1[[#This Row],[Std Read]]=""),0,Table1[[#This Row],[Std Nom]]-Table1[[#This Row],[Std Read]])</f>
        <v>0</v>
      </c>
      <c r="N647" s="1">
        <f>IF(Calculations!$F$5="ACCREDITED 17025 WITH UNCERTAINTIES",$N$10,0)</f>
        <v>0</v>
      </c>
      <c r="Q647" s="1">
        <f>Table1[[#This Row],[High Tol]]-Table1[[#This Row],[Low Tol]]</f>
        <v>0</v>
      </c>
      <c r="R647" s="1">
        <f>2*Table1[[#This Row],[Std Error]]</f>
        <v>0</v>
      </c>
      <c r="S647" s="1" t="str">
        <f>IF(Table1[[#This Row],[High Tol]]="","N/A",IFERROR(ABS(Table1[[#This Row],[Tol Span]]/Table1[[#This Row],[Error Span]]),"N/A"))</f>
        <v>N/A</v>
      </c>
      <c r="T647" s="1" t="str">
        <f>IF(OR(Table1[[#This Row],[Low Tol]]="",Table1[[#This Row],[High Tol]]=""),"Needs Analysis",IF(Table1[[#This Row],[Ratio]]&gt;=4,"Not Significant",IF(Table1[[#This Row],[Ratio]]&gt;=2,"Semi-Significant","Significant")))</f>
        <v>Needs Analysis</v>
      </c>
      <c r="W647" s="1">
        <f>IF(Table1[[#This Row],[Cal Type]]&lt;&gt;"ACCREDITED 17025 WITH UNCERTAINTIES",0,"")</f>
        <v>0</v>
      </c>
      <c r="X647" s="1" t="str">
        <f>IF(Table1[[#This Row],[DUT Read]]="","N/A",Table1[[#This Row],[Std Error]]+Table1[[#This Row],[DUT Read]]+Table1[[#This Row],[DUT Ucty]])</f>
        <v>N/A</v>
      </c>
      <c r="Y647" s="1" t="str">
        <f>IF(Table1[[#This Row],[Std Read]]="","N/A",Table1[[#This Row],[Std Read]]+Table1[[#This Row],[Std Ucty]])</f>
        <v>N/A</v>
      </c>
      <c r="Z6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7" s="1" t="str">
        <f>IF(Table1[[#This Row],[Spec Type]]="","N/A",Table1[[#This Row],[Spec Type]])</f>
        <v>±</v>
      </c>
      <c r="AC647" s="1" t="str">
        <f>IF(Table1[[#This Row],[Spec Type2]]="N/A","N/A",IF(AND(Table1[[#This Row],[DUT Adj Read]]&gt;=Table1[[#This Row],[Low Tol]],Table1[[#This Row],[DUT Adj Read]]&lt;=Table1[[#This Row],[High Tol]]),"Pass","Fail"))</f>
        <v>Fail</v>
      </c>
      <c r="AD647" s="1" t="str">
        <f>IF(AND(Table1[[#This Row],[Spec Type2]]="N/A",Table1[[#This Row],[DUT Adj Read]]="N/A",Table1[[#This Row],[Std Adj Read]]="N/A"),"N/A",IF(Table1[[#This Row],[DUT Adj Read]]="N/A",IF(Table1[[#This Row],[Std Adj Read]]&gt;Table1[[#This Row],[Low Tol]],"Pass","Fail"),IF(Table1[[#This Row],[DUT Adj Read]]&gt;Table1[[#This Row],[Low Tol]],"Pass","Fail")))</f>
        <v>Pass</v>
      </c>
      <c r="AE647" s="1" t="str">
        <f>IF(AND(Table1[[#This Row],[Spec Type2]]="N/A",Table1[[#This Row],[DUT Adj Read]]="N/A",Table1[[#This Row],[Std Adj Read]]="N/A"),"N/A",IF(Table1[[#This Row],[DUT Adj Read]]="N/A",IF(Table1[[#This Row],[Std Adj Read]]&lt;Table1[[#This Row],[High Tol]],"Pass","Fail"),IF(Table1[[#This Row],[DUT Adj Read]]&lt;Table1[[#This Row],[High Tol]],"Pass","Fail")))</f>
        <v>Fail</v>
      </c>
      <c r="AF647" s="1" t="str">
        <f>IF(AND(Table1[[#This Row],[Spec Type2]]="N/A",Table1[[#This Row],[DUT Adj Read]]="N/A",Table1[[#This Row],[Std Adj Read]]="N/A"),"N/A",IF(Table1[[#This Row],[DUT Adj Read]]="N/A",IF(Table1[[#This Row],[Std Adj Read]]&gt;=Table1[[#This Row],[Low Tol]],"Pass","Fail"),IF(Table1[[#This Row],[DUT Adj Read]]&gt;=Table1[[#This Row],[Low Tol]],"Pass","Fail")))</f>
        <v>Pass</v>
      </c>
      <c r="AG647" s="1" t="str">
        <f>IF(AND(Table1[[#This Row],[Spec Type2]]="N/A",Table1[[#This Row],[DUT Adj Read]]="N/A",Table1[[#This Row],[Std Adj Read]]="N/A"),"N/A",IF(Table1[[#This Row],[DUT Adj Read]]="N/A",IF(Table1[[#This Row],[Std Adj Read]]&lt;=Table1[[#This Row],[High Tol]],"Pass","Fail"),IF(Table1[[#This Row],[DUT Adj Read]]&lt;=Table1[[#This Row],[High Tol]],"Pass","Fail")))</f>
        <v>Fail</v>
      </c>
      <c r="AH6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7" s="1" t="b">
        <v>0</v>
      </c>
      <c r="AN647" s="1" t="b">
        <v>0</v>
      </c>
      <c r="AO647" s="1" t="b">
        <v>0</v>
      </c>
    </row>
    <row r="648" spans="1:41" x14ac:dyDescent="0.25">
      <c r="A648" s="10"/>
      <c r="B648" s="10"/>
      <c r="C648" s="10"/>
      <c r="D648" s="10"/>
      <c r="E648" s="10"/>
      <c r="F648" s="10"/>
      <c r="G648" s="10"/>
      <c r="H648" s="10"/>
      <c r="I648" s="1" t="str">
        <f t="shared" si="27"/>
        <v/>
      </c>
      <c r="J648" s="1" t="s">
        <v>35</v>
      </c>
      <c r="K648" s="1" t="str">
        <f t="shared" si="28"/>
        <v/>
      </c>
      <c r="L648" s="1" t="str">
        <f t="shared" si="29"/>
        <v/>
      </c>
      <c r="M648" s="1">
        <f>IF(OR(Table1[[#This Row],[Std Nom]]="",Table1[[#This Row],[Std Read]]=""),0,Table1[[#This Row],[Std Nom]]-Table1[[#This Row],[Std Read]])</f>
        <v>0</v>
      </c>
      <c r="N648" s="1">
        <f>IF(Calculations!$F$5="ACCREDITED 17025 WITH UNCERTAINTIES",$N$10,0)</f>
        <v>0</v>
      </c>
      <c r="Q648" s="1">
        <f>Table1[[#This Row],[High Tol]]-Table1[[#This Row],[Low Tol]]</f>
        <v>0</v>
      </c>
      <c r="R648" s="1">
        <f>2*Table1[[#This Row],[Std Error]]</f>
        <v>0</v>
      </c>
      <c r="S648" s="1" t="str">
        <f>IF(Table1[[#This Row],[High Tol]]="","N/A",IFERROR(ABS(Table1[[#This Row],[Tol Span]]/Table1[[#This Row],[Error Span]]),"N/A"))</f>
        <v>N/A</v>
      </c>
      <c r="T648" s="1" t="str">
        <f>IF(OR(Table1[[#This Row],[Low Tol]]="",Table1[[#This Row],[High Tol]]=""),"Needs Analysis",IF(Table1[[#This Row],[Ratio]]&gt;=4,"Not Significant",IF(Table1[[#This Row],[Ratio]]&gt;=2,"Semi-Significant","Significant")))</f>
        <v>Needs Analysis</v>
      </c>
      <c r="W648" s="1">
        <f>IF(Table1[[#This Row],[Cal Type]]&lt;&gt;"ACCREDITED 17025 WITH UNCERTAINTIES",0,"")</f>
        <v>0</v>
      </c>
      <c r="X648" s="1" t="str">
        <f>IF(Table1[[#This Row],[DUT Read]]="","N/A",Table1[[#This Row],[Std Error]]+Table1[[#This Row],[DUT Read]]+Table1[[#This Row],[DUT Ucty]])</f>
        <v>N/A</v>
      </c>
      <c r="Y648" s="1" t="str">
        <f>IF(Table1[[#This Row],[Std Read]]="","N/A",Table1[[#This Row],[Std Read]]+Table1[[#This Row],[Std Ucty]])</f>
        <v>N/A</v>
      </c>
      <c r="Z6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8" s="1" t="str">
        <f>IF(Table1[[#This Row],[Spec Type]]="","N/A",Table1[[#This Row],[Spec Type]])</f>
        <v>±</v>
      </c>
      <c r="AC648" s="1" t="str">
        <f>IF(Table1[[#This Row],[Spec Type2]]="N/A","N/A",IF(AND(Table1[[#This Row],[DUT Adj Read]]&gt;=Table1[[#This Row],[Low Tol]],Table1[[#This Row],[DUT Adj Read]]&lt;=Table1[[#This Row],[High Tol]]),"Pass","Fail"))</f>
        <v>Fail</v>
      </c>
      <c r="AD648" s="1" t="str">
        <f>IF(AND(Table1[[#This Row],[Spec Type2]]="N/A",Table1[[#This Row],[DUT Adj Read]]="N/A",Table1[[#This Row],[Std Adj Read]]="N/A"),"N/A",IF(Table1[[#This Row],[DUT Adj Read]]="N/A",IF(Table1[[#This Row],[Std Adj Read]]&gt;Table1[[#This Row],[Low Tol]],"Pass","Fail"),IF(Table1[[#This Row],[DUT Adj Read]]&gt;Table1[[#This Row],[Low Tol]],"Pass","Fail")))</f>
        <v>Pass</v>
      </c>
      <c r="AE648" s="1" t="str">
        <f>IF(AND(Table1[[#This Row],[Spec Type2]]="N/A",Table1[[#This Row],[DUT Adj Read]]="N/A",Table1[[#This Row],[Std Adj Read]]="N/A"),"N/A",IF(Table1[[#This Row],[DUT Adj Read]]="N/A",IF(Table1[[#This Row],[Std Adj Read]]&lt;Table1[[#This Row],[High Tol]],"Pass","Fail"),IF(Table1[[#This Row],[DUT Adj Read]]&lt;Table1[[#This Row],[High Tol]],"Pass","Fail")))</f>
        <v>Fail</v>
      </c>
      <c r="AF648" s="1" t="str">
        <f>IF(AND(Table1[[#This Row],[Spec Type2]]="N/A",Table1[[#This Row],[DUT Adj Read]]="N/A",Table1[[#This Row],[Std Adj Read]]="N/A"),"N/A",IF(Table1[[#This Row],[DUT Adj Read]]="N/A",IF(Table1[[#This Row],[Std Adj Read]]&gt;=Table1[[#This Row],[Low Tol]],"Pass","Fail"),IF(Table1[[#This Row],[DUT Adj Read]]&gt;=Table1[[#This Row],[Low Tol]],"Pass","Fail")))</f>
        <v>Pass</v>
      </c>
      <c r="AG648" s="1" t="str">
        <f>IF(AND(Table1[[#This Row],[Spec Type2]]="N/A",Table1[[#This Row],[DUT Adj Read]]="N/A",Table1[[#This Row],[Std Adj Read]]="N/A"),"N/A",IF(Table1[[#This Row],[DUT Adj Read]]="N/A",IF(Table1[[#This Row],[Std Adj Read]]&lt;=Table1[[#This Row],[High Tol]],"Pass","Fail"),IF(Table1[[#This Row],[DUT Adj Read]]&lt;=Table1[[#This Row],[High Tol]],"Pass","Fail")))</f>
        <v>Fail</v>
      </c>
      <c r="AH6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8" s="1" t="b">
        <v>0</v>
      </c>
      <c r="AN648" s="1" t="b">
        <v>0</v>
      </c>
      <c r="AO648" s="1" t="b">
        <v>0</v>
      </c>
    </row>
    <row r="649" spans="1:41" x14ac:dyDescent="0.25">
      <c r="A649" s="10"/>
      <c r="B649" s="10"/>
      <c r="C649" s="10"/>
      <c r="D649" s="10"/>
      <c r="E649" s="10"/>
      <c r="F649" s="10"/>
      <c r="G649" s="10"/>
      <c r="H649" s="10"/>
      <c r="I649" s="1" t="str">
        <f t="shared" si="27"/>
        <v/>
      </c>
      <c r="J649" s="1" t="s">
        <v>35</v>
      </c>
      <c r="K649" s="1" t="str">
        <f t="shared" si="28"/>
        <v/>
      </c>
      <c r="L649" s="1" t="str">
        <f t="shared" si="29"/>
        <v/>
      </c>
      <c r="M649" s="1">
        <f>IF(OR(Table1[[#This Row],[Std Nom]]="",Table1[[#This Row],[Std Read]]=""),0,Table1[[#This Row],[Std Nom]]-Table1[[#This Row],[Std Read]])</f>
        <v>0</v>
      </c>
      <c r="N649" s="1">
        <f>IF(Calculations!$F$5="ACCREDITED 17025 WITH UNCERTAINTIES",$N$10,0)</f>
        <v>0</v>
      </c>
      <c r="Q649" s="1">
        <f>Table1[[#This Row],[High Tol]]-Table1[[#This Row],[Low Tol]]</f>
        <v>0</v>
      </c>
      <c r="R649" s="1">
        <f>2*Table1[[#This Row],[Std Error]]</f>
        <v>0</v>
      </c>
      <c r="S649" s="1" t="str">
        <f>IF(Table1[[#This Row],[High Tol]]="","N/A",IFERROR(ABS(Table1[[#This Row],[Tol Span]]/Table1[[#This Row],[Error Span]]),"N/A"))</f>
        <v>N/A</v>
      </c>
      <c r="T649" s="1" t="str">
        <f>IF(OR(Table1[[#This Row],[Low Tol]]="",Table1[[#This Row],[High Tol]]=""),"Needs Analysis",IF(Table1[[#This Row],[Ratio]]&gt;=4,"Not Significant",IF(Table1[[#This Row],[Ratio]]&gt;=2,"Semi-Significant","Significant")))</f>
        <v>Needs Analysis</v>
      </c>
      <c r="W649" s="1">
        <f>IF(Table1[[#This Row],[Cal Type]]&lt;&gt;"ACCREDITED 17025 WITH UNCERTAINTIES",0,"")</f>
        <v>0</v>
      </c>
      <c r="X649" s="1" t="str">
        <f>IF(Table1[[#This Row],[DUT Read]]="","N/A",Table1[[#This Row],[Std Error]]+Table1[[#This Row],[DUT Read]]+Table1[[#This Row],[DUT Ucty]])</f>
        <v>N/A</v>
      </c>
      <c r="Y649" s="1" t="str">
        <f>IF(Table1[[#This Row],[Std Read]]="","N/A",Table1[[#This Row],[Std Read]]+Table1[[#This Row],[Std Ucty]])</f>
        <v>N/A</v>
      </c>
      <c r="Z6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49" s="1" t="str">
        <f>IF(Table1[[#This Row],[Spec Type]]="","N/A",Table1[[#This Row],[Spec Type]])</f>
        <v>±</v>
      </c>
      <c r="AC649" s="1" t="str">
        <f>IF(Table1[[#This Row],[Spec Type2]]="N/A","N/A",IF(AND(Table1[[#This Row],[DUT Adj Read]]&gt;=Table1[[#This Row],[Low Tol]],Table1[[#This Row],[DUT Adj Read]]&lt;=Table1[[#This Row],[High Tol]]),"Pass","Fail"))</f>
        <v>Fail</v>
      </c>
      <c r="AD649" s="1" t="str">
        <f>IF(AND(Table1[[#This Row],[Spec Type2]]="N/A",Table1[[#This Row],[DUT Adj Read]]="N/A",Table1[[#This Row],[Std Adj Read]]="N/A"),"N/A",IF(Table1[[#This Row],[DUT Adj Read]]="N/A",IF(Table1[[#This Row],[Std Adj Read]]&gt;Table1[[#This Row],[Low Tol]],"Pass","Fail"),IF(Table1[[#This Row],[DUT Adj Read]]&gt;Table1[[#This Row],[Low Tol]],"Pass","Fail")))</f>
        <v>Pass</v>
      </c>
      <c r="AE649" s="1" t="str">
        <f>IF(AND(Table1[[#This Row],[Spec Type2]]="N/A",Table1[[#This Row],[DUT Adj Read]]="N/A",Table1[[#This Row],[Std Adj Read]]="N/A"),"N/A",IF(Table1[[#This Row],[DUT Adj Read]]="N/A",IF(Table1[[#This Row],[Std Adj Read]]&lt;Table1[[#This Row],[High Tol]],"Pass","Fail"),IF(Table1[[#This Row],[DUT Adj Read]]&lt;Table1[[#This Row],[High Tol]],"Pass","Fail")))</f>
        <v>Fail</v>
      </c>
      <c r="AF649" s="1" t="str">
        <f>IF(AND(Table1[[#This Row],[Spec Type2]]="N/A",Table1[[#This Row],[DUT Adj Read]]="N/A",Table1[[#This Row],[Std Adj Read]]="N/A"),"N/A",IF(Table1[[#This Row],[DUT Adj Read]]="N/A",IF(Table1[[#This Row],[Std Adj Read]]&gt;=Table1[[#This Row],[Low Tol]],"Pass","Fail"),IF(Table1[[#This Row],[DUT Adj Read]]&gt;=Table1[[#This Row],[Low Tol]],"Pass","Fail")))</f>
        <v>Pass</v>
      </c>
      <c r="AG649" s="1" t="str">
        <f>IF(AND(Table1[[#This Row],[Spec Type2]]="N/A",Table1[[#This Row],[DUT Adj Read]]="N/A",Table1[[#This Row],[Std Adj Read]]="N/A"),"N/A",IF(Table1[[#This Row],[DUT Adj Read]]="N/A",IF(Table1[[#This Row],[Std Adj Read]]&lt;=Table1[[#This Row],[High Tol]],"Pass","Fail"),IF(Table1[[#This Row],[DUT Adj Read]]&lt;=Table1[[#This Row],[High Tol]],"Pass","Fail")))</f>
        <v>Fail</v>
      </c>
      <c r="AH6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49" s="1" t="b">
        <v>0</v>
      </c>
      <c r="AN649" s="1" t="b">
        <v>0</v>
      </c>
      <c r="AO649" s="1" t="b">
        <v>0</v>
      </c>
    </row>
    <row r="650" spans="1:41" x14ac:dyDescent="0.25">
      <c r="A650" s="10"/>
      <c r="B650" s="10"/>
      <c r="C650" s="10"/>
      <c r="D650" s="10"/>
      <c r="E650" s="10"/>
      <c r="F650" s="10"/>
      <c r="G650" s="10"/>
      <c r="H650" s="10"/>
      <c r="I650" s="1" t="str">
        <f t="shared" si="27"/>
        <v/>
      </c>
      <c r="J650" s="1" t="s">
        <v>35</v>
      </c>
      <c r="K650" s="1" t="str">
        <f t="shared" si="28"/>
        <v/>
      </c>
      <c r="L650" s="1" t="str">
        <f t="shared" si="29"/>
        <v/>
      </c>
      <c r="M650" s="1">
        <f>IF(OR(Table1[[#This Row],[Std Nom]]="",Table1[[#This Row],[Std Read]]=""),0,Table1[[#This Row],[Std Nom]]-Table1[[#This Row],[Std Read]])</f>
        <v>0</v>
      </c>
      <c r="N650" s="1">
        <f>IF(Calculations!$F$5="ACCREDITED 17025 WITH UNCERTAINTIES",$N$10,0)</f>
        <v>0</v>
      </c>
      <c r="Q650" s="1">
        <f>Table1[[#This Row],[High Tol]]-Table1[[#This Row],[Low Tol]]</f>
        <v>0</v>
      </c>
      <c r="R650" s="1">
        <f>2*Table1[[#This Row],[Std Error]]</f>
        <v>0</v>
      </c>
      <c r="S650" s="1" t="str">
        <f>IF(Table1[[#This Row],[High Tol]]="","N/A",IFERROR(ABS(Table1[[#This Row],[Tol Span]]/Table1[[#This Row],[Error Span]]),"N/A"))</f>
        <v>N/A</v>
      </c>
      <c r="T650" s="1" t="str">
        <f>IF(OR(Table1[[#This Row],[Low Tol]]="",Table1[[#This Row],[High Tol]]=""),"Needs Analysis",IF(Table1[[#This Row],[Ratio]]&gt;=4,"Not Significant",IF(Table1[[#This Row],[Ratio]]&gt;=2,"Semi-Significant","Significant")))</f>
        <v>Needs Analysis</v>
      </c>
      <c r="W650" s="1">
        <f>IF(Table1[[#This Row],[Cal Type]]&lt;&gt;"ACCREDITED 17025 WITH UNCERTAINTIES",0,"")</f>
        <v>0</v>
      </c>
      <c r="X650" s="1" t="str">
        <f>IF(Table1[[#This Row],[DUT Read]]="","N/A",Table1[[#This Row],[Std Error]]+Table1[[#This Row],[DUT Read]]+Table1[[#This Row],[DUT Ucty]])</f>
        <v>N/A</v>
      </c>
      <c r="Y650" s="1" t="str">
        <f>IF(Table1[[#This Row],[Std Read]]="","N/A",Table1[[#This Row],[Std Read]]+Table1[[#This Row],[Std Ucty]])</f>
        <v>N/A</v>
      </c>
      <c r="Z6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0" s="1" t="str">
        <f>IF(Table1[[#This Row],[Spec Type]]="","N/A",Table1[[#This Row],[Spec Type]])</f>
        <v>±</v>
      </c>
      <c r="AC650" s="1" t="str">
        <f>IF(Table1[[#This Row],[Spec Type2]]="N/A","N/A",IF(AND(Table1[[#This Row],[DUT Adj Read]]&gt;=Table1[[#This Row],[Low Tol]],Table1[[#This Row],[DUT Adj Read]]&lt;=Table1[[#This Row],[High Tol]]),"Pass","Fail"))</f>
        <v>Fail</v>
      </c>
      <c r="AD650" s="1" t="str">
        <f>IF(AND(Table1[[#This Row],[Spec Type2]]="N/A",Table1[[#This Row],[DUT Adj Read]]="N/A",Table1[[#This Row],[Std Adj Read]]="N/A"),"N/A",IF(Table1[[#This Row],[DUT Adj Read]]="N/A",IF(Table1[[#This Row],[Std Adj Read]]&gt;Table1[[#This Row],[Low Tol]],"Pass","Fail"),IF(Table1[[#This Row],[DUT Adj Read]]&gt;Table1[[#This Row],[Low Tol]],"Pass","Fail")))</f>
        <v>Pass</v>
      </c>
      <c r="AE650" s="1" t="str">
        <f>IF(AND(Table1[[#This Row],[Spec Type2]]="N/A",Table1[[#This Row],[DUT Adj Read]]="N/A",Table1[[#This Row],[Std Adj Read]]="N/A"),"N/A",IF(Table1[[#This Row],[DUT Adj Read]]="N/A",IF(Table1[[#This Row],[Std Adj Read]]&lt;Table1[[#This Row],[High Tol]],"Pass","Fail"),IF(Table1[[#This Row],[DUT Adj Read]]&lt;Table1[[#This Row],[High Tol]],"Pass","Fail")))</f>
        <v>Fail</v>
      </c>
      <c r="AF650" s="1" t="str">
        <f>IF(AND(Table1[[#This Row],[Spec Type2]]="N/A",Table1[[#This Row],[DUT Adj Read]]="N/A",Table1[[#This Row],[Std Adj Read]]="N/A"),"N/A",IF(Table1[[#This Row],[DUT Adj Read]]="N/A",IF(Table1[[#This Row],[Std Adj Read]]&gt;=Table1[[#This Row],[Low Tol]],"Pass","Fail"),IF(Table1[[#This Row],[DUT Adj Read]]&gt;=Table1[[#This Row],[Low Tol]],"Pass","Fail")))</f>
        <v>Pass</v>
      </c>
      <c r="AG650" s="1" t="str">
        <f>IF(AND(Table1[[#This Row],[Spec Type2]]="N/A",Table1[[#This Row],[DUT Adj Read]]="N/A",Table1[[#This Row],[Std Adj Read]]="N/A"),"N/A",IF(Table1[[#This Row],[DUT Adj Read]]="N/A",IF(Table1[[#This Row],[Std Adj Read]]&lt;=Table1[[#This Row],[High Tol]],"Pass","Fail"),IF(Table1[[#This Row],[DUT Adj Read]]&lt;=Table1[[#This Row],[High Tol]],"Pass","Fail")))</f>
        <v>Fail</v>
      </c>
      <c r="AH6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0" s="1" t="b">
        <v>0</v>
      </c>
      <c r="AN650" s="1" t="b">
        <v>0</v>
      </c>
      <c r="AO650" s="1" t="b">
        <v>0</v>
      </c>
    </row>
    <row r="651" spans="1:41" x14ac:dyDescent="0.25">
      <c r="A651" s="10"/>
      <c r="B651" s="10"/>
      <c r="C651" s="10"/>
      <c r="D651" s="10"/>
      <c r="E651" s="10"/>
      <c r="F651" s="10"/>
      <c r="G651" s="10"/>
      <c r="H651" s="10"/>
      <c r="I651" s="1" t="str">
        <f t="shared" ref="I651:I714" si="30">IF($I$10="","",$I$10)</f>
        <v/>
      </c>
      <c r="J651" s="1" t="s">
        <v>35</v>
      </c>
      <c r="K651" s="1" t="str">
        <f t="shared" ref="K651:K714" si="31">IF($K$10="","",$K$10)</f>
        <v/>
      </c>
      <c r="L651" s="1" t="str">
        <f t="shared" ref="L651:L714" si="32">IF($L$10="","",$L$10)</f>
        <v/>
      </c>
      <c r="M651" s="1">
        <f>IF(OR(Table1[[#This Row],[Std Nom]]="",Table1[[#This Row],[Std Read]]=""),0,Table1[[#This Row],[Std Nom]]-Table1[[#This Row],[Std Read]])</f>
        <v>0</v>
      </c>
      <c r="N651" s="1">
        <f>IF(Calculations!$F$5="ACCREDITED 17025 WITH UNCERTAINTIES",$N$10,0)</f>
        <v>0</v>
      </c>
      <c r="Q651" s="1">
        <f>Table1[[#This Row],[High Tol]]-Table1[[#This Row],[Low Tol]]</f>
        <v>0</v>
      </c>
      <c r="R651" s="1">
        <f>2*Table1[[#This Row],[Std Error]]</f>
        <v>0</v>
      </c>
      <c r="S651" s="1" t="str">
        <f>IF(Table1[[#This Row],[High Tol]]="","N/A",IFERROR(ABS(Table1[[#This Row],[Tol Span]]/Table1[[#This Row],[Error Span]]),"N/A"))</f>
        <v>N/A</v>
      </c>
      <c r="T651" s="1" t="str">
        <f>IF(OR(Table1[[#This Row],[Low Tol]]="",Table1[[#This Row],[High Tol]]=""),"Needs Analysis",IF(Table1[[#This Row],[Ratio]]&gt;=4,"Not Significant",IF(Table1[[#This Row],[Ratio]]&gt;=2,"Semi-Significant","Significant")))</f>
        <v>Needs Analysis</v>
      </c>
      <c r="W651" s="1">
        <f>IF(Table1[[#This Row],[Cal Type]]&lt;&gt;"ACCREDITED 17025 WITH UNCERTAINTIES",0,"")</f>
        <v>0</v>
      </c>
      <c r="X651" s="1" t="str">
        <f>IF(Table1[[#This Row],[DUT Read]]="","N/A",Table1[[#This Row],[Std Error]]+Table1[[#This Row],[DUT Read]]+Table1[[#This Row],[DUT Ucty]])</f>
        <v>N/A</v>
      </c>
      <c r="Y651" s="1" t="str">
        <f>IF(Table1[[#This Row],[Std Read]]="","N/A",Table1[[#This Row],[Std Read]]+Table1[[#This Row],[Std Ucty]])</f>
        <v>N/A</v>
      </c>
      <c r="Z6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1" s="1" t="str">
        <f>IF(Table1[[#This Row],[Spec Type]]="","N/A",Table1[[#This Row],[Spec Type]])</f>
        <v>±</v>
      </c>
      <c r="AC651" s="1" t="str">
        <f>IF(Table1[[#This Row],[Spec Type2]]="N/A","N/A",IF(AND(Table1[[#This Row],[DUT Adj Read]]&gt;=Table1[[#This Row],[Low Tol]],Table1[[#This Row],[DUT Adj Read]]&lt;=Table1[[#This Row],[High Tol]]),"Pass","Fail"))</f>
        <v>Fail</v>
      </c>
      <c r="AD651" s="1" t="str">
        <f>IF(AND(Table1[[#This Row],[Spec Type2]]="N/A",Table1[[#This Row],[DUT Adj Read]]="N/A",Table1[[#This Row],[Std Adj Read]]="N/A"),"N/A",IF(Table1[[#This Row],[DUT Adj Read]]="N/A",IF(Table1[[#This Row],[Std Adj Read]]&gt;Table1[[#This Row],[Low Tol]],"Pass","Fail"),IF(Table1[[#This Row],[DUT Adj Read]]&gt;Table1[[#This Row],[Low Tol]],"Pass","Fail")))</f>
        <v>Pass</v>
      </c>
      <c r="AE651" s="1" t="str">
        <f>IF(AND(Table1[[#This Row],[Spec Type2]]="N/A",Table1[[#This Row],[DUT Adj Read]]="N/A",Table1[[#This Row],[Std Adj Read]]="N/A"),"N/A",IF(Table1[[#This Row],[DUT Adj Read]]="N/A",IF(Table1[[#This Row],[Std Adj Read]]&lt;Table1[[#This Row],[High Tol]],"Pass","Fail"),IF(Table1[[#This Row],[DUT Adj Read]]&lt;Table1[[#This Row],[High Tol]],"Pass","Fail")))</f>
        <v>Fail</v>
      </c>
      <c r="AF651" s="1" t="str">
        <f>IF(AND(Table1[[#This Row],[Spec Type2]]="N/A",Table1[[#This Row],[DUT Adj Read]]="N/A",Table1[[#This Row],[Std Adj Read]]="N/A"),"N/A",IF(Table1[[#This Row],[DUT Adj Read]]="N/A",IF(Table1[[#This Row],[Std Adj Read]]&gt;=Table1[[#This Row],[Low Tol]],"Pass","Fail"),IF(Table1[[#This Row],[DUT Adj Read]]&gt;=Table1[[#This Row],[Low Tol]],"Pass","Fail")))</f>
        <v>Pass</v>
      </c>
      <c r="AG651" s="1" t="str">
        <f>IF(AND(Table1[[#This Row],[Spec Type2]]="N/A",Table1[[#This Row],[DUT Adj Read]]="N/A",Table1[[#This Row],[Std Adj Read]]="N/A"),"N/A",IF(Table1[[#This Row],[DUT Adj Read]]="N/A",IF(Table1[[#This Row],[Std Adj Read]]&lt;=Table1[[#This Row],[High Tol]],"Pass","Fail"),IF(Table1[[#This Row],[DUT Adj Read]]&lt;=Table1[[#This Row],[High Tol]],"Pass","Fail")))</f>
        <v>Fail</v>
      </c>
      <c r="AH6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1" s="1" t="b">
        <v>0</v>
      </c>
      <c r="AN651" s="1" t="b">
        <v>0</v>
      </c>
      <c r="AO651" s="1" t="b">
        <v>0</v>
      </c>
    </row>
    <row r="652" spans="1:41" x14ac:dyDescent="0.25">
      <c r="A652" s="10"/>
      <c r="B652" s="10"/>
      <c r="C652" s="10"/>
      <c r="D652" s="10"/>
      <c r="E652" s="10"/>
      <c r="F652" s="10"/>
      <c r="G652" s="10"/>
      <c r="H652" s="10"/>
      <c r="I652" s="1" t="str">
        <f t="shared" si="30"/>
        <v/>
      </c>
      <c r="J652" s="1" t="s">
        <v>35</v>
      </c>
      <c r="K652" s="1" t="str">
        <f t="shared" si="31"/>
        <v/>
      </c>
      <c r="L652" s="1" t="str">
        <f t="shared" si="32"/>
        <v/>
      </c>
      <c r="M652" s="1">
        <f>IF(OR(Table1[[#This Row],[Std Nom]]="",Table1[[#This Row],[Std Read]]=""),0,Table1[[#This Row],[Std Nom]]-Table1[[#This Row],[Std Read]])</f>
        <v>0</v>
      </c>
      <c r="N652" s="1">
        <f>IF(Calculations!$F$5="ACCREDITED 17025 WITH UNCERTAINTIES",$N$10,0)</f>
        <v>0</v>
      </c>
      <c r="Q652" s="1">
        <f>Table1[[#This Row],[High Tol]]-Table1[[#This Row],[Low Tol]]</f>
        <v>0</v>
      </c>
      <c r="R652" s="1">
        <f>2*Table1[[#This Row],[Std Error]]</f>
        <v>0</v>
      </c>
      <c r="S652" s="1" t="str">
        <f>IF(Table1[[#This Row],[High Tol]]="","N/A",IFERROR(ABS(Table1[[#This Row],[Tol Span]]/Table1[[#This Row],[Error Span]]),"N/A"))</f>
        <v>N/A</v>
      </c>
      <c r="T652" s="1" t="str">
        <f>IF(OR(Table1[[#This Row],[Low Tol]]="",Table1[[#This Row],[High Tol]]=""),"Needs Analysis",IF(Table1[[#This Row],[Ratio]]&gt;=4,"Not Significant",IF(Table1[[#This Row],[Ratio]]&gt;=2,"Semi-Significant","Significant")))</f>
        <v>Needs Analysis</v>
      </c>
      <c r="W652" s="1">
        <f>IF(Table1[[#This Row],[Cal Type]]&lt;&gt;"ACCREDITED 17025 WITH UNCERTAINTIES",0,"")</f>
        <v>0</v>
      </c>
      <c r="X652" s="1" t="str">
        <f>IF(Table1[[#This Row],[DUT Read]]="","N/A",Table1[[#This Row],[Std Error]]+Table1[[#This Row],[DUT Read]]+Table1[[#This Row],[DUT Ucty]])</f>
        <v>N/A</v>
      </c>
      <c r="Y652" s="1" t="str">
        <f>IF(Table1[[#This Row],[Std Read]]="","N/A",Table1[[#This Row],[Std Read]]+Table1[[#This Row],[Std Ucty]])</f>
        <v>N/A</v>
      </c>
      <c r="Z6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2" s="1" t="str">
        <f>IF(Table1[[#This Row],[Spec Type]]="","N/A",Table1[[#This Row],[Spec Type]])</f>
        <v>±</v>
      </c>
      <c r="AC652" s="1" t="str">
        <f>IF(Table1[[#This Row],[Spec Type2]]="N/A","N/A",IF(AND(Table1[[#This Row],[DUT Adj Read]]&gt;=Table1[[#This Row],[Low Tol]],Table1[[#This Row],[DUT Adj Read]]&lt;=Table1[[#This Row],[High Tol]]),"Pass","Fail"))</f>
        <v>Fail</v>
      </c>
      <c r="AD652" s="1" t="str">
        <f>IF(AND(Table1[[#This Row],[Spec Type2]]="N/A",Table1[[#This Row],[DUT Adj Read]]="N/A",Table1[[#This Row],[Std Adj Read]]="N/A"),"N/A",IF(Table1[[#This Row],[DUT Adj Read]]="N/A",IF(Table1[[#This Row],[Std Adj Read]]&gt;Table1[[#This Row],[Low Tol]],"Pass","Fail"),IF(Table1[[#This Row],[DUT Adj Read]]&gt;Table1[[#This Row],[Low Tol]],"Pass","Fail")))</f>
        <v>Pass</v>
      </c>
      <c r="AE652" s="1" t="str">
        <f>IF(AND(Table1[[#This Row],[Spec Type2]]="N/A",Table1[[#This Row],[DUT Adj Read]]="N/A",Table1[[#This Row],[Std Adj Read]]="N/A"),"N/A",IF(Table1[[#This Row],[DUT Adj Read]]="N/A",IF(Table1[[#This Row],[Std Adj Read]]&lt;Table1[[#This Row],[High Tol]],"Pass","Fail"),IF(Table1[[#This Row],[DUT Adj Read]]&lt;Table1[[#This Row],[High Tol]],"Pass","Fail")))</f>
        <v>Fail</v>
      </c>
      <c r="AF652" s="1" t="str">
        <f>IF(AND(Table1[[#This Row],[Spec Type2]]="N/A",Table1[[#This Row],[DUT Adj Read]]="N/A",Table1[[#This Row],[Std Adj Read]]="N/A"),"N/A",IF(Table1[[#This Row],[DUT Adj Read]]="N/A",IF(Table1[[#This Row],[Std Adj Read]]&gt;=Table1[[#This Row],[Low Tol]],"Pass","Fail"),IF(Table1[[#This Row],[DUT Adj Read]]&gt;=Table1[[#This Row],[Low Tol]],"Pass","Fail")))</f>
        <v>Pass</v>
      </c>
      <c r="AG652" s="1" t="str">
        <f>IF(AND(Table1[[#This Row],[Spec Type2]]="N/A",Table1[[#This Row],[DUT Adj Read]]="N/A",Table1[[#This Row],[Std Adj Read]]="N/A"),"N/A",IF(Table1[[#This Row],[DUT Adj Read]]="N/A",IF(Table1[[#This Row],[Std Adj Read]]&lt;=Table1[[#This Row],[High Tol]],"Pass","Fail"),IF(Table1[[#This Row],[DUT Adj Read]]&lt;=Table1[[#This Row],[High Tol]],"Pass","Fail")))</f>
        <v>Fail</v>
      </c>
      <c r="AH6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2" s="1" t="b">
        <v>0</v>
      </c>
      <c r="AN652" s="1" t="b">
        <v>0</v>
      </c>
      <c r="AO652" s="1" t="b">
        <v>0</v>
      </c>
    </row>
    <row r="653" spans="1:41" x14ac:dyDescent="0.25">
      <c r="A653" s="10"/>
      <c r="B653" s="10"/>
      <c r="C653" s="10"/>
      <c r="D653" s="10"/>
      <c r="E653" s="10"/>
      <c r="F653" s="10"/>
      <c r="G653" s="10"/>
      <c r="H653" s="10"/>
      <c r="I653" s="1" t="str">
        <f t="shared" si="30"/>
        <v/>
      </c>
      <c r="J653" s="1" t="s">
        <v>35</v>
      </c>
      <c r="K653" s="1" t="str">
        <f t="shared" si="31"/>
        <v/>
      </c>
      <c r="L653" s="1" t="str">
        <f t="shared" si="32"/>
        <v/>
      </c>
      <c r="M653" s="1">
        <f>IF(OR(Table1[[#This Row],[Std Nom]]="",Table1[[#This Row],[Std Read]]=""),0,Table1[[#This Row],[Std Nom]]-Table1[[#This Row],[Std Read]])</f>
        <v>0</v>
      </c>
      <c r="N653" s="1">
        <f>IF(Calculations!$F$5="ACCREDITED 17025 WITH UNCERTAINTIES",$N$10,0)</f>
        <v>0</v>
      </c>
      <c r="Q653" s="1">
        <f>Table1[[#This Row],[High Tol]]-Table1[[#This Row],[Low Tol]]</f>
        <v>0</v>
      </c>
      <c r="R653" s="1">
        <f>2*Table1[[#This Row],[Std Error]]</f>
        <v>0</v>
      </c>
      <c r="S653" s="1" t="str">
        <f>IF(Table1[[#This Row],[High Tol]]="","N/A",IFERROR(ABS(Table1[[#This Row],[Tol Span]]/Table1[[#This Row],[Error Span]]),"N/A"))</f>
        <v>N/A</v>
      </c>
      <c r="T653" s="1" t="str">
        <f>IF(OR(Table1[[#This Row],[Low Tol]]="",Table1[[#This Row],[High Tol]]=""),"Needs Analysis",IF(Table1[[#This Row],[Ratio]]&gt;=4,"Not Significant",IF(Table1[[#This Row],[Ratio]]&gt;=2,"Semi-Significant","Significant")))</f>
        <v>Needs Analysis</v>
      </c>
      <c r="W653" s="1">
        <f>IF(Table1[[#This Row],[Cal Type]]&lt;&gt;"ACCREDITED 17025 WITH UNCERTAINTIES",0,"")</f>
        <v>0</v>
      </c>
      <c r="X653" s="1" t="str">
        <f>IF(Table1[[#This Row],[DUT Read]]="","N/A",Table1[[#This Row],[Std Error]]+Table1[[#This Row],[DUT Read]]+Table1[[#This Row],[DUT Ucty]])</f>
        <v>N/A</v>
      </c>
      <c r="Y653" s="1" t="str">
        <f>IF(Table1[[#This Row],[Std Read]]="","N/A",Table1[[#This Row],[Std Read]]+Table1[[#This Row],[Std Ucty]])</f>
        <v>N/A</v>
      </c>
      <c r="Z6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3" s="1" t="str">
        <f>IF(Table1[[#This Row],[Spec Type]]="","N/A",Table1[[#This Row],[Spec Type]])</f>
        <v>±</v>
      </c>
      <c r="AC653" s="1" t="str">
        <f>IF(Table1[[#This Row],[Spec Type2]]="N/A","N/A",IF(AND(Table1[[#This Row],[DUT Adj Read]]&gt;=Table1[[#This Row],[Low Tol]],Table1[[#This Row],[DUT Adj Read]]&lt;=Table1[[#This Row],[High Tol]]),"Pass","Fail"))</f>
        <v>Fail</v>
      </c>
      <c r="AD653" s="1" t="str">
        <f>IF(AND(Table1[[#This Row],[Spec Type2]]="N/A",Table1[[#This Row],[DUT Adj Read]]="N/A",Table1[[#This Row],[Std Adj Read]]="N/A"),"N/A",IF(Table1[[#This Row],[DUT Adj Read]]="N/A",IF(Table1[[#This Row],[Std Adj Read]]&gt;Table1[[#This Row],[Low Tol]],"Pass","Fail"),IF(Table1[[#This Row],[DUT Adj Read]]&gt;Table1[[#This Row],[Low Tol]],"Pass","Fail")))</f>
        <v>Pass</v>
      </c>
      <c r="AE653" s="1" t="str">
        <f>IF(AND(Table1[[#This Row],[Spec Type2]]="N/A",Table1[[#This Row],[DUT Adj Read]]="N/A",Table1[[#This Row],[Std Adj Read]]="N/A"),"N/A",IF(Table1[[#This Row],[DUT Adj Read]]="N/A",IF(Table1[[#This Row],[Std Adj Read]]&lt;Table1[[#This Row],[High Tol]],"Pass","Fail"),IF(Table1[[#This Row],[DUT Adj Read]]&lt;Table1[[#This Row],[High Tol]],"Pass","Fail")))</f>
        <v>Fail</v>
      </c>
      <c r="AF653" s="1" t="str">
        <f>IF(AND(Table1[[#This Row],[Spec Type2]]="N/A",Table1[[#This Row],[DUT Adj Read]]="N/A",Table1[[#This Row],[Std Adj Read]]="N/A"),"N/A",IF(Table1[[#This Row],[DUT Adj Read]]="N/A",IF(Table1[[#This Row],[Std Adj Read]]&gt;=Table1[[#This Row],[Low Tol]],"Pass","Fail"),IF(Table1[[#This Row],[DUT Adj Read]]&gt;=Table1[[#This Row],[Low Tol]],"Pass","Fail")))</f>
        <v>Pass</v>
      </c>
      <c r="AG653" s="1" t="str">
        <f>IF(AND(Table1[[#This Row],[Spec Type2]]="N/A",Table1[[#This Row],[DUT Adj Read]]="N/A",Table1[[#This Row],[Std Adj Read]]="N/A"),"N/A",IF(Table1[[#This Row],[DUT Adj Read]]="N/A",IF(Table1[[#This Row],[Std Adj Read]]&lt;=Table1[[#This Row],[High Tol]],"Pass","Fail"),IF(Table1[[#This Row],[DUT Adj Read]]&lt;=Table1[[#This Row],[High Tol]],"Pass","Fail")))</f>
        <v>Fail</v>
      </c>
      <c r="AH6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3" s="1" t="b">
        <v>0</v>
      </c>
      <c r="AN653" s="1" t="b">
        <v>0</v>
      </c>
      <c r="AO653" s="1" t="b">
        <v>0</v>
      </c>
    </row>
    <row r="654" spans="1:41" x14ac:dyDescent="0.25">
      <c r="A654" s="10"/>
      <c r="B654" s="10"/>
      <c r="C654" s="10"/>
      <c r="D654" s="10"/>
      <c r="E654" s="10"/>
      <c r="F654" s="10"/>
      <c r="G654" s="10"/>
      <c r="H654" s="10"/>
      <c r="I654" s="1" t="str">
        <f t="shared" si="30"/>
        <v/>
      </c>
      <c r="J654" s="1" t="s">
        <v>35</v>
      </c>
      <c r="K654" s="1" t="str">
        <f t="shared" si="31"/>
        <v/>
      </c>
      <c r="L654" s="1" t="str">
        <f t="shared" si="32"/>
        <v/>
      </c>
      <c r="M654" s="1">
        <f>IF(OR(Table1[[#This Row],[Std Nom]]="",Table1[[#This Row],[Std Read]]=""),0,Table1[[#This Row],[Std Nom]]-Table1[[#This Row],[Std Read]])</f>
        <v>0</v>
      </c>
      <c r="N654" s="1">
        <f>IF(Calculations!$F$5="ACCREDITED 17025 WITH UNCERTAINTIES",$N$10,0)</f>
        <v>0</v>
      </c>
      <c r="Q654" s="1">
        <f>Table1[[#This Row],[High Tol]]-Table1[[#This Row],[Low Tol]]</f>
        <v>0</v>
      </c>
      <c r="R654" s="1">
        <f>2*Table1[[#This Row],[Std Error]]</f>
        <v>0</v>
      </c>
      <c r="S654" s="1" t="str">
        <f>IF(Table1[[#This Row],[High Tol]]="","N/A",IFERROR(ABS(Table1[[#This Row],[Tol Span]]/Table1[[#This Row],[Error Span]]),"N/A"))</f>
        <v>N/A</v>
      </c>
      <c r="T654" s="1" t="str">
        <f>IF(OR(Table1[[#This Row],[Low Tol]]="",Table1[[#This Row],[High Tol]]=""),"Needs Analysis",IF(Table1[[#This Row],[Ratio]]&gt;=4,"Not Significant",IF(Table1[[#This Row],[Ratio]]&gt;=2,"Semi-Significant","Significant")))</f>
        <v>Needs Analysis</v>
      </c>
      <c r="W654" s="1">
        <f>IF(Table1[[#This Row],[Cal Type]]&lt;&gt;"ACCREDITED 17025 WITH UNCERTAINTIES",0,"")</f>
        <v>0</v>
      </c>
      <c r="X654" s="1" t="str">
        <f>IF(Table1[[#This Row],[DUT Read]]="","N/A",Table1[[#This Row],[Std Error]]+Table1[[#This Row],[DUT Read]]+Table1[[#This Row],[DUT Ucty]])</f>
        <v>N/A</v>
      </c>
      <c r="Y654" s="1" t="str">
        <f>IF(Table1[[#This Row],[Std Read]]="","N/A",Table1[[#This Row],[Std Read]]+Table1[[#This Row],[Std Ucty]])</f>
        <v>N/A</v>
      </c>
      <c r="Z6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4" s="1" t="str">
        <f>IF(Table1[[#This Row],[Spec Type]]="","N/A",Table1[[#This Row],[Spec Type]])</f>
        <v>±</v>
      </c>
      <c r="AC654" s="1" t="str">
        <f>IF(Table1[[#This Row],[Spec Type2]]="N/A","N/A",IF(AND(Table1[[#This Row],[DUT Adj Read]]&gt;=Table1[[#This Row],[Low Tol]],Table1[[#This Row],[DUT Adj Read]]&lt;=Table1[[#This Row],[High Tol]]),"Pass","Fail"))</f>
        <v>Fail</v>
      </c>
      <c r="AD654" s="1" t="str">
        <f>IF(AND(Table1[[#This Row],[Spec Type2]]="N/A",Table1[[#This Row],[DUT Adj Read]]="N/A",Table1[[#This Row],[Std Adj Read]]="N/A"),"N/A",IF(Table1[[#This Row],[DUT Adj Read]]="N/A",IF(Table1[[#This Row],[Std Adj Read]]&gt;Table1[[#This Row],[Low Tol]],"Pass","Fail"),IF(Table1[[#This Row],[DUT Adj Read]]&gt;Table1[[#This Row],[Low Tol]],"Pass","Fail")))</f>
        <v>Pass</v>
      </c>
      <c r="AE654" s="1" t="str">
        <f>IF(AND(Table1[[#This Row],[Spec Type2]]="N/A",Table1[[#This Row],[DUT Adj Read]]="N/A",Table1[[#This Row],[Std Adj Read]]="N/A"),"N/A",IF(Table1[[#This Row],[DUT Adj Read]]="N/A",IF(Table1[[#This Row],[Std Adj Read]]&lt;Table1[[#This Row],[High Tol]],"Pass","Fail"),IF(Table1[[#This Row],[DUT Adj Read]]&lt;Table1[[#This Row],[High Tol]],"Pass","Fail")))</f>
        <v>Fail</v>
      </c>
      <c r="AF654" s="1" t="str">
        <f>IF(AND(Table1[[#This Row],[Spec Type2]]="N/A",Table1[[#This Row],[DUT Adj Read]]="N/A",Table1[[#This Row],[Std Adj Read]]="N/A"),"N/A",IF(Table1[[#This Row],[DUT Adj Read]]="N/A",IF(Table1[[#This Row],[Std Adj Read]]&gt;=Table1[[#This Row],[Low Tol]],"Pass","Fail"),IF(Table1[[#This Row],[DUT Adj Read]]&gt;=Table1[[#This Row],[Low Tol]],"Pass","Fail")))</f>
        <v>Pass</v>
      </c>
      <c r="AG654" s="1" t="str">
        <f>IF(AND(Table1[[#This Row],[Spec Type2]]="N/A",Table1[[#This Row],[DUT Adj Read]]="N/A",Table1[[#This Row],[Std Adj Read]]="N/A"),"N/A",IF(Table1[[#This Row],[DUT Adj Read]]="N/A",IF(Table1[[#This Row],[Std Adj Read]]&lt;=Table1[[#This Row],[High Tol]],"Pass","Fail"),IF(Table1[[#This Row],[DUT Adj Read]]&lt;=Table1[[#This Row],[High Tol]],"Pass","Fail")))</f>
        <v>Fail</v>
      </c>
      <c r="AH6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4" s="1" t="b">
        <v>0</v>
      </c>
      <c r="AN654" s="1" t="b">
        <v>0</v>
      </c>
      <c r="AO654" s="1" t="b">
        <v>0</v>
      </c>
    </row>
    <row r="655" spans="1:41" x14ac:dyDescent="0.25">
      <c r="A655" s="10"/>
      <c r="B655" s="10"/>
      <c r="C655" s="10"/>
      <c r="D655" s="10"/>
      <c r="E655" s="10"/>
      <c r="F655" s="10"/>
      <c r="G655" s="10"/>
      <c r="H655" s="10"/>
      <c r="I655" s="1" t="str">
        <f t="shared" si="30"/>
        <v/>
      </c>
      <c r="J655" s="1" t="s">
        <v>35</v>
      </c>
      <c r="K655" s="1" t="str">
        <f t="shared" si="31"/>
        <v/>
      </c>
      <c r="L655" s="1" t="str">
        <f t="shared" si="32"/>
        <v/>
      </c>
      <c r="M655" s="1">
        <f>IF(OR(Table1[[#This Row],[Std Nom]]="",Table1[[#This Row],[Std Read]]=""),0,Table1[[#This Row],[Std Nom]]-Table1[[#This Row],[Std Read]])</f>
        <v>0</v>
      </c>
      <c r="N655" s="1">
        <f>IF(Calculations!$F$5="ACCREDITED 17025 WITH UNCERTAINTIES",$N$10,0)</f>
        <v>0</v>
      </c>
      <c r="Q655" s="1">
        <f>Table1[[#This Row],[High Tol]]-Table1[[#This Row],[Low Tol]]</f>
        <v>0</v>
      </c>
      <c r="R655" s="1">
        <f>2*Table1[[#This Row],[Std Error]]</f>
        <v>0</v>
      </c>
      <c r="S655" s="1" t="str">
        <f>IF(Table1[[#This Row],[High Tol]]="","N/A",IFERROR(ABS(Table1[[#This Row],[Tol Span]]/Table1[[#This Row],[Error Span]]),"N/A"))</f>
        <v>N/A</v>
      </c>
      <c r="T655" s="1" t="str">
        <f>IF(OR(Table1[[#This Row],[Low Tol]]="",Table1[[#This Row],[High Tol]]=""),"Needs Analysis",IF(Table1[[#This Row],[Ratio]]&gt;=4,"Not Significant",IF(Table1[[#This Row],[Ratio]]&gt;=2,"Semi-Significant","Significant")))</f>
        <v>Needs Analysis</v>
      </c>
      <c r="W655" s="1">
        <f>IF(Table1[[#This Row],[Cal Type]]&lt;&gt;"ACCREDITED 17025 WITH UNCERTAINTIES",0,"")</f>
        <v>0</v>
      </c>
      <c r="X655" s="1" t="str">
        <f>IF(Table1[[#This Row],[DUT Read]]="","N/A",Table1[[#This Row],[Std Error]]+Table1[[#This Row],[DUT Read]]+Table1[[#This Row],[DUT Ucty]])</f>
        <v>N/A</v>
      </c>
      <c r="Y655" s="1" t="str">
        <f>IF(Table1[[#This Row],[Std Read]]="","N/A",Table1[[#This Row],[Std Read]]+Table1[[#This Row],[Std Ucty]])</f>
        <v>N/A</v>
      </c>
      <c r="Z6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5" s="1" t="str">
        <f>IF(Table1[[#This Row],[Spec Type]]="","N/A",Table1[[#This Row],[Spec Type]])</f>
        <v>±</v>
      </c>
      <c r="AC655" s="1" t="str">
        <f>IF(Table1[[#This Row],[Spec Type2]]="N/A","N/A",IF(AND(Table1[[#This Row],[DUT Adj Read]]&gt;=Table1[[#This Row],[Low Tol]],Table1[[#This Row],[DUT Adj Read]]&lt;=Table1[[#This Row],[High Tol]]),"Pass","Fail"))</f>
        <v>Fail</v>
      </c>
      <c r="AD655" s="1" t="str">
        <f>IF(AND(Table1[[#This Row],[Spec Type2]]="N/A",Table1[[#This Row],[DUT Adj Read]]="N/A",Table1[[#This Row],[Std Adj Read]]="N/A"),"N/A",IF(Table1[[#This Row],[DUT Adj Read]]="N/A",IF(Table1[[#This Row],[Std Adj Read]]&gt;Table1[[#This Row],[Low Tol]],"Pass","Fail"),IF(Table1[[#This Row],[DUT Adj Read]]&gt;Table1[[#This Row],[Low Tol]],"Pass","Fail")))</f>
        <v>Pass</v>
      </c>
      <c r="AE655" s="1" t="str">
        <f>IF(AND(Table1[[#This Row],[Spec Type2]]="N/A",Table1[[#This Row],[DUT Adj Read]]="N/A",Table1[[#This Row],[Std Adj Read]]="N/A"),"N/A",IF(Table1[[#This Row],[DUT Adj Read]]="N/A",IF(Table1[[#This Row],[Std Adj Read]]&lt;Table1[[#This Row],[High Tol]],"Pass","Fail"),IF(Table1[[#This Row],[DUT Adj Read]]&lt;Table1[[#This Row],[High Tol]],"Pass","Fail")))</f>
        <v>Fail</v>
      </c>
      <c r="AF655" s="1" t="str">
        <f>IF(AND(Table1[[#This Row],[Spec Type2]]="N/A",Table1[[#This Row],[DUT Adj Read]]="N/A",Table1[[#This Row],[Std Adj Read]]="N/A"),"N/A",IF(Table1[[#This Row],[DUT Adj Read]]="N/A",IF(Table1[[#This Row],[Std Adj Read]]&gt;=Table1[[#This Row],[Low Tol]],"Pass","Fail"),IF(Table1[[#This Row],[DUT Adj Read]]&gt;=Table1[[#This Row],[Low Tol]],"Pass","Fail")))</f>
        <v>Pass</v>
      </c>
      <c r="AG655" s="1" t="str">
        <f>IF(AND(Table1[[#This Row],[Spec Type2]]="N/A",Table1[[#This Row],[DUT Adj Read]]="N/A",Table1[[#This Row],[Std Adj Read]]="N/A"),"N/A",IF(Table1[[#This Row],[DUT Adj Read]]="N/A",IF(Table1[[#This Row],[Std Adj Read]]&lt;=Table1[[#This Row],[High Tol]],"Pass","Fail"),IF(Table1[[#This Row],[DUT Adj Read]]&lt;=Table1[[#This Row],[High Tol]],"Pass","Fail")))</f>
        <v>Fail</v>
      </c>
      <c r="AH6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5" s="1" t="b">
        <v>0</v>
      </c>
      <c r="AN655" s="1" t="b">
        <v>0</v>
      </c>
      <c r="AO655" s="1" t="b">
        <v>0</v>
      </c>
    </row>
    <row r="656" spans="1:41" x14ac:dyDescent="0.25">
      <c r="A656" s="10"/>
      <c r="B656" s="10"/>
      <c r="C656" s="10"/>
      <c r="D656" s="10"/>
      <c r="E656" s="10"/>
      <c r="F656" s="10"/>
      <c r="G656" s="10"/>
      <c r="H656" s="10"/>
      <c r="I656" s="1" t="str">
        <f t="shared" si="30"/>
        <v/>
      </c>
      <c r="J656" s="1" t="s">
        <v>35</v>
      </c>
      <c r="K656" s="1" t="str">
        <f t="shared" si="31"/>
        <v/>
      </c>
      <c r="L656" s="1" t="str">
        <f t="shared" si="32"/>
        <v/>
      </c>
      <c r="M656" s="1">
        <f>IF(OR(Table1[[#This Row],[Std Nom]]="",Table1[[#This Row],[Std Read]]=""),0,Table1[[#This Row],[Std Nom]]-Table1[[#This Row],[Std Read]])</f>
        <v>0</v>
      </c>
      <c r="N656" s="1">
        <f>IF(Calculations!$F$5="ACCREDITED 17025 WITH UNCERTAINTIES",$N$10,0)</f>
        <v>0</v>
      </c>
      <c r="Q656" s="1">
        <f>Table1[[#This Row],[High Tol]]-Table1[[#This Row],[Low Tol]]</f>
        <v>0</v>
      </c>
      <c r="R656" s="1">
        <f>2*Table1[[#This Row],[Std Error]]</f>
        <v>0</v>
      </c>
      <c r="S656" s="1" t="str">
        <f>IF(Table1[[#This Row],[High Tol]]="","N/A",IFERROR(ABS(Table1[[#This Row],[Tol Span]]/Table1[[#This Row],[Error Span]]),"N/A"))</f>
        <v>N/A</v>
      </c>
      <c r="T656" s="1" t="str">
        <f>IF(OR(Table1[[#This Row],[Low Tol]]="",Table1[[#This Row],[High Tol]]=""),"Needs Analysis",IF(Table1[[#This Row],[Ratio]]&gt;=4,"Not Significant",IF(Table1[[#This Row],[Ratio]]&gt;=2,"Semi-Significant","Significant")))</f>
        <v>Needs Analysis</v>
      </c>
      <c r="W656" s="1">
        <f>IF(Table1[[#This Row],[Cal Type]]&lt;&gt;"ACCREDITED 17025 WITH UNCERTAINTIES",0,"")</f>
        <v>0</v>
      </c>
      <c r="X656" s="1" t="str">
        <f>IF(Table1[[#This Row],[DUT Read]]="","N/A",Table1[[#This Row],[Std Error]]+Table1[[#This Row],[DUT Read]]+Table1[[#This Row],[DUT Ucty]])</f>
        <v>N/A</v>
      </c>
      <c r="Y656" s="1" t="str">
        <f>IF(Table1[[#This Row],[Std Read]]="","N/A",Table1[[#This Row],[Std Read]]+Table1[[#This Row],[Std Ucty]])</f>
        <v>N/A</v>
      </c>
      <c r="Z6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6" s="1" t="str">
        <f>IF(Table1[[#This Row],[Spec Type]]="","N/A",Table1[[#This Row],[Spec Type]])</f>
        <v>±</v>
      </c>
      <c r="AC656" s="1" t="str">
        <f>IF(Table1[[#This Row],[Spec Type2]]="N/A","N/A",IF(AND(Table1[[#This Row],[DUT Adj Read]]&gt;=Table1[[#This Row],[Low Tol]],Table1[[#This Row],[DUT Adj Read]]&lt;=Table1[[#This Row],[High Tol]]),"Pass","Fail"))</f>
        <v>Fail</v>
      </c>
      <c r="AD656" s="1" t="str">
        <f>IF(AND(Table1[[#This Row],[Spec Type2]]="N/A",Table1[[#This Row],[DUT Adj Read]]="N/A",Table1[[#This Row],[Std Adj Read]]="N/A"),"N/A",IF(Table1[[#This Row],[DUT Adj Read]]="N/A",IF(Table1[[#This Row],[Std Adj Read]]&gt;Table1[[#This Row],[Low Tol]],"Pass","Fail"),IF(Table1[[#This Row],[DUT Adj Read]]&gt;Table1[[#This Row],[Low Tol]],"Pass","Fail")))</f>
        <v>Pass</v>
      </c>
      <c r="AE656" s="1" t="str">
        <f>IF(AND(Table1[[#This Row],[Spec Type2]]="N/A",Table1[[#This Row],[DUT Adj Read]]="N/A",Table1[[#This Row],[Std Adj Read]]="N/A"),"N/A",IF(Table1[[#This Row],[DUT Adj Read]]="N/A",IF(Table1[[#This Row],[Std Adj Read]]&lt;Table1[[#This Row],[High Tol]],"Pass","Fail"),IF(Table1[[#This Row],[DUT Adj Read]]&lt;Table1[[#This Row],[High Tol]],"Pass","Fail")))</f>
        <v>Fail</v>
      </c>
      <c r="AF656" s="1" t="str">
        <f>IF(AND(Table1[[#This Row],[Spec Type2]]="N/A",Table1[[#This Row],[DUT Adj Read]]="N/A",Table1[[#This Row],[Std Adj Read]]="N/A"),"N/A",IF(Table1[[#This Row],[DUT Adj Read]]="N/A",IF(Table1[[#This Row],[Std Adj Read]]&gt;=Table1[[#This Row],[Low Tol]],"Pass","Fail"),IF(Table1[[#This Row],[DUT Adj Read]]&gt;=Table1[[#This Row],[Low Tol]],"Pass","Fail")))</f>
        <v>Pass</v>
      </c>
      <c r="AG656" s="1" t="str">
        <f>IF(AND(Table1[[#This Row],[Spec Type2]]="N/A",Table1[[#This Row],[DUT Adj Read]]="N/A",Table1[[#This Row],[Std Adj Read]]="N/A"),"N/A",IF(Table1[[#This Row],[DUT Adj Read]]="N/A",IF(Table1[[#This Row],[Std Adj Read]]&lt;=Table1[[#This Row],[High Tol]],"Pass","Fail"),IF(Table1[[#This Row],[DUT Adj Read]]&lt;=Table1[[#This Row],[High Tol]],"Pass","Fail")))</f>
        <v>Fail</v>
      </c>
      <c r="AH6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6" s="1" t="b">
        <v>0</v>
      </c>
      <c r="AN656" s="1" t="b">
        <v>0</v>
      </c>
      <c r="AO656" s="1" t="b">
        <v>0</v>
      </c>
    </row>
    <row r="657" spans="1:41" x14ac:dyDescent="0.25">
      <c r="A657" s="10"/>
      <c r="B657" s="10"/>
      <c r="C657" s="10"/>
      <c r="D657" s="10"/>
      <c r="E657" s="10"/>
      <c r="F657" s="10"/>
      <c r="G657" s="10"/>
      <c r="H657" s="10"/>
      <c r="I657" s="1" t="str">
        <f t="shared" si="30"/>
        <v/>
      </c>
      <c r="J657" s="1" t="s">
        <v>35</v>
      </c>
      <c r="K657" s="1" t="str">
        <f t="shared" si="31"/>
        <v/>
      </c>
      <c r="L657" s="1" t="str">
        <f t="shared" si="32"/>
        <v/>
      </c>
      <c r="M657" s="1">
        <f>IF(OR(Table1[[#This Row],[Std Nom]]="",Table1[[#This Row],[Std Read]]=""),0,Table1[[#This Row],[Std Nom]]-Table1[[#This Row],[Std Read]])</f>
        <v>0</v>
      </c>
      <c r="N657" s="1">
        <f>IF(Calculations!$F$5="ACCREDITED 17025 WITH UNCERTAINTIES",$N$10,0)</f>
        <v>0</v>
      </c>
      <c r="Q657" s="1">
        <f>Table1[[#This Row],[High Tol]]-Table1[[#This Row],[Low Tol]]</f>
        <v>0</v>
      </c>
      <c r="R657" s="1">
        <f>2*Table1[[#This Row],[Std Error]]</f>
        <v>0</v>
      </c>
      <c r="S657" s="1" t="str">
        <f>IF(Table1[[#This Row],[High Tol]]="","N/A",IFERROR(ABS(Table1[[#This Row],[Tol Span]]/Table1[[#This Row],[Error Span]]),"N/A"))</f>
        <v>N/A</v>
      </c>
      <c r="T657" s="1" t="str">
        <f>IF(OR(Table1[[#This Row],[Low Tol]]="",Table1[[#This Row],[High Tol]]=""),"Needs Analysis",IF(Table1[[#This Row],[Ratio]]&gt;=4,"Not Significant",IF(Table1[[#This Row],[Ratio]]&gt;=2,"Semi-Significant","Significant")))</f>
        <v>Needs Analysis</v>
      </c>
      <c r="W657" s="1">
        <f>IF(Table1[[#This Row],[Cal Type]]&lt;&gt;"ACCREDITED 17025 WITH UNCERTAINTIES",0,"")</f>
        <v>0</v>
      </c>
      <c r="X657" s="1" t="str">
        <f>IF(Table1[[#This Row],[DUT Read]]="","N/A",Table1[[#This Row],[Std Error]]+Table1[[#This Row],[DUT Read]]+Table1[[#This Row],[DUT Ucty]])</f>
        <v>N/A</v>
      </c>
      <c r="Y657" s="1" t="str">
        <f>IF(Table1[[#This Row],[Std Read]]="","N/A",Table1[[#This Row],[Std Read]]+Table1[[#This Row],[Std Ucty]])</f>
        <v>N/A</v>
      </c>
      <c r="Z6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7" s="1" t="str">
        <f>IF(Table1[[#This Row],[Spec Type]]="","N/A",Table1[[#This Row],[Spec Type]])</f>
        <v>±</v>
      </c>
      <c r="AC657" s="1" t="str">
        <f>IF(Table1[[#This Row],[Spec Type2]]="N/A","N/A",IF(AND(Table1[[#This Row],[DUT Adj Read]]&gt;=Table1[[#This Row],[Low Tol]],Table1[[#This Row],[DUT Adj Read]]&lt;=Table1[[#This Row],[High Tol]]),"Pass","Fail"))</f>
        <v>Fail</v>
      </c>
      <c r="AD657" s="1" t="str">
        <f>IF(AND(Table1[[#This Row],[Spec Type2]]="N/A",Table1[[#This Row],[DUT Adj Read]]="N/A",Table1[[#This Row],[Std Adj Read]]="N/A"),"N/A",IF(Table1[[#This Row],[DUT Adj Read]]="N/A",IF(Table1[[#This Row],[Std Adj Read]]&gt;Table1[[#This Row],[Low Tol]],"Pass","Fail"),IF(Table1[[#This Row],[DUT Adj Read]]&gt;Table1[[#This Row],[Low Tol]],"Pass","Fail")))</f>
        <v>Pass</v>
      </c>
      <c r="AE657" s="1" t="str">
        <f>IF(AND(Table1[[#This Row],[Spec Type2]]="N/A",Table1[[#This Row],[DUT Adj Read]]="N/A",Table1[[#This Row],[Std Adj Read]]="N/A"),"N/A",IF(Table1[[#This Row],[DUT Adj Read]]="N/A",IF(Table1[[#This Row],[Std Adj Read]]&lt;Table1[[#This Row],[High Tol]],"Pass","Fail"),IF(Table1[[#This Row],[DUT Adj Read]]&lt;Table1[[#This Row],[High Tol]],"Pass","Fail")))</f>
        <v>Fail</v>
      </c>
      <c r="AF657" s="1" t="str">
        <f>IF(AND(Table1[[#This Row],[Spec Type2]]="N/A",Table1[[#This Row],[DUT Adj Read]]="N/A",Table1[[#This Row],[Std Adj Read]]="N/A"),"N/A",IF(Table1[[#This Row],[DUT Adj Read]]="N/A",IF(Table1[[#This Row],[Std Adj Read]]&gt;=Table1[[#This Row],[Low Tol]],"Pass","Fail"),IF(Table1[[#This Row],[DUT Adj Read]]&gt;=Table1[[#This Row],[Low Tol]],"Pass","Fail")))</f>
        <v>Pass</v>
      </c>
      <c r="AG657" s="1" t="str">
        <f>IF(AND(Table1[[#This Row],[Spec Type2]]="N/A",Table1[[#This Row],[DUT Adj Read]]="N/A",Table1[[#This Row],[Std Adj Read]]="N/A"),"N/A",IF(Table1[[#This Row],[DUT Adj Read]]="N/A",IF(Table1[[#This Row],[Std Adj Read]]&lt;=Table1[[#This Row],[High Tol]],"Pass","Fail"),IF(Table1[[#This Row],[DUT Adj Read]]&lt;=Table1[[#This Row],[High Tol]],"Pass","Fail")))</f>
        <v>Fail</v>
      </c>
      <c r="AH6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7" s="1" t="b">
        <v>0</v>
      </c>
      <c r="AN657" s="1" t="b">
        <v>0</v>
      </c>
      <c r="AO657" s="1" t="b">
        <v>0</v>
      </c>
    </row>
    <row r="658" spans="1:41" x14ac:dyDescent="0.25">
      <c r="A658" s="10"/>
      <c r="B658" s="10"/>
      <c r="C658" s="10"/>
      <c r="D658" s="10"/>
      <c r="E658" s="10"/>
      <c r="F658" s="10"/>
      <c r="G658" s="10"/>
      <c r="H658" s="10"/>
      <c r="I658" s="1" t="str">
        <f t="shared" si="30"/>
        <v/>
      </c>
      <c r="J658" s="1" t="s">
        <v>35</v>
      </c>
      <c r="K658" s="1" t="str">
        <f t="shared" si="31"/>
        <v/>
      </c>
      <c r="L658" s="1" t="str">
        <f t="shared" si="32"/>
        <v/>
      </c>
      <c r="M658" s="1">
        <f>IF(OR(Table1[[#This Row],[Std Nom]]="",Table1[[#This Row],[Std Read]]=""),0,Table1[[#This Row],[Std Nom]]-Table1[[#This Row],[Std Read]])</f>
        <v>0</v>
      </c>
      <c r="N658" s="1">
        <f>IF(Calculations!$F$5="ACCREDITED 17025 WITH UNCERTAINTIES",$N$10,0)</f>
        <v>0</v>
      </c>
      <c r="Q658" s="1">
        <f>Table1[[#This Row],[High Tol]]-Table1[[#This Row],[Low Tol]]</f>
        <v>0</v>
      </c>
      <c r="R658" s="1">
        <f>2*Table1[[#This Row],[Std Error]]</f>
        <v>0</v>
      </c>
      <c r="S658" s="1" t="str">
        <f>IF(Table1[[#This Row],[High Tol]]="","N/A",IFERROR(ABS(Table1[[#This Row],[Tol Span]]/Table1[[#This Row],[Error Span]]),"N/A"))</f>
        <v>N/A</v>
      </c>
      <c r="T658" s="1" t="str">
        <f>IF(OR(Table1[[#This Row],[Low Tol]]="",Table1[[#This Row],[High Tol]]=""),"Needs Analysis",IF(Table1[[#This Row],[Ratio]]&gt;=4,"Not Significant",IF(Table1[[#This Row],[Ratio]]&gt;=2,"Semi-Significant","Significant")))</f>
        <v>Needs Analysis</v>
      </c>
      <c r="W658" s="1">
        <f>IF(Table1[[#This Row],[Cal Type]]&lt;&gt;"ACCREDITED 17025 WITH UNCERTAINTIES",0,"")</f>
        <v>0</v>
      </c>
      <c r="X658" s="1" t="str">
        <f>IF(Table1[[#This Row],[DUT Read]]="","N/A",Table1[[#This Row],[Std Error]]+Table1[[#This Row],[DUT Read]]+Table1[[#This Row],[DUT Ucty]])</f>
        <v>N/A</v>
      </c>
      <c r="Y658" s="1" t="str">
        <f>IF(Table1[[#This Row],[Std Read]]="","N/A",Table1[[#This Row],[Std Read]]+Table1[[#This Row],[Std Ucty]])</f>
        <v>N/A</v>
      </c>
      <c r="Z6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8" s="1" t="str">
        <f>IF(Table1[[#This Row],[Spec Type]]="","N/A",Table1[[#This Row],[Spec Type]])</f>
        <v>±</v>
      </c>
      <c r="AC658" s="1" t="str">
        <f>IF(Table1[[#This Row],[Spec Type2]]="N/A","N/A",IF(AND(Table1[[#This Row],[DUT Adj Read]]&gt;=Table1[[#This Row],[Low Tol]],Table1[[#This Row],[DUT Adj Read]]&lt;=Table1[[#This Row],[High Tol]]),"Pass","Fail"))</f>
        <v>Fail</v>
      </c>
      <c r="AD658" s="1" t="str">
        <f>IF(AND(Table1[[#This Row],[Spec Type2]]="N/A",Table1[[#This Row],[DUT Adj Read]]="N/A",Table1[[#This Row],[Std Adj Read]]="N/A"),"N/A",IF(Table1[[#This Row],[DUT Adj Read]]="N/A",IF(Table1[[#This Row],[Std Adj Read]]&gt;Table1[[#This Row],[Low Tol]],"Pass","Fail"),IF(Table1[[#This Row],[DUT Adj Read]]&gt;Table1[[#This Row],[Low Tol]],"Pass","Fail")))</f>
        <v>Pass</v>
      </c>
      <c r="AE658" s="1" t="str">
        <f>IF(AND(Table1[[#This Row],[Spec Type2]]="N/A",Table1[[#This Row],[DUT Adj Read]]="N/A",Table1[[#This Row],[Std Adj Read]]="N/A"),"N/A",IF(Table1[[#This Row],[DUT Adj Read]]="N/A",IF(Table1[[#This Row],[Std Adj Read]]&lt;Table1[[#This Row],[High Tol]],"Pass","Fail"),IF(Table1[[#This Row],[DUT Adj Read]]&lt;Table1[[#This Row],[High Tol]],"Pass","Fail")))</f>
        <v>Fail</v>
      </c>
      <c r="AF658" s="1" t="str">
        <f>IF(AND(Table1[[#This Row],[Spec Type2]]="N/A",Table1[[#This Row],[DUT Adj Read]]="N/A",Table1[[#This Row],[Std Adj Read]]="N/A"),"N/A",IF(Table1[[#This Row],[DUT Adj Read]]="N/A",IF(Table1[[#This Row],[Std Adj Read]]&gt;=Table1[[#This Row],[Low Tol]],"Pass","Fail"),IF(Table1[[#This Row],[DUT Adj Read]]&gt;=Table1[[#This Row],[Low Tol]],"Pass","Fail")))</f>
        <v>Pass</v>
      </c>
      <c r="AG658" s="1" t="str">
        <f>IF(AND(Table1[[#This Row],[Spec Type2]]="N/A",Table1[[#This Row],[DUT Adj Read]]="N/A",Table1[[#This Row],[Std Adj Read]]="N/A"),"N/A",IF(Table1[[#This Row],[DUT Adj Read]]="N/A",IF(Table1[[#This Row],[Std Adj Read]]&lt;=Table1[[#This Row],[High Tol]],"Pass","Fail"),IF(Table1[[#This Row],[DUT Adj Read]]&lt;=Table1[[#This Row],[High Tol]],"Pass","Fail")))</f>
        <v>Fail</v>
      </c>
      <c r="AH6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8" s="1" t="b">
        <v>0</v>
      </c>
      <c r="AN658" s="1" t="b">
        <v>0</v>
      </c>
      <c r="AO658" s="1" t="b">
        <v>0</v>
      </c>
    </row>
    <row r="659" spans="1:41" x14ac:dyDescent="0.25">
      <c r="A659" s="10"/>
      <c r="B659" s="10"/>
      <c r="C659" s="10"/>
      <c r="D659" s="10"/>
      <c r="E659" s="10"/>
      <c r="F659" s="10"/>
      <c r="G659" s="10"/>
      <c r="H659" s="10"/>
      <c r="I659" s="1" t="str">
        <f t="shared" si="30"/>
        <v/>
      </c>
      <c r="J659" s="1" t="s">
        <v>35</v>
      </c>
      <c r="K659" s="1" t="str">
        <f t="shared" si="31"/>
        <v/>
      </c>
      <c r="L659" s="1" t="str">
        <f t="shared" si="32"/>
        <v/>
      </c>
      <c r="M659" s="1">
        <f>IF(OR(Table1[[#This Row],[Std Nom]]="",Table1[[#This Row],[Std Read]]=""),0,Table1[[#This Row],[Std Nom]]-Table1[[#This Row],[Std Read]])</f>
        <v>0</v>
      </c>
      <c r="N659" s="1">
        <f>IF(Calculations!$F$5="ACCREDITED 17025 WITH UNCERTAINTIES",$N$10,0)</f>
        <v>0</v>
      </c>
      <c r="Q659" s="1">
        <f>Table1[[#This Row],[High Tol]]-Table1[[#This Row],[Low Tol]]</f>
        <v>0</v>
      </c>
      <c r="R659" s="1">
        <f>2*Table1[[#This Row],[Std Error]]</f>
        <v>0</v>
      </c>
      <c r="S659" s="1" t="str">
        <f>IF(Table1[[#This Row],[High Tol]]="","N/A",IFERROR(ABS(Table1[[#This Row],[Tol Span]]/Table1[[#This Row],[Error Span]]),"N/A"))</f>
        <v>N/A</v>
      </c>
      <c r="T659" s="1" t="str">
        <f>IF(OR(Table1[[#This Row],[Low Tol]]="",Table1[[#This Row],[High Tol]]=""),"Needs Analysis",IF(Table1[[#This Row],[Ratio]]&gt;=4,"Not Significant",IF(Table1[[#This Row],[Ratio]]&gt;=2,"Semi-Significant","Significant")))</f>
        <v>Needs Analysis</v>
      </c>
      <c r="W659" s="1">
        <f>IF(Table1[[#This Row],[Cal Type]]&lt;&gt;"ACCREDITED 17025 WITH UNCERTAINTIES",0,"")</f>
        <v>0</v>
      </c>
      <c r="X659" s="1" t="str">
        <f>IF(Table1[[#This Row],[DUT Read]]="","N/A",Table1[[#This Row],[Std Error]]+Table1[[#This Row],[DUT Read]]+Table1[[#This Row],[DUT Ucty]])</f>
        <v>N/A</v>
      </c>
      <c r="Y659" s="1" t="str">
        <f>IF(Table1[[#This Row],[Std Read]]="","N/A",Table1[[#This Row],[Std Read]]+Table1[[#This Row],[Std Ucty]])</f>
        <v>N/A</v>
      </c>
      <c r="Z6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59" s="1" t="str">
        <f>IF(Table1[[#This Row],[Spec Type]]="","N/A",Table1[[#This Row],[Spec Type]])</f>
        <v>±</v>
      </c>
      <c r="AC659" s="1" t="str">
        <f>IF(Table1[[#This Row],[Spec Type2]]="N/A","N/A",IF(AND(Table1[[#This Row],[DUT Adj Read]]&gt;=Table1[[#This Row],[Low Tol]],Table1[[#This Row],[DUT Adj Read]]&lt;=Table1[[#This Row],[High Tol]]),"Pass","Fail"))</f>
        <v>Fail</v>
      </c>
      <c r="AD659" s="1" t="str">
        <f>IF(AND(Table1[[#This Row],[Spec Type2]]="N/A",Table1[[#This Row],[DUT Adj Read]]="N/A",Table1[[#This Row],[Std Adj Read]]="N/A"),"N/A",IF(Table1[[#This Row],[DUT Adj Read]]="N/A",IF(Table1[[#This Row],[Std Adj Read]]&gt;Table1[[#This Row],[Low Tol]],"Pass","Fail"),IF(Table1[[#This Row],[DUT Adj Read]]&gt;Table1[[#This Row],[Low Tol]],"Pass","Fail")))</f>
        <v>Pass</v>
      </c>
      <c r="AE659" s="1" t="str">
        <f>IF(AND(Table1[[#This Row],[Spec Type2]]="N/A",Table1[[#This Row],[DUT Adj Read]]="N/A",Table1[[#This Row],[Std Adj Read]]="N/A"),"N/A",IF(Table1[[#This Row],[DUT Adj Read]]="N/A",IF(Table1[[#This Row],[Std Adj Read]]&lt;Table1[[#This Row],[High Tol]],"Pass","Fail"),IF(Table1[[#This Row],[DUT Adj Read]]&lt;Table1[[#This Row],[High Tol]],"Pass","Fail")))</f>
        <v>Fail</v>
      </c>
      <c r="AF659" s="1" t="str">
        <f>IF(AND(Table1[[#This Row],[Spec Type2]]="N/A",Table1[[#This Row],[DUT Adj Read]]="N/A",Table1[[#This Row],[Std Adj Read]]="N/A"),"N/A",IF(Table1[[#This Row],[DUT Adj Read]]="N/A",IF(Table1[[#This Row],[Std Adj Read]]&gt;=Table1[[#This Row],[Low Tol]],"Pass","Fail"),IF(Table1[[#This Row],[DUT Adj Read]]&gt;=Table1[[#This Row],[Low Tol]],"Pass","Fail")))</f>
        <v>Pass</v>
      </c>
      <c r="AG659" s="1" t="str">
        <f>IF(AND(Table1[[#This Row],[Spec Type2]]="N/A",Table1[[#This Row],[DUT Adj Read]]="N/A",Table1[[#This Row],[Std Adj Read]]="N/A"),"N/A",IF(Table1[[#This Row],[DUT Adj Read]]="N/A",IF(Table1[[#This Row],[Std Adj Read]]&lt;=Table1[[#This Row],[High Tol]],"Pass","Fail"),IF(Table1[[#This Row],[DUT Adj Read]]&lt;=Table1[[#This Row],[High Tol]],"Pass","Fail")))</f>
        <v>Fail</v>
      </c>
      <c r="AH6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59" s="1" t="b">
        <v>0</v>
      </c>
      <c r="AN659" s="1" t="b">
        <v>0</v>
      </c>
      <c r="AO659" s="1" t="b">
        <v>0</v>
      </c>
    </row>
    <row r="660" spans="1:41" x14ac:dyDescent="0.25">
      <c r="A660" s="10"/>
      <c r="B660" s="10"/>
      <c r="C660" s="10"/>
      <c r="D660" s="10"/>
      <c r="E660" s="10"/>
      <c r="F660" s="10"/>
      <c r="G660" s="10"/>
      <c r="H660" s="10"/>
      <c r="I660" s="1" t="str">
        <f t="shared" si="30"/>
        <v/>
      </c>
      <c r="J660" s="1" t="s">
        <v>35</v>
      </c>
      <c r="K660" s="1" t="str">
        <f t="shared" si="31"/>
        <v/>
      </c>
      <c r="L660" s="1" t="str">
        <f t="shared" si="32"/>
        <v/>
      </c>
      <c r="M660" s="1">
        <f>IF(OR(Table1[[#This Row],[Std Nom]]="",Table1[[#This Row],[Std Read]]=""),0,Table1[[#This Row],[Std Nom]]-Table1[[#This Row],[Std Read]])</f>
        <v>0</v>
      </c>
      <c r="N660" s="1">
        <f>IF(Calculations!$F$5="ACCREDITED 17025 WITH UNCERTAINTIES",$N$10,0)</f>
        <v>0</v>
      </c>
      <c r="Q660" s="1">
        <f>Table1[[#This Row],[High Tol]]-Table1[[#This Row],[Low Tol]]</f>
        <v>0</v>
      </c>
      <c r="R660" s="1">
        <f>2*Table1[[#This Row],[Std Error]]</f>
        <v>0</v>
      </c>
      <c r="S660" s="1" t="str">
        <f>IF(Table1[[#This Row],[High Tol]]="","N/A",IFERROR(ABS(Table1[[#This Row],[Tol Span]]/Table1[[#This Row],[Error Span]]),"N/A"))</f>
        <v>N/A</v>
      </c>
      <c r="T660" s="1" t="str">
        <f>IF(OR(Table1[[#This Row],[Low Tol]]="",Table1[[#This Row],[High Tol]]=""),"Needs Analysis",IF(Table1[[#This Row],[Ratio]]&gt;=4,"Not Significant",IF(Table1[[#This Row],[Ratio]]&gt;=2,"Semi-Significant","Significant")))</f>
        <v>Needs Analysis</v>
      </c>
      <c r="W660" s="1">
        <f>IF(Table1[[#This Row],[Cal Type]]&lt;&gt;"ACCREDITED 17025 WITH UNCERTAINTIES",0,"")</f>
        <v>0</v>
      </c>
      <c r="X660" s="1" t="str">
        <f>IF(Table1[[#This Row],[DUT Read]]="","N/A",Table1[[#This Row],[Std Error]]+Table1[[#This Row],[DUT Read]]+Table1[[#This Row],[DUT Ucty]])</f>
        <v>N/A</v>
      </c>
      <c r="Y660" s="1" t="str">
        <f>IF(Table1[[#This Row],[Std Read]]="","N/A",Table1[[#This Row],[Std Read]]+Table1[[#This Row],[Std Ucty]])</f>
        <v>N/A</v>
      </c>
      <c r="Z6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0" s="1" t="str">
        <f>IF(Table1[[#This Row],[Spec Type]]="","N/A",Table1[[#This Row],[Spec Type]])</f>
        <v>±</v>
      </c>
      <c r="AC660" s="1" t="str">
        <f>IF(Table1[[#This Row],[Spec Type2]]="N/A","N/A",IF(AND(Table1[[#This Row],[DUT Adj Read]]&gt;=Table1[[#This Row],[Low Tol]],Table1[[#This Row],[DUT Adj Read]]&lt;=Table1[[#This Row],[High Tol]]),"Pass","Fail"))</f>
        <v>Fail</v>
      </c>
      <c r="AD660" s="1" t="str">
        <f>IF(AND(Table1[[#This Row],[Spec Type2]]="N/A",Table1[[#This Row],[DUT Adj Read]]="N/A",Table1[[#This Row],[Std Adj Read]]="N/A"),"N/A",IF(Table1[[#This Row],[DUT Adj Read]]="N/A",IF(Table1[[#This Row],[Std Adj Read]]&gt;Table1[[#This Row],[Low Tol]],"Pass","Fail"),IF(Table1[[#This Row],[DUT Adj Read]]&gt;Table1[[#This Row],[Low Tol]],"Pass","Fail")))</f>
        <v>Pass</v>
      </c>
      <c r="AE660" s="1" t="str">
        <f>IF(AND(Table1[[#This Row],[Spec Type2]]="N/A",Table1[[#This Row],[DUT Adj Read]]="N/A",Table1[[#This Row],[Std Adj Read]]="N/A"),"N/A",IF(Table1[[#This Row],[DUT Adj Read]]="N/A",IF(Table1[[#This Row],[Std Adj Read]]&lt;Table1[[#This Row],[High Tol]],"Pass","Fail"),IF(Table1[[#This Row],[DUT Adj Read]]&lt;Table1[[#This Row],[High Tol]],"Pass","Fail")))</f>
        <v>Fail</v>
      </c>
      <c r="AF660" s="1" t="str">
        <f>IF(AND(Table1[[#This Row],[Spec Type2]]="N/A",Table1[[#This Row],[DUT Adj Read]]="N/A",Table1[[#This Row],[Std Adj Read]]="N/A"),"N/A",IF(Table1[[#This Row],[DUT Adj Read]]="N/A",IF(Table1[[#This Row],[Std Adj Read]]&gt;=Table1[[#This Row],[Low Tol]],"Pass","Fail"),IF(Table1[[#This Row],[DUT Adj Read]]&gt;=Table1[[#This Row],[Low Tol]],"Pass","Fail")))</f>
        <v>Pass</v>
      </c>
      <c r="AG660" s="1" t="str">
        <f>IF(AND(Table1[[#This Row],[Spec Type2]]="N/A",Table1[[#This Row],[DUT Adj Read]]="N/A",Table1[[#This Row],[Std Adj Read]]="N/A"),"N/A",IF(Table1[[#This Row],[DUT Adj Read]]="N/A",IF(Table1[[#This Row],[Std Adj Read]]&lt;=Table1[[#This Row],[High Tol]],"Pass","Fail"),IF(Table1[[#This Row],[DUT Adj Read]]&lt;=Table1[[#This Row],[High Tol]],"Pass","Fail")))</f>
        <v>Fail</v>
      </c>
      <c r="AH6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0" s="1" t="b">
        <v>0</v>
      </c>
      <c r="AN660" s="1" t="b">
        <v>0</v>
      </c>
      <c r="AO660" s="1" t="b">
        <v>0</v>
      </c>
    </row>
    <row r="661" spans="1:41" x14ac:dyDescent="0.25">
      <c r="A661" s="10"/>
      <c r="B661" s="10"/>
      <c r="C661" s="10"/>
      <c r="D661" s="10"/>
      <c r="E661" s="10"/>
      <c r="F661" s="10"/>
      <c r="G661" s="10"/>
      <c r="H661" s="10"/>
      <c r="I661" s="1" t="str">
        <f t="shared" si="30"/>
        <v/>
      </c>
      <c r="J661" s="1" t="s">
        <v>35</v>
      </c>
      <c r="K661" s="1" t="str">
        <f t="shared" si="31"/>
        <v/>
      </c>
      <c r="L661" s="1" t="str">
        <f t="shared" si="32"/>
        <v/>
      </c>
      <c r="M661" s="1">
        <f>IF(OR(Table1[[#This Row],[Std Nom]]="",Table1[[#This Row],[Std Read]]=""),0,Table1[[#This Row],[Std Nom]]-Table1[[#This Row],[Std Read]])</f>
        <v>0</v>
      </c>
      <c r="N661" s="1">
        <f>IF(Calculations!$F$5="ACCREDITED 17025 WITH UNCERTAINTIES",$N$10,0)</f>
        <v>0</v>
      </c>
      <c r="Q661" s="1">
        <f>Table1[[#This Row],[High Tol]]-Table1[[#This Row],[Low Tol]]</f>
        <v>0</v>
      </c>
      <c r="R661" s="1">
        <f>2*Table1[[#This Row],[Std Error]]</f>
        <v>0</v>
      </c>
      <c r="S661" s="1" t="str">
        <f>IF(Table1[[#This Row],[High Tol]]="","N/A",IFERROR(ABS(Table1[[#This Row],[Tol Span]]/Table1[[#This Row],[Error Span]]),"N/A"))</f>
        <v>N/A</v>
      </c>
      <c r="T661" s="1" t="str">
        <f>IF(OR(Table1[[#This Row],[Low Tol]]="",Table1[[#This Row],[High Tol]]=""),"Needs Analysis",IF(Table1[[#This Row],[Ratio]]&gt;=4,"Not Significant",IF(Table1[[#This Row],[Ratio]]&gt;=2,"Semi-Significant","Significant")))</f>
        <v>Needs Analysis</v>
      </c>
      <c r="W661" s="1">
        <f>IF(Table1[[#This Row],[Cal Type]]&lt;&gt;"ACCREDITED 17025 WITH UNCERTAINTIES",0,"")</f>
        <v>0</v>
      </c>
      <c r="X661" s="1" t="str">
        <f>IF(Table1[[#This Row],[DUT Read]]="","N/A",Table1[[#This Row],[Std Error]]+Table1[[#This Row],[DUT Read]]+Table1[[#This Row],[DUT Ucty]])</f>
        <v>N/A</v>
      </c>
      <c r="Y661" s="1" t="str">
        <f>IF(Table1[[#This Row],[Std Read]]="","N/A",Table1[[#This Row],[Std Read]]+Table1[[#This Row],[Std Ucty]])</f>
        <v>N/A</v>
      </c>
      <c r="Z6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1" s="1" t="str">
        <f>IF(Table1[[#This Row],[Spec Type]]="","N/A",Table1[[#This Row],[Spec Type]])</f>
        <v>±</v>
      </c>
      <c r="AC661" s="1" t="str">
        <f>IF(Table1[[#This Row],[Spec Type2]]="N/A","N/A",IF(AND(Table1[[#This Row],[DUT Adj Read]]&gt;=Table1[[#This Row],[Low Tol]],Table1[[#This Row],[DUT Adj Read]]&lt;=Table1[[#This Row],[High Tol]]),"Pass","Fail"))</f>
        <v>Fail</v>
      </c>
      <c r="AD661" s="1" t="str">
        <f>IF(AND(Table1[[#This Row],[Spec Type2]]="N/A",Table1[[#This Row],[DUT Adj Read]]="N/A",Table1[[#This Row],[Std Adj Read]]="N/A"),"N/A",IF(Table1[[#This Row],[DUT Adj Read]]="N/A",IF(Table1[[#This Row],[Std Adj Read]]&gt;Table1[[#This Row],[Low Tol]],"Pass","Fail"),IF(Table1[[#This Row],[DUT Adj Read]]&gt;Table1[[#This Row],[Low Tol]],"Pass","Fail")))</f>
        <v>Pass</v>
      </c>
      <c r="AE661" s="1" t="str">
        <f>IF(AND(Table1[[#This Row],[Spec Type2]]="N/A",Table1[[#This Row],[DUT Adj Read]]="N/A",Table1[[#This Row],[Std Adj Read]]="N/A"),"N/A",IF(Table1[[#This Row],[DUT Adj Read]]="N/A",IF(Table1[[#This Row],[Std Adj Read]]&lt;Table1[[#This Row],[High Tol]],"Pass","Fail"),IF(Table1[[#This Row],[DUT Adj Read]]&lt;Table1[[#This Row],[High Tol]],"Pass","Fail")))</f>
        <v>Fail</v>
      </c>
      <c r="AF661" s="1" t="str">
        <f>IF(AND(Table1[[#This Row],[Spec Type2]]="N/A",Table1[[#This Row],[DUT Adj Read]]="N/A",Table1[[#This Row],[Std Adj Read]]="N/A"),"N/A",IF(Table1[[#This Row],[DUT Adj Read]]="N/A",IF(Table1[[#This Row],[Std Adj Read]]&gt;=Table1[[#This Row],[Low Tol]],"Pass","Fail"),IF(Table1[[#This Row],[DUT Adj Read]]&gt;=Table1[[#This Row],[Low Tol]],"Pass","Fail")))</f>
        <v>Pass</v>
      </c>
      <c r="AG661" s="1" t="str">
        <f>IF(AND(Table1[[#This Row],[Spec Type2]]="N/A",Table1[[#This Row],[DUT Adj Read]]="N/A",Table1[[#This Row],[Std Adj Read]]="N/A"),"N/A",IF(Table1[[#This Row],[DUT Adj Read]]="N/A",IF(Table1[[#This Row],[Std Adj Read]]&lt;=Table1[[#This Row],[High Tol]],"Pass","Fail"),IF(Table1[[#This Row],[DUT Adj Read]]&lt;=Table1[[#This Row],[High Tol]],"Pass","Fail")))</f>
        <v>Fail</v>
      </c>
      <c r="AH6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1" s="1" t="b">
        <v>0</v>
      </c>
      <c r="AN661" s="1" t="b">
        <v>0</v>
      </c>
      <c r="AO661" s="1" t="b">
        <v>0</v>
      </c>
    </row>
    <row r="662" spans="1:41" x14ac:dyDescent="0.25">
      <c r="A662" s="10"/>
      <c r="B662" s="10"/>
      <c r="C662" s="10"/>
      <c r="D662" s="10"/>
      <c r="E662" s="10"/>
      <c r="F662" s="10"/>
      <c r="G662" s="10"/>
      <c r="H662" s="10"/>
      <c r="I662" s="1" t="str">
        <f t="shared" si="30"/>
        <v/>
      </c>
      <c r="J662" s="1" t="s">
        <v>35</v>
      </c>
      <c r="K662" s="1" t="str">
        <f t="shared" si="31"/>
        <v/>
      </c>
      <c r="L662" s="1" t="str">
        <f t="shared" si="32"/>
        <v/>
      </c>
      <c r="M662" s="1">
        <f>IF(OR(Table1[[#This Row],[Std Nom]]="",Table1[[#This Row],[Std Read]]=""),0,Table1[[#This Row],[Std Nom]]-Table1[[#This Row],[Std Read]])</f>
        <v>0</v>
      </c>
      <c r="N662" s="1">
        <f>IF(Calculations!$F$5="ACCREDITED 17025 WITH UNCERTAINTIES",$N$10,0)</f>
        <v>0</v>
      </c>
      <c r="Q662" s="1">
        <f>Table1[[#This Row],[High Tol]]-Table1[[#This Row],[Low Tol]]</f>
        <v>0</v>
      </c>
      <c r="R662" s="1">
        <f>2*Table1[[#This Row],[Std Error]]</f>
        <v>0</v>
      </c>
      <c r="S662" s="1" t="str">
        <f>IF(Table1[[#This Row],[High Tol]]="","N/A",IFERROR(ABS(Table1[[#This Row],[Tol Span]]/Table1[[#This Row],[Error Span]]),"N/A"))</f>
        <v>N/A</v>
      </c>
      <c r="T662" s="1" t="str">
        <f>IF(OR(Table1[[#This Row],[Low Tol]]="",Table1[[#This Row],[High Tol]]=""),"Needs Analysis",IF(Table1[[#This Row],[Ratio]]&gt;=4,"Not Significant",IF(Table1[[#This Row],[Ratio]]&gt;=2,"Semi-Significant","Significant")))</f>
        <v>Needs Analysis</v>
      </c>
      <c r="W662" s="1">
        <f>IF(Table1[[#This Row],[Cal Type]]&lt;&gt;"ACCREDITED 17025 WITH UNCERTAINTIES",0,"")</f>
        <v>0</v>
      </c>
      <c r="X662" s="1" t="str">
        <f>IF(Table1[[#This Row],[DUT Read]]="","N/A",Table1[[#This Row],[Std Error]]+Table1[[#This Row],[DUT Read]]+Table1[[#This Row],[DUT Ucty]])</f>
        <v>N/A</v>
      </c>
      <c r="Y662" s="1" t="str">
        <f>IF(Table1[[#This Row],[Std Read]]="","N/A",Table1[[#This Row],[Std Read]]+Table1[[#This Row],[Std Ucty]])</f>
        <v>N/A</v>
      </c>
      <c r="Z6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2" s="1" t="str">
        <f>IF(Table1[[#This Row],[Spec Type]]="","N/A",Table1[[#This Row],[Spec Type]])</f>
        <v>±</v>
      </c>
      <c r="AC662" s="1" t="str">
        <f>IF(Table1[[#This Row],[Spec Type2]]="N/A","N/A",IF(AND(Table1[[#This Row],[DUT Adj Read]]&gt;=Table1[[#This Row],[Low Tol]],Table1[[#This Row],[DUT Adj Read]]&lt;=Table1[[#This Row],[High Tol]]),"Pass","Fail"))</f>
        <v>Fail</v>
      </c>
      <c r="AD662" s="1" t="str">
        <f>IF(AND(Table1[[#This Row],[Spec Type2]]="N/A",Table1[[#This Row],[DUT Adj Read]]="N/A",Table1[[#This Row],[Std Adj Read]]="N/A"),"N/A",IF(Table1[[#This Row],[DUT Adj Read]]="N/A",IF(Table1[[#This Row],[Std Adj Read]]&gt;Table1[[#This Row],[Low Tol]],"Pass","Fail"),IF(Table1[[#This Row],[DUT Adj Read]]&gt;Table1[[#This Row],[Low Tol]],"Pass","Fail")))</f>
        <v>Pass</v>
      </c>
      <c r="AE662" s="1" t="str">
        <f>IF(AND(Table1[[#This Row],[Spec Type2]]="N/A",Table1[[#This Row],[DUT Adj Read]]="N/A",Table1[[#This Row],[Std Adj Read]]="N/A"),"N/A",IF(Table1[[#This Row],[DUT Adj Read]]="N/A",IF(Table1[[#This Row],[Std Adj Read]]&lt;Table1[[#This Row],[High Tol]],"Pass","Fail"),IF(Table1[[#This Row],[DUT Adj Read]]&lt;Table1[[#This Row],[High Tol]],"Pass","Fail")))</f>
        <v>Fail</v>
      </c>
      <c r="AF662" s="1" t="str">
        <f>IF(AND(Table1[[#This Row],[Spec Type2]]="N/A",Table1[[#This Row],[DUT Adj Read]]="N/A",Table1[[#This Row],[Std Adj Read]]="N/A"),"N/A",IF(Table1[[#This Row],[DUT Adj Read]]="N/A",IF(Table1[[#This Row],[Std Adj Read]]&gt;=Table1[[#This Row],[Low Tol]],"Pass","Fail"),IF(Table1[[#This Row],[DUT Adj Read]]&gt;=Table1[[#This Row],[Low Tol]],"Pass","Fail")))</f>
        <v>Pass</v>
      </c>
      <c r="AG662" s="1" t="str">
        <f>IF(AND(Table1[[#This Row],[Spec Type2]]="N/A",Table1[[#This Row],[DUT Adj Read]]="N/A",Table1[[#This Row],[Std Adj Read]]="N/A"),"N/A",IF(Table1[[#This Row],[DUT Adj Read]]="N/A",IF(Table1[[#This Row],[Std Adj Read]]&lt;=Table1[[#This Row],[High Tol]],"Pass","Fail"),IF(Table1[[#This Row],[DUT Adj Read]]&lt;=Table1[[#This Row],[High Tol]],"Pass","Fail")))</f>
        <v>Fail</v>
      </c>
      <c r="AH6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2" s="1" t="b">
        <v>0</v>
      </c>
      <c r="AN662" s="1" t="b">
        <v>0</v>
      </c>
      <c r="AO662" s="1" t="b">
        <v>0</v>
      </c>
    </row>
    <row r="663" spans="1:41" x14ac:dyDescent="0.25">
      <c r="A663" s="10"/>
      <c r="B663" s="10"/>
      <c r="C663" s="10"/>
      <c r="D663" s="10"/>
      <c r="E663" s="10"/>
      <c r="F663" s="10"/>
      <c r="G663" s="10"/>
      <c r="H663" s="10"/>
      <c r="I663" s="1" t="str">
        <f t="shared" si="30"/>
        <v/>
      </c>
      <c r="J663" s="1" t="s">
        <v>35</v>
      </c>
      <c r="K663" s="1" t="str">
        <f t="shared" si="31"/>
        <v/>
      </c>
      <c r="L663" s="1" t="str">
        <f t="shared" si="32"/>
        <v/>
      </c>
      <c r="M663" s="1">
        <f>IF(OR(Table1[[#This Row],[Std Nom]]="",Table1[[#This Row],[Std Read]]=""),0,Table1[[#This Row],[Std Nom]]-Table1[[#This Row],[Std Read]])</f>
        <v>0</v>
      </c>
      <c r="N663" s="1">
        <f>IF(Calculations!$F$5="ACCREDITED 17025 WITH UNCERTAINTIES",$N$10,0)</f>
        <v>0</v>
      </c>
      <c r="Q663" s="1">
        <f>Table1[[#This Row],[High Tol]]-Table1[[#This Row],[Low Tol]]</f>
        <v>0</v>
      </c>
      <c r="R663" s="1">
        <f>2*Table1[[#This Row],[Std Error]]</f>
        <v>0</v>
      </c>
      <c r="S663" s="1" t="str">
        <f>IF(Table1[[#This Row],[High Tol]]="","N/A",IFERROR(ABS(Table1[[#This Row],[Tol Span]]/Table1[[#This Row],[Error Span]]),"N/A"))</f>
        <v>N/A</v>
      </c>
      <c r="T663" s="1" t="str">
        <f>IF(OR(Table1[[#This Row],[Low Tol]]="",Table1[[#This Row],[High Tol]]=""),"Needs Analysis",IF(Table1[[#This Row],[Ratio]]&gt;=4,"Not Significant",IF(Table1[[#This Row],[Ratio]]&gt;=2,"Semi-Significant","Significant")))</f>
        <v>Needs Analysis</v>
      </c>
      <c r="W663" s="1">
        <f>IF(Table1[[#This Row],[Cal Type]]&lt;&gt;"ACCREDITED 17025 WITH UNCERTAINTIES",0,"")</f>
        <v>0</v>
      </c>
      <c r="X663" s="1" t="str">
        <f>IF(Table1[[#This Row],[DUT Read]]="","N/A",Table1[[#This Row],[Std Error]]+Table1[[#This Row],[DUT Read]]+Table1[[#This Row],[DUT Ucty]])</f>
        <v>N/A</v>
      </c>
      <c r="Y663" s="1" t="str">
        <f>IF(Table1[[#This Row],[Std Read]]="","N/A",Table1[[#This Row],[Std Read]]+Table1[[#This Row],[Std Ucty]])</f>
        <v>N/A</v>
      </c>
      <c r="Z6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3" s="1" t="str">
        <f>IF(Table1[[#This Row],[Spec Type]]="","N/A",Table1[[#This Row],[Spec Type]])</f>
        <v>±</v>
      </c>
      <c r="AC663" s="1" t="str">
        <f>IF(Table1[[#This Row],[Spec Type2]]="N/A","N/A",IF(AND(Table1[[#This Row],[DUT Adj Read]]&gt;=Table1[[#This Row],[Low Tol]],Table1[[#This Row],[DUT Adj Read]]&lt;=Table1[[#This Row],[High Tol]]),"Pass","Fail"))</f>
        <v>Fail</v>
      </c>
      <c r="AD663" s="1" t="str">
        <f>IF(AND(Table1[[#This Row],[Spec Type2]]="N/A",Table1[[#This Row],[DUT Adj Read]]="N/A",Table1[[#This Row],[Std Adj Read]]="N/A"),"N/A",IF(Table1[[#This Row],[DUT Adj Read]]="N/A",IF(Table1[[#This Row],[Std Adj Read]]&gt;Table1[[#This Row],[Low Tol]],"Pass","Fail"),IF(Table1[[#This Row],[DUT Adj Read]]&gt;Table1[[#This Row],[Low Tol]],"Pass","Fail")))</f>
        <v>Pass</v>
      </c>
      <c r="AE663" s="1" t="str">
        <f>IF(AND(Table1[[#This Row],[Spec Type2]]="N/A",Table1[[#This Row],[DUT Adj Read]]="N/A",Table1[[#This Row],[Std Adj Read]]="N/A"),"N/A",IF(Table1[[#This Row],[DUT Adj Read]]="N/A",IF(Table1[[#This Row],[Std Adj Read]]&lt;Table1[[#This Row],[High Tol]],"Pass","Fail"),IF(Table1[[#This Row],[DUT Adj Read]]&lt;Table1[[#This Row],[High Tol]],"Pass","Fail")))</f>
        <v>Fail</v>
      </c>
      <c r="AF663" s="1" t="str">
        <f>IF(AND(Table1[[#This Row],[Spec Type2]]="N/A",Table1[[#This Row],[DUT Adj Read]]="N/A",Table1[[#This Row],[Std Adj Read]]="N/A"),"N/A",IF(Table1[[#This Row],[DUT Adj Read]]="N/A",IF(Table1[[#This Row],[Std Adj Read]]&gt;=Table1[[#This Row],[Low Tol]],"Pass","Fail"),IF(Table1[[#This Row],[DUT Adj Read]]&gt;=Table1[[#This Row],[Low Tol]],"Pass","Fail")))</f>
        <v>Pass</v>
      </c>
      <c r="AG663" s="1" t="str">
        <f>IF(AND(Table1[[#This Row],[Spec Type2]]="N/A",Table1[[#This Row],[DUT Adj Read]]="N/A",Table1[[#This Row],[Std Adj Read]]="N/A"),"N/A",IF(Table1[[#This Row],[DUT Adj Read]]="N/A",IF(Table1[[#This Row],[Std Adj Read]]&lt;=Table1[[#This Row],[High Tol]],"Pass","Fail"),IF(Table1[[#This Row],[DUT Adj Read]]&lt;=Table1[[#This Row],[High Tol]],"Pass","Fail")))</f>
        <v>Fail</v>
      </c>
      <c r="AH6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3" s="1" t="b">
        <v>0</v>
      </c>
      <c r="AN663" s="1" t="b">
        <v>0</v>
      </c>
      <c r="AO663" s="1" t="b">
        <v>0</v>
      </c>
    </row>
    <row r="664" spans="1:41" x14ac:dyDescent="0.25">
      <c r="A664" s="10"/>
      <c r="B664" s="10"/>
      <c r="C664" s="10"/>
      <c r="D664" s="10"/>
      <c r="E664" s="10"/>
      <c r="F664" s="10"/>
      <c r="G664" s="10"/>
      <c r="H664" s="10"/>
      <c r="I664" s="1" t="str">
        <f t="shared" si="30"/>
        <v/>
      </c>
      <c r="J664" s="1" t="s">
        <v>35</v>
      </c>
      <c r="K664" s="1" t="str">
        <f t="shared" si="31"/>
        <v/>
      </c>
      <c r="L664" s="1" t="str">
        <f t="shared" si="32"/>
        <v/>
      </c>
      <c r="M664" s="1">
        <f>IF(OR(Table1[[#This Row],[Std Nom]]="",Table1[[#This Row],[Std Read]]=""),0,Table1[[#This Row],[Std Nom]]-Table1[[#This Row],[Std Read]])</f>
        <v>0</v>
      </c>
      <c r="N664" s="1">
        <f>IF(Calculations!$F$5="ACCREDITED 17025 WITH UNCERTAINTIES",$N$10,0)</f>
        <v>0</v>
      </c>
      <c r="Q664" s="1">
        <f>Table1[[#This Row],[High Tol]]-Table1[[#This Row],[Low Tol]]</f>
        <v>0</v>
      </c>
      <c r="R664" s="1">
        <f>2*Table1[[#This Row],[Std Error]]</f>
        <v>0</v>
      </c>
      <c r="S664" s="1" t="str">
        <f>IF(Table1[[#This Row],[High Tol]]="","N/A",IFERROR(ABS(Table1[[#This Row],[Tol Span]]/Table1[[#This Row],[Error Span]]),"N/A"))</f>
        <v>N/A</v>
      </c>
      <c r="T664" s="1" t="str">
        <f>IF(OR(Table1[[#This Row],[Low Tol]]="",Table1[[#This Row],[High Tol]]=""),"Needs Analysis",IF(Table1[[#This Row],[Ratio]]&gt;=4,"Not Significant",IF(Table1[[#This Row],[Ratio]]&gt;=2,"Semi-Significant","Significant")))</f>
        <v>Needs Analysis</v>
      </c>
      <c r="W664" s="1">
        <f>IF(Table1[[#This Row],[Cal Type]]&lt;&gt;"ACCREDITED 17025 WITH UNCERTAINTIES",0,"")</f>
        <v>0</v>
      </c>
      <c r="X664" s="1" t="str">
        <f>IF(Table1[[#This Row],[DUT Read]]="","N/A",Table1[[#This Row],[Std Error]]+Table1[[#This Row],[DUT Read]]+Table1[[#This Row],[DUT Ucty]])</f>
        <v>N/A</v>
      </c>
      <c r="Y664" s="1" t="str">
        <f>IF(Table1[[#This Row],[Std Read]]="","N/A",Table1[[#This Row],[Std Read]]+Table1[[#This Row],[Std Ucty]])</f>
        <v>N/A</v>
      </c>
      <c r="Z6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4" s="1" t="str">
        <f>IF(Table1[[#This Row],[Spec Type]]="","N/A",Table1[[#This Row],[Spec Type]])</f>
        <v>±</v>
      </c>
      <c r="AC664" s="1" t="str">
        <f>IF(Table1[[#This Row],[Spec Type2]]="N/A","N/A",IF(AND(Table1[[#This Row],[DUT Adj Read]]&gt;=Table1[[#This Row],[Low Tol]],Table1[[#This Row],[DUT Adj Read]]&lt;=Table1[[#This Row],[High Tol]]),"Pass","Fail"))</f>
        <v>Fail</v>
      </c>
      <c r="AD664" s="1" t="str">
        <f>IF(AND(Table1[[#This Row],[Spec Type2]]="N/A",Table1[[#This Row],[DUT Adj Read]]="N/A",Table1[[#This Row],[Std Adj Read]]="N/A"),"N/A",IF(Table1[[#This Row],[DUT Adj Read]]="N/A",IF(Table1[[#This Row],[Std Adj Read]]&gt;Table1[[#This Row],[Low Tol]],"Pass","Fail"),IF(Table1[[#This Row],[DUT Adj Read]]&gt;Table1[[#This Row],[Low Tol]],"Pass","Fail")))</f>
        <v>Pass</v>
      </c>
      <c r="AE664" s="1" t="str">
        <f>IF(AND(Table1[[#This Row],[Spec Type2]]="N/A",Table1[[#This Row],[DUT Adj Read]]="N/A",Table1[[#This Row],[Std Adj Read]]="N/A"),"N/A",IF(Table1[[#This Row],[DUT Adj Read]]="N/A",IF(Table1[[#This Row],[Std Adj Read]]&lt;Table1[[#This Row],[High Tol]],"Pass","Fail"),IF(Table1[[#This Row],[DUT Adj Read]]&lt;Table1[[#This Row],[High Tol]],"Pass","Fail")))</f>
        <v>Fail</v>
      </c>
      <c r="AF664" s="1" t="str">
        <f>IF(AND(Table1[[#This Row],[Spec Type2]]="N/A",Table1[[#This Row],[DUT Adj Read]]="N/A",Table1[[#This Row],[Std Adj Read]]="N/A"),"N/A",IF(Table1[[#This Row],[DUT Adj Read]]="N/A",IF(Table1[[#This Row],[Std Adj Read]]&gt;=Table1[[#This Row],[Low Tol]],"Pass","Fail"),IF(Table1[[#This Row],[DUT Adj Read]]&gt;=Table1[[#This Row],[Low Tol]],"Pass","Fail")))</f>
        <v>Pass</v>
      </c>
      <c r="AG664" s="1" t="str">
        <f>IF(AND(Table1[[#This Row],[Spec Type2]]="N/A",Table1[[#This Row],[DUT Adj Read]]="N/A",Table1[[#This Row],[Std Adj Read]]="N/A"),"N/A",IF(Table1[[#This Row],[DUT Adj Read]]="N/A",IF(Table1[[#This Row],[Std Adj Read]]&lt;=Table1[[#This Row],[High Tol]],"Pass","Fail"),IF(Table1[[#This Row],[DUT Adj Read]]&lt;=Table1[[#This Row],[High Tol]],"Pass","Fail")))</f>
        <v>Fail</v>
      </c>
      <c r="AH6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4" s="1" t="b">
        <v>0</v>
      </c>
      <c r="AN664" s="1" t="b">
        <v>0</v>
      </c>
      <c r="AO664" s="1" t="b">
        <v>0</v>
      </c>
    </row>
    <row r="665" spans="1:41" x14ac:dyDescent="0.25">
      <c r="A665" s="10"/>
      <c r="B665" s="10"/>
      <c r="C665" s="10"/>
      <c r="D665" s="10"/>
      <c r="E665" s="10"/>
      <c r="F665" s="10"/>
      <c r="G665" s="10"/>
      <c r="H665" s="10"/>
      <c r="I665" s="1" t="str">
        <f t="shared" si="30"/>
        <v/>
      </c>
      <c r="J665" s="1" t="s">
        <v>35</v>
      </c>
      <c r="K665" s="1" t="str">
        <f t="shared" si="31"/>
        <v/>
      </c>
      <c r="L665" s="1" t="str">
        <f t="shared" si="32"/>
        <v/>
      </c>
      <c r="M665" s="1">
        <f>IF(OR(Table1[[#This Row],[Std Nom]]="",Table1[[#This Row],[Std Read]]=""),0,Table1[[#This Row],[Std Nom]]-Table1[[#This Row],[Std Read]])</f>
        <v>0</v>
      </c>
      <c r="N665" s="1">
        <f>IF(Calculations!$F$5="ACCREDITED 17025 WITH UNCERTAINTIES",$N$10,0)</f>
        <v>0</v>
      </c>
      <c r="Q665" s="1">
        <f>Table1[[#This Row],[High Tol]]-Table1[[#This Row],[Low Tol]]</f>
        <v>0</v>
      </c>
      <c r="R665" s="1">
        <f>2*Table1[[#This Row],[Std Error]]</f>
        <v>0</v>
      </c>
      <c r="S665" s="1" t="str">
        <f>IF(Table1[[#This Row],[High Tol]]="","N/A",IFERROR(ABS(Table1[[#This Row],[Tol Span]]/Table1[[#This Row],[Error Span]]),"N/A"))</f>
        <v>N/A</v>
      </c>
      <c r="T665" s="1" t="str">
        <f>IF(OR(Table1[[#This Row],[Low Tol]]="",Table1[[#This Row],[High Tol]]=""),"Needs Analysis",IF(Table1[[#This Row],[Ratio]]&gt;=4,"Not Significant",IF(Table1[[#This Row],[Ratio]]&gt;=2,"Semi-Significant","Significant")))</f>
        <v>Needs Analysis</v>
      </c>
      <c r="W665" s="1">
        <f>IF(Table1[[#This Row],[Cal Type]]&lt;&gt;"ACCREDITED 17025 WITH UNCERTAINTIES",0,"")</f>
        <v>0</v>
      </c>
      <c r="X665" s="1" t="str">
        <f>IF(Table1[[#This Row],[DUT Read]]="","N/A",Table1[[#This Row],[Std Error]]+Table1[[#This Row],[DUT Read]]+Table1[[#This Row],[DUT Ucty]])</f>
        <v>N/A</v>
      </c>
      <c r="Y665" s="1" t="str">
        <f>IF(Table1[[#This Row],[Std Read]]="","N/A",Table1[[#This Row],[Std Read]]+Table1[[#This Row],[Std Ucty]])</f>
        <v>N/A</v>
      </c>
      <c r="Z6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5" s="1" t="str">
        <f>IF(Table1[[#This Row],[Spec Type]]="","N/A",Table1[[#This Row],[Spec Type]])</f>
        <v>±</v>
      </c>
      <c r="AC665" s="1" t="str">
        <f>IF(Table1[[#This Row],[Spec Type2]]="N/A","N/A",IF(AND(Table1[[#This Row],[DUT Adj Read]]&gt;=Table1[[#This Row],[Low Tol]],Table1[[#This Row],[DUT Adj Read]]&lt;=Table1[[#This Row],[High Tol]]),"Pass","Fail"))</f>
        <v>Fail</v>
      </c>
      <c r="AD665" s="1" t="str">
        <f>IF(AND(Table1[[#This Row],[Spec Type2]]="N/A",Table1[[#This Row],[DUT Adj Read]]="N/A",Table1[[#This Row],[Std Adj Read]]="N/A"),"N/A",IF(Table1[[#This Row],[DUT Adj Read]]="N/A",IF(Table1[[#This Row],[Std Adj Read]]&gt;Table1[[#This Row],[Low Tol]],"Pass","Fail"),IF(Table1[[#This Row],[DUT Adj Read]]&gt;Table1[[#This Row],[Low Tol]],"Pass","Fail")))</f>
        <v>Pass</v>
      </c>
      <c r="AE665" s="1" t="str">
        <f>IF(AND(Table1[[#This Row],[Spec Type2]]="N/A",Table1[[#This Row],[DUT Adj Read]]="N/A",Table1[[#This Row],[Std Adj Read]]="N/A"),"N/A",IF(Table1[[#This Row],[DUT Adj Read]]="N/A",IF(Table1[[#This Row],[Std Adj Read]]&lt;Table1[[#This Row],[High Tol]],"Pass","Fail"),IF(Table1[[#This Row],[DUT Adj Read]]&lt;Table1[[#This Row],[High Tol]],"Pass","Fail")))</f>
        <v>Fail</v>
      </c>
      <c r="AF665" s="1" t="str">
        <f>IF(AND(Table1[[#This Row],[Spec Type2]]="N/A",Table1[[#This Row],[DUT Adj Read]]="N/A",Table1[[#This Row],[Std Adj Read]]="N/A"),"N/A",IF(Table1[[#This Row],[DUT Adj Read]]="N/A",IF(Table1[[#This Row],[Std Adj Read]]&gt;=Table1[[#This Row],[Low Tol]],"Pass","Fail"),IF(Table1[[#This Row],[DUT Adj Read]]&gt;=Table1[[#This Row],[Low Tol]],"Pass","Fail")))</f>
        <v>Pass</v>
      </c>
      <c r="AG665" s="1" t="str">
        <f>IF(AND(Table1[[#This Row],[Spec Type2]]="N/A",Table1[[#This Row],[DUT Adj Read]]="N/A",Table1[[#This Row],[Std Adj Read]]="N/A"),"N/A",IF(Table1[[#This Row],[DUT Adj Read]]="N/A",IF(Table1[[#This Row],[Std Adj Read]]&lt;=Table1[[#This Row],[High Tol]],"Pass","Fail"),IF(Table1[[#This Row],[DUT Adj Read]]&lt;=Table1[[#This Row],[High Tol]],"Pass","Fail")))</f>
        <v>Fail</v>
      </c>
      <c r="AH6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5" s="1" t="b">
        <v>0</v>
      </c>
      <c r="AN665" s="1" t="b">
        <v>0</v>
      </c>
      <c r="AO665" s="1" t="b">
        <v>0</v>
      </c>
    </row>
    <row r="666" spans="1:41" x14ac:dyDescent="0.25">
      <c r="A666" s="10"/>
      <c r="B666" s="10"/>
      <c r="C666" s="10"/>
      <c r="D666" s="10"/>
      <c r="E666" s="10"/>
      <c r="F666" s="10"/>
      <c r="G666" s="10"/>
      <c r="H666" s="10"/>
      <c r="I666" s="1" t="str">
        <f t="shared" si="30"/>
        <v/>
      </c>
      <c r="J666" s="1" t="s">
        <v>35</v>
      </c>
      <c r="K666" s="1" t="str">
        <f t="shared" si="31"/>
        <v/>
      </c>
      <c r="L666" s="1" t="str">
        <f t="shared" si="32"/>
        <v/>
      </c>
      <c r="M666" s="1">
        <f>IF(OR(Table1[[#This Row],[Std Nom]]="",Table1[[#This Row],[Std Read]]=""),0,Table1[[#This Row],[Std Nom]]-Table1[[#This Row],[Std Read]])</f>
        <v>0</v>
      </c>
      <c r="N666" s="1">
        <f>IF(Calculations!$F$5="ACCREDITED 17025 WITH UNCERTAINTIES",$N$10,0)</f>
        <v>0</v>
      </c>
      <c r="Q666" s="1">
        <f>Table1[[#This Row],[High Tol]]-Table1[[#This Row],[Low Tol]]</f>
        <v>0</v>
      </c>
      <c r="R666" s="1">
        <f>2*Table1[[#This Row],[Std Error]]</f>
        <v>0</v>
      </c>
      <c r="S666" s="1" t="str">
        <f>IF(Table1[[#This Row],[High Tol]]="","N/A",IFERROR(ABS(Table1[[#This Row],[Tol Span]]/Table1[[#This Row],[Error Span]]),"N/A"))</f>
        <v>N/A</v>
      </c>
      <c r="T666" s="1" t="str">
        <f>IF(OR(Table1[[#This Row],[Low Tol]]="",Table1[[#This Row],[High Tol]]=""),"Needs Analysis",IF(Table1[[#This Row],[Ratio]]&gt;=4,"Not Significant",IF(Table1[[#This Row],[Ratio]]&gt;=2,"Semi-Significant","Significant")))</f>
        <v>Needs Analysis</v>
      </c>
      <c r="W666" s="1">
        <f>IF(Table1[[#This Row],[Cal Type]]&lt;&gt;"ACCREDITED 17025 WITH UNCERTAINTIES",0,"")</f>
        <v>0</v>
      </c>
      <c r="X666" s="1" t="str">
        <f>IF(Table1[[#This Row],[DUT Read]]="","N/A",Table1[[#This Row],[Std Error]]+Table1[[#This Row],[DUT Read]]+Table1[[#This Row],[DUT Ucty]])</f>
        <v>N/A</v>
      </c>
      <c r="Y666" s="1" t="str">
        <f>IF(Table1[[#This Row],[Std Read]]="","N/A",Table1[[#This Row],[Std Read]]+Table1[[#This Row],[Std Ucty]])</f>
        <v>N/A</v>
      </c>
      <c r="Z6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6" s="1" t="str">
        <f>IF(Table1[[#This Row],[Spec Type]]="","N/A",Table1[[#This Row],[Spec Type]])</f>
        <v>±</v>
      </c>
      <c r="AC666" s="1" t="str">
        <f>IF(Table1[[#This Row],[Spec Type2]]="N/A","N/A",IF(AND(Table1[[#This Row],[DUT Adj Read]]&gt;=Table1[[#This Row],[Low Tol]],Table1[[#This Row],[DUT Adj Read]]&lt;=Table1[[#This Row],[High Tol]]),"Pass","Fail"))</f>
        <v>Fail</v>
      </c>
      <c r="AD666" s="1" t="str">
        <f>IF(AND(Table1[[#This Row],[Spec Type2]]="N/A",Table1[[#This Row],[DUT Adj Read]]="N/A",Table1[[#This Row],[Std Adj Read]]="N/A"),"N/A",IF(Table1[[#This Row],[DUT Adj Read]]="N/A",IF(Table1[[#This Row],[Std Adj Read]]&gt;Table1[[#This Row],[Low Tol]],"Pass","Fail"),IF(Table1[[#This Row],[DUT Adj Read]]&gt;Table1[[#This Row],[Low Tol]],"Pass","Fail")))</f>
        <v>Pass</v>
      </c>
      <c r="AE666" s="1" t="str">
        <f>IF(AND(Table1[[#This Row],[Spec Type2]]="N/A",Table1[[#This Row],[DUT Adj Read]]="N/A",Table1[[#This Row],[Std Adj Read]]="N/A"),"N/A",IF(Table1[[#This Row],[DUT Adj Read]]="N/A",IF(Table1[[#This Row],[Std Adj Read]]&lt;Table1[[#This Row],[High Tol]],"Pass","Fail"),IF(Table1[[#This Row],[DUT Adj Read]]&lt;Table1[[#This Row],[High Tol]],"Pass","Fail")))</f>
        <v>Fail</v>
      </c>
      <c r="AF666" s="1" t="str">
        <f>IF(AND(Table1[[#This Row],[Spec Type2]]="N/A",Table1[[#This Row],[DUT Adj Read]]="N/A",Table1[[#This Row],[Std Adj Read]]="N/A"),"N/A",IF(Table1[[#This Row],[DUT Adj Read]]="N/A",IF(Table1[[#This Row],[Std Adj Read]]&gt;=Table1[[#This Row],[Low Tol]],"Pass","Fail"),IF(Table1[[#This Row],[DUT Adj Read]]&gt;=Table1[[#This Row],[Low Tol]],"Pass","Fail")))</f>
        <v>Pass</v>
      </c>
      <c r="AG666" s="1" t="str">
        <f>IF(AND(Table1[[#This Row],[Spec Type2]]="N/A",Table1[[#This Row],[DUT Adj Read]]="N/A",Table1[[#This Row],[Std Adj Read]]="N/A"),"N/A",IF(Table1[[#This Row],[DUT Adj Read]]="N/A",IF(Table1[[#This Row],[Std Adj Read]]&lt;=Table1[[#This Row],[High Tol]],"Pass","Fail"),IF(Table1[[#This Row],[DUT Adj Read]]&lt;=Table1[[#This Row],[High Tol]],"Pass","Fail")))</f>
        <v>Fail</v>
      </c>
      <c r="AH6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6" s="1" t="b">
        <v>0</v>
      </c>
      <c r="AN666" s="1" t="b">
        <v>0</v>
      </c>
      <c r="AO666" s="1" t="b">
        <v>0</v>
      </c>
    </row>
    <row r="667" spans="1:41" x14ac:dyDescent="0.25">
      <c r="A667" s="10"/>
      <c r="B667" s="10"/>
      <c r="C667" s="10"/>
      <c r="D667" s="10"/>
      <c r="E667" s="10"/>
      <c r="F667" s="10"/>
      <c r="G667" s="10"/>
      <c r="H667" s="10"/>
      <c r="I667" s="1" t="str">
        <f t="shared" si="30"/>
        <v/>
      </c>
      <c r="J667" s="1" t="s">
        <v>35</v>
      </c>
      <c r="K667" s="1" t="str">
        <f t="shared" si="31"/>
        <v/>
      </c>
      <c r="L667" s="1" t="str">
        <f t="shared" si="32"/>
        <v/>
      </c>
      <c r="M667" s="1">
        <f>IF(OR(Table1[[#This Row],[Std Nom]]="",Table1[[#This Row],[Std Read]]=""),0,Table1[[#This Row],[Std Nom]]-Table1[[#This Row],[Std Read]])</f>
        <v>0</v>
      </c>
      <c r="N667" s="1">
        <f>IF(Calculations!$F$5="ACCREDITED 17025 WITH UNCERTAINTIES",$N$10,0)</f>
        <v>0</v>
      </c>
      <c r="Q667" s="1">
        <f>Table1[[#This Row],[High Tol]]-Table1[[#This Row],[Low Tol]]</f>
        <v>0</v>
      </c>
      <c r="R667" s="1">
        <f>2*Table1[[#This Row],[Std Error]]</f>
        <v>0</v>
      </c>
      <c r="S667" s="1" t="str">
        <f>IF(Table1[[#This Row],[High Tol]]="","N/A",IFERROR(ABS(Table1[[#This Row],[Tol Span]]/Table1[[#This Row],[Error Span]]),"N/A"))</f>
        <v>N/A</v>
      </c>
      <c r="T667" s="1" t="str">
        <f>IF(OR(Table1[[#This Row],[Low Tol]]="",Table1[[#This Row],[High Tol]]=""),"Needs Analysis",IF(Table1[[#This Row],[Ratio]]&gt;=4,"Not Significant",IF(Table1[[#This Row],[Ratio]]&gt;=2,"Semi-Significant","Significant")))</f>
        <v>Needs Analysis</v>
      </c>
      <c r="W667" s="1">
        <f>IF(Table1[[#This Row],[Cal Type]]&lt;&gt;"ACCREDITED 17025 WITH UNCERTAINTIES",0,"")</f>
        <v>0</v>
      </c>
      <c r="X667" s="1" t="str">
        <f>IF(Table1[[#This Row],[DUT Read]]="","N/A",Table1[[#This Row],[Std Error]]+Table1[[#This Row],[DUT Read]]+Table1[[#This Row],[DUT Ucty]])</f>
        <v>N/A</v>
      </c>
      <c r="Y667" s="1" t="str">
        <f>IF(Table1[[#This Row],[Std Read]]="","N/A",Table1[[#This Row],[Std Read]]+Table1[[#This Row],[Std Ucty]])</f>
        <v>N/A</v>
      </c>
      <c r="Z6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7" s="1" t="str">
        <f>IF(Table1[[#This Row],[Spec Type]]="","N/A",Table1[[#This Row],[Spec Type]])</f>
        <v>±</v>
      </c>
      <c r="AC667" s="1" t="str">
        <f>IF(Table1[[#This Row],[Spec Type2]]="N/A","N/A",IF(AND(Table1[[#This Row],[DUT Adj Read]]&gt;=Table1[[#This Row],[Low Tol]],Table1[[#This Row],[DUT Adj Read]]&lt;=Table1[[#This Row],[High Tol]]),"Pass","Fail"))</f>
        <v>Fail</v>
      </c>
      <c r="AD667" s="1" t="str">
        <f>IF(AND(Table1[[#This Row],[Spec Type2]]="N/A",Table1[[#This Row],[DUT Adj Read]]="N/A",Table1[[#This Row],[Std Adj Read]]="N/A"),"N/A",IF(Table1[[#This Row],[DUT Adj Read]]="N/A",IF(Table1[[#This Row],[Std Adj Read]]&gt;Table1[[#This Row],[Low Tol]],"Pass","Fail"),IF(Table1[[#This Row],[DUT Adj Read]]&gt;Table1[[#This Row],[Low Tol]],"Pass","Fail")))</f>
        <v>Pass</v>
      </c>
      <c r="AE667" s="1" t="str">
        <f>IF(AND(Table1[[#This Row],[Spec Type2]]="N/A",Table1[[#This Row],[DUT Adj Read]]="N/A",Table1[[#This Row],[Std Adj Read]]="N/A"),"N/A",IF(Table1[[#This Row],[DUT Adj Read]]="N/A",IF(Table1[[#This Row],[Std Adj Read]]&lt;Table1[[#This Row],[High Tol]],"Pass","Fail"),IF(Table1[[#This Row],[DUT Adj Read]]&lt;Table1[[#This Row],[High Tol]],"Pass","Fail")))</f>
        <v>Fail</v>
      </c>
      <c r="AF667" s="1" t="str">
        <f>IF(AND(Table1[[#This Row],[Spec Type2]]="N/A",Table1[[#This Row],[DUT Adj Read]]="N/A",Table1[[#This Row],[Std Adj Read]]="N/A"),"N/A",IF(Table1[[#This Row],[DUT Adj Read]]="N/A",IF(Table1[[#This Row],[Std Adj Read]]&gt;=Table1[[#This Row],[Low Tol]],"Pass","Fail"),IF(Table1[[#This Row],[DUT Adj Read]]&gt;=Table1[[#This Row],[Low Tol]],"Pass","Fail")))</f>
        <v>Pass</v>
      </c>
      <c r="AG667" s="1" t="str">
        <f>IF(AND(Table1[[#This Row],[Spec Type2]]="N/A",Table1[[#This Row],[DUT Adj Read]]="N/A",Table1[[#This Row],[Std Adj Read]]="N/A"),"N/A",IF(Table1[[#This Row],[DUT Adj Read]]="N/A",IF(Table1[[#This Row],[Std Adj Read]]&lt;=Table1[[#This Row],[High Tol]],"Pass","Fail"),IF(Table1[[#This Row],[DUT Adj Read]]&lt;=Table1[[#This Row],[High Tol]],"Pass","Fail")))</f>
        <v>Fail</v>
      </c>
      <c r="AH6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7" s="1" t="b">
        <v>0</v>
      </c>
      <c r="AN667" s="1" t="b">
        <v>0</v>
      </c>
      <c r="AO667" s="1" t="b">
        <v>0</v>
      </c>
    </row>
    <row r="668" spans="1:41" x14ac:dyDescent="0.25">
      <c r="A668" s="10"/>
      <c r="B668" s="10"/>
      <c r="C668" s="10"/>
      <c r="D668" s="10"/>
      <c r="E668" s="10"/>
      <c r="F668" s="10"/>
      <c r="G668" s="10"/>
      <c r="H668" s="10"/>
      <c r="I668" s="1" t="str">
        <f t="shared" si="30"/>
        <v/>
      </c>
      <c r="J668" s="1" t="s">
        <v>35</v>
      </c>
      <c r="K668" s="1" t="str">
        <f t="shared" si="31"/>
        <v/>
      </c>
      <c r="L668" s="1" t="str">
        <f t="shared" si="32"/>
        <v/>
      </c>
      <c r="M668" s="1">
        <f>IF(OR(Table1[[#This Row],[Std Nom]]="",Table1[[#This Row],[Std Read]]=""),0,Table1[[#This Row],[Std Nom]]-Table1[[#This Row],[Std Read]])</f>
        <v>0</v>
      </c>
      <c r="N668" s="1">
        <f>IF(Calculations!$F$5="ACCREDITED 17025 WITH UNCERTAINTIES",$N$10,0)</f>
        <v>0</v>
      </c>
      <c r="Q668" s="1">
        <f>Table1[[#This Row],[High Tol]]-Table1[[#This Row],[Low Tol]]</f>
        <v>0</v>
      </c>
      <c r="R668" s="1">
        <f>2*Table1[[#This Row],[Std Error]]</f>
        <v>0</v>
      </c>
      <c r="S668" s="1" t="str">
        <f>IF(Table1[[#This Row],[High Tol]]="","N/A",IFERROR(ABS(Table1[[#This Row],[Tol Span]]/Table1[[#This Row],[Error Span]]),"N/A"))</f>
        <v>N/A</v>
      </c>
      <c r="T668" s="1" t="str">
        <f>IF(OR(Table1[[#This Row],[Low Tol]]="",Table1[[#This Row],[High Tol]]=""),"Needs Analysis",IF(Table1[[#This Row],[Ratio]]&gt;=4,"Not Significant",IF(Table1[[#This Row],[Ratio]]&gt;=2,"Semi-Significant","Significant")))</f>
        <v>Needs Analysis</v>
      </c>
      <c r="W668" s="1">
        <f>IF(Table1[[#This Row],[Cal Type]]&lt;&gt;"ACCREDITED 17025 WITH UNCERTAINTIES",0,"")</f>
        <v>0</v>
      </c>
      <c r="X668" s="1" t="str">
        <f>IF(Table1[[#This Row],[DUT Read]]="","N/A",Table1[[#This Row],[Std Error]]+Table1[[#This Row],[DUT Read]]+Table1[[#This Row],[DUT Ucty]])</f>
        <v>N/A</v>
      </c>
      <c r="Y668" s="1" t="str">
        <f>IF(Table1[[#This Row],[Std Read]]="","N/A",Table1[[#This Row],[Std Read]]+Table1[[#This Row],[Std Ucty]])</f>
        <v>N/A</v>
      </c>
      <c r="Z6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8" s="1" t="str">
        <f>IF(Table1[[#This Row],[Spec Type]]="","N/A",Table1[[#This Row],[Spec Type]])</f>
        <v>±</v>
      </c>
      <c r="AC668" s="1" t="str">
        <f>IF(Table1[[#This Row],[Spec Type2]]="N/A","N/A",IF(AND(Table1[[#This Row],[DUT Adj Read]]&gt;=Table1[[#This Row],[Low Tol]],Table1[[#This Row],[DUT Adj Read]]&lt;=Table1[[#This Row],[High Tol]]),"Pass","Fail"))</f>
        <v>Fail</v>
      </c>
      <c r="AD668" s="1" t="str">
        <f>IF(AND(Table1[[#This Row],[Spec Type2]]="N/A",Table1[[#This Row],[DUT Adj Read]]="N/A",Table1[[#This Row],[Std Adj Read]]="N/A"),"N/A",IF(Table1[[#This Row],[DUT Adj Read]]="N/A",IF(Table1[[#This Row],[Std Adj Read]]&gt;Table1[[#This Row],[Low Tol]],"Pass","Fail"),IF(Table1[[#This Row],[DUT Adj Read]]&gt;Table1[[#This Row],[Low Tol]],"Pass","Fail")))</f>
        <v>Pass</v>
      </c>
      <c r="AE668" s="1" t="str">
        <f>IF(AND(Table1[[#This Row],[Spec Type2]]="N/A",Table1[[#This Row],[DUT Adj Read]]="N/A",Table1[[#This Row],[Std Adj Read]]="N/A"),"N/A",IF(Table1[[#This Row],[DUT Adj Read]]="N/A",IF(Table1[[#This Row],[Std Adj Read]]&lt;Table1[[#This Row],[High Tol]],"Pass","Fail"),IF(Table1[[#This Row],[DUT Adj Read]]&lt;Table1[[#This Row],[High Tol]],"Pass","Fail")))</f>
        <v>Fail</v>
      </c>
      <c r="AF668" s="1" t="str">
        <f>IF(AND(Table1[[#This Row],[Spec Type2]]="N/A",Table1[[#This Row],[DUT Adj Read]]="N/A",Table1[[#This Row],[Std Adj Read]]="N/A"),"N/A",IF(Table1[[#This Row],[DUT Adj Read]]="N/A",IF(Table1[[#This Row],[Std Adj Read]]&gt;=Table1[[#This Row],[Low Tol]],"Pass","Fail"),IF(Table1[[#This Row],[DUT Adj Read]]&gt;=Table1[[#This Row],[Low Tol]],"Pass","Fail")))</f>
        <v>Pass</v>
      </c>
      <c r="AG668" s="1" t="str">
        <f>IF(AND(Table1[[#This Row],[Spec Type2]]="N/A",Table1[[#This Row],[DUT Adj Read]]="N/A",Table1[[#This Row],[Std Adj Read]]="N/A"),"N/A",IF(Table1[[#This Row],[DUT Adj Read]]="N/A",IF(Table1[[#This Row],[Std Adj Read]]&lt;=Table1[[#This Row],[High Tol]],"Pass","Fail"),IF(Table1[[#This Row],[DUT Adj Read]]&lt;=Table1[[#This Row],[High Tol]],"Pass","Fail")))</f>
        <v>Fail</v>
      </c>
      <c r="AH6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8" s="1" t="b">
        <v>0</v>
      </c>
      <c r="AN668" s="1" t="b">
        <v>0</v>
      </c>
      <c r="AO668" s="1" t="b">
        <v>0</v>
      </c>
    </row>
    <row r="669" spans="1:41" x14ac:dyDescent="0.25">
      <c r="A669" s="10"/>
      <c r="B669" s="10"/>
      <c r="C669" s="10"/>
      <c r="D669" s="10"/>
      <c r="E669" s="10"/>
      <c r="F669" s="10"/>
      <c r="G669" s="10"/>
      <c r="H669" s="10"/>
      <c r="I669" s="1" t="str">
        <f t="shared" si="30"/>
        <v/>
      </c>
      <c r="J669" s="1" t="s">
        <v>35</v>
      </c>
      <c r="K669" s="1" t="str">
        <f t="shared" si="31"/>
        <v/>
      </c>
      <c r="L669" s="1" t="str">
        <f t="shared" si="32"/>
        <v/>
      </c>
      <c r="M669" s="1">
        <f>IF(OR(Table1[[#This Row],[Std Nom]]="",Table1[[#This Row],[Std Read]]=""),0,Table1[[#This Row],[Std Nom]]-Table1[[#This Row],[Std Read]])</f>
        <v>0</v>
      </c>
      <c r="N669" s="1">
        <f>IF(Calculations!$F$5="ACCREDITED 17025 WITH UNCERTAINTIES",$N$10,0)</f>
        <v>0</v>
      </c>
      <c r="Q669" s="1">
        <f>Table1[[#This Row],[High Tol]]-Table1[[#This Row],[Low Tol]]</f>
        <v>0</v>
      </c>
      <c r="R669" s="1">
        <f>2*Table1[[#This Row],[Std Error]]</f>
        <v>0</v>
      </c>
      <c r="S669" s="1" t="str">
        <f>IF(Table1[[#This Row],[High Tol]]="","N/A",IFERROR(ABS(Table1[[#This Row],[Tol Span]]/Table1[[#This Row],[Error Span]]),"N/A"))</f>
        <v>N/A</v>
      </c>
      <c r="T669" s="1" t="str">
        <f>IF(OR(Table1[[#This Row],[Low Tol]]="",Table1[[#This Row],[High Tol]]=""),"Needs Analysis",IF(Table1[[#This Row],[Ratio]]&gt;=4,"Not Significant",IF(Table1[[#This Row],[Ratio]]&gt;=2,"Semi-Significant","Significant")))</f>
        <v>Needs Analysis</v>
      </c>
      <c r="W669" s="1">
        <f>IF(Table1[[#This Row],[Cal Type]]&lt;&gt;"ACCREDITED 17025 WITH UNCERTAINTIES",0,"")</f>
        <v>0</v>
      </c>
      <c r="X669" s="1" t="str">
        <f>IF(Table1[[#This Row],[DUT Read]]="","N/A",Table1[[#This Row],[Std Error]]+Table1[[#This Row],[DUT Read]]+Table1[[#This Row],[DUT Ucty]])</f>
        <v>N/A</v>
      </c>
      <c r="Y669" s="1" t="str">
        <f>IF(Table1[[#This Row],[Std Read]]="","N/A",Table1[[#This Row],[Std Read]]+Table1[[#This Row],[Std Ucty]])</f>
        <v>N/A</v>
      </c>
      <c r="Z6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69" s="1" t="str">
        <f>IF(Table1[[#This Row],[Spec Type]]="","N/A",Table1[[#This Row],[Spec Type]])</f>
        <v>±</v>
      </c>
      <c r="AC669" s="1" t="str">
        <f>IF(Table1[[#This Row],[Spec Type2]]="N/A","N/A",IF(AND(Table1[[#This Row],[DUT Adj Read]]&gt;=Table1[[#This Row],[Low Tol]],Table1[[#This Row],[DUT Adj Read]]&lt;=Table1[[#This Row],[High Tol]]),"Pass","Fail"))</f>
        <v>Fail</v>
      </c>
      <c r="AD669" s="1" t="str">
        <f>IF(AND(Table1[[#This Row],[Spec Type2]]="N/A",Table1[[#This Row],[DUT Adj Read]]="N/A",Table1[[#This Row],[Std Adj Read]]="N/A"),"N/A",IF(Table1[[#This Row],[DUT Adj Read]]="N/A",IF(Table1[[#This Row],[Std Adj Read]]&gt;Table1[[#This Row],[Low Tol]],"Pass","Fail"),IF(Table1[[#This Row],[DUT Adj Read]]&gt;Table1[[#This Row],[Low Tol]],"Pass","Fail")))</f>
        <v>Pass</v>
      </c>
      <c r="AE669" s="1" t="str">
        <f>IF(AND(Table1[[#This Row],[Spec Type2]]="N/A",Table1[[#This Row],[DUT Adj Read]]="N/A",Table1[[#This Row],[Std Adj Read]]="N/A"),"N/A",IF(Table1[[#This Row],[DUT Adj Read]]="N/A",IF(Table1[[#This Row],[Std Adj Read]]&lt;Table1[[#This Row],[High Tol]],"Pass","Fail"),IF(Table1[[#This Row],[DUT Adj Read]]&lt;Table1[[#This Row],[High Tol]],"Pass","Fail")))</f>
        <v>Fail</v>
      </c>
      <c r="AF669" s="1" t="str">
        <f>IF(AND(Table1[[#This Row],[Spec Type2]]="N/A",Table1[[#This Row],[DUT Adj Read]]="N/A",Table1[[#This Row],[Std Adj Read]]="N/A"),"N/A",IF(Table1[[#This Row],[DUT Adj Read]]="N/A",IF(Table1[[#This Row],[Std Adj Read]]&gt;=Table1[[#This Row],[Low Tol]],"Pass","Fail"),IF(Table1[[#This Row],[DUT Adj Read]]&gt;=Table1[[#This Row],[Low Tol]],"Pass","Fail")))</f>
        <v>Pass</v>
      </c>
      <c r="AG669" s="1" t="str">
        <f>IF(AND(Table1[[#This Row],[Spec Type2]]="N/A",Table1[[#This Row],[DUT Adj Read]]="N/A",Table1[[#This Row],[Std Adj Read]]="N/A"),"N/A",IF(Table1[[#This Row],[DUT Adj Read]]="N/A",IF(Table1[[#This Row],[Std Adj Read]]&lt;=Table1[[#This Row],[High Tol]],"Pass","Fail"),IF(Table1[[#This Row],[DUT Adj Read]]&lt;=Table1[[#This Row],[High Tol]],"Pass","Fail")))</f>
        <v>Fail</v>
      </c>
      <c r="AH6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69" s="1" t="b">
        <v>0</v>
      </c>
      <c r="AN669" s="1" t="b">
        <v>0</v>
      </c>
      <c r="AO669" s="1" t="b">
        <v>0</v>
      </c>
    </row>
    <row r="670" spans="1:41" x14ac:dyDescent="0.25">
      <c r="A670" s="10"/>
      <c r="B670" s="10"/>
      <c r="C670" s="10"/>
      <c r="D670" s="10"/>
      <c r="E670" s="10"/>
      <c r="F670" s="10"/>
      <c r="G670" s="10"/>
      <c r="H670" s="10"/>
      <c r="I670" s="1" t="str">
        <f t="shared" si="30"/>
        <v/>
      </c>
      <c r="J670" s="1" t="s">
        <v>35</v>
      </c>
      <c r="K670" s="1" t="str">
        <f t="shared" si="31"/>
        <v/>
      </c>
      <c r="L670" s="1" t="str">
        <f t="shared" si="32"/>
        <v/>
      </c>
      <c r="M670" s="1">
        <f>IF(OR(Table1[[#This Row],[Std Nom]]="",Table1[[#This Row],[Std Read]]=""),0,Table1[[#This Row],[Std Nom]]-Table1[[#This Row],[Std Read]])</f>
        <v>0</v>
      </c>
      <c r="N670" s="1">
        <f>IF(Calculations!$F$5="ACCREDITED 17025 WITH UNCERTAINTIES",$N$10,0)</f>
        <v>0</v>
      </c>
      <c r="Q670" s="1">
        <f>Table1[[#This Row],[High Tol]]-Table1[[#This Row],[Low Tol]]</f>
        <v>0</v>
      </c>
      <c r="R670" s="1">
        <f>2*Table1[[#This Row],[Std Error]]</f>
        <v>0</v>
      </c>
      <c r="S670" s="1" t="str">
        <f>IF(Table1[[#This Row],[High Tol]]="","N/A",IFERROR(ABS(Table1[[#This Row],[Tol Span]]/Table1[[#This Row],[Error Span]]),"N/A"))</f>
        <v>N/A</v>
      </c>
      <c r="T670" s="1" t="str">
        <f>IF(OR(Table1[[#This Row],[Low Tol]]="",Table1[[#This Row],[High Tol]]=""),"Needs Analysis",IF(Table1[[#This Row],[Ratio]]&gt;=4,"Not Significant",IF(Table1[[#This Row],[Ratio]]&gt;=2,"Semi-Significant","Significant")))</f>
        <v>Needs Analysis</v>
      </c>
      <c r="W670" s="1">
        <f>IF(Table1[[#This Row],[Cal Type]]&lt;&gt;"ACCREDITED 17025 WITH UNCERTAINTIES",0,"")</f>
        <v>0</v>
      </c>
      <c r="X670" s="1" t="str">
        <f>IF(Table1[[#This Row],[DUT Read]]="","N/A",Table1[[#This Row],[Std Error]]+Table1[[#This Row],[DUT Read]]+Table1[[#This Row],[DUT Ucty]])</f>
        <v>N/A</v>
      </c>
      <c r="Y670" s="1" t="str">
        <f>IF(Table1[[#This Row],[Std Read]]="","N/A",Table1[[#This Row],[Std Read]]+Table1[[#This Row],[Std Ucty]])</f>
        <v>N/A</v>
      </c>
      <c r="Z6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0" s="1" t="str">
        <f>IF(Table1[[#This Row],[Spec Type]]="","N/A",Table1[[#This Row],[Spec Type]])</f>
        <v>±</v>
      </c>
      <c r="AC670" s="1" t="str">
        <f>IF(Table1[[#This Row],[Spec Type2]]="N/A","N/A",IF(AND(Table1[[#This Row],[DUT Adj Read]]&gt;=Table1[[#This Row],[Low Tol]],Table1[[#This Row],[DUT Adj Read]]&lt;=Table1[[#This Row],[High Tol]]),"Pass","Fail"))</f>
        <v>Fail</v>
      </c>
      <c r="AD670" s="1" t="str">
        <f>IF(AND(Table1[[#This Row],[Spec Type2]]="N/A",Table1[[#This Row],[DUT Adj Read]]="N/A",Table1[[#This Row],[Std Adj Read]]="N/A"),"N/A",IF(Table1[[#This Row],[DUT Adj Read]]="N/A",IF(Table1[[#This Row],[Std Adj Read]]&gt;Table1[[#This Row],[Low Tol]],"Pass","Fail"),IF(Table1[[#This Row],[DUT Adj Read]]&gt;Table1[[#This Row],[Low Tol]],"Pass","Fail")))</f>
        <v>Pass</v>
      </c>
      <c r="AE670" s="1" t="str">
        <f>IF(AND(Table1[[#This Row],[Spec Type2]]="N/A",Table1[[#This Row],[DUT Adj Read]]="N/A",Table1[[#This Row],[Std Adj Read]]="N/A"),"N/A",IF(Table1[[#This Row],[DUT Adj Read]]="N/A",IF(Table1[[#This Row],[Std Adj Read]]&lt;Table1[[#This Row],[High Tol]],"Pass","Fail"),IF(Table1[[#This Row],[DUT Adj Read]]&lt;Table1[[#This Row],[High Tol]],"Pass","Fail")))</f>
        <v>Fail</v>
      </c>
      <c r="AF670" s="1" t="str">
        <f>IF(AND(Table1[[#This Row],[Spec Type2]]="N/A",Table1[[#This Row],[DUT Adj Read]]="N/A",Table1[[#This Row],[Std Adj Read]]="N/A"),"N/A",IF(Table1[[#This Row],[DUT Adj Read]]="N/A",IF(Table1[[#This Row],[Std Adj Read]]&gt;=Table1[[#This Row],[Low Tol]],"Pass","Fail"),IF(Table1[[#This Row],[DUT Adj Read]]&gt;=Table1[[#This Row],[Low Tol]],"Pass","Fail")))</f>
        <v>Pass</v>
      </c>
      <c r="AG670" s="1" t="str">
        <f>IF(AND(Table1[[#This Row],[Spec Type2]]="N/A",Table1[[#This Row],[DUT Adj Read]]="N/A",Table1[[#This Row],[Std Adj Read]]="N/A"),"N/A",IF(Table1[[#This Row],[DUT Adj Read]]="N/A",IF(Table1[[#This Row],[Std Adj Read]]&lt;=Table1[[#This Row],[High Tol]],"Pass","Fail"),IF(Table1[[#This Row],[DUT Adj Read]]&lt;=Table1[[#This Row],[High Tol]],"Pass","Fail")))</f>
        <v>Fail</v>
      </c>
      <c r="AH6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0" s="1" t="b">
        <v>0</v>
      </c>
      <c r="AN670" s="1" t="b">
        <v>0</v>
      </c>
      <c r="AO670" s="1" t="b">
        <v>0</v>
      </c>
    </row>
    <row r="671" spans="1:41" x14ac:dyDescent="0.25">
      <c r="A671" s="10"/>
      <c r="B671" s="10"/>
      <c r="C671" s="10"/>
      <c r="D671" s="10"/>
      <c r="E671" s="10"/>
      <c r="F671" s="10"/>
      <c r="G671" s="10"/>
      <c r="H671" s="10"/>
      <c r="I671" s="1" t="str">
        <f t="shared" si="30"/>
        <v/>
      </c>
      <c r="J671" s="1" t="s">
        <v>35</v>
      </c>
      <c r="K671" s="1" t="str">
        <f t="shared" si="31"/>
        <v/>
      </c>
      <c r="L671" s="1" t="str">
        <f t="shared" si="32"/>
        <v/>
      </c>
      <c r="M671" s="1">
        <f>IF(OR(Table1[[#This Row],[Std Nom]]="",Table1[[#This Row],[Std Read]]=""),0,Table1[[#This Row],[Std Nom]]-Table1[[#This Row],[Std Read]])</f>
        <v>0</v>
      </c>
      <c r="N671" s="1">
        <f>IF(Calculations!$F$5="ACCREDITED 17025 WITH UNCERTAINTIES",$N$10,0)</f>
        <v>0</v>
      </c>
      <c r="Q671" s="1">
        <f>Table1[[#This Row],[High Tol]]-Table1[[#This Row],[Low Tol]]</f>
        <v>0</v>
      </c>
      <c r="R671" s="1">
        <f>2*Table1[[#This Row],[Std Error]]</f>
        <v>0</v>
      </c>
      <c r="S671" s="1" t="str">
        <f>IF(Table1[[#This Row],[High Tol]]="","N/A",IFERROR(ABS(Table1[[#This Row],[Tol Span]]/Table1[[#This Row],[Error Span]]),"N/A"))</f>
        <v>N/A</v>
      </c>
      <c r="T671" s="1" t="str">
        <f>IF(OR(Table1[[#This Row],[Low Tol]]="",Table1[[#This Row],[High Tol]]=""),"Needs Analysis",IF(Table1[[#This Row],[Ratio]]&gt;=4,"Not Significant",IF(Table1[[#This Row],[Ratio]]&gt;=2,"Semi-Significant","Significant")))</f>
        <v>Needs Analysis</v>
      </c>
      <c r="W671" s="1">
        <f>IF(Table1[[#This Row],[Cal Type]]&lt;&gt;"ACCREDITED 17025 WITH UNCERTAINTIES",0,"")</f>
        <v>0</v>
      </c>
      <c r="X671" s="1" t="str">
        <f>IF(Table1[[#This Row],[DUT Read]]="","N/A",Table1[[#This Row],[Std Error]]+Table1[[#This Row],[DUT Read]]+Table1[[#This Row],[DUT Ucty]])</f>
        <v>N/A</v>
      </c>
      <c r="Y671" s="1" t="str">
        <f>IF(Table1[[#This Row],[Std Read]]="","N/A",Table1[[#This Row],[Std Read]]+Table1[[#This Row],[Std Ucty]])</f>
        <v>N/A</v>
      </c>
      <c r="Z6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1" s="1" t="str">
        <f>IF(Table1[[#This Row],[Spec Type]]="","N/A",Table1[[#This Row],[Spec Type]])</f>
        <v>±</v>
      </c>
      <c r="AC671" s="1" t="str">
        <f>IF(Table1[[#This Row],[Spec Type2]]="N/A","N/A",IF(AND(Table1[[#This Row],[DUT Adj Read]]&gt;=Table1[[#This Row],[Low Tol]],Table1[[#This Row],[DUT Adj Read]]&lt;=Table1[[#This Row],[High Tol]]),"Pass","Fail"))</f>
        <v>Fail</v>
      </c>
      <c r="AD671" s="1" t="str">
        <f>IF(AND(Table1[[#This Row],[Spec Type2]]="N/A",Table1[[#This Row],[DUT Adj Read]]="N/A",Table1[[#This Row],[Std Adj Read]]="N/A"),"N/A",IF(Table1[[#This Row],[DUT Adj Read]]="N/A",IF(Table1[[#This Row],[Std Adj Read]]&gt;Table1[[#This Row],[Low Tol]],"Pass","Fail"),IF(Table1[[#This Row],[DUT Adj Read]]&gt;Table1[[#This Row],[Low Tol]],"Pass","Fail")))</f>
        <v>Pass</v>
      </c>
      <c r="AE671" s="1" t="str">
        <f>IF(AND(Table1[[#This Row],[Spec Type2]]="N/A",Table1[[#This Row],[DUT Adj Read]]="N/A",Table1[[#This Row],[Std Adj Read]]="N/A"),"N/A",IF(Table1[[#This Row],[DUT Adj Read]]="N/A",IF(Table1[[#This Row],[Std Adj Read]]&lt;Table1[[#This Row],[High Tol]],"Pass","Fail"),IF(Table1[[#This Row],[DUT Adj Read]]&lt;Table1[[#This Row],[High Tol]],"Pass","Fail")))</f>
        <v>Fail</v>
      </c>
      <c r="AF671" s="1" t="str">
        <f>IF(AND(Table1[[#This Row],[Spec Type2]]="N/A",Table1[[#This Row],[DUT Adj Read]]="N/A",Table1[[#This Row],[Std Adj Read]]="N/A"),"N/A",IF(Table1[[#This Row],[DUT Adj Read]]="N/A",IF(Table1[[#This Row],[Std Adj Read]]&gt;=Table1[[#This Row],[Low Tol]],"Pass","Fail"),IF(Table1[[#This Row],[DUT Adj Read]]&gt;=Table1[[#This Row],[Low Tol]],"Pass","Fail")))</f>
        <v>Pass</v>
      </c>
      <c r="AG671" s="1" t="str">
        <f>IF(AND(Table1[[#This Row],[Spec Type2]]="N/A",Table1[[#This Row],[DUT Adj Read]]="N/A",Table1[[#This Row],[Std Adj Read]]="N/A"),"N/A",IF(Table1[[#This Row],[DUT Adj Read]]="N/A",IF(Table1[[#This Row],[Std Adj Read]]&lt;=Table1[[#This Row],[High Tol]],"Pass","Fail"),IF(Table1[[#This Row],[DUT Adj Read]]&lt;=Table1[[#This Row],[High Tol]],"Pass","Fail")))</f>
        <v>Fail</v>
      </c>
      <c r="AH6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1" s="1" t="b">
        <v>0</v>
      </c>
      <c r="AN671" s="1" t="b">
        <v>0</v>
      </c>
      <c r="AO671" s="1" t="b">
        <v>0</v>
      </c>
    </row>
    <row r="672" spans="1:41" x14ac:dyDescent="0.25">
      <c r="A672" s="10"/>
      <c r="B672" s="10"/>
      <c r="C672" s="10"/>
      <c r="D672" s="10"/>
      <c r="E672" s="10"/>
      <c r="F672" s="10"/>
      <c r="G672" s="10"/>
      <c r="H672" s="10"/>
      <c r="I672" s="1" t="str">
        <f t="shared" si="30"/>
        <v/>
      </c>
      <c r="J672" s="1" t="s">
        <v>35</v>
      </c>
      <c r="K672" s="1" t="str">
        <f t="shared" si="31"/>
        <v/>
      </c>
      <c r="L672" s="1" t="str">
        <f t="shared" si="32"/>
        <v/>
      </c>
      <c r="M672" s="1">
        <f>IF(OR(Table1[[#This Row],[Std Nom]]="",Table1[[#This Row],[Std Read]]=""),0,Table1[[#This Row],[Std Nom]]-Table1[[#This Row],[Std Read]])</f>
        <v>0</v>
      </c>
      <c r="N672" s="1">
        <f>IF(Calculations!$F$5="ACCREDITED 17025 WITH UNCERTAINTIES",$N$10,0)</f>
        <v>0</v>
      </c>
      <c r="Q672" s="1">
        <f>Table1[[#This Row],[High Tol]]-Table1[[#This Row],[Low Tol]]</f>
        <v>0</v>
      </c>
      <c r="R672" s="1">
        <f>2*Table1[[#This Row],[Std Error]]</f>
        <v>0</v>
      </c>
      <c r="S672" s="1" t="str">
        <f>IF(Table1[[#This Row],[High Tol]]="","N/A",IFERROR(ABS(Table1[[#This Row],[Tol Span]]/Table1[[#This Row],[Error Span]]),"N/A"))</f>
        <v>N/A</v>
      </c>
      <c r="T672" s="1" t="str">
        <f>IF(OR(Table1[[#This Row],[Low Tol]]="",Table1[[#This Row],[High Tol]]=""),"Needs Analysis",IF(Table1[[#This Row],[Ratio]]&gt;=4,"Not Significant",IF(Table1[[#This Row],[Ratio]]&gt;=2,"Semi-Significant","Significant")))</f>
        <v>Needs Analysis</v>
      </c>
      <c r="W672" s="1">
        <f>IF(Table1[[#This Row],[Cal Type]]&lt;&gt;"ACCREDITED 17025 WITH UNCERTAINTIES",0,"")</f>
        <v>0</v>
      </c>
      <c r="X672" s="1" t="str">
        <f>IF(Table1[[#This Row],[DUT Read]]="","N/A",Table1[[#This Row],[Std Error]]+Table1[[#This Row],[DUT Read]]+Table1[[#This Row],[DUT Ucty]])</f>
        <v>N/A</v>
      </c>
      <c r="Y672" s="1" t="str">
        <f>IF(Table1[[#This Row],[Std Read]]="","N/A",Table1[[#This Row],[Std Read]]+Table1[[#This Row],[Std Ucty]])</f>
        <v>N/A</v>
      </c>
      <c r="Z6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2" s="1" t="str">
        <f>IF(Table1[[#This Row],[Spec Type]]="","N/A",Table1[[#This Row],[Spec Type]])</f>
        <v>±</v>
      </c>
      <c r="AC672" s="1" t="str">
        <f>IF(Table1[[#This Row],[Spec Type2]]="N/A","N/A",IF(AND(Table1[[#This Row],[DUT Adj Read]]&gt;=Table1[[#This Row],[Low Tol]],Table1[[#This Row],[DUT Adj Read]]&lt;=Table1[[#This Row],[High Tol]]),"Pass","Fail"))</f>
        <v>Fail</v>
      </c>
      <c r="AD672" s="1" t="str">
        <f>IF(AND(Table1[[#This Row],[Spec Type2]]="N/A",Table1[[#This Row],[DUT Adj Read]]="N/A",Table1[[#This Row],[Std Adj Read]]="N/A"),"N/A",IF(Table1[[#This Row],[DUT Adj Read]]="N/A",IF(Table1[[#This Row],[Std Adj Read]]&gt;Table1[[#This Row],[Low Tol]],"Pass","Fail"),IF(Table1[[#This Row],[DUT Adj Read]]&gt;Table1[[#This Row],[Low Tol]],"Pass","Fail")))</f>
        <v>Pass</v>
      </c>
      <c r="AE672" s="1" t="str">
        <f>IF(AND(Table1[[#This Row],[Spec Type2]]="N/A",Table1[[#This Row],[DUT Adj Read]]="N/A",Table1[[#This Row],[Std Adj Read]]="N/A"),"N/A",IF(Table1[[#This Row],[DUT Adj Read]]="N/A",IF(Table1[[#This Row],[Std Adj Read]]&lt;Table1[[#This Row],[High Tol]],"Pass","Fail"),IF(Table1[[#This Row],[DUT Adj Read]]&lt;Table1[[#This Row],[High Tol]],"Pass","Fail")))</f>
        <v>Fail</v>
      </c>
      <c r="AF672" s="1" t="str">
        <f>IF(AND(Table1[[#This Row],[Spec Type2]]="N/A",Table1[[#This Row],[DUT Adj Read]]="N/A",Table1[[#This Row],[Std Adj Read]]="N/A"),"N/A",IF(Table1[[#This Row],[DUT Adj Read]]="N/A",IF(Table1[[#This Row],[Std Adj Read]]&gt;=Table1[[#This Row],[Low Tol]],"Pass","Fail"),IF(Table1[[#This Row],[DUT Adj Read]]&gt;=Table1[[#This Row],[Low Tol]],"Pass","Fail")))</f>
        <v>Pass</v>
      </c>
      <c r="AG672" s="1" t="str">
        <f>IF(AND(Table1[[#This Row],[Spec Type2]]="N/A",Table1[[#This Row],[DUT Adj Read]]="N/A",Table1[[#This Row],[Std Adj Read]]="N/A"),"N/A",IF(Table1[[#This Row],[DUT Adj Read]]="N/A",IF(Table1[[#This Row],[Std Adj Read]]&lt;=Table1[[#This Row],[High Tol]],"Pass","Fail"),IF(Table1[[#This Row],[DUT Adj Read]]&lt;=Table1[[#This Row],[High Tol]],"Pass","Fail")))</f>
        <v>Fail</v>
      </c>
      <c r="AH6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2" s="1" t="b">
        <v>0</v>
      </c>
      <c r="AN672" s="1" t="b">
        <v>0</v>
      </c>
      <c r="AO672" s="1" t="b">
        <v>0</v>
      </c>
    </row>
    <row r="673" spans="1:41" x14ac:dyDescent="0.25">
      <c r="A673" s="10"/>
      <c r="B673" s="10"/>
      <c r="C673" s="10"/>
      <c r="D673" s="10"/>
      <c r="E673" s="10"/>
      <c r="F673" s="10"/>
      <c r="G673" s="10"/>
      <c r="H673" s="10"/>
      <c r="I673" s="1" t="str">
        <f t="shared" si="30"/>
        <v/>
      </c>
      <c r="J673" s="1" t="s">
        <v>35</v>
      </c>
      <c r="K673" s="1" t="str">
        <f t="shared" si="31"/>
        <v/>
      </c>
      <c r="L673" s="1" t="str">
        <f t="shared" si="32"/>
        <v/>
      </c>
      <c r="M673" s="1">
        <f>IF(OR(Table1[[#This Row],[Std Nom]]="",Table1[[#This Row],[Std Read]]=""),0,Table1[[#This Row],[Std Nom]]-Table1[[#This Row],[Std Read]])</f>
        <v>0</v>
      </c>
      <c r="N673" s="1">
        <f>IF(Calculations!$F$5="ACCREDITED 17025 WITH UNCERTAINTIES",$N$10,0)</f>
        <v>0</v>
      </c>
      <c r="Q673" s="1">
        <f>Table1[[#This Row],[High Tol]]-Table1[[#This Row],[Low Tol]]</f>
        <v>0</v>
      </c>
      <c r="R673" s="1">
        <f>2*Table1[[#This Row],[Std Error]]</f>
        <v>0</v>
      </c>
      <c r="S673" s="1" t="str">
        <f>IF(Table1[[#This Row],[High Tol]]="","N/A",IFERROR(ABS(Table1[[#This Row],[Tol Span]]/Table1[[#This Row],[Error Span]]),"N/A"))</f>
        <v>N/A</v>
      </c>
      <c r="T673" s="1" t="str">
        <f>IF(OR(Table1[[#This Row],[Low Tol]]="",Table1[[#This Row],[High Tol]]=""),"Needs Analysis",IF(Table1[[#This Row],[Ratio]]&gt;=4,"Not Significant",IF(Table1[[#This Row],[Ratio]]&gt;=2,"Semi-Significant","Significant")))</f>
        <v>Needs Analysis</v>
      </c>
      <c r="W673" s="1">
        <f>IF(Table1[[#This Row],[Cal Type]]&lt;&gt;"ACCREDITED 17025 WITH UNCERTAINTIES",0,"")</f>
        <v>0</v>
      </c>
      <c r="X673" s="1" t="str">
        <f>IF(Table1[[#This Row],[DUT Read]]="","N/A",Table1[[#This Row],[Std Error]]+Table1[[#This Row],[DUT Read]]+Table1[[#This Row],[DUT Ucty]])</f>
        <v>N/A</v>
      </c>
      <c r="Y673" s="1" t="str">
        <f>IF(Table1[[#This Row],[Std Read]]="","N/A",Table1[[#This Row],[Std Read]]+Table1[[#This Row],[Std Ucty]])</f>
        <v>N/A</v>
      </c>
      <c r="Z6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3" s="1" t="str">
        <f>IF(Table1[[#This Row],[Spec Type]]="","N/A",Table1[[#This Row],[Spec Type]])</f>
        <v>±</v>
      </c>
      <c r="AC673" s="1" t="str">
        <f>IF(Table1[[#This Row],[Spec Type2]]="N/A","N/A",IF(AND(Table1[[#This Row],[DUT Adj Read]]&gt;=Table1[[#This Row],[Low Tol]],Table1[[#This Row],[DUT Adj Read]]&lt;=Table1[[#This Row],[High Tol]]),"Pass","Fail"))</f>
        <v>Fail</v>
      </c>
      <c r="AD673" s="1" t="str">
        <f>IF(AND(Table1[[#This Row],[Spec Type2]]="N/A",Table1[[#This Row],[DUT Adj Read]]="N/A",Table1[[#This Row],[Std Adj Read]]="N/A"),"N/A",IF(Table1[[#This Row],[DUT Adj Read]]="N/A",IF(Table1[[#This Row],[Std Adj Read]]&gt;Table1[[#This Row],[Low Tol]],"Pass","Fail"),IF(Table1[[#This Row],[DUT Adj Read]]&gt;Table1[[#This Row],[Low Tol]],"Pass","Fail")))</f>
        <v>Pass</v>
      </c>
      <c r="AE673" s="1" t="str">
        <f>IF(AND(Table1[[#This Row],[Spec Type2]]="N/A",Table1[[#This Row],[DUT Adj Read]]="N/A",Table1[[#This Row],[Std Adj Read]]="N/A"),"N/A",IF(Table1[[#This Row],[DUT Adj Read]]="N/A",IF(Table1[[#This Row],[Std Adj Read]]&lt;Table1[[#This Row],[High Tol]],"Pass","Fail"),IF(Table1[[#This Row],[DUT Adj Read]]&lt;Table1[[#This Row],[High Tol]],"Pass","Fail")))</f>
        <v>Fail</v>
      </c>
      <c r="AF673" s="1" t="str">
        <f>IF(AND(Table1[[#This Row],[Spec Type2]]="N/A",Table1[[#This Row],[DUT Adj Read]]="N/A",Table1[[#This Row],[Std Adj Read]]="N/A"),"N/A",IF(Table1[[#This Row],[DUT Adj Read]]="N/A",IF(Table1[[#This Row],[Std Adj Read]]&gt;=Table1[[#This Row],[Low Tol]],"Pass","Fail"),IF(Table1[[#This Row],[DUT Adj Read]]&gt;=Table1[[#This Row],[Low Tol]],"Pass","Fail")))</f>
        <v>Pass</v>
      </c>
      <c r="AG673" s="1" t="str">
        <f>IF(AND(Table1[[#This Row],[Spec Type2]]="N/A",Table1[[#This Row],[DUT Adj Read]]="N/A",Table1[[#This Row],[Std Adj Read]]="N/A"),"N/A",IF(Table1[[#This Row],[DUT Adj Read]]="N/A",IF(Table1[[#This Row],[Std Adj Read]]&lt;=Table1[[#This Row],[High Tol]],"Pass","Fail"),IF(Table1[[#This Row],[DUT Adj Read]]&lt;=Table1[[#This Row],[High Tol]],"Pass","Fail")))</f>
        <v>Fail</v>
      </c>
      <c r="AH6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3" s="1" t="b">
        <v>0</v>
      </c>
      <c r="AN673" s="1" t="b">
        <v>0</v>
      </c>
      <c r="AO673" s="1" t="b">
        <v>0</v>
      </c>
    </row>
    <row r="674" spans="1:41" x14ac:dyDescent="0.25">
      <c r="A674" s="10"/>
      <c r="B674" s="10"/>
      <c r="C674" s="10"/>
      <c r="D674" s="10"/>
      <c r="E674" s="10"/>
      <c r="F674" s="10"/>
      <c r="G674" s="10"/>
      <c r="H674" s="10"/>
      <c r="I674" s="1" t="str">
        <f t="shared" si="30"/>
        <v/>
      </c>
      <c r="J674" s="1" t="s">
        <v>35</v>
      </c>
      <c r="K674" s="1" t="str">
        <f t="shared" si="31"/>
        <v/>
      </c>
      <c r="L674" s="1" t="str">
        <f t="shared" si="32"/>
        <v/>
      </c>
      <c r="M674" s="1">
        <f>IF(OR(Table1[[#This Row],[Std Nom]]="",Table1[[#This Row],[Std Read]]=""),0,Table1[[#This Row],[Std Nom]]-Table1[[#This Row],[Std Read]])</f>
        <v>0</v>
      </c>
      <c r="N674" s="1">
        <f>IF(Calculations!$F$5="ACCREDITED 17025 WITH UNCERTAINTIES",$N$10,0)</f>
        <v>0</v>
      </c>
      <c r="Q674" s="1">
        <f>Table1[[#This Row],[High Tol]]-Table1[[#This Row],[Low Tol]]</f>
        <v>0</v>
      </c>
      <c r="R674" s="1">
        <f>2*Table1[[#This Row],[Std Error]]</f>
        <v>0</v>
      </c>
      <c r="S674" s="1" t="str">
        <f>IF(Table1[[#This Row],[High Tol]]="","N/A",IFERROR(ABS(Table1[[#This Row],[Tol Span]]/Table1[[#This Row],[Error Span]]),"N/A"))</f>
        <v>N/A</v>
      </c>
      <c r="T674" s="1" t="str">
        <f>IF(OR(Table1[[#This Row],[Low Tol]]="",Table1[[#This Row],[High Tol]]=""),"Needs Analysis",IF(Table1[[#This Row],[Ratio]]&gt;=4,"Not Significant",IF(Table1[[#This Row],[Ratio]]&gt;=2,"Semi-Significant","Significant")))</f>
        <v>Needs Analysis</v>
      </c>
      <c r="W674" s="1">
        <f>IF(Table1[[#This Row],[Cal Type]]&lt;&gt;"ACCREDITED 17025 WITH UNCERTAINTIES",0,"")</f>
        <v>0</v>
      </c>
      <c r="X674" s="1" t="str">
        <f>IF(Table1[[#This Row],[DUT Read]]="","N/A",Table1[[#This Row],[Std Error]]+Table1[[#This Row],[DUT Read]]+Table1[[#This Row],[DUT Ucty]])</f>
        <v>N/A</v>
      </c>
      <c r="Y674" s="1" t="str">
        <f>IF(Table1[[#This Row],[Std Read]]="","N/A",Table1[[#This Row],[Std Read]]+Table1[[#This Row],[Std Ucty]])</f>
        <v>N/A</v>
      </c>
      <c r="Z6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4" s="1" t="str">
        <f>IF(Table1[[#This Row],[Spec Type]]="","N/A",Table1[[#This Row],[Spec Type]])</f>
        <v>±</v>
      </c>
      <c r="AC674" s="1" t="str">
        <f>IF(Table1[[#This Row],[Spec Type2]]="N/A","N/A",IF(AND(Table1[[#This Row],[DUT Adj Read]]&gt;=Table1[[#This Row],[Low Tol]],Table1[[#This Row],[DUT Adj Read]]&lt;=Table1[[#This Row],[High Tol]]),"Pass","Fail"))</f>
        <v>Fail</v>
      </c>
      <c r="AD674" s="1" t="str">
        <f>IF(AND(Table1[[#This Row],[Spec Type2]]="N/A",Table1[[#This Row],[DUT Adj Read]]="N/A",Table1[[#This Row],[Std Adj Read]]="N/A"),"N/A",IF(Table1[[#This Row],[DUT Adj Read]]="N/A",IF(Table1[[#This Row],[Std Adj Read]]&gt;Table1[[#This Row],[Low Tol]],"Pass","Fail"),IF(Table1[[#This Row],[DUT Adj Read]]&gt;Table1[[#This Row],[Low Tol]],"Pass","Fail")))</f>
        <v>Pass</v>
      </c>
      <c r="AE674" s="1" t="str">
        <f>IF(AND(Table1[[#This Row],[Spec Type2]]="N/A",Table1[[#This Row],[DUT Adj Read]]="N/A",Table1[[#This Row],[Std Adj Read]]="N/A"),"N/A",IF(Table1[[#This Row],[DUT Adj Read]]="N/A",IF(Table1[[#This Row],[Std Adj Read]]&lt;Table1[[#This Row],[High Tol]],"Pass","Fail"),IF(Table1[[#This Row],[DUT Adj Read]]&lt;Table1[[#This Row],[High Tol]],"Pass","Fail")))</f>
        <v>Fail</v>
      </c>
      <c r="AF674" s="1" t="str">
        <f>IF(AND(Table1[[#This Row],[Spec Type2]]="N/A",Table1[[#This Row],[DUT Adj Read]]="N/A",Table1[[#This Row],[Std Adj Read]]="N/A"),"N/A",IF(Table1[[#This Row],[DUT Adj Read]]="N/A",IF(Table1[[#This Row],[Std Adj Read]]&gt;=Table1[[#This Row],[Low Tol]],"Pass","Fail"),IF(Table1[[#This Row],[DUT Adj Read]]&gt;=Table1[[#This Row],[Low Tol]],"Pass","Fail")))</f>
        <v>Pass</v>
      </c>
      <c r="AG674" s="1" t="str">
        <f>IF(AND(Table1[[#This Row],[Spec Type2]]="N/A",Table1[[#This Row],[DUT Adj Read]]="N/A",Table1[[#This Row],[Std Adj Read]]="N/A"),"N/A",IF(Table1[[#This Row],[DUT Adj Read]]="N/A",IF(Table1[[#This Row],[Std Adj Read]]&lt;=Table1[[#This Row],[High Tol]],"Pass","Fail"),IF(Table1[[#This Row],[DUT Adj Read]]&lt;=Table1[[#This Row],[High Tol]],"Pass","Fail")))</f>
        <v>Fail</v>
      </c>
      <c r="AH6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4" s="1" t="b">
        <v>0</v>
      </c>
      <c r="AN674" s="1" t="b">
        <v>0</v>
      </c>
      <c r="AO674" s="1" t="b">
        <v>0</v>
      </c>
    </row>
    <row r="675" spans="1:41" x14ac:dyDescent="0.25">
      <c r="A675" s="10"/>
      <c r="B675" s="10"/>
      <c r="C675" s="10"/>
      <c r="D675" s="10"/>
      <c r="E675" s="10"/>
      <c r="F675" s="10"/>
      <c r="G675" s="10"/>
      <c r="H675" s="10"/>
      <c r="I675" s="1" t="str">
        <f t="shared" si="30"/>
        <v/>
      </c>
      <c r="J675" s="1" t="s">
        <v>35</v>
      </c>
      <c r="K675" s="1" t="str">
        <f t="shared" si="31"/>
        <v/>
      </c>
      <c r="L675" s="1" t="str">
        <f t="shared" si="32"/>
        <v/>
      </c>
      <c r="M675" s="1">
        <f>IF(OR(Table1[[#This Row],[Std Nom]]="",Table1[[#This Row],[Std Read]]=""),0,Table1[[#This Row],[Std Nom]]-Table1[[#This Row],[Std Read]])</f>
        <v>0</v>
      </c>
      <c r="N675" s="1">
        <f>IF(Calculations!$F$5="ACCREDITED 17025 WITH UNCERTAINTIES",$N$10,0)</f>
        <v>0</v>
      </c>
      <c r="Q675" s="1">
        <f>Table1[[#This Row],[High Tol]]-Table1[[#This Row],[Low Tol]]</f>
        <v>0</v>
      </c>
      <c r="R675" s="1">
        <f>2*Table1[[#This Row],[Std Error]]</f>
        <v>0</v>
      </c>
      <c r="S675" s="1" t="str">
        <f>IF(Table1[[#This Row],[High Tol]]="","N/A",IFERROR(ABS(Table1[[#This Row],[Tol Span]]/Table1[[#This Row],[Error Span]]),"N/A"))</f>
        <v>N/A</v>
      </c>
      <c r="T675" s="1" t="str">
        <f>IF(OR(Table1[[#This Row],[Low Tol]]="",Table1[[#This Row],[High Tol]]=""),"Needs Analysis",IF(Table1[[#This Row],[Ratio]]&gt;=4,"Not Significant",IF(Table1[[#This Row],[Ratio]]&gt;=2,"Semi-Significant","Significant")))</f>
        <v>Needs Analysis</v>
      </c>
      <c r="W675" s="1">
        <f>IF(Table1[[#This Row],[Cal Type]]&lt;&gt;"ACCREDITED 17025 WITH UNCERTAINTIES",0,"")</f>
        <v>0</v>
      </c>
      <c r="X675" s="1" t="str">
        <f>IF(Table1[[#This Row],[DUT Read]]="","N/A",Table1[[#This Row],[Std Error]]+Table1[[#This Row],[DUT Read]]+Table1[[#This Row],[DUT Ucty]])</f>
        <v>N/A</v>
      </c>
      <c r="Y675" s="1" t="str">
        <f>IF(Table1[[#This Row],[Std Read]]="","N/A",Table1[[#This Row],[Std Read]]+Table1[[#This Row],[Std Ucty]])</f>
        <v>N/A</v>
      </c>
      <c r="Z6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5" s="1" t="str">
        <f>IF(Table1[[#This Row],[Spec Type]]="","N/A",Table1[[#This Row],[Spec Type]])</f>
        <v>±</v>
      </c>
      <c r="AC675" s="1" t="str">
        <f>IF(Table1[[#This Row],[Spec Type2]]="N/A","N/A",IF(AND(Table1[[#This Row],[DUT Adj Read]]&gt;=Table1[[#This Row],[Low Tol]],Table1[[#This Row],[DUT Adj Read]]&lt;=Table1[[#This Row],[High Tol]]),"Pass","Fail"))</f>
        <v>Fail</v>
      </c>
      <c r="AD675" s="1" t="str">
        <f>IF(AND(Table1[[#This Row],[Spec Type2]]="N/A",Table1[[#This Row],[DUT Adj Read]]="N/A",Table1[[#This Row],[Std Adj Read]]="N/A"),"N/A",IF(Table1[[#This Row],[DUT Adj Read]]="N/A",IF(Table1[[#This Row],[Std Adj Read]]&gt;Table1[[#This Row],[Low Tol]],"Pass","Fail"),IF(Table1[[#This Row],[DUT Adj Read]]&gt;Table1[[#This Row],[Low Tol]],"Pass","Fail")))</f>
        <v>Pass</v>
      </c>
      <c r="AE675" s="1" t="str">
        <f>IF(AND(Table1[[#This Row],[Spec Type2]]="N/A",Table1[[#This Row],[DUT Adj Read]]="N/A",Table1[[#This Row],[Std Adj Read]]="N/A"),"N/A",IF(Table1[[#This Row],[DUT Adj Read]]="N/A",IF(Table1[[#This Row],[Std Adj Read]]&lt;Table1[[#This Row],[High Tol]],"Pass","Fail"),IF(Table1[[#This Row],[DUT Adj Read]]&lt;Table1[[#This Row],[High Tol]],"Pass","Fail")))</f>
        <v>Fail</v>
      </c>
      <c r="AF675" s="1" t="str">
        <f>IF(AND(Table1[[#This Row],[Spec Type2]]="N/A",Table1[[#This Row],[DUT Adj Read]]="N/A",Table1[[#This Row],[Std Adj Read]]="N/A"),"N/A",IF(Table1[[#This Row],[DUT Adj Read]]="N/A",IF(Table1[[#This Row],[Std Adj Read]]&gt;=Table1[[#This Row],[Low Tol]],"Pass","Fail"),IF(Table1[[#This Row],[DUT Adj Read]]&gt;=Table1[[#This Row],[Low Tol]],"Pass","Fail")))</f>
        <v>Pass</v>
      </c>
      <c r="AG675" s="1" t="str">
        <f>IF(AND(Table1[[#This Row],[Spec Type2]]="N/A",Table1[[#This Row],[DUT Adj Read]]="N/A",Table1[[#This Row],[Std Adj Read]]="N/A"),"N/A",IF(Table1[[#This Row],[DUT Adj Read]]="N/A",IF(Table1[[#This Row],[Std Adj Read]]&lt;=Table1[[#This Row],[High Tol]],"Pass","Fail"),IF(Table1[[#This Row],[DUT Adj Read]]&lt;=Table1[[#This Row],[High Tol]],"Pass","Fail")))</f>
        <v>Fail</v>
      </c>
      <c r="AH6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5" s="1" t="b">
        <v>0</v>
      </c>
      <c r="AN675" s="1" t="b">
        <v>0</v>
      </c>
      <c r="AO675" s="1" t="b">
        <v>0</v>
      </c>
    </row>
    <row r="676" spans="1:41" x14ac:dyDescent="0.25">
      <c r="A676" s="10"/>
      <c r="B676" s="10"/>
      <c r="C676" s="10"/>
      <c r="D676" s="10"/>
      <c r="E676" s="10"/>
      <c r="F676" s="10"/>
      <c r="G676" s="10"/>
      <c r="H676" s="10"/>
      <c r="I676" s="1" t="str">
        <f t="shared" si="30"/>
        <v/>
      </c>
      <c r="J676" s="1" t="s">
        <v>35</v>
      </c>
      <c r="K676" s="1" t="str">
        <f t="shared" si="31"/>
        <v/>
      </c>
      <c r="L676" s="1" t="str">
        <f t="shared" si="32"/>
        <v/>
      </c>
      <c r="M676" s="1">
        <f>IF(OR(Table1[[#This Row],[Std Nom]]="",Table1[[#This Row],[Std Read]]=""),0,Table1[[#This Row],[Std Nom]]-Table1[[#This Row],[Std Read]])</f>
        <v>0</v>
      </c>
      <c r="N676" s="1">
        <f>IF(Calculations!$F$5="ACCREDITED 17025 WITH UNCERTAINTIES",$N$10,0)</f>
        <v>0</v>
      </c>
      <c r="Q676" s="1">
        <f>Table1[[#This Row],[High Tol]]-Table1[[#This Row],[Low Tol]]</f>
        <v>0</v>
      </c>
      <c r="R676" s="1">
        <f>2*Table1[[#This Row],[Std Error]]</f>
        <v>0</v>
      </c>
      <c r="S676" s="1" t="str">
        <f>IF(Table1[[#This Row],[High Tol]]="","N/A",IFERROR(ABS(Table1[[#This Row],[Tol Span]]/Table1[[#This Row],[Error Span]]),"N/A"))</f>
        <v>N/A</v>
      </c>
      <c r="T676" s="1" t="str">
        <f>IF(OR(Table1[[#This Row],[Low Tol]]="",Table1[[#This Row],[High Tol]]=""),"Needs Analysis",IF(Table1[[#This Row],[Ratio]]&gt;=4,"Not Significant",IF(Table1[[#This Row],[Ratio]]&gt;=2,"Semi-Significant","Significant")))</f>
        <v>Needs Analysis</v>
      </c>
      <c r="W676" s="1">
        <f>IF(Table1[[#This Row],[Cal Type]]&lt;&gt;"ACCREDITED 17025 WITH UNCERTAINTIES",0,"")</f>
        <v>0</v>
      </c>
      <c r="X676" s="1" t="str">
        <f>IF(Table1[[#This Row],[DUT Read]]="","N/A",Table1[[#This Row],[Std Error]]+Table1[[#This Row],[DUT Read]]+Table1[[#This Row],[DUT Ucty]])</f>
        <v>N/A</v>
      </c>
      <c r="Y676" s="1" t="str">
        <f>IF(Table1[[#This Row],[Std Read]]="","N/A",Table1[[#This Row],[Std Read]]+Table1[[#This Row],[Std Ucty]])</f>
        <v>N/A</v>
      </c>
      <c r="Z6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6" s="1" t="str">
        <f>IF(Table1[[#This Row],[Spec Type]]="","N/A",Table1[[#This Row],[Spec Type]])</f>
        <v>±</v>
      </c>
      <c r="AC676" s="1" t="str">
        <f>IF(Table1[[#This Row],[Spec Type2]]="N/A","N/A",IF(AND(Table1[[#This Row],[DUT Adj Read]]&gt;=Table1[[#This Row],[Low Tol]],Table1[[#This Row],[DUT Adj Read]]&lt;=Table1[[#This Row],[High Tol]]),"Pass","Fail"))</f>
        <v>Fail</v>
      </c>
      <c r="AD676" s="1" t="str">
        <f>IF(AND(Table1[[#This Row],[Spec Type2]]="N/A",Table1[[#This Row],[DUT Adj Read]]="N/A",Table1[[#This Row],[Std Adj Read]]="N/A"),"N/A",IF(Table1[[#This Row],[DUT Adj Read]]="N/A",IF(Table1[[#This Row],[Std Adj Read]]&gt;Table1[[#This Row],[Low Tol]],"Pass","Fail"),IF(Table1[[#This Row],[DUT Adj Read]]&gt;Table1[[#This Row],[Low Tol]],"Pass","Fail")))</f>
        <v>Pass</v>
      </c>
      <c r="AE676" s="1" t="str">
        <f>IF(AND(Table1[[#This Row],[Spec Type2]]="N/A",Table1[[#This Row],[DUT Adj Read]]="N/A",Table1[[#This Row],[Std Adj Read]]="N/A"),"N/A",IF(Table1[[#This Row],[DUT Adj Read]]="N/A",IF(Table1[[#This Row],[Std Adj Read]]&lt;Table1[[#This Row],[High Tol]],"Pass","Fail"),IF(Table1[[#This Row],[DUT Adj Read]]&lt;Table1[[#This Row],[High Tol]],"Pass","Fail")))</f>
        <v>Fail</v>
      </c>
      <c r="AF676" s="1" t="str">
        <f>IF(AND(Table1[[#This Row],[Spec Type2]]="N/A",Table1[[#This Row],[DUT Adj Read]]="N/A",Table1[[#This Row],[Std Adj Read]]="N/A"),"N/A",IF(Table1[[#This Row],[DUT Adj Read]]="N/A",IF(Table1[[#This Row],[Std Adj Read]]&gt;=Table1[[#This Row],[Low Tol]],"Pass","Fail"),IF(Table1[[#This Row],[DUT Adj Read]]&gt;=Table1[[#This Row],[Low Tol]],"Pass","Fail")))</f>
        <v>Pass</v>
      </c>
      <c r="AG676" s="1" t="str">
        <f>IF(AND(Table1[[#This Row],[Spec Type2]]="N/A",Table1[[#This Row],[DUT Adj Read]]="N/A",Table1[[#This Row],[Std Adj Read]]="N/A"),"N/A",IF(Table1[[#This Row],[DUT Adj Read]]="N/A",IF(Table1[[#This Row],[Std Adj Read]]&lt;=Table1[[#This Row],[High Tol]],"Pass","Fail"),IF(Table1[[#This Row],[DUT Adj Read]]&lt;=Table1[[#This Row],[High Tol]],"Pass","Fail")))</f>
        <v>Fail</v>
      </c>
      <c r="AH6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6" s="1" t="b">
        <v>0</v>
      </c>
      <c r="AN676" s="1" t="b">
        <v>0</v>
      </c>
      <c r="AO676" s="1" t="b">
        <v>0</v>
      </c>
    </row>
    <row r="677" spans="1:41" x14ac:dyDescent="0.25">
      <c r="A677" s="10"/>
      <c r="B677" s="10"/>
      <c r="C677" s="10"/>
      <c r="D677" s="10"/>
      <c r="E677" s="10"/>
      <c r="F677" s="10"/>
      <c r="G677" s="10"/>
      <c r="H677" s="10"/>
      <c r="I677" s="1" t="str">
        <f t="shared" si="30"/>
        <v/>
      </c>
      <c r="J677" s="1" t="s">
        <v>35</v>
      </c>
      <c r="K677" s="1" t="str">
        <f t="shared" si="31"/>
        <v/>
      </c>
      <c r="L677" s="1" t="str">
        <f t="shared" si="32"/>
        <v/>
      </c>
      <c r="M677" s="1">
        <f>IF(OR(Table1[[#This Row],[Std Nom]]="",Table1[[#This Row],[Std Read]]=""),0,Table1[[#This Row],[Std Nom]]-Table1[[#This Row],[Std Read]])</f>
        <v>0</v>
      </c>
      <c r="N677" s="1">
        <f>IF(Calculations!$F$5="ACCREDITED 17025 WITH UNCERTAINTIES",$N$10,0)</f>
        <v>0</v>
      </c>
      <c r="Q677" s="1">
        <f>Table1[[#This Row],[High Tol]]-Table1[[#This Row],[Low Tol]]</f>
        <v>0</v>
      </c>
      <c r="R677" s="1">
        <f>2*Table1[[#This Row],[Std Error]]</f>
        <v>0</v>
      </c>
      <c r="S677" s="1" t="str">
        <f>IF(Table1[[#This Row],[High Tol]]="","N/A",IFERROR(ABS(Table1[[#This Row],[Tol Span]]/Table1[[#This Row],[Error Span]]),"N/A"))</f>
        <v>N/A</v>
      </c>
      <c r="T677" s="1" t="str">
        <f>IF(OR(Table1[[#This Row],[Low Tol]]="",Table1[[#This Row],[High Tol]]=""),"Needs Analysis",IF(Table1[[#This Row],[Ratio]]&gt;=4,"Not Significant",IF(Table1[[#This Row],[Ratio]]&gt;=2,"Semi-Significant","Significant")))</f>
        <v>Needs Analysis</v>
      </c>
      <c r="W677" s="1">
        <f>IF(Table1[[#This Row],[Cal Type]]&lt;&gt;"ACCREDITED 17025 WITH UNCERTAINTIES",0,"")</f>
        <v>0</v>
      </c>
      <c r="X677" s="1" t="str">
        <f>IF(Table1[[#This Row],[DUT Read]]="","N/A",Table1[[#This Row],[Std Error]]+Table1[[#This Row],[DUT Read]]+Table1[[#This Row],[DUT Ucty]])</f>
        <v>N/A</v>
      </c>
      <c r="Y677" s="1" t="str">
        <f>IF(Table1[[#This Row],[Std Read]]="","N/A",Table1[[#This Row],[Std Read]]+Table1[[#This Row],[Std Ucty]])</f>
        <v>N/A</v>
      </c>
      <c r="Z6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7" s="1" t="str">
        <f>IF(Table1[[#This Row],[Spec Type]]="","N/A",Table1[[#This Row],[Spec Type]])</f>
        <v>±</v>
      </c>
      <c r="AC677" s="1" t="str">
        <f>IF(Table1[[#This Row],[Spec Type2]]="N/A","N/A",IF(AND(Table1[[#This Row],[DUT Adj Read]]&gt;=Table1[[#This Row],[Low Tol]],Table1[[#This Row],[DUT Adj Read]]&lt;=Table1[[#This Row],[High Tol]]),"Pass","Fail"))</f>
        <v>Fail</v>
      </c>
      <c r="AD677" s="1" t="str">
        <f>IF(AND(Table1[[#This Row],[Spec Type2]]="N/A",Table1[[#This Row],[DUT Adj Read]]="N/A",Table1[[#This Row],[Std Adj Read]]="N/A"),"N/A",IF(Table1[[#This Row],[DUT Adj Read]]="N/A",IF(Table1[[#This Row],[Std Adj Read]]&gt;Table1[[#This Row],[Low Tol]],"Pass","Fail"),IF(Table1[[#This Row],[DUT Adj Read]]&gt;Table1[[#This Row],[Low Tol]],"Pass","Fail")))</f>
        <v>Pass</v>
      </c>
      <c r="AE677" s="1" t="str">
        <f>IF(AND(Table1[[#This Row],[Spec Type2]]="N/A",Table1[[#This Row],[DUT Adj Read]]="N/A",Table1[[#This Row],[Std Adj Read]]="N/A"),"N/A",IF(Table1[[#This Row],[DUT Adj Read]]="N/A",IF(Table1[[#This Row],[Std Adj Read]]&lt;Table1[[#This Row],[High Tol]],"Pass","Fail"),IF(Table1[[#This Row],[DUT Adj Read]]&lt;Table1[[#This Row],[High Tol]],"Pass","Fail")))</f>
        <v>Fail</v>
      </c>
      <c r="AF677" s="1" t="str">
        <f>IF(AND(Table1[[#This Row],[Spec Type2]]="N/A",Table1[[#This Row],[DUT Adj Read]]="N/A",Table1[[#This Row],[Std Adj Read]]="N/A"),"N/A",IF(Table1[[#This Row],[DUT Adj Read]]="N/A",IF(Table1[[#This Row],[Std Adj Read]]&gt;=Table1[[#This Row],[Low Tol]],"Pass","Fail"),IF(Table1[[#This Row],[DUT Adj Read]]&gt;=Table1[[#This Row],[Low Tol]],"Pass","Fail")))</f>
        <v>Pass</v>
      </c>
      <c r="AG677" s="1" t="str">
        <f>IF(AND(Table1[[#This Row],[Spec Type2]]="N/A",Table1[[#This Row],[DUT Adj Read]]="N/A",Table1[[#This Row],[Std Adj Read]]="N/A"),"N/A",IF(Table1[[#This Row],[DUT Adj Read]]="N/A",IF(Table1[[#This Row],[Std Adj Read]]&lt;=Table1[[#This Row],[High Tol]],"Pass","Fail"),IF(Table1[[#This Row],[DUT Adj Read]]&lt;=Table1[[#This Row],[High Tol]],"Pass","Fail")))</f>
        <v>Fail</v>
      </c>
      <c r="AH6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7" s="1" t="b">
        <v>0</v>
      </c>
      <c r="AN677" s="1" t="b">
        <v>0</v>
      </c>
      <c r="AO677" s="1" t="b">
        <v>0</v>
      </c>
    </row>
    <row r="678" spans="1:41" x14ac:dyDescent="0.25">
      <c r="A678" s="10"/>
      <c r="B678" s="10"/>
      <c r="C678" s="10"/>
      <c r="D678" s="10"/>
      <c r="E678" s="10"/>
      <c r="F678" s="10"/>
      <c r="G678" s="10"/>
      <c r="H678" s="10"/>
      <c r="I678" s="1" t="str">
        <f t="shared" si="30"/>
        <v/>
      </c>
      <c r="J678" s="1" t="s">
        <v>35</v>
      </c>
      <c r="K678" s="1" t="str">
        <f t="shared" si="31"/>
        <v/>
      </c>
      <c r="L678" s="1" t="str">
        <f t="shared" si="32"/>
        <v/>
      </c>
      <c r="M678" s="1">
        <f>IF(OR(Table1[[#This Row],[Std Nom]]="",Table1[[#This Row],[Std Read]]=""),0,Table1[[#This Row],[Std Nom]]-Table1[[#This Row],[Std Read]])</f>
        <v>0</v>
      </c>
      <c r="N678" s="1">
        <f>IF(Calculations!$F$5="ACCREDITED 17025 WITH UNCERTAINTIES",$N$10,0)</f>
        <v>0</v>
      </c>
      <c r="Q678" s="1">
        <f>Table1[[#This Row],[High Tol]]-Table1[[#This Row],[Low Tol]]</f>
        <v>0</v>
      </c>
      <c r="R678" s="1">
        <f>2*Table1[[#This Row],[Std Error]]</f>
        <v>0</v>
      </c>
      <c r="S678" s="1" t="str">
        <f>IF(Table1[[#This Row],[High Tol]]="","N/A",IFERROR(ABS(Table1[[#This Row],[Tol Span]]/Table1[[#This Row],[Error Span]]),"N/A"))</f>
        <v>N/A</v>
      </c>
      <c r="T678" s="1" t="str">
        <f>IF(OR(Table1[[#This Row],[Low Tol]]="",Table1[[#This Row],[High Tol]]=""),"Needs Analysis",IF(Table1[[#This Row],[Ratio]]&gt;=4,"Not Significant",IF(Table1[[#This Row],[Ratio]]&gt;=2,"Semi-Significant","Significant")))</f>
        <v>Needs Analysis</v>
      </c>
      <c r="W678" s="1">
        <f>IF(Table1[[#This Row],[Cal Type]]&lt;&gt;"ACCREDITED 17025 WITH UNCERTAINTIES",0,"")</f>
        <v>0</v>
      </c>
      <c r="X678" s="1" t="str">
        <f>IF(Table1[[#This Row],[DUT Read]]="","N/A",Table1[[#This Row],[Std Error]]+Table1[[#This Row],[DUT Read]]+Table1[[#This Row],[DUT Ucty]])</f>
        <v>N/A</v>
      </c>
      <c r="Y678" s="1" t="str">
        <f>IF(Table1[[#This Row],[Std Read]]="","N/A",Table1[[#This Row],[Std Read]]+Table1[[#This Row],[Std Ucty]])</f>
        <v>N/A</v>
      </c>
      <c r="Z6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8" s="1" t="str">
        <f>IF(Table1[[#This Row],[Spec Type]]="","N/A",Table1[[#This Row],[Spec Type]])</f>
        <v>±</v>
      </c>
      <c r="AC678" s="1" t="str">
        <f>IF(Table1[[#This Row],[Spec Type2]]="N/A","N/A",IF(AND(Table1[[#This Row],[DUT Adj Read]]&gt;=Table1[[#This Row],[Low Tol]],Table1[[#This Row],[DUT Adj Read]]&lt;=Table1[[#This Row],[High Tol]]),"Pass","Fail"))</f>
        <v>Fail</v>
      </c>
      <c r="AD678" s="1" t="str">
        <f>IF(AND(Table1[[#This Row],[Spec Type2]]="N/A",Table1[[#This Row],[DUT Adj Read]]="N/A",Table1[[#This Row],[Std Adj Read]]="N/A"),"N/A",IF(Table1[[#This Row],[DUT Adj Read]]="N/A",IF(Table1[[#This Row],[Std Adj Read]]&gt;Table1[[#This Row],[Low Tol]],"Pass","Fail"),IF(Table1[[#This Row],[DUT Adj Read]]&gt;Table1[[#This Row],[Low Tol]],"Pass","Fail")))</f>
        <v>Pass</v>
      </c>
      <c r="AE678" s="1" t="str">
        <f>IF(AND(Table1[[#This Row],[Spec Type2]]="N/A",Table1[[#This Row],[DUT Adj Read]]="N/A",Table1[[#This Row],[Std Adj Read]]="N/A"),"N/A",IF(Table1[[#This Row],[DUT Adj Read]]="N/A",IF(Table1[[#This Row],[Std Adj Read]]&lt;Table1[[#This Row],[High Tol]],"Pass","Fail"),IF(Table1[[#This Row],[DUT Adj Read]]&lt;Table1[[#This Row],[High Tol]],"Pass","Fail")))</f>
        <v>Fail</v>
      </c>
      <c r="AF678" s="1" t="str">
        <f>IF(AND(Table1[[#This Row],[Spec Type2]]="N/A",Table1[[#This Row],[DUT Adj Read]]="N/A",Table1[[#This Row],[Std Adj Read]]="N/A"),"N/A",IF(Table1[[#This Row],[DUT Adj Read]]="N/A",IF(Table1[[#This Row],[Std Adj Read]]&gt;=Table1[[#This Row],[Low Tol]],"Pass","Fail"),IF(Table1[[#This Row],[DUT Adj Read]]&gt;=Table1[[#This Row],[Low Tol]],"Pass","Fail")))</f>
        <v>Pass</v>
      </c>
      <c r="AG678" s="1" t="str">
        <f>IF(AND(Table1[[#This Row],[Spec Type2]]="N/A",Table1[[#This Row],[DUT Adj Read]]="N/A",Table1[[#This Row],[Std Adj Read]]="N/A"),"N/A",IF(Table1[[#This Row],[DUT Adj Read]]="N/A",IF(Table1[[#This Row],[Std Adj Read]]&lt;=Table1[[#This Row],[High Tol]],"Pass","Fail"),IF(Table1[[#This Row],[DUT Adj Read]]&lt;=Table1[[#This Row],[High Tol]],"Pass","Fail")))</f>
        <v>Fail</v>
      </c>
      <c r="AH6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8" s="1" t="b">
        <v>0</v>
      </c>
      <c r="AN678" s="1" t="b">
        <v>0</v>
      </c>
      <c r="AO678" s="1" t="b">
        <v>0</v>
      </c>
    </row>
    <row r="679" spans="1:41" x14ac:dyDescent="0.25">
      <c r="A679" s="10"/>
      <c r="B679" s="10"/>
      <c r="C679" s="10"/>
      <c r="D679" s="10"/>
      <c r="E679" s="10"/>
      <c r="F679" s="10"/>
      <c r="G679" s="10"/>
      <c r="H679" s="10"/>
      <c r="I679" s="1" t="str">
        <f t="shared" si="30"/>
        <v/>
      </c>
      <c r="J679" s="1" t="s">
        <v>35</v>
      </c>
      <c r="K679" s="1" t="str">
        <f t="shared" si="31"/>
        <v/>
      </c>
      <c r="L679" s="1" t="str">
        <f t="shared" si="32"/>
        <v/>
      </c>
      <c r="M679" s="1">
        <f>IF(OR(Table1[[#This Row],[Std Nom]]="",Table1[[#This Row],[Std Read]]=""),0,Table1[[#This Row],[Std Nom]]-Table1[[#This Row],[Std Read]])</f>
        <v>0</v>
      </c>
      <c r="N679" s="1">
        <f>IF(Calculations!$F$5="ACCREDITED 17025 WITH UNCERTAINTIES",$N$10,0)</f>
        <v>0</v>
      </c>
      <c r="Q679" s="1">
        <f>Table1[[#This Row],[High Tol]]-Table1[[#This Row],[Low Tol]]</f>
        <v>0</v>
      </c>
      <c r="R679" s="1">
        <f>2*Table1[[#This Row],[Std Error]]</f>
        <v>0</v>
      </c>
      <c r="S679" s="1" t="str">
        <f>IF(Table1[[#This Row],[High Tol]]="","N/A",IFERROR(ABS(Table1[[#This Row],[Tol Span]]/Table1[[#This Row],[Error Span]]),"N/A"))</f>
        <v>N/A</v>
      </c>
      <c r="T679" s="1" t="str">
        <f>IF(OR(Table1[[#This Row],[Low Tol]]="",Table1[[#This Row],[High Tol]]=""),"Needs Analysis",IF(Table1[[#This Row],[Ratio]]&gt;=4,"Not Significant",IF(Table1[[#This Row],[Ratio]]&gt;=2,"Semi-Significant","Significant")))</f>
        <v>Needs Analysis</v>
      </c>
      <c r="W679" s="1">
        <f>IF(Table1[[#This Row],[Cal Type]]&lt;&gt;"ACCREDITED 17025 WITH UNCERTAINTIES",0,"")</f>
        <v>0</v>
      </c>
      <c r="X679" s="1" t="str">
        <f>IF(Table1[[#This Row],[DUT Read]]="","N/A",Table1[[#This Row],[Std Error]]+Table1[[#This Row],[DUT Read]]+Table1[[#This Row],[DUT Ucty]])</f>
        <v>N/A</v>
      </c>
      <c r="Y679" s="1" t="str">
        <f>IF(Table1[[#This Row],[Std Read]]="","N/A",Table1[[#This Row],[Std Read]]+Table1[[#This Row],[Std Ucty]])</f>
        <v>N/A</v>
      </c>
      <c r="Z6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79" s="1" t="str">
        <f>IF(Table1[[#This Row],[Spec Type]]="","N/A",Table1[[#This Row],[Spec Type]])</f>
        <v>±</v>
      </c>
      <c r="AC679" s="1" t="str">
        <f>IF(Table1[[#This Row],[Spec Type2]]="N/A","N/A",IF(AND(Table1[[#This Row],[DUT Adj Read]]&gt;=Table1[[#This Row],[Low Tol]],Table1[[#This Row],[DUT Adj Read]]&lt;=Table1[[#This Row],[High Tol]]),"Pass","Fail"))</f>
        <v>Fail</v>
      </c>
      <c r="AD679" s="1" t="str">
        <f>IF(AND(Table1[[#This Row],[Spec Type2]]="N/A",Table1[[#This Row],[DUT Adj Read]]="N/A",Table1[[#This Row],[Std Adj Read]]="N/A"),"N/A",IF(Table1[[#This Row],[DUT Adj Read]]="N/A",IF(Table1[[#This Row],[Std Adj Read]]&gt;Table1[[#This Row],[Low Tol]],"Pass","Fail"),IF(Table1[[#This Row],[DUT Adj Read]]&gt;Table1[[#This Row],[Low Tol]],"Pass","Fail")))</f>
        <v>Pass</v>
      </c>
      <c r="AE679" s="1" t="str">
        <f>IF(AND(Table1[[#This Row],[Spec Type2]]="N/A",Table1[[#This Row],[DUT Adj Read]]="N/A",Table1[[#This Row],[Std Adj Read]]="N/A"),"N/A",IF(Table1[[#This Row],[DUT Adj Read]]="N/A",IF(Table1[[#This Row],[Std Adj Read]]&lt;Table1[[#This Row],[High Tol]],"Pass","Fail"),IF(Table1[[#This Row],[DUT Adj Read]]&lt;Table1[[#This Row],[High Tol]],"Pass","Fail")))</f>
        <v>Fail</v>
      </c>
      <c r="AF679" s="1" t="str">
        <f>IF(AND(Table1[[#This Row],[Spec Type2]]="N/A",Table1[[#This Row],[DUT Adj Read]]="N/A",Table1[[#This Row],[Std Adj Read]]="N/A"),"N/A",IF(Table1[[#This Row],[DUT Adj Read]]="N/A",IF(Table1[[#This Row],[Std Adj Read]]&gt;=Table1[[#This Row],[Low Tol]],"Pass","Fail"),IF(Table1[[#This Row],[DUT Adj Read]]&gt;=Table1[[#This Row],[Low Tol]],"Pass","Fail")))</f>
        <v>Pass</v>
      </c>
      <c r="AG679" s="1" t="str">
        <f>IF(AND(Table1[[#This Row],[Spec Type2]]="N/A",Table1[[#This Row],[DUT Adj Read]]="N/A",Table1[[#This Row],[Std Adj Read]]="N/A"),"N/A",IF(Table1[[#This Row],[DUT Adj Read]]="N/A",IF(Table1[[#This Row],[Std Adj Read]]&lt;=Table1[[#This Row],[High Tol]],"Pass","Fail"),IF(Table1[[#This Row],[DUT Adj Read]]&lt;=Table1[[#This Row],[High Tol]],"Pass","Fail")))</f>
        <v>Fail</v>
      </c>
      <c r="AH6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79" s="1" t="b">
        <v>0</v>
      </c>
      <c r="AN679" s="1" t="b">
        <v>0</v>
      </c>
      <c r="AO679" s="1" t="b">
        <v>0</v>
      </c>
    </row>
    <row r="680" spans="1:41" x14ac:dyDescent="0.25">
      <c r="A680" s="10"/>
      <c r="B680" s="10"/>
      <c r="C680" s="10"/>
      <c r="D680" s="10"/>
      <c r="E680" s="10"/>
      <c r="F680" s="10"/>
      <c r="G680" s="10"/>
      <c r="H680" s="10"/>
      <c r="I680" s="1" t="str">
        <f t="shared" si="30"/>
        <v/>
      </c>
      <c r="J680" s="1" t="s">
        <v>35</v>
      </c>
      <c r="K680" s="1" t="str">
        <f t="shared" si="31"/>
        <v/>
      </c>
      <c r="L680" s="1" t="str">
        <f t="shared" si="32"/>
        <v/>
      </c>
      <c r="M680" s="1">
        <f>IF(OR(Table1[[#This Row],[Std Nom]]="",Table1[[#This Row],[Std Read]]=""),0,Table1[[#This Row],[Std Nom]]-Table1[[#This Row],[Std Read]])</f>
        <v>0</v>
      </c>
      <c r="N680" s="1">
        <f>IF(Calculations!$F$5="ACCREDITED 17025 WITH UNCERTAINTIES",$N$10,0)</f>
        <v>0</v>
      </c>
      <c r="Q680" s="1">
        <f>Table1[[#This Row],[High Tol]]-Table1[[#This Row],[Low Tol]]</f>
        <v>0</v>
      </c>
      <c r="R680" s="1">
        <f>2*Table1[[#This Row],[Std Error]]</f>
        <v>0</v>
      </c>
      <c r="S680" s="1" t="str">
        <f>IF(Table1[[#This Row],[High Tol]]="","N/A",IFERROR(ABS(Table1[[#This Row],[Tol Span]]/Table1[[#This Row],[Error Span]]),"N/A"))</f>
        <v>N/A</v>
      </c>
      <c r="T680" s="1" t="str">
        <f>IF(OR(Table1[[#This Row],[Low Tol]]="",Table1[[#This Row],[High Tol]]=""),"Needs Analysis",IF(Table1[[#This Row],[Ratio]]&gt;=4,"Not Significant",IF(Table1[[#This Row],[Ratio]]&gt;=2,"Semi-Significant","Significant")))</f>
        <v>Needs Analysis</v>
      </c>
      <c r="W680" s="1">
        <f>IF(Table1[[#This Row],[Cal Type]]&lt;&gt;"ACCREDITED 17025 WITH UNCERTAINTIES",0,"")</f>
        <v>0</v>
      </c>
      <c r="X680" s="1" t="str">
        <f>IF(Table1[[#This Row],[DUT Read]]="","N/A",Table1[[#This Row],[Std Error]]+Table1[[#This Row],[DUT Read]]+Table1[[#This Row],[DUT Ucty]])</f>
        <v>N/A</v>
      </c>
      <c r="Y680" s="1" t="str">
        <f>IF(Table1[[#This Row],[Std Read]]="","N/A",Table1[[#This Row],[Std Read]]+Table1[[#This Row],[Std Ucty]])</f>
        <v>N/A</v>
      </c>
      <c r="Z6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0" s="1" t="str">
        <f>IF(Table1[[#This Row],[Spec Type]]="","N/A",Table1[[#This Row],[Spec Type]])</f>
        <v>±</v>
      </c>
      <c r="AC680" s="1" t="str">
        <f>IF(Table1[[#This Row],[Spec Type2]]="N/A","N/A",IF(AND(Table1[[#This Row],[DUT Adj Read]]&gt;=Table1[[#This Row],[Low Tol]],Table1[[#This Row],[DUT Adj Read]]&lt;=Table1[[#This Row],[High Tol]]),"Pass","Fail"))</f>
        <v>Fail</v>
      </c>
      <c r="AD680" s="1" t="str">
        <f>IF(AND(Table1[[#This Row],[Spec Type2]]="N/A",Table1[[#This Row],[DUT Adj Read]]="N/A",Table1[[#This Row],[Std Adj Read]]="N/A"),"N/A",IF(Table1[[#This Row],[DUT Adj Read]]="N/A",IF(Table1[[#This Row],[Std Adj Read]]&gt;Table1[[#This Row],[Low Tol]],"Pass","Fail"),IF(Table1[[#This Row],[DUT Adj Read]]&gt;Table1[[#This Row],[Low Tol]],"Pass","Fail")))</f>
        <v>Pass</v>
      </c>
      <c r="AE680" s="1" t="str">
        <f>IF(AND(Table1[[#This Row],[Spec Type2]]="N/A",Table1[[#This Row],[DUT Adj Read]]="N/A",Table1[[#This Row],[Std Adj Read]]="N/A"),"N/A",IF(Table1[[#This Row],[DUT Adj Read]]="N/A",IF(Table1[[#This Row],[Std Adj Read]]&lt;Table1[[#This Row],[High Tol]],"Pass","Fail"),IF(Table1[[#This Row],[DUT Adj Read]]&lt;Table1[[#This Row],[High Tol]],"Pass","Fail")))</f>
        <v>Fail</v>
      </c>
      <c r="AF680" s="1" t="str">
        <f>IF(AND(Table1[[#This Row],[Spec Type2]]="N/A",Table1[[#This Row],[DUT Adj Read]]="N/A",Table1[[#This Row],[Std Adj Read]]="N/A"),"N/A",IF(Table1[[#This Row],[DUT Adj Read]]="N/A",IF(Table1[[#This Row],[Std Adj Read]]&gt;=Table1[[#This Row],[Low Tol]],"Pass","Fail"),IF(Table1[[#This Row],[DUT Adj Read]]&gt;=Table1[[#This Row],[Low Tol]],"Pass","Fail")))</f>
        <v>Pass</v>
      </c>
      <c r="AG680" s="1" t="str">
        <f>IF(AND(Table1[[#This Row],[Spec Type2]]="N/A",Table1[[#This Row],[DUT Adj Read]]="N/A",Table1[[#This Row],[Std Adj Read]]="N/A"),"N/A",IF(Table1[[#This Row],[DUT Adj Read]]="N/A",IF(Table1[[#This Row],[Std Adj Read]]&lt;=Table1[[#This Row],[High Tol]],"Pass","Fail"),IF(Table1[[#This Row],[DUT Adj Read]]&lt;=Table1[[#This Row],[High Tol]],"Pass","Fail")))</f>
        <v>Fail</v>
      </c>
      <c r="AH6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0" s="1" t="b">
        <v>0</v>
      </c>
      <c r="AN680" s="1" t="b">
        <v>0</v>
      </c>
      <c r="AO680" s="1" t="b">
        <v>0</v>
      </c>
    </row>
    <row r="681" spans="1:41" x14ac:dyDescent="0.25">
      <c r="A681" s="10"/>
      <c r="B681" s="10"/>
      <c r="C681" s="10"/>
      <c r="D681" s="10"/>
      <c r="E681" s="10"/>
      <c r="F681" s="10"/>
      <c r="G681" s="10"/>
      <c r="H681" s="10"/>
      <c r="I681" s="1" t="str">
        <f t="shared" si="30"/>
        <v/>
      </c>
      <c r="J681" s="1" t="s">
        <v>35</v>
      </c>
      <c r="K681" s="1" t="str">
        <f t="shared" si="31"/>
        <v/>
      </c>
      <c r="L681" s="1" t="str">
        <f t="shared" si="32"/>
        <v/>
      </c>
      <c r="M681" s="1">
        <f>IF(OR(Table1[[#This Row],[Std Nom]]="",Table1[[#This Row],[Std Read]]=""),0,Table1[[#This Row],[Std Nom]]-Table1[[#This Row],[Std Read]])</f>
        <v>0</v>
      </c>
      <c r="N681" s="1">
        <f>IF(Calculations!$F$5="ACCREDITED 17025 WITH UNCERTAINTIES",$N$10,0)</f>
        <v>0</v>
      </c>
      <c r="Q681" s="1">
        <f>Table1[[#This Row],[High Tol]]-Table1[[#This Row],[Low Tol]]</f>
        <v>0</v>
      </c>
      <c r="R681" s="1">
        <f>2*Table1[[#This Row],[Std Error]]</f>
        <v>0</v>
      </c>
      <c r="S681" s="1" t="str">
        <f>IF(Table1[[#This Row],[High Tol]]="","N/A",IFERROR(ABS(Table1[[#This Row],[Tol Span]]/Table1[[#This Row],[Error Span]]),"N/A"))</f>
        <v>N/A</v>
      </c>
      <c r="T681" s="1" t="str">
        <f>IF(OR(Table1[[#This Row],[Low Tol]]="",Table1[[#This Row],[High Tol]]=""),"Needs Analysis",IF(Table1[[#This Row],[Ratio]]&gt;=4,"Not Significant",IF(Table1[[#This Row],[Ratio]]&gt;=2,"Semi-Significant","Significant")))</f>
        <v>Needs Analysis</v>
      </c>
      <c r="W681" s="1">
        <f>IF(Table1[[#This Row],[Cal Type]]&lt;&gt;"ACCREDITED 17025 WITH UNCERTAINTIES",0,"")</f>
        <v>0</v>
      </c>
      <c r="X681" s="1" t="str">
        <f>IF(Table1[[#This Row],[DUT Read]]="","N/A",Table1[[#This Row],[Std Error]]+Table1[[#This Row],[DUT Read]]+Table1[[#This Row],[DUT Ucty]])</f>
        <v>N/A</v>
      </c>
      <c r="Y681" s="1" t="str">
        <f>IF(Table1[[#This Row],[Std Read]]="","N/A",Table1[[#This Row],[Std Read]]+Table1[[#This Row],[Std Ucty]])</f>
        <v>N/A</v>
      </c>
      <c r="Z6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1" s="1" t="str">
        <f>IF(Table1[[#This Row],[Spec Type]]="","N/A",Table1[[#This Row],[Spec Type]])</f>
        <v>±</v>
      </c>
      <c r="AC681" s="1" t="str">
        <f>IF(Table1[[#This Row],[Spec Type2]]="N/A","N/A",IF(AND(Table1[[#This Row],[DUT Adj Read]]&gt;=Table1[[#This Row],[Low Tol]],Table1[[#This Row],[DUT Adj Read]]&lt;=Table1[[#This Row],[High Tol]]),"Pass","Fail"))</f>
        <v>Fail</v>
      </c>
      <c r="AD681" s="1" t="str">
        <f>IF(AND(Table1[[#This Row],[Spec Type2]]="N/A",Table1[[#This Row],[DUT Adj Read]]="N/A",Table1[[#This Row],[Std Adj Read]]="N/A"),"N/A",IF(Table1[[#This Row],[DUT Adj Read]]="N/A",IF(Table1[[#This Row],[Std Adj Read]]&gt;Table1[[#This Row],[Low Tol]],"Pass","Fail"),IF(Table1[[#This Row],[DUT Adj Read]]&gt;Table1[[#This Row],[Low Tol]],"Pass","Fail")))</f>
        <v>Pass</v>
      </c>
      <c r="AE681" s="1" t="str">
        <f>IF(AND(Table1[[#This Row],[Spec Type2]]="N/A",Table1[[#This Row],[DUT Adj Read]]="N/A",Table1[[#This Row],[Std Adj Read]]="N/A"),"N/A",IF(Table1[[#This Row],[DUT Adj Read]]="N/A",IF(Table1[[#This Row],[Std Adj Read]]&lt;Table1[[#This Row],[High Tol]],"Pass","Fail"),IF(Table1[[#This Row],[DUT Adj Read]]&lt;Table1[[#This Row],[High Tol]],"Pass","Fail")))</f>
        <v>Fail</v>
      </c>
      <c r="AF681" s="1" t="str">
        <f>IF(AND(Table1[[#This Row],[Spec Type2]]="N/A",Table1[[#This Row],[DUT Adj Read]]="N/A",Table1[[#This Row],[Std Adj Read]]="N/A"),"N/A",IF(Table1[[#This Row],[DUT Adj Read]]="N/A",IF(Table1[[#This Row],[Std Adj Read]]&gt;=Table1[[#This Row],[Low Tol]],"Pass","Fail"),IF(Table1[[#This Row],[DUT Adj Read]]&gt;=Table1[[#This Row],[Low Tol]],"Pass","Fail")))</f>
        <v>Pass</v>
      </c>
      <c r="AG681" s="1" t="str">
        <f>IF(AND(Table1[[#This Row],[Spec Type2]]="N/A",Table1[[#This Row],[DUT Adj Read]]="N/A",Table1[[#This Row],[Std Adj Read]]="N/A"),"N/A",IF(Table1[[#This Row],[DUT Adj Read]]="N/A",IF(Table1[[#This Row],[Std Adj Read]]&lt;=Table1[[#This Row],[High Tol]],"Pass","Fail"),IF(Table1[[#This Row],[DUT Adj Read]]&lt;=Table1[[#This Row],[High Tol]],"Pass","Fail")))</f>
        <v>Fail</v>
      </c>
      <c r="AH6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1" s="1" t="b">
        <v>0</v>
      </c>
      <c r="AN681" s="1" t="b">
        <v>0</v>
      </c>
      <c r="AO681" s="1" t="b">
        <v>0</v>
      </c>
    </row>
    <row r="682" spans="1:41" x14ac:dyDescent="0.25">
      <c r="A682" s="10"/>
      <c r="B682" s="10"/>
      <c r="C682" s="10"/>
      <c r="D682" s="10"/>
      <c r="E682" s="10"/>
      <c r="F682" s="10"/>
      <c r="G682" s="10"/>
      <c r="H682" s="10"/>
      <c r="I682" s="1" t="str">
        <f t="shared" si="30"/>
        <v/>
      </c>
      <c r="J682" s="1" t="s">
        <v>35</v>
      </c>
      <c r="K682" s="1" t="str">
        <f t="shared" si="31"/>
        <v/>
      </c>
      <c r="L682" s="1" t="str">
        <f t="shared" si="32"/>
        <v/>
      </c>
      <c r="M682" s="1">
        <f>IF(OR(Table1[[#This Row],[Std Nom]]="",Table1[[#This Row],[Std Read]]=""),0,Table1[[#This Row],[Std Nom]]-Table1[[#This Row],[Std Read]])</f>
        <v>0</v>
      </c>
      <c r="N682" s="1">
        <f>IF(Calculations!$F$5="ACCREDITED 17025 WITH UNCERTAINTIES",$N$10,0)</f>
        <v>0</v>
      </c>
      <c r="Q682" s="1">
        <f>Table1[[#This Row],[High Tol]]-Table1[[#This Row],[Low Tol]]</f>
        <v>0</v>
      </c>
      <c r="R682" s="1">
        <f>2*Table1[[#This Row],[Std Error]]</f>
        <v>0</v>
      </c>
      <c r="S682" s="1" t="str">
        <f>IF(Table1[[#This Row],[High Tol]]="","N/A",IFERROR(ABS(Table1[[#This Row],[Tol Span]]/Table1[[#This Row],[Error Span]]),"N/A"))</f>
        <v>N/A</v>
      </c>
      <c r="T682" s="1" t="str">
        <f>IF(OR(Table1[[#This Row],[Low Tol]]="",Table1[[#This Row],[High Tol]]=""),"Needs Analysis",IF(Table1[[#This Row],[Ratio]]&gt;=4,"Not Significant",IF(Table1[[#This Row],[Ratio]]&gt;=2,"Semi-Significant","Significant")))</f>
        <v>Needs Analysis</v>
      </c>
      <c r="W682" s="1">
        <f>IF(Table1[[#This Row],[Cal Type]]&lt;&gt;"ACCREDITED 17025 WITH UNCERTAINTIES",0,"")</f>
        <v>0</v>
      </c>
      <c r="X682" s="1" t="str">
        <f>IF(Table1[[#This Row],[DUT Read]]="","N/A",Table1[[#This Row],[Std Error]]+Table1[[#This Row],[DUT Read]]+Table1[[#This Row],[DUT Ucty]])</f>
        <v>N/A</v>
      </c>
      <c r="Y682" s="1" t="str">
        <f>IF(Table1[[#This Row],[Std Read]]="","N/A",Table1[[#This Row],[Std Read]]+Table1[[#This Row],[Std Ucty]])</f>
        <v>N/A</v>
      </c>
      <c r="Z6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2" s="1" t="str">
        <f>IF(Table1[[#This Row],[Spec Type]]="","N/A",Table1[[#This Row],[Spec Type]])</f>
        <v>±</v>
      </c>
      <c r="AC682" s="1" t="str">
        <f>IF(Table1[[#This Row],[Spec Type2]]="N/A","N/A",IF(AND(Table1[[#This Row],[DUT Adj Read]]&gt;=Table1[[#This Row],[Low Tol]],Table1[[#This Row],[DUT Adj Read]]&lt;=Table1[[#This Row],[High Tol]]),"Pass","Fail"))</f>
        <v>Fail</v>
      </c>
      <c r="AD682" s="1" t="str">
        <f>IF(AND(Table1[[#This Row],[Spec Type2]]="N/A",Table1[[#This Row],[DUT Adj Read]]="N/A",Table1[[#This Row],[Std Adj Read]]="N/A"),"N/A",IF(Table1[[#This Row],[DUT Adj Read]]="N/A",IF(Table1[[#This Row],[Std Adj Read]]&gt;Table1[[#This Row],[Low Tol]],"Pass","Fail"),IF(Table1[[#This Row],[DUT Adj Read]]&gt;Table1[[#This Row],[Low Tol]],"Pass","Fail")))</f>
        <v>Pass</v>
      </c>
      <c r="AE682" s="1" t="str">
        <f>IF(AND(Table1[[#This Row],[Spec Type2]]="N/A",Table1[[#This Row],[DUT Adj Read]]="N/A",Table1[[#This Row],[Std Adj Read]]="N/A"),"N/A",IF(Table1[[#This Row],[DUT Adj Read]]="N/A",IF(Table1[[#This Row],[Std Adj Read]]&lt;Table1[[#This Row],[High Tol]],"Pass","Fail"),IF(Table1[[#This Row],[DUT Adj Read]]&lt;Table1[[#This Row],[High Tol]],"Pass","Fail")))</f>
        <v>Fail</v>
      </c>
      <c r="AF682" s="1" t="str">
        <f>IF(AND(Table1[[#This Row],[Spec Type2]]="N/A",Table1[[#This Row],[DUT Adj Read]]="N/A",Table1[[#This Row],[Std Adj Read]]="N/A"),"N/A",IF(Table1[[#This Row],[DUT Adj Read]]="N/A",IF(Table1[[#This Row],[Std Adj Read]]&gt;=Table1[[#This Row],[Low Tol]],"Pass","Fail"),IF(Table1[[#This Row],[DUT Adj Read]]&gt;=Table1[[#This Row],[Low Tol]],"Pass","Fail")))</f>
        <v>Pass</v>
      </c>
      <c r="AG682" s="1" t="str">
        <f>IF(AND(Table1[[#This Row],[Spec Type2]]="N/A",Table1[[#This Row],[DUT Adj Read]]="N/A",Table1[[#This Row],[Std Adj Read]]="N/A"),"N/A",IF(Table1[[#This Row],[DUT Adj Read]]="N/A",IF(Table1[[#This Row],[Std Adj Read]]&lt;=Table1[[#This Row],[High Tol]],"Pass","Fail"),IF(Table1[[#This Row],[DUT Adj Read]]&lt;=Table1[[#This Row],[High Tol]],"Pass","Fail")))</f>
        <v>Fail</v>
      </c>
      <c r="AH6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2" s="1" t="b">
        <v>0</v>
      </c>
      <c r="AN682" s="1" t="b">
        <v>0</v>
      </c>
      <c r="AO682" s="1" t="b">
        <v>0</v>
      </c>
    </row>
    <row r="683" spans="1:41" x14ac:dyDescent="0.25">
      <c r="A683" s="10"/>
      <c r="B683" s="10"/>
      <c r="C683" s="10"/>
      <c r="D683" s="10"/>
      <c r="E683" s="10"/>
      <c r="F683" s="10"/>
      <c r="G683" s="10"/>
      <c r="H683" s="10"/>
      <c r="I683" s="1" t="str">
        <f t="shared" si="30"/>
        <v/>
      </c>
      <c r="J683" s="1" t="s">
        <v>35</v>
      </c>
      <c r="K683" s="1" t="str">
        <f t="shared" si="31"/>
        <v/>
      </c>
      <c r="L683" s="1" t="str">
        <f t="shared" si="32"/>
        <v/>
      </c>
      <c r="M683" s="1">
        <f>IF(OR(Table1[[#This Row],[Std Nom]]="",Table1[[#This Row],[Std Read]]=""),0,Table1[[#This Row],[Std Nom]]-Table1[[#This Row],[Std Read]])</f>
        <v>0</v>
      </c>
      <c r="N683" s="1">
        <f>IF(Calculations!$F$5="ACCREDITED 17025 WITH UNCERTAINTIES",$N$10,0)</f>
        <v>0</v>
      </c>
      <c r="Q683" s="1">
        <f>Table1[[#This Row],[High Tol]]-Table1[[#This Row],[Low Tol]]</f>
        <v>0</v>
      </c>
      <c r="R683" s="1">
        <f>2*Table1[[#This Row],[Std Error]]</f>
        <v>0</v>
      </c>
      <c r="S683" s="1" t="str">
        <f>IF(Table1[[#This Row],[High Tol]]="","N/A",IFERROR(ABS(Table1[[#This Row],[Tol Span]]/Table1[[#This Row],[Error Span]]),"N/A"))</f>
        <v>N/A</v>
      </c>
      <c r="T683" s="1" t="str">
        <f>IF(OR(Table1[[#This Row],[Low Tol]]="",Table1[[#This Row],[High Tol]]=""),"Needs Analysis",IF(Table1[[#This Row],[Ratio]]&gt;=4,"Not Significant",IF(Table1[[#This Row],[Ratio]]&gt;=2,"Semi-Significant","Significant")))</f>
        <v>Needs Analysis</v>
      </c>
      <c r="W683" s="1">
        <f>IF(Table1[[#This Row],[Cal Type]]&lt;&gt;"ACCREDITED 17025 WITH UNCERTAINTIES",0,"")</f>
        <v>0</v>
      </c>
      <c r="X683" s="1" t="str">
        <f>IF(Table1[[#This Row],[DUT Read]]="","N/A",Table1[[#This Row],[Std Error]]+Table1[[#This Row],[DUT Read]]+Table1[[#This Row],[DUT Ucty]])</f>
        <v>N/A</v>
      </c>
      <c r="Y683" s="1" t="str">
        <f>IF(Table1[[#This Row],[Std Read]]="","N/A",Table1[[#This Row],[Std Read]]+Table1[[#This Row],[Std Ucty]])</f>
        <v>N/A</v>
      </c>
      <c r="Z6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3" s="1" t="str">
        <f>IF(Table1[[#This Row],[Spec Type]]="","N/A",Table1[[#This Row],[Spec Type]])</f>
        <v>±</v>
      </c>
      <c r="AC683" s="1" t="str">
        <f>IF(Table1[[#This Row],[Spec Type2]]="N/A","N/A",IF(AND(Table1[[#This Row],[DUT Adj Read]]&gt;=Table1[[#This Row],[Low Tol]],Table1[[#This Row],[DUT Adj Read]]&lt;=Table1[[#This Row],[High Tol]]),"Pass","Fail"))</f>
        <v>Fail</v>
      </c>
      <c r="AD683" s="1" t="str">
        <f>IF(AND(Table1[[#This Row],[Spec Type2]]="N/A",Table1[[#This Row],[DUT Adj Read]]="N/A",Table1[[#This Row],[Std Adj Read]]="N/A"),"N/A",IF(Table1[[#This Row],[DUT Adj Read]]="N/A",IF(Table1[[#This Row],[Std Adj Read]]&gt;Table1[[#This Row],[Low Tol]],"Pass","Fail"),IF(Table1[[#This Row],[DUT Adj Read]]&gt;Table1[[#This Row],[Low Tol]],"Pass","Fail")))</f>
        <v>Pass</v>
      </c>
      <c r="AE683" s="1" t="str">
        <f>IF(AND(Table1[[#This Row],[Spec Type2]]="N/A",Table1[[#This Row],[DUT Adj Read]]="N/A",Table1[[#This Row],[Std Adj Read]]="N/A"),"N/A",IF(Table1[[#This Row],[DUT Adj Read]]="N/A",IF(Table1[[#This Row],[Std Adj Read]]&lt;Table1[[#This Row],[High Tol]],"Pass","Fail"),IF(Table1[[#This Row],[DUT Adj Read]]&lt;Table1[[#This Row],[High Tol]],"Pass","Fail")))</f>
        <v>Fail</v>
      </c>
      <c r="AF683" s="1" t="str">
        <f>IF(AND(Table1[[#This Row],[Spec Type2]]="N/A",Table1[[#This Row],[DUT Adj Read]]="N/A",Table1[[#This Row],[Std Adj Read]]="N/A"),"N/A",IF(Table1[[#This Row],[DUT Adj Read]]="N/A",IF(Table1[[#This Row],[Std Adj Read]]&gt;=Table1[[#This Row],[Low Tol]],"Pass","Fail"),IF(Table1[[#This Row],[DUT Adj Read]]&gt;=Table1[[#This Row],[Low Tol]],"Pass","Fail")))</f>
        <v>Pass</v>
      </c>
      <c r="AG683" s="1" t="str">
        <f>IF(AND(Table1[[#This Row],[Spec Type2]]="N/A",Table1[[#This Row],[DUT Adj Read]]="N/A",Table1[[#This Row],[Std Adj Read]]="N/A"),"N/A",IF(Table1[[#This Row],[DUT Adj Read]]="N/A",IF(Table1[[#This Row],[Std Adj Read]]&lt;=Table1[[#This Row],[High Tol]],"Pass","Fail"),IF(Table1[[#This Row],[DUT Adj Read]]&lt;=Table1[[#This Row],[High Tol]],"Pass","Fail")))</f>
        <v>Fail</v>
      </c>
      <c r="AH6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3" s="1" t="b">
        <v>0</v>
      </c>
      <c r="AN683" s="1" t="b">
        <v>0</v>
      </c>
      <c r="AO683" s="1" t="b">
        <v>0</v>
      </c>
    </row>
    <row r="684" spans="1:41" x14ac:dyDescent="0.25">
      <c r="A684" s="10"/>
      <c r="B684" s="10"/>
      <c r="C684" s="10"/>
      <c r="D684" s="10"/>
      <c r="E684" s="10"/>
      <c r="F684" s="10"/>
      <c r="G684" s="10"/>
      <c r="H684" s="10"/>
      <c r="I684" s="1" t="str">
        <f t="shared" si="30"/>
        <v/>
      </c>
      <c r="J684" s="1" t="s">
        <v>35</v>
      </c>
      <c r="K684" s="1" t="str">
        <f t="shared" si="31"/>
        <v/>
      </c>
      <c r="L684" s="1" t="str">
        <f t="shared" si="32"/>
        <v/>
      </c>
      <c r="M684" s="1">
        <f>IF(OR(Table1[[#This Row],[Std Nom]]="",Table1[[#This Row],[Std Read]]=""),0,Table1[[#This Row],[Std Nom]]-Table1[[#This Row],[Std Read]])</f>
        <v>0</v>
      </c>
      <c r="N684" s="1">
        <f>IF(Calculations!$F$5="ACCREDITED 17025 WITH UNCERTAINTIES",$N$10,0)</f>
        <v>0</v>
      </c>
      <c r="Q684" s="1">
        <f>Table1[[#This Row],[High Tol]]-Table1[[#This Row],[Low Tol]]</f>
        <v>0</v>
      </c>
      <c r="R684" s="1">
        <f>2*Table1[[#This Row],[Std Error]]</f>
        <v>0</v>
      </c>
      <c r="S684" s="1" t="str">
        <f>IF(Table1[[#This Row],[High Tol]]="","N/A",IFERROR(ABS(Table1[[#This Row],[Tol Span]]/Table1[[#This Row],[Error Span]]),"N/A"))</f>
        <v>N/A</v>
      </c>
      <c r="T684" s="1" t="str">
        <f>IF(OR(Table1[[#This Row],[Low Tol]]="",Table1[[#This Row],[High Tol]]=""),"Needs Analysis",IF(Table1[[#This Row],[Ratio]]&gt;=4,"Not Significant",IF(Table1[[#This Row],[Ratio]]&gt;=2,"Semi-Significant","Significant")))</f>
        <v>Needs Analysis</v>
      </c>
      <c r="W684" s="1">
        <f>IF(Table1[[#This Row],[Cal Type]]&lt;&gt;"ACCREDITED 17025 WITH UNCERTAINTIES",0,"")</f>
        <v>0</v>
      </c>
      <c r="X684" s="1" t="str">
        <f>IF(Table1[[#This Row],[DUT Read]]="","N/A",Table1[[#This Row],[Std Error]]+Table1[[#This Row],[DUT Read]]+Table1[[#This Row],[DUT Ucty]])</f>
        <v>N/A</v>
      </c>
      <c r="Y684" s="1" t="str">
        <f>IF(Table1[[#This Row],[Std Read]]="","N/A",Table1[[#This Row],[Std Read]]+Table1[[#This Row],[Std Ucty]])</f>
        <v>N/A</v>
      </c>
      <c r="Z6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4" s="1" t="str">
        <f>IF(Table1[[#This Row],[Spec Type]]="","N/A",Table1[[#This Row],[Spec Type]])</f>
        <v>±</v>
      </c>
      <c r="AC684" s="1" t="str">
        <f>IF(Table1[[#This Row],[Spec Type2]]="N/A","N/A",IF(AND(Table1[[#This Row],[DUT Adj Read]]&gt;=Table1[[#This Row],[Low Tol]],Table1[[#This Row],[DUT Adj Read]]&lt;=Table1[[#This Row],[High Tol]]),"Pass","Fail"))</f>
        <v>Fail</v>
      </c>
      <c r="AD684" s="1" t="str">
        <f>IF(AND(Table1[[#This Row],[Spec Type2]]="N/A",Table1[[#This Row],[DUT Adj Read]]="N/A",Table1[[#This Row],[Std Adj Read]]="N/A"),"N/A",IF(Table1[[#This Row],[DUT Adj Read]]="N/A",IF(Table1[[#This Row],[Std Adj Read]]&gt;Table1[[#This Row],[Low Tol]],"Pass","Fail"),IF(Table1[[#This Row],[DUT Adj Read]]&gt;Table1[[#This Row],[Low Tol]],"Pass","Fail")))</f>
        <v>Pass</v>
      </c>
      <c r="AE684" s="1" t="str">
        <f>IF(AND(Table1[[#This Row],[Spec Type2]]="N/A",Table1[[#This Row],[DUT Adj Read]]="N/A",Table1[[#This Row],[Std Adj Read]]="N/A"),"N/A",IF(Table1[[#This Row],[DUT Adj Read]]="N/A",IF(Table1[[#This Row],[Std Adj Read]]&lt;Table1[[#This Row],[High Tol]],"Pass","Fail"),IF(Table1[[#This Row],[DUT Adj Read]]&lt;Table1[[#This Row],[High Tol]],"Pass","Fail")))</f>
        <v>Fail</v>
      </c>
      <c r="AF684" s="1" t="str">
        <f>IF(AND(Table1[[#This Row],[Spec Type2]]="N/A",Table1[[#This Row],[DUT Adj Read]]="N/A",Table1[[#This Row],[Std Adj Read]]="N/A"),"N/A",IF(Table1[[#This Row],[DUT Adj Read]]="N/A",IF(Table1[[#This Row],[Std Adj Read]]&gt;=Table1[[#This Row],[Low Tol]],"Pass","Fail"),IF(Table1[[#This Row],[DUT Adj Read]]&gt;=Table1[[#This Row],[Low Tol]],"Pass","Fail")))</f>
        <v>Pass</v>
      </c>
      <c r="AG684" s="1" t="str">
        <f>IF(AND(Table1[[#This Row],[Spec Type2]]="N/A",Table1[[#This Row],[DUT Adj Read]]="N/A",Table1[[#This Row],[Std Adj Read]]="N/A"),"N/A",IF(Table1[[#This Row],[DUT Adj Read]]="N/A",IF(Table1[[#This Row],[Std Adj Read]]&lt;=Table1[[#This Row],[High Tol]],"Pass","Fail"),IF(Table1[[#This Row],[DUT Adj Read]]&lt;=Table1[[#This Row],[High Tol]],"Pass","Fail")))</f>
        <v>Fail</v>
      </c>
      <c r="AH6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4" s="1" t="b">
        <v>0</v>
      </c>
      <c r="AN684" s="1" t="b">
        <v>0</v>
      </c>
      <c r="AO684" s="1" t="b">
        <v>0</v>
      </c>
    </row>
    <row r="685" spans="1:41" x14ac:dyDescent="0.25">
      <c r="A685" s="10"/>
      <c r="B685" s="10"/>
      <c r="C685" s="10"/>
      <c r="D685" s="10"/>
      <c r="E685" s="10"/>
      <c r="F685" s="10"/>
      <c r="G685" s="10"/>
      <c r="H685" s="10"/>
      <c r="I685" s="1" t="str">
        <f t="shared" si="30"/>
        <v/>
      </c>
      <c r="J685" s="1" t="s">
        <v>35</v>
      </c>
      <c r="K685" s="1" t="str">
        <f t="shared" si="31"/>
        <v/>
      </c>
      <c r="L685" s="1" t="str">
        <f t="shared" si="32"/>
        <v/>
      </c>
      <c r="M685" s="1">
        <f>IF(OR(Table1[[#This Row],[Std Nom]]="",Table1[[#This Row],[Std Read]]=""),0,Table1[[#This Row],[Std Nom]]-Table1[[#This Row],[Std Read]])</f>
        <v>0</v>
      </c>
      <c r="N685" s="1">
        <f>IF(Calculations!$F$5="ACCREDITED 17025 WITH UNCERTAINTIES",$N$10,0)</f>
        <v>0</v>
      </c>
      <c r="Q685" s="1">
        <f>Table1[[#This Row],[High Tol]]-Table1[[#This Row],[Low Tol]]</f>
        <v>0</v>
      </c>
      <c r="R685" s="1">
        <f>2*Table1[[#This Row],[Std Error]]</f>
        <v>0</v>
      </c>
      <c r="S685" s="1" t="str">
        <f>IF(Table1[[#This Row],[High Tol]]="","N/A",IFERROR(ABS(Table1[[#This Row],[Tol Span]]/Table1[[#This Row],[Error Span]]),"N/A"))</f>
        <v>N/A</v>
      </c>
      <c r="T685" s="1" t="str">
        <f>IF(OR(Table1[[#This Row],[Low Tol]]="",Table1[[#This Row],[High Tol]]=""),"Needs Analysis",IF(Table1[[#This Row],[Ratio]]&gt;=4,"Not Significant",IF(Table1[[#This Row],[Ratio]]&gt;=2,"Semi-Significant","Significant")))</f>
        <v>Needs Analysis</v>
      </c>
      <c r="W685" s="1">
        <f>IF(Table1[[#This Row],[Cal Type]]&lt;&gt;"ACCREDITED 17025 WITH UNCERTAINTIES",0,"")</f>
        <v>0</v>
      </c>
      <c r="X685" s="1" t="str">
        <f>IF(Table1[[#This Row],[DUT Read]]="","N/A",Table1[[#This Row],[Std Error]]+Table1[[#This Row],[DUT Read]]+Table1[[#This Row],[DUT Ucty]])</f>
        <v>N/A</v>
      </c>
      <c r="Y685" s="1" t="str">
        <f>IF(Table1[[#This Row],[Std Read]]="","N/A",Table1[[#This Row],[Std Read]]+Table1[[#This Row],[Std Ucty]])</f>
        <v>N/A</v>
      </c>
      <c r="Z6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5" s="1" t="str">
        <f>IF(Table1[[#This Row],[Spec Type]]="","N/A",Table1[[#This Row],[Spec Type]])</f>
        <v>±</v>
      </c>
      <c r="AC685" s="1" t="str">
        <f>IF(Table1[[#This Row],[Spec Type2]]="N/A","N/A",IF(AND(Table1[[#This Row],[DUT Adj Read]]&gt;=Table1[[#This Row],[Low Tol]],Table1[[#This Row],[DUT Adj Read]]&lt;=Table1[[#This Row],[High Tol]]),"Pass","Fail"))</f>
        <v>Fail</v>
      </c>
      <c r="AD685" s="1" t="str">
        <f>IF(AND(Table1[[#This Row],[Spec Type2]]="N/A",Table1[[#This Row],[DUT Adj Read]]="N/A",Table1[[#This Row],[Std Adj Read]]="N/A"),"N/A",IF(Table1[[#This Row],[DUT Adj Read]]="N/A",IF(Table1[[#This Row],[Std Adj Read]]&gt;Table1[[#This Row],[Low Tol]],"Pass","Fail"),IF(Table1[[#This Row],[DUT Adj Read]]&gt;Table1[[#This Row],[Low Tol]],"Pass","Fail")))</f>
        <v>Pass</v>
      </c>
      <c r="AE685" s="1" t="str">
        <f>IF(AND(Table1[[#This Row],[Spec Type2]]="N/A",Table1[[#This Row],[DUT Adj Read]]="N/A",Table1[[#This Row],[Std Adj Read]]="N/A"),"N/A",IF(Table1[[#This Row],[DUT Adj Read]]="N/A",IF(Table1[[#This Row],[Std Adj Read]]&lt;Table1[[#This Row],[High Tol]],"Pass","Fail"),IF(Table1[[#This Row],[DUT Adj Read]]&lt;Table1[[#This Row],[High Tol]],"Pass","Fail")))</f>
        <v>Fail</v>
      </c>
      <c r="AF685" s="1" t="str">
        <f>IF(AND(Table1[[#This Row],[Spec Type2]]="N/A",Table1[[#This Row],[DUT Adj Read]]="N/A",Table1[[#This Row],[Std Adj Read]]="N/A"),"N/A",IF(Table1[[#This Row],[DUT Adj Read]]="N/A",IF(Table1[[#This Row],[Std Adj Read]]&gt;=Table1[[#This Row],[Low Tol]],"Pass","Fail"),IF(Table1[[#This Row],[DUT Adj Read]]&gt;=Table1[[#This Row],[Low Tol]],"Pass","Fail")))</f>
        <v>Pass</v>
      </c>
      <c r="AG685" s="1" t="str">
        <f>IF(AND(Table1[[#This Row],[Spec Type2]]="N/A",Table1[[#This Row],[DUT Adj Read]]="N/A",Table1[[#This Row],[Std Adj Read]]="N/A"),"N/A",IF(Table1[[#This Row],[DUT Adj Read]]="N/A",IF(Table1[[#This Row],[Std Adj Read]]&lt;=Table1[[#This Row],[High Tol]],"Pass","Fail"),IF(Table1[[#This Row],[DUT Adj Read]]&lt;=Table1[[#This Row],[High Tol]],"Pass","Fail")))</f>
        <v>Fail</v>
      </c>
      <c r="AH6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5" s="1" t="b">
        <v>0</v>
      </c>
      <c r="AN685" s="1" t="b">
        <v>0</v>
      </c>
      <c r="AO685" s="1" t="b">
        <v>0</v>
      </c>
    </row>
    <row r="686" spans="1:41" x14ac:dyDescent="0.25">
      <c r="A686" s="10"/>
      <c r="B686" s="10"/>
      <c r="C686" s="10"/>
      <c r="D686" s="10"/>
      <c r="E686" s="10"/>
      <c r="F686" s="10"/>
      <c r="G686" s="10"/>
      <c r="H686" s="10"/>
      <c r="I686" s="1" t="str">
        <f t="shared" si="30"/>
        <v/>
      </c>
      <c r="J686" s="1" t="s">
        <v>35</v>
      </c>
      <c r="K686" s="1" t="str">
        <f t="shared" si="31"/>
        <v/>
      </c>
      <c r="L686" s="1" t="str">
        <f t="shared" si="32"/>
        <v/>
      </c>
      <c r="M686" s="1">
        <f>IF(OR(Table1[[#This Row],[Std Nom]]="",Table1[[#This Row],[Std Read]]=""),0,Table1[[#This Row],[Std Nom]]-Table1[[#This Row],[Std Read]])</f>
        <v>0</v>
      </c>
      <c r="N686" s="1">
        <f>IF(Calculations!$F$5="ACCREDITED 17025 WITH UNCERTAINTIES",$N$10,0)</f>
        <v>0</v>
      </c>
      <c r="Q686" s="1">
        <f>Table1[[#This Row],[High Tol]]-Table1[[#This Row],[Low Tol]]</f>
        <v>0</v>
      </c>
      <c r="R686" s="1">
        <f>2*Table1[[#This Row],[Std Error]]</f>
        <v>0</v>
      </c>
      <c r="S686" s="1" t="str">
        <f>IF(Table1[[#This Row],[High Tol]]="","N/A",IFERROR(ABS(Table1[[#This Row],[Tol Span]]/Table1[[#This Row],[Error Span]]),"N/A"))</f>
        <v>N/A</v>
      </c>
      <c r="T686" s="1" t="str">
        <f>IF(OR(Table1[[#This Row],[Low Tol]]="",Table1[[#This Row],[High Tol]]=""),"Needs Analysis",IF(Table1[[#This Row],[Ratio]]&gt;=4,"Not Significant",IF(Table1[[#This Row],[Ratio]]&gt;=2,"Semi-Significant","Significant")))</f>
        <v>Needs Analysis</v>
      </c>
      <c r="W686" s="1">
        <f>IF(Table1[[#This Row],[Cal Type]]&lt;&gt;"ACCREDITED 17025 WITH UNCERTAINTIES",0,"")</f>
        <v>0</v>
      </c>
      <c r="X686" s="1" t="str">
        <f>IF(Table1[[#This Row],[DUT Read]]="","N/A",Table1[[#This Row],[Std Error]]+Table1[[#This Row],[DUT Read]]+Table1[[#This Row],[DUT Ucty]])</f>
        <v>N/A</v>
      </c>
      <c r="Y686" s="1" t="str">
        <f>IF(Table1[[#This Row],[Std Read]]="","N/A",Table1[[#This Row],[Std Read]]+Table1[[#This Row],[Std Ucty]])</f>
        <v>N/A</v>
      </c>
      <c r="Z6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6" s="1" t="str">
        <f>IF(Table1[[#This Row],[Spec Type]]="","N/A",Table1[[#This Row],[Spec Type]])</f>
        <v>±</v>
      </c>
      <c r="AC686" s="1" t="str">
        <f>IF(Table1[[#This Row],[Spec Type2]]="N/A","N/A",IF(AND(Table1[[#This Row],[DUT Adj Read]]&gt;=Table1[[#This Row],[Low Tol]],Table1[[#This Row],[DUT Adj Read]]&lt;=Table1[[#This Row],[High Tol]]),"Pass","Fail"))</f>
        <v>Fail</v>
      </c>
      <c r="AD686" s="1" t="str">
        <f>IF(AND(Table1[[#This Row],[Spec Type2]]="N/A",Table1[[#This Row],[DUT Adj Read]]="N/A",Table1[[#This Row],[Std Adj Read]]="N/A"),"N/A",IF(Table1[[#This Row],[DUT Adj Read]]="N/A",IF(Table1[[#This Row],[Std Adj Read]]&gt;Table1[[#This Row],[Low Tol]],"Pass","Fail"),IF(Table1[[#This Row],[DUT Adj Read]]&gt;Table1[[#This Row],[Low Tol]],"Pass","Fail")))</f>
        <v>Pass</v>
      </c>
      <c r="AE686" s="1" t="str">
        <f>IF(AND(Table1[[#This Row],[Spec Type2]]="N/A",Table1[[#This Row],[DUT Adj Read]]="N/A",Table1[[#This Row],[Std Adj Read]]="N/A"),"N/A",IF(Table1[[#This Row],[DUT Adj Read]]="N/A",IF(Table1[[#This Row],[Std Adj Read]]&lt;Table1[[#This Row],[High Tol]],"Pass","Fail"),IF(Table1[[#This Row],[DUT Adj Read]]&lt;Table1[[#This Row],[High Tol]],"Pass","Fail")))</f>
        <v>Fail</v>
      </c>
      <c r="AF686" s="1" t="str">
        <f>IF(AND(Table1[[#This Row],[Spec Type2]]="N/A",Table1[[#This Row],[DUT Adj Read]]="N/A",Table1[[#This Row],[Std Adj Read]]="N/A"),"N/A",IF(Table1[[#This Row],[DUT Adj Read]]="N/A",IF(Table1[[#This Row],[Std Adj Read]]&gt;=Table1[[#This Row],[Low Tol]],"Pass","Fail"),IF(Table1[[#This Row],[DUT Adj Read]]&gt;=Table1[[#This Row],[Low Tol]],"Pass","Fail")))</f>
        <v>Pass</v>
      </c>
      <c r="AG686" s="1" t="str">
        <f>IF(AND(Table1[[#This Row],[Spec Type2]]="N/A",Table1[[#This Row],[DUT Adj Read]]="N/A",Table1[[#This Row],[Std Adj Read]]="N/A"),"N/A",IF(Table1[[#This Row],[DUT Adj Read]]="N/A",IF(Table1[[#This Row],[Std Adj Read]]&lt;=Table1[[#This Row],[High Tol]],"Pass","Fail"),IF(Table1[[#This Row],[DUT Adj Read]]&lt;=Table1[[#This Row],[High Tol]],"Pass","Fail")))</f>
        <v>Fail</v>
      </c>
      <c r="AH6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6" s="1" t="b">
        <v>0</v>
      </c>
      <c r="AN686" s="1" t="b">
        <v>0</v>
      </c>
      <c r="AO686" s="1" t="b">
        <v>0</v>
      </c>
    </row>
    <row r="687" spans="1:41" x14ac:dyDescent="0.25">
      <c r="A687" s="10"/>
      <c r="B687" s="10"/>
      <c r="C687" s="10"/>
      <c r="D687" s="10"/>
      <c r="E687" s="10"/>
      <c r="F687" s="10"/>
      <c r="G687" s="10"/>
      <c r="H687" s="10"/>
      <c r="I687" s="1" t="str">
        <f t="shared" si="30"/>
        <v/>
      </c>
      <c r="J687" s="1" t="s">
        <v>35</v>
      </c>
      <c r="K687" s="1" t="str">
        <f t="shared" si="31"/>
        <v/>
      </c>
      <c r="L687" s="1" t="str">
        <f t="shared" si="32"/>
        <v/>
      </c>
      <c r="M687" s="1">
        <f>IF(OR(Table1[[#This Row],[Std Nom]]="",Table1[[#This Row],[Std Read]]=""),0,Table1[[#This Row],[Std Nom]]-Table1[[#This Row],[Std Read]])</f>
        <v>0</v>
      </c>
      <c r="N687" s="1">
        <f>IF(Calculations!$F$5="ACCREDITED 17025 WITH UNCERTAINTIES",$N$10,0)</f>
        <v>0</v>
      </c>
      <c r="Q687" s="1">
        <f>Table1[[#This Row],[High Tol]]-Table1[[#This Row],[Low Tol]]</f>
        <v>0</v>
      </c>
      <c r="R687" s="1">
        <f>2*Table1[[#This Row],[Std Error]]</f>
        <v>0</v>
      </c>
      <c r="S687" s="1" t="str">
        <f>IF(Table1[[#This Row],[High Tol]]="","N/A",IFERROR(ABS(Table1[[#This Row],[Tol Span]]/Table1[[#This Row],[Error Span]]),"N/A"))</f>
        <v>N/A</v>
      </c>
      <c r="T687" s="1" t="str">
        <f>IF(OR(Table1[[#This Row],[Low Tol]]="",Table1[[#This Row],[High Tol]]=""),"Needs Analysis",IF(Table1[[#This Row],[Ratio]]&gt;=4,"Not Significant",IF(Table1[[#This Row],[Ratio]]&gt;=2,"Semi-Significant","Significant")))</f>
        <v>Needs Analysis</v>
      </c>
      <c r="W687" s="1">
        <f>IF(Table1[[#This Row],[Cal Type]]&lt;&gt;"ACCREDITED 17025 WITH UNCERTAINTIES",0,"")</f>
        <v>0</v>
      </c>
      <c r="X687" s="1" t="str">
        <f>IF(Table1[[#This Row],[DUT Read]]="","N/A",Table1[[#This Row],[Std Error]]+Table1[[#This Row],[DUT Read]]+Table1[[#This Row],[DUT Ucty]])</f>
        <v>N/A</v>
      </c>
      <c r="Y687" s="1" t="str">
        <f>IF(Table1[[#This Row],[Std Read]]="","N/A",Table1[[#This Row],[Std Read]]+Table1[[#This Row],[Std Ucty]])</f>
        <v>N/A</v>
      </c>
      <c r="Z6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7" s="1" t="str">
        <f>IF(Table1[[#This Row],[Spec Type]]="","N/A",Table1[[#This Row],[Spec Type]])</f>
        <v>±</v>
      </c>
      <c r="AC687" s="1" t="str">
        <f>IF(Table1[[#This Row],[Spec Type2]]="N/A","N/A",IF(AND(Table1[[#This Row],[DUT Adj Read]]&gt;=Table1[[#This Row],[Low Tol]],Table1[[#This Row],[DUT Adj Read]]&lt;=Table1[[#This Row],[High Tol]]),"Pass","Fail"))</f>
        <v>Fail</v>
      </c>
      <c r="AD687" s="1" t="str">
        <f>IF(AND(Table1[[#This Row],[Spec Type2]]="N/A",Table1[[#This Row],[DUT Adj Read]]="N/A",Table1[[#This Row],[Std Adj Read]]="N/A"),"N/A",IF(Table1[[#This Row],[DUT Adj Read]]="N/A",IF(Table1[[#This Row],[Std Adj Read]]&gt;Table1[[#This Row],[Low Tol]],"Pass","Fail"),IF(Table1[[#This Row],[DUT Adj Read]]&gt;Table1[[#This Row],[Low Tol]],"Pass","Fail")))</f>
        <v>Pass</v>
      </c>
      <c r="AE687" s="1" t="str">
        <f>IF(AND(Table1[[#This Row],[Spec Type2]]="N/A",Table1[[#This Row],[DUT Adj Read]]="N/A",Table1[[#This Row],[Std Adj Read]]="N/A"),"N/A",IF(Table1[[#This Row],[DUT Adj Read]]="N/A",IF(Table1[[#This Row],[Std Adj Read]]&lt;Table1[[#This Row],[High Tol]],"Pass","Fail"),IF(Table1[[#This Row],[DUT Adj Read]]&lt;Table1[[#This Row],[High Tol]],"Pass","Fail")))</f>
        <v>Fail</v>
      </c>
      <c r="AF687" s="1" t="str">
        <f>IF(AND(Table1[[#This Row],[Spec Type2]]="N/A",Table1[[#This Row],[DUT Adj Read]]="N/A",Table1[[#This Row],[Std Adj Read]]="N/A"),"N/A",IF(Table1[[#This Row],[DUT Adj Read]]="N/A",IF(Table1[[#This Row],[Std Adj Read]]&gt;=Table1[[#This Row],[Low Tol]],"Pass","Fail"),IF(Table1[[#This Row],[DUT Adj Read]]&gt;=Table1[[#This Row],[Low Tol]],"Pass","Fail")))</f>
        <v>Pass</v>
      </c>
      <c r="AG687" s="1" t="str">
        <f>IF(AND(Table1[[#This Row],[Spec Type2]]="N/A",Table1[[#This Row],[DUT Adj Read]]="N/A",Table1[[#This Row],[Std Adj Read]]="N/A"),"N/A",IF(Table1[[#This Row],[DUT Adj Read]]="N/A",IF(Table1[[#This Row],[Std Adj Read]]&lt;=Table1[[#This Row],[High Tol]],"Pass","Fail"),IF(Table1[[#This Row],[DUT Adj Read]]&lt;=Table1[[#This Row],[High Tol]],"Pass","Fail")))</f>
        <v>Fail</v>
      </c>
      <c r="AH6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7" s="1" t="b">
        <v>0</v>
      </c>
      <c r="AN687" s="1" t="b">
        <v>0</v>
      </c>
      <c r="AO687" s="1" t="b">
        <v>0</v>
      </c>
    </row>
    <row r="688" spans="1:41" x14ac:dyDescent="0.25">
      <c r="A688" s="10"/>
      <c r="B688" s="10"/>
      <c r="C688" s="10"/>
      <c r="D688" s="10"/>
      <c r="E688" s="10"/>
      <c r="F688" s="10"/>
      <c r="G688" s="10"/>
      <c r="H688" s="10"/>
      <c r="I688" s="1" t="str">
        <f t="shared" si="30"/>
        <v/>
      </c>
      <c r="J688" s="1" t="s">
        <v>35</v>
      </c>
      <c r="K688" s="1" t="str">
        <f t="shared" si="31"/>
        <v/>
      </c>
      <c r="L688" s="1" t="str">
        <f t="shared" si="32"/>
        <v/>
      </c>
      <c r="M688" s="1">
        <f>IF(OR(Table1[[#This Row],[Std Nom]]="",Table1[[#This Row],[Std Read]]=""),0,Table1[[#This Row],[Std Nom]]-Table1[[#This Row],[Std Read]])</f>
        <v>0</v>
      </c>
      <c r="N688" s="1">
        <f>IF(Calculations!$F$5="ACCREDITED 17025 WITH UNCERTAINTIES",$N$10,0)</f>
        <v>0</v>
      </c>
      <c r="Q688" s="1">
        <f>Table1[[#This Row],[High Tol]]-Table1[[#This Row],[Low Tol]]</f>
        <v>0</v>
      </c>
      <c r="R688" s="1">
        <f>2*Table1[[#This Row],[Std Error]]</f>
        <v>0</v>
      </c>
      <c r="S688" s="1" t="str">
        <f>IF(Table1[[#This Row],[High Tol]]="","N/A",IFERROR(ABS(Table1[[#This Row],[Tol Span]]/Table1[[#This Row],[Error Span]]),"N/A"))</f>
        <v>N/A</v>
      </c>
      <c r="T688" s="1" t="str">
        <f>IF(OR(Table1[[#This Row],[Low Tol]]="",Table1[[#This Row],[High Tol]]=""),"Needs Analysis",IF(Table1[[#This Row],[Ratio]]&gt;=4,"Not Significant",IF(Table1[[#This Row],[Ratio]]&gt;=2,"Semi-Significant","Significant")))</f>
        <v>Needs Analysis</v>
      </c>
      <c r="W688" s="1">
        <f>IF(Table1[[#This Row],[Cal Type]]&lt;&gt;"ACCREDITED 17025 WITH UNCERTAINTIES",0,"")</f>
        <v>0</v>
      </c>
      <c r="X688" s="1" t="str">
        <f>IF(Table1[[#This Row],[DUT Read]]="","N/A",Table1[[#This Row],[Std Error]]+Table1[[#This Row],[DUT Read]]+Table1[[#This Row],[DUT Ucty]])</f>
        <v>N/A</v>
      </c>
      <c r="Y688" s="1" t="str">
        <f>IF(Table1[[#This Row],[Std Read]]="","N/A",Table1[[#This Row],[Std Read]]+Table1[[#This Row],[Std Ucty]])</f>
        <v>N/A</v>
      </c>
      <c r="Z6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8" s="1" t="str">
        <f>IF(Table1[[#This Row],[Spec Type]]="","N/A",Table1[[#This Row],[Spec Type]])</f>
        <v>±</v>
      </c>
      <c r="AC688" s="1" t="str">
        <f>IF(Table1[[#This Row],[Spec Type2]]="N/A","N/A",IF(AND(Table1[[#This Row],[DUT Adj Read]]&gt;=Table1[[#This Row],[Low Tol]],Table1[[#This Row],[DUT Adj Read]]&lt;=Table1[[#This Row],[High Tol]]),"Pass","Fail"))</f>
        <v>Fail</v>
      </c>
      <c r="AD688" s="1" t="str">
        <f>IF(AND(Table1[[#This Row],[Spec Type2]]="N/A",Table1[[#This Row],[DUT Adj Read]]="N/A",Table1[[#This Row],[Std Adj Read]]="N/A"),"N/A",IF(Table1[[#This Row],[DUT Adj Read]]="N/A",IF(Table1[[#This Row],[Std Adj Read]]&gt;Table1[[#This Row],[Low Tol]],"Pass","Fail"),IF(Table1[[#This Row],[DUT Adj Read]]&gt;Table1[[#This Row],[Low Tol]],"Pass","Fail")))</f>
        <v>Pass</v>
      </c>
      <c r="AE688" s="1" t="str">
        <f>IF(AND(Table1[[#This Row],[Spec Type2]]="N/A",Table1[[#This Row],[DUT Adj Read]]="N/A",Table1[[#This Row],[Std Adj Read]]="N/A"),"N/A",IF(Table1[[#This Row],[DUT Adj Read]]="N/A",IF(Table1[[#This Row],[Std Adj Read]]&lt;Table1[[#This Row],[High Tol]],"Pass","Fail"),IF(Table1[[#This Row],[DUT Adj Read]]&lt;Table1[[#This Row],[High Tol]],"Pass","Fail")))</f>
        <v>Fail</v>
      </c>
      <c r="AF688" s="1" t="str">
        <f>IF(AND(Table1[[#This Row],[Spec Type2]]="N/A",Table1[[#This Row],[DUT Adj Read]]="N/A",Table1[[#This Row],[Std Adj Read]]="N/A"),"N/A",IF(Table1[[#This Row],[DUT Adj Read]]="N/A",IF(Table1[[#This Row],[Std Adj Read]]&gt;=Table1[[#This Row],[Low Tol]],"Pass","Fail"),IF(Table1[[#This Row],[DUT Adj Read]]&gt;=Table1[[#This Row],[Low Tol]],"Pass","Fail")))</f>
        <v>Pass</v>
      </c>
      <c r="AG688" s="1" t="str">
        <f>IF(AND(Table1[[#This Row],[Spec Type2]]="N/A",Table1[[#This Row],[DUT Adj Read]]="N/A",Table1[[#This Row],[Std Adj Read]]="N/A"),"N/A",IF(Table1[[#This Row],[DUT Adj Read]]="N/A",IF(Table1[[#This Row],[Std Adj Read]]&lt;=Table1[[#This Row],[High Tol]],"Pass","Fail"),IF(Table1[[#This Row],[DUT Adj Read]]&lt;=Table1[[#This Row],[High Tol]],"Pass","Fail")))</f>
        <v>Fail</v>
      </c>
      <c r="AH6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8" s="1" t="b">
        <v>0</v>
      </c>
      <c r="AN688" s="1" t="b">
        <v>0</v>
      </c>
      <c r="AO688" s="1" t="b">
        <v>0</v>
      </c>
    </row>
    <row r="689" spans="1:41" x14ac:dyDescent="0.25">
      <c r="A689" s="10"/>
      <c r="B689" s="10"/>
      <c r="C689" s="10"/>
      <c r="D689" s="10"/>
      <c r="E689" s="10"/>
      <c r="F689" s="10"/>
      <c r="G689" s="10"/>
      <c r="H689" s="10"/>
      <c r="I689" s="1" t="str">
        <f t="shared" si="30"/>
        <v/>
      </c>
      <c r="J689" s="1" t="s">
        <v>35</v>
      </c>
      <c r="K689" s="1" t="str">
        <f t="shared" si="31"/>
        <v/>
      </c>
      <c r="L689" s="1" t="str">
        <f t="shared" si="32"/>
        <v/>
      </c>
      <c r="M689" s="1">
        <f>IF(OR(Table1[[#This Row],[Std Nom]]="",Table1[[#This Row],[Std Read]]=""),0,Table1[[#This Row],[Std Nom]]-Table1[[#This Row],[Std Read]])</f>
        <v>0</v>
      </c>
      <c r="N689" s="1">
        <f>IF(Calculations!$F$5="ACCREDITED 17025 WITH UNCERTAINTIES",$N$10,0)</f>
        <v>0</v>
      </c>
      <c r="Q689" s="1">
        <f>Table1[[#This Row],[High Tol]]-Table1[[#This Row],[Low Tol]]</f>
        <v>0</v>
      </c>
      <c r="R689" s="1">
        <f>2*Table1[[#This Row],[Std Error]]</f>
        <v>0</v>
      </c>
      <c r="S689" s="1" t="str">
        <f>IF(Table1[[#This Row],[High Tol]]="","N/A",IFERROR(ABS(Table1[[#This Row],[Tol Span]]/Table1[[#This Row],[Error Span]]),"N/A"))</f>
        <v>N/A</v>
      </c>
      <c r="T689" s="1" t="str">
        <f>IF(OR(Table1[[#This Row],[Low Tol]]="",Table1[[#This Row],[High Tol]]=""),"Needs Analysis",IF(Table1[[#This Row],[Ratio]]&gt;=4,"Not Significant",IF(Table1[[#This Row],[Ratio]]&gt;=2,"Semi-Significant","Significant")))</f>
        <v>Needs Analysis</v>
      </c>
      <c r="W689" s="1">
        <f>IF(Table1[[#This Row],[Cal Type]]&lt;&gt;"ACCREDITED 17025 WITH UNCERTAINTIES",0,"")</f>
        <v>0</v>
      </c>
      <c r="X689" s="1" t="str">
        <f>IF(Table1[[#This Row],[DUT Read]]="","N/A",Table1[[#This Row],[Std Error]]+Table1[[#This Row],[DUT Read]]+Table1[[#This Row],[DUT Ucty]])</f>
        <v>N/A</v>
      </c>
      <c r="Y689" s="1" t="str">
        <f>IF(Table1[[#This Row],[Std Read]]="","N/A",Table1[[#This Row],[Std Read]]+Table1[[#This Row],[Std Ucty]])</f>
        <v>N/A</v>
      </c>
      <c r="Z6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89" s="1" t="str">
        <f>IF(Table1[[#This Row],[Spec Type]]="","N/A",Table1[[#This Row],[Spec Type]])</f>
        <v>±</v>
      </c>
      <c r="AC689" s="1" t="str">
        <f>IF(Table1[[#This Row],[Spec Type2]]="N/A","N/A",IF(AND(Table1[[#This Row],[DUT Adj Read]]&gt;=Table1[[#This Row],[Low Tol]],Table1[[#This Row],[DUT Adj Read]]&lt;=Table1[[#This Row],[High Tol]]),"Pass","Fail"))</f>
        <v>Fail</v>
      </c>
      <c r="AD689" s="1" t="str">
        <f>IF(AND(Table1[[#This Row],[Spec Type2]]="N/A",Table1[[#This Row],[DUT Adj Read]]="N/A",Table1[[#This Row],[Std Adj Read]]="N/A"),"N/A",IF(Table1[[#This Row],[DUT Adj Read]]="N/A",IF(Table1[[#This Row],[Std Adj Read]]&gt;Table1[[#This Row],[Low Tol]],"Pass","Fail"),IF(Table1[[#This Row],[DUT Adj Read]]&gt;Table1[[#This Row],[Low Tol]],"Pass","Fail")))</f>
        <v>Pass</v>
      </c>
      <c r="AE689" s="1" t="str">
        <f>IF(AND(Table1[[#This Row],[Spec Type2]]="N/A",Table1[[#This Row],[DUT Adj Read]]="N/A",Table1[[#This Row],[Std Adj Read]]="N/A"),"N/A",IF(Table1[[#This Row],[DUT Adj Read]]="N/A",IF(Table1[[#This Row],[Std Adj Read]]&lt;Table1[[#This Row],[High Tol]],"Pass","Fail"),IF(Table1[[#This Row],[DUT Adj Read]]&lt;Table1[[#This Row],[High Tol]],"Pass","Fail")))</f>
        <v>Fail</v>
      </c>
      <c r="AF689" s="1" t="str">
        <f>IF(AND(Table1[[#This Row],[Spec Type2]]="N/A",Table1[[#This Row],[DUT Adj Read]]="N/A",Table1[[#This Row],[Std Adj Read]]="N/A"),"N/A",IF(Table1[[#This Row],[DUT Adj Read]]="N/A",IF(Table1[[#This Row],[Std Adj Read]]&gt;=Table1[[#This Row],[Low Tol]],"Pass","Fail"),IF(Table1[[#This Row],[DUT Adj Read]]&gt;=Table1[[#This Row],[Low Tol]],"Pass","Fail")))</f>
        <v>Pass</v>
      </c>
      <c r="AG689" s="1" t="str">
        <f>IF(AND(Table1[[#This Row],[Spec Type2]]="N/A",Table1[[#This Row],[DUT Adj Read]]="N/A",Table1[[#This Row],[Std Adj Read]]="N/A"),"N/A",IF(Table1[[#This Row],[DUT Adj Read]]="N/A",IF(Table1[[#This Row],[Std Adj Read]]&lt;=Table1[[#This Row],[High Tol]],"Pass","Fail"),IF(Table1[[#This Row],[DUT Adj Read]]&lt;=Table1[[#This Row],[High Tol]],"Pass","Fail")))</f>
        <v>Fail</v>
      </c>
      <c r="AH6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89" s="1" t="b">
        <v>0</v>
      </c>
      <c r="AN689" s="1" t="b">
        <v>0</v>
      </c>
      <c r="AO689" s="1" t="b">
        <v>0</v>
      </c>
    </row>
    <row r="690" spans="1:41" x14ac:dyDescent="0.25">
      <c r="A690" s="10"/>
      <c r="B690" s="10"/>
      <c r="C690" s="10"/>
      <c r="D690" s="10"/>
      <c r="E690" s="10"/>
      <c r="F690" s="10"/>
      <c r="G690" s="10"/>
      <c r="H690" s="10"/>
      <c r="I690" s="1" t="str">
        <f t="shared" si="30"/>
        <v/>
      </c>
      <c r="J690" s="1" t="s">
        <v>35</v>
      </c>
      <c r="K690" s="1" t="str">
        <f t="shared" si="31"/>
        <v/>
      </c>
      <c r="L690" s="1" t="str">
        <f t="shared" si="32"/>
        <v/>
      </c>
      <c r="M690" s="1">
        <f>IF(OR(Table1[[#This Row],[Std Nom]]="",Table1[[#This Row],[Std Read]]=""),0,Table1[[#This Row],[Std Nom]]-Table1[[#This Row],[Std Read]])</f>
        <v>0</v>
      </c>
      <c r="N690" s="1">
        <f>IF(Calculations!$F$5="ACCREDITED 17025 WITH UNCERTAINTIES",$N$10,0)</f>
        <v>0</v>
      </c>
      <c r="Q690" s="1">
        <f>Table1[[#This Row],[High Tol]]-Table1[[#This Row],[Low Tol]]</f>
        <v>0</v>
      </c>
      <c r="R690" s="1">
        <f>2*Table1[[#This Row],[Std Error]]</f>
        <v>0</v>
      </c>
      <c r="S690" s="1" t="str">
        <f>IF(Table1[[#This Row],[High Tol]]="","N/A",IFERROR(ABS(Table1[[#This Row],[Tol Span]]/Table1[[#This Row],[Error Span]]),"N/A"))</f>
        <v>N/A</v>
      </c>
      <c r="T690" s="1" t="str">
        <f>IF(OR(Table1[[#This Row],[Low Tol]]="",Table1[[#This Row],[High Tol]]=""),"Needs Analysis",IF(Table1[[#This Row],[Ratio]]&gt;=4,"Not Significant",IF(Table1[[#This Row],[Ratio]]&gt;=2,"Semi-Significant","Significant")))</f>
        <v>Needs Analysis</v>
      </c>
      <c r="W690" s="1">
        <f>IF(Table1[[#This Row],[Cal Type]]&lt;&gt;"ACCREDITED 17025 WITH UNCERTAINTIES",0,"")</f>
        <v>0</v>
      </c>
      <c r="X690" s="1" t="str">
        <f>IF(Table1[[#This Row],[DUT Read]]="","N/A",Table1[[#This Row],[Std Error]]+Table1[[#This Row],[DUT Read]]+Table1[[#This Row],[DUT Ucty]])</f>
        <v>N/A</v>
      </c>
      <c r="Y690" s="1" t="str">
        <f>IF(Table1[[#This Row],[Std Read]]="","N/A",Table1[[#This Row],[Std Read]]+Table1[[#This Row],[Std Ucty]])</f>
        <v>N/A</v>
      </c>
      <c r="Z6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0" s="1" t="str">
        <f>IF(Table1[[#This Row],[Spec Type]]="","N/A",Table1[[#This Row],[Spec Type]])</f>
        <v>±</v>
      </c>
      <c r="AC690" s="1" t="str">
        <f>IF(Table1[[#This Row],[Spec Type2]]="N/A","N/A",IF(AND(Table1[[#This Row],[DUT Adj Read]]&gt;=Table1[[#This Row],[Low Tol]],Table1[[#This Row],[DUT Adj Read]]&lt;=Table1[[#This Row],[High Tol]]),"Pass","Fail"))</f>
        <v>Fail</v>
      </c>
      <c r="AD690" s="1" t="str">
        <f>IF(AND(Table1[[#This Row],[Spec Type2]]="N/A",Table1[[#This Row],[DUT Adj Read]]="N/A",Table1[[#This Row],[Std Adj Read]]="N/A"),"N/A",IF(Table1[[#This Row],[DUT Adj Read]]="N/A",IF(Table1[[#This Row],[Std Adj Read]]&gt;Table1[[#This Row],[Low Tol]],"Pass","Fail"),IF(Table1[[#This Row],[DUT Adj Read]]&gt;Table1[[#This Row],[Low Tol]],"Pass","Fail")))</f>
        <v>Pass</v>
      </c>
      <c r="AE690" s="1" t="str">
        <f>IF(AND(Table1[[#This Row],[Spec Type2]]="N/A",Table1[[#This Row],[DUT Adj Read]]="N/A",Table1[[#This Row],[Std Adj Read]]="N/A"),"N/A",IF(Table1[[#This Row],[DUT Adj Read]]="N/A",IF(Table1[[#This Row],[Std Adj Read]]&lt;Table1[[#This Row],[High Tol]],"Pass","Fail"),IF(Table1[[#This Row],[DUT Adj Read]]&lt;Table1[[#This Row],[High Tol]],"Pass","Fail")))</f>
        <v>Fail</v>
      </c>
      <c r="AF690" s="1" t="str">
        <f>IF(AND(Table1[[#This Row],[Spec Type2]]="N/A",Table1[[#This Row],[DUT Adj Read]]="N/A",Table1[[#This Row],[Std Adj Read]]="N/A"),"N/A",IF(Table1[[#This Row],[DUT Adj Read]]="N/A",IF(Table1[[#This Row],[Std Adj Read]]&gt;=Table1[[#This Row],[Low Tol]],"Pass","Fail"),IF(Table1[[#This Row],[DUT Adj Read]]&gt;=Table1[[#This Row],[Low Tol]],"Pass","Fail")))</f>
        <v>Pass</v>
      </c>
      <c r="AG690" s="1" t="str">
        <f>IF(AND(Table1[[#This Row],[Spec Type2]]="N/A",Table1[[#This Row],[DUT Adj Read]]="N/A",Table1[[#This Row],[Std Adj Read]]="N/A"),"N/A",IF(Table1[[#This Row],[DUT Adj Read]]="N/A",IF(Table1[[#This Row],[Std Adj Read]]&lt;=Table1[[#This Row],[High Tol]],"Pass","Fail"),IF(Table1[[#This Row],[DUT Adj Read]]&lt;=Table1[[#This Row],[High Tol]],"Pass","Fail")))</f>
        <v>Fail</v>
      </c>
      <c r="AH6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0" s="1" t="b">
        <v>0</v>
      </c>
      <c r="AN690" s="1" t="b">
        <v>0</v>
      </c>
      <c r="AO690" s="1" t="b">
        <v>0</v>
      </c>
    </row>
    <row r="691" spans="1:41" x14ac:dyDescent="0.25">
      <c r="A691" s="10"/>
      <c r="B691" s="10"/>
      <c r="C691" s="10"/>
      <c r="D691" s="10"/>
      <c r="E691" s="10"/>
      <c r="F691" s="10"/>
      <c r="G691" s="10"/>
      <c r="H691" s="10"/>
      <c r="I691" s="1" t="str">
        <f t="shared" si="30"/>
        <v/>
      </c>
      <c r="J691" s="1" t="s">
        <v>35</v>
      </c>
      <c r="K691" s="1" t="str">
        <f t="shared" si="31"/>
        <v/>
      </c>
      <c r="L691" s="1" t="str">
        <f t="shared" si="32"/>
        <v/>
      </c>
      <c r="M691" s="1">
        <f>IF(OR(Table1[[#This Row],[Std Nom]]="",Table1[[#This Row],[Std Read]]=""),0,Table1[[#This Row],[Std Nom]]-Table1[[#This Row],[Std Read]])</f>
        <v>0</v>
      </c>
      <c r="N691" s="1">
        <f>IF(Calculations!$F$5="ACCREDITED 17025 WITH UNCERTAINTIES",$N$10,0)</f>
        <v>0</v>
      </c>
      <c r="Q691" s="1">
        <f>Table1[[#This Row],[High Tol]]-Table1[[#This Row],[Low Tol]]</f>
        <v>0</v>
      </c>
      <c r="R691" s="1">
        <f>2*Table1[[#This Row],[Std Error]]</f>
        <v>0</v>
      </c>
      <c r="S691" s="1" t="str">
        <f>IF(Table1[[#This Row],[High Tol]]="","N/A",IFERROR(ABS(Table1[[#This Row],[Tol Span]]/Table1[[#This Row],[Error Span]]),"N/A"))</f>
        <v>N/A</v>
      </c>
      <c r="T691" s="1" t="str">
        <f>IF(OR(Table1[[#This Row],[Low Tol]]="",Table1[[#This Row],[High Tol]]=""),"Needs Analysis",IF(Table1[[#This Row],[Ratio]]&gt;=4,"Not Significant",IF(Table1[[#This Row],[Ratio]]&gt;=2,"Semi-Significant","Significant")))</f>
        <v>Needs Analysis</v>
      </c>
      <c r="W691" s="1">
        <f>IF(Table1[[#This Row],[Cal Type]]&lt;&gt;"ACCREDITED 17025 WITH UNCERTAINTIES",0,"")</f>
        <v>0</v>
      </c>
      <c r="X691" s="1" t="str">
        <f>IF(Table1[[#This Row],[DUT Read]]="","N/A",Table1[[#This Row],[Std Error]]+Table1[[#This Row],[DUT Read]]+Table1[[#This Row],[DUT Ucty]])</f>
        <v>N/A</v>
      </c>
      <c r="Y691" s="1" t="str">
        <f>IF(Table1[[#This Row],[Std Read]]="","N/A",Table1[[#This Row],[Std Read]]+Table1[[#This Row],[Std Ucty]])</f>
        <v>N/A</v>
      </c>
      <c r="Z6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1" s="1" t="str">
        <f>IF(Table1[[#This Row],[Spec Type]]="","N/A",Table1[[#This Row],[Spec Type]])</f>
        <v>±</v>
      </c>
      <c r="AC691" s="1" t="str">
        <f>IF(Table1[[#This Row],[Spec Type2]]="N/A","N/A",IF(AND(Table1[[#This Row],[DUT Adj Read]]&gt;=Table1[[#This Row],[Low Tol]],Table1[[#This Row],[DUT Adj Read]]&lt;=Table1[[#This Row],[High Tol]]),"Pass","Fail"))</f>
        <v>Fail</v>
      </c>
      <c r="AD691" s="1" t="str">
        <f>IF(AND(Table1[[#This Row],[Spec Type2]]="N/A",Table1[[#This Row],[DUT Adj Read]]="N/A",Table1[[#This Row],[Std Adj Read]]="N/A"),"N/A",IF(Table1[[#This Row],[DUT Adj Read]]="N/A",IF(Table1[[#This Row],[Std Adj Read]]&gt;Table1[[#This Row],[Low Tol]],"Pass","Fail"),IF(Table1[[#This Row],[DUT Adj Read]]&gt;Table1[[#This Row],[Low Tol]],"Pass","Fail")))</f>
        <v>Pass</v>
      </c>
      <c r="AE691" s="1" t="str">
        <f>IF(AND(Table1[[#This Row],[Spec Type2]]="N/A",Table1[[#This Row],[DUT Adj Read]]="N/A",Table1[[#This Row],[Std Adj Read]]="N/A"),"N/A",IF(Table1[[#This Row],[DUT Adj Read]]="N/A",IF(Table1[[#This Row],[Std Adj Read]]&lt;Table1[[#This Row],[High Tol]],"Pass","Fail"),IF(Table1[[#This Row],[DUT Adj Read]]&lt;Table1[[#This Row],[High Tol]],"Pass","Fail")))</f>
        <v>Fail</v>
      </c>
      <c r="AF691" s="1" t="str">
        <f>IF(AND(Table1[[#This Row],[Spec Type2]]="N/A",Table1[[#This Row],[DUT Adj Read]]="N/A",Table1[[#This Row],[Std Adj Read]]="N/A"),"N/A",IF(Table1[[#This Row],[DUT Adj Read]]="N/A",IF(Table1[[#This Row],[Std Adj Read]]&gt;=Table1[[#This Row],[Low Tol]],"Pass","Fail"),IF(Table1[[#This Row],[DUT Adj Read]]&gt;=Table1[[#This Row],[Low Tol]],"Pass","Fail")))</f>
        <v>Pass</v>
      </c>
      <c r="AG691" s="1" t="str">
        <f>IF(AND(Table1[[#This Row],[Spec Type2]]="N/A",Table1[[#This Row],[DUT Adj Read]]="N/A",Table1[[#This Row],[Std Adj Read]]="N/A"),"N/A",IF(Table1[[#This Row],[DUT Adj Read]]="N/A",IF(Table1[[#This Row],[Std Adj Read]]&lt;=Table1[[#This Row],[High Tol]],"Pass","Fail"),IF(Table1[[#This Row],[DUT Adj Read]]&lt;=Table1[[#This Row],[High Tol]],"Pass","Fail")))</f>
        <v>Fail</v>
      </c>
      <c r="AH6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1" s="1" t="b">
        <v>0</v>
      </c>
      <c r="AN691" s="1" t="b">
        <v>0</v>
      </c>
      <c r="AO691" s="1" t="b">
        <v>0</v>
      </c>
    </row>
    <row r="692" spans="1:41" x14ac:dyDescent="0.25">
      <c r="A692" s="10"/>
      <c r="B692" s="10"/>
      <c r="C692" s="10"/>
      <c r="D692" s="10"/>
      <c r="E692" s="10"/>
      <c r="F692" s="10"/>
      <c r="G692" s="10"/>
      <c r="H692" s="10"/>
      <c r="I692" s="1" t="str">
        <f t="shared" si="30"/>
        <v/>
      </c>
      <c r="J692" s="1" t="s">
        <v>35</v>
      </c>
      <c r="K692" s="1" t="str">
        <f t="shared" si="31"/>
        <v/>
      </c>
      <c r="L692" s="1" t="str">
        <f t="shared" si="32"/>
        <v/>
      </c>
      <c r="M692" s="1">
        <f>IF(OR(Table1[[#This Row],[Std Nom]]="",Table1[[#This Row],[Std Read]]=""),0,Table1[[#This Row],[Std Nom]]-Table1[[#This Row],[Std Read]])</f>
        <v>0</v>
      </c>
      <c r="N692" s="1">
        <f>IF(Calculations!$F$5="ACCREDITED 17025 WITH UNCERTAINTIES",$N$10,0)</f>
        <v>0</v>
      </c>
      <c r="Q692" s="1">
        <f>Table1[[#This Row],[High Tol]]-Table1[[#This Row],[Low Tol]]</f>
        <v>0</v>
      </c>
      <c r="R692" s="1">
        <f>2*Table1[[#This Row],[Std Error]]</f>
        <v>0</v>
      </c>
      <c r="S692" s="1" t="str">
        <f>IF(Table1[[#This Row],[High Tol]]="","N/A",IFERROR(ABS(Table1[[#This Row],[Tol Span]]/Table1[[#This Row],[Error Span]]),"N/A"))</f>
        <v>N/A</v>
      </c>
      <c r="T692" s="1" t="str">
        <f>IF(OR(Table1[[#This Row],[Low Tol]]="",Table1[[#This Row],[High Tol]]=""),"Needs Analysis",IF(Table1[[#This Row],[Ratio]]&gt;=4,"Not Significant",IF(Table1[[#This Row],[Ratio]]&gt;=2,"Semi-Significant","Significant")))</f>
        <v>Needs Analysis</v>
      </c>
      <c r="W692" s="1">
        <f>IF(Table1[[#This Row],[Cal Type]]&lt;&gt;"ACCREDITED 17025 WITH UNCERTAINTIES",0,"")</f>
        <v>0</v>
      </c>
      <c r="X692" s="1" t="str">
        <f>IF(Table1[[#This Row],[DUT Read]]="","N/A",Table1[[#This Row],[Std Error]]+Table1[[#This Row],[DUT Read]]+Table1[[#This Row],[DUT Ucty]])</f>
        <v>N/A</v>
      </c>
      <c r="Y692" s="1" t="str">
        <f>IF(Table1[[#This Row],[Std Read]]="","N/A",Table1[[#This Row],[Std Read]]+Table1[[#This Row],[Std Ucty]])</f>
        <v>N/A</v>
      </c>
      <c r="Z6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2" s="1" t="str">
        <f>IF(Table1[[#This Row],[Spec Type]]="","N/A",Table1[[#This Row],[Spec Type]])</f>
        <v>±</v>
      </c>
      <c r="AC692" s="1" t="str">
        <f>IF(Table1[[#This Row],[Spec Type2]]="N/A","N/A",IF(AND(Table1[[#This Row],[DUT Adj Read]]&gt;=Table1[[#This Row],[Low Tol]],Table1[[#This Row],[DUT Adj Read]]&lt;=Table1[[#This Row],[High Tol]]),"Pass","Fail"))</f>
        <v>Fail</v>
      </c>
      <c r="AD692" s="1" t="str">
        <f>IF(AND(Table1[[#This Row],[Spec Type2]]="N/A",Table1[[#This Row],[DUT Adj Read]]="N/A",Table1[[#This Row],[Std Adj Read]]="N/A"),"N/A",IF(Table1[[#This Row],[DUT Adj Read]]="N/A",IF(Table1[[#This Row],[Std Adj Read]]&gt;Table1[[#This Row],[Low Tol]],"Pass","Fail"),IF(Table1[[#This Row],[DUT Adj Read]]&gt;Table1[[#This Row],[Low Tol]],"Pass","Fail")))</f>
        <v>Pass</v>
      </c>
      <c r="AE692" s="1" t="str">
        <f>IF(AND(Table1[[#This Row],[Spec Type2]]="N/A",Table1[[#This Row],[DUT Adj Read]]="N/A",Table1[[#This Row],[Std Adj Read]]="N/A"),"N/A",IF(Table1[[#This Row],[DUT Adj Read]]="N/A",IF(Table1[[#This Row],[Std Adj Read]]&lt;Table1[[#This Row],[High Tol]],"Pass","Fail"),IF(Table1[[#This Row],[DUT Adj Read]]&lt;Table1[[#This Row],[High Tol]],"Pass","Fail")))</f>
        <v>Fail</v>
      </c>
      <c r="AF692" s="1" t="str">
        <f>IF(AND(Table1[[#This Row],[Spec Type2]]="N/A",Table1[[#This Row],[DUT Adj Read]]="N/A",Table1[[#This Row],[Std Adj Read]]="N/A"),"N/A",IF(Table1[[#This Row],[DUT Adj Read]]="N/A",IF(Table1[[#This Row],[Std Adj Read]]&gt;=Table1[[#This Row],[Low Tol]],"Pass","Fail"),IF(Table1[[#This Row],[DUT Adj Read]]&gt;=Table1[[#This Row],[Low Tol]],"Pass","Fail")))</f>
        <v>Pass</v>
      </c>
      <c r="AG692" s="1" t="str">
        <f>IF(AND(Table1[[#This Row],[Spec Type2]]="N/A",Table1[[#This Row],[DUT Adj Read]]="N/A",Table1[[#This Row],[Std Adj Read]]="N/A"),"N/A",IF(Table1[[#This Row],[DUT Adj Read]]="N/A",IF(Table1[[#This Row],[Std Adj Read]]&lt;=Table1[[#This Row],[High Tol]],"Pass","Fail"),IF(Table1[[#This Row],[DUT Adj Read]]&lt;=Table1[[#This Row],[High Tol]],"Pass","Fail")))</f>
        <v>Fail</v>
      </c>
      <c r="AH6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2" s="1" t="b">
        <v>0</v>
      </c>
      <c r="AN692" s="1" t="b">
        <v>0</v>
      </c>
      <c r="AO692" s="1" t="b">
        <v>0</v>
      </c>
    </row>
    <row r="693" spans="1:41" x14ac:dyDescent="0.25">
      <c r="A693" s="10"/>
      <c r="B693" s="10"/>
      <c r="C693" s="10"/>
      <c r="D693" s="10"/>
      <c r="E693" s="10"/>
      <c r="F693" s="10"/>
      <c r="G693" s="10"/>
      <c r="H693" s="10"/>
      <c r="I693" s="1" t="str">
        <f t="shared" si="30"/>
        <v/>
      </c>
      <c r="J693" s="1" t="s">
        <v>35</v>
      </c>
      <c r="K693" s="1" t="str">
        <f t="shared" si="31"/>
        <v/>
      </c>
      <c r="L693" s="1" t="str">
        <f t="shared" si="32"/>
        <v/>
      </c>
      <c r="M693" s="1">
        <f>IF(OR(Table1[[#This Row],[Std Nom]]="",Table1[[#This Row],[Std Read]]=""),0,Table1[[#This Row],[Std Nom]]-Table1[[#This Row],[Std Read]])</f>
        <v>0</v>
      </c>
      <c r="N693" s="1">
        <f>IF(Calculations!$F$5="ACCREDITED 17025 WITH UNCERTAINTIES",$N$10,0)</f>
        <v>0</v>
      </c>
      <c r="Q693" s="1">
        <f>Table1[[#This Row],[High Tol]]-Table1[[#This Row],[Low Tol]]</f>
        <v>0</v>
      </c>
      <c r="R693" s="1">
        <f>2*Table1[[#This Row],[Std Error]]</f>
        <v>0</v>
      </c>
      <c r="S693" s="1" t="str">
        <f>IF(Table1[[#This Row],[High Tol]]="","N/A",IFERROR(ABS(Table1[[#This Row],[Tol Span]]/Table1[[#This Row],[Error Span]]),"N/A"))</f>
        <v>N/A</v>
      </c>
      <c r="T693" s="1" t="str">
        <f>IF(OR(Table1[[#This Row],[Low Tol]]="",Table1[[#This Row],[High Tol]]=""),"Needs Analysis",IF(Table1[[#This Row],[Ratio]]&gt;=4,"Not Significant",IF(Table1[[#This Row],[Ratio]]&gt;=2,"Semi-Significant","Significant")))</f>
        <v>Needs Analysis</v>
      </c>
      <c r="W693" s="1">
        <f>IF(Table1[[#This Row],[Cal Type]]&lt;&gt;"ACCREDITED 17025 WITH UNCERTAINTIES",0,"")</f>
        <v>0</v>
      </c>
      <c r="X693" s="1" t="str">
        <f>IF(Table1[[#This Row],[DUT Read]]="","N/A",Table1[[#This Row],[Std Error]]+Table1[[#This Row],[DUT Read]]+Table1[[#This Row],[DUT Ucty]])</f>
        <v>N/A</v>
      </c>
      <c r="Y693" s="1" t="str">
        <f>IF(Table1[[#This Row],[Std Read]]="","N/A",Table1[[#This Row],[Std Read]]+Table1[[#This Row],[Std Ucty]])</f>
        <v>N/A</v>
      </c>
      <c r="Z6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3" s="1" t="str">
        <f>IF(Table1[[#This Row],[Spec Type]]="","N/A",Table1[[#This Row],[Spec Type]])</f>
        <v>±</v>
      </c>
      <c r="AC693" s="1" t="str">
        <f>IF(Table1[[#This Row],[Spec Type2]]="N/A","N/A",IF(AND(Table1[[#This Row],[DUT Adj Read]]&gt;=Table1[[#This Row],[Low Tol]],Table1[[#This Row],[DUT Adj Read]]&lt;=Table1[[#This Row],[High Tol]]),"Pass","Fail"))</f>
        <v>Fail</v>
      </c>
      <c r="AD693" s="1" t="str">
        <f>IF(AND(Table1[[#This Row],[Spec Type2]]="N/A",Table1[[#This Row],[DUT Adj Read]]="N/A",Table1[[#This Row],[Std Adj Read]]="N/A"),"N/A",IF(Table1[[#This Row],[DUT Adj Read]]="N/A",IF(Table1[[#This Row],[Std Adj Read]]&gt;Table1[[#This Row],[Low Tol]],"Pass","Fail"),IF(Table1[[#This Row],[DUT Adj Read]]&gt;Table1[[#This Row],[Low Tol]],"Pass","Fail")))</f>
        <v>Pass</v>
      </c>
      <c r="AE693" s="1" t="str">
        <f>IF(AND(Table1[[#This Row],[Spec Type2]]="N/A",Table1[[#This Row],[DUT Adj Read]]="N/A",Table1[[#This Row],[Std Adj Read]]="N/A"),"N/A",IF(Table1[[#This Row],[DUT Adj Read]]="N/A",IF(Table1[[#This Row],[Std Adj Read]]&lt;Table1[[#This Row],[High Tol]],"Pass","Fail"),IF(Table1[[#This Row],[DUT Adj Read]]&lt;Table1[[#This Row],[High Tol]],"Pass","Fail")))</f>
        <v>Fail</v>
      </c>
      <c r="AF693" s="1" t="str">
        <f>IF(AND(Table1[[#This Row],[Spec Type2]]="N/A",Table1[[#This Row],[DUT Adj Read]]="N/A",Table1[[#This Row],[Std Adj Read]]="N/A"),"N/A",IF(Table1[[#This Row],[DUT Adj Read]]="N/A",IF(Table1[[#This Row],[Std Adj Read]]&gt;=Table1[[#This Row],[Low Tol]],"Pass","Fail"),IF(Table1[[#This Row],[DUT Adj Read]]&gt;=Table1[[#This Row],[Low Tol]],"Pass","Fail")))</f>
        <v>Pass</v>
      </c>
      <c r="AG693" s="1" t="str">
        <f>IF(AND(Table1[[#This Row],[Spec Type2]]="N/A",Table1[[#This Row],[DUT Adj Read]]="N/A",Table1[[#This Row],[Std Adj Read]]="N/A"),"N/A",IF(Table1[[#This Row],[DUT Adj Read]]="N/A",IF(Table1[[#This Row],[Std Adj Read]]&lt;=Table1[[#This Row],[High Tol]],"Pass","Fail"),IF(Table1[[#This Row],[DUT Adj Read]]&lt;=Table1[[#This Row],[High Tol]],"Pass","Fail")))</f>
        <v>Fail</v>
      </c>
      <c r="AH6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3" s="1" t="b">
        <v>0</v>
      </c>
      <c r="AN693" s="1" t="b">
        <v>0</v>
      </c>
      <c r="AO693" s="1" t="b">
        <v>0</v>
      </c>
    </row>
    <row r="694" spans="1:41" x14ac:dyDescent="0.25">
      <c r="A694" s="10"/>
      <c r="B694" s="10"/>
      <c r="C694" s="10"/>
      <c r="D694" s="10"/>
      <c r="E694" s="10"/>
      <c r="F694" s="10"/>
      <c r="G694" s="10"/>
      <c r="H694" s="10"/>
      <c r="I694" s="1" t="str">
        <f t="shared" si="30"/>
        <v/>
      </c>
      <c r="J694" s="1" t="s">
        <v>35</v>
      </c>
      <c r="K694" s="1" t="str">
        <f t="shared" si="31"/>
        <v/>
      </c>
      <c r="L694" s="1" t="str">
        <f t="shared" si="32"/>
        <v/>
      </c>
      <c r="M694" s="1">
        <f>IF(OR(Table1[[#This Row],[Std Nom]]="",Table1[[#This Row],[Std Read]]=""),0,Table1[[#This Row],[Std Nom]]-Table1[[#This Row],[Std Read]])</f>
        <v>0</v>
      </c>
      <c r="N694" s="1">
        <f>IF(Calculations!$F$5="ACCREDITED 17025 WITH UNCERTAINTIES",$N$10,0)</f>
        <v>0</v>
      </c>
      <c r="Q694" s="1">
        <f>Table1[[#This Row],[High Tol]]-Table1[[#This Row],[Low Tol]]</f>
        <v>0</v>
      </c>
      <c r="R694" s="1">
        <f>2*Table1[[#This Row],[Std Error]]</f>
        <v>0</v>
      </c>
      <c r="S694" s="1" t="str">
        <f>IF(Table1[[#This Row],[High Tol]]="","N/A",IFERROR(ABS(Table1[[#This Row],[Tol Span]]/Table1[[#This Row],[Error Span]]),"N/A"))</f>
        <v>N/A</v>
      </c>
      <c r="T694" s="1" t="str">
        <f>IF(OR(Table1[[#This Row],[Low Tol]]="",Table1[[#This Row],[High Tol]]=""),"Needs Analysis",IF(Table1[[#This Row],[Ratio]]&gt;=4,"Not Significant",IF(Table1[[#This Row],[Ratio]]&gt;=2,"Semi-Significant","Significant")))</f>
        <v>Needs Analysis</v>
      </c>
      <c r="W694" s="1">
        <f>IF(Table1[[#This Row],[Cal Type]]&lt;&gt;"ACCREDITED 17025 WITH UNCERTAINTIES",0,"")</f>
        <v>0</v>
      </c>
      <c r="X694" s="1" t="str">
        <f>IF(Table1[[#This Row],[DUT Read]]="","N/A",Table1[[#This Row],[Std Error]]+Table1[[#This Row],[DUT Read]]+Table1[[#This Row],[DUT Ucty]])</f>
        <v>N/A</v>
      </c>
      <c r="Y694" s="1" t="str">
        <f>IF(Table1[[#This Row],[Std Read]]="","N/A",Table1[[#This Row],[Std Read]]+Table1[[#This Row],[Std Ucty]])</f>
        <v>N/A</v>
      </c>
      <c r="Z6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4" s="1" t="str">
        <f>IF(Table1[[#This Row],[Spec Type]]="","N/A",Table1[[#This Row],[Spec Type]])</f>
        <v>±</v>
      </c>
      <c r="AC694" s="1" t="str">
        <f>IF(Table1[[#This Row],[Spec Type2]]="N/A","N/A",IF(AND(Table1[[#This Row],[DUT Adj Read]]&gt;=Table1[[#This Row],[Low Tol]],Table1[[#This Row],[DUT Adj Read]]&lt;=Table1[[#This Row],[High Tol]]),"Pass","Fail"))</f>
        <v>Fail</v>
      </c>
      <c r="AD694" s="1" t="str">
        <f>IF(AND(Table1[[#This Row],[Spec Type2]]="N/A",Table1[[#This Row],[DUT Adj Read]]="N/A",Table1[[#This Row],[Std Adj Read]]="N/A"),"N/A",IF(Table1[[#This Row],[DUT Adj Read]]="N/A",IF(Table1[[#This Row],[Std Adj Read]]&gt;Table1[[#This Row],[Low Tol]],"Pass","Fail"),IF(Table1[[#This Row],[DUT Adj Read]]&gt;Table1[[#This Row],[Low Tol]],"Pass","Fail")))</f>
        <v>Pass</v>
      </c>
      <c r="AE694" s="1" t="str">
        <f>IF(AND(Table1[[#This Row],[Spec Type2]]="N/A",Table1[[#This Row],[DUT Adj Read]]="N/A",Table1[[#This Row],[Std Adj Read]]="N/A"),"N/A",IF(Table1[[#This Row],[DUT Adj Read]]="N/A",IF(Table1[[#This Row],[Std Adj Read]]&lt;Table1[[#This Row],[High Tol]],"Pass","Fail"),IF(Table1[[#This Row],[DUT Adj Read]]&lt;Table1[[#This Row],[High Tol]],"Pass","Fail")))</f>
        <v>Fail</v>
      </c>
      <c r="AF694" s="1" t="str">
        <f>IF(AND(Table1[[#This Row],[Spec Type2]]="N/A",Table1[[#This Row],[DUT Adj Read]]="N/A",Table1[[#This Row],[Std Adj Read]]="N/A"),"N/A",IF(Table1[[#This Row],[DUT Adj Read]]="N/A",IF(Table1[[#This Row],[Std Adj Read]]&gt;=Table1[[#This Row],[Low Tol]],"Pass","Fail"),IF(Table1[[#This Row],[DUT Adj Read]]&gt;=Table1[[#This Row],[Low Tol]],"Pass","Fail")))</f>
        <v>Pass</v>
      </c>
      <c r="AG694" s="1" t="str">
        <f>IF(AND(Table1[[#This Row],[Spec Type2]]="N/A",Table1[[#This Row],[DUT Adj Read]]="N/A",Table1[[#This Row],[Std Adj Read]]="N/A"),"N/A",IF(Table1[[#This Row],[DUT Adj Read]]="N/A",IF(Table1[[#This Row],[Std Adj Read]]&lt;=Table1[[#This Row],[High Tol]],"Pass","Fail"),IF(Table1[[#This Row],[DUT Adj Read]]&lt;=Table1[[#This Row],[High Tol]],"Pass","Fail")))</f>
        <v>Fail</v>
      </c>
      <c r="AH6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4" s="1" t="b">
        <v>0</v>
      </c>
      <c r="AN694" s="1" t="b">
        <v>0</v>
      </c>
      <c r="AO694" s="1" t="b">
        <v>0</v>
      </c>
    </row>
    <row r="695" spans="1:41" x14ac:dyDescent="0.25">
      <c r="A695" s="10"/>
      <c r="B695" s="10"/>
      <c r="C695" s="10"/>
      <c r="D695" s="10"/>
      <c r="E695" s="10"/>
      <c r="F695" s="10"/>
      <c r="G695" s="10"/>
      <c r="H695" s="10"/>
      <c r="I695" s="1" t="str">
        <f t="shared" si="30"/>
        <v/>
      </c>
      <c r="J695" s="1" t="s">
        <v>35</v>
      </c>
      <c r="K695" s="1" t="str">
        <f t="shared" si="31"/>
        <v/>
      </c>
      <c r="L695" s="1" t="str">
        <f t="shared" si="32"/>
        <v/>
      </c>
      <c r="M695" s="1">
        <f>IF(OR(Table1[[#This Row],[Std Nom]]="",Table1[[#This Row],[Std Read]]=""),0,Table1[[#This Row],[Std Nom]]-Table1[[#This Row],[Std Read]])</f>
        <v>0</v>
      </c>
      <c r="N695" s="1">
        <f>IF(Calculations!$F$5="ACCREDITED 17025 WITH UNCERTAINTIES",$N$10,0)</f>
        <v>0</v>
      </c>
      <c r="Q695" s="1">
        <f>Table1[[#This Row],[High Tol]]-Table1[[#This Row],[Low Tol]]</f>
        <v>0</v>
      </c>
      <c r="R695" s="1">
        <f>2*Table1[[#This Row],[Std Error]]</f>
        <v>0</v>
      </c>
      <c r="S695" s="1" t="str">
        <f>IF(Table1[[#This Row],[High Tol]]="","N/A",IFERROR(ABS(Table1[[#This Row],[Tol Span]]/Table1[[#This Row],[Error Span]]),"N/A"))</f>
        <v>N/A</v>
      </c>
      <c r="T695" s="1" t="str">
        <f>IF(OR(Table1[[#This Row],[Low Tol]]="",Table1[[#This Row],[High Tol]]=""),"Needs Analysis",IF(Table1[[#This Row],[Ratio]]&gt;=4,"Not Significant",IF(Table1[[#This Row],[Ratio]]&gt;=2,"Semi-Significant","Significant")))</f>
        <v>Needs Analysis</v>
      </c>
      <c r="W695" s="1">
        <f>IF(Table1[[#This Row],[Cal Type]]&lt;&gt;"ACCREDITED 17025 WITH UNCERTAINTIES",0,"")</f>
        <v>0</v>
      </c>
      <c r="X695" s="1" t="str">
        <f>IF(Table1[[#This Row],[DUT Read]]="","N/A",Table1[[#This Row],[Std Error]]+Table1[[#This Row],[DUT Read]]+Table1[[#This Row],[DUT Ucty]])</f>
        <v>N/A</v>
      </c>
      <c r="Y695" s="1" t="str">
        <f>IF(Table1[[#This Row],[Std Read]]="","N/A",Table1[[#This Row],[Std Read]]+Table1[[#This Row],[Std Ucty]])</f>
        <v>N/A</v>
      </c>
      <c r="Z6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5" s="1" t="str">
        <f>IF(Table1[[#This Row],[Spec Type]]="","N/A",Table1[[#This Row],[Spec Type]])</f>
        <v>±</v>
      </c>
      <c r="AC695" s="1" t="str">
        <f>IF(Table1[[#This Row],[Spec Type2]]="N/A","N/A",IF(AND(Table1[[#This Row],[DUT Adj Read]]&gt;=Table1[[#This Row],[Low Tol]],Table1[[#This Row],[DUT Adj Read]]&lt;=Table1[[#This Row],[High Tol]]),"Pass","Fail"))</f>
        <v>Fail</v>
      </c>
      <c r="AD695" s="1" t="str">
        <f>IF(AND(Table1[[#This Row],[Spec Type2]]="N/A",Table1[[#This Row],[DUT Adj Read]]="N/A",Table1[[#This Row],[Std Adj Read]]="N/A"),"N/A",IF(Table1[[#This Row],[DUT Adj Read]]="N/A",IF(Table1[[#This Row],[Std Adj Read]]&gt;Table1[[#This Row],[Low Tol]],"Pass","Fail"),IF(Table1[[#This Row],[DUT Adj Read]]&gt;Table1[[#This Row],[Low Tol]],"Pass","Fail")))</f>
        <v>Pass</v>
      </c>
      <c r="AE695" s="1" t="str">
        <f>IF(AND(Table1[[#This Row],[Spec Type2]]="N/A",Table1[[#This Row],[DUT Adj Read]]="N/A",Table1[[#This Row],[Std Adj Read]]="N/A"),"N/A",IF(Table1[[#This Row],[DUT Adj Read]]="N/A",IF(Table1[[#This Row],[Std Adj Read]]&lt;Table1[[#This Row],[High Tol]],"Pass","Fail"),IF(Table1[[#This Row],[DUT Adj Read]]&lt;Table1[[#This Row],[High Tol]],"Pass","Fail")))</f>
        <v>Fail</v>
      </c>
      <c r="AF695" s="1" t="str">
        <f>IF(AND(Table1[[#This Row],[Spec Type2]]="N/A",Table1[[#This Row],[DUT Adj Read]]="N/A",Table1[[#This Row],[Std Adj Read]]="N/A"),"N/A",IF(Table1[[#This Row],[DUT Adj Read]]="N/A",IF(Table1[[#This Row],[Std Adj Read]]&gt;=Table1[[#This Row],[Low Tol]],"Pass","Fail"),IF(Table1[[#This Row],[DUT Adj Read]]&gt;=Table1[[#This Row],[Low Tol]],"Pass","Fail")))</f>
        <v>Pass</v>
      </c>
      <c r="AG695" s="1" t="str">
        <f>IF(AND(Table1[[#This Row],[Spec Type2]]="N/A",Table1[[#This Row],[DUT Adj Read]]="N/A",Table1[[#This Row],[Std Adj Read]]="N/A"),"N/A",IF(Table1[[#This Row],[DUT Adj Read]]="N/A",IF(Table1[[#This Row],[Std Adj Read]]&lt;=Table1[[#This Row],[High Tol]],"Pass","Fail"),IF(Table1[[#This Row],[DUT Adj Read]]&lt;=Table1[[#This Row],[High Tol]],"Pass","Fail")))</f>
        <v>Fail</v>
      </c>
      <c r="AH6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5" s="1" t="b">
        <v>0</v>
      </c>
      <c r="AN695" s="1" t="b">
        <v>0</v>
      </c>
      <c r="AO695" s="1" t="b">
        <v>0</v>
      </c>
    </row>
    <row r="696" spans="1:41" x14ac:dyDescent="0.25">
      <c r="A696" s="10"/>
      <c r="B696" s="10"/>
      <c r="C696" s="10"/>
      <c r="D696" s="10"/>
      <c r="E696" s="10"/>
      <c r="F696" s="10"/>
      <c r="G696" s="10"/>
      <c r="H696" s="10"/>
      <c r="I696" s="1" t="str">
        <f t="shared" si="30"/>
        <v/>
      </c>
      <c r="J696" s="1" t="s">
        <v>35</v>
      </c>
      <c r="K696" s="1" t="str">
        <f t="shared" si="31"/>
        <v/>
      </c>
      <c r="L696" s="1" t="str">
        <f t="shared" si="32"/>
        <v/>
      </c>
      <c r="M696" s="1">
        <f>IF(OR(Table1[[#This Row],[Std Nom]]="",Table1[[#This Row],[Std Read]]=""),0,Table1[[#This Row],[Std Nom]]-Table1[[#This Row],[Std Read]])</f>
        <v>0</v>
      </c>
      <c r="N696" s="1">
        <f>IF(Calculations!$F$5="ACCREDITED 17025 WITH UNCERTAINTIES",$N$10,0)</f>
        <v>0</v>
      </c>
      <c r="Q696" s="1">
        <f>Table1[[#This Row],[High Tol]]-Table1[[#This Row],[Low Tol]]</f>
        <v>0</v>
      </c>
      <c r="R696" s="1">
        <f>2*Table1[[#This Row],[Std Error]]</f>
        <v>0</v>
      </c>
      <c r="S696" s="1" t="str">
        <f>IF(Table1[[#This Row],[High Tol]]="","N/A",IFERROR(ABS(Table1[[#This Row],[Tol Span]]/Table1[[#This Row],[Error Span]]),"N/A"))</f>
        <v>N/A</v>
      </c>
      <c r="T696" s="1" t="str">
        <f>IF(OR(Table1[[#This Row],[Low Tol]]="",Table1[[#This Row],[High Tol]]=""),"Needs Analysis",IF(Table1[[#This Row],[Ratio]]&gt;=4,"Not Significant",IF(Table1[[#This Row],[Ratio]]&gt;=2,"Semi-Significant","Significant")))</f>
        <v>Needs Analysis</v>
      </c>
      <c r="W696" s="1">
        <f>IF(Table1[[#This Row],[Cal Type]]&lt;&gt;"ACCREDITED 17025 WITH UNCERTAINTIES",0,"")</f>
        <v>0</v>
      </c>
      <c r="X696" s="1" t="str">
        <f>IF(Table1[[#This Row],[DUT Read]]="","N/A",Table1[[#This Row],[Std Error]]+Table1[[#This Row],[DUT Read]]+Table1[[#This Row],[DUT Ucty]])</f>
        <v>N/A</v>
      </c>
      <c r="Y696" s="1" t="str">
        <f>IF(Table1[[#This Row],[Std Read]]="","N/A",Table1[[#This Row],[Std Read]]+Table1[[#This Row],[Std Ucty]])</f>
        <v>N/A</v>
      </c>
      <c r="Z6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6" s="1" t="str">
        <f>IF(Table1[[#This Row],[Spec Type]]="","N/A",Table1[[#This Row],[Spec Type]])</f>
        <v>±</v>
      </c>
      <c r="AC696" s="1" t="str">
        <f>IF(Table1[[#This Row],[Spec Type2]]="N/A","N/A",IF(AND(Table1[[#This Row],[DUT Adj Read]]&gt;=Table1[[#This Row],[Low Tol]],Table1[[#This Row],[DUT Adj Read]]&lt;=Table1[[#This Row],[High Tol]]),"Pass","Fail"))</f>
        <v>Fail</v>
      </c>
      <c r="AD696" s="1" t="str">
        <f>IF(AND(Table1[[#This Row],[Spec Type2]]="N/A",Table1[[#This Row],[DUT Adj Read]]="N/A",Table1[[#This Row],[Std Adj Read]]="N/A"),"N/A",IF(Table1[[#This Row],[DUT Adj Read]]="N/A",IF(Table1[[#This Row],[Std Adj Read]]&gt;Table1[[#This Row],[Low Tol]],"Pass","Fail"),IF(Table1[[#This Row],[DUT Adj Read]]&gt;Table1[[#This Row],[Low Tol]],"Pass","Fail")))</f>
        <v>Pass</v>
      </c>
      <c r="AE696" s="1" t="str">
        <f>IF(AND(Table1[[#This Row],[Spec Type2]]="N/A",Table1[[#This Row],[DUT Adj Read]]="N/A",Table1[[#This Row],[Std Adj Read]]="N/A"),"N/A",IF(Table1[[#This Row],[DUT Adj Read]]="N/A",IF(Table1[[#This Row],[Std Adj Read]]&lt;Table1[[#This Row],[High Tol]],"Pass","Fail"),IF(Table1[[#This Row],[DUT Adj Read]]&lt;Table1[[#This Row],[High Tol]],"Pass","Fail")))</f>
        <v>Fail</v>
      </c>
      <c r="AF696" s="1" t="str">
        <f>IF(AND(Table1[[#This Row],[Spec Type2]]="N/A",Table1[[#This Row],[DUT Adj Read]]="N/A",Table1[[#This Row],[Std Adj Read]]="N/A"),"N/A",IF(Table1[[#This Row],[DUT Adj Read]]="N/A",IF(Table1[[#This Row],[Std Adj Read]]&gt;=Table1[[#This Row],[Low Tol]],"Pass","Fail"),IF(Table1[[#This Row],[DUT Adj Read]]&gt;=Table1[[#This Row],[Low Tol]],"Pass","Fail")))</f>
        <v>Pass</v>
      </c>
      <c r="AG696" s="1" t="str">
        <f>IF(AND(Table1[[#This Row],[Spec Type2]]="N/A",Table1[[#This Row],[DUT Adj Read]]="N/A",Table1[[#This Row],[Std Adj Read]]="N/A"),"N/A",IF(Table1[[#This Row],[DUT Adj Read]]="N/A",IF(Table1[[#This Row],[Std Adj Read]]&lt;=Table1[[#This Row],[High Tol]],"Pass","Fail"),IF(Table1[[#This Row],[DUT Adj Read]]&lt;=Table1[[#This Row],[High Tol]],"Pass","Fail")))</f>
        <v>Fail</v>
      </c>
      <c r="AH6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6" s="1" t="b">
        <v>0</v>
      </c>
      <c r="AN696" s="1" t="b">
        <v>0</v>
      </c>
      <c r="AO696" s="1" t="b">
        <v>0</v>
      </c>
    </row>
    <row r="697" spans="1:41" x14ac:dyDescent="0.25">
      <c r="A697" s="10"/>
      <c r="B697" s="10"/>
      <c r="C697" s="10"/>
      <c r="D697" s="10"/>
      <c r="E697" s="10"/>
      <c r="F697" s="10"/>
      <c r="G697" s="10"/>
      <c r="H697" s="10"/>
      <c r="I697" s="1" t="str">
        <f t="shared" si="30"/>
        <v/>
      </c>
      <c r="J697" s="1" t="s">
        <v>35</v>
      </c>
      <c r="K697" s="1" t="str">
        <f t="shared" si="31"/>
        <v/>
      </c>
      <c r="L697" s="1" t="str">
        <f t="shared" si="32"/>
        <v/>
      </c>
      <c r="M697" s="1">
        <f>IF(OR(Table1[[#This Row],[Std Nom]]="",Table1[[#This Row],[Std Read]]=""),0,Table1[[#This Row],[Std Nom]]-Table1[[#This Row],[Std Read]])</f>
        <v>0</v>
      </c>
      <c r="N697" s="1">
        <f>IF(Calculations!$F$5="ACCREDITED 17025 WITH UNCERTAINTIES",$N$10,0)</f>
        <v>0</v>
      </c>
      <c r="Q697" s="1">
        <f>Table1[[#This Row],[High Tol]]-Table1[[#This Row],[Low Tol]]</f>
        <v>0</v>
      </c>
      <c r="R697" s="1">
        <f>2*Table1[[#This Row],[Std Error]]</f>
        <v>0</v>
      </c>
      <c r="S697" s="1" t="str">
        <f>IF(Table1[[#This Row],[High Tol]]="","N/A",IFERROR(ABS(Table1[[#This Row],[Tol Span]]/Table1[[#This Row],[Error Span]]),"N/A"))</f>
        <v>N/A</v>
      </c>
      <c r="T697" s="1" t="str">
        <f>IF(OR(Table1[[#This Row],[Low Tol]]="",Table1[[#This Row],[High Tol]]=""),"Needs Analysis",IF(Table1[[#This Row],[Ratio]]&gt;=4,"Not Significant",IF(Table1[[#This Row],[Ratio]]&gt;=2,"Semi-Significant","Significant")))</f>
        <v>Needs Analysis</v>
      </c>
      <c r="W697" s="1">
        <f>IF(Table1[[#This Row],[Cal Type]]&lt;&gt;"ACCREDITED 17025 WITH UNCERTAINTIES",0,"")</f>
        <v>0</v>
      </c>
      <c r="X697" s="1" t="str">
        <f>IF(Table1[[#This Row],[DUT Read]]="","N/A",Table1[[#This Row],[Std Error]]+Table1[[#This Row],[DUT Read]]+Table1[[#This Row],[DUT Ucty]])</f>
        <v>N/A</v>
      </c>
      <c r="Y697" s="1" t="str">
        <f>IF(Table1[[#This Row],[Std Read]]="","N/A",Table1[[#This Row],[Std Read]]+Table1[[#This Row],[Std Ucty]])</f>
        <v>N/A</v>
      </c>
      <c r="Z6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7" s="1" t="str">
        <f>IF(Table1[[#This Row],[Spec Type]]="","N/A",Table1[[#This Row],[Spec Type]])</f>
        <v>±</v>
      </c>
      <c r="AC697" s="1" t="str">
        <f>IF(Table1[[#This Row],[Spec Type2]]="N/A","N/A",IF(AND(Table1[[#This Row],[DUT Adj Read]]&gt;=Table1[[#This Row],[Low Tol]],Table1[[#This Row],[DUT Adj Read]]&lt;=Table1[[#This Row],[High Tol]]),"Pass","Fail"))</f>
        <v>Fail</v>
      </c>
      <c r="AD697" s="1" t="str">
        <f>IF(AND(Table1[[#This Row],[Spec Type2]]="N/A",Table1[[#This Row],[DUT Adj Read]]="N/A",Table1[[#This Row],[Std Adj Read]]="N/A"),"N/A",IF(Table1[[#This Row],[DUT Adj Read]]="N/A",IF(Table1[[#This Row],[Std Adj Read]]&gt;Table1[[#This Row],[Low Tol]],"Pass","Fail"),IF(Table1[[#This Row],[DUT Adj Read]]&gt;Table1[[#This Row],[Low Tol]],"Pass","Fail")))</f>
        <v>Pass</v>
      </c>
      <c r="AE697" s="1" t="str">
        <f>IF(AND(Table1[[#This Row],[Spec Type2]]="N/A",Table1[[#This Row],[DUT Adj Read]]="N/A",Table1[[#This Row],[Std Adj Read]]="N/A"),"N/A",IF(Table1[[#This Row],[DUT Adj Read]]="N/A",IF(Table1[[#This Row],[Std Adj Read]]&lt;Table1[[#This Row],[High Tol]],"Pass","Fail"),IF(Table1[[#This Row],[DUT Adj Read]]&lt;Table1[[#This Row],[High Tol]],"Pass","Fail")))</f>
        <v>Fail</v>
      </c>
      <c r="AF697" s="1" t="str">
        <f>IF(AND(Table1[[#This Row],[Spec Type2]]="N/A",Table1[[#This Row],[DUT Adj Read]]="N/A",Table1[[#This Row],[Std Adj Read]]="N/A"),"N/A",IF(Table1[[#This Row],[DUT Adj Read]]="N/A",IF(Table1[[#This Row],[Std Adj Read]]&gt;=Table1[[#This Row],[Low Tol]],"Pass","Fail"),IF(Table1[[#This Row],[DUT Adj Read]]&gt;=Table1[[#This Row],[Low Tol]],"Pass","Fail")))</f>
        <v>Pass</v>
      </c>
      <c r="AG697" s="1" t="str">
        <f>IF(AND(Table1[[#This Row],[Spec Type2]]="N/A",Table1[[#This Row],[DUT Adj Read]]="N/A",Table1[[#This Row],[Std Adj Read]]="N/A"),"N/A",IF(Table1[[#This Row],[DUT Adj Read]]="N/A",IF(Table1[[#This Row],[Std Adj Read]]&lt;=Table1[[#This Row],[High Tol]],"Pass","Fail"),IF(Table1[[#This Row],[DUT Adj Read]]&lt;=Table1[[#This Row],[High Tol]],"Pass","Fail")))</f>
        <v>Fail</v>
      </c>
      <c r="AH6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7" s="1" t="b">
        <v>0</v>
      </c>
      <c r="AN697" s="1" t="b">
        <v>0</v>
      </c>
      <c r="AO697" s="1" t="b">
        <v>0</v>
      </c>
    </row>
    <row r="698" spans="1:41" x14ac:dyDescent="0.25">
      <c r="A698" s="10"/>
      <c r="B698" s="10"/>
      <c r="C698" s="10"/>
      <c r="D698" s="10"/>
      <c r="E698" s="10"/>
      <c r="F698" s="10"/>
      <c r="G698" s="10"/>
      <c r="H698" s="10"/>
      <c r="I698" s="1" t="str">
        <f t="shared" si="30"/>
        <v/>
      </c>
      <c r="J698" s="1" t="s">
        <v>35</v>
      </c>
      <c r="K698" s="1" t="str">
        <f t="shared" si="31"/>
        <v/>
      </c>
      <c r="L698" s="1" t="str">
        <f t="shared" si="32"/>
        <v/>
      </c>
      <c r="M698" s="1">
        <f>IF(OR(Table1[[#This Row],[Std Nom]]="",Table1[[#This Row],[Std Read]]=""),0,Table1[[#This Row],[Std Nom]]-Table1[[#This Row],[Std Read]])</f>
        <v>0</v>
      </c>
      <c r="N698" s="1">
        <f>IF(Calculations!$F$5="ACCREDITED 17025 WITH UNCERTAINTIES",$N$10,0)</f>
        <v>0</v>
      </c>
      <c r="Q698" s="1">
        <f>Table1[[#This Row],[High Tol]]-Table1[[#This Row],[Low Tol]]</f>
        <v>0</v>
      </c>
      <c r="R698" s="1">
        <f>2*Table1[[#This Row],[Std Error]]</f>
        <v>0</v>
      </c>
      <c r="S698" s="1" t="str">
        <f>IF(Table1[[#This Row],[High Tol]]="","N/A",IFERROR(ABS(Table1[[#This Row],[Tol Span]]/Table1[[#This Row],[Error Span]]),"N/A"))</f>
        <v>N/A</v>
      </c>
      <c r="T698" s="1" t="str">
        <f>IF(OR(Table1[[#This Row],[Low Tol]]="",Table1[[#This Row],[High Tol]]=""),"Needs Analysis",IF(Table1[[#This Row],[Ratio]]&gt;=4,"Not Significant",IF(Table1[[#This Row],[Ratio]]&gt;=2,"Semi-Significant","Significant")))</f>
        <v>Needs Analysis</v>
      </c>
      <c r="W698" s="1">
        <f>IF(Table1[[#This Row],[Cal Type]]&lt;&gt;"ACCREDITED 17025 WITH UNCERTAINTIES",0,"")</f>
        <v>0</v>
      </c>
      <c r="X698" s="1" t="str">
        <f>IF(Table1[[#This Row],[DUT Read]]="","N/A",Table1[[#This Row],[Std Error]]+Table1[[#This Row],[DUT Read]]+Table1[[#This Row],[DUT Ucty]])</f>
        <v>N/A</v>
      </c>
      <c r="Y698" s="1" t="str">
        <f>IF(Table1[[#This Row],[Std Read]]="","N/A",Table1[[#This Row],[Std Read]]+Table1[[#This Row],[Std Ucty]])</f>
        <v>N/A</v>
      </c>
      <c r="Z6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8" s="1" t="str">
        <f>IF(Table1[[#This Row],[Spec Type]]="","N/A",Table1[[#This Row],[Spec Type]])</f>
        <v>±</v>
      </c>
      <c r="AC698" s="1" t="str">
        <f>IF(Table1[[#This Row],[Spec Type2]]="N/A","N/A",IF(AND(Table1[[#This Row],[DUT Adj Read]]&gt;=Table1[[#This Row],[Low Tol]],Table1[[#This Row],[DUT Adj Read]]&lt;=Table1[[#This Row],[High Tol]]),"Pass","Fail"))</f>
        <v>Fail</v>
      </c>
      <c r="AD698" s="1" t="str">
        <f>IF(AND(Table1[[#This Row],[Spec Type2]]="N/A",Table1[[#This Row],[DUT Adj Read]]="N/A",Table1[[#This Row],[Std Adj Read]]="N/A"),"N/A",IF(Table1[[#This Row],[DUT Adj Read]]="N/A",IF(Table1[[#This Row],[Std Adj Read]]&gt;Table1[[#This Row],[Low Tol]],"Pass","Fail"),IF(Table1[[#This Row],[DUT Adj Read]]&gt;Table1[[#This Row],[Low Tol]],"Pass","Fail")))</f>
        <v>Pass</v>
      </c>
      <c r="AE698" s="1" t="str">
        <f>IF(AND(Table1[[#This Row],[Spec Type2]]="N/A",Table1[[#This Row],[DUT Adj Read]]="N/A",Table1[[#This Row],[Std Adj Read]]="N/A"),"N/A",IF(Table1[[#This Row],[DUT Adj Read]]="N/A",IF(Table1[[#This Row],[Std Adj Read]]&lt;Table1[[#This Row],[High Tol]],"Pass","Fail"),IF(Table1[[#This Row],[DUT Adj Read]]&lt;Table1[[#This Row],[High Tol]],"Pass","Fail")))</f>
        <v>Fail</v>
      </c>
      <c r="AF698" s="1" t="str">
        <f>IF(AND(Table1[[#This Row],[Spec Type2]]="N/A",Table1[[#This Row],[DUT Adj Read]]="N/A",Table1[[#This Row],[Std Adj Read]]="N/A"),"N/A",IF(Table1[[#This Row],[DUT Adj Read]]="N/A",IF(Table1[[#This Row],[Std Adj Read]]&gt;=Table1[[#This Row],[Low Tol]],"Pass","Fail"),IF(Table1[[#This Row],[DUT Adj Read]]&gt;=Table1[[#This Row],[Low Tol]],"Pass","Fail")))</f>
        <v>Pass</v>
      </c>
      <c r="AG698" s="1" t="str">
        <f>IF(AND(Table1[[#This Row],[Spec Type2]]="N/A",Table1[[#This Row],[DUT Adj Read]]="N/A",Table1[[#This Row],[Std Adj Read]]="N/A"),"N/A",IF(Table1[[#This Row],[DUT Adj Read]]="N/A",IF(Table1[[#This Row],[Std Adj Read]]&lt;=Table1[[#This Row],[High Tol]],"Pass","Fail"),IF(Table1[[#This Row],[DUT Adj Read]]&lt;=Table1[[#This Row],[High Tol]],"Pass","Fail")))</f>
        <v>Fail</v>
      </c>
      <c r="AH6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8" s="1" t="b">
        <v>0</v>
      </c>
      <c r="AN698" s="1" t="b">
        <v>0</v>
      </c>
      <c r="AO698" s="1" t="b">
        <v>0</v>
      </c>
    </row>
    <row r="699" spans="1:41" x14ac:dyDescent="0.25">
      <c r="A699" s="10"/>
      <c r="B699" s="10"/>
      <c r="C699" s="10"/>
      <c r="D699" s="10"/>
      <c r="E699" s="10"/>
      <c r="F699" s="10"/>
      <c r="G699" s="10"/>
      <c r="H699" s="10"/>
      <c r="I699" s="1" t="str">
        <f t="shared" si="30"/>
        <v/>
      </c>
      <c r="J699" s="1" t="s">
        <v>35</v>
      </c>
      <c r="K699" s="1" t="str">
        <f t="shared" si="31"/>
        <v/>
      </c>
      <c r="L699" s="1" t="str">
        <f t="shared" si="32"/>
        <v/>
      </c>
      <c r="M699" s="1">
        <f>IF(OR(Table1[[#This Row],[Std Nom]]="",Table1[[#This Row],[Std Read]]=""),0,Table1[[#This Row],[Std Nom]]-Table1[[#This Row],[Std Read]])</f>
        <v>0</v>
      </c>
      <c r="N699" s="1">
        <f>IF(Calculations!$F$5="ACCREDITED 17025 WITH UNCERTAINTIES",$N$10,0)</f>
        <v>0</v>
      </c>
      <c r="Q699" s="1">
        <f>Table1[[#This Row],[High Tol]]-Table1[[#This Row],[Low Tol]]</f>
        <v>0</v>
      </c>
      <c r="R699" s="1">
        <f>2*Table1[[#This Row],[Std Error]]</f>
        <v>0</v>
      </c>
      <c r="S699" s="1" t="str">
        <f>IF(Table1[[#This Row],[High Tol]]="","N/A",IFERROR(ABS(Table1[[#This Row],[Tol Span]]/Table1[[#This Row],[Error Span]]),"N/A"))</f>
        <v>N/A</v>
      </c>
      <c r="T699" s="1" t="str">
        <f>IF(OR(Table1[[#This Row],[Low Tol]]="",Table1[[#This Row],[High Tol]]=""),"Needs Analysis",IF(Table1[[#This Row],[Ratio]]&gt;=4,"Not Significant",IF(Table1[[#This Row],[Ratio]]&gt;=2,"Semi-Significant","Significant")))</f>
        <v>Needs Analysis</v>
      </c>
      <c r="W699" s="1">
        <f>IF(Table1[[#This Row],[Cal Type]]&lt;&gt;"ACCREDITED 17025 WITH UNCERTAINTIES",0,"")</f>
        <v>0</v>
      </c>
      <c r="X699" s="1" t="str">
        <f>IF(Table1[[#This Row],[DUT Read]]="","N/A",Table1[[#This Row],[Std Error]]+Table1[[#This Row],[DUT Read]]+Table1[[#This Row],[DUT Ucty]])</f>
        <v>N/A</v>
      </c>
      <c r="Y699" s="1" t="str">
        <f>IF(Table1[[#This Row],[Std Read]]="","N/A",Table1[[#This Row],[Std Read]]+Table1[[#This Row],[Std Ucty]])</f>
        <v>N/A</v>
      </c>
      <c r="Z6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699" s="1" t="str">
        <f>IF(Table1[[#This Row],[Spec Type]]="","N/A",Table1[[#This Row],[Spec Type]])</f>
        <v>±</v>
      </c>
      <c r="AC699" s="1" t="str">
        <f>IF(Table1[[#This Row],[Spec Type2]]="N/A","N/A",IF(AND(Table1[[#This Row],[DUT Adj Read]]&gt;=Table1[[#This Row],[Low Tol]],Table1[[#This Row],[DUT Adj Read]]&lt;=Table1[[#This Row],[High Tol]]),"Pass","Fail"))</f>
        <v>Fail</v>
      </c>
      <c r="AD699" s="1" t="str">
        <f>IF(AND(Table1[[#This Row],[Spec Type2]]="N/A",Table1[[#This Row],[DUT Adj Read]]="N/A",Table1[[#This Row],[Std Adj Read]]="N/A"),"N/A",IF(Table1[[#This Row],[DUT Adj Read]]="N/A",IF(Table1[[#This Row],[Std Adj Read]]&gt;Table1[[#This Row],[Low Tol]],"Pass","Fail"),IF(Table1[[#This Row],[DUT Adj Read]]&gt;Table1[[#This Row],[Low Tol]],"Pass","Fail")))</f>
        <v>Pass</v>
      </c>
      <c r="AE699" s="1" t="str">
        <f>IF(AND(Table1[[#This Row],[Spec Type2]]="N/A",Table1[[#This Row],[DUT Adj Read]]="N/A",Table1[[#This Row],[Std Adj Read]]="N/A"),"N/A",IF(Table1[[#This Row],[DUT Adj Read]]="N/A",IF(Table1[[#This Row],[Std Adj Read]]&lt;Table1[[#This Row],[High Tol]],"Pass","Fail"),IF(Table1[[#This Row],[DUT Adj Read]]&lt;Table1[[#This Row],[High Tol]],"Pass","Fail")))</f>
        <v>Fail</v>
      </c>
      <c r="AF699" s="1" t="str">
        <f>IF(AND(Table1[[#This Row],[Spec Type2]]="N/A",Table1[[#This Row],[DUT Adj Read]]="N/A",Table1[[#This Row],[Std Adj Read]]="N/A"),"N/A",IF(Table1[[#This Row],[DUT Adj Read]]="N/A",IF(Table1[[#This Row],[Std Adj Read]]&gt;=Table1[[#This Row],[Low Tol]],"Pass","Fail"),IF(Table1[[#This Row],[DUT Adj Read]]&gt;=Table1[[#This Row],[Low Tol]],"Pass","Fail")))</f>
        <v>Pass</v>
      </c>
      <c r="AG699" s="1" t="str">
        <f>IF(AND(Table1[[#This Row],[Spec Type2]]="N/A",Table1[[#This Row],[DUT Adj Read]]="N/A",Table1[[#This Row],[Std Adj Read]]="N/A"),"N/A",IF(Table1[[#This Row],[DUT Adj Read]]="N/A",IF(Table1[[#This Row],[Std Adj Read]]&lt;=Table1[[#This Row],[High Tol]],"Pass","Fail"),IF(Table1[[#This Row],[DUT Adj Read]]&lt;=Table1[[#This Row],[High Tol]],"Pass","Fail")))</f>
        <v>Fail</v>
      </c>
      <c r="AH6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699" s="1" t="b">
        <v>0</v>
      </c>
      <c r="AN699" s="1" t="b">
        <v>0</v>
      </c>
      <c r="AO699" s="1" t="b">
        <v>0</v>
      </c>
    </row>
    <row r="700" spans="1:41" x14ac:dyDescent="0.25">
      <c r="A700" s="10"/>
      <c r="B700" s="10"/>
      <c r="C700" s="10"/>
      <c r="D700" s="10"/>
      <c r="E700" s="10"/>
      <c r="F700" s="10"/>
      <c r="G700" s="10"/>
      <c r="H700" s="10"/>
      <c r="I700" s="1" t="str">
        <f t="shared" si="30"/>
        <v/>
      </c>
      <c r="J700" s="1" t="s">
        <v>35</v>
      </c>
      <c r="K700" s="1" t="str">
        <f t="shared" si="31"/>
        <v/>
      </c>
      <c r="L700" s="1" t="str">
        <f t="shared" si="32"/>
        <v/>
      </c>
      <c r="M700" s="1">
        <f>IF(OR(Table1[[#This Row],[Std Nom]]="",Table1[[#This Row],[Std Read]]=""),0,Table1[[#This Row],[Std Nom]]-Table1[[#This Row],[Std Read]])</f>
        <v>0</v>
      </c>
      <c r="N700" s="1">
        <f>IF(Calculations!$F$5="ACCREDITED 17025 WITH UNCERTAINTIES",$N$10,0)</f>
        <v>0</v>
      </c>
      <c r="Q700" s="1">
        <f>Table1[[#This Row],[High Tol]]-Table1[[#This Row],[Low Tol]]</f>
        <v>0</v>
      </c>
      <c r="R700" s="1">
        <f>2*Table1[[#This Row],[Std Error]]</f>
        <v>0</v>
      </c>
      <c r="S700" s="1" t="str">
        <f>IF(Table1[[#This Row],[High Tol]]="","N/A",IFERROR(ABS(Table1[[#This Row],[Tol Span]]/Table1[[#This Row],[Error Span]]),"N/A"))</f>
        <v>N/A</v>
      </c>
      <c r="T700" s="1" t="str">
        <f>IF(OR(Table1[[#This Row],[Low Tol]]="",Table1[[#This Row],[High Tol]]=""),"Needs Analysis",IF(Table1[[#This Row],[Ratio]]&gt;=4,"Not Significant",IF(Table1[[#This Row],[Ratio]]&gt;=2,"Semi-Significant","Significant")))</f>
        <v>Needs Analysis</v>
      </c>
      <c r="W700" s="1">
        <f>IF(Table1[[#This Row],[Cal Type]]&lt;&gt;"ACCREDITED 17025 WITH UNCERTAINTIES",0,"")</f>
        <v>0</v>
      </c>
      <c r="X700" s="1" t="str">
        <f>IF(Table1[[#This Row],[DUT Read]]="","N/A",Table1[[#This Row],[Std Error]]+Table1[[#This Row],[DUT Read]]+Table1[[#This Row],[DUT Ucty]])</f>
        <v>N/A</v>
      </c>
      <c r="Y700" s="1" t="str">
        <f>IF(Table1[[#This Row],[Std Read]]="","N/A",Table1[[#This Row],[Std Read]]+Table1[[#This Row],[Std Ucty]])</f>
        <v>N/A</v>
      </c>
      <c r="Z7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0" s="1" t="str">
        <f>IF(Table1[[#This Row],[Spec Type]]="","N/A",Table1[[#This Row],[Spec Type]])</f>
        <v>±</v>
      </c>
      <c r="AC700" s="1" t="str">
        <f>IF(Table1[[#This Row],[Spec Type2]]="N/A","N/A",IF(AND(Table1[[#This Row],[DUT Adj Read]]&gt;=Table1[[#This Row],[Low Tol]],Table1[[#This Row],[DUT Adj Read]]&lt;=Table1[[#This Row],[High Tol]]),"Pass","Fail"))</f>
        <v>Fail</v>
      </c>
      <c r="AD700" s="1" t="str">
        <f>IF(AND(Table1[[#This Row],[Spec Type2]]="N/A",Table1[[#This Row],[DUT Adj Read]]="N/A",Table1[[#This Row],[Std Adj Read]]="N/A"),"N/A",IF(Table1[[#This Row],[DUT Adj Read]]="N/A",IF(Table1[[#This Row],[Std Adj Read]]&gt;Table1[[#This Row],[Low Tol]],"Pass","Fail"),IF(Table1[[#This Row],[DUT Adj Read]]&gt;Table1[[#This Row],[Low Tol]],"Pass","Fail")))</f>
        <v>Pass</v>
      </c>
      <c r="AE700" s="1" t="str">
        <f>IF(AND(Table1[[#This Row],[Spec Type2]]="N/A",Table1[[#This Row],[DUT Adj Read]]="N/A",Table1[[#This Row],[Std Adj Read]]="N/A"),"N/A",IF(Table1[[#This Row],[DUT Adj Read]]="N/A",IF(Table1[[#This Row],[Std Adj Read]]&lt;Table1[[#This Row],[High Tol]],"Pass","Fail"),IF(Table1[[#This Row],[DUT Adj Read]]&lt;Table1[[#This Row],[High Tol]],"Pass","Fail")))</f>
        <v>Fail</v>
      </c>
      <c r="AF700" s="1" t="str">
        <f>IF(AND(Table1[[#This Row],[Spec Type2]]="N/A",Table1[[#This Row],[DUT Adj Read]]="N/A",Table1[[#This Row],[Std Adj Read]]="N/A"),"N/A",IF(Table1[[#This Row],[DUT Adj Read]]="N/A",IF(Table1[[#This Row],[Std Adj Read]]&gt;=Table1[[#This Row],[Low Tol]],"Pass","Fail"),IF(Table1[[#This Row],[DUT Adj Read]]&gt;=Table1[[#This Row],[Low Tol]],"Pass","Fail")))</f>
        <v>Pass</v>
      </c>
      <c r="AG700" s="1" t="str">
        <f>IF(AND(Table1[[#This Row],[Spec Type2]]="N/A",Table1[[#This Row],[DUT Adj Read]]="N/A",Table1[[#This Row],[Std Adj Read]]="N/A"),"N/A",IF(Table1[[#This Row],[DUT Adj Read]]="N/A",IF(Table1[[#This Row],[Std Adj Read]]&lt;=Table1[[#This Row],[High Tol]],"Pass","Fail"),IF(Table1[[#This Row],[DUT Adj Read]]&lt;=Table1[[#This Row],[High Tol]],"Pass","Fail")))</f>
        <v>Fail</v>
      </c>
      <c r="AH7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0" s="1" t="b">
        <v>0</v>
      </c>
      <c r="AN700" s="1" t="b">
        <v>0</v>
      </c>
      <c r="AO700" s="1" t="b">
        <v>0</v>
      </c>
    </row>
    <row r="701" spans="1:41" x14ac:dyDescent="0.25">
      <c r="A701" s="10"/>
      <c r="B701" s="10"/>
      <c r="C701" s="10"/>
      <c r="D701" s="10"/>
      <c r="E701" s="10"/>
      <c r="F701" s="10"/>
      <c r="G701" s="10"/>
      <c r="H701" s="10"/>
      <c r="I701" s="1" t="str">
        <f t="shared" si="30"/>
        <v/>
      </c>
      <c r="J701" s="1" t="s">
        <v>35</v>
      </c>
      <c r="K701" s="1" t="str">
        <f t="shared" si="31"/>
        <v/>
      </c>
      <c r="L701" s="1" t="str">
        <f t="shared" si="32"/>
        <v/>
      </c>
      <c r="M701" s="1">
        <f>IF(OR(Table1[[#This Row],[Std Nom]]="",Table1[[#This Row],[Std Read]]=""),0,Table1[[#This Row],[Std Nom]]-Table1[[#This Row],[Std Read]])</f>
        <v>0</v>
      </c>
      <c r="N701" s="1">
        <f>IF(Calculations!$F$5="ACCREDITED 17025 WITH UNCERTAINTIES",$N$10,0)</f>
        <v>0</v>
      </c>
      <c r="Q701" s="1">
        <f>Table1[[#This Row],[High Tol]]-Table1[[#This Row],[Low Tol]]</f>
        <v>0</v>
      </c>
      <c r="R701" s="1">
        <f>2*Table1[[#This Row],[Std Error]]</f>
        <v>0</v>
      </c>
      <c r="S701" s="1" t="str">
        <f>IF(Table1[[#This Row],[High Tol]]="","N/A",IFERROR(ABS(Table1[[#This Row],[Tol Span]]/Table1[[#This Row],[Error Span]]),"N/A"))</f>
        <v>N/A</v>
      </c>
      <c r="T701" s="1" t="str">
        <f>IF(OR(Table1[[#This Row],[Low Tol]]="",Table1[[#This Row],[High Tol]]=""),"Needs Analysis",IF(Table1[[#This Row],[Ratio]]&gt;=4,"Not Significant",IF(Table1[[#This Row],[Ratio]]&gt;=2,"Semi-Significant","Significant")))</f>
        <v>Needs Analysis</v>
      </c>
      <c r="W701" s="1">
        <f>IF(Table1[[#This Row],[Cal Type]]&lt;&gt;"ACCREDITED 17025 WITH UNCERTAINTIES",0,"")</f>
        <v>0</v>
      </c>
      <c r="X701" s="1" t="str">
        <f>IF(Table1[[#This Row],[DUT Read]]="","N/A",Table1[[#This Row],[Std Error]]+Table1[[#This Row],[DUT Read]]+Table1[[#This Row],[DUT Ucty]])</f>
        <v>N/A</v>
      </c>
      <c r="Y701" s="1" t="str">
        <f>IF(Table1[[#This Row],[Std Read]]="","N/A",Table1[[#This Row],[Std Read]]+Table1[[#This Row],[Std Ucty]])</f>
        <v>N/A</v>
      </c>
      <c r="Z7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1" s="1" t="str">
        <f>IF(Table1[[#This Row],[Spec Type]]="","N/A",Table1[[#This Row],[Spec Type]])</f>
        <v>±</v>
      </c>
      <c r="AC701" s="1" t="str">
        <f>IF(Table1[[#This Row],[Spec Type2]]="N/A","N/A",IF(AND(Table1[[#This Row],[DUT Adj Read]]&gt;=Table1[[#This Row],[Low Tol]],Table1[[#This Row],[DUT Adj Read]]&lt;=Table1[[#This Row],[High Tol]]),"Pass","Fail"))</f>
        <v>Fail</v>
      </c>
      <c r="AD701" s="1" t="str">
        <f>IF(AND(Table1[[#This Row],[Spec Type2]]="N/A",Table1[[#This Row],[DUT Adj Read]]="N/A",Table1[[#This Row],[Std Adj Read]]="N/A"),"N/A",IF(Table1[[#This Row],[DUT Adj Read]]="N/A",IF(Table1[[#This Row],[Std Adj Read]]&gt;Table1[[#This Row],[Low Tol]],"Pass","Fail"),IF(Table1[[#This Row],[DUT Adj Read]]&gt;Table1[[#This Row],[Low Tol]],"Pass","Fail")))</f>
        <v>Pass</v>
      </c>
      <c r="AE701" s="1" t="str">
        <f>IF(AND(Table1[[#This Row],[Spec Type2]]="N/A",Table1[[#This Row],[DUT Adj Read]]="N/A",Table1[[#This Row],[Std Adj Read]]="N/A"),"N/A",IF(Table1[[#This Row],[DUT Adj Read]]="N/A",IF(Table1[[#This Row],[Std Adj Read]]&lt;Table1[[#This Row],[High Tol]],"Pass","Fail"),IF(Table1[[#This Row],[DUT Adj Read]]&lt;Table1[[#This Row],[High Tol]],"Pass","Fail")))</f>
        <v>Fail</v>
      </c>
      <c r="AF701" s="1" t="str">
        <f>IF(AND(Table1[[#This Row],[Spec Type2]]="N/A",Table1[[#This Row],[DUT Adj Read]]="N/A",Table1[[#This Row],[Std Adj Read]]="N/A"),"N/A",IF(Table1[[#This Row],[DUT Adj Read]]="N/A",IF(Table1[[#This Row],[Std Adj Read]]&gt;=Table1[[#This Row],[Low Tol]],"Pass","Fail"),IF(Table1[[#This Row],[DUT Adj Read]]&gt;=Table1[[#This Row],[Low Tol]],"Pass","Fail")))</f>
        <v>Pass</v>
      </c>
      <c r="AG701" s="1" t="str">
        <f>IF(AND(Table1[[#This Row],[Spec Type2]]="N/A",Table1[[#This Row],[DUT Adj Read]]="N/A",Table1[[#This Row],[Std Adj Read]]="N/A"),"N/A",IF(Table1[[#This Row],[DUT Adj Read]]="N/A",IF(Table1[[#This Row],[Std Adj Read]]&lt;=Table1[[#This Row],[High Tol]],"Pass","Fail"),IF(Table1[[#This Row],[DUT Adj Read]]&lt;=Table1[[#This Row],[High Tol]],"Pass","Fail")))</f>
        <v>Fail</v>
      </c>
      <c r="AH7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1" s="1" t="b">
        <v>0</v>
      </c>
      <c r="AN701" s="1" t="b">
        <v>0</v>
      </c>
      <c r="AO701" s="1" t="b">
        <v>0</v>
      </c>
    </row>
    <row r="702" spans="1:41" x14ac:dyDescent="0.25">
      <c r="A702" s="10"/>
      <c r="B702" s="10"/>
      <c r="C702" s="10"/>
      <c r="D702" s="10"/>
      <c r="E702" s="10"/>
      <c r="F702" s="10"/>
      <c r="G702" s="10"/>
      <c r="H702" s="10"/>
      <c r="I702" s="1" t="str">
        <f t="shared" si="30"/>
        <v/>
      </c>
      <c r="J702" s="1" t="s">
        <v>35</v>
      </c>
      <c r="K702" s="1" t="str">
        <f t="shared" si="31"/>
        <v/>
      </c>
      <c r="L702" s="1" t="str">
        <f t="shared" si="32"/>
        <v/>
      </c>
      <c r="M702" s="1">
        <f>IF(OR(Table1[[#This Row],[Std Nom]]="",Table1[[#This Row],[Std Read]]=""),0,Table1[[#This Row],[Std Nom]]-Table1[[#This Row],[Std Read]])</f>
        <v>0</v>
      </c>
      <c r="N702" s="1">
        <f>IF(Calculations!$F$5="ACCREDITED 17025 WITH UNCERTAINTIES",$N$10,0)</f>
        <v>0</v>
      </c>
      <c r="Q702" s="1">
        <f>Table1[[#This Row],[High Tol]]-Table1[[#This Row],[Low Tol]]</f>
        <v>0</v>
      </c>
      <c r="R702" s="1">
        <f>2*Table1[[#This Row],[Std Error]]</f>
        <v>0</v>
      </c>
      <c r="S702" s="1" t="str">
        <f>IF(Table1[[#This Row],[High Tol]]="","N/A",IFERROR(ABS(Table1[[#This Row],[Tol Span]]/Table1[[#This Row],[Error Span]]),"N/A"))</f>
        <v>N/A</v>
      </c>
      <c r="T702" s="1" t="str">
        <f>IF(OR(Table1[[#This Row],[Low Tol]]="",Table1[[#This Row],[High Tol]]=""),"Needs Analysis",IF(Table1[[#This Row],[Ratio]]&gt;=4,"Not Significant",IF(Table1[[#This Row],[Ratio]]&gt;=2,"Semi-Significant","Significant")))</f>
        <v>Needs Analysis</v>
      </c>
      <c r="W702" s="1">
        <f>IF(Table1[[#This Row],[Cal Type]]&lt;&gt;"ACCREDITED 17025 WITH UNCERTAINTIES",0,"")</f>
        <v>0</v>
      </c>
      <c r="X702" s="1" t="str">
        <f>IF(Table1[[#This Row],[DUT Read]]="","N/A",Table1[[#This Row],[Std Error]]+Table1[[#This Row],[DUT Read]]+Table1[[#This Row],[DUT Ucty]])</f>
        <v>N/A</v>
      </c>
      <c r="Y702" s="1" t="str">
        <f>IF(Table1[[#This Row],[Std Read]]="","N/A",Table1[[#This Row],[Std Read]]+Table1[[#This Row],[Std Ucty]])</f>
        <v>N/A</v>
      </c>
      <c r="Z7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2" s="1" t="str">
        <f>IF(Table1[[#This Row],[Spec Type]]="","N/A",Table1[[#This Row],[Spec Type]])</f>
        <v>±</v>
      </c>
      <c r="AC702" s="1" t="str">
        <f>IF(Table1[[#This Row],[Spec Type2]]="N/A","N/A",IF(AND(Table1[[#This Row],[DUT Adj Read]]&gt;=Table1[[#This Row],[Low Tol]],Table1[[#This Row],[DUT Adj Read]]&lt;=Table1[[#This Row],[High Tol]]),"Pass","Fail"))</f>
        <v>Fail</v>
      </c>
      <c r="AD702" s="1" t="str">
        <f>IF(AND(Table1[[#This Row],[Spec Type2]]="N/A",Table1[[#This Row],[DUT Adj Read]]="N/A",Table1[[#This Row],[Std Adj Read]]="N/A"),"N/A",IF(Table1[[#This Row],[DUT Adj Read]]="N/A",IF(Table1[[#This Row],[Std Adj Read]]&gt;Table1[[#This Row],[Low Tol]],"Pass","Fail"),IF(Table1[[#This Row],[DUT Adj Read]]&gt;Table1[[#This Row],[Low Tol]],"Pass","Fail")))</f>
        <v>Pass</v>
      </c>
      <c r="AE702" s="1" t="str">
        <f>IF(AND(Table1[[#This Row],[Spec Type2]]="N/A",Table1[[#This Row],[DUT Adj Read]]="N/A",Table1[[#This Row],[Std Adj Read]]="N/A"),"N/A",IF(Table1[[#This Row],[DUT Adj Read]]="N/A",IF(Table1[[#This Row],[Std Adj Read]]&lt;Table1[[#This Row],[High Tol]],"Pass","Fail"),IF(Table1[[#This Row],[DUT Adj Read]]&lt;Table1[[#This Row],[High Tol]],"Pass","Fail")))</f>
        <v>Fail</v>
      </c>
      <c r="AF702" s="1" t="str">
        <f>IF(AND(Table1[[#This Row],[Spec Type2]]="N/A",Table1[[#This Row],[DUT Adj Read]]="N/A",Table1[[#This Row],[Std Adj Read]]="N/A"),"N/A",IF(Table1[[#This Row],[DUT Adj Read]]="N/A",IF(Table1[[#This Row],[Std Adj Read]]&gt;=Table1[[#This Row],[Low Tol]],"Pass","Fail"),IF(Table1[[#This Row],[DUT Adj Read]]&gt;=Table1[[#This Row],[Low Tol]],"Pass","Fail")))</f>
        <v>Pass</v>
      </c>
      <c r="AG702" s="1" t="str">
        <f>IF(AND(Table1[[#This Row],[Spec Type2]]="N/A",Table1[[#This Row],[DUT Adj Read]]="N/A",Table1[[#This Row],[Std Adj Read]]="N/A"),"N/A",IF(Table1[[#This Row],[DUT Adj Read]]="N/A",IF(Table1[[#This Row],[Std Adj Read]]&lt;=Table1[[#This Row],[High Tol]],"Pass","Fail"),IF(Table1[[#This Row],[DUT Adj Read]]&lt;=Table1[[#This Row],[High Tol]],"Pass","Fail")))</f>
        <v>Fail</v>
      </c>
      <c r="AH7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2" s="1" t="b">
        <v>0</v>
      </c>
      <c r="AN702" s="1" t="b">
        <v>0</v>
      </c>
      <c r="AO702" s="1" t="b">
        <v>0</v>
      </c>
    </row>
    <row r="703" spans="1:41" x14ac:dyDescent="0.25">
      <c r="A703" s="10"/>
      <c r="B703" s="10"/>
      <c r="C703" s="10"/>
      <c r="D703" s="10"/>
      <c r="E703" s="10"/>
      <c r="F703" s="10"/>
      <c r="G703" s="10"/>
      <c r="H703" s="10"/>
      <c r="I703" s="1" t="str">
        <f t="shared" si="30"/>
        <v/>
      </c>
      <c r="J703" s="1" t="s">
        <v>35</v>
      </c>
      <c r="K703" s="1" t="str">
        <f t="shared" si="31"/>
        <v/>
      </c>
      <c r="L703" s="1" t="str">
        <f t="shared" si="32"/>
        <v/>
      </c>
      <c r="M703" s="1">
        <f>IF(OR(Table1[[#This Row],[Std Nom]]="",Table1[[#This Row],[Std Read]]=""),0,Table1[[#This Row],[Std Nom]]-Table1[[#This Row],[Std Read]])</f>
        <v>0</v>
      </c>
      <c r="N703" s="1">
        <f>IF(Calculations!$F$5="ACCREDITED 17025 WITH UNCERTAINTIES",$N$10,0)</f>
        <v>0</v>
      </c>
      <c r="Q703" s="1">
        <f>Table1[[#This Row],[High Tol]]-Table1[[#This Row],[Low Tol]]</f>
        <v>0</v>
      </c>
      <c r="R703" s="1">
        <f>2*Table1[[#This Row],[Std Error]]</f>
        <v>0</v>
      </c>
      <c r="S703" s="1" t="str">
        <f>IF(Table1[[#This Row],[High Tol]]="","N/A",IFERROR(ABS(Table1[[#This Row],[Tol Span]]/Table1[[#This Row],[Error Span]]),"N/A"))</f>
        <v>N/A</v>
      </c>
      <c r="T703" s="1" t="str">
        <f>IF(OR(Table1[[#This Row],[Low Tol]]="",Table1[[#This Row],[High Tol]]=""),"Needs Analysis",IF(Table1[[#This Row],[Ratio]]&gt;=4,"Not Significant",IF(Table1[[#This Row],[Ratio]]&gt;=2,"Semi-Significant","Significant")))</f>
        <v>Needs Analysis</v>
      </c>
      <c r="W703" s="1">
        <f>IF(Table1[[#This Row],[Cal Type]]&lt;&gt;"ACCREDITED 17025 WITH UNCERTAINTIES",0,"")</f>
        <v>0</v>
      </c>
      <c r="X703" s="1" t="str">
        <f>IF(Table1[[#This Row],[DUT Read]]="","N/A",Table1[[#This Row],[Std Error]]+Table1[[#This Row],[DUT Read]]+Table1[[#This Row],[DUT Ucty]])</f>
        <v>N/A</v>
      </c>
      <c r="Y703" s="1" t="str">
        <f>IF(Table1[[#This Row],[Std Read]]="","N/A",Table1[[#This Row],[Std Read]]+Table1[[#This Row],[Std Ucty]])</f>
        <v>N/A</v>
      </c>
      <c r="Z7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3" s="1" t="str">
        <f>IF(Table1[[#This Row],[Spec Type]]="","N/A",Table1[[#This Row],[Spec Type]])</f>
        <v>±</v>
      </c>
      <c r="AC703" s="1" t="str">
        <f>IF(Table1[[#This Row],[Spec Type2]]="N/A","N/A",IF(AND(Table1[[#This Row],[DUT Adj Read]]&gt;=Table1[[#This Row],[Low Tol]],Table1[[#This Row],[DUT Adj Read]]&lt;=Table1[[#This Row],[High Tol]]),"Pass","Fail"))</f>
        <v>Fail</v>
      </c>
      <c r="AD703" s="1" t="str">
        <f>IF(AND(Table1[[#This Row],[Spec Type2]]="N/A",Table1[[#This Row],[DUT Adj Read]]="N/A",Table1[[#This Row],[Std Adj Read]]="N/A"),"N/A",IF(Table1[[#This Row],[DUT Adj Read]]="N/A",IF(Table1[[#This Row],[Std Adj Read]]&gt;Table1[[#This Row],[Low Tol]],"Pass","Fail"),IF(Table1[[#This Row],[DUT Adj Read]]&gt;Table1[[#This Row],[Low Tol]],"Pass","Fail")))</f>
        <v>Pass</v>
      </c>
      <c r="AE703" s="1" t="str">
        <f>IF(AND(Table1[[#This Row],[Spec Type2]]="N/A",Table1[[#This Row],[DUT Adj Read]]="N/A",Table1[[#This Row],[Std Adj Read]]="N/A"),"N/A",IF(Table1[[#This Row],[DUT Adj Read]]="N/A",IF(Table1[[#This Row],[Std Adj Read]]&lt;Table1[[#This Row],[High Tol]],"Pass","Fail"),IF(Table1[[#This Row],[DUT Adj Read]]&lt;Table1[[#This Row],[High Tol]],"Pass","Fail")))</f>
        <v>Fail</v>
      </c>
      <c r="AF703" s="1" t="str">
        <f>IF(AND(Table1[[#This Row],[Spec Type2]]="N/A",Table1[[#This Row],[DUT Adj Read]]="N/A",Table1[[#This Row],[Std Adj Read]]="N/A"),"N/A",IF(Table1[[#This Row],[DUT Adj Read]]="N/A",IF(Table1[[#This Row],[Std Adj Read]]&gt;=Table1[[#This Row],[Low Tol]],"Pass","Fail"),IF(Table1[[#This Row],[DUT Adj Read]]&gt;=Table1[[#This Row],[Low Tol]],"Pass","Fail")))</f>
        <v>Pass</v>
      </c>
      <c r="AG703" s="1" t="str">
        <f>IF(AND(Table1[[#This Row],[Spec Type2]]="N/A",Table1[[#This Row],[DUT Adj Read]]="N/A",Table1[[#This Row],[Std Adj Read]]="N/A"),"N/A",IF(Table1[[#This Row],[DUT Adj Read]]="N/A",IF(Table1[[#This Row],[Std Adj Read]]&lt;=Table1[[#This Row],[High Tol]],"Pass","Fail"),IF(Table1[[#This Row],[DUT Adj Read]]&lt;=Table1[[#This Row],[High Tol]],"Pass","Fail")))</f>
        <v>Fail</v>
      </c>
      <c r="AH7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3" s="1" t="b">
        <v>0</v>
      </c>
      <c r="AN703" s="1" t="b">
        <v>0</v>
      </c>
      <c r="AO703" s="1" t="b">
        <v>0</v>
      </c>
    </row>
    <row r="704" spans="1:41" x14ac:dyDescent="0.25">
      <c r="A704" s="10"/>
      <c r="B704" s="10"/>
      <c r="C704" s="10"/>
      <c r="D704" s="10"/>
      <c r="E704" s="10"/>
      <c r="F704" s="10"/>
      <c r="G704" s="10"/>
      <c r="H704" s="10"/>
      <c r="I704" s="1" t="str">
        <f t="shared" si="30"/>
        <v/>
      </c>
      <c r="J704" s="1" t="s">
        <v>35</v>
      </c>
      <c r="K704" s="1" t="str">
        <f t="shared" si="31"/>
        <v/>
      </c>
      <c r="L704" s="1" t="str">
        <f t="shared" si="32"/>
        <v/>
      </c>
      <c r="M704" s="1">
        <f>IF(OR(Table1[[#This Row],[Std Nom]]="",Table1[[#This Row],[Std Read]]=""),0,Table1[[#This Row],[Std Nom]]-Table1[[#This Row],[Std Read]])</f>
        <v>0</v>
      </c>
      <c r="N704" s="1">
        <f>IF(Calculations!$F$5="ACCREDITED 17025 WITH UNCERTAINTIES",$N$10,0)</f>
        <v>0</v>
      </c>
      <c r="Q704" s="1">
        <f>Table1[[#This Row],[High Tol]]-Table1[[#This Row],[Low Tol]]</f>
        <v>0</v>
      </c>
      <c r="R704" s="1">
        <f>2*Table1[[#This Row],[Std Error]]</f>
        <v>0</v>
      </c>
      <c r="S704" s="1" t="str">
        <f>IF(Table1[[#This Row],[High Tol]]="","N/A",IFERROR(ABS(Table1[[#This Row],[Tol Span]]/Table1[[#This Row],[Error Span]]),"N/A"))</f>
        <v>N/A</v>
      </c>
      <c r="T704" s="1" t="str">
        <f>IF(OR(Table1[[#This Row],[Low Tol]]="",Table1[[#This Row],[High Tol]]=""),"Needs Analysis",IF(Table1[[#This Row],[Ratio]]&gt;=4,"Not Significant",IF(Table1[[#This Row],[Ratio]]&gt;=2,"Semi-Significant","Significant")))</f>
        <v>Needs Analysis</v>
      </c>
      <c r="W704" s="1">
        <f>IF(Table1[[#This Row],[Cal Type]]&lt;&gt;"ACCREDITED 17025 WITH UNCERTAINTIES",0,"")</f>
        <v>0</v>
      </c>
      <c r="X704" s="1" t="str">
        <f>IF(Table1[[#This Row],[DUT Read]]="","N/A",Table1[[#This Row],[Std Error]]+Table1[[#This Row],[DUT Read]]+Table1[[#This Row],[DUT Ucty]])</f>
        <v>N/A</v>
      </c>
      <c r="Y704" s="1" t="str">
        <f>IF(Table1[[#This Row],[Std Read]]="","N/A",Table1[[#This Row],[Std Read]]+Table1[[#This Row],[Std Ucty]])</f>
        <v>N/A</v>
      </c>
      <c r="Z7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4" s="1" t="str">
        <f>IF(Table1[[#This Row],[Spec Type]]="","N/A",Table1[[#This Row],[Spec Type]])</f>
        <v>±</v>
      </c>
      <c r="AC704" s="1" t="str">
        <f>IF(Table1[[#This Row],[Spec Type2]]="N/A","N/A",IF(AND(Table1[[#This Row],[DUT Adj Read]]&gt;=Table1[[#This Row],[Low Tol]],Table1[[#This Row],[DUT Adj Read]]&lt;=Table1[[#This Row],[High Tol]]),"Pass","Fail"))</f>
        <v>Fail</v>
      </c>
      <c r="AD704" s="1" t="str">
        <f>IF(AND(Table1[[#This Row],[Spec Type2]]="N/A",Table1[[#This Row],[DUT Adj Read]]="N/A",Table1[[#This Row],[Std Adj Read]]="N/A"),"N/A",IF(Table1[[#This Row],[DUT Adj Read]]="N/A",IF(Table1[[#This Row],[Std Adj Read]]&gt;Table1[[#This Row],[Low Tol]],"Pass","Fail"),IF(Table1[[#This Row],[DUT Adj Read]]&gt;Table1[[#This Row],[Low Tol]],"Pass","Fail")))</f>
        <v>Pass</v>
      </c>
      <c r="AE704" s="1" t="str">
        <f>IF(AND(Table1[[#This Row],[Spec Type2]]="N/A",Table1[[#This Row],[DUT Adj Read]]="N/A",Table1[[#This Row],[Std Adj Read]]="N/A"),"N/A",IF(Table1[[#This Row],[DUT Adj Read]]="N/A",IF(Table1[[#This Row],[Std Adj Read]]&lt;Table1[[#This Row],[High Tol]],"Pass","Fail"),IF(Table1[[#This Row],[DUT Adj Read]]&lt;Table1[[#This Row],[High Tol]],"Pass","Fail")))</f>
        <v>Fail</v>
      </c>
      <c r="AF704" s="1" t="str">
        <f>IF(AND(Table1[[#This Row],[Spec Type2]]="N/A",Table1[[#This Row],[DUT Adj Read]]="N/A",Table1[[#This Row],[Std Adj Read]]="N/A"),"N/A",IF(Table1[[#This Row],[DUT Adj Read]]="N/A",IF(Table1[[#This Row],[Std Adj Read]]&gt;=Table1[[#This Row],[Low Tol]],"Pass","Fail"),IF(Table1[[#This Row],[DUT Adj Read]]&gt;=Table1[[#This Row],[Low Tol]],"Pass","Fail")))</f>
        <v>Pass</v>
      </c>
      <c r="AG704" s="1" t="str">
        <f>IF(AND(Table1[[#This Row],[Spec Type2]]="N/A",Table1[[#This Row],[DUT Adj Read]]="N/A",Table1[[#This Row],[Std Adj Read]]="N/A"),"N/A",IF(Table1[[#This Row],[DUT Adj Read]]="N/A",IF(Table1[[#This Row],[Std Adj Read]]&lt;=Table1[[#This Row],[High Tol]],"Pass","Fail"),IF(Table1[[#This Row],[DUT Adj Read]]&lt;=Table1[[#This Row],[High Tol]],"Pass","Fail")))</f>
        <v>Fail</v>
      </c>
      <c r="AH7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4" s="1" t="b">
        <v>0</v>
      </c>
      <c r="AN704" s="1" t="b">
        <v>0</v>
      </c>
      <c r="AO704" s="1" t="b">
        <v>0</v>
      </c>
    </row>
    <row r="705" spans="1:41" x14ac:dyDescent="0.25">
      <c r="A705" s="10"/>
      <c r="B705" s="10"/>
      <c r="C705" s="10"/>
      <c r="D705" s="10"/>
      <c r="E705" s="10"/>
      <c r="F705" s="10"/>
      <c r="G705" s="10"/>
      <c r="H705" s="10"/>
      <c r="I705" s="1" t="str">
        <f t="shared" si="30"/>
        <v/>
      </c>
      <c r="J705" s="1" t="s">
        <v>35</v>
      </c>
      <c r="K705" s="1" t="str">
        <f t="shared" si="31"/>
        <v/>
      </c>
      <c r="L705" s="1" t="str">
        <f t="shared" si="32"/>
        <v/>
      </c>
      <c r="M705" s="1">
        <f>IF(OR(Table1[[#This Row],[Std Nom]]="",Table1[[#This Row],[Std Read]]=""),0,Table1[[#This Row],[Std Nom]]-Table1[[#This Row],[Std Read]])</f>
        <v>0</v>
      </c>
      <c r="N705" s="1">
        <f>IF(Calculations!$F$5="ACCREDITED 17025 WITH UNCERTAINTIES",$N$10,0)</f>
        <v>0</v>
      </c>
      <c r="Q705" s="1">
        <f>Table1[[#This Row],[High Tol]]-Table1[[#This Row],[Low Tol]]</f>
        <v>0</v>
      </c>
      <c r="R705" s="1">
        <f>2*Table1[[#This Row],[Std Error]]</f>
        <v>0</v>
      </c>
      <c r="S705" s="1" t="str">
        <f>IF(Table1[[#This Row],[High Tol]]="","N/A",IFERROR(ABS(Table1[[#This Row],[Tol Span]]/Table1[[#This Row],[Error Span]]),"N/A"))</f>
        <v>N/A</v>
      </c>
      <c r="T705" s="1" t="str">
        <f>IF(OR(Table1[[#This Row],[Low Tol]]="",Table1[[#This Row],[High Tol]]=""),"Needs Analysis",IF(Table1[[#This Row],[Ratio]]&gt;=4,"Not Significant",IF(Table1[[#This Row],[Ratio]]&gt;=2,"Semi-Significant","Significant")))</f>
        <v>Needs Analysis</v>
      </c>
      <c r="W705" s="1">
        <f>IF(Table1[[#This Row],[Cal Type]]&lt;&gt;"ACCREDITED 17025 WITH UNCERTAINTIES",0,"")</f>
        <v>0</v>
      </c>
      <c r="X705" s="1" t="str">
        <f>IF(Table1[[#This Row],[DUT Read]]="","N/A",Table1[[#This Row],[Std Error]]+Table1[[#This Row],[DUT Read]]+Table1[[#This Row],[DUT Ucty]])</f>
        <v>N/A</v>
      </c>
      <c r="Y705" s="1" t="str">
        <f>IF(Table1[[#This Row],[Std Read]]="","N/A",Table1[[#This Row],[Std Read]]+Table1[[#This Row],[Std Ucty]])</f>
        <v>N/A</v>
      </c>
      <c r="Z7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5" s="1" t="str">
        <f>IF(Table1[[#This Row],[Spec Type]]="","N/A",Table1[[#This Row],[Spec Type]])</f>
        <v>±</v>
      </c>
      <c r="AC705" s="1" t="str">
        <f>IF(Table1[[#This Row],[Spec Type2]]="N/A","N/A",IF(AND(Table1[[#This Row],[DUT Adj Read]]&gt;=Table1[[#This Row],[Low Tol]],Table1[[#This Row],[DUT Adj Read]]&lt;=Table1[[#This Row],[High Tol]]),"Pass","Fail"))</f>
        <v>Fail</v>
      </c>
      <c r="AD705" s="1" t="str">
        <f>IF(AND(Table1[[#This Row],[Spec Type2]]="N/A",Table1[[#This Row],[DUT Adj Read]]="N/A",Table1[[#This Row],[Std Adj Read]]="N/A"),"N/A",IF(Table1[[#This Row],[DUT Adj Read]]="N/A",IF(Table1[[#This Row],[Std Adj Read]]&gt;Table1[[#This Row],[Low Tol]],"Pass","Fail"),IF(Table1[[#This Row],[DUT Adj Read]]&gt;Table1[[#This Row],[Low Tol]],"Pass","Fail")))</f>
        <v>Pass</v>
      </c>
      <c r="AE705" s="1" t="str">
        <f>IF(AND(Table1[[#This Row],[Spec Type2]]="N/A",Table1[[#This Row],[DUT Adj Read]]="N/A",Table1[[#This Row],[Std Adj Read]]="N/A"),"N/A",IF(Table1[[#This Row],[DUT Adj Read]]="N/A",IF(Table1[[#This Row],[Std Adj Read]]&lt;Table1[[#This Row],[High Tol]],"Pass","Fail"),IF(Table1[[#This Row],[DUT Adj Read]]&lt;Table1[[#This Row],[High Tol]],"Pass","Fail")))</f>
        <v>Fail</v>
      </c>
      <c r="AF705" s="1" t="str">
        <f>IF(AND(Table1[[#This Row],[Spec Type2]]="N/A",Table1[[#This Row],[DUT Adj Read]]="N/A",Table1[[#This Row],[Std Adj Read]]="N/A"),"N/A",IF(Table1[[#This Row],[DUT Adj Read]]="N/A",IF(Table1[[#This Row],[Std Adj Read]]&gt;=Table1[[#This Row],[Low Tol]],"Pass","Fail"),IF(Table1[[#This Row],[DUT Adj Read]]&gt;=Table1[[#This Row],[Low Tol]],"Pass","Fail")))</f>
        <v>Pass</v>
      </c>
      <c r="AG705" s="1" t="str">
        <f>IF(AND(Table1[[#This Row],[Spec Type2]]="N/A",Table1[[#This Row],[DUT Adj Read]]="N/A",Table1[[#This Row],[Std Adj Read]]="N/A"),"N/A",IF(Table1[[#This Row],[DUT Adj Read]]="N/A",IF(Table1[[#This Row],[Std Adj Read]]&lt;=Table1[[#This Row],[High Tol]],"Pass","Fail"),IF(Table1[[#This Row],[DUT Adj Read]]&lt;=Table1[[#This Row],[High Tol]],"Pass","Fail")))</f>
        <v>Fail</v>
      </c>
      <c r="AH7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5" s="1" t="b">
        <v>0</v>
      </c>
      <c r="AN705" s="1" t="b">
        <v>0</v>
      </c>
      <c r="AO705" s="1" t="b">
        <v>0</v>
      </c>
    </row>
    <row r="706" spans="1:41" x14ac:dyDescent="0.25">
      <c r="A706" s="10"/>
      <c r="B706" s="10"/>
      <c r="C706" s="10"/>
      <c r="D706" s="10"/>
      <c r="E706" s="10"/>
      <c r="F706" s="10"/>
      <c r="G706" s="10"/>
      <c r="H706" s="10"/>
      <c r="I706" s="1" t="str">
        <f t="shared" si="30"/>
        <v/>
      </c>
      <c r="J706" s="1" t="s">
        <v>35</v>
      </c>
      <c r="K706" s="1" t="str">
        <f t="shared" si="31"/>
        <v/>
      </c>
      <c r="L706" s="1" t="str">
        <f t="shared" si="32"/>
        <v/>
      </c>
      <c r="M706" s="1">
        <f>IF(OR(Table1[[#This Row],[Std Nom]]="",Table1[[#This Row],[Std Read]]=""),0,Table1[[#This Row],[Std Nom]]-Table1[[#This Row],[Std Read]])</f>
        <v>0</v>
      </c>
      <c r="N706" s="1">
        <f>IF(Calculations!$F$5="ACCREDITED 17025 WITH UNCERTAINTIES",$N$10,0)</f>
        <v>0</v>
      </c>
      <c r="Q706" s="1">
        <f>Table1[[#This Row],[High Tol]]-Table1[[#This Row],[Low Tol]]</f>
        <v>0</v>
      </c>
      <c r="R706" s="1">
        <f>2*Table1[[#This Row],[Std Error]]</f>
        <v>0</v>
      </c>
      <c r="S706" s="1" t="str">
        <f>IF(Table1[[#This Row],[High Tol]]="","N/A",IFERROR(ABS(Table1[[#This Row],[Tol Span]]/Table1[[#This Row],[Error Span]]),"N/A"))</f>
        <v>N/A</v>
      </c>
      <c r="T706" s="1" t="str">
        <f>IF(OR(Table1[[#This Row],[Low Tol]]="",Table1[[#This Row],[High Tol]]=""),"Needs Analysis",IF(Table1[[#This Row],[Ratio]]&gt;=4,"Not Significant",IF(Table1[[#This Row],[Ratio]]&gt;=2,"Semi-Significant","Significant")))</f>
        <v>Needs Analysis</v>
      </c>
      <c r="W706" s="1">
        <f>IF(Table1[[#This Row],[Cal Type]]&lt;&gt;"ACCREDITED 17025 WITH UNCERTAINTIES",0,"")</f>
        <v>0</v>
      </c>
      <c r="X706" s="1" t="str">
        <f>IF(Table1[[#This Row],[DUT Read]]="","N/A",Table1[[#This Row],[Std Error]]+Table1[[#This Row],[DUT Read]]+Table1[[#This Row],[DUT Ucty]])</f>
        <v>N/A</v>
      </c>
      <c r="Y706" s="1" t="str">
        <f>IF(Table1[[#This Row],[Std Read]]="","N/A",Table1[[#This Row],[Std Read]]+Table1[[#This Row],[Std Ucty]])</f>
        <v>N/A</v>
      </c>
      <c r="Z7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6" s="1" t="str">
        <f>IF(Table1[[#This Row],[Spec Type]]="","N/A",Table1[[#This Row],[Spec Type]])</f>
        <v>±</v>
      </c>
      <c r="AC706" s="1" t="str">
        <f>IF(Table1[[#This Row],[Spec Type2]]="N/A","N/A",IF(AND(Table1[[#This Row],[DUT Adj Read]]&gt;=Table1[[#This Row],[Low Tol]],Table1[[#This Row],[DUT Adj Read]]&lt;=Table1[[#This Row],[High Tol]]),"Pass","Fail"))</f>
        <v>Fail</v>
      </c>
      <c r="AD706" s="1" t="str">
        <f>IF(AND(Table1[[#This Row],[Spec Type2]]="N/A",Table1[[#This Row],[DUT Adj Read]]="N/A",Table1[[#This Row],[Std Adj Read]]="N/A"),"N/A",IF(Table1[[#This Row],[DUT Adj Read]]="N/A",IF(Table1[[#This Row],[Std Adj Read]]&gt;Table1[[#This Row],[Low Tol]],"Pass","Fail"),IF(Table1[[#This Row],[DUT Adj Read]]&gt;Table1[[#This Row],[Low Tol]],"Pass","Fail")))</f>
        <v>Pass</v>
      </c>
      <c r="AE706" s="1" t="str">
        <f>IF(AND(Table1[[#This Row],[Spec Type2]]="N/A",Table1[[#This Row],[DUT Adj Read]]="N/A",Table1[[#This Row],[Std Adj Read]]="N/A"),"N/A",IF(Table1[[#This Row],[DUT Adj Read]]="N/A",IF(Table1[[#This Row],[Std Adj Read]]&lt;Table1[[#This Row],[High Tol]],"Pass","Fail"),IF(Table1[[#This Row],[DUT Adj Read]]&lt;Table1[[#This Row],[High Tol]],"Pass","Fail")))</f>
        <v>Fail</v>
      </c>
      <c r="AF706" s="1" t="str">
        <f>IF(AND(Table1[[#This Row],[Spec Type2]]="N/A",Table1[[#This Row],[DUT Adj Read]]="N/A",Table1[[#This Row],[Std Adj Read]]="N/A"),"N/A",IF(Table1[[#This Row],[DUT Adj Read]]="N/A",IF(Table1[[#This Row],[Std Adj Read]]&gt;=Table1[[#This Row],[Low Tol]],"Pass","Fail"),IF(Table1[[#This Row],[DUT Adj Read]]&gt;=Table1[[#This Row],[Low Tol]],"Pass","Fail")))</f>
        <v>Pass</v>
      </c>
      <c r="AG706" s="1" t="str">
        <f>IF(AND(Table1[[#This Row],[Spec Type2]]="N/A",Table1[[#This Row],[DUT Adj Read]]="N/A",Table1[[#This Row],[Std Adj Read]]="N/A"),"N/A",IF(Table1[[#This Row],[DUT Adj Read]]="N/A",IF(Table1[[#This Row],[Std Adj Read]]&lt;=Table1[[#This Row],[High Tol]],"Pass","Fail"),IF(Table1[[#This Row],[DUT Adj Read]]&lt;=Table1[[#This Row],[High Tol]],"Pass","Fail")))</f>
        <v>Fail</v>
      </c>
      <c r="AH7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6" s="1" t="b">
        <v>0</v>
      </c>
      <c r="AN706" s="1" t="b">
        <v>0</v>
      </c>
      <c r="AO706" s="1" t="b">
        <v>0</v>
      </c>
    </row>
    <row r="707" spans="1:41" x14ac:dyDescent="0.25">
      <c r="A707" s="10"/>
      <c r="B707" s="10"/>
      <c r="C707" s="10"/>
      <c r="D707" s="10"/>
      <c r="E707" s="10"/>
      <c r="F707" s="10"/>
      <c r="G707" s="10"/>
      <c r="H707" s="10"/>
      <c r="I707" s="1" t="str">
        <f t="shared" si="30"/>
        <v/>
      </c>
      <c r="J707" s="1" t="s">
        <v>35</v>
      </c>
      <c r="K707" s="1" t="str">
        <f t="shared" si="31"/>
        <v/>
      </c>
      <c r="L707" s="1" t="str">
        <f t="shared" si="32"/>
        <v/>
      </c>
      <c r="M707" s="1">
        <f>IF(OR(Table1[[#This Row],[Std Nom]]="",Table1[[#This Row],[Std Read]]=""),0,Table1[[#This Row],[Std Nom]]-Table1[[#This Row],[Std Read]])</f>
        <v>0</v>
      </c>
      <c r="N707" s="1">
        <f>IF(Calculations!$F$5="ACCREDITED 17025 WITH UNCERTAINTIES",$N$10,0)</f>
        <v>0</v>
      </c>
      <c r="Q707" s="1">
        <f>Table1[[#This Row],[High Tol]]-Table1[[#This Row],[Low Tol]]</f>
        <v>0</v>
      </c>
      <c r="R707" s="1">
        <f>2*Table1[[#This Row],[Std Error]]</f>
        <v>0</v>
      </c>
      <c r="S707" s="1" t="str">
        <f>IF(Table1[[#This Row],[High Tol]]="","N/A",IFERROR(ABS(Table1[[#This Row],[Tol Span]]/Table1[[#This Row],[Error Span]]),"N/A"))</f>
        <v>N/A</v>
      </c>
      <c r="T707" s="1" t="str">
        <f>IF(OR(Table1[[#This Row],[Low Tol]]="",Table1[[#This Row],[High Tol]]=""),"Needs Analysis",IF(Table1[[#This Row],[Ratio]]&gt;=4,"Not Significant",IF(Table1[[#This Row],[Ratio]]&gt;=2,"Semi-Significant","Significant")))</f>
        <v>Needs Analysis</v>
      </c>
      <c r="W707" s="1">
        <f>IF(Table1[[#This Row],[Cal Type]]&lt;&gt;"ACCREDITED 17025 WITH UNCERTAINTIES",0,"")</f>
        <v>0</v>
      </c>
      <c r="X707" s="1" t="str">
        <f>IF(Table1[[#This Row],[DUT Read]]="","N/A",Table1[[#This Row],[Std Error]]+Table1[[#This Row],[DUT Read]]+Table1[[#This Row],[DUT Ucty]])</f>
        <v>N/A</v>
      </c>
      <c r="Y707" s="1" t="str">
        <f>IF(Table1[[#This Row],[Std Read]]="","N/A",Table1[[#This Row],[Std Read]]+Table1[[#This Row],[Std Ucty]])</f>
        <v>N/A</v>
      </c>
      <c r="Z7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7" s="1" t="str">
        <f>IF(Table1[[#This Row],[Spec Type]]="","N/A",Table1[[#This Row],[Spec Type]])</f>
        <v>±</v>
      </c>
      <c r="AC707" s="1" t="str">
        <f>IF(Table1[[#This Row],[Spec Type2]]="N/A","N/A",IF(AND(Table1[[#This Row],[DUT Adj Read]]&gt;=Table1[[#This Row],[Low Tol]],Table1[[#This Row],[DUT Adj Read]]&lt;=Table1[[#This Row],[High Tol]]),"Pass","Fail"))</f>
        <v>Fail</v>
      </c>
      <c r="AD707" s="1" t="str">
        <f>IF(AND(Table1[[#This Row],[Spec Type2]]="N/A",Table1[[#This Row],[DUT Adj Read]]="N/A",Table1[[#This Row],[Std Adj Read]]="N/A"),"N/A",IF(Table1[[#This Row],[DUT Adj Read]]="N/A",IF(Table1[[#This Row],[Std Adj Read]]&gt;Table1[[#This Row],[Low Tol]],"Pass","Fail"),IF(Table1[[#This Row],[DUT Adj Read]]&gt;Table1[[#This Row],[Low Tol]],"Pass","Fail")))</f>
        <v>Pass</v>
      </c>
      <c r="AE707" s="1" t="str">
        <f>IF(AND(Table1[[#This Row],[Spec Type2]]="N/A",Table1[[#This Row],[DUT Adj Read]]="N/A",Table1[[#This Row],[Std Adj Read]]="N/A"),"N/A",IF(Table1[[#This Row],[DUT Adj Read]]="N/A",IF(Table1[[#This Row],[Std Adj Read]]&lt;Table1[[#This Row],[High Tol]],"Pass","Fail"),IF(Table1[[#This Row],[DUT Adj Read]]&lt;Table1[[#This Row],[High Tol]],"Pass","Fail")))</f>
        <v>Fail</v>
      </c>
      <c r="AF707" s="1" t="str">
        <f>IF(AND(Table1[[#This Row],[Spec Type2]]="N/A",Table1[[#This Row],[DUT Adj Read]]="N/A",Table1[[#This Row],[Std Adj Read]]="N/A"),"N/A",IF(Table1[[#This Row],[DUT Adj Read]]="N/A",IF(Table1[[#This Row],[Std Adj Read]]&gt;=Table1[[#This Row],[Low Tol]],"Pass","Fail"),IF(Table1[[#This Row],[DUT Adj Read]]&gt;=Table1[[#This Row],[Low Tol]],"Pass","Fail")))</f>
        <v>Pass</v>
      </c>
      <c r="AG707" s="1" t="str">
        <f>IF(AND(Table1[[#This Row],[Spec Type2]]="N/A",Table1[[#This Row],[DUT Adj Read]]="N/A",Table1[[#This Row],[Std Adj Read]]="N/A"),"N/A",IF(Table1[[#This Row],[DUT Adj Read]]="N/A",IF(Table1[[#This Row],[Std Adj Read]]&lt;=Table1[[#This Row],[High Tol]],"Pass","Fail"),IF(Table1[[#This Row],[DUT Adj Read]]&lt;=Table1[[#This Row],[High Tol]],"Pass","Fail")))</f>
        <v>Fail</v>
      </c>
      <c r="AH7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7" s="1" t="b">
        <v>0</v>
      </c>
      <c r="AN707" s="1" t="b">
        <v>0</v>
      </c>
      <c r="AO707" s="1" t="b">
        <v>0</v>
      </c>
    </row>
    <row r="708" spans="1:41" x14ac:dyDescent="0.25">
      <c r="A708" s="10"/>
      <c r="B708" s="10"/>
      <c r="C708" s="10"/>
      <c r="D708" s="10"/>
      <c r="E708" s="10"/>
      <c r="F708" s="10"/>
      <c r="G708" s="10"/>
      <c r="H708" s="10"/>
      <c r="I708" s="1" t="str">
        <f t="shared" si="30"/>
        <v/>
      </c>
      <c r="J708" s="1" t="s">
        <v>35</v>
      </c>
      <c r="K708" s="1" t="str">
        <f t="shared" si="31"/>
        <v/>
      </c>
      <c r="L708" s="1" t="str">
        <f t="shared" si="32"/>
        <v/>
      </c>
      <c r="M708" s="1">
        <f>IF(OR(Table1[[#This Row],[Std Nom]]="",Table1[[#This Row],[Std Read]]=""),0,Table1[[#This Row],[Std Nom]]-Table1[[#This Row],[Std Read]])</f>
        <v>0</v>
      </c>
      <c r="N708" s="1">
        <f>IF(Calculations!$F$5="ACCREDITED 17025 WITH UNCERTAINTIES",$N$10,0)</f>
        <v>0</v>
      </c>
      <c r="Q708" s="1">
        <f>Table1[[#This Row],[High Tol]]-Table1[[#This Row],[Low Tol]]</f>
        <v>0</v>
      </c>
      <c r="R708" s="1">
        <f>2*Table1[[#This Row],[Std Error]]</f>
        <v>0</v>
      </c>
      <c r="S708" s="1" t="str">
        <f>IF(Table1[[#This Row],[High Tol]]="","N/A",IFERROR(ABS(Table1[[#This Row],[Tol Span]]/Table1[[#This Row],[Error Span]]),"N/A"))</f>
        <v>N/A</v>
      </c>
      <c r="T708" s="1" t="str">
        <f>IF(OR(Table1[[#This Row],[Low Tol]]="",Table1[[#This Row],[High Tol]]=""),"Needs Analysis",IF(Table1[[#This Row],[Ratio]]&gt;=4,"Not Significant",IF(Table1[[#This Row],[Ratio]]&gt;=2,"Semi-Significant","Significant")))</f>
        <v>Needs Analysis</v>
      </c>
      <c r="W708" s="1">
        <f>IF(Table1[[#This Row],[Cal Type]]&lt;&gt;"ACCREDITED 17025 WITH UNCERTAINTIES",0,"")</f>
        <v>0</v>
      </c>
      <c r="X708" s="1" t="str">
        <f>IF(Table1[[#This Row],[DUT Read]]="","N/A",Table1[[#This Row],[Std Error]]+Table1[[#This Row],[DUT Read]]+Table1[[#This Row],[DUT Ucty]])</f>
        <v>N/A</v>
      </c>
      <c r="Y708" s="1" t="str">
        <f>IF(Table1[[#This Row],[Std Read]]="","N/A",Table1[[#This Row],[Std Read]]+Table1[[#This Row],[Std Ucty]])</f>
        <v>N/A</v>
      </c>
      <c r="Z7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8" s="1" t="str">
        <f>IF(Table1[[#This Row],[Spec Type]]="","N/A",Table1[[#This Row],[Spec Type]])</f>
        <v>±</v>
      </c>
      <c r="AC708" s="1" t="str">
        <f>IF(Table1[[#This Row],[Spec Type2]]="N/A","N/A",IF(AND(Table1[[#This Row],[DUT Adj Read]]&gt;=Table1[[#This Row],[Low Tol]],Table1[[#This Row],[DUT Adj Read]]&lt;=Table1[[#This Row],[High Tol]]),"Pass","Fail"))</f>
        <v>Fail</v>
      </c>
      <c r="AD708" s="1" t="str">
        <f>IF(AND(Table1[[#This Row],[Spec Type2]]="N/A",Table1[[#This Row],[DUT Adj Read]]="N/A",Table1[[#This Row],[Std Adj Read]]="N/A"),"N/A",IF(Table1[[#This Row],[DUT Adj Read]]="N/A",IF(Table1[[#This Row],[Std Adj Read]]&gt;Table1[[#This Row],[Low Tol]],"Pass","Fail"),IF(Table1[[#This Row],[DUT Adj Read]]&gt;Table1[[#This Row],[Low Tol]],"Pass","Fail")))</f>
        <v>Pass</v>
      </c>
      <c r="AE708" s="1" t="str">
        <f>IF(AND(Table1[[#This Row],[Spec Type2]]="N/A",Table1[[#This Row],[DUT Adj Read]]="N/A",Table1[[#This Row],[Std Adj Read]]="N/A"),"N/A",IF(Table1[[#This Row],[DUT Adj Read]]="N/A",IF(Table1[[#This Row],[Std Adj Read]]&lt;Table1[[#This Row],[High Tol]],"Pass","Fail"),IF(Table1[[#This Row],[DUT Adj Read]]&lt;Table1[[#This Row],[High Tol]],"Pass","Fail")))</f>
        <v>Fail</v>
      </c>
      <c r="AF708" s="1" t="str">
        <f>IF(AND(Table1[[#This Row],[Spec Type2]]="N/A",Table1[[#This Row],[DUT Adj Read]]="N/A",Table1[[#This Row],[Std Adj Read]]="N/A"),"N/A",IF(Table1[[#This Row],[DUT Adj Read]]="N/A",IF(Table1[[#This Row],[Std Adj Read]]&gt;=Table1[[#This Row],[Low Tol]],"Pass","Fail"),IF(Table1[[#This Row],[DUT Adj Read]]&gt;=Table1[[#This Row],[Low Tol]],"Pass","Fail")))</f>
        <v>Pass</v>
      </c>
      <c r="AG708" s="1" t="str">
        <f>IF(AND(Table1[[#This Row],[Spec Type2]]="N/A",Table1[[#This Row],[DUT Adj Read]]="N/A",Table1[[#This Row],[Std Adj Read]]="N/A"),"N/A",IF(Table1[[#This Row],[DUT Adj Read]]="N/A",IF(Table1[[#This Row],[Std Adj Read]]&lt;=Table1[[#This Row],[High Tol]],"Pass","Fail"),IF(Table1[[#This Row],[DUT Adj Read]]&lt;=Table1[[#This Row],[High Tol]],"Pass","Fail")))</f>
        <v>Fail</v>
      </c>
      <c r="AH7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8" s="1" t="b">
        <v>0</v>
      </c>
      <c r="AN708" s="1" t="b">
        <v>0</v>
      </c>
      <c r="AO708" s="1" t="b">
        <v>0</v>
      </c>
    </row>
    <row r="709" spans="1:41" x14ac:dyDescent="0.25">
      <c r="A709" s="10"/>
      <c r="B709" s="10"/>
      <c r="C709" s="10"/>
      <c r="D709" s="10"/>
      <c r="E709" s="10"/>
      <c r="F709" s="10"/>
      <c r="G709" s="10"/>
      <c r="H709" s="10"/>
      <c r="I709" s="1" t="str">
        <f t="shared" si="30"/>
        <v/>
      </c>
      <c r="J709" s="1" t="s">
        <v>35</v>
      </c>
      <c r="K709" s="1" t="str">
        <f t="shared" si="31"/>
        <v/>
      </c>
      <c r="L709" s="1" t="str">
        <f t="shared" si="32"/>
        <v/>
      </c>
      <c r="M709" s="1">
        <f>IF(OR(Table1[[#This Row],[Std Nom]]="",Table1[[#This Row],[Std Read]]=""),0,Table1[[#This Row],[Std Nom]]-Table1[[#This Row],[Std Read]])</f>
        <v>0</v>
      </c>
      <c r="N709" s="1">
        <f>IF(Calculations!$F$5="ACCREDITED 17025 WITH UNCERTAINTIES",$N$10,0)</f>
        <v>0</v>
      </c>
      <c r="Q709" s="1">
        <f>Table1[[#This Row],[High Tol]]-Table1[[#This Row],[Low Tol]]</f>
        <v>0</v>
      </c>
      <c r="R709" s="1">
        <f>2*Table1[[#This Row],[Std Error]]</f>
        <v>0</v>
      </c>
      <c r="S709" s="1" t="str">
        <f>IF(Table1[[#This Row],[High Tol]]="","N/A",IFERROR(ABS(Table1[[#This Row],[Tol Span]]/Table1[[#This Row],[Error Span]]),"N/A"))</f>
        <v>N/A</v>
      </c>
      <c r="T709" s="1" t="str">
        <f>IF(OR(Table1[[#This Row],[Low Tol]]="",Table1[[#This Row],[High Tol]]=""),"Needs Analysis",IF(Table1[[#This Row],[Ratio]]&gt;=4,"Not Significant",IF(Table1[[#This Row],[Ratio]]&gt;=2,"Semi-Significant","Significant")))</f>
        <v>Needs Analysis</v>
      </c>
      <c r="W709" s="1">
        <f>IF(Table1[[#This Row],[Cal Type]]&lt;&gt;"ACCREDITED 17025 WITH UNCERTAINTIES",0,"")</f>
        <v>0</v>
      </c>
      <c r="X709" s="1" t="str">
        <f>IF(Table1[[#This Row],[DUT Read]]="","N/A",Table1[[#This Row],[Std Error]]+Table1[[#This Row],[DUT Read]]+Table1[[#This Row],[DUT Ucty]])</f>
        <v>N/A</v>
      </c>
      <c r="Y709" s="1" t="str">
        <f>IF(Table1[[#This Row],[Std Read]]="","N/A",Table1[[#This Row],[Std Read]]+Table1[[#This Row],[Std Ucty]])</f>
        <v>N/A</v>
      </c>
      <c r="Z7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09" s="1" t="str">
        <f>IF(Table1[[#This Row],[Spec Type]]="","N/A",Table1[[#This Row],[Spec Type]])</f>
        <v>±</v>
      </c>
      <c r="AC709" s="1" t="str">
        <f>IF(Table1[[#This Row],[Spec Type2]]="N/A","N/A",IF(AND(Table1[[#This Row],[DUT Adj Read]]&gt;=Table1[[#This Row],[Low Tol]],Table1[[#This Row],[DUT Adj Read]]&lt;=Table1[[#This Row],[High Tol]]),"Pass","Fail"))</f>
        <v>Fail</v>
      </c>
      <c r="AD709" s="1" t="str">
        <f>IF(AND(Table1[[#This Row],[Spec Type2]]="N/A",Table1[[#This Row],[DUT Adj Read]]="N/A",Table1[[#This Row],[Std Adj Read]]="N/A"),"N/A",IF(Table1[[#This Row],[DUT Adj Read]]="N/A",IF(Table1[[#This Row],[Std Adj Read]]&gt;Table1[[#This Row],[Low Tol]],"Pass","Fail"),IF(Table1[[#This Row],[DUT Adj Read]]&gt;Table1[[#This Row],[Low Tol]],"Pass","Fail")))</f>
        <v>Pass</v>
      </c>
      <c r="AE709" s="1" t="str">
        <f>IF(AND(Table1[[#This Row],[Spec Type2]]="N/A",Table1[[#This Row],[DUT Adj Read]]="N/A",Table1[[#This Row],[Std Adj Read]]="N/A"),"N/A",IF(Table1[[#This Row],[DUT Adj Read]]="N/A",IF(Table1[[#This Row],[Std Adj Read]]&lt;Table1[[#This Row],[High Tol]],"Pass","Fail"),IF(Table1[[#This Row],[DUT Adj Read]]&lt;Table1[[#This Row],[High Tol]],"Pass","Fail")))</f>
        <v>Fail</v>
      </c>
      <c r="AF709" s="1" t="str">
        <f>IF(AND(Table1[[#This Row],[Spec Type2]]="N/A",Table1[[#This Row],[DUT Adj Read]]="N/A",Table1[[#This Row],[Std Adj Read]]="N/A"),"N/A",IF(Table1[[#This Row],[DUT Adj Read]]="N/A",IF(Table1[[#This Row],[Std Adj Read]]&gt;=Table1[[#This Row],[Low Tol]],"Pass","Fail"),IF(Table1[[#This Row],[DUT Adj Read]]&gt;=Table1[[#This Row],[Low Tol]],"Pass","Fail")))</f>
        <v>Pass</v>
      </c>
      <c r="AG709" s="1" t="str">
        <f>IF(AND(Table1[[#This Row],[Spec Type2]]="N/A",Table1[[#This Row],[DUT Adj Read]]="N/A",Table1[[#This Row],[Std Adj Read]]="N/A"),"N/A",IF(Table1[[#This Row],[DUT Adj Read]]="N/A",IF(Table1[[#This Row],[Std Adj Read]]&lt;=Table1[[#This Row],[High Tol]],"Pass","Fail"),IF(Table1[[#This Row],[DUT Adj Read]]&lt;=Table1[[#This Row],[High Tol]],"Pass","Fail")))</f>
        <v>Fail</v>
      </c>
      <c r="AH7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09" s="1" t="b">
        <v>0</v>
      </c>
      <c r="AN709" s="1" t="b">
        <v>0</v>
      </c>
      <c r="AO709" s="1" t="b">
        <v>0</v>
      </c>
    </row>
    <row r="710" spans="1:41" x14ac:dyDescent="0.25">
      <c r="A710" s="10"/>
      <c r="B710" s="10"/>
      <c r="C710" s="10"/>
      <c r="D710" s="10"/>
      <c r="E710" s="10"/>
      <c r="F710" s="10"/>
      <c r="G710" s="10"/>
      <c r="H710" s="10"/>
      <c r="I710" s="1" t="str">
        <f t="shared" si="30"/>
        <v/>
      </c>
      <c r="J710" s="1" t="s">
        <v>35</v>
      </c>
      <c r="K710" s="1" t="str">
        <f t="shared" si="31"/>
        <v/>
      </c>
      <c r="L710" s="1" t="str">
        <f t="shared" si="32"/>
        <v/>
      </c>
      <c r="M710" s="1">
        <f>IF(OR(Table1[[#This Row],[Std Nom]]="",Table1[[#This Row],[Std Read]]=""),0,Table1[[#This Row],[Std Nom]]-Table1[[#This Row],[Std Read]])</f>
        <v>0</v>
      </c>
      <c r="N710" s="1">
        <f>IF(Calculations!$F$5="ACCREDITED 17025 WITH UNCERTAINTIES",$N$10,0)</f>
        <v>0</v>
      </c>
      <c r="Q710" s="1">
        <f>Table1[[#This Row],[High Tol]]-Table1[[#This Row],[Low Tol]]</f>
        <v>0</v>
      </c>
      <c r="R710" s="1">
        <f>2*Table1[[#This Row],[Std Error]]</f>
        <v>0</v>
      </c>
      <c r="S710" s="1" t="str">
        <f>IF(Table1[[#This Row],[High Tol]]="","N/A",IFERROR(ABS(Table1[[#This Row],[Tol Span]]/Table1[[#This Row],[Error Span]]),"N/A"))</f>
        <v>N/A</v>
      </c>
      <c r="T710" s="1" t="str">
        <f>IF(OR(Table1[[#This Row],[Low Tol]]="",Table1[[#This Row],[High Tol]]=""),"Needs Analysis",IF(Table1[[#This Row],[Ratio]]&gt;=4,"Not Significant",IF(Table1[[#This Row],[Ratio]]&gt;=2,"Semi-Significant","Significant")))</f>
        <v>Needs Analysis</v>
      </c>
      <c r="W710" s="1">
        <f>IF(Table1[[#This Row],[Cal Type]]&lt;&gt;"ACCREDITED 17025 WITH UNCERTAINTIES",0,"")</f>
        <v>0</v>
      </c>
      <c r="X710" s="1" t="str">
        <f>IF(Table1[[#This Row],[DUT Read]]="","N/A",Table1[[#This Row],[Std Error]]+Table1[[#This Row],[DUT Read]]+Table1[[#This Row],[DUT Ucty]])</f>
        <v>N/A</v>
      </c>
      <c r="Y710" s="1" t="str">
        <f>IF(Table1[[#This Row],[Std Read]]="","N/A",Table1[[#This Row],[Std Read]]+Table1[[#This Row],[Std Ucty]])</f>
        <v>N/A</v>
      </c>
      <c r="Z7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0" s="1" t="str">
        <f>IF(Table1[[#This Row],[Spec Type]]="","N/A",Table1[[#This Row],[Spec Type]])</f>
        <v>±</v>
      </c>
      <c r="AC710" s="1" t="str">
        <f>IF(Table1[[#This Row],[Spec Type2]]="N/A","N/A",IF(AND(Table1[[#This Row],[DUT Adj Read]]&gt;=Table1[[#This Row],[Low Tol]],Table1[[#This Row],[DUT Adj Read]]&lt;=Table1[[#This Row],[High Tol]]),"Pass","Fail"))</f>
        <v>Fail</v>
      </c>
      <c r="AD710" s="1" t="str">
        <f>IF(AND(Table1[[#This Row],[Spec Type2]]="N/A",Table1[[#This Row],[DUT Adj Read]]="N/A",Table1[[#This Row],[Std Adj Read]]="N/A"),"N/A",IF(Table1[[#This Row],[DUT Adj Read]]="N/A",IF(Table1[[#This Row],[Std Adj Read]]&gt;Table1[[#This Row],[Low Tol]],"Pass","Fail"),IF(Table1[[#This Row],[DUT Adj Read]]&gt;Table1[[#This Row],[Low Tol]],"Pass","Fail")))</f>
        <v>Pass</v>
      </c>
      <c r="AE710" s="1" t="str">
        <f>IF(AND(Table1[[#This Row],[Spec Type2]]="N/A",Table1[[#This Row],[DUT Adj Read]]="N/A",Table1[[#This Row],[Std Adj Read]]="N/A"),"N/A",IF(Table1[[#This Row],[DUT Adj Read]]="N/A",IF(Table1[[#This Row],[Std Adj Read]]&lt;Table1[[#This Row],[High Tol]],"Pass","Fail"),IF(Table1[[#This Row],[DUT Adj Read]]&lt;Table1[[#This Row],[High Tol]],"Pass","Fail")))</f>
        <v>Fail</v>
      </c>
      <c r="AF710" s="1" t="str">
        <f>IF(AND(Table1[[#This Row],[Spec Type2]]="N/A",Table1[[#This Row],[DUT Adj Read]]="N/A",Table1[[#This Row],[Std Adj Read]]="N/A"),"N/A",IF(Table1[[#This Row],[DUT Adj Read]]="N/A",IF(Table1[[#This Row],[Std Adj Read]]&gt;=Table1[[#This Row],[Low Tol]],"Pass","Fail"),IF(Table1[[#This Row],[DUT Adj Read]]&gt;=Table1[[#This Row],[Low Tol]],"Pass","Fail")))</f>
        <v>Pass</v>
      </c>
      <c r="AG710" s="1" t="str">
        <f>IF(AND(Table1[[#This Row],[Spec Type2]]="N/A",Table1[[#This Row],[DUT Adj Read]]="N/A",Table1[[#This Row],[Std Adj Read]]="N/A"),"N/A",IF(Table1[[#This Row],[DUT Adj Read]]="N/A",IF(Table1[[#This Row],[Std Adj Read]]&lt;=Table1[[#This Row],[High Tol]],"Pass","Fail"),IF(Table1[[#This Row],[DUT Adj Read]]&lt;=Table1[[#This Row],[High Tol]],"Pass","Fail")))</f>
        <v>Fail</v>
      </c>
      <c r="AH7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0" s="1" t="b">
        <v>0</v>
      </c>
      <c r="AN710" s="1" t="b">
        <v>0</v>
      </c>
      <c r="AO710" s="1" t="b">
        <v>0</v>
      </c>
    </row>
    <row r="711" spans="1:41" x14ac:dyDescent="0.25">
      <c r="A711" s="10"/>
      <c r="B711" s="10"/>
      <c r="C711" s="10"/>
      <c r="D711" s="10"/>
      <c r="E711" s="10"/>
      <c r="F711" s="10"/>
      <c r="G711" s="10"/>
      <c r="H711" s="10"/>
      <c r="I711" s="1" t="str">
        <f t="shared" si="30"/>
        <v/>
      </c>
      <c r="J711" s="1" t="s">
        <v>35</v>
      </c>
      <c r="K711" s="1" t="str">
        <f t="shared" si="31"/>
        <v/>
      </c>
      <c r="L711" s="1" t="str">
        <f t="shared" si="32"/>
        <v/>
      </c>
      <c r="M711" s="1">
        <f>IF(OR(Table1[[#This Row],[Std Nom]]="",Table1[[#This Row],[Std Read]]=""),0,Table1[[#This Row],[Std Nom]]-Table1[[#This Row],[Std Read]])</f>
        <v>0</v>
      </c>
      <c r="N711" s="1">
        <f>IF(Calculations!$F$5="ACCREDITED 17025 WITH UNCERTAINTIES",$N$10,0)</f>
        <v>0</v>
      </c>
      <c r="Q711" s="1">
        <f>Table1[[#This Row],[High Tol]]-Table1[[#This Row],[Low Tol]]</f>
        <v>0</v>
      </c>
      <c r="R711" s="1">
        <f>2*Table1[[#This Row],[Std Error]]</f>
        <v>0</v>
      </c>
      <c r="S711" s="1" t="str">
        <f>IF(Table1[[#This Row],[High Tol]]="","N/A",IFERROR(ABS(Table1[[#This Row],[Tol Span]]/Table1[[#This Row],[Error Span]]),"N/A"))</f>
        <v>N/A</v>
      </c>
      <c r="T711" s="1" t="str">
        <f>IF(OR(Table1[[#This Row],[Low Tol]]="",Table1[[#This Row],[High Tol]]=""),"Needs Analysis",IF(Table1[[#This Row],[Ratio]]&gt;=4,"Not Significant",IF(Table1[[#This Row],[Ratio]]&gt;=2,"Semi-Significant","Significant")))</f>
        <v>Needs Analysis</v>
      </c>
      <c r="W711" s="1">
        <f>IF(Table1[[#This Row],[Cal Type]]&lt;&gt;"ACCREDITED 17025 WITH UNCERTAINTIES",0,"")</f>
        <v>0</v>
      </c>
      <c r="X711" s="1" t="str">
        <f>IF(Table1[[#This Row],[DUT Read]]="","N/A",Table1[[#This Row],[Std Error]]+Table1[[#This Row],[DUT Read]]+Table1[[#This Row],[DUT Ucty]])</f>
        <v>N/A</v>
      </c>
      <c r="Y711" s="1" t="str">
        <f>IF(Table1[[#This Row],[Std Read]]="","N/A",Table1[[#This Row],[Std Read]]+Table1[[#This Row],[Std Ucty]])</f>
        <v>N/A</v>
      </c>
      <c r="Z7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1" s="1" t="str">
        <f>IF(Table1[[#This Row],[Spec Type]]="","N/A",Table1[[#This Row],[Spec Type]])</f>
        <v>±</v>
      </c>
      <c r="AC711" s="1" t="str">
        <f>IF(Table1[[#This Row],[Spec Type2]]="N/A","N/A",IF(AND(Table1[[#This Row],[DUT Adj Read]]&gt;=Table1[[#This Row],[Low Tol]],Table1[[#This Row],[DUT Adj Read]]&lt;=Table1[[#This Row],[High Tol]]),"Pass","Fail"))</f>
        <v>Fail</v>
      </c>
      <c r="AD711" s="1" t="str">
        <f>IF(AND(Table1[[#This Row],[Spec Type2]]="N/A",Table1[[#This Row],[DUT Adj Read]]="N/A",Table1[[#This Row],[Std Adj Read]]="N/A"),"N/A",IF(Table1[[#This Row],[DUT Adj Read]]="N/A",IF(Table1[[#This Row],[Std Adj Read]]&gt;Table1[[#This Row],[Low Tol]],"Pass","Fail"),IF(Table1[[#This Row],[DUT Adj Read]]&gt;Table1[[#This Row],[Low Tol]],"Pass","Fail")))</f>
        <v>Pass</v>
      </c>
      <c r="AE711" s="1" t="str">
        <f>IF(AND(Table1[[#This Row],[Spec Type2]]="N/A",Table1[[#This Row],[DUT Adj Read]]="N/A",Table1[[#This Row],[Std Adj Read]]="N/A"),"N/A",IF(Table1[[#This Row],[DUT Adj Read]]="N/A",IF(Table1[[#This Row],[Std Adj Read]]&lt;Table1[[#This Row],[High Tol]],"Pass","Fail"),IF(Table1[[#This Row],[DUT Adj Read]]&lt;Table1[[#This Row],[High Tol]],"Pass","Fail")))</f>
        <v>Fail</v>
      </c>
      <c r="AF711" s="1" t="str">
        <f>IF(AND(Table1[[#This Row],[Spec Type2]]="N/A",Table1[[#This Row],[DUT Adj Read]]="N/A",Table1[[#This Row],[Std Adj Read]]="N/A"),"N/A",IF(Table1[[#This Row],[DUT Adj Read]]="N/A",IF(Table1[[#This Row],[Std Adj Read]]&gt;=Table1[[#This Row],[Low Tol]],"Pass","Fail"),IF(Table1[[#This Row],[DUT Adj Read]]&gt;=Table1[[#This Row],[Low Tol]],"Pass","Fail")))</f>
        <v>Pass</v>
      </c>
      <c r="AG711" s="1" t="str">
        <f>IF(AND(Table1[[#This Row],[Spec Type2]]="N/A",Table1[[#This Row],[DUT Adj Read]]="N/A",Table1[[#This Row],[Std Adj Read]]="N/A"),"N/A",IF(Table1[[#This Row],[DUT Adj Read]]="N/A",IF(Table1[[#This Row],[Std Adj Read]]&lt;=Table1[[#This Row],[High Tol]],"Pass","Fail"),IF(Table1[[#This Row],[DUT Adj Read]]&lt;=Table1[[#This Row],[High Tol]],"Pass","Fail")))</f>
        <v>Fail</v>
      </c>
      <c r="AH7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1" s="1" t="b">
        <v>0</v>
      </c>
      <c r="AN711" s="1" t="b">
        <v>0</v>
      </c>
      <c r="AO711" s="1" t="b">
        <v>0</v>
      </c>
    </row>
    <row r="712" spans="1:41" x14ac:dyDescent="0.25">
      <c r="A712" s="10"/>
      <c r="B712" s="10"/>
      <c r="C712" s="10"/>
      <c r="D712" s="10"/>
      <c r="E712" s="10"/>
      <c r="F712" s="10"/>
      <c r="G712" s="10"/>
      <c r="H712" s="10"/>
      <c r="I712" s="1" t="str">
        <f t="shared" si="30"/>
        <v/>
      </c>
      <c r="J712" s="1" t="s">
        <v>35</v>
      </c>
      <c r="K712" s="1" t="str">
        <f t="shared" si="31"/>
        <v/>
      </c>
      <c r="L712" s="1" t="str">
        <f t="shared" si="32"/>
        <v/>
      </c>
      <c r="M712" s="1">
        <f>IF(OR(Table1[[#This Row],[Std Nom]]="",Table1[[#This Row],[Std Read]]=""),0,Table1[[#This Row],[Std Nom]]-Table1[[#This Row],[Std Read]])</f>
        <v>0</v>
      </c>
      <c r="N712" s="1">
        <f>IF(Calculations!$F$5="ACCREDITED 17025 WITH UNCERTAINTIES",$N$10,0)</f>
        <v>0</v>
      </c>
      <c r="Q712" s="1">
        <f>Table1[[#This Row],[High Tol]]-Table1[[#This Row],[Low Tol]]</f>
        <v>0</v>
      </c>
      <c r="R712" s="1">
        <f>2*Table1[[#This Row],[Std Error]]</f>
        <v>0</v>
      </c>
      <c r="S712" s="1" t="str">
        <f>IF(Table1[[#This Row],[High Tol]]="","N/A",IFERROR(ABS(Table1[[#This Row],[Tol Span]]/Table1[[#This Row],[Error Span]]),"N/A"))</f>
        <v>N/A</v>
      </c>
      <c r="T712" s="1" t="str">
        <f>IF(OR(Table1[[#This Row],[Low Tol]]="",Table1[[#This Row],[High Tol]]=""),"Needs Analysis",IF(Table1[[#This Row],[Ratio]]&gt;=4,"Not Significant",IF(Table1[[#This Row],[Ratio]]&gt;=2,"Semi-Significant","Significant")))</f>
        <v>Needs Analysis</v>
      </c>
      <c r="W712" s="1">
        <f>IF(Table1[[#This Row],[Cal Type]]&lt;&gt;"ACCREDITED 17025 WITH UNCERTAINTIES",0,"")</f>
        <v>0</v>
      </c>
      <c r="X712" s="1" t="str">
        <f>IF(Table1[[#This Row],[DUT Read]]="","N/A",Table1[[#This Row],[Std Error]]+Table1[[#This Row],[DUT Read]]+Table1[[#This Row],[DUT Ucty]])</f>
        <v>N/A</v>
      </c>
      <c r="Y712" s="1" t="str">
        <f>IF(Table1[[#This Row],[Std Read]]="","N/A",Table1[[#This Row],[Std Read]]+Table1[[#This Row],[Std Ucty]])</f>
        <v>N/A</v>
      </c>
      <c r="Z7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2" s="1" t="str">
        <f>IF(Table1[[#This Row],[Spec Type]]="","N/A",Table1[[#This Row],[Spec Type]])</f>
        <v>±</v>
      </c>
      <c r="AC712" s="1" t="str">
        <f>IF(Table1[[#This Row],[Spec Type2]]="N/A","N/A",IF(AND(Table1[[#This Row],[DUT Adj Read]]&gt;=Table1[[#This Row],[Low Tol]],Table1[[#This Row],[DUT Adj Read]]&lt;=Table1[[#This Row],[High Tol]]),"Pass","Fail"))</f>
        <v>Fail</v>
      </c>
      <c r="AD712" s="1" t="str">
        <f>IF(AND(Table1[[#This Row],[Spec Type2]]="N/A",Table1[[#This Row],[DUT Adj Read]]="N/A",Table1[[#This Row],[Std Adj Read]]="N/A"),"N/A",IF(Table1[[#This Row],[DUT Adj Read]]="N/A",IF(Table1[[#This Row],[Std Adj Read]]&gt;Table1[[#This Row],[Low Tol]],"Pass","Fail"),IF(Table1[[#This Row],[DUT Adj Read]]&gt;Table1[[#This Row],[Low Tol]],"Pass","Fail")))</f>
        <v>Pass</v>
      </c>
      <c r="AE712" s="1" t="str">
        <f>IF(AND(Table1[[#This Row],[Spec Type2]]="N/A",Table1[[#This Row],[DUT Adj Read]]="N/A",Table1[[#This Row],[Std Adj Read]]="N/A"),"N/A",IF(Table1[[#This Row],[DUT Adj Read]]="N/A",IF(Table1[[#This Row],[Std Adj Read]]&lt;Table1[[#This Row],[High Tol]],"Pass","Fail"),IF(Table1[[#This Row],[DUT Adj Read]]&lt;Table1[[#This Row],[High Tol]],"Pass","Fail")))</f>
        <v>Fail</v>
      </c>
      <c r="AF712" s="1" t="str">
        <f>IF(AND(Table1[[#This Row],[Spec Type2]]="N/A",Table1[[#This Row],[DUT Adj Read]]="N/A",Table1[[#This Row],[Std Adj Read]]="N/A"),"N/A",IF(Table1[[#This Row],[DUT Adj Read]]="N/A",IF(Table1[[#This Row],[Std Adj Read]]&gt;=Table1[[#This Row],[Low Tol]],"Pass","Fail"),IF(Table1[[#This Row],[DUT Adj Read]]&gt;=Table1[[#This Row],[Low Tol]],"Pass","Fail")))</f>
        <v>Pass</v>
      </c>
      <c r="AG712" s="1" t="str">
        <f>IF(AND(Table1[[#This Row],[Spec Type2]]="N/A",Table1[[#This Row],[DUT Adj Read]]="N/A",Table1[[#This Row],[Std Adj Read]]="N/A"),"N/A",IF(Table1[[#This Row],[DUT Adj Read]]="N/A",IF(Table1[[#This Row],[Std Adj Read]]&lt;=Table1[[#This Row],[High Tol]],"Pass","Fail"),IF(Table1[[#This Row],[DUT Adj Read]]&lt;=Table1[[#This Row],[High Tol]],"Pass","Fail")))</f>
        <v>Fail</v>
      </c>
      <c r="AH7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2" s="1" t="b">
        <v>0</v>
      </c>
      <c r="AN712" s="1" t="b">
        <v>0</v>
      </c>
      <c r="AO712" s="1" t="b">
        <v>0</v>
      </c>
    </row>
    <row r="713" spans="1:41" x14ac:dyDescent="0.25">
      <c r="A713" s="10"/>
      <c r="B713" s="10"/>
      <c r="C713" s="10"/>
      <c r="D713" s="10"/>
      <c r="E713" s="10"/>
      <c r="F713" s="10"/>
      <c r="G713" s="10"/>
      <c r="H713" s="10"/>
      <c r="I713" s="1" t="str">
        <f t="shared" si="30"/>
        <v/>
      </c>
      <c r="J713" s="1" t="s">
        <v>35</v>
      </c>
      <c r="K713" s="1" t="str">
        <f t="shared" si="31"/>
        <v/>
      </c>
      <c r="L713" s="1" t="str">
        <f t="shared" si="32"/>
        <v/>
      </c>
      <c r="M713" s="1">
        <f>IF(OR(Table1[[#This Row],[Std Nom]]="",Table1[[#This Row],[Std Read]]=""),0,Table1[[#This Row],[Std Nom]]-Table1[[#This Row],[Std Read]])</f>
        <v>0</v>
      </c>
      <c r="N713" s="1">
        <f>IF(Calculations!$F$5="ACCREDITED 17025 WITH UNCERTAINTIES",$N$10,0)</f>
        <v>0</v>
      </c>
      <c r="Q713" s="1">
        <f>Table1[[#This Row],[High Tol]]-Table1[[#This Row],[Low Tol]]</f>
        <v>0</v>
      </c>
      <c r="R713" s="1">
        <f>2*Table1[[#This Row],[Std Error]]</f>
        <v>0</v>
      </c>
      <c r="S713" s="1" t="str">
        <f>IF(Table1[[#This Row],[High Tol]]="","N/A",IFERROR(ABS(Table1[[#This Row],[Tol Span]]/Table1[[#This Row],[Error Span]]),"N/A"))</f>
        <v>N/A</v>
      </c>
      <c r="T713" s="1" t="str">
        <f>IF(OR(Table1[[#This Row],[Low Tol]]="",Table1[[#This Row],[High Tol]]=""),"Needs Analysis",IF(Table1[[#This Row],[Ratio]]&gt;=4,"Not Significant",IF(Table1[[#This Row],[Ratio]]&gt;=2,"Semi-Significant","Significant")))</f>
        <v>Needs Analysis</v>
      </c>
      <c r="W713" s="1">
        <f>IF(Table1[[#This Row],[Cal Type]]&lt;&gt;"ACCREDITED 17025 WITH UNCERTAINTIES",0,"")</f>
        <v>0</v>
      </c>
      <c r="X713" s="1" t="str">
        <f>IF(Table1[[#This Row],[DUT Read]]="","N/A",Table1[[#This Row],[Std Error]]+Table1[[#This Row],[DUT Read]]+Table1[[#This Row],[DUT Ucty]])</f>
        <v>N/A</v>
      </c>
      <c r="Y713" s="1" t="str">
        <f>IF(Table1[[#This Row],[Std Read]]="","N/A",Table1[[#This Row],[Std Read]]+Table1[[#This Row],[Std Ucty]])</f>
        <v>N/A</v>
      </c>
      <c r="Z7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3" s="1" t="str">
        <f>IF(Table1[[#This Row],[Spec Type]]="","N/A",Table1[[#This Row],[Spec Type]])</f>
        <v>±</v>
      </c>
      <c r="AC713" s="1" t="str">
        <f>IF(Table1[[#This Row],[Spec Type2]]="N/A","N/A",IF(AND(Table1[[#This Row],[DUT Adj Read]]&gt;=Table1[[#This Row],[Low Tol]],Table1[[#This Row],[DUT Adj Read]]&lt;=Table1[[#This Row],[High Tol]]),"Pass","Fail"))</f>
        <v>Fail</v>
      </c>
      <c r="AD713" s="1" t="str">
        <f>IF(AND(Table1[[#This Row],[Spec Type2]]="N/A",Table1[[#This Row],[DUT Adj Read]]="N/A",Table1[[#This Row],[Std Adj Read]]="N/A"),"N/A",IF(Table1[[#This Row],[DUT Adj Read]]="N/A",IF(Table1[[#This Row],[Std Adj Read]]&gt;Table1[[#This Row],[Low Tol]],"Pass","Fail"),IF(Table1[[#This Row],[DUT Adj Read]]&gt;Table1[[#This Row],[Low Tol]],"Pass","Fail")))</f>
        <v>Pass</v>
      </c>
      <c r="AE713" s="1" t="str">
        <f>IF(AND(Table1[[#This Row],[Spec Type2]]="N/A",Table1[[#This Row],[DUT Adj Read]]="N/A",Table1[[#This Row],[Std Adj Read]]="N/A"),"N/A",IF(Table1[[#This Row],[DUT Adj Read]]="N/A",IF(Table1[[#This Row],[Std Adj Read]]&lt;Table1[[#This Row],[High Tol]],"Pass","Fail"),IF(Table1[[#This Row],[DUT Adj Read]]&lt;Table1[[#This Row],[High Tol]],"Pass","Fail")))</f>
        <v>Fail</v>
      </c>
      <c r="AF713" s="1" t="str">
        <f>IF(AND(Table1[[#This Row],[Spec Type2]]="N/A",Table1[[#This Row],[DUT Adj Read]]="N/A",Table1[[#This Row],[Std Adj Read]]="N/A"),"N/A",IF(Table1[[#This Row],[DUT Adj Read]]="N/A",IF(Table1[[#This Row],[Std Adj Read]]&gt;=Table1[[#This Row],[Low Tol]],"Pass","Fail"),IF(Table1[[#This Row],[DUT Adj Read]]&gt;=Table1[[#This Row],[Low Tol]],"Pass","Fail")))</f>
        <v>Pass</v>
      </c>
      <c r="AG713" s="1" t="str">
        <f>IF(AND(Table1[[#This Row],[Spec Type2]]="N/A",Table1[[#This Row],[DUT Adj Read]]="N/A",Table1[[#This Row],[Std Adj Read]]="N/A"),"N/A",IF(Table1[[#This Row],[DUT Adj Read]]="N/A",IF(Table1[[#This Row],[Std Adj Read]]&lt;=Table1[[#This Row],[High Tol]],"Pass","Fail"),IF(Table1[[#This Row],[DUT Adj Read]]&lt;=Table1[[#This Row],[High Tol]],"Pass","Fail")))</f>
        <v>Fail</v>
      </c>
      <c r="AH7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3" s="1" t="b">
        <v>0</v>
      </c>
      <c r="AN713" s="1" t="b">
        <v>0</v>
      </c>
      <c r="AO713" s="1" t="b">
        <v>0</v>
      </c>
    </row>
    <row r="714" spans="1:41" x14ac:dyDescent="0.25">
      <c r="A714" s="10"/>
      <c r="B714" s="10"/>
      <c r="C714" s="10"/>
      <c r="D714" s="10"/>
      <c r="E714" s="10"/>
      <c r="F714" s="10"/>
      <c r="G714" s="10"/>
      <c r="H714" s="10"/>
      <c r="I714" s="1" t="str">
        <f t="shared" si="30"/>
        <v/>
      </c>
      <c r="J714" s="1" t="s">
        <v>35</v>
      </c>
      <c r="K714" s="1" t="str">
        <f t="shared" si="31"/>
        <v/>
      </c>
      <c r="L714" s="1" t="str">
        <f t="shared" si="32"/>
        <v/>
      </c>
      <c r="M714" s="1">
        <f>IF(OR(Table1[[#This Row],[Std Nom]]="",Table1[[#This Row],[Std Read]]=""),0,Table1[[#This Row],[Std Nom]]-Table1[[#This Row],[Std Read]])</f>
        <v>0</v>
      </c>
      <c r="N714" s="1">
        <f>IF(Calculations!$F$5="ACCREDITED 17025 WITH UNCERTAINTIES",$N$10,0)</f>
        <v>0</v>
      </c>
      <c r="Q714" s="1">
        <f>Table1[[#This Row],[High Tol]]-Table1[[#This Row],[Low Tol]]</f>
        <v>0</v>
      </c>
      <c r="R714" s="1">
        <f>2*Table1[[#This Row],[Std Error]]</f>
        <v>0</v>
      </c>
      <c r="S714" s="1" t="str">
        <f>IF(Table1[[#This Row],[High Tol]]="","N/A",IFERROR(ABS(Table1[[#This Row],[Tol Span]]/Table1[[#This Row],[Error Span]]),"N/A"))</f>
        <v>N/A</v>
      </c>
      <c r="T714" s="1" t="str">
        <f>IF(OR(Table1[[#This Row],[Low Tol]]="",Table1[[#This Row],[High Tol]]=""),"Needs Analysis",IF(Table1[[#This Row],[Ratio]]&gt;=4,"Not Significant",IF(Table1[[#This Row],[Ratio]]&gt;=2,"Semi-Significant","Significant")))</f>
        <v>Needs Analysis</v>
      </c>
      <c r="W714" s="1">
        <f>IF(Table1[[#This Row],[Cal Type]]&lt;&gt;"ACCREDITED 17025 WITH UNCERTAINTIES",0,"")</f>
        <v>0</v>
      </c>
      <c r="X714" s="1" t="str">
        <f>IF(Table1[[#This Row],[DUT Read]]="","N/A",Table1[[#This Row],[Std Error]]+Table1[[#This Row],[DUT Read]]+Table1[[#This Row],[DUT Ucty]])</f>
        <v>N/A</v>
      </c>
      <c r="Y714" s="1" t="str">
        <f>IF(Table1[[#This Row],[Std Read]]="","N/A",Table1[[#This Row],[Std Read]]+Table1[[#This Row],[Std Ucty]])</f>
        <v>N/A</v>
      </c>
      <c r="Z7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4" s="1" t="str">
        <f>IF(Table1[[#This Row],[Spec Type]]="","N/A",Table1[[#This Row],[Spec Type]])</f>
        <v>±</v>
      </c>
      <c r="AC714" s="1" t="str">
        <f>IF(Table1[[#This Row],[Spec Type2]]="N/A","N/A",IF(AND(Table1[[#This Row],[DUT Adj Read]]&gt;=Table1[[#This Row],[Low Tol]],Table1[[#This Row],[DUT Adj Read]]&lt;=Table1[[#This Row],[High Tol]]),"Pass","Fail"))</f>
        <v>Fail</v>
      </c>
      <c r="AD714" s="1" t="str">
        <f>IF(AND(Table1[[#This Row],[Spec Type2]]="N/A",Table1[[#This Row],[DUT Adj Read]]="N/A",Table1[[#This Row],[Std Adj Read]]="N/A"),"N/A",IF(Table1[[#This Row],[DUT Adj Read]]="N/A",IF(Table1[[#This Row],[Std Adj Read]]&gt;Table1[[#This Row],[Low Tol]],"Pass","Fail"),IF(Table1[[#This Row],[DUT Adj Read]]&gt;Table1[[#This Row],[Low Tol]],"Pass","Fail")))</f>
        <v>Pass</v>
      </c>
      <c r="AE714" s="1" t="str">
        <f>IF(AND(Table1[[#This Row],[Spec Type2]]="N/A",Table1[[#This Row],[DUT Adj Read]]="N/A",Table1[[#This Row],[Std Adj Read]]="N/A"),"N/A",IF(Table1[[#This Row],[DUT Adj Read]]="N/A",IF(Table1[[#This Row],[Std Adj Read]]&lt;Table1[[#This Row],[High Tol]],"Pass","Fail"),IF(Table1[[#This Row],[DUT Adj Read]]&lt;Table1[[#This Row],[High Tol]],"Pass","Fail")))</f>
        <v>Fail</v>
      </c>
      <c r="AF714" s="1" t="str">
        <f>IF(AND(Table1[[#This Row],[Spec Type2]]="N/A",Table1[[#This Row],[DUT Adj Read]]="N/A",Table1[[#This Row],[Std Adj Read]]="N/A"),"N/A",IF(Table1[[#This Row],[DUT Adj Read]]="N/A",IF(Table1[[#This Row],[Std Adj Read]]&gt;=Table1[[#This Row],[Low Tol]],"Pass","Fail"),IF(Table1[[#This Row],[DUT Adj Read]]&gt;=Table1[[#This Row],[Low Tol]],"Pass","Fail")))</f>
        <v>Pass</v>
      </c>
      <c r="AG714" s="1" t="str">
        <f>IF(AND(Table1[[#This Row],[Spec Type2]]="N/A",Table1[[#This Row],[DUT Adj Read]]="N/A",Table1[[#This Row],[Std Adj Read]]="N/A"),"N/A",IF(Table1[[#This Row],[DUT Adj Read]]="N/A",IF(Table1[[#This Row],[Std Adj Read]]&lt;=Table1[[#This Row],[High Tol]],"Pass","Fail"),IF(Table1[[#This Row],[DUT Adj Read]]&lt;=Table1[[#This Row],[High Tol]],"Pass","Fail")))</f>
        <v>Fail</v>
      </c>
      <c r="AH7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4" s="1" t="b">
        <v>0</v>
      </c>
      <c r="AN714" s="1" t="b">
        <v>0</v>
      </c>
      <c r="AO714" s="1" t="b">
        <v>0</v>
      </c>
    </row>
    <row r="715" spans="1:41" x14ac:dyDescent="0.25">
      <c r="A715" s="10"/>
      <c r="B715" s="10"/>
      <c r="C715" s="10"/>
      <c r="D715" s="10"/>
      <c r="E715" s="10"/>
      <c r="F715" s="10"/>
      <c r="G715" s="10"/>
      <c r="H715" s="10"/>
      <c r="I715" s="1" t="str">
        <f t="shared" ref="I715:I778" si="33">IF($I$10="","",$I$10)</f>
        <v/>
      </c>
      <c r="J715" s="1" t="s">
        <v>35</v>
      </c>
      <c r="K715" s="1" t="str">
        <f t="shared" ref="K715:K778" si="34">IF($K$10="","",$K$10)</f>
        <v/>
      </c>
      <c r="L715" s="1" t="str">
        <f t="shared" ref="L715:L778" si="35">IF($L$10="","",$L$10)</f>
        <v/>
      </c>
      <c r="M715" s="1">
        <f>IF(OR(Table1[[#This Row],[Std Nom]]="",Table1[[#This Row],[Std Read]]=""),0,Table1[[#This Row],[Std Nom]]-Table1[[#This Row],[Std Read]])</f>
        <v>0</v>
      </c>
      <c r="N715" s="1">
        <f>IF(Calculations!$F$5="ACCREDITED 17025 WITH UNCERTAINTIES",$N$10,0)</f>
        <v>0</v>
      </c>
      <c r="Q715" s="1">
        <f>Table1[[#This Row],[High Tol]]-Table1[[#This Row],[Low Tol]]</f>
        <v>0</v>
      </c>
      <c r="R715" s="1">
        <f>2*Table1[[#This Row],[Std Error]]</f>
        <v>0</v>
      </c>
      <c r="S715" s="1" t="str">
        <f>IF(Table1[[#This Row],[High Tol]]="","N/A",IFERROR(ABS(Table1[[#This Row],[Tol Span]]/Table1[[#This Row],[Error Span]]),"N/A"))</f>
        <v>N/A</v>
      </c>
      <c r="T715" s="1" t="str">
        <f>IF(OR(Table1[[#This Row],[Low Tol]]="",Table1[[#This Row],[High Tol]]=""),"Needs Analysis",IF(Table1[[#This Row],[Ratio]]&gt;=4,"Not Significant",IF(Table1[[#This Row],[Ratio]]&gt;=2,"Semi-Significant","Significant")))</f>
        <v>Needs Analysis</v>
      </c>
      <c r="W715" s="1">
        <f>IF(Table1[[#This Row],[Cal Type]]&lt;&gt;"ACCREDITED 17025 WITH UNCERTAINTIES",0,"")</f>
        <v>0</v>
      </c>
      <c r="X715" s="1" t="str">
        <f>IF(Table1[[#This Row],[DUT Read]]="","N/A",Table1[[#This Row],[Std Error]]+Table1[[#This Row],[DUT Read]]+Table1[[#This Row],[DUT Ucty]])</f>
        <v>N/A</v>
      </c>
      <c r="Y715" s="1" t="str">
        <f>IF(Table1[[#This Row],[Std Read]]="","N/A",Table1[[#This Row],[Std Read]]+Table1[[#This Row],[Std Ucty]])</f>
        <v>N/A</v>
      </c>
      <c r="Z7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5" s="1" t="str">
        <f>IF(Table1[[#This Row],[Spec Type]]="","N/A",Table1[[#This Row],[Spec Type]])</f>
        <v>±</v>
      </c>
      <c r="AC715" s="1" t="str">
        <f>IF(Table1[[#This Row],[Spec Type2]]="N/A","N/A",IF(AND(Table1[[#This Row],[DUT Adj Read]]&gt;=Table1[[#This Row],[Low Tol]],Table1[[#This Row],[DUT Adj Read]]&lt;=Table1[[#This Row],[High Tol]]),"Pass","Fail"))</f>
        <v>Fail</v>
      </c>
      <c r="AD715" s="1" t="str">
        <f>IF(AND(Table1[[#This Row],[Spec Type2]]="N/A",Table1[[#This Row],[DUT Adj Read]]="N/A",Table1[[#This Row],[Std Adj Read]]="N/A"),"N/A",IF(Table1[[#This Row],[DUT Adj Read]]="N/A",IF(Table1[[#This Row],[Std Adj Read]]&gt;Table1[[#This Row],[Low Tol]],"Pass","Fail"),IF(Table1[[#This Row],[DUT Adj Read]]&gt;Table1[[#This Row],[Low Tol]],"Pass","Fail")))</f>
        <v>Pass</v>
      </c>
      <c r="AE715" s="1" t="str">
        <f>IF(AND(Table1[[#This Row],[Spec Type2]]="N/A",Table1[[#This Row],[DUT Adj Read]]="N/A",Table1[[#This Row],[Std Adj Read]]="N/A"),"N/A",IF(Table1[[#This Row],[DUT Adj Read]]="N/A",IF(Table1[[#This Row],[Std Adj Read]]&lt;Table1[[#This Row],[High Tol]],"Pass","Fail"),IF(Table1[[#This Row],[DUT Adj Read]]&lt;Table1[[#This Row],[High Tol]],"Pass","Fail")))</f>
        <v>Fail</v>
      </c>
      <c r="AF715" s="1" t="str">
        <f>IF(AND(Table1[[#This Row],[Spec Type2]]="N/A",Table1[[#This Row],[DUT Adj Read]]="N/A",Table1[[#This Row],[Std Adj Read]]="N/A"),"N/A",IF(Table1[[#This Row],[DUT Adj Read]]="N/A",IF(Table1[[#This Row],[Std Adj Read]]&gt;=Table1[[#This Row],[Low Tol]],"Pass","Fail"),IF(Table1[[#This Row],[DUT Adj Read]]&gt;=Table1[[#This Row],[Low Tol]],"Pass","Fail")))</f>
        <v>Pass</v>
      </c>
      <c r="AG715" s="1" t="str">
        <f>IF(AND(Table1[[#This Row],[Spec Type2]]="N/A",Table1[[#This Row],[DUT Adj Read]]="N/A",Table1[[#This Row],[Std Adj Read]]="N/A"),"N/A",IF(Table1[[#This Row],[DUT Adj Read]]="N/A",IF(Table1[[#This Row],[Std Adj Read]]&lt;=Table1[[#This Row],[High Tol]],"Pass","Fail"),IF(Table1[[#This Row],[DUT Adj Read]]&lt;=Table1[[#This Row],[High Tol]],"Pass","Fail")))</f>
        <v>Fail</v>
      </c>
      <c r="AH7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5" s="1" t="b">
        <v>0</v>
      </c>
      <c r="AN715" s="1" t="b">
        <v>0</v>
      </c>
      <c r="AO715" s="1" t="b">
        <v>0</v>
      </c>
    </row>
    <row r="716" spans="1:41" x14ac:dyDescent="0.25">
      <c r="A716" s="10"/>
      <c r="B716" s="10"/>
      <c r="C716" s="10"/>
      <c r="D716" s="10"/>
      <c r="E716" s="10"/>
      <c r="F716" s="10"/>
      <c r="G716" s="10"/>
      <c r="H716" s="10"/>
      <c r="I716" s="1" t="str">
        <f t="shared" si="33"/>
        <v/>
      </c>
      <c r="J716" s="1" t="s">
        <v>35</v>
      </c>
      <c r="K716" s="1" t="str">
        <f t="shared" si="34"/>
        <v/>
      </c>
      <c r="L716" s="1" t="str">
        <f t="shared" si="35"/>
        <v/>
      </c>
      <c r="M716" s="1">
        <f>IF(OR(Table1[[#This Row],[Std Nom]]="",Table1[[#This Row],[Std Read]]=""),0,Table1[[#This Row],[Std Nom]]-Table1[[#This Row],[Std Read]])</f>
        <v>0</v>
      </c>
      <c r="N716" s="1">
        <f>IF(Calculations!$F$5="ACCREDITED 17025 WITH UNCERTAINTIES",$N$10,0)</f>
        <v>0</v>
      </c>
      <c r="Q716" s="1">
        <f>Table1[[#This Row],[High Tol]]-Table1[[#This Row],[Low Tol]]</f>
        <v>0</v>
      </c>
      <c r="R716" s="1">
        <f>2*Table1[[#This Row],[Std Error]]</f>
        <v>0</v>
      </c>
      <c r="S716" s="1" t="str">
        <f>IF(Table1[[#This Row],[High Tol]]="","N/A",IFERROR(ABS(Table1[[#This Row],[Tol Span]]/Table1[[#This Row],[Error Span]]),"N/A"))</f>
        <v>N/A</v>
      </c>
      <c r="T716" s="1" t="str">
        <f>IF(OR(Table1[[#This Row],[Low Tol]]="",Table1[[#This Row],[High Tol]]=""),"Needs Analysis",IF(Table1[[#This Row],[Ratio]]&gt;=4,"Not Significant",IF(Table1[[#This Row],[Ratio]]&gt;=2,"Semi-Significant","Significant")))</f>
        <v>Needs Analysis</v>
      </c>
      <c r="W716" s="1">
        <f>IF(Table1[[#This Row],[Cal Type]]&lt;&gt;"ACCREDITED 17025 WITH UNCERTAINTIES",0,"")</f>
        <v>0</v>
      </c>
      <c r="X716" s="1" t="str">
        <f>IF(Table1[[#This Row],[DUT Read]]="","N/A",Table1[[#This Row],[Std Error]]+Table1[[#This Row],[DUT Read]]+Table1[[#This Row],[DUT Ucty]])</f>
        <v>N/A</v>
      </c>
      <c r="Y716" s="1" t="str">
        <f>IF(Table1[[#This Row],[Std Read]]="","N/A",Table1[[#This Row],[Std Read]]+Table1[[#This Row],[Std Ucty]])</f>
        <v>N/A</v>
      </c>
      <c r="Z7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6" s="1" t="str">
        <f>IF(Table1[[#This Row],[Spec Type]]="","N/A",Table1[[#This Row],[Spec Type]])</f>
        <v>±</v>
      </c>
      <c r="AC716" s="1" t="str">
        <f>IF(Table1[[#This Row],[Spec Type2]]="N/A","N/A",IF(AND(Table1[[#This Row],[DUT Adj Read]]&gt;=Table1[[#This Row],[Low Tol]],Table1[[#This Row],[DUT Adj Read]]&lt;=Table1[[#This Row],[High Tol]]),"Pass","Fail"))</f>
        <v>Fail</v>
      </c>
      <c r="AD716" s="1" t="str">
        <f>IF(AND(Table1[[#This Row],[Spec Type2]]="N/A",Table1[[#This Row],[DUT Adj Read]]="N/A",Table1[[#This Row],[Std Adj Read]]="N/A"),"N/A",IF(Table1[[#This Row],[DUT Adj Read]]="N/A",IF(Table1[[#This Row],[Std Adj Read]]&gt;Table1[[#This Row],[Low Tol]],"Pass","Fail"),IF(Table1[[#This Row],[DUT Adj Read]]&gt;Table1[[#This Row],[Low Tol]],"Pass","Fail")))</f>
        <v>Pass</v>
      </c>
      <c r="AE716" s="1" t="str">
        <f>IF(AND(Table1[[#This Row],[Spec Type2]]="N/A",Table1[[#This Row],[DUT Adj Read]]="N/A",Table1[[#This Row],[Std Adj Read]]="N/A"),"N/A",IF(Table1[[#This Row],[DUT Adj Read]]="N/A",IF(Table1[[#This Row],[Std Adj Read]]&lt;Table1[[#This Row],[High Tol]],"Pass","Fail"),IF(Table1[[#This Row],[DUT Adj Read]]&lt;Table1[[#This Row],[High Tol]],"Pass","Fail")))</f>
        <v>Fail</v>
      </c>
      <c r="AF716" s="1" t="str">
        <f>IF(AND(Table1[[#This Row],[Spec Type2]]="N/A",Table1[[#This Row],[DUT Adj Read]]="N/A",Table1[[#This Row],[Std Adj Read]]="N/A"),"N/A",IF(Table1[[#This Row],[DUT Adj Read]]="N/A",IF(Table1[[#This Row],[Std Adj Read]]&gt;=Table1[[#This Row],[Low Tol]],"Pass","Fail"),IF(Table1[[#This Row],[DUT Adj Read]]&gt;=Table1[[#This Row],[Low Tol]],"Pass","Fail")))</f>
        <v>Pass</v>
      </c>
      <c r="AG716" s="1" t="str">
        <f>IF(AND(Table1[[#This Row],[Spec Type2]]="N/A",Table1[[#This Row],[DUT Adj Read]]="N/A",Table1[[#This Row],[Std Adj Read]]="N/A"),"N/A",IF(Table1[[#This Row],[DUT Adj Read]]="N/A",IF(Table1[[#This Row],[Std Adj Read]]&lt;=Table1[[#This Row],[High Tol]],"Pass","Fail"),IF(Table1[[#This Row],[DUT Adj Read]]&lt;=Table1[[#This Row],[High Tol]],"Pass","Fail")))</f>
        <v>Fail</v>
      </c>
      <c r="AH7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6" s="1" t="b">
        <v>0</v>
      </c>
      <c r="AN716" s="1" t="b">
        <v>0</v>
      </c>
      <c r="AO716" s="1" t="b">
        <v>0</v>
      </c>
    </row>
    <row r="717" spans="1:41" x14ac:dyDescent="0.25">
      <c r="A717" s="10"/>
      <c r="B717" s="10"/>
      <c r="C717" s="10"/>
      <c r="D717" s="10"/>
      <c r="E717" s="10"/>
      <c r="F717" s="10"/>
      <c r="G717" s="10"/>
      <c r="H717" s="10"/>
      <c r="I717" s="1" t="str">
        <f t="shared" si="33"/>
        <v/>
      </c>
      <c r="J717" s="1" t="s">
        <v>35</v>
      </c>
      <c r="K717" s="1" t="str">
        <f t="shared" si="34"/>
        <v/>
      </c>
      <c r="L717" s="1" t="str">
        <f t="shared" si="35"/>
        <v/>
      </c>
      <c r="M717" s="1">
        <f>IF(OR(Table1[[#This Row],[Std Nom]]="",Table1[[#This Row],[Std Read]]=""),0,Table1[[#This Row],[Std Nom]]-Table1[[#This Row],[Std Read]])</f>
        <v>0</v>
      </c>
      <c r="N717" s="1">
        <f>IF(Calculations!$F$5="ACCREDITED 17025 WITH UNCERTAINTIES",$N$10,0)</f>
        <v>0</v>
      </c>
      <c r="Q717" s="1">
        <f>Table1[[#This Row],[High Tol]]-Table1[[#This Row],[Low Tol]]</f>
        <v>0</v>
      </c>
      <c r="R717" s="1">
        <f>2*Table1[[#This Row],[Std Error]]</f>
        <v>0</v>
      </c>
      <c r="S717" s="1" t="str">
        <f>IF(Table1[[#This Row],[High Tol]]="","N/A",IFERROR(ABS(Table1[[#This Row],[Tol Span]]/Table1[[#This Row],[Error Span]]),"N/A"))</f>
        <v>N/A</v>
      </c>
      <c r="T717" s="1" t="str">
        <f>IF(OR(Table1[[#This Row],[Low Tol]]="",Table1[[#This Row],[High Tol]]=""),"Needs Analysis",IF(Table1[[#This Row],[Ratio]]&gt;=4,"Not Significant",IF(Table1[[#This Row],[Ratio]]&gt;=2,"Semi-Significant","Significant")))</f>
        <v>Needs Analysis</v>
      </c>
      <c r="W717" s="1">
        <f>IF(Table1[[#This Row],[Cal Type]]&lt;&gt;"ACCREDITED 17025 WITH UNCERTAINTIES",0,"")</f>
        <v>0</v>
      </c>
      <c r="X717" s="1" t="str">
        <f>IF(Table1[[#This Row],[DUT Read]]="","N/A",Table1[[#This Row],[Std Error]]+Table1[[#This Row],[DUT Read]]+Table1[[#This Row],[DUT Ucty]])</f>
        <v>N/A</v>
      </c>
      <c r="Y717" s="1" t="str">
        <f>IF(Table1[[#This Row],[Std Read]]="","N/A",Table1[[#This Row],[Std Read]]+Table1[[#This Row],[Std Ucty]])</f>
        <v>N/A</v>
      </c>
      <c r="Z7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7" s="1" t="str">
        <f>IF(Table1[[#This Row],[Spec Type]]="","N/A",Table1[[#This Row],[Spec Type]])</f>
        <v>±</v>
      </c>
      <c r="AC717" s="1" t="str">
        <f>IF(Table1[[#This Row],[Spec Type2]]="N/A","N/A",IF(AND(Table1[[#This Row],[DUT Adj Read]]&gt;=Table1[[#This Row],[Low Tol]],Table1[[#This Row],[DUT Adj Read]]&lt;=Table1[[#This Row],[High Tol]]),"Pass","Fail"))</f>
        <v>Fail</v>
      </c>
      <c r="AD717" s="1" t="str">
        <f>IF(AND(Table1[[#This Row],[Spec Type2]]="N/A",Table1[[#This Row],[DUT Adj Read]]="N/A",Table1[[#This Row],[Std Adj Read]]="N/A"),"N/A",IF(Table1[[#This Row],[DUT Adj Read]]="N/A",IF(Table1[[#This Row],[Std Adj Read]]&gt;Table1[[#This Row],[Low Tol]],"Pass","Fail"),IF(Table1[[#This Row],[DUT Adj Read]]&gt;Table1[[#This Row],[Low Tol]],"Pass","Fail")))</f>
        <v>Pass</v>
      </c>
      <c r="AE717" s="1" t="str">
        <f>IF(AND(Table1[[#This Row],[Spec Type2]]="N/A",Table1[[#This Row],[DUT Adj Read]]="N/A",Table1[[#This Row],[Std Adj Read]]="N/A"),"N/A",IF(Table1[[#This Row],[DUT Adj Read]]="N/A",IF(Table1[[#This Row],[Std Adj Read]]&lt;Table1[[#This Row],[High Tol]],"Pass","Fail"),IF(Table1[[#This Row],[DUT Adj Read]]&lt;Table1[[#This Row],[High Tol]],"Pass","Fail")))</f>
        <v>Fail</v>
      </c>
      <c r="AF717" s="1" t="str">
        <f>IF(AND(Table1[[#This Row],[Spec Type2]]="N/A",Table1[[#This Row],[DUT Adj Read]]="N/A",Table1[[#This Row],[Std Adj Read]]="N/A"),"N/A",IF(Table1[[#This Row],[DUT Adj Read]]="N/A",IF(Table1[[#This Row],[Std Adj Read]]&gt;=Table1[[#This Row],[Low Tol]],"Pass","Fail"),IF(Table1[[#This Row],[DUT Adj Read]]&gt;=Table1[[#This Row],[Low Tol]],"Pass","Fail")))</f>
        <v>Pass</v>
      </c>
      <c r="AG717" s="1" t="str">
        <f>IF(AND(Table1[[#This Row],[Spec Type2]]="N/A",Table1[[#This Row],[DUT Adj Read]]="N/A",Table1[[#This Row],[Std Adj Read]]="N/A"),"N/A",IF(Table1[[#This Row],[DUT Adj Read]]="N/A",IF(Table1[[#This Row],[Std Adj Read]]&lt;=Table1[[#This Row],[High Tol]],"Pass","Fail"),IF(Table1[[#This Row],[DUT Adj Read]]&lt;=Table1[[#This Row],[High Tol]],"Pass","Fail")))</f>
        <v>Fail</v>
      </c>
      <c r="AH7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7" s="1" t="b">
        <v>0</v>
      </c>
      <c r="AN717" s="1" t="b">
        <v>0</v>
      </c>
      <c r="AO717" s="1" t="b">
        <v>0</v>
      </c>
    </row>
    <row r="718" spans="1:41" x14ac:dyDescent="0.25">
      <c r="A718" s="10"/>
      <c r="B718" s="10"/>
      <c r="C718" s="10"/>
      <c r="D718" s="10"/>
      <c r="E718" s="10"/>
      <c r="F718" s="10"/>
      <c r="G718" s="10"/>
      <c r="H718" s="10"/>
      <c r="I718" s="1" t="str">
        <f t="shared" si="33"/>
        <v/>
      </c>
      <c r="J718" s="1" t="s">
        <v>35</v>
      </c>
      <c r="K718" s="1" t="str">
        <f t="shared" si="34"/>
        <v/>
      </c>
      <c r="L718" s="1" t="str">
        <f t="shared" si="35"/>
        <v/>
      </c>
      <c r="M718" s="1">
        <f>IF(OR(Table1[[#This Row],[Std Nom]]="",Table1[[#This Row],[Std Read]]=""),0,Table1[[#This Row],[Std Nom]]-Table1[[#This Row],[Std Read]])</f>
        <v>0</v>
      </c>
      <c r="N718" s="1">
        <f>IF(Calculations!$F$5="ACCREDITED 17025 WITH UNCERTAINTIES",$N$10,0)</f>
        <v>0</v>
      </c>
      <c r="Q718" s="1">
        <f>Table1[[#This Row],[High Tol]]-Table1[[#This Row],[Low Tol]]</f>
        <v>0</v>
      </c>
      <c r="R718" s="1">
        <f>2*Table1[[#This Row],[Std Error]]</f>
        <v>0</v>
      </c>
      <c r="S718" s="1" t="str">
        <f>IF(Table1[[#This Row],[High Tol]]="","N/A",IFERROR(ABS(Table1[[#This Row],[Tol Span]]/Table1[[#This Row],[Error Span]]),"N/A"))</f>
        <v>N/A</v>
      </c>
      <c r="T718" s="1" t="str">
        <f>IF(OR(Table1[[#This Row],[Low Tol]]="",Table1[[#This Row],[High Tol]]=""),"Needs Analysis",IF(Table1[[#This Row],[Ratio]]&gt;=4,"Not Significant",IF(Table1[[#This Row],[Ratio]]&gt;=2,"Semi-Significant","Significant")))</f>
        <v>Needs Analysis</v>
      </c>
      <c r="W718" s="1">
        <f>IF(Table1[[#This Row],[Cal Type]]&lt;&gt;"ACCREDITED 17025 WITH UNCERTAINTIES",0,"")</f>
        <v>0</v>
      </c>
      <c r="X718" s="1" t="str">
        <f>IF(Table1[[#This Row],[DUT Read]]="","N/A",Table1[[#This Row],[Std Error]]+Table1[[#This Row],[DUT Read]]+Table1[[#This Row],[DUT Ucty]])</f>
        <v>N/A</v>
      </c>
      <c r="Y718" s="1" t="str">
        <f>IF(Table1[[#This Row],[Std Read]]="","N/A",Table1[[#This Row],[Std Read]]+Table1[[#This Row],[Std Ucty]])</f>
        <v>N/A</v>
      </c>
      <c r="Z7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8" s="1" t="str">
        <f>IF(Table1[[#This Row],[Spec Type]]="","N/A",Table1[[#This Row],[Spec Type]])</f>
        <v>±</v>
      </c>
      <c r="AC718" s="1" t="str">
        <f>IF(Table1[[#This Row],[Spec Type2]]="N/A","N/A",IF(AND(Table1[[#This Row],[DUT Adj Read]]&gt;=Table1[[#This Row],[Low Tol]],Table1[[#This Row],[DUT Adj Read]]&lt;=Table1[[#This Row],[High Tol]]),"Pass","Fail"))</f>
        <v>Fail</v>
      </c>
      <c r="AD718" s="1" t="str">
        <f>IF(AND(Table1[[#This Row],[Spec Type2]]="N/A",Table1[[#This Row],[DUT Adj Read]]="N/A",Table1[[#This Row],[Std Adj Read]]="N/A"),"N/A",IF(Table1[[#This Row],[DUT Adj Read]]="N/A",IF(Table1[[#This Row],[Std Adj Read]]&gt;Table1[[#This Row],[Low Tol]],"Pass","Fail"),IF(Table1[[#This Row],[DUT Adj Read]]&gt;Table1[[#This Row],[Low Tol]],"Pass","Fail")))</f>
        <v>Pass</v>
      </c>
      <c r="AE718" s="1" t="str">
        <f>IF(AND(Table1[[#This Row],[Spec Type2]]="N/A",Table1[[#This Row],[DUT Adj Read]]="N/A",Table1[[#This Row],[Std Adj Read]]="N/A"),"N/A",IF(Table1[[#This Row],[DUT Adj Read]]="N/A",IF(Table1[[#This Row],[Std Adj Read]]&lt;Table1[[#This Row],[High Tol]],"Pass","Fail"),IF(Table1[[#This Row],[DUT Adj Read]]&lt;Table1[[#This Row],[High Tol]],"Pass","Fail")))</f>
        <v>Fail</v>
      </c>
      <c r="AF718" s="1" t="str">
        <f>IF(AND(Table1[[#This Row],[Spec Type2]]="N/A",Table1[[#This Row],[DUT Adj Read]]="N/A",Table1[[#This Row],[Std Adj Read]]="N/A"),"N/A",IF(Table1[[#This Row],[DUT Adj Read]]="N/A",IF(Table1[[#This Row],[Std Adj Read]]&gt;=Table1[[#This Row],[Low Tol]],"Pass","Fail"),IF(Table1[[#This Row],[DUT Adj Read]]&gt;=Table1[[#This Row],[Low Tol]],"Pass","Fail")))</f>
        <v>Pass</v>
      </c>
      <c r="AG718" s="1" t="str">
        <f>IF(AND(Table1[[#This Row],[Spec Type2]]="N/A",Table1[[#This Row],[DUT Adj Read]]="N/A",Table1[[#This Row],[Std Adj Read]]="N/A"),"N/A",IF(Table1[[#This Row],[DUT Adj Read]]="N/A",IF(Table1[[#This Row],[Std Adj Read]]&lt;=Table1[[#This Row],[High Tol]],"Pass","Fail"),IF(Table1[[#This Row],[DUT Adj Read]]&lt;=Table1[[#This Row],[High Tol]],"Pass","Fail")))</f>
        <v>Fail</v>
      </c>
      <c r="AH7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8" s="1" t="b">
        <v>0</v>
      </c>
      <c r="AN718" s="1" t="b">
        <v>0</v>
      </c>
      <c r="AO718" s="1" t="b">
        <v>0</v>
      </c>
    </row>
    <row r="719" spans="1:41" x14ac:dyDescent="0.25">
      <c r="A719" s="10"/>
      <c r="B719" s="10"/>
      <c r="C719" s="10"/>
      <c r="D719" s="10"/>
      <c r="E719" s="10"/>
      <c r="F719" s="10"/>
      <c r="G719" s="10"/>
      <c r="H719" s="10"/>
      <c r="I719" s="1" t="str">
        <f t="shared" si="33"/>
        <v/>
      </c>
      <c r="J719" s="1" t="s">
        <v>35</v>
      </c>
      <c r="K719" s="1" t="str">
        <f t="shared" si="34"/>
        <v/>
      </c>
      <c r="L719" s="1" t="str">
        <f t="shared" si="35"/>
        <v/>
      </c>
      <c r="M719" s="1">
        <f>IF(OR(Table1[[#This Row],[Std Nom]]="",Table1[[#This Row],[Std Read]]=""),0,Table1[[#This Row],[Std Nom]]-Table1[[#This Row],[Std Read]])</f>
        <v>0</v>
      </c>
      <c r="N719" s="1">
        <f>IF(Calculations!$F$5="ACCREDITED 17025 WITH UNCERTAINTIES",$N$10,0)</f>
        <v>0</v>
      </c>
      <c r="Q719" s="1">
        <f>Table1[[#This Row],[High Tol]]-Table1[[#This Row],[Low Tol]]</f>
        <v>0</v>
      </c>
      <c r="R719" s="1">
        <f>2*Table1[[#This Row],[Std Error]]</f>
        <v>0</v>
      </c>
      <c r="S719" s="1" t="str">
        <f>IF(Table1[[#This Row],[High Tol]]="","N/A",IFERROR(ABS(Table1[[#This Row],[Tol Span]]/Table1[[#This Row],[Error Span]]),"N/A"))</f>
        <v>N/A</v>
      </c>
      <c r="T719" s="1" t="str">
        <f>IF(OR(Table1[[#This Row],[Low Tol]]="",Table1[[#This Row],[High Tol]]=""),"Needs Analysis",IF(Table1[[#This Row],[Ratio]]&gt;=4,"Not Significant",IF(Table1[[#This Row],[Ratio]]&gt;=2,"Semi-Significant","Significant")))</f>
        <v>Needs Analysis</v>
      </c>
      <c r="W719" s="1">
        <f>IF(Table1[[#This Row],[Cal Type]]&lt;&gt;"ACCREDITED 17025 WITH UNCERTAINTIES",0,"")</f>
        <v>0</v>
      </c>
      <c r="X719" s="1" t="str">
        <f>IF(Table1[[#This Row],[DUT Read]]="","N/A",Table1[[#This Row],[Std Error]]+Table1[[#This Row],[DUT Read]]+Table1[[#This Row],[DUT Ucty]])</f>
        <v>N/A</v>
      </c>
      <c r="Y719" s="1" t="str">
        <f>IF(Table1[[#This Row],[Std Read]]="","N/A",Table1[[#This Row],[Std Read]]+Table1[[#This Row],[Std Ucty]])</f>
        <v>N/A</v>
      </c>
      <c r="Z7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19" s="1" t="str">
        <f>IF(Table1[[#This Row],[Spec Type]]="","N/A",Table1[[#This Row],[Spec Type]])</f>
        <v>±</v>
      </c>
      <c r="AC719" s="1" t="str">
        <f>IF(Table1[[#This Row],[Spec Type2]]="N/A","N/A",IF(AND(Table1[[#This Row],[DUT Adj Read]]&gt;=Table1[[#This Row],[Low Tol]],Table1[[#This Row],[DUT Adj Read]]&lt;=Table1[[#This Row],[High Tol]]),"Pass","Fail"))</f>
        <v>Fail</v>
      </c>
      <c r="AD719" s="1" t="str">
        <f>IF(AND(Table1[[#This Row],[Spec Type2]]="N/A",Table1[[#This Row],[DUT Adj Read]]="N/A",Table1[[#This Row],[Std Adj Read]]="N/A"),"N/A",IF(Table1[[#This Row],[DUT Adj Read]]="N/A",IF(Table1[[#This Row],[Std Adj Read]]&gt;Table1[[#This Row],[Low Tol]],"Pass","Fail"),IF(Table1[[#This Row],[DUT Adj Read]]&gt;Table1[[#This Row],[Low Tol]],"Pass","Fail")))</f>
        <v>Pass</v>
      </c>
      <c r="AE719" s="1" t="str">
        <f>IF(AND(Table1[[#This Row],[Spec Type2]]="N/A",Table1[[#This Row],[DUT Adj Read]]="N/A",Table1[[#This Row],[Std Adj Read]]="N/A"),"N/A",IF(Table1[[#This Row],[DUT Adj Read]]="N/A",IF(Table1[[#This Row],[Std Adj Read]]&lt;Table1[[#This Row],[High Tol]],"Pass","Fail"),IF(Table1[[#This Row],[DUT Adj Read]]&lt;Table1[[#This Row],[High Tol]],"Pass","Fail")))</f>
        <v>Fail</v>
      </c>
      <c r="AF719" s="1" t="str">
        <f>IF(AND(Table1[[#This Row],[Spec Type2]]="N/A",Table1[[#This Row],[DUT Adj Read]]="N/A",Table1[[#This Row],[Std Adj Read]]="N/A"),"N/A",IF(Table1[[#This Row],[DUT Adj Read]]="N/A",IF(Table1[[#This Row],[Std Adj Read]]&gt;=Table1[[#This Row],[Low Tol]],"Pass","Fail"),IF(Table1[[#This Row],[DUT Adj Read]]&gt;=Table1[[#This Row],[Low Tol]],"Pass","Fail")))</f>
        <v>Pass</v>
      </c>
      <c r="AG719" s="1" t="str">
        <f>IF(AND(Table1[[#This Row],[Spec Type2]]="N/A",Table1[[#This Row],[DUT Adj Read]]="N/A",Table1[[#This Row],[Std Adj Read]]="N/A"),"N/A",IF(Table1[[#This Row],[DUT Adj Read]]="N/A",IF(Table1[[#This Row],[Std Adj Read]]&lt;=Table1[[#This Row],[High Tol]],"Pass","Fail"),IF(Table1[[#This Row],[DUT Adj Read]]&lt;=Table1[[#This Row],[High Tol]],"Pass","Fail")))</f>
        <v>Fail</v>
      </c>
      <c r="AH7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19" s="1" t="b">
        <v>0</v>
      </c>
      <c r="AN719" s="1" t="b">
        <v>0</v>
      </c>
      <c r="AO719" s="1" t="b">
        <v>0</v>
      </c>
    </row>
    <row r="720" spans="1:41" x14ac:dyDescent="0.25">
      <c r="A720" s="10"/>
      <c r="B720" s="10"/>
      <c r="C720" s="10"/>
      <c r="D720" s="10"/>
      <c r="E720" s="10"/>
      <c r="F720" s="10"/>
      <c r="G720" s="10"/>
      <c r="H720" s="10"/>
      <c r="I720" s="1" t="str">
        <f t="shared" si="33"/>
        <v/>
      </c>
      <c r="J720" s="1" t="s">
        <v>35</v>
      </c>
      <c r="K720" s="1" t="str">
        <f t="shared" si="34"/>
        <v/>
      </c>
      <c r="L720" s="1" t="str">
        <f t="shared" si="35"/>
        <v/>
      </c>
      <c r="M720" s="1">
        <f>IF(OR(Table1[[#This Row],[Std Nom]]="",Table1[[#This Row],[Std Read]]=""),0,Table1[[#This Row],[Std Nom]]-Table1[[#This Row],[Std Read]])</f>
        <v>0</v>
      </c>
      <c r="N720" s="1">
        <f>IF(Calculations!$F$5="ACCREDITED 17025 WITH UNCERTAINTIES",$N$10,0)</f>
        <v>0</v>
      </c>
      <c r="Q720" s="1">
        <f>Table1[[#This Row],[High Tol]]-Table1[[#This Row],[Low Tol]]</f>
        <v>0</v>
      </c>
      <c r="R720" s="1">
        <f>2*Table1[[#This Row],[Std Error]]</f>
        <v>0</v>
      </c>
      <c r="S720" s="1" t="str">
        <f>IF(Table1[[#This Row],[High Tol]]="","N/A",IFERROR(ABS(Table1[[#This Row],[Tol Span]]/Table1[[#This Row],[Error Span]]),"N/A"))</f>
        <v>N/A</v>
      </c>
      <c r="T720" s="1" t="str">
        <f>IF(OR(Table1[[#This Row],[Low Tol]]="",Table1[[#This Row],[High Tol]]=""),"Needs Analysis",IF(Table1[[#This Row],[Ratio]]&gt;=4,"Not Significant",IF(Table1[[#This Row],[Ratio]]&gt;=2,"Semi-Significant","Significant")))</f>
        <v>Needs Analysis</v>
      </c>
      <c r="W720" s="1">
        <f>IF(Table1[[#This Row],[Cal Type]]&lt;&gt;"ACCREDITED 17025 WITH UNCERTAINTIES",0,"")</f>
        <v>0</v>
      </c>
      <c r="X720" s="1" t="str">
        <f>IF(Table1[[#This Row],[DUT Read]]="","N/A",Table1[[#This Row],[Std Error]]+Table1[[#This Row],[DUT Read]]+Table1[[#This Row],[DUT Ucty]])</f>
        <v>N/A</v>
      </c>
      <c r="Y720" s="1" t="str">
        <f>IF(Table1[[#This Row],[Std Read]]="","N/A",Table1[[#This Row],[Std Read]]+Table1[[#This Row],[Std Ucty]])</f>
        <v>N/A</v>
      </c>
      <c r="Z7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0" s="1" t="str">
        <f>IF(Table1[[#This Row],[Spec Type]]="","N/A",Table1[[#This Row],[Spec Type]])</f>
        <v>±</v>
      </c>
      <c r="AC720" s="1" t="str">
        <f>IF(Table1[[#This Row],[Spec Type2]]="N/A","N/A",IF(AND(Table1[[#This Row],[DUT Adj Read]]&gt;=Table1[[#This Row],[Low Tol]],Table1[[#This Row],[DUT Adj Read]]&lt;=Table1[[#This Row],[High Tol]]),"Pass","Fail"))</f>
        <v>Fail</v>
      </c>
      <c r="AD720" s="1" t="str">
        <f>IF(AND(Table1[[#This Row],[Spec Type2]]="N/A",Table1[[#This Row],[DUT Adj Read]]="N/A",Table1[[#This Row],[Std Adj Read]]="N/A"),"N/A",IF(Table1[[#This Row],[DUT Adj Read]]="N/A",IF(Table1[[#This Row],[Std Adj Read]]&gt;Table1[[#This Row],[Low Tol]],"Pass","Fail"),IF(Table1[[#This Row],[DUT Adj Read]]&gt;Table1[[#This Row],[Low Tol]],"Pass","Fail")))</f>
        <v>Pass</v>
      </c>
      <c r="AE720" s="1" t="str">
        <f>IF(AND(Table1[[#This Row],[Spec Type2]]="N/A",Table1[[#This Row],[DUT Adj Read]]="N/A",Table1[[#This Row],[Std Adj Read]]="N/A"),"N/A",IF(Table1[[#This Row],[DUT Adj Read]]="N/A",IF(Table1[[#This Row],[Std Adj Read]]&lt;Table1[[#This Row],[High Tol]],"Pass","Fail"),IF(Table1[[#This Row],[DUT Adj Read]]&lt;Table1[[#This Row],[High Tol]],"Pass","Fail")))</f>
        <v>Fail</v>
      </c>
      <c r="AF720" s="1" t="str">
        <f>IF(AND(Table1[[#This Row],[Spec Type2]]="N/A",Table1[[#This Row],[DUT Adj Read]]="N/A",Table1[[#This Row],[Std Adj Read]]="N/A"),"N/A",IF(Table1[[#This Row],[DUT Adj Read]]="N/A",IF(Table1[[#This Row],[Std Adj Read]]&gt;=Table1[[#This Row],[Low Tol]],"Pass","Fail"),IF(Table1[[#This Row],[DUT Adj Read]]&gt;=Table1[[#This Row],[Low Tol]],"Pass","Fail")))</f>
        <v>Pass</v>
      </c>
      <c r="AG720" s="1" t="str">
        <f>IF(AND(Table1[[#This Row],[Spec Type2]]="N/A",Table1[[#This Row],[DUT Adj Read]]="N/A",Table1[[#This Row],[Std Adj Read]]="N/A"),"N/A",IF(Table1[[#This Row],[DUT Adj Read]]="N/A",IF(Table1[[#This Row],[Std Adj Read]]&lt;=Table1[[#This Row],[High Tol]],"Pass","Fail"),IF(Table1[[#This Row],[DUT Adj Read]]&lt;=Table1[[#This Row],[High Tol]],"Pass","Fail")))</f>
        <v>Fail</v>
      </c>
      <c r="AH7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0" s="1" t="b">
        <v>0</v>
      </c>
      <c r="AN720" s="1" t="b">
        <v>0</v>
      </c>
      <c r="AO720" s="1" t="b">
        <v>0</v>
      </c>
    </row>
    <row r="721" spans="1:41" x14ac:dyDescent="0.25">
      <c r="A721" s="10"/>
      <c r="B721" s="10"/>
      <c r="C721" s="10"/>
      <c r="D721" s="10"/>
      <c r="E721" s="10"/>
      <c r="F721" s="10"/>
      <c r="G721" s="10"/>
      <c r="H721" s="10"/>
      <c r="I721" s="1" t="str">
        <f t="shared" si="33"/>
        <v/>
      </c>
      <c r="J721" s="1" t="s">
        <v>35</v>
      </c>
      <c r="K721" s="1" t="str">
        <f t="shared" si="34"/>
        <v/>
      </c>
      <c r="L721" s="1" t="str">
        <f t="shared" si="35"/>
        <v/>
      </c>
      <c r="M721" s="1">
        <f>IF(OR(Table1[[#This Row],[Std Nom]]="",Table1[[#This Row],[Std Read]]=""),0,Table1[[#This Row],[Std Nom]]-Table1[[#This Row],[Std Read]])</f>
        <v>0</v>
      </c>
      <c r="N721" s="1">
        <f>IF(Calculations!$F$5="ACCREDITED 17025 WITH UNCERTAINTIES",$N$10,0)</f>
        <v>0</v>
      </c>
      <c r="Q721" s="1">
        <f>Table1[[#This Row],[High Tol]]-Table1[[#This Row],[Low Tol]]</f>
        <v>0</v>
      </c>
      <c r="R721" s="1">
        <f>2*Table1[[#This Row],[Std Error]]</f>
        <v>0</v>
      </c>
      <c r="S721" s="1" t="str">
        <f>IF(Table1[[#This Row],[High Tol]]="","N/A",IFERROR(ABS(Table1[[#This Row],[Tol Span]]/Table1[[#This Row],[Error Span]]),"N/A"))</f>
        <v>N/A</v>
      </c>
      <c r="T721" s="1" t="str">
        <f>IF(OR(Table1[[#This Row],[Low Tol]]="",Table1[[#This Row],[High Tol]]=""),"Needs Analysis",IF(Table1[[#This Row],[Ratio]]&gt;=4,"Not Significant",IF(Table1[[#This Row],[Ratio]]&gt;=2,"Semi-Significant","Significant")))</f>
        <v>Needs Analysis</v>
      </c>
      <c r="W721" s="1">
        <f>IF(Table1[[#This Row],[Cal Type]]&lt;&gt;"ACCREDITED 17025 WITH UNCERTAINTIES",0,"")</f>
        <v>0</v>
      </c>
      <c r="X721" s="1" t="str">
        <f>IF(Table1[[#This Row],[DUT Read]]="","N/A",Table1[[#This Row],[Std Error]]+Table1[[#This Row],[DUT Read]]+Table1[[#This Row],[DUT Ucty]])</f>
        <v>N/A</v>
      </c>
      <c r="Y721" s="1" t="str">
        <f>IF(Table1[[#This Row],[Std Read]]="","N/A",Table1[[#This Row],[Std Read]]+Table1[[#This Row],[Std Ucty]])</f>
        <v>N/A</v>
      </c>
      <c r="Z7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1" s="1" t="str">
        <f>IF(Table1[[#This Row],[Spec Type]]="","N/A",Table1[[#This Row],[Spec Type]])</f>
        <v>±</v>
      </c>
      <c r="AC721" s="1" t="str">
        <f>IF(Table1[[#This Row],[Spec Type2]]="N/A","N/A",IF(AND(Table1[[#This Row],[DUT Adj Read]]&gt;=Table1[[#This Row],[Low Tol]],Table1[[#This Row],[DUT Adj Read]]&lt;=Table1[[#This Row],[High Tol]]),"Pass","Fail"))</f>
        <v>Fail</v>
      </c>
      <c r="AD721" s="1" t="str">
        <f>IF(AND(Table1[[#This Row],[Spec Type2]]="N/A",Table1[[#This Row],[DUT Adj Read]]="N/A",Table1[[#This Row],[Std Adj Read]]="N/A"),"N/A",IF(Table1[[#This Row],[DUT Adj Read]]="N/A",IF(Table1[[#This Row],[Std Adj Read]]&gt;Table1[[#This Row],[Low Tol]],"Pass","Fail"),IF(Table1[[#This Row],[DUT Adj Read]]&gt;Table1[[#This Row],[Low Tol]],"Pass","Fail")))</f>
        <v>Pass</v>
      </c>
      <c r="AE721" s="1" t="str">
        <f>IF(AND(Table1[[#This Row],[Spec Type2]]="N/A",Table1[[#This Row],[DUT Adj Read]]="N/A",Table1[[#This Row],[Std Adj Read]]="N/A"),"N/A",IF(Table1[[#This Row],[DUT Adj Read]]="N/A",IF(Table1[[#This Row],[Std Adj Read]]&lt;Table1[[#This Row],[High Tol]],"Pass","Fail"),IF(Table1[[#This Row],[DUT Adj Read]]&lt;Table1[[#This Row],[High Tol]],"Pass","Fail")))</f>
        <v>Fail</v>
      </c>
      <c r="AF721" s="1" t="str">
        <f>IF(AND(Table1[[#This Row],[Spec Type2]]="N/A",Table1[[#This Row],[DUT Adj Read]]="N/A",Table1[[#This Row],[Std Adj Read]]="N/A"),"N/A",IF(Table1[[#This Row],[DUT Adj Read]]="N/A",IF(Table1[[#This Row],[Std Adj Read]]&gt;=Table1[[#This Row],[Low Tol]],"Pass","Fail"),IF(Table1[[#This Row],[DUT Adj Read]]&gt;=Table1[[#This Row],[Low Tol]],"Pass","Fail")))</f>
        <v>Pass</v>
      </c>
      <c r="AG721" s="1" t="str">
        <f>IF(AND(Table1[[#This Row],[Spec Type2]]="N/A",Table1[[#This Row],[DUT Adj Read]]="N/A",Table1[[#This Row],[Std Adj Read]]="N/A"),"N/A",IF(Table1[[#This Row],[DUT Adj Read]]="N/A",IF(Table1[[#This Row],[Std Adj Read]]&lt;=Table1[[#This Row],[High Tol]],"Pass","Fail"),IF(Table1[[#This Row],[DUT Adj Read]]&lt;=Table1[[#This Row],[High Tol]],"Pass","Fail")))</f>
        <v>Fail</v>
      </c>
      <c r="AH7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1" s="1" t="b">
        <v>0</v>
      </c>
      <c r="AN721" s="1" t="b">
        <v>0</v>
      </c>
      <c r="AO721" s="1" t="b">
        <v>0</v>
      </c>
    </row>
    <row r="722" spans="1:41" x14ac:dyDescent="0.25">
      <c r="A722" s="10"/>
      <c r="B722" s="10"/>
      <c r="C722" s="10"/>
      <c r="D722" s="10"/>
      <c r="E722" s="10"/>
      <c r="F722" s="10"/>
      <c r="G722" s="10"/>
      <c r="H722" s="10"/>
      <c r="I722" s="1" t="str">
        <f t="shared" si="33"/>
        <v/>
      </c>
      <c r="J722" s="1" t="s">
        <v>35</v>
      </c>
      <c r="K722" s="1" t="str">
        <f t="shared" si="34"/>
        <v/>
      </c>
      <c r="L722" s="1" t="str">
        <f t="shared" si="35"/>
        <v/>
      </c>
      <c r="M722" s="1">
        <f>IF(OR(Table1[[#This Row],[Std Nom]]="",Table1[[#This Row],[Std Read]]=""),0,Table1[[#This Row],[Std Nom]]-Table1[[#This Row],[Std Read]])</f>
        <v>0</v>
      </c>
      <c r="N722" s="1">
        <f>IF(Calculations!$F$5="ACCREDITED 17025 WITH UNCERTAINTIES",$N$10,0)</f>
        <v>0</v>
      </c>
      <c r="Q722" s="1">
        <f>Table1[[#This Row],[High Tol]]-Table1[[#This Row],[Low Tol]]</f>
        <v>0</v>
      </c>
      <c r="R722" s="1">
        <f>2*Table1[[#This Row],[Std Error]]</f>
        <v>0</v>
      </c>
      <c r="S722" s="1" t="str">
        <f>IF(Table1[[#This Row],[High Tol]]="","N/A",IFERROR(ABS(Table1[[#This Row],[Tol Span]]/Table1[[#This Row],[Error Span]]),"N/A"))</f>
        <v>N/A</v>
      </c>
      <c r="T722" s="1" t="str">
        <f>IF(OR(Table1[[#This Row],[Low Tol]]="",Table1[[#This Row],[High Tol]]=""),"Needs Analysis",IF(Table1[[#This Row],[Ratio]]&gt;=4,"Not Significant",IF(Table1[[#This Row],[Ratio]]&gt;=2,"Semi-Significant","Significant")))</f>
        <v>Needs Analysis</v>
      </c>
      <c r="W722" s="1">
        <f>IF(Table1[[#This Row],[Cal Type]]&lt;&gt;"ACCREDITED 17025 WITH UNCERTAINTIES",0,"")</f>
        <v>0</v>
      </c>
      <c r="X722" s="1" t="str">
        <f>IF(Table1[[#This Row],[DUT Read]]="","N/A",Table1[[#This Row],[Std Error]]+Table1[[#This Row],[DUT Read]]+Table1[[#This Row],[DUT Ucty]])</f>
        <v>N/A</v>
      </c>
      <c r="Y722" s="1" t="str">
        <f>IF(Table1[[#This Row],[Std Read]]="","N/A",Table1[[#This Row],[Std Read]]+Table1[[#This Row],[Std Ucty]])</f>
        <v>N/A</v>
      </c>
      <c r="Z7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2" s="1" t="str">
        <f>IF(Table1[[#This Row],[Spec Type]]="","N/A",Table1[[#This Row],[Spec Type]])</f>
        <v>±</v>
      </c>
      <c r="AC722" s="1" t="str">
        <f>IF(Table1[[#This Row],[Spec Type2]]="N/A","N/A",IF(AND(Table1[[#This Row],[DUT Adj Read]]&gt;=Table1[[#This Row],[Low Tol]],Table1[[#This Row],[DUT Adj Read]]&lt;=Table1[[#This Row],[High Tol]]),"Pass","Fail"))</f>
        <v>Fail</v>
      </c>
      <c r="AD722" s="1" t="str">
        <f>IF(AND(Table1[[#This Row],[Spec Type2]]="N/A",Table1[[#This Row],[DUT Adj Read]]="N/A",Table1[[#This Row],[Std Adj Read]]="N/A"),"N/A",IF(Table1[[#This Row],[DUT Adj Read]]="N/A",IF(Table1[[#This Row],[Std Adj Read]]&gt;Table1[[#This Row],[Low Tol]],"Pass","Fail"),IF(Table1[[#This Row],[DUT Adj Read]]&gt;Table1[[#This Row],[Low Tol]],"Pass","Fail")))</f>
        <v>Pass</v>
      </c>
      <c r="AE722" s="1" t="str">
        <f>IF(AND(Table1[[#This Row],[Spec Type2]]="N/A",Table1[[#This Row],[DUT Adj Read]]="N/A",Table1[[#This Row],[Std Adj Read]]="N/A"),"N/A",IF(Table1[[#This Row],[DUT Adj Read]]="N/A",IF(Table1[[#This Row],[Std Adj Read]]&lt;Table1[[#This Row],[High Tol]],"Pass","Fail"),IF(Table1[[#This Row],[DUT Adj Read]]&lt;Table1[[#This Row],[High Tol]],"Pass","Fail")))</f>
        <v>Fail</v>
      </c>
      <c r="AF722" s="1" t="str">
        <f>IF(AND(Table1[[#This Row],[Spec Type2]]="N/A",Table1[[#This Row],[DUT Adj Read]]="N/A",Table1[[#This Row],[Std Adj Read]]="N/A"),"N/A",IF(Table1[[#This Row],[DUT Adj Read]]="N/A",IF(Table1[[#This Row],[Std Adj Read]]&gt;=Table1[[#This Row],[Low Tol]],"Pass","Fail"),IF(Table1[[#This Row],[DUT Adj Read]]&gt;=Table1[[#This Row],[Low Tol]],"Pass","Fail")))</f>
        <v>Pass</v>
      </c>
      <c r="AG722" s="1" t="str">
        <f>IF(AND(Table1[[#This Row],[Spec Type2]]="N/A",Table1[[#This Row],[DUT Adj Read]]="N/A",Table1[[#This Row],[Std Adj Read]]="N/A"),"N/A",IF(Table1[[#This Row],[DUT Adj Read]]="N/A",IF(Table1[[#This Row],[Std Adj Read]]&lt;=Table1[[#This Row],[High Tol]],"Pass","Fail"),IF(Table1[[#This Row],[DUT Adj Read]]&lt;=Table1[[#This Row],[High Tol]],"Pass","Fail")))</f>
        <v>Fail</v>
      </c>
      <c r="AH7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2" s="1" t="b">
        <v>0</v>
      </c>
      <c r="AN722" s="1" t="b">
        <v>0</v>
      </c>
      <c r="AO722" s="1" t="b">
        <v>0</v>
      </c>
    </row>
    <row r="723" spans="1:41" x14ac:dyDescent="0.25">
      <c r="A723" s="10"/>
      <c r="B723" s="10"/>
      <c r="C723" s="10"/>
      <c r="D723" s="10"/>
      <c r="E723" s="10"/>
      <c r="F723" s="10"/>
      <c r="G723" s="10"/>
      <c r="H723" s="10"/>
      <c r="I723" s="1" t="str">
        <f t="shared" si="33"/>
        <v/>
      </c>
      <c r="J723" s="1" t="s">
        <v>35</v>
      </c>
      <c r="K723" s="1" t="str">
        <f t="shared" si="34"/>
        <v/>
      </c>
      <c r="L723" s="1" t="str">
        <f t="shared" si="35"/>
        <v/>
      </c>
      <c r="M723" s="1">
        <f>IF(OR(Table1[[#This Row],[Std Nom]]="",Table1[[#This Row],[Std Read]]=""),0,Table1[[#This Row],[Std Nom]]-Table1[[#This Row],[Std Read]])</f>
        <v>0</v>
      </c>
      <c r="N723" s="1">
        <f>IF(Calculations!$F$5="ACCREDITED 17025 WITH UNCERTAINTIES",$N$10,0)</f>
        <v>0</v>
      </c>
      <c r="Q723" s="1">
        <f>Table1[[#This Row],[High Tol]]-Table1[[#This Row],[Low Tol]]</f>
        <v>0</v>
      </c>
      <c r="R723" s="1">
        <f>2*Table1[[#This Row],[Std Error]]</f>
        <v>0</v>
      </c>
      <c r="S723" s="1" t="str">
        <f>IF(Table1[[#This Row],[High Tol]]="","N/A",IFERROR(ABS(Table1[[#This Row],[Tol Span]]/Table1[[#This Row],[Error Span]]),"N/A"))</f>
        <v>N/A</v>
      </c>
      <c r="T723" s="1" t="str">
        <f>IF(OR(Table1[[#This Row],[Low Tol]]="",Table1[[#This Row],[High Tol]]=""),"Needs Analysis",IF(Table1[[#This Row],[Ratio]]&gt;=4,"Not Significant",IF(Table1[[#This Row],[Ratio]]&gt;=2,"Semi-Significant","Significant")))</f>
        <v>Needs Analysis</v>
      </c>
      <c r="W723" s="1">
        <f>IF(Table1[[#This Row],[Cal Type]]&lt;&gt;"ACCREDITED 17025 WITH UNCERTAINTIES",0,"")</f>
        <v>0</v>
      </c>
      <c r="X723" s="1" t="str">
        <f>IF(Table1[[#This Row],[DUT Read]]="","N/A",Table1[[#This Row],[Std Error]]+Table1[[#This Row],[DUT Read]]+Table1[[#This Row],[DUT Ucty]])</f>
        <v>N/A</v>
      </c>
      <c r="Y723" s="1" t="str">
        <f>IF(Table1[[#This Row],[Std Read]]="","N/A",Table1[[#This Row],[Std Read]]+Table1[[#This Row],[Std Ucty]])</f>
        <v>N/A</v>
      </c>
      <c r="Z7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3" s="1" t="str">
        <f>IF(Table1[[#This Row],[Spec Type]]="","N/A",Table1[[#This Row],[Spec Type]])</f>
        <v>±</v>
      </c>
      <c r="AC723" s="1" t="str">
        <f>IF(Table1[[#This Row],[Spec Type2]]="N/A","N/A",IF(AND(Table1[[#This Row],[DUT Adj Read]]&gt;=Table1[[#This Row],[Low Tol]],Table1[[#This Row],[DUT Adj Read]]&lt;=Table1[[#This Row],[High Tol]]),"Pass","Fail"))</f>
        <v>Fail</v>
      </c>
      <c r="AD723" s="1" t="str">
        <f>IF(AND(Table1[[#This Row],[Spec Type2]]="N/A",Table1[[#This Row],[DUT Adj Read]]="N/A",Table1[[#This Row],[Std Adj Read]]="N/A"),"N/A",IF(Table1[[#This Row],[DUT Adj Read]]="N/A",IF(Table1[[#This Row],[Std Adj Read]]&gt;Table1[[#This Row],[Low Tol]],"Pass","Fail"),IF(Table1[[#This Row],[DUT Adj Read]]&gt;Table1[[#This Row],[Low Tol]],"Pass","Fail")))</f>
        <v>Pass</v>
      </c>
      <c r="AE723" s="1" t="str">
        <f>IF(AND(Table1[[#This Row],[Spec Type2]]="N/A",Table1[[#This Row],[DUT Adj Read]]="N/A",Table1[[#This Row],[Std Adj Read]]="N/A"),"N/A",IF(Table1[[#This Row],[DUT Adj Read]]="N/A",IF(Table1[[#This Row],[Std Adj Read]]&lt;Table1[[#This Row],[High Tol]],"Pass","Fail"),IF(Table1[[#This Row],[DUT Adj Read]]&lt;Table1[[#This Row],[High Tol]],"Pass","Fail")))</f>
        <v>Fail</v>
      </c>
      <c r="AF723" s="1" t="str">
        <f>IF(AND(Table1[[#This Row],[Spec Type2]]="N/A",Table1[[#This Row],[DUT Adj Read]]="N/A",Table1[[#This Row],[Std Adj Read]]="N/A"),"N/A",IF(Table1[[#This Row],[DUT Adj Read]]="N/A",IF(Table1[[#This Row],[Std Adj Read]]&gt;=Table1[[#This Row],[Low Tol]],"Pass","Fail"),IF(Table1[[#This Row],[DUT Adj Read]]&gt;=Table1[[#This Row],[Low Tol]],"Pass","Fail")))</f>
        <v>Pass</v>
      </c>
      <c r="AG723" s="1" t="str">
        <f>IF(AND(Table1[[#This Row],[Spec Type2]]="N/A",Table1[[#This Row],[DUT Adj Read]]="N/A",Table1[[#This Row],[Std Adj Read]]="N/A"),"N/A",IF(Table1[[#This Row],[DUT Adj Read]]="N/A",IF(Table1[[#This Row],[Std Adj Read]]&lt;=Table1[[#This Row],[High Tol]],"Pass","Fail"),IF(Table1[[#This Row],[DUT Adj Read]]&lt;=Table1[[#This Row],[High Tol]],"Pass","Fail")))</f>
        <v>Fail</v>
      </c>
      <c r="AH7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3" s="1" t="b">
        <v>0</v>
      </c>
      <c r="AN723" s="1" t="b">
        <v>0</v>
      </c>
      <c r="AO723" s="1" t="b">
        <v>0</v>
      </c>
    </row>
    <row r="724" spans="1:41" x14ac:dyDescent="0.25">
      <c r="A724" s="10"/>
      <c r="B724" s="10"/>
      <c r="C724" s="10"/>
      <c r="D724" s="10"/>
      <c r="E724" s="10"/>
      <c r="F724" s="10"/>
      <c r="G724" s="10"/>
      <c r="H724" s="10"/>
      <c r="I724" s="1" t="str">
        <f t="shared" si="33"/>
        <v/>
      </c>
      <c r="J724" s="1" t="s">
        <v>35</v>
      </c>
      <c r="K724" s="1" t="str">
        <f t="shared" si="34"/>
        <v/>
      </c>
      <c r="L724" s="1" t="str">
        <f t="shared" si="35"/>
        <v/>
      </c>
      <c r="M724" s="1">
        <f>IF(OR(Table1[[#This Row],[Std Nom]]="",Table1[[#This Row],[Std Read]]=""),0,Table1[[#This Row],[Std Nom]]-Table1[[#This Row],[Std Read]])</f>
        <v>0</v>
      </c>
      <c r="N724" s="1">
        <f>IF(Calculations!$F$5="ACCREDITED 17025 WITH UNCERTAINTIES",$N$10,0)</f>
        <v>0</v>
      </c>
      <c r="Q724" s="1">
        <f>Table1[[#This Row],[High Tol]]-Table1[[#This Row],[Low Tol]]</f>
        <v>0</v>
      </c>
      <c r="R724" s="1">
        <f>2*Table1[[#This Row],[Std Error]]</f>
        <v>0</v>
      </c>
      <c r="S724" s="1" t="str">
        <f>IF(Table1[[#This Row],[High Tol]]="","N/A",IFERROR(ABS(Table1[[#This Row],[Tol Span]]/Table1[[#This Row],[Error Span]]),"N/A"))</f>
        <v>N/A</v>
      </c>
      <c r="T724" s="1" t="str">
        <f>IF(OR(Table1[[#This Row],[Low Tol]]="",Table1[[#This Row],[High Tol]]=""),"Needs Analysis",IF(Table1[[#This Row],[Ratio]]&gt;=4,"Not Significant",IF(Table1[[#This Row],[Ratio]]&gt;=2,"Semi-Significant","Significant")))</f>
        <v>Needs Analysis</v>
      </c>
      <c r="W724" s="1">
        <f>IF(Table1[[#This Row],[Cal Type]]&lt;&gt;"ACCREDITED 17025 WITH UNCERTAINTIES",0,"")</f>
        <v>0</v>
      </c>
      <c r="X724" s="1" t="str">
        <f>IF(Table1[[#This Row],[DUT Read]]="","N/A",Table1[[#This Row],[Std Error]]+Table1[[#This Row],[DUT Read]]+Table1[[#This Row],[DUT Ucty]])</f>
        <v>N/A</v>
      </c>
      <c r="Y724" s="1" t="str">
        <f>IF(Table1[[#This Row],[Std Read]]="","N/A",Table1[[#This Row],[Std Read]]+Table1[[#This Row],[Std Ucty]])</f>
        <v>N/A</v>
      </c>
      <c r="Z7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4" s="1" t="str">
        <f>IF(Table1[[#This Row],[Spec Type]]="","N/A",Table1[[#This Row],[Spec Type]])</f>
        <v>±</v>
      </c>
      <c r="AC724" s="1" t="str">
        <f>IF(Table1[[#This Row],[Spec Type2]]="N/A","N/A",IF(AND(Table1[[#This Row],[DUT Adj Read]]&gt;=Table1[[#This Row],[Low Tol]],Table1[[#This Row],[DUT Adj Read]]&lt;=Table1[[#This Row],[High Tol]]),"Pass","Fail"))</f>
        <v>Fail</v>
      </c>
      <c r="AD724" s="1" t="str">
        <f>IF(AND(Table1[[#This Row],[Spec Type2]]="N/A",Table1[[#This Row],[DUT Adj Read]]="N/A",Table1[[#This Row],[Std Adj Read]]="N/A"),"N/A",IF(Table1[[#This Row],[DUT Adj Read]]="N/A",IF(Table1[[#This Row],[Std Adj Read]]&gt;Table1[[#This Row],[Low Tol]],"Pass","Fail"),IF(Table1[[#This Row],[DUT Adj Read]]&gt;Table1[[#This Row],[Low Tol]],"Pass","Fail")))</f>
        <v>Pass</v>
      </c>
      <c r="AE724" s="1" t="str">
        <f>IF(AND(Table1[[#This Row],[Spec Type2]]="N/A",Table1[[#This Row],[DUT Adj Read]]="N/A",Table1[[#This Row],[Std Adj Read]]="N/A"),"N/A",IF(Table1[[#This Row],[DUT Adj Read]]="N/A",IF(Table1[[#This Row],[Std Adj Read]]&lt;Table1[[#This Row],[High Tol]],"Pass","Fail"),IF(Table1[[#This Row],[DUT Adj Read]]&lt;Table1[[#This Row],[High Tol]],"Pass","Fail")))</f>
        <v>Fail</v>
      </c>
      <c r="AF724" s="1" t="str">
        <f>IF(AND(Table1[[#This Row],[Spec Type2]]="N/A",Table1[[#This Row],[DUT Adj Read]]="N/A",Table1[[#This Row],[Std Adj Read]]="N/A"),"N/A",IF(Table1[[#This Row],[DUT Adj Read]]="N/A",IF(Table1[[#This Row],[Std Adj Read]]&gt;=Table1[[#This Row],[Low Tol]],"Pass","Fail"),IF(Table1[[#This Row],[DUT Adj Read]]&gt;=Table1[[#This Row],[Low Tol]],"Pass","Fail")))</f>
        <v>Pass</v>
      </c>
      <c r="AG724" s="1" t="str">
        <f>IF(AND(Table1[[#This Row],[Spec Type2]]="N/A",Table1[[#This Row],[DUT Adj Read]]="N/A",Table1[[#This Row],[Std Adj Read]]="N/A"),"N/A",IF(Table1[[#This Row],[DUT Adj Read]]="N/A",IF(Table1[[#This Row],[Std Adj Read]]&lt;=Table1[[#This Row],[High Tol]],"Pass","Fail"),IF(Table1[[#This Row],[DUT Adj Read]]&lt;=Table1[[#This Row],[High Tol]],"Pass","Fail")))</f>
        <v>Fail</v>
      </c>
      <c r="AH7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4" s="1" t="b">
        <v>0</v>
      </c>
      <c r="AN724" s="1" t="b">
        <v>0</v>
      </c>
      <c r="AO724" s="1" t="b">
        <v>0</v>
      </c>
    </row>
    <row r="725" spans="1:41" x14ac:dyDescent="0.25">
      <c r="A725" s="10"/>
      <c r="B725" s="10"/>
      <c r="C725" s="10"/>
      <c r="D725" s="10"/>
      <c r="E725" s="10"/>
      <c r="F725" s="10"/>
      <c r="G725" s="10"/>
      <c r="H725" s="10"/>
      <c r="I725" s="1" t="str">
        <f t="shared" si="33"/>
        <v/>
      </c>
      <c r="J725" s="1" t="s">
        <v>35</v>
      </c>
      <c r="K725" s="1" t="str">
        <f t="shared" si="34"/>
        <v/>
      </c>
      <c r="L725" s="1" t="str">
        <f t="shared" si="35"/>
        <v/>
      </c>
      <c r="M725" s="1">
        <f>IF(OR(Table1[[#This Row],[Std Nom]]="",Table1[[#This Row],[Std Read]]=""),0,Table1[[#This Row],[Std Nom]]-Table1[[#This Row],[Std Read]])</f>
        <v>0</v>
      </c>
      <c r="N725" s="1">
        <f>IF(Calculations!$F$5="ACCREDITED 17025 WITH UNCERTAINTIES",$N$10,0)</f>
        <v>0</v>
      </c>
      <c r="Q725" s="1">
        <f>Table1[[#This Row],[High Tol]]-Table1[[#This Row],[Low Tol]]</f>
        <v>0</v>
      </c>
      <c r="R725" s="1">
        <f>2*Table1[[#This Row],[Std Error]]</f>
        <v>0</v>
      </c>
      <c r="S725" s="1" t="str">
        <f>IF(Table1[[#This Row],[High Tol]]="","N/A",IFERROR(ABS(Table1[[#This Row],[Tol Span]]/Table1[[#This Row],[Error Span]]),"N/A"))</f>
        <v>N/A</v>
      </c>
      <c r="T725" s="1" t="str">
        <f>IF(OR(Table1[[#This Row],[Low Tol]]="",Table1[[#This Row],[High Tol]]=""),"Needs Analysis",IF(Table1[[#This Row],[Ratio]]&gt;=4,"Not Significant",IF(Table1[[#This Row],[Ratio]]&gt;=2,"Semi-Significant","Significant")))</f>
        <v>Needs Analysis</v>
      </c>
      <c r="W725" s="1">
        <f>IF(Table1[[#This Row],[Cal Type]]&lt;&gt;"ACCREDITED 17025 WITH UNCERTAINTIES",0,"")</f>
        <v>0</v>
      </c>
      <c r="X725" s="1" t="str">
        <f>IF(Table1[[#This Row],[DUT Read]]="","N/A",Table1[[#This Row],[Std Error]]+Table1[[#This Row],[DUT Read]]+Table1[[#This Row],[DUT Ucty]])</f>
        <v>N/A</v>
      </c>
      <c r="Y725" s="1" t="str">
        <f>IF(Table1[[#This Row],[Std Read]]="","N/A",Table1[[#This Row],[Std Read]]+Table1[[#This Row],[Std Ucty]])</f>
        <v>N/A</v>
      </c>
      <c r="Z7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5" s="1" t="str">
        <f>IF(Table1[[#This Row],[Spec Type]]="","N/A",Table1[[#This Row],[Spec Type]])</f>
        <v>±</v>
      </c>
      <c r="AC725" s="1" t="str">
        <f>IF(Table1[[#This Row],[Spec Type2]]="N/A","N/A",IF(AND(Table1[[#This Row],[DUT Adj Read]]&gt;=Table1[[#This Row],[Low Tol]],Table1[[#This Row],[DUT Adj Read]]&lt;=Table1[[#This Row],[High Tol]]),"Pass","Fail"))</f>
        <v>Fail</v>
      </c>
      <c r="AD725" s="1" t="str">
        <f>IF(AND(Table1[[#This Row],[Spec Type2]]="N/A",Table1[[#This Row],[DUT Adj Read]]="N/A",Table1[[#This Row],[Std Adj Read]]="N/A"),"N/A",IF(Table1[[#This Row],[DUT Adj Read]]="N/A",IF(Table1[[#This Row],[Std Adj Read]]&gt;Table1[[#This Row],[Low Tol]],"Pass","Fail"),IF(Table1[[#This Row],[DUT Adj Read]]&gt;Table1[[#This Row],[Low Tol]],"Pass","Fail")))</f>
        <v>Pass</v>
      </c>
      <c r="AE725" s="1" t="str">
        <f>IF(AND(Table1[[#This Row],[Spec Type2]]="N/A",Table1[[#This Row],[DUT Adj Read]]="N/A",Table1[[#This Row],[Std Adj Read]]="N/A"),"N/A",IF(Table1[[#This Row],[DUT Adj Read]]="N/A",IF(Table1[[#This Row],[Std Adj Read]]&lt;Table1[[#This Row],[High Tol]],"Pass","Fail"),IF(Table1[[#This Row],[DUT Adj Read]]&lt;Table1[[#This Row],[High Tol]],"Pass","Fail")))</f>
        <v>Fail</v>
      </c>
      <c r="AF725" s="1" t="str">
        <f>IF(AND(Table1[[#This Row],[Spec Type2]]="N/A",Table1[[#This Row],[DUT Adj Read]]="N/A",Table1[[#This Row],[Std Adj Read]]="N/A"),"N/A",IF(Table1[[#This Row],[DUT Adj Read]]="N/A",IF(Table1[[#This Row],[Std Adj Read]]&gt;=Table1[[#This Row],[Low Tol]],"Pass","Fail"),IF(Table1[[#This Row],[DUT Adj Read]]&gt;=Table1[[#This Row],[Low Tol]],"Pass","Fail")))</f>
        <v>Pass</v>
      </c>
      <c r="AG725" s="1" t="str">
        <f>IF(AND(Table1[[#This Row],[Spec Type2]]="N/A",Table1[[#This Row],[DUT Adj Read]]="N/A",Table1[[#This Row],[Std Adj Read]]="N/A"),"N/A",IF(Table1[[#This Row],[DUT Adj Read]]="N/A",IF(Table1[[#This Row],[Std Adj Read]]&lt;=Table1[[#This Row],[High Tol]],"Pass","Fail"),IF(Table1[[#This Row],[DUT Adj Read]]&lt;=Table1[[#This Row],[High Tol]],"Pass","Fail")))</f>
        <v>Fail</v>
      </c>
      <c r="AH7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5" s="1" t="b">
        <v>0</v>
      </c>
      <c r="AN725" s="1" t="b">
        <v>0</v>
      </c>
      <c r="AO725" s="1" t="b">
        <v>0</v>
      </c>
    </row>
    <row r="726" spans="1:41" x14ac:dyDescent="0.25">
      <c r="A726" s="10"/>
      <c r="B726" s="10"/>
      <c r="C726" s="10"/>
      <c r="D726" s="10"/>
      <c r="E726" s="10"/>
      <c r="F726" s="10"/>
      <c r="G726" s="10"/>
      <c r="H726" s="10"/>
      <c r="I726" s="1" t="str">
        <f t="shared" si="33"/>
        <v/>
      </c>
      <c r="J726" s="1" t="s">
        <v>35</v>
      </c>
      <c r="K726" s="1" t="str">
        <f t="shared" si="34"/>
        <v/>
      </c>
      <c r="L726" s="1" t="str">
        <f t="shared" si="35"/>
        <v/>
      </c>
      <c r="M726" s="1">
        <f>IF(OR(Table1[[#This Row],[Std Nom]]="",Table1[[#This Row],[Std Read]]=""),0,Table1[[#This Row],[Std Nom]]-Table1[[#This Row],[Std Read]])</f>
        <v>0</v>
      </c>
      <c r="N726" s="1">
        <f>IF(Calculations!$F$5="ACCREDITED 17025 WITH UNCERTAINTIES",$N$10,0)</f>
        <v>0</v>
      </c>
      <c r="Q726" s="1">
        <f>Table1[[#This Row],[High Tol]]-Table1[[#This Row],[Low Tol]]</f>
        <v>0</v>
      </c>
      <c r="R726" s="1">
        <f>2*Table1[[#This Row],[Std Error]]</f>
        <v>0</v>
      </c>
      <c r="S726" s="1" t="str">
        <f>IF(Table1[[#This Row],[High Tol]]="","N/A",IFERROR(ABS(Table1[[#This Row],[Tol Span]]/Table1[[#This Row],[Error Span]]),"N/A"))</f>
        <v>N/A</v>
      </c>
      <c r="T726" s="1" t="str">
        <f>IF(OR(Table1[[#This Row],[Low Tol]]="",Table1[[#This Row],[High Tol]]=""),"Needs Analysis",IF(Table1[[#This Row],[Ratio]]&gt;=4,"Not Significant",IF(Table1[[#This Row],[Ratio]]&gt;=2,"Semi-Significant","Significant")))</f>
        <v>Needs Analysis</v>
      </c>
      <c r="W726" s="1">
        <f>IF(Table1[[#This Row],[Cal Type]]&lt;&gt;"ACCREDITED 17025 WITH UNCERTAINTIES",0,"")</f>
        <v>0</v>
      </c>
      <c r="X726" s="1" t="str">
        <f>IF(Table1[[#This Row],[DUT Read]]="","N/A",Table1[[#This Row],[Std Error]]+Table1[[#This Row],[DUT Read]]+Table1[[#This Row],[DUT Ucty]])</f>
        <v>N/A</v>
      </c>
      <c r="Y726" s="1" t="str">
        <f>IF(Table1[[#This Row],[Std Read]]="","N/A",Table1[[#This Row],[Std Read]]+Table1[[#This Row],[Std Ucty]])</f>
        <v>N/A</v>
      </c>
      <c r="Z7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6" s="1" t="str">
        <f>IF(Table1[[#This Row],[Spec Type]]="","N/A",Table1[[#This Row],[Spec Type]])</f>
        <v>±</v>
      </c>
      <c r="AC726" s="1" t="str">
        <f>IF(Table1[[#This Row],[Spec Type2]]="N/A","N/A",IF(AND(Table1[[#This Row],[DUT Adj Read]]&gt;=Table1[[#This Row],[Low Tol]],Table1[[#This Row],[DUT Adj Read]]&lt;=Table1[[#This Row],[High Tol]]),"Pass","Fail"))</f>
        <v>Fail</v>
      </c>
      <c r="AD726" s="1" t="str">
        <f>IF(AND(Table1[[#This Row],[Spec Type2]]="N/A",Table1[[#This Row],[DUT Adj Read]]="N/A",Table1[[#This Row],[Std Adj Read]]="N/A"),"N/A",IF(Table1[[#This Row],[DUT Adj Read]]="N/A",IF(Table1[[#This Row],[Std Adj Read]]&gt;Table1[[#This Row],[Low Tol]],"Pass","Fail"),IF(Table1[[#This Row],[DUT Adj Read]]&gt;Table1[[#This Row],[Low Tol]],"Pass","Fail")))</f>
        <v>Pass</v>
      </c>
      <c r="AE726" s="1" t="str">
        <f>IF(AND(Table1[[#This Row],[Spec Type2]]="N/A",Table1[[#This Row],[DUT Adj Read]]="N/A",Table1[[#This Row],[Std Adj Read]]="N/A"),"N/A",IF(Table1[[#This Row],[DUT Adj Read]]="N/A",IF(Table1[[#This Row],[Std Adj Read]]&lt;Table1[[#This Row],[High Tol]],"Pass","Fail"),IF(Table1[[#This Row],[DUT Adj Read]]&lt;Table1[[#This Row],[High Tol]],"Pass","Fail")))</f>
        <v>Fail</v>
      </c>
      <c r="AF726" s="1" t="str">
        <f>IF(AND(Table1[[#This Row],[Spec Type2]]="N/A",Table1[[#This Row],[DUT Adj Read]]="N/A",Table1[[#This Row],[Std Adj Read]]="N/A"),"N/A",IF(Table1[[#This Row],[DUT Adj Read]]="N/A",IF(Table1[[#This Row],[Std Adj Read]]&gt;=Table1[[#This Row],[Low Tol]],"Pass","Fail"),IF(Table1[[#This Row],[DUT Adj Read]]&gt;=Table1[[#This Row],[Low Tol]],"Pass","Fail")))</f>
        <v>Pass</v>
      </c>
      <c r="AG726" s="1" t="str">
        <f>IF(AND(Table1[[#This Row],[Spec Type2]]="N/A",Table1[[#This Row],[DUT Adj Read]]="N/A",Table1[[#This Row],[Std Adj Read]]="N/A"),"N/A",IF(Table1[[#This Row],[DUT Adj Read]]="N/A",IF(Table1[[#This Row],[Std Adj Read]]&lt;=Table1[[#This Row],[High Tol]],"Pass","Fail"),IF(Table1[[#This Row],[DUT Adj Read]]&lt;=Table1[[#This Row],[High Tol]],"Pass","Fail")))</f>
        <v>Fail</v>
      </c>
      <c r="AH7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6" s="1" t="b">
        <v>0</v>
      </c>
      <c r="AN726" s="1" t="b">
        <v>0</v>
      </c>
      <c r="AO726" s="1" t="b">
        <v>0</v>
      </c>
    </row>
    <row r="727" spans="1:41" x14ac:dyDescent="0.25">
      <c r="A727" s="10"/>
      <c r="B727" s="10"/>
      <c r="C727" s="10"/>
      <c r="D727" s="10"/>
      <c r="E727" s="10"/>
      <c r="F727" s="10"/>
      <c r="G727" s="10"/>
      <c r="H727" s="10"/>
      <c r="I727" s="1" t="str">
        <f t="shared" si="33"/>
        <v/>
      </c>
      <c r="J727" s="1" t="s">
        <v>35</v>
      </c>
      <c r="K727" s="1" t="str">
        <f t="shared" si="34"/>
        <v/>
      </c>
      <c r="L727" s="1" t="str">
        <f t="shared" si="35"/>
        <v/>
      </c>
      <c r="M727" s="1">
        <f>IF(OR(Table1[[#This Row],[Std Nom]]="",Table1[[#This Row],[Std Read]]=""),0,Table1[[#This Row],[Std Nom]]-Table1[[#This Row],[Std Read]])</f>
        <v>0</v>
      </c>
      <c r="N727" s="1">
        <f>IF(Calculations!$F$5="ACCREDITED 17025 WITH UNCERTAINTIES",$N$10,0)</f>
        <v>0</v>
      </c>
      <c r="Q727" s="1">
        <f>Table1[[#This Row],[High Tol]]-Table1[[#This Row],[Low Tol]]</f>
        <v>0</v>
      </c>
      <c r="R727" s="1">
        <f>2*Table1[[#This Row],[Std Error]]</f>
        <v>0</v>
      </c>
      <c r="S727" s="1" t="str">
        <f>IF(Table1[[#This Row],[High Tol]]="","N/A",IFERROR(ABS(Table1[[#This Row],[Tol Span]]/Table1[[#This Row],[Error Span]]),"N/A"))</f>
        <v>N/A</v>
      </c>
      <c r="T727" s="1" t="str">
        <f>IF(OR(Table1[[#This Row],[Low Tol]]="",Table1[[#This Row],[High Tol]]=""),"Needs Analysis",IF(Table1[[#This Row],[Ratio]]&gt;=4,"Not Significant",IF(Table1[[#This Row],[Ratio]]&gt;=2,"Semi-Significant","Significant")))</f>
        <v>Needs Analysis</v>
      </c>
      <c r="W727" s="1">
        <f>IF(Table1[[#This Row],[Cal Type]]&lt;&gt;"ACCREDITED 17025 WITH UNCERTAINTIES",0,"")</f>
        <v>0</v>
      </c>
      <c r="X727" s="1" t="str">
        <f>IF(Table1[[#This Row],[DUT Read]]="","N/A",Table1[[#This Row],[Std Error]]+Table1[[#This Row],[DUT Read]]+Table1[[#This Row],[DUT Ucty]])</f>
        <v>N/A</v>
      </c>
      <c r="Y727" s="1" t="str">
        <f>IF(Table1[[#This Row],[Std Read]]="","N/A",Table1[[#This Row],[Std Read]]+Table1[[#This Row],[Std Ucty]])</f>
        <v>N/A</v>
      </c>
      <c r="Z7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7" s="1" t="str">
        <f>IF(Table1[[#This Row],[Spec Type]]="","N/A",Table1[[#This Row],[Spec Type]])</f>
        <v>±</v>
      </c>
      <c r="AC727" s="1" t="str">
        <f>IF(Table1[[#This Row],[Spec Type2]]="N/A","N/A",IF(AND(Table1[[#This Row],[DUT Adj Read]]&gt;=Table1[[#This Row],[Low Tol]],Table1[[#This Row],[DUT Adj Read]]&lt;=Table1[[#This Row],[High Tol]]),"Pass","Fail"))</f>
        <v>Fail</v>
      </c>
      <c r="AD727" s="1" t="str">
        <f>IF(AND(Table1[[#This Row],[Spec Type2]]="N/A",Table1[[#This Row],[DUT Adj Read]]="N/A",Table1[[#This Row],[Std Adj Read]]="N/A"),"N/A",IF(Table1[[#This Row],[DUT Adj Read]]="N/A",IF(Table1[[#This Row],[Std Adj Read]]&gt;Table1[[#This Row],[Low Tol]],"Pass","Fail"),IF(Table1[[#This Row],[DUT Adj Read]]&gt;Table1[[#This Row],[Low Tol]],"Pass","Fail")))</f>
        <v>Pass</v>
      </c>
      <c r="AE727" s="1" t="str">
        <f>IF(AND(Table1[[#This Row],[Spec Type2]]="N/A",Table1[[#This Row],[DUT Adj Read]]="N/A",Table1[[#This Row],[Std Adj Read]]="N/A"),"N/A",IF(Table1[[#This Row],[DUT Adj Read]]="N/A",IF(Table1[[#This Row],[Std Adj Read]]&lt;Table1[[#This Row],[High Tol]],"Pass","Fail"),IF(Table1[[#This Row],[DUT Adj Read]]&lt;Table1[[#This Row],[High Tol]],"Pass","Fail")))</f>
        <v>Fail</v>
      </c>
      <c r="AF727" s="1" t="str">
        <f>IF(AND(Table1[[#This Row],[Spec Type2]]="N/A",Table1[[#This Row],[DUT Adj Read]]="N/A",Table1[[#This Row],[Std Adj Read]]="N/A"),"N/A",IF(Table1[[#This Row],[DUT Adj Read]]="N/A",IF(Table1[[#This Row],[Std Adj Read]]&gt;=Table1[[#This Row],[Low Tol]],"Pass","Fail"),IF(Table1[[#This Row],[DUT Adj Read]]&gt;=Table1[[#This Row],[Low Tol]],"Pass","Fail")))</f>
        <v>Pass</v>
      </c>
      <c r="AG727" s="1" t="str">
        <f>IF(AND(Table1[[#This Row],[Spec Type2]]="N/A",Table1[[#This Row],[DUT Adj Read]]="N/A",Table1[[#This Row],[Std Adj Read]]="N/A"),"N/A",IF(Table1[[#This Row],[DUT Adj Read]]="N/A",IF(Table1[[#This Row],[Std Adj Read]]&lt;=Table1[[#This Row],[High Tol]],"Pass","Fail"),IF(Table1[[#This Row],[DUT Adj Read]]&lt;=Table1[[#This Row],[High Tol]],"Pass","Fail")))</f>
        <v>Fail</v>
      </c>
      <c r="AH7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7" s="1" t="b">
        <v>0</v>
      </c>
      <c r="AN727" s="1" t="b">
        <v>0</v>
      </c>
      <c r="AO727" s="1" t="b">
        <v>0</v>
      </c>
    </row>
    <row r="728" spans="1:41" x14ac:dyDescent="0.25">
      <c r="A728" s="10"/>
      <c r="B728" s="10"/>
      <c r="C728" s="10"/>
      <c r="D728" s="10"/>
      <c r="E728" s="10"/>
      <c r="F728" s="10"/>
      <c r="G728" s="10"/>
      <c r="H728" s="10"/>
      <c r="I728" s="1" t="str">
        <f t="shared" si="33"/>
        <v/>
      </c>
      <c r="J728" s="1" t="s">
        <v>35</v>
      </c>
      <c r="K728" s="1" t="str">
        <f t="shared" si="34"/>
        <v/>
      </c>
      <c r="L728" s="1" t="str">
        <f t="shared" si="35"/>
        <v/>
      </c>
      <c r="M728" s="1">
        <f>IF(OR(Table1[[#This Row],[Std Nom]]="",Table1[[#This Row],[Std Read]]=""),0,Table1[[#This Row],[Std Nom]]-Table1[[#This Row],[Std Read]])</f>
        <v>0</v>
      </c>
      <c r="N728" s="1">
        <f>IF(Calculations!$F$5="ACCREDITED 17025 WITH UNCERTAINTIES",$N$10,0)</f>
        <v>0</v>
      </c>
      <c r="Q728" s="1">
        <f>Table1[[#This Row],[High Tol]]-Table1[[#This Row],[Low Tol]]</f>
        <v>0</v>
      </c>
      <c r="R728" s="1">
        <f>2*Table1[[#This Row],[Std Error]]</f>
        <v>0</v>
      </c>
      <c r="S728" s="1" t="str">
        <f>IF(Table1[[#This Row],[High Tol]]="","N/A",IFERROR(ABS(Table1[[#This Row],[Tol Span]]/Table1[[#This Row],[Error Span]]),"N/A"))</f>
        <v>N/A</v>
      </c>
      <c r="T728" s="1" t="str">
        <f>IF(OR(Table1[[#This Row],[Low Tol]]="",Table1[[#This Row],[High Tol]]=""),"Needs Analysis",IF(Table1[[#This Row],[Ratio]]&gt;=4,"Not Significant",IF(Table1[[#This Row],[Ratio]]&gt;=2,"Semi-Significant","Significant")))</f>
        <v>Needs Analysis</v>
      </c>
      <c r="W728" s="1">
        <f>IF(Table1[[#This Row],[Cal Type]]&lt;&gt;"ACCREDITED 17025 WITH UNCERTAINTIES",0,"")</f>
        <v>0</v>
      </c>
      <c r="X728" s="1" t="str">
        <f>IF(Table1[[#This Row],[DUT Read]]="","N/A",Table1[[#This Row],[Std Error]]+Table1[[#This Row],[DUT Read]]+Table1[[#This Row],[DUT Ucty]])</f>
        <v>N/A</v>
      </c>
      <c r="Y728" s="1" t="str">
        <f>IF(Table1[[#This Row],[Std Read]]="","N/A",Table1[[#This Row],[Std Read]]+Table1[[#This Row],[Std Ucty]])</f>
        <v>N/A</v>
      </c>
      <c r="Z7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8" s="1" t="str">
        <f>IF(Table1[[#This Row],[Spec Type]]="","N/A",Table1[[#This Row],[Spec Type]])</f>
        <v>±</v>
      </c>
      <c r="AC728" s="1" t="str">
        <f>IF(Table1[[#This Row],[Spec Type2]]="N/A","N/A",IF(AND(Table1[[#This Row],[DUT Adj Read]]&gt;=Table1[[#This Row],[Low Tol]],Table1[[#This Row],[DUT Adj Read]]&lt;=Table1[[#This Row],[High Tol]]),"Pass","Fail"))</f>
        <v>Fail</v>
      </c>
      <c r="AD728" s="1" t="str">
        <f>IF(AND(Table1[[#This Row],[Spec Type2]]="N/A",Table1[[#This Row],[DUT Adj Read]]="N/A",Table1[[#This Row],[Std Adj Read]]="N/A"),"N/A",IF(Table1[[#This Row],[DUT Adj Read]]="N/A",IF(Table1[[#This Row],[Std Adj Read]]&gt;Table1[[#This Row],[Low Tol]],"Pass","Fail"),IF(Table1[[#This Row],[DUT Adj Read]]&gt;Table1[[#This Row],[Low Tol]],"Pass","Fail")))</f>
        <v>Pass</v>
      </c>
      <c r="AE728" s="1" t="str">
        <f>IF(AND(Table1[[#This Row],[Spec Type2]]="N/A",Table1[[#This Row],[DUT Adj Read]]="N/A",Table1[[#This Row],[Std Adj Read]]="N/A"),"N/A",IF(Table1[[#This Row],[DUT Adj Read]]="N/A",IF(Table1[[#This Row],[Std Adj Read]]&lt;Table1[[#This Row],[High Tol]],"Pass","Fail"),IF(Table1[[#This Row],[DUT Adj Read]]&lt;Table1[[#This Row],[High Tol]],"Pass","Fail")))</f>
        <v>Fail</v>
      </c>
      <c r="AF728" s="1" t="str">
        <f>IF(AND(Table1[[#This Row],[Spec Type2]]="N/A",Table1[[#This Row],[DUT Adj Read]]="N/A",Table1[[#This Row],[Std Adj Read]]="N/A"),"N/A",IF(Table1[[#This Row],[DUT Adj Read]]="N/A",IF(Table1[[#This Row],[Std Adj Read]]&gt;=Table1[[#This Row],[Low Tol]],"Pass","Fail"),IF(Table1[[#This Row],[DUT Adj Read]]&gt;=Table1[[#This Row],[Low Tol]],"Pass","Fail")))</f>
        <v>Pass</v>
      </c>
      <c r="AG728" s="1" t="str">
        <f>IF(AND(Table1[[#This Row],[Spec Type2]]="N/A",Table1[[#This Row],[DUT Adj Read]]="N/A",Table1[[#This Row],[Std Adj Read]]="N/A"),"N/A",IF(Table1[[#This Row],[DUT Adj Read]]="N/A",IF(Table1[[#This Row],[Std Adj Read]]&lt;=Table1[[#This Row],[High Tol]],"Pass","Fail"),IF(Table1[[#This Row],[DUT Adj Read]]&lt;=Table1[[#This Row],[High Tol]],"Pass","Fail")))</f>
        <v>Fail</v>
      </c>
      <c r="AH7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8" s="1" t="b">
        <v>0</v>
      </c>
      <c r="AN728" s="1" t="b">
        <v>0</v>
      </c>
      <c r="AO728" s="1" t="b">
        <v>0</v>
      </c>
    </row>
    <row r="729" spans="1:41" x14ac:dyDescent="0.25">
      <c r="A729" s="10"/>
      <c r="B729" s="10"/>
      <c r="C729" s="10"/>
      <c r="D729" s="10"/>
      <c r="E729" s="10"/>
      <c r="F729" s="10"/>
      <c r="G729" s="10"/>
      <c r="H729" s="10"/>
      <c r="I729" s="1" t="str">
        <f t="shared" si="33"/>
        <v/>
      </c>
      <c r="J729" s="1" t="s">
        <v>35</v>
      </c>
      <c r="K729" s="1" t="str">
        <f t="shared" si="34"/>
        <v/>
      </c>
      <c r="L729" s="1" t="str">
        <f t="shared" si="35"/>
        <v/>
      </c>
      <c r="M729" s="1">
        <f>IF(OR(Table1[[#This Row],[Std Nom]]="",Table1[[#This Row],[Std Read]]=""),0,Table1[[#This Row],[Std Nom]]-Table1[[#This Row],[Std Read]])</f>
        <v>0</v>
      </c>
      <c r="N729" s="1">
        <f>IF(Calculations!$F$5="ACCREDITED 17025 WITH UNCERTAINTIES",$N$10,0)</f>
        <v>0</v>
      </c>
      <c r="Q729" s="1">
        <f>Table1[[#This Row],[High Tol]]-Table1[[#This Row],[Low Tol]]</f>
        <v>0</v>
      </c>
      <c r="R729" s="1">
        <f>2*Table1[[#This Row],[Std Error]]</f>
        <v>0</v>
      </c>
      <c r="S729" s="1" t="str">
        <f>IF(Table1[[#This Row],[High Tol]]="","N/A",IFERROR(ABS(Table1[[#This Row],[Tol Span]]/Table1[[#This Row],[Error Span]]),"N/A"))</f>
        <v>N/A</v>
      </c>
      <c r="T729" s="1" t="str">
        <f>IF(OR(Table1[[#This Row],[Low Tol]]="",Table1[[#This Row],[High Tol]]=""),"Needs Analysis",IF(Table1[[#This Row],[Ratio]]&gt;=4,"Not Significant",IF(Table1[[#This Row],[Ratio]]&gt;=2,"Semi-Significant","Significant")))</f>
        <v>Needs Analysis</v>
      </c>
      <c r="W729" s="1">
        <f>IF(Table1[[#This Row],[Cal Type]]&lt;&gt;"ACCREDITED 17025 WITH UNCERTAINTIES",0,"")</f>
        <v>0</v>
      </c>
      <c r="X729" s="1" t="str">
        <f>IF(Table1[[#This Row],[DUT Read]]="","N/A",Table1[[#This Row],[Std Error]]+Table1[[#This Row],[DUT Read]]+Table1[[#This Row],[DUT Ucty]])</f>
        <v>N/A</v>
      </c>
      <c r="Y729" s="1" t="str">
        <f>IF(Table1[[#This Row],[Std Read]]="","N/A",Table1[[#This Row],[Std Read]]+Table1[[#This Row],[Std Ucty]])</f>
        <v>N/A</v>
      </c>
      <c r="Z7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29" s="1" t="str">
        <f>IF(Table1[[#This Row],[Spec Type]]="","N/A",Table1[[#This Row],[Spec Type]])</f>
        <v>±</v>
      </c>
      <c r="AC729" s="1" t="str">
        <f>IF(Table1[[#This Row],[Spec Type2]]="N/A","N/A",IF(AND(Table1[[#This Row],[DUT Adj Read]]&gt;=Table1[[#This Row],[Low Tol]],Table1[[#This Row],[DUT Adj Read]]&lt;=Table1[[#This Row],[High Tol]]),"Pass","Fail"))</f>
        <v>Fail</v>
      </c>
      <c r="AD729" s="1" t="str">
        <f>IF(AND(Table1[[#This Row],[Spec Type2]]="N/A",Table1[[#This Row],[DUT Adj Read]]="N/A",Table1[[#This Row],[Std Adj Read]]="N/A"),"N/A",IF(Table1[[#This Row],[DUT Adj Read]]="N/A",IF(Table1[[#This Row],[Std Adj Read]]&gt;Table1[[#This Row],[Low Tol]],"Pass","Fail"),IF(Table1[[#This Row],[DUT Adj Read]]&gt;Table1[[#This Row],[Low Tol]],"Pass","Fail")))</f>
        <v>Pass</v>
      </c>
      <c r="AE729" s="1" t="str">
        <f>IF(AND(Table1[[#This Row],[Spec Type2]]="N/A",Table1[[#This Row],[DUT Adj Read]]="N/A",Table1[[#This Row],[Std Adj Read]]="N/A"),"N/A",IF(Table1[[#This Row],[DUT Adj Read]]="N/A",IF(Table1[[#This Row],[Std Adj Read]]&lt;Table1[[#This Row],[High Tol]],"Pass","Fail"),IF(Table1[[#This Row],[DUT Adj Read]]&lt;Table1[[#This Row],[High Tol]],"Pass","Fail")))</f>
        <v>Fail</v>
      </c>
      <c r="AF729" s="1" t="str">
        <f>IF(AND(Table1[[#This Row],[Spec Type2]]="N/A",Table1[[#This Row],[DUT Adj Read]]="N/A",Table1[[#This Row],[Std Adj Read]]="N/A"),"N/A",IF(Table1[[#This Row],[DUT Adj Read]]="N/A",IF(Table1[[#This Row],[Std Adj Read]]&gt;=Table1[[#This Row],[Low Tol]],"Pass","Fail"),IF(Table1[[#This Row],[DUT Adj Read]]&gt;=Table1[[#This Row],[Low Tol]],"Pass","Fail")))</f>
        <v>Pass</v>
      </c>
      <c r="AG729" s="1" t="str">
        <f>IF(AND(Table1[[#This Row],[Spec Type2]]="N/A",Table1[[#This Row],[DUT Adj Read]]="N/A",Table1[[#This Row],[Std Adj Read]]="N/A"),"N/A",IF(Table1[[#This Row],[DUT Adj Read]]="N/A",IF(Table1[[#This Row],[Std Adj Read]]&lt;=Table1[[#This Row],[High Tol]],"Pass","Fail"),IF(Table1[[#This Row],[DUT Adj Read]]&lt;=Table1[[#This Row],[High Tol]],"Pass","Fail")))</f>
        <v>Fail</v>
      </c>
      <c r="AH7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29" s="1" t="b">
        <v>0</v>
      </c>
      <c r="AN729" s="1" t="b">
        <v>0</v>
      </c>
      <c r="AO729" s="1" t="b">
        <v>0</v>
      </c>
    </row>
    <row r="730" spans="1:41" x14ac:dyDescent="0.25">
      <c r="A730" s="10"/>
      <c r="B730" s="10"/>
      <c r="C730" s="10"/>
      <c r="D730" s="10"/>
      <c r="E730" s="10"/>
      <c r="F730" s="10"/>
      <c r="G730" s="10"/>
      <c r="H730" s="10"/>
      <c r="I730" s="1" t="str">
        <f t="shared" si="33"/>
        <v/>
      </c>
      <c r="J730" s="1" t="s">
        <v>35</v>
      </c>
      <c r="K730" s="1" t="str">
        <f t="shared" si="34"/>
        <v/>
      </c>
      <c r="L730" s="1" t="str">
        <f t="shared" si="35"/>
        <v/>
      </c>
      <c r="M730" s="1">
        <f>IF(OR(Table1[[#This Row],[Std Nom]]="",Table1[[#This Row],[Std Read]]=""),0,Table1[[#This Row],[Std Nom]]-Table1[[#This Row],[Std Read]])</f>
        <v>0</v>
      </c>
      <c r="N730" s="1">
        <f>IF(Calculations!$F$5="ACCREDITED 17025 WITH UNCERTAINTIES",$N$10,0)</f>
        <v>0</v>
      </c>
      <c r="Q730" s="1">
        <f>Table1[[#This Row],[High Tol]]-Table1[[#This Row],[Low Tol]]</f>
        <v>0</v>
      </c>
      <c r="R730" s="1">
        <f>2*Table1[[#This Row],[Std Error]]</f>
        <v>0</v>
      </c>
      <c r="S730" s="1" t="str">
        <f>IF(Table1[[#This Row],[High Tol]]="","N/A",IFERROR(ABS(Table1[[#This Row],[Tol Span]]/Table1[[#This Row],[Error Span]]),"N/A"))</f>
        <v>N/A</v>
      </c>
      <c r="T730" s="1" t="str">
        <f>IF(OR(Table1[[#This Row],[Low Tol]]="",Table1[[#This Row],[High Tol]]=""),"Needs Analysis",IF(Table1[[#This Row],[Ratio]]&gt;=4,"Not Significant",IF(Table1[[#This Row],[Ratio]]&gt;=2,"Semi-Significant","Significant")))</f>
        <v>Needs Analysis</v>
      </c>
      <c r="W730" s="1">
        <f>IF(Table1[[#This Row],[Cal Type]]&lt;&gt;"ACCREDITED 17025 WITH UNCERTAINTIES",0,"")</f>
        <v>0</v>
      </c>
      <c r="X730" s="1" t="str">
        <f>IF(Table1[[#This Row],[DUT Read]]="","N/A",Table1[[#This Row],[Std Error]]+Table1[[#This Row],[DUT Read]]+Table1[[#This Row],[DUT Ucty]])</f>
        <v>N/A</v>
      </c>
      <c r="Y730" s="1" t="str">
        <f>IF(Table1[[#This Row],[Std Read]]="","N/A",Table1[[#This Row],[Std Read]]+Table1[[#This Row],[Std Ucty]])</f>
        <v>N/A</v>
      </c>
      <c r="Z7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0" s="1" t="str">
        <f>IF(Table1[[#This Row],[Spec Type]]="","N/A",Table1[[#This Row],[Spec Type]])</f>
        <v>±</v>
      </c>
      <c r="AC730" s="1" t="str">
        <f>IF(Table1[[#This Row],[Spec Type2]]="N/A","N/A",IF(AND(Table1[[#This Row],[DUT Adj Read]]&gt;=Table1[[#This Row],[Low Tol]],Table1[[#This Row],[DUT Adj Read]]&lt;=Table1[[#This Row],[High Tol]]),"Pass","Fail"))</f>
        <v>Fail</v>
      </c>
      <c r="AD730" s="1" t="str">
        <f>IF(AND(Table1[[#This Row],[Spec Type2]]="N/A",Table1[[#This Row],[DUT Adj Read]]="N/A",Table1[[#This Row],[Std Adj Read]]="N/A"),"N/A",IF(Table1[[#This Row],[DUT Adj Read]]="N/A",IF(Table1[[#This Row],[Std Adj Read]]&gt;Table1[[#This Row],[Low Tol]],"Pass","Fail"),IF(Table1[[#This Row],[DUT Adj Read]]&gt;Table1[[#This Row],[Low Tol]],"Pass","Fail")))</f>
        <v>Pass</v>
      </c>
      <c r="AE730" s="1" t="str">
        <f>IF(AND(Table1[[#This Row],[Spec Type2]]="N/A",Table1[[#This Row],[DUT Adj Read]]="N/A",Table1[[#This Row],[Std Adj Read]]="N/A"),"N/A",IF(Table1[[#This Row],[DUT Adj Read]]="N/A",IF(Table1[[#This Row],[Std Adj Read]]&lt;Table1[[#This Row],[High Tol]],"Pass","Fail"),IF(Table1[[#This Row],[DUT Adj Read]]&lt;Table1[[#This Row],[High Tol]],"Pass","Fail")))</f>
        <v>Fail</v>
      </c>
      <c r="AF730" s="1" t="str">
        <f>IF(AND(Table1[[#This Row],[Spec Type2]]="N/A",Table1[[#This Row],[DUT Adj Read]]="N/A",Table1[[#This Row],[Std Adj Read]]="N/A"),"N/A",IF(Table1[[#This Row],[DUT Adj Read]]="N/A",IF(Table1[[#This Row],[Std Adj Read]]&gt;=Table1[[#This Row],[Low Tol]],"Pass","Fail"),IF(Table1[[#This Row],[DUT Adj Read]]&gt;=Table1[[#This Row],[Low Tol]],"Pass","Fail")))</f>
        <v>Pass</v>
      </c>
      <c r="AG730" s="1" t="str">
        <f>IF(AND(Table1[[#This Row],[Spec Type2]]="N/A",Table1[[#This Row],[DUT Adj Read]]="N/A",Table1[[#This Row],[Std Adj Read]]="N/A"),"N/A",IF(Table1[[#This Row],[DUT Adj Read]]="N/A",IF(Table1[[#This Row],[Std Adj Read]]&lt;=Table1[[#This Row],[High Tol]],"Pass","Fail"),IF(Table1[[#This Row],[DUT Adj Read]]&lt;=Table1[[#This Row],[High Tol]],"Pass","Fail")))</f>
        <v>Fail</v>
      </c>
      <c r="AH7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0" s="1" t="b">
        <v>0</v>
      </c>
      <c r="AN730" s="1" t="b">
        <v>0</v>
      </c>
      <c r="AO730" s="1" t="b">
        <v>0</v>
      </c>
    </row>
    <row r="731" spans="1:41" x14ac:dyDescent="0.25">
      <c r="A731" s="10"/>
      <c r="B731" s="10"/>
      <c r="C731" s="10"/>
      <c r="D731" s="10"/>
      <c r="E731" s="10"/>
      <c r="F731" s="10"/>
      <c r="G731" s="10"/>
      <c r="H731" s="10"/>
      <c r="I731" s="1" t="str">
        <f t="shared" si="33"/>
        <v/>
      </c>
      <c r="J731" s="1" t="s">
        <v>35</v>
      </c>
      <c r="K731" s="1" t="str">
        <f t="shared" si="34"/>
        <v/>
      </c>
      <c r="L731" s="1" t="str">
        <f t="shared" si="35"/>
        <v/>
      </c>
      <c r="M731" s="1">
        <f>IF(OR(Table1[[#This Row],[Std Nom]]="",Table1[[#This Row],[Std Read]]=""),0,Table1[[#This Row],[Std Nom]]-Table1[[#This Row],[Std Read]])</f>
        <v>0</v>
      </c>
      <c r="N731" s="1">
        <f>IF(Calculations!$F$5="ACCREDITED 17025 WITH UNCERTAINTIES",$N$10,0)</f>
        <v>0</v>
      </c>
      <c r="Q731" s="1">
        <f>Table1[[#This Row],[High Tol]]-Table1[[#This Row],[Low Tol]]</f>
        <v>0</v>
      </c>
      <c r="R731" s="1">
        <f>2*Table1[[#This Row],[Std Error]]</f>
        <v>0</v>
      </c>
      <c r="S731" s="1" t="str">
        <f>IF(Table1[[#This Row],[High Tol]]="","N/A",IFERROR(ABS(Table1[[#This Row],[Tol Span]]/Table1[[#This Row],[Error Span]]),"N/A"))</f>
        <v>N/A</v>
      </c>
      <c r="T731" s="1" t="str">
        <f>IF(OR(Table1[[#This Row],[Low Tol]]="",Table1[[#This Row],[High Tol]]=""),"Needs Analysis",IF(Table1[[#This Row],[Ratio]]&gt;=4,"Not Significant",IF(Table1[[#This Row],[Ratio]]&gt;=2,"Semi-Significant","Significant")))</f>
        <v>Needs Analysis</v>
      </c>
      <c r="W731" s="1">
        <f>IF(Table1[[#This Row],[Cal Type]]&lt;&gt;"ACCREDITED 17025 WITH UNCERTAINTIES",0,"")</f>
        <v>0</v>
      </c>
      <c r="X731" s="1" t="str">
        <f>IF(Table1[[#This Row],[DUT Read]]="","N/A",Table1[[#This Row],[Std Error]]+Table1[[#This Row],[DUT Read]]+Table1[[#This Row],[DUT Ucty]])</f>
        <v>N/A</v>
      </c>
      <c r="Y731" s="1" t="str">
        <f>IF(Table1[[#This Row],[Std Read]]="","N/A",Table1[[#This Row],[Std Read]]+Table1[[#This Row],[Std Ucty]])</f>
        <v>N/A</v>
      </c>
      <c r="Z7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1" s="1" t="str">
        <f>IF(Table1[[#This Row],[Spec Type]]="","N/A",Table1[[#This Row],[Spec Type]])</f>
        <v>±</v>
      </c>
      <c r="AC731" s="1" t="str">
        <f>IF(Table1[[#This Row],[Spec Type2]]="N/A","N/A",IF(AND(Table1[[#This Row],[DUT Adj Read]]&gt;=Table1[[#This Row],[Low Tol]],Table1[[#This Row],[DUT Adj Read]]&lt;=Table1[[#This Row],[High Tol]]),"Pass","Fail"))</f>
        <v>Fail</v>
      </c>
      <c r="AD731" s="1" t="str">
        <f>IF(AND(Table1[[#This Row],[Spec Type2]]="N/A",Table1[[#This Row],[DUT Adj Read]]="N/A",Table1[[#This Row],[Std Adj Read]]="N/A"),"N/A",IF(Table1[[#This Row],[DUT Adj Read]]="N/A",IF(Table1[[#This Row],[Std Adj Read]]&gt;Table1[[#This Row],[Low Tol]],"Pass","Fail"),IF(Table1[[#This Row],[DUT Adj Read]]&gt;Table1[[#This Row],[Low Tol]],"Pass","Fail")))</f>
        <v>Pass</v>
      </c>
      <c r="AE731" s="1" t="str">
        <f>IF(AND(Table1[[#This Row],[Spec Type2]]="N/A",Table1[[#This Row],[DUT Adj Read]]="N/A",Table1[[#This Row],[Std Adj Read]]="N/A"),"N/A",IF(Table1[[#This Row],[DUT Adj Read]]="N/A",IF(Table1[[#This Row],[Std Adj Read]]&lt;Table1[[#This Row],[High Tol]],"Pass","Fail"),IF(Table1[[#This Row],[DUT Adj Read]]&lt;Table1[[#This Row],[High Tol]],"Pass","Fail")))</f>
        <v>Fail</v>
      </c>
      <c r="AF731" s="1" t="str">
        <f>IF(AND(Table1[[#This Row],[Spec Type2]]="N/A",Table1[[#This Row],[DUT Adj Read]]="N/A",Table1[[#This Row],[Std Adj Read]]="N/A"),"N/A",IF(Table1[[#This Row],[DUT Adj Read]]="N/A",IF(Table1[[#This Row],[Std Adj Read]]&gt;=Table1[[#This Row],[Low Tol]],"Pass","Fail"),IF(Table1[[#This Row],[DUT Adj Read]]&gt;=Table1[[#This Row],[Low Tol]],"Pass","Fail")))</f>
        <v>Pass</v>
      </c>
      <c r="AG731" s="1" t="str">
        <f>IF(AND(Table1[[#This Row],[Spec Type2]]="N/A",Table1[[#This Row],[DUT Adj Read]]="N/A",Table1[[#This Row],[Std Adj Read]]="N/A"),"N/A",IF(Table1[[#This Row],[DUT Adj Read]]="N/A",IF(Table1[[#This Row],[Std Adj Read]]&lt;=Table1[[#This Row],[High Tol]],"Pass","Fail"),IF(Table1[[#This Row],[DUT Adj Read]]&lt;=Table1[[#This Row],[High Tol]],"Pass","Fail")))</f>
        <v>Fail</v>
      </c>
      <c r="AH7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1" s="1" t="b">
        <v>0</v>
      </c>
      <c r="AN731" s="1" t="b">
        <v>0</v>
      </c>
      <c r="AO731" s="1" t="b">
        <v>0</v>
      </c>
    </row>
    <row r="732" spans="1:41" x14ac:dyDescent="0.25">
      <c r="A732" s="10"/>
      <c r="B732" s="10"/>
      <c r="C732" s="10"/>
      <c r="D732" s="10"/>
      <c r="E732" s="10"/>
      <c r="F732" s="10"/>
      <c r="G732" s="10"/>
      <c r="H732" s="10"/>
      <c r="I732" s="1" t="str">
        <f t="shared" si="33"/>
        <v/>
      </c>
      <c r="J732" s="1" t="s">
        <v>35</v>
      </c>
      <c r="K732" s="1" t="str">
        <f t="shared" si="34"/>
        <v/>
      </c>
      <c r="L732" s="1" t="str">
        <f t="shared" si="35"/>
        <v/>
      </c>
      <c r="M732" s="1">
        <f>IF(OR(Table1[[#This Row],[Std Nom]]="",Table1[[#This Row],[Std Read]]=""),0,Table1[[#This Row],[Std Nom]]-Table1[[#This Row],[Std Read]])</f>
        <v>0</v>
      </c>
      <c r="N732" s="1">
        <f>IF(Calculations!$F$5="ACCREDITED 17025 WITH UNCERTAINTIES",$N$10,0)</f>
        <v>0</v>
      </c>
      <c r="Q732" s="1">
        <f>Table1[[#This Row],[High Tol]]-Table1[[#This Row],[Low Tol]]</f>
        <v>0</v>
      </c>
      <c r="R732" s="1">
        <f>2*Table1[[#This Row],[Std Error]]</f>
        <v>0</v>
      </c>
      <c r="S732" s="1" t="str">
        <f>IF(Table1[[#This Row],[High Tol]]="","N/A",IFERROR(ABS(Table1[[#This Row],[Tol Span]]/Table1[[#This Row],[Error Span]]),"N/A"))</f>
        <v>N/A</v>
      </c>
      <c r="T732" s="1" t="str">
        <f>IF(OR(Table1[[#This Row],[Low Tol]]="",Table1[[#This Row],[High Tol]]=""),"Needs Analysis",IF(Table1[[#This Row],[Ratio]]&gt;=4,"Not Significant",IF(Table1[[#This Row],[Ratio]]&gt;=2,"Semi-Significant","Significant")))</f>
        <v>Needs Analysis</v>
      </c>
      <c r="W732" s="1">
        <f>IF(Table1[[#This Row],[Cal Type]]&lt;&gt;"ACCREDITED 17025 WITH UNCERTAINTIES",0,"")</f>
        <v>0</v>
      </c>
      <c r="X732" s="1" t="str">
        <f>IF(Table1[[#This Row],[DUT Read]]="","N/A",Table1[[#This Row],[Std Error]]+Table1[[#This Row],[DUT Read]]+Table1[[#This Row],[DUT Ucty]])</f>
        <v>N/A</v>
      </c>
      <c r="Y732" s="1" t="str">
        <f>IF(Table1[[#This Row],[Std Read]]="","N/A",Table1[[#This Row],[Std Read]]+Table1[[#This Row],[Std Ucty]])</f>
        <v>N/A</v>
      </c>
      <c r="Z7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2" s="1" t="str">
        <f>IF(Table1[[#This Row],[Spec Type]]="","N/A",Table1[[#This Row],[Spec Type]])</f>
        <v>±</v>
      </c>
      <c r="AC732" s="1" t="str">
        <f>IF(Table1[[#This Row],[Spec Type2]]="N/A","N/A",IF(AND(Table1[[#This Row],[DUT Adj Read]]&gt;=Table1[[#This Row],[Low Tol]],Table1[[#This Row],[DUT Adj Read]]&lt;=Table1[[#This Row],[High Tol]]),"Pass","Fail"))</f>
        <v>Fail</v>
      </c>
      <c r="AD732" s="1" t="str">
        <f>IF(AND(Table1[[#This Row],[Spec Type2]]="N/A",Table1[[#This Row],[DUT Adj Read]]="N/A",Table1[[#This Row],[Std Adj Read]]="N/A"),"N/A",IF(Table1[[#This Row],[DUT Adj Read]]="N/A",IF(Table1[[#This Row],[Std Adj Read]]&gt;Table1[[#This Row],[Low Tol]],"Pass","Fail"),IF(Table1[[#This Row],[DUT Adj Read]]&gt;Table1[[#This Row],[Low Tol]],"Pass","Fail")))</f>
        <v>Pass</v>
      </c>
      <c r="AE732" s="1" t="str">
        <f>IF(AND(Table1[[#This Row],[Spec Type2]]="N/A",Table1[[#This Row],[DUT Adj Read]]="N/A",Table1[[#This Row],[Std Adj Read]]="N/A"),"N/A",IF(Table1[[#This Row],[DUT Adj Read]]="N/A",IF(Table1[[#This Row],[Std Adj Read]]&lt;Table1[[#This Row],[High Tol]],"Pass","Fail"),IF(Table1[[#This Row],[DUT Adj Read]]&lt;Table1[[#This Row],[High Tol]],"Pass","Fail")))</f>
        <v>Fail</v>
      </c>
      <c r="AF732" s="1" t="str">
        <f>IF(AND(Table1[[#This Row],[Spec Type2]]="N/A",Table1[[#This Row],[DUT Adj Read]]="N/A",Table1[[#This Row],[Std Adj Read]]="N/A"),"N/A",IF(Table1[[#This Row],[DUT Adj Read]]="N/A",IF(Table1[[#This Row],[Std Adj Read]]&gt;=Table1[[#This Row],[Low Tol]],"Pass","Fail"),IF(Table1[[#This Row],[DUT Adj Read]]&gt;=Table1[[#This Row],[Low Tol]],"Pass","Fail")))</f>
        <v>Pass</v>
      </c>
      <c r="AG732" s="1" t="str">
        <f>IF(AND(Table1[[#This Row],[Spec Type2]]="N/A",Table1[[#This Row],[DUT Adj Read]]="N/A",Table1[[#This Row],[Std Adj Read]]="N/A"),"N/A",IF(Table1[[#This Row],[DUT Adj Read]]="N/A",IF(Table1[[#This Row],[Std Adj Read]]&lt;=Table1[[#This Row],[High Tol]],"Pass","Fail"),IF(Table1[[#This Row],[DUT Adj Read]]&lt;=Table1[[#This Row],[High Tol]],"Pass","Fail")))</f>
        <v>Fail</v>
      </c>
      <c r="AH7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2" s="1" t="b">
        <v>0</v>
      </c>
      <c r="AN732" s="1" t="b">
        <v>0</v>
      </c>
      <c r="AO732" s="1" t="b">
        <v>0</v>
      </c>
    </row>
    <row r="733" spans="1:41" x14ac:dyDescent="0.25">
      <c r="A733" s="10"/>
      <c r="B733" s="10"/>
      <c r="C733" s="10"/>
      <c r="D733" s="10"/>
      <c r="E733" s="10"/>
      <c r="F733" s="10"/>
      <c r="G733" s="10"/>
      <c r="H733" s="10"/>
      <c r="I733" s="1" t="str">
        <f t="shared" si="33"/>
        <v/>
      </c>
      <c r="J733" s="1" t="s">
        <v>35</v>
      </c>
      <c r="K733" s="1" t="str">
        <f t="shared" si="34"/>
        <v/>
      </c>
      <c r="L733" s="1" t="str">
        <f t="shared" si="35"/>
        <v/>
      </c>
      <c r="M733" s="1">
        <f>IF(OR(Table1[[#This Row],[Std Nom]]="",Table1[[#This Row],[Std Read]]=""),0,Table1[[#This Row],[Std Nom]]-Table1[[#This Row],[Std Read]])</f>
        <v>0</v>
      </c>
      <c r="N733" s="1">
        <f>IF(Calculations!$F$5="ACCREDITED 17025 WITH UNCERTAINTIES",$N$10,0)</f>
        <v>0</v>
      </c>
      <c r="Q733" s="1">
        <f>Table1[[#This Row],[High Tol]]-Table1[[#This Row],[Low Tol]]</f>
        <v>0</v>
      </c>
      <c r="R733" s="1">
        <f>2*Table1[[#This Row],[Std Error]]</f>
        <v>0</v>
      </c>
      <c r="S733" s="1" t="str">
        <f>IF(Table1[[#This Row],[High Tol]]="","N/A",IFERROR(ABS(Table1[[#This Row],[Tol Span]]/Table1[[#This Row],[Error Span]]),"N/A"))</f>
        <v>N/A</v>
      </c>
      <c r="T733" s="1" t="str">
        <f>IF(OR(Table1[[#This Row],[Low Tol]]="",Table1[[#This Row],[High Tol]]=""),"Needs Analysis",IF(Table1[[#This Row],[Ratio]]&gt;=4,"Not Significant",IF(Table1[[#This Row],[Ratio]]&gt;=2,"Semi-Significant","Significant")))</f>
        <v>Needs Analysis</v>
      </c>
      <c r="W733" s="1">
        <f>IF(Table1[[#This Row],[Cal Type]]&lt;&gt;"ACCREDITED 17025 WITH UNCERTAINTIES",0,"")</f>
        <v>0</v>
      </c>
      <c r="X733" s="1" t="str">
        <f>IF(Table1[[#This Row],[DUT Read]]="","N/A",Table1[[#This Row],[Std Error]]+Table1[[#This Row],[DUT Read]]+Table1[[#This Row],[DUT Ucty]])</f>
        <v>N/A</v>
      </c>
      <c r="Y733" s="1" t="str">
        <f>IF(Table1[[#This Row],[Std Read]]="","N/A",Table1[[#This Row],[Std Read]]+Table1[[#This Row],[Std Ucty]])</f>
        <v>N/A</v>
      </c>
      <c r="Z7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3" s="1" t="str">
        <f>IF(Table1[[#This Row],[Spec Type]]="","N/A",Table1[[#This Row],[Spec Type]])</f>
        <v>±</v>
      </c>
      <c r="AC733" s="1" t="str">
        <f>IF(Table1[[#This Row],[Spec Type2]]="N/A","N/A",IF(AND(Table1[[#This Row],[DUT Adj Read]]&gt;=Table1[[#This Row],[Low Tol]],Table1[[#This Row],[DUT Adj Read]]&lt;=Table1[[#This Row],[High Tol]]),"Pass","Fail"))</f>
        <v>Fail</v>
      </c>
      <c r="AD733" s="1" t="str">
        <f>IF(AND(Table1[[#This Row],[Spec Type2]]="N/A",Table1[[#This Row],[DUT Adj Read]]="N/A",Table1[[#This Row],[Std Adj Read]]="N/A"),"N/A",IF(Table1[[#This Row],[DUT Adj Read]]="N/A",IF(Table1[[#This Row],[Std Adj Read]]&gt;Table1[[#This Row],[Low Tol]],"Pass","Fail"),IF(Table1[[#This Row],[DUT Adj Read]]&gt;Table1[[#This Row],[Low Tol]],"Pass","Fail")))</f>
        <v>Pass</v>
      </c>
      <c r="AE733" s="1" t="str">
        <f>IF(AND(Table1[[#This Row],[Spec Type2]]="N/A",Table1[[#This Row],[DUT Adj Read]]="N/A",Table1[[#This Row],[Std Adj Read]]="N/A"),"N/A",IF(Table1[[#This Row],[DUT Adj Read]]="N/A",IF(Table1[[#This Row],[Std Adj Read]]&lt;Table1[[#This Row],[High Tol]],"Pass","Fail"),IF(Table1[[#This Row],[DUT Adj Read]]&lt;Table1[[#This Row],[High Tol]],"Pass","Fail")))</f>
        <v>Fail</v>
      </c>
      <c r="AF733" s="1" t="str">
        <f>IF(AND(Table1[[#This Row],[Spec Type2]]="N/A",Table1[[#This Row],[DUT Adj Read]]="N/A",Table1[[#This Row],[Std Adj Read]]="N/A"),"N/A",IF(Table1[[#This Row],[DUT Adj Read]]="N/A",IF(Table1[[#This Row],[Std Adj Read]]&gt;=Table1[[#This Row],[Low Tol]],"Pass","Fail"),IF(Table1[[#This Row],[DUT Adj Read]]&gt;=Table1[[#This Row],[Low Tol]],"Pass","Fail")))</f>
        <v>Pass</v>
      </c>
      <c r="AG733" s="1" t="str">
        <f>IF(AND(Table1[[#This Row],[Spec Type2]]="N/A",Table1[[#This Row],[DUT Adj Read]]="N/A",Table1[[#This Row],[Std Adj Read]]="N/A"),"N/A",IF(Table1[[#This Row],[DUT Adj Read]]="N/A",IF(Table1[[#This Row],[Std Adj Read]]&lt;=Table1[[#This Row],[High Tol]],"Pass","Fail"),IF(Table1[[#This Row],[DUT Adj Read]]&lt;=Table1[[#This Row],[High Tol]],"Pass","Fail")))</f>
        <v>Fail</v>
      </c>
      <c r="AH7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3" s="1" t="b">
        <v>0</v>
      </c>
      <c r="AN733" s="1" t="b">
        <v>0</v>
      </c>
      <c r="AO733" s="1" t="b">
        <v>0</v>
      </c>
    </row>
    <row r="734" spans="1:41" x14ac:dyDescent="0.25">
      <c r="A734" s="10"/>
      <c r="B734" s="10"/>
      <c r="C734" s="10"/>
      <c r="D734" s="10"/>
      <c r="E734" s="10"/>
      <c r="F734" s="10"/>
      <c r="G734" s="10"/>
      <c r="H734" s="10"/>
      <c r="I734" s="1" t="str">
        <f t="shared" si="33"/>
        <v/>
      </c>
      <c r="J734" s="1" t="s">
        <v>35</v>
      </c>
      <c r="K734" s="1" t="str">
        <f t="shared" si="34"/>
        <v/>
      </c>
      <c r="L734" s="1" t="str">
        <f t="shared" si="35"/>
        <v/>
      </c>
      <c r="M734" s="1">
        <f>IF(OR(Table1[[#This Row],[Std Nom]]="",Table1[[#This Row],[Std Read]]=""),0,Table1[[#This Row],[Std Nom]]-Table1[[#This Row],[Std Read]])</f>
        <v>0</v>
      </c>
      <c r="N734" s="1">
        <f>IF(Calculations!$F$5="ACCREDITED 17025 WITH UNCERTAINTIES",$N$10,0)</f>
        <v>0</v>
      </c>
      <c r="Q734" s="1">
        <f>Table1[[#This Row],[High Tol]]-Table1[[#This Row],[Low Tol]]</f>
        <v>0</v>
      </c>
      <c r="R734" s="1">
        <f>2*Table1[[#This Row],[Std Error]]</f>
        <v>0</v>
      </c>
      <c r="S734" s="1" t="str">
        <f>IF(Table1[[#This Row],[High Tol]]="","N/A",IFERROR(ABS(Table1[[#This Row],[Tol Span]]/Table1[[#This Row],[Error Span]]),"N/A"))</f>
        <v>N/A</v>
      </c>
      <c r="T734" s="1" t="str">
        <f>IF(OR(Table1[[#This Row],[Low Tol]]="",Table1[[#This Row],[High Tol]]=""),"Needs Analysis",IF(Table1[[#This Row],[Ratio]]&gt;=4,"Not Significant",IF(Table1[[#This Row],[Ratio]]&gt;=2,"Semi-Significant","Significant")))</f>
        <v>Needs Analysis</v>
      </c>
      <c r="W734" s="1">
        <f>IF(Table1[[#This Row],[Cal Type]]&lt;&gt;"ACCREDITED 17025 WITH UNCERTAINTIES",0,"")</f>
        <v>0</v>
      </c>
      <c r="X734" s="1" t="str">
        <f>IF(Table1[[#This Row],[DUT Read]]="","N/A",Table1[[#This Row],[Std Error]]+Table1[[#This Row],[DUT Read]]+Table1[[#This Row],[DUT Ucty]])</f>
        <v>N/A</v>
      </c>
      <c r="Y734" s="1" t="str">
        <f>IF(Table1[[#This Row],[Std Read]]="","N/A",Table1[[#This Row],[Std Read]]+Table1[[#This Row],[Std Ucty]])</f>
        <v>N/A</v>
      </c>
      <c r="Z7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4" s="1" t="str">
        <f>IF(Table1[[#This Row],[Spec Type]]="","N/A",Table1[[#This Row],[Spec Type]])</f>
        <v>±</v>
      </c>
      <c r="AC734" s="1" t="str">
        <f>IF(Table1[[#This Row],[Spec Type2]]="N/A","N/A",IF(AND(Table1[[#This Row],[DUT Adj Read]]&gt;=Table1[[#This Row],[Low Tol]],Table1[[#This Row],[DUT Adj Read]]&lt;=Table1[[#This Row],[High Tol]]),"Pass","Fail"))</f>
        <v>Fail</v>
      </c>
      <c r="AD734" s="1" t="str">
        <f>IF(AND(Table1[[#This Row],[Spec Type2]]="N/A",Table1[[#This Row],[DUT Adj Read]]="N/A",Table1[[#This Row],[Std Adj Read]]="N/A"),"N/A",IF(Table1[[#This Row],[DUT Adj Read]]="N/A",IF(Table1[[#This Row],[Std Adj Read]]&gt;Table1[[#This Row],[Low Tol]],"Pass","Fail"),IF(Table1[[#This Row],[DUT Adj Read]]&gt;Table1[[#This Row],[Low Tol]],"Pass","Fail")))</f>
        <v>Pass</v>
      </c>
      <c r="AE734" s="1" t="str">
        <f>IF(AND(Table1[[#This Row],[Spec Type2]]="N/A",Table1[[#This Row],[DUT Adj Read]]="N/A",Table1[[#This Row],[Std Adj Read]]="N/A"),"N/A",IF(Table1[[#This Row],[DUT Adj Read]]="N/A",IF(Table1[[#This Row],[Std Adj Read]]&lt;Table1[[#This Row],[High Tol]],"Pass","Fail"),IF(Table1[[#This Row],[DUT Adj Read]]&lt;Table1[[#This Row],[High Tol]],"Pass","Fail")))</f>
        <v>Fail</v>
      </c>
      <c r="AF734" s="1" t="str">
        <f>IF(AND(Table1[[#This Row],[Spec Type2]]="N/A",Table1[[#This Row],[DUT Adj Read]]="N/A",Table1[[#This Row],[Std Adj Read]]="N/A"),"N/A",IF(Table1[[#This Row],[DUT Adj Read]]="N/A",IF(Table1[[#This Row],[Std Adj Read]]&gt;=Table1[[#This Row],[Low Tol]],"Pass","Fail"),IF(Table1[[#This Row],[DUT Adj Read]]&gt;=Table1[[#This Row],[Low Tol]],"Pass","Fail")))</f>
        <v>Pass</v>
      </c>
      <c r="AG734" s="1" t="str">
        <f>IF(AND(Table1[[#This Row],[Spec Type2]]="N/A",Table1[[#This Row],[DUT Adj Read]]="N/A",Table1[[#This Row],[Std Adj Read]]="N/A"),"N/A",IF(Table1[[#This Row],[DUT Adj Read]]="N/A",IF(Table1[[#This Row],[Std Adj Read]]&lt;=Table1[[#This Row],[High Tol]],"Pass","Fail"),IF(Table1[[#This Row],[DUT Adj Read]]&lt;=Table1[[#This Row],[High Tol]],"Pass","Fail")))</f>
        <v>Fail</v>
      </c>
      <c r="AH7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4" s="1" t="b">
        <v>0</v>
      </c>
      <c r="AN734" s="1" t="b">
        <v>0</v>
      </c>
      <c r="AO734" s="1" t="b">
        <v>0</v>
      </c>
    </row>
    <row r="735" spans="1:41" x14ac:dyDescent="0.25">
      <c r="A735" s="10"/>
      <c r="B735" s="10"/>
      <c r="C735" s="10"/>
      <c r="D735" s="10"/>
      <c r="E735" s="10"/>
      <c r="F735" s="10"/>
      <c r="G735" s="10"/>
      <c r="H735" s="10"/>
      <c r="I735" s="1" t="str">
        <f t="shared" si="33"/>
        <v/>
      </c>
      <c r="J735" s="1" t="s">
        <v>35</v>
      </c>
      <c r="K735" s="1" t="str">
        <f t="shared" si="34"/>
        <v/>
      </c>
      <c r="L735" s="1" t="str">
        <f t="shared" si="35"/>
        <v/>
      </c>
      <c r="M735" s="1">
        <f>IF(OR(Table1[[#This Row],[Std Nom]]="",Table1[[#This Row],[Std Read]]=""),0,Table1[[#This Row],[Std Nom]]-Table1[[#This Row],[Std Read]])</f>
        <v>0</v>
      </c>
      <c r="N735" s="1">
        <f>IF(Calculations!$F$5="ACCREDITED 17025 WITH UNCERTAINTIES",$N$10,0)</f>
        <v>0</v>
      </c>
      <c r="Q735" s="1">
        <f>Table1[[#This Row],[High Tol]]-Table1[[#This Row],[Low Tol]]</f>
        <v>0</v>
      </c>
      <c r="R735" s="1">
        <f>2*Table1[[#This Row],[Std Error]]</f>
        <v>0</v>
      </c>
      <c r="S735" s="1" t="str">
        <f>IF(Table1[[#This Row],[High Tol]]="","N/A",IFERROR(ABS(Table1[[#This Row],[Tol Span]]/Table1[[#This Row],[Error Span]]),"N/A"))</f>
        <v>N/A</v>
      </c>
      <c r="T735" s="1" t="str">
        <f>IF(OR(Table1[[#This Row],[Low Tol]]="",Table1[[#This Row],[High Tol]]=""),"Needs Analysis",IF(Table1[[#This Row],[Ratio]]&gt;=4,"Not Significant",IF(Table1[[#This Row],[Ratio]]&gt;=2,"Semi-Significant","Significant")))</f>
        <v>Needs Analysis</v>
      </c>
      <c r="W735" s="1">
        <f>IF(Table1[[#This Row],[Cal Type]]&lt;&gt;"ACCREDITED 17025 WITH UNCERTAINTIES",0,"")</f>
        <v>0</v>
      </c>
      <c r="X735" s="1" t="str">
        <f>IF(Table1[[#This Row],[DUT Read]]="","N/A",Table1[[#This Row],[Std Error]]+Table1[[#This Row],[DUT Read]]+Table1[[#This Row],[DUT Ucty]])</f>
        <v>N/A</v>
      </c>
      <c r="Y735" s="1" t="str">
        <f>IF(Table1[[#This Row],[Std Read]]="","N/A",Table1[[#This Row],[Std Read]]+Table1[[#This Row],[Std Ucty]])</f>
        <v>N/A</v>
      </c>
      <c r="Z7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5" s="1" t="str">
        <f>IF(Table1[[#This Row],[Spec Type]]="","N/A",Table1[[#This Row],[Spec Type]])</f>
        <v>±</v>
      </c>
      <c r="AC735" s="1" t="str">
        <f>IF(Table1[[#This Row],[Spec Type2]]="N/A","N/A",IF(AND(Table1[[#This Row],[DUT Adj Read]]&gt;=Table1[[#This Row],[Low Tol]],Table1[[#This Row],[DUT Adj Read]]&lt;=Table1[[#This Row],[High Tol]]),"Pass","Fail"))</f>
        <v>Fail</v>
      </c>
      <c r="AD735" s="1" t="str">
        <f>IF(AND(Table1[[#This Row],[Spec Type2]]="N/A",Table1[[#This Row],[DUT Adj Read]]="N/A",Table1[[#This Row],[Std Adj Read]]="N/A"),"N/A",IF(Table1[[#This Row],[DUT Adj Read]]="N/A",IF(Table1[[#This Row],[Std Adj Read]]&gt;Table1[[#This Row],[Low Tol]],"Pass","Fail"),IF(Table1[[#This Row],[DUT Adj Read]]&gt;Table1[[#This Row],[Low Tol]],"Pass","Fail")))</f>
        <v>Pass</v>
      </c>
      <c r="AE735" s="1" t="str">
        <f>IF(AND(Table1[[#This Row],[Spec Type2]]="N/A",Table1[[#This Row],[DUT Adj Read]]="N/A",Table1[[#This Row],[Std Adj Read]]="N/A"),"N/A",IF(Table1[[#This Row],[DUT Adj Read]]="N/A",IF(Table1[[#This Row],[Std Adj Read]]&lt;Table1[[#This Row],[High Tol]],"Pass","Fail"),IF(Table1[[#This Row],[DUT Adj Read]]&lt;Table1[[#This Row],[High Tol]],"Pass","Fail")))</f>
        <v>Fail</v>
      </c>
      <c r="AF735" s="1" t="str">
        <f>IF(AND(Table1[[#This Row],[Spec Type2]]="N/A",Table1[[#This Row],[DUT Adj Read]]="N/A",Table1[[#This Row],[Std Adj Read]]="N/A"),"N/A",IF(Table1[[#This Row],[DUT Adj Read]]="N/A",IF(Table1[[#This Row],[Std Adj Read]]&gt;=Table1[[#This Row],[Low Tol]],"Pass","Fail"),IF(Table1[[#This Row],[DUT Adj Read]]&gt;=Table1[[#This Row],[Low Tol]],"Pass","Fail")))</f>
        <v>Pass</v>
      </c>
      <c r="AG735" s="1" t="str">
        <f>IF(AND(Table1[[#This Row],[Spec Type2]]="N/A",Table1[[#This Row],[DUT Adj Read]]="N/A",Table1[[#This Row],[Std Adj Read]]="N/A"),"N/A",IF(Table1[[#This Row],[DUT Adj Read]]="N/A",IF(Table1[[#This Row],[Std Adj Read]]&lt;=Table1[[#This Row],[High Tol]],"Pass","Fail"),IF(Table1[[#This Row],[DUT Adj Read]]&lt;=Table1[[#This Row],[High Tol]],"Pass","Fail")))</f>
        <v>Fail</v>
      </c>
      <c r="AH7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5" s="1" t="b">
        <v>0</v>
      </c>
      <c r="AN735" s="1" t="b">
        <v>0</v>
      </c>
      <c r="AO735" s="1" t="b">
        <v>0</v>
      </c>
    </row>
    <row r="736" spans="1:41" x14ac:dyDescent="0.25">
      <c r="A736" s="10"/>
      <c r="B736" s="10"/>
      <c r="C736" s="10"/>
      <c r="D736" s="10"/>
      <c r="E736" s="10"/>
      <c r="F736" s="10"/>
      <c r="G736" s="10"/>
      <c r="H736" s="10"/>
      <c r="I736" s="1" t="str">
        <f t="shared" si="33"/>
        <v/>
      </c>
      <c r="J736" s="1" t="s">
        <v>35</v>
      </c>
      <c r="K736" s="1" t="str">
        <f t="shared" si="34"/>
        <v/>
      </c>
      <c r="L736" s="1" t="str">
        <f t="shared" si="35"/>
        <v/>
      </c>
      <c r="M736" s="1">
        <f>IF(OR(Table1[[#This Row],[Std Nom]]="",Table1[[#This Row],[Std Read]]=""),0,Table1[[#This Row],[Std Nom]]-Table1[[#This Row],[Std Read]])</f>
        <v>0</v>
      </c>
      <c r="N736" s="1">
        <f>IF(Calculations!$F$5="ACCREDITED 17025 WITH UNCERTAINTIES",$N$10,0)</f>
        <v>0</v>
      </c>
      <c r="Q736" s="1">
        <f>Table1[[#This Row],[High Tol]]-Table1[[#This Row],[Low Tol]]</f>
        <v>0</v>
      </c>
      <c r="R736" s="1">
        <f>2*Table1[[#This Row],[Std Error]]</f>
        <v>0</v>
      </c>
      <c r="S736" s="1" t="str">
        <f>IF(Table1[[#This Row],[High Tol]]="","N/A",IFERROR(ABS(Table1[[#This Row],[Tol Span]]/Table1[[#This Row],[Error Span]]),"N/A"))</f>
        <v>N/A</v>
      </c>
      <c r="T736" s="1" t="str">
        <f>IF(OR(Table1[[#This Row],[Low Tol]]="",Table1[[#This Row],[High Tol]]=""),"Needs Analysis",IF(Table1[[#This Row],[Ratio]]&gt;=4,"Not Significant",IF(Table1[[#This Row],[Ratio]]&gt;=2,"Semi-Significant","Significant")))</f>
        <v>Needs Analysis</v>
      </c>
      <c r="W736" s="1">
        <f>IF(Table1[[#This Row],[Cal Type]]&lt;&gt;"ACCREDITED 17025 WITH UNCERTAINTIES",0,"")</f>
        <v>0</v>
      </c>
      <c r="X736" s="1" t="str">
        <f>IF(Table1[[#This Row],[DUT Read]]="","N/A",Table1[[#This Row],[Std Error]]+Table1[[#This Row],[DUT Read]]+Table1[[#This Row],[DUT Ucty]])</f>
        <v>N/A</v>
      </c>
      <c r="Y736" s="1" t="str">
        <f>IF(Table1[[#This Row],[Std Read]]="","N/A",Table1[[#This Row],[Std Read]]+Table1[[#This Row],[Std Ucty]])</f>
        <v>N/A</v>
      </c>
      <c r="Z7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6" s="1" t="str">
        <f>IF(Table1[[#This Row],[Spec Type]]="","N/A",Table1[[#This Row],[Spec Type]])</f>
        <v>±</v>
      </c>
      <c r="AC736" s="1" t="str">
        <f>IF(Table1[[#This Row],[Spec Type2]]="N/A","N/A",IF(AND(Table1[[#This Row],[DUT Adj Read]]&gt;=Table1[[#This Row],[Low Tol]],Table1[[#This Row],[DUT Adj Read]]&lt;=Table1[[#This Row],[High Tol]]),"Pass","Fail"))</f>
        <v>Fail</v>
      </c>
      <c r="AD736" s="1" t="str">
        <f>IF(AND(Table1[[#This Row],[Spec Type2]]="N/A",Table1[[#This Row],[DUT Adj Read]]="N/A",Table1[[#This Row],[Std Adj Read]]="N/A"),"N/A",IF(Table1[[#This Row],[DUT Adj Read]]="N/A",IF(Table1[[#This Row],[Std Adj Read]]&gt;Table1[[#This Row],[Low Tol]],"Pass","Fail"),IF(Table1[[#This Row],[DUT Adj Read]]&gt;Table1[[#This Row],[Low Tol]],"Pass","Fail")))</f>
        <v>Pass</v>
      </c>
      <c r="AE736" s="1" t="str">
        <f>IF(AND(Table1[[#This Row],[Spec Type2]]="N/A",Table1[[#This Row],[DUT Adj Read]]="N/A",Table1[[#This Row],[Std Adj Read]]="N/A"),"N/A",IF(Table1[[#This Row],[DUT Adj Read]]="N/A",IF(Table1[[#This Row],[Std Adj Read]]&lt;Table1[[#This Row],[High Tol]],"Pass","Fail"),IF(Table1[[#This Row],[DUT Adj Read]]&lt;Table1[[#This Row],[High Tol]],"Pass","Fail")))</f>
        <v>Fail</v>
      </c>
      <c r="AF736" s="1" t="str">
        <f>IF(AND(Table1[[#This Row],[Spec Type2]]="N/A",Table1[[#This Row],[DUT Adj Read]]="N/A",Table1[[#This Row],[Std Adj Read]]="N/A"),"N/A",IF(Table1[[#This Row],[DUT Adj Read]]="N/A",IF(Table1[[#This Row],[Std Adj Read]]&gt;=Table1[[#This Row],[Low Tol]],"Pass","Fail"),IF(Table1[[#This Row],[DUT Adj Read]]&gt;=Table1[[#This Row],[Low Tol]],"Pass","Fail")))</f>
        <v>Pass</v>
      </c>
      <c r="AG736" s="1" t="str">
        <f>IF(AND(Table1[[#This Row],[Spec Type2]]="N/A",Table1[[#This Row],[DUT Adj Read]]="N/A",Table1[[#This Row],[Std Adj Read]]="N/A"),"N/A",IF(Table1[[#This Row],[DUT Adj Read]]="N/A",IF(Table1[[#This Row],[Std Adj Read]]&lt;=Table1[[#This Row],[High Tol]],"Pass","Fail"),IF(Table1[[#This Row],[DUT Adj Read]]&lt;=Table1[[#This Row],[High Tol]],"Pass","Fail")))</f>
        <v>Fail</v>
      </c>
      <c r="AH7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6" s="1" t="b">
        <v>0</v>
      </c>
      <c r="AN736" s="1" t="b">
        <v>0</v>
      </c>
      <c r="AO736" s="1" t="b">
        <v>0</v>
      </c>
    </row>
    <row r="737" spans="1:41" x14ac:dyDescent="0.25">
      <c r="A737" s="10"/>
      <c r="B737" s="10"/>
      <c r="C737" s="10"/>
      <c r="D737" s="10"/>
      <c r="E737" s="10"/>
      <c r="F737" s="10"/>
      <c r="G737" s="10"/>
      <c r="H737" s="10"/>
      <c r="I737" s="1" t="str">
        <f t="shared" si="33"/>
        <v/>
      </c>
      <c r="J737" s="1" t="s">
        <v>35</v>
      </c>
      <c r="K737" s="1" t="str">
        <f t="shared" si="34"/>
        <v/>
      </c>
      <c r="L737" s="1" t="str">
        <f t="shared" si="35"/>
        <v/>
      </c>
      <c r="M737" s="1">
        <f>IF(OR(Table1[[#This Row],[Std Nom]]="",Table1[[#This Row],[Std Read]]=""),0,Table1[[#This Row],[Std Nom]]-Table1[[#This Row],[Std Read]])</f>
        <v>0</v>
      </c>
      <c r="N737" s="1">
        <f>IF(Calculations!$F$5="ACCREDITED 17025 WITH UNCERTAINTIES",$N$10,0)</f>
        <v>0</v>
      </c>
      <c r="Q737" s="1">
        <f>Table1[[#This Row],[High Tol]]-Table1[[#This Row],[Low Tol]]</f>
        <v>0</v>
      </c>
      <c r="R737" s="1">
        <f>2*Table1[[#This Row],[Std Error]]</f>
        <v>0</v>
      </c>
      <c r="S737" s="1" t="str">
        <f>IF(Table1[[#This Row],[High Tol]]="","N/A",IFERROR(ABS(Table1[[#This Row],[Tol Span]]/Table1[[#This Row],[Error Span]]),"N/A"))</f>
        <v>N/A</v>
      </c>
      <c r="T737" s="1" t="str">
        <f>IF(OR(Table1[[#This Row],[Low Tol]]="",Table1[[#This Row],[High Tol]]=""),"Needs Analysis",IF(Table1[[#This Row],[Ratio]]&gt;=4,"Not Significant",IF(Table1[[#This Row],[Ratio]]&gt;=2,"Semi-Significant","Significant")))</f>
        <v>Needs Analysis</v>
      </c>
      <c r="W737" s="1">
        <f>IF(Table1[[#This Row],[Cal Type]]&lt;&gt;"ACCREDITED 17025 WITH UNCERTAINTIES",0,"")</f>
        <v>0</v>
      </c>
      <c r="X737" s="1" t="str">
        <f>IF(Table1[[#This Row],[DUT Read]]="","N/A",Table1[[#This Row],[Std Error]]+Table1[[#This Row],[DUT Read]]+Table1[[#This Row],[DUT Ucty]])</f>
        <v>N/A</v>
      </c>
      <c r="Y737" s="1" t="str">
        <f>IF(Table1[[#This Row],[Std Read]]="","N/A",Table1[[#This Row],[Std Read]]+Table1[[#This Row],[Std Ucty]])</f>
        <v>N/A</v>
      </c>
      <c r="Z7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7" s="1" t="str">
        <f>IF(Table1[[#This Row],[Spec Type]]="","N/A",Table1[[#This Row],[Spec Type]])</f>
        <v>±</v>
      </c>
      <c r="AC737" s="1" t="str">
        <f>IF(Table1[[#This Row],[Spec Type2]]="N/A","N/A",IF(AND(Table1[[#This Row],[DUT Adj Read]]&gt;=Table1[[#This Row],[Low Tol]],Table1[[#This Row],[DUT Adj Read]]&lt;=Table1[[#This Row],[High Tol]]),"Pass","Fail"))</f>
        <v>Fail</v>
      </c>
      <c r="AD737" s="1" t="str">
        <f>IF(AND(Table1[[#This Row],[Spec Type2]]="N/A",Table1[[#This Row],[DUT Adj Read]]="N/A",Table1[[#This Row],[Std Adj Read]]="N/A"),"N/A",IF(Table1[[#This Row],[DUT Adj Read]]="N/A",IF(Table1[[#This Row],[Std Adj Read]]&gt;Table1[[#This Row],[Low Tol]],"Pass","Fail"),IF(Table1[[#This Row],[DUT Adj Read]]&gt;Table1[[#This Row],[Low Tol]],"Pass","Fail")))</f>
        <v>Pass</v>
      </c>
      <c r="AE737" s="1" t="str">
        <f>IF(AND(Table1[[#This Row],[Spec Type2]]="N/A",Table1[[#This Row],[DUT Adj Read]]="N/A",Table1[[#This Row],[Std Adj Read]]="N/A"),"N/A",IF(Table1[[#This Row],[DUT Adj Read]]="N/A",IF(Table1[[#This Row],[Std Adj Read]]&lt;Table1[[#This Row],[High Tol]],"Pass","Fail"),IF(Table1[[#This Row],[DUT Adj Read]]&lt;Table1[[#This Row],[High Tol]],"Pass","Fail")))</f>
        <v>Fail</v>
      </c>
      <c r="AF737" s="1" t="str">
        <f>IF(AND(Table1[[#This Row],[Spec Type2]]="N/A",Table1[[#This Row],[DUT Adj Read]]="N/A",Table1[[#This Row],[Std Adj Read]]="N/A"),"N/A",IF(Table1[[#This Row],[DUT Adj Read]]="N/A",IF(Table1[[#This Row],[Std Adj Read]]&gt;=Table1[[#This Row],[Low Tol]],"Pass","Fail"),IF(Table1[[#This Row],[DUT Adj Read]]&gt;=Table1[[#This Row],[Low Tol]],"Pass","Fail")))</f>
        <v>Pass</v>
      </c>
      <c r="AG737" s="1" t="str">
        <f>IF(AND(Table1[[#This Row],[Spec Type2]]="N/A",Table1[[#This Row],[DUT Adj Read]]="N/A",Table1[[#This Row],[Std Adj Read]]="N/A"),"N/A",IF(Table1[[#This Row],[DUT Adj Read]]="N/A",IF(Table1[[#This Row],[Std Adj Read]]&lt;=Table1[[#This Row],[High Tol]],"Pass","Fail"),IF(Table1[[#This Row],[DUT Adj Read]]&lt;=Table1[[#This Row],[High Tol]],"Pass","Fail")))</f>
        <v>Fail</v>
      </c>
      <c r="AH7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7" s="1" t="b">
        <v>0</v>
      </c>
      <c r="AN737" s="1" t="b">
        <v>0</v>
      </c>
      <c r="AO737" s="1" t="b">
        <v>0</v>
      </c>
    </row>
    <row r="738" spans="1:41" x14ac:dyDescent="0.25">
      <c r="A738" s="10"/>
      <c r="B738" s="10"/>
      <c r="C738" s="10"/>
      <c r="D738" s="10"/>
      <c r="E738" s="10"/>
      <c r="F738" s="10"/>
      <c r="G738" s="10"/>
      <c r="H738" s="10"/>
      <c r="I738" s="1" t="str">
        <f t="shared" si="33"/>
        <v/>
      </c>
      <c r="J738" s="1" t="s">
        <v>35</v>
      </c>
      <c r="K738" s="1" t="str">
        <f t="shared" si="34"/>
        <v/>
      </c>
      <c r="L738" s="1" t="str">
        <f t="shared" si="35"/>
        <v/>
      </c>
      <c r="M738" s="1">
        <f>IF(OR(Table1[[#This Row],[Std Nom]]="",Table1[[#This Row],[Std Read]]=""),0,Table1[[#This Row],[Std Nom]]-Table1[[#This Row],[Std Read]])</f>
        <v>0</v>
      </c>
      <c r="N738" s="1">
        <f>IF(Calculations!$F$5="ACCREDITED 17025 WITH UNCERTAINTIES",$N$10,0)</f>
        <v>0</v>
      </c>
      <c r="Q738" s="1">
        <f>Table1[[#This Row],[High Tol]]-Table1[[#This Row],[Low Tol]]</f>
        <v>0</v>
      </c>
      <c r="R738" s="1">
        <f>2*Table1[[#This Row],[Std Error]]</f>
        <v>0</v>
      </c>
      <c r="S738" s="1" t="str">
        <f>IF(Table1[[#This Row],[High Tol]]="","N/A",IFERROR(ABS(Table1[[#This Row],[Tol Span]]/Table1[[#This Row],[Error Span]]),"N/A"))</f>
        <v>N/A</v>
      </c>
      <c r="T738" s="1" t="str">
        <f>IF(OR(Table1[[#This Row],[Low Tol]]="",Table1[[#This Row],[High Tol]]=""),"Needs Analysis",IF(Table1[[#This Row],[Ratio]]&gt;=4,"Not Significant",IF(Table1[[#This Row],[Ratio]]&gt;=2,"Semi-Significant","Significant")))</f>
        <v>Needs Analysis</v>
      </c>
      <c r="W738" s="1">
        <f>IF(Table1[[#This Row],[Cal Type]]&lt;&gt;"ACCREDITED 17025 WITH UNCERTAINTIES",0,"")</f>
        <v>0</v>
      </c>
      <c r="X738" s="1" t="str">
        <f>IF(Table1[[#This Row],[DUT Read]]="","N/A",Table1[[#This Row],[Std Error]]+Table1[[#This Row],[DUT Read]]+Table1[[#This Row],[DUT Ucty]])</f>
        <v>N/A</v>
      </c>
      <c r="Y738" s="1" t="str">
        <f>IF(Table1[[#This Row],[Std Read]]="","N/A",Table1[[#This Row],[Std Read]]+Table1[[#This Row],[Std Ucty]])</f>
        <v>N/A</v>
      </c>
      <c r="Z7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8" s="1" t="str">
        <f>IF(Table1[[#This Row],[Spec Type]]="","N/A",Table1[[#This Row],[Spec Type]])</f>
        <v>±</v>
      </c>
      <c r="AC738" s="1" t="str">
        <f>IF(Table1[[#This Row],[Spec Type2]]="N/A","N/A",IF(AND(Table1[[#This Row],[DUT Adj Read]]&gt;=Table1[[#This Row],[Low Tol]],Table1[[#This Row],[DUT Adj Read]]&lt;=Table1[[#This Row],[High Tol]]),"Pass","Fail"))</f>
        <v>Fail</v>
      </c>
      <c r="AD738" s="1" t="str">
        <f>IF(AND(Table1[[#This Row],[Spec Type2]]="N/A",Table1[[#This Row],[DUT Adj Read]]="N/A",Table1[[#This Row],[Std Adj Read]]="N/A"),"N/A",IF(Table1[[#This Row],[DUT Adj Read]]="N/A",IF(Table1[[#This Row],[Std Adj Read]]&gt;Table1[[#This Row],[Low Tol]],"Pass","Fail"),IF(Table1[[#This Row],[DUT Adj Read]]&gt;Table1[[#This Row],[Low Tol]],"Pass","Fail")))</f>
        <v>Pass</v>
      </c>
      <c r="AE738" s="1" t="str">
        <f>IF(AND(Table1[[#This Row],[Spec Type2]]="N/A",Table1[[#This Row],[DUT Adj Read]]="N/A",Table1[[#This Row],[Std Adj Read]]="N/A"),"N/A",IF(Table1[[#This Row],[DUT Adj Read]]="N/A",IF(Table1[[#This Row],[Std Adj Read]]&lt;Table1[[#This Row],[High Tol]],"Pass","Fail"),IF(Table1[[#This Row],[DUT Adj Read]]&lt;Table1[[#This Row],[High Tol]],"Pass","Fail")))</f>
        <v>Fail</v>
      </c>
      <c r="AF738" s="1" t="str">
        <f>IF(AND(Table1[[#This Row],[Spec Type2]]="N/A",Table1[[#This Row],[DUT Adj Read]]="N/A",Table1[[#This Row],[Std Adj Read]]="N/A"),"N/A",IF(Table1[[#This Row],[DUT Adj Read]]="N/A",IF(Table1[[#This Row],[Std Adj Read]]&gt;=Table1[[#This Row],[Low Tol]],"Pass","Fail"),IF(Table1[[#This Row],[DUT Adj Read]]&gt;=Table1[[#This Row],[Low Tol]],"Pass","Fail")))</f>
        <v>Pass</v>
      </c>
      <c r="AG738" s="1" t="str">
        <f>IF(AND(Table1[[#This Row],[Spec Type2]]="N/A",Table1[[#This Row],[DUT Adj Read]]="N/A",Table1[[#This Row],[Std Adj Read]]="N/A"),"N/A",IF(Table1[[#This Row],[DUT Adj Read]]="N/A",IF(Table1[[#This Row],[Std Adj Read]]&lt;=Table1[[#This Row],[High Tol]],"Pass","Fail"),IF(Table1[[#This Row],[DUT Adj Read]]&lt;=Table1[[#This Row],[High Tol]],"Pass","Fail")))</f>
        <v>Fail</v>
      </c>
      <c r="AH7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8" s="1" t="b">
        <v>0</v>
      </c>
      <c r="AN738" s="1" t="b">
        <v>0</v>
      </c>
      <c r="AO738" s="1" t="b">
        <v>0</v>
      </c>
    </row>
    <row r="739" spans="1:41" x14ac:dyDescent="0.25">
      <c r="A739" s="10"/>
      <c r="B739" s="10"/>
      <c r="C739" s="10"/>
      <c r="D739" s="10"/>
      <c r="E739" s="10"/>
      <c r="F739" s="10"/>
      <c r="G739" s="10"/>
      <c r="H739" s="10"/>
      <c r="I739" s="1" t="str">
        <f t="shared" si="33"/>
        <v/>
      </c>
      <c r="J739" s="1" t="s">
        <v>35</v>
      </c>
      <c r="K739" s="1" t="str">
        <f t="shared" si="34"/>
        <v/>
      </c>
      <c r="L739" s="1" t="str">
        <f t="shared" si="35"/>
        <v/>
      </c>
      <c r="M739" s="1">
        <f>IF(OR(Table1[[#This Row],[Std Nom]]="",Table1[[#This Row],[Std Read]]=""),0,Table1[[#This Row],[Std Nom]]-Table1[[#This Row],[Std Read]])</f>
        <v>0</v>
      </c>
      <c r="N739" s="1">
        <f>IF(Calculations!$F$5="ACCREDITED 17025 WITH UNCERTAINTIES",$N$10,0)</f>
        <v>0</v>
      </c>
      <c r="Q739" s="1">
        <f>Table1[[#This Row],[High Tol]]-Table1[[#This Row],[Low Tol]]</f>
        <v>0</v>
      </c>
      <c r="R739" s="1">
        <f>2*Table1[[#This Row],[Std Error]]</f>
        <v>0</v>
      </c>
      <c r="S739" s="1" t="str">
        <f>IF(Table1[[#This Row],[High Tol]]="","N/A",IFERROR(ABS(Table1[[#This Row],[Tol Span]]/Table1[[#This Row],[Error Span]]),"N/A"))</f>
        <v>N/A</v>
      </c>
      <c r="T739" s="1" t="str">
        <f>IF(OR(Table1[[#This Row],[Low Tol]]="",Table1[[#This Row],[High Tol]]=""),"Needs Analysis",IF(Table1[[#This Row],[Ratio]]&gt;=4,"Not Significant",IF(Table1[[#This Row],[Ratio]]&gt;=2,"Semi-Significant","Significant")))</f>
        <v>Needs Analysis</v>
      </c>
      <c r="W739" s="1">
        <f>IF(Table1[[#This Row],[Cal Type]]&lt;&gt;"ACCREDITED 17025 WITH UNCERTAINTIES",0,"")</f>
        <v>0</v>
      </c>
      <c r="X739" s="1" t="str">
        <f>IF(Table1[[#This Row],[DUT Read]]="","N/A",Table1[[#This Row],[Std Error]]+Table1[[#This Row],[DUT Read]]+Table1[[#This Row],[DUT Ucty]])</f>
        <v>N/A</v>
      </c>
      <c r="Y739" s="1" t="str">
        <f>IF(Table1[[#This Row],[Std Read]]="","N/A",Table1[[#This Row],[Std Read]]+Table1[[#This Row],[Std Ucty]])</f>
        <v>N/A</v>
      </c>
      <c r="Z7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39" s="1" t="str">
        <f>IF(Table1[[#This Row],[Spec Type]]="","N/A",Table1[[#This Row],[Spec Type]])</f>
        <v>±</v>
      </c>
      <c r="AC739" s="1" t="str">
        <f>IF(Table1[[#This Row],[Spec Type2]]="N/A","N/A",IF(AND(Table1[[#This Row],[DUT Adj Read]]&gt;=Table1[[#This Row],[Low Tol]],Table1[[#This Row],[DUT Adj Read]]&lt;=Table1[[#This Row],[High Tol]]),"Pass","Fail"))</f>
        <v>Fail</v>
      </c>
      <c r="AD739" s="1" t="str">
        <f>IF(AND(Table1[[#This Row],[Spec Type2]]="N/A",Table1[[#This Row],[DUT Adj Read]]="N/A",Table1[[#This Row],[Std Adj Read]]="N/A"),"N/A",IF(Table1[[#This Row],[DUT Adj Read]]="N/A",IF(Table1[[#This Row],[Std Adj Read]]&gt;Table1[[#This Row],[Low Tol]],"Pass","Fail"),IF(Table1[[#This Row],[DUT Adj Read]]&gt;Table1[[#This Row],[Low Tol]],"Pass","Fail")))</f>
        <v>Pass</v>
      </c>
      <c r="AE739" s="1" t="str">
        <f>IF(AND(Table1[[#This Row],[Spec Type2]]="N/A",Table1[[#This Row],[DUT Adj Read]]="N/A",Table1[[#This Row],[Std Adj Read]]="N/A"),"N/A",IF(Table1[[#This Row],[DUT Adj Read]]="N/A",IF(Table1[[#This Row],[Std Adj Read]]&lt;Table1[[#This Row],[High Tol]],"Pass","Fail"),IF(Table1[[#This Row],[DUT Adj Read]]&lt;Table1[[#This Row],[High Tol]],"Pass","Fail")))</f>
        <v>Fail</v>
      </c>
      <c r="AF739" s="1" t="str">
        <f>IF(AND(Table1[[#This Row],[Spec Type2]]="N/A",Table1[[#This Row],[DUT Adj Read]]="N/A",Table1[[#This Row],[Std Adj Read]]="N/A"),"N/A",IF(Table1[[#This Row],[DUT Adj Read]]="N/A",IF(Table1[[#This Row],[Std Adj Read]]&gt;=Table1[[#This Row],[Low Tol]],"Pass","Fail"),IF(Table1[[#This Row],[DUT Adj Read]]&gt;=Table1[[#This Row],[Low Tol]],"Pass","Fail")))</f>
        <v>Pass</v>
      </c>
      <c r="AG739" s="1" t="str">
        <f>IF(AND(Table1[[#This Row],[Spec Type2]]="N/A",Table1[[#This Row],[DUT Adj Read]]="N/A",Table1[[#This Row],[Std Adj Read]]="N/A"),"N/A",IF(Table1[[#This Row],[DUT Adj Read]]="N/A",IF(Table1[[#This Row],[Std Adj Read]]&lt;=Table1[[#This Row],[High Tol]],"Pass","Fail"),IF(Table1[[#This Row],[DUT Adj Read]]&lt;=Table1[[#This Row],[High Tol]],"Pass","Fail")))</f>
        <v>Fail</v>
      </c>
      <c r="AH7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39" s="1" t="b">
        <v>0</v>
      </c>
      <c r="AN739" s="1" t="b">
        <v>0</v>
      </c>
      <c r="AO739" s="1" t="b">
        <v>0</v>
      </c>
    </row>
    <row r="740" spans="1:41" x14ac:dyDescent="0.25">
      <c r="A740" s="10"/>
      <c r="B740" s="10"/>
      <c r="C740" s="10"/>
      <c r="D740" s="10"/>
      <c r="E740" s="10"/>
      <c r="F740" s="10"/>
      <c r="G740" s="10"/>
      <c r="H740" s="10"/>
      <c r="I740" s="1" t="str">
        <f t="shared" si="33"/>
        <v/>
      </c>
      <c r="J740" s="1" t="s">
        <v>35</v>
      </c>
      <c r="K740" s="1" t="str">
        <f t="shared" si="34"/>
        <v/>
      </c>
      <c r="L740" s="1" t="str">
        <f t="shared" si="35"/>
        <v/>
      </c>
      <c r="M740" s="1">
        <f>IF(OR(Table1[[#This Row],[Std Nom]]="",Table1[[#This Row],[Std Read]]=""),0,Table1[[#This Row],[Std Nom]]-Table1[[#This Row],[Std Read]])</f>
        <v>0</v>
      </c>
      <c r="N740" s="1">
        <f>IF(Calculations!$F$5="ACCREDITED 17025 WITH UNCERTAINTIES",$N$10,0)</f>
        <v>0</v>
      </c>
      <c r="Q740" s="1">
        <f>Table1[[#This Row],[High Tol]]-Table1[[#This Row],[Low Tol]]</f>
        <v>0</v>
      </c>
      <c r="R740" s="1">
        <f>2*Table1[[#This Row],[Std Error]]</f>
        <v>0</v>
      </c>
      <c r="S740" s="1" t="str">
        <f>IF(Table1[[#This Row],[High Tol]]="","N/A",IFERROR(ABS(Table1[[#This Row],[Tol Span]]/Table1[[#This Row],[Error Span]]),"N/A"))</f>
        <v>N/A</v>
      </c>
      <c r="T740" s="1" t="str">
        <f>IF(OR(Table1[[#This Row],[Low Tol]]="",Table1[[#This Row],[High Tol]]=""),"Needs Analysis",IF(Table1[[#This Row],[Ratio]]&gt;=4,"Not Significant",IF(Table1[[#This Row],[Ratio]]&gt;=2,"Semi-Significant","Significant")))</f>
        <v>Needs Analysis</v>
      </c>
      <c r="W740" s="1">
        <f>IF(Table1[[#This Row],[Cal Type]]&lt;&gt;"ACCREDITED 17025 WITH UNCERTAINTIES",0,"")</f>
        <v>0</v>
      </c>
      <c r="X740" s="1" t="str">
        <f>IF(Table1[[#This Row],[DUT Read]]="","N/A",Table1[[#This Row],[Std Error]]+Table1[[#This Row],[DUT Read]]+Table1[[#This Row],[DUT Ucty]])</f>
        <v>N/A</v>
      </c>
      <c r="Y740" s="1" t="str">
        <f>IF(Table1[[#This Row],[Std Read]]="","N/A",Table1[[#This Row],[Std Read]]+Table1[[#This Row],[Std Ucty]])</f>
        <v>N/A</v>
      </c>
      <c r="Z7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0" s="1" t="str">
        <f>IF(Table1[[#This Row],[Spec Type]]="","N/A",Table1[[#This Row],[Spec Type]])</f>
        <v>±</v>
      </c>
      <c r="AC740" s="1" t="str">
        <f>IF(Table1[[#This Row],[Spec Type2]]="N/A","N/A",IF(AND(Table1[[#This Row],[DUT Adj Read]]&gt;=Table1[[#This Row],[Low Tol]],Table1[[#This Row],[DUT Adj Read]]&lt;=Table1[[#This Row],[High Tol]]),"Pass","Fail"))</f>
        <v>Fail</v>
      </c>
      <c r="AD740" s="1" t="str">
        <f>IF(AND(Table1[[#This Row],[Spec Type2]]="N/A",Table1[[#This Row],[DUT Adj Read]]="N/A",Table1[[#This Row],[Std Adj Read]]="N/A"),"N/A",IF(Table1[[#This Row],[DUT Adj Read]]="N/A",IF(Table1[[#This Row],[Std Adj Read]]&gt;Table1[[#This Row],[Low Tol]],"Pass","Fail"),IF(Table1[[#This Row],[DUT Adj Read]]&gt;Table1[[#This Row],[Low Tol]],"Pass","Fail")))</f>
        <v>Pass</v>
      </c>
      <c r="AE740" s="1" t="str">
        <f>IF(AND(Table1[[#This Row],[Spec Type2]]="N/A",Table1[[#This Row],[DUT Adj Read]]="N/A",Table1[[#This Row],[Std Adj Read]]="N/A"),"N/A",IF(Table1[[#This Row],[DUT Adj Read]]="N/A",IF(Table1[[#This Row],[Std Adj Read]]&lt;Table1[[#This Row],[High Tol]],"Pass","Fail"),IF(Table1[[#This Row],[DUT Adj Read]]&lt;Table1[[#This Row],[High Tol]],"Pass","Fail")))</f>
        <v>Fail</v>
      </c>
      <c r="AF740" s="1" t="str">
        <f>IF(AND(Table1[[#This Row],[Spec Type2]]="N/A",Table1[[#This Row],[DUT Adj Read]]="N/A",Table1[[#This Row],[Std Adj Read]]="N/A"),"N/A",IF(Table1[[#This Row],[DUT Adj Read]]="N/A",IF(Table1[[#This Row],[Std Adj Read]]&gt;=Table1[[#This Row],[Low Tol]],"Pass","Fail"),IF(Table1[[#This Row],[DUT Adj Read]]&gt;=Table1[[#This Row],[Low Tol]],"Pass","Fail")))</f>
        <v>Pass</v>
      </c>
      <c r="AG740" s="1" t="str">
        <f>IF(AND(Table1[[#This Row],[Spec Type2]]="N/A",Table1[[#This Row],[DUT Adj Read]]="N/A",Table1[[#This Row],[Std Adj Read]]="N/A"),"N/A",IF(Table1[[#This Row],[DUT Adj Read]]="N/A",IF(Table1[[#This Row],[Std Adj Read]]&lt;=Table1[[#This Row],[High Tol]],"Pass","Fail"),IF(Table1[[#This Row],[DUT Adj Read]]&lt;=Table1[[#This Row],[High Tol]],"Pass","Fail")))</f>
        <v>Fail</v>
      </c>
      <c r="AH7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0" s="1" t="b">
        <v>0</v>
      </c>
      <c r="AN740" s="1" t="b">
        <v>0</v>
      </c>
      <c r="AO740" s="1" t="b">
        <v>0</v>
      </c>
    </row>
    <row r="741" spans="1:41" x14ac:dyDescent="0.25">
      <c r="A741" s="10"/>
      <c r="B741" s="10"/>
      <c r="C741" s="10"/>
      <c r="D741" s="10"/>
      <c r="E741" s="10"/>
      <c r="F741" s="10"/>
      <c r="G741" s="10"/>
      <c r="H741" s="10"/>
      <c r="I741" s="1" t="str">
        <f t="shared" si="33"/>
        <v/>
      </c>
      <c r="J741" s="1" t="s">
        <v>35</v>
      </c>
      <c r="K741" s="1" t="str">
        <f t="shared" si="34"/>
        <v/>
      </c>
      <c r="L741" s="1" t="str">
        <f t="shared" si="35"/>
        <v/>
      </c>
      <c r="M741" s="1">
        <f>IF(OR(Table1[[#This Row],[Std Nom]]="",Table1[[#This Row],[Std Read]]=""),0,Table1[[#This Row],[Std Nom]]-Table1[[#This Row],[Std Read]])</f>
        <v>0</v>
      </c>
      <c r="N741" s="1">
        <f>IF(Calculations!$F$5="ACCREDITED 17025 WITH UNCERTAINTIES",$N$10,0)</f>
        <v>0</v>
      </c>
      <c r="Q741" s="1">
        <f>Table1[[#This Row],[High Tol]]-Table1[[#This Row],[Low Tol]]</f>
        <v>0</v>
      </c>
      <c r="R741" s="1">
        <f>2*Table1[[#This Row],[Std Error]]</f>
        <v>0</v>
      </c>
      <c r="S741" s="1" t="str">
        <f>IF(Table1[[#This Row],[High Tol]]="","N/A",IFERROR(ABS(Table1[[#This Row],[Tol Span]]/Table1[[#This Row],[Error Span]]),"N/A"))</f>
        <v>N/A</v>
      </c>
      <c r="T741" s="1" t="str">
        <f>IF(OR(Table1[[#This Row],[Low Tol]]="",Table1[[#This Row],[High Tol]]=""),"Needs Analysis",IF(Table1[[#This Row],[Ratio]]&gt;=4,"Not Significant",IF(Table1[[#This Row],[Ratio]]&gt;=2,"Semi-Significant","Significant")))</f>
        <v>Needs Analysis</v>
      </c>
      <c r="W741" s="1">
        <f>IF(Table1[[#This Row],[Cal Type]]&lt;&gt;"ACCREDITED 17025 WITH UNCERTAINTIES",0,"")</f>
        <v>0</v>
      </c>
      <c r="X741" s="1" t="str">
        <f>IF(Table1[[#This Row],[DUT Read]]="","N/A",Table1[[#This Row],[Std Error]]+Table1[[#This Row],[DUT Read]]+Table1[[#This Row],[DUT Ucty]])</f>
        <v>N/A</v>
      </c>
      <c r="Y741" s="1" t="str">
        <f>IF(Table1[[#This Row],[Std Read]]="","N/A",Table1[[#This Row],[Std Read]]+Table1[[#This Row],[Std Ucty]])</f>
        <v>N/A</v>
      </c>
      <c r="Z7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1" s="1" t="str">
        <f>IF(Table1[[#This Row],[Spec Type]]="","N/A",Table1[[#This Row],[Spec Type]])</f>
        <v>±</v>
      </c>
      <c r="AC741" s="1" t="str">
        <f>IF(Table1[[#This Row],[Spec Type2]]="N/A","N/A",IF(AND(Table1[[#This Row],[DUT Adj Read]]&gt;=Table1[[#This Row],[Low Tol]],Table1[[#This Row],[DUT Adj Read]]&lt;=Table1[[#This Row],[High Tol]]),"Pass","Fail"))</f>
        <v>Fail</v>
      </c>
      <c r="AD741" s="1" t="str">
        <f>IF(AND(Table1[[#This Row],[Spec Type2]]="N/A",Table1[[#This Row],[DUT Adj Read]]="N/A",Table1[[#This Row],[Std Adj Read]]="N/A"),"N/A",IF(Table1[[#This Row],[DUT Adj Read]]="N/A",IF(Table1[[#This Row],[Std Adj Read]]&gt;Table1[[#This Row],[Low Tol]],"Pass","Fail"),IF(Table1[[#This Row],[DUT Adj Read]]&gt;Table1[[#This Row],[Low Tol]],"Pass","Fail")))</f>
        <v>Pass</v>
      </c>
      <c r="AE741" s="1" t="str">
        <f>IF(AND(Table1[[#This Row],[Spec Type2]]="N/A",Table1[[#This Row],[DUT Adj Read]]="N/A",Table1[[#This Row],[Std Adj Read]]="N/A"),"N/A",IF(Table1[[#This Row],[DUT Adj Read]]="N/A",IF(Table1[[#This Row],[Std Adj Read]]&lt;Table1[[#This Row],[High Tol]],"Pass","Fail"),IF(Table1[[#This Row],[DUT Adj Read]]&lt;Table1[[#This Row],[High Tol]],"Pass","Fail")))</f>
        <v>Fail</v>
      </c>
      <c r="AF741" s="1" t="str">
        <f>IF(AND(Table1[[#This Row],[Spec Type2]]="N/A",Table1[[#This Row],[DUT Adj Read]]="N/A",Table1[[#This Row],[Std Adj Read]]="N/A"),"N/A",IF(Table1[[#This Row],[DUT Adj Read]]="N/A",IF(Table1[[#This Row],[Std Adj Read]]&gt;=Table1[[#This Row],[Low Tol]],"Pass","Fail"),IF(Table1[[#This Row],[DUT Adj Read]]&gt;=Table1[[#This Row],[Low Tol]],"Pass","Fail")))</f>
        <v>Pass</v>
      </c>
      <c r="AG741" s="1" t="str">
        <f>IF(AND(Table1[[#This Row],[Spec Type2]]="N/A",Table1[[#This Row],[DUT Adj Read]]="N/A",Table1[[#This Row],[Std Adj Read]]="N/A"),"N/A",IF(Table1[[#This Row],[DUT Adj Read]]="N/A",IF(Table1[[#This Row],[Std Adj Read]]&lt;=Table1[[#This Row],[High Tol]],"Pass","Fail"),IF(Table1[[#This Row],[DUT Adj Read]]&lt;=Table1[[#This Row],[High Tol]],"Pass","Fail")))</f>
        <v>Fail</v>
      </c>
      <c r="AH7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1" s="1" t="b">
        <v>0</v>
      </c>
      <c r="AN741" s="1" t="b">
        <v>0</v>
      </c>
      <c r="AO741" s="1" t="b">
        <v>0</v>
      </c>
    </row>
    <row r="742" spans="1:41" x14ac:dyDescent="0.25">
      <c r="A742" s="10"/>
      <c r="B742" s="10"/>
      <c r="C742" s="10"/>
      <c r="D742" s="10"/>
      <c r="E742" s="10"/>
      <c r="F742" s="10"/>
      <c r="G742" s="10"/>
      <c r="H742" s="10"/>
      <c r="I742" s="1" t="str">
        <f t="shared" si="33"/>
        <v/>
      </c>
      <c r="J742" s="1" t="s">
        <v>35</v>
      </c>
      <c r="K742" s="1" t="str">
        <f t="shared" si="34"/>
        <v/>
      </c>
      <c r="L742" s="1" t="str">
        <f t="shared" si="35"/>
        <v/>
      </c>
      <c r="M742" s="1">
        <f>IF(OR(Table1[[#This Row],[Std Nom]]="",Table1[[#This Row],[Std Read]]=""),0,Table1[[#This Row],[Std Nom]]-Table1[[#This Row],[Std Read]])</f>
        <v>0</v>
      </c>
      <c r="N742" s="1">
        <f>IF(Calculations!$F$5="ACCREDITED 17025 WITH UNCERTAINTIES",$N$10,0)</f>
        <v>0</v>
      </c>
      <c r="Q742" s="1">
        <f>Table1[[#This Row],[High Tol]]-Table1[[#This Row],[Low Tol]]</f>
        <v>0</v>
      </c>
      <c r="R742" s="1">
        <f>2*Table1[[#This Row],[Std Error]]</f>
        <v>0</v>
      </c>
      <c r="S742" s="1" t="str">
        <f>IF(Table1[[#This Row],[High Tol]]="","N/A",IFERROR(ABS(Table1[[#This Row],[Tol Span]]/Table1[[#This Row],[Error Span]]),"N/A"))</f>
        <v>N/A</v>
      </c>
      <c r="T742" s="1" t="str">
        <f>IF(OR(Table1[[#This Row],[Low Tol]]="",Table1[[#This Row],[High Tol]]=""),"Needs Analysis",IF(Table1[[#This Row],[Ratio]]&gt;=4,"Not Significant",IF(Table1[[#This Row],[Ratio]]&gt;=2,"Semi-Significant","Significant")))</f>
        <v>Needs Analysis</v>
      </c>
      <c r="W742" s="1">
        <f>IF(Table1[[#This Row],[Cal Type]]&lt;&gt;"ACCREDITED 17025 WITH UNCERTAINTIES",0,"")</f>
        <v>0</v>
      </c>
      <c r="X742" s="1" t="str">
        <f>IF(Table1[[#This Row],[DUT Read]]="","N/A",Table1[[#This Row],[Std Error]]+Table1[[#This Row],[DUT Read]]+Table1[[#This Row],[DUT Ucty]])</f>
        <v>N/A</v>
      </c>
      <c r="Y742" s="1" t="str">
        <f>IF(Table1[[#This Row],[Std Read]]="","N/A",Table1[[#This Row],[Std Read]]+Table1[[#This Row],[Std Ucty]])</f>
        <v>N/A</v>
      </c>
      <c r="Z7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2" s="1" t="str">
        <f>IF(Table1[[#This Row],[Spec Type]]="","N/A",Table1[[#This Row],[Spec Type]])</f>
        <v>±</v>
      </c>
      <c r="AC742" s="1" t="str">
        <f>IF(Table1[[#This Row],[Spec Type2]]="N/A","N/A",IF(AND(Table1[[#This Row],[DUT Adj Read]]&gt;=Table1[[#This Row],[Low Tol]],Table1[[#This Row],[DUT Adj Read]]&lt;=Table1[[#This Row],[High Tol]]),"Pass","Fail"))</f>
        <v>Fail</v>
      </c>
      <c r="AD742" s="1" t="str">
        <f>IF(AND(Table1[[#This Row],[Spec Type2]]="N/A",Table1[[#This Row],[DUT Adj Read]]="N/A",Table1[[#This Row],[Std Adj Read]]="N/A"),"N/A",IF(Table1[[#This Row],[DUT Adj Read]]="N/A",IF(Table1[[#This Row],[Std Adj Read]]&gt;Table1[[#This Row],[Low Tol]],"Pass","Fail"),IF(Table1[[#This Row],[DUT Adj Read]]&gt;Table1[[#This Row],[Low Tol]],"Pass","Fail")))</f>
        <v>Pass</v>
      </c>
      <c r="AE742" s="1" t="str">
        <f>IF(AND(Table1[[#This Row],[Spec Type2]]="N/A",Table1[[#This Row],[DUT Adj Read]]="N/A",Table1[[#This Row],[Std Adj Read]]="N/A"),"N/A",IF(Table1[[#This Row],[DUT Adj Read]]="N/A",IF(Table1[[#This Row],[Std Adj Read]]&lt;Table1[[#This Row],[High Tol]],"Pass","Fail"),IF(Table1[[#This Row],[DUT Adj Read]]&lt;Table1[[#This Row],[High Tol]],"Pass","Fail")))</f>
        <v>Fail</v>
      </c>
      <c r="AF742" s="1" t="str">
        <f>IF(AND(Table1[[#This Row],[Spec Type2]]="N/A",Table1[[#This Row],[DUT Adj Read]]="N/A",Table1[[#This Row],[Std Adj Read]]="N/A"),"N/A",IF(Table1[[#This Row],[DUT Adj Read]]="N/A",IF(Table1[[#This Row],[Std Adj Read]]&gt;=Table1[[#This Row],[Low Tol]],"Pass","Fail"),IF(Table1[[#This Row],[DUT Adj Read]]&gt;=Table1[[#This Row],[Low Tol]],"Pass","Fail")))</f>
        <v>Pass</v>
      </c>
      <c r="AG742" s="1" t="str">
        <f>IF(AND(Table1[[#This Row],[Spec Type2]]="N/A",Table1[[#This Row],[DUT Adj Read]]="N/A",Table1[[#This Row],[Std Adj Read]]="N/A"),"N/A",IF(Table1[[#This Row],[DUT Adj Read]]="N/A",IF(Table1[[#This Row],[Std Adj Read]]&lt;=Table1[[#This Row],[High Tol]],"Pass","Fail"),IF(Table1[[#This Row],[DUT Adj Read]]&lt;=Table1[[#This Row],[High Tol]],"Pass","Fail")))</f>
        <v>Fail</v>
      </c>
      <c r="AH7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2" s="1" t="b">
        <v>0</v>
      </c>
      <c r="AN742" s="1" t="b">
        <v>0</v>
      </c>
      <c r="AO742" s="1" t="b">
        <v>0</v>
      </c>
    </row>
    <row r="743" spans="1:41" x14ac:dyDescent="0.25">
      <c r="A743" s="10"/>
      <c r="B743" s="10"/>
      <c r="C743" s="10"/>
      <c r="D743" s="10"/>
      <c r="E743" s="10"/>
      <c r="F743" s="10"/>
      <c r="G743" s="10"/>
      <c r="H743" s="10"/>
      <c r="I743" s="1" t="str">
        <f t="shared" si="33"/>
        <v/>
      </c>
      <c r="J743" s="1" t="s">
        <v>35</v>
      </c>
      <c r="K743" s="1" t="str">
        <f t="shared" si="34"/>
        <v/>
      </c>
      <c r="L743" s="1" t="str">
        <f t="shared" si="35"/>
        <v/>
      </c>
      <c r="M743" s="1">
        <f>IF(OR(Table1[[#This Row],[Std Nom]]="",Table1[[#This Row],[Std Read]]=""),0,Table1[[#This Row],[Std Nom]]-Table1[[#This Row],[Std Read]])</f>
        <v>0</v>
      </c>
      <c r="N743" s="1">
        <f>IF(Calculations!$F$5="ACCREDITED 17025 WITH UNCERTAINTIES",$N$10,0)</f>
        <v>0</v>
      </c>
      <c r="Q743" s="1">
        <f>Table1[[#This Row],[High Tol]]-Table1[[#This Row],[Low Tol]]</f>
        <v>0</v>
      </c>
      <c r="R743" s="1">
        <f>2*Table1[[#This Row],[Std Error]]</f>
        <v>0</v>
      </c>
      <c r="S743" s="1" t="str">
        <f>IF(Table1[[#This Row],[High Tol]]="","N/A",IFERROR(ABS(Table1[[#This Row],[Tol Span]]/Table1[[#This Row],[Error Span]]),"N/A"))</f>
        <v>N/A</v>
      </c>
      <c r="T743" s="1" t="str">
        <f>IF(OR(Table1[[#This Row],[Low Tol]]="",Table1[[#This Row],[High Tol]]=""),"Needs Analysis",IF(Table1[[#This Row],[Ratio]]&gt;=4,"Not Significant",IF(Table1[[#This Row],[Ratio]]&gt;=2,"Semi-Significant","Significant")))</f>
        <v>Needs Analysis</v>
      </c>
      <c r="W743" s="1">
        <f>IF(Table1[[#This Row],[Cal Type]]&lt;&gt;"ACCREDITED 17025 WITH UNCERTAINTIES",0,"")</f>
        <v>0</v>
      </c>
      <c r="X743" s="1" t="str">
        <f>IF(Table1[[#This Row],[DUT Read]]="","N/A",Table1[[#This Row],[Std Error]]+Table1[[#This Row],[DUT Read]]+Table1[[#This Row],[DUT Ucty]])</f>
        <v>N/A</v>
      </c>
      <c r="Y743" s="1" t="str">
        <f>IF(Table1[[#This Row],[Std Read]]="","N/A",Table1[[#This Row],[Std Read]]+Table1[[#This Row],[Std Ucty]])</f>
        <v>N/A</v>
      </c>
      <c r="Z7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3" s="1" t="str">
        <f>IF(Table1[[#This Row],[Spec Type]]="","N/A",Table1[[#This Row],[Spec Type]])</f>
        <v>±</v>
      </c>
      <c r="AC743" s="1" t="str">
        <f>IF(Table1[[#This Row],[Spec Type2]]="N/A","N/A",IF(AND(Table1[[#This Row],[DUT Adj Read]]&gt;=Table1[[#This Row],[Low Tol]],Table1[[#This Row],[DUT Adj Read]]&lt;=Table1[[#This Row],[High Tol]]),"Pass","Fail"))</f>
        <v>Fail</v>
      </c>
      <c r="AD743" s="1" t="str">
        <f>IF(AND(Table1[[#This Row],[Spec Type2]]="N/A",Table1[[#This Row],[DUT Adj Read]]="N/A",Table1[[#This Row],[Std Adj Read]]="N/A"),"N/A",IF(Table1[[#This Row],[DUT Adj Read]]="N/A",IF(Table1[[#This Row],[Std Adj Read]]&gt;Table1[[#This Row],[Low Tol]],"Pass","Fail"),IF(Table1[[#This Row],[DUT Adj Read]]&gt;Table1[[#This Row],[Low Tol]],"Pass","Fail")))</f>
        <v>Pass</v>
      </c>
      <c r="AE743" s="1" t="str">
        <f>IF(AND(Table1[[#This Row],[Spec Type2]]="N/A",Table1[[#This Row],[DUT Adj Read]]="N/A",Table1[[#This Row],[Std Adj Read]]="N/A"),"N/A",IF(Table1[[#This Row],[DUT Adj Read]]="N/A",IF(Table1[[#This Row],[Std Adj Read]]&lt;Table1[[#This Row],[High Tol]],"Pass","Fail"),IF(Table1[[#This Row],[DUT Adj Read]]&lt;Table1[[#This Row],[High Tol]],"Pass","Fail")))</f>
        <v>Fail</v>
      </c>
      <c r="AF743" s="1" t="str">
        <f>IF(AND(Table1[[#This Row],[Spec Type2]]="N/A",Table1[[#This Row],[DUT Adj Read]]="N/A",Table1[[#This Row],[Std Adj Read]]="N/A"),"N/A",IF(Table1[[#This Row],[DUT Adj Read]]="N/A",IF(Table1[[#This Row],[Std Adj Read]]&gt;=Table1[[#This Row],[Low Tol]],"Pass","Fail"),IF(Table1[[#This Row],[DUT Adj Read]]&gt;=Table1[[#This Row],[Low Tol]],"Pass","Fail")))</f>
        <v>Pass</v>
      </c>
      <c r="AG743" s="1" t="str">
        <f>IF(AND(Table1[[#This Row],[Spec Type2]]="N/A",Table1[[#This Row],[DUT Adj Read]]="N/A",Table1[[#This Row],[Std Adj Read]]="N/A"),"N/A",IF(Table1[[#This Row],[DUT Adj Read]]="N/A",IF(Table1[[#This Row],[Std Adj Read]]&lt;=Table1[[#This Row],[High Tol]],"Pass","Fail"),IF(Table1[[#This Row],[DUT Adj Read]]&lt;=Table1[[#This Row],[High Tol]],"Pass","Fail")))</f>
        <v>Fail</v>
      </c>
      <c r="AH7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3" s="1" t="b">
        <v>0</v>
      </c>
      <c r="AN743" s="1" t="b">
        <v>0</v>
      </c>
      <c r="AO743" s="1" t="b">
        <v>0</v>
      </c>
    </row>
    <row r="744" spans="1:41" x14ac:dyDescent="0.25">
      <c r="A744" s="10"/>
      <c r="B744" s="10"/>
      <c r="C744" s="10"/>
      <c r="D744" s="10"/>
      <c r="E744" s="10"/>
      <c r="F744" s="10"/>
      <c r="G744" s="10"/>
      <c r="H744" s="10"/>
      <c r="I744" s="1" t="str">
        <f t="shared" si="33"/>
        <v/>
      </c>
      <c r="J744" s="1" t="s">
        <v>35</v>
      </c>
      <c r="K744" s="1" t="str">
        <f t="shared" si="34"/>
        <v/>
      </c>
      <c r="L744" s="1" t="str">
        <f t="shared" si="35"/>
        <v/>
      </c>
      <c r="M744" s="1">
        <f>IF(OR(Table1[[#This Row],[Std Nom]]="",Table1[[#This Row],[Std Read]]=""),0,Table1[[#This Row],[Std Nom]]-Table1[[#This Row],[Std Read]])</f>
        <v>0</v>
      </c>
      <c r="N744" s="1">
        <f>IF(Calculations!$F$5="ACCREDITED 17025 WITH UNCERTAINTIES",$N$10,0)</f>
        <v>0</v>
      </c>
      <c r="Q744" s="1">
        <f>Table1[[#This Row],[High Tol]]-Table1[[#This Row],[Low Tol]]</f>
        <v>0</v>
      </c>
      <c r="R744" s="1">
        <f>2*Table1[[#This Row],[Std Error]]</f>
        <v>0</v>
      </c>
      <c r="S744" s="1" t="str">
        <f>IF(Table1[[#This Row],[High Tol]]="","N/A",IFERROR(ABS(Table1[[#This Row],[Tol Span]]/Table1[[#This Row],[Error Span]]),"N/A"))</f>
        <v>N/A</v>
      </c>
      <c r="T744" s="1" t="str">
        <f>IF(OR(Table1[[#This Row],[Low Tol]]="",Table1[[#This Row],[High Tol]]=""),"Needs Analysis",IF(Table1[[#This Row],[Ratio]]&gt;=4,"Not Significant",IF(Table1[[#This Row],[Ratio]]&gt;=2,"Semi-Significant","Significant")))</f>
        <v>Needs Analysis</v>
      </c>
      <c r="W744" s="1">
        <f>IF(Table1[[#This Row],[Cal Type]]&lt;&gt;"ACCREDITED 17025 WITH UNCERTAINTIES",0,"")</f>
        <v>0</v>
      </c>
      <c r="X744" s="1" t="str">
        <f>IF(Table1[[#This Row],[DUT Read]]="","N/A",Table1[[#This Row],[Std Error]]+Table1[[#This Row],[DUT Read]]+Table1[[#This Row],[DUT Ucty]])</f>
        <v>N/A</v>
      </c>
      <c r="Y744" s="1" t="str">
        <f>IF(Table1[[#This Row],[Std Read]]="","N/A",Table1[[#This Row],[Std Read]]+Table1[[#This Row],[Std Ucty]])</f>
        <v>N/A</v>
      </c>
      <c r="Z7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4" s="1" t="str">
        <f>IF(Table1[[#This Row],[Spec Type]]="","N/A",Table1[[#This Row],[Spec Type]])</f>
        <v>±</v>
      </c>
      <c r="AC744" s="1" t="str">
        <f>IF(Table1[[#This Row],[Spec Type2]]="N/A","N/A",IF(AND(Table1[[#This Row],[DUT Adj Read]]&gt;=Table1[[#This Row],[Low Tol]],Table1[[#This Row],[DUT Adj Read]]&lt;=Table1[[#This Row],[High Tol]]),"Pass","Fail"))</f>
        <v>Fail</v>
      </c>
      <c r="AD744" s="1" t="str">
        <f>IF(AND(Table1[[#This Row],[Spec Type2]]="N/A",Table1[[#This Row],[DUT Adj Read]]="N/A",Table1[[#This Row],[Std Adj Read]]="N/A"),"N/A",IF(Table1[[#This Row],[DUT Adj Read]]="N/A",IF(Table1[[#This Row],[Std Adj Read]]&gt;Table1[[#This Row],[Low Tol]],"Pass","Fail"),IF(Table1[[#This Row],[DUT Adj Read]]&gt;Table1[[#This Row],[Low Tol]],"Pass","Fail")))</f>
        <v>Pass</v>
      </c>
      <c r="AE744" s="1" t="str">
        <f>IF(AND(Table1[[#This Row],[Spec Type2]]="N/A",Table1[[#This Row],[DUT Adj Read]]="N/A",Table1[[#This Row],[Std Adj Read]]="N/A"),"N/A",IF(Table1[[#This Row],[DUT Adj Read]]="N/A",IF(Table1[[#This Row],[Std Adj Read]]&lt;Table1[[#This Row],[High Tol]],"Pass","Fail"),IF(Table1[[#This Row],[DUT Adj Read]]&lt;Table1[[#This Row],[High Tol]],"Pass","Fail")))</f>
        <v>Fail</v>
      </c>
      <c r="AF744" s="1" t="str">
        <f>IF(AND(Table1[[#This Row],[Spec Type2]]="N/A",Table1[[#This Row],[DUT Adj Read]]="N/A",Table1[[#This Row],[Std Adj Read]]="N/A"),"N/A",IF(Table1[[#This Row],[DUT Adj Read]]="N/A",IF(Table1[[#This Row],[Std Adj Read]]&gt;=Table1[[#This Row],[Low Tol]],"Pass","Fail"),IF(Table1[[#This Row],[DUT Adj Read]]&gt;=Table1[[#This Row],[Low Tol]],"Pass","Fail")))</f>
        <v>Pass</v>
      </c>
      <c r="AG744" s="1" t="str">
        <f>IF(AND(Table1[[#This Row],[Spec Type2]]="N/A",Table1[[#This Row],[DUT Adj Read]]="N/A",Table1[[#This Row],[Std Adj Read]]="N/A"),"N/A",IF(Table1[[#This Row],[DUT Adj Read]]="N/A",IF(Table1[[#This Row],[Std Adj Read]]&lt;=Table1[[#This Row],[High Tol]],"Pass","Fail"),IF(Table1[[#This Row],[DUT Adj Read]]&lt;=Table1[[#This Row],[High Tol]],"Pass","Fail")))</f>
        <v>Fail</v>
      </c>
      <c r="AH7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4" s="1" t="b">
        <v>0</v>
      </c>
      <c r="AN744" s="1" t="b">
        <v>0</v>
      </c>
      <c r="AO744" s="1" t="b">
        <v>0</v>
      </c>
    </row>
    <row r="745" spans="1:41" x14ac:dyDescent="0.25">
      <c r="A745" s="10"/>
      <c r="B745" s="10"/>
      <c r="C745" s="10"/>
      <c r="D745" s="10"/>
      <c r="E745" s="10"/>
      <c r="F745" s="10"/>
      <c r="G745" s="10"/>
      <c r="H745" s="10"/>
      <c r="I745" s="1" t="str">
        <f t="shared" si="33"/>
        <v/>
      </c>
      <c r="J745" s="1" t="s">
        <v>35</v>
      </c>
      <c r="K745" s="1" t="str">
        <f t="shared" si="34"/>
        <v/>
      </c>
      <c r="L745" s="1" t="str">
        <f t="shared" si="35"/>
        <v/>
      </c>
      <c r="M745" s="1">
        <f>IF(OR(Table1[[#This Row],[Std Nom]]="",Table1[[#This Row],[Std Read]]=""),0,Table1[[#This Row],[Std Nom]]-Table1[[#This Row],[Std Read]])</f>
        <v>0</v>
      </c>
      <c r="N745" s="1">
        <f>IF(Calculations!$F$5="ACCREDITED 17025 WITH UNCERTAINTIES",$N$10,0)</f>
        <v>0</v>
      </c>
      <c r="Q745" s="1">
        <f>Table1[[#This Row],[High Tol]]-Table1[[#This Row],[Low Tol]]</f>
        <v>0</v>
      </c>
      <c r="R745" s="1">
        <f>2*Table1[[#This Row],[Std Error]]</f>
        <v>0</v>
      </c>
      <c r="S745" s="1" t="str">
        <f>IF(Table1[[#This Row],[High Tol]]="","N/A",IFERROR(ABS(Table1[[#This Row],[Tol Span]]/Table1[[#This Row],[Error Span]]),"N/A"))</f>
        <v>N/A</v>
      </c>
      <c r="T745" s="1" t="str">
        <f>IF(OR(Table1[[#This Row],[Low Tol]]="",Table1[[#This Row],[High Tol]]=""),"Needs Analysis",IF(Table1[[#This Row],[Ratio]]&gt;=4,"Not Significant",IF(Table1[[#This Row],[Ratio]]&gt;=2,"Semi-Significant","Significant")))</f>
        <v>Needs Analysis</v>
      </c>
      <c r="W745" s="1">
        <f>IF(Table1[[#This Row],[Cal Type]]&lt;&gt;"ACCREDITED 17025 WITH UNCERTAINTIES",0,"")</f>
        <v>0</v>
      </c>
      <c r="X745" s="1" t="str">
        <f>IF(Table1[[#This Row],[DUT Read]]="","N/A",Table1[[#This Row],[Std Error]]+Table1[[#This Row],[DUT Read]]+Table1[[#This Row],[DUT Ucty]])</f>
        <v>N/A</v>
      </c>
      <c r="Y745" s="1" t="str">
        <f>IF(Table1[[#This Row],[Std Read]]="","N/A",Table1[[#This Row],[Std Read]]+Table1[[#This Row],[Std Ucty]])</f>
        <v>N/A</v>
      </c>
      <c r="Z7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5" s="1" t="str">
        <f>IF(Table1[[#This Row],[Spec Type]]="","N/A",Table1[[#This Row],[Spec Type]])</f>
        <v>±</v>
      </c>
      <c r="AC745" s="1" t="str">
        <f>IF(Table1[[#This Row],[Spec Type2]]="N/A","N/A",IF(AND(Table1[[#This Row],[DUT Adj Read]]&gt;=Table1[[#This Row],[Low Tol]],Table1[[#This Row],[DUT Adj Read]]&lt;=Table1[[#This Row],[High Tol]]),"Pass","Fail"))</f>
        <v>Fail</v>
      </c>
      <c r="AD745" s="1" t="str">
        <f>IF(AND(Table1[[#This Row],[Spec Type2]]="N/A",Table1[[#This Row],[DUT Adj Read]]="N/A",Table1[[#This Row],[Std Adj Read]]="N/A"),"N/A",IF(Table1[[#This Row],[DUT Adj Read]]="N/A",IF(Table1[[#This Row],[Std Adj Read]]&gt;Table1[[#This Row],[Low Tol]],"Pass","Fail"),IF(Table1[[#This Row],[DUT Adj Read]]&gt;Table1[[#This Row],[Low Tol]],"Pass","Fail")))</f>
        <v>Pass</v>
      </c>
      <c r="AE745" s="1" t="str">
        <f>IF(AND(Table1[[#This Row],[Spec Type2]]="N/A",Table1[[#This Row],[DUT Adj Read]]="N/A",Table1[[#This Row],[Std Adj Read]]="N/A"),"N/A",IF(Table1[[#This Row],[DUT Adj Read]]="N/A",IF(Table1[[#This Row],[Std Adj Read]]&lt;Table1[[#This Row],[High Tol]],"Pass","Fail"),IF(Table1[[#This Row],[DUT Adj Read]]&lt;Table1[[#This Row],[High Tol]],"Pass","Fail")))</f>
        <v>Fail</v>
      </c>
      <c r="AF745" s="1" t="str">
        <f>IF(AND(Table1[[#This Row],[Spec Type2]]="N/A",Table1[[#This Row],[DUT Adj Read]]="N/A",Table1[[#This Row],[Std Adj Read]]="N/A"),"N/A",IF(Table1[[#This Row],[DUT Adj Read]]="N/A",IF(Table1[[#This Row],[Std Adj Read]]&gt;=Table1[[#This Row],[Low Tol]],"Pass","Fail"),IF(Table1[[#This Row],[DUT Adj Read]]&gt;=Table1[[#This Row],[Low Tol]],"Pass","Fail")))</f>
        <v>Pass</v>
      </c>
      <c r="AG745" s="1" t="str">
        <f>IF(AND(Table1[[#This Row],[Spec Type2]]="N/A",Table1[[#This Row],[DUT Adj Read]]="N/A",Table1[[#This Row],[Std Adj Read]]="N/A"),"N/A",IF(Table1[[#This Row],[DUT Adj Read]]="N/A",IF(Table1[[#This Row],[Std Adj Read]]&lt;=Table1[[#This Row],[High Tol]],"Pass","Fail"),IF(Table1[[#This Row],[DUT Adj Read]]&lt;=Table1[[#This Row],[High Tol]],"Pass","Fail")))</f>
        <v>Fail</v>
      </c>
      <c r="AH7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5" s="1" t="b">
        <v>0</v>
      </c>
      <c r="AN745" s="1" t="b">
        <v>0</v>
      </c>
      <c r="AO745" s="1" t="b">
        <v>0</v>
      </c>
    </row>
    <row r="746" spans="1:41" x14ac:dyDescent="0.25">
      <c r="A746" s="10"/>
      <c r="B746" s="10"/>
      <c r="C746" s="10"/>
      <c r="D746" s="10"/>
      <c r="E746" s="10"/>
      <c r="F746" s="10"/>
      <c r="G746" s="10"/>
      <c r="H746" s="10"/>
      <c r="I746" s="1" t="str">
        <f t="shared" si="33"/>
        <v/>
      </c>
      <c r="J746" s="1" t="s">
        <v>35</v>
      </c>
      <c r="K746" s="1" t="str">
        <f t="shared" si="34"/>
        <v/>
      </c>
      <c r="L746" s="1" t="str">
        <f t="shared" si="35"/>
        <v/>
      </c>
      <c r="M746" s="1">
        <f>IF(OR(Table1[[#This Row],[Std Nom]]="",Table1[[#This Row],[Std Read]]=""),0,Table1[[#This Row],[Std Nom]]-Table1[[#This Row],[Std Read]])</f>
        <v>0</v>
      </c>
      <c r="N746" s="1">
        <f>IF(Calculations!$F$5="ACCREDITED 17025 WITH UNCERTAINTIES",$N$10,0)</f>
        <v>0</v>
      </c>
      <c r="Q746" s="1">
        <f>Table1[[#This Row],[High Tol]]-Table1[[#This Row],[Low Tol]]</f>
        <v>0</v>
      </c>
      <c r="R746" s="1">
        <f>2*Table1[[#This Row],[Std Error]]</f>
        <v>0</v>
      </c>
      <c r="S746" s="1" t="str">
        <f>IF(Table1[[#This Row],[High Tol]]="","N/A",IFERROR(ABS(Table1[[#This Row],[Tol Span]]/Table1[[#This Row],[Error Span]]),"N/A"))</f>
        <v>N/A</v>
      </c>
      <c r="T746" s="1" t="str">
        <f>IF(OR(Table1[[#This Row],[Low Tol]]="",Table1[[#This Row],[High Tol]]=""),"Needs Analysis",IF(Table1[[#This Row],[Ratio]]&gt;=4,"Not Significant",IF(Table1[[#This Row],[Ratio]]&gt;=2,"Semi-Significant","Significant")))</f>
        <v>Needs Analysis</v>
      </c>
      <c r="W746" s="1">
        <f>IF(Table1[[#This Row],[Cal Type]]&lt;&gt;"ACCREDITED 17025 WITH UNCERTAINTIES",0,"")</f>
        <v>0</v>
      </c>
      <c r="X746" s="1" t="str">
        <f>IF(Table1[[#This Row],[DUT Read]]="","N/A",Table1[[#This Row],[Std Error]]+Table1[[#This Row],[DUT Read]]+Table1[[#This Row],[DUT Ucty]])</f>
        <v>N/A</v>
      </c>
      <c r="Y746" s="1" t="str">
        <f>IF(Table1[[#This Row],[Std Read]]="","N/A",Table1[[#This Row],[Std Read]]+Table1[[#This Row],[Std Ucty]])</f>
        <v>N/A</v>
      </c>
      <c r="Z7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6" s="1" t="str">
        <f>IF(Table1[[#This Row],[Spec Type]]="","N/A",Table1[[#This Row],[Spec Type]])</f>
        <v>±</v>
      </c>
      <c r="AC746" s="1" t="str">
        <f>IF(Table1[[#This Row],[Spec Type2]]="N/A","N/A",IF(AND(Table1[[#This Row],[DUT Adj Read]]&gt;=Table1[[#This Row],[Low Tol]],Table1[[#This Row],[DUT Adj Read]]&lt;=Table1[[#This Row],[High Tol]]),"Pass","Fail"))</f>
        <v>Fail</v>
      </c>
      <c r="AD746" s="1" t="str">
        <f>IF(AND(Table1[[#This Row],[Spec Type2]]="N/A",Table1[[#This Row],[DUT Adj Read]]="N/A",Table1[[#This Row],[Std Adj Read]]="N/A"),"N/A",IF(Table1[[#This Row],[DUT Adj Read]]="N/A",IF(Table1[[#This Row],[Std Adj Read]]&gt;Table1[[#This Row],[Low Tol]],"Pass","Fail"),IF(Table1[[#This Row],[DUT Adj Read]]&gt;Table1[[#This Row],[Low Tol]],"Pass","Fail")))</f>
        <v>Pass</v>
      </c>
      <c r="AE746" s="1" t="str">
        <f>IF(AND(Table1[[#This Row],[Spec Type2]]="N/A",Table1[[#This Row],[DUT Adj Read]]="N/A",Table1[[#This Row],[Std Adj Read]]="N/A"),"N/A",IF(Table1[[#This Row],[DUT Adj Read]]="N/A",IF(Table1[[#This Row],[Std Adj Read]]&lt;Table1[[#This Row],[High Tol]],"Pass","Fail"),IF(Table1[[#This Row],[DUT Adj Read]]&lt;Table1[[#This Row],[High Tol]],"Pass","Fail")))</f>
        <v>Fail</v>
      </c>
      <c r="AF746" s="1" t="str">
        <f>IF(AND(Table1[[#This Row],[Spec Type2]]="N/A",Table1[[#This Row],[DUT Adj Read]]="N/A",Table1[[#This Row],[Std Adj Read]]="N/A"),"N/A",IF(Table1[[#This Row],[DUT Adj Read]]="N/A",IF(Table1[[#This Row],[Std Adj Read]]&gt;=Table1[[#This Row],[Low Tol]],"Pass","Fail"),IF(Table1[[#This Row],[DUT Adj Read]]&gt;=Table1[[#This Row],[Low Tol]],"Pass","Fail")))</f>
        <v>Pass</v>
      </c>
      <c r="AG746" s="1" t="str">
        <f>IF(AND(Table1[[#This Row],[Spec Type2]]="N/A",Table1[[#This Row],[DUT Adj Read]]="N/A",Table1[[#This Row],[Std Adj Read]]="N/A"),"N/A",IF(Table1[[#This Row],[DUT Adj Read]]="N/A",IF(Table1[[#This Row],[Std Adj Read]]&lt;=Table1[[#This Row],[High Tol]],"Pass","Fail"),IF(Table1[[#This Row],[DUT Adj Read]]&lt;=Table1[[#This Row],[High Tol]],"Pass","Fail")))</f>
        <v>Fail</v>
      </c>
      <c r="AH7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6" s="1" t="b">
        <v>0</v>
      </c>
      <c r="AN746" s="1" t="b">
        <v>0</v>
      </c>
      <c r="AO746" s="1" t="b">
        <v>0</v>
      </c>
    </row>
    <row r="747" spans="1:41" x14ac:dyDescent="0.25">
      <c r="A747" s="10"/>
      <c r="B747" s="10"/>
      <c r="C747" s="10"/>
      <c r="D747" s="10"/>
      <c r="E747" s="10"/>
      <c r="F747" s="10"/>
      <c r="G747" s="10"/>
      <c r="H747" s="10"/>
      <c r="I747" s="1" t="str">
        <f t="shared" si="33"/>
        <v/>
      </c>
      <c r="J747" s="1" t="s">
        <v>35</v>
      </c>
      <c r="K747" s="1" t="str">
        <f t="shared" si="34"/>
        <v/>
      </c>
      <c r="L747" s="1" t="str">
        <f t="shared" si="35"/>
        <v/>
      </c>
      <c r="M747" s="1">
        <f>IF(OR(Table1[[#This Row],[Std Nom]]="",Table1[[#This Row],[Std Read]]=""),0,Table1[[#This Row],[Std Nom]]-Table1[[#This Row],[Std Read]])</f>
        <v>0</v>
      </c>
      <c r="N747" s="1">
        <f>IF(Calculations!$F$5="ACCREDITED 17025 WITH UNCERTAINTIES",$N$10,0)</f>
        <v>0</v>
      </c>
      <c r="Q747" s="1">
        <f>Table1[[#This Row],[High Tol]]-Table1[[#This Row],[Low Tol]]</f>
        <v>0</v>
      </c>
      <c r="R747" s="1">
        <f>2*Table1[[#This Row],[Std Error]]</f>
        <v>0</v>
      </c>
      <c r="S747" s="1" t="str">
        <f>IF(Table1[[#This Row],[High Tol]]="","N/A",IFERROR(ABS(Table1[[#This Row],[Tol Span]]/Table1[[#This Row],[Error Span]]),"N/A"))</f>
        <v>N/A</v>
      </c>
      <c r="T747" s="1" t="str">
        <f>IF(OR(Table1[[#This Row],[Low Tol]]="",Table1[[#This Row],[High Tol]]=""),"Needs Analysis",IF(Table1[[#This Row],[Ratio]]&gt;=4,"Not Significant",IF(Table1[[#This Row],[Ratio]]&gt;=2,"Semi-Significant","Significant")))</f>
        <v>Needs Analysis</v>
      </c>
      <c r="W747" s="1">
        <f>IF(Table1[[#This Row],[Cal Type]]&lt;&gt;"ACCREDITED 17025 WITH UNCERTAINTIES",0,"")</f>
        <v>0</v>
      </c>
      <c r="X747" s="1" t="str">
        <f>IF(Table1[[#This Row],[DUT Read]]="","N/A",Table1[[#This Row],[Std Error]]+Table1[[#This Row],[DUT Read]]+Table1[[#This Row],[DUT Ucty]])</f>
        <v>N/A</v>
      </c>
      <c r="Y747" s="1" t="str">
        <f>IF(Table1[[#This Row],[Std Read]]="","N/A",Table1[[#This Row],[Std Read]]+Table1[[#This Row],[Std Ucty]])</f>
        <v>N/A</v>
      </c>
      <c r="Z7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7" s="1" t="str">
        <f>IF(Table1[[#This Row],[Spec Type]]="","N/A",Table1[[#This Row],[Spec Type]])</f>
        <v>±</v>
      </c>
      <c r="AC747" s="1" t="str">
        <f>IF(Table1[[#This Row],[Spec Type2]]="N/A","N/A",IF(AND(Table1[[#This Row],[DUT Adj Read]]&gt;=Table1[[#This Row],[Low Tol]],Table1[[#This Row],[DUT Adj Read]]&lt;=Table1[[#This Row],[High Tol]]),"Pass","Fail"))</f>
        <v>Fail</v>
      </c>
      <c r="AD747" s="1" t="str">
        <f>IF(AND(Table1[[#This Row],[Spec Type2]]="N/A",Table1[[#This Row],[DUT Adj Read]]="N/A",Table1[[#This Row],[Std Adj Read]]="N/A"),"N/A",IF(Table1[[#This Row],[DUT Adj Read]]="N/A",IF(Table1[[#This Row],[Std Adj Read]]&gt;Table1[[#This Row],[Low Tol]],"Pass","Fail"),IF(Table1[[#This Row],[DUT Adj Read]]&gt;Table1[[#This Row],[Low Tol]],"Pass","Fail")))</f>
        <v>Pass</v>
      </c>
      <c r="AE747" s="1" t="str">
        <f>IF(AND(Table1[[#This Row],[Spec Type2]]="N/A",Table1[[#This Row],[DUT Adj Read]]="N/A",Table1[[#This Row],[Std Adj Read]]="N/A"),"N/A",IF(Table1[[#This Row],[DUT Adj Read]]="N/A",IF(Table1[[#This Row],[Std Adj Read]]&lt;Table1[[#This Row],[High Tol]],"Pass","Fail"),IF(Table1[[#This Row],[DUT Adj Read]]&lt;Table1[[#This Row],[High Tol]],"Pass","Fail")))</f>
        <v>Fail</v>
      </c>
      <c r="AF747" s="1" t="str">
        <f>IF(AND(Table1[[#This Row],[Spec Type2]]="N/A",Table1[[#This Row],[DUT Adj Read]]="N/A",Table1[[#This Row],[Std Adj Read]]="N/A"),"N/A",IF(Table1[[#This Row],[DUT Adj Read]]="N/A",IF(Table1[[#This Row],[Std Adj Read]]&gt;=Table1[[#This Row],[Low Tol]],"Pass","Fail"),IF(Table1[[#This Row],[DUT Adj Read]]&gt;=Table1[[#This Row],[Low Tol]],"Pass","Fail")))</f>
        <v>Pass</v>
      </c>
      <c r="AG747" s="1" t="str">
        <f>IF(AND(Table1[[#This Row],[Spec Type2]]="N/A",Table1[[#This Row],[DUT Adj Read]]="N/A",Table1[[#This Row],[Std Adj Read]]="N/A"),"N/A",IF(Table1[[#This Row],[DUT Adj Read]]="N/A",IF(Table1[[#This Row],[Std Adj Read]]&lt;=Table1[[#This Row],[High Tol]],"Pass","Fail"),IF(Table1[[#This Row],[DUT Adj Read]]&lt;=Table1[[#This Row],[High Tol]],"Pass","Fail")))</f>
        <v>Fail</v>
      </c>
      <c r="AH7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7" s="1" t="b">
        <v>0</v>
      </c>
      <c r="AN747" s="1" t="b">
        <v>0</v>
      </c>
      <c r="AO747" s="1" t="b">
        <v>0</v>
      </c>
    </row>
    <row r="748" spans="1:41" x14ac:dyDescent="0.25">
      <c r="A748" s="10"/>
      <c r="B748" s="10"/>
      <c r="C748" s="10"/>
      <c r="D748" s="10"/>
      <c r="E748" s="10"/>
      <c r="F748" s="10"/>
      <c r="G748" s="10"/>
      <c r="H748" s="10"/>
      <c r="I748" s="1" t="str">
        <f t="shared" si="33"/>
        <v/>
      </c>
      <c r="J748" s="1" t="s">
        <v>35</v>
      </c>
      <c r="K748" s="1" t="str">
        <f t="shared" si="34"/>
        <v/>
      </c>
      <c r="L748" s="1" t="str">
        <f t="shared" si="35"/>
        <v/>
      </c>
      <c r="M748" s="1">
        <f>IF(OR(Table1[[#This Row],[Std Nom]]="",Table1[[#This Row],[Std Read]]=""),0,Table1[[#This Row],[Std Nom]]-Table1[[#This Row],[Std Read]])</f>
        <v>0</v>
      </c>
      <c r="N748" s="1">
        <f>IF(Calculations!$F$5="ACCREDITED 17025 WITH UNCERTAINTIES",$N$10,0)</f>
        <v>0</v>
      </c>
      <c r="Q748" s="1">
        <f>Table1[[#This Row],[High Tol]]-Table1[[#This Row],[Low Tol]]</f>
        <v>0</v>
      </c>
      <c r="R748" s="1">
        <f>2*Table1[[#This Row],[Std Error]]</f>
        <v>0</v>
      </c>
      <c r="S748" s="1" t="str">
        <f>IF(Table1[[#This Row],[High Tol]]="","N/A",IFERROR(ABS(Table1[[#This Row],[Tol Span]]/Table1[[#This Row],[Error Span]]),"N/A"))</f>
        <v>N/A</v>
      </c>
      <c r="T748" s="1" t="str">
        <f>IF(OR(Table1[[#This Row],[Low Tol]]="",Table1[[#This Row],[High Tol]]=""),"Needs Analysis",IF(Table1[[#This Row],[Ratio]]&gt;=4,"Not Significant",IF(Table1[[#This Row],[Ratio]]&gt;=2,"Semi-Significant","Significant")))</f>
        <v>Needs Analysis</v>
      </c>
      <c r="W748" s="1">
        <f>IF(Table1[[#This Row],[Cal Type]]&lt;&gt;"ACCREDITED 17025 WITH UNCERTAINTIES",0,"")</f>
        <v>0</v>
      </c>
      <c r="X748" s="1" t="str">
        <f>IF(Table1[[#This Row],[DUT Read]]="","N/A",Table1[[#This Row],[Std Error]]+Table1[[#This Row],[DUT Read]]+Table1[[#This Row],[DUT Ucty]])</f>
        <v>N/A</v>
      </c>
      <c r="Y748" s="1" t="str">
        <f>IF(Table1[[#This Row],[Std Read]]="","N/A",Table1[[#This Row],[Std Read]]+Table1[[#This Row],[Std Ucty]])</f>
        <v>N/A</v>
      </c>
      <c r="Z7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8" s="1" t="str">
        <f>IF(Table1[[#This Row],[Spec Type]]="","N/A",Table1[[#This Row],[Spec Type]])</f>
        <v>±</v>
      </c>
      <c r="AC748" s="1" t="str">
        <f>IF(Table1[[#This Row],[Spec Type2]]="N/A","N/A",IF(AND(Table1[[#This Row],[DUT Adj Read]]&gt;=Table1[[#This Row],[Low Tol]],Table1[[#This Row],[DUT Adj Read]]&lt;=Table1[[#This Row],[High Tol]]),"Pass","Fail"))</f>
        <v>Fail</v>
      </c>
      <c r="AD748" s="1" t="str">
        <f>IF(AND(Table1[[#This Row],[Spec Type2]]="N/A",Table1[[#This Row],[DUT Adj Read]]="N/A",Table1[[#This Row],[Std Adj Read]]="N/A"),"N/A",IF(Table1[[#This Row],[DUT Adj Read]]="N/A",IF(Table1[[#This Row],[Std Adj Read]]&gt;Table1[[#This Row],[Low Tol]],"Pass","Fail"),IF(Table1[[#This Row],[DUT Adj Read]]&gt;Table1[[#This Row],[Low Tol]],"Pass","Fail")))</f>
        <v>Pass</v>
      </c>
      <c r="AE748" s="1" t="str">
        <f>IF(AND(Table1[[#This Row],[Spec Type2]]="N/A",Table1[[#This Row],[DUT Adj Read]]="N/A",Table1[[#This Row],[Std Adj Read]]="N/A"),"N/A",IF(Table1[[#This Row],[DUT Adj Read]]="N/A",IF(Table1[[#This Row],[Std Adj Read]]&lt;Table1[[#This Row],[High Tol]],"Pass","Fail"),IF(Table1[[#This Row],[DUT Adj Read]]&lt;Table1[[#This Row],[High Tol]],"Pass","Fail")))</f>
        <v>Fail</v>
      </c>
      <c r="AF748" s="1" t="str">
        <f>IF(AND(Table1[[#This Row],[Spec Type2]]="N/A",Table1[[#This Row],[DUT Adj Read]]="N/A",Table1[[#This Row],[Std Adj Read]]="N/A"),"N/A",IF(Table1[[#This Row],[DUT Adj Read]]="N/A",IF(Table1[[#This Row],[Std Adj Read]]&gt;=Table1[[#This Row],[Low Tol]],"Pass","Fail"),IF(Table1[[#This Row],[DUT Adj Read]]&gt;=Table1[[#This Row],[Low Tol]],"Pass","Fail")))</f>
        <v>Pass</v>
      </c>
      <c r="AG748" s="1" t="str">
        <f>IF(AND(Table1[[#This Row],[Spec Type2]]="N/A",Table1[[#This Row],[DUT Adj Read]]="N/A",Table1[[#This Row],[Std Adj Read]]="N/A"),"N/A",IF(Table1[[#This Row],[DUT Adj Read]]="N/A",IF(Table1[[#This Row],[Std Adj Read]]&lt;=Table1[[#This Row],[High Tol]],"Pass","Fail"),IF(Table1[[#This Row],[DUT Adj Read]]&lt;=Table1[[#This Row],[High Tol]],"Pass","Fail")))</f>
        <v>Fail</v>
      </c>
      <c r="AH7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8" s="1" t="b">
        <v>0</v>
      </c>
      <c r="AN748" s="1" t="b">
        <v>0</v>
      </c>
      <c r="AO748" s="1" t="b">
        <v>0</v>
      </c>
    </row>
    <row r="749" spans="1:41" x14ac:dyDescent="0.25">
      <c r="A749" s="10"/>
      <c r="B749" s="10"/>
      <c r="C749" s="10"/>
      <c r="D749" s="10"/>
      <c r="E749" s="10"/>
      <c r="F749" s="10"/>
      <c r="G749" s="10"/>
      <c r="H749" s="10"/>
      <c r="I749" s="1" t="str">
        <f t="shared" si="33"/>
        <v/>
      </c>
      <c r="J749" s="1" t="s">
        <v>35</v>
      </c>
      <c r="K749" s="1" t="str">
        <f t="shared" si="34"/>
        <v/>
      </c>
      <c r="L749" s="1" t="str">
        <f t="shared" si="35"/>
        <v/>
      </c>
      <c r="M749" s="1">
        <f>IF(OR(Table1[[#This Row],[Std Nom]]="",Table1[[#This Row],[Std Read]]=""),0,Table1[[#This Row],[Std Nom]]-Table1[[#This Row],[Std Read]])</f>
        <v>0</v>
      </c>
      <c r="N749" s="1">
        <f>IF(Calculations!$F$5="ACCREDITED 17025 WITH UNCERTAINTIES",$N$10,0)</f>
        <v>0</v>
      </c>
      <c r="Q749" s="1">
        <f>Table1[[#This Row],[High Tol]]-Table1[[#This Row],[Low Tol]]</f>
        <v>0</v>
      </c>
      <c r="R749" s="1">
        <f>2*Table1[[#This Row],[Std Error]]</f>
        <v>0</v>
      </c>
      <c r="S749" s="1" t="str">
        <f>IF(Table1[[#This Row],[High Tol]]="","N/A",IFERROR(ABS(Table1[[#This Row],[Tol Span]]/Table1[[#This Row],[Error Span]]),"N/A"))</f>
        <v>N/A</v>
      </c>
      <c r="T749" s="1" t="str">
        <f>IF(OR(Table1[[#This Row],[Low Tol]]="",Table1[[#This Row],[High Tol]]=""),"Needs Analysis",IF(Table1[[#This Row],[Ratio]]&gt;=4,"Not Significant",IF(Table1[[#This Row],[Ratio]]&gt;=2,"Semi-Significant","Significant")))</f>
        <v>Needs Analysis</v>
      </c>
      <c r="W749" s="1">
        <f>IF(Table1[[#This Row],[Cal Type]]&lt;&gt;"ACCREDITED 17025 WITH UNCERTAINTIES",0,"")</f>
        <v>0</v>
      </c>
      <c r="X749" s="1" t="str">
        <f>IF(Table1[[#This Row],[DUT Read]]="","N/A",Table1[[#This Row],[Std Error]]+Table1[[#This Row],[DUT Read]]+Table1[[#This Row],[DUT Ucty]])</f>
        <v>N/A</v>
      </c>
      <c r="Y749" s="1" t="str">
        <f>IF(Table1[[#This Row],[Std Read]]="","N/A",Table1[[#This Row],[Std Read]]+Table1[[#This Row],[Std Ucty]])</f>
        <v>N/A</v>
      </c>
      <c r="Z7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49" s="1" t="str">
        <f>IF(Table1[[#This Row],[Spec Type]]="","N/A",Table1[[#This Row],[Spec Type]])</f>
        <v>±</v>
      </c>
      <c r="AC749" s="1" t="str">
        <f>IF(Table1[[#This Row],[Spec Type2]]="N/A","N/A",IF(AND(Table1[[#This Row],[DUT Adj Read]]&gt;=Table1[[#This Row],[Low Tol]],Table1[[#This Row],[DUT Adj Read]]&lt;=Table1[[#This Row],[High Tol]]),"Pass","Fail"))</f>
        <v>Fail</v>
      </c>
      <c r="AD749" s="1" t="str">
        <f>IF(AND(Table1[[#This Row],[Spec Type2]]="N/A",Table1[[#This Row],[DUT Adj Read]]="N/A",Table1[[#This Row],[Std Adj Read]]="N/A"),"N/A",IF(Table1[[#This Row],[DUT Adj Read]]="N/A",IF(Table1[[#This Row],[Std Adj Read]]&gt;Table1[[#This Row],[Low Tol]],"Pass","Fail"),IF(Table1[[#This Row],[DUT Adj Read]]&gt;Table1[[#This Row],[Low Tol]],"Pass","Fail")))</f>
        <v>Pass</v>
      </c>
      <c r="AE749" s="1" t="str">
        <f>IF(AND(Table1[[#This Row],[Spec Type2]]="N/A",Table1[[#This Row],[DUT Adj Read]]="N/A",Table1[[#This Row],[Std Adj Read]]="N/A"),"N/A",IF(Table1[[#This Row],[DUT Adj Read]]="N/A",IF(Table1[[#This Row],[Std Adj Read]]&lt;Table1[[#This Row],[High Tol]],"Pass","Fail"),IF(Table1[[#This Row],[DUT Adj Read]]&lt;Table1[[#This Row],[High Tol]],"Pass","Fail")))</f>
        <v>Fail</v>
      </c>
      <c r="AF749" s="1" t="str">
        <f>IF(AND(Table1[[#This Row],[Spec Type2]]="N/A",Table1[[#This Row],[DUT Adj Read]]="N/A",Table1[[#This Row],[Std Adj Read]]="N/A"),"N/A",IF(Table1[[#This Row],[DUT Adj Read]]="N/A",IF(Table1[[#This Row],[Std Adj Read]]&gt;=Table1[[#This Row],[Low Tol]],"Pass","Fail"),IF(Table1[[#This Row],[DUT Adj Read]]&gt;=Table1[[#This Row],[Low Tol]],"Pass","Fail")))</f>
        <v>Pass</v>
      </c>
      <c r="AG749" s="1" t="str">
        <f>IF(AND(Table1[[#This Row],[Spec Type2]]="N/A",Table1[[#This Row],[DUT Adj Read]]="N/A",Table1[[#This Row],[Std Adj Read]]="N/A"),"N/A",IF(Table1[[#This Row],[DUT Adj Read]]="N/A",IF(Table1[[#This Row],[Std Adj Read]]&lt;=Table1[[#This Row],[High Tol]],"Pass","Fail"),IF(Table1[[#This Row],[DUT Adj Read]]&lt;=Table1[[#This Row],[High Tol]],"Pass","Fail")))</f>
        <v>Fail</v>
      </c>
      <c r="AH7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49" s="1" t="b">
        <v>0</v>
      </c>
      <c r="AN749" s="1" t="b">
        <v>0</v>
      </c>
      <c r="AO749" s="1" t="b">
        <v>0</v>
      </c>
    </row>
    <row r="750" spans="1:41" x14ac:dyDescent="0.25">
      <c r="A750" s="10"/>
      <c r="B750" s="10"/>
      <c r="C750" s="10"/>
      <c r="D750" s="10"/>
      <c r="E750" s="10"/>
      <c r="F750" s="10"/>
      <c r="G750" s="10"/>
      <c r="H750" s="10"/>
      <c r="I750" s="1" t="str">
        <f t="shared" si="33"/>
        <v/>
      </c>
      <c r="J750" s="1" t="s">
        <v>35</v>
      </c>
      <c r="K750" s="1" t="str">
        <f t="shared" si="34"/>
        <v/>
      </c>
      <c r="L750" s="1" t="str">
        <f t="shared" si="35"/>
        <v/>
      </c>
      <c r="M750" s="1">
        <f>IF(OR(Table1[[#This Row],[Std Nom]]="",Table1[[#This Row],[Std Read]]=""),0,Table1[[#This Row],[Std Nom]]-Table1[[#This Row],[Std Read]])</f>
        <v>0</v>
      </c>
      <c r="N750" s="1">
        <f>IF(Calculations!$F$5="ACCREDITED 17025 WITH UNCERTAINTIES",$N$10,0)</f>
        <v>0</v>
      </c>
      <c r="Q750" s="1">
        <f>Table1[[#This Row],[High Tol]]-Table1[[#This Row],[Low Tol]]</f>
        <v>0</v>
      </c>
      <c r="R750" s="1">
        <f>2*Table1[[#This Row],[Std Error]]</f>
        <v>0</v>
      </c>
      <c r="S750" s="1" t="str">
        <f>IF(Table1[[#This Row],[High Tol]]="","N/A",IFERROR(ABS(Table1[[#This Row],[Tol Span]]/Table1[[#This Row],[Error Span]]),"N/A"))</f>
        <v>N/A</v>
      </c>
      <c r="T750" s="1" t="str">
        <f>IF(OR(Table1[[#This Row],[Low Tol]]="",Table1[[#This Row],[High Tol]]=""),"Needs Analysis",IF(Table1[[#This Row],[Ratio]]&gt;=4,"Not Significant",IF(Table1[[#This Row],[Ratio]]&gt;=2,"Semi-Significant","Significant")))</f>
        <v>Needs Analysis</v>
      </c>
      <c r="W750" s="1">
        <f>IF(Table1[[#This Row],[Cal Type]]&lt;&gt;"ACCREDITED 17025 WITH UNCERTAINTIES",0,"")</f>
        <v>0</v>
      </c>
      <c r="X750" s="1" t="str">
        <f>IF(Table1[[#This Row],[DUT Read]]="","N/A",Table1[[#This Row],[Std Error]]+Table1[[#This Row],[DUT Read]]+Table1[[#This Row],[DUT Ucty]])</f>
        <v>N/A</v>
      </c>
      <c r="Y750" s="1" t="str">
        <f>IF(Table1[[#This Row],[Std Read]]="","N/A",Table1[[#This Row],[Std Read]]+Table1[[#This Row],[Std Ucty]])</f>
        <v>N/A</v>
      </c>
      <c r="Z7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0" s="1" t="str">
        <f>IF(Table1[[#This Row],[Spec Type]]="","N/A",Table1[[#This Row],[Spec Type]])</f>
        <v>±</v>
      </c>
      <c r="AC750" s="1" t="str">
        <f>IF(Table1[[#This Row],[Spec Type2]]="N/A","N/A",IF(AND(Table1[[#This Row],[DUT Adj Read]]&gt;=Table1[[#This Row],[Low Tol]],Table1[[#This Row],[DUT Adj Read]]&lt;=Table1[[#This Row],[High Tol]]),"Pass","Fail"))</f>
        <v>Fail</v>
      </c>
      <c r="AD750" s="1" t="str">
        <f>IF(AND(Table1[[#This Row],[Spec Type2]]="N/A",Table1[[#This Row],[DUT Adj Read]]="N/A",Table1[[#This Row],[Std Adj Read]]="N/A"),"N/A",IF(Table1[[#This Row],[DUT Adj Read]]="N/A",IF(Table1[[#This Row],[Std Adj Read]]&gt;Table1[[#This Row],[Low Tol]],"Pass","Fail"),IF(Table1[[#This Row],[DUT Adj Read]]&gt;Table1[[#This Row],[Low Tol]],"Pass","Fail")))</f>
        <v>Pass</v>
      </c>
      <c r="AE750" s="1" t="str">
        <f>IF(AND(Table1[[#This Row],[Spec Type2]]="N/A",Table1[[#This Row],[DUT Adj Read]]="N/A",Table1[[#This Row],[Std Adj Read]]="N/A"),"N/A",IF(Table1[[#This Row],[DUT Adj Read]]="N/A",IF(Table1[[#This Row],[Std Adj Read]]&lt;Table1[[#This Row],[High Tol]],"Pass","Fail"),IF(Table1[[#This Row],[DUT Adj Read]]&lt;Table1[[#This Row],[High Tol]],"Pass","Fail")))</f>
        <v>Fail</v>
      </c>
      <c r="AF750" s="1" t="str">
        <f>IF(AND(Table1[[#This Row],[Spec Type2]]="N/A",Table1[[#This Row],[DUT Adj Read]]="N/A",Table1[[#This Row],[Std Adj Read]]="N/A"),"N/A",IF(Table1[[#This Row],[DUT Adj Read]]="N/A",IF(Table1[[#This Row],[Std Adj Read]]&gt;=Table1[[#This Row],[Low Tol]],"Pass","Fail"),IF(Table1[[#This Row],[DUT Adj Read]]&gt;=Table1[[#This Row],[Low Tol]],"Pass","Fail")))</f>
        <v>Pass</v>
      </c>
      <c r="AG750" s="1" t="str">
        <f>IF(AND(Table1[[#This Row],[Spec Type2]]="N/A",Table1[[#This Row],[DUT Adj Read]]="N/A",Table1[[#This Row],[Std Adj Read]]="N/A"),"N/A",IF(Table1[[#This Row],[DUT Adj Read]]="N/A",IF(Table1[[#This Row],[Std Adj Read]]&lt;=Table1[[#This Row],[High Tol]],"Pass","Fail"),IF(Table1[[#This Row],[DUT Adj Read]]&lt;=Table1[[#This Row],[High Tol]],"Pass","Fail")))</f>
        <v>Fail</v>
      </c>
      <c r="AH7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0" s="1" t="b">
        <v>0</v>
      </c>
      <c r="AN750" s="1" t="b">
        <v>0</v>
      </c>
      <c r="AO750" s="1" t="b">
        <v>0</v>
      </c>
    </row>
    <row r="751" spans="1:41" x14ac:dyDescent="0.25">
      <c r="A751" s="10"/>
      <c r="B751" s="10"/>
      <c r="C751" s="10"/>
      <c r="D751" s="10"/>
      <c r="E751" s="10"/>
      <c r="F751" s="10"/>
      <c r="G751" s="10"/>
      <c r="H751" s="10"/>
      <c r="I751" s="1" t="str">
        <f t="shared" si="33"/>
        <v/>
      </c>
      <c r="J751" s="1" t="s">
        <v>35</v>
      </c>
      <c r="K751" s="1" t="str">
        <f t="shared" si="34"/>
        <v/>
      </c>
      <c r="L751" s="1" t="str">
        <f t="shared" si="35"/>
        <v/>
      </c>
      <c r="M751" s="1">
        <f>IF(OR(Table1[[#This Row],[Std Nom]]="",Table1[[#This Row],[Std Read]]=""),0,Table1[[#This Row],[Std Nom]]-Table1[[#This Row],[Std Read]])</f>
        <v>0</v>
      </c>
      <c r="N751" s="1">
        <f>IF(Calculations!$F$5="ACCREDITED 17025 WITH UNCERTAINTIES",$N$10,0)</f>
        <v>0</v>
      </c>
      <c r="Q751" s="1">
        <f>Table1[[#This Row],[High Tol]]-Table1[[#This Row],[Low Tol]]</f>
        <v>0</v>
      </c>
      <c r="R751" s="1">
        <f>2*Table1[[#This Row],[Std Error]]</f>
        <v>0</v>
      </c>
      <c r="S751" s="1" t="str">
        <f>IF(Table1[[#This Row],[High Tol]]="","N/A",IFERROR(ABS(Table1[[#This Row],[Tol Span]]/Table1[[#This Row],[Error Span]]),"N/A"))</f>
        <v>N/A</v>
      </c>
      <c r="T751" s="1" t="str">
        <f>IF(OR(Table1[[#This Row],[Low Tol]]="",Table1[[#This Row],[High Tol]]=""),"Needs Analysis",IF(Table1[[#This Row],[Ratio]]&gt;=4,"Not Significant",IF(Table1[[#This Row],[Ratio]]&gt;=2,"Semi-Significant","Significant")))</f>
        <v>Needs Analysis</v>
      </c>
      <c r="W751" s="1">
        <f>IF(Table1[[#This Row],[Cal Type]]&lt;&gt;"ACCREDITED 17025 WITH UNCERTAINTIES",0,"")</f>
        <v>0</v>
      </c>
      <c r="X751" s="1" t="str">
        <f>IF(Table1[[#This Row],[DUT Read]]="","N/A",Table1[[#This Row],[Std Error]]+Table1[[#This Row],[DUT Read]]+Table1[[#This Row],[DUT Ucty]])</f>
        <v>N/A</v>
      </c>
      <c r="Y751" s="1" t="str">
        <f>IF(Table1[[#This Row],[Std Read]]="","N/A",Table1[[#This Row],[Std Read]]+Table1[[#This Row],[Std Ucty]])</f>
        <v>N/A</v>
      </c>
      <c r="Z7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1" s="1" t="str">
        <f>IF(Table1[[#This Row],[Spec Type]]="","N/A",Table1[[#This Row],[Spec Type]])</f>
        <v>±</v>
      </c>
      <c r="AC751" s="1" t="str">
        <f>IF(Table1[[#This Row],[Spec Type2]]="N/A","N/A",IF(AND(Table1[[#This Row],[DUT Adj Read]]&gt;=Table1[[#This Row],[Low Tol]],Table1[[#This Row],[DUT Adj Read]]&lt;=Table1[[#This Row],[High Tol]]),"Pass","Fail"))</f>
        <v>Fail</v>
      </c>
      <c r="AD751" s="1" t="str">
        <f>IF(AND(Table1[[#This Row],[Spec Type2]]="N/A",Table1[[#This Row],[DUT Adj Read]]="N/A",Table1[[#This Row],[Std Adj Read]]="N/A"),"N/A",IF(Table1[[#This Row],[DUT Adj Read]]="N/A",IF(Table1[[#This Row],[Std Adj Read]]&gt;Table1[[#This Row],[Low Tol]],"Pass","Fail"),IF(Table1[[#This Row],[DUT Adj Read]]&gt;Table1[[#This Row],[Low Tol]],"Pass","Fail")))</f>
        <v>Pass</v>
      </c>
      <c r="AE751" s="1" t="str">
        <f>IF(AND(Table1[[#This Row],[Spec Type2]]="N/A",Table1[[#This Row],[DUT Adj Read]]="N/A",Table1[[#This Row],[Std Adj Read]]="N/A"),"N/A",IF(Table1[[#This Row],[DUT Adj Read]]="N/A",IF(Table1[[#This Row],[Std Adj Read]]&lt;Table1[[#This Row],[High Tol]],"Pass","Fail"),IF(Table1[[#This Row],[DUT Adj Read]]&lt;Table1[[#This Row],[High Tol]],"Pass","Fail")))</f>
        <v>Fail</v>
      </c>
      <c r="AF751" s="1" t="str">
        <f>IF(AND(Table1[[#This Row],[Spec Type2]]="N/A",Table1[[#This Row],[DUT Adj Read]]="N/A",Table1[[#This Row],[Std Adj Read]]="N/A"),"N/A",IF(Table1[[#This Row],[DUT Adj Read]]="N/A",IF(Table1[[#This Row],[Std Adj Read]]&gt;=Table1[[#This Row],[Low Tol]],"Pass","Fail"),IF(Table1[[#This Row],[DUT Adj Read]]&gt;=Table1[[#This Row],[Low Tol]],"Pass","Fail")))</f>
        <v>Pass</v>
      </c>
      <c r="AG751" s="1" t="str">
        <f>IF(AND(Table1[[#This Row],[Spec Type2]]="N/A",Table1[[#This Row],[DUT Adj Read]]="N/A",Table1[[#This Row],[Std Adj Read]]="N/A"),"N/A",IF(Table1[[#This Row],[DUT Adj Read]]="N/A",IF(Table1[[#This Row],[Std Adj Read]]&lt;=Table1[[#This Row],[High Tol]],"Pass","Fail"),IF(Table1[[#This Row],[DUT Adj Read]]&lt;=Table1[[#This Row],[High Tol]],"Pass","Fail")))</f>
        <v>Fail</v>
      </c>
      <c r="AH7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1" s="1" t="b">
        <v>0</v>
      </c>
      <c r="AN751" s="1" t="b">
        <v>0</v>
      </c>
      <c r="AO751" s="1" t="b">
        <v>0</v>
      </c>
    </row>
    <row r="752" spans="1:41" x14ac:dyDescent="0.25">
      <c r="A752" s="10"/>
      <c r="B752" s="10"/>
      <c r="C752" s="10"/>
      <c r="D752" s="10"/>
      <c r="E752" s="10"/>
      <c r="F752" s="10"/>
      <c r="G752" s="10"/>
      <c r="H752" s="10"/>
      <c r="I752" s="1" t="str">
        <f t="shared" si="33"/>
        <v/>
      </c>
      <c r="J752" s="1" t="s">
        <v>35</v>
      </c>
      <c r="K752" s="1" t="str">
        <f t="shared" si="34"/>
        <v/>
      </c>
      <c r="L752" s="1" t="str">
        <f t="shared" si="35"/>
        <v/>
      </c>
      <c r="M752" s="1">
        <f>IF(OR(Table1[[#This Row],[Std Nom]]="",Table1[[#This Row],[Std Read]]=""),0,Table1[[#This Row],[Std Nom]]-Table1[[#This Row],[Std Read]])</f>
        <v>0</v>
      </c>
      <c r="N752" s="1">
        <f>IF(Calculations!$F$5="ACCREDITED 17025 WITH UNCERTAINTIES",$N$10,0)</f>
        <v>0</v>
      </c>
      <c r="Q752" s="1">
        <f>Table1[[#This Row],[High Tol]]-Table1[[#This Row],[Low Tol]]</f>
        <v>0</v>
      </c>
      <c r="R752" s="1">
        <f>2*Table1[[#This Row],[Std Error]]</f>
        <v>0</v>
      </c>
      <c r="S752" s="1" t="str">
        <f>IF(Table1[[#This Row],[High Tol]]="","N/A",IFERROR(ABS(Table1[[#This Row],[Tol Span]]/Table1[[#This Row],[Error Span]]),"N/A"))</f>
        <v>N/A</v>
      </c>
      <c r="T752" s="1" t="str">
        <f>IF(OR(Table1[[#This Row],[Low Tol]]="",Table1[[#This Row],[High Tol]]=""),"Needs Analysis",IF(Table1[[#This Row],[Ratio]]&gt;=4,"Not Significant",IF(Table1[[#This Row],[Ratio]]&gt;=2,"Semi-Significant","Significant")))</f>
        <v>Needs Analysis</v>
      </c>
      <c r="W752" s="1">
        <f>IF(Table1[[#This Row],[Cal Type]]&lt;&gt;"ACCREDITED 17025 WITH UNCERTAINTIES",0,"")</f>
        <v>0</v>
      </c>
      <c r="X752" s="1" t="str">
        <f>IF(Table1[[#This Row],[DUT Read]]="","N/A",Table1[[#This Row],[Std Error]]+Table1[[#This Row],[DUT Read]]+Table1[[#This Row],[DUT Ucty]])</f>
        <v>N/A</v>
      </c>
      <c r="Y752" s="1" t="str">
        <f>IF(Table1[[#This Row],[Std Read]]="","N/A",Table1[[#This Row],[Std Read]]+Table1[[#This Row],[Std Ucty]])</f>
        <v>N/A</v>
      </c>
      <c r="Z7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2" s="1" t="str">
        <f>IF(Table1[[#This Row],[Spec Type]]="","N/A",Table1[[#This Row],[Spec Type]])</f>
        <v>±</v>
      </c>
      <c r="AC752" s="1" t="str">
        <f>IF(Table1[[#This Row],[Spec Type2]]="N/A","N/A",IF(AND(Table1[[#This Row],[DUT Adj Read]]&gt;=Table1[[#This Row],[Low Tol]],Table1[[#This Row],[DUT Adj Read]]&lt;=Table1[[#This Row],[High Tol]]),"Pass","Fail"))</f>
        <v>Fail</v>
      </c>
      <c r="AD752" s="1" t="str">
        <f>IF(AND(Table1[[#This Row],[Spec Type2]]="N/A",Table1[[#This Row],[DUT Adj Read]]="N/A",Table1[[#This Row],[Std Adj Read]]="N/A"),"N/A",IF(Table1[[#This Row],[DUT Adj Read]]="N/A",IF(Table1[[#This Row],[Std Adj Read]]&gt;Table1[[#This Row],[Low Tol]],"Pass","Fail"),IF(Table1[[#This Row],[DUT Adj Read]]&gt;Table1[[#This Row],[Low Tol]],"Pass","Fail")))</f>
        <v>Pass</v>
      </c>
      <c r="AE752" s="1" t="str">
        <f>IF(AND(Table1[[#This Row],[Spec Type2]]="N/A",Table1[[#This Row],[DUT Adj Read]]="N/A",Table1[[#This Row],[Std Adj Read]]="N/A"),"N/A",IF(Table1[[#This Row],[DUT Adj Read]]="N/A",IF(Table1[[#This Row],[Std Adj Read]]&lt;Table1[[#This Row],[High Tol]],"Pass","Fail"),IF(Table1[[#This Row],[DUT Adj Read]]&lt;Table1[[#This Row],[High Tol]],"Pass","Fail")))</f>
        <v>Fail</v>
      </c>
      <c r="AF752" s="1" t="str">
        <f>IF(AND(Table1[[#This Row],[Spec Type2]]="N/A",Table1[[#This Row],[DUT Adj Read]]="N/A",Table1[[#This Row],[Std Adj Read]]="N/A"),"N/A",IF(Table1[[#This Row],[DUT Adj Read]]="N/A",IF(Table1[[#This Row],[Std Adj Read]]&gt;=Table1[[#This Row],[Low Tol]],"Pass","Fail"),IF(Table1[[#This Row],[DUT Adj Read]]&gt;=Table1[[#This Row],[Low Tol]],"Pass","Fail")))</f>
        <v>Pass</v>
      </c>
      <c r="AG752" s="1" t="str">
        <f>IF(AND(Table1[[#This Row],[Spec Type2]]="N/A",Table1[[#This Row],[DUT Adj Read]]="N/A",Table1[[#This Row],[Std Adj Read]]="N/A"),"N/A",IF(Table1[[#This Row],[DUT Adj Read]]="N/A",IF(Table1[[#This Row],[Std Adj Read]]&lt;=Table1[[#This Row],[High Tol]],"Pass","Fail"),IF(Table1[[#This Row],[DUT Adj Read]]&lt;=Table1[[#This Row],[High Tol]],"Pass","Fail")))</f>
        <v>Fail</v>
      </c>
      <c r="AH7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2" s="1" t="b">
        <v>0</v>
      </c>
      <c r="AN752" s="1" t="b">
        <v>0</v>
      </c>
      <c r="AO752" s="1" t="b">
        <v>0</v>
      </c>
    </row>
    <row r="753" spans="1:41" x14ac:dyDescent="0.25">
      <c r="A753" s="10"/>
      <c r="B753" s="10"/>
      <c r="C753" s="10"/>
      <c r="D753" s="10"/>
      <c r="E753" s="10"/>
      <c r="F753" s="10"/>
      <c r="G753" s="10"/>
      <c r="H753" s="10"/>
      <c r="I753" s="1" t="str">
        <f t="shared" si="33"/>
        <v/>
      </c>
      <c r="J753" s="1" t="s">
        <v>35</v>
      </c>
      <c r="K753" s="1" t="str">
        <f t="shared" si="34"/>
        <v/>
      </c>
      <c r="L753" s="1" t="str">
        <f t="shared" si="35"/>
        <v/>
      </c>
      <c r="M753" s="1">
        <f>IF(OR(Table1[[#This Row],[Std Nom]]="",Table1[[#This Row],[Std Read]]=""),0,Table1[[#This Row],[Std Nom]]-Table1[[#This Row],[Std Read]])</f>
        <v>0</v>
      </c>
      <c r="N753" s="1">
        <f>IF(Calculations!$F$5="ACCREDITED 17025 WITH UNCERTAINTIES",$N$10,0)</f>
        <v>0</v>
      </c>
      <c r="Q753" s="1">
        <f>Table1[[#This Row],[High Tol]]-Table1[[#This Row],[Low Tol]]</f>
        <v>0</v>
      </c>
      <c r="R753" s="1">
        <f>2*Table1[[#This Row],[Std Error]]</f>
        <v>0</v>
      </c>
      <c r="S753" s="1" t="str">
        <f>IF(Table1[[#This Row],[High Tol]]="","N/A",IFERROR(ABS(Table1[[#This Row],[Tol Span]]/Table1[[#This Row],[Error Span]]),"N/A"))</f>
        <v>N/A</v>
      </c>
      <c r="T753" s="1" t="str">
        <f>IF(OR(Table1[[#This Row],[Low Tol]]="",Table1[[#This Row],[High Tol]]=""),"Needs Analysis",IF(Table1[[#This Row],[Ratio]]&gt;=4,"Not Significant",IF(Table1[[#This Row],[Ratio]]&gt;=2,"Semi-Significant","Significant")))</f>
        <v>Needs Analysis</v>
      </c>
      <c r="W753" s="1">
        <f>IF(Table1[[#This Row],[Cal Type]]&lt;&gt;"ACCREDITED 17025 WITH UNCERTAINTIES",0,"")</f>
        <v>0</v>
      </c>
      <c r="X753" s="1" t="str">
        <f>IF(Table1[[#This Row],[DUT Read]]="","N/A",Table1[[#This Row],[Std Error]]+Table1[[#This Row],[DUT Read]]+Table1[[#This Row],[DUT Ucty]])</f>
        <v>N/A</v>
      </c>
      <c r="Y753" s="1" t="str">
        <f>IF(Table1[[#This Row],[Std Read]]="","N/A",Table1[[#This Row],[Std Read]]+Table1[[#This Row],[Std Ucty]])</f>
        <v>N/A</v>
      </c>
      <c r="Z7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3" s="1" t="str">
        <f>IF(Table1[[#This Row],[Spec Type]]="","N/A",Table1[[#This Row],[Spec Type]])</f>
        <v>±</v>
      </c>
      <c r="AC753" s="1" t="str">
        <f>IF(Table1[[#This Row],[Spec Type2]]="N/A","N/A",IF(AND(Table1[[#This Row],[DUT Adj Read]]&gt;=Table1[[#This Row],[Low Tol]],Table1[[#This Row],[DUT Adj Read]]&lt;=Table1[[#This Row],[High Tol]]),"Pass","Fail"))</f>
        <v>Fail</v>
      </c>
      <c r="AD753" s="1" t="str">
        <f>IF(AND(Table1[[#This Row],[Spec Type2]]="N/A",Table1[[#This Row],[DUT Adj Read]]="N/A",Table1[[#This Row],[Std Adj Read]]="N/A"),"N/A",IF(Table1[[#This Row],[DUT Adj Read]]="N/A",IF(Table1[[#This Row],[Std Adj Read]]&gt;Table1[[#This Row],[Low Tol]],"Pass","Fail"),IF(Table1[[#This Row],[DUT Adj Read]]&gt;Table1[[#This Row],[Low Tol]],"Pass","Fail")))</f>
        <v>Pass</v>
      </c>
      <c r="AE753" s="1" t="str">
        <f>IF(AND(Table1[[#This Row],[Spec Type2]]="N/A",Table1[[#This Row],[DUT Adj Read]]="N/A",Table1[[#This Row],[Std Adj Read]]="N/A"),"N/A",IF(Table1[[#This Row],[DUT Adj Read]]="N/A",IF(Table1[[#This Row],[Std Adj Read]]&lt;Table1[[#This Row],[High Tol]],"Pass","Fail"),IF(Table1[[#This Row],[DUT Adj Read]]&lt;Table1[[#This Row],[High Tol]],"Pass","Fail")))</f>
        <v>Fail</v>
      </c>
      <c r="AF753" s="1" t="str">
        <f>IF(AND(Table1[[#This Row],[Spec Type2]]="N/A",Table1[[#This Row],[DUT Adj Read]]="N/A",Table1[[#This Row],[Std Adj Read]]="N/A"),"N/A",IF(Table1[[#This Row],[DUT Adj Read]]="N/A",IF(Table1[[#This Row],[Std Adj Read]]&gt;=Table1[[#This Row],[Low Tol]],"Pass","Fail"),IF(Table1[[#This Row],[DUT Adj Read]]&gt;=Table1[[#This Row],[Low Tol]],"Pass","Fail")))</f>
        <v>Pass</v>
      </c>
      <c r="AG753" s="1" t="str">
        <f>IF(AND(Table1[[#This Row],[Spec Type2]]="N/A",Table1[[#This Row],[DUT Adj Read]]="N/A",Table1[[#This Row],[Std Adj Read]]="N/A"),"N/A",IF(Table1[[#This Row],[DUT Adj Read]]="N/A",IF(Table1[[#This Row],[Std Adj Read]]&lt;=Table1[[#This Row],[High Tol]],"Pass","Fail"),IF(Table1[[#This Row],[DUT Adj Read]]&lt;=Table1[[#This Row],[High Tol]],"Pass","Fail")))</f>
        <v>Fail</v>
      </c>
      <c r="AH7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3" s="1" t="b">
        <v>0</v>
      </c>
      <c r="AN753" s="1" t="b">
        <v>0</v>
      </c>
      <c r="AO753" s="1" t="b">
        <v>0</v>
      </c>
    </row>
    <row r="754" spans="1:41" x14ac:dyDescent="0.25">
      <c r="A754" s="10"/>
      <c r="B754" s="10"/>
      <c r="C754" s="10"/>
      <c r="D754" s="10"/>
      <c r="E754" s="10"/>
      <c r="F754" s="10"/>
      <c r="G754" s="10"/>
      <c r="H754" s="10"/>
      <c r="I754" s="1" t="str">
        <f t="shared" si="33"/>
        <v/>
      </c>
      <c r="J754" s="1" t="s">
        <v>35</v>
      </c>
      <c r="K754" s="1" t="str">
        <f t="shared" si="34"/>
        <v/>
      </c>
      <c r="L754" s="1" t="str">
        <f t="shared" si="35"/>
        <v/>
      </c>
      <c r="M754" s="1">
        <f>IF(OR(Table1[[#This Row],[Std Nom]]="",Table1[[#This Row],[Std Read]]=""),0,Table1[[#This Row],[Std Nom]]-Table1[[#This Row],[Std Read]])</f>
        <v>0</v>
      </c>
      <c r="N754" s="1">
        <f>IF(Calculations!$F$5="ACCREDITED 17025 WITH UNCERTAINTIES",$N$10,0)</f>
        <v>0</v>
      </c>
      <c r="Q754" s="1">
        <f>Table1[[#This Row],[High Tol]]-Table1[[#This Row],[Low Tol]]</f>
        <v>0</v>
      </c>
      <c r="R754" s="1">
        <f>2*Table1[[#This Row],[Std Error]]</f>
        <v>0</v>
      </c>
      <c r="S754" s="1" t="str">
        <f>IF(Table1[[#This Row],[High Tol]]="","N/A",IFERROR(ABS(Table1[[#This Row],[Tol Span]]/Table1[[#This Row],[Error Span]]),"N/A"))</f>
        <v>N/A</v>
      </c>
      <c r="T754" s="1" t="str">
        <f>IF(OR(Table1[[#This Row],[Low Tol]]="",Table1[[#This Row],[High Tol]]=""),"Needs Analysis",IF(Table1[[#This Row],[Ratio]]&gt;=4,"Not Significant",IF(Table1[[#This Row],[Ratio]]&gt;=2,"Semi-Significant","Significant")))</f>
        <v>Needs Analysis</v>
      </c>
      <c r="W754" s="1">
        <f>IF(Table1[[#This Row],[Cal Type]]&lt;&gt;"ACCREDITED 17025 WITH UNCERTAINTIES",0,"")</f>
        <v>0</v>
      </c>
      <c r="X754" s="1" t="str">
        <f>IF(Table1[[#This Row],[DUT Read]]="","N/A",Table1[[#This Row],[Std Error]]+Table1[[#This Row],[DUT Read]]+Table1[[#This Row],[DUT Ucty]])</f>
        <v>N/A</v>
      </c>
      <c r="Y754" s="1" t="str">
        <f>IF(Table1[[#This Row],[Std Read]]="","N/A",Table1[[#This Row],[Std Read]]+Table1[[#This Row],[Std Ucty]])</f>
        <v>N/A</v>
      </c>
      <c r="Z7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4" s="1" t="str">
        <f>IF(Table1[[#This Row],[Spec Type]]="","N/A",Table1[[#This Row],[Spec Type]])</f>
        <v>±</v>
      </c>
      <c r="AC754" s="1" t="str">
        <f>IF(Table1[[#This Row],[Spec Type2]]="N/A","N/A",IF(AND(Table1[[#This Row],[DUT Adj Read]]&gt;=Table1[[#This Row],[Low Tol]],Table1[[#This Row],[DUT Adj Read]]&lt;=Table1[[#This Row],[High Tol]]),"Pass","Fail"))</f>
        <v>Fail</v>
      </c>
      <c r="AD754" s="1" t="str">
        <f>IF(AND(Table1[[#This Row],[Spec Type2]]="N/A",Table1[[#This Row],[DUT Adj Read]]="N/A",Table1[[#This Row],[Std Adj Read]]="N/A"),"N/A",IF(Table1[[#This Row],[DUT Adj Read]]="N/A",IF(Table1[[#This Row],[Std Adj Read]]&gt;Table1[[#This Row],[Low Tol]],"Pass","Fail"),IF(Table1[[#This Row],[DUT Adj Read]]&gt;Table1[[#This Row],[Low Tol]],"Pass","Fail")))</f>
        <v>Pass</v>
      </c>
      <c r="AE754" s="1" t="str">
        <f>IF(AND(Table1[[#This Row],[Spec Type2]]="N/A",Table1[[#This Row],[DUT Adj Read]]="N/A",Table1[[#This Row],[Std Adj Read]]="N/A"),"N/A",IF(Table1[[#This Row],[DUT Adj Read]]="N/A",IF(Table1[[#This Row],[Std Adj Read]]&lt;Table1[[#This Row],[High Tol]],"Pass","Fail"),IF(Table1[[#This Row],[DUT Adj Read]]&lt;Table1[[#This Row],[High Tol]],"Pass","Fail")))</f>
        <v>Fail</v>
      </c>
      <c r="AF754" s="1" t="str">
        <f>IF(AND(Table1[[#This Row],[Spec Type2]]="N/A",Table1[[#This Row],[DUT Adj Read]]="N/A",Table1[[#This Row],[Std Adj Read]]="N/A"),"N/A",IF(Table1[[#This Row],[DUT Adj Read]]="N/A",IF(Table1[[#This Row],[Std Adj Read]]&gt;=Table1[[#This Row],[Low Tol]],"Pass","Fail"),IF(Table1[[#This Row],[DUT Adj Read]]&gt;=Table1[[#This Row],[Low Tol]],"Pass","Fail")))</f>
        <v>Pass</v>
      </c>
      <c r="AG754" s="1" t="str">
        <f>IF(AND(Table1[[#This Row],[Spec Type2]]="N/A",Table1[[#This Row],[DUT Adj Read]]="N/A",Table1[[#This Row],[Std Adj Read]]="N/A"),"N/A",IF(Table1[[#This Row],[DUT Adj Read]]="N/A",IF(Table1[[#This Row],[Std Adj Read]]&lt;=Table1[[#This Row],[High Tol]],"Pass","Fail"),IF(Table1[[#This Row],[DUT Adj Read]]&lt;=Table1[[#This Row],[High Tol]],"Pass","Fail")))</f>
        <v>Fail</v>
      </c>
      <c r="AH7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4" s="1" t="b">
        <v>0</v>
      </c>
      <c r="AN754" s="1" t="b">
        <v>0</v>
      </c>
      <c r="AO754" s="1" t="b">
        <v>0</v>
      </c>
    </row>
    <row r="755" spans="1:41" x14ac:dyDescent="0.25">
      <c r="A755" s="10"/>
      <c r="B755" s="10"/>
      <c r="C755" s="10"/>
      <c r="D755" s="10"/>
      <c r="E755" s="10"/>
      <c r="F755" s="10"/>
      <c r="G755" s="10"/>
      <c r="H755" s="10"/>
      <c r="I755" s="1" t="str">
        <f t="shared" si="33"/>
        <v/>
      </c>
      <c r="J755" s="1" t="s">
        <v>35</v>
      </c>
      <c r="K755" s="1" t="str">
        <f t="shared" si="34"/>
        <v/>
      </c>
      <c r="L755" s="1" t="str">
        <f t="shared" si="35"/>
        <v/>
      </c>
      <c r="M755" s="1">
        <f>IF(OR(Table1[[#This Row],[Std Nom]]="",Table1[[#This Row],[Std Read]]=""),0,Table1[[#This Row],[Std Nom]]-Table1[[#This Row],[Std Read]])</f>
        <v>0</v>
      </c>
      <c r="N755" s="1">
        <f>IF(Calculations!$F$5="ACCREDITED 17025 WITH UNCERTAINTIES",$N$10,0)</f>
        <v>0</v>
      </c>
      <c r="Q755" s="1">
        <f>Table1[[#This Row],[High Tol]]-Table1[[#This Row],[Low Tol]]</f>
        <v>0</v>
      </c>
      <c r="R755" s="1">
        <f>2*Table1[[#This Row],[Std Error]]</f>
        <v>0</v>
      </c>
      <c r="S755" s="1" t="str">
        <f>IF(Table1[[#This Row],[High Tol]]="","N/A",IFERROR(ABS(Table1[[#This Row],[Tol Span]]/Table1[[#This Row],[Error Span]]),"N/A"))</f>
        <v>N/A</v>
      </c>
      <c r="T755" s="1" t="str">
        <f>IF(OR(Table1[[#This Row],[Low Tol]]="",Table1[[#This Row],[High Tol]]=""),"Needs Analysis",IF(Table1[[#This Row],[Ratio]]&gt;=4,"Not Significant",IF(Table1[[#This Row],[Ratio]]&gt;=2,"Semi-Significant","Significant")))</f>
        <v>Needs Analysis</v>
      </c>
      <c r="W755" s="1">
        <f>IF(Table1[[#This Row],[Cal Type]]&lt;&gt;"ACCREDITED 17025 WITH UNCERTAINTIES",0,"")</f>
        <v>0</v>
      </c>
      <c r="X755" s="1" t="str">
        <f>IF(Table1[[#This Row],[DUT Read]]="","N/A",Table1[[#This Row],[Std Error]]+Table1[[#This Row],[DUT Read]]+Table1[[#This Row],[DUT Ucty]])</f>
        <v>N/A</v>
      </c>
      <c r="Y755" s="1" t="str">
        <f>IF(Table1[[#This Row],[Std Read]]="","N/A",Table1[[#This Row],[Std Read]]+Table1[[#This Row],[Std Ucty]])</f>
        <v>N/A</v>
      </c>
      <c r="Z7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5" s="1" t="str">
        <f>IF(Table1[[#This Row],[Spec Type]]="","N/A",Table1[[#This Row],[Spec Type]])</f>
        <v>±</v>
      </c>
      <c r="AC755" s="1" t="str">
        <f>IF(Table1[[#This Row],[Spec Type2]]="N/A","N/A",IF(AND(Table1[[#This Row],[DUT Adj Read]]&gt;=Table1[[#This Row],[Low Tol]],Table1[[#This Row],[DUT Adj Read]]&lt;=Table1[[#This Row],[High Tol]]),"Pass","Fail"))</f>
        <v>Fail</v>
      </c>
      <c r="AD755" s="1" t="str">
        <f>IF(AND(Table1[[#This Row],[Spec Type2]]="N/A",Table1[[#This Row],[DUT Adj Read]]="N/A",Table1[[#This Row],[Std Adj Read]]="N/A"),"N/A",IF(Table1[[#This Row],[DUT Adj Read]]="N/A",IF(Table1[[#This Row],[Std Adj Read]]&gt;Table1[[#This Row],[Low Tol]],"Pass","Fail"),IF(Table1[[#This Row],[DUT Adj Read]]&gt;Table1[[#This Row],[Low Tol]],"Pass","Fail")))</f>
        <v>Pass</v>
      </c>
      <c r="AE755" s="1" t="str">
        <f>IF(AND(Table1[[#This Row],[Spec Type2]]="N/A",Table1[[#This Row],[DUT Adj Read]]="N/A",Table1[[#This Row],[Std Adj Read]]="N/A"),"N/A",IF(Table1[[#This Row],[DUT Adj Read]]="N/A",IF(Table1[[#This Row],[Std Adj Read]]&lt;Table1[[#This Row],[High Tol]],"Pass","Fail"),IF(Table1[[#This Row],[DUT Adj Read]]&lt;Table1[[#This Row],[High Tol]],"Pass","Fail")))</f>
        <v>Fail</v>
      </c>
      <c r="AF755" s="1" t="str">
        <f>IF(AND(Table1[[#This Row],[Spec Type2]]="N/A",Table1[[#This Row],[DUT Adj Read]]="N/A",Table1[[#This Row],[Std Adj Read]]="N/A"),"N/A",IF(Table1[[#This Row],[DUT Adj Read]]="N/A",IF(Table1[[#This Row],[Std Adj Read]]&gt;=Table1[[#This Row],[Low Tol]],"Pass","Fail"),IF(Table1[[#This Row],[DUT Adj Read]]&gt;=Table1[[#This Row],[Low Tol]],"Pass","Fail")))</f>
        <v>Pass</v>
      </c>
      <c r="AG755" s="1" t="str">
        <f>IF(AND(Table1[[#This Row],[Spec Type2]]="N/A",Table1[[#This Row],[DUT Adj Read]]="N/A",Table1[[#This Row],[Std Adj Read]]="N/A"),"N/A",IF(Table1[[#This Row],[DUT Adj Read]]="N/A",IF(Table1[[#This Row],[Std Adj Read]]&lt;=Table1[[#This Row],[High Tol]],"Pass","Fail"),IF(Table1[[#This Row],[DUT Adj Read]]&lt;=Table1[[#This Row],[High Tol]],"Pass","Fail")))</f>
        <v>Fail</v>
      </c>
      <c r="AH7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5" s="1" t="b">
        <v>0</v>
      </c>
      <c r="AN755" s="1" t="b">
        <v>0</v>
      </c>
      <c r="AO755" s="1" t="b">
        <v>0</v>
      </c>
    </row>
    <row r="756" spans="1:41" x14ac:dyDescent="0.25">
      <c r="A756" s="10"/>
      <c r="B756" s="10"/>
      <c r="C756" s="10"/>
      <c r="D756" s="10"/>
      <c r="E756" s="10"/>
      <c r="F756" s="10"/>
      <c r="G756" s="10"/>
      <c r="H756" s="10"/>
      <c r="I756" s="1" t="str">
        <f t="shared" si="33"/>
        <v/>
      </c>
      <c r="J756" s="1" t="s">
        <v>35</v>
      </c>
      <c r="K756" s="1" t="str">
        <f t="shared" si="34"/>
        <v/>
      </c>
      <c r="L756" s="1" t="str">
        <f t="shared" si="35"/>
        <v/>
      </c>
      <c r="M756" s="1">
        <f>IF(OR(Table1[[#This Row],[Std Nom]]="",Table1[[#This Row],[Std Read]]=""),0,Table1[[#This Row],[Std Nom]]-Table1[[#This Row],[Std Read]])</f>
        <v>0</v>
      </c>
      <c r="N756" s="1">
        <f>IF(Calculations!$F$5="ACCREDITED 17025 WITH UNCERTAINTIES",$N$10,0)</f>
        <v>0</v>
      </c>
      <c r="Q756" s="1">
        <f>Table1[[#This Row],[High Tol]]-Table1[[#This Row],[Low Tol]]</f>
        <v>0</v>
      </c>
      <c r="R756" s="1">
        <f>2*Table1[[#This Row],[Std Error]]</f>
        <v>0</v>
      </c>
      <c r="S756" s="1" t="str">
        <f>IF(Table1[[#This Row],[High Tol]]="","N/A",IFERROR(ABS(Table1[[#This Row],[Tol Span]]/Table1[[#This Row],[Error Span]]),"N/A"))</f>
        <v>N/A</v>
      </c>
      <c r="T756" s="1" t="str">
        <f>IF(OR(Table1[[#This Row],[Low Tol]]="",Table1[[#This Row],[High Tol]]=""),"Needs Analysis",IF(Table1[[#This Row],[Ratio]]&gt;=4,"Not Significant",IF(Table1[[#This Row],[Ratio]]&gt;=2,"Semi-Significant","Significant")))</f>
        <v>Needs Analysis</v>
      </c>
      <c r="W756" s="1">
        <f>IF(Table1[[#This Row],[Cal Type]]&lt;&gt;"ACCREDITED 17025 WITH UNCERTAINTIES",0,"")</f>
        <v>0</v>
      </c>
      <c r="X756" s="1" t="str">
        <f>IF(Table1[[#This Row],[DUT Read]]="","N/A",Table1[[#This Row],[Std Error]]+Table1[[#This Row],[DUT Read]]+Table1[[#This Row],[DUT Ucty]])</f>
        <v>N/A</v>
      </c>
      <c r="Y756" s="1" t="str">
        <f>IF(Table1[[#This Row],[Std Read]]="","N/A",Table1[[#This Row],[Std Read]]+Table1[[#This Row],[Std Ucty]])</f>
        <v>N/A</v>
      </c>
      <c r="Z7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6" s="1" t="str">
        <f>IF(Table1[[#This Row],[Spec Type]]="","N/A",Table1[[#This Row],[Spec Type]])</f>
        <v>±</v>
      </c>
      <c r="AC756" s="1" t="str">
        <f>IF(Table1[[#This Row],[Spec Type2]]="N/A","N/A",IF(AND(Table1[[#This Row],[DUT Adj Read]]&gt;=Table1[[#This Row],[Low Tol]],Table1[[#This Row],[DUT Adj Read]]&lt;=Table1[[#This Row],[High Tol]]),"Pass","Fail"))</f>
        <v>Fail</v>
      </c>
      <c r="AD756" s="1" t="str">
        <f>IF(AND(Table1[[#This Row],[Spec Type2]]="N/A",Table1[[#This Row],[DUT Adj Read]]="N/A",Table1[[#This Row],[Std Adj Read]]="N/A"),"N/A",IF(Table1[[#This Row],[DUT Adj Read]]="N/A",IF(Table1[[#This Row],[Std Adj Read]]&gt;Table1[[#This Row],[Low Tol]],"Pass","Fail"),IF(Table1[[#This Row],[DUT Adj Read]]&gt;Table1[[#This Row],[Low Tol]],"Pass","Fail")))</f>
        <v>Pass</v>
      </c>
      <c r="AE756" s="1" t="str">
        <f>IF(AND(Table1[[#This Row],[Spec Type2]]="N/A",Table1[[#This Row],[DUT Adj Read]]="N/A",Table1[[#This Row],[Std Adj Read]]="N/A"),"N/A",IF(Table1[[#This Row],[DUT Adj Read]]="N/A",IF(Table1[[#This Row],[Std Adj Read]]&lt;Table1[[#This Row],[High Tol]],"Pass","Fail"),IF(Table1[[#This Row],[DUT Adj Read]]&lt;Table1[[#This Row],[High Tol]],"Pass","Fail")))</f>
        <v>Fail</v>
      </c>
      <c r="AF756" s="1" t="str">
        <f>IF(AND(Table1[[#This Row],[Spec Type2]]="N/A",Table1[[#This Row],[DUT Adj Read]]="N/A",Table1[[#This Row],[Std Adj Read]]="N/A"),"N/A",IF(Table1[[#This Row],[DUT Adj Read]]="N/A",IF(Table1[[#This Row],[Std Adj Read]]&gt;=Table1[[#This Row],[Low Tol]],"Pass","Fail"),IF(Table1[[#This Row],[DUT Adj Read]]&gt;=Table1[[#This Row],[Low Tol]],"Pass","Fail")))</f>
        <v>Pass</v>
      </c>
      <c r="AG756" s="1" t="str">
        <f>IF(AND(Table1[[#This Row],[Spec Type2]]="N/A",Table1[[#This Row],[DUT Adj Read]]="N/A",Table1[[#This Row],[Std Adj Read]]="N/A"),"N/A",IF(Table1[[#This Row],[DUT Adj Read]]="N/A",IF(Table1[[#This Row],[Std Adj Read]]&lt;=Table1[[#This Row],[High Tol]],"Pass","Fail"),IF(Table1[[#This Row],[DUT Adj Read]]&lt;=Table1[[#This Row],[High Tol]],"Pass","Fail")))</f>
        <v>Fail</v>
      </c>
      <c r="AH7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6" s="1" t="b">
        <v>0</v>
      </c>
      <c r="AN756" s="1" t="b">
        <v>0</v>
      </c>
      <c r="AO756" s="1" t="b">
        <v>0</v>
      </c>
    </row>
    <row r="757" spans="1:41" x14ac:dyDescent="0.25">
      <c r="A757" s="10"/>
      <c r="B757" s="10"/>
      <c r="C757" s="10"/>
      <c r="D757" s="10"/>
      <c r="E757" s="10"/>
      <c r="F757" s="10"/>
      <c r="G757" s="10"/>
      <c r="H757" s="10"/>
      <c r="I757" s="1" t="str">
        <f t="shared" si="33"/>
        <v/>
      </c>
      <c r="J757" s="1" t="s">
        <v>35</v>
      </c>
      <c r="K757" s="1" t="str">
        <f t="shared" si="34"/>
        <v/>
      </c>
      <c r="L757" s="1" t="str">
        <f t="shared" si="35"/>
        <v/>
      </c>
      <c r="M757" s="1">
        <f>IF(OR(Table1[[#This Row],[Std Nom]]="",Table1[[#This Row],[Std Read]]=""),0,Table1[[#This Row],[Std Nom]]-Table1[[#This Row],[Std Read]])</f>
        <v>0</v>
      </c>
      <c r="N757" s="1">
        <f>IF(Calculations!$F$5="ACCREDITED 17025 WITH UNCERTAINTIES",$N$10,0)</f>
        <v>0</v>
      </c>
      <c r="Q757" s="1">
        <f>Table1[[#This Row],[High Tol]]-Table1[[#This Row],[Low Tol]]</f>
        <v>0</v>
      </c>
      <c r="R757" s="1">
        <f>2*Table1[[#This Row],[Std Error]]</f>
        <v>0</v>
      </c>
      <c r="S757" s="1" t="str">
        <f>IF(Table1[[#This Row],[High Tol]]="","N/A",IFERROR(ABS(Table1[[#This Row],[Tol Span]]/Table1[[#This Row],[Error Span]]),"N/A"))</f>
        <v>N/A</v>
      </c>
      <c r="T757" s="1" t="str">
        <f>IF(OR(Table1[[#This Row],[Low Tol]]="",Table1[[#This Row],[High Tol]]=""),"Needs Analysis",IF(Table1[[#This Row],[Ratio]]&gt;=4,"Not Significant",IF(Table1[[#This Row],[Ratio]]&gt;=2,"Semi-Significant","Significant")))</f>
        <v>Needs Analysis</v>
      </c>
      <c r="W757" s="1">
        <f>IF(Table1[[#This Row],[Cal Type]]&lt;&gt;"ACCREDITED 17025 WITH UNCERTAINTIES",0,"")</f>
        <v>0</v>
      </c>
      <c r="X757" s="1" t="str">
        <f>IF(Table1[[#This Row],[DUT Read]]="","N/A",Table1[[#This Row],[Std Error]]+Table1[[#This Row],[DUT Read]]+Table1[[#This Row],[DUT Ucty]])</f>
        <v>N/A</v>
      </c>
      <c r="Y757" s="1" t="str">
        <f>IF(Table1[[#This Row],[Std Read]]="","N/A",Table1[[#This Row],[Std Read]]+Table1[[#This Row],[Std Ucty]])</f>
        <v>N/A</v>
      </c>
      <c r="Z7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7" s="1" t="str">
        <f>IF(Table1[[#This Row],[Spec Type]]="","N/A",Table1[[#This Row],[Spec Type]])</f>
        <v>±</v>
      </c>
      <c r="AC757" s="1" t="str">
        <f>IF(Table1[[#This Row],[Spec Type2]]="N/A","N/A",IF(AND(Table1[[#This Row],[DUT Adj Read]]&gt;=Table1[[#This Row],[Low Tol]],Table1[[#This Row],[DUT Adj Read]]&lt;=Table1[[#This Row],[High Tol]]),"Pass","Fail"))</f>
        <v>Fail</v>
      </c>
      <c r="AD757" s="1" t="str">
        <f>IF(AND(Table1[[#This Row],[Spec Type2]]="N/A",Table1[[#This Row],[DUT Adj Read]]="N/A",Table1[[#This Row],[Std Adj Read]]="N/A"),"N/A",IF(Table1[[#This Row],[DUT Adj Read]]="N/A",IF(Table1[[#This Row],[Std Adj Read]]&gt;Table1[[#This Row],[Low Tol]],"Pass","Fail"),IF(Table1[[#This Row],[DUT Adj Read]]&gt;Table1[[#This Row],[Low Tol]],"Pass","Fail")))</f>
        <v>Pass</v>
      </c>
      <c r="AE757" s="1" t="str">
        <f>IF(AND(Table1[[#This Row],[Spec Type2]]="N/A",Table1[[#This Row],[DUT Adj Read]]="N/A",Table1[[#This Row],[Std Adj Read]]="N/A"),"N/A",IF(Table1[[#This Row],[DUT Adj Read]]="N/A",IF(Table1[[#This Row],[Std Adj Read]]&lt;Table1[[#This Row],[High Tol]],"Pass","Fail"),IF(Table1[[#This Row],[DUT Adj Read]]&lt;Table1[[#This Row],[High Tol]],"Pass","Fail")))</f>
        <v>Fail</v>
      </c>
      <c r="AF757" s="1" t="str">
        <f>IF(AND(Table1[[#This Row],[Spec Type2]]="N/A",Table1[[#This Row],[DUT Adj Read]]="N/A",Table1[[#This Row],[Std Adj Read]]="N/A"),"N/A",IF(Table1[[#This Row],[DUT Adj Read]]="N/A",IF(Table1[[#This Row],[Std Adj Read]]&gt;=Table1[[#This Row],[Low Tol]],"Pass","Fail"),IF(Table1[[#This Row],[DUT Adj Read]]&gt;=Table1[[#This Row],[Low Tol]],"Pass","Fail")))</f>
        <v>Pass</v>
      </c>
      <c r="AG757" s="1" t="str">
        <f>IF(AND(Table1[[#This Row],[Spec Type2]]="N/A",Table1[[#This Row],[DUT Adj Read]]="N/A",Table1[[#This Row],[Std Adj Read]]="N/A"),"N/A",IF(Table1[[#This Row],[DUT Adj Read]]="N/A",IF(Table1[[#This Row],[Std Adj Read]]&lt;=Table1[[#This Row],[High Tol]],"Pass","Fail"),IF(Table1[[#This Row],[DUT Adj Read]]&lt;=Table1[[#This Row],[High Tol]],"Pass","Fail")))</f>
        <v>Fail</v>
      </c>
      <c r="AH7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7" s="1" t="b">
        <v>0</v>
      </c>
      <c r="AN757" s="1" t="b">
        <v>0</v>
      </c>
      <c r="AO757" s="1" t="b">
        <v>0</v>
      </c>
    </row>
    <row r="758" spans="1:41" x14ac:dyDescent="0.25">
      <c r="A758" s="10"/>
      <c r="B758" s="10"/>
      <c r="C758" s="10"/>
      <c r="D758" s="10"/>
      <c r="E758" s="10"/>
      <c r="F758" s="10"/>
      <c r="G758" s="10"/>
      <c r="H758" s="10"/>
      <c r="I758" s="1" t="str">
        <f t="shared" si="33"/>
        <v/>
      </c>
      <c r="J758" s="1" t="s">
        <v>35</v>
      </c>
      <c r="K758" s="1" t="str">
        <f t="shared" si="34"/>
        <v/>
      </c>
      <c r="L758" s="1" t="str">
        <f t="shared" si="35"/>
        <v/>
      </c>
      <c r="M758" s="1">
        <f>IF(OR(Table1[[#This Row],[Std Nom]]="",Table1[[#This Row],[Std Read]]=""),0,Table1[[#This Row],[Std Nom]]-Table1[[#This Row],[Std Read]])</f>
        <v>0</v>
      </c>
      <c r="N758" s="1">
        <f>IF(Calculations!$F$5="ACCREDITED 17025 WITH UNCERTAINTIES",$N$10,0)</f>
        <v>0</v>
      </c>
      <c r="Q758" s="1">
        <f>Table1[[#This Row],[High Tol]]-Table1[[#This Row],[Low Tol]]</f>
        <v>0</v>
      </c>
      <c r="R758" s="1">
        <f>2*Table1[[#This Row],[Std Error]]</f>
        <v>0</v>
      </c>
      <c r="S758" s="1" t="str">
        <f>IF(Table1[[#This Row],[High Tol]]="","N/A",IFERROR(ABS(Table1[[#This Row],[Tol Span]]/Table1[[#This Row],[Error Span]]),"N/A"))</f>
        <v>N/A</v>
      </c>
      <c r="T758" s="1" t="str">
        <f>IF(OR(Table1[[#This Row],[Low Tol]]="",Table1[[#This Row],[High Tol]]=""),"Needs Analysis",IF(Table1[[#This Row],[Ratio]]&gt;=4,"Not Significant",IF(Table1[[#This Row],[Ratio]]&gt;=2,"Semi-Significant","Significant")))</f>
        <v>Needs Analysis</v>
      </c>
      <c r="W758" s="1">
        <f>IF(Table1[[#This Row],[Cal Type]]&lt;&gt;"ACCREDITED 17025 WITH UNCERTAINTIES",0,"")</f>
        <v>0</v>
      </c>
      <c r="X758" s="1" t="str">
        <f>IF(Table1[[#This Row],[DUT Read]]="","N/A",Table1[[#This Row],[Std Error]]+Table1[[#This Row],[DUT Read]]+Table1[[#This Row],[DUT Ucty]])</f>
        <v>N/A</v>
      </c>
      <c r="Y758" s="1" t="str">
        <f>IF(Table1[[#This Row],[Std Read]]="","N/A",Table1[[#This Row],[Std Read]]+Table1[[#This Row],[Std Ucty]])</f>
        <v>N/A</v>
      </c>
      <c r="Z7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8" s="1" t="str">
        <f>IF(Table1[[#This Row],[Spec Type]]="","N/A",Table1[[#This Row],[Spec Type]])</f>
        <v>±</v>
      </c>
      <c r="AC758" s="1" t="str">
        <f>IF(Table1[[#This Row],[Spec Type2]]="N/A","N/A",IF(AND(Table1[[#This Row],[DUT Adj Read]]&gt;=Table1[[#This Row],[Low Tol]],Table1[[#This Row],[DUT Adj Read]]&lt;=Table1[[#This Row],[High Tol]]),"Pass","Fail"))</f>
        <v>Fail</v>
      </c>
      <c r="AD758" s="1" t="str">
        <f>IF(AND(Table1[[#This Row],[Spec Type2]]="N/A",Table1[[#This Row],[DUT Adj Read]]="N/A",Table1[[#This Row],[Std Adj Read]]="N/A"),"N/A",IF(Table1[[#This Row],[DUT Adj Read]]="N/A",IF(Table1[[#This Row],[Std Adj Read]]&gt;Table1[[#This Row],[Low Tol]],"Pass","Fail"),IF(Table1[[#This Row],[DUT Adj Read]]&gt;Table1[[#This Row],[Low Tol]],"Pass","Fail")))</f>
        <v>Pass</v>
      </c>
      <c r="AE758" s="1" t="str">
        <f>IF(AND(Table1[[#This Row],[Spec Type2]]="N/A",Table1[[#This Row],[DUT Adj Read]]="N/A",Table1[[#This Row],[Std Adj Read]]="N/A"),"N/A",IF(Table1[[#This Row],[DUT Adj Read]]="N/A",IF(Table1[[#This Row],[Std Adj Read]]&lt;Table1[[#This Row],[High Tol]],"Pass","Fail"),IF(Table1[[#This Row],[DUT Adj Read]]&lt;Table1[[#This Row],[High Tol]],"Pass","Fail")))</f>
        <v>Fail</v>
      </c>
      <c r="AF758" s="1" t="str">
        <f>IF(AND(Table1[[#This Row],[Spec Type2]]="N/A",Table1[[#This Row],[DUT Adj Read]]="N/A",Table1[[#This Row],[Std Adj Read]]="N/A"),"N/A",IF(Table1[[#This Row],[DUT Adj Read]]="N/A",IF(Table1[[#This Row],[Std Adj Read]]&gt;=Table1[[#This Row],[Low Tol]],"Pass","Fail"),IF(Table1[[#This Row],[DUT Adj Read]]&gt;=Table1[[#This Row],[Low Tol]],"Pass","Fail")))</f>
        <v>Pass</v>
      </c>
      <c r="AG758" s="1" t="str">
        <f>IF(AND(Table1[[#This Row],[Spec Type2]]="N/A",Table1[[#This Row],[DUT Adj Read]]="N/A",Table1[[#This Row],[Std Adj Read]]="N/A"),"N/A",IF(Table1[[#This Row],[DUT Adj Read]]="N/A",IF(Table1[[#This Row],[Std Adj Read]]&lt;=Table1[[#This Row],[High Tol]],"Pass","Fail"),IF(Table1[[#This Row],[DUT Adj Read]]&lt;=Table1[[#This Row],[High Tol]],"Pass","Fail")))</f>
        <v>Fail</v>
      </c>
      <c r="AH7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8" s="1" t="b">
        <v>0</v>
      </c>
      <c r="AN758" s="1" t="b">
        <v>0</v>
      </c>
      <c r="AO758" s="1" t="b">
        <v>0</v>
      </c>
    </row>
    <row r="759" spans="1:41" x14ac:dyDescent="0.25">
      <c r="A759" s="10"/>
      <c r="B759" s="10"/>
      <c r="C759" s="10"/>
      <c r="D759" s="10"/>
      <c r="E759" s="10"/>
      <c r="F759" s="10"/>
      <c r="G759" s="10"/>
      <c r="H759" s="10"/>
      <c r="I759" s="1" t="str">
        <f t="shared" si="33"/>
        <v/>
      </c>
      <c r="J759" s="1" t="s">
        <v>35</v>
      </c>
      <c r="K759" s="1" t="str">
        <f t="shared" si="34"/>
        <v/>
      </c>
      <c r="L759" s="1" t="str">
        <f t="shared" si="35"/>
        <v/>
      </c>
      <c r="M759" s="1">
        <f>IF(OR(Table1[[#This Row],[Std Nom]]="",Table1[[#This Row],[Std Read]]=""),0,Table1[[#This Row],[Std Nom]]-Table1[[#This Row],[Std Read]])</f>
        <v>0</v>
      </c>
      <c r="N759" s="1">
        <f>IF(Calculations!$F$5="ACCREDITED 17025 WITH UNCERTAINTIES",$N$10,0)</f>
        <v>0</v>
      </c>
      <c r="Q759" s="1">
        <f>Table1[[#This Row],[High Tol]]-Table1[[#This Row],[Low Tol]]</f>
        <v>0</v>
      </c>
      <c r="R759" s="1">
        <f>2*Table1[[#This Row],[Std Error]]</f>
        <v>0</v>
      </c>
      <c r="S759" s="1" t="str">
        <f>IF(Table1[[#This Row],[High Tol]]="","N/A",IFERROR(ABS(Table1[[#This Row],[Tol Span]]/Table1[[#This Row],[Error Span]]),"N/A"))</f>
        <v>N/A</v>
      </c>
      <c r="T759" s="1" t="str">
        <f>IF(OR(Table1[[#This Row],[Low Tol]]="",Table1[[#This Row],[High Tol]]=""),"Needs Analysis",IF(Table1[[#This Row],[Ratio]]&gt;=4,"Not Significant",IF(Table1[[#This Row],[Ratio]]&gt;=2,"Semi-Significant","Significant")))</f>
        <v>Needs Analysis</v>
      </c>
      <c r="W759" s="1">
        <f>IF(Table1[[#This Row],[Cal Type]]&lt;&gt;"ACCREDITED 17025 WITH UNCERTAINTIES",0,"")</f>
        <v>0</v>
      </c>
      <c r="X759" s="1" t="str">
        <f>IF(Table1[[#This Row],[DUT Read]]="","N/A",Table1[[#This Row],[Std Error]]+Table1[[#This Row],[DUT Read]]+Table1[[#This Row],[DUT Ucty]])</f>
        <v>N/A</v>
      </c>
      <c r="Y759" s="1" t="str">
        <f>IF(Table1[[#This Row],[Std Read]]="","N/A",Table1[[#This Row],[Std Read]]+Table1[[#This Row],[Std Ucty]])</f>
        <v>N/A</v>
      </c>
      <c r="Z7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59" s="1" t="str">
        <f>IF(Table1[[#This Row],[Spec Type]]="","N/A",Table1[[#This Row],[Spec Type]])</f>
        <v>±</v>
      </c>
      <c r="AC759" s="1" t="str">
        <f>IF(Table1[[#This Row],[Spec Type2]]="N/A","N/A",IF(AND(Table1[[#This Row],[DUT Adj Read]]&gt;=Table1[[#This Row],[Low Tol]],Table1[[#This Row],[DUT Adj Read]]&lt;=Table1[[#This Row],[High Tol]]),"Pass","Fail"))</f>
        <v>Fail</v>
      </c>
      <c r="AD759" s="1" t="str">
        <f>IF(AND(Table1[[#This Row],[Spec Type2]]="N/A",Table1[[#This Row],[DUT Adj Read]]="N/A",Table1[[#This Row],[Std Adj Read]]="N/A"),"N/A",IF(Table1[[#This Row],[DUT Adj Read]]="N/A",IF(Table1[[#This Row],[Std Adj Read]]&gt;Table1[[#This Row],[Low Tol]],"Pass","Fail"),IF(Table1[[#This Row],[DUT Adj Read]]&gt;Table1[[#This Row],[Low Tol]],"Pass","Fail")))</f>
        <v>Pass</v>
      </c>
      <c r="AE759" s="1" t="str">
        <f>IF(AND(Table1[[#This Row],[Spec Type2]]="N/A",Table1[[#This Row],[DUT Adj Read]]="N/A",Table1[[#This Row],[Std Adj Read]]="N/A"),"N/A",IF(Table1[[#This Row],[DUT Adj Read]]="N/A",IF(Table1[[#This Row],[Std Adj Read]]&lt;Table1[[#This Row],[High Tol]],"Pass","Fail"),IF(Table1[[#This Row],[DUT Adj Read]]&lt;Table1[[#This Row],[High Tol]],"Pass","Fail")))</f>
        <v>Fail</v>
      </c>
      <c r="AF759" s="1" t="str">
        <f>IF(AND(Table1[[#This Row],[Spec Type2]]="N/A",Table1[[#This Row],[DUT Adj Read]]="N/A",Table1[[#This Row],[Std Adj Read]]="N/A"),"N/A",IF(Table1[[#This Row],[DUT Adj Read]]="N/A",IF(Table1[[#This Row],[Std Adj Read]]&gt;=Table1[[#This Row],[Low Tol]],"Pass","Fail"),IF(Table1[[#This Row],[DUT Adj Read]]&gt;=Table1[[#This Row],[Low Tol]],"Pass","Fail")))</f>
        <v>Pass</v>
      </c>
      <c r="AG759" s="1" t="str">
        <f>IF(AND(Table1[[#This Row],[Spec Type2]]="N/A",Table1[[#This Row],[DUT Adj Read]]="N/A",Table1[[#This Row],[Std Adj Read]]="N/A"),"N/A",IF(Table1[[#This Row],[DUT Adj Read]]="N/A",IF(Table1[[#This Row],[Std Adj Read]]&lt;=Table1[[#This Row],[High Tol]],"Pass","Fail"),IF(Table1[[#This Row],[DUT Adj Read]]&lt;=Table1[[#This Row],[High Tol]],"Pass","Fail")))</f>
        <v>Fail</v>
      </c>
      <c r="AH7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59" s="1" t="b">
        <v>0</v>
      </c>
      <c r="AN759" s="1" t="b">
        <v>0</v>
      </c>
      <c r="AO759" s="1" t="b">
        <v>0</v>
      </c>
    </row>
    <row r="760" spans="1:41" x14ac:dyDescent="0.25">
      <c r="A760" s="10"/>
      <c r="B760" s="10"/>
      <c r="C760" s="10"/>
      <c r="D760" s="10"/>
      <c r="E760" s="10"/>
      <c r="F760" s="10"/>
      <c r="G760" s="10"/>
      <c r="H760" s="10"/>
      <c r="I760" s="1" t="str">
        <f t="shared" si="33"/>
        <v/>
      </c>
      <c r="J760" s="1" t="s">
        <v>35</v>
      </c>
      <c r="K760" s="1" t="str">
        <f t="shared" si="34"/>
        <v/>
      </c>
      <c r="L760" s="1" t="str">
        <f t="shared" si="35"/>
        <v/>
      </c>
      <c r="M760" s="1">
        <f>IF(OR(Table1[[#This Row],[Std Nom]]="",Table1[[#This Row],[Std Read]]=""),0,Table1[[#This Row],[Std Nom]]-Table1[[#This Row],[Std Read]])</f>
        <v>0</v>
      </c>
      <c r="N760" s="1">
        <f>IF(Calculations!$F$5="ACCREDITED 17025 WITH UNCERTAINTIES",$N$10,0)</f>
        <v>0</v>
      </c>
      <c r="Q760" s="1">
        <f>Table1[[#This Row],[High Tol]]-Table1[[#This Row],[Low Tol]]</f>
        <v>0</v>
      </c>
      <c r="R760" s="1">
        <f>2*Table1[[#This Row],[Std Error]]</f>
        <v>0</v>
      </c>
      <c r="S760" s="1" t="str">
        <f>IF(Table1[[#This Row],[High Tol]]="","N/A",IFERROR(ABS(Table1[[#This Row],[Tol Span]]/Table1[[#This Row],[Error Span]]),"N/A"))</f>
        <v>N/A</v>
      </c>
      <c r="T760" s="1" t="str">
        <f>IF(OR(Table1[[#This Row],[Low Tol]]="",Table1[[#This Row],[High Tol]]=""),"Needs Analysis",IF(Table1[[#This Row],[Ratio]]&gt;=4,"Not Significant",IF(Table1[[#This Row],[Ratio]]&gt;=2,"Semi-Significant","Significant")))</f>
        <v>Needs Analysis</v>
      </c>
      <c r="W760" s="1">
        <f>IF(Table1[[#This Row],[Cal Type]]&lt;&gt;"ACCREDITED 17025 WITH UNCERTAINTIES",0,"")</f>
        <v>0</v>
      </c>
      <c r="X760" s="1" t="str">
        <f>IF(Table1[[#This Row],[DUT Read]]="","N/A",Table1[[#This Row],[Std Error]]+Table1[[#This Row],[DUT Read]]+Table1[[#This Row],[DUT Ucty]])</f>
        <v>N/A</v>
      </c>
      <c r="Y760" s="1" t="str">
        <f>IF(Table1[[#This Row],[Std Read]]="","N/A",Table1[[#This Row],[Std Read]]+Table1[[#This Row],[Std Ucty]])</f>
        <v>N/A</v>
      </c>
      <c r="Z7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0" s="1" t="str">
        <f>IF(Table1[[#This Row],[Spec Type]]="","N/A",Table1[[#This Row],[Spec Type]])</f>
        <v>±</v>
      </c>
      <c r="AC760" s="1" t="str">
        <f>IF(Table1[[#This Row],[Spec Type2]]="N/A","N/A",IF(AND(Table1[[#This Row],[DUT Adj Read]]&gt;=Table1[[#This Row],[Low Tol]],Table1[[#This Row],[DUT Adj Read]]&lt;=Table1[[#This Row],[High Tol]]),"Pass","Fail"))</f>
        <v>Fail</v>
      </c>
      <c r="AD760" s="1" t="str">
        <f>IF(AND(Table1[[#This Row],[Spec Type2]]="N/A",Table1[[#This Row],[DUT Adj Read]]="N/A",Table1[[#This Row],[Std Adj Read]]="N/A"),"N/A",IF(Table1[[#This Row],[DUT Adj Read]]="N/A",IF(Table1[[#This Row],[Std Adj Read]]&gt;Table1[[#This Row],[Low Tol]],"Pass","Fail"),IF(Table1[[#This Row],[DUT Adj Read]]&gt;Table1[[#This Row],[Low Tol]],"Pass","Fail")))</f>
        <v>Pass</v>
      </c>
      <c r="AE760" s="1" t="str">
        <f>IF(AND(Table1[[#This Row],[Spec Type2]]="N/A",Table1[[#This Row],[DUT Adj Read]]="N/A",Table1[[#This Row],[Std Adj Read]]="N/A"),"N/A",IF(Table1[[#This Row],[DUT Adj Read]]="N/A",IF(Table1[[#This Row],[Std Adj Read]]&lt;Table1[[#This Row],[High Tol]],"Pass","Fail"),IF(Table1[[#This Row],[DUT Adj Read]]&lt;Table1[[#This Row],[High Tol]],"Pass","Fail")))</f>
        <v>Fail</v>
      </c>
      <c r="AF760" s="1" t="str">
        <f>IF(AND(Table1[[#This Row],[Spec Type2]]="N/A",Table1[[#This Row],[DUT Adj Read]]="N/A",Table1[[#This Row],[Std Adj Read]]="N/A"),"N/A",IF(Table1[[#This Row],[DUT Adj Read]]="N/A",IF(Table1[[#This Row],[Std Adj Read]]&gt;=Table1[[#This Row],[Low Tol]],"Pass","Fail"),IF(Table1[[#This Row],[DUT Adj Read]]&gt;=Table1[[#This Row],[Low Tol]],"Pass","Fail")))</f>
        <v>Pass</v>
      </c>
      <c r="AG760" s="1" t="str">
        <f>IF(AND(Table1[[#This Row],[Spec Type2]]="N/A",Table1[[#This Row],[DUT Adj Read]]="N/A",Table1[[#This Row],[Std Adj Read]]="N/A"),"N/A",IF(Table1[[#This Row],[DUT Adj Read]]="N/A",IF(Table1[[#This Row],[Std Adj Read]]&lt;=Table1[[#This Row],[High Tol]],"Pass","Fail"),IF(Table1[[#This Row],[DUT Adj Read]]&lt;=Table1[[#This Row],[High Tol]],"Pass","Fail")))</f>
        <v>Fail</v>
      </c>
      <c r="AH7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0" s="1" t="b">
        <v>0</v>
      </c>
      <c r="AN760" s="1" t="b">
        <v>0</v>
      </c>
      <c r="AO760" s="1" t="b">
        <v>0</v>
      </c>
    </row>
    <row r="761" spans="1:41" x14ac:dyDescent="0.25">
      <c r="A761" s="10"/>
      <c r="B761" s="10"/>
      <c r="C761" s="10"/>
      <c r="D761" s="10"/>
      <c r="E761" s="10"/>
      <c r="F761" s="10"/>
      <c r="G761" s="10"/>
      <c r="H761" s="10"/>
      <c r="I761" s="1" t="str">
        <f t="shared" si="33"/>
        <v/>
      </c>
      <c r="J761" s="1" t="s">
        <v>35</v>
      </c>
      <c r="K761" s="1" t="str">
        <f t="shared" si="34"/>
        <v/>
      </c>
      <c r="L761" s="1" t="str">
        <f t="shared" si="35"/>
        <v/>
      </c>
      <c r="M761" s="1">
        <f>IF(OR(Table1[[#This Row],[Std Nom]]="",Table1[[#This Row],[Std Read]]=""),0,Table1[[#This Row],[Std Nom]]-Table1[[#This Row],[Std Read]])</f>
        <v>0</v>
      </c>
      <c r="N761" s="1">
        <f>IF(Calculations!$F$5="ACCREDITED 17025 WITH UNCERTAINTIES",$N$10,0)</f>
        <v>0</v>
      </c>
      <c r="Q761" s="1">
        <f>Table1[[#This Row],[High Tol]]-Table1[[#This Row],[Low Tol]]</f>
        <v>0</v>
      </c>
      <c r="R761" s="1">
        <f>2*Table1[[#This Row],[Std Error]]</f>
        <v>0</v>
      </c>
      <c r="S761" s="1" t="str">
        <f>IF(Table1[[#This Row],[High Tol]]="","N/A",IFERROR(ABS(Table1[[#This Row],[Tol Span]]/Table1[[#This Row],[Error Span]]),"N/A"))</f>
        <v>N/A</v>
      </c>
      <c r="T761" s="1" t="str">
        <f>IF(OR(Table1[[#This Row],[Low Tol]]="",Table1[[#This Row],[High Tol]]=""),"Needs Analysis",IF(Table1[[#This Row],[Ratio]]&gt;=4,"Not Significant",IF(Table1[[#This Row],[Ratio]]&gt;=2,"Semi-Significant","Significant")))</f>
        <v>Needs Analysis</v>
      </c>
      <c r="W761" s="1">
        <f>IF(Table1[[#This Row],[Cal Type]]&lt;&gt;"ACCREDITED 17025 WITH UNCERTAINTIES",0,"")</f>
        <v>0</v>
      </c>
      <c r="X761" s="1" t="str">
        <f>IF(Table1[[#This Row],[DUT Read]]="","N/A",Table1[[#This Row],[Std Error]]+Table1[[#This Row],[DUT Read]]+Table1[[#This Row],[DUT Ucty]])</f>
        <v>N/A</v>
      </c>
      <c r="Y761" s="1" t="str">
        <f>IF(Table1[[#This Row],[Std Read]]="","N/A",Table1[[#This Row],[Std Read]]+Table1[[#This Row],[Std Ucty]])</f>
        <v>N/A</v>
      </c>
      <c r="Z7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1" s="1" t="str">
        <f>IF(Table1[[#This Row],[Spec Type]]="","N/A",Table1[[#This Row],[Spec Type]])</f>
        <v>±</v>
      </c>
      <c r="AC761" s="1" t="str">
        <f>IF(Table1[[#This Row],[Spec Type2]]="N/A","N/A",IF(AND(Table1[[#This Row],[DUT Adj Read]]&gt;=Table1[[#This Row],[Low Tol]],Table1[[#This Row],[DUT Adj Read]]&lt;=Table1[[#This Row],[High Tol]]),"Pass","Fail"))</f>
        <v>Fail</v>
      </c>
      <c r="AD761" s="1" t="str">
        <f>IF(AND(Table1[[#This Row],[Spec Type2]]="N/A",Table1[[#This Row],[DUT Adj Read]]="N/A",Table1[[#This Row],[Std Adj Read]]="N/A"),"N/A",IF(Table1[[#This Row],[DUT Adj Read]]="N/A",IF(Table1[[#This Row],[Std Adj Read]]&gt;Table1[[#This Row],[Low Tol]],"Pass","Fail"),IF(Table1[[#This Row],[DUT Adj Read]]&gt;Table1[[#This Row],[Low Tol]],"Pass","Fail")))</f>
        <v>Pass</v>
      </c>
      <c r="AE761" s="1" t="str">
        <f>IF(AND(Table1[[#This Row],[Spec Type2]]="N/A",Table1[[#This Row],[DUT Adj Read]]="N/A",Table1[[#This Row],[Std Adj Read]]="N/A"),"N/A",IF(Table1[[#This Row],[DUT Adj Read]]="N/A",IF(Table1[[#This Row],[Std Adj Read]]&lt;Table1[[#This Row],[High Tol]],"Pass","Fail"),IF(Table1[[#This Row],[DUT Adj Read]]&lt;Table1[[#This Row],[High Tol]],"Pass","Fail")))</f>
        <v>Fail</v>
      </c>
      <c r="AF761" s="1" t="str">
        <f>IF(AND(Table1[[#This Row],[Spec Type2]]="N/A",Table1[[#This Row],[DUT Adj Read]]="N/A",Table1[[#This Row],[Std Adj Read]]="N/A"),"N/A",IF(Table1[[#This Row],[DUT Adj Read]]="N/A",IF(Table1[[#This Row],[Std Adj Read]]&gt;=Table1[[#This Row],[Low Tol]],"Pass","Fail"),IF(Table1[[#This Row],[DUT Adj Read]]&gt;=Table1[[#This Row],[Low Tol]],"Pass","Fail")))</f>
        <v>Pass</v>
      </c>
      <c r="AG761" s="1" t="str">
        <f>IF(AND(Table1[[#This Row],[Spec Type2]]="N/A",Table1[[#This Row],[DUT Adj Read]]="N/A",Table1[[#This Row],[Std Adj Read]]="N/A"),"N/A",IF(Table1[[#This Row],[DUT Adj Read]]="N/A",IF(Table1[[#This Row],[Std Adj Read]]&lt;=Table1[[#This Row],[High Tol]],"Pass","Fail"),IF(Table1[[#This Row],[DUT Adj Read]]&lt;=Table1[[#This Row],[High Tol]],"Pass","Fail")))</f>
        <v>Fail</v>
      </c>
      <c r="AH7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1" s="1" t="b">
        <v>0</v>
      </c>
      <c r="AN761" s="1" t="b">
        <v>0</v>
      </c>
      <c r="AO761" s="1" t="b">
        <v>0</v>
      </c>
    </row>
    <row r="762" spans="1:41" x14ac:dyDescent="0.25">
      <c r="A762" s="10"/>
      <c r="B762" s="10"/>
      <c r="C762" s="10"/>
      <c r="D762" s="10"/>
      <c r="E762" s="10"/>
      <c r="F762" s="10"/>
      <c r="G762" s="10"/>
      <c r="H762" s="10"/>
      <c r="I762" s="1" t="str">
        <f t="shared" si="33"/>
        <v/>
      </c>
      <c r="J762" s="1" t="s">
        <v>35</v>
      </c>
      <c r="K762" s="1" t="str">
        <f t="shared" si="34"/>
        <v/>
      </c>
      <c r="L762" s="1" t="str">
        <f t="shared" si="35"/>
        <v/>
      </c>
      <c r="M762" s="1">
        <f>IF(OR(Table1[[#This Row],[Std Nom]]="",Table1[[#This Row],[Std Read]]=""),0,Table1[[#This Row],[Std Nom]]-Table1[[#This Row],[Std Read]])</f>
        <v>0</v>
      </c>
      <c r="N762" s="1">
        <f>IF(Calculations!$F$5="ACCREDITED 17025 WITH UNCERTAINTIES",$N$10,0)</f>
        <v>0</v>
      </c>
      <c r="Q762" s="1">
        <f>Table1[[#This Row],[High Tol]]-Table1[[#This Row],[Low Tol]]</f>
        <v>0</v>
      </c>
      <c r="R762" s="1">
        <f>2*Table1[[#This Row],[Std Error]]</f>
        <v>0</v>
      </c>
      <c r="S762" s="1" t="str">
        <f>IF(Table1[[#This Row],[High Tol]]="","N/A",IFERROR(ABS(Table1[[#This Row],[Tol Span]]/Table1[[#This Row],[Error Span]]),"N/A"))</f>
        <v>N/A</v>
      </c>
      <c r="T762" s="1" t="str">
        <f>IF(OR(Table1[[#This Row],[Low Tol]]="",Table1[[#This Row],[High Tol]]=""),"Needs Analysis",IF(Table1[[#This Row],[Ratio]]&gt;=4,"Not Significant",IF(Table1[[#This Row],[Ratio]]&gt;=2,"Semi-Significant","Significant")))</f>
        <v>Needs Analysis</v>
      </c>
      <c r="W762" s="1">
        <f>IF(Table1[[#This Row],[Cal Type]]&lt;&gt;"ACCREDITED 17025 WITH UNCERTAINTIES",0,"")</f>
        <v>0</v>
      </c>
      <c r="X762" s="1" t="str">
        <f>IF(Table1[[#This Row],[DUT Read]]="","N/A",Table1[[#This Row],[Std Error]]+Table1[[#This Row],[DUT Read]]+Table1[[#This Row],[DUT Ucty]])</f>
        <v>N/A</v>
      </c>
      <c r="Y762" s="1" t="str">
        <f>IF(Table1[[#This Row],[Std Read]]="","N/A",Table1[[#This Row],[Std Read]]+Table1[[#This Row],[Std Ucty]])</f>
        <v>N/A</v>
      </c>
      <c r="Z7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2" s="1" t="str">
        <f>IF(Table1[[#This Row],[Spec Type]]="","N/A",Table1[[#This Row],[Spec Type]])</f>
        <v>±</v>
      </c>
      <c r="AC762" s="1" t="str">
        <f>IF(Table1[[#This Row],[Spec Type2]]="N/A","N/A",IF(AND(Table1[[#This Row],[DUT Adj Read]]&gt;=Table1[[#This Row],[Low Tol]],Table1[[#This Row],[DUT Adj Read]]&lt;=Table1[[#This Row],[High Tol]]),"Pass","Fail"))</f>
        <v>Fail</v>
      </c>
      <c r="AD762" s="1" t="str">
        <f>IF(AND(Table1[[#This Row],[Spec Type2]]="N/A",Table1[[#This Row],[DUT Adj Read]]="N/A",Table1[[#This Row],[Std Adj Read]]="N/A"),"N/A",IF(Table1[[#This Row],[DUT Adj Read]]="N/A",IF(Table1[[#This Row],[Std Adj Read]]&gt;Table1[[#This Row],[Low Tol]],"Pass","Fail"),IF(Table1[[#This Row],[DUT Adj Read]]&gt;Table1[[#This Row],[Low Tol]],"Pass","Fail")))</f>
        <v>Pass</v>
      </c>
      <c r="AE762" s="1" t="str">
        <f>IF(AND(Table1[[#This Row],[Spec Type2]]="N/A",Table1[[#This Row],[DUT Adj Read]]="N/A",Table1[[#This Row],[Std Adj Read]]="N/A"),"N/A",IF(Table1[[#This Row],[DUT Adj Read]]="N/A",IF(Table1[[#This Row],[Std Adj Read]]&lt;Table1[[#This Row],[High Tol]],"Pass","Fail"),IF(Table1[[#This Row],[DUT Adj Read]]&lt;Table1[[#This Row],[High Tol]],"Pass","Fail")))</f>
        <v>Fail</v>
      </c>
      <c r="AF762" s="1" t="str">
        <f>IF(AND(Table1[[#This Row],[Spec Type2]]="N/A",Table1[[#This Row],[DUT Adj Read]]="N/A",Table1[[#This Row],[Std Adj Read]]="N/A"),"N/A",IF(Table1[[#This Row],[DUT Adj Read]]="N/A",IF(Table1[[#This Row],[Std Adj Read]]&gt;=Table1[[#This Row],[Low Tol]],"Pass","Fail"),IF(Table1[[#This Row],[DUT Adj Read]]&gt;=Table1[[#This Row],[Low Tol]],"Pass","Fail")))</f>
        <v>Pass</v>
      </c>
      <c r="AG762" s="1" t="str">
        <f>IF(AND(Table1[[#This Row],[Spec Type2]]="N/A",Table1[[#This Row],[DUT Adj Read]]="N/A",Table1[[#This Row],[Std Adj Read]]="N/A"),"N/A",IF(Table1[[#This Row],[DUT Adj Read]]="N/A",IF(Table1[[#This Row],[Std Adj Read]]&lt;=Table1[[#This Row],[High Tol]],"Pass","Fail"),IF(Table1[[#This Row],[DUT Adj Read]]&lt;=Table1[[#This Row],[High Tol]],"Pass","Fail")))</f>
        <v>Fail</v>
      </c>
      <c r="AH7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2" s="1" t="b">
        <v>0</v>
      </c>
      <c r="AN762" s="1" t="b">
        <v>0</v>
      </c>
      <c r="AO762" s="1" t="b">
        <v>0</v>
      </c>
    </row>
    <row r="763" spans="1:41" x14ac:dyDescent="0.25">
      <c r="A763" s="10"/>
      <c r="B763" s="10"/>
      <c r="C763" s="10"/>
      <c r="D763" s="10"/>
      <c r="E763" s="10"/>
      <c r="F763" s="10"/>
      <c r="G763" s="10"/>
      <c r="H763" s="10"/>
      <c r="I763" s="1" t="str">
        <f t="shared" si="33"/>
        <v/>
      </c>
      <c r="J763" s="1" t="s">
        <v>35</v>
      </c>
      <c r="K763" s="1" t="str">
        <f t="shared" si="34"/>
        <v/>
      </c>
      <c r="L763" s="1" t="str">
        <f t="shared" si="35"/>
        <v/>
      </c>
      <c r="M763" s="1">
        <f>IF(OR(Table1[[#This Row],[Std Nom]]="",Table1[[#This Row],[Std Read]]=""),0,Table1[[#This Row],[Std Nom]]-Table1[[#This Row],[Std Read]])</f>
        <v>0</v>
      </c>
      <c r="N763" s="1">
        <f>IF(Calculations!$F$5="ACCREDITED 17025 WITH UNCERTAINTIES",$N$10,0)</f>
        <v>0</v>
      </c>
      <c r="Q763" s="1">
        <f>Table1[[#This Row],[High Tol]]-Table1[[#This Row],[Low Tol]]</f>
        <v>0</v>
      </c>
      <c r="R763" s="1">
        <f>2*Table1[[#This Row],[Std Error]]</f>
        <v>0</v>
      </c>
      <c r="S763" s="1" t="str">
        <f>IF(Table1[[#This Row],[High Tol]]="","N/A",IFERROR(ABS(Table1[[#This Row],[Tol Span]]/Table1[[#This Row],[Error Span]]),"N/A"))</f>
        <v>N/A</v>
      </c>
      <c r="T763" s="1" t="str">
        <f>IF(OR(Table1[[#This Row],[Low Tol]]="",Table1[[#This Row],[High Tol]]=""),"Needs Analysis",IF(Table1[[#This Row],[Ratio]]&gt;=4,"Not Significant",IF(Table1[[#This Row],[Ratio]]&gt;=2,"Semi-Significant","Significant")))</f>
        <v>Needs Analysis</v>
      </c>
      <c r="W763" s="1">
        <f>IF(Table1[[#This Row],[Cal Type]]&lt;&gt;"ACCREDITED 17025 WITH UNCERTAINTIES",0,"")</f>
        <v>0</v>
      </c>
      <c r="X763" s="1" t="str">
        <f>IF(Table1[[#This Row],[DUT Read]]="","N/A",Table1[[#This Row],[Std Error]]+Table1[[#This Row],[DUT Read]]+Table1[[#This Row],[DUT Ucty]])</f>
        <v>N/A</v>
      </c>
      <c r="Y763" s="1" t="str">
        <f>IF(Table1[[#This Row],[Std Read]]="","N/A",Table1[[#This Row],[Std Read]]+Table1[[#This Row],[Std Ucty]])</f>
        <v>N/A</v>
      </c>
      <c r="Z7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3" s="1" t="str">
        <f>IF(Table1[[#This Row],[Spec Type]]="","N/A",Table1[[#This Row],[Spec Type]])</f>
        <v>±</v>
      </c>
      <c r="AC763" s="1" t="str">
        <f>IF(Table1[[#This Row],[Spec Type2]]="N/A","N/A",IF(AND(Table1[[#This Row],[DUT Adj Read]]&gt;=Table1[[#This Row],[Low Tol]],Table1[[#This Row],[DUT Adj Read]]&lt;=Table1[[#This Row],[High Tol]]),"Pass","Fail"))</f>
        <v>Fail</v>
      </c>
      <c r="AD763" s="1" t="str">
        <f>IF(AND(Table1[[#This Row],[Spec Type2]]="N/A",Table1[[#This Row],[DUT Adj Read]]="N/A",Table1[[#This Row],[Std Adj Read]]="N/A"),"N/A",IF(Table1[[#This Row],[DUT Adj Read]]="N/A",IF(Table1[[#This Row],[Std Adj Read]]&gt;Table1[[#This Row],[Low Tol]],"Pass","Fail"),IF(Table1[[#This Row],[DUT Adj Read]]&gt;Table1[[#This Row],[Low Tol]],"Pass","Fail")))</f>
        <v>Pass</v>
      </c>
      <c r="AE763" s="1" t="str">
        <f>IF(AND(Table1[[#This Row],[Spec Type2]]="N/A",Table1[[#This Row],[DUT Adj Read]]="N/A",Table1[[#This Row],[Std Adj Read]]="N/A"),"N/A",IF(Table1[[#This Row],[DUT Adj Read]]="N/A",IF(Table1[[#This Row],[Std Adj Read]]&lt;Table1[[#This Row],[High Tol]],"Pass","Fail"),IF(Table1[[#This Row],[DUT Adj Read]]&lt;Table1[[#This Row],[High Tol]],"Pass","Fail")))</f>
        <v>Fail</v>
      </c>
      <c r="AF763" s="1" t="str">
        <f>IF(AND(Table1[[#This Row],[Spec Type2]]="N/A",Table1[[#This Row],[DUT Adj Read]]="N/A",Table1[[#This Row],[Std Adj Read]]="N/A"),"N/A",IF(Table1[[#This Row],[DUT Adj Read]]="N/A",IF(Table1[[#This Row],[Std Adj Read]]&gt;=Table1[[#This Row],[Low Tol]],"Pass","Fail"),IF(Table1[[#This Row],[DUT Adj Read]]&gt;=Table1[[#This Row],[Low Tol]],"Pass","Fail")))</f>
        <v>Pass</v>
      </c>
      <c r="AG763" s="1" t="str">
        <f>IF(AND(Table1[[#This Row],[Spec Type2]]="N/A",Table1[[#This Row],[DUT Adj Read]]="N/A",Table1[[#This Row],[Std Adj Read]]="N/A"),"N/A",IF(Table1[[#This Row],[DUT Adj Read]]="N/A",IF(Table1[[#This Row],[Std Adj Read]]&lt;=Table1[[#This Row],[High Tol]],"Pass","Fail"),IF(Table1[[#This Row],[DUT Adj Read]]&lt;=Table1[[#This Row],[High Tol]],"Pass","Fail")))</f>
        <v>Fail</v>
      </c>
      <c r="AH7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3" s="1" t="b">
        <v>0</v>
      </c>
      <c r="AN763" s="1" t="b">
        <v>0</v>
      </c>
      <c r="AO763" s="1" t="b">
        <v>0</v>
      </c>
    </row>
    <row r="764" spans="1:41" x14ac:dyDescent="0.25">
      <c r="A764" s="10"/>
      <c r="B764" s="10"/>
      <c r="C764" s="10"/>
      <c r="D764" s="10"/>
      <c r="E764" s="10"/>
      <c r="F764" s="10"/>
      <c r="G764" s="10"/>
      <c r="H764" s="10"/>
      <c r="I764" s="1" t="str">
        <f t="shared" si="33"/>
        <v/>
      </c>
      <c r="J764" s="1" t="s">
        <v>35</v>
      </c>
      <c r="K764" s="1" t="str">
        <f t="shared" si="34"/>
        <v/>
      </c>
      <c r="L764" s="1" t="str">
        <f t="shared" si="35"/>
        <v/>
      </c>
      <c r="M764" s="1">
        <f>IF(OR(Table1[[#This Row],[Std Nom]]="",Table1[[#This Row],[Std Read]]=""),0,Table1[[#This Row],[Std Nom]]-Table1[[#This Row],[Std Read]])</f>
        <v>0</v>
      </c>
      <c r="N764" s="1">
        <f>IF(Calculations!$F$5="ACCREDITED 17025 WITH UNCERTAINTIES",$N$10,0)</f>
        <v>0</v>
      </c>
      <c r="Q764" s="1">
        <f>Table1[[#This Row],[High Tol]]-Table1[[#This Row],[Low Tol]]</f>
        <v>0</v>
      </c>
      <c r="R764" s="1">
        <f>2*Table1[[#This Row],[Std Error]]</f>
        <v>0</v>
      </c>
      <c r="S764" s="1" t="str">
        <f>IF(Table1[[#This Row],[High Tol]]="","N/A",IFERROR(ABS(Table1[[#This Row],[Tol Span]]/Table1[[#This Row],[Error Span]]),"N/A"))</f>
        <v>N/A</v>
      </c>
      <c r="T764" s="1" t="str">
        <f>IF(OR(Table1[[#This Row],[Low Tol]]="",Table1[[#This Row],[High Tol]]=""),"Needs Analysis",IF(Table1[[#This Row],[Ratio]]&gt;=4,"Not Significant",IF(Table1[[#This Row],[Ratio]]&gt;=2,"Semi-Significant","Significant")))</f>
        <v>Needs Analysis</v>
      </c>
      <c r="W764" s="1">
        <f>IF(Table1[[#This Row],[Cal Type]]&lt;&gt;"ACCREDITED 17025 WITH UNCERTAINTIES",0,"")</f>
        <v>0</v>
      </c>
      <c r="X764" s="1" t="str">
        <f>IF(Table1[[#This Row],[DUT Read]]="","N/A",Table1[[#This Row],[Std Error]]+Table1[[#This Row],[DUT Read]]+Table1[[#This Row],[DUT Ucty]])</f>
        <v>N/A</v>
      </c>
      <c r="Y764" s="1" t="str">
        <f>IF(Table1[[#This Row],[Std Read]]="","N/A",Table1[[#This Row],[Std Read]]+Table1[[#This Row],[Std Ucty]])</f>
        <v>N/A</v>
      </c>
      <c r="Z7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4" s="1" t="str">
        <f>IF(Table1[[#This Row],[Spec Type]]="","N/A",Table1[[#This Row],[Spec Type]])</f>
        <v>±</v>
      </c>
      <c r="AC764" s="1" t="str">
        <f>IF(Table1[[#This Row],[Spec Type2]]="N/A","N/A",IF(AND(Table1[[#This Row],[DUT Adj Read]]&gt;=Table1[[#This Row],[Low Tol]],Table1[[#This Row],[DUT Adj Read]]&lt;=Table1[[#This Row],[High Tol]]),"Pass","Fail"))</f>
        <v>Fail</v>
      </c>
      <c r="AD764" s="1" t="str">
        <f>IF(AND(Table1[[#This Row],[Spec Type2]]="N/A",Table1[[#This Row],[DUT Adj Read]]="N/A",Table1[[#This Row],[Std Adj Read]]="N/A"),"N/A",IF(Table1[[#This Row],[DUT Adj Read]]="N/A",IF(Table1[[#This Row],[Std Adj Read]]&gt;Table1[[#This Row],[Low Tol]],"Pass","Fail"),IF(Table1[[#This Row],[DUT Adj Read]]&gt;Table1[[#This Row],[Low Tol]],"Pass","Fail")))</f>
        <v>Pass</v>
      </c>
      <c r="AE764" s="1" t="str">
        <f>IF(AND(Table1[[#This Row],[Spec Type2]]="N/A",Table1[[#This Row],[DUT Adj Read]]="N/A",Table1[[#This Row],[Std Adj Read]]="N/A"),"N/A",IF(Table1[[#This Row],[DUT Adj Read]]="N/A",IF(Table1[[#This Row],[Std Adj Read]]&lt;Table1[[#This Row],[High Tol]],"Pass","Fail"),IF(Table1[[#This Row],[DUT Adj Read]]&lt;Table1[[#This Row],[High Tol]],"Pass","Fail")))</f>
        <v>Fail</v>
      </c>
      <c r="AF764" s="1" t="str">
        <f>IF(AND(Table1[[#This Row],[Spec Type2]]="N/A",Table1[[#This Row],[DUT Adj Read]]="N/A",Table1[[#This Row],[Std Adj Read]]="N/A"),"N/A",IF(Table1[[#This Row],[DUT Adj Read]]="N/A",IF(Table1[[#This Row],[Std Adj Read]]&gt;=Table1[[#This Row],[Low Tol]],"Pass","Fail"),IF(Table1[[#This Row],[DUT Adj Read]]&gt;=Table1[[#This Row],[Low Tol]],"Pass","Fail")))</f>
        <v>Pass</v>
      </c>
      <c r="AG764" s="1" t="str">
        <f>IF(AND(Table1[[#This Row],[Spec Type2]]="N/A",Table1[[#This Row],[DUT Adj Read]]="N/A",Table1[[#This Row],[Std Adj Read]]="N/A"),"N/A",IF(Table1[[#This Row],[DUT Adj Read]]="N/A",IF(Table1[[#This Row],[Std Adj Read]]&lt;=Table1[[#This Row],[High Tol]],"Pass","Fail"),IF(Table1[[#This Row],[DUT Adj Read]]&lt;=Table1[[#This Row],[High Tol]],"Pass","Fail")))</f>
        <v>Fail</v>
      </c>
      <c r="AH7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4" s="1" t="b">
        <v>0</v>
      </c>
      <c r="AN764" s="1" t="b">
        <v>0</v>
      </c>
      <c r="AO764" s="1" t="b">
        <v>0</v>
      </c>
    </row>
    <row r="765" spans="1:41" x14ac:dyDescent="0.25">
      <c r="A765" s="10"/>
      <c r="B765" s="10"/>
      <c r="C765" s="10"/>
      <c r="D765" s="10"/>
      <c r="E765" s="10"/>
      <c r="F765" s="10"/>
      <c r="G765" s="10"/>
      <c r="H765" s="10"/>
      <c r="I765" s="1" t="str">
        <f t="shared" si="33"/>
        <v/>
      </c>
      <c r="J765" s="1" t="s">
        <v>35</v>
      </c>
      <c r="K765" s="1" t="str">
        <f t="shared" si="34"/>
        <v/>
      </c>
      <c r="L765" s="1" t="str">
        <f t="shared" si="35"/>
        <v/>
      </c>
      <c r="M765" s="1">
        <f>IF(OR(Table1[[#This Row],[Std Nom]]="",Table1[[#This Row],[Std Read]]=""),0,Table1[[#This Row],[Std Nom]]-Table1[[#This Row],[Std Read]])</f>
        <v>0</v>
      </c>
      <c r="N765" s="1">
        <f>IF(Calculations!$F$5="ACCREDITED 17025 WITH UNCERTAINTIES",$N$10,0)</f>
        <v>0</v>
      </c>
      <c r="Q765" s="1">
        <f>Table1[[#This Row],[High Tol]]-Table1[[#This Row],[Low Tol]]</f>
        <v>0</v>
      </c>
      <c r="R765" s="1">
        <f>2*Table1[[#This Row],[Std Error]]</f>
        <v>0</v>
      </c>
      <c r="S765" s="1" t="str">
        <f>IF(Table1[[#This Row],[High Tol]]="","N/A",IFERROR(ABS(Table1[[#This Row],[Tol Span]]/Table1[[#This Row],[Error Span]]),"N/A"))</f>
        <v>N/A</v>
      </c>
      <c r="T765" s="1" t="str">
        <f>IF(OR(Table1[[#This Row],[Low Tol]]="",Table1[[#This Row],[High Tol]]=""),"Needs Analysis",IF(Table1[[#This Row],[Ratio]]&gt;=4,"Not Significant",IF(Table1[[#This Row],[Ratio]]&gt;=2,"Semi-Significant","Significant")))</f>
        <v>Needs Analysis</v>
      </c>
      <c r="W765" s="1">
        <f>IF(Table1[[#This Row],[Cal Type]]&lt;&gt;"ACCREDITED 17025 WITH UNCERTAINTIES",0,"")</f>
        <v>0</v>
      </c>
      <c r="X765" s="1" t="str">
        <f>IF(Table1[[#This Row],[DUT Read]]="","N/A",Table1[[#This Row],[Std Error]]+Table1[[#This Row],[DUT Read]]+Table1[[#This Row],[DUT Ucty]])</f>
        <v>N/A</v>
      </c>
      <c r="Y765" s="1" t="str">
        <f>IF(Table1[[#This Row],[Std Read]]="","N/A",Table1[[#This Row],[Std Read]]+Table1[[#This Row],[Std Ucty]])</f>
        <v>N/A</v>
      </c>
      <c r="Z7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5" s="1" t="str">
        <f>IF(Table1[[#This Row],[Spec Type]]="","N/A",Table1[[#This Row],[Spec Type]])</f>
        <v>±</v>
      </c>
      <c r="AC765" s="1" t="str">
        <f>IF(Table1[[#This Row],[Spec Type2]]="N/A","N/A",IF(AND(Table1[[#This Row],[DUT Adj Read]]&gt;=Table1[[#This Row],[Low Tol]],Table1[[#This Row],[DUT Adj Read]]&lt;=Table1[[#This Row],[High Tol]]),"Pass","Fail"))</f>
        <v>Fail</v>
      </c>
      <c r="AD765" s="1" t="str">
        <f>IF(AND(Table1[[#This Row],[Spec Type2]]="N/A",Table1[[#This Row],[DUT Adj Read]]="N/A",Table1[[#This Row],[Std Adj Read]]="N/A"),"N/A",IF(Table1[[#This Row],[DUT Adj Read]]="N/A",IF(Table1[[#This Row],[Std Adj Read]]&gt;Table1[[#This Row],[Low Tol]],"Pass","Fail"),IF(Table1[[#This Row],[DUT Adj Read]]&gt;Table1[[#This Row],[Low Tol]],"Pass","Fail")))</f>
        <v>Pass</v>
      </c>
      <c r="AE765" s="1" t="str">
        <f>IF(AND(Table1[[#This Row],[Spec Type2]]="N/A",Table1[[#This Row],[DUT Adj Read]]="N/A",Table1[[#This Row],[Std Adj Read]]="N/A"),"N/A",IF(Table1[[#This Row],[DUT Adj Read]]="N/A",IF(Table1[[#This Row],[Std Adj Read]]&lt;Table1[[#This Row],[High Tol]],"Pass","Fail"),IF(Table1[[#This Row],[DUT Adj Read]]&lt;Table1[[#This Row],[High Tol]],"Pass","Fail")))</f>
        <v>Fail</v>
      </c>
      <c r="AF765" s="1" t="str">
        <f>IF(AND(Table1[[#This Row],[Spec Type2]]="N/A",Table1[[#This Row],[DUT Adj Read]]="N/A",Table1[[#This Row],[Std Adj Read]]="N/A"),"N/A",IF(Table1[[#This Row],[DUT Adj Read]]="N/A",IF(Table1[[#This Row],[Std Adj Read]]&gt;=Table1[[#This Row],[Low Tol]],"Pass","Fail"),IF(Table1[[#This Row],[DUT Adj Read]]&gt;=Table1[[#This Row],[Low Tol]],"Pass","Fail")))</f>
        <v>Pass</v>
      </c>
      <c r="AG765" s="1" t="str">
        <f>IF(AND(Table1[[#This Row],[Spec Type2]]="N/A",Table1[[#This Row],[DUT Adj Read]]="N/A",Table1[[#This Row],[Std Adj Read]]="N/A"),"N/A",IF(Table1[[#This Row],[DUT Adj Read]]="N/A",IF(Table1[[#This Row],[Std Adj Read]]&lt;=Table1[[#This Row],[High Tol]],"Pass","Fail"),IF(Table1[[#This Row],[DUT Adj Read]]&lt;=Table1[[#This Row],[High Tol]],"Pass","Fail")))</f>
        <v>Fail</v>
      </c>
      <c r="AH7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5" s="1" t="b">
        <v>0</v>
      </c>
      <c r="AN765" s="1" t="b">
        <v>0</v>
      </c>
      <c r="AO765" s="1" t="b">
        <v>0</v>
      </c>
    </row>
    <row r="766" spans="1:41" x14ac:dyDescent="0.25">
      <c r="A766" s="10"/>
      <c r="B766" s="10"/>
      <c r="C766" s="10"/>
      <c r="D766" s="10"/>
      <c r="E766" s="10"/>
      <c r="F766" s="10"/>
      <c r="G766" s="10"/>
      <c r="H766" s="10"/>
      <c r="I766" s="1" t="str">
        <f t="shared" si="33"/>
        <v/>
      </c>
      <c r="J766" s="1" t="s">
        <v>35</v>
      </c>
      <c r="K766" s="1" t="str">
        <f t="shared" si="34"/>
        <v/>
      </c>
      <c r="L766" s="1" t="str">
        <f t="shared" si="35"/>
        <v/>
      </c>
      <c r="M766" s="1">
        <f>IF(OR(Table1[[#This Row],[Std Nom]]="",Table1[[#This Row],[Std Read]]=""),0,Table1[[#This Row],[Std Nom]]-Table1[[#This Row],[Std Read]])</f>
        <v>0</v>
      </c>
      <c r="N766" s="1">
        <f>IF(Calculations!$F$5="ACCREDITED 17025 WITH UNCERTAINTIES",$N$10,0)</f>
        <v>0</v>
      </c>
      <c r="Q766" s="1">
        <f>Table1[[#This Row],[High Tol]]-Table1[[#This Row],[Low Tol]]</f>
        <v>0</v>
      </c>
      <c r="R766" s="1">
        <f>2*Table1[[#This Row],[Std Error]]</f>
        <v>0</v>
      </c>
      <c r="S766" s="1" t="str">
        <f>IF(Table1[[#This Row],[High Tol]]="","N/A",IFERROR(ABS(Table1[[#This Row],[Tol Span]]/Table1[[#This Row],[Error Span]]),"N/A"))</f>
        <v>N/A</v>
      </c>
      <c r="T766" s="1" t="str">
        <f>IF(OR(Table1[[#This Row],[Low Tol]]="",Table1[[#This Row],[High Tol]]=""),"Needs Analysis",IF(Table1[[#This Row],[Ratio]]&gt;=4,"Not Significant",IF(Table1[[#This Row],[Ratio]]&gt;=2,"Semi-Significant","Significant")))</f>
        <v>Needs Analysis</v>
      </c>
      <c r="W766" s="1">
        <f>IF(Table1[[#This Row],[Cal Type]]&lt;&gt;"ACCREDITED 17025 WITH UNCERTAINTIES",0,"")</f>
        <v>0</v>
      </c>
      <c r="X766" s="1" t="str">
        <f>IF(Table1[[#This Row],[DUT Read]]="","N/A",Table1[[#This Row],[Std Error]]+Table1[[#This Row],[DUT Read]]+Table1[[#This Row],[DUT Ucty]])</f>
        <v>N/A</v>
      </c>
      <c r="Y766" s="1" t="str">
        <f>IF(Table1[[#This Row],[Std Read]]="","N/A",Table1[[#This Row],[Std Read]]+Table1[[#This Row],[Std Ucty]])</f>
        <v>N/A</v>
      </c>
      <c r="Z7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6" s="1" t="str">
        <f>IF(Table1[[#This Row],[Spec Type]]="","N/A",Table1[[#This Row],[Spec Type]])</f>
        <v>±</v>
      </c>
      <c r="AC766" s="1" t="str">
        <f>IF(Table1[[#This Row],[Spec Type2]]="N/A","N/A",IF(AND(Table1[[#This Row],[DUT Adj Read]]&gt;=Table1[[#This Row],[Low Tol]],Table1[[#This Row],[DUT Adj Read]]&lt;=Table1[[#This Row],[High Tol]]),"Pass","Fail"))</f>
        <v>Fail</v>
      </c>
      <c r="AD766" s="1" t="str">
        <f>IF(AND(Table1[[#This Row],[Spec Type2]]="N/A",Table1[[#This Row],[DUT Adj Read]]="N/A",Table1[[#This Row],[Std Adj Read]]="N/A"),"N/A",IF(Table1[[#This Row],[DUT Adj Read]]="N/A",IF(Table1[[#This Row],[Std Adj Read]]&gt;Table1[[#This Row],[Low Tol]],"Pass","Fail"),IF(Table1[[#This Row],[DUT Adj Read]]&gt;Table1[[#This Row],[Low Tol]],"Pass","Fail")))</f>
        <v>Pass</v>
      </c>
      <c r="AE766" s="1" t="str">
        <f>IF(AND(Table1[[#This Row],[Spec Type2]]="N/A",Table1[[#This Row],[DUT Adj Read]]="N/A",Table1[[#This Row],[Std Adj Read]]="N/A"),"N/A",IF(Table1[[#This Row],[DUT Adj Read]]="N/A",IF(Table1[[#This Row],[Std Adj Read]]&lt;Table1[[#This Row],[High Tol]],"Pass","Fail"),IF(Table1[[#This Row],[DUT Adj Read]]&lt;Table1[[#This Row],[High Tol]],"Pass","Fail")))</f>
        <v>Fail</v>
      </c>
      <c r="AF766" s="1" t="str">
        <f>IF(AND(Table1[[#This Row],[Spec Type2]]="N/A",Table1[[#This Row],[DUT Adj Read]]="N/A",Table1[[#This Row],[Std Adj Read]]="N/A"),"N/A",IF(Table1[[#This Row],[DUT Adj Read]]="N/A",IF(Table1[[#This Row],[Std Adj Read]]&gt;=Table1[[#This Row],[Low Tol]],"Pass","Fail"),IF(Table1[[#This Row],[DUT Adj Read]]&gt;=Table1[[#This Row],[Low Tol]],"Pass","Fail")))</f>
        <v>Pass</v>
      </c>
      <c r="AG766" s="1" t="str">
        <f>IF(AND(Table1[[#This Row],[Spec Type2]]="N/A",Table1[[#This Row],[DUT Adj Read]]="N/A",Table1[[#This Row],[Std Adj Read]]="N/A"),"N/A",IF(Table1[[#This Row],[DUT Adj Read]]="N/A",IF(Table1[[#This Row],[Std Adj Read]]&lt;=Table1[[#This Row],[High Tol]],"Pass","Fail"),IF(Table1[[#This Row],[DUT Adj Read]]&lt;=Table1[[#This Row],[High Tol]],"Pass","Fail")))</f>
        <v>Fail</v>
      </c>
      <c r="AH7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6" s="1" t="b">
        <v>0</v>
      </c>
      <c r="AN766" s="1" t="b">
        <v>0</v>
      </c>
      <c r="AO766" s="1" t="b">
        <v>0</v>
      </c>
    </row>
    <row r="767" spans="1:41" x14ac:dyDescent="0.25">
      <c r="A767" s="10"/>
      <c r="B767" s="10"/>
      <c r="C767" s="10"/>
      <c r="D767" s="10"/>
      <c r="E767" s="10"/>
      <c r="F767" s="10"/>
      <c r="G767" s="10"/>
      <c r="H767" s="10"/>
      <c r="I767" s="1" t="str">
        <f t="shared" si="33"/>
        <v/>
      </c>
      <c r="J767" s="1" t="s">
        <v>35</v>
      </c>
      <c r="K767" s="1" t="str">
        <f t="shared" si="34"/>
        <v/>
      </c>
      <c r="L767" s="1" t="str">
        <f t="shared" si="35"/>
        <v/>
      </c>
      <c r="M767" s="1">
        <f>IF(OR(Table1[[#This Row],[Std Nom]]="",Table1[[#This Row],[Std Read]]=""),0,Table1[[#This Row],[Std Nom]]-Table1[[#This Row],[Std Read]])</f>
        <v>0</v>
      </c>
      <c r="N767" s="1">
        <f>IF(Calculations!$F$5="ACCREDITED 17025 WITH UNCERTAINTIES",$N$10,0)</f>
        <v>0</v>
      </c>
      <c r="Q767" s="1">
        <f>Table1[[#This Row],[High Tol]]-Table1[[#This Row],[Low Tol]]</f>
        <v>0</v>
      </c>
      <c r="R767" s="1">
        <f>2*Table1[[#This Row],[Std Error]]</f>
        <v>0</v>
      </c>
      <c r="S767" s="1" t="str">
        <f>IF(Table1[[#This Row],[High Tol]]="","N/A",IFERROR(ABS(Table1[[#This Row],[Tol Span]]/Table1[[#This Row],[Error Span]]),"N/A"))</f>
        <v>N/A</v>
      </c>
      <c r="T767" s="1" t="str">
        <f>IF(OR(Table1[[#This Row],[Low Tol]]="",Table1[[#This Row],[High Tol]]=""),"Needs Analysis",IF(Table1[[#This Row],[Ratio]]&gt;=4,"Not Significant",IF(Table1[[#This Row],[Ratio]]&gt;=2,"Semi-Significant","Significant")))</f>
        <v>Needs Analysis</v>
      </c>
      <c r="W767" s="1">
        <f>IF(Table1[[#This Row],[Cal Type]]&lt;&gt;"ACCREDITED 17025 WITH UNCERTAINTIES",0,"")</f>
        <v>0</v>
      </c>
      <c r="X767" s="1" t="str">
        <f>IF(Table1[[#This Row],[DUT Read]]="","N/A",Table1[[#This Row],[Std Error]]+Table1[[#This Row],[DUT Read]]+Table1[[#This Row],[DUT Ucty]])</f>
        <v>N/A</v>
      </c>
      <c r="Y767" s="1" t="str">
        <f>IF(Table1[[#This Row],[Std Read]]="","N/A",Table1[[#This Row],[Std Read]]+Table1[[#This Row],[Std Ucty]])</f>
        <v>N/A</v>
      </c>
      <c r="Z7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7" s="1" t="str">
        <f>IF(Table1[[#This Row],[Spec Type]]="","N/A",Table1[[#This Row],[Spec Type]])</f>
        <v>±</v>
      </c>
      <c r="AC767" s="1" t="str">
        <f>IF(Table1[[#This Row],[Spec Type2]]="N/A","N/A",IF(AND(Table1[[#This Row],[DUT Adj Read]]&gt;=Table1[[#This Row],[Low Tol]],Table1[[#This Row],[DUT Adj Read]]&lt;=Table1[[#This Row],[High Tol]]),"Pass","Fail"))</f>
        <v>Fail</v>
      </c>
      <c r="AD767" s="1" t="str">
        <f>IF(AND(Table1[[#This Row],[Spec Type2]]="N/A",Table1[[#This Row],[DUT Adj Read]]="N/A",Table1[[#This Row],[Std Adj Read]]="N/A"),"N/A",IF(Table1[[#This Row],[DUT Adj Read]]="N/A",IF(Table1[[#This Row],[Std Adj Read]]&gt;Table1[[#This Row],[Low Tol]],"Pass","Fail"),IF(Table1[[#This Row],[DUT Adj Read]]&gt;Table1[[#This Row],[Low Tol]],"Pass","Fail")))</f>
        <v>Pass</v>
      </c>
      <c r="AE767" s="1" t="str">
        <f>IF(AND(Table1[[#This Row],[Spec Type2]]="N/A",Table1[[#This Row],[DUT Adj Read]]="N/A",Table1[[#This Row],[Std Adj Read]]="N/A"),"N/A",IF(Table1[[#This Row],[DUT Adj Read]]="N/A",IF(Table1[[#This Row],[Std Adj Read]]&lt;Table1[[#This Row],[High Tol]],"Pass","Fail"),IF(Table1[[#This Row],[DUT Adj Read]]&lt;Table1[[#This Row],[High Tol]],"Pass","Fail")))</f>
        <v>Fail</v>
      </c>
      <c r="AF767" s="1" t="str">
        <f>IF(AND(Table1[[#This Row],[Spec Type2]]="N/A",Table1[[#This Row],[DUT Adj Read]]="N/A",Table1[[#This Row],[Std Adj Read]]="N/A"),"N/A",IF(Table1[[#This Row],[DUT Adj Read]]="N/A",IF(Table1[[#This Row],[Std Adj Read]]&gt;=Table1[[#This Row],[Low Tol]],"Pass","Fail"),IF(Table1[[#This Row],[DUT Adj Read]]&gt;=Table1[[#This Row],[Low Tol]],"Pass","Fail")))</f>
        <v>Pass</v>
      </c>
      <c r="AG767" s="1" t="str">
        <f>IF(AND(Table1[[#This Row],[Spec Type2]]="N/A",Table1[[#This Row],[DUT Adj Read]]="N/A",Table1[[#This Row],[Std Adj Read]]="N/A"),"N/A",IF(Table1[[#This Row],[DUT Adj Read]]="N/A",IF(Table1[[#This Row],[Std Adj Read]]&lt;=Table1[[#This Row],[High Tol]],"Pass","Fail"),IF(Table1[[#This Row],[DUT Adj Read]]&lt;=Table1[[#This Row],[High Tol]],"Pass","Fail")))</f>
        <v>Fail</v>
      </c>
      <c r="AH7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7" s="1" t="b">
        <v>0</v>
      </c>
      <c r="AN767" s="1" t="b">
        <v>0</v>
      </c>
      <c r="AO767" s="1" t="b">
        <v>0</v>
      </c>
    </row>
    <row r="768" spans="1:41" x14ac:dyDescent="0.25">
      <c r="A768" s="10"/>
      <c r="B768" s="10"/>
      <c r="C768" s="10"/>
      <c r="D768" s="10"/>
      <c r="E768" s="10"/>
      <c r="F768" s="10"/>
      <c r="G768" s="10"/>
      <c r="H768" s="10"/>
      <c r="I768" s="1" t="str">
        <f t="shared" si="33"/>
        <v/>
      </c>
      <c r="J768" s="1" t="s">
        <v>35</v>
      </c>
      <c r="K768" s="1" t="str">
        <f t="shared" si="34"/>
        <v/>
      </c>
      <c r="L768" s="1" t="str">
        <f t="shared" si="35"/>
        <v/>
      </c>
      <c r="M768" s="1">
        <f>IF(OR(Table1[[#This Row],[Std Nom]]="",Table1[[#This Row],[Std Read]]=""),0,Table1[[#This Row],[Std Nom]]-Table1[[#This Row],[Std Read]])</f>
        <v>0</v>
      </c>
      <c r="N768" s="1">
        <f>IF(Calculations!$F$5="ACCREDITED 17025 WITH UNCERTAINTIES",$N$10,0)</f>
        <v>0</v>
      </c>
      <c r="Q768" s="1">
        <f>Table1[[#This Row],[High Tol]]-Table1[[#This Row],[Low Tol]]</f>
        <v>0</v>
      </c>
      <c r="R768" s="1">
        <f>2*Table1[[#This Row],[Std Error]]</f>
        <v>0</v>
      </c>
      <c r="S768" s="1" t="str">
        <f>IF(Table1[[#This Row],[High Tol]]="","N/A",IFERROR(ABS(Table1[[#This Row],[Tol Span]]/Table1[[#This Row],[Error Span]]),"N/A"))</f>
        <v>N/A</v>
      </c>
      <c r="T768" s="1" t="str">
        <f>IF(OR(Table1[[#This Row],[Low Tol]]="",Table1[[#This Row],[High Tol]]=""),"Needs Analysis",IF(Table1[[#This Row],[Ratio]]&gt;=4,"Not Significant",IF(Table1[[#This Row],[Ratio]]&gt;=2,"Semi-Significant","Significant")))</f>
        <v>Needs Analysis</v>
      </c>
      <c r="W768" s="1">
        <f>IF(Table1[[#This Row],[Cal Type]]&lt;&gt;"ACCREDITED 17025 WITH UNCERTAINTIES",0,"")</f>
        <v>0</v>
      </c>
      <c r="X768" s="1" t="str">
        <f>IF(Table1[[#This Row],[DUT Read]]="","N/A",Table1[[#This Row],[Std Error]]+Table1[[#This Row],[DUT Read]]+Table1[[#This Row],[DUT Ucty]])</f>
        <v>N/A</v>
      </c>
      <c r="Y768" s="1" t="str">
        <f>IF(Table1[[#This Row],[Std Read]]="","N/A",Table1[[#This Row],[Std Read]]+Table1[[#This Row],[Std Ucty]])</f>
        <v>N/A</v>
      </c>
      <c r="Z7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8" s="1" t="str">
        <f>IF(Table1[[#This Row],[Spec Type]]="","N/A",Table1[[#This Row],[Spec Type]])</f>
        <v>±</v>
      </c>
      <c r="AC768" s="1" t="str">
        <f>IF(Table1[[#This Row],[Spec Type2]]="N/A","N/A",IF(AND(Table1[[#This Row],[DUT Adj Read]]&gt;=Table1[[#This Row],[Low Tol]],Table1[[#This Row],[DUT Adj Read]]&lt;=Table1[[#This Row],[High Tol]]),"Pass","Fail"))</f>
        <v>Fail</v>
      </c>
      <c r="AD768" s="1" t="str">
        <f>IF(AND(Table1[[#This Row],[Spec Type2]]="N/A",Table1[[#This Row],[DUT Adj Read]]="N/A",Table1[[#This Row],[Std Adj Read]]="N/A"),"N/A",IF(Table1[[#This Row],[DUT Adj Read]]="N/A",IF(Table1[[#This Row],[Std Adj Read]]&gt;Table1[[#This Row],[Low Tol]],"Pass","Fail"),IF(Table1[[#This Row],[DUT Adj Read]]&gt;Table1[[#This Row],[Low Tol]],"Pass","Fail")))</f>
        <v>Pass</v>
      </c>
      <c r="AE768" s="1" t="str">
        <f>IF(AND(Table1[[#This Row],[Spec Type2]]="N/A",Table1[[#This Row],[DUT Adj Read]]="N/A",Table1[[#This Row],[Std Adj Read]]="N/A"),"N/A",IF(Table1[[#This Row],[DUT Adj Read]]="N/A",IF(Table1[[#This Row],[Std Adj Read]]&lt;Table1[[#This Row],[High Tol]],"Pass","Fail"),IF(Table1[[#This Row],[DUT Adj Read]]&lt;Table1[[#This Row],[High Tol]],"Pass","Fail")))</f>
        <v>Fail</v>
      </c>
      <c r="AF768" s="1" t="str">
        <f>IF(AND(Table1[[#This Row],[Spec Type2]]="N/A",Table1[[#This Row],[DUT Adj Read]]="N/A",Table1[[#This Row],[Std Adj Read]]="N/A"),"N/A",IF(Table1[[#This Row],[DUT Adj Read]]="N/A",IF(Table1[[#This Row],[Std Adj Read]]&gt;=Table1[[#This Row],[Low Tol]],"Pass","Fail"),IF(Table1[[#This Row],[DUT Adj Read]]&gt;=Table1[[#This Row],[Low Tol]],"Pass","Fail")))</f>
        <v>Pass</v>
      </c>
      <c r="AG768" s="1" t="str">
        <f>IF(AND(Table1[[#This Row],[Spec Type2]]="N/A",Table1[[#This Row],[DUT Adj Read]]="N/A",Table1[[#This Row],[Std Adj Read]]="N/A"),"N/A",IF(Table1[[#This Row],[DUT Adj Read]]="N/A",IF(Table1[[#This Row],[Std Adj Read]]&lt;=Table1[[#This Row],[High Tol]],"Pass","Fail"),IF(Table1[[#This Row],[DUT Adj Read]]&lt;=Table1[[#This Row],[High Tol]],"Pass","Fail")))</f>
        <v>Fail</v>
      </c>
      <c r="AH7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8" s="1" t="b">
        <v>0</v>
      </c>
      <c r="AN768" s="1" t="b">
        <v>0</v>
      </c>
      <c r="AO768" s="1" t="b">
        <v>0</v>
      </c>
    </row>
    <row r="769" spans="1:41" x14ac:dyDescent="0.25">
      <c r="A769" s="10"/>
      <c r="B769" s="10"/>
      <c r="C769" s="10"/>
      <c r="D769" s="10"/>
      <c r="E769" s="10"/>
      <c r="F769" s="10"/>
      <c r="G769" s="10"/>
      <c r="H769" s="10"/>
      <c r="I769" s="1" t="str">
        <f t="shared" si="33"/>
        <v/>
      </c>
      <c r="J769" s="1" t="s">
        <v>35</v>
      </c>
      <c r="K769" s="1" t="str">
        <f t="shared" si="34"/>
        <v/>
      </c>
      <c r="L769" s="1" t="str">
        <f t="shared" si="35"/>
        <v/>
      </c>
      <c r="M769" s="1">
        <f>IF(OR(Table1[[#This Row],[Std Nom]]="",Table1[[#This Row],[Std Read]]=""),0,Table1[[#This Row],[Std Nom]]-Table1[[#This Row],[Std Read]])</f>
        <v>0</v>
      </c>
      <c r="N769" s="1">
        <f>IF(Calculations!$F$5="ACCREDITED 17025 WITH UNCERTAINTIES",$N$10,0)</f>
        <v>0</v>
      </c>
      <c r="Q769" s="1">
        <f>Table1[[#This Row],[High Tol]]-Table1[[#This Row],[Low Tol]]</f>
        <v>0</v>
      </c>
      <c r="R769" s="1">
        <f>2*Table1[[#This Row],[Std Error]]</f>
        <v>0</v>
      </c>
      <c r="S769" s="1" t="str">
        <f>IF(Table1[[#This Row],[High Tol]]="","N/A",IFERROR(ABS(Table1[[#This Row],[Tol Span]]/Table1[[#This Row],[Error Span]]),"N/A"))</f>
        <v>N/A</v>
      </c>
      <c r="T769" s="1" t="str">
        <f>IF(OR(Table1[[#This Row],[Low Tol]]="",Table1[[#This Row],[High Tol]]=""),"Needs Analysis",IF(Table1[[#This Row],[Ratio]]&gt;=4,"Not Significant",IF(Table1[[#This Row],[Ratio]]&gt;=2,"Semi-Significant","Significant")))</f>
        <v>Needs Analysis</v>
      </c>
      <c r="W769" s="1">
        <f>IF(Table1[[#This Row],[Cal Type]]&lt;&gt;"ACCREDITED 17025 WITH UNCERTAINTIES",0,"")</f>
        <v>0</v>
      </c>
      <c r="X769" s="1" t="str">
        <f>IF(Table1[[#This Row],[DUT Read]]="","N/A",Table1[[#This Row],[Std Error]]+Table1[[#This Row],[DUT Read]]+Table1[[#This Row],[DUT Ucty]])</f>
        <v>N/A</v>
      </c>
      <c r="Y769" s="1" t="str">
        <f>IF(Table1[[#This Row],[Std Read]]="","N/A",Table1[[#This Row],[Std Read]]+Table1[[#This Row],[Std Ucty]])</f>
        <v>N/A</v>
      </c>
      <c r="Z7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69" s="1" t="str">
        <f>IF(Table1[[#This Row],[Spec Type]]="","N/A",Table1[[#This Row],[Spec Type]])</f>
        <v>±</v>
      </c>
      <c r="AC769" s="1" t="str">
        <f>IF(Table1[[#This Row],[Spec Type2]]="N/A","N/A",IF(AND(Table1[[#This Row],[DUT Adj Read]]&gt;=Table1[[#This Row],[Low Tol]],Table1[[#This Row],[DUT Adj Read]]&lt;=Table1[[#This Row],[High Tol]]),"Pass","Fail"))</f>
        <v>Fail</v>
      </c>
      <c r="AD769" s="1" t="str">
        <f>IF(AND(Table1[[#This Row],[Spec Type2]]="N/A",Table1[[#This Row],[DUT Adj Read]]="N/A",Table1[[#This Row],[Std Adj Read]]="N/A"),"N/A",IF(Table1[[#This Row],[DUT Adj Read]]="N/A",IF(Table1[[#This Row],[Std Adj Read]]&gt;Table1[[#This Row],[Low Tol]],"Pass","Fail"),IF(Table1[[#This Row],[DUT Adj Read]]&gt;Table1[[#This Row],[Low Tol]],"Pass","Fail")))</f>
        <v>Pass</v>
      </c>
      <c r="AE769" s="1" t="str">
        <f>IF(AND(Table1[[#This Row],[Spec Type2]]="N/A",Table1[[#This Row],[DUT Adj Read]]="N/A",Table1[[#This Row],[Std Adj Read]]="N/A"),"N/A",IF(Table1[[#This Row],[DUT Adj Read]]="N/A",IF(Table1[[#This Row],[Std Adj Read]]&lt;Table1[[#This Row],[High Tol]],"Pass","Fail"),IF(Table1[[#This Row],[DUT Adj Read]]&lt;Table1[[#This Row],[High Tol]],"Pass","Fail")))</f>
        <v>Fail</v>
      </c>
      <c r="AF769" s="1" t="str">
        <f>IF(AND(Table1[[#This Row],[Spec Type2]]="N/A",Table1[[#This Row],[DUT Adj Read]]="N/A",Table1[[#This Row],[Std Adj Read]]="N/A"),"N/A",IF(Table1[[#This Row],[DUT Adj Read]]="N/A",IF(Table1[[#This Row],[Std Adj Read]]&gt;=Table1[[#This Row],[Low Tol]],"Pass","Fail"),IF(Table1[[#This Row],[DUT Adj Read]]&gt;=Table1[[#This Row],[Low Tol]],"Pass","Fail")))</f>
        <v>Pass</v>
      </c>
      <c r="AG769" s="1" t="str">
        <f>IF(AND(Table1[[#This Row],[Spec Type2]]="N/A",Table1[[#This Row],[DUT Adj Read]]="N/A",Table1[[#This Row],[Std Adj Read]]="N/A"),"N/A",IF(Table1[[#This Row],[DUT Adj Read]]="N/A",IF(Table1[[#This Row],[Std Adj Read]]&lt;=Table1[[#This Row],[High Tol]],"Pass","Fail"),IF(Table1[[#This Row],[DUT Adj Read]]&lt;=Table1[[#This Row],[High Tol]],"Pass","Fail")))</f>
        <v>Fail</v>
      </c>
      <c r="AH7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69" s="1" t="b">
        <v>0</v>
      </c>
      <c r="AN769" s="1" t="b">
        <v>0</v>
      </c>
      <c r="AO769" s="1" t="b">
        <v>0</v>
      </c>
    </row>
    <row r="770" spans="1:41" x14ac:dyDescent="0.25">
      <c r="A770" s="10"/>
      <c r="B770" s="10"/>
      <c r="C770" s="10"/>
      <c r="D770" s="10"/>
      <c r="E770" s="10"/>
      <c r="F770" s="10"/>
      <c r="G770" s="10"/>
      <c r="H770" s="10"/>
      <c r="I770" s="1" t="str">
        <f t="shared" si="33"/>
        <v/>
      </c>
      <c r="J770" s="1" t="s">
        <v>35</v>
      </c>
      <c r="K770" s="1" t="str">
        <f t="shared" si="34"/>
        <v/>
      </c>
      <c r="L770" s="1" t="str">
        <f t="shared" si="35"/>
        <v/>
      </c>
      <c r="M770" s="1">
        <f>IF(OR(Table1[[#This Row],[Std Nom]]="",Table1[[#This Row],[Std Read]]=""),0,Table1[[#This Row],[Std Nom]]-Table1[[#This Row],[Std Read]])</f>
        <v>0</v>
      </c>
      <c r="N770" s="1">
        <f>IF(Calculations!$F$5="ACCREDITED 17025 WITH UNCERTAINTIES",$N$10,0)</f>
        <v>0</v>
      </c>
      <c r="Q770" s="1">
        <f>Table1[[#This Row],[High Tol]]-Table1[[#This Row],[Low Tol]]</f>
        <v>0</v>
      </c>
      <c r="R770" s="1">
        <f>2*Table1[[#This Row],[Std Error]]</f>
        <v>0</v>
      </c>
      <c r="S770" s="1" t="str">
        <f>IF(Table1[[#This Row],[High Tol]]="","N/A",IFERROR(ABS(Table1[[#This Row],[Tol Span]]/Table1[[#This Row],[Error Span]]),"N/A"))</f>
        <v>N/A</v>
      </c>
      <c r="T770" s="1" t="str">
        <f>IF(OR(Table1[[#This Row],[Low Tol]]="",Table1[[#This Row],[High Tol]]=""),"Needs Analysis",IF(Table1[[#This Row],[Ratio]]&gt;=4,"Not Significant",IF(Table1[[#This Row],[Ratio]]&gt;=2,"Semi-Significant","Significant")))</f>
        <v>Needs Analysis</v>
      </c>
      <c r="W770" s="1">
        <f>IF(Table1[[#This Row],[Cal Type]]&lt;&gt;"ACCREDITED 17025 WITH UNCERTAINTIES",0,"")</f>
        <v>0</v>
      </c>
      <c r="X770" s="1" t="str">
        <f>IF(Table1[[#This Row],[DUT Read]]="","N/A",Table1[[#This Row],[Std Error]]+Table1[[#This Row],[DUT Read]]+Table1[[#This Row],[DUT Ucty]])</f>
        <v>N/A</v>
      </c>
      <c r="Y770" s="1" t="str">
        <f>IF(Table1[[#This Row],[Std Read]]="","N/A",Table1[[#This Row],[Std Read]]+Table1[[#This Row],[Std Ucty]])</f>
        <v>N/A</v>
      </c>
      <c r="Z7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0" s="1" t="str">
        <f>IF(Table1[[#This Row],[Spec Type]]="","N/A",Table1[[#This Row],[Spec Type]])</f>
        <v>±</v>
      </c>
      <c r="AC770" s="1" t="str">
        <f>IF(Table1[[#This Row],[Spec Type2]]="N/A","N/A",IF(AND(Table1[[#This Row],[DUT Adj Read]]&gt;=Table1[[#This Row],[Low Tol]],Table1[[#This Row],[DUT Adj Read]]&lt;=Table1[[#This Row],[High Tol]]),"Pass","Fail"))</f>
        <v>Fail</v>
      </c>
      <c r="AD770" s="1" t="str">
        <f>IF(AND(Table1[[#This Row],[Spec Type2]]="N/A",Table1[[#This Row],[DUT Adj Read]]="N/A",Table1[[#This Row],[Std Adj Read]]="N/A"),"N/A",IF(Table1[[#This Row],[DUT Adj Read]]="N/A",IF(Table1[[#This Row],[Std Adj Read]]&gt;Table1[[#This Row],[Low Tol]],"Pass","Fail"),IF(Table1[[#This Row],[DUT Adj Read]]&gt;Table1[[#This Row],[Low Tol]],"Pass","Fail")))</f>
        <v>Pass</v>
      </c>
      <c r="AE770" s="1" t="str">
        <f>IF(AND(Table1[[#This Row],[Spec Type2]]="N/A",Table1[[#This Row],[DUT Adj Read]]="N/A",Table1[[#This Row],[Std Adj Read]]="N/A"),"N/A",IF(Table1[[#This Row],[DUT Adj Read]]="N/A",IF(Table1[[#This Row],[Std Adj Read]]&lt;Table1[[#This Row],[High Tol]],"Pass","Fail"),IF(Table1[[#This Row],[DUT Adj Read]]&lt;Table1[[#This Row],[High Tol]],"Pass","Fail")))</f>
        <v>Fail</v>
      </c>
      <c r="AF770" s="1" t="str">
        <f>IF(AND(Table1[[#This Row],[Spec Type2]]="N/A",Table1[[#This Row],[DUT Adj Read]]="N/A",Table1[[#This Row],[Std Adj Read]]="N/A"),"N/A",IF(Table1[[#This Row],[DUT Adj Read]]="N/A",IF(Table1[[#This Row],[Std Adj Read]]&gt;=Table1[[#This Row],[Low Tol]],"Pass","Fail"),IF(Table1[[#This Row],[DUT Adj Read]]&gt;=Table1[[#This Row],[Low Tol]],"Pass","Fail")))</f>
        <v>Pass</v>
      </c>
      <c r="AG770" s="1" t="str">
        <f>IF(AND(Table1[[#This Row],[Spec Type2]]="N/A",Table1[[#This Row],[DUT Adj Read]]="N/A",Table1[[#This Row],[Std Adj Read]]="N/A"),"N/A",IF(Table1[[#This Row],[DUT Adj Read]]="N/A",IF(Table1[[#This Row],[Std Adj Read]]&lt;=Table1[[#This Row],[High Tol]],"Pass","Fail"),IF(Table1[[#This Row],[DUT Adj Read]]&lt;=Table1[[#This Row],[High Tol]],"Pass","Fail")))</f>
        <v>Fail</v>
      </c>
      <c r="AH7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0" s="1" t="b">
        <v>0</v>
      </c>
      <c r="AN770" s="1" t="b">
        <v>0</v>
      </c>
      <c r="AO770" s="1" t="b">
        <v>0</v>
      </c>
    </row>
    <row r="771" spans="1:41" x14ac:dyDescent="0.25">
      <c r="A771" s="10"/>
      <c r="B771" s="10"/>
      <c r="C771" s="10"/>
      <c r="D771" s="10"/>
      <c r="E771" s="10"/>
      <c r="F771" s="10"/>
      <c r="G771" s="10"/>
      <c r="H771" s="10"/>
      <c r="I771" s="1" t="str">
        <f t="shared" si="33"/>
        <v/>
      </c>
      <c r="J771" s="1" t="s">
        <v>35</v>
      </c>
      <c r="K771" s="1" t="str">
        <f t="shared" si="34"/>
        <v/>
      </c>
      <c r="L771" s="1" t="str">
        <f t="shared" si="35"/>
        <v/>
      </c>
      <c r="M771" s="1">
        <f>IF(OR(Table1[[#This Row],[Std Nom]]="",Table1[[#This Row],[Std Read]]=""),0,Table1[[#This Row],[Std Nom]]-Table1[[#This Row],[Std Read]])</f>
        <v>0</v>
      </c>
      <c r="N771" s="1">
        <f>IF(Calculations!$F$5="ACCREDITED 17025 WITH UNCERTAINTIES",$N$10,0)</f>
        <v>0</v>
      </c>
      <c r="Q771" s="1">
        <f>Table1[[#This Row],[High Tol]]-Table1[[#This Row],[Low Tol]]</f>
        <v>0</v>
      </c>
      <c r="R771" s="1">
        <f>2*Table1[[#This Row],[Std Error]]</f>
        <v>0</v>
      </c>
      <c r="S771" s="1" t="str">
        <f>IF(Table1[[#This Row],[High Tol]]="","N/A",IFERROR(ABS(Table1[[#This Row],[Tol Span]]/Table1[[#This Row],[Error Span]]),"N/A"))</f>
        <v>N/A</v>
      </c>
      <c r="T771" s="1" t="str">
        <f>IF(OR(Table1[[#This Row],[Low Tol]]="",Table1[[#This Row],[High Tol]]=""),"Needs Analysis",IF(Table1[[#This Row],[Ratio]]&gt;=4,"Not Significant",IF(Table1[[#This Row],[Ratio]]&gt;=2,"Semi-Significant","Significant")))</f>
        <v>Needs Analysis</v>
      </c>
      <c r="W771" s="1">
        <f>IF(Table1[[#This Row],[Cal Type]]&lt;&gt;"ACCREDITED 17025 WITH UNCERTAINTIES",0,"")</f>
        <v>0</v>
      </c>
      <c r="X771" s="1" t="str">
        <f>IF(Table1[[#This Row],[DUT Read]]="","N/A",Table1[[#This Row],[Std Error]]+Table1[[#This Row],[DUT Read]]+Table1[[#This Row],[DUT Ucty]])</f>
        <v>N/A</v>
      </c>
      <c r="Y771" s="1" t="str">
        <f>IF(Table1[[#This Row],[Std Read]]="","N/A",Table1[[#This Row],[Std Read]]+Table1[[#This Row],[Std Ucty]])</f>
        <v>N/A</v>
      </c>
      <c r="Z7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1" s="1" t="str">
        <f>IF(Table1[[#This Row],[Spec Type]]="","N/A",Table1[[#This Row],[Spec Type]])</f>
        <v>±</v>
      </c>
      <c r="AC771" s="1" t="str">
        <f>IF(Table1[[#This Row],[Spec Type2]]="N/A","N/A",IF(AND(Table1[[#This Row],[DUT Adj Read]]&gt;=Table1[[#This Row],[Low Tol]],Table1[[#This Row],[DUT Adj Read]]&lt;=Table1[[#This Row],[High Tol]]),"Pass","Fail"))</f>
        <v>Fail</v>
      </c>
      <c r="AD771" s="1" t="str">
        <f>IF(AND(Table1[[#This Row],[Spec Type2]]="N/A",Table1[[#This Row],[DUT Adj Read]]="N/A",Table1[[#This Row],[Std Adj Read]]="N/A"),"N/A",IF(Table1[[#This Row],[DUT Adj Read]]="N/A",IF(Table1[[#This Row],[Std Adj Read]]&gt;Table1[[#This Row],[Low Tol]],"Pass","Fail"),IF(Table1[[#This Row],[DUT Adj Read]]&gt;Table1[[#This Row],[Low Tol]],"Pass","Fail")))</f>
        <v>Pass</v>
      </c>
      <c r="AE771" s="1" t="str">
        <f>IF(AND(Table1[[#This Row],[Spec Type2]]="N/A",Table1[[#This Row],[DUT Adj Read]]="N/A",Table1[[#This Row],[Std Adj Read]]="N/A"),"N/A",IF(Table1[[#This Row],[DUT Adj Read]]="N/A",IF(Table1[[#This Row],[Std Adj Read]]&lt;Table1[[#This Row],[High Tol]],"Pass","Fail"),IF(Table1[[#This Row],[DUT Adj Read]]&lt;Table1[[#This Row],[High Tol]],"Pass","Fail")))</f>
        <v>Fail</v>
      </c>
      <c r="AF771" s="1" t="str">
        <f>IF(AND(Table1[[#This Row],[Spec Type2]]="N/A",Table1[[#This Row],[DUT Adj Read]]="N/A",Table1[[#This Row],[Std Adj Read]]="N/A"),"N/A",IF(Table1[[#This Row],[DUT Adj Read]]="N/A",IF(Table1[[#This Row],[Std Adj Read]]&gt;=Table1[[#This Row],[Low Tol]],"Pass","Fail"),IF(Table1[[#This Row],[DUT Adj Read]]&gt;=Table1[[#This Row],[Low Tol]],"Pass","Fail")))</f>
        <v>Pass</v>
      </c>
      <c r="AG771" s="1" t="str">
        <f>IF(AND(Table1[[#This Row],[Spec Type2]]="N/A",Table1[[#This Row],[DUT Adj Read]]="N/A",Table1[[#This Row],[Std Adj Read]]="N/A"),"N/A",IF(Table1[[#This Row],[DUT Adj Read]]="N/A",IF(Table1[[#This Row],[Std Adj Read]]&lt;=Table1[[#This Row],[High Tol]],"Pass","Fail"),IF(Table1[[#This Row],[DUT Adj Read]]&lt;=Table1[[#This Row],[High Tol]],"Pass","Fail")))</f>
        <v>Fail</v>
      </c>
      <c r="AH7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1" s="1" t="b">
        <v>0</v>
      </c>
      <c r="AN771" s="1" t="b">
        <v>0</v>
      </c>
      <c r="AO771" s="1" t="b">
        <v>0</v>
      </c>
    </row>
    <row r="772" spans="1:41" x14ac:dyDescent="0.25">
      <c r="A772" s="10"/>
      <c r="B772" s="10"/>
      <c r="C772" s="10"/>
      <c r="D772" s="10"/>
      <c r="E772" s="10"/>
      <c r="F772" s="10"/>
      <c r="G772" s="10"/>
      <c r="H772" s="10"/>
      <c r="I772" s="1" t="str">
        <f t="shared" si="33"/>
        <v/>
      </c>
      <c r="J772" s="1" t="s">
        <v>35</v>
      </c>
      <c r="K772" s="1" t="str">
        <f t="shared" si="34"/>
        <v/>
      </c>
      <c r="L772" s="1" t="str">
        <f t="shared" si="35"/>
        <v/>
      </c>
      <c r="M772" s="1">
        <f>IF(OR(Table1[[#This Row],[Std Nom]]="",Table1[[#This Row],[Std Read]]=""),0,Table1[[#This Row],[Std Nom]]-Table1[[#This Row],[Std Read]])</f>
        <v>0</v>
      </c>
      <c r="N772" s="1">
        <f>IF(Calculations!$F$5="ACCREDITED 17025 WITH UNCERTAINTIES",$N$10,0)</f>
        <v>0</v>
      </c>
      <c r="Q772" s="1">
        <f>Table1[[#This Row],[High Tol]]-Table1[[#This Row],[Low Tol]]</f>
        <v>0</v>
      </c>
      <c r="R772" s="1">
        <f>2*Table1[[#This Row],[Std Error]]</f>
        <v>0</v>
      </c>
      <c r="S772" s="1" t="str">
        <f>IF(Table1[[#This Row],[High Tol]]="","N/A",IFERROR(ABS(Table1[[#This Row],[Tol Span]]/Table1[[#This Row],[Error Span]]),"N/A"))</f>
        <v>N/A</v>
      </c>
      <c r="T772" s="1" t="str">
        <f>IF(OR(Table1[[#This Row],[Low Tol]]="",Table1[[#This Row],[High Tol]]=""),"Needs Analysis",IF(Table1[[#This Row],[Ratio]]&gt;=4,"Not Significant",IF(Table1[[#This Row],[Ratio]]&gt;=2,"Semi-Significant","Significant")))</f>
        <v>Needs Analysis</v>
      </c>
      <c r="W772" s="1">
        <f>IF(Table1[[#This Row],[Cal Type]]&lt;&gt;"ACCREDITED 17025 WITH UNCERTAINTIES",0,"")</f>
        <v>0</v>
      </c>
      <c r="X772" s="1" t="str">
        <f>IF(Table1[[#This Row],[DUT Read]]="","N/A",Table1[[#This Row],[Std Error]]+Table1[[#This Row],[DUT Read]]+Table1[[#This Row],[DUT Ucty]])</f>
        <v>N/A</v>
      </c>
      <c r="Y772" s="1" t="str">
        <f>IF(Table1[[#This Row],[Std Read]]="","N/A",Table1[[#This Row],[Std Read]]+Table1[[#This Row],[Std Ucty]])</f>
        <v>N/A</v>
      </c>
      <c r="Z7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2" s="1" t="str">
        <f>IF(Table1[[#This Row],[Spec Type]]="","N/A",Table1[[#This Row],[Spec Type]])</f>
        <v>±</v>
      </c>
      <c r="AC772" s="1" t="str">
        <f>IF(Table1[[#This Row],[Spec Type2]]="N/A","N/A",IF(AND(Table1[[#This Row],[DUT Adj Read]]&gt;=Table1[[#This Row],[Low Tol]],Table1[[#This Row],[DUT Adj Read]]&lt;=Table1[[#This Row],[High Tol]]),"Pass","Fail"))</f>
        <v>Fail</v>
      </c>
      <c r="AD772" s="1" t="str">
        <f>IF(AND(Table1[[#This Row],[Spec Type2]]="N/A",Table1[[#This Row],[DUT Adj Read]]="N/A",Table1[[#This Row],[Std Adj Read]]="N/A"),"N/A",IF(Table1[[#This Row],[DUT Adj Read]]="N/A",IF(Table1[[#This Row],[Std Adj Read]]&gt;Table1[[#This Row],[Low Tol]],"Pass","Fail"),IF(Table1[[#This Row],[DUT Adj Read]]&gt;Table1[[#This Row],[Low Tol]],"Pass","Fail")))</f>
        <v>Pass</v>
      </c>
      <c r="AE772" s="1" t="str">
        <f>IF(AND(Table1[[#This Row],[Spec Type2]]="N/A",Table1[[#This Row],[DUT Adj Read]]="N/A",Table1[[#This Row],[Std Adj Read]]="N/A"),"N/A",IF(Table1[[#This Row],[DUT Adj Read]]="N/A",IF(Table1[[#This Row],[Std Adj Read]]&lt;Table1[[#This Row],[High Tol]],"Pass","Fail"),IF(Table1[[#This Row],[DUT Adj Read]]&lt;Table1[[#This Row],[High Tol]],"Pass","Fail")))</f>
        <v>Fail</v>
      </c>
      <c r="AF772" s="1" t="str">
        <f>IF(AND(Table1[[#This Row],[Spec Type2]]="N/A",Table1[[#This Row],[DUT Adj Read]]="N/A",Table1[[#This Row],[Std Adj Read]]="N/A"),"N/A",IF(Table1[[#This Row],[DUT Adj Read]]="N/A",IF(Table1[[#This Row],[Std Adj Read]]&gt;=Table1[[#This Row],[Low Tol]],"Pass","Fail"),IF(Table1[[#This Row],[DUT Adj Read]]&gt;=Table1[[#This Row],[Low Tol]],"Pass","Fail")))</f>
        <v>Pass</v>
      </c>
      <c r="AG772" s="1" t="str">
        <f>IF(AND(Table1[[#This Row],[Spec Type2]]="N/A",Table1[[#This Row],[DUT Adj Read]]="N/A",Table1[[#This Row],[Std Adj Read]]="N/A"),"N/A",IF(Table1[[#This Row],[DUT Adj Read]]="N/A",IF(Table1[[#This Row],[Std Adj Read]]&lt;=Table1[[#This Row],[High Tol]],"Pass","Fail"),IF(Table1[[#This Row],[DUT Adj Read]]&lt;=Table1[[#This Row],[High Tol]],"Pass","Fail")))</f>
        <v>Fail</v>
      </c>
      <c r="AH7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2" s="1" t="b">
        <v>0</v>
      </c>
      <c r="AN772" s="1" t="b">
        <v>0</v>
      </c>
      <c r="AO772" s="1" t="b">
        <v>0</v>
      </c>
    </row>
    <row r="773" spans="1:41" x14ac:dyDescent="0.25">
      <c r="A773" s="10"/>
      <c r="B773" s="10"/>
      <c r="C773" s="10"/>
      <c r="D773" s="10"/>
      <c r="E773" s="10"/>
      <c r="F773" s="10"/>
      <c r="G773" s="10"/>
      <c r="H773" s="10"/>
      <c r="I773" s="1" t="str">
        <f t="shared" si="33"/>
        <v/>
      </c>
      <c r="J773" s="1" t="s">
        <v>35</v>
      </c>
      <c r="K773" s="1" t="str">
        <f t="shared" si="34"/>
        <v/>
      </c>
      <c r="L773" s="1" t="str">
        <f t="shared" si="35"/>
        <v/>
      </c>
      <c r="M773" s="1">
        <f>IF(OR(Table1[[#This Row],[Std Nom]]="",Table1[[#This Row],[Std Read]]=""),0,Table1[[#This Row],[Std Nom]]-Table1[[#This Row],[Std Read]])</f>
        <v>0</v>
      </c>
      <c r="N773" s="1">
        <f>IF(Calculations!$F$5="ACCREDITED 17025 WITH UNCERTAINTIES",$N$10,0)</f>
        <v>0</v>
      </c>
      <c r="Q773" s="1">
        <f>Table1[[#This Row],[High Tol]]-Table1[[#This Row],[Low Tol]]</f>
        <v>0</v>
      </c>
      <c r="R773" s="1">
        <f>2*Table1[[#This Row],[Std Error]]</f>
        <v>0</v>
      </c>
      <c r="S773" s="1" t="str">
        <f>IF(Table1[[#This Row],[High Tol]]="","N/A",IFERROR(ABS(Table1[[#This Row],[Tol Span]]/Table1[[#This Row],[Error Span]]),"N/A"))</f>
        <v>N/A</v>
      </c>
      <c r="T773" s="1" t="str">
        <f>IF(OR(Table1[[#This Row],[Low Tol]]="",Table1[[#This Row],[High Tol]]=""),"Needs Analysis",IF(Table1[[#This Row],[Ratio]]&gt;=4,"Not Significant",IF(Table1[[#This Row],[Ratio]]&gt;=2,"Semi-Significant","Significant")))</f>
        <v>Needs Analysis</v>
      </c>
      <c r="W773" s="1">
        <f>IF(Table1[[#This Row],[Cal Type]]&lt;&gt;"ACCREDITED 17025 WITH UNCERTAINTIES",0,"")</f>
        <v>0</v>
      </c>
      <c r="X773" s="1" t="str">
        <f>IF(Table1[[#This Row],[DUT Read]]="","N/A",Table1[[#This Row],[Std Error]]+Table1[[#This Row],[DUT Read]]+Table1[[#This Row],[DUT Ucty]])</f>
        <v>N/A</v>
      </c>
      <c r="Y773" s="1" t="str">
        <f>IF(Table1[[#This Row],[Std Read]]="","N/A",Table1[[#This Row],[Std Read]]+Table1[[#This Row],[Std Ucty]])</f>
        <v>N/A</v>
      </c>
      <c r="Z7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3" s="1" t="str">
        <f>IF(Table1[[#This Row],[Spec Type]]="","N/A",Table1[[#This Row],[Spec Type]])</f>
        <v>±</v>
      </c>
      <c r="AC773" s="1" t="str">
        <f>IF(Table1[[#This Row],[Spec Type2]]="N/A","N/A",IF(AND(Table1[[#This Row],[DUT Adj Read]]&gt;=Table1[[#This Row],[Low Tol]],Table1[[#This Row],[DUT Adj Read]]&lt;=Table1[[#This Row],[High Tol]]),"Pass","Fail"))</f>
        <v>Fail</v>
      </c>
      <c r="AD773" s="1" t="str">
        <f>IF(AND(Table1[[#This Row],[Spec Type2]]="N/A",Table1[[#This Row],[DUT Adj Read]]="N/A",Table1[[#This Row],[Std Adj Read]]="N/A"),"N/A",IF(Table1[[#This Row],[DUT Adj Read]]="N/A",IF(Table1[[#This Row],[Std Adj Read]]&gt;Table1[[#This Row],[Low Tol]],"Pass","Fail"),IF(Table1[[#This Row],[DUT Adj Read]]&gt;Table1[[#This Row],[Low Tol]],"Pass","Fail")))</f>
        <v>Pass</v>
      </c>
      <c r="AE773" s="1" t="str">
        <f>IF(AND(Table1[[#This Row],[Spec Type2]]="N/A",Table1[[#This Row],[DUT Adj Read]]="N/A",Table1[[#This Row],[Std Adj Read]]="N/A"),"N/A",IF(Table1[[#This Row],[DUT Adj Read]]="N/A",IF(Table1[[#This Row],[Std Adj Read]]&lt;Table1[[#This Row],[High Tol]],"Pass","Fail"),IF(Table1[[#This Row],[DUT Adj Read]]&lt;Table1[[#This Row],[High Tol]],"Pass","Fail")))</f>
        <v>Fail</v>
      </c>
      <c r="AF773" s="1" t="str">
        <f>IF(AND(Table1[[#This Row],[Spec Type2]]="N/A",Table1[[#This Row],[DUT Adj Read]]="N/A",Table1[[#This Row],[Std Adj Read]]="N/A"),"N/A",IF(Table1[[#This Row],[DUT Adj Read]]="N/A",IF(Table1[[#This Row],[Std Adj Read]]&gt;=Table1[[#This Row],[Low Tol]],"Pass","Fail"),IF(Table1[[#This Row],[DUT Adj Read]]&gt;=Table1[[#This Row],[Low Tol]],"Pass","Fail")))</f>
        <v>Pass</v>
      </c>
      <c r="AG773" s="1" t="str">
        <f>IF(AND(Table1[[#This Row],[Spec Type2]]="N/A",Table1[[#This Row],[DUT Adj Read]]="N/A",Table1[[#This Row],[Std Adj Read]]="N/A"),"N/A",IF(Table1[[#This Row],[DUT Adj Read]]="N/A",IF(Table1[[#This Row],[Std Adj Read]]&lt;=Table1[[#This Row],[High Tol]],"Pass","Fail"),IF(Table1[[#This Row],[DUT Adj Read]]&lt;=Table1[[#This Row],[High Tol]],"Pass","Fail")))</f>
        <v>Fail</v>
      </c>
      <c r="AH7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3" s="1" t="b">
        <v>0</v>
      </c>
      <c r="AN773" s="1" t="b">
        <v>0</v>
      </c>
      <c r="AO773" s="1" t="b">
        <v>0</v>
      </c>
    </row>
    <row r="774" spans="1:41" x14ac:dyDescent="0.25">
      <c r="A774" s="10"/>
      <c r="B774" s="10"/>
      <c r="C774" s="10"/>
      <c r="D774" s="10"/>
      <c r="E774" s="10"/>
      <c r="F774" s="10"/>
      <c r="G774" s="10"/>
      <c r="H774" s="10"/>
      <c r="I774" s="1" t="str">
        <f t="shared" si="33"/>
        <v/>
      </c>
      <c r="J774" s="1" t="s">
        <v>35</v>
      </c>
      <c r="K774" s="1" t="str">
        <f t="shared" si="34"/>
        <v/>
      </c>
      <c r="L774" s="1" t="str">
        <f t="shared" si="35"/>
        <v/>
      </c>
      <c r="M774" s="1">
        <f>IF(OR(Table1[[#This Row],[Std Nom]]="",Table1[[#This Row],[Std Read]]=""),0,Table1[[#This Row],[Std Nom]]-Table1[[#This Row],[Std Read]])</f>
        <v>0</v>
      </c>
      <c r="N774" s="1">
        <f>IF(Calculations!$F$5="ACCREDITED 17025 WITH UNCERTAINTIES",$N$10,0)</f>
        <v>0</v>
      </c>
      <c r="Q774" s="1">
        <f>Table1[[#This Row],[High Tol]]-Table1[[#This Row],[Low Tol]]</f>
        <v>0</v>
      </c>
      <c r="R774" s="1">
        <f>2*Table1[[#This Row],[Std Error]]</f>
        <v>0</v>
      </c>
      <c r="S774" s="1" t="str">
        <f>IF(Table1[[#This Row],[High Tol]]="","N/A",IFERROR(ABS(Table1[[#This Row],[Tol Span]]/Table1[[#This Row],[Error Span]]),"N/A"))</f>
        <v>N/A</v>
      </c>
      <c r="T774" s="1" t="str">
        <f>IF(OR(Table1[[#This Row],[Low Tol]]="",Table1[[#This Row],[High Tol]]=""),"Needs Analysis",IF(Table1[[#This Row],[Ratio]]&gt;=4,"Not Significant",IF(Table1[[#This Row],[Ratio]]&gt;=2,"Semi-Significant","Significant")))</f>
        <v>Needs Analysis</v>
      </c>
      <c r="W774" s="1">
        <f>IF(Table1[[#This Row],[Cal Type]]&lt;&gt;"ACCREDITED 17025 WITH UNCERTAINTIES",0,"")</f>
        <v>0</v>
      </c>
      <c r="X774" s="1" t="str">
        <f>IF(Table1[[#This Row],[DUT Read]]="","N/A",Table1[[#This Row],[Std Error]]+Table1[[#This Row],[DUT Read]]+Table1[[#This Row],[DUT Ucty]])</f>
        <v>N/A</v>
      </c>
      <c r="Y774" s="1" t="str">
        <f>IF(Table1[[#This Row],[Std Read]]="","N/A",Table1[[#This Row],[Std Read]]+Table1[[#This Row],[Std Ucty]])</f>
        <v>N/A</v>
      </c>
      <c r="Z7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4" s="1" t="str">
        <f>IF(Table1[[#This Row],[Spec Type]]="","N/A",Table1[[#This Row],[Spec Type]])</f>
        <v>±</v>
      </c>
      <c r="AC774" s="1" t="str">
        <f>IF(Table1[[#This Row],[Spec Type2]]="N/A","N/A",IF(AND(Table1[[#This Row],[DUT Adj Read]]&gt;=Table1[[#This Row],[Low Tol]],Table1[[#This Row],[DUT Adj Read]]&lt;=Table1[[#This Row],[High Tol]]),"Pass","Fail"))</f>
        <v>Fail</v>
      </c>
      <c r="AD774" s="1" t="str">
        <f>IF(AND(Table1[[#This Row],[Spec Type2]]="N/A",Table1[[#This Row],[DUT Adj Read]]="N/A",Table1[[#This Row],[Std Adj Read]]="N/A"),"N/A",IF(Table1[[#This Row],[DUT Adj Read]]="N/A",IF(Table1[[#This Row],[Std Adj Read]]&gt;Table1[[#This Row],[Low Tol]],"Pass","Fail"),IF(Table1[[#This Row],[DUT Adj Read]]&gt;Table1[[#This Row],[Low Tol]],"Pass","Fail")))</f>
        <v>Pass</v>
      </c>
      <c r="AE774" s="1" t="str">
        <f>IF(AND(Table1[[#This Row],[Spec Type2]]="N/A",Table1[[#This Row],[DUT Adj Read]]="N/A",Table1[[#This Row],[Std Adj Read]]="N/A"),"N/A",IF(Table1[[#This Row],[DUT Adj Read]]="N/A",IF(Table1[[#This Row],[Std Adj Read]]&lt;Table1[[#This Row],[High Tol]],"Pass","Fail"),IF(Table1[[#This Row],[DUT Adj Read]]&lt;Table1[[#This Row],[High Tol]],"Pass","Fail")))</f>
        <v>Fail</v>
      </c>
      <c r="AF774" s="1" t="str">
        <f>IF(AND(Table1[[#This Row],[Spec Type2]]="N/A",Table1[[#This Row],[DUT Adj Read]]="N/A",Table1[[#This Row],[Std Adj Read]]="N/A"),"N/A",IF(Table1[[#This Row],[DUT Adj Read]]="N/A",IF(Table1[[#This Row],[Std Adj Read]]&gt;=Table1[[#This Row],[Low Tol]],"Pass","Fail"),IF(Table1[[#This Row],[DUT Adj Read]]&gt;=Table1[[#This Row],[Low Tol]],"Pass","Fail")))</f>
        <v>Pass</v>
      </c>
      <c r="AG774" s="1" t="str">
        <f>IF(AND(Table1[[#This Row],[Spec Type2]]="N/A",Table1[[#This Row],[DUT Adj Read]]="N/A",Table1[[#This Row],[Std Adj Read]]="N/A"),"N/A",IF(Table1[[#This Row],[DUT Adj Read]]="N/A",IF(Table1[[#This Row],[Std Adj Read]]&lt;=Table1[[#This Row],[High Tol]],"Pass","Fail"),IF(Table1[[#This Row],[DUT Adj Read]]&lt;=Table1[[#This Row],[High Tol]],"Pass","Fail")))</f>
        <v>Fail</v>
      </c>
      <c r="AH7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4" s="1" t="b">
        <v>0</v>
      </c>
      <c r="AN774" s="1" t="b">
        <v>0</v>
      </c>
      <c r="AO774" s="1" t="b">
        <v>0</v>
      </c>
    </row>
    <row r="775" spans="1:41" x14ac:dyDescent="0.25">
      <c r="A775" s="10"/>
      <c r="B775" s="10"/>
      <c r="C775" s="10"/>
      <c r="D775" s="10"/>
      <c r="E775" s="10"/>
      <c r="F775" s="10"/>
      <c r="G775" s="10"/>
      <c r="H775" s="10"/>
      <c r="I775" s="1" t="str">
        <f t="shared" si="33"/>
        <v/>
      </c>
      <c r="J775" s="1" t="s">
        <v>35</v>
      </c>
      <c r="K775" s="1" t="str">
        <f t="shared" si="34"/>
        <v/>
      </c>
      <c r="L775" s="1" t="str">
        <f t="shared" si="35"/>
        <v/>
      </c>
      <c r="M775" s="1">
        <f>IF(OR(Table1[[#This Row],[Std Nom]]="",Table1[[#This Row],[Std Read]]=""),0,Table1[[#This Row],[Std Nom]]-Table1[[#This Row],[Std Read]])</f>
        <v>0</v>
      </c>
      <c r="N775" s="1">
        <f>IF(Calculations!$F$5="ACCREDITED 17025 WITH UNCERTAINTIES",$N$10,0)</f>
        <v>0</v>
      </c>
      <c r="Q775" s="1">
        <f>Table1[[#This Row],[High Tol]]-Table1[[#This Row],[Low Tol]]</f>
        <v>0</v>
      </c>
      <c r="R775" s="1">
        <f>2*Table1[[#This Row],[Std Error]]</f>
        <v>0</v>
      </c>
      <c r="S775" s="1" t="str">
        <f>IF(Table1[[#This Row],[High Tol]]="","N/A",IFERROR(ABS(Table1[[#This Row],[Tol Span]]/Table1[[#This Row],[Error Span]]),"N/A"))</f>
        <v>N/A</v>
      </c>
      <c r="T775" s="1" t="str">
        <f>IF(OR(Table1[[#This Row],[Low Tol]]="",Table1[[#This Row],[High Tol]]=""),"Needs Analysis",IF(Table1[[#This Row],[Ratio]]&gt;=4,"Not Significant",IF(Table1[[#This Row],[Ratio]]&gt;=2,"Semi-Significant","Significant")))</f>
        <v>Needs Analysis</v>
      </c>
      <c r="W775" s="1">
        <f>IF(Table1[[#This Row],[Cal Type]]&lt;&gt;"ACCREDITED 17025 WITH UNCERTAINTIES",0,"")</f>
        <v>0</v>
      </c>
      <c r="X775" s="1" t="str">
        <f>IF(Table1[[#This Row],[DUT Read]]="","N/A",Table1[[#This Row],[Std Error]]+Table1[[#This Row],[DUT Read]]+Table1[[#This Row],[DUT Ucty]])</f>
        <v>N/A</v>
      </c>
      <c r="Y775" s="1" t="str">
        <f>IF(Table1[[#This Row],[Std Read]]="","N/A",Table1[[#This Row],[Std Read]]+Table1[[#This Row],[Std Ucty]])</f>
        <v>N/A</v>
      </c>
      <c r="Z7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5" s="1" t="str">
        <f>IF(Table1[[#This Row],[Spec Type]]="","N/A",Table1[[#This Row],[Spec Type]])</f>
        <v>±</v>
      </c>
      <c r="AC775" s="1" t="str">
        <f>IF(Table1[[#This Row],[Spec Type2]]="N/A","N/A",IF(AND(Table1[[#This Row],[DUT Adj Read]]&gt;=Table1[[#This Row],[Low Tol]],Table1[[#This Row],[DUT Adj Read]]&lt;=Table1[[#This Row],[High Tol]]),"Pass","Fail"))</f>
        <v>Fail</v>
      </c>
      <c r="AD775" s="1" t="str">
        <f>IF(AND(Table1[[#This Row],[Spec Type2]]="N/A",Table1[[#This Row],[DUT Adj Read]]="N/A",Table1[[#This Row],[Std Adj Read]]="N/A"),"N/A",IF(Table1[[#This Row],[DUT Adj Read]]="N/A",IF(Table1[[#This Row],[Std Adj Read]]&gt;Table1[[#This Row],[Low Tol]],"Pass","Fail"),IF(Table1[[#This Row],[DUT Adj Read]]&gt;Table1[[#This Row],[Low Tol]],"Pass","Fail")))</f>
        <v>Pass</v>
      </c>
      <c r="AE775" s="1" t="str">
        <f>IF(AND(Table1[[#This Row],[Spec Type2]]="N/A",Table1[[#This Row],[DUT Adj Read]]="N/A",Table1[[#This Row],[Std Adj Read]]="N/A"),"N/A",IF(Table1[[#This Row],[DUT Adj Read]]="N/A",IF(Table1[[#This Row],[Std Adj Read]]&lt;Table1[[#This Row],[High Tol]],"Pass","Fail"),IF(Table1[[#This Row],[DUT Adj Read]]&lt;Table1[[#This Row],[High Tol]],"Pass","Fail")))</f>
        <v>Fail</v>
      </c>
      <c r="AF775" s="1" t="str">
        <f>IF(AND(Table1[[#This Row],[Spec Type2]]="N/A",Table1[[#This Row],[DUT Adj Read]]="N/A",Table1[[#This Row],[Std Adj Read]]="N/A"),"N/A",IF(Table1[[#This Row],[DUT Adj Read]]="N/A",IF(Table1[[#This Row],[Std Adj Read]]&gt;=Table1[[#This Row],[Low Tol]],"Pass","Fail"),IF(Table1[[#This Row],[DUT Adj Read]]&gt;=Table1[[#This Row],[Low Tol]],"Pass","Fail")))</f>
        <v>Pass</v>
      </c>
      <c r="AG775" s="1" t="str">
        <f>IF(AND(Table1[[#This Row],[Spec Type2]]="N/A",Table1[[#This Row],[DUT Adj Read]]="N/A",Table1[[#This Row],[Std Adj Read]]="N/A"),"N/A",IF(Table1[[#This Row],[DUT Adj Read]]="N/A",IF(Table1[[#This Row],[Std Adj Read]]&lt;=Table1[[#This Row],[High Tol]],"Pass","Fail"),IF(Table1[[#This Row],[DUT Adj Read]]&lt;=Table1[[#This Row],[High Tol]],"Pass","Fail")))</f>
        <v>Fail</v>
      </c>
      <c r="AH7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5" s="1" t="b">
        <v>0</v>
      </c>
      <c r="AN775" s="1" t="b">
        <v>0</v>
      </c>
      <c r="AO775" s="1" t="b">
        <v>0</v>
      </c>
    </row>
    <row r="776" spans="1:41" x14ac:dyDescent="0.25">
      <c r="A776" s="10"/>
      <c r="B776" s="10"/>
      <c r="C776" s="10"/>
      <c r="D776" s="10"/>
      <c r="E776" s="10"/>
      <c r="F776" s="10"/>
      <c r="G776" s="10"/>
      <c r="H776" s="10"/>
      <c r="I776" s="1" t="str">
        <f t="shared" si="33"/>
        <v/>
      </c>
      <c r="J776" s="1" t="s">
        <v>35</v>
      </c>
      <c r="K776" s="1" t="str">
        <f t="shared" si="34"/>
        <v/>
      </c>
      <c r="L776" s="1" t="str">
        <f t="shared" si="35"/>
        <v/>
      </c>
      <c r="M776" s="1">
        <f>IF(OR(Table1[[#This Row],[Std Nom]]="",Table1[[#This Row],[Std Read]]=""),0,Table1[[#This Row],[Std Nom]]-Table1[[#This Row],[Std Read]])</f>
        <v>0</v>
      </c>
      <c r="N776" s="1">
        <f>IF(Calculations!$F$5="ACCREDITED 17025 WITH UNCERTAINTIES",$N$10,0)</f>
        <v>0</v>
      </c>
      <c r="Q776" s="1">
        <f>Table1[[#This Row],[High Tol]]-Table1[[#This Row],[Low Tol]]</f>
        <v>0</v>
      </c>
      <c r="R776" s="1">
        <f>2*Table1[[#This Row],[Std Error]]</f>
        <v>0</v>
      </c>
      <c r="S776" s="1" t="str">
        <f>IF(Table1[[#This Row],[High Tol]]="","N/A",IFERROR(ABS(Table1[[#This Row],[Tol Span]]/Table1[[#This Row],[Error Span]]),"N/A"))</f>
        <v>N/A</v>
      </c>
      <c r="T776" s="1" t="str">
        <f>IF(OR(Table1[[#This Row],[Low Tol]]="",Table1[[#This Row],[High Tol]]=""),"Needs Analysis",IF(Table1[[#This Row],[Ratio]]&gt;=4,"Not Significant",IF(Table1[[#This Row],[Ratio]]&gt;=2,"Semi-Significant","Significant")))</f>
        <v>Needs Analysis</v>
      </c>
      <c r="W776" s="1">
        <f>IF(Table1[[#This Row],[Cal Type]]&lt;&gt;"ACCREDITED 17025 WITH UNCERTAINTIES",0,"")</f>
        <v>0</v>
      </c>
      <c r="X776" s="1" t="str">
        <f>IF(Table1[[#This Row],[DUT Read]]="","N/A",Table1[[#This Row],[Std Error]]+Table1[[#This Row],[DUT Read]]+Table1[[#This Row],[DUT Ucty]])</f>
        <v>N/A</v>
      </c>
      <c r="Y776" s="1" t="str">
        <f>IF(Table1[[#This Row],[Std Read]]="","N/A",Table1[[#This Row],[Std Read]]+Table1[[#This Row],[Std Ucty]])</f>
        <v>N/A</v>
      </c>
      <c r="Z7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6" s="1" t="str">
        <f>IF(Table1[[#This Row],[Spec Type]]="","N/A",Table1[[#This Row],[Spec Type]])</f>
        <v>±</v>
      </c>
      <c r="AC776" s="1" t="str">
        <f>IF(Table1[[#This Row],[Spec Type2]]="N/A","N/A",IF(AND(Table1[[#This Row],[DUT Adj Read]]&gt;=Table1[[#This Row],[Low Tol]],Table1[[#This Row],[DUT Adj Read]]&lt;=Table1[[#This Row],[High Tol]]),"Pass","Fail"))</f>
        <v>Fail</v>
      </c>
      <c r="AD776" s="1" t="str">
        <f>IF(AND(Table1[[#This Row],[Spec Type2]]="N/A",Table1[[#This Row],[DUT Adj Read]]="N/A",Table1[[#This Row],[Std Adj Read]]="N/A"),"N/A",IF(Table1[[#This Row],[DUT Adj Read]]="N/A",IF(Table1[[#This Row],[Std Adj Read]]&gt;Table1[[#This Row],[Low Tol]],"Pass","Fail"),IF(Table1[[#This Row],[DUT Adj Read]]&gt;Table1[[#This Row],[Low Tol]],"Pass","Fail")))</f>
        <v>Pass</v>
      </c>
      <c r="AE776" s="1" t="str">
        <f>IF(AND(Table1[[#This Row],[Spec Type2]]="N/A",Table1[[#This Row],[DUT Adj Read]]="N/A",Table1[[#This Row],[Std Adj Read]]="N/A"),"N/A",IF(Table1[[#This Row],[DUT Adj Read]]="N/A",IF(Table1[[#This Row],[Std Adj Read]]&lt;Table1[[#This Row],[High Tol]],"Pass","Fail"),IF(Table1[[#This Row],[DUT Adj Read]]&lt;Table1[[#This Row],[High Tol]],"Pass","Fail")))</f>
        <v>Fail</v>
      </c>
      <c r="AF776" s="1" t="str">
        <f>IF(AND(Table1[[#This Row],[Spec Type2]]="N/A",Table1[[#This Row],[DUT Adj Read]]="N/A",Table1[[#This Row],[Std Adj Read]]="N/A"),"N/A",IF(Table1[[#This Row],[DUT Adj Read]]="N/A",IF(Table1[[#This Row],[Std Adj Read]]&gt;=Table1[[#This Row],[Low Tol]],"Pass","Fail"),IF(Table1[[#This Row],[DUT Adj Read]]&gt;=Table1[[#This Row],[Low Tol]],"Pass","Fail")))</f>
        <v>Pass</v>
      </c>
      <c r="AG776" s="1" t="str">
        <f>IF(AND(Table1[[#This Row],[Spec Type2]]="N/A",Table1[[#This Row],[DUT Adj Read]]="N/A",Table1[[#This Row],[Std Adj Read]]="N/A"),"N/A",IF(Table1[[#This Row],[DUT Adj Read]]="N/A",IF(Table1[[#This Row],[Std Adj Read]]&lt;=Table1[[#This Row],[High Tol]],"Pass","Fail"),IF(Table1[[#This Row],[DUT Adj Read]]&lt;=Table1[[#This Row],[High Tol]],"Pass","Fail")))</f>
        <v>Fail</v>
      </c>
      <c r="AH7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6" s="1" t="b">
        <v>0</v>
      </c>
      <c r="AN776" s="1" t="b">
        <v>0</v>
      </c>
      <c r="AO776" s="1" t="b">
        <v>0</v>
      </c>
    </row>
    <row r="777" spans="1:41" x14ac:dyDescent="0.25">
      <c r="A777" s="10"/>
      <c r="B777" s="10"/>
      <c r="C777" s="10"/>
      <c r="D777" s="10"/>
      <c r="E777" s="10"/>
      <c r="F777" s="10"/>
      <c r="G777" s="10"/>
      <c r="H777" s="10"/>
      <c r="I777" s="1" t="str">
        <f t="shared" si="33"/>
        <v/>
      </c>
      <c r="J777" s="1" t="s">
        <v>35</v>
      </c>
      <c r="K777" s="1" t="str">
        <f t="shared" si="34"/>
        <v/>
      </c>
      <c r="L777" s="1" t="str">
        <f t="shared" si="35"/>
        <v/>
      </c>
      <c r="M777" s="1">
        <f>IF(OR(Table1[[#This Row],[Std Nom]]="",Table1[[#This Row],[Std Read]]=""),0,Table1[[#This Row],[Std Nom]]-Table1[[#This Row],[Std Read]])</f>
        <v>0</v>
      </c>
      <c r="N777" s="1">
        <f>IF(Calculations!$F$5="ACCREDITED 17025 WITH UNCERTAINTIES",$N$10,0)</f>
        <v>0</v>
      </c>
      <c r="Q777" s="1">
        <f>Table1[[#This Row],[High Tol]]-Table1[[#This Row],[Low Tol]]</f>
        <v>0</v>
      </c>
      <c r="R777" s="1">
        <f>2*Table1[[#This Row],[Std Error]]</f>
        <v>0</v>
      </c>
      <c r="S777" s="1" t="str">
        <f>IF(Table1[[#This Row],[High Tol]]="","N/A",IFERROR(ABS(Table1[[#This Row],[Tol Span]]/Table1[[#This Row],[Error Span]]),"N/A"))</f>
        <v>N/A</v>
      </c>
      <c r="T777" s="1" t="str">
        <f>IF(OR(Table1[[#This Row],[Low Tol]]="",Table1[[#This Row],[High Tol]]=""),"Needs Analysis",IF(Table1[[#This Row],[Ratio]]&gt;=4,"Not Significant",IF(Table1[[#This Row],[Ratio]]&gt;=2,"Semi-Significant","Significant")))</f>
        <v>Needs Analysis</v>
      </c>
      <c r="W777" s="1">
        <f>IF(Table1[[#This Row],[Cal Type]]&lt;&gt;"ACCREDITED 17025 WITH UNCERTAINTIES",0,"")</f>
        <v>0</v>
      </c>
      <c r="X777" s="1" t="str">
        <f>IF(Table1[[#This Row],[DUT Read]]="","N/A",Table1[[#This Row],[Std Error]]+Table1[[#This Row],[DUT Read]]+Table1[[#This Row],[DUT Ucty]])</f>
        <v>N/A</v>
      </c>
      <c r="Y777" s="1" t="str">
        <f>IF(Table1[[#This Row],[Std Read]]="","N/A",Table1[[#This Row],[Std Read]]+Table1[[#This Row],[Std Ucty]])</f>
        <v>N/A</v>
      </c>
      <c r="Z7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7" s="1" t="str">
        <f>IF(Table1[[#This Row],[Spec Type]]="","N/A",Table1[[#This Row],[Spec Type]])</f>
        <v>±</v>
      </c>
      <c r="AC777" s="1" t="str">
        <f>IF(Table1[[#This Row],[Spec Type2]]="N/A","N/A",IF(AND(Table1[[#This Row],[DUT Adj Read]]&gt;=Table1[[#This Row],[Low Tol]],Table1[[#This Row],[DUT Adj Read]]&lt;=Table1[[#This Row],[High Tol]]),"Pass","Fail"))</f>
        <v>Fail</v>
      </c>
      <c r="AD777" s="1" t="str">
        <f>IF(AND(Table1[[#This Row],[Spec Type2]]="N/A",Table1[[#This Row],[DUT Adj Read]]="N/A",Table1[[#This Row],[Std Adj Read]]="N/A"),"N/A",IF(Table1[[#This Row],[DUT Adj Read]]="N/A",IF(Table1[[#This Row],[Std Adj Read]]&gt;Table1[[#This Row],[Low Tol]],"Pass","Fail"),IF(Table1[[#This Row],[DUT Adj Read]]&gt;Table1[[#This Row],[Low Tol]],"Pass","Fail")))</f>
        <v>Pass</v>
      </c>
      <c r="AE777" s="1" t="str">
        <f>IF(AND(Table1[[#This Row],[Spec Type2]]="N/A",Table1[[#This Row],[DUT Adj Read]]="N/A",Table1[[#This Row],[Std Adj Read]]="N/A"),"N/A",IF(Table1[[#This Row],[DUT Adj Read]]="N/A",IF(Table1[[#This Row],[Std Adj Read]]&lt;Table1[[#This Row],[High Tol]],"Pass","Fail"),IF(Table1[[#This Row],[DUT Adj Read]]&lt;Table1[[#This Row],[High Tol]],"Pass","Fail")))</f>
        <v>Fail</v>
      </c>
      <c r="AF777" s="1" t="str">
        <f>IF(AND(Table1[[#This Row],[Spec Type2]]="N/A",Table1[[#This Row],[DUT Adj Read]]="N/A",Table1[[#This Row],[Std Adj Read]]="N/A"),"N/A",IF(Table1[[#This Row],[DUT Adj Read]]="N/A",IF(Table1[[#This Row],[Std Adj Read]]&gt;=Table1[[#This Row],[Low Tol]],"Pass","Fail"),IF(Table1[[#This Row],[DUT Adj Read]]&gt;=Table1[[#This Row],[Low Tol]],"Pass","Fail")))</f>
        <v>Pass</v>
      </c>
      <c r="AG777" s="1" t="str">
        <f>IF(AND(Table1[[#This Row],[Spec Type2]]="N/A",Table1[[#This Row],[DUT Adj Read]]="N/A",Table1[[#This Row],[Std Adj Read]]="N/A"),"N/A",IF(Table1[[#This Row],[DUT Adj Read]]="N/A",IF(Table1[[#This Row],[Std Adj Read]]&lt;=Table1[[#This Row],[High Tol]],"Pass","Fail"),IF(Table1[[#This Row],[DUT Adj Read]]&lt;=Table1[[#This Row],[High Tol]],"Pass","Fail")))</f>
        <v>Fail</v>
      </c>
      <c r="AH7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7" s="1" t="b">
        <v>0</v>
      </c>
      <c r="AN777" s="1" t="b">
        <v>0</v>
      </c>
      <c r="AO777" s="1" t="b">
        <v>0</v>
      </c>
    </row>
    <row r="778" spans="1:41" x14ac:dyDescent="0.25">
      <c r="A778" s="10"/>
      <c r="B778" s="10"/>
      <c r="C778" s="10"/>
      <c r="D778" s="10"/>
      <c r="E778" s="10"/>
      <c r="F778" s="10"/>
      <c r="G778" s="10"/>
      <c r="H778" s="10"/>
      <c r="I778" s="1" t="str">
        <f t="shared" si="33"/>
        <v/>
      </c>
      <c r="J778" s="1" t="s">
        <v>35</v>
      </c>
      <c r="K778" s="1" t="str">
        <f t="shared" si="34"/>
        <v/>
      </c>
      <c r="L778" s="1" t="str">
        <f t="shared" si="35"/>
        <v/>
      </c>
      <c r="M778" s="1">
        <f>IF(OR(Table1[[#This Row],[Std Nom]]="",Table1[[#This Row],[Std Read]]=""),0,Table1[[#This Row],[Std Nom]]-Table1[[#This Row],[Std Read]])</f>
        <v>0</v>
      </c>
      <c r="N778" s="1">
        <f>IF(Calculations!$F$5="ACCREDITED 17025 WITH UNCERTAINTIES",$N$10,0)</f>
        <v>0</v>
      </c>
      <c r="Q778" s="1">
        <f>Table1[[#This Row],[High Tol]]-Table1[[#This Row],[Low Tol]]</f>
        <v>0</v>
      </c>
      <c r="R778" s="1">
        <f>2*Table1[[#This Row],[Std Error]]</f>
        <v>0</v>
      </c>
      <c r="S778" s="1" t="str">
        <f>IF(Table1[[#This Row],[High Tol]]="","N/A",IFERROR(ABS(Table1[[#This Row],[Tol Span]]/Table1[[#This Row],[Error Span]]),"N/A"))</f>
        <v>N/A</v>
      </c>
      <c r="T778" s="1" t="str">
        <f>IF(OR(Table1[[#This Row],[Low Tol]]="",Table1[[#This Row],[High Tol]]=""),"Needs Analysis",IF(Table1[[#This Row],[Ratio]]&gt;=4,"Not Significant",IF(Table1[[#This Row],[Ratio]]&gt;=2,"Semi-Significant","Significant")))</f>
        <v>Needs Analysis</v>
      </c>
      <c r="W778" s="1">
        <f>IF(Table1[[#This Row],[Cal Type]]&lt;&gt;"ACCREDITED 17025 WITH UNCERTAINTIES",0,"")</f>
        <v>0</v>
      </c>
      <c r="X778" s="1" t="str">
        <f>IF(Table1[[#This Row],[DUT Read]]="","N/A",Table1[[#This Row],[Std Error]]+Table1[[#This Row],[DUT Read]]+Table1[[#This Row],[DUT Ucty]])</f>
        <v>N/A</v>
      </c>
      <c r="Y778" s="1" t="str">
        <f>IF(Table1[[#This Row],[Std Read]]="","N/A",Table1[[#This Row],[Std Read]]+Table1[[#This Row],[Std Ucty]])</f>
        <v>N/A</v>
      </c>
      <c r="Z7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8" s="1" t="str">
        <f>IF(Table1[[#This Row],[Spec Type]]="","N/A",Table1[[#This Row],[Spec Type]])</f>
        <v>±</v>
      </c>
      <c r="AC778" s="1" t="str">
        <f>IF(Table1[[#This Row],[Spec Type2]]="N/A","N/A",IF(AND(Table1[[#This Row],[DUT Adj Read]]&gt;=Table1[[#This Row],[Low Tol]],Table1[[#This Row],[DUT Adj Read]]&lt;=Table1[[#This Row],[High Tol]]),"Pass","Fail"))</f>
        <v>Fail</v>
      </c>
      <c r="AD778" s="1" t="str">
        <f>IF(AND(Table1[[#This Row],[Spec Type2]]="N/A",Table1[[#This Row],[DUT Adj Read]]="N/A",Table1[[#This Row],[Std Adj Read]]="N/A"),"N/A",IF(Table1[[#This Row],[DUT Adj Read]]="N/A",IF(Table1[[#This Row],[Std Adj Read]]&gt;Table1[[#This Row],[Low Tol]],"Pass","Fail"),IF(Table1[[#This Row],[DUT Adj Read]]&gt;Table1[[#This Row],[Low Tol]],"Pass","Fail")))</f>
        <v>Pass</v>
      </c>
      <c r="AE778" s="1" t="str">
        <f>IF(AND(Table1[[#This Row],[Spec Type2]]="N/A",Table1[[#This Row],[DUT Adj Read]]="N/A",Table1[[#This Row],[Std Adj Read]]="N/A"),"N/A",IF(Table1[[#This Row],[DUT Adj Read]]="N/A",IF(Table1[[#This Row],[Std Adj Read]]&lt;Table1[[#This Row],[High Tol]],"Pass","Fail"),IF(Table1[[#This Row],[DUT Adj Read]]&lt;Table1[[#This Row],[High Tol]],"Pass","Fail")))</f>
        <v>Fail</v>
      </c>
      <c r="AF778" s="1" t="str">
        <f>IF(AND(Table1[[#This Row],[Spec Type2]]="N/A",Table1[[#This Row],[DUT Adj Read]]="N/A",Table1[[#This Row],[Std Adj Read]]="N/A"),"N/A",IF(Table1[[#This Row],[DUT Adj Read]]="N/A",IF(Table1[[#This Row],[Std Adj Read]]&gt;=Table1[[#This Row],[Low Tol]],"Pass","Fail"),IF(Table1[[#This Row],[DUT Adj Read]]&gt;=Table1[[#This Row],[Low Tol]],"Pass","Fail")))</f>
        <v>Pass</v>
      </c>
      <c r="AG778" s="1" t="str">
        <f>IF(AND(Table1[[#This Row],[Spec Type2]]="N/A",Table1[[#This Row],[DUT Adj Read]]="N/A",Table1[[#This Row],[Std Adj Read]]="N/A"),"N/A",IF(Table1[[#This Row],[DUT Adj Read]]="N/A",IF(Table1[[#This Row],[Std Adj Read]]&lt;=Table1[[#This Row],[High Tol]],"Pass","Fail"),IF(Table1[[#This Row],[DUT Adj Read]]&lt;=Table1[[#This Row],[High Tol]],"Pass","Fail")))</f>
        <v>Fail</v>
      </c>
      <c r="AH7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8" s="1" t="b">
        <v>0</v>
      </c>
      <c r="AN778" s="1" t="b">
        <v>0</v>
      </c>
      <c r="AO778" s="1" t="b">
        <v>0</v>
      </c>
    </row>
    <row r="779" spans="1:41" x14ac:dyDescent="0.25">
      <c r="A779" s="10"/>
      <c r="B779" s="10"/>
      <c r="C779" s="10"/>
      <c r="D779" s="10"/>
      <c r="E779" s="10"/>
      <c r="F779" s="10"/>
      <c r="G779" s="10"/>
      <c r="H779" s="10"/>
      <c r="I779" s="1" t="str">
        <f t="shared" ref="I779:I842" si="36">IF($I$10="","",$I$10)</f>
        <v/>
      </c>
      <c r="J779" s="1" t="s">
        <v>35</v>
      </c>
      <c r="K779" s="1" t="str">
        <f t="shared" ref="K779:K842" si="37">IF($K$10="","",$K$10)</f>
        <v/>
      </c>
      <c r="L779" s="1" t="str">
        <f t="shared" ref="L779:L842" si="38">IF($L$10="","",$L$10)</f>
        <v/>
      </c>
      <c r="M779" s="1">
        <f>IF(OR(Table1[[#This Row],[Std Nom]]="",Table1[[#This Row],[Std Read]]=""),0,Table1[[#This Row],[Std Nom]]-Table1[[#This Row],[Std Read]])</f>
        <v>0</v>
      </c>
      <c r="N779" s="1">
        <f>IF(Calculations!$F$5="ACCREDITED 17025 WITH UNCERTAINTIES",$N$10,0)</f>
        <v>0</v>
      </c>
      <c r="Q779" s="1">
        <f>Table1[[#This Row],[High Tol]]-Table1[[#This Row],[Low Tol]]</f>
        <v>0</v>
      </c>
      <c r="R779" s="1">
        <f>2*Table1[[#This Row],[Std Error]]</f>
        <v>0</v>
      </c>
      <c r="S779" s="1" t="str">
        <f>IF(Table1[[#This Row],[High Tol]]="","N/A",IFERROR(ABS(Table1[[#This Row],[Tol Span]]/Table1[[#This Row],[Error Span]]),"N/A"))</f>
        <v>N/A</v>
      </c>
      <c r="T779" s="1" t="str">
        <f>IF(OR(Table1[[#This Row],[Low Tol]]="",Table1[[#This Row],[High Tol]]=""),"Needs Analysis",IF(Table1[[#This Row],[Ratio]]&gt;=4,"Not Significant",IF(Table1[[#This Row],[Ratio]]&gt;=2,"Semi-Significant","Significant")))</f>
        <v>Needs Analysis</v>
      </c>
      <c r="W779" s="1">
        <f>IF(Table1[[#This Row],[Cal Type]]&lt;&gt;"ACCREDITED 17025 WITH UNCERTAINTIES",0,"")</f>
        <v>0</v>
      </c>
      <c r="X779" s="1" t="str">
        <f>IF(Table1[[#This Row],[DUT Read]]="","N/A",Table1[[#This Row],[Std Error]]+Table1[[#This Row],[DUT Read]]+Table1[[#This Row],[DUT Ucty]])</f>
        <v>N/A</v>
      </c>
      <c r="Y779" s="1" t="str">
        <f>IF(Table1[[#This Row],[Std Read]]="","N/A",Table1[[#This Row],[Std Read]]+Table1[[#This Row],[Std Ucty]])</f>
        <v>N/A</v>
      </c>
      <c r="Z7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79" s="1" t="str">
        <f>IF(Table1[[#This Row],[Spec Type]]="","N/A",Table1[[#This Row],[Spec Type]])</f>
        <v>±</v>
      </c>
      <c r="AC779" s="1" t="str">
        <f>IF(Table1[[#This Row],[Spec Type2]]="N/A","N/A",IF(AND(Table1[[#This Row],[DUT Adj Read]]&gt;=Table1[[#This Row],[Low Tol]],Table1[[#This Row],[DUT Adj Read]]&lt;=Table1[[#This Row],[High Tol]]),"Pass","Fail"))</f>
        <v>Fail</v>
      </c>
      <c r="AD779" s="1" t="str">
        <f>IF(AND(Table1[[#This Row],[Spec Type2]]="N/A",Table1[[#This Row],[DUT Adj Read]]="N/A",Table1[[#This Row],[Std Adj Read]]="N/A"),"N/A",IF(Table1[[#This Row],[DUT Adj Read]]="N/A",IF(Table1[[#This Row],[Std Adj Read]]&gt;Table1[[#This Row],[Low Tol]],"Pass","Fail"),IF(Table1[[#This Row],[DUT Adj Read]]&gt;Table1[[#This Row],[Low Tol]],"Pass","Fail")))</f>
        <v>Pass</v>
      </c>
      <c r="AE779" s="1" t="str">
        <f>IF(AND(Table1[[#This Row],[Spec Type2]]="N/A",Table1[[#This Row],[DUT Adj Read]]="N/A",Table1[[#This Row],[Std Adj Read]]="N/A"),"N/A",IF(Table1[[#This Row],[DUT Adj Read]]="N/A",IF(Table1[[#This Row],[Std Adj Read]]&lt;Table1[[#This Row],[High Tol]],"Pass","Fail"),IF(Table1[[#This Row],[DUT Adj Read]]&lt;Table1[[#This Row],[High Tol]],"Pass","Fail")))</f>
        <v>Fail</v>
      </c>
      <c r="AF779" s="1" t="str">
        <f>IF(AND(Table1[[#This Row],[Spec Type2]]="N/A",Table1[[#This Row],[DUT Adj Read]]="N/A",Table1[[#This Row],[Std Adj Read]]="N/A"),"N/A",IF(Table1[[#This Row],[DUT Adj Read]]="N/A",IF(Table1[[#This Row],[Std Adj Read]]&gt;=Table1[[#This Row],[Low Tol]],"Pass","Fail"),IF(Table1[[#This Row],[DUT Adj Read]]&gt;=Table1[[#This Row],[Low Tol]],"Pass","Fail")))</f>
        <v>Pass</v>
      </c>
      <c r="AG779" s="1" t="str">
        <f>IF(AND(Table1[[#This Row],[Spec Type2]]="N/A",Table1[[#This Row],[DUT Adj Read]]="N/A",Table1[[#This Row],[Std Adj Read]]="N/A"),"N/A",IF(Table1[[#This Row],[DUT Adj Read]]="N/A",IF(Table1[[#This Row],[Std Adj Read]]&lt;=Table1[[#This Row],[High Tol]],"Pass","Fail"),IF(Table1[[#This Row],[DUT Adj Read]]&lt;=Table1[[#This Row],[High Tol]],"Pass","Fail")))</f>
        <v>Fail</v>
      </c>
      <c r="AH7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79" s="1" t="b">
        <v>0</v>
      </c>
      <c r="AN779" s="1" t="b">
        <v>0</v>
      </c>
      <c r="AO779" s="1" t="b">
        <v>0</v>
      </c>
    </row>
    <row r="780" spans="1:41" x14ac:dyDescent="0.25">
      <c r="A780" s="10"/>
      <c r="B780" s="10"/>
      <c r="C780" s="10"/>
      <c r="D780" s="10"/>
      <c r="E780" s="10"/>
      <c r="F780" s="10"/>
      <c r="G780" s="10"/>
      <c r="H780" s="10"/>
      <c r="I780" s="1" t="str">
        <f t="shared" si="36"/>
        <v/>
      </c>
      <c r="J780" s="1" t="s">
        <v>35</v>
      </c>
      <c r="K780" s="1" t="str">
        <f t="shared" si="37"/>
        <v/>
      </c>
      <c r="L780" s="1" t="str">
        <f t="shared" si="38"/>
        <v/>
      </c>
      <c r="M780" s="1">
        <f>IF(OR(Table1[[#This Row],[Std Nom]]="",Table1[[#This Row],[Std Read]]=""),0,Table1[[#This Row],[Std Nom]]-Table1[[#This Row],[Std Read]])</f>
        <v>0</v>
      </c>
      <c r="N780" s="1">
        <f>IF(Calculations!$F$5="ACCREDITED 17025 WITH UNCERTAINTIES",$N$10,0)</f>
        <v>0</v>
      </c>
      <c r="Q780" s="1">
        <f>Table1[[#This Row],[High Tol]]-Table1[[#This Row],[Low Tol]]</f>
        <v>0</v>
      </c>
      <c r="R780" s="1">
        <f>2*Table1[[#This Row],[Std Error]]</f>
        <v>0</v>
      </c>
      <c r="S780" s="1" t="str">
        <f>IF(Table1[[#This Row],[High Tol]]="","N/A",IFERROR(ABS(Table1[[#This Row],[Tol Span]]/Table1[[#This Row],[Error Span]]),"N/A"))</f>
        <v>N/A</v>
      </c>
      <c r="T780" s="1" t="str">
        <f>IF(OR(Table1[[#This Row],[Low Tol]]="",Table1[[#This Row],[High Tol]]=""),"Needs Analysis",IF(Table1[[#This Row],[Ratio]]&gt;=4,"Not Significant",IF(Table1[[#This Row],[Ratio]]&gt;=2,"Semi-Significant","Significant")))</f>
        <v>Needs Analysis</v>
      </c>
      <c r="W780" s="1">
        <f>IF(Table1[[#This Row],[Cal Type]]&lt;&gt;"ACCREDITED 17025 WITH UNCERTAINTIES",0,"")</f>
        <v>0</v>
      </c>
      <c r="X780" s="1" t="str">
        <f>IF(Table1[[#This Row],[DUT Read]]="","N/A",Table1[[#This Row],[Std Error]]+Table1[[#This Row],[DUT Read]]+Table1[[#This Row],[DUT Ucty]])</f>
        <v>N/A</v>
      </c>
      <c r="Y780" s="1" t="str">
        <f>IF(Table1[[#This Row],[Std Read]]="","N/A",Table1[[#This Row],[Std Read]]+Table1[[#This Row],[Std Ucty]])</f>
        <v>N/A</v>
      </c>
      <c r="Z7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0" s="1" t="str">
        <f>IF(Table1[[#This Row],[Spec Type]]="","N/A",Table1[[#This Row],[Spec Type]])</f>
        <v>±</v>
      </c>
      <c r="AC780" s="1" t="str">
        <f>IF(Table1[[#This Row],[Spec Type2]]="N/A","N/A",IF(AND(Table1[[#This Row],[DUT Adj Read]]&gt;=Table1[[#This Row],[Low Tol]],Table1[[#This Row],[DUT Adj Read]]&lt;=Table1[[#This Row],[High Tol]]),"Pass","Fail"))</f>
        <v>Fail</v>
      </c>
      <c r="AD780" s="1" t="str">
        <f>IF(AND(Table1[[#This Row],[Spec Type2]]="N/A",Table1[[#This Row],[DUT Adj Read]]="N/A",Table1[[#This Row],[Std Adj Read]]="N/A"),"N/A",IF(Table1[[#This Row],[DUT Adj Read]]="N/A",IF(Table1[[#This Row],[Std Adj Read]]&gt;Table1[[#This Row],[Low Tol]],"Pass","Fail"),IF(Table1[[#This Row],[DUT Adj Read]]&gt;Table1[[#This Row],[Low Tol]],"Pass","Fail")))</f>
        <v>Pass</v>
      </c>
      <c r="AE780" s="1" t="str">
        <f>IF(AND(Table1[[#This Row],[Spec Type2]]="N/A",Table1[[#This Row],[DUT Adj Read]]="N/A",Table1[[#This Row],[Std Adj Read]]="N/A"),"N/A",IF(Table1[[#This Row],[DUT Adj Read]]="N/A",IF(Table1[[#This Row],[Std Adj Read]]&lt;Table1[[#This Row],[High Tol]],"Pass","Fail"),IF(Table1[[#This Row],[DUT Adj Read]]&lt;Table1[[#This Row],[High Tol]],"Pass","Fail")))</f>
        <v>Fail</v>
      </c>
      <c r="AF780" s="1" t="str">
        <f>IF(AND(Table1[[#This Row],[Spec Type2]]="N/A",Table1[[#This Row],[DUT Adj Read]]="N/A",Table1[[#This Row],[Std Adj Read]]="N/A"),"N/A",IF(Table1[[#This Row],[DUT Adj Read]]="N/A",IF(Table1[[#This Row],[Std Adj Read]]&gt;=Table1[[#This Row],[Low Tol]],"Pass","Fail"),IF(Table1[[#This Row],[DUT Adj Read]]&gt;=Table1[[#This Row],[Low Tol]],"Pass","Fail")))</f>
        <v>Pass</v>
      </c>
      <c r="AG780" s="1" t="str">
        <f>IF(AND(Table1[[#This Row],[Spec Type2]]="N/A",Table1[[#This Row],[DUT Adj Read]]="N/A",Table1[[#This Row],[Std Adj Read]]="N/A"),"N/A",IF(Table1[[#This Row],[DUT Adj Read]]="N/A",IF(Table1[[#This Row],[Std Adj Read]]&lt;=Table1[[#This Row],[High Tol]],"Pass","Fail"),IF(Table1[[#This Row],[DUT Adj Read]]&lt;=Table1[[#This Row],[High Tol]],"Pass","Fail")))</f>
        <v>Fail</v>
      </c>
      <c r="AH7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0" s="1" t="b">
        <v>0</v>
      </c>
      <c r="AN780" s="1" t="b">
        <v>0</v>
      </c>
      <c r="AO780" s="1" t="b">
        <v>0</v>
      </c>
    </row>
    <row r="781" spans="1:41" x14ac:dyDescent="0.25">
      <c r="A781" s="10"/>
      <c r="B781" s="10"/>
      <c r="C781" s="10"/>
      <c r="D781" s="10"/>
      <c r="E781" s="10"/>
      <c r="F781" s="10"/>
      <c r="G781" s="10"/>
      <c r="H781" s="10"/>
      <c r="I781" s="1" t="str">
        <f t="shared" si="36"/>
        <v/>
      </c>
      <c r="J781" s="1" t="s">
        <v>35</v>
      </c>
      <c r="K781" s="1" t="str">
        <f t="shared" si="37"/>
        <v/>
      </c>
      <c r="L781" s="1" t="str">
        <f t="shared" si="38"/>
        <v/>
      </c>
      <c r="M781" s="1">
        <f>IF(OR(Table1[[#This Row],[Std Nom]]="",Table1[[#This Row],[Std Read]]=""),0,Table1[[#This Row],[Std Nom]]-Table1[[#This Row],[Std Read]])</f>
        <v>0</v>
      </c>
      <c r="N781" s="1">
        <f>IF(Calculations!$F$5="ACCREDITED 17025 WITH UNCERTAINTIES",$N$10,0)</f>
        <v>0</v>
      </c>
      <c r="Q781" s="1">
        <f>Table1[[#This Row],[High Tol]]-Table1[[#This Row],[Low Tol]]</f>
        <v>0</v>
      </c>
      <c r="R781" s="1">
        <f>2*Table1[[#This Row],[Std Error]]</f>
        <v>0</v>
      </c>
      <c r="S781" s="1" t="str">
        <f>IF(Table1[[#This Row],[High Tol]]="","N/A",IFERROR(ABS(Table1[[#This Row],[Tol Span]]/Table1[[#This Row],[Error Span]]),"N/A"))</f>
        <v>N/A</v>
      </c>
      <c r="T781" s="1" t="str">
        <f>IF(OR(Table1[[#This Row],[Low Tol]]="",Table1[[#This Row],[High Tol]]=""),"Needs Analysis",IF(Table1[[#This Row],[Ratio]]&gt;=4,"Not Significant",IF(Table1[[#This Row],[Ratio]]&gt;=2,"Semi-Significant","Significant")))</f>
        <v>Needs Analysis</v>
      </c>
      <c r="W781" s="1">
        <f>IF(Table1[[#This Row],[Cal Type]]&lt;&gt;"ACCREDITED 17025 WITH UNCERTAINTIES",0,"")</f>
        <v>0</v>
      </c>
      <c r="X781" s="1" t="str">
        <f>IF(Table1[[#This Row],[DUT Read]]="","N/A",Table1[[#This Row],[Std Error]]+Table1[[#This Row],[DUT Read]]+Table1[[#This Row],[DUT Ucty]])</f>
        <v>N/A</v>
      </c>
      <c r="Y781" s="1" t="str">
        <f>IF(Table1[[#This Row],[Std Read]]="","N/A",Table1[[#This Row],[Std Read]]+Table1[[#This Row],[Std Ucty]])</f>
        <v>N/A</v>
      </c>
      <c r="Z7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1" s="1" t="str">
        <f>IF(Table1[[#This Row],[Spec Type]]="","N/A",Table1[[#This Row],[Spec Type]])</f>
        <v>±</v>
      </c>
      <c r="AC781" s="1" t="str">
        <f>IF(Table1[[#This Row],[Spec Type2]]="N/A","N/A",IF(AND(Table1[[#This Row],[DUT Adj Read]]&gt;=Table1[[#This Row],[Low Tol]],Table1[[#This Row],[DUT Adj Read]]&lt;=Table1[[#This Row],[High Tol]]),"Pass","Fail"))</f>
        <v>Fail</v>
      </c>
      <c r="AD781" s="1" t="str">
        <f>IF(AND(Table1[[#This Row],[Spec Type2]]="N/A",Table1[[#This Row],[DUT Adj Read]]="N/A",Table1[[#This Row],[Std Adj Read]]="N/A"),"N/A",IF(Table1[[#This Row],[DUT Adj Read]]="N/A",IF(Table1[[#This Row],[Std Adj Read]]&gt;Table1[[#This Row],[Low Tol]],"Pass","Fail"),IF(Table1[[#This Row],[DUT Adj Read]]&gt;Table1[[#This Row],[Low Tol]],"Pass","Fail")))</f>
        <v>Pass</v>
      </c>
      <c r="AE781" s="1" t="str">
        <f>IF(AND(Table1[[#This Row],[Spec Type2]]="N/A",Table1[[#This Row],[DUT Adj Read]]="N/A",Table1[[#This Row],[Std Adj Read]]="N/A"),"N/A",IF(Table1[[#This Row],[DUT Adj Read]]="N/A",IF(Table1[[#This Row],[Std Adj Read]]&lt;Table1[[#This Row],[High Tol]],"Pass","Fail"),IF(Table1[[#This Row],[DUT Adj Read]]&lt;Table1[[#This Row],[High Tol]],"Pass","Fail")))</f>
        <v>Fail</v>
      </c>
      <c r="AF781" s="1" t="str">
        <f>IF(AND(Table1[[#This Row],[Spec Type2]]="N/A",Table1[[#This Row],[DUT Adj Read]]="N/A",Table1[[#This Row],[Std Adj Read]]="N/A"),"N/A",IF(Table1[[#This Row],[DUT Adj Read]]="N/A",IF(Table1[[#This Row],[Std Adj Read]]&gt;=Table1[[#This Row],[Low Tol]],"Pass","Fail"),IF(Table1[[#This Row],[DUT Adj Read]]&gt;=Table1[[#This Row],[Low Tol]],"Pass","Fail")))</f>
        <v>Pass</v>
      </c>
      <c r="AG781" s="1" t="str">
        <f>IF(AND(Table1[[#This Row],[Spec Type2]]="N/A",Table1[[#This Row],[DUT Adj Read]]="N/A",Table1[[#This Row],[Std Adj Read]]="N/A"),"N/A",IF(Table1[[#This Row],[DUT Adj Read]]="N/A",IF(Table1[[#This Row],[Std Adj Read]]&lt;=Table1[[#This Row],[High Tol]],"Pass","Fail"),IF(Table1[[#This Row],[DUT Adj Read]]&lt;=Table1[[#This Row],[High Tol]],"Pass","Fail")))</f>
        <v>Fail</v>
      </c>
      <c r="AH7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1" s="1" t="b">
        <v>0</v>
      </c>
      <c r="AN781" s="1" t="b">
        <v>0</v>
      </c>
      <c r="AO781" s="1" t="b">
        <v>0</v>
      </c>
    </row>
    <row r="782" spans="1:41" x14ac:dyDescent="0.25">
      <c r="A782" s="10"/>
      <c r="B782" s="10"/>
      <c r="C782" s="10"/>
      <c r="D782" s="10"/>
      <c r="E782" s="10"/>
      <c r="F782" s="10"/>
      <c r="G782" s="10"/>
      <c r="H782" s="10"/>
      <c r="I782" s="1" t="str">
        <f t="shared" si="36"/>
        <v/>
      </c>
      <c r="J782" s="1" t="s">
        <v>35</v>
      </c>
      <c r="K782" s="1" t="str">
        <f t="shared" si="37"/>
        <v/>
      </c>
      <c r="L782" s="1" t="str">
        <f t="shared" si="38"/>
        <v/>
      </c>
      <c r="M782" s="1">
        <f>IF(OR(Table1[[#This Row],[Std Nom]]="",Table1[[#This Row],[Std Read]]=""),0,Table1[[#This Row],[Std Nom]]-Table1[[#This Row],[Std Read]])</f>
        <v>0</v>
      </c>
      <c r="N782" s="1">
        <f>IF(Calculations!$F$5="ACCREDITED 17025 WITH UNCERTAINTIES",$N$10,0)</f>
        <v>0</v>
      </c>
      <c r="Q782" s="1">
        <f>Table1[[#This Row],[High Tol]]-Table1[[#This Row],[Low Tol]]</f>
        <v>0</v>
      </c>
      <c r="R782" s="1">
        <f>2*Table1[[#This Row],[Std Error]]</f>
        <v>0</v>
      </c>
      <c r="S782" s="1" t="str">
        <f>IF(Table1[[#This Row],[High Tol]]="","N/A",IFERROR(ABS(Table1[[#This Row],[Tol Span]]/Table1[[#This Row],[Error Span]]),"N/A"))</f>
        <v>N/A</v>
      </c>
      <c r="T782" s="1" t="str">
        <f>IF(OR(Table1[[#This Row],[Low Tol]]="",Table1[[#This Row],[High Tol]]=""),"Needs Analysis",IF(Table1[[#This Row],[Ratio]]&gt;=4,"Not Significant",IF(Table1[[#This Row],[Ratio]]&gt;=2,"Semi-Significant","Significant")))</f>
        <v>Needs Analysis</v>
      </c>
      <c r="W782" s="1">
        <f>IF(Table1[[#This Row],[Cal Type]]&lt;&gt;"ACCREDITED 17025 WITH UNCERTAINTIES",0,"")</f>
        <v>0</v>
      </c>
      <c r="X782" s="1" t="str">
        <f>IF(Table1[[#This Row],[DUT Read]]="","N/A",Table1[[#This Row],[Std Error]]+Table1[[#This Row],[DUT Read]]+Table1[[#This Row],[DUT Ucty]])</f>
        <v>N/A</v>
      </c>
      <c r="Y782" s="1" t="str">
        <f>IF(Table1[[#This Row],[Std Read]]="","N/A",Table1[[#This Row],[Std Read]]+Table1[[#This Row],[Std Ucty]])</f>
        <v>N/A</v>
      </c>
      <c r="Z7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2" s="1" t="str">
        <f>IF(Table1[[#This Row],[Spec Type]]="","N/A",Table1[[#This Row],[Spec Type]])</f>
        <v>±</v>
      </c>
      <c r="AC782" s="1" t="str">
        <f>IF(Table1[[#This Row],[Spec Type2]]="N/A","N/A",IF(AND(Table1[[#This Row],[DUT Adj Read]]&gt;=Table1[[#This Row],[Low Tol]],Table1[[#This Row],[DUT Adj Read]]&lt;=Table1[[#This Row],[High Tol]]),"Pass","Fail"))</f>
        <v>Fail</v>
      </c>
      <c r="AD782" s="1" t="str">
        <f>IF(AND(Table1[[#This Row],[Spec Type2]]="N/A",Table1[[#This Row],[DUT Adj Read]]="N/A",Table1[[#This Row],[Std Adj Read]]="N/A"),"N/A",IF(Table1[[#This Row],[DUT Adj Read]]="N/A",IF(Table1[[#This Row],[Std Adj Read]]&gt;Table1[[#This Row],[Low Tol]],"Pass","Fail"),IF(Table1[[#This Row],[DUT Adj Read]]&gt;Table1[[#This Row],[Low Tol]],"Pass","Fail")))</f>
        <v>Pass</v>
      </c>
      <c r="AE782" s="1" t="str">
        <f>IF(AND(Table1[[#This Row],[Spec Type2]]="N/A",Table1[[#This Row],[DUT Adj Read]]="N/A",Table1[[#This Row],[Std Adj Read]]="N/A"),"N/A",IF(Table1[[#This Row],[DUT Adj Read]]="N/A",IF(Table1[[#This Row],[Std Adj Read]]&lt;Table1[[#This Row],[High Tol]],"Pass","Fail"),IF(Table1[[#This Row],[DUT Adj Read]]&lt;Table1[[#This Row],[High Tol]],"Pass","Fail")))</f>
        <v>Fail</v>
      </c>
      <c r="AF782" s="1" t="str">
        <f>IF(AND(Table1[[#This Row],[Spec Type2]]="N/A",Table1[[#This Row],[DUT Adj Read]]="N/A",Table1[[#This Row],[Std Adj Read]]="N/A"),"N/A",IF(Table1[[#This Row],[DUT Adj Read]]="N/A",IF(Table1[[#This Row],[Std Adj Read]]&gt;=Table1[[#This Row],[Low Tol]],"Pass","Fail"),IF(Table1[[#This Row],[DUT Adj Read]]&gt;=Table1[[#This Row],[Low Tol]],"Pass","Fail")))</f>
        <v>Pass</v>
      </c>
      <c r="AG782" s="1" t="str">
        <f>IF(AND(Table1[[#This Row],[Spec Type2]]="N/A",Table1[[#This Row],[DUT Adj Read]]="N/A",Table1[[#This Row],[Std Adj Read]]="N/A"),"N/A",IF(Table1[[#This Row],[DUT Adj Read]]="N/A",IF(Table1[[#This Row],[Std Adj Read]]&lt;=Table1[[#This Row],[High Tol]],"Pass","Fail"),IF(Table1[[#This Row],[DUT Adj Read]]&lt;=Table1[[#This Row],[High Tol]],"Pass","Fail")))</f>
        <v>Fail</v>
      </c>
      <c r="AH7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2" s="1" t="b">
        <v>0</v>
      </c>
      <c r="AN782" s="1" t="b">
        <v>0</v>
      </c>
      <c r="AO782" s="1" t="b">
        <v>0</v>
      </c>
    </row>
    <row r="783" spans="1:41" x14ac:dyDescent="0.25">
      <c r="A783" s="10"/>
      <c r="B783" s="10"/>
      <c r="C783" s="10"/>
      <c r="D783" s="10"/>
      <c r="E783" s="10"/>
      <c r="F783" s="10"/>
      <c r="G783" s="10"/>
      <c r="H783" s="10"/>
      <c r="I783" s="1" t="str">
        <f t="shared" si="36"/>
        <v/>
      </c>
      <c r="J783" s="1" t="s">
        <v>35</v>
      </c>
      <c r="K783" s="1" t="str">
        <f t="shared" si="37"/>
        <v/>
      </c>
      <c r="L783" s="1" t="str">
        <f t="shared" si="38"/>
        <v/>
      </c>
      <c r="M783" s="1">
        <f>IF(OR(Table1[[#This Row],[Std Nom]]="",Table1[[#This Row],[Std Read]]=""),0,Table1[[#This Row],[Std Nom]]-Table1[[#This Row],[Std Read]])</f>
        <v>0</v>
      </c>
      <c r="N783" s="1">
        <f>IF(Calculations!$F$5="ACCREDITED 17025 WITH UNCERTAINTIES",$N$10,0)</f>
        <v>0</v>
      </c>
      <c r="Q783" s="1">
        <f>Table1[[#This Row],[High Tol]]-Table1[[#This Row],[Low Tol]]</f>
        <v>0</v>
      </c>
      <c r="R783" s="1">
        <f>2*Table1[[#This Row],[Std Error]]</f>
        <v>0</v>
      </c>
      <c r="S783" s="1" t="str">
        <f>IF(Table1[[#This Row],[High Tol]]="","N/A",IFERROR(ABS(Table1[[#This Row],[Tol Span]]/Table1[[#This Row],[Error Span]]),"N/A"))</f>
        <v>N/A</v>
      </c>
      <c r="T783" s="1" t="str">
        <f>IF(OR(Table1[[#This Row],[Low Tol]]="",Table1[[#This Row],[High Tol]]=""),"Needs Analysis",IF(Table1[[#This Row],[Ratio]]&gt;=4,"Not Significant",IF(Table1[[#This Row],[Ratio]]&gt;=2,"Semi-Significant","Significant")))</f>
        <v>Needs Analysis</v>
      </c>
      <c r="W783" s="1">
        <f>IF(Table1[[#This Row],[Cal Type]]&lt;&gt;"ACCREDITED 17025 WITH UNCERTAINTIES",0,"")</f>
        <v>0</v>
      </c>
      <c r="X783" s="1" t="str">
        <f>IF(Table1[[#This Row],[DUT Read]]="","N/A",Table1[[#This Row],[Std Error]]+Table1[[#This Row],[DUT Read]]+Table1[[#This Row],[DUT Ucty]])</f>
        <v>N/A</v>
      </c>
      <c r="Y783" s="1" t="str">
        <f>IF(Table1[[#This Row],[Std Read]]="","N/A",Table1[[#This Row],[Std Read]]+Table1[[#This Row],[Std Ucty]])</f>
        <v>N/A</v>
      </c>
      <c r="Z7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3" s="1" t="str">
        <f>IF(Table1[[#This Row],[Spec Type]]="","N/A",Table1[[#This Row],[Spec Type]])</f>
        <v>±</v>
      </c>
      <c r="AC783" s="1" t="str">
        <f>IF(Table1[[#This Row],[Spec Type2]]="N/A","N/A",IF(AND(Table1[[#This Row],[DUT Adj Read]]&gt;=Table1[[#This Row],[Low Tol]],Table1[[#This Row],[DUT Adj Read]]&lt;=Table1[[#This Row],[High Tol]]),"Pass","Fail"))</f>
        <v>Fail</v>
      </c>
      <c r="AD783" s="1" t="str">
        <f>IF(AND(Table1[[#This Row],[Spec Type2]]="N/A",Table1[[#This Row],[DUT Adj Read]]="N/A",Table1[[#This Row],[Std Adj Read]]="N/A"),"N/A",IF(Table1[[#This Row],[DUT Adj Read]]="N/A",IF(Table1[[#This Row],[Std Adj Read]]&gt;Table1[[#This Row],[Low Tol]],"Pass","Fail"),IF(Table1[[#This Row],[DUT Adj Read]]&gt;Table1[[#This Row],[Low Tol]],"Pass","Fail")))</f>
        <v>Pass</v>
      </c>
      <c r="AE783" s="1" t="str">
        <f>IF(AND(Table1[[#This Row],[Spec Type2]]="N/A",Table1[[#This Row],[DUT Adj Read]]="N/A",Table1[[#This Row],[Std Adj Read]]="N/A"),"N/A",IF(Table1[[#This Row],[DUT Adj Read]]="N/A",IF(Table1[[#This Row],[Std Adj Read]]&lt;Table1[[#This Row],[High Tol]],"Pass","Fail"),IF(Table1[[#This Row],[DUT Adj Read]]&lt;Table1[[#This Row],[High Tol]],"Pass","Fail")))</f>
        <v>Fail</v>
      </c>
      <c r="AF783" s="1" t="str">
        <f>IF(AND(Table1[[#This Row],[Spec Type2]]="N/A",Table1[[#This Row],[DUT Adj Read]]="N/A",Table1[[#This Row],[Std Adj Read]]="N/A"),"N/A",IF(Table1[[#This Row],[DUT Adj Read]]="N/A",IF(Table1[[#This Row],[Std Adj Read]]&gt;=Table1[[#This Row],[Low Tol]],"Pass","Fail"),IF(Table1[[#This Row],[DUT Adj Read]]&gt;=Table1[[#This Row],[Low Tol]],"Pass","Fail")))</f>
        <v>Pass</v>
      </c>
      <c r="AG783" s="1" t="str">
        <f>IF(AND(Table1[[#This Row],[Spec Type2]]="N/A",Table1[[#This Row],[DUT Adj Read]]="N/A",Table1[[#This Row],[Std Adj Read]]="N/A"),"N/A",IF(Table1[[#This Row],[DUT Adj Read]]="N/A",IF(Table1[[#This Row],[Std Adj Read]]&lt;=Table1[[#This Row],[High Tol]],"Pass","Fail"),IF(Table1[[#This Row],[DUT Adj Read]]&lt;=Table1[[#This Row],[High Tol]],"Pass","Fail")))</f>
        <v>Fail</v>
      </c>
      <c r="AH7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3" s="1" t="b">
        <v>0</v>
      </c>
      <c r="AN783" s="1" t="b">
        <v>0</v>
      </c>
      <c r="AO783" s="1" t="b">
        <v>0</v>
      </c>
    </row>
    <row r="784" spans="1:41" x14ac:dyDescent="0.25">
      <c r="A784" s="10"/>
      <c r="B784" s="10"/>
      <c r="C784" s="10"/>
      <c r="D784" s="10"/>
      <c r="E784" s="10"/>
      <c r="F784" s="10"/>
      <c r="G784" s="10"/>
      <c r="H784" s="10"/>
      <c r="I784" s="1" t="str">
        <f t="shared" si="36"/>
        <v/>
      </c>
      <c r="J784" s="1" t="s">
        <v>35</v>
      </c>
      <c r="K784" s="1" t="str">
        <f t="shared" si="37"/>
        <v/>
      </c>
      <c r="L784" s="1" t="str">
        <f t="shared" si="38"/>
        <v/>
      </c>
      <c r="M784" s="1">
        <f>IF(OR(Table1[[#This Row],[Std Nom]]="",Table1[[#This Row],[Std Read]]=""),0,Table1[[#This Row],[Std Nom]]-Table1[[#This Row],[Std Read]])</f>
        <v>0</v>
      </c>
      <c r="N784" s="1">
        <f>IF(Calculations!$F$5="ACCREDITED 17025 WITH UNCERTAINTIES",$N$10,0)</f>
        <v>0</v>
      </c>
      <c r="Q784" s="1">
        <f>Table1[[#This Row],[High Tol]]-Table1[[#This Row],[Low Tol]]</f>
        <v>0</v>
      </c>
      <c r="R784" s="1">
        <f>2*Table1[[#This Row],[Std Error]]</f>
        <v>0</v>
      </c>
      <c r="S784" s="1" t="str">
        <f>IF(Table1[[#This Row],[High Tol]]="","N/A",IFERROR(ABS(Table1[[#This Row],[Tol Span]]/Table1[[#This Row],[Error Span]]),"N/A"))</f>
        <v>N/A</v>
      </c>
      <c r="T784" s="1" t="str">
        <f>IF(OR(Table1[[#This Row],[Low Tol]]="",Table1[[#This Row],[High Tol]]=""),"Needs Analysis",IF(Table1[[#This Row],[Ratio]]&gt;=4,"Not Significant",IF(Table1[[#This Row],[Ratio]]&gt;=2,"Semi-Significant","Significant")))</f>
        <v>Needs Analysis</v>
      </c>
      <c r="W784" s="1">
        <f>IF(Table1[[#This Row],[Cal Type]]&lt;&gt;"ACCREDITED 17025 WITH UNCERTAINTIES",0,"")</f>
        <v>0</v>
      </c>
      <c r="X784" s="1" t="str">
        <f>IF(Table1[[#This Row],[DUT Read]]="","N/A",Table1[[#This Row],[Std Error]]+Table1[[#This Row],[DUT Read]]+Table1[[#This Row],[DUT Ucty]])</f>
        <v>N/A</v>
      </c>
      <c r="Y784" s="1" t="str">
        <f>IF(Table1[[#This Row],[Std Read]]="","N/A",Table1[[#This Row],[Std Read]]+Table1[[#This Row],[Std Ucty]])</f>
        <v>N/A</v>
      </c>
      <c r="Z7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4" s="1" t="str">
        <f>IF(Table1[[#This Row],[Spec Type]]="","N/A",Table1[[#This Row],[Spec Type]])</f>
        <v>±</v>
      </c>
      <c r="AC784" s="1" t="str">
        <f>IF(Table1[[#This Row],[Spec Type2]]="N/A","N/A",IF(AND(Table1[[#This Row],[DUT Adj Read]]&gt;=Table1[[#This Row],[Low Tol]],Table1[[#This Row],[DUT Adj Read]]&lt;=Table1[[#This Row],[High Tol]]),"Pass","Fail"))</f>
        <v>Fail</v>
      </c>
      <c r="AD784" s="1" t="str">
        <f>IF(AND(Table1[[#This Row],[Spec Type2]]="N/A",Table1[[#This Row],[DUT Adj Read]]="N/A",Table1[[#This Row],[Std Adj Read]]="N/A"),"N/A",IF(Table1[[#This Row],[DUT Adj Read]]="N/A",IF(Table1[[#This Row],[Std Adj Read]]&gt;Table1[[#This Row],[Low Tol]],"Pass","Fail"),IF(Table1[[#This Row],[DUT Adj Read]]&gt;Table1[[#This Row],[Low Tol]],"Pass","Fail")))</f>
        <v>Pass</v>
      </c>
      <c r="AE784" s="1" t="str">
        <f>IF(AND(Table1[[#This Row],[Spec Type2]]="N/A",Table1[[#This Row],[DUT Adj Read]]="N/A",Table1[[#This Row],[Std Adj Read]]="N/A"),"N/A",IF(Table1[[#This Row],[DUT Adj Read]]="N/A",IF(Table1[[#This Row],[Std Adj Read]]&lt;Table1[[#This Row],[High Tol]],"Pass","Fail"),IF(Table1[[#This Row],[DUT Adj Read]]&lt;Table1[[#This Row],[High Tol]],"Pass","Fail")))</f>
        <v>Fail</v>
      </c>
      <c r="AF784" s="1" t="str">
        <f>IF(AND(Table1[[#This Row],[Spec Type2]]="N/A",Table1[[#This Row],[DUT Adj Read]]="N/A",Table1[[#This Row],[Std Adj Read]]="N/A"),"N/A",IF(Table1[[#This Row],[DUT Adj Read]]="N/A",IF(Table1[[#This Row],[Std Adj Read]]&gt;=Table1[[#This Row],[Low Tol]],"Pass","Fail"),IF(Table1[[#This Row],[DUT Adj Read]]&gt;=Table1[[#This Row],[Low Tol]],"Pass","Fail")))</f>
        <v>Pass</v>
      </c>
      <c r="AG784" s="1" t="str">
        <f>IF(AND(Table1[[#This Row],[Spec Type2]]="N/A",Table1[[#This Row],[DUT Adj Read]]="N/A",Table1[[#This Row],[Std Adj Read]]="N/A"),"N/A",IF(Table1[[#This Row],[DUT Adj Read]]="N/A",IF(Table1[[#This Row],[Std Adj Read]]&lt;=Table1[[#This Row],[High Tol]],"Pass","Fail"),IF(Table1[[#This Row],[DUT Adj Read]]&lt;=Table1[[#This Row],[High Tol]],"Pass","Fail")))</f>
        <v>Fail</v>
      </c>
      <c r="AH7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4" s="1" t="b">
        <v>0</v>
      </c>
      <c r="AN784" s="1" t="b">
        <v>0</v>
      </c>
      <c r="AO784" s="1" t="b">
        <v>0</v>
      </c>
    </row>
    <row r="785" spans="1:41" x14ac:dyDescent="0.25">
      <c r="A785" s="10"/>
      <c r="B785" s="10"/>
      <c r="C785" s="10"/>
      <c r="D785" s="10"/>
      <c r="E785" s="10"/>
      <c r="F785" s="10"/>
      <c r="G785" s="10"/>
      <c r="H785" s="10"/>
      <c r="I785" s="1" t="str">
        <f t="shared" si="36"/>
        <v/>
      </c>
      <c r="J785" s="1" t="s">
        <v>35</v>
      </c>
      <c r="K785" s="1" t="str">
        <f t="shared" si="37"/>
        <v/>
      </c>
      <c r="L785" s="1" t="str">
        <f t="shared" si="38"/>
        <v/>
      </c>
      <c r="M785" s="1">
        <f>IF(OR(Table1[[#This Row],[Std Nom]]="",Table1[[#This Row],[Std Read]]=""),0,Table1[[#This Row],[Std Nom]]-Table1[[#This Row],[Std Read]])</f>
        <v>0</v>
      </c>
      <c r="N785" s="1">
        <f>IF(Calculations!$F$5="ACCREDITED 17025 WITH UNCERTAINTIES",$N$10,0)</f>
        <v>0</v>
      </c>
      <c r="Q785" s="1">
        <f>Table1[[#This Row],[High Tol]]-Table1[[#This Row],[Low Tol]]</f>
        <v>0</v>
      </c>
      <c r="R785" s="1">
        <f>2*Table1[[#This Row],[Std Error]]</f>
        <v>0</v>
      </c>
      <c r="S785" s="1" t="str">
        <f>IF(Table1[[#This Row],[High Tol]]="","N/A",IFERROR(ABS(Table1[[#This Row],[Tol Span]]/Table1[[#This Row],[Error Span]]),"N/A"))</f>
        <v>N/A</v>
      </c>
      <c r="T785" s="1" t="str">
        <f>IF(OR(Table1[[#This Row],[Low Tol]]="",Table1[[#This Row],[High Tol]]=""),"Needs Analysis",IF(Table1[[#This Row],[Ratio]]&gt;=4,"Not Significant",IF(Table1[[#This Row],[Ratio]]&gt;=2,"Semi-Significant","Significant")))</f>
        <v>Needs Analysis</v>
      </c>
      <c r="W785" s="1">
        <f>IF(Table1[[#This Row],[Cal Type]]&lt;&gt;"ACCREDITED 17025 WITH UNCERTAINTIES",0,"")</f>
        <v>0</v>
      </c>
      <c r="X785" s="1" t="str">
        <f>IF(Table1[[#This Row],[DUT Read]]="","N/A",Table1[[#This Row],[Std Error]]+Table1[[#This Row],[DUT Read]]+Table1[[#This Row],[DUT Ucty]])</f>
        <v>N/A</v>
      </c>
      <c r="Y785" s="1" t="str">
        <f>IF(Table1[[#This Row],[Std Read]]="","N/A",Table1[[#This Row],[Std Read]]+Table1[[#This Row],[Std Ucty]])</f>
        <v>N/A</v>
      </c>
      <c r="Z7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5" s="1" t="str">
        <f>IF(Table1[[#This Row],[Spec Type]]="","N/A",Table1[[#This Row],[Spec Type]])</f>
        <v>±</v>
      </c>
      <c r="AC785" s="1" t="str">
        <f>IF(Table1[[#This Row],[Spec Type2]]="N/A","N/A",IF(AND(Table1[[#This Row],[DUT Adj Read]]&gt;=Table1[[#This Row],[Low Tol]],Table1[[#This Row],[DUT Adj Read]]&lt;=Table1[[#This Row],[High Tol]]),"Pass","Fail"))</f>
        <v>Fail</v>
      </c>
      <c r="AD785" s="1" t="str">
        <f>IF(AND(Table1[[#This Row],[Spec Type2]]="N/A",Table1[[#This Row],[DUT Adj Read]]="N/A",Table1[[#This Row],[Std Adj Read]]="N/A"),"N/A",IF(Table1[[#This Row],[DUT Adj Read]]="N/A",IF(Table1[[#This Row],[Std Adj Read]]&gt;Table1[[#This Row],[Low Tol]],"Pass","Fail"),IF(Table1[[#This Row],[DUT Adj Read]]&gt;Table1[[#This Row],[Low Tol]],"Pass","Fail")))</f>
        <v>Pass</v>
      </c>
      <c r="AE785" s="1" t="str">
        <f>IF(AND(Table1[[#This Row],[Spec Type2]]="N/A",Table1[[#This Row],[DUT Adj Read]]="N/A",Table1[[#This Row],[Std Adj Read]]="N/A"),"N/A",IF(Table1[[#This Row],[DUT Adj Read]]="N/A",IF(Table1[[#This Row],[Std Adj Read]]&lt;Table1[[#This Row],[High Tol]],"Pass","Fail"),IF(Table1[[#This Row],[DUT Adj Read]]&lt;Table1[[#This Row],[High Tol]],"Pass","Fail")))</f>
        <v>Fail</v>
      </c>
      <c r="AF785" s="1" t="str">
        <f>IF(AND(Table1[[#This Row],[Spec Type2]]="N/A",Table1[[#This Row],[DUT Adj Read]]="N/A",Table1[[#This Row],[Std Adj Read]]="N/A"),"N/A",IF(Table1[[#This Row],[DUT Adj Read]]="N/A",IF(Table1[[#This Row],[Std Adj Read]]&gt;=Table1[[#This Row],[Low Tol]],"Pass","Fail"),IF(Table1[[#This Row],[DUT Adj Read]]&gt;=Table1[[#This Row],[Low Tol]],"Pass","Fail")))</f>
        <v>Pass</v>
      </c>
      <c r="AG785" s="1" t="str">
        <f>IF(AND(Table1[[#This Row],[Spec Type2]]="N/A",Table1[[#This Row],[DUT Adj Read]]="N/A",Table1[[#This Row],[Std Adj Read]]="N/A"),"N/A",IF(Table1[[#This Row],[DUT Adj Read]]="N/A",IF(Table1[[#This Row],[Std Adj Read]]&lt;=Table1[[#This Row],[High Tol]],"Pass","Fail"),IF(Table1[[#This Row],[DUT Adj Read]]&lt;=Table1[[#This Row],[High Tol]],"Pass","Fail")))</f>
        <v>Fail</v>
      </c>
      <c r="AH7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5" s="1" t="b">
        <v>0</v>
      </c>
      <c r="AN785" s="1" t="b">
        <v>0</v>
      </c>
      <c r="AO785" s="1" t="b">
        <v>0</v>
      </c>
    </row>
    <row r="786" spans="1:41" x14ac:dyDescent="0.25">
      <c r="A786" s="10"/>
      <c r="B786" s="10"/>
      <c r="C786" s="10"/>
      <c r="D786" s="10"/>
      <c r="E786" s="10"/>
      <c r="F786" s="10"/>
      <c r="G786" s="10"/>
      <c r="H786" s="10"/>
      <c r="I786" s="1" t="str">
        <f t="shared" si="36"/>
        <v/>
      </c>
      <c r="J786" s="1" t="s">
        <v>35</v>
      </c>
      <c r="K786" s="1" t="str">
        <f t="shared" si="37"/>
        <v/>
      </c>
      <c r="L786" s="1" t="str">
        <f t="shared" si="38"/>
        <v/>
      </c>
      <c r="M786" s="1">
        <f>IF(OR(Table1[[#This Row],[Std Nom]]="",Table1[[#This Row],[Std Read]]=""),0,Table1[[#This Row],[Std Nom]]-Table1[[#This Row],[Std Read]])</f>
        <v>0</v>
      </c>
      <c r="N786" s="1">
        <f>IF(Calculations!$F$5="ACCREDITED 17025 WITH UNCERTAINTIES",$N$10,0)</f>
        <v>0</v>
      </c>
      <c r="Q786" s="1">
        <f>Table1[[#This Row],[High Tol]]-Table1[[#This Row],[Low Tol]]</f>
        <v>0</v>
      </c>
      <c r="R786" s="1">
        <f>2*Table1[[#This Row],[Std Error]]</f>
        <v>0</v>
      </c>
      <c r="S786" s="1" t="str">
        <f>IF(Table1[[#This Row],[High Tol]]="","N/A",IFERROR(ABS(Table1[[#This Row],[Tol Span]]/Table1[[#This Row],[Error Span]]),"N/A"))</f>
        <v>N/A</v>
      </c>
      <c r="T786" s="1" t="str">
        <f>IF(OR(Table1[[#This Row],[Low Tol]]="",Table1[[#This Row],[High Tol]]=""),"Needs Analysis",IF(Table1[[#This Row],[Ratio]]&gt;=4,"Not Significant",IF(Table1[[#This Row],[Ratio]]&gt;=2,"Semi-Significant","Significant")))</f>
        <v>Needs Analysis</v>
      </c>
      <c r="W786" s="1">
        <f>IF(Table1[[#This Row],[Cal Type]]&lt;&gt;"ACCREDITED 17025 WITH UNCERTAINTIES",0,"")</f>
        <v>0</v>
      </c>
      <c r="X786" s="1" t="str">
        <f>IF(Table1[[#This Row],[DUT Read]]="","N/A",Table1[[#This Row],[Std Error]]+Table1[[#This Row],[DUT Read]]+Table1[[#This Row],[DUT Ucty]])</f>
        <v>N/A</v>
      </c>
      <c r="Y786" s="1" t="str">
        <f>IF(Table1[[#This Row],[Std Read]]="","N/A",Table1[[#This Row],[Std Read]]+Table1[[#This Row],[Std Ucty]])</f>
        <v>N/A</v>
      </c>
      <c r="Z7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6" s="1" t="str">
        <f>IF(Table1[[#This Row],[Spec Type]]="","N/A",Table1[[#This Row],[Spec Type]])</f>
        <v>±</v>
      </c>
      <c r="AC786" s="1" t="str">
        <f>IF(Table1[[#This Row],[Spec Type2]]="N/A","N/A",IF(AND(Table1[[#This Row],[DUT Adj Read]]&gt;=Table1[[#This Row],[Low Tol]],Table1[[#This Row],[DUT Adj Read]]&lt;=Table1[[#This Row],[High Tol]]),"Pass","Fail"))</f>
        <v>Fail</v>
      </c>
      <c r="AD786" s="1" t="str">
        <f>IF(AND(Table1[[#This Row],[Spec Type2]]="N/A",Table1[[#This Row],[DUT Adj Read]]="N/A",Table1[[#This Row],[Std Adj Read]]="N/A"),"N/A",IF(Table1[[#This Row],[DUT Adj Read]]="N/A",IF(Table1[[#This Row],[Std Adj Read]]&gt;Table1[[#This Row],[Low Tol]],"Pass","Fail"),IF(Table1[[#This Row],[DUT Adj Read]]&gt;Table1[[#This Row],[Low Tol]],"Pass","Fail")))</f>
        <v>Pass</v>
      </c>
      <c r="AE786" s="1" t="str">
        <f>IF(AND(Table1[[#This Row],[Spec Type2]]="N/A",Table1[[#This Row],[DUT Adj Read]]="N/A",Table1[[#This Row],[Std Adj Read]]="N/A"),"N/A",IF(Table1[[#This Row],[DUT Adj Read]]="N/A",IF(Table1[[#This Row],[Std Adj Read]]&lt;Table1[[#This Row],[High Tol]],"Pass","Fail"),IF(Table1[[#This Row],[DUT Adj Read]]&lt;Table1[[#This Row],[High Tol]],"Pass","Fail")))</f>
        <v>Fail</v>
      </c>
      <c r="AF786" s="1" t="str">
        <f>IF(AND(Table1[[#This Row],[Spec Type2]]="N/A",Table1[[#This Row],[DUT Adj Read]]="N/A",Table1[[#This Row],[Std Adj Read]]="N/A"),"N/A",IF(Table1[[#This Row],[DUT Adj Read]]="N/A",IF(Table1[[#This Row],[Std Adj Read]]&gt;=Table1[[#This Row],[Low Tol]],"Pass","Fail"),IF(Table1[[#This Row],[DUT Adj Read]]&gt;=Table1[[#This Row],[Low Tol]],"Pass","Fail")))</f>
        <v>Pass</v>
      </c>
      <c r="AG786" s="1" t="str">
        <f>IF(AND(Table1[[#This Row],[Spec Type2]]="N/A",Table1[[#This Row],[DUT Adj Read]]="N/A",Table1[[#This Row],[Std Adj Read]]="N/A"),"N/A",IF(Table1[[#This Row],[DUT Adj Read]]="N/A",IF(Table1[[#This Row],[Std Adj Read]]&lt;=Table1[[#This Row],[High Tol]],"Pass","Fail"),IF(Table1[[#This Row],[DUT Adj Read]]&lt;=Table1[[#This Row],[High Tol]],"Pass","Fail")))</f>
        <v>Fail</v>
      </c>
      <c r="AH7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6" s="1" t="b">
        <v>0</v>
      </c>
      <c r="AN786" s="1" t="b">
        <v>0</v>
      </c>
      <c r="AO786" s="1" t="b">
        <v>0</v>
      </c>
    </row>
    <row r="787" spans="1:41" x14ac:dyDescent="0.25">
      <c r="A787" s="10"/>
      <c r="B787" s="10"/>
      <c r="C787" s="10"/>
      <c r="D787" s="10"/>
      <c r="E787" s="10"/>
      <c r="F787" s="10"/>
      <c r="G787" s="10"/>
      <c r="H787" s="10"/>
      <c r="I787" s="1" t="str">
        <f t="shared" si="36"/>
        <v/>
      </c>
      <c r="J787" s="1" t="s">
        <v>35</v>
      </c>
      <c r="K787" s="1" t="str">
        <f t="shared" si="37"/>
        <v/>
      </c>
      <c r="L787" s="1" t="str">
        <f t="shared" si="38"/>
        <v/>
      </c>
      <c r="M787" s="1">
        <f>IF(OR(Table1[[#This Row],[Std Nom]]="",Table1[[#This Row],[Std Read]]=""),0,Table1[[#This Row],[Std Nom]]-Table1[[#This Row],[Std Read]])</f>
        <v>0</v>
      </c>
      <c r="N787" s="1">
        <f>IF(Calculations!$F$5="ACCREDITED 17025 WITH UNCERTAINTIES",$N$10,0)</f>
        <v>0</v>
      </c>
      <c r="Q787" s="1">
        <f>Table1[[#This Row],[High Tol]]-Table1[[#This Row],[Low Tol]]</f>
        <v>0</v>
      </c>
      <c r="R787" s="1">
        <f>2*Table1[[#This Row],[Std Error]]</f>
        <v>0</v>
      </c>
      <c r="S787" s="1" t="str">
        <f>IF(Table1[[#This Row],[High Tol]]="","N/A",IFERROR(ABS(Table1[[#This Row],[Tol Span]]/Table1[[#This Row],[Error Span]]),"N/A"))</f>
        <v>N/A</v>
      </c>
      <c r="T787" s="1" t="str">
        <f>IF(OR(Table1[[#This Row],[Low Tol]]="",Table1[[#This Row],[High Tol]]=""),"Needs Analysis",IF(Table1[[#This Row],[Ratio]]&gt;=4,"Not Significant",IF(Table1[[#This Row],[Ratio]]&gt;=2,"Semi-Significant","Significant")))</f>
        <v>Needs Analysis</v>
      </c>
      <c r="W787" s="1">
        <f>IF(Table1[[#This Row],[Cal Type]]&lt;&gt;"ACCREDITED 17025 WITH UNCERTAINTIES",0,"")</f>
        <v>0</v>
      </c>
      <c r="X787" s="1" t="str">
        <f>IF(Table1[[#This Row],[DUT Read]]="","N/A",Table1[[#This Row],[Std Error]]+Table1[[#This Row],[DUT Read]]+Table1[[#This Row],[DUT Ucty]])</f>
        <v>N/A</v>
      </c>
      <c r="Y787" s="1" t="str">
        <f>IF(Table1[[#This Row],[Std Read]]="","N/A",Table1[[#This Row],[Std Read]]+Table1[[#This Row],[Std Ucty]])</f>
        <v>N/A</v>
      </c>
      <c r="Z7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7" s="1" t="str">
        <f>IF(Table1[[#This Row],[Spec Type]]="","N/A",Table1[[#This Row],[Spec Type]])</f>
        <v>±</v>
      </c>
      <c r="AC787" s="1" t="str">
        <f>IF(Table1[[#This Row],[Spec Type2]]="N/A","N/A",IF(AND(Table1[[#This Row],[DUT Adj Read]]&gt;=Table1[[#This Row],[Low Tol]],Table1[[#This Row],[DUT Adj Read]]&lt;=Table1[[#This Row],[High Tol]]),"Pass","Fail"))</f>
        <v>Fail</v>
      </c>
      <c r="AD787" s="1" t="str">
        <f>IF(AND(Table1[[#This Row],[Spec Type2]]="N/A",Table1[[#This Row],[DUT Adj Read]]="N/A",Table1[[#This Row],[Std Adj Read]]="N/A"),"N/A",IF(Table1[[#This Row],[DUT Adj Read]]="N/A",IF(Table1[[#This Row],[Std Adj Read]]&gt;Table1[[#This Row],[Low Tol]],"Pass","Fail"),IF(Table1[[#This Row],[DUT Adj Read]]&gt;Table1[[#This Row],[Low Tol]],"Pass","Fail")))</f>
        <v>Pass</v>
      </c>
      <c r="AE787" s="1" t="str">
        <f>IF(AND(Table1[[#This Row],[Spec Type2]]="N/A",Table1[[#This Row],[DUT Adj Read]]="N/A",Table1[[#This Row],[Std Adj Read]]="N/A"),"N/A",IF(Table1[[#This Row],[DUT Adj Read]]="N/A",IF(Table1[[#This Row],[Std Adj Read]]&lt;Table1[[#This Row],[High Tol]],"Pass","Fail"),IF(Table1[[#This Row],[DUT Adj Read]]&lt;Table1[[#This Row],[High Tol]],"Pass","Fail")))</f>
        <v>Fail</v>
      </c>
      <c r="AF787" s="1" t="str">
        <f>IF(AND(Table1[[#This Row],[Spec Type2]]="N/A",Table1[[#This Row],[DUT Adj Read]]="N/A",Table1[[#This Row],[Std Adj Read]]="N/A"),"N/A",IF(Table1[[#This Row],[DUT Adj Read]]="N/A",IF(Table1[[#This Row],[Std Adj Read]]&gt;=Table1[[#This Row],[Low Tol]],"Pass","Fail"),IF(Table1[[#This Row],[DUT Adj Read]]&gt;=Table1[[#This Row],[Low Tol]],"Pass","Fail")))</f>
        <v>Pass</v>
      </c>
      <c r="AG787" s="1" t="str">
        <f>IF(AND(Table1[[#This Row],[Spec Type2]]="N/A",Table1[[#This Row],[DUT Adj Read]]="N/A",Table1[[#This Row],[Std Adj Read]]="N/A"),"N/A",IF(Table1[[#This Row],[DUT Adj Read]]="N/A",IF(Table1[[#This Row],[Std Adj Read]]&lt;=Table1[[#This Row],[High Tol]],"Pass","Fail"),IF(Table1[[#This Row],[DUT Adj Read]]&lt;=Table1[[#This Row],[High Tol]],"Pass","Fail")))</f>
        <v>Fail</v>
      </c>
      <c r="AH7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7" s="1" t="b">
        <v>0</v>
      </c>
      <c r="AN787" s="1" t="b">
        <v>0</v>
      </c>
      <c r="AO787" s="1" t="b">
        <v>0</v>
      </c>
    </row>
    <row r="788" spans="1:41" x14ac:dyDescent="0.25">
      <c r="A788" s="10"/>
      <c r="B788" s="10"/>
      <c r="C788" s="10"/>
      <c r="D788" s="10"/>
      <c r="E788" s="10"/>
      <c r="F788" s="10"/>
      <c r="G788" s="10"/>
      <c r="H788" s="10"/>
      <c r="I788" s="1" t="str">
        <f t="shared" si="36"/>
        <v/>
      </c>
      <c r="J788" s="1" t="s">
        <v>35</v>
      </c>
      <c r="K788" s="1" t="str">
        <f t="shared" si="37"/>
        <v/>
      </c>
      <c r="L788" s="1" t="str">
        <f t="shared" si="38"/>
        <v/>
      </c>
      <c r="M788" s="1">
        <f>IF(OR(Table1[[#This Row],[Std Nom]]="",Table1[[#This Row],[Std Read]]=""),0,Table1[[#This Row],[Std Nom]]-Table1[[#This Row],[Std Read]])</f>
        <v>0</v>
      </c>
      <c r="N788" s="1">
        <f>IF(Calculations!$F$5="ACCREDITED 17025 WITH UNCERTAINTIES",$N$10,0)</f>
        <v>0</v>
      </c>
      <c r="Q788" s="1">
        <f>Table1[[#This Row],[High Tol]]-Table1[[#This Row],[Low Tol]]</f>
        <v>0</v>
      </c>
      <c r="R788" s="1">
        <f>2*Table1[[#This Row],[Std Error]]</f>
        <v>0</v>
      </c>
      <c r="S788" s="1" t="str">
        <f>IF(Table1[[#This Row],[High Tol]]="","N/A",IFERROR(ABS(Table1[[#This Row],[Tol Span]]/Table1[[#This Row],[Error Span]]),"N/A"))</f>
        <v>N/A</v>
      </c>
      <c r="T788" s="1" t="str">
        <f>IF(OR(Table1[[#This Row],[Low Tol]]="",Table1[[#This Row],[High Tol]]=""),"Needs Analysis",IF(Table1[[#This Row],[Ratio]]&gt;=4,"Not Significant",IF(Table1[[#This Row],[Ratio]]&gt;=2,"Semi-Significant","Significant")))</f>
        <v>Needs Analysis</v>
      </c>
      <c r="W788" s="1">
        <f>IF(Table1[[#This Row],[Cal Type]]&lt;&gt;"ACCREDITED 17025 WITH UNCERTAINTIES",0,"")</f>
        <v>0</v>
      </c>
      <c r="X788" s="1" t="str">
        <f>IF(Table1[[#This Row],[DUT Read]]="","N/A",Table1[[#This Row],[Std Error]]+Table1[[#This Row],[DUT Read]]+Table1[[#This Row],[DUT Ucty]])</f>
        <v>N/A</v>
      </c>
      <c r="Y788" s="1" t="str">
        <f>IF(Table1[[#This Row],[Std Read]]="","N/A",Table1[[#This Row],[Std Read]]+Table1[[#This Row],[Std Ucty]])</f>
        <v>N/A</v>
      </c>
      <c r="Z7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8" s="1" t="str">
        <f>IF(Table1[[#This Row],[Spec Type]]="","N/A",Table1[[#This Row],[Spec Type]])</f>
        <v>±</v>
      </c>
      <c r="AC788" s="1" t="str">
        <f>IF(Table1[[#This Row],[Spec Type2]]="N/A","N/A",IF(AND(Table1[[#This Row],[DUT Adj Read]]&gt;=Table1[[#This Row],[Low Tol]],Table1[[#This Row],[DUT Adj Read]]&lt;=Table1[[#This Row],[High Tol]]),"Pass","Fail"))</f>
        <v>Fail</v>
      </c>
      <c r="AD788" s="1" t="str">
        <f>IF(AND(Table1[[#This Row],[Spec Type2]]="N/A",Table1[[#This Row],[DUT Adj Read]]="N/A",Table1[[#This Row],[Std Adj Read]]="N/A"),"N/A",IF(Table1[[#This Row],[DUT Adj Read]]="N/A",IF(Table1[[#This Row],[Std Adj Read]]&gt;Table1[[#This Row],[Low Tol]],"Pass","Fail"),IF(Table1[[#This Row],[DUT Adj Read]]&gt;Table1[[#This Row],[Low Tol]],"Pass","Fail")))</f>
        <v>Pass</v>
      </c>
      <c r="AE788" s="1" t="str">
        <f>IF(AND(Table1[[#This Row],[Spec Type2]]="N/A",Table1[[#This Row],[DUT Adj Read]]="N/A",Table1[[#This Row],[Std Adj Read]]="N/A"),"N/A",IF(Table1[[#This Row],[DUT Adj Read]]="N/A",IF(Table1[[#This Row],[Std Adj Read]]&lt;Table1[[#This Row],[High Tol]],"Pass","Fail"),IF(Table1[[#This Row],[DUT Adj Read]]&lt;Table1[[#This Row],[High Tol]],"Pass","Fail")))</f>
        <v>Fail</v>
      </c>
      <c r="AF788" s="1" t="str">
        <f>IF(AND(Table1[[#This Row],[Spec Type2]]="N/A",Table1[[#This Row],[DUT Adj Read]]="N/A",Table1[[#This Row],[Std Adj Read]]="N/A"),"N/A",IF(Table1[[#This Row],[DUT Adj Read]]="N/A",IF(Table1[[#This Row],[Std Adj Read]]&gt;=Table1[[#This Row],[Low Tol]],"Pass","Fail"),IF(Table1[[#This Row],[DUT Adj Read]]&gt;=Table1[[#This Row],[Low Tol]],"Pass","Fail")))</f>
        <v>Pass</v>
      </c>
      <c r="AG788" s="1" t="str">
        <f>IF(AND(Table1[[#This Row],[Spec Type2]]="N/A",Table1[[#This Row],[DUT Adj Read]]="N/A",Table1[[#This Row],[Std Adj Read]]="N/A"),"N/A",IF(Table1[[#This Row],[DUT Adj Read]]="N/A",IF(Table1[[#This Row],[Std Adj Read]]&lt;=Table1[[#This Row],[High Tol]],"Pass","Fail"),IF(Table1[[#This Row],[DUT Adj Read]]&lt;=Table1[[#This Row],[High Tol]],"Pass","Fail")))</f>
        <v>Fail</v>
      </c>
      <c r="AH7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8" s="1" t="b">
        <v>0</v>
      </c>
      <c r="AN788" s="1" t="b">
        <v>0</v>
      </c>
      <c r="AO788" s="1" t="b">
        <v>0</v>
      </c>
    </row>
    <row r="789" spans="1:41" x14ac:dyDescent="0.25">
      <c r="A789" s="10"/>
      <c r="B789" s="10"/>
      <c r="C789" s="10"/>
      <c r="D789" s="10"/>
      <c r="E789" s="10"/>
      <c r="F789" s="10"/>
      <c r="G789" s="10"/>
      <c r="H789" s="10"/>
      <c r="I789" s="1" t="str">
        <f t="shared" si="36"/>
        <v/>
      </c>
      <c r="J789" s="1" t="s">
        <v>35</v>
      </c>
      <c r="K789" s="1" t="str">
        <f t="shared" si="37"/>
        <v/>
      </c>
      <c r="L789" s="1" t="str">
        <f t="shared" si="38"/>
        <v/>
      </c>
      <c r="M789" s="1">
        <f>IF(OR(Table1[[#This Row],[Std Nom]]="",Table1[[#This Row],[Std Read]]=""),0,Table1[[#This Row],[Std Nom]]-Table1[[#This Row],[Std Read]])</f>
        <v>0</v>
      </c>
      <c r="N789" s="1">
        <f>IF(Calculations!$F$5="ACCREDITED 17025 WITH UNCERTAINTIES",$N$10,0)</f>
        <v>0</v>
      </c>
      <c r="Q789" s="1">
        <f>Table1[[#This Row],[High Tol]]-Table1[[#This Row],[Low Tol]]</f>
        <v>0</v>
      </c>
      <c r="R789" s="1">
        <f>2*Table1[[#This Row],[Std Error]]</f>
        <v>0</v>
      </c>
      <c r="S789" s="1" t="str">
        <f>IF(Table1[[#This Row],[High Tol]]="","N/A",IFERROR(ABS(Table1[[#This Row],[Tol Span]]/Table1[[#This Row],[Error Span]]),"N/A"))</f>
        <v>N/A</v>
      </c>
      <c r="T789" s="1" t="str">
        <f>IF(OR(Table1[[#This Row],[Low Tol]]="",Table1[[#This Row],[High Tol]]=""),"Needs Analysis",IF(Table1[[#This Row],[Ratio]]&gt;=4,"Not Significant",IF(Table1[[#This Row],[Ratio]]&gt;=2,"Semi-Significant","Significant")))</f>
        <v>Needs Analysis</v>
      </c>
      <c r="W789" s="1">
        <f>IF(Table1[[#This Row],[Cal Type]]&lt;&gt;"ACCREDITED 17025 WITH UNCERTAINTIES",0,"")</f>
        <v>0</v>
      </c>
      <c r="X789" s="1" t="str">
        <f>IF(Table1[[#This Row],[DUT Read]]="","N/A",Table1[[#This Row],[Std Error]]+Table1[[#This Row],[DUT Read]]+Table1[[#This Row],[DUT Ucty]])</f>
        <v>N/A</v>
      </c>
      <c r="Y789" s="1" t="str">
        <f>IF(Table1[[#This Row],[Std Read]]="","N/A",Table1[[#This Row],[Std Read]]+Table1[[#This Row],[Std Ucty]])</f>
        <v>N/A</v>
      </c>
      <c r="Z7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89" s="1" t="str">
        <f>IF(Table1[[#This Row],[Spec Type]]="","N/A",Table1[[#This Row],[Spec Type]])</f>
        <v>±</v>
      </c>
      <c r="AC789" s="1" t="str">
        <f>IF(Table1[[#This Row],[Spec Type2]]="N/A","N/A",IF(AND(Table1[[#This Row],[DUT Adj Read]]&gt;=Table1[[#This Row],[Low Tol]],Table1[[#This Row],[DUT Adj Read]]&lt;=Table1[[#This Row],[High Tol]]),"Pass","Fail"))</f>
        <v>Fail</v>
      </c>
      <c r="AD789" s="1" t="str">
        <f>IF(AND(Table1[[#This Row],[Spec Type2]]="N/A",Table1[[#This Row],[DUT Adj Read]]="N/A",Table1[[#This Row],[Std Adj Read]]="N/A"),"N/A",IF(Table1[[#This Row],[DUT Adj Read]]="N/A",IF(Table1[[#This Row],[Std Adj Read]]&gt;Table1[[#This Row],[Low Tol]],"Pass","Fail"),IF(Table1[[#This Row],[DUT Adj Read]]&gt;Table1[[#This Row],[Low Tol]],"Pass","Fail")))</f>
        <v>Pass</v>
      </c>
      <c r="AE789" s="1" t="str">
        <f>IF(AND(Table1[[#This Row],[Spec Type2]]="N/A",Table1[[#This Row],[DUT Adj Read]]="N/A",Table1[[#This Row],[Std Adj Read]]="N/A"),"N/A",IF(Table1[[#This Row],[DUT Adj Read]]="N/A",IF(Table1[[#This Row],[Std Adj Read]]&lt;Table1[[#This Row],[High Tol]],"Pass","Fail"),IF(Table1[[#This Row],[DUT Adj Read]]&lt;Table1[[#This Row],[High Tol]],"Pass","Fail")))</f>
        <v>Fail</v>
      </c>
      <c r="AF789" s="1" t="str">
        <f>IF(AND(Table1[[#This Row],[Spec Type2]]="N/A",Table1[[#This Row],[DUT Adj Read]]="N/A",Table1[[#This Row],[Std Adj Read]]="N/A"),"N/A",IF(Table1[[#This Row],[DUT Adj Read]]="N/A",IF(Table1[[#This Row],[Std Adj Read]]&gt;=Table1[[#This Row],[Low Tol]],"Pass","Fail"),IF(Table1[[#This Row],[DUT Adj Read]]&gt;=Table1[[#This Row],[Low Tol]],"Pass","Fail")))</f>
        <v>Pass</v>
      </c>
      <c r="AG789" s="1" t="str">
        <f>IF(AND(Table1[[#This Row],[Spec Type2]]="N/A",Table1[[#This Row],[DUT Adj Read]]="N/A",Table1[[#This Row],[Std Adj Read]]="N/A"),"N/A",IF(Table1[[#This Row],[DUT Adj Read]]="N/A",IF(Table1[[#This Row],[Std Adj Read]]&lt;=Table1[[#This Row],[High Tol]],"Pass","Fail"),IF(Table1[[#This Row],[DUT Adj Read]]&lt;=Table1[[#This Row],[High Tol]],"Pass","Fail")))</f>
        <v>Fail</v>
      </c>
      <c r="AH7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89" s="1" t="b">
        <v>0</v>
      </c>
      <c r="AN789" s="1" t="b">
        <v>0</v>
      </c>
      <c r="AO789" s="1" t="b">
        <v>0</v>
      </c>
    </row>
    <row r="790" spans="1:41" x14ac:dyDescent="0.25">
      <c r="A790" s="10"/>
      <c r="B790" s="10"/>
      <c r="C790" s="10"/>
      <c r="D790" s="10"/>
      <c r="E790" s="10"/>
      <c r="F790" s="10"/>
      <c r="G790" s="10"/>
      <c r="H790" s="10"/>
      <c r="I790" s="1" t="str">
        <f t="shared" si="36"/>
        <v/>
      </c>
      <c r="J790" s="1" t="s">
        <v>35</v>
      </c>
      <c r="K790" s="1" t="str">
        <f t="shared" si="37"/>
        <v/>
      </c>
      <c r="L790" s="1" t="str">
        <f t="shared" si="38"/>
        <v/>
      </c>
      <c r="M790" s="1">
        <f>IF(OR(Table1[[#This Row],[Std Nom]]="",Table1[[#This Row],[Std Read]]=""),0,Table1[[#This Row],[Std Nom]]-Table1[[#This Row],[Std Read]])</f>
        <v>0</v>
      </c>
      <c r="N790" s="1">
        <f>IF(Calculations!$F$5="ACCREDITED 17025 WITH UNCERTAINTIES",$N$10,0)</f>
        <v>0</v>
      </c>
      <c r="Q790" s="1">
        <f>Table1[[#This Row],[High Tol]]-Table1[[#This Row],[Low Tol]]</f>
        <v>0</v>
      </c>
      <c r="R790" s="1">
        <f>2*Table1[[#This Row],[Std Error]]</f>
        <v>0</v>
      </c>
      <c r="S790" s="1" t="str">
        <f>IF(Table1[[#This Row],[High Tol]]="","N/A",IFERROR(ABS(Table1[[#This Row],[Tol Span]]/Table1[[#This Row],[Error Span]]),"N/A"))</f>
        <v>N/A</v>
      </c>
      <c r="T790" s="1" t="str">
        <f>IF(OR(Table1[[#This Row],[Low Tol]]="",Table1[[#This Row],[High Tol]]=""),"Needs Analysis",IF(Table1[[#This Row],[Ratio]]&gt;=4,"Not Significant",IF(Table1[[#This Row],[Ratio]]&gt;=2,"Semi-Significant","Significant")))</f>
        <v>Needs Analysis</v>
      </c>
      <c r="W790" s="1">
        <f>IF(Table1[[#This Row],[Cal Type]]&lt;&gt;"ACCREDITED 17025 WITH UNCERTAINTIES",0,"")</f>
        <v>0</v>
      </c>
      <c r="X790" s="1" t="str">
        <f>IF(Table1[[#This Row],[DUT Read]]="","N/A",Table1[[#This Row],[Std Error]]+Table1[[#This Row],[DUT Read]]+Table1[[#This Row],[DUT Ucty]])</f>
        <v>N/A</v>
      </c>
      <c r="Y790" s="1" t="str">
        <f>IF(Table1[[#This Row],[Std Read]]="","N/A",Table1[[#This Row],[Std Read]]+Table1[[#This Row],[Std Ucty]])</f>
        <v>N/A</v>
      </c>
      <c r="Z7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0" s="1" t="str">
        <f>IF(Table1[[#This Row],[Spec Type]]="","N/A",Table1[[#This Row],[Spec Type]])</f>
        <v>±</v>
      </c>
      <c r="AC790" s="1" t="str">
        <f>IF(Table1[[#This Row],[Spec Type2]]="N/A","N/A",IF(AND(Table1[[#This Row],[DUT Adj Read]]&gt;=Table1[[#This Row],[Low Tol]],Table1[[#This Row],[DUT Adj Read]]&lt;=Table1[[#This Row],[High Tol]]),"Pass","Fail"))</f>
        <v>Fail</v>
      </c>
      <c r="AD790" s="1" t="str">
        <f>IF(AND(Table1[[#This Row],[Spec Type2]]="N/A",Table1[[#This Row],[DUT Adj Read]]="N/A",Table1[[#This Row],[Std Adj Read]]="N/A"),"N/A",IF(Table1[[#This Row],[DUT Adj Read]]="N/A",IF(Table1[[#This Row],[Std Adj Read]]&gt;Table1[[#This Row],[Low Tol]],"Pass","Fail"),IF(Table1[[#This Row],[DUT Adj Read]]&gt;Table1[[#This Row],[Low Tol]],"Pass","Fail")))</f>
        <v>Pass</v>
      </c>
      <c r="AE790" s="1" t="str">
        <f>IF(AND(Table1[[#This Row],[Spec Type2]]="N/A",Table1[[#This Row],[DUT Adj Read]]="N/A",Table1[[#This Row],[Std Adj Read]]="N/A"),"N/A",IF(Table1[[#This Row],[DUT Adj Read]]="N/A",IF(Table1[[#This Row],[Std Adj Read]]&lt;Table1[[#This Row],[High Tol]],"Pass","Fail"),IF(Table1[[#This Row],[DUT Adj Read]]&lt;Table1[[#This Row],[High Tol]],"Pass","Fail")))</f>
        <v>Fail</v>
      </c>
      <c r="AF790" s="1" t="str">
        <f>IF(AND(Table1[[#This Row],[Spec Type2]]="N/A",Table1[[#This Row],[DUT Adj Read]]="N/A",Table1[[#This Row],[Std Adj Read]]="N/A"),"N/A",IF(Table1[[#This Row],[DUT Adj Read]]="N/A",IF(Table1[[#This Row],[Std Adj Read]]&gt;=Table1[[#This Row],[Low Tol]],"Pass","Fail"),IF(Table1[[#This Row],[DUT Adj Read]]&gt;=Table1[[#This Row],[Low Tol]],"Pass","Fail")))</f>
        <v>Pass</v>
      </c>
      <c r="AG790" s="1" t="str">
        <f>IF(AND(Table1[[#This Row],[Spec Type2]]="N/A",Table1[[#This Row],[DUT Adj Read]]="N/A",Table1[[#This Row],[Std Adj Read]]="N/A"),"N/A",IF(Table1[[#This Row],[DUT Adj Read]]="N/A",IF(Table1[[#This Row],[Std Adj Read]]&lt;=Table1[[#This Row],[High Tol]],"Pass","Fail"),IF(Table1[[#This Row],[DUT Adj Read]]&lt;=Table1[[#This Row],[High Tol]],"Pass","Fail")))</f>
        <v>Fail</v>
      </c>
      <c r="AH7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0" s="1" t="b">
        <v>0</v>
      </c>
      <c r="AN790" s="1" t="b">
        <v>0</v>
      </c>
      <c r="AO790" s="1" t="b">
        <v>0</v>
      </c>
    </row>
    <row r="791" spans="1:41" x14ac:dyDescent="0.25">
      <c r="A791" s="10"/>
      <c r="B791" s="10"/>
      <c r="C791" s="10"/>
      <c r="D791" s="10"/>
      <c r="E791" s="10"/>
      <c r="F791" s="10"/>
      <c r="G791" s="10"/>
      <c r="H791" s="10"/>
      <c r="I791" s="1" t="str">
        <f t="shared" si="36"/>
        <v/>
      </c>
      <c r="J791" s="1" t="s">
        <v>35</v>
      </c>
      <c r="K791" s="1" t="str">
        <f t="shared" si="37"/>
        <v/>
      </c>
      <c r="L791" s="1" t="str">
        <f t="shared" si="38"/>
        <v/>
      </c>
      <c r="M791" s="1">
        <f>IF(OR(Table1[[#This Row],[Std Nom]]="",Table1[[#This Row],[Std Read]]=""),0,Table1[[#This Row],[Std Nom]]-Table1[[#This Row],[Std Read]])</f>
        <v>0</v>
      </c>
      <c r="N791" s="1">
        <f>IF(Calculations!$F$5="ACCREDITED 17025 WITH UNCERTAINTIES",$N$10,0)</f>
        <v>0</v>
      </c>
      <c r="Q791" s="1">
        <f>Table1[[#This Row],[High Tol]]-Table1[[#This Row],[Low Tol]]</f>
        <v>0</v>
      </c>
      <c r="R791" s="1">
        <f>2*Table1[[#This Row],[Std Error]]</f>
        <v>0</v>
      </c>
      <c r="S791" s="1" t="str">
        <f>IF(Table1[[#This Row],[High Tol]]="","N/A",IFERROR(ABS(Table1[[#This Row],[Tol Span]]/Table1[[#This Row],[Error Span]]),"N/A"))</f>
        <v>N/A</v>
      </c>
      <c r="T791" s="1" t="str">
        <f>IF(OR(Table1[[#This Row],[Low Tol]]="",Table1[[#This Row],[High Tol]]=""),"Needs Analysis",IF(Table1[[#This Row],[Ratio]]&gt;=4,"Not Significant",IF(Table1[[#This Row],[Ratio]]&gt;=2,"Semi-Significant","Significant")))</f>
        <v>Needs Analysis</v>
      </c>
      <c r="W791" s="1">
        <f>IF(Table1[[#This Row],[Cal Type]]&lt;&gt;"ACCREDITED 17025 WITH UNCERTAINTIES",0,"")</f>
        <v>0</v>
      </c>
      <c r="X791" s="1" t="str">
        <f>IF(Table1[[#This Row],[DUT Read]]="","N/A",Table1[[#This Row],[Std Error]]+Table1[[#This Row],[DUT Read]]+Table1[[#This Row],[DUT Ucty]])</f>
        <v>N/A</v>
      </c>
      <c r="Y791" s="1" t="str">
        <f>IF(Table1[[#This Row],[Std Read]]="","N/A",Table1[[#This Row],[Std Read]]+Table1[[#This Row],[Std Ucty]])</f>
        <v>N/A</v>
      </c>
      <c r="Z7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1" s="1" t="str">
        <f>IF(Table1[[#This Row],[Spec Type]]="","N/A",Table1[[#This Row],[Spec Type]])</f>
        <v>±</v>
      </c>
      <c r="AC791" s="1" t="str">
        <f>IF(Table1[[#This Row],[Spec Type2]]="N/A","N/A",IF(AND(Table1[[#This Row],[DUT Adj Read]]&gt;=Table1[[#This Row],[Low Tol]],Table1[[#This Row],[DUT Adj Read]]&lt;=Table1[[#This Row],[High Tol]]),"Pass","Fail"))</f>
        <v>Fail</v>
      </c>
      <c r="AD791" s="1" t="str">
        <f>IF(AND(Table1[[#This Row],[Spec Type2]]="N/A",Table1[[#This Row],[DUT Adj Read]]="N/A",Table1[[#This Row],[Std Adj Read]]="N/A"),"N/A",IF(Table1[[#This Row],[DUT Adj Read]]="N/A",IF(Table1[[#This Row],[Std Adj Read]]&gt;Table1[[#This Row],[Low Tol]],"Pass","Fail"),IF(Table1[[#This Row],[DUT Adj Read]]&gt;Table1[[#This Row],[Low Tol]],"Pass","Fail")))</f>
        <v>Pass</v>
      </c>
      <c r="AE791" s="1" t="str">
        <f>IF(AND(Table1[[#This Row],[Spec Type2]]="N/A",Table1[[#This Row],[DUT Adj Read]]="N/A",Table1[[#This Row],[Std Adj Read]]="N/A"),"N/A",IF(Table1[[#This Row],[DUT Adj Read]]="N/A",IF(Table1[[#This Row],[Std Adj Read]]&lt;Table1[[#This Row],[High Tol]],"Pass","Fail"),IF(Table1[[#This Row],[DUT Adj Read]]&lt;Table1[[#This Row],[High Tol]],"Pass","Fail")))</f>
        <v>Fail</v>
      </c>
      <c r="AF791" s="1" t="str">
        <f>IF(AND(Table1[[#This Row],[Spec Type2]]="N/A",Table1[[#This Row],[DUT Adj Read]]="N/A",Table1[[#This Row],[Std Adj Read]]="N/A"),"N/A",IF(Table1[[#This Row],[DUT Adj Read]]="N/A",IF(Table1[[#This Row],[Std Adj Read]]&gt;=Table1[[#This Row],[Low Tol]],"Pass","Fail"),IF(Table1[[#This Row],[DUT Adj Read]]&gt;=Table1[[#This Row],[Low Tol]],"Pass","Fail")))</f>
        <v>Pass</v>
      </c>
      <c r="AG791" s="1" t="str">
        <f>IF(AND(Table1[[#This Row],[Spec Type2]]="N/A",Table1[[#This Row],[DUT Adj Read]]="N/A",Table1[[#This Row],[Std Adj Read]]="N/A"),"N/A",IF(Table1[[#This Row],[DUT Adj Read]]="N/A",IF(Table1[[#This Row],[Std Adj Read]]&lt;=Table1[[#This Row],[High Tol]],"Pass","Fail"),IF(Table1[[#This Row],[DUT Adj Read]]&lt;=Table1[[#This Row],[High Tol]],"Pass","Fail")))</f>
        <v>Fail</v>
      </c>
      <c r="AH7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1" s="1" t="b">
        <v>0</v>
      </c>
      <c r="AN791" s="1" t="b">
        <v>0</v>
      </c>
      <c r="AO791" s="1" t="b">
        <v>0</v>
      </c>
    </row>
    <row r="792" spans="1:41" x14ac:dyDescent="0.25">
      <c r="A792" s="10"/>
      <c r="B792" s="10"/>
      <c r="C792" s="10"/>
      <c r="D792" s="10"/>
      <c r="E792" s="10"/>
      <c r="F792" s="10"/>
      <c r="G792" s="10"/>
      <c r="H792" s="10"/>
      <c r="I792" s="1" t="str">
        <f t="shared" si="36"/>
        <v/>
      </c>
      <c r="J792" s="1" t="s">
        <v>35</v>
      </c>
      <c r="K792" s="1" t="str">
        <f t="shared" si="37"/>
        <v/>
      </c>
      <c r="L792" s="1" t="str">
        <f t="shared" si="38"/>
        <v/>
      </c>
      <c r="M792" s="1">
        <f>IF(OR(Table1[[#This Row],[Std Nom]]="",Table1[[#This Row],[Std Read]]=""),0,Table1[[#This Row],[Std Nom]]-Table1[[#This Row],[Std Read]])</f>
        <v>0</v>
      </c>
      <c r="N792" s="1">
        <f>IF(Calculations!$F$5="ACCREDITED 17025 WITH UNCERTAINTIES",$N$10,0)</f>
        <v>0</v>
      </c>
      <c r="Q792" s="1">
        <f>Table1[[#This Row],[High Tol]]-Table1[[#This Row],[Low Tol]]</f>
        <v>0</v>
      </c>
      <c r="R792" s="1">
        <f>2*Table1[[#This Row],[Std Error]]</f>
        <v>0</v>
      </c>
      <c r="S792" s="1" t="str">
        <f>IF(Table1[[#This Row],[High Tol]]="","N/A",IFERROR(ABS(Table1[[#This Row],[Tol Span]]/Table1[[#This Row],[Error Span]]),"N/A"))</f>
        <v>N/A</v>
      </c>
      <c r="T792" s="1" t="str">
        <f>IF(OR(Table1[[#This Row],[Low Tol]]="",Table1[[#This Row],[High Tol]]=""),"Needs Analysis",IF(Table1[[#This Row],[Ratio]]&gt;=4,"Not Significant",IF(Table1[[#This Row],[Ratio]]&gt;=2,"Semi-Significant","Significant")))</f>
        <v>Needs Analysis</v>
      </c>
      <c r="W792" s="1">
        <f>IF(Table1[[#This Row],[Cal Type]]&lt;&gt;"ACCREDITED 17025 WITH UNCERTAINTIES",0,"")</f>
        <v>0</v>
      </c>
      <c r="X792" s="1" t="str">
        <f>IF(Table1[[#This Row],[DUT Read]]="","N/A",Table1[[#This Row],[Std Error]]+Table1[[#This Row],[DUT Read]]+Table1[[#This Row],[DUT Ucty]])</f>
        <v>N/A</v>
      </c>
      <c r="Y792" s="1" t="str">
        <f>IF(Table1[[#This Row],[Std Read]]="","N/A",Table1[[#This Row],[Std Read]]+Table1[[#This Row],[Std Ucty]])</f>
        <v>N/A</v>
      </c>
      <c r="Z7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2" s="1" t="str">
        <f>IF(Table1[[#This Row],[Spec Type]]="","N/A",Table1[[#This Row],[Spec Type]])</f>
        <v>±</v>
      </c>
      <c r="AC792" s="1" t="str">
        <f>IF(Table1[[#This Row],[Spec Type2]]="N/A","N/A",IF(AND(Table1[[#This Row],[DUT Adj Read]]&gt;=Table1[[#This Row],[Low Tol]],Table1[[#This Row],[DUT Adj Read]]&lt;=Table1[[#This Row],[High Tol]]),"Pass","Fail"))</f>
        <v>Fail</v>
      </c>
      <c r="AD792" s="1" t="str">
        <f>IF(AND(Table1[[#This Row],[Spec Type2]]="N/A",Table1[[#This Row],[DUT Adj Read]]="N/A",Table1[[#This Row],[Std Adj Read]]="N/A"),"N/A",IF(Table1[[#This Row],[DUT Adj Read]]="N/A",IF(Table1[[#This Row],[Std Adj Read]]&gt;Table1[[#This Row],[Low Tol]],"Pass","Fail"),IF(Table1[[#This Row],[DUT Adj Read]]&gt;Table1[[#This Row],[Low Tol]],"Pass","Fail")))</f>
        <v>Pass</v>
      </c>
      <c r="AE792" s="1" t="str">
        <f>IF(AND(Table1[[#This Row],[Spec Type2]]="N/A",Table1[[#This Row],[DUT Adj Read]]="N/A",Table1[[#This Row],[Std Adj Read]]="N/A"),"N/A",IF(Table1[[#This Row],[DUT Adj Read]]="N/A",IF(Table1[[#This Row],[Std Adj Read]]&lt;Table1[[#This Row],[High Tol]],"Pass","Fail"),IF(Table1[[#This Row],[DUT Adj Read]]&lt;Table1[[#This Row],[High Tol]],"Pass","Fail")))</f>
        <v>Fail</v>
      </c>
      <c r="AF792" s="1" t="str">
        <f>IF(AND(Table1[[#This Row],[Spec Type2]]="N/A",Table1[[#This Row],[DUT Adj Read]]="N/A",Table1[[#This Row],[Std Adj Read]]="N/A"),"N/A",IF(Table1[[#This Row],[DUT Adj Read]]="N/A",IF(Table1[[#This Row],[Std Adj Read]]&gt;=Table1[[#This Row],[Low Tol]],"Pass","Fail"),IF(Table1[[#This Row],[DUT Adj Read]]&gt;=Table1[[#This Row],[Low Tol]],"Pass","Fail")))</f>
        <v>Pass</v>
      </c>
      <c r="AG792" s="1" t="str">
        <f>IF(AND(Table1[[#This Row],[Spec Type2]]="N/A",Table1[[#This Row],[DUT Adj Read]]="N/A",Table1[[#This Row],[Std Adj Read]]="N/A"),"N/A",IF(Table1[[#This Row],[DUT Adj Read]]="N/A",IF(Table1[[#This Row],[Std Adj Read]]&lt;=Table1[[#This Row],[High Tol]],"Pass","Fail"),IF(Table1[[#This Row],[DUT Adj Read]]&lt;=Table1[[#This Row],[High Tol]],"Pass","Fail")))</f>
        <v>Fail</v>
      </c>
      <c r="AH7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2" s="1" t="b">
        <v>0</v>
      </c>
      <c r="AN792" s="1" t="b">
        <v>0</v>
      </c>
      <c r="AO792" s="1" t="b">
        <v>0</v>
      </c>
    </row>
    <row r="793" spans="1:41" x14ac:dyDescent="0.25">
      <c r="A793" s="10"/>
      <c r="B793" s="10"/>
      <c r="C793" s="10"/>
      <c r="D793" s="10"/>
      <c r="E793" s="10"/>
      <c r="F793" s="10"/>
      <c r="G793" s="10"/>
      <c r="H793" s="10"/>
      <c r="I793" s="1" t="str">
        <f t="shared" si="36"/>
        <v/>
      </c>
      <c r="J793" s="1" t="s">
        <v>35</v>
      </c>
      <c r="K793" s="1" t="str">
        <f t="shared" si="37"/>
        <v/>
      </c>
      <c r="L793" s="1" t="str">
        <f t="shared" si="38"/>
        <v/>
      </c>
      <c r="M793" s="1">
        <f>IF(OR(Table1[[#This Row],[Std Nom]]="",Table1[[#This Row],[Std Read]]=""),0,Table1[[#This Row],[Std Nom]]-Table1[[#This Row],[Std Read]])</f>
        <v>0</v>
      </c>
      <c r="N793" s="1">
        <f>IF(Calculations!$F$5="ACCREDITED 17025 WITH UNCERTAINTIES",$N$10,0)</f>
        <v>0</v>
      </c>
      <c r="Q793" s="1">
        <f>Table1[[#This Row],[High Tol]]-Table1[[#This Row],[Low Tol]]</f>
        <v>0</v>
      </c>
      <c r="R793" s="1">
        <f>2*Table1[[#This Row],[Std Error]]</f>
        <v>0</v>
      </c>
      <c r="S793" s="1" t="str">
        <f>IF(Table1[[#This Row],[High Tol]]="","N/A",IFERROR(ABS(Table1[[#This Row],[Tol Span]]/Table1[[#This Row],[Error Span]]),"N/A"))</f>
        <v>N/A</v>
      </c>
      <c r="T793" s="1" t="str">
        <f>IF(OR(Table1[[#This Row],[Low Tol]]="",Table1[[#This Row],[High Tol]]=""),"Needs Analysis",IF(Table1[[#This Row],[Ratio]]&gt;=4,"Not Significant",IF(Table1[[#This Row],[Ratio]]&gt;=2,"Semi-Significant","Significant")))</f>
        <v>Needs Analysis</v>
      </c>
      <c r="W793" s="1">
        <f>IF(Table1[[#This Row],[Cal Type]]&lt;&gt;"ACCREDITED 17025 WITH UNCERTAINTIES",0,"")</f>
        <v>0</v>
      </c>
      <c r="X793" s="1" t="str">
        <f>IF(Table1[[#This Row],[DUT Read]]="","N/A",Table1[[#This Row],[Std Error]]+Table1[[#This Row],[DUT Read]]+Table1[[#This Row],[DUT Ucty]])</f>
        <v>N/A</v>
      </c>
      <c r="Y793" s="1" t="str">
        <f>IF(Table1[[#This Row],[Std Read]]="","N/A",Table1[[#This Row],[Std Read]]+Table1[[#This Row],[Std Ucty]])</f>
        <v>N/A</v>
      </c>
      <c r="Z7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3" s="1" t="str">
        <f>IF(Table1[[#This Row],[Spec Type]]="","N/A",Table1[[#This Row],[Spec Type]])</f>
        <v>±</v>
      </c>
      <c r="AC793" s="1" t="str">
        <f>IF(Table1[[#This Row],[Spec Type2]]="N/A","N/A",IF(AND(Table1[[#This Row],[DUT Adj Read]]&gt;=Table1[[#This Row],[Low Tol]],Table1[[#This Row],[DUT Adj Read]]&lt;=Table1[[#This Row],[High Tol]]),"Pass","Fail"))</f>
        <v>Fail</v>
      </c>
      <c r="AD793" s="1" t="str">
        <f>IF(AND(Table1[[#This Row],[Spec Type2]]="N/A",Table1[[#This Row],[DUT Adj Read]]="N/A",Table1[[#This Row],[Std Adj Read]]="N/A"),"N/A",IF(Table1[[#This Row],[DUT Adj Read]]="N/A",IF(Table1[[#This Row],[Std Adj Read]]&gt;Table1[[#This Row],[Low Tol]],"Pass","Fail"),IF(Table1[[#This Row],[DUT Adj Read]]&gt;Table1[[#This Row],[Low Tol]],"Pass","Fail")))</f>
        <v>Pass</v>
      </c>
      <c r="AE793" s="1" t="str">
        <f>IF(AND(Table1[[#This Row],[Spec Type2]]="N/A",Table1[[#This Row],[DUT Adj Read]]="N/A",Table1[[#This Row],[Std Adj Read]]="N/A"),"N/A",IF(Table1[[#This Row],[DUT Adj Read]]="N/A",IF(Table1[[#This Row],[Std Adj Read]]&lt;Table1[[#This Row],[High Tol]],"Pass","Fail"),IF(Table1[[#This Row],[DUT Adj Read]]&lt;Table1[[#This Row],[High Tol]],"Pass","Fail")))</f>
        <v>Fail</v>
      </c>
      <c r="AF793" s="1" t="str">
        <f>IF(AND(Table1[[#This Row],[Spec Type2]]="N/A",Table1[[#This Row],[DUT Adj Read]]="N/A",Table1[[#This Row],[Std Adj Read]]="N/A"),"N/A",IF(Table1[[#This Row],[DUT Adj Read]]="N/A",IF(Table1[[#This Row],[Std Adj Read]]&gt;=Table1[[#This Row],[Low Tol]],"Pass","Fail"),IF(Table1[[#This Row],[DUT Adj Read]]&gt;=Table1[[#This Row],[Low Tol]],"Pass","Fail")))</f>
        <v>Pass</v>
      </c>
      <c r="AG793" s="1" t="str">
        <f>IF(AND(Table1[[#This Row],[Spec Type2]]="N/A",Table1[[#This Row],[DUT Adj Read]]="N/A",Table1[[#This Row],[Std Adj Read]]="N/A"),"N/A",IF(Table1[[#This Row],[DUT Adj Read]]="N/A",IF(Table1[[#This Row],[Std Adj Read]]&lt;=Table1[[#This Row],[High Tol]],"Pass","Fail"),IF(Table1[[#This Row],[DUT Adj Read]]&lt;=Table1[[#This Row],[High Tol]],"Pass","Fail")))</f>
        <v>Fail</v>
      </c>
      <c r="AH7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3" s="1" t="b">
        <v>0</v>
      </c>
      <c r="AN793" s="1" t="b">
        <v>0</v>
      </c>
      <c r="AO793" s="1" t="b">
        <v>0</v>
      </c>
    </row>
    <row r="794" spans="1:41" x14ac:dyDescent="0.25">
      <c r="A794" s="10"/>
      <c r="B794" s="10"/>
      <c r="C794" s="10"/>
      <c r="D794" s="10"/>
      <c r="E794" s="10"/>
      <c r="F794" s="10"/>
      <c r="G794" s="10"/>
      <c r="H794" s="10"/>
      <c r="I794" s="1" t="str">
        <f t="shared" si="36"/>
        <v/>
      </c>
      <c r="J794" s="1" t="s">
        <v>35</v>
      </c>
      <c r="K794" s="1" t="str">
        <f t="shared" si="37"/>
        <v/>
      </c>
      <c r="L794" s="1" t="str">
        <f t="shared" si="38"/>
        <v/>
      </c>
      <c r="M794" s="1">
        <f>IF(OR(Table1[[#This Row],[Std Nom]]="",Table1[[#This Row],[Std Read]]=""),0,Table1[[#This Row],[Std Nom]]-Table1[[#This Row],[Std Read]])</f>
        <v>0</v>
      </c>
      <c r="N794" s="1">
        <f>IF(Calculations!$F$5="ACCREDITED 17025 WITH UNCERTAINTIES",$N$10,0)</f>
        <v>0</v>
      </c>
      <c r="Q794" s="1">
        <f>Table1[[#This Row],[High Tol]]-Table1[[#This Row],[Low Tol]]</f>
        <v>0</v>
      </c>
      <c r="R794" s="1">
        <f>2*Table1[[#This Row],[Std Error]]</f>
        <v>0</v>
      </c>
      <c r="S794" s="1" t="str">
        <f>IF(Table1[[#This Row],[High Tol]]="","N/A",IFERROR(ABS(Table1[[#This Row],[Tol Span]]/Table1[[#This Row],[Error Span]]),"N/A"))</f>
        <v>N/A</v>
      </c>
      <c r="T794" s="1" t="str">
        <f>IF(OR(Table1[[#This Row],[Low Tol]]="",Table1[[#This Row],[High Tol]]=""),"Needs Analysis",IF(Table1[[#This Row],[Ratio]]&gt;=4,"Not Significant",IF(Table1[[#This Row],[Ratio]]&gt;=2,"Semi-Significant","Significant")))</f>
        <v>Needs Analysis</v>
      </c>
      <c r="W794" s="1">
        <f>IF(Table1[[#This Row],[Cal Type]]&lt;&gt;"ACCREDITED 17025 WITH UNCERTAINTIES",0,"")</f>
        <v>0</v>
      </c>
      <c r="X794" s="1" t="str">
        <f>IF(Table1[[#This Row],[DUT Read]]="","N/A",Table1[[#This Row],[Std Error]]+Table1[[#This Row],[DUT Read]]+Table1[[#This Row],[DUT Ucty]])</f>
        <v>N/A</v>
      </c>
      <c r="Y794" s="1" t="str">
        <f>IF(Table1[[#This Row],[Std Read]]="","N/A",Table1[[#This Row],[Std Read]]+Table1[[#This Row],[Std Ucty]])</f>
        <v>N/A</v>
      </c>
      <c r="Z7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4" s="1" t="str">
        <f>IF(Table1[[#This Row],[Spec Type]]="","N/A",Table1[[#This Row],[Spec Type]])</f>
        <v>±</v>
      </c>
      <c r="AC794" s="1" t="str">
        <f>IF(Table1[[#This Row],[Spec Type2]]="N/A","N/A",IF(AND(Table1[[#This Row],[DUT Adj Read]]&gt;=Table1[[#This Row],[Low Tol]],Table1[[#This Row],[DUT Adj Read]]&lt;=Table1[[#This Row],[High Tol]]),"Pass","Fail"))</f>
        <v>Fail</v>
      </c>
      <c r="AD794" s="1" t="str">
        <f>IF(AND(Table1[[#This Row],[Spec Type2]]="N/A",Table1[[#This Row],[DUT Adj Read]]="N/A",Table1[[#This Row],[Std Adj Read]]="N/A"),"N/A",IF(Table1[[#This Row],[DUT Adj Read]]="N/A",IF(Table1[[#This Row],[Std Adj Read]]&gt;Table1[[#This Row],[Low Tol]],"Pass","Fail"),IF(Table1[[#This Row],[DUT Adj Read]]&gt;Table1[[#This Row],[Low Tol]],"Pass","Fail")))</f>
        <v>Pass</v>
      </c>
      <c r="AE794" s="1" t="str">
        <f>IF(AND(Table1[[#This Row],[Spec Type2]]="N/A",Table1[[#This Row],[DUT Adj Read]]="N/A",Table1[[#This Row],[Std Adj Read]]="N/A"),"N/A",IF(Table1[[#This Row],[DUT Adj Read]]="N/A",IF(Table1[[#This Row],[Std Adj Read]]&lt;Table1[[#This Row],[High Tol]],"Pass","Fail"),IF(Table1[[#This Row],[DUT Adj Read]]&lt;Table1[[#This Row],[High Tol]],"Pass","Fail")))</f>
        <v>Fail</v>
      </c>
      <c r="AF794" s="1" t="str">
        <f>IF(AND(Table1[[#This Row],[Spec Type2]]="N/A",Table1[[#This Row],[DUT Adj Read]]="N/A",Table1[[#This Row],[Std Adj Read]]="N/A"),"N/A",IF(Table1[[#This Row],[DUT Adj Read]]="N/A",IF(Table1[[#This Row],[Std Adj Read]]&gt;=Table1[[#This Row],[Low Tol]],"Pass","Fail"),IF(Table1[[#This Row],[DUT Adj Read]]&gt;=Table1[[#This Row],[Low Tol]],"Pass","Fail")))</f>
        <v>Pass</v>
      </c>
      <c r="AG794" s="1" t="str">
        <f>IF(AND(Table1[[#This Row],[Spec Type2]]="N/A",Table1[[#This Row],[DUT Adj Read]]="N/A",Table1[[#This Row],[Std Adj Read]]="N/A"),"N/A",IF(Table1[[#This Row],[DUT Adj Read]]="N/A",IF(Table1[[#This Row],[Std Adj Read]]&lt;=Table1[[#This Row],[High Tol]],"Pass","Fail"),IF(Table1[[#This Row],[DUT Adj Read]]&lt;=Table1[[#This Row],[High Tol]],"Pass","Fail")))</f>
        <v>Fail</v>
      </c>
      <c r="AH7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4" s="1" t="b">
        <v>0</v>
      </c>
      <c r="AN794" s="1" t="b">
        <v>0</v>
      </c>
      <c r="AO794" s="1" t="b">
        <v>0</v>
      </c>
    </row>
    <row r="795" spans="1:41" x14ac:dyDescent="0.25">
      <c r="A795" s="10"/>
      <c r="B795" s="10"/>
      <c r="C795" s="10"/>
      <c r="D795" s="10"/>
      <c r="E795" s="10"/>
      <c r="F795" s="10"/>
      <c r="G795" s="10"/>
      <c r="H795" s="10"/>
      <c r="I795" s="1" t="str">
        <f t="shared" si="36"/>
        <v/>
      </c>
      <c r="J795" s="1" t="s">
        <v>35</v>
      </c>
      <c r="K795" s="1" t="str">
        <f t="shared" si="37"/>
        <v/>
      </c>
      <c r="L795" s="1" t="str">
        <f t="shared" si="38"/>
        <v/>
      </c>
      <c r="M795" s="1">
        <f>IF(OR(Table1[[#This Row],[Std Nom]]="",Table1[[#This Row],[Std Read]]=""),0,Table1[[#This Row],[Std Nom]]-Table1[[#This Row],[Std Read]])</f>
        <v>0</v>
      </c>
      <c r="N795" s="1">
        <f>IF(Calculations!$F$5="ACCREDITED 17025 WITH UNCERTAINTIES",$N$10,0)</f>
        <v>0</v>
      </c>
      <c r="Q795" s="1">
        <f>Table1[[#This Row],[High Tol]]-Table1[[#This Row],[Low Tol]]</f>
        <v>0</v>
      </c>
      <c r="R795" s="1">
        <f>2*Table1[[#This Row],[Std Error]]</f>
        <v>0</v>
      </c>
      <c r="S795" s="1" t="str">
        <f>IF(Table1[[#This Row],[High Tol]]="","N/A",IFERROR(ABS(Table1[[#This Row],[Tol Span]]/Table1[[#This Row],[Error Span]]),"N/A"))</f>
        <v>N/A</v>
      </c>
      <c r="T795" s="1" t="str">
        <f>IF(OR(Table1[[#This Row],[Low Tol]]="",Table1[[#This Row],[High Tol]]=""),"Needs Analysis",IF(Table1[[#This Row],[Ratio]]&gt;=4,"Not Significant",IF(Table1[[#This Row],[Ratio]]&gt;=2,"Semi-Significant","Significant")))</f>
        <v>Needs Analysis</v>
      </c>
      <c r="W795" s="1">
        <f>IF(Table1[[#This Row],[Cal Type]]&lt;&gt;"ACCREDITED 17025 WITH UNCERTAINTIES",0,"")</f>
        <v>0</v>
      </c>
      <c r="X795" s="1" t="str">
        <f>IF(Table1[[#This Row],[DUT Read]]="","N/A",Table1[[#This Row],[Std Error]]+Table1[[#This Row],[DUT Read]]+Table1[[#This Row],[DUT Ucty]])</f>
        <v>N/A</v>
      </c>
      <c r="Y795" s="1" t="str">
        <f>IF(Table1[[#This Row],[Std Read]]="","N/A",Table1[[#This Row],[Std Read]]+Table1[[#This Row],[Std Ucty]])</f>
        <v>N/A</v>
      </c>
      <c r="Z7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5" s="1" t="str">
        <f>IF(Table1[[#This Row],[Spec Type]]="","N/A",Table1[[#This Row],[Spec Type]])</f>
        <v>±</v>
      </c>
      <c r="AC795" s="1" t="str">
        <f>IF(Table1[[#This Row],[Spec Type2]]="N/A","N/A",IF(AND(Table1[[#This Row],[DUT Adj Read]]&gt;=Table1[[#This Row],[Low Tol]],Table1[[#This Row],[DUT Adj Read]]&lt;=Table1[[#This Row],[High Tol]]),"Pass","Fail"))</f>
        <v>Fail</v>
      </c>
      <c r="AD795" s="1" t="str">
        <f>IF(AND(Table1[[#This Row],[Spec Type2]]="N/A",Table1[[#This Row],[DUT Adj Read]]="N/A",Table1[[#This Row],[Std Adj Read]]="N/A"),"N/A",IF(Table1[[#This Row],[DUT Adj Read]]="N/A",IF(Table1[[#This Row],[Std Adj Read]]&gt;Table1[[#This Row],[Low Tol]],"Pass","Fail"),IF(Table1[[#This Row],[DUT Adj Read]]&gt;Table1[[#This Row],[Low Tol]],"Pass","Fail")))</f>
        <v>Pass</v>
      </c>
      <c r="AE795" s="1" t="str">
        <f>IF(AND(Table1[[#This Row],[Spec Type2]]="N/A",Table1[[#This Row],[DUT Adj Read]]="N/A",Table1[[#This Row],[Std Adj Read]]="N/A"),"N/A",IF(Table1[[#This Row],[DUT Adj Read]]="N/A",IF(Table1[[#This Row],[Std Adj Read]]&lt;Table1[[#This Row],[High Tol]],"Pass","Fail"),IF(Table1[[#This Row],[DUT Adj Read]]&lt;Table1[[#This Row],[High Tol]],"Pass","Fail")))</f>
        <v>Fail</v>
      </c>
      <c r="AF795" s="1" t="str">
        <f>IF(AND(Table1[[#This Row],[Spec Type2]]="N/A",Table1[[#This Row],[DUT Adj Read]]="N/A",Table1[[#This Row],[Std Adj Read]]="N/A"),"N/A",IF(Table1[[#This Row],[DUT Adj Read]]="N/A",IF(Table1[[#This Row],[Std Adj Read]]&gt;=Table1[[#This Row],[Low Tol]],"Pass","Fail"),IF(Table1[[#This Row],[DUT Adj Read]]&gt;=Table1[[#This Row],[Low Tol]],"Pass","Fail")))</f>
        <v>Pass</v>
      </c>
      <c r="AG795" s="1" t="str">
        <f>IF(AND(Table1[[#This Row],[Spec Type2]]="N/A",Table1[[#This Row],[DUT Adj Read]]="N/A",Table1[[#This Row],[Std Adj Read]]="N/A"),"N/A",IF(Table1[[#This Row],[DUT Adj Read]]="N/A",IF(Table1[[#This Row],[Std Adj Read]]&lt;=Table1[[#This Row],[High Tol]],"Pass","Fail"),IF(Table1[[#This Row],[DUT Adj Read]]&lt;=Table1[[#This Row],[High Tol]],"Pass","Fail")))</f>
        <v>Fail</v>
      </c>
      <c r="AH7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5" s="1" t="b">
        <v>0</v>
      </c>
      <c r="AN795" s="1" t="b">
        <v>0</v>
      </c>
      <c r="AO795" s="1" t="b">
        <v>0</v>
      </c>
    </row>
    <row r="796" spans="1:41" x14ac:dyDescent="0.25">
      <c r="A796" s="10"/>
      <c r="B796" s="10"/>
      <c r="C796" s="10"/>
      <c r="D796" s="10"/>
      <c r="E796" s="10"/>
      <c r="F796" s="10"/>
      <c r="G796" s="10"/>
      <c r="H796" s="10"/>
      <c r="I796" s="1" t="str">
        <f t="shared" si="36"/>
        <v/>
      </c>
      <c r="J796" s="1" t="s">
        <v>35</v>
      </c>
      <c r="K796" s="1" t="str">
        <f t="shared" si="37"/>
        <v/>
      </c>
      <c r="L796" s="1" t="str">
        <f t="shared" si="38"/>
        <v/>
      </c>
      <c r="M796" s="1">
        <f>IF(OR(Table1[[#This Row],[Std Nom]]="",Table1[[#This Row],[Std Read]]=""),0,Table1[[#This Row],[Std Nom]]-Table1[[#This Row],[Std Read]])</f>
        <v>0</v>
      </c>
      <c r="N796" s="1">
        <f>IF(Calculations!$F$5="ACCREDITED 17025 WITH UNCERTAINTIES",$N$10,0)</f>
        <v>0</v>
      </c>
      <c r="Q796" s="1">
        <f>Table1[[#This Row],[High Tol]]-Table1[[#This Row],[Low Tol]]</f>
        <v>0</v>
      </c>
      <c r="R796" s="1">
        <f>2*Table1[[#This Row],[Std Error]]</f>
        <v>0</v>
      </c>
      <c r="S796" s="1" t="str">
        <f>IF(Table1[[#This Row],[High Tol]]="","N/A",IFERROR(ABS(Table1[[#This Row],[Tol Span]]/Table1[[#This Row],[Error Span]]),"N/A"))</f>
        <v>N/A</v>
      </c>
      <c r="T796" s="1" t="str">
        <f>IF(OR(Table1[[#This Row],[Low Tol]]="",Table1[[#This Row],[High Tol]]=""),"Needs Analysis",IF(Table1[[#This Row],[Ratio]]&gt;=4,"Not Significant",IF(Table1[[#This Row],[Ratio]]&gt;=2,"Semi-Significant","Significant")))</f>
        <v>Needs Analysis</v>
      </c>
      <c r="W796" s="1">
        <f>IF(Table1[[#This Row],[Cal Type]]&lt;&gt;"ACCREDITED 17025 WITH UNCERTAINTIES",0,"")</f>
        <v>0</v>
      </c>
      <c r="X796" s="1" t="str">
        <f>IF(Table1[[#This Row],[DUT Read]]="","N/A",Table1[[#This Row],[Std Error]]+Table1[[#This Row],[DUT Read]]+Table1[[#This Row],[DUT Ucty]])</f>
        <v>N/A</v>
      </c>
      <c r="Y796" s="1" t="str">
        <f>IF(Table1[[#This Row],[Std Read]]="","N/A",Table1[[#This Row],[Std Read]]+Table1[[#This Row],[Std Ucty]])</f>
        <v>N/A</v>
      </c>
      <c r="Z7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6" s="1" t="str">
        <f>IF(Table1[[#This Row],[Spec Type]]="","N/A",Table1[[#This Row],[Spec Type]])</f>
        <v>±</v>
      </c>
      <c r="AC796" s="1" t="str">
        <f>IF(Table1[[#This Row],[Spec Type2]]="N/A","N/A",IF(AND(Table1[[#This Row],[DUT Adj Read]]&gt;=Table1[[#This Row],[Low Tol]],Table1[[#This Row],[DUT Adj Read]]&lt;=Table1[[#This Row],[High Tol]]),"Pass","Fail"))</f>
        <v>Fail</v>
      </c>
      <c r="AD796" s="1" t="str">
        <f>IF(AND(Table1[[#This Row],[Spec Type2]]="N/A",Table1[[#This Row],[DUT Adj Read]]="N/A",Table1[[#This Row],[Std Adj Read]]="N/A"),"N/A",IF(Table1[[#This Row],[DUT Adj Read]]="N/A",IF(Table1[[#This Row],[Std Adj Read]]&gt;Table1[[#This Row],[Low Tol]],"Pass","Fail"),IF(Table1[[#This Row],[DUT Adj Read]]&gt;Table1[[#This Row],[Low Tol]],"Pass","Fail")))</f>
        <v>Pass</v>
      </c>
      <c r="AE796" s="1" t="str">
        <f>IF(AND(Table1[[#This Row],[Spec Type2]]="N/A",Table1[[#This Row],[DUT Adj Read]]="N/A",Table1[[#This Row],[Std Adj Read]]="N/A"),"N/A",IF(Table1[[#This Row],[DUT Adj Read]]="N/A",IF(Table1[[#This Row],[Std Adj Read]]&lt;Table1[[#This Row],[High Tol]],"Pass","Fail"),IF(Table1[[#This Row],[DUT Adj Read]]&lt;Table1[[#This Row],[High Tol]],"Pass","Fail")))</f>
        <v>Fail</v>
      </c>
      <c r="AF796" s="1" t="str">
        <f>IF(AND(Table1[[#This Row],[Spec Type2]]="N/A",Table1[[#This Row],[DUT Adj Read]]="N/A",Table1[[#This Row],[Std Adj Read]]="N/A"),"N/A",IF(Table1[[#This Row],[DUT Adj Read]]="N/A",IF(Table1[[#This Row],[Std Adj Read]]&gt;=Table1[[#This Row],[Low Tol]],"Pass","Fail"),IF(Table1[[#This Row],[DUT Adj Read]]&gt;=Table1[[#This Row],[Low Tol]],"Pass","Fail")))</f>
        <v>Pass</v>
      </c>
      <c r="AG796" s="1" t="str">
        <f>IF(AND(Table1[[#This Row],[Spec Type2]]="N/A",Table1[[#This Row],[DUT Adj Read]]="N/A",Table1[[#This Row],[Std Adj Read]]="N/A"),"N/A",IF(Table1[[#This Row],[DUT Adj Read]]="N/A",IF(Table1[[#This Row],[Std Adj Read]]&lt;=Table1[[#This Row],[High Tol]],"Pass","Fail"),IF(Table1[[#This Row],[DUT Adj Read]]&lt;=Table1[[#This Row],[High Tol]],"Pass","Fail")))</f>
        <v>Fail</v>
      </c>
      <c r="AH7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6" s="1" t="b">
        <v>0</v>
      </c>
      <c r="AN796" s="1" t="b">
        <v>0</v>
      </c>
      <c r="AO796" s="1" t="b">
        <v>0</v>
      </c>
    </row>
    <row r="797" spans="1:41" x14ac:dyDescent="0.25">
      <c r="A797" s="10"/>
      <c r="B797" s="10"/>
      <c r="C797" s="10"/>
      <c r="D797" s="10"/>
      <c r="E797" s="10"/>
      <c r="F797" s="10"/>
      <c r="G797" s="10"/>
      <c r="H797" s="10"/>
      <c r="I797" s="1" t="str">
        <f t="shared" si="36"/>
        <v/>
      </c>
      <c r="J797" s="1" t="s">
        <v>35</v>
      </c>
      <c r="K797" s="1" t="str">
        <f t="shared" si="37"/>
        <v/>
      </c>
      <c r="L797" s="1" t="str">
        <f t="shared" si="38"/>
        <v/>
      </c>
      <c r="M797" s="1">
        <f>IF(OR(Table1[[#This Row],[Std Nom]]="",Table1[[#This Row],[Std Read]]=""),0,Table1[[#This Row],[Std Nom]]-Table1[[#This Row],[Std Read]])</f>
        <v>0</v>
      </c>
      <c r="N797" s="1">
        <f>IF(Calculations!$F$5="ACCREDITED 17025 WITH UNCERTAINTIES",$N$10,0)</f>
        <v>0</v>
      </c>
      <c r="Q797" s="1">
        <f>Table1[[#This Row],[High Tol]]-Table1[[#This Row],[Low Tol]]</f>
        <v>0</v>
      </c>
      <c r="R797" s="1">
        <f>2*Table1[[#This Row],[Std Error]]</f>
        <v>0</v>
      </c>
      <c r="S797" s="1" t="str">
        <f>IF(Table1[[#This Row],[High Tol]]="","N/A",IFERROR(ABS(Table1[[#This Row],[Tol Span]]/Table1[[#This Row],[Error Span]]),"N/A"))</f>
        <v>N/A</v>
      </c>
      <c r="T797" s="1" t="str">
        <f>IF(OR(Table1[[#This Row],[Low Tol]]="",Table1[[#This Row],[High Tol]]=""),"Needs Analysis",IF(Table1[[#This Row],[Ratio]]&gt;=4,"Not Significant",IF(Table1[[#This Row],[Ratio]]&gt;=2,"Semi-Significant","Significant")))</f>
        <v>Needs Analysis</v>
      </c>
      <c r="W797" s="1">
        <f>IF(Table1[[#This Row],[Cal Type]]&lt;&gt;"ACCREDITED 17025 WITH UNCERTAINTIES",0,"")</f>
        <v>0</v>
      </c>
      <c r="X797" s="1" t="str">
        <f>IF(Table1[[#This Row],[DUT Read]]="","N/A",Table1[[#This Row],[Std Error]]+Table1[[#This Row],[DUT Read]]+Table1[[#This Row],[DUT Ucty]])</f>
        <v>N/A</v>
      </c>
      <c r="Y797" s="1" t="str">
        <f>IF(Table1[[#This Row],[Std Read]]="","N/A",Table1[[#This Row],[Std Read]]+Table1[[#This Row],[Std Ucty]])</f>
        <v>N/A</v>
      </c>
      <c r="Z7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7" s="1" t="str">
        <f>IF(Table1[[#This Row],[Spec Type]]="","N/A",Table1[[#This Row],[Spec Type]])</f>
        <v>±</v>
      </c>
      <c r="AC797" s="1" t="str">
        <f>IF(Table1[[#This Row],[Spec Type2]]="N/A","N/A",IF(AND(Table1[[#This Row],[DUT Adj Read]]&gt;=Table1[[#This Row],[Low Tol]],Table1[[#This Row],[DUT Adj Read]]&lt;=Table1[[#This Row],[High Tol]]),"Pass","Fail"))</f>
        <v>Fail</v>
      </c>
      <c r="AD797" s="1" t="str">
        <f>IF(AND(Table1[[#This Row],[Spec Type2]]="N/A",Table1[[#This Row],[DUT Adj Read]]="N/A",Table1[[#This Row],[Std Adj Read]]="N/A"),"N/A",IF(Table1[[#This Row],[DUT Adj Read]]="N/A",IF(Table1[[#This Row],[Std Adj Read]]&gt;Table1[[#This Row],[Low Tol]],"Pass","Fail"),IF(Table1[[#This Row],[DUT Adj Read]]&gt;Table1[[#This Row],[Low Tol]],"Pass","Fail")))</f>
        <v>Pass</v>
      </c>
      <c r="AE797" s="1" t="str">
        <f>IF(AND(Table1[[#This Row],[Spec Type2]]="N/A",Table1[[#This Row],[DUT Adj Read]]="N/A",Table1[[#This Row],[Std Adj Read]]="N/A"),"N/A",IF(Table1[[#This Row],[DUT Adj Read]]="N/A",IF(Table1[[#This Row],[Std Adj Read]]&lt;Table1[[#This Row],[High Tol]],"Pass","Fail"),IF(Table1[[#This Row],[DUT Adj Read]]&lt;Table1[[#This Row],[High Tol]],"Pass","Fail")))</f>
        <v>Fail</v>
      </c>
      <c r="AF797" s="1" t="str">
        <f>IF(AND(Table1[[#This Row],[Spec Type2]]="N/A",Table1[[#This Row],[DUT Adj Read]]="N/A",Table1[[#This Row],[Std Adj Read]]="N/A"),"N/A",IF(Table1[[#This Row],[DUT Adj Read]]="N/A",IF(Table1[[#This Row],[Std Adj Read]]&gt;=Table1[[#This Row],[Low Tol]],"Pass","Fail"),IF(Table1[[#This Row],[DUT Adj Read]]&gt;=Table1[[#This Row],[Low Tol]],"Pass","Fail")))</f>
        <v>Pass</v>
      </c>
      <c r="AG797" s="1" t="str">
        <f>IF(AND(Table1[[#This Row],[Spec Type2]]="N/A",Table1[[#This Row],[DUT Adj Read]]="N/A",Table1[[#This Row],[Std Adj Read]]="N/A"),"N/A",IF(Table1[[#This Row],[DUT Adj Read]]="N/A",IF(Table1[[#This Row],[Std Adj Read]]&lt;=Table1[[#This Row],[High Tol]],"Pass","Fail"),IF(Table1[[#This Row],[DUT Adj Read]]&lt;=Table1[[#This Row],[High Tol]],"Pass","Fail")))</f>
        <v>Fail</v>
      </c>
      <c r="AH7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7" s="1" t="b">
        <v>0</v>
      </c>
      <c r="AN797" s="1" t="b">
        <v>0</v>
      </c>
      <c r="AO797" s="1" t="b">
        <v>0</v>
      </c>
    </row>
    <row r="798" spans="1:41" x14ac:dyDescent="0.25">
      <c r="A798" s="10"/>
      <c r="B798" s="10"/>
      <c r="C798" s="10"/>
      <c r="D798" s="10"/>
      <c r="E798" s="10"/>
      <c r="F798" s="10"/>
      <c r="G798" s="10"/>
      <c r="H798" s="10"/>
      <c r="I798" s="1" t="str">
        <f t="shared" si="36"/>
        <v/>
      </c>
      <c r="J798" s="1" t="s">
        <v>35</v>
      </c>
      <c r="K798" s="1" t="str">
        <f t="shared" si="37"/>
        <v/>
      </c>
      <c r="L798" s="1" t="str">
        <f t="shared" si="38"/>
        <v/>
      </c>
      <c r="M798" s="1">
        <f>IF(OR(Table1[[#This Row],[Std Nom]]="",Table1[[#This Row],[Std Read]]=""),0,Table1[[#This Row],[Std Nom]]-Table1[[#This Row],[Std Read]])</f>
        <v>0</v>
      </c>
      <c r="N798" s="1">
        <f>IF(Calculations!$F$5="ACCREDITED 17025 WITH UNCERTAINTIES",$N$10,0)</f>
        <v>0</v>
      </c>
      <c r="Q798" s="1">
        <f>Table1[[#This Row],[High Tol]]-Table1[[#This Row],[Low Tol]]</f>
        <v>0</v>
      </c>
      <c r="R798" s="1">
        <f>2*Table1[[#This Row],[Std Error]]</f>
        <v>0</v>
      </c>
      <c r="S798" s="1" t="str">
        <f>IF(Table1[[#This Row],[High Tol]]="","N/A",IFERROR(ABS(Table1[[#This Row],[Tol Span]]/Table1[[#This Row],[Error Span]]),"N/A"))</f>
        <v>N/A</v>
      </c>
      <c r="T798" s="1" t="str">
        <f>IF(OR(Table1[[#This Row],[Low Tol]]="",Table1[[#This Row],[High Tol]]=""),"Needs Analysis",IF(Table1[[#This Row],[Ratio]]&gt;=4,"Not Significant",IF(Table1[[#This Row],[Ratio]]&gt;=2,"Semi-Significant","Significant")))</f>
        <v>Needs Analysis</v>
      </c>
      <c r="W798" s="1">
        <f>IF(Table1[[#This Row],[Cal Type]]&lt;&gt;"ACCREDITED 17025 WITH UNCERTAINTIES",0,"")</f>
        <v>0</v>
      </c>
      <c r="X798" s="1" t="str">
        <f>IF(Table1[[#This Row],[DUT Read]]="","N/A",Table1[[#This Row],[Std Error]]+Table1[[#This Row],[DUT Read]]+Table1[[#This Row],[DUT Ucty]])</f>
        <v>N/A</v>
      </c>
      <c r="Y798" s="1" t="str">
        <f>IF(Table1[[#This Row],[Std Read]]="","N/A",Table1[[#This Row],[Std Read]]+Table1[[#This Row],[Std Ucty]])</f>
        <v>N/A</v>
      </c>
      <c r="Z7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8" s="1" t="str">
        <f>IF(Table1[[#This Row],[Spec Type]]="","N/A",Table1[[#This Row],[Spec Type]])</f>
        <v>±</v>
      </c>
      <c r="AC798" s="1" t="str">
        <f>IF(Table1[[#This Row],[Spec Type2]]="N/A","N/A",IF(AND(Table1[[#This Row],[DUT Adj Read]]&gt;=Table1[[#This Row],[Low Tol]],Table1[[#This Row],[DUT Adj Read]]&lt;=Table1[[#This Row],[High Tol]]),"Pass","Fail"))</f>
        <v>Fail</v>
      </c>
      <c r="AD798" s="1" t="str">
        <f>IF(AND(Table1[[#This Row],[Spec Type2]]="N/A",Table1[[#This Row],[DUT Adj Read]]="N/A",Table1[[#This Row],[Std Adj Read]]="N/A"),"N/A",IF(Table1[[#This Row],[DUT Adj Read]]="N/A",IF(Table1[[#This Row],[Std Adj Read]]&gt;Table1[[#This Row],[Low Tol]],"Pass","Fail"),IF(Table1[[#This Row],[DUT Adj Read]]&gt;Table1[[#This Row],[Low Tol]],"Pass","Fail")))</f>
        <v>Pass</v>
      </c>
      <c r="AE798" s="1" t="str">
        <f>IF(AND(Table1[[#This Row],[Spec Type2]]="N/A",Table1[[#This Row],[DUT Adj Read]]="N/A",Table1[[#This Row],[Std Adj Read]]="N/A"),"N/A",IF(Table1[[#This Row],[DUT Adj Read]]="N/A",IF(Table1[[#This Row],[Std Adj Read]]&lt;Table1[[#This Row],[High Tol]],"Pass","Fail"),IF(Table1[[#This Row],[DUT Adj Read]]&lt;Table1[[#This Row],[High Tol]],"Pass","Fail")))</f>
        <v>Fail</v>
      </c>
      <c r="AF798" s="1" t="str">
        <f>IF(AND(Table1[[#This Row],[Spec Type2]]="N/A",Table1[[#This Row],[DUT Adj Read]]="N/A",Table1[[#This Row],[Std Adj Read]]="N/A"),"N/A",IF(Table1[[#This Row],[DUT Adj Read]]="N/A",IF(Table1[[#This Row],[Std Adj Read]]&gt;=Table1[[#This Row],[Low Tol]],"Pass","Fail"),IF(Table1[[#This Row],[DUT Adj Read]]&gt;=Table1[[#This Row],[Low Tol]],"Pass","Fail")))</f>
        <v>Pass</v>
      </c>
      <c r="AG798" s="1" t="str">
        <f>IF(AND(Table1[[#This Row],[Spec Type2]]="N/A",Table1[[#This Row],[DUT Adj Read]]="N/A",Table1[[#This Row],[Std Adj Read]]="N/A"),"N/A",IF(Table1[[#This Row],[DUT Adj Read]]="N/A",IF(Table1[[#This Row],[Std Adj Read]]&lt;=Table1[[#This Row],[High Tol]],"Pass","Fail"),IF(Table1[[#This Row],[DUT Adj Read]]&lt;=Table1[[#This Row],[High Tol]],"Pass","Fail")))</f>
        <v>Fail</v>
      </c>
      <c r="AH7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8" s="1" t="b">
        <v>0</v>
      </c>
      <c r="AN798" s="1" t="b">
        <v>0</v>
      </c>
      <c r="AO798" s="1" t="b">
        <v>0</v>
      </c>
    </row>
    <row r="799" spans="1:41" x14ac:dyDescent="0.25">
      <c r="A799" s="10"/>
      <c r="B799" s="10"/>
      <c r="C799" s="10"/>
      <c r="D799" s="10"/>
      <c r="E799" s="10"/>
      <c r="F799" s="10"/>
      <c r="G799" s="10"/>
      <c r="H799" s="10"/>
      <c r="I799" s="1" t="str">
        <f t="shared" si="36"/>
        <v/>
      </c>
      <c r="J799" s="1" t="s">
        <v>35</v>
      </c>
      <c r="K799" s="1" t="str">
        <f t="shared" si="37"/>
        <v/>
      </c>
      <c r="L799" s="1" t="str">
        <f t="shared" si="38"/>
        <v/>
      </c>
      <c r="M799" s="1">
        <f>IF(OR(Table1[[#This Row],[Std Nom]]="",Table1[[#This Row],[Std Read]]=""),0,Table1[[#This Row],[Std Nom]]-Table1[[#This Row],[Std Read]])</f>
        <v>0</v>
      </c>
      <c r="N799" s="1">
        <f>IF(Calculations!$F$5="ACCREDITED 17025 WITH UNCERTAINTIES",$N$10,0)</f>
        <v>0</v>
      </c>
      <c r="Q799" s="1">
        <f>Table1[[#This Row],[High Tol]]-Table1[[#This Row],[Low Tol]]</f>
        <v>0</v>
      </c>
      <c r="R799" s="1">
        <f>2*Table1[[#This Row],[Std Error]]</f>
        <v>0</v>
      </c>
      <c r="S799" s="1" t="str">
        <f>IF(Table1[[#This Row],[High Tol]]="","N/A",IFERROR(ABS(Table1[[#This Row],[Tol Span]]/Table1[[#This Row],[Error Span]]),"N/A"))</f>
        <v>N/A</v>
      </c>
      <c r="T799" s="1" t="str">
        <f>IF(OR(Table1[[#This Row],[Low Tol]]="",Table1[[#This Row],[High Tol]]=""),"Needs Analysis",IF(Table1[[#This Row],[Ratio]]&gt;=4,"Not Significant",IF(Table1[[#This Row],[Ratio]]&gt;=2,"Semi-Significant","Significant")))</f>
        <v>Needs Analysis</v>
      </c>
      <c r="W799" s="1">
        <f>IF(Table1[[#This Row],[Cal Type]]&lt;&gt;"ACCREDITED 17025 WITH UNCERTAINTIES",0,"")</f>
        <v>0</v>
      </c>
      <c r="X799" s="1" t="str">
        <f>IF(Table1[[#This Row],[DUT Read]]="","N/A",Table1[[#This Row],[Std Error]]+Table1[[#This Row],[DUT Read]]+Table1[[#This Row],[DUT Ucty]])</f>
        <v>N/A</v>
      </c>
      <c r="Y799" s="1" t="str">
        <f>IF(Table1[[#This Row],[Std Read]]="","N/A",Table1[[#This Row],[Std Read]]+Table1[[#This Row],[Std Ucty]])</f>
        <v>N/A</v>
      </c>
      <c r="Z7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799" s="1" t="str">
        <f>IF(Table1[[#This Row],[Spec Type]]="","N/A",Table1[[#This Row],[Spec Type]])</f>
        <v>±</v>
      </c>
      <c r="AC799" s="1" t="str">
        <f>IF(Table1[[#This Row],[Spec Type2]]="N/A","N/A",IF(AND(Table1[[#This Row],[DUT Adj Read]]&gt;=Table1[[#This Row],[Low Tol]],Table1[[#This Row],[DUT Adj Read]]&lt;=Table1[[#This Row],[High Tol]]),"Pass","Fail"))</f>
        <v>Fail</v>
      </c>
      <c r="AD799" s="1" t="str">
        <f>IF(AND(Table1[[#This Row],[Spec Type2]]="N/A",Table1[[#This Row],[DUT Adj Read]]="N/A",Table1[[#This Row],[Std Adj Read]]="N/A"),"N/A",IF(Table1[[#This Row],[DUT Adj Read]]="N/A",IF(Table1[[#This Row],[Std Adj Read]]&gt;Table1[[#This Row],[Low Tol]],"Pass","Fail"),IF(Table1[[#This Row],[DUT Adj Read]]&gt;Table1[[#This Row],[Low Tol]],"Pass","Fail")))</f>
        <v>Pass</v>
      </c>
      <c r="AE799" s="1" t="str">
        <f>IF(AND(Table1[[#This Row],[Spec Type2]]="N/A",Table1[[#This Row],[DUT Adj Read]]="N/A",Table1[[#This Row],[Std Adj Read]]="N/A"),"N/A",IF(Table1[[#This Row],[DUT Adj Read]]="N/A",IF(Table1[[#This Row],[Std Adj Read]]&lt;Table1[[#This Row],[High Tol]],"Pass","Fail"),IF(Table1[[#This Row],[DUT Adj Read]]&lt;Table1[[#This Row],[High Tol]],"Pass","Fail")))</f>
        <v>Fail</v>
      </c>
      <c r="AF799" s="1" t="str">
        <f>IF(AND(Table1[[#This Row],[Spec Type2]]="N/A",Table1[[#This Row],[DUT Adj Read]]="N/A",Table1[[#This Row],[Std Adj Read]]="N/A"),"N/A",IF(Table1[[#This Row],[DUT Adj Read]]="N/A",IF(Table1[[#This Row],[Std Adj Read]]&gt;=Table1[[#This Row],[Low Tol]],"Pass","Fail"),IF(Table1[[#This Row],[DUT Adj Read]]&gt;=Table1[[#This Row],[Low Tol]],"Pass","Fail")))</f>
        <v>Pass</v>
      </c>
      <c r="AG799" s="1" t="str">
        <f>IF(AND(Table1[[#This Row],[Spec Type2]]="N/A",Table1[[#This Row],[DUT Adj Read]]="N/A",Table1[[#This Row],[Std Adj Read]]="N/A"),"N/A",IF(Table1[[#This Row],[DUT Adj Read]]="N/A",IF(Table1[[#This Row],[Std Adj Read]]&lt;=Table1[[#This Row],[High Tol]],"Pass","Fail"),IF(Table1[[#This Row],[DUT Adj Read]]&lt;=Table1[[#This Row],[High Tol]],"Pass","Fail")))</f>
        <v>Fail</v>
      </c>
      <c r="AH7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799" s="1" t="b">
        <v>0</v>
      </c>
      <c r="AN799" s="1" t="b">
        <v>0</v>
      </c>
      <c r="AO799" s="1" t="b">
        <v>0</v>
      </c>
    </row>
    <row r="800" spans="1:41" x14ac:dyDescent="0.25">
      <c r="A800" s="10"/>
      <c r="B800" s="10"/>
      <c r="C800" s="10"/>
      <c r="D800" s="10"/>
      <c r="E800" s="10"/>
      <c r="F800" s="10"/>
      <c r="G800" s="10"/>
      <c r="H800" s="10"/>
      <c r="I800" s="1" t="str">
        <f t="shared" si="36"/>
        <v/>
      </c>
      <c r="J800" s="1" t="s">
        <v>35</v>
      </c>
      <c r="K800" s="1" t="str">
        <f t="shared" si="37"/>
        <v/>
      </c>
      <c r="L800" s="1" t="str">
        <f t="shared" si="38"/>
        <v/>
      </c>
      <c r="M800" s="1">
        <f>IF(OR(Table1[[#This Row],[Std Nom]]="",Table1[[#This Row],[Std Read]]=""),0,Table1[[#This Row],[Std Nom]]-Table1[[#This Row],[Std Read]])</f>
        <v>0</v>
      </c>
      <c r="N800" s="1">
        <f>IF(Calculations!$F$5="ACCREDITED 17025 WITH UNCERTAINTIES",$N$10,0)</f>
        <v>0</v>
      </c>
      <c r="Q800" s="1">
        <f>Table1[[#This Row],[High Tol]]-Table1[[#This Row],[Low Tol]]</f>
        <v>0</v>
      </c>
      <c r="R800" s="1">
        <f>2*Table1[[#This Row],[Std Error]]</f>
        <v>0</v>
      </c>
      <c r="S800" s="1" t="str">
        <f>IF(Table1[[#This Row],[High Tol]]="","N/A",IFERROR(ABS(Table1[[#This Row],[Tol Span]]/Table1[[#This Row],[Error Span]]),"N/A"))</f>
        <v>N/A</v>
      </c>
      <c r="T800" s="1" t="str">
        <f>IF(OR(Table1[[#This Row],[Low Tol]]="",Table1[[#This Row],[High Tol]]=""),"Needs Analysis",IF(Table1[[#This Row],[Ratio]]&gt;=4,"Not Significant",IF(Table1[[#This Row],[Ratio]]&gt;=2,"Semi-Significant","Significant")))</f>
        <v>Needs Analysis</v>
      </c>
      <c r="W800" s="1">
        <f>IF(Table1[[#This Row],[Cal Type]]&lt;&gt;"ACCREDITED 17025 WITH UNCERTAINTIES",0,"")</f>
        <v>0</v>
      </c>
      <c r="X800" s="1" t="str">
        <f>IF(Table1[[#This Row],[DUT Read]]="","N/A",Table1[[#This Row],[Std Error]]+Table1[[#This Row],[DUT Read]]+Table1[[#This Row],[DUT Ucty]])</f>
        <v>N/A</v>
      </c>
      <c r="Y800" s="1" t="str">
        <f>IF(Table1[[#This Row],[Std Read]]="","N/A",Table1[[#This Row],[Std Read]]+Table1[[#This Row],[Std Ucty]])</f>
        <v>N/A</v>
      </c>
      <c r="Z8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0" s="1" t="str">
        <f>IF(Table1[[#This Row],[Spec Type]]="","N/A",Table1[[#This Row],[Spec Type]])</f>
        <v>±</v>
      </c>
      <c r="AC800" s="1" t="str">
        <f>IF(Table1[[#This Row],[Spec Type2]]="N/A","N/A",IF(AND(Table1[[#This Row],[DUT Adj Read]]&gt;=Table1[[#This Row],[Low Tol]],Table1[[#This Row],[DUT Adj Read]]&lt;=Table1[[#This Row],[High Tol]]),"Pass","Fail"))</f>
        <v>Fail</v>
      </c>
      <c r="AD800" s="1" t="str">
        <f>IF(AND(Table1[[#This Row],[Spec Type2]]="N/A",Table1[[#This Row],[DUT Adj Read]]="N/A",Table1[[#This Row],[Std Adj Read]]="N/A"),"N/A",IF(Table1[[#This Row],[DUT Adj Read]]="N/A",IF(Table1[[#This Row],[Std Adj Read]]&gt;Table1[[#This Row],[Low Tol]],"Pass","Fail"),IF(Table1[[#This Row],[DUT Adj Read]]&gt;Table1[[#This Row],[Low Tol]],"Pass","Fail")))</f>
        <v>Pass</v>
      </c>
      <c r="AE800" s="1" t="str">
        <f>IF(AND(Table1[[#This Row],[Spec Type2]]="N/A",Table1[[#This Row],[DUT Adj Read]]="N/A",Table1[[#This Row],[Std Adj Read]]="N/A"),"N/A",IF(Table1[[#This Row],[DUT Adj Read]]="N/A",IF(Table1[[#This Row],[Std Adj Read]]&lt;Table1[[#This Row],[High Tol]],"Pass","Fail"),IF(Table1[[#This Row],[DUT Adj Read]]&lt;Table1[[#This Row],[High Tol]],"Pass","Fail")))</f>
        <v>Fail</v>
      </c>
      <c r="AF800" s="1" t="str">
        <f>IF(AND(Table1[[#This Row],[Spec Type2]]="N/A",Table1[[#This Row],[DUT Adj Read]]="N/A",Table1[[#This Row],[Std Adj Read]]="N/A"),"N/A",IF(Table1[[#This Row],[DUT Adj Read]]="N/A",IF(Table1[[#This Row],[Std Adj Read]]&gt;=Table1[[#This Row],[Low Tol]],"Pass","Fail"),IF(Table1[[#This Row],[DUT Adj Read]]&gt;=Table1[[#This Row],[Low Tol]],"Pass","Fail")))</f>
        <v>Pass</v>
      </c>
      <c r="AG800" s="1" t="str">
        <f>IF(AND(Table1[[#This Row],[Spec Type2]]="N/A",Table1[[#This Row],[DUT Adj Read]]="N/A",Table1[[#This Row],[Std Adj Read]]="N/A"),"N/A",IF(Table1[[#This Row],[DUT Adj Read]]="N/A",IF(Table1[[#This Row],[Std Adj Read]]&lt;=Table1[[#This Row],[High Tol]],"Pass","Fail"),IF(Table1[[#This Row],[DUT Adj Read]]&lt;=Table1[[#This Row],[High Tol]],"Pass","Fail")))</f>
        <v>Fail</v>
      </c>
      <c r="AH8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0" s="1" t="b">
        <v>0</v>
      </c>
      <c r="AN800" s="1" t="b">
        <v>0</v>
      </c>
      <c r="AO800" s="1" t="b">
        <v>0</v>
      </c>
    </row>
    <row r="801" spans="1:41" x14ac:dyDescent="0.25">
      <c r="A801" s="10"/>
      <c r="B801" s="10"/>
      <c r="C801" s="10"/>
      <c r="D801" s="10"/>
      <c r="E801" s="10"/>
      <c r="F801" s="10"/>
      <c r="G801" s="10"/>
      <c r="H801" s="10"/>
      <c r="I801" s="1" t="str">
        <f t="shared" si="36"/>
        <v/>
      </c>
      <c r="J801" s="1" t="s">
        <v>35</v>
      </c>
      <c r="K801" s="1" t="str">
        <f t="shared" si="37"/>
        <v/>
      </c>
      <c r="L801" s="1" t="str">
        <f t="shared" si="38"/>
        <v/>
      </c>
      <c r="M801" s="1">
        <f>IF(OR(Table1[[#This Row],[Std Nom]]="",Table1[[#This Row],[Std Read]]=""),0,Table1[[#This Row],[Std Nom]]-Table1[[#This Row],[Std Read]])</f>
        <v>0</v>
      </c>
      <c r="N801" s="1">
        <f>IF(Calculations!$F$5="ACCREDITED 17025 WITH UNCERTAINTIES",$N$10,0)</f>
        <v>0</v>
      </c>
      <c r="Q801" s="1">
        <f>Table1[[#This Row],[High Tol]]-Table1[[#This Row],[Low Tol]]</f>
        <v>0</v>
      </c>
      <c r="R801" s="1">
        <f>2*Table1[[#This Row],[Std Error]]</f>
        <v>0</v>
      </c>
      <c r="S801" s="1" t="str">
        <f>IF(Table1[[#This Row],[High Tol]]="","N/A",IFERROR(ABS(Table1[[#This Row],[Tol Span]]/Table1[[#This Row],[Error Span]]),"N/A"))</f>
        <v>N/A</v>
      </c>
      <c r="T801" s="1" t="str">
        <f>IF(OR(Table1[[#This Row],[Low Tol]]="",Table1[[#This Row],[High Tol]]=""),"Needs Analysis",IF(Table1[[#This Row],[Ratio]]&gt;=4,"Not Significant",IF(Table1[[#This Row],[Ratio]]&gt;=2,"Semi-Significant","Significant")))</f>
        <v>Needs Analysis</v>
      </c>
      <c r="W801" s="1">
        <f>IF(Table1[[#This Row],[Cal Type]]&lt;&gt;"ACCREDITED 17025 WITH UNCERTAINTIES",0,"")</f>
        <v>0</v>
      </c>
      <c r="X801" s="1" t="str">
        <f>IF(Table1[[#This Row],[DUT Read]]="","N/A",Table1[[#This Row],[Std Error]]+Table1[[#This Row],[DUT Read]]+Table1[[#This Row],[DUT Ucty]])</f>
        <v>N/A</v>
      </c>
      <c r="Y801" s="1" t="str">
        <f>IF(Table1[[#This Row],[Std Read]]="","N/A",Table1[[#This Row],[Std Read]]+Table1[[#This Row],[Std Ucty]])</f>
        <v>N/A</v>
      </c>
      <c r="Z8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1" s="1" t="str">
        <f>IF(Table1[[#This Row],[Spec Type]]="","N/A",Table1[[#This Row],[Spec Type]])</f>
        <v>±</v>
      </c>
      <c r="AC801" s="1" t="str">
        <f>IF(Table1[[#This Row],[Spec Type2]]="N/A","N/A",IF(AND(Table1[[#This Row],[DUT Adj Read]]&gt;=Table1[[#This Row],[Low Tol]],Table1[[#This Row],[DUT Adj Read]]&lt;=Table1[[#This Row],[High Tol]]),"Pass","Fail"))</f>
        <v>Fail</v>
      </c>
      <c r="AD801" s="1" t="str">
        <f>IF(AND(Table1[[#This Row],[Spec Type2]]="N/A",Table1[[#This Row],[DUT Adj Read]]="N/A",Table1[[#This Row],[Std Adj Read]]="N/A"),"N/A",IF(Table1[[#This Row],[DUT Adj Read]]="N/A",IF(Table1[[#This Row],[Std Adj Read]]&gt;Table1[[#This Row],[Low Tol]],"Pass","Fail"),IF(Table1[[#This Row],[DUT Adj Read]]&gt;Table1[[#This Row],[Low Tol]],"Pass","Fail")))</f>
        <v>Pass</v>
      </c>
      <c r="AE801" s="1" t="str">
        <f>IF(AND(Table1[[#This Row],[Spec Type2]]="N/A",Table1[[#This Row],[DUT Adj Read]]="N/A",Table1[[#This Row],[Std Adj Read]]="N/A"),"N/A",IF(Table1[[#This Row],[DUT Adj Read]]="N/A",IF(Table1[[#This Row],[Std Adj Read]]&lt;Table1[[#This Row],[High Tol]],"Pass","Fail"),IF(Table1[[#This Row],[DUT Adj Read]]&lt;Table1[[#This Row],[High Tol]],"Pass","Fail")))</f>
        <v>Fail</v>
      </c>
      <c r="AF801" s="1" t="str">
        <f>IF(AND(Table1[[#This Row],[Spec Type2]]="N/A",Table1[[#This Row],[DUT Adj Read]]="N/A",Table1[[#This Row],[Std Adj Read]]="N/A"),"N/A",IF(Table1[[#This Row],[DUT Adj Read]]="N/A",IF(Table1[[#This Row],[Std Adj Read]]&gt;=Table1[[#This Row],[Low Tol]],"Pass","Fail"),IF(Table1[[#This Row],[DUT Adj Read]]&gt;=Table1[[#This Row],[Low Tol]],"Pass","Fail")))</f>
        <v>Pass</v>
      </c>
      <c r="AG801" s="1" t="str">
        <f>IF(AND(Table1[[#This Row],[Spec Type2]]="N/A",Table1[[#This Row],[DUT Adj Read]]="N/A",Table1[[#This Row],[Std Adj Read]]="N/A"),"N/A",IF(Table1[[#This Row],[DUT Adj Read]]="N/A",IF(Table1[[#This Row],[Std Adj Read]]&lt;=Table1[[#This Row],[High Tol]],"Pass","Fail"),IF(Table1[[#This Row],[DUT Adj Read]]&lt;=Table1[[#This Row],[High Tol]],"Pass","Fail")))</f>
        <v>Fail</v>
      </c>
      <c r="AH8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1" s="1" t="b">
        <v>0</v>
      </c>
      <c r="AN801" s="1" t="b">
        <v>0</v>
      </c>
      <c r="AO801" s="1" t="b">
        <v>0</v>
      </c>
    </row>
    <row r="802" spans="1:41" x14ac:dyDescent="0.25">
      <c r="A802" s="10"/>
      <c r="B802" s="10"/>
      <c r="C802" s="10"/>
      <c r="D802" s="10"/>
      <c r="E802" s="10"/>
      <c r="F802" s="10"/>
      <c r="G802" s="10"/>
      <c r="H802" s="10"/>
      <c r="I802" s="1" t="str">
        <f t="shared" si="36"/>
        <v/>
      </c>
      <c r="J802" s="1" t="s">
        <v>35</v>
      </c>
      <c r="K802" s="1" t="str">
        <f t="shared" si="37"/>
        <v/>
      </c>
      <c r="L802" s="1" t="str">
        <f t="shared" si="38"/>
        <v/>
      </c>
      <c r="M802" s="1">
        <f>IF(OR(Table1[[#This Row],[Std Nom]]="",Table1[[#This Row],[Std Read]]=""),0,Table1[[#This Row],[Std Nom]]-Table1[[#This Row],[Std Read]])</f>
        <v>0</v>
      </c>
      <c r="N802" s="1">
        <f>IF(Calculations!$F$5="ACCREDITED 17025 WITH UNCERTAINTIES",$N$10,0)</f>
        <v>0</v>
      </c>
      <c r="Q802" s="1">
        <f>Table1[[#This Row],[High Tol]]-Table1[[#This Row],[Low Tol]]</f>
        <v>0</v>
      </c>
      <c r="R802" s="1">
        <f>2*Table1[[#This Row],[Std Error]]</f>
        <v>0</v>
      </c>
      <c r="S802" s="1" t="str">
        <f>IF(Table1[[#This Row],[High Tol]]="","N/A",IFERROR(ABS(Table1[[#This Row],[Tol Span]]/Table1[[#This Row],[Error Span]]),"N/A"))</f>
        <v>N/A</v>
      </c>
      <c r="T802" s="1" t="str">
        <f>IF(OR(Table1[[#This Row],[Low Tol]]="",Table1[[#This Row],[High Tol]]=""),"Needs Analysis",IF(Table1[[#This Row],[Ratio]]&gt;=4,"Not Significant",IF(Table1[[#This Row],[Ratio]]&gt;=2,"Semi-Significant","Significant")))</f>
        <v>Needs Analysis</v>
      </c>
      <c r="W802" s="1">
        <f>IF(Table1[[#This Row],[Cal Type]]&lt;&gt;"ACCREDITED 17025 WITH UNCERTAINTIES",0,"")</f>
        <v>0</v>
      </c>
      <c r="X802" s="1" t="str">
        <f>IF(Table1[[#This Row],[DUT Read]]="","N/A",Table1[[#This Row],[Std Error]]+Table1[[#This Row],[DUT Read]]+Table1[[#This Row],[DUT Ucty]])</f>
        <v>N/A</v>
      </c>
      <c r="Y802" s="1" t="str">
        <f>IF(Table1[[#This Row],[Std Read]]="","N/A",Table1[[#This Row],[Std Read]]+Table1[[#This Row],[Std Ucty]])</f>
        <v>N/A</v>
      </c>
      <c r="Z8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2" s="1" t="str">
        <f>IF(Table1[[#This Row],[Spec Type]]="","N/A",Table1[[#This Row],[Spec Type]])</f>
        <v>±</v>
      </c>
      <c r="AC802" s="1" t="str">
        <f>IF(Table1[[#This Row],[Spec Type2]]="N/A","N/A",IF(AND(Table1[[#This Row],[DUT Adj Read]]&gt;=Table1[[#This Row],[Low Tol]],Table1[[#This Row],[DUT Adj Read]]&lt;=Table1[[#This Row],[High Tol]]),"Pass","Fail"))</f>
        <v>Fail</v>
      </c>
      <c r="AD802" s="1" t="str">
        <f>IF(AND(Table1[[#This Row],[Spec Type2]]="N/A",Table1[[#This Row],[DUT Adj Read]]="N/A",Table1[[#This Row],[Std Adj Read]]="N/A"),"N/A",IF(Table1[[#This Row],[DUT Adj Read]]="N/A",IF(Table1[[#This Row],[Std Adj Read]]&gt;Table1[[#This Row],[Low Tol]],"Pass","Fail"),IF(Table1[[#This Row],[DUT Adj Read]]&gt;Table1[[#This Row],[Low Tol]],"Pass","Fail")))</f>
        <v>Pass</v>
      </c>
      <c r="AE802" s="1" t="str">
        <f>IF(AND(Table1[[#This Row],[Spec Type2]]="N/A",Table1[[#This Row],[DUT Adj Read]]="N/A",Table1[[#This Row],[Std Adj Read]]="N/A"),"N/A",IF(Table1[[#This Row],[DUT Adj Read]]="N/A",IF(Table1[[#This Row],[Std Adj Read]]&lt;Table1[[#This Row],[High Tol]],"Pass","Fail"),IF(Table1[[#This Row],[DUT Adj Read]]&lt;Table1[[#This Row],[High Tol]],"Pass","Fail")))</f>
        <v>Fail</v>
      </c>
      <c r="AF802" s="1" t="str">
        <f>IF(AND(Table1[[#This Row],[Spec Type2]]="N/A",Table1[[#This Row],[DUT Adj Read]]="N/A",Table1[[#This Row],[Std Adj Read]]="N/A"),"N/A",IF(Table1[[#This Row],[DUT Adj Read]]="N/A",IF(Table1[[#This Row],[Std Adj Read]]&gt;=Table1[[#This Row],[Low Tol]],"Pass","Fail"),IF(Table1[[#This Row],[DUT Adj Read]]&gt;=Table1[[#This Row],[Low Tol]],"Pass","Fail")))</f>
        <v>Pass</v>
      </c>
      <c r="AG802" s="1" t="str">
        <f>IF(AND(Table1[[#This Row],[Spec Type2]]="N/A",Table1[[#This Row],[DUT Adj Read]]="N/A",Table1[[#This Row],[Std Adj Read]]="N/A"),"N/A",IF(Table1[[#This Row],[DUT Adj Read]]="N/A",IF(Table1[[#This Row],[Std Adj Read]]&lt;=Table1[[#This Row],[High Tol]],"Pass","Fail"),IF(Table1[[#This Row],[DUT Adj Read]]&lt;=Table1[[#This Row],[High Tol]],"Pass","Fail")))</f>
        <v>Fail</v>
      </c>
      <c r="AH8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2" s="1" t="b">
        <v>0</v>
      </c>
      <c r="AN802" s="1" t="b">
        <v>0</v>
      </c>
      <c r="AO802" s="1" t="b">
        <v>0</v>
      </c>
    </row>
    <row r="803" spans="1:41" x14ac:dyDescent="0.25">
      <c r="A803" s="10"/>
      <c r="B803" s="10"/>
      <c r="C803" s="10"/>
      <c r="D803" s="10"/>
      <c r="E803" s="10"/>
      <c r="F803" s="10"/>
      <c r="G803" s="10"/>
      <c r="H803" s="10"/>
      <c r="I803" s="1" t="str">
        <f t="shared" si="36"/>
        <v/>
      </c>
      <c r="J803" s="1" t="s">
        <v>35</v>
      </c>
      <c r="K803" s="1" t="str">
        <f t="shared" si="37"/>
        <v/>
      </c>
      <c r="L803" s="1" t="str">
        <f t="shared" si="38"/>
        <v/>
      </c>
      <c r="M803" s="1">
        <f>IF(OR(Table1[[#This Row],[Std Nom]]="",Table1[[#This Row],[Std Read]]=""),0,Table1[[#This Row],[Std Nom]]-Table1[[#This Row],[Std Read]])</f>
        <v>0</v>
      </c>
      <c r="N803" s="1">
        <f>IF(Calculations!$F$5="ACCREDITED 17025 WITH UNCERTAINTIES",$N$10,0)</f>
        <v>0</v>
      </c>
      <c r="Q803" s="1">
        <f>Table1[[#This Row],[High Tol]]-Table1[[#This Row],[Low Tol]]</f>
        <v>0</v>
      </c>
      <c r="R803" s="1">
        <f>2*Table1[[#This Row],[Std Error]]</f>
        <v>0</v>
      </c>
      <c r="S803" s="1" t="str">
        <f>IF(Table1[[#This Row],[High Tol]]="","N/A",IFERROR(ABS(Table1[[#This Row],[Tol Span]]/Table1[[#This Row],[Error Span]]),"N/A"))</f>
        <v>N/A</v>
      </c>
      <c r="T803" s="1" t="str">
        <f>IF(OR(Table1[[#This Row],[Low Tol]]="",Table1[[#This Row],[High Tol]]=""),"Needs Analysis",IF(Table1[[#This Row],[Ratio]]&gt;=4,"Not Significant",IF(Table1[[#This Row],[Ratio]]&gt;=2,"Semi-Significant","Significant")))</f>
        <v>Needs Analysis</v>
      </c>
      <c r="W803" s="1">
        <f>IF(Table1[[#This Row],[Cal Type]]&lt;&gt;"ACCREDITED 17025 WITH UNCERTAINTIES",0,"")</f>
        <v>0</v>
      </c>
      <c r="X803" s="1" t="str">
        <f>IF(Table1[[#This Row],[DUT Read]]="","N/A",Table1[[#This Row],[Std Error]]+Table1[[#This Row],[DUT Read]]+Table1[[#This Row],[DUT Ucty]])</f>
        <v>N/A</v>
      </c>
      <c r="Y803" s="1" t="str">
        <f>IF(Table1[[#This Row],[Std Read]]="","N/A",Table1[[#This Row],[Std Read]]+Table1[[#This Row],[Std Ucty]])</f>
        <v>N/A</v>
      </c>
      <c r="Z8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3" s="1" t="str">
        <f>IF(Table1[[#This Row],[Spec Type]]="","N/A",Table1[[#This Row],[Spec Type]])</f>
        <v>±</v>
      </c>
      <c r="AC803" s="1" t="str">
        <f>IF(Table1[[#This Row],[Spec Type2]]="N/A","N/A",IF(AND(Table1[[#This Row],[DUT Adj Read]]&gt;=Table1[[#This Row],[Low Tol]],Table1[[#This Row],[DUT Adj Read]]&lt;=Table1[[#This Row],[High Tol]]),"Pass","Fail"))</f>
        <v>Fail</v>
      </c>
      <c r="AD803" s="1" t="str">
        <f>IF(AND(Table1[[#This Row],[Spec Type2]]="N/A",Table1[[#This Row],[DUT Adj Read]]="N/A",Table1[[#This Row],[Std Adj Read]]="N/A"),"N/A",IF(Table1[[#This Row],[DUT Adj Read]]="N/A",IF(Table1[[#This Row],[Std Adj Read]]&gt;Table1[[#This Row],[Low Tol]],"Pass","Fail"),IF(Table1[[#This Row],[DUT Adj Read]]&gt;Table1[[#This Row],[Low Tol]],"Pass","Fail")))</f>
        <v>Pass</v>
      </c>
      <c r="AE803" s="1" t="str">
        <f>IF(AND(Table1[[#This Row],[Spec Type2]]="N/A",Table1[[#This Row],[DUT Adj Read]]="N/A",Table1[[#This Row],[Std Adj Read]]="N/A"),"N/A",IF(Table1[[#This Row],[DUT Adj Read]]="N/A",IF(Table1[[#This Row],[Std Adj Read]]&lt;Table1[[#This Row],[High Tol]],"Pass","Fail"),IF(Table1[[#This Row],[DUT Adj Read]]&lt;Table1[[#This Row],[High Tol]],"Pass","Fail")))</f>
        <v>Fail</v>
      </c>
      <c r="AF803" s="1" t="str">
        <f>IF(AND(Table1[[#This Row],[Spec Type2]]="N/A",Table1[[#This Row],[DUT Adj Read]]="N/A",Table1[[#This Row],[Std Adj Read]]="N/A"),"N/A",IF(Table1[[#This Row],[DUT Adj Read]]="N/A",IF(Table1[[#This Row],[Std Adj Read]]&gt;=Table1[[#This Row],[Low Tol]],"Pass","Fail"),IF(Table1[[#This Row],[DUT Adj Read]]&gt;=Table1[[#This Row],[Low Tol]],"Pass","Fail")))</f>
        <v>Pass</v>
      </c>
      <c r="AG803" s="1" t="str">
        <f>IF(AND(Table1[[#This Row],[Spec Type2]]="N/A",Table1[[#This Row],[DUT Adj Read]]="N/A",Table1[[#This Row],[Std Adj Read]]="N/A"),"N/A",IF(Table1[[#This Row],[DUT Adj Read]]="N/A",IF(Table1[[#This Row],[Std Adj Read]]&lt;=Table1[[#This Row],[High Tol]],"Pass","Fail"),IF(Table1[[#This Row],[DUT Adj Read]]&lt;=Table1[[#This Row],[High Tol]],"Pass","Fail")))</f>
        <v>Fail</v>
      </c>
      <c r="AH8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3" s="1" t="b">
        <v>0</v>
      </c>
      <c r="AN803" s="1" t="b">
        <v>0</v>
      </c>
      <c r="AO803" s="1" t="b">
        <v>0</v>
      </c>
    </row>
    <row r="804" spans="1:41" x14ac:dyDescent="0.25">
      <c r="A804" s="10"/>
      <c r="B804" s="10"/>
      <c r="C804" s="10"/>
      <c r="D804" s="10"/>
      <c r="E804" s="10"/>
      <c r="F804" s="10"/>
      <c r="G804" s="10"/>
      <c r="H804" s="10"/>
      <c r="I804" s="1" t="str">
        <f t="shared" si="36"/>
        <v/>
      </c>
      <c r="J804" s="1" t="s">
        <v>35</v>
      </c>
      <c r="K804" s="1" t="str">
        <f t="shared" si="37"/>
        <v/>
      </c>
      <c r="L804" s="1" t="str">
        <f t="shared" si="38"/>
        <v/>
      </c>
      <c r="M804" s="1">
        <f>IF(OR(Table1[[#This Row],[Std Nom]]="",Table1[[#This Row],[Std Read]]=""),0,Table1[[#This Row],[Std Nom]]-Table1[[#This Row],[Std Read]])</f>
        <v>0</v>
      </c>
      <c r="N804" s="1">
        <f>IF(Calculations!$F$5="ACCREDITED 17025 WITH UNCERTAINTIES",$N$10,0)</f>
        <v>0</v>
      </c>
      <c r="Q804" s="1">
        <f>Table1[[#This Row],[High Tol]]-Table1[[#This Row],[Low Tol]]</f>
        <v>0</v>
      </c>
      <c r="R804" s="1">
        <f>2*Table1[[#This Row],[Std Error]]</f>
        <v>0</v>
      </c>
      <c r="S804" s="1" t="str">
        <f>IF(Table1[[#This Row],[High Tol]]="","N/A",IFERROR(ABS(Table1[[#This Row],[Tol Span]]/Table1[[#This Row],[Error Span]]),"N/A"))</f>
        <v>N/A</v>
      </c>
      <c r="T804" s="1" t="str">
        <f>IF(OR(Table1[[#This Row],[Low Tol]]="",Table1[[#This Row],[High Tol]]=""),"Needs Analysis",IF(Table1[[#This Row],[Ratio]]&gt;=4,"Not Significant",IF(Table1[[#This Row],[Ratio]]&gt;=2,"Semi-Significant","Significant")))</f>
        <v>Needs Analysis</v>
      </c>
      <c r="W804" s="1">
        <f>IF(Table1[[#This Row],[Cal Type]]&lt;&gt;"ACCREDITED 17025 WITH UNCERTAINTIES",0,"")</f>
        <v>0</v>
      </c>
      <c r="X804" s="1" t="str">
        <f>IF(Table1[[#This Row],[DUT Read]]="","N/A",Table1[[#This Row],[Std Error]]+Table1[[#This Row],[DUT Read]]+Table1[[#This Row],[DUT Ucty]])</f>
        <v>N/A</v>
      </c>
      <c r="Y804" s="1" t="str">
        <f>IF(Table1[[#This Row],[Std Read]]="","N/A",Table1[[#This Row],[Std Read]]+Table1[[#This Row],[Std Ucty]])</f>
        <v>N/A</v>
      </c>
      <c r="Z8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4" s="1" t="str">
        <f>IF(Table1[[#This Row],[Spec Type]]="","N/A",Table1[[#This Row],[Spec Type]])</f>
        <v>±</v>
      </c>
      <c r="AC804" s="1" t="str">
        <f>IF(Table1[[#This Row],[Spec Type2]]="N/A","N/A",IF(AND(Table1[[#This Row],[DUT Adj Read]]&gt;=Table1[[#This Row],[Low Tol]],Table1[[#This Row],[DUT Adj Read]]&lt;=Table1[[#This Row],[High Tol]]),"Pass","Fail"))</f>
        <v>Fail</v>
      </c>
      <c r="AD804" s="1" t="str">
        <f>IF(AND(Table1[[#This Row],[Spec Type2]]="N/A",Table1[[#This Row],[DUT Adj Read]]="N/A",Table1[[#This Row],[Std Adj Read]]="N/A"),"N/A",IF(Table1[[#This Row],[DUT Adj Read]]="N/A",IF(Table1[[#This Row],[Std Adj Read]]&gt;Table1[[#This Row],[Low Tol]],"Pass","Fail"),IF(Table1[[#This Row],[DUT Adj Read]]&gt;Table1[[#This Row],[Low Tol]],"Pass","Fail")))</f>
        <v>Pass</v>
      </c>
      <c r="AE804" s="1" t="str">
        <f>IF(AND(Table1[[#This Row],[Spec Type2]]="N/A",Table1[[#This Row],[DUT Adj Read]]="N/A",Table1[[#This Row],[Std Adj Read]]="N/A"),"N/A",IF(Table1[[#This Row],[DUT Adj Read]]="N/A",IF(Table1[[#This Row],[Std Adj Read]]&lt;Table1[[#This Row],[High Tol]],"Pass","Fail"),IF(Table1[[#This Row],[DUT Adj Read]]&lt;Table1[[#This Row],[High Tol]],"Pass","Fail")))</f>
        <v>Fail</v>
      </c>
      <c r="AF804" s="1" t="str">
        <f>IF(AND(Table1[[#This Row],[Spec Type2]]="N/A",Table1[[#This Row],[DUT Adj Read]]="N/A",Table1[[#This Row],[Std Adj Read]]="N/A"),"N/A",IF(Table1[[#This Row],[DUT Adj Read]]="N/A",IF(Table1[[#This Row],[Std Adj Read]]&gt;=Table1[[#This Row],[Low Tol]],"Pass","Fail"),IF(Table1[[#This Row],[DUT Adj Read]]&gt;=Table1[[#This Row],[Low Tol]],"Pass","Fail")))</f>
        <v>Pass</v>
      </c>
      <c r="AG804" s="1" t="str">
        <f>IF(AND(Table1[[#This Row],[Spec Type2]]="N/A",Table1[[#This Row],[DUT Adj Read]]="N/A",Table1[[#This Row],[Std Adj Read]]="N/A"),"N/A",IF(Table1[[#This Row],[DUT Adj Read]]="N/A",IF(Table1[[#This Row],[Std Adj Read]]&lt;=Table1[[#This Row],[High Tol]],"Pass","Fail"),IF(Table1[[#This Row],[DUT Adj Read]]&lt;=Table1[[#This Row],[High Tol]],"Pass","Fail")))</f>
        <v>Fail</v>
      </c>
      <c r="AH8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4" s="1" t="b">
        <v>0</v>
      </c>
      <c r="AN804" s="1" t="b">
        <v>0</v>
      </c>
      <c r="AO804" s="1" t="b">
        <v>0</v>
      </c>
    </row>
    <row r="805" spans="1:41" x14ac:dyDescent="0.25">
      <c r="A805" s="10"/>
      <c r="B805" s="10"/>
      <c r="C805" s="10"/>
      <c r="D805" s="10"/>
      <c r="E805" s="10"/>
      <c r="F805" s="10"/>
      <c r="G805" s="10"/>
      <c r="H805" s="10"/>
      <c r="I805" s="1" t="str">
        <f t="shared" si="36"/>
        <v/>
      </c>
      <c r="J805" s="1" t="s">
        <v>35</v>
      </c>
      <c r="K805" s="1" t="str">
        <f t="shared" si="37"/>
        <v/>
      </c>
      <c r="L805" s="1" t="str">
        <f t="shared" si="38"/>
        <v/>
      </c>
      <c r="M805" s="1">
        <f>IF(OR(Table1[[#This Row],[Std Nom]]="",Table1[[#This Row],[Std Read]]=""),0,Table1[[#This Row],[Std Nom]]-Table1[[#This Row],[Std Read]])</f>
        <v>0</v>
      </c>
      <c r="N805" s="1">
        <f>IF(Calculations!$F$5="ACCREDITED 17025 WITH UNCERTAINTIES",$N$10,0)</f>
        <v>0</v>
      </c>
      <c r="Q805" s="1">
        <f>Table1[[#This Row],[High Tol]]-Table1[[#This Row],[Low Tol]]</f>
        <v>0</v>
      </c>
      <c r="R805" s="1">
        <f>2*Table1[[#This Row],[Std Error]]</f>
        <v>0</v>
      </c>
      <c r="S805" s="1" t="str">
        <f>IF(Table1[[#This Row],[High Tol]]="","N/A",IFERROR(ABS(Table1[[#This Row],[Tol Span]]/Table1[[#This Row],[Error Span]]),"N/A"))</f>
        <v>N/A</v>
      </c>
      <c r="T805" s="1" t="str">
        <f>IF(OR(Table1[[#This Row],[Low Tol]]="",Table1[[#This Row],[High Tol]]=""),"Needs Analysis",IF(Table1[[#This Row],[Ratio]]&gt;=4,"Not Significant",IF(Table1[[#This Row],[Ratio]]&gt;=2,"Semi-Significant","Significant")))</f>
        <v>Needs Analysis</v>
      </c>
      <c r="W805" s="1">
        <f>IF(Table1[[#This Row],[Cal Type]]&lt;&gt;"ACCREDITED 17025 WITH UNCERTAINTIES",0,"")</f>
        <v>0</v>
      </c>
      <c r="X805" s="1" t="str">
        <f>IF(Table1[[#This Row],[DUT Read]]="","N/A",Table1[[#This Row],[Std Error]]+Table1[[#This Row],[DUT Read]]+Table1[[#This Row],[DUT Ucty]])</f>
        <v>N/A</v>
      </c>
      <c r="Y805" s="1" t="str">
        <f>IF(Table1[[#This Row],[Std Read]]="","N/A",Table1[[#This Row],[Std Read]]+Table1[[#This Row],[Std Ucty]])</f>
        <v>N/A</v>
      </c>
      <c r="Z8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5" s="1" t="str">
        <f>IF(Table1[[#This Row],[Spec Type]]="","N/A",Table1[[#This Row],[Spec Type]])</f>
        <v>±</v>
      </c>
      <c r="AC805" s="1" t="str">
        <f>IF(Table1[[#This Row],[Spec Type2]]="N/A","N/A",IF(AND(Table1[[#This Row],[DUT Adj Read]]&gt;=Table1[[#This Row],[Low Tol]],Table1[[#This Row],[DUT Adj Read]]&lt;=Table1[[#This Row],[High Tol]]),"Pass","Fail"))</f>
        <v>Fail</v>
      </c>
      <c r="AD805" s="1" t="str">
        <f>IF(AND(Table1[[#This Row],[Spec Type2]]="N/A",Table1[[#This Row],[DUT Adj Read]]="N/A",Table1[[#This Row],[Std Adj Read]]="N/A"),"N/A",IF(Table1[[#This Row],[DUT Adj Read]]="N/A",IF(Table1[[#This Row],[Std Adj Read]]&gt;Table1[[#This Row],[Low Tol]],"Pass","Fail"),IF(Table1[[#This Row],[DUT Adj Read]]&gt;Table1[[#This Row],[Low Tol]],"Pass","Fail")))</f>
        <v>Pass</v>
      </c>
      <c r="AE805" s="1" t="str">
        <f>IF(AND(Table1[[#This Row],[Spec Type2]]="N/A",Table1[[#This Row],[DUT Adj Read]]="N/A",Table1[[#This Row],[Std Adj Read]]="N/A"),"N/A",IF(Table1[[#This Row],[DUT Adj Read]]="N/A",IF(Table1[[#This Row],[Std Adj Read]]&lt;Table1[[#This Row],[High Tol]],"Pass","Fail"),IF(Table1[[#This Row],[DUT Adj Read]]&lt;Table1[[#This Row],[High Tol]],"Pass","Fail")))</f>
        <v>Fail</v>
      </c>
      <c r="AF805" s="1" t="str">
        <f>IF(AND(Table1[[#This Row],[Spec Type2]]="N/A",Table1[[#This Row],[DUT Adj Read]]="N/A",Table1[[#This Row],[Std Adj Read]]="N/A"),"N/A",IF(Table1[[#This Row],[DUT Adj Read]]="N/A",IF(Table1[[#This Row],[Std Adj Read]]&gt;=Table1[[#This Row],[Low Tol]],"Pass","Fail"),IF(Table1[[#This Row],[DUT Adj Read]]&gt;=Table1[[#This Row],[Low Tol]],"Pass","Fail")))</f>
        <v>Pass</v>
      </c>
      <c r="AG805" s="1" t="str">
        <f>IF(AND(Table1[[#This Row],[Spec Type2]]="N/A",Table1[[#This Row],[DUT Adj Read]]="N/A",Table1[[#This Row],[Std Adj Read]]="N/A"),"N/A",IF(Table1[[#This Row],[DUT Adj Read]]="N/A",IF(Table1[[#This Row],[Std Adj Read]]&lt;=Table1[[#This Row],[High Tol]],"Pass","Fail"),IF(Table1[[#This Row],[DUT Adj Read]]&lt;=Table1[[#This Row],[High Tol]],"Pass","Fail")))</f>
        <v>Fail</v>
      </c>
      <c r="AH8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5" s="1" t="b">
        <v>0</v>
      </c>
      <c r="AN805" s="1" t="b">
        <v>0</v>
      </c>
      <c r="AO805" s="1" t="b">
        <v>0</v>
      </c>
    </row>
    <row r="806" spans="1:41" x14ac:dyDescent="0.25">
      <c r="A806" s="10"/>
      <c r="B806" s="10"/>
      <c r="C806" s="10"/>
      <c r="D806" s="10"/>
      <c r="E806" s="10"/>
      <c r="F806" s="10"/>
      <c r="G806" s="10"/>
      <c r="H806" s="10"/>
      <c r="I806" s="1" t="str">
        <f t="shared" si="36"/>
        <v/>
      </c>
      <c r="J806" s="1" t="s">
        <v>35</v>
      </c>
      <c r="K806" s="1" t="str">
        <f t="shared" si="37"/>
        <v/>
      </c>
      <c r="L806" s="1" t="str">
        <f t="shared" si="38"/>
        <v/>
      </c>
      <c r="M806" s="1">
        <f>IF(OR(Table1[[#This Row],[Std Nom]]="",Table1[[#This Row],[Std Read]]=""),0,Table1[[#This Row],[Std Nom]]-Table1[[#This Row],[Std Read]])</f>
        <v>0</v>
      </c>
      <c r="N806" s="1">
        <f>IF(Calculations!$F$5="ACCREDITED 17025 WITH UNCERTAINTIES",$N$10,0)</f>
        <v>0</v>
      </c>
      <c r="Q806" s="1">
        <f>Table1[[#This Row],[High Tol]]-Table1[[#This Row],[Low Tol]]</f>
        <v>0</v>
      </c>
      <c r="R806" s="1">
        <f>2*Table1[[#This Row],[Std Error]]</f>
        <v>0</v>
      </c>
      <c r="S806" s="1" t="str">
        <f>IF(Table1[[#This Row],[High Tol]]="","N/A",IFERROR(ABS(Table1[[#This Row],[Tol Span]]/Table1[[#This Row],[Error Span]]),"N/A"))</f>
        <v>N/A</v>
      </c>
      <c r="T806" s="1" t="str">
        <f>IF(OR(Table1[[#This Row],[Low Tol]]="",Table1[[#This Row],[High Tol]]=""),"Needs Analysis",IF(Table1[[#This Row],[Ratio]]&gt;=4,"Not Significant",IF(Table1[[#This Row],[Ratio]]&gt;=2,"Semi-Significant","Significant")))</f>
        <v>Needs Analysis</v>
      </c>
      <c r="W806" s="1">
        <f>IF(Table1[[#This Row],[Cal Type]]&lt;&gt;"ACCREDITED 17025 WITH UNCERTAINTIES",0,"")</f>
        <v>0</v>
      </c>
      <c r="X806" s="1" t="str">
        <f>IF(Table1[[#This Row],[DUT Read]]="","N/A",Table1[[#This Row],[Std Error]]+Table1[[#This Row],[DUT Read]]+Table1[[#This Row],[DUT Ucty]])</f>
        <v>N/A</v>
      </c>
      <c r="Y806" s="1" t="str">
        <f>IF(Table1[[#This Row],[Std Read]]="","N/A",Table1[[#This Row],[Std Read]]+Table1[[#This Row],[Std Ucty]])</f>
        <v>N/A</v>
      </c>
      <c r="Z8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6" s="1" t="str">
        <f>IF(Table1[[#This Row],[Spec Type]]="","N/A",Table1[[#This Row],[Spec Type]])</f>
        <v>±</v>
      </c>
      <c r="AC806" s="1" t="str">
        <f>IF(Table1[[#This Row],[Spec Type2]]="N/A","N/A",IF(AND(Table1[[#This Row],[DUT Adj Read]]&gt;=Table1[[#This Row],[Low Tol]],Table1[[#This Row],[DUT Adj Read]]&lt;=Table1[[#This Row],[High Tol]]),"Pass","Fail"))</f>
        <v>Fail</v>
      </c>
      <c r="AD806" s="1" t="str">
        <f>IF(AND(Table1[[#This Row],[Spec Type2]]="N/A",Table1[[#This Row],[DUT Adj Read]]="N/A",Table1[[#This Row],[Std Adj Read]]="N/A"),"N/A",IF(Table1[[#This Row],[DUT Adj Read]]="N/A",IF(Table1[[#This Row],[Std Adj Read]]&gt;Table1[[#This Row],[Low Tol]],"Pass","Fail"),IF(Table1[[#This Row],[DUT Adj Read]]&gt;Table1[[#This Row],[Low Tol]],"Pass","Fail")))</f>
        <v>Pass</v>
      </c>
      <c r="AE806" s="1" t="str">
        <f>IF(AND(Table1[[#This Row],[Spec Type2]]="N/A",Table1[[#This Row],[DUT Adj Read]]="N/A",Table1[[#This Row],[Std Adj Read]]="N/A"),"N/A",IF(Table1[[#This Row],[DUT Adj Read]]="N/A",IF(Table1[[#This Row],[Std Adj Read]]&lt;Table1[[#This Row],[High Tol]],"Pass","Fail"),IF(Table1[[#This Row],[DUT Adj Read]]&lt;Table1[[#This Row],[High Tol]],"Pass","Fail")))</f>
        <v>Fail</v>
      </c>
      <c r="AF806" s="1" t="str">
        <f>IF(AND(Table1[[#This Row],[Spec Type2]]="N/A",Table1[[#This Row],[DUT Adj Read]]="N/A",Table1[[#This Row],[Std Adj Read]]="N/A"),"N/A",IF(Table1[[#This Row],[DUT Adj Read]]="N/A",IF(Table1[[#This Row],[Std Adj Read]]&gt;=Table1[[#This Row],[Low Tol]],"Pass","Fail"),IF(Table1[[#This Row],[DUT Adj Read]]&gt;=Table1[[#This Row],[Low Tol]],"Pass","Fail")))</f>
        <v>Pass</v>
      </c>
      <c r="AG806" s="1" t="str">
        <f>IF(AND(Table1[[#This Row],[Spec Type2]]="N/A",Table1[[#This Row],[DUT Adj Read]]="N/A",Table1[[#This Row],[Std Adj Read]]="N/A"),"N/A",IF(Table1[[#This Row],[DUT Adj Read]]="N/A",IF(Table1[[#This Row],[Std Adj Read]]&lt;=Table1[[#This Row],[High Tol]],"Pass","Fail"),IF(Table1[[#This Row],[DUT Adj Read]]&lt;=Table1[[#This Row],[High Tol]],"Pass","Fail")))</f>
        <v>Fail</v>
      </c>
      <c r="AH8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6" s="1" t="b">
        <v>0</v>
      </c>
      <c r="AN806" s="1" t="b">
        <v>0</v>
      </c>
      <c r="AO806" s="1" t="b">
        <v>0</v>
      </c>
    </row>
    <row r="807" spans="1:41" x14ac:dyDescent="0.25">
      <c r="A807" s="10"/>
      <c r="B807" s="10"/>
      <c r="C807" s="10"/>
      <c r="D807" s="10"/>
      <c r="E807" s="10"/>
      <c r="F807" s="10"/>
      <c r="G807" s="10"/>
      <c r="H807" s="10"/>
      <c r="I807" s="1" t="str">
        <f t="shared" si="36"/>
        <v/>
      </c>
      <c r="J807" s="1" t="s">
        <v>35</v>
      </c>
      <c r="K807" s="1" t="str">
        <f t="shared" si="37"/>
        <v/>
      </c>
      <c r="L807" s="1" t="str">
        <f t="shared" si="38"/>
        <v/>
      </c>
      <c r="M807" s="1">
        <f>IF(OR(Table1[[#This Row],[Std Nom]]="",Table1[[#This Row],[Std Read]]=""),0,Table1[[#This Row],[Std Nom]]-Table1[[#This Row],[Std Read]])</f>
        <v>0</v>
      </c>
      <c r="N807" s="1">
        <f>IF(Calculations!$F$5="ACCREDITED 17025 WITH UNCERTAINTIES",$N$10,0)</f>
        <v>0</v>
      </c>
      <c r="Q807" s="1">
        <f>Table1[[#This Row],[High Tol]]-Table1[[#This Row],[Low Tol]]</f>
        <v>0</v>
      </c>
      <c r="R807" s="1">
        <f>2*Table1[[#This Row],[Std Error]]</f>
        <v>0</v>
      </c>
      <c r="S807" s="1" t="str">
        <f>IF(Table1[[#This Row],[High Tol]]="","N/A",IFERROR(ABS(Table1[[#This Row],[Tol Span]]/Table1[[#This Row],[Error Span]]),"N/A"))</f>
        <v>N/A</v>
      </c>
      <c r="T807" s="1" t="str">
        <f>IF(OR(Table1[[#This Row],[Low Tol]]="",Table1[[#This Row],[High Tol]]=""),"Needs Analysis",IF(Table1[[#This Row],[Ratio]]&gt;=4,"Not Significant",IF(Table1[[#This Row],[Ratio]]&gt;=2,"Semi-Significant","Significant")))</f>
        <v>Needs Analysis</v>
      </c>
      <c r="W807" s="1">
        <f>IF(Table1[[#This Row],[Cal Type]]&lt;&gt;"ACCREDITED 17025 WITH UNCERTAINTIES",0,"")</f>
        <v>0</v>
      </c>
      <c r="X807" s="1" t="str">
        <f>IF(Table1[[#This Row],[DUT Read]]="","N/A",Table1[[#This Row],[Std Error]]+Table1[[#This Row],[DUT Read]]+Table1[[#This Row],[DUT Ucty]])</f>
        <v>N/A</v>
      </c>
      <c r="Y807" s="1" t="str">
        <f>IF(Table1[[#This Row],[Std Read]]="","N/A",Table1[[#This Row],[Std Read]]+Table1[[#This Row],[Std Ucty]])</f>
        <v>N/A</v>
      </c>
      <c r="Z8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7" s="1" t="str">
        <f>IF(Table1[[#This Row],[Spec Type]]="","N/A",Table1[[#This Row],[Spec Type]])</f>
        <v>±</v>
      </c>
      <c r="AC807" s="1" t="str">
        <f>IF(Table1[[#This Row],[Spec Type2]]="N/A","N/A",IF(AND(Table1[[#This Row],[DUT Adj Read]]&gt;=Table1[[#This Row],[Low Tol]],Table1[[#This Row],[DUT Adj Read]]&lt;=Table1[[#This Row],[High Tol]]),"Pass","Fail"))</f>
        <v>Fail</v>
      </c>
      <c r="AD807" s="1" t="str">
        <f>IF(AND(Table1[[#This Row],[Spec Type2]]="N/A",Table1[[#This Row],[DUT Adj Read]]="N/A",Table1[[#This Row],[Std Adj Read]]="N/A"),"N/A",IF(Table1[[#This Row],[DUT Adj Read]]="N/A",IF(Table1[[#This Row],[Std Adj Read]]&gt;Table1[[#This Row],[Low Tol]],"Pass","Fail"),IF(Table1[[#This Row],[DUT Adj Read]]&gt;Table1[[#This Row],[Low Tol]],"Pass","Fail")))</f>
        <v>Pass</v>
      </c>
      <c r="AE807" s="1" t="str">
        <f>IF(AND(Table1[[#This Row],[Spec Type2]]="N/A",Table1[[#This Row],[DUT Adj Read]]="N/A",Table1[[#This Row],[Std Adj Read]]="N/A"),"N/A",IF(Table1[[#This Row],[DUT Adj Read]]="N/A",IF(Table1[[#This Row],[Std Adj Read]]&lt;Table1[[#This Row],[High Tol]],"Pass","Fail"),IF(Table1[[#This Row],[DUT Adj Read]]&lt;Table1[[#This Row],[High Tol]],"Pass","Fail")))</f>
        <v>Fail</v>
      </c>
      <c r="AF807" s="1" t="str">
        <f>IF(AND(Table1[[#This Row],[Spec Type2]]="N/A",Table1[[#This Row],[DUT Adj Read]]="N/A",Table1[[#This Row],[Std Adj Read]]="N/A"),"N/A",IF(Table1[[#This Row],[DUT Adj Read]]="N/A",IF(Table1[[#This Row],[Std Adj Read]]&gt;=Table1[[#This Row],[Low Tol]],"Pass","Fail"),IF(Table1[[#This Row],[DUT Adj Read]]&gt;=Table1[[#This Row],[Low Tol]],"Pass","Fail")))</f>
        <v>Pass</v>
      </c>
      <c r="AG807" s="1" t="str">
        <f>IF(AND(Table1[[#This Row],[Spec Type2]]="N/A",Table1[[#This Row],[DUT Adj Read]]="N/A",Table1[[#This Row],[Std Adj Read]]="N/A"),"N/A",IF(Table1[[#This Row],[DUT Adj Read]]="N/A",IF(Table1[[#This Row],[Std Adj Read]]&lt;=Table1[[#This Row],[High Tol]],"Pass","Fail"),IF(Table1[[#This Row],[DUT Adj Read]]&lt;=Table1[[#This Row],[High Tol]],"Pass","Fail")))</f>
        <v>Fail</v>
      </c>
      <c r="AH8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7" s="1" t="b">
        <v>0</v>
      </c>
      <c r="AN807" s="1" t="b">
        <v>0</v>
      </c>
      <c r="AO807" s="1" t="b">
        <v>0</v>
      </c>
    </row>
    <row r="808" spans="1:41" x14ac:dyDescent="0.25">
      <c r="A808" s="10"/>
      <c r="B808" s="10"/>
      <c r="C808" s="10"/>
      <c r="D808" s="10"/>
      <c r="E808" s="10"/>
      <c r="F808" s="10"/>
      <c r="G808" s="10"/>
      <c r="H808" s="10"/>
      <c r="I808" s="1" t="str">
        <f t="shared" si="36"/>
        <v/>
      </c>
      <c r="J808" s="1" t="s">
        <v>35</v>
      </c>
      <c r="K808" s="1" t="str">
        <f t="shared" si="37"/>
        <v/>
      </c>
      <c r="L808" s="1" t="str">
        <f t="shared" si="38"/>
        <v/>
      </c>
      <c r="M808" s="1">
        <f>IF(OR(Table1[[#This Row],[Std Nom]]="",Table1[[#This Row],[Std Read]]=""),0,Table1[[#This Row],[Std Nom]]-Table1[[#This Row],[Std Read]])</f>
        <v>0</v>
      </c>
      <c r="N808" s="1">
        <f>IF(Calculations!$F$5="ACCREDITED 17025 WITH UNCERTAINTIES",$N$10,0)</f>
        <v>0</v>
      </c>
      <c r="Q808" s="1">
        <f>Table1[[#This Row],[High Tol]]-Table1[[#This Row],[Low Tol]]</f>
        <v>0</v>
      </c>
      <c r="R808" s="1">
        <f>2*Table1[[#This Row],[Std Error]]</f>
        <v>0</v>
      </c>
      <c r="S808" s="1" t="str">
        <f>IF(Table1[[#This Row],[High Tol]]="","N/A",IFERROR(ABS(Table1[[#This Row],[Tol Span]]/Table1[[#This Row],[Error Span]]),"N/A"))</f>
        <v>N/A</v>
      </c>
      <c r="T808" s="1" t="str">
        <f>IF(OR(Table1[[#This Row],[Low Tol]]="",Table1[[#This Row],[High Tol]]=""),"Needs Analysis",IF(Table1[[#This Row],[Ratio]]&gt;=4,"Not Significant",IF(Table1[[#This Row],[Ratio]]&gt;=2,"Semi-Significant","Significant")))</f>
        <v>Needs Analysis</v>
      </c>
      <c r="W808" s="1">
        <f>IF(Table1[[#This Row],[Cal Type]]&lt;&gt;"ACCREDITED 17025 WITH UNCERTAINTIES",0,"")</f>
        <v>0</v>
      </c>
      <c r="X808" s="1" t="str">
        <f>IF(Table1[[#This Row],[DUT Read]]="","N/A",Table1[[#This Row],[Std Error]]+Table1[[#This Row],[DUT Read]]+Table1[[#This Row],[DUT Ucty]])</f>
        <v>N/A</v>
      </c>
      <c r="Y808" s="1" t="str">
        <f>IF(Table1[[#This Row],[Std Read]]="","N/A",Table1[[#This Row],[Std Read]]+Table1[[#This Row],[Std Ucty]])</f>
        <v>N/A</v>
      </c>
      <c r="Z8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8" s="1" t="str">
        <f>IF(Table1[[#This Row],[Spec Type]]="","N/A",Table1[[#This Row],[Spec Type]])</f>
        <v>±</v>
      </c>
      <c r="AC808" s="1" t="str">
        <f>IF(Table1[[#This Row],[Spec Type2]]="N/A","N/A",IF(AND(Table1[[#This Row],[DUT Adj Read]]&gt;=Table1[[#This Row],[Low Tol]],Table1[[#This Row],[DUT Adj Read]]&lt;=Table1[[#This Row],[High Tol]]),"Pass","Fail"))</f>
        <v>Fail</v>
      </c>
      <c r="AD808" s="1" t="str">
        <f>IF(AND(Table1[[#This Row],[Spec Type2]]="N/A",Table1[[#This Row],[DUT Adj Read]]="N/A",Table1[[#This Row],[Std Adj Read]]="N/A"),"N/A",IF(Table1[[#This Row],[DUT Adj Read]]="N/A",IF(Table1[[#This Row],[Std Adj Read]]&gt;Table1[[#This Row],[Low Tol]],"Pass","Fail"),IF(Table1[[#This Row],[DUT Adj Read]]&gt;Table1[[#This Row],[Low Tol]],"Pass","Fail")))</f>
        <v>Pass</v>
      </c>
      <c r="AE808" s="1" t="str">
        <f>IF(AND(Table1[[#This Row],[Spec Type2]]="N/A",Table1[[#This Row],[DUT Adj Read]]="N/A",Table1[[#This Row],[Std Adj Read]]="N/A"),"N/A",IF(Table1[[#This Row],[DUT Adj Read]]="N/A",IF(Table1[[#This Row],[Std Adj Read]]&lt;Table1[[#This Row],[High Tol]],"Pass","Fail"),IF(Table1[[#This Row],[DUT Adj Read]]&lt;Table1[[#This Row],[High Tol]],"Pass","Fail")))</f>
        <v>Fail</v>
      </c>
      <c r="AF808" s="1" t="str">
        <f>IF(AND(Table1[[#This Row],[Spec Type2]]="N/A",Table1[[#This Row],[DUT Adj Read]]="N/A",Table1[[#This Row],[Std Adj Read]]="N/A"),"N/A",IF(Table1[[#This Row],[DUT Adj Read]]="N/A",IF(Table1[[#This Row],[Std Adj Read]]&gt;=Table1[[#This Row],[Low Tol]],"Pass","Fail"),IF(Table1[[#This Row],[DUT Adj Read]]&gt;=Table1[[#This Row],[Low Tol]],"Pass","Fail")))</f>
        <v>Pass</v>
      </c>
      <c r="AG808" s="1" t="str">
        <f>IF(AND(Table1[[#This Row],[Spec Type2]]="N/A",Table1[[#This Row],[DUT Adj Read]]="N/A",Table1[[#This Row],[Std Adj Read]]="N/A"),"N/A",IF(Table1[[#This Row],[DUT Adj Read]]="N/A",IF(Table1[[#This Row],[Std Adj Read]]&lt;=Table1[[#This Row],[High Tol]],"Pass","Fail"),IF(Table1[[#This Row],[DUT Adj Read]]&lt;=Table1[[#This Row],[High Tol]],"Pass","Fail")))</f>
        <v>Fail</v>
      </c>
      <c r="AH8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8" s="1" t="b">
        <v>0</v>
      </c>
      <c r="AN808" s="1" t="b">
        <v>0</v>
      </c>
      <c r="AO808" s="1" t="b">
        <v>0</v>
      </c>
    </row>
    <row r="809" spans="1:41" x14ac:dyDescent="0.25">
      <c r="A809" s="10"/>
      <c r="B809" s="10"/>
      <c r="C809" s="10"/>
      <c r="D809" s="10"/>
      <c r="E809" s="10"/>
      <c r="F809" s="10"/>
      <c r="G809" s="10"/>
      <c r="H809" s="10"/>
      <c r="I809" s="1" t="str">
        <f t="shared" si="36"/>
        <v/>
      </c>
      <c r="J809" s="1" t="s">
        <v>35</v>
      </c>
      <c r="K809" s="1" t="str">
        <f t="shared" si="37"/>
        <v/>
      </c>
      <c r="L809" s="1" t="str">
        <f t="shared" si="38"/>
        <v/>
      </c>
      <c r="M809" s="1">
        <f>IF(OR(Table1[[#This Row],[Std Nom]]="",Table1[[#This Row],[Std Read]]=""),0,Table1[[#This Row],[Std Nom]]-Table1[[#This Row],[Std Read]])</f>
        <v>0</v>
      </c>
      <c r="N809" s="1">
        <f>IF(Calculations!$F$5="ACCREDITED 17025 WITH UNCERTAINTIES",$N$10,0)</f>
        <v>0</v>
      </c>
      <c r="Q809" s="1">
        <f>Table1[[#This Row],[High Tol]]-Table1[[#This Row],[Low Tol]]</f>
        <v>0</v>
      </c>
      <c r="R809" s="1">
        <f>2*Table1[[#This Row],[Std Error]]</f>
        <v>0</v>
      </c>
      <c r="S809" s="1" t="str">
        <f>IF(Table1[[#This Row],[High Tol]]="","N/A",IFERROR(ABS(Table1[[#This Row],[Tol Span]]/Table1[[#This Row],[Error Span]]),"N/A"))</f>
        <v>N/A</v>
      </c>
      <c r="T809" s="1" t="str">
        <f>IF(OR(Table1[[#This Row],[Low Tol]]="",Table1[[#This Row],[High Tol]]=""),"Needs Analysis",IF(Table1[[#This Row],[Ratio]]&gt;=4,"Not Significant",IF(Table1[[#This Row],[Ratio]]&gt;=2,"Semi-Significant","Significant")))</f>
        <v>Needs Analysis</v>
      </c>
      <c r="W809" s="1">
        <f>IF(Table1[[#This Row],[Cal Type]]&lt;&gt;"ACCREDITED 17025 WITH UNCERTAINTIES",0,"")</f>
        <v>0</v>
      </c>
      <c r="X809" s="1" t="str">
        <f>IF(Table1[[#This Row],[DUT Read]]="","N/A",Table1[[#This Row],[Std Error]]+Table1[[#This Row],[DUT Read]]+Table1[[#This Row],[DUT Ucty]])</f>
        <v>N/A</v>
      </c>
      <c r="Y809" s="1" t="str">
        <f>IF(Table1[[#This Row],[Std Read]]="","N/A",Table1[[#This Row],[Std Read]]+Table1[[#This Row],[Std Ucty]])</f>
        <v>N/A</v>
      </c>
      <c r="Z8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09" s="1" t="str">
        <f>IF(Table1[[#This Row],[Spec Type]]="","N/A",Table1[[#This Row],[Spec Type]])</f>
        <v>±</v>
      </c>
      <c r="AC809" s="1" t="str">
        <f>IF(Table1[[#This Row],[Spec Type2]]="N/A","N/A",IF(AND(Table1[[#This Row],[DUT Adj Read]]&gt;=Table1[[#This Row],[Low Tol]],Table1[[#This Row],[DUT Adj Read]]&lt;=Table1[[#This Row],[High Tol]]),"Pass","Fail"))</f>
        <v>Fail</v>
      </c>
      <c r="AD809" s="1" t="str">
        <f>IF(AND(Table1[[#This Row],[Spec Type2]]="N/A",Table1[[#This Row],[DUT Adj Read]]="N/A",Table1[[#This Row],[Std Adj Read]]="N/A"),"N/A",IF(Table1[[#This Row],[DUT Adj Read]]="N/A",IF(Table1[[#This Row],[Std Adj Read]]&gt;Table1[[#This Row],[Low Tol]],"Pass","Fail"),IF(Table1[[#This Row],[DUT Adj Read]]&gt;Table1[[#This Row],[Low Tol]],"Pass","Fail")))</f>
        <v>Pass</v>
      </c>
      <c r="AE809" s="1" t="str">
        <f>IF(AND(Table1[[#This Row],[Spec Type2]]="N/A",Table1[[#This Row],[DUT Adj Read]]="N/A",Table1[[#This Row],[Std Adj Read]]="N/A"),"N/A",IF(Table1[[#This Row],[DUT Adj Read]]="N/A",IF(Table1[[#This Row],[Std Adj Read]]&lt;Table1[[#This Row],[High Tol]],"Pass","Fail"),IF(Table1[[#This Row],[DUT Adj Read]]&lt;Table1[[#This Row],[High Tol]],"Pass","Fail")))</f>
        <v>Fail</v>
      </c>
      <c r="AF809" s="1" t="str">
        <f>IF(AND(Table1[[#This Row],[Spec Type2]]="N/A",Table1[[#This Row],[DUT Adj Read]]="N/A",Table1[[#This Row],[Std Adj Read]]="N/A"),"N/A",IF(Table1[[#This Row],[DUT Adj Read]]="N/A",IF(Table1[[#This Row],[Std Adj Read]]&gt;=Table1[[#This Row],[Low Tol]],"Pass","Fail"),IF(Table1[[#This Row],[DUT Adj Read]]&gt;=Table1[[#This Row],[Low Tol]],"Pass","Fail")))</f>
        <v>Pass</v>
      </c>
      <c r="AG809" s="1" t="str">
        <f>IF(AND(Table1[[#This Row],[Spec Type2]]="N/A",Table1[[#This Row],[DUT Adj Read]]="N/A",Table1[[#This Row],[Std Adj Read]]="N/A"),"N/A",IF(Table1[[#This Row],[DUT Adj Read]]="N/A",IF(Table1[[#This Row],[Std Adj Read]]&lt;=Table1[[#This Row],[High Tol]],"Pass","Fail"),IF(Table1[[#This Row],[DUT Adj Read]]&lt;=Table1[[#This Row],[High Tol]],"Pass","Fail")))</f>
        <v>Fail</v>
      </c>
      <c r="AH8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09" s="1" t="b">
        <v>0</v>
      </c>
      <c r="AN809" s="1" t="b">
        <v>0</v>
      </c>
      <c r="AO809" s="1" t="b">
        <v>0</v>
      </c>
    </row>
    <row r="810" spans="1:41" x14ac:dyDescent="0.25">
      <c r="A810" s="10"/>
      <c r="B810" s="10"/>
      <c r="C810" s="10"/>
      <c r="D810" s="10"/>
      <c r="E810" s="10"/>
      <c r="F810" s="10"/>
      <c r="G810" s="10"/>
      <c r="H810" s="10"/>
      <c r="I810" s="1" t="str">
        <f t="shared" si="36"/>
        <v/>
      </c>
      <c r="J810" s="1" t="s">
        <v>35</v>
      </c>
      <c r="K810" s="1" t="str">
        <f t="shared" si="37"/>
        <v/>
      </c>
      <c r="L810" s="1" t="str">
        <f t="shared" si="38"/>
        <v/>
      </c>
      <c r="M810" s="1">
        <f>IF(OR(Table1[[#This Row],[Std Nom]]="",Table1[[#This Row],[Std Read]]=""),0,Table1[[#This Row],[Std Nom]]-Table1[[#This Row],[Std Read]])</f>
        <v>0</v>
      </c>
      <c r="N810" s="1">
        <f>IF(Calculations!$F$5="ACCREDITED 17025 WITH UNCERTAINTIES",$N$10,0)</f>
        <v>0</v>
      </c>
      <c r="Q810" s="1">
        <f>Table1[[#This Row],[High Tol]]-Table1[[#This Row],[Low Tol]]</f>
        <v>0</v>
      </c>
      <c r="R810" s="1">
        <f>2*Table1[[#This Row],[Std Error]]</f>
        <v>0</v>
      </c>
      <c r="S810" s="1" t="str">
        <f>IF(Table1[[#This Row],[High Tol]]="","N/A",IFERROR(ABS(Table1[[#This Row],[Tol Span]]/Table1[[#This Row],[Error Span]]),"N/A"))</f>
        <v>N/A</v>
      </c>
      <c r="T810" s="1" t="str">
        <f>IF(OR(Table1[[#This Row],[Low Tol]]="",Table1[[#This Row],[High Tol]]=""),"Needs Analysis",IF(Table1[[#This Row],[Ratio]]&gt;=4,"Not Significant",IF(Table1[[#This Row],[Ratio]]&gt;=2,"Semi-Significant","Significant")))</f>
        <v>Needs Analysis</v>
      </c>
      <c r="W810" s="1">
        <f>IF(Table1[[#This Row],[Cal Type]]&lt;&gt;"ACCREDITED 17025 WITH UNCERTAINTIES",0,"")</f>
        <v>0</v>
      </c>
      <c r="X810" s="1" t="str">
        <f>IF(Table1[[#This Row],[DUT Read]]="","N/A",Table1[[#This Row],[Std Error]]+Table1[[#This Row],[DUT Read]]+Table1[[#This Row],[DUT Ucty]])</f>
        <v>N/A</v>
      </c>
      <c r="Y810" s="1" t="str">
        <f>IF(Table1[[#This Row],[Std Read]]="","N/A",Table1[[#This Row],[Std Read]]+Table1[[#This Row],[Std Ucty]])</f>
        <v>N/A</v>
      </c>
      <c r="Z8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0" s="1" t="str">
        <f>IF(Table1[[#This Row],[Spec Type]]="","N/A",Table1[[#This Row],[Spec Type]])</f>
        <v>±</v>
      </c>
      <c r="AC810" s="1" t="str">
        <f>IF(Table1[[#This Row],[Spec Type2]]="N/A","N/A",IF(AND(Table1[[#This Row],[DUT Adj Read]]&gt;=Table1[[#This Row],[Low Tol]],Table1[[#This Row],[DUT Adj Read]]&lt;=Table1[[#This Row],[High Tol]]),"Pass","Fail"))</f>
        <v>Fail</v>
      </c>
      <c r="AD810" s="1" t="str">
        <f>IF(AND(Table1[[#This Row],[Spec Type2]]="N/A",Table1[[#This Row],[DUT Adj Read]]="N/A",Table1[[#This Row],[Std Adj Read]]="N/A"),"N/A",IF(Table1[[#This Row],[DUT Adj Read]]="N/A",IF(Table1[[#This Row],[Std Adj Read]]&gt;Table1[[#This Row],[Low Tol]],"Pass","Fail"),IF(Table1[[#This Row],[DUT Adj Read]]&gt;Table1[[#This Row],[Low Tol]],"Pass","Fail")))</f>
        <v>Pass</v>
      </c>
      <c r="AE810" s="1" t="str">
        <f>IF(AND(Table1[[#This Row],[Spec Type2]]="N/A",Table1[[#This Row],[DUT Adj Read]]="N/A",Table1[[#This Row],[Std Adj Read]]="N/A"),"N/A",IF(Table1[[#This Row],[DUT Adj Read]]="N/A",IF(Table1[[#This Row],[Std Adj Read]]&lt;Table1[[#This Row],[High Tol]],"Pass","Fail"),IF(Table1[[#This Row],[DUT Adj Read]]&lt;Table1[[#This Row],[High Tol]],"Pass","Fail")))</f>
        <v>Fail</v>
      </c>
      <c r="AF810" s="1" t="str">
        <f>IF(AND(Table1[[#This Row],[Spec Type2]]="N/A",Table1[[#This Row],[DUT Adj Read]]="N/A",Table1[[#This Row],[Std Adj Read]]="N/A"),"N/A",IF(Table1[[#This Row],[DUT Adj Read]]="N/A",IF(Table1[[#This Row],[Std Adj Read]]&gt;=Table1[[#This Row],[Low Tol]],"Pass","Fail"),IF(Table1[[#This Row],[DUT Adj Read]]&gt;=Table1[[#This Row],[Low Tol]],"Pass","Fail")))</f>
        <v>Pass</v>
      </c>
      <c r="AG810" s="1" t="str">
        <f>IF(AND(Table1[[#This Row],[Spec Type2]]="N/A",Table1[[#This Row],[DUT Adj Read]]="N/A",Table1[[#This Row],[Std Adj Read]]="N/A"),"N/A",IF(Table1[[#This Row],[DUT Adj Read]]="N/A",IF(Table1[[#This Row],[Std Adj Read]]&lt;=Table1[[#This Row],[High Tol]],"Pass","Fail"),IF(Table1[[#This Row],[DUT Adj Read]]&lt;=Table1[[#This Row],[High Tol]],"Pass","Fail")))</f>
        <v>Fail</v>
      </c>
      <c r="AH8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0" s="1" t="b">
        <v>0</v>
      </c>
      <c r="AN810" s="1" t="b">
        <v>0</v>
      </c>
      <c r="AO810" s="1" t="b">
        <v>0</v>
      </c>
    </row>
    <row r="811" spans="1:41" x14ac:dyDescent="0.25">
      <c r="A811" s="10"/>
      <c r="B811" s="10"/>
      <c r="C811" s="10"/>
      <c r="D811" s="10"/>
      <c r="E811" s="10"/>
      <c r="F811" s="10"/>
      <c r="G811" s="10"/>
      <c r="H811" s="10"/>
      <c r="I811" s="1" t="str">
        <f t="shared" si="36"/>
        <v/>
      </c>
      <c r="J811" s="1" t="s">
        <v>35</v>
      </c>
      <c r="K811" s="1" t="str">
        <f t="shared" si="37"/>
        <v/>
      </c>
      <c r="L811" s="1" t="str">
        <f t="shared" si="38"/>
        <v/>
      </c>
      <c r="M811" s="1">
        <f>IF(OR(Table1[[#This Row],[Std Nom]]="",Table1[[#This Row],[Std Read]]=""),0,Table1[[#This Row],[Std Nom]]-Table1[[#This Row],[Std Read]])</f>
        <v>0</v>
      </c>
      <c r="N811" s="1">
        <f>IF(Calculations!$F$5="ACCREDITED 17025 WITH UNCERTAINTIES",$N$10,0)</f>
        <v>0</v>
      </c>
      <c r="Q811" s="1">
        <f>Table1[[#This Row],[High Tol]]-Table1[[#This Row],[Low Tol]]</f>
        <v>0</v>
      </c>
      <c r="R811" s="1">
        <f>2*Table1[[#This Row],[Std Error]]</f>
        <v>0</v>
      </c>
      <c r="S811" s="1" t="str">
        <f>IF(Table1[[#This Row],[High Tol]]="","N/A",IFERROR(ABS(Table1[[#This Row],[Tol Span]]/Table1[[#This Row],[Error Span]]),"N/A"))</f>
        <v>N/A</v>
      </c>
      <c r="T811" s="1" t="str">
        <f>IF(OR(Table1[[#This Row],[Low Tol]]="",Table1[[#This Row],[High Tol]]=""),"Needs Analysis",IF(Table1[[#This Row],[Ratio]]&gt;=4,"Not Significant",IF(Table1[[#This Row],[Ratio]]&gt;=2,"Semi-Significant","Significant")))</f>
        <v>Needs Analysis</v>
      </c>
      <c r="W811" s="1">
        <f>IF(Table1[[#This Row],[Cal Type]]&lt;&gt;"ACCREDITED 17025 WITH UNCERTAINTIES",0,"")</f>
        <v>0</v>
      </c>
      <c r="X811" s="1" t="str">
        <f>IF(Table1[[#This Row],[DUT Read]]="","N/A",Table1[[#This Row],[Std Error]]+Table1[[#This Row],[DUT Read]]+Table1[[#This Row],[DUT Ucty]])</f>
        <v>N/A</v>
      </c>
      <c r="Y811" s="1" t="str">
        <f>IF(Table1[[#This Row],[Std Read]]="","N/A",Table1[[#This Row],[Std Read]]+Table1[[#This Row],[Std Ucty]])</f>
        <v>N/A</v>
      </c>
      <c r="Z8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1" s="1" t="str">
        <f>IF(Table1[[#This Row],[Spec Type]]="","N/A",Table1[[#This Row],[Spec Type]])</f>
        <v>±</v>
      </c>
      <c r="AC811" s="1" t="str">
        <f>IF(Table1[[#This Row],[Spec Type2]]="N/A","N/A",IF(AND(Table1[[#This Row],[DUT Adj Read]]&gt;=Table1[[#This Row],[Low Tol]],Table1[[#This Row],[DUT Adj Read]]&lt;=Table1[[#This Row],[High Tol]]),"Pass","Fail"))</f>
        <v>Fail</v>
      </c>
      <c r="AD811" s="1" t="str">
        <f>IF(AND(Table1[[#This Row],[Spec Type2]]="N/A",Table1[[#This Row],[DUT Adj Read]]="N/A",Table1[[#This Row],[Std Adj Read]]="N/A"),"N/A",IF(Table1[[#This Row],[DUT Adj Read]]="N/A",IF(Table1[[#This Row],[Std Adj Read]]&gt;Table1[[#This Row],[Low Tol]],"Pass","Fail"),IF(Table1[[#This Row],[DUT Adj Read]]&gt;Table1[[#This Row],[Low Tol]],"Pass","Fail")))</f>
        <v>Pass</v>
      </c>
      <c r="AE811" s="1" t="str">
        <f>IF(AND(Table1[[#This Row],[Spec Type2]]="N/A",Table1[[#This Row],[DUT Adj Read]]="N/A",Table1[[#This Row],[Std Adj Read]]="N/A"),"N/A",IF(Table1[[#This Row],[DUT Adj Read]]="N/A",IF(Table1[[#This Row],[Std Adj Read]]&lt;Table1[[#This Row],[High Tol]],"Pass","Fail"),IF(Table1[[#This Row],[DUT Adj Read]]&lt;Table1[[#This Row],[High Tol]],"Pass","Fail")))</f>
        <v>Fail</v>
      </c>
      <c r="AF811" s="1" t="str">
        <f>IF(AND(Table1[[#This Row],[Spec Type2]]="N/A",Table1[[#This Row],[DUT Adj Read]]="N/A",Table1[[#This Row],[Std Adj Read]]="N/A"),"N/A",IF(Table1[[#This Row],[DUT Adj Read]]="N/A",IF(Table1[[#This Row],[Std Adj Read]]&gt;=Table1[[#This Row],[Low Tol]],"Pass","Fail"),IF(Table1[[#This Row],[DUT Adj Read]]&gt;=Table1[[#This Row],[Low Tol]],"Pass","Fail")))</f>
        <v>Pass</v>
      </c>
      <c r="AG811" s="1" t="str">
        <f>IF(AND(Table1[[#This Row],[Spec Type2]]="N/A",Table1[[#This Row],[DUT Adj Read]]="N/A",Table1[[#This Row],[Std Adj Read]]="N/A"),"N/A",IF(Table1[[#This Row],[DUT Adj Read]]="N/A",IF(Table1[[#This Row],[Std Adj Read]]&lt;=Table1[[#This Row],[High Tol]],"Pass","Fail"),IF(Table1[[#This Row],[DUT Adj Read]]&lt;=Table1[[#This Row],[High Tol]],"Pass","Fail")))</f>
        <v>Fail</v>
      </c>
      <c r="AH8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1" s="1" t="b">
        <v>0</v>
      </c>
      <c r="AN811" s="1" t="b">
        <v>0</v>
      </c>
      <c r="AO811" s="1" t="b">
        <v>0</v>
      </c>
    </row>
    <row r="812" spans="1:41" x14ac:dyDescent="0.25">
      <c r="A812" s="10"/>
      <c r="B812" s="10"/>
      <c r="C812" s="10"/>
      <c r="D812" s="10"/>
      <c r="E812" s="10"/>
      <c r="F812" s="10"/>
      <c r="G812" s="10"/>
      <c r="H812" s="10"/>
      <c r="I812" s="1" t="str">
        <f t="shared" si="36"/>
        <v/>
      </c>
      <c r="J812" s="1" t="s">
        <v>35</v>
      </c>
      <c r="K812" s="1" t="str">
        <f t="shared" si="37"/>
        <v/>
      </c>
      <c r="L812" s="1" t="str">
        <f t="shared" si="38"/>
        <v/>
      </c>
      <c r="M812" s="1">
        <f>IF(OR(Table1[[#This Row],[Std Nom]]="",Table1[[#This Row],[Std Read]]=""),0,Table1[[#This Row],[Std Nom]]-Table1[[#This Row],[Std Read]])</f>
        <v>0</v>
      </c>
      <c r="N812" s="1">
        <f>IF(Calculations!$F$5="ACCREDITED 17025 WITH UNCERTAINTIES",$N$10,0)</f>
        <v>0</v>
      </c>
      <c r="Q812" s="1">
        <f>Table1[[#This Row],[High Tol]]-Table1[[#This Row],[Low Tol]]</f>
        <v>0</v>
      </c>
      <c r="R812" s="1">
        <f>2*Table1[[#This Row],[Std Error]]</f>
        <v>0</v>
      </c>
      <c r="S812" s="1" t="str">
        <f>IF(Table1[[#This Row],[High Tol]]="","N/A",IFERROR(ABS(Table1[[#This Row],[Tol Span]]/Table1[[#This Row],[Error Span]]),"N/A"))</f>
        <v>N/A</v>
      </c>
      <c r="T812" s="1" t="str">
        <f>IF(OR(Table1[[#This Row],[Low Tol]]="",Table1[[#This Row],[High Tol]]=""),"Needs Analysis",IF(Table1[[#This Row],[Ratio]]&gt;=4,"Not Significant",IF(Table1[[#This Row],[Ratio]]&gt;=2,"Semi-Significant","Significant")))</f>
        <v>Needs Analysis</v>
      </c>
      <c r="W812" s="1">
        <f>IF(Table1[[#This Row],[Cal Type]]&lt;&gt;"ACCREDITED 17025 WITH UNCERTAINTIES",0,"")</f>
        <v>0</v>
      </c>
      <c r="X812" s="1" t="str">
        <f>IF(Table1[[#This Row],[DUT Read]]="","N/A",Table1[[#This Row],[Std Error]]+Table1[[#This Row],[DUT Read]]+Table1[[#This Row],[DUT Ucty]])</f>
        <v>N/A</v>
      </c>
      <c r="Y812" s="1" t="str">
        <f>IF(Table1[[#This Row],[Std Read]]="","N/A",Table1[[#This Row],[Std Read]]+Table1[[#This Row],[Std Ucty]])</f>
        <v>N/A</v>
      </c>
      <c r="Z8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2" s="1" t="str">
        <f>IF(Table1[[#This Row],[Spec Type]]="","N/A",Table1[[#This Row],[Spec Type]])</f>
        <v>±</v>
      </c>
      <c r="AC812" s="1" t="str">
        <f>IF(Table1[[#This Row],[Spec Type2]]="N/A","N/A",IF(AND(Table1[[#This Row],[DUT Adj Read]]&gt;=Table1[[#This Row],[Low Tol]],Table1[[#This Row],[DUT Adj Read]]&lt;=Table1[[#This Row],[High Tol]]),"Pass","Fail"))</f>
        <v>Fail</v>
      </c>
      <c r="AD812" s="1" t="str">
        <f>IF(AND(Table1[[#This Row],[Spec Type2]]="N/A",Table1[[#This Row],[DUT Adj Read]]="N/A",Table1[[#This Row],[Std Adj Read]]="N/A"),"N/A",IF(Table1[[#This Row],[DUT Adj Read]]="N/A",IF(Table1[[#This Row],[Std Adj Read]]&gt;Table1[[#This Row],[Low Tol]],"Pass","Fail"),IF(Table1[[#This Row],[DUT Adj Read]]&gt;Table1[[#This Row],[Low Tol]],"Pass","Fail")))</f>
        <v>Pass</v>
      </c>
      <c r="AE812" s="1" t="str">
        <f>IF(AND(Table1[[#This Row],[Spec Type2]]="N/A",Table1[[#This Row],[DUT Adj Read]]="N/A",Table1[[#This Row],[Std Adj Read]]="N/A"),"N/A",IF(Table1[[#This Row],[DUT Adj Read]]="N/A",IF(Table1[[#This Row],[Std Adj Read]]&lt;Table1[[#This Row],[High Tol]],"Pass","Fail"),IF(Table1[[#This Row],[DUT Adj Read]]&lt;Table1[[#This Row],[High Tol]],"Pass","Fail")))</f>
        <v>Fail</v>
      </c>
      <c r="AF812" s="1" t="str">
        <f>IF(AND(Table1[[#This Row],[Spec Type2]]="N/A",Table1[[#This Row],[DUT Adj Read]]="N/A",Table1[[#This Row],[Std Adj Read]]="N/A"),"N/A",IF(Table1[[#This Row],[DUT Adj Read]]="N/A",IF(Table1[[#This Row],[Std Adj Read]]&gt;=Table1[[#This Row],[Low Tol]],"Pass","Fail"),IF(Table1[[#This Row],[DUT Adj Read]]&gt;=Table1[[#This Row],[Low Tol]],"Pass","Fail")))</f>
        <v>Pass</v>
      </c>
      <c r="AG812" s="1" t="str">
        <f>IF(AND(Table1[[#This Row],[Spec Type2]]="N/A",Table1[[#This Row],[DUT Adj Read]]="N/A",Table1[[#This Row],[Std Adj Read]]="N/A"),"N/A",IF(Table1[[#This Row],[DUT Adj Read]]="N/A",IF(Table1[[#This Row],[Std Adj Read]]&lt;=Table1[[#This Row],[High Tol]],"Pass","Fail"),IF(Table1[[#This Row],[DUT Adj Read]]&lt;=Table1[[#This Row],[High Tol]],"Pass","Fail")))</f>
        <v>Fail</v>
      </c>
      <c r="AH8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2" s="1" t="b">
        <v>0</v>
      </c>
      <c r="AN812" s="1" t="b">
        <v>0</v>
      </c>
      <c r="AO812" s="1" t="b">
        <v>0</v>
      </c>
    </row>
    <row r="813" spans="1:41" x14ac:dyDescent="0.25">
      <c r="A813" s="10"/>
      <c r="B813" s="10"/>
      <c r="C813" s="10"/>
      <c r="D813" s="10"/>
      <c r="E813" s="10"/>
      <c r="F813" s="10"/>
      <c r="G813" s="10"/>
      <c r="H813" s="10"/>
      <c r="I813" s="1" t="str">
        <f t="shared" si="36"/>
        <v/>
      </c>
      <c r="J813" s="1" t="s">
        <v>35</v>
      </c>
      <c r="K813" s="1" t="str">
        <f t="shared" si="37"/>
        <v/>
      </c>
      <c r="L813" s="1" t="str">
        <f t="shared" si="38"/>
        <v/>
      </c>
      <c r="M813" s="1">
        <f>IF(OR(Table1[[#This Row],[Std Nom]]="",Table1[[#This Row],[Std Read]]=""),0,Table1[[#This Row],[Std Nom]]-Table1[[#This Row],[Std Read]])</f>
        <v>0</v>
      </c>
      <c r="N813" s="1">
        <f>IF(Calculations!$F$5="ACCREDITED 17025 WITH UNCERTAINTIES",$N$10,0)</f>
        <v>0</v>
      </c>
      <c r="Q813" s="1">
        <f>Table1[[#This Row],[High Tol]]-Table1[[#This Row],[Low Tol]]</f>
        <v>0</v>
      </c>
      <c r="R813" s="1">
        <f>2*Table1[[#This Row],[Std Error]]</f>
        <v>0</v>
      </c>
      <c r="S813" s="1" t="str">
        <f>IF(Table1[[#This Row],[High Tol]]="","N/A",IFERROR(ABS(Table1[[#This Row],[Tol Span]]/Table1[[#This Row],[Error Span]]),"N/A"))</f>
        <v>N/A</v>
      </c>
      <c r="T813" s="1" t="str">
        <f>IF(OR(Table1[[#This Row],[Low Tol]]="",Table1[[#This Row],[High Tol]]=""),"Needs Analysis",IF(Table1[[#This Row],[Ratio]]&gt;=4,"Not Significant",IF(Table1[[#This Row],[Ratio]]&gt;=2,"Semi-Significant","Significant")))</f>
        <v>Needs Analysis</v>
      </c>
      <c r="W813" s="1">
        <f>IF(Table1[[#This Row],[Cal Type]]&lt;&gt;"ACCREDITED 17025 WITH UNCERTAINTIES",0,"")</f>
        <v>0</v>
      </c>
      <c r="X813" s="1" t="str">
        <f>IF(Table1[[#This Row],[DUT Read]]="","N/A",Table1[[#This Row],[Std Error]]+Table1[[#This Row],[DUT Read]]+Table1[[#This Row],[DUT Ucty]])</f>
        <v>N/A</v>
      </c>
      <c r="Y813" s="1" t="str">
        <f>IF(Table1[[#This Row],[Std Read]]="","N/A",Table1[[#This Row],[Std Read]]+Table1[[#This Row],[Std Ucty]])</f>
        <v>N/A</v>
      </c>
      <c r="Z8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3" s="1" t="str">
        <f>IF(Table1[[#This Row],[Spec Type]]="","N/A",Table1[[#This Row],[Spec Type]])</f>
        <v>±</v>
      </c>
      <c r="AC813" s="1" t="str">
        <f>IF(Table1[[#This Row],[Spec Type2]]="N/A","N/A",IF(AND(Table1[[#This Row],[DUT Adj Read]]&gt;=Table1[[#This Row],[Low Tol]],Table1[[#This Row],[DUT Adj Read]]&lt;=Table1[[#This Row],[High Tol]]),"Pass","Fail"))</f>
        <v>Fail</v>
      </c>
      <c r="AD813" s="1" t="str">
        <f>IF(AND(Table1[[#This Row],[Spec Type2]]="N/A",Table1[[#This Row],[DUT Adj Read]]="N/A",Table1[[#This Row],[Std Adj Read]]="N/A"),"N/A",IF(Table1[[#This Row],[DUT Adj Read]]="N/A",IF(Table1[[#This Row],[Std Adj Read]]&gt;Table1[[#This Row],[Low Tol]],"Pass","Fail"),IF(Table1[[#This Row],[DUT Adj Read]]&gt;Table1[[#This Row],[Low Tol]],"Pass","Fail")))</f>
        <v>Pass</v>
      </c>
      <c r="AE813" s="1" t="str">
        <f>IF(AND(Table1[[#This Row],[Spec Type2]]="N/A",Table1[[#This Row],[DUT Adj Read]]="N/A",Table1[[#This Row],[Std Adj Read]]="N/A"),"N/A",IF(Table1[[#This Row],[DUT Adj Read]]="N/A",IF(Table1[[#This Row],[Std Adj Read]]&lt;Table1[[#This Row],[High Tol]],"Pass","Fail"),IF(Table1[[#This Row],[DUT Adj Read]]&lt;Table1[[#This Row],[High Tol]],"Pass","Fail")))</f>
        <v>Fail</v>
      </c>
      <c r="AF813" s="1" t="str">
        <f>IF(AND(Table1[[#This Row],[Spec Type2]]="N/A",Table1[[#This Row],[DUT Adj Read]]="N/A",Table1[[#This Row],[Std Adj Read]]="N/A"),"N/A",IF(Table1[[#This Row],[DUT Adj Read]]="N/A",IF(Table1[[#This Row],[Std Adj Read]]&gt;=Table1[[#This Row],[Low Tol]],"Pass","Fail"),IF(Table1[[#This Row],[DUT Adj Read]]&gt;=Table1[[#This Row],[Low Tol]],"Pass","Fail")))</f>
        <v>Pass</v>
      </c>
      <c r="AG813" s="1" t="str">
        <f>IF(AND(Table1[[#This Row],[Spec Type2]]="N/A",Table1[[#This Row],[DUT Adj Read]]="N/A",Table1[[#This Row],[Std Adj Read]]="N/A"),"N/A",IF(Table1[[#This Row],[DUT Adj Read]]="N/A",IF(Table1[[#This Row],[Std Adj Read]]&lt;=Table1[[#This Row],[High Tol]],"Pass","Fail"),IF(Table1[[#This Row],[DUT Adj Read]]&lt;=Table1[[#This Row],[High Tol]],"Pass","Fail")))</f>
        <v>Fail</v>
      </c>
      <c r="AH8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3" s="1" t="b">
        <v>0</v>
      </c>
      <c r="AN813" s="1" t="b">
        <v>0</v>
      </c>
      <c r="AO813" s="1" t="b">
        <v>0</v>
      </c>
    </row>
    <row r="814" spans="1:41" x14ac:dyDescent="0.25">
      <c r="A814" s="10"/>
      <c r="B814" s="10"/>
      <c r="C814" s="10"/>
      <c r="D814" s="10"/>
      <c r="E814" s="10"/>
      <c r="F814" s="10"/>
      <c r="G814" s="10"/>
      <c r="H814" s="10"/>
      <c r="I814" s="1" t="str">
        <f t="shared" si="36"/>
        <v/>
      </c>
      <c r="J814" s="1" t="s">
        <v>35</v>
      </c>
      <c r="K814" s="1" t="str">
        <f t="shared" si="37"/>
        <v/>
      </c>
      <c r="L814" s="1" t="str">
        <f t="shared" si="38"/>
        <v/>
      </c>
      <c r="M814" s="1">
        <f>IF(OR(Table1[[#This Row],[Std Nom]]="",Table1[[#This Row],[Std Read]]=""),0,Table1[[#This Row],[Std Nom]]-Table1[[#This Row],[Std Read]])</f>
        <v>0</v>
      </c>
      <c r="N814" s="1">
        <f>IF(Calculations!$F$5="ACCREDITED 17025 WITH UNCERTAINTIES",$N$10,0)</f>
        <v>0</v>
      </c>
      <c r="Q814" s="1">
        <f>Table1[[#This Row],[High Tol]]-Table1[[#This Row],[Low Tol]]</f>
        <v>0</v>
      </c>
      <c r="R814" s="1">
        <f>2*Table1[[#This Row],[Std Error]]</f>
        <v>0</v>
      </c>
      <c r="S814" s="1" t="str">
        <f>IF(Table1[[#This Row],[High Tol]]="","N/A",IFERROR(ABS(Table1[[#This Row],[Tol Span]]/Table1[[#This Row],[Error Span]]),"N/A"))</f>
        <v>N/A</v>
      </c>
      <c r="T814" s="1" t="str">
        <f>IF(OR(Table1[[#This Row],[Low Tol]]="",Table1[[#This Row],[High Tol]]=""),"Needs Analysis",IF(Table1[[#This Row],[Ratio]]&gt;=4,"Not Significant",IF(Table1[[#This Row],[Ratio]]&gt;=2,"Semi-Significant","Significant")))</f>
        <v>Needs Analysis</v>
      </c>
      <c r="W814" s="1">
        <f>IF(Table1[[#This Row],[Cal Type]]&lt;&gt;"ACCREDITED 17025 WITH UNCERTAINTIES",0,"")</f>
        <v>0</v>
      </c>
      <c r="X814" s="1" t="str">
        <f>IF(Table1[[#This Row],[DUT Read]]="","N/A",Table1[[#This Row],[Std Error]]+Table1[[#This Row],[DUT Read]]+Table1[[#This Row],[DUT Ucty]])</f>
        <v>N/A</v>
      </c>
      <c r="Y814" s="1" t="str">
        <f>IF(Table1[[#This Row],[Std Read]]="","N/A",Table1[[#This Row],[Std Read]]+Table1[[#This Row],[Std Ucty]])</f>
        <v>N/A</v>
      </c>
      <c r="Z8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4" s="1" t="str">
        <f>IF(Table1[[#This Row],[Spec Type]]="","N/A",Table1[[#This Row],[Spec Type]])</f>
        <v>±</v>
      </c>
      <c r="AC814" s="1" t="str">
        <f>IF(Table1[[#This Row],[Spec Type2]]="N/A","N/A",IF(AND(Table1[[#This Row],[DUT Adj Read]]&gt;=Table1[[#This Row],[Low Tol]],Table1[[#This Row],[DUT Adj Read]]&lt;=Table1[[#This Row],[High Tol]]),"Pass","Fail"))</f>
        <v>Fail</v>
      </c>
      <c r="AD814" s="1" t="str">
        <f>IF(AND(Table1[[#This Row],[Spec Type2]]="N/A",Table1[[#This Row],[DUT Adj Read]]="N/A",Table1[[#This Row],[Std Adj Read]]="N/A"),"N/A",IF(Table1[[#This Row],[DUT Adj Read]]="N/A",IF(Table1[[#This Row],[Std Adj Read]]&gt;Table1[[#This Row],[Low Tol]],"Pass","Fail"),IF(Table1[[#This Row],[DUT Adj Read]]&gt;Table1[[#This Row],[Low Tol]],"Pass","Fail")))</f>
        <v>Pass</v>
      </c>
      <c r="AE814" s="1" t="str">
        <f>IF(AND(Table1[[#This Row],[Spec Type2]]="N/A",Table1[[#This Row],[DUT Adj Read]]="N/A",Table1[[#This Row],[Std Adj Read]]="N/A"),"N/A",IF(Table1[[#This Row],[DUT Adj Read]]="N/A",IF(Table1[[#This Row],[Std Adj Read]]&lt;Table1[[#This Row],[High Tol]],"Pass","Fail"),IF(Table1[[#This Row],[DUT Adj Read]]&lt;Table1[[#This Row],[High Tol]],"Pass","Fail")))</f>
        <v>Fail</v>
      </c>
      <c r="AF814" s="1" t="str">
        <f>IF(AND(Table1[[#This Row],[Spec Type2]]="N/A",Table1[[#This Row],[DUT Adj Read]]="N/A",Table1[[#This Row],[Std Adj Read]]="N/A"),"N/A",IF(Table1[[#This Row],[DUT Adj Read]]="N/A",IF(Table1[[#This Row],[Std Adj Read]]&gt;=Table1[[#This Row],[Low Tol]],"Pass","Fail"),IF(Table1[[#This Row],[DUT Adj Read]]&gt;=Table1[[#This Row],[Low Tol]],"Pass","Fail")))</f>
        <v>Pass</v>
      </c>
      <c r="AG814" s="1" t="str">
        <f>IF(AND(Table1[[#This Row],[Spec Type2]]="N/A",Table1[[#This Row],[DUT Adj Read]]="N/A",Table1[[#This Row],[Std Adj Read]]="N/A"),"N/A",IF(Table1[[#This Row],[DUT Adj Read]]="N/A",IF(Table1[[#This Row],[Std Adj Read]]&lt;=Table1[[#This Row],[High Tol]],"Pass","Fail"),IF(Table1[[#This Row],[DUT Adj Read]]&lt;=Table1[[#This Row],[High Tol]],"Pass","Fail")))</f>
        <v>Fail</v>
      </c>
      <c r="AH8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4" s="1" t="b">
        <v>0</v>
      </c>
      <c r="AN814" s="1" t="b">
        <v>0</v>
      </c>
      <c r="AO814" s="1" t="b">
        <v>0</v>
      </c>
    </row>
    <row r="815" spans="1:41" x14ac:dyDescent="0.25">
      <c r="A815" s="10"/>
      <c r="B815" s="10"/>
      <c r="C815" s="10"/>
      <c r="D815" s="10"/>
      <c r="E815" s="10"/>
      <c r="F815" s="10"/>
      <c r="G815" s="10"/>
      <c r="H815" s="10"/>
      <c r="I815" s="1" t="str">
        <f t="shared" si="36"/>
        <v/>
      </c>
      <c r="J815" s="1" t="s">
        <v>35</v>
      </c>
      <c r="K815" s="1" t="str">
        <f t="shared" si="37"/>
        <v/>
      </c>
      <c r="L815" s="1" t="str">
        <f t="shared" si="38"/>
        <v/>
      </c>
      <c r="M815" s="1">
        <f>IF(OR(Table1[[#This Row],[Std Nom]]="",Table1[[#This Row],[Std Read]]=""),0,Table1[[#This Row],[Std Nom]]-Table1[[#This Row],[Std Read]])</f>
        <v>0</v>
      </c>
      <c r="N815" s="1">
        <f>IF(Calculations!$F$5="ACCREDITED 17025 WITH UNCERTAINTIES",$N$10,0)</f>
        <v>0</v>
      </c>
      <c r="Q815" s="1">
        <f>Table1[[#This Row],[High Tol]]-Table1[[#This Row],[Low Tol]]</f>
        <v>0</v>
      </c>
      <c r="R815" s="1">
        <f>2*Table1[[#This Row],[Std Error]]</f>
        <v>0</v>
      </c>
      <c r="S815" s="1" t="str">
        <f>IF(Table1[[#This Row],[High Tol]]="","N/A",IFERROR(ABS(Table1[[#This Row],[Tol Span]]/Table1[[#This Row],[Error Span]]),"N/A"))</f>
        <v>N/A</v>
      </c>
      <c r="T815" s="1" t="str">
        <f>IF(OR(Table1[[#This Row],[Low Tol]]="",Table1[[#This Row],[High Tol]]=""),"Needs Analysis",IF(Table1[[#This Row],[Ratio]]&gt;=4,"Not Significant",IF(Table1[[#This Row],[Ratio]]&gt;=2,"Semi-Significant","Significant")))</f>
        <v>Needs Analysis</v>
      </c>
      <c r="W815" s="1">
        <f>IF(Table1[[#This Row],[Cal Type]]&lt;&gt;"ACCREDITED 17025 WITH UNCERTAINTIES",0,"")</f>
        <v>0</v>
      </c>
      <c r="X815" s="1" t="str">
        <f>IF(Table1[[#This Row],[DUT Read]]="","N/A",Table1[[#This Row],[Std Error]]+Table1[[#This Row],[DUT Read]]+Table1[[#This Row],[DUT Ucty]])</f>
        <v>N/A</v>
      </c>
      <c r="Y815" s="1" t="str">
        <f>IF(Table1[[#This Row],[Std Read]]="","N/A",Table1[[#This Row],[Std Read]]+Table1[[#This Row],[Std Ucty]])</f>
        <v>N/A</v>
      </c>
      <c r="Z8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5" s="1" t="str">
        <f>IF(Table1[[#This Row],[Spec Type]]="","N/A",Table1[[#This Row],[Spec Type]])</f>
        <v>±</v>
      </c>
      <c r="AC815" s="1" t="str">
        <f>IF(Table1[[#This Row],[Spec Type2]]="N/A","N/A",IF(AND(Table1[[#This Row],[DUT Adj Read]]&gt;=Table1[[#This Row],[Low Tol]],Table1[[#This Row],[DUT Adj Read]]&lt;=Table1[[#This Row],[High Tol]]),"Pass","Fail"))</f>
        <v>Fail</v>
      </c>
      <c r="AD815" s="1" t="str">
        <f>IF(AND(Table1[[#This Row],[Spec Type2]]="N/A",Table1[[#This Row],[DUT Adj Read]]="N/A",Table1[[#This Row],[Std Adj Read]]="N/A"),"N/A",IF(Table1[[#This Row],[DUT Adj Read]]="N/A",IF(Table1[[#This Row],[Std Adj Read]]&gt;Table1[[#This Row],[Low Tol]],"Pass","Fail"),IF(Table1[[#This Row],[DUT Adj Read]]&gt;Table1[[#This Row],[Low Tol]],"Pass","Fail")))</f>
        <v>Pass</v>
      </c>
      <c r="AE815" s="1" t="str">
        <f>IF(AND(Table1[[#This Row],[Spec Type2]]="N/A",Table1[[#This Row],[DUT Adj Read]]="N/A",Table1[[#This Row],[Std Adj Read]]="N/A"),"N/A",IF(Table1[[#This Row],[DUT Adj Read]]="N/A",IF(Table1[[#This Row],[Std Adj Read]]&lt;Table1[[#This Row],[High Tol]],"Pass","Fail"),IF(Table1[[#This Row],[DUT Adj Read]]&lt;Table1[[#This Row],[High Tol]],"Pass","Fail")))</f>
        <v>Fail</v>
      </c>
      <c r="AF815" s="1" t="str">
        <f>IF(AND(Table1[[#This Row],[Spec Type2]]="N/A",Table1[[#This Row],[DUT Adj Read]]="N/A",Table1[[#This Row],[Std Adj Read]]="N/A"),"N/A",IF(Table1[[#This Row],[DUT Adj Read]]="N/A",IF(Table1[[#This Row],[Std Adj Read]]&gt;=Table1[[#This Row],[Low Tol]],"Pass","Fail"),IF(Table1[[#This Row],[DUT Adj Read]]&gt;=Table1[[#This Row],[Low Tol]],"Pass","Fail")))</f>
        <v>Pass</v>
      </c>
      <c r="AG815" s="1" t="str">
        <f>IF(AND(Table1[[#This Row],[Spec Type2]]="N/A",Table1[[#This Row],[DUT Adj Read]]="N/A",Table1[[#This Row],[Std Adj Read]]="N/A"),"N/A",IF(Table1[[#This Row],[DUT Adj Read]]="N/A",IF(Table1[[#This Row],[Std Adj Read]]&lt;=Table1[[#This Row],[High Tol]],"Pass","Fail"),IF(Table1[[#This Row],[DUT Adj Read]]&lt;=Table1[[#This Row],[High Tol]],"Pass","Fail")))</f>
        <v>Fail</v>
      </c>
      <c r="AH8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5" s="1" t="b">
        <v>0</v>
      </c>
      <c r="AN815" s="1" t="b">
        <v>0</v>
      </c>
      <c r="AO815" s="1" t="b">
        <v>0</v>
      </c>
    </row>
    <row r="816" spans="1:41" x14ac:dyDescent="0.25">
      <c r="A816" s="10"/>
      <c r="B816" s="10"/>
      <c r="C816" s="10"/>
      <c r="D816" s="10"/>
      <c r="E816" s="10"/>
      <c r="F816" s="10"/>
      <c r="G816" s="10"/>
      <c r="H816" s="10"/>
      <c r="I816" s="1" t="str">
        <f t="shared" si="36"/>
        <v/>
      </c>
      <c r="J816" s="1" t="s">
        <v>35</v>
      </c>
      <c r="K816" s="1" t="str">
        <f t="shared" si="37"/>
        <v/>
      </c>
      <c r="L816" s="1" t="str">
        <f t="shared" si="38"/>
        <v/>
      </c>
      <c r="M816" s="1">
        <f>IF(OR(Table1[[#This Row],[Std Nom]]="",Table1[[#This Row],[Std Read]]=""),0,Table1[[#This Row],[Std Nom]]-Table1[[#This Row],[Std Read]])</f>
        <v>0</v>
      </c>
      <c r="N816" s="1">
        <f>IF(Calculations!$F$5="ACCREDITED 17025 WITH UNCERTAINTIES",$N$10,0)</f>
        <v>0</v>
      </c>
      <c r="Q816" s="1">
        <f>Table1[[#This Row],[High Tol]]-Table1[[#This Row],[Low Tol]]</f>
        <v>0</v>
      </c>
      <c r="R816" s="1">
        <f>2*Table1[[#This Row],[Std Error]]</f>
        <v>0</v>
      </c>
      <c r="S816" s="1" t="str">
        <f>IF(Table1[[#This Row],[High Tol]]="","N/A",IFERROR(ABS(Table1[[#This Row],[Tol Span]]/Table1[[#This Row],[Error Span]]),"N/A"))</f>
        <v>N/A</v>
      </c>
      <c r="T816" s="1" t="str">
        <f>IF(OR(Table1[[#This Row],[Low Tol]]="",Table1[[#This Row],[High Tol]]=""),"Needs Analysis",IF(Table1[[#This Row],[Ratio]]&gt;=4,"Not Significant",IF(Table1[[#This Row],[Ratio]]&gt;=2,"Semi-Significant","Significant")))</f>
        <v>Needs Analysis</v>
      </c>
      <c r="W816" s="1">
        <f>IF(Table1[[#This Row],[Cal Type]]&lt;&gt;"ACCREDITED 17025 WITH UNCERTAINTIES",0,"")</f>
        <v>0</v>
      </c>
      <c r="X816" s="1" t="str">
        <f>IF(Table1[[#This Row],[DUT Read]]="","N/A",Table1[[#This Row],[Std Error]]+Table1[[#This Row],[DUT Read]]+Table1[[#This Row],[DUT Ucty]])</f>
        <v>N/A</v>
      </c>
      <c r="Y816" s="1" t="str">
        <f>IF(Table1[[#This Row],[Std Read]]="","N/A",Table1[[#This Row],[Std Read]]+Table1[[#This Row],[Std Ucty]])</f>
        <v>N/A</v>
      </c>
      <c r="Z8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6" s="1" t="str">
        <f>IF(Table1[[#This Row],[Spec Type]]="","N/A",Table1[[#This Row],[Spec Type]])</f>
        <v>±</v>
      </c>
      <c r="AC816" s="1" t="str">
        <f>IF(Table1[[#This Row],[Spec Type2]]="N/A","N/A",IF(AND(Table1[[#This Row],[DUT Adj Read]]&gt;=Table1[[#This Row],[Low Tol]],Table1[[#This Row],[DUT Adj Read]]&lt;=Table1[[#This Row],[High Tol]]),"Pass","Fail"))</f>
        <v>Fail</v>
      </c>
      <c r="AD816" s="1" t="str">
        <f>IF(AND(Table1[[#This Row],[Spec Type2]]="N/A",Table1[[#This Row],[DUT Adj Read]]="N/A",Table1[[#This Row],[Std Adj Read]]="N/A"),"N/A",IF(Table1[[#This Row],[DUT Adj Read]]="N/A",IF(Table1[[#This Row],[Std Adj Read]]&gt;Table1[[#This Row],[Low Tol]],"Pass","Fail"),IF(Table1[[#This Row],[DUT Adj Read]]&gt;Table1[[#This Row],[Low Tol]],"Pass","Fail")))</f>
        <v>Pass</v>
      </c>
      <c r="AE816" s="1" t="str">
        <f>IF(AND(Table1[[#This Row],[Spec Type2]]="N/A",Table1[[#This Row],[DUT Adj Read]]="N/A",Table1[[#This Row],[Std Adj Read]]="N/A"),"N/A",IF(Table1[[#This Row],[DUT Adj Read]]="N/A",IF(Table1[[#This Row],[Std Adj Read]]&lt;Table1[[#This Row],[High Tol]],"Pass","Fail"),IF(Table1[[#This Row],[DUT Adj Read]]&lt;Table1[[#This Row],[High Tol]],"Pass","Fail")))</f>
        <v>Fail</v>
      </c>
      <c r="AF816" s="1" t="str">
        <f>IF(AND(Table1[[#This Row],[Spec Type2]]="N/A",Table1[[#This Row],[DUT Adj Read]]="N/A",Table1[[#This Row],[Std Adj Read]]="N/A"),"N/A",IF(Table1[[#This Row],[DUT Adj Read]]="N/A",IF(Table1[[#This Row],[Std Adj Read]]&gt;=Table1[[#This Row],[Low Tol]],"Pass","Fail"),IF(Table1[[#This Row],[DUT Adj Read]]&gt;=Table1[[#This Row],[Low Tol]],"Pass","Fail")))</f>
        <v>Pass</v>
      </c>
      <c r="AG816" s="1" t="str">
        <f>IF(AND(Table1[[#This Row],[Spec Type2]]="N/A",Table1[[#This Row],[DUT Adj Read]]="N/A",Table1[[#This Row],[Std Adj Read]]="N/A"),"N/A",IF(Table1[[#This Row],[DUT Adj Read]]="N/A",IF(Table1[[#This Row],[Std Adj Read]]&lt;=Table1[[#This Row],[High Tol]],"Pass","Fail"),IF(Table1[[#This Row],[DUT Adj Read]]&lt;=Table1[[#This Row],[High Tol]],"Pass","Fail")))</f>
        <v>Fail</v>
      </c>
      <c r="AH8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6" s="1" t="b">
        <v>0</v>
      </c>
      <c r="AN816" s="1" t="b">
        <v>0</v>
      </c>
      <c r="AO816" s="1" t="b">
        <v>0</v>
      </c>
    </row>
    <row r="817" spans="1:41" x14ac:dyDescent="0.25">
      <c r="A817" s="10"/>
      <c r="B817" s="10"/>
      <c r="C817" s="10"/>
      <c r="D817" s="10"/>
      <c r="E817" s="10"/>
      <c r="F817" s="10"/>
      <c r="G817" s="10"/>
      <c r="H817" s="10"/>
      <c r="I817" s="1" t="str">
        <f t="shared" si="36"/>
        <v/>
      </c>
      <c r="J817" s="1" t="s">
        <v>35</v>
      </c>
      <c r="K817" s="1" t="str">
        <f t="shared" si="37"/>
        <v/>
      </c>
      <c r="L817" s="1" t="str">
        <f t="shared" si="38"/>
        <v/>
      </c>
      <c r="M817" s="1">
        <f>IF(OR(Table1[[#This Row],[Std Nom]]="",Table1[[#This Row],[Std Read]]=""),0,Table1[[#This Row],[Std Nom]]-Table1[[#This Row],[Std Read]])</f>
        <v>0</v>
      </c>
      <c r="N817" s="1">
        <f>IF(Calculations!$F$5="ACCREDITED 17025 WITH UNCERTAINTIES",$N$10,0)</f>
        <v>0</v>
      </c>
      <c r="Q817" s="1">
        <f>Table1[[#This Row],[High Tol]]-Table1[[#This Row],[Low Tol]]</f>
        <v>0</v>
      </c>
      <c r="R817" s="1">
        <f>2*Table1[[#This Row],[Std Error]]</f>
        <v>0</v>
      </c>
      <c r="S817" s="1" t="str">
        <f>IF(Table1[[#This Row],[High Tol]]="","N/A",IFERROR(ABS(Table1[[#This Row],[Tol Span]]/Table1[[#This Row],[Error Span]]),"N/A"))</f>
        <v>N/A</v>
      </c>
      <c r="T817" s="1" t="str">
        <f>IF(OR(Table1[[#This Row],[Low Tol]]="",Table1[[#This Row],[High Tol]]=""),"Needs Analysis",IF(Table1[[#This Row],[Ratio]]&gt;=4,"Not Significant",IF(Table1[[#This Row],[Ratio]]&gt;=2,"Semi-Significant","Significant")))</f>
        <v>Needs Analysis</v>
      </c>
      <c r="W817" s="1">
        <f>IF(Table1[[#This Row],[Cal Type]]&lt;&gt;"ACCREDITED 17025 WITH UNCERTAINTIES",0,"")</f>
        <v>0</v>
      </c>
      <c r="X817" s="1" t="str">
        <f>IF(Table1[[#This Row],[DUT Read]]="","N/A",Table1[[#This Row],[Std Error]]+Table1[[#This Row],[DUT Read]]+Table1[[#This Row],[DUT Ucty]])</f>
        <v>N/A</v>
      </c>
      <c r="Y817" s="1" t="str">
        <f>IF(Table1[[#This Row],[Std Read]]="","N/A",Table1[[#This Row],[Std Read]]+Table1[[#This Row],[Std Ucty]])</f>
        <v>N/A</v>
      </c>
      <c r="Z8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7" s="1" t="str">
        <f>IF(Table1[[#This Row],[Spec Type]]="","N/A",Table1[[#This Row],[Spec Type]])</f>
        <v>±</v>
      </c>
      <c r="AC817" s="1" t="str">
        <f>IF(Table1[[#This Row],[Spec Type2]]="N/A","N/A",IF(AND(Table1[[#This Row],[DUT Adj Read]]&gt;=Table1[[#This Row],[Low Tol]],Table1[[#This Row],[DUT Adj Read]]&lt;=Table1[[#This Row],[High Tol]]),"Pass","Fail"))</f>
        <v>Fail</v>
      </c>
      <c r="AD817" s="1" t="str">
        <f>IF(AND(Table1[[#This Row],[Spec Type2]]="N/A",Table1[[#This Row],[DUT Adj Read]]="N/A",Table1[[#This Row],[Std Adj Read]]="N/A"),"N/A",IF(Table1[[#This Row],[DUT Adj Read]]="N/A",IF(Table1[[#This Row],[Std Adj Read]]&gt;Table1[[#This Row],[Low Tol]],"Pass","Fail"),IF(Table1[[#This Row],[DUT Adj Read]]&gt;Table1[[#This Row],[Low Tol]],"Pass","Fail")))</f>
        <v>Pass</v>
      </c>
      <c r="AE817" s="1" t="str">
        <f>IF(AND(Table1[[#This Row],[Spec Type2]]="N/A",Table1[[#This Row],[DUT Adj Read]]="N/A",Table1[[#This Row],[Std Adj Read]]="N/A"),"N/A",IF(Table1[[#This Row],[DUT Adj Read]]="N/A",IF(Table1[[#This Row],[Std Adj Read]]&lt;Table1[[#This Row],[High Tol]],"Pass","Fail"),IF(Table1[[#This Row],[DUT Adj Read]]&lt;Table1[[#This Row],[High Tol]],"Pass","Fail")))</f>
        <v>Fail</v>
      </c>
      <c r="AF817" s="1" t="str">
        <f>IF(AND(Table1[[#This Row],[Spec Type2]]="N/A",Table1[[#This Row],[DUT Adj Read]]="N/A",Table1[[#This Row],[Std Adj Read]]="N/A"),"N/A",IF(Table1[[#This Row],[DUT Adj Read]]="N/A",IF(Table1[[#This Row],[Std Adj Read]]&gt;=Table1[[#This Row],[Low Tol]],"Pass","Fail"),IF(Table1[[#This Row],[DUT Adj Read]]&gt;=Table1[[#This Row],[Low Tol]],"Pass","Fail")))</f>
        <v>Pass</v>
      </c>
      <c r="AG817" s="1" t="str">
        <f>IF(AND(Table1[[#This Row],[Spec Type2]]="N/A",Table1[[#This Row],[DUT Adj Read]]="N/A",Table1[[#This Row],[Std Adj Read]]="N/A"),"N/A",IF(Table1[[#This Row],[DUT Adj Read]]="N/A",IF(Table1[[#This Row],[Std Adj Read]]&lt;=Table1[[#This Row],[High Tol]],"Pass","Fail"),IF(Table1[[#This Row],[DUT Adj Read]]&lt;=Table1[[#This Row],[High Tol]],"Pass","Fail")))</f>
        <v>Fail</v>
      </c>
      <c r="AH8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7" s="1" t="b">
        <v>0</v>
      </c>
      <c r="AN817" s="1" t="b">
        <v>0</v>
      </c>
      <c r="AO817" s="1" t="b">
        <v>0</v>
      </c>
    </row>
    <row r="818" spans="1:41" x14ac:dyDescent="0.25">
      <c r="A818" s="10"/>
      <c r="B818" s="10"/>
      <c r="C818" s="10"/>
      <c r="D818" s="10"/>
      <c r="E818" s="10"/>
      <c r="F818" s="10"/>
      <c r="G818" s="10"/>
      <c r="H818" s="10"/>
      <c r="I818" s="1" t="str">
        <f t="shared" si="36"/>
        <v/>
      </c>
      <c r="J818" s="1" t="s">
        <v>35</v>
      </c>
      <c r="K818" s="1" t="str">
        <f t="shared" si="37"/>
        <v/>
      </c>
      <c r="L818" s="1" t="str">
        <f t="shared" si="38"/>
        <v/>
      </c>
      <c r="M818" s="1">
        <f>IF(OR(Table1[[#This Row],[Std Nom]]="",Table1[[#This Row],[Std Read]]=""),0,Table1[[#This Row],[Std Nom]]-Table1[[#This Row],[Std Read]])</f>
        <v>0</v>
      </c>
      <c r="N818" s="1">
        <f>IF(Calculations!$F$5="ACCREDITED 17025 WITH UNCERTAINTIES",$N$10,0)</f>
        <v>0</v>
      </c>
      <c r="Q818" s="1">
        <f>Table1[[#This Row],[High Tol]]-Table1[[#This Row],[Low Tol]]</f>
        <v>0</v>
      </c>
      <c r="R818" s="1">
        <f>2*Table1[[#This Row],[Std Error]]</f>
        <v>0</v>
      </c>
      <c r="S818" s="1" t="str">
        <f>IF(Table1[[#This Row],[High Tol]]="","N/A",IFERROR(ABS(Table1[[#This Row],[Tol Span]]/Table1[[#This Row],[Error Span]]),"N/A"))</f>
        <v>N/A</v>
      </c>
      <c r="T818" s="1" t="str">
        <f>IF(OR(Table1[[#This Row],[Low Tol]]="",Table1[[#This Row],[High Tol]]=""),"Needs Analysis",IF(Table1[[#This Row],[Ratio]]&gt;=4,"Not Significant",IF(Table1[[#This Row],[Ratio]]&gt;=2,"Semi-Significant","Significant")))</f>
        <v>Needs Analysis</v>
      </c>
      <c r="W818" s="1">
        <f>IF(Table1[[#This Row],[Cal Type]]&lt;&gt;"ACCREDITED 17025 WITH UNCERTAINTIES",0,"")</f>
        <v>0</v>
      </c>
      <c r="X818" s="1" t="str">
        <f>IF(Table1[[#This Row],[DUT Read]]="","N/A",Table1[[#This Row],[Std Error]]+Table1[[#This Row],[DUT Read]]+Table1[[#This Row],[DUT Ucty]])</f>
        <v>N/A</v>
      </c>
      <c r="Y818" s="1" t="str">
        <f>IF(Table1[[#This Row],[Std Read]]="","N/A",Table1[[#This Row],[Std Read]]+Table1[[#This Row],[Std Ucty]])</f>
        <v>N/A</v>
      </c>
      <c r="Z8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8" s="1" t="str">
        <f>IF(Table1[[#This Row],[Spec Type]]="","N/A",Table1[[#This Row],[Spec Type]])</f>
        <v>±</v>
      </c>
      <c r="AC818" s="1" t="str">
        <f>IF(Table1[[#This Row],[Spec Type2]]="N/A","N/A",IF(AND(Table1[[#This Row],[DUT Adj Read]]&gt;=Table1[[#This Row],[Low Tol]],Table1[[#This Row],[DUT Adj Read]]&lt;=Table1[[#This Row],[High Tol]]),"Pass","Fail"))</f>
        <v>Fail</v>
      </c>
      <c r="AD818" s="1" t="str">
        <f>IF(AND(Table1[[#This Row],[Spec Type2]]="N/A",Table1[[#This Row],[DUT Adj Read]]="N/A",Table1[[#This Row],[Std Adj Read]]="N/A"),"N/A",IF(Table1[[#This Row],[DUT Adj Read]]="N/A",IF(Table1[[#This Row],[Std Adj Read]]&gt;Table1[[#This Row],[Low Tol]],"Pass","Fail"),IF(Table1[[#This Row],[DUT Adj Read]]&gt;Table1[[#This Row],[Low Tol]],"Pass","Fail")))</f>
        <v>Pass</v>
      </c>
      <c r="AE818" s="1" t="str">
        <f>IF(AND(Table1[[#This Row],[Spec Type2]]="N/A",Table1[[#This Row],[DUT Adj Read]]="N/A",Table1[[#This Row],[Std Adj Read]]="N/A"),"N/A",IF(Table1[[#This Row],[DUT Adj Read]]="N/A",IF(Table1[[#This Row],[Std Adj Read]]&lt;Table1[[#This Row],[High Tol]],"Pass","Fail"),IF(Table1[[#This Row],[DUT Adj Read]]&lt;Table1[[#This Row],[High Tol]],"Pass","Fail")))</f>
        <v>Fail</v>
      </c>
      <c r="AF818" s="1" t="str">
        <f>IF(AND(Table1[[#This Row],[Spec Type2]]="N/A",Table1[[#This Row],[DUT Adj Read]]="N/A",Table1[[#This Row],[Std Adj Read]]="N/A"),"N/A",IF(Table1[[#This Row],[DUT Adj Read]]="N/A",IF(Table1[[#This Row],[Std Adj Read]]&gt;=Table1[[#This Row],[Low Tol]],"Pass","Fail"),IF(Table1[[#This Row],[DUT Adj Read]]&gt;=Table1[[#This Row],[Low Tol]],"Pass","Fail")))</f>
        <v>Pass</v>
      </c>
      <c r="AG818" s="1" t="str">
        <f>IF(AND(Table1[[#This Row],[Spec Type2]]="N/A",Table1[[#This Row],[DUT Adj Read]]="N/A",Table1[[#This Row],[Std Adj Read]]="N/A"),"N/A",IF(Table1[[#This Row],[DUT Adj Read]]="N/A",IF(Table1[[#This Row],[Std Adj Read]]&lt;=Table1[[#This Row],[High Tol]],"Pass","Fail"),IF(Table1[[#This Row],[DUT Adj Read]]&lt;=Table1[[#This Row],[High Tol]],"Pass","Fail")))</f>
        <v>Fail</v>
      </c>
      <c r="AH8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8" s="1" t="b">
        <v>0</v>
      </c>
      <c r="AN818" s="1" t="b">
        <v>0</v>
      </c>
      <c r="AO818" s="1" t="b">
        <v>0</v>
      </c>
    </row>
    <row r="819" spans="1:41" x14ac:dyDescent="0.25">
      <c r="A819" s="10"/>
      <c r="B819" s="10"/>
      <c r="C819" s="10"/>
      <c r="D819" s="10"/>
      <c r="E819" s="10"/>
      <c r="F819" s="10"/>
      <c r="G819" s="10"/>
      <c r="H819" s="10"/>
      <c r="I819" s="1" t="str">
        <f t="shared" si="36"/>
        <v/>
      </c>
      <c r="J819" s="1" t="s">
        <v>35</v>
      </c>
      <c r="K819" s="1" t="str">
        <f t="shared" si="37"/>
        <v/>
      </c>
      <c r="L819" s="1" t="str">
        <f t="shared" si="38"/>
        <v/>
      </c>
      <c r="M819" s="1">
        <f>IF(OR(Table1[[#This Row],[Std Nom]]="",Table1[[#This Row],[Std Read]]=""),0,Table1[[#This Row],[Std Nom]]-Table1[[#This Row],[Std Read]])</f>
        <v>0</v>
      </c>
      <c r="N819" s="1">
        <f>IF(Calculations!$F$5="ACCREDITED 17025 WITH UNCERTAINTIES",$N$10,0)</f>
        <v>0</v>
      </c>
      <c r="Q819" s="1">
        <f>Table1[[#This Row],[High Tol]]-Table1[[#This Row],[Low Tol]]</f>
        <v>0</v>
      </c>
      <c r="R819" s="1">
        <f>2*Table1[[#This Row],[Std Error]]</f>
        <v>0</v>
      </c>
      <c r="S819" s="1" t="str">
        <f>IF(Table1[[#This Row],[High Tol]]="","N/A",IFERROR(ABS(Table1[[#This Row],[Tol Span]]/Table1[[#This Row],[Error Span]]),"N/A"))</f>
        <v>N/A</v>
      </c>
      <c r="T819" s="1" t="str">
        <f>IF(OR(Table1[[#This Row],[Low Tol]]="",Table1[[#This Row],[High Tol]]=""),"Needs Analysis",IF(Table1[[#This Row],[Ratio]]&gt;=4,"Not Significant",IF(Table1[[#This Row],[Ratio]]&gt;=2,"Semi-Significant","Significant")))</f>
        <v>Needs Analysis</v>
      </c>
      <c r="W819" s="1">
        <f>IF(Table1[[#This Row],[Cal Type]]&lt;&gt;"ACCREDITED 17025 WITH UNCERTAINTIES",0,"")</f>
        <v>0</v>
      </c>
      <c r="X819" s="1" t="str">
        <f>IF(Table1[[#This Row],[DUT Read]]="","N/A",Table1[[#This Row],[Std Error]]+Table1[[#This Row],[DUT Read]]+Table1[[#This Row],[DUT Ucty]])</f>
        <v>N/A</v>
      </c>
      <c r="Y819" s="1" t="str">
        <f>IF(Table1[[#This Row],[Std Read]]="","N/A",Table1[[#This Row],[Std Read]]+Table1[[#This Row],[Std Ucty]])</f>
        <v>N/A</v>
      </c>
      <c r="Z8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19" s="1" t="str">
        <f>IF(Table1[[#This Row],[Spec Type]]="","N/A",Table1[[#This Row],[Spec Type]])</f>
        <v>±</v>
      </c>
      <c r="AC819" s="1" t="str">
        <f>IF(Table1[[#This Row],[Spec Type2]]="N/A","N/A",IF(AND(Table1[[#This Row],[DUT Adj Read]]&gt;=Table1[[#This Row],[Low Tol]],Table1[[#This Row],[DUT Adj Read]]&lt;=Table1[[#This Row],[High Tol]]),"Pass","Fail"))</f>
        <v>Fail</v>
      </c>
      <c r="AD819" s="1" t="str">
        <f>IF(AND(Table1[[#This Row],[Spec Type2]]="N/A",Table1[[#This Row],[DUT Adj Read]]="N/A",Table1[[#This Row],[Std Adj Read]]="N/A"),"N/A",IF(Table1[[#This Row],[DUT Adj Read]]="N/A",IF(Table1[[#This Row],[Std Adj Read]]&gt;Table1[[#This Row],[Low Tol]],"Pass","Fail"),IF(Table1[[#This Row],[DUT Adj Read]]&gt;Table1[[#This Row],[Low Tol]],"Pass","Fail")))</f>
        <v>Pass</v>
      </c>
      <c r="AE819" s="1" t="str">
        <f>IF(AND(Table1[[#This Row],[Spec Type2]]="N/A",Table1[[#This Row],[DUT Adj Read]]="N/A",Table1[[#This Row],[Std Adj Read]]="N/A"),"N/A",IF(Table1[[#This Row],[DUT Adj Read]]="N/A",IF(Table1[[#This Row],[Std Adj Read]]&lt;Table1[[#This Row],[High Tol]],"Pass","Fail"),IF(Table1[[#This Row],[DUT Adj Read]]&lt;Table1[[#This Row],[High Tol]],"Pass","Fail")))</f>
        <v>Fail</v>
      </c>
      <c r="AF819" s="1" t="str">
        <f>IF(AND(Table1[[#This Row],[Spec Type2]]="N/A",Table1[[#This Row],[DUT Adj Read]]="N/A",Table1[[#This Row],[Std Adj Read]]="N/A"),"N/A",IF(Table1[[#This Row],[DUT Adj Read]]="N/A",IF(Table1[[#This Row],[Std Adj Read]]&gt;=Table1[[#This Row],[Low Tol]],"Pass","Fail"),IF(Table1[[#This Row],[DUT Adj Read]]&gt;=Table1[[#This Row],[Low Tol]],"Pass","Fail")))</f>
        <v>Pass</v>
      </c>
      <c r="AG819" s="1" t="str">
        <f>IF(AND(Table1[[#This Row],[Spec Type2]]="N/A",Table1[[#This Row],[DUT Adj Read]]="N/A",Table1[[#This Row],[Std Adj Read]]="N/A"),"N/A",IF(Table1[[#This Row],[DUT Adj Read]]="N/A",IF(Table1[[#This Row],[Std Adj Read]]&lt;=Table1[[#This Row],[High Tol]],"Pass","Fail"),IF(Table1[[#This Row],[DUT Adj Read]]&lt;=Table1[[#This Row],[High Tol]],"Pass","Fail")))</f>
        <v>Fail</v>
      </c>
      <c r="AH8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19" s="1" t="b">
        <v>0</v>
      </c>
      <c r="AN819" s="1" t="b">
        <v>0</v>
      </c>
      <c r="AO819" s="1" t="b">
        <v>0</v>
      </c>
    </row>
    <row r="820" spans="1:41" x14ac:dyDescent="0.25">
      <c r="A820" s="10"/>
      <c r="B820" s="10"/>
      <c r="C820" s="10"/>
      <c r="D820" s="10"/>
      <c r="E820" s="10"/>
      <c r="F820" s="10"/>
      <c r="G820" s="10"/>
      <c r="H820" s="10"/>
      <c r="I820" s="1" t="str">
        <f t="shared" si="36"/>
        <v/>
      </c>
      <c r="J820" s="1" t="s">
        <v>35</v>
      </c>
      <c r="K820" s="1" t="str">
        <f t="shared" si="37"/>
        <v/>
      </c>
      <c r="L820" s="1" t="str">
        <f t="shared" si="38"/>
        <v/>
      </c>
      <c r="M820" s="1">
        <f>IF(OR(Table1[[#This Row],[Std Nom]]="",Table1[[#This Row],[Std Read]]=""),0,Table1[[#This Row],[Std Nom]]-Table1[[#This Row],[Std Read]])</f>
        <v>0</v>
      </c>
      <c r="N820" s="1">
        <f>IF(Calculations!$F$5="ACCREDITED 17025 WITH UNCERTAINTIES",$N$10,0)</f>
        <v>0</v>
      </c>
      <c r="Q820" s="1">
        <f>Table1[[#This Row],[High Tol]]-Table1[[#This Row],[Low Tol]]</f>
        <v>0</v>
      </c>
      <c r="R820" s="1">
        <f>2*Table1[[#This Row],[Std Error]]</f>
        <v>0</v>
      </c>
      <c r="S820" s="1" t="str">
        <f>IF(Table1[[#This Row],[High Tol]]="","N/A",IFERROR(ABS(Table1[[#This Row],[Tol Span]]/Table1[[#This Row],[Error Span]]),"N/A"))</f>
        <v>N/A</v>
      </c>
      <c r="T820" s="1" t="str">
        <f>IF(OR(Table1[[#This Row],[Low Tol]]="",Table1[[#This Row],[High Tol]]=""),"Needs Analysis",IF(Table1[[#This Row],[Ratio]]&gt;=4,"Not Significant",IF(Table1[[#This Row],[Ratio]]&gt;=2,"Semi-Significant","Significant")))</f>
        <v>Needs Analysis</v>
      </c>
      <c r="W820" s="1">
        <f>IF(Table1[[#This Row],[Cal Type]]&lt;&gt;"ACCREDITED 17025 WITH UNCERTAINTIES",0,"")</f>
        <v>0</v>
      </c>
      <c r="X820" s="1" t="str">
        <f>IF(Table1[[#This Row],[DUT Read]]="","N/A",Table1[[#This Row],[Std Error]]+Table1[[#This Row],[DUT Read]]+Table1[[#This Row],[DUT Ucty]])</f>
        <v>N/A</v>
      </c>
      <c r="Y820" s="1" t="str">
        <f>IF(Table1[[#This Row],[Std Read]]="","N/A",Table1[[#This Row],[Std Read]]+Table1[[#This Row],[Std Ucty]])</f>
        <v>N/A</v>
      </c>
      <c r="Z8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0" s="1" t="str">
        <f>IF(Table1[[#This Row],[Spec Type]]="","N/A",Table1[[#This Row],[Spec Type]])</f>
        <v>±</v>
      </c>
      <c r="AC820" s="1" t="str">
        <f>IF(Table1[[#This Row],[Spec Type2]]="N/A","N/A",IF(AND(Table1[[#This Row],[DUT Adj Read]]&gt;=Table1[[#This Row],[Low Tol]],Table1[[#This Row],[DUT Adj Read]]&lt;=Table1[[#This Row],[High Tol]]),"Pass","Fail"))</f>
        <v>Fail</v>
      </c>
      <c r="AD820" s="1" t="str">
        <f>IF(AND(Table1[[#This Row],[Spec Type2]]="N/A",Table1[[#This Row],[DUT Adj Read]]="N/A",Table1[[#This Row],[Std Adj Read]]="N/A"),"N/A",IF(Table1[[#This Row],[DUT Adj Read]]="N/A",IF(Table1[[#This Row],[Std Adj Read]]&gt;Table1[[#This Row],[Low Tol]],"Pass","Fail"),IF(Table1[[#This Row],[DUT Adj Read]]&gt;Table1[[#This Row],[Low Tol]],"Pass","Fail")))</f>
        <v>Pass</v>
      </c>
      <c r="AE820" s="1" t="str">
        <f>IF(AND(Table1[[#This Row],[Spec Type2]]="N/A",Table1[[#This Row],[DUT Adj Read]]="N/A",Table1[[#This Row],[Std Adj Read]]="N/A"),"N/A",IF(Table1[[#This Row],[DUT Adj Read]]="N/A",IF(Table1[[#This Row],[Std Adj Read]]&lt;Table1[[#This Row],[High Tol]],"Pass","Fail"),IF(Table1[[#This Row],[DUT Adj Read]]&lt;Table1[[#This Row],[High Tol]],"Pass","Fail")))</f>
        <v>Fail</v>
      </c>
      <c r="AF820" s="1" t="str">
        <f>IF(AND(Table1[[#This Row],[Spec Type2]]="N/A",Table1[[#This Row],[DUT Adj Read]]="N/A",Table1[[#This Row],[Std Adj Read]]="N/A"),"N/A",IF(Table1[[#This Row],[DUT Adj Read]]="N/A",IF(Table1[[#This Row],[Std Adj Read]]&gt;=Table1[[#This Row],[Low Tol]],"Pass","Fail"),IF(Table1[[#This Row],[DUT Adj Read]]&gt;=Table1[[#This Row],[Low Tol]],"Pass","Fail")))</f>
        <v>Pass</v>
      </c>
      <c r="AG820" s="1" t="str">
        <f>IF(AND(Table1[[#This Row],[Spec Type2]]="N/A",Table1[[#This Row],[DUT Adj Read]]="N/A",Table1[[#This Row],[Std Adj Read]]="N/A"),"N/A",IF(Table1[[#This Row],[DUT Adj Read]]="N/A",IF(Table1[[#This Row],[Std Adj Read]]&lt;=Table1[[#This Row],[High Tol]],"Pass","Fail"),IF(Table1[[#This Row],[DUT Adj Read]]&lt;=Table1[[#This Row],[High Tol]],"Pass","Fail")))</f>
        <v>Fail</v>
      </c>
      <c r="AH8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0" s="1" t="b">
        <v>0</v>
      </c>
      <c r="AN820" s="1" t="b">
        <v>0</v>
      </c>
      <c r="AO820" s="1" t="b">
        <v>0</v>
      </c>
    </row>
    <row r="821" spans="1:41" x14ac:dyDescent="0.25">
      <c r="A821" s="10"/>
      <c r="B821" s="10"/>
      <c r="C821" s="10"/>
      <c r="D821" s="10"/>
      <c r="E821" s="10"/>
      <c r="F821" s="10"/>
      <c r="G821" s="10"/>
      <c r="H821" s="10"/>
      <c r="I821" s="1" t="str">
        <f t="shared" si="36"/>
        <v/>
      </c>
      <c r="J821" s="1" t="s">
        <v>35</v>
      </c>
      <c r="K821" s="1" t="str">
        <f t="shared" si="37"/>
        <v/>
      </c>
      <c r="L821" s="1" t="str">
        <f t="shared" si="38"/>
        <v/>
      </c>
      <c r="M821" s="1">
        <f>IF(OR(Table1[[#This Row],[Std Nom]]="",Table1[[#This Row],[Std Read]]=""),0,Table1[[#This Row],[Std Nom]]-Table1[[#This Row],[Std Read]])</f>
        <v>0</v>
      </c>
      <c r="N821" s="1">
        <f>IF(Calculations!$F$5="ACCREDITED 17025 WITH UNCERTAINTIES",$N$10,0)</f>
        <v>0</v>
      </c>
      <c r="Q821" s="1">
        <f>Table1[[#This Row],[High Tol]]-Table1[[#This Row],[Low Tol]]</f>
        <v>0</v>
      </c>
      <c r="R821" s="1">
        <f>2*Table1[[#This Row],[Std Error]]</f>
        <v>0</v>
      </c>
      <c r="S821" s="1" t="str">
        <f>IF(Table1[[#This Row],[High Tol]]="","N/A",IFERROR(ABS(Table1[[#This Row],[Tol Span]]/Table1[[#This Row],[Error Span]]),"N/A"))</f>
        <v>N/A</v>
      </c>
      <c r="T821" s="1" t="str">
        <f>IF(OR(Table1[[#This Row],[Low Tol]]="",Table1[[#This Row],[High Tol]]=""),"Needs Analysis",IF(Table1[[#This Row],[Ratio]]&gt;=4,"Not Significant",IF(Table1[[#This Row],[Ratio]]&gt;=2,"Semi-Significant","Significant")))</f>
        <v>Needs Analysis</v>
      </c>
      <c r="W821" s="1">
        <f>IF(Table1[[#This Row],[Cal Type]]&lt;&gt;"ACCREDITED 17025 WITH UNCERTAINTIES",0,"")</f>
        <v>0</v>
      </c>
      <c r="X821" s="1" t="str">
        <f>IF(Table1[[#This Row],[DUT Read]]="","N/A",Table1[[#This Row],[Std Error]]+Table1[[#This Row],[DUT Read]]+Table1[[#This Row],[DUT Ucty]])</f>
        <v>N/A</v>
      </c>
      <c r="Y821" s="1" t="str">
        <f>IF(Table1[[#This Row],[Std Read]]="","N/A",Table1[[#This Row],[Std Read]]+Table1[[#This Row],[Std Ucty]])</f>
        <v>N/A</v>
      </c>
      <c r="Z8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1" s="1" t="str">
        <f>IF(Table1[[#This Row],[Spec Type]]="","N/A",Table1[[#This Row],[Spec Type]])</f>
        <v>±</v>
      </c>
      <c r="AC821" s="1" t="str">
        <f>IF(Table1[[#This Row],[Spec Type2]]="N/A","N/A",IF(AND(Table1[[#This Row],[DUT Adj Read]]&gt;=Table1[[#This Row],[Low Tol]],Table1[[#This Row],[DUT Adj Read]]&lt;=Table1[[#This Row],[High Tol]]),"Pass","Fail"))</f>
        <v>Fail</v>
      </c>
      <c r="AD821" s="1" t="str">
        <f>IF(AND(Table1[[#This Row],[Spec Type2]]="N/A",Table1[[#This Row],[DUT Adj Read]]="N/A",Table1[[#This Row],[Std Adj Read]]="N/A"),"N/A",IF(Table1[[#This Row],[DUT Adj Read]]="N/A",IF(Table1[[#This Row],[Std Adj Read]]&gt;Table1[[#This Row],[Low Tol]],"Pass","Fail"),IF(Table1[[#This Row],[DUT Adj Read]]&gt;Table1[[#This Row],[Low Tol]],"Pass","Fail")))</f>
        <v>Pass</v>
      </c>
      <c r="AE821" s="1" t="str">
        <f>IF(AND(Table1[[#This Row],[Spec Type2]]="N/A",Table1[[#This Row],[DUT Adj Read]]="N/A",Table1[[#This Row],[Std Adj Read]]="N/A"),"N/A",IF(Table1[[#This Row],[DUT Adj Read]]="N/A",IF(Table1[[#This Row],[Std Adj Read]]&lt;Table1[[#This Row],[High Tol]],"Pass","Fail"),IF(Table1[[#This Row],[DUT Adj Read]]&lt;Table1[[#This Row],[High Tol]],"Pass","Fail")))</f>
        <v>Fail</v>
      </c>
      <c r="AF821" s="1" t="str">
        <f>IF(AND(Table1[[#This Row],[Spec Type2]]="N/A",Table1[[#This Row],[DUT Adj Read]]="N/A",Table1[[#This Row],[Std Adj Read]]="N/A"),"N/A",IF(Table1[[#This Row],[DUT Adj Read]]="N/A",IF(Table1[[#This Row],[Std Adj Read]]&gt;=Table1[[#This Row],[Low Tol]],"Pass","Fail"),IF(Table1[[#This Row],[DUT Adj Read]]&gt;=Table1[[#This Row],[Low Tol]],"Pass","Fail")))</f>
        <v>Pass</v>
      </c>
      <c r="AG821" s="1" t="str">
        <f>IF(AND(Table1[[#This Row],[Spec Type2]]="N/A",Table1[[#This Row],[DUT Adj Read]]="N/A",Table1[[#This Row],[Std Adj Read]]="N/A"),"N/A",IF(Table1[[#This Row],[DUT Adj Read]]="N/A",IF(Table1[[#This Row],[Std Adj Read]]&lt;=Table1[[#This Row],[High Tol]],"Pass","Fail"),IF(Table1[[#This Row],[DUT Adj Read]]&lt;=Table1[[#This Row],[High Tol]],"Pass","Fail")))</f>
        <v>Fail</v>
      </c>
      <c r="AH8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1" s="1" t="b">
        <v>0</v>
      </c>
      <c r="AN821" s="1" t="b">
        <v>0</v>
      </c>
      <c r="AO821" s="1" t="b">
        <v>0</v>
      </c>
    </row>
    <row r="822" spans="1:41" x14ac:dyDescent="0.25">
      <c r="A822" s="10"/>
      <c r="B822" s="10"/>
      <c r="C822" s="10"/>
      <c r="D822" s="10"/>
      <c r="E822" s="10"/>
      <c r="F822" s="10"/>
      <c r="G822" s="10"/>
      <c r="H822" s="10"/>
      <c r="I822" s="1" t="str">
        <f t="shared" si="36"/>
        <v/>
      </c>
      <c r="J822" s="1" t="s">
        <v>35</v>
      </c>
      <c r="K822" s="1" t="str">
        <f t="shared" si="37"/>
        <v/>
      </c>
      <c r="L822" s="1" t="str">
        <f t="shared" si="38"/>
        <v/>
      </c>
      <c r="M822" s="1">
        <f>IF(OR(Table1[[#This Row],[Std Nom]]="",Table1[[#This Row],[Std Read]]=""),0,Table1[[#This Row],[Std Nom]]-Table1[[#This Row],[Std Read]])</f>
        <v>0</v>
      </c>
      <c r="N822" s="1">
        <f>IF(Calculations!$F$5="ACCREDITED 17025 WITH UNCERTAINTIES",$N$10,0)</f>
        <v>0</v>
      </c>
      <c r="Q822" s="1">
        <f>Table1[[#This Row],[High Tol]]-Table1[[#This Row],[Low Tol]]</f>
        <v>0</v>
      </c>
      <c r="R822" s="1">
        <f>2*Table1[[#This Row],[Std Error]]</f>
        <v>0</v>
      </c>
      <c r="S822" s="1" t="str">
        <f>IF(Table1[[#This Row],[High Tol]]="","N/A",IFERROR(ABS(Table1[[#This Row],[Tol Span]]/Table1[[#This Row],[Error Span]]),"N/A"))</f>
        <v>N/A</v>
      </c>
      <c r="T822" s="1" t="str">
        <f>IF(OR(Table1[[#This Row],[Low Tol]]="",Table1[[#This Row],[High Tol]]=""),"Needs Analysis",IF(Table1[[#This Row],[Ratio]]&gt;=4,"Not Significant",IF(Table1[[#This Row],[Ratio]]&gt;=2,"Semi-Significant","Significant")))</f>
        <v>Needs Analysis</v>
      </c>
      <c r="W822" s="1">
        <f>IF(Table1[[#This Row],[Cal Type]]&lt;&gt;"ACCREDITED 17025 WITH UNCERTAINTIES",0,"")</f>
        <v>0</v>
      </c>
      <c r="X822" s="1" t="str">
        <f>IF(Table1[[#This Row],[DUT Read]]="","N/A",Table1[[#This Row],[Std Error]]+Table1[[#This Row],[DUT Read]]+Table1[[#This Row],[DUT Ucty]])</f>
        <v>N/A</v>
      </c>
      <c r="Y822" s="1" t="str">
        <f>IF(Table1[[#This Row],[Std Read]]="","N/A",Table1[[#This Row],[Std Read]]+Table1[[#This Row],[Std Ucty]])</f>
        <v>N/A</v>
      </c>
      <c r="Z8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2" s="1" t="str">
        <f>IF(Table1[[#This Row],[Spec Type]]="","N/A",Table1[[#This Row],[Spec Type]])</f>
        <v>±</v>
      </c>
      <c r="AC822" s="1" t="str">
        <f>IF(Table1[[#This Row],[Spec Type2]]="N/A","N/A",IF(AND(Table1[[#This Row],[DUT Adj Read]]&gt;=Table1[[#This Row],[Low Tol]],Table1[[#This Row],[DUT Adj Read]]&lt;=Table1[[#This Row],[High Tol]]),"Pass","Fail"))</f>
        <v>Fail</v>
      </c>
      <c r="AD822" s="1" t="str">
        <f>IF(AND(Table1[[#This Row],[Spec Type2]]="N/A",Table1[[#This Row],[DUT Adj Read]]="N/A",Table1[[#This Row],[Std Adj Read]]="N/A"),"N/A",IF(Table1[[#This Row],[DUT Adj Read]]="N/A",IF(Table1[[#This Row],[Std Adj Read]]&gt;Table1[[#This Row],[Low Tol]],"Pass","Fail"),IF(Table1[[#This Row],[DUT Adj Read]]&gt;Table1[[#This Row],[Low Tol]],"Pass","Fail")))</f>
        <v>Pass</v>
      </c>
      <c r="AE822" s="1" t="str">
        <f>IF(AND(Table1[[#This Row],[Spec Type2]]="N/A",Table1[[#This Row],[DUT Adj Read]]="N/A",Table1[[#This Row],[Std Adj Read]]="N/A"),"N/A",IF(Table1[[#This Row],[DUT Adj Read]]="N/A",IF(Table1[[#This Row],[Std Adj Read]]&lt;Table1[[#This Row],[High Tol]],"Pass","Fail"),IF(Table1[[#This Row],[DUT Adj Read]]&lt;Table1[[#This Row],[High Tol]],"Pass","Fail")))</f>
        <v>Fail</v>
      </c>
      <c r="AF822" s="1" t="str">
        <f>IF(AND(Table1[[#This Row],[Spec Type2]]="N/A",Table1[[#This Row],[DUT Adj Read]]="N/A",Table1[[#This Row],[Std Adj Read]]="N/A"),"N/A",IF(Table1[[#This Row],[DUT Adj Read]]="N/A",IF(Table1[[#This Row],[Std Adj Read]]&gt;=Table1[[#This Row],[Low Tol]],"Pass","Fail"),IF(Table1[[#This Row],[DUT Adj Read]]&gt;=Table1[[#This Row],[Low Tol]],"Pass","Fail")))</f>
        <v>Pass</v>
      </c>
      <c r="AG822" s="1" t="str">
        <f>IF(AND(Table1[[#This Row],[Spec Type2]]="N/A",Table1[[#This Row],[DUT Adj Read]]="N/A",Table1[[#This Row],[Std Adj Read]]="N/A"),"N/A",IF(Table1[[#This Row],[DUT Adj Read]]="N/A",IF(Table1[[#This Row],[Std Adj Read]]&lt;=Table1[[#This Row],[High Tol]],"Pass","Fail"),IF(Table1[[#This Row],[DUT Adj Read]]&lt;=Table1[[#This Row],[High Tol]],"Pass","Fail")))</f>
        <v>Fail</v>
      </c>
      <c r="AH8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2" s="1" t="b">
        <v>0</v>
      </c>
      <c r="AN822" s="1" t="b">
        <v>0</v>
      </c>
      <c r="AO822" s="1" t="b">
        <v>0</v>
      </c>
    </row>
    <row r="823" spans="1:41" x14ac:dyDescent="0.25">
      <c r="A823" s="10"/>
      <c r="B823" s="10"/>
      <c r="C823" s="10"/>
      <c r="D823" s="10"/>
      <c r="E823" s="10"/>
      <c r="F823" s="10"/>
      <c r="G823" s="10"/>
      <c r="H823" s="10"/>
      <c r="I823" s="1" t="str">
        <f t="shared" si="36"/>
        <v/>
      </c>
      <c r="J823" s="1" t="s">
        <v>35</v>
      </c>
      <c r="K823" s="1" t="str">
        <f t="shared" si="37"/>
        <v/>
      </c>
      <c r="L823" s="1" t="str">
        <f t="shared" si="38"/>
        <v/>
      </c>
      <c r="M823" s="1">
        <f>IF(OR(Table1[[#This Row],[Std Nom]]="",Table1[[#This Row],[Std Read]]=""),0,Table1[[#This Row],[Std Nom]]-Table1[[#This Row],[Std Read]])</f>
        <v>0</v>
      </c>
      <c r="N823" s="1">
        <f>IF(Calculations!$F$5="ACCREDITED 17025 WITH UNCERTAINTIES",$N$10,0)</f>
        <v>0</v>
      </c>
      <c r="Q823" s="1">
        <f>Table1[[#This Row],[High Tol]]-Table1[[#This Row],[Low Tol]]</f>
        <v>0</v>
      </c>
      <c r="R823" s="1">
        <f>2*Table1[[#This Row],[Std Error]]</f>
        <v>0</v>
      </c>
      <c r="S823" s="1" t="str">
        <f>IF(Table1[[#This Row],[High Tol]]="","N/A",IFERROR(ABS(Table1[[#This Row],[Tol Span]]/Table1[[#This Row],[Error Span]]),"N/A"))</f>
        <v>N/A</v>
      </c>
      <c r="T823" s="1" t="str">
        <f>IF(OR(Table1[[#This Row],[Low Tol]]="",Table1[[#This Row],[High Tol]]=""),"Needs Analysis",IF(Table1[[#This Row],[Ratio]]&gt;=4,"Not Significant",IF(Table1[[#This Row],[Ratio]]&gt;=2,"Semi-Significant","Significant")))</f>
        <v>Needs Analysis</v>
      </c>
      <c r="W823" s="1">
        <f>IF(Table1[[#This Row],[Cal Type]]&lt;&gt;"ACCREDITED 17025 WITH UNCERTAINTIES",0,"")</f>
        <v>0</v>
      </c>
      <c r="X823" s="1" t="str">
        <f>IF(Table1[[#This Row],[DUT Read]]="","N/A",Table1[[#This Row],[Std Error]]+Table1[[#This Row],[DUT Read]]+Table1[[#This Row],[DUT Ucty]])</f>
        <v>N/A</v>
      </c>
      <c r="Y823" s="1" t="str">
        <f>IF(Table1[[#This Row],[Std Read]]="","N/A",Table1[[#This Row],[Std Read]]+Table1[[#This Row],[Std Ucty]])</f>
        <v>N/A</v>
      </c>
      <c r="Z8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3" s="1" t="str">
        <f>IF(Table1[[#This Row],[Spec Type]]="","N/A",Table1[[#This Row],[Spec Type]])</f>
        <v>±</v>
      </c>
      <c r="AC823" s="1" t="str">
        <f>IF(Table1[[#This Row],[Spec Type2]]="N/A","N/A",IF(AND(Table1[[#This Row],[DUT Adj Read]]&gt;=Table1[[#This Row],[Low Tol]],Table1[[#This Row],[DUT Adj Read]]&lt;=Table1[[#This Row],[High Tol]]),"Pass","Fail"))</f>
        <v>Fail</v>
      </c>
      <c r="AD823" s="1" t="str">
        <f>IF(AND(Table1[[#This Row],[Spec Type2]]="N/A",Table1[[#This Row],[DUT Adj Read]]="N/A",Table1[[#This Row],[Std Adj Read]]="N/A"),"N/A",IF(Table1[[#This Row],[DUT Adj Read]]="N/A",IF(Table1[[#This Row],[Std Adj Read]]&gt;Table1[[#This Row],[Low Tol]],"Pass","Fail"),IF(Table1[[#This Row],[DUT Adj Read]]&gt;Table1[[#This Row],[Low Tol]],"Pass","Fail")))</f>
        <v>Pass</v>
      </c>
      <c r="AE823" s="1" t="str">
        <f>IF(AND(Table1[[#This Row],[Spec Type2]]="N/A",Table1[[#This Row],[DUT Adj Read]]="N/A",Table1[[#This Row],[Std Adj Read]]="N/A"),"N/A",IF(Table1[[#This Row],[DUT Adj Read]]="N/A",IF(Table1[[#This Row],[Std Adj Read]]&lt;Table1[[#This Row],[High Tol]],"Pass","Fail"),IF(Table1[[#This Row],[DUT Adj Read]]&lt;Table1[[#This Row],[High Tol]],"Pass","Fail")))</f>
        <v>Fail</v>
      </c>
      <c r="AF823" s="1" t="str">
        <f>IF(AND(Table1[[#This Row],[Spec Type2]]="N/A",Table1[[#This Row],[DUT Adj Read]]="N/A",Table1[[#This Row],[Std Adj Read]]="N/A"),"N/A",IF(Table1[[#This Row],[DUT Adj Read]]="N/A",IF(Table1[[#This Row],[Std Adj Read]]&gt;=Table1[[#This Row],[Low Tol]],"Pass","Fail"),IF(Table1[[#This Row],[DUT Adj Read]]&gt;=Table1[[#This Row],[Low Tol]],"Pass","Fail")))</f>
        <v>Pass</v>
      </c>
      <c r="AG823" s="1" t="str">
        <f>IF(AND(Table1[[#This Row],[Spec Type2]]="N/A",Table1[[#This Row],[DUT Adj Read]]="N/A",Table1[[#This Row],[Std Adj Read]]="N/A"),"N/A",IF(Table1[[#This Row],[DUT Adj Read]]="N/A",IF(Table1[[#This Row],[Std Adj Read]]&lt;=Table1[[#This Row],[High Tol]],"Pass","Fail"),IF(Table1[[#This Row],[DUT Adj Read]]&lt;=Table1[[#This Row],[High Tol]],"Pass","Fail")))</f>
        <v>Fail</v>
      </c>
      <c r="AH8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3" s="1" t="b">
        <v>0</v>
      </c>
      <c r="AN823" s="1" t="b">
        <v>0</v>
      </c>
      <c r="AO823" s="1" t="b">
        <v>0</v>
      </c>
    </row>
    <row r="824" spans="1:41" x14ac:dyDescent="0.25">
      <c r="A824" s="10"/>
      <c r="B824" s="10"/>
      <c r="C824" s="10"/>
      <c r="D824" s="10"/>
      <c r="E824" s="10"/>
      <c r="F824" s="10"/>
      <c r="G824" s="10"/>
      <c r="H824" s="10"/>
      <c r="I824" s="1" t="str">
        <f t="shared" si="36"/>
        <v/>
      </c>
      <c r="J824" s="1" t="s">
        <v>35</v>
      </c>
      <c r="K824" s="1" t="str">
        <f t="shared" si="37"/>
        <v/>
      </c>
      <c r="L824" s="1" t="str">
        <f t="shared" si="38"/>
        <v/>
      </c>
      <c r="M824" s="1">
        <f>IF(OR(Table1[[#This Row],[Std Nom]]="",Table1[[#This Row],[Std Read]]=""),0,Table1[[#This Row],[Std Nom]]-Table1[[#This Row],[Std Read]])</f>
        <v>0</v>
      </c>
      <c r="N824" s="1">
        <f>IF(Calculations!$F$5="ACCREDITED 17025 WITH UNCERTAINTIES",$N$10,0)</f>
        <v>0</v>
      </c>
      <c r="Q824" s="1">
        <f>Table1[[#This Row],[High Tol]]-Table1[[#This Row],[Low Tol]]</f>
        <v>0</v>
      </c>
      <c r="R824" s="1">
        <f>2*Table1[[#This Row],[Std Error]]</f>
        <v>0</v>
      </c>
      <c r="S824" s="1" t="str">
        <f>IF(Table1[[#This Row],[High Tol]]="","N/A",IFERROR(ABS(Table1[[#This Row],[Tol Span]]/Table1[[#This Row],[Error Span]]),"N/A"))</f>
        <v>N/A</v>
      </c>
      <c r="T824" s="1" t="str">
        <f>IF(OR(Table1[[#This Row],[Low Tol]]="",Table1[[#This Row],[High Tol]]=""),"Needs Analysis",IF(Table1[[#This Row],[Ratio]]&gt;=4,"Not Significant",IF(Table1[[#This Row],[Ratio]]&gt;=2,"Semi-Significant","Significant")))</f>
        <v>Needs Analysis</v>
      </c>
      <c r="W824" s="1">
        <f>IF(Table1[[#This Row],[Cal Type]]&lt;&gt;"ACCREDITED 17025 WITH UNCERTAINTIES",0,"")</f>
        <v>0</v>
      </c>
      <c r="X824" s="1" t="str">
        <f>IF(Table1[[#This Row],[DUT Read]]="","N/A",Table1[[#This Row],[Std Error]]+Table1[[#This Row],[DUT Read]]+Table1[[#This Row],[DUT Ucty]])</f>
        <v>N/A</v>
      </c>
      <c r="Y824" s="1" t="str">
        <f>IF(Table1[[#This Row],[Std Read]]="","N/A",Table1[[#This Row],[Std Read]]+Table1[[#This Row],[Std Ucty]])</f>
        <v>N/A</v>
      </c>
      <c r="Z8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4" s="1" t="str">
        <f>IF(Table1[[#This Row],[Spec Type]]="","N/A",Table1[[#This Row],[Spec Type]])</f>
        <v>±</v>
      </c>
      <c r="AC824" s="1" t="str">
        <f>IF(Table1[[#This Row],[Spec Type2]]="N/A","N/A",IF(AND(Table1[[#This Row],[DUT Adj Read]]&gt;=Table1[[#This Row],[Low Tol]],Table1[[#This Row],[DUT Adj Read]]&lt;=Table1[[#This Row],[High Tol]]),"Pass","Fail"))</f>
        <v>Fail</v>
      </c>
      <c r="AD824" s="1" t="str">
        <f>IF(AND(Table1[[#This Row],[Spec Type2]]="N/A",Table1[[#This Row],[DUT Adj Read]]="N/A",Table1[[#This Row],[Std Adj Read]]="N/A"),"N/A",IF(Table1[[#This Row],[DUT Adj Read]]="N/A",IF(Table1[[#This Row],[Std Adj Read]]&gt;Table1[[#This Row],[Low Tol]],"Pass","Fail"),IF(Table1[[#This Row],[DUT Adj Read]]&gt;Table1[[#This Row],[Low Tol]],"Pass","Fail")))</f>
        <v>Pass</v>
      </c>
      <c r="AE824" s="1" t="str">
        <f>IF(AND(Table1[[#This Row],[Spec Type2]]="N/A",Table1[[#This Row],[DUT Adj Read]]="N/A",Table1[[#This Row],[Std Adj Read]]="N/A"),"N/A",IF(Table1[[#This Row],[DUT Adj Read]]="N/A",IF(Table1[[#This Row],[Std Adj Read]]&lt;Table1[[#This Row],[High Tol]],"Pass","Fail"),IF(Table1[[#This Row],[DUT Adj Read]]&lt;Table1[[#This Row],[High Tol]],"Pass","Fail")))</f>
        <v>Fail</v>
      </c>
      <c r="AF824" s="1" t="str">
        <f>IF(AND(Table1[[#This Row],[Spec Type2]]="N/A",Table1[[#This Row],[DUT Adj Read]]="N/A",Table1[[#This Row],[Std Adj Read]]="N/A"),"N/A",IF(Table1[[#This Row],[DUT Adj Read]]="N/A",IF(Table1[[#This Row],[Std Adj Read]]&gt;=Table1[[#This Row],[Low Tol]],"Pass","Fail"),IF(Table1[[#This Row],[DUT Adj Read]]&gt;=Table1[[#This Row],[Low Tol]],"Pass","Fail")))</f>
        <v>Pass</v>
      </c>
      <c r="AG824" s="1" t="str">
        <f>IF(AND(Table1[[#This Row],[Spec Type2]]="N/A",Table1[[#This Row],[DUT Adj Read]]="N/A",Table1[[#This Row],[Std Adj Read]]="N/A"),"N/A",IF(Table1[[#This Row],[DUT Adj Read]]="N/A",IF(Table1[[#This Row],[Std Adj Read]]&lt;=Table1[[#This Row],[High Tol]],"Pass","Fail"),IF(Table1[[#This Row],[DUT Adj Read]]&lt;=Table1[[#This Row],[High Tol]],"Pass","Fail")))</f>
        <v>Fail</v>
      </c>
      <c r="AH8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4" s="1" t="b">
        <v>0</v>
      </c>
      <c r="AN824" s="1" t="b">
        <v>0</v>
      </c>
      <c r="AO824" s="1" t="b">
        <v>0</v>
      </c>
    </row>
    <row r="825" spans="1:41" x14ac:dyDescent="0.25">
      <c r="A825" s="10"/>
      <c r="B825" s="10"/>
      <c r="C825" s="10"/>
      <c r="D825" s="10"/>
      <c r="E825" s="10"/>
      <c r="F825" s="10"/>
      <c r="G825" s="10"/>
      <c r="H825" s="10"/>
      <c r="I825" s="1" t="str">
        <f t="shared" si="36"/>
        <v/>
      </c>
      <c r="J825" s="1" t="s">
        <v>35</v>
      </c>
      <c r="K825" s="1" t="str">
        <f t="shared" si="37"/>
        <v/>
      </c>
      <c r="L825" s="1" t="str">
        <f t="shared" si="38"/>
        <v/>
      </c>
      <c r="M825" s="1">
        <f>IF(OR(Table1[[#This Row],[Std Nom]]="",Table1[[#This Row],[Std Read]]=""),0,Table1[[#This Row],[Std Nom]]-Table1[[#This Row],[Std Read]])</f>
        <v>0</v>
      </c>
      <c r="N825" s="1">
        <f>IF(Calculations!$F$5="ACCREDITED 17025 WITH UNCERTAINTIES",$N$10,0)</f>
        <v>0</v>
      </c>
      <c r="Q825" s="1">
        <f>Table1[[#This Row],[High Tol]]-Table1[[#This Row],[Low Tol]]</f>
        <v>0</v>
      </c>
      <c r="R825" s="1">
        <f>2*Table1[[#This Row],[Std Error]]</f>
        <v>0</v>
      </c>
      <c r="S825" s="1" t="str">
        <f>IF(Table1[[#This Row],[High Tol]]="","N/A",IFERROR(ABS(Table1[[#This Row],[Tol Span]]/Table1[[#This Row],[Error Span]]),"N/A"))</f>
        <v>N/A</v>
      </c>
      <c r="T825" s="1" t="str">
        <f>IF(OR(Table1[[#This Row],[Low Tol]]="",Table1[[#This Row],[High Tol]]=""),"Needs Analysis",IF(Table1[[#This Row],[Ratio]]&gt;=4,"Not Significant",IF(Table1[[#This Row],[Ratio]]&gt;=2,"Semi-Significant","Significant")))</f>
        <v>Needs Analysis</v>
      </c>
      <c r="W825" s="1">
        <f>IF(Table1[[#This Row],[Cal Type]]&lt;&gt;"ACCREDITED 17025 WITH UNCERTAINTIES",0,"")</f>
        <v>0</v>
      </c>
      <c r="X825" s="1" t="str">
        <f>IF(Table1[[#This Row],[DUT Read]]="","N/A",Table1[[#This Row],[Std Error]]+Table1[[#This Row],[DUT Read]]+Table1[[#This Row],[DUT Ucty]])</f>
        <v>N/A</v>
      </c>
      <c r="Y825" s="1" t="str">
        <f>IF(Table1[[#This Row],[Std Read]]="","N/A",Table1[[#This Row],[Std Read]]+Table1[[#This Row],[Std Ucty]])</f>
        <v>N/A</v>
      </c>
      <c r="Z8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5" s="1" t="str">
        <f>IF(Table1[[#This Row],[Spec Type]]="","N/A",Table1[[#This Row],[Spec Type]])</f>
        <v>±</v>
      </c>
      <c r="AC825" s="1" t="str">
        <f>IF(Table1[[#This Row],[Spec Type2]]="N/A","N/A",IF(AND(Table1[[#This Row],[DUT Adj Read]]&gt;=Table1[[#This Row],[Low Tol]],Table1[[#This Row],[DUT Adj Read]]&lt;=Table1[[#This Row],[High Tol]]),"Pass","Fail"))</f>
        <v>Fail</v>
      </c>
      <c r="AD825" s="1" t="str">
        <f>IF(AND(Table1[[#This Row],[Spec Type2]]="N/A",Table1[[#This Row],[DUT Adj Read]]="N/A",Table1[[#This Row],[Std Adj Read]]="N/A"),"N/A",IF(Table1[[#This Row],[DUT Adj Read]]="N/A",IF(Table1[[#This Row],[Std Adj Read]]&gt;Table1[[#This Row],[Low Tol]],"Pass","Fail"),IF(Table1[[#This Row],[DUT Adj Read]]&gt;Table1[[#This Row],[Low Tol]],"Pass","Fail")))</f>
        <v>Pass</v>
      </c>
      <c r="AE825" s="1" t="str">
        <f>IF(AND(Table1[[#This Row],[Spec Type2]]="N/A",Table1[[#This Row],[DUT Adj Read]]="N/A",Table1[[#This Row],[Std Adj Read]]="N/A"),"N/A",IF(Table1[[#This Row],[DUT Adj Read]]="N/A",IF(Table1[[#This Row],[Std Adj Read]]&lt;Table1[[#This Row],[High Tol]],"Pass","Fail"),IF(Table1[[#This Row],[DUT Adj Read]]&lt;Table1[[#This Row],[High Tol]],"Pass","Fail")))</f>
        <v>Fail</v>
      </c>
      <c r="AF825" s="1" t="str">
        <f>IF(AND(Table1[[#This Row],[Spec Type2]]="N/A",Table1[[#This Row],[DUT Adj Read]]="N/A",Table1[[#This Row],[Std Adj Read]]="N/A"),"N/A",IF(Table1[[#This Row],[DUT Adj Read]]="N/A",IF(Table1[[#This Row],[Std Adj Read]]&gt;=Table1[[#This Row],[Low Tol]],"Pass","Fail"),IF(Table1[[#This Row],[DUT Adj Read]]&gt;=Table1[[#This Row],[Low Tol]],"Pass","Fail")))</f>
        <v>Pass</v>
      </c>
      <c r="AG825" s="1" t="str">
        <f>IF(AND(Table1[[#This Row],[Spec Type2]]="N/A",Table1[[#This Row],[DUT Adj Read]]="N/A",Table1[[#This Row],[Std Adj Read]]="N/A"),"N/A",IF(Table1[[#This Row],[DUT Adj Read]]="N/A",IF(Table1[[#This Row],[Std Adj Read]]&lt;=Table1[[#This Row],[High Tol]],"Pass","Fail"),IF(Table1[[#This Row],[DUT Adj Read]]&lt;=Table1[[#This Row],[High Tol]],"Pass","Fail")))</f>
        <v>Fail</v>
      </c>
      <c r="AH8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5" s="1" t="b">
        <v>0</v>
      </c>
      <c r="AN825" s="1" t="b">
        <v>0</v>
      </c>
      <c r="AO825" s="1" t="b">
        <v>0</v>
      </c>
    </row>
    <row r="826" spans="1:41" x14ac:dyDescent="0.25">
      <c r="A826" s="10"/>
      <c r="B826" s="10"/>
      <c r="C826" s="10"/>
      <c r="D826" s="10"/>
      <c r="E826" s="10"/>
      <c r="F826" s="10"/>
      <c r="G826" s="10"/>
      <c r="H826" s="10"/>
      <c r="I826" s="1" t="str">
        <f t="shared" si="36"/>
        <v/>
      </c>
      <c r="J826" s="1" t="s">
        <v>35</v>
      </c>
      <c r="K826" s="1" t="str">
        <f t="shared" si="37"/>
        <v/>
      </c>
      <c r="L826" s="1" t="str">
        <f t="shared" si="38"/>
        <v/>
      </c>
      <c r="M826" s="1">
        <f>IF(OR(Table1[[#This Row],[Std Nom]]="",Table1[[#This Row],[Std Read]]=""),0,Table1[[#This Row],[Std Nom]]-Table1[[#This Row],[Std Read]])</f>
        <v>0</v>
      </c>
      <c r="N826" s="1">
        <f>IF(Calculations!$F$5="ACCREDITED 17025 WITH UNCERTAINTIES",$N$10,0)</f>
        <v>0</v>
      </c>
      <c r="Q826" s="1">
        <f>Table1[[#This Row],[High Tol]]-Table1[[#This Row],[Low Tol]]</f>
        <v>0</v>
      </c>
      <c r="R826" s="1">
        <f>2*Table1[[#This Row],[Std Error]]</f>
        <v>0</v>
      </c>
      <c r="S826" s="1" t="str">
        <f>IF(Table1[[#This Row],[High Tol]]="","N/A",IFERROR(ABS(Table1[[#This Row],[Tol Span]]/Table1[[#This Row],[Error Span]]),"N/A"))</f>
        <v>N/A</v>
      </c>
      <c r="T826" s="1" t="str">
        <f>IF(OR(Table1[[#This Row],[Low Tol]]="",Table1[[#This Row],[High Tol]]=""),"Needs Analysis",IF(Table1[[#This Row],[Ratio]]&gt;=4,"Not Significant",IF(Table1[[#This Row],[Ratio]]&gt;=2,"Semi-Significant","Significant")))</f>
        <v>Needs Analysis</v>
      </c>
      <c r="W826" s="1">
        <f>IF(Table1[[#This Row],[Cal Type]]&lt;&gt;"ACCREDITED 17025 WITH UNCERTAINTIES",0,"")</f>
        <v>0</v>
      </c>
      <c r="X826" s="1" t="str">
        <f>IF(Table1[[#This Row],[DUT Read]]="","N/A",Table1[[#This Row],[Std Error]]+Table1[[#This Row],[DUT Read]]+Table1[[#This Row],[DUT Ucty]])</f>
        <v>N/A</v>
      </c>
      <c r="Y826" s="1" t="str">
        <f>IF(Table1[[#This Row],[Std Read]]="","N/A",Table1[[#This Row],[Std Read]]+Table1[[#This Row],[Std Ucty]])</f>
        <v>N/A</v>
      </c>
      <c r="Z8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6" s="1" t="str">
        <f>IF(Table1[[#This Row],[Spec Type]]="","N/A",Table1[[#This Row],[Spec Type]])</f>
        <v>±</v>
      </c>
      <c r="AC826" s="1" t="str">
        <f>IF(Table1[[#This Row],[Spec Type2]]="N/A","N/A",IF(AND(Table1[[#This Row],[DUT Adj Read]]&gt;=Table1[[#This Row],[Low Tol]],Table1[[#This Row],[DUT Adj Read]]&lt;=Table1[[#This Row],[High Tol]]),"Pass","Fail"))</f>
        <v>Fail</v>
      </c>
      <c r="AD826" s="1" t="str">
        <f>IF(AND(Table1[[#This Row],[Spec Type2]]="N/A",Table1[[#This Row],[DUT Adj Read]]="N/A",Table1[[#This Row],[Std Adj Read]]="N/A"),"N/A",IF(Table1[[#This Row],[DUT Adj Read]]="N/A",IF(Table1[[#This Row],[Std Adj Read]]&gt;Table1[[#This Row],[Low Tol]],"Pass","Fail"),IF(Table1[[#This Row],[DUT Adj Read]]&gt;Table1[[#This Row],[Low Tol]],"Pass","Fail")))</f>
        <v>Pass</v>
      </c>
      <c r="AE826" s="1" t="str">
        <f>IF(AND(Table1[[#This Row],[Spec Type2]]="N/A",Table1[[#This Row],[DUT Adj Read]]="N/A",Table1[[#This Row],[Std Adj Read]]="N/A"),"N/A",IF(Table1[[#This Row],[DUT Adj Read]]="N/A",IF(Table1[[#This Row],[Std Adj Read]]&lt;Table1[[#This Row],[High Tol]],"Pass","Fail"),IF(Table1[[#This Row],[DUT Adj Read]]&lt;Table1[[#This Row],[High Tol]],"Pass","Fail")))</f>
        <v>Fail</v>
      </c>
      <c r="AF826" s="1" t="str">
        <f>IF(AND(Table1[[#This Row],[Spec Type2]]="N/A",Table1[[#This Row],[DUT Adj Read]]="N/A",Table1[[#This Row],[Std Adj Read]]="N/A"),"N/A",IF(Table1[[#This Row],[DUT Adj Read]]="N/A",IF(Table1[[#This Row],[Std Adj Read]]&gt;=Table1[[#This Row],[Low Tol]],"Pass","Fail"),IF(Table1[[#This Row],[DUT Adj Read]]&gt;=Table1[[#This Row],[Low Tol]],"Pass","Fail")))</f>
        <v>Pass</v>
      </c>
      <c r="AG826" s="1" t="str">
        <f>IF(AND(Table1[[#This Row],[Spec Type2]]="N/A",Table1[[#This Row],[DUT Adj Read]]="N/A",Table1[[#This Row],[Std Adj Read]]="N/A"),"N/A",IF(Table1[[#This Row],[DUT Adj Read]]="N/A",IF(Table1[[#This Row],[Std Adj Read]]&lt;=Table1[[#This Row],[High Tol]],"Pass","Fail"),IF(Table1[[#This Row],[DUT Adj Read]]&lt;=Table1[[#This Row],[High Tol]],"Pass","Fail")))</f>
        <v>Fail</v>
      </c>
      <c r="AH8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6" s="1" t="b">
        <v>0</v>
      </c>
      <c r="AN826" s="1" t="b">
        <v>0</v>
      </c>
      <c r="AO826" s="1" t="b">
        <v>0</v>
      </c>
    </row>
    <row r="827" spans="1:41" x14ac:dyDescent="0.25">
      <c r="A827" s="10"/>
      <c r="B827" s="10"/>
      <c r="C827" s="10"/>
      <c r="D827" s="10"/>
      <c r="E827" s="10"/>
      <c r="F827" s="10"/>
      <c r="G827" s="10"/>
      <c r="H827" s="10"/>
      <c r="I827" s="1" t="str">
        <f t="shared" si="36"/>
        <v/>
      </c>
      <c r="J827" s="1" t="s">
        <v>35</v>
      </c>
      <c r="K827" s="1" t="str">
        <f t="shared" si="37"/>
        <v/>
      </c>
      <c r="L827" s="1" t="str">
        <f t="shared" si="38"/>
        <v/>
      </c>
      <c r="M827" s="1">
        <f>IF(OR(Table1[[#This Row],[Std Nom]]="",Table1[[#This Row],[Std Read]]=""),0,Table1[[#This Row],[Std Nom]]-Table1[[#This Row],[Std Read]])</f>
        <v>0</v>
      </c>
      <c r="N827" s="1">
        <f>IF(Calculations!$F$5="ACCREDITED 17025 WITH UNCERTAINTIES",$N$10,0)</f>
        <v>0</v>
      </c>
      <c r="Q827" s="1">
        <f>Table1[[#This Row],[High Tol]]-Table1[[#This Row],[Low Tol]]</f>
        <v>0</v>
      </c>
      <c r="R827" s="1">
        <f>2*Table1[[#This Row],[Std Error]]</f>
        <v>0</v>
      </c>
      <c r="S827" s="1" t="str">
        <f>IF(Table1[[#This Row],[High Tol]]="","N/A",IFERROR(ABS(Table1[[#This Row],[Tol Span]]/Table1[[#This Row],[Error Span]]),"N/A"))</f>
        <v>N/A</v>
      </c>
      <c r="T827" s="1" t="str">
        <f>IF(OR(Table1[[#This Row],[Low Tol]]="",Table1[[#This Row],[High Tol]]=""),"Needs Analysis",IF(Table1[[#This Row],[Ratio]]&gt;=4,"Not Significant",IF(Table1[[#This Row],[Ratio]]&gt;=2,"Semi-Significant","Significant")))</f>
        <v>Needs Analysis</v>
      </c>
      <c r="W827" s="1">
        <f>IF(Table1[[#This Row],[Cal Type]]&lt;&gt;"ACCREDITED 17025 WITH UNCERTAINTIES",0,"")</f>
        <v>0</v>
      </c>
      <c r="X827" s="1" t="str">
        <f>IF(Table1[[#This Row],[DUT Read]]="","N/A",Table1[[#This Row],[Std Error]]+Table1[[#This Row],[DUT Read]]+Table1[[#This Row],[DUT Ucty]])</f>
        <v>N/A</v>
      </c>
      <c r="Y827" s="1" t="str">
        <f>IF(Table1[[#This Row],[Std Read]]="","N/A",Table1[[#This Row],[Std Read]]+Table1[[#This Row],[Std Ucty]])</f>
        <v>N/A</v>
      </c>
      <c r="Z8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7" s="1" t="str">
        <f>IF(Table1[[#This Row],[Spec Type]]="","N/A",Table1[[#This Row],[Spec Type]])</f>
        <v>±</v>
      </c>
      <c r="AC827" s="1" t="str">
        <f>IF(Table1[[#This Row],[Spec Type2]]="N/A","N/A",IF(AND(Table1[[#This Row],[DUT Adj Read]]&gt;=Table1[[#This Row],[Low Tol]],Table1[[#This Row],[DUT Adj Read]]&lt;=Table1[[#This Row],[High Tol]]),"Pass","Fail"))</f>
        <v>Fail</v>
      </c>
      <c r="AD827" s="1" t="str">
        <f>IF(AND(Table1[[#This Row],[Spec Type2]]="N/A",Table1[[#This Row],[DUT Adj Read]]="N/A",Table1[[#This Row],[Std Adj Read]]="N/A"),"N/A",IF(Table1[[#This Row],[DUT Adj Read]]="N/A",IF(Table1[[#This Row],[Std Adj Read]]&gt;Table1[[#This Row],[Low Tol]],"Pass","Fail"),IF(Table1[[#This Row],[DUT Adj Read]]&gt;Table1[[#This Row],[Low Tol]],"Pass","Fail")))</f>
        <v>Pass</v>
      </c>
      <c r="AE827" s="1" t="str">
        <f>IF(AND(Table1[[#This Row],[Spec Type2]]="N/A",Table1[[#This Row],[DUT Adj Read]]="N/A",Table1[[#This Row],[Std Adj Read]]="N/A"),"N/A",IF(Table1[[#This Row],[DUT Adj Read]]="N/A",IF(Table1[[#This Row],[Std Adj Read]]&lt;Table1[[#This Row],[High Tol]],"Pass","Fail"),IF(Table1[[#This Row],[DUT Adj Read]]&lt;Table1[[#This Row],[High Tol]],"Pass","Fail")))</f>
        <v>Fail</v>
      </c>
      <c r="AF827" s="1" t="str">
        <f>IF(AND(Table1[[#This Row],[Spec Type2]]="N/A",Table1[[#This Row],[DUT Adj Read]]="N/A",Table1[[#This Row],[Std Adj Read]]="N/A"),"N/A",IF(Table1[[#This Row],[DUT Adj Read]]="N/A",IF(Table1[[#This Row],[Std Adj Read]]&gt;=Table1[[#This Row],[Low Tol]],"Pass","Fail"),IF(Table1[[#This Row],[DUT Adj Read]]&gt;=Table1[[#This Row],[Low Tol]],"Pass","Fail")))</f>
        <v>Pass</v>
      </c>
      <c r="AG827" s="1" t="str">
        <f>IF(AND(Table1[[#This Row],[Spec Type2]]="N/A",Table1[[#This Row],[DUT Adj Read]]="N/A",Table1[[#This Row],[Std Adj Read]]="N/A"),"N/A",IF(Table1[[#This Row],[DUT Adj Read]]="N/A",IF(Table1[[#This Row],[Std Adj Read]]&lt;=Table1[[#This Row],[High Tol]],"Pass","Fail"),IF(Table1[[#This Row],[DUT Adj Read]]&lt;=Table1[[#This Row],[High Tol]],"Pass","Fail")))</f>
        <v>Fail</v>
      </c>
      <c r="AH8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7" s="1" t="b">
        <v>0</v>
      </c>
      <c r="AN827" s="1" t="b">
        <v>0</v>
      </c>
      <c r="AO827" s="1" t="b">
        <v>0</v>
      </c>
    </row>
    <row r="828" spans="1:41" x14ac:dyDescent="0.25">
      <c r="A828" s="10"/>
      <c r="B828" s="10"/>
      <c r="C828" s="10"/>
      <c r="D828" s="10"/>
      <c r="E828" s="10"/>
      <c r="F828" s="10"/>
      <c r="G828" s="10"/>
      <c r="H828" s="10"/>
      <c r="I828" s="1" t="str">
        <f t="shared" si="36"/>
        <v/>
      </c>
      <c r="J828" s="1" t="s">
        <v>35</v>
      </c>
      <c r="K828" s="1" t="str">
        <f t="shared" si="37"/>
        <v/>
      </c>
      <c r="L828" s="1" t="str">
        <f t="shared" si="38"/>
        <v/>
      </c>
      <c r="M828" s="1">
        <f>IF(OR(Table1[[#This Row],[Std Nom]]="",Table1[[#This Row],[Std Read]]=""),0,Table1[[#This Row],[Std Nom]]-Table1[[#This Row],[Std Read]])</f>
        <v>0</v>
      </c>
      <c r="N828" s="1">
        <f>IF(Calculations!$F$5="ACCREDITED 17025 WITH UNCERTAINTIES",$N$10,0)</f>
        <v>0</v>
      </c>
      <c r="Q828" s="1">
        <f>Table1[[#This Row],[High Tol]]-Table1[[#This Row],[Low Tol]]</f>
        <v>0</v>
      </c>
      <c r="R828" s="1">
        <f>2*Table1[[#This Row],[Std Error]]</f>
        <v>0</v>
      </c>
      <c r="S828" s="1" t="str">
        <f>IF(Table1[[#This Row],[High Tol]]="","N/A",IFERROR(ABS(Table1[[#This Row],[Tol Span]]/Table1[[#This Row],[Error Span]]),"N/A"))</f>
        <v>N/A</v>
      </c>
      <c r="T828" s="1" t="str">
        <f>IF(OR(Table1[[#This Row],[Low Tol]]="",Table1[[#This Row],[High Tol]]=""),"Needs Analysis",IF(Table1[[#This Row],[Ratio]]&gt;=4,"Not Significant",IF(Table1[[#This Row],[Ratio]]&gt;=2,"Semi-Significant","Significant")))</f>
        <v>Needs Analysis</v>
      </c>
      <c r="W828" s="1">
        <f>IF(Table1[[#This Row],[Cal Type]]&lt;&gt;"ACCREDITED 17025 WITH UNCERTAINTIES",0,"")</f>
        <v>0</v>
      </c>
      <c r="X828" s="1" t="str">
        <f>IF(Table1[[#This Row],[DUT Read]]="","N/A",Table1[[#This Row],[Std Error]]+Table1[[#This Row],[DUT Read]]+Table1[[#This Row],[DUT Ucty]])</f>
        <v>N/A</v>
      </c>
      <c r="Y828" s="1" t="str">
        <f>IF(Table1[[#This Row],[Std Read]]="","N/A",Table1[[#This Row],[Std Read]]+Table1[[#This Row],[Std Ucty]])</f>
        <v>N/A</v>
      </c>
      <c r="Z8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8" s="1" t="str">
        <f>IF(Table1[[#This Row],[Spec Type]]="","N/A",Table1[[#This Row],[Spec Type]])</f>
        <v>±</v>
      </c>
      <c r="AC828" s="1" t="str">
        <f>IF(Table1[[#This Row],[Spec Type2]]="N/A","N/A",IF(AND(Table1[[#This Row],[DUT Adj Read]]&gt;=Table1[[#This Row],[Low Tol]],Table1[[#This Row],[DUT Adj Read]]&lt;=Table1[[#This Row],[High Tol]]),"Pass","Fail"))</f>
        <v>Fail</v>
      </c>
      <c r="AD828" s="1" t="str">
        <f>IF(AND(Table1[[#This Row],[Spec Type2]]="N/A",Table1[[#This Row],[DUT Adj Read]]="N/A",Table1[[#This Row],[Std Adj Read]]="N/A"),"N/A",IF(Table1[[#This Row],[DUT Adj Read]]="N/A",IF(Table1[[#This Row],[Std Adj Read]]&gt;Table1[[#This Row],[Low Tol]],"Pass","Fail"),IF(Table1[[#This Row],[DUT Adj Read]]&gt;Table1[[#This Row],[Low Tol]],"Pass","Fail")))</f>
        <v>Pass</v>
      </c>
      <c r="AE828" s="1" t="str">
        <f>IF(AND(Table1[[#This Row],[Spec Type2]]="N/A",Table1[[#This Row],[DUT Adj Read]]="N/A",Table1[[#This Row],[Std Adj Read]]="N/A"),"N/A",IF(Table1[[#This Row],[DUT Adj Read]]="N/A",IF(Table1[[#This Row],[Std Adj Read]]&lt;Table1[[#This Row],[High Tol]],"Pass","Fail"),IF(Table1[[#This Row],[DUT Adj Read]]&lt;Table1[[#This Row],[High Tol]],"Pass","Fail")))</f>
        <v>Fail</v>
      </c>
      <c r="AF828" s="1" t="str">
        <f>IF(AND(Table1[[#This Row],[Spec Type2]]="N/A",Table1[[#This Row],[DUT Adj Read]]="N/A",Table1[[#This Row],[Std Adj Read]]="N/A"),"N/A",IF(Table1[[#This Row],[DUT Adj Read]]="N/A",IF(Table1[[#This Row],[Std Adj Read]]&gt;=Table1[[#This Row],[Low Tol]],"Pass","Fail"),IF(Table1[[#This Row],[DUT Adj Read]]&gt;=Table1[[#This Row],[Low Tol]],"Pass","Fail")))</f>
        <v>Pass</v>
      </c>
      <c r="AG828" s="1" t="str">
        <f>IF(AND(Table1[[#This Row],[Spec Type2]]="N/A",Table1[[#This Row],[DUT Adj Read]]="N/A",Table1[[#This Row],[Std Adj Read]]="N/A"),"N/A",IF(Table1[[#This Row],[DUT Adj Read]]="N/A",IF(Table1[[#This Row],[Std Adj Read]]&lt;=Table1[[#This Row],[High Tol]],"Pass","Fail"),IF(Table1[[#This Row],[DUT Adj Read]]&lt;=Table1[[#This Row],[High Tol]],"Pass","Fail")))</f>
        <v>Fail</v>
      </c>
      <c r="AH8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8" s="1" t="b">
        <v>0</v>
      </c>
      <c r="AN828" s="1" t="b">
        <v>0</v>
      </c>
      <c r="AO828" s="1" t="b">
        <v>0</v>
      </c>
    </row>
    <row r="829" spans="1:41" x14ac:dyDescent="0.25">
      <c r="A829" s="10"/>
      <c r="B829" s="10"/>
      <c r="C829" s="10"/>
      <c r="D829" s="10"/>
      <c r="E829" s="10"/>
      <c r="F829" s="10"/>
      <c r="G829" s="10"/>
      <c r="H829" s="10"/>
      <c r="I829" s="1" t="str">
        <f t="shared" si="36"/>
        <v/>
      </c>
      <c r="J829" s="1" t="s">
        <v>35</v>
      </c>
      <c r="K829" s="1" t="str">
        <f t="shared" si="37"/>
        <v/>
      </c>
      <c r="L829" s="1" t="str">
        <f t="shared" si="38"/>
        <v/>
      </c>
      <c r="M829" s="1">
        <f>IF(OR(Table1[[#This Row],[Std Nom]]="",Table1[[#This Row],[Std Read]]=""),0,Table1[[#This Row],[Std Nom]]-Table1[[#This Row],[Std Read]])</f>
        <v>0</v>
      </c>
      <c r="N829" s="1">
        <f>IF(Calculations!$F$5="ACCREDITED 17025 WITH UNCERTAINTIES",$N$10,0)</f>
        <v>0</v>
      </c>
      <c r="Q829" s="1">
        <f>Table1[[#This Row],[High Tol]]-Table1[[#This Row],[Low Tol]]</f>
        <v>0</v>
      </c>
      <c r="R829" s="1">
        <f>2*Table1[[#This Row],[Std Error]]</f>
        <v>0</v>
      </c>
      <c r="S829" s="1" t="str">
        <f>IF(Table1[[#This Row],[High Tol]]="","N/A",IFERROR(ABS(Table1[[#This Row],[Tol Span]]/Table1[[#This Row],[Error Span]]),"N/A"))</f>
        <v>N/A</v>
      </c>
      <c r="T829" s="1" t="str">
        <f>IF(OR(Table1[[#This Row],[Low Tol]]="",Table1[[#This Row],[High Tol]]=""),"Needs Analysis",IF(Table1[[#This Row],[Ratio]]&gt;=4,"Not Significant",IF(Table1[[#This Row],[Ratio]]&gt;=2,"Semi-Significant","Significant")))</f>
        <v>Needs Analysis</v>
      </c>
      <c r="W829" s="1">
        <f>IF(Table1[[#This Row],[Cal Type]]&lt;&gt;"ACCREDITED 17025 WITH UNCERTAINTIES",0,"")</f>
        <v>0</v>
      </c>
      <c r="X829" s="1" t="str">
        <f>IF(Table1[[#This Row],[DUT Read]]="","N/A",Table1[[#This Row],[Std Error]]+Table1[[#This Row],[DUT Read]]+Table1[[#This Row],[DUT Ucty]])</f>
        <v>N/A</v>
      </c>
      <c r="Y829" s="1" t="str">
        <f>IF(Table1[[#This Row],[Std Read]]="","N/A",Table1[[#This Row],[Std Read]]+Table1[[#This Row],[Std Ucty]])</f>
        <v>N/A</v>
      </c>
      <c r="Z8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29" s="1" t="str">
        <f>IF(Table1[[#This Row],[Spec Type]]="","N/A",Table1[[#This Row],[Spec Type]])</f>
        <v>±</v>
      </c>
      <c r="AC829" s="1" t="str">
        <f>IF(Table1[[#This Row],[Spec Type2]]="N/A","N/A",IF(AND(Table1[[#This Row],[DUT Adj Read]]&gt;=Table1[[#This Row],[Low Tol]],Table1[[#This Row],[DUT Adj Read]]&lt;=Table1[[#This Row],[High Tol]]),"Pass","Fail"))</f>
        <v>Fail</v>
      </c>
      <c r="AD829" s="1" t="str">
        <f>IF(AND(Table1[[#This Row],[Spec Type2]]="N/A",Table1[[#This Row],[DUT Adj Read]]="N/A",Table1[[#This Row],[Std Adj Read]]="N/A"),"N/A",IF(Table1[[#This Row],[DUT Adj Read]]="N/A",IF(Table1[[#This Row],[Std Adj Read]]&gt;Table1[[#This Row],[Low Tol]],"Pass","Fail"),IF(Table1[[#This Row],[DUT Adj Read]]&gt;Table1[[#This Row],[Low Tol]],"Pass","Fail")))</f>
        <v>Pass</v>
      </c>
      <c r="AE829" s="1" t="str">
        <f>IF(AND(Table1[[#This Row],[Spec Type2]]="N/A",Table1[[#This Row],[DUT Adj Read]]="N/A",Table1[[#This Row],[Std Adj Read]]="N/A"),"N/A",IF(Table1[[#This Row],[DUT Adj Read]]="N/A",IF(Table1[[#This Row],[Std Adj Read]]&lt;Table1[[#This Row],[High Tol]],"Pass","Fail"),IF(Table1[[#This Row],[DUT Adj Read]]&lt;Table1[[#This Row],[High Tol]],"Pass","Fail")))</f>
        <v>Fail</v>
      </c>
      <c r="AF829" s="1" t="str">
        <f>IF(AND(Table1[[#This Row],[Spec Type2]]="N/A",Table1[[#This Row],[DUT Adj Read]]="N/A",Table1[[#This Row],[Std Adj Read]]="N/A"),"N/A",IF(Table1[[#This Row],[DUT Adj Read]]="N/A",IF(Table1[[#This Row],[Std Adj Read]]&gt;=Table1[[#This Row],[Low Tol]],"Pass","Fail"),IF(Table1[[#This Row],[DUT Adj Read]]&gt;=Table1[[#This Row],[Low Tol]],"Pass","Fail")))</f>
        <v>Pass</v>
      </c>
      <c r="AG829" s="1" t="str">
        <f>IF(AND(Table1[[#This Row],[Spec Type2]]="N/A",Table1[[#This Row],[DUT Adj Read]]="N/A",Table1[[#This Row],[Std Adj Read]]="N/A"),"N/A",IF(Table1[[#This Row],[DUT Adj Read]]="N/A",IF(Table1[[#This Row],[Std Adj Read]]&lt;=Table1[[#This Row],[High Tol]],"Pass","Fail"),IF(Table1[[#This Row],[DUT Adj Read]]&lt;=Table1[[#This Row],[High Tol]],"Pass","Fail")))</f>
        <v>Fail</v>
      </c>
      <c r="AH8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29" s="1" t="b">
        <v>0</v>
      </c>
      <c r="AN829" s="1" t="b">
        <v>0</v>
      </c>
      <c r="AO829" s="1" t="b">
        <v>0</v>
      </c>
    </row>
    <row r="830" spans="1:41" x14ac:dyDescent="0.25">
      <c r="A830" s="10"/>
      <c r="B830" s="10"/>
      <c r="C830" s="10"/>
      <c r="D830" s="10"/>
      <c r="E830" s="10"/>
      <c r="F830" s="10"/>
      <c r="G830" s="10"/>
      <c r="H830" s="10"/>
      <c r="I830" s="1" t="str">
        <f t="shared" si="36"/>
        <v/>
      </c>
      <c r="J830" s="1" t="s">
        <v>35</v>
      </c>
      <c r="K830" s="1" t="str">
        <f t="shared" si="37"/>
        <v/>
      </c>
      <c r="L830" s="1" t="str">
        <f t="shared" si="38"/>
        <v/>
      </c>
      <c r="M830" s="1">
        <f>IF(OR(Table1[[#This Row],[Std Nom]]="",Table1[[#This Row],[Std Read]]=""),0,Table1[[#This Row],[Std Nom]]-Table1[[#This Row],[Std Read]])</f>
        <v>0</v>
      </c>
      <c r="N830" s="1">
        <f>IF(Calculations!$F$5="ACCREDITED 17025 WITH UNCERTAINTIES",$N$10,0)</f>
        <v>0</v>
      </c>
      <c r="Q830" s="1">
        <f>Table1[[#This Row],[High Tol]]-Table1[[#This Row],[Low Tol]]</f>
        <v>0</v>
      </c>
      <c r="R830" s="1">
        <f>2*Table1[[#This Row],[Std Error]]</f>
        <v>0</v>
      </c>
      <c r="S830" s="1" t="str">
        <f>IF(Table1[[#This Row],[High Tol]]="","N/A",IFERROR(ABS(Table1[[#This Row],[Tol Span]]/Table1[[#This Row],[Error Span]]),"N/A"))</f>
        <v>N/A</v>
      </c>
      <c r="T830" s="1" t="str">
        <f>IF(OR(Table1[[#This Row],[Low Tol]]="",Table1[[#This Row],[High Tol]]=""),"Needs Analysis",IF(Table1[[#This Row],[Ratio]]&gt;=4,"Not Significant",IF(Table1[[#This Row],[Ratio]]&gt;=2,"Semi-Significant","Significant")))</f>
        <v>Needs Analysis</v>
      </c>
      <c r="W830" s="1">
        <f>IF(Table1[[#This Row],[Cal Type]]&lt;&gt;"ACCREDITED 17025 WITH UNCERTAINTIES",0,"")</f>
        <v>0</v>
      </c>
      <c r="X830" s="1" t="str">
        <f>IF(Table1[[#This Row],[DUT Read]]="","N/A",Table1[[#This Row],[Std Error]]+Table1[[#This Row],[DUT Read]]+Table1[[#This Row],[DUT Ucty]])</f>
        <v>N/A</v>
      </c>
      <c r="Y830" s="1" t="str">
        <f>IF(Table1[[#This Row],[Std Read]]="","N/A",Table1[[#This Row],[Std Read]]+Table1[[#This Row],[Std Ucty]])</f>
        <v>N/A</v>
      </c>
      <c r="Z8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0" s="1" t="str">
        <f>IF(Table1[[#This Row],[Spec Type]]="","N/A",Table1[[#This Row],[Spec Type]])</f>
        <v>±</v>
      </c>
      <c r="AC830" s="1" t="str">
        <f>IF(Table1[[#This Row],[Spec Type2]]="N/A","N/A",IF(AND(Table1[[#This Row],[DUT Adj Read]]&gt;=Table1[[#This Row],[Low Tol]],Table1[[#This Row],[DUT Adj Read]]&lt;=Table1[[#This Row],[High Tol]]),"Pass","Fail"))</f>
        <v>Fail</v>
      </c>
      <c r="AD830" s="1" t="str">
        <f>IF(AND(Table1[[#This Row],[Spec Type2]]="N/A",Table1[[#This Row],[DUT Adj Read]]="N/A",Table1[[#This Row],[Std Adj Read]]="N/A"),"N/A",IF(Table1[[#This Row],[DUT Adj Read]]="N/A",IF(Table1[[#This Row],[Std Adj Read]]&gt;Table1[[#This Row],[Low Tol]],"Pass","Fail"),IF(Table1[[#This Row],[DUT Adj Read]]&gt;Table1[[#This Row],[Low Tol]],"Pass","Fail")))</f>
        <v>Pass</v>
      </c>
      <c r="AE830" s="1" t="str">
        <f>IF(AND(Table1[[#This Row],[Spec Type2]]="N/A",Table1[[#This Row],[DUT Adj Read]]="N/A",Table1[[#This Row],[Std Adj Read]]="N/A"),"N/A",IF(Table1[[#This Row],[DUT Adj Read]]="N/A",IF(Table1[[#This Row],[Std Adj Read]]&lt;Table1[[#This Row],[High Tol]],"Pass","Fail"),IF(Table1[[#This Row],[DUT Adj Read]]&lt;Table1[[#This Row],[High Tol]],"Pass","Fail")))</f>
        <v>Fail</v>
      </c>
      <c r="AF830" s="1" t="str">
        <f>IF(AND(Table1[[#This Row],[Spec Type2]]="N/A",Table1[[#This Row],[DUT Adj Read]]="N/A",Table1[[#This Row],[Std Adj Read]]="N/A"),"N/A",IF(Table1[[#This Row],[DUT Adj Read]]="N/A",IF(Table1[[#This Row],[Std Adj Read]]&gt;=Table1[[#This Row],[Low Tol]],"Pass","Fail"),IF(Table1[[#This Row],[DUT Adj Read]]&gt;=Table1[[#This Row],[Low Tol]],"Pass","Fail")))</f>
        <v>Pass</v>
      </c>
      <c r="AG830" s="1" t="str">
        <f>IF(AND(Table1[[#This Row],[Spec Type2]]="N/A",Table1[[#This Row],[DUT Adj Read]]="N/A",Table1[[#This Row],[Std Adj Read]]="N/A"),"N/A",IF(Table1[[#This Row],[DUT Adj Read]]="N/A",IF(Table1[[#This Row],[Std Adj Read]]&lt;=Table1[[#This Row],[High Tol]],"Pass","Fail"),IF(Table1[[#This Row],[DUT Adj Read]]&lt;=Table1[[#This Row],[High Tol]],"Pass","Fail")))</f>
        <v>Fail</v>
      </c>
      <c r="AH8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0" s="1" t="b">
        <v>0</v>
      </c>
      <c r="AN830" s="1" t="b">
        <v>0</v>
      </c>
      <c r="AO830" s="1" t="b">
        <v>0</v>
      </c>
    </row>
    <row r="831" spans="1:41" x14ac:dyDescent="0.25">
      <c r="A831" s="10"/>
      <c r="B831" s="10"/>
      <c r="C831" s="10"/>
      <c r="D831" s="10"/>
      <c r="E831" s="10"/>
      <c r="F831" s="10"/>
      <c r="G831" s="10"/>
      <c r="H831" s="10"/>
      <c r="I831" s="1" t="str">
        <f t="shared" si="36"/>
        <v/>
      </c>
      <c r="J831" s="1" t="s">
        <v>35</v>
      </c>
      <c r="K831" s="1" t="str">
        <f t="shared" si="37"/>
        <v/>
      </c>
      <c r="L831" s="1" t="str">
        <f t="shared" si="38"/>
        <v/>
      </c>
      <c r="M831" s="1">
        <f>IF(OR(Table1[[#This Row],[Std Nom]]="",Table1[[#This Row],[Std Read]]=""),0,Table1[[#This Row],[Std Nom]]-Table1[[#This Row],[Std Read]])</f>
        <v>0</v>
      </c>
      <c r="N831" s="1">
        <f>IF(Calculations!$F$5="ACCREDITED 17025 WITH UNCERTAINTIES",$N$10,0)</f>
        <v>0</v>
      </c>
      <c r="Q831" s="1">
        <f>Table1[[#This Row],[High Tol]]-Table1[[#This Row],[Low Tol]]</f>
        <v>0</v>
      </c>
      <c r="R831" s="1">
        <f>2*Table1[[#This Row],[Std Error]]</f>
        <v>0</v>
      </c>
      <c r="S831" s="1" t="str">
        <f>IF(Table1[[#This Row],[High Tol]]="","N/A",IFERROR(ABS(Table1[[#This Row],[Tol Span]]/Table1[[#This Row],[Error Span]]),"N/A"))</f>
        <v>N/A</v>
      </c>
      <c r="T831" s="1" t="str">
        <f>IF(OR(Table1[[#This Row],[Low Tol]]="",Table1[[#This Row],[High Tol]]=""),"Needs Analysis",IF(Table1[[#This Row],[Ratio]]&gt;=4,"Not Significant",IF(Table1[[#This Row],[Ratio]]&gt;=2,"Semi-Significant","Significant")))</f>
        <v>Needs Analysis</v>
      </c>
      <c r="W831" s="1">
        <f>IF(Table1[[#This Row],[Cal Type]]&lt;&gt;"ACCREDITED 17025 WITH UNCERTAINTIES",0,"")</f>
        <v>0</v>
      </c>
      <c r="X831" s="1" t="str">
        <f>IF(Table1[[#This Row],[DUT Read]]="","N/A",Table1[[#This Row],[Std Error]]+Table1[[#This Row],[DUT Read]]+Table1[[#This Row],[DUT Ucty]])</f>
        <v>N/A</v>
      </c>
      <c r="Y831" s="1" t="str">
        <f>IF(Table1[[#This Row],[Std Read]]="","N/A",Table1[[#This Row],[Std Read]]+Table1[[#This Row],[Std Ucty]])</f>
        <v>N/A</v>
      </c>
      <c r="Z8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1" s="1" t="str">
        <f>IF(Table1[[#This Row],[Spec Type]]="","N/A",Table1[[#This Row],[Spec Type]])</f>
        <v>±</v>
      </c>
      <c r="AC831" s="1" t="str">
        <f>IF(Table1[[#This Row],[Spec Type2]]="N/A","N/A",IF(AND(Table1[[#This Row],[DUT Adj Read]]&gt;=Table1[[#This Row],[Low Tol]],Table1[[#This Row],[DUT Adj Read]]&lt;=Table1[[#This Row],[High Tol]]),"Pass","Fail"))</f>
        <v>Fail</v>
      </c>
      <c r="AD831" s="1" t="str">
        <f>IF(AND(Table1[[#This Row],[Spec Type2]]="N/A",Table1[[#This Row],[DUT Adj Read]]="N/A",Table1[[#This Row],[Std Adj Read]]="N/A"),"N/A",IF(Table1[[#This Row],[DUT Adj Read]]="N/A",IF(Table1[[#This Row],[Std Adj Read]]&gt;Table1[[#This Row],[Low Tol]],"Pass","Fail"),IF(Table1[[#This Row],[DUT Adj Read]]&gt;Table1[[#This Row],[Low Tol]],"Pass","Fail")))</f>
        <v>Pass</v>
      </c>
      <c r="AE831" s="1" t="str">
        <f>IF(AND(Table1[[#This Row],[Spec Type2]]="N/A",Table1[[#This Row],[DUT Adj Read]]="N/A",Table1[[#This Row],[Std Adj Read]]="N/A"),"N/A",IF(Table1[[#This Row],[DUT Adj Read]]="N/A",IF(Table1[[#This Row],[Std Adj Read]]&lt;Table1[[#This Row],[High Tol]],"Pass","Fail"),IF(Table1[[#This Row],[DUT Adj Read]]&lt;Table1[[#This Row],[High Tol]],"Pass","Fail")))</f>
        <v>Fail</v>
      </c>
      <c r="AF831" s="1" t="str">
        <f>IF(AND(Table1[[#This Row],[Spec Type2]]="N/A",Table1[[#This Row],[DUT Adj Read]]="N/A",Table1[[#This Row],[Std Adj Read]]="N/A"),"N/A",IF(Table1[[#This Row],[DUT Adj Read]]="N/A",IF(Table1[[#This Row],[Std Adj Read]]&gt;=Table1[[#This Row],[Low Tol]],"Pass","Fail"),IF(Table1[[#This Row],[DUT Adj Read]]&gt;=Table1[[#This Row],[Low Tol]],"Pass","Fail")))</f>
        <v>Pass</v>
      </c>
      <c r="AG831" s="1" t="str">
        <f>IF(AND(Table1[[#This Row],[Spec Type2]]="N/A",Table1[[#This Row],[DUT Adj Read]]="N/A",Table1[[#This Row],[Std Adj Read]]="N/A"),"N/A",IF(Table1[[#This Row],[DUT Adj Read]]="N/A",IF(Table1[[#This Row],[Std Adj Read]]&lt;=Table1[[#This Row],[High Tol]],"Pass","Fail"),IF(Table1[[#This Row],[DUT Adj Read]]&lt;=Table1[[#This Row],[High Tol]],"Pass","Fail")))</f>
        <v>Fail</v>
      </c>
      <c r="AH8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1" s="1" t="b">
        <v>0</v>
      </c>
      <c r="AN831" s="1" t="b">
        <v>0</v>
      </c>
      <c r="AO831" s="1" t="b">
        <v>0</v>
      </c>
    </row>
    <row r="832" spans="1:41" x14ac:dyDescent="0.25">
      <c r="A832" s="10"/>
      <c r="B832" s="10"/>
      <c r="C832" s="10"/>
      <c r="D832" s="10"/>
      <c r="E832" s="10"/>
      <c r="F832" s="10"/>
      <c r="G832" s="10"/>
      <c r="H832" s="10"/>
      <c r="I832" s="1" t="str">
        <f t="shared" si="36"/>
        <v/>
      </c>
      <c r="J832" s="1" t="s">
        <v>35</v>
      </c>
      <c r="K832" s="1" t="str">
        <f t="shared" si="37"/>
        <v/>
      </c>
      <c r="L832" s="1" t="str">
        <f t="shared" si="38"/>
        <v/>
      </c>
      <c r="M832" s="1">
        <f>IF(OR(Table1[[#This Row],[Std Nom]]="",Table1[[#This Row],[Std Read]]=""),0,Table1[[#This Row],[Std Nom]]-Table1[[#This Row],[Std Read]])</f>
        <v>0</v>
      </c>
      <c r="N832" s="1">
        <f>IF(Calculations!$F$5="ACCREDITED 17025 WITH UNCERTAINTIES",$N$10,0)</f>
        <v>0</v>
      </c>
      <c r="Q832" s="1">
        <f>Table1[[#This Row],[High Tol]]-Table1[[#This Row],[Low Tol]]</f>
        <v>0</v>
      </c>
      <c r="R832" s="1">
        <f>2*Table1[[#This Row],[Std Error]]</f>
        <v>0</v>
      </c>
      <c r="S832" s="1" t="str">
        <f>IF(Table1[[#This Row],[High Tol]]="","N/A",IFERROR(ABS(Table1[[#This Row],[Tol Span]]/Table1[[#This Row],[Error Span]]),"N/A"))</f>
        <v>N/A</v>
      </c>
      <c r="T832" s="1" t="str">
        <f>IF(OR(Table1[[#This Row],[Low Tol]]="",Table1[[#This Row],[High Tol]]=""),"Needs Analysis",IF(Table1[[#This Row],[Ratio]]&gt;=4,"Not Significant",IF(Table1[[#This Row],[Ratio]]&gt;=2,"Semi-Significant","Significant")))</f>
        <v>Needs Analysis</v>
      </c>
      <c r="W832" s="1">
        <f>IF(Table1[[#This Row],[Cal Type]]&lt;&gt;"ACCREDITED 17025 WITH UNCERTAINTIES",0,"")</f>
        <v>0</v>
      </c>
      <c r="X832" s="1" t="str">
        <f>IF(Table1[[#This Row],[DUT Read]]="","N/A",Table1[[#This Row],[Std Error]]+Table1[[#This Row],[DUT Read]]+Table1[[#This Row],[DUT Ucty]])</f>
        <v>N/A</v>
      </c>
      <c r="Y832" s="1" t="str">
        <f>IF(Table1[[#This Row],[Std Read]]="","N/A",Table1[[#This Row],[Std Read]]+Table1[[#This Row],[Std Ucty]])</f>
        <v>N/A</v>
      </c>
      <c r="Z8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2" s="1" t="str">
        <f>IF(Table1[[#This Row],[Spec Type]]="","N/A",Table1[[#This Row],[Spec Type]])</f>
        <v>±</v>
      </c>
      <c r="AC832" s="1" t="str">
        <f>IF(Table1[[#This Row],[Spec Type2]]="N/A","N/A",IF(AND(Table1[[#This Row],[DUT Adj Read]]&gt;=Table1[[#This Row],[Low Tol]],Table1[[#This Row],[DUT Adj Read]]&lt;=Table1[[#This Row],[High Tol]]),"Pass","Fail"))</f>
        <v>Fail</v>
      </c>
      <c r="AD832" s="1" t="str">
        <f>IF(AND(Table1[[#This Row],[Spec Type2]]="N/A",Table1[[#This Row],[DUT Adj Read]]="N/A",Table1[[#This Row],[Std Adj Read]]="N/A"),"N/A",IF(Table1[[#This Row],[DUT Adj Read]]="N/A",IF(Table1[[#This Row],[Std Adj Read]]&gt;Table1[[#This Row],[Low Tol]],"Pass","Fail"),IF(Table1[[#This Row],[DUT Adj Read]]&gt;Table1[[#This Row],[Low Tol]],"Pass","Fail")))</f>
        <v>Pass</v>
      </c>
      <c r="AE832" s="1" t="str">
        <f>IF(AND(Table1[[#This Row],[Spec Type2]]="N/A",Table1[[#This Row],[DUT Adj Read]]="N/A",Table1[[#This Row],[Std Adj Read]]="N/A"),"N/A",IF(Table1[[#This Row],[DUT Adj Read]]="N/A",IF(Table1[[#This Row],[Std Adj Read]]&lt;Table1[[#This Row],[High Tol]],"Pass","Fail"),IF(Table1[[#This Row],[DUT Adj Read]]&lt;Table1[[#This Row],[High Tol]],"Pass","Fail")))</f>
        <v>Fail</v>
      </c>
      <c r="AF832" s="1" t="str">
        <f>IF(AND(Table1[[#This Row],[Spec Type2]]="N/A",Table1[[#This Row],[DUT Adj Read]]="N/A",Table1[[#This Row],[Std Adj Read]]="N/A"),"N/A",IF(Table1[[#This Row],[DUT Adj Read]]="N/A",IF(Table1[[#This Row],[Std Adj Read]]&gt;=Table1[[#This Row],[Low Tol]],"Pass","Fail"),IF(Table1[[#This Row],[DUT Adj Read]]&gt;=Table1[[#This Row],[Low Tol]],"Pass","Fail")))</f>
        <v>Pass</v>
      </c>
      <c r="AG832" s="1" t="str">
        <f>IF(AND(Table1[[#This Row],[Spec Type2]]="N/A",Table1[[#This Row],[DUT Adj Read]]="N/A",Table1[[#This Row],[Std Adj Read]]="N/A"),"N/A",IF(Table1[[#This Row],[DUT Adj Read]]="N/A",IF(Table1[[#This Row],[Std Adj Read]]&lt;=Table1[[#This Row],[High Tol]],"Pass","Fail"),IF(Table1[[#This Row],[DUT Adj Read]]&lt;=Table1[[#This Row],[High Tol]],"Pass","Fail")))</f>
        <v>Fail</v>
      </c>
      <c r="AH8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2" s="1" t="b">
        <v>0</v>
      </c>
      <c r="AN832" s="1" t="b">
        <v>0</v>
      </c>
      <c r="AO832" s="1" t="b">
        <v>0</v>
      </c>
    </row>
    <row r="833" spans="1:41" x14ac:dyDescent="0.25">
      <c r="A833" s="10"/>
      <c r="B833" s="10"/>
      <c r="C833" s="10"/>
      <c r="D833" s="10"/>
      <c r="E833" s="10"/>
      <c r="F833" s="10"/>
      <c r="G833" s="10"/>
      <c r="H833" s="10"/>
      <c r="I833" s="1" t="str">
        <f t="shared" si="36"/>
        <v/>
      </c>
      <c r="J833" s="1" t="s">
        <v>35</v>
      </c>
      <c r="K833" s="1" t="str">
        <f t="shared" si="37"/>
        <v/>
      </c>
      <c r="L833" s="1" t="str">
        <f t="shared" si="38"/>
        <v/>
      </c>
      <c r="M833" s="1">
        <f>IF(OR(Table1[[#This Row],[Std Nom]]="",Table1[[#This Row],[Std Read]]=""),0,Table1[[#This Row],[Std Nom]]-Table1[[#This Row],[Std Read]])</f>
        <v>0</v>
      </c>
      <c r="N833" s="1">
        <f>IF(Calculations!$F$5="ACCREDITED 17025 WITH UNCERTAINTIES",$N$10,0)</f>
        <v>0</v>
      </c>
      <c r="Q833" s="1">
        <f>Table1[[#This Row],[High Tol]]-Table1[[#This Row],[Low Tol]]</f>
        <v>0</v>
      </c>
      <c r="R833" s="1">
        <f>2*Table1[[#This Row],[Std Error]]</f>
        <v>0</v>
      </c>
      <c r="S833" s="1" t="str">
        <f>IF(Table1[[#This Row],[High Tol]]="","N/A",IFERROR(ABS(Table1[[#This Row],[Tol Span]]/Table1[[#This Row],[Error Span]]),"N/A"))</f>
        <v>N/A</v>
      </c>
      <c r="T833" s="1" t="str">
        <f>IF(OR(Table1[[#This Row],[Low Tol]]="",Table1[[#This Row],[High Tol]]=""),"Needs Analysis",IF(Table1[[#This Row],[Ratio]]&gt;=4,"Not Significant",IF(Table1[[#This Row],[Ratio]]&gt;=2,"Semi-Significant","Significant")))</f>
        <v>Needs Analysis</v>
      </c>
      <c r="W833" s="1">
        <f>IF(Table1[[#This Row],[Cal Type]]&lt;&gt;"ACCREDITED 17025 WITH UNCERTAINTIES",0,"")</f>
        <v>0</v>
      </c>
      <c r="X833" s="1" t="str">
        <f>IF(Table1[[#This Row],[DUT Read]]="","N/A",Table1[[#This Row],[Std Error]]+Table1[[#This Row],[DUT Read]]+Table1[[#This Row],[DUT Ucty]])</f>
        <v>N/A</v>
      </c>
      <c r="Y833" s="1" t="str">
        <f>IF(Table1[[#This Row],[Std Read]]="","N/A",Table1[[#This Row],[Std Read]]+Table1[[#This Row],[Std Ucty]])</f>
        <v>N/A</v>
      </c>
      <c r="Z8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3" s="1" t="str">
        <f>IF(Table1[[#This Row],[Spec Type]]="","N/A",Table1[[#This Row],[Spec Type]])</f>
        <v>±</v>
      </c>
      <c r="AC833" s="1" t="str">
        <f>IF(Table1[[#This Row],[Spec Type2]]="N/A","N/A",IF(AND(Table1[[#This Row],[DUT Adj Read]]&gt;=Table1[[#This Row],[Low Tol]],Table1[[#This Row],[DUT Adj Read]]&lt;=Table1[[#This Row],[High Tol]]),"Pass","Fail"))</f>
        <v>Fail</v>
      </c>
      <c r="AD833" s="1" t="str">
        <f>IF(AND(Table1[[#This Row],[Spec Type2]]="N/A",Table1[[#This Row],[DUT Adj Read]]="N/A",Table1[[#This Row],[Std Adj Read]]="N/A"),"N/A",IF(Table1[[#This Row],[DUT Adj Read]]="N/A",IF(Table1[[#This Row],[Std Adj Read]]&gt;Table1[[#This Row],[Low Tol]],"Pass","Fail"),IF(Table1[[#This Row],[DUT Adj Read]]&gt;Table1[[#This Row],[Low Tol]],"Pass","Fail")))</f>
        <v>Pass</v>
      </c>
      <c r="AE833" s="1" t="str">
        <f>IF(AND(Table1[[#This Row],[Spec Type2]]="N/A",Table1[[#This Row],[DUT Adj Read]]="N/A",Table1[[#This Row],[Std Adj Read]]="N/A"),"N/A",IF(Table1[[#This Row],[DUT Adj Read]]="N/A",IF(Table1[[#This Row],[Std Adj Read]]&lt;Table1[[#This Row],[High Tol]],"Pass","Fail"),IF(Table1[[#This Row],[DUT Adj Read]]&lt;Table1[[#This Row],[High Tol]],"Pass","Fail")))</f>
        <v>Fail</v>
      </c>
      <c r="AF833" s="1" t="str">
        <f>IF(AND(Table1[[#This Row],[Spec Type2]]="N/A",Table1[[#This Row],[DUT Adj Read]]="N/A",Table1[[#This Row],[Std Adj Read]]="N/A"),"N/A",IF(Table1[[#This Row],[DUT Adj Read]]="N/A",IF(Table1[[#This Row],[Std Adj Read]]&gt;=Table1[[#This Row],[Low Tol]],"Pass","Fail"),IF(Table1[[#This Row],[DUT Adj Read]]&gt;=Table1[[#This Row],[Low Tol]],"Pass","Fail")))</f>
        <v>Pass</v>
      </c>
      <c r="AG833" s="1" t="str">
        <f>IF(AND(Table1[[#This Row],[Spec Type2]]="N/A",Table1[[#This Row],[DUT Adj Read]]="N/A",Table1[[#This Row],[Std Adj Read]]="N/A"),"N/A",IF(Table1[[#This Row],[DUT Adj Read]]="N/A",IF(Table1[[#This Row],[Std Adj Read]]&lt;=Table1[[#This Row],[High Tol]],"Pass","Fail"),IF(Table1[[#This Row],[DUT Adj Read]]&lt;=Table1[[#This Row],[High Tol]],"Pass","Fail")))</f>
        <v>Fail</v>
      </c>
      <c r="AH8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3" s="1" t="b">
        <v>0</v>
      </c>
      <c r="AN833" s="1" t="b">
        <v>0</v>
      </c>
      <c r="AO833" s="1" t="b">
        <v>0</v>
      </c>
    </row>
    <row r="834" spans="1:41" x14ac:dyDescent="0.25">
      <c r="A834" s="10"/>
      <c r="B834" s="10"/>
      <c r="C834" s="10"/>
      <c r="D834" s="10"/>
      <c r="E834" s="10"/>
      <c r="F834" s="10"/>
      <c r="G834" s="10"/>
      <c r="H834" s="10"/>
      <c r="I834" s="1" t="str">
        <f t="shared" si="36"/>
        <v/>
      </c>
      <c r="J834" s="1" t="s">
        <v>35</v>
      </c>
      <c r="K834" s="1" t="str">
        <f t="shared" si="37"/>
        <v/>
      </c>
      <c r="L834" s="1" t="str">
        <f t="shared" si="38"/>
        <v/>
      </c>
      <c r="M834" s="1">
        <f>IF(OR(Table1[[#This Row],[Std Nom]]="",Table1[[#This Row],[Std Read]]=""),0,Table1[[#This Row],[Std Nom]]-Table1[[#This Row],[Std Read]])</f>
        <v>0</v>
      </c>
      <c r="N834" s="1">
        <f>IF(Calculations!$F$5="ACCREDITED 17025 WITH UNCERTAINTIES",$N$10,0)</f>
        <v>0</v>
      </c>
      <c r="Q834" s="1">
        <f>Table1[[#This Row],[High Tol]]-Table1[[#This Row],[Low Tol]]</f>
        <v>0</v>
      </c>
      <c r="R834" s="1">
        <f>2*Table1[[#This Row],[Std Error]]</f>
        <v>0</v>
      </c>
      <c r="S834" s="1" t="str">
        <f>IF(Table1[[#This Row],[High Tol]]="","N/A",IFERROR(ABS(Table1[[#This Row],[Tol Span]]/Table1[[#This Row],[Error Span]]),"N/A"))</f>
        <v>N/A</v>
      </c>
      <c r="T834" s="1" t="str">
        <f>IF(OR(Table1[[#This Row],[Low Tol]]="",Table1[[#This Row],[High Tol]]=""),"Needs Analysis",IF(Table1[[#This Row],[Ratio]]&gt;=4,"Not Significant",IF(Table1[[#This Row],[Ratio]]&gt;=2,"Semi-Significant","Significant")))</f>
        <v>Needs Analysis</v>
      </c>
      <c r="W834" s="1">
        <f>IF(Table1[[#This Row],[Cal Type]]&lt;&gt;"ACCREDITED 17025 WITH UNCERTAINTIES",0,"")</f>
        <v>0</v>
      </c>
      <c r="X834" s="1" t="str">
        <f>IF(Table1[[#This Row],[DUT Read]]="","N/A",Table1[[#This Row],[Std Error]]+Table1[[#This Row],[DUT Read]]+Table1[[#This Row],[DUT Ucty]])</f>
        <v>N/A</v>
      </c>
      <c r="Y834" s="1" t="str">
        <f>IF(Table1[[#This Row],[Std Read]]="","N/A",Table1[[#This Row],[Std Read]]+Table1[[#This Row],[Std Ucty]])</f>
        <v>N/A</v>
      </c>
      <c r="Z8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4" s="1" t="str">
        <f>IF(Table1[[#This Row],[Spec Type]]="","N/A",Table1[[#This Row],[Spec Type]])</f>
        <v>±</v>
      </c>
      <c r="AC834" s="1" t="str">
        <f>IF(Table1[[#This Row],[Spec Type2]]="N/A","N/A",IF(AND(Table1[[#This Row],[DUT Adj Read]]&gt;=Table1[[#This Row],[Low Tol]],Table1[[#This Row],[DUT Adj Read]]&lt;=Table1[[#This Row],[High Tol]]),"Pass","Fail"))</f>
        <v>Fail</v>
      </c>
      <c r="AD834" s="1" t="str">
        <f>IF(AND(Table1[[#This Row],[Spec Type2]]="N/A",Table1[[#This Row],[DUT Adj Read]]="N/A",Table1[[#This Row],[Std Adj Read]]="N/A"),"N/A",IF(Table1[[#This Row],[DUT Adj Read]]="N/A",IF(Table1[[#This Row],[Std Adj Read]]&gt;Table1[[#This Row],[Low Tol]],"Pass","Fail"),IF(Table1[[#This Row],[DUT Adj Read]]&gt;Table1[[#This Row],[Low Tol]],"Pass","Fail")))</f>
        <v>Pass</v>
      </c>
      <c r="AE834" s="1" t="str">
        <f>IF(AND(Table1[[#This Row],[Spec Type2]]="N/A",Table1[[#This Row],[DUT Adj Read]]="N/A",Table1[[#This Row],[Std Adj Read]]="N/A"),"N/A",IF(Table1[[#This Row],[DUT Adj Read]]="N/A",IF(Table1[[#This Row],[Std Adj Read]]&lt;Table1[[#This Row],[High Tol]],"Pass","Fail"),IF(Table1[[#This Row],[DUT Adj Read]]&lt;Table1[[#This Row],[High Tol]],"Pass","Fail")))</f>
        <v>Fail</v>
      </c>
      <c r="AF834" s="1" t="str">
        <f>IF(AND(Table1[[#This Row],[Spec Type2]]="N/A",Table1[[#This Row],[DUT Adj Read]]="N/A",Table1[[#This Row],[Std Adj Read]]="N/A"),"N/A",IF(Table1[[#This Row],[DUT Adj Read]]="N/A",IF(Table1[[#This Row],[Std Adj Read]]&gt;=Table1[[#This Row],[Low Tol]],"Pass","Fail"),IF(Table1[[#This Row],[DUT Adj Read]]&gt;=Table1[[#This Row],[Low Tol]],"Pass","Fail")))</f>
        <v>Pass</v>
      </c>
      <c r="AG834" s="1" t="str">
        <f>IF(AND(Table1[[#This Row],[Spec Type2]]="N/A",Table1[[#This Row],[DUT Adj Read]]="N/A",Table1[[#This Row],[Std Adj Read]]="N/A"),"N/A",IF(Table1[[#This Row],[DUT Adj Read]]="N/A",IF(Table1[[#This Row],[Std Adj Read]]&lt;=Table1[[#This Row],[High Tol]],"Pass","Fail"),IF(Table1[[#This Row],[DUT Adj Read]]&lt;=Table1[[#This Row],[High Tol]],"Pass","Fail")))</f>
        <v>Fail</v>
      </c>
      <c r="AH8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4" s="1" t="b">
        <v>0</v>
      </c>
      <c r="AN834" s="1" t="b">
        <v>0</v>
      </c>
      <c r="AO834" s="1" t="b">
        <v>0</v>
      </c>
    </row>
    <row r="835" spans="1:41" x14ac:dyDescent="0.25">
      <c r="A835" s="10"/>
      <c r="B835" s="10"/>
      <c r="C835" s="10"/>
      <c r="D835" s="10"/>
      <c r="E835" s="10"/>
      <c r="F835" s="10"/>
      <c r="G835" s="10"/>
      <c r="H835" s="10"/>
      <c r="I835" s="1" t="str">
        <f t="shared" si="36"/>
        <v/>
      </c>
      <c r="J835" s="1" t="s">
        <v>35</v>
      </c>
      <c r="K835" s="1" t="str">
        <f t="shared" si="37"/>
        <v/>
      </c>
      <c r="L835" s="1" t="str">
        <f t="shared" si="38"/>
        <v/>
      </c>
      <c r="M835" s="1">
        <f>IF(OR(Table1[[#This Row],[Std Nom]]="",Table1[[#This Row],[Std Read]]=""),0,Table1[[#This Row],[Std Nom]]-Table1[[#This Row],[Std Read]])</f>
        <v>0</v>
      </c>
      <c r="N835" s="1">
        <f>IF(Calculations!$F$5="ACCREDITED 17025 WITH UNCERTAINTIES",$N$10,0)</f>
        <v>0</v>
      </c>
      <c r="Q835" s="1">
        <f>Table1[[#This Row],[High Tol]]-Table1[[#This Row],[Low Tol]]</f>
        <v>0</v>
      </c>
      <c r="R835" s="1">
        <f>2*Table1[[#This Row],[Std Error]]</f>
        <v>0</v>
      </c>
      <c r="S835" s="1" t="str">
        <f>IF(Table1[[#This Row],[High Tol]]="","N/A",IFERROR(ABS(Table1[[#This Row],[Tol Span]]/Table1[[#This Row],[Error Span]]),"N/A"))</f>
        <v>N/A</v>
      </c>
      <c r="T835" s="1" t="str">
        <f>IF(OR(Table1[[#This Row],[Low Tol]]="",Table1[[#This Row],[High Tol]]=""),"Needs Analysis",IF(Table1[[#This Row],[Ratio]]&gt;=4,"Not Significant",IF(Table1[[#This Row],[Ratio]]&gt;=2,"Semi-Significant","Significant")))</f>
        <v>Needs Analysis</v>
      </c>
      <c r="W835" s="1">
        <f>IF(Table1[[#This Row],[Cal Type]]&lt;&gt;"ACCREDITED 17025 WITH UNCERTAINTIES",0,"")</f>
        <v>0</v>
      </c>
      <c r="X835" s="1" t="str">
        <f>IF(Table1[[#This Row],[DUT Read]]="","N/A",Table1[[#This Row],[Std Error]]+Table1[[#This Row],[DUT Read]]+Table1[[#This Row],[DUT Ucty]])</f>
        <v>N/A</v>
      </c>
      <c r="Y835" s="1" t="str">
        <f>IF(Table1[[#This Row],[Std Read]]="","N/A",Table1[[#This Row],[Std Read]]+Table1[[#This Row],[Std Ucty]])</f>
        <v>N/A</v>
      </c>
      <c r="Z8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5" s="1" t="str">
        <f>IF(Table1[[#This Row],[Spec Type]]="","N/A",Table1[[#This Row],[Spec Type]])</f>
        <v>±</v>
      </c>
      <c r="AC835" s="1" t="str">
        <f>IF(Table1[[#This Row],[Spec Type2]]="N/A","N/A",IF(AND(Table1[[#This Row],[DUT Adj Read]]&gt;=Table1[[#This Row],[Low Tol]],Table1[[#This Row],[DUT Adj Read]]&lt;=Table1[[#This Row],[High Tol]]),"Pass","Fail"))</f>
        <v>Fail</v>
      </c>
      <c r="AD835" s="1" t="str">
        <f>IF(AND(Table1[[#This Row],[Spec Type2]]="N/A",Table1[[#This Row],[DUT Adj Read]]="N/A",Table1[[#This Row],[Std Adj Read]]="N/A"),"N/A",IF(Table1[[#This Row],[DUT Adj Read]]="N/A",IF(Table1[[#This Row],[Std Adj Read]]&gt;Table1[[#This Row],[Low Tol]],"Pass","Fail"),IF(Table1[[#This Row],[DUT Adj Read]]&gt;Table1[[#This Row],[Low Tol]],"Pass","Fail")))</f>
        <v>Pass</v>
      </c>
      <c r="AE835" s="1" t="str">
        <f>IF(AND(Table1[[#This Row],[Spec Type2]]="N/A",Table1[[#This Row],[DUT Adj Read]]="N/A",Table1[[#This Row],[Std Adj Read]]="N/A"),"N/A",IF(Table1[[#This Row],[DUT Adj Read]]="N/A",IF(Table1[[#This Row],[Std Adj Read]]&lt;Table1[[#This Row],[High Tol]],"Pass","Fail"),IF(Table1[[#This Row],[DUT Adj Read]]&lt;Table1[[#This Row],[High Tol]],"Pass","Fail")))</f>
        <v>Fail</v>
      </c>
      <c r="AF835" s="1" t="str">
        <f>IF(AND(Table1[[#This Row],[Spec Type2]]="N/A",Table1[[#This Row],[DUT Adj Read]]="N/A",Table1[[#This Row],[Std Adj Read]]="N/A"),"N/A",IF(Table1[[#This Row],[DUT Adj Read]]="N/A",IF(Table1[[#This Row],[Std Adj Read]]&gt;=Table1[[#This Row],[Low Tol]],"Pass","Fail"),IF(Table1[[#This Row],[DUT Adj Read]]&gt;=Table1[[#This Row],[Low Tol]],"Pass","Fail")))</f>
        <v>Pass</v>
      </c>
      <c r="AG835" s="1" t="str">
        <f>IF(AND(Table1[[#This Row],[Spec Type2]]="N/A",Table1[[#This Row],[DUT Adj Read]]="N/A",Table1[[#This Row],[Std Adj Read]]="N/A"),"N/A",IF(Table1[[#This Row],[DUT Adj Read]]="N/A",IF(Table1[[#This Row],[Std Adj Read]]&lt;=Table1[[#This Row],[High Tol]],"Pass","Fail"),IF(Table1[[#This Row],[DUT Adj Read]]&lt;=Table1[[#This Row],[High Tol]],"Pass","Fail")))</f>
        <v>Fail</v>
      </c>
      <c r="AH8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5" s="1" t="b">
        <v>0</v>
      </c>
      <c r="AN835" s="1" t="b">
        <v>0</v>
      </c>
      <c r="AO835" s="1" t="b">
        <v>0</v>
      </c>
    </row>
    <row r="836" spans="1:41" x14ac:dyDescent="0.25">
      <c r="A836" s="10"/>
      <c r="B836" s="10"/>
      <c r="C836" s="10"/>
      <c r="D836" s="10"/>
      <c r="E836" s="10"/>
      <c r="F836" s="10"/>
      <c r="G836" s="10"/>
      <c r="H836" s="10"/>
      <c r="I836" s="1" t="str">
        <f t="shared" si="36"/>
        <v/>
      </c>
      <c r="J836" s="1" t="s">
        <v>35</v>
      </c>
      <c r="K836" s="1" t="str">
        <f t="shared" si="37"/>
        <v/>
      </c>
      <c r="L836" s="1" t="str">
        <f t="shared" si="38"/>
        <v/>
      </c>
      <c r="M836" s="1">
        <f>IF(OR(Table1[[#This Row],[Std Nom]]="",Table1[[#This Row],[Std Read]]=""),0,Table1[[#This Row],[Std Nom]]-Table1[[#This Row],[Std Read]])</f>
        <v>0</v>
      </c>
      <c r="N836" s="1">
        <f>IF(Calculations!$F$5="ACCREDITED 17025 WITH UNCERTAINTIES",$N$10,0)</f>
        <v>0</v>
      </c>
      <c r="Q836" s="1">
        <f>Table1[[#This Row],[High Tol]]-Table1[[#This Row],[Low Tol]]</f>
        <v>0</v>
      </c>
      <c r="R836" s="1">
        <f>2*Table1[[#This Row],[Std Error]]</f>
        <v>0</v>
      </c>
      <c r="S836" s="1" t="str">
        <f>IF(Table1[[#This Row],[High Tol]]="","N/A",IFERROR(ABS(Table1[[#This Row],[Tol Span]]/Table1[[#This Row],[Error Span]]),"N/A"))</f>
        <v>N/A</v>
      </c>
      <c r="T836" s="1" t="str">
        <f>IF(OR(Table1[[#This Row],[Low Tol]]="",Table1[[#This Row],[High Tol]]=""),"Needs Analysis",IF(Table1[[#This Row],[Ratio]]&gt;=4,"Not Significant",IF(Table1[[#This Row],[Ratio]]&gt;=2,"Semi-Significant","Significant")))</f>
        <v>Needs Analysis</v>
      </c>
      <c r="W836" s="1">
        <f>IF(Table1[[#This Row],[Cal Type]]&lt;&gt;"ACCREDITED 17025 WITH UNCERTAINTIES",0,"")</f>
        <v>0</v>
      </c>
      <c r="X836" s="1" t="str">
        <f>IF(Table1[[#This Row],[DUT Read]]="","N/A",Table1[[#This Row],[Std Error]]+Table1[[#This Row],[DUT Read]]+Table1[[#This Row],[DUT Ucty]])</f>
        <v>N/A</v>
      </c>
      <c r="Y836" s="1" t="str">
        <f>IF(Table1[[#This Row],[Std Read]]="","N/A",Table1[[#This Row],[Std Read]]+Table1[[#This Row],[Std Ucty]])</f>
        <v>N/A</v>
      </c>
      <c r="Z8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6" s="1" t="str">
        <f>IF(Table1[[#This Row],[Spec Type]]="","N/A",Table1[[#This Row],[Spec Type]])</f>
        <v>±</v>
      </c>
      <c r="AC836" s="1" t="str">
        <f>IF(Table1[[#This Row],[Spec Type2]]="N/A","N/A",IF(AND(Table1[[#This Row],[DUT Adj Read]]&gt;=Table1[[#This Row],[Low Tol]],Table1[[#This Row],[DUT Adj Read]]&lt;=Table1[[#This Row],[High Tol]]),"Pass","Fail"))</f>
        <v>Fail</v>
      </c>
      <c r="AD836" s="1" t="str">
        <f>IF(AND(Table1[[#This Row],[Spec Type2]]="N/A",Table1[[#This Row],[DUT Adj Read]]="N/A",Table1[[#This Row],[Std Adj Read]]="N/A"),"N/A",IF(Table1[[#This Row],[DUT Adj Read]]="N/A",IF(Table1[[#This Row],[Std Adj Read]]&gt;Table1[[#This Row],[Low Tol]],"Pass","Fail"),IF(Table1[[#This Row],[DUT Adj Read]]&gt;Table1[[#This Row],[Low Tol]],"Pass","Fail")))</f>
        <v>Pass</v>
      </c>
      <c r="AE836" s="1" t="str">
        <f>IF(AND(Table1[[#This Row],[Spec Type2]]="N/A",Table1[[#This Row],[DUT Adj Read]]="N/A",Table1[[#This Row],[Std Adj Read]]="N/A"),"N/A",IF(Table1[[#This Row],[DUT Adj Read]]="N/A",IF(Table1[[#This Row],[Std Adj Read]]&lt;Table1[[#This Row],[High Tol]],"Pass","Fail"),IF(Table1[[#This Row],[DUT Adj Read]]&lt;Table1[[#This Row],[High Tol]],"Pass","Fail")))</f>
        <v>Fail</v>
      </c>
      <c r="AF836" s="1" t="str">
        <f>IF(AND(Table1[[#This Row],[Spec Type2]]="N/A",Table1[[#This Row],[DUT Adj Read]]="N/A",Table1[[#This Row],[Std Adj Read]]="N/A"),"N/A",IF(Table1[[#This Row],[DUT Adj Read]]="N/A",IF(Table1[[#This Row],[Std Adj Read]]&gt;=Table1[[#This Row],[Low Tol]],"Pass","Fail"),IF(Table1[[#This Row],[DUT Adj Read]]&gt;=Table1[[#This Row],[Low Tol]],"Pass","Fail")))</f>
        <v>Pass</v>
      </c>
      <c r="AG836" s="1" t="str">
        <f>IF(AND(Table1[[#This Row],[Spec Type2]]="N/A",Table1[[#This Row],[DUT Adj Read]]="N/A",Table1[[#This Row],[Std Adj Read]]="N/A"),"N/A",IF(Table1[[#This Row],[DUT Adj Read]]="N/A",IF(Table1[[#This Row],[Std Adj Read]]&lt;=Table1[[#This Row],[High Tol]],"Pass","Fail"),IF(Table1[[#This Row],[DUT Adj Read]]&lt;=Table1[[#This Row],[High Tol]],"Pass","Fail")))</f>
        <v>Fail</v>
      </c>
      <c r="AH8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6" s="1" t="b">
        <v>0</v>
      </c>
      <c r="AN836" s="1" t="b">
        <v>0</v>
      </c>
      <c r="AO836" s="1" t="b">
        <v>0</v>
      </c>
    </row>
    <row r="837" spans="1:41" x14ac:dyDescent="0.25">
      <c r="A837" s="10"/>
      <c r="B837" s="10"/>
      <c r="C837" s="10"/>
      <c r="D837" s="10"/>
      <c r="E837" s="10"/>
      <c r="F837" s="10"/>
      <c r="G837" s="10"/>
      <c r="H837" s="10"/>
      <c r="I837" s="1" t="str">
        <f t="shared" si="36"/>
        <v/>
      </c>
      <c r="J837" s="1" t="s">
        <v>35</v>
      </c>
      <c r="K837" s="1" t="str">
        <f t="shared" si="37"/>
        <v/>
      </c>
      <c r="L837" s="1" t="str">
        <f t="shared" si="38"/>
        <v/>
      </c>
      <c r="M837" s="1">
        <f>IF(OR(Table1[[#This Row],[Std Nom]]="",Table1[[#This Row],[Std Read]]=""),0,Table1[[#This Row],[Std Nom]]-Table1[[#This Row],[Std Read]])</f>
        <v>0</v>
      </c>
      <c r="N837" s="1">
        <f>IF(Calculations!$F$5="ACCREDITED 17025 WITH UNCERTAINTIES",$N$10,0)</f>
        <v>0</v>
      </c>
      <c r="Q837" s="1">
        <f>Table1[[#This Row],[High Tol]]-Table1[[#This Row],[Low Tol]]</f>
        <v>0</v>
      </c>
      <c r="R837" s="1">
        <f>2*Table1[[#This Row],[Std Error]]</f>
        <v>0</v>
      </c>
      <c r="S837" s="1" t="str">
        <f>IF(Table1[[#This Row],[High Tol]]="","N/A",IFERROR(ABS(Table1[[#This Row],[Tol Span]]/Table1[[#This Row],[Error Span]]),"N/A"))</f>
        <v>N/A</v>
      </c>
      <c r="T837" s="1" t="str">
        <f>IF(OR(Table1[[#This Row],[Low Tol]]="",Table1[[#This Row],[High Tol]]=""),"Needs Analysis",IF(Table1[[#This Row],[Ratio]]&gt;=4,"Not Significant",IF(Table1[[#This Row],[Ratio]]&gt;=2,"Semi-Significant","Significant")))</f>
        <v>Needs Analysis</v>
      </c>
      <c r="W837" s="1">
        <f>IF(Table1[[#This Row],[Cal Type]]&lt;&gt;"ACCREDITED 17025 WITH UNCERTAINTIES",0,"")</f>
        <v>0</v>
      </c>
      <c r="X837" s="1" t="str">
        <f>IF(Table1[[#This Row],[DUT Read]]="","N/A",Table1[[#This Row],[Std Error]]+Table1[[#This Row],[DUT Read]]+Table1[[#This Row],[DUT Ucty]])</f>
        <v>N/A</v>
      </c>
      <c r="Y837" s="1" t="str">
        <f>IF(Table1[[#This Row],[Std Read]]="","N/A",Table1[[#This Row],[Std Read]]+Table1[[#This Row],[Std Ucty]])</f>
        <v>N/A</v>
      </c>
      <c r="Z8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7" s="1" t="str">
        <f>IF(Table1[[#This Row],[Spec Type]]="","N/A",Table1[[#This Row],[Spec Type]])</f>
        <v>±</v>
      </c>
      <c r="AC837" s="1" t="str">
        <f>IF(Table1[[#This Row],[Spec Type2]]="N/A","N/A",IF(AND(Table1[[#This Row],[DUT Adj Read]]&gt;=Table1[[#This Row],[Low Tol]],Table1[[#This Row],[DUT Adj Read]]&lt;=Table1[[#This Row],[High Tol]]),"Pass","Fail"))</f>
        <v>Fail</v>
      </c>
      <c r="AD837" s="1" t="str">
        <f>IF(AND(Table1[[#This Row],[Spec Type2]]="N/A",Table1[[#This Row],[DUT Adj Read]]="N/A",Table1[[#This Row],[Std Adj Read]]="N/A"),"N/A",IF(Table1[[#This Row],[DUT Adj Read]]="N/A",IF(Table1[[#This Row],[Std Adj Read]]&gt;Table1[[#This Row],[Low Tol]],"Pass","Fail"),IF(Table1[[#This Row],[DUT Adj Read]]&gt;Table1[[#This Row],[Low Tol]],"Pass","Fail")))</f>
        <v>Pass</v>
      </c>
      <c r="AE837" s="1" t="str">
        <f>IF(AND(Table1[[#This Row],[Spec Type2]]="N/A",Table1[[#This Row],[DUT Adj Read]]="N/A",Table1[[#This Row],[Std Adj Read]]="N/A"),"N/A",IF(Table1[[#This Row],[DUT Adj Read]]="N/A",IF(Table1[[#This Row],[Std Adj Read]]&lt;Table1[[#This Row],[High Tol]],"Pass","Fail"),IF(Table1[[#This Row],[DUT Adj Read]]&lt;Table1[[#This Row],[High Tol]],"Pass","Fail")))</f>
        <v>Fail</v>
      </c>
      <c r="AF837" s="1" t="str">
        <f>IF(AND(Table1[[#This Row],[Spec Type2]]="N/A",Table1[[#This Row],[DUT Adj Read]]="N/A",Table1[[#This Row],[Std Adj Read]]="N/A"),"N/A",IF(Table1[[#This Row],[DUT Adj Read]]="N/A",IF(Table1[[#This Row],[Std Adj Read]]&gt;=Table1[[#This Row],[Low Tol]],"Pass","Fail"),IF(Table1[[#This Row],[DUT Adj Read]]&gt;=Table1[[#This Row],[Low Tol]],"Pass","Fail")))</f>
        <v>Pass</v>
      </c>
      <c r="AG837" s="1" t="str">
        <f>IF(AND(Table1[[#This Row],[Spec Type2]]="N/A",Table1[[#This Row],[DUT Adj Read]]="N/A",Table1[[#This Row],[Std Adj Read]]="N/A"),"N/A",IF(Table1[[#This Row],[DUT Adj Read]]="N/A",IF(Table1[[#This Row],[Std Adj Read]]&lt;=Table1[[#This Row],[High Tol]],"Pass","Fail"),IF(Table1[[#This Row],[DUT Adj Read]]&lt;=Table1[[#This Row],[High Tol]],"Pass","Fail")))</f>
        <v>Fail</v>
      </c>
      <c r="AH8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7" s="1" t="b">
        <v>0</v>
      </c>
      <c r="AN837" s="1" t="b">
        <v>0</v>
      </c>
      <c r="AO837" s="1" t="b">
        <v>0</v>
      </c>
    </row>
    <row r="838" spans="1:41" x14ac:dyDescent="0.25">
      <c r="A838" s="10"/>
      <c r="B838" s="10"/>
      <c r="C838" s="10"/>
      <c r="D838" s="10"/>
      <c r="E838" s="10"/>
      <c r="F838" s="10"/>
      <c r="G838" s="10"/>
      <c r="H838" s="10"/>
      <c r="I838" s="1" t="str">
        <f t="shared" si="36"/>
        <v/>
      </c>
      <c r="J838" s="1" t="s">
        <v>35</v>
      </c>
      <c r="K838" s="1" t="str">
        <f t="shared" si="37"/>
        <v/>
      </c>
      <c r="L838" s="1" t="str">
        <f t="shared" si="38"/>
        <v/>
      </c>
      <c r="M838" s="1">
        <f>IF(OR(Table1[[#This Row],[Std Nom]]="",Table1[[#This Row],[Std Read]]=""),0,Table1[[#This Row],[Std Nom]]-Table1[[#This Row],[Std Read]])</f>
        <v>0</v>
      </c>
      <c r="N838" s="1">
        <f>IF(Calculations!$F$5="ACCREDITED 17025 WITH UNCERTAINTIES",$N$10,0)</f>
        <v>0</v>
      </c>
      <c r="Q838" s="1">
        <f>Table1[[#This Row],[High Tol]]-Table1[[#This Row],[Low Tol]]</f>
        <v>0</v>
      </c>
      <c r="R838" s="1">
        <f>2*Table1[[#This Row],[Std Error]]</f>
        <v>0</v>
      </c>
      <c r="S838" s="1" t="str">
        <f>IF(Table1[[#This Row],[High Tol]]="","N/A",IFERROR(ABS(Table1[[#This Row],[Tol Span]]/Table1[[#This Row],[Error Span]]),"N/A"))</f>
        <v>N/A</v>
      </c>
      <c r="T838" s="1" t="str">
        <f>IF(OR(Table1[[#This Row],[Low Tol]]="",Table1[[#This Row],[High Tol]]=""),"Needs Analysis",IF(Table1[[#This Row],[Ratio]]&gt;=4,"Not Significant",IF(Table1[[#This Row],[Ratio]]&gt;=2,"Semi-Significant","Significant")))</f>
        <v>Needs Analysis</v>
      </c>
      <c r="W838" s="1">
        <f>IF(Table1[[#This Row],[Cal Type]]&lt;&gt;"ACCREDITED 17025 WITH UNCERTAINTIES",0,"")</f>
        <v>0</v>
      </c>
      <c r="X838" s="1" t="str">
        <f>IF(Table1[[#This Row],[DUT Read]]="","N/A",Table1[[#This Row],[Std Error]]+Table1[[#This Row],[DUT Read]]+Table1[[#This Row],[DUT Ucty]])</f>
        <v>N/A</v>
      </c>
      <c r="Y838" s="1" t="str">
        <f>IF(Table1[[#This Row],[Std Read]]="","N/A",Table1[[#This Row],[Std Read]]+Table1[[#This Row],[Std Ucty]])</f>
        <v>N/A</v>
      </c>
      <c r="Z8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8" s="1" t="str">
        <f>IF(Table1[[#This Row],[Spec Type]]="","N/A",Table1[[#This Row],[Spec Type]])</f>
        <v>±</v>
      </c>
      <c r="AC838" s="1" t="str">
        <f>IF(Table1[[#This Row],[Spec Type2]]="N/A","N/A",IF(AND(Table1[[#This Row],[DUT Adj Read]]&gt;=Table1[[#This Row],[Low Tol]],Table1[[#This Row],[DUT Adj Read]]&lt;=Table1[[#This Row],[High Tol]]),"Pass","Fail"))</f>
        <v>Fail</v>
      </c>
      <c r="AD838" s="1" t="str">
        <f>IF(AND(Table1[[#This Row],[Spec Type2]]="N/A",Table1[[#This Row],[DUT Adj Read]]="N/A",Table1[[#This Row],[Std Adj Read]]="N/A"),"N/A",IF(Table1[[#This Row],[DUT Adj Read]]="N/A",IF(Table1[[#This Row],[Std Adj Read]]&gt;Table1[[#This Row],[Low Tol]],"Pass","Fail"),IF(Table1[[#This Row],[DUT Adj Read]]&gt;Table1[[#This Row],[Low Tol]],"Pass","Fail")))</f>
        <v>Pass</v>
      </c>
      <c r="AE838" s="1" t="str">
        <f>IF(AND(Table1[[#This Row],[Spec Type2]]="N/A",Table1[[#This Row],[DUT Adj Read]]="N/A",Table1[[#This Row],[Std Adj Read]]="N/A"),"N/A",IF(Table1[[#This Row],[DUT Adj Read]]="N/A",IF(Table1[[#This Row],[Std Adj Read]]&lt;Table1[[#This Row],[High Tol]],"Pass","Fail"),IF(Table1[[#This Row],[DUT Adj Read]]&lt;Table1[[#This Row],[High Tol]],"Pass","Fail")))</f>
        <v>Fail</v>
      </c>
      <c r="AF838" s="1" t="str">
        <f>IF(AND(Table1[[#This Row],[Spec Type2]]="N/A",Table1[[#This Row],[DUT Adj Read]]="N/A",Table1[[#This Row],[Std Adj Read]]="N/A"),"N/A",IF(Table1[[#This Row],[DUT Adj Read]]="N/A",IF(Table1[[#This Row],[Std Adj Read]]&gt;=Table1[[#This Row],[Low Tol]],"Pass","Fail"),IF(Table1[[#This Row],[DUT Adj Read]]&gt;=Table1[[#This Row],[Low Tol]],"Pass","Fail")))</f>
        <v>Pass</v>
      </c>
      <c r="AG838" s="1" t="str">
        <f>IF(AND(Table1[[#This Row],[Spec Type2]]="N/A",Table1[[#This Row],[DUT Adj Read]]="N/A",Table1[[#This Row],[Std Adj Read]]="N/A"),"N/A",IF(Table1[[#This Row],[DUT Adj Read]]="N/A",IF(Table1[[#This Row],[Std Adj Read]]&lt;=Table1[[#This Row],[High Tol]],"Pass","Fail"),IF(Table1[[#This Row],[DUT Adj Read]]&lt;=Table1[[#This Row],[High Tol]],"Pass","Fail")))</f>
        <v>Fail</v>
      </c>
      <c r="AH8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8" s="1" t="b">
        <v>0</v>
      </c>
      <c r="AN838" s="1" t="b">
        <v>0</v>
      </c>
      <c r="AO838" s="1" t="b">
        <v>0</v>
      </c>
    </row>
    <row r="839" spans="1:41" x14ac:dyDescent="0.25">
      <c r="A839" s="10"/>
      <c r="B839" s="10"/>
      <c r="C839" s="10"/>
      <c r="D839" s="10"/>
      <c r="E839" s="10"/>
      <c r="F839" s="10"/>
      <c r="G839" s="10"/>
      <c r="H839" s="10"/>
      <c r="I839" s="1" t="str">
        <f t="shared" si="36"/>
        <v/>
      </c>
      <c r="J839" s="1" t="s">
        <v>35</v>
      </c>
      <c r="K839" s="1" t="str">
        <f t="shared" si="37"/>
        <v/>
      </c>
      <c r="L839" s="1" t="str">
        <f t="shared" si="38"/>
        <v/>
      </c>
      <c r="M839" s="1">
        <f>IF(OR(Table1[[#This Row],[Std Nom]]="",Table1[[#This Row],[Std Read]]=""),0,Table1[[#This Row],[Std Nom]]-Table1[[#This Row],[Std Read]])</f>
        <v>0</v>
      </c>
      <c r="N839" s="1">
        <f>IF(Calculations!$F$5="ACCREDITED 17025 WITH UNCERTAINTIES",$N$10,0)</f>
        <v>0</v>
      </c>
      <c r="Q839" s="1">
        <f>Table1[[#This Row],[High Tol]]-Table1[[#This Row],[Low Tol]]</f>
        <v>0</v>
      </c>
      <c r="R839" s="1">
        <f>2*Table1[[#This Row],[Std Error]]</f>
        <v>0</v>
      </c>
      <c r="S839" s="1" t="str">
        <f>IF(Table1[[#This Row],[High Tol]]="","N/A",IFERROR(ABS(Table1[[#This Row],[Tol Span]]/Table1[[#This Row],[Error Span]]),"N/A"))</f>
        <v>N/A</v>
      </c>
      <c r="T839" s="1" t="str">
        <f>IF(OR(Table1[[#This Row],[Low Tol]]="",Table1[[#This Row],[High Tol]]=""),"Needs Analysis",IF(Table1[[#This Row],[Ratio]]&gt;=4,"Not Significant",IF(Table1[[#This Row],[Ratio]]&gt;=2,"Semi-Significant","Significant")))</f>
        <v>Needs Analysis</v>
      </c>
      <c r="W839" s="1">
        <f>IF(Table1[[#This Row],[Cal Type]]&lt;&gt;"ACCREDITED 17025 WITH UNCERTAINTIES",0,"")</f>
        <v>0</v>
      </c>
      <c r="X839" s="1" t="str">
        <f>IF(Table1[[#This Row],[DUT Read]]="","N/A",Table1[[#This Row],[Std Error]]+Table1[[#This Row],[DUT Read]]+Table1[[#This Row],[DUT Ucty]])</f>
        <v>N/A</v>
      </c>
      <c r="Y839" s="1" t="str">
        <f>IF(Table1[[#This Row],[Std Read]]="","N/A",Table1[[#This Row],[Std Read]]+Table1[[#This Row],[Std Ucty]])</f>
        <v>N/A</v>
      </c>
      <c r="Z8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39" s="1" t="str">
        <f>IF(Table1[[#This Row],[Spec Type]]="","N/A",Table1[[#This Row],[Spec Type]])</f>
        <v>±</v>
      </c>
      <c r="AC839" s="1" t="str">
        <f>IF(Table1[[#This Row],[Spec Type2]]="N/A","N/A",IF(AND(Table1[[#This Row],[DUT Adj Read]]&gt;=Table1[[#This Row],[Low Tol]],Table1[[#This Row],[DUT Adj Read]]&lt;=Table1[[#This Row],[High Tol]]),"Pass","Fail"))</f>
        <v>Fail</v>
      </c>
      <c r="AD839" s="1" t="str">
        <f>IF(AND(Table1[[#This Row],[Spec Type2]]="N/A",Table1[[#This Row],[DUT Adj Read]]="N/A",Table1[[#This Row],[Std Adj Read]]="N/A"),"N/A",IF(Table1[[#This Row],[DUT Adj Read]]="N/A",IF(Table1[[#This Row],[Std Adj Read]]&gt;Table1[[#This Row],[Low Tol]],"Pass","Fail"),IF(Table1[[#This Row],[DUT Adj Read]]&gt;Table1[[#This Row],[Low Tol]],"Pass","Fail")))</f>
        <v>Pass</v>
      </c>
      <c r="AE839" s="1" t="str">
        <f>IF(AND(Table1[[#This Row],[Spec Type2]]="N/A",Table1[[#This Row],[DUT Adj Read]]="N/A",Table1[[#This Row],[Std Adj Read]]="N/A"),"N/A",IF(Table1[[#This Row],[DUT Adj Read]]="N/A",IF(Table1[[#This Row],[Std Adj Read]]&lt;Table1[[#This Row],[High Tol]],"Pass","Fail"),IF(Table1[[#This Row],[DUT Adj Read]]&lt;Table1[[#This Row],[High Tol]],"Pass","Fail")))</f>
        <v>Fail</v>
      </c>
      <c r="AF839" s="1" t="str">
        <f>IF(AND(Table1[[#This Row],[Spec Type2]]="N/A",Table1[[#This Row],[DUT Adj Read]]="N/A",Table1[[#This Row],[Std Adj Read]]="N/A"),"N/A",IF(Table1[[#This Row],[DUT Adj Read]]="N/A",IF(Table1[[#This Row],[Std Adj Read]]&gt;=Table1[[#This Row],[Low Tol]],"Pass","Fail"),IF(Table1[[#This Row],[DUT Adj Read]]&gt;=Table1[[#This Row],[Low Tol]],"Pass","Fail")))</f>
        <v>Pass</v>
      </c>
      <c r="AG839" s="1" t="str">
        <f>IF(AND(Table1[[#This Row],[Spec Type2]]="N/A",Table1[[#This Row],[DUT Adj Read]]="N/A",Table1[[#This Row],[Std Adj Read]]="N/A"),"N/A",IF(Table1[[#This Row],[DUT Adj Read]]="N/A",IF(Table1[[#This Row],[Std Adj Read]]&lt;=Table1[[#This Row],[High Tol]],"Pass","Fail"),IF(Table1[[#This Row],[DUT Adj Read]]&lt;=Table1[[#This Row],[High Tol]],"Pass","Fail")))</f>
        <v>Fail</v>
      </c>
      <c r="AH8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39" s="1" t="b">
        <v>0</v>
      </c>
      <c r="AN839" s="1" t="b">
        <v>0</v>
      </c>
      <c r="AO839" s="1" t="b">
        <v>0</v>
      </c>
    </row>
    <row r="840" spans="1:41" x14ac:dyDescent="0.25">
      <c r="A840" s="10"/>
      <c r="B840" s="10"/>
      <c r="C840" s="10"/>
      <c r="D840" s="10"/>
      <c r="E840" s="10"/>
      <c r="F840" s="10"/>
      <c r="G840" s="10"/>
      <c r="H840" s="10"/>
      <c r="I840" s="1" t="str">
        <f t="shared" si="36"/>
        <v/>
      </c>
      <c r="J840" s="1" t="s">
        <v>35</v>
      </c>
      <c r="K840" s="1" t="str">
        <f t="shared" si="37"/>
        <v/>
      </c>
      <c r="L840" s="1" t="str">
        <f t="shared" si="38"/>
        <v/>
      </c>
      <c r="M840" s="1">
        <f>IF(OR(Table1[[#This Row],[Std Nom]]="",Table1[[#This Row],[Std Read]]=""),0,Table1[[#This Row],[Std Nom]]-Table1[[#This Row],[Std Read]])</f>
        <v>0</v>
      </c>
      <c r="N840" s="1">
        <f>IF(Calculations!$F$5="ACCREDITED 17025 WITH UNCERTAINTIES",$N$10,0)</f>
        <v>0</v>
      </c>
      <c r="Q840" s="1">
        <f>Table1[[#This Row],[High Tol]]-Table1[[#This Row],[Low Tol]]</f>
        <v>0</v>
      </c>
      <c r="R840" s="1">
        <f>2*Table1[[#This Row],[Std Error]]</f>
        <v>0</v>
      </c>
      <c r="S840" s="1" t="str">
        <f>IF(Table1[[#This Row],[High Tol]]="","N/A",IFERROR(ABS(Table1[[#This Row],[Tol Span]]/Table1[[#This Row],[Error Span]]),"N/A"))</f>
        <v>N/A</v>
      </c>
      <c r="T840" s="1" t="str">
        <f>IF(OR(Table1[[#This Row],[Low Tol]]="",Table1[[#This Row],[High Tol]]=""),"Needs Analysis",IF(Table1[[#This Row],[Ratio]]&gt;=4,"Not Significant",IF(Table1[[#This Row],[Ratio]]&gt;=2,"Semi-Significant","Significant")))</f>
        <v>Needs Analysis</v>
      </c>
      <c r="W840" s="1">
        <f>IF(Table1[[#This Row],[Cal Type]]&lt;&gt;"ACCREDITED 17025 WITH UNCERTAINTIES",0,"")</f>
        <v>0</v>
      </c>
      <c r="X840" s="1" t="str">
        <f>IF(Table1[[#This Row],[DUT Read]]="","N/A",Table1[[#This Row],[Std Error]]+Table1[[#This Row],[DUT Read]]+Table1[[#This Row],[DUT Ucty]])</f>
        <v>N/A</v>
      </c>
      <c r="Y840" s="1" t="str">
        <f>IF(Table1[[#This Row],[Std Read]]="","N/A",Table1[[#This Row],[Std Read]]+Table1[[#This Row],[Std Ucty]])</f>
        <v>N/A</v>
      </c>
      <c r="Z8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0" s="1" t="str">
        <f>IF(Table1[[#This Row],[Spec Type]]="","N/A",Table1[[#This Row],[Spec Type]])</f>
        <v>±</v>
      </c>
      <c r="AC840" s="1" t="str">
        <f>IF(Table1[[#This Row],[Spec Type2]]="N/A","N/A",IF(AND(Table1[[#This Row],[DUT Adj Read]]&gt;=Table1[[#This Row],[Low Tol]],Table1[[#This Row],[DUT Adj Read]]&lt;=Table1[[#This Row],[High Tol]]),"Pass","Fail"))</f>
        <v>Fail</v>
      </c>
      <c r="AD840" s="1" t="str">
        <f>IF(AND(Table1[[#This Row],[Spec Type2]]="N/A",Table1[[#This Row],[DUT Adj Read]]="N/A",Table1[[#This Row],[Std Adj Read]]="N/A"),"N/A",IF(Table1[[#This Row],[DUT Adj Read]]="N/A",IF(Table1[[#This Row],[Std Adj Read]]&gt;Table1[[#This Row],[Low Tol]],"Pass","Fail"),IF(Table1[[#This Row],[DUT Adj Read]]&gt;Table1[[#This Row],[Low Tol]],"Pass","Fail")))</f>
        <v>Pass</v>
      </c>
      <c r="AE840" s="1" t="str">
        <f>IF(AND(Table1[[#This Row],[Spec Type2]]="N/A",Table1[[#This Row],[DUT Adj Read]]="N/A",Table1[[#This Row],[Std Adj Read]]="N/A"),"N/A",IF(Table1[[#This Row],[DUT Adj Read]]="N/A",IF(Table1[[#This Row],[Std Adj Read]]&lt;Table1[[#This Row],[High Tol]],"Pass","Fail"),IF(Table1[[#This Row],[DUT Adj Read]]&lt;Table1[[#This Row],[High Tol]],"Pass","Fail")))</f>
        <v>Fail</v>
      </c>
      <c r="AF840" s="1" t="str">
        <f>IF(AND(Table1[[#This Row],[Spec Type2]]="N/A",Table1[[#This Row],[DUT Adj Read]]="N/A",Table1[[#This Row],[Std Adj Read]]="N/A"),"N/A",IF(Table1[[#This Row],[DUT Adj Read]]="N/A",IF(Table1[[#This Row],[Std Adj Read]]&gt;=Table1[[#This Row],[Low Tol]],"Pass","Fail"),IF(Table1[[#This Row],[DUT Adj Read]]&gt;=Table1[[#This Row],[Low Tol]],"Pass","Fail")))</f>
        <v>Pass</v>
      </c>
      <c r="AG840" s="1" t="str">
        <f>IF(AND(Table1[[#This Row],[Spec Type2]]="N/A",Table1[[#This Row],[DUT Adj Read]]="N/A",Table1[[#This Row],[Std Adj Read]]="N/A"),"N/A",IF(Table1[[#This Row],[DUT Adj Read]]="N/A",IF(Table1[[#This Row],[Std Adj Read]]&lt;=Table1[[#This Row],[High Tol]],"Pass","Fail"),IF(Table1[[#This Row],[DUT Adj Read]]&lt;=Table1[[#This Row],[High Tol]],"Pass","Fail")))</f>
        <v>Fail</v>
      </c>
      <c r="AH8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0" s="1" t="b">
        <v>0</v>
      </c>
      <c r="AN840" s="1" t="b">
        <v>0</v>
      </c>
      <c r="AO840" s="1" t="b">
        <v>0</v>
      </c>
    </row>
    <row r="841" spans="1:41" x14ac:dyDescent="0.25">
      <c r="A841" s="10"/>
      <c r="B841" s="10"/>
      <c r="C841" s="10"/>
      <c r="D841" s="10"/>
      <c r="E841" s="10"/>
      <c r="F841" s="10"/>
      <c r="G841" s="10"/>
      <c r="H841" s="10"/>
      <c r="I841" s="1" t="str">
        <f t="shared" si="36"/>
        <v/>
      </c>
      <c r="J841" s="1" t="s">
        <v>35</v>
      </c>
      <c r="K841" s="1" t="str">
        <f t="shared" si="37"/>
        <v/>
      </c>
      <c r="L841" s="1" t="str">
        <f t="shared" si="38"/>
        <v/>
      </c>
      <c r="M841" s="1">
        <f>IF(OR(Table1[[#This Row],[Std Nom]]="",Table1[[#This Row],[Std Read]]=""),0,Table1[[#This Row],[Std Nom]]-Table1[[#This Row],[Std Read]])</f>
        <v>0</v>
      </c>
      <c r="N841" s="1">
        <f>IF(Calculations!$F$5="ACCREDITED 17025 WITH UNCERTAINTIES",$N$10,0)</f>
        <v>0</v>
      </c>
      <c r="Q841" s="1">
        <f>Table1[[#This Row],[High Tol]]-Table1[[#This Row],[Low Tol]]</f>
        <v>0</v>
      </c>
      <c r="R841" s="1">
        <f>2*Table1[[#This Row],[Std Error]]</f>
        <v>0</v>
      </c>
      <c r="S841" s="1" t="str">
        <f>IF(Table1[[#This Row],[High Tol]]="","N/A",IFERROR(ABS(Table1[[#This Row],[Tol Span]]/Table1[[#This Row],[Error Span]]),"N/A"))</f>
        <v>N/A</v>
      </c>
      <c r="T841" s="1" t="str">
        <f>IF(OR(Table1[[#This Row],[Low Tol]]="",Table1[[#This Row],[High Tol]]=""),"Needs Analysis",IF(Table1[[#This Row],[Ratio]]&gt;=4,"Not Significant",IF(Table1[[#This Row],[Ratio]]&gt;=2,"Semi-Significant","Significant")))</f>
        <v>Needs Analysis</v>
      </c>
      <c r="W841" s="1">
        <f>IF(Table1[[#This Row],[Cal Type]]&lt;&gt;"ACCREDITED 17025 WITH UNCERTAINTIES",0,"")</f>
        <v>0</v>
      </c>
      <c r="X841" s="1" t="str">
        <f>IF(Table1[[#This Row],[DUT Read]]="","N/A",Table1[[#This Row],[Std Error]]+Table1[[#This Row],[DUT Read]]+Table1[[#This Row],[DUT Ucty]])</f>
        <v>N/A</v>
      </c>
      <c r="Y841" s="1" t="str">
        <f>IF(Table1[[#This Row],[Std Read]]="","N/A",Table1[[#This Row],[Std Read]]+Table1[[#This Row],[Std Ucty]])</f>
        <v>N/A</v>
      </c>
      <c r="Z8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1" s="1" t="str">
        <f>IF(Table1[[#This Row],[Spec Type]]="","N/A",Table1[[#This Row],[Spec Type]])</f>
        <v>±</v>
      </c>
      <c r="AC841" s="1" t="str">
        <f>IF(Table1[[#This Row],[Spec Type2]]="N/A","N/A",IF(AND(Table1[[#This Row],[DUT Adj Read]]&gt;=Table1[[#This Row],[Low Tol]],Table1[[#This Row],[DUT Adj Read]]&lt;=Table1[[#This Row],[High Tol]]),"Pass","Fail"))</f>
        <v>Fail</v>
      </c>
      <c r="AD841" s="1" t="str">
        <f>IF(AND(Table1[[#This Row],[Spec Type2]]="N/A",Table1[[#This Row],[DUT Adj Read]]="N/A",Table1[[#This Row],[Std Adj Read]]="N/A"),"N/A",IF(Table1[[#This Row],[DUT Adj Read]]="N/A",IF(Table1[[#This Row],[Std Adj Read]]&gt;Table1[[#This Row],[Low Tol]],"Pass","Fail"),IF(Table1[[#This Row],[DUT Adj Read]]&gt;Table1[[#This Row],[Low Tol]],"Pass","Fail")))</f>
        <v>Pass</v>
      </c>
      <c r="AE841" s="1" t="str">
        <f>IF(AND(Table1[[#This Row],[Spec Type2]]="N/A",Table1[[#This Row],[DUT Adj Read]]="N/A",Table1[[#This Row],[Std Adj Read]]="N/A"),"N/A",IF(Table1[[#This Row],[DUT Adj Read]]="N/A",IF(Table1[[#This Row],[Std Adj Read]]&lt;Table1[[#This Row],[High Tol]],"Pass","Fail"),IF(Table1[[#This Row],[DUT Adj Read]]&lt;Table1[[#This Row],[High Tol]],"Pass","Fail")))</f>
        <v>Fail</v>
      </c>
      <c r="AF841" s="1" t="str">
        <f>IF(AND(Table1[[#This Row],[Spec Type2]]="N/A",Table1[[#This Row],[DUT Adj Read]]="N/A",Table1[[#This Row],[Std Adj Read]]="N/A"),"N/A",IF(Table1[[#This Row],[DUT Adj Read]]="N/A",IF(Table1[[#This Row],[Std Adj Read]]&gt;=Table1[[#This Row],[Low Tol]],"Pass","Fail"),IF(Table1[[#This Row],[DUT Adj Read]]&gt;=Table1[[#This Row],[Low Tol]],"Pass","Fail")))</f>
        <v>Pass</v>
      </c>
      <c r="AG841" s="1" t="str">
        <f>IF(AND(Table1[[#This Row],[Spec Type2]]="N/A",Table1[[#This Row],[DUT Adj Read]]="N/A",Table1[[#This Row],[Std Adj Read]]="N/A"),"N/A",IF(Table1[[#This Row],[DUT Adj Read]]="N/A",IF(Table1[[#This Row],[Std Adj Read]]&lt;=Table1[[#This Row],[High Tol]],"Pass","Fail"),IF(Table1[[#This Row],[DUT Adj Read]]&lt;=Table1[[#This Row],[High Tol]],"Pass","Fail")))</f>
        <v>Fail</v>
      </c>
      <c r="AH8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1" s="1" t="b">
        <v>0</v>
      </c>
      <c r="AN841" s="1" t="b">
        <v>0</v>
      </c>
      <c r="AO841" s="1" t="b">
        <v>0</v>
      </c>
    </row>
    <row r="842" spans="1:41" x14ac:dyDescent="0.25">
      <c r="A842" s="10"/>
      <c r="B842" s="10"/>
      <c r="C842" s="10"/>
      <c r="D842" s="10"/>
      <c r="E842" s="10"/>
      <c r="F842" s="10"/>
      <c r="G842" s="10"/>
      <c r="H842" s="10"/>
      <c r="I842" s="1" t="str">
        <f t="shared" si="36"/>
        <v/>
      </c>
      <c r="J842" s="1" t="s">
        <v>35</v>
      </c>
      <c r="K842" s="1" t="str">
        <f t="shared" si="37"/>
        <v/>
      </c>
      <c r="L842" s="1" t="str">
        <f t="shared" si="38"/>
        <v/>
      </c>
      <c r="M842" s="1">
        <f>IF(OR(Table1[[#This Row],[Std Nom]]="",Table1[[#This Row],[Std Read]]=""),0,Table1[[#This Row],[Std Nom]]-Table1[[#This Row],[Std Read]])</f>
        <v>0</v>
      </c>
      <c r="N842" s="1">
        <f>IF(Calculations!$F$5="ACCREDITED 17025 WITH UNCERTAINTIES",$N$10,0)</f>
        <v>0</v>
      </c>
      <c r="Q842" s="1">
        <f>Table1[[#This Row],[High Tol]]-Table1[[#This Row],[Low Tol]]</f>
        <v>0</v>
      </c>
      <c r="R842" s="1">
        <f>2*Table1[[#This Row],[Std Error]]</f>
        <v>0</v>
      </c>
      <c r="S842" s="1" t="str">
        <f>IF(Table1[[#This Row],[High Tol]]="","N/A",IFERROR(ABS(Table1[[#This Row],[Tol Span]]/Table1[[#This Row],[Error Span]]),"N/A"))</f>
        <v>N/A</v>
      </c>
      <c r="T842" s="1" t="str">
        <f>IF(OR(Table1[[#This Row],[Low Tol]]="",Table1[[#This Row],[High Tol]]=""),"Needs Analysis",IF(Table1[[#This Row],[Ratio]]&gt;=4,"Not Significant",IF(Table1[[#This Row],[Ratio]]&gt;=2,"Semi-Significant","Significant")))</f>
        <v>Needs Analysis</v>
      </c>
      <c r="W842" s="1">
        <f>IF(Table1[[#This Row],[Cal Type]]&lt;&gt;"ACCREDITED 17025 WITH UNCERTAINTIES",0,"")</f>
        <v>0</v>
      </c>
      <c r="X842" s="1" t="str">
        <f>IF(Table1[[#This Row],[DUT Read]]="","N/A",Table1[[#This Row],[Std Error]]+Table1[[#This Row],[DUT Read]]+Table1[[#This Row],[DUT Ucty]])</f>
        <v>N/A</v>
      </c>
      <c r="Y842" s="1" t="str">
        <f>IF(Table1[[#This Row],[Std Read]]="","N/A",Table1[[#This Row],[Std Read]]+Table1[[#This Row],[Std Ucty]])</f>
        <v>N/A</v>
      </c>
      <c r="Z8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2" s="1" t="str">
        <f>IF(Table1[[#This Row],[Spec Type]]="","N/A",Table1[[#This Row],[Spec Type]])</f>
        <v>±</v>
      </c>
      <c r="AC842" s="1" t="str">
        <f>IF(Table1[[#This Row],[Spec Type2]]="N/A","N/A",IF(AND(Table1[[#This Row],[DUT Adj Read]]&gt;=Table1[[#This Row],[Low Tol]],Table1[[#This Row],[DUT Adj Read]]&lt;=Table1[[#This Row],[High Tol]]),"Pass","Fail"))</f>
        <v>Fail</v>
      </c>
      <c r="AD842" s="1" t="str">
        <f>IF(AND(Table1[[#This Row],[Spec Type2]]="N/A",Table1[[#This Row],[DUT Adj Read]]="N/A",Table1[[#This Row],[Std Adj Read]]="N/A"),"N/A",IF(Table1[[#This Row],[DUT Adj Read]]="N/A",IF(Table1[[#This Row],[Std Adj Read]]&gt;Table1[[#This Row],[Low Tol]],"Pass","Fail"),IF(Table1[[#This Row],[DUT Adj Read]]&gt;Table1[[#This Row],[Low Tol]],"Pass","Fail")))</f>
        <v>Pass</v>
      </c>
      <c r="AE842" s="1" t="str">
        <f>IF(AND(Table1[[#This Row],[Spec Type2]]="N/A",Table1[[#This Row],[DUT Adj Read]]="N/A",Table1[[#This Row],[Std Adj Read]]="N/A"),"N/A",IF(Table1[[#This Row],[DUT Adj Read]]="N/A",IF(Table1[[#This Row],[Std Adj Read]]&lt;Table1[[#This Row],[High Tol]],"Pass","Fail"),IF(Table1[[#This Row],[DUT Adj Read]]&lt;Table1[[#This Row],[High Tol]],"Pass","Fail")))</f>
        <v>Fail</v>
      </c>
      <c r="AF842" s="1" t="str">
        <f>IF(AND(Table1[[#This Row],[Spec Type2]]="N/A",Table1[[#This Row],[DUT Adj Read]]="N/A",Table1[[#This Row],[Std Adj Read]]="N/A"),"N/A",IF(Table1[[#This Row],[DUT Adj Read]]="N/A",IF(Table1[[#This Row],[Std Adj Read]]&gt;=Table1[[#This Row],[Low Tol]],"Pass","Fail"),IF(Table1[[#This Row],[DUT Adj Read]]&gt;=Table1[[#This Row],[Low Tol]],"Pass","Fail")))</f>
        <v>Pass</v>
      </c>
      <c r="AG842" s="1" t="str">
        <f>IF(AND(Table1[[#This Row],[Spec Type2]]="N/A",Table1[[#This Row],[DUT Adj Read]]="N/A",Table1[[#This Row],[Std Adj Read]]="N/A"),"N/A",IF(Table1[[#This Row],[DUT Adj Read]]="N/A",IF(Table1[[#This Row],[Std Adj Read]]&lt;=Table1[[#This Row],[High Tol]],"Pass","Fail"),IF(Table1[[#This Row],[DUT Adj Read]]&lt;=Table1[[#This Row],[High Tol]],"Pass","Fail")))</f>
        <v>Fail</v>
      </c>
      <c r="AH8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2" s="1" t="b">
        <v>0</v>
      </c>
      <c r="AN842" s="1" t="b">
        <v>0</v>
      </c>
      <c r="AO842" s="1" t="b">
        <v>0</v>
      </c>
    </row>
    <row r="843" spans="1:41" x14ac:dyDescent="0.25">
      <c r="A843" s="10"/>
      <c r="B843" s="10"/>
      <c r="C843" s="10"/>
      <c r="D843" s="10"/>
      <c r="E843" s="10"/>
      <c r="F843" s="10"/>
      <c r="G843" s="10"/>
      <c r="H843" s="10"/>
      <c r="I843" s="1" t="str">
        <f t="shared" ref="I843:I906" si="39">IF($I$10="","",$I$10)</f>
        <v/>
      </c>
      <c r="J843" s="1" t="s">
        <v>35</v>
      </c>
      <c r="K843" s="1" t="str">
        <f t="shared" ref="K843:K906" si="40">IF($K$10="","",$K$10)</f>
        <v/>
      </c>
      <c r="L843" s="1" t="str">
        <f t="shared" ref="L843:L906" si="41">IF($L$10="","",$L$10)</f>
        <v/>
      </c>
      <c r="M843" s="1">
        <f>IF(OR(Table1[[#This Row],[Std Nom]]="",Table1[[#This Row],[Std Read]]=""),0,Table1[[#This Row],[Std Nom]]-Table1[[#This Row],[Std Read]])</f>
        <v>0</v>
      </c>
      <c r="N843" s="1">
        <f>IF(Calculations!$F$5="ACCREDITED 17025 WITH UNCERTAINTIES",$N$10,0)</f>
        <v>0</v>
      </c>
      <c r="Q843" s="1">
        <f>Table1[[#This Row],[High Tol]]-Table1[[#This Row],[Low Tol]]</f>
        <v>0</v>
      </c>
      <c r="R843" s="1">
        <f>2*Table1[[#This Row],[Std Error]]</f>
        <v>0</v>
      </c>
      <c r="S843" s="1" t="str">
        <f>IF(Table1[[#This Row],[High Tol]]="","N/A",IFERROR(ABS(Table1[[#This Row],[Tol Span]]/Table1[[#This Row],[Error Span]]),"N/A"))</f>
        <v>N/A</v>
      </c>
      <c r="T843" s="1" t="str">
        <f>IF(OR(Table1[[#This Row],[Low Tol]]="",Table1[[#This Row],[High Tol]]=""),"Needs Analysis",IF(Table1[[#This Row],[Ratio]]&gt;=4,"Not Significant",IF(Table1[[#This Row],[Ratio]]&gt;=2,"Semi-Significant","Significant")))</f>
        <v>Needs Analysis</v>
      </c>
      <c r="W843" s="1">
        <f>IF(Table1[[#This Row],[Cal Type]]&lt;&gt;"ACCREDITED 17025 WITH UNCERTAINTIES",0,"")</f>
        <v>0</v>
      </c>
      <c r="X843" s="1" t="str">
        <f>IF(Table1[[#This Row],[DUT Read]]="","N/A",Table1[[#This Row],[Std Error]]+Table1[[#This Row],[DUT Read]]+Table1[[#This Row],[DUT Ucty]])</f>
        <v>N/A</v>
      </c>
      <c r="Y843" s="1" t="str">
        <f>IF(Table1[[#This Row],[Std Read]]="","N/A",Table1[[#This Row],[Std Read]]+Table1[[#This Row],[Std Ucty]])</f>
        <v>N/A</v>
      </c>
      <c r="Z8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3" s="1" t="str">
        <f>IF(Table1[[#This Row],[Spec Type]]="","N/A",Table1[[#This Row],[Spec Type]])</f>
        <v>±</v>
      </c>
      <c r="AC843" s="1" t="str">
        <f>IF(Table1[[#This Row],[Spec Type2]]="N/A","N/A",IF(AND(Table1[[#This Row],[DUT Adj Read]]&gt;=Table1[[#This Row],[Low Tol]],Table1[[#This Row],[DUT Adj Read]]&lt;=Table1[[#This Row],[High Tol]]),"Pass","Fail"))</f>
        <v>Fail</v>
      </c>
      <c r="AD843" s="1" t="str">
        <f>IF(AND(Table1[[#This Row],[Spec Type2]]="N/A",Table1[[#This Row],[DUT Adj Read]]="N/A",Table1[[#This Row],[Std Adj Read]]="N/A"),"N/A",IF(Table1[[#This Row],[DUT Adj Read]]="N/A",IF(Table1[[#This Row],[Std Adj Read]]&gt;Table1[[#This Row],[Low Tol]],"Pass","Fail"),IF(Table1[[#This Row],[DUT Adj Read]]&gt;Table1[[#This Row],[Low Tol]],"Pass","Fail")))</f>
        <v>Pass</v>
      </c>
      <c r="AE843" s="1" t="str">
        <f>IF(AND(Table1[[#This Row],[Spec Type2]]="N/A",Table1[[#This Row],[DUT Adj Read]]="N/A",Table1[[#This Row],[Std Adj Read]]="N/A"),"N/A",IF(Table1[[#This Row],[DUT Adj Read]]="N/A",IF(Table1[[#This Row],[Std Adj Read]]&lt;Table1[[#This Row],[High Tol]],"Pass","Fail"),IF(Table1[[#This Row],[DUT Adj Read]]&lt;Table1[[#This Row],[High Tol]],"Pass","Fail")))</f>
        <v>Fail</v>
      </c>
      <c r="AF843" s="1" t="str">
        <f>IF(AND(Table1[[#This Row],[Spec Type2]]="N/A",Table1[[#This Row],[DUT Adj Read]]="N/A",Table1[[#This Row],[Std Adj Read]]="N/A"),"N/A",IF(Table1[[#This Row],[DUT Adj Read]]="N/A",IF(Table1[[#This Row],[Std Adj Read]]&gt;=Table1[[#This Row],[Low Tol]],"Pass","Fail"),IF(Table1[[#This Row],[DUT Adj Read]]&gt;=Table1[[#This Row],[Low Tol]],"Pass","Fail")))</f>
        <v>Pass</v>
      </c>
      <c r="AG843" s="1" t="str">
        <f>IF(AND(Table1[[#This Row],[Spec Type2]]="N/A",Table1[[#This Row],[DUT Adj Read]]="N/A",Table1[[#This Row],[Std Adj Read]]="N/A"),"N/A",IF(Table1[[#This Row],[DUT Adj Read]]="N/A",IF(Table1[[#This Row],[Std Adj Read]]&lt;=Table1[[#This Row],[High Tol]],"Pass","Fail"),IF(Table1[[#This Row],[DUT Adj Read]]&lt;=Table1[[#This Row],[High Tol]],"Pass","Fail")))</f>
        <v>Fail</v>
      </c>
      <c r="AH8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3" s="1" t="b">
        <v>0</v>
      </c>
      <c r="AN843" s="1" t="b">
        <v>0</v>
      </c>
      <c r="AO843" s="1" t="b">
        <v>0</v>
      </c>
    </row>
    <row r="844" spans="1:41" x14ac:dyDescent="0.25">
      <c r="A844" s="10"/>
      <c r="B844" s="10"/>
      <c r="C844" s="10"/>
      <c r="D844" s="10"/>
      <c r="E844" s="10"/>
      <c r="F844" s="10"/>
      <c r="G844" s="10"/>
      <c r="H844" s="10"/>
      <c r="I844" s="1" t="str">
        <f t="shared" si="39"/>
        <v/>
      </c>
      <c r="J844" s="1" t="s">
        <v>35</v>
      </c>
      <c r="K844" s="1" t="str">
        <f t="shared" si="40"/>
        <v/>
      </c>
      <c r="L844" s="1" t="str">
        <f t="shared" si="41"/>
        <v/>
      </c>
      <c r="M844" s="1">
        <f>IF(OR(Table1[[#This Row],[Std Nom]]="",Table1[[#This Row],[Std Read]]=""),0,Table1[[#This Row],[Std Nom]]-Table1[[#This Row],[Std Read]])</f>
        <v>0</v>
      </c>
      <c r="N844" s="1">
        <f>IF(Calculations!$F$5="ACCREDITED 17025 WITH UNCERTAINTIES",$N$10,0)</f>
        <v>0</v>
      </c>
      <c r="Q844" s="1">
        <f>Table1[[#This Row],[High Tol]]-Table1[[#This Row],[Low Tol]]</f>
        <v>0</v>
      </c>
      <c r="R844" s="1">
        <f>2*Table1[[#This Row],[Std Error]]</f>
        <v>0</v>
      </c>
      <c r="S844" s="1" t="str">
        <f>IF(Table1[[#This Row],[High Tol]]="","N/A",IFERROR(ABS(Table1[[#This Row],[Tol Span]]/Table1[[#This Row],[Error Span]]),"N/A"))</f>
        <v>N/A</v>
      </c>
      <c r="T844" s="1" t="str">
        <f>IF(OR(Table1[[#This Row],[Low Tol]]="",Table1[[#This Row],[High Tol]]=""),"Needs Analysis",IF(Table1[[#This Row],[Ratio]]&gt;=4,"Not Significant",IF(Table1[[#This Row],[Ratio]]&gt;=2,"Semi-Significant","Significant")))</f>
        <v>Needs Analysis</v>
      </c>
      <c r="W844" s="1">
        <f>IF(Table1[[#This Row],[Cal Type]]&lt;&gt;"ACCREDITED 17025 WITH UNCERTAINTIES",0,"")</f>
        <v>0</v>
      </c>
      <c r="X844" s="1" t="str">
        <f>IF(Table1[[#This Row],[DUT Read]]="","N/A",Table1[[#This Row],[Std Error]]+Table1[[#This Row],[DUT Read]]+Table1[[#This Row],[DUT Ucty]])</f>
        <v>N/A</v>
      </c>
      <c r="Y844" s="1" t="str">
        <f>IF(Table1[[#This Row],[Std Read]]="","N/A",Table1[[#This Row],[Std Read]]+Table1[[#This Row],[Std Ucty]])</f>
        <v>N/A</v>
      </c>
      <c r="Z8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4" s="1" t="str">
        <f>IF(Table1[[#This Row],[Spec Type]]="","N/A",Table1[[#This Row],[Spec Type]])</f>
        <v>±</v>
      </c>
      <c r="AC844" s="1" t="str">
        <f>IF(Table1[[#This Row],[Spec Type2]]="N/A","N/A",IF(AND(Table1[[#This Row],[DUT Adj Read]]&gt;=Table1[[#This Row],[Low Tol]],Table1[[#This Row],[DUT Adj Read]]&lt;=Table1[[#This Row],[High Tol]]),"Pass","Fail"))</f>
        <v>Fail</v>
      </c>
      <c r="AD844" s="1" t="str">
        <f>IF(AND(Table1[[#This Row],[Spec Type2]]="N/A",Table1[[#This Row],[DUT Adj Read]]="N/A",Table1[[#This Row],[Std Adj Read]]="N/A"),"N/A",IF(Table1[[#This Row],[DUT Adj Read]]="N/A",IF(Table1[[#This Row],[Std Adj Read]]&gt;Table1[[#This Row],[Low Tol]],"Pass","Fail"),IF(Table1[[#This Row],[DUT Adj Read]]&gt;Table1[[#This Row],[Low Tol]],"Pass","Fail")))</f>
        <v>Pass</v>
      </c>
      <c r="AE844" s="1" t="str">
        <f>IF(AND(Table1[[#This Row],[Spec Type2]]="N/A",Table1[[#This Row],[DUT Adj Read]]="N/A",Table1[[#This Row],[Std Adj Read]]="N/A"),"N/A",IF(Table1[[#This Row],[DUT Adj Read]]="N/A",IF(Table1[[#This Row],[Std Adj Read]]&lt;Table1[[#This Row],[High Tol]],"Pass","Fail"),IF(Table1[[#This Row],[DUT Adj Read]]&lt;Table1[[#This Row],[High Tol]],"Pass","Fail")))</f>
        <v>Fail</v>
      </c>
      <c r="AF844" s="1" t="str">
        <f>IF(AND(Table1[[#This Row],[Spec Type2]]="N/A",Table1[[#This Row],[DUT Adj Read]]="N/A",Table1[[#This Row],[Std Adj Read]]="N/A"),"N/A",IF(Table1[[#This Row],[DUT Adj Read]]="N/A",IF(Table1[[#This Row],[Std Adj Read]]&gt;=Table1[[#This Row],[Low Tol]],"Pass","Fail"),IF(Table1[[#This Row],[DUT Adj Read]]&gt;=Table1[[#This Row],[Low Tol]],"Pass","Fail")))</f>
        <v>Pass</v>
      </c>
      <c r="AG844" s="1" t="str">
        <f>IF(AND(Table1[[#This Row],[Spec Type2]]="N/A",Table1[[#This Row],[DUT Adj Read]]="N/A",Table1[[#This Row],[Std Adj Read]]="N/A"),"N/A",IF(Table1[[#This Row],[DUT Adj Read]]="N/A",IF(Table1[[#This Row],[Std Adj Read]]&lt;=Table1[[#This Row],[High Tol]],"Pass","Fail"),IF(Table1[[#This Row],[DUT Adj Read]]&lt;=Table1[[#This Row],[High Tol]],"Pass","Fail")))</f>
        <v>Fail</v>
      </c>
      <c r="AH8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4" s="1" t="b">
        <v>0</v>
      </c>
      <c r="AN844" s="1" t="b">
        <v>0</v>
      </c>
      <c r="AO844" s="1" t="b">
        <v>0</v>
      </c>
    </row>
    <row r="845" spans="1:41" x14ac:dyDescent="0.25">
      <c r="A845" s="10"/>
      <c r="B845" s="10"/>
      <c r="C845" s="10"/>
      <c r="D845" s="10"/>
      <c r="E845" s="10"/>
      <c r="F845" s="10"/>
      <c r="G845" s="10"/>
      <c r="H845" s="10"/>
      <c r="I845" s="1" t="str">
        <f t="shared" si="39"/>
        <v/>
      </c>
      <c r="J845" s="1" t="s">
        <v>35</v>
      </c>
      <c r="K845" s="1" t="str">
        <f t="shared" si="40"/>
        <v/>
      </c>
      <c r="L845" s="1" t="str">
        <f t="shared" si="41"/>
        <v/>
      </c>
      <c r="M845" s="1">
        <f>IF(OR(Table1[[#This Row],[Std Nom]]="",Table1[[#This Row],[Std Read]]=""),0,Table1[[#This Row],[Std Nom]]-Table1[[#This Row],[Std Read]])</f>
        <v>0</v>
      </c>
      <c r="N845" s="1">
        <f>IF(Calculations!$F$5="ACCREDITED 17025 WITH UNCERTAINTIES",$N$10,0)</f>
        <v>0</v>
      </c>
      <c r="Q845" s="1">
        <f>Table1[[#This Row],[High Tol]]-Table1[[#This Row],[Low Tol]]</f>
        <v>0</v>
      </c>
      <c r="R845" s="1">
        <f>2*Table1[[#This Row],[Std Error]]</f>
        <v>0</v>
      </c>
      <c r="S845" s="1" t="str">
        <f>IF(Table1[[#This Row],[High Tol]]="","N/A",IFERROR(ABS(Table1[[#This Row],[Tol Span]]/Table1[[#This Row],[Error Span]]),"N/A"))</f>
        <v>N/A</v>
      </c>
      <c r="T845" s="1" t="str">
        <f>IF(OR(Table1[[#This Row],[Low Tol]]="",Table1[[#This Row],[High Tol]]=""),"Needs Analysis",IF(Table1[[#This Row],[Ratio]]&gt;=4,"Not Significant",IF(Table1[[#This Row],[Ratio]]&gt;=2,"Semi-Significant","Significant")))</f>
        <v>Needs Analysis</v>
      </c>
      <c r="W845" s="1">
        <f>IF(Table1[[#This Row],[Cal Type]]&lt;&gt;"ACCREDITED 17025 WITH UNCERTAINTIES",0,"")</f>
        <v>0</v>
      </c>
      <c r="X845" s="1" t="str">
        <f>IF(Table1[[#This Row],[DUT Read]]="","N/A",Table1[[#This Row],[Std Error]]+Table1[[#This Row],[DUT Read]]+Table1[[#This Row],[DUT Ucty]])</f>
        <v>N/A</v>
      </c>
      <c r="Y845" s="1" t="str">
        <f>IF(Table1[[#This Row],[Std Read]]="","N/A",Table1[[#This Row],[Std Read]]+Table1[[#This Row],[Std Ucty]])</f>
        <v>N/A</v>
      </c>
      <c r="Z8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5" s="1" t="str">
        <f>IF(Table1[[#This Row],[Spec Type]]="","N/A",Table1[[#This Row],[Spec Type]])</f>
        <v>±</v>
      </c>
      <c r="AC845" s="1" t="str">
        <f>IF(Table1[[#This Row],[Spec Type2]]="N/A","N/A",IF(AND(Table1[[#This Row],[DUT Adj Read]]&gt;=Table1[[#This Row],[Low Tol]],Table1[[#This Row],[DUT Adj Read]]&lt;=Table1[[#This Row],[High Tol]]),"Pass","Fail"))</f>
        <v>Fail</v>
      </c>
      <c r="AD845" s="1" t="str">
        <f>IF(AND(Table1[[#This Row],[Spec Type2]]="N/A",Table1[[#This Row],[DUT Adj Read]]="N/A",Table1[[#This Row],[Std Adj Read]]="N/A"),"N/A",IF(Table1[[#This Row],[DUT Adj Read]]="N/A",IF(Table1[[#This Row],[Std Adj Read]]&gt;Table1[[#This Row],[Low Tol]],"Pass","Fail"),IF(Table1[[#This Row],[DUT Adj Read]]&gt;Table1[[#This Row],[Low Tol]],"Pass","Fail")))</f>
        <v>Pass</v>
      </c>
      <c r="AE845" s="1" t="str">
        <f>IF(AND(Table1[[#This Row],[Spec Type2]]="N/A",Table1[[#This Row],[DUT Adj Read]]="N/A",Table1[[#This Row],[Std Adj Read]]="N/A"),"N/A",IF(Table1[[#This Row],[DUT Adj Read]]="N/A",IF(Table1[[#This Row],[Std Adj Read]]&lt;Table1[[#This Row],[High Tol]],"Pass","Fail"),IF(Table1[[#This Row],[DUT Adj Read]]&lt;Table1[[#This Row],[High Tol]],"Pass","Fail")))</f>
        <v>Fail</v>
      </c>
      <c r="AF845" s="1" t="str">
        <f>IF(AND(Table1[[#This Row],[Spec Type2]]="N/A",Table1[[#This Row],[DUT Adj Read]]="N/A",Table1[[#This Row],[Std Adj Read]]="N/A"),"N/A",IF(Table1[[#This Row],[DUT Adj Read]]="N/A",IF(Table1[[#This Row],[Std Adj Read]]&gt;=Table1[[#This Row],[Low Tol]],"Pass","Fail"),IF(Table1[[#This Row],[DUT Adj Read]]&gt;=Table1[[#This Row],[Low Tol]],"Pass","Fail")))</f>
        <v>Pass</v>
      </c>
      <c r="AG845" s="1" t="str">
        <f>IF(AND(Table1[[#This Row],[Spec Type2]]="N/A",Table1[[#This Row],[DUT Adj Read]]="N/A",Table1[[#This Row],[Std Adj Read]]="N/A"),"N/A",IF(Table1[[#This Row],[DUT Adj Read]]="N/A",IF(Table1[[#This Row],[Std Adj Read]]&lt;=Table1[[#This Row],[High Tol]],"Pass","Fail"),IF(Table1[[#This Row],[DUT Adj Read]]&lt;=Table1[[#This Row],[High Tol]],"Pass","Fail")))</f>
        <v>Fail</v>
      </c>
      <c r="AH8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5" s="1" t="b">
        <v>0</v>
      </c>
      <c r="AN845" s="1" t="b">
        <v>0</v>
      </c>
      <c r="AO845" s="1" t="b">
        <v>0</v>
      </c>
    </row>
    <row r="846" spans="1:41" x14ac:dyDescent="0.25">
      <c r="A846" s="10"/>
      <c r="B846" s="10"/>
      <c r="C846" s="10"/>
      <c r="D846" s="10"/>
      <c r="E846" s="10"/>
      <c r="F846" s="10"/>
      <c r="G846" s="10"/>
      <c r="H846" s="10"/>
      <c r="I846" s="1" t="str">
        <f t="shared" si="39"/>
        <v/>
      </c>
      <c r="J846" s="1" t="s">
        <v>35</v>
      </c>
      <c r="K846" s="1" t="str">
        <f t="shared" si="40"/>
        <v/>
      </c>
      <c r="L846" s="1" t="str">
        <f t="shared" si="41"/>
        <v/>
      </c>
      <c r="M846" s="1">
        <f>IF(OR(Table1[[#This Row],[Std Nom]]="",Table1[[#This Row],[Std Read]]=""),0,Table1[[#This Row],[Std Nom]]-Table1[[#This Row],[Std Read]])</f>
        <v>0</v>
      </c>
      <c r="N846" s="1">
        <f>IF(Calculations!$F$5="ACCREDITED 17025 WITH UNCERTAINTIES",$N$10,0)</f>
        <v>0</v>
      </c>
      <c r="Q846" s="1">
        <f>Table1[[#This Row],[High Tol]]-Table1[[#This Row],[Low Tol]]</f>
        <v>0</v>
      </c>
      <c r="R846" s="1">
        <f>2*Table1[[#This Row],[Std Error]]</f>
        <v>0</v>
      </c>
      <c r="S846" s="1" t="str">
        <f>IF(Table1[[#This Row],[High Tol]]="","N/A",IFERROR(ABS(Table1[[#This Row],[Tol Span]]/Table1[[#This Row],[Error Span]]),"N/A"))</f>
        <v>N/A</v>
      </c>
      <c r="T846" s="1" t="str">
        <f>IF(OR(Table1[[#This Row],[Low Tol]]="",Table1[[#This Row],[High Tol]]=""),"Needs Analysis",IF(Table1[[#This Row],[Ratio]]&gt;=4,"Not Significant",IF(Table1[[#This Row],[Ratio]]&gt;=2,"Semi-Significant","Significant")))</f>
        <v>Needs Analysis</v>
      </c>
      <c r="W846" s="1">
        <f>IF(Table1[[#This Row],[Cal Type]]&lt;&gt;"ACCREDITED 17025 WITH UNCERTAINTIES",0,"")</f>
        <v>0</v>
      </c>
      <c r="X846" s="1" t="str">
        <f>IF(Table1[[#This Row],[DUT Read]]="","N/A",Table1[[#This Row],[Std Error]]+Table1[[#This Row],[DUT Read]]+Table1[[#This Row],[DUT Ucty]])</f>
        <v>N/A</v>
      </c>
      <c r="Y846" s="1" t="str">
        <f>IF(Table1[[#This Row],[Std Read]]="","N/A",Table1[[#This Row],[Std Read]]+Table1[[#This Row],[Std Ucty]])</f>
        <v>N/A</v>
      </c>
      <c r="Z8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6" s="1" t="str">
        <f>IF(Table1[[#This Row],[Spec Type]]="","N/A",Table1[[#This Row],[Spec Type]])</f>
        <v>±</v>
      </c>
      <c r="AC846" s="1" t="str">
        <f>IF(Table1[[#This Row],[Spec Type2]]="N/A","N/A",IF(AND(Table1[[#This Row],[DUT Adj Read]]&gt;=Table1[[#This Row],[Low Tol]],Table1[[#This Row],[DUT Adj Read]]&lt;=Table1[[#This Row],[High Tol]]),"Pass","Fail"))</f>
        <v>Fail</v>
      </c>
      <c r="AD846" s="1" t="str">
        <f>IF(AND(Table1[[#This Row],[Spec Type2]]="N/A",Table1[[#This Row],[DUT Adj Read]]="N/A",Table1[[#This Row],[Std Adj Read]]="N/A"),"N/A",IF(Table1[[#This Row],[DUT Adj Read]]="N/A",IF(Table1[[#This Row],[Std Adj Read]]&gt;Table1[[#This Row],[Low Tol]],"Pass","Fail"),IF(Table1[[#This Row],[DUT Adj Read]]&gt;Table1[[#This Row],[Low Tol]],"Pass","Fail")))</f>
        <v>Pass</v>
      </c>
      <c r="AE846" s="1" t="str">
        <f>IF(AND(Table1[[#This Row],[Spec Type2]]="N/A",Table1[[#This Row],[DUT Adj Read]]="N/A",Table1[[#This Row],[Std Adj Read]]="N/A"),"N/A",IF(Table1[[#This Row],[DUT Adj Read]]="N/A",IF(Table1[[#This Row],[Std Adj Read]]&lt;Table1[[#This Row],[High Tol]],"Pass","Fail"),IF(Table1[[#This Row],[DUT Adj Read]]&lt;Table1[[#This Row],[High Tol]],"Pass","Fail")))</f>
        <v>Fail</v>
      </c>
      <c r="AF846" s="1" t="str">
        <f>IF(AND(Table1[[#This Row],[Spec Type2]]="N/A",Table1[[#This Row],[DUT Adj Read]]="N/A",Table1[[#This Row],[Std Adj Read]]="N/A"),"N/A",IF(Table1[[#This Row],[DUT Adj Read]]="N/A",IF(Table1[[#This Row],[Std Adj Read]]&gt;=Table1[[#This Row],[Low Tol]],"Pass","Fail"),IF(Table1[[#This Row],[DUT Adj Read]]&gt;=Table1[[#This Row],[Low Tol]],"Pass","Fail")))</f>
        <v>Pass</v>
      </c>
      <c r="AG846" s="1" t="str">
        <f>IF(AND(Table1[[#This Row],[Spec Type2]]="N/A",Table1[[#This Row],[DUT Adj Read]]="N/A",Table1[[#This Row],[Std Adj Read]]="N/A"),"N/A",IF(Table1[[#This Row],[DUT Adj Read]]="N/A",IF(Table1[[#This Row],[Std Adj Read]]&lt;=Table1[[#This Row],[High Tol]],"Pass","Fail"),IF(Table1[[#This Row],[DUT Adj Read]]&lt;=Table1[[#This Row],[High Tol]],"Pass","Fail")))</f>
        <v>Fail</v>
      </c>
      <c r="AH8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6" s="1" t="b">
        <v>0</v>
      </c>
      <c r="AN846" s="1" t="b">
        <v>0</v>
      </c>
      <c r="AO846" s="1" t="b">
        <v>0</v>
      </c>
    </row>
    <row r="847" spans="1:41" x14ac:dyDescent="0.25">
      <c r="A847" s="10"/>
      <c r="B847" s="10"/>
      <c r="C847" s="10"/>
      <c r="D847" s="10"/>
      <c r="E847" s="10"/>
      <c r="F847" s="10"/>
      <c r="G847" s="10"/>
      <c r="H847" s="10"/>
      <c r="I847" s="1" t="str">
        <f t="shared" si="39"/>
        <v/>
      </c>
      <c r="J847" s="1" t="s">
        <v>35</v>
      </c>
      <c r="K847" s="1" t="str">
        <f t="shared" si="40"/>
        <v/>
      </c>
      <c r="L847" s="1" t="str">
        <f t="shared" si="41"/>
        <v/>
      </c>
      <c r="M847" s="1">
        <f>IF(OR(Table1[[#This Row],[Std Nom]]="",Table1[[#This Row],[Std Read]]=""),0,Table1[[#This Row],[Std Nom]]-Table1[[#This Row],[Std Read]])</f>
        <v>0</v>
      </c>
      <c r="N847" s="1">
        <f>IF(Calculations!$F$5="ACCREDITED 17025 WITH UNCERTAINTIES",$N$10,0)</f>
        <v>0</v>
      </c>
      <c r="Q847" s="1">
        <f>Table1[[#This Row],[High Tol]]-Table1[[#This Row],[Low Tol]]</f>
        <v>0</v>
      </c>
      <c r="R847" s="1">
        <f>2*Table1[[#This Row],[Std Error]]</f>
        <v>0</v>
      </c>
      <c r="S847" s="1" t="str">
        <f>IF(Table1[[#This Row],[High Tol]]="","N/A",IFERROR(ABS(Table1[[#This Row],[Tol Span]]/Table1[[#This Row],[Error Span]]),"N/A"))</f>
        <v>N/A</v>
      </c>
      <c r="T847" s="1" t="str">
        <f>IF(OR(Table1[[#This Row],[Low Tol]]="",Table1[[#This Row],[High Tol]]=""),"Needs Analysis",IF(Table1[[#This Row],[Ratio]]&gt;=4,"Not Significant",IF(Table1[[#This Row],[Ratio]]&gt;=2,"Semi-Significant","Significant")))</f>
        <v>Needs Analysis</v>
      </c>
      <c r="W847" s="1">
        <f>IF(Table1[[#This Row],[Cal Type]]&lt;&gt;"ACCREDITED 17025 WITH UNCERTAINTIES",0,"")</f>
        <v>0</v>
      </c>
      <c r="X847" s="1" t="str">
        <f>IF(Table1[[#This Row],[DUT Read]]="","N/A",Table1[[#This Row],[Std Error]]+Table1[[#This Row],[DUT Read]]+Table1[[#This Row],[DUT Ucty]])</f>
        <v>N/A</v>
      </c>
      <c r="Y847" s="1" t="str">
        <f>IF(Table1[[#This Row],[Std Read]]="","N/A",Table1[[#This Row],[Std Read]]+Table1[[#This Row],[Std Ucty]])</f>
        <v>N/A</v>
      </c>
      <c r="Z8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7" s="1" t="str">
        <f>IF(Table1[[#This Row],[Spec Type]]="","N/A",Table1[[#This Row],[Spec Type]])</f>
        <v>±</v>
      </c>
      <c r="AC847" s="1" t="str">
        <f>IF(Table1[[#This Row],[Spec Type2]]="N/A","N/A",IF(AND(Table1[[#This Row],[DUT Adj Read]]&gt;=Table1[[#This Row],[Low Tol]],Table1[[#This Row],[DUT Adj Read]]&lt;=Table1[[#This Row],[High Tol]]),"Pass","Fail"))</f>
        <v>Fail</v>
      </c>
      <c r="AD847" s="1" t="str">
        <f>IF(AND(Table1[[#This Row],[Spec Type2]]="N/A",Table1[[#This Row],[DUT Adj Read]]="N/A",Table1[[#This Row],[Std Adj Read]]="N/A"),"N/A",IF(Table1[[#This Row],[DUT Adj Read]]="N/A",IF(Table1[[#This Row],[Std Adj Read]]&gt;Table1[[#This Row],[Low Tol]],"Pass","Fail"),IF(Table1[[#This Row],[DUT Adj Read]]&gt;Table1[[#This Row],[Low Tol]],"Pass","Fail")))</f>
        <v>Pass</v>
      </c>
      <c r="AE847" s="1" t="str">
        <f>IF(AND(Table1[[#This Row],[Spec Type2]]="N/A",Table1[[#This Row],[DUT Adj Read]]="N/A",Table1[[#This Row],[Std Adj Read]]="N/A"),"N/A",IF(Table1[[#This Row],[DUT Adj Read]]="N/A",IF(Table1[[#This Row],[Std Adj Read]]&lt;Table1[[#This Row],[High Tol]],"Pass","Fail"),IF(Table1[[#This Row],[DUT Adj Read]]&lt;Table1[[#This Row],[High Tol]],"Pass","Fail")))</f>
        <v>Fail</v>
      </c>
      <c r="AF847" s="1" t="str">
        <f>IF(AND(Table1[[#This Row],[Spec Type2]]="N/A",Table1[[#This Row],[DUT Adj Read]]="N/A",Table1[[#This Row],[Std Adj Read]]="N/A"),"N/A",IF(Table1[[#This Row],[DUT Adj Read]]="N/A",IF(Table1[[#This Row],[Std Adj Read]]&gt;=Table1[[#This Row],[Low Tol]],"Pass","Fail"),IF(Table1[[#This Row],[DUT Adj Read]]&gt;=Table1[[#This Row],[Low Tol]],"Pass","Fail")))</f>
        <v>Pass</v>
      </c>
      <c r="AG847" s="1" t="str">
        <f>IF(AND(Table1[[#This Row],[Spec Type2]]="N/A",Table1[[#This Row],[DUT Adj Read]]="N/A",Table1[[#This Row],[Std Adj Read]]="N/A"),"N/A",IF(Table1[[#This Row],[DUT Adj Read]]="N/A",IF(Table1[[#This Row],[Std Adj Read]]&lt;=Table1[[#This Row],[High Tol]],"Pass","Fail"),IF(Table1[[#This Row],[DUT Adj Read]]&lt;=Table1[[#This Row],[High Tol]],"Pass","Fail")))</f>
        <v>Fail</v>
      </c>
      <c r="AH8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7" s="1" t="b">
        <v>0</v>
      </c>
      <c r="AN847" s="1" t="b">
        <v>0</v>
      </c>
      <c r="AO847" s="1" t="b">
        <v>0</v>
      </c>
    </row>
    <row r="848" spans="1:41" x14ac:dyDescent="0.25">
      <c r="A848" s="10"/>
      <c r="B848" s="10"/>
      <c r="C848" s="10"/>
      <c r="D848" s="10"/>
      <c r="E848" s="10"/>
      <c r="F848" s="10"/>
      <c r="G848" s="10"/>
      <c r="H848" s="10"/>
      <c r="I848" s="1" t="str">
        <f t="shared" si="39"/>
        <v/>
      </c>
      <c r="J848" s="1" t="s">
        <v>35</v>
      </c>
      <c r="K848" s="1" t="str">
        <f t="shared" si="40"/>
        <v/>
      </c>
      <c r="L848" s="1" t="str">
        <f t="shared" si="41"/>
        <v/>
      </c>
      <c r="M848" s="1">
        <f>IF(OR(Table1[[#This Row],[Std Nom]]="",Table1[[#This Row],[Std Read]]=""),0,Table1[[#This Row],[Std Nom]]-Table1[[#This Row],[Std Read]])</f>
        <v>0</v>
      </c>
      <c r="N848" s="1">
        <f>IF(Calculations!$F$5="ACCREDITED 17025 WITH UNCERTAINTIES",$N$10,0)</f>
        <v>0</v>
      </c>
      <c r="Q848" s="1">
        <f>Table1[[#This Row],[High Tol]]-Table1[[#This Row],[Low Tol]]</f>
        <v>0</v>
      </c>
      <c r="R848" s="1">
        <f>2*Table1[[#This Row],[Std Error]]</f>
        <v>0</v>
      </c>
      <c r="S848" s="1" t="str">
        <f>IF(Table1[[#This Row],[High Tol]]="","N/A",IFERROR(ABS(Table1[[#This Row],[Tol Span]]/Table1[[#This Row],[Error Span]]),"N/A"))</f>
        <v>N/A</v>
      </c>
      <c r="T848" s="1" t="str">
        <f>IF(OR(Table1[[#This Row],[Low Tol]]="",Table1[[#This Row],[High Tol]]=""),"Needs Analysis",IF(Table1[[#This Row],[Ratio]]&gt;=4,"Not Significant",IF(Table1[[#This Row],[Ratio]]&gt;=2,"Semi-Significant","Significant")))</f>
        <v>Needs Analysis</v>
      </c>
      <c r="W848" s="1">
        <f>IF(Table1[[#This Row],[Cal Type]]&lt;&gt;"ACCREDITED 17025 WITH UNCERTAINTIES",0,"")</f>
        <v>0</v>
      </c>
      <c r="X848" s="1" t="str">
        <f>IF(Table1[[#This Row],[DUT Read]]="","N/A",Table1[[#This Row],[Std Error]]+Table1[[#This Row],[DUT Read]]+Table1[[#This Row],[DUT Ucty]])</f>
        <v>N/A</v>
      </c>
      <c r="Y848" s="1" t="str">
        <f>IF(Table1[[#This Row],[Std Read]]="","N/A",Table1[[#This Row],[Std Read]]+Table1[[#This Row],[Std Ucty]])</f>
        <v>N/A</v>
      </c>
      <c r="Z8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8" s="1" t="str">
        <f>IF(Table1[[#This Row],[Spec Type]]="","N/A",Table1[[#This Row],[Spec Type]])</f>
        <v>±</v>
      </c>
      <c r="AC848" s="1" t="str">
        <f>IF(Table1[[#This Row],[Spec Type2]]="N/A","N/A",IF(AND(Table1[[#This Row],[DUT Adj Read]]&gt;=Table1[[#This Row],[Low Tol]],Table1[[#This Row],[DUT Adj Read]]&lt;=Table1[[#This Row],[High Tol]]),"Pass","Fail"))</f>
        <v>Fail</v>
      </c>
      <c r="AD848" s="1" t="str">
        <f>IF(AND(Table1[[#This Row],[Spec Type2]]="N/A",Table1[[#This Row],[DUT Adj Read]]="N/A",Table1[[#This Row],[Std Adj Read]]="N/A"),"N/A",IF(Table1[[#This Row],[DUT Adj Read]]="N/A",IF(Table1[[#This Row],[Std Adj Read]]&gt;Table1[[#This Row],[Low Tol]],"Pass","Fail"),IF(Table1[[#This Row],[DUT Adj Read]]&gt;Table1[[#This Row],[Low Tol]],"Pass","Fail")))</f>
        <v>Pass</v>
      </c>
      <c r="AE848" s="1" t="str">
        <f>IF(AND(Table1[[#This Row],[Spec Type2]]="N/A",Table1[[#This Row],[DUT Adj Read]]="N/A",Table1[[#This Row],[Std Adj Read]]="N/A"),"N/A",IF(Table1[[#This Row],[DUT Adj Read]]="N/A",IF(Table1[[#This Row],[Std Adj Read]]&lt;Table1[[#This Row],[High Tol]],"Pass","Fail"),IF(Table1[[#This Row],[DUT Adj Read]]&lt;Table1[[#This Row],[High Tol]],"Pass","Fail")))</f>
        <v>Fail</v>
      </c>
      <c r="AF848" s="1" t="str">
        <f>IF(AND(Table1[[#This Row],[Spec Type2]]="N/A",Table1[[#This Row],[DUT Adj Read]]="N/A",Table1[[#This Row],[Std Adj Read]]="N/A"),"N/A",IF(Table1[[#This Row],[DUT Adj Read]]="N/A",IF(Table1[[#This Row],[Std Adj Read]]&gt;=Table1[[#This Row],[Low Tol]],"Pass","Fail"),IF(Table1[[#This Row],[DUT Adj Read]]&gt;=Table1[[#This Row],[Low Tol]],"Pass","Fail")))</f>
        <v>Pass</v>
      </c>
      <c r="AG848" s="1" t="str">
        <f>IF(AND(Table1[[#This Row],[Spec Type2]]="N/A",Table1[[#This Row],[DUT Adj Read]]="N/A",Table1[[#This Row],[Std Adj Read]]="N/A"),"N/A",IF(Table1[[#This Row],[DUT Adj Read]]="N/A",IF(Table1[[#This Row],[Std Adj Read]]&lt;=Table1[[#This Row],[High Tol]],"Pass","Fail"),IF(Table1[[#This Row],[DUT Adj Read]]&lt;=Table1[[#This Row],[High Tol]],"Pass","Fail")))</f>
        <v>Fail</v>
      </c>
      <c r="AH8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8" s="1" t="b">
        <v>0</v>
      </c>
      <c r="AN848" s="1" t="b">
        <v>0</v>
      </c>
      <c r="AO848" s="1" t="b">
        <v>0</v>
      </c>
    </row>
    <row r="849" spans="1:41" x14ac:dyDescent="0.25">
      <c r="A849" s="10"/>
      <c r="B849" s="10"/>
      <c r="C849" s="10"/>
      <c r="D849" s="10"/>
      <c r="E849" s="10"/>
      <c r="F849" s="10"/>
      <c r="G849" s="10"/>
      <c r="H849" s="10"/>
      <c r="I849" s="1" t="str">
        <f t="shared" si="39"/>
        <v/>
      </c>
      <c r="J849" s="1" t="s">
        <v>35</v>
      </c>
      <c r="K849" s="1" t="str">
        <f t="shared" si="40"/>
        <v/>
      </c>
      <c r="L849" s="1" t="str">
        <f t="shared" si="41"/>
        <v/>
      </c>
      <c r="M849" s="1">
        <f>IF(OR(Table1[[#This Row],[Std Nom]]="",Table1[[#This Row],[Std Read]]=""),0,Table1[[#This Row],[Std Nom]]-Table1[[#This Row],[Std Read]])</f>
        <v>0</v>
      </c>
      <c r="N849" s="1">
        <f>IF(Calculations!$F$5="ACCREDITED 17025 WITH UNCERTAINTIES",$N$10,0)</f>
        <v>0</v>
      </c>
      <c r="Q849" s="1">
        <f>Table1[[#This Row],[High Tol]]-Table1[[#This Row],[Low Tol]]</f>
        <v>0</v>
      </c>
      <c r="R849" s="1">
        <f>2*Table1[[#This Row],[Std Error]]</f>
        <v>0</v>
      </c>
      <c r="S849" s="1" t="str">
        <f>IF(Table1[[#This Row],[High Tol]]="","N/A",IFERROR(ABS(Table1[[#This Row],[Tol Span]]/Table1[[#This Row],[Error Span]]),"N/A"))</f>
        <v>N/A</v>
      </c>
      <c r="T849" s="1" t="str">
        <f>IF(OR(Table1[[#This Row],[Low Tol]]="",Table1[[#This Row],[High Tol]]=""),"Needs Analysis",IF(Table1[[#This Row],[Ratio]]&gt;=4,"Not Significant",IF(Table1[[#This Row],[Ratio]]&gt;=2,"Semi-Significant","Significant")))</f>
        <v>Needs Analysis</v>
      </c>
      <c r="W849" s="1">
        <f>IF(Table1[[#This Row],[Cal Type]]&lt;&gt;"ACCREDITED 17025 WITH UNCERTAINTIES",0,"")</f>
        <v>0</v>
      </c>
      <c r="X849" s="1" t="str">
        <f>IF(Table1[[#This Row],[DUT Read]]="","N/A",Table1[[#This Row],[Std Error]]+Table1[[#This Row],[DUT Read]]+Table1[[#This Row],[DUT Ucty]])</f>
        <v>N/A</v>
      </c>
      <c r="Y849" s="1" t="str">
        <f>IF(Table1[[#This Row],[Std Read]]="","N/A",Table1[[#This Row],[Std Read]]+Table1[[#This Row],[Std Ucty]])</f>
        <v>N/A</v>
      </c>
      <c r="Z8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49" s="1" t="str">
        <f>IF(Table1[[#This Row],[Spec Type]]="","N/A",Table1[[#This Row],[Spec Type]])</f>
        <v>±</v>
      </c>
      <c r="AC849" s="1" t="str">
        <f>IF(Table1[[#This Row],[Spec Type2]]="N/A","N/A",IF(AND(Table1[[#This Row],[DUT Adj Read]]&gt;=Table1[[#This Row],[Low Tol]],Table1[[#This Row],[DUT Adj Read]]&lt;=Table1[[#This Row],[High Tol]]),"Pass","Fail"))</f>
        <v>Fail</v>
      </c>
      <c r="AD849" s="1" t="str">
        <f>IF(AND(Table1[[#This Row],[Spec Type2]]="N/A",Table1[[#This Row],[DUT Adj Read]]="N/A",Table1[[#This Row],[Std Adj Read]]="N/A"),"N/A",IF(Table1[[#This Row],[DUT Adj Read]]="N/A",IF(Table1[[#This Row],[Std Adj Read]]&gt;Table1[[#This Row],[Low Tol]],"Pass","Fail"),IF(Table1[[#This Row],[DUT Adj Read]]&gt;Table1[[#This Row],[Low Tol]],"Pass","Fail")))</f>
        <v>Pass</v>
      </c>
      <c r="AE849" s="1" t="str">
        <f>IF(AND(Table1[[#This Row],[Spec Type2]]="N/A",Table1[[#This Row],[DUT Adj Read]]="N/A",Table1[[#This Row],[Std Adj Read]]="N/A"),"N/A",IF(Table1[[#This Row],[DUT Adj Read]]="N/A",IF(Table1[[#This Row],[Std Adj Read]]&lt;Table1[[#This Row],[High Tol]],"Pass","Fail"),IF(Table1[[#This Row],[DUT Adj Read]]&lt;Table1[[#This Row],[High Tol]],"Pass","Fail")))</f>
        <v>Fail</v>
      </c>
      <c r="AF849" s="1" t="str">
        <f>IF(AND(Table1[[#This Row],[Spec Type2]]="N/A",Table1[[#This Row],[DUT Adj Read]]="N/A",Table1[[#This Row],[Std Adj Read]]="N/A"),"N/A",IF(Table1[[#This Row],[DUT Adj Read]]="N/A",IF(Table1[[#This Row],[Std Adj Read]]&gt;=Table1[[#This Row],[Low Tol]],"Pass","Fail"),IF(Table1[[#This Row],[DUT Adj Read]]&gt;=Table1[[#This Row],[Low Tol]],"Pass","Fail")))</f>
        <v>Pass</v>
      </c>
      <c r="AG849" s="1" t="str">
        <f>IF(AND(Table1[[#This Row],[Spec Type2]]="N/A",Table1[[#This Row],[DUT Adj Read]]="N/A",Table1[[#This Row],[Std Adj Read]]="N/A"),"N/A",IF(Table1[[#This Row],[DUT Adj Read]]="N/A",IF(Table1[[#This Row],[Std Adj Read]]&lt;=Table1[[#This Row],[High Tol]],"Pass","Fail"),IF(Table1[[#This Row],[DUT Adj Read]]&lt;=Table1[[#This Row],[High Tol]],"Pass","Fail")))</f>
        <v>Fail</v>
      </c>
      <c r="AH8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49" s="1" t="b">
        <v>0</v>
      </c>
      <c r="AN849" s="1" t="b">
        <v>0</v>
      </c>
      <c r="AO849" s="1" t="b">
        <v>0</v>
      </c>
    </row>
    <row r="850" spans="1:41" x14ac:dyDescent="0.25">
      <c r="A850" s="10"/>
      <c r="B850" s="10"/>
      <c r="C850" s="10"/>
      <c r="D850" s="10"/>
      <c r="E850" s="10"/>
      <c r="F850" s="10"/>
      <c r="G850" s="10"/>
      <c r="H850" s="10"/>
      <c r="I850" s="1" t="str">
        <f t="shared" si="39"/>
        <v/>
      </c>
      <c r="J850" s="1" t="s">
        <v>35</v>
      </c>
      <c r="K850" s="1" t="str">
        <f t="shared" si="40"/>
        <v/>
      </c>
      <c r="L850" s="1" t="str">
        <f t="shared" si="41"/>
        <v/>
      </c>
      <c r="M850" s="1">
        <f>IF(OR(Table1[[#This Row],[Std Nom]]="",Table1[[#This Row],[Std Read]]=""),0,Table1[[#This Row],[Std Nom]]-Table1[[#This Row],[Std Read]])</f>
        <v>0</v>
      </c>
      <c r="N850" s="1">
        <f>IF(Calculations!$F$5="ACCREDITED 17025 WITH UNCERTAINTIES",$N$10,0)</f>
        <v>0</v>
      </c>
      <c r="Q850" s="1">
        <f>Table1[[#This Row],[High Tol]]-Table1[[#This Row],[Low Tol]]</f>
        <v>0</v>
      </c>
      <c r="R850" s="1">
        <f>2*Table1[[#This Row],[Std Error]]</f>
        <v>0</v>
      </c>
      <c r="S850" s="1" t="str">
        <f>IF(Table1[[#This Row],[High Tol]]="","N/A",IFERROR(ABS(Table1[[#This Row],[Tol Span]]/Table1[[#This Row],[Error Span]]),"N/A"))</f>
        <v>N/A</v>
      </c>
      <c r="T850" s="1" t="str">
        <f>IF(OR(Table1[[#This Row],[Low Tol]]="",Table1[[#This Row],[High Tol]]=""),"Needs Analysis",IF(Table1[[#This Row],[Ratio]]&gt;=4,"Not Significant",IF(Table1[[#This Row],[Ratio]]&gt;=2,"Semi-Significant","Significant")))</f>
        <v>Needs Analysis</v>
      </c>
      <c r="W850" s="1">
        <f>IF(Table1[[#This Row],[Cal Type]]&lt;&gt;"ACCREDITED 17025 WITH UNCERTAINTIES",0,"")</f>
        <v>0</v>
      </c>
      <c r="X850" s="1" t="str">
        <f>IF(Table1[[#This Row],[DUT Read]]="","N/A",Table1[[#This Row],[Std Error]]+Table1[[#This Row],[DUT Read]]+Table1[[#This Row],[DUT Ucty]])</f>
        <v>N/A</v>
      </c>
      <c r="Y850" s="1" t="str">
        <f>IF(Table1[[#This Row],[Std Read]]="","N/A",Table1[[#This Row],[Std Read]]+Table1[[#This Row],[Std Ucty]])</f>
        <v>N/A</v>
      </c>
      <c r="Z8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0" s="1" t="str">
        <f>IF(Table1[[#This Row],[Spec Type]]="","N/A",Table1[[#This Row],[Spec Type]])</f>
        <v>±</v>
      </c>
      <c r="AC850" s="1" t="str">
        <f>IF(Table1[[#This Row],[Spec Type2]]="N/A","N/A",IF(AND(Table1[[#This Row],[DUT Adj Read]]&gt;=Table1[[#This Row],[Low Tol]],Table1[[#This Row],[DUT Adj Read]]&lt;=Table1[[#This Row],[High Tol]]),"Pass","Fail"))</f>
        <v>Fail</v>
      </c>
      <c r="AD850" s="1" t="str">
        <f>IF(AND(Table1[[#This Row],[Spec Type2]]="N/A",Table1[[#This Row],[DUT Adj Read]]="N/A",Table1[[#This Row],[Std Adj Read]]="N/A"),"N/A",IF(Table1[[#This Row],[DUT Adj Read]]="N/A",IF(Table1[[#This Row],[Std Adj Read]]&gt;Table1[[#This Row],[Low Tol]],"Pass","Fail"),IF(Table1[[#This Row],[DUT Adj Read]]&gt;Table1[[#This Row],[Low Tol]],"Pass","Fail")))</f>
        <v>Pass</v>
      </c>
      <c r="AE850" s="1" t="str">
        <f>IF(AND(Table1[[#This Row],[Spec Type2]]="N/A",Table1[[#This Row],[DUT Adj Read]]="N/A",Table1[[#This Row],[Std Adj Read]]="N/A"),"N/A",IF(Table1[[#This Row],[DUT Adj Read]]="N/A",IF(Table1[[#This Row],[Std Adj Read]]&lt;Table1[[#This Row],[High Tol]],"Pass","Fail"),IF(Table1[[#This Row],[DUT Adj Read]]&lt;Table1[[#This Row],[High Tol]],"Pass","Fail")))</f>
        <v>Fail</v>
      </c>
      <c r="AF850" s="1" t="str">
        <f>IF(AND(Table1[[#This Row],[Spec Type2]]="N/A",Table1[[#This Row],[DUT Adj Read]]="N/A",Table1[[#This Row],[Std Adj Read]]="N/A"),"N/A",IF(Table1[[#This Row],[DUT Adj Read]]="N/A",IF(Table1[[#This Row],[Std Adj Read]]&gt;=Table1[[#This Row],[Low Tol]],"Pass","Fail"),IF(Table1[[#This Row],[DUT Adj Read]]&gt;=Table1[[#This Row],[Low Tol]],"Pass","Fail")))</f>
        <v>Pass</v>
      </c>
      <c r="AG850" s="1" t="str">
        <f>IF(AND(Table1[[#This Row],[Spec Type2]]="N/A",Table1[[#This Row],[DUT Adj Read]]="N/A",Table1[[#This Row],[Std Adj Read]]="N/A"),"N/A",IF(Table1[[#This Row],[DUT Adj Read]]="N/A",IF(Table1[[#This Row],[Std Adj Read]]&lt;=Table1[[#This Row],[High Tol]],"Pass","Fail"),IF(Table1[[#This Row],[DUT Adj Read]]&lt;=Table1[[#This Row],[High Tol]],"Pass","Fail")))</f>
        <v>Fail</v>
      </c>
      <c r="AH8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0" s="1" t="b">
        <v>0</v>
      </c>
      <c r="AN850" s="1" t="b">
        <v>0</v>
      </c>
      <c r="AO850" s="1" t="b">
        <v>0</v>
      </c>
    </row>
    <row r="851" spans="1:41" x14ac:dyDescent="0.25">
      <c r="A851" s="10"/>
      <c r="B851" s="10"/>
      <c r="C851" s="10"/>
      <c r="D851" s="10"/>
      <c r="E851" s="10"/>
      <c r="F851" s="10"/>
      <c r="G851" s="10"/>
      <c r="H851" s="10"/>
      <c r="I851" s="1" t="str">
        <f t="shared" si="39"/>
        <v/>
      </c>
      <c r="J851" s="1" t="s">
        <v>35</v>
      </c>
      <c r="K851" s="1" t="str">
        <f t="shared" si="40"/>
        <v/>
      </c>
      <c r="L851" s="1" t="str">
        <f t="shared" si="41"/>
        <v/>
      </c>
      <c r="M851" s="1">
        <f>IF(OR(Table1[[#This Row],[Std Nom]]="",Table1[[#This Row],[Std Read]]=""),0,Table1[[#This Row],[Std Nom]]-Table1[[#This Row],[Std Read]])</f>
        <v>0</v>
      </c>
      <c r="N851" s="1">
        <f>IF(Calculations!$F$5="ACCREDITED 17025 WITH UNCERTAINTIES",$N$10,0)</f>
        <v>0</v>
      </c>
      <c r="Q851" s="1">
        <f>Table1[[#This Row],[High Tol]]-Table1[[#This Row],[Low Tol]]</f>
        <v>0</v>
      </c>
      <c r="R851" s="1">
        <f>2*Table1[[#This Row],[Std Error]]</f>
        <v>0</v>
      </c>
      <c r="S851" s="1" t="str">
        <f>IF(Table1[[#This Row],[High Tol]]="","N/A",IFERROR(ABS(Table1[[#This Row],[Tol Span]]/Table1[[#This Row],[Error Span]]),"N/A"))</f>
        <v>N/A</v>
      </c>
      <c r="T851" s="1" t="str">
        <f>IF(OR(Table1[[#This Row],[Low Tol]]="",Table1[[#This Row],[High Tol]]=""),"Needs Analysis",IF(Table1[[#This Row],[Ratio]]&gt;=4,"Not Significant",IF(Table1[[#This Row],[Ratio]]&gt;=2,"Semi-Significant","Significant")))</f>
        <v>Needs Analysis</v>
      </c>
      <c r="W851" s="1">
        <f>IF(Table1[[#This Row],[Cal Type]]&lt;&gt;"ACCREDITED 17025 WITH UNCERTAINTIES",0,"")</f>
        <v>0</v>
      </c>
      <c r="X851" s="1" t="str">
        <f>IF(Table1[[#This Row],[DUT Read]]="","N/A",Table1[[#This Row],[Std Error]]+Table1[[#This Row],[DUT Read]]+Table1[[#This Row],[DUT Ucty]])</f>
        <v>N/A</v>
      </c>
      <c r="Y851" s="1" t="str">
        <f>IF(Table1[[#This Row],[Std Read]]="","N/A",Table1[[#This Row],[Std Read]]+Table1[[#This Row],[Std Ucty]])</f>
        <v>N/A</v>
      </c>
      <c r="Z8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1" s="1" t="str">
        <f>IF(Table1[[#This Row],[Spec Type]]="","N/A",Table1[[#This Row],[Spec Type]])</f>
        <v>±</v>
      </c>
      <c r="AC851" s="1" t="str">
        <f>IF(Table1[[#This Row],[Spec Type2]]="N/A","N/A",IF(AND(Table1[[#This Row],[DUT Adj Read]]&gt;=Table1[[#This Row],[Low Tol]],Table1[[#This Row],[DUT Adj Read]]&lt;=Table1[[#This Row],[High Tol]]),"Pass","Fail"))</f>
        <v>Fail</v>
      </c>
      <c r="AD851" s="1" t="str">
        <f>IF(AND(Table1[[#This Row],[Spec Type2]]="N/A",Table1[[#This Row],[DUT Adj Read]]="N/A",Table1[[#This Row],[Std Adj Read]]="N/A"),"N/A",IF(Table1[[#This Row],[DUT Adj Read]]="N/A",IF(Table1[[#This Row],[Std Adj Read]]&gt;Table1[[#This Row],[Low Tol]],"Pass","Fail"),IF(Table1[[#This Row],[DUT Adj Read]]&gt;Table1[[#This Row],[Low Tol]],"Pass","Fail")))</f>
        <v>Pass</v>
      </c>
      <c r="AE851" s="1" t="str">
        <f>IF(AND(Table1[[#This Row],[Spec Type2]]="N/A",Table1[[#This Row],[DUT Adj Read]]="N/A",Table1[[#This Row],[Std Adj Read]]="N/A"),"N/A",IF(Table1[[#This Row],[DUT Adj Read]]="N/A",IF(Table1[[#This Row],[Std Adj Read]]&lt;Table1[[#This Row],[High Tol]],"Pass","Fail"),IF(Table1[[#This Row],[DUT Adj Read]]&lt;Table1[[#This Row],[High Tol]],"Pass","Fail")))</f>
        <v>Fail</v>
      </c>
      <c r="AF851" s="1" t="str">
        <f>IF(AND(Table1[[#This Row],[Spec Type2]]="N/A",Table1[[#This Row],[DUT Adj Read]]="N/A",Table1[[#This Row],[Std Adj Read]]="N/A"),"N/A",IF(Table1[[#This Row],[DUT Adj Read]]="N/A",IF(Table1[[#This Row],[Std Adj Read]]&gt;=Table1[[#This Row],[Low Tol]],"Pass","Fail"),IF(Table1[[#This Row],[DUT Adj Read]]&gt;=Table1[[#This Row],[Low Tol]],"Pass","Fail")))</f>
        <v>Pass</v>
      </c>
      <c r="AG851" s="1" t="str">
        <f>IF(AND(Table1[[#This Row],[Spec Type2]]="N/A",Table1[[#This Row],[DUT Adj Read]]="N/A",Table1[[#This Row],[Std Adj Read]]="N/A"),"N/A",IF(Table1[[#This Row],[DUT Adj Read]]="N/A",IF(Table1[[#This Row],[Std Adj Read]]&lt;=Table1[[#This Row],[High Tol]],"Pass","Fail"),IF(Table1[[#This Row],[DUT Adj Read]]&lt;=Table1[[#This Row],[High Tol]],"Pass","Fail")))</f>
        <v>Fail</v>
      </c>
      <c r="AH8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1" s="1" t="b">
        <v>0</v>
      </c>
      <c r="AN851" s="1" t="b">
        <v>0</v>
      </c>
      <c r="AO851" s="1" t="b">
        <v>0</v>
      </c>
    </row>
    <row r="852" spans="1:41" x14ac:dyDescent="0.25">
      <c r="A852" s="10"/>
      <c r="B852" s="10"/>
      <c r="C852" s="10"/>
      <c r="D852" s="10"/>
      <c r="E852" s="10"/>
      <c r="F852" s="10"/>
      <c r="G852" s="10"/>
      <c r="H852" s="10"/>
      <c r="I852" s="1" t="str">
        <f t="shared" si="39"/>
        <v/>
      </c>
      <c r="J852" s="1" t="s">
        <v>35</v>
      </c>
      <c r="K852" s="1" t="str">
        <f t="shared" si="40"/>
        <v/>
      </c>
      <c r="L852" s="1" t="str">
        <f t="shared" si="41"/>
        <v/>
      </c>
      <c r="M852" s="1">
        <f>IF(OR(Table1[[#This Row],[Std Nom]]="",Table1[[#This Row],[Std Read]]=""),0,Table1[[#This Row],[Std Nom]]-Table1[[#This Row],[Std Read]])</f>
        <v>0</v>
      </c>
      <c r="N852" s="1">
        <f>IF(Calculations!$F$5="ACCREDITED 17025 WITH UNCERTAINTIES",$N$10,0)</f>
        <v>0</v>
      </c>
      <c r="Q852" s="1">
        <f>Table1[[#This Row],[High Tol]]-Table1[[#This Row],[Low Tol]]</f>
        <v>0</v>
      </c>
      <c r="R852" s="1">
        <f>2*Table1[[#This Row],[Std Error]]</f>
        <v>0</v>
      </c>
      <c r="S852" s="1" t="str">
        <f>IF(Table1[[#This Row],[High Tol]]="","N/A",IFERROR(ABS(Table1[[#This Row],[Tol Span]]/Table1[[#This Row],[Error Span]]),"N/A"))</f>
        <v>N/A</v>
      </c>
      <c r="T852" s="1" t="str">
        <f>IF(OR(Table1[[#This Row],[Low Tol]]="",Table1[[#This Row],[High Tol]]=""),"Needs Analysis",IF(Table1[[#This Row],[Ratio]]&gt;=4,"Not Significant",IF(Table1[[#This Row],[Ratio]]&gt;=2,"Semi-Significant","Significant")))</f>
        <v>Needs Analysis</v>
      </c>
      <c r="W852" s="1">
        <f>IF(Table1[[#This Row],[Cal Type]]&lt;&gt;"ACCREDITED 17025 WITH UNCERTAINTIES",0,"")</f>
        <v>0</v>
      </c>
      <c r="X852" s="1" t="str">
        <f>IF(Table1[[#This Row],[DUT Read]]="","N/A",Table1[[#This Row],[Std Error]]+Table1[[#This Row],[DUT Read]]+Table1[[#This Row],[DUT Ucty]])</f>
        <v>N/A</v>
      </c>
      <c r="Y852" s="1" t="str">
        <f>IF(Table1[[#This Row],[Std Read]]="","N/A",Table1[[#This Row],[Std Read]]+Table1[[#This Row],[Std Ucty]])</f>
        <v>N/A</v>
      </c>
      <c r="Z8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2" s="1" t="str">
        <f>IF(Table1[[#This Row],[Spec Type]]="","N/A",Table1[[#This Row],[Spec Type]])</f>
        <v>±</v>
      </c>
      <c r="AC852" s="1" t="str">
        <f>IF(Table1[[#This Row],[Spec Type2]]="N/A","N/A",IF(AND(Table1[[#This Row],[DUT Adj Read]]&gt;=Table1[[#This Row],[Low Tol]],Table1[[#This Row],[DUT Adj Read]]&lt;=Table1[[#This Row],[High Tol]]),"Pass","Fail"))</f>
        <v>Fail</v>
      </c>
      <c r="AD852" s="1" t="str">
        <f>IF(AND(Table1[[#This Row],[Spec Type2]]="N/A",Table1[[#This Row],[DUT Adj Read]]="N/A",Table1[[#This Row],[Std Adj Read]]="N/A"),"N/A",IF(Table1[[#This Row],[DUT Adj Read]]="N/A",IF(Table1[[#This Row],[Std Adj Read]]&gt;Table1[[#This Row],[Low Tol]],"Pass","Fail"),IF(Table1[[#This Row],[DUT Adj Read]]&gt;Table1[[#This Row],[Low Tol]],"Pass","Fail")))</f>
        <v>Pass</v>
      </c>
      <c r="AE852" s="1" t="str">
        <f>IF(AND(Table1[[#This Row],[Spec Type2]]="N/A",Table1[[#This Row],[DUT Adj Read]]="N/A",Table1[[#This Row],[Std Adj Read]]="N/A"),"N/A",IF(Table1[[#This Row],[DUT Adj Read]]="N/A",IF(Table1[[#This Row],[Std Adj Read]]&lt;Table1[[#This Row],[High Tol]],"Pass","Fail"),IF(Table1[[#This Row],[DUT Adj Read]]&lt;Table1[[#This Row],[High Tol]],"Pass","Fail")))</f>
        <v>Fail</v>
      </c>
      <c r="AF852" s="1" t="str">
        <f>IF(AND(Table1[[#This Row],[Spec Type2]]="N/A",Table1[[#This Row],[DUT Adj Read]]="N/A",Table1[[#This Row],[Std Adj Read]]="N/A"),"N/A",IF(Table1[[#This Row],[DUT Adj Read]]="N/A",IF(Table1[[#This Row],[Std Adj Read]]&gt;=Table1[[#This Row],[Low Tol]],"Pass","Fail"),IF(Table1[[#This Row],[DUT Adj Read]]&gt;=Table1[[#This Row],[Low Tol]],"Pass","Fail")))</f>
        <v>Pass</v>
      </c>
      <c r="AG852" s="1" t="str">
        <f>IF(AND(Table1[[#This Row],[Spec Type2]]="N/A",Table1[[#This Row],[DUT Adj Read]]="N/A",Table1[[#This Row],[Std Adj Read]]="N/A"),"N/A",IF(Table1[[#This Row],[DUT Adj Read]]="N/A",IF(Table1[[#This Row],[Std Adj Read]]&lt;=Table1[[#This Row],[High Tol]],"Pass","Fail"),IF(Table1[[#This Row],[DUT Adj Read]]&lt;=Table1[[#This Row],[High Tol]],"Pass","Fail")))</f>
        <v>Fail</v>
      </c>
      <c r="AH8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2" s="1" t="b">
        <v>0</v>
      </c>
      <c r="AN852" s="1" t="b">
        <v>0</v>
      </c>
      <c r="AO852" s="1" t="b">
        <v>0</v>
      </c>
    </row>
    <row r="853" spans="1:41" x14ac:dyDescent="0.25">
      <c r="A853" s="10"/>
      <c r="B853" s="10"/>
      <c r="C853" s="10"/>
      <c r="D853" s="10"/>
      <c r="E853" s="10"/>
      <c r="F853" s="10"/>
      <c r="G853" s="10"/>
      <c r="H853" s="10"/>
      <c r="I853" s="1" t="str">
        <f t="shared" si="39"/>
        <v/>
      </c>
      <c r="J853" s="1" t="s">
        <v>35</v>
      </c>
      <c r="K853" s="1" t="str">
        <f t="shared" si="40"/>
        <v/>
      </c>
      <c r="L853" s="1" t="str">
        <f t="shared" si="41"/>
        <v/>
      </c>
      <c r="M853" s="1">
        <f>IF(OR(Table1[[#This Row],[Std Nom]]="",Table1[[#This Row],[Std Read]]=""),0,Table1[[#This Row],[Std Nom]]-Table1[[#This Row],[Std Read]])</f>
        <v>0</v>
      </c>
      <c r="N853" s="1">
        <f>IF(Calculations!$F$5="ACCREDITED 17025 WITH UNCERTAINTIES",$N$10,0)</f>
        <v>0</v>
      </c>
      <c r="Q853" s="1">
        <f>Table1[[#This Row],[High Tol]]-Table1[[#This Row],[Low Tol]]</f>
        <v>0</v>
      </c>
      <c r="R853" s="1">
        <f>2*Table1[[#This Row],[Std Error]]</f>
        <v>0</v>
      </c>
      <c r="S853" s="1" t="str">
        <f>IF(Table1[[#This Row],[High Tol]]="","N/A",IFERROR(ABS(Table1[[#This Row],[Tol Span]]/Table1[[#This Row],[Error Span]]),"N/A"))</f>
        <v>N/A</v>
      </c>
      <c r="T853" s="1" t="str">
        <f>IF(OR(Table1[[#This Row],[Low Tol]]="",Table1[[#This Row],[High Tol]]=""),"Needs Analysis",IF(Table1[[#This Row],[Ratio]]&gt;=4,"Not Significant",IF(Table1[[#This Row],[Ratio]]&gt;=2,"Semi-Significant","Significant")))</f>
        <v>Needs Analysis</v>
      </c>
      <c r="W853" s="1">
        <f>IF(Table1[[#This Row],[Cal Type]]&lt;&gt;"ACCREDITED 17025 WITH UNCERTAINTIES",0,"")</f>
        <v>0</v>
      </c>
      <c r="X853" s="1" t="str">
        <f>IF(Table1[[#This Row],[DUT Read]]="","N/A",Table1[[#This Row],[Std Error]]+Table1[[#This Row],[DUT Read]]+Table1[[#This Row],[DUT Ucty]])</f>
        <v>N/A</v>
      </c>
      <c r="Y853" s="1" t="str">
        <f>IF(Table1[[#This Row],[Std Read]]="","N/A",Table1[[#This Row],[Std Read]]+Table1[[#This Row],[Std Ucty]])</f>
        <v>N/A</v>
      </c>
      <c r="Z8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3" s="1" t="str">
        <f>IF(Table1[[#This Row],[Spec Type]]="","N/A",Table1[[#This Row],[Spec Type]])</f>
        <v>±</v>
      </c>
      <c r="AC853" s="1" t="str">
        <f>IF(Table1[[#This Row],[Spec Type2]]="N/A","N/A",IF(AND(Table1[[#This Row],[DUT Adj Read]]&gt;=Table1[[#This Row],[Low Tol]],Table1[[#This Row],[DUT Adj Read]]&lt;=Table1[[#This Row],[High Tol]]),"Pass","Fail"))</f>
        <v>Fail</v>
      </c>
      <c r="AD853" s="1" t="str">
        <f>IF(AND(Table1[[#This Row],[Spec Type2]]="N/A",Table1[[#This Row],[DUT Adj Read]]="N/A",Table1[[#This Row],[Std Adj Read]]="N/A"),"N/A",IF(Table1[[#This Row],[DUT Adj Read]]="N/A",IF(Table1[[#This Row],[Std Adj Read]]&gt;Table1[[#This Row],[Low Tol]],"Pass","Fail"),IF(Table1[[#This Row],[DUT Adj Read]]&gt;Table1[[#This Row],[Low Tol]],"Pass","Fail")))</f>
        <v>Pass</v>
      </c>
      <c r="AE853" s="1" t="str">
        <f>IF(AND(Table1[[#This Row],[Spec Type2]]="N/A",Table1[[#This Row],[DUT Adj Read]]="N/A",Table1[[#This Row],[Std Adj Read]]="N/A"),"N/A",IF(Table1[[#This Row],[DUT Adj Read]]="N/A",IF(Table1[[#This Row],[Std Adj Read]]&lt;Table1[[#This Row],[High Tol]],"Pass","Fail"),IF(Table1[[#This Row],[DUT Adj Read]]&lt;Table1[[#This Row],[High Tol]],"Pass","Fail")))</f>
        <v>Fail</v>
      </c>
      <c r="AF853" s="1" t="str">
        <f>IF(AND(Table1[[#This Row],[Spec Type2]]="N/A",Table1[[#This Row],[DUT Adj Read]]="N/A",Table1[[#This Row],[Std Adj Read]]="N/A"),"N/A",IF(Table1[[#This Row],[DUT Adj Read]]="N/A",IF(Table1[[#This Row],[Std Adj Read]]&gt;=Table1[[#This Row],[Low Tol]],"Pass","Fail"),IF(Table1[[#This Row],[DUT Adj Read]]&gt;=Table1[[#This Row],[Low Tol]],"Pass","Fail")))</f>
        <v>Pass</v>
      </c>
      <c r="AG853" s="1" t="str">
        <f>IF(AND(Table1[[#This Row],[Spec Type2]]="N/A",Table1[[#This Row],[DUT Adj Read]]="N/A",Table1[[#This Row],[Std Adj Read]]="N/A"),"N/A",IF(Table1[[#This Row],[DUT Adj Read]]="N/A",IF(Table1[[#This Row],[Std Adj Read]]&lt;=Table1[[#This Row],[High Tol]],"Pass","Fail"),IF(Table1[[#This Row],[DUT Adj Read]]&lt;=Table1[[#This Row],[High Tol]],"Pass","Fail")))</f>
        <v>Fail</v>
      </c>
      <c r="AH8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3" s="1" t="b">
        <v>0</v>
      </c>
      <c r="AN853" s="1" t="b">
        <v>0</v>
      </c>
      <c r="AO853" s="1" t="b">
        <v>0</v>
      </c>
    </row>
    <row r="854" spans="1:41" x14ac:dyDescent="0.25">
      <c r="A854" s="10"/>
      <c r="B854" s="10"/>
      <c r="C854" s="10"/>
      <c r="D854" s="10"/>
      <c r="E854" s="10"/>
      <c r="F854" s="10"/>
      <c r="G854" s="10"/>
      <c r="H854" s="10"/>
      <c r="I854" s="1" t="str">
        <f t="shared" si="39"/>
        <v/>
      </c>
      <c r="J854" s="1" t="s">
        <v>35</v>
      </c>
      <c r="K854" s="1" t="str">
        <f t="shared" si="40"/>
        <v/>
      </c>
      <c r="L854" s="1" t="str">
        <f t="shared" si="41"/>
        <v/>
      </c>
      <c r="M854" s="1">
        <f>IF(OR(Table1[[#This Row],[Std Nom]]="",Table1[[#This Row],[Std Read]]=""),0,Table1[[#This Row],[Std Nom]]-Table1[[#This Row],[Std Read]])</f>
        <v>0</v>
      </c>
      <c r="N854" s="1">
        <f>IF(Calculations!$F$5="ACCREDITED 17025 WITH UNCERTAINTIES",$N$10,0)</f>
        <v>0</v>
      </c>
      <c r="Q854" s="1">
        <f>Table1[[#This Row],[High Tol]]-Table1[[#This Row],[Low Tol]]</f>
        <v>0</v>
      </c>
      <c r="R854" s="1">
        <f>2*Table1[[#This Row],[Std Error]]</f>
        <v>0</v>
      </c>
      <c r="S854" s="1" t="str">
        <f>IF(Table1[[#This Row],[High Tol]]="","N/A",IFERROR(ABS(Table1[[#This Row],[Tol Span]]/Table1[[#This Row],[Error Span]]),"N/A"))</f>
        <v>N/A</v>
      </c>
      <c r="T854" s="1" t="str">
        <f>IF(OR(Table1[[#This Row],[Low Tol]]="",Table1[[#This Row],[High Tol]]=""),"Needs Analysis",IF(Table1[[#This Row],[Ratio]]&gt;=4,"Not Significant",IF(Table1[[#This Row],[Ratio]]&gt;=2,"Semi-Significant","Significant")))</f>
        <v>Needs Analysis</v>
      </c>
      <c r="W854" s="1">
        <f>IF(Table1[[#This Row],[Cal Type]]&lt;&gt;"ACCREDITED 17025 WITH UNCERTAINTIES",0,"")</f>
        <v>0</v>
      </c>
      <c r="X854" s="1" t="str">
        <f>IF(Table1[[#This Row],[DUT Read]]="","N/A",Table1[[#This Row],[Std Error]]+Table1[[#This Row],[DUT Read]]+Table1[[#This Row],[DUT Ucty]])</f>
        <v>N/A</v>
      </c>
      <c r="Y854" s="1" t="str">
        <f>IF(Table1[[#This Row],[Std Read]]="","N/A",Table1[[#This Row],[Std Read]]+Table1[[#This Row],[Std Ucty]])</f>
        <v>N/A</v>
      </c>
      <c r="Z8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4" s="1" t="str">
        <f>IF(Table1[[#This Row],[Spec Type]]="","N/A",Table1[[#This Row],[Spec Type]])</f>
        <v>±</v>
      </c>
      <c r="AC854" s="1" t="str">
        <f>IF(Table1[[#This Row],[Spec Type2]]="N/A","N/A",IF(AND(Table1[[#This Row],[DUT Adj Read]]&gt;=Table1[[#This Row],[Low Tol]],Table1[[#This Row],[DUT Adj Read]]&lt;=Table1[[#This Row],[High Tol]]),"Pass","Fail"))</f>
        <v>Fail</v>
      </c>
      <c r="AD854" s="1" t="str">
        <f>IF(AND(Table1[[#This Row],[Spec Type2]]="N/A",Table1[[#This Row],[DUT Adj Read]]="N/A",Table1[[#This Row],[Std Adj Read]]="N/A"),"N/A",IF(Table1[[#This Row],[DUT Adj Read]]="N/A",IF(Table1[[#This Row],[Std Adj Read]]&gt;Table1[[#This Row],[Low Tol]],"Pass","Fail"),IF(Table1[[#This Row],[DUT Adj Read]]&gt;Table1[[#This Row],[Low Tol]],"Pass","Fail")))</f>
        <v>Pass</v>
      </c>
      <c r="AE854" s="1" t="str">
        <f>IF(AND(Table1[[#This Row],[Spec Type2]]="N/A",Table1[[#This Row],[DUT Adj Read]]="N/A",Table1[[#This Row],[Std Adj Read]]="N/A"),"N/A",IF(Table1[[#This Row],[DUT Adj Read]]="N/A",IF(Table1[[#This Row],[Std Adj Read]]&lt;Table1[[#This Row],[High Tol]],"Pass","Fail"),IF(Table1[[#This Row],[DUT Adj Read]]&lt;Table1[[#This Row],[High Tol]],"Pass","Fail")))</f>
        <v>Fail</v>
      </c>
      <c r="AF854" s="1" t="str">
        <f>IF(AND(Table1[[#This Row],[Spec Type2]]="N/A",Table1[[#This Row],[DUT Adj Read]]="N/A",Table1[[#This Row],[Std Adj Read]]="N/A"),"N/A",IF(Table1[[#This Row],[DUT Adj Read]]="N/A",IF(Table1[[#This Row],[Std Adj Read]]&gt;=Table1[[#This Row],[Low Tol]],"Pass","Fail"),IF(Table1[[#This Row],[DUT Adj Read]]&gt;=Table1[[#This Row],[Low Tol]],"Pass","Fail")))</f>
        <v>Pass</v>
      </c>
      <c r="AG854" s="1" t="str">
        <f>IF(AND(Table1[[#This Row],[Spec Type2]]="N/A",Table1[[#This Row],[DUT Adj Read]]="N/A",Table1[[#This Row],[Std Adj Read]]="N/A"),"N/A",IF(Table1[[#This Row],[DUT Adj Read]]="N/A",IF(Table1[[#This Row],[Std Adj Read]]&lt;=Table1[[#This Row],[High Tol]],"Pass","Fail"),IF(Table1[[#This Row],[DUT Adj Read]]&lt;=Table1[[#This Row],[High Tol]],"Pass","Fail")))</f>
        <v>Fail</v>
      </c>
      <c r="AH8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4" s="1" t="b">
        <v>0</v>
      </c>
      <c r="AN854" s="1" t="b">
        <v>0</v>
      </c>
      <c r="AO854" s="1" t="b">
        <v>0</v>
      </c>
    </row>
    <row r="855" spans="1:41" x14ac:dyDescent="0.25">
      <c r="A855" s="10"/>
      <c r="B855" s="10"/>
      <c r="C855" s="10"/>
      <c r="D855" s="10"/>
      <c r="E855" s="10"/>
      <c r="F855" s="10"/>
      <c r="G855" s="10"/>
      <c r="H855" s="10"/>
      <c r="I855" s="1" t="str">
        <f t="shared" si="39"/>
        <v/>
      </c>
      <c r="J855" s="1" t="s">
        <v>35</v>
      </c>
      <c r="K855" s="1" t="str">
        <f t="shared" si="40"/>
        <v/>
      </c>
      <c r="L855" s="1" t="str">
        <f t="shared" si="41"/>
        <v/>
      </c>
      <c r="M855" s="1">
        <f>IF(OR(Table1[[#This Row],[Std Nom]]="",Table1[[#This Row],[Std Read]]=""),0,Table1[[#This Row],[Std Nom]]-Table1[[#This Row],[Std Read]])</f>
        <v>0</v>
      </c>
      <c r="N855" s="1">
        <f>IF(Calculations!$F$5="ACCREDITED 17025 WITH UNCERTAINTIES",$N$10,0)</f>
        <v>0</v>
      </c>
      <c r="Q855" s="1">
        <f>Table1[[#This Row],[High Tol]]-Table1[[#This Row],[Low Tol]]</f>
        <v>0</v>
      </c>
      <c r="R855" s="1">
        <f>2*Table1[[#This Row],[Std Error]]</f>
        <v>0</v>
      </c>
      <c r="S855" s="1" t="str">
        <f>IF(Table1[[#This Row],[High Tol]]="","N/A",IFERROR(ABS(Table1[[#This Row],[Tol Span]]/Table1[[#This Row],[Error Span]]),"N/A"))</f>
        <v>N/A</v>
      </c>
      <c r="T855" s="1" t="str">
        <f>IF(OR(Table1[[#This Row],[Low Tol]]="",Table1[[#This Row],[High Tol]]=""),"Needs Analysis",IF(Table1[[#This Row],[Ratio]]&gt;=4,"Not Significant",IF(Table1[[#This Row],[Ratio]]&gt;=2,"Semi-Significant","Significant")))</f>
        <v>Needs Analysis</v>
      </c>
      <c r="W855" s="1">
        <f>IF(Table1[[#This Row],[Cal Type]]&lt;&gt;"ACCREDITED 17025 WITH UNCERTAINTIES",0,"")</f>
        <v>0</v>
      </c>
      <c r="X855" s="1" t="str">
        <f>IF(Table1[[#This Row],[DUT Read]]="","N/A",Table1[[#This Row],[Std Error]]+Table1[[#This Row],[DUT Read]]+Table1[[#This Row],[DUT Ucty]])</f>
        <v>N/A</v>
      </c>
      <c r="Y855" s="1" t="str">
        <f>IF(Table1[[#This Row],[Std Read]]="","N/A",Table1[[#This Row],[Std Read]]+Table1[[#This Row],[Std Ucty]])</f>
        <v>N/A</v>
      </c>
      <c r="Z8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5" s="1" t="str">
        <f>IF(Table1[[#This Row],[Spec Type]]="","N/A",Table1[[#This Row],[Spec Type]])</f>
        <v>±</v>
      </c>
      <c r="AC855" s="1" t="str">
        <f>IF(Table1[[#This Row],[Spec Type2]]="N/A","N/A",IF(AND(Table1[[#This Row],[DUT Adj Read]]&gt;=Table1[[#This Row],[Low Tol]],Table1[[#This Row],[DUT Adj Read]]&lt;=Table1[[#This Row],[High Tol]]),"Pass","Fail"))</f>
        <v>Fail</v>
      </c>
      <c r="AD855" s="1" t="str">
        <f>IF(AND(Table1[[#This Row],[Spec Type2]]="N/A",Table1[[#This Row],[DUT Adj Read]]="N/A",Table1[[#This Row],[Std Adj Read]]="N/A"),"N/A",IF(Table1[[#This Row],[DUT Adj Read]]="N/A",IF(Table1[[#This Row],[Std Adj Read]]&gt;Table1[[#This Row],[Low Tol]],"Pass","Fail"),IF(Table1[[#This Row],[DUT Adj Read]]&gt;Table1[[#This Row],[Low Tol]],"Pass","Fail")))</f>
        <v>Pass</v>
      </c>
      <c r="AE855" s="1" t="str">
        <f>IF(AND(Table1[[#This Row],[Spec Type2]]="N/A",Table1[[#This Row],[DUT Adj Read]]="N/A",Table1[[#This Row],[Std Adj Read]]="N/A"),"N/A",IF(Table1[[#This Row],[DUT Adj Read]]="N/A",IF(Table1[[#This Row],[Std Adj Read]]&lt;Table1[[#This Row],[High Tol]],"Pass","Fail"),IF(Table1[[#This Row],[DUT Adj Read]]&lt;Table1[[#This Row],[High Tol]],"Pass","Fail")))</f>
        <v>Fail</v>
      </c>
      <c r="AF855" s="1" t="str">
        <f>IF(AND(Table1[[#This Row],[Spec Type2]]="N/A",Table1[[#This Row],[DUT Adj Read]]="N/A",Table1[[#This Row],[Std Adj Read]]="N/A"),"N/A",IF(Table1[[#This Row],[DUT Adj Read]]="N/A",IF(Table1[[#This Row],[Std Adj Read]]&gt;=Table1[[#This Row],[Low Tol]],"Pass","Fail"),IF(Table1[[#This Row],[DUT Adj Read]]&gt;=Table1[[#This Row],[Low Tol]],"Pass","Fail")))</f>
        <v>Pass</v>
      </c>
      <c r="AG855" s="1" t="str">
        <f>IF(AND(Table1[[#This Row],[Spec Type2]]="N/A",Table1[[#This Row],[DUT Adj Read]]="N/A",Table1[[#This Row],[Std Adj Read]]="N/A"),"N/A",IF(Table1[[#This Row],[DUT Adj Read]]="N/A",IF(Table1[[#This Row],[Std Adj Read]]&lt;=Table1[[#This Row],[High Tol]],"Pass","Fail"),IF(Table1[[#This Row],[DUT Adj Read]]&lt;=Table1[[#This Row],[High Tol]],"Pass","Fail")))</f>
        <v>Fail</v>
      </c>
      <c r="AH8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5" s="1" t="b">
        <v>0</v>
      </c>
      <c r="AN855" s="1" t="b">
        <v>0</v>
      </c>
      <c r="AO855" s="1" t="b">
        <v>0</v>
      </c>
    </row>
    <row r="856" spans="1:41" x14ac:dyDescent="0.25">
      <c r="A856" s="10"/>
      <c r="B856" s="10"/>
      <c r="C856" s="10"/>
      <c r="D856" s="10"/>
      <c r="E856" s="10"/>
      <c r="F856" s="10"/>
      <c r="G856" s="10"/>
      <c r="H856" s="10"/>
      <c r="I856" s="1" t="str">
        <f t="shared" si="39"/>
        <v/>
      </c>
      <c r="J856" s="1" t="s">
        <v>35</v>
      </c>
      <c r="K856" s="1" t="str">
        <f t="shared" si="40"/>
        <v/>
      </c>
      <c r="L856" s="1" t="str">
        <f t="shared" si="41"/>
        <v/>
      </c>
      <c r="M856" s="1">
        <f>IF(OR(Table1[[#This Row],[Std Nom]]="",Table1[[#This Row],[Std Read]]=""),0,Table1[[#This Row],[Std Nom]]-Table1[[#This Row],[Std Read]])</f>
        <v>0</v>
      </c>
      <c r="N856" s="1">
        <f>IF(Calculations!$F$5="ACCREDITED 17025 WITH UNCERTAINTIES",$N$10,0)</f>
        <v>0</v>
      </c>
      <c r="Q856" s="1">
        <f>Table1[[#This Row],[High Tol]]-Table1[[#This Row],[Low Tol]]</f>
        <v>0</v>
      </c>
      <c r="R856" s="1">
        <f>2*Table1[[#This Row],[Std Error]]</f>
        <v>0</v>
      </c>
      <c r="S856" s="1" t="str">
        <f>IF(Table1[[#This Row],[High Tol]]="","N/A",IFERROR(ABS(Table1[[#This Row],[Tol Span]]/Table1[[#This Row],[Error Span]]),"N/A"))</f>
        <v>N/A</v>
      </c>
      <c r="T856" s="1" t="str">
        <f>IF(OR(Table1[[#This Row],[Low Tol]]="",Table1[[#This Row],[High Tol]]=""),"Needs Analysis",IF(Table1[[#This Row],[Ratio]]&gt;=4,"Not Significant",IF(Table1[[#This Row],[Ratio]]&gt;=2,"Semi-Significant","Significant")))</f>
        <v>Needs Analysis</v>
      </c>
      <c r="W856" s="1">
        <f>IF(Table1[[#This Row],[Cal Type]]&lt;&gt;"ACCREDITED 17025 WITH UNCERTAINTIES",0,"")</f>
        <v>0</v>
      </c>
      <c r="X856" s="1" t="str">
        <f>IF(Table1[[#This Row],[DUT Read]]="","N/A",Table1[[#This Row],[Std Error]]+Table1[[#This Row],[DUT Read]]+Table1[[#This Row],[DUT Ucty]])</f>
        <v>N/A</v>
      </c>
      <c r="Y856" s="1" t="str">
        <f>IF(Table1[[#This Row],[Std Read]]="","N/A",Table1[[#This Row],[Std Read]]+Table1[[#This Row],[Std Ucty]])</f>
        <v>N/A</v>
      </c>
      <c r="Z8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6" s="1" t="str">
        <f>IF(Table1[[#This Row],[Spec Type]]="","N/A",Table1[[#This Row],[Spec Type]])</f>
        <v>±</v>
      </c>
      <c r="AC856" s="1" t="str">
        <f>IF(Table1[[#This Row],[Spec Type2]]="N/A","N/A",IF(AND(Table1[[#This Row],[DUT Adj Read]]&gt;=Table1[[#This Row],[Low Tol]],Table1[[#This Row],[DUT Adj Read]]&lt;=Table1[[#This Row],[High Tol]]),"Pass","Fail"))</f>
        <v>Fail</v>
      </c>
      <c r="AD856" s="1" t="str">
        <f>IF(AND(Table1[[#This Row],[Spec Type2]]="N/A",Table1[[#This Row],[DUT Adj Read]]="N/A",Table1[[#This Row],[Std Adj Read]]="N/A"),"N/A",IF(Table1[[#This Row],[DUT Adj Read]]="N/A",IF(Table1[[#This Row],[Std Adj Read]]&gt;Table1[[#This Row],[Low Tol]],"Pass","Fail"),IF(Table1[[#This Row],[DUT Adj Read]]&gt;Table1[[#This Row],[Low Tol]],"Pass","Fail")))</f>
        <v>Pass</v>
      </c>
      <c r="AE856" s="1" t="str">
        <f>IF(AND(Table1[[#This Row],[Spec Type2]]="N/A",Table1[[#This Row],[DUT Adj Read]]="N/A",Table1[[#This Row],[Std Adj Read]]="N/A"),"N/A",IF(Table1[[#This Row],[DUT Adj Read]]="N/A",IF(Table1[[#This Row],[Std Adj Read]]&lt;Table1[[#This Row],[High Tol]],"Pass","Fail"),IF(Table1[[#This Row],[DUT Adj Read]]&lt;Table1[[#This Row],[High Tol]],"Pass","Fail")))</f>
        <v>Fail</v>
      </c>
      <c r="AF856" s="1" t="str">
        <f>IF(AND(Table1[[#This Row],[Spec Type2]]="N/A",Table1[[#This Row],[DUT Adj Read]]="N/A",Table1[[#This Row],[Std Adj Read]]="N/A"),"N/A",IF(Table1[[#This Row],[DUT Adj Read]]="N/A",IF(Table1[[#This Row],[Std Adj Read]]&gt;=Table1[[#This Row],[Low Tol]],"Pass","Fail"),IF(Table1[[#This Row],[DUT Adj Read]]&gt;=Table1[[#This Row],[Low Tol]],"Pass","Fail")))</f>
        <v>Pass</v>
      </c>
      <c r="AG856" s="1" t="str">
        <f>IF(AND(Table1[[#This Row],[Spec Type2]]="N/A",Table1[[#This Row],[DUT Adj Read]]="N/A",Table1[[#This Row],[Std Adj Read]]="N/A"),"N/A",IF(Table1[[#This Row],[DUT Adj Read]]="N/A",IF(Table1[[#This Row],[Std Adj Read]]&lt;=Table1[[#This Row],[High Tol]],"Pass","Fail"),IF(Table1[[#This Row],[DUT Adj Read]]&lt;=Table1[[#This Row],[High Tol]],"Pass","Fail")))</f>
        <v>Fail</v>
      </c>
      <c r="AH8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6" s="1" t="b">
        <v>0</v>
      </c>
      <c r="AN856" s="1" t="b">
        <v>0</v>
      </c>
      <c r="AO856" s="1" t="b">
        <v>0</v>
      </c>
    </row>
    <row r="857" spans="1:41" x14ac:dyDescent="0.25">
      <c r="A857" s="10"/>
      <c r="B857" s="10"/>
      <c r="C857" s="10"/>
      <c r="D857" s="10"/>
      <c r="E857" s="10"/>
      <c r="F857" s="10"/>
      <c r="G857" s="10"/>
      <c r="H857" s="10"/>
      <c r="I857" s="1" t="str">
        <f t="shared" si="39"/>
        <v/>
      </c>
      <c r="J857" s="1" t="s">
        <v>35</v>
      </c>
      <c r="K857" s="1" t="str">
        <f t="shared" si="40"/>
        <v/>
      </c>
      <c r="L857" s="1" t="str">
        <f t="shared" si="41"/>
        <v/>
      </c>
      <c r="M857" s="1">
        <f>IF(OR(Table1[[#This Row],[Std Nom]]="",Table1[[#This Row],[Std Read]]=""),0,Table1[[#This Row],[Std Nom]]-Table1[[#This Row],[Std Read]])</f>
        <v>0</v>
      </c>
      <c r="N857" s="1">
        <f>IF(Calculations!$F$5="ACCREDITED 17025 WITH UNCERTAINTIES",$N$10,0)</f>
        <v>0</v>
      </c>
      <c r="Q857" s="1">
        <f>Table1[[#This Row],[High Tol]]-Table1[[#This Row],[Low Tol]]</f>
        <v>0</v>
      </c>
      <c r="R857" s="1">
        <f>2*Table1[[#This Row],[Std Error]]</f>
        <v>0</v>
      </c>
      <c r="S857" s="1" t="str">
        <f>IF(Table1[[#This Row],[High Tol]]="","N/A",IFERROR(ABS(Table1[[#This Row],[Tol Span]]/Table1[[#This Row],[Error Span]]),"N/A"))</f>
        <v>N/A</v>
      </c>
      <c r="T857" s="1" t="str">
        <f>IF(OR(Table1[[#This Row],[Low Tol]]="",Table1[[#This Row],[High Tol]]=""),"Needs Analysis",IF(Table1[[#This Row],[Ratio]]&gt;=4,"Not Significant",IF(Table1[[#This Row],[Ratio]]&gt;=2,"Semi-Significant","Significant")))</f>
        <v>Needs Analysis</v>
      </c>
      <c r="W857" s="1">
        <f>IF(Table1[[#This Row],[Cal Type]]&lt;&gt;"ACCREDITED 17025 WITH UNCERTAINTIES",0,"")</f>
        <v>0</v>
      </c>
      <c r="X857" s="1" t="str">
        <f>IF(Table1[[#This Row],[DUT Read]]="","N/A",Table1[[#This Row],[Std Error]]+Table1[[#This Row],[DUT Read]]+Table1[[#This Row],[DUT Ucty]])</f>
        <v>N/A</v>
      </c>
      <c r="Y857" s="1" t="str">
        <f>IF(Table1[[#This Row],[Std Read]]="","N/A",Table1[[#This Row],[Std Read]]+Table1[[#This Row],[Std Ucty]])</f>
        <v>N/A</v>
      </c>
      <c r="Z8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7" s="1" t="str">
        <f>IF(Table1[[#This Row],[Spec Type]]="","N/A",Table1[[#This Row],[Spec Type]])</f>
        <v>±</v>
      </c>
      <c r="AC857" s="1" t="str">
        <f>IF(Table1[[#This Row],[Spec Type2]]="N/A","N/A",IF(AND(Table1[[#This Row],[DUT Adj Read]]&gt;=Table1[[#This Row],[Low Tol]],Table1[[#This Row],[DUT Adj Read]]&lt;=Table1[[#This Row],[High Tol]]),"Pass","Fail"))</f>
        <v>Fail</v>
      </c>
      <c r="AD857" s="1" t="str">
        <f>IF(AND(Table1[[#This Row],[Spec Type2]]="N/A",Table1[[#This Row],[DUT Adj Read]]="N/A",Table1[[#This Row],[Std Adj Read]]="N/A"),"N/A",IF(Table1[[#This Row],[DUT Adj Read]]="N/A",IF(Table1[[#This Row],[Std Adj Read]]&gt;Table1[[#This Row],[Low Tol]],"Pass","Fail"),IF(Table1[[#This Row],[DUT Adj Read]]&gt;Table1[[#This Row],[Low Tol]],"Pass","Fail")))</f>
        <v>Pass</v>
      </c>
      <c r="AE857" s="1" t="str">
        <f>IF(AND(Table1[[#This Row],[Spec Type2]]="N/A",Table1[[#This Row],[DUT Adj Read]]="N/A",Table1[[#This Row],[Std Adj Read]]="N/A"),"N/A",IF(Table1[[#This Row],[DUT Adj Read]]="N/A",IF(Table1[[#This Row],[Std Adj Read]]&lt;Table1[[#This Row],[High Tol]],"Pass","Fail"),IF(Table1[[#This Row],[DUT Adj Read]]&lt;Table1[[#This Row],[High Tol]],"Pass","Fail")))</f>
        <v>Fail</v>
      </c>
      <c r="AF857" s="1" t="str">
        <f>IF(AND(Table1[[#This Row],[Spec Type2]]="N/A",Table1[[#This Row],[DUT Adj Read]]="N/A",Table1[[#This Row],[Std Adj Read]]="N/A"),"N/A",IF(Table1[[#This Row],[DUT Adj Read]]="N/A",IF(Table1[[#This Row],[Std Adj Read]]&gt;=Table1[[#This Row],[Low Tol]],"Pass","Fail"),IF(Table1[[#This Row],[DUT Adj Read]]&gt;=Table1[[#This Row],[Low Tol]],"Pass","Fail")))</f>
        <v>Pass</v>
      </c>
      <c r="AG857" s="1" t="str">
        <f>IF(AND(Table1[[#This Row],[Spec Type2]]="N/A",Table1[[#This Row],[DUT Adj Read]]="N/A",Table1[[#This Row],[Std Adj Read]]="N/A"),"N/A",IF(Table1[[#This Row],[DUT Adj Read]]="N/A",IF(Table1[[#This Row],[Std Adj Read]]&lt;=Table1[[#This Row],[High Tol]],"Pass","Fail"),IF(Table1[[#This Row],[DUT Adj Read]]&lt;=Table1[[#This Row],[High Tol]],"Pass","Fail")))</f>
        <v>Fail</v>
      </c>
      <c r="AH8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7" s="1" t="b">
        <v>0</v>
      </c>
      <c r="AN857" s="1" t="b">
        <v>0</v>
      </c>
      <c r="AO857" s="1" t="b">
        <v>0</v>
      </c>
    </row>
    <row r="858" spans="1:41" x14ac:dyDescent="0.25">
      <c r="A858" s="10"/>
      <c r="B858" s="10"/>
      <c r="C858" s="10"/>
      <c r="D858" s="10"/>
      <c r="E858" s="10"/>
      <c r="F858" s="10"/>
      <c r="G858" s="10"/>
      <c r="H858" s="10"/>
      <c r="I858" s="1" t="str">
        <f t="shared" si="39"/>
        <v/>
      </c>
      <c r="J858" s="1" t="s">
        <v>35</v>
      </c>
      <c r="K858" s="1" t="str">
        <f t="shared" si="40"/>
        <v/>
      </c>
      <c r="L858" s="1" t="str">
        <f t="shared" si="41"/>
        <v/>
      </c>
      <c r="M858" s="1">
        <f>IF(OR(Table1[[#This Row],[Std Nom]]="",Table1[[#This Row],[Std Read]]=""),0,Table1[[#This Row],[Std Nom]]-Table1[[#This Row],[Std Read]])</f>
        <v>0</v>
      </c>
      <c r="N858" s="1">
        <f>IF(Calculations!$F$5="ACCREDITED 17025 WITH UNCERTAINTIES",$N$10,0)</f>
        <v>0</v>
      </c>
      <c r="Q858" s="1">
        <f>Table1[[#This Row],[High Tol]]-Table1[[#This Row],[Low Tol]]</f>
        <v>0</v>
      </c>
      <c r="R858" s="1">
        <f>2*Table1[[#This Row],[Std Error]]</f>
        <v>0</v>
      </c>
      <c r="S858" s="1" t="str">
        <f>IF(Table1[[#This Row],[High Tol]]="","N/A",IFERROR(ABS(Table1[[#This Row],[Tol Span]]/Table1[[#This Row],[Error Span]]),"N/A"))</f>
        <v>N/A</v>
      </c>
      <c r="T858" s="1" t="str">
        <f>IF(OR(Table1[[#This Row],[Low Tol]]="",Table1[[#This Row],[High Tol]]=""),"Needs Analysis",IF(Table1[[#This Row],[Ratio]]&gt;=4,"Not Significant",IF(Table1[[#This Row],[Ratio]]&gt;=2,"Semi-Significant","Significant")))</f>
        <v>Needs Analysis</v>
      </c>
      <c r="W858" s="1">
        <f>IF(Table1[[#This Row],[Cal Type]]&lt;&gt;"ACCREDITED 17025 WITH UNCERTAINTIES",0,"")</f>
        <v>0</v>
      </c>
      <c r="X858" s="1" t="str">
        <f>IF(Table1[[#This Row],[DUT Read]]="","N/A",Table1[[#This Row],[Std Error]]+Table1[[#This Row],[DUT Read]]+Table1[[#This Row],[DUT Ucty]])</f>
        <v>N/A</v>
      </c>
      <c r="Y858" s="1" t="str">
        <f>IF(Table1[[#This Row],[Std Read]]="","N/A",Table1[[#This Row],[Std Read]]+Table1[[#This Row],[Std Ucty]])</f>
        <v>N/A</v>
      </c>
      <c r="Z8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8" s="1" t="str">
        <f>IF(Table1[[#This Row],[Spec Type]]="","N/A",Table1[[#This Row],[Spec Type]])</f>
        <v>±</v>
      </c>
      <c r="AC858" s="1" t="str">
        <f>IF(Table1[[#This Row],[Spec Type2]]="N/A","N/A",IF(AND(Table1[[#This Row],[DUT Adj Read]]&gt;=Table1[[#This Row],[Low Tol]],Table1[[#This Row],[DUT Adj Read]]&lt;=Table1[[#This Row],[High Tol]]),"Pass","Fail"))</f>
        <v>Fail</v>
      </c>
      <c r="AD858" s="1" t="str">
        <f>IF(AND(Table1[[#This Row],[Spec Type2]]="N/A",Table1[[#This Row],[DUT Adj Read]]="N/A",Table1[[#This Row],[Std Adj Read]]="N/A"),"N/A",IF(Table1[[#This Row],[DUT Adj Read]]="N/A",IF(Table1[[#This Row],[Std Adj Read]]&gt;Table1[[#This Row],[Low Tol]],"Pass","Fail"),IF(Table1[[#This Row],[DUT Adj Read]]&gt;Table1[[#This Row],[Low Tol]],"Pass","Fail")))</f>
        <v>Pass</v>
      </c>
      <c r="AE858" s="1" t="str">
        <f>IF(AND(Table1[[#This Row],[Spec Type2]]="N/A",Table1[[#This Row],[DUT Adj Read]]="N/A",Table1[[#This Row],[Std Adj Read]]="N/A"),"N/A",IF(Table1[[#This Row],[DUT Adj Read]]="N/A",IF(Table1[[#This Row],[Std Adj Read]]&lt;Table1[[#This Row],[High Tol]],"Pass","Fail"),IF(Table1[[#This Row],[DUT Adj Read]]&lt;Table1[[#This Row],[High Tol]],"Pass","Fail")))</f>
        <v>Fail</v>
      </c>
      <c r="AF858" s="1" t="str">
        <f>IF(AND(Table1[[#This Row],[Spec Type2]]="N/A",Table1[[#This Row],[DUT Adj Read]]="N/A",Table1[[#This Row],[Std Adj Read]]="N/A"),"N/A",IF(Table1[[#This Row],[DUT Adj Read]]="N/A",IF(Table1[[#This Row],[Std Adj Read]]&gt;=Table1[[#This Row],[Low Tol]],"Pass","Fail"),IF(Table1[[#This Row],[DUT Adj Read]]&gt;=Table1[[#This Row],[Low Tol]],"Pass","Fail")))</f>
        <v>Pass</v>
      </c>
      <c r="AG858" s="1" t="str">
        <f>IF(AND(Table1[[#This Row],[Spec Type2]]="N/A",Table1[[#This Row],[DUT Adj Read]]="N/A",Table1[[#This Row],[Std Adj Read]]="N/A"),"N/A",IF(Table1[[#This Row],[DUT Adj Read]]="N/A",IF(Table1[[#This Row],[Std Adj Read]]&lt;=Table1[[#This Row],[High Tol]],"Pass","Fail"),IF(Table1[[#This Row],[DUT Adj Read]]&lt;=Table1[[#This Row],[High Tol]],"Pass","Fail")))</f>
        <v>Fail</v>
      </c>
      <c r="AH8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8" s="1" t="b">
        <v>0</v>
      </c>
      <c r="AN858" s="1" t="b">
        <v>0</v>
      </c>
      <c r="AO858" s="1" t="b">
        <v>0</v>
      </c>
    </row>
    <row r="859" spans="1:41" x14ac:dyDescent="0.25">
      <c r="A859" s="10"/>
      <c r="B859" s="10"/>
      <c r="C859" s="10"/>
      <c r="D859" s="10"/>
      <c r="E859" s="10"/>
      <c r="F859" s="10"/>
      <c r="G859" s="10"/>
      <c r="H859" s="10"/>
      <c r="I859" s="1" t="str">
        <f t="shared" si="39"/>
        <v/>
      </c>
      <c r="J859" s="1" t="s">
        <v>35</v>
      </c>
      <c r="K859" s="1" t="str">
        <f t="shared" si="40"/>
        <v/>
      </c>
      <c r="L859" s="1" t="str">
        <f t="shared" si="41"/>
        <v/>
      </c>
      <c r="M859" s="1">
        <f>IF(OR(Table1[[#This Row],[Std Nom]]="",Table1[[#This Row],[Std Read]]=""),0,Table1[[#This Row],[Std Nom]]-Table1[[#This Row],[Std Read]])</f>
        <v>0</v>
      </c>
      <c r="N859" s="1">
        <f>IF(Calculations!$F$5="ACCREDITED 17025 WITH UNCERTAINTIES",$N$10,0)</f>
        <v>0</v>
      </c>
      <c r="Q859" s="1">
        <f>Table1[[#This Row],[High Tol]]-Table1[[#This Row],[Low Tol]]</f>
        <v>0</v>
      </c>
      <c r="R859" s="1">
        <f>2*Table1[[#This Row],[Std Error]]</f>
        <v>0</v>
      </c>
      <c r="S859" s="1" t="str">
        <f>IF(Table1[[#This Row],[High Tol]]="","N/A",IFERROR(ABS(Table1[[#This Row],[Tol Span]]/Table1[[#This Row],[Error Span]]),"N/A"))</f>
        <v>N/A</v>
      </c>
      <c r="T859" s="1" t="str">
        <f>IF(OR(Table1[[#This Row],[Low Tol]]="",Table1[[#This Row],[High Tol]]=""),"Needs Analysis",IF(Table1[[#This Row],[Ratio]]&gt;=4,"Not Significant",IF(Table1[[#This Row],[Ratio]]&gt;=2,"Semi-Significant","Significant")))</f>
        <v>Needs Analysis</v>
      </c>
      <c r="W859" s="1">
        <f>IF(Table1[[#This Row],[Cal Type]]&lt;&gt;"ACCREDITED 17025 WITH UNCERTAINTIES",0,"")</f>
        <v>0</v>
      </c>
      <c r="X859" s="1" t="str">
        <f>IF(Table1[[#This Row],[DUT Read]]="","N/A",Table1[[#This Row],[Std Error]]+Table1[[#This Row],[DUT Read]]+Table1[[#This Row],[DUT Ucty]])</f>
        <v>N/A</v>
      </c>
      <c r="Y859" s="1" t="str">
        <f>IF(Table1[[#This Row],[Std Read]]="","N/A",Table1[[#This Row],[Std Read]]+Table1[[#This Row],[Std Ucty]])</f>
        <v>N/A</v>
      </c>
      <c r="Z8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59" s="1" t="str">
        <f>IF(Table1[[#This Row],[Spec Type]]="","N/A",Table1[[#This Row],[Spec Type]])</f>
        <v>±</v>
      </c>
      <c r="AC859" s="1" t="str">
        <f>IF(Table1[[#This Row],[Spec Type2]]="N/A","N/A",IF(AND(Table1[[#This Row],[DUT Adj Read]]&gt;=Table1[[#This Row],[Low Tol]],Table1[[#This Row],[DUT Adj Read]]&lt;=Table1[[#This Row],[High Tol]]),"Pass","Fail"))</f>
        <v>Fail</v>
      </c>
      <c r="AD859" s="1" t="str">
        <f>IF(AND(Table1[[#This Row],[Spec Type2]]="N/A",Table1[[#This Row],[DUT Adj Read]]="N/A",Table1[[#This Row],[Std Adj Read]]="N/A"),"N/A",IF(Table1[[#This Row],[DUT Adj Read]]="N/A",IF(Table1[[#This Row],[Std Adj Read]]&gt;Table1[[#This Row],[Low Tol]],"Pass","Fail"),IF(Table1[[#This Row],[DUT Adj Read]]&gt;Table1[[#This Row],[Low Tol]],"Pass","Fail")))</f>
        <v>Pass</v>
      </c>
      <c r="AE859" s="1" t="str">
        <f>IF(AND(Table1[[#This Row],[Spec Type2]]="N/A",Table1[[#This Row],[DUT Adj Read]]="N/A",Table1[[#This Row],[Std Adj Read]]="N/A"),"N/A",IF(Table1[[#This Row],[DUT Adj Read]]="N/A",IF(Table1[[#This Row],[Std Adj Read]]&lt;Table1[[#This Row],[High Tol]],"Pass","Fail"),IF(Table1[[#This Row],[DUT Adj Read]]&lt;Table1[[#This Row],[High Tol]],"Pass","Fail")))</f>
        <v>Fail</v>
      </c>
      <c r="AF859" s="1" t="str">
        <f>IF(AND(Table1[[#This Row],[Spec Type2]]="N/A",Table1[[#This Row],[DUT Adj Read]]="N/A",Table1[[#This Row],[Std Adj Read]]="N/A"),"N/A",IF(Table1[[#This Row],[DUT Adj Read]]="N/A",IF(Table1[[#This Row],[Std Adj Read]]&gt;=Table1[[#This Row],[Low Tol]],"Pass","Fail"),IF(Table1[[#This Row],[DUT Adj Read]]&gt;=Table1[[#This Row],[Low Tol]],"Pass","Fail")))</f>
        <v>Pass</v>
      </c>
      <c r="AG859" s="1" t="str">
        <f>IF(AND(Table1[[#This Row],[Spec Type2]]="N/A",Table1[[#This Row],[DUT Adj Read]]="N/A",Table1[[#This Row],[Std Adj Read]]="N/A"),"N/A",IF(Table1[[#This Row],[DUT Adj Read]]="N/A",IF(Table1[[#This Row],[Std Adj Read]]&lt;=Table1[[#This Row],[High Tol]],"Pass","Fail"),IF(Table1[[#This Row],[DUT Adj Read]]&lt;=Table1[[#This Row],[High Tol]],"Pass","Fail")))</f>
        <v>Fail</v>
      </c>
      <c r="AH8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59" s="1" t="b">
        <v>0</v>
      </c>
      <c r="AN859" s="1" t="b">
        <v>0</v>
      </c>
      <c r="AO859" s="1" t="b">
        <v>0</v>
      </c>
    </row>
    <row r="860" spans="1:41" x14ac:dyDescent="0.25">
      <c r="A860" s="10"/>
      <c r="B860" s="10"/>
      <c r="C860" s="10"/>
      <c r="D860" s="10"/>
      <c r="E860" s="10"/>
      <c r="F860" s="10"/>
      <c r="G860" s="10"/>
      <c r="H860" s="10"/>
      <c r="I860" s="1" t="str">
        <f t="shared" si="39"/>
        <v/>
      </c>
      <c r="J860" s="1" t="s">
        <v>35</v>
      </c>
      <c r="K860" s="1" t="str">
        <f t="shared" si="40"/>
        <v/>
      </c>
      <c r="L860" s="1" t="str">
        <f t="shared" si="41"/>
        <v/>
      </c>
      <c r="M860" s="1">
        <f>IF(OR(Table1[[#This Row],[Std Nom]]="",Table1[[#This Row],[Std Read]]=""),0,Table1[[#This Row],[Std Nom]]-Table1[[#This Row],[Std Read]])</f>
        <v>0</v>
      </c>
      <c r="N860" s="1">
        <f>IF(Calculations!$F$5="ACCREDITED 17025 WITH UNCERTAINTIES",$N$10,0)</f>
        <v>0</v>
      </c>
      <c r="Q860" s="1">
        <f>Table1[[#This Row],[High Tol]]-Table1[[#This Row],[Low Tol]]</f>
        <v>0</v>
      </c>
      <c r="R860" s="1">
        <f>2*Table1[[#This Row],[Std Error]]</f>
        <v>0</v>
      </c>
      <c r="S860" s="1" t="str">
        <f>IF(Table1[[#This Row],[High Tol]]="","N/A",IFERROR(ABS(Table1[[#This Row],[Tol Span]]/Table1[[#This Row],[Error Span]]),"N/A"))</f>
        <v>N/A</v>
      </c>
      <c r="T860" s="1" t="str">
        <f>IF(OR(Table1[[#This Row],[Low Tol]]="",Table1[[#This Row],[High Tol]]=""),"Needs Analysis",IF(Table1[[#This Row],[Ratio]]&gt;=4,"Not Significant",IF(Table1[[#This Row],[Ratio]]&gt;=2,"Semi-Significant","Significant")))</f>
        <v>Needs Analysis</v>
      </c>
      <c r="W860" s="1">
        <f>IF(Table1[[#This Row],[Cal Type]]&lt;&gt;"ACCREDITED 17025 WITH UNCERTAINTIES",0,"")</f>
        <v>0</v>
      </c>
      <c r="X860" s="1" t="str">
        <f>IF(Table1[[#This Row],[DUT Read]]="","N/A",Table1[[#This Row],[Std Error]]+Table1[[#This Row],[DUT Read]]+Table1[[#This Row],[DUT Ucty]])</f>
        <v>N/A</v>
      </c>
      <c r="Y860" s="1" t="str">
        <f>IF(Table1[[#This Row],[Std Read]]="","N/A",Table1[[#This Row],[Std Read]]+Table1[[#This Row],[Std Ucty]])</f>
        <v>N/A</v>
      </c>
      <c r="Z8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0" s="1" t="str">
        <f>IF(Table1[[#This Row],[Spec Type]]="","N/A",Table1[[#This Row],[Spec Type]])</f>
        <v>±</v>
      </c>
      <c r="AC860" s="1" t="str">
        <f>IF(Table1[[#This Row],[Spec Type2]]="N/A","N/A",IF(AND(Table1[[#This Row],[DUT Adj Read]]&gt;=Table1[[#This Row],[Low Tol]],Table1[[#This Row],[DUT Adj Read]]&lt;=Table1[[#This Row],[High Tol]]),"Pass","Fail"))</f>
        <v>Fail</v>
      </c>
      <c r="AD860" s="1" t="str">
        <f>IF(AND(Table1[[#This Row],[Spec Type2]]="N/A",Table1[[#This Row],[DUT Adj Read]]="N/A",Table1[[#This Row],[Std Adj Read]]="N/A"),"N/A",IF(Table1[[#This Row],[DUT Adj Read]]="N/A",IF(Table1[[#This Row],[Std Adj Read]]&gt;Table1[[#This Row],[Low Tol]],"Pass","Fail"),IF(Table1[[#This Row],[DUT Adj Read]]&gt;Table1[[#This Row],[Low Tol]],"Pass","Fail")))</f>
        <v>Pass</v>
      </c>
      <c r="AE860" s="1" t="str">
        <f>IF(AND(Table1[[#This Row],[Spec Type2]]="N/A",Table1[[#This Row],[DUT Adj Read]]="N/A",Table1[[#This Row],[Std Adj Read]]="N/A"),"N/A",IF(Table1[[#This Row],[DUT Adj Read]]="N/A",IF(Table1[[#This Row],[Std Adj Read]]&lt;Table1[[#This Row],[High Tol]],"Pass","Fail"),IF(Table1[[#This Row],[DUT Adj Read]]&lt;Table1[[#This Row],[High Tol]],"Pass","Fail")))</f>
        <v>Fail</v>
      </c>
      <c r="AF860" s="1" t="str">
        <f>IF(AND(Table1[[#This Row],[Spec Type2]]="N/A",Table1[[#This Row],[DUT Adj Read]]="N/A",Table1[[#This Row],[Std Adj Read]]="N/A"),"N/A",IF(Table1[[#This Row],[DUT Adj Read]]="N/A",IF(Table1[[#This Row],[Std Adj Read]]&gt;=Table1[[#This Row],[Low Tol]],"Pass","Fail"),IF(Table1[[#This Row],[DUT Adj Read]]&gt;=Table1[[#This Row],[Low Tol]],"Pass","Fail")))</f>
        <v>Pass</v>
      </c>
      <c r="AG860" s="1" t="str">
        <f>IF(AND(Table1[[#This Row],[Spec Type2]]="N/A",Table1[[#This Row],[DUT Adj Read]]="N/A",Table1[[#This Row],[Std Adj Read]]="N/A"),"N/A",IF(Table1[[#This Row],[DUT Adj Read]]="N/A",IF(Table1[[#This Row],[Std Adj Read]]&lt;=Table1[[#This Row],[High Tol]],"Pass","Fail"),IF(Table1[[#This Row],[DUT Adj Read]]&lt;=Table1[[#This Row],[High Tol]],"Pass","Fail")))</f>
        <v>Fail</v>
      </c>
      <c r="AH8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0" s="1" t="b">
        <v>0</v>
      </c>
      <c r="AN860" s="1" t="b">
        <v>0</v>
      </c>
      <c r="AO860" s="1" t="b">
        <v>0</v>
      </c>
    </row>
    <row r="861" spans="1:41" x14ac:dyDescent="0.25">
      <c r="A861" s="10"/>
      <c r="B861" s="10"/>
      <c r="C861" s="10"/>
      <c r="D861" s="10"/>
      <c r="E861" s="10"/>
      <c r="F861" s="10"/>
      <c r="G861" s="10"/>
      <c r="H861" s="10"/>
      <c r="I861" s="1" t="str">
        <f t="shared" si="39"/>
        <v/>
      </c>
      <c r="J861" s="1" t="s">
        <v>35</v>
      </c>
      <c r="K861" s="1" t="str">
        <f t="shared" si="40"/>
        <v/>
      </c>
      <c r="L861" s="1" t="str">
        <f t="shared" si="41"/>
        <v/>
      </c>
      <c r="M861" s="1">
        <f>IF(OR(Table1[[#This Row],[Std Nom]]="",Table1[[#This Row],[Std Read]]=""),0,Table1[[#This Row],[Std Nom]]-Table1[[#This Row],[Std Read]])</f>
        <v>0</v>
      </c>
      <c r="N861" s="1">
        <f>IF(Calculations!$F$5="ACCREDITED 17025 WITH UNCERTAINTIES",$N$10,0)</f>
        <v>0</v>
      </c>
      <c r="Q861" s="1">
        <f>Table1[[#This Row],[High Tol]]-Table1[[#This Row],[Low Tol]]</f>
        <v>0</v>
      </c>
      <c r="R861" s="1">
        <f>2*Table1[[#This Row],[Std Error]]</f>
        <v>0</v>
      </c>
      <c r="S861" s="1" t="str">
        <f>IF(Table1[[#This Row],[High Tol]]="","N/A",IFERROR(ABS(Table1[[#This Row],[Tol Span]]/Table1[[#This Row],[Error Span]]),"N/A"))</f>
        <v>N/A</v>
      </c>
      <c r="T861" s="1" t="str">
        <f>IF(OR(Table1[[#This Row],[Low Tol]]="",Table1[[#This Row],[High Tol]]=""),"Needs Analysis",IF(Table1[[#This Row],[Ratio]]&gt;=4,"Not Significant",IF(Table1[[#This Row],[Ratio]]&gt;=2,"Semi-Significant","Significant")))</f>
        <v>Needs Analysis</v>
      </c>
      <c r="W861" s="1">
        <f>IF(Table1[[#This Row],[Cal Type]]&lt;&gt;"ACCREDITED 17025 WITH UNCERTAINTIES",0,"")</f>
        <v>0</v>
      </c>
      <c r="X861" s="1" t="str">
        <f>IF(Table1[[#This Row],[DUT Read]]="","N/A",Table1[[#This Row],[Std Error]]+Table1[[#This Row],[DUT Read]]+Table1[[#This Row],[DUT Ucty]])</f>
        <v>N/A</v>
      </c>
      <c r="Y861" s="1" t="str">
        <f>IF(Table1[[#This Row],[Std Read]]="","N/A",Table1[[#This Row],[Std Read]]+Table1[[#This Row],[Std Ucty]])</f>
        <v>N/A</v>
      </c>
      <c r="Z8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1" s="1" t="str">
        <f>IF(Table1[[#This Row],[Spec Type]]="","N/A",Table1[[#This Row],[Spec Type]])</f>
        <v>±</v>
      </c>
      <c r="AC861" s="1" t="str">
        <f>IF(Table1[[#This Row],[Spec Type2]]="N/A","N/A",IF(AND(Table1[[#This Row],[DUT Adj Read]]&gt;=Table1[[#This Row],[Low Tol]],Table1[[#This Row],[DUT Adj Read]]&lt;=Table1[[#This Row],[High Tol]]),"Pass","Fail"))</f>
        <v>Fail</v>
      </c>
      <c r="AD861" s="1" t="str">
        <f>IF(AND(Table1[[#This Row],[Spec Type2]]="N/A",Table1[[#This Row],[DUT Adj Read]]="N/A",Table1[[#This Row],[Std Adj Read]]="N/A"),"N/A",IF(Table1[[#This Row],[DUT Adj Read]]="N/A",IF(Table1[[#This Row],[Std Adj Read]]&gt;Table1[[#This Row],[Low Tol]],"Pass","Fail"),IF(Table1[[#This Row],[DUT Adj Read]]&gt;Table1[[#This Row],[Low Tol]],"Pass","Fail")))</f>
        <v>Pass</v>
      </c>
      <c r="AE861" s="1" t="str">
        <f>IF(AND(Table1[[#This Row],[Spec Type2]]="N/A",Table1[[#This Row],[DUT Adj Read]]="N/A",Table1[[#This Row],[Std Adj Read]]="N/A"),"N/A",IF(Table1[[#This Row],[DUT Adj Read]]="N/A",IF(Table1[[#This Row],[Std Adj Read]]&lt;Table1[[#This Row],[High Tol]],"Pass","Fail"),IF(Table1[[#This Row],[DUT Adj Read]]&lt;Table1[[#This Row],[High Tol]],"Pass","Fail")))</f>
        <v>Fail</v>
      </c>
      <c r="AF861" s="1" t="str">
        <f>IF(AND(Table1[[#This Row],[Spec Type2]]="N/A",Table1[[#This Row],[DUT Adj Read]]="N/A",Table1[[#This Row],[Std Adj Read]]="N/A"),"N/A",IF(Table1[[#This Row],[DUT Adj Read]]="N/A",IF(Table1[[#This Row],[Std Adj Read]]&gt;=Table1[[#This Row],[Low Tol]],"Pass","Fail"),IF(Table1[[#This Row],[DUT Adj Read]]&gt;=Table1[[#This Row],[Low Tol]],"Pass","Fail")))</f>
        <v>Pass</v>
      </c>
      <c r="AG861" s="1" t="str">
        <f>IF(AND(Table1[[#This Row],[Spec Type2]]="N/A",Table1[[#This Row],[DUT Adj Read]]="N/A",Table1[[#This Row],[Std Adj Read]]="N/A"),"N/A",IF(Table1[[#This Row],[DUT Adj Read]]="N/A",IF(Table1[[#This Row],[Std Adj Read]]&lt;=Table1[[#This Row],[High Tol]],"Pass","Fail"),IF(Table1[[#This Row],[DUT Adj Read]]&lt;=Table1[[#This Row],[High Tol]],"Pass","Fail")))</f>
        <v>Fail</v>
      </c>
      <c r="AH8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1" s="1" t="b">
        <v>0</v>
      </c>
      <c r="AN861" s="1" t="b">
        <v>0</v>
      </c>
      <c r="AO861" s="1" t="b">
        <v>0</v>
      </c>
    </row>
    <row r="862" spans="1:41" x14ac:dyDescent="0.25">
      <c r="A862" s="10"/>
      <c r="B862" s="10"/>
      <c r="C862" s="10"/>
      <c r="D862" s="10"/>
      <c r="E862" s="10"/>
      <c r="F862" s="10"/>
      <c r="G862" s="10"/>
      <c r="H862" s="10"/>
      <c r="I862" s="1" t="str">
        <f t="shared" si="39"/>
        <v/>
      </c>
      <c r="J862" s="1" t="s">
        <v>35</v>
      </c>
      <c r="K862" s="1" t="str">
        <f t="shared" si="40"/>
        <v/>
      </c>
      <c r="L862" s="1" t="str">
        <f t="shared" si="41"/>
        <v/>
      </c>
      <c r="M862" s="1">
        <f>IF(OR(Table1[[#This Row],[Std Nom]]="",Table1[[#This Row],[Std Read]]=""),0,Table1[[#This Row],[Std Nom]]-Table1[[#This Row],[Std Read]])</f>
        <v>0</v>
      </c>
      <c r="N862" s="1">
        <f>IF(Calculations!$F$5="ACCREDITED 17025 WITH UNCERTAINTIES",$N$10,0)</f>
        <v>0</v>
      </c>
      <c r="Q862" s="1">
        <f>Table1[[#This Row],[High Tol]]-Table1[[#This Row],[Low Tol]]</f>
        <v>0</v>
      </c>
      <c r="R862" s="1">
        <f>2*Table1[[#This Row],[Std Error]]</f>
        <v>0</v>
      </c>
      <c r="S862" s="1" t="str">
        <f>IF(Table1[[#This Row],[High Tol]]="","N/A",IFERROR(ABS(Table1[[#This Row],[Tol Span]]/Table1[[#This Row],[Error Span]]),"N/A"))</f>
        <v>N/A</v>
      </c>
      <c r="T862" s="1" t="str">
        <f>IF(OR(Table1[[#This Row],[Low Tol]]="",Table1[[#This Row],[High Tol]]=""),"Needs Analysis",IF(Table1[[#This Row],[Ratio]]&gt;=4,"Not Significant",IF(Table1[[#This Row],[Ratio]]&gt;=2,"Semi-Significant","Significant")))</f>
        <v>Needs Analysis</v>
      </c>
      <c r="W862" s="1">
        <f>IF(Table1[[#This Row],[Cal Type]]&lt;&gt;"ACCREDITED 17025 WITH UNCERTAINTIES",0,"")</f>
        <v>0</v>
      </c>
      <c r="X862" s="1" t="str">
        <f>IF(Table1[[#This Row],[DUT Read]]="","N/A",Table1[[#This Row],[Std Error]]+Table1[[#This Row],[DUT Read]]+Table1[[#This Row],[DUT Ucty]])</f>
        <v>N/A</v>
      </c>
      <c r="Y862" s="1" t="str">
        <f>IF(Table1[[#This Row],[Std Read]]="","N/A",Table1[[#This Row],[Std Read]]+Table1[[#This Row],[Std Ucty]])</f>
        <v>N/A</v>
      </c>
      <c r="Z8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2" s="1" t="str">
        <f>IF(Table1[[#This Row],[Spec Type]]="","N/A",Table1[[#This Row],[Spec Type]])</f>
        <v>±</v>
      </c>
      <c r="AC862" s="1" t="str">
        <f>IF(Table1[[#This Row],[Spec Type2]]="N/A","N/A",IF(AND(Table1[[#This Row],[DUT Adj Read]]&gt;=Table1[[#This Row],[Low Tol]],Table1[[#This Row],[DUT Adj Read]]&lt;=Table1[[#This Row],[High Tol]]),"Pass","Fail"))</f>
        <v>Fail</v>
      </c>
      <c r="AD862" s="1" t="str">
        <f>IF(AND(Table1[[#This Row],[Spec Type2]]="N/A",Table1[[#This Row],[DUT Adj Read]]="N/A",Table1[[#This Row],[Std Adj Read]]="N/A"),"N/A",IF(Table1[[#This Row],[DUT Adj Read]]="N/A",IF(Table1[[#This Row],[Std Adj Read]]&gt;Table1[[#This Row],[Low Tol]],"Pass","Fail"),IF(Table1[[#This Row],[DUT Adj Read]]&gt;Table1[[#This Row],[Low Tol]],"Pass","Fail")))</f>
        <v>Pass</v>
      </c>
      <c r="AE862" s="1" t="str">
        <f>IF(AND(Table1[[#This Row],[Spec Type2]]="N/A",Table1[[#This Row],[DUT Adj Read]]="N/A",Table1[[#This Row],[Std Adj Read]]="N/A"),"N/A",IF(Table1[[#This Row],[DUT Adj Read]]="N/A",IF(Table1[[#This Row],[Std Adj Read]]&lt;Table1[[#This Row],[High Tol]],"Pass","Fail"),IF(Table1[[#This Row],[DUT Adj Read]]&lt;Table1[[#This Row],[High Tol]],"Pass","Fail")))</f>
        <v>Fail</v>
      </c>
      <c r="AF862" s="1" t="str">
        <f>IF(AND(Table1[[#This Row],[Spec Type2]]="N/A",Table1[[#This Row],[DUT Adj Read]]="N/A",Table1[[#This Row],[Std Adj Read]]="N/A"),"N/A",IF(Table1[[#This Row],[DUT Adj Read]]="N/A",IF(Table1[[#This Row],[Std Adj Read]]&gt;=Table1[[#This Row],[Low Tol]],"Pass","Fail"),IF(Table1[[#This Row],[DUT Adj Read]]&gt;=Table1[[#This Row],[Low Tol]],"Pass","Fail")))</f>
        <v>Pass</v>
      </c>
      <c r="AG862" s="1" t="str">
        <f>IF(AND(Table1[[#This Row],[Spec Type2]]="N/A",Table1[[#This Row],[DUT Adj Read]]="N/A",Table1[[#This Row],[Std Adj Read]]="N/A"),"N/A",IF(Table1[[#This Row],[DUT Adj Read]]="N/A",IF(Table1[[#This Row],[Std Adj Read]]&lt;=Table1[[#This Row],[High Tol]],"Pass","Fail"),IF(Table1[[#This Row],[DUT Adj Read]]&lt;=Table1[[#This Row],[High Tol]],"Pass","Fail")))</f>
        <v>Fail</v>
      </c>
      <c r="AH8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2" s="1" t="b">
        <v>0</v>
      </c>
      <c r="AN862" s="1" t="b">
        <v>0</v>
      </c>
      <c r="AO862" s="1" t="b">
        <v>0</v>
      </c>
    </row>
    <row r="863" spans="1:41" x14ac:dyDescent="0.25">
      <c r="A863" s="10"/>
      <c r="B863" s="10"/>
      <c r="C863" s="10"/>
      <c r="D863" s="10"/>
      <c r="E863" s="10"/>
      <c r="F863" s="10"/>
      <c r="G863" s="10"/>
      <c r="H863" s="10"/>
      <c r="I863" s="1" t="str">
        <f t="shared" si="39"/>
        <v/>
      </c>
      <c r="J863" s="1" t="s">
        <v>35</v>
      </c>
      <c r="K863" s="1" t="str">
        <f t="shared" si="40"/>
        <v/>
      </c>
      <c r="L863" s="1" t="str">
        <f t="shared" si="41"/>
        <v/>
      </c>
      <c r="M863" s="1">
        <f>IF(OR(Table1[[#This Row],[Std Nom]]="",Table1[[#This Row],[Std Read]]=""),0,Table1[[#This Row],[Std Nom]]-Table1[[#This Row],[Std Read]])</f>
        <v>0</v>
      </c>
      <c r="N863" s="1">
        <f>IF(Calculations!$F$5="ACCREDITED 17025 WITH UNCERTAINTIES",$N$10,0)</f>
        <v>0</v>
      </c>
      <c r="Q863" s="1">
        <f>Table1[[#This Row],[High Tol]]-Table1[[#This Row],[Low Tol]]</f>
        <v>0</v>
      </c>
      <c r="R863" s="1">
        <f>2*Table1[[#This Row],[Std Error]]</f>
        <v>0</v>
      </c>
      <c r="S863" s="1" t="str">
        <f>IF(Table1[[#This Row],[High Tol]]="","N/A",IFERROR(ABS(Table1[[#This Row],[Tol Span]]/Table1[[#This Row],[Error Span]]),"N/A"))</f>
        <v>N/A</v>
      </c>
      <c r="T863" s="1" t="str">
        <f>IF(OR(Table1[[#This Row],[Low Tol]]="",Table1[[#This Row],[High Tol]]=""),"Needs Analysis",IF(Table1[[#This Row],[Ratio]]&gt;=4,"Not Significant",IF(Table1[[#This Row],[Ratio]]&gt;=2,"Semi-Significant","Significant")))</f>
        <v>Needs Analysis</v>
      </c>
      <c r="W863" s="1">
        <f>IF(Table1[[#This Row],[Cal Type]]&lt;&gt;"ACCREDITED 17025 WITH UNCERTAINTIES",0,"")</f>
        <v>0</v>
      </c>
      <c r="X863" s="1" t="str">
        <f>IF(Table1[[#This Row],[DUT Read]]="","N/A",Table1[[#This Row],[Std Error]]+Table1[[#This Row],[DUT Read]]+Table1[[#This Row],[DUT Ucty]])</f>
        <v>N/A</v>
      </c>
      <c r="Y863" s="1" t="str">
        <f>IF(Table1[[#This Row],[Std Read]]="","N/A",Table1[[#This Row],[Std Read]]+Table1[[#This Row],[Std Ucty]])</f>
        <v>N/A</v>
      </c>
      <c r="Z8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3" s="1" t="str">
        <f>IF(Table1[[#This Row],[Spec Type]]="","N/A",Table1[[#This Row],[Spec Type]])</f>
        <v>±</v>
      </c>
      <c r="AC863" s="1" t="str">
        <f>IF(Table1[[#This Row],[Spec Type2]]="N/A","N/A",IF(AND(Table1[[#This Row],[DUT Adj Read]]&gt;=Table1[[#This Row],[Low Tol]],Table1[[#This Row],[DUT Adj Read]]&lt;=Table1[[#This Row],[High Tol]]),"Pass","Fail"))</f>
        <v>Fail</v>
      </c>
      <c r="AD863" s="1" t="str">
        <f>IF(AND(Table1[[#This Row],[Spec Type2]]="N/A",Table1[[#This Row],[DUT Adj Read]]="N/A",Table1[[#This Row],[Std Adj Read]]="N/A"),"N/A",IF(Table1[[#This Row],[DUT Adj Read]]="N/A",IF(Table1[[#This Row],[Std Adj Read]]&gt;Table1[[#This Row],[Low Tol]],"Pass","Fail"),IF(Table1[[#This Row],[DUT Adj Read]]&gt;Table1[[#This Row],[Low Tol]],"Pass","Fail")))</f>
        <v>Pass</v>
      </c>
      <c r="AE863" s="1" t="str">
        <f>IF(AND(Table1[[#This Row],[Spec Type2]]="N/A",Table1[[#This Row],[DUT Adj Read]]="N/A",Table1[[#This Row],[Std Adj Read]]="N/A"),"N/A",IF(Table1[[#This Row],[DUT Adj Read]]="N/A",IF(Table1[[#This Row],[Std Adj Read]]&lt;Table1[[#This Row],[High Tol]],"Pass","Fail"),IF(Table1[[#This Row],[DUT Adj Read]]&lt;Table1[[#This Row],[High Tol]],"Pass","Fail")))</f>
        <v>Fail</v>
      </c>
      <c r="AF863" s="1" t="str">
        <f>IF(AND(Table1[[#This Row],[Spec Type2]]="N/A",Table1[[#This Row],[DUT Adj Read]]="N/A",Table1[[#This Row],[Std Adj Read]]="N/A"),"N/A",IF(Table1[[#This Row],[DUT Adj Read]]="N/A",IF(Table1[[#This Row],[Std Adj Read]]&gt;=Table1[[#This Row],[Low Tol]],"Pass","Fail"),IF(Table1[[#This Row],[DUT Adj Read]]&gt;=Table1[[#This Row],[Low Tol]],"Pass","Fail")))</f>
        <v>Pass</v>
      </c>
      <c r="AG863" s="1" t="str">
        <f>IF(AND(Table1[[#This Row],[Spec Type2]]="N/A",Table1[[#This Row],[DUT Adj Read]]="N/A",Table1[[#This Row],[Std Adj Read]]="N/A"),"N/A",IF(Table1[[#This Row],[DUT Adj Read]]="N/A",IF(Table1[[#This Row],[Std Adj Read]]&lt;=Table1[[#This Row],[High Tol]],"Pass","Fail"),IF(Table1[[#This Row],[DUT Adj Read]]&lt;=Table1[[#This Row],[High Tol]],"Pass","Fail")))</f>
        <v>Fail</v>
      </c>
      <c r="AH8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3" s="1" t="b">
        <v>0</v>
      </c>
      <c r="AN863" s="1" t="b">
        <v>0</v>
      </c>
      <c r="AO863" s="1" t="b">
        <v>0</v>
      </c>
    </row>
    <row r="864" spans="1:41" x14ac:dyDescent="0.25">
      <c r="A864" s="10"/>
      <c r="B864" s="10"/>
      <c r="C864" s="10"/>
      <c r="D864" s="10"/>
      <c r="E864" s="10"/>
      <c r="F864" s="10"/>
      <c r="G864" s="10"/>
      <c r="H864" s="10"/>
      <c r="I864" s="1" t="str">
        <f t="shared" si="39"/>
        <v/>
      </c>
      <c r="J864" s="1" t="s">
        <v>35</v>
      </c>
      <c r="K864" s="1" t="str">
        <f t="shared" si="40"/>
        <v/>
      </c>
      <c r="L864" s="1" t="str">
        <f t="shared" si="41"/>
        <v/>
      </c>
      <c r="M864" s="1">
        <f>IF(OR(Table1[[#This Row],[Std Nom]]="",Table1[[#This Row],[Std Read]]=""),0,Table1[[#This Row],[Std Nom]]-Table1[[#This Row],[Std Read]])</f>
        <v>0</v>
      </c>
      <c r="N864" s="1">
        <f>IF(Calculations!$F$5="ACCREDITED 17025 WITH UNCERTAINTIES",$N$10,0)</f>
        <v>0</v>
      </c>
      <c r="Q864" s="1">
        <f>Table1[[#This Row],[High Tol]]-Table1[[#This Row],[Low Tol]]</f>
        <v>0</v>
      </c>
      <c r="R864" s="1">
        <f>2*Table1[[#This Row],[Std Error]]</f>
        <v>0</v>
      </c>
      <c r="S864" s="1" t="str">
        <f>IF(Table1[[#This Row],[High Tol]]="","N/A",IFERROR(ABS(Table1[[#This Row],[Tol Span]]/Table1[[#This Row],[Error Span]]),"N/A"))</f>
        <v>N/A</v>
      </c>
      <c r="T864" s="1" t="str">
        <f>IF(OR(Table1[[#This Row],[Low Tol]]="",Table1[[#This Row],[High Tol]]=""),"Needs Analysis",IF(Table1[[#This Row],[Ratio]]&gt;=4,"Not Significant",IF(Table1[[#This Row],[Ratio]]&gt;=2,"Semi-Significant","Significant")))</f>
        <v>Needs Analysis</v>
      </c>
      <c r="W864" s="1">
        <f>IF(Table1[[#This Row],[Cal Type]]&lt;&gt;"ACCREDITED 17025 WITH UNCERTAINTIES",0,"")</f>
        <v>0</v>
      </c>
      <c r="X864" s="1" t="str">
        <f>IF(Table1[[#This Row],[DUT Read]]="","N/A",Table1[[#This Row],[Std Error]]+Table1[[#This Row],[DUT Read]]+Table1[[#This Row],[DUT Ucty]])</f>
        <v>N/A</v>
      </c>
      <c r="Y864" s="1" t="str">
        <f>IF(Table1[[#This Row],[Std Read]]="","N/A",Table1[[#This Row],[Std Read]]+Table1[[#This Row],[Std Ucty]])</f>
        <v>N/A</v>
      </c>
      <c r="Z8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4" s="1" t="str">
        <f>IF(Table1[[#This Row],[Spec Type]]="","N/A",Table1[[#This Row],[Spec Type]])</f>
        <v>±</v>
      </c>
      <c r="AC864" s="1" t="str">
        <f>IF(Table1[[#This Row],[Spec Type2]]="N/A","N/A",IF(AND(Table1[[#This Row],[DUT Adj Read]]&gt;=Table1[[#This Row],[Low Tol]],Table1[[#This Row],[DUT Adj Read]]&lt;=Table1[[#This Row],[High Tol]]),"Pass","Fail"))</f>
        <v>Fail</v>
      </c>
      <c r="AD864" s="1" t="str">
        <f>IF(AND(Table1[[#This Row],[Spec Type2]]="N/A",Table1[[#This Row],[DUT Adj Read]]="N/A",Table1[[#This Row],[Std Adj Read]]="N/A"),"N/A",IF(Table1[[#This Row],[DUT Adj Read]]="N/A",IF(Table1[[#This Row],[Std Adj Read]]&gt;Table1[[#This Row],[Low Tol]],"Pass","Fail"),IF(Table1[[#This Row],[DUT Adj Read]]&gt;Table1[[#This Row],[Low Tol]],"Pass","Fail")))</f>
        <v>Pass</v>
      </c>
      <c r="AE864" s="1" t="str">
        <f>IF(AND(Table1[[#This Row],[Spec Type2]]="N/A",Table1[[#This Row],[DUT Adj Read]]="N/A",Table1[[#This Row],[Std Adj Read]]="N/A"),"N/A",IF(Table1[[#This Row],[DUT Adj Read]]="N/A",IF(Table1[[#This Row],[Std Adj Read]]&lt;Table1[[#This Row],[High Tol]],"Pass","Fail"),IF(Table1[[#This Row],[DUT Adj Read]]&lt;Table1[[#This Row],[High Tol]],"Pass","Fail")))</f>
        <v>Fail</v>
      </c>
      <c r="AF864" s="1" t="str">
        <f>IF(AND(Table1[[#This Row],[Spec Type2]]="N/A",Table1[[#This Row],[DUT Adj Read]]="N/A",Table1[[#This Row],[Std Adj Read]]="N/A"),"N/A",IF(Table1[[#This Row],[DUT Adj Read]]="N/A",IF(Table1[[#This Row],[Std Adj Read]]&gt;=Table1[[#This Row],[Low Tol]],"Pass","Fail"),IF(Table1[[#This Row],[DUT Adj Read]]&gt;=Table1[[#This Row],[Low Tol]],"Pass","Fail")))</f>
        <v>Pass</v>
      </c>
      <c r="AG864" s="1" t="str">
        <f>IF(AND(Table1[[#This Row],[Spec Type2]]="N/A",Table1[[#This Row],[DUT Adj Read]]="N/A",Table1[[#This Row],[Std Adj Read]]="N/A"),"N/A",IF(Table1[[#This Row],[DUT Adj Read]]="N/A",IF(Table1[[#This Row],[Std Adj Read]]&lt;=Table1[[#This Row],[High Tol]],"Pass","Fail"),IF(Table1[[#This Row],[DUT Adj Read]]&lt;=Table1[[#This Row],[High Tol]],"Pass","Fail")))</f>
        <v>Fail</v>
      </c>
      <c r="AH8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4" s="1" t="b">
        <v>0</v>
      </c>
      <c r="AN864" s="1" t="b">
        <v>0</v>
      </c>
      <c r="AO864" s="1" t="b">
        <v>0</v>
      </c>
    </row>
    <row r="865" spans="1:41" x14ac:dyDescent="0.25">
      <c r="A865" s="10"/>
      <c r="B865" s="10"/>
      <c r="C865" s="10"/>
      <c r="D865" s="10"/>
      <c r="E865" s="10"/>
      <c r="F865" s="10"/>
      <c r="G865" s="10"/>
      <c r="H865" s="10"/>
      <c r="I865" s="1" t="str">
        <f t="shared" si="39"/>
        <v/>
      </c>
      <c r="J865" s="1" t="s">
        <v>35</v>
      </c>
      <c r="K865" s="1" t="str">
        <f t="shared" si="40"/>
        <v/>
      </c>
      <c r="L865" s="1" t="str">
        <f t="shared" si="41"/>
        <v/>
      </c>
      <c r="M865" s="1">
        <f>IF(OR(Table1[[#This Row],[Std Nom]]="",Table1[[#This Row],[Std Read]]=""),0,Table1[[#This Row],[Std Nom]]-Table1[[#This Row],[Std Read]])</f>
        <v>0</v>
      </c>
      <c r="N865" s="1">
        <f>IF(Calculations!$F$5="ACCREDITED 17025 WITH UNCERTAINTIES",$N$10,0)</f>
        <v>0</v>
      </c>
      <c r="Q865" s="1">
        <f>Table1[[#This Row],[High Tol]]-Table1[[#This Row],[Low Tol]]</f>
        <v>0</v>
      </c>
      <c r="R865" s="1">
        <f>2*Table1[[#This Row],[Std Error]]</f>
        <v>0</v>
      </c>
      <c r="S865" s="1" t="str">
        <f>IF(Table1[[#This Row],[High Tol]]="","N/A",IFERROR(ABS(Table1[[#This Row],[Tol Span]]/Table1[[#This Row],[Error Span]]),"N/A"))</f>
        <v>N/A</v>
      </c>
      <c r="T865" s="1" t="str">
        <f>IF(OR(Table1[[#This Row],[Low Tol]]="",Table1[[#This Row],[High Tol]]=""),"Needs Analysis",IF(Table1[[#This Row],[Ratio]]&gt;=4,"Not Significant",IF(Table1[[#This Row],[Ratio]]&gt;=2,"Semi-Significant","Significant")))</f>
        <v>Needs Analysis</v>
      </c>
      <c r="W865" s="1">
        <f>IF(Table1[[#This Row],[Cal Type]]&lt;&gt;"ACCREDITED 17025 WITH UNCERTAINTIES",0,"")</f>
        <v>0</v>
      </c>
      <c r="X865" s="1" t="str">
        <f>IF(Table1[[#This Row],[DUT Read]]="","N/A",Table1[[#This Row],[Std Error]]+Table1[[#This Row],[DUT Read]]+Table1[[#This Row],[DUT Ucty]])</f>
        <v>N/A</v>
      </c>
      <c r="Y865" s="1" t="str">
        <f>IF(Table1[[#This Row],[Std Read]]="","N/A",Table1[[#This Row],[Std Read]]+Table1[[#This Row],[Std Ucty]])</f>
        <v>N/A</v>
      </c>
      <c r="Z8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5" s="1" t="str">
        <f>IF(Table1[[#This Row],[Spec Type]]="","N/A",Table1[[#This Row],[Spec Type]])</f>
        <v>±</v>
      </c>
      <c r="AC865" s="1" t="str">
        <f>IF(Table1[[#This Row],[Spec Type2]]="N/A","N/A",IF(AND(Table1[[#This Row],[DUT Adj Read]]&gt;=Table1[[#This Row],[Low Tol]],Table1[[#This Row],[DUT Adj Read]]&lt;=Table1[[#This Row],[High Tol]]),"Pass","Fail"))</f>
        <v>Fail</v>
      </c>
      <c r="AD865" s="1" t="str">
        <f>IF(AND(Table1[[#This Row],[Spec Type2]]="N/A",Table1[[#This Row],[DUT Adj Read]]="N/A",Table1[[#This Row],[Std Adj Read]]="N/A"),"N/A",IF(Table1[[#This Row],[DUT Adj Read]]="N/A",IF(Table1[[#This Row],[Std Adj Read]]&gt;Table1[[#This Row],[Low Tol]],"Pass","Fail"),IF(Table1[[#This Row],[DUT Adj Read]]&gt;Table1[[#This Row],[Low Tol]],"Pass","Fail")))</f>
        <v>Pass</v>
      </c>
      <c r="AE865" s="1" t="str">
        <f>IF(AND(Table1[[#This Row],[Spec Type2]]="N/A",Table1[[#This Row],[DUT Adj Read]]="N/A",Table1[[#This Row],[Std Adj Read]]="N/A"),"N/A",IF(Table1[[#This Row],[DUT Adj Read]]="N/A",IF(Table1[[#This Row],[Std Adj Read]]&lt;Table1[[#This Row],[High Tol]],"Pass","Fail"),IF(Table1[[#This Row],[DUT Adj Read]]&lt;Table1[[#This Row],[High Tol]],"Pass","Fail")))</f>
        <v>Fail</v>
      </c>
      <c r="AF865" s="1" t="str">
        <f>IF(AND(Table1[[#This Row],[Spec Type2]]="N/A",Table1[[#This Row],[DUT Adj Read]]="N/A",Table1[[#This Row],[Std Adj Read]]="N/A"),"N/A",IF(Table1[[#This Row],[DUT Adj Read]]="N/A",IF(Table1[[#This Row],[Std Adj Read]]&gt;=Table1[[#This Row],[Low Tol]],"Pass","Fail"),IF(Table1[[#This Row],[DUT Adj Read]]&gt;=Table1[[#This Row],[Low Tol]],"Pass","Fail")))</f>
        <v>Pass</v>
      </c>
      <c r="AG865" s="1" t="str">
        <f>IF(AND(Table1[[#This Row],[Spec Type2]]="N/A",Table1[[#This Row],[DUT Adj Read]]="N/A",Table1[[#This Row],[Std Adj Read]]="N/A"),"N/A",IF(Table1[[#This Row],[DUT Adj Read]]="N/A",IF(Table1[[#This Row],[Std Adj Read]]&lt;=Table1[[#This Row],[High Tol]],"Pass","Fail"),IF(Table1[[#This Row],[DUT Adj Read]]&lt;=Table1[[#This Row],[High Tol]],"Pass","Fail")))</f>
        <v>Fail</v>
      </c>
      <c r="AH8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5" s="1" t="b">
        <v>0</v>
      </c>
      <c r="AN865" s="1" t="b">
        <v>0</v>
      </c>
      <c r="AO865" s="1" t="b">
        <v>0</v>
      </c>
    </row>
    <row r="866" spans="1:41" x14ac:dyDescent="0.25">
      <c r="A866" s="10"/>
      <c r="B866" s="10"/>
      <c r="C866" s="10"/>
      <c r="D866" s="10"/>
      <c r="E866" s="10"/>
      <c r="F866" s="10"/>
      <c r="G866" s="10"/>
      <c r="H866" s="10"/>
      <c r="I866" s="1" t="str">
        <f t="shared" si="39"/>
        <v/>
      </c>
      <c r="J866" s="1" t="s">
        <v>35</v>
      </c>
      <c r="K866" s="1" t="str">
        <f t="shared" si="40"/>
        <v/>
      </c>
      <c r="L866" s="1" t="str">
        <f t="shared" si="41"/>
        <v/>
      </c>
      <c r="M866" s="1">
        <f>IF(OR(Table1[[#This Row],[Std Nom]]="",Table1[[#This Row],[Std Read]]=""),0,Table1[[#This Row],[Std Nom]]-Table1[[#This Row],[Std Read]])</f>
        <v>0</v>
      </c>
      <c r="N866" s="1">
        <f>IF(Calculations!$F$5="ACCREDITED 17025 WITH UNCERTAINTIES",$N$10,0)</f>
        <v>0</v>
      </c>
      <c r="Q866" s="1">
        <f>Table1[[#This Row],[High Tol]]-Table1[[#This Row],[Low Tol]]</f>
        <v>0</v>
      </c>
      <c r="R866" s="1">
        <f>2*Table1[[#This Row],[Std Error]]</f>
        <v>0</v>
      </c>
      <c r="S866" s="1" t="str">
        <f>IF(Table1[[#This Row],[High Tol]]="","N/A",IFERROR(ABS(Table1[[#This Row],[Tol Span]]/Table1[[#This Row],[Error Span]]),"N/A"))</f>
        <v>N/A</v>
      </c>
      <c r="T866" s="1" t="str">
        <f>IF(OR(Table1[[#This Row],[Low Tol]]="",Table1[[#This Row],[High Tol]]=""),"Needs Analysis",IF(Table1[[#This Row],[Ratio]]&gt;=4,"Not Significant",IF(Table1[[#This Row],[Ratio]]&gt;=2,"Semi-Significant","Significant")))</f>
        <v>Needs Analysis</v>
      </c>
      <c r="W866" s="1">
        <f>IF(Table1[[#This Row],[Cal Type]]&lt;&gt;"ACCREDITED 17025 WITH UNCERTAINTIES",0,"")</f>
        <v>0</v>
      </c>
      <c r="X866" s="1" t="str">
        <f>IF(Table1[[#This Row],[DUT Read]]="","N/A",Table1[[#This Row],[Std Error]]+Table1[[#This Row],[DUT Read]]+Table1[[#This Row],[DUT Ucty]])</f>
        <v>N/A</v>
      </c>
      <c r="Y866" s="1" t="str">
        <f>IF(Table1[[#This Row],[Std Read]]="","N/A",Table1[[#This Row],[Std Read]]+Table1[[#This Row],[Std Ucty]])</f>
        <v>N/A</v>
      </c>
      <c r="Z8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6" s="1" t="str">
        <f>IF(Table1[[#This Row],[Spec Type]]="","N/A",Table1[[#This Row],[Spec Type]])</f>
        <v>±</v>
      </c>
      <c r="AC866" s="1" t="str">
        <f>IF(Table1[[#This Row],[Spec Type2]]="N/A","N/A",IF(AND(Table1[[#This Row],[DUT Adj Read]]&gt;=Table1[[#This Row],[Low Tol]],Table1[[#This Row],[DUT Adj Read]]&lt;=Table1[[#This Row],[High Tol]]),"Pass","Fail"))</f>
        <v>Fail</v>
      </c>
      <c r="AD866" s="1" t="str">
        <f>IF(AND(Table1[[#This Row],[Spec Type2]]="N/A",Table1[[#This Row],[DUT Adj Read]]="N/A",Table1[[#This Row],[Std Adj Read]]="N/A"),"N/A",IF(Table1[[#This Row],[DUT Adj Read]]="N/A",IF(Table1[[#This Row],[Std Adj Read]]&gt;Table1[[#This Row],[Low Tol]],"Pass","Fail"),IF(Table1[[#This Row],[DUT Adj Read]]&gt;Table1[[#This Row],[Low Tol]],"Pass","Fail")))</f>
        <v>Pass</v>
      </c>
      <c r="AE866" s="1" t="str">
        <f>IF(AND(Table1[[#This Row],[Spec Type2]]="N/A",Table1[[#This Row],[DUT Adj Read]]="N/A",Table1[[#This Row],[Std Adj Read]]="N/A"),"N/A",IF(Table1[[#This Row],[DUT Adj Read]]="N/A",IF(Table1[[#This Row],[Std Adj Read]]&lt;Table1[[#This Row],[High Tol]],"Pass","Fail"),IF(Table1[[#This Row],[DUT Adj Read]]&lt;Table1[[#This Row],[High Tol]],"Pass","Fail")))</f>
        <v>Fail</v>
      </c>
      <c r="AF866" s="1" t="str">
        <f>IF(AND(Table1[[#This Row],[Spec Type2]]="N/A",Table1[[#This Row],[DUT Adj Read]]="N/A",Table1[[#This Row],[Std Adj Read]]="N/A"),"N/A",IF(Table1[[#This Row],[DUT Adj Read]]="N/A",IF(Table1[[#This Row],[Std Adj Read]]&gt;=Table1[[#This Row],[Low Tol]],"Pass","Fail"),IF(Table1[[#This Row],[DUT Adj Read]]&gt;=Table1[[#This Row],[Low Tol]],"Pass","Fail")))</f>
        <v>Pass</v>
      </c>
      <c r="AG866" s="1" t="str">
        <f>IF(AND(Table1[[#This Row],[Spec Type2]]="N/A",Table1[[#This Row],[DUT Adj Read]]="N/A",Table1[[#This Row],[Std Adj Read]]="N/A"),"N/A",IF(Table1[[#This Row],[DUT Adj Read]]="N/A",IF(Table1[[#This Row],[Std Adj Read]]&lt;=Table1[[#This Row],[High Tol]],"Pass","Fail"),IF(Table1[[#This Row],[DUT Adj Read]]&lt;=Table1[[#This Row],[High Tol]],"Pass","Fail")))</f>
        <v>Fail</v>
      </c>
      <c r="AH8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6" s="1" t="b">
        <v>0</v>
      </c>
      <c r="AN866" s="1" t="b">
        <v>0</v>
      </c>
      <c r="AO866" s="1" t="b">
        <v>0</v>
      </c>
    </row>
    <row r="867" spans="1:41" x14ac:dyDescent="0.25">
      <c r="A867" s="10"/>
      <c r="B867" s="10"/>
      <c r="C867" s="10"/>
      <c r="D867" s="10"/>
      <c r="E867" s="10"/>
      <c r="F867" s="10"/>
      <c r="G867" s="10"/>
      <c r="H867" s="10"/>
      <c r="I867" s="1" t="str">
        <f t="shared" si="39"/>
        <v/>
      </c>
      <c r="J867" s="1" t="s">
        <v>35</v>
      </c>
      <c r="K867" s="1" t="str">
        <f t="shared" si="40"/>
        <v/>
      </c>
      <c r="L867" s="1" t="str">
        <f t="shared" si="41"/>
        <v/>
      </c>
      <c r="M867" s="1">
        <f>IF(OR(Table1[[#This Row],[Std Nom]]="",Table1[[#This Row],[Std Read]]=""),0,Table1[[#This Row],[Std Nom]]-Table1[[#This Row],[Std Read]])</f>
        <v>0</v>
      </c>
      <c r="N867" s="1">
        <f>IF(Calculations!$F$5="ACCREDITED 17025 WITH UNCERTAINTIES",$N$10,0)</f>
        <v>0</v>
      </c>
      <c r="Q867" s="1">
        <f>Table1[[#This Row],[High Tol]]-Table1[[#This Row],[Low Tol]]</f>
        <v>0</v>
      </c>
      <c r="R867" s="1">
        <f>2*Table1[[#This Row],[Std Error]]</f>
        <v>0</v>
      </c>
      <c r="S867" s="1" t="str">
        <f>IF(Table1[[#This Row],[High Tol]]="","N/A",IFERROR(ABS(Table1[[#This Row],[Tol Span]]/Table1[[#This Row],[Error Span]]),"N/A"))</f>
        <v>N/A</v>
      </c>
      <c r="T867" s="1" t="str">
        <f>IF(OR(Table1[[#This Row],[Low Tol]]="",Table1[[#This Row],[High Tol]]=""),"Needs Analysis",IF(Table1[[#This Row],[Ratio]]&gt;=4,"Not Significant",IF(Table1[[#This Row],[Ratio]]&gt;=2,"Semi-Significant","Significant")))</f>
        <v>Needs Analysis</v>
      </c>
      <c r="W867" s="1">
        <f>IF(Table1[[#This Row],[Cal Type]]&lt;&gt;"ACCREDITED 17025 WITH UNCERTAINTIES",0,"")</f>
        <v>0</v>
      </c>
      <c r="X867" s="1" t="str">
        <f>IF(Table1[[#This Row],[DUT Read]]="","N/A",Table1[[#This Row],[Std Error]]+Table1[[#This Row],[DUT Read]]+Table1[[#This Row],[DUT Ucty]])</f>
        <v>N/A</v>
      </c>
      <c r="Y867" s="1" t="str">
        <f>IF(Table1[[#This Row],[Std Read]]="","N/A",Table1[[#This Row],[Std Read]]+Table1[[#This Row],[Std Ucty]])</f>
        <v>N/A</v>
      </c>
      <c r="Z8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7" s="1" t="str">
        <f>IF(Table1[[#This Row],[Spec Type]]="","N/A",Table1[[#This Row],[Spec Type]])</f>
        <v>±</v>
      </c>
      <c r="AC867" s="1" t="str">
        <f>IF(Table1[[#This Row],[Spec Type2]]="N/A","N/A",IF(AND(Table1[[#This Row],[DUT Adj Read]]&gt;=Table1[[#This Row],[Low Tol]],Table1[[#This Row],[DUT Adj Read]]&lt;=Table1[[#This Row],[High Tol]]),"Pass","Fail"))</f>
        <v>Fail</v>
      </c>
      <c r="AD867" s="1" t="str">
        <f>IF(AND(Table1[[#This Row],[Spec Type2]]="N/A",Table1[[#This Row],[DUT Adj Read]]="N/A",Table1[[#This Row],[Std Adj Read]]="N/A"),"N/A",IF(Table1[[#This Row],[DUT Adj Read]]="N/A",IF(Table1[[#This Row],[Std Adj Read]]&gt;Table1[[#This Row],[Low Tol]],"Pass","Fail"),IF(Table1[[#This Row],[DUT Adj Read]]&gt;Table1[[#This Row],[Low Tol]],"Pass","Fail")))</f>
        <v>Pass</v>
      </c>
      <c r="AE867" s="1" t="str">
        <f>IF(AND(Table1[[#This Row],[Spec Type2]]="N/A",Table1[[#This Row],[DUT Adj Read]]="N/A",Table1[[#This Row],[Std Adj Read]]="N/A"),"N/A",IF(Table1[[#This Row],[DUT Adj Read]]="N/A",IF(Table1[[#This Row],[Std Adj Read]]&lt;Table1[[#This Row],[High Tol]],"Pass","Fail"),IF(Table1[[#This Row],[DUT Adj Read]]&lt;Table1[[#This Row],[High Tol]],"Pass","Fail")))</f>
        <v>Fail</v>
      </c>
      <c r="AF867" s="1" t="str">
        <f>IF(AND(Table1[[#This Row],[Spec Type2]]="N/A",Table1[[#This Row],[DUT Adj Read]]="N/A",Table1[[#This Row],[Std Adj Read]]="N/A"),"N/A",IF(Table1[[#This Row],[DUT Adj Read]]="N/A",IF(Table1[[#This Row],[Std Adj Read]]&gt;=Table1[[#This Row],[Low Tol]],"Pass","Fail"),IF(Table1[[#This Row],[DUT Adj Read]]&gt;=Table1[[#This Row],[Low Tol]],"Pass","Fail")))</f>
        <v>Pass</v>
      </c>
      <c r="AG867" s="1" t="str">
        <f>IF(AND(Table1[[#This Row],[Spec Type2]]="N/A",Table1[[#This Row],[DUT Adj Read]]="N/A",Table1[[#This Row],[Std Adj Read]]="N/A"),"N/A",IF(Table1[[#This Row],[DUT Adj Read]]="N/A",IF(Table1[[#This Row],[Std Adj Read]]&lt;=Table1[[#This Row],[High Tol]],"Pass","Fail"),IF(Table1[[#This Row],[DUT Adj Read]]&lt;=Table1[[#This Row],[High Tol]],"Pass","Fail")))</f>
        <v>Fail</v>
      </c>
      <c r="AH8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7" s="1" t="b">
        <v>0</v>
      </c>
      <c r="AN867" s="1" t="b">
        <v>0</v>
      </c>
      <c r="AO867" s="1" t="b">
        <v>0</v>
      </c>
    </row>
    <row r="868" spans="1:41" x14ac:dyDescent="0.25">
      <c r="A868" s="10"/>
      <c r="B868" s="10"/>
      <c r="C868" s="10"/>
      <c r="D868" s="10"/>
      <c r="E868" s="10"/>
      <c r="F868" s="10"/>
      <c r="G868" s="10"/>
      <c r="H868" s="10"/>
      <c r="I868" s="1" t="str">
        <f t="shared" si="39"/>
        <v/>
      </c>
      <c r="J868" s="1" t="s">
        <v>35</v>
      </c>
      <c r="K868" s="1" t="str">
        <f t="shared" si="40"/>
        <v/>
      </c>
      <c r="L868" s="1" t="str">
        <f t="shared" si="41"/>
        <v/>
      </c>
      <c r="M868" s="1">
        <f>IF(OR(Table1[[#This Row],[Std Nom]]="",Table1[[#This Row],[Std Read]]=""),0,Table1[[#This Row],[Std Nom]]-Table1[[#This Row],[Std Read]])</f>
        <v>0</v>
      </c>
      <c r="N868" s="1">
        <f>IF(Calculations!$F$5="ACCREDITED 17025 WITH UNCERTAINTIES",$N$10,0)</f>
        <v>0</v>
      </c>
      <c r="Q868" s="1">
        <f>Table1[[#This Row],[High Tol]]-Table1[[#This Row],[Low Tol]]</f>
        <v>0</v>
      </c>
      <c r="R868" s="1">
        <f>2*Table1[[#This Row],[Std Error]]</f>
        <v>0</v>
      </c>
      <c r="S868" s="1" t="str">
        <f>IF(Table1[[#This Row],[High Tol]]="","N/A",IFERROR(ABS(Table1[[#This Row],[Tol Span]]/Table1[[#This Row],[Error Span]]),"N/A"))</f>
        <v>N/A</v>
      </c>
      <c r="T868" s="1" t="str">
        <f>IF(OR(Table1[[#This Row],[Low Tol]]="",Table1[[#This Row],[High Tol]]=""),"Needs Analysis",IF(Table1[[#This Row],[Ratio]]&gt;=4,"Not Significant",IF(Table1[[#This Row],[Ratio]]&gt;=2,"Semi-Significant","Significant")))</f>
        <v>Needs Analysis</v>
      </c>
      <c r="W868" s="1">
        <f>IF(Table1[[#This Row],[Cal Type]]&lt;&gt;"ACCREDITED 17025 WITH UNCERTAINTIES",0,"")</f>
        <v>0</v>
      </c>
      <c r="X868" s="1" t="str">
        <f>IF(Table1[[#This Row],[DUT Read]]="","N/A",Table1[[#This Row],[Std Error]]+Table1[[#This Row],[DUT Read]]+Table1[[#This Row],[DUT Ucty]])</f>
        <v>N/A</v>
      </c>
      <c r="Y868" s="1" t="str">
        <f>IF(Table1[[#This Row],[Std Read]]="","N/A",Table1[[#This Row],[Std Read]]+Table1[[#This Row],[Std Ucty]])</f>
        <v>N/A</v>
      </c>
      <c r="Z8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8" s="1" t="str">
        <f>IF(Table1[[#This Row],[Spec Type]]="","N/A",Table1[[#This Row],[Spec Type]])</f>
        <v>±</v>
      </c>
      <c r="AC868" s="1" t="str">
        <f>IF(Table1[[#This Row],[Spec Type2]]="N/A","N/A",IF(AND(Table1[[#This Row],[DUT Adj Read]]&gt;=Table1[[#This Row],[Low Tol]],Table1[[#This Row],[DUT Adj Read]]&lt;=Table1[[#This Row],[High Tol]]),"Pass","Fail"))</f>
        <v>Fail</v>
      </c>
      <c r="AD868" s="1" t="str">
        <f>IF(AND(Table1[[#This Row],[Spec Type2]]="N/A",Table1[[#This Row],[DUT Adj Read]]="N/A",Table1[[#This Row],[Std Adj Read]]="N/A"),"N/A",IF(Table1[[#This Row],[DUT Adj Read]]="N/A",IF(Table1[[#This Row],[Std Adj Read]]&gt;Table1[[#This Row],[Low Tol]],"Pass","Fail"),IF(Table1[[#This Row],[DUT Adj Read]]&gt;Table1[[#This Row],[Low Tol]],"Pass","Fail")))</f>
        <v>Pass</v>
      </c>
      <c r="AE868" s="1" t="str">
        <f>IF(AND(Table1[[#This Row],[Spec Type2]]="N/A",Table1[[#This Row],[DUT Adj Read]]="N/A",Table1[[#This Row],[Std Adj Read]]="N/A"),"N/A",IF(Table1[[#This Row],[DUT Adj Read]]="N/A",IF(Table1[[#This Row],[Std Adj Read]]&lt;Table1[[#This Row],[High Tol]],"Pass","Fail"),IF(Table1[[#This Row],[DUT Adj Read]]&lt;Table1[[#This Row],[High Tol]],"Pass","Fail")))</f>
        <v>Fail</v>
      </c>
      <c r="AF868" s="1" t="str">
        <f>IF(AND(Table1[[#This Row],[Spec Type2]]="N/A",Table1[[#This Row],[DUT Adj Read]]="N/A",Table1[[#This Row],[Std Adj Read]]="N/A"),"N/A",IF(Table1[[#This Row],[DUT Adj Read]]="N/A",IF(Table1[[#This Row],[Std Adj Read]]&gt;=Table1[[#This Row],[Low Tol]],"Pass","Fail"),IF(Table1[[#This Row],[DUT Adj Read]]&gt;=Table1[[#This Row],[Low Tol]],"Pass","Fail")))</f>
        <v>Pass</v>
      </c>
      <c r="AG868" s="1" t="str">
        <f>IF(AND(Table1[[#This Row],[Spec Type2]]="N/A",Table1[[#This Row],[DUT Adj Read]]="N/A",Table1[[#This Row],[Std Adj Read]]="N/A"),"N/A",IF(Table1[[#This Row],[DUT Adj Read]]="N/A",IF(Table1[[#This Row],[Std Adj Read]]&lt;=Table1[[#This Row],[High Tol]],"Pass","Fail"),IF(Table1[[#This Row],[DUT Adj Read]]&lt;=Table1[[#This Row],[High Tol]],"Pass","Fail")))</f>
        <v>Fail</v>
      </c>
      <c r="AH8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8" s="1" t="b">
        <v>0</v>
      </c>
      <c r="AN868" s="1" t="b">
        <v>0</v>
      </c>
      <c r="AO868" s="1" t="b">
        <v>0</v>
      </c>
    </row>
    <row r="869" spans="1:41" x14ac:dyDescent="0.25">
      <c r="A869" s="10"/>
      <c r="B869" s="10"/>
      <c r="C869" s="10"/>
      <c r="D869" s="10"/>
      <c r="E869" s="10"/>
      <c r="F869" s="10"/>
      <c r="G869" s="10"/>
      <c r="H869" s="10"/>
      <c r="I869" s="1" t="str">
        <f t="shared" si="39"/>
        <v/>
      </c>
      <c r="J869" s="1" t="s">
        <v>35</v>
      </c>
      <c r="K869" s="1" t="str">
        <f t="shared" si="40"/>
        <v/>
      </c>
      <c r="L869" s="1" t="str">
        <f t="shared" si="41"/>
        <v/>
      </c>
      <c r="M869" s="1">
        <f>IF(OR(Table1[[#This Row],[Std Nom]]="",Table1[[#This Row],[Std Read]]=""),0,Table1[[#This Row],[Std Nom]]-Table1[[#This Row],[Std Read]])</f>
        <v>0</v>
      </c>
      <c r="N869" s="1">
        <f>IF(Calculations!$F$5="ACCREDITED 17025 WITH UNCERTAINTIES",$N$10,0)</f>
        <v>0</v>
      </c>
      <c r="Q869" s="1">
        <f>Table1[[#This Row],[High Tol]]-Table1[[#This Row],[Low Tol]]</f>
        <v>0</v>
      </c>
      <c r="R869" s="1">
        <f>2*Table1[[#This Row],[Std Error]]</f>
        <v>0</v>
      </c>
      <c r="S869" s="1" t="str">
        <f>IF(Table1[[#This Row],[High Tol]]="","N/A",IFERROR(ABS(Table1[[#This Row],[Tol Span]]/Table1[[#This Row],[Error Span]]),"N/A"))</f>
        <v>N/A</v>
      </c>
      <c r="T869" s="1" t="str">
        <f>IF(OR(Table1[[#This Row],[Low Tol]]="",Table1[[#This Row],[High Tol]]=""),"Needs Analysis",IF(Table1[[#This Row],[Ratio]]&gt;=4,"Not Significant",IF(Table1[[#This Row],[Ratio]]&gt;=2,"Semi-Significant","Significant")))</f>
        <v>Needs Analysis</v>
      </c>
      <c r="W869" s="1">
        <f>IF(Table1[[#This Row],[Cal Type]]&lt;&gt;"ACCREDITED 17025 WITH UNCERTAINTIES",0,"")</f>
        <v>0</v>
      </c>
      <c r="X869" s="1" t="str">
        <f>IF(Table1[[#This Row],[DUT Read]]="","N/A",Table1[[#This Row],[Std Error]]+Table1[[#This Row],[DUT Read]]+Table1[[#This Row],[DUT Ucty]])</f>
        <v>N/A</v>
      </c>
      <c r="Y869" s="1" t="str">
        <f>IF(Table1[[#This Row],[Std Read]]="","N/A",Table1[[#This Row],[Std Read]]+Table1[[#This Row],[Std Ucty]])</f>
        <v>N/A</v>
      </c>
      <c r="Z8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69" s="1" t="str">
        <f>IF(Table1[[#This Row],[Spec Type]]="","N/A",Table1[[#This Row],[Spec Type]])</f>
        <v>±</v>
      </c>
      <c r="AC869" s="1" t="str">
        <f>IF(Table1[[#This Row],[Spec Type2]]="N/A","N/A",IF(AND(Table1[[#This Row],[DUT Adj Read]]&gt;=Table1[[#This Row],[Low Tol]],Table1[[#This Row],[DUT Adj Read]]&lt;=Table1[[#This Row],[High Tol]]),"Pass","Fail"))</f>
        <v>Fail</v>
      </c>
      <c r="AD869" s="1" t="str">
        <f>IF(AND(Table1[[#This Row],[Spec Type2]]="N/A",Table1[[#This Row],[DUT Adj Read]]="N/A",Table1[[#This Row],[Std Adj Read]]="N/A"),"N/A",IF(Table1[[#This Row],[DUT Adj Read]]="N/A",IF(Table1[[#This Row],[Std Adj Read]]&gt;Table1[[#This Row],[Low Tol]],"Pass","Fail"),IF(Table1[[#This Row],[DUT Adj Read]]&gt;Table1[[#This Row],[Low Tol]],"Pass","Fail")))</f>
        <v>Pass</v>
      </c>
      <c r="AE869" s="1" t="str">
        <f>IF(AND(Table1[[#This Row],[Spec Type2]]="N/A",Table1[[#This Row],[DUT Adj Read]]="N/A",Table1[[#This Row],[Std Adj Read]]="N/A"),"N/A",IF(Table1[[#This Row],[DUT Adj Read]]="N/A",IF(Table1[[#This Row],[Std Adj Read]]&lt;Table1[[#This Row],[High Tol]],"Pass","Fail"),IF(Table1[[#This Row],[DUT Adj Read]]&lt;Table1[[#This Row],[High Tol]],"Pass","Fail")))</f>
        <v>Fail</v>
      </c>
      <c r="AF869" s="1" t="str">
        <f>IF(AND(Table1[[#This Row],[Spec Type2]]="N/A",Table1[[#This Row],[DUT Adj Read]]="N/A",Table1[[#This Row],[Std Adj Read]]="N/A"),"N/A",IF(Table1[[#This Row],[DUT Adj Read]]="N/A",IF(Table1[[#This Row],[Std Adj Read]]&gt;=Table1[[#This Row],[Low Tol]],"Pass","Fail"),IF(Table1[[#This Row],[DUT Adj Read]]&gt;=Table1[[#This Row],[Low Tol]],"Pass","Fail")))</f>
        <v>Pass</v>
      </c>
      <c r="AG869" s="1" t="str">
        <f>IF(AND(Table1[[#This Row],[Spec Type2]]="N/A",Table1[[#This Row],[DUT Adj Read]]="N/A",Table1[[#This Row],[Std Adj Read]]="N/A"),"N/A",IF(Table1[[#This Row],[DUT Adj Read]]="N/A",IF(Table1[[#This Row],[Std Adj Read]]&lt;=Table1[[#This Row],[High Tol]],"Pass","Fail"),IF(Table1[[#This Row],[DUT Adj Read]]&lt;=Table1[[#This Row],[High Tol]],"Pass","Fail")))</f>
        <v>Fail</v>
      </c>
      <c r="AH8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69" s="1" t="b">
        <v>0</v>
      </c>
      <c r="AN869" s="1" t="b">
        <v>0</v>
      </c>
      <c r="AO869" s="1" t="b">
        <v>0</v>
      </c>
    </row>
    <row r="870" spans="1:41" x14ac:dyDescent="0.25">
      <c r="A870" s="10"/>
      <c r="B870" s="10"/>
      <c r="C870" s="10"/>
      <c r="D870" s="10"/>
      <c r="E870" s="10"/>
      <c r="F870" s="10"/>
      <c r="G870" s="10"/>
      <c r="H870" s="10"/>
      <c r="I870" s="1" t="str">
        <f t="shared" si="39"/>
        <v/>
      </c>
      <c r="J870" s="1" t="s">
        <v>35</v>
      </c>
      <c r="K870" s="1" t="str">
        <f t="shared" si="40"/>
        <v/>
      </c>
      <c r="L870" s="1" t="str">
        <f t="shared" si="41"/>
        <v/>
      </c>
      <c r="M870" s="1">
        <f>IF(OR(Table1[[#This Row],[Std Nom]]="",Table1[[#This Row],[Std Read]]=""),0,Table1[[#This Row],[Std Nom]]-Table1[[#This Row],[Std Read]])</f>
        <v>0</v>
      </c>
      <c r="N870" s="1">
        <f>IF(Calculations!$F$5="ACCREDITED 17025 WITH UNCERTAINTIES",$N$10,0)</f>
        <v>0</v>
      </c>
      <c r="Q870" s="1">
        <f>Table1[[#This Row],[High Tol]]-Table1[[#This Row],[Low Tol]]</f>
        <v>0</v>
      </c>
      <c r="R870" s="1">
        <f>2*Table1[[#This Row],[Std Error]]</f>
        <v>0</v>
      </c>
      <c r="S870" s="1" t="str">
        <f>IF(Table1[[#This Row],[High Tol]]="","N/A",IFERROR(ABS(Table1[[#This Row],[Tol Span]]/Table1[[#This Row],[Error Span]]),"N/A"))</f>
        <v>N/A</v>
      </c>
      <c r="T870" s="1" t="str">
        <f>IF(OR(Table1[[#This Row],[Low Tol]]="",Table1[[#This Row],[High Tol]]=""),"Needs Analysis",IF(Table1[[#This Row],[Ratio]]&gt;=4,"Not Significant",IF(Table1[[#This Row],[Ratio]]&gt;=2,"Semi-Significant","Significant")))</f>
        <v>Needs Analysis</v>
      </c>
      <c r="W870" s="1">
        <f>IF(Table1[[#This Row],[Cal Type]]&lt;&gt;"ACCREDITED 17025 WITH UNCERTAINTIES",0,"")</f>
        <v>0</v>
      </c>
      <c r="X870" s="1" t="str">
        <f>IF(Table1[[#This Row],[DUT Read]]="","N/A",Table1[[#This Row],[Std Error]]+Table1[[#This Row],[DUT Read]]+Table1[[#This Row],[DUT Ucty]])</f>
        <v>N/A</v>
      </c>
      <c r="Y870" s="1" t="str">
        <f>IF(Table1[[#This Row],[Std Read]]="","N/A",Table1[[#This Row],[Std Read]]+Table1[[#This Row],[Std Ucty]])</f>
        <v>N/A</v>
      </c>
      <c r="Z8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0" s="1" t="str">
        <f>IF(Table1[[#This Row],[Spec Type]]="","N/A",Table1[[#This Row],[Spec Type]])</f>
        <v>±</v>
      </c>
      <c r="AC870" s="1" t="str">
        <f>IF(Table1[[#This Row],[Spec Type2]]="N/A","N/A",IF(AND(Table1[[#This Row],[DUT Adj Read]]&gt;=Table1[[#This Row],[Low Tol]],Table1[[#This Row],[DUT Adj Read]]&lt;=Table1[[#This Row],[High Tol]]),"Pass","Fail"))</f>
        <v>Fail</v>
      </c>
      <c r="AD870" s="1" t="str">
        <f>IF(AND(Table1[[#This Row],[Spec Type2]]="N/A",Table1[[#This Row],[DUT Adj Read]]="N/A",Table1[[#This Row],[Std Adj Read]]="N/A"),"N/A",IF(Table1[[#This Row],[DUT Adj Read]]="N/A",IF(Table1[[#This Row],[Std Adj Read]]&gt;Table1[[#This Row],[Low Tol]],"Pass","Fail"),IF(Table1[[#This Row],[DUT Adj Read]]&gt;Table1[[#This Row],[Low Tol]],"Pass","Fail")))</f>
        <v>Pass</v>
      </c>
      <c r="AE870" s="1" t="str">
        <f>IF(AND(Table1[[#This Row],[Spec Type2]]="N/A",Table1[[#This Row],[DUT Adj Read]]="N/A",Table1[[#This Row],[Std Adj Read]]="N/A"),"N/A",IF(Table1[[#This Row],[DUT Adj Read]]="N/A",IF(Table1[[#This Row],[Std Adj Read]]&lt;Table1[[#This Row],[High Tol]],"Pass","Fail"),IF(Table1[[#This Row],[DUT Adj Read]]&lt;Table1[[#This Row],[High Tol]],"Pass","Fail")))</f>
        <v>Fail</v>
      </c>
      <c r="AF870" s="1" t="str">
        <f>IF(AND(Table1[[#This Row],[Spec Type2]]="N/A",Table1[[#This Row],[DUT Adj Read]]="N/A",Table1[[#This Row],[Std Adj Read]]="N/A"),"N/A",IF(Table1[[#This Row],[DUT Adj Read]]="N/A",IF(Table1[[#This Row],[Std Adj Read]]&gt;=Table1[[#This Row],[Low Tol]],"Pass","Fail"),IF(Table1[[#This Row],[DUT Adj Read]]&gt;=Table1[[#This Row],[Low Tol]],"Pass","Fail")))</f>
        <v>Pass</v>
      </c>
      <c r="AG870" s="1" t="str">
        <f>IF(AND(Table1[[#This Row],[Spec Type2]]="N/A",Table1[[#This Row],[DUT Adj Read]]="N/A",Table1[[#This Row],[Std Adj Read]]="N/A"),"N/A",IF(Table1[[#This Row],[DUT Adj Read]]="N/A",IF(Table1[[#This Row],[Std Adj Read]]&lt;=Table1[[#This Row],[High Tol]],"Pass","Fail"),IF(Table1[[#This Row],[DUT Adj Read]]&lt;=Table1[[#This Row],[High Tol]],"Pass","Fail")))</f>
        <v>Fail</v>
      </c>
      <c r="AH8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0" s="1" t="b">
        <v>0</v>
      </c>
      <c r="AN870" s="1" t="b">
        <v>0</v>
      </c>
      <c r="AO870" s="1" t="b">
        <v>0</v>
      </c>
    </row>
    <row r="871" spans="1:41" x14ac:dyDescent="0.25">
      <c r="A871" s="10"/>
      <c r="B871" s="10"/>
      <c r="C871" s="10"/>
      <c r="D871" s="10"/>
      <c r="E871" s="10"/>
      <c r="F871" s="10"/>
      <c r="G871" s="10"/>
      <c r="H871" s="10"/>
      <c r="I871" s="1" t="str">
        <f t="shared" si="39"/>
        <v/>
      </c>
      <c r="J871" s="1" t="s">
        <v>35</v>
      </c>
      <c r="K871" s="1" t="str">
        <f t="shared" si="40"/>
        <v/>
      </c>
      <c r="L871" s="1" t="str">
        <f t="shared" si="41"/>
        <v/>
      </c>
      <c r="M871" s="1">
        <f>IF(OR(Table1[[#This Row],[Std Nom]]="",Table1[[#This Row],[Std Read]]=""),0,Table1[[#This Row],[Std Nom]]-Table1[[#This Row],[Std Read]])</f>
        <v>0</v>
      </c>
      <c r="N871" s="1">
        <f>IF(Calculations!$F$5="ACCREDITED 17025 WITH UNCERTAINTIES",$N$10,0)</f>
        <v>0</v>
      </c>
      <c r="Q871" s="1">
        <f>Table1[[#This Row],[High Tol]]-Table1[[#This Row],[Low Tol]]</f>
        <v>0</v>
      </c>
      <c r="R871" s="1">
        <f>2*Table1[[#This Row],[Std Error]]</f>
        <v>0</v>
      </c>
      <c r="S871" s="1" t="str">
        <f>IF(Table1[[#This Row],[High Tol]]="","N/A",IFERROR(ABS(Table1[[#This Row],[Tol Span]]/Table1[[#This Row],[Error Span]]),"N/A"))</f>
        <v>N/A</v>
      </c>
      <c r="T871" s="1" t="str">
        <f>IF(OR(Table1[[#This Row],[Low Tol]]="",Table1[[#This Row],[High Tol]]=""),"Needs Analysis",IF(Table1[[#This Row],[Ratio]]&gt;=4,"Not Significant",IF(Table1[[#This Row],[Ratio]]&gt;=2,"Semi-Significant","Significant")))</f>
        <v>Needs Analysis</v>
      </c>
      <c r="W871" s="1">
        <f>IF(Table1[[#This Row],[Cal Type]]&lt;&gt;"ACCREDITED 17025 WITH UNCERTAINTIES",0,"")</f>
        <v>0</v>
      </c>
      <c r="X871" s="1" t="str">
        <f>IF(Table1[[#This Row],[DUT Read]]="","N/A",Table1[[#This Row],[Std Error]]+Table1[[#This Row],[DUT Read]]+Table1[[#This Row],[DUT Ucty]])</f>
        <v>N/A</v>
      </c>
      <c r="Y871" s="1" t="str">
        <f>IF(Table1[[#This Row],[Std Read]]="","N/A",Table1[[#This Row],[Std Read]]+Table1[[#This Row],[Std Ucty]])</f>
        <v>N/A</v>
      </c>
      <c r="Z8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1" s="1" t="str">
        <f>IF(Table1[[#This Row],[Spec Type]]="","N/A",Table1[[#This Row],[Spec Type]])</f>
        <v>±</v>
      </c>
      <c r="AC871" s="1" t="str">
        <f>IF(Table1[[#This Row],[Spec Type2]]="N/A","N/A",IF(AND(Table1[[#This Row],[DUT Adj Read]]&gt;=Table1[[#This Row],[Low Tol]],Table1[[#This Row],[DUT Adj Read]]&lt;=Table1[[#This Row],[High Tol]]),"Pass","Fail"))</f>
        <v>Fail</v>
      </c>
      <c r="AD871" s="1" t="str">
        <f>IF(AND(Table1[[#This Row],[Spec Type2]]="N/A",Table1[[#This Row],[DUT Adj Read]]="N/A",Table1[[#This Row],[Std Adj Read]]="N/A"),"N/A",IF(Table1[[#This Row],[DUT Adj Read]]="N/A",IF(Table1[[#This Row],[Std Adj Read]]&gt;Table1[[#This Row],[Low Tol]],"Pass","Fail"),IF(Table1[[#This Row],[DUT Adj Read]]&gt;Table1[[#This Row],[Low Tol]],"Pass","Fail")))</f>
        <v>Pass</v>
      </c>
      <c r="AE871" s="1" t="str">
        <f>IF(AND(Table1[[#This Row],[Spec Type2]]="N/A",Table1[[#This Row],[DUT Adj Read]]="N/A",Table1[[#This Row],[Std Adj Read]]="N/A"),"N/A",IF(Table1[[#This Row],[DUT Adj Read]]="N/A",IF(Table1[[#This Row],[Std Adj Read]]&lt;Table1[[#This Row],[High Tol]],"Pass","Fail"),IF(Table1[[#This Row],[DUT Adj Read]]&lt;Table1[[#This Row],[High Tol]],"Pass","Fail")))</f>
        <v>Fail</v>
      </c>
      <c r="AF871" s="1" t="str">
        <f>IF(AND(Table1[[#This Row],[Spec Type2]]="N/A",Table1[[#This Row],[DUT Adj Read]]="N/A",Table1[[#This Row],[Std Adj Read]]="N/A"),"N/A",IF(Table1[[#This Row],[DUT Adj Read]]="N/A",IF(Table1[[#This Row],[Std Adj Read]]&gt;=Table1[[#This Row],[Low Tol]],"Pass","Fail"),IF(Table1[[#This Row],[DUT Adj Read]]&gt;=Table1[[#This Row],[Low Tol]],"Pass","Fail")))</f>
        <v>Pass</v>
      </c>
      <c r="AG871" s="1" t="str">
        <f>IF(AND(Table1[[#This Row],[Spec Type2]]="N/A",Table1[[#This Row],[DUT Adj Read]]="N/A",Table1[[#This Row],[Std Adj Read]]="N/A"),"N/A",IF(Table1[[#This Row],[DUT Adj Read]]="N/A",IF(Table1[[#This Row],[Std Adj Read]]&lt;=Table1[[#This Row],[High Tol]],"Pass","Fail"),IF(Table1[[#This Row],[DUT Adj Read]]&lt;=Table1[[#This Row],[High Tol]],"Pass","Fail")))</f>
        <v>Fail</v>
      </c>
      <c r="AH8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1" s="1" t="b">
        <v>0</v>
      </c>
      <c r="AN871" s="1" t="b">
        <v>0</v>
      </c>
      <c r="AO871" s="1" t="b">
        <v>0</v>
      </c>
    </row>
    <row r="872" spans="1:41" x14ac:dyDescent="0.25">
      <c r="A872" s="10"/>
      <c r="B872" s="10"/>
      <c r="C872" s="10"/>
      <c r="D872" s="10"/>
      <c r="E872" s="10"/>
      <c r="F872" s="10"/>
      <c r="G872" s="10"/>
      <c r="H872" s="10"/>
      <c r="I872" s="1" t="str">
        <f t="shared" si="39"/>
        <v/>
      </c>
      <c r="J872" s="1" t="s">
        <v>35</v>
      </c>
      <c r="K872" s="1" t="str">
        <f t="shared" si="40"/>
        <v/>
      </c>
      <c r="L872" s="1" t="str">
        <f t="shared" si="41"/>
        <v/>
      </c>
      <c r="M872" s="1">
        <f>IF(OR(Table1[[#This Row],[Std Nom]]="",Table1[[#This Row],[Std Read]]=""),0,Table1[[#This Row],[Std Nom]]-Table1[[#This Row],[Std Read]])</f>
        <v>0</v>
      </c>
      <c r="N872" s="1">
        <f>IF(Calculations!$F$5="ACCREDITED 17025 WITH UNCERTAINTIES",$N$10,0)</f>
        <v>0</v>
      </c>
      <c r="Q872" s="1">
        <f>Table1[[#This Row],[High Tol]]-Table1[[#This Row],[Low Tol]]</f>
        <v>0</v>
      </c>
      <c r="R872" s="1">
        <f>2*Table1[[#This Row],[Std Error]]</f>
        <v>0</v>
      </c>
      <c r="S872" s="1" t="str">
        <f>IF(Table1[[#This Row],[High Tol]]="","N/A",IFERROR(ABS(Table1[[#This Row],[Tol Span]]/Table1[[#This Row],[Error Span]]),"N/A"))</f>
        <v>N/A</v>
      </c>
      <c r="T872" s="1" t="str">
        <f>IF(OR(Table1[[#This Row],[Low Tol]]="",Table1[[#This Row],[High Tol]]=""),"Needs Analysis",IF(Table1[[#This Row],[Ratio]]&gt;=4,"Not Significant",IF(Table1[[#This Row],[Ratio]]&gt;=2,"Semi-Significant","Significant")))</f>
        <v>Needs Analysis</v>
      </c>
      <c r="W872" s="1">
        <f>IF(Table1[[#This Row],[Cal Type]]&lt;&gt;"ACCREDITED 17025 WITH UNCERTAINTIES",0,"")</f>
        <v>0</v>
      </c>
      <c r="X872" s="1" t="str">
        <f>IF(Table1[[#This Row],[DUT Read]]="","N/A",Table1[[#This Row],[Std Error]]+Table1[[#This Row],[DUT Read]]+Table1[[#This Row],[DUT Ucty]])</f>
        <v>N/A</v>
      </c>
      <c r="Y872" s="1" t="str">
        <f>IF(Table1[[#This Row],[Std Read]]="","N/A",Table1[[#This Row],[Std Read]]+Table1[[#This Row],[Std Ucty]])</f>
        <v>N/A</v>
      </c>
      <c r="Z8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2" s="1" t="str">
        <f>IF(Table1[[#This Row],[Spec Type]]="","N/A",Table1[[#This Row],[Spec Type]])</f>
        <v>±</v>
      </c>
      <c r="AC872" s="1" t="str">
        <f>IF(Table1[[#This Row],[Spec Type2]]="N/A","N/A",IF(AND(Table1[[#This Row],[DUT Adj Read]]&gt;=Table1[[#This Row],[Low Tol]],Table1[[#This Row],[DUT Adj Read]]&lt;=Table1[[#This Row],[High Tol]]),"Pass","Fail"))</f>
        <v>Fail</v>
      </c>
      <c r="AD872" s="1" t="str">
        <f>IF(AND(Table1[[#This Row],[Spec Type2]]="N/A",Table1[[#This Row],[DUT Adj Read]]="N/A",Table1[[#This Row],[Std Adj Read]]="N/A"),"N/A",IF(Table1[[#This Row],[DUT Adj Read]]="N/A",IF(Table1[[#This Row],[Std Adj Read]]&gt;Table1[[#This Row],[Low Tol]],"Pass","Fail"),IF(Table1[[#This Row],[DUT Adj Read]]&gt;Table1[[#This Row],[Low Tol]],"Pass","Fail")))</f>
        <v>Pass</v>
      </c>
      <c r="AE872" s="1" t="str">
        <f>IF(AND(Table1[[#This Row],[Spec Type2]]="N/A",Table1[[#This Row],[DUT Adj Read]]="N/A",Table1[[#This Row],[Std Adj Read]]="N/A"),"N/A",IF(Table1[[#This Row],[DUT Adj Read]]="N/A",IF(Table1[[#This Row],[Std Adj Read]]&lt;Table1[[#This Row],[High Tol]],"Pass","Fail"),IF(Table1[[#This Row],[DUT Adj Read]]&lt;Table1[[#This Row],[High Tol]],"Pass","Fail")))</f>
        <v>Fail</v>
      </c>
      <c r="AF872" s="1" t="str">
        <f>IF(AND(Table1[[#This Row],[Spec Type2]]="N/A",Table1[[#This Row],[DUT Adj Read]]="N/A",Table1[[#This Row],[Std Adj Read]]="N/A"),"N/A",IF(Table1[[#This Row],[DUT Adj Read]]="N/A",IF(Table1[[#This Row],[Std Adj Read]]&gt;=Table1[[#This Row],[Low Tol]],"Pass","Fail"),IF(Table1[[#This Row],[DUT Adj Read]]&gt;=Table1[[#This Row],[Low Tol]],"Pass","Fail")))</f>
        <v>Pass</v>
      </c>
      <c r="AG872" s="1" t="str">
        <f>IF(AND(Table1[[#This Row],[Spec Type2]]="N/A",Table1[[#This Row],[DUT Adj Read]]="N/A",Table1[[#This Row],[Std Adj Read]]="N/A"),"N/A",IF(Table1[[#This Row],[DUT Adj Read]]="N/A",IF(Table1[[#This Row],[Std Adj Read]]&lt;=Table1[[#This Row],[High Tol]],"Pass","Fail"),IF(Table1[[#This Row],[DUT Adj Read]]&lt;=Table1[[#This Row],[High Tol]],"Pass","Fail")))</f>
        <v>Fail</v>
      </c>
      <c r="AH8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2" s="1" t="b">
        <v>0</v>
      </c>
      <c r="AN872" s="1" t="b">
        <v>0</v>
      </c>
      <c r="AO872" s="1" t="b">
        <v>0</v>
      </c>
    </row>
    <row r="873" spans="1:41" x14ac:dyDescent="0.25">
      <c r="A873" s="10"/>
      <c r="B873" s="10"/>
      <c r="C873" s="10"/>
      <c r="D873" s="10"/>
      <c r="E873" s="10"/>
      <c r="F873" s="10"/>
      <c r="G873" s="10"/>
      <c r="H873" s="10"/>
      <c r="I873" s="1" t="str">
        <f t="shared" si="39"/>
        <v/>
      </c>
      <c r="J873" s="1" t="s">
        <v>35</v>
      </c>
      <c r="K873" s="1" t="str">
        <f t="shared" si="40"/>
        <v/>
      </c>
      <c r="L873" s="1" t="str">
        <f t="shared" si="41"/>
        <v/>
      </c>
      <c r="M873" s="1">
        <f>IF(OR(Table1[[#This Row],[Std Nom]]="",Table1[[#This Row],[Std Read]]=""),0,Table1[[#This Row],[Std Nom]]-Table1[[#This Row],[Std Read]])</f>
        <v>0</v>
      </c>
      <c r="N873" s="1">
        <f>IF(Calculations!$F$5="ACCREDITED 17025 WITH UNCERTAINTIES",$N$10,0)</f>
        <v>0</v>
      </c>
      <c r="Q873" s="1">
        <f>Table1[[#This Row],[High Tol]]-Table1[[#This Row],[Low Tol]]</f>
        <v>0</v>
      </c>
      <c r="R873" s="1">
        <f>2*Table1[[#This Row],[Std Error]]</f>
        <v>0</v>
      </c>
      <c r="S873" s="1" t="str">
        <f>IF(Table1[[#This Row],[High Tol]]="","N/A",IFERROR(ABS(Table1[[#This Row],[Tol Span]]/Table1[[#This Row],[Error Span]]),"N/A"))</f>
        <v>N/A</v>
      </c>
      <c r="T873" s="1" t="str">
        <f>IF(OR(Table1[[#This Row],[Low Tol]]="",Table1[[#This Row],[High Tol]]=""),"Needs Analysis",IF(Table1[[#This Row],[Ratio]]&gt;=4,"Not Significant",IF(Table1[[#This Row],[Ratio]]&gt;=2,"Semi-Significant","Significant")))</f>
        <v>Needs Analysis</v>
      </c>
      <c r="W873" s="1">
        <f>IF(Table1[[#This Row],[Cal Type]]&lt;&gt;"ACCREDITED 17025 WITH UNCERTAINTIES",0,"")</f>
        <v>0</v>
      </c>
      <c r="X873" s="1" t="str">
        <f>IF(Table1[[#This Row],[DUT Read]]="","N/A",Table1[[#This Row],[Std Error]]+Table1[[#This Row],[DUT Read]]+Table1[[#This Row],[DUT Ucty]])</f>
        <v>N/A</v>
      </c>
      <c r="Y873" s="1" t="str">
        <f>IF(Table1[[#This Row],[Std Read]]="","N/A",Table1[[#This Row],[Std Read]]+Table1[[#This Row],[Std Ucty]])</f>
        <v>N/A</v>
      </c>
      <c r="Z8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3" s="1" t="str">
        <f>IF(Table1[[#This Row],[Spec Type]]="","N/A",Table1[[#This Row],[Spec Type]])</f>
        <v>±</v>
      </c>
      <c r="AC873" s="1" t="str">
        <f>IF(Table1[[#This Row],[Spec Type2]]="N/A","N/A",IF(AND(Table1[[#This Row],[DUT Adj Read]]&gt;=Table1[[#This Row],[Low Tol]],Table1[[#This Row],[DUT Adj Read]]&lt;=Table1[[#This Row],[High Tol]]),"Pass","Fail"))</f>
        <v>Fail</v>
      </c>
      <c r="AD873" s="1" t="str">
        <f>IF(AND(Table1[[#This Row],[Spec Type2]]="N/A",Table1[[#This Row],[DUT Adj Read]]="N/A",Table1[[#This Row],[Std Adj Read]]="N/A"),"N/A",IF(Table1[[#This Row],[DUT Adj Read]]="N/A",IF(Table1[[#This Row],[Std Adj Read]]&gt;Table1[[#This Row],[Low Tol]],"Pass","Fail"),IF(Table1[[#This Row],[DUT Adj Read]]&gt;Table1[[#This Row],[Low Tol]],"Pass","Fail")))</f>
        <v>Pass</v>
      </c>
      <c r="AE873" s="1" t="str">
        <f>IF(AND(Table1[[#This Row],[Spec Type2]]="N/A",Table1[[#This Row],[DUT Adj Read]]="N/A",Table1[[#This Row],[Std Adj Read]]="N/A"),"N/A",IF(Table1[[#This Row],[DUT Adj Read]]="N/A",IF(Table1[[#This Row],[Std Adj Read]]&lt;Table1[[#This Row],[High Tol]],"Pass","Fail"),IF(Table1[[#This Row],[DUT Adj Read]]&lt;Table1[[#This Row],[High Tol]],"Pass","Fail")))</f>
        <v>Fail</v>
      </c>
      <c r="AF873" s="1" t="str">
        <f>IF(AND(Table1[[#This Row],[Spec Type2]]="N/A",Table1[[#This Row],[DUT Adj Read]]="N/A",Table1[[#This Row],[Std Adj Read]]="N/A"),"N/A",IF(Table1[[#This Row],[DUT Adj Read]]="N/A",IF(Table1[[#This Row],[Std Adj Read]]&gt;=Table1[[#This Row],[Low Tol]],"Pass","Fail"),IF(Table1[[#This Row],[DUT Adj Read]]&gt;=Table1[[#This Row],[Low Tol]],"Pass","Fail")))</f>
        <v>Pass</v>
      </c>
      <c r="AG873" s="1" t="str">
        <f>IF(AND(Table1[[#This Row],[Spec Type2]]="N/A",Table1[[#This Row],[DUT Adj Read]]="N/A",Table1[[#This Row],[Std Adj Read]]="N/A"),"N/A",IF(Table1[[#This Row],[DUT Adj Read]]="N/A",IF(Table1[[#This Row],[Std Adj Read]]&lt;=Table1[[#This Row],[High Tol]],"Pass","Fail"),IF(Table1[[#This Row],[DUT Adj Read]]&lt;=Table1[[#This Row],[High Tol]],"Pass","Fail")))</f>
        <v>Fail</v>
      </c>
      <c r="AH8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3" s="1" t="b">
        <v>0</v>
      </c>
      <c r="AN873" s="1" t="b">
        <v>0</v>
      </c>
      <c r="AO873" s="1" t="b">
        <v>0</v>
      </c>
    </row>
    <row r="874" spans="1:41" x14ac:dyDescent="0.25">
      <c r="A874" s="10"/>
      <c r="B874" s="10"/>
      <c r="C874" s="10"/>
      <c r="D874" s="10"/>
      <c r="E874" s="10"/>
      <c r="F874" s="10"/>
      <c r="G874" s="10"/>
      <c r="H874" s="10"/>
      <c r="I874" s="1" t="str">
        <f t="shared" si="39"/>
        <v/>
      </c>
      <c r="J874" s="1" t="s">
        <v>35</v>
      </c>
      <c r="K874" s="1" t="str">
        <f t="shared" si="40"/>
        <v/>
      </c>
      <c r="L874" s="1" t="str">
        <f t="shared" si="41"/>
        <v/>
      </c>
      <c r="M874" s="1">
        <f>IF(OR(Table1[[#This Row],[Std Nom]]="",Table1[[#This Row],[Std Read]]=""),0,Table1[[#This Row],[Std Nom]]-Table1[[#This Row],[Std Read]])</f>
        <v>0</v>
      </c>
      <c r="N874" s="1">
        <f>IF(Calculations!$F$5="ACCREDITED 17025 WITH UNCERTAINTIES",$N$10,0)</f>
        <v>0</v>
      </c>
      <c r="Q874" s="1">
        <f>Table1[[#This Row],[High Tol]]-Table1[[#This Row],[Low Tol]]</f>
        <v>0</v>
      </c>
      <c r="R874" s="1">
        <f>2*Table1[[#This Row],[Std Error]]</f>
        <v>0</v>
      </c>
      <c r="S874" s="1" t="str">
        <f>IF(Table1[[#This Row],[High Tol]]="","N/A",IFERROR(ABS(Table1[[#This Row],[Tol Span]]/Table1[[#This Row],[Error Span]]),"N/A"))</f>
        <v>N/A</v>
      </c>
      <c r="T874" s="1" t="str">
        <f>IF(OR(Table1[[#This Row],[Low Tol]]="",Table1[[#This Row],[High Tol]]=""),"Needs Analysis",IF(Table1[[#This Row],[Ratio]]&gt;=4,"Not Significant",IF(Table1[[#This Row],[Ratio]]&gt;=2,"Semi-Significant","Significant")))</f>
        <v>Needs Analysis</v>
      </c>
      <c r="W874" s="1">
        <f>IF(Table1[[#This Row],[Cal Type]]&lt;&gt;"ACCREDITED 17025 WITH UNCERTAINTIES",0,"")</f>
        <v>0</v>
      </c>
      <c r="X874" s="1" t="str">
        <f>IF(Table1[[#This Row],[DUT Read]]="","N/A",Table1[[#This Row],[Std Error]]+Table1[[#This Row],[DUT Read]]+Table1[[#This Row],[DUT Ucty]])</f>
        <v>N/A</v>
      </c>
      <c r="Y874" s="1" t="str">
        <f>IF(Table1[[#This Row],[Std Read]]="","N/A",Table1[[#This Row],[Std Read]]+Table1[[#This Row],[Std Ucty]])</f>
        <v>N/A</v>
      </c>
      <c r="Z8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4" s="1" t="str">
        <f>IF(Table1[[#This Row],[Spec Type]]="","N/A",Table1[[#This Row],[Spec Type]])</f>
        <v>±</v>
      </c>
      <c r="AC874" s="1" t="str">
        <f>IF(Table1[[#This Row],[Spec Type2]]="N/A","N/A",IF(AND(Table1[[#This Row],[DUT Adj Read]]&gt;=Table1[[#This Row],[Low Tol]],Table1[[#This Row],[DUT Adj Read]]&lt;=Table1[[#This Row],[High Tol]]),"Pass","Fail"))</f>
        <v>Fail</v>
      </c>
      <c r="AD874" s="1" t="str">
        <f>IF(AND(Table1[[#This Row],[Spec Type2]]="N/A",Table1[[#This Row],[DUT Adj Read]]="N/A",Table1[[#This Row],[Std Adj Read]]="N/A"),"N/A",IF(Table1[[#This Row],[DUT Adj Read]]="N/A",IF(Table1[[#This Row],[Std Adj Read]]&gt;Table1[[#This Row],[Low Tol]],"Pass","Fail"),IF(Table1[[#This Row],[DUT Adj Read]]&gt;Table1[[#This Row],[Low Tol]],"Pass","Fail")))</f>
        <v>Pass</v>
      </c>
      <c r="AE874" s="1" t="str">
        <f>IF(AND(Table1[[#This Row],[Spec Type2]]="N/A",Table1[[#This Row],[DUT Adj Read]]="N/A",Table1[[#This Row],[Std Adj Read]]="N/A"),"N/A",IF(Table1[[#This Row],[DUT Adj Read]]="N/A",IF(Table1[[#This Row],[Std Adj Read]]&lt;Table1[[#This Row],[High Tol]],"Pass","Fail"),IF(Table1[[#This Row],[DUT Adj Read]]&lt;Table1[[#This Row],[High Tol]],"Pass","Fail")))</f>
        <v>Fail</v>
      </c>
      <c r="AF874" s="1" t="str">
        <f>IF(AND(Table1[[#This Row],[Spec Type2]]="N/A",Table1[[#This Row],[DUT Adj Read]]="N/A",Table1[[#This Row],[Std Adj Read]]="N/A"),"N/A",IF(Table1[[#This Row],[DUT Adj Read]]="N/A",IF(Table1[[#This Row],[Std Adj Read]]&gt;=Table1[[#This Row],[Low Tol]],"Pass","Fail"),IF(Table1[[#This Row],[DUT Adj Read]]&gt;=Table1[[#This Row],[Low Tol]],"Pass","Fail")))</f>
        <v>Pass</v>
      </c>
      <c r="AG874" s="1" t="str">
        <f>IF(AND(Table1[[#This Row],[Spec Type2]]="N/A",Table1[[#This Row],[DUT Adj Read]]="N/A",Table1[[#This Row],[Std Adj Read]]="N/A"),"N/A",IF(Table1[[#This Row],[DUT Adj Read]]="N/A",IF(Table1[[#This Row],[Std Adj Read]]&lt;=Table1[[#This Row],[High Tol]],"Pass","Fail"),IF(Table1[[#This Row],[DUT Adj Read]]&lt;=Table1[[#This Row],[High Tol]],"Pass","Fail")))</f>
        <v>Fail</v>
      </c>
      <c r="AH8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4" s="1" t="b">
        <v>0</v>
      </c>
      <c r="AN874" s="1" t="b">
        <v>0</v>
      </c>
      <c r="AO874" s="1" t="b">
        <v>0</v>
      </c>
    </row>
    <row r="875" spans="1:41" x14ac:dyDescent="0.25">
      <c r="A875" s="10"/>
      <c r="B875" s="10"/>
      <c r="C875" s="10"/>
      <c r="D875" s="10"/>
      <c r="E875" s="10"/>
      <c r="F875" s="10"/>
      <c r="G875" s="10"/>
      <c r="H875" s="10"/>
      <c r="I875" s="1" t="str">
        <f t="shared" si="39"/>
        <v/>
      </c>
      <c r="J875" s="1" t="s">
        <v>35</v>
      </c>
      <c r="K875" s="1" t="str">
        <f t="shared" si="40"/>
        <v/>
      </c>
      <c r="L875" s="1" t="str">
        <f t="shared" si="41"/>
        <v/>
      </c>
      <c r="M875" s="1">
        <f>IF(OR(Table1[[#This Row],[Std Nom]]="",Table1[[#This Row],[Std Read]]=""),0,Table1[[#This Row],[Std Nom]]-Table1[[#This Row],[Std Read]])</f>
        <v>0</v>
      </c>
      <c r="N875" s="1">
        <f>IF(Calculations!$F$5="ACCREDITED 17025 WITH UNCERTAINTIES",$N$10,0)</f>
        <v>0</v>
      </c>
      <c r="Q875" s="1">
        <f>Table1[[#This Row],[High Tol]]-Table1[[#This Row],[Low Tol]]</f>
        <v>0</v>
      </c>
      <c r="R875" s="1">
        <f>2*Table1[[#This Row],[Std Error]]</f>
        <v>0</v>
      </c>
      <c r="S875" s="1" t="str">
        <f>IF(Table1[[#This Row],[High Tol]]="","N/A",IFERROR(ABS(Table1[[#This Row],[Tol Span]]/Table1[[#This Row],[Error Span]]),"N/A"))</f>
        <v>N/A</v>
      </c>
      <c r="T875" s="1" t="str">
        <f>IF(OR(Table1[[#This Row],[Low Tol]]="",Table1[[#This Row],[High Tol]]=""),"Needs Analysis",IF(Table1[[#This Row],[Ratio]]&gt;=4,"Not Significant",IF(Table1[[#This Row],[Ratio]]&gt;=2,"Semi-Significant","Significant")))</f>
        <v>Needs Analysis</v>
      </c>
      <c r="W875" s="1">
        <f>IF(Table1[[#This Row],[Cal Type]]&lt;&gt;"ACCREDITED 17025 WITH UNCERTAINTIES",0,"")</f>
        <v>0</v>
      </c>
      <c r="X875" s="1" t="str">
        <f>IF(Table1[[#This Row],[DUT Read]]="","N/A",Table1[[#This Row],[Std Error]]+Table1[[#This Row],[DUT Read]]+Table1[[#This Row],[DUT Ucty]])</f>
        <v>N/A</v>
      </c>
      <c r="Y875" s="1" t="str">
        <f>IF(Table1[[#This Row],[Std Read]]="","N/A",Table1[[#This Row],[Std Read]]+Table1[[#This Row],[Std Ucty]])</f>
        <v>N/A</v>
      </c>
      <c r="Z8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5" s="1" t="str">
        <f>IF(Table1[[#This Row],[Spec Type]]="","N/A",Table1[[#This Row],[Spec Type]])</f>
        <v>±</v>
      </c>
      <c r="AC875" s="1" t="str">
        <f>IF(Table1[[#This Row],[Spec Type2]]="N/A","N/A",IF(AND(Table1[[#This Row],[DUT Adj Read]]&gt;=Table1[[#This Row],[Low Tol]],Table1[[#This Row],[DUT Adj Read]]&lt;=Table1[[#This Row],[High Tol]]),"Pass","Fail"))</f>
        <v>Fail</v>
      </c>
      <c r="AD875" s="1" t="str">
        <f>IF(AND(Table1[[#This Row],[Spec Type2]]="N/A",Table1[[#This Row],[DUT Adj Read]]="N/A",Table1[[#This Row],[Std Adj Read]]="N/A"),"N/A",IF(Table1[[#This Row],[DUT Adj Read]]="N/A",IF(Table1[[#This Row],[Std Adj Read]]&gt;Table1[[#This Row],[Low Tol]],"Pass","Fail"),IF(Table1[[#This Row],[DUT Adj Read]]&gt;Table1[[#This Row],[Low Tol]],"Pass","Fail")))</f>
        <v>Pass</v>
      </c>
      <c r="AE875" s="1" t="str">
        <f>IF(AND(Table1[[#This Row],[Spec Type2]]="N/A",Table1[[#This Row],[DUT Adj Read]]="N/A",Table1[[#This Row],[Std Adj Read]]="N/A"),"N/A",IF(Table1[[#This Row],[DUT Adj Read]]="N/A",IF(Table1[[#This Row],[Std Adj Read]]&lt;Table1[[#This Row],[High Tol]],"Pass","Fail"),IF(Table1[[#This Row],[DUT Adj Read]]&lt;Table1[[#This Row],[High Tol]],"Pass","Fail")))</f>
        <v>Fail</v>
      </c>
      <c r="AF875" s="1" t="str">
        <f>IF(AND(Table1[[#This Row],[Spec Type2]]="N/A",Table1[[#This Row],[DUT Adj Read]]="N/A",Table1[[#This Row],[Std Adj Read]]="N/A"),"N/A",IF(Table1[[#This Row],[DUT Adj Read]]="N/A",IF(Table1[[#This Row],[Std Adj Read]]&gt;=Table1[[#This Row],[Low Tol]],"Pass","Fail"),IF(Table1[[#This Row],[DUT Adj Read]]&gt;=Table1[[#This Row],[Low Tol]],"Pass","Fail")))</f>
        <v>Pass</v>
      </c>
      <c r="AG875" s="1" t="str">
        <f>IF(AND(Table1[[#This Row],[Spec Type2]]="N/A",Table1[[#This Row],[DUT Adj Read]]="N/A",Table1[[#This Row],[Std Adj Read]]="N/A"),"N/A",IF(Table1[[#This Row],[DUT Adj Read]]="N/A",IF(Table1[[#This Row],[Std Adj Read]]&lt;=Table1[[#This Row],[High Tol]],"Pass","Fail"),IF(Table1[[#This Row],[DUT Adj Read]]&lt;=Table1[[#This Row],[High Tol]],"Pass","Fail")))</f>
        <v>Fail</v>
      </c>
      <c r="AH8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5" s="1" t="b">
        <v>0</v>
      </c>
      <c r="AN875" s="1" t="b">
        <v>0</v>
      </c>
      <c r="AO875" s="1" t="b">
        <v>0</v>
      </c>
    </row>
    <row r="876" spans="1:41" x14ac:dyDescent="0.25">
      <c r="A876" s="10"/>
      <c r="B876" s="10"/>
      <c r="C876" s="10"/>
      <c r="D876" s="10"/>
      <c r="E876" s="10"/>
      <c r="F876" s="10"/>
      <c r="G876" s="10"/>
      <c r="H876" s="10"/>
      <c r="I876" s="1" t="str">
        <f t="shared" si="39"/>
        <v/>
      </c>
      <c r="J876" s="1" t="s">
        <v>35</v>
      </c>
      <c r="K876" s="1" t="str">
        <f t="shared" si="40"/>
        <v/>
      </c>
      <c r="L876" s="1" t="str">
        <f t="shared" si="41"/>
        <v/>
      </c>
      <c r="M876" s="1">
        <f>IF(OR(Table1[[#This Row],[Std Nom]]="",Table1[[#This Row],[Std Read]]=""),0,Table1[[#This Row],[Std Nom]]-Table1[[#This Row],[Std Read]])</f>
        <v>0</v>
      </c>
      <c r="N876" s="1">
        <f>IF(Calculations!$F$5="ACCREDITED 17025 WITH UNCERTAINTIES",$N$10,0)</f>
        <v>0</v>
      </c>
      <c r="Q876" s="1">
        <f>Table1[[#This Row],[High Tol]]-Table1[[#This Row],[Low Tol]]</f>
        <v>0</v>
      </c>
      <c r="R876" s="1">
        <f>2*Table1[[#This Row],[Std Error]]</f>
        <v>0</v>
      </c>
      <c r="S876" s="1" t="str">
        <f>IF(Table1[[#This Row],[High Tol]]="","N/A",IFERROR(ABS(Table1[[#This Row],[Tol Span]]/Table1[[#This Row],[Error Span]]),"N/A"))</f>
        <v>N/A</v>
      </c>
      <c r="T876" s="1" t="str">
        <f>IF(OR(Table1[[#This Row],[Low Tol]]="",Table1[[#This Row],[High Tol]]=""),"Needs Analysis",IF(Table1[[#This Row],[Ratio]]&gt;=4,"Not Significant",IF(Table1[[#This Row],[Ratio]]&gt;=2,"Semi-Significant","Significant")))</f>
        <v>Needs Analysis</v>
      </c>
      <c r="W876" s="1">
        <f>IF(Table1[[#This Row],[Cal Type]]&lt;&gt;"ACCREDITED 17025 WITH UNCERTAINTIES",0,"")</f>
        <v>0</v>
      </c>
      <c r="X876" s="1" t="str">
        <f>IF(Table1[[#This Row],[DUT Read]]="","N/A",Table1[[#This Row],[Std Error]]+Table1[[#This Row],[DUT Read]]+Table1[[#This Row],[DUT Ucty]])</f>
        <v>N/A</v>
      </c>
      <c r="Y876" s="1" t="str">
        <f>IF(Table1[[#This Row],[Std Read]]="","N/A",Table1[[#This Row],[Std Read]]+Table1[[#This Row],[Std Ucty]])</f>
        <v>N/A</v>
      </c>
      <c r="Z8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6" s="1" t="str">
        <f>IF(Table1[[#This Row],[Spec Type]]="","N/A",Table1[[#This Row],[Spec Type]])</f>
        <v>±</v>
      </c>
      <c r="AC876" s="1" t="str">
        <f>IF(Table1[[#This Row],[Spec Type2]]="N/A","N/A",IF(AND(Table1[[#This Row],[DUT Adj Read]]&gt;=Table1[[#This Row],[Low Tol]],Table1[[#This Row],[DUT Adj Read]]&lt;=Table1[[#This Row],[High Tol]]),"Pass","Fail"))</f>
        <v>Fail</v>
      </c>
      <c r="AD876" s="1" t="str">
        <f>IF(AND(Table1[[#This Row],[Spec Type2]]="N/A",Table1[[#This Row],[DUT Adj Read]]="N/A",Table1[[#This Row],[Std Adj Read]]="N/A"),"N/A",IF(Table1[[#This Row],[DUT Adj Read]]="N/A",IF(Table1[[#This Row],[Std Adj Read]]&gt;Table1[[#This Row],[Low Tol]],"Pass","Fail"),IF(Table1[[#This Row],[DUT Adj Read]]&gt;Table1[[#This Row],[Low Tol]],"Pass","Fail")))</f>
        <v>Pass</v>
      </c>
      <c r="AE876" s="1" t="str">
        <f>IF(AND(Table1[[#This Row],[Spec Type2]]="N/A",Table1[[#This Row],[DUT Adj Read]]="N/A",Table1[[#This Row],[Std Adj Read]]="N/A"),"N/A",IF(Table1[[#This Row],[DUT Adj Read]]="N/A",IF(Table1[[#This Row],[Std Adj Read]]&lt;Table1[[#This Row],[High Tol]],"Pass","Fail"),IF(Table1[[#This Row],[DUT Adj Read]]&lt;Table1[[#This Row],[High Tol]],"Pass","Fail")))</f>
        <v>Fail</v>
      </c>
      <c r="AF876" s="1" t="str">
        <f>IF(AND(Table1[[#This Row],[Spec Type2]]="N/A",Table1[[#This Row],[DUT Adj Read]]="N/A",Table1[[#This Row],[Std Adj Read]]="N/A"),"N/A",IF(Table1[[#This Row],[DUT Adj Read]]="N/A",IF(Table1[[#This Row],[Std Adj Read]]&gt;=Table1[[#This Row],[Low Tol]],"Pass","Fail"),IF(Table1[[#This Row],[DUT Adj Read]]&gt;=Table1[[#This Row],[Low Tol]],"Pass","Fail")))</f>
        <v>Pass</v>
      </c>
      <c r="AG876" s="1" t="str">
        <f>IF(AND(Table1[[#This Row],[Spec Type2]]="N/A",Table1[[#This Row],[DUT Adj Read]]="N/A",Table1[[#This Row],[Std Adj Read]]="N/A"),"N/A",IF(Table1[[#This Row],[DUT Adj Read]]="N/A",IF(Table1[[#This Row],[Std Adj Read]]&lt;=Table1[[#This Row],[High Tol]],"Pass","Fail"),IF(Table1[[#This Row],[DUT Adj Read]]&lt;=Table1[[#This Row],[High Tol]],"Pass","Fail")))</f>
        <v>Fail</v>
      </c>
      <c r="AH8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6" s="1" t="b">
        <v>0</v>
      </c>
      <c r="AN876" s="1" t="b">
        <v>0</v>
      </c>
      <c r="AO876" s="1" t="b">
        <v>0</v>
      </c>
    </row>
    <row r="877" spans="1:41" x14ac:dyDescent="0.25">
      <c r="A877" s="10"/>
      <c r="B877" s="10"/>
      <c r="C877" s="10"/>
      <c r="D877" s="10"/>
      <c r="E877" s="10"/>
      <c r="F877" s="10"/>
      <c r="G877" s="10"/>
      <c r="H877" s="10"/>
      <c r="I877" s="1" t="str">
        <f t="shared" si="39"/>
        <v/>
      </c>
      <c r="J877" s="1" t="s">
        <v>35</v>
      </c>
      <c r="K877" s="1" t="str">
        <f t="shared" si="40"/>
        <v/>
      </c>
      <c r="L877" s="1" t="str">
        <f t="shared" si="41"/>
        <v/>
      </c>
      <c r="M877" s="1">
        <f>IF(OR(Table1[[#This Row],[Std Nom]]="",Table1[[#This Row],[Std Read]]=""),0,Table1[[#This Row],[Std Nom]]-Table1[[#This Row],[Std Read]])</f>
        <v>0</v>
      </c>
      <c r="N877" s="1">
        <f>IF(Calculations!$F$5="ACCREDITED 17025 WITH UNCERTAINTIES",$N$10,0)</f>
        <v>0</v>
      </c>
      <c r="Q877" s="1">
        <f>Table1[[#This Row],[High Tol]]-Table1[[#This Row],[Low Tol]]</f>
        <v>0</v>
      </c>
      <c r="R877" s="1">
        <f>2*Table1[[#This Row],[Std Error]]</f>
        <v>0</v>
      </c>
      <c r="S877" s="1" t="str">
        <f>IF(Table1[[#This Row],[High Tol]]="","N/A",IFERROR(ABS(Table1[[#This Row],[Tol Span]]/Table1[[#This Row],[Error Span]]),"N/A"))</f>
        <v>N/A</v>
      </c>
      <c r="T877" s="1" t="str">
        <f>IF(OR(Table1[[#This Row],[Low Tol]]="",Table1[[#This Row],[High Tol]]=""),"Needs Analysis",IF(Table1[[#This Row],[Ratio]]&gt;=4,"Not Significant",IF(Table1[[#This Row],[Ratio]]&gt;=2,"Semi-Significant","Significant")))</f>
        <v>Needs Analysis</v>
      </c>
      <c r="W877" s="1">
        <f>IF(Table1[[#This Row],[Cal Type]]&lt;&gt;"ACCREDITED 17025 WITH UNCERTAINTIES",0,"")</f>
        <v>0</v>
      </c>
      <c r="X877" s="1" t="str">
        <f>IF(Table1[[#This Row],[DUT Read]]="","N/A",Table1[[#This Row],[Std Error]]+Table1[[#This Row],[DUT Read]]+Table1[[#This Row],[DUT Ucty]])</f>
        <v>N/A</v>
      </c>
      <c r="Y877" s="1" t="str">
        <f>IF(Table1[[#This Row],[Std Read]]="","N/A",Table1[[#This Row],[Std Read]]+Table1[[#This Row],[Std Ucty]])</f>
        <v>N/A</v>
      </c>
      <c r="Z8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7" s="1" t="str">
        <f>IF(Table1[[#This Row],[Spec Type]]="","N/A",Table1[[#This Row],[Spec Type]])</f>
        <v>±</v>
      </c>
      <c r="AC877" s="1" t="str">
        <f>IF(Table1[[#This Row],[Spec Type2]]="N/A","N/A",IF(AND(Table1[[#This Row],[DUT Adj Read]]&gt;=Table1[[#This Row],[Low Tol]],Table1[[#This Row],[DUT Adj Read]]&lt;=Table1[[#This Row],[High Tol]]),"Pass","Fail"))</f>
        <v>Fail</v>
      </c>
      <c r="AD877" s="1" t="str">
        <f>IF(AND(Table1[[#This Row],[Spec Type2]]="N/A",Table1[[#This Row],[DUT Adj Read]]="N/A",Table1[[#This Row],[Std Adj Read]]="N/A"),"N/A",IF(Table1[[#This Row],[DUT Adj Read]]="N/A",IF(Table1[[#This Row],[Std Adj Read]]&gt;Table1[[#This Row],[Low Tol]],"Pass","Fail"),IF(Table1[[#This Row],[DUT Adj Read]]&gt;Table1[[#This Row],[Low Tol]],"Pass","Fail")))</f>
        <v>Pass</v>
      </c>
      <c r="AE877" s="1" t="str">
        <f>IF(AND(Table1[[#This Row],[Spec Type2]]="N/A",Table1[[#This Row],[DUT Adj Read]]="N/A",Table1[[#This Row],[Std Adj Read]]="N/A"),"N/A",IF(Table1[[#This Row],[DUT Adj Read]]="N/A",IF(Table1[[#This Row],[Std Adj Read]]&lt;Table1[[#This Row],[High Tol]],"Pass","Fail"),IF(Table1[[#This Row],[DUT Adj Read]]&lt;Table1[[#This Row],[High Tol]],"Pass","Fail")))</f>
        <v>Fail</v>
      </c>
      <c r="AF877" s="1" t="str">
        <f>IF(AND(Table1[[#This Row],[Spec Type2]]="N/A",Table1[[#This Row],[DUT Adj Read]]="N/A",Table1[[#This Row],[Std Adj Read]]="N/A"),"N/A",IF(Table1[[#This Row],[DUT Adj Read]]="N/A",IF(Table1[[#This Row],[Std Adj Read]]&gt;=Table1[[#This Row],[Low Tol]],"Pass","Fail"),IF(Table1[[#This Row],[DUT Adj Read]]&gt;=Table1[[#This Row],[Low Tol]],"Pass","Fail")))</f>
        <v>Pass</v>
      </c>
      <c r="AG877" s="1" t="str">
        <f>IF(AND(Table1[[#This Row],[Spec Type2]]="N/A",Table1[[#This Row],[DUT Adj Read]]="N/A",Table1[[#This Row],[Std Adj Read]]="N/A"),"N/A",IF(Table1[[#This Row],[DUT Adj Read]]="N/A",IF(Table1[[#This Row],[Std Adj Read]]&lt;=Table1[[#This Row],[High Tol]],"Pass","Fail"),IF(Table1[[#This Row],[DUT Adj Read]]&lt;=Table1[[#This Row],[High Tol]],"Pass","Fail")))</f>
        <v>Fail</v>
      </c>
      <c r="AH8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7" s="1" t="b">
        <v>0</v>
      </c>
      <c r="AN877" s="1" t="b">
        <v>0</v>
      </c>
      <c r="AO877" s="1" t="b">
        <v>0</v>
      </c>
    </row>
    <row r="878" spans="1:41" x14ac:dyDescent="0.25">
      <c r="A878" s="10"/>
      <c r="B878" s="10"/>
      <c r="C878" s="10"/>
      <c r="D878" s="10"/>
      <c r="E878" s="10"/>
      <c r="F878" s="10"/>
      <c r="G878" s="10"/>
      <c r="H878" s="10"/>
      <c r="I878" s="1" t="str">
        <f t="shared" si="39"/>
        <v/>
      </c>
      <c r="J878" s="1" t="s">
        <v>35</v>
      </c>
      <c r="K878" s="1" t="str">
        <f t="shared" si="40"/>
        <v/>
      </c>
      <c r="L878" s="1" t="str">
        <f t="shared" si="41"/>
        <v/>
      </c>
      <c r="M878" s="1">
        <f>IF(OR(Table1[[#This Row],[Std Nom]]="",Table1[[#This Row],[Std Read]]=""),0,Table1[[#This Row],[Std Nom]]-Table1[[#This Row],[Std Read]])</f>
        <v>0</v>
      </c>
      <c r="N878" s="1">
        <f>IF(Calculations!$F$5="ACCREDITED 17025 WITH UNCERTAINTIES",$N$10,0)</f>
        <v>0</v>
      </c>
      <c r="Q878" s="1">
        <f>Table1[[#This Row],[High Tol]]-Table1[[#This Row],[Low Tol]]</f>
        <v>0</v>
      </c>
      <c r="R878" s="1">
        <f>2*Table1[[#This Row],[Std Error]]</f>
        <v>0</v>
      </c>
      <c r="S878" s="1" t="str">
        <f>IF(Table1[[#This Row],[High Tol]]="","N/A",IFERROR(ABS(Table1[[#This Row],[Tol Span]]/Table1[[#This Row],[Error Span]]),"N/A"))</f>
        <v>N/A</v>
      </c>
      <c r="T878" s="1" t="str">
        <f>IF(OR(Table1[[#This Row],[Low Tol]]="",Table1[[#This Row],[High Tol]]=""),"Needs Analysis",IF(Table1[[#This Row],[Ratio]]&gt;=4,"Not Significant",IF(Table1[[#This Row],[Ratio]]&gt;=2,"Semi-Significant","Significant")))</f>
        <v>Needs Analysis</v>
      </c>
      <c r="W878" s="1">
        <f>IF(Table1[[#This Row],[Cal Type]]&lt;&gt;"ACCREDITED 17025 WITH UNCERTAINTIES",0,"")</f>
        <v>0</v>
      </c>
      <c r="X878" s="1" t="str">
        <f>IF(Table1[[#This Row],[DUT Read]]="","N/A",Table1[[#This Row],[Std Error]]+Table1[[#This Row],[DUT Read]]+Table1[[#This Row],[DUT Ucty]])</f>
        <v>N/A</v>
      </c>
      <c r="Y878" s="1" t="str">
        <f>IF(Table1[[#This Row],[Std Read]]="","N/A",Table1[[#This Row],[Std Read]]+Table1[[#This Row],[Std Ucty]])</f>
        <v>N/A</v>
      </c>
      <c r="Z8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8" s="1" t="str">
        <f>IF(Table1[[#This Row],[Spec Type]]="","N/A",Table1[[#This Row],[Spec Type]])</f>
        <v>±</v>
      </c>
      <c r="AC878" s="1" t="str">
        <f>IF(Table1[[#This Row],[Spec Type2]]="N/A","N/A",IF(AND(Table1[[#This Row],[DUT Adj Read]]&gt;=Table1[[#This Row],[Low Tol]],Table1[[#This Row],[DUT Adj Read]]&lt;=Table1[[#This Row],[High Tol]]),"Pass","Fail"))</f>
        <v>Fail</v>
      </c>
      <c r="AD878" s="1" t="str">
        <f>IF(AND(Table1[[#This Row],[Spec Type2]]="N/A",Table1[[#This Row],[DUT Adj Read]]="N/A",Table1[[#This Row],[Std Adj Read]]="N/A"),"N/A",IF(Table1[[#This Row],[DUT Adj Read]]="N/A",IF(Table1[[#This Row],[Std Adj Read]]&gt;Table1[[#This Row],[Low Tol]],"Pass","Fail"),IF(Table1[[#This Row],[DUT Adj Read]]&gt;Table1[[#This Row],[Low Tol]],"Pass","Fail")))</f>
        <v>Pass</v>
      </c>
      <c r="AE878" s="1" t="str">
        <f>IF(AND(Table1[[#This Row],[Spec Type2]]="N/A",Table1[[#This Row],[DUT Adj Read]]="N/A",Table1[[#This Row],[Std Adj Read]]="N/A"),"N/A",IF(Table1[[#This Row],[DUT Adj Read]]="N/A",IF(Table1[[#This Row],[Std Adj Read]]&lt;Table1[[#This Row],[High Tol]],"Pass","Fail"),IF(Table1[[#This Row],[DUT Adj Read]]&lt;Table1[[#This Row],[High Tol]],"Pass","Fail")))</f>
        <v>Fail</v>
      </c>
      <c r="AF878" s="1" t="str">
        <f>IF(AND(Table1[[#This Row],[Spec Type2]]="N/A",Table1[[#This Row],[DUT Adj Read]]="N/A",Table1[[#This Row],[Std Adj Read]]="N/A"),"N/A",IF(Table1[[#This Row],[DUT Adj Read]]="N/A",IF(Table1[[#This Row],[Std Adj Read]]&gt;=Table1[[#This Row],[Low Tol]],"Pass","Fail"),IF(Table1[[#This Row],[DUT Adj Read]]&gt;=Table1[[#This Row],[Low Tol]],"Pass","Fail")))</f>
        <v>Pass</v>
      </c>
      <c r="AG878" s="1" t="str">
        <f>IF(AND(Table1[[#This Row],[Spec Type2]]="N/A",Table1[[#This Row],[DUT Adj Read]]="N/A",Table1[[#This Row],[Std Adj Read]]="N/A"),"N/A",IF(Table1[[#This Row],[DUT Adj Read]]="N/A",IF(Table1[[#This Row],[Std Adj Read]]&lt;=Table1[[#This Row],[High Tol]],"Pass","Fail"),IF(Table1[[#This Row],[DUT Adj Read]]&lt;=Table1[[#This Row],[High Tol]],"Pass","Fail")))</f>
        <v>Fail</v>
      </c>
      <c r="AH8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8" s="1" t="b">
        <v>0</v>
      </c>
      <c r="AN878" s="1" t="b">
        <v>0</v>
      </c>
      <c r="AO878" s="1" t="b">
        <v>0</v>
      </c>
    </row>
    <row r="879" spans="1:41" x14ac:dyDescent="0.25">
      <c r="A879" s="10"/>
      <c r="B879" s="10"/>
      <c r="C879" s="10"/>
      <c r="D879" s="10"/>
      <c r="E879" s="10"/>
      <c r="F879" s="10"/>
      <c r="G879" s="10"/>
      <c r="H879" s="10"/>
      <c r="I879" s="1" t="str">
        <f t="shared" si="39"/>
        <v/>
      </c>
      <c r="J879" s="1" t="s">
        <v>35</v>
      </c>
      <c r="K879" s="1" t="str">
        <f t="shared" si="40"/>
        <v/>
      </c>
      <c r="L879" s="1" t="str">
        <f t="shared" si="41"/>
        <v/>
      </c>
      <c r="M879" s="1">
        <f>IF(OR(Table1[[#This Row],[Std Nom]]="",Table1[[#This Row],[Std Read]]=""),0,Table1[[#This Row],[Std Nom]]-Table1[[#This Row],[Std Read]])</f>
        <v>0</v>
      </c>
      <c r="N879" s="1">
        <f>IF(Calculations!$F$5="ACCREDITED 17025 WITH UNCERTAINTIES",$N$10,0)</f>
        <v>0</v>
      </c>
      <c r="Q879" s="1">
        <f>Table1[[#This Row],[High Tol]]-Table1[[#This Row],[Low Tol]]</f>
        <v>0</v>
      </c>
      <c r="R879" s="1">
        <f>2*Table1[[#This Row],[Std Error]]</f>
        <v>0</v>
      </c>
      <c r="S879" s="1" t="str">
        <f>IF(Table1[[#This Row],[High Tol]]="","N/A",IFERROR(ABS(Table1[[#This Row],[Tol Span]]/Table1[[#This Row],[Error Span]]),"N/A"))</f>
        <v>N/A</v>
      </c>
      <c r="T879" s="1" t="str">
        <f>IF(OR(Table1[[#This Row],[Low Tol]]="",Table1[[#This Row],[High Tol]]=""),"Needs Analysis",IF(Table1[[#This Row],[Ratio]]&gt;=4,"Not Significant",IF(Table1[[#This Row],[Ratio]]&gt;=2,"Semi-Significant","Significant")))</f>
        <v>Needs Analysis</v>
      </c>
      <c r="W879" s="1">
        <f>IF(Table1[[#This Row],[Cal Type]]&lt;&gt;"ACCREDITED 17025 WITH UNCERTAINTIES",0,"")</f>
        <v>0</v>
      </c>
      <c r="X879" s="1" t="str">
        <f>IF(Table1[[#This Row],[DUT Read]]="","N/A",Table1[[#This Row],[Std Error]]+Table1[[#This Row],[DUT Read]]+Table1[[#This Row],[DUT Ucty]])</f>
        <v>N/A</v>
      </c>
      <c r="Y879" s="1" t="str">
        <f>IF(Table1[[#This Row],[Std Read]]="","N/A",Table1[[#This Row],[Std Read]]+Table1[[#This Row],[Std Ucty]])</f>
        <v>N/A</v>
      </c>
      <c r="Z8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79" s="1" t="str">
        <f>IF(Table1[[#This Row],[Spec Type]]="","N/A",Table1[[#This Row],[Spec Type]])</f>
        <v>±</v>
      </c>
      <c r="AC879" s="1" t="str">
        <f>IF(Table1[[#This Row],[Spec Type2]]="N/A","N/A",IF(AND(Table1[[#This Row],[DUT Adj Read]]&gt;=Table1[[#This Row],[Low Tol]],Table1[[#This Row],[DUT Adj Read]]&lt;=Table1[[#This Row],[High Tol]]),"Pass","Fail"))</f>
        <v>Fail</v>
      </c>
      <c r="AD879" s="1" t="str">
        <f>IF(AND(Table1[[#This Row],[Spec Type2]]="N/A",Table1[[#This Row],[DUT Adj Read]]="N/A",Table1[[#This Row],[Std Adj Read]]="N/A"),"N/A",IF(Table1[[#This Row],[DUT Adj Read]]="N/A",IF(Table1[[#This Row],[Std Adj Read]]&gt;Table1[[#This Row],[Low Tol]],"Pass","Fail"),IF(Table1[[#This Row],[DUT Adj Read]]&gt;Table1[[#This Row],[Low Tol]],"Pass","Fail")))</f>
        <v>Pass</v>
      </c>
      <c r="AE879" s="1" t="str">
        <f>IF(AND(Table1[[#This Row],[Spec Type2]]="N/A",Table1[[#This Row],[DUT Adj Read]]="N/A",Table1[[#This Row],[Std Adj Read]]="N/A"),"N/A",IF(Table1[[#This Row],[DUT Adj Read]]="N/A",IF(Table1[[#This Row],[Std Adj Read]]&lt;Table1[[#This Row],[High Tol]],"Pass","Fail"),IF(Table1[[#This Row],[DUT Adj Read]]&lt;Table1[[#This Row],[High Tol]],"Pass","Fail")))</f>
        <v>Fail</v>
      </c>
      <c r="AF879" s="1" t="str">
        <f>IF(AND(Table1[[#This Row],[Spec Type2]]="N/A",Table1[[#This Row],[DUT Adj Read]]="N/A",Table1[[#This Row],[Std Adj Read]]="N/A"),"N/A",IF(Table1[[#This Row],[DUT Adj Read]]="N/A",IF(Table1[[#This Row],[Std Adj Read]]&gt;=Table1[[#This Row],[Low Tol]],"Pass","Fail"),IF(Table1[[#This Row],[DUT Adj Read]]&gt;=Table1[[#This Row],[Low Tol]],"Pass","Fail")))</f>
        <v>Pass</v>
      </c>
      <c r="AG879" s="1" t="str">
        <f>IF(AND(Table1[[#This Row],[Spec Type2]]="N/A",Table1[[#This Row],[DUT Adj Read]]="N/A",Table1[[#This Row],[Std Adj Read]]="N/A"),"N/A",IF(Table1[[#This Row],[DUT Adj Read]]="N/A",IF(Table1[[#This Row],[Std Adj Read]]&lt;=Table1[[#This Row],[High Tol]],"Pass","Fail"),IF(Table1[[#This Row],[DUT Adj Read]]&lt;=Table1[[#This Row],[High Tol]],"Pass","Fail")))</f>
        <v>Fail</v>
      </c>
      <c r="AH8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79" s="1" t="b">
        <v>0</v>
      </c>
      <c r="AN879" s="1" t="b">
        <v>0</v>
      </c>
      <c r="AO879" s="1" t="b">
        <v>0</v>
      </c>
    </row>
    <row r="880" spans="1:41" x14ac:dyDescent="0.25">
      <c r="A880" s="10"/>
      <c r="B880" s="10"/>
      <c r="C880" s="10"/>
      <c r="D880" s="10"/>
      <c r="E880" s="10"/>
      <c r="F880" s="10"/>
      <c r="G880" s="10"/>
      <c r="H880" s="10"/>
      <c r="I880" s="1" t="str">
        <f t="shared" si="39"/>
        <v/>
      </c>
      <c r="J880" s="1" t="s">
        <v>35</v>
      </c>
      <c r="K880" s="1" t="str">
        <f t="shared" si="40"/>
        <v/>
      </c>
      <c r="L880" s="1" t="str">
        <f t="shared" si="41"/>
        <v/>
      </c>
      <c r="M880" s="1">
        <f>IF(OR(Table1[[#This Row],[Std Nom]]="",Table1[[#This Row],[Std Read]]=""),0,Table1[[#This Row],[Std Nom]]-Table1[[#This Row],[Std Read]])</f>
        <v>0</v>
      </c>
      <c r="N880" s="1">
        <f>IF(Calculations!$F$5="ACCREDITED 17025 WITH UNCERTAINTIES",$N$10,0)</f>
        <v>0</v>
      </c>
      <c r="Q880" s="1">
        <f>Table1[[#This Row],[High Tol]]-Table1[[#This Row],[Low Tol]]</f>
        <v>0</v>
      </c>
      <c r="R880" s="1">
        <f>2*Table1[[#This Row],[Std Error]]</f>
        <v>0</v>
      </c>
      <c r="S880" s="1" t="str">
        <f>IF(Table1[[#This Row],[High Tol]]="","N/A",IFERROR(ABS(Table1[[#This Row],[Tol Span]]/Table1[[#This Row],[Error Span]]),"N/A"))</f>
        <v>N/A</v>
      </c>
      <c r="T880" s="1" t="str">
        <f>IF(OR(Table1[[#This Row],[Low Tol]]="",Table1[[#This Row],[High Tol]]=""),"Needs Analysis",IF(Table1[[#This Row],[Ratio]]&gt;=4,"Not Significant",IF(Table1[[#This Row],[Ratio]]&gt;=2,"Semi-Significant","Significant")))</f>
        <v>Needs Analysis</v>
      </c>
      <c r="W880" s="1">
        <f>IF(Table1[[#This Row],[Cal Type]]&lt;&gt;"ACCREDITED 17025 WITH UNCERTAINTIES",0,"")</f>
        <v>0</v>
      </c>
      <c r="X880" s="1" t="str">
        <f>IF(Table1[[#This Row],[DUT Read]]="","N/A",Table1[[#This Row],[Std Error]]+Table1[[#This Row],[DUT Read]]+Table1[[#This Row],[DUT Ucty]])</f>
        <v>N/A</v>
      </c>
      <c r="Y880" s="1" t="str">
        <f>IF(Table1[[#This Row],[Std Read]]="","N/A",Table1[[#This Row],[Std Read]]+Table1[[#This Row],[Std Ucty]])</f>
        <v>N/A</v>
      </c>
      <c r="Z8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0" s="1" t="str">
        <f>IF(Table1[[#This Row],[Spec Type]]="","N/A",Table1[[#This Row],[Spec Type]])</f>
        <v>±</v>
      </c>
      <c r="AC880" s="1" t="str">
        <f>IF(Table1[[#This Row],[Spec Type2]]="N/A","N/A",IF(AND(Table1[[#This Row],[DUT Adj Read]]&gt;=Table1[[#This Row],[Low Tol]],Table1[[#This Row],[DUT Adj Read]]&lt;=Table1[[#This Row],[High Tol]]),"Pass","Fail"))</f>
        <v>Fail</v>
      </c>
      <c r="AD880" s="1" t="str">
        <f>IF(AND(Table1[[#This Row],[Spec Type2]]="N/A",Table1[[#This Row],[DUT Adj Read]]="N/A",Table1[[#This Row],[Std Adj Read]]="N/A"),"N/A",IF(Table1[[#This Row],[DUT Adj Read]]="N/A",IF(Table1[[#This Row],[Std Adj Read]]&gt;Table1[[#This Row],[Low Tol]],"Pass","Fail"),IF(Table1[[#This Row],[DUT Adj Read]]&gt;Table1[[#This Row],[Low Tol]],"Pass","Fail")))</f>
        <v>Pass</v>
      </c>
      <c r="AE880" s="1" t="str">
        <f>IF(AND(Table1[[#This Row],[Spec Type2]]="N/A",Table1[[#This Row],[DUT Adj Read]]="N/A",Table1[[#This Row],[Std Adj Read]]="N/A"),"N/A",IF(Table1[[#This Row],[DUT Adj Read]]="N/A",IF(Table1[[#This Row],[Std Adj Read]]&lt;Table1[[#This Row],[High Tol]],"Pass","Fail"),IF(Table1[[#This Row],[DUT Adj Read]]&lt;Table1[[#This Row],[High Tol]],"Pass","Fail")))</f>
        <v>Fail</v>
      </c>
      <c r="AF880" s="1" t="str">
        <f>IF(AND(Table1[[#This Row],[Spec Type2]]="N/A",Table1[[#This Row],[DUT Adj Read]]="N/A",Table1[[#This Row],[Std Adj Read]]="N/A"),"N/A",IF(Table1[[#This Row],[DUT Adj Read]]="N/A",IF(Table1[[#This Row],[Std Adj Read]]&gt;=Table1[[#This Row],[Low Tol]],"Pass","Fail"),IF(Table1[[#This Row],[DUT Adj Read]]&gt;=Table1[[#This Row],[Low Tol]],"Pass","Fail")))</f>
        <v>Pass</v>
      </c>
      <c r="AG880" s="1" t="str">
        <f>IF(AND(Table1[[#This Row],[Spec Type2]]="N/A",Table1[[#This Row],[DUT Adj Read]]="N/A",Table1[[#This Row],[Std Adj Read]]="N/A"),"N/A",IF(Table1[[#This Row],[DUT Adj Read]]="N/A",IF(Table1[[#This Row],[Std Adj Read]]&lt;=Table1[[#This Row],[High Tol]],"Pass","Fail"),IF(Table1[[#This Row],[DUT Adj Read]]&lt;=Table1[[#This Row],[High Tol]],"Pass","Fail")))</f>
        <v>Fail</v>
      </c>
      <c r="AH8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0" s="1" t="b">
        <v>0</v>
      </c>
      <c r="AN880" s="1" t="b">
        <v>0</v>
      </c>
      <c r="AO880" s="1" t="b">
        <v>0</v>
      </c>
    </row>
    <row r="881" spans="1:41" x14ac:dyDescent="0.25">
      <c r="A881" s="10"/>
      <c r="B881" s="10"/>
      <c r="C881" s="10"/>
      <c r="D881" s="10"/>
      <c r="E881" s="10"/>
      <c r="F881" s="10"/>
      <c r="G881" s="10"/>
      <c r="H881" s="10"/>
      <c r="I881" s="1" t="str">
        <f t="shared" si="39"/>
        <v/>
      </c>
      <c r="J881" s="1" t="s">
        <v>35</v>
      </c>
      <c r="K881" s="1" t="str">
        <f t="shared" si="40"/>
        <v/>
      </c>
      <c r="L881" s="1" t="str">
        <f t="shared" si="41"/>
        <v/>
      </c>
      <c r="M881" s="1">
        <f>IF(OR(Table1[[#This Row],[Std Nom]]="",Table1[[#This Row],[Std Read]]=""),0,Table1[[#This Row],[Std Nom]]-Table1[[#This Row],[Std Read]])</f>
        <v>0</v>
      </c>
      <c r="N881" s="1">
        <f>IF(Calculations!$F$5="ACCREDITED 17025 WITH UNCERTAINTIES",$N$10,0)</f>
        <v>0</v>
      </c>
      <c r="Q881" s="1">
        <f>Table1[[#This Row],[High Tol]]-Table1[[#This Row],[Low Tol]]</f>
        <v>0</v>
      </c>
      <c r="R881" s="1">
        <f>2*Table1[[#This Row],[Std Error]]</f>
        <v>0</v>
      </c>
      <c r="S881" s="1" t="str">
        <f>IF(Table1[[#This Row],[High Tol]]="","N/A",IFERROR(ABS(Table1[[#This Row],[Tol Span]]/Table1[[#This Row],[Error Span]]),"N/A"))</f>
        <v>N/A</v>
      </c>
      <c r="T881" s="1" t="str">
        <f>IF(OR(Table1[[#This Row],[Low Tol]]="",Table1[[#This Row],[High Tol]]=""),"Needs Analysis",IF(Table1[[#This Row],[Ratio]]&gt;=4,"Not Significant",IF(Table1[[#This Row],[Ratio]]&gt;=2,"Semi-Significant","Significant")))</f>
        <v>Needs Analysis</v>
      </c>
      <c r="W881" s="1">
        <f>IF(Table1[[#This Row],[Cal Type]]&lt;&gt;"ACCREDITED 17025 WITH UNCERTAINTIES",0,"")</f>
        <v>0</v>
      </c>
      <c r="X881" s="1" t="str">
        <f>IF(Table1[[#This Row],[DUT Read]]="","N/A",Table1[[#This Row],[Std Error]]+Table1[[#This Row],[DUT Read]]+Table1[[#This Row],[DUT Ucty]])</f>
        <v>N/A</v>
      </c>
      <c r="Y881" s="1" t="str">
        <f>IF(Table1[[#This Row],[Std Read]]="","N/A",Table1[[#This Row],[Std Read]]+Table1[[#This Row],[Std Ucty]])</f>
        <v>N/A</v>
      </c>
      <c r="Z8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1" s="1" t="str">
        <f>IF(Table1[[#This Row],[Spec Type]]="","N/A",Table1[[#This Row],[Spec Type]])</f>
        <v>±</v>
      </c>
      <c r="AC881" s="1" t="str">
        <f>IF(Table1[[#This Row],[Spec Type2]]="N/A","N/A",IF(AND(Table1[[#This Row],[DUT Adj Read]]&gt;=Table1[[#This Row],[Low Tol]],Table1[[#This Row],[DUT Adj Read]]&lt;=Table1[[#This Row],[High Tol]]),"Pass","Fail"))</f>
        <v>Fail</v>
      </c>
      <c r="AD881" s="1" t="str">
        <f>IF(AND(Table1[[#This Row],[Spec Type2]]="N/A",Table1[[#This Row],[DUT Adj Read]]="N/A",Table1[[#This Row],[Std Adj Read]]="N/A"),"N/A",IF(Table1[[#This Row],[DUT Adj Read]]="N/A",IF(Table1[[#This Row],[Std Adj Read]]&gt;Table1[[#This Row],[Low Tol]],"Pass","Fail"),IF(Table1[[#This Row],[DUT Adj Read]]&gt;Table1[[#This Row],[Low Tol]],"Pass","Fail")))</f>
        <v>Pass</v>
      </c>
      <c r="AE881" s="1" t="str">
        <f>IF(AND(Table1[[#This Row],[Spec Type2]]="N/A",Table1[[#This Row],[DUT Adj Read]]="N/A",Table1[[#This Row],[Std Adj Read]]="N/A"),"N/A",IF(Table1[[#This Row],[DUT Adj Read]]="N/A",IF(Table1[[#This Row],[Std Adj Read]]&lt;Table1[[#This Row],[High Tol]],"Pass","Fail"),IF(Table1[[#This Row],[DUT Adj Read]]&lt;Table1[[#This Row],[High Tol]],"Pass","Fail")))</f>
        <v>Fail</v>
      </c>
      <c r="AF881" s="1" t="str">
        <f>IF(AND(Table1[[#This Row],[Spec Type2]]="N/A",Table1[[#This Row],[DUT Adj Read]]="N/A",Table1[[#This Row],[Std Adj Read]]="N/A"),"N/A",IF(Table1[[#This Row],[DUT Adj Read]]="N/A",IF(Table1[[#This Row],[Std Adj Read]]&gt;=Table1[[#This Row],[Low Tol]],"Pass","Fail"),IF(Table1[[#This Row],[DUT Adj Read]]&gt;=Table1[[#This Row],[Low Tol]],"Pass","Fail")))</f>
        <v>Pass</v>
      </c>
      <c r="AG881" s="1" t="str">
        <f>IF(AND(Table1[[#This Row],[Spec Type2]]="N/A",Table1[[#This Row],[DUT Adj Read]]="N/A",Table1[[#This Row],[Std Adj Read]]="N/A"),"N/A",IF(Table1[[#This Row],[DUT Adj Read]]="N/A",IF(Table1[[#This Row],[Std Adj Read]]&lt;=Table1[[#This Row],[High Tol]],"Pass","Fail"),IF(Table1[[#This Row],[DUT Adj Read]]&lt;=Table1[[#This Row],[High Tol]],"Pass","Fail")))</f>
        <v>Fail</v>
      </c>
      <c r="AH8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1" s="1" t="b">
        <v>0</v>
      </c>
      <c r="AN881" s="1" t="b">
        <v>0</v>
      </c>
      <c r="AO881" s="1" t="b">
        <v>0</v>
      </c>
    </row>
    <row r="882" spans="1:41" x14ac:dyDescent="0.25">
      <c r="A882" s="10"/>
      <c r="B882" s="10"/>
      <c r="C882" s="10"/>
      <c r="D882" s="10"/>
      <c r="E882" s="10"/>
      <c r="F882" s="10"/>
      <c r="G882" s="10"/>
      <c r="H882" s="10"/>
      <c r="I882" s="1" t="str">
        <f t="shared" si="39"/>
        <v/>
      </c>
      <c r="J882" s="1" t="s">
        <v>35</v>
      </c>
      <c r="K882" s="1" t="str">
        <f t="shared" si="40"/>
        <v/>
      </c>
      <c r="L882" s="1" t="str">
        <f t="shared" si="41"/>
        <v/>
      </c>
      <c r="M882" s="1">
        <f>IF(OR(Table1[[#This Row],[Std Nom]]="",Table1[[#This Row],[Std Read]]=""),0,Table1[[#This Row],[Std Nom]]-Table1[[#This Row],[Std Read]])</f>
        <v>0</v>
      </c>
      <c r="N882" s="1">
        <f>IF(Calculations!$F$5="ACCREDITED 17025 WITH UNCERTAINTIES",$N$10,0)</f>
        <v>0</v>
      </c>
      <c r="Q882" s="1">
        <f>Table1[[#This Row],[High Tol]]-Table1[[#This Row],[Low Tol]]</f>
        <v>0</v>
      </c>
      <c r="R882" s="1">
        <f>2*Table1[[#This Row],[Std Error]]</f>
        <v>0</v>
      </c>
      <c r="S882" s="1" t="str">
        <f>IF(Table1[[#This Row],[High Tol]]="","N/A",IFERROR(ABS(Table1[[#This Row],[Tol Span]]/Table1[[#This Row],[Error Span]]),"N/A"))</f>
        <v>N/A</v>
      </c>
      <c r="T882" s="1" t="str">
        <f>IF(OR(Table1[[#This Row],[Low Tol]]="",Table1[[#This Row],[High Tol]]=""),"Needs Analysis",IF(Table1[[#This Row],[Ratio]]&gt;=4,"Not Significant",IF(Table1[[#This Row],[Ratio]]&gt;=2,"Semi-Significant","Significant")))</f>
        <v>Needs Analysis</v>
      </c>
      <c r="W882" s="1">
        <f>IF(Table1[[#This Row],[Cal Type]]&lt;&gt;"ACCREDITED 17025 WITH UNCERTAINTIES",0,"")</f>
        <v>0</v>
      </c>
      <c r="X882" s="1" t="str">
        <f>IF(Table1[[#This Row],[DUT Read]]="","N/A",Table1[[#This Row],[Std Error]]+Table1[[#This Row],[DUT Read]]+Table1[[#This Row],[DUT Ucty]])</f>
        <v>N/A</v>
      </c>
      <c r="Y882" s="1" t="str">
        <f>IF(Table1[[#This Row],[Std Read]]="","N/A",Table1[[#This Row],[Std Read]]+Table1[[#This Row],[Std Ucty]])</f>
        <v>N/A</v>
      </c>
      <c r="Z8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2" s="1" t="str">
        <f>IF(Table1[[#This Row],[Spec Type]]="","N/A",Table1[[#This Row],[Spec Type]])</f>
        <v>±</v>
      </c>
      <c r="AC882" s="1" t="str">
        <f>IF(Table1[[#This Row],[Spec Type2]]="N/A","N/A",IF(AND(Table1[[#This Row],[DUT Adj Read]]&gt;=Table1[[#This Row],[Low Tol]],Table1[[#This Row],[DUT Adj Read]]&lt;=Table1[[#This Row],[High Tol]]),"Pass","Fail"))</f>
        <v>Fail</v>
      </c>
      <c r="AD882" s="1" t="str">
        <f>IF(AND(Table1[[#This Row],[Spec Type2]]="N/A",Table1[[#This Row],[DUT Adj Read]]="N/A",Table1[[#This Row],[Std Adj Read]]="N/A"),"N/A",IF(Table1[[#This Row],[DUT Adj Read]]="N/A",IF(Table1[[#This Row],[Std Adj Read]]&gt;Table1[[#This Row],[Low Tol]],"Pass","Fail"),IF(Table1[[#This Row],[DUT Adj Read]]&gt;Table1[[#This Row],[Low Tol]],"Pass","Fail")))</f>
        <v>Pass</v>
      </c>
      <c r="AE882" s="1" t="str">
        <f>IF(AND(Table1[[#This Row],[Spec Type2]]="N/A",Table1[[#This Row],[DUT Adj Read]]="N/A",Table1[[#This Row],[Std Adj Read]]="N/A"),"N/A",IF(Table1[[#This Row],[DUT Adj Read]]="N/A",IF(Table1[[#This Row],[Std Adj Read]]&lt;Table1[[#This Row],[High Tol]],"Pass","Fail"),IF(Table1[[#This Row],[DUT Adj Read]]&lt;Table1[[#This Row],[High Tol]],"Pass","Fail")))</f>
        <v>Fail</v>
      </c>
      <c r="AF882" s="1" t="str">
        <f>IF(AND(Table1[[#This Row],[Spec Type2]]="N/A",Table1[[#This Row],[DUT Adj Read]]="N/A",Table1[[#This Row],[Std Adj Read]]="N/A"),"N/A",IF(Table1[[#This Row],[DUT Adj Read]]="N/A",IF(Table1[[#This Row],[Std Adj Read]]&gt;=Table1[[#This Row],[Low Tol]],"Pass","Fail"),IF(Table1[[#This Row],[DUT Adj Read]]&gt;=Table1[[#This Row],[Low Tol]],"Pass","Fail")))</f>
        <v>Pass</v>
      </c>
      <c r="AG882" s="1" t="str">
        <f>IF(AND(Table1[[#This Row],[Spec Type2]]="N/A",Table1[[#This Row],[DUT Adj Read]]="N/A",Table1[[#This Row],[Std Adj Read]]="N/A"),"N/A",IF(Table1[[#This Row],[DUT Adj Read]]="N/A",IF(Table1[[#This Row],[Std Adj Read]]&lt;=Table1[[#This Row],[High Tol]],"Pass","Fail"),IF(Table1[[#This Row],[DUT Adj Read]]&lt;=Table1[[#This Row],[High Tol]],"Pass","Fail")))</f>
        <v>Fail</v>
      </c>
      <c r="AH8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2" s="1" t="b">
        <v>0</v>
      </c>
      <c r="AN882" s="1" t="b">
        <v>0</v>
      </c>
      <c r="AO882" s="1" t="b">
        <v>0</v>
      </c>
    </row>
    <row r="883" spans="1:41" x14ac:dyDescent="0.25">
      <c r="A883" s="10"/>
      <c r="B883" s="10"/>
      <c r="C883" s="10"/>
      <c r="D883" s="10"/>
      <c r="E883" s="10"/>
      <c r="F883" s="10"/>
      <c r="G883" s="10"/>
      <c r="H883" s="10"/>
      <c r="I883" s="1" t="str">
        <f t="shared" si="39"/>
        <v/>
      </c>
      <c r="J883" s="1" t="s">
        <v>35</v>
      </c>
      <c r="K883" s="1" t="str">
        <f t="shared" si="40"/>
        <v/>
      </c>
      <c r="L883" s="1" t="str">
        <f t="shared" si="41"/>
        <v/>
      </c>
      <c r="M883" s="1">
        <f>IF(OR(Table1[[#This Row],[Std Nom]]="",Table1[[#This Row],[Std Read]]=""),0,Table1[[#This Row],[Std Nom]]-Table1[[#This Row],[Std Read]])</f>
        <v>0</v>
      </c>
      <c r="N883" s="1">
        <f>IF(Calculations!$F$5="ACCREDITED 17025 WITH UNCERTAINTIES",$N$10,0)</f>
        <v>0</v>
      </c>
      <c r="Q883" s="1">
        <f>Table1[[#This Row],[High Tol]]-Table1[[#This Row],[Low Tol]]</f>
        <v>0</v>
      </c>
      <c r="R883" s="1">
        <f>2*Table1[[#This Row],[Std Error]]</f>
        <v>0</v>
      </c>
      <c r="S883" s="1" t="str">
        <f>IF(Table1[[#This Row],[High Tol]]="","N/A",IFERROR(ABS(Table1[[#This Row],[Tol Span]]/Table1[[#This Row],[Error Span]]),"N/A"))</f>
        <v>N/A</v>
      </c>
      <c r="T883" s="1" t="str">
        <f>IF(OR(Table1[[#This Row],[Low Tol]]="",Table1[[#This Row],[High Tol]]=""),"Needs Analysis",IF(Table1[[#This Row],[Ratio]]&gt;=4,"Not Significant",IF(Table1[[#This Row],[Ratio]]&gt;=2,"Semi-Significant","Significant")))</f>
        <v>Needs Analysis</v>
      </c>
      <c r="W883" s="1">
        <f>IF(Table1[[#This Row],[Cal Type]]&lt;&gt;"ACCREDITED 17025 WITH UNCERTAINTIES",0,"")</f>
        <v>0</v>
      </c>
      <c r="X883" s="1" t="str">
        <f>IF(Table1[[#This Row],[DUT Read]]="","N/A",Table1[[#This Row],[Std Error]]+Table1[[#This Row],[DUT Read]]+Table1[[#This Row],[DUT Ucty]])</f>
        <v>N/A</v>
      </c>
      <c r="Y883" s="1" t="str">
        <f>IF(Table1[[#This Row],[Std Read]]="","N/A",Table1[[#This Row],[Std Read]]+Table1[[#This Row],[Std Ucty]])</f>
        <v>N/A</v>
      </c>
      <c r="Z8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3" s="1" t="str">
        <f>IF(Table1[[#This Row],[Spec Type]]="","N/A",Table1[[#This Row],[Spec Type]])</f>
        <v>±</v>
      </c>
      <c r="AC883" s="1" t="str">
        <f>IF(Table1[[#This Row],[Spec Type2]]="N/A","N/A",IF(AND(Table1[[#This Row],[DUT Adj Read]]&gt;=Table1[[#This Row],[Low Tol]],Table1[[#This Row],[DUT Adj Read]]&lt;=Table1[[#This Row],[High Tol]]),"Pass","Fail"))</f>
        <v>Fail</v>
      </c>
      <c r="AD883" s="1" t="str">
        <f>IF(AND(Table1[[#This Row],[Spec Type2]]="N/A",Table1[[#This Row],[DUT Adj Read]]="N/A",Table1[[#This Row],[Std Adj Read]]="N/A"),"N/A",IF(Table1[[#This Row],[DUT Adj Read]]="N/A",IF(Table1[[#This Row],[Std Adj Read]]&gt;Table1[[#This Row],[Low Tol]],"Pass","Fail"),IF(Table1[[#This Row],[DUT Adj Read]]&gt;Table1[[#This Row],[Low Tol]],"Pass","Fail")))</f>
        <v>Pass</v>
      </c>
      <c r="AE883" s="1" t="str">
        <f>IF(AND(Table1[[#This Row],[Spec Type2]]="N/A",Table1[[#This Row],[DUT Adj Read]]="N/A",Table1[[#This Row],[Std Adj Read]]="N/A"),"N/A",IF(Table1[[#This Row],[DUT Adj Read]]="N/A",IF(Table1[[#This Row],[Std Adj Read]]&lt;Table1[[#This Row],[High Tol]],"Pass","Fail"),IF(Table1[[#This Row],[DUT Adj Read]]&lt;Table1[[#This Row],[High Tol]],"Pass","Fail")))</f>
        <v>Fail</v>
      </c>
      <c r="AF883" s="1" t="str">
        <f>IF(AND(Table1[[#This Row],[Spec Type2]]="N/A",Table1[[#This Row],[DUT Adj Read]]="N/A",Table1[[#This Row],[Std Adj Read]]="N/A"),"N/A",IF(Table1[[#This Row],[DUT Adj Read]]="N/A",IF(Table1[[#This Row],[Std Adj Read]]&gt;=Table1[[#This Row],[Low Tol]],"Pass","Fail"),IF(Table1[[#This Row],[DUT Adj Read]]&gt;=Table1[[#This Row],[Low Tol]],"Pass","Fail")))</f>
        <v>Pass</v>
      </c>
      <c r="AG883" s="1" t="str">
        <f>IF(AND(Table1[[#This Row],[Spec Type2]]="N/A",Table1[[#This Row],[DUT Adj Read]]="N/A",Table1[[#This Row],[Std Adj Read]]="N/A"),"N/A",IF(Table1[[#This Row],[DUT Adj Read]]="N/A",IF(Table1[[#This Row],[Std Adj Read]]&lt;=Table1[[#This Row],[High Tol]],"Pass","Fail"),IF(Table1[[#This Row],[DUT Adj Read]]&lt;=Table1[[#This Row],[High Tol]],"Pass","Fail")))</f>
        <v>Fail</v>
      </c>
      <c r="AH8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3" s="1" t="b">
        <v>0</v>
      </c>
      <c r="AN883" s="1" t="b">
        <v>0</v>
      </c>
      <c r="AO883" s="1" t="b">
        <v>0</v>
      </c>
    </row>
    <row r="884" spans="1:41" x14ac:dyDescent="0.25">
      <c r="A884" s="10"/>
      <c r="B884" s="10"/>
      <c r="C884" s="10"/>
      <c r="D884" s="10"/>
      <c r="E884" s="10"/>
      <c r="F884" s="10"/>
      <c r="G884" s="10"/>
      <c r="H884" s="10"/>
      <c r="I884" s="1" t="str">
        <f t="shared" si="39"/>
        <v/>
      </c>
      <c r="J884" s="1" t="s">
        <v>35</v>
      </c>
      <c r="K884" s="1" t="str">
        <f t="shared" si="40"/>
        <v/>
      </c>
      <c r="L884" s="1" t="str">
        <f t="shared" si="41"/>
        <v/>
      </c>
      <c r="M884" s="1">
        <f>IF(OR(Table1[[#This Row],[Std Nom]]="",Table1[[#This Row],[Std Read]]=""),0,Table1[[#This Row],[Std Nom]]-Table1[[#This Row],[Std Read]])</f>
        <v>0</v>
      </c>
      <c r="N884" s="1">
        <f>IF(Calculations!$F$5="ACCREDITED 17025 WITH UNCERTAINTIES",$N$10,0)</f>
        <v>0</v>
      </c>
      <c r="Q884" s="1">
        <f>Table1[[#This Row],[High Tol]]-Table1[[#This Row],[Low Tol]]</f>
        <v>0</v>
      </c>
      <c r="R884" s="1">
        <f>2*Table1[[#This Row],[Std Error]]</f>
        <v>0</v>
      </c>
      <c r="S884" s="1" t="str">
        <f>IF(Table1[[#This Row],[High Tol]]="","N/A",IFERROR(ABS(Table1[[#This Row],[Tol Span]]/Table1[[#This Row],[Error Span]]),"N/A"))</f>
        <v>N/A</v>
      </c>
      <c r="T884" s="1" t="str">
        <f>IF(OR(Table1[[#This Row],[Low Tol]]="",Table1[[#This Row],[High Tol]]=""),"Needs Analysis",IF(Table1[[#This Row],[Ratio]]&gt;=4,"Not Significant",IF(Table1[[#This Row],[Ratio]]&gt;=2,"Semi-Significant","Significant")))</f>
        <v>Needs Analysis</v>
      </c>
      <c r="W884" s="1">
        <f>IF(Table1[[#This Row],[Cal Type]]&lt;&gt;"ACCREDITED 17025 WITH UNCERTAINTIES",0,"")</f>
        <v>0</v>
      </c>
      <c r="X884" s="1" t="str">
        <f>IF(Table1[[#This Row],[DUT Read]]="","N/A",Table1[[#This Row],[Std Error]]+Table1[[#This Row],[DUT Read]]+Table1[[#This Row],[DUT Ucty]])</f>
        <v>N/A</v>
      </c>
      <c r="Y884" s="1" t="str">
        <f>IF(Table1[[#This Row],[Std Read]]="","N/A",Table1[[#This Row],[Std Read]]+Table1[[#This Row],[Std Ucty]])</f>
        <v>N/A</v>
      </c>
      <c r="Z8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4" s="1" t="str">
        <f>IF(Table1[[#This Row],[Spec Type]]="","N/A",Table1[[#This Row],[Spec Type]])</f>
        <v>±</v>
      </c>
      <c r="AC884" s="1" t="str">
        <f>IF(Table1[[#This Row],[Spec Type2]]="N/A","N/A",IF(AND(Table1[[#This Row],[DUT Adj Read]]&gt;=Table1[[#This Row],[Low Tol]],Table1[[#This Row],[DUT Adj Read]]&lt;=Table1[[#This Row],[High Tol]]),"Pass","Fail"))</f>
        <v>Fail</v>
      </c>
      <c r="AD884" s="1" t="str">
        <f>IF(AND(Table1[[#This Row],[Spec Type2]]="N/A",Table1[[#This Row],[DUT Adj Read]]="N/A",Table1[[#This Row],[Std Adj Read]]="N/A"),"N/A",IF(Table1[[#This Row],[DUT Adj Read]]="N/A",IF(Table1[[#This Row],[Std Adj Read]]&gt;Table1[[#This Row],[Low Tol]],"Pass","Fail"),IF(Table1[[#This Row],[DUT Adj Read]]&gt;Table1[[#This Row],[Low Tol]],"Pass","Fail")))</f>
        <v>Pass</v>
      </c>
      <c r="AE884" s="1" t="str">
        <f>IF(AND(Table1[[#This Row],[Spec Type2]]="N/A",Table1[[#This Row],[DUT Adj Read]]="N/A",Table1[[#This Row],[Std Adj Read]]="N/A"),"N/A",IF(Table1[[#This Row],[DUT Adj Read]]="N/A",IF(Table1[[#This Row],[Std Adj Read]]&lt;Table1[[#This Row],[High Tol]],"Pass","Fail"),IF(Table1[[#This Row],[DUT Adj Read]]&lt;Table1[[#This Row],[High Tol]],"Pass","Fail")))</f>
        <v>Fail</v>
      </c>
      <c r="AF884" s="1" t="str">
        <f>IF(AND(Table1[[#This Row],[Spec Type2]]="N/A",Table1[[#This Row],[DUT Adj Read]]="N/A",Table1[[#This Row],[Std Adj Read]]="N/A"),"N/A",IF(Table1[[#This Row],[DUT Adj Read]]="N/A",IF(Table1[[#This Row],[Std Adj Read]]&gt;=Table1[[#This Row],[Low Tol]],"Pass","Fail"),IF(Table1[[#This Row],[DUT Adj Read]]&gt;=Table1[[#This Row],[Low Tol]],"Pass","Fail")))</f>
        <v>Pass</v>
      </c>
      <c r="AG884" s="1" t="str">
        <f>IF(AND(Table1[[#This Row],[Spec Type2]]="N/A",Table1[[#This Row],[DUT Adj Read]]="N/A",Table1[[#This Row],[Std Adj Read]]="N/A"),"N/A",IF(Table1[[#This Row],[DUT Adj Read]]="N/A",IF(Table1[[#This Row],[Std Adj Read]]&lt;=Table1[[#This Row],[High Tol]],"Pass","Fail"),IF(Table1[[#This Row],[DUT Adj Read]]&lt;=Table1[[#This Row],[High Tol]],"Pass","Fail")))</f>
        <v>Fail</v>
      </c>
      <c r="AH8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4" s="1" t="b">
        <v>0</v>
      </c>
      <c r="AN884" s="1" t="b">
        <v>0</v>
      </c>
      <c r="AO884" s="1" t="b">
        <v>0</v>
      </c>
    </row>
    <row r="885" spans="1:41" x14ac:dyDescent="0.25">
      <c r="A885" s="10"/>
      <c r="B885" s="10"/>
      <c r="C885" s="10"/>
      <c r="D885" s="10"/>
      <c r="E885" s="10"/>
      <c r="F885" s="10"/>
      <c r="G885" s="10"/>
      <c r="H885" s="10"/>
      <c r="I885" s="1" t="str">
        <f t="shared" si="39"/>
        <v/>
      </c>
      <c r="J885" s="1" t="s">
        <v>35</v>
      </c>
      <c r="K885" s="1" t="str">
        <f t="shared" si="40"/>
        <v/>
      </c>
      <c r="L885" s="1" t="str">
        <f t="shared" si="41"/>
        <v/>
      </c>
      <c r="M885" s="1">
        <f>IF(OR(Table1[[#This Row],[Std Nom]]="",Table1[[#This Row],[Std Read]]=""),0,Table1[[#This Row],[Std Nom]]-Table1[[#This Row],[Std Read]])</f>
        <v>0</v>
      </c>
      <c r="N885" s="1">
        <f>IF(Calculations!$F$5="ACCREDITED 17025 WITH UNCERTAINTIES",$N$10,0)</f>
        <v>0</v>
      </c>
      <c r="Q885" s="1">
        <f>Table1[[#This Row],[High Tol]]-Table1[[#This Row],[Low Tol]]</f>
        <v>0</v>
      </c>
      <c r="R885" s="1">
        <f>2*Table1[[#This Row],[Std Error]]</f>
        <v>0</v>
      </c>
      <c r="S885" s="1" t="str">
        <f>IF(Table1[[#This Row],[High Tol]]="","N/A",IFERROR(ABS(Table1[[#This Row],[Tol Span]]/Table1[[#This Row],[Error Span]]),"N/A"))</f>
        <v>N/A</v>
      </c>
      <c r="T885" s="1" t="str">
        <f>IF(OR(Table1[[#This Row],[Low Tol]]="",Table1[[#This Row],[High Tol]]=""),"Needs Analysis",IF(Table1[[#This Row],[Ratio]]&gt;=4,"Not Significant",IF(Table1[[#This Row],[Ratio]]&gt;=2,"Semi-Significant","Significant")))</f>
        <v>Needs Analysis</v>
      </c>
      <c r="W885" s="1">
        <f>IF(Table1[[#This Row],[Cal Type]]&lt;&gt;"ACCREDITED 17025 WITH UNCERTAINTIES",0,"")</f>
        <v>0</v>
      </c>
      <c r="X885" s="1" t="str">
        <f>IF(Table1[[#This Row],[DUT Read]]="","N/A",Table1[[#This Row],[Std Error]]+Table1[[#This Row],[DUT Read]]+Table1[[#This Row],[DUT Ucty]])</f>
        <v>N/A</v>
      </c>
      <c r="Y885" s="1" t="str">
        <f>IF(Table1[[#This Row],[Std Read]]="","N/A",Table1[[#This Row],[Std Read]]+Table1[[#This Row],[Std Ucty]])</f>
        <v>N/A</v>
      </c>
      <c r="Z8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5" s="1" t="str">
        <f>IF(Table1[[#This Row],[Spec Type]]="","N/A",Table1[[#This Row],[Spec Type]])</f>
        <v>±</v>
      </c>
      <c r="AC885" s="1" t="str">
        <f>IF(Table1[[#This Row],[Spec Type2]]="N/A","N/A",IF(AND(Table1[[#This Row],[DUT Adj Read]]&gt;=Table1[[#This Row],[Low Tol]],Table1[[#This Row],[DUT Adj Read]]&lt;=Table1[[#This Row],[High Tol]]),"Pass","Fail"))</f>
        <v>Fail</v>
      </c>
      <c r="AD885" s="1" t="str">
        <f>IF(AND(Table1[[#This Row],[Spec Type2]]="N/A",Table1[[#This Row],[DUT Adj Read]]="N/A",Table1[[#This Row],[Std Adj Read]]="N/A"),"N/A",IF(Table1[[#This Row],[DUT Adj Read]]="N/A",IF(Table1[[#This Row],[Std Adj Read]]&gt;Table1[[#This Row],[Low Tol]],"Pass","Fail"),IF(Table1[[#This Row],[DUT Adj Read]]&gt;Table1[[#This Row],[Low Tol]],"Pass","Fail")))</f>
        <v>Pass</v>
      </c>
      <c r="AE885" s="1" t="str">
        <f>IF(AND(Table1[[#This Row],[Spec Type2]]="N/A",Table1[[#This Row],[DUT Adj Read]]="N/A",Table1[[#This Row],[Std Adj Read]]="N/A"),"N/A",IF(Table1[[#This Row],[DUT Adj Read]]="N/A",IF(Table1[[#This Row],[Std Adj Read]]&lt;Table1[[#This Row],[High Tol]],"Pass","Fail"),IF(Table1[[#This Row],[DUT Adj Read]]&lt;Table1[[#This Row],[High Tol]],"Pass","Fail")))</f>
        <v>Fail</v>
      </c>
      <c r="AF885" s="1" t="str">
        <f>IF(AND(Table1[[#This Row],[Spec Type2]]="N/A",Table1[[#This Row],[DUT Adj Read]]="N/A",Table1[[#This Row],[Std Adj Read]]="N/A"),"N/A",IF(Table1[[#This Row],[DUT Adj Read]]="N/A",IF(Table1[[#This Row],[Std Adj Read]]&gt;=Table1[[#This Row],[Low Tol]],"Pass","Fail"),IF(Table1[[#This Row],[DUT Adj Read]]&gt;=Table1[[#This Row],[Low Tol]],"Pass","Fail")))</f>
        <v>Pass</v>
      </c>
      <c r="AG885" s="1" t="str">
        <f>IF(AND(Table1[[#This Row],[Spec Type2]]="N/A",Table1[[#This Row],[DUT Adj Read]]="N/A",Table1[[#This Row],[Std Adj Read]]="N/A"),"N/A",IF(Table1[[#This Row],[DUT Adj Read]]="N/A",IF(Table1[[#This Row],[Std Adj Read]]&lt;=Table1[[#This Row],[High Tol]],"Pass","Fail"),IF(Table1[[#This Row],[DUT Adj Read]]&lt;=Table1[[#This Row],[High Tol]],"Pass","Fail")))</f>
        <v>Fail</v>
      </c>
      <c r="AH8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5" s="1" t="b">
        <v>0</v>
      </c>
      <c r="AN885" s="1" t="b">
        <v>0</v>
      </c>
      <c r="AO885" s="1" t="b">
        <v>0</v>
      </c>
    </row>
    <row r="886" spans="1:41" x14ac:dyDescent="0.25">
      <c r="A886" s="10"/>
      <c r="B886" s="10"/>
      <c r="C886" s="10"/>
      <c r="D886" s="10"/>
      <c r="E886" s="10"/>
      <c r="F886" s="10"/>
      <c r="G886" s="10"/>
      <c r="H886" s="10"/>
      <c r="I886" s="1" t="str">
        <f t="shared" si="39"/>
        <v/>
      </c>
      <c r="J886" s="1" t="s">
        <v>35</v>
      </c>
      <c r="K886" s="1" t="str">
        <f t="shared" si="40"/>
        <v/>
      </c>
      <c r="L886" s="1" t="str">
        <f t="shared" si="41"/>
        <v/>
      </c>
      <c r="M886" s="1">
        <f>IF(OR(Table1[[#This Row],[Std Nom]]="",Table1[[#This Row],[Std Read]]=""),0,Table1[[#This Row],[Std Nom]]-Table1[[#This Row],[Std Read]])</f>
        <v>0</v>
      </c>
      <c r="N886" s="1">
        <f>IF(Calculations!$F$5="ACCREDITED 17025 WITH UNCERTAINTIES",$N$10,0)</f>
        <v>0</v>
      </c>
      <c r="Q886" s="1">
        <f>Table1[[#This Row],[High Tol]]-Table1[[#This Row],[Low Tol]]</f>
        <v>0</v>
      </c>
      <c r="R886" s="1">
        <f>2*Table1[[#This Row],[Std Error]]</f>
        <v>0</v>
      </c>
      <c r="S886" s="1" t="str">
        <f>IF(Table1[[#This Row],[High Tol]]="","N/A",IFERROR(ABS(Table1[[#This Row],[Tol Span]]/Table1[[#This Row],[Error Span]]),"N/A"))</f>
        <v>N/A</v>
      </c>
      <c r="T886" s="1" t="str">
        <f>IF(OR(Table1[[#This Row],[Low Tol]]="",Table1[[#This Row],[High Tol]]=""),"Needs Analysis",IF(Table1[[#This Row],[Ratio]]&gt;=4,"Not Significant",IF(Table1[[#This Row],[Ratio]]&gt;=2,"Semi-Significant","Significant")))</f>
        <v>Needs Analysis</v>
      </c>
      <c r="W886" s="1">
        <f>IF(Table1[[#This Row],[Cal Type]]&lt;&gt;"ACCREDITED 17025 WITH UNCERTAINTIES",0,"")</f>
        <v>0</v>
      </c>
      <c r="X886" s="1" t="str">
        <f>IF(Table1[[#This Row],[DUT Read]]="","N/A",Table1[[#This Row],[Std Error]]+Table1[[#This Row],[DUT Read]]+Table1[[#This Row],[DUT Ucty]])</f>
        <v>N/A</v>
      </c>
      <c r="Y886" s="1" t="str">
        <f>IF(Table1[[#This Row],[Std Read]]="","N/A",Table1[[#This Row],[Std Read]]+Table1[[#This Row],[Std Ucty]])</f>
        <v>N/A</v>
      </c>
      <c r="Z8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6" s="1" t="str">
        <f>IF(Table1[[#This Row],[Spec Type]]="","N/A",Table1[[#This Row],[Spec Type]])</f>
        <v>±</v>
      </c>
      <c r="AC886" s="1" t="str">
        <f>IF(Table1[[#This Row],[Spec Type2]]="N/A","N/A",IF(AND(Table1[[#This Row],[DUT Adj Read]]&gt;=Table1[[#This Row],[Low Tol]],Table1[[#This Row],[DUT Adj Read]]&lt;=Table1[[#This Row],[High Tol]]),"Pass","Fail"))</f>
        <v>Fail</v>
      </c>
      <c r="AD886" s="1" t="str">
        <f>IF(AND(Table1[[#This Row],[Spec Type2]]="N/A",Table1[[#This Row],[DUT Adj Read]]="N/A",Table1[[#This Row],[Std Adj Read]]="N/A"),"N/A",IF(Table1[[#This Row],[DUT Adj Read]]="N/A",IF(Table1[[#This Row],[Std Adj Read]]&gt;Table1[[#This Row],[Low Tol]],"Pass","Fail"),IF(Table1[[#This Row],[DUT Adj Read]]&gt;Table1[[#This Row],[Low Tol]],"Pass","Fail")))</f>
        <v>Pass</v>
      </c>
      <c r="AE886" s="1" t="str">
        <f>IF(AND(Table1[[#This Row],[Spec Type2]]="N/A",Table1[[#This Row],[DUT Adj Read]]="N/A",Table1[[#This Row],[Std Adj Read]]="N/A"),"N/A",IF(Table1[[#This Row],[DUT Adj Read]]="N/A",IF(Table1[[#This Row],[Std Adj Read]]&lt;Table1[[#This Row],[High Tol]],"Pass","Fail"),IF(Table1[[#This Row],[DUT Adj Read]]&lt;Table1[[#This Row],[High Tol]],"Pass","Fail")))</f>
        <v>Fail</v>
      </c>
      <c r="AF886" s="1" t="str">
        <f>IF(AND(Table1[[#This Row],[Spec Type2]]="N/A",Table1[[#This Row],[DUT Adj Read]]="N/A",Table1[[#This Row],[Std Adj Read]]="N/A"),"N/A",IF(Table1[[#This Row],[DUT Adj Read]]="N/A",IF(Table1[[#This Row],[Std Adj Read]]&gt;=Table1[[#This Row],[Low Tol]],"Pass","Fail"),IF(Table1[[#This Row],[DUT Adj Read]]&gt;=Table1[[#This Row],[Low Tol]],"Pass","Fail")))</f>
        <v>Pass</v>
      </c>
      <c r="AG886" s="1" t="str">
        <f>IF(AND(Table1[[#This Row],[Spec Type2]]="N/A",Table1[[#This Row],[DUT Adj Read]]="N/A",Table1[[#This Row],[Std Adj Read]]="N/A"),"N/A",IF(Table1[[#This Row],[DUT Adj Read]]="N/A",IF(Table1[[#This Row],[Std Adj Read]]&lt;=Table1[[#This Row],[High Tol]],"Pass","Fail"),IF(Table1[[#This Row],[DUT Adj Read]]&lt;=Table1[[#This Row],[High Tol]],"Pass","Fail")))</f>
        <v>Fail</v>
      </c>
      <c r="AH8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6" s="1" t="b">
        <v>0</v>
      </c>
      <c r="AN886" s="1" t="b">
        <v>0</v>
      </c>
      <c r="AO886" s="1" t="b">
        <v>0</v>
      </c>
    </row>
    <row r="887" spans="1:41" x14ac:dyDescent="0.25">
      <c r="A887" s="10"/>
      <c r="B887" s="10"/>
      <c r="C887" s="10"/>
      <c r="D887" s="10"/>
      <c r="E887" s="10"/>
      <c r="F887" s="10"/>
      <c r="G887" s="10"/>
      <c r="H887" s="10"/>
      <c r="I887" s="1" t="str">
        <f t="shared" si="39"/>
        <v/>
      </c>
      <c r="J887" s="1" t="s">
        <v>35</v>
      </c>
      <c r="K887" s="1" t="str">
        <f t="shared" si="40"/>
        <v/>
      </c>
      <c r="L887" s="1" t="str">
        <f t="shared" si="41"/>
        <v/>
      </c>
      <c r="M887" s="1">
        <f>IF(OR(Table1[[#This Row],[Std Nom]]="",Table1[[#This Row],[Std Read]]=""),0,Table1[[#This Row],[Std Nom]]-Table1[[#This Row],[Std Read]])</f>
        <v>0</v>
      </c>
      <c r="N887" s="1">
        <f>IF(Calculations!$F$5="ACCREDITED 17025 WITH UNCERTAINTIES",$N$10,0)</f>
        <v>0</v>
      </c>
      <c r="Q887" s="1">
        <f>Table1[[#This Row],[High Tol]]-Table1[[#This Row],[Low Tol]]</f>
        <v>0</v>
      </c>
      <c r="R887" s="1">
        <f>2*Table1[[#This Row],[Std Error]]</f>
        <v>0</v>
      </c>
      <c r="S887" s="1" t="str">
        <f>IF(Table1[[#This Row],[High Tol]]="","N/A",IFERROR(ABS(Table1[[#This Row],[Tol Span]]/Table1[[#This Row],[Error Span]]),"N/A"))</f>
        <v>N/A</v>
      </c>
      <c r="T887" s="1" t="str">
        <f>IF(OR(Table1[[#This Row],[Low Tol]]="",Table1[[#This Row],[High Tol]]=""),"Needs Analysis",IF(Table1[[#This Row],[Ratio]]&gt;=4,"Not Significant",IF(Table1[[#This Row],[Ratio]]&gt;=2,"Semi-Significant","Significant")))</f>
        <v>Needs Analysis</v>
      </c>
      <c r="W887" s="1">
        <f>IF(Table1[[#This Row],[Cal Type]]&lt;&gt;"ACCREDITED 17025 WITH UNCERTAINTIES",0,"")</f>
        <v>0</v>
      </c>
      <c r="X887" s="1" t="str">
        <f>IF(Table1[[#This Row],[DUT Read]]="","N/A",Table1[[#This Row],[Std Error]]+Table1[[#This Row],[DUT Read]]+Table1[[#This Row],[DUT Ucty]])</f>
        <v>N/A</v>
      </c>
      <c r="Y887" s="1" t="str">
        <f>IF(Table1[[#This Row],[Std Read]]="","N/A",Table1[[#This Row],[Std Read]]+Table1[[#This Row],[Std Ucty]])</f>
        <v>N/A</v>
      </c>
      <c r="Z8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7" s="1" t="str">
        <f>IF(Table1[[#This Row],[Spec Type]]="","N/A",Table1[[#This Row],[Spec Type]])</f>
        <v>±</v>
      </c>
      <c r="AC887" s="1" t="str">
        <f>IF(Table1[[#This Row],[Spec Type2]]="N/A","N/A",IF(AND(Table1[[#This Row],[DUT Adj Read]]&gt;=Table1[[#This Row],[Low Tol]],Table1[[#This Row],[DUT Adj Read]]&lt;=Table1[[#This Row],[High Tol]]),"Pass","Fail"))</f>
        <v>Fail</v>
      </c>
      <c r="AD887" s="1" t="str">
        <f>IF(AND(Table1[[#This Row],[Spec Type2]]="N/A",Table1[[#This Row],[DUT Adj Read]]="N/A",Table1[[#This Row],[Std Adj Read]]="N/A"),"N/A",IF(Table1[[#This Row],[DUT Adj Read]]="N/A",IF(Table1[[#This Row],[Std Adj Read]]&gt;Table1[[#This Row],[Low Tol]],"Pass","Fail"),IF(Table1[[#This Row],[DUT Adj Read]]&gt;Table1[[#This Row],[Low Tol]],"Pass","Fail")))</f>
        <v>Pass</v>
      </c>
      <c r="AE887" s="1" t="str">
        <f>IF(AND(Table1[[#This Row],[Spec Type2]]="N/A",Table1[[#This Row],[DUT Adj Read]]="N/A",Table1[[#This Row],[Std Adj Read]]="N/A"),"N/A",IF(Table1[[#This Row],[DUT Adj Read]]="N/A",IF(Table1[[#This Row],[Std Adj Read]]&lt;Table1[[#This Row],[High Tol]],"Pass","Fail"),IF(Table1[[#This Row],[DUT Adj Read]]&lt;Table1[[#This Row],[High Tol]],"Pass","Fail")))</f>
        <v>Fail</v>
      </c>
      <c r="AF887" s="1" t="str">
        <f>IF(AND(Table1[[#This Row],[Spec Type2]]="N/A",Table1[[#This Row],[DUT Adj Read]]="N/A",Table1[[#This Row],[Std Adj Read]]="N/A"),"N/A",IF(Table1[[#This Row],[DUT Adj Read]]="N/A",IF(Table1[[#This Row],[Std Adj Read]]&gt;=Table1[[#This Row],[Low Tol]],"Pass","Fail"),IF(Table1[[#This Row],[DUT Adj Read]]&gt;=Table1[[#This Row],[Low Tol]],"Pass","Fail")))</f>
        <v>Pass</v>
      </c>
      <c r="AG887" s="1" t="str">
        <f>IF(AND(Table1[[#This Row],[Spec Type2]]="N/A",Table1[[#This Row],[DUT Adj Read]]="N/A",Table1[[#This Row],[Std Adj Read]]="N/A"),"N/A",IF(Table1[[#This Row],[DUT Adj Read]]="N/A",IF(Table1[[#This Row],[Std Adj Read]]&lt;=Table1[[#This Row],[High Tol]],"Pass","Fail"),IF(Table1[[#This Row],[DUT Adj Read]]&lt;=Table1[[#This Row],[High Tol]],"Pass","Fail")))</f>
        <v>Fail</v>
      </c>
      <c r="AH8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7" s="1" t="b">
        <v>0</v>
      </c>
      <c r="AN887" s="1" t="b">
        <v>0</v>
      </c>
      <c r="AO887" s="1" t="b">
        <v>0</v>
      </c>
    </row>
    <row r="888" spans="1:41" x14ac:dyDescent="0.25">
      <c r="A888" s="10"/>
      <c r="B888" s="10"/>
      <c r="C888" s="10"/>
      <c r="D888" s="10"/>
      <c r="E888" s="10"/>
      <c r="F888" s="10"/>
      <c r="G888" s="10"/>
      <c r="H888" s="10"/>
      <c r="I888" s="1" t="str">
        <f t="shared" si="39"/>
        <v/>
      </c>
      <c r="J888" s="1" t="s">
        <v>35</v>
      </c>
      <c r="K888" s="1" t="str">
        <f t="shared" si="40"/>
        <v/>
      </c>
      <c r="L888" s="1" t="str">
        <f t="shared" si="41"/>
        <v/>
      </c>
      <c r="M888" s="1">
        <f>IF(OR(Table1[[#This Row],[Std Nom]]="",Table1[[#This Row],[Std Read]]=""),0,Table1[[#This Row],[Std Nom]]-Table1[[#This Row],[Std Read]])</f>
        <v>0</v>
      </c>
      <c r="N888" s="1">
        <f>IF(Calculations!$F$5="ACCREDITED 17025 WITH UNCERTAINTIES",$N$10,0)</f>
        <v>0</v>
      </c>
      <c r="Q888" s="1">
        <f>Table1[[#This Row],[High Tol]]-Table1[[#This Row],[Low Tol]]</f>
        <v>0</v>
      </c>
      <c r="R888" s="1">
        <f>2*Table1[[#This Row],[Std Error]]</f>
        <v>0</v>
      </c>
      <c r="S888" s="1" t="str">
        <f>IF(Table1[[#This Row],[High Tol]]="","N/A",IFERROR(ABS(Table1[[#This Row],[Tol Span]]/Table1[[#This Row],[Error Span]]),"N/A"))</f>
        <v>N/A</v>
      </c>
      <c r="T888" s="1" t="str">
        <f>IF(OR(Table1[[#This Row],[Low Tol]]="",Table1[[#This Row],[High Tol]]=""),"Needs Analysis",IF(Table1[[#This Row],[Ratio]]&gt;=4,"Not Significant",IF(Table1[[#This Row],[Ratio]]&gt;=2,"Semi-Significant","Significant")))</f>
        <v>Needs Analysis</v>
      </c>
      <c r="W888" s="1">
        <f>IF(Table1[[#This Row],[Cal Type]]&lt;&gt;"ACCREDITED 17025 WITH UNCERTAINTIES",0,"")</f>
        <v>0</v>
      </c>
      <c r="X888" s="1" t="str">
        <f>IF(Table1[[#This Row],[DUT Read]]="","N/A",Table1[[#This Row],[Std Error]]+Table1[[#This Row],[DUT Read]]+Table1[[#This Row],[DUT Ucty]])</f>
        <v>N/A</v>
      </c>
      <c r="Y888" s="1" t="str">
        <f>IF(Table1[[#This Row],[Std Read]]="","N/A",Table1[[#This Row],[Std Read]]+Table1[[#This Row],[Std Ucty]])</f>
        <v>N/A</v>
      </c>
      <c r="Z8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8" s="1" t="str">
        <f>IF(Table1[[#This Row],[Spec Type]]="","N/A",Table1[[#This Row],[Spec Type]])</f>
        <v>±</v>
      </c>
      <c r="AC888" s="1" t="str">
        <f>IF(Table1[[#This Row],[Spec Type2]]="N/A","N/A",IF(AND(Table1[[#This Row],[DUT Adj Read]]&gt;=Table1[[#This Row],[Low Tol]],Table1[[#This Row],[DUT Adj Read]]&lt;=Table1[[#This Row],[High Tol]]),"Pass","Fail"))</f>
        <v>Fail</v>
      </c>
      <c r="AD888" s="1" t="str">
        <f>IF(AND(Table1[[#This Row],[Spec Type2]]="N/A",Table1[[#This Row],[DUT Adj Read]]="N/A",Table1[[#This Row],[Std Adj Read]]="N/A"),"N/A",IF(Table1[[#This Row],[DUT Adj Read]]="N/A",IF(Table1[[#This Row],[Std Adj Read]]&gt;Table1[[#This Row],[Low Tol]],"Pass","Fail"),IF(Table1[[#This Row],[DUT Adj Read]]&gt;Table1[[#This Row],[Low Tol]],"Pass","Fail")))</f>
        <v>Pass</v>
      </c>
      <c r="AE888" s="1" t="str">
        <f>IF(AND(Table1[[#This Row],[Spec Type2]]="N/A",Table1[[#This Row],[DUT Adj Read]]="N/A",Table1[[#This Row],[Std Adj Read]]="N/A"),"N/A",IF(Table1[[#This Row],[DUT Adj Read]]="N/A",IF(Table1[[#This Row],[Std Adj Read]]&lt;Table1[[#This Row],[High Tol]],"Pass","Fail"),IF(Table1[[#This Row],[DUT Adj Read]]&lt;Table1[[#This Row],[High Tol]],"Pass","Fail")))</f>
        <v>Fail</v>
      </c>
      <c r="AF888" s="1" t="str">
        <f>IF(AND(Table1[[#This Row],[Spec Type2]]="N/A",Table1[[#This Row],[DUT Adj Read]]="N/A",Table1[[#This Row],[Std Adj Read]]="N/A"),"N/A",IF(Table1[[#This Row],[DUT Adj Read]]="N/A",IF(Table1[[#This Row],[Std Adj Read]]&gt;=Table1[[#This Row],[Low Tol]],"Pass","Fail"),IF(Table1[[#This Row],[DUT Adj Read]]&gt;=Table1[[#This Row],[Low Tol]],"Pass","Fail")))</f>
        <v>Pass</v>
      </c>
      <c r="AG888" s="1" t="str">
        <f>IF(AND(Table1[[#This Row],[Spec Type2]]="N/A",Table1[[#This Row],[DUT Adj Read]]="N/A",Table1[[#This Row],[Std Adj Read]]="N/A"),"N/A",IF(Table1[[#This Row],[DUT Adj Read]]="N/A",IF(Table1[[#This Row],[Std Adj Read]]&lt;=Table1[[#This Row],[High Tol]],"Pass","Fail"),IF(Table1[[#This Row],[DUT Adj Read]]&lt;=Table1[[#This Row],[High Tol]],"Pass","Fail")))</f>
        <v>Fail</v>
      </c>
      <c r="AH8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8" s="1" t="b">
        <v>0</v>
      </c>
      <c r="AN888" s="1" t="b">
        <v>0</v>
      </c>
      <c r="AO888" s="1" t="b">
        <v>0</v>
      </c>
    </row>
    <row r="889" spans="1:41" x14ac:dyDescent="0.25">
      <c r="A889" s="10"/>
      <c r="B889" s="10"/>
      <c r="C889" s="10"/>
      <c r="D889" s="10"/>
      <c r="E889" s="10"/>
      <c r="F889" s="10"/>
      <c r="G889" s="10"/>
      <c r="H889" s="10"/>
      <c r="I889" s="1" t="str">
        <f t="shared" si="39"/>
        <v/>
      </c>
      <c r="J889" s="1" t="s">
        <v>35</v>
      </c>
      <c r="K889" s="1" t="str">
        <f t="shared" si="40"/>
        <v/>
      </c>
      <c r="L889" s="1" t="str">
        <f t="shared" si="41"/>
        <v/>
      </c>
      <c r="M889" s="1">
        <f>IF(OR(Table1[[#This Row],[Std Nom]]="",Table1[[#This Row],[Std Read]]=""),0,Table1[[#This Row],[Std Nom]]-Table1[[#This Row],[Std Read]])</f>
        <v>0</v>
      </c>
      <c r="N889" s="1">
        <f>IF(Calculations!$F$5="ACCREDITED 17025 WITH UNCERTAINTIES",$N$10,0)</f>
        <v>0</v>
      </c>
      <c r="Q889" s="1">
        <f>Table1[[#This Row],[High Tol]]-Table1[[#This Row],[Low Tol]]</f>
        <v>0</v>
      </c>
      <c r="R889" s="1">
        <f>2*Table1[[#This Row],[Std Error]]</f>
        <v>0</v>
      </c>
      <c r="S889" s="1" t="str">
        <f>IF(Table1[[#This Row],[High Tol]]="","N/A",IFERROR(ABS(Table1[[#This Row],[Tol Span]]/Table1[[#This Row],[Error Span]]),"N/A"))</f>
        <v>N/A</v>
      </c>
      <c r="T889" s="1" t="str">
        <f>IF(OR(Table1[[#This Row],[Low Tol]]="",Table1[[#This Row],[High Tol]]=""),"Needs Analysis",IF(Table1[[#This Row],[Ratio]]&gt;=4,"Not Significant",IF(Table1[[#This Row],[Ratio]]&gt;=2,"Semi-Significant","Significant")))</f>
        <v>Needs Analysis</v>
      </c>
      <c r="W889" s="1">
        <f>IF(Table1[[#This Row],[Cal Type]]&lt;&gt;"ACCREDITED 17025 WITH UNCERTAINTIES",0,"")</f>
        <v>0</v>
      </c>
      <c r="X889" s="1" t="str">
        <f>IF(Table1[[#This Row],[DUT Read]]="","N/A",Table1[[#This Row],[Std Error]]+Table1[[#This Row],[DUT Read]]+Table1[[#This Row],[DUT Ucty]])</f>
        <v>N/A</v>
      </c>
      <c r="Y889" s="1" t="str">
        <f>IF(Table1[[#This Row],[Std Read]]="","N/A",Table1[[#This Row],[Std Read]]+Table1[[#This Row],[Std Ucty]])</f>
        <v>N/A</v>
      </c>
      <c r="Z8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89" s="1" t="str">
        <f>IF(Table1[[#This Row],[Spec Type]]="","N/A",Table1[[#This Row],[Spec Type]])</f>
        <v>±</v>
      </c>
      <c r="AC889" s="1" t="str">
        <f>IF(Table1[[#This Row],[Spec Type2]]="N/A","N/A",IF(AND(Table1[[#This Row],[DUT Adj Read]]&gt;=Table1[[#This Row],[Low Tol]],Table1[[#This Row],[DUT Adj Read]]&lt;=Table1[[#This Row],[High Tol]]),"Pass","Fail"))</f>
        <v>Fail</v>
      </c>
      <c r="AD889" s="1" t="str">
        <f>IF(AND(Table1[[#This Row],[Spec Type2]]="N/A",Table1[[#This Row],[DUT Adj Read]]="N/A",Table1[[#This Row],[Std Adj Read]]="N/A"),"N/A",IF(Table1[[#This Row],[DUT Adj Read]]="N/A",IF(Table1[[#This Row],[Std Adj Read]]&gt;Table1[[#This Row],[Low Tol]],"Pass","Fail"),IF(Table1[[#This Row],[DUT Adj Read]]&gt;Table1[[#This Row],[Low Tol]],"Pass","Fail")))</f>
        <v>Pass</v>
      </c>
      <c r="AE889" s="1" t="str">
        <f>IF(AND(Table1[[#This Row],[Spec Type2]]="N/A",Table1[[#This Row],[DUT Adj Read]]="N/A",Table1[[#This Row],[Std Adj Read]]="N/A"),"N/A",IF(Table1[[#This Row],[DUT Adj Read]]="N/A",IF(Table1[[#This Row],[Std Adj Read]]&lt;Table1[[#This Row],[High Tol]],"Pass","Fail"),IF(Table1[[#This Row],[DUT Adj Read]]&lt;Table1[[#This Row],[High Tol]],"Pass","Fail")))</f>
        <v>Fail</v>
      </c>
      <c r="AF889" s="1" t="str">
        <f>IF(AND(Table1[[#This Row],[Spec Type2]]="N/A",Table1[[#This Row],[DUT Adj Read]]="N/A",Table1[[#This Row],[Std Adj Read]]="N/A"),"N/A",IF(Table1[[#This Row],[DUT Adj Read]]="N/A",IF(Table1[[#This Row],[Std Adj Read]]&gt;=Table1[[#This Row],[Low Tol]],"Pass","Fail"),IF(Table1[[#This Row],[DUT Adj Read]]&gt;=Table1[[#This Row],[Low Tol]],"Pass","Fail")))</f>
        <v>Pass</v>
      </c>
      <c r="AG889" s="1" t="str">
        <f>IF(AND(Table1[[#This Row],[Spec Type2]]="N/A",Table1[[#This Row],[DUT Adj Read]]="N/A",Table1[[#This Row],[Std Adj Read]]="N/A"),"N/A",IF(Table1[[#This Row],[DUT Adj Read]]="N/A",IF(Table1[[#This Row],[Std Adj Read]]&lt;=Table1[[#This Row],[High Tol]],"Pass","Fail"),IF(Table1[[#This Row],[DUT Adj Read]]&lt;=Table1[[#This Row],[High Tol]],"Pass","Fail")))</f>
        <v>Fail</v>
      </c>
      <c r="AH8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89" s="1" t="b">
        <v>0</v>
      </c>
      <c r="AN889" s="1" t="b">
        <v>0</v>
      </c>
      <c r="AO889" s="1" t="b">
        <v>0</v>
      </c>
    </row>
    <row r="890" spans="1:41" x14ac:dyDescent="0.25">
      <c r="A890" s="10"/>
      <c r="B890" s="10"/>
      <c r="C890" s="10"/>
      <c r="D890" s="10"/>
      <c r="E890" s="10"/>
      <c r="F890" s="10"/>
      <c r="G890" s="10"/>
      <c r="H890" s="10"/>
      <c r="I890" s="1" t="str">
        <f t="shared" si="39"/>
        <v/>
      </c>
      <c r="J890" s="1" t="s">
        <v>35</v>
      </c>
      <c r="K890" s="1" t="str">
        <f t="shared" si="40"/>
        <v/>
      </c>
      <c r="L890" s="1" t="str">
        <f t="shared" si="41"/>
        <v/>
      </c>
      <c r="M890" s="1">
        <f>IF(OR(Table1[[#This Row],[Std Nom]]="",Table1[[#This Row],[Std Read]]=""),0,Table1[[#This Row],[Std Nom]]-Table1[[#This Row],[Std Read]])</f>
        <v>0</v>
      </c>
      <c r="N890" s="1">
        <f>IF(Calculations!$F$5="ACCREDITED 17025 WITH UNCERTAINTIES",$N$10,0)</f>
        <v>0</v>
      </c>
      <c r="Q890" s="1">
        <f>Table1[[#This Row],[High Tol]]-Table1[[#This Row],[Low Tol]]</f>
        <v>0</v>
      </c>
      <c r="R890" s="1">
        <f>2*Table1[[#This Row],[Std Error]]</f>
        <v>0</v>
      </c>
      <c r="S890" s="1" t="str">
        <f>IF(Table1[[#This Row],[High Tol]]="","N/A",IFERROR(ABS(Table1[[#This Row],[Tol Span]]/Table1[[#This Row],[Error Span]]),"N/A"))</f>
        <v>N/A</v>
      </c>
      <c r="T890" s="1" t="str">
        <f>IF(OR(Table1[[#This Row],[Low Tol]]="",Table1[[#This Row],[High Tol]]=""),"Needs Analysis",IF(Table1[[#This Row],[Ratio]]&gt;=4,"Not Significant",IF(Table1[[#This Row],[Ratio]]&gt;=2,"Semi-Significant","Significant")))</f>
        <v>Needs Analysis</v>
      </c>
      <c r="W890" s="1">
        <f>IF(Table1[[#This Row],[Cal Type]]&lt;&gt;"ACCREDITED 17025 WITH UNCERTAINTIES",0,"")</f>
        <v>0</v>
      </c>
      <c r="X890" s="1" t="str">
        <f>IF(Table1[[#This Row],[DUT Read]]="","N/A",Table1[[#This Row],[Std Error]]+Table1[[#This Row],[DUT Read]]+Table1[[#This Row],[DUT Ucty]])</f>
        <v>N/A</v>
      </c>
      <c r="Y890" s="1" t="str">
        <f>IF(Table1[[#This Row],[Std Read]]="","N/A",Table1[[#This Row],[Std Read]]+Table1[[#This Row],[Std Ucty]])</f>
        <v>N/A</v>
      </c>
      <c r="Z8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0" s="1" t="str">
        <f>IF(Table1[[#This Row],[Spec Type]]="","N/A",Table1[[#This Row],[Spec Type]])</f>
        <v>±</v>
      </c>
      <c r="AC890" s="1" t="str">
        <f>IF(Table1[[#This Row],[Spec Type2]]="N/A","N/A",IF(AND(Table1[[#This Row],[DUT Adj Read]]&gt;=Table1[[#This Row],[Low Tol]],Table1[[#This Row],[DUT Adj Read]]&lt;=Table1[[#This Row],[High Tol]]),"Pass","Fail"))</f>
        <v>Fail</v>
      </c>
      <c r="AD890" s="1" t="str">
        <f>IF(AND(Table1[[#This Row],[Spec Type2]]="N/A",Table1[[#This Row],[DUT Adj Read]]="N/A",Table1[[#This Row],[Std Adj Read]]="N/A"),"N/A",IF(Table1[[#This Row],[DUT Adj Read]]="N/A",IF(Table1[[#This Row],[Std Adj Read]]&gt;Table1[[#This Row],[Low Tol]],"Pass","Fail"),IF(Table1[[#This Row],[DUT Adj Read]]&gt;Table1[[#This Row],[Low Tol]],"Pass","Fail")))</f>
        <v>Pass</v>
      </c>
      <c r="AE890" s="1" t="str">
        <f>IF(AND(Table1[[#This Row],[Spec Type2]]="N/A",Table1[[#This Row],[DUT Adj Read]]="N/A",Table1[[#This Row],[Std Adj Read]]="N/A"),"N/A",IF(Table1[[#This Row],[DUT Adj Read]]="N/A",IF(Table1[[#This Row],[Std Adj Read]]&lt;Table1[[#This Row],[High Tol]],"Pass","Fail"),IF(Table1[[#This Row],[DUT Adj Read]]&lt;Table1[[#This Row],[High Tol]],"Pass","Fail")))</f>
        <v>Fail</v>
      </c>
      <c r="AF890" s="1" t="str">
        <f>IF(AND(Table1[[#This Row],[Spec Type2]]="N/A",Table1[[#This Row],[DUT Adj Read]]="N/A",Table1[[#This Row],[Std Adj Read]]="N/A"),"N/A",IF(Table1[[#This Row],[DUT Adj Read]]="N/A",IF(Table1[[#This Row],[Std Adj Read]]&gt;=Table1[[#This Row],[Low Tol]],"Pass","Fail"),IF(Table1[[#This Row],[DUT Adj Read]]&gt;=Table1[[#This Row],[Low Tol]],"Pass","Fail")))</f>
        <v>Pass</v>
      </c>
      <c r="AG890" s="1" t="str">
        <f>IF(AND(Table1[[#This Row],[Spec Type2]]="N/A",Table1[[#This Row],[DUT Adj Read]]="N/A",Table1[[#This Row],[Std Adj Read]]="N/A"),"N/A",IF(Table1[[#This Row],[DUT Adj Read]]="N/A",IF(Table1[[#This Row],[Std Adj Read]]&lt;=Table1[[#This Row],[High Tol]],"Pass","Fail"),IF(Table1[[#This Row],[DUT Adj Read]]&lt;=Table1[[#This Row],[High Tol]],"Pass","Fail")))</f>
        <v>Fail</v>
      </c>
      <c r="AH8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0" s="1" t="b">
        <v>0</v>
      </c>
      <c r="AN890" s="1" t="b">
        <v>0</v>
      </c>
      <c r="AO890" s="1" t="b">
        <v>0</v>
      </c>
    </row>
    <row r="891" spans="1:41" x14ac:dyDescent="0.25">
      <c r="A891" s="10"/>
      <c r="B891" s="10"/>
      <c r="C891" s="10"/>
      <c r="D891" s="10"/>
      <c r="E891" s="10"/>
      <c r="F891" s="10"/>
      <c r="G891" s="10"/>
      <c r="H891" s="10"/>
      <c r="I891" s="1" t="str">
        <f t="shared" si="39"/>
        <v/>
      </c>
      <c r="J891" s="1" t="s">
        <v>35</v>
      </c>
      <c r="K891" s="1" t="str">
        <f t="shared" si="40"/>
        <v/>
      </c>
      <c r="L891" s="1" t="str">
        <f t="shared" si="41"/>
        <v/>
      </c>
      <c r="M891" s="1">
        <f>IF(OR(Table1[[#This Row],[Std Nom]]="",Table1[[#This Row],[Std Read]]=""),0,Table1[[#This Row],[Std Nom]]-Table1[[#This Row],[Std Read]])</f>
        <v>0</v>
      </c>
      <c r="N891" s="1">
        <f>IF(Calculations!$F$5="ACCREDITED 17025 WITH UNCERTAINTIES",$N$10,0)</f>
        <v>0</v>
      </c>
      <c r="Q891" s="1">
        <f>Table1[[#This Row],[High Tol]]-Table1[[#This Row],[Low Tol]]</f>
        <v>0</v>
      </c>
      <c r="R891" s="1">
        <f>2*Table1[[#This Row],[Std Error]]</f>
        <v>0</v>
      </c>
      <c r="S891" s="1" t="str">
        <f>IF(Table1[[#This Row],[High Tol]]="","N/A",IFERROR(ABS(Table1[[#This Row],[Tol Span]]/Table1[[#This Row],[Error Span]]),"N/A"))</f>
        <v>N/A</v>
      </c>
      <c r="T891" s="1" t="str">
        <f>IF(OR(Table1[[#This Row],[Low Tol]]="",Table1[[#This Row],[High Tol]]=""),"Needs Analysis",IF(Table1[[#This Row],[Ratio]]&gt;=4,"Not Significant",IF(Table1[[#This Row],[Ratio]]&gt;=2,"Semi-Significant","Significant")))</f>
        <v>Needs Analysis</v>
      </c>
      <c r="W891" s="1">
        <f>IF(Table1[[#This Row],[Cal Type]]&lt;&gt;"ACCREDITED 17025 WITH UNCERTAINTIES",0,"")</f>
        <v>0</v>
      </c>
      <c r="X891" s="1" t="str">
        <f>IF(Table1[[#This Row],[DUT Read]]="","N/A",Table1[[#This Row],[Std Error]]+Table1[[#This Row],[DUT Read]]+Table1[[#This Row],[DUT Ucty]])</f>
        <v>N/A</v>
      </c>
      <c r="Y891" s="1" t="str">
        <f>IF(Table1[[#This Row],[Std Read]]="","N/A",Table1[[#This Row],[Std Read]]+Table1[[#This Row],[Std Ucty]])</f>
        <v>N/A</v>
      </c>
      <c r="Z8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1" s="1" t="str">
        <f>IF(Table1[[#This Row],[Spec Type]]="","N/A",Table1[[#This Row],[Spec Type]])</f>
        <v>±</v>
      </c>
      <c r="AC891" s="1" t="str">
        <f>IF(Table1[[#This Row],[Spec Type2]]="N/A","N/A",IF(AND(Table1[[#This Row],[DUT Adj Read]]&gt;=Table1[[#This Row],[Low Tol]],Table1[[#This Row],[DUT Adj Read]]&lt;=Table1[[#This Row],[High Tol]]),"Pass","Fail"))</f>
        <v>Fail</v>
      </c>
      <c r="AD891" s="1" t="str">
        <f>IF(AND(Table1[[#This Row],[Spec Type2]]="N/A",Table1[[#This Row],[DUT Adj Read]]="N/A",Table1[[#This Row],[Std Adj Read]]="N/A"),"N/A",IF(Table1[[#This Row],[DUT Adj Read]]="N/A",IF(Table1[[#This Row],[Std Adj Read]]&gt;Table1[[#This Row],[Low Tol]],"Pass","Fail"),IF(Table1[[#This Row],[DUT Adj Read]]&gt;Table1[[#This Row],[Low Tol]],"Pass","Fail")))</f>
        <v>Pass</v>
      </c>
      <c r="AE891" s="1" t="str">
        <f>IF(AND(Table1[[#This Row],[Spec Type2]]="N/A",Table1[[#This Row],[DUT Adj Read]]="N/A",Table1[[#This Row],[Std Adj Read]]="N/A"),"N/A",IF(Table1[[#This Row],[DUT Adj Read]]="N/A",IF(Table1[[#This Row],[Std Adj Read]]&lt;Table1[[#This Row],[High Tol]],"Pass","Fail"),IF(Table1[[#This Row],[DUT Adj Read]]&lt;Table1[[#This Row],[High Tol]],"Pass","Fail")))</f>
        <v>Fail</v>
      </c>
      <c r="AF891" s="1" t="str">
        <f>IF(AND(Table1[[#This Row],[Spec Type2]]="N/A",Table1[[#This Row],[DUT Adj Read]]="N/A",Table1[[#This Row],[Std Adj Read]]="N/A"),"N/A",IF(Table1[[#This Row],[DUT Adj Read]]="N/A",IF(Table1[[#This Row],[Std Adj Read]]&gt;=Table1[[#This Row],[Low Tol]],"Pass","Fail"),IF(Table1[[#This Row],[DUT Adj Read]]&gt;=Table1[[#This Row],[Low Tol]],"Pass","Fail")))</f>
        <v>Pass</v>
      </c>
      <c r="AG891" s="1" t="str">
        <f>IF(AND(Table1[[#This Row],[Spec Type2]]="N/A",Table1[[#This Row],[DUT Adj Read]]="N/A",Table1[[#This Row],[Std Adj Read]]="N/A"),"N/A",IF(Table1[[#This Row],[DUT Adj Read]]="N/A",IF(Table1[[#This Row],[Std Adj Read]]&lt;=Table1[[#This Row],[High Tol]],"Pass","Fail"),IF(Table1[[#This Row],[DUT Adj Read]]&lt;=Table1[[#This Row],[High Tol]],"Pass","Fail")))</f>
        <v>Fail</v>
      </c>
      <c r="AH8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1" s="1" t="b">
        <v>0</v>
      </c>
      <c r="AN891" s="1" t="b">
        <v>0</v>
      </c>
      <c r="AO891" s="1" t="b">
        <v>0</v>
      </c>
    </row>
    <row r="892" spans="1:41" x14ac:dyDescent="0.25">
      <c r="A892" s="10"/>
      <c r="B892" s="10"/>
      <c r="C892" s="10"/>
      <c r="D892" s="10"/>
      <c r="E892" s="10"/>
      <c r="F892" s="10"/>
      <c r="G892" s="10"/>
      <c r="H892" s="10"/>
      <c r="I892" s="1" t="str">
        <f t="shared" si="39"/>
        <v/>
      </c>
      <c r="J892" s="1" t="s">
        <v>35</v>
      </c>
      <c r="K892" s="1" t="str">
        <f t="shared" si="40"/>
        <v/>
      </c>
      <c r="L892" s="1" t="str">
        <f t="shared" si="41"/>
        <v/>
      </c>
      <c r="M892" s="1">
        <f>IF(OR(Table1[[#This Row],[Std Nom]]="",Table1[[#This Row],[Std Read]]=""),0,Table1[[#This Row],[Std Nom]]-Table1[[#This Row],[Std Read]])</f>
        <v>0</v>
      </c>
      <c r="N892" s="1">
        <f>IF(Calculations!$F$5="ACCREDITED 17025 WITH UNCERTAINTIES",$N$10,0)</f>
        <v>0</v>
      </c>
      <c r="Q892" s="1">
        <f>Table1[[#This Row],[High Tol]]-Table1[[#This Row],[Low Tol]]</f>
        <v>0</v>
      </c>
      <c r="R892" s="1">
        <f>2*Table1[[#This Row],[Std Error]]</f>
        <v>0</v>
      </c>
      <c r="S892" s="1" t="str">
        <f>IF(Table1[[#This Row],[High Tol]]="","N/A",IFERROR(ABS(Table1[[#This Row],[Tol Span]]/Table1[[#This Row],[Error Span]]),"N/A"))</f>
        <v>N/A</v>
      </c>
      <c r="T892" s="1" t="str">
        <f>IF(OR(Table1[[#This Row],[Low Tol]]="",Table1[[#This Row],[High Tol]]=""),"Needs Analysis",IF(Table1[[#This Row],[Ratio]]&gt;=4,"Not Significant",IF(Table1[[#This Row],[Ratio]]&gt;=2,"Semi-Significant","Significant")))</f>
        <v>Needs Analysis</v>
      </c>
      <c r="W892" s="1">
        <f>IF(Table1[[#This Row],[Cal Type]]&lt;&gt;"ACCREDITED 17025 WITH UNCERTAINTIES",0,"")</f>
        <v>0</v>
      </c>
      <c r="X892" s="1" t="str">
        <f>IF(Table1[[#This Row],[DUT Read]]="","N/A",Table1[[#This Row],[Std Error]]+Table1[[#This Row],[DUT Read]]+Table1[[#This Row],[DUT Ucty]])</f>
        <v>N/A</v>
      </c>
      <c r="Y892" s="1" t="str">
        <f>IF(Table1[[#This Row],[Std Read]]="","N/A",Table1[[#This Row],[Std Read]]+Table1[[#This Row],[Std Ucty]])</f>
        <v>N/A</v>
      </c>
      <c r="Z8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2" s="1" t="str">
        <f>IF(Table1[[#This Row],[Spec Type]]="","N/A",Table1[[#This Row],[Spec Type]])</f>
        <v>±</v>
      </c>
      <c r="AC892" s="1" t="str">
        <f>IF(Table1[[#This Row],[Spec Type2]]="N/A","N/A",IF(AND(Table1[[#This Row],[DUT Adj Read]]&gt;=Table1[[#This Row],[Low Tol]],Table1[[#This Row],[DUT Adj Read]]&lt;=Table1[[#This Row],[High Tol]]),"Pass","Fail"))</f>
        <v>Fail</v>
      </c>
      <c r="AD892" s="1" t="str">
        <f>IF(AND(Table1[[#This Row],[Spec Type2]]="N/A",Table1[[#This Row],[DUT Adj Read]]="N/A",Table1[[#This Row],[Std Adj Read]]="N/A"),"N/A",IF(Table1[[#This Row],[DUT Adj Read]]="N/A",IF(Table1[[#This Row],[Std Adj Read]]&gt;Table1[[#This Row],[Low Tol]],"Pass","Fail"),IF(Table1[[#This Row],[DUT Adj Read]]&gt;Table1[[#This Row],[Low Tol]],"Pass","Fail")))</f>
        <v>Pass</v>
      </c>
      <c r="AE892" s="1" t="str">
        <f>IF(AND(Table1[[#This Row],[Spec Type2]]="N/A",Table1[[#This Row],[DUT Adj Read]]="N/A",Table1[[#This Row],[Std Adj Read]]="N/A"),"N/A",IF(Table1[[#This Row],[DUT Adj Read]]="N/A",IF(Table1[[#This Row],[Std Adj Read]]&lt;Table1[[#This Row],[High Tol]],"Pass","Fail"),IF(Table1[[#This Row],[DUT Adj Read]]&lt;Table1[[#This Row],[High Tol]],"Pass","Fail")))</f>
        <v>Fail</v>
      </c>
      <c r="AF892" s="1" t="str">
        <f>IF(AND(Table1[[#This Row],[Spec Type2]]="N/A",Table1[[#This Row],[DUT Adj Read]]="N/A",Table1[[#This Row],[Std Adj Read]]="N/A"),"N/A",IF(Table1[[#This Row],[DUT Adj Read]]="N/A",IF(Table1[[#This Row],[Std Adj Read]]&gt;=Table1[[#This Row],[Low Tol]],"Pass","Fail"),IF(Table1[[#This Row],[DUT Adj Read]]&gt;=Table1[[#This Row],[Low Tol]],"Pass","Fail")))</f>
        <v>Pass</v>
      </c>
      <c r="AG892" s="1" t="str">
        <f>IF(AND(Table1[[#This Row],[Spec Type2]]="N/A",Table1[[#This Row],[DUT Adj Read]]="N/A",Table1[[#This Row],[Std Adj Read]]="N/A"),"N/A",IF(Table1[[#This Row],[DUT Adj Read]]="N/A",IF(Table1[[#This Row],[Std Adj Read]]&lt;=Table1[[#This Row],[High Tol]],"Pass","Fail"),IF(Table1[[#This Row],[DUT Adj Read]]&lt;=Table1[[#This Row],[High Tol]],"Pass","Fail")))</f>
        <v>Fail</v>
      </c>
      <c r="AH8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2" s="1" t="b">
        <v>0</v>
      </c>
      <c r="AN892" s="1" t="b">
        <v>0</v>
      </c>
      <c r="AO892" s="1" t="b">
        <v>0</v>
      </c>
    </row>
    <row r="893" spans="1:41" x14ac:dyDescent="0.25">
      <c r="A893" s="10"/>
      <c r="B893" s="10"/>
      <c r="C893" s="10"/>
      <c r="D893" s="10"/>
      <c r="E893" s="10"/>
      <c r="F893" s="10"/>
      <c r="G893" s="10"/>
      <c r="H893" s="10"/>
      <c r="I893" s="1" t="str">
        <f t="shared" si="39"/>
        <v/>
      </c>
      <c r="J893" s="1" t="s">
        <v>35</v>
      </c>
      <c r="K893" s="1" t="str">
        <f t="shared" si="40"/>
        <v/>
      </c>
      <c r="L893" s="1" t="str">
        <f t="shared" si="41"/>
        <v/>
      </c>
      <c r="M893" s="1">
        <f>IF(OR(Table1[[#This Row],[Std Nom]]="",Table1[[#This Row],[Std Read]]=""),0,Table1[[#This Row],[Std Nom]]-Table1[[#This Row],[Std Read]])</f>
        <v>0</v>
      </c>
      <c r="N893" s="1">
        <f>IF(Calculations!$F$5="ACCREDITED 17025 WITH UNCERTAINTIES",$N$10,0)</f>
        <v>0</v>
      </c>
      <c r="Q893" s="1">
        <f>Table1[[#This Row],[High Tol]]-Table1[[#This Row],[Low Tol]]</f>
        <v>0</v>
      </c>
      <c r="R893" s="1">
        <f>2*Table1[[#This Row],[Std Error]]</f>
        <v>0</v>
      </c>
      <c r="S893" s="1" t="str">
        <f>IF(Table1[[#This Row],[High Tol]]="","N/A",IFERROR(ABS(Table1[[#This Row],[Tol Span]]/Table1[[#This Row],[Error Span]]),"N/A"))</f>
        <v>N/A</v>
      </c>
      <c r="T893" s="1" t="str">
        <f>IF(OR(Table1[[#This Row],[Low Tol]]="",Table1[[#This Row],[High Tol]]=""),"Needs Analysis",IF(Table1[[#This Row],[Ratio]]&gt;=4,"Not Significant",IF(Table1[[#This Row],[Ratio]]&gt;=2,"Semi-Significant","Significant")))</f>
        <v>Needs Analysis</v>
      </c>
      <c r="W893" s="1">
        <f>IF(Table1[[#This Row],[Cal Type]]&lt;&gt;"ACCREDITED 17025 WITH UNCERTAINTIES",0,"")</f>
        <v>0</v>
      </c>
      <c r="X893" s="1" t="str">
        <f>IF(Table1[[#This Row],[DUT Read]]="","N/A",Table1[[#This Row],[Std Error]]+Table1[[#This Row],[DUT Read]]+Table1[[#This Row],[DUT Ucty]])</f>
        <v>N/A</v>
      </c>
      <c r="Y893" s="1" t="str">
        <f>IF(Table1[[#This Row],[Std Read]]="","N/A",Table1[[#This Row],[Std Read]]+Table1[[#This Row],[Std Ucty]])</f>
        <v>N/A</v>
      </c>
      <c r="Z8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3" s="1" t="str">
        <f>IF(Table1[[#This Row],[Spec Type]]="","N/A",Table1[[#This Row],[Spec Type]])</f>
        <v>±</v>
      </c>
      <c r="AC893" s="1" t="str">
        <f>IF(Table1[[#This Row],[Spec Type2]]="N/A","N/A",IF(AND(Table1[[#This Row],[DUT Adj Read]]&gt;=Table1[[#This Row],[Low Tol]],Table1[[#This Row],[DUT Adj Read]]&lt;=Table1[[#This Row],[High Tol]]),"Pass","Fail"))</f>
        <v>Fail</v>
      </c>
      <c r="AD893" s="1" t="str">
        <f>IF(AND(Table1[[#This Row],[Spec Type2]]="N/A",Table1[[#This Row],[DUT Adj Read]]="N/A",Table1[[#This Row],[Std Adj Read]]="N/A"),"N/A",IF(Table1[[#This Row],[DUT Adj Read]]="N/A",IF(Table1[[#This Row],[Std Adj Read]]&gt;Table1[[#This Row],[Low Tol]],"Pass","Fail"),IF(Table1[[#This Row],[DUT Adj Read]]&gt;Table1[[#This Row],[Low Tol]],"Pass","Fail")))</f>
        <v>Pass</v>
      </c>
      <c r="AE893" s="1" t="str">
        <f>IF(AND(Table1[[#This Row],[Spec Type2]]="N/A",Table1[[#This Row],[DUT Adj Read]]="N/A",Table1[[#This Row],[Std Adj Read]]="N/A"),"N/A",IF(Table1[[#This Row],[DUT Adj Read]]="N/A",IF(Table1[[#This Row],[Std Adj Read]]&lt;Table1[[#This Row],[High Tol]],"Pass","Fail"),IF(Table1[[#This Row],[DUT Adj Read]]&lt;Table1[[#This Row],[High Tol]],"Pass","Fail")))</f>
        <v>Fail</v>
      </c>
      <c r="AF893" s="1" t="str">
        <f>IF(AND(Table1[[#This Row],[Spec Type2]]="N/A",Table1[[#This Row],[DUT Adj Read]]="N/A",Table1[[#This Row],[Std Adj Read]]="N/A"),"N/A",IF(Table1[[#This Row],[DUT Adj Read]]="N/A",IF(Table1[[#This Row],[Std Adj Read]]&gt;=Table1[[#This Row],[Low Tol]],"Pass","Fail"),IF(Table1[[#This Row],[DUT Adj Read]]&gt;=Table1[[#This Row],[Low Tol]],"Pass","Fail")))</f>
        <v>Pass</v>
      </c>
      <c r="AG893" s="1" t="str">
        <f>IF(AND(Table1[[#This Row],[Spec Type2]]="N/A",Table1[[#This Row],[DUT Adj Read]]="N/A",Table1[[#This Row],[Std Adj Read]]="N/A"),"N/A",IF(Table1[[#This Row],[DUT Adj Read]]="N/A",IF(Table1[[#This Row],[Std Adj Read]]&lt;=Table1[[#This Row],[High Tol]],"Pass","Fail"),IF(Table1[[#This Row],[DUT Adj Read]]&lt;=Table1[[#This Row],[High Tol]],"Pass","Fail")))</f>
        <v>Fail</v>
      </c>
      <c r="AH8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3" s="1" t="b">
        <v>0</v>
      </c>
      <c r="AN893" s="1" t="b">
        <v>0</v>
      </c>
      <c r="AO893" s="1" t="b">
        <v>0</v>
      </c>
    </row>
    <row r="894" spans="1:41" x14ac:dyDescent="0.25">
      <c r="A894" s="10"/>
      <c r="B894" s="10"/>
      <c r="C894" s="10"/>
      <c r="D894" s="10"/>
      <c r="E894" s="10"/>
      <c r="F894" s="10"/>
      <c r="G894" s="10"/>
      <c r="H894" s="10"/>
      <c r="I894" s="1" t="str">
        <f t="shared" si="39"/>
        <v/>
      </c>
      <c r="J894" s="1" t="s">
        <v>35</v>
      </c>
      <c r="K894" s="1" t="str">
        <f t="shared" si="40"/>
        <v/>
      </c>
      <c r="L894" s="1" t="str">
        <f t="shared" si="41"/>
        <v/>
      </c>
      <c r="M894" s="1">
        <f>IF(OR(Table1[[#This Row],[Std Nom]]="",Table1[[#This Row],[Std Read]]=""),0,Table1[[#This Row],[Std Nom]]-Table1[[#This Row],[Std Read]])</f>
        <v>0</v>
      </c>
      <c r="N894" s="1">
        <f>IF(Calculations!$F$5="ACCREDITED 17025 WITH UNCERTAINTIES",$N$10,0)</f>
        <v>0</v>
      </c>
      <c r="Q894" s="1">
        <f>Table1[[#This Row],[High Tol]]-Table1[[#This Row],[Low Tol]]</f>
        <v>0</v>
      </c>
      <c r="R894" s="1">
        <f>2*Table1[[#This Row],[Std Error]]</f>
        <v>0</v>
      </c>
      <c r="S894" s="1" t="str">
        <f>IF(Table1[[#This Row],[High Tol]]="","N/A",IFERROR(ABS(Table1[[#This Row],[Tol Span]]/Table1[[#This Row],[Error Span]]),"N/A"))</f>
        <v>N/A</v>
      </c>
      <c r="T894" s="1" t="str">
        <f>IF(OR(Table1[[#This Row],[Low Tol]]="",Table1[[#This Row],[High Tol]]=""),"Needs Analysis",IF(Table1[[#This Row],[Ratio]]&gt;=4,"Not Significant",IF(Table1[[#This Row],[Ratio]]&gt;=2,"Semi-Significant","Significant")))</f>
        <v>Needs Analysis</v>
      </c>
      <c r="W894" s="1">
        <f>IF(Table1[[#This Row],[Cal Type]]&lt;&gt;"ACCREDITED 17025 WITH UNCERTAINTIES",0,"")</f>
        <v>0</v>
      </c>
      <c r="X894" s="1" t="str">
        <f>IF(Table1[[#This Row],[DUT Read]]="","N/A",Table1[[#This Row],[Std Error]]+Table1[[#This Row],[DUT Read]]+Table1[[#This Row],[DUT Ucty]])</f>
        <v>N/A</v>
      </c>
      <c r="Y894" s="1" t="str">
        <f>IF(Table1[[#This Row],[Std Read]]="","N/A",Table1[[#This Row],[Std Read]]+Table1[[#This Row],[Std Ucty]])</f>
        <v>N/A</v>
      </c>
      <c r="Z8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4" s="1" t="str">
        <f>IF(Table1[[#This Row],[Spec Type]]="","N/A",Table1[[#This Row],[Spec Type]])</f>
        <v>±</v>
      </c>
      <c r="AC894" s="1" t="str">
        <f>IF(Table1[[#This Row],[Spec Type2]]="N/A","N/A",IF(AND(Table1[[#This Row],[DUT Adj Read]]&gt;=Table1[[#This Row],[Low Tol]],Table1[[#This Row],[DUT Adj Read]]&lt;=Table1[[#This Row],[High Tol]]),"Pass","Fail"))</f>
        <v>Fail</v>
      </c>
      <c r="AD894" s="1" t="str">
        <f>IF(AND(Table1[[#This Row],[Spec Type2]]="N/A",Table1[[#This Row],[DUT Adj Read]]="N/A",Table1[[#This Row],[Std Adj Read]]="N/A"),"N/A",IF(Table1[[#This Row],[DUT Adj Read]]="N/A",IF(Table1[[#This Row],[Std Adj Read]]&gt;Table1[[#This Row],[Low Tol]],"Pass","Fail"),IF(Table1[[#This Row],[DUT Adj Read]]&gt;Table1[[#This Row],[Low Tol]],"Pass","Fail")))</f>
        <v>Pass</v>
      </c>
      <c r="AE894" s="1" t="str">
        <f>IF(AND(Table1[[#This Row],[Spec Type2]]="N/A",Table1[[#This Row],[DUT Adj Read]]="N/A",Table1[[#This Row],[Std Adj Read]]="N/A"),"N/A",IF(Table1[[#This Row],[DUT Adj Read]]="N/A",IF(Table1[[#This Row],[Std Adj Read]]&lt;Table1[[#This Row],[High Tol]],"Pass","Fail"),IF(Table1[[#This Row],[DUT Adj Read]]&lt;Table1[[#This Row],[High Tol]],"Pass","Fail")))</f>
        <v>Fail</v>
      </c>
      <c r="AF894" s="1" t="str">
        <f>IF(AND(Table1[[#This Row],[Spec Type2]]="N/A",Table1[[#This Row],[DUT Adj Read]]="N/A",Table1[[#This Row],[Std Adj Read]]="N/A"),"N/A",IF(Table1[[#This Row],[DUT Adj Read]]="N/A",IF(Table1[[#This Row],[Std Adj Read]]&gt;=Table1[[#This Row],[Low Tol]],"Pass","Fail"),IF(Table1[[#This Row],[DUT Adj Read]]&gt;=Table1[[#This Row],[Low Tol]],"Pass","Fail")))</f>
        <v>Pass</v>
      </c>
      <c r="AG894" s="1" t="str">
        <f>IF(AND(Table1[[#This Row],[Spec Type2]]="N/A",Table1[[#This Row],[DUT Adj Read]]="N/A",Table1[[#This Row],[Std Adj Read]]="N/A"),"N/A",IF(Table1[[#This Row],[DUT Adj Read]]="N/A",IF(Table1[[#This Row],[Std Adj Read]]&lt;=Table1[[#This Row],[High Tol]],"Pass","Fail"),IF(Table1[[#This Row],[DUT Adj Read]]&lt;=Table1[[#This Row],[High Tol]],"Pass","Fail")))</f>
        <v>Fail</v>
      </c>
      <c r="AH8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4" s="1" t="b">
        <v>0</v>
      </c>
      <c r="AN894" s="1" t="b">
        <v>0</v>
      </c>
      <c r="AO894" s="1" t="b">
        <v>0</v>
      </c>
    </row>
    <row r="895" spans="1:41" x14ac:dyDescent="0.25">
      <c r="A895" s="10"/>
      <c r="B895" s="10"/>
      <c r="C895" s="10"/>
      <c r="D895" s="10"/>
      <c r="E895" s="10"/>
      <c r="F895" s="10"/>
      <c r="G895" s="10"/>
      <c r="H895" s="10"/>
      <c r="I895" s="1" t="str">
        <f t="shared" si="39"/>
        <v/>
      </c>
      <c r="J895" s="1" t="s">
        <v>35</v>
      </c>
      <c r="K895" s="1" t="str">
        <f t="shared" si="40"/>
        <v/>
      </c>
      <c r="L895" s="1" t="str">
        <f t="shared" si="41"/>
        <v/>
      </c>
      <c r="M895" s="1">
        <f>IF(OR(Table1[[#This Row],[Std Nom]]="",Table1[[#This Row],[Std Read]]=""),0,Table1[[#This Row],[Std Nom]]-Table1[[#This Row],[Std Read]])</f>
        <v>0</v>
      </c>
      <c r="N895" s="1">
        <f>IF(Calculations!$F$5="ACCREDITED 17025 WITH UNCERTAINTIES",$N$10,0)</f>
        <v>0</v>
      </c>
      <c r="Q895" s="1">
        <f>Table1[[#This Row],[High Tol]]-Table1[[#This Row],[Low Tol]]</f>
        <v>0</v>
      </c>
      <c r="R895" s="1">
        <f>2*Table1[[#This Row],[Std Error]]</f>
        <v>0</v>
      </c>
      <c r="S895" s="1" t="str">
        <f>IF(Table1[[#This Row],[High Tol]]="","N/A",IFERROR(ABS(Table1[[#This Row],[Tol Span]]/Table1[[#This Row],[Error Span]]),"N/A"))</f>
        <v>N/A</v>
      </c>
      <c r="T895" s="1" t="str">
        <f>IF(OR(Table1[[#This Row],[Low Tol]]="",Table1[[#This Row],[High Tol]]=""),"Needs Analysis",IF(Table1[[#This Row],[Ratio]]&gt;=4,"Not Significant",IF(Table1[[#This Row],[Ratio]]&gt;=2,"Semi-Significant","Significant")))</f>
        <v>Needs Analysis</v>
      </c>
      <c r="W895" s="1">
        <f>IF(Table1[[#This Row],[Cal Type]]&lt;&gt;"ACCREDITED 17025 WITH UNCERTAINTIES",0,"")</f>
        <v>0</v>
      </c>
      <c r="X895" s="1" t="str">
        <f>IF(Table1[[#This Row],[DUT Read]]="","N/A",Table1[[#This Row],[Std Error]]+Table1[[#This Row],[DUT Read]]+Table1[[#This Row],[DUT Ucty]])</f>
        <v>N/A</v>
      </c>
      <c r="Y895" s="1" t="str">
        <f>IF(Table1[[#This Row],[Std Read]]="","N/A",Table1[[#This Row],[Std Read]]+Table1[[#This Row],[Std Ucty]])</f>
        <v>N/A</v>
      </c>
      <c r="Z8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5" s="1" t="str">
        <f>IF(Table1[[#This Row],[Spec Type]]="","N/A",Table1[[#This Row],[Spec Type]])</f>
        <v>±</v>
      </c>
      <c r="AC895" s="1" t="str">
        <f>IF(Table1[[#This Row],[Spec Type2]]="N/A","N/A",IF(AND(Table1[[#This Row],[DUT Adj Read]]&gt;=Table1[[#This Row],[Low Tol]],Table1[[#This Row],[DUT Adj Read]]&lt;=Table1[[#This Row],[High Tol]]),"Pass","Fail"))</f>
        <v>Fail</v>
      </c>
      <c r="AD895" s="1" t="str">
        <f>IF(AND(Table1[[#This Row],[Spec Type2]]="N/A",Table1[[#This Row],[DUT Adj Read]]="N/A",Table1[[#This Row],[Std Adj Read]]="N/A"),"N/A",IF(Table1[[#This Row],[DUT Adj Read]]="N/A",IF(Table1[[#This Row],[Std Adj Read]]&gt;Table1[[#This Row],[Low Tol]],"Pass","Fail"),IF(Table1[[#This Row],[DUT Adj Read]]&gt;Table1[[#This Row],[Low Tol]],"Pass","Fail")))</f>
        <v>Pass</v>
      </c>
      <c r="AE895" s="1" t="str">
        <f>IF(AND(Table1[[#This Row],[Spec Type2]]="N/A",Table1[[#This Row],[DUT Adj Read]]="N/A",Table1[[#This Row],[Std Adj Read]]="N/A"),"N/A",IF(Table1[[#This Row],[DUT Adj Read]]="N/A",IF(Table1[[#This Row],[Std Adj Read]]&lt;Table1[[#This Row],[High Tol]],"Pass","Fail"),IF(Table1[[#This Row],[DUT Adj Read]]&lt;Table1[[#This Row],[High Tol]],"Pass","Fail")))</f>
        <v>Fail</v>
      </c>
      <c r="AF895" s="1" t="str">
        <f>IF(AND(Table1[[#This Row],[Spec Type2]]="N/A",Table1[[#This Row],[DUT Adj Read]]="N/A",Table1[[#This Row],[Std Adj Read]]="N/A"),"N/A",IF(Table1[[#This Row],[DUT Adj Read]]="N/A",IF(Table1[[#This Row],[Std Adj Read]]&gt;=Table1[[#This Row],[Low Tol]],"Pass","Fail"),IF(Table1[[#This Row],[DUT Adj Read]]&gt;=Table1[[#This Row],[Low Tol]],"Pass","Fail")))</f>
        <v>Pass</v>
      </c>
      <c r="AG895" s="1" t="str">
        <f>IF(AND(Table1[[#This Row],[Spec Type2]]="N/A",Table1[[#This Row],[DUT Adj Read]]="N/A",Table1[[#This Row],[Std Adj Read]]="N/A"),"N/A",IF(Table1[[#This Row],[DUT Adj Read]]="N/A",IF(Table1[[#This Row],[Std Adj Read]]&lt;=Table1[[#This Row],[High Tol]],"Pass","Fail"),IF(Table1[[#This Row],[DUT Adj Read]]&lt;=Table1[[#This Row],[High Tol]],"Pass","Fail")))</f>
        <v>Fail</v>
      </c>
      <c r="AH8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5" s="1" t="b">
        <v>0</v>
      </c>
      <c r="AN895" s="1" t="b">
        <v>0</v>
      </c>
      <c r="AO895" s="1" t="b">
        <v>0</v>
      </c>
    </row>
    <row r="896" spans="1:41" x14ac:dyDescent="0.25">
      <c r="A896" s="10"/>
      <c r="B896" s="10"/>
      <c r="C896" s="10"/>
      <c r="D896" s="10"/>
      <c r="E896" s="10"/>
      <c r="F896" s="10"/>
      <c r="G896" s="10"/>
      <c r="H896" s="10"/>
      <c r="I896" s="1" t="str">
        <f t="shared" si="39"/>
        <v/>
      </c>
      <c r="J896" s="1" t="s">
        <v>35</v>
      </c>
      <c r="K896" s="1" t="str">
        <f t="shared" si="40"/>
        <v/>
      </c>
      <c r="L896" s="1" t="str">
        <f t="shared" si="41"/>
        <v/>
      </c>
      <c r="M896" s="1">
        <f>IF(OR(Table1[[#This Row],[Std Nom]]="",Table1[[#This Row],[Std Read]]=""),0,Table1[[#This Row],[Std Nom]]-Table1[[#This Row],[Std Read]])</f>
        <v>0</v>
      </c>
      <c r="N896" s="1">
        <f>IF(Calculations!$F$5="ACCREDITED 17025 WITH UNCERTAINTIES",$N$10,0)</f>
        <v>0</v>
      </c>
      <c r="Q896" s="1">
        <f>Table1[[#This Row],[High Tol]]-Table1[[#This Row],[Low Tol]]</f>
        <v>0</v>
      </c>
      <c r="R896" s="1">
        <f>2*Table1[[#This Row],[Std Error]]</f>
        <v>0</v>
      </c>
      <c r="S896" s="1" t="str">
        <f>IF(Table1[[#This Row],[High Tol]]="","N/A",IFERROR(ABS(Table1[[#This Row],[Tol Span]]/Table1[[#This Row],[Error Span]]),"N/A"))</f>
        <v>N/A</v>
      </c>
      <c r="T896" s="1" t="str">
        <f>IF(OR(Table1[[#This Row],[Low Tol]]="",Table1[[#This Row],[High Tol]]=""),"Needs Analysis",IF(Table1[[#This Row],[Ratio]]&gt;=4,"Not Significant",IF(Table1[[#This Row],[Ratio]]&gt;=2,"Semi-Significant","Significant")))</f>
        <v>Needs Analysis</v>
      </c>
      <c r="W896" s="1">
        <f>IF(Table1[[#This Row],[Cal Type]]&lt;&gt;"ACCREDITED 17025 WITH UNCERTAINTIES",0,"")</f>
        <v>0</v>
      </c>
      <c r="X896" s="1" t="str">
        <f>IF(Table1[[#This Row],[DUT Read]]="","N/A",Table1[[#This Row],[Std Error]]+Table1[[#This Row],[DUT Read]]+Table1[[#This Row],[DUT Ucty]])</f>
        <v>N/A</v>
      </c>
      <c r="Y896" s="1" t="str">
        <f>IF(Table1[[#This Row],[Std Read]]="","N/A",Table1[[#This Row],[Std Read]]+Table1[[#This Row],[Std Ucty]])</f>
        <v>N/A</v>
      </c>
      <c r="Z8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6" s="1" t="str">
        <f>IF(Table1[[#This Row],[Spec Type]]="","N/A",Table1[[#This Row],[Spec Type]])</f>
        <v>±</v>
      </c>
      <c r="AC896" s="1" t="str">
        <f>IF(Table1[[#This Row],[Spec Type2]]="N/A","N/A",IF(AND(Table1[[#This Row],[DUT Adj Read]]&gt;=Table1[[#This Row],[Low Tol]],Table1[[#This Row],[DUT Adj Read]]&lt;=Table1[[#This Row],[High Tol]]),"Pass","Fail"))</f>
        <v>Fail</v>
      </c>
      <c r="AD896" s="1" t="str">
        <f>IF(AND(Table1[[#This Row],[Spec Type2]]="N/A",Table1[[#This Row],[DUT Adj Read]]="N/A",Table1[[#This Row],[Std Adj Read]]="N/A"),"N/A",IF(Table1[[#This Row],[DUT Adj Read]]="N/A",IF(Table1[[#This Row],[Std Adj Read]]&gt;Table1[[#This Row],[Low Tol]],"Pass","Fail"),IF(Table1[[#This Row],[DUT Adj Read]]&gt;Table1[[#This Row],[Low Tol]],"Pass","Fail")))</f>
        <v>Pass</v>
      </c>
      <c r="AE896" s="1" t="str">
        <f>IF(AND(Table1[[#This Row],[Spec Type2]]="N/A",Table1[[#This Row],[DUT Adj Read]]="N/A",Table1[[#This Row],[Std Adj Read]]="N/A"),"N/A",IF(Table1[[#This Row],[DUT Adj Read]]="N/A",IF(Table1[[#This Row],[Std Adj Read]]&lt;Table1[[#This Row],[High Tol]],"Pass","Fail"),IF(Table1[[#This Row],[DUT Adj Read]]&lt;Table1[[#This Row],[High Tol]],"Pass","Fail")))</f>
        <v>Fail</v>
      </c>
      <c r="AF896" s="1" t="str">
        <f>IF(AND(Table1[[#This Row],[Spec Type2]]="N/A",Table1[[#This Row],[DUT Adj Read]]="N/A",Table1[[#This Row],[Std Adj Read]]="N/A"),"N/A",IF(Table1[[#This Row],[DUT Adj Read]]="N/A",IF(Table1[[#This Row],[Std Adj Read]]&gt;=Table1[[#This Row],[Low Tol]],"Pass","Fail"),IF(Table1[[#This Row],[DUT Adj Read]]&gt;=Table1[[#This Row],[Low Tol]],"Pass","Fail")))</f>
        <v>Pass</v>
      </c>
      <c r="AG896" s="1" t="str">
        <f>IF(AND(Table1[[#This Row],[Spec Type2]]="N/A",Table1[[#This Row],[DUT Adj Read]]="N/A",Table1[[#This Row],[Std Adj Read]]="N/A"),"N/A",IF(Table1[[#This Row],[DUT Adj Read]]="N/A",IF(Table1[[#This Row],[Std Adj Read]]&lt;=Table1[[#This Row],[High Tol]],"Pass","Fail"),IF(Table1[[#This Row],[DUT Adj Read]]&lt;=Table1[[#This Row],[High Tol]],"Pass","Fail")))</f>
        <v>Fail</v>
      </c>
      <c r="AH8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6" s="1" t="b">
        <v>0</v>
      </c>
      <c r="AN896" s="1" t="b">
        <v>0</v>
      </c>
      <c r="AO896" s="1" t="b">
        <v>0</v>
      </c>
    </row>
    <row r="897" spans="1:41" x14ac:dyDescent="0.25">
      <c r="A897" s="10"/>
      <c r="B897" s="10"/>
      <c r="C897" s="10"/>
      <c r="D897" s="10"/>
      <c r="E897" s="10"/>
      <c r="F897" s="10"/>
      <c r="G897" s="10"/>
      <c r="H897" s="10"/>
      <c r="I897" s="1" t="str">
        <f t="shared" si="39"/>
        <v/>
      </c>
      <c r="J897" s="1" t="s">
        <v>35</v>
      </c>
      <c r="K897" s="1" t="str">
        <f t="shared" si="40"/>
        <v/>
      </c>
      <c r="L897" s="1" t="str">
        <f t="shared" si="41"/>
        <v/>
      </c>
      <c r="M897" s="1">
        <f>IF(OR(Table1[[#This Row],[Std Nom]]="",Table1[[#This Row],[Std Read]]=""),0,Table1[[#This Row],[Std Nom]]-Table1[[#This Row],[Std Read]])</f>
        <v>0</v>
      </c>
      <c r="N897" s="1">
        <f>IF(Calculations!$F$5="ACCREDITED 17025 WITH UNCERTAINTIES",$N$10,0)</f>
        <v>0</v>
      </c>
      <c r="Q897" s="1">
        <f>Table1[[#This Row],[High Tol]]-Table1[[#This Row],[Low Tol]]</f>
        <v>0</v>
      </c>
      <c r="R897" s="1">
        <f>2*Table1[[#This Row],[Std Error]]</f>
        <v>0</v>
      </c>
      <c r="S897" s="1" t="str">
        <f>IF(Table1[[#This Row],[High Tol]]="","N/A",IFERROR(ABS(Table1[[#This Row],[Tol Span]]/Table1[[#This Row],[Error Span]]),"N/A"))</f>
        <v>N/A</v>
      </c>
      <c r="T897" s="1" t="str">
        <f>IF(OR(Table1[[#This Row],[Low Tol]]="",Table1[[#This Row],[High Tol]]=""),"Needs Analysis",IF(Table1[[#This Row],[Ratio]]&gt;=4,"Not Significant",IF(Table1[[#This Row],[Ratio]]&gt;=2,"Semi-Significant","Significant")))</f>
        <v>Needs Analysis</v>
      </c>
      <c r="W897" s="1">
        <f>IF(Table1[[#This Row],[Cal Type]]&lt;&gt;"ACCREDITED 17025 WITH UNCERTAINTIES",0,"")</f>
        <v>0</v>
      </c>
      <c r="X897" s="1" t="str">
        <f>IF(Table1[[#This Row],[DUT Read]]="","N/A",Table1[[#This Row],[Std Error]]+Table1[[#This Row],[DUT Read]]+Table1[[#This Row],[DUT Ucty]])</f>
        <v>N/A</v>
      </c>
      <c r="Y897" s="1" t="str">
        <f>IF(Table1[[#This Row],[Std Read]]="","N/A",Table1[[#This Row],[Std Read]]+Table1[[#This Row],[Std Ucty]])</f>
        <v>N/A</v>
      </c>
      <c r="Z8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7" s="1" t="str">
        <f>IF(Table1[[#This Row],[Spec Type]]="","N/A",Table1[[#This Row],[Spec Type]])</f>
        <v>±</v>
      </c>
      <c r="AC897" s="1" t="str">
        <f>IF(Table1[[#This Row],[Spec Type2]]="N/A","N/A",IF(AND(Table1[[#This Row],[DUT Adj Read]]&gt;=Table1[[#This Row],[Low Tol]],Table1[[#This Row],[DUT Adj Read]]&lt;=Table1[[#This Row],[High Tol]]),"Pass","Fail"))</f>
        <v>Fail</v>
      </c>
      <c r="AD897" s="1" t="str">
        <f>IF(AND(Table1[[#This Row],[Spec Type2]]="N/A",Table1[[#This Row],[DUT Adj Read]]="N/A",Table1[[#This Row],[Std Adj Read]]="N/A"),"N/A",IF(Table1[[#This Row],[DUT Adj Read]]="N/A",IF(Table1[[#This Row],[Std Adj Read]]&gt;Table1[[#This Row],[Low Tol]],"Pass","Fail"),IF(Table1[[#This Row],[DUT Adj Read]]&gt;Table1[[#This Row],[Low Tol]],"Pass","Fail")))</f>
        <v>Pass</v>
      </c>
      <c r="AE897" s="1" t="str">
        <f>IF(AND(Table1[[#This Row],[Spec Type2]]="N/A",Table1[[#This Row],[DUT Adj Read]]="N/A",Table1[[#This Row],[Std Adj Read]]="N/A"),"N/A",IF(Table1[[#This Row],[DUT Adj Read]]="N/A",IF(Table1[[#This Row],[Std Adj Read]]&lt;Table1[[#This Row],[High Tol]],"Pass","Fail"),IF(Table1[[#This Row],[DUT Adj Read]]&lt;Table1[[#This Row],[High Tol]],"Pass","Fail")))</f>
        <v>Fail</v>
      </c>
      <c r="AF897" s="1" t="str">
        <f>IF(AND(Table1[[#This Row],[Spec Type2]]="N/A",Table1[[#This Row],[DUT Adj Read]]="N/A",Table1[[#This Row],[Std Adj Read]]="N/A"),"N/A",IF(Table1[[#This Row],[DUT Adj Read]]="N/A",IF(Table1[[#This Row],[Std Adj Read]]&gt;=Table1[[#This Row],[Low Tol]],"Pass","Fail"),IF(Table1[[#This Row],[DUT Adj Read]]&gt;=Table1[[#This Row],[Low Tol]],"Pass","Fail")))</f>
        <v>Pass</v>
      </c>
      <c r="AG897" s="1" t="str">
        <f>IF(AND(Table1[[#This Row],[Spec Type2]]="N/A",Table1[[#This Row],[DUT Adj Read]]="N/A",Table1[[#This Row],[Std Adj Read]]="N/A"),"N/A",IF(Table1[[#This Row],[DUT Adj Read]]="N/A",IF(Table1[[#This Row],[Std Adj Read]]&lt;=Table1[[#This Row],[High Tol]],"Pass","Fail"),IF(Table1[[#This Row],[DUT Adj Read]]&lt;=Table1[[#This Row],[High Tol]],"Pass","Fail")))</f>
        <v>Fail</v>
      </c>
      <c r="AH8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7" s="1" t="b">
        <v>0</v>
      </c>
      <c r="AN897" s="1" t="b">
        <v>0</v>
      </c>
      <c r="AO897" s="1" t="b">
        <v>0</v>
      </c>
    </row>
    <row r="898" spans="1:41" x14ac:dyDescent="0.25">
      <c r="A898" s="10"/>
      <c r="B898" s="10"/>
      <c r="C898" s="10"/>
      <c r="D898" s="10"/>
      <c r="E898" s="10"/>
      <c r="F898" s="10"/>
      <c r="G898" s="10"/>
      <c r="H898" s="10"/>
      <c r="I898" s="1" t="str">
        <f t="shared" si="39"/>
        <v/>
      </c>
      <c r="J898" s="1" t="s">
        <v>35</v>
      </c>
      <c r="K898" s="1" t="str">
        <f t="shared" si="40"/>
        <v/>
      </c>
      <c r="L898" s="1" t="str">
        <f t="shared" si="41"/>
        <v/>
      </c>
      <c r="M898" s="1">
        <f>IF(OR(Table1[[#This Row],[Std Nom]]="",Table1[[#This Row],[Std Read]]=""),0,Table1[[#This Row],[Std Nom]]-Table1[[#This Row],[Std Read]])</f>
        <v>0</v>
      </c>
      <c r="N898" s="1">
        <f>IF(Calculations!$F$5="ACCREDITED 17025 WITH UNCERTAINTIES",$N$10,0)</f>
        <v>0</v>
      </c>
      <c r="Q898" s="1">
        <f>Table1[[#This Row],[High Tol]]-Table1[[#This Row],[Low Tol]]</f>
        <v>0</v>
      </c>
      <c r="R898" s="1">
        <f>2*Table1[[#This Row],[Std Error]]</f>
        <v>0</v>
      </c>
      <c r="S898" s="1" t="str">
        <f>IF(Table1[[#This Row],[High Tol]]="","N/A",IFERROR(ABS(Table1[[#This Row],[Tol Span]]/Table1[[#This Row],[Error Span]]),"N/A"))</f>
        <v>N/A</v>
      </c>
      <c r="T898" s="1" t="str">
        <f>IF(OR(Table1[[#This Row],[Low Tol]]="",Table1[[#This Row],[High Tol]]=""),"Needs Analysis",IF(Table1[[#This Row],[Ratio]]&gt;=4,"Not Significant",IF(Table1[[#This Row],[Ratio]]&gt;=2,"Semi-Significant","Significant")))</f>
        <v>Needs Analysis</v>
      </c>
      <c r="W898" s="1">
        <f>IF(Table1[[#This Row],[Cal Type]]&lt;&gt;"ACCREDITED 17025 WITH UNCERTAINTIES",0,"")</f>
        <v>0</v>
      </c>
      <c r="X898" s="1" t="str">
        <f>IF(Table1[[#This Row],[DUT Read]]="","N/A",Table1[[#This Row],[Std Error]]+Table1[[#This Row],[DUT Read]]+Table1[[#This Row],[DUT Ucty]])</f>
        <v>N/A</v>
      </c>
      <c r="Y898" s="1" t="str">
        <f>IF(Table1[[#This Row],[Std Read]]="","N/A",Table1[[#This Row],[Std Read]]+Table1[[#This Row],[Std Ucty]])</f>
        <v>N/A</v>
      </c>
      <c r="Z8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8" s="1" t="str">
        <f>IF(Table1[[#This Row],[Spec Type]]="","N/A",Table1[[#This Row],[Spec Type]])</f>
        <v>±</v>
      </c>
      <c r="AC898" s="1" t="str">
        <f>IF(Table1[[#This Row],[Spec Type2]]="N/A","N/A",IF(AND(Table1[[#This Row],[DUT Adj Read]]&gt;=Table1[[#This Row],[Low Tol]],Table1[[#This Row],[DUT Adj Read]]&lt;=Table1[[#This Row],[High Tol]]),"Pass","Fail"))</f>
        <v>Fail</v>
      </c>
      <c r="AD898" s="1" t="str">
        <f>IF(AND(Table1[[#This Row],[Spec Type2]]="N/A",Table1[[#This Row],[DUT Adj Read]]="N/A",Table1[[#This Row],[Std Adj Read]]="N/A"),"N/A",IF(Table1[[#This Row],[DUT Adj Read]]="N/A",IF(Table1[[#This Row],[Std Adj Read]]&gt;Table1[[#This Row],[Low Tol]],"Pass","Fail"),IF(Table1[[#This Row],[DUT Adj Read]]&gt;Table1[[#This Row],[Low Tol]],"Pass","Fail")))</f>
        <v>Pass</v>
      </c>
      <c r="AE898" s="1" t="str">
        <f>IF(AND(Table1[[#This Row],[Spec Type2]]="N/A",Table1[[#This Row],[DUT Adj Read]]="N/A",Table1[[#This Row],[Std Adj Read]]="N/A"),"N/A",IF(Table1[[#This Row],[DUT Adj Read]]="N/A",IF(Table1[[#This Row],[Std Adj Read]]&lt;Table1[[#This Row],[High Tol]],"Pass","Fail"),IF(Table1[[#This Row],[DUT Adj Read]]&lt;Table1[[#This Row],[High Tol]],"Pass","Fail")))</f>
        <v>Fail</v>
      </c>
      <c r="AF898" s="1" t="str">
        <f>IF(AND(Table1[[#This Row],[Spec Type2]]="N/A",Table1[[#This Row],[DUT Adj Read]]="N/A",Table1[[#This Row],[Std Adj Read]]="N/A"),"N/A",IF(Table1[[#This Row],[DUT Adj Read]]="N/A",IF(Table1[[#This Row],[Std Adj Read]]&gt;=Table1[[#This Row],[Low Tol]],"Pass","Fail"),IF(Table1[[#This Row],[DUT Adj Read]]&gt;=Table1[[#This Row],[Low Tol]],"Pass","Fail")))</f>
        <v>Pass</v>
      </c>
      <c r="AG898" s="1" t="str">
        <f>IF(AND(Table1[[#This Row],[Spec Type2]]="N/A",Table1[[#This Row],[DUT Adj Read]]="N/A",Table1[[#This Row],[Std Adj Read]]="N/A"),"N/A",IF(Table1[[#This Row],[DUT Adj Read]]="N/A",IF(Table1[[#This Row],[Std Adj Read]]&lt;=Table1[[#This Row],[High Tol]],"Pass","Fail"),IF(Table1[[#This Row],[DUT Adj Read]]&lt;=Table1[[#This Row],[High Tol]],"Pass","Fail")))</f>
        <v>Fail</v>
      </c>
      <c r="AH8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8" s="1" t="b">
        <v>0</v>
      </c>
      <c r="AN898" s="1" t="b">
        <v>0</v>
      </c>
      <c r="AO898" s="1" t="b">
        <v>0</v>
      </c>
    </row>
    <row r="899" spans="1:41" x14ac:dyDescent="0.25">
      <c r="A899" s="10"/>
      <c r="B899" s="10"/>
      <c r="C899" s="10"/>
      <c r="D899" s="10"/>
      <c r="E899" s="10"/>
      <c r="F899" s="10"/>
      <c r="G899" s="10"/>
      <c r="H899" s="10"/>
      <c r="I899" s="1" t="str">
        <f t="shared" si="39"/>
        <v/>
      </c>
      <c r="J899" s="1" t="s">
        <v>35</v>
      </c>
      <c r="K899" s="1" t="str">
        <f t="shared" si="40"/>
        <v/>
      </c>
      <c r="L899" s="1" t="str">
        <f t="shared" si="41"/>
        <v/>
      </c>
      <c r="M899" s="1">
        <f>IF(OR(Table1[[#This Row],[Std Nom]]="",Table1[[#This Row],[Std Read]]=""),0,Table1[[#This Row],[Std Nom]]-Table1[[#This Row],[Std Read]])</f>
        <v>0</v>
      </c>
      <c r="N899" s="1">
        <f>IF(Calculations!$F$5="ACCREDITED 17025 WITH UNCERTAINTIES",$N$10,0)</f>
        <v>0</v>
      </c>
      <c r="Q899" s="1">
        <f>Table1[[#This Row],[High Tol]]-Table1[[#This Row],[Low Tol]]</f>
        <v>0</v>
      </c>
      <c r="R899" s="1">
        <f>2*Table1[[#This Row],[Std Error]]</f>
        <v>0</v>
      </c>
      <c r="S899" s="1" t="str">
        <f>IF(Table1[[#This Row],[High Tol]]="","N/A",IFERROR(ABS(Table1[[#This Row],[Tol Span]]/Table1[[#This Row],[Error Span]]),"N/A"))</f>
        <v>N/A</v>
      </c>
      <c r="T899" s="1" t="str">
        <f>IF(OR(Table1[[#This Row],[Low Tol]]="",Table1[[#This Row],[High Tol]]=""),"Needs Analysis",IF(Table1[[#This Row],[Ratio]]&gt;=4,"Not Significant",IF(Table1[[#This Row],[Ratio]]&gt;=2,"Semi-Significant","Significant")))</f>
        <v>Needs Analysis</v>
      </c>
      <c r="W899" s="1">
        <f>IF(Table1[[#This Row],[Cal Type]]&lt;&gt;"ACCREDITED 17025 WITH UNCERTAINTIES",0,"")</f>
        <v>0</v>
      </c>
      <c r="X899" s="1" t="str">
        <f>IF(Table1[[#This Row],[DUT Read]]="","N/A",Table1[[#This Row],[Std Error]]+Table1[[#This Row],[DUT Read]]+Table1[[#This Row],[DUT Ucty]])</f>
        <v>N/A</v>
      </c>
      <c r="Y899" s="1" t="str">
        <f>IF(Table1[[#This Row],[Std Read]]="","N/A",Table1[[#This Row],[Std Read]]+Table1[[#This Row],[Std Ucty]])</f>
        <v>N/A</v>
      </c>
      <c r="Z8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899" s="1" t="str">
        <f>IF(Table1[[#This Row],[Spec Type]]="","N/A",Table1[[#This Row],[Spec Type]])</f>
        <v>±</v>
      </c>
      <c r="AC899" s="1" t="str">
        <f>IF(Table1[[#This Row],[Spec Type2]]="N/A","N/A",IF(AND(Table1[[#This Row],[DUT Adj Read]]&gt;=Table1[[#This Row],[Low Tol]],Table1[[#This Row],[DUT Adj Read]]&lt;=Table1[[#This Row],[High Tol]]),"Pass","Fail"))</f>
        <v>Fail</v>
      </c>
      <c r="AD899" s="1" t="str">
        <f>IF(AND(Table1[[#This Row],[Spec Type2]]="N/A",Table1[[#This Row],[DUT Adj Read]]="N/A",Table1[[#This Row],[Std Adj Read]]="N/A"),"N/A",IF(Table1[[#This Row],[DUT Adj Read]]="N/A",IF(Table1[[#This Row],[Std Adj Read]]&gt;Table1[[#This Row],[Low Tol]],"Pass","Fail"),IF(Table1[[#This Row],[DUT Adj Read]]&gt;Table1[[#This Row],[Low Tol]],"Pass","Fail")))</f>
        <v>Pass</v>
      </c>
      <c r="AE899" s="1" t="str">
        <f>IF(AND(Table1[[#This Row],[Spec Type2]]="N/A",Table1[[#This Row],[DUT Adj Read]]="N/A",Table1[[#This Row],[Std Adj Read]]="N/A"),"N/A",IF(Table1[[#This Row],[DUT Adj Read]]="N/A",IF(Table1[[#This Row],[Std Adj Read]]&lt;Table1[[#This Row],[High Tol]],"Pass","Fail"),IF(Table1[[#This Row],[DUT Adj Read]]&lt;Table1[[#This Row],[High Tol]],"Pass","Fail")))</f>
        <v>Fail</v>
      </c>
      <c r="AF899" s="1" t="str">
        <f>IF(AND(Table1[[#This Row],[Spec Type2]]="N/A",Table1[[#This Row],[DUT Adj Read]]="N/A",Table1[[#This Row],[Std Adj Read]]="N/A"),"N/A",IF(Table1[[#This Row],[DUT Adj Read]]="N/A",IF(Table1[[#This Row],[Std Adj Read]]&gt;=Table1[[#This Row],[Low Tol]],"Pass","Fail"),IF(Table1[[#This Row],[DUT Adj Read]]&gt;=Table1[[#This Row],[Low Tol]],"Pass","Fail")))</f>
        <v>Pass</v>
      </c>
      <c r="AG899" s="1" t="str">
        <f>IF(AND(Table1[[#This Row],[Spec Type2]]="N/A",Table1[[#This Row],[DUT Adj Read]]="N/A",Table1[[#This Row],[Std Adj Read]]="N/A"),"N/A",IF(Table1[[#This Row],[DUT Adj Read]]="N/A",IF(Table1[[#This Row],[Std Adj Read]]&lt;=Table1[[#This Row],[High Tol]],"Pass","Fail"),IF(Table1[[#This Row],[DUT Adj Read]]&lt;=Table1[[#This Row],[High Tol]],"Pass","Fail")))</f>
        <v>Fail</v>
      </c>
      <c r="AH8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899" s="1" t="b">
        <v>0</v>
      </c>
      <c r="AN899" s="1" t="b">
        <v>0</v>
      </c>
      <c r="AO899" s="1" t="b">
        <v>0</v>
      </c>
    </row>
    <row r="900" spans="1:41" x14ac:dyDescent="0.25">
      <c r="A900" s="10"/>
      <c r="B900" s="10"/>
      <c r="C900" s="10"/>
      <c r="D900" s="10"/>
      <c r="E900" s="10"/>
      <c r="F900" s="10"/>
      <c r="G900" s="10"/>
      <c r="H900" s="10"/>
      <c r="I900" s="1" t="str">
        <f t="shared" si="39"/>
        <v/>
      </c>
      <c r="J900" s="1" t="s">
        <v>35</v>
      </c>
      <c r="K900" s="1" t="str">
        <f t="shared" si="40"/>
        <v/>
      </c>
      <c r="L900" s="1" t="str">
        <f t="shared" si="41"/>
        <v/>
      </c>
      <c r="M900" s="1">
        <f>IF(OR(Table1[[#This Row],[Std Nom]]="",Table1[[#This Row],[Std Read]]=""),0,Table1[[#This Row],[Std Nom]]-Table1[[#This Row],[Std Read]])</f>
        <v>0</v>
      </c>
      <c r="N900" s="1">
        <f>IF(Calculations!$F$5="ACCREDITED 17025 WITH UNCERTAINTIES",$N$10,0)</f>
        <v>0</v>
      </c>
      <c r="Q900" s="1">
        <f>Table1[[#This Row],[High Tol]]-Table1[[#This Row],[Low Tol]]</f>
        <v>0</v>
      </c>
      <c r="R900" s="1">
        <f>2*Table1[[#This Row],[Std Error]]</f>
        <v>0</v>
      </c>
      <c r="S900" s="1" t="str">
        <f>IF(Table1[[#This Row],[High Tol]]="","N/A",IFERROR(ABS(Table1[[#This Row],[Tol Span]]/Table1[[#This Row],[Error Span]]),"N/A"))</f>
        <v>N/A</v>
      </c>
      <c r="T900" s="1" t="str">
        <f>IF(OR(Table1[[#This Row],[Low Tol]]="",Table1[[#This Row],[High Tol]]=""),"Needs Analysis",IF(Table1[[#This Row],[Ratio]]&gt;=4,"Not Significant",IF(Table1[[#This Row],[Ratio]]&gt;=2,"Semi-Significant","Significant")))</f>
        <v>Needs Analysis</v>
      </c>
      <c r="W900" s="1">
        <f>IF(Table1[[#This Row],[Cal Type]]&lt;&gt;"ACCREDITED 17025 WITH UNCERTAINTIES",0,"")</f>
        <v>0</v>
      </c>
      <c r="X900" s="1" t="str">
        <f>IF(Table1[[#This Row],[DUT Read]]="","N/A",Table1[[#This Row],[Std Error]]+Table1[[#This Row],[DUT Read]]+Table1[[#This Row],[DUT Ucty]])</f>
        <v>N/A</v>
      </c>
      <c r="Y900" s="1" t="str">
        <f>IF(Table1[[#This Row],[Std Read]]="","N/A",Table1[[#This Row],[Std Read]]+Table1[[#This Row],[Std Ucty]])</f>
        <v>N/A</v>
      </c>
      <c r="Z9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0" s="1" t="str">
        <f>IF(Table1[[#This Row],[Spec Type]]="","N/A",Table1[[#This Row],[Spec Type]])</f>
        <v>±</v>
      </c>
      <c r="AC900" s="1" t="str">
        <f>IF(Table1[[#This Row],[Spec Type2]]="N/A","N/A",IF(AND(Table1[[#This Row],[DUT Adj Read]]&gt;=Table1[[#This Row],[Low Tol]],Table1[[#This Row],[DUT Adj Read]]&lt;=Table1[[#This Row],[High Tol]]),"Pass","Fail"))</f>
        <v>Fail</v>
      </c>
      <c r="AD900" s="1" t="str">
        <f>IF(AND(Table1[[#This Row],[Spec Type2]]="N/A",Table1[[#This Row],[DUT Adj Read]]="N/A",Table1[[#This Row],[Std Adj Read]]="N/A"),"N/A",IF(Table1[[#This Row],[DUT Adj Read]]="N/A",IF(Table1[[#This Row],[Std Adj Read]]&gt;Table1[[#This Row],[Low Tol]],"Pass","Fail"),IF(Table1[[#This Row],[DUT Adj Read]]&gt;Table1[[#This Row],[Low Tol]],"Pass","Fail")))</f>
        <v>Pass</v>
      </c>
      <c r="AE900" s="1" t="str">
        <f>IF(AND(Table1[[#This Row],[Spec Type2]]="N/A",Table1[[#This Row],[DUT Adj Read]]="N/A",Table1[[#This Row],[Std Adj Read]]="N/A"),"N/A",IF(Table1[[#This Row],[DUT Adj Read]]="N/A",IF(Table1[[#This Row],[Std Adj Read]]&lt;Table1[[#This Row],[High Tol]],"Pass","Fail"),IF(Table1[[#This Row],[DUT Adj Read]]&lt;Table1[[#This Row],[High Tol]],"Pass","Fail")))</f>
        <v>Fail</v>
      </c>
      <c r="AF900" s="1" t="str">
        <f>IF(AND(Table1[[#This Row],[Spec Type2]]="N/A",Table1[[#This Row],[DUT Adj Read]]="N/A",Table1[[#This Row],[Std Adj Read]]="N/A"),"N/A",IF(Table1[[#This Row],[DUT Adj Read]]="N/A",IF(Table1[[#This Row],[Std Adj Read]]&gt;=Table1[[#This Row],[Low Tol]],"Pass","Fail"),IF(Table1[[#This Row],[DUT Adj Read]]&gt;=Table1[[#This Row],[Low Tol]],"Pass","Fail")))</f>
        <v>Pass</v>
      </c>
      <c r="AG900" s="1" t="str">
        <f>IF(AND(Table1[[#This Row],[Spec Type2]]="N/A",Table1[[#This Row],[DUT Adj Read]]="N/A",Table1[[#This Row],[Std Adj Read]]="N/A"),"N/A",IF(Table1[[#This Row],[DUT Adj Read]]="N/A",IF(Table1[[#This Row],[Std Adj Read]]&lt;=Table1[[#This Row],[High Tol]],"Pass","Fail"),IF(Table1[[#This Row],[DUT Adj Read]]&lt;=Table1[[#This Row],[High Tol]],"Pass","Fail")))</f>
        <v>Fail</v>
      </c>
      <c r="AH9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0" s="1" t="b">
        <v>0</v>
      </c>
      <c r="AN900" s="1" t="b">
        <v>0</v>
      </c>
      <c r="AO900" s="1" t="b">
        <v>0</v>
      </c>
    </row>
    <row r="901" spans="1:41" x14ac:dyDescent="0.25">
      <c r="A901" s="10"/>
      <c r="B901" s="10"/>
      <c r="C901" s="10"/>
      <c r="D901" s="10"/>
      <c r="E901" s="10"/>
      <c r="F901" s="10"/>
      <c r="G901" s="10"/>
      <c r="H901" s="10"/>
      <c r="I901" s="1" t="str">
        <f t="shared" si="39"/>
        <v/>
      </c>
      <c r="J901" s="1" t="s">
        <v>35</v>
      </c>
      <c r="K901" s="1" t="str">
        <f t="shared" si="40"/>
        <v/>
      </c>
      <c r="L901" s="1" t="str">
        <f t="shared" si="41"/>
        <v/>
      </c>
      <c r="M901" s="1">
        <f>IF(OR(Table1[[#This Row],[Std Nom]]="",Table1[[#This Row],[Std Read]]=""),0,Table1[[#This Row],[Std Nom]]-Table1[[#This Row],[Std Read]])</f>
        <v>0</v>
      </c>
      <c r="N901" s="1">
        <f>IF(Calculations!$F$5="ACCREDITED 17025 WITH UNCERTAINTIES",$N$10,0)</f>
        <v>0</v>
      </c>
      <c r="Q901" s="1">
        <f>Table1[[#This Row],[High Tol]]-Table1[[#This Row],[Low Tol]]</f>
        <v>0</v>
      </c>
      <c r="R901" s="1">
        <f>2*Table1[[#This Row],[Std Error]]</f>
        <v>0</v>
      </c>
      <c r="S901" s="1" t="str">
        <f>IF(Table1[[#This Row],[High Tol]]="","N/A",IFERROR(ABS(Table1[[#This Row],[Tol Span]]/Table1[[#This Row],[Error Span]]),"N/A"))</f>
        <v>N/A</v>
      </c>
      <c r="T901" s="1" t="str">
        <f>IF(OR(Table1[[#This Row],[Low Tol]]="",Table1[[#This Row],[High Tol]]=""),"Needs Analysis",IF(Table1[[#This Row],[Ratio]]&gt;=4,"Not Significant",IF(Table1[[#This Row],[Ratio]]&gt;=2,"Semi-Significant","Significant")))</f>
        <v>Needs Analysis</v>
      </c>
      <c r="W901" s="1">
        <f>IF(Table1[[#This Row],[Cal Type]]&lt;&gt;"ACCREDITED 17025 WITH UNCERTAINTIES",0,"")</f>
        <v>0</v>
      </c>
      <c r="X901" s="1" t="str">
        <f>IF(Table1[[#This Row],[DUT Read]]="","N/A",Table1[[#This Row],[Std Error]]+Table1[[#This Row],[DUT Read]]+Table1[[#This Row],[DUT Ucty]])</f>
        <v>N/A</v>
      </c>
      <c r="Y901" s="1" t="str">
        <f>IF(Table1[[#This Row],[Std Read]]="","N/A",Table1[[#This Row],[Std Read]]+Table1[[#This Row],[Std Ucty]])</f>
        <v>N/A</v>
      </c>
      <c r="Z9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1" s="1" t="str">
        <f>IF(Table1[[#This Row],[Spec Type]]="","N/A",Table1[[#This Row],[Spec Type]])</f>
        <v>±</v>
      </c>
      <c r="AC901" s="1" t="str">
        <f>IF(Table1[[#This Row],[Spec Type2]]="N/A","N/A",IF(AND(Table1[[#This Row],[DUT Adj Read]]&gt;=Table1[[#This Row],[Low Tol]],Table1[[#This Row],[DUT Adj Read]]&lt;=Table1[[#This Row],[High Tol]]),"Pass","Fail"))</f>
        <v>Fail</v>
      </c>
      <c r="AD901" s="1" t="str">
        <f>IF(AND(Table1[[#This Row],[Spec Type2]]="N/A",Table1[[#This Row],[DUT Adj Read]]="N/A",Table1[[#This Row],[Std Adj Read]]="N/A"),"N/A",IF(Table1[[#This Row],[DUT Adj Read]]="N/A",IF(Table1[[#This Row],[Std Adj Read]]&gt;Table1[[#This Row],[Low Tol]],"Pass","Fail"),IF(Table1[[#This Row],[DUT Adj Read]]&gt;Table1[[#This Row],[Low Tol]],"Pass","Fail")))</f>
        <v>Pass</v>
      </c>
      <c r="AE901" s="1" t="str">
        <f>IF(AND(Table1[[#This Row],[Spec Type2]]="N/A",Table1[[#This Row],[DUT Adj Read]]="N/A",Table1[[#This Row],[Std Adj Read]]="N/A"),"N/A",IF(Table1[[#This Row],[DUT Adj Read]]="N/A",IF(Table1[[#This Row],[Std Adj Read]]&lt;Table1[[#This Row],[High Tol]],"Pass","Fail"),IF(Table1[[#This Row],[DUT Adj Read]]&lt;Table1[[#This Row],[High Tol]],"Pass","Fail")))</f>
        <v>Fail</v>
      </c>
      <c r="AF901" s="1" t="str">
        <f>IF(AND(Table1[[#This Row],[Spec Type2]]="N/A",Table1[[#This Row],[DUT Adj Read]]="N/A",Table1[[#This Row],[Std Adj Read]]="N/A"),"N/A",IF(Table1[[#This Row],[DUT Adj Read]]="N/A",IF(Table1[[#This Row],[Std Adj Read]]&gt;=Table1[[#This Row],[Low Tol]],"Pass","Fail"),IF(Table1[[#This Row],[DUT Adj Read]]&gt;=Table1[[#This Row],[Low Tol]],"Pass","Fail")))</f>
        <v>Pass</v>
      </c>
      <c r="AG901" s="1" t="str">
        <f>IF(AND(Table1[[#This Row],[Spec Type2]]="N/A",Table1[[#This Row],[DUT Adj Read]]="N/A",Table1[[#This Row],[Std Adj Read]]="N/A"),"N/A",IF(Table1[[#This Row],[DUT Adj Read]]="N/A",IF(Table1[[#This Row],[Std Adj Read]]&lt;=Table1[[#This Row],[High Tol]],"Pass","Fail"),IF(Table1[[#This Row],[DUT Adj Read]]&lt;=Table1[[#This Row],[High Tol]],"Pass","Fail")))</f>
        <v>Fail</v>
      </c>
      <c r="AH9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1" s="1" t="b">
        <v>0</v>
      </c>
      <c r="AN901" s="1" t="b">
        <v>0</v>
      </c>
      <c r="AO901" s="1" t="b">
        <v>0</v>
      </c>
    </row>
    <row r="902" spans="1:41" x14ac:dyDescent="0.25">
      <c r="A902" s="10"/>
      <c r="B902" s="10"/>
      <c r="C902" s="10"/>
      <c r="D902" s="10"/>
      <c r="E902" s="10"/>
      <c r="F902" s="10"/>
      <c r="G902" s="10"/>
      <c r="H902" s="10"/>
      <c r="I902" s="1" t="str">
        <f t="shared" si="39"/>
        <v/>
      </c>
      <c r="J902" s="1" t="s">
        <v>35</v>
      </c>
      <c r="K902" s="1" t="str">
        <f t="shared" si="40"/>
        <v/>
      </c>
      <c r="L902" s="1" t="str">
        <f t="shared" si="41"/>
        <v/>
      </c>
      <c r="M902" s="1">
        <f>IF(OR(Table1[[#This Row],[Std Nom]]="",Table1[[#This Row],[Std Read]]=""),0,Table1[[#This Row],[Std Nom]]-Table1[[#This Row],[Std Read]])</f>
        <v>0</v>
      </c>
      <c r="N902" s="1">
        <f>IF(Calculations!$F$5="ACCREDITED 17025 WITH UNCERTAINTIES",$N$10,0)</f>
        <v>0</v>
      </c>
      <c r="Q902" s="1">
        <f>Table1[[#This Row],[High Tol]]-Table1[[#This Row],[Low Tol]]</f>
        <v>0</v>
      </c>
      <c r="R902" s="1">
        <f>2*Table1[[#This Row],[Std Error]]</f>
        <v>0</v>
      </c>
      <c r="S902" s="1" t="str">
        <f>IF(Table1[[#This Row],[High Tol]]="","N/A",IFERROR(ABS(Table1[[#This Row],[Tol Span]]/Table1[[#This Row],[Error Span]]),"N/A"))</f>
        <v>N/A</v>
      </c>
      <c r="T902" s="1" t="str">
        <f>IF(OR(Table1[[#This Row],[Low Tol]]="",Table1[[#This Row],[High Tol]]=""),"Needs Analysis",IF(Table1[[#This Row],[Ratio]]&gt;=4,"Not Significant",IF(Table1[[#This Row],[Ratio]]&gt;=2,"Semi-Significant","Significant")))</f>
        <v>Needs Analysis</v>
      </c>
      <c r="W902" s="1">
        <f>IF(Table1[[#This Row],[Cal Type]]&lt;&gt;"ACCREDITED 17025 WITH UNCERTAINTIES",0,"")</f>
        <v>0</v>
      </c>
      <c r="X902" s="1" t="str">
        <f>IF(Table1[[#This Row],[DUT Read]]="","N/A",Table1[[#This Row],[Std Error]]+Table1[[#This Row],[DUT Read]]+Table1[[#This Row],[DUT Ucty]])</f>
        <v>N/A</v>
      </c>
      <c r="Y902" s="1" t="str">
        <f>IF(Table1[[#This Row],[Std Read]]="","N/A",Table1[[#This Row],[Std Read]]+Table1[[#This Row],[Std Ucty]])</f>
        <v>N/A</v>
      </c>
      <c r="Z9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2" s="1" t="str">
        <f>IF(Table1[[#This Row],[Spec Type]]="","N/A",Table1[[#This Row],[Spec Type]])</f>
        <v>±</v>
      </c>
      <c r="AC902" s="1" t="str">
        <f>IF(Table1[[#This Row],[Spec Type2]]="N/A","N/A",IF(AND(Table1[[#This Row],[DUT Adj Read]]&gt;=Table1[[#This Row],[Low Tol]],Table1[[#This Row],[DUT Adj Read]]&lt;=Table1[[#This Row],[High Tol]]),"Pass","Fail"))</f>
        <v>Fail</v>
      </c>
      <c r="AD902" s="1" t="str">
        <f>IF(AND(Table1[[#This Row],[Spec Type2]]="N/A",Table1[[#This Row],[DUT Adj Read]]="N/A",Table1[[#This Row],[Std Adj Read]]="N/A"),"N/A",IF(Table1[[#This Row],[DUT Adj Read]]="N/A",IF(Table1[[#This Row],[Std Adj Read]]&gt;Table1[[#This Row],[Low Tol]],"Pass","Fail"),IF(Table1[[#This Row],[DUT Adj Read]]&gt;Table1[[#This Row],[Low Tol]],"Pass","Fail")))</f>
        <v>Pass</v>
      </c>
      <c r="AE902" s="1" t="str">
        <f>IF(AND(Table1[[#This Row],[Spec Type2]]="N/A",Table1[[#This Row],[DUT Adj Read]]="N/A",Table1[[#This Row],[Std Adj Read]]="N/A"),"N/A",IF(Table1[[#This Row],[DUT Adj Read]]="N/A",IF(Table1[[#This Row],[Std Adj Read]]&lt;Table1[[#This Row],[High Tol]],"Pass","Fail"),IF(Table1[[#This Row],[DUT Adj Read]]&lt;Table1[[#This Row],[High Tol]],"Pass","Fail")))</f>
        <v>Fail</v>
      </c>
      <c r="AF902" s="1" t="str">
        <f>IF(AND(Table1[[#This Row],[Spec Type2]]="N/A",Table1[[#This Row],[DUT Adj Read]]="N/A",Table1[[#This Row],[Std Adj Read]]="N/A"),"N/A",IF(Table1[[#This Row],[DUT Adj Read]]="N/A",IF(Table1[[#This Row],[Std Adj Read]]&gt;=Table1[[#This Row],[Low Tol]],"Pass","Fail"),IF(Table1[[#This Row],[DUT Adj Read]]&gt;=Table1[[#This Row],[Low Tol]],"Pass","Fail")))</f>
        <v>Pass</v>
      </c>
      <c r="AG902" s="1" t="str">
        <f>IF(AND(Table1[[#This Row],[Spec Type2]]="N/A",Table1[[#This Row],[DUT Adj Read]]="N/A",Table1[[#This Row],[Std Adj Read]]="N/A"),"N/A",IF(Table1[[#This Row],[DUT Adj Read]]="N/A",IF(Table1[[#This Row],[Std Adj Read]]&lt;=Table1[[#This Row],[High Tol]],"Pass","Fail"),IF(Table1[[#This Row],[DUT Adj Read]]&lt;=Table1[[#This Row],[High Tol]],"Pass","Fail")))</f>
        <v>Fail</v>
      </c>
      <c r="AH9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2" s="1" t="b">
        <v>0</v>
      </c>
      <c r="AN902" s="1" t="b">
        <v>0</v>
      </c>
      <c r="AO902" s="1" t="b">
        <v>0</v>
      </c>
    </row>
    <row r="903" spans="1:41" x14ac:dyDescent="0.25">
      <c r="A903" s="10"/>
      <c r="B903" s="10"/>
      <c r="C903" s="10"/>
      <c r="D903" s="10"/>
      <c r="E903" s="10"/>
      <c r="F903" s="10"/>
      <c r="G903" s="10"/>
      <c r="H903" s="10"/>
      <c r="I903" s="1" t="str">
        <f t="shared" si="39"/>
        <v/>
      </c>
      <c r="J903" s="1" t="s">
        <v>35</v>
      </c>
      <c r="K903" s="1" t="str">
        <f t="shared" si="40"/>
        <v/>
      </c>
      <c r="L903" s="1" t="str">
        <f t="shared" si="41"/>
        <v/>
      </c>
      <c r="M903" s="1">
        <f>IF(OR(Table1[[#This Row],[Std Nom]]="",Table1[[#This Row],[Std Read]]=""),0,Table1[[#This Row],[Std Nom]]-Table1[[#This Row],[Std Read]])</f>
        <v>0</v>
      </c>
      <c r="N903" s="1">
        <f>IF(Calculations!$F$5="ACCREDITED 17025 WITH UNCERTAINTIES",$N$10,0)</f>
        <v>0</v>
      </c>
      <c r="Q903" s="1">
        <f>Table1[[#This Row],[High Tol]]-Table1[[#This Row],[Low Tol]]</f>
        <v>0</v>
      </c>
      <c r="R903" s="1">
        <f>2*Table1[[#This Row],[Std Error]]</f>
        <v>0</v>
      </c>
      <c r="S903" s="1" t="str">
        <f>IF(Table1[[#This Row],[High Tol]]="","N/A",IFERROR(ABS(Table1[[#This Row],[Tol Span]]/Table1[[#This Row],[Error Span]]),"N/A"))</f>
        <v>N/A</v>
      </c>
      <c r="T903" s="1" t="str">
        <f>IF(OR(Table1[[#This Row],[Low Tol]]="",Table1[[#This Row],[High Tol]]=""),"Needs Analysis",IF(Table1[[#This Row],[Ratio]]&gt;=4,"Not Significant",IF(Table1[[#This Row],[Ratio]]&gt;=2,"Semi-Significant","Significant")))</f>
        <v>Needs Analysis</v>
      </c>
      <c r="W903" s="1">
        <f>IF(Table1[[#This Row],[Cal Type]]&lt;&gt;"ACCREDITED 17025 WITH UNCERTAINTIES",0,"")</f>
        <v>0</v>
      </c>
      <c r="X903" s="1" t="str">
        <f>IF(Table1[[#This Row],[DUT Read]]="","N/A",Table1[[#This Row],[Std Error]]+Table1[[#This Row],[DUT Read]]+Table1[[#This Row],[DUT Ucty]])</f>
        <v>N/A</v>
      </c>
      <c r="Y903" s="1" t="str">
        <f>IF(Table1[[#This Row],[Std Read]]="","N/A",Table1[[#This Row],[Std Read]]+Table1[[#This Row],[Std Ucty]])</f>
        <v>N/A</v>
      </c>
      <c r="Z9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3" s="1" t="str">
        <f>IF(Table1[[#This Row],[Spec Type]]="","N/A",Table1[[#This Row],[Spec Type]])</f>
        <v>±</v>
      </c>
      <c r="AC903" s="1" t="str">
        <f>IF(Table1[[#This Row],[Spec Type2]]="N/A","N/A",IF(AND(Table1[[#This Row],[DUT Adj Read]]&gt;=Table1[[#This Row],[Low Tol]],Table1[[#This Row],[DUT Adj Read]]&lt;=Table1[[#This Row],[High Tol]]),"Pass","Fail"))</f>
        <v>Fail</v>
      </c>
      <c r="AD903" s="1" t="str">
        <f>IF(AND(Table1[[#This Row],[Spec Type2]]="N/A",Table1[[#This Row],[DUT Adj Read]]="N/A",Table1[[#This Row],[Std Adj Read]]="N/A"),"N/A",IF(Table1[[#This Row],[DUT Adj Read]]="N/A",IF(Table1[[#This Row],[Std Adj Read]]&gt;Table1[[#This Row],[Low Tol]],"Pass","Fail"),IF(Table1[[#This Row],[DUT Adj Read]]&gt;Table1[[#This Row],[Low Tol]],"Pass","Fail")))</f>
        <v>Pass</v>
      </c>
      <c r="AE903" s="1" t="str">
        <f>IF(AND(Table1[[#This Row],[Spec Type2]]="N/A",Table1[[#This Row],[DUT Adj Read]]="N/A",Table1[[#This Row],[Std Adj Read]]="N/A"),"N/A",IF(Table1[[#This Row],[DUT Adj Read]]="N/A",IF(Table1[[#This Row],[Std Adj Read]]&lt;Table1[[#This Row],[High Tol]],"Pass","Fail"),IF(Table1[[#This Row],[DUT Adj Read]]&lt;Table1[[#This Row],[High Tol]],"Pass","Fail")))</f>
        <v>Fail</v>
      </c>
      <c r="AF903" s="1" t="str">
        <f>IF(AND(Table1[[#This Row],[Spec Type2]]="N/A",Table1[[#This Row],[DUT Adj Read]]="N/A",Table1[[#This Row],[Std Adj Read]]="N/A"),"N/A",IF(Table1[[#This Row],[DUT Adj Read]]="N/A",IF(Table1[[#This Row],[Std Adj Read]]&gt;=Table1[[#This Row],[Low Tol]],"Pass","Fail"),IF(Table1[[#This Row],[DUT Adj Read]]&gt;=Table1[[#This Row],[Low Tol]],"Pass","Fail")))</f>
        <v>Pass</v>
      </c>
      <c r="AG903" s="1" t="str">
        <f>IF(AND(Table1[[#This Row],[Spec Type2]]="N/A",Table1[[#This Row],[DUT Adj Read]]="N/A",Table1[[#This Row],[Std Adj Read]]="N/A"),"N/A",IF(Table1[[#This Row],[DUT Adj Read]]="N/A",IF(Table1[[#This Row],[Std Adj Read]]&lt;=Table1[[#This Row],[High Tol]],"Pass","Fail"),IF(Table1[[#This Row],[DUT Adj Read]]&lt;=Table1[[#This Row],[High Tol]],"Pass","Fail")))</f>
        <v>Fail</v>
      </c>
      <c r="AH9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3" s="1" t="b">
        <v>0</v>
      </c>
      <c r="AN903" s="1" t="b">
        <v>0</v>
      </c>
      <c r="AO903" s="1" t="b">
        <v>0</v>
      </c>
    </row>
    <row r="904" spans="1:41" x14ac:dyDescent="0.25">
      <c r="A904" s="10"/>
      <c r="B904" s="10"/>
      <c r="C904" s="10"/>
      <c r="D904" s="10"/>
      <c r="E904" s="10"/>
      <c r="F904" s="10"/>
      <c r="G904" s="10"/>
      <c r="H904" s="10"/>
      <c r="I904" s="1" t="str">
        <f t="shared" si="39"/>
        <v/>
      </c>
      <c r="J904" s="1" t="s">
        <v>35</v>
      </c>
      <c r="K904" s="1" t="str">
        <f t="shared" si="40"/>
        <v/>
      </c>
      <c r="L904" s="1" t="str">
        <f t="shared" si="41"/>
        <v/>
      </c>
      <c r="M904" s="1">
        <f>IF(OR(Table1[[#This Row],[Std Nom]]="",Table1[[#This Row],[Std Read]]=""),0,Table1[[#This Row],[Std Nom]]-Table1[[#This Row],[Std Read]])</f>
        <v>0</v>
      </c>
      <c r="N904" s="1">
        <f>IF(Calculations!$F$5="ACCREDITED 17025 WITH UNCERTAINTIES",$N$10,0)</f>
        <v>0</v>
      </c>
      <c r="Q904" s="1">
        <f>Table1[[#This Row],[High Tol]]-Table1[[#This Row],[Low Tol]]</f>
        <v>0</v>
      </c>
      <c r="R904" s="1">
        <f>2*Table1[[#This Row],[Std Error]]</f>
        <v>0</v>
      </c>
      <c r="S904" s="1" t="str">
        <f>IF(Table1[[#This Row],[High Tol]]="","N/A",IFERROR(ABS(Table1[[#This Row],[Tol Span]]/Table1[[#This Row],[Error Span]]),"N/A"))</f>
        <v>N/A</v>
      </c>
      <c r="T904" s="1" t="str">
        <f>IF(OR(Table1[[#This Row],[Low Tol]]="",Table1[[#This Row],[High Tol]]=""),"Needs Analysis",IF(Table1[[#This Row],[Ratio]]&gt;=4,"Not Significant",IF(Table1[[#This Row],[Ratio]]&gt;=2,"Semi-Significant","Significant")))</f>
        <v>Needs Analysis</v>
      </c>
      <c r="W904" s="1">
        <f>IF(Table1[[#This Row],[Cal Type]]&lt;&gt;"ACCREDITED 17025 WITH UNCERTAINTIES",0,"")</f>
        <v>0</v>
      </c>
      <c r="X904" s="1" t="str">
        <f>IF(Table1[[#This Row],[DUT Read]]="","N/A",Table1[[#This Row],[Std Error]]+Table1[[#This Row],[DUT Read]]+Table1[[#This Row],[DUT Ucty]])</f>
        <v>N/A</v>
      </c>
      <c r="Y904" s="1" t="str">
        <f>IF(Table1[[#This Row],[Std Read]]="","N/A",Table1[[#This Row],[Std Read]]+Table1[[#This Row],[Std Ucty]])</f>
        <v>N/A</v>
      </c>
      <c r="Z9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4" s="1" t="str">
        <f>IF(Table1[[#This Row],[Spec Type]]="","N/A",Table1[[#This Row],[Spec Type]])</f>
        <v>±</v>
      </c>
      <c r="AC904" s="1" t="str">
        <f>IF(Table1[[#This Row],[Spec Type2]]="N/A","N/A",IF(AND(Table1[[#This Row],[DUT Adj Read]]&gt;=Table1[[#This Row],[Low Tol]],Table1[[#This Row],[DUT Adj Read]]&lt;=Table1[[#This Row],[High Tol]]),"Pass","Fail"))</f>
        <v>Fail</v>
      </c>
      <c r="AD904" s="1" t="str">
        <f>IF(AND(Table1[[#This Row],[Spec Type2]]="N/A",Table1[[#This Row],[DUT Adj Read]]="N/A",Table1[[#This Row],[Std Adj Read]]="N/A"),"N/A",IF(Table1[[#This Row],[DUT Adj Read]]="N/A",IF(Table1[[#This Row],[Std Adj Read]]&gt;Table1[[#This Row],[Low Tol]],"Pass","Fail"),IF(Table1[[#This Row],[DUT Adj Read]]&gt;Table1[[#This Row],[Low Tol]],"Pass","Fail")))</f>
        <v>Pass</v>
      </c>
      <c r="AE904" s="1" t="str">
        <f>IF(AND(Table1[[#This Row],[Spec Type2]]="N/A",Table1[[#This Row],[DUT Adj Read]]="N/A",Table1[[#This Row],[Std Adj Read]]="N/A"),"N/A",IF(Table1[[#This Row],[DUT Adj Read]]="N/A",IF(Table1[[#This Row],[Std Adj Read]]&lt;Table1[[#This Row],[High Tol]],"Pass","Fail"),IF(Table1[[#This Row],[DUT Adj Read]]&lt;Table1[[#This Row],[High Tol]],"Pass","Fail")))</f>
        <v>Fail</v>
      </c>
      <c r="AF904" s="1" t="str">
        <f>IF(AND(Table1[[#This Row],[Spec Type2]]="N/A",Table1[[#This Row],[DUT Adj Read]]="N/A",Table1[[#This Row],[Std Adj Read]]="N/A"),"N/A",IF(Table1[[#This Row],[DUT Adj Read]]="N/A",IF(Table1[[#This Row],[Std Adj Read]]&gt;=Table1[[#This Row],[Low Tol]],"Pass","Fail"),IF(Table1[[#This Row],[DUT Adj Read]]&gt;=Table1[[#This Row],[Low Tol]],"Pass","Fail")))</f>
        <v>Pass</v>
      </c>
      <c r="AG904" s="1" t="str">
        <f>IF(AND(Table1[[#This Row],[Spec Type2]]="N/A",Table1[[#This Row],[DUT Adj Read]]="N/A",Table1[[#This Row],[Std Adj Read]]="N/A"),"N/A",IF(Table1[[#This Row],[DUT Adj Read]]="N/A",IF(Table1[[#This Row],[Std Adj Read]]&lt;=Table1[[#This Row],[High Tol]],"Pass","Fail"),IF(Table1[[#This Row],[DUT Adj Read]]&lt;=Table1[[#This Row],[High Tol]],"Pass","Fail")))</f>
        <v>Fail</v>
      </c>
      <c r="AH9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4" s="1" t="b">
        <v>0</v>
      </c>
      <c r="AN904" s="1" t="b">
        <v>0</v>
      </c>
      <c r="AO904" s="1" t="b">
        <v>0</v>
      </c>
    </row>
    <row r="905" spans="1:41" x14ac:dyDescent="0.25">
      <c r="A905" s="10"/>
      <c r="B905" s="10"/>
      <c r="C905" s="10"/>
      <c r="D905" s="10"/>
      <c r="E905" s="10"/>
      <c r="F905" s="10"/>
      <c r="G905" s="10"/>
      <c r="H905" s="10"/>
      <c r="I905" s="1" t="str">
        <f t="shared" si="39"/>
        <v/>
      </c>
      <c r="J905" s="1" t="s">
        <v>35</v>
      </c>
      <c r="K905" s="1" t="str">
        <f t="shared" si="40"/>
        <v/>
      </c>
      <c r="L905" s="1" t="str">
        <f t="shared" si="41"/>
        <v/>
      </c>
      <c r="M905" s="1">
        <f>IF(OR(Table1[[#This Row],[Std Nom]]="",Table1[[#This Row],[Std Read]]=""),0,Table1[[#This Row],[Std Nom]]-Table1[[#This Row],[Std Read]])</f>
        <v>0</v>
      </c>
      <c r="N905" s="1">
        <f>IF(Calculations!$F$5="ACCREDITED 17025 WITH UNCERTAINTIES",$N$10,0)</f>
        <v>0</v>
      </c>
      <c r="Q905" s="1">
        <f>Table1[[#This Row],[High Tol]]-Table1[[#This Row],[Low Tol]]</f>
        <v>0</v>
      </c>
      <c r="R905" s="1">
        <f>2*Table1[[#This Row],[Std Error]]</f>
        <v>0</v>
      </c>
      <c r="S905" s="1" t="str">
        <f>IF(Table1[[#This Row],[High Tol]]="","N/A",IFERROR(ABS(Table1[[#This Row],[Tol Span]]/Table1[[#This Row],[Error Span]]),"N/A"))</f>
        <v>N/A</v>
      </c>
      <c r="T905" s="1" t="str">
        <f>IF(OR(Table1[[#This Row],[Low Tol]]="",Table1[[#This Row],[High Tol]]=""),"Needs Analysis",IF(Table1[[#This Row],[Ratio]]&gt;=4,"Not Significant",IF(Table1[[#This Row],[Ratio]]&gt;=2,"Semi-Significant","Significant")))</f>
        <v>Needs Analysis</v>
      </c>
      <c r="W905" s="1">
        <f>IF(Table1[[#This Row],[Cal Type]]&lt;&gt;"ACCREDITED 17025 WITH UNCERTAINTIES",0,"")</f>
        <v>0</v>
      </c>
      <c r="X905" s="1" t="str">
        <f>IF(Table1[[#This Row],[DUT Read]]="","N/A",Table1[[#This Row],[Std Error]]+Table1[[#This Row],[DUT Read]]+Table1[[#This Row],[DUT Ucty]])</f>
        <v>N/A</v>
      </c>
      <c r="Y905" s="1" t="str">
        <f>IF(Table1[[#This Row],[Std Read]]="","N/A",Table1[[#This Row],[Std Read]]+Table1[[#This Row],[Std Ucty]])</f>
        <v>N/A</v>
      </c>
      <c r="Z9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5" s="1" t="str">
        <f>IF(Table1[[#This Row],[Spec Type]]="","N/A",Table1[[#This Row],[Spec Type]])</f>
        <v>±</v>
      </c>
      <c r="AC905" s="1" t="str">
        <f>IF(Table1[[#This Row],[Spec Type2]]="N/A","N/A",IF(AND(Table1[[#This Row],[DUT Adj Read]]&gt;=Table1[[#This Row],[Low Tol]],Table1[[#This Row],[DUT Adj Read]]&lt;=Table1[[#This Row],[High Tol]]),"Pass","Fail"))</f>
        <v>Fail</v>
      </c>
      <c r="AD905" s="1" t="str">
        <f>IF(AND(Table1[[#This Row],[Spec Type2]]="N/A",Table1[[#This Row],[DUT Adj Read]]="N/A",Table1[[#This Row],[Std Adj Read]]="N/A"),"N/A",IF(Table1[[#This Row],[DUT Adj Read]]="N/A",IF(Table1[[#This Row],[Std Adj Read]]&gt;Table1[[#This Row],[Low Tol]],"Pass","Fail"),IF(Table1[[#This Row],[DUT Adj Read]]&gt;Table1[[#This Row],[Low Tol]],"Pass","Fail")))</f>
        <v>Pass</v>
      </c>
      <c r="AE905" s="1" t="str">
        <f>IF(AND(Table1[[#This Row],[Spec Type2]]="N/A",Table1[[#This Row],[DUT Adj Read]]="N/A",Table1[[#This Row],[Std Adj Read]]="N/A"),"N/A",IF(Table1[[#This Row],[DUT Adj Read]]="N/A",IF(Table1[[#This Row],[Std Adj Read]]&lt;Table1[[#This Row],[High Tol]],"Pass","Fail"),IF(Table1[[#This Row],[DUT Adj Read]]&lt;Table1[[#This Row],[High Tol]],"Pass","Fail")))</f>
        <v>Fail</v>
      </c>
      <c r="AF905" s="1" t="str">
        <f>IF(AND(Table1[[#This Row],[Spec Type2]]="N/A",Table1[[#This Row],[DUT Adj Read]]="N/A",Table1[[#This Row],[Std Adj Read]]="N/A"),"N/A",IF(Table1[[#This Row],[DUT Adj Read]]="N/A",IF(Table1[[#This Row],[Std Adj Read]]&gt;=Table1[[#This Row],[Low Tol]],"Pass","Fail"),IF(Table1[[#This Row],[DUT Adj Read]]&gt;=Table1[[#This Row],[Low Tol]],"Pass","Fail")))</f>
        <v>Pass</v>
      </c>
      <c r="AG905" s="1" t="str">
        <f>IF(AND(Table1[[#This Row],[Spec Type2]]="N/A",Table1[[#This Row],[DUT Adj Read]]="N/A",Table1[[#This Row],[Std Adj Read]]="N/A"),"N/A",IF(Table1[[#This Row],[DUT Adj Read]]="N/A",IF(Table1[[#This Row],[Std Adj Read]]&lt;=Table1[[#This Row],[High Tol]],"Pass","Fail"),IF(Table1[[#This Row],[DUT Adj Read]]&lt;=Table1[[#This Row],[High Tol]],"Pass","Fail")))</f>
        <v>Fail</v>
      </c>
      <c r="AH9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5" s="1" t="b">
        <v>0</v>
      </c>
      <c r="AN905" s="1" t="b">
        <v>0</v>
      </c>
      <c r="AO905" s="1" t="b">
        <v>0</v>
      </c>
    </row>
    <row r="906" spans="1:41" x14ac:dyDescent="0.25">
      <c r="A906" s="10"/>
      <c r="B906" s="10"/>
      <c r="C906" s="10"/>
      <c r="D906" s="10"/>
      <c r="E906" s="10"/>
      <c r="F906" s="10"/>
      <c r="G906" s="10"/>
      <c r="H906" s="10"/>
      <c r="I906" s="1" t="str">
        <f t="shared" si="39"/>
        <v/>
      </c>
      <c r="J906" s="1" t="s">
        <v>35</v>
      </c>
      <c r="K906" s="1" t="str">
        <f t="shared" si="40"/>
        <v/>
      </c>
      <c r="L906" s="1" t="str">
        <f t="shared" si="41"/>
        <v/>
      </c>
      <c r="M906" s="1">
        <f>IF(OR(Table1[[#This Row],[Std Nom]]="",Table1[[#This Row],[Std Read]]=""),0,Table1[[#This Row],[Std Nom]]-Table1[[#This Row],[Std Read]])</f>
        <v>0</v>
      </c>
      <c r="N906" s="1">
        <f>IF(Calculations!$F$5="ACCREDITED 17025 WITH UNCERTAINTIES",$N$10,0)</f>
        <v>0</v>
      </c>
      <c r="Q906" s="1">
        <f>Table1[[#This Row],[High Tol]]-Table1[[#This Row],[Low Tol]]</f>
        <v>0</v>
      </c>
      <c r="R906" s="1">
        <f>2*Table1[[#This Row],[Std Error]]</f>
        <v>0</v>
      </c>
      <c r="S906" s="1" t="str">
        <f>IF(Table1[[#This Row],[High Tol]]="","N/A",IFERROR(ABS(Table1[[#This Row],[Tol Span]]/Table1[[#This Row],[Error Span]]),"N/A"))</f>
        <v>N/A</v>
      </c>
      <c r="T906" s="1" t="str">
        <f>IF(OR(Table1[[#This Row],[Low Tol]]="",Table1[[#This Row],[High Tol]]=""),"Needs Analysis",IF(Table1[[#This Row],[Ratio]]&gt;=4,"Not Significant",IF(Table1[[#This Row],[Ratio]]&gt;=2,"Semi-Significant","Significant")))</f>
        <v>Needs Analysis</v>
      </c>
      <c r="W906" s="1">
        <f>IF(Table1[[#This Row],[Cal Type]]&lt;&gt;"ACCREDITED 17025 WITH UNCERTAINTIES",0,"")</f>
        <v>0</v>
      </c>
      <c r="X906" s="1" t="str">
        <f>IF(Table1[[#This Row],[DUT Read]]="","N/A",Table1[[#This Row],[Std Error]]+Table1[[#This Row],[DUT Read]]+Table1[[#This Row],[DUT Ucty]])</f>
        <v>N/A</v>
      </c>
      <c r="Y906" s="1" t="str">
        <f>IF(Table1[[#This Row],[Std Read]]="","N/A",Table1[[#This Row],[Std Read]]+Table1[[#This Row],[Std Ucty]])</f>
        <v>N/A</v>
      </c>
      <c r="Z9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6" s="1" t="str">
        <f>IF(Table1[[#This Row],[Spec Type]]="","N/A",Table1[[#This Row],[Spec Type]])</f>
        <v>±</v>
      </c>
      <c r="AC906" s="1" t="str">
        <f>IF(Table1[[#This Row],[Spec Type2]]="N/A","N/A",IF(AND(Table1[[#This Row],[DUT Adj Read]]&gt;=Table1[[#This Row],[Low Tol]],Table1[[#This Row],[DUT Adj Read]]&lt;=Table1[[#This Row],[High Tol]]),"Pass","Fail"))</f>
        <v>Fail</v>
      </c>
      <c r="AD906" s="1" t="str">
        <f>IF(AND(Table1[[#This Row],[Spec Type2]]="N/A",Table1[[#This Row],[DUT Adj Read]]="N/A",Table1[[#This Row],[Std Adj Read]]="N/A"),"N/A",IF(Table1[[#This Row],[DUT Adj Read]]="N/A",IF(Table1[[#This Row],[Std Adj Read]]&gt;Table1[[#This Row],[Low Tol]],"Pass","Fail"),IF(Table1[[#This Row],[DUT Adj Read]]&gt;Table1[[#This Row],[Low Tol]],"Pass","Fail")))</f>
        <v>Pass</v>
      </c>
      <c r="AE906" s="1" t="str">
        <f>IF(AND(Table1[[#This Row],[Spec Type2]]="N/A",Table1[[#This Row],[DUT Adj Read]]="N/A",Table1[[#This Row],[Std Adj Read]]="N/A"),"N/A",IF(Table1[[#This Row],[DUT Adj Read]]="N/A",IF(Table1[[#This Row],[Std Adj Read]]&lt;Table1[[#This Row],[High Tol]],"Pass","Fail"),IF(Table1[[#This Row],[DUT Adj Read]]&lt;Table1[[#This Row],[High Tol]],"Pass","Fail")))</f>
        <v>Fail</v>
      </c>
      <c r="AF906" s="1" t="str">
        <f>IF(AND(Table1[[#This Row],[Spec Type2]]="N/A",Table1[[#This Row],[DUT Adj Read]]="N/A",Table1[[#This Row],[Std Adj Read]]="N/A"),"N/A",IF(Table1[[#This Row],[DUT Adj Read]]="N/A",IF(Table1[[#This Row],[Std Adj Read]]&gt;=Table1[[#This Row],[Low Tol]],"Pass","Fail"),IF(Table1[[#This Row],[DUT Adj Read]]&gt;=Table1[[#This Row],[Low Tol]],"Pass","Fail")))</f>
        <v>Pass</v>
      </c>
      <c r="AG906" s="1" t="str">
        <f>IF(AND(Table1[[#This Row],[Spec Type2]]="N/A",Table1[[#This Row],[DUT Adj Read]]="N/A",Table1[[#This Row],[Std Adj Read]]="N/A"),"N/A",IF(Table1[[#This Row],[DUT Adj Read]]="N/A",IF(Table1[[#This Row],[Std Adj Read]]&lt;=Table1[[#This Row],[High Tol]],"Pass","Fail"),IF(Table1[[#This Row],[DUT Adj Read]]&lt;=Table1[[#This Row],[High Tol]],"Pass","Fail")))</f>
        <v>Fail</v>
      </c>
      <c r="AH9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6" s="1" t="b">
        <v>0</v>
      </c>
      <c r="AN906" s="1" t="b">
        <v>0</v>
      </c>
      <c r="AO906" s="1" t="b">
        <v>0</v>
      </c>
    </row>
    <row r="907" spans="1:41" x14ac:dyDescent="0.25">
      <c r="A907" s="10"/>
      <c r="B907" s="10"/>
      <c r="C907" s="10"/>
      <c r="D907" s="10"/>
      <c r="E907" s="10"/>
      <c r="F907" s="10"/>
      <c r="G907" s="10"/>
      <c r="H907" s="10"/>
      <c r="I907" s="1" t="str">
        <f t="shared" ref="I907:I970" si="42">IF($I$10="","",$I$10)</f>
        <v/>
      </c>
      <c r="J907" s="1" t="s">
        <v>35</v>
      </c>
      <c r="K907" s="1" t="str">
        <f t="shared" ref="K907:K970" si="43">IF($K$10="","",$K$10)</f>
        <v/>
      </c>
      <c r="L907" s="1" t="str">
        <f t="shared" ref="L907:L970" si="44">IF($L$10="","",$L$10)</f>
        <v/>
      </c>
      <c r="M907" s="1">
        <f>IF(OR(Table1[[#This Row],[Std Nom]]="",Table1[[#This Row],[Std Read]]=""),0,Table1[[#This Row],[Std Nom]]-Table1[[#This Row],[Std Read]])</f>
        <v>0</v>
      </c>
      <c r="N907" s="1">
        <f>IF(Calculations!$F$5="ACCREDITED 17025 WITH UNCERTAINTIES",$N$10,0)</f>
        <v>0</v>
      </c>
      <c r="Q907" s="1">
        <f>Table1[[#This Row],[High Tol]]-Table1[[#This Row],[Low Tol]]</f>
        <v>0</v>
      </c>
      <c r="R907" s="1">
        <f>2*Table1[[#This Row],[Std Error]]</f>
        <v>0</v>
      </c>
      <c r="S907" s="1" t="str">
        <f>IF(Table1[[#This Row],[High Tol]]="","N/A",IFERROR(ABS(Table1[[#This Row],[Tol Span]]/Table1[[#This Row],[Error Span]]),"N/A"))</f>
        <v>N/A</v>
      </c>
      <c r="T907" s="1" t="str">
        <f>IF(OR(Table1[[#This Row],[Low Tol]]="",Table1[[#This Row],[High Tol]]=""),"Needs Analysis",IF(Table1[[#This Row],[Ratio]]&gt;=4,"Not Significant",IF(Table1[[#This Row],[Ratio]]&gt;=2,"Semi-Significant","Significant")))</f>
        <v>Needs Analysis</v>
      </c>
      <c r="W907" s="1">
        <f>IF(Table1[[#This Row],[Cal Type]]&lt;&gt;"ACCREDITED 17025 WITH UNCERTAINTIES",0,"")</f>
        <v>0</v>
      </c>
      <c r="X907" s="1" t="str">
        <f>IF(Table1[[#This Row],[DUT Read]]="","N/A",Table1[[#This Row],[Std Error]]+Table1[[#This Row],[DUT Read]]+Table1[[#This Row],[DUT Ucty]])</f>
        <v>N/A</v>
      </c>
      <c r="Y907" s="1" t="str">
        <f>IF(Table1[[#This Row],[Std Read]]="","N/A",Table1[[#This Row],[Std Read]]+Table1[[#This Row],[Std Ucty]])</f>
        <v>N/A</v>
      </c>
      <c r="Z9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7" s="1" t="str">
        <f>IF(Table1[[#This Row],[Spec Type]]="","N/A",Table1[[#This Row],[Spec Type]])</f>
        <v>±</v>
      </c>
      <c r="AC907" s="1" t="str">
        <f>IF(Table1[[#This Row],[Spec Type2]]="N/A","N/A",IF(AND(Table1[[#This Row],[DUT Adj Read]]&gt;=Table1[[#This Row],[Low Tol]],Table1[[#This Row],[DUT Adj Read]]&lt;=Table1[[#This Row],[High Tol]]),"Pass","Fail"))</f>
        <v>Fail</v>
      </c>
      <c r="AD907" s="1" t="str">
        <f>IF(AND(Table1[[#This Row],[Spec Type2]]="N/A",Table1[[#This Row],[DUT Adj Read]]="N/A",Table1[[#This Row],[Std Adj Read]]="N/A"),"N/A",IF(Table1[[#This Row],[DUT Adj Read]]="N/A",IF(Table1[[#This Row],[Std Adj Read]]&gt;Table1[[#This Row],[Low Tol]],"Pass","Fail"),IF(Table1[[#This Row],[DUT Adj Read]]&gt;Table1[[#This Row],[Low Tol]],"Pass","Fail")))</f>
        <v>Pass</v>
      </c>
      <c r="AE907" s="1" t="str">
        <f>IF(AND(Table1[[#This Row],[Spec Type2]]="N/A",Table1[[#This Row],[DUT Adj Read]]="N/A",Table1[[#This Row],[Std Adj Read]]="N/A"),"N/A",IF(Table1[[#This Row],[DUT Adj Read]]="N/A",IF(Table1[[#This Row],[Std Adj Read]]&lt;Table1[[#This Row],[High Tol]],"Pass","Fail"),IF(Table1[[#This Row],[DUT Adj Read]]&lt;Table1[[#This Row],[High Tol]],"Pass","Fail")))</f>
        <v>Fail</v>
      </c>
      <c r="AF907" s="1" t="str">
        <f>IF(AND(Table1[[#This Row],[Spec Type2]]="N/A",Table1[[#This Row],[DUT Adj Read]]="N/A",Table1[[#This Row],[Std Adj Read]]="N/A"),"N/A",IF(Table1[[#This Row],[DUT Adj Read]]="N/A",IF(Table1[[#This Row],[Std Adj Read]]&gt;=Table1[[#This Row],[Low Tol]],"Pass","Fail"),IF(Table1[[#This Row],[DUT Adj Read]]&gt;=Table1[[#This Row],[Low Tol]],"Pass","Fail")))</f>
        <v>Pass</v>
      </c>
      <c r="AG907" s="1" t="str">
        <f>IF(AND(Table1[[#This Row],[Spec Type2]]="N/A",Table1[[#This Row],[DUT Adj Read]]="N/A",Table1[[#This Row],[Std Adj Read]]="N/A"),"N/A",IF(Table1[[#This Row],[DUT Adj Read]]="N/A",IF(Table1[[#This Row],[Std Adj Read]]&lt;=Table1[[#This Row],[High Tol]],"Pass","Fail"),IF(Table1[[#This Row],[DUT Adj Read]]&lt;=Table1[[#This Row],[High Tol]],"Pass","Fail")))</f>
        <v>Fail</v>
      </c>
      <c r="AH9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7" s="1" t="b">
        <v>0</v>
      </c>
      <c r="AN907" s="1" t="b">
        <v>0</v>
      </c>
      <c r="AO907" s="1" t="b">
        <v>0</v>
      </c>
    </row>
    <row r="908" spans="1:41" x14ac:dyDescent="0.25">
      <c r="A908" s="10"/>
      <c r="B908" s="10"/>
      <c r="C908" s="10"/>
      <c r="D908" s="10"/>
      <c r="E908" s="10"/>
      <c r="F908" s="10"/>
      <c r="G908" s="10"/>
      <c r="H908" s="10"/>
      <c r="I908" s="1" t="str">
        <f t="shared" si="42"/>
        <v/>
      </c>
      <c r="J908" s="1" t="s">
        <v>35</v>
      </c>
      <c r="K908" s="1" t="str">
        <f t="shared" si="43"/>
        <v/>
      </c>
      <c r="L908" s="1" t="str">
        <f t="shared" si="44"/>
        <v/>
      </c>
      <c r="M908" s="1">
        <f>IF(OR(Table1[[#This Row],[Std Nom]]="",Table1[[#This Row],[Std Read]]=""),0,Table1[[#This Row],[Std Nom]]-Table1[[#This Row],[Std Read]])</f>
        <v>0</v>
      </c>
      <c r="N908" s="1">
        <f>IF(Calculations!$F$5="ACCREDITED 17025 WITH UNCERTAINTIES",$N$10,0)</f>
        <v>0</v>
      </c>
      <c r="Q908" s="1">
        <f>Table1[[#This Row],[High Tol]]-Table1[[#This Row],[Low Tol]]</f>
        <v>0</v>
      </c>
      <c r="R908" s="1">
        <f>2*Table1[[#This Row],[Std Error]]</f>
        <v>0</v>
      </c>
      <c r="S908" s="1" t="str">
        <f>IF(Table1[[#This Row],[High Tol]]="","N/A",IFERROR(ABS(Table1[[#This Row],[Tol Span]]/Table1[[#This Row],[Error Span]]),"N/A"))</f>
        <v>N/A</v>
      </c>
      <c r="T908" s="1" t="str">
        <f>IF(OR(Table1[[#This Row],[Low Tol]]="",Table1[[#This Row],[High Tol]]=""),"Needs Analysis",IF(Table1[[#This Row],[Ratio]]&gt;=4,"Not Significant",IF(Table1[[#This Row],[Ratio]]&gt;=2,"Semi-Significant","Significant")))</f>
        <v>Needs Analysis</v>
      </c>
      <c r="W908" s="1">
        <f>IF(Table1[[#This Row],[Cal Type]]&lt;&gt;"ACCREDITED 17025 WITH UNCERTAINTIES",0,"")</f>
        <v>0</v>
      </c>
      <c r="X908" s="1" t="str">
        <f>IF(Table1[[#This Row],[DUT Read]]="","N/A",Table1[[#This Row],[Std Error]]+Table1[[#This Row],[DUT Read]]+Table1[[#This Row],[DUT Ucty]])</f>
        <v>N/A</v>
      </c>
      <c r="Y908" s="1" t="str">
        <f>IF(Table1[[#This Row],[Std Read]]="","N/A",Table1[[#This Row],[Std Read]]+Table1[[#This Row],[Std Ucty]])</f>
        <v>N/A</v>
      </c>
      <c r="Z9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8" s="1" t="str">
        <f>IF(Table1[[#This Row],[Spec Type]]="","N/A",Table1[[#This Row],[Spec Type]])</f>
        <v>±</v>
      </c>
      <c r="AC908" s="1" t="str">
        <f>IF(Table1[[#This Row],[Spec Type2]]="N/A","N/A",IF(AND(Table1[[#This Row],[DUT Adj Read]]&gt;=Table1[[#This Row],[Low Tol]],Table1[[#This Row],[DUT Adj Read]]&lt;=Table1[[#This Row],[High Tol]]),"Pass","Fail"))</f>
        <v>Fail</v>
      </c>
      <c r="AD908" s="1" t="str">
        <f>IF(AND(Table1[[#This Row],[Spec Type2]]="N/A",Table1[[#This Row],[DUT Adj Read]]="N/A",Table1[[#This Row],[Std Adj Read]]="N/A"),"N/A",IF(Table1[[#This Row],[DUT Adj Read]]="N/A",IF(Table1[[#This Row],[Std Adj Read]]&gt;Table1[[#This Row],[Low Tol]],"Pass","Fail"),IF(Table1[[#This Row],[DUT Adj Read]]&gt;Table1[[#This Row],[Low Tol]],"Pass","Fail")))</f>
        <v>Pass</v>
      </c>
      <c r="AE908" s="1" t="str">
        <f>IF(AND(Table1[[#This Row],[Spec Type2]]="N/A",Table1[[#This Row],[DUT Adj Read]]="N/A",Table1[[#This Row],[Std Adj Read]]="N/A"),"N/A",IF(Table1[[#This Row],[DUT Adj Read]]="N/A",IF(Table1[[#This Row],[Std Adj Read]]&lt;Table1[[#This Row],[High Tol]],"Pass","Fail"),IF(Table1[[#This Row],[DUT Adj Read]]&lt;Table1[[#This Row],[High Tol]],"Pass","Fail")))</f>
        <v>Fail</v>
      </c>
      <c r="AF908" s="1" t="str">
        <f>IF(AND(Table1[[#This Row],[Spec Type2]]="N/A",Table1[[#This Row],[DUT Adj Read]]="N/A",Table1[[#This Row],[Std Adj Read]]="N/A"),"N/A",IF(Table1[[#This Row],[DUT Adj Read]]="N/A",IF(Table1[[#This Row],[Std Adj Read]]&gt;=Table1[[#This Row],[Low Tol]],"Pass","Fail"),IF(Table1[[#This Row],[DUT Adj Read]]&gt;=Table1[[#This Row],[Low Tol]],"Pass","Fail")))</f>
        <v>Pass</v>
      </c>
      <c r="AG908" s="1" t="str">
        <f>IF(AND(Table1[[#This Row],[Spec Type2]]="N/A",Table1[[#This Row],[DUT Adj Read]]="N/A",Table1[[#This Row],[Std Adj Read]]="N/A"),"N/A",IF(Table1[[#This Row],[DUT Adj Read]]="N/A",IF(Table1[[#This Row],[Std Adj Read]]&lt;=Table1[[#This Row],[High Tol]],"Pass","Fail"),IF(Table1[[#This Row],[DUT Adj Read]]&lt;=Table1[[#This Row],[High Tol]],"Pass","Fail")))</f>
        <v>Fail</v>
      </c>
      <c r="AH9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8" s="1" t="b">
        <v>0</v>
      </c>
      <c r="AN908" s="1" t="b">
        <v>0</v>
      </c>
      <c r="AO908" s="1" t="b">
        <v>0</v>
      </c>
    </row>
    <row r="909" spans="1:41" x14ac:dyDescent="0.25">
      <c r="A909" s="10"/>
      <c r="B909" s="10"/>
      <c r="C909" s="10"/>
      <c r="D909" s="10"/>
      <c r="E909" s="10"/>
      <c r="F909" s="10"/>
      <c r="G909" s="10"/>
      <c r="H909" s="10"/>
      <c r="I909" s="1" t="str">
        <f t="shared" si="42"/>
        <v/>
      </c>
      <c r="J909" s="1" t="s">
        <v>35</v>
      </c>
      <c r="K909" s="1" t="str">
        <f t="shared" si="43"/>
        <v/>
      </c>
      <c r="L909" s="1" t="str">
        <f t="shared" si="44"/>
        <v/>
      </c>
      <c r="M909" s="1">
        <f>IF(OR(Table1[[#This Row],[Std Nom]]="",Table1[[#This Row],[Std Read]]=""),0,Table1[[#This Row],[Std Nom]]-Table1[[#This Row],[Std Read]])</f>
        <v>0</v>
      </c>
      <c r="N909" s="1">
        <f>IF(Calculations!$F$5="ACCREDITED 17025 WITH UNCERTAINTIES",$N$10,0)</f>
        <v>0</v>
      </c>
      <c r="Q909" s="1">
        <f>Table1[[#This Row],[High Tol]]-Table1[[#This Row],[Low Tol]]</f>
        <v>0</v>
      </c>
      <c r="R909" s="1">
        <f>2*Table1[[#This Row],[Std Error]]</f>
        <v>0</v>
      </c>
      <c r="S909" s="1" t="str">
        <f>IF(Table1[[#This Row],[High Tol]]="","N/A",IFERROR(ABS(Table1[[#This Row],[Tol Span]]/Table1[[#This Row],[Error Span]]),"N/A"))</f>
        <v>N/A</v>
      </c>
      <c r="T909" s="1" t="str">
        <f>IF(OR(Table1[[#This Row],[Low Tol]]="",Table1[[#This Row],[High Tol]]=""),"Needs Analysis",IF(Table1[[#This Row],[Ratio]]&gt;=4,"Not Significant",IF(Table1[[#This Row],[Ratio]]&gt;=2,"Semi-Significant","Significant")))</f>
        <v>Needs Analysis</v>
      </c>
      <c r="W909" s="1">
        <f>IF(Table1[[#This Row],[Cal Type]]&lt;&gt;"ACCREDITED 17025 WITH UNCERTAINTIES",0,"")</f>
        <v>0</v>
      </c>
      <c r="X909" s="1" t="str">
        <f>IF(Table1[[#This Row],[DUT Read]]="","N/A",Table1[[#This Row],[Std Error]]+Table1[[#This Row],[DUT Read]]+Table1[[#This Row],[DUT Ucty]])</f>
        <v>N/A</v>
      </c>
      <c r="Y909" s="1" t="str">
        <f>IF(Table1[[#This Row],[Std Read]]="","N/A",Table1[[#This Row],[Std Read]]+Table1[[#This Row],[Std Ucty]])</f>
        <v>N/A</v>
      </c>
      <c r="Z9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09" s="1" t="str">
        <f>IF(Table1[[#This Row],[Spec Type]]="","N/A",Table1[[#This Row],[Spec Type]])</f>
        <v>±</v>
      </c>
      <c r="AC909" s="1" t="str">
        <f>IF(Table1[[#This Row],[Spec Type2]]="N/A","N/A",IF(AND(Table1[[#This Row],[DUT Adj Read]]&gt;=Table1[[#This Row],[Low Tol]],Table1[[#This Row],[DUT Adj Read]]&lt;=Table1[[#This Row],[High Tol]]),"Pass","Fail"))</f>
        <v>Fail</v>
      </c>
      <c r="AD909" s="1" t="str">
        <f>IF(AND(Table1[[#This Row],[Spec Type2]]="N/A",Table1[[#This Row],[DUT Adj Read]]="N/A",Table1[[#This Row],[Std Adj Read]]="N/A"),"N/A",IF(Table1[[#This Row],[DUT Adj Read]]="N/A",IF(Table1[[#This Row],[Std Adj Read]]&gt;Table1[[#This Row],[Low Tol]],"Pass","Fail"),IF(Table1[[#This Row],[DUT Adj Read]]&gt;Table1[[#This Row],[Low Tol]],"Pass","Fail")))</f>
        <v>Pass</v>
      </c>
      <c r="AE909" s="1" t="str">
        <f>IF(AND(Table1[[#This Row],[Spec Type2]]="N/A",Table1[[#This Row],[DUT Adj Read]]="N/A",Table1[[#This Row],[Std Adj Read]]="N/A"),"N/A",IF(Table1[[#This Row],[DUT Adj Read]]="N/A",IF(Table1[[#This Row],[Std Adj Read]]&lt;Table1[[#This Row],[High Tol]],"Pass","Fail"),IF(Table1[[#This Row],[DUT Adj Read]]&lt;Table1[[#This Row],[High Tol]],"Pass","Fail")))</f>
        <v>Fail</v>
      </c>
      <c r="AF909" s="1" t="str">
        <f>IF(AND(Table1[[#This Row],[Spec Type2]]="N/A",Table1[[#This Row],[DUT Adj Read]]="N/A",Table1[[#This Row],[Std Adj Read]]="N/A"),"N/A",IF(Table1[[#This Row],[DUT Adj Read]]="N/A",IF(Table1[[#This Row],[Std Adj Read]]&gt;=Table1[[#This Row],[Low Tol]],"Pass","Fail"),IF(Table1[[#This Row],[DUT Adj Read]]&gt;=Table1[[#This Row],[Low Tol]],"Pass","Fail")))</f>
        <v>Pass</v>
      </c>
      <c r="AG909" s="1" t="str">
        <f>IF(AND(Table1[[#This Row],[Spec Type2]]="N/A",Table1[[#This Row],[DUT Adj Read]]="N/A",Table1[[#This Row],[Std Adj Read]]="N/A"),"N/A",IF(Table1[[#This Row],[DUT Adj Read]]="N/A",IF(Table1[[#This Row],[Std Adj Read]]&lt;=Table1[[#This Row],[High Tol]],"Pass","Fail"),IF(Table1[[#This Row],[DUT Adj Read]]&lt;=Table1[[#This Row],[High Tol]],"Pass","Fail")))</f>
        <v>Fail</v>
      </c>
      <c r="AH9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09" s="1" t="b">
        <v>0</v>
      </c>
      <c r="AN909" s="1" t="b">
        <v>0</v>
      </c>
      <c r="AO909" s="1" t="b">
        <v>0</v>
      </c>
    </row>
    <row r="910" spans="1:41" x14ac:dyDescent="0.25">
      <c r="A910" s="10"/>
      <c r="B910" s="10"/>
      <c r="C910" s="10"/>
      <c r="D910" s="10"/>
      <c r="E910" s="10"/>
      <c r="F910" s="10"/>
      <c r="G910" s="10"/>
      <c r="H910" s="10"/>
      <c r="I910" s="1" t="str">
        <f t="shared" si="42"/>
        <v/>
      </c>
      <c r="J910" s="1" t="s">
        <v>35</v>
      </c>
      <c r="K910" s="1" t="str">
        <f t="shared" si="43"/>
        <v/>
      </c>
      <c r="L910" s="1" t="str">
        <f t="shared" si="44"/>
        <v/>
      </c>
      <c r="M910" s="1">
        <f>IF(OR(Table1[[#This Row],[Std Nom]]="",Table1[[#This Row],[Std Read]]=""),0,Table1[[#This Row],[Std Nom]]-Table1[[#This Row],[Std Read]])</f>
        <v>0</v>
      </c>
      <c r="N910" s="1">
        <f>IF(Calculations!$F$5="ACCREDITED 17025 WITH UNCERTAINTIES",$N$10,0)</f>
        <v>0</v>
      </c>
      <c r="Q910" s="1">
        <f>Table1[[#This Row],[High Tol]]-Table1[[#This Row],[Low Tol]]</f>
        <v>0</v>
      </c>
      <c r="R910" s="1">
        <f>2*Table1[[#This Row],[Std Error]]</f>
        <v>0</v>
      </c>
      <c r="S910" s="1" t="str">
        <f>IF(Table1[[#This Row],[High Tol]]="","N/A",IFERROR(ABS(Table1[[#This Row],[Tol Span]]/Table1[[#This Row],[Error Span]]),"N/A"))</f>
        <v>N/A</v>
      </c>
      <c r="T910" s="1" t="str">
        <f>IF(OR(Table1[[#This Row],[Low Tol]]="",Table1[[#This Row],[High Tol]]=""),"Needs Analysis",IF(Table1[[#This Row],[Ratio]]&gt;=4,"Not Significant",IF(Table1[[#This Row],[Ratio]]&gt;=2,"Semi-Significant","Significant")))</f>
        <v>Needs Analysis</v>
      </c>
      <c r="W910" s="1">
        <f>IF(Table1[[#This Row],[Cal Type]]&lt;&gt;"ACCREDITED 17025 WITH UNCERTAINTIES",0,"")</f>
        <v>0</v>
      </c>
      <c r="X910" s="1" t="str">
        <f>IF(Table1[[#This Row],[DUT Read]]="","N/A",Table1[[#This Row],[Std Error]]+Table1[[#This Row],[DUT Read]]+Table1[[#This Row],[DUT Ucty]])</f>
        <v>N/A</v>
      </c>
      <c r="Y910" s="1" t="str">
        <f>IF(Table1[[#This Row],[Std Read]]="","N/A",Table1[[#This Row],[Std Read]]+Table1[[#This Row],[Std Ucty]])</f>
        <v>N/A</v>
      </c>
      <c r="Z9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0" s="1" t="str">
        <f>IF(Table1[[#This Row],[Spec Type]]="","N/A",Table1[[#This Row],[Spec Type]])</f>
        <v>±</v>
      </c>
      <c r="AC910" s="1" t="str">
        <f>IF(Table1[[#This Row],[Spec Type2]]="N/A","N/A",IF(AND(Table1[[#This Row],[DUT Adj Read]]&gt;=Table1[[#This Row],[Low Tol]],Table1[[#This Row],[DUT Adj Read]]&lt;=Table1[[#This Row],[High Tol]]),"Pass","Fail"))</f>
        <v>Fail</v>
      </c>
      <c r="AD910" s="1" t="str">
        <f>IF(AND(Table1[[#This Row],[Spec Type2]]="N/A",Table1[[#This Row],[DUT Adj Read]]="N/A",Table1[[#This Row],[Std Adj Read]]="N/A"),"N/A",IF(Table1[[#This Row],[DUT Adj Read]]="N/A",IF(Table1[[#This Row],[Std Adj Read]]&gt;Table1[[#This Row],[Low Tol]],"Pass","Fail"),IF(Table1[[#This Row],[DUT Adj Read]]&gt;Table1[[#This Row],[Low Tol]],"Pass","Fail")))</f>
        <v>Pass</v>
      </c>
      <c r="AE910" s="1" t="str">
        <f>IF(AND(Table1[[#This Row],[Spec Type2]]="N/A",Table1[[#This Row],[DUT Adj Read]]="N/A",Table1[[#This Row],[Std Adj Read]]="N/A"),"N/A",IF(Table1[[#This Row],[DUT Adj Read]]="N/A",IF(Table1[[#This Row],[Std Adj Read]]&lt;Table1[[#This Row],[High Tol]],"Pass","Fail"),IF(Table1[[#This Row],[DUT Adj Read]]&lt;Table1[[#This Row],[High Tol]],"Pass","Fail")))</f>
        <v>Fail</v>
      </c>
      <c r="AF910" s="1" t="str">
        <f>IF(AND(Table1[[#This Row],[Spec Type2]]="N/A",Table1[[#This Row],[DUT Adj Read]]="N/A",Table1[[#This Row],[Std Adj Read]]="N/A"),"N/A",IF(Table1[[#This Row],[DUT Adj Read]]="N/A",IF(Table1[[#This Row],[Std Adj Read]]&gt;=Table1[[#This Row],[Low Tol]],"Pass","Fail"),IF(Table1[[#This Row],[DUT Adj Read]]&gt;=Table1[[#This Row],[Low Tol]],"Pass","Fail")))</f>
        <v>Pass</v>
      </c>
      <c r="AG910" s="1" t="str">
        <f>IF(AND(Table1[[#This Row],[Spec Type2]]="N/A",Table1[[#This Row],[DUT Adj Read]]="N/A",Table1[[#This Row],[Std Adj Read]]="N/A"),"N/A",IF(Table1[[#This Row],[DUT Adj Read]]="N/A",IF(Table1[[#This Row],[Std Adj Read]]&lt;=Table1[[#This Row],[High Tol]],"Pass","Fail"),IF(Table1[[#This Row],[DUT Adj Read]]&lt;=Table1[[#This Row],[High Tol]],"Pass","Fail")))</f>
        <v>Fail</v>
      </c>
      <c r="AH9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0" s="1" t="b">
        <v>0</v>
      </c>
      <c r="AN910" s="1" t="b">
        <v>0</v>
      </c>
      <c r="AO910" s="1" t="b">
        <v>0</v>
      </c>
    </row>
    <row r="911" spans="1:41" x14ac:dyDescent="0.25">
      <c r="A911" s="10"/>
      <c r="B911" s="10"/>
      <c r="C911" s="10"/>
      <c r="D911" s="10"/>
      <c r="E911" s="10"/>
      <c r="F911" s="10"/>
      <c r="G911" s="10"/>
      <c r="H911" s="10"/>
      <c r="I911" s="1" t="str">
        <f t="shared" si="42"/>
        <v/>
      </c>
      <c r="J911" s="1" t="s">
        <v>35</v>
      </c>
      <c r="K911" s="1" t="str">
        <f t="shared" si="43"/>
        <v/>
      </c>
      <c r="L911" s="1" t="str">
        <f t="shared" si="44"/>
        <v/>
      </c>
      <c r="M911" s="1">
        <f>IF(OR(Table1[[#This Row],[Std Nom]]="",Table1[[#This Row],[Std Read]]=""),0,Table1[[#This Row],[Std Nom]]-Table1[[#This Row],[Std Read]])</f>
        <v>0</v>
      </c>
      <c r="N911" s="1">
        <f>IF(Calculations!$F$5="ACCREDITED 17025 WITH UNCERTAINTIES",$N$10,0)</f>
        <v>0</v>
      </c>
      <c r="Q911" s="1">
        <f>Table1[[#This Row],[High Tol]]-Table1[[#This Row],[Low Tol]]</f>
        <v>0</v>
      </c>
      <c r="R911" s="1">
        <f>2*Table1[[#This Row],[Std Error]]</f>
        <v>0</v>
      </c>
      <c r="S911" s="1" t="str">
        <f>IF(Table1[[#This Row],[High Tol]]="","N/A",IFERROR(ABS(Table1[[#This Row],[Tol Span]]/Table1[[#This Row],[Error Span]]),"N/A"))</f>
        <v>N/A</v>
      </c>
      <c r="T911" s="1" t="str">
        <f>IF(OR(Table1[[#This Row],[Low Tol]]="",Table1[[#This Row],[High Tol]]=""),"Needs Analysis",IF(Table1[[#This Row],[Ratio]]&gt;=4,"Not Significant",IF(Table1[[#This Row],[Ratio]]&gt;=2,"Semi-Significant","Significant")))</f>
        <v>Needs Analysis</v>
      </c>
      <c r="W911" s="1">
        <f>IF(Table1[[#This Row],[Cal Type]]&lt;&gt;"ACCREDITED 17025 WITH UNCERTAINTIES",0,"")</f>
        <v>0</v>
      </c>
      <c r="X911" s="1" t="str">
        <f>IF(Table1[[#This Row],[DUT Read]]="","N/A",Table1[[#This Row],[Std Error]]+Table1[[#This Row],[DUT Read]]+Table1[[#This Row],[DUT Ucty]])</f>
        <v>N/A</v>
      </c>
      <c r="Y911" s="1" t="str">
        <f>IF(Table1[[#This Row],[Std Read]]="","N/A",Table1[[#This Row],[Std Read]]+Table1[[#This Row],[Std Ucty]])</f>
        <v>N/A</v>
      </c>
      <c r="Z9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1" s="1" t="str">
        <f>IF(Table1[[#This Row],[Spec Type]]="","N/A",Table1[[#This Row],[Spec Type]])</f>
        <v>±</v>
      </c>
      <c r="AC911" s="1" t="str">
        <f>IF(Table1[[#This Row],[Spec Type2]]="N/A","N/A",IF(AND(Table1[[#This Row],[DUT Adj Read]]&gt;=Table1[[#This Row],[Low Tol]],Table1[[#This Row],[DUT Adj Read]]&lt;=Table1[[#This Row],[High Tol]]),"Pass","Fail"))</f>
        <v>Fail</v>
      </c>
      <c r="AD911" s="1" t="str">
        <f>IF(AND(Table1[[#This Row],[Spec Type2]]="N/A",Table1[[#This Row],[DUT Adj Read]]="N/A",Table1[[#This Row],[Std Adj Read]]="N/A"),"N/A",IF(Table1[[#This Row],[DUT Adj Read]]="N/A",IF(Table1[[#This Row],[Std Adj Read]]&gt;Table1[[#This Row],[Low Tol]],"Pass","Fail"),IF(Table1[[#This Row],[DUT Adj Read]]&gt;Table1[[#This Row],[Low Tol]],"Pass","Fail")))</f>
        <v>Pass</v>
      </c>
      <c r="AE911" s="1" t="str">
        <f>IF(AND(Table1[[#This Row],[Spec Type2]]="N/A",Table1[[#This Row],[DUT Adj Read]]="N/A",Table1[[#This Row],[Std Adj Read]]="N/A"),"N/A",IF(Table1[[#This Row],[DUT Adj Read]]="N/A",IF(Table1[[#This Row],[Std Adj Read]]&lt;Table1[[#This Row],[High Tol]],"Pass","Fail"),IF(Table1[[#This Row],[DUT Adj Read]]&lt;Table1[[#This Row],[High Tol]],"Pass","Fail")))</f>
        <v>Fail</v>
      </c>
      <c r="AF911" s="1" t="str">
        <f>IF(AND(Table1[[#This Row],[Spec Type2]]="N/A",Table1[[#This Row],[DUT Adj Read]]="N/A",Table1[[#This Row],[Std Adj Read]]="N/A"),"N/A",IF(Table1[[#This Row],[DUT Adj Read]]="N/A",IF(Table1[[#This Row],[Std Adj Read]]&gt;=Table1[[#This Row],[Low Tol]],"Pass","Fail"),IF(Table1[[#This Row],[DUT Adj Read]]&gt;=Table1[[#This Row],[Low Tol]],"Pass","Fail")))</f>
        <v>Pass</v>
      </c>
      <c r="AG911" s="1" t="str">
        <f>IF(AND(Table1[[#This Row],[Spec Type2]]="N/A",Table1[[#This Row],[DUT Adj Read]]="N/A",Table1[[#This Row],[Std Adj Read]]="N/A"),"N/A",IF(Table1[[#This Row],[DUT Adj Read]]="N/A",IF(Table1[[#This Row],[Std Adj Read]]&lt;=Table1[[#This Row],[High Tol]],"Pass","Fail"),IF(Table1[[#This Row],[DUT Adj Read]]&lt;=Table1[[#This Row],[High Tol]],"Pass","Fail")))</f>
        <v>Fail</v>
      </c>
      <c r="AH9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1" s="1" t="b">
        <v>0</v>
      </c>
      <c r="AN911" s="1" t="b">
        <v>0</v>
      </c>
      <c r="AO911" s="1" t="b">
        <v>0</v>
      </c>
    </row>
    <row r="912" spans="1:41" x14ac:dyDescent="0.25">
      <c r="A912" s="10"/>
      <c r="B912" s="10"/>
      <c r="C912" s="10"/>
      <c r="D912" s="10"/>
      <c r="E912" s="10"/>
      <c r="F912" s="10"/>
      <c r="G912" s="10"/>
      <c r="H912" s="10"/>
      <c r="I912" s="1" t="str">
        <f t="shared" si="42"/>
        <v/>
      </c>
      <c r="J912" s="1" t="s">
        <v>35</v>
      </c>
      <c r="K912" s="1" t="str">
        <f t="shared" si="43"/>
        <v/>
      </c>
      <c r="L912" s="1" t="str">
        <f t="shared" si="44"/>
        <v/>
      </c>
      <c r="M912" s="1">
        <f>IF(OR(Table1[[#This Row],[Std Nom]]="",Table1[[#This Row],[Std Read]]=""),0,Table1[[#This Row],[Std Nom]]-Table1[[#This Row],[Std Read]])</f>
        <v>0</v>
      </c>
      <c r="N912" s="1">
        <f>IF(Calculations!$F$5="ACCREDITED 17025 WITH UNCERTAINTIES",$N$10,0)</f>
        <v>0</v>
      </c>
      <c r="Q912" s="1">
        <f>Table1[[#This Row],[High Tol]]-Table1[[#This Row],[Low Tol]]</f>
        <v>0</v>
      </c>
      <c r="R912" s="1">
        <f>2*Table1[[#This Row],[Std Error]]</f>
        <v>0</v>
      </c>
      <c r="S912" s="1" t="str">
        <f>IF(Table1[[#This Row],[High Tol]]="","N/A",IFERROR(ABS(Table1[[#This Row],[Tol Span]]/Table1[[#This Row],[Error Span]]),"N/A"))</f>
        <v>N/A</v>
      </c>
      <c r="T912" s="1" t="str">
        <f>IF(OR(Table1[[#This Row],[Low Tol]]="",Table1[[#This Row],[High Tol]]=""),"Needs Analysis",IF(Table1[[#This Row],[Ratio]]&gt;=4,"Not Significant",IF(Table1[[#This Row],[Ratio]]&gt;=2,"Semi-Significant","Significant")))</f>
        <v>Needs Analysis</v>
      </c>
      <c r="W912" s="1">
        <f>IF(Table1[[#This Row],[Cal Type]]&lt;&gt;"ACCREDITED 17025 WITH UNCERTAINTIES",0,"")</f>
        <v>0</v>
      </c>
      <c r="X912" s="1" t="str">
        <f>IF(Table1[[#This Row],[DUT Read]]="","N/A",Table1[[#This Row],[Std Error]]+Table1[[#This Row],[DUT Read]]+Table1[[#This Row],[DUT Ucty]])</f>
        <v>N/A</v>
      </c>
      <c r="Y912" s="1" t="str">
        <f>IF(Table1[[#This Row],[Std Read]]="","N/A",Table1[[#This Row],[Std Read]]+Table1[[#This Row],[Std Ucty]])</f>
        <v>N/A</v>
      </c>
      <c r="Z9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2" s="1" t="str">
        <f>IF(Table1[[#This Row],[Spec Type]]="","N/A",Table1[[#This Row],[Spec Type]])</f>
        <v>±</v>
      </c>
      <c r="AC912" s="1" t="str">
        <f>IF(Table1[[#This Row],[Spec Type2]]="N/A","N/A",IF(AND(Table1[[#This Row],[DUT Adj Read]]&gt;=Table1[[#This Row],[Low Tol]],Table1[[#This Row],[DUT Adj Read]]&lt;=Table1[[#This Row],[High Tol]]),"Pass","Fail"))</f>
        <v>Fail</v>
      </c>
      <c r="AD912" s="1" t="str">
        <f>IF(AND(Table1[[#This Row],[Spec Type2]]="N/A",Table1[[#This Row],[DUT Adj Read]]="N/A",Table1[[#This Row],[Std Adj Read]]="N/A"),"N/A",IF(Table1[[#This Row],[DUT Adj Read]]="N/A",IF(Table1[[#This Row],[Std Adj Read]]&gt;Table1[[#This Row],[Low Tol]],"Pass","Fail"),IF(Table1[[#This Row],[DUT Adj Read]]&gt;Table1[[#This Row],[Low Tol]],"Pass","Fail")))</f>
        <v>Pass</v>
      </c>
      <c r="AE912" s="1" t="str">
        <f>IF(AND(Table1[[#This Row],[Spec Type2]]="N/A",Table1[[#This Row],[DUT Adj Read]]="N/A",Table1[[#This Row],[Std Adj Read]]="N/A"),"N/A",IF(Table1[[#This Row],[DUT Adj Read]]="N/A",IF(Table1[[#This Row],[Std Adj Read]]&lt;Table1[[#This Row],[High Tol]],"Pass","Fail"),IF(Table1[[#This Row],[DUT Adj Read]]&lt;Table1[[#This Row],[High Tol]],"Pass","Fail")))</f>
        <v>Fail</v>
      </c>
      <c r="AF912" s="1" t="str">
        <f>IF(AND(Table1[[#This Row],[Spec Type2]]="N/A",Table1[[#This Row],[DUT Adj Read]]="N/A",Table1[[#This Row],[Std Adj Read]]="N/A"),"N/A",IF(Table1[[#This Row],[DUT Adj Read]]="N/A",IF(Table1[[#This Row],[Std Adj Read]]&gt;=Table1[[#This Row],[Low Tol]],"Pass","Fail"),IF(Table1[[#This Row],[DUT Adj Read]]&gt;=Table1[[#This Row],[Low Tol]],"Pass","Fail")))</f>
        <v>Pass</v>
      </c>
      <c r="AG912" s="1" t="str">
        <f>IF(AND(Table1[[#This Row],[Spec Type2]]="N/A",Table1[[#This Row],[DUT Adj Read]]="N/A",Table1[[#This Row],[Std Adj Read]]="N/A"),"N/A",IF(Table1[[#This Row],[DUT Adj Read]]="N/A",IF(Table1[[#This Row],[Std Adj Read]]&lt;=Table1[[#This Row],[High Tol]],"Pass","Fail"),IF(Table1[[#This Row],[DUT Adj Read]]&lt;=Table1[[#This Row],[High Tol]],"Pass","Fail")))</f>
        <v>Fail</v>
      </c>
      <c r="AH9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2" s="1" t="b">
        <v>0</v>
      </c>
      <c r="AN912" s="1" t="b">
        <v>0</v>
      </c>
      <c r="AO912" s="1" t="b">
        <v>0</v>
      </c>
    </row>
    <row r="913" spans="1:41" x14ac:dyDescent="0.25">
      <c r="A913" s="10"/>
      <c r="B913" s="10"/>
      <c r="C913" s="10"/>
      <c r="D913" s="10"/>
      <c r="E913" s="10"/>
      <c r="F913" s="10"/>
      <c r="G913" s="10"/>
      <c r="H913" s="10"/>
      <c r="I913" s="1" t="str">
        <f t="shared" si="42"/>
        <v/>
      </c>
      <c r="J913" s="1" t="s">
        <v>35</v>
      </c>
      <c r="K913" s="1" t="str">
        <f t="shared" si="43"/>
        <v/>
      </c>
      <c r="L913" s="1" t="str">
        <f t="shared" si="44"/>
        <v/>
      </c>
      <c r="M913" s="1">
        <f>IF(OR(Table1[[#This Row],[Std Nom]]="",Table1[[#This Row],[Std Read]]=""),0,Table1[[#This Row],[Std Nom]]-Table1[[#This Row],[Std Read]])</f>
        <v>0</v>
      </c>
      <c r="N913" s="1">
        <f>IF(Calculations!$F$5="ACCREDITED 17025 WITH UNCERTAINTIES",$N$10,0)</f>
        <v>0</v>
      </c>
      <c r="Q913" s="1">
        <f>Table1[[#This Row],[High Tol]]-Table1[[#This Row],[Low Tol]]</f>
        <v>0</v>
      </c>
      <c r="R913" s="1">
        <f>2*Table1[[#This Row],[Std Error]]</f>
        <v>0</v>
      </c>
      <c r="S913" s="1" t="str">
        <f>IF(Table1[[#This Row],[High Tol]]="","N/A",IFERROR(ABS(Table1[[#This Row],[Tol Span]]/Table1[[#This Row],[Error Span]]),"N/A"))</f>
        <v>N/A</v>
      </c>
      <c r="T913" s="1" t="str">
        <f>IF(OR(Table1[[#This Row],[Low Tol]]="",Table1[[#This Row],[High Tol]]=""),"Needs Analysis",IF(Table1[[#This Row],[Ratio]]&gt;=4,"Not Significant",IF(Table1[[#This Row],[Ratio]]&gt;=2,"Semi-Significant","Significant")))</f>
        <v>Needs Analysis</v>
      </c>
      <c r="W913" s="1">
        <f>IF(Table1[[#This Row],[Cal Type]]&lt;&gt;"ACCREDITED 17025 WITH UNCERTAINTIES",0,"")</f>
        <v>0</v>
      </c>
      <c r="X913" s="1" t="str">
        <f>IF(Table1[[#This Row],[DUT Read]]="","N/A",Table1[[#This Row],[Std Error]]+Table1[[#This Row],[DUT Read]]+Table1[[#This Row],[DUT Ucty]])</f>
        <v>N/A</v>
      </c>
      <c r="Y913" s="1" t="str">
        <f>IF(Table1[[#This Row],[Std Read]]="","N/A",Table1[[#This Row],[Std Read]]+Table1[[#This Row],[Std Ucty]])</f>
        <v>N/A</v>
      </c>
      <c r="Z9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3" s="1" t="str">
        <f>IF(Table1[[#This Row],[Spec Type]]="","N/A",Table1[[#This Row],[Spec Type]])</f>
        <v>±</v>
      </c>
      <c r="AC913" s="1" t="str">
        <f>IF(Table1[[#This Row],[Spec Type2]]="N/A","N/A",IF(AND(Table1[[#This Row],[DUT Adj Read]]&gt;=Table1[[#This Row],[Low Tol]],Table1[[#This Row],[DUT Adj Read]]&lt;=Table1[[#This Row],[High Tol]]),"Pass","Fail"))</f>
        <v>Fail</v>
      </c>
      <c r="AD913" s="1" t="str">
        <f>IF(AND(Table1[[#This Row],[Spec Type2]]="N/A",Table1[[#This Row],[DUT Adj Read]]="N/A",Table1[[#This Row],[Std Adj Read]]="N/A"),"N/A",IF(Table1[[#This Row],[DUT Adj Read]]="N/A",IF(Table1[[#This Row],[Std Adj Read]]&gt;Table1[[#This Row],[Low Tol]],"Pass","Fail"),IF(Table1[[#This Row],[DUT Adj Read]]&gt;Table1[[#This Row],[Low Tol]],"Pass","Fail")))</f>
        <v>Pass</v>
      </c>
      <c r="AE913" s="1" t="str">
        <f>IF(AND(Table1[[#This Row],[Spec Type2]]="N/A",Table1[[#This Row],[DUT Adj Read]]="N/A",Table1[[#This Row],[Std Adj Read]]="N/A"),"N/A",IF(Table1[[#This Row],[DUT Adj Read]]="N/A",IF(Table1[[#This Row],[Std Adj Read]]&lt;Table1[[#This Row],[High Tol]],"Pass","Fail"),IF(Table1[[#This Row],[DUT Adj Read]]&lt;Table1[[#This Row],[High Tol]],"Pass","Fail")))</f>
        <v>Fail</v>
      </c>
      <c r="AF913" s="1" t="str">
        <f>IF(AND(Table1[[#This Row],[Spec Type2]]="N/A",Table1[[#This Row],[DUT Adj Read]]="N/A",Table1[[#This Row],[Std Adj Read]]="N/A"),"N/A",IF(Table1[[#This Row],[DUT Adj Read]]="N/A",IF(Table1[[#This Row],[Std Adj Read]]&gt;=Table1[[#This Row],[Low Tol]],"Pass","Fail"),IF(Table1[[#This Row],[DUT Adj Read]]&gt;=Table1[[#This Row],[Low Tol]],"Pass","Fail")))</f>
        <v>Pass</v>
      </c>
      <c r="AG913" s="1" t="str">
        <f>IF(AND(Table1[[#This Row],[Spec Type2]]="N/A",Table1[[#This Row],[DUT Adj Read]]="N/A",Table1[[#This Row],[Std Adj Read]]="N/A"),"N/A",IF(Table1[[#This Row],[DUT Adj Read]]="N/A",IF(Table1[[#This Row],[Std Adj Read]]&lt;=Table1[[#This Row],[High Tol]],"Pass","Fail"),IF(Table1[[#This Row],[DUT Adj Read]]&lt;=Table1[[#This Row],[High Tol]],"Pass","Fail")))</f>
        <v>Fail</v>
      </c>
      <c r="AH9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3" s="1" t="b">
        <v>0</v>
      </c>
      <c r="AN913" s="1" t="b">
        <v>0</v>
      </c>
      <c r="AO913" s="1" t="b">
        <v>0</v>
      </c>
    </row>
    <row r="914" spans="1:41" x14ac:dyDescent="0.25">
      <c r="A914" s="10"/>
      <c r="B914" s="10"/>
      <c r="C914" s="10"/>
      <c r="D914" s="10"/>
      <c r="E914" s="10"/>
      <c r="F914" s="10"/>
      <c r="G914" s="10"/>
      <c r="H914" s="10"/>
      <c r="I914" s="1" t="str">
        <f t="shared" si="42"/>
        <v/>
      </c>
      <c r="J914" s="1" t="s">
        <v>35</v>
      </c>
      <c r="K914" s="1" t="str">
        <f t="shared" si="43"/>
        <v/>
      </c>
      <c r="L914" s="1" t="str">
        <f t="shared" si="44"/>
        <v/>
      </c>
      <c r="M914" s="1">
        <f>IF(OR(Table1[[#This Row],[Std Nom]]="",Table1[[#This Row],[Std Read]]=""),0,Table1[[#This Row],[Std Nom]]-Table1[[#This Row],[Std Read]])</f>
        <v>0</v>
      </c>
      <c r="N914" s="1">
        <f>IF(Calculations!$F$5="ACCREDITED 17025 WITH UNCERTAINTIES",$N$10,0)</f>
        <v>0</v>
      </c>
      <c r="Q914" s="1">
        <f>Table1[[#This Row],[High Tol]]-Table1[[#This Row],[Low Tol]]</f>
        <v>0</v>
      </c>
      <c r="R914" s="1">
        <f>2*Table1[[#This Row],[Std Error]]</f>
        <v>0</v>
      </c>
      <c r="S914" s="1" t="str">
        <f>IF(Table1[[#This Row],[High Tol]]="","N/A",IFERROR(ABS(Table1[[#This Row],[Tol Span]]/Table1[[#This Row],[Error Span]]),"N/A"))</f>
        <v>N/A</v>
      </c>
      <c r="T914" s="1" t="str">
        <f>IF(OR(Table1[[#This Row],[Low Tol]]="",Table1[[#This Row],[High Tol]]=""),"Needs Analysis",IF(Table1[[#This Row],[Ratio]]&gt;=4,"Not Significant",IF(Table1[[#This Row],[Ratio]]&gt;=2,"Semi-Significant","Significant")))</f>
        <v>Needs Analysis</v>
      </c>
      <c r="W914" s="1">
        <f>IF(Table1[[#This Row],[Cal Type]]&lt;&gt;"ACCREDITED 17025 WITH UNCERTAINTIES",0,"")</f>
        <v>0</v>
      </c>
      <c r="X914" s="1" t="str">
        <f>IF(Table1[[#This Row],[DUT Read]]="","N/A",Table1[[#This Row],[Std Error]]+Table1[[#This Row],[DUT Read]]+Table1[[#This Row],[DUT Ucty]])</f>
        <v>N/A</v>
      </c>
      <c r="Y914" s="1" t="str">
        <f>IF(Table1[[#This Row],[Std Read]]="","N/A",Table1[[#This Row],[Std Read]]+Table1[[#This Row],[Std Ucty]])</f>
        <v>N/A</v>
      </c>
      <c r="Z9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4" s="1" t="str">
        <f>IF(Table1[[#This Row],[Spec Type]]="","N/A",Table1[[#This Row],[Spec Type]])</f>
        <v>±</v>
      </c>
      <c r="AC914" s="1" t="str">
        <f>IF(Table1[[#This Row],[Spec Type2]]="N/A","N/A",IF(AND(Table1[[#This Row],[DUT Adj Read]]&gt;=Table1[[#This Row],[Low Tol]],Table1[[#This Row],[DUT Adj Read]]&lt;=Table1[[#This Row],[High Tol]]),"Pass","Fail"))</f>
        <v>Fail</v>
      </c>
      <c r="AD914" s="1" t="str">
        <f>IF(AND(Table1[[#This Row],[Spec Type2]]="N/A",Table1[[#This Row],[DUT Adj Read]]="N/A",Table1[[#This Row],[Std Adj Read]]="N/A"),"N/A",IF(Table1[[#This Row],[DUT Adj Read]]="N/A",IF(Table1[[#This Row],[Std Adj Read]]&gt;Table1[[#This Row],[Low Tol]],"Pass","Fail"),IF(Table1[[#This Row],[DUT Adj Read]]&gt;Table1[[#This Row],[Low Tol]],"Pass","Fail")))</f>
        <v>Pass</v>
      </c>
      <c r="AE914" s="1" t="str">
        <f>IF(AND(Table1[[#This Row],[Spec Type2]]="N/A",Table1[[#This Row],[DUT Adj Read]]="N/A",Table1[[#This Row],[Std Adj Read]]="N/A"),"N/A",IF(Table1[[#This Row],[DUT Adj Read]]="N/A",IF(Table1[[#This Row],[Std Adj Read]]&lt;Table1[[#This Row],[High Tol]],"Pass","Fail"),IF(Table1[[#This Row],[DUT Adj Read]]&lt;Table1[[#This Row],[High Tol]],"Pass","Fail")))</f>
        <v>Fail</v>
      </c>
      <c r="AF914" s="1" t="str">
        <f>IF(AND(Table1[[#This Row],[Spec Type2]]="N/A",Table1[[#This Row],[DUT Adj Read]]="N/A",Table1[[#This Row],[Std Adj Read]]="N/A"),"N/A",IF(Table1[[#This Row],[DUT Adj Read]]="N/A",IF(Table1[[#This Row],[Std Adj Read]]&gt;=Table1[[#This Row],[Low Tol]],"Pass","Fail"),IF(Table1[[#This Row],[DUT Adj Read]]&gt;=Table1[[#This Row],[Low Tol]],"Pass","Fail")))</f>
        <v>Pass</v>
      </c>
      <c r="AG914" s="1" t="str">
        <f>IF(AND(Table1[[#This Row],[Spec Type2]]="N/A",Table1[[#This Row],[DUT Adj Read]]="N/A",Table1[[#This Row],[Std Adj Read]]="N/A"),"N/A",IF(Table1[[#This Row],[DUT Adj Read]]="N/A",IF(Table1[[#This Row],[Std Adj Read]]&lt;=Table1[[#This Row],[High Tol]],"Pass","Fail"),IF(Table1[[#This Row],[DUT Adj Read]]&lt;=Table1[[#This Row],[High Tol]],"Pass","Fail")))</f>
        <v>Fail</v>
      </c>
      <c r="AH9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4" s="1" t="b">
        <v>0</v>
      </c>
      <c r="AN914" s="1" t="b">
        <v>0</v>
      </c>
      <c r="AO914" s="1" t="b">
        <v>0</v>
      </c>
    </row>
    <row r="915" spans="1:41" x14ac:dyDescent="0.25">
      <c r="A915" s="10"/>
      <c r="B915" s="10"/>
      <c r="C915" s="10"/>
      <c r="D915" s="10"/>
      <c r="E915" s="10"/>
      <c r="F915" s="10"/>
      <c r="G915" s="10"/>
      <c r="H915" s="10"/>
      <c r="I915" s="1" t="str">
        <f t="shared" si="42"/>
        <v/>
      </c>
      <c r="J915" s="1" t="s">
        <v>35</v>
      </c>
      <c r="K915" s="1" t="str">
        <f t="shared" si="43"/>
        <v/>
      </c>
      <c r="L915" s="1" t="str">
        <f t="shared" si="44"/>
        <v/>
      </c>
      <c r="M915" s="1">
        <f>IF(OR(Table1[[#This Row],[Std Nom]]="",Table1[[#This Row],[Std Read]]=""),0,Table1[[#This Row],[Std Nom]]-Table1[[#This Row],[Std Read]])</f>
        <v>0</v>
      </c>
      <c r="N915" s="1">
        <f>IF(Calculations!$F$5="ACCREDITED 17025 WITH UNCERTAINTIES",$N$10,0)</f>
        <v>0</v>
      </c>
      <c r="Q915" s="1">
        <f>Table1[[#This Row],[High Tol]]-Table1[[#This Row],[Low Tol]]</f>
        <v>0</v>
      </c>
      <c r="R915" s="1">
        <f>2*Table1[[#This Row],[Std Error]]</f>
        <v>0</v>
      </c>
      <c r="S915" s="1" t="str">
        <f>IF(Table1[[#This Row],[High Tol]]="","N/A",IFERROR(ABS(Table1[[#This Row],[Tol Span]]/Table1[[#This Row],[Error Span]]),"N/A"))</f>
        <v>N/A</v>
      </c>
      <c r="T915" s="1" t="str">
        <f>IF(OR(Table1[[#This Row],[Low Tol]]="",Table1[[#This Row],[High Tol]]=""),"Needs Analysis",IF(Table1[[#This Row],[Ratio]]&gt;=4,"Not Significant",IF(Table1[[#This Row],[Ratio]]&gt;=2,"Semi-Significant","Significant")))</f>
        <v>Needs Analysis</v>
      </c>
      <c r="W915" s="1">
        <f>IF(Table1[[#This Row],[Cal Type]]&lt;&gt;"ACCREDITED 17025 WITH UNCERTAINTIES",0,"")</f>
        <v>0</v>
      </c>
      <c r="X915" s="1" t="str">
        <f>IF(Table1[[#This Row],[DUT Read]]="","N/A",Table1[[#This Row],[Std Error]]+Table1[[#This Row],[DUT Read]]+Table1[[#This Row],[DUT Ucty]])</f>
        <v>N/A</v>
      </c>
      <c r="Y915" s="1" t="str">
        <f>IF(Table1[[#This Row],[Std Read]]="","N/A",Table1[[#This Row],[Std Read]]+Table1[[#This Row],[Std Ucty]])</f>
        <v>N/A</v>
      </c>
      <c r="Z9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5" s="1" t="str">
        <f>IF(Table1[[#This Row],[Spec Type]]="","N/A",Table1[[#This Row],[Spec Type]])</f>
        <v>±</v>
      </c>
      <c r="AC915" s="1" t="str">
        <f>IF(Table1[[#This Row],[Spec Type2]]="N/A","N/A",IF(AND(Table1[[#This Row],[DUT Adj Read]]&gt;=Table1[[#This Row],[Low Tol]],Table1[[#This Row],[DUT Adj Read]]&lt;=Table1[[#This Row],[High Tol]]),"Pass","Fail"))</f>
        <v>Fail</v>
      </c>
      <c r="AD915" s="1" t="str">
        <f>IF(AND(Table1[[#This Row],[Spec Type2]]="N/A",Table1[[#This Row],[DUT Adj Read]]="N/A",Table1[[#This Row],[Std Adj Read]]="N/A"),"N/A",IF(Table1[[#This Row],[DUT Adj Read]]="N/A",IF(Table1[[#This Row],[Std Adj Read]]&gt;Table1[[#This Row],[Low Tol]],"Pass","Fail"),IF(Table1[[#This Row],[DUT Adj Read]]&gt;Table1[[#This Row],[Low Tol]],"Pass","Fail")))</f>
        <v>Pass</v>
      </c>
      <c r="AE915" s="1" t="str">
        <f>IF(AND(Table1[[#This Row],[Spec Type2]]="N/A",Table1[[#This Row],[DUT Adj Read]]="N/A",Table1[[#This Row],[Std Adj Read]]="N/A"),"N/A",IF(Table1[[#This Row],[DUT Adj Read]]="N/A",IF(Table1[[#This Row],[Std Adj Read]]&lt;Table1[[#This Row],[High Tol]],"Pass","Fail"),IF(Table1[[#This Row],[DUT Adj Read]]&lt;Table1[[#This Row],[High Tol]],"Pass","Fail")))</f>
        <v>Fail</v>
      </c>
      <c r="AF915" s="1" t="str">
        <f>IF(AND(Table1[[#This Row],[Spec Type2]]="N/A",Table1[[#This Row],[DUT Adj Read]]="N/A",Table1[[#This Row],[Std Adj Read]]="N/A"),"N/A",IF(Table1[[#This Row],[DUT Adj Read]]="N/A",IF(Table1[[#This Row],[Std Adj Read]]&gt;=Table1[[#This Row],[Low Tol]],"Pass","Fail"),IF(Table1[[#This Row],[DUT Adj Read]]&gt;=Table1[[#This Row],[Low Tol]],"Pass","Fail")))</f>
        <v>Pass</v>
      </c>
      <c r="AG915" s="1" t="str">
        <f>IF(AND(Table1[[#This Row],[Spec Type2]]="N/A",Table1[[#This Row],[DUT Adj Read]]="N/A",Table1[[#This Row],[Std Adj Read]]="N/A"),"N/A",IF(Table1[[#This Row],[DUT Adj Read]]="N/A",IF(Table1[[#This Row],[Std Adj Read]]&lt;=Table1[[#This Row],[High Tol]],"Pass","Fail"),IF(Table1[[#This Row],[DUT Adj Read]]&lt;=Table1[[#This Row],[High Tol]],"Pass","Fail")))</f>
        <v>Fail</v>
      </c>
      <c r="AH9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5" s="1" t="b">
        <v>0</v>
      </c>
      <c r="AN915" s="1" t="b">
        <v>0</v>
      </c>
      <c r="AO915" s="1" t="b">
        <v>0</v>
      </c>
    </row>
    <row r="916" spans="1:41" x14ac:dyDescent="0.25">
      <c r="A916" s="10"/>
      <c r="B916" s="10"/>
      <c r="C916" s="10"/>
      <c r="D916" s="10"/>
      <c r="E916" s="10"/>
      <c r="F916" s="10"/>
      <c r="G916" s="10"/>
      <c r="H916" s="10"/>
      <c r="I916" s="1" t="str">
        <f t="shared" si="42"/>
        <v/>
      </c>
      <c r="J916" s="1" t="s">
        <v>35</v>
      </c>
      <c r="K916" s="1" t="str">
        <f t="shared" si="43"/>
        <v/>
      </c>
      <c r="L916" s="1" t="str">
        <f t="shared" si="44"/>
        <v/>
      </c>
      <c r="M916" s="1">
        <f>IF(OR(Table1[[#This Row],[Std Nom]]="",Table1[[#This Row],[Std Read]]=""),0,Table1[[#This Row],[Std Nom]]-Table1[[#This Row],[Std Read]])</f>
        <v>0</v>
      </c>
      <c r="N916" s="1">
        <f>IF(Calculations!$F$5="ACCREDITED 17025 WITH UNCERTAINTIES",$N$10,0)</f>
        <v>0</v>
      </c>
      <c r="Q916" s="1">
        <f>Table1[[#This Row],[High Tol]]-Table1[[#This Row],[Low Tol]]</f>
        <v>0</v>
      </c>
      <c r="R916" s="1">
        <f>2*Table1[[#This Row],[Std Error]]</f>
        <v>0</v>
      </c>
      <c r="S916" s="1" t="str">
        <f>IF(Table1[[#This Row],[High Tol]]="","N/A",IFERROR(ABS(Table1[[#This Row],[Tol Span]]/Table1[[#This Row],[Error Span]]),"N/A"))</f>
        <v>N/A</v>
      </c>
      <c r="T916" s="1" t="str">
        <f>IF(OR(Table1[[#This Row],[Low Tol]]="",Table1[[#This Row],[High Tol]]=""),"Needs Analysis",IF(Table1[[#This Row],[Ratio]]&gt;=4,"Not Significant",IF(Table1[[#This Row],[Ratio]]&gt;=2,"Semi-Significant","Significant")))</f>
        <v>Needs Analysis</v>
      </c>
      <c r="W916" s="1">
        <f>IF(Table1[[#This Row],[Cal Type]]&lt;&gt;"ACCREDITED 17025 WITH UNCERTAINTIES",0,"")</f>
        <v>0</v>
      </c>
      <c r="X916" s="1" t="str">
        <f>IF(Table1[[#This Row],[DUT Read]]="","N/A",Table1[[#This Row],[Std Error]]+Table1[[#This Row],[DUT Read]]+Table1[[#This Row],[DUT Ucty]])</f>
        <v>N/A</v>
      </c>
      <c r="Y916" s="1" t="str">
        <f>IF(Table1[[#This Row],[Std Read]]="","N/A",Table1[[#This Row],[Std Read]]+Table1[[#This Row],[Std Ucty]])</f>
        <v>N/A</v>
      </c>
      <c r="Z9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6" s="1" t="str">
        <f>IF(Table1[[#This Row],[Spec Type]]="","N/A",Table1[[#This Row],[Spec Type]])</f>
        <v>±</v>
      </c>
      <c r="AC916" s="1" t="str">
        <f>IF(Table1[[#This Row],[Spec Type2]]="N/A","N/A",IF(AND(Table1[[#This Row],[DUT Adj Read]]&gt;=Table1[[#This Row],[Low Tol]],Table1[[#This Row],[DUT Adj Read]]&lt;=Table1[[#This Row],[High Tol]]),"Pass","Fail"))</f>
        <v>Fail</v>
      </c>
      <c r="AD916" s="1" t="str">
        <f>IF(AND(Table1[[#This Row],[Spec Type2]]="N/A",Table1[[#This Row],[DUT Adj Read]]="N/A",Table1[[#This Row],[Std Adj Read]]="N/A"),"N/A",IF(Table1[[#This Row],[DUT Adj Read]]="N/A",IF(Table1[[#This Row],[Std Adj Read]]&gt;Table1[[#This Row],[Low Tol]],"Pass","Fail"),IF(Table1[[#This Row],[DUT Adj Read]]&gt;Table1[[#This Row],[Low Tol]],"Pass","Fail")))</f>
        <v>Pass</v>
      </c>
      <c r="AE916" s="1" t="str">
        <f>IF(AND(Table1[[#This Row],[Spec Type2]]="N/A",Table1[[#This Row],[DUT Adj Read]]="N/A",Table1[[#This Row],[Std Adj Read]]="N/A"),"N/A",IF(Table1[[#This Row],[DUT Adj Read]]="N/A",IF(Table1[[#This Row],[Std Adj Read]]&lt;Table1[[#This Row],[High Tol]],"Pass","Fail"),IF(Table1[[#This Row],[DUT Adj Read]]&lt;Table1[[#This Row],[High Tol]],"Pass","Fail")))</f>
        <v>Fail</v>
      </c>
      <c r="AF916" s="1" t="str">
        <f>IF(AND(Table1[[#This Row],[Spec Type2]]="N/A",Table1[[#This Row],[DUT Adj Read]]="N/A",Table1[[#This Row],[Std Adj Read]]="N/A"),"N/A",IF(Table1[[#This Row],[DUT Adj Read]]="N/A",IF(Table1[[#This Row],[Std Adj Read]]&gt;=Table1[[#This Row],[Low Tol]],"Pass","Fail"),IF(Table1[[#This Row],[DUT Adj Read]]&gt;=Table1[[#This Row],[Low Tol]],"Pass","Fail")))</f>
        <v>Pass</v>
      </c>
      <c r="AG916" s="1" t="str">
        <f>IF(AND(Table1[[#This Row],[Spec Type2]]="N/A",Table1[[#This Row],[DUT Adj Read]]="N/A",Table1[[#This Row],[Std Adj Read]]="N/A"),"N/A",IF(Table1[[#This Row],[DUT Adj Read]]="N/A",IF(Table1[[#This Row],[Std Adj Read]]&lt;=Table1[[#This Row],[High Tol]],"Pass","Fail"),IF(Table1[[#This Row],[DUT Adj Read]]&lt;=Table1[[#This Row],[High Tol]],"Pass","Fail")))</f>
        <v>Fail</v>
      </c>
      <c r="AH9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6" s="1" t="b">
        <v>0</v>
      </c>
      <c r="AN916" s="1" t="b">
        <v>0</v>
      </c>
      <c r="AO916" s="1" t="b">
        <v>0</v>
      </c>
    </row>
    <row r="917" spans="1:41" x14ac:dyDescent="0.25">
      <c r="A917" s="10"/>
      <c r="B917" s="10"/>
      <c r="C917" s="10"/>
      <c r="D917" s="10"/>
      <c r="E917" s="10"/>
      <c r="F917" s="10"/>
      <c r="G917" s="10"/>
      <c r="H917" s="10"/>
      <c r="I917" s="1" t="str">
        <f t="shared" si="42"/>
        <v/>
      </c>
      <c r="J917" s="1" t="s">
        <v>35</v>
      </c>
      <c r="K917" s="1" t="str">
        <f t="shared" si="43"/>
        <v/>
      </c>
      <c r="L917" s="1" t="str">
        <f t="shared" si="44"/>
        <v/>
      </c>
      <c r="M917" s="1">
        <f>IF(OR(Table1[[#This Row],[Std Nom]]="",Table1[[#This Row],[Std Read]]=""),0,Table1[[#This Row],[Std Nom]]-Table1[[#This Row],[Std Read]])</f>
        <v>0</v>
      </c>
      <c r="N917" s="1">
        <f>IF(Calculations!$F$5="ACCREDITED 17025 WITH UNCERTAINTIES",$N$10,0)</f>
        <v>0</v>
      </c>
      <c r="Q917" s="1">
        <f>Table1[[#This Row],[High Tol]]-Table1[[#This Row],[Low Tol]]</f>
        <v>0</v>
      </c>
      <c r="R917" s="1">
        <f>2*Table1[[#This Row],[Std Error]]</f>
        <v>0</v>
      </c>
      <c r="S917" s="1" t="str">
        <f>IF(Table1[[#This Row],[High Tol]]="","N/A",IFERROR(ABS(Table1[[#This Row],[Tol Span]]/Table1[[#This Row],[Error Span]]),"N/A"))</f>
        <v>N/A</v>
      </c>
      <c r="T917" s="1" t="str">
        <f>IF(OR(Table1[[#This Row],[Low Tol]]="",Table1[[#This Row],[High Tol]]=""),"Needs Analysis",IF(Table1[[#This Row],[Ratio]]&gt;=4,"Not Significant",IF(Table1[[#This Row],[Ratio]]&gt;=2,"Semi-Significant","Significant")))</f>
        <v>Needs Analysis</v>
      </c>
      <c r="W917" s="1">
        <f>IF(Table1[[#This Row],[Cal Type]]&lt;&gt;"ACCREDITED 17025 WITH UNCERTAINTIES",0,"")</f>
        <v>0</v>
      </c>
      <c r="X917" s="1" t="str">
        <f>IF(Table1[[#This Row],[DUT Read]]="","N/A",Table1[[#This Row],[Std Error]]+Table1[[#This Row],[DUT Read]]+Table1[[#This Row],[DUT Ucty]])</f>
        <v>N/A</v>
      </c>
      <c r="Y917" s="1" t="str">
        <f>IF(Table1[[#This Row],[Std Read]]="","N/A",Table1[[#This Row],[Std Read]]+Table1[[#This Row],[Std Ucty]])</f>
        <v>N/A</v>
      </c>
      <c r="Z9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7" s="1" t="str">
        <f>IF(Table1[[#This Row],[Spec Type]]="","N/A",Table1[[#This Row],[Spec Type]])</f>
        <v>±</v>
      </c>
      <c r="AC917" s="1" t="str">
        <f>IF(Table1[[#This Row],[Spec Type2]]="N/A","N/A",IF(AND(Table1[[#This Row],[DUT Adj Read]]&gt;=Table1[[#This Row],[Low Tol]],Table1[[#This Row],[DUT Adj Read]]&lt;=Table1[[#This Row],[High Tol]]),"Pass","Fail"))</f>
        <v>Fail</v>
      </c>
      <c r="AD917" s="1" t="str">
        <f>IF(AND(Table1[[#This Row],[Spec Type2]]="N/A",Table1[[#This Row],[DUT Adj Read]]="N/A",Table1[[#This Row],[Std Adj Read]]="N/A"),"N/A",IF(Table1[[#This Row],[DUT Adj Read]]="N/A",IF(Table1[[#This Row],[Std Adj Read]]&gt;Table1[[#This Row],[Low Tol]],"Pass","Fail"),IF(Table1[[#This Row],[DUT Adj Read]]&gt;Table1[[#This Row],[Low Tol]],"Pass","Fail")))</f>
        <v>Pass</v>
      </c>
      <c r="AE917" s="1" t="str">
        <f>IF(AND(Table1[[#This Row],[Spec Type2]]="N/A",Table1[[#This Row],[DUT Adj Read]]="N/A",Table1[[#This Row],[Std Adj Read]]="N/A"),"N/A",IF(Table1[[#This Row],[DUT Adj Read]]="N/A",IF(Table1[[#This Row],[Std Adj Read]]&lt;Table1[[#This Row],[High Tol]],"Pass","Fail"),IF(Table1[[#This Row],[DUT Adj Read]]&lt;Table1[[#This Row],[High Tol]],"Pass","Fail")))</f>
        <v>Fail</v>
      </c>
      <c r="AF917" s="1" t="str">
        <f>IF(AND(Table1[[#This Row],[Spec Type2]]="N/A",Table1[[#This Row],[DUT Adj Read]]="N/A",Table1[[#This Row],[Std Adj Read]]="N/A"),"N/A",IF(Table1[[#This Row],[DUT Adj Read]]="N/A",IF(Table1[[#This Row],[Std Adj Read]]&gt;=Table1[[#This Row],[Low Tol]],"Pass","Fail"),IF(Table1[[#This Row],[DUT Adj Read]]&gt;=Table1[[#This Row],[Low Tol]],"Pass","Fail")))</f>
        <v>Pass</v>
      </c>
      <c r="AG917" s="1" t="str">
        <f>IF(AND(Table1[[#This Row],[Spec Type2]]="N/A",Table1[[#This Row],[DUT Adj Read]]="N/A",Table1[[#This Row],[Std Adj Read]]="N/A"),"N/A",IF(Table1[[#This Row],[DUT Adj Read]]="N/A",IF(Table1[[#This Row],[Std Adj Read]]&lt;=Table1[[#This Row],[High Tol]],"Pass","Fail"),IF(Table1[[#This Row],[DUT Adj Read]]&lt;=Table1[[#This Row],[High Tol]],"Pass","Fail")))</f>
        <v>Fail</v>
      </c>
      <c r="AH9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7" s="1" t="b">
        <v>0</v>
      </c>
      <c r="AN917" s="1" t="b">
        <v>0</v>
      </c>
      <c r="AO917" s="1" t="b">
        <v>0</v>
      </c>
    </row>
    <row r="918" spans="1:41" x14ac:dyDescent="0.25">
      <c r="A918" s="10"/>
      <c r="B918" s="10"/>
      <c r="C918" s="10"/>
      <c r="D918" s="10"/>
      <c r="E918" s="10"/>
      <c r="F918" s="10"/>
      <c r="G918" s="10"/>
      <c r="H918" s="10"/>
      <c r="I918" s="1" t="str">
        <f t="shared" si="42"/>
        <v/>
      </c>
      <c r="J918" s="1" t="s">
        <v>35</v>
      </c>
      <c r="K918" s="1" t="str">
        <f t="shared" si="43"/>
        <v/>
      </c>
      <c r="L918" s="1" t="str">
        <f t="shared" si="44"/>
        <v/>
      </c>
      <c r="M918" s="1">
        <f>IF(OR(Table1[[#This Row],[Std Nom]]="",Table1[[#This Row],[Std Read]]=""),0,Table1[[#This Row],[Std Nom]]-Table1[[#This Row],[Std Read]])</f>
        <v>0</v>
      </c>
      <c r="N918" s="1">
        <f>IF(Calculations!$F$5="ACCREDITED 17025 WITH UNCERTAINTIES",$N$10,0)</f>
        <v>0</v>
      </c>
      <c r="Q918" s="1">
        <f>Table1[[#This Row],[High Tol]]-Table1[[#This Row],[Low Tol]]</f>
        <v>0</v>
      </c>
      <c r="R918" s="1">
        <f>2*Table1[[#This Row],[Std Error]]</f>
        <v>0</v>
      </c>
      <c r="S918" s="1" t="str">
        <f>IF(Table1[[#This Row],[High Tol]]="","N/A",IFERROR(ABS(Table1[[#This Row],[Tol Span]]/Table1[[#This Row],[Error Span]]),"N/A"))</f>
        <v>N/A</v>
      </c>
      <c r="T918" s="1" t="str">
        <f>IF(OR(Table1[[#This Row],[Low Tol]]="",Table1[[#This Row],[High Tol]]=""),"Needs Analysis",IF(Table1[[#This Row],[Ratio]]&gt;=4,"Not Significant",IF(Table1[[#This Row],[Ratio]]&gt;=2,"Semi-Significant","Significant")))</f>
        <v>Needs Analysis</v>
      </c>
      <c r="W918" s="1">
        <f>IF(Table1[[#This Row],[Cal Type]]&lt;&gt;"ACCREDITED 17025 WITH UNCERTAINTIES",0,"")</f>
        <v>0</v>
      </c>
      <c r="X918" s="1" t="str">
        <f>IF(Table1[[#This Row],[DUT Read]]="","N/A",Table1[[#This Row],[Std Error]]+Table1[[#This Row],[DUT Read]]+Table1[[#This Row],[DUT Ucty]])</f>
        <v>N/A</v>
      </c>
      <c r="Y918" s="1" t="str">
        <f>IF(Table1[[#This Row],[Std Read]]="","N/A",Table1[[#This Row],[Std Read]]+Table1[[#This Row],[Std Ucty]])</f>
        <v>N/A</v>
      </c>
      <c r="Z9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8" s="1" t="str">
        <f>IF(Table1[[#This Row],[Spec Type]]="","N/A",Table1[[#This Row],[Spec Type]])</f>
        <v>±</v>
      </c>
      <c r="AC918" s="1" t="str">
        <f>IF(Table1[[#This Row],[Spec Type2]]="N/A","N/A",IF(AND(Table1[[#This Row],[DUT Adj Read]]&gt;=Table1[[#This Row],[Low Tol]],Table1[[#This Row],[DUT Adj Read]]&lt;=Table1[[#This Row],[High Tol]]),"Pass","Fail"))</f>
        <v>Fail</v>
      </c>
      <c r="AD918" s="1" t="str">
        <f>IF(AND(Table1[[#This Row],[Spec Type2]]="N/A",Table1[[#This Row],[DUT Adj Read]]="N/A",Table1[[#This Row],[Std Adj Read]]="N/A"),"N/A",IF(Table1[[#This Row],[DUT Adj Read]]="N/A",IF(Table1[[#This Row],[Std Adj Read]]&gt;Table1[[#This Row],[Low Tol]],"Pass","Fail"),IF(Table1[[#This Row],[DUT Adj Read]]&gt;Table1[[#This Row],[Low Tol]],"Pass","Fail")))</f>
        <v>Pass</v>
      </c>
      <c r="AE918" s="1" t="str">
        <f>IF(AND(Table1[[#This Row],[Spec Type2]]="N/A",Table1[[#This Row],[DUT Adj Read]]="N/A",Table1[[#This Row],[Std Adj Read]]="N/A"),"N/A",IF(Table1[[#This Row],[DUT Adj Read]]="N/A",IF(Table1[[#This Row],[Std Adj Read]]&lt;Table1[[#This Row],[High Tol]],"Pass","Fail"),IF(Table1[[#This Row],[DUT Adj Read]]&lt;Table1[[#This Row],[High Tol]],"Pass","Fail")))</f>
        <v>Fail</v>
      </c>
      <c r="AF918" s="1" t="str">
        <f>IF(AND(Table1[[#This Row],[Spec Type2]]="N/A",Table1[[#This Row],[DUT Adj Read]]="N/A",Table1[[#This Row],[Std Adj Read]]="N/A"),"N/A",IF(Table1[[#This Row],[DUT Adj Read]]="N/A",IF(Table1[[#This Row],[Std Adj Read]]&gt;=Table1[[#This Row],[Low Tol]],"Pass","Fail"),IF(Table1[[#This Row],[DUT Adj Read]]&gt;=Table1[[#This Row],[Low Tol]],"Pass","Fail")))</f>
        <v>Pass</v>
      </c>
      <c r="AG918" s="1" t="str">
        <f>IF(AND(Table1[[#This Row],[Spec Type2]]="N/A",Table1[[#This Row],[DUT Adj Read]]="N/A",Table1[[#This Row],[Std Adj Read]]="N/A"),"N/A",IF(Table1[[#This Row],[DUT Adj Read]]="N/A",IF(Table1[[#This Row],[Std Adj Read]]&lt;=Table1[[#This Row],[High Tol]],"Pass","Fail"),IF(Table1[[#This Row],[DUT Adj Read]]&lt;=Table1[[#This Row],[High Tol]],"Pass","Fail")))</f>
        <v>Fail</v>
      </c>
      <c r="AH9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8" s="1" t="b">
        <v>0</v>
      </c>
      <c r="AN918" s="1" t="b">
        <v>0</v>
      </c>
      <c r="AO918" s="1" t="b">
        <v>0</v>
      </c>
    </row>
    <row r="919" spans="1:41" x14ac:dyDescent="0.25">
      <c r="A919" s="10"/>
      <c r="B919" s="10"/>
      <c r="C919" s="10"/>
      <c r="D919" s="10"/>
      <c r="E919" s="10"/>
      <c r="F919" s="10"/>
      <c r="G919" s="10"/>
      <c r="H919" s="10"/>
      <c r="I919" s="1" t="str">
        <f t="shared" si="42"/>
        <v/>
      </c>
      <c r="J919" s="1" t="s">
        <v>35</v>
      </c>
      <c r="K919" s="1" t="str">
        <f t="shared" si="43"/>
        <v/>
      </c>
      <c r="L919" s="1" t="str">
        <f t="shared" si="44"/>
        <v/>
      </c>
      <c r="M919" s="1">
        <f>IF(OR(Table1[[#This Row],[Std Nom]]="",Table1[[#This Row],[Std Read]]=""),0,Table1[[#This Row],[Std Nom]]-Table1[[#This Row],[Std Read]])</f>
        <v>0</v>
      </c>
      <c r="N919" s="1">
        <f>IF(Calculations!$F$5="ACCREDITED 17025 WITH UNCERTAINTIES",$N$10,0)</f>
        <v>0</v>
      </c>
      <c r="Q919" s="1">
        <f>Table1[[#This Row],[High Tol]]-Table1[[#This Row],[Low Tol]]</f>
        <v>0</v>
      </c>
      <c r="R919" s="1">
        <f>2*Table1[[#This Row],[Std Error]]</f>
        <v>0</v>
      </c>
      <c r="S919" s="1" t="str">
        <f>IF(Table1[[#This Row],[High Tol]]="","N/A",IFERROR(ABS(Table1[[#This Row],[Tol Span]]/Table1[[#This Row],[Error Span]]),"N/A"))</f>
        <v>N/A</v>
      </c>
      <c r="T919" s="1" t="str">
        <f>IF(OR(Table1[[#This Row],[Low Tol]]="",Table1[[#This Row],[High Tol]]=""),"Needs Analysis",IF(Table1[[#This Row],[Ratio]]&gt;=4,"Not Significant",IF(Table1[[#This Row],[Ratio]]&gt;=2,"Semi-Significant","Significant")))</f>
        <v>Needs Analysis</v>
      </c>
      <c r="W919" s="1">
        <f>IF(Table1[[#This Row],[Cal Type]]&lt;&gt;"ACCREDITED 17025 WITH UNCERTAINTIES",0,"")</f>
        <v>0</v>
      </c>
      <c r="X919" s="1" t="str">
        <f>IF(Table1[[#This Row],[DUT Read]]="","N/A",Table1[[#This Row],[Std Error]]+Table1[[#This Row],[DUT Read]]+Table1[[#This Row],[DUT Ucty]])</f>
        <v>N/A</v>
      </c>
      <c r="Y919" s="1" t="str">
        <f>IF(Table1[[#This Row],[Std Read]]="","N/A",Table1[[#This Row],[Std Read]]+Table1[[#This Row],[Std Ucty]])</f>
        <v>N/A</v>
      </c>
      <c r="Z9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19" s="1" t="str">
        <f>IF(Table1[[#This Row],[Spec Type]]="","N/A",Table1[[#This Row],[Spec Type]])</f>
        <v>±</v>
      </c>
      <c r="AC919" s="1" t="str">
        <f>IF(Table1[[#This Row],[Spec Type2]]="N/A","N/A",IF(AND(Table1[[#This Row],[DUT Adj Read]]&gt;=Table1[[#This Row],[Low Tol]],Table1[[#This Row],[DUT Adj Read]]&lt;=Table1[[#This Row],[High Tol]]),"Pass","Fail"))</f>
        <v>Fail</v>
      </c>
      <c r="AD919" s="1" t="str">
        <f>IF(AND(Table1[[#This Row],[Spec Type2]]="N/A",Table1[[#This Row],[DUT Adj Read]]="N/A",Table1[[#This Row],[Std Adj Read]]="N/A"),"N/A",IF(Table1[[#This Row],[DUT Adj Read]]="N/A",IF(Table1[[#This Row],[Std Adj Read]]&gt;Table1[[#This Row],[Low Tol]],"Pass","Fail"),IF(Table1[[#This Row],[DUT Adj Read]]&gt;Table1[[#This Row],[Low Tol]],"Pass","Fail")))</f>
        <v>Pass</v>
      </c>
      <c r="AE919" s="1" t="str">
        <f>IF(AND(Table1[[#This Row],[Spec Type2]]="N/A",Table1[[#This Row],[DUT Adj Read]]="N/A",Table1[[#This Row],[Std Adj Read]]="N/A"),"N/A",IF(Table1[[#This Row],[DUT Adj Read]]="N/A",IF(Table1[[#This Row],[Std Adj Read]]&lt;Table1[[#This Row],[High Tol]],"Pass","Fail"),IF(Table1[[#This Row],[DUT Adj Read]]&lt;Table1[[#This Row],[High Tol]],"Pass","Fail")))</f>
        <v>Fail</v>
      </c>
      <c r="AF919" s="1" t="str">
        <f>IF(AND(Table1[[#This Row],[Spec Type2]]="N/A",Table1[[#This Row],[DUT Adj Read]]="N/A",Table1[[#This Row],[Std Adj Read]]="N/A"),"N/A",IF(Table1[[#This Row],[DUT Adj Read]]="N/A",IF(Table1[[#This Row],[Std Adj Read]]&gt;=Table1[[#This Row],[Low Tol]],"Pass","Fail"),IF(Table1[[#This Row],[DUT Adj Read]]&gt;=Table1[[#This Row],[Low Tol]],"Pass","Fail")))</f>
        <v>Pass</v>
      </c>
      <c r="AG919" s="1" t="str">
        <f>IF(AND(Table1[[#This Row],[Spec Type2]]="N/A",Table1[[#This Row],[DUT Adj Read]]="N/A",Table1[[#This Row],[Std Adj Read]]="N/A"),"N/A",IF(Table1[[#This Row],[DUT Adj Read]]="N/A",IF(Table1[[#This Row],[Std Adj Read]]&lt;=Table1[[#This Row],[High Tol]],"Pass","Fail"),IF(Table1[[#This Row],[DUT Adj Read]]&lt;=Table1[[#This Row],[High Tol]],"Pass","Fail")))</f>
        <v>Fail</v>
      </c>
      <c r="AH9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19" s="1" t="b">
        <v>0</v>
      </c>
      <c r="AN919" s="1" t="b">
        <v>0</v>
      </c>
      <c r="AO919" s="1" t="b">
        <v>0</v>
      </c>
    </row>
    <row r="920" spans="1:41" x14ac:dyDescent="0.25">
      <c r="A920" s="10"/>
      <c r="B920" s="10"/>
      <c r="C920" s="10"/>
      <c r="D920" s="10"/>
      <c r="E920" s="10"/>
      <c r="F920" s="10"/>
      <c r="G920" s="10"/>
      <c r="H920" s="10"/>
      <c r="I920" s="1" t="str">
        <f t="shared" si="42"/>
        <v/>
      </c>
      <c r="J920" s="1" t="s">
        <v>35</v>
      </c>
      <c r="K920" s="1" t="str">
        <f t="shared" si="43"/>
        <v/>
      </c>
      <c r="L920" s="1" t="str">
        <f t="shared" si="44"/>
        <v/>
      </c>
      <c r="M920" s="1">
        <f>IF(OR(Table1[[#This Row],[Std Nom]]="",Table1[[#This Row],[Std Read]]=""),0,Table1[[#This Row],[Std Nom]]-Table1[[#This Row],[Std Read]])</f>
        <v>0</v>
      </c>
      <c r="N920" s="1">
        <f>IF(Calculations!$F$5="ACCREDITED 17025 WITH UNCERTAINTIES",$N$10,0)</f>
        <v>0</v>
      </c>
      <c r="Q920" s="1">
        <f>Table1[[#This Row],[High Tol]]-Table1[[#This Row],[Low Tol]]</f>
        <v>0</v>
      </c>
      <c r="R920" s="1">
        <f>2*Table1[[#This Row],[Std Error]]</f>
        <v>0</v>
      </c>
      <c r="S920" s="1" t="str">
        <f>IF(Table1[[#This Row],[High Tol]]="","N/A",IFERROR(ABS(Table1[[#This Row],[Tol Span]]/Table1[[#This Row],[Error Span]]),"N/A"))</f>
        <v>N/A</v>
      </c>
      <c r="T920" s="1" t="str">
        <f>IF(OR(Table1[[#This Row],[Low Tol]]="",Table1[[#This Row],[High Tol]]=""),"Needs Analysis",IF(Table1[[#This Row],[Ratio]]&gt;=4,"Not Significant",IF(Table1[[#This Row],[Ratio]]&gt;=2,"Semi-Significant","Significant")))</f>
        <v>Needs Analysis</v>
      </c>
      <c r="W920" s="1">
        <f>IF(Table1[[#This Row],[Cal Type]]&lt;&gt;"ACCREDITED 17025 WITH UNCERTAINTIES",0,"")</f>
        <v>0</v>
      </c>
      <c r="X920" s="1" t="str">
        <f>IF(Table1[[#This Row],[DUT Read]]="","N/A",Table1[[#This Row],[Std Error]]+Table1[[#This Row],[DUT Read]]+Table1[[#This Row],[DUT Ucty]])</f>
        <v>N/A</v>
      </c>
      <c r="Y920" s="1" t="str">
        <f>IF(Table1[[#This Row],[Std Read]]="","N/A",Table1[[#This Row],[Std Read]]+Table1[[#This Row],[Std Ucty]])</f>
        <v>N/A</v>
      </c>
      <c r="Z9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0" s="1" t="str">
        <f>IF(Table1[[#This Row],[Spec Type]]="","N/A",Table1[[#This Row],[Spec Type]])</f>
        <v>±</v>
      </c>
      <c r="AC920" s="1" t="str">
        <f>IF(Table1[[#This Row],[Spec Type2]]="N/A","N/A",IF(AND(Table1[[#This Row],[DUT Adj Read]]&gt;=Table1[[#This Row],[Low Tol]],Table1[[#This Row],[DUT Adj Read]]&lt;=Table1[[#This Row],[High Tol]]),"Pass","Fail"))</f>
        <v>Fail</v>
      </c>
      <c r="AD920" s="1" t="str">
        <f>IF(AND(Table1[[#This Row],[Spec Type2]]="N/A",Table1[[#This Row],[DUT Adj Read]]="N/A",Table1[[#This Row],[Std Adj Read]]="N/A"),"N/A",IF(Table1[[#This Row],[DUT Adj Read]]="N/A",IF(Table1[[#This Row],[Std Adj Read]]&gt;Table1[[#This Row],[Low Tol]],"Pass","Fail"),IF(Table1[[#This Row],[DUT Adj Read]]&gt;Table1[[#This Row],[Low Tol]],"Pass","Fail")))</f>
        <v>Pass</v>
      </c>
      <c r="AE920" s="1" t="str">
        <f>IF(AND(Table1[[#This Row],[Spec Type2]]="N/A",Table1[[#This Row],[DUT Adj Read]]="N/A",Table1[[#This Row],[Std Adj Read]]="N/A"),"N/A",IF(Table1[[#This Row],[DUT Adj Read]]="N/A",IF(Table1[[#This Row],[Std Adj Read]]&lt;Table1[[#This Row],[High Tol]],"Pass","Fail"),IF(Table1[[#This Row],[DUT Adj Read]]&lt;Table1[[#This Row],[High Tol]],"Pass","Fail")))</f>
        <v>Fail</v>
      </c>
      <c r="AF920" s="1" t="str">
        <f>IF(AND(Table1[[#This Row],[Spec Type2]]="N/A",Table1[[#This Row],[DUT Adj Read]]="N/A",Table1[[#This Row],[Std Adj Read]]="N/A"),"N/A",IF(Table1[[#This Row],[DUT Adj Read]]="N/A",IF(Table1[[#This Row],[Std Adj Read]]&gt;=Table1[[#This Row],[Low Tol]],"Pass","Fail"),IF(Table1[[#This Row],[DUT Adj Read]]&gt;=Table1[[#This Row],[Low Tol]],"Pass","Fail")))</f>
        <v>Pass</v>
      </c>
      <c r="AG920" s="1" t="str">
        <f>IF(AND(Table1[[#This Row],[Spec Type2]]="N/A",Table1[[#This Row],[DUT Adj Read]]="N/A",Table1[[#This Row],[Std Adj Read]]="N/A"),"N/A",IF(Table1[[#This Row],[DUT Adj Read]]="N/A",IF(Table1[[#This Row],[Std Adj Read]]&lt;=Table1[[#This Row],[High Tol]],"Pass","Fail"),IF(Table1[[#This Row],[DUT Adj Read]]&lt;=Table1[[#This Row],[High Tol]],"Pass","Fail")))</f>
        <v>Fail</v>
      </c>
      <c r="AH9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0" s="1" t="b">
        <v>0</v>
      </c>
      <c r="AN920" s="1" t="b">
        <v>0</v>
      </c>
      <c r="AO920" s="1" t="b">
        <v>0</v>
      </c>
    </row>
    <row r="921" spans="1:41" x14ac:dyDescent="0.25">
      <c r="A921" s="10"/>
      <c r="B921" s="10"/>
      <c r="C921" s="10"/>
      <c r="D921" s="10"/>
      <c r="E921" s="10"/>
      <c r="F921" s="10"/>
      <c r="G921" s="10"/>
      <c r="H921" s="10"/>
      <c r="I921" s="1" t="str">
        <f t="shared" si="42"/>
        <v/>
      </c>
      <c r="J921" s="1" t="s">
        <v>35</v>
      </c>
      <c r="K921" s="1" t="str">
        <f t="shared" si="43"/>
        <v/>
      </c>
      <c r="L921" s="1" t="str">
        <f t="shared" si="44"/>
        <v/>
      </c>
      <c r="M921" s="1">
        <f>IF(OR(Table1[[#This Row],[Std Nom]]="",Table1[[#This Row],[Std Read]]=""),0,Table1[[#This Row],[Std Nom]]-Table1[[#This Row],[Std Read]])</f>
        <v>0</v>
      </c>
      <c r="N921" s="1">
        <f>IF(Calculations!$F$5="ACCREDITED 17025 WITH UNCERTAINTIES",$N$10,0)</f>
        <v>0</v>
      </c>
      <c r="Q921" s="1">
        <f>Table1[[#This Row],[High Tol]]-Table1[[#This Row],[Low Tol]]</f>
        <v>0</v>
      </c>
      <c r="R921" s="1">
        <f>2*Table1[[#This Row],[Std Error]]</f>
        <v>0</v>
      </c>
      <c r="S921" s="1" t="str">
        <f>IF(Table1[[#This Row],[High Tol]]="","N/A",IFERROR(ABS(Table1[[#This Row],[Tol Span]]/Table1[[#This Row],[Error Span]]),"N/A"))</f>
        <v>N/A</v>
      </c>
      <c r="T921" s="1" t="str">
        <f>IF(OR(Table1[[#This Row],[Low Tol]]="",Table1[[#This Row],[High Tol]]=""),"Needs Analysis",IF(Table1[[#This Row],[Ratio]]&gt;=4,"Not Significant",IF(Table1[[#This Row],[Ratio]]&gt;=2,"Semi-Significant","Significant")))</f>
        <v>Needs Analysis</v>
      </c>
      <c r="W921" s="1">
        <f>IF(Table1[[#This Row],[Cal Type]]&lt;&gt;"ACCREDITED 17025 WITH UNCERTAINTIES",0,"")</f>
        <v>0</v>
      </c>
      <c r="X921" s="1" t="str">
        <f>IF(Table1[[#This Row],[DUT Read]]="","N/A",Table1[[#This Row],[Std Error]]+Table1[[#This Row],[DUT Read]]+Table1[[#This Row],[DUT Ucty]])</f>
        <v>N/A</v>
      </c>
      <c r="Y921" s="1" t="str">
        <f>IF(Table1[[#This Row],[Std Read]]="","N/A",Table1[[#This Row],[Std Read]]+Table1[[#This Row],[Std Ucty]])</f>
        <v>N/A</v>
      </c>
      <c r="Z9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1" s="1" t="str">
        <f>IF(Table1[[#This Row],[Spec Type]]="","N/A",Table1[[#This Row],[Spec Type]])</f>
        <v>±</v>
      </c>
      <c r="AC921" s="1" t="str">
        <f>IF(Table1[[#This Row],[Spec Type2]]="N/A","N/A",IF(AND(Table1[[#This Row],[DUT Adj Read]]&gt;=Table1[[#This Row],[Low Tol]],Table1[[#This Row],[DUT Adj Read]]&lt;=Table1[[#This Row],[High Tol]]),"Pass","Fail"))</f>
        <v>Fail</v>
      </c>
      <c r="AD921" s="1" t="str">
        <f>IF(AND(Table1[[#This Row],[Spec Type2]]="N/A",Table1[[#This Row],[DUT Adj Read]]="N/A",Table1[[#This Row],[Std Adj Read]]="N/A"),"N/A",IF(Table1[[#This Row],[DUT Adj Read]]="N/A",IF(Table1[[#This Row],[Std Adj Read]]&gt;Table1[[#This Row],[Low Tol]],"Pass","Fail"),IF(Table1[[#This Row],[DUT Adj Read]]&gt;Table1[[#This Row],[Low Tol]],"Pass","Fail")))</f>
        <v>Pass</v>
      </c>
      <c r="AE921" s="1" t="str">
        <f>IF(AND(Table1[[#This Row],[Spec Type2]]="N/A",Table1[[#This Row],[DUT Adj Read]]="N/A",Table1[[#This Row],[Std Adj Read]]="N/A"),"N/A",IF(Table1[[#This Row],[DUT Adj Read]]="N/A",IF(Table1[[#This Row],[Std Adj Read]]&lt;Table1[[#This Row],[High Tol]],"Pass","Fail"),IF(Table1[[#This Row],[DUT Adj Read]]&lt;Table1[[#This Row],[High Tol]],"Pass","Fail")))</f>
        <v>Fail</v>
      </c>
      <c r="AF921" s="1" t="str">
        <f>IF(AND(Table1[[#This Row],[Spec Type2]]="N/A",Table1[[#This Row],[DUT Adj Read]]="N/A",Table1[[#This Row],[Std Adj Read]]="N/A"),"N/A",IF(Table1[[#This Row],[DUT Adj Read]]="N/A",IF(Table1[[#This Row],[Std Adj Read]]&gt;=Table1[[#This Row],[Low Tol]],"Pass","Fail"),IF(Table1[[#This Row],[DUT Adj Read]]&gt;=Table1[[#This Row],[Low Tol]],"Pass","Fail")))</f>
        <v>Pass</v>
      </c>
      <c r="AG921" s="1" t="str">
        <f>IF(AND(Table1[[#This Row],[Spec Type2]]="N/A",Table1[[#This Row],[DUT Adj Read]]="N/A",Table1[[#This Row],[Std Adj Read]]="N/A"),"N/A",IF(Table1[[#This Row],[DUT Adj Read]]="N/A",IF(Table1[[#This Row],[Std Adj Read]]&lt;=Table1[[#This Row],[High Tol]],"Pass","Fail"),IF(Table1[[#This Row],[DUT Adj Read]]&lt;=Table1[[#This Row],[High Tol]],"Pass","Fail")))</f>
        <v>Fail</v>
      </c>
      <c r="AH9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1" s="1" t="b">
        <v>0</v>
      </c>
      <c r="AN921" s="1" t="b">
        <v>0</v>
      </c>
      <c r="AO921" s="1" t="b">
        <v>0</v>
      </c>
    </row>
    <row r="922" spans="1:41" x14ac:dyDescent="0.25">
      <c r="A922" s="10"/>
      <c r="B922" s="10"/>
      <c r="C922" s="10"/>
      <c r="D922" s="10"/>
      <c r="E922" s="10"/>
      <c r="F922" s="10"/>
      <c r="G922" s="10"/>
      <c r="H922" s="10"/>
      <c r="I922" s="1" t="str">
        <f t="shared" si="42"/>
        <v/>
      </c>
      <c r="J922" s="1" t="s">
        <v>35</v>
      </c>
      <c r="K922" s="1" t="str">
        <f t="shared" si="43"/>
        <v/>
      </c>
      <c r="L922" s="1" t="str">
        <f t="shared" si="44"/>
        <v/>
      </c>
      <c r="M922" s="1">
        <f>IF(OR(Table1[[#This Row],[Std Nom]]="",Table1[[#This Row],[Std Read]]=""),0,Table1[[#This Row],[Std Nom]]-Table1[[#This Row],[Std Read]])</f>
        <v>0</v>
      </c>
      <c r="N922" s="1">
        <f>IF(Calculations!$F$5="ACCREDITED 17025 WITH UNCERTAINTIES",$N$10,0)</f>
        <v>0</v>
      </c>
      <c r="Q922" s="1">
        <f>Table1[[#This Row],[High Tol]]-Table1[[#This Row],[Low Tol]]</f>
        <v>0</v>
      </c>
      <c r="R922" s="1">
        <f>2*Table1[[#This Row],[Std Error]]</f>
        <v>0</v>
      </c>
      <c r="S922" s="1" t="str">
        <f>IF(Table1[[#This Row],[High Tol]]="","N/A",IFERROR(ABS(Table1[[#This Row],[Tol Span]]/Table1[[#This Row],[Error Span]]),"N/A"))</f>
        <v>N/A</v>
      </c>
      <c r="T922" s="1" t="str">
        <f>IF(OR(Table1[[#This Row],[Low Tol]]="",Table1[[#This Row],[High Tol]]=""),"Needs Analysis",IF(Table1[[#This Row],[Ratio]]&gt;=4,"Not Significant",IF(Table1[[#This Row],[Ratio]]&gt;=2,"Semi-Significant","Significant")))</f>
        <v>Needs Analysis</v>
      </c>
      <c r="W922" s="1">
        <f>IF(Table1[[#This Row],[Cal Type]]&lt;&gt;"ACCREDITED 17025 WITH UNCERTAINTIES",0,"")</f>
        <v>0</v>
      </c>
      <c r="X922" s="1" t="str">
        <f>IF(Table1[[#This Row],[DUT Read]]="","N/A",Table1[[#This Row],[Std Error]]+Table1[[#This Row],[DUT Read]]+Table1[[#This Row],[DUT Ucty]])</f>
        <v>N/A</v>
      </c>
      <c r="Y922" s="1" t="str">
        <f>IF(Table1[[#This Row],[Std Read]]="","N/A",Table1[[#This Row],[Std Read]]+Table1[[#This Row],[Std Ucty]])</f>
        <v>N/A</v>
      </c>
      <c r="Z9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2" s="1" t="str">
        <f>IF(Table1[[#This Row],[Spec Type]]="","N/A",Table1[[#This Row],[Spec Type]])</f>
        <v>±</v>
      </c>
      <c r="AC922" s="1" t="str">
        <f>IF(Table1[[#This Row],[Spec Type2]]="N/A","N/A",IF(AND(Table1[[#This Row],[DUT Adj Read]]&gt;=Table1[[#This Row],[Low Tol]],Table1[[#This Row],[DUT Adj Read]]&lt;=Table1[[#This Row],[High Tol]]),"Pass","Fail"))</f>
        <v>Fail</v>
      </c>
      <c r="AD922" s="1" t="str">
        <f>IF(AND(Table1[[#This Row],[Spec Type2]]="N/A",Table1[[#This Row],[DUT Adj Read]]="N/A",Table1[[#This Row],[Std Adj Read]]="N/A"),"N/A",IF(Table1[[#This Row],[DUT Adj Read]]="N/A",IF(Table1[[#This Row],[Std Adj Read]]&gt;Table1[[#This Row],[Low Tol]],"Pass","Fail"),IF(Table1[[#This Row],[DUT Adj Read]]&gt;Table1[[#This Row],[Low Tol]],"Pass","Fail")))</f>
        <v>Pass</v>
      </c>
      <c r="AE922" s="1" t="str">
        <f>IF(AND(Table1[[#This Row],[Spec Type2]]="N/A",Table1[[#This Row],[DUT Adj Read]]="N/A",Table1[[#This Row],[Std Adj Read]]="N/A"),"N/A",IF(Table1[[#This Row],[DUT Adj Read]]="N/A",IF(Table1[[#This Row],[Std Adj Read]]&lt;Table1[[#This Row],[High Tol]],"Pass","Fail"),IF(Table1[[#This Row],[DUT Adj Read]]&lt;Table1[[#This Row],[High Tol]],"Pass","Fail")))</f>
        <v>Fail</v>
      </c>
      <c r="AF922" s="1" t="str">
        <f>IF(AND(Table1[[#This Row],[Spec Type2]]="N/A",Table1[[#This Row],[DUT Adj Read]]="N/A",Table1[[#This Row],[Std Adj Read]]="N/A"),"N/A",IF(Table1[[#This Row],[DUT Adj Read]]="N/A",IF(Table1[[#This Row],[Std Adj Read]]&gt;=Table1[[#This Row],[Low Tol]],"Pass","Fail"),IF(Table1[[#This Row],[DUT Adj Read]]&gt;=Table1[[#This Row],[Low Tol]],"Pass","Fail")))</f>
        <v>Pass</v>
      </c>
      <c r="AG922" s="1" t="str">
        <f>IF(AND(Table1[[#This Row],[Spec Type2]]="N/A",Table1[[#This Row],[DUT Adj Read]]="N/A",Table1[[#This Row],[Std Adj Read]]="N/A"),"N/A",IF(Table1[[#This Row],[DUT Adj Read]]="N/A",IF(Table1[[#This Row],[Std Adj Read]]&lt;=Table1[[#This Row],[High Tol]],"Pass","Fail"),IF(Table1[[#This Row],[DUT Adj Read]]&lt;=Table1[[#This Row],[High Tol]],"Pass","Fail")))</f>
        <v>Fail</v>
      </c>
      <c r="AH9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2" s="1" t="b">
        <v>0</v>
      </c>
      <c r="AN922" s="1" t="b">
        <v>0</v>
      </c>
      <c r="AO922" s="1" t="b">
        <v>0</v>
      </c>
    </row>
    <row r="923" spans="1:41" x14ac:dyDescent="0.25">
      <c r="A923" s="10"/>
      <c r="B923" s="10"/>
      <c r="C923" s="10"/>
      <c r="D923" s="10"/>
      <c r="E923" s="10"/>
      <c r="F923" s="10"/>
      <c r="G923" s="10"/>
      <c r="H923" s="10"/>
      <c r="I923" s="1" t="str">
        <f t="shared" si="42"/>
        <v/>
      </c>
      <c r="J923" s="1" t="s">
        <v>35</v>
      </c>
      <c r="K923" s="1" t="str">
        <f t="shared" si="43"/>
        <v/>
      </c>
      <c r="L923" s="1" t="str">
        <f t="shared" si="44"/>
        <v/>
      </c>
      <c r="M923" s="1">
        <f>IF(OR(Table1[[#This Row],[Std Nom]]="",Table1[[#This Row],[Std Read]]=""),0,Table1[[#This Row],[Std Nom]]-Table1[[#This Row],[Std Read]])</f>
        <v>0</v>
      </c>
      <c r="N923" s="1">
        <f>IF(Calculations!$F$5="ACCREDITED 17025 WITH UNCERTAINTIES",$N$10,0)</f>
        <v>0</v>
      </c>
      <c r="Q923" s="1">
        <f>Table1[[#This Row],[High Tol]]-Table1[[#This Row],[Low Tol]]</f>
        <v>0</v>
      </c>
      <c r="R923" s="1">
        <f>2*Table1[[#This Row],[Std Error]]</f>
        <v>0</v>
      </c>
      <c r="S923" s="1" t="str">
        <f>IF(Table1[[#This Row],[High Tol]]="","N/A",IFERROR(ABS(Table1[[#This Row],[Tol Span]]/Table1[[#This Row],[Error Span]]),"N/A"))</f>
        <v>N/A</v>
      </c>
      <c r="T923" s="1" t="str">
        <f>IF(OR(Table1[[#This Row],[Low Tol]]="",Table1[[#This Row],[High Tol]]=""),"Needs Analysis",IF(Table1[[#This Row],[Ratio]]&gt;=4,"Not Significant",IF(Table1[[#This Row],[Ratio]]&gt;=2,"Semi-Significant","Significant")))</f>
        <v>Needs Analysis</v>
      </c>
      <c r="W923" s="1">
        <f>IF(Table1[[#This Row],[Cal Type]]&lt;&gt;"ACCREDITED 17025 WITH UNCERTAINTIES",0,"")</f>
        <v>0</v>
      </c>
      <c r="X923" s="1" t="str">
        <f>IF(Table1[[#This Row],[DUT Read]]="","N/A",Table1[[#This Row],[Std Error]]+Table1[[#This Row],[DUT Read]]+Table1[[#This Row],[DUT Ucty]])</f>
        <v>N/A</v>
      </c>
      <c r="Y923" s="1" t="str">
        <f>IF(Table1[[#This Row],[Std Read]]="","N/A",Table1[[#This Row],[Std Read]]+Table1[[#This Row],[Std Ucty]])</f>
        <v>N/A</v>
      </c>
      <c r="Z9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3" s="1" t="str">
        <f>IF(Table1[[#This Row],[Spec Type]]="","N/A",Table1[[#This Row],[Spec Type]])</f>
        <v>±</v>
      </c>
      <c r="AC923" s="1" t="str">
        <f>IF(Table1[[#This Row],[Spec Type2]]="N/A","N/A",IF(AND(Table1[[#This Row],[DUT Adj Read]]&gt;=Table1[[#This Row],[Low Tol]],Table1[[#This Row],[DUT Adj Read]]&lt;=Table1[[#This Row],[High Tol]]),"Pass","Fail"))</f>
        <v>Fail</v>
      </c>
      <c r="AD923" s="1" t="str">
        <f>IF(AND(Table1[[#This Row],[Spec Type2]]="N/A",Table1[[#This Row],[DUT Adj Read]]="N/A",Table1[[#This Row],[Std Adj Read]]="N/A"),"N/A",IF(Table1[[#This Row],[DUT Adj Read]]="N/A",IF(Table1[[#This Row],[Std Adj Read]]&gt;Table1[[#This Row],[Low Tol]],"Pass","Fail"),IF(Table1[[#This Row],[DUT Adj Read]]&gt;Table1[[#This Row],[Low Tol]],"Pass","Fail")))</f>
        <v>Pass</v>
      </c>
      <c r="AE923" s="1" t="str">
        <f>IF(AND(Table1[[#This Row],[Spec Type2]]="N/A",Table1[[#This Row],[DUT Adj Read]]="N/A",Table1[[#This Row],[Std Adj Read]]="N/A"),"N/A",IF(Table1[[#This Row],[DUT Adj Read]]="N/A",IF(Table1[[#This Row],[Std Adj Read]]&lt;Table1[[#This Row],[High Tol]],"Pass","Fail"),IF(Table1[[#This Row],[DUT Adj Read]]&lt;Table1[[#This Row],[High Tol]],"Pass","Fail")))</f>
        <v>Fail</v>
      </c>
      <c r="AF923" s="1" t="str">
        <f>IF(AND(Table1[[#This Row],[Spec Type2]]="N/A",Table1[[#This Row],[DUT Adj Read]]="N/A",Table1[[#This Row],[Std Adj Read]]="N/A"),"N/A",IF(Table1[[#This Row],[DUT Adj Read]]="N/A",IF(Table1[[#This Row],[Std Adj Read]]&gt;=Table1[[#This Row],[Low Tol]],"Pass","Fail"),IF(Table1[[#This Row],[DUT Adj Read]]&gt;=Table1[[#This Row],[Low Tol]],"Pass","Fail")))</f>
        <v>Pass</v>
      </c>
      <c r="AG923" s="1" t="str">
        <f>IF(AND(Table1[[#This Row],[Spec Type2]]="N/A",Table1[[#This Row],[DUT Adj Read]]="N/A",Table1[[#This Row],[Std Adj Read]]="N/A"),"N/A",IF(Table1[[#This Row],[DUT Adj Read]]="N/A",IF(Table1[[#This Row],[Std Adj Read]]&lt;=Table1[[#This Row],[High Tol]],"Pass","Fail"),IF(Table1[[#This Row],[DUT Adj Read]]&lt;=Table1[[#This Row],[High Tol]],"Pass","Fail")))</f>
        <v>Fail</v>
      </c>
      <c r="AH9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3" s="1" t="b">
        <v>0</v>
      </c>
      <c r="AN923" s="1" t="b">
        <v>0</v>
      </c>
      <c r="AO923" s="1" t="b">
        <v>0</v>
      </c>
    </row>
    <row r="924" spans="1:41" x14ac:dyDescent="0.25">
      <c r="A924" s="10"/>
      <c r="B924" s="10"/>
      <c r="C924" s="10"/>
      <c r="D924" s="10"/>
      <c r="E924" s="10"/>
      <c r="F924" s="10"/>
      <c r="G924" s="10"/>
      <c r="H924" s="10"/>
      <c r="I924" s="1" t="str">
        <f t="shared" si="42"/>
        <v/>
      </c>
      <c r="J924" s="1" t="s">
        <v>35</v>
      </c>
      <c r="K924" s="1" t="str">
        <f t="shared" si="43"/>
        <v/>
      </c>
      <c r="L924" s="1" t="str">
        <f t="shared" si="44"/>
        <v/>
      </c>
      <c r="M924" s="1">
        <f>IF(OR(Table1[[#This Row],[Std Nom]]="",Table1[[#This Row],[Std Read]]=""),0,Table1[[#This Row],[Std Nom]]-Table1[[#This Row],[Std Read]])</f>
        <v>0</v>
      </c>
      <c r="N924" s="1">
        <f>IF(Calculations!$F$5="ACCREDITED 17025 WITH UNCERTAINTIES",$N$10,0)</f>
        <v>0</v>
      </c>
      <c r="Q924" s="1">
        <f>Table1[[#This Row],[High Tol]]-Table1[[#This Row],[Low Tol]]</f>
        <v>0</v>
      </c>
      <c r="R924" s="1">
        <f>2*Table1[[#This Row],[Std Error]]</f>
        <v>0</v>
      </c>
      <c r="S924" s="1" t="str">
        <f>IF(Table1[[#This Row],[High Tol]]="","N/A",IFERROR(ABS(Table1[[#This Row],[Tol Span]]/Table1[[#This Row],[Error Span]]),"N/A"))</f>
        <v>N/A</v>
      </c>
      <c r="T924" s="1" t="str">
        <f>IF(OR(Table1[[#This Row],[Low Tol]]="",Table1[[#This Row],[High Tol]]=""),"Needs Analysis",IF(Table1[[#This Row],[Ratio]]&gt;=4,"Not Significant",IF(Table1[[#This Row],[Ratio]]&gt;=2,"Semi-Significant","Significant")))</f>
        <v>Needs Analysis</v>
      </c>
      <c r="W924" s="1">
        <f>IF(Table1[[#This Row],[Cal Type]]&lt;&gt;"ACCREDITED 17025 WITH UNCERTAINTIES",0,"")</f>
        <v>0</v>
      </c>
      <c r="X924" s="1" t="str">
        <f>IF(Table1[[#This Row],[DUT Read]]="","N/A",Table1[[#This Row],[Std Error]]+Table1[[#This Row],[DUT Read]]+Table1[[#This Row],[DUT Ucty]])</f>
        <v>N/A</v>
      </c>
      <c r="Y924" s="1" t="str">
        <f>IF(Table1[[#This Row],[Std Read]]="","N/A",Table1[[#This Row],[Std Read]]+Table1[[#This Row],[Std Ucty]])</f>
        <v>N/A</v>
      </c>
      <c r="Z9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4" s="1" t="str">
        <f>IF(Table1[[#This Row],[Spec Type]]="","N/A",Table1[[#This Row],[Spec Type]])</f>
        <v>±</v>
      </c>
      <c r="AC924" s="1" t="str">
        <f>IF(Table1[[#This Row],[Spec Type2]]="N/A","N/A",IF(AND(Table1[[#This Row],[DUT Adj Read]]&gt;=Table1[[#This Row],[Low Tol]],Table1[[#This Row],[DUT Adj Read]]&lt;=Table1[[#This Row],[High Tol]]),"Pass","Fail"))</f>
        <v>Fail</v>
      </c>
      <c r="AD924" s="1" t="str">
        <f>IF(AND(Table1[[#This Row],[Spec Type2]]="N/A",Table1[[#This Row],[DUT Adj Read]]="N/A",Table1[[#This Row],[Std Adj Read]]="N/A"),"N/A",IF(Table1[[#This Row],[DUT Adj Read]]="N/A",IF(Table1[[#This Row],[Std Adj Read]]&gt;Table1[[#This Row],[Low Tol]],"Pass","Fail"),IF(Table1[[#This Row],[DUT Adj Read]]&gt;Table1[[#This Row],[Low Tol]],"Pass","Fail")))</f>
        <v>Pass</v>
      </c>
      <c r="AE924" s="1" t="str">
        <f>IF(AND(Table1[[#This Row],[Spec Type2]]="N/A",Table1[[#This Row],[DUT Adj Read]]="N/A",Table1[[#This Row],[Std Adj Read]]="N/A"),"N/A",IF(Table1[[#This Row],[DUT Adj Read]]="N/A",IF(Table1[[#This Row],[Std Adj Read]]&lt;Table1[[#This Row],[High Tol]],"Pass","Fail"),IF(Table1[[#This Row],[DUT Adj Read]]&lt;Table1[[#This Row],[High Tol]],"Pass","Fail")))</f>
        <v>Fail</v>
      </c>
      <c r="AF924" s="1" t="str">
        <f>IF(AND(Table1[[#This Row],[Spec Type2]]="N/A",Table1[[#This Row],[DUT Adj Read]]="N/A",Table1[[#This Row],[Std Adj Read]]="N/A"),"N/A",IF(Table1[[#This Row],[DUT Adj Read]]="N/A",IF(Table1[[#This Row],[Std Adj Read]]&gt;=Table1[[#This Row],[Low Tol]],"Pass","Fail"),IF(Table1[[#This Row],[DUT Adj Read]]&gt;=Table1[[#This Row],[Low Tol]],"Pass","Fail")))</f>
        <v>Pass</v>
      </c>
      <c r="AG924" s="1" t="str">
        <f>IF(AND(Table1[[#This Row],[Spec Type2]]="N/A",Table1[[#This Row],[DUT Adj Read]]="N/A",Table1[[#This Row],[Std Adj Read]]="N/A"),"N/A",IF(Table1[[#This Row],[DUT Adj Read]]="N/A",IF(Table1[[#This Row],[Std Adj Read]]&lt;=Table1[[#This Row],[High Tol]],"Pass","Fail"),IF(Table1[[#This Row],[DUT Adj Read]]&lt;=Table1[[#This Row],[High Tol]],"Pass","Fail")))</f>
        <v>Fail</v>
      </c>
      <c r="AH9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4" s="1" t="b">
        <v>0</v>
      </c>
      <c r="AN924" s="1" t="b">
        <v>0</v>
      </c>
      <c r="AO924" s="1" t="b">
        <v>0</v>
      </c>
    </row>
    <row r="925" spans="1:41" x14ac:dyDescent="0.25">
      <c r="A925" s="10"/>
      <c r="B925" s="10"/>
      <c r="C925" s="10"/>
      <c r="D925" s="10"/>
      <c r="E925" s="10"/>
      <c r="F925" s="10"/>
      <c r="G925" s="10"/>
      <c r="H925" s="10"/>
      <c r="I925" s="1" t="str">
        <f t="shared" si="42"/>
        <v/>
      </c>
      <c r="J925" s="1" t="s">
        <v>35</v>
      </c>
      <c r="K925" s="1" t="str">
        <f t="shared" si="43"/>
        <v/>
      </c>
      <c r="L925" s="1" t="str">
        <f t="shared" si="44"/>
        <v/>
      </c>
      <c r="M925" s="1">
        <f>IF(OR(Table1[[#This Row],[Std Nom]]="",Table1[[#This Row],[Std Read]]=""),0,Table1[[#This Row],[Std Nom]]-Table1[[#This Row],[Std Read]])</f>
        <v>0</v>
      </c>
      <c r="N925" s="1">
        <f>IF(Calculations!$F$5="ACCREDITED 17025 WITH UNCERTAINTIES",$N$10,0)</f>
        <v>0</v>
      </c>
      <c r="Q925" s="1">
        <f>Table1[[#This Row],[High Tol]]-Table1[[#This Row],[Low Tol]]</f>
        <v>0</v>
      </c>
      <c r="R925" s="1">
        <f>2*Table1[[#This Row],[Std Error]]</f>
        <v>0</v>
      </c>
      <c r="S925" s="1" t="str">
        <f>IF(Table1[[#This Row],[High Tol]]="","N/A",IFERROR(ABS(Table1[[#This Row],[Tol Span]]/Table1[[#This Row],[Error Span]]),"N/A"))</f>
        <v>N/A</v>
      </c>
      <c r="T925" s="1" t="str">
        <f>IF(OR(Table1[[#This Row],[Low Tol]]="",Table1[[#This Row],[High Tol]]=""),"Needs Analysis",IF(Table1[[#This Row],[Ratio]]&gt;=4,"Not Significant",IF(Table1[[#This Row],[Ratio]]&gt;=2,"Semi-Significant","Significant")))</f>
        <v>Needs Analysis</v>
      </c>
      <c r="W925" s="1">
        <f>IF(Table1[[#This Row],[Cal Type]]&lt;&gt;"ACCREDITED 17025 WITH UNCERTAINTIES",0,"")</f>
        <v>0</v>
      </c>
      <c r="X925" s="1" t="str">
        <f>IF(Table1[[#This Row],[DUT Read]]="","N/A",Table1[[#This Row],[Std Error]]+Table1[[#This Row],[DUT Read]]+Table1[[#This Row],[DUT Ucty]])</f>
        <v>N/A</v>
      </c>
      <c r="Y925" s="1" t="str">
        <f>IF(Table1[[#This Row],[Std Read]]="","N/A",Table1[[#This Row],[Std Read]]+Table1[[#This Row],[Std Ucty]])</f>
        <v>N/A</v>
      </c>
      <c r="Z9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5" s="1" t="str">
        <f>IF(Table1[[#This Row],[Spec Type]]="","N/A",Table1[[#This Row],[Spec Type]])</f>
        <v>±</v>
      </c>
      <c r="AC925" s="1" t="str">
        <f>IF(Table1[[#This Row],[Spec Type2]]="N/A","N/A",IF(AND(Table1[[#This Row],[DUT Adj Read]]&gt;=Table1[[#This Row],[Low Tol]],Table1[[#This Row],[DUT Adj Read]]&lt;=Table1[[#This Row],[High Tol]]),"Pass","Fail"))</f>
        <v>Fail</v>
      </c>
      <c r="AD925" s="1" t="str">
        <f>IF(AND(Table1[[#This Row],[Spec Type2]]="N/A",Table1[[#This Row],[DUT Adj Read]]="N/A",Table1[[#This Row],[Std Adj Read]]="N/A"),"N/A",IF(Table1[[#This Row],[DUT Adj Read]]="N/A",IF(Table1[[#This Row],[Std Adj Read]]&gt;Table1[[#This Row],[Low Tol]],"Pass","Fail"),IF(Table1[[#This Row],[DUT Adj Read]]&gt;Table1[[#This Row],[Low Tol]],"Pass","Fail")))</f>
        <v>Pass</v>
      </c>
      <c r="AE925" s="1" t="str">
        <f>IF(AND(Table1[[#This Row],[Spec Type2]]="N/A",Table1[[#This Row],[DUT Adj Read]]="N/A",Table1[[#This Row],[Std Adj Read]]="N/A"),"N/A",IF(Table1[[#This Row],[DUT Adj Read]]="N/A",IF(Table1[[#This Row],[Std Adj Read]]&lt;Table1[[#This Row],[High Tol]],"Pass","Fail"),IF(Table1[[#This Row],[DUT Adj Read]]&lt;Table1[[#This Row],[High Tol]],"Pass","Fail")))</f>
        <v>Fail</v>
      </c>
      <c r="AF925" s="1" t="str">
        <f>IF(AND(Table1[[#This Row],[Spec Type2]]="N/A",Table1[[#This Row],[DUT Adj Read]]="N/A",Table1[[#This Row],[Std Adj Read]]="N/A"),"N/A",IF(Table1[[#This Row],[DUT Adj Read]]="N/A",IF(Table1[[#This Row],[Std Adj Read]]&gt;=Table1[[#This Row],[Low Tol]],"Pass","Fail"),IF(Table1[[#This Row],[DUT Adj Read]]&gt;=Table1[[#This Row],[Low Tol]],"Pass","Fail")))</f>
        <v>Pass</v>
      </c>
      <c r="AG925" s="1" t="str">
        <f>IF(AND(Table1[[#This Row],[Spec Type2]]="N/A",Table1[[#This Row],[DUT Adj Read]]="N/A",Table1[[#This Row],[Std Adj Read]]="N/A"),"N/A",IF(Table1[[#This Row],[DUT Adj Read]]="N/A",IF(Table1[[#This Row],[Std Adj Read]]&lt;=Table1[[#This Row],[High Tol]],"Pass","Fail"),IF(Table1[[#This Row],[DUT Adj Read]]&lt;=Table1[[#This Row],[High Tol]],"Pass","Fail")))</f>
        <v>Fail</v>
      </c>
      <c r="AH9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5" s="1" t="b">
        <v>0</v>
      </c>
      <c r="AN925" s="1" t="b">
        <v>0</v>
      </c>
      <c r="AO925" s="1" t="b">
        <v>0</v>
      </c>
    </row>
    <row r="926" spans="1:41" x14ac:dyDescent="0.25">
      <c r="A926" s="10"/>
      <c r="B926" s="10"/>
      <c r="C926" s="10"/>
      <c r="D926" s="10"/>
      <c r="E926" s="10"/>
      <c r="F926" s="10"/>
      <c r="G926" s="10"/>
      <c r="H926" s="10"/>
      <c r="I926" s="1" t="str">
        <f t="shared" si="42"/>
        <v/>
      </c>
      <c r="J926" s="1" t="s">
        <v>35</v>
      </c>
      <c r="K926" s="1" t="str">
        <f t="shared" si="43"/>
        <v/>
      </c>
      <c r="L926" s="1" t="str">
        <f t="shared" si="44"/>
        <v/>
      </c>
      <c r="M926" s="1">
        <f>IF(OR(Table1[[#This Row],[Std Nom]]="",Table1[[#This Row],[Std Read]]=""),0,Table1[[#This Row],[Std Nom]]-Table1[[#This Row],[Std Read]])</f>
        <v>0</v>
      </c>
      <c r="N926" s="1">
        <f>IF(Calculations!$F$5="ACCREDITED 17025 WITH UNCERTAINTIES",$N$10,0)</f>
        <v>0</v>
      </c>
      <c r="Q926" s="1">
        <f>Table1[[#This Row],[High Tol]]-Table1[[#This Row],[Low Tol]]</f>
        <v>0</v>
      </c>
      <c r="R926" s="1">
        <f>2*Table1[[#This Row],[Std Error]]</f>
        <v>0</v>
      </c>
      <c r="S926" s="1" t="str">
        <f>IF(Table1[[#This Row],[High Tol]]="","N/A",IFERROR(ABS(Table1[[#This Row],[Tol Span]]/Table1[[#This Row],[Error Span]]),"N/A"))</f>
        <v>N/A</v>
      </c>
      <c r="T926" s="1" t="str">
        <f>IF(OR(Table1[[#This Row],[Low Tol]]="",Table1[[#This Row],[High Tol]]=""),"Needs Analysis",IF(Table1[[#This Row],[Ratio]]&gt;=4,"Not Significant",IF(Table1[[#This Row],[Ratio]]&gt;=2,"Semi-Significant","Significant")))</f>
        <v>Needs Analysis</v>
      </c>
      <c r="W926" s="1">
        <f>IF(Table1[[#This Row],[Cal Type]]&lt;&gt;"ACCREDITED 17025 WITH UNCERTAINTIES",0,"")</f>
        <v>0</v>
      </c>
      <c r="X926" s="1" t="str">
        <f>IF(Table1[[#This Row],[DUT Read]]="","N/A",Table1[[#This Row],[Std Error]]+Table1[[#This Row],[DUT Read]]+Table1[[#This Row],[DUT Ucty]])</f>
        <v>N/A</v>
      </c>
      <c r="Y926" s="1" t="str">
        <f>IF(Table1[[#This Row],[Std Read]]="","N/A",Table1[[#This Row],[Std Read]]+Table1[[#This Row],[Std Ucty]])</f>
        <v>N/A</v>
      </c>
      <c r="Z9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6" s="1" t="str">
        <f>IF(Table1[[#This Row],[Spec Type]]="","N/A",Table1[[#This Row],[Spec Type]])</f>
        <v>±</v>
      </c>
      <c r="AC926" s="1" t="str">
        <f>IF(Table1[[#This Row],[Spec Type2]]="N/A","N/A",IF(AND(Table1[[#This Row],[DUT Adj Read]]&gt;=Table1[[#This Row],[Low Tol]],Table1[[#This Row],[DUT Adj Read]]&lt;=Table1[[#This Row],[High Tol]]),"Pass","Fail"))</f>
        <v>Fail</v>
      </c>
      <c r="AD926" s="1" t="str">
        <f>IF(AND(Table1[[#This Row],[Spec Type2]]="N/A",Table1[[#This Row],[DUT Adj Read]]="N/A",Table1[[#This Row],[Std Adj Read]]="N/A"),"N/A",IF(Table1[[#This Row],[DUT Adj Read]]="N/A",IF(Table1[[#This Row],[Std Adj Read]]&gt;Table1[[#This Row],[Low Tol]],"Pass","Fail"),IF(Table1[[#This Row],[DUT Adj Read]]&gt;Table1[[#This Row],[Low Tol]],"Pass","Fail")))</f>
        <v>Pass</v>
      </c>
      <c r="AE926" s="1" t="str">
        <f>IF(AND(Table1[[#This Row],[Spec Type2]]="N/A",Table1[[#This Row],[DUT Adj Read]]="N/A",Table1[[#This Row],[Std Adj Read]]="N/A"),"N/A",IF(Table1[[#This Row],[DUT Adj Read]]="N/A",IF(Table1[[#This Row],[Std Adj Read]]&lt;Table1[[#This Row],[High Tol]],"Pass","Fail"),IF(Table1[[#This Row],[DUT Adj Read]]&lt;Table1[[#This Row],[High Tol]],"Pass","Fail")))</f>
        <v>Fail</v>
      </c>
      <c r="AF926" s="1" t="str">
        <f>IF(AND(Table1[[#This Row],[Spec Type2]]="N/A",Table1[[#This Row],[DUT Adj Read]]="N/A",Table1[[#This Row],[Std Adj Read]]="N/A"),"N/A",IF(Table1[[#This Row],[DUT Adj Read]]="N/A",IF(Table1[[#This Row],[Std Adj Read]]&gt;=Table1[[#This Row],[Low Tol]],"Pass","Fail"),IF(Table1[[#This Row],[DUT Adj Read]]&gt;=Table1[[#This Row],[Low Tol]],"Pass","Fail")))</f>
        <v>Pass</v>
      </c>
      <c r="AG926" s="1" t="str">
        <f>IF(AND(Table1[[#This Row],[Spec Type2]]="N/A",Table1[[#This Row],[DUT Adj Read]]="N/A",Table1[[#This Row],[Std Adj Read]]="N/A"),"N/A",IF(Table1[[#This Row],[DUT Adj Read]]="N/A",IF(Table1[[#This Row],[Std Adj Read]]&lt;=Table1[[#This Row],[High Tol]],"Pass","Fail"),IF(Table1[[#This Row],[DUT Adj Read]]&lt;=Table1[[#This Row],[High Tol]],"Pass","Fail")))</f>
        <v>Fail</v>
      </c>
      <c r="AH9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6" s="1" t="b">
        <v>0</v>
      </c>
      <c r="AN926" s="1" t="b">
        <v>0</v>
      </c>
      <c r="AO926" s="1" t="b">
        <v>0</v>
      </c>
    </row>
    <row r="927" spans="1:41" x14ac:dyDescent="0.25">
      <c r="A927" s="10"/>
      <c r="B927" s="10"/>
      <c r="C927" s="10"/>
      <c r="D927" s="10"/>
      <c r="E927" s="10"/>
      <c r="F927" s="10"/>
      <c r="G927" s="10"/>
      <c r="H927" s="10"/>
      <c r="I927" s="1" t="str">
        <f t="shared" si="42"/>
        <v/>
      </c>
      <c r="J927" s="1" t="s">
        <v>35</v>
      </c>
      <c r="K927" s="1" t="str">
        <f t="shared" si="43"/>
        <v/>
      </c>
      <c r="L927" s="1" t="str">
        <f t="shared" si="44"/>
        <v/>
      </c>
      <c r="M927" s="1">
        <f>IF(OR(Table1[[#This Row],[Std Nom]]="",Table1[[#This Row],[Std Read]]=""),0,Table1[[#This Row],[Std Nom]]-Table1[[#This Row],[Std Read]])</f>
        <v>0</v>
      </c>
      <c r="N927" s="1">
        <f>IF(Calculations!$F$5="ACCREDITED 17025 WITH UNCERTAINTIES",$N$10,0)</f>
        <v>0</v>
      </c>
      <c r="Q927" s="1">
        <f>Table1[[#This Row],[High Tol]]-Table1[[#This Row],[Low Tol]]</f>
        <v>0</v>
      </c>
      <c r="R927" s="1">
        <f>2*Table1[[#This Row],[Std Error]]</f>
        <v>0</v>
      </c>
      <c r="S927" s="1" t="str">
        <f>IF(Table1[[#This Row],[High Tol]]="","N/A",IFERROR(ABS(Table1[[#This Row],[Tol Span]]/Table1[[#This Row],[Error Span]]),"N/A"))</f>
        <v>N/A</v>
      </c>
      <c r="T927" s="1" t="str">
        <f>IF(OR(Table1[[#This Row],[Low Tol]]="",Table1[[#This Row],[High Tol]]=""),"Needs Analysis",IF(Table1[[#This Row],[Ratio]]&gt;=4,"Not Significant",IF(Table1[[#This Row],[Ratio]]&gt;=2,"Semi-Significant","Significant")))</f>
        <v>Needs Analysis</v>
      </c>
      <c r="W927" s="1">
        <f>IF(Table1[[#This Row],[Cal Type]]&lt;&gt;"ACCREDITED 17025 WITH UNCERTAINTIES",0,"")</f>
        <v>0</v>
      </c>
      <c r="X927" s="1" t="str">
        <f>IF(Table1[[#This Row],[DUT Read]]="","N/A",Table1[[#This Row],[Std Error]]+Table1[[#This Row],[DUT Read]]+Table1[[#This Row],[DUT Ucty]])</f>
        <v>N/A</v>
      </c>
      <c r="Y927" s="1" t="str">
        <f>IF(Table1[[#This Row],[Std Read]]="","N/A",Table1[[#This Row],[Std Read]]+Table1[[#This Row],[Std Ucty]])</f>
        <v>N/A</v>
      </c>
      <c r="Z9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7" s="1" t="str">
        <f>IF(Table1[[#This Row],[Spec Type]]="","N/A",Table1[[#This Row],[Spec Type]])</f>
        <v>±</v>
      </c>
      <c r="AC927" s="1" t="str">
        <f>IF(Table1[[#This Row],[Spec Type2]]="N/A","N/A",IF(AND(Table1[[#This Row],[DUT Adj Read]]&gt;=Table1[[#This Row],[Low Tol]],Table1[[#This Row],[DUT Adj Read]]&lt;=Table1[[#This Row],[High Tol]]),"Pass","Fail"))</f>
        <v>Fail</v>
      </c>
      <c r="AD927" s="1" t="str">
        <f>IF(AND(Table1[[#This Row],[Spec Type2]]="N/A",Table1[[#This Row],[DUT Adj Read]]="N/A",Table1[[#This Row],[Std Adj Read]]="N/A"),"N/A",IF(Table1[[#This Row],[DUT Adj Read]]="N/A",IF(Table1[[#This Row],[Std Adj Read]]&gt;Table1[[#This Row],[Low Tol]],"Pass","Fail"),IF(Table1[[#This Row],[DUT Adj Read]]&gt;Table1[[#This Row],[Low Tol]],"Pass","Fail")))</f>
        <v>Pass</v>
      </c>
      <c r="AE927" s="1" t="str">
        <f>IF(AND(Table1[[#This Row],[Spec Type2]]="N/A",Table1[[#This Row],[DUT Adj Read]]="N/A",Table1[[#This Row],[Std Adj Read]]="N/A"),"N/A",IF(Table1[[#This Row],[DUT Adj Read]]="N/A",IF(Table1[[#This Row],[Std Adj Read]]&lt;Table1[[#This Row],[High Tol]],"Pass","Fail"),IF(Table1[[#This Row],[DUT Adj Read]]&lt;Table1[[#This Row],[High Tol]],"Pass","Fail")))</f>
        <v>Fail</v>
      </c>
      <c r="AF927" s="1" t="str">
        <f>IF(AND(Table1[[#This Row],[Spec Type2]]="N/A",Table1[[#This Row],[DUT Adj Read]]="N/A",Table1[[#This Row],[Std Adj Read]]="N/A"),"N/A",IF(Table1[[#This Row],[DUT Adj Read]]="N/A",IF(Table1[[#This Row],[Std Adj Read]]&gt;=Table1[[#This Row],[Low Tol]],"Pass","Fail"),IF(Table1[[#This Row],[DUT Adj Read]]&gt;=Table1[[#This Row],[Low Tol]],"Pass","Fail")))</f>
        <v>Pass</v>
      </c>
      <c r="AG927" s="1" t="str">
        <f>IF(AND(Table1[[#This Row],[Spec Type2]]="N/A",Table1[[#This Row],[DUT Adj Read]]="N/A",Table1[[#This Row],[Std Adj Read]]="N/A"),"N/A",IF(Table1[[#This Row],[DUT Adj Read]]="N/A",IF(Table1[[#This Row],[Std Adj Read]]&lt;=Table1[[#This Row],[High Tol]],"Pass","Fail"),IF(Table1[[#This Row],[DUT Adj Read]]&lt;=Table1[[#This Row],[High Tol]],"Pass","Fail")))</f>
        <v>Fail</v>
      </c>
      <c r="AH9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7" s="1" t="b">
        <v>0</v>
      </c>
      <c r="AN927" s="1" t="b">
        <v>0</v>
      </c>
      <c r="AO927" s="1" t="b">
        <v>0</v>
      </c>
    </row>
    <row r="928" spans="1:41" x14ac:dyDescent="0.25">
      <c r="A928" s="10"/>
      <c r="B928" s="10"/>
      <c r="C928" s="10"/>
      <c r="D928" s="10"/>
      <c r="E928" s="10"/>
      <c r="F928" s="10"/>
      <c r="G928" s="10"/>
      <c r="H928" s="10"/>
      <c r="I928" s="1" t="str">
        <f t="shared" si="42"/>
        <v/>
      </c>
      <c r="J928" s="1" t="s">
        <v>35</v>
      </c>
      <c r="K928" s="1" t="str">
        <f t="shared" si="43"/>
        <v/>
      </c>
      <c r="L928" s="1" t="str">
        <f t="shared" si="44"/>
        <v/>
      </c>
      <c r="M928" s="1">
        <f>IF(OR(Table1[[#This Row],[Std Nom]]="",Table1[[#This Row],[Std Read]]=""),0,Table1[[#This Row],[Std Nom]]-Table1[[#This Row],[Std Read]])</f>
        <v>0</v>
      </c>
      <c r="N928" s="1">
        <f>IF(Calculations!$F$5="ACCREDITED 17025 WITH UNCERTAINTIES",$N$10,0)</f>
        <v>0</v>
      </c>
      <c r="Q928" s="1">
        <f>Table1[[#This Row],[High Tol]]-Table1[[#This Row],[Low Tol]]</f>
        <v>0</v>
      </c>
      <c r="R928" s="1">
        <f>2*Table1[[#This Row],[Std Error]]</f>
        <v>0</v>
      </c>
      <c r="S928" s="1" t="str">
        <f>IF(Table1[[#This Row],[High Tol]]="","N/A",IFERROR(ABS(Table1[[#This Row],[Tol Span]]/Table1[[#This Row],[Error Span]]),"N/A"))</f>
        <v>N/A</v>
      </c>
      <c r="T928" s="1" t="str">
        <f>IF(OR(Table1[[#This Row],[Low Tol]]="",Table1[[#This Row],[High Tol]]=""),"Needs Analysis",IF(Table1[[#This Row],[Ratio]]&gt;=4,"Not Significant",IF(Table1[[#This Row],[Ratio]]&gt;=2,"Semi-Significant","Significant")))</f>
        <v>Needs Analysis</v>
      </c>
      <c r="W928" s="1">
        <f>IF(Table1[[#This Row],[Cal Type]]&lt;&gt;"ACCREDITED 17025 WITH UNCERTAINTIES",0,"")</f>
        <v>0</v>
      </c>
      <c r="X928" s="1" t="str">
        <f>IF(Table1[[#This Row],[DUT Read]]="","N/A",Table1[[#This Row],[Std Error]]+Table1[[#This Row],[DUT Read]]+Table1[[#This Row],[DUT Ucty]])</f>
        <v>N/A</v>
      </c>
      <c r="Y928" s="1" t="str">
        <f>IF(Table1[[#This Row],[Std Read]]="","N/A",Table1[[#This Row],[Std Read]]+Table1[[#This Row],[Std Ucty]])</f>
        <v>N/A</v>
      </c>
      <c r="Z9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8" s="1" t="str">
        <f>IF(Table1[[#This Row],[Spec Type]]="","N/A",Table1[[#This Row],[Spec Type]])</f>
        <v>±</v>
      </c>
      <c r="AC928" s="1" t="str">
        <f>IF(Table1[[#This Row],[Spec Type2]]="N/A","N/A",IF(AND(Table1[[#This Row],[DUT Adj Read]]&gt;=Table1[[#This Row],[Low Tol]],Table1[[#This Row],[DUT Adj Read]]&lt;=Table1[[#This Row],[High Tol]]),"Pass","Fail"))</f>
        <v>Fail</v>
      </c>
      <c r="AD928" s="1" t="str">
        <f>IF(AND(Table1[[#This Row],[Spec Type2]]="N/A",Table1[[#This Row],[DUT Adj Read]]="N/A",Table1[[#This Row],[Std Adj Read]]="N/A"),"N/A",IF(Table1[[#This Row],[DUT Adj Read]]="N/A",IF(Table1[[#This Row],[Std Adj Read]]&gt;Table1[[#This Row],[Low Tol]],"Pass","Fail"),IF(Table1[[#This Row],[DUT Adj Read]]&gt;Table1[[#This Row],[Low Tol]],"Pass","Fail")))</f>
        <v>Pass</v>
      </c>
      <c r="AE928" s="1" t="str">
        <f>IF(AND(Table1[[#This Row],[Spec Type2]]="N/A",Table1[[#This Row],[DUT Adj Read]]="N/A",Table1[[#This Row],[Std Adj Read]]="N/A"),"N/A",IF(Table1[[#This Row],[DUT Adj Read]]="N/A",IF(Table1[[#This Row],[Std Adj Read]]&lt;Table1[[#This Row],[High Tol]],"Pass","Fail"),IF(Table1[[#This Row],[DUT Adj Read]]&lt;Table1[[#This Row],[High Tol]],"Pass","Fail")))</f>
        <v>Fail</v>
      </c>
      <c r="AF928" s="1" t="str">
        <f>IF(AND(Table1[[#This Row],[Spec Type2]]="N/A",Table1[[#This Row],[DUT Adj Read]]="N/A",Table1[[#This Row],[Std Adj Read]]="N/A"),"N/A",IF(Table1[[#This Row],[DUT Adj Read]]="N/A",IF(Table1[[#This Row],[Std Adj Read]]&gt;=Table1[[#This Row],[Low Tol]],"Pass","Fail"),IF(Table1[[#This Row],[DUT Adj Read]]&gt;=Table1[[#This Row],[Low Tol]],"Pass","Fail")))</f>
        <v>Pass</v>
      </c>
      <c r="AG928" s="1" t="str">
        <f>IF(AND(Table1[[#This Row],[Spec Type2]]="N/A",Table1[[#This Row],[DUT Adj Read]]="N/A",Table1[[#This Row],[Std Adj Read]]="N/A"),"N/A",IF(Table1[[#This Row],[DUT Adj Read]]="N/A",IF(Table1[[#This Row],[Std Adj Read]]&lt;=Table1[[#This Row],[High Tol]],"Pass","Fail"),IF(Table1[[#This Row],[DUT Adj Read]]&lt;=Table1[[#This Row],[High Tol]],"Pass","Fail")))</f>
        <v>Fail</v>
      </c>
      <c r="AH9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8" s="1" t="b">
        <v>0</v>
      </c>
      <c r="AN928" s="1" t="b">
        <v>0</v>
      </c>
      <c r="AO928" s="1" t="b">
        <v>0</v>
      </c>
    </row>
    <row r="929" spans="1:41" x14ac:dyDescent="0.25">
      <c r="A929" s="10"/>
      <c r="B929" s="10"/>
      <c r="C929" s="10"/>
      <c r="D929" s="10"/>
      <c r="E929" s="10"/>
      <c r="F929" s="10"/>
      <c r="G929" s="10"/>
      <c r="H929" s="10"/>
      <c r="I929" s="1" t="str">
        <f t="shared" si="42"/>
        <v/>
      </c>
      <c r="J929" s="1" t="s">
        <v>35</v>
      </c>
      <c r="K929" s="1" t="str">
        <f t="shared" si="43"/>
        <v/>
      </c>
      <c r="L929" s="1" t="str">
        <f t="shared" si="44"/>
        <v/>
      </c>
      <c r="M929" s="1">
        <f>IF(OR(Table1[[#This Row],[Std Nom]]="",Table1[[#This Row],[Std Read]]=""),0,Table1[[#This Row],[Std Nom]]-Table1[[#This Row],[Std Read]])</f>
        <v>0</v>
      </c>
      <c r="N929" s="1">
        <f>IF(Calculations!$F$5="ACCREDITED 17025 WITH UNCERTAINTIES",$N$10,0)</f>
        <v>0</v>
      </c>
      <c r="Q929" s="1">
        <f>Table1[[#This Row],[High Tol]]-Table1[[#This Row],[Low Tol]]</f>
        <v>0</v>
      </c>
      <c r="R929" s="1">
        <f>2*Table1[[#This Row],[Std Error]]</f>
        <v>0</v>
      </c>
      <c r="S929" s="1" t="str">
        <f>IF(Table1[[#This Row],[High Tol]]="","N/A",IFERROR(ABS(Table1[[#This Row],[Tol Span]]/Table1[[#This Row],[Error Span]]),"N/A"))</f>
        <v>N/A</v>
      </c>
      <c r="T929" s="1" t="str">
        <f>IF(OR(Table1[[#This Row],[Low Tol]]="",Table1[[#This Row],[High Tol]]=""),"Needs Analysis",IF(Table1[[#This Row],[Ratio]]&gt;=4,"Not Significant",IF(Table1[[#This Row],[Ratio]]&gt;=2,"Semi-Significant","Significant")))</f>
        <v>Needs Analysis</v>
      </c>
      <c r="W929" s="1">
        <f>IF(Table1[[#This Row],[Cal Type]]&lt;&gt;"ACCREDITED 17025 WITH UNCERTAINTIES",0,"")</f>
        <v>0</v>
      </c>
      <c r="X929" s="1" t="str">
        <f>IF(Table1[[#This Row],[DUT Read]]="","N/A",Table1[[#This Row],[Std Error]]+Table1[[#This Row],[DUT Read]]+Table1[[#This Row],[DUT Ucty]])</f>
        <v>N/A</v>
      </c>
      <c r="Y929" s="1" t="str">
        <f>IF(Table1[[#This Row],[Std Read]]="","N/A",Table1[[#This Row],[Std Read]]+Table1[[#This Row],[Std Ucty]])</f>
        <v>N/A</v>
      </c>
      <c r="Z9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29" s="1" t="str">
        <f>IF(Table1[[#This Row],[Spec Type]]="","N/A",Table1[[#This Row],[Spec Type]])</f>
        <v>±</v>
      </c>
      <c r="AC929" s="1" t="str">
        <f>IF(Table1[[#This Row],[Spec Type2]]="N/A","N/A",IF(AND(Table1[[#This Row],[DUT Adj Read]]&gt;=Table1[[#This Row],[Low Tol]],Table1[[#This Row],[DUT Adj Read]]&lt;=Table1[[#This Row],[High Tol]]),"Pass","Fail"))</f>
        <v>Fail</v>
      </c>
      <c r="AD929" s="1" t="str">
        <f>IF(AND(Table1[[#This Row],[Spec Type2]]="N/A",Table1[[#This Row],[DUT Adj Read]]="N/A",Table1[[#This Row],[Std Adj Read]]="N/A"),"N/A",IF(Table1[[#This Row],[DUT Adj Read]]="N/A",IF(Table1[[#This Row],[Std Adj Read]]&gt;Table1[[#This Row],[Low Tol]],"Pass","Fail"),IF(Table1[[#This Row],[DUT Adj Read]]&gt;Table1[[#This Row],[Low Tol]],"Pass","Fail")))</f>
        <v>Pass</v>
      </c>
      <c r="AE929" s="1" t="str">
        <f>IF(AND(Table1[[#This Row],[Spec Type2]]="N/A",Table1[[#This Row],[DUT Adj Read]]="N/A",Table1[[#This Row],[Std Adj Read]]="N/A"),"N/A",IF(Table1[[#This Row],[DUT Adj Read]]="N/A",IF(Table1[[#This Row],[Std Adj Read]]&lt;Table1[[#This Row],[High Tol]],"Pass","Fail"),IF(Table1[[#This Row],[DUT Adj Read]]&lt;Table1[[#This Row],[High Tol]],"Pass","Fail")))</f>
        <v>Fail</v>
      </c>
      <c r="AF929" s="1" t="str">
        <f>IF(AND(Table1[[#This Row],[Spec Type2]]="N/A",Table1[[#This Row],[DUT Adj Read]]="N/A",Table1[[#This Row],[Std Adj Read]]="N/A"),"N/A",IF(Table1[[#This Row],[DUT Adj Read]]="N/A",IF(Table1[[#This Row],[Std Adj Read]]&gt;=Table1[[#This Row],[Low Tol]],"Pass","Fail"),IF(Table1[[#This Row],[DUT Adj Read]]&gt;=Table1[[#This Row],[Low Tol]],"Pass","Fail")))</f>
        <v>Pass</v>
      </c>
      <c r="AG929" s="1" t="str">
        <f>IF(AND(Table1[[#This Row],[Spec Type2]]="N/A",Table1[[#This Row],[DUT Adj Read]]="N/A",Table1[[#This Row],[Std Adj Read]]="N/A"),"N/A",IF(Table1[[#This Row],[DUT Adj Read]]="N/A",IF(Table1[[#This Row],[Std Adj Read]]&lt;=Table1[[#This Row],[High Tol]],"Pass","Fail"),IF(Table1[[#This Row],[DUT Adj Read]]&lt;=Table1[[#This Row],[High Tol]],"Pass","Fail")))</f>
        <v>Fail</v>
      </c>
      <c r="AH9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29" s="1" t="b">
        <v>0</v>
      </c>
      <c r="AN929" s="1" t="b">
        <v>0</v>
      </c>
      <c r="AO929" s="1" t="b">
        <v>0</v>
      </c>
    </row>
    <row r="930" spans="1:41" x14ac:dyDescent="0.25">
      <c r="A930" s="10"/>
      <c r="B930" s="10"/>
      <c r="C930" s="10"/>
      <c r="D930" s="10"/>
      <c r="E930" s="10"/>
      <c r="F930" s="10"/>
      <c r="G930" s="10"/>
      <c r="H930" s="10"/>
      <c r="I930" s="1" t="str">
        <f t="shared" si="42"/>
        <v/>
      </c>
      <c r="J930" s="1" t="s">
        <v>35</v>
      </c>
      <c r="K930" s="1" t="str">
        <f t="shared" si="43"/>
        <v/>
      </c>
      <c r="L930" s="1" t="str">
        <f t="shared" si="44"/>
        <v/>
      </c>
      <c r="M930" s="1">
        <f>IF(OR(Table1[[#This Row],[Std Nom]]="",Table1[[#This Row],[Std Read]]=""),0,Table1[[#This Row],[Std Nom]]-Table1[[#This Row],[Std Read]])</f>
        <v>0</v>
      </c>
      <c r="N930" s="1">
        <f>IF(Calculations!$F$5="ACCREDITED 17025 WITH UNCERTAINTIES",$N$10,0)</f>
        <v>0</v>
      </c>
      <c r="Q930" s="1">
        <f>Table1[[#This Row],[High Tol]]-Table1[[#This Row],[Low Tol]]</f>
        <v>0</v>
      </c>
      <c r="R930" s="1">
        <f>2*Table1[[#This Row],[Std Error]]</f>
        <v>0</v>
      </c>
      <c r="S930" s="1" t="str">
        <f>IF(Table1[[#This Row],[High Tol]]="","N/A",IFERROR(ABS(Table1[[#This Row],[Tol Span]]/Table1[[#This Row],[Error Span]]),"N/A"))</f>
        <v>N/A</v>
      </c>
      <c r="T930" s="1" t="str">
        <f>IF(OR(Table1[[#This Row],[Low Tol]]="",Table1[[#This Row],[High Tol]]=""),"Needs Analysis",IF(Table1[[#This Row],[Ratio]]&gt;=4,"Not Significant",IF(Table1[[#This Row],[Ratio]]&gt;=2,"Semi-Significant","Significant")))</f>
        <v>Needs Analysis</v>
      </c>
      <c r="W930" s="1">
        <f>IF(Table1[[#This Row],[Cal Type]]&lt;&gt;"ACCREDITED 17025 WITH UNCERTAINTIES",0,"")</f>
        <v>0</v>
      </c>
      <c r="X930" s="1" t="str">
        <f>IF(Table1[[#This Row],[DUT Read]]="","N/A",Table1[[#This Row],[Std Error]]+Table1[[#This Row],[DUT Read]]+Table1[[#This Row],[DUT Ucty]])</f>
        <v>N/A</v>
      </c>
      <c r="Y930" s="1" t="str">
        <f>IF(Table1[[#This Row],[Std Read]]="","N/A",Table1[[#This Row],[Std Read]]+Table1[[#This Row],[Std Ucty]])</f>
        <v>N/A</v>
      </c>
      <c r="Z9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0" s="1" t="str">
        <f>IF(Table1[[#This Row],[Spec Type]]="","N/A",Table1[[#This Row],[Spec Type]])</f>
        <v>±</v>
      </c>
      <c r="AC930" s="1" t="str">
        <f>IF(Table1[[#This Row],[Spec Type2]]="N/A","N/A",IF(AND(Table1[[#This Row],[DUT Adj Read]]&gt;=Table1[[#This Row],[Low Tol]],Table1[[#This Row],[DUT Adj Read]]&lt;=Table1[[#This Row],[High Tol]]),"Pass","Fail"))</f>
        <v>Fail</v>
      </c>
      <c r="AD930" s="1" t="str">
        <f>IF(AND(Table1[[#This Row],[Spec Type2]]="N/A",Table1[[#This Row],[DUT Adj Read]]="N/A",Table1[[#This Row],[Std Adj Read]]="N/A"),"N/A",IF(Table1[[#This Row],[DUT Adj Read]]="N/A",IF(Table1[[#This Row],[Std Adj Read]]&gt;Table1[[#This Row],[Low Tol]],"Pass","Fail"),IF(Table1[[#This Row],[DUT Adj Read]]&gt;Table1[[#This Row],[Low Tol]],"Pass","Fail")))</f>
        <v>Pass</v>
      </c>
      <c r="AE930" s="1" t="str">
        <f>IF(AND(Table1[[#This Row],[Spec Type2]]="N/A",Table1[[#This Row],[DUT Adj Read]]="N/A",Table1[[#This Row],[Std Adj Read]]="N/A"),"N/A",IF(Table1[[#This Row],[DUT Adj Read]]="N/A",IF(Table1[[#This Row],[Std Adj Read]]&lt;Table1[[#This Row],[High Tol]],"Pass","Fail"),IF(Table1[[#This Row],[DUT Adj Read]]&lt;Table1[[#This Row],[High Tol]],"Pass","Fail")))</f>
        <v>Fail</v>
      </c>
      <c r="AF930" s="1" t="str">
        <f>IF(AND(Table1[[#This Row],[Spec Type2]]="N/A",Table1[[#This Row],[DUT Adj Read]]="N/A",Table1[[#This Row],[Std Adj Read]]="N/A"),"N/A",IF(Table1[[#This Row],[DUT Adj Read]]="N/A",IF(Table1[[#This Row],[Std Adj Read]]&gt;=Table1[[#This Row],[Low Tol]],"Pass","Fail"),IF(Table1[[#This Row],[DUT Adj Read]]&gt;=Table1[[#This Row],[Low Tol]],"Pass","Fail")))</f>
        <v>Pass</v>
      </c>
      <c r="AG930" s="1" t="str">
        <f>IF(AND(Table1[[#This Row],[Spec Type2]]="N/A",Table1[[#This Row],[DUT Adj Read]]="N/A",Table1[[#This Row],[Std Adj Read]]="N/A"),"N/A",IF(Table1[[#This Row],[DUT Adj Read]]="N/A",IF(Table1[[#This Row],[Std Adj Read]]&lt;=Table1[[#This Row],[High Tol]],"Pass","Fail"),IF(Table1[[#This Row],[DUT Adj Read]]&lt;=Table1[[#This Row],[High Tol]],"Pass","Fail")))</f>
        <v>Fail</v>
      </c>
      <c r="AH9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0" s="1" t="b">
        <v>0</v>
      </c>
      <c r="AN930" s="1" t="b">
        <v>0</v>
      </c>
      <c r="AO930" s="1" t="b">
        <v>0</v>
      </c>
    </row>
    <row r="931" spans="1:41" x14ac:dyDescent="0.25">
      <c r="A931" s="10"/>
      <c r="B931" s="10"/>
      <c r="C931" s="10"/>
      <c r="D931" s="10"/>
      <c r="E931" s="10"/>
      <c r="F931" s="10"/>
      <c r="G931" s="10"/>
      <c r="H931" s="10"/>
      <c r="I931" s="1" t="str">
        <f t="shared" si="42"/>
        <v/>
      </c>
      <c r="J931" s="1" t="s">
        <v>35</v>
      </c>
      <c r="K931" s="1" t="str">
        <f t="shared" si="43"/>
        <v/>
      </c>
      <c r="L931" s="1" t="str">
        <f t="shared" si="44"/>
        <v/>
      </c>
      <c r="M931" s="1">
        <f>IF(OR(Table1[[#This Row],[Std Nom]]="",Table1[[#This Row],[Std Read]]=""),0,Table1[[#This Row],[Std Nom]]-Table1[[#This Row],[Std Read]])</f>
        <v>0</v>
      </c>
      <c r="N931" s="1">
        <f>IF(Calculations!$F$5="ACCREDITED 17025 WITH UNCERTAINTIES",$N$10,0)</f>
        <v>0</v>
      </c>
      <c r="Q931" s="1">
        <f>Table1[[#This Row],[High Tol]]-Table1[[#This Row],[Low Tol]]</f>
        <v>0</v>
      </c>
      <c r="R931" s="1">
        <f>2*Table1[[#This Row],[Std Error]]</f>
        <v>0</v>
      </c>
      <c r="S931" s="1" t="str">
        <f>IF(Table1[[#This Row],[High Tol]]="","N/A",IFERROR(ABS(Table1[[#This Row],[Tol Span]]/Table1[[#This Row],[Error Span]]),"N/A"))</f>
        <v>N/A</v>
      </c>
      <c r="T931" s="1" t="str">
        <f>IF(OR(Table1[[#This Row],[Low Tol]]="",Table1[[#This Row],[High Tol]]=""),"Needs Analysis",IF(Table1[[#This Row],[Ratio]]&gt;=4,"Not Significant",IF(Table1[[#This Row],[Ratio]]&gt;=2,"Semi-Significant","Significant")))</f>
        <v>Needs Analysis</v>
      </c>
      <c r="W931" s="1">
        <f>IF(Table1[[#This Row],[Cal Type]]&lt;&gt;"ACCREDITED 17025 WITH UNCERTAINTIES",0,"")</f>
        <v>0</v>
      </c>
      <c r="X931" s="1" t="str">
        <f>IF(Table1[[#This Row],[DUT Read]]="","N/A",Table1[[#This Row],[Std Error]]+Table1[[#This Row],[DUT Read]]+Table1[[#This Row],[DUT Ucty]])</f>
        <v>N/A</v>
      </c>
      <c r="Y931" s="1" t="str">
        <f>IF(Table1[[#This Row],[Std Read]]="","N/A",Table1[[#This Row],[Std Read]]+Table1[[#This Row],[Std Ucty]])</f>
        <v>N/A</v>
      </c>
      <c r="Z9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1" s="1" t="str">
        <f>IF(Table1[[#This Row],[Spec Type]]="","N/A",Table1[[#This Row],[Spec Type]])</f>
        <v>±</v>
      </c>
      <c r="AC931" s="1" t="str">
        <f>IF(Table1[[#This Row],[Spec Type2]]="N/A","N/A",IF(AND(Table1[[#This Row],[DUT Adj Read]]&gt;=Table1[[#This Row],[Low Tol]],Table1[[#This Row],[DUT Adj Read]]&lt;=Table1[[#This Row],[High Tol]]),"Pass","Fail"))</f>
        <v>Fail</v>
      </c>
      <c r="AD931" s="1" t="str">
        <f>IF(AND(Table1[[#This Row],[Spec Type2]]="N/A",Table1[[#This Row],[DUT Adj Read]]="N/A",Table1[[#This Row],[Std Adj Read]]="N/A"),"N/A",IF(Table1[[#This Row],[DUT Adj Read]]="N/A",IF(Table1[[#This Row],[Std Adj Read]]&gt;Table1[[#This Row],[Low Tol]],"Pass","Fail"),IF(Table1[[#This Row],[DUT Adj Read]]&gt;Table1[[#This Row],[Low Tol]],"Pass","Fail")))</f>
        <v>Pass</v>
      </c>
      <c r="AE931" s="1" t="str">
        <f>IF(AND(Table1[[#This Row],[Spec Type2]]="N/A",Table1[[#This Row],[DUT Adj Read]]="N/A",Table1[[#This Row],[Std Adj Read]]="N/A"),"N/A",IF(Table1[[#This Row],[DUT Adj Read]]="N/A",IF(Table1[[#This Row],[Std Adj Read]]&lt;Table1[[#This Row],[High Tol]],"Pass","Fail"),IF(Table1[[#This Row],[DUT Adj Read]]&lt;Table1[[#This Row],[High Tol]],"Pass","Fail")))</f>
        <v>Fail</v>
      </c>
      <c r="AF931" s="1" t="str">
        <f>IF(AND(Table1[[#This Row],[Spec Type2]]="N/A",Table1[[#This Row],[DUT Adj Read]]="N/A",Table1[[#This Row],[Std Adj Read]]="N/A"),"N/A",IF(Table1[[#This Row],[DUT Adj Read]]="N/A",IF(Table1[[#This Row],[Std Adj Read]]&gt;=Table1[[#This Row],[Low Tol]],"Pass","Fail"),IF(Table1[[#This Row],[DUT Adj Read]]&gt;=Table1[[#This Row],[Low Tol]],"Pass","Fail")))</f>
        <v>Pass</v>
      </c>
      <c r="AG931" s="1" t="str">
        <f>IF(AND(Table1[[#This Row],[Spec Type2]]="N/A",Table1[[#This Row],[DUT Adj Read]]="N/A",Table1[[#This Row],[Std Adj Read]]="N/A"),"N/A",IF(Table1[[#This Row],[DUT Adj Read]]="N/A",IF(Table1[[#This Row],[Std Adj Read]]&lt;=Table1[[#This Row],[High Tol]],"Pass","Fail"),IF(Table1[[#This Row],[DUT Adj Read]]&lt;=Table1[[#This Row],[High Tol]],"Pass","Fail")))</f>
        <v>Fail</v>
      </c>
      <c r="AH9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1" s="1" t="b">
        <v>0</v>
      </c>
      <c r="AN931" s="1" t="b">
        <v>0</v>
      </c>
      <c r="AO931" s="1" t="b">
        <v>0</v>
      </c>
    </row>
    <row r="932" spans="1:41" x14ac:dyDescent="0.25">
      <c r="A932" s="10"/>
      <c r="B932" s="10"/>
      <c r="C932" s="10"/>
      <c r="D932" s="10"/>
      <c r="E932" s="10"/>
      <c r="F932" s="10"/>
      <c r="G932" s="10"/>
      <c r="H932" s="10"/>
      <c r="I932" s="1" t="str">
        <f t="shared" si="42"/>
        <v/>
      </c>
      <c r="J932" s="1" t="s">
        <v>35</v>
      </c>
      <c r="K932" s="1" t="str">
        <f t="shared" si="43"/>
        <v/>
      </c>
      <c r="L932" s="1" t="str">
        <f t="shared" si="44"/>
        <v/>
      </c>
      <c r="M932" s="1">
        <f>IF(OR(Table1[[#This Row],[Std Nom]]="",Table1[[#This Row],[Std Read]]=""),0,Table1[[#This Row],[Std Nom]]-Table1[[#This Row],[Std Read]])</f>
        <v>0</v>
      </c>
      <c r="N932" s="1">
        <f>IF(Calculations!$F$5="ACCREDITED 17025 WITH UNCERTAINTIES",$N$10,0)</f>
        <v>0</v>
      </c>
      <c r="Q932" s="1">
        <f>Table1[[#This Row],[High Tol]]-Table1[[#This Row],[Low Tol]]</f>
        <v>0</v>
      </c>
      <c r="R932" s="1">
        <f>2*Table1[[#This Row],[Std Error]]</f>
        <v>0</v>
      </c>
      <c r="S932" s="1" t="str">
        <f>IF(Table1[[#This Row],[High Tol]]="","N/A",IFERROR(ABS(Table1[[#This Row],[Tol Span]]/Table1[[#This Row],[Error Span]]),"N/A"))</f>
        <v>N/A</v>
      </c>
      <c r="T932" s="1" t="str">
        <f>IF(OR(Table1[[#This Row],[Low Tol]]="",Table1[[#This Row],[High Tol]]=""),"Needs Analysis",IF(Table1[[#This Row],[Ratio]]&gt;=4,"Not Significant",IF(Table1[[#This Row],[Ratio]]&gt;=2,"Semi-Significant","Significant")))</f>
        <v>Needs Analysis</v>
      </c>
      <c r="W932" s="1">
        <f>IF(Table1[[#This Row],[Cal Type]]&lt;&gt;"ACCREDITED 17025 WITH UNCERTAINTIES",0,"")</f>
        <v>0</v>
      </c>
      <c r="X932" s="1" t="str">
        <f>IF(Table1[[#This Row],[DUT Read]]="","N/A",Table1[[#This Row],[Std Error]]+Table1[[#This Row],[DUT Read]]+Table1[[#This Row],[DUT Ucty]])</f>
        <v>N/A</v>
      </c>
      <c r="Y932" s="1" t="str">
        <f>IF(Table1[[#This Row],[Std Read]]="","N/A",Table1[[#This Row],[Std Read]]+Table1[[#This Row],[Std Ucty]])</f>
        <v>N/A</v>
      </c>
      <c r="Z9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2" s="1" t="str">
        <f>IF(Table1[[#This Row],[Spec Type]]="","N/A",Table1[[#This Row],[Spec Type]])</f>
        <v>±</v>
      </c>
      <c r="AC932" s="1" t="str">
        <f>IF(Table1[[#This Row],[Spec Type2]]="N/A","N/A",IF(AND(Table1[[#This Row],[DUT Adj Read]]&gt;=Table1[[#This Row],[Low Tol]],Table1[[#This Row],[DUT Adj Read]]&lt;=Table1[[#This Row],[High Tol]]),"Pass","Fail"))</f>
        <v>Fail</v>
      </c>
      <c r="AD932" s="1" t="str">
        <f>IF(AND(Table1[[#This Row],[Spec Type2]]="N/A",Table1[[#This Row],[DUT Adj Read]]="N/A",Table1[[#This Row],[Std Adj Read]]="N/A"),"N/A",IF(Table1[[#This Row],[DUT Adj Read]]="N/A",IF(Table1[[#This Row],[Std Adj Read]]&gt;Table1[[#This Row],[Low Tol]],"Pass","Fail"),IF(Table1[[#This Row],[DUT Adj Read]]&gt;Table1[[#This Row],[Low Tol]],"Pass","Fail")))</f>
        <v>Pass</v>
      </c>
      <c r="AE932" s="1" t="str">
        <f>IF(AND(Table1[[#This Row],[Spec Type2]]="N/A",Table1[[#This Row],[DUT Adj Read]]="N/A",Table1[[#This Row],[Std Adj Read]]="N/A"),"N/A",IF(Table1[[#This Row],[DUT Adj Read]]="N/A",IF(Table1[[#This Row],[Std Adj Read]]&lt;Table1[[#This Row],[High Tol]],"Pass","Fail"),IF(Table1[[#This Row],[DUT Adj Read]]&lt;Table1[[#This Row],[High Tol]],"Pass","Fail")))</f>
        <v>Fail</v>
      </c>
      <c r="AF932" s="1" t="str">
        <f>IF(AND(Table1[[#This Row],[Spec Type2]]="N/A",Table1[[#This Row],[DUT Adj Read]]="N/A",Table1[[#This Row],[Std Adj Read]]="N/A"),"N/A",IF(Table1[[#This Row],[DUT Adj Read]]="N/A",IF(Table1[[#This Row],[Std Adj Read]]&gt;=Table1[[#This Row],[Low Tol]],"Pass","Fail"),IF(Table1[[#This Row],[DUT Adj Read]]&gt;=Table1[[#This Row],[Low Tol]],"Pass","Fail")))</f>
        <v>Pass</v>
      </c>
      <c r="AG932" s="1" t="str">
        <f>IF(AND(Table1[[#This Row],[Spec Type2]]="N/A",Table1[[#This Row],[DUT Adj Read]]="N/A",Table1[[#This Row],[Std Adj Read]]="N/A"),"N/A",IF(Table1[[#This Row],[DUT Adj Read]]="N/A",IF(Table1[[#This Row],[Std Adj Read]]&lt;=Table1[[#This Row],[High Tol]],"Pass","Fail"),IF(Table1[[#This Row],[DUT Adj Read]]&lt;=Table1[[#This Row],[High Tol]],"Pass","Fail")))</f>
        <v>Fail</v>
      </c>
      <c r="AH9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2" s="1" t="b">
        <v>0</v>
      </c>
      <c r="AN932" s="1" t="b">
        <v>0</v>
      </c>
      <c r="AO932" s="1" t="b">
        <v>0</v>
      </c>
    </row>
    <row r="933" spans="1:41" x14ac:dyDescent="0.25">
      <c r="A933" s="10"/>
      <c r="B933" s="10"/>
      <c r="C933" s="10"/>
      <c r="D933" s="10"/>
      <c r="E933" s="10"/>
      <c r="F933" s="10"/>
      <c r="G933" s="10"/>
      <c r="H933" s="10"/>
      <c r="I933" s="1" t="str">
        <f t="shared" si="42"/>
        <v/>
      </c>
      <c r="J933" s="1" t="s">
        <v>35</v>
      </c>
      <c r="K933" s="1" t="str">
        <f t="shared" si="43"/>
        <v/>
      </c>
      <c r="L933" s="1" t="str">
        <f t="shared" si="44"/>
        <v/>
      </c>
      <c r="M933" s="1">
        <f>IF(OR(Table1[[#This Row],[Std Nom]]="",Table1[[#This Row],[Std Read]]=""),0,Table1[[#This Row],[Std Nom]]-Table1[[#This Row],[Std Read]])</f>
        <v>0</v>
      </c>
      <c r="N933" s="1">
        <f>IF(Calculations!$F$5="ACCREDITED 17025 WITH UNCERTAINTIES",$N$10,0)</f>
        <v>0</v>
      </c>
      <c r="Q933" s="1">
        <f>Table1[[#This Row],[High Tol]]-Table1[[#This Row],[Low Tol]]</f>
        <v>0</v>
      </c>
      <c r="R933" s="1">
        <f>2*Table1[[#This Row],[Std Error]]</f>
        <v>0</v>
      </c>
      <c r="S933" s="1" t="str">
        <f>IF(Table1[[#This Row],[High Tol]]="","N/A",IFERROR(ABS(Table1[[#This Row],[Tol Span]]/Table1[[#This Row],[Error Span]]),"N/A"))</f>
        <v>N/A</v>
      </c>
      <c r="T933" s="1" t="str">
        <f>IF(OR(Table1[[#This Row],[Low Tol]]="",Table1[[#This Row],[High Tol]]=""),"Needs Analysis",IF(Table1[[#This Row],[Ratio]]&gt;=4,"Not Significant",IF(Table1[[#This Row],[Ratio]]&gt;=2,"Semi-Significant","Significant")))</f>
        <v>Needs Analysis</v>
      </c>
      <c r="W933" s="1">
        <f>IF(Table1[[#This Row],[Cal Type]]&lt;&gt;"ACCREDITED 17025 WITH UNCERTAINTIES",0,"")</f>
        <v>0</v>
      </c>
      <c r="X933" s="1" t="str">
        <f>IF(Table1[[#This Row],[DUT Read]]="","N/A",Table1[[#This Row],[Std Error]]+Table1[[#This Row],[DUT Read]]+Table1[[#This Row],[DUT Ucty]])</f>
        <v>N/A</v>
      </c>
      <c r="Y933" s="1" t="str">
        <f>IF(Table1[[#This Row],[Std Read]]="","N/A",Table1[[#This Row],[Std Read]]+Table1[[#This Row],[Std Ucty]])</f>
        <v>N/A</v>
      </c>
      <c r="Z9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3" s="1" t="str">
        <f>IF(Table1[[#This Row],[Spec Type]]="","N/A",Table1[[#This Row],[Spec Type]])</f>
        <v>±</v>
      </c>
      <c r="AC933" s="1" t="str">
        <f>IF(Table1[[#This Row],[Spec Type2]]="N/A","N/A",IF(AND(Table1[[#This Row],[DUT Adj Read]]&gt;=Table1[[#This Row],[Low Tol]],Table1[[#This Row],[DUT Adj Read]]&lt;=Table1[[#This Row],[High Tol]]),"Pass","Fail"))</f>
        <v>Fail</v>
      </c>
      <c r="AD933" s="1" t="str">
        <f>IF(AND(Table1[[#This Row],[Spec Type2]]="N/A",Table1[[#This Row],[DUT Adj Read]]="N/A",Table1[[#This Row],[Std Adj Read]]="N/A"),"N/A",IF(Table1[[#This Row],[DUT Adj Read]]="N/A",IF(Table1[[#This Row],[Std Adj Read]]&gt;Table1[[#This Row],[Low Tol]],"Pass","Fail"),IF(Table1[[#This Row],[DUT Adj Read]]&gt;Table1[[#This Row],[Low Tol]],"Pass","Fail")))</f>
        <v>Pass</v>
      </c>
      <c r="AE933" s="1" t="str">
        <f>IF(AND(Table1[[#This Row],[Spec Type2]]="N/A",Table1[[#This Row],[DUT Adj Read]]="N/A",Table1[[#This Row],[Std Adj Read]]="N/A"),"N/A",IF(Table1[[#This Row],[DUT Adj Read]]="N/A",IF(Table1[[#This Row],[Std Adj Read]]&lt;Table1[[#This Row],[High Tol]],"Pass","Fail"),IF(Table1[[#This Row],[DUT Adj Read]]&lt;Table1[[#This Row],[High Tol]],"Pass","Fail")))</f>
        <v>Fail</v>
      </c>
      <c r="AF933" s="1" t="str">
        <f>IF(AND(Table1[[#This Row],[Spec Type2]]="N/A",Table1[[#This Row],[DUT Adj Read]]="N/A",Table1[[#This Row],[Std Adj Read]]="N/A"),"N/A",IF(Table1[[#This Row],[DUT Adj Read]]="N/A",IF(Table1[[#This Row],[Std Adj Read]]&gt;=Table1[[#This Row],[Low Tol]],"Pass","Fail"),IF(Table1[[#This Row],[DUT Adj Read]]&gt;=Table1[[#This Row],[Low Tol]],"Pass","Fail")))</f>
        <v>Pass</v>
      </c>
      <c r="AG933" s="1" t="str">
        <f>IF(AND(Table1[[#This Row],[Spec Type2]]="N/A",Table1[[#This Row],[DUT Adj Read]]="N/A",Table1[[#This Row],[Std Adj Read]]="N/A"),"N/A",IF(Table1[[#This Row],[DUT Adj Read]]="N/A",IF(Table1[[#This Row],[Std Adj Read]]&lt;=Table1[[#This Row],[High Tol]],"Pass","Fail"),IF(Table1[[#This Row],[DUT Adj Read]]&lt;=Table1[[#This Row],[High Tol]],"Pass","Fail")))</f>
        <v>Fail</v>
      </c>
      <c r="AH9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3" s="1" t="b">
        <v>0</v>
      </c>
      <c r="AN933" s="1" t="b">
        <v>0</v>
      </c>
      <c r="AO933" s="1" t="b">
        <v>0</v>
      </c>
    </row>
    <row r="934" spans="1:41" x14ac:dyDescent="0.25">
      <c r="A934" s="10"/>
      <c r="B934" s="10"/>
      <c r="C934" s="10"/>
      <c r="D934" s="10"/>
      <c r="E934" s="10"/>
      <c r="F934" s="10"/>
      <c r="G934" s="10"/>
      <c r="H934" s="10"/>
      <c r="I934" s="1" t="str">
        <f t="shared" si="42"/>
        <v/>
      </c>
      <c r="J934" s="1" t="s">
        <v>35</v>
      </c>
      <c r="K934" s="1" t="str">
        <f t="shared" si="43"/>
        <v/>
      </c>
      <c r="L934" s="1" t="str">
        <f t="shared" si="44"/>
        <v/>
      </c>
      <c r="M934" s="1">
        <f>IF(OR(Table1[[#This Row],[Std Nom]]="",Table1[[#This Row],[Std Read]]=""),0,Table1[[#This Row],[Std Nom]]-Table1[[#This Row],[Std Read]])</f>
        <v>0</v>
      </c>
      <c r="N934" s="1">
        <f>IF(Calculations!$F$5="ACCREDITED 17025 WITH UNCERTAINTIES",$N$10,0)</f>
        <v>0</v>
      </c>
      <c r="Q934" s="1">
        <f>Table1[[#This Row],[High Tol]]-Table1[[#This Row],[Low Tol]]</f>
        <v>0</v>
      </c>
      <c r="R934" s="1">
        <f>2*Table1[[#This Row],[Std Error]]</f>
        <v>0</v>
      </c>
      <c r="S934" s="1" t="str">
        <f>IF(Table1[[#This Row],[High Tol]]="","N/A",IFERROR(ABS(Table1[[#This Row],[Tol Span]]/Table1[[#This Row],[Error Span]]),"N/A"))</f>
        <v>N/A</v>
      </c>
      <c r="T934" s="1" t="str">
        <f>IF(OR(Table1[[#This Row],[Low Tol]]="",Table1[[#This Row],[High Tol]]=""),"Needs Analysis",IF(Table1[[#This Row],[Ratio]]&gt;=4,"Not Significant",IF(Table1[[#This Row],[Ratio]]&gt;=2,"Semi-Significant","Significant")))</f>
        <v>Needs Analysis</v>
      </c>
      <c r="W934" s="1">
        <f>IF(Table1[[#This Row],[Cal Type]]&lt;&gt;"ACCREDITED 17025 WITH UNCERTAINTIES",0,"")</f>
        <v>0</v>
      </c>
      <c r="X934" s="1" t="str">
        <f>IF(Table1[[#This Row],[DUT Read]]="","N/A",Table1[[#This Row],[Std Error]]+Table1[[#This Row],[DUT Read]]+Table1[[#This Row],[DUT Ucty]])</f>
        <v>N/A</v>
      </c>
      <c r="Y934" s="1" t="str">
        <f>IF(Table1[[#This Row],[Std Read]]="","N/A",Table1[[#This Row],[Std Read]]+Table1[[#This Row],[Std Ucty]])</f>
        <v>N/A</v>
      </c>
      <c r="Z9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4" s="1" t="str">
        <f>IF(Table1[[#This Row],[Spec Type]]="","N/A",Table1[[#This Row],[Spec Type]])</f>
        <v>±</v>
      </c>
      <c r="AC934" s="1" t="str">
        <f>IF(Table1[[#This Row],[Spec Type2]]="N/A","N/A",IF(AND(Table1[[#This Row],[DUT Adj Read]]&gt;=Table1[[#This Row],[Low Tol]],Table1[[#This Row],[DUT Adj Read]]&lt;=Table1[[#This Row],[High Tol]]),"Pass","Fail"))</f>
        <v>Fail</v>
      </c>
      <c r="AD934" s="1" t="str">
        <f>IF(AND(Table1[[#This Row],[Spec Type2]]="N/A",Table1[[#This Row],[DUT Adj Read]]="N/A",Table1[[#This Row],[Std Adj Read]]="N/A"),"N/A",IF(Table1[[#This Row],[DUT Adj Read]]="N/A",IF(Table1[[#This Row],[Std Adj Read]]&gt;Table1[[#This Row],[Low Tol]],"Pass","Fail"),IF(Table1[[#This Row],[DUT Adj Read]]&gt;Table1[[#This Row],[Low Tol]],"Pass","Fail")))</f>
        <v>Pass</v>
      </c>
      <c r="AE934" s="1" t="str">
        <f>IF(AND(Table1[[#This Row],[Spec Type2]]="N/A",Table1[[#This Row],[DUT Adj Read]]="N/A",Table1[[#This Row],[Std Adj Read]]="N/A"),"N/A",IF(Table1[[#This Row],[DUT Adj Read]]="N/A",IF(Table1[[#This Row],[Std Adj Read]]&lt;Table1[[#This Row],[High Tol]],"Pass","Fail"),IF(Table1[[#This Row],[DUT Adj Read]]&lt;Table1[[#This Row],[High Tol]],"Pass","Fail")))</f>
        <v>Fail</v>
      </c>
      <c r="AF934" s="1" t="str">
        <f>IF(AND(Table1[[#This Row],[Spec Type2]]="N/A",Table1[[#This Row],[DUT Adj Read]]="N/A",Table1[[#This Row],[Std Adj Read]]="N/A"),"N/A",IF(Table1[[#This Row],[DUT Adj Read]]="N/A",IF(Table1[[#This Row],[Std Adj Read]]&gt;=Table1[[#This Row],[Low Tol]],"Pass","Fail"),IF(Table1[[#This Row],[DUT Adj Read]]&gt;=Table1[[#This Row],[Low Tol]],"Pass","Fail")))</f>
        <v>Pass</v>
      </c>
      <c r="AG934" s="1" t="str">
        <f>IF(AND(Table1[[#This Row],[Spec Type2]]="N/A",Table1[[#This Row],[DUT Adj Read]]="N/A",Table1[[#This Row],[Std Adj Read]]="N/A"),"N/A",IF(Table1[[#This Row],[DUT Adj Read]]="N/A",IF(Table1[[#This Row],[Std Adj Read]]&lt;=Table1[[#This Row],[High Tol]],"Pass","Fail"),IF(Table1[[#This Row],[DUT Adj Read]]&lt;=Table1[[#This Row],[High Tol]],"Pass","Fail")))</f>
        <v>Fail</v>
      </c>
      <c r="AH9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4" s="1" t="b">
        <v>0</v>
      </c>
      <c r="AN934" s="1" t="b">
        <v>0</v>
      </c>
      <c r="AO934" s="1" t="b">
        <v>0</v>
      </c>
    </row>
    <row r="935" spans="1:41" x14ac:dyDescent="0.25">
      <c r="A935" s="10"/>
      <c r="B935" s="10"/>
      <c r="C935" s="10"/>
      <c r="D935" s="10"/>
      <c r="E935" s="10"/>
      <c r="F935" s="10"/>
      <c r="G935" s="10"/>
      <c r="H935" s="10"/>
      <c r="I935" s="1" t="str">
        <f t="shared" si="42"/>
        <v/>
      </c>
      <c r="J935" s="1" t="s">
        <v>35</v>
      </c>
      <c r="K935" s="1" t="str">
        <f t="shared" si="43"/>
        <v/>
      </c>
      <c r="L935" s="1" t="str">
        <f t="shared" si="44"/>
        <v/>
      </c>
      <c r="M935" s="1">
        <f>IF(OR(Table1[[#This Row],[Std Nom]]="",Table1[[#This Row],[Std Read]]=""),0,Table1[[#This Row],[Std Nom]]-Table1[[#This Row],[Std Read]])</f>
        <v>0</v>
      </c>
      <c r="N935" s="1">
        <f>IF(Calculations!$F$5="ACCREDITED 17025 WITH UNCERTAINTIES",$N$10,0)</f>
        <v>0</v>
      </c>
      <c r="Q935" s="1">
        <f>Table1[[#This Row],[High Tol]]-Table1[[#This Row],[Low Tol]]</f>
        <v>0</v>
      </c>
      <c r="R935" s="1">
        <f>2*Table1[[#This Row],[Std Error]]</f>
        <v>0</v>
      </c>
      <c r="S935" s="1" t="str">
        <f>IF(Table1[[#This Row],[High Tol]]="","N/A",IFERROR(ABS(Table1[[#This Row],[Tol Span]]/Table1[[#This Row],[Error Span]]),"N/A"))</f>
        <v>N/A</v>
      </c>
      <c r="T935" s="1" t="str">
        <f>IF(OR(Table1[[#This Row],[Low Tol]]="",Table1[[#This Row],[High Tol]]=""),"Needs Analysis",IF(Table1[[#This Row],[Ratio]]&gt;=4,"Not Significant",IF(Table1[[#This Row],[Ratio]]&gt;=2,"Semi-Significant","Significant")))</f>
        <v>Needs Analysis</v>
      </c>
      <c r="W935" s="1">
        <f>IF(Table1[[#This Row],[Cal Type]]&lt;&gt;"ACCREDITED 17025 WITH UNCERTAINTIES",0,"")</f>
        <v>0</v>
      </c>
      <c r="X935" s="1" t="str">
        <f>IF(Table1[[#This Row],[DUT Read]]="","N/A",Table1[[#This Row],[Std Error]]+Table1[[#This Row],[DUT Read]]+Table1[[#This Row],[DUT Ucty]])</f>
        <v>N/A</v>
      </c>
      <c r="Y935" s="1" t="str">
        <f>IF(Table1[[#This Row],[Std Read]]="","N/A",Table1[[#This Row],[Std Read]]+Table1[[#This Row],[Std Ucty]])</f>
        <v>N/A</v>
      </c>
      <c r="Z9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5" s="1" t="str">
        <f>IF(Table1[[#This Row],[Spec Type]]="","N/A",Table1[[#This Row],[Spec Type]])</f>
        <v>±</v>
      </c>
      <c r="AC935" s="1" t="str">
        <f>IF(Table1[[#This Row],[Spec Type2]]="N/A","N/A",IF(AND(Table1[[#This Row],[DUT Adj Read]]&gt;=Table1[[#This Row],[Low Tol]],Table1[[#This Row],[DUT Adj Read]]&lt;=Table1[[#This Row],[High Tol]]),"Pass","Fail"))</f>
        <v>Fail</v>
      </c>
      <c r="AD935" s="1" t="str">
        <f>IF(AND(Table1[[#This Row],[Spec Type2]]="N/A",Table1[[#This Row],[DUT Adj Read]]="N/A",Table1[[#This Row],[Std Adj Read]]="N/A"),"N/A",IF(Table1[[#This Row],[DUT Adj Read]]="N/A",IF(Table1[[#This Row],[Std Adj Read]]&gt;Table1[[#This Row],[Low Tol]],"Pass","Fail"),IF(Table1[[#This Row],[DUT Adj Read]]&gt;Table1[[#This Row],[Low Tol]],"Pass","Fail")))</f>
        <v>Pass</v>
      </c>
      <c r="AE935" s="1" t="str">
        <f>IF(AND(Table1[[#This Row],[Spec Type2]]="N/A",Table1[[#This Row],[DUT Adj Read]]="N/A",Table1[[#This Row],[Std Adj Read]]="N/A"),"N/A",IF(Table1[[#This Row],[DUT Adj Read]]="N/A",IF(Table1[[#This Row],[Std Adj Read]]&lt;Table1[[#This Row],[High Tol]],"Pass","Fail"),IF(Table1[[#This Row],[DUT Adj Read]]&lt;Table1[[#This Row],[High Tol]],"Pass","Fail")))</f>
        <v>Fail</v>
      </c>
      <c r="AF935" s="1" t="str">
        <f>IF(AND(Table1[[#This Row],[Spec Type2]]="N/A",Table1[[#This Row],[DUT Adj Read]]="N/A",Table1[[#This Row],[Std Adj Read]]="N/A"),"N/A",IF(Table1[[#This Row],[DUT Adj Read]]="N/A",IF(Table1[[#This Row],[Std Adj Read]]&gt;=Table1[[#This Row],[Low Tol]],"Pass","Fail"),IF(Table1[[#This Row],[DUT Adj Read]]&gt;=Table1[[#This Row],[Low Tol]],"Pass","Fail")))</f>
        <v>Pass</v>
      </c>
      <c r="AG935" s="1" t="str">
        <f>IF(AND(Table1[[#This Row],[Spec Type2]]="N/A",Table1[[#This Row],[DUT Adj Read]]="N/A",Table1[[#This Row],[Std Adj Read]]="N/A"),"N/A",IF(Table1[[#This Row],[DUT Adj Read]]="N/A",IF(Table1[[#This Row],[Std Adj Read]]&lt;=Table1[[#This Row],[High Tol]],"Pass","Fail"),IF(Table1[[#This Row],[DUT Adj Read]]&lt;=Table1[[#This Row],[High Tol]],"Pass","Fail")))</f>
        <v>Fail</v>
      </c>
      <c r="AH9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5" s="1" t="b">
        <v>0</v>
      </c>
      <c r="AN935" s="1" t="b">
        <v>0</v>
      </c>
      <c r="AO935" s="1" t="b">
        <v>0</v>
      </c>
    </row>
    <row r="936" spans="1:41" x14ac:dyDescent="0.25">
      <c r="A936" s="10"/>
      <c r="B936" s="10"/>
      <c r="C936" s="10"/>
      <c r="D936" s="10"/>
      <c r="E936" s="10"/>
      <c r="F936" s="10"/>
      <c r="G936" s="10"/>
      <c r="H936" s="10"/>
      <c r="I936" s="1" t="str">
        <f t="shared" si="42"/>
        <v/>
      </c>
      <c r="J936" s="1" t="s">
        <v>35</v>
      </c>
      <c r="K936" s="1" t="str">
        <f t="shared" si="43"/>
        <v/>
      </c>
      <c r="L936" s="1" t="str">
        <f t="shared" si="44"/>
        <v/>
      </c>
      <c r="M936" s="1">
        <f>IF(OR(Table1[[#This Row],[Std Nom]]="",Table1[[#This Row],[Std Read]]=""),0,Table1[[#This Row],[Std Nom]]-Table1[[#This Row],[Std Read]])</f>
        <v>0</v>
      </c>
      <c r="N936" s="1">
        <f>IF(Calculations!$F$5="ACCREDITED 17025 WITH UNCERTAINTIES",$N$10,0)</f>
        <v>0</v>
      </c>
      <c r="Q936" s="1">
        <f>Table1[[#This Row],[High Tol]]-Table1[[#This Row],[Low Tol]]</f>
        <v>0</v>
      </c>
      <c r="R936" s="1">
        <f>2*Table1[[#This Row],[Std Error]]</f>
        <v>0</v>
      </c>
      <c r="S936" s="1" t="str">
        <f>IF(Table1[[#This Row],[High Tol]]="","N/A",IFERROR(ABS(Table1[[#This Row],[Tol Span]]/Table1[[#This Row],[Error Span]]),"N/A"))</f>
        <v>N/A</v>
      </c>
      <c r="T936" s="1" t="str">
        <f>IF(OR(Table1[[#This Row],[Low Tol]]="",Table1[[#This Row],[High Tol]]=""),"Needs Analysis",IF(Table1[[#This Row],[Ratio]]&gt;=4,"Not Significant",IF(Table1[[#This Row],[Ratio]]&gt;=2,"Semi-Significant","Significant")))</f>
        <v>Needs Analysis</v>
      </c>
      <c r="W936" s="1">
        <f>IF(Table1[[#This Row],[Cal Type]]&lt;&gt;"ACCREDITED 17025 WITH UNCERTAINTIES",0,"")</f>
        <v>0</v>
      </c>
      <c r="X936" s="1" t="str">
        <f>IF(Table1[[#This Row],[DUT Read]]="","N/A",Table1[[#This Row],[Std Error]]+Table1[[#This Row],[DUT Read]]+Table1[[#This Row],[DUT Ucty]])</f>
        <v>N/A</v>
      </c>
      <c r="Y936" s="1" t="str">
        <f>IF(Table1[[#This Row],[Std Read]]="","N/A",Table1[[#This Row],[Std Read]]+Table1[[#This Row],[Std Ucty]])</f>
        <v>N/A</v>
      </c>
      <c r="Z9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6" s="1" t="str">
        <f>IF(Table1[[#This Row],[Spec Type]]="","N/A",Table1[[#This Row],[Spec Type]])</f>
        <v>±</v>
      </c>
      <c r="AC936" s="1" t="str">
        <f>IF(Table1[[#This Row],[Spec Type2]]="N/A","N/A",IF(AND(Table1[[#This Row],[DUT Adj Read]]&gt;=Table1[[#This Row],[Low Tol]],Table1[[#This Row],[DUT Adj Read]]&lt;=Table1[[#This Row],[High Tol]]),"Pass","Fail"))</f>
        <v>Fail</v>
      </c>
      <c r="AD936" s="1" t="str">
        <f>IF(AND(Table1[[#This Row],[Spec Type2]]="N/A",Table1[[#This Row],[DUT Adj Read]]="N/A",Table1[[#This Row],[Std Adj Read]]="N/A"),"N/A",IF(Table1[[#This Row],[DUT Adj Read]]="N/A",IF(Table1[[#This Row],[Std Adj Read]]&gt;Table1[[#This Row],[Low Tol]],"Pass","Fail"),IF(Table1[[#This Row],[DUT Adj Read]]&gt;Table1[[#This Row],[Low Tol]],"Pass","Fail")))</f>
        <v>Pass</v>
      </c>
      <c r="AE936" s="1" t="str">
        <f>IF(AND(Table1[[#This Row],[Spec Type2]]="N/A",Table1[[#This Row],[DUT Adj Read]]="N/A",Table1[[#This Row],[Std Adj Read]]="N/A"),"N/A",IF(Table1[[#This Row],[DUT Adj Read]]="N/A",IF(Table1[[#This Row],[Std Adj Read]]&lt;Table1[[#This Row],[High Tol]],"Pass","Fail"),IF(Table1[[#This Row],[DUT Adj Read]]&lt;Table1[[#This Row],[High Tol]],"Pass","Fail")))</f>
        <v>Fail</v>
      </c>
      <c r="AF936" s="1" t="str">
        <f>IF(AND(Table1[[#This Row],[Spec Type2]]="N/A",Table1[[#This Row],[DUT Adj Read]]="N/A",Table1[[#This Row],[Std Adj Read]]="N/A"),"N/A",IF(Table1[[#This Row],[DUT Adj Read]]="N/A",IF(Table1[[#This Row],[Std Adj Read]]&gt;=Table1[[#This Row],[Low Tol]],"Pass","Fail"),IF(Table1[[#This Row],[DUT Adj Read]]&gt;=Table1[[#This Row],[Low Tol]],"Pass","Fail")))</f>
        <v>Pass</v>
      </c>
      <c r="AG936" s="1" t="str">
        <f>IF(AND(Table1[[#This Row],[Spec Type2]]="N/A",Table1[[#This Row],[DUT Adj Read]]="N/A",Table1[[#This Row],[Std Adj Read]]="N/A"),"N/A",IF(Table1[[#This Row],[DUT Adj Read]]="N/A",IF(Table1[[#This Row],[Std Adj Read]]&lt;=Table1[[#This Row],[High Tol]],"Pass","Fail"),IF(Table1[[#This Row],[DUT Adj Read]]&lt;=Table1[[#This Row],[High Tol]],"Pass","Fail")))</f>
        <v>Fail</v>
      </c>
      <c r="AH9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6" s="1" t="b">
        <v>0</v>
      </c>
      <c r="AN936" s="1" t="b">
        <v>0</v>
      </c>
      <c r="AO936" s="1" t="b">
        <v>0</v>
      </c>
    </row>
    <row r="937" spans="1:41" x14ac:dyDescent="0.25">
      <c r="A937" s="10"/>
      <c r="B937" s="10"/>
      <c r="C937" s="10"/>
      <c r="D937" s="10"/>
      <c r="E937" s="10"/>
      <c r="F937" s="10"/>
      <c r="G937" s="10"/>
      <c r="H937" s="10"/>
      <c r="I937" s="1" t="str">
        <f t="shared" si="42"/>
        <v/>
      </c>
      <c r="J937" s="1" t="s">
        <v>35</v>
      </c>
      <c r="K937" s="1" t="str">
        <f t="shared" si="43"/>
        <v/>
      </c>
      <c r="L937" s="1" t="str">
        <f t="shared" si="44"/>
        <v/>
      </c>
      <c r="M937" s="1">
        <f>IF(OR(Table1[[#This Row],[Std Nom]]="",Table1[[#This Row],[Std Read]]=""),0,Table1[[#This Row],[Std Nom]]-Table1[[#This Row],[Std Read]])</f>
        <v>0</v>
      </c>
      <c r="N937" s="1">
        <f>IF(Calculations!$F$5="ACCREDITED 17025 WITH UNCERTAINTIES",$N$10,0)</f>
        <v>0</v>
      </c>
      <c r="Q937" s="1">
        <f>Table1[[#This Row],[High Tol]]-Table1[[#This Row],[Low Tol]]</f>
        <v>0</v>
      </c>
      <c r="R937" s="1">
        <f>2*Table1[[#This Row],[Std Error]]</f>
        <v>0</v>
      </c>
      <c r="S937" s="1" t="str">
        <f>IF(Table1[[#This Row],[High Tol]]="","N/A",IFERROR(ABS(Table1[[#This Row],[Tol Span]]/Table1[[#This Row],[Error Span]]),"N/A"))</f>
        <v>N/A</v>
      </c>
      <c r="T937" s="1" t="str">
        <f>IF(OR(Table1[[#This Row],[Low Tol]]="",Table1[[#This Row],[High Tol]]=""),"Needs Analysis",IF(Table1[[#This Row],[Ratio]]&gt;=4,"Not Significant",IF(Table1[[#This Row],[Ratio]]&gt;=2,"Semi-Significant","Significant")))</f>
        <v>Needs Analysis</v>
      </c>
      <c r="W937" s="1">
        <f>IF(Table1[[#This Row],[Cal Type]]&lt;&gt;"ACCREDITED 17025 WITH UNCERTAINTIES",0,"")</f>
        <v>0</v>
      </c>
      <c r="X937" s="1" t="str">
        <f>IF(Table1[[#This Row],[DUT Read]]="","N/A",Table1[[#This Row],[Std Error]]+Table1[[#This Row],[DUT Read]]+Table1[[#This Row],[DUT Ucty]])</f>
        <v>N/A</v>
      </c>
      <c r="Y937" s="1" t="str">
        <f>IF(Table1[[#This Row],[Std Read]]="","N/A",Table1[[#This Row],[Std Read]]+Table1[[#This Row],[Std Ucty]])</f>
        <v>N/A</v>
      </c>
      <c r="Z9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7" s="1" t="str">
        <f>IF(Table1[[#This Row],[Spec Type]]="","N/A",Table1[[#This Row],[Spec Type]])</f>
        <v>±</v>
      </c>
      <c r="AC937" s="1" t="str">
        <f>IF(Table1[[#This Row],[Spec Type2]]="N/A","N/A",IF(AND(Table1[[#This Row],[DUT Adj Read]]&gt;=Table1[[#This Row],[Low Tol]],Table1[[#This Row],[DUT Adj Read]]&lt;=Table1[[#This Row],[High Tol]]),"Pass","Fail"))</f>
        <v>Fail</v>
      </c>
      <c r="AD937" s="1" t="str">
        <f>IF(AND(Table1[[#This Row],[Spec Type2]]="N/A",Table1[[#This Row],[DUT Adj Read]]="N/A",Table1[[#This Row],[Std Adj Read]]="N/A"),"N/A",IF(Table1[[#This Row],[DUT Adj Read]]="N/A",IF(Table1[[#This Row],[Std Adj Read]]&gt;Table1[[#This Row],[Low Tol]],"Pass","Fail"),IF(Table1[[#This Row],[DUT Adj Read]]&gt;Table1[[#This Row],[Low Tol]],"Pass","Fail")))</f>
        <v>Pass</v>
      </c>
      <c r="AE937" s="1" t="str">
        <f>IF(AND(Table1[[#This Row],[Spec Type2]]="N/A",Table1[[#This Row],[DUT Adj Read]]="N/A",Table1[[#This Row],[Std Adj Read]]="N/A"),"N/A",IF(Table1[[#This Row],[DUT Adj Read]]="N/A",IF(Table1[[#This Row],[Std Adj Read]]&lt;Table1[[#This Row],[High Tol]],"Pass","Fail"),IF(Table1[[#This Row],[DUT Adj Read]]&lt;Table1[[#This Row],[High Tol]],"Pass","Fail")))</f>
        <v>Fail</v>
      </c>
      <c r="AF937" s="1" t="str">
        <f>IF(AND(Table1[[#This Row],[Spec Type2]]="N/A",Table1[[#This Row],[DUT Adj Read]]="N/A",Table1[[#This Row],[Std Adj Read]]="N/A"),"N/A",IF(Table1[[#This Row],[DUT Adj Read]]="N/A",IF(Table1[[#This Row],[Std Adj Read]]&gt;=Table1[[#This Row],[Low Tol]],"Pass","Fail"),IF(Table1[[#This Row],[DUT Adj Read]]&gt;=Table1[[#This Row],[Low Tol]],"Pass","Fail")))</f>
        <v>Pass</v>
      </c>
      <c r="AG937" s="1" t="str">
        <f>IF(AND(Table1[[#This Row],[Spec Type2]]="N/A",Table1[[#This Row],[DUT Adj Read]]="N/A",Table1[[#This Row],[Std Adj Read]]="N/A"),"N/A",IF(Table1[[#This Row],[DUT Adj Read]]="N/A",IF(Table1[[#This Row],[Std Adj Read]]&lt;=Table1[[#This Row],[High Tol]],"Pass","Fail"),IF(Table1[[#This Row],[DUT Adj Read]]&lt;=Table1[[#This Row],[High Tol]],"Pass","Fail")))</f>
        <v>Fail</v>
      </c>
      <c r="AH9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7" s="1" t="b">
        <v>0</v>
      </c>
      <c r="AN937" s="1" t="b">
        <v>0</v>
      </c>
      <c r="AO937" s="1" t="b">
        <v>0</v>
      </c>
    </row>
    <row r="938" spans="1:41" x14ac:dyDescent="0.25">
      <c r="A938" s="10"/>
      <c r="B938" s="10"/>
      <c r="C938" s="10"/>
      <c r="D938" s="10"/>
      <c r="E938" s="10"/>
      <c r="F938" s="10"/>
      <c r="G938" s="10"/>
      <c r="H938" s="10"/>
      <c r="I938" s="1" t="str">
        <f t="shared" si="42"/>
        <v/>
      </c>
      <c r="J938" s="1" t="s">
        <v>35</v>
      </c>
      <c r="K938" s="1" t="str">
        <f t="shared" si="43"/>
        <v/>
      </c>
      <c r="L938" s="1" t="str">
        <f t="shared" si="44"/>
        <v/>
      </c>
      <c r="M938" s="1">
        <f>IF(OR(Table1[[#This Row],[Std Nom]]="",Table1[[#This Row],[Std Read]]=""),0,Table1[[#This Row],[Std Nom]]-Table1[[#This Row],[Std Read]])</f>
        <v>0</v>
      </c>
      <c r="N938" s="1">
        <f>IF(Calculations!$F$5="ACCREDITED 17025 WITH UNCERTAINTIES",$N$10,0)</f>
        <v>0</v>
      </c>
      <c r="Q938" s="1">
        <f>Table1[[#This Row],[High Tol]]-Table1[[#This Row],[Low Tol]]</f>
        <v>0</v>
      </c>
      <c r="R938" s="1">
        <f>2*Table1[[#This Row],[Std Error]]</f>
        <v>0</v>
      </c>
      <c r="S938" s="1" t="str">
        <f>IF(Table1[[#This Row],[High Tol]]="","N/A",IFERROR(ABS(Table1[[#This Row],[Tol Span]]/Table1[[#This Row],[Error Span]]),"N/A"))</f>
        <v>N/A</v>
      </c>
      <c r="T938" s="1" t="str">
        <f>IF(OR(Table1[[#This Row],[Low Tol]]="",Table1[[#This Row],[High Tol]]=""),"Needs Analysis",IF(Table1[[#This Row],[Ratio]]&gt;=4,"Not Significant",IF(Table1[[#This Row],[Ratio]]&gt;=2,"Semi-Significant","Significant")))</f>
        <v>Needs Analysis</v>
      </c>
      <c r="W938" s="1">
        <f>IF(Table1[[#This Row],[Cal Type]]&lt;&gt;"ACCREDITED 17025 WITH UNCERTAINTIES",0,"")</f>
        <v>0</v>
      </c>
      <c r="X938" s="1" t="str">
        <f>IF(Table1[[#This Row],[DUT Read]]="","N/A",Table1[[#This Row],[Std Error]]+Table1[[#This Row],[DUT Read]]+Table1[[#This Row],[DUT Ucty]])</f>
        <v>N/A</v>
      </c>
      <c r="Y938" s="1" t="str">
        <f>IF(Table1[[#This Row],[Std Read]]="","N/A",Table1[[#This Row],[Std Read]]+Table1[[#This Row],[Std Ucty]])</f>
        <v>N/A</v>
      </c>
      <c r="Z9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8" s="1" t="str">
        <f>IF(Table1[[#This Row],[Spec Type]]="","N/A",Table1[[#This Row],[Spec Type]])</f>
        <v>±</v>
      </c>
      <c r="AC938" s="1" t="str">
        <f>IF(Table1[[#This Row],[Spec Type2]]="N/A","N/A",IF(AND(Table1[[#This Row],[DUT Adj Read]]&gt;=Table1[[#This Row],[Low Tol]],Table1[[#This Row],[DUT Adj Read]]&lt;=Table1[[#This Row],[High Tol]]),"Pass","Fail"))</f>
        <v>Fail</v>
      </c>
      <c r="AD938" s="1" t="str">
        <f>IF(AND(Table1[[#This Row],[Spec Type2]]="N/A",Table1[[#This Row],[DUT Adj Read]]="N/A",Table1[[#This Row],[Std Adj Read]]="N/A"),"N/A",IF(Table1[[#This Row],[DUT Adj Read]]="N/A",IF(Table1[[#This Row],[Std Adj Read]]&gt;Table1[[#This Row],[Low Tol]],"Pass","Fail"),IF(Table1[[#This Row],[DUT Adj Read]]&gt;Table1[[#This Row],[Low Tol]],"Pass","Fail")))</f>
        <v>Pass</v>
      </c>
      <c r="AE938" s="1" t="str">
        <f>IF(AND(Table1[[#This Row],[Spec Type2]]="N/A",Table1[[#This Row],[DUT Adj Read]]="N/A",Table1[[#This Row],[Std Adj Read]]="N/A"),"N/A",IF(Table1[[#This Row],[DUT Adj Read]]="N/A",IF(Table1[[#This Row],[Std Adj Read]]&lt;Table1[[#This Row],[High Tol]],"Pass","Fail"),IF(Table1[[#This Row],[DUT Adj Read]]&lt;Table1[[#This Row],[High Tol]],"Pass","Fail")))</f>
        <v>Fail</v>
      </c>
      <c r="AF938" s="1" t="str">
        <f>IF(AND(Table1[[#This Row],[Spec Type2]]="N/A",Table1[[#This Row],[DUT Adj Read]]="N/A",Table1[[#This Row],[Std Adj Read]]="N/A"),"N/A",IF(Table1[[#This Row],[DUT Adj Read]]="N/A",IF(Table1[[#This Row],[Std Adj Read]]&gt;=Table1[[#This Row],[Low Tol]],"Pass","Fail"),IF(Table1[[#This Row],[DUT Adj Read]]&gt;=Table1[[#This Row],[Low Tol]],"Pass","Fail")))</f>
        <v>Pass</v>
      </c>
      <c r="AG938" s="1" t="str">
        <f>IF(AND(Table1[[#This Row],[Spec Type2]]="N/A",Table1[[#This Row],[DUT Adj Read]]="N/A",Table1[[#This Row],[Std Adj Read]]="N/A"),"N/A",IF(Table1[[#This Row],[DUT Adj Read]]="N/A",IF(Table1[[#This Row],[Std Adj Read]]&lt;=Table1[[#This Row],[High Tol]],"Pass","Fail"),IF(Table1[[#This Row],[DUT Adj Read]]&lt;=Table1[[#This Row],[High Tol]],"Pass","Fail")))</f>
        <v>Fail</v>
      </c>
      <c r="AH9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8" s="1" t="b">
        <v>0</v>
      </c>
      <c r="AN938" s="1" t="b">
        <v>0</v>
      </c>
      <c r="AO938" s="1" t="b">
        <v>0</v>
      </c>
    </row>
    <row r="939" spans="1:41" x14ac:dyDescent="0.25">
      <c r="A939" s="10"/>
      <c r="B939" s="10"/>
      <c r="C939" s="10"/>
      <c r="D939" s="10"/>
      <c r="E939" s="10"/>
      <c r="F939" s="10"/>
      <c r="G939" s="10"/>
      <c r="H939" s="10"/>
      <c r="I939" s="1" t="str">
        <f t="shared" si="42"/>
        <v/>
      </c>
      <c r="J939" s="1" t="s">
        <v>35</v>
      </c>
      <c r="K939" s="1" t="str">
        <f t="shared" si="43"/>
        <v/>
      </c>
      <c r="L939" s="1" t="str">
        <f t="shared" si="44"/>
        <v/>
      </c>
      <c r="M939" s="1">
        <f>IF(OR(Table1[[#This Row],[Std Nom]]="",Table1[[#This Row],[Std Read]]=""),0,Table1[[#This Row],[Std Nom]]-Table1[[#This Row],[Std Read]])</f>
        <v>0</v>
      </c>
      <c r="N939" s="1">
        <f>IF(Calculations!$F$5="ACCREDITED 17025 WITH UNCERTAINTIES",$N$10,0)</f>
        <v>0</v>
      </c>
      <c r="Q939" s="1">
        <f>Table1[[#This Row],[High Tol]]-Table1[[#This Row],[Low Tol]]</f>
        <v>0</v>
      </c>
      <c r="R939" s="1">
        <f>2*Table1[[#This Row],[Std Error]]</f>
        <v>0</v>
      </c>
      <c r="S939" s="1" t="str">
        <f>IF(Table1[[#This Row],[High Tol]]="","N/A",IFERROR(ABS(Table1[[#This Row],[Tol Span]]/Table1[[#This Row],[Error Span]]),"N/A"))</f>
        <v>N/A</v>
      </c>
      <c r="T939" s="1" t="str">
        <f>IF(OR(Table1[[#This Row],[Low Tol]]="",Table1[[#This Row],[High Tol]]=""),"Needs Analysis",IF(Table1[[#This Row],[Ratio]]&gt;=4,"Not Significant",IF(Table1[[#This Row],[Ratio]]&gt;=2,"Semi-Significant","Significant")))</f>
        <v>Needs Analysis</v>
      </c>
      <c r="W939" s="1">
        <f>IF(Table1[[#This Row],[Cal Type]]&lt;&gt;"ACCREDITED 17025 WITH UNCERTAINTIES",0,"")</f>
        <v>0</v>
      </c>
      <c r="X939" s="1" t="str">
        <f>IF(Table1[[#This Row],[DUT Read]]="","N/A",Table1[[#This Row],[Std Error]]+Table1[[#This Row],[DUT Read]]+Table1[[#This Row],[DUT Ucty]])</f>
        <v>N/A</v>
      </c>
      <c r="Y939" s="1" t="str">
        <f>IF(Table1[[#This Row],[Std Read]]="","N/A",Table1[[#This Row],[Std Read]]+Table1[[#This Row],[Std Ucty]])</f>
        <v>N/A</v>
      </c>
      <c r="Z9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39" s="1" t="str">
        <f>IF(Table1[[#This Row],[Spec Type]]="","N/A",Table1[[#This Row],[Spec Type]])</f>
        <v>±</v>
      </c>
      <c r="AC939" s="1" t="str">
        <f>IF(Table1[[#This Row],[Spec Type2]]="N/A","N/A",IF(AND(Table1[[#This Row],[DUT Adj Read]]&gt;=Table1[[#This Row],[Low Tol]],Table1[[#This Row],[DUT Adj Read]]&lt;=Table1[[#This Row],[High Tol]]),"Pass","Fail"))</f>
        <v>Fail</v>
      </c>
      <c r="AD939" s="1" t="str">
        <f>IF(AND(Table1[[#This Row],[Spec Type2]]="N/A",Table1[[#This Row],[DUT Adj Read]]="N/A",Table1[[#This Row],[Std Adj Read]]="N/A"),"N/A",IF(Table1[[#This Row],[DUT Adj Read]]="N/A",IF(Table1[[#This Row],[Std Adj Read]]&gt;Table1[[#This Row],[Low Tol]],"Pass","Fail"),IF(Table1[[#This Row],[DUT Adj Read]]&gt;Table1[[#This Row],[Low Tol]],"Pass","Fail")))</f>
        <v>Pass</v>
      </c>
      <c r="AE939" s="1" t="str">
        <f>IF(AND(Table1[[#This Row],[Spec Type2]]="N/A",Table1[[#This Row],[DUT Adj Read]]="N/A",Table1[[#This Row],[Std Adj Read]]="N/A"),"N/A",IF(Table1[[#This Row],[DUT Adj Read]]="N/A",IF(Table1[[#This Row],[Std Adj Read]]&lt;Table1[[#This Row],[High Tol]],"Pass","Fail"),IF(Table1[[#This Row],[DUT Adj Read]]&lt;Table1[[#This Row],[High Tol]],"Pass","Fail")))</f>
        <v>Fail</v>
      </c>
      <c r="AF939" s="1" t="str">
        <f>IF(AND(Table1[[#This Row],[Spec Type2]]="N/A",Table1[[#This Row],[DUT Adj Read]]="N/A",Table1[[#This Row],[Std Adj Read]]="N/A"),"N/A",IF(Table1[[#This Row],[DUT Adj Read]]="N/A",IF(Table1[[#This Row],[Std Adj Read]]&gt;=Table1[[#This Row],[Low Tol]],"Pass","Fail"),IF(Table1[[#This Row],[DUT Adj Read]]&gt;=Table1[[#This Row],[Low Tol]],"Pass","Fail")))</f>
        <v>Pass</v>
      </c>
      <c r="AG939" s="1" t="str">
        <f>IF(AND(Table1[[#This Row],[Spec Type2]]="N/A",Table1[[#This Row],[DUT Adj Read]]="N/A",Table1[[#This Row],[Std Adj Read]]="N/A"),"N/A",IF(Table1[[#This Row],[DUT Adj Read]]="N/A",IF(Table1[[#This Row],[Std Adj Read]]&lt;=Table1[[#This Row],[High Tol]],"Pass","Fail"),IF(Table1[[#This Row],[DUT Adj Read]]&lt;=Table1[[#This Row],[High Tol]],"Pass","Fail")))</f>
        <v>Fail</v>
      </c>
      <c r="AH9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39" s="1" t="b">
        <v>0</v>
      </c>
      <c r="AN939" s="1" t="b">
        <v>0</v>
      </c>
      <c r="AO939" s="1" t="b">
        <v>0</v>
      </c>
    </row>
    <row r="940" spans="1:41" x14ac:dyDescent="0.25">
      <c r="A940" s="10"/>
      <c r="B940" s="10"/>
      <c r="C940" s="10"/>
      <c r="D940" s="10"/>
      <c r="E940" s="10"/>
      <c r="F940" s="10"/>
      <c r="G940" s="10"/>
      <c r="H940" s="10"/>
      <c r="I940" s="1" t="str">
        <f t="shared" si="42"/>
        <v/>
      </c>
      <c r="J940" s="1" t="s">
        <v>35</v>
      </c>
      <c r="K940" s="1" t="str">
        <f t="shared" si="43"/>
        <v/>
      </c>
      <c r="L940" s="1" t="str">
        <f t="shared" si="44"/>
        <v/>
      </c>
      <c r="M940" s="1">
        <f>IF(OR(Table1[[#This Row],[Std Nom]]="",Table1[[#This Row],[Std Read]]=""),0,Table1[[#This Row],[Std Nom]]-Table1[[#This Row],[Std Read]])</f>
        <v>0</v>
      </c>
      <c r="N940" s="1">
        <f>IF(Calculations!$F$5="ACCREDITED 17025 WITH UNCERTAINTIES",$N$10,0)</f>
        <v>0</v>
      </c>
      <c r="Q940" s="1">
        <f>Table1[[#This Row],[High Tol]]-Table1[[#This Row],[Low Tol]]</f>
        <v>0</v>
      </c>
      <c r="R940" s="1">
        <f>2*Table1[[#This Row],[Std Error]]</f>
        <v>0</v>
      </c>
      <c r="S940" s="1" t="str">
        <f>IF(Table1[[#This Row],[High Tol]]="","N/A",IFERROR(ABS(Table1[[#This Row],[Tol Span]]/Table1[[#This Row],[Error Span]]),"N/A"))</f>
        <v>N/A</v>
      </c>
      <c r="T940" s="1" t="str">
        <f>IF(OR(Table1[[#This Row],[Low Tol]]="",Table1[[#This Row],[High Tol]]=""),"Needs Analysis",IF(Table1[[#This Row],[Ratio]]&gt;=4,"Not Significant",IF(Table1[[#This Row],[Ratio]]&gt;=2,"Semi-Significant","Significant")))</f>
        <v>Needs Analysis</v>
      </c>
      <c r="W940" s="1">
        <f>IF(Table1[[#This Row],[Cal Type]]&lt;&gt;"ACCREDITED 17025 WITH UNCERTAINTIES",0,"")</f>
        <v>0</v>
      </c>
      <c r="X940" s="1" t="str">
        <f>IF(Table1[[#This Row],[DUT Read]]="","N/A",Table1[[#This Row],[Std Error]]+Table1[[#This Row],[DUT Read]]+Table1[[#This Row],[DUT Ucty]])</f>
        <v>N/A</v>
      </c>
      <c r="Y940" s="1" t="str">
        <f>IF(Table1[[#This Row],[Std Read]]="","N/A",Table1[[#This Row],[Std Read]]+Table1[[#This Row],[Std Ucty]])</f>
        <v>N/A</v>
      </c>
      <c r="Z9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0" s="1" t="str">
        <f>IF(Table1[[#This Row],[Spec Type]]="","N/A",Table1[[#This Row],[Spec Type]])</f>
        <v>±</v>
      </c>
      <c r="AC940" s="1" t="str">
        <f>IF(Table1[[#This Row],[Spec Type2]]="N/A","N/A",IF(AND(Table1[[#This Row],[DUT Adj Read]]&gt;=Table1[[#This Row],[Low Tol]],Table1[[#This Row],[DUT Adj Read]]&lt;=Table1[[#This Row],[High Tol]]),"Pass","Fail"))</f>
        <v>Fail</v>
      </c>
      <c r="AD940" s="1" t="str">
        <f>IF(AND(Table1[[#This Row],[Spec Type2]]="N/A",Table1[[#This Row],[DUT Adj Read]]="N/A",Table1[[#This Row],[Std Adj Read]]="N/A"),"N/A",IF(Table1[[#This Row],[DUT Adj Read]]="N/A",IF(Table1[[#This Row],[Std Adj Read]]&gt;Table1[[#This Row],[Low Tol]],"Pass","Fail"),IF(Table1[[#This Row],[DUT Adj Read]]&gt;Table1[[#This Row],[Low Tol]],"Pass","Fail")))</f>
        <v>Pass</v>
      </c>
      <c r="AE940" s="1" t="str">
        <f>IF(AND(Table1[[#This Row],[Spec Type2]]="N/A",Table1[[#This Row],[DUT Adj Read]]="N/A",Table1[[#This Row],[Std Adj Read]]="N/A"),"N/A",IF(Table1[[#This Row],[DUT Adj Read]]="N/A",IF(Table1[[#This Row],[Std Adj Read]]&lt;Table1[[#This Row],[High Tol]],"Pass","Fail"),IF(Table1[[#This Row],[DUT Adj Read]]&lt;Table1[[#This Row],[High Tol]],"Pass","Fail")))</f>
        <v>Fail</v>
      </c>
      <c r="AF940" s="1" t="str">
        <f>IF(AND(Table1[[#This Row],[Spec Type2]]="N/A",Table1[[#This Row],[DUT Adj Read]]="N/A",Table1[[#This Row],[Std Adj Read]]="N/A"),"N/A",IF(Table1[[#This Row],[DUT Adj Read]]="N/A",IF(Table1[[#This Row],[Std Adj Read]]&gt;=Table1[[#This Row],[Low Tol]],"Pass","Fail"),IF(Table1[[#This Row],[DUT Adj Read]]&gt;=Table1[[#This Row],[Low Tol]],"Pass","Fail")))</f>
        <v>Pass</v>
      </c>
      <c r="AG940" s="1" t="str">
        <f>IF(AND(Table1[[#This Row],[Spec Type2]]="N/A",Table1[[#This Row],[DUT Adj Read]]="N/A",Table1[[#This Row],[Std Adj Read]]="N/A"),"N/A",IF(Table1[[#This Row],[DUT Adj Read]]="N/A",IF(Table1[[#This Row],[Std Adj Read]]&lt;=Table1[[#This Row],[High Tol]],"Pass","Fail"),IF(Table1[[#This Row],[DUT Adj Read]]&lt;=Table1[[#This Row],[High Tol]],"Pass","Fail")))</f>
        <v>Fail</v>
      </c>
      <c r="AH9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0" s="1" t="b">
        <v>0</v>
      </c>
      <c r="AN940" s="1" t="b">
        <v>0</v>
      </c>
      <c r="AO940" s="1" t="b">
        <v>0</v>
      </c>
    </row>
    <row r="941" spans="1:41" x14ac:dyDescent="0.25">
      <c r="A941" s="10"/>
      <c r="B941" s="10"/>
      <c r="C941" s="10"/>
      <c r="D941" s="10"/>
      <c r="E941" s="10"/>
      <c r="F941" s="10"/>
      <c r="G941" s="10"/>
      <c r="H941" s="10"/>
      <c r="I941" s="1" t="str">
        <f t="shared" si="42"/>
        <v/>
      </c>
      <c r="J941" s="1" t="s">
        <v>35</v>
      </c>
      <c r="K941" s="1" t="str">
        <f t="shared" si="43"/>
        <v/>
      </c>
      <c r="L941" s="1" t="str">
        <f t="shared" si="44"/>
        <v/>
      </c>
      <c r="M941" s="1">
        <f>IF(OR(Table1[[#This Row],[Std Nom]]="",Table1[[#This Row],[Std Read]]=""),0,Table1[[#This Row],[Std Nom]]-Table1[[#This Row],[Std Read]])</f>
        <v>0</v>
      </c>
      <c r="N941" s="1">
        <f>IF(Calculations!$F$5="ACCREDITED 17025 WITH UNCERTAINTIES",$N$10,0)</f>
        <v>0</v>
      </c>
      <c r="Q941" s="1">
        <f>Table1[[#This Row],[High Tol]]-Table1[[#This Row],[Low Tol]]</f>
        <v>0</v>
      </c>
      <c r="R941" s="1">
        <f>2*Table1[[#This Row],[Std Error]]</f>
        <v>0</v>
      </c>
      <c r="S941" s="1" t="str">
        <f>IF(Table1[[#This Row],[High Tol]]="","N/A",IFERROR(ABS(Table1[[#This Row],[Tol Span]]/Table1[[#This Row],[Error Span]]),"N/A"))</f>
        <v>N/A</v>
      </c>
      <c r="T941" s="1" t="str">
        <f>IF(OR(Table1[[#This Row],[Low Tol]]="",Table1[[#This Row],[High Tol]]=""),"Needs Analysis",IF(Table1[[#This Row],[Ratio]]&gt;=4,"Not Significant",IF(Table1[[#This Row],[Ratio]]&gt;=2,"Semi-Significant","Significant")))</f>
        <v>Needs Analysis</v>
      </c>
      <c r="W941" s="1">
        <f>IF(Table1[[#This Row],[Cal Type]]&lt;&gt;"ACCREDITED 17025 WITH UNCERTAINTIES",0,"")</f>
        <v>0</v>
      </c>
      <c r="X941" s="1" t="str">
        <f>IF(Table1[[#This Row],[DUT Read]]="","N/A",Table1[[#This Row],[Std Error]]+Table1[[#This Row],[DUT Read]]+Table1[[#This Row],[DUT Ucty]])</f>
        <v>N/A</v>
      </c>
      <c r="Y941" s="1" t="str">
        <f>IF(Table1[[#This Row],[Std Read]]="","N/A",Table1[[#This Row],[Std Read]]+Table1[[#This Row],[Std Ucty]])</f>
        <v>N/A</v>
      </c>
      <c r="Z9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1" s="1" t="str">
        <f>IF(Table1[[#This Row],[Spec Type]]="","N/A",Table1[[#This Row],[Spec Type]])</f>
        <v>±</v>
      </c>
      <c r="AC941" s="1" t="str">
        <f>IF(Table1[[#This Row],[Spec Type2]]="N/A","N/A",IF(AND(Table1[[#This Row],[DUT Adj Read]]&gt;=Table1[[#This Row],[Low Tol]],Table1[[#This Row],[DUT Adj Read]]&lt;=Table1[[#This Row],[High Tol]]),"Pass","Fail"))</f>
        <v>Fail</v>
      </c>
      <c r="AD941" s="1" t="str">
        <f>IF(AND(Table1[[#This Row],[Spec Type2]]="N/A",Table1[[#This Row],[DUT Adj Read]]="N/A",Table1[[#This Row],[Std Adj Read]]="N/A"),"N/A",IF(Table1[[#This Row],[DUT Adj Read]]="N/A",IF(Table1[[#This Row],[Std Adj Read]]&gt;Table1[[#This Row],[Low Tol]],"Pass","Fail"),IF(Table1[[#This Row],[DUT Adj Read]]&gt;Table1[[#This Row],[Low Tol]],"Pass","Fail")))</f>
        <v>Pass</v>
      </c>
      <c r="AE941" s="1" t="str">
        <f>IF(AND(Table1[[#This Row],[Spec Type2]]="N/A",Table1[[#This Row],[DUT Adj Read]]="N/A",Table1[[#This Row],[Std Adj Read]]="N/A"),"N/A",IF(Table1[[#This Row],[DUT Adj Read]]="N/A",IF(Table1[[#This Row],[Std Adj Read]]&lt;Table1[[#This Row],[High Tol]],"Pass","Fail"),IF(Table1[[#This Row],[DUT Adj Read]]&lt;Table1[[#This Row],[High Tol]],"Pass","Fail")))</f>
        <v>Fail</v>
      </c>
      <c r="AF941" s="1" t="str">
        <f>IF(AND(Table1[[#This Row],[Spec Type2]]="N/A",Table1[[#This Row],[DUT Adj Read]]="N/A",Table1[[#This Row],[Std Adj Read]]="N/A"),"N/A",IF(Table1[[#This Row],[DUT Adj Read]]="N/A",IF(Table1[[#This Row],[Std Adj Read]]&gt;=Table1[[#This Row],[Low Tol]],"Pass","Fail"),IF(Table1[[#This Row],[DUT Adj Read]]&gt;=Table1[[#This Row],[Low Tol]],"Pass","Fail")))</f>
        <v>Pass</v>
      </c>
      <c r="AG941" s="1" t="str">
        <f>IF(AND(Table1[[#This Row],[Spec Type2]]="N/A",Table1[[#This Row],[DUT Adj Read]]="N/A",Table1[[#This Row],[Std Adj Read]]="N/A"),"N/A",IF(Table1[[#This Row],[DUT Adj Read]]="N/A",IF(Table1[[#This Row],[Std Adj Read]]&lt;=Table1[[#This Row],[High Tol]],"Pass","Fail"),IF(Table1[[#This Row],[DUT Adj Read]]&lt;=Table1[[#This Row],[High Tol]],"Pass","Fail")))</f>
        <v>Fail</v>
      </c>
      <c r="AH9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1" s="1" t="b">
        <v>0</v>
      </c>
      <c r="AN941" s="1" t="b">
        <v>0</v>
      </c>
      <c r="AO941" s="1" t="b">
        <v>0</v>
      </c>
    </row>
    <row r="942" spans="1:41" x14ac:dyDescent="0.25">
      <c r="A942" s="10"/>
      <c r="B942" s="10"/>
      <c r="C942" s="10"/>
      <c r="D942" s="10"/>
      <c r="E942" s="10"/>
      <c r="F942" s="10"/>
      <c r="G942" s="10"/>
      <c r="H942" s="10"/>
      <c r="I942" s="1" t="str">
        <f t="shared" si="42"/>
        <v/>
      </c>
      <c r="J942" s="1" t="s">
        <v>35</v>
      </c>
      <c r="K942" s="1" t="str">
        <f t="shared" si="43"/>
        <v/>
      </c>
      <c r="L942" s="1" t="str">
        <f t="shared" si="44"/>
        <v/>
      </c>
      <c r="M942" s="1">
        <f>IF(OR(Table1[[#This Row],[Std Nom]]="",Table1[[#This Row],[Std Read]]=""),0,Table1[[#This Row],[Std Nom]]-Table1[[#This Row],[Std Read]])</f>
        <v>0</v>
      </c>
      <c r="N942" s="1">
        <f>IF(Calculations!$F$5="ACCREDITED 17025 WITH UNCERTAINTIES",$N$10,0)</f>
        <v>0</v>
      </c>
      <c r="Q942" s="1">
        <f>Table1[[#This Row],[High Tol]]-Table1[[#This Row],[Low Tol]]</f>
        <v>0</v>
      </c>
      <c r="R942" s="1">
        <f>2*Table1[[#This Row],[Std Error]]</f>
        <v>0</v>
      </c>
      <c r="S942" s="1" t="str">
        <f>IF(Table1[[#This Row],[High Tol]]="","N/A",IFERROR(ABS(Table1[[#This Row],[Tol Span]]/Table1[[#This Row],[Error Span]]),"N/A"))</f>
        <v>N/A</v>
      </c>
      <c r="T942" s="1" t="str">
        <f>IF(OR(Table1[[#This Row],[Low Tol]]="",Table1[[#This Row],[High Tol]]=""),"Needs Analysis",IF(Table1[[#This Row],[Ratio]]&gt;=4,"Not Significant",IF(Table1[[#This Row],[Ratio]]&gt;=2,"Semi-Significant","Significant")))</f>
        <v>Needs Analysis</v>
      </c>
      <c r="W942" s="1">
        <f>IF(Table1[[#This Row],[Cal Type]]&lt;&gt;"ACCREDITED 17025 WITH UNCERTAINTIES",0,"")</f>
        <v>0</v>
      </c>
      <c r="X942" s="1" t="str">
        <f>IF(Table1[[#This Row],[DUT Read]]="","N/A",Table1[[#This Row],[Std Error]]+Table1[[#This Row],[DUT Read]]+Table1[[#This Row],[DUT Ucty]])</f>
        <v>N/A</v>
      </c>
      <c r="Y942" s="1" t="str">
        <f>IF(Table1[[#This Row],[Std Read]]="","N/A",Table1[[#This Row],[Std Read]]+Table1[[#This Row],[Std Ucty]])</f>
        <v>N/A</v>
      </c>
      <c r="Z9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2" s="1" t="str">
        <f>IF(Table1[[#This Row],[Spec Type]]="","N/A",Table1[[#This Row],[Spec Type]])</f>
        <v>±</v>
      </c>
      <c r="AC942" s="1" t="str">
        <f>IF(Table1[[#This Row],[Spec Type2]]="N/A","N/A",IF(AND(Table1[[#This Row],[DUT Adj Read]]&gt;=Table1[[#This Row],[Low Tol]],Table1[[#This Row],[DUT Adj Read]]&lt;=Table1[[#This Row],[High Tol]]),"Pass","Fail"))</f>
        <v>Fail</v>
      </c>
      <c r="AD942" s="1" t="str">
        <f>IF(AND(Table1[[#This Row],[Spec Type2]]="N/A",Table1[[#This Row],[DUT Adj Read]]="N/A",Table1[[#This Row],[Std Adj Read]]="N/A"),"N/A",IF(Table1[[#This Row],[DUT Adj Read]]="N/A",IF(Table1[[#This Row],[Std Adj Read]]&gt;Table1[[#This Row],[Low Tol]],"Pass","Fail"),IF(Table1[[#This Row],[DUT Adj Read]]&gt;Table1[[#This Row],[Low Tol]],"Pass","Fail")))</f>
        <v>Pass</v>
      </c>
      <c r="AE942" s="1" t="str">
        <f>IF(AND(Table1[[#This Row],[Spec Type2]]="N/A",Table1[[#This Row],[DUT Adj Read]]="N/A",Table1[[#This Row],[Std Adj Read]]="N/A"),"N/A",IF(Table1[[#This Row],[DUT Adj Read]]="N/A",IF(Table1[[#This Row],[Std Adj Read]]&lt;Table1[[#This Row],[High Tol]],"Pass","Fail"),IF(Table1[[#This Row],[DUT Adj Read]]&lt;Table1[[#This Row],[High Tol]],"Pass","Fail")))</f>
        <v>Fail</v>
      </c>
      <c r="AF942" s="1" t="str">
        <f>IF(AND(Table1[[#This Row],[Spec Type2]]="N/A",Table1[[#This Row],[DUT Adj Read]]="N/A",Table1[[#This Row],[Std Adj Read]]="N/A"),"N/A",IF(Table1[[#This Row],[DUT Adj Read]]="N/A",IF(Table1[[#This Row],[Std Adj Read]]&gt;=Table1[[#This Row],[Low Tol]],"Pass","Fail"),IF(Table1[[#This Row],[DUT Adj Read]]&gt;=Table1[[#This Row],[Low Tol]],"Pass","Fail")))</f>
        <v>Pass</v>
      </c>
      <c r="AG942" s="1" t="str">
        <f>IF(AND(Table1[[#This Row],[Spec Type2]]="N/A",Table1[[#This Row],[DUT Adj Read]]="N/A",Table1[[#This Row],[Std Adj Read]]="N/A"),"N/A",IF(Table1[[#This Row],[DUT Adj Read]]="N/A",IF(Table1[[#This Row],[Std Adj Read]]&lt;=Table1[[#This Row],[High Tol]],"Pass","Fail"),IF(Table1[[#This Row],[DUT Adj Read]]&lt;=Table1[[#This Row],[High Tol]],"Pass","Fail")))</f>
        <v>Fail</v>
      </c>
      <c r="AH9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2" s="1" t="b">
        <v>0</v>
      </c>
      <c r="AN942" s="1" t="b">
        <v>0</v>
      </c>
      <c r="AO942" s="1" t="b">
        <v>0</v>
      </c>
    </row>
    <row r="943" spans="1:41" x14ac:dyDescent="0.25">
      <c r="A943" s="10"/>
      <c r="B943" s="10"/>
      <c r="C943" s="10"/>
      <c r="D943" s="10"/>
      <c r="E943" s="10"/>
      <c r="F943" s="10"/>
      <c r="G943" s="10"/>
      <c r="H943" s="10"/>
      <c r="I943" s="1" t="str">
        <f t="shared" si="42"/>
        <v/>
      </c>
      <c r="J943" s="1" t="s">
        <v>35</v>
      </c>
      <c r="K943" s="1" t="str">
        <f t="shared" si="43"/>
        <v/>
      </c>
      <c r="L943" s="1" t="str">
        <f t="shared" si="44"/>
        <v/>
      </c>
      <c r="M943" s="1">
        <f>IF(OR(Table1[[#This Row],[Std Nom]]="",Table1[[#This Row],[Std Read]]=""),0,Table1[[#This Row],[Std Nom]]-Table1[[#This Row],[Std Read]])</f>
        <v>0</v>
      </c>
      <c r="N943" s="1">
        <f>IF(Calculations!$F$5="ACCREDITED 17025 WITH UNCERTAINTIES",$N$10,0)</f>
        <v>0</v>
      </c>
      <c r="Q943" s="1">
        <f>Table1[[#This Row],[High Tol]]-Table1[[#This Row],[Low Tol]]</f>
        <v>0</v>
      </c>
      <c r="R943" s="1">
        <f>2*Table1[[#This Row],[Std Error]]</f>
        <v>0</v>
      </c>
      <c r="S943" s="1" t="str">
        <f>IF(Table1[[#This Row],[High Tol]]="","N/A",IFERROR(ABS(Table1[[#This Row],[Tol Span]]/Table1[[#This Row],[Error Span]]),"N/A"))</f>
        <v>N/A</v>
      </c>
      <c r="T943" s="1" t="str">
        <f>IF(OR(Table1[[#This Row],[Low Tol]]="",Table1[[#This Row],[High Tol]]=""),"Needs Analysis",IF(Table1[[#This Row],[Ratio]]&gt;=4,"Not Significant",IF(Table1[[#This Row],[Ratio]]&gt;=2,"Semi-Significant","Significant")))</f>
        <v>Needs Analysis</v>
      </c>
      <c r="W943" s="1">
        <f>IF(Table1[[#This Row],[Cal Type]]&lt;&gt;"ACCREDITED 17025 WITH UNCERTAINTIES",0,"")</f>
        <v>0</v>
      </c>
      <c r="X943" s="1" t="str">
        <f>IF(Table1[[#This Row],[DUT Read]]="","N/A",Table1[[#This Row],[Std Error]]+Table1[[#This Row],[DUT Read]]+Table1[[#This Row],[DUT Ucty]])</f>
        <v>N/A</v>
      </c>
      <c r="Y943" s="1" t="str">
        <f>IF(Table1[[#This Row],[Std Read]]="","N/A",Table1[[#This Row],[Std Read]]+Table1[[#This Row],[Std Ucty]])</f>
        <v>N/A</v>
      </c>
      <c r="Z9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3" s="1" t="str">
        <f>IF(Table1[[#This Row],[Spec Type]]="","N/A",Table1[[#This Row],[Spec Type]])</f>
        <v>±</v>
      </c>
      <c r="AC943" s="1" t="str">
        <f>IF(Table1[[#This Row],[Spec Type2]]="N/A","N/A",IF(AND(Table1[[#This Row],[DUT Adj Read]]&gt;=Table1[[#This Row],[Low Tol]],Table1[[#This Row],[DUT Adj Read]]&lt;=Table1[[#This Row],[High Tol]]),"Pass","Fail"))</f>
        <v>Fail</v>
      </c>
      <c r="AD943" s="1" t="str">
        <f>IF(AND(Table1[[#This Row],[Spec Type2]]="N/A",Table1[[#This Row],[DUT Adj Read]]="N/A",Table1[[#This Row],[Std Adj Read]]="N/A"),"N/A",IF(Table1[[#This Row],[DUT Adj Read]]="N/A",IF(Table1[[#This Row],[Std Adj Read]]&gt;Table1[[#This Row],[Low Tol]],"Pass","Fail"),IF(Table1[[#This Row],[DUT Adj Read]]&gt;Table1[[#This Row],[Low Tol]],"Pass","Fail")))</f>
        <v>Pass</v>
      </c>
      <c r="AE943" s="1" t="str">
        <f>IF(AND(Table1[[#This Row],[Spec Type2]]="N/A",Table1[[#This Row],[DUT Adj Read]]="N/A",Table1[[#This Row],[Std Adj Read]]="N/A"),"N/A",IF(Table1[[#This Row],[DUT Adj Read]]="N/A",IF(Table1[[#This Row],[Std Adj Read]]&lt;Table1[[#This Row],[High Tol]],"Pass","Fail"),IF(Table1[[#This Row],[DUT Adj Read]]&lt;Table1[[#This Row],[High Tol]],"Pass","Fail")))</f>
        <v>Fail</v>
      </c>
      <c r="AF943" s="1" t="str">
        <f>IF(AND(Table1[[#This Row],[Spec Type2]]="N/A",Table1[[#This Row],[DUT Adj Read]]="N/A",Table1[[#This Row],[Std Adj Read]]="N/A"),"N/A",IF(Table1[[#This Row],[DUT Adj Read]]="N/A",IF(Table1[[#This Row],[Std Adj Read]]&gt;=Table1[[#This Row],[Low Tol]],"Pass","Fail"),IF(Table1[[#This Row],[DUT Adj Read]]&gt;=Table1[[#This Row],[Low Tol]],"Pass","Fail")))</f>
        <v>Pass</v>
      </c>
      <c r="AG943" s="1" t="str">
        <f>IF(AND(Table1[[#This Row],[Spec Type2]]="N/A",Table1[[#This Row],[DUT Adj Read]]="N/A",Table1[[#This Row],[Std Adj Read]]="N/A"),"N/A",IF(Table1[[#This Row],[DUT Adj Read]]="N/A",IF(Table1[[#This Row],[Std Adj Read]]&lt;=Table1[[#This Row],[High Tol]],"Pass","Fail"),IF(Table1[[#This Row],[DUT Adj Read]]&lt;=Table1[[#This Row],[High Tol]],"Pass","Fail")))</f>
        <v>Fail</v>
      </c>
      <c r="AH9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3" s="1" t="b">
        <v>0</v>
      </c>
      <c r="AN943" s="1" t="b">
        <v>0</v>
      </c>
      <c r="AO943" s="1" t="b">
        <v>0</v>
      </c>
    </row>
    <row r="944" spans="1:41" x14ac:dyDescent="0.25">
      <c r="A944" s="10"/>
      <c r="B944" s="10"/>
      <c r="C944" s="10"/>
      <c r="D944" s="10"/>
      <c r="E944" s="10"/>
      <c r="F944" s="10"/>
      <c r="G944" s="10"/>
      <c r="H944" s="10"/>
      <c r="I944" s="1" t="str">
        <f t="shared" si="42"/>
        <v/>
      </c>
      <c r="J944" s="1" t="s">
        <v>35</v>
      </c>
      <c r="K944" s="1" t="str">
        <f t="shared" si="43"/>
        <v/>
      </c>
      <c r="L944" s="1" t="str">
        <f t="shared" si="44"/>
        <v/>
      </c>
      <c r="M944" s="1">
        <f>IF(OR(Table1[[#This Row],[Std Nom]]="",Table1[[#This Row],[Std Read]]=""),0,Table1[[#This Row],[Std Nom]]-Table1[[#This Row],[Std Read]])</f>
        <v>0</v>
      </c>
      <c r="N944" s="1">
        <f>IF(Calculations!$F$5="ACCREDITED 17025 WITH UNCERTAINTIES",$N$10,0)</f>
        <v>0</v>
      </c>
      <c r="Q944" s="1">
        <f>Table1[[#This Row],[High Tol]]-Table1[[#This Row],[Low Tol]]</f>
        <v>0</v>
      </c>
      <c r="R944" s="1">
        <f>2*Table1[[#This Row],[Std Error]]</f>
        <v>0</v>
      </c>
      <c r="S944" s="1" t="str">
        <f>IF(Table1[[#This Row],[High Tol]]="","N/A",IFERROR(ABS(Table1[[#This Row],[Tol Span]]/Table1[[#This Row],[Error Span]]),"N/A"))</f>
        <v>N/A</v>
      </c>
      <c r="T944" s="1" t="str">
        <f>IF(OR(Table1[[#This Row],[Low Tol]]="",Table1[[#This Row],[High Tol]]=""),"Needs Analysis",IF(Table1[[#This Row],[Ratio]]&gt;=4,"Not Significant",IF(Table1[[#This Row],[Ratio]]&gt;=2,"Semi-Significant","Significant")))</f>
        <v>Needs Analysis</v>
      </c>
      <c r="W944" s="1">
        <f>IF(Table1[[#This Row],[Cal Type]]&lt;&gt;"ACCREDITED 17025 WITH UNCERTAINTIES",0,"")</f>
        <v>0</v>
      </c>
      <c r="X944" s="1" t="str">
        <f>IF(Table1[[#This Row],[DUT Read]]="","N/A",Table1[[#This Row],[Std Error]]+Table1[[#This Row],[DUT Read]]+Table1[[#This Row],[DUT Ucty]])</f>
        <v>N/A</v>
      </c>
      <c r="Y944" s="1" t="str">
        <f>IF(Table1[[#This Row],[Std Read]]="","N/A",Table1[[#This Row],[Std Read]]+Table1[[#This Row],[Std Ucty]])</f>
        <v>N/A</v>
      </c>
      <c r="Z9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4" s="1" t="str">
        <f>IF(Table1[[#This Row],[Spec Type]]="","N/A",Table1[[#This Row],[Spec Type]])</f>
        <v>±</v>
      </c>
      <c r="AC944" s="1" t="str">
        <f>IF(Table1[[#This Row],[Spec Type2]]="N/A","N/A",IF(AND(Table1[[#This Row],[DUT Adj Read]]&gt;=Table1[[#This Row],[Low Tol]],Table1[[#This Row],[DUT Adj Read]]&lt;=Table1[[#This Row],[High Tol]]),"Pass","Fail"))</f>
        <v>Fail</v>
      </c>
      <c r="AD944" s="1" t="str">
        <f>IF(AND(Table1[[#This Row],[Spec Type2]]="N/A",Table1[[#This Row],[DUT Adj Read]]="N/A",Table1[[#This Row],[Std Adj Read]]="N/A"),"N/A",IF(Table1[[#This Row],[DUT Adj Read]]="N/A",IF(Table1[[#This Row],[Std Adj Read]]&gt;Table1[[#This Row],[Low Tol]],"Pass","Fail"),IF(Table1[[#This Row],[DUT Adj Read]]&gt;Table1[[#This Row],[Low Tol]],"Pass","Fail")))</f>
        <v>Pass</v>
      </c>
      <c r="AE944" s="1" t="str">
        <f>IF(AND(Table1[[#This Row],[Spec Type2]]="N/A",Table1[[#This Row],[DUT Adj Read]]="N/A",Table1[[#This Row],[Std Adj Read]]="N/A"),"N/A",IF(Table1[[#This Row],[DUT Adj Read]]="N/A",IF(Table1[[#This Row],[Std Adj Read]]&lt;Table1[[#This Row],[High Tol]],"Pass","Fail"),IF(Table1[[#This Row],[DUT Adj Read]]&lt;Table1[[#This Row],[High Tol]],"Pass","Fail")))</f>
        <v>Fail</v>
      </c>
      <c r="AF944" s="1" t="str">
        <f>IF(AND(Table1[[#This Row],[Spec Type2]]="N/A",Table1[[#This Row],[DUT Adj Read]]="N/A",Table1[[#This Row],[Std Adj Read]]="N/A"),"N/A",IF(Table1[[#This Row],[DUT Adj Read]]="N/A",IF(Table1[[#This Row],[Std Adj Read]]&gt;=Table1[[#This Row],[Low Tol]],"Pass","Fail"),IF(Table1[[#This Row],[DUT Adj Read]]&gt;=Table1[[#This Row],[Low Tol]],"Pass","Fail")))</f>
        <v>Pass</v>
      </c>
      <c r="AG944" s="1" t="str">
        <f>IF(AND(Table1[[#This Row],[Spec Type2]]="N/A",Table1[[#This Row],[DUT Adj Read]]="N/A",Table1[[#This Row],[Std Adj Read]]="N/A"),"N/A",IF(Table1[[#This Row],[DUT Adj Read]]="N/A",IF(Table1[[#This Row],[Std Adj Read]]&lt;=Table1[[#This Row],[High Tol]],"Pass","Fail"),IF(Table1[[#This Row],[DUT Adj Read]]&lt;=Table1[[#This Row],[High Tol]],"Pass","Fail")))</f>
        <v>Fail</v>
      </c>
      <c r="AH9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4" s="1" t="b">
        <v>0</v>
      </c>
      <c r="AN944" s="1" t="b">
        <v>0</v>
      </c>
      <c r="AO944" s="1" t="b">
        <v>0</v>
      </c>
    </row>
    <row r="945" spans="1:41" x14ac:dyDescent="0.25">
      <c r="A945" s="10"/>
      <c r="B945" s="10"/>
      <c r="C945" s="10"/>
      <c r="D945" s="10"/>
      <c r="E945" s="10"/>
      <c r="F945" s="10"/>
      <c r="G945" s="10"/>
      <c r="H945" s="10"/>
      <c r="I945" s="1" t="str">
        <f t="shared" si="42"/>
        <v/>
      </c>
      <c r="J945" s="1" t="s">
        <v>35</v>
      </c>
      <c r="K945" s="1" t="str">
        <f t="shared" si="43"/>
        <v/>
      </c>
      <c r="L945" s="1" t="str">
        <f t="shared" si="44"/>
        <v/>
      </c>
      <c r="M945" s="1">
        <f>IF(OR(Table1[[#This Row],[Std Nom]]="",Table1[[#This Row],[Std Read]]=""),0,Table1[[#This Row],[Std Nom]]-Table1[[#This Row],[Std Read]])</f>
        <v>0</v>
      </c>
      <c r="N945" s="1">
        <f>IF(Calculations!$F$5="ACCREDITED 17025 WITH UNCERTAINTIES",$N$10,0)</f>
        <v>0</v>
      </c>
      <c r="Q945" s="1">
        <f>Table1[[#This Row],[High Tol]]-Table1[[#This Row],[Low Tol]]</f>
        <v>0</v>
      </c>
      <c r="R945" s="1">
        <f>2*Table1[[#This Row],[Std Error]]</f>
        <v>0</v>
      </c>
      <c r="S945" s="1" t="str">
        <f>IF(Table1[[#This Row],[High Tol]]="","N/A",IFERROR(ABS(Table1[[#This Row],[Tol Span]]/Table1[[#This Row],[Error Span]]),"N/A"))</f>
        <v>N/A</v>
      </c>
      <c r="T945" s="1" t="str">
        <f>IF(OR(Table1[[#This Row],[Low Tol]]="",Table1[[#This Row],[High Tol]]=""),"Needs Analysis",IF(Table1[[#This Row],[Ratio]]&gt;=4,"Not Significant",IF(Table1[[#This Row],[Ratio]]&gt;=2,"Semi-Significant","Significant")))</f>
        <v>Needs Analysis</v>
      </c>
      <c r="W945" s="1">
        <f>IF(Table1[[#This Row],[Cal Type]]&lt;&gt;"ACCREDITED 17025 WITH UNCERTAINTIES",0,"")</f>
        <v>0</v>
      </c>
      <c r="X945" s="1" t="str">
        <f>IF(Table1[[#This Row],[DUT Read]]="","N/A",Table1[[#This Row],[Std Error]]+Table1[[#This Row],[DUT Read]]+Table1[[#This Row],[DUT Ucty]])</f>
        <v>N/A</v>
      </c>
      <c r="Y945" s="1" t="str">
        <f>IF(Table1[[#This Row],[Std Read]]="","N/A",Table1[[#This Row],[Std Read]]+Table1[[#This Row],[Std Ucty]])</f>
        <v>N/A</v>
      </c>
      <c r="Z9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5" s="1" t="str">
        <f>IF(Table1[[#This Row],[Spec Type]]="","N/A",Table1[[#This Row],[Spec Type]])</f>
        <v>±</v>
      </c>
      <c r="AC945" s="1" t="str">
        <f>IF(Table1[[#This Row],[Spec Type2]]="N/A","N/A",IF(AND(Table1[[#This Row],[DUT Adj Read]]&gt;=Table1[[#This Row],[Low Tol]],Table1[[#This Row],[DUT Adj Read]]&lt;=Table1[[#This Row],[High Tol]]),"Pass","Fail"))</f>
        <v>Fail</v>
      </c>
      <c r="AD945" s="1" t="str">
        <f>IF(AND(Table1[[#This Row],[Spec Type2]]="N/A",Table1[[#This Row],[DUT Adj Read]]="N/A",Table1[[#This Row],[Std Adj Read]]="N/A"),"N/A",IF(Table1[[#This Row],[DUT Adj Read]]="N/A",IF(Table1[[#This Row],[Std Adj Read]]&gt;Table1[[#This Row],[Low Tol]],"Pass","Fail"),IF(Table1[[#This Row],[DUT Adj Read]]&gt;Table1[[#This Row],[Low Tol]],"Pass","Fail")))</f>
        <v>Pass</v>
      </c>
      <c r="AE945" s="1" t="str">
        <f>IF(AND(Table1[[#This Row],[Spec Type2]]="N/A",Table1[[#This Row],[DUT Adj Read]]="N/A",Table1[[#This Row],[Std Adj Read]]="N/A"),"N/A",IF(Table1[[#This Row],[DUT Adj Read]]="N/A",IF(Table1[[#This Row],[Std Adj Read]]&lt;Table1[[#This Row],[High Tol]],"Pass","Fail"),IF(Table1[[#This Row],[DUT Adj Read]]&lt;Table1[[#This Row],[High Tol]],"Pass","Fail")))</f>
        <v>Fail</v>
      </c>
      <c r="AF945" s="1" t="str">
        <f>IF(AND(Table1[[#This Row],[Spec Type2]]="N/A",Table1[[#This Row],[DUT Adj Read]]="N/A",Table1[[#This Row],[Std Adj Read]]="N/A"),"N/A",IF(Table1[[#This Row],[DUT Adj Read]]="N/A",IF(Table1[[#This Row],[Std Adj Read]]&gt;=Table1[[#This Row],[Low Tol]],"Pass","Fail"),IF(Table1[[#This Row],[DUT Adj Read]]&gt;=Table1[[#This Row],[Low Tol]],"Pass","Fail")))</f>
        <v>Pass</v>
      </c>
      <c r="AG945" s="1" t="str">
        <f>IF(AND(Table1[[#This Row],[Spec Type2]]="N/A",Table1[[#This Row],[DUT Adj Read]]="N/A",Table1[[#This Row],[Std Adj Read]]="N/A"),"N/A",IF(Table1[[#This Row],[DUT Adj Read]]="N/A",IF(Table1[[#This Row],[Std Adj Read]]&lt;=Table1[[#This Row],[High Tol]],"Pass","Fail"),IF(Table1[[#This Row],[DUT Adj Read]]&lt;=Table1[[#This Row],[High Tol]],"Pass","Fail")))</f>
        <v>Fail</v>
      </c>
      <c r="AH9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5" s="1" t="b">
        <v>0</v>
      </c>
      <c r="AN945" s="1" t="b">
        <v>0</v>
      </c>
      <c r="AO945" s="1" t="b">
        <v>0</v>
      </c>
    </row>
    <row r="946" spans="1:41" x14ac:dyDescent="0.25">
      <c r="A946" s="10"/>
      <c r="B946" s="10"/>
      <c r="C946" s="10"/>
      <c r="D946" s="10"/>
      <c r="E946" s="10"/>
      <c r="F946" s="10"/>
      <c r="G946" s="10"/>
      <c r="H946" s="10"/>
      <c r="I946" s="1" t="str">
        <f t="shared" si="42"/>
        <v/>
      </c>
      <c r="J946" s="1" t="s">
        <v>35</v>
      </c>
      <c r="K946" s="1" t="str">
        <f t="shared" si="43"/>
        <v/>
      </c>
      <c r="L946" s="1" t="str">
        <f t="shared" si="44"/>
        <v/>
      </c>
      <c r="M946" s="1">
        <f>IF(OR(Table1[[#This Row],[Std Nom]]="",Table1[[#This Row],[Std Read]]=""),0,Table1[[#This Row],[Std Nom]]-Table1[[#This Row],[Std Read]])</f>
        <v>0</v>
      </c>
      <c r="N946" s="1">
        <f>IF(Calculations!$F$5="ACCREDITED 17025 WITH UNCERTAINTIES",$N$10,0)</f>
        <v>0</v>
      </c>
      <c r="Q946" s="1">
        <f>Table1[[#This Row],[High Tol]]-Table1[[#This Row],[Low Tol]]</f>
        <v>0</v>
      </c>
      <c r="R946" s="1">
        <f>2*Table1[[#This Row],[Std Error]]</f>
        <v>0</v>
      </c>
      <c r="S946" s="1" t="str">
        <f>IF(Table1[[#This Row],[High Tol]]="","N/A",IFERROR(ABS(Table1[[#This Row],[Tol Span]]/Table1[[#This Row],[Error Span]]),"N/A"))</f>
        <v>N/A</v>
      </c>
      <c r="T946" s="1" t="str">
        <f>IF(OR(Table1[[#This Row],[Low Tol]]="",Table1[[#This Row],[High Tol]]=""),"Needs Analysis",IF(Table1[[#This Row],[Ratio]]&gt;=4,"Not Significant",IF(Table1[[#This Row],[Ratio]]&gt;=2,"Semi-Significant","Significant")))</f>
        <v>Needs Analysis</v>
      </c>
      <c r="W946" s="1">
        <f>IF(Table1[[#This Row],[Cal Type]]&lt;&gt;"ACCREDITED 17025 WITH UNCERTAINTIES",0,"")</f>
        <v>0</v>
      </c>
      <c r="X946" s="1" t="str">
        <f>IF(Table1[[#This Row],[DUT Read]]="","N/A",Table1[[#This Row],[Std Error]]+Table1[[#This Row],[DUT Read]]+Table1[[#This Row],[DUT Ucty]])</f>
        <v>N/A</v>
      </c>
      <c r="Y946" s="1" t="str">
        <f>IF(Table1[[#This Row],[Std Read]]="","N/A",Table1[[#This Row],[Std Read]]+Table1[[#This Row],[Std Ucty]])</f>
        <v>N/A</v>
      </c>
      <c r="Z9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6" s="1" t="str">
        <f>IF(Table1[[#This Row],[Spec Type]]="","N/A",Table1[[#This Row],[Spec Type]])</f>
        <v>±</v>
      </c>
      <c r="AC946" s="1" t="str">
        <f>IF(Table1[[#This Row],[Spec Type2]]="N/A","N/A",IF(AND(Table1[[#This Row],[DUT Adj Read]]&gt;=Table1[[#This Row],[Low Tol]],Table1[[#This Row],[DUT Adj Read]]&lt;=Table1[[#This Row],[High Tol]]),"Pass","Fail"))</f>
        <v>Fail</v>
      </c>
      <c r="AD946" s="1" t="str">
        <f>IF(AND(Table1[[#This Row],[Spec Type2]]="N/A",Table1[[#This Row],[DUT Adj Read]]="N/A",Table1[[#This Row],[Std Adj Read]]="N/A"),"N/A",IF(Table1[[#This Row],[DUT Adj Read]]="N/A",IF(Table1[[#This Row],[Std Adj Read]]&gt;Table1[[#This Row],[Low Tol]],"Pass","Fail"),IF(Table1[[#This Row],[DUT Adj Read]]&gt;Table1[[#This Row],[Low Tol]],"Pass","Fail")))</f>
        <v>Pass</v>
      </c>
      <c r="AE946" s="1" t="str">
        <f>IF(AND(Table1[[#This Row],[Spec Type2]]="N/A",Table1[[#This Row],[DUT Adj Read]]="N/A",Table1[[#This Row],[Std Adj Read]]="N/A"),"N/A",IF(Table1[[#This Row],[DUT Adj Read]]="N/A",IF(Table1[[#This Row],[Std Adj Read]]&lt;Table1[[#This Row],[High Tol]],"Pass","Fail"),IF(Table1[[#This Row],[DUT Adj Read]]&lt;Table1[[#This Row],[High Tol]],"Pass","Fail")))</f>
        <v>Fail</v>
      </c>
      <c r="AF946" s="1" t="str">
        <f>IF(AND(Table1[[#This Row],[Spec Type2]]="N/A",Table1[[#This Row],[DUT Adj Read]]="N/A",Table1[[#This Row],[Std Adj Read]]="N/A"),"N/A",IF(Table1[[#This Row],[DUT Adj Read]]="N/A",IF(Table1[[#This Row],[Std Adj Read]]&gt;=Table1[[#This Row],[Low Tol]],"Pass","Fail"),IF(Table1[[#This Row],[DUT Adj Read]]&gt;=Table1[[#This Row],[Low Tol]],"Pass","Fail")))</f>
        <v>Pass</v>
      </c>
      <c r="AG946" s="1" t="str">
        <f>IF(AND(Table1[[#This Row],[Spec Type2]]="N/A",Table1[[#This Row],[DUT Adj Read]]="N/A",Table1[[#This Row],[Std Adj Read]]="N/A"),"N/A",IF(Table1[[#This Row],[DUT Adj Read]]="N/A",IF(Table1[[#This Row],[Std Adj Read]]&lt;=Table1[[#This Row],[High Tol]],"Pass","Fail"),IF(Table1[[#This Row],[DUT Adj Read]]&lt;=Table1[[#This Row],[High Tol]],"Pass","Fail")))</f>
        <v>Fail</v>
      </c>
      <c r="AH9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6" s="1" t="b">
        <v>0</v>
      </c>
      <c r="AN946" s="1" t="b">
        <v>0</v>
      </c>
      <c r="AO946" s="1" t="b">
        <v>0</v>
      </c>
    </row>
    <row r="947" spans="1:41" x14ac:dyDescent="0.25">
      <c r="A947" s="10"/>
      <c r="B947" s="10"/>
      <c r="C947" s="10"/>
      <c r="D947" s="10"/>
      <c r="E947" s="10"/>
      <c r="F947" s="10"/>
      <c r="G947" s="10"/>
      <c r="H947" s="10"/>
      <c r="I947" s="1" t="str">
        <f t="shared" si="42"/>
        <v/>
      </c>
      <c r="J947" s="1" t="s">
        <v>35</v>
      </c>
      <c r="K947" s="1" t="str">
        <f t="shared" si="43"/>
        <v/>
      </c>
      <c r="L947" s="1" t="str">
        <f t="shared" si="44"/>
        <v/>
      </c>
      <c r="M947" s="1">
        <f>IF(OR(Table1[[#This Row],[Std Nom]]="",Table1[[#This Row],[Std Read]]=""),0,Table1[[#This Row],[Std Nom]]-Table1[[#This Row],[Std Read]])</f>
        <v>0</v>
      </c>
      <c r="N947" s="1">
        <f>IF(Calculations!$F$5="ACCREDITED 17025 WITH UNCERTAINTIES",$N$10,0)</f>
        <v>0</v>
      </c>
      <c r="Q947" s="1">
        <f>Table1[[#This Row],[High Tol]]-Table1[[#This Row],[Low Tol]]</f>
        <v>0</v>
      </c>
      <c r="R947" s="1">
        <f>2*Table1[[#This Row],[Std Error]]</f>
        <v>0</v>
      </c>
      <c r="S947" s="1" t="str">
        <f>IF(Table1[[#This Row],[High Tol]]="","N/A",IFERROR(ABS(Table1[[#This Row],[Tol Span]]/Table1[[#This Row],[Error Span]]),"N/A"))</f>
        <v>N/A</v>
      </c>
      <c r="T947" s="1" t="str">
        <f>IF(OR(Table1[[#This Row],[Low Tol]]="",Table1[[#This Row],[High Tol]]=""),"Needs Analysis",IF(Table1[[#This Row],[Ratio]]&gt;=4,"Not Significant",IF(Table1[[#This Row],[Ratio]]&gt;=2,"Semi-Significant","Significant")))</f>
        <v>Needs Analysis</v>
      </c>
      <c r="W947" s="1">
        <f>IF(Table1[[#This Row],[Cal Type]]&lt;&gt;"ACCREDITED 17025 WITH UNCERTAINTIES",0,"")</f>
        <v>0</v>
      </c>
      <c r="X947" s="1" t="str">
        <f>IF(Table1[[#This Row],[DUT Read]]="","N/A",Table1[[#This Row],[Std Error]]+Table1[[#This Row],[DUT Read]]+Table1[[#This Row],[DUT Ucty]])</f>
        <v>N/A</v>
      </c>
      <c r="Y947" s="1" t="str">
        <f>IF(Table1[[#This Row],[Std Read]]="","N/A",Table1[[#This Row],[Std Read]]+Table1[[#This Row],[Std Ucty]])</f>
        <v>N/A</v>
      </c>
      <c r="Z9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7" s="1" t="str">
        <f>IF(Table1[[#This Row],[Spec Type]]="","N/A",Table1[[#This Row],[Spec Type]])</f>
        <v>±</v>
      </c>
      <c r="AC947" s="1" t="str">
        <f>IF(Table1[[#This Row],[Spec Type2]]="N/A","N/A",IF(AND(Table1[[#This Row],[DUT Adj Read]]&gt;=Table1[[#This Row],[Low Tol]],Table1[[#This Row],[DUT Adj Read]]&lt;=Table1[[#This Row],[High Tol]]),"Pass","Fail"))</f>
        <v>Fail</v>
      </c>
      <c r="AD947" s="1" t="str">
        <f>IF(AND(Table1[[#This Row],[Spec Type2]]="N/A",Table1[[#This Row],[DUT Adj Read]]="N/A",Table1[[#This Row],[Std Adj Read]]="N/A"),"N/A",IF(Table1[[#This Row],[DUT Adj Read]]="N/A",IF(Table1[[#This Row],[Std Adj Read]]&gt;Table1[[#This Row],[Low Tol]],"Pass","Fail"),IF(Table1[[#This Row],[DUT Adj Read]]&gt;Table1[[#This Row],[Low Tol]],"Pass","Fail")))</f>
        <v>Pass</v>
      </c>
      <c r="AE947" s="1" t="str">
        <f>IF(AND(Table1[[#This Row],[Spec Type2]]="N/A",Table1[[#This Row],[DUT Adj Read]]="N/A",Table1[[#This Row],[Std Adj Read]]="N/A"),"N/A",IF(Table1[[#This Row],[DUT Adj Read]]="N/A",IF(Table1[[#This Row],[Std Adj Read]]&lt;Table1[[#This Row],[High Tol]],"Pass","Fail"),IF(Table1[[#This Row],[DUT Adj Read]]&lt;Table1[[#This Row],[High Tol]],"Pass","Fail")))</f>
        <v>Fail</v>
      </c>
      <c r="AF947" s="1" t="str">
        <f>IF(AND(Table1[[#This Row],[Spec Type2]]="N/A",Table1[[#This Row],[DUT Adj Read]]="N/A",Table1[[#This Row],[Std Adj Read]]="N/A"),"N/A",IF(Table1[[#This Row],[DUT Adj Read]]="N/A",IF(Table1[[#This Row],[Std Adj Read]]&gt;=Table1[[#This Row],[Low Tol]],"Pass","Fail"),IF(Table1[[#This Row],[DUT Adj Read]]&gt;=Table1[[#This Row],[Low Tol]],"Pass","Fail")))</f>
        <v>Pass</v>
      </c>
      <c r="AG947" s="1" t="str">
        <f>IF(AND(Table1[[#This Row],[Spec Type2]]="N/A",Table1[[#This Row],[DUT Adj Read]]="N/A",Table1[[#This Row],[Std Adj Read]]="N/A"),"N/A",IF(Table1[[#This Row],[DUT Adj Read]]="N/A",IF(Table1[[#This Row],[Std Adj Read]]&lt;=Table1[[#This Row],[High Tol]],"Pass","Fail"),IF(Table1[[#This Row],[DUT Adj Read]]&lt;=Table1[[#This Row],[High Tol]],"Pass","Fail")))</f>
        <v>Fail</v>
      </c>
      <c r="AH9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7" s="1" t="b">
        <v>0</v>
      </c>
      <c r="AN947" s="1" t="b">
        <v>0</v>
      </c>
      <c r="AO947" s="1" t="b">
        <v>0</v>
      </c>
    </row>
    <row r="948" spans="1:41" x14ac:dyDescent="0.25">
      <c r="A948" s="10"/>
      <c r="B948" s="10"/>
      <c r="C948" s="10"/>
      <c r="D948" s="10"/>
      <c r="E948" s="10"/>
      <c r="F948" s="10"/>
      <c r="G948" s="10"/>
      <c r="H948" s="10"/>
      <c r="I948" s="1" t="str">
        <f t="shared" si="42"/>
        <v/>
      </c>
      <c r="J948" s="1" t="s">
        <v>35</v>
      </c>
      <c r="K948" s="1" t="str">
        <f t="shared" si="43"/>
        <v/>
      </c>
      <c r="L948" s="1" t="str">
        <f t="shared" si="44"/>
        <v/>
      </c>
      <c r="M948" s="1">
        <f>IF(OR(Table1[[#This Row],[Std Nom]]="",Table1[[#This Row],[Std Read]]=""),0,Table1[[#This Row],[Std Nom]]-Table1[[#This Row],[Std Read]])</f>
        <v>0</v>
      </c>
      <c r="N948" s="1">
        <f>IF(Calculations!$F$5="ACCREDITED 17025 WITH UNCERTAINTIES",$N$10,0)</f>
        <v>0</v>
      </c>
      <c r="Q948" s="1">
        <f>Table1[[#This Row],[High Tol]]-Table1[[#This Row],[Low Tol]]</f>
        <v>0</v>
      </c>
      <c r="R948" s="1">
        <f>2*Table1[[#This Row],[Std Error]]</f>
        <v>0</v>
      </c>
      <c r="S948" s="1" t="str">
        <f>IF(Table1[[#This Row],[High Tol]]="","N/A",IFERROR(ABS(Table1[[#This Row],[Tol Span]]/Table1[[#This Row],[Error Span]]),"N/A"))</f>
        <v>N/A</v>
      </c>
      <c r="T948" s="1" t="str">
        <f>IF(OR(Table1[[#This Row],[Low Tol]]="",Table1[[#This Row],[High Tol]]=""),"Needs Analysis",IF(Table1[[#This Row],[Ratio]]&gt;=4,"Not Significant",IF(Table1[[#This Row],[Ratio]]&gt;=2,"Semi-Significant","Significant")))</f>
        <v>Needs Analysis</v>
      </c>
      <c r="W948" s="1">
        <f>IF(Table1[[#This Row],[Cal Type]]&lt;&gt;"ACCREDITED 17025 WITH UNCERTAINTIES",0,"")</f>
        <v>0</v>
      </c>
      <c r="X948" s="1" t="str">
        <f>IF(Table1[[#This Row],[DUT Read]]="","N/A",Table1[[#This Row],[Std Error]]+Table1[[#This Row],[DUT Read]]+Table1[[#This Row],[DUT Ucty]])</f>
        <v>N/A</v>
      </c>
      <c r="Y948" s="1" t="str">
        <f>IF(Table1[[#This Row],[Std Read]]="","N/A",Table1[[#This Row],[Std Read]]+Table1[[#This Row],[Std Ucty]])</f>
        <v>N/A</v>
      </c>
      <c r="Z9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8" s="1" t="str">
        <f>IF(Table1[[#This Row],[Spec Type]]="","N/A",Table1[[#This Row],[Spec Type]])</f>
        <v>±</v>
      </c>
      <c r="AC948" s="1" t="str">
        <f>IF(Table1[[#This Row],[Spec Type2]]="N/A","N/A",IF(AND(Table1[[#This Row],[DUT Adj Read]]&gt;=Table1[[#This Row],[Low Tol]],Table1[[#This Row],[DUT Adj Read]]&lt;=Table1[[#This Row],[High Tol]]),"Pass","Fail"))</f>
        <v>Fail</v>
      </c>
      <c r="AD948" s="1" t="str">
        <f>IF(AND(Table1[[#This Row],[Spec Type2]]="N/A",Table1[[#This Row],[DUT Adj Read]]="N/A",Table1[[#This Row],[Std Adj Read]]="N/A"),"N/A",IF(Table1[[#This Row],[DUT Adj Read]]="N/A",IF(Table1[[#This Row],[Std Adj Read]]&gt;Table1[[#This Row],[Low Tol]],"Pass","Fail"),IF(Table1[[#This Row],[DUT Adj Read]]&gt;Table1[[#This Row],[Low Tol]],"Pass","Fail")))</f>
        <v>Pass</v>
      </c>
      <c r="AE948" s="1" t="str">
        <f>IF(AND(Table1[[#This Row],[Spec Type2]]="N/A",Table1[[#This Row],[DUT Adj Read]]="N/A",Table1[[#This Row],[Std Adj Read]]="N/A"),"N/A",IF(Table1[[#This Row],[DUT Adj Read]]="N/A",IF(Table1[[#This Row],[Std Adj Read]]&lt;Table1[[#This Row],[High Tol]],"Pass","Fail"),IF(Table1[[#This Row],[DUT Adj Read]]&lt;Table1[[#This Row],[High Tol]],"Pass","Fail")))</f>
        <v>Fail</v>
      </c>
      <c r="AF948" s="1" t="str">
        <f>IF(AND(Table1[[#This Row],[Spec Type2]]="N/A",Table1[[#This Row],[DUT Adj Read]]="N/A",Table1[[#This Row],[Std Adj Read]]="N/A"),"N/A",IF(Table1[[#This Row],[DUT Adj Read]]="N/A",IF(Table1[[#This Row],[Std Adj Read]]&gt;=Table1[[#This Row],[Low Tol]],"Pass","Fail"),IF(Table1[[#This Row],[DUT Adj Read]]&gt;=Table1[[#This Row],[Low Tol]],"Pass","Fail")))</f>
        <v>Pass</v>
      </c>
      <c r="AG948" s="1" t="str">
        <f>IF(AND(Table1[[#This Row],[Spec Type2]]="N/A",Table1[[#This Row],[DUT Adj Read]]="N/A",Table1[[#This Row],[Std Adj Read]]="N/A"),"N/A",IF(Table1[[#This Row],[DUT Adj Read]]="N/A",IF(Table1[[#This Row],[Std Adj Read]]&lt;=Table1[[#This Row],[High Tol]],"Pass","Fail"),IF(Table1[[#This Row],[DUT Adj Read]]&lt;=Table1[[#This Row],[High Tol]],"Pass","Fail")))</f>
        <v>Fail</v>
      </c>
      <c r="AH9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8" s="1" t="b">
        <v>0</v>
      </c>
      <c r="AN948" s="1" t="b">
        <v>0</v>
      </c>
      <c r="AO948" s="1" t="b">
        <v>0</v>
      </c>
    </row>
    <row r="949" spans="1:41" x14ac:dyDescent="0.25">
      <c r="A949" s="10"/>
      <c r="B949" s="10"/>
      <c r="C949" s="10"/>
      <c r="D949" s="10"/>
      <c r="E949" s="10"/>
      <c r="F949" s="10"/>
      <c r="G949" s="10"/>
      <c r="H949" s="10"/>
      <c r="I949" s="1" t="str">
        <f t="shared" si="42"/>
        <v/>
      </c>
      <c r="J949" s="1" t="s">
        <v>35</v>
      </c>
      <c r="K949" s="1" t="str">
        <f t="shared" si="43"/>
        <v/>
      </c>
      <c r="L949" s="1" t="str">
        <f t="shared" si="44"/>
        <v/>
      </c>
      <c r="M949" s="1">
        <f>IF(OR(Table1[[#This Row],[Std Nom]]="",Table1[[#This Row],[Std Read]]=""),0,Table1[[#This Row],[Std Nom]]-Table1[[#This Row],[Std Read]])</f>
        <v>0</v>
      </c>
      <c r="N949" s="1">
        <f>IF(Calculations!$F$5="ACCREDITED 17025 WITH UNCERTAINTIES",$N$10,0)</f>
        <v>0</v>
      </c>
      <c r="Q949" s="1">
        <f>Table1[[#This Row],[High Tol]]-Table1[[#This Row],[Low Tol]]</f>
        <v>0</v>
      </c>
      <c r="R949" s="1">
        <f>2*Table1[[#This Row],[Std Error]]</f>
        <v>0</v>
      </c>
      <c r="S949" s="1" t="str">
        <f>IF(Table1[[#This Row],[High Tol]]="","N/A",IFERROR(ABS(Table1[[#This Row],[Tol Span]]/Table1[[#This Row],[Error Span]]),"N/A"))</f>
        <v>N/A</v>
      </c>
      <c r="T949" s="1" t="str">
        <f>IF(OR(Table1[[#This Row],[Low Tol]]="",Table1[[#This Row],[High Tol]]=""),"Needs Analysis",IF(Table1[[#This Row],[Ratio]]&gt;=4,"Not Significant",IF(Table1[[#This Row],[Ratio]]&gt;=2,"Semi-Significant","Significant")))</f>
        <v>Needs Analysis</v>
      </c>
      <c r="W949" s="1">
        <f>IF(Table1[[#This Row],[Cal Type]]&lt;&gt;"ACCREDITED 17025 WITH UNCERTAINTIES",0,"")</f>
        <v>0</v>
      </c>
      <c r="X949" s="1" t="str">
        <f>IF(Table1[[#This Row],[DUT Read]]="","N/A",Table1[[#This Row],[Std Error]]+Table1[[#This Row],[DUT Read]]+Table1[[#This Row],[DUT Ucty]])</f>
        <v>N/A</v>
      </c>
      <c r="Y949" s="1" t="str">
        <f>IF(Table1[[#This Row],[Std Read]]="","N/A",Table1[[#This Row],[Std Read]]+Table1[[#This Row],[Std Ucty]])</f>
        <v>N/A</v>
      </c>
      <c r="Z9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49" s="1" t="str">
        <f>IF(Table1[[#This Row],[Spec Type]]="","N/A",Table1[[#This Row],[Spec Type]])</f>
        <v>±</v>
      </c>
      <c r="AC949" s="1" t="str">
        <f>IF(Table1[[#This Row],[Spec Type2]]="N/A","N/A",IF(AND(Table1[[#This Row],[DUT Adj Read]]&gt;=Table1[[#This Row],[Low Tol]],Table1[[#This Row],[DUT Adj Read]]&lt;=Table1[[#This Row],[High Tol]]),"Pass","Fail"))</f>
        <v>Fail</v>
      </c>
      <c r="AD949" s="1" t="str">
        <f>IF(AND(Table1[[#This Row],[Spec Type2]]="N/A",Table1[[#This Row],[DUT Adj Read]]="N/A",Table1[[#This Row],[Std Adj Read]]="N/A"),"N/A",IF(Table1[[#This Row],[DUT Adj Read]]="N/A",IF(Table1[[#This Row],[Std Adj Read]]&gt;Table1[[#This Row],[Low Tol]],"Pass","Fail"),IF(Table1[[#This Row],[DUT Adj Read]]&gt;Table1[[#This Row],[Low Tol]],"Pass","Fail")))</f>
        <v>Pass</v>
      </c>
      <c r="AE949" s="1" t="str">
        <f>IF(AND(Table1[[#This Row],[Spec Type2]]="N/A",Table1[[#This Row],[DUT Adj Read]]="N/A",Table1[[#This Row],[Std Adj Read]]="N/A"),"N/A",IF(Table1[[#This Row],[DUT Adj Read]]="N/A",IF(Table1[[#This Row],[Std Adj Read]]&lt;Table1[[#This Row],[High Tol]],"Pass","Fail"),IF(Table1[[#This Row],[DUT Adj Read]]&lt;Table1[[#This Row],[High Tol]],"Pass","Fail")))</f>
        <v>Fail</v>
      </c>
      <c r="AF949" s="1" t="str">
        <f>IF(AND(Table1[[#This Row],[Spec Type2]]="N/A",Table1[[#This Row],[DUT Adj Read]]="N/A",Table1[[#This Row],[Std Adj Read]]="N/A"),"N/A",IF(Table1[[#This Row],[DUT Adj Read]]="N/A",IF(Table1[[#This Row],[Std Adj Read]]&gt;=Table1[[#This Row],[Low Tol]],"Pass","Fail"),IF(Table1[[#This Row],[DUT Adj Read]]&gt;=Table1[[#This Row],[Low Tol]],"Pass","Fail")))</f>
        <v>Pass</v>
      </c>
      <c r="AG949" s="1" t="str">
        <f>IF(AND(Table1[[#This Row],[Spec Type2]]="N/A",Table1[[#This Row],[DUT Adj Read]]="N/A",Table1[[#This Row],[Std Adj Read]]="N/A"),"N/A",IF(Table1[[#This Row],[DUT Adj Read]]="N/A",IF(Table1[[#This Row],[Std Adj Read]]&lt;=Table1[[#This Row],[High Tol]],"Pass","Fail"),IF(Table1[[#This Row],[DUT Adj Read]]&lt;=Table1[[#This Row],[High Tol]],"Pass","Fail")))</f>
        <v>Fail</v>
      </c>
      <c r="AH9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49" s="1" t="b">
        <v>0</v>
      </c>
      <c r="AN949" s="1" t="b">
        <v>0</v>
      </c>
      <c r="AO949" s="1" t="b">
        <v>0</v>
      </c>
    </row>
    <row r="950" spans="1:41" x14ac:dyDescent="0.25">
      <c r="A950" s="10"/>
      <c r="B950" s="10"/>
      <c r="C950" s="10"/>
      <c r="D950" s="10"/>
      <c r="E950" s="10"/>
      <c r="F950" s="10"/>
      <c r="G950" s="10"/>
      <c r="H950" s="10"/>
      <c r="I950" s="1" t="str">
        <f t="shared" si="42"/>
        <v/>
      </c>
      <c r="J950" s="1" t="s">
        <v>35</v>
      </c>
      <c r="K950" s="1" t="str">
        <f t="shared" si="43"/>
        <v/>
      </c>
      <c r="L950" s="1" t="str">
        <f t="shared" si="44"/>
        <v/>
      </c>
      <c r="M950" s="1">
        <f>IF(OR(Table1[[#This Row],[Std Nom]]="",Table1[[#This Row],[Std Read]]=""),0,Table1[[#This Row],[Std Nom]]-Table1[[#This Row],[Std Read]])</f>
        <v>0</v>
      </c>
      <c r="N950" s="1">
        <f>IF(Calculations!$F$5="ACCREDITED 17025 WITH UNCERTAINTIES",$N$10,0)</f>
        <v>0</v>
      </c>
      <c r="Q950" s="1">
        <f>Table1[[#This Row],[High Tol]]-Table1[[#This Row],[Low Tol]]</f>
        <v>0</v>
      </c>
      <c r="R950" s="1">
        <f>2*Table1[[#This Row],[Std Error]]</f>
        <v>0</v>
      </c>
      <c r="S950" s="1" t="str">
        <f>IF(Table1[[#This Row],[High Tol]]="","N/A",IFERROR(ABS(Table1[[#This Row],[Tol Span]]/Table1[[#This Row],[Error Span]]),"N/A"))</f>
        <v>N/A</v>
      </c>
      <c r="T950" s="1" t="str">
        <f>IF(OR(Table1[[#This Row],[Low Tol]]="",Table1[[#This Row],[High Tol]]=""),"Needs Analysis",IF(Table1[[#This Row],[Ratio]]&gt;=4,"Not Significant",IF(Table1[[#This Row],[Ratio]]&gt;=2,"Semi-Significant","Significant")))</f>
        <v>Needs Analysis</v>
      </c>
      <c r="W950" s="1">
        <f>IF(Table1[[#This Row],[Cal Type]]&lt;&gt;"ACCREDITED 17025 WITH UNCERTAINTIES",0,"")</f>
        <v>0</v>
      </c>
      <c r="X950" s="1" t="str">
        <f>IF(Table1[[#This Row],[DUT Read]]="","N/A",Table1[[#This Row],[Std Error]]+Table1[[#This Row],[DUT Read]]+Table1[[#This Row],[DUT Ucty]])</f>
        <v>N/A</v>
      </c>
      <c r="Y950" s="1" t="str">
        <f>IF(Table1[[#This Row],[Std Read]]="","N/A",Table1[[#This Row],[Std Read]]+Table1[[#This Row],[Std Ucty]])</f>
        <v>N/A</v>
      </c>
      <c r="Z9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0" s="1" t="str">
        <f>IF(Table1[[#This Row],[Spec Type]]="","N/A",Table1[[#This Row],[Spec Type]])</f>
        <v>±</v>
      </c>
      <c r="AC950" s="1" t="str">
        <f>IF(Table1[[#This Row],[Spec Type2]]="N/A","N/A",IF(AND(Table1[[#This Row],[DUT Adj Read]]&gt;=Table1[[#This Row],[Low Tol]],Table1[[#This Row],[DUT Adj Read]]&lt;=Table1[[#This Row],[High Tol]]),"Pass","Fail"))</f>
        <v>Fail</v>
      </c>
      <c r="AD950" s="1" t="str">
        <f>IF(AND(Table1[[#This Row],[Spec Type2]]="N/A",Table1[[#This Row],[DUT Adj Read]]="N/A",Table1[[#This Row],[Std Adj Read]]="N/A"),"N/A",IF(Table1[[#This Row],[DUT Adj Read]]="N/A",IF(Table1[[#This Row],[Std Adj Read]]&gt;Table1[[#This Row],[Low Tol]],"Pass","Fail"),IF(Table1[[#This Row],[DUT Adj Read]]&gt;Table1[[#This Row],[Low Tol]],"Pass","Fail")))</f>
        <v>Pass</v>
      </c>
      <c r="AE950" s="1" t="str">
        <f>IF(AND(Table1[[#This Row],[Spec Type2]]="N/A",Table1[[#This Row],[DUT Adj Read]]="N/A",Table1[[#This Row],[Std Adj Read]]="N/A"),"N/A",IF(Table1[[#This Row],[DUT Adj Read]]="N/A",IF(Table1[[#This Row],[Std Adj Read]]&lt;Table1[[#This Row],[High Tol]],"Pass","Fail"),IF(Table1[[#This Row],[DUT Adj Read]]&lt;Table1[[#This Row],[High Tol]],"Pass","Fail")))</f>
        <v>Fail</v>
      </c>
      <c r="AF950" s="1" t="str">
        <f>IF(AND(Table1[[#This Row],[Spec Type2]]="N/A",Table1[[#This Row],[DUT Adj Read]]="N/A",Table1[[#This Row],[Std Adj Read]]="N/A"),"N/A",IF(Table1[[#This Row],[DUT Adj Read]]="N/A",IF(Table1[[#This Row],[Std Adj Read]]&gt;=Table1[[#This Row],[Low Tol]],"Pass","Fail"),IF(Table1[[#This Row],[DUT Adj Read]]&gt;=Table1[[#This Row],[Low Tol]],"Pass","Fail")))</f>
        <v>Pass</v>
      </c>
      <c r="AG950" s="1" t="str">
        <f>IF(AND(Table1[[#This Row],[Spec Type2]]="N/A",Table1[[#This Row],[DUT Adj Read]]="N/A",Table1[[#This Row],[Std Adj Read]]="N/A"),"N/A",IF(Table1[[#This Row],[DUT Adj Read]]="N/A",IF(Table1[[#This Row],[Std Adj Read]]&lt;=Table1[[#This Row],[High Tol]],"Pass","Fail"),IF(Table1[[#This Row],[DUT Adj Read]]&lt;=Table1[[#This Row],[High Tol]],"Pass","Fail")))</f>
        <v>Fail</v>
      </c>
      <c r="AH9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0" s="1" t="b">
        <v>0</v>
      </c>
      <c r="AN950" s="1" t="b">
        <v>0</v>
      </c>
      <c r="AO950" s="1" t="b">
        <v>0</v>
      </c>
    </row>
    <row r="951" spans="1:41" x14ac:dyDescent="0.25">
      <c r="A951" s="10"/>
      <c r="B951" s="10"/>
      <c r="C951" s="10"/>
      <c r="D951" s="10"/>
      <c r="E951" s="10"/>
      <c r="F951" s="10"/>
      <c r="G951" s="10"/>
      <c r="H951" s="10"/>
      <c r="I951" s="1" t="str">
        <f t="shared" si="42"/>
        <v/>
      </c>
      <c r="J951" s="1" t="s">
        <v>35</v>
      </c>
      <c r="K951" s="1" t="str">
        <f t="shared" si="43"/>
        <v/>
      </c>
      <c r="L951" s="1" t="str">
        <f t="shared" si="44"/>
        <v/>
      </c>
      <c r="M951" s="1">
        <f>IF(OR(Table1[[#This Row],[Std Nom]]="",Table1[[#This Row],[Std Read]]=""),0,Table1[[#This Row],[Std Nom]]-Table1[[#This Row],[Std Read]])</f>
        <v>0</v>
      </c>
      <c r="N951" s="1">
        <f>IF(Calculations!$F$5="ACCREDITED 17025 WITH UNCERTAINTIES",$N$10,0)</f>
        <v>0</v>
      </c>
      <c r="Q951" s="1">
        <f>Table1[[#This Row],[High Tol]]-Table1[[#This Row],[Low Tol]]</f>
        <v>0</v>
      </c>
      <c r="R951" s="1">
        <f>2*Table1[[#This Row],[Std Error]]</f>
        <v>0</v>
      </c>
      <c r="S951" s="1" t="str">
        <f>IF(Table1[[#This Row],[High Tol]]="","N/A",IFERROR(ABS(Table1[[#This Row],[Tol Span]]/Table1[[#This Row],[Error Span]]),"N/A"))</f>
        <v>N/A</v>
      </c>
      <c r="T951" s="1" t="str">
        <f>IF(OR(Table1[[#This Row],[Low Tol]]="",Table1[[#This Row],[High Tol]]=""),"Needs Analysis",IF(Table1[[#This Row],[Ratio]]&gt;=4,"Not Significant",IF(Table1[[#This Row],[Ratio]]&gt;=2,"Semi-Significant","Significant")))</f>
        <v>Needs Analysis</v>
      </c>
      <c r="W951" s="1">
        <f>IF(Table1[[#This Row],[Cal Type]]&lt;&gt;"ACCREDITED 17025 WITH UNCERTAINTIES",0,"")</f>
        <v>0</v>
      </c>
      <c r="X951" s="1" t="str">
        <f>IF(Table1[[#This Row],[DUT Read]]="","N/A",Table1[[#This Row],[Std Error]]+Table1[[#This Row],[DUT Read]]+Table1[[#This Row],[DUT Ucty]])</f>
        <v>N/A</v>
      </c>
      <c r="Y951" s="1" t="str">
        <f>IF(Table1[[#This Row],[Std Read]]="","N/A",Table1[[#This Row],[Std Read]]+Table1[[#This Row],[Std Ucty]])</f>
        <v>N/A</v>
      </c>
      <c r="Z9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1" s="1" t="str">
        <f>IF(Table1[[#This Row],[Spec Type]]="","N/A",Table1[[#This Row],[Spec Type]])</f>
        <v>±</v>
      </c>
      <c r="AC951" s="1" t="str">
        <f>IF(Table1[[#This Row],[Spec Type2]]="N/A","N/A",IF(AND(Table1[[#This Row],[DUT Adj Read]]&gt;=Table1[[#This Row],[Low Tol]],Table1[[#This Row],[DUT Adj Read]]&lt;=Table1[[#This Row],[High Tol]]),"Pass","Fail"))</f>
        <v>Fail</v>
      </c>
      <c r="AD951" s="1" t="str">
        <f>IF(AND(Table1[[#This Row],[Spec Type2]]="N/A",Table1[[#This Row],[DUT Adj Read]]="N/A",Table1[[#This Row],[Std Adj Read]]="N/A"),"N/A",IF(Table1[[#This Row],[DUT Adj Read]]="N/A",IF(Table1[[#This Row],[Std Adj Read]]&gt;Table1[[#This Row],[Low Tol]],"Pass","Fail"),IF(Table1[[#This Row],[DUT Adj Read]]&gt;Table1[[#This Row],[Low Tol]],"Pass","Fail")))</f>
        <v>Pass</v>
      </c>
      <c r="AE951" s="1" t="str">
        <f>IF(AND(Table1[[#This Row],[Spec Type2]]="N/A",Table1[[#This Row],[DUT Adj Read]]="N/A",Table1[[#This Row],[Std Adj Read]]="N/A"),"N/A",IF(Table1[[#This Row],[DUT Adj Read]]="N/A",IF(Table1[[#This Row],[Std Adj Read]]&lt;Table1[[#This Row],[High Tol]],"Pass","Fail"),IF(Table1[[#This Row],[DUT Adj Read]]&lt;Table1[[#This Row],[High Tol]],"Pass","Fail")))</f>
        <v>Fail</v>
      </c>
      <c r="AF951" s="1" t="str">
        <f>IF(AND(Table1[[#This Row],[Spec Type2]]="N/A",Table1[[#This Row],[DUT Adj Read]]="N/A",Table1[[#This Row],[Std Adj Read]]="N/A"),"N/A",IF(Table1[[#This Row],[DUT Adj Read]]="N/A",IF(Table1[[#This Row],[Std Adj Read]]&gt;=Table1[[#This Row],[Low Tol]],"Pass","Fail"),IF(Table1[[#This Row],[DUT Adj Read]]&gt;=Table1[[#This Row],[Low Tol]],"Pass","Fail")))</f>
        <v>Pass</v>
      </c>
      <c r="AG951" s="1" t="str">
        <f>IF(AND(Table1[[#This Row],[Spec Type2]]="N/A",Table1[[#This Row],[DUT Adj Read]]="N/A",Table1[[#This Row],[Std Adj Read]]="N/A"),"N/A",IF(Table1[[#This Row],[DUT Adj Read]]="N/A",IF(Table1[[#This Row],[Std Adj Read]]&lt;=Table1[[#This Row],[High Tol]],"Pass","Fail"),IF(Table1[[#This Row],[DUT Adj Read]]&lt;=Table1[[#This Row],[High Tol]],"Pass","Fail")))</f>
        <v>Fail</v>
      </c>
      <c r="AH9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1" s="1" t="b">
        <v>0</v>
      </c>
      <c r="AN951" s="1" t="b">
        <v>0</v>
      </c>
      <c r="AO951" s="1" t="b">
        <v>0</v>
      </c>
    </row>
    <row r="952" spans="1:41" x14ac:dyDescent="0.25">
      <c r="A952" s="10"/>
      <c r="B952" s="10"/>
      <c r="C952" s="10"/>
      <c r="D952" s="10"/>
      <c r="E952" s="10"/>
      <c r="F952" s="10"/>
      <c r="G952" s="10"/>
      <c r="H952" s="10"/>
      <c r="I952" s="1" t="str">
        <f t="shared" si="42"/>
        <v/>
      </c>
      <c r="J952" s="1" t="s">
        <v>35</v>
      </c>
      <c r="K952" s="1" t="str">
        <f t="shared" si="43"/>
        <v/>
      </c>
      <c r="L952" s="1" t="str">
        <f t="shared" si="44"/>
        <v/>
      </c>
      <c r="M952" s="1">
        <f>IF(OR(Table1[[#This Row],[Std Nom]]="",Table1[[#This Row],[Std Read]]=""),0,Table1[[#This Row],[Std Nom]]-Table1[[#This Row],[Std Read]])</f>
        <v>0</v>
      </c>
      <c r="N952" s="1">
        <f>IF(Calculations!$F$5="ACCREDITED 17025 WITH UNCERTAINTIES",$N$10,0)</f>
        <v>0</v>
      </c>
      <c r="Q952" s="1">
        <f>Table1[[#This Row],[High Tol]]-Table1[[#This Row],[Low Tol]]</f>
        <v>0</v>
      </c>
      <c r="R952" s="1">
        <f>2*Table1[[#This Row],[Std Error]]</f>
        <v>0</v>
      </c>
      <c r="S952" s="1" t="str">
        <f>IF(Table1[[#This Row],[High Tol]]="","N/A",IFERROR(ABS(Table1[[#This Row],[Tol Span]]/Table1[[#This Row],[Error Span]]),"N/A"))</f>
        <v>N/A</v>
      </c>
      <c r="T952" s="1" t="str">
        <f>IF(OR(Table1[[#This Row],[Low Tol]]="",Table1[[#This Row],[High Tol]]=""),"Needs Analysis",IF(Table1[[#This Row],[Ratio]]&gt;=4,"Not Significant",IF(Table1[[#This Row],[Ratio]]&gt;=2,"Semi-Significant","Significant")))</f>
        <v>Needs Analysis</v>
      </c>
      <c r="W952" s="1">
        <f>IF(Table1[[#This Row],[Cal Type]]&lt;&gt;"ACCREDITED 17025 WITH UNCERTAINTIES",0,"")</f>
        <v>0</v>
      </c>
      <c r="X952" s="1" t="str">
        <f>IF(Table1[[#This Row],[DUT Read]]="","N/A",Table1[[#This Row],[Std Error]]+Table1[[#This Row],[DUT Read]]+Table1[[#This Row],[DUT Ucty]])</f>
        <v>N/A</v>
      </c>
      <c r="Y952" s="1" t="str">
        <f>IF(Table1[[#This Row],[Std Read]]="","N/A",Table1[[#This Row],[Std Read]]+Table1[[#This Row],[Std Ucty]])</f>
        <v>N/A</v>
      </c>
      <c r="Z9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2" s="1" t="str">
        <f>IF(Table1[[#This Row],[Spec Type]]="","N/A",Table1[[#This Row],[Spec Type]])</f>
        <v>±</v>
      </c>
      <c r="AC952" s="1" t="str">
        <f>IF(Table1[[#This Row],[Spec Type2]]="N/A","N/A",IF(AND(Table1[[#This Row],[DUT Adj Read]]&gt;=Table1[[#This Row],[Low Tol]],Table1[[#This Row],[DUT Adj Read]]&lt;=Table1[[#This Row],[High Tol]]),"Pass","Fail"))</f>
        <v>Fail</v>
      </c>
      <c r="AD952" s="1" t="str">
        <f>IF(AND(Table1[[#This Row],[Spec Type2]]="N/A",Table1[[#This Row],[DUT Adj Read]]="N/A",Table1[[#This Row],[Std Adj Read]]="N/A"),"N/A",IF(Table1[[#This Row],[DUT Adj Read]]="N/A",IF(Table1[[#This Row],[Std Adj Read]]&gt;Table1[[#This Row],[Low Tol]],"Pass","Fail"),IF(Table1[[#This Row],[DUT Adj Read]]&gt;Table1[[#This Row],[Low Tol]],"Pass","Fail")))</f>
        <v>Pass</v>
      </c>
      <c r="AE952" s="1" t="str">
        <f>IF(AND(Table1[[#This Row],[Spec Type2]]="N/A",Table1[[#This Row],[DUT Adj Read]]="N/A",Table1[[#This Row],[Std Adj Read]]="N/A"),"N/A",IF(Table1[[#This Row],[DUT Adj Read]]="N/A",IF(Table1[[#This Row],[Std Adj Read]]&lt;Table1[[#This Row],[High Tol]],"Pass","Fail"),IF(Table1[[#This Row],[DUT Adj Read]]&lt;Table1[[#This Row],[High Tol]],"Pass","Fail")))</f>
        <v>Fail</v>
      </c>
      <c r="AF952" s="1" t="str">
        <f>IF(AND(Table1[[#This Row],[Spec Type2]]="N/A",Table1[[#This Row],[DUT Adj Read]]="N/A",Table1[[#This Row],[Std Adj Read]]="N/A"),"N/A",IF(Table1[[#This Row],[DUT Adj Read]]="N/A",IF(Table1[[#This Row],[Std Adj Read]]&gt;=Table1[[#This Row],[Low Tol]],"Pass","Fail"),IF(Table1[[#This Row],[DUT Adj Read]]&gt;=Table1[[#This Row],[Low Tol]],"Pass","Fail")))</f>
        <v>Pass</v>
      </c>
      <c r="AG952" s="1" t="str">
        <f>IF(AND(Table1[[#This Row],[Spec Type2]]="N/A",Table1[[#This Row],[DUT Adj Read]]="N/A",Table1[[#This Row],[Std Adj Read]]="N/A"),"N/A",IF(Table1[[#This Row],[DUT Adj Read]]="N/A",IF(Table1[[#This Row],[Std Adj Read]]&lt;=Table1[[#This Row],[High Tol]],"Pass","Fail"),IF(Table1[[#This Row],[DUT Adj Read]]&lt;=Table1[[#This Row],[High Tol]],"Pass","Fail")))</f>
        <v>Fail</v>
      </c>
      <c r="AH9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2" s="1" t="b">
        <v>0</v>
      </c>
      <c r="AN952" s="1" t="b">
        <v>0</v>
      </c>
      <c r="AO952" s="1" t="b">
        <v>0</v>
      </c>
    </row>
    <row r="953" spans="1:41" x14ac:dyDescent="0.25">
      <c r="A953" s="10"/>
      <c r="B953" s="10"/>
      <c r="C953" s="10"/>
      <c r="D953" s="10"/>
      <c r="E953" s="10"/>
      <c r="F953" s="10"/>
      <c r="G953" s="10"/>
      <c r="H953" s="10"/>
      <c r="I953" s="1" t="str">
        <f t="shared" si="42"/>
        <v/>
      </c>
      <c r="J953" s="1" t="s">
        <v>35</v>
      </c>
      <c r="K953" s="1" t="str">
        <f t="shared" si="43"/>
        <v/>
      </c>
      <c r="L953" s="1" t="str">
        <f t="shared" si="44"/>
        <v/>
      </c>
      <c r="M953" s="1">
        <f>IF(OR(Table1[[#This Row],[Std Nom]]="",Table1[[#This Row],[Std Read]]=""),0,Table1[[#This Row],[Std Nom]]-Table1[[#This Row],[Std Read]])</f>
        <v>0</v>
      </c>
      <c r="N953" s="1">
        <f>IF(Calculations!$F$5="ACCREDITED 17025 WITH UNCERTAINTIES",$N$10,0)</f>
        <v>0</v>
      </c>
      <c r="Q953" s="1">
        <f>Table1[[#This Row],[High Tol]]-Table1[[#This Row],[Low Tol]]</f>
        <v>0</v>
      </c>
      <c r="R953" s="1">
        <f>2*Table1[[#This Row],[Std Error]]</f>
        <v>0</v>
      </c>
      <c r="S953" s="1" t="str">
        <f>IF(Table1[[#This Row],[High Tol]]="","N/A",IFERROR(ABS(Table1[[#This Row],[Tol Span]]/Table1[[#This Row],[Error Span]]),"N/A"))</f>
        <v>N/A</v>
      </c>
      <c r="T953" s="1" t="str">
        <f>IF(OR(Table1[[#This Row],[Low Tol]]="",Table1[[#This Row],[High Tol]]=""),"Needs Analysis",IF(Table1[[#This Row],[Ratio]]&gt;=4,"Not Significant",IF(Table1[[#This Row],[Ratio]]&gt;=2,"Semi-Significant","Significant")))</f>
        <v>Needs Analysis</v>
      </c>
      <c r="W953" s="1">
        <f>IF(Table1[[#This Row],[Cal Type]]&lt;&gt;"ACCREDITED 17025 WITH UNCERTAINTIES",0,"")</f>
        <v>0</v>
      </c>
      <c r="X953" s="1" t="str">
        <f>IF(Table1[[#This Row],[DUT Read]]="","N/A",Table1[[#This Row],[Std Error]]+Table1[[#This Row],[DUT Read]]+Table1[[#This Row],[DUT Ucty]])</f>
        <v>N/A</v>
      </c>
      <c r="Y953" s="1" t="str">
        <f>IF(Table1[[#This Row],[Std Read]]="","N/A",Table1[[#This Row],[Std Read]]+Table1[[#This Row],[Std Ucty]])</f>
        <v>N/A</v>
      </c>
      <c r="Z9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3" s="1" t="str">
        <f>IF(Table1[[#This Row],[Spec Type]]="","N/A",Table1[[#This Row],[Spec Type]])</f>
        <v>±</v>
      </c>
      <c r="AC953" s="1" t="str">
        <f>IF(Table1[[#This Row],[Spec Type2]]="N/A","N/A",IF(AND(Table1[[#This Row],[DUT Adj Read]]&gt;=Table1[[#This Row],[Low Tol]],Table1[[#This Row],[DUT Adj Read]]&lt;=Table1[[#This Row],[High Tol]]),"Pass","Fail"))</f>
        <v>Fail</v>
      </c>
      <c r="AD953" s="1" t="str">
        <f>IF(AND(Table1[[#This Row],[Spec Type2]]="N/A",Table1[[#This Row],[DUT Adj Read]]="N/A",Table1[[#This Row],[Std Adj Read]]="N/A"),"N/A",IF(Table1[[#This Row],[DUT Adj Read]]="N/A",IF(Table1[[#This Row],[Std Adj Read]]&gt;Table1[[#This Row],[Low Tol]],"Pass","Fail"),IF(Table1[[#This Row],[DUT Adj Read]]&gt;Table1[[#This Row],[Low Tol]],"Pass","Fail")))</f>
        <v>Pass</v>
      </c>
      <c r="AE953" s="1" t="str">
        <f>IF(AND(Table1[[#This Row],[Spec Type2]]="N/A",Table1[[#This Row],[DUT Adj Read]]="N/A",Table1[[#This Row],[Std Adj Read]]="N/A"),"N/A",IF(Table1[[#This Row],[DUT Adj Read]]="N/A",IF(Table1[[#This Row],[Std Adj Read]]&lt;Table1[[#This Row],[High Tol]],"Pass","Fail"),IF(Table1[[#This Row],[DUT Adj Read]]&lt;Table1[[#This Row],[High Tol]],"Pass","Fail")))</f>
        <v>Fail</v>
      </c>
      <c r="AF953" s="1" t="str">
        <f>IF(AND(Table1[[#This Row],[Spec Type2]]="N/A",Table1[[#This Row],[DUT Adj Read]]="N/A",Table1[[#This Row],[Std Adj Read]]="N/A"),"N/A",IF(Table1[[#This Row],[DUT Adj Read]]="N/A",IF(Table1[[#This Row],[Std Adj Read]]&gt;=Table1[[#This Row],[Low Tol]],"Pass","Fail"),IF(Table1[[#This Row],[DUT Adj Read]]&gt;=Table1[[#This Row],[Low Tol]],"Pass","Fail")))</f>
        <v>Pass</v>
      </c>
      <c r="AG953" s="1" t="str">
        <f>IF(AND(Table1[[#This Row],[Spec Type2]]="N/A",Table1[[#This Row],[DUT Adj Read]]="N/A",Table1[[#This Row],[Std Adj Read]]="N/A"),"N/A",IF(Table1[[#This Row],[DUT Adj Read]]="N/A",IF(Table1[[#This Row],[Std Adj Read]]&lt;=Table1[[#This Row],[High Tol]],"Pass","Fail"),IF(Table1[[#This Row],[DUT Adj Read]]&lt;=Table1[[#This Row],[High Tol]],"Pass","Fail")))</f>
        <v>Fail</v>
      </c>
      <c r="AH9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3" s="1" t="b">
        <v>0</v>
      </c>
      <c r="AN953" s="1" t="b">
        <v>0</v>
      </c>
      <c r="AO953" s="1" t="b">
        <v>0</v>
      </c>
    </row>
    <row r="954" spans="1:41" x14ac:dyDescent="0.25">
      <c r="A954" s="10"/>
      <c r="B954" s="10"/>
      <c r="C954" s="10"/>
      <c r="D954" s="10"/>
      <c r="E954" s="10"/>
      <c r="F954" s="10"/>
      <c r="G954" s="10"/>
      <c r="H954" s="10"/>
      <c r="I954" s="1" t="str">
        <f t="shared" si="42"/>
        <v/>
      </c>
      <c r="J954" s="1" t="s">
        <v>35</v>
      </c>
      <c r="K954" s="1" t="str">
        <f t="shared" si="43"/>
        <v/>
      </c>
      <c r="L954" s="1" t="str">
        <f t="shared" si="44"/>
        <v/>
      </c>
      <c r="M954" s="1">
        <f>IF(OR(Table1[[#This Row],[Std Nom]]="",Table1[[#This Row],[Std Read]]=""),0,Table1[[#This Row],[Std Nom]]-Table1[[#This Row],[Std Read]])</f>
        <v>0</v>
      </c>
      <c r="N954" s="1">
        <f>IF(Calculations!$F$5="ACCREDITED 17025 WITH UNCERTAINTIES",$N$10,0)</f>
        <v>0</v>
      </c>
      <c r="Q954" s="1">
        <f>Table1[[#This Row],[High Tol]]-Table1[[#This Row],[Low Tol]]</f>
        <v>0</v>
      </c>
      <c r="R954" s="1">
        <f>2*Table1[[#This Row],[Std Error]]</f>
        <v>0</v>
      </c>
      <c r="S954" s="1" t="str">
        <f>IF(Table1[[#This Row],[High Tol]]="","N/A",IFERROR(ABS(Table1[[#This Row],[Tol Span]]/Table1[[#This Row],[Error Span]]),"N/A"))</f>
        <v>N/A</v>
      </c>
      <c r="T954" s="1" t="str">
        <f>IF(OR(Table1[[#This Row],[Low Tol]]="",Table1[[#This Row],[High Tol]]=""),"Needs Analysis",IF(Table1[[#This Row],[Ratio]]&gt;=4,"Not Significant",IF(Table1[[#This Row],[Ratio]]&gt;=2,"Semi-Significant","Significant")))</f>
        <v>Needs Analysis</v>
      </c>
      <c r="W954" s="1">
        <f>IF(Table1[[#This Row],[Cal Type]]&lt;&gt;"ACCREDITED 17025 WITH UNCERTAINTIES",0,"")</f>
        <v>0</v>
      </c>
      <c r="X954" s="1" t="str">
        <f>IF(Table1[[#This Row],[DUT Read]]="","N/A",Table1[[#This Row],[Std Error]]+Table1[[#This Row],[DUT Read]]+Table1[[#This Row],[DUT Ucty]])</f>
        <v>N/A</v>
      </c>
      <c r="Y954" s="1" t="str">
        <f>IF(Table1[[#This Row],[Std Read]]="","N/A",Table1[[#This Row],[Std Read]]+Table1[[#This Row],[Std Ucty]])</f>
        <v>N/A</v>
      </c>
      <c r="Z9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4" s="1" t="str">
        <f>IF(Table1[[#This Row],[Spec Type]]="","N/A",Table1[[#This Row],[Spec Type]])</f>
        <v>±</v>
      </c>
      <c r="AC954" s="1" t="str">
        <f>IF(Table1[[#This Row],[Spec Type2]]="N/A","N/A",IF(AND(Table1[[#This Row],[DUT Adj Read]]&gt;=Table1[[#This Row],[Low Tol]],Table1[[#This Row],[DUT Adj Read]]&lt;=Table1[[#This Row],[High Tol]]),"Pass","Fail"))</f>
        <v>Fail</v>
      </c>
      <c r="AD954" s="1" t="str">
        <f>IF(AND(Table1[[#This Row],[Spec Type2]]="N/A",Table1[[#This Row],[DUT Adj Read]]="N/A",Table1[[#This Row],[Std Adj Read]]="N/A"),"N/A",IF(Table1[[#This Row],[DUT Adj Read]]="N/A",IF(Table1[[#This Row],[Std Adj Read]]&gt;Table1[[#This Row],[Low Tol]],"Pass","Fail"),IF(Table1[[#This Row],[DUT Adj Read]]&gt;Table1[[#This Row],[Low Tol]],"Pass","Fail")))</f>
        <v>Pass</v>
      </c>
      <c r="AE954" s="1" t="str">
        <f>IF(AND(Table1[[#This Row],[Spec Type2]]="N/A",Table1[[#This Row],[DUT Adj Read]]="N/A",Table1[[#This Row],[Std Adj Read]]="N/A"),"N/A",IF(Table1[[#This Row],[DUT Adj Read]]="N/A",IF(Table1[[#This Row],[Std Adj Read]]&lt;Table1[[#This Row],[High Tol]],"Pass","Fail"),IF(Table1[[#This Row],[DUT Adj Read]]&lt;Table1[[#This Row],[High Tol]],"Pass","Fail")))</f>
        <v>Fail</v>
      </c>
      <c r="AF954" s="1" t="str">
        <f>IF(AND(Table1[[#This Row],[Spec Type2]]="N/A",Table1[[#This Row],[DUT Adj Read]]="N/A",Table1[[#This Row],[Std Adj Read]]="N/A"),"N/A",IF(Table1[[#This Row],[DUT Adj Read]]="N/A",IF(Table1[[#This Row],[Std Adj Read]]&gt;=Table1[[#This Row],[Low Tol]],"Pass","Fail"),IF(Table1[[#This Row],[DUT Adj Read]]&gt;=Table1[[#This Row],[Low Tol]],"Pass","Fail")))</f>
        <v>Pass</v>
      </c>
      <c r="AG954" s="1" t="str">
        <f>IF(AND(Table1[[#This Row],[Spec Type2]]="N/A",Table1[[#This Row],[DUT Adj Read]]="N/A",Table1[[#This Row],[Std Adj Read]]="N/A"),"N/A",IF(Table1[[#This Row],[DUT Adj Read]]="N/A",IF(Table1[[#This Row],[Std Adj Read]]&lt;=Table1[[#This Row],[High Tol]],"Pass","Fail"),IF(Table1[[#This Row],[DUT Adj Read]]&lt;=Table1[[#This Row],[High Tol]],"Pass","Fail")))</f>
        <v>Fail</v>
      </c>
      <c r="AH9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4" s="1" t="b">
        <v>0</v>
      </c>
      <c r="AN954" s="1" t="b">
        <v>0</v>
      </c>
      <c r="AO954" s="1" t="b">
        <v>0</v>
      </c>
    </row>
    <row r="955" spans="1:41" x14ac:dyDescent="0.25">
      <c r="A955" s="10"/>
      <c r="B955" s="10"/>
      <c r="C955" s="10"/>
      <c r="D955" s="10"/>
      <c r="E955" s="10"/>
      <c r="F955" s="10"/>
      <c r="G955" s="10"/>
      <c r="H955" s="10"/>
      <c r="I955" s="1" t="str">
        <f t="shared" si="42"/>
        <v/>
      </c>
      <c r="J955" s="1" t="s">
        <v>35</v>
      </c>
      <c r="K955" s="1" t="str">
        <f t="shared" si="43"/>
        <v/>
      </c>
      <c r="L955" s="1" t="str">
        <f t="shared" si="44"/>
        <v/>
      </c>
      <c r="M955" s="1">
        <f>IF(OR(Table1[[#This Row],[Std Nom]]="",Table1[[#This Row],[Std Read]]=""),0,Table1[[#This Row],[Std Nom]]-Table1[[#This Row],[Std Read]])</f>
        <v>0</v>
      </c>
      <c r="N955" s="1">
        <f>IF(Calculations!$F$5="ACCREDITED 17025 WITH UNCERTAINTIES",$N$10,0)</f>
        <v>0</v>
      </c>
      <c r="Q955" s="1">
        <f>Table1[[#This Row],[High Tol]]-Table1[[#This Row],[Low Tol]]</f>
        <v>0</v>
      </c>
      <c r="R955" s="1">
        <f>2*Table1[[#This Row],[Std Error]]</f>
        <v>0</v>
      </c>
      <c r="S955" s="1" t="str">
        <f>IF(Table1[[#This Row],[High Tol]]="","N/A",IFERROR(ABS(Table1[[#This Row],[Tol Span]]/Table1[[#This Row],[Error Span]]),"N/A"))</f>
        <v>N/A</v>
      </c>
      <c r="T955" s="1" t="str">
        <f>IF(OR(Table1[[#This Row],[Low Tol]]="",Table1[[#This Row],[High Tol]]=""),"Needs Analysis",IF(Table1[[#This Row],[Ratio]]&gt;=4,"Not Significant",IF(Table1[[#This Row],[Ratio]]&gt;=2,"Semi-Significant","Significant")))</f>
        <v>Needs Analysis</v>
      </c>
      <c r="W955" s="1">
        <f>IF(Table1[[#This Row],[Cal Type]]&lt;&gt;"ACCREDITED 17025 WITH UNCERTAINTIES",0,"")</f>
        <v>0</v>
      </c>
      <c r="X955" s="1" t="str">
        <f>IF(Table1[[#This Row],[DUT Read]]="","N/A",Table1[[#This Row],[Std Error]]+Table1[[#This Row],[DUT Read]]+Table1[[#This Row],[DUT Ucty]])</f>
        <v>N/A</v>
      </c>
      <c r="Y955" s="1" t="str">
        <f>IF(Table1[[#This Row],[Std Read]]="","N/A",Table1[[#This Row],[Std Read]]+Table1[[#This Row],[Std Ucty]])</f>
        <v>N/A</v>
      </c>
      <c r="Z9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5" s="1" t="str">
        <f>IF(Table1[[#This Row],[Spec Type]]="","N/A",Table1[[#This Row],[Spec Type]])</f>
        <v>±</v>
      </c>
      <c r="AC955" s="1" t="str">
        <f>IF(Table1[[#This Row],[Spec Type2]]="N/A","N/A",IF(AND(Table1[[#This Row],[DUT Adj Read]]&gt;=Table1[[#This Row],[Low Tol]],Table1[[#This Row],[DUT Adj Read]]&lt;=Table1[[#This Row],[High Tol]]),"Pass","Fail"))</f>
        <v>Fail</v>
      </c>
      <c r="AD955" s="1" t="str">
        <f>IF(AND(Table1[[#This Row],[Spec Type2]]="N/A",Table1[[#This Row],[DUT Adj Read]]="N/A",Table1[[#This Row],[Std Adj Read]]="N/A"),"N/A",IF(Table1[[#This Row],[DUT Adj Read]]="N/A",IF(Table1[[#This Row],[Std Adj Read]]&gt;Table1[[#This Row],[Low Tol]],"Pass","Fail"),IF(Table1[[#This Row],[DUT Adj Read]]&gt;Table1[[#This Row],[Low Tol]],"Pass","Fail")))</f>
        <v>Pass</v>
      </c>
      <c r="AE955" s="1" t="str">
        <f>IF(AND(Table1[[#This Row],[Spec Type2]]="N/A",Table1[[#This Row],[DUT Adj Read]]="N/A",Table1[[#This Row],[Std Adj Read]]="N/A"),"N/A",IF(Table1[[#This Row],[DUT Adj Read]]="N/A",IF(Table1[[#This Row],[Std Adj Read]]&lt;Table1[[#This Row],[High Tol]],"Pass","Fail"),IF(Table1[[#This Row],[DUT Adj Read]]&lt;Table1[[#This Row],[High Tol]],"Pass","Fail")))</f>
        <v>Fail</v>
      </c>
      <c r="AF955" s="1" t="str">
        <f>IF(AND(Table1[[#This Row],[Spec Type2]]="N/A",Table1[[#This Row],[DUT Adj Read]]="N/A",Table1[[#This Row],[Std Adj Read]]="N/A"),"N/A",IF(Table1[[#This Row],[DUT Adj Read]]="N/A",IF(Table1[[#This Row],[Std Adj Read]]&gt;=Table1[[#This Row],[Low Tol]],"Pass","Fail"),IF(Table1[[#This Row],[DUT Adj Read]]&gt;=Table1[[#This Row],[Low Tol]],"Pass","Fail")))</f>
        <v>Pass</v>
      </c>
      <c r="AG955" s="1" t="str">
        <f>IF(AND(Table1[[#This Row],[Spec Type2]]="N/A",Table1[[#This Row],[DUT Adj Read]]="N/A",Table1[[#This Row],[Std Adj Read]]="N/A"),"N/A",IF(Table1[[#This Row],[DUT Adj Read]]="N/A",IF(Table1[[#This Row],[Std Adj Read]]&lt;=Table1[[#This Row],[High Tol]],"Pass","Fail"),IF(Table1[[#This Row],[DUT Adj Read]]&lt;=Table1[[#This Row],[High Tol]],"Pass","Fail")))</f>
        <v>Fail</v>
      </c>
      <c r="AH9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5" s="1" t="b">
        <v>0</v>
      </c>
      <c r="AN955" s="1" t="b">
        <v>0</v>
      </c>
      <c r="AO955" s="1" t="b">
        <v>0</v>
      </c>
    </row>
    <row r="956" spans="1:41" x14ac:dyDescent="0.25">
      <c r="A956" s="10"/>
      <c r="B956" s="10"/>
      <c r="C956" s="10"/>
      <c r="D956" s="10"/>
      <c r="E956" s="10"/>
      <c r="F956" s="10"/>
      <c r="G956" s="10"/>
      <c r="H956" s="10"/>
      <c r="I956" s="1" t="str">
        <f t="shared" si="42"/>
        <v/>
      </c>
      <c r="J956" s="1" t="s">
        <v>35</v>
      </c>
      <c r="K956" s="1" t="str">
        <f t="shared" si="43"/>
        <v/>
      </c>
      <c r="L956" s="1" t="str">
        <f t="shared" si="44"/>
        <v/>
      </c>
      <c r="M956" s="1">
        <f>IF(OR(Table1[[#This Row],[Std Nom]]="",Table1[[#This Row],[Std Read]]=""),0,Table1[[#This Row],[Std Nom]]-Table1[[#This Row],[Std Read]])</f>
        <v>0</v>
      </c>
      <c r="N956" s="1">
        <f>IF(Calculations!$F$5="ACCREDITED 17025 WITH UNCERTAINTIES",$N$10,0)</f>
        <v>0</v>
      </c>
      <c r="Q956" s="1">
        <f>Table1[[#This Row],[High Tol]]-Table1[[#This Row],[Low Tol]]</f>
        <v>0</v>
      </c>
      <c r="R956" s="1">
        <f>2*Table1[[#This Row],[Std Error]]</f>
        <v>0</v>
      </c>
      <c r="S956" s="1" t="str">
        <f>IF(Table1[[#This Row],[High Tol]]="","N/A",IFERROR(ABS(Table1[[#This Row],[Tol Span]]/Table1[[#This Row],[Error Span]]),"N/A"))</f>
        <v>N/A</v>
      </c>
      <c r="T956" s="1" t="str">
        <f>IF(OR(Table1[[#This Row],[Low Tol]]="",Table1[[#This Row],[High Tol]]=""),"Needs Analysis",IF(Table1[[#This Row],[Ratio]]&gt;=4,"Not Significant",IF(Table1[[#This Row],[Ratio]]&gt;=2,"Semi-Significant","Significant")))</f>
        <v>Needs Analysis</v>
      </c>
      <c r="W956" s="1">
        <f>IF(Table1[[#This Row],[Cal Type]]&lt;&gt;"ACCREDITED 17025 WITH UNCERTAINTIES",0,"")</f>
        <v>0</v>
      </c>
      <c r="X956" s="1" t="str">
        <f>IF(Table1[[#This Row],[DUT Read]]="","N/A",Table1[[#This Row],[Std Error]]+Table1[[#This Row],[DUT Read]]+Table1[[#This Row],[DUT Ucty]])</f>
        <v>N/A</v>
      </c>
      <c r="Y956" s="1" t="str">
        <f>IF(Table1[[#This Row],[Std Read]]="","N/A",Table1[[#This Row],[Std Read]]+Table1[[#This Row],[Std Ucty]])</f>
        <v>N/A</v>
      </c>
      <c r="Z9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6" s="1" t="str">
        <f>IF(Table1[[#This Row],[Spec Type]]="","N/A",Table1[[#This Row],[Spec Type]])</f>
        <v>±</v>
      </c>
      <c r="AC956" s="1" t="str">
        <f>IF(Table1[[#This Row],[Spec Type2]]="N/A","N/A",IF(AND(Table1[[#This Row],[DUT Adj Read]]&gt;=Table1[[#This Row],[Low Tol]],Table1[[#This Row],[DUT Adj Read]]&lt;=Table1[[#This Row],[High Tol]]),"Pass","Fail"))</f>
        <v>Fail</v>
      </c>
      <c r="AD956" s="1" t="str">
        <f>IF(AND(Table1[[#This Row],[Spec Type2]]="N/A",Table1[[#This Row],[DUT Adj Read]]="N/A",Table1[[#This Row],[Std Adj Read]]="N/A"),"N/A",IF(Table1[[#This Row],[DUT Adj Read]]="N/A",IF(Table1[[#This Row],[Std Adj Read]]&gt;Table1[[#This Row],[Low Tol]],"Pass","Fail"),IF(Table1[[#This Row],[DUT Adj Read]]&gt;Table1[[#This Row],[Low Tol]],"Pass","Fail")))</f>
        <v>Pass</v>
      </c>
      <c r="AE956" s="1" t="str">
        <f>IF(AND(Table1[[#This Row],[Spec Type2]]="N/A",Table1[[#This Row],[DUT Adj Read]]="N/A",Table1[[#This Row],[Std Adj Read]]="N/A"),"N/A",IF(Table1[[#This Row],[DUT Adj Read]]="N/A",IF(Table1[[#This Row],[Std Adj Read]]&lt;Table1[[#This Row],[High Tol]],"Pass","Fail"),IF(Table1[[#This Row],[DUT Adj Read]]&lt;Table1[[#This Row],[High Tol]],"Pass","Fail")))</f>
        <v>Fail</v>
      </c>
      <c r="AF956" s="1" t="str">
        <f>IF(AND(Table1[[#This Row],[Spec Type2]]="N/A",Table1[[#This Row],[DUT Adj Read]]="N/A",Table1[[#This Row],[Std Adj Read]]="N/A"),"N/A",IF(Table1[[#This Row],[DUT Adj Read]]="N/A",IF(Table1[[#This Row],[Std Adj Read]]&gt;=Table1[[#This Row],[Low Tol]],"Pass","Fail"),IF(Table1[[#This Row],[DUT Adj Read]]&gt;=Table1[[#This Row],[Low Tol]],"Pass","Fail")))</f>
        <v>Pass</v>
      </c>
      <c r="AG956" s="1" t="str">
        <f>IF(AND(Table1[[#This Row],[Spec Type2]]="N/A",Table1[[#This Row],[DUT Adj Read]]="N/A",Table1[[#This Row],[Std Adj Read]]="N/A"),"N/A",IF(Table1[[#This Row],[DUT Adj Read]]="N/A",IF(Table1[[#This Row],[Std Adj Read]]&lt;=Table1[[#This Row],[High Tol]],"Pass","Fail"),IF(Table1[[#This Row],[DUT Adj Read]]&lt;=Table1[[#This Row],[High Tol]],"Pass","Fail")))</f>
        <v>Fail</v>
      </c>
      <c r="AH9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6" s="1" t="b">
        <v>0</v>
      </c>
      <c r="AN956" s="1" t="b">
        <v>0</v>
      </c>
      <c r="AO956" s="1" t="b">
        <v>0</v>
      </c>
    </row>
    <row r="957" spans="1:41" x14ac:dyDescent="0.25">
      <c r="A957" s="10"/>
      <c r="B957" s="10"/>
      <c r="C957" s="10"/>
      <c r="D957" s="10"/>
      <c r="E957" s="10"/>
      <c r="F957" s="10"/>
      <c r="G957" s="10"/>
      <c r="H957" s="10"/>
      <c r="I957" s="1" t="str">
        <f t="shared" si="42"/>
        <v/>
      </c>
      <c r="J957" s="1" t="s">
        <v>35</v>
      </c>
      <c r="K957" s="1" t="str">
        <f t="shared" si="43"/>
        <v/>
      </c>
      <c r="L957" s="1" t="str">
        <f t="shared" si="44"/>
        <v/>
      </c>
      <c r="M957" s="1">
        <f>IF(OR(Table1[[#This Row],[Std Nom]]="",Table1[[#This Row],[Std Read]]=""),0,Table1[[#This Row],[Std Nom]]-Table1[[#This Row],[Std Read]])</f>
        <v>0</v>
      </c>
      <c r="N957" s="1">
        <f>IF(Calculations!$F$5="ACCREDITED 17025 WITH UNCERTAINTIES",$N$10,0)</f>
        <v>0</v>
      </c>
      <c r="Q957" s="1">
        <f>Table1[[#This Row],[High Tol]]-Table1[[#This Row],[Low Tol]]</f>
        <v>0</v>
      </c>
      <c r="R957" s="1">
        <f>2*Table1[[#This Row],[Std Error]]</f>
        <v>0</v>
      </c>
      <c r="S957" s="1" t="str">
        <f>IF(Table1[[#This Row],[High Tol]]="","N/A",IFERROR(ABS(Table1[[#This Row],[Tol Span]]/Table1[[#This Row],[Error Span]]),"N/A"))</f>
        <v>N/A</v>
      </c>
      <c r="T957" s="1" t="str">
        <f>IF(OR(Table1[[#This Row],[Low Tol]]="",Table1[[#This Row],[High Tol]]=""),"Needs Analysis",IF(Table1[[#This Row],[Ratio]]&gt;=4,"Not Significant",IF(Table1[[#This Row],[Ratio]]&gt;=2,"Semi-Significant","Significant")))</f>
        <v>Needs Analysis</v>
      </c>
      <c r="W957" s="1">
        <f>IF(Table1[[#This Row],[Cal Type]]&lt;&gt;"ACCREDITED 17025 WITH UNCERTAINTIES",0,"")</f>
        <v>0</v>
      </c>
      <c r="X957" s="1" t="str">
        <f>IF(Table1[[#This Row],[DUT Read]]="","N/A",Table1[[#This Row],[Std Error]]+Table1[[#This Row],[DUT Read]]+Table1[[#This Row],[DUT Ucty]])</f>
        <v>N/A</v>
      </c>
      <c r="Y957" s="1" t="str">
        <f>IF(Table1[[#This Row],[Std Read]]="","N/A",Table1[[#This Row],[Std Read]]+Table1[[#This Row],[Std Ucty]])</f>
        <v>N/A</v>
      </c>
      <c r="Z9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7" s="1" t="str">
        <f>IF(Table1[[#This Row],[Spec Type]]="","N/A",Table1[[#This Row],[Spec Type]])</f>
        <v>±</v>
      </c>
      <c r="AC957" s="1" t="str">
        <f>IF(Table1[[#This Row],[Spec Type2]]="N/A","N/A",IF(AND(Table1[[#This Row],[DUT Adj Read]]&gt;=Table1[[#This Row],[Low Tol]],Table1[[#This Row],[DUT Adj Read]]&lt;=Table1[[#This Row],[High Tol]]),"Pass","Fail"))</f>
        <v>Fail</v>
      </c>
      <c r="AD957" s="1" t="str">
        <f>IF(AND(Table1[[#This Row],[Spec Type2]]="N/A",Table1[[#This Row],[DUT Adj Read]]="N/A",Table1[[#This Row],[Std Adj Read]]="N/A"),"N/A",IF(Table1[[#This Row],[DUT Adj Read]]="N/A",IF(Table1[[#This Row],[Std Adj Read]]&gt;Table1[[#This Row],[Low Tol]],"Pass","Fail"),IF(Table1[[#This Row],[DUT Adj Read]]&gt;Table1[[#This Row],[Low Tol]],"Pass","Fail")))</f>
        <v>Pass</v>
      </c>
      <c r="AE957" s="1" t="str">
        <f>IF(AND(Table1[[#This Row],[Spec Type2]]="N/A",Table1[[#This Row],[DUT Adj Read]]="N/A",Table1[[#This Row],[Std Adj Read]]="N/A"),"N/A",IF(Table1[[#This Row],[DUT Adj Read]]="N/A",IF(Table1[[#This Row],[Std Adj Read]]&lt;Table1[[#This Row],[High Tol]],"Pass","Fail"),IF(Table1[[#This Row],[DUT Adj Read]]&lt;Table1[[#This Row],[High Tol]],"Pass","Fail")))</f>
        <v>Fail</v>
      </c>
      <c r="AF957" s="1" t="str">
        <f>IF(AND(Table1[[#This Row],[Spec Type2]]="N/A",Table1[[#This Row],[DUT Adj Read]]="N/A",Table1[[#This Row],[Std Adj Read]]="N/A"),"N/A",IF(Table1[[#This Row],[DUT Adj Read]]="N/A",IF(Table1[[#This Row],[Std Adj Read]]&gt;=Table1[[#This Row],[Low Tol]],"Pass","Fail"),IF(Table1[[#This Row],[DUT Adj Read]]&gt;=Table1[[#This Row],[Low Tol]],"Pass","Fail")))</f>
        <v>Pass</v>
      </c>
      <c r="AG957" s="1" t="str">
        <f>IF(AND(Table1[[#This Row],[Spec Type2]]="N/A",Table1[[#This Row],[DUT Adj Read]]="N/A",Table1[[#This Row],[Std Adj Read]]="N/A"),"N/A",IF(Table1[[#This Row],[DUT Adj Read]]="N/A",IF(Table1[[#This Row],[Std Adj Read]]&lt;=Table1[[#This Row],[High Tol]],"Pass","Fail"),IF(Table1[[#This Row],[DUT Adj Read]]&lt;=Table1[[#This Row],[High Tol]],"Pass","Fail")))</f>
        <v>Fail</v>
      </c>
      <c r="AH9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7" s="1" t="b">
        <v>0</v>
      </c>
      <c r="AN957" s="1" t="b">
        <v>0</v>
      </c>
      <c r="AO957" s="1" t="b">
        <v>0</v>
      </c>
    </row>
    <row r="958" spans="1:41" x14ac:dyDescent="0.25">
      <c r="A958" s="10"/>
      <c r="B958" s="10"/>
      <c r="C958" s="10"/>
      <c r="D958" s="10"/>
      <c r="E958" s="10"/>
      <c r="F958" s="10"/>
      <c r="G958" s="10"/>
      <c r="H958" s="10"/>
      <c r="I958" s="1" t="str">
        <f t="shared" si="42"/>
        <v/>
      </c>
      <c r="J958" s="1" t="s">
        <v>35</v>
      </c>
      <c r="K958" s="1" t="str">
        <f t="shared" si="43"/>
        <v/>
      </c>
      <c r="L958" s="1" t="str">
        <f t="shared" si="44"/>
        <v/>
      </c>
      <c r="M958" s="1">
        <f>IF(OR(Table1[[#This Row],[Std Nom]]="",Table1[[#This Row],[Std Read]]=""),0,Table1[[#This Row],[Std Nom]]-Table1[[#This Row],[Std Read]])</f>
        <v>0</v>
      </c>
      <c r="N958" s="1">
        <f>IF(Calculations!$F$5="ACCREDITED 17025 WITH UNCERTAINTIES",$N$10,0)</f>
        <v>0</v>
      </c>
      <c r="Q958" s="1">
        <f>Table1[[#This Row],[High Tol]]-Table1[[#This Row],[Low Tol]]</f>
        <v>0</v>
      </c>
      <c r="R958" s="1">
        <f>2*Table1[[#This Row],[Std Error]]</f>
        <v>0</v>
      </c>
      <c r="S958" s="1" t="str">
        <f>IF(Table1[[#This Row],[High Tol]]="","N/A",IFERROR(ABS(Table1[[#This Row],[Tol Span]]/Table1[[#This Row],[Error Span]]),"N/A"))</f>
        <v>N/A</v>
      </c>
      <c r="T958" s="1" t="str">
        <f>IF(OR(Table1[[#This Row],[Low Tol]]="",Table1[[#This Row],[High Tol]]=""),"Needs Analysis",IF(Table1[[#This Row],[Ratio]]&gt;=4,"Not Significant",IF(Table1[[#This Row],[Ratio]]&gt;=2,"Semi-Significant","Significant")))</f>
        <v>Needs Analysis</v>
      </c>
      <c r="W958" s="1">
        <f>IF(Table1[[#This Row],[Cal Type]]&lt;&gt;"ACCREDITED 17025 WITH UNCERTAINTIES",0,"")</f>
        <v>0</v>
      </c>
      <c r="X958" s="1" t="str">
        <f>IF(Table1[[#This Row],[DUT Read]]="","N/A",Table1[[#This Row],[Std Error]]+Table1[[#This Row],[DUT Read]]+Table1[[#This Row],[DUT Ucty]])</f>
        <v>N/A</v>
      </c>
      <c r="Y958" s="1" t="str">
        <f>IF(Table1[[#This Row],[Std Read]]="","N/A",Table1[[#This Row],[Std Read]]+Table1[[#This Row],[Std Ucty]])</f>
        <v>N/A</v>
      </c>
      <c r="Z9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8" s="1" t="str">
        <f>IF(Table1[[#This Row],[Spec Type]]="","N/A",Table1[[#This Row],[Spec Type]])</f>
        <v>±</v>
      </c>
      <c r="AC958" s="1" t="str">
        <f>IF(Table1[[#This Row],[Spec Type2]]="N/A","N/A",IF(AND(Table1[[#This Row],[DUT Adj Read]]&gt;=Table1[[#This Row],[Low Tol]],Table1[[#This Row],[DUT Adj Read]]&lt;=Table1[[#This Row],[High Tol]]),"Pass","Fail"))</f>
        <v>Fail</v>
      </c>
      <c r="AD958" s="1" t="str">
        <f>IF(AND(Table1[[#This Row],[Spec Type2]]="N/A",Table1[[#This Row],[DUT Adj Read]]="N/A",Table1[[#This Row],[Std Adj Read]]="N/A"),"N/A",IF(Table1[[#This Row],[DUT Adj Read]]="N/A",IF(Table1[[#This Row],[Std Adj Read]]&gt;Table1[[#This Row],[Low Tol]],"Pass","Fail"),IF(Table1[[#This Row],[DUT Adj Read]]&gt;Table1[[#This Row],[Low Tol]],"Pass","Fail")))</f>
        <v>Pass</v>
      </c>
      <c r="AE958" s="1" t="str">
        <f>IF(AND(Table1[[#This Row],[Spec Type2]]="N/A",Table1[[#This Row],[DUT Adj Read]]="N/A",Table1[[#This Row],[Std Adj Read]]="N/A"),"N/A",IF(Table1[[#This Row],[DUT Adj Read]]="N/A",IF(Table1[[#This Row],[Std Adj Read]]&lt;Table1[[#This Row],[High Tol]],"Pass","Fail"),IF(Table1[[#This Row],[DUT Adj Read]]&lt;Table1[[#This Row],[High Tol]],"Pass","Fail")))</f>
        <v>Fail</v>
      </c>
      <c r="AF958" s="1" t="str">
        <f>IF(AND(Table1[[#This Row],[Spec Type2]]="N/A",Table1[[#This Row],[DUT Adj Read]]="N/A",Table1[[#This Row],[Std Adj Read]]="N/A"),"N/A",IF(Table1[[#This Row],[DUT Adj Read]]="N/A",IF(Table1[[#This Row],[Std Adj Read]]&gt;=Table1[[#This Row],[Low Tol]],"Pass","Fail"),IF(Table1[[#This Row],[DUT Adj Read]]&gt;=Table1[[#This Row],[Low Tol]],"Pass","Fail")))</f>
        <v>Pass</v>
      </c>
      <c r="AG958" s="1" t="str">
        <f>IF(AND(Table1[[#This Row],[Spec Type2]]="N/A",Table1[[#This Row],[DUT Adj Read]]="N/A",Table1[[#This Row],[Std Adj Read]]="N/A"),"N/A",IF(Table1[[#This Row],[DUT Adj Read]]="N/A",IF(Table1[[#This Row],[Std Adj Read]]&lt;=Table1[[#This Row],[High Tol]],"Pass","Fail"),IF(Table1[[#This Row],[DUT Adj Read]]&lt;=Table1[[#This Row],[High Tol]],"Pass","Fail")))</f>
        <v>Fail</v>
      </c>
      <c r="AH9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8" s="1" t="b">
        <v>0</v>
      </c>
      <c r="AN958" s="1" t="b">
        <v>0</v>
      </c>
      <c r="AO958" s="1" t="b">
        <v>0</v>
      </c>
    </row>
    <row r="959" spans="1:41" x14ac:dyDescent="0.25">
      <c r="A959" s="10"/>
      <c r="B959" s="10"/>
      <c r="C959" s="10"/>
      <c r="D959" s="10"/>
      <c r="E959" s="10"/>
      <c r="F959" s="10"/>
      <c r="G959" s="10"/>
      <c r="H959" s="10"/>
      <c r="I959" s="1" t="str">
        <f t="shared" si="42"/>
        <v/>
      </c>
      <c r="J959" s="1" t="s">
        <v>35</v>
      </c>
      <c r="K959" s="1" t="str">
        <f t="shared" si="43"/>
        <v/>
      </c>
      <c r="L959" s="1" t="str">
        <f t="shared" si="44"/>
        <v/>
      </c>
      <c r="M959" s="1">
        <f>IF(OR(Table1[[#This Row],[Std Nom]]="",Table1[[#This Row],[Std Read]]=""),0,Table1[[#This Row],[Std Nom]]-Table1[[#This Row],[Std Read]])</f>
        <v>0</v>
      </c>
      <c r="N959" s="1">
        <f>IF(Calculations!$F$5="ACCREDITED 17025 WITH UNCERTAINTIES",$N$10,0)</f>
        <v>0</v>
      </c>
      <c r="Q959" s="1">
        <f>Table1[[#This Row],[High Tol]]-Table1[[#This Row],[Low Tol]]</f>
        <v>0</v>
      </c>
      <c r="R959" s="1">
        <f>2*Table1[[#This Row],[Std Error]]</f>
        <v>0</v>
      </c>
      <c r="S959" s="1" t="str">
        <f>IF(Table1[[#This Row],[High Tol]]="","N/A",IFERROR(ABS(Table1[[#This Row],[Tol Span]]/Table1[[#This Row],[Error Span]]),"N/A"))</f>
        <v>N/A</v>
      </c>
      <c r="T959" s="1" t="str">
        <f>IF(OR(Table1[[#This Row],[Low Tol]]="",Table1[[#This Row],[High Tol]]=""),"Needs Analysis",IF(Table1[[#This Row],[Ratio]]&gt;=4,"Not Significant",IF(Table1[[#This Row],[Ratio]]&gt;=2,"Semi-Significant","Significant")))</f>
        <v>Needs Analysis</v>
      </c>
      <c r="W959" s="1">
        <f>IF(Table1[[#This Row],[Cal Type]]&lt;&gt;"ACCREDITED 17025 WITH UNCERTAINTIES",0,"")</f>
        <v>0</v>
      </c>
      <c r="X959" s="1" t="str">
        <f>IF(Table1[[#This Row],[DUT Read]]="","N/A",Table1[[#This Row],[Std Error]]+Table1[[#This Row],[DUT Read]]+Table1[[#This Row],[DUT Ucty]])</f>
        <v>N/A</v>
      </c>
      <c r="Y959" s="1" t="str">
        <f>IF(Table1[[#This Row],[Std Read]]="","N/A",Table1[[#This Row],[Std Read]]+Table1[[#This Row],[Std Ucty]])</f>
        <v>N/A</v>
      </c>
      <c r="Z9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59" s="1" t="str">
        <f>IF(Table1[[#This Row],[Spec Type]]="","N/A",Table1[[#This Row],[Spec Type]])</f>
        <v>±</v>
      </c>
      <c r="AC959" s="1" t="str">
        <f>IF(Table1[[#This Row],[Spec Type2]]="N/A","N/A",IF(AND(Table1[[#This Row],[DUT Adj Read]]&gt;=Table1[[#This Row],[Low Tol]],Table1[[#This Row],[DUT Adj Read]]&lt;=Table1[[#This Row],[High Tol]]),"Pass","Fail"))</f>
        <v>Fail</v>
      </c>
      <c r="AD959" s="1" t="str">
        <f>IF(AND(Table1[[#This Row],[Spec Type2]]="N/A",Table1[[#This Row],[DUT Adj Read]]="N/A",Table1[[#This Row],[Std Adj Read]]="N/A"),"N/A",IF(Table1[[#This Row],[DUT Adj Read]]="N/A",IF(Table1[[#This Row],[Std Adj Read]]&gt;Table1[[#This Row],[Low Tol]],"Pass","Fail"),IF(Table1[[#This Row],[DUT Adj Read]]&gt;Table1[[#This Row],[Low Tol]],"Pass","Fail")))</f>
        <v>Pass</v>
      </c>
      <c r="AE959" s="1" t="str">
        <f>IF(AND(Table1[[#This Row],[Spec Type2]]="N/A",Table1[[#This Row],[DUT Adj Read]]="N/A",Table1[[#This Row],[Std Adj Read]]="N/A"),"N/A",IF(Table1[[#This Row],[DUT Adj Read]]="N/A",IF(Table1[[#This Row],[Std Adj Read]]&lt;Table1[[#This Row],[High Tol]],"Pass","Fail"),IF(Table1[[#This Row],[DUT Adj Read]]&lt;Table1[[#This Row],[High Tol]],"Pass","Fail")))</f>
        <v>Fail</v>
      </c>
      <c r="AF959" s="1" t="str">
        <f>IF(AND(Table1[[#This Row],[Spec Type2]]="N/A",Table1[[#This Row],[DUT Adj Read]]="N/A",Table1[[#This Row],[Std Adj Read]]="N/A"),"N/A",IF(Table1[[#This Row],[DUT Adj Read]]="N/A",IF(Table1[[#This Row],[Std Adj Read]]&gt;=Table1[[#This Row],[Low Tol]],"Pass","Fail"),IF(Table1[[#This Row],[DUT Adj Read]]&gt;=Table1[[#This Row],[Low Tol]],"Pass","Fail")))</f>
        <v>Pass</v>
      </c>
      <c r="AG959" s="1" t="str">
        <f>IF(AND(Table1[[#This Row],[Spec Type2]]="N/A",Table1[[#This Row],[DUT Adj Read]]="N/A",Table1[[#This Row],[Std Adj Read]]="N/A"),"N/A",IF(Table1[[#This Row],[DUT Adj Read]]="N/A",IF(Table1[[#This Row],[Std Adj Read]]&lt;=Table1[[#This Row],[High Tol]],"Pass","Fail"),IF(Table1[[#This Row],[DUT Adj Read]]&lt;=Table1[[#This Row],[High Tol]],"Pass","Fail")))</f>
        <v>Fail</v>
      </c>
      <c r="AH9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59" s="1" t="b">
        <v>0</v>
      </c>
      <c r="AN959" s="1" t="b">
        <v>0</v>
      </c>
      <c r="AO959" s="1" t="b">
        <v>0</v>
      </c>
    </row>
    <row r="960" spans="1:41" x14ac:dyDescent="0.25">
      <c r="A960" s="10"/>
      <c r="B960" s="10"/>
      <c r="C960" s="10"/>
      <c r="D960" s="10"/>
      <c r="E960" s="10"/>
      <c r="F960" s="10"/>
      <c r="G960" s="10"/>
      <c r="H960" s="10"/>
      <c r="I960" s="1" t="str">
        <f t="shared" si="42"/>
        <v/>
      </c>
      <c r="J960" s="1" t="s">
        <v>35</v>
      </c>
      <c r="K960" s="1" t="str">
        <f t="shared" si="43"/>
        <v/>
      </c>
      <c r="L960" s="1" t="str">
        <f t="shared" si="44"/>
        <v/>
      </c>
      <c r="M960" s="1">
        <f>IF(OR(Table1[[#This Row],[Std Nom]]="",Table1[[#This Row],[Std Read]]=""),0,Table1[[#This Row],[Std Nom]]-Table1[[#This Row],[Std Read]])</f>
        <v>0</v>
      </c>
      <c r="N960" s="1">
        <f>IF(Calculations!$F$5="ACCREDITED 17025 WITH UNCERTAINTIES",$N$10,0)</f>
        <v>0</v>
      </c>
      <c r="Q960" s="1">
        <f>Table1[[#This Row],[High Tol]]-Table1[[#This Row],[Low Tol]]</f>
        <v>0</v>
      </c>
      <c r="R960" s="1">
        <f>2*Table1[[#This Row],[Std Error]]</f>
        <v>0</v>
      </c>
      <c r="S960" s="1" t="str">
        <f>IF(Table1[[#This Row],[High Tol]]="","N/A",IFERROR(ABS(Table1[[#This Row],[Tol Span]]/Table1[[#This Row],[Error Span]]),"N/A"))</f>
        <v>N/A</v>
      </c>
      <c r="T960" s="1" t="str">
        <f>IF(OR(Table1[[#This Row],[Low Tol]]="",Table1[[#This Row],[High Tol]]=""),"Needs Analysis",IF(Table1[[#This Row],[Ratio]]&gt;=4,"Not Significant",IF(Table1[[#This Row],[Ratio]]&gt;=2,"Semi-Significant","Significant")))</f>
        <v>Needs Analysis</v>
      </c>
      <c r="W960" s="1">
        <f>IF(Table1[[#This Row],[Cal Type]]&lt;&gt;"ACCREDITED 17025 WITH UNCERTAINTIES",0,"")</f>
        <v>0</v>
      </c>
      <c r="X960" s="1" t="str">
        <f>IF(Table1[[#This Row],[DUT Read]]="","N/A",Table1[[#This Row],[Std Error]]+Table1[[#This Row],[DUT Read]]+Table1[[#This Row],[DUT Ucty]])</f>
        <v>N/A</v>
      </c>
      <c r="Y960" s="1" t="str">
        <f>IF(Table1[[#This Row],[Std Read]]="","N/A",Table1[[#This Row],[Std Read]]+Table1[[#This Row],[Std Ucty]])</f>
        <v>N/A</v>
      </c>
      <c r="Z9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0" s="1" t="str">
        <f>IF(Table1[[#This Row],[Spec Type]]="","N/A",Table1[[#This Row],[Spec Type]])</f>
        <v>±</v>
      </c>
      <c r="AC960" s="1" t="str">
        <f>IF(Table1[[#This Row],[Spec Type2]]="N/A","N/A",IF(AND(Table1[[#This Row],[DUT Adj Read]]&gt;=Table1[[#This Row],[Low Tol]],Table1[[#This Row],[DUT Adj Read]]&lt;=Table1[[#This Row],[High Tol]]),"Pass","Fail"))</f>
        <v>Fail</v>
      </c>
      <c r="AD960" s="1" t="str">
        <f>IF(AND(Table1[[#This Row],[Spec Type2]]="N/A",Table1[[#This Row],[DUT Adj Read]]="N/A",Table1[[#This Row],[Std Adj Read]]="N/A"),"N/A",IF(Table1[[#This Row],[DUT Adj Read]]="N/A",IF(Table1[[#This Row],[Std Adj Read]]&gt;Table1[[#This Row],[Low Tol]],"Pass","Fail"),IF(Table1[[#This Row],[DUT Adj Read]]&gt;Table1[[#This Row],[Low Tol]],"Pass","Fail")))</f>
        <v>Pass</v>
      </c>
      <c r="AE960" s="1" t="str">
        <f>IF(AND(Table1[[#This Row],[Spec Type2]]="N/A",Table1[[#This Row],[DUT Adj Read]]="N/A",Table1[[#This Row],[Std Adj Read]]="N/A"),"N/A",IF(Table1[[#This Row],[DUT Adj Read]]="N/A",IF(Table1[[#This Row],[Std Adj Read]]&lt;Table1[[#This Row],[High Tol]],"Pass","Fail"),IF(Table1[[#This Row],[DUT Adj Read]]&lt;Table1[[#This Row],[High Tol]],"Pass","Fail")))</f>
        <v>Fail</v>
      </c>
      <c r="AF960" s="1" t="str">
        <f>IF(AND(Table1[[#This Row],[Spec Type2]]="N/A",Table1[[#This Row],[DUT Adj Read]]="N/A",Table1[[#This Row],[Std Adj Read]]="N/A"),"N/A",IF(Table1[[#This Row],[DUT Adj Read]]="N/A",IF(Table1[[#This Row],[Std Adj Read]]&gt;=Table1[[#This Row],[Low Tol]],"Pass","Fail"),IF(Table1[[#This Row],[DUT Adj Read]]&gt;=Table1[[#This Row],[Low Tol]],"Pass","Fail")))</f>
        <v>Pass</v>
      </c>
      <c r="AG960" s="1" t="str">
        <f>IF(AND(Table1[[#This Row],[Spec Type2]]="N/A",Table1[[#This Row],[DUT Adj Read]]="N/A",Table1[[#This Row],[Std Adj Read]]="N/A"),"N/A",IF(Table1[[#This Row],[DUT Adj Read]]="N/A",IF(Table1[[#This Row],[Std Adj Read]]&lt;=Table1[[#This Row],[High Tol]],"Pass","Fail"),IF(Table1[[#This Row],[DUT Adj Read]]&lt;=Table1[[#This Row],[High Tol]],"Pass","Fail")))</f>
        <v>Fail</v>
      </c>
      <c r="AH9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0" s="1" t="b">
        <v>0</v>
      </c>
      <c r="AN960" s="1" t="b">
        <v>0</v>
      </c>
      <c r="AO960" s="1" t="b">
        <v>0</v>
      </c>
    </row>
    <row r="961" spans="1:41" x14ac:dyDescent="0.25">
      <c r="A961" s="10"/>
      <c r="B961" s="10"/>
      <c r="C961" s="10"/>
      <c r="D961" s="10"/>
      <c r="E961" s="10"/>
      <c r="F961" s="10"/>
      <c r="G961" s="10"/>
      <c r="H961" s="10"/>
      <c r="I961" s="1" t="str">
        <f t="shared" si="42"/>
        <v/>
      </c>
      <c r="J961" s="1" t="s">
        <v>35</v>
      </c>
      <c r="K961" s="1" t="str">
        <f t="shared" si="43"/>
        <v/>
      </c>
      <c r="L961" s="1" t="str">
        <f t="shared" si="44"/>
        <v/>
      </c>
      <c r="M961" s="1">
        <f>IF(OR(Table1[[#This Row],[Std Nom]]="",Table1[[#This Row],[Std Read]]=""),0,Table1[[#This Row],[Std Nom]]-Table1[[#This Row],[Std Read]])</f>
        <v>0</v>
      </c>
      <c r="N961" s="1">
        <f>IF(Calculations!$F$5="ACCREDITED 17025 WITH UNCERTAINTIES",$N$10,0)</f>
        <v>0</v>
      </c>
      <c r="Q961" s="1">
        <f>Table1[[#This Row],[High Tol]]-Table1[[#This Row],[Low Tol]]</f>
        <v>0</v>
      </c>
      <c r="R961" s="1">
        <f>2*Table1[[#This Row],[Std Error]]</f>
        <v>0</v>
      </c>
      <c r="S961" s="1" t="str">
        <f>IF(Table1[[#This Row],[High Tol]]="","N/A",IFERROR(ABS(Table1[[#This Row],[Tol Span]]/Table1[[#This Row],[Error Span]]),"N/A"))</f>
        <v>N/A</v>
      </c>
      <c r="T961" s="1" t="str">
        <f>IF(OR(Table1[[#This Row],[Low Tol]]="",Table1[[#This Row],[High Tol]]=""),"Needs Analysis",IF(Table1[[#This Row],[Ratio]]&gt;=4,"Not Significant",IF(Table1[[#This Row],[Ratio]]&gt;=2,"Semi-Significant","Significant")))</f>
        <v>Needs Analysis</v>
      </c>
      <c r="W961" s="1">
        <f>IF(Table1[[#This Row],[Cal Type]]&lt;&gt;"ACCREDITED 17025 WITH UNCERTAINTIES",0,"")</f>
        <v>0</v>
      </c>
      <c r="X961" s="1" t="str">
        <f>IF(Table1[[#This Row],[DUT Read]]="","N/A",Table1[[#This Row],[Std Error]]+Table1[[#This Row],[DUT Read]]+Table1[[#This Row],[DUT Ucty]])</f>
        <v>N/A</v>
      </c>
      <c r="Y961" s="1" t="str">
        <f>IF(Table1[[#This Row],[Std Read]]="","N/A",Table1[[#This Row],[Std Read]]+Table1[[#This Row],[Std Ucty]])</f>
        <v>N/A</v>
      </c>
      <c r="Z9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1" s="1" t="str">
        <f>IF(Table1[[#This Row],[Spec Type]]="","N/A",Table1[[#This Row],[Spec Type]])</f>
        <v>±</v>
      </c>
      <c r="AC961" s="1" t="str">
        <f>IF(Table1[[#This Row],[Spec Type2]]="N/A","N/A",IF(AND(Table1[[#This Row],[DUT Adj Read]]&gt;=Table1[[#This Row],[Low Tol]],Table1[[#This Row],[DUT Adj Read]]&lt;=Table1[[#This Row],[High Tol]]),"Pass","Fail"))</f>
        <v>Fail</v>
      </c>
      <c r="AD961" s="1" t="str">
        <f>IF(AND(Table1[[#This Row],[Spec Type2]]="N/A",Table1[[#This Row],[DUT Adj Read]]="N/A",Table1[[#This Row],[Std Adj Read]]="N/A"),"N/A",IF(Table1[[#This Row],[DUT Adj Read]]="N/A",IF(Table1[[#This Row],[Std Adj Read]]&gt;Table1[[#This Row],[Low Tol]],"Pass","Fail"),IF(Table1[[#This Row],[DUT Adj Read]]&gt;Table1[[#This Row],[Low Tol]],"Pass","Fail")))</f>
        <v>Pass</v>
      </c>
      <c r="AE961" s="1" t="str">
        <f>IF(AND(Table1[[#This Row],[Spec Type2]]="N/A",Table1[[#This Row],[DUT Adj Read]]="N/A",Table1[[#This Row],[Std Adj Read]]="N/A"),"N/A",IF(Table1[[#This Row],[DUT Adj Read]]="N/A",IF(Table1[[#This Row],[Std Adj Read]]&lt;Table1[[#This Row],[High Tol]],"Pass","Fail"),IF(Table1[[#This Row],[DUT Adj Read]]&lt;Table1[[#This Row],[High Tol]],"Pass","Fail")))</f>
        <v>Fail</v>
      </c>
      <c r="AF961" s="1" t="str">
        <f>IF(AND(Table1[[#This Row],[Spec Type2]]="N/A",Table1[[#This Row],[DUT Adj Read]]="N/A",Table1[[#This Row],[Std Adj Read]]="N/A"),"N/A",IF(Table1[[#This Row],[DUT Adj Read]]="N/A",IF(Table1[[#This Row],[Std Adj Read]]&gt;=Table1[[#This Row],[Low Tol]],"Pass","Fail"),IF(Table1[[#This Row],[DUT Adj Read]]&gt;=Table1[[#This Row],[Low Tol]],"Pass","Fail")))</f>
        <v>Pass</v>
      </c>
      <c r="AG961" s="1" t="str">
        <f>IF(AND(Table1[[#This Row],[Spec Type2]]="N/A",Table1[[#This Row],[DUT Adj Read]]="N/A",Table1[[#This Row],[Std Adj Read]]="N/A"),"N/A",IF(Table1[[#This Row],[DUT Adj Read]]="N/A",IF(Table1[[#This Row],[Std Adj Read]]&lt;=Table1[[#This Row],[High Tol]],"Pass","Fail"),IF(Table1[[#This Row],[DUT Adj Read]]&lt;=Table1[[#This Row],[High Tol]],"Pass","Fail")))</f>
        <v>Fail</v>
      </c>
      <c r="AH9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1" s="1" t="b">
        <v>0</v>
      </c>
      <c r="AN961" s="1" t="b">
        <v>0</v>
      </c>
      <c r="AO961" s="1" t="b">
        <v>0</v>
      </c>
    </row>
    <row r="962" spans="1:41" x14ac:dyDescent="0.25">
      <c r="A962" s="10"/>
      <c r="B962" s="10"/>
      <c r="C962" s="10"/>
      <c r="D962" s="10"/>
      <c r="E962" s="10"/>
      <c r="F962" s="10"/>
      <c r="G962" s="10"/>
      <c r="H962" s="10"/>
      <c r="I962" s="1" t="str">
        <f t="shared" si="42"/>
        <v/>
      </c>
      <c r="J962" s="1" t="s">
        <v>35</v>
      </c>
      <c r="K962" s="1" t="str">
        <f t="shared" si="43"/>
        <v/>
      </c>
      <c r="L962" s="1" t="str">
        <f t="shared" si="44"/>
        <v/>
      </c>
      <c r="M962" s="1">
        <f>IF(OR(Table1[[#This Row],[Std Nom]]="",Table1[[#This Row],[Std Read]]=""),0,Table1[[#This Row],[Std Nom]]-Table1[[#This Row],[Std Read]])</f>
        <v>0</v>
      </c>
      <c r="N962" s="1">
        <f>IF(Calculations!$F$5="ACCREDITED 17025 WITH UNCERTAINTIES",$N$10,0)</f>
        <v>0</v>
      </c>
      <c r="Q962" s="1">
        <f>Table1[[#This Row],[High Tol]]-Table1[[#This Row],[Low Tol]]</f>
        <v>0</v>
      </c>
      <c r="R962" s="1">
        <f>2*Table1[[#This Row],[Std Error]]</f>
        <v>0</v>
      </c>
      <c r="S962" s="1" t="str">
        <f>IF(Table1[[#This Row],[High Tol]]="","N/A",IFERROR(ABS(Table1[[#This Row],[Tol Span]]/Table1[[#This Row],[Error Span]]),"N/A"))</f>
        <v>N/A</v>
      </c>
      <c r="T962" s="1" t="str">
        <f>IF(OR(Table1[[#This Row],[Low Tol]]="",Table1[[#This Row],[High Tol]]=""),"Needs Analysis",IF(Table1[[#This Row],[Ratio]]&gt;=4,"Not Significant",IF(Table1[[#This Row],[Ratio]]&gt;=2,"Semi-Significant","Significant")))</f>
        <v>Needs Analysis</v>
      </c>
      <c r="W962" s="1">
        <f>IF(Table1[[#This Row],[Cal Type]]&lt;&gt;"ACCREDITED 17025 WITH UNCERTAINTIES",0,"")</f>
        <v>0</v>
      </c>
      <c r="X962" s="1" t="str">
        <f>IF(Table1[[#This Row],[DUT Read]]="","N/A",Table1[[#This Row],[Std Error]]+Table1[[#This Row],[DUT Read]]+Table1[[#This Row],[DUT Ucty]])</f>
        <v>N/A</v>
      </c>
      <c r="Y962" s="1" t="str">
        <f>IF(Table1[[#This Row],[Std Read]]="","N/A",Table1[[#This Row],[Std Read]]+Table1[[#This Row],[Std Ucty]])</f>
        <v>N/A</v>
      </c>
      <c r="Z9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2" s="1" t="str">
        <f>IF(Table1[[#This Row],[Spec Type]]="","N/A",Table1[[#This Row],[Spec Type]])</f>
        <v>±</v>
      </c>
      <c r="AC962" s="1" t="str">
        <f>IF(Table1[[#This Row],[Spec Type2]]="N/A","N/A",IF(AND(Table1[[#This Row],[DUT Adj Read]]&gt;=Table1[[#This Row],[Low Tol]],Table1[[#This Row],[DUT Adj Read]]&lt;=Table1[[#This Row],[High Tol]]),"Pass","Fail"))</f>
        <v>Fail</v>
      </c>
      <c r="AD962" s="1" t="str">
        <f>IF(AND(Table1[[#This Row],[Spec Type2]]="N/A",Table1[[#This Row],[DUT Adj Read]]="N/A",Table1[[#This Row],[Std Adj Read]]="N/A"),"N/A",IF(Table1[[#This Row],[DUT Adj Read]]="N/A",IF(Table1[[#This Row],[Std Adj Read]]&gt;Table1[[#This Row],[Low Tol]],"Pass","Fail"),IF(Table1[[#This Row],[DUT Adj Read]]&gt;Table1[[#This Row],[Low Tol]],"Pass","Fail")))</f>
        <v>Pass</v>
      </c>
      <c r="AE962" s="1" t="str">
        <f>IF(AND(Table1[[#This Row],[Spec Type2]]="N/A",Table1[[#This Row],[DUT Adj Read]]="N/A",Table1[[#This Row],[Std Adj Read]]="N/A"),"N/A",IF(Table1[[#This Row],[DUT Adj Read]]="N/A",IF(Table1[[#This Row],[Std Adj Read]]&lt;Table1[[#This Row],[High Tol]],"Pass","Fail"),IF(Table1[[#This Row],[DUT Adj Read]]&lt;Table1[[#This Row],[High Tol]],"Pass","Fail")))</f>
        <v>Fail</v>
      </c>
      <c r="AF962" s="1" t="str">
        <f>IF(AND(Table1[[#This Row],[Spec Type2]]="N/A",Table1[[#This Row],[DUT Adj Read]]="N/A",Table1[[#This Row],[Std Adj Read]]="N/A"),"N/A",IF(Table1[[#This Row],[DUT Adj Read]]="N/A",IF(Table1[[#This Row],[Std Adj Read]]&gt;=Table1[[#This Row],[Low Tol]],"Pass","Fail"),IF(Table1[[#This Row],[DUT Adj Read]]&gt;=Table1[[#This Row],[Low Tol]],"Pass","Fail")))</f>
        <v>Pass</v>
      </c>
      <c r="AG962" s="1" t="str">
        <f>IF(AND(Table1[[#This Row],[Spec Type2]]="N/A",Table1[[#This Row],[DUT Adj Read]]="N/A",Table1[[#This Row],[Std Adj Read]]="N/A"),"N/A",IF(Table1[[#This Row],[DUT Adj Read]]="N/A",IF(Table1[[#This Row],[Std Adj Read]]&lt;=Table1[[#This Row],[High Tol]],"Pass","Fail"),IF(Table1[[#This Row],[DUT Adj Read]]&lt;=Table1[[#This Row],[High Tol]],"Pass","Fail")))</f>
        <v>Fail</v>
      </c>
      <c r="AH9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2" s="1" t="b">
        <v>0</v>
      </c>
      <c r="AN962" s="1" t="b">
        <v>0</v>
      </c>
      <c r="AO962" s="1" t="b">
        <v>0</v>
      </c>
    </row>
    <row r="963" spans="1:41" x14ac:dyDescent="0.25">
      <c r="A963" s="10"/>
      <c r="B963" s="10"/>
      <c r="C963" s="10"/>
      <c r="D963" s="10"/>
      <c r="E963" s="10"/>
      <c r="F963" s="10"/>
      <c r="G963" s="10"/>
      <c r="H963" s="10"/>
      <c r="I963" s="1" t="str">
        <f t="shared" si="42"/>
        <v/>
      </c>
      <c r="J963" s="1" t="s">
        <v>35</v>
      </c>
      <c r="K963" s="1" t="str">
        <f t="shared" si="43"/>
        <v/>
      </c>
      <c r="L963" s="1" t="str">
        <f t="shared" si="44"/>
        <v/>
      </c>
      <c r="M963" s="1">
        <f>IF(OR(Table1[[#This Row],[Std Nom]]="",Table1[[#This Row],[Std Read]]=""),0,Table1[[#This Row],[Std Nom]]-Table1[[#This Row],[Std Read]])</f>
        <v>0</v>
      </c>
      <c r="N963" s="1">
        <f>IF(Calculations!$F$5="ACCREDITED 17025 WITH UNCERTAINTIES",$N$10,0)</f>
        <v>0</v>
      </c>
      <c r="Q963" s="1">
        <f>Table1[[#This Row],[High Tol]]-Table1[[#This Row],[Low Tol]]</f>
        <v>0</v>
      </c>
      <c r="R963" s="1">
        <f>2*Table1[[#This Row],[Std Error]]</f>
        <v>0</v>
      </c>
      <c r="S963" s="1" t="str">
        <f>IF(Table1[[#This Row],[High Tol]]="","N/A",IFERROR(ABS(Table1[[#This Row],[Tol Span]]/Table1[[#This Row],[Error Span]]),"N/A"))</f>
        <v>N/A</v>
      </c>
      <c r="T963" s="1" t="str">
        <f>IF(OR(Table1[[#This Row],[Low Tol]]="",Table1[[#This Row],[High Tol]]=""),"Needs Analysis",IF(Table1[[#This Row],[Ratio]]&gt;=4,"Not Significant",IF(Table1[[#This Row],[Ratio]]&gt;=2,"Semi-Significant","Significant")))</f>
        <v>Needs Analysis</v>
      </c>
      <c r="W963" s="1">
        <f>IF(Table1[[#This Row],[Cal Type]]&lt;&gt;"ACCREDITED 17025 WITH UNCERTAINTIES",0,"")</f>
        <v>0</v>
      </c>
      <c r="X963" s="1" t="str">
        <f>IF(Table1[[#This Row],[DUT Read]]="","N/A",Table1[[#This Row],[Std Error]]+Table1[[#This Row],[DUT Read]]+Table1[[#This Row],[DUT Ucty]])</f>
        <v>N/A</v>
      </c>
      <c r="Y963" s="1" t="str">
        <f>IF(Table1[[#This Row],[Std Read]]="","N/A",Table1[[#This Row],[Std Read]]+Table1[[#This Row],[Std Ucty]])</f>
        <v>N/A</v>
      </c>
      <c r="Z9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3" s="1" t="str">
        <f>IF(Table1[[#This Row],[Spec Type]]="","N/A",Table1[[#This Row],[Spec Type]])</f>
        <v>±</v>
      </c>
      <c r="AC963" s="1" t="str">
        <f>IF(Table1[[#This Row],[Spec Type2]]="N/A","N/A",IF(AND(Table1[[#This Row],[DUT Adj Read]]&gt;=Table1[[#This Row],[Low Tol]],Table1[[#This Row],[DUT Adj Read]]&lt;=Table1[[#This Row],[High Tol]]),"Pass","Fail"))</f>
        <v>Fail</v>
      </c>
      <c r="AD963" s="1" t="str">
        <f>IF(AND(Table1[[#This Row],[Spec Type2]]="N/A",Table1[[#This Row],[DUT Adj Read]]="N/A",Table1[[#This Row],[Std Adj Read]]="N/A"),"N/A",IF(Table1[[#This Row],[DUT Adj Read]]="N/A",IF(Table1[[#This Row],[Std Adj Read]]&gt;Table1[[#This Row],[Low Tol]],"Pass","Fail"),IF(Table1[[#This Row],[DUT Adj Read]]&gt;Table1[[#This Row],[Low Tol]],"Pass","Fail")))</f>
        <v>Pass</v>
      </c>
      <c r="AE963" s="1" t="str">
        <f>IF(AND(Table1[[#This Row],[Spec Type2]]="N/A",Table1[[#This Row],[DUT Adj Read]]="N/A",Table1[[#This Row],[Std Adj Read]]="N/A"),"N/A",IF(Table1[[#This Row],[DUT Adj Read]]="N/A",IF(Table1[[#This Row],[Std Adj Read]]&lt;Table1[[#This Row],[High Tol]],"Pass","Fail"),IF(Table1[[#This Row],[DUT Adj Read]]&lt;Table1[[#This Row],[High Tol]],"Pass","Fail")))</f>
        <v>Fail</v>
      </c>
      <c r="AF963" s="1" t="str">
        <f>IF(AND(Table1[[#This Row],[Spec Type2]]="N/A",Table1[[#This Row],[DUT Adj Read]]="N/A",Table1[[#This Row],[Std Adj Read]]="N/A"),"N/A",IF(Table1[[#This Row],[DUT Adj Read]]="N/A",IF(Table1[[#This Row],[Std Adj Read]]&gt;=Table1[[#This Row],[Low Tol]],"Pass","Fail"),IF(Table1[[#This Row],[DUT Adj Read]]&gt;=Table1[[#This Row],[Low Tol]],"Pass","Fail")))</f>
        <v>Pass</v>
      </c>
      <c r="AG963" s="1" t="str">
        <f>IF(AND(Table1[[#This Row],[Spec Type2]]="N/A",Table1[[#This Row],[DUT Adj Read]]="N/A",Table1[[#This Row],[Std Adj Read]]="N/A"),"N/A",IF(Table1[[#This Row],[DUT Adj Read]]="N/A",IF(Table1[[#This Row],[Std Adj Read]]&lt;=Table1[[#This Row],[High Tol]],"Pass","Fail"),IF(Table1[[#This Row],[DUT Adj Read]]&lt;=Table1[[#This Row],[High Tol]],"Pass","Fail")))</f>
        <v>Fail</v>
      </c>
      <c r="AH9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3" s="1" t="b">
        <v>0</v>
      </c>
      <c r="AN963" s="1" t="b">
        <v>0</v>
      </c>
      <c r="AO963" s="1" t="b">
        <v>0</v>
      </c>
    </row>
    <row r="964" spans="1:41" x14ac:dyDescent="0.25">
      <c r="A964" s="10"/>
      <c r="B964" s="10"/>
      <c r="C964" s="10"/>
      <c r="D964" s="10"/>
      <c r="E964" s="10"/>
      <c r="F964" s="10"/>
      <c r="G964" s="10"/>
      <c r="H964" s="10"/>
      <c r="I964" s="1" t="str">
        <f t="shared" si="42"/>
        <v/>
      </c>
      <c r="J964" s="1" t="s">
        <v>35</v>
      </c>
      <c r="K964" s="1" t="str">
        <f t="shared" si="43"/>
        <v/>
      </c>
      <c r="L964" s="1" t="str">
        <f t="shared" si="44"/>
        <v/>
      </c>
      <c r="M964" s="1">
        <f>IF(OR(Table1[[#This Row],[Std Nom]]="",Table1[[#This Row],[Std Read]]=""),0,Table1[[#This Row],[Std Nom]]-Table1[[#This Row],[Std Read]])</f>
        <v>0</v>
      </c>
      <c r="N964" s="1">
        <f>IF(Calculations!$F$5="ACCREDITED 17025 WITH UNCERTAINTIES",$N$10,0)</f>
        <v>0</v>
      </c>
      <c r="Q964" s="1">
        <f>Table1[[#This Row],[High Tol]]-Table1[[#This Row],[Low Tol]]</f>
        <v>0</v>
      </c>
      <c r="R964" s="1">
        <f>2*Table1[[#This Row],[Std Error]]</f>
        <v>0</v>
      </c>
      <c r="S964" s="1" t="str">
        <f>IF(Table1[[#This Row],[High Tol]]="","N/A",IFERROR(ABS(Table1[[#This Row],[Tol Span]]/Table1[[#This Row],[Error Span]]),"N/A"))</f>
        <v>N/A</v>
      </c>
      <c r="T964" s="1" t="str">
        <f>IF(OR(Table1[[#This Row],[Low Tol]]="",Table1[[#This Row],[High Tol]]=""),"Needs Analysis",IF(Table1[[#This Row],[Ratio]]&gt;=4,"Not Significant",IF(Table1[[#This Row],[Ratio]]&gt;=2,"Semi-Significant","Significant")))</f>
        <v>Needs Analysis</v>
      </c>
      <c r="W964" s="1">
        <f>IF(Table1[[#This Row],[Cal Type]]&lt;&gt;"ACCREDITED 17025 WITH UNCERTAINTIES",0,"")</f>
        <v>0</v>
      </c>
      <c r="X964" s="1" t="str">
        <f>IF(Table1[[#This Row],[DUT Read]]="","N/A",Table1[[#This Row],[Std Error]]+Table1[[#This Row],[DUT Read]]+Table1[[#This Row],[DUT Ucty]])</f>
        <v>N/A</v>
      </c>
      <c r="Y964" s="1" t="str">
        <f>IF(Table1[[#This Row],[Std Read]]="","N/A",Table1[[#This Row],[Std Read]]+Table1[[#This Row],[Std Ucty]])</f>
        <v>N/A</v>
      </c>
      <c r="Z9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4" s="1" t="str">
        <f>IF(Table1[[#This Row],[Spec Type]]="","N/A",Table1[[#This Row],[Spec Type]])</f>
        <v>±</v>
      </c>
      <c r="AC964" s="1" t="str">
        <f>IF(Table1[[#This Row],[Spec Type2]]="N/A","N/A",IF(AND(Table1[[#This Row],[DUT Adj Read]]&gt;=Table1[[#This Row],[Low Tol]],Table1[[#This Row],[DUT Adj Read]]&lt;=Table1[[#This Row],[High Tol]]),"Pass","Fail"))</f>
        <v>Fail</v>
      </c>
      <c r="AD964" s="1" t="str">
        <f>IF(AND(Table1[[#This Row],[Spec Type2]]="N/A",Table1[[#This Row],[DUT Adj Read]]="N/A",Table1[[#This Row],[Std Adj Read]]="N/A"),"N/A",IF(Table1[[#This Row],[DUT Adj Read]]="N/A",IF(Table1[[#This Row],[Std Adj Read]]&gt;Table1[[#This Row],[Low Tol]],"Pass","Fail"),IF(Table1[[#This Row],[DUT Adj Read]]&gt;Table1[[#This Row],[Low Tol]],"Pass","Fail")))</f>
        <v>Pass</v>
      </c>
      <c r="AE964" s="1" t="str">
        <f>IF(AND(Table1[[#This Row],[Spec Type2]]="N/A",Table1[[#This Row],[DUT Adj Read]]="N/A",Table1[[#This Row],[Std Adj Read]]="N/A"),"N/A",IF(Table1[[#This Row],[DUT Adj Read]]="N/A",IF(Table1[[#This Row],[Std Adj Read]]&lt;Table1[[#This Row],[High Tol]],"Pass","Fail"),IF(Table1[[#This Row],[DUT Adj Read]]&lt;Table1[[#This Row],[High Tol]],"Pass","Fail")))</f>
        <v>Fail</v>
      </c>
      <c r="AF964" s="1" t="str">
        <f>IF(AND(Table1[[#This Row],[Spec Type2]]="N/A",Table1[[#This Row],[DUT Adj Read]]="N/A",Table1[[#This Row],[Std Adj Read]]="N/A"),"N/A",IF(Table1[[#This Row],[DUT Adj Read]]="N/A",IF(Table1[[#This Row],[Std Adj Read]]&gt;=Table1[[#This Row],[Low Tol]],"Pass","Fail"),IF(Table1[[#This Row],[DUT Adj Read]]&gt;=Table1[[#This Row],[Low Tol]],"Pass","Fail")))</f>
        <v>Pass</v>
      </c>
      <c r="AG964" s="1" t="str">
        <f>IF(AND(Table1[[#This Row],[Spec Type2]]="N/A",Table1[[#This Row],[DUT Adj Read]]="N/A",Table1[[#This Row],[Std Adj Read]]="N/A"),"N/A",IF(Table1[[#This Row],[DUT Adj Read]]="N/A",IF(Table1[[#This Row],[Std Adj Read]]&lt;=Table1[[#This Row],[High Tol]],"Pass","Fail"),IF(Table1[[#This Row],[DUT Adj Read]]&lt;=Table1[[#This Row],[High Tol]],"Pass","Fail")))</f>
        <v>Fail</v>
      </c>
      <c r="AH9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4" s="1" t="b">
        <v>0</v>
      </c>
      <c r="AN964" s="1" t="b">
        <v>0</v>
      </c>
      <c r="AO964" s="1" t="b">
        <v>0</v>
      </c>
    </row>
    <row r="965" spans="1:41" x14ac:dyDescent="0.25">
      <c r="A965" s="10"/>
      <c r="B965" s="10"/>
      <c r="C965" s="10"/>
      <c r="D965" s="10"/>
      <c r="E965" s="10"/>
      <c r="F965" s="10"/>
      <c r="G965" s="10"/>
      <c r="H965" s="10"/>
      <c r="I965" s="1" t="str">
        <f t="shared" si="42"/>
        <v/>
      </c>
      <c r="J965" s="1" t="s">
        <v>35</v>
      </c>
      <c r="K965" s="1" t="str">
        <f t="shared" si="43"/>
        <v/>
      </c>
      <c r="L965" s="1" t="str">
        <f t="shared" si="44"/>
        <v/>
      </c>
      <c r="M965" s="1">
        <f>IF(OR(Table1[[#This Row],[Std Nom]]="",Table1[[#This Row],[Std Read]]=""),0,Table1[[#This Row],[Std Nom]]-Table1[[#This Row],[Std Read]])</f>
        <v>0</v>
      </c>
      <c r="N965" s="1">
        <f>IF(Calculations!$F$5="ACCREDITED 17025 WITH UNCERTAINTIES",$N$10,0)</f>
        <v>0</v>
      </c>
      <c r="Q965" s="1">
        <f>Table1[[#This Row],[High Tol]]-Table1[[#This Row],[Low Tol]]</f>
        <v>0</v>
      </c>
      <c r="R965" s="1">
        <f>2*Table1[[#This Row],[Std Error]]</f>
        <v>0</v>
      </c>
      <c r="S965" s="1" t="str">
        <f>IF(Table1[[#This Row],[High Tol]]="","N/A",IFERROR(ABS(Table1[[#This Row],[Tol Span]]/Table1[[#This Row],[Error Span]]),"N/A"))</f>
        <v>N/A</v>
      </c>
      <c r="T965" s="1" t="str">
        <f>IF(OR(Table1[[#This Row],[Low Tol]]="",Table1[[#This Row],[High Tol]]=""),"Needs Analysis",IF(Table1[[#This Row],[Ratio]]&gt;=4,"Not Significant",IF(Table1[[#This Row],[Ratio]]&gt;=2,"Semi-Significant","Significant")))</f>
        <v>Needs Analysis</v>
      </c>
      <c r="W965" s="1">
        <f>IF(Table1[[#This Row],[Cal Type]]&lt;&gt;"ACCREDITED 17025 WITH UNCERTAINTIES",0,"")</f>
        <v>0</v>
      </c>
      <c r="X965" s="1" t="str">
        <f>IF(Table1[[#This Row],[DUT Read]]="","N/A",Table1[[#This Row],[Std Error]]+Table1[[#This Row],[DUT Read]]+Table1[[#This Row],[DUT Ucty]])</f>
        <v>N/A</v>
      </c>
      <c r="Y965" s="1" t="str">
        <f>IF(Table1[[#This Row],[Std Read]]="","N/A",Table1[[#This Row],[Std Read]]+Table1[[#This Row],[Std Ucty]])</f>
        <v>N/A</v>
      </c>
      <c r="Z9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5" s="1" t="str">
        <f>IF(Table1[[#This Row],[Spec Type]]="","N/A",Table1[[#This Row],[Spec Type]])</f>
        <v>±</v>
      </c>
      <c r="AC965" s="1" t="str">
        <f>IF(Table1[[#This Row],[Spec Type2]]="N/A","N/A",IF(AND(Table1[[#This Row],[DUT Adj Read]]&gt;=Table1[[#This Row],[Low Tol]],Table1[[#This Row],[DUT Adj Read]]&lt;=Table1[[#This Row],[High Tol]]),"Pass","Fail"))</f>
        <v>Fail</v>
      </c>
      <c r="AD965" s="1" t="str">
        <f>IF(AND(Table1[[#This Row],[Spec Type2]]="N/A",Table1[[#This Row],[DUT Adj Read]]="N/A",Table1[[#This Row],[Std Adj Read]]="N/A"),"N/A",IF(Table1[[#This Row],[DUT Adj Read]]="N/A",IF(Table1[[#This Row],[Std Adj Read]]&gt;Table1[[#This Row],[Low Tol]],"Pass","Fail"),IF(Table1[[#This Row],[DUT Adj Read]]&gt;Table1[[#This Row],[Low Tol]],"Pass","Fail")))</f>
        <v>Pass</v>
      </c>
      <c r="AE965" s="1" t="str">
        <f>IF(AND(Table1[[#This Row],[Spec Type2]]="N/A",Table1[[#This Row],[DUT Adj Read]]="N/A",Table1[[#This Row],[Std Adj Read]]="N/A"),"N/A",IF(Table1[[#This Row],[DUT Adj Read]]="N/A",IF(Table1[[#This Row],[Std Adj Read]]&lt;Table1[[#This Row],[High Tol]],"Pass","Fail"),IF(Table1[[#This Row],[DUT Adj Read]]&lt;Table1[[#This Row],[High Tol]],"Pass","Fail")))</f>
        <v>Fail</v>
      </c>
      <c r="AF965" s="1" t="str">
        <f>IF(AND(Table1[[#This Row],[Spec Type2]]="N/A",Table1[[#This Row],[DUT Adj Read]]="N/A",Table1[[#This Row],[Std Adj Read]]="N/A"),"N/A",IF(Table1[[#This Row],[DUT Adj Read]]="N/A",IF(Table1[[#This Row],[Std Adj Read]]&gt;=Table1[[#This Row],[Low Tol]],"Pass","Fail"),IF(Table1[[#This Row],[DUT Adj Read]]&gt;=Table1[[#This Row],[Low Tol]],"Pass","Fail")))</f>
        <v>Pass</v>
      </c>
      <c r="AG965" s="1" t="str">
        <f>IF(AND(Table1[[#This Row],[Spec Type2]]="N/A",Table1[[#This Row],[DUT Adj Read]]="N/A",Table1[[#This Row],[Std Adj Read]]="N/A"),"N/A",IF(Table1[[#This Row],[DUT Adj Read]]="N/A",IF(Table1[[#This Row],[Std Adj Read]]&lt;=Table1[[#This Row],[High Tol]],"Pass","Fail"),IF(Table1[[#This Row],[DUT Adj Read]]&lt;=Table1[[#This Row],[High Tol]],"Pass","Fail")))</f>
        <v>Fail</v>
      </c>
      <c r="AH9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5" s="1" t="b">
        <v>0</v>
      </c>
      <c r="AN965" s="1" t="b">
        <v>0</v>
      </c>
      <c r="AO965" s="1" t="b">
        <v>0</v>
      </c>
    </row>
    <row r="966" spans="1:41" x14ac:dyDescent="0.25">
      <c r="A966" s="10"/>
      <c r="B966" s="10"/>
      <c r="C966" s="10"/>
      <c r="D966" s="10"/>
      <c r="E966" s="10"/>
      <c r="F966" s="10"/>
      <c r="G966" s="10"/>
      <c r="H966" s="10"/>
      <c r="I966" s="1" t="str">
        <f t="shared" si="42"/>
        <v/>
      </c>
      <c r="J966" s="1" t="s">
        <v>35</v>
      </c>
      <c r="K966" s="1" t="str">
        <f t="shared" si="43"/>
        <v/>
      </c>
      <c r="L966" s="1" t="str">
        <f t="shared" si="44"/>
        <v/>
      </c>
      <c r="M966" s="1">
        <f>IF(OR(Table1[[#This Row],[Std Nom]]="",Table1[[#This Row],[Std Read]]=""),0,Table1[[#This Row],[Std Nom]]-Table1[[#This Row],[Std Read]])</f>
        <v>0</v>
      </c>
      <c r="N966" s="1">
        <f>IF(Calculations!$F$5="ACCREDITED 17025 WITH UNCERTAINTIES",$N$10,0)</f>
        <v>0</v>
      </c>
      <c r="Q966" s="1">
        <f>Table1[[#This Row],[High Tol]]-Table1[[#This Row],[Low Tol]]</f>
        <v>0</v>
      </c>
      <c r="R966" s="1">
        <f>2*Table1[[#This Row],[Std Error]]</f>
        <v>0</v>
      </c>
      <c r="S966" s="1" t="str">
        <f>IF(Table1[[#This Row],[High Tol]]="","N/A",IFERROR(ABS(Table1[[#This Row],[Tol Span]]/Table1[[#This Row],[Error Span]]),"N/A"))</f>
        <v>N/A</v>
      </c>
      <c r="T966" s="1" t="str">
        <f>IF(OR(Table1[[#This Row],[Low Tol]]="",Table1[[#This Row],[High Tol]]=""),"Needs Analysis",IF(Table1[[#This Row],[Ratio]]&gt;=4,"Not Significant",IF(Table1[[#This Row],[Ratio]]&gt;=2,"Semi-Significant","Significant")))</f>
        <v>Needs Analysis</v>
      </c>
      <c r="W966" s="1">
        <f>IF(Table1[[#This Row],[Cal Type]]&lt;&gt;"ACCREDITED 17025 WITH UNCERTAINTIES",0,"")</f>
        <v>0</v>
      </c>
      <c r="X966" s="1" t="str">
        <f>IF(Table1[[#This Row],[DUT Read]]="","N/A",Table1[[#This Row],[Std Error]]+Table1[[#This Row],[DUT Read]]+Table1[[#This Row],[DUT Ucty]])</f>
        <v>N/A</v>
      </c>
      <c r="Y966" s="1" t="str">
        <f>IF(Table1[[#This Row],[Std Read]]="","N/A",Table1[[#This Row],[Std Read]]+Table1[[#This Row],[Std Ucty]])</f>
        <v>N/A</v>
      </c>
      <c r="Z9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6" s="1" t="str">
        <f>IF(Table1[[#This Row],[Spec Type]]="","N/A",Table1[[#This Row],[Spec Type]])</f>
        <v>±</v>
      </c>
      <c r="AC966" s="1" t="str">
        <f>IF(Table1[[#This Row],[Spec Type2]]="N/A","N/A",IF(AND(Table1[[#This Row],[DUT Adj Read]]&gt;=Table1[[#This Row],[Low Tol]],Table1[[#This Row],[DUT Adj Read]]&lt;=Table1[[#This Row],[High Tol]]),"Pass","Fail"))</f>
        <v>Fail</v>
      </c>
      <c r="AD966" s="1" t="str">
        <f>IF(AND(Table1[[#This Row],[Spec Type2]]="N/A",Table1[[#This Row],[DUT Adj Read]]="N/A",Table1[[#This Row],[Std Adj Read]]="N/A"),"N/A",IF(Table1[[#This Row],[DUT Adj Read]]="N/A",IF(Table1[[#This Row],[Std Adj Read]]&gt;Table1[[#This Row],[Low Tol]],"Pass","Fail"),IF(Table1[[#This Row],[DUT Adj Read]]&gt;Table1[[#This Row],[Low Tol]],"Pass","Fail")))</f>
        <v>Pass</v>
      </c>
      <c r="AE966" s="1" t="str">
        <f>IF(AND(Table1[[#This Row],[Spec Type2]]="N/A",Table1[[#This Row],[DUT Adj Read]]="N/A",Table1[[#This Row],[Std Adj Read]]="N/A"),"N/A",IF(Table1[[#This Row],[DUT Adj Read]]="N/A",IF(Table1[[#This Row],[Std Adj Read]]&lt;Table1[[#This Row],[High Tol]],"Pass","Fail"),IF(Table1[[#This Row],[DUT Adj Read]]&lt;Table1[[#This Row],[High Tol]],"Pass","Fail")))</f>
        <v>Fail</v>
      </c>
      <c r="AF966" s="1" t="str">
        <f>IF(AND(Table1[[#This Row],[Spec Type2]]="N/A",Table1[[#This Row],[DUT Adj Read]]="N/A",Table1[[#This Row],[Std Adj Read]]="N/A"),"N/A",IF(Table1[[#This Row],[DUT Adj Read]]="N/A",IF(Table1[[#This Row],[Std Adj Read]]&gt;=Table1[[#This Row],[Low Tol]],"Pass","Fail"),IF(Table1[[#This Row],[DUT Adj Read]]&gt;=Table1[[#This Row],[Low Tol]],"Pass","Fail")))</f>
        <v>Pass</v>
      </c>
      <c r="AG966" s="1" t="str">
        <f>IF(AND(Table1[[#This Row],[Spec Type2]]="N/A",Table1[[#This Row],[DUT Adj Read]]="N/A",Table1[[#This Row],[Std Adj Read]]="N/A"),"N/A",IF(Table1[[#This Row],[DUT Adj Read]]="N/A",IF(Table1[[#This Row],[Std Adj Read]]&lt;=Table1[[#This Row],[High Tol]],"Pass","Fail"),IF(Table1[[#This Row],[DUT Adj Read]]&lt;=Table1[[#This Row],[High Tol]],"Pass","Fail")))</f>
        <v>Fail</v>
      </c>
      <c r="AH9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6" s="1" t="b">
        <v>0</v>
      </c>
      <c r="AN966" s="1" t="b">
        <v>0</v>
      </c>
      <c r="AO966" s="1" t="b">
        <v>0</v>
      </c>
    </row>
    <row r="967" spans="1:41" x14ac:dyDescent="0.25">
      <c r="A967" s="10"/>
      <c r="B967" s="10"/>
      <c r="C967" s="10"/>
      <c r="D967" s="10"/>
      <c r="E967" s="10"/>
      <c r="F967" s="10"/>
      <c r="G967" s="10"/>
      <c r="H967" s="10"/>
      <c r="I967" s="1" t="str">
        <f t="shared" si="42"/>
        <v/>
      </c>
      <c r="J967" s="1" t="s">
        <v>35</v>
      </c>
      <c r="K967" s="1" t="str">
        <f t="shared" si="43"/>
        <v/>
      </c>
      <c r="L967" s="1" t="str">
        <f t="shared" si="44"/>
        <v/>
      </c>
      <c r="M967" s="1">
        <f>IF(OR(Table1[[#This Row],[Std Nom]]="",Table1[[#This Row],[Std Read]]=""),0,Table1[[#This Row],[Std Nom]]-Table1[[#This Row],[Std Read]])</f>
        <v>0</v>
      </c>
      <c r="N967" s="1">
        <f>IF(Calculations!$F$5="ACCREDITED 17025 WITH UNCERTAINTIES",$N$10,0)</f>
        <v>0</v>
      </c>
      <c r="Q967" s="1">
        <f>Table1[[#This Row],[High Tol]]-Table1[[#This Row],[Low Tol]]</f>
        <v>0</v>
      </c>
      <c r="R967" s="1">
        <f>2*Table1[[#This Row],[Std Error]]</f>
        <v>0</v>
      </c>
      <c r="S967" s="1" t="str">
        <f>IF(Table1[[#This Row],[High Tol]]="","N/A",IFERROR(ABS(Table1[[#This Row],[Tol Span]]/Table1[[#This Row],[Error Span]]),"N/A"))</f>
        <v>N/A</v>
      </c>
      <c r="T967" s="1" t="str">
        <f>IF(OR(Table1[[#This Row],[Low Tol]]="",Table1[[#This Row],[High Tol]]=""),"Needs Analysis",IF(Table1[[#This Row],[Ratio]]&gt;=4,"Not Significant",IF(Table1[[#This Row],[Ratio]]&gt;=2,"Semi-Significant","Significant")))</f>
        <v>Needs Analysis</v>
      </c>
      <c r="W967" s="1">
        <f>IF(Table1[[#This Row],[Cal Type]]&lt;&gt;"ACCREDITED 17025 WITH UNCERTAINTIES",0,"")</f>
        <v>0</v>
      </c>
      <c r="X967" s="1" t="str">
        <f>IF(Table1[[#This Row],[DUT Read]]="","N/A",Table1[[#This Row],[Std Error]]+Table1[[#This Row],[DUT Read]]+Table1[[#This Row],[DUT Ucty]])</f>
        <v>N/A</v>
      </c>
      <c r="Y967" s="1" t="str">
        <f>IF(Table1[[#This Row],[Std Read]]="","N/A",Table1[[#This Row],[Std Read]]+Table1[[#This Row],[Std Ucty]])</f>
        <v>N/A</v>
      </c>
      <c r="Z9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7" s="1" t="str">
        <f>IF(Table1[[#This Row],[Spec Type]]="","N/A",Table1[[#This Row],[Spec Type]])</f>
        <v>±</v>
      </c>
      <c r="AC967" s="1" t="str">
        <f>IF(Table1[[#This Row],[Spec Type2]]="N/A","N/A",IF(AND(Table1[[#This Row],[DUT Adj Read]]&gt;=Table1[[#This Row],[Low Tol]],Table1[[#This Row],[DUT Adj Read]]&lt;=Table1[[#This Row],[High Tol]]),"Pass","Fail"))</f>
        <v>Fail</v>
      </c>
      <c r="AD967" s="1" t="str">
        <f>IF(AND(Table1[[#This Row],[Spec Type2]]="N/A",Table1[[#This Row],[DUT Adj Read]]="N/A",Table1[[#This Row],[Std Adj Read]]="N/A"),"N/A",IF(Table1[[#This Row],[DUT Adj Read]]="N/A",IF(Table1[[#This Row],[Std Adj Read]]&gt;Table1[[#This Row],[Low Tol]],"Pass","Fail"),IF(Table1[[#This Row],[DUT Adj Read]]&gt;Table1[[#This Row],[Low Tol]],"Pass","Fail")))</f>
        <v>Pass</v>
      </c>
      <c r="AE967" s="1" t="str">
        <f>IF(AND(Table1[[#This Row],[Spec Type2]]="N/A",Table1[[#This Row],[DUT Adj Read]]="N/A",Table1[[#This Row],[Std Adj Read]]="N/A"),"N/A",IF(Table1[[#This Row],[DUT Adj Read]]="N/A",IF(Table1[[#This Row],[Std Adj Read]]&lt;Table1[[#This Row],[High Tol]],"Pass","Fail"),IF(Table1[[#This Row],[DUT Adj Read]]&lt;Table1[[#This Row],[High Tol]],"Pass","Fail")))</f>
        <v>Fail</v>
      </c>
      <c r="AF967" s="1" t="str">
        <f>IF(AND(Table1[[#This Row],[Spec Type2]]="N/A",Table1[[#This Row],[DUT Adj Read]]="N/A",Table1[[#This Row],[Std Adj Read]]="N/A"),"N/A",IF(Table1[[#This Row],[DUT Adj Read]]="N/A",IF(Table1[[#This Row],[Std Adj Read]]&gt;=Table1[[#This Row],[Low Tol]],"Pass","Fail"),IF(Table1[[#This Row],[DUT Adj Read]]&gt;=Table1[[#This Row],[Low Tol]],"Pass","Fail")))</f>
        <v>Pass</v>
      </c>
      <c r="AG967" s="1" t="str">
        <f>IF(AND(Table1[[#This Row],[Spec Type2]]="N/A",Table1[[#This Row],[DUT Adj Read]]="N/A",Table1[[#This Row],[Std Adj Read]]="N/A"),"N/A",IF(Table1[[#This Row],[DUT Adj Read]]="N/A",IF(Table1[[#This Row],[Std Adj Read]]&lt;=Table1[[#This Row],[High Tol]],"Pass","Fail"),IF(Table1[[#This Row],[DUT Adj Read]]&lt;=Table1[[#This Row],[High Tol]],"Pass","Fail")))</f>
        <v>Fail</v>
      </c>
      <c r="AH9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7" s="1" t="b">
        <v>0</v>
      </c>
      <c r="AN967" s="1" t="b">
        <v>0</v>
      </c>
      <c r="AO967" s="1" t="b">
        <v>0</v>
      </c>
    </row>
    <row r="968" spans="1:41" x14ac:dyDescent="0.25">
      <c r="A968" s="10"/>
      <c r="B968" s="10"/>
      <c r="C968" s="10"/>
      <c r="D968" s="10"/>
      <c r="E968" s="10"/>
      <c r="F968" s="10"/>
      <c r="G968" s="10"/>
      <c r="H968" s="10"/>
      <c r="I968" s="1" t="str">
        <f t="shared" si="42"/>
        <v/>
      </c>
      <c r="J968" s="1" t="s">
        <v>35</v>
      </c>
      <c r="K968" s="1" t="str">
        <f t="shared" si="43"/>
        <v/>
      </c>
      <c r="L968" s="1" t="str">
        <f t="shared" si="44"/>
        <v/>
      </c>
      <c r="M968" s="1">
        <f>IF(OR(Table1[[#This Row],[Std Nom]]="",Table1[[#This Row],[Std Read]]=""),0,Table1[[#This Row],[Std Nom]]-Table1[[#This Row],[Std Read]])</f>
        <v>0</v>
      </c>
      <c r="N968" s="1">
        <f>IF(Calculations!$F$5="ACCREDITED 17025 WITH UNCERTAINTIES",$N$10,0)</f>
        <v>0</v>
      </c>
      <c r="Q968" s="1">
        <f>Table1[[#This Row],[High Tol]]-Table1[[#This Row],[Low Tol]]</f>
        <v>0</v>
      </c>
      <c r="R968" s="1">
        <f>2*Table1[[#This Row],[Std Error]]</f>
        <v>0</v>
      </c>
      <c r="S968" s="1" t="str">
        <f>IF(Table1[[#This Row],[High Tol]]="","N/A",IFERROR(ABS(Table1[[#This Row],[Tol Span]]/Table1[[#This Row],[Error Span]]),"N/A"))</f>
        <v>N/A</v>
      </c>
      <c r="T968" s="1" t="str">
        <f>IF(OR(Table1[[#This Row],[Low Tol]]="",Table1[[#This Row],[High Tol]]=""),"Needs Analysis",IF(Table1[[#This Row],[Ratio]]&gt;=4,"Not Significant",IF(Table1[[#This Row],[Ratio]]&gt;=2,"Semi-Significant","Significant")))</f>
        <v>Needs Analysis</v>
      </c>
      <c r="W968" s="1">
        <f>IF(Table1[[#This Row],[Cal Type]]&lt;&gt;"ACCREDITED 17025 WITH UNCERTAINTIES",0,"")</f>
        <v>0</v>
      </c>
      <c r="X968" s="1" t="str">
        <f>IF(Table1[[#This Row],[DUT Read]]="","N/A",Table1[[#This Row],[Std Error]]+Table1[[#This Row],[DUT Read]]+Table1[[#This Row],[DUT Ucty]])</f>
        <v>N/A</v>
      </c>
      <c r="Y968" s="1" t="str">
        <f>IF(Table1[[#This Row],[Std Read]]="","N/A",Table1[[#This Row],[Std Read]]+Table1[[#This Row],[Std Ucty]])</f>
        <v>N/A</v>
      </c>
      <c r="Z9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8" s="1" t="str">
        <f>IF(Table1[[#This Row],[Spec Type]]="","N/A",Table1[[#This Row],[Spec Type]])</f>
        <v>±</v>
      </c>
      <c r="AC968" s="1" t="str">
        <f>IF(Table1[[#This Row],[Spec Type2]]="N/A","N/A",IF(AND(Table1[[#This Row],[DUT Adj Read]]&gt;=Table1[[#This Row],[Low Tol]],Table1[[#This Row],[DUT Adj Read]]&lt;=Table1[[#This Row],[High Tol]]),"Pass","Fail"))</f>
        <v>Fail</v>
      </c>
      <c r="AD968" s="1" t="str">
        <f>IF(AND(Table1[[#This Row],[Spec Type2]]="N/A",Table1[[#This Row],[DUT Adj Read]]="N/A",Table1[[#This Row],[Std Adj Read]]="N/A"),"N/A",IF(Table1[[#This Row],[DUT Adj Read]]="N/A",IF(Table1[[#This Row],[Std Adj Read]]&gt;Table1[[#This Row],[Low Tol]],"Pass","Fail"),IF(Table1[[#This Row],[DUT Adj Read]]&gt;Table1[[#This Row],[Low Tol]],"Pass","Fail")))</f>
        <v>Pass</v>
      </c>
      <c r="AE968" s="1" t="str">
        <f>IF(AND(Table1[[#This Row],[Spec Type2]]="N/A",Table1[[#This Row],[DUT Adj Read]]="N/A",Table1[[#This Row],[Std Adj Read]]="N/A"),"N/A",IF(Table1[[#This Row],[DUT Adj Read]]="N/A",IF(Table1[[#This Row],[Std Adj Read]]&lt;Table1[[#This Row],[High Tol]],"Pass","Fail"),IF(Table1[[#This Row],[DUT Adj Read]]&lt;Table1[[#This Row],[High Tol]],"Pass","Fail")))</f>
        <v>Fail</v>
      </c>
      <c r="AF968" s="1" t="str">
        <f>IF(AND(Table1[[#This Row],[Spec Type2]]="N/A",Table1[[#This Row],[DUT Adj Read]]="N/A",Table1[[#This Row],[Std Adj Read]]="N/A"),"N/A",IF(Table1[[#This Row],[DUT Adj Read]]="N/A",IF(Table1[[#This Row],[Std Adj Read]]&gt;=Table1[[#This Row],[Low Tol]],"Pass","Fail"),IF(Table1[[#This Row],[DUT Adj Read]]&gt;=Table1[[#This Row],[Low Tol]],"Pass","Fail")))</f>
        <v>Pass</v>
      </c>
      <c r="AG968" s="1" t="str">
        <f>IF(AND(Table1[[#This Row],[Spec Type2]]="N/A",Table1[[#This Row],[DUT Adj Read]]="N/A",Table1[[#This Row],[Std Adj Read]]="N/A"),"N/A",IF(Table1[[#This Row],[DUT Adj Read]]="N/A",IF(Table1[[#This Row],[Std Adj Read]]&lt;=Table1[[#This Row],[High Tol]],"Pass","Fail"),IF(Table1[[#This Row],[DUT Adj Read]]&lt;=Table1[[#This Row],[High Tol]],"Pass","Fail")))</f>
        <v>Fail</v>
      </c>
      <c r="AH9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8" s="1" t="b">
        <v>0</v>
      </c>
      <c r="AN968" s="1" t="b">
        <v>0</v>
      </c>
      <c r="AO968" s="1" t="b">
        <v>0</v>
      </c>
    </row>
    <row r="969" spans="1:41" x14ac:dyDescent="0.25">
      <c r="A969" s="10"/>
      <c r="B969" s="10"/>
      <c r="C969" s="10"/>
      <c r="D969" s="10"/>
      <c r="E969" s="10"/>
      <c r="F969" s="10"/>
      <c r="G969" s="10"/>
      <c r="H969" s="10"/>
      <c r="I969" s="1" t="str">
        <f t="shared" si="42"/>
        <v/>
      </c>
      <c r="J969" s="1" t="s">
        <v>35</v>
      </c>
      <c r="K969" s="1" t="str">
        <f t="shared" si="43"/>
        <v/>
      </c>
      <c r="L969" s="1" t="str">
        <f t="shared" si="44"/>
        <v/>
      </c>
      <c r="M969" s="1">
        <f>IF(OR(Table1[[#This Row],[Std Nom]]="",Table1[[#This Row],[Std Read]]=""),0,Table1[[#This Row],[Std Nom]]-Table1[[#This Row],[Std Read]])</f>
        <v>0</v>
      </c>
      <c r="N969" s="1">
        <f>IF(Calculations!$F$5="ACCREDITED 17025 WITH UNCERTAINTIES",$N$10,0)</f>
        <v>0</v>
      </c>
      <c r="Q969" s="1">
        <f>Table1[[#This Row],[High Tol]]-Table1[[#This Row],[Low Tol]]</f>
        <v>0</v>
      </c>
      <c r="R969" s="1">
        <f>2*Table1[[#This Row],[Std Error]]</f>
        <v>0</v>
      </c>
      <c r="S969" s="1" t="str">
        <f>IF(Table1[[#This Row],[High Tol]]="","N/A",IFERROR(ABS(Table1[[#This Row],[Tol Span]]/Table1[[#This Row],[Error Span]]),"N/A"))</f>
        <v>N/A</v>
      </c>
      <c r="T969" s="1" t="str">
        <f>IF(OR(Table1[[#This Row],[Low Tol]]="",Table1[[#This Row],[High Tol]]=""),"Needs Analysis",IF(Table1[[#This Row],[Ratio]]&gt;=4,"Not Significant",IF(Table1[[#This Row],[Ratio]]&gt;=2,"Semi-Significant","Significant")))</f>
        <v>Needs Analysis</v>
      </c>
      <c r="W969" s="1">
        <f>IF(Table1[[#This Row],[Cal Type]]&lt;&gt;"ACCREDITED 17025 WITH UNCERTAINTIES",0,"")</f>
        <v>0</v>
      </c>
      <c r="X969" s="1" t="str">
        <f>IF(Table1[[#This Row],[DUT Read]]="","N/A",Table1[[#This Row],[Std Error]]+Table1[[#This Row],[DUT Read]]+Table1[[#This Row],[DUT Ucty]])</f>
        <v>N/A</v>
      </c>
      <c r="Y969" s="1" t="str">
        <f>IF(Table1[[#This Row],[Std Read]]="","N/A",Table1[[#This Row],[Std Read]]+Table1[[#This Row],[Std Ucty]])</f>
        <v>N/A</v>
      </c>
      <c r="Z9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69" s="1" t="str">
        <f>IF(Table1[[#This Row],[Spec Type]]="","N/A",Table1[[#This Row],[Spec Type]])</f>
        <v>±</v>
      </c>
      <c r="AC969" s="1" t="str">
        <f>IF(Table1[[#This Row],[Spec Type2]]="N/A","N/A",IF(AND(Table1[[#This Row],[DUT Adj Read]]&gt;=Table1[[#This Row],[Low Tol]],Table1[[#This Row],[DUT Adj Read]]&lt;=Table1[[#This Row],[High Tol]]),"Pass","Fail"))</f>
        <v>Fail</v>
      </c>
      <c r="AD969" s="1" t="str">
        <f>IF(AND(Table1[[#This Row],[Spec Type2]]="N/A",Table1[[#This Row],[DUT Adj Read]]="N/A",Table1[[#This Row],[Std Adj Read]]="N/A"),"N/A",IF(Table1[[#This Row],[DUT Adj Read]]="N/A",IF(Table1[[#This Row],[Std Adj Read]]&gt;Table1[[#This Row],[Low Tol]],"Pass","Fail"),IF(Table1[[#This Row],[DUT Adj Read]]&gt;Table1[[#This Row],[Low Tol]],"Pass","Fail")))</f>
        <v>Pass</v>
      </c>
      <c r="AE969" s="1" t="str">
        <f>IF(AND(Table1[[#This Row],[Spec Type2]]="N/A",Table1[[#This Row],[DUT Adj Read]]="N/A",Table1[[#This Row],[Std Adj Read]]="N/A"),"N/A",IF(Table1[[#This Row],[DUT Adj Read]]="N/A",IF(Table1[[#This Row],[Std Adj Read]]&lt;Table1[[#This Row],[High Tol]],"Pass","Fail"),IF(Table1[[#This Row],[DUT Adj Read]]&lt;Table1[[#This Row],[High Tol]],"Pass","Fail")))</f>
        <v>Fail</v>
      </c>
      <c r="AF969" s="1" t="str">
        <f>IF(AND(Table1[[#This Row],[Spec Type2]]="N/A",Table1[[#This Row],[DUT Adj Read]]="N/A",Table1[[#This Row],[Std Adj Read]]="N/A"),"N/A",IF(Table1[[#This Row],[DUT Adj Read]]="N/A",IF(Table1[[#This Row],[Std Adj Read]]&gt;=Table1[[#This Row],[Low Tol]],"Pass","Fail"),IF(Table1[[#This Row],[DUT Adj Read]]&gt;=Table1[[#This Row],[Low Tol]],"Pass","Fail")))</f>
        <v>Pass</v>
      </c>
      <c r="AG969" s="1" t="str">
        <f>IF(AND(Table1[[#This Row],[Spec Type2]]="N/A",Table1[[#This Row],[DUT Adj Read]]="N/A",Table1[[#This Row],[Std Adj Read]]="N/A"),"N/A",IF(Table1[[#This Row],[DUT Adj Read]]="N/A",IF(Table1[[#This Row],[Std Adj Read]]&lt;=Table1[[#This Row],[High Tol]],"Pass","Fail"),IF(Table1[[#This Row],[DUT Adj Read]]&lt;=Table1[[#This Row],[High Tol]],"Pass","Fail")))</f>
        <v>Fail</v>
      </c>
      <c r="AH9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69" s="1" t="b">
        <v>0</v>
      </c>
      <c r="AN969" s="1" t="b">
        <v>0</v>
      </c>
      <c r="AO969" s="1" t="b">
        <v>0</v>
      </c>
    </row>
    <row r="970" spans="1:41" x14ac:dyDescent="0.25">
      <c r="A970" s="10"/>
      <c r="B970" s="10"/>
      <c r="C970" s="10"/>
      <c r="D970" s="10"/>
      <c r="E970" s="10"/>
      <c r="F970" s="10"/>
      <c r="G970" s="10"/>
      <c r="H970" s="10"/>
      <c r="I970" s="1" t="str">
        <f t="shared" si="42"/>
        <v/>
      </c>
      <c r="J970" s="1" t="s">
        <v>35</v>
      </c>
      <c r="K970" s="1" t="str">
        <f t="shared" si="43"/>
        <v/>
      </c>
      <c r="L970" s="1" t="str">
        <f t="shared" si="44"/>
        <v/>
      </c>
      <c r="M970" s="1">
        <f>IF(OR(Table1[[#This Row],[Std Nom]]="",Table1[[#This Row],[Std Read]]=""),0,Table1[[#This Row],[Std Nom]]-Table1[[#This Row],[Std Read]])</f>
        <v>0</v>
      </c>
      <c r="N970" s="1">
        <f>IF(Calculations!$F$5="ACCREDITED 17025 WITH UNCERTAINTIES",$N$10,0)</f>
        <v>0</v>
      </c>
      <c r="Q970" s="1">
        <f>Table1[[#This Row],[High Tol]]-Table1[[#This Row],[Low Tol]]</f>
        <v>0</v>
      </c>
      <c r="R970" s="1">
        <f>2*Table1[[#This Row],[Std Error]]</f>
        <v>0</v>
      </c>
      <c r="S970" s="1" t="str">
        <f>IF(Table1[[#This Row],[High Tol]]="","N/A",IFERROR(ABS(Table1[[#This Row],[Tol Span]]/Table1[[#This Row],[Error Span]]),"N/A"))</f>
        <v>N/A</v>
      </c>
      <c r="T970" s="1" t="str">
        <f>IF(OR(Table1[[#This Row],[Low Tol]]="",Table1[[#This Row],[High Tol]]=""),"Needs Analysis",IF(Table1[[#This Row],[Ratio]]&gt;=4,"Not Significant",IF(Table1[[#This Row],[Ratio]]&gt;=2,"Semi-Significant","Significant")))</f>
        <v>Needs Analysis</v>
      </c>
      <c r="W970" s="1">
        <f>IF(Table1[[#This Row],[Cal Type]]&lt;&gt;"ACCREDITED 17025 WITH UNCERTAINTIES",0,"")</f>
        <v>0</v>
      </c>
      <c r="X970" s="1" t="str">
        <f>IF(Table1[[#This Row],[DUT Read]]="","N/A",Table1[[#This Row],[Std Error]]+Table1[[#This Row],[DUT Read]]+Table1[[#This Row],[DUT Ucty]])</f>
        <v>N/A</v>
      </c>
      <c r="Y970" s="1" t="str">
        <f>IF(Table1[[#This Row],[Std Read]]="","N/A",Table1[[#This Row],[Std Read]]+Table1[[#This Row],[Std Ucty]])</f>
        <v>N/A</v>
      </c>
      <c r="Z9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0" s="1" t="str">
        <f>IF(Table1[[#This Row],[Spec Type]]="","N/A",Table1[[#This Row],[Spec Type]])</f>
        <v>±</v>
      </c>
      <c r="AC970" s="1" t="str">
        <f>IF(Table1[[#This Row],[Spec Type2]]="N/A","N/A",IF(AND(Table1[[#This Row],[DUT Adj Read]]&gt;=Table1[[#This Row],[Low Tol]],Table1[[#This Row],[DUT Adj Read]]&lt;=Table1[[#This Row],[High Tol]]),"Pass","Fail"))</f>
        <v>Fail</v>
      </c>
      <c r="AD970" s="1" t="str">
        <f>IF(AND(Table1[[#This Row],[Spec Type2]]="N/A",Table1[[#This Row],[DUT Adj Read]]="N/A",Table1[[#This Row],[Std Adj Read]]="N/A"),"N/A",IF(Table1[[#This Row],[DUT Adj Read]]="N/A",IF(Table1[[#This Row],[Std Adj Read]]&gt;Table1[[#This Row],[Low Tol]],"Pass","Fail"),IF(Table1[[#This Row],[DUT Adj Read]]&gt;Table1[[#This Row],[Low Tol]],"Pass","Fail")))</f>
        <v>Pass</v>
      </c>
      <c r="AE970" s="1" t="str">
        <f>IF(AND(Table1[[#This Row],[Spec Type2]]="N/A",Table1[[#This Row],[DUT Adj Read]]="N/A",Table1[[#This Row],[Std Adj Read]]="N/A"),"N/A",IF(Table1[[#This Row],[DUT Adj Read]]="N/A",IF(Table1[[#This Row],[Std Adj Read]]&lt;Table1[[#This Row],[High Tol]],"Pass","Fail"),IF(Table1[[#This Row],[DUT Adj Read]]&lt;Table1[[#This Row],[High Tol]],"Pass","Fail")))</f>
        <v>Fail</v>
      </c>
      <c r="AF970" s="1" t="str">
        <f>IF(AND(Table1[[#This Row],[Spec Type2]]="N/A",Table1[[#This Row],[DUT Adj Read]]="N/A",Table1[[#This Row],[Std Adj Read]]="N/A"),"N/A",IF(Table1[[#This Row],[DUT Adj Read]]="N/A",IF(Table1[[#This Row],[Std Adj Read]]&gt;=Table1[[#This Row],[Low Tol]],"Pass","Fail"),IF(Table1[[#This Row],[DUT Adj Read]]&gt;=Table1[[#This Row],[Low Tol]],"Pass","Fail")))</f>
        <v>Pass</v>
      </c>
      <c r="AG970" s="1" t="str">
        <f>IF(AND(Table1[[#This Row],[Spec Type2]]="N/A",Table1[[#This Row],[DUT Adj Read]]="N/A",Table1[[#This Row],[Std Adj Read]]="N/A"),"N/A",IF(Table1[[#This Row],[DUT Adj Read]]="N/A",IF(Table1[[#This Row],[Std Adj Read]]&lt;=Table1[[#This Row],[High Tol]],"Pass","Fail"),IF(Table1[[#This Row],[DUT Adj Read]]&lt;=Table1[[#This Row],[High Tol]],"Pass","Fail")))</f>
        <v>Fail</v>
      </c>
      <c r="AH9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0" s="1" t="b">
        <v>0</v>
      </c>
      <c r="AN970" s="1" t="b">
        <v>0</v>
      </c>
      <c r="AO970" s="1" t="b">
        <v>0</v>
      </c>
    </row>
    <row r="971" spans="1:41" x14ac:dyDescent="0.25">
      <c r="A971" s="10"/>
      <c r="B971" s="10"/>
      <c r="C971" s="10"/>
      <c r="D971" s="10"/>
      <c r="E971" s="10"/>
      <c r="F971" s="10"/>
      <c r="G971" s="10"/>
      <c r="H971" s="10"/>
      <c r="I971" s="1" t="str">
        <f t="shared" ref="I971:I1034" si="45">IF($I$10="","",$I$10)</f>
        <v/>
      </c>
      <c r="J971" s="1" t="s">
        <v>35</v>
      </c>
      <c r="K971" s="1" t="str">
        <f t="shared" ref="K971:K1034" si="46">IF($K$10="","",$K$10)</f>
        <v/>
      </c>
      <c r="L971" s="1" t="str">
        <f t="shared" ref="L971:L1034" si="47">IF($L$10="","",$L$10)</f>
        <v/>
      </c>
      <c r="M971" s="1">
        <f>IF(OR(Table1[[#This Row],[Std Nom]]="",Table1[[#This Row],[Std Read]]=""),0,Table1[[#This Row],[Std Nom]]-Table1[[#This Row],[Std Read]])</f>
        <v>0</v>
      </c>
      <c r="N971" s="1">
        <f>IF(Calculations!$F$5="ACCREDITED 17025 WITH UNCERTAINTIES",$N$10,0)</f>
        <v>0</v>
      </c>
      <c r="Q971" s="1">
        <f>Table1[[#This Row],[High Tol]]-Table1[[#This Row],[Low Tol]]</f>
        <v>0</v>
      </c>
      <c r="R971" s="1">
        <f>2*Table1[[#This Row],[Std Error]]</f>
        <v>0</v>
      </c>
      <c r="S971" s="1" t="str">
        <f>IF(Table1[[#This Row],[High Tol]]="","N/A",IFERROR(ABS(Table1[[#This Row],[Tol Span]]/Table1[[#This Row],[Error Span]]),"N/A"))</f>
        <v>N/A</v>
      </c>
      <c r="T971" s="1" t="str">
        <f>IF(OR(Table1[[#This Row],[Low Tol]]="",Table1[[#This Row],[High Tol]]=""),"Needs Analysis",IF(Table1[[#This Row],[Ratio]]&gt;=4,"Not Significant",IF(Table1[[#This Row],[Ratio]]&gt;=2,"Semi-Significant","Significant")))</f>
        <v>Needs Analysis</v>
      </c>
      <c r="W971" s="1">
        <f>IF(Table1[[#This Row],[Cal Type]]&lt;&gt;"ACCREDITED 17025 WITH UNCERTAINTIES",0,"")</f>
        <v>0</v>
      </c>
      <c r="X971" s="1" t="str">
        <f>IF(Table1[[#This Row],[DUT Read]]="","N/A",Table1[[#This Row],[Std Error]]+Table1[[#This Row],[DUT Read]]+Table1[[#This Row],[DUT Ucty]])</f>
        <v>N/A</v>
      </c>
      <c r="Y971" s="1" t="str">
        <f>IF(Table1[[#This Row],[Std Read]]="","N/A",Table1[[#This Row],[Std Read]]+Table1[[#This Row],[Std Ucty]])</f>
        <v>N/A</v>
      </c>
      <c r="Z9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1" s="1" t="str">
        <f>IF(Table1[[#This Row],[Spec Type]]="","N/A",Table1[[#This Row],[Spec Type]])</f>
        <v>±</v>
      </c>
      <c r="AC971" s="1" t="str">
        <f>IF(Table1[[#This Row],[Spec Type2]]="N/A","N/A",IF(AND(Table1[[#This Row],[DUT Adj Read]]&gt;=Table1[[#This Row],[Low Tol]],Table1[[#This Row],[DUT Adj Read]]&lt;=Table1[[#This Row],[High Tol]]),"Pass","Fail"))</f>
        <v>Fail</v>
      </c>
      <c r="AD971" s="1" t="str">
        <f>IF(AND(Table1[[#This Row],[Spec Type2]]="N/A",Table1[[#This Row],[DUT Adj Read]]="N/A",Table1[[#This Row],[Std Adj Read]]="N/A"),"N/A",IF(Table1[[#This Row],[DUT Adj Read]]="N/A",IF(Table1[[#This Row],[Std Adj Read]]&gt;Table1[[#This Row],[Low Tol]],"Pass","Fail"),IF(Table1[[#This Row],[DUT Adj Read]]&gt;Table1[[#This Row],[Low Tol]],"Pass","Fail")))</f>
        <v>Pass</v>
      </c>
      <c r="AE971" s="1" t="str">
        <f>IF(AND(Table1[[#This Row],[Spec Type2]]="N/A",Table1[[#This Row],[DUT Adj Read]]="N/A",Table1[[#This Row],[Std Adj Read]]="N/A"),"N/A",IF(Table1[[#This Row],[DUT Adj Read]]="N/A",IF(Table1[[#This Row],[Std Adj Read]]&lt;Table1[[#This Row],[High Tol]],"Pass","Fail"),IF(Table1[[#This Row],[DUT Adj Read]]&lt;Table1[[#This Row],[High Tol]],"Pass","Fail")))</f>
        <v>Fail</v>
      </c>
      <c r="AF971" s="1" t="str">
        <f>IF(AND(Table1[[#This Row],[Spec Type2]]="N/A",Table1[[#This Row],[DUT Adj Read]]="N/A",Table1[[#This Row],[Std Adj Read]]="N/A"),"N/A",IF(Table1[[#This Row],[DUT Adj Read]]="N/A",IF(Table1[[#This Row],[Std Adj Read]]&gt;=Table1[[#This Row],[Low Tol]],"Pass","Fail"),IF(Table1[[#This Row],[DUT Adj Read]]&gt;=Table1[[#This Row],[Low Tol]],"Pass","Fail")))</f>
        <v>Pass</v>
      </c>
      <c r="AG971" s="1" t="str">
        <f>IF(AND(Table1[[#This Row],[Spec Type2]]="N/A",Table1[[#This Row],[DUT Adj Read]]="N/A",Table1[[#This Row],[Std Adj Read]]="N/A"),"N/A",IF(Table1[[#This Row],[DUT Adj Read]]="N/A",IF(Table1[[#This Row],[Std Adj Read]]&lt;=Table1[[#This Row],[High Tol]],"Pass","Fail"),IF(Table1[[#This Row],[DUT Adj Read]]&lt;=Table1[[#This Row],[High Tol]],"Pass","Fail")))</f>
        <v>Fail</v>
      </c>
      <c r="AH9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1" s="1" t="b">
        <v>0</v>
      </c>
      <c r="AN971" s="1" t="b">
        <v>0</v>
      </c>
      <c r="AO971" s="1" t="b">
        <v>0</v>
      </c>
    </row>
    <row r="972" spans="1:41" x14ac:dyDescent="0.25">
      <c r="A972" s="10"/>
      <c r="B972" s="10"/>
      <c r="C972" s="10"/>
      <c r="D972" s="10"/>
      <c r="E972" s="10"/>
      <c r="F972" s="10"/>
      <c r="G972" s="10"/>
      <c r="H972" s="10"/>
      <c r="I972" s="1" t="str">
        <f t="shared" si="45"/>
        <v/>
      </c>
      <c r="J972" s="1" t="s">
        <v>35</v>
      </c>
      <c r="K972" s="1" t="str">
        <f t="shared" si="46"/>
        <v/>
      </c>
      <c r="L972" s="1" t="str">
        <f t="shared" si="47"/>
        <v/>
      </c>
      <c r="M972" s="1">
        <f>IF(OR(Table1[[#This Row],[Std Nom]]="",Table1[[#This Row],[Std Read]]=""),0,Table1[[#This Row],[Std Nom]]-Table1[[#This Row],[Std Read]])</f>
        <v>0</v>
      </c>
      <c r="N972" s="1">
        <f>IF(Calculations!$F$5="ACCREDITED 17025 WITH UNCERTAINTIES",$N$10,0)</f>
        <v>0</v>
      </c>
      <c r="Q972" s="1">
        <f>Table1[[#This Row],[High Tol]]-Table1[[#This Row],[Low Tol]]</f>
        <v>0</v>
      </c>
      <c r="R972" s="1">
        <f>2*Table1[[#This Row],[Std Error]]</f>
        <v>0</v>
      </c>
      <c r="S972" s="1" t="str">
        <f>IF(Table1[[#This Row],[High Tol]]="","N/A",IFERROR(ABS(Table1[[#This Row],[Tol Span]]/Table1[[#This Row],[Error Span]]),"N/A"))</f>
        <v>N/A</v>
      </c>
      <c r="T972" s="1" t="str">
        <f>IF(OR(Table1[[#This Row],[Low Tol]]="",Table1[[#This Row],[High Tol]]=""),"Needs Analysis",IF(Table1[[#This Row],[Ratio]]&gt;=4,"Not Significant",IF(Table1[[#This Row],[Ratio]]&gt;=2,"Semi-Significant","Significant")))</f>
        <v>Needs Analysis</v>
      </c>
      <c r="W972" s="1">
        <f>IF(Table1[[#This Row],[Cal Type]]&lt;&gt;"ACCREDITED 17025 WITH UNCERTAINTIES",0,"")</f>
        <v>0</v>
      </c>
      <c r="X972" s="1" t="str">
        <f>IF(Table1[[#This Row],[DUT Read]]="","N/A",Table1[[#This Row],[Std Error]]+Table1[[#This Row],[DUT Read]]+Table1[[#This Row],[DUT Ucty]])</f>
        <v>N/A</v>
      </c>
      <c r="Y972" s="1" t="str">
        <f>IF(Table1[[#This Row],[Std Read]]="","N/A",Table1[[#This Row],[Std Read]]+Table1[[#This Row],[Std Ucty]])</f>
        <v>N/A</v>
      </c>
      <c r="Z9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2" s="1" t="str">
        <f>IF(Table1[[#This Row],[Spec Type]]="","N/A",Table1[[#This Row],[Spec Type]])</f>
        <v>±</v>
      </c>
      <c r="AC972" s="1" t="str">
        <f>IF(Table1[[#This Row],[Spec Type2]]="N/A","N/A",IF(AND(Table1[[#This Row],[DUT Adj Read]]&gt;=Table1[[#This Row],[Low Tol]],Table1[[#This Row],[DUT Adj Read]]&lt;=Table1[[#This Row],[High Tol]]),"Pass","Fail"))</f>
        <v>Fail</v>
      </c>
      <c r="AD972" s="1" t="str">
        <f>IF(AND(Table1[[#This Row],[Spec Type2]]="N/A",Table1[[#This Row],[DUT Adj Read]]="N/A",Table1[[#This Row],[Std Adj Read]]="N/A"),"N/A",IF(Table1[[#This Row],[DUT Adj Read]]="N/A",IF(Table1[[#This Row],[Std Adj Read]]&gt;Table1[[#This Row],[Low Tol]],"Pass","Fail"),IF(Table1[[#This Row],[DUT Adj Read]]&gt;Table1[[#This Row],[Low Tol]],"Pass","Fail")))</f>
        <v>Pass</v>
      </c>
      <c r="AE972" s="1" t="str">
        <f>IF(AND(Table1[[#This Row],[Spec Type2]]="N/A",Table1[[#This Row],[DUT Adj Read]]="N/A",Table1[[#This Row],[Std Adj Read]]="N/A"),"N/A",IF(Table1[[#This Row],[DUT Adj Read]]="N/A",IF(Table1[[#This Row],[Std Adj Read]]&lt;Table1[[#This Row],[High Tol]],"Pass","Fail"),IF(Table1[[#This Row],[DUT Adj Read]]&lt;Table1[[#This Row],[High Tol]],"Pass","Fail")))</f>
        <v>Fail</v>
      </c>
      <c r="AF972" s="1" t="str">
        <f>IF(AND(Table1[[#This Row],[Spec Type2]]="N/A",Table1[[#This Row],[DUT Adj Read]]="N/A",Table1[[#This Row],[Std Adj Read]]="N/A"),"N/A",IF(Table1[[#This Row],[DUT Adj Read]]="N/A",IF(Table1[[#This Row],[Std Adj Read]]&gt;=Table1[[#This Row],[Low Tol]],"Pass","Fail"),IF(Table1[[#This Row],[DUT Adj Read]]&gt;=Table1[[#This Row],[Low Tol]],"Pass","Fail")))</f>
        <v>Pass</v>
      </c>
      <c r="AG972" s="1" t="str">
        <f>IF(AND(Table1[[#This Row],[Spec Type2]]="N/A",Table1[[#This Row],[DUT Adj Read]]="N/A",Table1[[#This Row],[Std Adj Read]]="N/A"),"N/A",IF(Table1[[#This Row],[DUT Adj Read]]="N/A",IF(Table1[[#This Row],[Std Adj Read]]&lt;=Table1[[#This Row],[High Tol]],"Pass","Fail"),IF(Table1[[#This Row],[DUT Adj Read]]&lt;=Table1[[#This Row],[High Tol]],"Pass","Fail")))</f>
        <v>Fail</v>
      </c>
      <c r="AH9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2" s="1" t="b">
        <v>0</v>
      </c>
      <c r="AN972" s="1" t="b">
        <v>0</v>
      </c>
      <c r="AO972" s="1" t="b">
        <v>0</v>
      </c>
    </row>
    <row r="973" spans="1:41" x14ac:dyDescent="0.25">
      <c r="A973" s="10"/>
      <c r="B973" s="10"/>
      <c r="C973" s="10"/>
      <c r="D973" s="10"/>
      <c r="E973" s="10"/>
      <c r="F973" s="10"/>
      <c r="G973" s="10"/>
      <c r="H973" s="10"/>
      <c r="I973" s="1" t="str">
        <f t="shared" si="45"/>
        <v/>
      </c>
      <c r="J973" s="1" t="s">
        <v>35</v>
      </c>
      <c r="K973" s="1" t="str">
        <f t="shared" si="46"/>
        <v/>
      </c>
      <c r="L973" s="1" t="str">
        <f t="shared" si="47"/>
        <v/>
      </c>
      <c r="M973" s="1">
        <f>IF(OR(Table1[[#This Row],[Std Nom]]="",Table1[[#This Row],[Std Read]]=""),0,Table1[[#This Row],[Std Nom]]-Table1[[#This Row],[Std Read]])</f>
        <v>0</v>
      </c>
      <c r="N973" s="1">
        <f>IF(Calculations!$F$5="ACCREDITED 17025 WITH UNCERTAINTIES",$N$10,0)</f>
        <v>0</v>
      </c>
      <c r="Q973" s="1">
        <f>Table1[[#This Row],[High Tol]]-Table1[[#This Row],[Low Tol]]</f>
        <v>0</v>
      </c>
      <c r="R973" s="1">
        <f>2*Table1[[#This Row],[Std Error]]</f>
        <v>0</v>
      </c>
      <c r="S973" s="1" t="str">
        <f>IF(Table1[[#This Row],[High Tol]]="","N/A",IFERROR(ABS(Table1[[#This Row],[Tol Span]]/Table1[[#This Row],[Error Span]]),"N/A"))</f>
        <v>N/A</v>
      </c>
      <c r="T973" s="1" t="str">
        <f>IF(OR(Table1[[#This Row],[Low Tol]]="",Table1[[#This Row],[High Tol]]=""),"Needs Analysis",IF(Table1[[#This Row],[Ratio]]&gt;=4,"Not Significant",IF(Table1[[#This Row],[Ratio]]&gt;=2,"Semi-Significant","Significant")))</f>
        <v>Needs Analysis</v>
      </c>
      <c r="W973" s="1">
        <f>IF(Table1[[#This Row],[Cal Type]]&lt;&gt;"ACCREDITED 17025 WITH UNCERTAINTIES",0,"")</f>
        <v>0</v>
      </c>
      <c r="X973" s="1" t="str">
        <f>IF(Table1[[#This Row],[DUT Read]]="","N/A",Table1[[#This Row],[Std Error]]+Table1[[#This Row],[DUT Read]]+Table1[[#This Row],[DUT Ucty]])</f>
        <v>N/A</v>
      </c>
      <c r="Y973" s="1" t="str">
        <f>IF(Table1[[#This Row],[Std Read]]="","N/A",Table1[[#This Row],[Std Read]]+Table1[[#This Row],[Std Ucty]])</f>
        <v>N/A</v>
      </c>
      <c r="Z9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3" s="1" t="str">
        <f>IF(Table1[[#This Row],[Spec Type]]="","N/A",Table1[[#This Row],[Spec Type]])</f>
        <v>±</v>
      </c>
      <c r="AC973" s="1" t="str">
        <f>IF(Table1[[#This Row],[Spec Type2]]="N/A","N/A",IF(AND(Table1[[#This Row],[DUT Adj Read]]&gt;=Table1[[#This Row],[Low Tol]],Table1[[#This Row],[DUT Adj Read]]&lt;=Table1[[#This Row],[High Tol]]),"Pass","Fail"))</f>
        <v>Fail</v>
      </c>
      <c r="AD973" s="1" t="str">
        <f>IF(AND(Table1[[#This Row],[Spec Type2]]="N/A",Table1[[#This Row],[DUT Adj Read]]="N/A",Table1[[#This Row],[Std Adj Read]]="N/A"),"N/A",IF(Table1[[#This Row],[DUT Adj Read]]="N/A",IF(Table1[[#This Row],[Std Adj Read]]&gt;Table1[[#This Row],[Low Tol]],"Pass","Fail"),IF(Table1[[#This Row],[DUT Adj Read]]&gt;Table1[[#This Row],[Low Tol]],"Pass","Fail")))</f>
        <v>Pass</v>
      </c>
      <c r="AE973" s="1" t="str">
        <f>IF(AND(Table1[[#This Row],[Spec Type2]]="N/A",Table1[[#This Row],[DUT Adj Read]]="N/A",Table1[[#This Row],[Std Adj Read]]="N/A"),"N/A",IF(Table1[[#This Row],[DUT Adj Read]]="N/A",IF(Table1[[#This Row],[Std Adj Read]]&lt;Table1[[#This Row],[High Tol]],"Pass","Fail"),IF(Table1[[#This Row],[DUT Adj Read]]&lt;Table1[[#This Row],[High Tol]],"Pass","Fail")))</f>
        <v>Fail</v>
      </c>
      <c r="AF973" s="1" t="str">
        <f>IF(AND(Table1[[#This Row],[Spec Type2]]="N/A",Table1[[#This Row],[DUT Adj Read]]="N/A",Table1[[#This Row],[Std Adj Read]]="N/A"),"N/A",IF(Table1[[#This Row],[DUT Adj Read]]="N/A",IF(Table1[[#This Row],[Std Adj Read]]&gt;=Table1[[#This Row],[Low Tol]],"Pass","Fail"),IF(Table1[[#This Row],[DUT Adj Read]]&gt;=Table1[[#This Row],[Low Tol]],"Pass","Fail")))</f>
        <v>Pass</v>
      </c>
      <c r="AG973" s="1" t="str">
        <f>IF(AND(Table1[[#This Row],[Spec Type2]]="N/A",Table1[[#This Row],[DUT Adj Read]]="N/A",Table1[[#This Row],[Std Adj Read]]="N/A"),"N/A",IF(Table1[[#This Row],[DUT Adj Read]]="N/A",IF(Table1[[#This Row],[Std Adj Read]]&lt;=Table1[[#This Row],[High Tol]],"Pass","Fail"),IF(Table1[[#This Row],[DUT Adj Read]]&lt;=Table1[[#This Row],[High Tol]],"Pass","Fail")))</f>
        <v>Fail</v>
      </c>
      <c r="AH9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3" s="1" t="b">
        <v>0</v>
      </c>
      <c r="AN973" s="1" t="b">
        <v>0</v>
      </c>
      <c r="AO973" s="1" t="b">
        <v>0</v>
      </c>
    </row>
    <row r="974" spans="1:41" x14ac:dyDescent="0.25">
      <c r="A974" s="10"/>
      <c r="B974" s="10"/>
      <c r="C974" s="10"/>
      <c r="D974" s="10"/>
      <c r="E974" s="10"/>
      <c r="F974" s="10"/>
      <c r="G974" s="10"/>
      <c r="H974" s="10"/>
      <c r="I974" s="1" t="str">
        <f t="shared" si="45"/>
        <v/>
      </c>
      <c r="J974" s="1" t="s">
        <v>35</v>
      </c>
      <c r="K974" s="1" t="str">
        <f t="shared" si="46"/>
        <v/>
      </c>
      <c r="L974" s="1" t="str">
        <f t="shared" si="47"/>
        <v/>
      </c>
      <c r="M974" s="1">
        <f>IF(OR(Table1[[#This Row],[Std Nom]]="",Table1[[#This Row],[Std Read]]=""),0,Table1[[#This Row],[Std Nom]]-Table1[[#This Row],[Std Read]])</f>
        <v>0</v>
      </c>
      <c r="N974" s="1">
        <f>IF(Calculations!$F$5="ACCREDITED 17025 WITH UNCERTAINTIES",$N$10,0)</f>
        <v>0</v>
      </c>
      <c r="Q974" s="1">
        <f>Table1[[#This Row],[High Tol]]-Table1[[#This Row],[Low Tol]]</f>
        <v>0</v>
      </c>
      <c r="R974" s="1">
        <f>2*Table1[[#This Row],[Std Error]]</f>
        <v>0</v>
      </c>
      <c r="S974" s="1" t="str">
        <f>IF(Table1[[#This Row],[High Tol]]="","N/A",IFERROR(ABS(Table1[[#This Row],[Tol Span]]/Table1[[#This Row],[Error Span]]),"N/A"))</f>
        <v>N/A</v>
      </c>
      <c r="T974" s="1" t="str">
        <f>IF(OR(Table1[[#This Row],[Low Tol]]="",Table1[[#This Row],[High Tol]]=""),"Needs Analysis",IF(Table1[[#This Row],[Ratio]]&gt;=4,"Not Significant",IF(Table1[[#This Row],[Ratio]]&gt;=2,"Semi-Significant","Significant")))</f>
        <v>Needs Analysis</v>
      </c>
      <c r="W974" s="1">
        <f>IF(Table1[[#This Row],[Cal Type]]&lt;&gt;"ACCREDITED 17025 WITH UNCERTAINTIES",0,"")</f>
        <v>0</v>
      </c>
      <c r="X974" s="1" t="str">
        <f>IF(Table1[[#This Row],[DUT Read]]="","N/A",Table1[[#This Row],[Std Error]]+Table1[[#This Row],[DUT Read]]+Table1[[#This Row],[DUT Ucty]])</f>
        <v>N/A</v>
      </c>
      <c r="Y974" s="1" t="str">
        <f>IF(Table1[[#This Row],[Std Read]]="","N/A",Table1[[#This Row],[Std Read]]+Table1[[#This Row],[Std Ucty]])</f>
        <v>N/A</v>
      </c>
      <c r="Z9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4" s="1" t="str">
        <f>IF(Table1[[#This Row],[Spec Type]]="","N/A",Table1[[#This Row],[Spec Type]])</f>
        <v>±</v>
      </c>
      <c r="AC974" s="1" t="str">
        <f>IF(Table1[[#This Row],[Spec Type2]]="N/A","N/A",IF(AND(Table1[[#This Row],[DUT Adj Read]]&gt;=Table1[[#This Row],[Low Tol]],Table1[[#This Row],[DUT Adj Read]]&lt;=Table1[[#This Row],[High Tol]]),"Pass","Fail"))</f>
        <v>Fail</v>
      </c>
      <c r="AD974" s="1" t="str">
        <f>IF(AND(Table1[[#This Row],[Spec Type2]]="N/A",Table1[[#This Row],[DUT Adj Read]]="N/A",Table1[[#This Row],[Std Adj Read]]="N/A"),"N/A",IF(Table1[[#This Row],[DUT Adj Read]]="N/A",IF(Table1[[#This Row],[Std Adj Read]]&gt;Table1[[#This Row],[Low Tol]],"Pass","Fail"),IF(Table1[[#This Row],[DUT Adj Read]]&gt;Table1[[#This Row],[Low Tol]],"Pass","Fail")))</f>
        <v>Pass</v>
      </c>
      <c r="AE974" s="1" t="str">
        <f>IF(AND(Table1[[#This Row],[Spec Type2]]="N/A",Table1[[#This Row],[DUT Adj Read]]="N/A",Table1[[#This Row],[Std Adj Read]]="N/A"),"N/A",IF(Table1[[#This Row],[DUT Adj Read]]="N/A",IF(Table1[[#This Row],[Std Adj Read]]&lt;Table1[[#This Row],[High Tol]],"Pass","Fail"),IF(Table1[[#This Row],[DUT Adj Read]]&lt;Table1[[#This Row],[High Tol]],"Pass","Fail")))</f>
        <v>Fail</v>
      </c>
      <c r="AF974" s="1" t="str">
        <f>IF(AND(Table1[[#This Row],[Spec Type2]]="N/A",Table1[[#This Row],[DUT Adj Read]]="N/A",Table1[[#This Row],[Std Adj Read]]="N/A"),"N/A",IF(Table1[[#This Row],[DUT Adj Read]]="N/A",IF(Table1[[#This Row],[Std Adj Read]]&gt;=Table1[[#This Row],[Low Tol]],"Pass","Fail"),IF(Table1[[#This Row],[DUT Adj Read]]&gt;=Table1[[#This Row],[Low Tol]],"Pass","Fail")))</f>
        <v>Pass</v>
      </c>
      <c r="AG974" s="1" t="str">
        <f>IF(AND(Table1[[#This Row],[Spec Type2]]="N/A",Table1[[#This Row],[DUT Adj Read]]="N/A",Table1[[#This Row],[Std Adj Read]]="N/A"),"N/A",IF(Table1[[#This Row],[DUT Adj Read]]="N/A",IF(Table1[[#This Row],[Std Adj Read]]&lt;=Table1[[#This Row],[High Tol]],"Pass","Fail"),IF(Table1[[#This Row],[DUT Adj Read]]&lt;=Table1[[#This Row],[High Tol]],"Pass","Fail")))</f>
        <v>Fail</v>
      </c>
      <c r="AH9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4" s="1" t="b">
        <v>0</v>
      </c>
      <c r="AN974" s="1" t="b">
        <v>0</v>
      </c>
      <c r="AO974" s="1" t="b">
        <v>0</v>
      </c>
    </row>
    <row r="975" spans="1:41" x14ac:dyDescent="0.25">
      <c r="A975" s="10"/>
      <c r="B975" s="10"/>
      <c r="C975" s="10"/>
      <c r="D975" s="10"/>
      <c r="E975" s="10"/>
      <c r="F975" s="10"/>
      <c r="G975" s="10"/>
      <c r="H975" s="10"/>
      <c r="I975" s="1" t="str">
        <f t="shared" si="45"/>
        <v/>
      </c>
      <c r="J975" s="1" t="s">
        <v>35</v>
      </c>
      <c r="K975" s="1" t="str">
        <f t="shared" si="46"/>
        <v/>
      </c>
      <c r="L975" s="1" t="str">
        <f t="shared" si="47"/>
        <v/>
      </c>
      <c r="M975" s="1">
        <f>IF(OR(Table1[[#This Row],[Std Nom]]="",Table1[[#This Row],[Std Read]]=""),0,Table1[[#This Row],[Std Nom]]-Table1[[#This Row],[Std Read]])</f>
        <v>0</v>
      </c>
      <c r="N975" s="1">
        <f>IF(Calculations!$F$5="ACCREDITED 17025 WITH UNCERTAINTIES",$N$10,0)</f>
        <v>0</v>
      </c>
      <c r="Q975" s="1">
        <f>Table1[[#This Row],[High Tol]]-Table1[[#This Row],[Low Tol]]</f>
        <v>0</v>
      </c>
      <c r="R975" s="1">
        <f>2*Table1[[#This Row],[Std Error]]</f>
        <v>0</v>
      </c>
      <c r="S975" s="1" t="str">
        <f>IF(Table1[[#This Row],[High Tol]]="","N/A",IFERROR(ABS(Table1[[#This Row],[Tol Span]]/Table1[[#This Row],[Error Span]]),"N/A"))</f>
        <v>N/A</v>
      </c>
      <c r="T975" s="1" t="str">
        <f>IF(OR(Table1[[#This Row],[Low Tol]]="",Table1[[#This Row],[High Tol]]=""),"Needs Analysis",IF(Table1[[#This Row],[Ratio]]&gt;=4,"Not Significant",IF(Table1[[#This Row],[Ratio]]&gt;=2,"Semi-Significant","Significant")))</f>
        <v>Needs Analysis</v>
      </c>
      <c r="W975" s="1">
        <f>IF(Table1[[#This Row],[Cal Type]]&lt;&gt;"ACCREDITED 17025 WITH UNCERTAINTIES",0,"")</f>
        <v>0</v>
      </c>
      <c r="X975" s="1" t="str">
        <f>IF(Table1[[#This Row],[DUT Read]]="","N/A",Table1[[#This Row],[Std Error]]+Table1[[#This Row],[DUT Read]]+Table1[[#This Row],[DUT Ucty]])</f>
        <v>N/A</v>
      </c>
      <c r="Y975" s="1" t="str">
        <f>IF(Table1[[#This Row],[Std Read]]="","N/A",Table1[[#This Row],[Std Read]]+Table1[[#This Row],[Std Ucty]])</f>
        <v>N/A</v>
      </c>
      <c r="Z9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5" s="1" t="str">
        <f>IF(Table1[[#This Row],[Spec Type]]="","N/A",Table1[[#This Row],[Spec Type]])</f>
        <v>±</v>
      </c>
      <c r="AC975" s="1" t="str">
        <f>IF(Table1[[#This Row],[Spec Type2]]="N/A","N/A",IF(AND(Table1[[#This Row],[DUT Adj Read]]&gt;=Table1[[#This Row],[Low Tol]],Table1[[#This Row],[DUT Adj Read]]&lt;=Table1[[#This Row],[High Tol]]),"Pass","Fail"))</f>
        <v>Fail</v>
      </c>
      <c r="AD975" s="1" t="str">
        <f>IF(AND(Table1[[#This Row],[Spec Type2]]="N/A",Table1[[#This Row],[DUT Adj Read]]="N/A",Table1[[#This Row],[Std Adj Read]]="N/A"),"N/A",IF(Table1[[#This Row],[DUT Adj Read]]="N/A",IF(Table1[[#This Row],[Std Adj Read]]&gt;Table1[[#This Row],[Low Tol]],"Pass","Fail"),IF(Table1[[#This Row],[DUT Adj Read]]&gt;Table1[[#This Row],[Low Tol]],"Pass","Fail")))</f>
        <v>Pass</v>
      </c>
      <c r="AE975" s="1" t="str">
        <f>IF(AND(Table1[[#This Row],[Spec Type2]]="N/A",Table1[[#This Row],[DUT Adj Read]]="N/A",Table1[[#This Row],[Std Adj Read]]="N/A"),"N/A",IF(Table1[[#This Row],[DUT Adj Read]]="N/A",IF(Table1[[#This Row],[Std Adj Read]]&lt;Table1[[#This Row],[High Tol]],"Pass","Fail"),IF(Table1[[#This Row],[DUT Adj Read]]&lt;Table1[[#This Row],[High Tol]],"Pass","Fail")))</f>
        <v>Fail</v>
      </c>
      <c r="AF975" s="1" t="str">
        <f>IF(AND(Table1[[#This Row],[Spec Type2]]="N/A",Table1[[#This Row],[DUT Adj Read]]="N/A",Table1[[#This Row],[Std Adj Read]]="N/A"),"N/A",IF(Table1[[#This Row],[DUT Adj Read]]="N/A",IF(Table1[[#This Row],[Std Adj Read]]&gt;=Table1[[#This Row],[Low Tol]],"Pass","Fail"),IF(Table1[[#This Row],[DUT Adj Read]]&gt;=Table1[[#This Row],[Low Tol]],"Pass","Fail")))</f>
        <v>Pass</v>
      </c>
      <c r="AG975" s="1" t="str">
        <f>IF(AND(Table1[[#This Row],[Spec Type2]]="N/A",Table1[[#This Row],[DUT Adj Read]]="N/A",Table1[[#This Row],[Std Adj Read]]="N/A"),"N/A",IF(Table1[[#This Row],[DUT Adj Read]]="N/A",IF(Table1[[#This Row],[Std Adj Read]]&lt;=Table1[[#This Row],[High Tol]],"Pass","Fail"),IF(Table1[[#This Row],[DUT Adj Read]]&lt;=Table1[[#This Row],[High Tol]],"Pass","Fail")))</f>
        <v>Fail</v>
      </c>
      <c r="AH9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5" s="1" t="b">
        <v>0</v>
      </c>
      <c r="AN975" s="1" t="b">
        <v>0</v>
      </c>
      <c r="AO975" s="1" t="b">
        <v>0</v>
      </c>
    </row>
    <row r="976" spans="1:41" x14ac:dyDescent="0.25">
      <c r="A976" s="10"/>
      <c r="B976" s="10"/>
      <c r="C976" s="10"/>
      <c r="D976" s="10"/>
      <c r="E976" s="10"/>
      <c r="F976" s="10"/>
      <c r="G976" s="10"/>
      <c r="H976" s="10"/>
      <c r="I976" s="1" t="str">
        <f t="shared" si="45"/>
        <v/>
      </c>
      <c r="J976" s="1" t="s">
        <v>35</v>
      </c>
      <c r="K976" s="1" t="str">
        <f t="shared" si="46"/>
        <v/>
      </c>
      <c r="L976" s="1" t="str">
        <f t="shared" si="47"/>
        <v/>
      </c>
      <c r="M976" s="1">
        <f>IF(OR(Table1[[#This Row],[Std Nom]]="",Table1[[#This Row],[Std Read]]=""),0,Table1[[#This Row],[Std Nom]]-Table1[[#This Row],[Std Read]])</f>
        <v>0</v>
      </c>
      <c r="N976" s="1">
        <f>IF(Calculations!$F$5="ACCREDITED 17025 WITH UNCERTAINTIES",$N$10,0)</f>
        <v>0</v>
      </c>
      <c r="Q976" s="1">
        <f>Table1[[#This Row],[High Tol]]-Table1[[#This Row],[Low Tol]]</f>
        <v>0</v>
      </c>
      <c r="R976" s="1">
        <f>2*Table1[[#This Row],[Std Error]]</f>
        <v>0</v>
      </c>
      <c r="S976" s="1" t="str">
        <f>IF(Table1[[#This Row],[High Tol]]="","N/A",IFERROR(ABS(Table1[[#This Row],[Tol Span]]/Table1[[#This Row],[Error Span]]),"N/A"))</f>
        <v>N/A</v>
      </c>
      <c r="T976" s="1" t="str">
        <f>IF(OR(Table1[[#This Row],[Low Tol]]="",Table1[[#This Row],[High Tol]]=""),"Needs Analysis",IF(Table1[[#This Row],[Ratio]]&gt;=4,"Not Significant",IF(Table1[[#This Row],[Ratio]]&gt;=2,"Semi-Significant","Significant")))</f>
        <v>Needs Analysis</v>
      </c>
      <c r="W976" s="1">
        <f>IF(Table1[[#This Row],[Cal Type]]&lt;&gt;"ACCREDITED 17025 WITH UNCERTAINTIES",0,"")</f>
        <v>0</v>
      </c>
      <c r="X976" s="1" t="str">
        <f>IF(Table1[[#This Row],[DUT Read]]="","N/A",Table1[[#This Row],[Std Error]]+Table1[[#This Row],[DUT Read]]+Table1[[#This Row],[DUT Ucty]])</f>
        <v>N/A</v>
      </c>
      <c r="Y976" s="1" t="str">
        <f>IF(Table1[[#This Row],[Std Read]]="","N/A",Table1[[#This Row],[Std Read]]+Table1[[#This Row],[Std Ucty]])</f>
        <v>N/A</v>
      </c>
      <c r="Z9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6" s="1" t="str">
        <f>IF(Table1[[#This Row],[Spec Type]]="","N/A",Table1[[#This Row],[Spec Type]])</f>
        <v>±</v>
      </c>
      <c r="AC976" s="1" t="str">
        <f>IF(Table1[[#This Row],[Spec Type2]]="N/A","N/A",IF(AND(Table1[[#This Row],[DUT Adj Read]]&gt;=Table1[[#This Row],[Low Tol]],Table1[[#This Row],[DUT Adj Read]]&lt;=Table1[[#This Row],[High Tol]]),"Pass","Fail"))</f>
        <v>Fail</v>
      </c>
      <c r="AD976" s="1" t="str">
        <f>IF(AND(Table1[[#This Row],[Spec Type2]]="N/A",Table1[[#This Row],[DUT Adj Read]]="N/A",Table1[[#This Row],[Std Adj Read]]="N/A"),"N/A",IF(Table1[[#This Row],[DUT Adj Read]]="N/A",IF(Table1[[#This Row],[Std Adj Read]]&gt;Table1[[#This Row],[Low Tol]],"Pass","Fail"),IF(Table1[[#This Row],[DUT Adj Read]]&gt;Table1[[#This Row],[Low Tol]],"Pass","Fail")))</f>
        <v>Pass</v>
      </c>
      <c r="AE976" s="1" t="str">
        <f>IF(AND(Table1[[#This Row],[Spec Type2]]="N/A",Table1[[#This Row],[DUT Adj Read]]="N/A",Table1[[#This Row],[Std Adj Read]]="N/A"),"N/A",IF(Table1[[#This Row],[DUT Adj Read]]="N/A",IF(Table1[[#This Row],[Std Adj Read]]&lt;Table1[[#This Row],[High Tol]],"Pass","Fail"),IF(Table1[[#This Row],[DUT Adj Read]]&lt;Table1[[#This Row],[High Tol]],"Pass","Fail")))</f>
        <v>Fail</v>
      </c>
      <c r="AF976" s="1" t="str">
        <f>IF(AND(Table1[[#This Row],[Spec Type2]]="N/A",Table1[[#This Row],[DUT Adj Read]]="N/A",Table1[[#This Row],[Std Adj Read]]="N/A"),"N/A",IF(Table1[[#This Row],[DUT Adj Read]]="N/A",IF(Table1[[#This Row],[Std Adj Read]]&gt;=Table1[[#This Row],[Low Tol]],"Pass","Fail"),IF(Table1[[#This Row],[DUT Adj Read]]&gt;=Table1[[#This Row],[Low Tol]],"Pass","Fail")))</f>
        <v>Pass</v>
      </c>
      <c r="AG976" s="1" t="str">
        <f>IF(AND(Table1[[#This Row],[Spec Type2]]="N/A",Table1[[#This Row],[DUT Adj Read]]="N/A",Table1[[#This Row],[Std Adj Read]]="N/A"),"N/A",IF(Table1[[#This Row],[DUT Adj Read]]="N/A",IF(Table1[[#This Row],[Std Adj Read]]&lt;=Table1[[#This Row],[High Tol]],"Pass","Fail"),IF(Table1[[#This Row],[DUT Adj Read]]&lt;=Table1[[#This Row],[High Tol]],"Pass","Fail")))</f>
        <v>Fail</v>
      </c>
      <c r="AH9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6" s="1" t="b">
        <v>0</v>
      </c>
      <c r="AN976" s="1" t="b">
        <v>0</v>
      </c>
      <c r="AO976" s="1" t="b">
        <v>0</v>
      </c>
    </row>
    <row r="977" spans="1:41" x14ac:dyDescent="0.25">
      <c r="A977" s="10"/>
      <c r="B977" s="10"/>
      <c r="C977" s="10"/>
      <c r="D977" s="10"/>
      <c r="E977" s="10"/>
      <c r="F977" s="10"/>
      <c r="G977" s="10"/>
      <c r="H977" s="10"/>
      <c r="I977" s="1" t="str">
        <f t="shared" si="45"/>
        <v/>
      </c>
      <c r="J977" s="1" t="s">
        <v>35</v>
      </c>
      <c r="K977" s="1" t="str">
        <f t="shared" si="46"/>
        <v/>
      </c>
      <c r="L977" s="1" t="str">
        <f t="shared" si="47"/>
        <v/>
      </c>
      <c r="M977" s="1">
        <f>IF(OR(Table1[[#This Row],[Std Nom]]="",Table1[[#This Row],[Std Read]]=""),0,Table1[[#This Row],[Std Nom]]-Table1[[#This Row],[Std Read]])</f>
        <v>0</v>
      </c>
      <c r="N977" s="1">
        <f>IF(Calculations!$F$5="ACCREDITED 17025 WITH UNCERTAINTIES",$N$10,0)</f>
        <v>0</v>
      </c>
      <c r="Q977" s="1">
        <f>Table1[[#This Row],[High Tol]]-Table1[[#This Row],[Low Tol]]</f>
        <v>0</v>
      </c>
      <c r="R977" s="1">
        <f>2*Table1[[#This Row],[Std Error]]</f>
        <v>0</v>
      </c>
      <c r="S977" s="1" t="str">
        <f>IF(Table1[[#This Row],[High Tol]]="","N/A",IFERROR(ABS(Table1[[#This Row],[Tol Span]]/Table1[[#This Row],[Error Span]]),"N/A"))</f>
        <v>N/A</v>
      </c>
      <c r="T977" s="1" t="str">
        <f>IF(OR(Table1[[#This Row],[Low Tol]]="",Table1[[#This Row],[High Tol]]=""),"Needs Analysis",IF(Table1[[#This Row],[Ratio]]&gt;=4,"Not Significant",IF(Table1[[#This Row],[Ratio]]&gt;=2,"Semi-Significant","Significant")))</f>
        <v>Needs Analysis</v>
      </c>
      <c r="W977" s="1">
        <f>IF(Table1[[#This Row],[Cal Type]]&lt;&gt;"ACCREDITED 17025 WITH UNCERTAINTIES",0,"")</f>
        <v>0</v>
      </c>
      <c r="X977" s="1" t="str">
        <f>IF(Table1[[#This Row],[DUT Read]]="","N/A",Table1[[#This Row],[Std Error]]+Table1[[#This Row],[DUT Read]]+Table1[[#This Row],[DUT Ucty]])</f>
        <v>N/A</v>
      </c>
      <c r="Y977" s="1" t="str">
        <f>IF(Table1[[#This Row],[Std Read]]="","N/A",Table1[[#This Row],[Std Read]]+Table1[[#This Row],[Std Ucty]])</f>
        <v>N/A</v>
      </c>
      <c r="Z9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7" s="1" t="str">
        <f>IF(Table1[[#This Row],[Spec Type]]="","N/A",Table1[[#This Row],[Spec Type]])</f>
        <v>±</v>
      </c>
      <c r="AC977" s="1" t="str">
        <f>IF(Table1[[#This Row],[Spec Type2]]="N/A","N/A",IF(AND(Table1[[#This Row],[DUT Adj Read]]&gt;=Table1[[#This Row],[Low Tol]],Table1[[#This Row],[DUT Adj Read]]&lt;=Table1[[#This Row],[High Tol]]),"Pass","Fail"))</f>
        <v>Fail</v>
      </c>
      <c r="AD977" s="1" t="str">
        <f>IF(AND(Table1[[#This Row],[Spec Type2]]="N/A",Table1[[#This Row],[DUT Adj Read]]="N/A",Table1[[#This Row],[Std Adj Read]]="N/A"),"N/A",IF(Table1[[#This Row],[DUT Adj Read]]="N/A",IF(Table1[[#This Row],[Std Adj Read]]&gt;Table1[[#This Row],[Low Tol]],"Pass","Fail"),IF(Table1[[#This Row],[DUT Adj Read]]&gt;Table1[[#This Row],[Low Tol]],"Pass","Fail")))</f>
        <v>Pass</v>
      </c>
      <c r="AE977" s="1" t="str">
        <f>IF(AND(Table1[[#This Row],[Spec Type2]]="N/A",Table1[[#This Row],[DUT Adj Read]]="N/A",Table1[[#This Row],[Std Adj Read]]="N/A"),"N/A",IF(Table1[[#This Row],[DUT Adj Read]]="N/A",IF(Table1[[#This Row],[Std Adj Read]]&lt;Table1[[#This Row],[High Tol]],"Pass","Fail"),IF(Table1[[#This Row],[DUT Adj Read]]&lt;Table1[[#This Row],[High Tol]],"Pass","Fail")))</f>
        <v>Fail</v>
      </c>
      <c r="AF977" s="1" t="str">
        <f>IF(AND(Table1[[#This Row],[Spec Type2]]="N/A",Table1[[#This Row],[DUT Adj Read]]="N/A",Table1[[#This Row],[Std Adj Read]]="N/A"),"N/A",IF(Table1[[#This Row],[DUT Adj Read]]="N/A",IF(Table1[[#This Row],[Std Adj Read]]&gt;=Table1[[#This Row],[Low Tol]],"Pass","Fail"),IF(Table1[[#This Row],[DUT Adj Read]]&gt;=Table1[[#This Row],[Low Tol]],"Pass","Fail")))</f>
        <v>Pass</v>
      </c>
      <c r="AG977" s="1" t="str">
        <f>IF(AND(Table1[[#This Row],[Spec Type2]]="N/A",Table1[[#This Row],[DUT Adj Read]]="N/A",Table1[[#This Row],[Std Adj Read]]="N/A"),"N/A",IF(Table1[[#This Row],[DUT Adj Read]]="N/A",IF(Table1[[#This Row],[Std Adj Read]]&lt;=Table1[[#This Row],[High Tol]],"Pass","Fail"),IF(Table1[[#This Row],[DUT Adj Read]]&lt;=Table1[[#This Row],[High Tol]],"Pass","Fail")))</f>
        <v>Fail</v>
      </c>
      <c r="AH9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7" s="1" t="b">
        <v>0</v>
      </c>
      <c r="AN977" s="1" t="b">
        <v>0</v>
      </c>
      <c r="AO977" s="1" t="b">
        <v>0</v>
      </c>
    </row>
    <row r="978" spans="1:41" x14ac:dyDescent="0.25">
      <c r="A978" s="10"/>
      <c r="B978" s="10"/>
      <c r="C978" s="10"/>
      <c r="D978" s="10"/>
      <c r="E978" s="10"/>
      <c r="F978" s="10"/>
      <c r="G978" s="10"/>
      <c r="H978" s="10"/>
      <c r="I978" s="1" t="str">
        <f t="shared" si="45"/>
        <v/>
      </c>
      <c r="J978" s="1" t="s">
        <v>35</v>
      </c>
      <c r="K978" s="1" t="str">
        <f t="shared" si="46"/>
        <v/>
      </c>
      <c r="L978" s="1" t="str">
        <f t="shared" si="47"/>
        <v/>
      </c>
      <c r="M978" s="1">
        <f>IF(OR(Table1[[#This Row],[Std Nom]]="",Table1[[#This Row],[Std Read]]=""),0,Table1[[#This Row],[Std Nom]]-Table1[[#This Row],[Std Read]])</f>
        <v>0</v>
      </c>
      <c r="N978" s="1">
        <f>IF(Calculations!$F$5="ACCREDITED 17025 WITH UNCERTAINTIES",$N$10,0)</f>
        <v>0</v>
      </c>
      <c r="Q978" s="1">
        <f>Table1[[#This Row],[High Tol]]-Table1[[#This Row],[Low Tol]]</f>
        <v>0</v>
      </c>
      <c r="R978" s="1">
        <f>2*Table1[[#This Row],[Std Error]]</f>
        <v>0</v>
      </c>
      <c r="S978" s="1" t="str">
        <f>IF(Table1[[#This Row],[High Tol]]="","N/A",IFERROR(ABS(Table1[[#This Row],[Tol Span]]/Table1[[#This Row],[Error Span]]),"N/A"))</f>
        <v>N/A</v>
      </c>
      <c r="T978" s="1" t="str">
        <f>IF(OR(Table1[[#This Row],[Low Tol]]="",Table1[[#This Row],[High Tol]]=""),"Needs Analysis",IF(Table1[[#This Row],[Ratio]]&gt;=4,"Not Significant",IF(Table1[[#This Row],[Ratio]]&gt;=2,"Semi-Significant","Significant")))</f>
        <v>Needs Analysis</v>
      </c>
      <c r="W978" s="1">
        <f>IF(Table1[[#This Row],[Cal Type]]&lt;&gt;"ACCREDITED 17025 WITH UNCERTAINTIES",0,"")</f>
        <v>0</v>
      </c>
      <c r="X978" s="1" t="str">
        <f>IF(Table1[[#This Row],[DUT Read]]="","N/A",Table1[[#This Row],[Std Error]]+Table1[[#This Row],[DUT Read]]+Table1[[#This Row],[DUT Ucty]])</f>
        <v>N/A</v>
      </c>
      <c r="Y978" s="1" t="str">
        <f>IF(Table1[[#This Row],[Std Read]]="","N/A",Table1[[#This Row],[Std Read]]+Table1[[#This Row],[Std Ucty]])</f>
        <v>N/A</v>
      </c>
      <c r="Z9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8" s="1" t="str">
        <f>IF(Table1[[#This Row],[Spec Type]]="","N/A",Table1[[#This Row],[Spec Type]])</f>
        <v>±</v>
      </c>
      <c r="AC978" s="1" t="str">
        <f>IF(Table1[[#This Row],[Spec Type2]]="N/A","N/A",IF(AND(Table1[[#This Row],[DUT Adj Read]]&gt;=Table1[[#This Row],[Low Tol]],Table1[[#This Row],[DUT Adj Read]]&lt;=Table1[[#This Row],[High Tol]]),"Pass","Fail"))</f>
        <v>Fail</v>
      </c>
      <c r="AD978" s="1" t="str">
        <f>IF(AND(Table1[[#This Row],[Spec Type2]]="N/A",Table1[[#This Row],[DUT Adj Read]]="N/A",Table1[[#This Row],[Std Adj Read]]="N/A"),"N/A",IF(Table1[[#This Row],[DUT Adj Read]]="N/A",IF(Table1[[#This Row],[Std Adj Read]]&gt;Table1[[#This Row],[Low Tol]],"Pass","Fail"),IF(Table1[[#This Row],[DUT Adj Read]]&gt;Table1[[#This Row],[Low Tol]],"Pass","Fail")))</f>
        <v>Pass</v>
      </c>
      <c r="AE978" s="1" t="str">
        <f>IF(AND(Table1[[#This Row],[Spec Type2]]="N/A",Table1[[#This Row],[DUT Adj Read]]="N/A",Table1[[#This Row],[Std Adj Read]]="N/A"),"N/A",IF(Table1[[#This Row],[DUT Adj Read]]="N/A",IF(Table1[[#This Row],[Std Adj Read]]&lt;Table1[[#This Row],[High Tol]],"Pass","Fail"),IF(Table1[[#This Row],[DUT Adj Read]]&lt;Table1[[#This Row],[High Tol]],"Pass","Fail")))</f>
        <v>Fail</v>
      </c>
      <c r="AF978" s="1" t="str">
        <f>IF(AND(Table1[[#This Row],[Spec Type2]]="N/A",Table1[[#This Row],[DUT Adj Read]]="N/A",Table1[[#This Row],[Std Adj Read]]="N/A"),"N/A",IF(Table1[[#This Row],[DUT Adj Read]]="N/A",IF(Table1[[#This Row],[Std Adj Read]]&gt;=Table1[[#This Row],[Low Tol]],"Pass","Fail"),IF(Table1[[#This Row],[DUT Adj Read]]&gt;=Table1[[#This Row],[Low Tol]],"Pass","Fail")))</f>
        <v>Pass</v>
      </c>
      <c r="AG978" s="1" t="str">
        <f>IF(AND(Table1[[#This Row],[Spec Type2]]="N/A",Table1[[#This Row],[DUT Adj Read]]="N/A",Table1[[#This Row],[Std Adj Read]]="N/A"),"N/A",IF(Table1[[#This Row],[DUT Adj Read]]="N/A",IF(Table1[[#This Row],[Std Adj Read]]&lt;=Table1[[#This Row],[High Tol]],"Pass","Fail"),IF(Table1[[#This Row],[DUT Adj Read]]&lt;=Table1[[#This Row],[High Tol]],"Pass","Fail")))</f>
        <v>Fail</v>
      </c>
      <c r="AH9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8" s="1" t="b">
        <v>0</v>
      </c>
      <c r="AN978" s="1" t="b">
        <v>0</v>
      </c>
      <c r="AO978" s="1" t="b">
        <v>0</v>
      </c>
    </row>
    <row r="979" spans="1:41" x14ac:dyDescent="0.25">
      <c r="A979" s="10"/>
      <c r="B979" s="10"/>
      <c r="C979" s="10"/>
      <c r="D979" s="10"/>
      <c r="E979" s="10"/>
      <c r="F979" s="10"/>
      <c r="G979" s="10"/>
      <c r="H979" s="10"/>
      <c r="I979" s="1" t="str">
        <f t="shared" si="45"/>
        <v/>
      </c>
      <c r="J979" s="1" t="s">
        <v>35</v>
      </c>
      <c r="K979" s="1" t="str">
        <f t="shared" si="46"/>
        <v/>
      </c>
      <c r="L979" s="1" t="str">
        <f t="shared" si="47"/>
        <v/>
      </c>
      <c r="M979" s="1">
        <f>IF(OR(Table1[[#This Row],[Std Nom]]="",Table1[[#This Row],[Std Read]]=""),0,Table1[[#This Row],[Std Nom]]-Table1[[#This Row],[Std Read]])</f>
        <v>0</v>
      </c>
      <c r="N979" s="1">
        <f>IF(Calculations!$F$5="ACCREDITED 17025 WITH UNCERTAINTIES",$N$10,0)</f>
        <v>0</v>
      </c>
      <c r="Q979" s="1">
        <f>Table1[[#This Row],[High Tol]]-Table1[[#This Row],[Low Tol]]</f>
        <v>0</v>
      </c>
      <c r="R979" s="1">
        <f>2*Table1[[#This Row],[Std Error]]</f>
        <v>0</v>
      </c>
      <c r="S979" s="1" t="str">
        <f>IF(Table1[[#This Row],[High Tol]]="","N/A",IFERROR(ABS(Table1[[#This Row],[Tol Span]]/Table1[[#This Row],[Error Span]]),"N/A"))</f>
        <v>N/A</v>
      </c>
      <c r="T979" s="1" t="str">
        <f>IF(OR(Table1[[#This Row],[Low Tol]]="",Table1[[#This Row],[High Tol]]=""),"Needs Analysis",IF(Table1[[#This Row],[Ratio]]&gt;=4,"Not Significant",IF(Table1[[#This Row],[Ratio]]&gt;=2,"Semi-Significant","Significant")))</f>
        <v>Needs Analysis</v>
      </c>
      <c r="W979" s="1">
        <f>IF(Table1[[#This Row],[Cal Type]]&lt;&gt;"ACCREDITED 17025 WITH UNCERTAINTIES",0,"")</f>
        <v>0</v>
      </c>
      <c r="X979" s="1" t="str">
        <f>IF(Table1[[#This Row],[DUT Read]]="","N/A",Table1[[#This Row],[Std Error]]+Table1[[#This Row],[DUT Read]]+Table1[[#This Row],[DUT Ucty]])</f>
        <v>N/A</v>
      </c>
      <c r="Y979" s="1" t="str">
        <f>IF(Table1[[#This Row],[Std Read]]="","N/A",Table1[[#This Row],[Std Read]]+Table1[[#This Row],[Std Ucty]])</f>
        <v>N/A</v>
      </c>
      <c r="Z9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79" s="1" t="str">
        <f>IF(Table1[[#This Row],[Spec Type]]="","N/A",Table1[[#This Row],[Spec Type]])</f>
        <v>±</v>
      </c>
      <c r="AC979" s="1" t="str">
        <f>IF(Table1[[#This Row],[Spec Type2]]="N/A","N/A",IF(AND(Table1[[#This Row],[DUT Adj Read]]&gt;=Table1[[#This Row],[Low Tol]],Table1[[#This Row],[DUT Adj Read]]&lt;=Table1[[#This Row],[High Tol]]),"Pass","Fail"))</f>
        <v>Fail</v>
      </c>
      <c r="AD979" s="1" t="str">
        <f>IF(AND(Table1[[#This Row],[Spec Type2]]="N/A",Table1[[#This Row],[DUT Adj Read]]="N/A",Table1[[#This Row],[Std Adj Read]]="N/A"),"N/A",IF(Table1[[#This Row],[DUT Adj Read]]="N/A",IF(Table1[[#This Row],[Std Adj Read]]&gt;Table1[[#This Row],[Low Tol]],"Pass","Fail"),IF(Table1[[#This Row],[DUT Adj Read]]&gt;Table1[[#This Row],[Low Tol]],"Pass","Fail")))</f>
        <v>Pass</v>
      </c>
      <c r="AE979" s="1" t="str">
        <f>IF(AND(Table1[[#This Row],[Spec Type2]]="N/A",Table1[[#This Row],[DUT Adj Read]]="N/A",Table1[[#This Row],[Std Adj Read]]="N/A"),"N/A",IF(Table1[[#This Row],[DUT Adj Read]]="N/A",IF(Table1[[#This Row],[Std Adj Read]]&lt;Table1[[#This Row],[High Tol]],"Pass","Fail"),IF(Table1[[#This Row],[DUT Adj Read]]&lt;Table1[[#This Row],[High Tol]],"Pass","Fail")))</f>
        <v>Fail</v>
      </c>
      <c r="AF979" s="1" t="str">
        <f>IF(AND(Table1[[#This Row],[Spec Type2]]="N/A",Table1[[#This Row],[DUT Adj Read]]="N/A",Table1[[#This Row],[Std Adj Read]]="N/A"),"N/A",IF(Table1[[#This Row],[DUT Adj Read]]="N/A",IF(Table1[[#This Row],[Std Adj Read]]&gt;=Table1[[#This Row],[Low Tol]],"Pass","Fail"),IF(Table1[[#This Row],[DUT Adj Read]]&gt;=Table1[[#This Row],[Low Tol]],"Pass","Fail")))</f>
        <v>Pass</v>
      </c>
      <c r="AG979" s="1" t="str">
        <f>IF(AND(Table1[[#This Row],[Spec Type2]]="N/A",Table1[[#This Row],[DUT Adj Read]]="N/A",Table1[[#This Row],[Std Adj Read]]="N/A"),"N/A",IF(Table1[[#This Row],[DUT Adj Read]]="N/A",IF(Table1[[#This Row],[Std Adj Read]]&lt;=Table1[[#This Row],[High Tol]],"Pass","Fail"),IF(Table1[[#This Row],[DUT Adj Read]]&lt;=Table1[[#This Row],[High Tol]],"Pass","Fail")))</f>
        <v>Fail</v>
      </c>
      <c r="AH9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79" s="1" t="b">
        <v>0</v>
      </c>
      <c r="AN979" s="1" t="b">
        <v>0</v>
      </c>
      <c r="AO979" s="1" t="b">
        <v>0</v>
      </c>
    </row>
    <row r="980" spans="1:41" x14ac:dyDescent="0.25">
      <c r="A980" s="10"/>
      <c r="B980" s="10"/>
      <c r="C980" s="10"/>
      <c r="D980" s="10"/>
      <c r="E980" s="10"/>
      <c r="F980" s="10"/>
      <c r="G980" s="10"/>
      <c r="H980" s="10"/>
      <c r="I980" s="1" t="str">
        <f t="shared" si="45"/>
        <v/>
      </c>
      <c r="J980" s="1" t="s">
        <v>35</v>
      </c>
      <c r="K980" s="1" t="str">
        <f t="shared" si="46"/>
        <v/>
      </c>
      <c r="L980" s="1" t="str">
        <f t="shared" si="47"/>
        <v/>
      </c>
      <c r="M980" s="1">
        <f>IF(OR(Table1[[#This Row],[Std Nom]]="",Table1[[#This Row],[Std Read]]=""),0,Table1[[#This Row],[Std Nom]]-Table1[[#This Row],[Std Read]])</f>
        <v>0</v>
      </c>
      <c r="N980" s="1">
        <f>IF(Calculations!$F$5="ACCREDITED 17025 WITH UNCERTAINTIES",$N$10,0)</f>
        <v>0</v>
      </c>
      <c r="Q980" s="1">
        <f>Table1[[#This Row],[High Tol]]-Table1[[#This Row],[Low Tol]]</f>
        <v>0</v>
      </c>
      <c r="R980" s="1">
        <f>2*Table1[[#This Row],[Std Error]]</f>
        <v>0</v>
      </c>
      <c r="S980" s="1" t="str">
        <f>IF(Table1[[#This Row],[High Tol]]="","N/A",IFERROR(ABS(Table1[[#This Row],[Tol Span]]/Table1[[#This Row],[Error Span]]),"N/A"))</f>
        <v>N/A</v>
      </c>
      <c r="T980" s="1" t="str">
        <f>IF(OR(Table1[[#This Row],[Low Tol]]="",Table1[[#This Row],[High Tol]]=""),"Needs Analysis",IF(Table1[[#This Row],[Ratio]]&gt;=4,"Not Significant",IF(Table1[[#This Row],[Ratio]]&gt;=2,"Semi-Significant","Significant")))</f>
        <v>Needs Analysis</v>
      </c>
      <c r="W980" s="1">
        <f>IF(Table1[[#This Row],[Cal Type]]&lt;&gt;"ACCREDITED 17025 WITH UNCERTAINTIES",0,"")</f>
        <v>0</v>
      </c>
      <c r="X980" s="1" t="str">
        <f>IF(Table1[[#This Row],[DUT Read]]="","N/A",Table1[[#This Row],[Std Error]]+Table1[[#This Row],[DUT Read]]+Table1[[#This Row],[DUT Ucty]])</f>
        <v>N/A</v>
      </c>
      <c r="Y980" s="1" t="str">
        <f>IF(Table1[[#This Row],[Std Read]]="","N/A",Table1[[#This Row],[Std Read]]+Table1[[#This Row],[Std Ucty]])</f>
        <v>N/A</v>
      </c>
      <c r="Z9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0" s="1" t="str">
        <f>IF(Table1[[#This Row],[Spec Type]]="","N/A",Table1[[#This Row],[Spec Type]])</f>
        <v>±</v>
      </c>
      <c r="AC980" s="1" t="str">
        <f>IF(Table1[[#This Row],[Spec Type2]]="N/A","N/A",IF(AND(Table1[[#This Row],[DUT Adj Read]]&gt;=Table1[[#This Row],[Low Tol]],Table1[[#This Row],[DUT Adj Read]]&lt;=Table1[[#This Row],[High Tol]]),"Pass","Fail"))</f>
        <v>Fail</v>
      </c>
      <c r="AD980" s="1" t="str">
        <f>IF(AND(Table1[[#This Row],[Spec Type2]]="N/A",Table1[[#This Row],[DUT Adj Read]]="N/A",Table1[[#This Row],[Std Adj Read]]="N/A"),"N/A",IF(Table1[[#This Row],[DUT Adj Read]]="N/A",IF(Table1[[#This Row],[Std Adj Read]]&gt;Table1[[#This Row],[Low Tol]],"Pass","Fail"),IF(Table1[[#This Row],[DUT Adj Read]]&gt;Table1[[#This Row],[Low Tol]],"Pass","Fail")))</f>
        <v>Pass</v>
      </c>
      <c r="AE980" s="1" t="str">
        <f>IF(AND(Table1[[#This Row],[Spec Type2]]="N/A",Table1[[#This Row],[DUT Adj Read]]="N/A",Table1[[#This Row],[Std Adj Read]]="N/A"),"N/A",IF(Table1[[#This Row],[DUT Adj Read]]="N/A",IF(Table1[[#This Row],[Std Adj Read]]&lt;Table1[[#This Row],[High Tol]],"Pass","Fail"),IF(Table1[[#This Row],[DUT Adj Read]]&lt;Table1[[#This Row],[High Tol]],"Pass","Fail")))</f>
        <v>Fail</v>
      </c>
      <c r="AF980" s="1" t="str">
        <f>IF(AND(Table1[[#This Row],[Spec Type2]]="N/A",Table1[[#This Row],[DUT Adj Read]]="N/A",Table1[[#This Row],[Std Adj Read]]="N/A"),"N/A",IF(Table1[[#This Row],[DUT Adj Read]]="N/A",IF(Table1[[#This Row],[Std Adj Read]]&gt;=Table1[[#This Row],[Low Tol]],"Pass","Fail"),IF(Table1[[#This Row],[DUT Adj Read]]&gt;=Table1[[#This Row],[Low Tol]],"Pass","Fail")))</f>
        <v>Pass</v>
      </c>
      <c r="AG980" s="1" t="str">
        <f>IF(AND(Table1[[#This Row],[Spec Type2]]="N/A",Table1[[#This Row],[DUT Adj Read]]="N/A",Table1[[#This Row],[Std Adj Read]]="N/A"),"N/A",IF(Table1[[#This Row],[DUT Adj Read]]="N/A",IF(Table1[[#This Row],[Std Adj Read]]&lt;=Table1[[#This Row],[High Tol]],"Pass","Fail"),IF(Table1[[#This Row],[DUT Adj Read]]&lt;=Table1[[#This Row],[High Tol]],"Pass","Fail")))</f>
        <v>Fail</v>
      </c>
      <c r="AH9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0" s="1" t="b">
        <v>0</v>
      </c>
      <c r="AN980" s="1" t="b">
        <v>0</v>
      </c>
      <c r="AO980" s="1" t="b">
        <v>0</v>
      </c>
    </row>
    <row r="981" spans="1:41" x14ac:dyDescent="0.25">
      <c r="A981" s="10"/>
      <c r="B981" s="10"/>
      <c r="C981" s="10"/>
      <c r="D981" s="10"/>
      <c r="E981" s="10"/>
      <c r="F981" s="10"/>
      <c r="G981" s="10"/>
      <c r="H981" s="10"/>
      <c r="I981" s="1" t="str">
        <f t="shared" si="45"/>
        <v/>
      </c>
      <c r="J981" s="1" t="s">
        <v>35</v>
      </c>
      <c r="K981" s="1" t="str">
        <f t="shared" si="46"/>
        <v/>
      </c>
      <c r="L981" s="1" t="str">
        <f t="shared" si="47"/>
        <v/>
      </c>
      <c r="M981" s="1">
        <f>IF(OR(Table1[[#This Row],[Std Nom]]="",Table1[[#This Row],[Std Read]]=""),0,Table1[[#This Row],[Std Nom]]-Table1[[#This Row],[Std Read]])</f>
        <v>0</v>
      </c>
      <c r="N981" s="1">
        <f>IF(Calculations!$F$5="ACCREDITED 17025 WITH UNCERTAINTIES",$N$10,0)</f>
        <v>0</v>
      </c>
      <c r="Q981" s="1">
        <f>Table1[[#This Row],[High Tol]]-Table1[[#This Row],[Low Tol]]</f>
        <v>0</v>
      </c>
      <c r="R981" s="1">
        <f>2*Table1[[#This Row],[Std Error]]</f>
        <v>0</v>
      </c>
      <c r="S981" s="1" t="str">
        <f>IF(Table1[[#This Row],[High Tol]]="","N/A",IFERROR(ABS(Table1[[#This Row],[Tol Span]]/Table1[[#This Row],[Error Span]]),"N/A"))</f>
        <v>N/A</v>
      </c>
      <c r="T981" s="1" t="str">
        <f>IF(OR(Table1[[#This Row],[Low Tol]]="",Table1[[#This Row],[High Tol]]=""),"Needs Analysis",IF(Table1[[#This Row],[Ratio]]&gt;=4,"Not Significant",IF(Table1[[#This Row],[Ratio]]&gt;=2,"Semi-Significant","Significant")))</f>
        <v>Needs Analysis</v>
      </c>
      <c r="W981" s="1">
        <f>IF(Table1[[#This Row],[Cal Type]]&lt;&gt;"ACCREDITED 17025 WITH UNCERTAINTIES",0,"")</f>
        <v>0</v>
      </c>
      <c r="X981" s="1" t="str">
        <f>IF(Table1[[#This Row],[DUT Read]]="","N/A",Table1[[#This Row],[Std Error]]+Table1[[#This Row],[DUT Read]]+Table1[[#This Row],[DUT Ucty]])</f>
        <v>N/A</v>
      </c>
      <c r="Y981" s="1" t="str">
        <f>IF(Table1[[#This Row],[Std Read]]="","N/A",Table1[[#This Row],[Std Read]]+Table1[[#This Row],[Std Ucty]])</f>
        <v>N/A</v>
      </c>
      <c r="Z9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1" s="1" t="str">
        <f>IF(Table1[[#This Row],[Spec Type]]="","N/A",Table1[[#This Row],[Spec Type]])</f>
        <v>±</v>
      </c>
      <c r="AC981" s="1" t="str">
        <f>IF(Table1[[#This Row],[Spec Type2]]="N/A","N/A",IF(AND(Table1[[#This Row],[DUT Adj Read]]&gt;=Table1[[#This Row],[Low Tol]],Table1[[#This Row],[DUT Adj Read]]&lt;=Table1[[#This Row],[High Tol]]),"Pass","Fail"))</f>
        <v>Fail</v>
      </c>
      <c r="AD981" s="1" t="str">
        <f>IF(AND(Table1[[#This Row],[Spec Type2]]="N/A",Table1[[#This Row],[DUT Adj Read]]="N/A",Table1[[#This Row],[Std Adj Read]]="N/A"),"N/A",IF(Table1[[#This Row],[DUT Adj Read]]="N/A",IF(Table1[[#This Row],[Std Adj Read]]&gt;Table1[[#This Row],[Low Tol]],"Pass","Fail"),IF(Table1[[#This Row],[DUT Adj Read]]&gt;Table1[[#This Row],[Low Tol]],"Pass","Fail")))</f>
        <v>Pass</v>
      </c>
      <c r="AE981" s="1" t="str">
        <f>IF(AND(Table1[[#This Row],[Spec Type2]]="N/A",Table1[[#This Row],[DUT Adj Read]]="N/A",Table1[[#This Row],[Std Adj Read]]="N/A"),"N/A",IF(Table1[[#This Row],[DUT Adj Read]]="N/A",IF(Table1[[#This Row],[Std Adj Read]]&lt;Table1[[#This Row],[High Tol]],"Pass","Fail"),IF(Table1[[#This Row],[DUT Adj Read]]&lt;Table1[[#This Row],[High Tol]],"Pass","Fail")))</f>
        <v>Fail</v>
      </c>
      <c r="AF981" s="1" t="str">
        <f>IF(AND(Table1[[#This Row],[Spec Type2]]="N/A",Table1[[#This Row],[DUT Adj Read]]="N/A",Table1[[#This Row],[Std Adj Read]]="N/A"),"N/A",IF(Table1[[#This Row],[DUT Adj Read]]="N/A",IF(Table1[[#This Row],[Std Adj Read]]&gt;=Table1[[#This Row],[Low Tol]],"Pass","Fail"),IF(Table1[[#This Row],[DUT Adj Read]]&gt;=Table1[[#This Row],[Low Tol]],"Pass","Fail")))</f>
        <v>Pass</v>
      </c>
      <c r="AG981" s="1" t="str">
        <f>IF(AND(Table1[[#This Row],[Spec Type2]]="N/A",Table1[[#This Row],[DUT Adj Read]]="N/A",Table1[[#This Row],[Std Adj Read]]="N/A"),"N/A",IF(Table1[[#This Row],[DUT Adj Read]]="N/A",IF(Table1[[#This Row],[Std Adj Read]]&lt;=Table1[[#This Row],[High Tol]],"Pass","Fail"),IF(Table1[[#This Row],[DUT Adj Read]]&lt;=Table1[[#This Row],[High Tol]],"Pass","Fail")))</f>
        <v>Fail</v>
      </c>
      <c r="AH9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1" s="1" t="b">
        <v>0</v>
      </c>
      <c r="AN981" s="1" t="b">
        <v>0</v>
      </c>
      <c r="AO981" s="1" t="b">
        <v>0</v>
      </c>
    </row>
    <row r="982" spans="1:41" x14ac:dyDescent="0.25">
      <c r="A982" s="10"/>
      <c r="B982" s="10"/>
      <c r="C982" s="10"/>
      <c r="D982" s="10"/>
      <c r="E982" s="10"/>
      <c r="F982" s="10"/>
      <c r="G982" s="10"/>
      <c r="H982" s="10"/>
      <c r="I982" s="1" t="str">
        <f t="shared" si="45"/>
        <v/>
      </c>
      <c r="J982" s="1" t="s">
        <v>35</v>
      </c>
      <c r="K982" s="1" t="str">
        <f t="shared" si="46"/>
        <v/>
      </c>
      <c r="L982" s="1" t="str">
        <f t="shared" si="47"/>
        <v/>
      </c>
      <c r="M982" s="1">
        <f>IF(OR(Table1[[#This Row],[Std Nom]]="",Table1[[#This Row],[Std Read]]=""),0,Table1[[#This Row],[Std Nom]]-Table1[[#This Row],[Std Read]])</f>
        <v>0</v>
      </c>
      <c r="N982" s="1">
        <f>IF(Calculations!$F$5="ACCREDITED 17025 WITH UNCERTAINTIES",$N$10,0)</f>
        <v>0</v>
      </c>
      <c r="Q982" s="1">
        <f>Table1[[#This Row],[High Tol]]-Table1[[#This Row],[Low Tol]]</f>
        <v>0</v>
      </c>
      <c r="R982" s="1">
        <f>2*Table1[[#This Row],[Std Error]]</f>
        <v>0</v>
      </c>
      <c r="S982" s="1" t="str">
        <f>IF(Table1[[#This Row],[High Tol]]="","N/A",IFERROR(ABS(Table1[[#This Row],[Tol Span]]/Table1[[#This Row],[Error Span]]),"N/A"))</f>
        <v>N/A</v>
      </c>
      <c r="T982" s="1" t="str">
        <f>IF(OR(Table1[[#This Row],[Low Tol]]="",Table1[[#This Row],[High Tol]]=""),"Needs Analysis",IF(Table1[[#This Row],[Ratio]]&gt;=4,"Not Significant",IF(Table1[[#This Row],[Ratio]]&gt;=2,"Semi-Significant","Significant")))</f>
        <v>Needs Analysis</v>
      </c>
      <c r="W982" s="1">
        <f>IF(Table1[[#This Row],[Cal Type]]&lt;&gt;"ACCREDITED 17025 WITH UNCERTAINTIES",0,"")</f>
        <v>0</v>
      </c>
      <c r="X982" s="1" t="str">
        <f>IF(Table1[[#This Row],[DUT Read]]="","N/A",Table1[[#This Row],[Std Error]]+Table1[[#This Row],[DUT Read]]+Table1[[#This Row],[DUT Ucty]])</f>
        <v>N/A</v>
      </c>
      <c r="Y982" s="1" t="str">
        <f>IF(Table1[[#This Row],[Std Read]]="","N/A",Table1[[#This Row],[Std Read]]+Table1[[#This Row],[Std Ucty]])</f>
        <v>N/A</v>
      </c>
      <c r="Z9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2" s="1" t="str">
        <f>IF(Table1[[#This Row],[Spec Type]]="","N/A",Table1[[#This Row],[Spec Type]])</f>
        <v>±</v>
      </c>
      <c r="AC982" s="1" t="str">
        <f>IF(Table1[[#This Row],[Spec Type2]]="N/A","N/A",IF(AND(Table1[[#This Row],[DUT Adj Read]]&gt;=Table1[[#This Row],[Low Tol]],Table1[[#This Row],[DUT Adj Read]]&lt;=Table1[[#This Row],[High Tol]]),"Pass","Fail"))</f>
        <v>Fail</v>
      </c>
      <c r="AD982" s="1" t="str">
        <f>IF(AND(Table1[[#This Row],[Spec Type2]]="N/A",Table1[[#This Row],[DUT Adj Read]]="N/A",Table1[[#This Row],[Std Adj Read]]="N/A"),"N/A",IF(Table1[[#This Row],[DUT Adj Read]]="N/A",IF(Table1[[#This Row],[Std Adj Read]]&gt;Table1[[#This Row],[Low Tol]],"Pass","Fail"),IF(Table1[[#This Row],[DUT Adj Read]]&gt;Table1[[#This Row],[Low Tol]],"Pass","Fail")))</f>
        <v>Pass</v>
      </c>
      <c r="AE982" s="1" t="str">
        <f>IF(AND(Table1[[#This Row],[Spec Type2]]="N/A",Table1[[#This Row],[DUT Adj Read]]="N/A",Table1[[#This Row],[Std Adj Read]]="N/A"),"N/A",IF(Table1[[#This Row],[DUT Adj Read]]="N/A",IF(Table1[[#This Row],[Std Adj Read]]&lt;Table1[[#This Row],[High Tol]],"Pass","Fail"),IF(Table1[[#This Row],[DUT Adj Read]]&lt;Table1[[#This Row],[High Tol]],"Pass","Fail")))</f>
        <v>Fail</v>
      </c>
      <c r="AF982" s="1" t="str">
        <f>IF(AND(Table1[[#This Row],[Spec Type2]]="N/A",Table1[[#This Row],[DUT Adj Read]]="N/A",Table1[[#This Row],[Std Adj Read]]="N/A"),"N/A",IF(Table1[[#This Row],[DUT Adj Read]]="N/A",IF(Table1[[#This Row],[Std Adj Read]]&gt;=Table1[[#This Row],[Low Tol]],"Pass","Fail"),IF(Table1[[#This Row],[DUT Adj Read]]&gt;=Table1[[#This Row],[Low Tol]],"Pass","Fail")))</f>
        <v>Pass</v>
      </c>
      <c r="AG982" s="1" t="str">
        <f>IF(AND(Table1[[#This Row],[Spec Type2]]="N/A",Table1[[#This Row],[DUT Adj Read]]="N/A",Table1[[#This Row],[Std Adj Read]]="N/A"),"N/A",IF(Table1[[#This Row],[DUT Adj Read]]="N/A",IF(Table1[[#This Row],[Std Adj Read]]&lt;=Table1[[#This Row],[High Tol]],"Pass","Fail"),IF(Table1[[#This Row],[DUT Adj Read]]&lt;=Table1[[#This Row],[High Tol]],"Pass","Fail")))</f>
        <v>Fail</v>
      </c>
      <c r="AH9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2" s="1" t="b">
        <v>0</v>
      </c>
      <c r="AN982" s="1" t="b">
        <v>0</v>
      </c>
      <c r="AO982" s="1" t="b">
        <v>0</v>
      </c>
    </row>
    <row r="983" spans="1:41" x14ac:dyDescent="0.25">
      <c r="A983" s="10"/>
      <c r="B983" s="10"/>
      <c r="C983" s="10"/>
      <c r="D983" s="10"/>
      <c r="E983" s="10"/>
      <c r="F983" s="10"/>
      <c r="G983" s="10"/>
      <c r="H983" s="10"/>
      <c r="I983" s="1" t="str">
        <f t="shared" si="45"/>
        <v/>
      </c>
      <c r="J983" s="1" t="s">
        <v>35</v>
      </c>
      <c r="K983" s="1" t="str">
        <f t="shared" si="46"/>
        <v/>
      </c>
      <c r="L983" s="1" t="str">
        <f t="shared" si="47"/>
        <v/>
      </c>
      <c r="M983" s="1">
        <f>IF(OR(Table1[[#This Row],[Std Nom]]="",Table1[[#This Row],[Std Read]]=""),0,Table1[[#This Row],[Std Nom]]-Table1[[#This Row],[Std Read]])</f>
        <v>0</v>
      </c>
      <c r="N983" s="1">
        <f>IF(Calculations!$F$5="ACCREDITED 17025 WITH UNCERTAINTIES",$N$10,0)</f>
        <v>0</v>
      </c>
      <c r="Q983" s="1">
        <f>Table1[[#This Row],[High Tol]]-Table1[[#This Row],[Low Tol]]</f>
        <v>0</v>
      </c>
      <c r="R983" s="1">
        <f>2*Table1[[#This Row],[Std Error]]</f>
        <v>0</v>
      </c>
      <c r="S983" s="1" t="str">
        <f>IF(Table1[[#This Row],[High Tol]]="","N/A",IFERROR(ABS(Table1[[#This Row],[Tol Span]]/Table1[[#This Row],[Error Span]]),"N/A"))</f>
        <v>N/A</v>
      </c>
      <c r="T983" s="1" t="str">
        <f>IF(OR(Table1[[#This Row],[Low Tol]]="",Table1[[#This Row],[High Tol]]=""),"Needs Analysis",IF(Table1[[#This Row],[Ratio]]&gt;=4,"Not Significant",IF(Table1[[#This Row],[Ratio]]&gt;=2,"Semi-Significant","Significant")))</f>
        <v>Needs Analysis</v>
      </c>
      <c r="W983" s="1">
        <f>IF(Table1[[#This Row],[Cal Type]]&lt;&gt;"ACCREDITED 17025 WITH UNCERTAINTIES",0,"")</f>
        <v>0</v>
      </c>
      <c r="X983" s="1" t="str">
        <f>IF(Table1[[#This Row],[DUT Read]]="","N/A",Table1[[#This Row],[Std Error]]+Table1[[#This Row],[DUT Read]]+Table1[[#This Row],[DUT Ucty]])</f>
        <v>N/A</v>
      </c>
      <c r="Y983" s="1" t="str">
        <f>IF(Table1[[#This Row],[Std Read]]="","N/A",Table1[[#This Row],[Std Read]]+Table1[[#This Row],[Std Ucty]])</f>
        <v>N/A</v>
      </c>
      <c r="Z9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3" s="1" t="str">
        <f>IF(Table1[[#This Row],[Spec Type]]="","N/A",Table1[[#This Row],[Spec Type]])</f>
        <v>±</v>
      </c>
      <c r="AC983" s="1" t="str">
        <f>IF(Table1[[#This Row],[Spec Type2]]="N/A","N/A",IF(AND(Table1[[#This Row],[DUT Adj Read]]&gt;=Table1[[#This Row],[Low Tol]],Table1[[#This Row],[DUT Adj Read]]&lt;=Table1[[#This Row],[High Tol]]),"Pass","Fail"))</f>
        <v>Fail</v>
      </c>
      <c r="AD983" s="1" t="str">
        <f>IF(AND(Table1[[#This Row],[Spec Type2]]="N/A",Table1[[#This Row],[DUT Adj Read]]="N/A",Table1[[#This Row],[Std Adj Read]]="N/A"),"N/A",IF(Table1[[#This Row],[DUT Adj Read]]="N/A",IF(Table1[[#This Row],[Std Adj Read]]&gt;Table1[[#This Row],[Low Tol]],"Pass","Fail"),IF(Table1[[#This Row],[DUT Adj Read]]&gt;Table1[[#This Row],[Low Tol]],"Pass","Fail")))</f>
        <v>Pass</v>
      </c>
      <c r="AE983" s="1" t="str">
        <f>IF(AND(Table1[[#This Row],[Spec Type2]]="N/A",Table1[[#This Row],[DUT Adj Read]]="N/A",Table1[[#This Row],[Std Adj Read]]="N/A"),"N/A",IF(Table1[[#This Row],[DUT Adj Read]]="N/A",IF(Table1[[#This Row],[Std Adj Read]]&lt;Table1[[#This Row],[High Tol]],"Pass","Fail"),IF(Table1[[#This Row],[DUT Adj Read]]&lt;Table1[[#This Row],[High Tol]],"Pass","Fail")))</f>
        <v>Fail</v>
      </c>
      <c r="AF983" s="1" t="str">
        <f>IF(AND(Table1[[#This Row],[Spec Type2]]="N/A",Table1[[#This Row],[DUT Adj Read]]="N/A",Table1[[#This Row],[Std Adj Read]]="N/A"),"N/A",IF(Table1[[#This Row],[DUT Adj Read]]="N/A",IF(Table1[[#This Row],[Std Adj Read]]&gt;=Table1[[#This Row],[Low Tol]],"Pass","Fail"),IF(Table1[[#This Row],[DUT Adj Read]]&gt;=Table1[[#This Row],[Low Tol]],"Pass","Fail")))</f>
        <v>Pass</v>
      </c>
      <c r="AG983" s="1" t="str">
        <f>IF(AND(Table1[[#This Row],[Spec Type2]]="N/A",Table1[[#This Row],[DUT Adj Read]]="N/A",Table1[[#This Row],[Std Adj Read]]="N/A"),"N/A",IF(Table1[[#This Row],[DUT Adj Read]]="N/A",IF(Table1[[#This Row],[Std Adj Read]]&lt;=Table1[[#This Row],[High Tol]],"Pass","Fail"),IF(Table1[[#This Row],[DUT Adj Read]]&lt;=Table1[[#This Row],[High Tol]],"Pass","Fail")))</f>
        <v>Fail</v>
      </c>
      <c r="AH9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3" s="1" t="b">
        <v>0</v>
      </c>
      <c r="AN983" s="1" t="b">
        <v>0</v>
      </c>
      <c r="AO983" s="1" t="b">
        <v>0</v>
      </c>
    </row>
    <row r="984" spans="1:41" x14ac:dyDescent="0.25">
      <c r="A984" s="10"/>
      <c r="B984" s="10"/>
      <c r="C984" s="10"/>
      <c r="D984" s="10"/>
      <c r="E984" s="10"/>
      <c r="F984" s="10"/>
      <c r="G984" s="10"/>
      <c r="H984" s="10"/>
      <c r="I984" s="1" t="str">
        <f t="shared" si="45"/>
        <v/>
      </c>
      <c r="J984" s="1" t="s">
        <v>35</v>
      </c>
      <c r="K984" s="1" t="str">
        <f t="shared" si="46"/>
        <v/>
      </c>
      <c r="L984" s="1" t="str">
        <f t="shared" si="47"/>
        <v/>
      </c>
      <c r="M984" s="1">
        <f>IF(OR(Table1[[#This Row],[Std Nom]]="",Table1[[#This Row],[Std Read]]=""),0,Table1[[#This Row],[Std Nom]]-Table1[[#This Row],[Std Read]])</f>
        <v>0</v>
      </c>
      <c r="N984" s="1">
        <f>IF(Calculations!$F$5="ACCREDITED 17025 WITH UNCERTAINTIES",$N$10,0)</f>
        <v>0</v>
      </c>
      <c r="Q984" s="1">
        <f>Table1[[#This Row],[High Tol]]-Table1[[#This Row],[Low Tol]]</f>
        <v>0</v>
      </c>
      <c r="R984" s="1">
        <f>2*Table1[[#This Row],[Std Error]]</f>
        <v>0</v>
      </c>
      <c r="S984" s="1" t="str">
        <f>IF(Table1[[#This Row],[High Tol]]="","N/A",IFERROR(ABS(Table1[[#This Row],[Tol Span]]/Table1[[#This Row],[Error Span]]),"N/A"))</f>
        <v>N/A</v>
      </c>
      <c r="T984" s="1" t="str">
        <f>IF(OR(Table1[[#This Row],[Low Tol]]="",Table1[[#This Row],[High Tol]]=""),"Needs Analysis",IF(Table1[[#This Row],[Ratio]]&gt;=4,"Not Significant",IF(Table1[[#This Row],[Ratio]]&gt;=2,"Semi-Significant","Significant")))</f>
        <v>Needs Analysis</v>
      </c>
      <c r="W984" s="1">
        <f>IF(Table1[[#This Row],[Cal Type]]&lt;&gt;"ACCREDITED 17025 WITH UNCERTAINTIES",0,"")</f>
        <v>0</v>
      </c>
      <c r="X984" s="1" t="str">
        <f>IF(Table1[[#This Row],[DUT Read]]="","N/A",Table1[[#This Row],[Std Error]]+Table1[[#This Row],[DUT Read]]+Table1[[#This Row],[DUT Ucty]])</f>
        <v>N/A</v>
      </c>
      <c r="Y984" s="1" t="str">
        <f>IF(Table1[[#This Row],[Std Read]]="","N/A",Table1[[#This Row],[Std Read]]+Table1[[#This Row],[Std Ucty]])</f>
        <v>N/A</v>
      </c>
      <c r="Z9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4" s="1" t="str">
        <f>IF(Table1[[#This Row],[Spec Type]]="","N/A",Table1[[#This Row],[Spec Type]])</f>
        <v>±</v>
      </c>
      <c r="AC984" s="1" t="str">
        <f>IF(Table1[[#This Row],[Spec Type2]]="N/A","N/A",IF(AND(Table1[[#This Row],[DUT Adj Read]]&gt;=Table1[[#This Row],[Low Tol]],Table1[[#This Row],[DUT Adj Read]]&lt;=Table1[[#This Row],[High Tol]]),"Pass","Fail"))</f>
        <v>Fail</v>
      </c>
      <c r="AD984" s="1" t="str">
        <f>IF(AND(Table1[[#This Row],[Spec Type2]]="N/A",Table1[[#This Row],[DUT Adj Read]]="N/A",Table1[[#This Row],[Std Adj Read]]="N/A"),"N/A",IF(Table1[[#This Row],[DUT Adj Read]]="N/A",IF(Table1[[#This Row],[Std Adj Read]]&gt;Table1[[#This Row],[Low Tol]],"Pass","Fail"),IF(Table1[[#This Row],[DUT Adj Read]]&gt;Table1[[#This Row],[Low Tol]],"Pass","Fail")))</f>
        <v>Pass</v>
      </c>
      <c r="AE984" s="1" t="str">
        <f>IF(AND(Table1[[#This Row],[Spec Type2]]="N/A",Table1[[#This Row],[DUT Adj Read]]="N/A",Table1[[#This Row],[Std Adj Read]]="N/A"),"N/A",IF(Table1[[#This Row],[DUT Adj Read]]="N/A",IF(Table1[[#This Row],[Std Adj Read]]&lt;Table1[[#This Row],[High Tol]],"Pass","Fail"),IF(Table1[[#This Row],[DUT Adj Read]]&lt;Table1[[#This Row],[High Tol]],"Pass","Fail")))</f>
        <v>Fail</v>
      </c>
      <c r="AF984" s="1" t="str">
        <f>IF(AND(Table1[[#This Row],[Spec Type2]]="N/A",Table1[[#This Row],[DUT Adj Read]]="N/A",Table1[[#This Row],[Std Adj Read]]="N/A"),"N/A",IF(Table1[[#This Row],[DUT Adj Read]]="N/A",IF(Table1[[#This Row],[Std Adj Read]]&gt;=Table1[[#This Row],[Low Tol]],"Pass","Fail"),IF(Table1[[#This Row],[DUT Adj Read]]&gt;=Table1[[#This Row],[Low Tol]],"Pass","Fail")))</f>
        <v>Pass</v>
      </c>
      <c r="AG984" s="1" t="str">
        <f>IF(AND(Table1[[#This Row],[Spec Type2]]="N/A",Table1[[#This Row],[DUT Adj Read]]="N/A",Table1[[#This Row],[Std Adj Read]]="N/A"),"N/A",IF(Table1[[#This Row],[DUT Adj Read]]="N/A",IF(Table1[[#This Row],[Std Adj Read]]&lt;=Table1[[#This Row],[High Tol]],"Pass","Fail"),IF(Table1[[#This Row],[DUT Adj Read]]&lt;=Table1[[#This Row],[High Tol]],"Pass","Fail")))</f>
        <v>Fail</v>
      </c>
      <c r="AH9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4" s="1" t="b">
        <v>0</v>
      </c>
      <c r="AN984" s="1" t="b">
        <v>0</v>
      </c>
      <c r="AO984" s="1" t="b">
        <v>0</v>
      </c>
    </row>
    <row r="985" spans="1:41" x14ac:dyDescent="0.25">
      <c r="A985" s="10"/>
      <c r="B985" s="10"/>
      <c r="C985" s="10"/>
      <c r="D985" s="10"/>
      <c r="E985" s="10"/>
      <c r="F985" s="10"/>
      <c r="G985" s="10"/>
      <c r="H985" s="10"/>
      <c r="I985" s="1" t="str">
        <f t="shared" si="45"/>
        <v/>
      </c>
      <c r="J985" s="1" t="s">
        <v>35</v>
      </c>
      <c r="K985" s="1" t="str">
        <f t="shared" si="46"/>
        <v/>
      </c>
      <c r="L985" s="1" t="str">
        <f t="shared" si="47"/>
        <v/>
      </c>
      <c r="M985" s="1">
        <f>IF(OR(Table1[[#This Row],[Std Nom]]="",Table1[[#This Row],[Std Read]]=""),0,Table1[[#This Row],[Std Nom]]-Table1[[#This Row],[Std Read]])</f>
        <v>0</v>
      </c>
      <c r="N985" s="1">
        <f>IF(Calculations!$F$5="ACCREDITED 17025 WITH UNCERTAINTIES",$N$10,0)</f>
        <v>0</v>
      </c>
      <c r="Q985" s="1">
        <f>Table1[[#This Row],[High Tol]]-Table1[[#This Row],[Low Tol]]</f>
        <v>0</v>
      </c>
      <c r="R985" s="1">
        <f>2*Table1[[#This Row],[Std Error]]</f>
        <v>0</v>
      </c>
      <c r="S985" s="1" t="str">
        <f>IF(Table1[[#This Row],[High Tol]]="","N/A",IFERROR(ABS(Table1[[#This Row],[Tol Span]]/Table1[[#This Row],[Error Span]]),"N/A"))</f>
        <v>N/A</v>
      </c>
      <c r="T985" s="1" t="str">
        <f>IF(OR(Table1[[#This Row],[Low Tol]]="",Table1[[#This Row],[High Tol]]=""),"Needs Analysis",IF(Table1[[#This Row],[Ratio]]&gt;=4,"Not Significant",IF(Table1[[#This Row],[Ratio]]&gt;=2,"Semi-Significant","Significant")))</f>
        <v>Needs Analysis</v>
      </c>
      <c r="W985" s="1">
        <f>IF(Table1[[#This Row],[Cal Type]]&lt;&gt;"ACCREDITED 17025 WITH UNCERTAINTIES",0,"")</f>
        <v>0</v>
      </c>
      <c r="X985" s="1" t="str">
        <f>IF(Table1[[#This Row],[DUT Read]]="","N/A",Table1[[#This Row],[Std Error]]+Table1[[#This Row],[DUT Read]]+Table1[[#This Row],[DUT Ucty]])</f>
        <v>N/A</v>
      </c>
      <c r="Y985" s="1" t="str">
        <f>IF(Table1[[#This Row],[Std Read]]="","N/A",Table1[[#This Row],[Std Read]]+Table1[[#This Row],[Std Ucty]])</f>
        <v>N/A</v>
      </c>
      <c r="Z9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5" s="1" t="str">
        <f>IF(Table1[[#This Row],[Spec Type]]="","N/A",Table1[[#This Row],[Spec Type]])</f>
        <v>±</v>
      </c>
      <c r="AC985" s="1" t="str">
        <f>IF(Table1[[#This Row],[Spec Type2]]="N/A","N/A",IF(AND(Table1[[#This Row],[DUT Adj Read]]&gt;=Table1[[#This Row],[Low Tol]],Table1[[#This Row],[DUT Adj Read]]&lt;=Table1[[#This Row],[High Tol]]),"Pass","Fail"))</f>
        <v>Fail</v>
      </c>
      <c r="AD985" s="1" t="str">
        <f>IF(AND(Table1[[#This Row],[Spec Type2]]="N/A",Table1[[#This Row],[DUT Adj Read]]="N/A",Table1[[#This Row],[Std Adj Read]]="N/A"),"N/A",IF(Table1[[#This Row],[DUT Adj Read]]="N/A",IF(Table1[[#This Row],[Std Adj Read]]&gt;Table1[[#This Row],[Low Tol]],"Pass","Fail"),IF(Table1[[#This Row],[DUT Adj Read]]&gt;Table1[[#This Row],[Low Tol]],"Pass","Fail")))</f>
        <v>Pass</v>
      </c>
      <c r="AE985" s="1" t="str">
        <f>IF(AND(Table1[[#This Row],[Spec Type2]]="N/A",Table1[[#This Row],[DUT Adj Read]]="N/A",Table1[[#This Row],[Std Adj Read]]="N/A"),"N/A",IF(Table1[[#This Row],[DUT Adj Read]]="N/A",IF(Table1[[#This Row],[Std Adj Read]]&lt;Table1[[#This Row],[High Tol]],"Pass","Fail"),IF(Table1[[#This Row],[DUT Adj Read]]&lt;Table1[[#This Row],[High Tol]],"Pass","Fail")))</f>
        <v>Fail</v>
      </c>
      <c r="AF985" s="1" t="str">
        <f>IF(AND(Table1[[#This Row],[Spec Type2]]="N/A",Table1[[#This Row],[DUT Adj Read]]="N/A",Table1[[#This Row],[Std Adj Read]]="N/A"),"N/A",IF(Table1[[#This Row],[DUT Adj Read]]="N/A",IF(Table1[[#This Row],[Std Adj Read]]&gt;=Table1[[#This Row],[Low Tol]],"Pass","Fail"),IF(Table1[[#This Row],[DUT Adj Read]]&gt;=Table1[[#This Row],[Low Tol]],"Pass","Fail")))</f>
        <v>Pass</v>
      </c>
      <c r="AG985" s="1" t="str">
        <f>IF(AND(Table1[[#This Row],[Spec Type2]]="N/A",Table1[[#This Row],[DUT Adj Read]]="N/A",Table1[[#This Row],[Std Adj Read]]="N/A"),"N/A",IF(Table1[[#This Row],[DUT Adj Read]]="N/A",IF(Table1[[#This Row],[Std Adj Read]]&lt;=Table1[[#This Row],[High Tol]],"Pass","Fail"),IF(Table1[[#This Row],[DUT Adj Read]]&lt;=Table1[[#This Row],[High Tol]],"Pass","Fail")))</f>
        <v>Fail</v>
      </c>
      <c r="AH9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5" s="1" t="b">
        <v>0</v>
      </c>
      <c r="AN985" s="1" t="b">
        <v>0</v>
      </c>
      <c r="AO985" s="1" t="b">
        <v>0</v>
      </c>
    </row>
    <row r="986" spans="1:41" x14ac:dyDescent="0.25">
      <c r="A986" s="10"/>
      <c r="B986" s="10"/>
      <c r="C986" s="10"/>
      <c r="D986" s="10"/>
      <c r="E986" s="10"/>
      <c r="F986" s="10"/>
      <c r="G986" s="10"/>
      <c r="H986" s="10"/>
      <c r="I986" s="1" t="str">
        <f t="shared" si="45"/>
        <v/>
      </c>
      <c r="J986" s="1" t="s">
        <v>35</v>
      </c>
      <c r="K986" s="1" t="str">
        <f t="shared" si="46"/>
        <v/>
      </c>
      <c r="L986" s="1" t="str">
        <f t="shared" si="47"/>
        <v/>
      </c>
      <c r="M986" s="1">
        <f>IF(OR(Table1[[#This Row],[Std Nom]]="",Table1[[#This Row],[Std Read]]=""),0,Table1[[#This Row],[Std Nom]]-Table1[[#This Row],[Std Read]])</f>
        <v>0</v>
      </c>
      <c r="N986" s="1">
        <f>IF(Calculations!$F$5="ACCREDITED 17025 WITH UNCERTAINTIES",$N$10,0)</f>
        <v>0</v>
      </c>
      <c r="Q986" s="1">
        <f>Table1[[#This Row],[High Tol]]-Table1[[#This Row],[Low Tol]]</f>
        <v>0</v>
      </c>
      <c r="R986" s="1">
        <f>2*Table1[[#This Row],[Std Error]]</f>
        <v>0</v>
      </c>
      <c r="S986" s="1" t="str">
        <f>IF(Table1[[#This Row],[High Tol]]="","N/A",IFERROR(ABS(Table1[[#This Row],[Tol Span]]/Table1[[#This Row],[Error Span]]),"N/A"))</f>
        <v>N/A</v>
      </c>
      <c r="T986" s="1" t="str">
        <f>IF(OR(Table1[[#This Row],[Low Tol]]="",Table1[[#This Row],[High Tol]]=""),"Needs Analysis",IF(Table1[[#This Row],[Ratio]]&gt;=4,"Not Significant",IF(Table1[[#This Row],[Ratio]]&gt;=2,"Semi-Significant","Significant")))</f>
        <v>Needs Analysis</v>
      </c>
      <c r="W986" s="1">
        <f>IF(Table1[[#This Row],[Cal Type]]&lt;&gt;"ACCREDITED 17025 WITH UNCERTAINTIES",0,"")</f>
        <v>0</v>
      </c>
      <c r="X986" s="1" t="str">
        <f>IF(Table1[[#This Row],[DUT Read]]="","N/A",Table1[[#This Row],[Std Error]]+Table1[[#This Row],[DUT Read]]+Table1[[#This Row],[DUT Ucty]])</f>
        <v>N/A</v>
      </c>
      <c r="Y986" s="1" t="str">
        <f>IF(Table1[[#This Row],[Std Read]]="","N/A",Table1[[#This Row],[Std Read]]+Table1[[#This Row],[Std Ucty]])</f>
        <v>N/A</v>
      </c>
      <c r="Z9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6" s="1" t="str">
        <f>IF(Table1[[#This Row],[Spec Type]]="","N/A",Table1[[#This Row],[Spec Type]])</f>
        <v>±</v>
      </c>
      <c r="AC986" s="1" t="str">
        <f>IF(Table1[[#This Row],[Spec Type2]]="N/A","N/A",IF(AND(Table1[[#This Row],[DUT Adj Read]]&gt;=Table1[[#This Row],[Low Tol]],Table1[[#This Row],[DUT Adj Read]]&lt;=Table1[[#This Row],[High Tol]]),"Pass","Fail"))</f>
        <v>Fail</v>
      </c>
      <c r="AD986" s="1" t="str">
        <f>IF(AND(Table1[[#This Row],[Spec Type2]]="N/A",Table1[[#This Row],[DUT Adj Read]]="N/A",Table1[[#This Row],[Std Adj Read]]="N/A"),"N/A",IF(Table1[[#This Row],[DUT Adj Read]]="N/A",IF(Table1[[#This Row],[Std Adj Read]]&gt;Table1[[#This Row],[Low Tol]],"Pass","Fail"),IF(Table1[[#This Row],[DUT Adj Read]]&gt;Table1[[#This Row],[Low Tol]],"Pass","Fail")))</f>
        <v>Pass</v>
      </c>
      <c r="AE986" s="1" t="str">
        <f>IF(AND(Table1[[#This Row],[Spec Type2]]="N/A",Table1[[#This Row],[DUT Adj Read]]="N/A",Table1[[#This Row],[Std Adj Read]]="N/A"),"N/A",IF(Table1[[#This Row],[DUT Adj Read]]="N/A",IF(Table1[[#This Row],[Std Adj Read]]&lt;Table1[[#This Row],[High Tol]],"Pass","Fail"),IF(Table1[[#This Row],[DUT Adj Read]]&lt;Table1[[#This Row],[High Tol]],"Pass","Fail")))</f>
        <v>Fail</v>
      </c>
      <c r="AF986" s="1" t="str">
        <f>IF(AND(Table1[[#This Row],[Spec Type2]]="N/A",Table1[[#This Row],[DUT Adj Read]]="N/A",Table1[[#This Row],[Std Adj Read]]="N/A"),"N/A",IF(Table1[[#This Row],[DUT Adj Read]]="N/A",IF(Table1[[#This Row],[Std Adj Read]]&gt;=Table1[[#This Row],[Low Tol]],"Pass","Fail"),IF(Table1[[#This Row],[DUT Adj Read]]&gt;=Table1[[#This Row],[Low Tol]],"Pass","Fail")))</f>
        <v>Pass</v>
      </c>
      <c r="AG986" s="1" t="str">
        <f>IF(AND(Table1[[#This Row],[Spec Type2]]="N/A",Table1[[#This Row],[DUT Adj Read]]="N/A",Table1[[#This Row],[Std Adj Read]]="N/A"),"N/A",IF(Table1[[#This Row],[DUT Adj Read]]="N/A",IF(Table1[[#This Row],[Std Adj Read]]&lt;=Table1[[#This Row],[High Tol]],"Pass","Fail"),IF(Table1[[#This Row],[DUT Adj Read]]&lt;=Table1[[#This Row],[High Tol]],"Pass","Fail")))</f>
        <v>Fail</v>
      </c>
      <c r="AH9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6" s="1" t="b">
        <v>0</v>
      </c>
      <c r="AN986" s="1" t="b">
        <v>0</v>
      </c>
      <c r="AO986" s="1" t="b">
        <v>0</v>
      </c>
    </row>
    <row r="987" spans="1:41" x14ac:dyDescent="0.25">
      <c r="A987" s="10"/>
      <c r="B987" s="10"/>
      <c r="C987" s="10"/>
      <c r="D987" s="10"/>
      <c r="E987" s="10"/>
      <c r="F987" s="10"/>
      <c r="G987" s="10"/>
      <c r="H987" s="10"/>
      <c r="I987" s="1" t="str">
        <f t="shared" si="45"/>
        <v/>
      </c>
      <c r="J987" s="1" t="s">
        <v>35</v>
      </c>
      <c r="K987" s="1" t="str">
        <f t="shared" si="46"/>
        <v/>
      </c>
      <c r="L987" s="1" t="str">
        <f t="shared" si="47"/>
        <v/>
      </c>
      <c r="M987" s="1">
        <f>IF(OR(Table1[[#This Row],[Std Nom]]="",Table1[[#This Row],[Std Read]]=""),0,Table1[[#This Row],[Std Nom]]-Table1[[#This Row],[Std Read]])</f>
        <v>0</v>
      </c>
      <c r="N987" s="1">
        <f>IF(Calculations!$F$5="ACCREDITED 17025 WITH UNCERTAINTIES",$N$10,0)</f>
        <v>0</v>
      </c>
      <c r="Q987" s="1">
        <f>Table1[[#This Row],[High Tol]]-Table1[[#This Row],[Low Tol]]</f>
        <v>0</v>
      </c>
      <c r="R987" s="1">
        <f>2*Table1[[#This Row],[Std Error]]</f>
        <v>0</v>
      </c>
      <c r="S987" s="1" t="str">
        <f>IF(Table1[[#This Row],[High Tol]]="","N/A",IFERROR(ABS(Table1[[#This Row],[Tol Span]]/Table1[[#This Row],[Error Span]]),"N/A"))</f>
        <v>N/A</v>
      </c>
      <c r="T987" s="1" t="str">
        <f>IF(OR(Table1[[#This Row],[Low Tol]]="",Table1[[#This Row],[High Tol]]=""),"Needs Analysis",IF(Table1[[#This Row],[Ratio]]&gt;=4,"Not Significant",IF(Table1[[#This Row],[Ratio]]&gt;=2,"Semi-Significant","Significant")))</f>
        <v>Needs Analysis</v>
      </c>
      <c r="W987" s="1">
        <f>IF(Table1[[#This Row],[Cal Type]]&lt;&gt;"ACCREDITED 17025 WITH UNCERTAINTIES",0,"")</f>
        <v>0</v>
      </c>
      <c r="X987" s="1" t="str">
        <f>IF(Table1[[#This Row],[DUT Read]]="","N/A",Table1[[#This Row],[Std Error]]+Table1[[#This Row],[DUT Read]]+Table1[[#This Row],[DUT Ucty]])</f>
        <v>N/A</v>
      </c>
      <c r="Y987" s="1" t="str">
        <f>IF(Table1[[#This Row],[Std Read]]="","N/A",Table1[[#This Row],[Std Read]]+Table1[[#This Row],[Std Ucty]])</f>
        <v>N/A</v>
      </c>
      <c r="Z9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7" s="1" t="str">
        <f>IF(Table1[[#This Row],[Spec Type]]="","N/A",Table1[[#This Row],[Spec Type]])</f>
        <v>±</v>
      </c>
      <c r="AC987" s="1" t="str">
        <f>IF(Table1[[#This Row],[Spec Type2]]="N/A","N/A",IF(AND(Table1[[#This Row],[DUT Adj Read]]&gt;=Table1[[#This Row],[Low Tol]],Table1[[#This Row],[DUT Adj Read]]&lt;=Table1[[#This Row],[High Tol]]),"Pass","Fail"))</f>
        <v>Fail</v>
      </c>
      <c r="AD987" s="1" t="str">
        <f>IF(AND(Table1[[#This Row],[Spec Type2]]="N/A",Table1[[#This Row],[DUT Adj Read]]="N/A",Table1[[#This Row],[Std Adj Read]]="N/A"),"N/A",IF(Table1[[#This Row],[DUT Adj Read]]="N/A",IF(Table1[[#This Row],[Std Adj Read]]&gt;Table1[[#This Row],[Low Tol]],"Pass","Fail"),IF(Table1[[#This Row],[DUT Adj Read]]&gt;Table1[[#This Row],[Low Tol]],"Pass","Fail")))</f>
        <v>Pass</v>
      </c>
      <c r="AE987" s="1" t="str">
        <f>IF(AND(Table1[[#This Row],[Spec Type2]]="N/A",Table1[[#This Row],[DUT Adj Read]]="N/A",Table1[[#This Row],[Std Adj Read]]="N/A"),"N/A",IF(Table1[[#This Row],[DUT Adj Read]]="N/A",IF(Table1[[#This Row],[Std Adj Read]]&lt;Table1[[#This Row],[High Tol]],"Pass","Fail"),IF(Table1[[#This Row],[DUT Adj Read]]&lt;Table1[[#This Row],[High Tol]],"Pass","Fail")))</f>
        <v>Fail</v>
      </c>
      <c r="AF987" s="1" t="str">
        <f>IF(AND(Table1[[#This Row],[Spec Type2]]="N/A",Table1[[#This Row],[DUT Adj Read]]="N/A",Table1[[#This Row],[Std Adj Read]]="N/A"),"N/A",IF(Table1[[#This Row],[DUT Adj Read]]="N/A",IF(Table1[[#This Row],[Std Adj Read]]&gt;=Table1[[#This Row],[Low Tol]],"Pass","Fail"),IF(Table1[[#This Row],[DUT Adj Read]]&gt;=Table1[[#This Row],[Low Tol]],"Pass","Fail")))</f>
        <v>Pass</v>
      </c>
      <c r="AG987" s="1" t="str">
        <f>IF(AND(Table1[[#This Row],[Spec Type2]]="N/A",Table1[[#This Row],[DUT Adj Read]]="N/A",Table1[[#This Row],[Std Adj Read]]="N/A"),"N/A",IF(Table1[[#This Row],[DUT Adj Read]]="N/A",IF(Table1[[#This Row],[Std Adj Read]]&lt;=Table1[[#This Row],[High Tol]],"Pass","Fail"),IF(Table1[[#This Row],[DUT Adj Read]]&lt;=Table1[[#This Row],[High Tol]],"Pass","Fail")))</f>
        <v>Fail</v>
      </c>
      <c r="AH9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7" s="1" t="b">
        <v>0</v>
      </c>
      <c r="AN987" s="1" t="b">
        <v>0</v>
      </c>
      <c r="AO987" s="1" t="b">
        <v>0</v>
      </c>
    </row>
    <row r="988" spans="1:41" x14ac:dyDescent="0.25">
      <c r="A988" s="10"/>
      <c r="B988" s="10"/>
      <c r="C988" s="10"/>
      <c r="D988" s="10"/>
      <c r="E988" s="10"/>
      <c r="F988" s="10"/>
      <c r="G988" s="10"/>
      <c r="H988" s="10"/>
      <c r="I988" s="1" t="str">
        <f t="shared" si="45"/>
        <v/>
      </c>
      <c r="J988" s="1" t="s">
        <v>35</v>
      </c>
      <c r="K988" s="1" t="str">
        <f t="shared" si="46"/>
        <v/>
      </c>
      <c r="L988" s="1" t="str">
        <f t="shared" si="47"/>
        <v/>
      </c>
      <c r="M988" s="1">
        <f>IF(OR(Table1[[#This Row],[Std Nom]]="",Table1[[#This Row],[Std Read]]=""),0,Table1[[#This Row],[Std Nom]]-Table1[[#This Row],[Std Read]])</f>
        <v>0</v>
      </c>
      <c r="N988" s="1">
        <f>IF(Calculations!$F$5="ACCREDITED 17025 WITH UNCERTAINTIES",$N$10,0)</f>
        <v>0</v>
      </c>
      <c r="Q988" s="1">
        <f>Table1[[#This Row],[High Tol]]-Table1[[#This Row],[Low Tol]]</f>
        <v>0</v>
      </c>
      <c r="R988" s="1">
        <f>2*Table1[[#This Row],[Std Error]]</f>
        <v>0</v>
      </c>
      <c r="S988" s="1" t="str">
        <f>IF(Table1[[#This Row],[High Tol]]="","N/A",IFERROR(ABS(Table1[[#This Row],[Tol Span]]/Table1[[#This Row],[Error Span]]),"N/A"))</f>
        <v>N/A</v>
      </c>
      <c r="T988" s="1" t="str">
        <f>IF(OR(Table1[[#This Row],[Low Tol]]="",Table1[[#This Row],[High Tol]]=""),"Needs Analysis",IF(Table1[[#This Row],[Ratio]]&gt;=4,"Not Significant",IF(Table1[[#This Row],[Ratio]]&gt;=2,"Semi-Significant","Significant")))</f>
        <v>Needs Analysis</v>
      </c>
      <c r="W988" s="1">
        <f>IF(Table1[[#This Row],[Cal Type]]&lt;&gt;"ACCREDITED 17025 WITH UNCERTAINTIES",0,"")</f>
        <v>0</v>
      </c>
      <c r="X988" s="1" t="str">
        <f>IF(Table1[[#This Row],[DUT Read]]="","N/A",Table1[[#This Row],[Std Error]]+Table1[[#This Row],[DUT Read]]+Table1[[#This Row],[DUT Ucty]])</f>
        <v>N/A</v>
      </c>
      <c r="Y988" s="1" t="str">
        <f>IF(Table1[[#This Row],[Std Read]]="","N/A",Table1[[#This Row],[Std Read]]+Table1[[#This Row],[Std Ucty]])</f>
        <v>N/A</v>
      </c>
      <c r="Z9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8" s="1" t="str">
        <f>IF(Table1[[#This Row],[Spec Type]]="","N/A",Table1[[#This Row],[Spec Type]])</f>
        <v>±</v>
      </c>
      <c r="AC988" s="1" t="str">
        <f>IF(Table1[[#This Row],[Spec Type2]]="N/A","N/A",IF(AND(Table1[[#This Row],[DUT Adj Read]]&gt;=Table1[[#This Row],[Low Tol]],Table1[[#This Row],[DUT Adj Read]]&lt;=Table1[[#This Row],[High Tol]]),"Pass","Fail"))</f>
        <v>Fail</v>
      </c>
      <c r="AD988" s="1" t="str">
        <f>IF(AND(Table1[[#This Row],[Spec Type2]]="N/A",Table1[[#This Row],[DUT Adj Read]]="N/A",Table1[[#This Row],[Std Adj Read]]="N/A"),"N/A",IF(Table1[[#This Row],[DUT Adj Read]]="N/A",IF(Table1[[#This Row],[Std Adj Read]]&gt;Table1[[#This Row],[Low Tol]],"Pass","Fail"),IF(Table1[[#This Row],[DUT Adj Read]]&gt;Table1[[#This Row],[Low Tol]],"Pass","Fail")))</f>
        <v>Pass</v>
      </c>
      <c r="AE988" s="1" t="str">
        <f>IF(AND(Table1[[#This Row],[Spec Type2]]="N/A",Table1[[#This Row],[DUT Adj Read]]="N/A",Table1[[#This Row],[Std Adj Read]]="N/A"),"N/A",IF(Table1[[#This Row],[DUT Adj Read]]="N/A",IF(Table1[[#This Row],[Std Adj Read]]&lt;Table1[[#This Row],[High Tol]],"Pass","Fail"),IF(Table1[[#This Row],[DUT Adj Read]]&lt;Table1[[#This Row],[High Tol]],"Pass","Fail")))</f>
        <v>Fail</v>
      </c>
      <c r="AF988" s="1" t="str">
        <f>IF(AND(Table1[[#This Row],[Spec Type2]]="N/A",Table1[[#This Row],[DUT Adj Read]]="N/A",Table1[[#This Row],[Std Adj Read]]="N/A"),"N/A",IF(Table1[[#This Row],[DUT Adj Read]]="N/A",IF(Table1[[#This Row],[Std Adj Read]]&gt;=Table1[[#This Row],[Low Tol]],"Pass","Fail"),IF(Table1[[#This Row],[DUT Adj Read]]&gt;=Table1[[#This Row],[Low Tol]],"Pass","Fail")))</f>
        <v>Pass</v>
      </c>
      <c r="AG988" s="1" t="str">
        <f>IF(AND(Table1[[#This Row],[Spec Type2]]="N/A",Table1[[#This Row],[DUT Adj Read]]="N/A",Table1[[#This Row],[Std Adj Read]]="N/A"),"N/A",IF(Table1[[#This Row],[DUT Adj Read]]="N/A",IF(Table1[[#This Row],[Std Adj Read]]&lt;=Table1[[#This Row],[High Tol]],"Pass","Fail"),IF(Table1[[#This Row],[DUT Adj Read]]&lt;=Table1[[#This Row],[High Tol]],"Pass","Fail")))</f>
        <v>Fail</v>
      </c>
      <c r="AH9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8" s="1" t="b">
        <v>0</v>
      </c>
      <c r="AN988" s="1" t="b">
        <v>0</v>
      </c>
      <c r="AO988" s="1" t="b">
        <v>0</v>
      </c>
    </row>
    <row r="989" spans="1:41" x14ac:dyDescent="0.25">
      <c r="A989" s="10"/>
      <c r="B989" s="10"/>
      <c r="C989" s="10"/>
      <c r="D989" s="10"/>
      <c r="E989" s="10"/>
      <c r="F989" s="10"/>
      <c r="G989" s="10"/>
      <c r="H989" s="10"/>
      <c r="I989" s="1" t="str">
        <f t="shared" si="45"/>
        <v/>
      </c>
      <c r="J989" s="1" t="s">
        <v>35</v>
      </c>
      <c r="K989" s="1" t="str">
        <f t="shared" si="46"/>
        <v/>
      </c>
      <c r="L989" s="1" t="str">
        <f t="shared" si="47"/>
        <v/>
      </c>
      <c r="M989" s="1">
        <f>IF(OR(Table1[[#This Row],[Std Nom]]="",Table1[[#This Row],[Std Read]]=""),0,Table1[[#This Row],[Std Nom]]-Table1[[#This Row],[Std Read]])</f>
        <v>0</v>
      </c>
      <c r="N989" s="1">
        <f>IF(Calculations!$F$5="ACCREDITED 17025 WITH UNCERTAINTIES",$N$10,0)</f>
        <v>0</v>
      </c>
      <c r="Q989" s="1">
        <f>Table1[[#This Row],[High Tol]]-Table1[[#This Row],[Low Tol]]</f>
        <v>0</v>
      </c>
      <c r="R989" s="1">
        <f>2*Table1[[#This Row],[Std Error]]</f>
        <v>0</v>
      </c>
      <c r="S989" s="1" t="str">
        <f>IF(Table1[[#This Row],[High Tol]]="","N/A",IFERROR(ABS(Table1[[#This Row],[Tol Span]]/Table1[[#This Row],[Error Span]]),"N/A"))</f>
        <v>N/A</v>
      </c>
      <c r="T989" s="1" t="str">
        <f>IF(OR(Table1[[#This Row],[Low Tol]]="",Table1[[#This Row],[High Tol]]=""),"Needs Analysis",IF(Table1[[#This Row],[Ratio]]&gt;=4,"Not Significant",IF(Table1[[#This Row],[Ratio]]&gt;=2,"Semi-Significant","Significant")))</f>
        <v>Needs Analysis</v>
      </c>
      <c r="W989" s="1">
        <f>IF(Table1[[#This Row],[Cal Type]]&lt;&gt;"ACCREDITED 17025 WITH UNCERTAINTIES",0,"")</f>
        <v>0</v>
      </c>
      <c r="X989" s="1" t="str">
        <f>IF(Table1[[#This Row],[DUT Read]]="","N/A",Table1[[#This Row],[Std Error]]+Table1[[#This Row],[DUT Read]]+Table1[[#This Row],[DUT Ucty]])</f>
        <v>N/A</v>
      </c>
      <c r="Y989" s="1" t="str">
        <f>IF(Table1[[#This Row],[Std Read]]="","N/A",Table1[[#This Row],[Std Read]]+Table1[[#This Row],[Std Ucty]])</f>
        <v>N/A</v>
      </c>
      <c r="Z9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89" s="1" t="str">
        <f>IF(Table1[[#This Row],[Spec Type]]="","N/A",Table1[[#This Row],[Spec Type]])</f>
        <v>±</v>
      </c>
      <c r="AC989" s="1" t="str">
        <f>IF(Table1[[#This Row],[Spec Type2]]="N/A","N/A",IF(AND(Table1[[#This Row],[DUT Adj Read]]&gt;=Table1[[#This Row],[Low Tol]],Table1[[#This Row],[DUT Adj Read]]&lt;=Table1[[#This Row],[High Tol]]),"Pass","Fail"))</f>
        <v>Fail</v>
      </c>
      <c r="AD989" s="1" t="str">
        <f>IF(AND(Table1[[#This Row],[Spec Type2]]="N/A",Table1[[#This Row],[DUT Adj Read]]="N/A",Table1[[#This Row],[Std Adj Read]]="N/A"),"N/A",IF(Table1[[#This Row],[DUT Adj Read]]="N/A",IF(Table1[[#This Row],[Std Adj Read]]&gt;Table1[[#This Row],[Low Tol]],"Pass","Fail"),IF(Table1[[#This Row],[DUT Adj Read]]&gt;Table1[[#This Row],[Low Tol]],"Pass","Fail")))</f>
        <v>Pass</v>
      </c>
      <c r="AE989" s="1" t="str">
        <f>IF(AND(Table1[[#This Row],[Spec Type2]]="N/A",Table1[[#This Row],[DUT Adj Read]]="N/A",Table1[[#This Row],[Std Adj Read]]="N/A"),"N/A",IF(Table1[[#This Row],[DUT Adj Read]]="N/A",IF(Table1[[#This Row],[Std Adj Read]]&lt;Table1[[#This Row],[High Tol]],"Pass","Fail"),IF(Table1[[#This Row],[DUT Adj Read]]&lt;Table1[[#This Row],[High Tol]],"Pass","Fail")))</f>
        <v>Fail</v>
      </c>
      <c r="AF989" s="1" t="str">
        <f>IF(AND(Table1[[#This Row],[Spec Type2]]="N/A",Table1[[#This Row],[DUT Adj Read]]="N/A",Table1[[#This Row],[Std Adj Read]]="N/A"),"N/A",IF(Table1[[#This Row],[DUT Adj Read]]="N/A",IF(Table1[[#This Row],[Std Adj Read]]&gt;=Table1[[#This Row],[Low Tol]],"Pass","Fail"),IF(Table1[[#This Row],[DUT Adj Read]]&gt;=Table1[[#This Row],[Low Tol]],"Pass","Fail")))</f>
        <v>Pass</v>
      </c>
      <c r="AG989" s="1" t="str">
        <f>IF(AND(Table1[[#This Row],[Spec Type2]]="N/A",Table1[[#This Row],[DUT Adj Read]]="N/A",Table1[[#This Row],[Std Adj Read]]="N/A"),"N/A",IF(Table1[[#This Row],[DUT Adj Read]]="N/A",IF(Table1[[#This Row],[Std Adj Read]]&lt;=Table1[[#This Row],[High Tol]],"Pass","Fail"),IF(Table1[[#This Row],[DUT Adj Read]]&lt;=Table1[[#This Row],[High Tol]],"Pass","Fail")))</f>
        <v>Fail</v>
      </c>
      <c r="AH9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89" s="1" t="b">
        <v>0</v>
      </c>
      <c r="AN989" s="1" t="b">
        <v>0</v>
      </c>
      <c r="AO989" s="1" t="b">
        <v>0</v>
      </c>
    </row>
    <row r="990" spans="1:41" x14ac:dyDescent="0.25">
      <c r="A990" s="10"/>
      <c r="B990" s="10"/>
      <c r="C990" s="10"/>
      <c r="D990" s="10"/>
      <c r="E990" s="10"/>
      <c r="F990" s="10"/>
      <c r="G990" s="10"/>
      <c r="H990" s="10"/>
      <c r="I990" s="1" t="str">
        <f t="shared" si="45"/>
        <v/>
      </c>
      <c r="J990" s="1" t="s">
        <v>35</v>
      </c>
      <c r="K990" s="1" t="str">
        <f t="shared" si="46"/>
        <v/>
      </c>
      <c r="L990" s="1" t="str">
        <f t="shared" si="47"/>
        <v/>
      </c>
      <c r="M990" s="1">
        <f>IF(OR(Table1[[#This Row],[Std Nom]]="",Table1[[#This Row],[Std Read]]=""),0,Table1[[#This Row],[Std Nom]]-Table1[[#This Row],[Std Read]])</f>
        <v>0</v>
      </c>
      <c r="N990" s="1">
        <f>IF(Calculations!$F$5="ACCREDITED 17025 WITH UNCERTAINTIES",$N$10,0)</f>
        <v>0</v>
      </c>
      <c r="Q990" s="1">
        <f>Table1[[#This Row],[High Tol]]-Table1[[#This Row],[Low Tol]]</f>
        <v>0</v>
      </c>
      <c r="R990" s="1">
        <f>2*Table1[[#This Row],[Std Error]]</f>
        <v>0</v>
      </c>
      <c r="S990" s="1" t="str">
        <f>IF(Table1[[#This Row],[High Tol]]="","N/A",IFERROR(ABS(Table1[[#This Row],[Tol Span]]/Table1[[#This Row],[Error Span]]),"N/A"))</f>
        <v>N/A</v>
      </c>
      <c r="T990" s="1" t="str">
        <f>IF(OR(Table1[[#This Row],[Low Tol]]="",Table1[[#This Row],[High Tol]]=""),"Needs Analysis",IF(Table1[[#This Row],[Ratio]]&gt;=4,"Not Significant",IF(Table1[[#This Row],[Ratio]]&gt;=2,"Semi-Significant","Significant")))</f>
        <v>Needs Analysis</v>
      </c>
      <c r="W990" s="1">
        <f>IF(Table1[[#This Row],[Cal Type]]&lt;&gt;"ACCREDITED 17025 WITH UNCERTAINTIES",0,"")</f>
        <v>0</v>
      </c>
      <c r="X990" s="1" t="str">
        <f>IF(Table1[[#This Row],[DUT Read]]="","N/A",Table1[[#This Row],[Std Error]]+Table1[[#This Row],[DUT Read]]+Table1[[#This Row],[DUT Ucty]])</f>
        <v>N/A</v>
      </c>
      <c r="Y990" s="1" t="str">
        <f>IF(Table1[[#This Row],[Std Read]]="","N/A",Table1[[#This Row],[Std Read]]+Table1[[#This Row],[Std Ucty]])</f>
        <v>N/A</v>
      </c>
      <c r="Z9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0" s="1" t="str">
        <f>IF(Table1[[#This Row],[Spec Type]]="","N/A",Table1[[#This Row],[Spec Type]])</f>
        <v>±</v>
      </c>
      <c r="AC990" s="1" t="str">
        <f>IF(Table1[[#This Row],[Spec Type2]]="N/A","N/A",IF(AND(Table1[[#This Row],[DUT Adj Read]]&gt;=Table1[[#This Row],[Low Tol]],Table1[[#This Row],[DUT Adj Read]]&lt;=Table1[[#This Row],[High Tol]]),"Pass","Fail"))</f>
        <v>Fail</v>
      </c>
      <c r="AD990" s="1" t="str">
        <f>IF(AND(Table1[[#This Row],[Spec Type2]]="N/A",Table1[[#This Row],[DUT Adj Read]]="N/A",Table1[[#This Row],[Std Adj Read]]="N/A"),"N/A",IF(Table1[[#This Row],[DUT Adj Read]]="N/A",IF(Table1[[#This Row],[Std Adj Read]]&gt;Table1[[#This Row],[Low Tol]],"Pass","Fail"),IF(Table1[[#This Row],[DUT Adj Read]]&gt;Table1[[#This Row],[Low Tol]],"Pass","Fail")))</f>
        <v>Pass</v>
      </c>
      <c r="AE990" s="1" t="str">
        <f>IF(AND(Table1[[#This Row],[Spec Type2]]="N/A",Table1[[#This Row],[DUT Adj Read]]="N/A",Table1[[#This Row],[Std Adj Read]]="N/A"),"N/A",IF(Table1[[#This Row],[DUT Adj Read]]="N/A",IF(Table1[[#This Row],[Std Adj Read]]&lt;Table1[[#This Row],[High Tol]],"Pass","Fail"),IF(Table1[[#This Row],[DUT Adj Read]]&lt;Table1[[#This Row],[High Tol]],"Pass","Fail")))</f>
        <v>Fail</v>
      </c>
      <c r="AF990" s="1" t="str">
        <f>IF(AND(Table1[[#This Row],[Spec Type2]]="N/A",Table1[[#This Row],[DUT Adj Read]]="N/A",Table1[[#This Row],[Std Adj Read]]="N/A"),"N/A",IF(Table1[[#This Row],[DUT Adj Read]]="N/A",IF(Table1[[#This Row],[Std Adj Read]]&gt;=Table1[[#This Row],[Low Tol]],"Pass","Fail"),IF(Table1[[#This Row],[DUT Adj Read]]&gt;=Table1[[#This Row],[Low Tol]],"Pass","Fail")))</f>
        <v>Pass</v>
      </c>
      <c r="AG990" s="1" t="str">
        <f>IF(AND(Table1[[#This Row],[Spec Type2]]="N/A",Table1[[#This Row],[DUT Adj Read]]="N/A",Table1[[#This Row],[Std Adj Read]]="N/A"),"N/A",IF(Table1[[#This Row],[DUT Adj Read]]="N/A",IF(Table1[[#This Row],[Std Adj Read]]&lt;=Table1[[#This Row],[High Tol]],"Pass","Fail"),IF(Table1[[#This Row],[DUT Adj Read]]&lt;=Table1[[#This Row],[High Tol]],"Pass","Fail")))</f>
        <v>Fail</v>
      </c>
      <c r="AH9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0" s="1" t="b">
        <v>0</v>
      </c>
      <c r="AN990" s="1" t="b">
        <v>0</v>
      </c>
      <c r="AO990" s="1" t="b">
        <v>0</v>
      </c>
    </row>
    <row r="991" spans="1:41" x14ac:dyDescent="0.25">
      <c r="A991" s="10"/>
      <c r="B991" s="10"/>
      <c r="C991" s="10"/>
      <c r="D991" s="10"/>
      <c r="E991" s="10"/>
      <c r="F991" s="10"/>
      <c r="G991" s="10"/>
      <c r="H991" s="10"/>
      <c r="I991" s="1" t="str">
        <f t="shared" si="45"/>
        <v/>
      </c>
      <c r="J991" s="1" t="s">
        <v>35</v>
      </c>
      <c r="K991" s="1" t="str">
        <f t="shared" si="46"/>
        <v/>
      </c>
      <c r="L991" s="1" t="str">
        <f t="shared" si="47"/>
        <v/>
      </c>
      <c r="M991" s="1">
        <f>IF(OR(Table1[[#This Row],[Std Nom]]="",Table1[[#This Row],[Std Read]]=""),0,Table1[[#This Row],[Std Nom]]-Table1[[#This Row],[Std Read]])</f>
        <v>0</v>
      </c>
      <c r="N991" s="1">
        <f>IF(Calculations!$F$5="ACCREDITED 17025 WITH UNCERTAINTIES",$N$10,0)</f>
        <v>0</v>
      </c>
      <c r="Q991" s="1">
        <f>Table1[[#This Row],[High Tol]]-Table1[[#This Row],[Low Tol]]</f>
        <v>0</v>
      </c>
      <c r="R991" s="1">
        <f>2*Table1[[#This Row],[Std Error]]</f>
        <v>0</v>
      </c>
      <c r="S991" s="1" t="str">
        <f>IF(Table1[[#This Row],[High Tol]]="","N/A",IFERROR(ABS(Table1[[#This Row],[Tol Span]]/Table1[[#This Row],[Error Span]]),"N/A"))</f>
        <v>N/A</v>
      </c>
      <c r="T991" s="1" t="str">
        <f>IF(OR(Table1[[#This Row],[Low Tol]]="",Table1[[#This Row],[High Tol]]=""),"Needs Analysis",IF(Table1[[#This Row],[Ratio]]&gt;=4,"Not Significant",IF(Table1[[#This Row],[Ratio]]&gt;=2,"Semi-Significant","Significant")))</f>
        <v>Needs Analysis</v>
      </c>
      <c r="W991" s="1">
        <f>IF(Table1[[#This Row],[Cal Type]]&lt;&gt;"ACCREDITED 17025 WITH UNCERTAINTIES",0,"")</f>
        <v>0</v>
      </c>
      <c r="X991" s="1" t="str">
        <f>IF(Table1[[#This Row],[DUT Read]]="","N/A",Table1[[#This Row],[Std Error]]+Table1[[#This Row],[DUT Read]]+Table1[[#This Row],[DUT Ucty]])</f>
        <v>N/A</v>
      </c>
      <c r="Y991" s="1" t="str">
        <f>IF(Table1[[#This Row],[Std Read]]="","N/A",Table1[[#This Row],[Std Read]]+Table1[[#This Row],[Std Ucty]])</f>
        <v>N/A</v>
      </c>
      <c r="Z9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1" s="1" t="str">
        <f>IF(Table1[[#This Row],[Spec Type]]="","N/A",Table1[[#This Row],[Spec Type]])</f>
        <v>±</v>
      </c>
      <c r="AC991" s="1" t="str">
        <f>IF(Table1[[#This Row],[Spec Type2]]="N/A","N/A",IF(AND(Table1[[#This Row],[DUT Adj Read]]&gt;=Table1[[#This Row],[Low Tol]],Table1[[#This Row],[DUT Adj Read]]&lt;=Table1[[#This Row],[High Tol]]),"Pass","Fail"))</f>
        <v>Fail</v>
      </c>
      <c r="AD991" s="1" t="str">
        <f>IF(AND(Table1[[#This Row],[Spec Type2]]="N/A",Table1[[#This Row],[DUT Adj Read]]="N/A",Table1[[#This Row],[Std Adj Read]]="N/A"),"N/A",IF(Table1[[#This Row],[DUT Adj Read]]="N/A",IF(Table1[[#This Row],[Std Adj Read]]&gt;Table1[[#This Row],[Low Tol]],"Pass","Fail"),IF(Table1[[#This Row],[DUT Adj Read]]&gt;Table1[[#This Row],[Low Tol]],"Pass","Fail")))</f>
        <v>Pass</v>
      </c>
      <c r="AE991" s="1" t="str">
        <f>IF(AND(Table1[[#This Row],[Spec Type2]]="N/A",Table1[[#This Row],[DUT Adj Read]]="N/A",Table1[[#This Row],[Std Adj Read]]="N/A"),"N/A",IF(Table1[[#This Row],[DUT Adj Read]]="N/A",IF(Table1[[#This Row],[Std Adj Read]]&lt;Table1[[#This Row],[High Tol]],"Pass","Fail"),IF(Table1[[#This Row],[DUT Adj Read]]&lt;Table1[[#This Row],[High Tol]],"Pass","Fail")))</f>
        <v>Fail</v>
      </c>
      <c r="AF991" s="1" t="str">
        <f>IF(AND(Table1[[#This Row],[Spec Type2]]="N/A",Table1[[#This Row],[DUT Adj Read]]="N/A",Table1[[#This Row],[Std Adj Read]]="N/A"),"N/A",IF(Table1[[#This Row],[DUT Adj Read]]="N/A",IF(Table1[[#This Row],[Std Adj Read]]&gt;=Table1[[#This Row],[Low Tol]],"Pass","Fail"),IF(Table1[[#This Row],[DUT Adj Read]]&gt;=Table1[[#This Row],[Low Tol]],"Pass","Fail")))</f>
        <v>Pass</v>
      </c>
      <c r="AG991" s="1" t="str">
        <f>IF(AND(Table1[[#This Row],[Spec Type2]]="N/A",Table1[[#This Row],[DUT Adj Read]]="N/A",Table1[[#This Row],[Std Adj Read]]="N/A"),"N/A",IF(Table1[[#This Row],[DUT Adj Read]]="N/A",IF(Table1[[#This Row],[Std Adj Read]]&lt;=Table1[[#This Row],[High Tol]],"Pass","Fail"),IF(Table1[[#This Row],[DUT Adj Read]]&lt;=Table1[[#This Row],[High Tol]],"Pass","Fail")))</f>
        <v>Fail</v>
      </c>
      <c r="AH9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1" s="1" t="b">
        <v>0</v>
      </c>
      <c r="AN991" s="1" t="b">
        <v>0</v>
      </c>
      <c r="AO991" s="1" t="b">
        <v>0</v>
      </c>
    </row>
    <row r="992" spans="1:41" x14ac:dyDescent="0.25">
      <c r="A992" s="10"/>
      <c r="B992" s="10"/>
      <c r="C992" s="10"/>
      <c r="D992" s="10"/>
      <c r="E992" s="10"/>
      <c r="F992" s="10"/>
      <c r="G992" s="10"/>
      <c r="H992" s="10"/>
      <c r="I992" s="1" t="str">
        <f t="shared" si="45"/>
        <v/>
      </c>
      <c r="J992" s="1" t="s">
        <v>35</v>
      </c>
      <c r="K992" s="1" t="str">
        <f t="shared" si="46"/>
        <v/>
      </c>
      <c r="L992" s="1" t="str">
        <f t="shared" si="47"/>
        <v/>
      </c>
      <c r="M992" s="1">
        <f>IF(OR(Table1[[#This Row],[Std Nom]]="",Table1[[#This Row],[Std Read]]=""),0,Table1[[#This Row],[Std Nom]]-Table1[[#This Row],[Std Read]])</f>
        <v>0</v>
      </c>
      <c r="N992" s="1">
        <f>IF(Calculations!$F$5="ACCREDITED 17025 WITH UNCERTAINTIES",$N$10,0)</f>
        <v>0</v>
      </c>
      <c r="Q992" s="1">
        <f>Table1[[#This Row],[High Tol]]-Table1[[#This Row],[Low Tol]]</f>
        <v>0</v>
      </c>
      <c r="R992" s="1">
        <f>2*Table1[[#This Row],[Std Error]]</f>
        <v>0</v>
      </c>
      <c r="S992" s="1" t="str">
        <f>IF(Table1[[#This Row],[High Tol]]="","N/A",IFERROR(ABS(Table1[[#This Row],[Tol Span]]/Table1[[#This Row],[Error Span]]),"N/A"))</f>
        <v>N/A</v>
      </c>
      <c r="T992" s="1" t="str">
        <f>IF(OR(Table1[[#This Row],[Low Tol]]="",Table1[[#This Row],[High Tol]]=""),"Needs Analysis",IF(Table1[[#This Row],[Ratio]]&gt;=4,"Not Significant",IF(Table1[[#This Row],[Ratio]]&gt;=2,"Semi-Significant","Significant")))</f>
        <v>Needs Analysis</v>
      </c>
      <c r="W992" s="1">
        <f>IF(Table1[[#This Row],[Cal Type]]&lt;&gt;"ACCREDITED 17025 WITH UNCERTAINTIES",0,"")</f>
        <v>0</v>
      </c>
      <c r="X992" s="1" t="str">
        <f>IF(Table1[[#This Row],[DUT Read]]="","N/A",Table1[[#This Row],[Std Error]]+Table1[[#This Row],[DUT Read]]+Table1[[#This Row],[DUT Ucty]])</f>
        <v>N/A</v>
      </c>
      <c r="Y992" s="1" t="str">
        <f>IF(Table1[[#This Row],[Std Read]]="","N/A",Table1[[#This Row],[Std Read]]+Table1[[#This Row],[Std Ucty]])</f>
        <v>N/A</v>
      </c>
      <c r="Z9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2" s="1" t="str">
        <f>IF(Table1[[#This Row],[Spec Type]]="","N/A",Table1[[#This Row],[Spec Type]])</f>
        <v>±</v>
      </c>
      <c r="AC992" s="1" t="str">
        <f>IF(Table1[[#This Row],[Spec Type2]]="N/A","N/A",IF(AND(Table1[[#This Row],[DUT Adj Read]]&gt;=Table1[[#This Row],[Low Tol]],Table1[[#This Row],[DUT Adj Read]]&lt;=Table1[[#This Row],[High Tol]]),"Pass","Fail"))</f>
        <v>Fail</v>
      </c>
      <c r="AD992" s="1" t="str">
        <f>IF(AND(Table1[[#This Row],[Spec Type2]]="N/A",Table1[[#This Row],[DUT Adj Read]]="N/A",Table1[[#This Row],[Std Adj Read]]="N/A"),"N/A",IF(Table1[[#This Row],[DUT Adj Read]]="N/A",IF(Table1[[#This Row],[Std Adj Read]]&gt;Table1[[#This Row],[Low Tol]],"Pass","Fail"),IF(Table1[[#This Row],[DUT Adj Read]]&gt;Table1[[#This Row],[Low Tol]],"Pass","Fail")))</f>
        <v>Pass</v>
      </c>
      <c r="AE992" s="1" t="str">
        <f>IF(AND(Table1[[#This Row],[Spec Type2]]="N/A",Table1[[#This Row],[DUT Adj Read]]="N/A",Table1[[#This Row],[Std Adj Read]]="N/A"),"N/A",IF(Table1[[#This Row],[DUT Adj Read]]="N/A",IF(Table1[[#This Row],[Std Adj Read]]&lt;Table1[[#This Row],[High Tol]],"Pass","Fail"),IF(Table1[[#This Row],[DUT Adj Read]]&lt;Table1[[#This Row],[High Tol]],"Pass","Fail")))</f>
        <v>Fail</v>
      </c>
      <c r="AF992" s="1" t="str">
        <f>IF(AND(Table1[[#This Row],[Spec Type2]]="N/A",Table1[[#This Row],[DUT Adj Read]]="N/A",Table1[[#This Row],[Std Adj Read]]="N/A"),"N/A",IF(Table1[[#This Row],[DUT Adj Read]]="N/A",IF(Table1[[#This Row],[Std Adj Read]]&gt;=Table1[[#This Row],[Low Tol]],"Pass","Fail"),IF(Table1[[#This Row],[DUT Adj Read]]&gt;=Table1[[#This Row],[Low Tol]],"Pass","Fail")))</f>
        <v>Pass</v>
      </c>
      <c r="AG992" s="1" t="str">
        <f>IF(AND(Table1[[#This Row],[Spec Type2]]="N/A",Table1[[#This Row],[DUT Adj Read]]="N/A",Table1[[#This Row],[Std Adj Read]]="N/A"),"N/A",IF(Table1[[#This Row],[DUT Adj Read]]="N/A",IF(Table1[[#This Row],[Std Adj Read]]&lt;=Table1[[#This Row],[High Tol]],"Pass","Fail"),IF(Table1[[#This Row],[DUT Adj Read]]&lt;=Table1[[#This Row],[High Tol]],"Pass","Fail")))</f>
        <v>Fail</v>
      </c>
      <c r="AH9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2" s="1" t="b">
        <v>0</v>
      </c>
      <c r="AN992" s="1" t="b">
        <v>0</v>
      </c>
      <c r="AO992" s="1" t="b">
        <v>0</v>
      </c>
    </row>
    <row r="993" spans="1:41" x14ac:dyDescent="0.25">
      <c r="A993" s="10"/>
      <c r="B993" s="10"/>
      <c r="C993" s="10"/>
      <c r="D993" s="10"/>
      <c r="E993" s="10"/>
      <c r="F993" s="10"/>
      <c r="G993" s="10"/>
      <c r="H993" s="10"/>
      <c r="I993" s="1" t="str">
        <f t="shared" si="45"/>
        <v/>
      </c>
      <c r="J993" s="1" t="s">
        <v>35</v>
      </c>
      <c r="K993" s="1" t="str">
        <f t="shared" si="46"/>
        <v/>
      </c>
      <c r="L993" s="1" t="str">
        <f t="shared" si="47"/>
        <v/>
      </c>
      <c r="M993" s="1">
        <f>IF(OR(Table1[[#This Row],[Std Nom]]="",Table1[[#This Row],[Std Read]]=""),0,Table1[[#This Row],[Std Nom]]-Table1[[#This Row],[Std Read]])</f>
        <v>0</v>
      </c>
      <c r="N993" s="1">
        <f>IF(Calculations!$F$5="ACCREDITED 17025 WITH UNCERTAINTIES",$N$10,0)</f>
        <v>0</v>
      </c>
      <c r="Q993" s="1">
        <f>Table1[[#This Row],[High Tol]]-Table1[[#This Row],[Low Tol]]</f>
        <v>0</v>
      </c>
      <c r="R993" s="1">
        <f>2*Table1[[#This Row],[Std Error]]</f>
        <v>0</v>
      </c>
      <c r="S993" s="1" t="str">
        <f>IF(Table1[[#This Row],[High Tol]]="","N/A",IFERROR(ABS(Table1[[#This Row],[Tol Span]]/Table1[[#This Row],[Error Span]]),"N/A"))</f>
        <v>N/A</v>
      </c>
      <c r="T993" s="1" t="str">
        <f>IF(OR(Table1[[#This Row],[Low Tol]]="",Table1[[#This Row],[High Tol]]=""),"Needs Analysis",IF(Table1[[#This Row],[Ratio]]&gt;=4,"Not Significant",IF(Table1[[#This Row],[Ratio]]&gt;=2,"Semi-Significant","Significant")))</f>
        <v>Needs Analysis</v>
      </c>
      <c r="W993" s="1">
        <f>IF(Table1[[#This Row],[Cal Type]]&lt;&gt;"ACCREDITED 17025 WITH UNCERTAINTIES",0,"")</f>
        <v>0</v>
      </c>
      <c r="X993" s="1" t="str">
        <f>IF(Table1[[#This Row],[DUT Read]]="","N/A",Table1[[#This Row],[Std Error]]+Table1[[#This Row],[DUT Read]]+Table1[[#This Row],[DUT Ucty]])</f>
        <v>N/A</v>
      </c>
      <c r="Y993" s="1" t="str">
        <f>IF(Table1[[#This Row],[Std Read]]="","N/A",Table1[[#This Row],[Std Read]]+Table1[[#This Row],[Std Ucty]])</f>
        <v>N/A</v>
      </c>
      <c r="Z9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3" s="1" t="str">
        <f>IF(Table1[[#This Row],[Spec Type]]="","N/A",Table1[[#This Row],[Spec Type]])</f>
        <v>±</v>
      </c>
      <c r="AC993" s="1" t="str">
        <f>IF(Table1[[#This Row],[Spec Type2]]="N/A","N/A",IF(AND(Table1[[#This Row],[DUT Adj Read]]&gt;=Table1[[#This Row],[Low Tol]],Table1[[#This Row],[DUT Adj Read]]&lt;=Table1[[#This Row],[High Tol]]),"Pass","Fail"))</f>
        <v>Fail</v>
      </c>
      <c r="AD993" s="1" t="str">
        <f>IF(AND(Table1[[#This Row],[Spec Type2]]="N/A",Table1[[#This Row],[DUT Adj Read]]="N/A",Table1[[#This Row],[Std Adj Read]]="N/A"),"N/A",IF(Table1[[#This Row],[DUT Adj Read]]="N/A",IF(Table1[[#This Row],[Std Adj Read]]&gt;Table1[[#This Row],[Low Tol]],"Pass","Fail"),IF(Table1[[#This Row],[DUT Adj Read]]&gt;Table1[[#This Row],[Low Tol]],"Pass","Fail")))</f>
        <v>Pass</v>
      </c>
      <c r="AE993" s="1" t="str">
        <f>IF(AND(Table1[[#This Row],[Spec Type2]]="N/A",Table1[[#This Row],[DUT Adj Read]]="N/A",Table1[[#This Row],[Std Adj Read]]="N/A"),"N/A",IF(Table1[[#This Row],[DUT Adj Read]]="N/A",IF(Table1[[#This Row],[Std Adj Read]]&lt;Table1[[#This Row],[High Tol]],"Pass","Fail"),IF(Table1[[#This Row],[DUT Adj Read]]&lt;Table1[[#This Row],[High Tol]],"Pass","Fail")))</f>
        <v>Fail</v>
      </c>
      <c r="AF993" s="1" t="str">
        <f>IF(AND(Table1[[#This Row],[Spec Type2]]="N/A",Table1[[#This Row],[DUT Adj Read]]="N/A",Table1[[#This Row],[Std Adj Read]]="N/A"),"N/A",IF(Table1[[#This Row],[DUT Adj Read]]="N/A",IF(Table1[[#This Row],[Std Adj Read]]&gt;=Table1[[#This Row],[Low Tol]],"Pass","Fail"),IF(Table1[[#This Row],[DUT Adj Read]]&gt;=Table1[[#This Row],[Low Tol]],"Pass","Fail")))</f>
        <v>Pass</v>
      </c>
      <c r="AG993" s="1" t="str">
        <f>IF(AND(Table1[[#This Row],[Spec Type2]]="N/A",Table1[[#This Row],[DUT Adj Read]]="N/A",Table1[[#This Row],[Std Adj Read]]="N/A"),"N/A",IF(Table1[[#This Row],[DUT Adj Read]]="N/A",IF(Table1[[#This Row],[Std Adj Read]]&lt;=Table1[[#This Row],[High Tol]],"Pass","Fail"),IF(Table1[[#This Row],[DUT Adj Read]]&lt;=Table1[[#This Row],[High Tol]],"Pass","Fail")))</f>
        <v>Fail</v>
      </c>
      <c r="AH9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3" s="1" t="b">
        <v>0</v>
      </c>
      <c r="AN993" s="1" t="b">
        <v>0</v>
      </c>
      <c r="AO993" s="1" t="b">
        <v>0</v>
      </c>
    </row>
    <row r="994" spans="1:41" x14ac:dyDescent="0.25">
      <c r="A994" s="10"/>
      <c r="B994" s="10"/>
      <c r="C994" s="10"/>
      <c r="D994" s="10"/>
      <c r="E994" s="10"/>
      <c r="F994" s="10"/>
      <c r="G994" s="10"/>
      <c r="H994" s="10"/>
      <c r="I994" s="1" t="str">
        <f t="shared" si="45"/>
        <v/>
      </c>
      <c r="J994" s="1" t="s">
        <v>35</v>
      </c>
      <c r="K994" s="1" t="str">
        <f t="shared" si="46"/>
        <v/>
      </c>
      <c r="L994" s="1" t="str">
        <f t="shared" si="47"/>
        <v/>
      </c>
      <c r="M994" s="1">
        <f>IF(OR(Table1[[#This Row],[Std Nom]]="",Table1[[#This Row],[Std Read]]=""),0,Table1[[#This Row],[Std Nom]]-Table1[[#This Row],[Std Read]])</f>
        <v>0</v>
      </c>
      <c r="N994" s="1">
        <f>IF(Calculations!$F$5="ACCREDITED 17025 WITH UNCERTAINTIES",$N$10,0)</f>
        <v>0</v>
      </c>
      <c r="Q994" s="1">
        <f>Table1[[#This Row],[High Tol]]-Table1[[#This Row],[Low Tol]]</f>
        <v>0</v>
      </c>
      <c r="R994" s="1">
        <f>2*Table1[[#This Row],[Std Error]]</f>
        <v>0</v>
      </c>
      <c r="S994" s="1" t="str">
        <f>IF(Table1[[#This Row],[High Tol]]="","N/A",IFERROR(ABS(Table1[[#This Row],[Tol Span]]/Table1[[#This Row],[Error Span]]),"N/A"))</f>
        <v>N/A</v>
      </c>
      <c r="T994" s="1" t="str">
        <f>IF(OR(Table1[[#This Row],[Low Tol]]="",Table1[[#This Row],[High Tol]]=""),"Needs Analysis",IF(Table1[[#This Row],[Ratio]]&gt;=4,"Not Significant",IF(Table1[[#This Row],[Ratio]]&gt;=2,"Semi-Significant","Significant")))</f>
        <v>Needs Analysis</v>
      </c>
      <c r="W994" s="1">
        <f>IF(Table1[[#This Row],[Cal Type]]&lt;&gt;"ACCREDITED 17025 WITH UNCERTAINTIES",0,"")</f>
        <v>0</v>
      </c>
      <c r="X994" s="1" t="str">
        <f>IF(Table1[[#This Row],[DUT Read]]="","N/A",Table1[[#This Row],[Std Error]]+Table1[[#This Row],[DUT Read]]+Table1[[#This Row],[DUT Ucty]])</f>
        <v>N/A</v>
      </c>
      <c r="Y994" s="1" t="str">
        <f>IF(Table1[[#This Row],[Std Read]]="","N/A",Table1[[#This Row],[Std Read]]+Table1[[#This Row],[Std Ucty]])</f>
        <v>N/A</v>
      </c>
      <c r="Z9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4" s="1" t="str">
        <f>IF(Table1[[#This Row],[Spec Type]]="","N/A",Table1[[#This Row],[Spec Type]])</f>
        <v>±</v>
      </c>
      <c r="AC994" s="1" t="str">
        <f>IF(Table1[[#This Row],[Spec Type2]]="N/A","N/A",IF(AND(Table1[[#This Row],[DUT Adj Read]]&gt;=Table1[[#This Row],[Low Tol]],Table1[[#This Row],[DUT Adj Read]]&lt;=Table1[[#This Row],[High Tol]]),"Pass","Fail"))</f>
        <v>Fail</v>
      </c>
      <c r="AD994" s="1" t="str">
        <f>IF(AND(Table1[[#This Row],[Spec Type2]]="N/A",Table1[[#This Row],[DUT Adj Read]]="N/A",Table1[[#This Row],[Std Adj Read]]="N/A"),"N/A",IF(Table1[[#This Row],[DUT Adj Read]]="N/A",IF(Table1[[#This Row],[Std Adj Read]]&gt;Table1[[#This Row],[Low Tol]],"Pass","Fail"),IF(Table1[[#This Row],[DUT Adj Read]]&gt;Table1[[#This Row],[Low Tol]],"Pass","Fail")))</f>
        <v>Pass</v>
      </c>
      <c r="AE994" s="1" t="str">
        <f>IF(AND(Table1[[#This Row],[Spec Type2]]="N/A",Table1[[#This Row],[DUT Adj Read]]="N/A",Table1[[#This Row],[Std Adj Read]]="N/A"),"N/A",IF(Table1[[#This Row],[DUT Adj Read]]="N/A",IF(Table1[[#This Row],[Std Adj Read]]&lt;Table1[[#This Row],[High Tol]],"Pass","Fail"),IF(Table1[[#This Row],[DUT Adj Read]]&lt;Table1[[#This Row],[High Tol]],"Pass","Fail")))</f>
        <v>Fail</v>
      </c>
      <c r="AF994" s="1" t="str">
        <f>IF(AND(Table1[[#This Row],[Spec Type2]]="N/A",Table1[[#This Row],[DUT Adj Read]]="N/A",Table1[[#This Row],[Std Adj Read]]="N/A"),"N/A",IF(Table1[[#This Row],[DUT Adj Read]]="N/A",IF(Table1[[#This Row],[Std Adj Read]]&gt;=Table1[[#This Row],[Low Tol]],"Pass","Fail"),IF(Table1[[#This Row],[DUT Adj Read]]&gt;=Table1[[#This Row],[Low Tol]],"Pass","Fail")))</f>
        <v>Pass</v>
      </c>
      <c r="AG994" s="1" t="str">
        <f>IF(AND(Table1[[#This Row],[Spec Type2]]="N/A",Table1[[#This Row],[DUT Adj Read]]="N/A",Table1[[#This Row],[Std Adj Read]]="N/A"),"N/A",IF(Table1[[#This Row],[DUT Adj Read]]="N/A",IF(Table1[[#This Row],[Std Adj Read]]&lt;=Table1[[#This Row],[High Tol]],"Pass","Fail"),IF(Table1[[#This Row],[DUT Adj Read]]&lt;=Table1[[#This Row],[High Tol]],"Pass","Fail")))</f>
        <v>Fail</v>
      </c>
      <c r="AH9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4" s="1" t="b">
        <v>0</v>
      </c>
      <c r="AN994" s="1" t="b">
        <v>0</v>
      </c>
      <c r="AO994" s="1" t="b">
        <v>0</v>
      </c>
    </row>
    <row r="995" spans="1:41" x14ac:dyDescent="0.25">
      <c r="A995" s="10"/>
      <c r="B995" s="10"/>
      <c r="C995" s="10"/>
      <c r="D995" s="10"/>
      <c r="E995" s="10"/>
      <c r="F995" s="10"/>
      <c r="G995" s="10"/>
      <c r="H995" s="10"/>
      <c r="I995" s="1" t="str">
        <f t="shared" si="45"/>
        <v/>
      </c>
      <c r="J995" s="1" t="s">
        <v>35</v>
      </c>
      <c r="K995" s="1" t="str">
        <f t="shared" si="46"/>
        <v/>
      </c>
      <c r="L995" s="1" t="str">
        <f t="shared" si="47"/>
        <v/>
      </c>
      <c r="M995" s="1">
        <f>IF(OR(Table1[[#This Row],[Std Nom]]="",Table1[[#This Row],[Std Read]]=""),0,Table1[[#This Row],[Std Nom]]-Table1[[#This Row],[Std Read]])</f>
        <v>0</v>
      </c>
      <c r="N995" s="1">
        <f>IF(Calculations!$F$5="ACCREDITED 17025 WITH UNCERTAINTIES",$N$10,0)</f>
        <v>0</v>
      </c>
      <c r="Q995" s="1">
        <f>Table1[[#This Row],[High Tol]]-Table1[[#This Row],[Low Tol]]</f>
        <v>0</v>
      </c>
      <c r="R995" s="1">
        <f>2*Table1[[#This Row],[Std Error]]</f>
        <v>0</v>
      </c>
      <c r="S995" s="1" t="str">
        <f>IF(Table1[[#This Row],[High Tol]]="","N/A",IFERROR(ABS(Table1[[#This Row],[Tol Span]]/Table1[[#This Row],[Error Span]]),"N/A"))</f>
        <v>N/A</v>
      </c>
      <c r="T995" s="1" t="str">
        <f>IF(OR(Table1[[#This Row],[Low Tol]]="",Table1[[#This Row],[High Tol]]=""),"Needs Analysis",IF(Table1[[#This Row],[Ratio]]&gt;=4,"Not Significant",IF(Table1[[#This Row],[Ratio]]&gt;=2,"Semi-Significant","Significant")))</f>
        <v>Needs Analysis</v>
      </c>
      <c r="W995" s="1">
        <f>IF(Table1[[#This Row],[Cal Type]]&lt;&gt;"ACCREDITED 17025 WITH UNCERTAINTIES",0,"")</f>
        <v>0</v>
      </c>
      <c r="X995" s="1" t="str">
        <f>IF(Table1[[#This Row],[DUT Read]]="","N/A",Table1[[#This Row],[Std Error]]+Table1[[#This Row],[DUT Read]]+Table1[[#This Row],[DUT Ucty]])</f>
        <v>N/A</v>
      </c>
      <c r="Y995" s="1" t="str">
        <f>IF(Table1[[#This Row],[Std Read]]="","N/A",Table1[[#This Row],[Std Read]]+Table1[[#This Row],[Std Ucty]])</f>
        <v>N/A</v>
      </c>
      <c r="Z9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5" s="1" t="str">
        <f>IF(Table1[[#This Row],[Spec Type]]="","N/A",Table1[[#This Row],[Spec Type]])</f>
        <v>±</v>
      </c>
      <c r="AC995" s="1" t="str">
        <f>IF(Table1[[#This Row],[Spec Type2]]="N/A","N/A",IF(AND(Table1[[#This Row],[DUT Adj Read]]&gt;=Table1[[#This Row],[Low Tol]],Table1[[#This Row],[DUT Adj Read]]&lt;=Table1[[#This Row],[High Tol]]),"Pass","Fail"))</f>
        <v>Fail</v>
      </c>
      <c r="AD995" s="1" t="str">
        <f>IF(AND(Table1[[#This Row],[Spec Type2]]="N/A",Table1[[#This Row],[DUT Adj Read]]="N/A",Table1[[#This Row],[Std Adj Read]]="N/A"),"N/A",IF(Table1[[#This Row],[DUT Adj Read]]="N/A",IF(Table1[[#This Row],[Std Adj Read]]&gt;Table1[[#This Row],[Low Tol]],"Pass","Fail"),IF(Table1[[#This Row],[DUT Adj Read]]&gt;Table1[[#This Row],[Low Tol]],"Pass","Fail")))</f>
        <v>Pass</v>
      </c>
      <c r="AE995" s="1" t="str">
        <f>IF(AND(Table1[[#This Row],[Spec Type2]]="N/A",Table1[[#This Row],[DUT Adj Read]]="N/A",Table1[[#This Row],[Std Adj Read]]="N/A"),"N/A",IF(Table1[[#This Row],[DUT Adj Read]]="N/A",IF(Table1[[#This Row],[Std Adj Read]]&lt;Table1[[#This Row],[High Tol]],"Pass","Fail"),IF(Table1[[#This Row],[DUT Adj Read]]&lt;Table1[[#This Row],[High Tol]],"Pass","Fail")))</f>
        <v>Fail</v>
      </c>
      <c r="AF995" s="1" t="str">
        <f>IF(AND(Table1[[#This Row],[Spec Type2]]="N/A",Table1[[#This Row],[DUT Adj Read]]="N/A",Table1[[#This Row],[Std Adj Read]]="N/A"),"N/A",IF(Table1[[#This Row],[DUT Adj Read]]="N/A",IF(Table1[[#This Row],[Std Adj Read]]&gt;=Table1[[#This Row],[Low Tol]],"Pass","Fail"),IF(Table1[[#This Row],[DUT Adj Read]]&gt;=Table1[[#This Row],[Low Tol]],"Pass","Fail")))</f>
        <v>Pass</v>
      </c>
      <c r="AG995" s="1" t="str">
        <f>IF(AND(Table1[[#This Row],[Spec Type2]]="N/A",Table1[[#This Row],[DUT Adj Read]]="N/A",Table1[[#This Row],[Std Adj Read]]="N/A"),"N/A",IF(Table1[[#This Row],[DUT Adj Read]]="N/A",IF(Table1[[#This Row],[Std Adj Read]]&lt;=Table1[[#This Row],[High Tol]],"Pass","Fail"),IF(Table1[[#This Row],[DUT Adj Read]]&lt;=Table1[[#This Row],[High Tol]],"Pass","Fail")))</f>
        <v>Fail</v>
      </c>
      <c r="AH9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5" s="1" t="b">
        <v>0</v>
      </c>
      <c r="AN995" s="1" t="b">
        <v>0</v>
      </c>
      <c r="AO995" s="1" t="b">
        <v>0</v>
      </c>
    </row>
    <row r="996" spans="1:41" x14ac:dyDescent="0.25">
      <c r="A996" s="10"/>
      <c r="B996" s="10"/>
      <c r="C996" s="10"/>
      <c r="D996" s="10"/>
      <c r="E996" s="10"/>
      <c r="F996" s="10"/>
      <c r="G996" s="10"/>
      <c r="H996" s="10"/>
      <c r="I996" s="1" t="str">
        <f t="shared" si="45"/>
        <v/>
      </c>
      <c r="J996" s="1" t="s">
        <v>35</v>
      </c>
      <c r="K996" s="1" t="str">
        <f t="shared" si="46"/>
        <v/>
      </c>
      <c r="L996" s="1" t="str">
        <f t="shared" si="47"/>
        <v/>
      </c>
      <c r="M996" s="1">
        <f>IF(OR(Table1[[#This Row],[Std Nom]]="",Table1[[#This Row],[Std Read]]=""),0,Table1[[#This Row],[Std Nom]]-Table1[[#This Row],[Std Read]])</f>
        <v>0</v>
      </c>
      <c r="N996" s="1">
        <f>IF(Calculations!$F$5="ACCREDITED 17025 WITH UNCERTAINTIES",$N$10,0)</f>
        <v>0</v>
      </c>
      <c r="Q996" s="1">
        <f>Table1[[#This Row],[High Tol]]-Table1[[#This Row],[Low Tol]]</f>
        <v>0</v>
      </c>
      <c r="R996" s="1">
        <f>2*Table1[[#This Row],[Std Error]]</f>
        <v>0</v>
      </c>
      <c r="S996" s="1" t="str">
        <f>IF(Table1[[#This Row],[High Tol]]="","N/A",IFERROR(ABS(Table1[[#This Row],[Tol Span]]/Table1[[#This Row],[Error Span]]),"N/A"))</f>
        <v>N/A</v>
      </c>
      <c r="T996" s="1" t="str">
        <f>IF(OR(Table1[[#This Row],[Low Tol]]="",Table1[[#This Row],[High Tol]]=""),"Needs Analysis",IF(Table1[[#This Row],[Ratio]]&gt;=4,"Not Significant",IF(Table1[[#This Row],[Ratio]]&gt;=2,"Semi-Significant","Significant")))</f>
        <v>Needs Analysis</v>
      </c>
      <c r="W996" s="1">
        <f>IF(Table1[[#This Row],[Cal Type]]&lt;&gt;"ACCREDITED 17025 WITH UNCERTAINTIES",0,"")</f>
        <v>0</v>
      </c>
      <c r="X996" s="1" t="str">
        <f>IF(Table1[[#This Row],[DUT Read]]="","N/A",Table1[[#This Row],[Std Error]]+Table1[[#This Row],[DUT Read]]+Table1[[#This Row],[DUT Ucty]])</f>
        <v>N/A</v>
      </c>
      <c r="Y996" s="1" t="str">
        <f>IF(Table1[[#This Row],[Std Read]]="","N/A",Table1[[#This Row],[Std Read]]+Table1[[#This Row],[Std Ucty]])</f>
        <v>N/A</v>
      </c>
      <c r="Z9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6" s="1" t="str">
        <f>IF(Table1[[#This Row],[Spec Type]]="","N/A",Table1[[#This Row],[Spec Type]])</f>
        <v>±</v>
      </c>
      <c r="AC996" s="1" t="str">
        <f>IF(Table1[[#This Row],[Spec Type2]]="N/A","N/A",IF(AND(Table1[[#This Row],[DUT Adj Read]]&gt;=Table1[[#This Row],[Low Tol]],Table1[[#This Row],[DUT Adj Read]]&lt;=Table1[[#This Row],[High Tol]]),"Pass","Fail"))</f>
        <v>Fail</v>
      </c>
      <c r="AD996" s="1" t="str">
        <f>IF(AND(Table1[[#This Row],[Spec Type2]]="N/A",Table1[[#This Row],[DUT Adj Read]]="N/A",Table1[[#This Row],[Std Adj Read]]="N/A"),"N/A",IF(Table1[[#This Row],[DUT Adj Read]]="N/A",IF(Table1[[#This Row],[Std Adj Read]]&gt;Table1[[#This Row],[Low Tol]],"Pass","Fail"),IF(Table1[[#This Row],[DUT Adj Read]]&gt;Table1[[#This Row],[Low Tol]],"Pass","Fail")))</f>
        <v>Pass</v>
      </c>
      <c r="AE996" s="1" t="str">
        <f>IF(AND(Table1[[#This Row],[Spec Type2]]="N/A",Table1[[#This Row],[DUT Adj Read]]="N/A",Table1[[#This Row],[Std Adj Read]]="N/A"),"N/A",IF(Table1[[#This Row],[DUT Adj Read]]="N/A",IF(Table1[[#This Row],[Std Adj Read]]&lt;Table1[[#This Row],[High Tol]],"Pass","Fail"),IF(Table1[[#This Row],[DUT Adj Read]]&lt;Table1[[#This Row],[High Tol]],"Pass","Fail")))</f>
        <v>Fail</v>
      </c>
      <c r="AF996" s="1" t="str">
        <f>IF(AND(Table1[[#This Row],[Spec Type2]]="N/A",Table1[[#This Row],[DUT Adj Read]]="N/A",Table1[[#This Row],[Std Adj Read]]="N/A"),"N/A",IF(Table1[[#This Row],[DUT Adj Read]]="N/A",IF(Table1[[#This Row],[Std Adj Read]]&gt;=Table1[[#This Row],[Low Tol]],"Pass","Fail"),IF(Table1[[#This Row],[DUT Adj Read]]&gt;=Table1[[#This Row],[Low Tol]],"Pass","Fail")))</f>
        <v>Pass</v>
      </c>
      <c r="AG996" s="1" t="str">
        <f>IF(AND(Table1[[#This Row],[Spec Type2]]="N/A",Table1[[#This Row],[DUT Adj Read]]="N/A",Table1[[#This Row],[Std Adj Read]]="N/A"),"N/A",IF(Table1[[#This Row],[DUT Adj Read]]="N/A",IF(Table1[[#This Row],[Std Adj Read]]&lt;=Table1[[#This Row],[High Tol]],"Pass","Fail"),IF(Table1[[#This Row],[DUT Adj Read]]&lt;=Table1[[#This Row],[High Tol]],"Pass","Fail")))</f>
        <v>Fail</v>
      </c>
      <c r="AH9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6" s="1" t="b">
        <v>0</v>
      </c>
      <c r="AN996" s="1" t="b">
        <v>0</v>
      </c>
      <c r="AO996" s="1" t="b">
        <v>0</v>
      </c>
    </row>
    <row r="997" spans="1:41" x14ac:dyDescent="0.25">
      <c r="A997" s="10"/>
      <c r="B997" s="10"/>
      <c r="C997" s="10"/>
      <c r="D997" s="10"/>
      <c r="E997" s="10"/>
      <c r="F997" s="10"/>
      <c r="G997" s="10"/>
      <c r="H997" s="10"/>
      <c r="I997" s="1" t="str">
        <f t="shared" si="45"/>
        <v/>
      </c>
      <c r="J997" s="1" t="s">
        <v>35</v>
      </c>
      <c r="K997" s="1" t="str">
        <f t="shared" si="46"/>
        <v/>
      </c>
      <c r="L997" s="1" t="str">
        <f t="shared" si="47"/>
        <v/>
      </c>
      <c r="M997" s="1">
        <f>IF(OR(Table1[[#This Row],[Std Nom]]="",Table1[[#This Row],[Std Read]]=""),0,Table1[[#This Row],[Std Nom]]-Table1[[#This Row],[Std Read]])</f>
        <v>0</v>
      </c>
      <c r="N997" s="1">
        <f>IF(Calculations!$F$5="ACCREDITED 17025 WITH UNCERTAINTIES",$N$10,0)</f>
        <v>0</v>
      </c>
      <c r="Q997" s="1">
        <f>Table1[[#This Row],[High Tol]]-Table1[[#This Row],[Low Tol]]</f>
        <v>0</v>
      </c>
      <c r="R997" s="1">
        <f>2*Table1[[#This Row],[Std Error]]</f>
        <v>0</v>
      </c>
      <c r="S997" s="1" t="str">
        <f>IF(Table1[[#This Row],[High Tol]]="","N/A",IFERROR(ABS(Table1[[#This Row],[Tol Span]]/Table1[[#This Row],[Error Span]]),"N/A"))</f>
        <v>N/A</v>
      </c>
      <c r="T997" s="1" t="str">
        <f>IF(OR(Table1[[#This Row],[Low Tol]]="",Table1[[#This Row],[High Tol]]=""),"Needs Analysis",IF(Table1[[#This Row],[Ratio]]&gt;=4,"Not Significant",IF(Table1[[#This Row],[Ratio]]&gt;=2,"Semi-Significant","Significant")))</f>
        <v>Needs Analysis</v>
      </c>
      <c r="W997" s="1">
        <f>IF(Table1[[#This Row],[Cal Type]]&lt;&gt;"ACCREDITED 17025 WITH UNCERTAINTIES",0,"")</f>
        <v>0</v>
      </c>
      <c r="X997" s="1" t="str">
        <f>IF(Table1[[#This Row],[DUT Read]]="","N/A",Table1[[#This Row],[Std Error]]+Table1[[#This Row],[DUT Read]]+Table1[[#This Row],[DUT Ucty]])</f>
        <v>N/A</v>
      </c>
      <c r="Y997" s="1" t="str">
        <f>IF(Table1[[#This Row],[Std Read]]="","N/A",Table1[[#This Row],[Std Read]]+Table1[[#This Row],[Std Ucty]])</f>
        <v>N/A</v>
      </c>
      <c r="Z9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7" s="1" t="str">
        <f>IF(Table1[[#This Row],[Spec Type]]="","N/A",Table1[[#This Row],[Spec Type]])</f>
        <v>±</v>
      </c>
      <c r="AC997" s="1" t="str">
        <f>IF(Table1[[#This Row],[Spec Type2]]="N/A","N/A",IF(AND(Table1[[#This Row],[DUT Adj Read]]&gt;=Table1[[#This Row],[Low Tol]],Table1[[#This Row],[DUT Adj Read]]&lt;=Table1[[#This Row],[High Tol]]),"Pass","Fail"))</f>
        <v>Fail</v>
      </c>
      <c r="AD997" s="1" t="str">
        <f>IF(AND(Table1[[#This Row],[Spec Type2]]="N/A",Table1[[#This Row],[DUT Adj Read]]="N/A",Table1[[#This Row],[Std Adj Read]]="N/A"),"N/A",IF(Table1[[#This Row],[DUT Adj Read]]="N/A",IF(Table1[[#This Row],[Std Adj Read]]&gt;Table1[[#This Row],[Low Tol]],"Pass","Fail"),IF(Table1[[#This Row],[DUT Adj Read]]&gt;Table1[[#This Row],[Low Tol]],"Pass","Fail")))</f>
        <v>Pass</v>
      </c>
      <c r="AE997" s="1" t="str">
        <f>IF(AND(Table1[[#This Row],[Spec Type2]]="N/A",Table1[[#This Row],[DUT Adj Read]]="N/A",Table1[[#This Row],[Std Adj Read]]="N/A"),"N/A",IF(Table1[[#This Row],[DUT Adj Read]]="N/A",IF(Table1[[#This Row],[Std Adj Read]]&lt;Table1[[#This Row],[High Tol]],"Pass","Fail"),IF(Table1[[#This Row],[DUT Adj Read]]&lt;Table1[[#This Row],[High Tol]],"Pass","Fail")))</f>
        <v>Fail</v>
      </c>
      <c r="AF997" s="1" t="str">
        <f>IF(AND(Table1[[#This Row],[Spec Type2]]="N/A",Table1[[#This Row],[DUT Adj Read]]="N/A",Table1[[#This Row],[Std Adj Read]]="N/A"),"N/A",IF(Table1[[#This Row],[DUT Adj Read]]="N/A",IF(Table1[[#This Row],[Std Adj Read]]&gt;=Table1[[#This Row],[Low Tol]],"Pass","Fail"),IF(Table1[[#This Row],[DUT Adj Read]]&gt;=Table1[[#This Row],[Low Tol]],"Pass","Fail")))</f>
        <v>Pass</v>
      </c>
      <c r="AG997" s="1" t="str">
        <f>IF(AND(Table1[[#This Row],[Spec Type2]]="N/A",Table1[[#This Row],[DUT Adj Read]]="N/A",Table1[[#This Row],[Std Adj Read]]="N/A"),"N/A",IF(Table1[[#This Row],[DUT Adj Read]]="N/A",IF(Table1[[#This Row],[Std Adj Read]]&lt;=Table1[[#This Row],[High Tol]],"Pass","Fail"),IF(Table1[[#This Row],[DUT Adj Read]]&lt;=Table1[[#This Row],[High Tol]],"Pass","Fail")))</f>
        <v>Fail</v>
      </c>
      <c r="AH9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7" s="1" t="b">
        <v>0</v>
      </c>
      <c r="AN997" s="1" t="b">
        <v>0</v>
      </c>
      <c r="AO997" s="1" t="b">
        <v>0</v>
      </c>
    </row>
    <row r="998" spans="1:41" x14ac:dyDescent="0.25">
      <c r="A998" s="10"/>
      <c r="B998" s="10"/>
      <c r="C998" s="10"/>
      <c r="D998" s="10"/>
      <c r="E998" s="10"/>
      <c r="F998" s="10"/>
      <c r="G998" s="10"/>
      <c r="H998" s="10"/>
      <c r="I998" s="1" t="str">
        <f t="shared" si="45"/>
        <v/>
      </c>
      <c r="J998" s="1" t="s">
        <v>35</v>
      </c>
      <c r="K998" s="1" t="str">
        <f t="shared" si="46"/>
        <v/>
      </c>
      <c r="L998" s="1" t="str">
        <f t="shared" si="47"/>
        <v/>
      </c>
      <c r="M998" s="1">
        <f>IF(OR(Table1[[#This Row],[Std Nom]]="",Table1[[#This Row],[Std Read]]=""),0,Table1[[#This Row],[Std Nom]]-Table1[[#This Row],[Std Read]])</f>
        <v>0</v>
      </c>
      <c r="N998" s="1">
        <f>IF(Calculations!$F$5="ACCREDITED 17025 WITH UNCERTAINTIES",$N$10,0)</f>
        <v>0</v>
      </c>
      <c r="Q998" s="1">
        <f>Table1[[#This Row],[High Tol]]-Table1[[#This Row],[Low Tol]]</f>
        <v>0</v>
      </c>
      <c r="R998" s="1">
        <f>2*Table1[[#This Row],[Std Error]]</f>
        <v>0</v>
      </c>
      <c r="S998" s="1" t="str">
        <f>IF(Table1[[#This Row],[High Tol]]="","N/A",IFERROR(ABS(Table1[[#This Row],[Tol Span]]/Table1[[#This Row],[Error Span]]),"N/A"))</f>
        <v>N/A</v>
      </c>
      <c r="T998" s="1" t="str">
        <f>IF(OR(Table1[[#This Row],[Low Tol]]="",Table1[[#This Row],[High Tol]]=""),"Needs Analysis",IF(Table1[[#This Row],[Ratio]]&gt;=4,"Not Significant",IF(Table1[[#This Row],[Ratio]]&gt;=2,"Semi-Significant","Significant")))</f>
        <v>Needs Analysis</v>
      </c>
      <c r="W998" s="1">
        <f>IF(Table1[[#This Row],[Cal Type]]&lt;&gt;"ACCREDITED 17025 WITH UNCERTAINTIES",0,"")</f>
        <v>0</v>
      </c>
      <c r="X998" s="1" t="str">
        <f>IF(Table1[[#This Row],[DUT Read]]="","N/A",Table1[[#This Row],[Std Error]]+Table1[[#This Row],[DUT Read]]+Table1[[#This Row],[DUT Ucty]])</f>
        <v>N/A</v>
      </c>
      <c r="Y998" s="1" t="str">
        <f>IF(Table1[[#This Row],[Std Read]]="","N/A",Table1[[#This Row],[Std Read]]+Table1[[#This Row],[Std Ucty]])</f>
        <v>N/A</v>
      </c>
      <c r="Z9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8" s="1" t="str">
        <f>IF(Table1[[#This Row],[Spec Type]]="","N/A",Table1[[#This Row],[Spec Type]])</f>
        <v>±</v>
      </c>
      <c r="AC998" s="1" t="str">
        <f>IF(Table1[[#This Row],[Spec Type2]]="N/A","N/A",IF(AND(Table1[[#This Row],[DUT Adj Read]]&gt;=Table1[[#This Row],[Low Tol]],Table1[[#This Row],[DUT Adj Read]]&lt;=Table1[[#This Row],[High Tol]]),"Pass","Fail"))</f>
        <v>Fail</v>
      </c>
      <c r="AD998" s="1" t="str">
        <f>IF(AND(Table1[[#This Row],[Spec Type2]]="N/A",Table1[[#This Row],[DUT Adj Read]]="N/A",Table1[[#This Row],[Std Adj Read]]="N/A"),"N/A",IF(Table1[[#This Row],[DUT Adj Read]]="N/A",IF(Table1[[#This Row],[Std Adj Read]]&gt;Table1[[#This Row],[Low Tol]],"Pass","Fail"),IF(Table1[[#This Row],[DUT Adj Read]]&gt;Table1[[#This Row],[Low Tol]],"Pass","Fail")))</f>
        <v>Pass</v>
      </c>
      <c r="AE998" s="1" t="str">
        <f>IF(AND(Table1[[#This Row],[Spec Type2]]="N/A",Table1[[#This Row],[DUT Adj Read]]="N/A",Table1[[#This Row],[Std Adj Read]]="N/A"),"N/A",IF(Table1[[#This Row],[DUT Adj Read]]="N/A",IF(Table1[[#This Row],[Std Adj Read]]&lt;Table1[[#This Row],[High Tol]],"Pass","Fail"),IF(Table1[[#This Row],[DUT Adj Read]]&lt;Table1[[#This Row],[High Tol]],"Pass","Fail")))</f>
        <v>Fail</v>
      </c>
      <c r="AF998" s="1" t="str">
        <f>IF(AND(Table1[[#This Row],[Spec Type2]]="N/A",Table1[[#This Row],[DUT Adj Read]]="N/A",Table1[[#This Row],[Std Adj Read]]="N/A"),"N/A",IF(Table1[[#This Row],[DUT Adj Read]]="N/A",IF(Table1[[#This Row],[Std Adj Read]]&gt;=Table1[[#This Row],[Low Tol]],"Pass","Fail"),IF(Table1[[#This Row],[DUT Adj Read]]&gt;=Table1[[#This Row],[Low Tol]],"Pass","Fail")))</f>
        <v>Pass</v>
      </c>
      <c r="AG998" s="1" t="str">
        <f>IF(AND(Table1[[#This Row],[Spec Type2]]="N/A",Table1[[#This Row],[DUT Adj Read]]="N/A",Table1[[#This Row],[Std Adj Read]]="N/A"),"N/A",IF(Table1[[#This Row],[DUT Adj Read]]="N/A",IF(Table1[[#This Row],[Std Adj Read]]&lt;=Table1[[#This Row],[High Tol]],"Pass","Fail"),IF(Table1[[#This Row],[DUT Adj Read]]&lt;=Table1[[#This Row],[High Tol]],"Pass","Fail")))</f>
        <v>Fail</v>
      </c>
      <c r="AH9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8" s="1" t="b">
        <v>0</v>
      </c>
      <c r="AN998" s="1" t="b">
        <v>0</v>
      </c>
      <c r="AO998" s="1" t="b">
        <v>0</v>
      </c>
    </row>
    <row r="999" spans="1:41" x14ac:dyDescent="0.25">
      <c r="A999" s="10"/>
      <c r="B999" s="10"/>
      <c r="C999" s="10"/>
      <c r="D999" s="10"/>
      <c r="E999" s="10"/>
      <c r="F999" s="10"/>
      <c r="G999" s="10"/>
      <c r="H999" s="10"/>
      <c r="I999" s="1" t="str">
        <f t="shared" si="45"/>
        <v/>
      </c>
      <c r="J999" s="1" t="s">
        <v>35</v>
      </c>
      <c r="K999" s="1" t="str">
        <f t="shared" si="46"/>
        <v/>
      </c>
      <c r="L999" s="1" t="str">
        <f t="shared" si="47"/>
        <v/>
      </c>
      <c r="M999" s="1">
        <f>IF(OR(Table1[[#This Row],[Std Nom]]="",Table1[[#This Row],[Std Read]]=""),0,Table1[[#This Row],[Std Nom]]-Table1[[#This Row],[Std Read]])</f>
        <v>0</v>
      </c>
      <c r="N999" s="1">
        <f>IF(Calculations!$F$5="ACCREDITED 17025 WITH UNCERTAINTIES",$N$10,0)</f>
        <v>0</v>
      </c>
      <c r="Q999" s="1">
        <f>Table1[[#This Row],[High Tol]]-Table1[[#This Row],[Low Tol]]</f>
        <v>0</v>
      </c>
      <c r="R999" s="1">
        <f>2*Table1[[#This Row],[Std Error]]</f>
        <v>0</v>
      </c>
      <c r="S999" s="1" t="str">
        <f>IF(Table1[[#This Row],[High Tol]]="","N/A",IFERROR(ABS(Table1[[#This Row],[Tol Span]]/Table1[[#This Row],[Error Span]]),"N/A"))</f>
        <v>N/A</v>
      </c>
      <c r="T999" s="1" t="str">
        <f>IF(OR(Table1[[#This Row],[Low Tol]]="",Table1[[#This Row],[High Tol]]=""),"Needs Analysis",IF(Table1[[#This Row],[Ratio]]&gt;=4,"Not Significant",IF(Table1[[#This Row],[Ratio]]&gt;=2,"Semi-Significant","Significant")))</f>
        <v>Needs Analysis</v>
      </c>
      <c r="W999" s="1">
        <f>IF(Table1[[#This Row],[Cal Type]]&lt;&gt;"ACCREDITED 17025 WITH UNCERTAINTIES",0,"")</f>
        <v>0</v>
      </c>
      <c r="X999" s="1" t="str">
        <f>IF(Table1[[#This Row],[DUT Read]]="","N/A",Table1[[#This Row],[Std Error]]+Table1[[#This Row],[DUT Read]]+Table1[[#This Row],[DUT Ucty]])</f>
        <v>N/A</v>
      </c>
      <c r="Y999" s="1" t="str">
        <f>IF(Table1[[#This Row],[Std Read]]="","N/A",Table1[[#This Row],[Std Read]]+Table1[[#This Row],[Std Ucty]])</f>
        <v>N/A</v>
      </c>
      <c r="Z9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999" s="1" t="str">
        <f>IF(Table1[[#This Row],[Spec Type]]="","N/A",Table1[[#This Row],[Spec Type]])</f>
        <v>±</v>
      </c>
      <c r="AC999" s="1" t="str">
        <f>IF(Table1[[#This Row],[Spec Type2]]="N/A","N/A",IF(AND(Table1[[#This Row],[DUT Adj Read]]&gt;=Table1[[#This Row],[Low Tol]],Table1[[#This Row],[DUT Adj Read]]&lt;=Table1[[#This Row],[High Tol]]),"Pass","Fail"))</f>
        <v>Fail</v>
      </c>
      <c r="AD999" s="1" t="str">
        <f>IF(AND(Table1[[#This Row],[Spec Type2]]="N/A",Table1[[#This Row],[DUT Adj Read]]="N/A",Table1[[#This Row],[Std Adj Read]]="N/A"),"N/A",IF(Table1[[#This Row],[DUT Adj Read]]="N/A",IF(Table1[[#This Row],[Std Adj Read]]&gt;Table1[[#This Row],[Low Tol]],"Pass","Fail"),IF(Table1[[#This Row],[DUT Adj Read]]&gt;Table1[[#This Row],[Low Tol]],"Pass","Fail")))</f>
        <v>Pass</v>
      </c>
      <c r="AE999" s="1" t="str">
        <f>IF(AND(Table1[[#This Row],[Spec Type2]]="N/A",Table1[[#This Row],[DUT Adj Read]]="N/A",Table1[[#This Row],[Std Adj Read]]="N/A"),"N/A",IF(Table1[[#This Row],[DUT Adj Read]]="N/A",IF(Table1[[#This Row],[Std Adj Read]]&lt;Table1[[#This Row],[High Tol]],"Pass","Fail"),IF(Table1[[#This Row],[DUT Adj Read]]&lt;Table1[[#This Row],[High Tol]],"Pass","Fail")))</f>
        <v>Fail</v>
      </c>
      <c r="AF999" s="1" t="str">
        <f>IF(AND(Table1[[#This Row],[Spec Type2]]="N/A",Table1[[#This Row],[DUT Adj Read]]="N/A",Table1[[#This Row],[Std Adj Read]]="N/A"),"N/A",IF(Table1[[#This Row],[DUT Adj Read]]="N/A",IF(Table1[[#This Row],[Std Adj Read]]&gt;=Table1[[#This Row],[Low Tol]],"Pass","Fail"),IF(Table1[[#This Row],[DUT Adj Read]]&gt;=Table1[[#This Row],[Low Tol]],"Pass","Fail")))</f>
        <v>Pass</v>
      </c>
      <c r="AG999" s="1" t="str">
        <f>IF(AND(Table1[[#This Row],[Spec Type2]]="N/A",Table1[[#This Row],[DUT Adj Read]]="N/A",Table1[[#This Row],[Std Adj Read]]="N/A"),"N/A",IF(Table1[[#This Row],[DUT Adj Read]]="N/A",IF(Table1[[#This Row],[Std Adj Read]]&lt;=Table1[[#This Row],[High Tol]],"Pass","Fail"),IF(Table1[[#This Row],[DUT Adj Read]]&lt;=Table1[[#This Row],[High Tol]],"Pass","Fail")))</f>
        <v>Fail</v>
      </c>
      <c r="AH9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999" s="1" t="b">
        <v>0</v>
      </c>
      <c r="AN999" s="1" t="b">
        <v>0</v>
      </c>
      <c r="AO999" s="1" t="b">
        <v>0</v>
      </c>
    </row>
    <row r="1000" spans="1:41" x14ac:dyDescent="0.25">
      <c r="A1000" s="10"/>
      <c r="B1000" s="10"/>
      <c r="C1000" s="10"/>
      <c r="D1000" s="10"/>
      <c r="E1000" s="10"/>
      <c r="F1000" s="10"/>
      <c r="G1000" s="10"/>
      <c r="H1000" s="10"/>
      <c r="I1000" s="1" t="str">
        <f t="shared" si="45"/>
        <v/>
      </c>
      <c r="J1000" s="1" t="s">
        <v>35</v>
      </c>
      <c r="K1000" s="1" t="str">
        <f t="shared" si="46"/>
        <v/>
      </c>
      <c r="L1000" s="1" t="str">
        <f t="shared" si="47"/>
        <v/>
      </c>
      <c r="M1000" s="1">
        <f>IF(OR(Table1[[#This Row],[Std Nom]]="",Table1[[#This Row],[Std Read]]=""),0,Table1[[#This Row],[Std Nom]]-Table1[[#This Row],[Std Read]])</f>
        <v>0</v>
      </c>
      <c r="N1000" s="1">
        <f>IF(Calculations!$F$5="ACCREDITED 17025 WITH UNCERTAINTIES",$N$10,0)</f>
        <v>0</v>
      </c>
      <c r="Q1000" s="1">
        <f>Table1[[#This Row],[High Tol]]-Table1[[#This Row],[Low Tol]]</f>
        <v>0</v>
      </c>
      <c r="R1000" s="1">
        <f>2*Table1[[#This Row],[Std Error]]</f>
        <v>0</v>
      </c>
      <c r="S1000" s="1" t="str">
        <f>IF(Table1[[#This Row],[High Tol]]="","N/A",IFERROR(ABS(Table1[[#This Row],[Tol Span]]/Table1[[#This Row],[Error Span]]),"N/A"))</f>
        <v>N/A</v>
      </c>
      <c r="T1000" s="1" t="str">
        <f>IF(OR(Table1[[#This Row],[Low Tol]]="",Table1[[#This Row],[High Tol]]=""),"Needs Analysis",IF(Table1[[#This Row],[Ratio]]&gt;=4,"Not Significant",IF(Table1[[#This Row],[Ratio]]&gt;=2,"Semi-Significant","Significant")))</f>
        <v>Needs Analysis</v>
      </c>
      <c r="W1000" s="1">
        <f>IF(Table1[[#This Row],[Cal Type]]&lt;&gt;"ACCREDITED 17025 WITH UNCERTAINTIES",0,"")</f>
        <v>0</v>
      </c>
      <c r="X1000" s="1" t="str">
        <f>IF(Table1[[#This Row],[DUT Read]]="","N/A",Table1[[#This Row],[Std Error]]+Table1[[#This Row],[DUT Read]]+Table1[[#This Row],[DUT Ucty]])</f>
        <v>N/A</v>
      </c>
      <c r="Y1000" s="1" t="str">
        <f>IF(Table1[[#This Row],[Std Read]]="","N/A",Table1[[#This Row],[Std Read]]+Table1[[#This Row],[Std Ucty]])</f>
        <v>N/A</v>
      </c>
      <c r="Z10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0" s="1" t="str">
        <f>IF(Table1[[#This Row],[Spec Type]]="","N/A",Table1[[#This Row],[Spec Type]])</f>
        <v>±</v>
      </c>
      <c r="AC1000" s="1" t="str">
        <f>IF(Table1[[#This Row],[Spec Type2]]="N/A","N/A",IF(AND(Table1[[#This Row],[DUT Adj Read]]&gt;=Table1[[#This Row],[Low Tol]],Table1[[#This Row],[DUT Adj Read]]&lt;=Table1[[#This Row],[High Tol]]),"Pass","Fail"))</f>
        <v>Fail</v>
      </c>
      <c r="AD1000" s="1" t="str">
        <f>IF(AND(Table1[[#This Row],[Spec Type2]]="N/A",Table1[[#This Row],[DUT Adj Read]]="N/A",Table1[[#This Row],[Std Adj Read]]="N/A"),"N/A",IF(Table1[[#This Row],[DUT Adj Read]]="N/A",IF(Table1[[#This Row],[Std Adj Read]]&gt;Table1[[#This Row],[Low Tol]],"Pass","Fail"),IF(Table1[[#This Row],[DUT Adj Read]]&gt;Table1[[#This Row],[Low Tol]],"Pass","Fail")))</f>
        <v>Pass</v>
      </c>
      <c r="AE1000" s="1" t="str">
        <f>IF(AND(Table1[[#This Row],[Spec Type2]]="N/A",Table1[[#This Row],[DUT Adj Read]]="N/A",Table1[[#This Row],[Std Adj Read]]="N/A"),"N/A",IF(Table1[[#This Row],[DUT Adj Read]]="N/A",IF(Table1[[#This Row],[Std Adj Read]]&lt;Table1[[#This Row],[High Tol]],"Pass","Fail"),IF(Table1[[#This Row],[DUT Adj Read]]&lt;Table1[[#This Row],[High Tol]],"Pass","Fail")))</f>
        <v>Fail</v>
      </c>
      <c r="AF1000" s="1" t="str">
        <f>IF(AND(Table1[[#This Row],[Spec Type2]]="N/A",Table1[[#This Row],[DUT Adj Read]]="N/A",Table1[[#This Row],[Std Adj Read]]="N/A"),"N/A",IF(Table1[[#This Row],[DUT Adj Read]]="N/A",IF(Table1[[#This Row],[Std Adj Read]]&gt;=Table1[[#This Row],[Low Tol]],"Pass","Fail"),IF(Table1[[#This Row],[DUT Adj Read]]&gt;=Table1[[#This Row],[Low Tol]],"Pass","Fail")))</f>
        <v>Pass</v>
      </c>
      <c r="AG1000" s="1" t="str">
        <f>IF(AND(Table1[[#This Row],[Spec Type2]]="N/A",Table1[[#This Row],[DUT Adj Read]]="N/A",Table1[[#This Row],[Std Adj Read]]="N/A"),"N/A",IF(Table1[[#This Row],[DUT Adj Read]]="N/A",IF(Table1[[#This Row],[Std Adj Read]]&lt;=Table1[[#This Row],[High Tol]],"Pass","Fail"),IF(Table1[[#This Row],[DUT Adj Read]]&lt;=Table1[[#This Row],[High Tol]],"Pass","Fail")))</f>
        <v>Fail</v>
      </c>
      <c r="AH10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0" s="1" t="b">
        <v>0</v>
      </c>
      <c r="AN1000" s="1" t="b">
        <v>0</v>
      </c>
      <c r="AO1000" s="1" t="b">
        <v>0</v>
      </c>
    </row>
    <row r="1001" spans="1:41" x14ac:dyDescent="0.25">
      <c r="A1001" s="10"/>
      <c r="B1001" s="10"/>
      <c r="C1001" s="10"/>
      <c r="D1001" s="10"/>
      <c r="E1001" s="10"/>
      <c r="F1001" s="10"/>
      <c r="G1001" s="10"/>
      <c r="H1001" s="10"/>
      <c r="I1001" s="1" t="str">
        <f t="shared" si="45"/>
        <v/>
      </c>
      <c r="J1001" s="1" t="s">
        <v>35</v>
      </c>
      <c r="K1001" s="1" t="str">
        <f t="shared" si="46"/>
        <v/>
      </c>
      <c r="L1001" s="1" t="str">
        <f t="shared" si="47"/>
        <v/>
      </c>
      <c r="M1001" s="1">
        <f>IF(OR(Table1[[#This Row],[Std Nom]]="",Table1[[#This Row],[Std Read]]=""),0,Table1[[#This Row],[Std Nom]]-Table1[[#This Row],[Std Read]])</f>
        <v>0</v>
      </c>
      <c r="N1001" s="1">
        <f>IF(Calculations!$F$5="ACCREDITED 17025 WITH UNCERTAINTIES",$N$10,0)</f>
        <v>0</v>
      </c>
      <c r="Q1001" s="1">
        <f>Table1[[#This Row],[High Tol]]-Table1[[#This Row],[Low Tol]]</f>
        <v>0</v>
      </c>
      <c r="R1001" s="1">
        <f>2*Table1[[#This Row],[Std Error]]</f>
        <v>0</v>
      </c>
      <c r="S1001" s="1" t="str">
        <f>IF(Table1[[#This Row],[High Tol]]="","N/A",IFERROR(ABS(Table1[[#This Row],[Tol Span]]/Table1[[#This Row],[Error Span]]),"N/A"))</f>
        <v>N/A</v>
      </c>
      <c r="T1001" s="1" t="str">
        <f>IF(OR(Table1[[#This Row],[Low Tol]]="",Table1[[#This Row],[High Tol]]=""),"Needs Analysis",IF(Table1[[#This Row],[Ratio]]&gt;=4,"Not Significant",IF(Table1[[#This Row],[Ratio]]&gt;=2,"Semi-Significant","Significant")))</f>
        <v>Needs Analysis</v>
      </c>
      <c r="W1001" s="1">
        <f>IF(Table1[[#This Row],[Cal Type]]&lt;&gt;"ACCREDITED 17025 WITH UNCERTAINTIES",0,"")</f>
        <v>0</v>
      </c>
      <c r="X1001" s="1" t="str">
        <f>IF(Table1[[#This Row],[DUT Read]]="","N/A",Table1[[#This Row],[Std Error]]+Table1[[#This Row],[DUT Read]]+Table1[[#This Row],[DUT Ucty]])</f>
        <v>N/A</v>
      </c>
      <c r="Y1001" s="1" t="str">
        <f>IF(Table1[[#This Row],[Std Read]]="","N/A",Table1[[#This Row],[Std Read]]+Table1[[#This Row],[Std Ucty]])</f>
        <v>N/A</v>
      </c>
      <c r="Z10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1" s="1" t="str">
        <f>IF(Table1[[#This Row],[Spec Type]]="","N/A",Table1[[#This Row],[Spec Type]])</f>
        <v>±</v>
      </c>
      <c r="AC1001" s="1" t="str">
        <f>IF(Table1[[#This Row],[Spec Type2]]="N/A","N/A",IF(AND(Table1[[#This Row],[DUT Adj Read]]&gt;=Table1[[#This Row],[Low Tol]],Table1[[#This Row],[DUT Adj Read]]&lt;=Table1[[#This Row],[High Tol]]),"Pass","Fail"))</f>
        <v>Fail</v>
      </c>
      <c r="AD1001" s="1" t="str">
        <f>IF(AND(Table1[[#This Row],[Spec Type2]]="N/A",Table1[[#This Row],[DUT Adj Read]]="N/A",Table1[[#This Row],[Std Adj Read]]="N/A"),"N/A",IF(Table1[[#This Row],[DUT Adj Read]]="N/A",IF(Table1[[#This Row],[Std Adj Read]]&gt;Table1[[#This Row],[Low Tol]],"Pass","Fail"),IF(Table1[[#This Row],[DUT Adj Read]]&gt;Table1[[#This Row],[Low Tol]],"Pass","Fail")))</f>
        <v>Pass</v>
      </c>
      <c r="AE1001" s="1" t="str">
        <f>IF(AND(Table1[[#This Row],[Spec Type2]]="N/A",Table1[[#This Row],[DUT Adj Read]]="N/A",Table1[[#This Row],[Std Adj Read]]="N/A"),"N/A",IF(Table1[[#This Row],[DUT Adj Read]]="N/A",IF(Table1[[#This Row],[Std Adj Read]]&lt;Table1[[#This Row],[High Tol]],"Pass","Fail"),IF(Table1[[#This Row],[DUT Adj Read]]&lt;Table1[[#This Row],[High Tol]],"Pass","Fail")))</f>
        <v>Fail</v>
      </c>
      <c r="AF1001" s="1" t="str">
        <f>IF(AND(Table1[[#This Row],[Spec Type2]]="N/A",Table1[[#This Row],[DUT Adj Read]]="N/A",Table1[[#This Row],[Std Adj Read]]="N/A"),"N/A",IF(Table1[[#This Row],[DUT Adj Read]]="N/A",IF(Table1[[#This Row],[Std Adj Read]]&gt;=Table1[[#This Row],[Low Tol]],"Pass","Fail"),IF(Table1[[#This Row],[DUT Adj Read]]&gt;=Table1[[#This Row],[Low Tol]],"Pass","Fail")))</f>
        <v>Pass</v>
      </c>
      <c r="AG1001" s="1" t="str">
        <f>IF(AND(Table1[[#This Row],[Spec Type2]]="N/A",Table1[[#This Row],[DUT Adj Read]]="N/A",Table1[[#This Row],[Std Adj Read]]="N/A"),"N/A",IF(Table1[[#This Row],[DUT Adj Read]]="N/A",IF(Table1[[#This Row],[Std Adj Read]]&lt;=Table1[[#This Row],[High Tol]],"Pass","Fail"),IF(Table1[[#This Row],[DUT Adj Read]]&lt;=Table1[[#This Row],[High Tol]],"Pass","Fail")))</f>
        <v>Fail</v>
      </c>
      <c r="AH10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1" s="1" t="b">
        <v>0</v>
      </c>
      <c r="AN1001" s="1" t="b">
        <v>0</v>
      </c>
      <c r="AO1001" s="1" t="b">
        <v>0</v>
      </c>
    </row>
    <row r="1002" spans="1:41" x14ac:dyDescent="0.25">
      <c r="A1002" s="10"/>
      <c r="B1002" s="10"/>
      <c r="C1002" s="10"/>
      <c r="D1002" s="10"/>
      <c r="E1002" s="10"/>
      <c r="F1002" s="10"/>
      <c r="G1002" s="10"/>
      <c r="H1002" s="10"/>
      <c r="I1002" s="1" t="str">
        <f t="shared" si="45"/>
        <v/>
      </c>
      <c r="J1002" s="1" t="s">
        <v>35</v>
      </c>
      <c r="K1002" s="1" t="str">
        <f t="shared" si="46"/>
        <v/>
      </c>
      <c r="L1002" s="1" t="str">
        <f t="shared" si="47"/>
        <v/>
      </c>
      <c r="M1002" s="1">
        <f>IF(OR(Table1[[#This Row],[Std Nom]]="",Table1[[#This Row],[Std Read]]=""),0,Table1[[#This Row],[Std Nom]]-Table1[[#This Row],[Std Read]])</f>
        <v>0</v>
      </c>
      <c r="N1002" s="1">
        <f>IF(Calculations!$F$5="ACCREDITED 17025 WITH UNCERTAINTIES",$N$10,0)</f>
        <v>0</v>
      </c>
      <c r="Q1002" s="1">
        <f>Table1[[#This Row],[High Tol]]-Table1[[#This Row],[Low Tol]]</f>
        <v>0</v>
      </c>
      <c r="R1002" s="1">
        <f>2*Table1[[#This Row],[Std Error]]</f>
        <v>0</v>
      </c>
      <c r="S1002" s="1" t="str">
        <f>IF(Table1[[#This Row],[High Tol]]="","N/A",IFERROR(ABS(Table1[[#This Row],[Tol Span]]/Table1[[#This Row],[Error Span]]),"N/A"))</f>
        <v>N/A</v>
      </c>
      <c r="T1002" s="1" t="str">
        <f>IF(OR(Table1[[#This Row],[Low Tol]]="",Table1[[#This Row],[High Tol]]=""),"Needs Analysis",IF(Table1[[#This Row],[Ratio]]&gt;=4,"Not Significant",IF(Table1[[#This Row],[Ratio]]&gt;=2,"Semi-Significant","Significant")))</f>
        <v>Needs Analysis</v>
      </c>
      <c r="W1002" s="1">
        <f>IF(Table1[[#This Row],[Cal Type]]&lt;&gt;"ACCREDITED 17025 WITH UNCERTAINTIES",0,"")</f>
        <v>0</v>
      </c>
      <c r="X1002" s="1" t="str">
        <f>IF(Table1[[#This Row],[DUT Read]]="","N/A",Table1[[#This Row],[Std Error]]+Table1[[#This Row],[DUT Read]]+Table1[[#This Row],[DUT Ucty]])</f>
        <v>N/A</v>
      </c>
      <c r="Y1002" s="1" t="str">
        <f>IF(Table1[[#This Row],[Std Read]]="","N/A",Table1[[#This Row],[Std Read]]+Table1[[#This Row],[Std Ucty]])</f>
        <v>N/A</v>
      </c>
      <c r="Z10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2" s="1" t="str">
        <f>IF(Table1[[#This Row],[Spec Type]]="","N/A",Table1[[#This Row],[Spec Type]])</f>
        <v>±</v>
      </c>
      <c r="AC1002" s="1" t="str">
        <f>IF(Table1[[#This Row],[Spec Type2]]="N/A","N/A",IF(AND(Table1[[#This Row],[DUT Adj Read]]&gt;=Table1[[#This Row],[Low Tol]],Table1[[#This Row],[DUT Adj Read]]&lt;=Table1[[#This Row],[High Tol]]),"Pass","Fail"))</f>
        <v>Fail</v>
      </c>
      <c r="AD1002" s="1" t="str">
        <f>IF(AND(Table1[[#This Row],[Spec Type2]]="N/A",Table1[[#This Row],[DUT Adj Read]]="N/A",Table1[[#This Row],[Std Adj Read]]="N/A"),"N/A",IF(Table1[[#This Row],[DUT Adj Read]]="N/A",IF(Table1[[#This Row],[Std Adj Read]]&gt;Table1[[#This Row],[Low Tol]],"Pass","Fail"),IF(Table1[[#This Row],[DUT Adj Read]]&gt;Table1[[#This Row],[Low Tol]],"Pass","Fail")))</f>
        <v>Pass</v>
      </c>
      <c r="AE1002" s="1" t="str">
        <f>IF(AND(Table1[[#This Row],[Spec Type2]]="N/A",Table1[[#This Row],[DUT Adj Read]]="N/A",Table1[[#This Row],[Std Adj Read]]="N/A"),"N/A",IF(Table1[[#This Row],[DUT Adj Read]]="N/A",IF(Table1[[#This Row],[Std Adj Read]]&lt;Table1[[#This Row],[High Tol]],"Pass","Fail"),IF(Table1[[#This Row],[DUT Adj Read]]&lt;Table1[[#This Row],[High Tol]],"Pass","Fail")))</f>
        <v>Fail</v>
      </c>
      <c r="AF1002" s="1" t="str">
        <f>IF(AND(Table1[[#This Row],[Spec Type2]]="N/A",Table1[[#This Row],[DUT Adj Read]]="N/A",Table1[[#This Row],[Std Adj Read]]="N/A"),"N/A",IF(Table1[[#This Row],[DUT Adj Read]]="N/A",IF(Table1[[#This Row],[Std Adj Read]]&gt;=Table1[[#This Row],[Low Tol]],"Pass","Fail"),IF(Table1[[#This Row],[DUT Adj Read]]&gt;=Table1[[#This Row],[Low Tol]],"Pass","Fail")))</f>
        <v>Pass</v>
      </c>
      <c r="AG1002" s="1" t="str">
        <f>IF(AND(Table1[[#This Row],[Spec Type2]]="N/A",Table1[[#This Row],[DUT Adj Read]]="N/A",Table1[[#This Row],[Std Adj Read]]="N/A"),"N/A",IF(Table1[[#This Row],[DUT Adj Read]]="N/A",IF(Table1[[#This Row],[Std Adj Read]]&lt;=Table1[[#This Row],[High Tol]],"Pass","Fail"),IF(Table1[[#This Row],[DUT Adj Read]]&lt;=Table1[[#This Row],[High Tol]],"Pass","Fail")))</f>
        <v>Fail</v>
      </c>
      <c r="AH10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2" s="1" t="b">
        <v>0</v>
      </c>
      <c r="AN1002" s="1" t="b">
        <v>0</v>
      </c>
      <c r="AO1002" s="1" t="b">
        <v>0</v>
      </c>
    </row>
    <row r="1003" spans="1:41" x14ac:dyDescent="0.25">
      <c r="A1003" s="10"/>
      <c r="B1003" s="10"/>
      <c r="C1003" s="10"/>
      <c r="D1003" s="10"/>
      <c r="E1003" s="10"/>
      <c r="F1003" s="10"/>
      <c r="G1003" s="10"/>
      <c r="H1003" s="10"/>
      <c r="I1003" s="1" t="str">
        <f t="shared" si="45"/>
        <v/>
      </c>
      <c r="J1003" s="1" t="s">
        <v>35</v>
      </c>
      <c r="K1003" s="1" t="str">
        <f t="shared" si="46"/>
        <v/>
      </c>
      <c r="L1003" s="1" t="str">
        <f t="shared" si="47"/>
        <v/>
      </c>
      <c r="M1003" s="1">
        <f>IF(OR(Table1[[#This Row],[Std Nom]]="",Table1[[#This Row],[Std Read]]=""),0,Table1[[#This Row],[Std Nom]]-Table1[[#This Row],[Std Read]])</f>
        <v>0</v>
      </c>
      <c r="N1003" s="1">
        <f>IF(Calculations!$F$5="ACCREDITED 17025 WITH UNCERTAINTIES",$N$10,0)</f>
        <v>0</v>
      </c>
      <c r="Q1003" s="1">
        <f>Table1[[#This Row],[High Tol]]-Table1[[#This Row],[Low Tol]]</f>
        <v>0</v>
      </c>
      <c r="R1003" s="1">
        <f>2*Table1[[#This Row],[Std Error]]</f>
        <v>0</v>
      </c>
      <c r="S1003" s="1" t="str">
        <f>IF(Table1[[#This Row],[High Tol]]="","N/A",IFERROR(ABS(Table1[[#This Row],[Tol Span]]/Table1[[#This Row],[Error Span]]),"N/A"))</f>
        <v>N/A</v>
      </c>
      <c r="T1003" s="1" t="str">
        <f>IF(OR(Table1[[#This Row],[Low Tol]]="",Table1[[#This Row],[High Tol]]=""),"Needs Analysis",IF(Table1[[#This Row],[Ratio]]&gt;=4,"Not Significant",IF(Table1[[#This Row],[Ratio]]&gt;=2,"Semi-Significant","Significant")))</f>
        <v>Needs Analysis</v>
      </c>
      <c r="W1003" s="1">
        <f>IF(Table1[[#This Row],[Cal Type]]&lt;&gt;"ACCREDITED 17025 WITH UNCERTAINTIES",0,"")</f>
        <v>0</v>
      </c>
      <c r="X1003" s="1" t="str">
        <f>IF(Table1[[#This Row],[DUT Read]]="","N/A",Table1[[#This Row],[Std Error]]+Table1[[#This Row],[DUT Read]]+Table1[[#This Row],[DUT Ucty]])</f>
        <v>N/A</v>
      </c>
      <c r="Y1003" s="1" t="str">
        <f>IF(Table1[[#This Row],[Std Read]]="","N/A",Table1[[#This Row],[Std Read]]+Table1[[#This Row],[Std Ucty]])</f>
        <v>N/A</v>
      </c>
      <c r="Z10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3" s="1" t="str">
        <f>IF(Table1[[#This Row],[Spec Type]]="","N/A",Table1[[#This Row],[Spec Type]])</f>
        <v>±</v>
      </c>
      <c r="AC1003" s="1" t="str">
        <f>IF(Table1[[#This Row],[Spec Type2]]="N/A","N/A",IF(AND(Table1[[#This Row],[DUT Adj Read]]&gt;=Table1[[#This Row],[Low Tol]],Table1[[#This Row],[DUT Adj Read]]&lt;=Table1[[#This Row],[High Tol]]),"Pass","Fail"))</f>
        <v>Fail</v>
      </c>
      <c r="AD1003" s="1" t="str">
        <f>IF(AND(Table1[[#This Row],[Spec Type2]]="N/A",Table1[[#This Row],[DUT Adj Read]]="N/A",Table1[[#This Row],[Std Adj Read]]="N/A"),"N/A",IF(Table1[[#This Row],[DUT Adj Read]]="N/A",IF(Table1[[#This Row],[Std Adj Read]]&gt;Table1[[#This Row],[Low Tol]],"Pass","Fail"),IF(Table1[[#This Row],[DUT Adj Read]]&gt;Table1[[#This Row],[Low Tol]],"Pass","Fail")))</f>
        <v>Pass</v>
      </c>
      <c r="AE1003" s="1" t="str">
        <f>IF(AND(Table1[[#This Row],[Spec Type2]]="N/A",Table1[[#This Row],[DUT Adj Read]]="N/A",Table1[[#This Row],[Std Adj Read]]="N/A"),"N/A",IF(Table1[[#This Row],[DUT Adj Read]]="N/A",IF(Table1[[#This Row],[Std Adj Read]]&lt;Table1[[#This Row],[High Tol]],"Pass","Fail"),IF(Table1[[#This Row],[DUT Adj Read]]&lt;Table1[[#This Row],[High Tol]],"Pass","Fail")))</f>
        <v>Fail</v>
      </c>
      <c r="AF1003" s="1" t="str">
        <f>IF(AND(Table1[[#This Row],[Spec Type2]]="N/A",Table1[[#This Row],[DUT Adj Read]]="N/A",Table1[[#This Row],[Std Adj Read]]="N/A"),"N/A",IF(Table1[[#This Row],[DUT Adj Read]]="N/A",IF(Table1[[#This Row],[Std Adj Read]]&gt;=Table1[[#This Row],[Low Tol]],"Pass","Fail"),IF(Table1[[#This Row],[DUT Adj Read]]&gt;=Table1[[#This Row],[Low Tol]],"Pass","Fail")))</f>
        <v>Pass</v>
      </c>
      <c r="AG1003" s="1" t="str">
        <f>IF(AND(Table1[[#This Row],[Spec Type2]]="N/A",Table1[[#This Row],[DUT Adj Read]]="N/A",Table1[[#This Row],[Std Adj Read]]="N/A"),"N/A",IF(Table1[[#This Row],[DUT Adj Read]]="N/A",IF(Table1[[#This Row],[Std Adj Read]]&lt;=Table1[[#This Row],[High Tol]],"Pass","Fail"),IF(Table1[[#This Row],[DUT Adj Read]]&lt;=Table1[[#This Row],[High Tol]],"Pass","Fail")))</f>
        <v>Fail</v>
      </c>
      <c r="AH10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3" s="1" t="b">
        <v>0</v>
      </c>
      <c r="AN1003" s="1" t="b">
        <v>0</v>
      </c>
      <c r="AO1003" s="1" t="b">
        <v>0</v>
      </c>
    </row>
    <row r="1004" spans="1:41" x14ac:dyDescent="0.25">
      <c r="A1004" s="10"/>
      <c r="B1004" s="10"/>
      <c r="C1004" s="10"/>
      <c r="D1004" s="10"/>
      <c r="E1004" s="10"/>
      <c r="F1004" s="10"/>
      <c r="G1004" s="10"/>
      <c r="H1004" s="10"/>
      <c r="I1004" s="1" t="str">
        <f t="shared" si="45"/>
        <v/>
      </c>
      <c r="J1004" s="1" t="s">
        <v>35</v>
      </c>
      <c r="K1004" s="1" t="str">
        <f t="shared" si="46"/>
        <v/>
      </c>
      <c r="L1004" s="1" t="str">
        <f t="shared" si="47"/>
        <v/>
      </c>
      <c r="M1004" s="1">
        <f>IF(OR(Table1[[#This Row],[Std Nom]]="",Table1[[#This Row],[Std Read]]=""),0,Table1[[#This Row],[Std Nom]]-Table1[[#This Row],[Std Read]])</f>
        <v>0</v>
      </c>
      <c r="N1004" s="1">
        <f>IF(Calculations!$F$5="ACCREDITED 17025 WITH UNCERTAINTIES",$N$10,0)</f>
        <v>0</v>
      </c>
      <c r="Q1004" s="1">
        <f>Table1[[#This Row],[High Tol]]-Table1[[#This Row],[Low Tol]]</f>
        <v>0</v>
      </c>
      <c r="R1004" s="1">
        <f>2*Table1[[#This Row],[Std Error]]</f>
        <v>0</v>
      </c>
      <c r="S1004" s="1" t="str">
        <f>IF(Table1[[#This Row],[High Tol]]="","N/A",IFERROR(ABS(Table1[[#This Row],[Tol Span]]/Table1[[#This Row],[Error Span]]),"N/A"))</f>
        <v>N/A</v>
      </c>
      <c r="T1004" s="1" t="str">
        <f>IF(OR(Table1[[#This Row],[Low Tol]]="",Table1[[#This Row],[High Tol]]=""),"Needs Analysis",IF(Table1[[#This Row],[Ratio]]&gt;=4,"Not Significant",IF(Table1[[#This Row],[Ratio]]&gt;=2,"Semi-Significant","Significant")))</f>
        <v>Needs Analysis</v>
      </c>
      <c r="W1004" s="1">
        <f>IF(Table1[[#This Row],[Cal Type]]&lt;&gt;"ACCREDITED 17025 WITH UNCERTAINTIES",0,"")</f>
        <v>0</v>
      </c>
      <c r="X1004" s="1" t="str">
        <f>IF(Table1[[#This Row],[DUT Read]]="","N/A",Table1[[#This Row],[Std Error]]+Table1[[#This Row],[DUT Read]]+Table1[[#This Row],[DUT Ucty]])</f>
        <v>N/A</v>
      </c>
      <c r="Y1004" s="1" t="str">
        <f>IF(Table1[[#This Row],[Std Read]]="","N/A",Table1[[#This Row],[Std Read]]+Table1[[#This Row],[Std Ucty]])</f>
        <v>N/A</v>
      </c>
      <c r="Z10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4" s="1" t="str">
        <f>IF(Table1[[#This Row],[Spec Type]]="","N/A",Table1[[#This Row],[Spec Type]])</f>
        <v>±</v>
      </c>
      <c r="AC1004" s="1" t="str">
        <f>IF(Table1[[#This Row],[Spec Type2]]="N/A","N/A",IF(AND(Table1[[#This Row],[DUT Adj Read]]&gt;=Table1[[#This Row],[Low Tol]],Table1[[#This Row],[DUT Adj Read]]&lt;=Table1[[#This Row],[High Tol]]),"Pass","Fail"))</f>
        <v>Fail</v>
      </c>
      <c r="AD1004" s="1" t="str">
        <f>IF(AND(Table1[[#This Row],[Spec Type2]]="N/A",Table1[[#This Row],[DUT Adj Read]]="N/A",Table1[[#This Row],[Std Adj Read]]="N/A"),"N/A",IF(Table1[[#This Row],[DUT Adj Read]]="N/A",IF(Table1[[#This Row],[Std Adj Read]]&gt;Table1[[#This Row],[Low Tol]],"Pass","Fail"),IF(Table1[[#This Row],[DUT Adj Read]]&gt;Table1[[#This Row],[Low Tol]],"Pass","Fail")))</f>
        <v>Pass</v>
      </c>
      <c r="AE1004" s="1" t="str">
        <f>IF(AND(Table1[[#This Row],[Spec Type2]]="N/A",Table1[[#This Row],[DUT Adj Read]]="N/A",Table1[[#This Row],[Std Adj Read]]="N/A"),"N/A",IF(Table1[[#This Row],[DUT Adj Read]]="N/A",IF(Table1[[#This Row],[Std Adj Read]]&lt;Table1[[#This Row],[High Tol]],"Pass","Fail"),IF(Table1[[#This Row],[DUT Adj Read]]&lt;Table1[[#This Row],[High Tol]],"Pass","Fail")))</f>
        <v>Fail</v>
      </c>
      <c r="AF1004" s="1" t="str">
        <f>IF(AND(Table1[[#This Row],[Spec Type2]]="N/A",Table1[[#This Row],[DUT Adj Read]]="N/A",Table1[[#This Row],[Std Adj Read]]="N/A"),"N/A",IF(Table1[[#This Row],[DUT Adj Read]]="N/A",IF(Table1[[#This Row],[Std Adj Read]]&gt;=Table1[[#This Row],[Low Tol]],"Pass","Fail"),IF(Table1[[#This Row],[DUT Adj Read]]&gt;=Table1[[#This Row],[Low Tol]],"Pass","Fail")))</f>
        <v>Pass</v>
      </c>
      <c r="AG1004" s="1" t="str">
        <f>IF(AND(Table1[[#This Row],[Spec Type2]]="N/A",Table1[[#This Row],[DUT Adj Read]]="N/A",Table1[[#This Row],[Std Adj Read]]="N/A"),"N/A",IF(Table1[[#This Row],[DUT Adj Read]]="N/A",IF(Table1[[#This Row],[Std Adj Read]]&lt;=Table1[[#This Row],[High Tol]],"Pass","Fail"),IF(Table1[[#This Row],[DUT Adj Read]]&lt;=Table1[[#This Row],[High Tol]],"Pass","Fail")))</f>
        <v>Fail</v>
      </c>
      <c r="AH10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4" s="1" t="b">
        <v>0</v>
      </c>
      <c r="AN1004" s="1" t="b">
        <v>0</v>
      </c>
      <c r="AO1004" s="1" t="b">
        <v>0</v>
      </c>
    </row>
    <row r="1005" spans="1:41" x14ac:dyDescent="0.25">
      <c r="A1005" s="10"/>
      <c r="B1005" s="10"/>
      <c r="C1005" s="10"/>
      <c r="D1005" s="10"/>
      <c r="E1005" s="10"/>
      <c r="F1005" s="10"/>
      <c r="G1005" s="10"/>
      <c r="H1005" s="10"/>
      <c r="I1005" s="1" t="str">
        <f t="shared" si="45"/>
        <v/>
      </c>
      <c r="J1005" s="1" t="s">
        <v>35</v>
      </c>
      <c r="K1005" s="1" t="str">
        <f t="shared" si="46"/>
        <v/>
      </c>
      <c r="L1005" s="1" t="str">
        <f t="shared" si="47"/>
        <v/>
      </c>
      <c r="M1005" s="1">
        <f>IF(OR(Table1[[#This Row],[Std Nom]]="",Table1[[#This Row],[Std Read]]=""),0,Table1[[#This Row],[Std Nom]]-Table1[[#This Row],[Std Read]])</f>
        <v>0</v>
      </c>
      <c r="N1005" s="1">
        <f>IF(Calculations!$F$5="ACCREDITED 17025 WITH UNCERTAINTIES",$N$10,0)</f>
        <v>0</v>
      </c>
      <c r="Q1005" s="1">
        <f>Table1[[#This Row],[High Tol]]-Table1[[#This Row],[Low Tol]]</f>
        <v>0</v>
      </c>
      <c r="R1005" s="1">
        <f>2*Table1[[#This Row],[Std Error]]</f>
        <v>0</v>
      </c>
      <c r="S1005" s="1" t="str">
        <f>IF(Table1[[#This Row],[High Tol]]="","N/A",IFERROR(ABS(Table1[[#This Row],[Tol Span]]/Table1[[#This Row],[Error Span]]),"N/A"))</f>
        <v>N/A</v>
      </c>
      <c r="T1005" s="1" t="str">
        <f>IF(OR(Table1[[#This Row],[Low Tol]]="",Table1[[#This Row],[High Tol]]=""),"Needs Analysis",IF(Table1[[#This Row],[Ratio]]&gt;=4,"Not Significant",IF(Table1[[#This Row],[Ratio]]&gt;=2,"Semi-Significant","Significant")))</f>
        <v>Needs Analysis</v>
      </c>
      <c r="W1005" s="1">
        <f>IF(Table1[[#This Row],[Cal Type]]&lt;&gt;"ACCREDITED 17025 WITH UNCERTAINTIES",0,"")</f>
        <v>0</v>
      </c>
      <c r="X1005" s="1" t="str">
        <f>IF(Table1[[#This Row],[DUT Read]]="","N/A",Table1[[#This Row],[Std Error]]+Table1[[#This Row],[DUT Read]]+Table1[[#This Row],[DUT Ucty]])</f>
        <v>N/A</v>
      </c>
      <c r="Y1005" s="1" t="str">
        <f>IF(Table1[[#This Row],[Std Read]]="","N/A",Table1[[#This Row],[Std Read]]+Table1[[#This Row],[Std Ucty]])</f>
        <v>N/A</v>
      </c>
      <c r="Z10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5" s="1" t="str">
        <f>IF(Table1[[#This Row],[Spec Type]]="","N/A",Table1[[#This Row],[Spec Type]])</f>
        <v>±</v>
      </c>
      <c r="AC1005" s="1" t="str">
        <f>IF(Table1[[#This Row],[Spec Type2]]="N/A","N/A",IF(AND(Table1[[#This Row],[DUT Adj Read]]&gt;=Table1[[#This Row],[Low Tol]],Table1[[#This Row],[DUT Adj Read]]&lt;=Table1[[#This Row],[High Tol]]),"Pass","Fail"))</f>
        <v>Fail</v>
      </c>
      <c r="AD1005" s="1" t="str">
        <f>IF(AND(Table1[[#This Row],[Spec Type2]]="N/A",Table1[[#This Row],[DUT Adj Read]]="N/A",Table1[[#This Row],[Std Adj Read]]="N/A"),"N/A",IF(Table1[[#This Row],[DUT Adj Read]]="N/A",IF(Table1[[#This Row],[Std Adj Read]]&gt;Table1[[#This Row],[Low Tol]],"Pass","Fail"),IF(Table1[[#This Row],[DUT Adj Read]]&gt;Table1[[#This Row],[Low Tol]],"Pass","Fail")))</f>
        <v>Pass</v>
      </c>
      <c r="AE1005" s="1" t="str">
        <f>IF(AND(Table1[[#This Row],[Spec Type2]]="N/A",Table1[[#This Row],[DUT Adj Read]]="N/A",Table1[[#This Row],[Std Adj Read]]="N/A"),"N/A",IF(Table1[[#This Row],[DUT Adj Read]]="N/A",IF(Table1[[#This Row],[Std Adj Read]]&lt;Table1[[#This Row],[High Tol]],"Pass","Fail"),IF(Table1[[#This Row],[DUT Adj Read]]&lt;Table1[[#This Row],[High Tol]],"Pass","Fail")))</f>
        <v>Fail</v>
      </c>
      <c r="AF1005" s="1" t="str">
        <f>IF(AND(Table1[[#This Row],[Spec Type2]]="N/A",Table1[[#This Row],[DUT Adj Read]]="N/A",Table1[[#This Row],[Std Adj Read]]="N/A"),"N/A",IF(Table1[[#This Row],[DUT Adj Read]]="N/A",IF(Table1[[#This Row],[Std Adj Read]]&gt;=Table1[[#This Row],[Low Tol]],"Pass","Fail"),IF(Table1[[#This Row],[DUT Adj Read]]&gt;=Table1[[#This Row],[Low Tol]],"Pass","Fail")))</f>
        <v>Pass</v>
      </c>
      <c r="AG1005" s="1" t="str">
        <f>IF(AND(Table1[[#This Row],[Spec Type2]]="N/A",Table1[[#This Row],[DUT Adj Read]]="N/A",Table1[[#This Row],[Std Adj Read]]="N/A"),"N/A",IF(Table1[[#This Row],[DUT Adj Read]]="N/A",IF(Table1[[#This Row],[Std Adj Read]]&lt;=Table1[[#This Row],[High Tol]],"Pass","Fail"),IF(Table1[[#This Row],[DUT Adj Read]]&lt;=Table1[[#This Row],[High Tol]],"Pass","Fail")))</f>
        <v>Fail</v>
      </c>
      <c r="AH10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5" s="1" t="b">
        <v>0</v>
      </c>
      <c r="AN1005" s="1" t="b">
        <v>0</v>
      </c>
      <c r="AO1005" s="1" t="b">
        <v>0</v>
      </c>
    </row>
    <row r="1006" spans="1:41" x14ac:dyDescent="0.25">
      <c r="A1006" s="10"/>
      <c r="B1006" s="10"/>
      <c r="C1006" s="10"/>
      <c r="D1006" s="10"/>
      <c r="E1006" s="10"/>
      <c r="F1006" s="10"/>
      <c r="G1006" s="10"/>
      <c r="H1006" s="10"/>
      <c r="I1006" s="1" t="str">
        <f t="shared" si="45"/>
        <v/>
      </c>
      <c r="J1006" s="1" t="s">
        <v>35</v>
      </c>
      <c r="K1006" s="1" t="str">
        <f t="shared" si="46"/>
        <v/>
      </c>
      <c r="L1006" s="1" t="str">
        <f t="shared" si="47"/>
        <v/>
      </c>
      <c r="M1006" s="1">
        <f>IF(OR(Table1[[#This Row],[Std Nom]]="",Table1[[#This Row],[Std Read]]=""),0,Table1[[#This Row],[Std Nom]]-Table1[[#This Row],[Std Read]])</f>
        <v>0</v>
      </c>
      <c r="N1006" s="1">
        <f>IF(Calculations!$F$5="ACCREDITED 17025 WITH UNCERTAINTIES",$N$10,0)</f>
        <v>0</v>
      </c>
      <c r="Q1006" s="1">
        <f>Table1[[#This Row],[High Tol]]-Table1[[#This Row],[Low Tol]]</f>
        <v>0</v>
      </c>
      <c r="R1006" s="1">
        <f>2*Table1[[#This Row],[Std Error]]</f>
        <v>0</v>
      </c>
      <c r="S1006" s="1" t="str">
        <f>IF(Table1[[#This Row],[High Tol]]="","N/A",IFERROR(ABS(Table1[[#This Row],[Tol Span]]/Table1[[#This Row],[Error Span]]),"N/A"))</f>
        <v>N/A</v>
      </c>
      <c r="T1006" s="1" t="str">
        <f>IF(OR(Table1[[#This Row],[Low Tol]]="",Table1[[#This Row],[High Tol]]=""),"Needs Analysis",IF(Table1[[#This Row],[Ratio]]&gt;=4,"Not Significant",IF(Table1[[#This Row],[Ratio]]&gt;=2,"Semi-Significant","Significant")))</f>
        <v>Needs Analysis</v>
      </c>
      <c r="W1006" s="1">
        <f>IF(Table1[[#This Row],[Cal Type]]&lt;&gt;"ACCREDITED 17025 WITH UNCERTAINTIES",0,"")</f>
        <v>0</v>
      </c>
      <c r="X1006" s="1" t="str">
        <f>IF(Table1[[#This Row],[DUT Read]]="","N/A",Table1[[#This Row],[Std Error]]+Table1[[#This Row],[DUT Read]]+Table1[[#This Row],[DUT Ucty]])</f>
        <v>N/A</v>
      </c>
      <c r="Y1006" s="1" t="str">
        <f>IF(Table1[[#This Row],[Std Read]]="","N/A",Table1[[#This Row],[Std Read]]+Table1[[#This Row],[Std Ucty]])</f>
        <v>N/A</v>
      </c>
      <c r="Z10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6" s="1" t="str">
        <f>IF(Table1[[#This Row],[Spec Type]]="","N/A",Table1[[#This Row],[Spec Type]])</f>
        <v>±</v>
      </c>
      <c r="AC1006" s="1" t="str">
        <f>IF(Table1[[#This Row],[Spec Type2]]="N/A","N/A",IF(AND(Table1[[#This Row],[DUT Adj Read]]&gt;=Table1[[#This Row],[Low Tol]],Table1[[#This Row],[DUT Adj Read]]&lt;=Table1[[#This Row],[High Tol]]),"Pass","Fail"))</f>
        <v>Fail</v>
      </c>
      <c r="AD1006" s="1" t="str">
        <f>IF(AND(Table1[[#This Row],[Spec Type2]]="N/A",Table1[[#This Row],[DUT Adj Read]]="N/A",Table1[[#This Row],[Std Adj Read]]="N/A"),"N/A",IF(Table1[[#This Row],[DUT Adj Read]]="N/A",IF(Table1[[#This Row],[Std Adj Read]]&gt;Table1[[#This Row],[Low Tol]],"Pass","Fail"),IF(Table1[[#This Row],[DUT Adj Read]]&gt;Table1[[#This Row],[Low Tol]],"Pass","Fail")))</f>
        <v>Pass</v>
      </c>
      <c r="AE1006" s="1" t="str">
        <f>IF(AND(Table1[[#This Row],[Spec Type2]]="N/A",Table1[[#This Row],[DUT Adj Read]]="N/A",Table1[[#This Row],[Std Adj Read]]="N/A"),"N/A",IF(Table1[[#This Row],[DUT Adj Read]]="N/A",IF(Table1[[#This Row],[Std Adj Read]]&lt;Table1[[#This Row],[High Tol]],"Pass","Fail"),IF(Table1[[#This Row],[DUT Adj Read]]&lt;Table1[[#This Row],[High Tol]],"Pass","Fail")))</f>
        <v>Fail</v>
      </c>
      <c r="AF1006" s="1" t="str">
        <f>IF(AND(Table1[[#This Row],[Spec Type2]]="N/A",Table1[[#This Row],[DUT Adj Read]]="N/A",Table1[[#This Row],[Std Adj Read]]="N/A"),"N/A",IF(Table1[[#This Row],[DUT Adj Read]]="N/A",IF(Table1[[#This Row],[Std Adj Read]]&gt;=Table1[[#This Row],[Low Tol]],"Pass","Fail"),IF(Table1[[#This Row],[DUT Adj Read]]&gt;=Table1[[#This Row],[Low Tol]],"Pass","Fail")))</f>
        <v>Pass</v>
      </c>
      <c r="AG1006" s="1" t="str">
        <f>IF(AND(Table1[[#This Row],[Spec Type2]]="N/A",Table1[[#This Row],[DUT Adj Read]]="N/A",Table1[[#This Row],[Std Adj Read]]="N/A"),"N/A",IF(Table1[[#This Row],[DUT Adj Read]]="N/A",IF(Table1[[#This Row],[Std Adj Read]]&lt;=Table1[[#This Row],[High Tol]],"Pass","Fail"),IF(Table1[[#This Row],[DUT Adj Read]]&lt;=Table1[[#This Row],[High Tol]],"Pass","Fail")))</f>
        <v>Fail</v>
      </c>
      <c r="AH10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6" s="1" t="b">
        <v>0</v>
      </c>
      <c r="AN1006" s="1" t="b">
        <v>0</v>
      </c>
      <c r="AO1006" s="1" t="b">
        <v>0</v>
      </c>
    </row>
    <row r="1007" spans="1:41" x14ac:dyDescent="0.25">
      <c r="A1007" s="10"/>
      <c r="B1007" s="10"/>
      <c r="C1007" s="10"/>
      <c r="D1007" s="10"/>
      <c r="E1007" s="10"/>
      <c r="F1007" s="10"/>
      <c r="G1007" s="10"/>
      <c r="H1007" s="10"/>
      <c r="I1007" s="1" t="str">
        <f t="shared" si="45"/>
        <v/>
      </c>
      <c r="J1007" s="1" t="s">
        <v>35</v>
      </c>
      <c r="K1007" s="1" t="str">
        <f t="shared" si="46"/>
        <v/>
      </c>
      <c r="L1007" s="1" t="str">
        <f t="shared" si="47"/>
        <v/>
      </c>
      <c r="M1007" s="1">
        <f>IF(OR(Table1[[#This Row],[Std Nom]]="",Table1[[#This Row],[Std Read]]=""),0,Table1[[#This Row],[Std Nom]]-Table1[[#This Row],[Std Read]])</f>
        <v>0</v>
      </c>
      <c r="N1007" s="1">
        <f>IF(Calculations!$F$5="ACCREDITED 17025 WITH UNCERTAINTIES",$N$10,0)</f>
        <v>0</v>
      </c>
      <c r="Q1007" s="1">
        <f>Table1[[#This Row],[High Tol]]-Table1[[#This Row],[Low Tol]]</f>
        <v>0</v>
      </c>
      <c r="R1007" s="1">
        <f>2*Table1[[#This Row],[Std Error]]</f>
        <v>0</v>
      </c>
      <c r="S1007" s="1" t="str">
        <f>IF(Table1[[#This Row],[High Tol]]="","N/A",IFERROR(ABS(Table1[[#This Row],[Tol Span]]/Table1[[#This Row],[Error Span]]),"N/A"))</f>
        <v>N/A</v>
      </c>
      <c r="T1007" s="1" t="str">
        <f>IF(OR(Table1[[#This Row],[Low Tol]]="",Table1[[#This Row],[High Tol]]=""),"Needs Analysis",IF(Table1[[#This Row],[Ratio]]&gt;=4,"Not Significant",IF(Table1[[#This Row],[Ratio]]&gt;=2,"Semi-Significant","Significant")))</f>
        <v>Needs Analysis</v>
      </c>
      <c r="W1007" s="1">
        <f>IF(Table1[[#This Row],[Cal Type]]&lt;&gt;"ACCREDITED 17025 WITH UNCERTAINTIES",0,"")</f>
        <v>0</v>
      </c>
      <c r="X1007" s="1" t="str">
        <f>IF(Table1[[#This Row],[DUT Read]]="","N/A",Table1[[#This Row],[Std Error]]+Table1[[#This Row],[DUT Read]]+Table1[[#This Row],[DUT Ucty]])</f>
        <v>N/A</v>
      </c>
      <c r="Y1007" s="1" t="str">
        <f>IF(Table1[[#This Row],[Std Read]]="","N/A",Table1[[#This Row],[Std Read]]+Table1[[#This Row],[Std Ucty]])</f>
        <v>N/A</v>
      </c>
      <c r="Z10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7" s="1" t="str">
        <f>IF(Table1[[#This Row],[Spec Type]]="","N/A",Table1[[#This Row],[Spec Type]])</f>
        <v>±</v>
      </c>
      <c r="AC1007" s="1" t="str">
        <f>IF(Table1[[#This Row],[Spec Type2]]="N/A","N/A",IF(AND(Table1[[#This Row],[DUT Adj Read]]&gt;=Table1[[#This Row],[Low Tol]],Table1[[#This Row],[DUT Adj Read]]&lt;=Table1[[#This Row],[High Tol]]),"Pass","Fail"))</f>
        <v>Fail</v>
      </c>
      <c r="AD1007" s="1" t="str">
        <f>IF(AND(Table1[[#This Row],[Spec Type2]]="N/A",Table1[[#This Row],[DUT Adj Read]]="N/A",Table1[[#This Row],[Std Adj Read]]="N/A"),"N/A",IF(Table1[[#This Row],[DUT Adj Read]]="N/A",IF(Table1[[#This Row],[Std Adj Read]]&gt;Table1[[#This Row],[Low Tol]],"Pass","Fail"),IF(Table1[[#This Row],[DUT Adj Read]]&gt;Table1[[#This Row],[Low Tol]],"Pass","Fail")))</f>
        <v>Pass</v>
      </c>
      <c r="AE1007" s="1" t="str">
        <f>IF(AND(Table1[[#This Row],[Spec Type2]]="N/A",Table1[[#This Row],[DUT Adj Read]]="N/A",Table1[[#This Row],[Std Adj Read]]="N/A"),"N/A",IF(Table1[[#This Row],[DUT Adj Read]]="N/A",IF(Table1[[#This Row],[Std Adj Read]]&lt;Table1[[#This Row],[High Tol]],"Pass","Fail"),IF(Table1[[#This Row],[DUT Adj Read]]&lt;Table1[[#This Row],[High Tol]],"Pass","Fail")))</f>
        <v>Fail</v>
      </c>
      <c r="AF1007" s="1" t="str">
        <f>IF(AND(Table1[[#This Row],[Spec Type2]]="N/A",Table1[[#This Row],[DUT Adj Read]]="N/A",Table1[[#This Row],[Std Adj Read]]="N/A"),"N/A",IF(Table1[[#This Row],[DUT Adj Read]]="N/A",IF(Table1[[#This Row],[Std Adj Read]]&gt;=Table1[[#This Row],[Low Tol]],"Pass","Fail"),IF(Table1[[#This Row],[DUT Adj Read]]&gt;=Table1[[#This Row],[Low Tol]],"Pass","Fail")))</f>
        <v>Pass</v>
      </c>
      <c r="AG1007" s="1" t="str">
        <f>IF(AND(Table1[[#This Row],[Spec Type2]]="N/A",Table1[[#This Row],[DUT Adj Read]]="N/A",Table1[[#This Row],[Std Adj Read]]="N/A"),"N/A",IF(Table1[[#This Row],[DUT Adj Read]]="N/A",IF(Table1[[#This Row],[Std Adj Read]]&lt;=Table1[[#This Row],[High Tol]],"Pass","Fail"),IF(Table1[[#This Row],[DUT Adj Read]]&lt;=Table1[[#This Row],[High Tol]],"Pass","Fail")))</f>
        <v>Fail</v>
      </c>
      <c r="AH10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7" s="1" t="b">
        <v>0</v>
      </c>
      <c r="AN1007" s="1" t="b">
        <v>0</v>
      </c>
      <c r="AO1007" s="1" t="b">
        <v>0</v>
      </c>
    </row>
    <row r="1008" spans="1:41" x14ac:dyDescent="0.25">
      <c r="A1008" s="10"/>
      <c r="B1008" s="10"/>
      <c r="C1008" s="10"/>
      <c r="D1008" s="10"/>
      <c r="E1008" s="10"/>
      <c r="F1008" s="10"/>
      <c r="G1008" s="10"/>
      <c r="H1008" s="10"/>
      <c r="I1008" s="1" t="str">
        <f t="shared" si="45"/>
        <v/>
      </c>
      <c r="J1008" s="1" t="s">
        <v>35</v>
      </c>
      <c r="K1008" s="1" t="str">
        <f t="shared" si="46"/>
        <v/>
      </c>
      <c r="L1008" s="1" t="str">
        <f t="shared" si="47"/>
        <v/>
      </c>
      <c r="M1008" s="1">
        <f>IF(OR(Table1[[#This Row],[Std Nom]]="",Table1[[#This Row],[Std Read]]=""),0,Table1[[#This Row],[Std Nom]]-Table1[[#This Row],[Std Read]])</f>
        <v>0</v>
      </c>
      <c r="N1008" s="1">
        <f>IF(Calculations!$F$5="ACCREDITED 17025 WITH UNCERTAINTIES",$N$10,0)</f>
        <v>0</v>
      </c>
      <c r="Q1008" s="1">
        <f>Table1[[#This Row],[High Tol]]-Table1[[#This Row],[Low Tol]]</f>
        <v>0</v>
      </c>
      <c r="R1008" s="1">
        <f>2*Table1[[#This Row],[Std Error]]</f>
        <v>0</v>
      </c>
      <c r="S1008" s="1" t="str">
        <f>IF(Table1[[#This Row],[High Tol]]="","N/A",IFERROR(ABS(Table1[[#This Row],[Tol Span]]/Table1[[#This Row],[Error Span]]),"N/A"))</f>
        <v>N/A</v>
      </c>
      <c r="T1008" s="1" t="str">
        <f>IF(OR(Table1[[#This Row],[Low Tol]]="",Table1[[#This Row],[High Tol]]=""),"Needs Analysis",IF(Table1[[#This Row],[Ratio]]&gt;=4,"Not Significant",IF(Table1[[#This Row],[Ratio]]&gt;=2,"Semi-Significant","Significant")))</f>
        <v>Needs Analysis</v>
      </c>
      <c r="W1008" s="1">
        <f>IF(Table1[[#This Row],[Cal Type]]&lt;&gt;"ACCREDITED 17025 WITH UNCERTAINTIES",0,"")</f>
        <v>0</v>
      </c>
      <c r="X1008" s="1" t="str">
        <f>IF(Table1[[#This Row],[DUT Read]]="","N/A",Table1[[#This Row],[Std Error]]+Table1[[#This Row],[DUT Read]]+Table1[[#This Row],[DUT Ucty]])</f>
        <v>N/A</v>
      </c>
      <c r="Y1008" s="1" t="str">
        <f>IF(Table1[[#This Row],[Std Read]]="","N/A",Table1[[#This Row],[Std Read]]+Table1[[#This Row],[Std Ucty]])</f>
        <v>N/A</v>
      </c>
      <c r="Z10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8" s="1" t="str">
        <f>IF(Table1[[#This Row],[Spec Type]]="","N/A",Table1[[#This Row],[Spec Type]])</f>
        <v>±</v>
      </c>
      <c r="AC1008" s="1" t="str">
        <f>IF(Table1[[#This Row],[Spec Type2]]="N/A","N/A",IF(AND(Table1[[#This Row],[DUT Adj Read]]&gt;=Table1[[#This Row],[Low Tol]],Table1[[#This Row],[DUT Adj Read]]&lt;=Table1[[#This Row],[High Tol]]),"Pass","Fail"))</f>
        <v>Fail</v>
      </c>
      <c r="AD1008" s="1" t="str">
        <f>IF(AND(Table1[[#This Row],[Spec Type2]]="N/A",Table1[[#This Row],[DUT Adj Read]]="N/A",Table1[[#This Row],[Std Adj Read]]="N/A"),"N/A",IF(Table1[[#This Row],[DUT Adj Read]]="N/A",IF(Table1[[#This Row],[Std Adj Read]]&gt;Table1[[#This Row],[Low Tol]],"Pass","Fail"),IF(Table1[[#This Row],[DUT Adj Read]]&gt;Table1[[#This Row],[Low Tol]],"Pass","Fail")))</f>
        <v>Pass</v>
      </c>
      <c r="AE1008" s="1" t="str">
        <f>IF(AND(Table1[[#This Row],[Spec Type2]]="N/A",Table1[[#This Row],[DUT Adj Read]]="N/A",Table1[[#This Row],[Std Adj Read]]="N/A"),"N/A",IF(Table1[[#This Row],[DUT Adj Read]]="N/A",IF(Table1[[#This Row],[Std Adj Read]]&lt;Table1[[#This Row],[High Tol]],"Pass","Fail"),IF(Table1[[#This Row],[DUT Adj Read]]&lt;Table1[[#This Row],[High Tol]],"Pass","Fail")))</f>
        <v>Fail</v>
      </c>
      <c r="AF1008" s="1" t="str">
        <f>IF(AND(Table1[[#This Row],[Spec Type2]]="N/A",Table1[[#This Row],[DUT Adj Read]]="N/A",Table1[[#This Row],[Std Adj Read]]="N/A"),"N/A",IF(Table1[[#This Row],[DUT Adj Read]]="N/A",IF(Table1[[#This Row],[Std Adj Read]]&gt;=Table1[[#This Row],[Low Tol]],"Pass","Fail"),IF(Table1[[#This Row],[DUT Adj Read]]&gt;=Table1[[#This Row],[Low Tol]],"Pass","Fail")))</f>
        <v>Pass</v>
      </c>
      <c r="AG1008" s="1" t="str">
        <f>IF(AND(Table1[[#This Row],[Spec Type2]]="N/A",Table1[[#This Row],[DUT Adj Read]]="N/A",Table1[[#This Row],[Std Adj Read]]="N/A"),"N/A",IF(Table1[[#This Row],[DUT Adj Read]]="N/A",IF(Table1[[#This Row],[Std Adj Read]]&lt;=Table1[[#This Row],[High Tol]],"Pass","Fail"),IF(Table1[[#This Row],[DUT Adj Read]]&lt;=Table1[[#This Row],[High Tol]],"Pass","Fail")))</f>
        <v>Fail</v>
      </c>
      <c r="AH10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8" s="1" t="b">
        <v>0</v>
      </c>
      <c r="AN1008" s="1" t="b">
        <v>0</v>
      </c>
      <c r="AO1008" s="1" t="b">
        <v>0</v>
      </c>
    </row>
    <row r="1009" spans="1:41" x14ac:dyDescent="0.25">
      <c r="A1009" s="10"/>
      <c r="B1009" s="10"/>
      <c r="C1009" s="10"/>
      <c r="D1009" s="10"/>
      <c r="E1009" s="10"/>
      <c r="F1009" s="10"/>
      <c r="G1009" s="10"/>
      <c r="H1009" s="10"/>
      <c r="I1009" s="1" t="str">
        <f t="shared" si="45"/>
        <v/>
      </c>
      <c r="J1009" s="1" t="s">
        <v>35</v>
      </c>
      <c r="K1009" s="1" t="str">
        <f t="shared" si="46"/>
        <v/>
      </c>
      <c r="L1009" s="1" t="str">
        <f t="shared" si="47"/>
        <v/>
      </c>
      <c r="M1009" s="1">
        <f>IF(OR(Table1[[#This Row],[Std Nom]]="",Table1[[#This Row],[Std Read]]=""),0,Table1[[#This Row],[Std Nom]]-Table1[[#This Row],[Std Read]])</f>
        <v>0</v>
      </c>
      <c r="N1009" s="1">
        <f>IF(Calculations!$F$5="ACCREDITED 17025 WITH UNCERTAINTIES",$N$10,0)</f>
        <v>0</v>
      </c>
      <c r="Q1009" s="1">
        <f>Table1[[#This Row],[High Tol]]-Table1[[#This Row],[Low Tol]]</f>
        <v>0</v>
      </c>
      <c r="R1009" s="1">
        <f>2*Table1[[#This Row],[Std Error]]</f>
        <v>0</v>
      </c>
      <c r="S1009" s="1" t="str">
        <f>IF(Table1[[#This Row],[High Tol]]="","N/A",IFERROR(ABS(Table1[[#This Row],[Tol Span]]/Table1[[#This Row],[Error Span]]),"N/A"))</f>
        <v>N/A</v>
      </c>
      <c r="T1009" s="1" t="str">
        <f>IF(OR(Table1[[#This Row],[Low Tol]]="",Table1[[#This Row],[High Tol]]=""),"Needs Analysis",IF(Table1[[#This Row],[Ratio]]&gt;=4,"Not Significant",IF(Table1[[#This Row],[Ratio]]&gt;=2,"Semi-Significant","Significant")))</f>
        <v>Needs Analysis</v>
      </c>
      <c r="W1009" s="1">
        <f>IF(Table1[[#This Row],[Cal Type]]&lt;&gt;"ACCREDITED 17025 WITH UNCERTAINTIES",0,"")</f>
        <v>0</v>
      </c>
      <c r="X1009" s="1" t="str">
        <f>IF(Table1[[#This Row],[DUT Read]]="","N/A",Table1[[#This Row],[Std Error]]+Table1[[#This Row],[DUT Read]]+Table1[[#This Row],[DUT Ucty]])</f>
        <v>N/A</v>
      </c>
      <c r="Y1009" s="1" t="str">
        <f>IF(Table1[[#This Row],[Std Read]]="","N/A",Table1[[#This Row],[Std Read]]+Table1[[#This Row],[Std Ucty]])</f>
        <v>N/A</v>
      </c>
      <c r="Z10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09" s="1" t="str">
        <f>IF(Table1[[#This Row],[Spec Type]]="","N/A",Table1[[#This Row],[Spec Type]])</f>
        <v>±</v>
      </c>
      <c r="AC1009" s="1" t="str">
        <f>IF(Table1[[#This Row],[Spec Type2]]="N/A","N/A",IF(AND(Table1[[#This Row],[DUT Adj Read]]&gt;=Table1[[#This Row],[Low Tol]],Table1[[#This Row],[DUT Adj Read]]&lt;=Table1[[#This Row],[High Tol]]),"Pass","Fail"))</f>
        <v>Fail</v>
      </c>
      <c r="AD1009" s="1" t="str">
        <f>IF(AND(Table1[[#This Row],[Spec Type2]]="N/A",Table1[[#This Row],[DUT Adj Read]]="N/A",Table1[[#This Row],[Std Adj Read]]="N/A"),"N/A",IF(Table1[[#This Row],[DUT Adj Read]]="N/A",IF(Table1[[#This Row],[Std Adj Read]]&gt;Table1[[#This Row],[Low Tol]],"Pass","Fail"),IF(Table1[[#This Row],[DUT Adj Read]]&gt;Table1[[#This Row],[Low Tol]],"Pass","Fail")))</f>
        <v>Pass</v>
      </c>
      <c r="AE1009" s="1" t="str">
        <f>IF(AND(Table1[[#This Row],[Spec Type2]]="N/A",Table1[[#This Row],[DUT Adj Read]]="N/A",Table1[[#This Row],[Std Adj Read]]="N/A"),"N/A",IF(Table1[[#This Row],[DUT Adj Read]]="N/A",IF(Table1[[#This Row],[Std Adj Read]]&lt;Table1[[#This Row],[High Tol]],"Pass","Fail"),IF(Table1[[#This Row],[DUT Adj Read]]&lt;Table1[[#This Row],[High Tol]],"Pass","Fail")))</f>
        <v>Fail</v>
      </c>
      <c r="AF1009" s="1" t="str">
        <f>IF(AND(Table1[[#This Row],[Spec Type2]]="N/A",Table1[[#This Row],[DUT Adj Read]]="N/A",Table1[[#This Row],[Std Adj Read]]="N/A"),"N/A",IF(Table1[[#This Row],[DUT Adj Read]]="N/A",IF(Table1[[#This Row],[Std Adj Read]]&gt;=Table1[[#This Row],[Low Tol]],"Pass","Fail"),IF(Table1[[#This Row],[DUT Adj Read]]&gt;=Table1[[#This Row],[Low Tol]],"Pass","Fail")))</f>
        <v>Pass</v>
      </c>
      <c r="AG1009" s="1" t="str">
        <f>IF(AND(Table1[[#This Row],[Spec Type2]]="N/A",Table1[[#This Row],[DUT Adj Read]]="N/A",Table1[[#This Row],[Std Adj Read]]="N/A"),"N/A",IF(Table1[[#This Row],[DUT Adj Read]]="N/A",IF(Table1[[#This Row],[Std Adj Read]]&lt;=Table1[[#This Row],[High Tol]],"Pass","Fail"),IF(Table1[[#This Row],[DUT Adj Read]]&lt;=Table1[[#This Row],[High Tol]],"Pass","Fail")))</f>
        <v>Fail</v>
      </c>
      <c r="AH10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09" s="1" t="b">
        <v>0</v>
      </c>
      <c r="AN1009" s="1" t="b">
        <v>0</v>
      </c>
      <c r="AO1009" s="1" t="b">
        <v>0</v>
      </c>
    </row>
    <row r="1010" spans="1:41" x14ac:dyDescent="0.25">
      <c r="A1010" s="10"/>
      <c r="B1010" s="10"/>
      <c r="C1010" s="10"/>
      <c r="D1010" s="10"/>
      <c r="E1010" s="10"/>
      <c r="F1010" s="10"/>
      <c r="G1010" s="10"/>
      <c r="H1010" s="10"/>
      <c r="I1010" s="1" t="str">
        <f t="shared" si="45"/>
        <v/>
      </c>
      <c r="J1010" s="1" t="s">
        <v>35</v>
      </c>
      <c r="K1010" s="1" t="str">
        <f t="shared" si="46"/>
        <v/>
      </c>
      <c r="L1010" s="1" t="str">
        <f t="shared" si="47"/>
        <v/>
      </c>
      <c r="M1010" s="1">
        <f>IF(OR(Table1[[#This Row],[Std Nom]]="",Table1[[#This Row],[Std Read]]=""),0,Table1[[#This Row],[Std Nom]]-Table1[[#This Row],[Std Read]])</f>
        <v>0</v>
      </c>
      <c r="N1010" s="1">
        <f>IF(Calculations!$F$5="ACCREDITED 17025 WITH UNCERTAINTIES",$N$10,0)</f>
        <v>0</v>
      </c>
      <c r="Q1010" s="1">
        <f>Table1[[#This Row],[High Tol]]-Table1[[#This Row],[Low Tol]]</f>
        <v>0</v>
      </c>
      <c r="R1010" s="1">
        <f>2*Table1[[#This Row],[Std Error]]</f>
        <v>0</v>
      </c>
      <c r="S1010" s="1" t="str">
        <f>IF(Table1[[#This Row],[High Tol]]="","N/A",IFERROR(ABS(Table1[[#This Row],[Tol Span]]/Table1[[#This Row],[Error Span]]),"N/A"))</f>
        <v>N/A</v>
      </c>
      <c r="T1010" s="1" t="str">
        <f>IF(OR(Table1[[#This Row],[Low Tol]]="",Table1[[#This Row],[High Tol]]=""),"Needs Analysis",IF(Table1[[#This Row],[Ratio]]&gt;=4,"Not Significant",IF(Table1[[#This Row],[Ratio]]&gt;=2,"Semi-Significant","Significant")))</f>
        <v>Needs Analysis</v>
      </c>
      <c r="W1010" s="1">
        <f>IF(Table1[[#This Row],[Cal Type]]&lt;&gt;"ACCREDITED 17025 WITH UNCERTAINTIES",0,"")</f>
        <v>0</v>
      </c>
      <c r="X1010" s="1" t="str">
        <f>IF(Table1[[#This Row],[DUT Read]]="","N/A",Table1[[#This Row],[Std Error]]+Table1[[#This Row],[DUT Read]]+Table1[[#This Row],[DUT Ucty]])</f>
        <v>N/A</v>
      </c>
      <c r="Y1010" s="1" t="str">
        <f>IF(Table1[[#This Row],[Std Read]]="","N/A",Table1[[#This Row],[Std Read]]+Table1[[#This Row],[Std Ucty]])</f>
        <v>N/A</v>
      </c>
      <c r="Z10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0" s="1" t="str">
        <f>IF(Table1[[#This Row],[Spec Type]]="","N/A",Table1[[#This Row],[Spec Type]])</f>
        <v>±</v>
      </c>
      <c r="AC1010" s="1" t="str">
        <f>IF(Table1[[#This Row],[Spec Type2]]="N/A","N/A",IF(AND(Table1[[#This Row],[DUT Adj Read]]&gt;=Table1[[#This Row],[Low Tol]],Table1[[#This Row],[DUT Adj Read]]&lt;=Table1[[#This Row],[High Tol]]),"Pass","Fail"))</f>
        <v>Fail</v>
      </c>
      <c r="AD1010" s="1" t="str">
        <f>IF(AND(Table1[[#This Row],[Spec Type2]]="N/A",Table1[[#This Row],[DUT Adj Read]]="N/A",Table1[[#This Row],[Std Adj Read]]="N/A"),"N/A",IF(Table1[[#This Row],[DUT Adj Read]]="N/A",IF(Table1[[#This Row],[Std Adj Read]]&gt;Table1[[#This Row],[Low Tol]],"Pass","Fail"),IF(Table1[[#This Row],[DUT Adj Read]]&gt;Table1[[#This Row],[Low Tol]],"Pass","Fail")))</f>
        <v>Pass</v>
      </c>
      <c r="AE1010" s="1" t="str">
        <f>IF(AND(Table1[[#This Row],[Spec Type2]]="N/A",Table1[[#This Row],[DUT Adj Read]]="N/A",Table1[[#This Row],[Std Adj Read]]="N/A"),"N/A",IF(Table1[[#This Row],[DUT Adj Read]]="N/A",IF(Table1[[#This Row],[Std Adj Read]]&lt;Table1[[#This Row],[High Tol]],"Pass","Fail"),IF(Table1[[#This Row],[DUT Adj Read]]&lt;Table1[[#This Row],[High Tol]],"Pass","Fail")))</f>
        <v>Fail</v>
      </c>
      <c r="AF1010" s="1" t="str">
        <f>IF(AND(Table1[[#This Row],[Spec Type2]]="N/A",Table1[[#This Row],[DUT Adj Read]]="N/A",Table1[[#This Row],[Std Adj Read]]="N/A"),"N/A",IF(Table1[[#This Row],[DUT Adj Read]]="N/A",IF(Table1[[#This Row],[Std Adj Read]]&gt;=Table1[[#This Row],[Low Tol]],"Pass","Fail"),IF(Table1[[#This Row],[DUT Adj Read]]&gt;=Table1[[#This Row],[Low Tol]],"Pass","Fail")))</f>
        <v>Pass</v>
      </c>
      <c r="AG1010" s="1" t="str">
        <f>IF(AND(Table1[[#This Row],[Spec Type2]]="N/A",Table1[[#This Row],[DUT Adj Read]]="N/A",Table1[[#This Row],[Std Adj Read]]="N/A"),"N/A",IF(Table1[[#This Row],[DUT Adj Read]]="N/A",IF(Table1[[#This Row],[Std Adj Read]]&lt;=Table1[[#This Row],[High Tol]],"Pass","Fail"),IF(Table1[[#This Row],[DUT Adj Read]]&lt;=Table1[[#This Row],[High Tol]],"Pass","Fail")))</f>
        <v>Fail</v>
      </c>
      <c r="AH10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0" s="1" t="b">
        <v>0</v>
      </c>
      <c r="AN1010" s="1" t="b">
        <v>0</v>
      </c>
      <c r="AO1010" s="1" t="b">
        <v>0</v>
      </c>
    </row>
    <row r="1011" spans="1:41" x14ac:dyDescent="0.25">
      <c r="A1011" s="10"/>
      <c r="B1011" s="10"/>
      <c r="C1011" s="10"/>
      <c r="D1011" s="10"/>
      <c r="E1011" s="10"/>
      <c r="F1011" s="10"/>
      <c r="G1011" s="10"/>
      <c r="H1011" s="10"/>
      <c r="I1011" s="1" t="str">
        <f t="shared" si="45"/>
        <v/>
      </c>
      <c r="J1011" s="1" t="s">
        <v>35</v>
      </c>
      <c r="K1011" s="1" t="str">
        <f t="shared" si="46"/>
        <v/>
      </c>
      <c r="L1011" s="1" t="str">
        <f t="shared" si="47"/>
        <v/>
      </c>
      <c r="M1011" s="1">
        <f>IF(OR(Table1[[#This Row],[Std Nom]]="",Table1[[#This Row],[Std Read]]=""),0,Table1[[#This Row],[Std Nom]]-Table1[[#This Row],[Std Read]])</f>
        <v>0</v>
      </c>
      <c r="N1011" s="1">
        <f>IF(Calculations!$F$5="ACCREDITED 17025 WITH UNCERTAINTIES",$N$10,0)</f>
        <v>0</v>
      </c>
      <c r="Q1011" s="1">
        <f>Table1[[#This Row],[High Tol]]-Table1[[#This Row],[Low Tol]]</f>
        <v>0</v>
      </c>
      <c r="R1011" s="1">
        <f>2*Table1[[#This Row],[Std Error]]</f>
        <v>0</v>
      </c>
      <c r="S1011" s="1" t="str">
        <f>IF(Table1[[#This Row],[High Tol]]="","N/A",IFERROR(ABS(Table1[[#This Row],[Tol Span]]/Table1[[#This Row],[Error Span]]),"N/A"))</f>
        <v>N/A</v>
      </c>
      <c r="T1011" s="1" t="str">
        <f>IF(OR(Table1[[#This Row],[Low Tol]]="",Table1[[#This Row],[High Tol]]=""),"Needs Analysis",IF(Table1[[#This Row],[Ratio]]&gt;=4,"Not Significant",IF(Table1[[#This Row],[Ratio]]&gt;=2,"Semi-Significant","Significant")))</f>
        <v>Needs Analysis</v>
      </c>
      <c r="W1011" s="1">
        <f>IF(Table1[[#This Row],[Cal Type]]&lt;&gt;"ACCREDITED 17025 WITH UNCERTAINTIES",0,"")</f>
        <v>0</v>
      </c>
      <c r="X1011" s="1" t="str">
        <f>IF(Table1[[#This Row],[DUT Read]]="","N/A",Table1[[#This Row],[Std Error]]+Table1[[#This Row],[DUT Read]]+Table1[[#This Row],[DUT Ucty]])</f>
        <v>N/A</v>
      </c>
      <c r="Y1011" s="1" t="str">
        <f>IF(Table1[[#This Row],[Std Read]]="","N/A",Table1[[#This Row],[Std Read]]+Table1[[#This Row],[Std Ucty]])</f>
        <v>N/A</v>
      </c>
      <c r="Z10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1" s="1" t="str">
        <f>IF(Table1[[#This Row],[Spec Type]]="","N/A",Table1[[#This Row],[Spec Type]])</f>
        <v>±</v>
      </c>
      <c r="AC1011" s="1" t="str">
        <f>IF(Table1[[#This Row],[Spec Type2]]="N/A","N/A",IF(AND(Table1[[#This Row],[DUT Adj Read]]&gt;=Table1[[#This Row],[Low Tol]],Table1[[#This Row],[DUT Adj Read]]&lt;=Table1[[#This Row],[High Tol]]),"Pass","Fail"))</f>
        <v>Fail</v>
      </c>
      <c r="AD1011" s="1" t="str">
        <f>IF(AND(Table1[[#This Row],[Spec Type2]]="N/A",Table1[[#This Row],[DUT Adj Read]]="N/A",Table1[[#This Row],[Std Adj Read]]="N/A"),"N/A",IF(Table1[[#This Row],[DUT Adj Read]]="N/A",IF(Table1[[#This Row],[Std Adj Read]]&gt;Table1[[#This Row],[Low Tol]],"Pass","Fail"),IF(Table1[[#This Row],[DUT Adj Read]]&gt;Table1[[#This Row],[Low Tol]],"Pass","Fail")))</f>
        <v>Pass</v>
      </c>
      <c r="AE1011" s="1" t="str">
        <f>IF(AND(Table1[[#This Row],[Spec Type2]]="N/A",Table1[[#This Row],[DUT Adj Read]]="N/A",Table1[[#This Row],[Std Adj Read]]="N/A"),"N/A",IF(Table1[[#This Row],[DUT Adj Read]]="N/A",IF(Table1[[#This Row],[Std Adj Read]]&lt;Table1[[#This Row],[High Tol]],"Pass","Fail"),IF(Table1[[#This Row],[DUT Adj Read]]&lt;Table1[[#This Row],[High Tol]],"Pass","Fail")))</f>
        <v>Fail</v>
      </c>
      <c r="AF1011" s="1" t="str">
        <f>IF(AND(Table1[[#This Row],[Spec Type2]]="N/A",Table1[[#This Row],[DUT Adj Read]]="N/A",Table1[[#This Row],[Std Adj Read]]="N/A"),"N/A",IF(Table1[[#This Row],[DUT Adj Read]]="N/A",IF(Table1[[#This Row],[Std Adj Read]]&gt;=Table1[[#This Row],[Low Tol]],"Pass","Fail"),IF(Table1[[#This Row],[DUT Adj Read]]&gt;=Table1[[#This Row],[Low Tol]],"Pass","Fail")))</f>
        <v>Pass</v>
      </c>
      <c r="AG1011" s="1" t="str">
        <f>IF(AND(Table1[[#This Row],[Spec Type2]]="N/A",Table1[[#This Row],[DUT Adj Read]]="N/A",Table1[[#This Row],[Std Adj Read]]="N/A"),"N/A",IF(Table1[[#This Row],[DUT Adj Read]]="N/A",IF(Table1[[#This Row],[Std Adj Read]]&lt;=Table1[[#This Row],[High Tol]],"Pass","Fail"),IF(Table1[[#This Row],[DUT Adj Read]]&lt;=Table1[[#This Row],[High Tol]],"Pass","Fail")))</f>
        <v>Fail</v>
      </c>
      <c r="AH10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1" s="1" t="b">
        <v>0</v>
      </c>
      <c r="AN1011" s="1" t="b">
        <v>0</v>
      </c>
      <c r="AO1011" s="1" t="b">
        <v>0</v>
      </c>
    </row>
    <row r="1012" spans="1:41" x14ac:dyDescent="0.25">
      <c r="A1012" s="10"/>
      <c r="B1012" s="10"/>
      <c r="C1012" s="10"/>
      <c r="D1012" s="10"/>
      <c r="E1012" s="10"/>
      <c r="F1012" s="10"/>
      <c r="G1012" s="10"/>
      <c r="H1012" s="10"/>
      <c r="I1012" s="1" t="str">
        <f t="shared" si="45"/>
        <v/>
      </c>
      <c r="J1012" s="1" t="s">
        <v>35</v>
      </c>
      <c r="K1012" s="1" t="str">
        <f t="shared" si="46"/>
        <v/>
      </c>
      <c r="L1012" s="1" t="str">
        <f t="shared" si="47"/>
        <v/>
      </c>
      <c r="M1012" s="1">
        <f>IF(OR(Table1[[#This Row],[Std Nom]]="",Table1[[#This Row],[Std Read]]=""),0,Table1[[#This Row],[Std Nom]]-Table1[[#This Row],[Std Read]])</f>
        <v>0</v>
      </c>
      <c r="N1012" s="1">
        <f>IF(Calculations!$F$5="ACCREDITED 17025 WITH UNCERTAINTIES",$N$10,0)</f>
        <v>0</v>
      </c>
      <c r="Q1012" s="1">
        <f>Table1[[#This Row],[High Tol]]-Table1[[#This Row],[Low Tol]]</f>
        <v>0</v>
      </c>
      <c r="R1012" s="1">
        <f>2*Table1[[#This Row],[Std Error]]</f>
        <v>0</v>
      </c>
      <c r="S1012" s="1" t="str">
        <f>IF(Table1[[#This Row],[High Tol]]="","N/A",IFERROR(ABS(Table1[[#This Row],[Tol Span]]/Table1[[#This Row],[Error Span]]),"N/A"))</f>
        <v>N/A</v>
      </c>
      <c r="T1012" s="1" t="str">
        <f>IF(OR(Table1[[#This Row],[Low Tol]]="",Table1[[#This Row],[High Tol]]=""),"Needs Analysis",IF(Table1[[#This Row],[Ratio]]&gt;=4,"Not Significant",IF(Table1[[#This Row],[Ratio]]&gt;=2,"Semi-Significant","Significant")))</f>
        <v>Needs Analysis</v>
      </c>
      <c r="W1012" s="1">
        <f>IF(Table1[[#This Row],[Cal Type]]&lt;&gt;"ACCREDITED 17025 WITH UNCERTAINTIES",0,"")</f>
        <v>0</v>
      </c>
      <c r="X1012" s="1" t="str">
        <f>IF(Table1[[#This Row],[DUT Read]]="","N/A",Table1[[#This Row],[Std Error]]+Table1[[#This Row],[DUT Read]]+Table1[[#This Row],[DUT Ucty]])</f>
        <v>N/A</v>
      </c>
      <c r="Y1012" s="1" t="str">
        <f>IF(Table1[[#This Row],[Std Read]]="","N/A",Table1[[#This Row],[Std Read]]+Table1[[#This Row],[Std Ucty]])</f>
        <v>N/A</v>
      </c>
      <c r="Z10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2" s="1" t="str">
        <f>IF(Table1[[#This Row],[Spec Type]]="","N/A",Table1[[#This Row],[Spec Type]])</f>
        <v>±</v>
      </c>
      <c r="AC1012" s="1" t="str">
        <f>IF(Table1[[#This Row],[Spec Type2]]="N/A","N/A",IF(AND(Table1[[#This Row],[DUT Adj Read]]&gt;=Table1[[#This Row],[Low Tol]],Table1[[#This Row],[DUT Adj Read]]&lt;=Table1[[#This Row],[High Tol]]),"Pass","Fail"))</f>
        <v>Fail</v>
      </c>
      <c r="AD1012" s="1" t="str">
        <f>IF(AND(Table1[[#This Row],[Spec Type2]]="N/A",Table1[[#This Row],[DUT Adj Read]]="N/A",Table1[[#This Row],[Std Adj Read]]="N/A"),"N/A",IF(Table1[[#This Row],[DUT Adj Read]]="N/A",IF(Table1[[#This Row],[Std Adj Read]]&gt;Table1[[#This Row],[Low Tol]],"Pass","Fail"),IF(Table1[[#This Row],[DUT Adj Read]]&gt;Table1[[#This Row],[Low Tol]],"Pass","Fail")))</f>
        <v>Pass</v>
      </c>
      <c r="AE1012" s="1" t="str">
        <f>IF(AND(Table1[[#This Row],[Spec Type2]]="N/A",Table1[[#This Row],[DUT Adj Read]]="N/A",Table1[[#This Row],[Std Adj Read]]="N/A"),"N/A",IF(Table1[[#This Row],[DUT Adj Read]]="N/A",IF(Table1[[#This Row],[Std Adj Read]]&lt;Table1[[#This Row],[High Tol]],"Pass","Fail"),IF(Table1[[#This Row],[DUT Adj Read]]&lt;Table1[[#This Row],[High Tol]],"Pass","Fail")))</f>
        <v>Fail</v>
      </c>
      <c r="AF1012" s="1" t="str">
        <f>IF(AND(Table1[[#This Row],[Spec Type2]]="N/A",Table1[[#This Row],[DUT Adj Read]]="N/A",Table1[[#This Row],[Std Adj Read]]="N/A"),"N/A",IF(Table1[[#This Row],[DUT Adj Read]]="N/A",IF(Table1[[#This Row],[Std Adj Read]]&gt;=Table1[[#This Row],[Low Tol]],"Pass","Fail"),IF(Table1[[#This Row],[DUT Adj Read]]&gt;=Table1[[#This Row],[Low Tol]],"Pass","Fail")))</f>
        <v>Pass</v>
      </c>
      <c r="AG1012" s="1" t="str">
        <f>IF(AND(Table1[[#This Row],[Spec Type2]]="N/A",Table1[[#This Row],[DUT Adj Read]]="N/A",Table1[[#This Row],[Std Adj Read]]="N/A"),"N/A",IF(Table1[[#This Row],[DUT Adj Read]]="N/A",IF(Table1[[#This Row],[Std Adj Read]]&lt;=Table1[[#This Row],[High Tol]],"Pass","Fail"),IF(Table1[[#This Row],[DUT Adj Read]]&lt;=Table1[[#This Row],[High Tol]],"Pass","Fail")))</f>
        <v>Fail</v>
      </c>
      <c r="AH10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2" s="1" t="b">
        <v>0</v>
      </c>
      <c r="AN1012" s="1" t="b">
        <v>0</v>
      </c>
      <c r="AO1012" s="1" t="b">
        <v>0</v>
      </c>
    </row>
    <row r="1013" spans="1:41" x14ac:dyDescent="0.25">
      <c r="A1013" s="10"/>
      <c r="B1013" s="10"/>
      <c r="C1013" s="10"/>
      <c r="D1013" s="10"/>
      <c r="E1013" s="10"/>
      <c r="F1013" s="10"/>
      <c r="G1013" s="10"/>
      <c r="H1013" s="10"/>
      <c r="I1013" s="1" t="str">
        <f t="shared" si="45"/>
        <v/>
      </c>
      <c r="J1013" s="1" t="s">
        <v>35</v>
      </c>
      <c r="K1013" s="1" t="str">
        <f t="shared" si="46"/>
        <v/>
      </c>
      <c r="L1013" s="1" t="str">
        <f t="shared" si="47"/>
        <v/>
      </c>
      <c r="M1013" s="1">
        <f>IF(OR(Table1[[#This Row],[Std Nom]]="",Table1[[#This Row],[Std Read]]=""),0,Table1[[#This Row],[Std Nom]]-Table1[[#This Row],[Std Read]])</f>
        <v>0</v>
      </c>
      <c r="N1013" s="1">
        <f>IF(Calculations!$F$5="ACCREDITED 17025 WITH UNCERTAINTIES",$N$10,0)</f>
        <v>0</v>
      </c>
      <c r="Q1013" s="1">
        <f>Table1[[#This Row],[High Tol]]-Table1[[#This Row],[Low Tol]]</f>
        <v>0</v>
      </c>
      <c r="R1013" s="1">
        <f>2*Table1[[#This Row],[Std Error]]</f>
        <v>0</v>
      </c>
      <c r="S1013" s="1" t="str">
        <f>IF(Table1[[#This Row],[High Tol]]="","N/A",IFERROR(ABS(Table1[[#This Row],[Tol Span]]/Table1[[#This Row],[Error Span]]),"N/A"))</f>
        <v>N/A</v>
      </c>
      <c r="T1013" s="1" t="str">
        <f>IF(OR(Table1[[#This Row],[Low Tol]]="",Table1[[#This Row],[High Tol]]=""),"Needs Analysis",IF(Table1[[#This Row],[Ratio]]&gt;=4,"Not Significant",IF(Table1[[#This Row],[Ratio]]&gt;=2,"Semi-Significant","Significant")))</f>
        <v>Needs Analysis</v>
      </c>
      <c r="W1013" s="1">
        <f>IF(Table1[[#This Row],[Cal Type]]&lt;&gt;"ACCREDITED 17025 WITH UNCERTAINTIES",0,"")</f>
        <v>0</v>
      </c>
      <c r="X1013" s="1" t="str">
        <f>IF(Table1[[#This Row],[DUT Read]]="","N/A",Table1[[#This Row],[Std Error]]+Table1[[#This Row],[DUT Read]]+Table1[[#This Row],[DUT Ucty]])</f>
        <v>N/A</v>
      </c>
      <c r="Y1013" s="1" t="str">
        <f>IF(Table1[[#This Row],[Std Read]]="","N/A",Table1[[#This Row],[Std Read]]+Table1[[#This Row],[Std Ucty]])</f>
        <v>N/A</v>
      </c>
      <c r="Z10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3" s="1" t="str">
        <f>IF(Table1[[#This Row],[Spec Type]]="","N/A",Table1[[#This Row],[Spec Type]])</f>
        <v>±</v>
      </c>
      <c r="AC1013" s="1" t="str">
        <f>IF(Table1[[#This Row],[Spec Type2]]="N/A","N/A",IF(AND(Table1[[#This Row],[DUT Adj Read]]&gt;=Table1[[#This Row],[Low Tol]],Table1[[#This Row],[DUT Adj Read]]&lt;=Table1[[#This Row],[High Tol]]),"Pass","Fail"))</f>
        <v>Fail</v>
      </c>
      <c r="AD1013" s="1" t="str">
        <f>IF(AND(Table1[[#This Row],[Spec Type2]]="N/A",Table1[[#This Row],[DUT Adj Read]]="N/A",Table1[[#This Row],[Std Adj Read]]="N/A"),"N/A",IF(Table1[[#This Row],[DUT Adj Read]]="N/A",IF(Table1[[#This Row],[Std Adj Read]]&gt;Table1[[#This Row],[Low Tol]],"Pass","Fail"),IF(Table1[[#This Row],[DUT Adj Read]]&gt;Table1[[#This Row],[Low Tol]],"Pass","Fail")))</f>
        <v>Pass</v>
      </c>
      <c r="AE1013" s="1" t="str">
        <f>IF(AND(Table1[[#This Row],[Spec Type2]]="N/A",Table1[[#This Row],[DUT Adj Read]]="N/A",Table1[[#This Row],[Std Adj Read]]="N/A"),"N/A",IF(Table1[[#This Row],[DUT Adj Read]]="N/A",IF(Table1[[#This Row],[Std Adj Read]]&lt;Table1[[#This Row],[High Tol]],"Pass","Fail"),IF(Table1[[#This Row],[DUT Adj Read]]&lt;Table1[[#This Row],[High Tol]],"Pass","Fail")))</f>
        <v>Fail</v>
      </c>
      <c r="AF1013" s="1" t="str">
        <f>IF(AND(Table1[[#This Row],[Spec Type2]]="N/A",Table1[[#This Row],[DUT Adj Read]]="N/A",Table1[[#This Row],[Std Adj Read]]="N/A"),"N/A",IF(Table1[[#This Row],[DUT Adj Read]]="N/A",IF(Table1[[#This Row],[Std Adj Read]]&gt;=Table1[[#This Row],[Low Tol]],"Pass","Fail"),IF(Table1[[#This Row],[DUT Adj Read]]&gt;=Table1[[#This Row],[Low Tol]],"Pass","Fail")))</f>
        <v>Pass</v>
      </c>
      <c r="AG1013" s="1" t="str">
        <f>IF(AND(Table1[[#This Row],[Spec Type2]]="N/A",Table1[[#This Row],[DUT Adj Read]]="N/A",Table1[[#This Row],[Std Adj Read]]="N/A"),"N/A",IF(Table1[[#This Row],[DUT Adj Read]]="N/A",IF(Table1[[#This Row],[Std Adj Read]]&lt;=Table1[[#This Row],[High Tol]],"Pass","Fail"),IF(Table1[[#This Row],[DUT Adj Read]]&lt;=Table1[[#This Row],[High Tol]],"Pass","Fail")))</f>
        <v>Fail</v>
      </c>
      <c r="AH10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3" s="1" t="b">
        <v>0</v>
      </c>
      <c r="AN1013" s="1" t="b">
        <v>0</v>
      </c>
      <c r="AO1013" s="1" t="b">
        <v>0</v>
      </c>
    </row>
    <row r="1014" spans="1:41" x14ac:dyDescent="0.25">
      <c r="A1014" s="10"/>
      <c r="B1014" s="10"/>
      <c r="C1014" s="10"/>
      <c r="D1014" s="10"/>
      <c r="E1014" s="10"/>
      <c r="F1014" s="10"/>
      <c r="G1014" s="10"/>
      <c r="H1014" s="10"/>
      <c r="I1014" s="1" t="str">
        <f t="shared" si="45"/>
        <v/>
      </c>
      <c r="J1014" s="1" t="s">
        <v>35</v>
      </c>
      <c r="K1014" s="1" t="str">
        <f t="shared" si="46"/>
        <v/>
      </c>
      <c r="L1014" s="1" t="str">
        <f t="shared" si="47"/>
        <v/>
      </c>
      <c r="M1014" s="1">
        <f>IF(OR(Table1[[#This Row],[Std Nom]]="",Table1[[#This Row],[Std Read]]=""),0,Table1[[#This Row],[Std Nom]]-Table1[[#This Row],[Std Read]])</f>
        <v>0</v>
      </c>
      <c r="N1014" s="1">
        <f>IF(Calculations!$F$5="ACCREDITED 17025 WITH UNCERTAINTIES",$N$10,0)</f>
        <v>0</v>
      </c>
      <c r="Q1014" s="1">
        <f>Table1[[#This Row],[High Tol]]-Table1[[#This Row],[Low Tol]]</f>
        <v>0</v>
      </c>
      <c r="R1014" s="1">
        <f>2*Table1[[#This Row],[Std Error]]</f>
        <v>0</v>
      </c>
      <c r="S1014" s="1" t="str">
        <f>IF(Table1[[#This Row],[High Tol]]="","N/A",IFERROR(ABS(Table1[[#This Row],[Tol Span]]/Table1[[#This Row],[Error Span]]),"N/A"))</f>
        <v>N/A</v>
      </c>
      <c r="T1014" s="1" t="str">
        <f>IF(OR(Table1[[#This Row],[Low Tol]]="",Table1[[#This Row],[High Tol]]=""),"Needs Analysis",IF(Table1[[#This Row],[Ratio]]&gt;=4,"Not Significant",IF(Table1[[#This Row],[Ratio]]&gt;=2,"Semi-Significant","Significant")))</f>
        <v>Needs Analysis</v>
      </c>
      <c r="W1014" s="1">
        <f>IF(Table1[[#This Row],[Cal Type]]&lt;&gt;"ACCREDITED 17025 WITH UNCERTAINTIES",0,"")</f>
        <v>0</v>
      </c>
      <c r="X1014" s="1" t="str">
        <f>IF(Table1[[#This Row],[DUT Read]]="","N/A",Table1[[#This Row],[Std Error]]+Table1[[#This Row],[DUT Read]]+Table1[[#This Row],[DUT Ucty]])</f>
        <v>N/A</v>
      </c>
      <c r="Y1014" s="1" t="str">
        <f>IF(Table1[[#This Row],[Std Read]]="","N/A",Table1[[#This Row],[Std Read]]+Table1[[#This Row],[Std Ucty]])</f>
        <v>N/A</v>
      </c>
      <c r="Z10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4" s="1" t="str">
        <f>IF(Table1[[#This Row],[Spec Type]]="","N/A",Table1[[#This Row],[Spec Type]])</f>
        <v>±</v>
      </c>
      <c r="AC1014" s="1" t="str">
        <f>IF(Table1[[#This Row],[Spec Type2]]="N/A","N/A",IF(AND(Table1[[#This Row],[DUT Adj Read]]&gt;=Table1[[#This Row],[Low Tol]],Table1[[#This Row],[DUT Adj Read]]&lt;=Table1[[#This Row],[High Tol]]),"Pass","Fail"))</f>
        <v>Fail</v>
      </c>
      <c r="AD1014" s="1" t="str">
        <f>IF(AND(Table1[[#This Row],[Spec Type2]]="N/A",Table1[[#This Row],[DUT Adj Read]]="N/A",Table1[[#This Row],[Std Adj Read]]="N/A"),"N/A",IF(Table1[[#This Row],[DUT Adj Read]]="N/A",IF(Table1[[#This Row],[Std Adj Read]]&gt;Table1[[#This Row],[Low Tol]],"Pass","Fail"),IF(Table1[[#This Row],[DUT Adj Read]]&gt;Table1[[#This Row],[Low Tol]],"Pass","Fail")))</f>
        <v>Pass</v>
      </c>
      <c r="AE1014" s="1" t="str">
        <f>IF(AND(Table1[[#This Row],[Spec Type2]]="N/A",Table1[[#This Row],[DUT Adj Read]]="N/A",Table1[[#This Row],[Std Adj Read]]="N/A"),"N/A",IF(Table1[[#This Row],[DUT Adj Read]]="N/A",IF(Table1[[#This Row],[Std Adj Read]]&lt;Table1[[#This Row],[High Tol]],"Pass","Fail"),IF(Table1[[#This Row],[DUT Adj Read]]&lt;Table1[[#This Row],[High Tol]],"Pass","Fail")))</f>
        <v>Fail</v>
      </c>
      <c r="AF1014" s="1" t="str">
        <f>IF(AND(Table1[[#This Row],[Spec Type2]]="N/A",Table1[[#This Row],[DUT Adj Read]]="N/A",Table1[[#This Row],[Std Adj Read]]="N/A"),"N/A",IF(Table1[[#This Row],[DUT Adj Read]]="N/A",IF(Table1[[#This Row],[Std Adj Read]]&gt;=Table1[[#This Row],[Low Tol]],"Pass","Fail"),IF(Table1[[#This Row],[DUT Adj Read]]&gt;=Table1[[#This Row],[Low Tol]],"Pass","Fail")))</f>
        <v>Pass</v>
      </c>
      <c r="AG1014" s="1" t="str">
        <f>IF(AND(Table1[[#This Row],[Spec Type2]]="N/A",Table1[[#This Row],[DUT Adj Read]]="N/A",Table1[[#This Row],[Std Adj Read]]="N/A"),"N/A",IF(Table1[[#This Row],[DUT Adj Read]]="N/A",IF(Table1[[#This Row],[Std Adj Read]]&lt;=Table1[[#This Row],[High Tol]],"Pass","Fail"),IF(Table1[[#This Row],[DUT Adj Read]]&lt;=Table1[[#This Row],[High Tol]],"Pass","Fail")))</f>
        <v>Fail</v>
      </c>
      <c r="AH10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4" s="1" t="b">
        <v>0</v>
      </c>
      <c r="AN1014" s="1" t="b">
        <v>0</v>
      </c>
      <c r="AO1014" s="1" t="b">
        <v>0</v>
      </c>
    </row>
    <row r="1015" spans="1:41" x14ac:dyDescent="0.25">
      <c r="A1015" s="10"/>
      <c r="B1015" s="10"/>
      <c r="C1015" s="10"/>
      <c r="D1015" s="10"/>
      <c r="E1015" s="10"/>
      <c r="F1015" s="10"/>
      <c r="G1015" s="10"/>
      <c r="H1015" s="10"/>
      <c r="I1015" s="1" t="str">
        <f t="shared" si="45"/>
        <v/>
      </c>
      <c r="J1015" s="1" t="s">
        <v>35</v>
      </c>
      <c r="K1015" s="1" t="str">
        <f t="shared" si="46"/>
        <v/>
      </c>
      <c r="L1015" s="1" t="str">
        <f t="shared" si="47"/>
        <v/>
      </c>
      <c r="M1015" s="1">
        <f>IF(OR(Table1[[#This Row],[Std Nom]]="",Table1[[#This Row],[Std Read]]=""),0,Table1[[#This Row],[Std Nom]]-Table1[[#This Row],[Std Read]])</f>
        <v>0</v>
      </c>
      <c r="N1015" s="1">
        <f>IF(Calculations!$F$5="ACCREDITED 17025 WITH UNCERTAINTIES",$N$10,0)</f>
        <v>0</v>
      </c>
      <c r="Q1015" s="1">
        <f>Table1[[#This Row],[High Tol]]-Table1[[#This Row],[Low Tol]]</f>
        <v>0</v>
      </c>
      <c r="R1015" s="1">
        <f>2*Table1[[#This Row],[Std Error]]</f>
        <v>0</v>
      </c>
      <c r="S1015" s="1" t="str">
        <f>IF(Table1[[#This Row],[High Tol]]="","N/A",IFERROR(ABS(Table1[[#This Row],[Tol Span]]/Table1[[#This Row],[Error Span]]),"N/A"))</f>
        <v>N/A</v>
      </c>
      <c r="T1015" s="1" t="str">
        <f>IF(OR(Table1[[#This Row],[Low Tol]]="",Table1[[#This Row],[High Tol]]=""),"Needs Analysis",IF(Table1[[#This Row],[Ratio]]&gt;=4,"Not Significant",IF(Table1[[#This Row],[Ratio]]&gt;=2,"Semi-Significant","Significant")))</f>
        <v>Needs Analysis</v>
      </c>
      <c r="W1015" s="1">
        <f>IF(Table1[[#This Row],[Cal Type]]&lt;&gt;"ACCREDITED 17025 WITH UNCERTAINTIES",0,"")</f>
        <v>0</v>
      </c>
      <c r="X1015" s="1" t="str">
        <f>IF(Table1[[#This Row],[DUT Read]]="","N/A",Table1[[#This Row],[Std Error]]+Table1[[#This Row],[DUT Read]]+Table1[[#This Row],[DUT Ucty]])</f>
        <v>N/A</v>
      </c>
      <c r="Y1015" s="1" t="str">
        <f>IF(Table1[[#This Row],[Std Read]]="","N/A",Table1[[#This Row],[Std Read]]+Table1[[#This Row],[Std Ucty]])</f>
        <v>N/A</v>
      </c>
      <c r="Z10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5" s="1" t="str">
        <f>IF(Table1[[#This Row],[Spec Type]]="","N/A",Table1[[#This Row],[Spec Type]])</f>
        <v>±</v>
      </c>
      <c r="AC1015" s="1" t="str">
        <f>IF(Table1[[#This Row],[Spec Type2]]="N/A","N/A",IF(AND(Table1[[#This Row],[DUT Adj Read]]&gt;=Table1[[#This Row],[Low Tol]],Table1[[#This Row],[DUT Adj Read]]&lt;=Table1[[#This Row],[High Tol]]),"Pass","Fail"))</f>
        <v>Fail</v>
      </c>
      <c r="AD1015" s="1" t="str">
        <f>IF(AND(Table1[[#This Row],[Spec Type2]]="N/A",Table1[[#This Row],[DUT Adj Read]]="N/A",Table1[[#This Row],[Std Adj Read]]="N/A"),"N/A",IF(Table1[[#This Row],[DUT Adj Read]]="N/A",IF(Table1[[#This Row],[Std Adj Read]]&gt;Table1[[#This Row],[Low Tol]],"Pass","Fail"),IF(Table1[[#This Row],[DUT Adj Read]]&gt;Table1[[#This Row],[Low Tol]],"Pass","Fail")))</f>
        <v>Pass</v>
      </c>
      <c r="AE1015" s="1" t="str">
        <f>IF(AND(Table1[[#This Row],[Spec Type2]]="N/A",Table1[[#This Row],[DUT Adj Read]]="N/A",Table1[[#This Row],[Std Adj Read]]="N/A"),"N/A",IF(Table1[[#This Row],[DUT Adj Read]]="N/A",IF(Table1[[#This Row],[Std Adj Read]]&lt;Table1[[#This Row],[High Tol]],"Pass","Fail"),IF(Table1[[#This Row],[DUT Adj Read]]&lt;Table1[[#This Row],[High Tol]],"Pass","Fail")))</f>
        <v>Fail</v>
      </c>
      <c r="AF1015" s="1" t="str">
        <f>IF(AND(Table1[[#This Row],[Spec Type2]]="N/A",Table1[[#This Row],[DUT Adj Read]]="N/A",Table1[[#This Row],[Std Adj Read]]="N/A"),"N/A",IF(Table1[[#This Row],[DUT Adj Read]]="N/A",IF(Table1[[#This Row],[Std Adj Read]]&gt;=Table1[[#This Row],[Low Tol]],"Pass","Fail"),IF(Table1[[#This Row],[DUT Adj Read]]&gt;=Table1[[#This Row],[Low Tol]],"Pass","Fail")))</f>
        <v>Pass</v>
      </c>
      <c r="AG1015" s="1" t="str">
        <f>IF(AND(Table1[[#This Row],[Spec Type2]]="N/A",Table1[[#This Row],[DUT Adj Read]]="N/A",Table1[[#This Row],[Std Adj Read]]="N/A"),"N/A",IF(Table1[[#This Row],[DUT Adj Read]]="N/A",IF(Table1[[#This Row],[Std Adj Read]]&lt;=Table1[[#This Row],[High Tol]],"Pass","Fail"),IF(Table1[[#This Row],[DUT Adj Read]]&lt;=Table1[[#This Row],[High Tol]],"Pass","Fail")))</f>
        <v>Fail</v>
      </c>
      <c r="AH10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5" s="1" t="b">
        <v>0</v>
      </c>
      <c r="AN1015" s="1" t="b">
        <v>0</v>
      </c>
      <c r="AO1015" s="1" t="b">
        <v>0</v>
      </c>
    </row>
    <row r="1016" spans="1:41" x14ac:dyDescent="0.25">
      <c r="A1016" s="10"/>
      <c r="B1016" s="10"/>
      <c r="C1016" s="10"/>
      <c r="D1016" s="10"/>
      <c r="E1016" s="10"/>
      <c r="F1016" s="10"/>
      <c r="G1016" s="10"/>
      <c r="H1016" s="10"/>
      <c r="I1016" s="1" t="str">
        <f t="shared" si="45"/>
        <v/>
      </c>
      <c r="J1016" s="1" t="s">
        <v>35</v>
      </c>
      <c r="K1016" s="1" t="str">
        <f t="shared" si="46"/>
        <v/>
      </c>
      <c r="L1016" s="1" t="str">
        <f t="shared" si="47"/>
        <v/>
      </c>
      <c r="M1016" s="1">
        <f>IF(OR(Table1[[#This Row],[Std Nom]]="",Table1[[#This Row],[Std Read]]=""),0,Table1[[#This Row],[Std Nom]]-Table1[[#This Row],[Std Read]])</f>
        <v>0</v>
      </c>
      <c r="N1016" s="1">
        <f>IF(Calculations!$F$5="ACCREDITED 17025 WITH UNCERTAINTIES",$N$10,0)</f>
        <v>0</v>
      </c>
      <c r="Q1016" s="1">
        <f>Table1[[#This Row],[High Tol]]-Table1[[#This Row],[Low Tol]]</f>
        <v>0</v>
      </c>
      <c r="R1016" s="1">
        <f>2*Table1[[#This Row],[Std Error]]</f>
        <v>0</v>
      </c>
      <c r="S1016" s="1" t="str">
        <f>IF(Table1[[#This Row],[High Tol]]="","N/A",IFERROR(ABS(Table1[[#This Row],[Tol Span]]/Table1[[#This Row],[Error Span]]),"N/A"))</f>
        <v>N/A</v>
      </c>
      <c r="T1016" s="1" t="str">
        <f>IF(OR(Table1[[#This Row],[Low Tol]]="",Table1[[#This Row],[High Tol]]=""),"Needs Analysis",IF(Table1[[#This Row],[Ratio]]&gt;=4,"Not Significant",IF(Table1[[#This Row],[Ratio]]&gt;=2,"Semi-Significant","Significant")))</f>
        <v>Needs Analysis</v>
      </c>
      <c r="W1016" s="1">
        <f>IF(Table1[[#This Row],[Cal Type]]&lt;&gt;"ACCREDITED 17025 WITH UNCERTAINTIES",0,"")</f>
        <v>0</v>
      </c>
      <c r="X1016" s="1" t="str">
        <f>IF(Table1[[#This Row],[DUT Read]]="","N/A",Table1[[#This Row],[Std Error]]+Table1[[#This Row],[DUT Read]]+Table1[[#This Row],[DUT Ucty]])</f>
        <v>N/A</v>
      </c>
      <c r="Y1016" s="1" t="str">
        <f>IF(Table1[[#This Row],[Std Read]]="","N/A",Table1[[#This Row],[Std Read]]+Table1[[#This Row],[Std Ucty]])</f>
        <v>N/A</v>
      </c>
      <c r="Z10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6" s="1" t="str">
        <f>IF(Table1[[#This Row],[Spec Type]]="","N/A",Table1[[#This Row],[Spec Type]])</f>
        <v>±</v>
      </c>
      <c r="AC1016" s="1" t="str">
        <f>IF(Table1[[#This Row],[Spec Type2]]="N/A","N/A",IF(AND(Table1[[#This Row],[DUT Adj Read]]&gt;=Table1[[#This Row],[Low Tol]],Table1[[#This Row],[DUT Adj Read]]&lt;=Table1[[#This Row],[High Tol]]),"Pass","Fail"))</f>
        <v>Fail</v>
      </c>
      <c r="AD1016" s="1" t="str">
        <f>IF(AND(Table1[[#This Row],[Spec Type2]]="N/A",Table1[[#This Row],[DUT Adj Read]]="N/A",Table1[[#This Row],[Std Adj Read]]="N/A"),"N/A",IF(Table1[[#This Row],[DUT Adj Read]]="N/A",IF(Table1[[#This Row],[Std Adj Read]]&gt;Table1[[#This Row],[Low Tol]],"Pass","Fail"),IF(Table1[[#This Row],[DUT Adj Read]]&gt;Table1[[#This Row],[Low Tol]],"Pass","Fail")))</f>
        <v>Pass</v>
      </c>
      <c r="AE1016" s="1" t="str">
        <f>IF(AND(Table1[[#This Row],[Spec Type2]]="N/A",Table1[[#This Row],[DUT Adj Read]]="N/A",Table1[[#This Row],[Std Adj Read]]="N/A"),"N/A",IF(Table1[[#This Row],[DUT Adj Read]]="N/A",IF(Table1[[#This Row],[Std Adj Read]]&lt;Table1[[#This Row],[High Tol]],"Pass","Fail"),IF(Table1[[#This Row],[DUT Adj Read]]&lt;Table1[[#This Row],[High Tol]],"Pass","Fail")))</f>
        <v>Fail</v>
      </c>
      <c r="AF1016" s="1" t="str">
        <f>IF(AND(Table1[[#This Row],[Spec Type2]]="N/A",Table1[[#This Row],[DUT Adj Read]]="N/A",Table1[[#This Row],[Std Adj Read]]="N/A"),"N/A",IF(Table1[[#This Row],[DUT Adj Read]]="N/A",IF(Table1[[#This Row],[Std Adj Read]]&gt;=Table1[[#This Row],[Low Tol]],"Pass","Fail"),IF(Table1[[#This Row],[DUT Adj Read]]&gt;=Table1[[#This Row],[Low Tol]],"Pass","Fail")))</f>
        <v>Pass</v>
      </c>
      <c r="AG1016" s="1" t="str">
        <f>IF(AND(Table1[[#This Row],[Spec Type2]]="N/A",Table1[[#This Row],[DUT Adj Read]]="N/A",Table1[[#This Row],[Std Adj Read]]="N/A"),"N/A",IF(Table1[[#This Row],[DUT Adj Read]]="N/A",IF(Table1[[#This Row],[Std Adj Read]]&lt;=Table1[[#This Row],[High Tol]],"Pass","Fail"),IF(Table1[[#This Row],[DUT Adj Read]]&lt;=Table1[[#This Row],[High Tol]],"Pass","Fail")))</f>
        <v>Fail</v>
      </c>
      <c r="AH10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6" s="1" t="b">
        <v>0</v>
      </c>
      <c r="AN1016" s="1" t="b">
        <v>0</v>
      </c>
      <c r="AO1016" s="1" t="b">
        <v>0</v>
      </c>
    </row>
    <row r="1017" spans="1:41" x14ac:dyDescent="0.25">
      <c r="A1017" s="10"/>
      <c r="B1017" s="10"/>
      <c r="C1017" s="10"/>
      <c r="D1017" s="10"/>
      <c r="E1017" s="10"/>
      <c r="F1017" s="10"/>
      <c r="G1017" s="10"/>
      <c r="H1017" s="10"/>
      <c r="I1017" s="1" t="str">
        <f t="shared" si="45"/>
        <v/>
      </c>
      <c r="J1017" s="1" t="s">
        <v>35</v>
      </c>
      <c r="K1017" s="1" t="str">
        <f t="shared" si="46"/>
        <v/>
      </c>
      <c r="L1017" s="1" t="str">
        <f t="shared" si="47"/>
        <v/>
      </c>
      <c r="M1017" s="1">
        <f>IF(OR(Table1[[#This Row],[Std Nom]]="",Table1[[#This Row],[Std Read]]=""),0,Table1[[#This Row],[Std Nom]]-Table1[[#This Row],[Std Read]])</f>
        <v>0</v>
      </c>
      <c r="N1017" s="1">
        <f>IF(Calculations!$F$5="ACCREDITED 17025 WITH UNCERTAINTIES",$N$10,0)</f>
        <v>0</v>
      </c>
      <c r="Q1017" s="1">
        <f>Table1[[#This Row],[High Tol]]-Table1[[#This Row],[Low Tol]]</f>
        <v>0</v>
      </c>
      <c r="R1017" s="1">
        <f>2*Table1[[#This Row],[Std Error]]</f>
        <v>0</v>
      </c>
      <c r="S1017" s="1" t="str">
        <f>IF(Table1[[#This Row],[High Tol]]="","N/A",IFERROR(ABS(Table1[[#This Row],[Tol Span]]/Table1[[#This Row],[Error Span]]),"N/A"))</f>
        <v>N/A</v>
      </c>
      <c r="T1017" s="1" t="str">
        <f>IF(OR(Table1[[#This Row],[Low Tol]]="",Table1[[#This Row],[High Tol]]=""),"Needs Analysis",IF(Table1[[#This Row],[Ratio]]&gt;=4,"Not Significant",IF(Table1[[#This Row],[Ratio]]&gt;=2,"Semi-Significant","Significant")))</f>
        <v>Needs Analysis</v>
      </c>
      <c r="W1017" s="1">
        <f>IF(Table1[[#This Row],[Cal Type]]&lt;&gt;"ACCREDITED 17025 WITH UNCERTAINTIES",0,"")</f>
        <v>0</v>
      </c>
      <c r="X1017" s="1" t="str">
        <f>IF(Table1[[#This Row],[DUT Read]]="","N/A",Table1[[#This Row],[Std Error]]+Table1[[#This Row],[DUT Read]]+Table1[[#This Row],[DUT Ucty]])</f>
        <v>N/A</v>
      </c>
      <c r="Y1017" s="1" t="str">
        <f>IF(Table1[[#This Row],[Std Read]]="","N/A",Table1[[#This Row],[Std Read]]+Table1[[#This Row],[Std Ucty]])</f>
        <v>N/A</v>
      </c>
      <c r="Z10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7" s="1" t="str">
        <f>IF(Table1[[#This Row],[Spec Type]]="","N/A",Table1[[#This Row],[Spec Type]])</f>
        <v>±</v>
      </c>
      <c r="AC1017" s="1" t="str">
        <f>IF(Table1[[#This Row],[Spec Type2]]="N/A","N/A",IF(AND(Table1[[#This Row],[DUT Adj Read]]&gt;=Table1[[#This Row],[Low Tol]],Table1[[#This Row],[DUT Adj Read]]&lt;=Table1[[#This Row],[High Tol]]),"Pass","Fail"))</f>
        <v>Fail</v>
      </c>
      <c r="AD1017" s="1" t="str">
        <f>IF(AND(Table1[[#This Row],[Spec Type2]]="N/A",Table1[[#This Row],[DUT Adj Read]]="N/A",Table1[[#This Row],[Std Adj Read]]="N/A"),"N/A",IF(Table1[[#This Row],[DUT Adj Read]]="N/A",IF(Table1[[#This Row],[Std Adj Read]]&gt;Table1[[#This Row],[Low Tol]],"Pass","Fail"),IF(Table1[[#This Row],[DUT Adj Read]]&gt;Table1[[#This Row],[Low Tol]],"Pass","Fail")))</f>
        <v>Pass</v>
      </c>
      <c r="AE1017" s="1" t="str">
        <f>IF(AND(Table1[[#This Row],[Spec Type2]]="N/A",Table1[[#This Row],[DUT Adj Read]]="N/A",Table1[[#This Row],[Std Adj Read]]="N/A"),"N/A",IF(Table1[[#This Row],[DUT Adj Read]]="N/A",IF(Table1[[#This Row],[Std Adj Read]]&lt;Table1[[#This Row],[High Tol]],"Pass","Fail"),IF(Table1[[#This Row],[DUT Adj Read]]&lt;Table1[[#This Row],[High Tol]],"Pass","Fail")))</f>
        <v>Fail</v>
      </c>
      <c r="AF1017" s="1" t="str">
        <f>IF(AND(Table1[[#This Row],[Spec Type2]]="N/A",Table1[[#This Row],[DUT Adj Read]]="N/A",Table1[[#This Row],[Std Adj Read]]="N/A"),"N/A",IF(Table1[[#This Row],[DUT Adj Read]]="N/A",IF(Table1[[#This Row],[Std Adj Read]]&gt;=Table1[[#This Row],[Low Tol]],"Pass","Fail"),IF(Table1[[#This Row],[DUT Adj Read]]&gt;=Table1[[#This Row],[Low Tol]],"Pass","Fail")))</f>
        <v>Pass</v>
      </c>
      <c r="AG1017" s="1" t="str">
        <f>IF(AND(Table1[[#This Row],[Spec Type2]]="N/A",Table1[[#This Row],[DUT Adj Read]]="N/A",Table1[[#This Row],[Std Adj Read]]="N/A"),"N/A",IF(Table1[[#This Row],[DUT Adj Read]]="N/A",IF(Table1[[#This Row],[Std Adj Read]]&lt;=Table1[[#This Row],[High Tol]],"Pass","Fail"),IF(Table1[[#This Row],[DUT Adj Read]]&lt;=Table1[[#This Row],[High Tol]],"Pass","Fail")))</f>
        <v>Fail</v>
      </c>
      <c r="AH10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7" s="1" t="b">
        <v>0</v>
      </c>
      <c r="AN1017" s="1" t="b">
        <v>0</v>
      </c>
      <c r="AO1017" s="1" t="b">
        <v>0</v>
      </c>
    </row>
    <row r="1018" spans="1:41" x14ac:dyDescent="0.25">
      <c r="A1018" s="10"/>
      <c r="B1018" s="10"/>
      <c r="C1018" s="10"/>
      <c r="D1018" s="10"/>
      <c r="E1018" s="10"/>
      <c r="F1018" s="10"/>
      <c r="G1018" s="10"/>
      <c r="H1018" s="10"/>
      <c r="I1018" s="1" t="str">
        <f t="shared" si="45"/>
        <v/>
      </c>
      <c r="J1018" s="1" t="s">
        <v>35</v>
      </c>
      <c r="K1018" s="1" t="str">
        <f t="shared" si="46"/>
        <v/>
      </c>
      <c r="L1018" s="1" t="str">
        <f t="shared" si="47"/>
        <v/>
      </c>
      <c r="M1018" s="1">
        <f>IF(OR(Table1[[#This Row],[Std Nom]]="",Table1[[#This Row],[Std Read]]=""),0,Table1[[#This Row],[Std Nom]]-Table1[[#This Row],[Std Read]])</f>
        <v>0</v>
      </c>
      <c r="N1018" s="1">
        <f>IF(Calculations!$F$5="ACCREDITED 17025 WITH UNCERTAINTIES",$N$10,0)</f>
        <v>0</v>
      </c>
      <c r="Q1018" s="1">
        <f>Table1[[#This Row],[High Tol]]-Table1[[#This Row],[Low Tol]]</f>
        <v>0</v>
      </c>
      <c r="R1018" s="1">
        <f>2*Table1[[#This Row],[Std Error]]</f>
        <v>0</v>
      </c>
      <c r="S1018" s="1" t="str">
        <f>IF(Table1[[#This Row],[High Tol]]="","N/A",IFERROR(ABS(Table1[[#This Row],[Tol Span]]/Table1[[#This Row],[Error Span]]),"N/A"))</f>
        <v>N/A</v>
      </c>
      <c r="T1018" s="1" t="str">
        <f>IF(OR(Table1[[#This Row],[Low Tol]]="",Table1[[#This Row],[High Tol]]=""),"Needs Analysis",IF(Table1[[#This Row],[Ratio]]&gt;=4,"Not Significant",IF(Table1[[#This Row],[Ratio]]&gt;=2,"Semi-Significant","Significant")))</f>
        <v>Needs Analysis</v>
      </c>
      <c r="W1018" s="1">
        <f>IF(Table1[[#This Row],[Cal Type]]&lt;&gt;"ACCREDITED 17025 WITH UNCERTAINTIES",0,"")</f>
        <v>0</v>
      </c>
      <c r="X1018" s="1" t="str">
        <f>IF(Table1[[#This Row],[DUT Read]]="","N/A",Table1[[#This Row],[Std Error]]+Table1[[#This Row],[DUT Read]]+Table1[[#This Row],[DUT Ucty]])</f>
        <v>N/A</v>
      </c>
      <c r="Y1018" s="1" t="str">
        <f>IF(Table1[[#This Row],[Std Read]]="","N/A",Table1[[#This Row],[Std Read]]+Table1[[#This Row],[Std Ucty]])</f>
        <v>N/A</v>
      </c>
      <c r="Z10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8" s="1" t="str">
        <f>IF(Table1[[#This Row],[Spec Type]]="","N/A",Table1[[#This Row],[Spec Type]])</f>
        <v>±</v>
      </c>
      <c r="AC1018" s="1" t="str">
        <f>IF(Table1[[#This Row],[Spec Type2]]="N/A","N/A",IF(AND(Table1[[#This Row],[DUT Adj Read]]&gt;=Table1[[#This Row],[Low Tol]],Table1[[#This Row],[DUT Adj Read]]&lt;=Table1[[#This Row],[High Tol]]),"Pass","Fail"))</f>
        <v>Fail</v>
      </c>
      <c r="AD1018" s="1" t="str">
        <f>IF(AND(Table1[[#This Row],[Spec Type2]]="N/A",Table1[[#This Row],[DUT Adj Read]]="N/A",Table1[[#This Row],[Std Adj Read]]="N/A"),"N/A",IF(Table1[[#This Row],[DUT Adj Read]]="N/A",IF(Table1[[#This Row],[Std Adj Read]]&gt;Table1[[#This Row],[Low Tol]],"Pass","Fail"),IF(Table1[[#This Row],[DUT Adj Read]]&gt;Table1[[#This Row],[Low Tol]],"Pass","Fail")))</f>
        <v>Pass</v>
      </c>
      <c r="AE1018" s="1" t="str">
        <f>IF(AND(Table1[[#This Row],[Spec Type2]]="N/A",Table1[[#This Row],[DUT Adj Read]]="N/A",Table1[[#This Row],[Std Adj Read]]="N/A"),"N/A",IF(Table1[[#This Row],[DUT Adj Read]]="N/A",IF(Table1[[#This Row],[Std Adj Read]]&lt;Table1[[#This Row],[High Tol]],"Pass","Fail"),IF(Table1[[#This Row],[DUT Adj Read]]&lt;Table1[[#This Row],[High Tol]],"Pass","Fail")))</f>
        <v>Fail</v>
      </c>
      <c r="AF1018" s="1" t="str">
        <f>IF(AND(Table1[[#This Row],[Spec Type2]]="N/A",Table1[[#This Row],[DUT Adj Read]]="N/A",Table1[[#This Row],[Std Adj Read]]="N/A"),"N/A",IF(Table1[[#This Row],[DUT Adj Read]]="N/A",IF(Table1[[#This Row],[Std Adj Read]]&gt;=Table1[[#This Row],[Low Tol]],"Pass","Fail"),IF(Table1[[#This Row],[DUT Adj Read]]&gt;=Table1[[#This Row],[Low Tol]],"Pass","Fail")))</f>
        <v>Pass</v>
      </c>
      <c r="AG1018" s="1" t="str">
        <f>IF(AND(Table1[[#This Row],[Spec Type2]]="N/A",Table1[[#This Row],[DUT Adj Read]]="N/A",Table1[[#This Row],[Std Adj Read]]="N/A"),"N/A",IF(Table1[[#This Row],[DUT Adj Read]]="N/A",IF(Table1[[#This Row],[Std Adj Read]]&lt;=Table1[[#This Row],[High Tol]],"Pass","Fail"),IF(Table1[[#This Row],[DUT Adj Read]]&lt;=Table1[[#This Row],[High Tol]],"Pass","Fail")))</f>
        <v>Fail</v>
      </c>
      <c r="AH10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8" s="1" t="b">
        <v>0</v>
      </c>
      <c r="AN1018" s="1" t="b">
        <v>0</v>
      </c>
      <c r="AO1018" s="1" t="b">
        <v>0</v>
      </c>
    </row>
    <row r="1019" spans="1:41" x14ac:dyDescent="0.25">
      <c r="A1019" s="10"/>
      <c r="B1019" s="10"/>
      <c r="C1019" s="10"/>
      <c r="D1019" s="10"/>
      <c r="E1019" s="10"/>
      <c r="F1019" s="10"/>
      <c r="G1019" s="10"/>
      <c r="H1019" s="10"/>
      <c r="I1019" s="1" t="str">
        <f t="shared" si="45"/>
        <v/>
      </c>
      <c r="J1019" s="1" t="s">
        <v>35</v>
      </c>
      <c r="K1019" s="1" t="str">
        <f t="shared" si="46"/>
        <v/>
      </c>
      <c r="L1019" s="1" t="str">
        <f t="shared" si="47"/>
        <v/>
      </c>
      <c r="M1019" s="1">
        <f>IF(OR(Table1[[#This Row],[Std Nom]]="",Table1[[#This Row],[Std Read]]=""),0,Table1[[#This Row],[Std Nom]]-Table1[[#This Row],[Std Read]])</f>
        <v>0</v>
      </c>
      <c r="N1019" s="1">
        <f>IF(Calculations!$F$5="ACCREDITED 17025 WITH UNCERTAINTIES",$N$10,0)</f>
        <v>0</v>
      </c>
      <c r="Q1019" s="1">
        <f>Table1[[#This Row],[High Tol]]-Table1[[#This Row],[Low Tol]]</f>
        <v>0</v>
      </c>
      <c r="R1019" s="1">
        <f>2*Table1[[#This Row],[Std Error]]</f>
        <v>0</v>
      </c>
      <c r="S1019" s="1" t="str">
        <f>IF(Table1[[#This Row],[High Tol]]="","N/A",IFERROR(ABS(Table1[[#This Row],[Tol Span]]/Table1[[#This Row],[Error Span]]),"N/A"))</f>
        <v>N/A</v>
      </c>
      <c r="T1019" s="1" t="str">
        <f>IF(OR(Table1[[#This Row],[Low Tol]]="",Table1[[#This Row],[High Tol]]=""),"Needs Analysis",IF(Table1[[#This Row],[Ratio]]&gt;=4,"Not Significant",IF(Table1[[#This Row],[Ratio]]&gt;=2,"Semi-Significant","Significant")))</f>
        <v>Needs Analysis</v>
      </c>
      <c r="W1019" s="1">
        <f>IF(Table1[[#This Row],[Cal Type]]&lt;&gt;"ACCREDITED 17025 WITH UNCERTAINTIES",0,"")</f>
        <v>0</v>
      </c>
      <c r="X1019" s="1" t="str">
        <f>IF(Table1[[#This Row],[DUT Read]]="","N/A",Table1[[#This Row],[Std Error]]+Table1[[#This Row],[DUT Read]]+Table1[[#This Row],[DUT Ucty]])</f>
        <v>N/A</v>
      </c>
      <c r="Y1019" s="1" t="str">
        <f>IF(Table1[[#This Row],[Std Read]]="","N/A",Table1[[#This Row],[Std Read]]+Table1[[#This Row],[Std Ucty]])</f>
        <v>N/A</v>
      </c>
      <c r="Z10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19" s="1" t="str">
        <f>IF(Table1[[#This Row],[Spec Type]]="","N/A",Table1[[#This Row],[Spec Type]])</f>
        <v>±</v>
      </c>
      <c r="AC1019" s="1" t="str">
        <f>IF(Table1[[#This Row],[Spec Type2]]="N/A","N/A",IF(AND(Table1[[#This Row],[DUT Adj Read]]&gt;=Table1[[#This Row],[Low Tol]],Table1[[#This Row],[DUT Adj Read]]&lt;=Table1[[#This Row],[High Tol]]),"Pass","Fail"))</f>
        <v>Fail</v>
      </c>
      <c r="AD1019" s="1" t="str">
        <f>IF(AND(Table1[[#This Row],[Spec Type2]]="N/A",Table1[[#This Row],[DUT Adj Read]]="N/A",Table1[[#This Row],[Std Adj Read]]="N/A"),"N/A",IF(Table1[[#This Row],[DUT Adj Read]]="N/A",IF(Table1[[#This Row],[Std Adj Read]]&gt;Table1[[#This Row],[Low Tol]],"Pass","Fail"),IF(Table1[[#This Row],[DUT Adj Read]]&gt;Table1[[#This Row],[Low Tol]],"Pass","Fail")))</f>
        <v>Pass</v>
      </c>
      <c r="AE1019" s="1" t="str">
        <f>IF(AND(Table1[[#This Row],[Spec Type2]]="N/A",Table1[[#This Row],[DUT Adj Read]]="N/A",Table1[[#This Row],[Std Adj Read]]="N/A"),"N/A",IF(Table1[[#This Row],[DUT Adj Read]]="N/A",IF(Table1[[#This Row],[Std Adj Read]]&lt;Table1[[#This Row],[High Tol]],"Pass","Fail"),IF(Table1[[#This Row],[DUT Adj Read]]&lt;Table1[[#This Row],[High Tol]],"Pass","Fail")))</f>
        <v>Fail</v>
      </c>
      <c r="AF1019" s="1" t="str">
        <f>IF(AND(Table1[[#This Row],[Spec Type2]]="N/A",Table1[[#This Row],[DUT Adj Read]]="N/A",Table1[[#This Row],[Std Adj Read]]="N/A"),"N/A",IF(Table1[[#This Row],[DUT Adj Read]]="N/A",IF(Table1[[#This Row],[Std Adj Read]]&gt;=Table1[[#This Row],[Low Tol]],"Pass","Fail"),IF(Table1[[#This Row],[DUT Adj Read]]&gt;=Table1[[#This Row],[Low Tol]],"Pass","Fail")))</f>
        <v>Pass</v>
      </c>
      <c r="AG1019" s="1" t="str">
        <f>IF(AND(Table1[[#This Row],[Spec Type2]]="N/A",Table1[[#This Row],[DUT Adj Read]]="N/A",Table1[[#This Row],[Std Adj Read]]="N/A"),"N/A",IF(Table1[[#This Row],[DUT Adj Read]]="N/A",IF(Table1[[#This Row],[Std Adj Read]]&lt;=Table1[[#This Row],[High Tol]],"Pass","Fail"),IF(Table1[[#This Row],[DUT Adj Read]]&lt;=Table1[[#This Row],[High Tol]],"Pass","Fail")))</f>
        <v>Fail</v>
      </c>
      <c r="AH10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19" s="1" t="b">
        <v>0</v>
      </c>
      <c r="AN1019" s="1" t="b">
        <v>0</v>
      </c>
      <c r="AO1019" s="1" t="b">
        <v>0</v>
      </c>
    </row>
    <row r="1020" spans="1:41" x14ac:dyDescent="0.25">
      <c r="A1020" s="10"/>
      <c r="B1020" s="10"/>
      <c r="C1020" s="10"/>
      <c r="D1020" s="10"/>
      <c r="E1020" s="10"/>
      <c r="F1020" s="10"/>
      <c r="G1020" s="10"/>
      <c r="H1020" s="10"/>
      <c r="I1020" s="1" t="str">
        <f t="shared" si="45"/>
        <v/>
      </c>
      <c r="J1020" s="1" t="s">
        <v>35</v>
      </c>
      <c r="K1020" s="1" t="str">
        <f t="shared" si="46"/>
        <v/>
      </c>
      <c r="L1020" s="1" t="str">
        <f t="shared" si="47"/>
        <v/>
      </c>
      <c r="M1020" s="1">
        <f>IF(OR(Table1[[#This Row],[Std Nom]]="",Table1[[#This Row],[Std Read]]=""),0,Table1[[#This Row],[Std Nom]]-Table1[[#This Row],[Std Read]])</f>
        <v>0</v>
      </c>
      <c r="N1020" s="1">
        <f>IF(Calculations!$F$5="ACCREDITED 17025 WITH UNCERTAINTIES",$N$10,0)</f>
        <v>0</v>
      </c>
      <c r="Q1020" s="1">
        <f>Table1[[#This Row],[High Tol]]-Table1[[#This Row],[Low Tol]]</f>
        <v>0</v>
      </c>
      <c r="R1020" s="1">
        <f>2*Table1[[#This Row],[Std Error]]</f>
        <v>0</v>
      </c>
      <c r="S1020" s="1" t="str">
        <f>IF(Table1[[#This Row],[High Tol]]="","N/A",IFERROR(ABS(Table1[[#This Row],[Tol Span]]/Table1[[#This Row],[Error Span]]),"N/A"))</f>
        <v>N/A</v>
      </c>
      <c r="T1020" s="1" t="str">
        <f>IF(OR(Table1[[#This Row],[Low Tol]]="",Table1[[#This Row],[High Tol]]=""),"Needs Analysis",IF(Table1[[#This Row],[Ratio]]&gt;=4,"Not Significant",IF(Table1[[#This Row],[Ratio]]&gt;=2,"Semi-Significant","Significant")))</f>
        <v>Needs Analysis</v>
      </c>
      <c r="W1020" s="1">
        <f>IF(Table1[[#This Row],[Cal Type]]&lt;&gt;"ACCREDITED 17025 WITH UNCERTAINTIES",0,"")</f>
        <v>0</v>
      </c>
      <c r="X1020" s="1" t="str">
        <f>IF(Table1[[#This Row],[DUT Read]]="","N/A",Table1[[#This Row],[Std Error]]+Table1[[#This Row],[DUT Read]]+Table1[[#This Row],[DUT Ucty]])</f>
        <v>N/A</v>
      </c>
      <c r="Y1020" s="1" t="str">
        <f>IF(Table1[[#This Row],[Std Read]]="","N/A",Table1[[#This Row],[Std Read]]+Table1[[#This Row],[Std Ucty]])</f>
        <v>N/A</v>
      </c>
      <c r="Z10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0" s="1" t="str">
        <f>IF(Table1[[#This Row],[Spec Type]]="","N/A",Table1[[#This Row],[Spec Type]])</f>
        <v>±</v>
      </c>
      <c r="AC1020" s="1" t="str">
        <f>IF(Table1[[#This Row],[Spec Type2]]="N/A","N/A",IF(AND(Table1[[#This Row],[DUT Adj Read]]&gt;=Table1[[#This Row],[Low Tol]],Table1[[#This Row],[DUT Adj Read]]&lt;=Table1[[#This Row],[High Tol]]),"Pass","Fail"))</f>
        <v>Fail</v>
      </c>
      <c r="AD1020" s="1" t="str">
        <f>IF(AND(Table1[[#This Row],[Spec Type2]]="N/A",Table1[[#This Row],[DUT Adj Read]]="N/A",Table1[[#This Row],[Std Adj Read]]="N/A"),"N/A",IF(Table1[[#This Row],[DUT Adj Read]]="N/A",IF(Table1[[#This Row],[Std Adj Read]]&gt;Table1[[#This Row],[Low Tol]],"Pass","Fail"),IF(Table1[[#This Row],[DUT Adj Read]]&gt;Table1[[#This Row],[Low Tol]],"Pass","Fail")))</f>
        <v>Pass</v>
      </c>
      <c r="AE1020" s="1" t="str">
        <f>IF(AND(Table1[[#This Row],[Spec Type2]]="N/A",Table1[[#This Row],[DUT Adj Read]]="N/A",Table1[[#This Row],[Std Adj Read]]="N/A"),"N/A",IF(Table1[[#This Row],[DUT Adj Read]]="N/A",IF(Table1[[#This Row],[Std Adj Read]]&lt;Table1[[#This Row],[High Tol]],"Pass","Fail"),IF(Table1[[#This Row],[DUT Adj Read]]&lt;Table1[[#This Row],[High Tol]],"Pass","Fail")))</f>
        <v>Fail</v>
      </c>
      <c r="AF1020" s="1" t="str">
        <f>IF(AND(Table1[[#This Row],[Spec Type2]]="N/A",Table1[[#This Row],[DUT Adj Read]]="N/A",Table1[[#This Row],[Std Adj Read]]="N/A"),"N/A",IF(Table1[[#This Row],[DUT Adj Read]]="N/A",IF(Table1[[#This Row],[Std Adj Read]]&gt;=Table1[[#This Row],[Low Tol]],"Pass","Fail"),IF(Table1[[#This Row],[DUT Adj Read]]&gt;=Table1[[#This Row],[Low Tol]],"Pass","Fail")))</f>
        <v>Pass</v>
      </c>
      <c r="AG1020" s="1" t="str">
        <f>IF(AND(Table1[[#This Row],[Spec Type2]]="N/A",Table1[[#This Row],[DUT Adj Read]]="N/A",Table1[[#This Row],[Std Adj Read]]="N/A"),"N/A",IF(Table1[[#This Row],[DUT Adj Read]]="N/A",IF(Table1[[#This Row],[Std Adj Read]]&lt;=Table1[[#This Row],[High Tol]],"Pass","Fail"),IF(Table1[[#This Row],[DUT Adj Read]]&lt;=Table1[[#This Row],[High Tol]],"Pass","Fail")))</f>
        <v>Fail</v>
      </c>
      <c r="AH10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0" s="1" t="b">
        <v>0</v>
      </c>
      <c r="AN1020" s="1" t="b">
        <v>0</v>
      </c>
      <c r="AO1020" s="1" t="b">
        <v>0</v>
      </c>
    </row>
    <row r="1021" spans="1:41" x14ac:dyDescent="0.25">
      <c r="A1021" s="10"/>
      <c r="B1021" s="10"/>
      <c r="C1021" s="10"/>
      <c r="D1021" s="10"/>
      <c r="E1021" s="10"/>
      <c r="F1021" s="10"/>
      <c r="G1021" s="10"/>
      <c r="H1021" s="10"/>
      <c r="I1021" s="1" t="str">
        <f t="shared" si="45"/>
        <v/>
      </c>
      <c r="J1021" s="1" t="s">
        <v>35</v>
      </c>
      <c r="K1021" s="1" t="str">
        <f t="shared" si="46"/>
        <v/>
      </c>
      <c r="L1021" s="1" t="str">
        <f t="shared" si="47"/>
        <v/>
      </c>
      <c r="M1021" s="1">
        <f>IF(OR(Table1[[#This Row],[Std Nom]]="",Table1[[#This Row],[Std Read]]=""),0,Table1[[#This Row],[Std Nom]]-Table1[[#This Row],[Std Read]])</f>
        <v>0</v>
      </c>
      <c r="N1021" s="1">
        <f>IF(Calculations!$F$5="ACCREDITED 17025 WITH UNCERTAINTIES",$N$10,0)</f>
        <v>0</v>
      </c>
      <c r="Q1021" s="1">
        <f>Table1[[#This Row],[High Tol]]-Table1[[#This Row],[Low Tol]]</f>
        <v>0</v>
      </c>
      <c r="R1021" s="1">
        <f>2*Table1[[#This Row],[Std Error]]</f>
        <v>0</v>
      </c>
      <c r="S1021" s="1" t="str">
        <f>IF(Table1[[#This Row],[High Tol]]="","N/A",IFERROR(ABS(Table1[[#This Row],[Tol Span]]/Table1[[#This Row],[Error Span]]),"N/A"))</f>
        <v>N/A</v>
      </c>
      <c r="T1021" s="1" t="str">
        <f>IF(OR(Table1[[#This Row],[Low Tol]]="",Table1[[#This Row],[High Tol]]=""),"Needs Analysis",IF(Table1[[#This Row],[Ratio]]&gt;=4,"Not Significant",IF(Table1[[#This Row],[Ratio]]&gt;=2,"Semi-Significant","Significant")))</f>
        <v>Needs Analysis</v>
      </c>
      <c r="W1021" s="1">
        <f>IF(Table1[[#This Row],[Cal Type]]&lt;&gt;"ACCREDITED 17025 WITH UNCERTAINTIES",0,"")</f>
        <v>0</v>
      </c>
      <c r="X1021" s="1" t="str">
        <f>IF(Table1[[#This Row],[DUT Read]]="","N/A",Table1[[#This Row],[Std Error]]+Table1[[#This Row],[DUT Read]]+Table1[[#This Row],[DUT Ucty]])</f>
        <v>N/A</v>
      </c>
      <c r="Y1021" s="1" t="str">
        <f>IF(Table1[[#This Row],[Std Read]]="","N/A",Table1[[#This Row],[Std Read]]+Table1[[#This Row],[Std Ucty]])</f>
        <v>N/A</v>
      </c>
      <c r="Z10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1" s="1" t="str">
        <f>IF(Table1[[#This Row],[Spec Type]]="","N/A",Table1[[#This Row],[Spec Type]])</f>
        <v>±</v>
      </c>
      <c r="AC1021" s="1" t="str">
        <f>IF(Table1[[#This Row],[Spec Type2]]="N/A","N/A",IF(AND(Table1[[#This Row],[DUT Adj Read]]&gt;=Table1[[#This Row],[Low Tol]],Table1[[#This Row],[DUT Adj Read]]&lt;=Table1[[#This Row],[High Tol]]),"Pass","Fail"))</f>
        <v>Fail</v>
      </c>
      <c r="AD1021" s="1" t="str">
        <f>IF(AND(Table1[[#This Row],[Spec Type2]]="N/A",Table1[[#This Row],[DUT Adj Read]]="N/A",Table1[[#This Row],[Std Adj Read]]="N/A"),"N/A",IF(Table1[[#This Row],[DUT Adj Read]]="N/A",IF(Table1[[#This Row],[Std Adj Read]]&gt;Table1[[#This Row],[Low Tol]],"Pass","Fail"),IF(Table1[[#This Row],[DUT Adj Read]]&gt;Table1[[#This Row],[Low Tol]],"Pass","Fail")))</f>
        <v>Pass</v>
      </c>
      <c r="AE1021" s="1" t="str">
        <f>IF(AND(Table1[[#This Row],[Spec Type2]]="N/A",Table1[[#This Row],[DUT Adj Read]]="N/A",Table1[[#This Row],[Std Adj Read]]="N/A"),"N/A",IF(Table1[[#This Row],[DUT Adj Read]]="N/A",IF(Table1[[#This Row],[Std Adj Read]]&lt;Table1[[#This Row],[High Tol]],"Pass","Fail"),IF(Table1[[#This Row],[DUT Adj Read]]&lt;Table1[[#This Row],[High Tol]],"Pass","Fail")))</f>
        <v>Fail</v>
      </c>
      <c r="AF1021" s="1" t="str">
        <f>IF(AND(Table1[[#This Row],[Spec Type2]]="N/A",Table1[[#This Row],[DUT Adj Read]]="N/A",Table1[[#This Row],[Std Adj Read]]="N/A"),"N/A",IF(Table1[[#This Row],[DUT Adj Read]]="N/A",IF(Table1[[#This Row],[Std Adj Read]]&gt;=Table1[[#This Row],[Low Tol]],"Pass","Fail"),IF(Table1[[#This Row],[DUT Adj Read]]&gt;=Table1[[#This Row],[Low Tol]],"Pass","Fail")))</f>
        <v>Pass</v>
      </c>
      <c r="AG1021" s="1" t="str">
        <f>IF(AND(Table1[[#This Row],[Spec Type2]]="N/A",Table1[[#This Row],[DUT Adj Read]]="N/A",Table1[[#This Row],[Std Adj Read]]="N/A"),"N/A",IF(Table1[[#This Row],[DUT Adj Read]]="N/A",IF(Table1[[#This Row],[Std Adj Read]]&lt;=Table1[[#This Row],[High Tol]],"Pass","Fail"),IF(Table1[[#This Row],[DUT Adj Read]]&lt;=Table1[[#This Row],[High Tol]],"Pass","Fail")))</f>
        <v>Fail</v>
      </c>
      <c r="AH10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1" s="1" t="b">
        <v>0</v>
      </c>
      <c r="AN1021" s="1" t="b">
        <v>0</v>
      </c>
      <c r="AO1021" s="1" t="b">
        <v>0</v>
      </c>
    </row>
    <row r="1022" spans="1:41" x14ac:dyDescent="0.25">
      <c r="A1022" s="10"/>
      <c r="B1022" s="10"/>
      <c r="C1022" s="10"/>
      <c r="D1022" s="10"/>
      <c r="E1022" s="10"/>
      <c r="F1022" s="10"/>
      <c r="G1022" s="10"/>
      <c r="H1022" s="10"/>
      <c r="I1022" s="1" t="str">
        <f t="shared" si="45"/>
        <v/>
      </c>
      <c r="J1022" s="1" t="s">
        <v>35</v>
      </c>
      <c r="K1022" s="1" t="str">
        <f t="shared" si="46"/>
        <v/>
      </c>
      <c r="L1022" s="1" t="str">
        <f t="shared" si="47"/>
        <v/>
      </c>
      <c r="M1022" s="1">
        <f>IF(OR(Table1[[#This Row],[Std Nom]]="",Table1[[#This Row],[Std Read]]=""),0,Table1[[#This Row],[Std Nom]]-Table1[[#This Row],[Std Read]])</f>
        <v>0</v>
      </c>
      <c r="N1022" s="1">
        <f>IF(Calculations!$F$5="ACCREDITED 17025 WITH UNCERTAINTIES",$N$10,0)</f>
        <v>0</v>
      </c>
      <c r="Q1022" s="1">
        <f>Table1[[#This Row],[High Tol]]-Table1[[#This Row],[Low Tol]]</f>
        <v>0</v>
      </c>
      <c r="R1022" s="1">
        <f>2*Table1[[#This Row],[Std Error]]</f>
        <v>0</v>
      </c>
      <c r="S1022" s="1" t="str">
        <f>IF(Table1[[#This Row],[High Tol]]="","N/A",IFERROR(ABS(Table1[[#This Row],[Tol Span]]/Table1[[#This Row],[Error Span]]),"N/A"))</f>
        <v>N/A</v>
      </c>
      <c r="T1022" s="1" t="str">
        <f>IF(OR(Table1[[#This Row],[Low Tol]]="",Table1[[#This Row],[High Tol]]=""),"Needs Analysis",IF(Table1[[#This Row],[Ratio]]&gt;=4,"Not Significant",IF(Table1[[#This Row],[Ratio]]&gt;=2,"Semi-Significant","Significant")))</f>
        <v>Needs Analysis</v>
      </c>
      <c r="W1022" s="1">
        <f>IF(Table1[[#This Row],[Cal Type]]&lt;&gt;"ACCREDITED 17025 WITH UNCERTAINTIES",0,"")</f>
        <v>0</v>
      </c>
      <c r="X1022" s="1" t="str">
        <f>IF(Table1[[#This Row],[DUT Read]]="","N/A",Table1[[#This Row],[Std Error]]+Table1[[#This Row],[DUT Read]]+Table1[[#This Row],[DUT Ucty]])</f>
        <v>N/A</v>
      </c>
      <c r="Y1022" s="1" t="str">
        <f>IF(Table1[[#This Row],[Std Read]]="","N/A",Table1[[#This Row],[Std Read]]+Table1[[#This Row],[Std Ucty]])</f>
        <v>N/A</v>
      </c>
      <c r="Z10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2" s="1" t="str">
        <f>IF(Table1[[#This Row],[Spec Type]]="","N/A",Table1[[#This Row],[Spec Type]])</f>
        <v>±</v>
      </c>
      <c r="AC1022" s="1" t="str">
        <f>IF(Table1[[#This Row],[Spec Type2]]="N/A","N/A",IF(AND(Table1[[#This Row],[DUT Adj Read]]&gt;=Table1[[#This Row],[Low Tol]],Table1[[#This Row],[DUT Adj Read]]&lt;=Table1[[#This Row],[High Tol]]),"Pass","Fail"))</f>
        <v>Fail</v>
      </c>
      <c r="AD1022" s="1" t="str">
        <f>IF(AND(Table1[[#This Row],[Spec Type2]]="N/A",Table1[[#This Row],[DUT Adj Read]]="N/A",Table1[[#This Row],[Std Adj Read]]="N/A"),"N/A",IF(Table1[[#This Row],[DUT Adj Read]]="N/A",IF(Table1[[#This Row],[Std Adj Read]]&gt;Table1[[#This Row],[Low Tol]],"Pass","Fail"),IF(Table1[[#This Row],[DUT Adj Read]]&gt;Table1[[#This Row],[Low Tol]],"Pass","Fail")))</f>
        <v>Pass</v>
      </c>
      <c r="AE1022" s="1" t="str">
        <f>IF(AND(Table1[[#This Row],[Spec Type2]]="N/A",Table1[[#This Row],[DUT Adj Read]]="N/A",Table1[[#This Row],[Std Adj Read]]="N/A"),"N/A",IF(Table1[[#This Row],[DUT Adj Read]]="N/A",IF(Table1[[#This Row],[Std Adj Read]]&lt;Table1[[#This Row],[High Tol]],"Pass","Fail"),IF(Table1[[#This Row],[DUT Adj Read]]&lt;Table1[[#This Row],[High Tol]],"Pass","Fail")))</f>
        <v>Fail</v>
      </c>
      <c r="AF1022" s="1" t="str">
        <f>IF(AND(Table1[[#This Row],[Spec Type2]]="N/A",Table1[[#This Row],[DUT Adj Read]]="N/A",Table1[[#This Row],[Std Adj Read]]="N/A"),"N/A",IF(Table1[[#This Row],[DUT Adj Read]]="N/A",IF(Table1[[#This Row],[Std Adj Read]]&gt;=Table1[[#This Row],[Low Tol]],"Pass","Fail"),IF(Table1[[#This Row],[DUT Adj Read]]&gt;=Table1[[#This Row],[Low Tol]],"Pass","Fail")))</f>
        <v>Pass</v>
      </c>
      <c r="AG1022" s="1" t="str">
        <f>IF(AND(Table1[[#This Row],[Spec Type2]]="N/A",Table1[[#This Row],[DUT Adj Read]]="N/A",Table1[[#This Row],[Std Adj Read]]="N/A"),"N/A",IF(Table1[[#This Row],[DUT Adj Read]]="N/A",IF(Table1[[#This Row],[Std Adj Read]]&lt;=Table1[[#This Row],[High Tol]],"Pass","Fail"),IF(Table1[[#This Row],[DUT Adj Read]]&lt;=Table1[[#This Row],[High Tol]],"Pass","Fail")))</f>
        <v>Fail</v>
      </c>
      <c r="AH10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2" s="1" t="b">
        <v>0</v>
      </c>
      <c r="AN1022" s="1" t="b">
        <v>0</v>
      </c>
      <c r="AO1022" s="1" t="b">
        <v>0</v>
      </c>
    </row>
    <row r="1023" spans="1:41" x14ac:dyDescent="0.25">
      <c r="A1023" s="10"/>
      <c r="B1023" s="10"/>
      <c r="C1023" s="10"/>
      <c r="D1023" s="10"/>
      <c r="E1023" s="10"/>
      <c r="F1023" s="10"/>
      <c r="G1023" s="10"/>
      <c r="H1023" s="10"/>
      <c r="I1023" s="1" t="str">
        <f t="shared" si="45"/>
        <v/>
      </c>
      <c r="J1023" s="1" t="s">
        <v>35</v>
      </c>
      <c r="K1023" s="1" t="str">
        <f t="shared" si="46"/>
        <v/>
      </c>
      <c r="L1023" s="1" t="str">
        <f t="shared" si="47"/>
        <v/>
      </c>
      <c r="M1023" s="1">
        <f>IF(OR(Table1[[#This Row],[Std Nom]]="",Table1[[#This Row],[Std Read]]=""),0,Table1[[#This Row],[Std Nom]]-Table1[[#This Row],[Std Read]])</f>
        <v>0</v>
      </c>
      <c r="N1023" s="1">
        <f>IF(Calculations!$F$5="ACCREDITED 17025 WITH UNCERTAINTIES",$N$10,0)</f>
        <v>0</v>
      </c>
      <c r="Q1023" s="1">
        <f>Table1[[#This Row],[High Tol]]-Table1[[#This Row],[Low Tol]]</f>
        <v>0</v>
      </c>
      <c r="R1023" s="1">
        <f>2*Table1[[#This Row],[Std Error]]</f>
        <v>0</v>
      </c>
      <c r="S1023" s="1" t="str">
        <f>IF(Table1[[#This Row],[High Tol]]="","N/A",IFERROR(ABS(Table1[[#This Row],[Tol Span]]/Table1[[#This Row],[Error Span]]),"N/A"))</f>
        <v>N/A</v>
      </c>
      <c r="T1023" s="1" t="str">
        <f>IF(OR(Table1[[#This Row],[Low Tol]]="",Table1[[#This Row],[High Tol]]=""),"Needs Analysis",IF(Table1[[#This Row],[Ratio]]&gt;=4,"Not Significant",IF(Table1[[#This Row],[Ratio]]&gt;=2,"Semi-Significant","Significant")))</f>
        <v>Needs Analysis</v>
      </c>
      <c r="W1023" s="1">
        <f>IF(Table1[[#This Row],[Cal Type]]&lt;&gt;"ACCREDITED 17025 WITH UNCERTAINTIES",0,"")</f>
        <v>0</v>
      </c>
      <c r="X1023" s="1" t="str">
        <f>IF(Table1[[#This Row],[DUT Read]]="","N/A",Table1[[#This Row],[Std Error]]+Table1[[#This Row],[DUT Read]]+Table1[[#This Row],[DUT Ucty]])</f>
        <v>N/A</v>
      </c>
      <c r="Y1023" s="1" t="str">
        <f>IF(Table1[[#This Row],[Std Read]]="","N/A",Table1[[#This Row],[Std Read]]+Table1[[#This Row],[Std Ucty]])</f>
        <v>N/A</v>
      </c>
      <c r="Z10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3" s="1" t="str">
        <f>IF(Table1[[#This Row],[Spec Type]]="","N/A",Table1[[#This Row],[Spec Type]])</f>
        <v>±</v>
      </c>
      <c r="AC1023" s="1" t="str">
        <f>IF(Table1[[#This Row],[Spec Type2]]="N/A","N/A",IF(AND(Table1[[#This Row],[DUT Adj Read]]&gt;=Table1[[#This Row],[Low Tol]],Table1[[#This Row],[DUT Adj Read]]&lt;=Table1[[#This Row],[High Tol]]),"Pass","Fail"))</f>
        <v>Fail</v>
      </c>
      <c r="AD1023" s="1" t="str">
        <f>IF(AND(Table1[[#This Row],[Spec Type2]]="N/A",Table1[[#This Row],[DUT Adj Read]]="N/A",Table1[[#This Row],[Std Adj Read]]="N/A"),"N/A",IF(Table1[[#This Row],[DUT Adj Read]]="N/A",IF(Table1[[#This Row],[Std Adj Read]]&gt;Table1[[#This Row],[Low Tol]],"Pass","Fail"),IF(Table1[[#This Row],[DUT Adj Read]]&gt;Table1[[#This Row],[Low Tol]],"Pass","Fail")))</f>
        <v>Pass</v>
      </c>
      <c r="AE1023" s="1" t="str">
        <f>IF(AND(Table1[[#This Row],[Spec Type2]]="N/A",Table1[[#This Row],[DUT Adj Read]]="N/A",Table1[[#This Row],[Std Adj Read]]="N/A"),"N/A",IF(Table1[[#This Row],[DUT Adj Read]]="N/A",IF(Table1[[#This Row],[Std Adj Read]]&lt;Table1[[#This Row],[High Tol]],"Pass","Fail"),IF(Table1[[#This Row],[DUT Adj Read]]&lt;Table1[[#This Row],[High Tol]],"Pass","Fail")))</f>
        <v>Fail</v>
      </c>
      <c r="AF1023" s="1" t="str">
        <f>IF(AND(Table1[[#This Row],[Spec Type2]]="N/A",Table1[[#This Row],[DUT Adj Read]]="N/A",Table1[[#This Row],[Std Adj Read]]="N/A"),"N/A",IF(Table1[[#This Row],[DUT Adj Read]]="N/A",IF(Table1[[#This Row],[Std Adj Read]]&gt;=Table1[[#This Row],[Low Tol]],"Pass","Fail"),IF(Table1[[#This Row],[DUT Adj Read]]&gt;=Table1[[#This Row],[Low Tol]],"Pass","Fail")))</f>
        <v>Pass</v>
      </c>
      <c r="AG1023" s="1" t="str">
        <f>IF(AND(Table1[[#This Row],[Spec Type2]]="N/A",Table1[[#This Row],[DUT Adj Read]]="N/A",Table1[[#This Row],[Std Adj Read]]="N/A"),"N/A",IF(Table1[[#This Row],[DUT Adj Read]]="N/A",IF(Table1[[#This Row],[Std Adj Read]]&lt;=Table1[[#This Row],[High Tol]],"Pass","Fail"),IF(Table1[[#This Row],[DUT Adj Read]]&lt;=Table1[[#This Row],[High Tol]],"Pass","Fail")))</f>
        <v>Fail</v>
      </c>
      <c r="AH10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3" s="1" t="b">
        <v>0</v>
      </c>
      <c r="AN1023" s="1" t="b">
        <v>0</v>
      </c>
      <c r="AO1023" s="1" t="b">
        <v>0</v>
      </c>
    </row>
    <row r="1024" spans="1:41" x14ac:dyDescent="0.25">
      <c r="A1024" s="10"/>
      <c r="B1024" s="10"/>
      <c r="C1024" s="10"/>
      <c r="D1024" s="10"/>
      <c r="E1024" s="10"/>
      <c r="F1024" s="10"/>
      <c r="G1024" s="10"/>
      <c r="H1024" s="10"/>
      <c r="I1024" s="1" t="str">
        <f t="shared" si="45"/>
        <v/>
      </c>
      <c r="J1024" s="1" t="s">
        <v>35</v>
      </c>
      <c r="K1024" s="1" t="str">
        <f t="shared" si="46"/>
        <v/>
      </c>
      <c r="L1024" s="1" t="str">
        <f t="shared" si="47"/>
        <v/>
      </c>
      <c r="M1024" s="1">
        <f>IF(OR(Table1[[#This Row],[Std Nom]]="",Table1[[#This Row],[Std Read]]=""),0,Table1[[#This Row],[Std Nom]]-Table1[[#This Row],[Std Read]])</f>
        <v>0</v>
      </c>
      <c r="N1024" s="1">
        <f>IF(Calculations!$F$5="ACCREDITED 17025 WITH UNCERTAINTIES",$N$10,0)</f>
        <v>0</v>
      </c>
      <c r="Q1024" s="1">
        <f>Table1[[#This Row],[High Tol]]-Table1[[#This Row],[Low Tol]]</f>
        <v>0</v>
      </c>
      <c r="R1024" s="1">
        <f>2*Table1[[#This Row],[Std Error]]</f>
        <v>0</v>
      </c>
      <c r="S1024" s="1" t="str">
        <f>IF(Table1[[#This Row],[High Tol]]="","N/A",IFERROR(ABS(Table1[[#This Row],[Tol Span]]/Table1[[#This Row],[Error Span]]),"N/A"))</f>
        <v>N/A</v>
      </c>
      <c r="T1024" s="1" t="str">
        <f>IF(OR(Table1[[#This Row],[Low Tol]]="",Table1[[#This Row],[High Tol]]=""),"Needs Analysis",IF(Table1[[#This Row],[Ratio]]&gt;=4,"Not Significant",IF(Table1[[#This Row],[Ratio]]&gt;=2,"Semi-Significant","Significant")))</f>
        <v>Needs Analysis</v>
      </c>
      <c r="W1024" s="1">
        <f>IF(Table1[[#This Row],[Cal Type]]&lt;&gt;"ACCREDITED 17025 WITH UNCERTAINTIES",0,"")</f>
        <v>0</v>
      </c>
      <c r="X1024" s="1" t="str">
        <f>IF(Table1[[#This Row],[DUT Read]]="","N/A",Table1[[#This Row],[Std Error]]+Table1[[#This Row],[DUT Read]]+Table1[[#This Row],[DUT Ucty]])</f>
        <v>N/A</v>
      </c>
      <c r="Y1024" s="1" t="str">
        <f>IF(Table1[[#This Row],[Std Read]]="","N/A",Table1[[#This Row],[Std Read]]+Table1[[#This Row],[Std Ucty]])</f>
        <v>N/A</v>
      </c>
      <c r="Z10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4" s="1" t="str">
        <f>IF(Table1[[#This Row],[Spec Type]]="","N/A",Table1[[#This Row],[Spec Type]])</f>
        <v>±</v>
      </c>
      <c r="AC1024" s="1" t="str">
        <f>IF(Table1[[#This Row],[Spec Type2]]="N/A","N/A",IF(AND(Table1[[#This Row],[DUT Adj Read]]&gt;=Table1[[#This Row],[Low Tol]],Table1[[#This Row],[DUT Adj Read]]&lt;=Table1[[#This Row],[High Tol]]),"Pass","Fail"))</f>
        <v>Fail</v>
      </c>
      <c r="AD1024" s="1" t="str">
        <f>IF(AND(Table1[[#This Row],[Spec Type2]]="N/A",Table1[[#This Row],[DUT Adj Read]]="N/A",Table1[[#This Row],[Std Adj Read]]="N/A"),"N/A",IF(Table1[[#This Row],[DUT Adj Read]]="N/A",IF(Table1[[#This Row],[Std Adj Read]]&gt;Table1[[#This Row],[Low Tol]],"Pass","Fail"),IF(Table1[[#This Row],[DUT Adj Read]]&gt;Table1[[#This Row],[Low Tol]],"Pass","Fail")))</f>
        <v>Pass</v>
      </c>
      <c r="AE1024" s="1" t="str">
        <f>IF(AND(Table1[[#This Row],[Spec Type2]]="N/A",Table1[[#This Row],[DUT Adj Read]]="N/A",Table1[[#This Row],[Std Adj Read]]="N/A"),"N/A",IF(Table1[[#This Row],[DUT Adj Read]]="N/A",IF(Table1[[#This Row],[Std Adj Read]]&lt;Table1[[#This Row],[High Tol]],"Pass","Fail"),IF(Table1[[#This Row],[DUT Adj Read]]&lt;Table1[[#This Row],[High Tol]],"Pass","Fail")))</f>
        <v>Fail</v>
      </c>
      <c r="AF1024" s="1" t="str">
        <f>IF(AND(Table1[[#This Row],[Spec Type2]]="N/A",Table1[[#This Row],[DUT Adj Read]]="N/A",Table1[[#This Row],[Std Adj Read]]="N/A"),"N/A",IF(Table1[[#This Row],[DUT Adj Read]]="N/A",IF(Table1[[#This Row],[Std Adj Read]]&gt;=Table1[[#This Row],[Low Tol]],"Pass","Fail"),IF(Table1[[#This Row],[DUT Adj Read]]&gt;=Table1[[#This Row],[Low Tol]],"Pass","Fail")))</f>
        <v>Pass</v>
      </c>
      <c r="AG1024" s="1" t="str">
        <f>IF(AND(Table1[[#This Row],[Spec Type2]]="N/A",Table1[[#This Row],[DUT Adj Read]]="N/A",Table1[[#This Row],[Std Adj Read]]="N/A"),"N/A",IF(Table1[[#This Row],[DUT Adj Read]]="N/A",IF(Table1[[#This Row],[Std Adj Read]]&lt;=Table1[[#This Row],[High Tol]],"Pass","Fail"),IF(Table1[[#This Row],[DUT Adj Read]]&lt;=Table1[[#This Row],[High Tol]],"Pass","Fail")))</f>
        <v>Fail</v>
      </c>
      <c r="AH10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4" s="1" t="b">
        <v>0</v>
      </c>
      <c r="AN1024" s="1" t="b">
        <v>0</v>
      </c>
      <c r="AO1024" s="1" t="b">
        <v>0</v>
      </c>
    </row>
    <row r="1025" spans="1:41" x14ac:dyDescent="0.25">
      <c r="A1025" s="10"/>
      <c r="B1025" s="10"/>
      <c r="C1025" s="10"/>
      <c r="D1025" s="10"/>
      <c r="E1025" s="10"/>
      <c r="F1025" s="10"/>
      <c r="G1025" s="10"/>
      <c r="H1025" s="10"/>
      <c r="I1025" s="1" t="str">
        <f t="shared" si="45"/>
        <v/>
      </c>
      <c r="J1025" s="1" t="s">
        <v>35</v>
      </c>
      <c r="K1025" s="1" t="str">
        <f t="shared" si="46"/>
        <v/>
      </c>
      <c r="L1025" s="1" t="str">
        <f t="shared" si="47"/>
        <v/>
      </c>
      <c r="M1025" s="1">
        <f>IF(OR(Table1[[#This Row],[Std Nom]]="",Table1[[#This Row],[Std Read]]=""),0,Table1[[#This Row],[Std Nom]]-Table1[[#This Row],[Std Read]])</f>
        <v>0</v>
      </c>
      <c r="N1025" s="1">
        <f>IF(Calculations!$F$5="ACCREDITED 17025 WITH UNCERTAINTIES",$N$10,0)</f>
        <v>0</v>
      </c>
      <c r="Q1025" s="1">
        <f>Table1[[#This Row],[High Tol]]-Table1[[#This Row],[Low Tol]]</f>
        <v>0</v>
      </c>
      <c r="R1025" s="1">
        <f>2*Table1[[#This Row],[Std Error]]</f>
        <v>0</v>
      </c>
      <c r="S1025" s="1" t="str">
        <f>IF(Table1[[#This Row],[High Tol]]="","N/A",IFERROR(ABS(Table1[[#This Row],[Tol Span]]/Table1[[#This Row],[Error Span]]),"N/A"))</f>
        <v>N/A</v>
      </c>
      <c r="T1025" s="1" t="str">
        <f>IF(OR(Table1[[#This Row],[Low Tol]]="",Table1[[#This Row],[High Tol]]=""),"Needs Analysis",IF(Table1[[#This Row],[Ratio]]&gt;=4,"Not Significant",IF(Table1[[#This Row],[Ratio]]&gt;=2,"Semi-Significant","Significant")))</f>
        <v>Needs Analysis</v>
      </c>
      <c r="W1025" s="1">
        <f>IF(Table1[[#This Row],[Cal Type]]&lt;&gt;"ACCREDITED 17025 WITH UNCERTAINTIES",0,"")</f>
        <v>0</v>
      </c>
      <c r="X1025" s="1" t="str">
        <f>IF(Table1[[#This Row],[DUT Read]]="","N/A",Table1[[#This Row],[Std Error]]+Table1[[#This Row],[DUT Read]]+Table1[[#This Row],[DUT Ucty]])</f>
        <v>N/A</v>
      </c>
      <c r="Y1025" s="1" t="str">
        <f>IF(Table1[[#This Row],[Std Read]]="","N/A",Table1[[#This Row],[Std Read]]+Table1[[#This Row],[Std Ucty]])</f>
        <v>N/A</v>
      </c>
      <c r="Z10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5" s="1" t="str">
        <f>IF(Table1[[#This Row],[Spec Type]]="","N/A",Table1[[#This Row],[Spec Type]])</f>
        <v>±</v>
      </c>
      <c r="AC1025" s="1" t="str">
        <f>IF(Table1[[#This Row],[Spec Type2]]="N/A","N/A",IF(AND(Table1[[#This Row],[DUT Adj Read]]&gt;=Table1[[#This Row],[Low Tol]],Table1[[#This Row],[DUT Adj Read]]&lt;=Table1[[#This Row],[High Tol]]),"Pass","Fail"))</f>
        <v>Fail</v>
      </c>
      <c r="AD1025" s="1" t="str">
        <f>IF(AND(Table1[[#This Row],[Spec Type2]]="N/A",Table1[[#This Row],[DUT Adj Read]]="N/A",Table1[[#This Row],[Std Adj Read]]="N/A"),"N/A",IF(Table1[[#This Row],[DUT Adj Read]]="N/A",IF(Table1[[#This Row],[Std Adj Read]]&gt;Table1[[#This Row],[Low Tol]],"Pass","Fail"),IF(Table1[[#This Row],[DUT Adj Read]]&gt;Table1[[#This Row],[Low Tol]],"Pass","Fail")))</f>
        <v>Pass</v>
      </c>
      <c r="AE1025" s="1" t="str">
        <f>IF(AND(Table1[[#This Row],[Spec Type2]]="N/A",Table1[[#This Row],[DUT Adj Read]]="N/A",Table1[[#This Row],[Std Adj Read]]="N/A"),"N/A",IF(Table1[[#This Row],[DUT Adj Read]]="N/A",IF(Table1[[#This Row],[Std Adj Read]]&lt;Table1[[#This Row],[High Tol]],"Pass","Fail"),IF(Table1[[#This Row],[DUT Adj Read]]&lt;Table1[[#This Row],[High Tol]],"Pass","Fail")))</f>
        <v>Fail</v>
      </c>
      <c r="AF1025" s="1" t="str">
        <f>IF(AND(Table1[[#This Row],[Spec Type2]]="N/A",Table1[[#This Row],[DUT Adj Read]]="N/A",Table1[[#This Row],[Std Adj Read]]="N/A"),"N/A",IF(Table1[[#This Row],[DUT Adj Read]]="N/A",IF(Table1[[#This Row],[Std Adj Read]]&gt;=Table1[[#This Row],[Low Tol]],"Pass","Fail"),IF(Table1[[#This Row],[DUT Adj Read]]&gt;=Table1[[#This Row],[Low Tol]],"Pass","Fail")))</f>
        <v>Pass</v>
      </c>
      <c r="AG1025" s="1" t="str">
        <f>IF(AND(Table1[[#This Row],[Spec Type2]]="N/A",Table1[[#This Row],[DUT Adj Read]]="N/A",Table1[[#This Row],[Std Adj Read]]="N/A"),"N/A",IF(Table1[[#This Row],[DUT Adj Read]]="N/A",IF(Table1[[#This Row],[Std Adj Read]]&lt;=Table1[[#This Row],[High Tol]],"Pass","Fail"),IF(Table1[[#This Row],[DUT Adj Read]]&lt;=Table1[[#This Row],[High Tol]],"Pass","Fail")))</f>
        <v>Fail</v>
      </c>
      <c r="AH10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5" s="1" t="b">
        <v>0</v>
      </c>
      <c r="AN1025" s="1" t="b">
        <v>0</v>
      </c>
      <c r="AO1025" s="1" t="b">
        <v>0</v>
      </c>
    </row>
    <row r="1026" spans="1:41" x14ac:dyDescent="0.25">
      <c r="A1026" s="10"/>
      <c r="B1026" s="10"/>
      <c r="C1026" s="10"/>
      <c r="D1026" s="10"/>
      <c r="E1026" s="10"/>
      <c r="F1026" s="10"/>
      <c r="G1026" s="10"/>
      <c r="H1026" s="10"/>
      <c r="I1026" s="1" t="str">
        <f t="shared" si="45"/>
        <v/>
      </c>
      <c r="J1026" s="1" t="s">
        <v>35</v>
      </c>
      <c r="K1026" s="1" t="str">
        <f t="shared" si="46"/>
        <v/>
      </c>
      <c r="L1026" s="1" t="str">
        <f t="shared" si="47"/>
        <v/>
      </c>
      <c r="M1026" s="1">
        <f>IF(OR(Table1[[#This Row],[Std Nom]]="",Table1[[#This Row],[Std Read]]=""),0,Table1[[#This Row],[Std Nom]]-Table1[[#This Row],[Std Read]])</f>
        <v>0</v>
      </c>
      <c r="N1026" s="1">
        <f>IF(Calculations!$F$5="ACCREDITED 17025 WITH UNCERTAINTIES",$N$10,0)</f>
        <v>0</v>
      </c>
      <c r="Q1026" s="1">
        <f>Table1[[#This Row],[High Tol]]-Table1[[#This Row],[Low Tol]]</f>
        <v>0</v>
      </c>
      <c r="R1026" s="1">
        <f>2*Table1[[#This Row],[Std Error]]</f>
        <v>0</v>
      </c>
      <c r="S1026" s="1" t="str">
        <f>IF(Table1[[#This Row],[High Tol]]="","N/A",IFERROR(ABS(Table1[[#This Row],[Tol Span]]/Table1[[#This Row],[Error Span]]),"N/A"))</f>
        <v>N/A</v>
      </c>
      <c r="T1026" s="1" t="str">
        <f>IF(OR(Table1[[#This Row],[Low Tol]]="",Table1[[#This Row],[High Tol]]=""),"Needs Analysis",IF(Table1[[#This Row],[Ratio]]&gt;=4,"Not Significant",IF(Table1[[#This Row],[Ratio]]&gt;=2,"Semi-Significant","Significant")))</f>
        <v>Needs Analysis</v>
      </c>
      <c r="W1026" s="1">
        <f>IF(Table1[[#This Row],[Cal Type]]&lt;&gt;"ACCREDITED 17025 WITH UNCERTAINTIES",0,"")</f>
        <v>0</v>
      </c>
      <c r="X1026" s="1" t="str">
        <f>IF(Table1[[#This Row],[DUT Read]]="","N/A",Table1[[#This Row],[Std Error]]+Table1[[#This Row],[DUT Read]]+Table1[[#This Row],[DUT Ucty]])</f>
        <v>N/A</v>
      </c>
      <c r="Y1026" s="1" t="str">
        <f>IF(Table1[[#This Row],[Std Read]]="","N/A",Table1[[#This Row],[Std Read]]+Table1[[#This Row],[Std Ucty]])</f>
        <v>N/A</v>
      </c>
      <c r="Z10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6" s="1" t="str">
        <f>IF(Table1[[#This Row],[Spec Type]]="","N/A",Table1[[#This Row],[Spec Type]])</f>
        <v>±</v>
      </c>
      <c r="AC1026" s="1" t="str">
        <f>IF(Table1[[#This Row],[Spec Type2]]="N/A","N/A",IF(AND(Table1[[#This Row],[DUT Adj Read]]&gt;=Table1[[#This Row],[Low Tol]],Table1[[#This Row],[DUT Adj Read]]&lt;=Table1[[#This Row],[High Tol]]),"Pass","Fail"))</f>
        <v>Fail</v>
      </c>
      <c r="AD1026" s="1" t="str">
        <f>IF(AND(Table1[[#This Row],[Spec Type2]]="N/A",Table1[[#This Row],[DUT Adj Read]]="N/A",Table1[[#This Row],[Std Adj Read]]="N/A"),"N/A",IF(Table1[[#This Row],[DUT Adj Read]]="N/A",IF(Table1[[#This Row],[Std Adj Read]]&gt;Table1[[#This Row],[Low Tol]],"Pass","Fail"),IF(Table1[[#This Row],[DUT Adj Read]]&gt;Table1[[#This Row],[Low Tol]],"Pass","Fail")))</f>
        <v>Pass</v>
      </c>
      <c r="AE1026" s="1" t="str">
        <f>IF(AND(Table1[[#This Row],[Spec Type2]]="N/A",Table1[[#This Row],[DUT Adj Read]]="N/A",Table1[[#This Row],[Std Adj Read]]="N/A"),"N/A",IF(Table1[[#This Row],[DUT Adj Read]]="N/A",IF(Table1[[#This Row],[Std Adj Read]]&lt;Table1[[#This Row],[High Tol]],"Pass","Fail"),IF(Table1[[#This Row],[DUT Adj Read]]&lt;Table1[[#This Row],[High Tol]],"Pass","Fail")))</f>
        <v>Fail</v>
      </c>
      <c r="AF1026" s="1" t="str">
        <f>IF(AND(Table1[[#This Row],[Spec Type2]]="N/A",Table1[[#This Row],[DUT Adj Read]]="N/A",Table1[[#This Row],[Std Adj Read]]="N/A"),"N/A",IF(Table1[[#This Row],[DUT Adj Read]]="N/A",IF(Table1[[#This Row],[Std Adj Read]]&gt;=Table1[[#This Row],[Low Tol]],"Pass","Fail"),IF(Table1[[#This Row],[DUT Adj Read]]&gt;=Table1[[#This Row],[Low Tol]],"Pass","Fail")))</f>
        <v>Pass</v>
      </c>
      <c r="AG1026" s="1" t="str">
        <f>IF(AND(Table1[[#This Row],[Spec Type2]]="N/A",Table1[[#This Row],[DUT Adj Read]]="N/A",Table1[[#This Row],[Std Adj Read]]="N/A"),"N/A",IF(Table1[[#This Row],[DUT Adj Read]]="N/A",IF(Table1[[#This Row],[Std Adj Read]]&lt;=Table1[[#This Row],[High Tol]],"Pass","Fail"),IF(Table1[[#This Row],[DUT Adj Read]]&lt;=Table1[[#This Row],[High Tol]],"Pass","Fail")))</f>
        <v>Fail</v>
      </c>
      <c r="AH10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6" s="1" t="b">
        <v>0</v>
      </c>
      <c r="AN1026" s="1" t="b">
        <v>0</v>
      </c>
      <c r="AO1026" s="1" t="b">
        <v>0</v>
      </c>
    </row>
    <row r="1027" spans="1:41" x14ac:dyDescent="0.25">
      <c r="A1027" s="10"/>
      <c r="B1027" s="10"/>
      <c r="C1027" s="10"/>
      <c r="D1027" s="10"/>
      <c r="E1027" s="10"/>
      <c r="F1027" s="10"/>
      <c r="G1027" s="10"/>
      <c r="H1027" s="10"/>
      <c r="I1027" s="1" t="str">
        <f t="shared" si="45"/>
        <v/>
      </c>
      <c r="J1027" s="1" t="s">
        <v>35</v>
      </c>
      <c r="K1027" s="1" t="str">
        <f t="shared" si="46"/>
        <v/>
      </c>
      <c r="L1027" s="1" t="str">
        <f t="shared" si="47"/>
        <v/>
      </c>
      <c r="M1027" s="1">
        <f>IF(OR(Table1[[#This Row],[Std Nom]]="",Table1[[#This Row],[Std Read]]=""),0,Table1[[#This Row],[Std Nom]]-Table1[[#This Row],[Std Read]])</f>
        <v>0</v>
      </c>
      <c r="N1027" s="1">
        <f>IF(Calculations!$F$5="ACCREDITED 17025 WITH UNCERTAINTIES",$N$10,0)</f>
        <v>0</v>
      </c>
      <c r="Q1027" s="1">
        <f>Table1[[#This Row],[High Tol]]-Table1[[#This Row],[Low Tol]]</f>
        <v>0</v>
      </c>
      <c r="R1027" s="1">
        <f>2*Table1[[#This Row],[Std Error]]</f>
        <v>0</v>
      </c>
      <c r="S1027" s="1" t="str">
        <f>IF(Table1[[#This Row],[High Tol]]="","N/A",IFERROR(ABS(Table1[[#This Row],[Tol Span]]/Table1[[#This Row],[Error Span]]),"N/A"))</f>
        <v>N/A</v>
      </c>
      <c r="T1027" s="1" t="str">
        <f>IF(OR(Table1[[#This Row],[Low Tol]]="",Table1[[#This Row],[High Tol]]=""),"Needs Analysis",IF(Table1[[#This Row],[Ratio]]&gt;=4,"Not Significant",IF(Table1[[#This Row],[Ratio]]&gt;=2,"Semi-Significant","Significant")))</f>
        <v>Needs Analysis</v>
      </c>
      <c r="W1027" s="1">
        <f>IF(Table1[[#This Row],[Cal Type]]&lt;&gt;"ACCREDITED 17025 WITH UNCERTAINTIES",0,"")</f>
        <v>0</v>
      </c>
      <c r="X1027" s="1" t="str">
        <f>IF(Table1[[#This Row],[DUT Read]]="","N/A",Table1[[#This Row],[Std Error]]+Table1[[#This Row],[DUT Read]]+Table1[[#This Row],[DUT Ucty]])</f>
        <v>N/A</v>
      </c>
      <c r="Y1027" s="1" t="str">
        <f>IF(Table1[[#This Row],[Std Read]]="","N/A",Table1[[#This Row],[Std Read]]+Table1[[#This Row],[Std Ucty]])</f>
        <v>N/A</v>
      </c>
      <c r="Z10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7" s="1" t="str">
        <f>IF(Table1[[#This Row],[Spec Type]]="","N/A",Table1[[#This Row],[Spec Type]])</f>
        <v>±</v>
      </c>
      <c r="AC1027" s="1" t="str">
        <f>IF(Table1[[#This Row],[Spec Type2]]="N/A","N/A",IF(AND(Table1[[#This Row],[DUT Adj Read]]&gt;=Table1[[#This Row],[Low Tol]],Table1[[#This Row],[DUT Adj Read]]&lt;=Table1[[#This Row],[High Tol]]),"Pass","Fail"))</f>
        <v>Fail</v>
      </c>
      <c r="AD1027" s="1" t="str">
        <f>IF(AND(Table1[[#This Row],[Spec Type2]]="N/A",Table1[[#This Row],[DUT Adj Read]]="N/A",Table1[[#This Row],[Std Adj Read]]="N/A"),"N/A",IF(Table1[[#This Row],[DUT Adj Read]]="N/A",IF(Table1[[#This Row],[Std Adj Read]]&gt;Table1[[#This Row],[Low Tol]],"Pass","Fail"),IF(Table1[[#This Row],[DUT Adj Read]]&gt;Table1[[#This Row],[Low Tol]],"Pass","Fail")))</f>
        <v>Pass</v>
      </c>
      <c r="AE1027" s="1" t="str">
        <f>IF(AND(Table1[[#This Row],[Spec Type2]]="N/A",Table1[[#This Row],[DUT Adj Read]]="N/A",Table1[[#This Row],[Std Adj Read]]="N/A"),"N/A",IF(Table1[[#This Row],[DUT Adj Read]]="N/A",IF(Table1[[#This Row],[Std Adj Read]]&lt;Table1[[#This Row],[High Tol]],"Pass","Fail"),IF(Table1[[#This Row],[DUT Adj Read]]&lt;Table1[[#This Row],[High Tol]],"Pass","Fail")))</f>
        <v>Fail</v>
      </c>
      <c r="AF1027" s="1" t="str">
        <f>IF(AND(Table1[[#This Row],[Spec Type2]]="N/A",Table1[[#This Row],[DUT Adj Read]]="N/A",Table1[[#This Row],[Std Adj Read]]="N/A"),"N/A",IF(Table1[[#This Row],[DUT Adj Read]]="N/A",IF(Table1[[#This Row],[Std Adj Read]]&gt;=Table1[[#This Row],[Low Tol]],"Pass","Fail"),IF(Table1[[#This Row],[DUT Adj Read]]&gt;=Table1[[#This Row],[Low Tol]],"Pass","Fail")))</f>
        <v>Pass</v>
      </c>
      <c r="AG1027" s="1" t="str">
        <f>IF(AND(Table1[[#This Row],[Spec Type2]]="N/A",Table1[[#This Row],[DUT Adj Read]]="N/A",Table1[[#This Row],[Std Adj Read]]="N/A"),"N/A",IF(Table1[[#This Row],[DUT Adj Read]]="N/A",IF(Table1[[#This Row],[Std Adj Read]]&lt;=Table1[[#This Row],[High Tol]],"Pass","Fail"),IF(Table1[[#This Row],[DUT Adj Read]]&lt;=Table1[[#This Row],[High Tol]],"Pass","Fail")))</f>
        <v>Fail</v>
      </c>
      <c r="AH10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7" s="1" t="b">
        <v>0</v>
      </c>
      <c r="AN1027" s="1" t="b">
        <v>0</v>
      </c>
      <c r="AO1027" s="1" t="b">
        <v>0</v>
      </c>
    </row>
    <row r="1028" spans="1:41" x14ac:dyDescent="0.25">
      <c r="A1028" s="10"/>
      <c r="B1028" s="10"/>
      <c r="C1028" s="10"/>
      <c r="D1028" s="10"/>
      <c r="E1028" s="10"/>
      <c r="F1028" s="10"/>
      <c r="G1028" s="10"/>
      <c r="H1028" s="10"/>
      <c r="I1028" s="1" t="str">
        <f t="shared" si="45"/>
        <v/>
      </c>
      <c r="J1028" s="1" t="s">
        <v>35</v>
      </c>
      <c r="K1028" s="1" t="str">
        <f t="shared" si="46"/>
        <v/>
      </c>
      <c r="L1028" s="1" t="str">
        <f t="shared" si="47"/>
        <v/>
      </c>
      <c r="M1028" s="1">
        <f>IF(OR(Table1[[#This Row],[Std Nom]]="",Table1[[#This Row],[Std Read]]=""),0,Table1[[#This Row],[Std Nom]]-Table1[[#This Row],[Std Read]])</f>
        <v>0</v>
      </c>
      <c r="N1028" s="1">
        <f>IF(Calculations!$F$5="ACCREDITED 17025 WITH UNCERTAINTIES",$N$10,0)</f>
        <v>0</v>
      </c>
      <c r="Q1028" s="1">
        <f>Table1[[#This Row],[High Tol]]-Table1[[#This Row],[Low Tol]]</f>
        <v>0</v>
      </c>
      <c r="R1028" s="1">
        <f>2*Table1[[#This Row],[Std Error]]</f>
        <v>0</v>
      </c>
      <c r="S1028" s="1" t="str">
        <f>IF(Table1[[#This Row],[High Tol]]="","N/A",IFERROR(ABS(Table1[[#This Row],[Tol Span]]/Table1[[#This Row],[Error Span]]),"N/A"))</f>
        <v>N/A</v>
      </c>
      <c r="T1028" s="1" t="str">
        <f>IF(OR(Table1[[#This Row],[Low Tol]]="",Table1[[#This Row],[High Tol]]=""),"Needs Analysis",IF(Table1[[#This Row],[Ratio]]&gt;=4,"Not Significant",IF(Table1[[#This Row],[Ratio]]&gt;=2,"Semi-Significant","Significant")))</f>
        <v>Needs Analysis</v>
      </c>
      <c r="W1028" s="1">
        <f>IF(Table1[[#This Row],[Cal Type]]&lt;&gt;"ACCREDITED 17025 WITH UNCERTAINTIES",0,"")</f>
        <v>0</v>
      </c>
      <c r="X1028" s="1" t="str">
        <f>IF(Table1[[#This Row],[DUT Read]]="","N/A",Table1[[#This Row],[Std Error]]+Table1[[#This Row],[DUT Read]]+Table1[[#This Row],[DUT Ucty]])</f>
        <v>N/A</v>
      </c>
      <c r="Y1028" s="1" t="str">
        <f>IF(Table1[[#This Row],[Std Read]]="","N/A",Table1[[#This Row],[Std Read]]+Table1[[#This Row],[Std Ucty]])</f>
        <v>N/A</v>
      </c>
      <c r="Z10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8" s="1" t="str">
        <f>IF(Table1[[#This Row],[Spec Type]]="","N/A",Table1[[#This Row],[Spec Type]])</f>
        <v>±</v>
      </c>
      <c r="AC1028" s="1" t="str">
        <f>IF(Table1[[#This Row],[Spec Type2]]="N/A","N/A",IF(AND(Table1[[#This Row],[DUT Adj Read]]&gt;=Table1[[#This Row],[Low Tol]],Table1[[#This Row],[DUT Adj Read]]&lt;=Table1[[#This Row],[High Tol]]),"Pass","Fail"))</f>
        <v>Fail</v>
      </c>
      <c r="AD1028" s="1" t="str">
        <f>IF(AND(Table1[[#This Row],[Spec Type2]]="N/A",Table1[[#This Row],[DUT Adj Read]]="N/A",Table1[[#This Row],[Std Adj Read]]="N/A"),"N/A",IF(Table1[[#This Row],[DUT Adj Read]]="N/A",IF(Table1[[#This Row],[Std Adj Read]]&gt;Table1[[#This Row],[Low Tol]],"Pass","Fail"),IF(Table1[[#This Row],[DUT Adj Read]]&gt;Table1[[#This Row],[Low Tol]],"Pass","Fail")))</f>
        <v>Pass</v>
      </c>
      <c r="AE1028" s="1" t="str">
        <f>IF(AND(Table1[[#This Row],[Spec Type2]]="N/A",Table1[[#This Row],[DUT Adj Read]]="N/A",Table1[[#This Row],[Std Adj Read]]="N/A"),"N/A",IF(Table1[[#This Row],[DUT Adj Read]]="N/A",IF(Table1[[#This Row],[Std Adj Read]]&lt;Table1[[#This Row],[High Tol]],"Pass","Fail"),IF(Table1[[#This Row],[DUT Adj Read]]&lt;Table1[[#This Row],[High Tol]],"Pass","Fail")))</f>
        <v>Fail</v>
      </c>
      <c r="AF1028" s="1" t="str">
        <f>IF(AND(Table1[[#This Row],[Spec Type2]]="N/A",Table1[[#This Row],[DUT Adj Read]]="N/A",Table1[[#This Row],[Std Adj Read]]="N/A"),"N/A",IF(Table1[[#This Row],[DUT Adj Read]]="N/A",IF(Table1[[#This Row],[Std Adj Read]]&gt;=Table1[[#This Row],[Low Tol]],"Pass","Fail"),IF(Table1[[#This Row],[DUT Adj Read]]&gt;=Table1[[#This Row],[Low Tol]],"Pass","Fail")))</f>
        <v>Pass</v>
      </c>
      <c r="AG1028" s="1" t="str">
        <f>IF(AND(Table1[[#This Row],[Spec Type2]]="N/A",Table1[[#This Row],[DUT Adj Read]]="N/A",Table1[[#This Row],[Std Adj Read]]="N/A"),"N/A",IF(Table1[[#This Row],[DUT Adj Read]]="N/A",IF(Table1[[#This Row],[Std Adj Read]]&lt;=Table1[[#This Row],[High Tol]],"Pass","Fail"),IF(Table1[[#This Row],[DUT Adj Read]]&lt;=Table1[[#This Row],[High Tol]],"Pass","Fail")))</f>
        <v>Fail</v>
      </c>
      <c r="AH10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8" s="1" t="b">
        <v>0</v>
      </c>
      <c r="AN1028" s="1" t="b">
        <v>0</v>
      </c>
      <c r="AO1028" s="1" t="b">
        <v>0</v>
      </c>
    </row>
    <row r="1029" spans="1:41" x14ac:dyDescent="0.25">
      <c r="A1029" s="10"/>
      <c r="B1029" s="10"/>
      <c r="C1029" s="10"/>
      <c r="D1029" s="10"/>
      <c r="E1029" s="10"/>
      <c r="F1029" s="10"/>
      <c r="G1029" s="10"/>
      <c r="H1029" s="10"/>
      <c r="I1029" s="1" t="str">
        <f t="shared" si="45"/>
        <v/>
      </c>
      <c r="J1029" s="1" t="s">
        <v>35</v>
      </c>
      <c r="K1029" s="1" t="str">
        <f t="shared" si="46"/>
        <v/>
      </c>
      <c r="L1029" s="1" t="str">
        <f t="shared" si="47"/>
        <v/>
      </c>
      <c r="M1029" s="1">
        <f>IF(OR(Table1[[#This Row],[Std Nom]]="",Table1[[#This Row],[Std Read]]=""),0,Table1[[#This Row],[Std Nom]]-Table1[[#This Row],[Std Read]])</f>
        <v>0</v>
      </c>
      <c r="N1029" s="1">
        <f>IF(Calculations!$F$5="ACCREDITED 17025 WITH UNCERTAINTIES",$N$10,0)</f>
        <v>0</v>
      </c>
      <c r="Q1029" s="1">
        <f>Table1[[#This Row],[High Tol]]-Table1[[#This Row],[Low Tol]]</f>
        <v>0</v>
      </c>
      <c r="R1029" s="1">
        <f>2*Table1[[#This Row],[Std Error]]</f>
        <v>0</v>
      </c>
      <c r="S1029" s="1" t="str">
        <f>IF(Table1[[#This Row],[High Tol]]="","N/A",IFERROR(ABS(Table1[[#This Row],[Tol Span]]/Table1[[#This Row],[Error Span]]),"N/A"))</f>
        <v>N/A</v>
      </c>
      <c r="T1029" s="1" t="str">
        <f>IF(OR(Table1[[#This Row],[Low Tol]]="",Table1[[#This Row],[High Tol]]=""),"Needs Analysis",IF(Table1[[#This Row],[Ratio]]&gt;=4,"Not Significant",IF(Table1[[#This Row],[Ratio]]&gt;=2,"Semi-Significant","Significant")))</f>
        <v>Needs Analysis</v>
      </c>
      <c r="W1029" s="1">
        <f>IF(Table1[[#This Row],[Cal Type]]&lt;&gt;"ACCREDITED 17025 WITH UNCERTAINTIES",0,"")</f>
        <v>0</v>
      </c>
      <c r="X1029" s="1" t="str">
        <f>IF(Table1[[#This Row],[DUT Read]]="","N/A",Table1[[#This Row],[Std Error]]+Table1[[#This Row],[DUT Read]]+Table1[[#This Row],[DUT Ucty]])</f>
        <v>N/A</v>
      </c>
      <c r="Y1029" s="1" t="str">
        <f>IF(Table1[[#This Row],[Std Read]]="","N/A",Table1[[#This Row],[Std Read]]+Table1[[#This Row],[Std Ucty]])</f>
        <v>N/A</v>
      </c>
      <c r="Z10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29" s="1" t="str">
        <f>IF(Table1[[#This Row],[Spec Type]]="","N/A",Table1[[#This Row],[Spec Type]])</f>
        <v>±</v>
      </c>
      <c r="AC1029" s="1" t="str">
        <f>IF(Table1[[#This Row],[Spec Type2]]="N/A","N/A",IF(AND(Table1[[#This Row],[DUT Adj Read]]&gt;=Table1[[#This Row],[Low Tol]],Table1[[#This Row],[DUT Adj Read]]&lt;=Table1[[#This Row],[High Tol]]),"Pass","Fail"))</f>
        <v>Fail</v>
      </c>
      <c r="AD1029" s="1" t="str">
        <f>IF(AND(Table1[[#This Row],[Spec Type2]]="N/A",Table1[[#This Row],[DUT Adj Read]]="N/A",Table1[[#This Row],[Std Adj Read]]="N/A"),"N/A",IF(Table1[[#This Row],[DUT Adj Read]]="N/A",IF(Table1[[#This Row],[Std Adj Read]]&gt;Table1[[#This Row],[Low Tol]],"Pass","Fail"),IF(Table1[[#This Row],[DUT Adj Read]]&gt;Table1[[#This Row],[Low Tol]],"Pass","Fail")))</f>
        <v>Pass</v>
      </c>
      <c r="AE1029" s="1" t="str">
        <f>IF(AND(Table1[[#This Row],[Spec Type2]]="N/A",Table1[[#This Row],[DUT Adj Read]]="N/A",Table1[[#This Row],[Std Adj Read]]="N/A"),"N/A",IF(Table1[[#This Row],[DUT Adj Read]]="N/A",IF(Table1[[#This Row],[Std Adj Read]]&lt;Table1[[#This Row],[High Tol]],"Pass","Fail"),IF(Table1[[#This Row],[DUT Adj Read]]&lt;Table1[[#This Row],[High Tol]],"Pass","Fail")))</f>
        <v>Fail</v>
      </c>
      <c r="AF1029" s="1" t="str">
        <f>IF(AND(Table1[[#This Row],[Spec Type2]]="N/A",Table1[[#This Row],[DUT Adj Read]]="N/A",Table1[[#This Row],[Std Adj Read]]="N/A"),"N/A",IF(Table1[[#This Row],[DUT Adj Read]]="N/A",IF(Table1[[#This Row],[Std Adj Read]]&gt;=Table1[[#This Row],[Low Tol]],"Pass","Fail"),IF(Table1[[#This Row],[DUT Adj Read]]&gt;=Table1[[#This Row],[Low Tol]],"Pass","Fail")))</f>
        <v>Pass</v>
      </c>
      <c r="AG1029" s="1" t="str">
        <f>IF(AND(Table1[[#This Row],[Spec Type2]]="N/A",Table1[[#This Row],[DUT Adj Read]]="N/A",Table1[[#This Row],[Std Adj Read]]="N/A"),"N/A",IF(Table1[[#This Row],[DUT Adj Read]]="N/A",IF(Table1[[#This Row],[Std Adj Read]]&lt;=Table1[[#This Row],[High Tol]],"Pass","Fail"),IF(Table1[[#This Row],[DUT Adj Read]]&lt;=Table1[[#This Row],[High Tol]],"Pass","Fail")))</f>
        <v>Fail</v>
      </c>
      <c r="AH10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29" s="1" t="b">
        <v>0</v>
      </c>
      <c r="AN1029" s="1" t="b">
        <v>0</v>
      </c>
      <c r="AO1029" s="1" t="b">
        <v>0</v>
      </c>
    </row>
    <row r="1030" spans="1:41" x14ac:dyDescent="0.25">
      <c r="A1030" s="10"/>
      <c r="B1030" s="10"/>
      <c r="C1030" s="10"/>
      <c r="D1030" s="10"/>
      <c r="E1030" s="10"/>
      <c r="F1030" s="10"/>
      <c r="G1030" s="10"/>
      <c r="H1030" s="10"/>
      <c r="I1030" s="1" t="str">
        <f t="shared" si="45"/>
        <v/>
      </c>
      <c r="J1030" s="1" t="s">
        <v>35</v>
      </c>
      <c r="K1030" s="1" t="str">
        <f t="shared" si="46"/>
        <v/>
      </c>
      <c r="L1030" s="1" t="str">
        <f t="shared" si="47"/>
        <v/>
      </c>
      <c r="M1030" s="1">
        <f>IF(OR(Table1[[#This Row],[Std Nom]]="",Table1[[#This Row],[Std Read]]=""),0,Table1[[#This Row],[Std Nom]]-Table1[[#This Row],[Std Read]])</f>
        <v>0</v>
      </c>
      <c r="N1030" s="1">
        <f>IF(Calculations!$F$5="ACCREDITED 17025 WITH UNCERTAINTIES",$N$10,0)</f>
        <v>0</v>
      </c>
      <c r="Q1030" s="1">
        <f>Table1[[#This Row],[High Tol]]-Table1[[#This Row],[Low Tol]]</f>
        <v>0</v>
      </c>
      <c r="R1030" s="1">
        <f>2*Table1[[#This Row],[Std Error]]</f>
        <v>0</v>
      </c>
      <c r="S1030" s="1" t="str">
        <f>IF(Table1[[#This Row],[High Tol]]="","N/A",IFERROR(ABS(Table1[[#This Row],[Tol Span]]/Table1[[#This Row],[Error Span]]),"N/A"))</f>
        <v>N/A</v>
      </c>
      <c r="T1030" s="1" t="str">
        <f>IF(OR(Table1[[#This Row],[Low Tol]]="",Table1[[#This Row],[High Tol]]=""),"Needs Analysis",IF(Table1[[#This Row],[Ratio]]&gt;=4,"Not Significant",IF(Table1[[#This Row],[Ratio]]&gt;=2,"Semi-Significant","Significant")))</f>
        <v>Needs Analysis</v>
      </c>
      <c r="W1030" s="1">
        <f>IF(Table1[[#This Row],[Cal Type]]&lt;&gt;"ACCREDITED 17025 WITH UNCERTAINTIES",0,"")</f>
        <v>0</v>
      </c>
      <c r="X1030" s="1" t="str">
        <f>IF(Table1[[#This Row],[DUT Read]]="","N/A",Table1[[#This Row],[Std Error]]+Table1[[#This Row],[DUT Read]]+Table1[[#This Row],[DUT Ucty]])</f>
        <v>N/A</v>
      </c>
      <c r="Y1030" s="1" t="str">
        <f>IF(Table1[[#This Row],[Std Read]]="","N/A",Table1[[#This Row],[Std Read]]+Table1[[#This Row],[Std Ucty]])</f>
        <v>N/A</v>
      </c>
      <c r="Z10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0" s="1" t="str">
        <f>IF(Table1[[#This Row],[Spec Type]]="","N/A",Table1[[#This Row],[Spec Type]])</f>
        <v>±</v>
      </c>
      <c r="AC1030" s="1" t="str">
        <f>IF(Table1[[#This Row],[Spec Type2]]="N/A","N/A",IF(AND(Table1[[#This Row],[DUT Adj Read]]&gt;=Table1[[#This Row],[Low Tol]],Table1[[#This Row],[DUT Adj Read]]&lt;=Table1[[#This Row],[High Tol]]),"Pass","Fail"))</f>
        <v>Fail</v>
      </c>
      <c r="AD1030" s="1" t="str">
        <f>IF(AND(Table1[[#This Row],[Spec Type2]]="N/A",Table1[[#This Row],[DUT Adj Read]]="N/A",Table1[[#This Row],[Std Adj Read]]="N/A"),"N/A",IF(Table1[[#This Row],[DUT Adj Read]]="N/A",IF(Table1[[#This Row],[Std Adj Read]]&gt;Table1[[#This Row],[Low Tol]],"Pass","Fail"),IF(Table1[[#This Row],[DUT Adj Read]]&gt;Table1[[#This Row],[Low Tol]],"Pass","Fail")))</f>
        <v>Pass</v>
      </c>
      <c r="AE1030" s="1" t="str">
        <f>IF(AND(Table1[[#This Row],[Spec Type2]]="N/A",Table1[[#This Row],[DUT Adj Read]]="N/A",Table1[[#This Row],[Std Adj Read]]="N/A"),"N/A",IF(Table1[[#This Row],[DUT Adj Read]]="N/A",IF(Table1[[#This Row],[Std Adj Read]]&lt;Table1[[#This Row],[High Tol]],"Pass","Fail"),IF(Table1[[#This Row],[DUT Adj Read]]&lt;Table1[[#This Row],[High Tol]],"Pass","Fail")))</f>
        <v>Fail</v>
      </c>
      <c r="AF1030" s="1" t="str">
        <f>IF(AND(Table1[[#This Row],[Spec Type2]]="N/A",Table1[[#This Row],[DUT Adj Read]]="N/A",Table1[[#This Row],[Std Adj Read]]="N/A"),"N/A",IF(Table1[[#This Row],[DUT Adj Read]]="N/A",IF(Table1[[#This Row],[Std Adj Read]]&gt;=Table1[[#This Row],[Low Tol]],"Pass","Fail"),IF(Table1[[#This Row],[DUT Adj Read]]&gt;=Table1[[#This Row],[Low Tol]],"Pass","Fail")))</f>
        <v>Pass</v>
      </c>
      <c r="AG1030" s="1" t="str">
        <f>IF(AND(Table1[[#This Row],[Spec Type2]]="N/A",Table1[[#This Row],[DUT Adj Read]]="N/A",Table1[[#This Row],[Std Adj Read]]="N/A"),"N/A",IF(Table1[[#This Row],[DUT Adj Read]]="N/A",IF(Table1[[#This Row],[Std Adj Read]]&lt;=Table1[[#This Row],[High Tol]],"Pass","Fail"),IF(Table1[[#This Row],[DUT Adj Read]]&lt;=Table1[[#This Row],[High Tol]],"Pass","Fail")))</f>
        <v>Fail</v>
      </c>
      <c r="AH10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0" s="1" t="b">
        <v>0</v>
      </c>
      <c r="AN1030" s="1" t="b">
        <v>0</v>
      </c>
      <c r="AO1030" s="1" t="b">
        <v>0</v>
      </c>
    </row>
    <row r="1031" spans="1:41" x14ac:dyDescent="0.25">
      <c r="A1031" s="10"/>
      <c r="B1031" s="10"/>
      <c r="C1031" s="10"/>
      <c r="D1031" s="10"/>
      <c r="E1031" s="10"/>
      <c r="F1031" s="10"/>
      <c r="G1031" s="10"/>
      <c r="H1031" s="10"/>
      <c r="I1031" s="1" t="str">
        <f t="shared" si="45"/>
        <v/>
      </c>
      <c r="J1031" s="1" t="s">
        <v>35</v>
      </c>
      <c r="K1031" s="1" t="str">
        <f t="shared" si="46"/>
        <v/>
      </c>
      <c r="L1031" s="1" t="str">
        <f t="shared" si="47"/>
        <v/>
      </c>
      <c r="M1031" s="1">
        <f>IF(OR(Table1[[#This Row],[Std Nom]]="",Table1[[#This Row],[Std Read]]=""),0,Table1[[#This Row],[Std Nom]]-Table1[[#This Row],[Std Read]])</f>
        <v>0</v>
      </c>
      <c r="N1031" s="1">
        <f>IF(Calculations!$F$5="ACCREDITED 17025 WITH UNCERTAINTIES",$N$10,0)</f>
        <v>0</v>
      </c>
      <c r="Q1031" s="1">
        <f>Table1[[#This Row],[High Tol]]-Table1[[#This Row],[Low Tol]]</f>
        <v>0</v>
      </c>
      <c r="R1031" s="1">
        <f>2*Table1[[#This Row],[Std Error]]</f>
        <v>0</v>
      </c>
      <c r="S1031" s="1" t="str">
        <f>IF(Table1[[#This Row],[High Tol]]="","N/A",IFERROR(ABS(Table1[[#This Row],[Tol Span]]/Table1[[#This Row],[Error Span]]),"N/A"))</f>
        <v>N/A</v>
      </c>
      <c r="T1031" s="1" t="str">
        <f>IF(OR(Table1[[#This Row],[Low Tol]]="",Table1[[#This Row],[High Tol]]=""),"Needs Analysis",IF(Table1[[#This Row],[Ratio]]&gt;=4,"Not Significant",IF(Table1[[#This Row],[Ratio]]&gt;=2,"Semi-Significant","Significant")))</f>
        <v>Needs Analysis</v>
      </c>
      <c r="W1031" s="1">
        <f>IF(Table1[[#This Row],[Cal Type]]&lt;&gt;"ACCREDITED 17025 WITH UNCERTAINTIES",0,"")</f>
        <v>0</v>
      </c>
      <c r="X1031" s="1" t="str">
        <f>IF(Table1[[#This Row],[DUT Read]]="","N/A",Table1[[#This Row],[Std Error]]+Table1[[#This Row],[DUT Read]]+Table1[[#This Row],[DUT Ucty]])</f>
        <v>N/A</v>
      </c>
      <c r="Y1031" s="1" t="str">
        <f>IF(Table1[[#This Row],[Std Read]]="","N/A",Table1[[#This Row],[Std Read]]+Table1[[#This Row],[Std Ucty]])</f>
        <v>N/A</v>
      </c>
      <c r="Z10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1" s="1" t="str">
        <f>IF(Table1[[#This Row],[Spec Type]]="","N/A",Table1[[#This Row],[Spec Type]])</f>
        <v>±</v>
      </c>
      <c r="AC1031" s="1" t="str">
        <f>IF(Table1[[#This Row],[Spec Type2]]="N/A","N/A",IF(AND(Table1[[#This Row],[DUT Adj Read]]&gt;=Table1[[#This Row],[Low Tol]],Table1[[#This Row],[DUT Adj Read]]&lt;=Table1[[#This Row],[High Tol]]),"Pass","Fail"))</f>
        <v>Fail</v>
      </c>
      <c r="AD1031" s="1" t="str">
        <f>IF(AND(Table1[[#This Row],[Spec Type2]]="N/A",Table1[[#This Row],[DUT Adj Read]]="N/A",Table1[[#This Row],[Std Adj Read]]="N/A"),"N/A",IF(Table1[[#This Row],[DUT Adj Read]]="N/A",IF(Table1[[#This Row],[Std Adj Read]]&gt;Table1[[#This Row],[Low Tol]],"Pass","Fail"),IF(Table1[[#This Row],[DUT Adj Read]]&gt;Table1[[#This Row],[Low Tol]],"Pass","Fail")))</f>
        <v>Pass</v>
      </c>
      <c r="AE1031" s="1" t="str">
        <f>IF(AND(Table1[[#This Row],[Spec Type2]]="N/A",Table1[[#This Row],[DUT Adj Read]]="N/A",Table1[[#This Row],[Std Adj Read]]="N/A"),"N/A",IF(Table1[[#This Row],[DUT Adj Read]]="N/A",IF(Table1[[#This Row],[Std Adj Read]]&lt;Table1[[#This Row],[High Tol]],"Pass","Fail"),IF(Table1[[#This Row],[DUT Adj Read]]&lt;Table1[[#This Row],[High Tol]],"Pass","Fail")))</f>
        <v>Fail</v>
      </c>
      <c r="AF1031" s="1" t="str">
        <f>IF(AND(Table1[[#This Row],[Spec Type2]]="N/A",Table1[[#This Row],[DUT Adj Read]]="N/A",Table1[[#This Row],[Std Adj Read]]="N/A"),"N/A",IF(Table1[[#This Row],[DUT Adj Read]]="N/A",IF(Table1[[#This Row],[Std Adj Read]]&gt;=Table1[[#This Row],[Low Tol]],"Pass","Fail"),IF(Table1[[#This Row],[DUT Adj Read]]&gt;=Table1[[#This Row],[Low Tol]],"Pass","Fail")))</f>
        <v>Pass</v>
      </c>
      <c r="AG1031" s="1" t="str">
        <f>IF(AND(Table1[[#This Row],[Spec Type2]]="N/A",Table1[[#This Row],[DUT Adj Read]]="N/A",Table1[[#This Row],[Std Adj Read]]="N/A"),"N/A",IF(Table1[[#This Row],[DUT Adj Read]]="N/A",IF(Table1[[#This Row],[Std Adj Read]]&lt;=Table1[[#This Row],[High Tol]],"Pass","Fail"),IF(Table1[[#This Row],[DUT Adj Read]]&lt;=Table1[[#This Row],[High Tol]],"Pass","Fail")))</f>
        <v>Fail</v>
      </c>
      <c r="AH10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1" s="1" t="b">
        <v>0</v>
      </c>
      <c r="AN1031" s="1" t="b">
        <v>0</v>
      </c>
      <c r="AO1031" s="1" t="b">
        <v>0</v>
      </c>
    </row>
    <row r="1032" spans="1:41" x14ac:dyDescent="0.25">
      <c r="A1032" s="10"/>
      <c r="B1032" s="10"/>
      <c r="C1032" s="10"/>
      <c r="D1032" s="10"/>
      <c r="E1032" s="10"/>
      <c r="F1032" s="10"/>
      <c r="G1032" s="10"/>
      <c r="H1032" s="10"/>
      <c r="I1032" s="1" t="str">
        <f t="shared" si="45"/>
        <v/>
      </c>
      <c r="J1032" s="1" t="s">
        <v>35</v>
      </c>
      <c r="K1032" s="1" t="str">
        <f t="shared" si="46"/>
        <v/>
      </c>
      <c r="L1032" s="1" t="str">
        <f t="shared" si="47"/>
        <v/>
      </c>
      <c r="M1032" s="1">
        <f>IF(OR(Table1[[#This Row],[Std Nom]]="",Table1[[#This Row],[Std Read]]=""),0,Table1[[#This Row],[Std Nom]]-Table1[[#This Row],[Std Read]])</f>
        <v>0</v>
      </c>
      <c r="N1032" s="1">
        <f>IF(Calculations!$F$5="ACCREDITED 17025 WITH UNCERTAINTIES",$N$10,0)</f>
        <v>0</v>
      </c>
      <c r="Q1032" s="1">
        <f>Table1[[#This Row],[High Tol]]-Table1[[#This Row],[Low Tol]]</f>
        <v>0</v>
      </c>
      <c r="R1032" s="1">
        <f>2*Table1[[#This Row],[Std Error]]</f>
        <v>0</v>
      </c>
      <c r="S1032" s="1" t="str">
        <f>IF(Table1[[#This Row],[High Tol]]="","N/A",IFERROR(ABS(Table1[[#This Row],[Tol Span]]/Table1[[#This Row],[Error Span]]),"N/A"))</f>
        <v>N/A</v>
      </c>
      <c r="T1032" s="1" t="str">
        <f>IF(OR(Table1[[#This Row],[Low Tol]]="",Table1[[#This Row],[High Tol]]=""),"Needs Analysis",IF(Table1[[#This Row],[Ratio]]&gt;=4,"Not Significant",IF(Table1[[#This Row],[Ratio]]&gt;=2,"Semi-Significant","Significant")))</f>
        <v>Needs Analysis</v>
      </c>
      <c r="W1032" s="1">
        <f>IF(Table1[[#This Row],[Cal Type]]&lt;&gt;"ACCREDITED 17025 WITH UNCERTAINTIES",0,"")</f>
        <v>0</v>
      </c>
      <c r="X1032" s="1" t="str">
        <f>IF(Table1[[#This Row],[DUT Read]]="","N/A",Table1[[#This Row],[Std Error]]+Table1[[#This Row],[DUT Read]]+Table1[[#This Row],[DUT Ucty]])</f>
        <v>N/A</v>
      </c>
      <c r="Y1032" s="1" t="str">
        <f>IF(Table1[[#This Row],[Std Read]]="","N/A",Table1[[#This Row],[Std Read]]+Table1[[#This Row],[Std Ucty]])</f>
        <v>N/A</v>
      </c>
      <c r="Z10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2" s="1" t="str">
        <f>IF(Table1[[#This Row],[Spec Type]]="","N/A",Table1[[#This Row],[Spec Type]])</f>
        <v>±</v>
      </c>
      <c r="AC1032" s="1" t="str">
        <f>IF(Table1[[#This Row],[Spec Type2]]="N/A","N/A",IF(AND(Table1[[#This Row],[DUT Adj Read]]&gt;=Table1[[#This Row],[Low Tol]],Table1[[#This Row],[DUT Adj Read]]&lt;=Table1[[#This Row],[High Tol]]),"Pass","Fail"))</f>
        <v>Fail</v>
      </c>
      <c r="AD1032" s="1" t="str">
        <f>IF(AND(Table1[[#This Row],[Spec Type2]]="N/A",Table1[[#This Row],[DUT Adj Read]]="N/A",Table1[[#This Row],[Std Adj Read]]="N/A"),"N/A",IF(Table1[[#This Row],[DUT Adj Read]]="N/A",IF(Table1[[#This Row],[Std Adj Read]]&gt;Table1[[#This Row],[Low Tol]],"Pass","Fail"),IF(Table1[[#This Row],[DUT Adj Read]]&gt;Table1[[#This Row],[Low Tol]],"Pass","Fail")))</f>
        <v>Pass</v>
      </c>
      <c r="AE1032" s="1" t="str">
        <f>IF(AND(Table1[[#This Row],[Spec Type2]]="N/A",Table1[[#This Row],[DUT Adj Read]]="N/A",Table1[[#This Row],[Std Adj Read]]="N/A"),"N/A",IF(Table1[[#This Row],[DUT Adj Read]]="N/A",IF(Table1[[#This Row],[Std Adj Read]]&lt;Table1[[#This Row],[High Tol]],"Pass","Fail"),IF(Table1[[#This Row],[DUT Adj Read]]&lt;Table1[[#This Row],[High Tol]],"Pass","Fail")))</f>
        <v>Fail</v>
      </c>
      <c r="AF1032" s="1" t="str">
        <f>IF(AND(Table1[[#This Row],[Spec Type2]]="N/A",Table1[[#This Row],[DUT Adj Read]]="N/A",Table1[[#This Row],[Std Adj Read]]="N/A"),"N/A",IF(Table1[[#This Row],[DUT Adj Read]]="N/A",IF(Table1[[#This Row],[Std Adj Read]]&gt;=Table1[[#This Row],[Low Tol]],"Pass","Fail"),IF(Table1[[#This Row],[DUT Adj Read]]&gt;=Table1[[#This Row],[Low Tol]],"Pass","Fail")))</f>
        <v>Pass</v>
      </c>
      <c r="AG1032" s="1" t="str">
        <f>IF(AND(Table1[[#This Row],[Spec Type2]]="N/A",Table1[[#This Row],[DUT Adj Read]]="N/A",Table1[[#This Row],[Std Adj Read]]="N/A"),"N/A",IF(Table1[[#This Row],[DUT Adj Read]]="N/A",IF(Table1[[#This Row],[Std Adj Read]]&lt;=Table1[[#This Row],[High Tol]],"Pass","Fail"),IF(Table1[[#This Row],[DUT Adj Read]]&lt;=Table1[[#This Row],[High Tol]],"Pass","Fail")))</f>
        <v>Fail</v>
      </c>
      <c r="AH10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2" s="1" t="b">
        <v>0</v>
      </c>
      <c r="AN1032" s="1" t="b">
        <v>0</v>
      </c>
      <c r="AO1032" s="1" t="b">
        <v>0</v>
      </c>
    </row>
    <row r="1033" spans="1:41" x14ac:dyDescent="0.25">
      <c r="A1033" s="10"/>
      <c r="B1033" s="10"/>
      <c r="C1033" s="10"/>
      <c r="D1033" s="10"/>
      <c r="E1033" s="10"/>
      <c r="F1033" s="10"/>
      <c r="G1033" s="10"/>
      <c r="H1033" s="10"/>
      <c r="I1033" s="1" t="str">
        <f t="shared" si="45"/>
        <v/>
      </c>
      <c r="J1033" s="1" t="s">
        <v>35</v>
      </c>
      <c r="K1033" s="1" t="str">
        <f t="shared" si="46"/>
        <v/>
      </c>
      <c r="L1033" s="1" t="str">
        <f t="shared" si="47"/>
        <v/>
      </c>
      <c r="M1033" s="1">
        <f>IF(OR(Table1[[#This Row],[Std Nom]]="",Table1[[#This Row],[Std Read]]=""),0,Table1[[#This Row],[Std Nom]]-Table1[[#This Row],[Std Read]])</f>
        <v>0</v>
      </c>
      <c r="N1033" s="1">
        <f>IF(Calculations!$F$5="ACCREDITED 17025 WITH UNCERTAINTIES",$N$10,0)</f>
        <v>0</v>
      </c>
      <c r="Q1033" s="1">
        <f>Table1[[#This Row],[High Tol]]-Table1[[#This Row],[Low Tol]]</f>
        <v>0</v>
      </c>
      <c r="R1033" s="1">
        <f>2*Table1[[#This Row],[Std Error]]</f>
        <v>0</v>
      </c>
      <c r="S1033" s="1" t="str">
        <f>IF(Table1[[#This Row],[High Tol]]="","N/A",IFERROR(ABS(Table1[[#This Row],[Tol Span]]/Table1[[#This Row],[Error Span]]),"N/A"))</f>
        <v>N/A</v>
      </c>
      <c r="T1033" s="1" t="str">
        <f>IF(OR(Table1[[#This Row],[Low Tol]]="",Table1[[#This Row],[High Tol]]=""),"Needs Analysis",IF(Table1[[#This Row],[Ratio]]&gt;=4,"Not Significant",IF(Table1[[#This Row],[Ratio]]&gt;=2,"Semi-Significant","Significant")))</f>
        <v>Needs Analysis</v>
      </c>
      <c r="W1033" s="1">
        <f>IF(Table1[[#This Row],[Cal Type]]&lt;&gt;"ACCREDITED 17025 WITH UNCERTAINTIES",0,"")</f>
        <v>0</v>
      </c>
      <c r="X1033" s="1" t="str">
        <f>IF(Table1[[#This Row],[DUT Read]]="","N/A",Table1[[#This Row],[Std Error]]+Table1[[#This Row],[DUT Read]]+Table1[[#This Row],[DUT Ucty]])</f>
        <v>N/A</v>
      </c>
      <c r="Y1033" s="1" t="str">
        <f>IF(Table1[[#This Row],[Std Read]]="","N/A",Table1[[#This Row],[Std Read]]+Table1[[#This Row],[Std Ucty]])</f>
        <v>N/A</v>
      </c>
      <c r="Z10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3" s="1" t="str">
        <f>IF(Table1[[#This Row],[Spec Type]]="","N/A",Table1[[#This Row],[Spec Type]])</f>
        <v>±</v>
      </c>
      <c r="AC1033" s="1" t="str">
        <f>IF(Table1[[#This Row],[Spec Type2]]="N/A","N/A",IF(AND(Table1[[#This Row],[DUT Adj Read]]&gt;=Table1[[#This Row],[Low Tol]],Table1[[#This Row],[DUT Adj Read]]&lt;=Table1[[#This Row],[High Tol]]),"Pass","Fail"))</f>
        <v>Fail</v>
      </c>
      <c r="AD1033" s="1" t="str">
        <f>IF(AND(Table1[[#This Row],[Spec Type2]]="N/A",Table1[[#This Row],[DUT Adj Read]]="N/A",Table1[[#This Row],[Std Adj Read]]="N/A"),"N/A",IF(Table1[[#This Row],[DUT Adj Read]]="N/A",IF(Table1[[#This Row],[Std Adj Read]]&gt;Table1[[#This Row],[Low Tol]],"Pass","Fail"),IF(Table1[[#This Row],[DUT Adj Read]]&gt;Table1[[#This Row],[Low Tol]],"Pass","Fail")))</f>
        <v>Pass</v>
      </c>
      <c r="AE1033" s="1" t="str">
        <f>IF(AND(Table1[[#This Row],[Spec Type2]]="N/A",Table1[[#This Row],[DUT Adj Read]]="N/A",Table1[[#This Row],[Std Adj Read]]="N/A"),"N/A",IF(Table1[[#This Row],[DUT Adj Read]]="N/A",IF(Table1[[#This Row],[Std Adj Read]]&lt;Table1[[#This Row],[High Tol]],"Pass","Fail"),IF(Table1[[#This Row],[DUT Adj Read]]&lt;Table1[[#This Row],[High Tol]],"Pass","Fail")))</f>
        <v>Fail</v>
      </c>
      <c r="AF1033" s="1" t="str">
        <f>IF(AND(Table1[[#This Row],[Spec Type2]]="N/A",Table1[[#This Row],[DUT Adj Read]]="N/A",Table1[[#This Row],[Std Adj Read]]="N/A"),"N/A",IF(Table1[[#This Row],[DUT Adj Read]]="N/A",IF(Table1[[#This Row],[Std Adj Read]]&gt;=Table1[[#This Row],[Low Tol]],"Pass","Fail"),IF(Table1[[#This Row],[DUT Adj Read]]&gt;=Table1[[#This Row],[Low Tol]],"Pass","Fail")))</f>
        <v>Pass</v>
      </c>
      <c r="AG1033" s="1" t="str">
        <f>IF(AND(Table1[[#This Row],[Spec Type2]]="N/A",Table1[[#This Row],[DUT Adj Read]]="N/A",Table1[[#This Row],[Std Adj Read]]="N/A"),"N/A",IF(Table1[[#This Row],[DUT Adj Read]]="N/A",IF(Table1[[#This Row],[Std Adj Read]]&lt;=Table1[[#This Row],[High Tol]],"Pass","Fail"),IF(Table1[[#This Row],[DUT Adj Read]]&lt;=Table1[[#This Row],[High Tol]],"Pass","Fail")))</f>
        <v>Fail</v>
      </c>
      <c r="AH10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3" s="1" t="b">
        <v>0</v>
      </c>
      <c r="AN1033" s="1" t="b">
        <v>0</v>
      </c>
      <c r="AO1033" s="1" t="b">
        <v>0</v>
      </c>
    </row>
    <row r="1034" spans="1:41" x14ac:dyDescent="0.25">
      <c r="A1034" s="10"/>
      <c r="B1034" s="10"/>
      <c r="C1034" s="10"/>
      <c r="D1034" s="10"/>
      <c r="E1034" s="10"/>
      <c r="F1034" s="10"/>
      <c r="G1034" s="10"/>
      <c r="H1034" s="10"/>
      <c r="I1034" s="1" t="str">
        <f t="shared" si="45"/>
        <v/>
      </c>
      <c r="J1034" s="1" t="s">
        <v>35</v>
      </c>
      <c r="K1034" s="1" t="str">
        <f t="shared" si="46"/>
        <v/>
      </c>
      <c r="L1034" s="1" t="str">
        <f t="shared" si="47"/>
        <v/>
      </c>
      <c r="M1034" s="1">
        <f>IF(OR(Table1[[#This Row],[Std Nom]]="",Table1[[#This Row],[Std Read]]=""),0,Table1[[#This Row],[Std Nom]]-Table1[[#This Row],[Std Read]])</f>
        <v>0</v>
      </c>
      <c r="N1034" s="1">
        <f>IF(Calculations!$F$5="ACCREDITED 17025 WITH UNCERTAINTIES",$N$10,0)</f>
        <v>0</v>
      </c>
      <c r="Q1034" s="1">
        <f>Table1[[#This Row],[High Tol]]-Table1[[#This Row],[Low Tol]]</f>
        <v>0</v>
      </c>
      <c r="R1034" s="1">
        <f>2*Table1[[#This Row],[Std Error]]</f>
        <v>0</v>
      </c>
      <c r="S1034" s="1" t="str">
        <f>IF(Table1[[#This Row],[High Tol]]="","N/A",IFERROR(ABS(Table1[[#This Row],[Tol Span]]/Table1[[#This Row],[Error Span]]),"N/A"))</f>
        <v>N/A</v>
      </c>
      <c r="T1034" s="1" t="str">
        <f>IF(OR(Table1[[#This Row],[Low Tol]]="",Table1[[#This Row],[High Tol]]=""),"Needs Analysis",IF(Table1[[#This Row],[Ratio]]&gt;=4,"Not Significant",IF(Table1[[#This Row],[Ratio]]&gt;=2,"Semi-Significant","Significant")))</f>
        <v>Needs Analysis</v>
      </c>
      <c r="W1034" s="1">
        <f>IF(Table1[[#This Row],[Cal Type]]&lt;&gt;"ACCREDITED 17025 WITH UNCERTAINTIES",0,"")</f>
        <v>0</v>
      </c>
      <c r="X1034" s="1" t="str">
        <f>IF(Table1[[#This Row],[DUT Read]]="","N/A",Table1[[#This Row],[Std Error]]+Table1[[#This Row],[DUT Read]]+Table1[[#This Row],[DUT Ucty]])</f>
        <v>N/A</v>
      </c>
      <c r="Y1034" s="1" t="str">
        <f>IF(Table1[[#This Row],[Std Read]]="","N/A",Table1[[#This Row],[Std Read]]+Table1[[#This Row],[Std Ucty]])</f>
        <v>N/A</v>
      </c>
      <c r="Z10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4" s="1" t="str">
        <f>IF(Table1[[#This Row],[Spec Type]]="","N/A",Table1[[#This Row],[Spec Type]])</f>
        <v>±</v>
      </c>
      <c r="AC1034" s="1" t="str">
        <f>IF(Table1[[#This Row],[Spec Type2]]="N/A","N/A",IF(AND(Table1[[#This Row],[DUT Adj Read]]&gt;=Table1[[#This Row],[Low Tol]],Table1[[#This Row],[DUT Adj Read]]&lt;=Table1[[#This Row],[High Tol]]),"Pass","Fail"))</f>
        <v>Fail</v>
      </c>
      <c r="AD1034" s="1" t="str">
        <f>IF(AND(Table1[[#This Row],[Spec Type2]]="N/A",Table1[[#This Row],[DUT Adj Read]]="N/A",Table1[[#This Row],[Std Adj Read]]="N/A"),"N/A",IF(Table1[[#This Row],[DUT Adj Read]]="N/A",IF(Table1[[#This Row],[Std Adj Read]]&gt;Table1[[#This Row],[Low Tol]],"Pass","Fail"),IF(Table1[[#This Row],[DUT Adj Read]]&gt;Table1[[#This Row],[Low Tol]],"Pass","Fail")))</f>
        <v>Pass</v>
      </c>
      <c r="AE1034" s="1" t="str">
        <f>IF(AND(Table1[[#This Row],[Spec Type2]]="N/A",Table1[[#This Row],[DUT Adj Read]]="N/A",Table1[[#This Row],[Std Adj Read]]="N/A"),"N/A",IF(Table1[[#This Row],[DUT Adj Read]]="N/A",IF(Table1[[#This Row],[Std Adj Read]]&lt;Table1[[#This Row],[High Tol]],"Pass","Fail"),IF(Table1[[#This Row],[DUT Adj Read]]&lt;Table1[[#This Row],[High Tol]],"Pass","Fail")))</f>
        <v>Fail</v>
      </c>
      <c r="AF1034" s="1" t="str">
        <f>IF(AND(Table1[[#This Row],[Spec Type2]]="N/A",Table1[[#This Row],[DUT Adj Read]]="N/A",Table1[[#This Row],[Std Adj Read]]="N/A"),"N/A",IF(Table1[[#This Row],[DUT Adj Read]]="N/A",IF(Table1[[#This Row],[Std Adj Read]]&gt;=Table1[[#This Row],[Low Tol]],"Pass","Fail"),IF(Table1[[#This Row],[DUT Adj Read]]&gt;=Table1[[#This Row],[Low Tol]],"Pass","Fail")))</f>
        <v>Pass</v>
      </c>
      <c r="AG1034" s="1" t="str">
        <f>IF(AND(Table1[[#This Row],[Spec Type2]]="N/A",Table1[[#This Row],[DUT Adj Read]]="N/A",Table1[[#This Row],[Std Adj Read]]="N/A"),"N/A",IF(Table1[[#This Row],[DUT Adj Read]]="N/A",IF(Table1[[#This Row],[Std Adj Read]]&lt;=Table1[[#This Row],[High Tol]],"Pass","Fail"),IF(Table1[[#This Row],[DUT Adj Read]]&lt;=Table1[[#This Row],[High Tol]],"Pass","Fail")))</f>
        <v>Fail</v>
      </c>
      <c r="AH10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4" s="1" t="b">
        <v>0</v>
      </c>
      <c r="AN1034" s="1" t="b">
        <v>0</v>
      </c>
      <c r="AO1034" s="1" t="b">
        <v>0</v>
      </c>
    </row>
    <row r="1035" spans="1:41" x14ac:dyDescent="0.25">
      <c r="A1035" s="10"/>
      <c r="B1035" s="10"/>
      <c r="C1035" s="10"/>
      <c r="D1035" s="10"/>
      <c r="E1035" s="10"/>
      <c r="F1035" s="10"/>
      <c r="G1035" s="10"/>
      <c r="H1035" s="10"/>
      <c r="I1035" s="1" t="str">
        <f t="shared" ref="I1035:I1098" si="48">IF($I$10="","",$I$10)</f>
        <v/>
      </c>
      <c r="J1035" s="1" t="s">
        <v>35</v>
      </c>
      <c r="K1035" s="1" t="str">
        <f t="shared" ref="K1035:K1098" si="49">IF($K$10="","",$K$10)</f>
        <v/>
      </c>
      <c r="L1035" s="1" t="str">
        <f t="shared" ref="L1035:L1098" si="50">IF($L$10="","",$L$10)</f>
        <v/>
      </c>
      <c r="M1035" s="1">
        <f>IF(OR(Table1[[#This Row],[Std Nom]]="",Table1[[#This Row],[Std Read]]=""),0,Table1[[#This Row],[Std Nom]]-Table1[[#This Row],[Std Read]])</f>
        <v>0</v>
      </c>
      <c r="N1035" s="1">
        <f>IF(Calculations!$F$5="ACCREDITED 17025 WITH UNCERTAINTIES",$N$10,0)</f>
        <v>0</v>
      </c>
      <c r="Q1035" s="1">
        <f>Table1[[#This Row],[High Tol]]-Table1[[#This Row],[Low Tol]]</f>
        <v>0</v>
      </c>
      <c r="R1035" s="1">
        <f>2*Table1[[#This Row],[Std Error]]</f>
        <v>0</v>
      </c>
      <c r="S1035" s="1" t="str">
        <f>IF(Table1[[#This Row],[High Tol]]="","N/A",IFERROR(ABS(Table1[[#This Row],[Tol Span]]/Table1[[#This Row],[Error Span]]),"N/A"))</f>
        <v>N/A</v>
      </c>
      <c r="T1035" s="1" t="str">
        <f>IF(OR(Table1[[#This Row],[Low Tol]]="",Table1[[#This Row],[High Tol]]=""),"Needs Analysis",IF(Table1[[#This Row],[Ratio]]&gt;=4,"Not Significant",IF(Table1[[#This Row],[Ratio]]&gt;=2,"Semi-Significant","Significant")))</f>
        <v>Needs Analysis</v>
      </c>
      <c r="W1035" s="1">
        <f>IF(Table1[[#This Row],[Cal Type]]&lt;&gt;"ACCREDITED 17025 WITH UNCERTAINTIES",0,"")</f>
        <v>0</v>
      </c>
      <c r="X1035" s="1" t="str">
        <f>IF(Table1[[#This Row],[DUT Read]]="","N/A",Table1[[#This Row],[Std Error]]+Table1[[#This Row],[DUT Read]]+Table1[[#This Row],[DUT Ucty]])</f>
        <v>N/A</v>
      </c>
      <c r="Y1035" s="1" t="str">
        <f>IF(Table1[[#This Row],[Std Read]]="","N/A",Table1[[#This Row],[Std Read]]+Table1[[#This Row],[Std Ucty]])</f>
        <v>N/A</v>
      </c>
      <c r="Z10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5" s="1" t="str">
        <f>IF(Table1[[#This Row],[Spec Type]]="","N/A",Table1[[#This Row],[Spec Type]])</f>
        <v>±</v>
      </c>
      <c r="AC1035" s="1" t="str">
        <f>IF(Table1[[#This Row],[Spec Type2]]="N/A","N/A",IF(AND(Table1[[#This Row],[DUT Adj Read]]&gt;=Table1[[#This Row],[Low Tol]],Table1[[#This Row],[DUT Adj Read]]&lt;=Table1[[#This Row],[High Tol]]),"Pass","Fail"))</f>
        <v>Fail</v>
      </c>
      <c r="AD1035" s="1" t="str">
        <f>IF(AND(Table1[[#This Row],[Spec Type2]]="N/A",Table1[[#This Row],[DUT Adj Read]]="N/A",Table1[[#This Row],[Std Adj Read]]="N/A"),"N/A",IF(Table1[[#This Row],[DUT Adj Read]]="N/A",IF(Table1[[#This Row],[Std Adj Read]]&gt;Table1[[#This Row],[Low Tol]],"Pass","Fail"),IF(Table1[[#This Row],[DUT Adj Read]]&gt;Table1[[#This Row],[Low Tol]],"Pass","Fail")))</f>
        <v>Pass</v>
      </c>
      <c r="AE1035" s="1" t="str">
        <f>IF(AND(Table1[[#This Row],[Spec Type2]]="N/A",Table1[[#This Row],[DUT Adj Read]]="N/A",Table1[[#This Row],[Std Adj Read]]="N/A"),"N/A",IF(Table1[[#This Row],[DUT Adj Read]]="N/A",IF(Table1[[#This Row],[Std Adj Read]]&lt;Table1[[#This Row],[High Tol]],"Pass","Fail"),IF(Table1[[#This Row],[DUT Adj Read]]&lt;Table1[[#This Row],[High Tol]],"Pass","Fail")))</f>
        <v>Fail</v>
      </c>
      <c r="AF1035" s="1" t="str">
        <f>IF(AND(Table1[[#This Row],[Spec Type2]]="N/A",Table1[[#This Row],[DUT Adj Read]]="N/A",Table1[[#This Row],[Std Adj Read]]="N/A"),"N/A",IF(Table1[[#This Row],[DUT Adj Read]]="N/A",IF(Table1[[#This Row],[Std Adj Read]]&gt;=Table1[[#This Row],[Low Tol]],"Pass","Fail"),IF(Table1[[#This Row],[DUT Adj Read]]&gt;=Table1[[#This Row],[Low Tol]],"Pass","Fail")))</f>
        <v>Pass</v>
      </c>
      <c r="AG1035" s="1" t="str">
        <f>IF(AND(Table1[[#This Row],[Spec Type2]]="N/A",Table1[[#This Row],[DUT Adj Read]]="N/A",Table1[[#This Row],[Std Adj Read]]="N/A"),"N/A",IF(Table1[[#This Row],[DUT Adj Read]]="N/A",IF(Table1[[#This Row],[Std Adj Read]]&lt;=Table1[[#This Row],[High Tol]],"Pass","Fail"),IF(Table1[[#This Row],[DUT Adj Read]]&lt;=Table1[[#This Row],[High Tol]],"Pass","Fail")))</f>
        <v>Fail</v>
      </c>
      <c r="AH10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5" s="1" t="b">
        <v>0</v>
      </c>
      <c r="AN1035" s="1" t="b">
        <v>0</v>
      </c>
      <c r="AO1035" s="1" t="b">
        <v>0</v>
      </c>
    </row>
    <row r="1036" spans="1:41" x14ac:dyDescent="0.25">
      <c r="A1036" s="10"/>
      <c r="B1036" s="10"/>
      <c r="C1036" s="10"/>
      <c r="D1036" s="10"/>
      <c r="E1036" s="10"/>
      <c r="F1036" s="10"/>
      <c r="G1036" s="10"/>
      <c r="H1036" s="10"/>
      <c r="I1036" s="1" t="str">
        <f t="shared" si="48"/>
        <v/>
      </c>
      <c r="J1036" s="1" t="s">
        <v>35</v>
      </c>
      <c r="K1036" s="1" t="str">
        <f t="shared" si="49"/>
        <v/>
      </c>
      <c r="L1036" s="1" t="str">
        <f t="shared" si="50"/>
        <v/>
      </c>
      <c r="M1036" s="1">
        <f>IF(OR(Table1[[#This Row],[Std Nom]]="",Table1[[#This Row],[Std Read]]=""),0,Table1[[#This Row],[Std Nom]]-Table1[[#This Row],[Std Read]])</f>
        <v>0</v>
      </c>
      <c r="N1036" s="1">
        <f>IF(Calculations!$F$5="ACCREDITED 17025 WITH UNCERTAINTIES",$N$10,0)</f>
        <v>0</v>
      </c>
      <c r="Q1036" s="1">
        <f>Table1[[#This Row],[High Tol]]-Table1[[#This Row],[Low Tol]]</f>
        <v>0</v>
      </c>
      <c r="R1036" s="1">
        <f>2*Table1[[#This Row],[Std Error]]</f>
        <v>0</v>
      </c>
      <c r="S1036" s="1" t="str">
        <f>IF(Table1[[#This Row],[High Tol]]="","N/A",IFERROR(ABS(Table1[[#This Row],[Tol Span]]/Table1[[#This Row],[Error Span]]),"N/A"))</f>
        <v>N/A</v>
      </c>
      <c r="T1036" s="1" t="str">
        <f>IF(OR(Table1[[#This Row],[Low Tol]]="",Table1[[#This Row],[High Tol]]=""),"Needs Analysis",IF(Table1[[#This Row],[Ratio]]&gt;=4,"Not Significant",IF(Table1[[#This Row],[Ratio]]&gt;=2,"Semi-Significant","Significant")))</f>
        <v>Needs Analysis</v>
      </c>
      <c r="W1036" s="1">
        <f>IF(Table1[[#This Row],[Cal Type]]&lt;&gt;"ACCREDITED 17025 WITH UNCERTAINTIES",0,"")</f>
        <v>0</v>
      </c>
      <c r="X1036" s="1" t="str">
        <f>IF(Table1[[#This Row],[DUT Read]]="","N/A",Table1[[#This Row],[Std Error]]+Table1[[#This Row],[DUT Read]]+Table1[[#This Row],[DUT Ucty]])</f>
        <v>N/A</v>
      </c>
      <c r="Y1036" s="1" t="str">
        <f>IF(Table1[[#This Row],[Std Read]]="","N/A",Table1[[#This Row],[Std Read]]+Table1[[#This Row],[Std Ucty]])</f>
        <v>N/A</v>
      </c>
      <c r="Z10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6" s="1" t="str">
        <f>IF(Table1[[#This Row],[Spec Type]]="","N/A",Table1[[#This Row],[Spec Type]])</f>
        <v>±</v>
      </c>
      <c r="AC1036" s="1" t="str">
        <f>IF(Table1[[#This Row],[Spec Type2]]="N/A","N/A",IF(AND(Table1[[#This Row],[DUT Adj Read]]&gt;=Table1[[#This Row],[Low Tol]],Table1[[#This Row],[DUT Adj Read]]&lt;=Table1[[#This Row],[High Tol]]),"Pass","Fail"))</f>
        <v>Fail</v>
      </c>
      <c r="AD1036" s="1" t="str">
        <f>IF(AND(Table1[[#This Row],[Spec Type2]]="N/A",Table1[[#This Row],[DUT Adj Read]]="N/A",Table1[[#This Row],[Std Adj Read]]="N/A"),"N/A",IF(Table1[[#This Row],[DUT Adj Read]]="N/A",IF(Table1[[#This Row],[Std Adj Read]]&gt;Table1[[#This Row],[Low Tol]],"Pass","Fail"),IF(Table1[[#This Row],[DUT Adj Read]]&gt;Table1[[#This Row],[Low Tol]],"Pass","Fail")))</f>
        <v>Pass</v>
      </c>
      <c r="AE1036" s="1" t="str">
        <f>IF(AND(Table1[[#This Row],[Spec Type2]]="N/A",Table1[[#This Row],[DUT Adj Read]]="N/A",Table1[[#This Row],[Std Adj Read]]="N/A"),"N/A",IF(Table1[[#This Row],[DUT Adj Read]]="N/A",IF(Table1[[#This Row],[Std Adj Read]]&lt;Table1[[#This Row],[High Tol]],"Pass","Fail"),IF(Table1[[#This Row],[DUT Adj Read]]&lt;Table1[[#This Row],[High Tol]],"Pass","Fail")))</f>
        <v>Fail</v>
      </c>
      <c r="AF1036" s="1" t="str">
        <f>IF(AND(Table1[[#This Row],[Spec Type2]]="N/A",Table1[[#This Row],[DUT Adj Read]]="N/A",Table1[[#This Row],[Std Adj Read]]="N/A"),"N/A",IF(Table1[[#This Row],[DUT Adj Read]]="N/A",IF(Table1[[#This Row],[Std Adj Read]]&gt;=Table1[[#This Row],[Low Tol]],"Pass","Fail"),IF(Table1[[#This Row],[DUT Adj Read]]&gt;=Table1[[#This Row],[Low Tol]],"Pass","Fail")))</f>
        <v>Pass</v>
      </c>
      <c r="AG1036" s="1" t="str">
        <f>IF(AND(Table1[[#This Row],[Spec Type2]]="N/A",Table1[[#This Row],[DUT Adj Read]]="N/A",Table1[[#This Row],[Std Adj Read]]="N/A"),"N/A",IF(Table1[[#This Row],[DUT Adj Read]]="N/A",IF(Table1[[#This Row],[Std Adj Read]]&lt;=Table1[[#This Row],[High Tol]],"Pass","Fail"),IF(Table1[[#This Row],[DUT Adj Read]]&lt;=Table1[[#This Row],[High Tol]],"Pass","Fail")))</f>
        <v>Fail</v>
      </c>
      <c r="AH10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6" s="1" t="b">
        <v>0</v>
      </c>
      <c r="AN1036" s="1" t="b">
        <v>0</v>
      </c>
      <c r="AO1036" s="1" t="b">
        <v>0</v>
      </c>
    </row>
    <row r="1037" spans="1:41" x14ac:dyDescent="0.25">
      <c r="A1037" s="10"/>
      <c r="B1037" s="10"/>
      <c r="C1037" s="10"/>
      <c r="D1037" s="10"/>
      <c r="E1037" s="10"/>
      <c r="F1037" s="10"/>
      <c r="G1037" s="10"/>
      <c r="H1037" s="10"/>
      <c r="I1037" s="1" t="str">
        <f t="shared" si="48"/>
        <v/>
      </c>
      <c r="J1037" s="1" t="s">
        <v>35</v>
      </c>
      <c r="K1037" s="1" t="str">
        <f t="shared" si="49"/>
        <v/>
      </c>
      <c r="L1037" s="1" t="str">
        <f t="shared" si="50"/>
        <v/>
      </c>
      <c r="M1037" s="1">
        <f>IF(OR(Table1[[#This Row],[Std Nom]]="",Table1[[#This Row],[Std Read]]=""),0,Table1[[#This Row],[Std Nom]]-Table1[[#This Row],[Std Read]])</f>
        <v>0</v>
      </c>
      <c r="N1037" s="1">
        <f>IF(Calculations!$F$5="ACCREDITED 17025 WITH UNCERTAINTIES",$N$10,0)</f>
        <v>0</v>
      </c>
      <c r="Q1037" s="1">
        <f>Table1[[#This Row],[High Tol]]-Table1[[#This Row],[Low Tol]]</f>
        <v>0</v>
      </c>
      <c r="R1037" s="1">
        <f>2*Table1[[#This Row],[Std Error]]</f>
        <v>0</v>
      </c>
      <c r="S1037" s="1" t="str">
        <f>IF(Table1[[#This Row],[High Tol]]="","N/A",IFERROR(ABS(Table1[[#This Row],[Tol Span]]/Table1[[#This Row],[Error Span]]),"N/A"))</f>
        <v>N/A</v>
      </c>
      <c r="T1037" s="1" t="str">
        <f>IF(OR(Table1[[#This Row],[Low Tol]]="",Table1[[#This Row],[High Tol]]=""),"Needs Analysis",IF(Table1[[#This Row],[Ratio]]&gt;=4,"Not Significant",IF(Table1[[#This Row],[Ratio]]&gt;=2,"Semi-Significant","Significant")))</f>
        <v>Needs Analysis</v>
      </c>
      <c r="W1037" s="1">
        <f>IF(Table1[[#This Row],[Cal Type]]&lt;&gt;"ACCREDITED 17025 WITH UNCERTAINTIES",0,"")</f>
        <v>0</v>
      </c>
      <c r="X1037" s="1" t="str">
        <f>IF(Table1[[#This Row],[DUT Read]]="","N/A",Table1[[#This Row],[Std Error]]+Table1[[#This Row],[DUT Read]]+Table1[[#This Row],[DUT Ucty]])</f>
        <v>N/A</v>
      </c>
      <c r="Y1037" s="1" t="str">
        <f>IF(Table1[[#This Row],[Std Read]]="","N/A",Table1[[#This Row],[Std Read]]+Table1[[#This Row],[Std Ucty]])</f>
        <v>N/A</v>
      </c>
      <c r="Z10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7" s="1" t="str">
        <f>IF(Table1[[#This Row],[Spec Type]]="","N/A",Table1[[#This Row],[Spec Type]])</f>
        <v>±</v>
      </c>
      <c r="AC1037" s="1" t="str">
        <f>IF(Table1[[#This Row],[Spec Type2]]="N/A","N/A",IF(AND(Table1[[#This Row],[DUT Adj Read]]&gt;=Table1[[#This Row],[Low Tol]],Table1[[#This Row],[DUT Adj Read]]&lt;=Table1[[#This Row],[High Tol]]),"Pass","Fail"))</f>
        <v>Fail</v>
      </c>
      <c r="AD1037" s="1" t="str">
        <f>IF(AND(Table1[[#This Row],[Spec Type2]]="N/A",Table1[[#This Row],[DUT Adj Read]]="N/A",Table1[[#This Row],[Std Adj Read]]="N/A"),"N/A",IF(Table1[[#This Row],[DUT Adj Read]]="N/A",IF(Table1[[#This Row],[Std Adj Read]]&gt;Table1[[#This Row],[Low Tol]],"Pass","Fail"),IF(Table1[[#This Row],[DUT Adj Read]]&gt;Table1[[#This Row],[Low Tol]],"Pass","Fail")))</f>
        <v>Pass</v>
      </c>
      <c r="AE1037" s="1" t="str">
        <f>IF(AND(Table1[[#This Row],[Spec Type2]]="N/A",Table1[[#This Row],[DUT Adj Read]]="N/A",Table1[[#This Row],[Std Adj Read]]="N/A"),"N/A",IF(Table1[[#This Row],[DUT Adj Read]]="N/A",IF(Table1[[#This Row],[Std Adj Read]]&lt;Table1[[#This Row],[High Tol]],"Pass","Fail"),IF(Table1[[#This Row],[DUT Adj Read]]&lt;Table1[[#This Row],[High Tol]],"Pass","Fail")))</f>
        <v>Fail</v>
      </c>
      <c r="AF1037" s="1" t="str">
        <f>IF(AND(Table1[[#This Row],[Spec Type2]]="N/A",Table1[[#This Row],[DUT Adj Read]]="N/A",Table1[[#This Row],[Std Adj Read]]="N/A"),"N/A",IF(Table1[[#This Row],[DUT Adj Read]]="N/A",IF(Table1[[#This Row],[Std Adj Read]]&gt;=Table1[[#This Row],[Low Tol]],"Pass","Fail"),IF(Table1[[#This Row],[DUT Adj Read]]&gt;=Table1[[#This Row],[Low Tol]],"Pass","Fail")))</f>
        <v>Pass</v>
      </c>
      <c r="AG1037" s="1" t="str">
        <f>IF(AND(Table1[[#This Row],[Spec Type2]]="N/A",Table1[[#This Row],[DUT Adj Read]]="N/A",Table1[[#This Row],[Std Adj Read]]="N/A"),"N/A",IF(Table1[[#This Row],[DUT Adj Read]]="N/A",IF(Table1[[#This Row],[Std Adj Read]]&lt;=Table1[[#This Row],[High Tol]],"Pass","Fail"),IF(Table1[[#This Row],[DUT Adj Read]]&lt;=Table1[[#This Row],[High Tol]],"Pass","Fail")))</f>
        <v>Fail</v>
      </c>
      <c r="AH10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7" s="1" t="b">
        <v>0</v>
      </c>
      <c r="AN1037" s="1" t="b">
        <v>0</v>
      </c>
      <c r="AO1037" s="1" t="b">
        <v>0</v>
      </c>
    </row>
    <row r="1038" spans="1:41" x14ac:dyDescent="0.25">
      <c r="A1038" s="10"/>
      <c r="B1038" s="10"/>
      <c r="C1038" s="10"/>
      <c r="D1038" s="10"/>
      <c r="E1038" s="10"/>
      <c r="F1038" s="10"/>
      <c r="G1038" s="10"/>
      <c r="H1038" s="10"/>
      <c r="I1038" s="1" t="str">
        <f t="shared" si="48"/>
        <v/>
      </c>
      <c r="J1038" s="1" t="s">
        <v>35</v>
      </c>
      <c r="K1038" s="1" t="str">
        <f t="shared" si="49"/>
        <v/>
      </c>
      <c r="L1038" s="1" t="str">
        <f t="shared" si="50"/>
        <v/>
      </c>
      <c r="M1038" s="1">
        <f>IF(OR(Table1[[#This Row],[Std Nom]]="",Table1[[#This Row],[Std Read]]=""),0,Table1[[#This Row],[Std Nom]]-Table1[[#This Row],[Std Read]])</f>
        <v>0</v>
      </c>
      <c r="N1038" s="1">
        <f>IF(Calculations!$F$5="ACCREDITED 17025 WITH UNCERTAINTIES",$N$10,0)</f>
        <v>0</v>
      </c>
      <c r="Q1038" s="1">
        <f>Table1[[#This Row],[High Tol]]-Table1[[#This Row],[Low Tol]]</f>
        <v>0</v>
      </c>
      <c r="R1038" s="1">
        <f>2*Table1[[#This Row],[Std Error]]</f>
        <v>0</v>
      </c>
      <c r="S1038" s="1" t="str">
        <f>IF(Table1[[#This Row],[High Tol]]="","N/A",IFERROR(ABS(Table1[[#This Row],[Tol Span]]/Table1[[#This Row],[Error Span]]),"N/A"))</f>
        <v>N/A</v>
      </c>
      <c r="T1038" s="1" t="str">
        <f>IF(OR(Table1[[#This Row],[Low Tol]]="",Table1[[#This Row],[High Tol]]=""),"Needs Analysis",IF(Table1[[#This Row],[Ratio]]&gt;=4,"Not Significant",IF(Table1[[#This Row],[Ratio]]&gt;=2,"Semi-Significant","Significant")))</f>
        <v>Needs Analysis</v>
      </c>
      <c r="W1038" s="1">
        <f>IF(Table1[[#This Row],[Cal Type]]&lt;&gt;"ACCREDITED 17025 WITH UNCERTAINTIES",0,"")</f>
        <v>0</v>
      </c>
      <c r="X1038" s="1" t="str">
        <f>IF(Table1[[#This Row],[DUT Read]]="","N/A",Table1[[#This Row],[Std Error]]+Table1[[#This Row],[DUT Read]]+Table1[[#This Row],[DUT Ucty]])</f>
        <v>N/A</v>
      </c>
      <c r="Y1038" s="1" t="str">
        <f>IF(Table1[[#This Row],[Std Read]]="","N/A",Table1[[#This Row],[Std Read]]+Table1[[#This Row],[Std Ucty]])</f>
        <v>N/A</v>
      </c>
      <c r="Z10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8" s="1" t="str">
        <f>IF(Table1[[#This Row],[Spec Type]]="","N/A",Table1[[#This Row],[Spec Type]])</f>
        <v>±</v>
      </c>
      <c r="AC1038" s="1" t="str">
        <f>IF(Table1[[#This Row],[Spec Type2]]="N/A","N/A",IF(AND(Table1[[#This Row],[DUT Adj Read]]&gt;=Table1[[#This Row],[Low Tol]],Table1[[#This Row],[DUT Adj Read]]&lt;=Table1[[#This Row],[High Tol]]),"Pass","Fail"))</f>
        <v>Fail</v>
      </c>
      <c r="AD1038" s="1" t="str">
        <f>IF(AND(Table1[[#This Row],[Spec Type2]]="N/A",Table1[[#This Row],[DUT Adj Read]]="N/A",Table1[[#This Row],[Std Adj Read]]="N/A"),"N/A",IF(Table1[[#This Row],[DUT Adj Read]]="N/A",IF(Table1[[#This Row],[Std Adj Read]]&gt;Table1[[#This Row],[Low Tol]],"Pass","Fail"),IF(Table1[[#This Row],[DUT Adj Read]]&gt;Table1[[#This Row],[Low Tol]],"Pass","Fail")))</f>
        <v>Pass</v>
      </c>
      <c r="AE1038" s="1" t="str">
        <f>IF(AND(Table1[[#This Row],[Spec Type2]]="N/A",Table1[[#This Row],[DUT Adj Read]]="N/A",Table1[[#This Row],[Std Adj Read]]="N/A"),"N/A",IF(Table1[[#This Row],[DUT Adj Read]]="N/A",IF(Table1[[#This Row],[Std Adj Read]]&lt;Table1[[#This Row],[High Tol]],"Pass","Fail"),IF(Table1[[#This Row],[DUT Adj Read]]&lt;Table1[[#This Row],[High Tol]],"Pass","Fail")))</f>
        <v>Fail</v>
      </c>
      <c r="AF1038" s="1" t="str">
        <f>IF(AND(Table1[[#This Row],[Spec Type2]]="N/A",Table1[[#This Row],[DUT Adj Read]]="N/A",Table1[[#This Row],[Std Adj Read]]="N/A"),"N/A",IF(Table1[[#This Row],[DUT Adj Read]]="N/A",IF(Table1[[#This Row],[Std Adj Read]]&gt;=Table1[[#This Row],[Low Tol]],"Pass","Fail"),IF(Table1[[#This Row],[DUT Adj Read]]&gt;=Table1[[#This Row],[Low Tol]],"Pass","Fail")))</f>
        <v>Pass</v>
      </c>
      <c r="AG1038" s="1" t="str">
        <f>IF(AND(Table1[[#This Row],[Spec Type2]]="N/A",Table1[[#This Row],[DUT Adj Read]]="N/A",Table1[[#This Row],[Std Adj Read]]="N/A"),"N/A",IF(Table1[[#This Row],[DUT Adj Read]]="N/A",IF(Table1[[#This Row],[Std Adj Read]]&lt;=Table1[[#This Row],[High Tol]],"Pass","Fail"),IF(Table1[[#This Row],[DUT Adj Read]]&lt;=Table1[[#This Row],[High Tol]],"Pass","Fail")))</f>
        <v>Fail</v>
      </c>
      <c r="AH10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8" s="1" t="b">
        <v>0</v>
      </c>
      <c r="AN1038" s="1" t="b">
        <v>0</v>
      </c>
      <c r="AO1038" s="1" t="b">
        <v>0</v>
      </c>
    </row>
    <row r="1039" spans="1:41" x14ac:dyDescent="0.25">
      <c r="A1039" s="10"/>
      <c r="B1039" s="10"/>
      <c r="C1039" s="10"/>
      <c r="D1039" s="10"/>
      <c r="E1039" s="10"/>
      <c r="F1039" s="10"/>
      <c r="G1039" s="10"/>
      <c r="H1039" s="10"/>
      <c r="I1039" s="1" t="str">
        <f t="shared" si="48"/>
        <v/>
      </c>
      <c r="J1039" s="1" t="s">
        <v>35</v>
      </c>
      <c r="K1039" s="1" t="str">
        <f t="shared" si="49"/>
        <v/>
      </c>
      <c r="L1039" s="1" t="str">
        <f t="shared" si="50"/>
        <v/>
      </c>
      <c r="M1039" s="1">
        <f>IF(OR(Table1[[#This Row],[Std Nom]]="",Table1[[#This Row],[Std Read]]=""),0,Table1[[#This Row],[Std Nom]]-Table1[[#This Row],[Std Read]])</f>
        <v>0</v>
      </c>
      <c r="N1039" s="1">
        <f>IF(Calculations!$F$5="ACCREDITED 17025 WITH UNCERTAINTIES",$N$10,0)</f>
        <v>0</v>
      </c>
      <c r="Q1039" s="1">
        <f>Table1[[#This Row],[High Tol]]-Table1[[#This Row],[Low Tol]]</f>
        <v>0</v>
      </c>
      <c r="R1039" s="1">
        <f>2*Table1[[#This Row],[Std Error]]</f>
        <v>0</v>
      </c>
      <c r="S1039" s="1" t="str">
        <f>IF(Table1[[#This Row],[High Tol]]="","N/A",IFERROR(ABS(Table1[[#This Row],[Tol Span]]/Table1[[#This Row],[Error Span]]),"N/A"))</f>
        <v>N/A</v>
      </c>
      <c r="T1039" s="1" t="str">
        <f>IF(OR(Table1[[#This Row],[Low Tol]]="",Table1[[#This Row],[High Tol]]=""),"Needs Analysis",IF(Table1[[#This Row],[Ratio]]&gt;=4,"Not Significant",IF(Table1[[#This Row],[Ratio]]&gt;=2,"Semi-Significant","Significant")))</f>
        <v>Needs Analysis</v>
      </c>
      <c r="W1039" s="1">
        <f>IF(Table1[[#This Row],[Cal Type]]&lt;&gt;"ACCREDITED 17025 WITH UNCERTAINTIES",0,"")</f>
        <v>0</v>
      </c>
      <c r="X1039" s="1" t="str">
        <f>IF(Table1[[#This Row],[DUT Read]]="","N/A",Table1[[#This Row],[Std Error]]+Table1[[#This Row],[DUT Read]]+Table1[[#This Row],[DUT Ucty]])</f>
        <v>N/A</v>
      </c>
      <c r="Y1039" s="1" t="str">
        <f>IF(Table1[[#This Row],[Std Read]]="","N/A",Table1[[#This Row],[Std Read]]+Table1[[#This Row],[Std Ucty]])</f>
        <v>N/A</v>
      </c>
      <c r="Z10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39" s="1" t="str">
        <f>IF(Table1[[#This Row],[Spec Type]]="","N/A",Table1[[#This Row],[Spec Type]])</f>
        <v>±</v>
      </c>
      <c r="AC1039" s="1" t="str">
        <f>IF(Table1[[#This Row],[Spec Type2]]="N/A","N/A",IF(AND(Table1[[#This Row],[DUT Adj Read]]&gt;=Table1[[#This Row],[Low Tol]],Table1[[#This Row],[DUT Adj Read]]&lt;=Table1[[#This Row],[High Tol]]),"Pass","Fail"))</f>
        <v>Fail</v>
      </c>
      <c r="AD1039" s="1" t="str">
        <f>IF(AND(Table1[[#This Row],[Spec Type2]]="N/A",Table1[[#This Row],[DUT Adj Read]]="N/A",Table1[[#This Row],[Std Adj Read]]="N/A"),"N/A",IF(Table1[[#This Row],[DUT Adj Read]]="N/A",IF(Table1[[#This Row],[Std Adj Read]]&gt;Table1[[#This Row],[Low Tol]],"Pass","Fail"),IF(Table1[[#This Row],[DUT Adj Read]]&gt;Table1[[#This Row],[Low Tol]],"Pass","Fail")))</f>
        <v>Pass</v>
      </c>
      <c r="AE1039" s="1" t="str">
        <f>IF(AND(Table1[[#This Row],[Spec Type2]]="N/A",Table1[[#This Row],[DUT Adj Read]]="N/A",Table1[[#This Row],[Std Adj Read]]="N/A"),"N/A",IF(Table1[[#This Row],[DUT Adj Read]]="N/A",IF(Table1[[#This Row],[Std Adj Read]]&lt;Table1[[#This Row],[High Tol]],"Pass","Fail"),IF(Table1[[#This Row],[DUT Adj Read]]&lt;Table1[[#This Row],[High Tol]],"Pass","Fail")))</f>
        <v>Fail</v>
      </c>
      <c r="AF1039" s="1" t="str">
        <f>IF(AND(Table1[[#This Row],[Spec Type2]]="N/A",Table1[[#This Row],[DUT Adj Read]]="N/A",Table1[[#This Row],[Std Adj Read]]="N/A"),"N/A",IF(Table1[[#This Row],[DUT Adj Read]]="N/A",IF(Table1[[#This Row],[Std Adj Read]]&gt;=Table1[[#This Row],[Low Tol]],"Pass","Fail"),IF(Table1[[#This Row],[DUT Adj Read]]&gt;=Table1[[#This Row],[Low Tol]],"Pass","Fail")))</f>
        <v>Pass</v>
      </c>
      <c r="AG1039" s="1" t="str">
        <f>IF(AND(Table1[[#This Row],[Spec Type2]]="N/A",Table1[[#This Row],[DUT Adj Read]]="N/A",Table1[[#This Row],[Std Adj Read]]="N/A"),"N/A",IF(Table1[[#This Row],[DUT Adj Read]]="N/A",IF(Table1[[#This Row],[Std Adj Read]]&lt;=Table1[[#This Row],[High Tol]],"Pass","Fail"),IF(Table1[[#This Row],[DUT Adj Read]]&lt;=Table1[[#This Row],[High Tol]],"Pass","Fail")))</f>
        <v>Fail</v>
      </c>
      <c r="AH10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39" s="1" t="b">
        <v>0</v>
      </c>
      <c r="AN1039" s="1" t="b">
        <v>0</v>
      </c>
      <c r="AO1039" s="1" t="b">
        <v>0</v>
      </c>
    </row>
    <row r="1040" spans="1:41" x14ac:dyDescent="0.25">
      <c r="A1040" s="10"/>
      <c r="B1040" s="10"/>
      <c r="C1040" s="10"/>
      <c r="D1040" s="10"/>
      <c r="E1040" s="10"/>
      <c r="F1040" s="10"/>
      <c r="G1040" s="10"/>
      <c r="H1040" s="10"/>
      <c r="I1040" s="1" t="str">
        <f t="shared" si="48"/>
        <v/>
      </c>
      <c r="J1040" s="1" t="s">
        <v>35</v>
      </c>
      <c r="K1040" s="1" t="str">
        <f t="shared" si="49"/>
        <v/>
      </c>
      <c r="L1040" s="1" t="str">
        <f t="shared" si="50"/>
        <v/>
      </c>
      <c r="M1040" s="1">
        <f>IF(OR(Table1[[#This Row],[Std Nom]]="",Table1[[#This Row],[Std Read]]=""),0,Table1[[#This Row],[Std Nom]]-Table1[[#This Row],[Std Read]])</f>
        <v>0</v>
      </c>
      <c r="N1040" s="1">
        <f>IF(Calculations!$F$5="ACCREDITED 17025 WITH UNCERTAINTIES",$N$10,0)</f>
        <v>0</v>
      </c>
      <c r="Q1040" s="1">
        <f>Table1[[#This Row],[High Tol]]-Table1[[#This Row],[Low Tol]]</f>
        <v>0</v>
      </c>
      <c r="R1040" s="1">
        <f>2*Table1[[#This Row],[Std Error]]</f>
        <v>0</v>
      </c>
      <c r="S1040" s="1" t="str">
        <f>IF(Table1[[#This Row],[High Tol]]="","N/A",IFERROR(ABS(Table1[[#This Row],[Tol Span]]/Table1[[#This Row],[Error Span]]),"N/A"))</f>
        <v>N/A</v>
      </c>
      <c r="T1040" s="1" t="str">
        <f>IF(OR(Table1[[#This Row],[Low Tol]]="",Table1[[#This Row],[High Tol]]=""),"Needs Analysis",IF(Table1[[#This Row],[Ratio]]&gt;=4,"Not Significant",IF(Table1[[#This Row],[Ratio]]&gt;=2,"Semi-Significant","Significant")))</f>
        <v>Needs Analysis</v>
      </c>
      <c r="W1040" s="1">
        <f>IF(Table1[[#This Row],[Cal Type]]&lt;&gt;"ACCREDITED 17025 WITH UNCERTAINTIES",0,"")</f>
        <v>0</v>
      </c>
      <c r="X1040" s="1" t="str">
        <f>IF(Table1[[#This Row],[DUT Read]]="","N/A",Table1[[#This Row],[Std Error]]+Table1[[#This Row],[DUT Read]]+Table1[[#This Row],[DUT Ucty]])</f>
        <v>N/A</v>
      </c>
      <c r="Y1040" s="1" t="str">
        <f>IF(Table1[[#This Row],[Std Read]]="","N/A",Table1[[#This Row],[Std Read]]+Table1[[#This Row],[Std Ucty]])</f>
        <v>N/A</v>
      </c>
      <c r="Z10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0" s="1" t="str">
        <f>IF(Table1[[#This Row],[Spec Type]]="","N/A",Table1[[#This Row],[Spec Type]])</f>
        <v>±</v>
      </c>
      <c r="AC1040" s="1" t="str">
        <f>IF(Table1[[#This Row],[Spec Type2]]="N/A","N/A",IF(AND(Table1[[#This Row],[DUT Adj Read]]&gt;=Table1[[#This Row],[Low Tol]],Table1[[#This Row],[DUT Adj Read]]&lt;=Table1[[#This Row],[High Tol]]),"Pass","Fail"))</f>
        <v>Fail</v>
      </c>
      <c r="AD1040" s="1" t="str">
        <f>IF(AND(Table1[[#This Row],[Spec Type2]]="N/A",Table1[[#This Row],[DUT Adj Read]]="N/A",Table1[[#This Row],[Std Adj Read]]="N/A"),"N/A",IF(Table1[[#This Row],[DUT Adj Read]]="N/A",IF(Table1[[#This Row],[Std Adj Read]]&gt;Table1[[#This Row],[Low Tol]],"Pass","Fail"),IF(Table1[[#This Row],[DUT Adj Read]]&gt;Table1[[#This Row],[Low Tol]],"Pass","Fail")))</f>
        <v>Pass</v>
      </c>
      <c r="AE1040" s="1" t="str">
        <f>IF(AND(Table1[[#This Row],[Spec Type2]]="N/A",Table1[[#This Row],[DUT Adj Read]]="N/A",Table1[[#This Row],[Std Adj Read]]="N/A"),"N/A",IF(Table1[[#This Row],[DUT Adj Read]]="N/A",IF(Table1[[#This Row],[Std Adj Read]]&lt;Table1[[#This Row],[High Tol]],"Pass","Fail"),IF(Table1[[#This Row],[DUT Adj Read]]&lt;Table1[[#This Row],[High Tol]],"Pass","Fail")))</f>
        <v>Fail</v>
      </c>
      <c r="AF1040" s="1" t="str">
        <f>IF(AND(Table1[[#This Row],[Spec Type2]]="N/A",Table1[[#This Row],[DUT Adj Read]]="N/A",Table1[[#This Row],[Std Adj Read]]="N/A"),"N/A",IF(Table1[[#This Row],[DUT Adj Read]]="N/A",IF(Table1[[#This Row],[Std Adj Read]]&gt;=Table1[[#This Row],[Low Tol]],"Pass","Fail"),IF(Table1[[#This Row],[DUT Adj Read]]&gt;=Table1[[#This Row],[Low Tol]],"Pass","Fail")))</f>
        <v>Pass</v>
      </c>
      <c r="AG1040" s="1" t="str">
        <f>IF(AND(Table1[[#This Row],[Spec Type2]]="N/A",Table1[[#This Row],[DUT Adj Read]]="N/A",Table1[[#This Row],[Std Adj Read]]="N/A"),"N/A",IF(Table1[[#This Row],[DUT Adj Read]]="N/A",IF(Table1[[#This Row],[Std Adj Read]]&lt;=Table1[[#This Row],[High Tol]],"Pass","Fail"),IF(Table1[[#This Row],[DUT Adj Read]]&lt;=Table1[[#This Row],[High Tol]],"Pass","Fail")))</f>
        <v>Fail</v>
      </c>
      <c r="AH10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0" s="1" t="b">
        <v>0</v>
      </c>
      <c r="AN1040" s="1" t="b">
        <v>0</v>
      </c>
      <c r="AO1040" s="1" t="b">
        <v>0</v>
      </c>
    </row>
    <row r="1041" spans="1:41" x14ac:dyDescent="0.25">
      <c r="A1041" s="10"/>
      <c r="B1041" s="10"/>
      <c r="C1041" s="10"/>
      <c r="D1041" s="10"/>
      <c r="E1041" s="10"/>
      <c r="F1041" s="10"/>
      <c r="G1041" s="10"/>
      <c r="H1041" s="10"/>
      <c r="I1041" s="1" t="str">
        <f t="shared" si="48"/>
        <v/>
      </c>
      <c r="J1041" s="1" t="s">
        <v>35</v>
      </c>
      <c r="K1041" s="1" t="str">
        <f t="shared" si="49"/>
        <v/>
      </c>
      <c r="L1041" s="1" t="str">
        <f t="shared" si="50"/>
        <v/>
      </c>
      <c r="M1041" s="1">
        <f>IF(OR(Table1[[#This Row],[Std Nom]]="",Table1[[#This Row],[Std Read]]=""),0,Table1[[#This Row],[Std Nom]]-Table1[[#This Row],[Std Read]])</f>
        <v>0</v>
      </c>
      <c r="N1041" s="1">
        <f>IF(Calculations!$F$5="ACCREDITED 17025 WITH UNCERTAINTIES",$N$10,0)</f>
        <v>0</v>
      </c>
      <c r="Q1041" s="1">
        <f>Table1[[#This Row],[High Tol]]-Table1[[#This Row],[Low Tol]]</f>
        <v>0</v>
      </c>
      <c r="R1041" s="1">
        <f>2*Table1[[#This Row],[Std Error]]</f>
        <v>0</v>
      </c>
      <c r="S1041" s="1" t="str">
        <f>IF(Table1[[#This Row],[High Tol]]="","N/A",IFERROR(ABS(Table1[[#This Row],[Tol Span]]/Table1[[#This Row],[Error Span]]),"N/A"))</f>
        <v>N/A</v>
      </c>
      <c r="T1041" s="1" t="str">
        <f>IF(OR(Table1[[#This Row],[Low Tol]]="",Table1[[#This Row],[High Tol]]=""),"Needs Analysis",IF(Table1[[#This Row],[Ratio]]&gt;=4,"Not Significant",IF(Table1[[#This Row],[Ratio]]&gt;=2,"Semi-Significant","Significant")))</f>
        <v>Needs Analysis</v>
      </c>
      <c r="W1041" s="1">
        <f>IF(Table1[[#This Row],[Cal Type]]&lt;&gt;"ACCREDITED 17025 WITH UNCERTAINTIES",0,"")</f>
        <v>0</v>
      </c>
      <c r="X1041" s="1" t="str">
        <f>IF(Table1[[#This Row],[DUT Read]]="","N/A",Table1[[#This Row],[Std Error]]+Table1[[#This Row],[DUT Read]]+Table1[[#This Row],[DUT Ucty]])</f>
        <v>N/A</v>
      </c>
      <c r="Y1041" s="1" t="str">
        <f>IF(Table1[[#This Row],[Std Read]]="","N/A",Table1[[#This Row],[Std Read]]+Table1[[#This Row],[Std Ucty]])</f>
        <v>N/A</v>
      </c>
      <c r="Z10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1" s="1" t="str">
        <f>IF(Table1[[#This Row],[Spec Type]]="","N/A",Table1[[#This Row],[Spec Type]])</f>
        <v>±</v>
      </c>
      <c r="AC1041" s="1" t="str">
        <f>IF(Table1[[#This Row],[Spec Type2]]="N/A","N/A",IF(AND(Table1[[#This Row],[DUT Adj Read]]&gt;=Table1[[#This Row],[Low Tol]],Table1[[#This Row],[DUT Adj Read]]&lt;=Table1[[#This Row],[High Tol]]),"Pass","Fail"))</f>
        <v>Fail</v>
      </c>
      <c r="AD1041" s="1" t="str">
        <f>IF(AND(Table1[[#This Row],[Spec Type2]]="N/A",Table1[[#This Row],[DUT Adj Read]]="N/A",Table1[[#This Row],[Std Adj Read]]="N/A"),"N/A",IF(Table1[[#This Row],[DUT Adj Read]]="N/A",IF(Table1[[#This Row],[Std Adj Read]]&gt;Table1[[#This Row],[Low Tol]],"Pass","Fail"),IF(Table1[[#This Row],[DUT Adj Read]]&gt;Table1[[#This Row],[Low Tol]],"Pass","Fail")))</f>
        <v>Pass</v>
      </c>
      <c r="AE1041" s="1" t="str">
        <f>IF(AND(Table1[[#This Row],[Spec Type2]]="N/A",Table1[[#This Row],[DUT Adj Read]]="N/A",Table1[[#This Row],[Std Adj Read]]="N/A"),"N/A",IF(Table1[[#This Row],[DUT Adj Read]]="N/A",IF(Table1[[#This Row],[Std Adj Read]]&lt;Table1[[#This Row],[High Tol]],"Pass","Fail"),IF(Table1[[#This Row],[DUT Adj Read]]&lt;Table1[[#This Row],[High Tol]],"Pass","Fail")))</f>
        <v>Fail</v>
      </c>
      <c r="AF1041" s="1" t="str">
        <f>IF(AND(Table1[[#This Row],[Spec Type2]]="N/A",Table1[[#This Row],[DUT Adj Read]]="N/A",Table1[[#This Row],[Std Adj Read]]="N/A"),"N/A",IF(Table1[[#This Row],[DUT Adj Read]]="N/A",IF(Table1[[#This Row],[Std Adj Read]]&gt;=Table1[[#This Row],[Low Tol]],"Pass","Fail"),IF(Table1[[#This Row],[DUT Adj Read]]&gt;=Table1[[#This Row],[Low Tol]],"Pass","Fail")))</f>
        <v>Pass</v>
      </c>
      <c r="AG1041" s="1" t="str">
        <f>IF(AND(Table1[[#This Row],[Spec Type2]]="N/A",Table1[[#This Row],[DUT Adj Read]]="N/A",Table1[[#This Row],[Std Adj Read]]="N/A"),"N/A",IF(Table1[[#This Row],[DUT Adj Read]]="N/A",IF(Table1[[#This Row],[Std Adj Read]]&lt;=Table1[[#This Row],[High Tol]],"Pass","Fail"),IF(Table1[[#This Row],[DUT Adj Read]]&lt;=Table1[[#This Row],[High Tol]],"Pass","Fail")))</f>
        <v>Fail</v>
      </c>
      <c r="AH10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1" s="1" t="b">
        <v>0</v>
      </c>
      <c r="AN1041" s="1" t="b">
        <v>0</v>
      </c>
      <c r="AO1041" s="1" t="b">
        <v>0</v>
      </c>
    </row>
    <row r="1042" spans="1:41" x14ac:dyDescent="0.25">
      <c r="A1042" s="10"/>
      <c r="B1042" s="10"/>
      <c r="C1042" s="10"/>
      <c r="D1042" s="10"/>
      <c r="E1042" s="10"/>
      <c r="F1042" s="10"/>
      <c r="G1042" s="10"/>
      <c r="H1042" s="10"/>
      <c r="I1042" s="1" t="str">
        <f t="shared" si="48"/>
        <v/>
      </c>
      <c r="J1042" s="1" t="s">
        <v>35</v>
      </c>
      <c r="K1042" s="1" t="str">
        <f t="shared" si="49"/>
        <v/>
      </c>
      <c r="L1042" s="1" t="str">
        <f t="shared" si="50"/>
        <v/>
      </c>
      <c r="M1042" s="1">
        <f>IF(OR(Table1[[#This Row],[Std Nom]]="",Table1[[#This Row],[Std Read]]=""),0,Table1[[#This Row],[Std Nom]]-Table1[[#This Row],[Std Read]])</f>
        <v>0</v>
      </c>
      <c r="N1042" s="1">
        <f>IF(Calculations!$F$5="ACCREDITED 17025 WITH UNCERTAINTIES",$N$10,0)</f>
        <v>0</v>
      </c>
      <c r="Q1042" s="1">
        <f>Table1[[#This Row],[High Tol]]-Table1[[#This Row],[Low Tol]]</f>
        <v>0</v>
      </c>
      <c r="R1042" s="1">
        <f>2*Table1[[#This Row],[Std Error]]</f>
        <v>0</v>
      </c>
      <c r="S1042" s="1" t="str">
        <f>IF(Table1[[#This Row],[High Tol]]="","N/A",IFERROR(ABS(Table1[[#This Row],[Tol Span]]/Table1[[#This Row],[Error Span]]),"N/A"))</f>
        <v>N/A</v>
      </c>
      <c r="T1042" s="1" t="str">
        <f>IF(OR(Table1[[#This Row],[Low Tol]]="",Table1[[#This Row],[High Tol]]=""),"Needs Analysis",IF(Table1[[#This Row],[Ratio]]&gt;=4,"Not Significant",IF(Table1[[#This Row],[Ratio]]&gt;=2,"Semi-Significant","Significant")))</f>
        <v>Needs Analysis</v>
      </c>
      <c r="W1042" s="1">
        <f>IF(Table1[[#This Row],[Cal Type]]&lt;&gt;"ACCREDITED 17025 WITH UNCERTAINTIES",0,"")</f>
        <v>0</v>
      </c>
      <c r="X1042" s="1" t="str">
        <f>IF(Table1[[#This Row],[DUT Read]]="","N/A",Table1[[#This Row],[Std Error]]+Table1[[#This Row],[DUT Read]]+Table1[[#This Row],[DUT Ucty]])</f>
        <v>N/A</v>
      </c>
      <c r="Y1042" s="1" t="str">
        <f>IF(Table1[[#This Row],[Std Read]]="","N/A",Table1[[#This Row],[Std Read]]+Table1[[#This Row],[Std Ucty]])</f>
        <v>N/A</v>
      </c>
      <c r="Z10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2" s="1" t="str">
        <f>IF(Table1[[#This Row],[Spec Type]]="","N/A",Table1[[#This Row],[Spec Type]])</f>
        <v>±</v>
      </c>
      <c r="AC1042" s="1" t="str">
        <f>IF(Table1[[#This Row],[Spec Type2]]="N/A","N/A",IF(AND(Table1[[#This Row],[DUT Adj Read]]&gt;=Table1[[#This Row],[Low Tol]],Table1[[#This Row],[DUT Adj Read]]&lt;=Table1[[#This Row],[High Tol]]),"Pass","Fail"))</f>
        <v>Fail</v>
      </c>
      <c r="AD1042" s="1" t="str">
        <f>IF(AND(Table1[[#This Row],[Spec Type2]]="N/A",Table1[[#This Row],[DUT Adj Read]]="N/A",Table1[[#This Row],[Std Adj Read]]="N/A"),"N/A",IF(Table1[[#This Row],[DUT Adj Read]]="N/A",IF(Table1[[#This Row],[Std Adj Read]]&gt;Table1[[#This Row],[Low Tol]],"Pass","Fail"),IF(Table1[[#This Row],[DUT Adj Read]]&gt;Table1[[#This Row],[Low Tol]],"Pass","Fail")))</f>
        <v>Pass</v>
      </c>
      <c r="AE1042" s="1" t="str">
        <f>IF(AND(Table1[[#This Row],[Spec Type2]]="N/A",Table1[[#This Row],[DUT Adj Read]]="N/A",Table1[[#This Row],[Std Adj Read]]="N/A"),"N/A",IF(Table1[[#This Row],[DUT Adj Read]]="N/A",IF(Table1[[#This Row],[Std Adj Read]]&lt;Table1[[#This Row],[High Tol]],"Pass","Fail"),IF(Table1[[#This Row],[DUT Adj Read]]&lt;Table1[[#This Row],[High Tol]],"Pass","Fail")))</f>
        <v>Fail</v>
      </c>
      <c r="AF1042" s="1" t="str">
        <f>IF(AND(Table1[[#This Row],[Spec Type2]]="N/A",Table1[[#This Row],[DUT Adj Read]]="N/A",Table1[[#This Row],[Std Adj Read]]="N/A"),"N/A",IF(Table1[[#This Row],[DUT Adj Read]]="N/A",IF(Table1[[#This Row],[Std Adj Read]]&gt;=Table1[[#This Row],[Low Tol]],"Pass","Fail"),IF(Table1[[#This Row],[DUT Adj Read]]&gt;=Table1[[#This Row],[Low Tol]],"Pass","Fail")))</f>
        <v>Pass</v>
      </c>
      <c r="AG1042" s="1" t="str">
        <f>IF(AND(Table1[[#This Row],[Spec Type2]]="N/A",Table1[[#This Row],[DUT Adj Read]]="N/A",Table1[[#This Row],[Std Adj Read]]="N/A"),"N/A",IF(Table1[[#This Row],[DUT Adj Read]]="N/A",IF(Table1[[#This Row],[Std Adj Read]]&lt;=Table1[[#This Row],[High Tol]],"Pass","Fail"),IF(Table1[[#This Row],[DUT Adj Read]]&lt;=Table1[[#This Row],[High Tol]],"Pass","Fail")))</f>
        <v>Fail</v>
      </c>
      <c r="AH10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2" s="1" t="b">
        <v>0</v>
      </c>
      <c r="AN1042" s="1" t="b">
        <v>0</v>
      </c>
      <c r="AO1042" s="1" t="b">
        <v>0</v>
      </c>
    </row>
    <row r="1043" spans="1:41" x14ac:dyDescent="0.25">
      <c r="A1043" s="10"/>
      <c r="B1043" s="10"/>
      <c r="C1043" s="10"/>
      <c r="D1043" s="10"/>
      <c r="E1043" s="10"/>
      <c r="F1043" s="10"/>
      <c r="G1043" s="10"/>
      <c r="H1043" s="10"/>
      <c r="I1043" s="1" t="str">
        <f t="shared" si="48"/>
        <v/>
      </c>
      <c r="J1043" s="1" t="s">
        <v>35</v>
      </c>
      <c r="K1043" s="1" t="str">
        <f t="shared" si="49"/>
        <v/>
      </c>
      <c r="L1043" s="1" t="str">
        <f t="shared" si="50"/>
        <v/>
      </c>
      <c r="M1043" s="1">
        <f>IF(OR(Table1[[#This Row],[Std Nom]]="",Table1[[#This Row],[Std Read]]=""),0,Table1[[#This Row],[Std Nom]]-Table1[[#This Row],[Std Read]])</f>
        <v>0</v>
      </c>
      <c r="N1043" s="1">
        <f>IF(Calculations!$F$5="ACCREDITED 17025 WITH UNCERTAINTIES",$N$10,0)</f>
        <v>0</v>
      </c>
      <c r="Q1043" s="1">
        <f>Table1[[#This Row],[High Tol]]-Table1[[#This Row],[Low Tol]]</f>
        <v>0</v>
      </c>
      <c r="R1043" s="1">
        <f>2*Table1[[#This Row],[Std Error]]</f>
        <v>0</v>
      </c>
      <c r="S1043" s="1" t="str">
        <f>IF(Table1[[#This Row],[High Tol]]="","N/A",IFERROR(ABS(Table1[[#This Row],[Tol Span]]/Table1[[#This Row],[Error Span]]),"N/A"))</f>
        <v>N/A</v>
      </c>
      <c r="T1043" s="1" t="str">
        <f>IF(OR(Table1[[#This Row],[Low Tol]]="",Table1[[#This Row],[High Tol]]=""),"Needs Analysis",IF(Table1[[#This Row],[Ratio]]&gt;=4,"Not Significant",IF(Table1[[#This Row],[Ratio]]&gt;=2,"Semi-Significant","Significant")))</f>
        <v>Needs Analysis</v>
      </c>
      <c r="W1043" s="1">
        <f>IF(Table1[[#This Row],[Cal Type]]&lt;&gt;"ACCREDITED 17025 WITH UNCERTAINTIES",0,"")</f>
        <v>0</v>
      </c>
      <c r="X1043" s="1" t="str">
        <f>IF(Table1[[#This Row],[DUT Read]]="","N/A",Table1[[#This Row],[Std Error]]+Table1[[#This Row],[DUT Read]]+Table1[[#This Row],[DUT Ucty]])</f>
        <v>N/A</v>
      </c>
      <c r="Y1043" s="1" t="str">
        <f>IF(Table1[[#This Row],[Std Read]]="","N/A",Table1[[#This Row],[Std Read]]+Table1[[#This Row],[Std Ucty]])</f>
        <v>N/A</v>
      </c>
      <c r="Z10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3" s="1" t="str">
        <f>IF(Table1[[#This Row],[Spec Type]]="","N/A",Table1[[#This Row],[Spec Type]])</f>
        <v>±</v>
      </c>
      <c r="AC1043" s="1" t="str">
        <f>IF(Table1[[#This Row],[Spec Type2]]="N/A","N/A",IF(AND(Table1[[#This Row],[DUT Adj Read]]&gt;=Table1[[#This Row],[Low Tol]],Table1[[#This Row],[DUT Adj Read]]&lt;=Table1[[#This Row],[High Tol]]),"Pass","Fail"))</f>
        <v>Fail</v>
      </c>
      <c r="AD1043" s="1" t="str">
        <f>IF(AND(Table1[[#This Row],[Spec Type2]]="N/A",Table1[[#This Row],[DUT Adj Read]]="N/A",Table1[[#This Row],[Std Adj Read]]="N/A"),"N/A",IF(Table1[[#This Row],[DUT Adj Read]]="N/A",IF(Table1[[#This Row],[Std Adj Read]]&gt;Table1[[#This Row],[Low Tol]],"Pass","Fail"),IF(Table1[[#This Row],[DUT Adj Read]]&gt;Table1[[#This Row],[Low Tol]],"Pass","Fail")))</f>
        <v>Pass</v>
      </c>
      <c r="AE1043" s="1" t="str">
        <f>IF(AND(Table1[[#This Row],[Spec Type2]]="N/A",Table1[[#This Row],[DUT Adj Read]]="N/A",Table1[[#This Row],[Std Adj Read]]="N/A"),"N/A",IF(Table1[[#This Row],[DUT Adj Read]]="N/A",IF(Table1[[#This Row],[Std Adj Read]]&lt;Table1[[#This Row],[High Tol]],"Pass","Fail"),IF(Table1[[#This Row],[DUT Adj Read]]&lt;Table1[[#This Row],[High Tol]],"Pass","Fail")))</f>
        <v>Fail</v>
      </c>
      <c r="AF1043" s="1" t="str">
        <f>IF(AND(Table1[[#This Row],[Spec Type2]]="N/A",Table1[[#This Row],[DUT Adj Read]]="N/A",Table1[[#This Row],[Std Adj Read]]="N/A"),"N/A",IF(Table1[[#This Row],[DUT Adj Read]]="N/A",IF(Table1[[#This Row],[Std Adj Read]]&gt;=Table1[[#This Row],[Low Tol]],"Pass","Fail"),IF(Table1[[#This Row],[DUT Adj Read]]&gt;=Table1[[#This Row],[Low Tol]],"Pass","Fail")))</f>
        <v>Pass</v>
      </c>
      <c r="AG1043" s="1" t="str">
        <f>IF(AND(Table1[[#This Row],[Spec Type2]]="N/A",Table1[[#This Row],[DUT Adj Read]]="N/A",Table1[[#This Row],[Std Adj Read]]="N/A"),"N/A",IF(Table1[[#This Row],[DUT Adj Read]]="N/A",IF(Table1[[#This Row],[Std Adj Read]]&lt;=Table1[[#This Row],[High Tol]],"Pass","Fail"),IF(Table1[[#This Row],[DUT Adj Read]]&lt;=Table1[[#This Row],[High Tol]],"Pass","Fail")))</f>
        <v>Fail</v>
      </c>
      <c r="AH10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3" s="1" t="b">
        <v>0</v>
      </c>
      <c r="AN1043" s="1" t="b">
        <v>0</v>
      </c>
      <c r="AO1043" s="1" t="b">
        <v>0</v>
      </c>
    </row>
    <row r="1044" spans="1:41" x14ac:dyDescent="0.25">
      <c r="A1044" s="10"/>
      <c r="B1044" s="10"/>
      <c r="C1044" s="10"/>
      <c r="D1044" s="10"/>
      <c r="E1044" s="10"/>
      <c r="F1044" s="10"/>
      <c r="G1044" s="10"/>
      <c r="H1044" s="10"/>
      <c r="I1044" s="1" t="str">
        <f t="shared" si="48"/>
        <v/>
      </c>
      <c r="J1044" s="1" t="s">
        <v>35</v>
      </c>
      <c r="K1044" s="1" t="str">
        <f t="shared" si="49"/>
        <v/>
      </c>
      <c r="L1044" s="1" t="str">
        <f t="shared" si="50"/>
        <v/>
      </c>
      <c r="M1044" s="1">
        <f>IF(OR(Table1[[#This Row],[Std Nom]]="",Table1[[#This Row],[Std Read]]=""),0,Table1[[#This Row],[Std Nom]]-Table1[[#This Row],[Std Read]])</f>
        <v>0</v>
      </c>
      <c r="N1044" s="1">
        <f>IF(Calculations!$F$5="ACCREDITED 17025 WITH UNCERTAINTIES",$N$10,0)</f>
        <v>0</v>
      </c>
      <c r="Q1044" s="1">
        <f>Table1[[#This Row],[High Tol]]-Table1[[#This Row],[Low Tol]]</f>
        <v>0</v>
      </c>
      <c r="R1044" s="1">
        <f>2*Table1[[#This Row],[Std Error]]</f>
        <v>0</v>
      </c>
      <c r="S1044" s="1" t="str">
        <f>IF(Table1[[#This Row],[High Tol]]="","N/A",IFERROR(ABS(Table1[[#This Row],[Tol Span]]/Table1[[#This Row],[Error Span]]),"N/A"))</f>
        <v>N/A</v>
      </c>
      <c r="T1044" s="1" t="str">
        <f>IF(OR(Table1[[#This Row],[Low Tol]]="",Table1[[#This Row],[High Tol]]=""),"Needs Analysis",IF(Table1[[#This Row],[Ratio]]&gt;=4,"Not Significant",IF(Table1[[#This Row],[Ratio]]&gt;=2,"Semi-Significant","Significant")))</f>
        <v>Needs Analysis</v>
      </c>
      <c r="W1044" s="1">
        <f>IF(Table1[[#This Row],[Cal Type]]&lt;&gt;"ACCREDITED 17025 WITH UNCERTAINTIES",0,"")</f>
        <v>0</v>
      </c>
      <c r="X1044" s="1" t="str">
        <f>IF(Table1[[#This Row],[DUT Read]]="","N/A",Table1[[#This Row],[Std Error]]+Table1[[#This Row],[DUT Read]]+Table1[[#This Row],[DUT Ucty]])</f>
        <v>N/A</v>
      </c>
      <c r="Y1044" s="1" t="str">
        <f>IF(Table1[[#This Row],[Std Read]]="","N/A",Table1[[#This Row],[Std Read]]+Table1[[#This Row],[Std Ucty]])</f>
        <v>N/A</v>
      </c>
      <c r="Z10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4" s="1" t="str">
        <f>IF(Table1[[#This Row],[Spec Type]]="","N/A",Table1[[#This Row],[Spec Type]])</f>
        <v>±</v>
      </c>
      <c r="AC1044" s="1" t="str">
        <f>IF(Table1[[#This Row],[Spec Type2]]="N/A","N/A",IF(AND(Table1[[#This Row],[DUT Adj Read]]&gt;=Table1[[#This Row],[Low Tol]],Table1[[#This Row],[DUT Adj Read]]&lt;=Table1[[#This Row],[High Tol]]),"Pass","Fail"))</f>
        <v>Fail</v>
      </c>
      <c r="AD1044" s="1" t="str">
        <f>IF(AND(Table1[[#This Row],[Spec Type2]]="N/A",Table1[[#This Row],[DUT Adj Read]]="N/A",Table1[[#This Row],[Std Adj Read]]="N/A"),"N/A",IF(Table1[[#This Row],[DUT Adj Read]]="N/A",IF(Table1[[#This Row],[Std Adj Read]]&gt;Table1[[#This Row],[Low Tol]],"Pass","Fail"),IF(Table1[[#This Row],[DUT Adj Read]]&gt;Table1[[#This Row],[Low Tol]],"Pass","Fail")))</f>
        <v>Pass</v>
      </c>
      <c r="AE1044" s="1" t="str">
        <f>IF(AND(Table1[[#This Row],[Spec Type2]]="N/A",Table1[[#This Row],[DUT Adj Read]]="N/A",Table1[[#This Row],[Std Adj Read]]="N/A"),"N/A",IF(Table1[[#This Row],[DUT Adj Read]]="N/A",IF(Table1[[#This Row],[Std Adj Read]]&lt;Table1[[#This Row],[High Tol]],"Pass","Fail"),IF(Table1[[#This Row],[DUT Adj Read]]&lt;Table1[[#This Row],[High Tol]],"Pass","Fail")))</f>
        <v>Fail</v>
      </c>
      <c r="AF1044" s="1" t="str">
        <f>IF(AND(Table1[[#This Row],[Spec Type2]]="N/A",Table1[[#This Row],[DUT Adj Read]]="N/A",Table1[[#This Row],[Std Adj Read]]="N/A"),"N/A",IF(Table1[[#This Row],[DUT Adj Read]]="N/A",IF(Table1[[#This Row],[Std Adj Read]]&gt;=Table1[[#This Row],[Low Tol]],"Pass","Fail"),IF(Table1[[#This Row],[DUT Adj Read]]&gt;=Table1[[#This Row],[Low Tol]],"Pass","Fail")))</f>
        <v>Pass</v>
      </c>
      <c r="AG1044" s="1" t="str">
        <f>IF(AND(Table1[[#This Row],[Spec Type2]]="N/A",Table1[[#This Row],[DUT Adj Read]]="N/A",Table1[[#This Row],[Std Adj Read]]="N/A"),"N/A",IF(Table1[[#This Row],[DUT Adj Read]]="N/A",IF(Table1[[#This Row],[Std Adj Read]]&lt;=Table1[[#This Row],[High Tol]],"Pass","Fail"),IF(Table1[[#This Row],[DUT Adj Read]]&lt;=Table1[[#This Row],[High Tol]],"Pass","Fail")))</f>
        <v>Fail</v>
      </c>
      <c r="AH10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4" s="1" t="b">
        <v>0</v>
      </c>
      <c r="AN1044" s="1" t="b">
        <v>0</v>
      </c>
      <c r="AO1044" s="1" t="b">
        <v>0</v>
      </c>
    </row>
    <row r="1045" spans="1:41" x14ac:dyDescent="0.25">
      <c r="A1045" s="10"/>
      <c r="B1045" s="10"/>
      <c r="C1045" s="10"/>
      <c r="D1045" s="10"/>
      <c r="E1045" s="10"/>
      <c r="F1045" s="10"/>
      <c r="G1045" s="10"/>
      <c r="H1045" s="10"/>
      <c r="I1045" s="1" t="str">
        <f t="shared" si="48"/>
        <v/>
      </c>
      <c r="J1045" s="1" t="s">
        <v>35</v>
      </c>
      <c r="K1045" s="1" t="str">
        <f t="shared" si="49"/>
        <v/>
      </c>
      <c r="L1045" s="1" t="str">
        <f t="shared" si="50"/>
        <v/>
      </c>
      <c r="M1045" s="1">
        <f>IF(OR(Table1[[#This Row],[Std Nom]]="",Table1[[#This Row],[Std Read]]=""),0,Table1[[#This Row],[Std Nom]]-Table1[[#This Row],[Std Read]])</f>
        <v>0</v>
      </c>
      <c r="N1045" s="1">
        <f>IF(Calculations!$F$5="ACCREDITED 17025 WITH UNCERTAINTIES",$N$10,0)</f>
        <v>0</v>
      </c>
      <c r="Q1045" s="1">
        <f>Table1[[#This Row],[High Tol]]-Table1[[#This Row],[Low Tol]]</f>
        <v>0</v>
      </c>
      <c r="R1045" s="1">
        <f>2*Table1[[#This Row],[Std Error]]</f>
        <v>0</v>
      </c>
      <c r="S1045" s="1" t="str">
        <f>IF(Table1[[#This Row],[High Tol]]="","N/A",IFERROR(ABS(Table1[[#This Row],[Tol Span]]/Table1[[#This Row],[Error Span]]),"N/A"))</f>
        <v>N/A</v>
      </c>
      <c r="T1045" s="1" t="str">
        <f>IF(OR(Table1[[#This Row],[Low Tol]]="",Table1[[#This Row],[High Tol]]=""),"Needs Analysis",IF(Table1[[#This Row],[Ratio]]&gt;=4,"Not Significant",IF(Table1[[#This Row],[Ratio]]&gt;=2,"Semi-Significant","Significant")))</f>
        <v>Needs Analysis</v>
      </c>
      <c r="W1045" s="1">
        <f>IF(Table1[[#This Row],[Cal Type]]&lt;&gt;"ACCREDITED 17025 WITH UNCERTAINTIES",0,"")</f>
        <v>0</v>
      </c>
      <c r="X1045" s="1" t="str">
        <f>IF(Table1[[#This Row],[DUT Read]]="","N/A",Table1[[#This Row],[Std Error]]+Table1[[#This Row],[DUT Read]]+Table1[[#This Row],[DUT Ucty]])</f>
        <v>N/A</v>
      </c>
      <c r="Y1045" s="1" t="str">
        <f>IF(Table1[[#This Row],[Std Read]]="","N/A",Table1[[#This Row],[Std Read]]+Table1[[#This Row],[Std Ucty]])</f>
        <v>N/A</v>
      </c>
      <c r="Z10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5" s="1" t="str">
        <f>IF(Table1[[#This Row],[Spec Type]]="","N/A",Table1[[#This Row],[Spec Type]])</f>
        <v>±</v>
      </c>
      <c r="AC1045" s="1" t="str">
        <f>IF(Table1[[#This Row],[Spec Type2]]="N/A","N/A",IF(AND(Table1[[#This Row],[DUT Adj Read]]&gt;=Table1[[#This Row],[Low Tol]],Table1[[#This Row],[DUT Adj Read]]&lt;=Table1[[#This Row],[High Tol]]),"Pass","Fail"))</f>
        <v>Fail</v>
      </c>
      <c r="AD1045" s="1" t="str">
        <f>IF(AND(Table1[[#This Row],[Spec Type2]]="N/A",Table1[[#This Row],[DUT Adj Read]]="N/A",Table1[[#This Row],[Std Adj Read]]="N/A"),"N/A",IF(Table1[[#This Row],[DUT Adj Read]]="N/A",IF(Table1[[#This Row],[Std Adj Read]]&gt;Table1[[#This Row],[Low Tol]],"Pass","Fail"),IF(Table1[[#This Row],[DUT Adj Read]]&gt;Table1[[#This Row],[Low Tol]],"Pass","Fail")))</f>
        <v>Pass</v>
      </c>
      <c r="AE1045" s="1" t="str">
        <f>IF(AND(Table1[[#This Row],[Spec Type2]]="N/A",Table1[[#This Row],[DUT Adj Read]]="N/A",Table1[[#This Row],[Std Adj Read]]="N/A"),"N/A",IF(Table1[[#This Row],[DUT Adj Read]]="N/A",IF(Table1[[#This Row],[Std Adj Read]]&lt;Table1[[#This Row],[High Tol]],"Pass","Fail"),IF(Table1[[#This Row],[DUT Adj Read]]&lt;Table1[[#This Row],[High Tol]],"Pass","Fail")))</f>
        <v>Fail</v>
      </c>
      <c r="AF1045" s="1" t="str">
        <f>IF(AND(Table1[[#This Row],[Spec Type2]]="N/A",Table1[[#This Row],[DUT Adj Read]]="N/A",Table1[[#This Row],[Std Adj Read]]="N/A"),"N/A",IF(Table1[[#This Row],[DUT Adj Read]]="N/A",IF(Table1[[#This Row],[Std Adj Read]]&gt;=Table1[[#This Row],[Low Tol]],"Pass","Fail"),IF(Table1[[#This Row],[DUT Adj Read]]&gt;=Table1[[#This Row],[Low Tol]],"Pass","Fail")))</f>
        <v>Pass</v>
      </c>
      <c r="AG1045" s="1" t="str">
        <f>IF(AND(Table1[[#This Row],[Spec Type2]]="N/A",Table1[[#This Row],[DUT Adj Read]]="N/A",Table1[[#This Row],[Std Adj Read]]="N/A"),"N/A",IF(Table1[[#This Row],[DUT Adj Read]]="N/A",IF(Table1[[#This Row],[Std Adj Read]]&lt;=Table1[[#This Row],[High Tol]],"Pass","Fail"),IF(Table1[[#This Row],[DUT Adj Read]]&lt;=Table1[[#This Row],[High Tol]],"Pass","Fail")))</f>
        <v>Fail</v>
      </c>
      <c r="AH10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5" s="1" t="b">
        <v>0</v>
      </c>
      <c r="AN1045" s="1" t="b">
        <v>0</v>
      </c>
      <c r="AO1045" s="1" t="b">
        <v>0</v>
      </c>
    </row>
    <row r="1046" spans="1:41" x14ac:dyDescent="0.25">
      <c r="A1046" s="10"/>
      <c r="B1046" s="10"/>
      <c r="C1046" s="10"/>
      <c r="D1046" s="10"/>
      <c r="E1046" s="10"/>
      <c r="F1046" s="10"/>
      <c r="G1046" s="10"/>
      <c r="H1046" s="10"/>
      <c r="I1046" s="1" t="str">
        <f t="shared" si="48"/>
        <v/>
      </c>
      <c r="J1046" s="1" t="s">
        <v>35</v>
      </c>
      <c r="K1046" s="1" t="str">
        <f t="shared" si="49"/>
        <v/>
      </c>
      <c r="L1046" s="1" t="str">
        <f t="shared" si="50"/>
        <v/>
      </c>
      <c r="M1046" s="1">
        <f>IF(OR(Table1[[#This Row],[Std Nom]]="",Table1[[#This Row],[Std Read]]=""),0,Table1[[#This Row],[Std Nom]]-Table1[[#This Row],[Std Read]])</f>
        <v>0</v>
      </c>
      <c r="N1046" s="1">
        <f>IF(Calculations!$F$5="ACCREDITED 17025 WITH UNCERTAINTIES",$N$10,0)</f>
        <v>0</v>
      </c>
      <c r="Q1046" s="1">
        <f>Table1[[#This Row],[High Tol]]-Table1[[#This Row],[Low Tol]]</f>
        <v>0</v>
      </c>
      <c r="R1046" s="1">
        <f>2*Table1[[#This Row],[Std Error]]</f>
        <v>0</v>
      </c>
      <c r="S1046" s="1" t="str">
        <f>IF(Table1[[#This Row],[High Tol]]="","N/A",IFERROR(ABS(Table1[[#This Row],[Tol Span]]/Table1[[#This Row],[Error Span]]),"N/A"))</f>
        <v>N/A</v>
      </c>
      <c r="T1046" s="1" t="str">
        <f>IF(OR(Table1[[#This Row],[Low Tol]]="",Table1[[#This Row],[High Tol]]=""),"Needs Analysis",IF(Table1[[#This Row],[Ratio]]&gt;=4,"Not Significant",IF(Table1[[#This Row],[Ratio]]&gt;=2,"Semi-Significant","Significant")))</f>
        <v>Needs Analysis</v>
      </c>
      <c r="W1046" s="1">
        <f>IF(Table1[[#This Row],[Cal Type]]&lt;&gt;"ACCREDITED 17025 WITH UNCERTAINTIES",0,"")</f>
        <v>0</v>
      </c>
      <c r="X1046" s="1" t="str">
        <f>IF(Table1[[#This Row],[DUT Read]]="","N/A",Table1[[#This Row],[Std Error]]+Table1[[#This Row],[DUT Read]]+Table1[[#This Row],[DUT Ucty]])</f>
        <v>N/A</v>
      </c>
      <c r="Y1046" s="1" t="str">
        <f>IF(Table1[[#This Row],[Std Read]]="","N/A",Table1[[#This Row],[Std Read]]+Table1[[#This Row],[Std Ucty]])</f>
        <v>N/A</v>
      </c>
      <c r="Z10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6" s="1" t="str">
        <f>IF(Table1[[#This Row],[Spec Type]]="","N/A",Table1[[#This Row],[Spec Type]])</f>
        <v>±</v>
      </c>
      <c r="AC1046" s="1" t="str">
        <f>IF(Table1[[#This Row],[Spec Type2]]="N/A","N/A",IF(AND(Table1[[#This Row],[DUT Adj Read]]&gt;=Table1[[#This Row],[Low Tol]],Table1[[#This Row],[DUT Adj Read]]&lt;=Table1[[#This Row],[High Tol]]),"Pass","Fail"))</f>
        <v>Fail</v>
      </c>
      <c r="AD1046" s="1" t="str">
        <f>IF(AND(Table1[[#This Row],[Spec Type2]]="N/A",Table1[[#This Row],[DUT Adj Read]]="N/A",Table1[[#This Row],[Std Adj Read]]="N/A"),"N/A",IF(Table1[[#This Row],[DUT Adj Read]]="N/A",IF(Table1[[#This Row],[Std Adj Read]]&gt;Table1[[#This Row],[Low Tol]],"Pass","Fail"),IF(Table1[[#This Row],[DUT Adj Read]]&gt;Table1[[#This Row],[Low Tol]],"Pass","Fail")))</f>
        <v>Pass</v>
      </c>
      <c r="AE1046" s="1" t="str">
        <f>IF(AND(Table1[[#This Row],[Spec Type2]]="N/A",Table1[[#This Row],[DUT Adj Read]]="N/A",Table1[[#This Row],[Std Adj Read]]="N/A"),"N/A",IF(Table1[[#This Row],[DUT Adj Read]]="N/A",IF(Table1[[#This Row],[Std Adj Read]]&lt;Table1[[#This Row],[High Tol]],"Pass","Fail"),IF(Table1[[#This Row],[DUT Adj Read]]&lt;Table1[[#This Row],[High Tol]],"Pass","Fail")))</f>
        <v>Fail</v>
      </c>
      <c r="AF1046" s="1" t="str">
        <f>IF(AND(Table1[[#This Row],[Spec Type2]]="N/A",Table1[[#This Row],[DUT Adj Read]]="N/A",Table1[[#This Row],[Std Adj Read]]="N/A"),"N/A",IF(Table1[[#This Row],[DUT Adj Read]]="N/A",IF(Table1[[#This Row],[Std Adj Read]]&gt;=Table1[[#This Row],[Low Tol]],"Pass","Fail"),IF(Table1[[#This Row],[DUT Adj Read]]&gt;=Table1[[#This Row],[Low Tol]],"Pass","Fail")))</f>
        <v>Pass</v>
      </c>
      <c r="AG1046" s="1" t="str">
        <f>IF(AND(Table1[[#This Row],[Spec Type2]]="N/A",Table1[[#This Row],[DUT Adj Read]]="N/A",Table1[[#This Row],[Std Adj Read]]="N/A"),"N/A",IF(Table1[[#This Row],[DUT Adj Read]]="N/A",IF(Table1[[#This Row],[Std Adj Read]]&lt;=Table1[[#This Row],[High Tol]],"Pass","Fail"),IF(Table1[[#This Row],[DUT Adj Read]]&lt;=Table1[[#This Row],[High Tol]],"Pass","Fail")))</f>
        <v>Fail</v>
      </c>
      <c r="AH10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6" s="1" t="b">
        <v>0</v>
      </c>
      <c r="AN1046" s="1" t="b">
        <v>0</v>
      </c>
      <c r="AO1046" s="1" t="b">
        <v>0</v>
      </c>
    </row>
    <row r="1047" spans="1:41" x14ac:dyDescent="0.25">
      <c r="A1047" s="10"/>
      <c r="B1047" s="10"/>
      <c r="C1047" s="10"/>
      <c r="D1047" s="10"/>
      <c r="E1047" s="10"/>
      <c r="F1047" s="10"/>
      <c r="G1047" s="10"/>
      <c r="H1047" s="10"/>
      <c r="I1047" s="1" t="str">
        <f t="shared" si="48"/>
        <v/>
      </c>
      <c r="J1047" s="1" t="s">
        <v>35</v>
      </c>
      <c r="K1047" s="1" t="str">
        <f t="shared" si="49"/>
        <v/>
      </c>
      <c r="L1047" s="1" t="str">
        <f t="shared" si="50"/>
        <v/>
      </c>
      <c r="M1047" s="1">
        <f>IF(OR(Table1[[#This Row],[Std Nom]]="",Table1[[#This Row],[Std Read]]=""),0,Table1[[#This Row],[Std Nom]]-Table1[[#This Row],[Std Read]])</f>
        <v>0</v>
      </c>
      <c r="N1047" s="1">
        <f>IF(Calculations!$F$5="ACCREDITED 17025 WITH UNCERTAINTIES",$N$10,0)</f>
        <v>0</v>
      </c>
      <c r="Q1047" s="1">
        <f>Table1[[#This Row],[High Tol]]-Table1[[#This Row],[Low Tol]]</f>
        <v>0</v>
      </c>
      <c r="R1047" s="1">
        <f>2*Table1[[#This Row],[Std Error]]</f>
        <v>0</v>
      </c>
      <c r="S1047" s="1" t="str">
        <f>IF(Table1[[#This Row],[High Tol]]="","N/A",IFERROR(ABS(Table1[[#This Row],[Tol Span]]/Table1[[#This Row],[Error Span]]),"N/A"))</f>
        <v>N/A</v>
      </c>
      <c r="T1047" s="1" t="str">
        <f>IF(OR(Table1[[#This Row],[Low Tol]]="",Table1[[#This Row],[High Tol]]=""),"Needs Analysis",IF(Table1[[#This Row],[Ratio]]&gt;=4,"Not Significant",IF(Table1[[#This Row],[Ratio]]&gt;=2,"Semi-Significant","Significant")))</f>
        <v>Needs Analysis</v>
      </c>
      <c r="W1047" s="1">
        <f>IF(Table1[[#This Row],[Cal Type]]&lt;&gt;"ACCREDITED 17025 WITH UNCERTAINTIES",0,"")</f>
        <v>0</v>
      </c>
      <c r="X1047" s="1" t="str">
        <f>IF(Table1[[#This Row],[DUT Read]]="","N/A",Table1[[#This Row],[Std Error]]+Table1[[#This Row],[DUT Read]]+Table1[[#This Row],[DUT Ucty]])</f>
        <v>N/A</v>
      </c>
      <c r="Y1047" s="1" t="str">
        <f>IF(Table1[[#This Row],[Std Read]]="","N/A",Table1[[#This Row],[Std Read]]+Table1[[#This Row],[Std Ucty]])</f>
        <v>N/A</v>
      </c>
      <c r="Z10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7" s="1" t="str">
        <f>IF(Table1[[#This Row],[Spec Type]]="","N/A",Table1[[#This Row],[Spec Type]])</f>
        <v>±</v>
      </c>
      <c r="AC1047" s="1" t="str">
        <f>IF(Table1[[#This Row],[Spec Type2]]="N/A","N/A",IF(AND(Table1[[#This Row],[DUT Adj Read]]&gt;=Table1[[#This Row],[Low Tol]],Table1[[#This Row],[DUT Adj Read]]&lt;=Table1[[#This Row],[High Tol]]),"Pass","Fail"))</f>
        <v>Fail</v>
      </c>
      <c r="AD1047" s="1" t="str">
        <f>IF(AND(Table1[[#This Row],[Spec Type2]]="N/A",Table1[[#This Row],[DUT Adj Read]]="N/A",Table1[[#This Row],[Std Adj Read]]="N/A"),"N/A",IF(Table1[[#This Row],[DUT Adj Read]]="N/A",IF(Table1[[#This Row],[Std Adj Read]]&gt;Table1[[#This Row],[Low Tol]],"Pass","Fail"),IF(Table1[[#This Row],[DUT Adj Read]]&gt;Table1[[#This Row],[Low Tol]],"Pass","Fail")))</f>
        <v>Pass</v>
      </c>
      <c r="AE1047" s="1" t="str">
        <f>IF(AND(Table1[[#This Row],[Spec Type2]]="N/A",Table1[[#This Row],[DUT Adj Read]]="N/A",Table1[[#This Row],[Std Adj Read]]="N/A"),"N/A",IF(Table1[[#This Row],[DUT Adj Read]]="N/A",IF(Table1[[#This Row],[Std Adj Read]]&lt;Table1[[#This Row],[High Tol]],"Pass","Fail"),IF(Table1[[#This Row],[DUT Adj Read]]&lt;Table1[[#This Row],[High Tol]],"Pass","Fail")))</f>
        <v>Fail</v>
      </c>
      <c r="AF1047" s="1" t="str">
        <f>IF(AND(Table1[[#This Row],[Spec Type2]]="N/A",Table1[[#This Row],[DUT Adj Read]]="N/A",Table1[[#This Row],[Std Adj Read]]="N/A"),"N/A",IF(Table1[[#This Row],[DUT Adj Read]]="N/A",IF(Table1[[#This Row],[Std Adj Read]]&gt;=Table1[[#This Row],[Low Tol]],"Pass","Fail"),IF(Table1[[#This Row],[DUT Adj Read]]&gt;=Table1[[#This Row],[Low Tol]],"Pass","Fail")))</f>
        <v>Pass</v>
      </c>
      <c r="AG1047" s="1" t="str">
        <f>IF(AND(Table1[[#This Row],[Spec Type2]]="N/A",Table1[[#This Row],[DUT Adj Read]]="N/A",Table1[[#This Row],[Std Adj Read]]="N/A"),"N/A",IF(Table1[[#This Row],[DUT Adj Read]]="N/A",IF(Table1[[#This Row],[Std Adj Read]]&lt;=Table1[[#This Row],[High Tol]],"Pass","Fail"),IF(Table1[[#This Row],[DUT Adj Read]]&lt;=Table1[[#This Row],[High Tol]],"Pass","Fail")))</f>
        <v>Fail</v>
      </c>
      <c r="AH10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7" s="1" t="b">
        <v>0</v>
      </c>
      <c r="AN1047" s="1" t="b">
        <v>0</v>
      </c>
      <c r="AO1047" s="1" t="b">
        <v>0</v>
      </c>
    </row>
    <row r="1048" spans="1:41" x14ac:dyDescent="0.25">
      <c r="A1048" s="10"/>
      <c r="B1048" s="10"/>
      <c r="C1048" s="10"/>
      <c r="D1048" s="10"/>
      <c r="E1048" s="10"/>
      <c r="F1048" s="10"/>
      <c r="G1048" s="10"/>
      <c r="H1048" s="10"/>
      <c r="I1048" s="1" t="str">
        <f t="shared" si="48"/>
        <v/>
      </c>
      <c r="J1048" s="1" t="s">
        <v>35</v>
      </c>
      <c r="K1048" s="1" t="str">
        <f t="shared" si="49"/>
        <v/>
      </c>
      <c r="L1048" s="1" t="str">
        <f t="shared" si="50"/>
        <v/>
      </c>
      <c r="M1048" s="1">
        <f>IF(OR(Table1[[#This Row],[Std Nom]]="",Table1[[#This Row],[Std Read]]=""),0,Table1[[#This Row],[Std Nom]]-Table1[[#This Row],[Std Read]])</f>
        <v>0</v>
      </c>
      <c r="N1048" s="1">
        <f>IF(Calculations!$F$5="ACCREDITED 17025 WITH UNCERTAINTIES",$N$10,0)</f>
        <v>0</v>
      </c>
      <c r="Q1048" s="1">
        <f>Table1[[#This Row],[High Tol]]-Table1[[#This Row],[Low Tol]]</f>
        <v>0</v>
      </c>
      <c r="R1048" s="1">
        <f>2*Table1[[#This Row],[Std Error]]</f>
        <v>0</v>
      </c>
      <c r="S1048" s="1" t="str">
        <f>IF(Table1[[#This Row],[High Tol]]="","N/A",IFERROR(ABS(Table1[[#This Row],[Tol Span]]/Table1[[#This Row],[Error Span]]),"N/A"))</f>
        <v>N/A</v>
      </c>
      <c r="T1048" s="1" t="str">
        <f>IF(OR(Table1[[#This Row],[Low Tol]]="",Table1[[#This Row],[High Tol]]=""),"Needs Analysis",IF(Table1[[#This Row],[Ratio]]&gt;=4,"Not Significant",IF(Table1[[#This Row],[Ratio]]&gt;=2,"Semi-Significant","Significant")))</f>
        <v>Needs Analysis</v>
      </c>
      <c r="W1048" s="1">
        <f>IF(Table1[[#This Row],[Cal Type]]&lt;&gt;"ACCREDITED 17025 WITH UNCERTAINTIES",0,"")</f>
        <v>0</v>
      </c>
      <c r="X1048" s="1" t="str">
        <f>IF(Table1[[#This Row],[DUT Read]]="","N/A",Table1[[#This Row],[Std Error]]+Table1[[#This Row],[DUT Read]]+Table1[[#This Row],[DUT Ucty]])</f>
        <v>N/A</v>
      </c>
      <c r="Y1048" s="1" t="str">
        <f>IF(Table1[[#This Row],[Std Read]]="","N/A",Table1[[#This Row],[Std Read]]+Table1[[#This Row],[Std Ucty]])</f>
        <v>N/A</v>
      </c>
      <c r="Z10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8" s="1" t="str">
        <f>IF(Table1[[#This Row],[Spec Type]]="","N/A",Table1[[#This Row],[Spec Type]])</f>
        <v>±</v>
      </c>
      <c r="AC1048" s="1" t="str">
        <f>IF(Table1[[#This Row],[Spec Type2]]="N/A","N/A",IF(AND(Table1[[#This Row],[DUT Adj Read]]&gt;=Table1[[#This Row],[Low Tol]],Table1[[#This Row],[DUT Adj Read]]&lt;=Table1[[#This Row],[High Tol]]),"Pass","Fail"))</f>
        <v>Fail</v>
      </c>
      <c r="AD1048" s="1" t="str">
        <f>IF(AND(Table1[[#This Row],[Spec Type2]]="N/A",Table1[[#This Row],[DUT Adj Read]]="N/A",Table1[[#This Row],[Std Adj Read]]="N/A"),"N/A",IF(Table1[[#This Row],[DUT Adj Read]]="N/A",IF(Table1[[#This Row],[Std Adj Read]]&gt;Table1[[#This Row],[Low Tol]],"Pass","Fail"),IF(Table1[[#This Row],[DUT Adj Read]]&gt;Table1[[#This Row],[Low Tol]],"Pass","Fail")))</f>
        <v>Pass</v>
      </c>
      <c r="AE1048" s="1" t="str">
        <f>IF(AND(Table1[[#This Row],[Spec Type2]]="N/A",Table1[[#This Row],[DUT Adj Read]]="N/A",Table1[[#This Row],[Std Adj Read]]="N/A"),"N/A",IF(Table1[[#This Row],[DUT Adj Read]]="N/A",IF(Table1[[#This Row],[Std Adj Read]]&lt;Table1[[#This Row],[High Tol]],"Pass","Fail"),IF(Table1[[#This Row],[DUT Adj Read]]&lt;Table1[[#This Row],[High Tol]],"Pass","Fail")))</f>
        <v>Fail</v>
      </c>
      <c r="AF1048" s="1" t="str">
        <f>IF(AND(Table1[[#This Row],[Spec Type2]]="N/A",Table1[[#This Row],[DUT Adj Read]]="N/A",Table1[[#This Row],[Std Adj Read]]="N/A"),"N/A",IF(Table1[[#This Row],[DUT Adj Read]]="N/A",IF(Table1[[#This Row],[Std Adj Read]]&gt;=Table1[[#This Row],[Low Tol]],"Pass","Fail"),IF(Table1[[#This Row],[DUT Adj Read]]&gt;=Table1[[#This Row],[Low Tol]],"Pass","Fail")))</f>
        <v>Pass</v>
      </c>
      <c r="AG1048" s="1" t="str">
        <f>IF(AND(Table1[[#This Row],[Spec Type2]]="N/A",Table1[[#This Row],[DUT Adj Read]]="N/A",Table1[[#This Row],[Std Adj Read]]="N/A"),"N/A",IF(Table1[[#This Row],[DUT Adj Read]]="N/A",IF(Table1[[#This Row],[Std Adj Read]]&lt;=Table1[[#This Row],[High Tol]],"Pass","Fail"),IF(Table1[[#This Row],[DUT Adj Read]]&lt;=Table1[[#This Row],[High Tol]],"Pass","Fail")))</f>
        <v>Fail</v>
      </c>
      <c r="AH10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8" s="1" t="b">
        <v>0</v>
      </c>
      <c r="AN1048" s="1" t="b">
        <v>0</v>
      </c>
      <c r="AO1048" s="1" t="b">
        <v>0</v>
      </c>
    </row>
    <row r="1049" spans="1:41" x14ac:dyDescent="0.25">
      <c r="A1049" s="10"/>
      <c r="B1049" s="10"/>
      <c r="C1049" s="10"/>
      <c r="D1049" s="10"/>
      <c r="E1049" s="10"/>
      <c r="F1049" s="10"/>
      <c r="G1049" s="10"/>
      <c r="H1049" s="10"/>
      <c r="I1049" s="1" t="str">
        <f t="shared" si="48"/>
        <v/>
      </c>
      <c r="J1049" s="1" t="s">
        <v>35</v>
      </c>
      <c r="K1049" s="1" t="str">
        <f t="shared" si="49"/>
        <v/>
      </c>
      <c r="L1049" s="1" t="str">
        <f t="shared" si="50"/>
        <v/>
      </c>
      <c r="M1049" s="1">
        <f>IF(OR(Table1[[#This Row],[Std Nom]]="",Table1[[#This Row],[Std Read]]=""),0,Table1[[#This Row],[Std Nom]]-Table1[[#This Row],[Std Read]])</f>
        <v>0</v>
      </c>
      <c r="N1049" s="1">
        <f>IF(Calculations!$F$5="ACCREDITED 17025 WITH UNCERTAINTIES",$N$10,0)</f>
        <v>0</v>
      </c>
      <c r="Q1049" s="1">
        <f>Table1[[#This Row],[High Tol]]-Table1[[#This Row],[Low Tol]]</f>
        <v>0</v>
      </c>
      <c r="R1049" s="1">
        <f>2*Table1[[#This Row],[Std Error]]</f>
        <v>0</v>
      </c>
      <c r="S1049" s="1" t="str">
        <f>IF(Table1[[#This Row],[High Tol]]="","N/A",IFERROR(ABS(Table1[[#This Row],[Tol Span]]/Table1[[#This Row],[Error Span]]),"N/A"))</f>
        <v>N/A</v>
      </c>
      <c r="T1049" s="1" t="str">
        <f>IF(OR(Table1[[#This Row],[Low Tol]]="",Table1[[#This Row],[High Tol]]=""),"Needs Analysis",IF(Table1[[#This Row],[Ratio]]&gt;=4,"Not Significant",IF(Table1[[#This Row],[Ratio]]&gt;=2,"Semi-Significant","Significant")))</f>
        <v>Needs Analysis</v>
      </c>
      <c r="W1049" s="1">
        <f>IF(Table1[[#This Row],[Cal Type]]&lt;&gt;"ACCREDITED 17025 WITH UNCERTAINTIES",0,"")</f>
        <v>0</v>
      </c>
      <c r="X1049" s="1" t="str">
        <f>IF(Table1[[#This Row],[DUT Read]]="","N/A",Table1[[#This Row],[Std Error]]+Table1[[#This Row],[DUT Read]]+Table1[[#This Row],[DUT Ucty]])</f>
        <v>N/A</v>
      </c>
      <c r="Y1049" s="1" t="str">
        <f>IF(Table1[[#This Row],[Std Read]]="","N/A",Table1[[#This Row],[Std Read]]+Table1[[#This Row],[Std Ucty]])</f>
        <v>N/A</v>
      </c>
      <c r="Z10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49" s="1" t="str">
        <f>IF(Table1[[#This Row],[Spec Type]]="","N/A",Table1[[#This Row],[Spec Type]])</f>
        <v>±</v>
      </c>
      <c r="AC1049" s="1" t="str">
        <f>IF(Table1[[#This Row],[Spec Type2]]="N/A","N/A",IF(AND(Table1[[#This Row],[DUT Adj Read]]&gt;=Table1[[#This Row],[Low Tol]],Table1[[#This Row],[DUT Adj Read]]&lt;=Table1[[#This Row],[High Tol]]),"Pass","Fail"))</f>
        <v>Fail</v>
      </c>
      <c r="AD1049" s="1" t="str">
        <f>IF(AND(Table1[[#This Row],[Spec Type2]]="N/A",Table1[[#This Row],[DUT Adj Read]]="N/A",Table1[[#This Row],[Std Adj Read]]="N/A"),"N/A",IF(Table1[[#This Row],[DUT Adj Read]]="N/A",IF(Table1[[#This Row],[Std Adj Read]]&gt;Table1[[#This Row],[Low Tol]],"Pass","Fail"),IF(Table1[[#This Row],[DUT Adj Read]]&gt;Table1[[#This Row],[Low Tol]],"Pass","Fail")))</f>
        <v>Pass</v>
      </c>
      <c r="AE1049" s="1" t="str">
        <f>IF(AND(Table1[[#This Row],[Spec Type2]]="N/A",Table1[[#This Row],[DUT Adj Read]]="N/A",Table1[[#This Row],[Std Adj Read]]="N/A"),"N/A",IF(Table1[[#This Row],[DUT Adj Read]]="N/A",IF(Table1[[#This Row],[Std Adj Read]]&lt;Table1[[#This Row],[High Tol]],"Pass","Fail"),IF(Table1[[#This Row],[DUT Adj Read]]&lt;Table1[[#This Row],[High Tol]],"Pass","Fail")))</f>
        <v>Fail</v>
      </c>
      <c r="AF1049" s="1" t="str">
        <f>IF(AND(Table1[[#This Row],[Spec Type2]]="N/A",Table1[[#This Row],[DUT Adj Read]]="N/A",Table1[[#This Row],[Std Adj Read]]="N/A"),"N/A",IF(Table1[[#This Row],[DUT Adj Read]]="N/A",IF(Table1[[#This Row],[Std Adj Read]]&gt;=Table1[[#This Row],[Low Tol]],"Pass","Fail"),IF(Table1[[#This Row],[DUT Adj Read]]&gt;=Table1[[#This Row],[Low Tol]],"Pass","Fail")))</f>
        <v>Pass</v>
      </c>
      <c r="AG1049" s="1" t="str">
        <f>IF(AND(Table1[[#This Row],[Spec Type2]]="N/A",Table1[[#This Row],[DUT Adj Read]]="N/A",Table1[[#This Row],[Std Adj Read]]="N/A"),"N/A",IF(Table1[[#This Row],[DUT Adj Read]]="N/A",IF(Table1[[#This Row],[Std Adj Read]]&lt;=Table1[[#This Row],[High Tol]],"Pass","Fail"),IF(Table1[[#This Row],[DUT Adj Read]]&lt;=Table1[[#This Row],[High Tol]],"Pass","Fail")))</f>
        <v>Fail</v>
      </c>
      <c r="AH10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49" s="1" t="b">
        <v>0</v>
      </c>
      <c r="AN1049" s="1" t="b">
        <v>0</v>
      </c>
      <c r="AO1049" s="1" t="b">
        <v>0</v>
      </c>
    </row>
    <row r="1050" spans="1:41" x14ac:dyDescent="0.25">
      <c r="A1050" s="10"/>
      <c r="B1050" s="10"/>
      <c r="C1050" s="10"/>
      <c r="D1050" s="10"/>
      <c r="E1050" s="10"/>
      <c r="F1050" s="10"/>
      <c r="G1050" s="10"/>
      <c r="H1050" s="10"/>
      <c r="I1050" s="1" t="str">
        <f t="shared" si="48"/>
        <v/>
      </c>
      <c r="J1050" s="1" t="s">
        <v>35</v>
      </c>
      <c r="K1050" s="1" t="str">
        <f t="shared" si="49"/>
        <v/>
      </c>
      <c r="L1050" s="1" t="str">
        <f t="shared" si="50"/>
        <v/>
      </c>
      <c r="M1050" s="1">
        <f>IF(OR(Table1[[#This Row],[Std Nom]]="",Table1[[#This Row],[Std Read]]=""),0,Table1[[#This Row],[Std Nom]]-Table1[[#This Row],[Std Read]])</f>
        <v>0</v>
      </c>
      <c r="N1050" s="1">
        <f>IF(Calculations!$F$5="ACCREDITED 17025 WITH UNCERTAINTIES",$N$10,0)</f>
        <v>0</v>
      </c>
      <c r="Q1050" s="1">
        <f>Table1[[#This Row],[High Tol]]-Table1[[#This Row],[Low Tol]]</f>
        <v>0</v>
      </c>
      <c r="R1050" s="1">
        <f>2*Table1[[#This Row],[Std Error]]</f>
        <v>0</v>
      </c>
      <c r="S1050" s="1" t="str">
        <f>IF(Table1[[#This Row],[High Tol]]="","N/A",IFERROR(ABS(Table1[[#This Row],[Tol Span]]/Table1[[#This Row],[Error Span]]),"N/A"))</f>
        <v>N/A</v>
      </c>
      <c r="T1050" s="1" t="str">
        <f>IF(OR(Table1[[#This Row],[Low Tol]]="",Table1[[#This Row],[High Tol]]=""),"Needs Analysis",IF(Table1[[#This Row],[Ratio]]&gt;=4,"Not Significant",IF(Table1[[#This Row],[Ratio]]&gt;=2,"Semi-Significant","Significant")))</f>
        <v>Needs Analysis</v>
      </c>
      <c r="W1050" s="1">
        <f>IF(Table1[[#This Row],[Cal Type]]&lt;&gt;"ACCREDITED 17025 WITH UNCERTAINTIES",0,"")</f>
        <v>0</v>
      </c>
      <c r="X1050" s="1" t="str">
        <f>IF(Table1[[#This Row],[DUT Read]]="","N/A",Table1[[#This Row],[Std Error]]+Table1[[#This Row],[DUT Read]]+Table1[[#This Row],[DUT Ucty]])</f>
        <v>N/A</v>
      </c>
      <c r="Y1050" s="1" t="str">
        <f>IF(Table1[[#This Row],[Std Read]]="","N/A",Table1[[#This Row],[Std Read]]+Table1[[#This Row],[Std Ucty]])</f>
        <v>N/A</v>
      </c>
      <c r="Z10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0" s="1" t="str">
        <f>IF(Table1[[#This Row],[Spec Type]]="","N/A",Table1[[#This Row],[Spec Type]])</f>
        <v>±</v>
      </c>
      <c r="AC1050" s="1" t="str">
        <f>IF(Table1[[#This Row],[Spec Type2]]="N/A","N/A",IF(AND(Table1[[#This Row],[DUT Adj Read]]&gt;=Table1[[#This Row],[Low Tol]],Table1[[#This Row],[DUT Adj Read]]&lt;=Table1[[#This Row],[High Tol]]),"Pass","Fail"))</f>
        <v>Fail</v>
      </c>
      <c r="AD1050" s="1" t="str">
        <f>IF(AND(Table1[[#This Row],[Spec Type2]]="N/A",Table1[[#This Row],[DUT Adj Read]]="N/A",Table1[[#This Row],[Std Adj Read]]="N/A"),"N/A",IF(Table1[[#This Row],[DUT Adj Read]]="N/A",IF(Table1[[#This Row],[Std Adj Read]]&gt;Table1[[#This Row],[Low Tol]],"Pass","Fail"),IF(Table1[[#This Row],[DUT Adj Read]]&gt;Table1[[#This Row],[Low Tol]],"Pass","Fail")))</f>
        <v>Pass</v>
      </c>
      <c r="AE1050" s="1" t="str">
        <f>IF(AND(Table1[[#This Row],[Spec Type2]]="N/A",Table1[[#This Row],[DUT Adj Read]]="N/A",Table1[[#This Row],[Std Adj Read]]="N/A"),"N/A",IF(Table1[[#This Row],[DUT Adj Read]]="N/A",IF(Table1[[#This Row],[Std Adj Read]]&lt;Table1[[#This Row],[High Tol]],"Pass","Fail"),IF(Table1[[#This Row],[DUT Adj Read]]&lt;Table1[[#This Row],[High Tol]],"Pass","Fail")))</f>
        <v>Fail</v>
      </c>
      <c r="AF1050" s="1" t="str">
        <f>IF(AND(Table1[[#This Row],[Spec Type2]]="N/A",Table1[[#This Row],[DUT Adj Read]]="N/A",Table1[[#This Row],[Std Adj Read]]="N/A"),"N/A",IF(Table1[[#This Row],[DUT Adj Read]]="N/A",IF(Table1[[#This Row],[Std Adj Read]]&gt;=Table1[[#This Row],[Low Tol]],"Pass","Fail"),IF(Table1[[#This Row],[DUT Adj Read]]&gt;=Table1[[#This Row],[Low Tol]],"Pass","Fail")))</f>
        <v>Pass</v>
      </c>
      <c r="AG1050" s="1" t="str">
        <f>IF(AND(Table1[[#This Row],[Spec Type2]]="N/A",Table1[[#This Row],[DUT Adj Read]]="N/A",Table1[[#This Row],[Std Adj Read]]="N/A"),"N/A",IF(Table1[[#This Row],[DUT Adj Read]]="N/A",IF(Table1[[#This Row],[Std Adj Read]]&lt;=Table1[[#This Row],[High Tol]],"Pass","Fail"),IF(Table1[[#This Row],[DUT Adj Read]]&lt;=Table1[[#This Row],[High Tol]],"Pass","Fail")))</f>
        <v>Fail</v>
      </c>
      <c r="AH10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0" s="1" t="b">
        <v>0</v>
      </c>
      <c r="AN1050" s="1" t="b">
        <v>0</v>
      </c>
      <c r="AO1050" s="1" t="b">
        <v>0</v>
      </c>
    </row>
    <row r="1051" spans="1:41" x14ac:dyDescent="0.25">
      <c r="A1051" s="10"/>
      <c r="B1051" s="10"/>
      <c r="C1051" s="10"/>
      <c r="D1051" s="10"/>
      <c r="E1051" s="10"/>
      <c r="F1051" s="10"/>
      <c r="G1051" s="10"/>
      <c r="H1051" s="10"/>
      <c r="I1051" s="1" t="str">
        <f t="shared" si="48"/>
        <v/>
      </c>
      <c r="J1051" s="1" t="s">
        <v>35</v>
      </c>
      <c r="K1051" s="1" t="str">
        <f t="shared" si="49"/>
        <v/>
      </c>
      <c r="L1051" s="1" t="str">
        <f t="shared" si="50"/>
        <v/>
      </c>
      <c r="M1051" s="1">
        <f>IF(OR(Table1[[#This Row],[Std Nom]]="",Table1[[#This Row],[Std Read]]=""),0,Table1[[#This Row],[Std Nom]]-Table1[[#This Row],[Std Read]])</f>
        <v>0</v>
      </c>
      <c r="N1051" s="1">
        <f>IF(Calculations!$F$5="ACCREDITED 17025 WITH UNCERTAINTIES",$N$10,0)</f>
        <v>0</v>
      </c>
      <c r="Q1051" s="1">
        <f>Table1[[#This Row],[High Tol]]-Table1[[#This Row],[Low Tol]]</f>
        <v>0</v>
      </c>
      <c r="R1051" s="1">
        <f>2*Table1[[#This Row],[Std Error]]</f>
        <v>0</v>
      </c>
      <c r="S1051" s="1" t="str">
        <f>IF(Table1[[#This Row],[High Tol]]="","N/A",IFERROR(ABS(Table1[[#This Row],[Tol Span]]/Table1[[#This Row],[Error Span]]),"N/A"))</f>
        <v>N/A</v>
      </c>
      <c r="T1051" s="1" t="str">
        <f>IF(OR(Table1[[#This Row],[Low Tol]]="",Table1[[#This Row],[High Tol]]=""),"Needs Analysis",IF(Table1[[#This Row],[Ratio]]&gt;=4,"Not Significant",IF(Table1[[#This Row],[Ratio]]&gt;=2,"Semi-Significant","Significant")))</f>
        <v>Needs Analysis</v>
      </c>
      <c r="W1051" s="1">
        <f>IF(Table1[[#This Row],[Cal Type]]&lt;&gt;"ACCREDITED 17025 WITH UNCERTAINTIES",0,"")</f>
        <v>0</v>
      </c>
      <c r="X1051" s="1" t="str">
        <f>IF(Table1[[#This Row],[DUT Read]]="","N/A",Table1[[#This Row],[Std Error]]+Table1[[#This Row],[DUT Read]]+Table1[[#This Row],[DUT Ucty]])</f>
        <v>N/A</v>
      </c>
      <c r="Y1051" s="1" t="str">
        <f>IF(Table1[[#This Row],[Std Read]]="","N/A",Table1[[#This Row],[Std Read]]+Table1[[#This Row],[Std Ucty]])</f>
        <v>N/A</v>
      </c>
      <c r="Z10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1" s="1" t="str">
        <f>IF(Table1[[#This Row],[Spec Type]]="","N/A",Table1[[#This Row],[Spec Type]])</f>
        <v>±</v>
      </c>
      <c r="AC1051" s="1" t="str">
        <f>IF(Table1[[#This Row],[Spec Type2]]="N/A","N/A",IF(AND(Table1[[#This Row],[DUT Adj Read]]&gt;=Table1[[#This Row],[Low Tol]],Table1[[#This Row],[DUT Adj Read]]&lt;=Table1[[#This Row],[High Tol]]),"Pass","Fail"))</f>
        <v>Fail</v>
      </c>
      <c r="AD1051" s="1" t="str">
        <f>IF(AND(Table1[[#This Row],[Spec Type2]]="N/A",Table1[[#This Row],[DUT Adj Read]]="N/A",Table1[[#This Row],[Std Adj Read]]="N/A"),"N/A",IF(Table1[[#This Row],[DUT Adj Read]]="N/A",IF(Table1[[#This Row],[Std Adj Read]]&gt;Table1[[#This Row],[Low Tol]],"Pass","Fail"),IF(Table1[[#This Row],[DUT Adj Read]]&gt;Table1[[#This Row],[Low Tol]],"Pass","Fail")))</f>
        <v>Pass</v>
      </c>
      <c r="AE1051" s="1" t="str">
        <f>IF(AND(Table1[[#This Row],[Spec Type2]]="N/A",Table1[[#This Row],[DUT Adj Read]]="N/A",Table1[[#This Row],[Std Adj Read]]="N/A"),"N/A",IF(Table1[[#This Row],[DUT Adj Read]]="N/A",IF(Table1[[#This Row],[Std Adj Read]]&lt;Table1[[#This Row],[High Tol]],"Pass","Fail"),IF(Table1[[#This Row],[DUT Adj Read]]&lt;Table1[[#This Row],[High Tol]],"Pass","Fail")))</f>
        <v>Fail</v>
      </c>
      <c r="AF1051" s="1" t="str">
        <f>IF(AND(Table1[[#This Row],[Spec Type2]]="N/A",Table1[[#This Row],[DUT Adj Read]]="N/A",Table1[[#This Row],[Std Adj Read]]="N/A"),"N/A",IF(Table1[[#This Row],[DUT Adj Read]]="N/A",IF(Table1[[#This Row],[Std Adj Read]]&gt;=Table1[[#This Row],[Low Tol]],"Pass","Fail"),IF(Table1[[#This Row],[DUT Adj Read]]&gt;=Table1[[#This Row],[Low Tol]],"Pass","Fail")))</f>
        <v>Pass</v>
      </c>
      <c r="AG1051" s="1" t="str">
        <f>IF(AND(Table1[[#This Row],[Spec Type2]]="N/A",Table1[[#This Row],[DUT Adj Read]]="N/A",Table1[[#This Row],[Std Adj Read]]="N/A"),"N/A",IF(Table1[[#This Row],[DUT Adj Read]]="N/A",IF(Table1[[#This Row],[Std Adj Read]]&lt;=Table1[[#This Row],[High Tol]],"Pass","Fail"),IF(Table1[[#This Row],[DUT Adj Read]]&lt;=Table1[[#This Row],[High Tol]],"Pass","Fail")))</f>
        <v>Fail</v>
      </c>
      <c r="AH10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1" s="1" t="b">
        <v>0</v>
      </c>
      <c r="AN1051" s="1" t="b">
        <v>0</v>
      </c>
      <c r="AO1051" s="1" t="b">
        <v>0</v>
      </c>
    </row>
    <row r="1052" spans="1:41" x14ac:dyDescent="0.25">
      <c r="A1052" s="10"/>
      <c r="B1052" s="10"/>
      <c r="C1052" s="10"/>
      <c r="D1052" s="10"/>
      <c r="E1052" s="10"/>
      <c r="F1052" s="10"/>
      <c r="G1052" s="10"/>
      <c r="H1052" s="10"/>
      <c r="I1052" s="1" t="str">
        <f t="shared" si="48"/>
        <v/>
      </c>
      <c r="J1052" s="1" t="s">
        <v>35</v>
      </c>
      <c r="K1052" s="1" t="str">
        <f t="shared" si="49"/>
        <v/>
      </c>
      <c r="L1052" s="1" t="str">
        <f t="shared" si="50"/>
        <v/>
      </c>
      <c r="M1052" s="1">
        <f>IF(OR(Table1[[#This Row],[Std Nom]]="",Table1[[#This Row],[Std Read]]=""),0,Table1[[#This Row],[Std Nom]]-Table1[[#This Row],[Std Read]])</f>
        <v>0</v>
      </c>
      <c r="N1052" s="1">
        <f>IF(Calculations!$F$5="ACCREDITED 17025 WITH UNCERTAINTIES",$N$10,0)</f>
        <v>0</v>
      </c>
      <c r="Q1052" s="1">
        <f>Table1[[#This Row],[High Tol]]-Table1[[#This Row],[Low Tol]]</f>
        <v>0</v>
      </c>
      <c r="R1052" s="1">
        <f>2*Table1[[#This Row],[Std Error]]</f>
        <v>0</v>
      </c>
      <c r="S1052" s="1" t="str">
        <f>IF(Table1[[#This Row],[High Tol]]="","N/A",IFERROR(ABS(Table1[[#This Row],[Tol Span]]/Table1[[#This Row],[Error Span]]),"N/A"))</f>
        <v>N/A</v>
      </c>
      <c r="T1052" s="1" t="str">
        <f>IF(OR(Table1[[#This Row],[Low Tol]]="",Table1[[#This Row],[High Tol]]=""),"Needs Analysis",IF(Table1[[#This Row],[Ratio]]&gt;=4,"Not Significant",IF(Table1[[#This Row],[Ratio]]&gt;=2,"Semi-Significant","Significant")))</f>
        <v>Needs Analysis</v>
      </c>
      <c r="W1052" s="1">
        <f>IF(Table1[[#This Row],[Cal Type]]&lt;&gt;"ACCREDITED 17025 WITH UNCERTAINTIES",0,"")</f>
        <v>0</v>
      </c>
      <c r="X1052" s="1" t="str">
        <f>IF(Table1[[#This Row],[DUT Read]]="","N/A",Table1[[#This Row],[Std Error]]+Table1[[#This Row],[DUT Read]]+Table1[[#This Row],[DUT Ucty]])</f>
        <v>N/A</v>
      </c>
      <c r="Y1052" s="1" t="str">
        <f>IF(Table1[[#This Row],[Std Read]]="","N/A",Table1[[#This Row],[Std Read]]+Table1[[#This Row],[Std Ucty]])</f>
        <v>N/A</v>
      </c>
      <c r="Z10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2" s="1" t="str">
        <f>IF(Table1[[#This Row],[Spec Type]]="","N/A",Table1[[#This Row],[Spec Type]])</f>
        <v>±</v>
      </c>
      <c r="AC1052" s="1" t="str">
        <f>IF(Table1[[#This Row],[Spec Type2]]="N/A","N/A",IF(AND(Table1[[#This Row],[DUT Adj Read]]&gt;=Table1[[#This Row],[Low Tol]],Table1[[#This Row],[DUT Adj Read]]&lt;=Table1[[#This Row],[High Tol]]),"Pass","Fail"))</f>
        <v>Fail</v>
      </c>
      <c r="AD1052" s="1" t="str">
        <f>IF(AND(Table1[[#This Row],[Spec Type2]]="N/A",Table1[[#This Row],[DUT Adj Read]]="N/A",Table1[[#This Row],[Std Adj Read]]="N/A"),"N/A",IF(Table1[[#This Row],[DUT Adj Read]]="N/A",IF(Table1[[#This Row],[Std Adj Read]]&gt;Table1[[#This Row],[Low Tol]],"Pass","Fail"),IF(Table1[[#This Row],[DUT Adj Read]]&gt;Table1[[#This Row],[Low Tol]],"Pass","Fail")))</f>
        <v>Pass</v>
      </c>
      <c r="AE1052" s="1" t="str">
        <f>IF(AND(Table1[[#This Row],[Spec Type2]]="N/A",Table1[[#This Row],[DUT Adj Read]]="N/A",Table1[[#This Row],[Std Adj Read]]="N/A"),"N/A",IF(Table1[[#This Row],[DUT Adj Read]]="N/A",IF(Table1[[#This Row],[Std Adj Read]]&lt;Table1[[#This Row],[High Tol]],"Pass","Fail"),IF(Table1[[#This Row],[DUT Adj Read]]&lt;Table1[[#This Row],[High Tol]],"Pass","Fail")))</f>
        <v>Fail</v>
      </c>
      <c r="AF1052" s="1" t="str">
        <f>IF(AND(Table1[[#This Row],[Spec Type2]]="N/A",Table1[[#This Row],[DUT Adj Read]]="N/A",Table1[[#This Row],[Std Adj Read]]="N/A"),"N/A",IF(Table1[[#This Row],[DUT Adj Read]]="N/A",IF(Table1[[#This Row],[Std Adj Read]]&gt;=Table1[[#This Row],[Low Tol]],"Pass","Fail"),IF(Table1[[#This Row],[DUT Adj Read]]&gt;=Table1[[#This Row],[Low Tol]],"Pass","Fail")))</f>
        <v>Pass</v>
      </c>
      <c r="AG1052" s="1" t="str">
        <f>IF(AND(Table1[[#This Row],[Spec Type2]]="N/A",Table1[[#This Row],[DUT Adj Read]]="N/A",Table1[[#This Row],[Std Adj Read]]="N/A"),"N/A",IF(Table1[[#This Row],[DUT Adj Read]]="N/A",IF(Table1[[#This Row],[Std Adj Read]]&lt;=Table1[[#This Row],[High Tol]],"Pass","Fail"),IF(Table1[[#This Row],[DUT Adj Read]]&lt;=Table1[[#This Row],[High Tol]],"Pass","Fail")))</f>
        <v>Fail</v>
      </c>
      <c r="AH10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2" s="1" t="b">
        <v>0</v>
      </c>
      <c r="AN1052" s="1" t="b">
        <v>0</v>
      </c>
      <c r="AO1052" s="1" t="b">
        <v>0</v>
      </c>
    </row>
    <row r="1053" spans="1:41" x14ac:dyDescent="0.25">
      <c r="A1053" s="10"/>
      <c r="B1053" s="10"/>
      <c r="C1053" s="10"/>
      <c r="D1053" s="10"/>
      <c r="E1053" s="10"/>
      <c r="F1053" s="10"/>
      <c r="G1053" s="10"/>
      <c r="H1053" s="10"/>
      <c r="I1053" s="1" t="str">
        <f t="shared" si="48"/>
        <v/>
      </c>
      <c r="J1053" s="1" t="s">
        <v>35</v>
      </c>
      <c r="K1053" s="1" t="str">
        <f t="shared" si="49"/>
        <v/>
      </c>
      <c r="L1053" s="1" t="str">
        <f t="shared" si="50"/>
        <v/>
      </c>
      <c r="M1053" s="1">
        <f>IF(OR(Table1[[#This Row],[Std Nom]]="",Table1[[#This Row],[Std Read]]=""),0,Table1[[#This Row],[Std Nom]]-Table1[[#This Row],[Std Read]])</f>
        <v>0</v>
      </c>
      <c r="N1053" s="1">
        <f>IF(Calculations!$F$5="ACCREDITED 17025 WITH UNCERTAINTIES",$N$10,0)</f>
        <v>0</v>
      </c>
      <c r="Q1053" s="1">
        <f>Table1[[#This Row],[High Tol]]-Table1[[#This Row],[Low Tol]]</f>
        <v>0</v>
      </c>
      <c r="R1053" s="1">
        <f>2*Table1[[#This Row],[Std Error]]</f>
        <v>0</v>
      </c>
      <c r="S1053" s="1" t="str">
        <f>IF(Table1[[#This Row],[High Tol]]="","N/A",IFERROR(ABS(Table1[[#This Row],[Tol Span]]/Table1[[#This Row],[Error Span]]),"N/A"))</f>
        <v>N/A</v>
      </c>
      <c r="T1053" s="1" t="str">
        <f>IF(OR(Table1[[#This Row],[Low Tol]]="",Table1[[#This Row],[High Tol]]=""),"Needs Analysis",IF(Table1[[#This Row],[Ratio]]&gt;=4,"Not Significant",IF(Table1[[#This Row],[Ratio]]&gt;=2,"Semi-Significant","Significant")))</f>
        <v>Needs Analysis</v>
      </c>
      <c r="W1053" s="1">
        <f>IF(Table1[[#This Row],[Cal Type]]&lt;&gt;"ACCREDITED 17025 WITH UNCERTAINTIES",0,"")</f>
        <v>0</v>
      </c>
      <c r="X1053" s="1" t="str">
        <f>IF(Table1[[#This Row],[DUT Read]]="","N/A",Table1[[#This Row],[Std Error]]+Table1[[#This Row],[DUT Read]]+Table1[[#This Row],[DUT Ucty]])</f>
        <v>N/A</v>
      </c>
      <c r="Y1053" s="1" t="str">
        <f>IF(Table1[[#This Row],[Std Read]]="","N/A",Table1[[#This Row],[Std Read]]+Table1[[#This Row],[Std Ucty]])</f>
        <v>N/A</v>
      </c>
      <c r="Z10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3" s="1" t="str">
        <f>IF(Table1[[#This Row],[Spec Type]]="","N/A",Table1[[#This Row],[Spec Type]])</f>
        <v>±</v>
      </c>
      <c r="AC1053" s="1" t="str">
        <f>IF(Table1[[#This Row],[Spec Type2]]="N/A","N/A",IF(AND(Table1[[#This Row],[DUT Adj Read]]&gt;=Table1[[#This Row],[Low Tol]],Table1[[#This Row],[DUT Adj Read]]&lt;=Table1[[#This Row],[High Tol]]),"Pass","Fail"))</f>
        <v>Fail</v>
      </c>
      <c r="AD1053" s="1" t="str">
        <f>IF(AND(Table1[[#This Row],[Spec Type2]]="N/A",Table1[[#This Row],[DUT Adj Read]]="N/A",Table1[[#This Row],[Std Adj Read]]="N/A"),"N/A",IF(Table1[[#This Row],[DUT Adj Read]]="N/A",IF(Table1[[#This Row],[Std Adj Read]]&gt;Table1[[#This Row],[Low Tol]],"Pass","Fail"),IF(Table1[[#This Row],[DUT Adj Read]]&gt;Table1[[#This Row],[Low Tol]],"Pass","Fail")))</f>
        <v>Pass</v>
      </c>
      <c r="AE1053" s="1" t="str">
        <f>IF(AND(Table1[[#This Row],[Spec Type2]]="N/A",Table1[[#This Row],[DUT Adj Read]]="N/A",Table1[[#This Row],[Std Adj Read]]="N/A"),"N/A",IF(Table1[[#This Row],[DUT Adj Read]]="N/A",IF(Table1[[#This Row],[Std Adj Read]]&lt;Table1[[#This Row],[High Tol]],"Pass","Fail"),IF(Table1[[#This Row],[DUT Adj Read]]&lt;Table1[[#This Row],[High Tol]],"Pass","Fail")))</f>
        <v>Fail</v>
      </c>
      <c r="AF1053" s="1" t="str">
        <f>IF(AND(Table1[[#This Row],[Spec Type2]]="N/A",Table1[[#This Row],[DUT Adj Read]]="N/A",Table1[[#This Row],[Std Adj Read]]="N/A"),"N/A",IF(Table1[[#This Row],[DUT Adj Read]]="N/A",IF(Table1[[#This Row],[Std Adj Read]]&gt;=Table1[[#This Row],[Low Tol]],"Pass","Fail"),IF(Table1[[#This Row],[DUT Adj Read]]&gt;=Table1[[#This Row],[Low Tol]],"Pass","Fail")))</f>
        <v>Pass</v>
      </c>
      <c r="AG1053" s="1" t="str">
        <f>IF(AND(Table1[[#This Row],[Spec Type2]]="N/A",Table1[[#This Row],[DUT Adj Read]]="N/A",Table1[[#This Row],[Std Adj Read]]="N/A"),"N/A",IF(Table1[[#This Row],[DUT Adj Read]]="N/A",IF(Table1[[#This Row],[Std Adj Read]]&lt;=Table1[[#This Row],[High Tol]],"Pass","Fail"),IF(Table1[[#This Row],[DUT Adj Read]]&lt;=Table1[[#This Row],[High Tol]],"Pass","Fail")))</f>
        <v>Fail</v>
      </c>
      <c r="AH10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3" s="1" t="b">
        <v>0</v>
      </c>
      <c r="AN1053" s="1" t="b">
        <v>0</v>
      </c>
      <c r="AO1053" s="1" t="b">
        <v>0</v>
      </c>
    </row>
    <row r="1054" spans="1:41" x14ac:dyDescent="0.25">
      <c r="A1054" s="10"/>
      <c r="B1054" s="10"/>
      <c r="C1054" s="10"/>
      <c r="D1054" s="10"/>
      <c r="E1054" s="10"/>
      <c r="F1054" s="10"/>
      <c r="G1054" s="10"/>
      <c r="H1054" s="10"/>
      <c r="I1054" s="1" t="str">
        <f t="shared" si="48"/>
        <v/>
      </c>
      <c r="J1054" s="1" t="s">
        <v>35</v>
      </c>
      <c r="K1054" s="1" t="str">
        <f t="shared" si="49"/>
        <v/>
      </c>
      <c r="L1054" s="1" t="str">
        <f t="shared" si="50"/>
        <v/>
      </c>
      <c r="M1054" s="1">
        <f>IF(OR(Table1[[#This Row],[Std Nom]]="",Table1[[#This Row],[Std Read]]=""),0,Table1[[#This Row],[Std Nom]]-Table1[[#This Row],[Std Read]])</f>
        <v>0</v>
      </c>
      <c r="N1054" s="1">
        <f>IF(Calculations!$F$5="ACCREDITED 17025 WITH UNCERTAINTIES",$N$10,0)</f>
        <v>0</v>
      </c>
      <c r="Q1054" s="1">
        <f>Table1[[#This Row],[High Tol]]-Table1[[#This Row],[Low Tol]]</f>
        <v>0</v>
      </c>
      <c r="R1054" s="1">
        <f>2*Table1[[#This Row],[Std Error]]</f>
        <v>0</v>
      </c>
      <c r="S1054" s="1" t="str">
        <f>IF(Table1[[#This Row],[High Tol]]="","N/A",IFERROR(ABS(Table1[[#This Row],[Tol Span]]/Table1[[#This Row],[Error Span]]),"N/A"))</f>
        <v>N/A</v>
      </c>
      <c r="T1054" s="1" t="str">
        <f>IF(OR(Table1[[#This Row],[Low Tol]]="",Table1[[#This Row],[High Tol]]=""),"Needs Analysis",IF(Table1[[#This Row],[Ratio]]&gt;=4,"Not Significant",IF(Table1[[#This Row],[Ratio]]&gt;=2,"Semi-Significant","Significant")))</f>
        <v>Needs Analysis</v>
      </c>
      <c r="W1054" s="1">
        <f>IF(Table1[[#This Row],[Cal Type]]&lt;&gt;"ACCREDITED 17025 WITH UNCERTAINTIES",0,"")</f>
        <v>0</v>
      </c>
      <c r="X1054" s="1" t="str">
        <f>IF(Table1[[#This Row],[DUT Read]]="","N/A",Table1[[#This Row],[Std Error]]+Table1[[#This Row],[DUT Read]]+Table1[[#This Row],[DUT Ucty]])</f>
        <v>N/A</v>
      </c>
      <c r="Y1054" s="1" t="str">
        <f>IF(Table1[[#This Row],[Std Read]]="","N/A",Table1[[#This Row],[Std Read]]+Table1[[#This Row],[Std Ucty]])</f>
        <v>N/A</v>
      </c>
      <c r="Z10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4" s="1" t="str">
        <f>IF(Table1[[#This Row],[Spec Type]]="","N/A",Table1[[#This Row],[Spec Type]])</f>
        <v>±</v>
      </c>
      <c r="AC1054" s="1" t="str">
        <f>IF(Table1[[#This Row],[Spec Type2]]="N/A","N/A",IF(AND(Table1[[#This Row],[DUT Adj Read]]&gt;=Table1[[#This Row],[Low Tol]],Table1[[#This Row],[DUT Adj Read]]&lt;=Table1[[#This Row],[High Tol]]),"Pass","Fail"))</f>
        <v>Fail</v>
      </c>
      <c r="AD1054" s="1" t="str">
        <f>IF(AND(Table1[[#This Row],[Spec Type2]]="N/A",Table1[[#This Row],[DUT Adj Read]]="N/A",Table1[[#This Row],[Std Adj Read]]="N/A"),"N/A",IF(Table1[[#This Row],[DUT Adj Read]]="N/A",IF(Table1[[#This Row],[Std Adj Read]]&gt;Table1[[#This Row],[Low Tol]],"Pass","Fail"),IF(Table1[[#This Row],[DUT Adj Read]]&gt;Table1[[#This Row],[Low Tol]],"Pass","Fail")))</f>
        <v>Pass</v>
      </c>
      <c r="AE1054" s="1" t="str">
        <f>IF(AND(Table1[[#This Row],[Spec Type2]]="N/A",Table1[[#This Row],[DUT Adj Read]]="N/A",Table1[[#This Row],[Std Adj Read]]="N/A"),"N/A",IF(Table1[[#This Row],[DUT Adj Read]]="N/A",IF(Table1[[#This Row],[Std Adj Read]]&lt;Table1[[#This Row],[High Tol]],"Pass","Fail"),IF(Table1[[#This Row],[DUT Adj Read]]&lt;Table1[[#This Row],[High Tol]],"Pass","Fail")))</f>
        <v>Fail</v>
      </c>
      <c r="AF1054" s="1" t="str">
        <f>IF(AND(Table1[[#This Row],[Spec Type2]]="N/A",Table1[[#This Row],[DUT Adj Read]]="N/A",Table1[[#This Row],[Std Adj Read]]="N/A"),"N/A",IF(Table1[[#This Row],[DUT Adj Read]]="N/A",IF(Table1[[#This Row],[Std Adj Read]]&gt;=Table1[[#This Row],[Low Tol]],"Pass","Fail"),IF(Table1[[#This Row],[DUT Adj Read]]&gt;=Table1[[#This Row],[Low Tol]],"Pass","Fail")))</f>
        <v>Pass</v>
      </c>
      <c r="AG1054" s="1" t="str">
        <f>IF(AND(Table1[[#This Row],[Spec Type2]]="N/A",Table1[[#This Row],[DUT Adj Read]]="N/A",Table1[[#This Row],[Std Adj Read]]="N/A"),"N/A",IF(Table1[[#This Row],[DUT Adj Read]]="N/A",IF(Table1[[#This Row],[Std Adj Read]]&lt;=Table1[[#This Row],[High Tol]],"Pass","Fail"),IF(Table1[[#This Row],[DUT Adj Read]]&lt;=Table1[[#This Row],[High Tol]],"Pass","Fail")))</f>
        <v>Fail</v>
      </c>
      <c r="AH10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4" s="1" t="b">
        <v>0</v>
      </c>
      <c r="AN1054" s="1" t="b">
        <v>0</v>
      </c>
      <c r="AO1054" s="1" t="b">
        <v>0</v>
      </c>
    </row>
    <row r="1055" spans="1:41" x14ac:dyDescent="0.25">
      <c r="A1055" s="10"/>
      <c r="B1055" s="10"/>
      <c r="C1055" s="10"/>
      <c r="D1055" s="10"/>
      <c r="E1055" s="10"/>
      <c r="F1055" s="10"/>
      <c r="G1055" s="10"/>
      <c r="H1055" s="10"/>
      <c r="I1055" s="1" t="str">
        <f t="shared" si="48"/>
        <v/>
      </c>
      <c r="J1055" s="1" t="s">
        <v>35</v>
      </c>
      <c r="K1055" s="1" t="str">
        <f t="shared" si="49"/>
        <v/>
      </c>
      <c r="L1055" s="1" t="str">
        <f t="shared" si="50"/>
        <v/>
      </c>
      <c r="M1055" s="1">
        <f>IF(OR(Table1[[#This Row],[Std Nom]]="",Table1[[#This Row],[Std Read]]=""),0,Table1[[#This Row],[Std Nom]]-Table1[[#This Row],[Std Read]])</f>
        <v>0</v>
      </c>
      <c r="N1055" s="1">
        <f>IF(Calculations!$F$5="ACCREDITED 17025 WITH UNCERTAINTIES",$N$10,0)</f>
        <v>0</v>
      </c>
      <c r="Q1055" s="1">
        <f>Table1[[#This Row],[High Tol]]-Table1[[#This Row],[Low Tol]]</f>
        <v>0</v>
      </c>
      <c r="R1055" s="1">
        <f>2*Table1[[#This Row],[Std Error]]</f>
        <v>0</v>
      </c>
      <c r="S1055" s="1" t="str">
        <f>IF(Table1[[#This Row],[High Tol]]="","N/A",IFERROR(ABS(Table1[[#This Row],[Tol Span]]/Table1[[#This Row],[Error Span]]),"N/A"))</f>
        <v>N/A</v>
      </c>
      <c r="T1055" s="1" t="str">
        <f>IF(OR(Table1[[#This Row],[Low Tol]]="",Table1[[#This Row],[High Tol]]=""),"Needs Analysis",IF(Table1[[#This Row],[Ratio]]&gt;=4,"Not Significant",IF(Table1[[#This Row],[Ratio]]&gt;=2,"Semi-Significant","Significant")))</f>
        <v>Needs Analysis</v>
      </c>
      <c r="W1055" s="1">
        <f>IF(Table1[[#This Row],[Cal Type]]&lt;&gt;"ACCREDITED 17025 WITH UNCERTAINTIES",0,"")</f>
        <v>0</v>
      </c>
      <c r="X1055" s="1" t="str">
        <f>IF(Table1[[#This Row],[DUT Read]]="","N/A",Table1[[#This Row],[Std Error]]+Table1[[#This Row],[DUT Read]]+Table1[[#This Row],[DUT Ucty]])</f>
        <v>N/A</v>
      </c>
      <c r="Y1055" s="1" t="str">
        <f>IF(Table1[[#This Row],[Std Read]]="","N/A",Table1[[#This Row],[Std Read]]+Table1[[#This Row],[Std Ucty]])</f>
        <v>N/A</v>
      </c>
      <c r="Z10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5" s="1" t="str">
        <f>IF(Table1[[#This Row],[Spec Type]]="","N/A",Table1[[#This Row],[Spec Type]])</f>
        <v>±</v>
      </c>
      <c r="AC1055" s="1" t="str">
        <f>IF(Table1[[#This Row],[Spec Type2]]="N/A","N/A",IF(AND(Table1[[#This Row],[DUT Adj Read]]&gt;=Table1[[#This Row],[Low Tol]],Table1[[#This Row],[DUT Adj Read]]&lt;=Table1[[#This Row],[High Tol]]),"Pass","Fail"))</f>
        <v>Fail</v>
      </c>
      <c r="AD1055" s="1" t="str">
        <f>IF(AND(Table1[[#This Row],[Spec Type2]]="N/A",Table1[[#This Row],[DUT Adj Read]]="N/A",Table1[[#This Row],[Std Adj Read]]="N/A"),"N/A",IF(Table1[[#This Row],[DUT Adj Read]]="N/A",IF(Table1[[#This Row],[Std Adj Read]]&gt;Table1[[#This Row],[Low Tol]],"Pass","Fail"),IF(Table1[[#This Row],[DUT Adj Read]]&gt;Table1[[#This Row],[Low Tol]],"Pass","Fail")))</f>
        <v>Pass</v>
      </c>
      <c r="AE1055" s="1" t="str">
        <f>IF(AND(Table1[[#This Row],[Spec Type2]]="N/A",Table1[[#This Row],[DUT Adj Read]]="N/A",Table1[[#This Row],[Std Adj Read]]="N/A"),"N/A",IF(Table1[[#This Row],[DUT Adj Read]]="N/A",IF(Table1[[#This Row],[Std Adj Read]]&lt;Table1[[#This Row],[High Tol]],"Pass","Fail"),IF(Table1[[#This Row],[DUT Adj Read]]&lt;Table1[[#This Row],[High Tol]],"Pass","Fail")))</f>
        <v>Fail</v>
      </c>
      <c r="AF1055" s="1" t="str">
        <f>IF(AND(Table1[[#This Row],[Spec Type2]]="N/A",Table1[[#This Row],[DUT Adj Read]]="N/A",Table1[[#This Row],[Std Adj Read]]="N/A"),"N/A",IF(Table1[[#This Row],[DUT Adj Read]]="N/A",IF(Table1[[#This Row],[Std Adj Read]]&gt;=Table1[[#This Row],[Low Tol]],"Pass","Fail"),IF(Table1[[#This Row],[DUT Adj Read]]&gt;=Table1[[#This Row],[Low Tol]],"Pass","Fail")))</f>
        <v>Pass</v>
      </c>
      <c r="AG1055" s="1" t="str">
        <f>IF(AND(Table1[[#This Row],[Spec Type2]]="N/A",Table1[[#This Row],[DUT Adj Read]]="N/A",Table1[[#This Row],[Std Adj Read]]="N/A"),"N/A",IF(Table1[[#This Row],[DUT Adj Read]]="N/A",IF(Table1[[#This Row],[Std Adj Read]]&lt;=Table1[[#This Row],[High Tol]],"Pass","Fail"),IF(Table1[[#This Row],[DUT Adj Read]]&lt;=Table1[[#This Row],[High Tol]],"Pass","Fail")))</f>
        <v>Fail</v>
      </c>
      <c r="AH10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5" s="1" t="b">
        <v>0</v>
      </c>
      <c r="AN1055" s="1" t="b">
        <v>0</v>
      </c>
      <c r="AO1055" s="1" t="b">
        <v>0</v>
      </c>
    </row>
    <row r="1056" spans="1:41" x14ac:dyDescent="0.25">
      <c r="A1056" s="10"/>
      <c r="B1056" s="10"/>
      <c r="C1056" s="10"/>
      <c r="D1056" s="10"/>
      <c r="E1056" s="10"/>
      <c r="F1056" s="10"/>
      <c r="G1056" s="10"/>
      <c r="H1056" s="10"/>
      <c r="I1056" s="1" t="str">
        <f t="shared" si="48"/>
        <v/>
      </c>
      <c r="J1056" s="1" t="s">
        <v>35</v>
      </c>
      <c r="K1056" s="1" t="str">
        <f t="shared" si="49"/>
        <v/>
      </c>
      <c r="L1056" s="1" t="str">
        <f t="shared" si="50"/>
        <v/>
      </c>
      <c r="M1056" s="1">
        <f>IF(OR(Table1[[#This Row],[Std Nom]]="",Table1[[#This Row],[Std Read]]=""),0,Table1[[#This Row],[Std Nom]]-Table1[[#This Row],[Std Read]])</f>
        <v>0</v>
      </c>
      <c r="N1056" s="1">
        <f>IF(Calculations!$F$5="ACCREDITED 17025 WITH UNCERTAINTIES",$N$10,0)</f>
        <v>0</v>
      </c>
      <c r="Q1056" s="1">
        <f>Table1[[#This Row],[High Tol]]-Table1[[#This Row],[Low Tol]]</f>
        <v>0</v>
      </c>
      <c r="R1056" s="1">
        <f>2*Table1[[#This Row],[Std Error]]</f>
        <v>0</v>
      </c>
      <c r="S1056" s="1" t="str">
        <f>IF(Table1[[#This Row],[High Tol]]="","N/A",IFERROR(ABS(Table1[[#This Row],[Tol Span]]/Table1[[#This Row],[Error Span]]),"N/A"))</f>
        <v>N/A</v>
      </c>
      <c r="T1056" s="1" t="str">
        <f>IF(OR(Table1[[#This Row],[Low Tol]]="",Table1[[#This Row],[High Tol]]=""),"Needs Analysis",IF(Table1[[#This Row],[Ratio]]&gt;=4,"Not Significant",IF(Table1[[#This Row],[Ratio]]&gt;=2,"Semi-Significant","Significant")))</f>
        <v>Needs Analysis</v>
      </c>
      <c r="W1056" s="1">
        <f>IF(Table1[[#This Row],[Cal Type]]&lt;&gt;"ACCREDITED 17025 WITH UNCERTAINTIES",0,"")</f>
        <v>0</v>
      </c>
      <c r="X1056" s="1" t="str">
        <f>IF(Table1[[#This Row],[DUT Read]]="","N/A",Table1[[#This Row],[Std Error]]+Table1[[#This Row],[DUT Read]]+Table1[[#This Row],[DUT Ucty]])</f>
        <v>N/A</v>
      </c>
      <c r="Y1056" s="1" t="str">
        <f>IF(Table1[[#This Row],[Std Read]]="","N/A",Table1[[#This Row],[Std Read]]+Table1[[#This Row],[Std Ucty]])</f>
        <v>N/A</v>
      </c>
      <c r="Z10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6" s="1" t="str">
        <f>IF(Table1[[#This Row],[Spec Type]]="","N/A",Table1[[#This Row],[Spec Type]])</f>
        <v>±</v>
      </c>
      <c r="AC1056" s="1" t="str">
        <f>IF(Table1[[#This Row],[Spec Type2]]="N/A","N/A",IF(AND(Table1[[#This Row],[DUT Adj Read]]&gt;=Table1[[#This Row],[Low Tol]],Table1[[#This Row],[DUT Adj Read]]&lt;=Table1[[#This Row],[High Tol]]),"Pass","Fail"))</f>
        <v>Fail</v>
      </c>
      <c r="AD1056" s="1" t="str">
        <f>IF(AND(Table1[[#This Row],[Spec Type2]]="N/A",Table1[[#This Row],[DUT Adj Read]]="N/A",Table1[[#This Row],[Std Adj Read]]="N/A"),"N/A",IF(Table1[[#This Row],[DUT Adj Read]]="N/A",IF(Table1[[#This Row],[Std Adj Read]]&gt;Table1[[#This Row],[Low Tol]],"Pass","Fail"),IF(Table1[[#This Row],[DUT Adj Read]]&gt;Table1[[#This Row],[Low Tol]],"Pass","Fail")))</f>
        <v>Pass</v>
      </c>
      <c r="AE1056" s="1" t="str">
        <f>IF(AND(Table1[[#This Row],[Spec Type2]]="N/A",Table1[[#This Row],[DUT Adj Read]]="N/A",Table1[[#This Row],[Std Adj Read]]="N/A"),"N/A",IF(Table1[[#This Row],[DUT Adj Read]]="N/A",IF(Table1[[#This Row],[Std Adj Read]]&lt;Table1[[#This Row],[High Tol]],"Pass","Fail"),IF(Table1[[#This Row],[DUT Adj Read]]&lt;Table1[[#This Row],[High Tol]],"Pass","Fail")))</f>
        <v>Fail</v>
      </c>
      <c r="AF1056" s="1" t="str">
        <f>IF(AND(Table1[[#This Row],[Spec Type2]]="N/A",Table1[[#This Row],[DUT Adj Read]]="N/A",Table1[[#This Row],[Std Adj Read]]="N/A"),"N/A",IF(Table1[[#This Row],[DUT Adj Read]]="N/A",IF(Table1[[#This Row],[Std Adj Read]]&gt;=Table1[[#This Row],[Low Tol]],"Pass","Fail"),IF(Table1[[#This Row],[DUT Adj Read]]&gt;=Table1[[#This Row],[Low Tol]],"Pass","Fail")))</f>
        <v>Pass</v>
      </c>
      <c r="AG1056" s="1" t="str">
        <f>IF(AND(Table1[[#This Row],[Spec Type2]]="N/A",Table1[[#This Row],[DUT Adj Read]]="N/A",Table1[[#This Row],[Std Adj Read]]="N/A"),"N/A",IF(Table1[[#This Row],[DUT Adj Read]]="N/A",IF(Table1[[#This Row],[Std Adj Read]]&lt;=Table1[[#This Row],[High Tol]],"Pass","Fail"),IF(Table1[[#This Row],[DUT Adj Read]]&lt;=Table1[[#This Row],[High Tol]],"Pass","Fail")))</f>
        <v>Fail</v>
      </c>
      <c r="AH10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6" s="1" t="b">
        <v>0</v>
      </c>
      <c r="AN1056" s="1" t="b">
        <v>0</v>
      </c>
      <c r="AO1056" s="1" t="b">
        <v>0</v>
      </c>
    </row>
    <row r="1057" spans="1:41" x14ac:dyDescent="0.25">
      <c r="A1057" s="10"/>
      <c r="B1057" s="10"/>
      <c r="C1057" s="10"/>
      <c r="D1057" s="10"/>
      <c r="E1057" s="10"/>
      <c r="F1057" s="10"/>
      <c r="G1057" s="10"/>
      <c r="H1057" s="10"/>
      <c r="I1057" s="1" t="str">
        <f t="shared" si="48"/>
        <v/>
      </c>
      <c r="J1057" s="1" t="s">
        <v>35</v>
      </c>
      <c r="K1057" s="1" t="str">
        <f t="shared" si="49"/>
        <v/>
      </c>
      <c r="L1057" s="1" t="str">
        <f t="shared" si="50"/>
        <v/>
      </c>
      <c r="M1057" s="1">
        <f>IF(OR(Table1[[#This Row],[Std Nom]]="",Table1[[#This Row],[Std Read]]=""),0,Table1[[#This Row],[Std Nom]]-Table1[[#This Row],[Std Read]])</f>
        <v>0</v>
      </c>
      <c r="N1057" s="1">
        <f>IF(Calculations!$F$5="ACCREDITED 17025 WITH UNCERTAINTIES",$N$10,0)</f>
        <v>0</v>
      </c>
      <c r="Q1057" s="1">
        <f>Table1[[#This Row],[High Tol]]-Table1[[#This Row],[Low Tol]]</f>
        <v>0</v>
      </c>
      <c r="R1057" s="1">
        <f>2*Table1[[#This Row],[Std Error]]</f>
        <v>0</v>
      </c>
      <c r="S1057" s="1" t="str">
        <f>IF(Table1[[#This Row],[High Tol]]="","N/A",IFERROR(ABS(Table1[[#This Row],[Tol Span]]/Table1[[#This Row],[Error Span]]),"N/A"))</f>
        <v>N/A</v>
      </c>
      <c r="T1057" s="1" t="str">
        <f>IF(OR(Table1[[#This Row],[Low Tol]]="",Table1[[#This Row],[High Tol]]=""),"Needs Analysis",IF(Table1[[#This Row],[Ratio]]&gt;=4,"Not Significant",IF(Table1[[#This Row],[Ratio]]&gt;=2,"Semi-Significant","Significant")))</f>
        <v>Needs Analysis</v>
      </c>
      <c r="W1057" s="1">
        <f>IF(Table1[[#This Row],[Cal Type]]&lt;&gt;"ACCREDITED 17025 WITH UNCERTAINTIES",0,"")</f>
        <v>0</v>
      </c>
      <c r="X1057" s="1" t="str">
        <f>IF(Table1[[#This Row],[DUT Read]]="","N/A",Table1[[#This Row],[Std Error]]+Table1[[#This Row],[DUT Read]]+Table1[[#This Row],[DUT Ucty]])</f>
        <v>N/A</v>
      </c>
      <c r="Y1057" s="1" t="str">
        <f>IF(Table1[[#This Row],[Std Read]]="","N/A",Table1[[#This Row],[Std Read]]+Table1[[#This Row],[Std Ucty]])</f>
        <v>N/A</v>
      </c>
      <c r="Z10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7" s="1" t="str">
        <f>IF(Table1[[#This Row],[Spec Type]]="","N/A",Table1[[#This Row],[Spec Type]])</f>
        <v>±</v>
      </c>
      <c r="AC1057" s="1" t="str">
        <f>IF(Table1[[#This Row],[Spec Type2]]="N/A","N/A",IF(AND(Table1[[#This Row],[DUT Adj Read]]&gt;=Table1[[#This Row],[Low Tol]],Table1[[#This Row],[DUT Adj Read]]&lt;=Table1[[#This Row],[High Tol]]),"Pass","Fail"))</f>
        <v>Fail</v>
      </c>
      <c r="AD1057" s="1" t="str">
        <f>IF(AND(Table1[[#This Row],[Spec Type2]]="N/A",Table1[[#This Row],[DUT Adj Read]]="N/A",Table1[[#This Row],[Std Adj Read]]="N/A"),"N/A",IF(Table1[[#This Row],[DUT Adj Read]]="N/A",IF(Table1[[#This Row],[Std Adj Read]]&gt;Table1[[#This Row],[Low Tol]],"Pass","Fail"),IF(Table1[[#This Row],[DUT Adj Read]]&gt;Table1[[#This Row],[Low Tol]],"Pass","Fail")))</f>
        <v>Pass</v>
      </c>
      <c r="AE1057" s="1" t="str">
        <f>IF(AND(Table1[[#This Row],[Spec Type2]]="N/A",Table1[[#This Row],[DUT Adj Read]]="N/A",Table1[[#This Row],[Std Adj Read]]="N/A"),"N/A",IF(Table1[[#This Row],[DUT Adj Read]]="N/A",IF(Table1[[#This Row],[Std Adj Read]]&lt;Table1[[#This Row],[High Tol]],"Pass","Fail"),IF(Table1[[#This Row],[DUT Adj Read]]&lt;Table1[[#This Row],[High Tol]],"Pass","Fail")))</f>
        <v>Fail</v>
      </c>
      <c r="AF1057" s="1" t="str">
        <f>IF(AND(Table1[[#This Row],[Spec Type2]]="N/A",Table1[[#This Row],[DUT Adj Read]]="N/A",Table1[[#This Row],[Std Adj Read]]="N/A"),"N/A",IF(Table1[[#This Row],[DUT Adj Read]]="N/A",IF(Table1[[#This Row],[Std Adj Read]]&gt;=Table1[[#This Row],[Low Tol]],"Pass","Fail"),IF(Table1[[#This Row],[DUT Adj Read]]&gt;=Table1[[#This Row],[Low Tol]],"Pass","Fail")))</f>
        <v>Pass</v>
      </c>
      <c r="AG1057" s="1" t="str">
        <f>IF(AND(Table1[[#This Row],[Spec Type2]]="N/A",Table1[[#This Row],[DUT Adj Read]]="N/A",Table1[[#This Row],[Std Adj Read]]="N/A"),"N/A",IF(Table1[[#This Row],[DUT Adj Read]]="N/A",IF(Table1[[#This Row],[Std Adj Read]]&lt;=Table1[[#This Row],[High Tol]],"Pass","Fail"),IF(Table1[[#This Row],[DUT Adj Read]]&lt;=Table1[[#This Row],[High Tol]],"Pass","Fail")))</f>
        <v>Fail</v>
      </c>
      <c r="AH10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7" s="1" t="b">
        <v>0</v>
      </c>
      <c r="AN1057" s="1" t="b">
        <v>0</v>
      </c>
      <c r="AO1057" s="1" t="b">
        <v>0</v>
      </c>
    </row>
    <row r="1058" spans="1:41" x14ac:dyDescent="0.25">
      <c r="A1058" s="10"/>
      <c r="B1058" s="10"/>
      <c r="C1058" s="10"/>
      <c r="D1058" s="10"/>
      <c r="E1058" s="10"/>
      <c r="F1058" s="10"/>
      <c r="G1058" s="10"/>
      <c r="H1058" s="10"/>
      <c r="I1058" s="1" t="str">
        <f t="shared" si="48"/>
        <v/>
      </c>
      <c r="J1058" s="1" t="s">
        <v>35</v>
      </c>
      <c r="K1058" s="1" t="str">
        <f t="shared" si="49"/>
        <v/>
      </c>
      <c r="L1058" s="1" t="str">
        <f t="shared" si="50"/>
        <v/>
      </c>
      <c r="M1058" s="1">
        <f>IF(OR(Table1[[#This Row],[Std Nom]]="",Table1[[#This Row],[Std Read]]=""),0,Table1[[#This Row],[Std Nom]]-Table1[[#This Row],[Std Read]])</f>
        <v>0</v>
      </c>
      <c r="N1058" s="1">
        <f>IF(Calculations!$F$5="ACCREDITED 17025 WITH UNCERTAINTIES",$N$10,0)</f>
        <v>0</v>
      </c>
      <c r="Q1058" s="1">
        <f>Table1[[#This Row],[High Tol]]-Table1[[#This Row],[Low Tol]]</f>
        <v>0</v>
      </c>
      <c r="R1058" s="1">
        <f>2*Table1[[#This Row],[Std Error]]</f>
        <v>0</v>
      </c>
      <c r="S1058" s="1" t="str">
        <f>IF(Table1[[#This Row],[High Tol]]="","N/A",IFERROR(ABS(Table1[[#This Row],[Tol Span]]/Table1[[#This Row],[Error Span]]),"N/A"))</f>
        <v>N/A</v>
      </c>
      <c r="T1058" s="1" t="str">
        <f>IF(OR(Table1[[#This Row],[Low Tol]]="",Table1[[#This Row],[High Tol]]=""),"Needs Analysis",IF(Table1[[#This Row],[Ratio]]&gt;=4,"Not Significant",IF(Table1[[#This Row],[Ratio]]&gt;=2,"Semi-Significant","Significant")))</f>
        <v>Needs Analysis</v>
      </c>
      <c r="W1058" s="1">
        <f>IF(Table1[[#This Row],[Cal Type]]&lt;&gt;"ACCREDITED 17025 WITH UNCERTAINTIES",0,"")</f>
        <v>0</v>
      </c>
      <c r="X1058" s="1" t="str">
        <f>IF(Table1[[#This Row],[DUT Read]]="","N/A",Table1[[#This Row],[Std Error]]+Table1[[#This Row],[DUT Read]]+Table1[[#This Row],[DUT Ucty]])</f>
        <v>N/A</v>
      </c>
      <c r="Y1058" s="1" t="str">
        <f>IF(Table1[[#This Row],[Std Read]]="","N/A",Table1[[#This Row],[Std Read]]+Table1[[#This Row],[Std Ucty]])</f>
        <v>N/A</v>
      </c>
      <c r="Z10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8" s="1" t="str">
        <f>IF(Table1[[#This Row],[Spec Type]]="","N/A",Table1[[#This Row],[Spec Type]])</f>
        <v>±</v>
      </c>
      <c r="AC1058" s="1" t="str">
        <f>IF(Table1[[#This Row],[Spec Type2]]="N/A","N/A",IF(AND(Table1[[#This Row],[DUT Adj Read]]&gt;=Table1[[#This Row],[Low Tol]],Table1[[#This Row],[DUT Adj Read]]&lt;=Table1[[#This Row],[High Tol]]),"Pass","Fail"))</f>
        <v>Fail</v>
      </c>
      <c r="AD1058" s="1" t="str">
        <f>IF(AND(Table1[[#This Row],[Spec Type2]]="N/A",Table1[[#This Row],[DUT Adj Read]]="N/A",Table1[[#This Row],[Std Adj Read]]="N/A"),"N/A",IF(Table1[[#This Row],[DUT Adj Read]]="N/A",IF(Table1[[#This Row],[Std Adj Read]]&gt;Table1[[#This Row],[Low Tol]],"Pass","Fail"),IF(Table1[[#This Row],[DUT Adj Read]]&gt;Table1[[#This Row],[Low Tol]],"Pass","Fail")))</f>
        <v>Pass</v>
      </c>
      <c r="AE1058" s="1" t="str">
        <f>IF(AND(Table1[[#This Row],[Spec Type2]]="N/A",Table1[[#This Row],[DUT Adj Read]]="N/A",Table1[[#This Row],[Std Adj Read]]="N/A"),"N/A",IF(Table1[[#This Row],[DUT Adj Read]]="N/A",IF(Table1[[#This Row],[Std Adj Read]]&lt;Table1[[#This Row],[High Tol]],"Pass","Fail"),IF(Table1[[#This Row],[DUT Adj Read]]&lt;Table1[[#This Row],[High Tol]],"Pass","Fail")))</f>
        <v>Fail</v>
      </c>
      <c r="AF1058" s="1" t="str">
        <f>IF(AND(Table1[[#This Row],[Spec Type2]]="N/A",Table1[[#This Row],[DUT Adj Read]]="N/A",Table1[[#This Row],[Std Adj Read]]="N/A"),"N/A",IF(Table1[[#This Row],[DUT Adj Read]]="N/A",IF(Table1[[#This Row],[Std Adj Read]]&gt;=Table1[[#This Row],[Low Tol]],"Pass","Fail"),IF(Table1[[#This Row],[DUT Adj Read]]&gt;=Table1[[#This Row],[Low Tol]],"Pass","Fail")))</f>
        <v>Pass</v>
      </c>
      <c r="AG1058" s="1" t="str">
        <f>IF(AND(Table1[[#This Row],[Spec Type2]]="N/A",Table1[[#This Row],[DUT Adj Read]]="N/A",Table1[[#This Row],[Std Adj Read]]="N/A"),"N/A",IF(Table1[[#This Row],[DUT Adj Read]]="N/A",IF(Table1[[#This Row],[Std Adj Read]]&lt;=Table1[[#This Row],[High Tol]],"Pass","Fail"),IF(Table1[[#This Row],[DUT Adj Read]]&lt;=Table1[[#This Row],[High Tol]],"Pass","Fail")))</f>
        <v>Fail</v>
      </c>
      <c r="AH10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8" s="1" t="b">
        <v>0</v>
      </c>
      <c r="AN1058" s="1" t="b">
        <v>0</v>
      </c>
      <c r="AO1058" s="1" t="b">
        <v>0</v>
      </c>
    </row>
    <row r="1059" spans="1:41" x14ac:dyDescent="0.25">
      <c r="A1059" s="10"/>
      <c r="B1059" s="10"/>
      <c r="C1059" s="10"/>
      <c r="D1059" s="10"/>
      <c r="E1059" s="10"/>
      <c r="F1059" s="10"/>
      <c r="G1059" s="10"/>
      <c r="H1059" s="10"/>
      <c r="I1059" s="1" t="str">
        <f t="shared" si="48"/>
        <v/>
      </c>
      <c r="J1059" s="1" t="s">
        <v>35</v>
      </c>
      <c r="K1059" s="1" t="str">
        <f t="shared" si="49"/>
        <v/>
      </c>
      <c r="L1059" s="1" t="str">
        <f t="shared" si="50"/>
        <v/>
      </c>
      <c r="M1059" s="1">
        <f>IF(OR(Table1[[#This Row],[Std Nom]]="",Table1[[#This Row],[Std Read]]=""),0,Table1[[#This Row],[Std Nom]]-Table1[[#This Row],[Std Read]])</f>
        <v>0</v>
      </c>
      <c r="N1059" s="1">
        <f>IF(Calculations!$F$5="ACCREDITED 17025 WITH UNCERTAINTIES",$N$10,0)</f>
        <v>0</v>
      </c>
      <c r="Q1059" s="1">
        <f>Table1[[#This Row],[High Tol]]-Table1[[#This Row],[Low Tol]]</f>
        <v>0</v>
      </c>
      <c r="R1059" s="1">
        <f>2*Table1[[#This Row],[Std Error]]</f>
        <v>0</v>
      </c>
      <c r="S1059" s="1" t="str">
        <f>IF(Table1[[#This Row],[High Tol]]="","N/A",IFERROR(ABS(Table1[[#This Row],[Tol Span]]/Table1[[#This Row],[Error Span]]),"N/A"))</f>
        <v>N/A</v>
      </c>
      <c r="T1059" s="1" t="str">
        <f>IF(OR(Table1[[#This Row],[Low Tol]]="",Table1[[#This Row],[High Tol]]=""),"Needs Analysis",IF(Table1[[#This Row],[Ratio]]&gt;=4,"Not Significant",IF(Table1[[#This Row],[Ratio]]&gt;=2,"Semi-Significant","Significant")))</f>
        <v>Needs Analysis</v>
      </c>
      <c r="W1059" s="1">
        <f>IF(Table1[[#This Row],[Cal Type]]&lt;&gt;"ACCREDITED 17025 WITH UNCERTAINTIES",0,"")</f>
        <v>0</v>
      </c>
      <c r="X1059" s="1" t="str">
        <f>IF(Table1[[#This Row],[DUT Read]]="","N/A",Table1[[#This Row],[Std Error]]+Table1[[#This Row],[DUT Read]]+Table1[[#This Row],[DUT Ucty]])</f>
        <v>N/A</v>
      </c>
      <c r="Y1059" s="1" t="str">
        <f>IF(Table1[[#This Row],[Std Read]]="","N/A",Table1[[#This Row],[Std Read]]+Table1[[#This Row],[Std Ucty]])</f>
        <v>N/A</v>
      </c>
      <c r="Z10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59" s="1" t="str">
        <f>IF(Table1[[#This Row],[Spec Type]]="","N/A",Table1[[#This Row],[Spec Type]])</f>
        <v>±</v>
      </c>
      <c r="AC1059" s="1" t="str">
        <f>IF(Table1[[#This Row],[Spec Type2]]="N/A","N/A",IF(AND(Table1[[#This Row],[DUT Adj Read]]&gt;=Table1[[#This Row],[Low Tol]],Table1[[#This Row],[DUT Adj Read]]&lt;=Table1[[#This Row],[High Tol]]),"Pass","Fail"))</f>
        <v>Fail</v>
      </c>
      <c r="AD1059" s="1" t="str">
        <f>IF(AND(Table1[[#This Row],[Spec Type2]]="N/A",Table1[[#This Row],[DUT Adj Read]]="N/A",Table1[[#This Row],[Std Adj Read]]="N/A"),"N/A",IF(Table1[[#This Row],[DUT Adj Read]]="N/A",IF(Table1[[#This Row],[Std Adj Read]]&gt;Table1[[#This Row],[Low Tol]],"Pass","Fail"),IF(Table1[[#This Row],[DUT Adj Read]]&gt;Table1[[#This Row],[Low Tol]],"Pass","Fail")))</f>
        <v>Pass</v>
      </c>
      <c r="AE1059" s="1" t="str">
        <f>IF(AND(Table1[[#This Row],[Spec Type2]]="N/A",Table1[[#This Row],[DUT Adj Read]]="N/A",Table1[[#This Row],[Std Adj Read]]="N/A"),"N/A",IF(Table1[[#This Row],[DUT Adj Read]]="N/A",IF(Table1[[#This Row],[Std Adj Read]]&lt;Table1[[#This Row],[High Tol]],"Pass","Fail"),IF(Table1[[#This Row],[DUT Adj Read]]&lt;Table1[[#This Row],[High Tol]],"Pass","Fail")))</f>
        <v>Fail</v>
      </c>
      <c r="AF1059" s="1" t="str">
        <f>IF(AND(Table1[[#This Row],[Spec Type2]]="N/A",Table1[[#This Row],[DUT Adj Read]]="N/A",Table1[[#This Row],[Std Adj Read]]="N/A"),"N/A",IF(Table1[[#This Row],[DUT Adj Read]]="N/A",IF(Table1[[#This Row],[Std Adj Read]]&gt;=Table1[[#This Row],[Low Tol]],"Pass","Fail"),IF(Table1[[#This Row],[DUT Adj Read]]&gt;=Table1[[#This Row],[Low Tol]],"Pass","Fail")))</f>
        <v>Pass</v>
      </c>
      <c r="AG1059" s="1" t="str">
        <f>IF(AND(Table1[[#This Row],[Spec Type2]]="N/A",Table1[[#This Row],[DUT Adj Read]]="N/A",Table1[[#This Row],[Std Adj Read]]="N/A"),"N/A",IF(Table1[[#This Row],[DUT Adj Read]]="N/A",IF(Table1[[#This Row],[Std Adj Read]]&lt;=Table1[[#This Row],[High Tol]],"Pass","Fail"),IF(Table1[[#This Row],[DUT Adj Read]]&lt;=Table1[[#This Row],[High Tol]],"Pass","Fail")))</f>
        <v>Fail</v>
      </c>
      <c r="AH10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59" s="1" t="b">
        <v>0</v>
      </c>
      <c r="AN1059" s="1" t="b">
        <v>0</v>
      </c>
      <c r="AO1059" s="1" t="b">
        <v>0</v>
      </c>
    </row>
    <row r="1060" spans="1:41" x14ac:dyDescent="0.25">
      <c r="A1060" s="10"/>
      <c r="B1060" s="10"/>
      <c r="C1060" s="10"/>
      <c r="D1060" s="10"/>
      <c r="E1060" s="10"/>
      <c r="F1060" s="10"/>
      <c r="G1060" s="10"/>
      <c r="H1060" s="10"/>
      <c r="I1060" s="1" t="str">
        <f t="shared" si="48"/>
        <v/>
      </c>
      <c r="J1060" s="1" t="s">
        <v>35</v>
      </c>
      <c r="K1060" s="1" t="str">
        <f t="shared" si="49"/>
        <v/>
      </c>
      <c r="L1060" s="1" t="str">
        <f t="shared" si="50"/>
        <v/>
      </c>
      <c r="M1060" s="1">
        <f>IF(OR(Table1[[#This Row],[Std Nom]]="",Table1[[#This Row],[Std Read]]=""),0,Table1[[#This Row],[Std Nom]]-Table1[[#This Row],[Std Read]])</f>
        <v>0</v>
      </c>
      <c r="N1060" s="1">
        <f>IF(Calculations!$F$5="ACCREDITED 17025 WITH UNCERTAINTIES",$N$10,0)</f>
        <v>0</v>
      </c>
      <c r="Q1060" s="1">
        <f>Table1[[#This Row],[High Tol]]-Table1[[#This Row],[Low Tol]]</f>
        <v>0</v>
      </c>
      <c r="R1060" s="1">
        <f>2*Table1[[#This Row],[Std Error]]</f>
        <v>0</v>
      </c>
      <c r="S1060" s="1" t="str">
        <f>IF(Table1[[#This Row],[High Tol]]="","N/A",IFERROR(ABS(Table1[[#This Row],[Tol Span]]/Table1[[#This Row],[Error Span]]),"N/A"))</f>
        <v>N/A</v>
      </c>
      <c r="T1060" s="1" t="str">
        <f>IF(OR(Table1[[#This Row],[Low Tol]]="",Table1[[#This Row],[High Tol]]=""),"Needs Analysis",IF(Table1[[#This Row],[Ratio]]&gt;=4,"Not Significant",IF(Table1[[#This Row],[Ratio]]&gt;=2,"Semi-Significant","Significant")))</f>
        <v>Needs Analysis</v>
      </c>
      <c r="W1060" s="1">
        <f>IF(Table1[[#This Row],[Cal Type]]&lt;&gt;"ACCREDITED 17025 WITH UNCERTAINTIES",0,"")</f>
        <v>0</v>
      </c>
      <c r="X1060" s="1" t="str">
        <f>IF(Table1[[#This Row],[DUT Read]]="","N/A",Table1[[#This Row],[Std Error]]+Table1[[#This Row],[DUT Read]]+Table1[[#This Row],[DUT Ucty]])</f>
        <v>N/A</v>
      </c>
      <c r="Y1060" s="1" t="str">
        <f>IF(Table1[[#This Row],[Std Read]]="","N/A",Table1[[#This Row],[Std Read]]+Table1[[#This Row],[Std Ucty]])</f>
        <v>N/A</v>
      </c>
      <c r="Z10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0" s="1" t="str">
        <f>IF(Table1[[#This Row],[Spec Type]]="","N/A",Table1[[#This Row],[Spec Type]])</f>
        <v>±</v>
      </c>
      <c r="AC1060" s="1" t="str">
        <f>IF(Table1[[#This Row],[Spec Type2]]="N/A","N/A",IF(AND(Table1[[#This Row],[DUT Adj Read]]&gt;=Table1[[#This Row],[Low Tol]],Table1[[#This Row],[DUT Adj Read]]&lt;=Table1[[#This Row],[High Tol]]),"Pass","Fail"))</f>
        <v>Fail</v>
      </c>
      <c r="AD1060" s="1" t="str">
        <f>IF(AND(Table1[[#This Row],[Spec Type2]]="N/A",Table1[[#This Row],[DUT Adj Read]]="N/A",Table1[[#This Row],[Std Adj Read]]="N/A"),"N/A",IF(Table1[[#This Row],[DUT Adj Read]]="N/A",IF(Table1[[#This Row],[Std Adj Read]]&gt;Table1[[#This Row],[Low Tol]],"Pass","Fail"),IF(Table1[[#This Row],[DUT Adj Read]]&gt;Table1[[#This Row],[Low Tol]],"Pass","Fail")))</f>
        <v>Pass</v>
      </c>
      <c r="AE1060" s="1" t="str">
        <f>IF(AND(Table1[[#This Row],[Spec Type2]]="N/A",Table1[[#This Row],[DUT Adj Read]]="N/A",Table1[[#This Row],[Std Adj Read]]="N/A"),"N/A",IF(Table1[[#This Row],[DUT Adj Read]]="N/A",IF(Table1[[#This Row],[Std Adj Read]]&lt;Table1[[#This Row],[High Tol]],"Pass","Fail"),IF(Table1[[#This Row],[DUT Adj Read]]&lt;Table1[[#This Row],[High Tol]],"Pass","Fail")))</f>
        <v>Fail</v>
      </c>
      <c r="AF1060" s="1" t="str">
        <f>IF(AND(Table1[[#This Row],[Spec Type2]]="N/A",Table1[[#This Row],[DUT Adj Read]]="N/A",Table1[[#This Row],[Std Adj Read]]="N/A"),"N/A",IF(Table1[[#This Row],[DUT Adj Read]]="N/A",IF(Table1[[#This Row],[Std Adj Read]]&gt;=Table1[[#This Row],[Low Tol]],"Pass","Fail"),IF(Table1[[#This Row],[DUT Adj Read]]&gt;=Table1[[#This Row],[Low Tol]],"Pass","Fail")))</f>
        <v>Pass</v>
      </c>
      <c r="AG1060" s="1" t="str">
        <f>IF(AND(Table1[[#This Row],[Spec Type2]]="N/A",Table1[[#This Row],[DUT Adj Read]]="N/A",Table1[[#This Row],[Std Adj Read]]="N/A"),"N/A",IF(Table1[[#This Row],[DUT Adj Read]]="N/A",IF(Table1[[#This Row],[Std Adj Read]]&lt;=Table1[[#This Row],[High Tol]],"Pass","Fail"),IF(Table1[[#This Row],[DUT Adj Read]]&lt;=Table1[[#This Row],[High Tol]],"Pass","Fail")))</f>
        <v>Fail</v>
      </c>
      <c r="AH10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0" s="1" t="b">
        <v>0</v>
      </c>
      <c r="AN1060" s="1" t="b">
        <v>0</v>
      </c>
      <c r="AO1060" s="1" t="b">
        <v>0</v>
      </c>
    </row>
    <row r="1061" spans="1:41" x14ac:dyDescent="0.25">
      <c r="A1061" s="10"/>
      <c r="B1061" s="10"/>
      <c r="C1061" s="10"/>
      <c r="D1061" s="10"/>
      <c r="E1061" s="10"/>
      <c r="F1061" s="10"/>
      <c r="G1061" s="10"/>
      <c r="H1061" s="10"/>
      <c r="I1061" s="1" t="str">
        <f t="shared" si="48"/>
        <v/>
      </c>
      <c r="J1061" s="1" t="s">
        <v>35</v>
      </c>
      <c r="K1061" s="1" t="str">
        <f t="shared" si="49"/>
        <v/>
      </c>
      <c r="L1061" s="1" t="str">
        <f t="shared" si="50"/>
        <v/>
      </c>
      <c r="M1061" s="1">
        <f>IF(OR(Table1[[#This Row],[Std Nom]]="",Table1[[#This Row],[Std Read]]=""),0,Table1[[#This Row],[Std Nom]]-Table1[[#This Row],[Std Read]])</f>
        <v>0</v>
      </c>
      <c r="N1061" s="1">
        <f>IF(Calculations!$F$5="ACCREDITED 17025 WITH UNCERTAINTIES",$N$10,0)</f>
        <v>0</v>
      </c>
      <c r="Q1061" s="1">
        <f>Table1[[#This Row],[High Tol]]-Table1[[#This Row],[Low Tol]]</f>
        <v>0</v>
      </c>
      <c r="R1061" s="1">
        <f>2*Table1[[#This Row],[Std Error]]</f>
        <v>0</v>
      </c>
      <c r="S1061" s="1" t="str">
        <f>IF(Table1[[#This Row],[High Tol]]="","N/A",IFERROR(ABS(Table1[[#This Row],[Tol Span]]/Table1[[#This Row],[Error Span]]),"N/A"))</f>
        <v>N/A</v>
      </c>
      <c r="T1061" s="1" t="str">
        <f>IF(OR(Table1[[#This Row],[Low Tol]]="",Table1[[#This Row],[High Tol]]=""),"Needs Analysis",IF(Table1[[#This Row],[Ratio]]&gt;=4,"Not Significant",IF(Table1[[#This Row],[Ratio]]&gt;=2,"Semi-Significant","Significant")))</f>
        <v>Needs Analysis</v>
      </c>
      <c r="W1061" s="1">
        <f>IF(Table1[[#This Row],[Cal Type]]&lt;&gt;"ACCREDITED 17025 WITH UNCERTAINTIES",0,"")</f>
        <v>0</v>
      </c>
      <c r="X1061" s="1" t="str">
        <f>IF(Table1[[#This Row],[DUT Read]]="","N/A",Table1[[#This Row],[Std Error]]+Table1[[#This Row],[DUT Read]]+Table1[[#This Row],[DUT Ucty]])</f>
        <v>N/A</v>
      </c>
      <c r="Y1061" s="1" t="str">
        <f>IF(Table1[[#This Row],[Std Read]]="","N/A",Table1[[#This Row],[Std Read]]+Table1[[#This Row],[Std Ucty]])</f>
        <v>N/A</v>
      </c>
      <c r="Z10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1" s="1" t="str">
        <f>IF(Table1[[#This Row],[Spec Type]]="","N/A",Table1[[#This Row],[Spec Type]])</f>
        <v>±</v>
      </c>
      <c r="AC1061" s="1" t="str">
        <f>IF(Table1[[#This Row],[Spec Type2]]="N/A","N/A",IF(AND(Table1[[#This Row],[DUT Adj Read]]&gt;=Table1[[#This Row],[Low Tol]],Table1[[#This Row],[DUT Adj Read]]&lt;=Table1[[#This Row],[High Tol]]),"Pass","Fail"))</f>
        <v>Fail</v>
      </c>
      <c r="AD1061" s="1" t="str">
        <f>IF(AND(Table1[[#This Row],[Spec Type2]]="N/A",Table1[[#This Row],[DUT Adj Read]]="N/A",Table1[[#This Row],[Std Adj Read]]="N/A"),"N/A",IF(Table1[[#This Row],[DUT Adj Read]]="N/A",IF(Table1[[#This Row],[Std Adj Read]]&gt;Table1[[#This Row],[Low Tol]],"Pass","Fail"),IF(Table1[[#This Row],[DUT Adj Read]]&gt;Table1[[#This Row],[Low Tol]],"Pass","Fail")))</f>
        <v>Pass</v>
      </c>
      <c r="AE1061" s="1" t="str">
        <f>IF(AND(Table1[[#This Row],[Spec Type2]]="N/A",Table1[[#This Row],[DUT Adj Read]]="N/A",Table1[[#This Row],[Std Adj Read]]="N/A"),"N/A",IF(Table1[[#This Row],[DUT Adj Read]]="N/A",IF(Table1[[#This Row],[Std Adj Read]]&lt;Table1[[#This Row],[High Tol]],"Pass","Fail"),IF(Table1[[#This Row],[DUT Adj Read]]&lt;Table1[[#This Row],[High Tol]],"Pass","Fail")))</f>
        <v>Fail</v>
      </c>
      <c r="AF1061" s="1" t="str">
        <f>IF(AND(Table1[[#This Row],[Spec Type2]]="N/A",Table1[[#This Row],[DUT Adj Read]]="N/A",Table1[[#This Row],[Std Adj Read]]="N/A"),"N/A",IF(Table1[[#This Row],[DUT Adj Read]]="N/A",IF(Table1[[#This Row],[Std Adj Read]]&gt;=Table1[[#This Row],[Low Tol]],"Pass","Fail"),IF(Table1[[#This Row],[DUT Adj Read]]&gt;=Table1[[#This Row],[Low Tol]],"Pass","Fail")))</f>
        <v>Pass</v>
      </c>
      <c r="AG1061" s="1" t="str">
        <f>IF(AND(Table1[[#This Row],[Spec Type2]]="N/A",Table1[[#This Row],[DUT Adj Read]]="N/A",Table1[[#This Row],[Std Adj Read]]="N/A"),"N/A",IF(Table1[[#This Row],[DUT Adj Read]]="N/A",IF(Table1[[#This Row],[Std Adj Read]]&lt;=Table1[[#This Row],[High Tol]],"Pass","Fail"),IF(Table1[[#This Row],[DUT Adj Read]]&lt;=Table1[[#This Row],[High Tol]],"Pass","Fail")))</f>
        <v>Fail</v>
      </c>
      <c r="AH10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1" s="1" t="b">
        <v>0</v>
      </c>
      <c r="AN1061" s="1" t="b">
        <v>0</v>
      </c>
      <c r="AO1061" s="1" t="b">
        <v>0</v>
      </c>
    </row>
    <row r="1062" spans="1:41" x14ac:dyDescent="0.25">
      <c r="A1062" s="10"/>
      <c r="B1062" s="10"/>
      <c r="C1062" s="10"/>
      <c r="D1062" s="10"/>
      <c r="E1062" s="10"/>
      <c r="F1062" s="10"/>
      <c r="G1062" s="10"/>
      <c r="H1062" s="10"/>
      <c r="I1062" s="1" t="str">
        <f t="shared" si="48"/>
        <v/>
      </c>
      <c r="J1062" s="1" t="s">
        <v>35</v>
      </c>
      <c r="K1062" s="1" t="str">
        <f t="shared" si="49"/>
        <v/>
      </c>
      <c r="L1062" s="1" t="str">
        <f t="shared" si="50"/>
        <v/>
      </c>
      <c r="M1062" s="1">
        <f>IF(OR(Table1[[#This Row],[Std Nom]]="",Table1[[#This Row],[Std Read]]=""),0,Table1[[#This Row],[Std Nom]]-Table1[[#This Row],[Std Read]])</f>
        <v>0</v>
      </c>
      <c r="N1062" s="1">
        <f>IF(Calculations!$F$5="ACCREDITED 17025 WITH UNCERTAINTIES",$N$10,0)</f>
        <v>0</v>
      </c>
      <c r="Q1062" s="1">
        <f>Table1[[#This Row],[High Tol]]-Table1[[#This Row],[Low Tol]]</f>
        <v>0</v>
      </c>
      <c r="R1062" s="1">
        <f>2*Table1[[#This Row],[Std Error]]</f>
        <v>0</v>
      </c>
      <c r="S1062" s="1" t="str">
        <f>IF(Table1[[#This Row],[High Tol]]="","N/A",IFERROR(ABS(Table1[[#This Row],[Tol Span]]/Table1[[#This Row],[Error Span]]),"N/A"))</f>
        <v>N/A</v>
      </c>
      <c r="T1062" s="1" t="str">
        <f>IF(OR(Table1[[#This Row],[Low Tol]]="",Table1[[#This Row],[High Tol]]=""),"Needs Analysis",IF(Table1[[#This Row],[Ratio]]&gt;=4,"Not Significant",IF(Table1[[#This Row],[Ratio]]&gt;=2,"Semi-Significant","Significant")))</f>
        <v>Needs Analysis</v>
      </c>
      <c r="W1062" s="1">
        <f>IF(Table1[[#This Row],[Cal Type]]&lt;&gt;"ACCREDITED 17025 WITH UNCERTAINTIES",0,"")</f>
        <v>0</v>
      </c>
      <c r="X1062" s="1" t="str">
        <f>IF(Table1[[#This Row],[DUT Read]]="","N/A",Table1[[#This Row],[Std Error]]+Table1[[#This Row],[DUT Read]]+Table1[[#This Row],[DUT Ucty]])</f>
        <v>N/A</v>
      </c>
      <c r="Y1062" s="1" t="str">
        <f>IF(Table1[[#This Row],[Std Read]]="","N/A",Table1[[#This Row],[Std Read]]+Table1[[#This Row],[Std Ucty]])</f>
        <v>N/A</v>
      </c>
      <c r="Z10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2" s="1" t="str">
        <f>IF(Table1[[#This Row],[Spec Type]]="","N/A",Table1[[#This Row],[Spec Type]])</f>
        <v>±</v>
      </c>
      <c r="AC1062" s="1" t="str">
        <f>IF(Table1[[#This Row],[Spec Type2]]="N/A","N/A",IF(AND(Table1[[#This Row],[DUT Adj Read]]&gt;=Table1[[#This Row],[Low Tol]],Table1[[#This Row],[DUT Adj Read]]&lt;=Table1[[#This Row],[High Tol]]),"Pass","Fail"))</f>
        <v>Fail</v>
      </c>
      <c r="AD1062" s="1" t="str">
        <f>IF(AND(Table1[[#This Row],[Spec Type2]]="N/A",Table1[[#This Row],[DUT Adj Read]]="N/A",Table1[[#This Row],[Std Adj Read]]="N/A"),"N/A",IF(Table1[[#This Row],[DUT Adj Read]]="N/A",IF(Table1[[#This Row],[Std Adj Read]]&gt;Table1[[#This Row],[Low Tol]],"Pass","Fail"),IF(Table1[[#This Row],[DUT Adj Read]]&gt;Table1[[#This Row],[Low Tol]],"Pass","Fail")))</f>
        <v>Pass</v>
      </c>
      <c r="AE1062" s="1" t="str">
        <f>IF(AND(Table1[[#This Row],[Spec Type2]]="N/A",Table1[[#This Row],[DUT Adj Read]]="N/A",Table1[[#This Row],[Std Adj Read]]="N/A"),"N/A",IF(Table1[[#This Row],[DUT Adj Read]]="N/A",IF(Table1[[#This Row],[Std Adj Read]]&lt;Table1[[#This Row],[High Tol]],"Pass","Fail"),IF(Table1[[#This Row],[DUT Adj Read]]&lt;Table1[[#This Row],[High Tol]],"Pass","Fail")))</f>
        <v>Fail</v>
      </c>
      <c r="AF1062" s="1" t="str">
        <f>IF(AND(Table1[[#This Row],[Spec Type2]]="N/A",Table1[[#This Row],[DUT Adj Read]]="N/A",Table1[[#This Row],[Std Adj Read]]="N/A"),"N/A",IF(Table1[[#This Row],[DUT Adj Read]]="N/A",IF(Table1[[#This Row],[Std Adj Read]]&gt;=Table1[[#This Row],[Low Tol]],"Pass","Fail"),IF(Table1[[#This Row],[DUT Adj Read]]&gt;=Table1[[#This Row],[Low Tol]],"Pass","Fail")))</f>
        <v>Pass</v>
      </c>
      <c r="AG1062" s="1" t="str">
        <f>IF(AND(Table1[[#This Row],[Spec Type2]]="N/A",Table1[[#This Row],[DUT Adj Read]]="N/A",Table1[[#This Row],[Std Adj Read]]="N/A"),"N/A",IF(Table1[[#This Row],[DUT Adj Read]]="N/A",IF(Table1[[#This Row],[Std Adj Read]]&lt;=Table1[[#This Row],[High Tol]],"Pass","Fail"),IF(Table1[[#This Row],[DUT Adj Read]]&lt;=Table1[[#This Row],[High Tol]],"Pass","Fail")))</f>
        <v>Fail</v>
      </c>
      <c r="AH10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2" s="1" t="b">
        <v>0</v>
      </c>
      <c r="AN1062" s="1" t="b">
        <v>0</v>
      </c>
      <c r="AO1062" s="1" t="b">
        <v>0</v>
      </c>
    </row>
    <row r="1063" spans="1:41" x14ac:dyDescent="0.25">
      <c r="A1063" s="10"/>
      <c r="B1063" s="10"/>
      <c r="C1063" s="10"/>
      <c r="D1063" s="10"/>
      <c r="E1063" s="10"/>
      <c r="F1063" s="10"/>
      <c r="G1063" s="10"/>
      <c r="H1063" s="10"/>
      <c r="I1063" s="1" t="str">
        <f t="shared" si="48"/>
        <v/>
      </c>
      <c r="J1063" s="1" t="s">
        <v>35</v>
      </c>
      <c r="K1063" s="1" t="str">
        <f t="shared" si="49"/>
        <v/>
      </c>
      <c r="L1063" s="1" t="str">
        <f t="shared" si="50"/>
        <v/>
      </c>
      <c r="M1063" s="1">
        <f>IF(OR(Table1[[#This Row],[Std Nom]]="",Table1[[#This Row],[Std Read]]=""),0,Table1[[#This Row],[Std Nom]]-Table1[[#This Row],[Std Read]])</f>
        <v>0</v>
      </c>
      <c r="N1063" s="1">
        <f>IF(Calculations!$F$5="ACCREDITED 17025 WITH UNCERTAINTIES",$N$10,0)</f>
        <v>0</v>
      </c>
      <c r="Q1063" s="1">
        <f>Table1[[#This Row],[High Tol]]-Table1[[#This Row],[Low Tol]]</f>
        <v>0</v>
      </c>
      <c r="R1063" s="1">
        <f>2*Table1[[#This Row],[Std Error]]</f>
        <v>0</v>
      </c>
      <c r="S1063" s="1" t="str">
        <f>IF(Table1[[#This Row],[High Tol]]="","N/A",IFERROR(ABS(Table1[[#This Row],[Tol Span]]/Table1[[#This Row],[Error Span]]),"N/A"))</f>
        <v>N/A</v>
      </c>
      <c r="T1063" s="1" t="str">
        <f>IF(OR(Table1[[#This Row],[Low Tol]]="",Table1[[#This Row],[High Tol]]=""),"Needs Analysis",IF(Table1[[#This Row],[Ratio]]&gt;=4,"Not Significant",IF(Table1[[#This Row],[Ratio]]&gt;=2,"Semi-Significant","Significant")))</f>
        <v>Needs Analysis</v>
      </c>
      <c r="W1063" s="1">
        <f>IF(Table1[[#This Row],[Cal Type]]&lt;&gt;"ACCREDITED 17025 WITH UNCERTAINTIES",0,"")</f>
        <v>0</v>
      </c>
      <c r="X1063" s="1" t="str">
        <f>IF(Table1[[#This Row],[DUT Read]]="","N/A",Table1[[#This Row],[Std Error]]+Table1[[#This Row],[DUT Read]]+Table1[[#This Row],[DUT Ucty]])</f>
        <v>N/A</v>
      </c>
      <c r="Y1063" s="1" t="str">
        <f>IF(Table1[[#This Row],[Std Read]]="","N/A",Table1[[#This Row],[Std Read]]+Table1[[#This Row],[Std Ucty]])</f>
        <v>N/A</v>
      </c>
      <c r="Z10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3" s="1" t="str">
        <f>IF(Table1[[#This Row],[Spec Type]]="","N/A",Table1[[#This Row],[Spec Type]])</f>
        <v>±</v>
      </c>
      <c r="AC1063" s="1" t="str">
        <f>IF(Table1[[#This Row],[Spec Type2]]="N/A","N/A",IF(AND(Table1[[#This Row],[DUT Adj Read]]&gt;=Table1[[#This Row],[Low Tol]],Table1[[#This Row],[DUT Adj Read]]&lt;=Table1[[#This Row],[High Tol]]),"Pass","Fail"))</f>
        <v>Fail</v>
      </c>
      <c r="AD1063" s="1" t="str">
        <f>IF(AND(Table1[[#This Row],[Spec Type2]]="N/A",Table1[[#This Row],[DUT Adj Read]]="N/A",Table1[[#This Row],[Std Adj Read]]="N/A"),"N/A",IF(Table1[[#This Row],[DUT Adj Read]]="N/A",IF(Table1[[#This Row],[Std Adj Read]]&gt;Table1[[#This Row],[Low Tol]],"Pass","Fail"),IF(Table1[[#This Row],[DUT Adj Read]]&gt;Table1[[#This Row],[Low Tol]],"Pass","Fail")))</f>
        <v>Pass</v>
      </c>
      <c r="AE1063" s="1" t="str">
        <f>IF(AND(Table1[[#This Row],[Spec Type2]]="N/A",Table1[[#This Row],[DUT Adj Read]]="N/A",Table1[[#This Row],[Std Adj Read]]="N/A"),"N/A",IF(Table1[[#This Row],[DUT Adj Read]]="N/A",IF(Table1[[#This Row],[Std Adj Read]]&lt;Table1[[#This Row],[High Tol]],"Pass","Fail"),IF(Table1[[#This Row],[DUT Adj Read]]&lt;Table1[[#This Row],[High Tol]],"Pass","Fail")))</f>
        <v>Fail</v>
      </c>
      <c r="AF1063" s="1" t="str">
        <f>IF(AND(Table1[[#This Row],[Spec Type2]]="N/A",Table1[[#This Row],[DUT Adj Read]]="N/A",Table1[[#This Row],[Std Adj Read]]="N/A"),"N/A",IF(Table1[[#This Row],[DUT Adj Read]]="N/A",IF(Table1[[#This Row],[Std Adj Read]]&gt;=Table1[[#This Row],[Low Tol]],"Pass","Fail"),IF(Table1[[#This Row],[DUT Adj Read]]&gt;=Table1[[#This Row],[Low Tol]],"Pass","Fail")))</f>
        <v>Pass</v>
      </c>
      <c r="AG1063" s="1" t="str">
        <f>IF(AND(Table1[[#This Row],[Spec Type2]]="N/A",Table1[[#This Row],[DUT Adj Read]]="N/A",Table1[[#This Row],[Std Adj Read]]="N/A"),"N/A",IF(Table1[[#This Row],[DUT Adj Read]]="N/A",IF(Table1[[#This Row],[Std Adj Read]]&lt;=Table1[[#This Row],[High Tol]],"Pass","Fail"),IF(Table1[[#This Row],[DUT Adj Read]]&lt;=Table1[[#This Row],[High Tol]],"Pass","Fail")))</f>
        <v>Fail</v>
      </c>
      <c r="AH10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3" s="1" t="b">
        <v>0</v>
      </c>
      <c r="AN1063" s="1" t="b">
        <v>0</v>
      </c>
      <c r="AO1063" s="1" t="b">
        <v>0</v>
      </c>
    </row>
    <row r="1064" spans="1:41" x14ac:dyDescent="0.25">
      <c r="A1064" s="10"/>
      <c r="B1064" s="10"/>
      <c r="C1064" s="10"/>
      <c r="D1064" s="10"/>
      <c r="E1064" s="10"/>
      <c r="F1064" s="10"/>
      <c r="G1064" s="10"/>
      <c r="H1064" s="10"/>
      <c r="I1064" s="1" t="str">
        <f t="shared" si="48"/>
        <v/>
      </c>
      <c r="J1064" s="1" t="s">
        <v>35</v>
      </c>
      <c r="K1064" s="1" t="str">
        <f t="shared" si="49"/>
        <v/>
      </c>
      <c r="L1064" s="1" t="str">
        <f t="shared" si="50"/>
        <v/>
      </c>
      <c r="M1064" s="1">
        <f>IF(OR(Table1[[#This Row],[Std Nom]]="",Table1[[#This Row],[Std Read]]=""),0,Table1[[#This Row],[Std Nom]]-Table1[[#This Row],[Std Read]])</f>
        <v>0</v>
      </c>
      <c r="N1064" s="1">
        <f>IF(Calculations!$F$5="ACCREDITED 17025 WITH UNCERTAINTIES",$N$10,0)</f>
        <v>0</v>
      </c>
      <c r="Q1064" s="1">
        <f>Table1[[#This Row],[High Tol]]-Table1[[#This Row],[Low Tol]]</f>
        <v>0</v>
      </c>
      <c r="R1064" s="1">
        <f>2*Table1[[#This Row],[Std Error]]</f>
        <v>0</v>
      </c>
      <c r="S1064" s="1" t="str">
        <f>IF(Table1[[#This Row],[High Tol]]="","N/A",IFERROR(ABS(Table1[[#This Row],[Tol Span]]/Table1[[#This Row],[Error Span]]),"N/A"))</f>
        <v>N/A</v>
      </c>
      <c r="T1064" s="1" t="str">
        <f>IF(OR(Table1[[#This Row],[Low Tol]]="",Table1[[#This Row],[High Tol]]=""),"Needs Analysis",IF(Table1[[#This Row],[Ratio]]&gt;=4,"Not Significant",IF(Table1[[#This Row],[Ratio]]&gt;=2,"Semi-Significant","Significant")))</f>
        <v>Needs Analysis</v>
      </c>
      <c r="W1064" s="1">
        <f>IF(Table1[[#This Row],[Cal Type]]&lt;&gt;"ACCREDITED 17025 WITH UNCERTAINTIES",0,"")</f>
        <v>0</v>
      </c>
      <c r="X1064" s="1" t="str">
        <f>IF(Table1[[#This Row],[DUT Read]]="","N/A",Table1[[#This Row],[Std Error]]+Table1[[#This Row],[DUT Read]]+Table1[[#This Row],[DUT Ucty]])</f>
        <v>N/A</v>
      </c>
      <c r="Y1064" s="1" t="str">
        <f>IF(Table1[[#This Row],[Std Read]]="","N/A",Table1[[#This Row],[Std Read]]+Table1[[#This Row],[Std Ucty]])</f>
        <v>N/A</v>
      </c>
      <c r="Z10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4" s="1" t="str">
        <f>IF(Table1[[#This Row],[Spec Type]]="","N/A",Table1[[#This Row],[Spec Type]])</f>
        <v>±</v>
      </c>
      <c r="AC1064" s="1" t="str">
        <f>IF(Table1[[#This Row],[Spec Type2]]="N/A","N/A",IF(AND(Table1[[#This Row],[DUT Adj Read]]&gt;=Table1[[#This Row],[Low Tol]],Table1[[#This Row],[DUT Adj Read]]&lt;=Table1[[#This Row],[High Tol]]),"Pass","Fail"))</f>
        <v>Fail</v>
      </c>
      <c r="AD1064" s="1" t="str">
        <f>IF(AND(Table1[[#This Row],[Spec Type2]]="N/A",Table1[[#This Row],[DUT Adj Read]]="N/A",Table1[[#This Row],[Std Adj Read]]="N/A"),"N/A",IF(Table1[[#This Row],[DUT Adj Read]]="N/A",IF(Table1[[#This Row],[Std Adj Read]]&gt;Table1[[#This Row],[Low Tol]],"Pass","Fail"),IF(Table1[[#This Row],[DUT Adj Read]]&gt;Table1[[#This Row],[Low Tol]],"Pass","Fail")))</f>
        <v>Pass</v>
      </c>
      <c r="AE1064" s="1" t="str">
        <f>IF(AND(Table1[[#This Row],[Spec Type2]]="N/A",Table1[[#This Row],[DUT Adj Read]]="N/A",Table1[[#This Row],[Std Adj Read]]="N/A"),"N/A",IF(Table1[[#This Row],[DUT Adj Read]]="N/A",IF(Table1[[#This Row],[Std Adj Read]]&lt;Table1[[#This Row],[High Tol]],"Pass","Fail"),IF(Table1[[#This Row],[DUT Adj Read]]&lt;Table1[[#This Row],[High Tol]],"Pass","Fail")))</f>
        <v>Fail</v>
      </c>
      <c r="AF1064" s="1" t="str">
        <f>IF(AND(Table1[[#This Row],[Spec Type2]]="N/A",Table1[[#This Row],[DUT Adj Read]]="N/A",Table1[[#This Row],[Std Adj Read]]="N/A"),"N/A",IF(Table1[[#This Row],[DUT Adj Read]]="N/A",IF(Table1[[#This Row],[Std Adj Read]]&gt;=Table1[[#This Row],[Low Tol]],"Pass","Fail"),IF(Table1[[#This Row],[DUT Adj Read]]&gt;=Table1[[#This Row],[Low Tol]],"Pass","Fail")))</f>
        <v>Pass</v>
      </c>
      <c r="AG1064" s="1" t="str">
        <f>IF(AND(Table1[[#This Row],[Spec Type2]]="N/A",Table1[[#This Row],[DUT Adj Read]]="N/A",Table1[[#This Row],[Std Adj Read]]="N/A"),"N/A",IF(Table1[[#This Row],[DUT Adj Read]]="N/A",IF(Table1[[#This Row],[Std Adj Read]]&lt;=Table1[[#This Row],[High Tol]],"Pass","Fail"),IF(Table1[[#This Row],[DUT Adj Read]]&lt;=Table1[[#This Row],[High Tol]],"Pass","Fail")))</f>
        <v>Fail</v>
      </c>
      <c r="AH10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4" s="1" t="b">
        <v>0</v>
      </c>
      <c r="AN1064" s="1" t="b">
        <v>0</v>
      </c>
      <c r="AO1064" s="1" t="b">
        <v>0</v>
      </c>
    </row>
    <row r="1065" spans="1:41" x14ac:dyDescent="0.25">
      <c r="A1065" s="10"/>
      <c r="B1065" s="10"/>
      <c r="C1065" s="10"/>
      <c r="D1065" s="10"/>
      <c r="E1065" s="10"/>
      <c r="F1065" s="10"/>
      <c r="G1065" s="10"/>
      <c r="H1065" s="10"/>
      <c r="I1065" s="1" t="str">
        <f t="shared" si="48"/>
        <v/>
      </c>
      <c r="J1065" s="1" t="s">
        <v>35</v>
      </c>
      <c r="K1065" s="1" t="str">
        <f t="shared" si="49"/>
        <v/>
      </c>
      <c r="L1065" s="1" t="str">
        <f t="shared" si="50"/>
        <v/>
      </c>
      <c r="M1065" s="1">
        <f>IF(OR(Table1[[#This Row],[Std Nom]]="",Table1[[#This Row],[Std Read]]=""),0,Table1[[#This Row],[Std Nom]]-Table1[[#This Row],[Std Read]])</f>
        <v>0</v>
      </c>
      <c r="N1065" s="1">
        <f>IF(Calculations!$F$5="ACCREDITED 17025 WITH UNCERTAINTIES",$N$10,0)</f>
        <v>0</v>
      </c>
      <c r="Q1065" s="1">
        <f>Table1[[#This Row],[High Tol]]-Table1[[#This Row],[Low Tol]]</f>
        <v>0</v>
      </c>
      <c r="R1065" s="1">
        <f>2*Table1[[#This Row],[Std Error]]</f>
        <v>0</v>
      </c>
      <c r="S1065" s="1" t="str">
        <f>IF(Table1[[#This Row],[High Tol]]="","N/A",IFERROR(ABS(Table1[[#This Row],[Tol Span]]/Table1[[#This Row],[Error Span]]),"N/A"))</f>
        <v>N/A</v>
      </c>
      <c r="T1065" s="1" t="str">
        <f>IF(OR(Table1[[#This Row],[Low Tol]]="",Table1[[#This Row],[High Tol]]=""),"Needs Analysis",IF(Table1[[#This Row],[Ratio]]&gt;=4,"Not Significant",IF(Table1[[#This Row],[Ratio]]&gt;=2,"Semi-Significant","Significant")))</f>
        <v>Needs Analysis</v>
      </c>
      <c r="W1065" s="1">
        <f>IF(Table1[[#This Row],[Cal Type]]&lt;&gt;"ACCREDITED 17025 WITH UNCERTAINTIES",0,"")</f>
        <v>0</v>
      </c>
      <c r="X1065" s="1" t="str">
        <f>IF(Table1[[#This Row],[DUT Read]]="","N/A",Table1[[#This Row],[Std Error]]+Table1[[#This Row],[DUT Read]]+Table1[[#This Row],[DUT Ucty]])</f>
        <v>N/A</v>
      </c>
      <c r="Y1065" s="1" t="str">
        <f>IF(Table1[[#This Row],[Std Read]]="","N/A",Table1[[#This Row],[Std Read]]+Table1[[#This Row],[Std Ucty]])</f>
        <v>N/A</v>
      </c>
      <c r="Z10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5" s="1" t="str">
        <f>IF(Table1[[#This Row],[Spec Type]]="","N/A",Table1[[#This Row],[Spec Type]])</f>
        <v>±</v>
      </c>
      <c r="AC1065" s="1" t="str">
        <f>IF(Table1[[#This Row],[Spec Type2]]="N/A","N/A",IF(AND(Table1[[#This Row],[DUT Adj Read]]&gt;=Table1[[#This Row],[Low Tol]],Table1[[#This Row],[DUT Adj Read]]&lt;=Table1[[#This Row],[High Tol]]),"Pass","Fail"))</f>
        <v>Fail</v>
      </c>
      <c r="AD1065" s="1" t="str">
        <f>IF(AND(Table1[[#This Row],[Spec Type2]]="N/A",Table1[[#This Row],[DUT Adj Read]]="N/A",Table1[[#This Row],[Std Adj Read]]="N/A"),"N/A",IF(Table1[[#This Row],[DUT Adj Read]]="N/A",IF(Table1[[#This Row],[Std Adj Read]]&gt;Table1[[#This Row],[Low Tol]],"Pass","Fail"),IF(Table1[[#This Row],[DUT Adj Read]]&gt;Table1[[#This Row],[Low Tol]],"Pass","Fail")))</f>
        <v>Pass</v>
      </c>
      <c r="AE1065" s="1" t="str">
        <f>IF(AND(Table1[[#This Row],[Spec Type2]]="N/A",Table1[[#This Row],[DUT Adj Read]]="N/A",Table1[[#This Row],[Std Adj Read]]="N/A"),"N/A",IF(Table1[[#This Row],[DUT Adj Read]]="N/A",IF(Table1[[#This Row],[Std Adj Read]]&lt;Table1[[#This Row],[High Tol]],"Pass","Fail"),IF(Table1[[#This Row],[DUT Adj Read]]&lt;Table1[[#This Row],[High Tol]],"Pass","Fail")))</f>
        <v>Fail</v>
      </c>
      <c r="AF1065" s="1" t="str">
        <f>IF(AND(Table1[[#This Row],[Spec Type2]]="N/A",Table1[[#This Row],[DUT Adj Read]]="N/A",Table1[[#This Row],[Std Adj Read]]="N/A"),"N/A",IF(Table1[[#This Row],[DUT Adj Read]]="N/A",IF(Table1[[#This Row],[Std Adj Read]]&gt;=Table1[[#This Row],[Low Tol]],"Pass","Fail"),IF(Table1[[#This Row],[DUT Adj Read]]&gt;=Table1[[#This Row],[Low Tol]],"Pass","Fail")))</f>
        <v>Pass</v>
      </c>
      <c r="AG1065" s="1" t="str">
        <f>IF(AND(Table1[[#This Row],[Spec Type2]]="N/A",Table1[[#This Row],[DUT Adj Read]]="N/A",Table1[[#This Row],[Std Adj Read]]="N/A"),"N/A",IF(Table1[[#This Row],[DUT Adj Read]]="N/A",IF(Table1[[#This Row],[Std Adj Read]]&lt;=Table1[[#This Row],[High Tol]],"Pass","Fail"),IF(Table1[[#This Row],[DUT Adj Read]]&lt;=Table1[[#This Row],[High Tol]],"Pass","Fail")))</f>
        <v>Fail</v>
      </c>
      <c r="AH10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5" s="1" t="b">
        <v>0</v>
      </c>
      <c r="AN1065" s="1" t="b">
        <v>0</v>
      </c>
      <c r="AO1065" s="1" t="b">
        <v>0</v>
      </c>
    </row>
    <row r="1066" spans="1:41" x14ac:dyDescent="0.25">
      <c r="A1066" s="10"/>
      <c r="B1066" s="10"/>
      <c r="C1066" s="10"/>
      <c r="D1066" s="10"/>
      <c r="E1066" s="10"/>
      <c r="F1066" s="10"/>
      <c r="G1066" s="10"/>
      <c r="H1066" s="10"/>
      <c r="I1066" s="1" t="str">
        <f t="shared" si="48"/>
        <v/>
      </c>
      <c r="J1066" s="1" t="s">
        <v>35</v>
      </c>
      <c r="K1066" s="1" t="str">
        <f t="shared" si="49"/>
        <v/>
      </c>
      <c r="L1066" s="1" t="str">
        <f t="shared" si="50"/>
        <v/>
      </c>
      <c r="M1066" s="1">
        <f>IF(OR(Table1[[#This Row],[Std Nom]]="",Table1[[#This Row],[Std Read]]=""),0,Table1[[#This Row],[Std Nom]]-Table1[[#This Row],[Std Read]])</f>
        <v>0</v>
      </c>
      <c r="N1066" s="1">
        <f>IF(Calculations!$F$5="ACCREDITED 17025 WITH UNCERTAINTIES",$N$10,0)</f>
        <v>0</v>
      </c>
      <c r="Q1066" s="1">
        <f>Table1[[#This Row],[High Tol]]-Table1[[#This Row],[Low Tol]]</f>
        <v>0</v>
      </c>
      <c r="R1066" s="1">
        <f>2*Table1[[#This Row],[Std Error]]</f>
        <v>0</v>
      </c>
      <c r="S1066" s="1" t="str">
        <f>IF(Table1[[#This Row],[High Tol]]="","N/A",IFERROR(ABS(Table1[[#This Row],[Tol Span]]/Table1[[#This Row],[Error Span]]),"N/A"))</f>
        <v>N/A</v>
      </c>
      <c r="T1066" s="1" t="str">
        <f>IF(OR(Table1[[#This Row],[Low Tol]]="",Table1[[#This Row],[High Tol]]=""),"Needs Analysis",IF(Table1[[#This Row],[Ratio]]&gt;=4,"Not Significant",IF(Table1[[#This Row],[Ratio]]&gt;=2,"Semi-Significant","Significant")))</f>
        <v>Needs Analysis</v>
      </c>
      <c r="W1066" s="1">
        <f>IF(Table1[[#This Row],[Cal Type]]&lt;&gt;"ACCREDITED 17025 WITH UNCERTAINTIES",0,"")</f>
        <v>0</v>
      </c>
      <c r="X1066" s="1" t="str">
        <f>IF(Table1[[#This Row],[DUT Read]]="","N/A",Table1[[#This Row],[Std Error]]+Table1[[#This Row],[DUT Read]]+Table1[[#This Row],[DUT Ucty]])</f>
        <v>N/A</v>
      </c>
      <c r="Y1066" s="1" t="str">
        <f>IF(Table1[[#This Row],[Std Read]]="","N/A",Table1[[#This Row],[Std Read]]+Table1[[#This Row],[Std Ucty]])</f>
        <v>N/A</v>
      </c>
      <c r="Z10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6" s="1" t="str">
        <f>IF(Table1[[#This Row],[Spec Type]]="","N/A",Table1[[#This Row],[Spec Type]])</f>
        <v>±</v>
      </c>
      <c r="AC1066" s="1" t="str">
        <f>IF(Table1[[#This Row],[Spec Type2]]="N/A","N/A",IF(AND(Table1[[#This Row],[DUT Adj Read]]&gt;=Table1[[#This Row],[Low Tol]],Table1[[#This Row],[DUT Adj Read]]&lt;=Table1[[#This Row],[High Tol]]),"Pass","Fail"))</f>
        <v>Fail</v>
      </c>
      <c r="AD1066" s="1" t="str">
        <f>IF(AND(Table1[[#This Row],[Spec Type2]]="N/A",Table1[[#This Row],[DUT Adj Read]]="N/A",Table1[[#This Row],[Std Adj Read]]="N/A"),"N/A",IF(Table1[[#This Row],[DUT Adj Read]]="N/A",IF(Table1[[#This Row],[Std Adj Read]]&gt;Table1[[#This Row],[Low Tol]],"Pass","Fail"),IF(Table1[[#This Row],[DUT Adj Read]]&gt;Table1[[#This Row],[Low Tol]],"Pass","Fail")))</f>
        <v>Pass</v>
      </c>
      <c r="AE1066" s="1" t="str">
        <f>IF(AND(Table1[[#This Row],[Spec Type2]]="N/A",Table1[[#This Row],[DUT Adj Read]]="N/A",Table1[[#This Row],[Std Adj Read]]="N/A"),"N/A",IF(Table1[[#This Row],[DUT Adj Read]]="N/A",IF(Table1[[#This Row],[Std Adj Read]]&lt;Table1[[#This Row],[High Tol]],"Pass","Fail"),IF(Table1[[#This Row],[DUT Adj Read]]&lt;Table1[[#This Row],[High Tol]],"Pass","Fail")))</f>
        <v>Fail</v>
      </c>
      <c r="AF1066" s="1" t="str">
        <f>IF(AND(Table1[[#This Row],[Spec Type2]]="N/A",Table1[[#This Row],[DUT Adj Read]]="N/A",Table1[[#This Row],[Std Adj Read]]="N/A"),"N/A",IF(Table1[[#This Row],[DUT Adj Read]]="N/A",IF(Table1[[#This Row],[Std Adj Read]]&gt;=Table1[[#This Row],[Low Tol]],"Pass","Fail"),IF(Table1[[#This Row],[DUT Adj Read]]&gt;=Table1[[#This Row],[Low Tol]],"Pass","Fail")))</f>
        <v>Pass</v>
      </c>
      <c r="AG1066" s="1" t="str">
        <f>IF(AND(Table1[[#This Row],[Spec Type2]]="N/A",Table1[[#This Row],[DUT Adj Read]]="N/A",Table1[[#This Row],[Std Adj Read]]="N/A"),"N/A",IF(Table1[[#This Row],[DUT Adj Read]]="N/A",IF(Table1[[#This Row],[Std Adj Read]]&lt;=Table1[[#This Row],[High Tol]],"Pass","Fail"),IF(Table1[[#This Row],[DUT Adj Read]]&lt;=Table1[[#This Row],[High Tol]],"Pass","Fail")))</f>
        <v>Fail</v>
      </c>
      <c r="AH10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6" s="1" t="b">
        <v>0</v>
      </c>
      <c r="AN1066" s="1" t="b">
        <v>0</v>
      </c>
      <c r="AO1066" s="1" t="b">
        <v>0</v>
      </c>
    </row>
    <row r="1067" spans="1:41" x14ac:dyDescent="0.25">
      <c r="A1067" s="10"/>
      <c r="B1067" s="10"/>
      <c r="C1067" s="10"/>
      <c r="D1067" s="10"/>
      <c r="E1067" s="10"/>
      <c r="F1067" s="10"/>
      <c r="G1067" s="10"/>
      <c r="H1067" s="10"/>
      <c r="I1067" s="1" t="str">
        <f t="shared" si="48"/>
        <v/>
      </c>
      <c r="J1067" s="1" t="s">
        <v>35</v>
      </c>
      <c r="K1067" s="1" t="str">
        <f t="shared" si="49"/>
        <v/>
      </c>
      <c r="L1067" s="1" t="str">
        <f t="shared" si="50"/>
        <v/>
      </c>
      <c r="M1067" s="1">
        <f>IF(OR(Table1[[#This Row],[Std Nom]]="",Table1[[#This Row],[Std Read]]=""),0,Table1[[#This Row],[Std Nom]]-Table1[[#This Row],[Std Read]])</f>
        <v>0</v>
      </c>
      <c r="N1067" s="1">
        <f>IF(Calculations!$F$5="ACCREDITED 17025 WITH UNCERTAINTIES",$N$10,0)</f>
        <v>0</v>
      </c>
      <c r="Q1067" s="1">
        <f>Table1[[#This Row],[High Tol]]-Table1[[#This Row],[Low Tol]]</f>
        <v>0</v>
      </c>
      <c r="R1067" s="1">
        <f>2*Table1[[#This Row],[Std Error]]</f>
        <v>0</v>
      </c>
      <c r="S1067" s="1" t="str">
        <f>IF(Table1[[#This Row],[High Tol]]="","N/A",IFERROR(ABS(Table1[[#This Row],[Tol Span]]/Table1[[#This Row],[Error Span]]),"N/A"))</f>
        <v>N/A</v>
      </c>
      <c r="T1067" s="1" t="str">
        <f>IF(OR(Table1[[#This Row],[Low Tol]]="",Table1[[#This Row],[High Tol]]=""),"Needs Analysis",IF(Table1[[#This Row],[Ratio]]&gt;=4,"Not Significant",IF(Table1[[#This Row],[Ratio]]&gt;=2,"Semi-Significant","Significant")))</f>
        <v>Needs Analysis</v>
      </c>
      <c r="W1067" s="1">
        <f>IF(Table1[[#This Row],[Cal Type]]&lt;&gt;"ACCREDITED 17025 WITH UNCERTAINTIES",0,"")</f>
        <v>0</v>
      </c>
      <c r="X1067" s="1" t="str">
        <f>IF(Table1[[#This Row],[DUT Read]]="","N/A",Table1[[#This Row],[Std Error]]+Table1[[#This Row],[DUT Read]]+Table1[[#This Row],[DUT Ucty]])</f>
        <v>N/A</v>
      </c>
      <c r="Y1067" s="1" t="str">
        <f>IF(Table1[[#This Row],[Std Read]]="","N/A",Table1[[#This Row],[Std Read]]+Table1[[#This Row],[Std Ucty]])</f>
        <v>N/A</v>
      </c>
      <c r="Z10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7" s="1" t="str">
        <f>IF(Table1[[#This Row],[Spec Type]]="","N/A",Table1[[#This Row],[Spec Type]])</f>
        <v>±</v>
      </c>
      <c r="AC1067" s="1" t="str">
        <f>IF(Table1[[#This Row],[Spec Type2]]="N/A","N/A",IF(AND(Table1[[#This Row],[DUT Adj Read]]&gt;=Table1[[#This Row],[Low Tol]],Table1[[#This Row],[DUT Adj Read]]&lt;=Table1[[#This Row],[High Tol]]),"Pass","Fail"))</f>
        <v>Fail</v>
      </c>
      <c r="AD1067" s="1" t="str">
        <f>IF(AND(Table1[[#This Row],[Spec Type2]]="N/A",Table1[[#This Row],[DUT Adj Read]]="N/A",Table1[[#This Row],[Std Adj Read]]="N/A"),"N/A",IF(Table1[[#This Row],[DUT Adj Read]]="N/A",IF(Table1[[#This Row],[Std Adj Read]]&gt;Table1[[#This Row],[Low Tol]],"Pass","Fail"),IF(Table1[[#This Row],[DUT Adj Read]]&gt;Table1[[#This Row],[Low Tol]],"Pass","Fail")))</f>
        <v>Pass</v>
      </c>
      <c r="AE1067" s="1" t="str">
        <f>IF(AND(Table1[[#This Row],[Spec Type2]]="N/A",Table1[[#This Row],[DUT Adj Read]]="N/A",Table1[[#This Row],[Std Adj Read]]="N/A"),"N/A",IF(Table1[[#This Row],[DUT Adj Read]]="N/A",IF(Table1[[#This Row],[Std Adj Read]]&lt;Table1[[#This Row],[High Tol]],"Pass","Fail"),IF(Table1[[#This Row],[DUT Adj Read]]&lt;Table1[[#This Row],[High Tol]],"Pass","Fail")))</f>
        <v>Fail</v>
      </c>
      <c r="AF1067" s="1" t="str">
        <f>IF(AND(Table1[[#This Row],[Spec Type2]]="N/A",Table1[[#This Row],[DUT Adj Read]]="N/A",Table1[[#This Row],[Std Adj Read]]="N/A"),"N/A",IF(Table1[[#This Row],[DUT Adj Read]]="N/A",IF(Table1[[#This Row],[Std Adj Read]]&gt;=Table1[[#This Row],[Low Tol]],"Pass","Fail"),IF(Table1[[#This Row],[DUT Adj Read]]&gt;=Table1[[#This Row],[Low Tol]],"Pass","Fail")))</f>
        <v>Pass</v>
      </c>
      <c r="AG1067" s="1" t="str">
        <f>IF(AND(Table1[[#This Row],[Spec Type2]]="N/A",Table1[[#This Row],[DUT Adj Read]]="N/A",Table1[[#This Row],[Std Adj Read]]="N/A"),"N/A",IF(Table1[[#This Row],[DUT Adj Read]]="N/A",IF(Table1[[#This Row],[Std Adj Read]]&lt;=Table1[[#This Row],[High Tol]],"Pass","Fail"),IF(Table1[[#This Row],[DUT Adj Read]]&lt;=Table1[[#This Row],[High Tol]],"Pass","Fail")))</f>
        <v>Fail</v>
      </c>
      <c r="AH10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7" s="1" t="b">
        <v>0</v>
      </c>
      <c r="AN1067" s="1" t="b">
        <v>0</v>
      </c>
      <c r="AO1067" s="1" t="b">
        <v>0</v>
      </c>
    </row>
    <row r="1068" spans="1:41" x14ac:dyDescent="0.25">
      <c r="A1068" s="10"/>
      <c r="B1068" s="10"/>
      <c r="C1068" s="10"/>
      <c r="D1068" s="10"/>
      <c r="E1068" s="10"/>
      <c r="F1068" s="10"/>
      <c r="G1068" s="10"/>
      <c r="H1068" s="10"/>
      <c r="I1068" s="1" t="str">
        <f t="shared" si="48"/>
        <v/>
      </c>
      <c r="J1068" s="1" t="s">
        <v>35</v>
      </c>
      <c r="K1068" s="1" t="str">
        <f t="shared" si="49"/>
        <v/>
      </c>
      <c r="L1068" s="1" t="str">
        <f t="shared" si="50"/>
        <v/>
      </c>
      <c r="M1068" s="1">
        <f>IF(OR(Table1[[#This Row],[Std Nom]]="",Table1[[#This Row],[Std Read]]=""),0,Table1[[#This Row],[Std Nom]]-Table1[[#This Row],[Std Read]])</f>
        <v>0</v>
      </c>
      <c r="N1068" s="1">
        <f>IF(Calculations!$F$5="ACCREDITED 17025 WITH UNCERTAINTIES",$N$10,0)</f>
        <v>0</v>
      </c>
      <c r="Q1068" s="1">
        <f>Table1[[#This Row],[High Tol]]-Table1[[#This Row],[Low Tol]]</f>
        <v>0</v>
      </c>
      <c r="R1068" s="1">
        <f>2*Table1[[#This Row],[Std Error]]</f>
        <v>0</v>
      </c>
      <c r="S1068" s="1" t="str">
        <f>IF(Table1[[#This Row],[High Tol]]="","N/A",IFERROR(ABS(Table1[[#This Row],[Tol Span]]/Table1[[#This Row],[Error Span]]),"N/A"))</f>
        <v>N/A</v>
      </c>
      <c r="T1068" s="1" t="str">
        <f>IF(OR(Table1[[#This Row],[Low Tol]]="",Table1[[#This Row],[High Tol]]=""),"Needs Analysis",IF(Table1[[#This Row],[Ratio]]&gt;=4,"Not Significant",IF(Table1[[#This Row],[Ratio]]&gt;=2,"Semi-Significant","Significant")))</f>
        <v>Needs Analysis</v>
      </c>
      <c r="W1068" s="1">
        <f>IF(Table1[[#This Row],[Cal Type]]&lt;&gt;"ACCREDITED 17025 WITH UNCERTAINTIES",0,"")</f>
        <v>0</v>
      </c>
      <c r="X1068" s="1" t="str">
        <f>IF(Table1[[#This Row],[DUT Read]]="","N/A",Table1[[#This Row],[Std Error]]+Table1[[#This Row],[DUT Read]]+Table1[[#This Row],[DUT Ucty]])</f>
        <v>N/A</v>
      </c>
      <c r="Y1068" s="1" t="str">
        <f>IF(Table1[[#This Row],[Std Read]]="","N/A",Table1[[#This Row],[Std Read]]+Table1[[#This Row],[Std Ucty]])</f>
        <v>N/A</v>
      </c>
      <c r="Z10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8" s="1" t="str">
        <f>IF(Table1[[#This Row],[Spec Type]]="","N/A",Table1[[#This Row],[Spec Type]])</f>
        <v>±</v>
      </c>
      <c r="AC1068" s="1" t="str">
        <f>IF(Table1[[#This Row],[Spec Type2]]="N/A","N/A",IF(AND(Table1[[#This Row],[DUT Adj Read]]&gt;=Table1[[#This Row],[Low Tol]],Table1[[#This Row],[DUT Adj Read]]&lt;=Table1[[#This Row],[High Tol]]),"Pass","Fail"))</f>
        <v>Fail</v>
      </c>
      <c r="AD1068" s="1" t="str">
        <f>IF(AND(Table1[[#This Row],[Spec Type2]]="N/A",Table1[[#This Row],[DUT Adj Read]]="N/A",Table1[[#This Row],[Std Adj Read]]="N/A"),"N/A",IF(Table1[[#This Row],[DUT Adj Read]]="N/A",IF(Table1[[#This Row],[Std Adj Read]]&gt;Table1[[#This Row],[Low Tol]],"Pass","Fail"),IF(Table1[[#This Row],[DUT Adj Read]]&gt;Table1[[#This Row],[Low Tol]],"Pass","Fail")))</f>
        <v>Pass</v>
      </c>
      <c r="AE1068" s="1" t="str">
        <f>IF(AND(Table1[[#This Row],[Spec Type2]]="N/A",Table1[[#This Row],[DUT Adj Read]]="N/A",Table1[[#This Row],[Std Adj Read]]="N/A"),"N/A",IF(Table1[[#This Row],[DUT Adj Read]]="N/A",IF(Table1[[#This Row],[Std Adj Read]]&lt;Table1[[#This Row],[High Tol]],"Pass","Fail"),IF(Table1[[#This Row],[DUT Adj Read]]&lt;Table1[[#This Row],[High Tol]],"Pass","Fail")))</f>
        <v>Fail</v>
      </c>
      <c r="AF1068" s="1" t="str">
        <f>IF(AND(Table1[[#This Row],[Spec Type2]]="N/A",Table1[[#This Row],[DUT Adj Read]]="N/A",Table1[[#This Row],[Std Adj Read]]="N/A"),"N/A",IF(Table1[[#This Row],[DUT Adj Read]]="N/A",IF(Table1[[#This Row],[Std Adj Read]]&gt;=Table1[[#This Row],[Low Tol]],"Pass","Fail"),IF(Table1[[#This Row],[DUT Adj Read]]&gt;=Table1[[#This Row],[Low Tol]],"Pass","Fail")))</f>
        <v>Pass</v>
      </c>
      <c r="AG1068" s="1" t="str">
        <f>IF(AND(Table1[[#This Row],[Spec Type2]]="N/A",Table1[[#This Row],[DUT Adj Read]]="N/A",Table1[[#This Row],[Std Adj Read]]="N/A"),"N/A",IF(Table1[[#This Row],[DUT Adj Read]]="N/A",IF(Table1[[#This Row],[Std Adj Read]]&lt;=Table1[[#This Row],[High Tol]],"Pass","Fail"),IF(Table1[[#This Row],[DUT Adj Read]]&lt;=Table1[[#This Row],[High Tol]],"Pass","Fail")))</f>
        <v>Fail</v>
      </c>
      <c r="AH10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8" s="1" t="b">
        <v>0</v>
      </c>
      <c r="AN1068" s="1" t="b">
        <v>0</v>
      </c>
      <c r="AO1068" s="1" t="b">
        <v>0</v>
      </c>
    </row>
    <row r="1069" spans="1:41" x14ac:dyDescent="0.25">
      <c r="A1069" s="10"/>
      <c r="B1069" s="10"/>
      <c r="C1069" s="10"/>
      <c r="D1069" s="10"/>
      <c r="E1069" s="10"/>
      <c r="F1069" s="10"/>
      <c r="G1069" s="10"/>
      <c r="H1069" s="10"/>
      <c r="I1069" s="1" t="str">
        <f t="shared" si="48"/>
        <v/>
      </c>
      <c r="J1069" s="1" t="s">
        <v>35</v>
      </c>
      <c r="K1069" s="1" t="str">
        <f t="shared" si="49"/>
        <v/>
      </c>
      <c r="L1069" s="1" t="str">
        <f t="shared" si="50"/>
        <v/>
      </c>
      <c r="M1069" s="1">
        <f>IF(OR(Table1[[#This Row],[Std Nom]]="",Table1[[#This Row],[Std Read]]=""),0,Table1[[#This Row],[Std Nom]]-Table1[[#This Row],[Std Read]])</f>
        <v>0</v>
      </c>
      <c r="N1069" s="1">
        <f>IF(Calculations!$F$5="ACCREDITED 17025 WITH UNCERTAINTIES",$N$10,0)</f>
        <v>0</v>
      </c>
      <c r="Q1069" s="1">
        <f>Table1[[#This Row],[High Tol]]-Table1[[#This Row],[Low Tol]]</f>
        <v>0</v>
      </c>
      <c r="R1069" s="1">
        <f>2*Table1[[#This Row],[Std Error]]</f>
        <v>0</v>
      </c>
      <c r="S1069" s="1" t="str">
        <f>IF(Table1[[#This Row],[High Tol]]="","N/A",IFERROR(ABS(Table1[[#This Row],[Tol Span]]/Table1[[#This Row],[Error Span]]),"N/A"))</f>
        <v>N/A</v>
      </c>
      <c r="T1069" s="1" t="str">
        <f>IF(OR(Table1[[#This Row],[Low Tol]]="",Table1[[#This Row],[High Tol]]=""),"Needs Analysis",IF(Table1[[#This Row],[Ratio]]&gt;=4,"Not Significant",IF(Table1[[#This Row],[Ratio]]&gt;=2,"Semi-Significant","Significant")))</f>
        <v>Needs Analysis</v>
      </c>
      <c r="W1069" s="1">
        <f>IF(Table1[[#This Row],[Cal Type]]&lt;&gt;"ACCREDITED 17025 WITH UNCERTAINTIES",0,"")</f>
        <v>0</v>
      </c>
      <c r="X1069" s="1" t="str">
        <f>IF(Table1[[#This Row],[DUT Read]]="","N/A",Table1[[#This Row],[Std Error]]+Table1[[#This Row],[DUT Read]]+Table1[[#This Row],[DUT Ucty]])</f>
        <v>N/A</v>
      </c>
      <c r="Y1069" s="1" t="str">
        <f>IF(Table1[[#This Row],[Std Read]]="","N/A",Table1[[#This Row],[Std Read]]+Table1[[#This Row],[Std Ucty]])</f>
        <v>N/A</v>
      </c>
      <c r="Z10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69" s="1" t="str">
        <f>IF(Table1[[#This Row],[Spec Type]]="","N/A",Table1[[#This Row],[Spec Type]])</f>
        <v>±</v>
      </c>
      <c r="AC1069" s="1" t="str">
        <f>IF(Table1[[#This Row],[Spec Type2]]="N/A","N/A",IF(AND(Table1[[#This Row],[DUT Adj Read]]&gt;=Table1[[#This Row],[Low Tol]],Table1[[#This Row],[DUT Adj Read]]&lt;=Table1[[#This Row],[High Tol]]),"Pass","Fail"))</f>
        <v>Fail</v>
      </c>
      <c r="AD1069" s="1" t="str">
        <f>IF(AND(Table1[[#This Row],[Spec Type2]]="N/A",Table1[[#This Row],[DUT Adj Read]]="N/A",Table1[[#This Row],[Std Adj Read]]="N/A"),"N/A",IF(Table1[[#This Row],[DUT Adj Read]]="N/A",IF(Table1[[#This Row],[Std Adj Read]]&gt;Table1[[#This Row],[Low Tol]],"Pass","Fail"),IF(Table1[[#This Row],[DUT Adj Read]]&gt;Table1[[#This Row],[Low Tol]],"Pass","Fail")))</f>
        <v>Pass</v>
      </c>
      <c r="AE1069" s="1" t="str">
        <f>IF(AND(Table1[[#This Row],[Spec Type2]]="N/A",Table1[[#This Row],[DUT Adj Read]]="N/A",Table1[[#This Row],[Std Adj Read]]="N/A"),"N/A",IF(Table1[[#This Row],[DUT Adj Read]]="N/A",IF(Table1[[#This Row],[Std Adj Read]]&lt;Table1[[#This Row],[High Tol]],"Pass","Fail"),IF(Table1[[#This Row],[DUT Adj Read]]&lt;Table1[[#This Row],[High Tol]],"Pass","Fail")))</f>
        <v>Fail</v>
      </c>
      <c r="AF1069" s="1" t="str">
        <f>IF(AND(Table1[[#This Row],[Spec Type2]]="N/A",Table1[[#This Row],[DUT Adj Read]]="N/A",Table1[[#This Row],[Std Adj Read]]="N/A"),"N/A",IF(Table1[[#This Row],[DUT Adj Read]]="N/A",IF(Table1[[#This Row],[Std Adj Read]]&gt;=Table1[[#This Row],[Low Tol]],"Pass","Fail"),IF(Table1[[#This Row],[DUT Adj Read]]&gt;=Table1[[#This Row],[Low Tol]],"Pass","Fail")))</f>
        <v>Pass</v>
      </c>
      <c r="AG1069" s="1" t="str">
        <f>IF(AND(Table1[[#This Row],[Spec Type2]]="N/A",Table1[[#This Row],[DUT Adj Read]]="N/A",Table1[[#This Row],[Std Adj Read]]="N/A"),"N/A",IF(Table1[[#This Row],[DUT Adj Read]]="N/A",IF(Table1[[#This Row],[Std Adj Read]]&lt;=Table1[[#This Row],[High Tol]],"Pass","Fail"),IF(Table1[[#This Row],[DUT Adj Read]]&lt;=Table1[[#This Row],[High Tol]],"Pass","Fail")))</f>
        <v>Fail</v>
      </c>
      <c r="AH10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69" s="1" t="b">
        <v>0</v>
      </c>
      <c r="AN1069" s="1" t="b">
        <v>0</v>
      </c>
      <c r="AO1069" s="1" t="b">
        <v>0</v>
      </c>
    </row>
    <row r="1070" spans="1:41" x14ac:dyDescent="0.25">
      <c r="A1070" s="10"/>
      <c r="B1070" s="10"/>
      <c r="C1070" s="10"/>
      <c r="D1070" s="10"/>
      <c r="E1070" s="10"/>
      <c r="F1070" s="10"/>
      <c r="G1070" s="10"/>
      <c r="H1070" s="10"/>
      <c r="I1070" s="1" t="str">
        <f t="shared" si="48"/>
        <v/>
      </c>
      <c r="J1070" s="1" t="s">
        <v>35</v>
      </c>
      <c r="K1070" s="1" t="str">
        <f t="shared" si="49"/>
        <v/>
      </c>
      <c r="L1070" s="1" t="str">
        <f t="shared" si="50"/>
        <v/>
      </c>
      <c r="M1070" s="1">
        <f>IF(OR(Table1[[#This Row],[Std Nom]]="",Table1[[#This Row],[Std Read]]=""),0,Table1[[#This Row],[Std Nom]]-Table1[[#This Row],[Std Read]])</f>
        <v>0</v>
      </c>
      <c r="N1070" s="1">
        <f>IF(Calculations!$F$5="ACCREDITED 17025 WITH UNCERTAINTIES",$N$10,0)</f>
        <v>0</v>
      </c>
      <c r="Q1070" s="1">
        <f>Table1[[#This Row],[High Tol]]-Table1[[#This Row],[Low Tol]]</f>
        <v>0</v>
      </c>
      <c r="R1070" s="1">
        <f>2*Table1[[#This Row],[Std Error]]</f>
        <v>0</v>
      </c>
      <c r="S1070" s="1" t="str">
        <f>IF(Table1[[#This Row],[High Tol]]="","N/A",IFERROR(ABS(Table1[[#This Row],[Tol Span]]/Table1[[#This Row],[Error Span]]),"N/A"))</f>
        <v>N/A</v>
      </c>
      <c r="T1070" s="1" t="str">
        <f>IF(OR(Table1[[#This Row],[Low Tol]]="",Table1[[#This Row],[High Tol]]=""),"Needs Analysis",IF(Table1[[#This Row],[Ratio]]&gt;=4,"Not Significant",IF(Table1[[#This Row],[Ratio]]&gt;=2,"Semi-Significant","Significant")))</f>
        <v>Needs Analysis</v>
      </c>
      <c r="W1070" s="1">
        <f>IF(Table1[[#This Row],[Cal Type]]&lt;&gt;"ACCREDITED 17025 WITH UNCERTAINTIES",0,"")</f>
        <v>0</v>
      </c>
      <c r="X1070" s="1" t="str">
        <f>IF(Table1[[#This Row],[DUT Read]]="","N/A",Table1[[#This Row],[Std Error]]+Table1[[#This Row],[DUT Read]]+Table1[[#This Row],[DUT Ucty]])</f>
        <v>N/A</v>
      </c>
      <c r="Y1070" s="1" t="str">
        <f>IF(Table1[[#This Row],[Std Read]]="","N/A",Table1[[#This Row],[Std Read]]+Table1[[#This Row],[Std Ucty]])</f>
        <v>N/A</v>
      </c>
      <c r="Z10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0" s="1" t="str">
        <f>IF(Table1[[#This Row],[Spec Type]]="","N/A",Table1[[#This Row],[Spec Type]])</f>
        <v>±</v>
      </c>
      <c r="AC1070" s="1" t="str">
        <f>IF(Table1[[#This Row],[Spec Type2]]="N/A","N/A",IF(AND(Table1[[#This Row],[DUT Adj Read]]&gt;=Table1[[#This Row],[Low Tol]],Table1[[#This Row],[DUT Adj Read]]&lt;=Table1[[#This Row],[High Tol]]),"Pass","Fail"))</f>
        <v>Fail</v>
      </c>
      <c r="AD1070" s="1" t="str">
        <f>IF(AND(Table1[[#This Row],[Spec Type2]]="N/A",Table1[[#This Row],[DUT Adj Read]]="N/A",Table1[[#This Row],[Std Adj Read]]="N/A"),"N/A",IF(Table1[[#This Row],[DUT Adj Read]]="N/A",IF(Table1[[#This Row],[Std Adj Read]]&gt;Table1[[#This Row],[Low Tol]],"Pass","Fail"),IF(Table1[[#This Row],[DUT Adj Read]]&gt;Table1[[#This Row],[Low Tol]],"Pass","Fail")))</f>
        <v>Pass</v>
      </c>
      <c r="AE1070" s="1" t="str">
        <f>IF(AND(Table1[[#This Row],[Spec Type2]]="N/A",Table1[[#This Row],[DUT Adj Read]]="N/A",Table1[[#This Row],[Std Adj Read]]="N/A"),"N/A",IF(Table1[[#This Row],[DUT Adj Read]]="N/A",IF(Table1[[#This Row],[Std Adj Read]]&lt;Table1[[#This Row],[High Tol]],"Pass","Fail"),IF(Table1[[#This Row],[DUT Adj Read]]&lt;Table1[[#This Row],[High Tol]],"Pass","Fail")))</f>
        <v>Fail</v>
      </c>
      <c r="AF1070" s="1" t="str">
        <f>IF(AND(Table1[[#This Row],[Spec Type2]]="N/A",Table1[[#This Row],[DUT Adj Read]]="N/A",Table1[[#This Row],[Std Adj Read]]="N/A"),"N/A",IF(Table1[[#This Row],[DUT Adj Read]]="N/A",IF(Table1[[#This Row],[Std Adj Read]]&gt;=Table1[[#This Row],[Low Tol]],"Pass","Fail"),IF(Table1[[#This Row],[DUT Adj Read]]&gt;=Table1[[#This Row],[Low Tol]],"Pass","Fail")))</f>
        <v>Pass</v>
      </c>
      <c r="AG1070" s="1" t="str">
        <f>IF(AND(Table1[[#This Row],[Spec Type2]]="N/A",Table1[[#This Row],[DUT Adj Read]]="N/A",Table1[[#This Row],[Std Adj Read]]="N/A"),"N/A",IF(Table1[[#This Row],[DUT Adj Read]]="N/A",IF(Table1[[#This Row],[Std Adj Read]]&lt;=Table1[[#This Row],[High Tol]],"Pass","Fail"),IF(Table1[[#This Row],[DUT Adj Read]]&lt;=Table1[[#This Row],[High Tol]],"Pass","Fail")))</f>
        <v>Fail</v>
      </c>
      <c r="AH10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0" s="1" t="b">
        <v>0</v>
      </c>
      <c r="AN1070" s="1" t="b">
        <v>0</v>
      </c>
      <c r="AO1070" s="1" t="b">
        <v>0</v>
      </c>
    </row>
    <row r="1071" spans="1:41" x14ac:dyDescent="0.25">
      <c r="A1071" s="10"/>
      <c r="B1071" s="10"/>
      <c r="C1071" s="10"/>
      <c r="D1071" s="10"/>
      <c r="E1071" s="10"/>
      <c r="F1071" s="10"/>
      <c r="G1071" s="10"/>
      <c r="H1071" s="10"/>
      <c r="I1071" s="1" t="str">
        <f t="shared" si="48"/>
        <v/>
      </c>
      <c r="J1071" s="1" t="s">
        <v>35</v>
      </c>
      <c r="K1071" s="1" t="str">
        <f t="shared" si="49"/>
        <v/>
      </c>
      <c r="L1071" s="1" t="str">
        <f t="shared" si="50"/>
        <v/>
      </c>
      <c r="M1071" s="1">
        <f>IF(OR(Table1[[#This Row],[Std Nom]]="",Table1[[#This Row],[Std Read]]=""),0,Table1[[#This Row],[Std Nom]]-Table1[[#This Row],[Std Read]])</f>
        <v>0</v>
      </c>
      <c r="N1071" s="1">
        <f>IF(Calculations!$F$5="ACCREDITED 17025 WITH UNCERTAINTIES",$N$10,0)</f>
        <v>0</v>
      </c>
      <c r="Q1071" s="1">
        <f>Table1[[#This Row],[High Tol]]-Table1[[#This Row],[Low Tol]]</f>
        <v>0</v>
      </c>
      <c r="R1071" s="1">
        <f>2*Table1[[#This Row],[Std Error]]</f>
        <v>0</v>
      </c>
      <c r="S1071" s="1" t="str">
        <f>IF(Table1[[#This Row],[High Tol]]="","N/A",IFERROR(ABS(Table1[[#This Row],[Tol Span]]/Table1[[#This Row],[Error Span]]),"N/A"))</f>
        <v>N/A</v>
      </c>
      <c r="T1071" s="1" t="str">
        <f>IF(OR(Table1[[#This Row],[Low Tol]]="",Table1[[#This Row],[High Tol]]=""),"Needs Analysis",IF(Table1[[#This Row],[Ratio]]&gt;=4,"Not Significant",IF(Table1[[#This Row],[Ratio]]&gt;=2,"Semi-Significant","Significant")))</f>
        <v>Needs Analysis</v>
      </c>
      <c r="W1071" s="1">
        <f>IF(Table1[[#This Row],[Cal Type]]&lt;&gt;"ACCREDITED 17025 WITH UNCERTAINTIES",0,"")</f>
        <v>0</v>
      </c>
      <c r="X1071" s="1" t="str">
        <f>IF(Table1[[#This Row],[DUT Read]]="","N/A",Table1[[#This Row],[Std Error]]+Table1[[#This Row],[DUT Read]]+Table1[[#This Row],[DUT Ucty]])</f>
        <v>N/A</v>
      </c>
      <c r="Y1071" s="1" t="str">
        <f>IF(Table1[[#This Row],[Std Read]]="","N/A",Table1[[#This Row],[Std Read]]+Table1[[#This Row],[Std Ucty]])</f>
        <v>N/A</v>
      </c>
      <c r="Z10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1" s="1" t="str">
        <f>IF(Table1[[#This Row],[Spec Type]]="","N/A",Table1[[#This Row],[Spec Type]])</f>
        <v>±</v>
      </c>
      <c r="AC1071" s="1" t="str">
        <f>IF(Table1[[#This Row],[Spec Type2]]="N/A","N/A",IF(AND(Table1[[#This Row],[DUT Adj Read]]&gt;=Table1[[#This Row],[Low Tol]],Table1[[#This Row],[DUT Adj Read]]&lt;=Table1[[#This Row],[High Tol]]),"Pass","Fail"))</f>
        <v>Fail</v>
      </c>
      <c r="AD1071" s="1" t="str">
        <f>IF(AND(Table1[[#This Row],[Spec Type2]]="N/A",Table1[[#This Row],[DUT Adj Read]]="N/A",Table1[[#This Row],[Std Adj Read]]="N/A"),"N/A",IF(Table1[[#This Row],[DUT Adj Read]]="N/A",IF(Table1[[#This Row],[Std Adj Read]]&gt;Table1[[#This Row],[Low Tol]],"Pass","Fail"),IF(Table1[[#This Row],[DUT Adj Read]]&gt;Table1[[#This Row],[Low Tol]],"Pass","Fail")))</f>
        <v>Pass</v>
      </c>
      <c r="AE1071" s="1" t="str">
        <f>IF(AND(Table1[[#This Row],[Spec Type2]]="N/A",Table1[[#This Row],[DUT Adj Read]]="N/A",Table1[[#This Row],[Std Adj Read]]="N/A"),"N/A",IF(Table1[[#This Row],[DUT Adj Read]]="N/A",IF(Table1[[#This Row],[Std Adj Read]]&lt;Table1[[#This Row],[High Tol]],"Pass","Fail"),IF(Table1[[#This Row],[DUT Adj Read]]&lt;Table1[[#This Row],[High Tol]],"Pass","Fail")))</f>
        <v>Fail</v>
      </c>
      <c r="AF1071" s="1" t="str">
        <f>IF(AND(Table1[[#This Row],[Spec Type2]]="N/A",Table1[[#This Row],[DUT Adj Read]]="N/A",Table1[[#This Row],[Std Adj Read]]="N/A"),"N/A",IF(Table1[[#This Row],[DUT Adj Read]]="N/A",IF(Table1[[#This Row],[Std Adj Read]]&gt;=Table1[[#This Row],[Low Tol]],"Pass","Fail"),IF(Table1[[#This Row],[DUT Adj Read]]&gt;=Table1[[#This Row],[Low Tol]],"Pass","Fail")))</f>
        <v>Pass</v>
      </c>
      <c r="AG1071" s="1" t="str">
        <f>IF(AND(Table1[[#This Row],[Spec Type2]]="N/A",Table1[[#This Row],[DUT Adj Read]]="N/A",Table1[[#This Row],[Std Adj Read]]="N/A"),"N/A",IF(Table1[[#This Row],[DUT Adj Read]]="N/A",IF(Table1[[#This Row],[Std Adj Read]]&lt;=Table1[[#This Row],[High Tol]],"Pass","Fail"),IF(Table1[[#This Row],[DUT Adj Read]]&lt;=Table1[[#This Row],[High Tol]],"Pass","Fail")))</f>
        <v>Fail</v>
      </c>
      <c r="AH10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1" s="1" t="b">
        <v>0</v>
      </c>
      <c r="AN1071" s="1" t="b">
        <v>0</v>
      </c>
      <c r="AO1071" s="1" t="b">
        <v>0</v>
      </c>
    </row>
    <row r="1072" spans="1:41" x14ac:dyDescent="0.25">
      <c r="A1072" s="10"/>
      <c r="B1072" s="10"/>
      <c r="C1072" s="10"/>
      <c r="D1072" s="10"/>
      <c r="E1072" s="10"/>
      <c r="F1072" s="10"/>
      <c r="G1072" s="10"/>
      <c r="H1072" s="10"/>
      <c r="I1072" s="1" t="str">
        <f t="shared" si="48"/>
        <v/>
      </c>
      <c r="J1072" s="1" t="s">
        <v>35</v>
      </c>
      <c r="K1072" s="1" t="str">
        <f t="shared" si="49"/>
        <v/>
      </c>
      <c r="L1072" s="1" t="str">
        <f t="shared" si="50"/>
        <v/>
      </c>
      <c r="M1072" s="1">
        <f>IF(OR(Table1[[#This Row],[Std Nom]]="",Table1[[#This Row],[Std Read]]=""),0,Table1[[#This Row],[Std Nom]]-Table1[[#This Row],[Std Read]])</f>
        <v>0</v>
      </c>
      <c r="N1072" s="1">
        <f>IF(Calculations!$F$5="ACCREDITED 17025 WITH UNCERTAINTIES",$N$10,0)</f>
        <v>0</v>
      </c>
      <c r="Q1072" s="1">
        <f>Table1[[#This Row],[High Tol]]-Table1[[#This Row],[Low Tol]]</f>
        <v>0</v>
      </c>
      <c r="R1072" s="1">
        <f>2*Table1[[#This Row],[Std Error]]</f>
        <v>0</v>
      </c>
      <c r="S1072" s="1" t="str">
        <f>IF(Table1[[#This Row],[High Tol]]="","N/A",IFERROR(ABS(Table1[[#This Row],[Tol Span]]/Table1[[#This Row],[Error Span]]),"N/A"))</f>
        <v>N/A</v>
      </c>
      <c r="T1072" s="1" t="str">
        <f>IF(OR(Table1[[#This Row],[Low Tol]]="",Table1[[#This Row],[High Tol]]=""),"Needs Analysis",IF(Table1[[#This Row],[Ratio]]&gt;=4,"Not Significant",IF(Table1[[#This Row],[Ratio]]&gt;=2,"Semi-Significant","Significant")))</f>
        <v>Needs Analysis</v>
      </c>
      <c r="W1072" s="1">
        <f>IF(Table1[[#This Row],[Cal Type]]&lt;&gt;"ACCREDITED 17025 WITH UNCERTAINTIES",0,"")</f>
        <v>0</v>
      </c>
      <c r="X1072" s="1" t="str">
        <f>IF(Table1[[#This Row],[DUT Read]]="","N/A",Table1[[#This Row],[Std Error]]+Table1[[#This Row],[DUT Read]]+Table1[[#This Row],[DUT Ucty]])</f>
        <v>N/A</v>
      </c>
      <c r="Y1072" s="1" t="str">
        <f>IF(Table1[[#This Row],[Std Read]]="","N/A",Table1[[#This Row],[Std Read]]+Table1[[#This Row],[Std Ucty]])</f>
        <v>N/A</v>
      </c>
      <c r="Z10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2" s="1" t="str">
        <f>IF(Table1[[#This Row],[Spec Type]]="","N/A",Table1[[#This Row],[Spec Type]])</f>
        <v>±</v>
      </c>
      <c r="AC1072" s="1" t="str">
        <f>IF(Table1[[#This Row],[Spec Type2]]="N/A","N/A",IF(AND(Table1[[#This Row],[DUT Adj Read]]&gt;=Table1[[#This Row],[Low Tol]],Table1[[#This Row],[DUT Adj Read]]&lt;=Table1[[#This Row],[High Tol]]),"Pass","Fail"))</f>
        <v>Fail</v>
      </c>
      <c r="AD1072" s="1" t="str">
        <f>IF(AND(Table1[[#This Row],[Spec Type2]]="N/A",Table1[[#This Row],[DUT Adj Read]]="N/A",Table1[[#This Row],[Std Adj Read]]="N/A"),"N/A",IF(Table1[[#This Row],[DUT Adj Read]]="N/A",IF(Table1[[#This Row],[Std Adj Read]]&gt;Table1[[#This Row],[Low Tol]],"Pass","Fail"),IF(Table1[[#This Row],[DUT Adj Read]]&gt;Table1[[#This Row],[Low Tol]],"Pass","Fail")))</f>
        <v>Pass</v>
      </c>
      <c r="AE1072" s="1" t="str">
        <f>IF(AND(Table1[[#This Row],[Spec Type2]]="N/A",Table1[[#This Row],[DUT Adj Read]]="N/A",Table1[[#This Row],[Std Adj Read]]="N/A"),"N/A",IF(Table1[[#This Row],[DUT Adj Read]]="N/A",IF(Table1[[#This Row],[Std Adj Read]]&lt;Table1[[#This Row],[High Tol]],"Pass","Fail"),IF(Table1[[#This Row],[DUT Adj Read]]&lt;Table1[[#This Row],[High Tol]],"Pass","Fail")))</f>
        <v>Fail</v>
      </c>
      <c r="AF1072" s="1" t="str">
        <f>IF(AND(Table1[[#This Row],[Spec Type2]]="N/A",Table1[[#This Row],[DUT Adj Read]]="N/A",Table1[[#This Row],[Std Adj Read]]="N/A"),"N/A",IF(Table1[[#This Row],[DUT Adj Read]]="N/A",IF(Table1[[#This Row],[Std Adj Read]]&gt;=Table1[[#This Row],[Low Tol]],"Pass","Fail"),IF(Table1[[#This Row],[DUT Adj Read]]&gt;=Table1[[#This Row],[Low Tol]],"Pass","Fail")))</f>
        <v>Pass</v>
      </c>
      <c r="AG1072" s="1" t="str">
        <f>IF(AND(Table1[[#This Row],[Spec Type2]]="N/A",Table1[[#This Row],[DUT Adj Read]]="N/A",Table1[[#This Row],[Std Adj Read]]="N/A"),"N/A",IF(Table1[[#This Row],[DUT Adj Read]]="N/A",IF(Table1[[#This Row],[Std Adj Read]]&lt;=Table1[[#This Row],[High Tol]],"Pass","Fail"),IF(Table1[[#This Row],[DUT Adj Read]]&lt;=Table1[[#This Row],[High Tol]],"Pass","Fail")))</f>
        <v>Fail</v>
      </c>
      <c r="AH10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2" s="1" t="b">
        <v>0</v>
      </c>
      <c r="AN1072" s="1" t="b">
        <v>0</v>
      </c>
      <c r="AO1072" s="1" t="b">
        <v>0</v>
      </c>
    </row>
    <row r="1073" spans="1:41" x14ac:dyDescent="0.25">
      <c r="A1073" s="10"/>
      <c r="B1073" s="10"/>
      <c r="C1073" s="10"/>
      <c r="D1073" s="10"/>
      <c r="E1073" s="10"/>
      <c r="F1073" s="10"/>
      <c r="G1073" s="10"/>
      <c r="H1073" s="10"/>
      <c r="I1073" s="1" t="str">
        <f t="shared" si="48"/>
        <v/>
      </c>
      <c r="J1073" s="1" t="s">
        <v>35</v>
      </c>
      <c r="K1073" s="1" t="str">
        <f t="shared" si="49"/>
        <v/>
      </c>
      <c r="L1073" s="1" t="str">
        <f t="shared" si="50"/>
        <v/>
      </c>
      <c r="M1073" s="1">
        <f>IF(OR(Table1[[#This Row],[Std Nom]]="",Table1[[#This Row],[Std Read]]=""),0,Table1[[#This Row],[Std Nom]]-Table1[[#This Row],[Std Read]])</f>
        <v>0</v>
      </c>
      <c r="N1073" s="1">
        <f>IF(Calculations!$F$5="ACCREDITED 17025 WITH UNCERTAINTIES",$N$10,0)</f>
        <v>0</v>
      </c>
      <c r="Q1073" s="1">
        <f>Table1[[#This Row],[High Tol]]-Table1[[#This Row],[Low Tol]]</f>
        <v>0</v>
      </c>
      <c r="R1073" s="1">
        <f>2*Table1[[#This Row],[Std Error]]</f>
        <v>0</v>
      </c>
      <c r="S1073" s="1" t="str">
        <f>IF(Table1[[#This Row],[High Tol]]="","N/A",IFERROR(ABS(Table1[[#This Row],[Tol Span]]/Table1[[#This Row],[Error Span]]),"N/A"))</f>
        <v>N/A</v>
      </c>
      <c r="T1073" s="1" t="str">
        <f>IF(OR(Table1[[#This Row],[Low Tol]]="",Table1[[#This Row],[High Tol]]=""),"Needs Analysis",IF(Table1[[#This Row],[Ratio]]&gt;=4,"Not Significant",IF(Table1[[#This Row],[Ratio]]&gt;=2,"Semi-Significant","Significant")))</f>
        <v>Needs Analysis</v>
      </c>
      <c r="W1073" s="1">
        <f>IF(Table1[[#This Row],[Cal Type]]&lt;&gt;"ACCREDITED 17025 WITH UNCERTAINTIES",0,"")</f>
        <v>0</v>
      </c>
      <c r="X1073" s="1" t="str">
        <f>IF(Table1[[#This Row],[DUT Read]]="","N/A",Table1[[#This Row],[Std Error]]+Table1[[#This Row],[DUT Read]]+Table1[[#This Row],[DUT Ucty]])</f>
        <v>N/A</v>
      </c>
      <c r="Y1073" s="1" t="str">
        <f>IF(Table1[[#This Row],[Std Read]]="","N/A",Table1[[#This Row],[Std Read]]+Table1[[#This Row],[Std Ucty]])</f>
        <v>N/A</v>
      </c>
      <c r="Z10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3" s="1" t="str">
        <f>IF(Table1[[#This Row],[Spec Type]]="","N/A",Table1[[#This Row],[Spec Type]])</f>
        <v>±</v>
      </c>
      <c r="AC1073" s="1" t="str">
        <f>IF(Table1[[#This Row],[Spec Type2]]="N/A","N/A",IF(AND(Table1[[#This Row],[DUT Adj Read]]&gt;=Table1[[#This Row],[Low Tol]],Table1[[#This Row],[DUT Adj Read]]&lt;=Table1[[#This Row],[High Tol]]),"Pass","Fail"))</f>
        <v>Fail</v>
      </c>
      <c r="AD1073" s="1" t="str">
        <f>IF(AND(Table1[[#This Row],[Spec Type2]]="N/A",Table1[[#This Row],[DUT Adj Read]]="N/A",Table1[[#This Row],[Std Adj Read]]="N/A"),"N/A",IF(Table1[[#This Row],[DUT Adj Read]]="N/A",IF(Table1[[#This Row],[Std Adj Read]]&gt;Table1[[#This Row],[Low Tol]],"Pass","Fail"),IF(Table1[[#This Row],[DUT Adj Read]]&gt;Table1[[#This Row],[Low Tol]],"Pass","Fail")))</f>
        <v>Pass</v>
      </c>
      <c r="AE1073" s="1" t="str">
        <f>IF(AND(Table1[[#This Row],[Spec Type2]]="N/A",Table1[[#This Row],[DUT Adj Read]]="N/A",Table1[[#This Row],[Std Adj Read]]="N/A"),"N/A",IF(Table1[[#This Row],[DUT Adj Read]]="N/A",IF(Table1[[#This Row],[Std Adj Read]]&lt;Table1[[#This Row],[High Tol]],"Pass","Fail"),IF(Table1[[#This Row],[DUT Adj Read]]&lt;Table1[[#This Row],[High Tol]],"Pass","Fail")))</f>
        <v>Fail</v>
      </c>
      <c r="AF1073" s="1" t="str">
        <f>IF(AND(Table1[[#This Row],[Spec Type2]]="N/A",Table1[[#This Row],[DUT Adj Read]]="N/A",Table1[[#This Row],[Std Adj Read]]="N/A"),"N/A",IF(Table1[[#This Row],[DUT Adj Read]]="N/A",IF(Table1[[#This Row],[Std Adj Read]]&gt;=Table1[[#This Row],[Low Tol]],"Pass","Fail"),IF(Table1[[#This Row],[DUT Adj Read]]&gt;=Table1[[#This Row],[Low Tol]],"Pass","Fail")))</f>
        <v>Pass</v>
      </c>
      <c r="AG1073" s="1" t="str">
        <f>IF(AND(Table1[[#This Row],[Spec Type2]]="N/A",Table1[[#This Row],[DUT Adj Read]]="N/A",Table1[[#This Row],[Std Adj Read]]="N/A"),"N/A",IF(Table1[[#This Row],[DUT Adj Read]]="N/A",IF(Table1[[#This Row],[Std Adj Read]]&lt;=Table1[[#This Row],[High Tol]],"Pass","Fail"),IF(Table1[[#This Row],[DUT Adj Read]]&lt;=Table1[[#This Row],[High Tol]],"Pass","Fail")))</f>
        <v>Fail</v>
      </c>
      <c r="AH10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3" s="1" t="b">
        <v>0</v>
      </c>
      <c r="AN1073" s="1" t="b">
        <v>0</v>
      </c>
      <c r="AO1073" s="1" t="b">
        <v>0</v>
      </c>
    </row>
    <row r="1074" spans="1:41" x14ac:dyDescent="0.25">
      <c r="A1074" s="10"/>
      <c r="B1074" s="10"/>
      <c r="C1074" s="10"/>
      <c r="D1074" s="10"/>
      <c r="E1074" s="10"/>
      <c r="F1074" s="10"/>
      <c r="G1074" s="10"/>
      <c r="H1074" s="10"/>
      <c r="I1074" s="1" t="str">
        <f t="shared" si="48"/>
        <v/>
      </c>
      <c r="J1074" s="1" t="s">
        <v>35</v>
      </c>
      <c r="K1074" s="1" t="str">
        <f t="shared" si="49"/>
        <v/>
      </c>
      <c r="L1074" s="1" t="str">
        <f t="shared" si="50"/>
        <v/>
      </c>
      <c r="M1074" s="1">
        <f>IF(OR(Table1[[#This Row],[Std Nom]]="",Table1[[#This Row],[Std Read]]=""),0,Table1[[#This Row],[Std Nom]]-Table1[[#This Row],[Std Read]])</f>
        <v>0</v>
      </c>
      <c r="N1074" s="1">
        <f>IF(Calculations!$F$5="ACCREDITED 17025 WITH UNCERTAINTIES",$N$10,0)</f>
        <v>0</v>
      </c>
      <c r="Q1074" s="1">
        <f>Table1[[#This Row],[High Tol]]-Table1[[#This Row],[Low Tol]]</f>
        <v>0</v>
      </c>
      <c r="R1074" s="1">
        <f>2*Table1[[#This Row],[Std Error]]</f>
        <v>0</v>
      </c>
      <c r="S1074" s="1" t="str">
        <f>IF(Table1[[#This Row],[High Tol]]="","N/A",IFERROR(ABS(Table1[[#This Row],[Tol Span]]/Table1[[#This Row],[Error Span]]),"N/A"))</f>
        <v>N/A</v>
      </c>
      <c r="T1074" s="1" t="str">
        <f>IF(OR(Table1[[#This Row],[Low Tol]]="",Table1[[#This Row],[High Tol]]=""),"Needs Analysis",IF(Table1[[#This Row],[Ratio]]&gt;=4,"Not Significant",IF(Table1[[#This Row],[Ratio]]&gt;=2,"Semi-Significant","Significant")))</f>
        <v>Needs Analysis</v>
      </c>
      <c r="W1074" s="1">
        <f>IF(Table1[[#This Row],[Cal Type]]&lt;&gt;"ACCREDITED 17025 WITH UNCERTAINTIES",0,"")</f>
        <v>0</v>
      </c>
      <c r="X1074" s="1" t="str">
        <f>IF(Table1[[#This Row],[DUT Read]]="","N/A",Table1[[#This Row],[Std Error]]+Table1[[#This Row],[DUT Read]]+Table1[[#This Row],[DUT Ucty]])</f>
        <v>N/A</v>
      </c>
      <c r="Y1074" s="1" t="str">
        <f>IF(Table1[[#This Row],[Std Read]]="","N/A",Table1[[#This Row],[Std Read]]+Table1[[#This Row],[Std Ucty]])</f>
        <v>N/A</v>
      </c>
      <c r="Z10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4" s="1" t="str">
        <f>IF(Table1[[#This Row],[Spec Type]]="","N/A",Table1[[#This Row],[Spec Type]])</f>
        <v>±</v>
      </c>
      <c r="AC1074" s="1" t="str">
        <f>IF(Table1[[#This Row],[Spec Type2]]="N/A","N/A",IF(AND(Table1[[#This Row],[DUT Adj Read]]&gt;=Table1[[#This Row],[Low Tol]],Table1[[#This Row],[DUT Adj Read]]&lt;=Table1[[#This Row],[High Tol]]),"Pass","Fail"))</f>
        <v>Fail</v>
      </c>
      <c r="AD1074" s="1" t="str">
        <f>IF(AND(Table1[[#This Row],[Spec Type2]]="N/A",Table1[[#This Row],[DUT Adj Read]]="N/A",Table1[[#This Row],[Std Adj Read]]="N/A"),"N/A",IF(Table1[[#This Row],[DUT Adj Read]]="N/A",IF(Table1[[#This Row],[Std Adj Read]]&gt;Table1[[#This Row],[Low Tol]],"Pass","Fail"),IF(Table1[[#This Row],[DUT Adj Read]]&gt;Table1[[#This Row],[Low Tol]],"Pass","Fail")))</f>
        <v>Pass</v>
      </c>
      <c r="AE1074" s="1" t="str">
        <f>IF(AND(Table1[[#This Row],[Spec Type2]]="N/A",Table1[[#This Row],[DUT Adj Read]]="N/A",Table1[[#This Row],[Std Adj Read]]="N/A"),"N/A",IF(Table1[[#This Row],[DUT Adj Read]]="N/A",IF(Table1[[#This Row],[Std Adj Read]]&lt;Table1[[#This Row],[High Tol]],"Pass","Fail"),IF(Table1[[#This Row],[DUT Adj Read]]&lt;Table1[[#This Row],[High Tol]],"Pass","Fail")))</f>
        <v>Fail</v>
      </c>
      <c r="AF1074" s="1" t="str">
        <f>IF(AND(Table1[[#This Row],[Spec Type2]]="N/A",Table1[[#This Row],[DUT Adj Read]]="N/A",Table1[[#This Row],[Std Adj Read]]="N/A"),"N/A",IF(Table1[[#This Row],[DUT Adj Read]]="N/A",IF(Table1[[#This Row],[Std Adj Read]]&gt;=Table1[[#This Row],[Low Tol]],"Pass","Fail"),IF(Table1[[#This Row],[DUT Adj Read]]&gt;=Table1[[#This Row],[Low Tol]],"Pass","Fail")))</f>
        <v>Pass</v>
      </c>
      <c r="AG1074" s="1" t="str">
        <f>IF(AND(Table1[[#This Row],[Spec Type2]]="N/A",Table1[[#This Row],[DUT Adj Read]]="N/A",Table1[[#This Row],[Std Adj Read]]="N/A"),"N/A",IF(Table1[[#This Row],[DUT Adj Read]]="N/A",IF(Table1[[#This Row],[Std Adj Read]]&lt;=Table1[[#This Row],[High Tol]],"Pass","Fail"),IF(Table1[[#This Row],[DUT Adj Read]]&lt;=Table1[[#This Row],[High Tol]],"Pass","Fail")))</f>
        <v>Fail</v>
      </c>
      <c r="AH10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4" s="1" t="b">
        <v>0</v>
      </c>
      <c r="AN1074" s="1" t="b">
        <v>0</v>
      </c>
      <c r="AO1074" s="1" t="b">
        <v>0</v>
      </c>
    </row>
    <row r="1075" spans="1:41" x14ac:dyDescent="0.25">
      <c r="A1075" s="10"/>
      <c r="B1075" s="10"/>
      <c r="C1075" s="10"/>
      <c r="D1075" s="10"/>
      <c r="E1075" s="10"/>
      <c r="F1075" s="10"/>
      <c r="G1075" s="10"/>
      <c r="H1075" s="10"/>
      <c r="I1075" s="1" t="str">
        <f t="shared" si="48"/>
        <v/>
      </c>
      <c r="J1075" s="1" t="s">
        <v>35</v>
      </c>
      <c r="K1075" s="1" t="str">
        <f t="shared" si="49"/>
        <v/>
      </c>
      <c r="L1075" s="1" t="str">
        <f t="shared" si="50"/>
        <v/>
      </c>
      <c r="M1075" s="1">
        <f>IF(OR(Table1[[#This Row],[Std Nom]]="",Table1[[#This Row],[Std Read]]=""),0,Table1[[#This Row],[Std Nom]]-Table1[[#This Row],[Std Read]])</f>
        <v>0</v>
      </c>
      <c r="N1075" s="1">
        <f>IF(Calculations!$F$5="ACCREDITED 17025 WITH UNCERTAINTIES",$N$10,0)</f>
        <v>0</v>
      </c>
      <c r="Q1075" s="1">
        <f>Table1[[#This Row],[High Tol]]-Table1[[#This Row],[Low Tol]]</f>
        <v>0</v>
      </c>
      <c r="R1075" s="1">
        <f>2*Table1[[#This Row],[Std Error]]</f>
        <v>0</v>
      </c>
      <c r="S1075" s="1" t="str">
        <f>IF(Table1[[#This Row],[High Tol]]="","N/A",IFERROR(ABS(Table1[[#This Row],[Tol Span]]/Table1[[#This Row],[Error Span]]),"N/A"))</f>
        <v>N/A</v>
      </c>
      <c r="T1075" s="1" t="str">
        <f>IF(OR(Table1[[#This Row],[Low Tol]]="",Table1[[#This Row],[High Tol]]=""),"Needs Analysis",IF(Table1[[#This Row],[Ratio]]&gt;=4,"Not Significant",IF(Table1[[#This Row],[Ratio]]&gt;=2,"Semi-Significant","Significant")))</f>
        <v>Needs Analysis</v>
      </c>
      <c r="W1075" s="1">
        <f>IF(Table1[[#This Row],[Cal Type]]&lt;&gt;"ACCREDITED 17025 WITH UNCERTAINTIES",0,"")</f>
        <v>0</v>
      </c>
      <c r="X1075" s="1" t="str">
        <f>IF(Table1[[#This Row],[DUT Read]]="","N/A",Table1[[#This Row],[Std Error]]+Table1[[#This Row],[DUT Read]]+Table1[[#This Row],[DUT Ucty]])</f>
        <v>N/A</v>
      </c>
      <c r="Y1075" s="1" t="str">
        <f>IF(Table1[[#This Row],[Std Read]]="","N/A",Table1[[#This Row],[Std Read]]+Table1[[#This Row],[Std Ucty]])</f>
        <v>N/A</v>
      </c>
      <c r="Z10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5" s="1" t="str">
        <f>IF(Table1[[#This Row],[Spec Type]]="","N/A",Table1[[#This Row],[Spec Type]])</f>
        <v>±</v>
      </c>
      <c r="AC1075" s="1" t="str">
        <f>IF(Table1[[#This Row],[Spec Type2]]="N/A","N/A",IF(AND(Table1[[#This Row],[DUT Adj Read]]&gt;=Table1[[#This Row],[Low Tol]],Table1[[#This Row],[DUT Adj Read]]&lt;=Table1[[#This Row],[High Tol]]),"Pass","Fail"))</f>
        <v>Fail</v>
      </c>
      <c r="AD1075" s="1" t="str">
        <f>IF(AND(Table1[[#This Row],[Spec Type2]]="N/A",Table1[[#This Row],[DUT Adj Read]]="N/A",Table1[[#This Row],[Std Adj Read]]="N/A"),"N/A",IF(Table1[[#This Row],[DUT Adj Read]]="N/A",IF(Table1[[#This Row],[Std Adj Read]]&gt;Table1[[#This Row],[Low Tol]],"Pass","Fail"),IF(Table1[[#This Row],[DUT Adj Read]]&gt;Table1[[#This Row],[Low Tol]],"Pass","Fail")))</f>
        <v>Pass</v>
      </c>
      <c r="AE1075" s="1" t="str">
        <f>IF(AND(Table1[[#This Row],[Spec Type2]]="N/A",Table1[[#This Row],[DUT Adj Read]]="N/A",Table1[[#This Row],[Std Adj Read]]="N/A"),"N/A",IF(Table1[[#This Row],[DUT Adj Read]]="N/A",IF(Table1[[#This Row],[Std Adj Read]]&lt;Table1[[#This Row],[High Tol]],"Pass","Fail"),IF(Table1[[#This Row],[DUT Adj Read]]&lt;Table1[[#This Row],[High Tol]],"Pass","Fail")))</f>
        <v>Fail</v>
      </c>
      <c r="AF1075" s="1" t="str">
        <f>IF(AND(Table1[[#This Row],[Spec Type2]]="N/A",Table1[[#This Row],[DUT Adj Read]]="N/A",Table1[[#This Row],[Std Adj Read]]="N/A"),"N/A",IF(Table1[[#This Row],[DUT Adj Read]]="N/A",IF(Table1[[#This Row],[Std Adj Read]]&gt;=Table1[[#This Row],[Low Tol]],"Pass","Fail"),IF(Table1[[#This Row],[DUT Adj Read]]&gt;=Table1[[#This Row],[Low Tol]],"Pass","Fail")))</f>
        <v>Pass</v>
      </c>
      <c r="AG1075" s="1" t="str">
        <f>IF(AND(Table1[[#This Row],[Spec Type2]]="N/A",Table1[[#This Row],[DUT Adj Read]]="N/A",Table1[[#This Row],[Std Adj Read]]="N/A"),"N/A",IF(Table1[[#This Row],[DUT Adj Read]]="N/A",IF(Table1[[#This Row],[Std Adj Read]]&lt;=Table1[[#This Row],[High Tol]],"Pass","Fail"),IF(Table1[[#This Row],[DUT Adj Read]]&lt;=Table1[[#This Row],[High Tol]],"Pass","Fail")))</f>
        <v>Fail</v>
      </c>
      <c r="AH10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5" s="1" t="b">
        <v>0</v>
      </c>
      <c r="AN1075" s="1" t="b">
        <v>0</v>
      </c>
      <c r="AO1075" s="1" t="b">
        <v>0</v>
      </c>
    </row>
    <row r="1076" spans="1:41" x14ac:dyDescent="0.25">
      <c r="A1076" s="10"/>
      <c r="B1076" s="10"/>
      <c r="C1076" s="10"/>
      <c r="D1076" s="10"/>
      <c r="E1076" s="10"/>
      <c r="F1076" s="10"/>
      <c r="G1076" s="10"/>
      <c r="H1076" s="10"/>
      <c r="I1076" s="1" t="str">
        <f t="shared" si="48"/>
        <v/>
      </c>
      <c r="J1076" s="1" t="s">
        <v>35</v>
      </c>
      <c r="K1076" s="1" t="str">
        <f t="shared" si="49"/>
        <v/>
      </c>
      <c r="L1076" s="1" t="str">
        <f t="shared" si="50"/>
        <v/>
      </c>
      <c r="M1076" s="1">
        <f>IF(OR(Table1[[#This Row],[Std Nom]]="",Table1[[#This Row],[Std Read]]=""),0,Table1[[#This Row],[Std Nom]]-Table1[[#This Row],[Std Read]])</f>
        <v>0</v>
      </c>
      <c r="N1076" s="1">
        <f>IF(Calculations!$F$5="ACCREDITED 17025 WITH UNCERTAINTIES",$N$10,0)</f>
        <v>0</v>
      </c>
      <c r="Q1076" s="1">
        <f>Table1[[#This Row],[High Tol]]-Table1[[#This Row],[Low Tol]]</f>
        <v>0</v>
      </c>
      <c r="R1076" s="1">
        <f>2*Table1[[#This Row],[Std Error]]</f>
        <v>0</v>
      </c>
      <c r="S1076" s="1" t="str">
        <f>IF(Table1[[#This Row],[High Tol]]="","N/A",IFERROR(ABS(Table1[[#This Row],[Tol Span]]/Table1[[#This Row],[Error Span]]),"N/A"))</f>
        <v>N/A</v>
      </c>
      <c r="T1076" s="1" t="str">
        <f>IF(OR(Table1[[#This Row],[Low Tol]]="",Table1[[#This Row],[High Tol]]=""),"Needs Analysis",IF(Table1[[#This Row],[Ratio]]&gt;=4,"Not Significant",IF(Table1[[#This Row],[Ratio]]&gt;=2,"Semi-Significant","Significant")))</f>
        <v>Needs Analysis</v>
      </c>
      <c r="W1076" s="1">
        <f>IF(Table1[[#This Row],[Cal Type]]&lt;&gt;"ACCREDITED 17025 WITH UNCERTAINTIES",0,"")</f>
        <v>0</v>
      </c>
      <c r="X1076" s="1" t="str">
        <f>IF(Table1[[#This Row],[DUT Read]]="","N/A",Table1[[#This Row],[Std Error]]+Table1[[#This Row],[DUT Read]]+Table1[[#This Row],[DUT Ucty]])</f>
        <v>N/A</v>
      </c>
      <c r="Y1076" s="1" t="str">
        <f>IF(Table1[[#This Row],[Std Read]]="","N/A",Table1[[#This Row],[Std Read]]+Table1[[#This Row],[Std Ucty]])</f>
        <v>N/A</v>
      </c>
      <c r="Z10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6" s="1" t="str">
        <f>IF(Table1[[#This Row],[Spec Type]]="","N/A",Table1[[#This Row],[Spec Type]])</f>
        <v>±</v>
      </c>
      <c r="AC1076" s="1" t="str">
        <f>IF(Table1[[#This Row],[Spec Type2]]="N/A","N/A",IF(AND(Table1[[#This Row],[DUT Adj Read]]&gt;=Table1[[#This Row],[Low Tol]],Table1[[#This Row],[DUT Adj Read]]&lt;=Table1[[#This Row],[High Tol]]),"Pass","Fail"))</f>
        <v>Fail</v>
      </c>
      <c r="AD1076" s="1" t="str">
        <f>IF(AND(Table1[[#This Row],[Spec Type2]]="N/A",Table1[[#This Row],[DUT Adj Read]]="N/A",Table1[[#This Row],[Std Adj Read]]="N/A"),"N/A",IF(Table1[[#This Row],[DUT Adj Read]]="N/A",IF(Table1[[#This Row],[Std Adj Read]]&gt;Table1[[#This Row],[Low Tol]],"Pass","Fail"),IF(Table1[[#This Row],[DUT Adj Read]]&gt;Table1[[#This Row],[Low Tol]],"Pass","Fail")))</f>
        <v>Pass</v>
      </c>
      <c r="AE1076" s="1" t="str">
        <f>IF(AND(Table1[[#This Row],[Spec Type2]]="N/A",Table1[[#This Row],[DUT Adj Read]]="N/A",Table1[[#This Row],[Std Adj Read]]="N/A"),"N/A",IF(Table1[[#This Row],[DUT Adj Read]]="N/A",IF(Table1[[#This Row],[Std Adj Read]]&lt;Table1[[#This Row],[High Tol]],"Pass","Fail"),IF(Table1[[#This Row],[DUT Adj Read]]&lt;Table1[[#This Row],[High Tol]],"Pass","Fail")))</f>
        <v>Fail</v>
      </c>
      <c r="AF1076" s="1" t="str">
        <f>IF(AND(Table1[[#This Row],[Spec Type2]]="N/A",Table1[[#This Row],[DUT Adj Read]]="N/A",Table1[[#This Row],[Std Adj Read]]="N/A"),"N/A",IF(Table1[[#This Row],[DUT Adj Read]]="N/A",IF(Table1[[#This Row],[Std Adj Read]]&gt;=Table1[[#This Row],[Low Tol]],"Pass","Fail"),IF(Table1[[#This Row],[DUT Adj Read]]&gt;=Table1[[#This Row],[Low Tol]],"Pass","Fail")))</f>
        <v>Pass</v>
      </c>
      <c r="AG1076" s="1" t="str">
        <f>IF(AND(Table1[[#This Row],[Spec Type2]]="N/A",Table1[[#This Row],[DUT Adj Read]]="N/A",Table1[[#This Row],[Std Adj Read]]="N/A"),"N/A",IF(Table1[[#This Row],[DUT Adj Read]]="N/A",IF(Table1[[#This Row],[Std Adj Read]]&lt;=Table1[[#This Row],[High Tol]],"Pass","Fail"),IF(Table1[[#This Row],[DUT Adj Read]]&lt;=Table1[[#This Row],[High Tol]],"Pass","Fail")))</f>
        <v>Fail</v>
      </c>
      <c r="AH10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6" s="1" t="b">
        <v>0</v>
      </c>
      <c r="AN1076" s="1" t="b">
        <v>0</v>
      </c>
      <c r="AO1076" s="1" t="b">
        <v>0</v>
      </c>
    </row>
    <row r="1077" spans="1:41" x14ac:dyDescent="0.25">
      <c r="A1077" s="10"/>
      <c r="B1077" s="10"/>
      <c r="C1077" s="10"/>
      <c r="D1077" s="10"/>
      <c r="E1077" s="10"/>
      <c r="F1077" s="10"/>
      <c r="G1077" s="10"/>
      <c r="H1077" s="10"/>
      <c r="I1077" s="1" t="str">
        <f t="shared" si="48"/>
        <v/>
      </c>
      <c r="J1077" s="1" t="s">
        <v>35</v>
      </c>
      <c r="K1077" s="1" t="str">
        <f t="shared" si="49"/>
        <v/>
      </c>
      <c r="L1077" s="1" t="str">
        <f t="shared" si="50"/>
        <v/>
      </c>
      <c r="M1077" s="1">
        <f>IF(OR(Table1[[#This Row],[Std Nom]]="",Table1[[#This Row],[Std Read]]=""),0,Table1[[#This Row],[Std Nom]]-Table1[[#This Row],[Std Read]])</f>
        <v>0</v>
      </c>
      <c r="N1077" s="1">
        <f>IF(Calculations!$F$5="ACCREDITED 17025 WITH UNCERTAINTIES",$N$10,0)</f>
        <v>0</v>
      </c>
      <c r="Q1077" s="1">
        <f>Table1[[#This Row],[High Tol]]-Table1[[#This Row],[Low Tol]]</f>
        <v>0</v>
      </c>
      <c r="R1077" s="1">
        <f>2*Table1[[#This Row],[Std Error]]</f>
        <v>0</v>
      </c>
      <c r="S1077" s="1" t="str">
        <f>IF(Table1[[#This Row],[High Tol]]="","N/A",IFERROR(ABS(Table1[[#This Row],[Tol Span]]/Table1[[#This Row],[Error Span]]),"N/A"))</f>
        <v>N/A</v>
      </c>
      <c r="T1077" s="1" t="str">
        <f>IF(OR(Table1[[#This Row],[Low Tol]]="",Table1[[#This Row],[High Tol]]=""),"Needs Analysis",IF(Table1[[#This Row],[Ratio]]&gt;=4,"Not Significant",IF(Table1[[#This Row],[Ratio]]&gt;=2,"Semi-Significant","Significant")))</f>
        <v>Needs Analysis</v>
      </c>
      <c r="W1077" s="1">
        <f>IF(Table1[[#This Row],[Cal Type]]&lt;&gt;"ACCREDITED 17025 WITH UNCERTAINTIES",0,"")</f>
        <v>0</v>
      </c>
      <c r="X1077" s="1" t="str">
        <f>IF(Table1[[#This Row],[DUT Read]]="","N/A",Table1[[#This Row],[Std Error]]+Table1[[#This Row],[DUT Read]]+Table1[[#This Row],[DUT Ucty]])</f>
        <v>N/A</v>
      </c>
      <c r="Y1077" s="1" t="str">
        <f>IF(Table1[[#This Row],[Std Read]]="","N/A",Table1[[#This Row],[Std Read]]+Table1[[#This Row],[Std Ucty]])</f>
        <v>N/A</v>
      </c>
      <c r="Z10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7" s="1" t="str">
        <f>IF(Table1[[#This Row],[Spec Type]]="","N/A",Table1[[#This Row],[Spec Type]])</f>
        <v>±</v>
      </c>
      <c r="AC1077" s="1" t="str">
        <f>IF(Table1[[#This Row],[Spec Type2]]="N/A","N/A",IF(AND(Table1[[#This Row],[DUT Adj Read]]&gt;=Table1[[#This Row],[Low Tol]],Table1[[#This Row],[DUT Adj Read]]&lt;=Table1[[#This Row],[High Tol]]),"Pass","Fail"))</f>
        <v>Fail</v>
      </c>
      <c r="AD1077" s="1" t="str">
        <f>IF(AND(Table1[[#This Row],[Spec Type2]]="N/A",Table1[[#This Row],[DUT Adj Read]]="N/A",Table1[[#This Row],[Std Adj Read]]="N/A"),"N/A",IF(Table1[[#This Row],[DUT Adj Read]]="N/A",IF(Table1[[#This Row],[Std Adj Read]]&gt;Table1[[#This Row],[Low Tol]],"Pass","Fail"),IF(Table1[[#This Row],[DUT Adj Read]]&gt;Table1[[#This Row],[Low Tol]],"Pass","Fail")))</f>
        <v>Pass</v>
      </c>
      <c r="AE1077" s="1" t="str">
        <f>IF(AND(Table1[[#This Row],[Spec Type2]]="N/A",Table1[[#This Row],[DUT Adj Read]]="N/A",Table1[[#This Row],[Std Adj Read]]="N/A"),"N/A",IF(Table1[[#This Row],[DUT Adj Read]]="N/A",IF(Table1[[#This Row],[Std Adj Read]]&lt;Table1[[#This Row],[High Tol]],"Pass","Fail"),IF(Table1[[#This Row],[DUT Adj Read]]&lt;Table1[[#This Row],[High Tol]],"Pass","Fail")))</f>
        <v>Fail</v>
      </c>
      <c r="AF1077" s="1" t="str">
        <f>IF(AND(Table1[[#This Row],[Spec Type2]]="N/A",Table1[[#This Row],[DUT Adj Read]]="N/A",Table1[[#This Row],[Std Adj Read]]="N/A"),"N/A",IF(Table1[[#This Row],[DUT Adj Read]]="N/A",IF(Table1[[#This Row],[Std Adj Read]]&gt;=Table1[[#This Row],[Low Tol]],"Pass","Fail"),IF(Table1[[#This Row],[DUT Adj Read]]&gt;=Table1[[#This Row],[Low Tol]],"Pass","Fail")))</f>
        <v>Pass</v>
      </c>
      <c r="AG1077" s="1" t="str">
        <f>IF(AND(Table1[[#This Row],[Spec Type2]]="N/A",Table1[[#This Row],[DUT Adj Read]]="N/A",Table1[[#This Row],[Std Adj Read]]="N/A"),"N/A",IF(Table1[[#This Row],[DUT Adj Read]]="N/A",IF(Table1[[#This Row],[Std Adj Read]]&lt;=Table1[[#This Row],[High Tol]],"Pass","Fail"),IF(Table1[[#This Row],[DUT Adj Read]]&lt;=Table1[[#This Row],[High Tol]],"Pass","Fail")))</f>
        <v>Fail</v>
      </c>
      <c r="AH10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7" s="1" t="b">
        <v>0</v>
      </c>
      <c r="AN1077" s="1" t="b">
        <v>0</v>
      </c>
      <c r="AO1077" s="1" t="b">
        <v>0</v>
      </c>
    </row>
    <row r="1078" spans="1:41" x14ac:dyDescent="0.25">
      <c r="A1078" s="10"/>
      <c r="B1078" s="10"/>
      <c r="C1078" s="10"/>
      <c r="D1078" s="10"/>
      <c r="E1078" s="10"/>
      <c r="F1078" s="10"/>
      <c r="G1078" s="10"/>
      <c r="H1078" s="10"/>
      <c r="I1078" s="1" t="str">
        <f t="shared" si="48"/>
        <v/>
      </c>
      <c r="J1078" s="1" t="s">
        <v>35</v>
      </c>
      <c r="K1078" s="1" t="str">
        <f t="shared" si="49"/>
        <v/>
      </c>
      <c r="L1078" s="1" t="str">
        <f t="shared" si="50"/>
        <v/>
      </c>
      <c r="M1078" s="1">
        <f>IF(OR(Table1[[#This Row],[Std Nom]]="",Table1[[#This Row],[Std Read]]=""),0,Table1[[#This Row],[Std Nom]]-Table1[[#This Row],[Std Read]])</f>
        <v>0</v>
      </c>
      <c r="N1078" s="1">
        <f>IF(Calculations!$F$5="ACCREDITED 17025 WITH UNCERTAINTIES",$N$10,0)</f>
        <v>0</v>
      </c>
      <c r="Q1078" s="1">
        <f>Table1[[#This Row],[High Tol]]-Table1[[#This Row],[Low Tol]]</f>
        <v>0</v>
      </c>
      <c r="R1078" s="1">
        <f>2*Table1[[#This Row],[Std Error]]</f>
        <v>0</v>
      </c>
      <c r="S1078" s="1" t="str">
        <f>IF(Table1[[#This Row],[High Tol]]="","N/A",IFERROR(ABS(Table1[[#This Row],[Tol Span]]/Table1[[#This Row],[Error Span]]),"N/A"))</f>
        <v>N/A</v>
      </c>
      <c r="T1078" s="1" t="str">
        <f>IF(OR(Table1[[#This Row],[Low Tol]]="",Table1[[#This Row],[High Tol]]=""),"Needs Analysis",IF(Table1[[#This Row],[Ratio]]&gt;=4,"Not Significant",IF(Table1[[#This Row],[Ratio]]&gt;=2,"Semi-Significant","Significant")))</f>
        <v>Needs Analysis</v>
      </c>
      <c r="W1078" s="1">
        <f>IF(Table1[[#This Row],[Cal Type]]&lt;&gt;"ACCREDITED 17025 WITH UNCERTAINTIES",0,"")</f>
        <v>0</v>
      </c>
      <c r="X1078" s="1" t="str">
        <f>IF(Table1[[#This Row],[DUT Read]]="","N/A",Table1[[#This Row],[Std Error]]+Table1[[#This Row],[DUT Read]]+Table1[[#This Row],[DUT Ucty]])</f>
        <v>N/A</v>
      </c>
      <c r="Y1078" s="1" t="str">
        <f>IF(Table1[[#This Row],[Std Read]]="","N/A",Table1[[#This Row],[Std Read]]+Table1[[#This Row],[Std Ucty]])</f>
        <v>N/A</v>
      </c>
      <c r="Z10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8" s="1" t="str">
        <f>IF(Table1[[#This Row],[Spec Type]]="","N/A",Table1[[#This Row],[Spec Type]])</f>
        <v>±</v>
      </c>
      <c r="AC1078" s="1" t="str">
        <f>IF(Table1[[#This Row],[Spec Type2]]="N/A","N/A",IF(AND(Table1[[#This Row],[DUT Adj Read]]&gt;=Table1[[#This Row],[Low Tol]],Table1[[#This Row],[DUT Adj Read]]&lt;=Table1[[#This Row],[High Tol]]),"Pass","Fail"))</f>
        <v>Fail</v>
      </c>
      <c r="AD1078" s="1" t="str">
        <f>IF(AND(Table1[[#This Row],[Spec Type2]]="N/A",Table1[[#This Row],[DUT Adj Read]]="N/A",Table1[[#This Row],[Std Adj Read]]="N/A"),"N/A",IF(Table1[[#This Row],[DUT Adj Read]]="N/A",IF(Table1[[#This Row],[Std Adj Read]]&gt;Table1[[#This Row],[Low Tol]],"Pass","Fail"),IF(Table1[[#This Row],[DUT Adj Read]]&gt;Table1[[#This Row],[Low Tol]],"Pass","Fail")))</f>
        <v>Pass</v>
      </c>
      <c r="AE1078" s="1" t="str">
        <f>IF(AND(Table1[[#This Row],[Spec Type2]]="N/A",Table1[[#This Row],[DUT Adj Read]]="N/A",Table1[[#This Row],[Std Adj Read]]="N/A"),"N/A",IF(Table1[[#This Row],[DUT Adj Read]]="N/A",IF(Table1[[#This Row],[Std Adj Read]]&lt;Table1[[#This Row],[High Tol]],"Pass","Fail"),IF(Table1[[#This Row],[DUT Adj Read]]&lt;Table1[[#This Row],[High Tol]],"Pass","Fail")))</f>
        <v>Fail</v>
      </c>
      <c r="AF1078" s="1" t="str">
        <f>IF(AND(Table1[[#This Row],[Spec Type2]]="N/A",Table1[[#This Row],[DUT Adj Read]]="N/A",Table1[[#This Row],[Std Adj Read]]="N/A"),"N/A",IF(Table1[[#This Row],[DUT Adj Read]]="N/A",IF(Table1[[#This Row],[Std Adj Read]]&gt;=Table1[[#This Row],[Low Tol]],"Pass","Fail"),IF(Table1[[#This Row],[DUT Adj Read]]&gt;=Table1[[#This Row],[Low Tol]],"Pass","Fail")))</f>
        <v>Pass</v>
      </c>
      <c r="AG1078" s="1" t="str">
        <f>IF(AND(Table1[[#This Row],[Spec Type2]]="N/A",Table1[[#This Row],[DUT Adj Read]]="N/A",Table1[[#This Row],[Std Adj Read]]="N/A"),"N/A",IF(Table1[[#This Row],[DUT Adj Read]]="N/A",IF(Table1[[#This Row],[Std Adj Read]]&lt;=Table1[[#This Row],[High Tol]],"Pass","Fail"),IF(Table1[[#This Row],[DUT Adj Read]]&lt;=Table1[[#This Row],[High Tol]],"Pass","Fail")))</f>
        <v>Fail</v>
      </c>
      <c r="AH10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8" s="1" t="b">
        <v>0</v>
      </c>
      <c r="AN1078" s="1" t="b">
        <v>0</v>
      </c>
      <c r="AO1078" s="1" t="b">
        <v>0</v>
      </c>
    </row>
    <row r="1079" spans="1:41" x14ac:dyDescent="0.25">
      <c r="A1079" s="10"/>
      <c r="B1079" s="10"/>
      <c r="C1079" s="10"/>
      <c r="D1079" s="10"/>
      <c r="E1079" s="10"/>
      <c r="F1079" s="10"/>
      <c r="G1079" s="10"/>
      <c r="H1079" s="10"/>
      <c r="I1079" s="1" t="str">
        <f t="shared" si="48"/>
        <v/>
      </c>
      <c r="J1079" s="1" t="s">
        <v>35</v>
      </c>
      <c r="K1079" s="1" t="str">
        <f t="shared" si="49"/>
        <v/>
      </c>
      <c r="L1079" s="1" t="str">
        <f t="shared" si="50"/>
        <v/>
      </c>
      <c r="M1079" s="1">
        <f>IF(OR(Table1[[#This Row],[Std Nom]]="",Table1[[#This Row],[Std Read]]=""),0,Table1[[#This Row],[Std Nom]]-Table1[[#This Row],[Std Read]])</f>
        <v>0</v>
      </c>
      <c r="N1079" s="1">
        <f>IF(Calculations!$F$5="ACCREDITED 17025 WITH UNCERTAINTIES",$N$10,0)</f>
        <v>0</v>
      </c>
      <c r="Q1079" s="1">
        <f>Table1[[#This Row],[High Tol]]-Table1[[#This Row],[Low Tol]]</f>
        <v>0</v>
      </c>
      <c r="R1079" s="1">
        <f>2*Table1[[#This Row],[Std Error]]</f>
        <v>0</v>
      </c>
      <c r="S1079" s="1" t="str">
        <f>IF(Table1[[#This Row],[High Tol]]="","N/A",IFERROR(ABS(Table1[[#This Row],[Tol Span]]/Table1[[#This Row],[Error Span]]),"N/A"))</f>
        <v>N/A</v>
      </c>
      <c r="T1079" s="1" t="str">
        <f>IF(OR(Table1[[#This Row],[Low Tol]]="",Table1[[#This Row],[High Tol]]=""),"Needs Analysis",IF(Table1[[#This Row],[Ratio]]&gt;=4,"Not Significant",IF(Table1[[#This Row],[Ratio]]&gt;=2,"Semi-Significant","Significant")))</f>
        <v>Needs Analysis</v>
      </c>
      <c r="W1079" s="1">
        <f>IF(Table1[[#This Row],[Cal Type]]&lt;&gt;"ACCREDITED 17025 WITH UNCERTAINTIES",0,"")</f>
        <v>0</v>
      </c>
      <c r="X1079" s="1" t="str">
        <f>IF(Table1[[#This Row],[DUT Read]]="","N/A",Table1[[#This Row],[Std Error]]+Table1[[#This Row],[DUT Read]]+Table1[[#This Row],[DUT Ucty]])</f>
        <v>N/A</v>
      </c>
      <c r="Y1079" s="1" t="str">
        <f>IF(Table1[[#This Row],[Std Read]]="","N/A",Table1[[#This Row],[Std Read]]+Table1[[#This Row],[Std Ucty]])</f>
        <v>N/A</v>
      </c>
      <c r="Z10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79" s="1" t="str">
        <f>IF(Table1[[#This Row],[Spec Type]]="","N/A",Table1[[#This Row],[Spec Type]])</f>
        <v>±</v>
      </c>
      <c r="AC1079" s="1" t="str">
        <f>IF(Table1[[#This Row],[Spec Type2]]="N/A","N/A",IF(AND(Table1[[#This Row],[DUT Adj Read]]&gt;=Table1[[#This Row],[Low Tol]],Table1[[#This Row],[DUT Adj Read]]&lt;=Table1[[#This Row],[High Tol]]),"Pass","Fail"))</f>
        <v>Fail</v>
      </c>
      <c r="AD1079" s="1" t="str">
        <f>IF(AND(Table1[[#This Row],[Spec Type2]]="N/A",Table1[[#This Row],[DUT Adj Read]]="N/A",Table1[[#This Row],[Std Adj Read]]="N/A"),"N/A",IF(Table1[[#This Row],[DUT Adj Read]]="N/A",IF(Table1[[#This Row],[Std Adj Read]]&gt;Table1[[#This Row],[Low Tol]],"Pass","Fail"),IF(Table1[[#This Row],[DUT Adj Read]]&gt;Table1[[#This Row],[Low Tol]],"Pass","Fail")))</f>
        <v>Pass</v>
      </c>
      <c r="AE1079" s="1" t="str">
        <f>IF(AND(Table1[[#This Row],[Spec Type2]]="N/A",Table1[[#This Row],[DUT Adj Read]]="N/A",Table1[[#This Row],[Std Adj Read]]="N/A"),"N/A",IF(Table1[[#This Row],[DUT Adj Read]]="N/A",IF(Table1[[#This Row],[Std Adj Read]]&lt;Table1[[#This Row],[High Tol]],"Pass","Fail"),IF(Table1[[#This Row],[DUT Adj Read]]&lt;Table1[[#This Row],[High Tol]],"Pass","Fail")))</f>
        <v>Fail</v>
      </c>
      <c r="AF1079" s="1" t="str">
        <f>IF(AND(Table1[[#This Row],[Spec Type2]]="N/A",Table1[[#This Row],[DUT Adj Read]]="N/A",Table1[[#This Row],[Std Adj Read]]="N/A"),"N/A",IF(Table1[[#This Row],[DUT Adj Read]]="N/A",IF(Table1[[#This Row],[Std Adj Read]]&gt;=Table1[[#This Row],[Low Tol]],"Pass","Fail"),IF(Table1[[#This Row],[DUT Adj Read]]&gt;=Table1[[#This Row],[Low Tol]],"Pass","Fail")))</f>
        <v>Pass</v>
      </c>
      <c r="AG1079" s="1" t="str">
        <f>IF(AND(Table1[[#This Row],[Spec Type2]]="N/A",Table1[[#This Row],[DUT Adj Read]]="N/A",Table1[[#This Row],[Std Adj Read]]="N/A"),"N/A",IF(Table1[[#This Row],[DUT Adj Read]]="N/A",IF(Table1[[#This Row],[Std Adj Read]]&lt;=Table1[[#This Row],[High Tol]],"Pass","Fail"),IF(Table1[[#This Row],[DUT Adj Read]]&lt;=Table1[[#This Row],[High Tol]],"Pass","Fail")))</f>
        <v>Fail</v>
      </c>
      <c r="AH10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79" s="1" t="b">
        <v>0</v>
      </c>
      <c r="AN1079" s="1" t="b">
        <v>0</v>
      </c>
      <c r="AO1079" s="1" t="b">
        <v>0</v>
      </c>
    </row>
    <row r="1080" spans="1:41" x14ac:dyDescent="0.25">
      <c r="A1080" s="10"/>
      <c r="B1080" s="10"/>
      <c r="C1080" s="10"/>
      <c r="D1080" s="10"/>
      <c r="E1080" s="10"/>
      <c r="F1080" s="10"/>
      <c r="G1080" s="10"/>
      <c r="H1080" s="10"/>
      <c r="I1080" s="1" t="str">
        <f t="shared" si="48"/>
        <v/>
      </c>
      <c r="J1080" s="1" t="s">
        <v>35</v>
      </c>
      <c r="K1080" s="1" t="str">
        <f t="shared" si="49"/>
        <v/>
      </c>
      <c r="L1080" s="1" t="str">
        <f t="shared" si="50"/>
        <v/>
      </c>
      <c r="M1080" s="1">
        <f>IF(OR(Table1[[#This Row],[Std Nom]]="",Table1[[#This Row],[Std Read]]=""),0,Table1[[#This Row],[Std Nom]]-Table1[[#This Row],[Std Read]])</f>
        <v>0</v>
      </c>
      <c r="N1080" s="1">
        <f>IF(Calculations!$F$5="ACCREDITED 17025 WITH UNCERTAINTIES",$N$10,0)</f>
        <v>0</v>
      </c>
      <c r="Q1080" s="1">
        <f>Table1[[#This Row],[High Tol]]-Table1[[#This Row],[Low Tol]]</f>
        <v>0</v>
      </c>
      <c r="R1080" s="1">
        <f>2*Table1[[#This Row],[Std Error]]</f>
        <v>0</v>
      </c>
      <c r="S1080" s="1" t="str">
        <f>IF(Table1[[#This Row],[High Tol]]="","N/A",IFERROR(ABS(Table1[[#This Row],[Tol Span]]/Table1[[#This Row],[Error Span]]),"N/A"))</f>
        <v>N/A</v>
      </c>
      <c r="T1080" s="1" t="str">
        <f>IF(OR(Table1[[#This Row],[Low Tol]]="",Table1[[#This Row],[High Tol]]=""),"Needs Analysis",IF(Table1[[#This Row],[Ratio]]&gt;=4,"Not Significant",IF(Table1[[#This Row],[Ratio]]&gt;=2,"Semi-Significant","Significant")))</f>
        <v>Needs Analysis</v>
      </c>
      <c r="W1080" s="1">
        <f>IF(Table1[[#This Row],[Cal Type]]&lt;&gt;"ACCREDITED 17025 WITH UNCERTAINTIES",0,"")</f>
        <v>0</v>
      </c>
      <c r="X1080" s="1" t="str">
        <f>IF(Table1[[#This Row],[DUT Read]]="","N/A",Table1[[#This Row],[Std Error]]+Table1[[#This Row],[DUT Read]]+Table1[[#This Row],[DUT Ucty]])</f>
        <v>N/A</v>
      </c>
      <c r="Y1080" s="1" t="str">
        <f>IF(Table1[[#This Row],[Std Read]]="","N/A",Table1[[#This Row],[Std Read]]+Table1[[#This Row],[Std Ucty]])</f>
        <v>N/A</v>
      </c>
      <c r="Z10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0" s="1" t="str">
        <f>IF(Table1[[#This Row],[Spec Type]]="","N/A",Table1[[#This Row],[Spec Type]])</f>
        <v>±</v>
      </c>
      <c r="AC1080" s="1" t="str">
        <f>IF(Table1[[#This Row],[Spec Type2]]="N/A","N/A",IF(AND(Table1[[#This Row],[DUT Adj Read]]&gt;=Table1[[#This Row],[Low Tol]],Table1[[#This Row],[DUT Adj Read]]&lt;=Table1[[#This Row],[High Tol]]),"Pass","Fail"))</f>
        <v>Fail</v>
      </c>
      <c r="AD1080" s="1" t="str">
        <f>IF(AND(Table1[[#This Row],[Spec Type2]]="N/A",Table1[[#This Row],[DUT Adj Read]]="N/A",Table1[[#This Row],[Std Adj Read]]="N/A"),"N/A",IF(Table1[[#This Row],[DUT Adj Read]]="N/A",IF(Table1[[#This Row],[Std Adj Read]]&gt;Table1[[#This Row],[Low Tol]],"Pass","Fail"),IF(Table1[[#This Row],[DUT Adj Read]]&gt;Table1[[#This Row],[Low Tol]],"Pass","Fail")))</f>
        <v>Pass</v>
      </c>
      <c r="AE1080" s="1" t="str">
        <f>IF(AND(Table1[[#This Row],[Spec Type2]]="N/A",Table1[[#This Row],[DUT Adj Read]]="N/A",Table1[[#This Row],[Std Adj Read]]="N/A"),"N/A",IF(Table1[[#This Row],[DUT Adj Read]]="N/A",IF(Table1[[#This Row],[Std Adj Read]]&lt;Table1[[#This Row],[High Tol]],"Pass","Fail"),IF(Table1[[#This Row],[DUT Adj Read]]&lt;Table1[[#This Row],[High Tol]],"Pass","Fail")))</f>
        <v>Fail</v>
      </c>
      <c r="AF1080" s="1" t="str">
        <f>IF(AND(Table1[[#This Row],[Spec Type2]]="N/A",Table1[[#This Row],[DUT Adj Read]]="N/A",Table1[[#This Row],[Std Adj Read]]="N/A"),"N/A",IF(Table1[[#This Row],[DUT Adj Read]]="N/A",IF(Table1[[#This Row],[Std Adj Read]]&gt;=Table1[[#This Row],[Low Tol]],"Pass","Fail"),IF(Table1[[#This Row],[DUT Adj Read]]&gt;=Table1[[#This Row],[Low Tol]],"Pass","Fail")))</f>
        <v>Pass</v>
      </c>
      <c r="AG1080" s="1" t="str">
        <f>IF(AND(Table1[[#This Row],[Spec Type2]]="N/A",Table1[[#This Row],[DUT Adj Read]]="N/A",Table1[[#This Row],[Std Adj Read]]="N/A"),"N/A",IF(Table1[[#This Row],[DUT Adj Read]]="N/A",IF(Table1[[#This Row],[Std Adj Read]]&lt;=Table1[[#This Row],[High Tol]],"Pass","Fail"),IF(Table1[[#This Row],[DUT Adj Read]]&lt;=Table1[[#This Row],[High Tol]],"Pass","Fail")))</f>
        <v>Fail</v>
      </c>
      <c r="AH10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0" s="1" t="b">
        <v>0</v>
      </c>
      <c r="AN1080" s="1" t="b">
        <v>0</v>
      </c>
      <c r="AO1080" s="1" t="b">
        <v>0</v>
      </c>
    </row>
    <row r="1081" spans="1:41" x14ac:dyDescent="0.25">
      <c r="A1081" s="10"/>
      <c r="B1081" s="10"/>
      <c r="C1081" s="10"/>
      <c r="D1081" s="10"/>
      <c r="E1081" s="10"/>
      <c r="F1081" s="10"/>
      <c r="G1081" s="10"/>
      <c r="H1081" s="10"/>
      <c r="I1081" s="1" t="str">
        <f t="shared" si="48"/>
        <v/>
      </c>
      <c r="J1081" s="1" t="s">
        <v>35</v>
      </c>
      <c r="K1081" s="1" t="str">
        <f t="shared" si="49"/>
        <v/>
      </c>
      <c r="L1081" s="1" t="str">
        <f t="shared" si="50"/>
        <v/>
      </c>
      <c r="M1081" s="1">
        <f>IF(OR(Table1[[#This Row],[Std Nom]]="",Table1[[#This Row],[Std Read]]=""),0,Table1[[#This Row],[Std Nom]]-Table1[[#This Row],[Std Read]])</f>
        <v>0</v>
      </c>
      <c r="N1081" s="1">
        <f>IF(Calculations!$F$5="ACCREDITED 17025 WITH UNCERTAINTIES",$N$10,0)</f>
        <v>0</v>
      </c>
      <c r="Q1081" s="1">
        <f>Table1[[#This Row],[High Tol]]-Table1[[#This Row],[Low Tol]]</f>
        <v>0</v>
      </c>
      <c r="R1081" s="1">
        <f>2*Table1[[#This Row],[Std Error]]</f>
        <v>0</v>
      </c>
      <c r="S1081" s="1" t="str">
        <f>IF(Table1[[#This Row],[High Tol]]="","N/A",IFERROR(ABS(Table1[[#This Row],[Tol Span]]/Table1[[#This Row],[Error Span]]),"N/A"))</f>
        <v>N/A</v>
      </c>
      <c r="T1081" s="1" t="str">
        <f>IF(OR(Table1[[#This Row],[Low Tol]]="",Table1[[#This Row],[High Tol]]=""),"Needs Analysis",IF(Table1[[#This Row],[Ratio]]&gt;=4,"Not Significant",IF(Table1[[#This Row],[Ratio]]&gt;=2,"Semi-Significant","Significant")))</f>
        <v>Needs Analysis</v>
      </c>
      <c r="W1081" s="1">
        <f>IF(Table1[[#This Row],[Cal Type]]&lt;&gt;"ACCREDITED 17025 WITH UNCERTAINTIES",0,"")</f>
        <v>0</v>
      </c>
      <c r="X1081" s="1" t="str">
        <f>IF(Table1[[#This Row],[DUT Read]]="","N/A",Table1[[#This Row],[Std Error]]+Table1[[#This Row],[DUT Read]]+Table1[[#This Row],[DUT Ucty]])</f>
        <v>N/A</v>
      </c>
      <c r="Y1081" s="1" t="str">
        <f>IF(Table1[[#This Row],[Std Read]]="","N/A",Table1[[#This Row],[Std Read]]+Table1[[#This Row],[Std Ucty]])</f>
        <v>N/A</v>
      </c>
      <c r="Z10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1" s="1" t="str">
        <f>IF(Table1[[#This Row],[Spec Type]]="","N/A",Table1[[#This Row],[Spec Type]])</f>
        <v>±</v>
      </c>
      <c r="AC1081" s="1" t="str">
        <f>IF(Table1[[#This Row],[Spec Type2]]="N/A","N/A",IF(AND(Table1[[#This Row],[DUT Adj Read]]&gt;=Table1[[#This Row],[Low Tol]],Table1[[#This Row],[DUT Adj Read]]&lt;=Table1[[#This Row],[High Tol]]),"Pass","Fail"))</f>
        <v>Fail</v>
      </c>
      <c r="AD1081" s="1" t="str">
        <f>IF(AND(Table1[[#This Row],[Spec Type2]]="N/A",Table1[[#This Row],[DUT Adj Read]]="N/A",Table1[[#This Row],[Std Adj Read]]="N/A"),"N/A",IF(Table1[[#This Row],[DUT Adj Read]]="N/A",IF(Table1[[#This Row],[Std Adj Read]]&gt;Table1[[#This Row],[Low Tol]],"Pass","Fail"),IF(Table1[[#This Row],[DUT Adj Read]]&gt;Table1[[#This Row],[Low Tol]],"Pass","Fail")))</f>
        <v>Pass</v>
      </c>
      <c r="AE1081" s="1" t="str">
        <f>IF(AND(Table1[[#This Row],[Spec Type2]]="N/A",Table1[[#This Row],[DUT Adj Read]]="N/A",Table1[[#This Row],[Std Adj Read]]="N/A"),"N/A",IF(Table1[[#This Row],[DUT Adj Read]]="N/A",IF(Table1[[#This Row],[Std Adj Read]]&lt;Table1[[#This Row],[High Tol]],"Pass","Fail"),IF(Table1[[#This Row],[DUT Adj Read]]&lt;Table1[[#This Row],[High Tol]],"Pass","Fail")))</f>
        <v>Fail</v>
      </c>
      <c r="AF1081" s="1" t="str">
        <f>IF(AND(Table1[[#This Row],[Spec Type2]]="N/A",Table1[[#This Row],[DUT Adj Read]]="N/A",Table1[[#This Row],[Std Adj Read]]="N/A"),"N/A",IF(Table1[[#This Row],[DUT Adj Read]]="N/A",IF(Table1[[#This Row],[Std Adj Read]]&gt;=Table1[[#This Row],[Low Tol]],"Pass","Fail"),IF(Table1[[#This Row],[DUT Adj Read]]&gt;=Table1[[#This Row],[Low Tol]],"Pass","Fail")))</f>
        <v>Pass</v>
      </c>
      <c r="AG1081" s="1" t="str">
        <f>IF(AND(Table1[[#This Row],[Spec Type2]]="N/A",Table1[[#This Row],[DUT Adj Read]]="N/A",Table1[[#This Row],[Std Adj Read]]="N/A"),"N/A",IF(Table1[[#This Row],[DUT Adj Read]]="N/A",IF(Table1[[#This Row],[Std Adj Read]]&lt;=Table1[[#This Row],[High Tol]],"Pass","Fail"),IF(Table1[[#This Row],[DUT Adj Read]]&lt;=Table1[[#This Row],[High Tol]],"Pass","Fail")))</f>
        <v>Fail</v>
      </c>
      <c r="AH10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1" s="1" t="b">
        <v>0</v>
      </c>
      <c r="AN1081" s="1" t="b">
        <v>0</v>
      </c>
      <c r="AO1081" s="1" t="b">
        <v>0</v>
      </c>
    </row>
    <row r="1082" spans="1:41" x14ac:dyDescent="0.25">
      <c r="A1082" s="10"/>
      <c r="B1082" s="10"/>
      <c r="C1082" s="10"/>
      <c r="D1082" s="10"/>
      <c r="E1082" s="10"/>
      <c r="F1082" s="10"/>
      <c r="G1082" s="10"/>
      <c r="H1082" s="10"/>
      <c r="I1082" s="1" t="str">
        <f t="shared" si="48"/>
        <v/>
      </c>
      <c r="J1082" s="1" t="s">
        <v>35</v>
      </c>
      <c r="K1082" s="1" t="str">
        <f t="shared" si="49"/>
        <v/>
      </c>
      <c r="L1082" s="1" t="str">
        <f t="shared" si="50"/>
        <v/>
      </c>
      <c r="M1082" s="1">
        <f>IF(OR(Table1[[#This Row],[Std Nom]]="",Table1[[#This Row],[Std Read]]=""),0,Table1[[#This Row],[Std Nom]]-Table1[[#This Row],[Std Read]])</f>
        <v>0</v>
      </c>
      <c r="N1082" s="1">
        <f>IF(Calculations!$F$5="ACCREDITED 17025 WITH UNCERTAINTIES",$N$10,0)</f>
        <v>0</v>
      </c>
      <c r="Q1082" s="1">
        <f>Table1[[#This Row],[High Tol]]-Table1[[#This Row],[Low Tol]]</f>
        <v>0</v>
      </c>
      <c r="R1082" s="1">
        <f>2*Table1[[#This Row],[Std Error]]</f>
        <v>0</v>
      </c>
      <c r="S1082" s="1" t="str">
        <f>IF(Table1[[#This Row],[High Tol]]="","N/A",IFERROR(ABS(Table1[[#This Row],[Tol Span]]/Table1[[#This Row],[Error Span]]),"N/A"))</f>
        <v>N/A</v>
      </c>
      <c r="T1082" s="1" t="str">
        <f>IF(OR(Table1[[#This Row],[Low Tol]]="",Table1[[#This Row],[High Tol]]=""),"Needs Analysis",IF(Table1[[#This Row],[Ratio]]&gt;=4,"Not Significant",IF(Table1[[#This Row],[Ratio]]&gt;=2,"Semi-Significant","Significant")))</f>
        <v>Needs Analysis</v>
      </c>
      <c r="W1082" s="1">
        <f>IF(Table1[[#This Row],[Cal Type]]&lt;&gt;"ACCREDITED 17025 WITH UNCERTAINTIES",0,"")</f>
        <v>0</v>
      </c>
      <c r="X1082" s="1" t="str">
        <f>IF(Table1[[#This Row],[DUT Read]]="","N/A",Table1[[#This Row],[Std Error]]+Table1[[#This Row],[DUT Read]]+Table1[[#This Row],[DUT Ucty]])</f>
        <v>N/A</v>
      </c>
      <c r="Y1082" s="1" t="str">
        <f>IF(Table1[[#This Row],[Std Read]]="","N/A",Table1[[#This Row],[Std Read]]+Table1[[#This Row],[Std Ucty]])</f>
        <v>N/A</v>
      </c>
      <c r="Z10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2" s="1" t="str">
        <f>IF(Table1[[#This Row],[Spec Type]]="","N/A",Table1[[#This Row],[Spec Type]])</f>
        <v>±</v>
      </c>
      <c r="AC1082" s="1" t="str">
        <f>IF(Table1[[#This Row],[Spec Type2]]="N/A","N/A",IF(AND(Table1[[#This Row],[DUT Adj Read]]&gt;=Table1[[#This Row],[Low Tol]],Table1[[#This Row],[DUT Adj Read]]&lt;=Table1[[#This Row],[High Tol]]),"Pass","Fail"))</f>
        <v>Fail</v>
      </c>
      <c r="AD1082" s="1" t="str">
        <f>IF(AND(Table1[[#This Row],[Spec Type2]]="N/A",Table1[[#This Row],[DUT Adj Read]]="N/A",Table1[[#This Row],[Std Adj Read]]="N/A"),"N/A",IF(Table1[[#This Row],[DUT Adj Read]]="N/A",IF(Table1[[#This Row],[Std Adj Read]]&gt;Table1[[#This Row],[Low Tol]],"Pass","Fail"),IF(Table1[[#This Row],[DUT Adj Read]]&gt;Table1[[#This Row],[Low Tol]],"Pass","Fail")))</f>
        <v>Pass</v>
      </c>
      <c r="AE1082" s="1" t="str">
        <f>IF(AND(Table1[[#This Row],[Spec Type2]]="N/A",Table1[[#This Row],[DUT Adj Read]]="N/A",Table1[[#This Row],[Std Adj Read]]="N/A"),"N/A",IF(Table1[[#This Row],[DUT Adj Read]]="N/A",IF(Table1[[#This Row],[Std Adj Read]]&lt;Table1[[#This Row],[High Tol]],"Pass","Fail"),IF(Table1[[#This Row],[DUT Adj Read]]&lt;Table1[[#This Row],[High Tol]],"Pass","Fail")))</f>
        <v>Fail</v>
      </c>
      <c r="AF1082" s="1" t="str">
        <f>IF(AND(Table1[[#This Row],[Spec Type2]]="N/A",Table1[[#This Row],[DUT Adj Read]]="N/A",Table1[[#This Row],[Std Adj Read]]="N/A"),"N/A",IF(Table1[[#This Row],[DUT Adj Read]]="N/A",IF(Table1[[#This Row],[Std Adj Read]]&gt;=Table1[[#This Row],[Low Tol]],"Pass","Fail"),IF(Table1[[#This Row],[DUT Adj Read]]&gt;=Table1[[#This Row],[Low Tol]],"Pass","Fail")))</f>
        <v>Pass</v>
      </c>
      <c r="AG1082" s="1" t="str">
        <f>IF(AND(Table1[[#This Row],[Spec Type2]]="N/A",Table1[[#This Row],[DUT Adj Read]]="N/A",Table1[[#This Row],[Std Adj Read]]="N/A"),"N/A",IF(Table1[[#This Row],[DUT Adj Read]]="N/A",IF(Table1[[#This Row],[Std Adj Read]]&lt;=Table1[[#This Row],[High Tol]],"Pass","Fail"),IF(Table1[[#This Row],[DUT Adj Read]]&lt;=Table1[[#This Row],[High Tol]],"Pass","Fail")))</f>
        <v>Fail</v>
      </c>
      <c r="AH10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2" s="1" t="b">
        <v>0</v>
      </c>
      <c r="AN1082" s="1" t="b">
        <v>0</v>
      </c>
      <c r="AO1082" s="1" t="b">
        <v>0</v>
      </c>
    </row>
    <row r="1083" spans="1:41" x14ac:dyDescent="0.25">
      <c r="A1083" s="10"/>
      <c r="B1083" s="10"/>
      <c r="C1083" s="10"/>
      <c r="D1083" s="10"/>
      <c r="E1083" s="10"/>
      <c r="F1083" s="10"/>
      <c r="G1083" s="10"/>
      <c r="H1083" s="10"/>
      <c r="I1083" s="1" t="str">
        <f t="shared" si="48"/>
        <v/>
      </c>
      <c r="J1083" s="1" t="s">
        <v>35</v>
      </c>
      <c r="K1083" s="1" t="str">
        <f t="shared" si="49"/>
        <v/>
      </c>
      <c r="L1083" s="1" t="str">
        <f t="shared" si="50"/>
        <v/>
      </c>
      <c r="M1083" s="1">
        <f>IF(OR(Table1[[#This Row],[Std Nom]]="",Table1[[#This Row],[Std Read]]=""),0,Table1[[#This Row],[Std Nom]]-Table1[[#This Row],[Std Read]])</f>
        <v>0</v>
      </c>
      <c r="N1083" s="1">
        <f>IF(Calculations!$F$5="ACCREDITED 17025 WITH UNCERTAINTIES",$N$10,0)</f>
        <v>0</v>
      </c>
      <c r="Q1083" s="1">
        <f>Table1[[#This Row],[High Tol]]-Table1[[#This Row],[Low Tol]]</f>
        <v>0</v>
      </c>
      <c r="R1083" s="1">
        <f>2*Table1[[#This Row],[Std Error]]</f>
        <v>0</v>
      </c>
      <c r="S1083" s="1" t="str">
        <f>IF(Table1[[#This Row],[High Tol]]="","N/A",IFERROR(ABS(Table1[[#This Row],[Tol Span]]/Table1[[#This Row],[Error Span]]),"N/A"))</f>
        <v>N/A</v>
      </c>
      <c r="T1083" s="1" t="str">
        <f>IF(OR(Table1[[#This Row],[Low Tol]]="",Table1[[#This Row],[High Tol]]=""),"Needs Analysis",IF(Table1[[#This Row],[Ratio]]&gt;=4,"Not Significant",IF(Table1[[#This Row],[Ratio]]&gt;=2,"Semi-Significant","Significant")))</f>
        <v>Needs Analysis</v>
      </c>
      <c r="W1083" s="1">
        <f>IF(Table1[[#This Row],[Cal Type]]&lt;&gt;"ACCREDITED 17025 WITH UNCERTAINTIES",0,"")</f>
        <v>0</v>
      </c>
      <c r="X1083" s="1" t="str">
        <f>IF(Table1[[#This Row],[DUT Read]]="","N/A",Table1[[#This Row],[Std Error]]+Table1[[#This Row],[DUT Read]]+Table1[[#This Row],[DUT Ucty]])</f>
        <v>N/A</v>
      </c>
      <c r="Y1083" s="1" t="str">
        <f>IF(Table1[[#This Row],[Std Read]]="","N/A",Table1[[#This Row],[Std Read]]+Table1[[#This Row],[Std Ucty]])</f>
        <v>N/A</v>
      </c>
      <c r="Z10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3" s="1" t="str">
        <f>IF(Table1[[#This Row],[Spec Type]]="","N/A",Table1[[#This Row],[Spec Type]])</f>
        <v>±</v>
      </c>
      <c r="AC1083" s="1" t="str">
        <f>IF(Table1[[#This Row],[Spec Type2]]="N/A","N/A",IF(AND(Table1[[#This Row],[DUT Adj Read]]&gt;=Table1[[#This Row],[Low Tol]],Table1[[#This Row],[DUT Adj Read]]&lt;=Table1[[#This Row],[High Tol]]),"Pass","Fail"))</f>
        <v>Fail</v>
      </c>
      <c r="AD1083" s="1" t="str">
        <f>IF(AND(Table1[[#This Row],[Spec Type2]]="N/A",Table1[[#This Row],[DUT Adj Read]]="N/A",Table1[[#This Row],[Std Adj Read]]="N/A"),"N/A",IF(Table1[[#This Row],[DUT Adj Read]]="N/A",IF(Table1[[#This Row],[Std Adj Read]]&gt;Table1[[#This Row],[Low Tol]],"Pass","Fail"),IF(Table1[[#This Row],[DUT Adj Read]]&gt;Table1[[#This Row],[Low Tol]],"Pass","Fail")))</f>
        <v>Pass</v>
      </c>
      <c r="AE1083" s="1" t="str">
        <f>IF(AND(Table1[[#This Row],[Spec Type2]]="N/A",Table1[[#This Row],[DUT Adj Read]]="N/A",Table1[[#This Row],[Std Adj Read]]="N/A"),"N/A",IF(Table1[[#This Row],[DUT Adj Read]]="N/A",IF(Table1[[#This Row],[Std Adj Read]]&lt;Table1[[#This Row],[High Tol]],"Pass","Fail"),IF(Table1[[#This Row],[DUT Adj Read]]&lt;Table1[[#This Row],[High Tol]],"Pass","Fail")))</f>
        <v>Fail</v>
      </c>
      <c r="AF1083" s="1" t="str">
        <f>IF(AND(Table1[[#This Row],[Spec Type2]]="N/A",Table1[[#This Row],[DUT Adj Read]]="N/A",Table1[[#This Row],[Std Adj Read]]="N/A"),"N/A",IF(Table1[[#This Row],[DUT Adj Read]]="N/A",IF(Table1[[#This Row],[Std Adj Read]]&gt;=Table1[[#This Row],[Low Tol]],"Pass","Fail"),IF(Table1[[#This Row],[DUT Adj Read]]&gt;=Table1[[#This Row],[Low Tol]],"Pass","Fail")))</f>
        <v>Pass</v>
      </c>
      <c r="AG1083" s="1" t="str">
        <f>IF(AND(Table1[[#This Row],[Spec Type2]]="N/A",Table1[[#This Row],[DUT Adj Read]]="N/A",Table1[[#This Row],[Std Adj Read]]="N/A"),"N/A",IF(Table1[[#This Row],[DUT Adj Read]]="N/A",IF(Table1[[#This Row],[Std Adj Read]]&lt;=Table1[[#This Row],[High Tol]],"Pass","Fail"),IF(Table1[[#This Row],[DUT Adj Read]]&lt;=Table1[[#This Row],[High Tol]],"Pass","Fail")))</f>
        <v>Fail</v>
      </c>
      <c r="AH10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3" s="1" t="b">
        <v>0</v>
      </c>
      <c r="AN1083" s="1" t="b">
        <v>0</v>
      </c>
      <c r="AO1083" s="1" t="b">
        <v>0</v>
      </c>
    </row>
    <row r="1084" spans="1:41" x14ac:dyDescent="0.25">
      <c r="A1084" s="10"/>
      <c r="B1084" s="10"/>
      <c r="C1084" s="10"/>
      <c r="D1084" s="10"/>
      <c r="E1084" s="10"/>
      <c r="F1084" s="10"/>
      <c r="G1084" s="10"/>
      <c r="H1084" s="10"/>
      <c r="I1084" s="1" t="str">
        <f t="shared" si="48"/>
        <v/>
      </c>
      <c r="J1084" s="1" t="s">
        <v>35</v>
      </c>
      <c r="K1084" s="1" t="str">
        <f t="shared" si="49"/>
        <v/>
      </c>
      <c r="L1084" s="1" t="str">
        <f t="shared" si="50"/>
        <v/>
      </c>
      <c r="M1084" s="1">
        <f>IF(OR(Table1[[#This Row],[Std Nom]]="",Table1[[#This Row],[Std Read]]=""),0,Table1[[#This Row],[Std Nom]]-Table1[[#This Row],[Std Read]])</f>
        <v>0</v>
      </c>
      <c r="N1084" s="1">
        <f>IF(Calculations!$F$5="ACCREDITED 17025 WITH UNCERTAINTIES",$N$10,0)</f>
        <v>0</v>
      </c>
      <c r="Q1084" s="1">
        <f>Table1[[#This Row],[High Tol]]-Table1[[#This Row],[Low Tol]]</f>
        <v>0</v>
      </c>
      <c r="R1084" s="1">
        <f>2*Table1[[#This Row],[Std Error]]</f>
        <v>0</v>
      </c>
      <c r="S1084" s="1" t="str">
        <f>IF(Table1[[#This Row],[High Tol]]="","N/A",IFERROR(ABS(Table1[[#This Row],[Tol Span]]/Table1[[#This Row],[Error Span]]),"N/A"))</f>
        <v>N/A</v>
      </c>
      <c r="T1084" s="1" t="str">
        <f>IF(OR(Table1[[#This Row],[Low Tol]]="",Table1[[#This Row],[High Tol]]=""),"Needs Analysis",IF(Table1[[#This Row],[Ratio]]&gt;=4,"Not Significant",IF(Table1[[#This Row],[Ratio]]&gt;=2,"Semi-Significant","Significant")))</f>
        <v>Needs Analysis</v>
      </c>
      <c r="W1084" s="1">
        <f>IF(Table1[[#This Row],[Cal Type]]&lt;&gt;"ACCREDITED 17025 WITH UNCERTAINTIES",0,"")</f>
        <v>0</v>
      </c>
      <c r="X1084" s="1" t="str">
        <f>IF(Table1[[#This Row],[DUT Read]]="","N/A",Table1[[#This Row],[Std Error]]+Table1[[#This Row],[DUT Read]]+Table1[[#This Row],[DUT Ucty]])</f>
        <v>N/A</v>
      </c>
      <c r="Y1084" s="1" t="str">
        <f>IF(Table1[[#This Row],[Std Read]]="","N/A",Table1[[#This Row],[Std Read]]+Table1[[#This Row],[Std Ucty]])</f>
        <v>N/A</v>
      </c>
      <c r="Z10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4" s="1" t="str">
        <f>IF(Table1[[#This Row],[Spec Type]]="","N/A",Table1[[#This Row],[Spec Type]])</f>
        <v>±</v>
      </c>
      <c r="AC1084" s="1" t="str">
        <f>IF(Table1[[#This Row],[Spec Type2]]="N/A","N/A",IF(AND(Table1[[#This Row],[DUT Adj Read]]&gt;=Table1[[#This Row],[Low Tol]],Table1[[#This Row],[DUT Adj Read]]&lt;=Table1[[#This Row],[High Tol]]),"Pass","Fail"))</f>
        <v>Fail</v>
      </c>
      <c r="AD1084" s="1" t="str">
        <f>IF(AND(Table1[[#This Row],[Spec Type2]]="N/A",Table1[[#This Row],[DUT Adj Read]]="N/A",Table1[[#This Row],[Std Adj Read]]="N/A"),"N/A",IF(Table1[[#This Row],[DUT Adj Read]]="N/A",IF(Table1[[#This Row],[Std Adj Read]]&gt;Table1[[#This Row],[Low Tol]],"Pass","Fail"),IF(Table1[[#This Row],[DUT Adj Read]]&gt;Table1[[#This Row],[Low Tol]],"Pass","Fail")))</f>
        <v>Pass</v>
      </c>
      <c r="AE1084" s="1" t="str">
        <f>IF(AND(Table1[[#This Row],[Spec Type2]]="N/A",Table1[[#This Row],[DUT Adj Read]]="N/A",Table1[[#This Row],[Std Adj Read]]="N/A"),"N/A",IF(Table1[[#This Row],[DUT Adj Read]]="N/A",IF(Table1[[#This Row],[Std Adj Read]]&lt;Table1[[#This Row],[High Tol]],"Pass","Fail"),IF(Table1[[#This Row],[DUT Adj Read]]&lt;Table1[[#This Row],[High Tol]],"Pass","Fail")))</f>
        <v>Fail</v>
      </c>
      <c r="AF1084" s="1" t="str">
        <f>IF(AND(Table1[[#This Row],[Spec Type2]]="N/A",Table1[[#This Row],[DUT Adj Read]]="N/A",Table1[[#This Row],[Std Adj Read]]="N/A"),"N/A",IF(Table1[[#This Row],[DUT Adj Read]]="N/A",IF(Table1[[#This Row],[Std Adj Read]]&gt;=Table1[[#This Row],[Low Tol]],"Pass","Fail"),IF(Table1[[#This Row],[DUT Adj Read]]&gt;=Table1[[#This Row],[Low Tol]],"Pass","Fail")))</f>
        <v>Pass</v>
      </c>
      <c r="AG1084" s="1" t="str">
        <f>IF(AND(Table1[[#This Row],[Spec Type2]]="N/A",Table1[[#This Row],[DUT Adj Read]]="N/A",Table1[[#This Row],[Std Adj Read]]="N/A"),"N/A",IF(Table1[[#This Row],[DUT Adj Read]]="N/A",IF(Table1[[#This Row],[Std Adj Read]]&lt;=Table1[[#This Row],[High Tol]],"Pass","Fail"),IF(Table1[[#This Row],[DUT Adj Read]]&lt;=Table1[[#This Row],[High Tol]],"Pass","Fail")))</f>
        <v>Fail</v>
      </c>
      <c r="AH10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4" s="1" t="b">
        <v>0</v>
      </c>
      <c r="AN1084" s="1" t="b">
        <v>0</v>
      </c>
      <c r="AO1084" s="1" t="b">
        <v>0</v>
      </c>
    </row>
    <row r="1085" spans="1:41" x14ac:dyDescent="0.25">
      <c r="A1085" s="10"/>
      <c r="B1085" s="10"/>
      <c r="C1085" s="10"/>
      <c r="D1085" s="10"/>
      <c r="E1085" s="10"/>
      <c r="F1085" s="10"/>
      <c r="G1085" s="10"/>
      <c r="H1085" s="10"/>
      <c r="I1085" s="1" t="str">
        <f t="shared" si="48"/>
        <v/>
      </c>
      <c r="J1085" s="1" t="s">
        <v>35</v>
      </c>
      <c r="K1085" s="1" t="str">
        <f t="shared" si="49"/>
        <v/>
      </c>
      <c r="L1085" s="1" t="str">
        <f t="shared" si="50"/>
        <v/>
      </c>
      <c r="M1085" s="1">
        <f>IF(OR(Table1[[#This Row],[Std Nom]]="",Table1[[#This Row],[Std Read]]=""),0,Table1[[#This Row],[Std Nom]]-Table1[[#This Row],[Std Read]])</f>
        <v>0</v>
      </c>
      <c r="N1085" s="1">
        <f>IF(Calculations!$F$5="ACCREDITED 17025 WITH UNCERTAINTIES",$N$10,0)</f>
        <v>0</v>
      </c>
      <c r="Q1085" s="1">
        <f>Table1[[#This Row],[High Tol]]-Table1[[#This Row],[Low Tol]]</f>
        <v>0</v>
      </c>
      <c r="R1085" s="1">
        <f>2*Table1[[#This Row],[Std Error]]</f>
        <v>0</v>
      </c>
      <c r="S1085" s="1" t="str">
        <f>IF(Table1[[#This Row],[High Tol]]="","N/A",IFERROR(ABS(Table1[[#This Row],[Tol Span]]/Table1[[#This Row],[Error Span]]),"N/A"))</f>
        <v>N/A</v>
      </c>
      <c r="T1085" s="1" t="str">
        <f>IF(OR(Table1[[#This Row],[Low Tol]]="",Table1[[#This Row],[High Tol]]=""),"Needs Analysis",IF(Table1[[#This Row],[Ratio]]&gt;=4,"Not Significant",IF(Table1[[#This Row],[Ratio]]&gt;=2,"Semi-Significant","Significant")))</f>
        <v>Needs Analysis</v>
      </c>
      <c r="W1085" s="1">
        <f>IF(Table1[[#This Row],[Cal Type]]&lt;&gt;"ACCREDITED 17025 WITH UNCERTAINTIES",0,"")</f>
        <v>0</v>
      </c>
      <c r="X1085" s="1" t="str">
        <f>IF(Table1[[#This Row],[DUT Read]]="","N/A",Table1[[#This Row],[Std Error]]+Table1[[#This Row],[DUT Read]]+Table1[[#This Row],[DUT Ucty]])</f>
        <v>N/A</v>
      </c>
      <c r="Y1085" s="1" t="str">
        <f>IF(Table1[[#This Row],[Std Read]]="","N/A",Table1[[#This Row],[Std Read]]+Table1[[#This Row],[Std Ucty]])</f>
        <v>N/A</v>
      </c>
      <c r="Z10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5" s="1" t="str">
        <f>IF(Table1[[#This Row],[Spec Type]]="","N/A",Table1[[#This Row],[Spec Type]])</f>
        <v>±</v>
      </c>
      <c r="AC1085" s="1" t="str">
        <f>IF(Table1[[#This Row],[Spec Type2]]="N/A","N/A",IF(AND(Table1[[#This Row],[DUT Adj Read]]&gt;=Table1[[#This Row],[Low Tol]],Table1[[#This Row],[DUT Adj Read]]&lt;=Table1[[#This Row],[High Tol]]),"Pass","Fail"))</f>
        <v>Fail</v>
      </c>
      <c r="AD1085" s="1" t="str">
        <f>IF(AND(Table1[[#This Row],[Spec Type2]]="N/A",Table1[[#This Row],[DUT Adj Read]]="N/A",Table1[[#This Row],[Std Adj Read]]="N/A"),"N/A",IF(Table1[[#This Row],[DUT Adj Read]]="N/A",IF(Table1[[#This Row],[Std Adj Read]]&gt;Table1[[#This Row],[Low Tol]],"Pass","Fail"),IF(Table1[[#This Row],[DUT Adj Read]]&gt;Table1[[#This Row],[Low Tol]],"Pass","Fail")))</f>
        <v>Pass</v>
      </c>
      <c r="AE1085" s="1" t="str">
        <f>IF(AND(Table1[[#This Row],[Spec Type2]]="N/A",Table1[[#This Row],[DUT Adj Read]]="N/A",Table1[[#This Row],[Std Adj Read]]="N/A"),"N/A",IF(Table1[[#This Row],[DUT Adj Read]]="N/A",IF(Table1[[#This Row],[Std Adj Read]]&lt;Table1[[#This Row],[High Tol]],"Pass","Fail"),IF(Table1[[#This Row],[DUT Adj Read]]&lt;Table1[[#This Row],[High Tol]],"Pass","Fail")))</f>
        <v>Fail</v>
      </c>
      <c r="AF1085" s="1" t="str">
        <f>IF(AND(Table1[[#This Row],[Spec Type2]]="N/A",Table1[[#This Row],[DUT Adj Read]]="N/A",Table1[[#This Row],[Std Adj Read]]="N/A"),"N/A",IF(Table1[[#This Row],[DUT Adj Read]]="N/A",IF(Table1[[#This Row],[Std Adj Read]]&gt;=Table1[[#This Row],[Low Tol]],"Pass","Fail"),IF(Table1[[#This Row],[DUT Adj Read]]&gt;=Table1[[#This Row],[Low Tol]],"Pass","Fail")))</f>
        <v>Pass</v>
      </c>
      <c r="AG1085" s="1" t="str">
        <f>IF(AND(Table1[[#This Row],[Spec Type2]]="N/A",Table1[[#This Row],[DUT Adj Read]]="N/A",Table1[[#This Row],[Std Adj Read]]="N/A"),"N/A",IF(Table1[[#This Row],[DUT Adj Read]]="N/A",IF(Table1[[#This Row],[Std Adj Read]]&lt;=Table1[[#This Row],[High Tol]],"Pass","Fail"),IF(Table1[[#This Row],[DUT Adj Read]]&lt;=Table1[[#This Row],[High Tol]],"Pass","Fail")))</f>
        <v>Fail</v>
      </c>
      <c r="AH10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5" s="1" t="b">
        <v>0</v>
      </c>
      <c r="AN1085" s="1" t="b">
        <v>0</v>
      </c>
      <c r="AO1085" s="1" t="b">
        <v>0</v>
      </c>
    </row>
    <row r="1086" spans="1:41" x14ac:dyDescent="0.25">
      <c r="A1086" s="10"/>
      <c r="B1086" s="10"/>
      <c r="C1086" s="10"/>
      <c r="D1086" s="10"/>
      <c r="E1086" s="10"/>
      <c r="F1086" s="10"/>
      <c r="G1086" s="10"/>
      <c r="H1086" s="10"/>
      <c r="I1086" s="1" t="str">
        <f t="shared" si="48"/>
        <v/>
      </c>
      <c r="J1086" s="1" t="s">
        <v>35</v>
      </c>
      <c r="K1086" s="1" t="str">
        <f t="shared" si="49"/>
        <v/>
      </c>
      <c r="L1086" s="1" t="str">
        <f t="shared" si="50"/>
        <v/>
      </c>
      <c r="M1086" s="1">
        <f>IF(OR(Table1[[#This Row],[Std Nom]]="",Table1[[#This Row],[Std Read]]=""),0,Table1[[#This Row],[Std Nom]]-Table1[[#This Row],[Std Read]])</f>
        <v>0</v>
      </c>
      <c r="N1086" s="1">
        <f>IF(Calculations!$F$5="ACCREDITED 17025 WITH UNCERTAINTIES",$N$10,0)</f>
        <v>0</v>
      </c>
      <c r="Q1086" s="1">
        <f>Table1[[#This Row],[High Tol]]-Table1[[#This Row],[Low Tol]]</f>
        <v>0</v>
      </c>
      <c r="R1086" s="1">
        <f>2*Table1[[#This Row],[Std Error]]</f>
        <v>0</v>
      </c>
      <c r="S1086" s="1" t="str">
        <f>IF(Table1[[#This Row],[High Tol]]="","N/A",IFERROR(ABS(Table1[[#This Row],[Tol Span]]/Table1[[#This Row],[Error Span]]),"N/A"))</f>
        <v>N/A</v>
      </c>
      <c r="T1086" s="1" t="str">
        <f>IF(OR(Table1[[#This Row],[Low Tol]]="",Table1[[#This Row],[High Tol]]=""),"Needs Analysis",IF(Table1[[#This Row],[Ratio]]&gt;=4,"Not Significant",IF(Table1[[#This Row],[Ratio]]&gt;=2,"Semi-Significant","Significant")))</f>
        <v>Needs Analysis</v>
      </c>
      <c r="W1086" s="1">
        <f>IF(Table1[[#This Row],[Cal Type]]&lt;&gt;"ACCREDITED 17025 WITH UNCERTAINTIES",0,"")</f>
        <v>0</v>
      </c>
      <c r="X1086" s="1" t="str">
        <f>IF(Table1[[#This Row],[DUT Read]]="","N/A",Table1[[#This Row],[Std Error]]+Table1[[#This Row],[DUT Read]]+Table1[[#This Row],[DUT Ucty]])</f>
        <v>N/A</v>
      </c>
      <c r="Y1086" s="1" t="str">
        <f>IF(Table1[[#This Row],[Std Read]]="","N/A",Table1[[#This Row],[Std Read]]+Table1[[#This Row],[Std Ucty]])</f>
        <v>N/A</v>
      </c>
      <c r="Z10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6" s="1" t="str">
        <f>IF(Table1[[#This Row],[Spec Type]]="","N/A",Table1[[#This Row],[Spec Type]])</f>
        <v>±</v>
      </c>
      <c r="AC1086" s="1" t="str">
        <f>IF(Table1[[#This Row],[Spec Type2]]="N/A","N/A",IF(AND(Table1[[#This Row],[DUT Adj Read]]&gt;=Table1[[#This Row],[Low Tol]],Table1[[#This Row],[DUT Adj Read]]&lt;=Table1[[#This Row],[High Tol]]),"Pass","Fail"))</f>
        <v>Fail</v>
      </c>
      <c r="AD1086" s="1" t="str">
        <f>IF(AND(Table1[[#This Row],[Spec Type2]]="N/A",Table1[[#This Row],[DUT Adj Read]]="N/A",Table1[[#This Row],[Std Adj Read]]="N/A"),"N/A",IF(Table1[[#This Row],[DUT Adj Read]]="N/A",IF(Table1[[#This Row],[Std Adj Read]]&gt;Table1[[#This Row],[Low Tol]],"Pass","Fail"),IF(Table1[[#This Row],[DUT Adj Read]]&gt;Table1[[#This Row],[Low Tol]],"Pass","Fail")))</f>
        <v>Pass</v>
      </c>
      <c r="AE1086" s="1" t="str">
        <f>IF(AND(Table1[[#This Row],[Spec Type2]]="N/A",Table1[[#This Row],[DUT Adj Read]]="N/A",Table1[[#This Row],[Std Adj Read]]="N/A"),"N/A",IF(Table1[[#This Row],[DUT Adj Read]]="N/A",IF(Table1[[#This Row],[Std Adj Read]]&lt;Table1[[#This Row],[High Tol]],"Pass","Fail"),IF(Table1[[#This Row],[DUT Adj Read]]&lt;Table1[[#This Row],[High Tol]],"Pass","Fail")))</f>
        <v>Fail</v>
      </c>
      <c r="AF1086" s="1" t="str">
        <f>IF(AND(Table1[[#This Row],[Spec Type2]]="N/A",Table1[[#This Row],[DUT Adj Read]]="N/A",Table1[[#This Row],[Std Adj Read]]="N/A"),"N/A",IF(Table1[[#This Row],[DUT Adj Read]]="N/A",IF(Table1[[#This Row],[Std Adj Read]]&gt;=Table1[[#This Row],[Low Tol]],"Pass","Fail"),IF(Table1[[#This Row],[DUT Adj Read]]&gt;=Table1[[#This Row],[Low Tol]],"Pass","Fail")))</f>
        <v>Pass</v>
      </c>
      <c r="AG1086" s="1" t="str">
        <f>IF(AND(Table1[[#This Row],[Spec Type2]]="N/A",Table1[[#This Row],[DUT Adj Read]]="N/A",Table1[[#This Row],[Std Adj Read]]="N/A"),"N/A",IF(Table1[[#This Row],[DUT Adj Read]]="N/A",IF(Table1[[#This Row],[Std Adj Read]]&lt;=Table1[[#This Row],[High Tol]],"Pass","Fail"),IF(Table1[[#This Row],[DUT Adj Read]]&lt;=Table1[[#This Row],[High Tol]],"Pass","Fail")))</f>
        <v>Fail</v>
      </c>
      <c r="AH10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6" s="1" t="b">
        <v>0</v>
      </c>
      <c r="AN1086" s="1" t="b">
        <v>0</v>
      </c>
      <c r="AO1086" s="1" t="b">
        <v>0</v>
      </c>
    </row>
    <row r="1087" spans="1:41" x14ac:dyDescent="0.25">
      <c r="A1087" s="10"/>
      <c r="B1087" s="10"/>
      <c r="C1087" s="10"/>
      <c r="D1087" s="10"/>
      <c r="E1087" s="10"/>
      <c r="F1087" s="10"/>
      <c r="G1087" s="10"/>
      <c r="H1087" s="10"/>
      <c r="I1087" s="1" t="str">
        <f t="shared" si="48"/>
        <v/>
      </c>
      <c r="J1087" s="1" t="s">
        <v>35</v>
      </c>
      <c r="K1087" s="1" t="str">
        <f t="shared" si="49"/>
        <v/>
      </c>
      <c r="L1087" s="1" t="str">
        <f t="shared" si="50"/>
        <v/>
      </c>
      <c r="M1087" s="1">
        <f>IF(OR(Table1[[#This Row],[Std Nom]]="",Table1[[#This Row],[Std Read]]=""),0,Table1[[#This Row],[Std Nom]]-Table1[[#This Row],[Std Read]])</f>
        <v>0</v>
      </c>
      <c r="N1087" s="1">
        <f>IF(Calculations!$F$5="ACCREDITED 17025 WITH UNCERTAINTIES",$N$10,0)</f>
        <v>0</v>
      </c>
      <c r="Q1087" s="1">
        <f>Table1[[#This Row],[High Tol]]-Table1[[#This Row],[Low Tol]]</f>
        <v>0</v>
      </c>
      <c r="R1087" s="1">
        <f>2*Table1[[#This Row],[Std Error]]</f>
        <v>0</v>
      </c>
      <c r="S1087" s="1" t="str">
        <f>IF(Table1[[#This Row],[High Tol]]="","N/A",IFERROR(ABS(Table1[[#This Row],[Tol Span]]/Table1[[#This Row],[Error Span]]),"N/A"))</f>
        <v>N/A</v>
      </c>
      <c r="T1087" s="1" t="str">
        <f>IF(OR(Table1[[#This Row],[Low Tol]]="",Table1[[#This Row],[High Tol]]=""),"Needs Analysis",IF(Table1[[#This Row],[Ratio]]&gt;=4,"Not Significant",IF(Table1[[#This Row],[Ratio]]&gt;=2,"Semi-Significant","Significant")))</f>
        <v>Needs Analysis</v>
      </c>
      <c r="W1087" s="1">
        <f>IF(Table1[[#This Row],[Cal Type]]&lt;&gt;"ACCREDITED 17025 WITH UNCERTAINTIES",0,"")</f>
        <v>0</v>
      </c>
      <c r="X1087" s="1" t="str">
        <f>IF(Table1[[#This Row],[DUT Read]]="","N/A",Table1[[#This Row],[Std Error]]+Table1[[#This Row],[DUT Read]]+Table1[[#This Row],[DUT Ucty]])</f>
        <v>N/A</v>
      </c>
      <c r="Y1087" s="1" t="str">
        <f>IF(Table1[[#This Row],[Std Read]]="","N/A",Table1[[#This Row],[Std Read]]+Table1[[#This Row],[Std Ucty]])</f>
        <v>N/A</v>
      </c>
      <c r="Z10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7" s="1" t="str">
        <f>IF(Table1[[#This Row],[Spec Type]]="","N/A",Table1[[#This Row],[Spec Type]])</f>
        <v>±</v>
      </c>
      <c r="AC1087" s="1" t="str">
        <f>IF(Table1[[#This Row],[Spec Type2]]="N/A","N/A",IF(AND(Table1[[#This Row],[DUT Adj Read]]&gt;=Table1[[#This Row],[Low Tol]],Table1[[#This Row],[DUT Adj Read]]&lt;=Table1[[#This Row],[High Tol]]),"Pass","Fail"))</f>
        <v>Fail</v>
      </c>
      <c r="AD1087" s="1" t="str">
        <f>IF(AND(Table1[[#This Row],[Spec Type2]]="N/A",Table1[[#This Row],[DUT Adj Read]]="N/A",Table1[[#This Row],[Std Adj Read]]="N/A"),"N/A",IF(Table1[[#This Row],[DUT Adj Read]]="N/A",IF(Table1[[#This Row],[Std Adj Read]]&gt;Table1[[#This Row],[Low Tol]],"Pass","Fail"),IF(Table1[[#This Row],[DUT Adj Read]]&gt;Table1[[#This Row],[Low Tol]],"Pass","Fail")))</f>
        <v>Pass</v>
      </c>
      <c r="AE1087" s="1" t="str">
        <f>IF(AND(Table1[[#This Row],[Spec Type2]]="N/A",Table1[[#This Row],[DUT Adj Read]]="N/A",Table1[[#This Row],[Std Adj Read]]="N/A"),"N/A",IF(Table1[[#This Row],[DUT Adj Read]]="N/A",IF(Table1[[#This Row],[Std Adj Read]]&lt;Table1[[#This Row],[High Tol]],"Pass","Fail"),IF(Table1[[#This Row],[DUT Adj Read]]&lt;Table1[[#This Row],[High Tol]],"Pass","Fail")))</f>
        <v>Fail</v>
      </c>
      <c r="AF1087" s="1" t="str">
        <f>IF(AND(Table1[[#This Row],[Spec Type2]]="N/A",Table1[[#This Row],[DUT Adj Read]]="N/A",Table1[[#This Row],[Std Adj Read]]="N/A"),"N/A",IF(Table1[[#This Row],[DUT Adj Read]]="N/A",IF(Table1[[#This Row],[Std Adj Read]]&gt;=Table1[[#This Row],[Low Tol]],"Pass","Fail"),IF(Table1[[#This Row],[DUT Adj Read]]&gt;=Table1[[#This Row],[Low Tol]],"Pass","Fail")))</f>
        <v>Pass</v>
      </c>
      <c r="AG1087" s="1" t="str">
        <f>IF(AND(Table1[[#This Row],[Spec Type2]]="N/A",Table1[[#This Row],[DUT Adj Read]]="N/A",Table1[[#This Row],[Std Adj Read]]="N/A"),"N/A",IF(Table1[[#This Row],[DUT Adj Read]]="N/A",IF(Table1[[#This Row],[Std Adj Read]]&lt;=Table1[[#This Row],[High Tol]],"Pass","Fail"),IF(Table1[[#This Row],[DUT Adj Read]]&lt;=Table1[[#This Row],[High Tol]],"Pass","Fail")))</f>
        <v>Fail</v>
      </c>
      <c r="AH10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7" s="1" t="b">
        <v>0</v>
      </c>
      <c r="AN1087" s="1" t="b">
        <v>0</v>
      </c>
      <c r="AO1087" s="1" t="b">
        <v>0</v>
      </c>
    </row>
    <row r="1088" spans="1:41" x14ac:dyDescent="0.25">
      <c r="A1088" s="10"/>
      <c r="B1088" s="10"/>
      <c r="C1088" s="10"/>
      <c r="D1088" s="10"/>
      <c r="E1088" s="10"/>
      <c r="F1088" s="10"/>
      <c r="G1088" s="10"/>
      <c r="H1088" s="10"/>
      <c r="I1088" s="1" t="str">
        <f t="shared" si="48"/>
        <v/>
      </c>
      <c r="J1088" s="1" t="s">
        <v>35</v>
      </c>
      <c r="K1088" s="1" t="str">
        <f t="shared" si="49"/>
        <v/>
      </c>
      <c r="L1088" s="1" t="str">
        <f t="shared" si="50"/>
        <v/>
      </c>
      <c r="M1088" s="1">
        <f>IF(OR(Table1[[#This Row],[Std Nom]]="",Table1[[#This Row],[Std Read]]=""),0,Table1[[#This Row],[Std Nom]]-Table1[[#This Row],[Std Read]])</f>
        <v>0</v>
      </c>
      <c r="N1088" s="1">
        <f>IF(Calculations!$F$5="ACCREDITED 17025 WITH UNCERTAINTIES",$N$10,0)</f>
        <v>0</v>
      </c>
      <c r="Q1088" s="1">
        <f>Table1[[#This Row],[High Tol]]-Table1[[#This Row],[Low Tol]]</f>
        <v>0</v>
      </c>
      <c r="R1088" s="1">
        <f>2*Table1[[#This Row],[Std Error]]</f>
        <v>0</v>
      </c>
      <c r="S1088" s="1" t="str">
        <f>IF(Table1[[#This Row],[High Tol]]="","N/A",IFERROR(ABS(Table1[[#This Row],[Tol Span]]/Table1[[#This Row],[Error Span]]),"N/A"))</f>
        <v>N/A</v>
      </c>
      <c r="T1088" s="1" t="str">
        <f>IF(OR(Table1[[#This Row],[Low Tol]]="",Table1[[#This Row],[High Tol]]=""),"Needs Analysis",IF(Table1[[#This Row],[Ratio]]&gt;=4,"Not Significant",IF(Table1[[#This Row],[Ratio]]&gt;=2,"Semi-Significant","Significant")))</f>
        <v>Needs Analysis</v>
      </c>
      <c r="W1088" s="1">
        <f>IF(Table1[[#This Row],[Cal Type]]&lt;&gt;"ACCREDITED 17025 WITH UNCERTAINTIES",0,"")</f>
        <v>0</v>
      </c>
      <c r="X1088" s="1" t="str">
        <f>IF(Table1[[#This Row],[DUT Read]]="","N/A",Table1[[#This Row],[Std Error]]+Table1[[#This Row],[DUT Read]]+Table1[[#This Row],[DUT Ucty]])</f>
        <v>N/A</v>
      </c>
      <c r="Y1088" s="1" t="str">
        <f>IF(Table1[[#This Row],[Std Read]]="","N/A",Table1[[#This Row],[Std Read]]+Table1[[#This Row],[Std Ucty]])</f>
        <v>N/A</v>
      </c>
      <c r="Z10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8" s="1" t="str">
        <f>IF(Table1[[#This Row],[Spec Type]]="","N/A",Table1[[#This Row],[Spec Type]])</f>
        <v>±</v>
      </c>
      <c r="AC1088" s="1" t="str">
        <f>IF(Table1[[#This Row],[Spec Type2]]="N/A","N/A",IF(AND(Table1[[#This Row],[DUT Adj Read]]&gt;=Table1[[#This Row],[Low Tol]],Table1[[#This Row],[DUT Adj Read]]&lt;=Table1[[#This Row],[High Tol]]),"Pass","Fail"))</f>
        <v>Fail</v>
      </c>
      <c r="AD1088" s="1" t="str">
        <f>IF(AND(Table1[[#This Row],[Spec Type2]]="N/A",Table1[[#This Row],[DUT Adj Read]]="N/A",Table1[[#This Row],[Std Adj Read]]="N/A"),"N/A",IF(Table1[[#This Row],[DUT Adj Read]]="N/A",IF(Table1[[#This Row],[Std Adj Read]]&gt;Table1[[#This Row],[Low Tol]],"Pass","Fail"),IF(Table1[[#This Row],[DUT Adj Read]]&gt;Table1[[#This Row],[Low Tol]],"Pass","Fail")))</f>
        <v>Pass</v>
      </c>
      <c r="AE1088" s="1" t="str">
        <f>IF(AND(Table1[[#This Row],[Spec Type2]]="N/A",Table1[[#This Row],[DUT Adj Read]]="N/A",Table1[[#This Row],[Std Adj Read]]="N/A"),"N/A",IF(Table1[[#This Row],[DUT Adj Read]]="N/A",IF(Table1[[#This Row],[Std Adj Read]]&lt;Table1[[#This Row],[High Tol]],"Pass","Fail"),IF(Table1[[#This Row],[DUT Adj Read]]&lt;Table1[[#This Row],[High Tol]],"Pass","Fail")))</f>
        <v>Fail</v>
      </c>
      <c r="AF1088" s="1" t="str">
        <f>IF(AND(Table1[[#This Row],[Spec Type2]]="N/A",Table1[[#This Row],[DUT Adj Read]]="N/A",Table1[[#This Row],[Std Adj Read]]="N/A"),"N/A",IF(Table1[[#This Row],[DUT Adj Read]]="N/A",IF(Table1[[#This Row],[Std Adj Read]]&gt;=Table1[[#This Row],[Low Tol]],"Pass","Fail"),IF(Table1[[#This Row],[DUT Adj Read]]&gt;=Table1[[#This Row],[Low Tol]],"Pass","Fail")))</f>
        <v>Pass</v>
      </c>
      <c r="AG1088" s="1" t="str">
        <f>IF(AND(Table1[[#This Row],[Spec Type2]]="N/A",Table1[[#This Row],[DUT Adj Read]]="N/A",Table1[[#This Row],[Std Adj Read]]="N/A"),"N/A",IF(Table1[[#This Row],[DUT Adj Read]]="N/A",IF(Table1[[#This Row],[Std Adj Read]]&lt;=Table1[[#This Row],[High Tol]],"Pass","Fail"),IF(Table1[[#This Row],[DUT Adj Read]]&lt;=Table1[[#This Row],[High Tol]],"Pass","Fail")))</f>
        <v>Fail</v>
      </c>
      <c r="AH10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8" s="1" t="b">
        <v>0</v>
      </c>
      <c r="AN1088" s="1" t="b">
        <v>0</v>
      </c>
      <c r="AO1088" s="1" t="b">
        <v>0</v>
      </c>
    </row>
    <row r="1089" spans="1:41" x14ac:dyDescent="0.25">
      <c r="A1089" s="10"/>
      <c r="B1089" s="10"/>
      <c r="C1089" s="10"/>
      <c r="D1089" s="10"/>
      <c r="E1089" s="10"/>
      <c r="F1089" s="10"/>
      <c r="G1089" s="10"/>
      <c r="H1089" s="10"/>
      <c r="I1089" s="1" t="str">
        <f t="shared" si="48"/>
        <v/>
      </c>
      <c r="J1089" s="1" t="s">
        <v>35</v>
      </c>
      <c r="K1089" s="1" t="str">
        <f t="shared" si="49"/>
        <v/>
      </c>
      <c r="L1089" s="1" t="str">
        <f t="shared" si="50"/>
        <v/>
      </c>
      <c r="M1089" s="1">
        <f>IF(OR(Table1[[#This Row],[Std Nom]]="",Table1[[#This Row],[Std Read]]=""),0,Table1[[#This Row],[Std Nom]]-Table1[[#This Row],[Std Read]])</f>
        <v>0</v>
      </c>
      <c r="N1089" s="1">
        <f>IF(Calculations!$F$5="ACCREDITED 17025 WITH UNCERTAINTIES",$N$10,0)</f>
        <v>0</v>
      </c>
      <c r="Q1089" s="1">
        <f>Table1[[#This Row],[High Tol]]-Table1[[#This Row],[Low Tol]]</f>
        <v>0</v>
      </c>
      <c r="R1089" s="1">
        <f>2*Table1[[#This Row],[Std Error]]</f>
        <v>0</v>
      </c>
      <c r="S1089" s="1" t="str">
        <f>IF(Table1[[#This Row],[High Tol]]="","N/A",IFERROR(ABS(Table1[[#This Row],[Tol Span]]/Table1[[#This Row],[Error Span]]),"N/A"))</f>
        <v>N/A</v>
      </c>
      <c r="T1089" s="1" t="str">
        <f>IF(OR(Table1[[#This Row],[Low Tol]]="",Table1[[#This Row],[High Tol]]=""),"Needs Analysis",IF(Table1[[#This Row],[Ratio]]&gt;=4,"Not Significant",IF(Table1[[#This Row],[Ratio]]&gt;=2,"Semi-Significant","Significant")))</f>
        <v>Needs Analysis</v>
      </c>
      <c r="W1089" s="1">
        <f>IF(Table1[[#This Row],[Cal Type]]&lt;&gt;"ACCREDITED 17025 WITH UNCERTAINTIES",0,"")</f>
        <v>0</v>
      </c>
      <c r="X1089" s="1" t="str">
        <f>IF(Table1[[#This Row],[DUT Read]]="","N/A",Table1[[#This Row],[Std Error]]+Table1[[#This Row],[DUT Read]]+Table1[[#This Row],[DUT Ucty]])</f>
        <v>N/A</v>
      </c>
      <c r="Y1089" s="1" t="str">
        <f>IF(Table1[[#This Row],[Std Read]]="","N/A",Table1[[#This Row],[Std Read]]+Table1[[#This Row],[Std Ucty]])</f>
        <v>N/A</v>
      </c>
      <c r="Z10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89" s="1" t="str">
        <f>IF(Table1[[#This Row],[Spec Type]]="","N/A",Table1[[#This Row],[Spec Type]])</f>
        <v>±</v>
      </c>
      <c r="AC1089" s="1" t="str">
        <f>IF(Table1[[#This Row],[Spec Type2]]="N/A","N/A",IF(AND(Table1[[#This Row],[DUT Adj Read]]&gt;=Table1[[#This Row],[Low Tol]],Table1[[#This Row],[DUT Adj Read]]&lt;=Table1[[#This Row],[High Tol]]),"Pass","Fail"))</f>
        <v>Fail</v>
      </c>
      <c r="AD1089" s="1" t="str">
        <f>IF(AND(Table1[[#This Row],[Spec Type2]]="N/A",Table1[[#This Row],[DUT Adj Read]]="N/A",Table1[[#This Row],[Std Adj Read]]="N/A"),"N/A",IF(Table1[[#This Row],[DUT Adj Read]]="N/A",IF(Table1[[#This Row],[Std Adj Read]]&gt;Table1[[#This Row],[Low Tol]],"Pass","Fail"),IF(Table1[[#This Row],[DUT Adj Read]]&gt;Table1[[#This Row],[Low Tol]],"Pass","Fail")))</f>
        <v>Pass</v>
      </c>
      <c r="AE1089" s="1" t="str">
        <f>IF(AND(Table1[[#This Row],[Spec Type2]]="N/A",Table1[[#This Row],[DUT Adj Read]]="N/A",Table1[[#This Row],[Std Adj Read]]="N/A"),"N/A",IF(Table1[[#This Row],[DUT Adj Read]]="N/A",IF(Table1[[#This Row],[Std Adj Read]]&lt;Table1[[#This Row],[High Tol]],"Pass","Fail"),IF(Table1[[#This Row],[DUT Adj Read]]&lt;Table1[[#This Row],[High Tol]],"Pass","Fail")))</f>
        <v>Fail</v>
      </c>
      <c r="AF1089" s="1" t="str">
        <f>IF(AND(Table1[[#This Row],[Spec Type2]]="N/A",Table1[[#This Row],[DUT Adj Read]]="N/A",Table1[[#This Row],[Std Adj Read]]="N/A"),"N/A",IF(Table1[[#This Row],[DUT Adj Read]]="N/A",IF(Table1[[#This Row],[Std Adj Read]]&gt;=Table1[[#This Row],[Low Tol]],"Pass","Fail"),IF(Table1[[#This Row],[DUT Adj Read]]&gt;=Table1[[#This Row],[Low Tol]],"Pass","Fail")))</f>
        <v>Pass</v>
      </c>
      <c r="AG1089" s="1" t="str">
        <f>IF(AND(Table1[[#This Row],[Spec Type2]]="N/A",Table1[[#This Row],[DUT Adj Read]]="N/A",Table1[[#This Row],[Std Adj Read]]="N/A"),"N/A",IF(Table1[[#This Row],[DUT Adj Read]]="N/A",IF(Table1[[#This Row],[Std Adj Read]]&lt;=Table1[[#This Row],[High Tol]],"Pass","Fail"),IF(Table1[[#This Row],[DUT Adj Read]]&lt;=Table1[[#This Row],[High Tol]],"Pass","Fail")))</f>
        <v>Fail</v>
      </c>
      <c r="AH10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89" s="1" t="b">
        <v>0</v>
      </c>
      <c r="AN1089" s="1" t="b">
        <v>0</v>
      </c>
      <c r="AO1089" s="1" t="b">
        <v>0</v>
      </c>
    </row>
    <row r="1090" spans="1:41" x14ac:dyDescent="0.25">
      <c r="A1090" s="10"/>
      <c r="B1090" s="10"/>
      <c r="C1090" s="10"/>
      <c r="D1090" s="10"/>
      <c r="E1090" s="10"/>
      <c r="F1090" s="10"/>
      <c r="G1090" s="10"/>
      <c r="H1090" s="10"/>
      <c r="I1090" s="1" t="str">
        <f t="shared" si="48"/>
        <v/>
      </c>
      <c r="J1090" s="1" t="s">
        <v>35</v>
      </c>
      <c r="K1090" s="1" t="str">
        <f t="shared" si="49"/>
        <v/>
      </c>
      <c r="L1090" s="1" t="str">
        <f t="shared" si="50"/>
        <v/>
      </c>
      <c r="M1090" s="1">
        <f>IF(OR(Table1[[#This Row],[Std Nom]]="",Table1[[#This Row],[Std Read]]=""),0,Table1[[#This Row],[Std Nom]]-Table1[[#This Row],[Std Read]])</f>
        <v>0</v>
      </c>
      <c r="N1090" s="1">
        <f>IF(Calculations!$F$5="ACCREDITED 17025 WITH UNCERTAINTIES",$N$10,0)</f>
        <v>0</v>
      </c>
      <c r="Q1090" s="1">
        <f>Table1[[#This Row],[High Tol]]-Table1[[#This Row],[Low Tol]]</f>
        <v>0</v>
      </c>
      <c r="R1090" s="1">
        <f>2*Table1[[#This Row],[Std Error]]</f>
        <v>0</v>
      </c>
      <c r="S1090" s="1" t="str">
        <f>IF(Table1[[#This Row],[High Tol]]="","N/A",IFERROR(ABS(Table1[[#This Row],[Tol Span]]/Table1[[#This Row],[Error Span]]),"N/A"))</f>
        <v>N/A</v>
      </c>
      <c r="T1090" s="1" t="str">
        <f>IF(OR(Table1[[#This Row],[Low Tol]]="",Table1[[#This Row],[High Tol]]=""),"Needs Analysis",IF(Table1[[#This Row],[Ratio]]&gt;=4,"Not Significant",IF(Table1[[#This Row],[Ratio]]&gt;=2,"Semi-Significant","Significant")))</f>
        <v>Needs Analysis</v>
      </c>
      <c r="W1090" s="1">
        <f>IF(Table1[[#This Row],[Cal Type]]&lt;&gt;"ACCREDITED 17025 WITH UNCERTAINTIES",0,"")</f>
        <v>0</v>
      </c>
      <c r="X1090" s="1" t="str">
        <f>IF(Table1[[#This Row],[DUT Read]]="","N/A",Table1[[#This Row],[Std Error]]+Table1[[#This Row],[DUT Read]]+Table1[[#This Row],[DUT Ucty]])</f>
        <v>N/A</v>
      </c>
      <c r="Y1090" s="1" t="str">
        <f>IF(Table1[[#This Row],[Std Read]]="","N/A",Table1[[#This Row],[Std Read]]+Table1[[#This Row],[Std Ucty]])</f>
        <v>N/A</v>
      </c>
      <c r="Z10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0" s="1" t="str">
        <f>IF(Table1[[#This Row],[Spec Type]]="","N/A",Table1[[#This Row],[Spec Type]])</f>
        <v>±</v>
      </c>
      <c r="AC1090" s="1" t="str">
        <f>IF(Table1[[#This Row],[Spec Type2]]="N/A","N/A",IF(AND(Table1[[#This Row],[DUT Adj Read]]&gt;=Table1[[#This Row],[Low Tol]],Table1[[#This Row],[DUT Adj Read]]&lt;=Table1[[#This Row],[High Tol]]),"Pass","Fail"))</f>
        <v>Fail</v>
      </c>
      <c r="AD1090" s="1" t="str">
        <f>IF(AND(Table1[[#This Row],[Spec Type2]]="N/A",Table1[[#This Row],[DUT Adj Read]]="N/A",Table1[[#This Row],[Std Adj Read]]="N/A"),"N/A",IF(Table1[[#This Row],[DUT Adj Read]]="N/A",IF(Table1[[#This Row],[Std Adj Read]]&gt;Table1[[#This Row],[Low Tol]],"Pass","Fail"),IF(Table1[[#This Row],[DUT Adj Read]]&gt;Table1[[#This Row],[Low Tol]],"Pass","Fail")))</f>
        <v>Pass</v>
      </c>
      <c r="AE1090" s="1" t="str">
        <f>IF(AND(Table1[[#This Row],[Spec Type2]]="N/A",Table1[[#This Row],[DUT Adj Read]]="N/A",Table1[[#This Row],[Std Adj Read]]="N/A"),"N/A",IF(Table1[[#This Row],[DUT Adj Read]]="N/A",IF(Table1[[#This Row],[Std Adj Read]]&lt;Table1[[#This Row],[High Tol]],"Pass","Fail"),IF(Table1[[#This Row],[DUT Adj Read]]&lt;Table1[[#This Row],[High Tol]],"Pass","Fail")))</f>
        <v>Fail</v>
      </c>
      <c r="AF1090" s="1" t="str">
        <f>IF(AND(Table1[[#This Row],[Spec Type2]]="N/A",Table1[[#This Row],[DUT Adj Read]]="N/A",Table1[[#This Row],[Std Adj Read]]="N/A"),"N/A",IF(Table1[[#This Row],[DUT Adj Read]]="N/A",IF(Table1[[#This Row],[Std Adj Read]]&gt;=Table1[[#This Row],[Low Tol]],"Pass","Fail"),IF(Table1[[#This Row],[DUT Adj Read]]&gt;=Table1[[#This Row],[Low Tol]],"Pass","Fail")))</f>
        <v>Pass</v>
      </c>
      <c r="AG1090" s="1" t="str">
        <f>IF(AND(Table1[[#This Row],[Spec Type2]]="N/A",Table1[[#This Row],[DUT Adj Read]]="N/A",Table1[[#This Row],[Std Adj Read]]="N/A"),"N/A",IF(Table1[[#This Row],[DUT Adj Read]]="N/A",IF(Table1[[#This Row],[Std Adj Read]]&lt;=Table1[[#This Row],[High Tol]],"Pass","Fail"),IF(Table1[[#This Row],[DUT Adj Read]]&lt;=Table1[[#This Row],[High Tol]],"Pass","Fail")))</f>
        <v>Fail</v>
      </c>
      <c r="AH10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0" s="1" t="b">
        <v>0</v>
      </c>
      <c r="AN1090" s="1" t="b">
        <v>0</v>
      </c>
      <c r="AO1090" s="1" t="b">
        <v>0</v>
      </c>
    </row>
    <row r="1091" spans="1:41" x14ac:dyDescent="0.25">
      <c r="A1091" s="10"/>
      <c r="B1091" s="10"/>
      <c r="C1091" s="10"/>
      <c r="D1091" s="10"/>
      <c r="E1091" s="10"/>
      <c r="F1091" s="10"/>
      <c r="G1091" s="10"/>
      <c r="H1091" s="10"/>
      <c r="I1091" s="1" t="str">
        <f t="shared" si="48"/>
        <v/>
      </c>
      <c r="J1091" s="1" t="s">
        <v>35</v>
      </c>
      <c r="K1091" s="1" t="str">
        <f t="shared" si="49"/>
        <v/>
      </c>
      <c r="L1091" s="1" t="str">
        <f t="shared" si="50"/>
        <v/>
      </c>
      <c r="M1091" s="1">
        <f>IF(OR(Table1[[#This Row],[Std Nom]]="",Table1[[#This Row],[Std Read]]=""),0,Table1[[#This Row],[Std Nom]]-Table1[[#This Row],[Std Read]])</f>
        <v>0</v>
      </c>
      <c r="N1091" s="1">
        <f>IF(Calculations!$F$5="ACCREDITED 17025 WITH UNCERTAINTIES",$N$10,0)</f>
        <v>0</v>
      </c>
      <c r="Q1091" s="1">
        <f>Table1[[#This Row],[High Tol]]-Table1[[#This Row],[Low Tol]]</f>
        <v>0</v>
      </c>
      <c r="R1091" s="1">
        <f>2*Table1[[#This Row],[Std Error]]</f>
        <v>0</v>
      </c>
      <c r="S1091" s="1" t="str">
        <f>IF(Table1[[#This Row],[High Tol]]="","N/A",IFERROR(ABS(Table1[[#This Row],[Tol Span]]/Table1[[#This Row],[Error Span]]),"N/A"))</f>
        <v>N/A</v>
      </c>
      <c r="T1091" s="1" t="str">
        <f>IF(OR(Table1[[#This Row],[Low Tol]]="",Table1[[#This Row],[High Tol]]=""),"Needs Analysis",IF(Table1[[#This Row],[Ratio]]&gt;=4,"Not Significant",IF(Table1[[#This Row],[Ratio]]&gt;=2,"Semi-Significant","Significant")))</f>
        <v>Needs Analysis</v>
      </c>
      <c r="W1091" s="1">
        <f>IF(Table1[[#This Row],[Cal Type]]&lt;&gt;"ACCREDITED 17025 WITH UNCERTAINTIES",0,"")</f>
        <v>0</v>
      </c>
      <c r="X1091" s="1" t="str">
        <f>IF(Table1[[#This Row],[DUT Read]]="","N/A",Table1[[#This Row],[Std Error]]+Table1[[#This Row],[DUT Read]]+Table1[[#This Row],[DUT Ucty]])</f>
        <v>N/A</v>
      </c>
      <c r="Y1091" s="1" t="str">
        <f>IF(Table1[[#This Row],[Std Read]]="","N/A",Table1[[#This Row],[Std Read]]+Table1[[#This Row],[Std Ucty]])</f>
        <v>N/A</v>
      </c>
      <c r="Z10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1" s="1" t="str">
        <f>IF(Table1[[#This Row],[Spec Type]]="","N/A",Table1[[#This Row],[Spec Type]])</f>
        <v>±</v>
      </c>
      <c r="AC1091" s="1" t="str">
        <f>IF(Table1[[#This Row],[Spec Type2]]="N/A","N/A",IF(AND(Table1[[#This Row],[DUT Adj Read]]&gt;=Table1[[#This Row],[Low Tol]],Table1[[#This Row],[DUT Adj Read]]&lt;=Table1[[#This Row],[High Tol]]),"Pass","Fail"))</f>
        <v>Fail</v>
      </c>
      <c r="AD1091" s="1" t="str">
        <f>IF(AND(Table1[[#This Row],[Spec Type2]]="N/A",Table1[[#This Row],[DUT Adj Read]]="N/A",Table1[[#This Row],[Std Adj Read]]="N/A"),"N/A",IF(Table1[[#This Row],[DUT Adj Read]]="N/A",IF(Table1[[#This Row],[Std Adj Read]]&gt;Table1[[#This Row],[Low Tol]],"Pass","Fail"),IF(Table1[[#This Row],[DUT Adj Read]]&gt;Table1[[#This Row],[Low Tol]],"Pass","Fail")))</f>
        <v>Pass</v>
      </c>
      <c r="AE1091" s="1" t="str">
        <f>IF(AND(Table1[[#This Row],[Spec Type2]]="N/A",Table1[[#This Row],[DUT Adj Read]]="N/A",Table1[[#This Row],[Std Adj Read]]="N/A"),"N/A",IF(Table1[[#This Row],[DUT Adj Read]]="N/A",IF(Table1[[#This Row],[Std Adj Read]]&lt;Table1[[#This Row],[High Tol]],"Pass","Fail"),IF(Table1[[#This Row],[DUT Adj Read]]&lt;Table1[[#This Row],[High Tol]],"Pass","Fail")))</f>
        <v>Fail</v>
      </c>
      <c r="AF1091" s="1" t="str">
        <f>IF(AND(Table1[[#This Row],[Spec Type2]]="N/A",Table1[[#This Row],[DUT Adj Read]]="N/A",Table1[[#This Row],[Std Adj Read]]="N/A"),"N/A",IF(Table1[[#This Row],[DUT Adj Read]]="N/A",IF(Table1[[#This Row],[Std Adj Read]]&gt;=Table1[[#This Row],[Low Tol]],"Pass","Fail"),IF(Table1[[#This Row],[DUT Adj Read]]&gt;=Table1[[#This Row],[Low Tol]],"Pass","Fail")))</f>
        <v>Pass</v>
      </c>
      <c r="AG1091" s="1" t="str">
        <f>IF(AND(Table1[[#This Row],[Spec Type2]]="N/A",Table1[[#This Row],[DUT Adj Read]]="N/A",Table1[[#This Row],[Std Adj Read]]="N/A"),"N/A",IF(Table1[[#This Row],[DUT Adj Read]]="N/A",IF(Table1[[#This Row],[Std Adj Read]]&lt;=Table1[[#This Row],[High Tol]],"Pass","Fail"),IF(Table1[[#This Row],[DUT Adj Read]]&lt;=Table1[[#This Row],[High Tol]],"Pass","Fail")))</f>
        <v>Fail</v>
      </c>
      <c r="AH10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1" s="1" t="b">
        <v>0</v>
      </c>
      <c r="AN1091" s="1" t="b">
        <v>0</v>
      </c>
      <c r="AO1091" s="1" t="b">
        <v>0</v>
      </c>
    </row>
    <row r="1092" spans="1:41" x14ac:dyDescent="0.25">
      <c r="A1092" s="10"/>
      <c r="B1092" s="10"/>
      <c r="C1092" s="10"/>
      <c r="D1092" s="10"/>
      <c r="E1092" s="10"/>
      <c r="F1092" s="10"/>
      <c r="G1092" s="10"/>
      <c r="H1092" s="10"/>
      <c r="I1092" s="1" t="str">
        <f t="shared" si="48"/>
        <v/>
      </c>
      <c r="J1092" s="1" t="s">
        <v>35</v>
      </c>
      <c r="K1092" s="1" t="str">
        <f t="shared" si="49"/>
        <v/>
      </c>
      <c r="L1092" s="1" t="str">
        <f t="shared" si="50"/>
        <v/>
      </c>
      <c r="M1092" s="1">
        <f>IF(OR(Table1[[#This Row],[Std Nom]]="",Table1[[#This Row],[Std Read]]=""),0,Table1[[#This Row],[Std Nom]]-Table1[[#This Row],[Std Read]])</f>
        <v>0</v>
      </c>
      <c r="N1092" s="1">
        <f>IF(Calculations!$F$5="ACCREDITED 17025 WITH UNCERTAINTIES",$N$10,0)</f>
        <v>0</v>
      </c>
      <c r="Q1092" s="1">
        <f>Table1[[#This Row],[High Tol]]-Table1[[#This Row],[Low Tol]]</f>
        <v>0</v>
      </c>
      <c r="R1092" s="1">
        <f>2*Table1[[#This Row],[Std Error]]</f>
        <v>0</v>
      </c>
      <c r="S1092" s="1" t="str">
        <f>IF(Table1[[#This Row],[High Tol]]="","N/A",IFERROR(ABS(Table1[[#This Row],[Tol Span]]/Table1[[#This Row],[Error Span]]),"N/A"))</f>
        <v>N/A</v>
      </c>
      <c r="T1092" s="1" t="str">
        <f>IF(OR(Table1[[#This Row],[Low Tol]]="",Table1[[#This Row],[High Tol]]=""),"Needs Analysis",IF(Table1[[#This Row],[Ratio]]&gt;=4,"Not Significant",IF(Table1[[#This Row],[Ratio]]&gt;=2,"Semi-Significant","Significant")))</f>
        <v>Needs Analysis</v>
      </c>
      <c r="W1092" s="1">
        <f>IF(Table1[[#This Row],[Cal Type]]&lt;&gt;"ACCREDITED 17025 WITH UNCERTAINTIES",0,"")</f>
        <v>0</v>
      </c>
      <c r="X1092" s="1" t="str">
        <f>IF(Table1[[#This Row],[DUT Read]]="","N/A",Table1[[#This Row],[Std Error]]+Table1[[#This Row],[DUT Read]]+Table1[[#This Row],[DUT Ucty]])</f>
        <v>N/A</v>
      </c>
      <c r="Y1092" s="1" t="str">
        <f>IF(Table1[[#This Row],[Std Read]]="","N/A",Table1[[#This Row],[Std Read]]+Table1[[#This Row],[Std Ucty]])</f>
        <v>N/A</v>
      </c>
      <c r="Z10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2" s="1" t="str">
        <f>IF(Table1[[#This Row],[Spec Type]]="","N/A",Table1[[#This Row],[Spec Type]])</f>
        <v>±</v>
      </c>
      <c r="AC1092" s="1" t="str">
        <f>IF(Table1[[#This Row],[Spec Type2]]="N/A","N/A",IF(AND(Table1[[#This Row],[DUT Adj Read]]&gt;=Table1[[#This Row],[Low Tol]],Table1[[#This Row],[DUT Adj Read]]&lt;=Table1[[#This Row],[High Tol]]),"Pass","Fail"))</f>
        <v>Fail</v>
      </c>
      <c r="AD1092" s="1" t="str">
        <f>IF(AND(Table1[[#This Row],[Spec Type2]]="N/A",Table1[[#This Row],[DUT Adj Read]]="N/A",Table1[[#This Row],[Std Adj Read]]="N/A"),"N/A",IF(Table1[[#This Row],[DUT Adj Read]]="N/A",IF(Table1[[#This Row],[Std Adj Read]]&gt;Table1[[#This Row],[Low Tol]],"Pass","Fail"),IF(Table1[[#This Row],[DUT Adj Read]]&gt;Table1[[#This Row],[Low Tol]],"Pass","Fail")))</f>
        <v>Pass</v>
      </c>
      <c r="AE1092" s="1" t="str">
        <f>IF(AND(Table1[[#This Row],[Spec Type2]]="N/A",Table1[[#This Row],[DUT Adj Read]]="N/A",Table1[[#This Row],[Std Adj Read]]="N/A"),"N/A",IF(Table1[[#This Row],[DUT Adj Read]]="N/A",IF(Table1[[#This Row],[Std Adj Read]]&lt;Table1[[#This Row],[High Tol]],"Pass","Fail"),IF(Table1[[#This Row],[DUT Adj Read]]&lt;Table1[[#This Row],[High Tol]],"Pass","Fail")))</f>
        <v>Fail</v>
      </c>
      <c r="AF1092" s="1" t="str">
        <f>IF(AND(Table1[[#This Row],[Spec Type2]]="N/A",Table1[[#This Row],[DUT Adj Read]]="N/A",Table1[[#This Row],[Std Adj Read]]="N/A"),"N/A",IF(Table1[[#This Row],[DUT Adj Read]]="N/A",IF(Table1[[#This Row],[Std Adj Read]]&gt;=Table1[[#This Row],[Low Tol]],"Pass","Fail"),IF(Table1[[#This Row],[DUT Adj Read]]&gt;=Table1[[#This Row],[Low Tol]],"Pass","Fail")))</f>
        <v>Pass</v>
      </c>
      <c r="AG1092" s="1" t="str">
        <f>IF(AND(Table1[[#This Row],[Spec Type2]]="N/A",Table1[[#This Row],[DUT Adj Read]]="N/A",Table1[[#This Row],[Std Adj Read]]="N/A"),"N/A",IF(Table1[[#This Row],[DUT Adj Read]]="N/A",IF(Table1[[#This Row],[Std Adj Read]]&lt;=Table1[[#This Row],[High Tol]],"Pass","Fail"),IF(Table1[[#This Row],[DUT Adj Read]]&lt;=Table1[[#This Row],[High Tol]],"Pass","Fail")))</f>
        <v>Fail</v>
      </c>
      <c r="AH10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2" s="1" t="b">
        <v>0</v>
      </c>
      <c r="AN1092" s="1" t="b">
        <v>0</v>
      </c>
      <c r="AO1092" s="1" t="b">
        <v>0</v>
      </c>
    </row>
    <row r="1093" spans="1:41" x14ac:dyDescent="0.25">
      <c r="A1093" s="10"/>
      <c r="B1093" s="10"/>
      <c r="C1093" s="10"/>
      <c r="D1093" s="10"/>
      <c r="E1093" s="10"/>
      <c r="F1093" s="10"/>
      <c r="G1093" s="10"/>
      <c r="H1093" s="10"/>
      <c r="I1093" s="1" t="str">
        <f t="shared" si="48"/>
        <v/>
      </c>
      <c r="J1093" s="1" t="s">
        <v>35</v>
      </c>
      <c r="K1093" s="1" t="str">
        <f t="shared" si="49"/>
        <v/>
      </c>
      <c r="L1093" s="1" t="str">
        <f t="shared" si="50"/>
        <v/>
      </c>
      <c r="M1093" s="1">
        <f>IF(OR(Table1[[#This Row],[Std Nom]]="",Table1[[#This Row],[Std Read]]=""),0,Table1[[#This Row],[Std Nom]]-Table1[[#This Row],[Std Read]])</f>
        <v>0</v>
      </c>
      <c r="N1093" s="1">
        <f>IF(Calculations!$F$5="ACCREDITED 17025 WITH UNCERTAINTIES",$N$10,0)</f>
        <v>0</v>
      </c>
      <c r="Q1093" s="1">
        <f>Table1[[#This Row],[High Tol]]-Table1[[#This Row],[Low Tol]]</f>
        <v>0</v>
      </c>
      <c r="R1093" s="1">
        <f>2*Table1[[#This Row],[Std Error]]</f>
        <v>0</v>
      </c>
      <c r="S1093" s="1" t="str">
        <f>IF(Table1[[#This Row],[High Tol]]="","N/A",IFERROR(ABS(Table1[[#This Row],[Tol Span]]/Table1[[#This Row],[Error Span]]),"N/A"))</f>
        <v>N/A</v>
      </c>
      <c r="T1093" s="1" t="str">
        <f>IF(OR(Table1[[#This Row],[Low Tol]]="",Table1[[#This Row],[High Tol]]=""),"Needs Analysis",IF(Table1[[#This Row],[Ratio]]&gt;=4,"Not Significant",IF(Table1[[#This Row],[Ratio]]&gt;=2,"Semi-Significant","Significant")))</f>
        <v>Needs Analysis</v>
      </c>
      <c r="W1093" s="1">
        <f>IF(Table1[[#This Row],[Cal Type]]&lt;&gt;"ACCREDITED 17025 WITH UNCERTAINTIES",0,"")</f>
        <v>0</v>
      </c>
      <c r="X1093" s="1" t="str">
        <f>IF(Table1[[#This Row],[DUT Read]]="","N/A",Table1[[#This Row],[Std Error]]+Table1[[#This Row],[DUT Read]]+Table1[[#This Row],[DUT Ucty]])</f>
        <v>N/A</v>
      </c>
      <c r="Y1093" s="1" t="str">
        <f>IF(Table1[[#This Row],[Std Read]]="","N/A",Table1[[#This Row],[Std Read]]+Table1[[#This Row],[Std Ucty]])</f>
        <v>N/A</v>
      </c>
      <c r="Z10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3" s="1" t="str">
        <f>IF(Table1[[#This Row],[Spec Type]]="","N/A",Table1[[#This Row],[Spec Type]])</f>
        <v>±</v>
      </c>
      <c r="AC1093" s="1" t="str">
        <f>IF(Table1[[#This Row],[Spec Type2]]="N/A","N/A",IF(AND(Table1[[#This Row],[DUT Adj Read]]&gt;=Table1[[#This Row],[Low Tol]],Table1[[#This Row],[DUT Adj Read]]&lt;=Table1[[#This Row],[High Tol]]),"Pass","Fail"))</f>
        <v>Fail</v>
      </c>
      <c r="AD1093" s="1" t="str">
        <f>IF(AND(Table1[[#This Row],[Spec Type2]]="N/A",Table1[[#This Row],[DUT Adj Read]]="N/A",Table1[[#This Row],[Std Adj Read]]="N/A"),"N/A",IF(Table1[[#This Row],[DUT Adj Read]]="N/A",IF(Table1[[#This Row],[Std Adj Read]]&gt;Table1[[#This Row],[Low Tol]],"Pass","Fail"),IF(Table1[[#This Row],[DUT Adj Read]]&gt;Table1[[#This Row],[Low Tol]],"Pass","Fail")))</f>
        <v>Pass</v>
      </c>
      <c r="AE1093" s="1" t="str">
        <f>IF(AND(Table1[[#This Row],[Spec Type2]]="N/A",Table1[[#This Row],[DUT Adj Read]]="N/A",Table1[[#This Row],[Std Adj Read]]="N/A"),"N/A",IF(Table1[[#This Row],[DUT Adj Read]]="N/A",IF(Table1[[#This Row],[Std Adj Read]]&lt;Table1[[#This Row],[High Tol]],"Pass","Fail"),IF(Table1[[#This Row],[DUT Adj Read]]&lt;Table1[[#This Row],[High Tol]],"Pass","Fail")))</f>
        <v>Fail</v>
      </c>
      <c r="AF1093" s="1" t="str">
        <f>IF(AND(Table1[[#This Row],[Spec Type2]]="N/A",Table1[[#This Row],[DUT Adj Read]]="N/A",Table1[[#This Row],[Std Adj Read]]="N/A"),"N/A",IF(Table1[[#This Row],[DUT Adj Read]]="N/A",IF(Table1[[#This Row],[Std Adj Read]]&gt;=Table1[[#This Row],[Low Tol]],"Pass","Fail"),IF(Table1[[#This Row],[DUT Adj Read]]&gt;=Table1[[#This Row],[Low Tol]],"Pass","Fail")))</f>
        <v>Pass</v>
      </c>
      <c r="AG1093" s="1" t="str">
        <f>IF(AND(Table1[[#This Row],[Spec Type2]]="N/A",Table1[[#This Row],[DUT Adj Read]]="N/A",Table1[[#This Row],[Std Adj Read]]="N/A"),"N/A",IF(Table1[[#This Row],[DUT Adj Read]]="N/A",IF(Table1[[#This Row],[Std Adj Read]]&lt;=Table1[[#This Row],[High Tol]],"Pass","Fail"),IF(Table1[[#This Row],[DUT Adj Read]]&lt;=Table1[[#This Row],[High Tol]],"Pass","Fail")))</f>
        <v>Fail</v>
      </c>
      <c r="AH10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3" s="1" t="b">
        <v>0</v>
      </c>
      <c r="AN1093" s="1" t="b">
        <v>0</v>
      </c>
      <c r="AO1093" s="1" t="b">
        <v>0</v>
      </c>
    </row>
    <row r="1094" spans="1:41" x14ac:dyDescent="0.25">
      <c r="A1094" s="10"/>
      <c r="B1094" s="10"/>
      <c r="C1094" s="10"/>
      <c r="D1094" s="10"/>
      <c r="E1094" s="10"/>
      <c r="F1094" s="10"/>
      <c r="G1094" s="10"/>
      <c r="H1094" s="10"/>
      <c r="I1094" s="1" t="str">
        <f t="shared" si="48"/>
        <v/>
      </c>
      <c r="J1094" s="1" t="s">
        <v>35</v>
      </c>
      <c r="K1094" s="1" t="str">
        <f t="shared" si="49"/>
        <v/>
      </c>
      <c r="L1094" s="1" t="str">
        <f t="shared" si="50"/>
        <v/>
      </c>
      <c r="M1094" s="1">
        <f>IF(OR(Table1[[#This Row],[Std Nom]]="",Table1[[#This Row],[Std Read]]=""),0,Table1[[#This Row],[Std Nom]]-Table1[[#This Row],[Std Read]])</f>
        <v>0</v>
      </c>
      <c r="N1094" s="1">
        <f>IF(Calculations!$F$5="ACCREDITED 17025 WITH UNCERTAINTIES",$N$10,0)</f>
        <v>0</v>
      </c>
      <c r="Q1094" s="1">
        <f>Table1[[#This Row],[High Tol]]-Table1[[#This Row],[Low Tol]]</f>
        <v>0</v>
      </c>
      <c r="R1094" s="1">
        <f>2*Table1[[#This Row],[Std Error]]</f>
        <v>0</v>
      </c>
      <c r="S1094" s="1" t="str">
        <f>IF(Table1[[#This Row],[High Tol]]="","N/A",IFERROR(ABS(Table1[[#This Row],[Tol Span]]/Table1[[#This Row],[Error Span]]),"N/A"))</f>
        <v>N/A</v>
      </c>
      <c r="T1094" s="1" t="str">
        <f>IF(OR(Table1[[#This Row],[Low Tol]]="",Table1[[#This Row],[High Tol]]=""),"Needs Analysis",IF(Table1[[#This Row],[Ratio]]&gt;=4,"Not Significant",IF(Table1[[#This Row],[Ratio]]&gt;=2,"Semi-Significant","Significant")))</f>
        <v>Needs Analysis</v>
      </c>
      <c r="W1094" s="1">
        <f>IF(Table1[[#This Row],[Cal Type]]&lt;&gt;"ACCREDITED 17025 WITH UNCERTAINTIES",0,"")</f>
        <v>0</v>
      </c>
      <c r="X1094" s="1" t="str">
        <f>IF(Table1[[#This Row],[DUT Read]]="","N/A",Table1[[#This Row],[Std Error]]+Table1[[#This Row],[DUT Read]]+Table1[[#This Row],[DUT Ucty]])</f>
        <v>N/A</v>
      </c>
      <c r="Y1094" s="1" t="str">
        <f>IF(Table1[[#This Row],[Std Read]]="","N/A",Table1[[#This Row],[Std Read]]+Table1[[#This Row],[Std Ucty]])</f>
        <v>N/A</v>
      </c>
      <c r="Z10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4" s="1" t="str">
        <f>IF(Table1[[#This Row],[Spec Type]]="","N/A",Table1[[#This Row],[Spec Type]])</f>
        <v>±</v>
      </c>
      <c r="AC1094" s="1" t="str">
        <f>IF(Table1[[#This Row],[Spec Type2]]="N/A","N/A",IF(AND(Table1[[#This Row],[DUT Adj Read]]&gt;=Table1[[#This Row],[Low Tol]],Table1[[#This Row],[DUT Adj Read]]&lt;=Table1[[#This Row],[High Tol]]),"Pass","Fail"))</f>
        <v>Fail</v>
      </c>
      <c r="AD1094" s="1" t="str">
        <f>IF(AND(Table1[[#This Row],[Spec Type2]]="N/A",Table1[[#This Row],[DUT Adj Read]]="N/A",Table1[[#This Row],[Std Adj Read]]="N/A"),"N/A",IF(Table1[[#This Row],[DUT Adj Read]]="N/A",IF(Table1[[#This Row],[Std Adj Read]]&gt;Table1[[#This Row],[Low Tol]],"Pass","Fail"),IF(Table1[[#This Row],[DUT Adj Read]]&gt;Table1[[#This Row],[Low Tol]],"Pass","Fail")))</f>
        <v>Pass</v>
      </c>
      <c r="AE1094" s="1" t="str">
        <f>IF(AND(Table1[[#This Row],[Spec Type2]]="N/A",Table1[[#This Row],[DUT Adj Read]]="N/A",Table1[[#This Row],[Std Adj Read]]="N/A"),"N/A",IF(Table1[[#This Row],[DUT Adj Read]]="N/A",IF(Table1[[#This Row],[Std Adj Read]]&lt;Table1[[#This Row],[High Tol]],"Pass","Fail"),IF(Table1[[#This Row],[DUT Adj Read]]&lt;Table1[[#This Row],[High Tol]],"Pass","Fail")))</f>
        <v>Fail</v>
      </c>
      <c r="AF1094" s="1" t="str">
        <f>IF(AND(Table1[[#This Row],[Spec Type2]]="N/A",Table1[[#This Row],[DUT Adj Read]]="N/A",Table1[[#This Row],[Std Adj Read]]="N/A"),"N/A",IF(Table1[[#This Row],[DUT Adj Read]]="N/A",IF(Table1[[#This Row],[Std Adj Read]]&gt;=Table1[[#This Row],[Low Tol]],"Pass","Fail"),IF(Table1[[#This Row],[DUT Adj Read]]&gt;=Table1[[#This Row],[Low Tol]],"Pass","Fail")))</f>
        <v>Pass</v>
      </c>
      <c r="AG1094" s="1" t="str">
        <f>IF(AND(Table1[[#This Row],[Spec Type2]]="N/A",Table1[[#This Row],[DUT Adj Read]]="N/A",Table1[[#This Row],[Std Adj Read]]="N/A"),"N/A",IF(Table1[[#This Row],[DUT Adj Read]]="N/A",IF(Table1[[#This Row],[Std Adj Read]]&lt;=Table1[[#This Row],[High Tol]],"Pass","Fail"),IF(Table1[[#This Row],[DUT Adj Read]]&lt;=Table1[[#This Row],[High Tol]],"Pass","Fail")))</f>
        <v>Fail</v>
      </c>
      <c r="AH10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4" s="1" t="b">
        <v>0</v>
      </c>
      <c r="AN1094" s="1" t="b">
        <v>0</v>
      </c>
      <c r="AO1094" s="1" t="b">
        <v>0</v>
      </c>
    </row>
    <row r="1095" spans="1:41" x14ac:dyDescent="0.25">
      <c r="A1095" s="10"/>
      <c r="B1095" s="10"/>
      <c r="C1095" s="10"/>
      <c r="D1095" s="10"/>
      <c r="E1095" s="10"/>
      <c r="F1095" s="10"/>
      <c r="G1095" s="10"/>
      <c r="H1095" s="10"/>
      <c r="I1095" s="1" t="str">
        <f t="shared" si="48"/>
        <v/>
      </c>
      <c r="J1095" s="1" t="s">
        <v>35</v>
      </c>
      <c r="K1095" s="1" t="str">
        <f t="shared" si="49"/>
        <v/>
      </c>
      <c r="L1095" s="1" t="str">
        <f t="shared" si="50"/>
        <v/>
      </c>
      <c r="M1095" s="1">
        <f>IF(OR(Table1[[#This Row],[Std Nom]]="",Table1[[#This Row],[Std Read]]=""),0,Table1[[#This Row],[Std Nom]]-Table1[[#This Row],[Std Read]])</f>
        <v>0</v>
      </c>
      <c r="N1095" s="1">
        <f>IF(Calculations!$F$5="ACCREDITED 17025 WITH UNCERTAINTIES",$N$10,0)</f>
        <v>0</v>
      </c>
      <c r="Q1095" s="1">
        <f>Table1[[#This Row],[High Tol]]-Table1[[#This Row],[Low Tol]]</f>
        <v>0</v>
      </c>
      <c r="R1095" s="1">
        <f>2*Table1[[#This Row],[Std Error]]</f>
        <v>0</v>
      </c>
      <c r="S1095" s="1" t="str">
        <f>IF(Table1[[#This Row],[High Tol]]="","N/A",IFERROR(ABS(Table1[[#This Row],[Tol Span]]/Table1[[#This Row],[Error Span]]),"N/A"))</f>
        <v>N/A</v>
      </c>
      <c r="T1095" s="1" t="str">
        <f>IF(OR(Table1[[#This Row],[Low Tol]]="",Table1[[#This Row],[High Tol]]=""),"Needs Analysis",IF(Table1[[#This Row],[Ratio]]&gt;=4,"Not Significant",IF(Table1[[#This Row],[Ratio]]&gt;=2,"Semi-Significant","Significant")))</f>
        <v>Needs Analysis</v>
      </c>
      <c r="W1095" s="1">
        <f>IF(Table1[[#This Row],[Cal Type]]&lt;&gt;"ACCREDITED 17025 WITH UNCERTAINTIES",0,"")</f>
        <v>0</v>
      </c>
      <c r="X1095" s="1" t="str">
        <f>IF(Table1[[#This Row],[DUT Read]]="","N/A",Table1[[#This Row],[Std Error]]+Table1[[#This Row],[DUT Read]]+Table1[[#This Row],[DUT Ucty]])</f>
        <v>N/A</v>
      </c>
      <c r="Y1095" s="1" t="str">
        <f>IF(Table1[[#This Row],[Std Read]]="","N/A",Table1[[#This Row],[Std Read]]+Table1[[#This Row],[Std Ucty]])</f>
        <v>N/A</v>
      </c>
      <c r="Z10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5" s="1" t="str">
        <f>IF(Table1[[#This Row],[Spec Type]]="","N/A",Table1[[#This Row],[Spec Type]])</f>
        <v>±</v>
      </c>
      <c r="AC1095" s="1" t="str">
        <f>IF(Table1[[#This Row],[Spec Type2]]="N/A","N/A",IF(AND(Table1[[#This Row],[DUT Adj Read]]&gt;=Table1[[#This Row],[Low Tol]],Table1[[#This Row],[DUT Adj Read]]&lt;=Table1[[#This Row],[High Tol]]),"Pass","Fail"))</f>
        <v>Fail</v>
      </c>
      <c r="AD1095" s="1" t="str">
        <f>IF(AND(Table1[[#This Row],[Spec Type2]]="N/A",Table1[[#This Row],[DUT Adj Read]]="N/A",Table1[[#This Row],[Std Adj Read]]="N/A"),"N/A",IF(Table1[[#This Row],[DUT Adj Read]]="N/A",IF(Table1[[#This Row],[Std Adj Read]]&gt;Table1[[#This Row],[Low Tol]],"Pass","Fail"),IF(Table1[[#This Row],[DUT Adj Read]]&gt;Table1[[#This Row],[Low Tol]],"Pass","Fail")))</f>
        <v>Pass</v>
      </c>
      <c r="AE1095" s="1" t="str">
        <f>IF(AND(Table1[[#This Row],[Spec Type2]]="N/A",Table1[[#This Row],[DUT Adj Read]]="N/A",Table1[[#This Row],[Std Adj Read]]="N/A"),"N/A",IF(Table1[[#This Row],[DUT Adj Read]]="N/A",IF(Table1[[#This Row],[Std Adj Read]]&lt;Table1[[#This Row],[High Tol]],"Pass","Fail"),IF(Table1[[#This Row],[DUT Adj Read]]&lt;Table1[[#This Row],[High Tol]],"Pass","Fail")))</f>
        <v>Fail</v>
      </c>
      <c r="AF1095" s="1" t="str">
        <f>IF(AND(Table1[[#This Row],[Spec Type2]]="N/A",Table1[[#This Row],[DUT Adj Read]]="N/A",Table1[[#This Row],[Std Adj Read]]="N/A"),"N/A",IF(Table1[[#This Row],[DUT Adj Read]]="N/A",IF(Table1[[#This Row],[Std Adj Read]]&gt;=Table1[[#This Row],[Low Tol]],"Pass","Fail"),IF(Table1[[#This Row],[DUT Adj Read]]&gt;=Table1[[#This Row],[Low Tol]],"Pass","Fail")))</f>
        <v>Pass</v>
      </c>
      <c r="AG1095" s="1" t="str">
        <f>IF(AND(Table1[[#This Row],[Spec Type2]]="N/A",Table1[[#This Row],[DUT Adj Read]]="N/A",Table1[[#This Row],[Std Adj Read]]="N/A"),"N/A",IF(Table1[[#This Row],[DUT Adj Read]]="N/A",IF(Table1[[#This Row],[Std Adj Read]]&lt;=Table1[[#This Row],[High Tol]],"Pass","Fail"),IF(Table1[[#This Row],[DUT Adj Read]]&lt;=Table1[[#This Row],[High Tol]],"Pass","Fail")))</f>
        <v>Fail</v>
      </c>
      <c r="AH10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5" s="1" t="b">
        <v>0</v>
      </c>
      <c r="AN1095" s="1" t="b">
        <v>0</v>
      </c>
      <c r="AO1095" s="1" t="b">
        <v>0</v>
      </c>
    </row>
    <row r="1096" spans="1:41" x14ac:dyDescent="0.25">
      <c r="A1096" s="10"/>
      <c r="B1096" s="10"/>
      <c r="C1096" s="10"/>
      <c r="D1096" s="10"/>
      <c r="E1096" s="10"/>
      <c r="F1096" s="10"/>
      <c r="G1096" s="10"/>
      <c r="H1096" s="10"/>
      <c r="I1096" s="1" t="str">
        <f t="shared" si="48"/>
        <v/>
      </c>
      <c r="J1096" s="1" t="s">
        <v>35</v>
      </c>
      <c r="K1096" s="1" t="str">
        <f t="shared" si="49"/>
        <v/>
      </c>
      <c r="L1096" s="1" t="str">
        <f t="shared" si="50"/>
        <v/>
      </c>
      <c r="M1096" s="1">
        <f>IF(OR(Table1[[#This Row],[Std Nom]]="",Table1[[#This Row],[Std Read]]=""),0,Table1[[#This Row],[Std Nom]]-Table1[[#This Row],[Std Read]])</f>
        <v>0</v>
      </c>
      <c r="N1096" s="1">
        <f>IF(Calculations!$F$5="ACCREDITED 17025 WITH UNCERTAINTIES",$N$10,0)</f>
        <v>0</v>
      </c>
      <c r="Q1096" s="1">
        <f>Table1[[#This Row],[High Tol]]-Table1[[#This Row],[Low Tol]]</f>
        <v>0</v>
      </c>
      <c r="R1096" s="1">
        <f>2*Table1[[#This Row],[Std Error]]</f>
        <v>0</v>
      </c>
      <c r="S1096" s="1" t="str">
        <f>IF(Table1[[#This Row],[High Tol]]="","N/A",IFERROR(ABS(Table1[[#This Row],[Tol Span]]/Table1[[#This Row],[Error Span]]),"N/A"))</f>
        <v>N/A</v>
      </c>
      <c r="T1096" s="1" t="str">
        <f>IF(OR(Table1[[#This Row],[Low Tol]]="",Table1[[#This Row],[High Tol]]=""),"Needs Analysis",IF(Table1[[#This Row],[Ratio]]&gt;=4,"Not Significant",IF(Table1[[#This Row],[Ratio]]&gt;=2,"Semi-Significant","Significant")))</f>
        <v>Needs Analysis</v>
      </c>
      <c r="W1096" s="1">
        <f>IF(Table1[[#This Row],[Cal Type]]&lt;&gt;"ACCREDITED 17025 WITH UNCERTAINTIES",0,"")</f>
        <v>0</v>
      </c>
      <c r="X1096" s="1" t="str">
        <f>IF(Table1[[#This Row],[DUT Read]]="","N/A",Table1[[#This Row],[Std Error]]+Table1[[#This Row],[DUT Read]]+Table1[[#This Row],[DUT Ucty]])</f>
        <v>N/A</v>
      </c>
      <c r="Y1096" s="1" t="str">
        <f>IF(Table1[[#This Row],[Std Read]]="","N/A",Table1[[#This Row],[Std Read]]+Table1[[#This Row],[Std Ucty]])</f>
        <v>N/A</v>
      </c>
      <c r="Z10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6" s="1" t="str">
        <f>IF(Table1[[#This Row],[Spec Type]]="","N/A",Table1[[#This Row],[Spec Type]])</f>
        <v>±</v>
      </c>
      <c r="AC1096" s="1" t="str">
        <f>IF(Table1[[#This Row],[Spec Type2]]="N/A","N/A",IF(AND(Table1[[#This Row],[DUT Adj Read]]&gt;=Table1[[#This Row],[Low Tol]],Table1[[#This Row],[DUT Adj Read]]&lt;=Table1[[#This Row],[High Tol]]),"Pass","Fail"))</f>
        <v>Fail</v>
      </c>
      <c r="AD1096" s="1" t="str">
        <f>IF(AND(Table1[[#This Row],[Spec Type2]]="N/A",Table1[[#This Row],[DUT Adj Read]]="N/A",Table1[[#This Row],[Std Adj Read]]="N/A"),"N/A",IF(Table1[[#This Row],[DUT Adj Read]]="N/A",IF(Table1[[#This Row],[Std Adj Read]]&gt;Table1[[#This Row],[Low Tol]],"Pass","Fail"),IF(Table1[[#This Row],[DUT Adj Read]]&gt;Table1[[#This Row],[Low Tol]],"Pass","Fail")))</f>
        <v>Pass</v>
      </c>
      <c r="AE1096" s="1" t="str">
        <f>IF(AND(Table1[[#This Row],[Spec Type2]]="N/A",Table1[[#This Row],[DUT Adj Read]]="N/A",Table1[[#This Row],[Std Adj Read]]="N/A"),"N/A",IF(Table1[[#This Row],[DUT Adj Read]]="N/A",IF(Table1[[#This Row],[Std Adj Read]]&lt;Table1[[#This Row],[High Tol]],"Pass","Fail"),IF(Table1[[#This Row],[DUT Adj Read]]&lt;Table1[[#This Row],[High Tol]],"Pass","Fail")))</f>
        <v>Fail</v>
      </c>
      <c r="AF1096" s="1" t="str">
        <f>IF(AND(Table1[[#This Row],[Spec Type2]]="N/A",Table1[[#This Row],[DUT Adj Read]]="N/A",Table1[[#This Row],[Std Adj Read]]="N/A"),"N/A",IF(Table1[[#This Row],[DUT Adj Read]]="N/A",IF(Table1[[#This Row],[Std Adj Read]]&gt;=Table1[[#This Row],[Low Tol]],"Pass","Fail"),IF(Table1[[#This Row],[DUT Adj Read]]&gt;=Table1[[#This Row],[Low Tol]],"Pass","Fail")))</f>
        <v>Pass</v>
      </c>
      <c r="AG1096" s="1" t="str">
        <f>IF(AND(Table1[[#This Row],[Spec Type2]]="N/A",Table1[[#This Row],[DUT Adj Read]]="N/A",Table1[[#This Row],[Std Adj Read]]="N/A"),"N/A",IF(Table1[[#This Row],[DUT Adj Read]]="N/A",IF(Table1[[#This Row],[Std Adj Read]]&lt;=Table1[[#This Row],[High Tol]],"Pass","Fail"),IF(Table1[[#This Row],[DUT Adj Read]]&lt;=Table1[[#This Row],[High Tol]],"Pass","Fail")))</f>
        <v>Fail</v>
      </c>
      <c r="AH10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6" s="1" t="b">
        <v>0</v>
      </c>
      <c r="AN1096" s="1" t="b">
        <v>0</v>
      </c>
      <c r="AO1096" s="1" t="b">
        <v>0</v>
      </c>
    </row>
    <row r="1097" spans="1:41" x14ac:dyDescent="0.25">
      <c r="A1097" s="10"/>
      <c r="B1097" s="10"/>
      <c r="C1097" s="10"/>
      <c r="D1097" s="10"/>
      <c r="E1097" s="10"/>
      <c r="F1097" s="10"/>
      <c r="G1097" s="10"/>
      <c r="H1097" s="10"/>
      <c r="I1097" s="1" t="str">
        <f t="shared" si="48"/>
        <v/>
      </c>
      <c r="J1097" s="1" t="s">
        <v>35</v>
      </c>
      <c r="K1097" s="1" t="str">
        <f t="shared" si="49"/>
        <v/>
      </c>
      <c r="L1097" s="1" t="str">
        <f t="shared" si="50"/>
        <v/>
      </c>
      <c r="M1097" s="1">
        <f>IF(OR(Table1[[#This Row],[Std Nom]]="",Table1[[#This Row],[Std Read]]=""),0,Table1[[#This Row],[Std Nom]]-Table1[[#This Row],[Std Read]])</f>
        <v>0</v>
      </c>
      <c r="N1097" s="1">
        <f>IF(Calculations!$F$5="ACCREDITED 17025 WITH UNCERTAINTIES",$N$10,0)</f>
        <v>0</v>
      </c>
      <c r="Q1097" s="1">
        <f>Table1[[#This Row],[High Tol]]-Table1[[#This Row],[Low Tol]]</f>
        <v>0</v>
      </c>
      <c r="R1097" s="1">
        <f>2*Table1[[#This Row],[Std Error]]</f>
        <v>0</v>
      </c>
      <c r="S1097" s="1" t="str">
        <f>IF(Table1[[#This Row],[High Tol]]="","N/A",IFERROR(ABS(Table1[[#This Row],[Tol Span]]/Table1[[#This Row],[Error Span]]),"N/A"))</f>
        <v>N/A</v>
      </c>
      <c r="T1097" s="1" t="str">
        <f>IF(OR(Table1[[#This Row],[Low Tol]]="",Table1[[#This Row],[High Tol]]=""),"Needs Analysis",IF(Table1[[#This Row],[Ratio]]&gt;=4,"Not Significant",IF(Table1[[#This Row],[Ratio]]&gt;=2,"Semi-Significant","Significant")))</f>
        <v>Needs Analysis</v>
      </c>
      <c r="W1097" s="1">
        <f>IF(Table1[[#This Row],[Cal Type]]&lt;&gt;"ACCREDITED 17025 WITH UNCERTAINTIES",0,"")</f>
        <v>0</v>
      </c>
      <c r="X1097" s="1" t="str">
        <f>IF(Table1[[#This Row],[DUT Read]]="","N/A",Table1[[#This Row],[Std Error]]+Table1[[#This Row],[DUT Read]]+Table1[[#This Row],[DUT Ucty]])</f>
        <v>N/A</v>
      </c>
      <c r="Y1097" s="1" t="str">
        <f>IF(Table1[[#This Row],[Std Read]]="","N/A",Table1[[#This Row],[Std Read]]+Table1[[#This Row],[Std Ucty]])</f>
        <v>N/A</v>
      </c>
      <c r="Z10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7" s="1" t="str">
        <f>IF(Table1[[#This Row],[Spec Type]]="","N/A",Table1[[#This Row],[Spec Type]])</f>
        <v>±</v>
      </c>
      <c r="AC1097" s="1" t="str">
        <f>IF(Table1[[#This Row],[Spec Type2]]="N/A","N/A",IF(AND(Table1[[#This Row],[DUT Adj Read]]&gt;=Table1[[#This Row],[Low Tol]],Table1[[#This Row],[DUT Adj Read]]&lt;=Table1[[#This Row],[High Tol]]),"Pass","Fail"))</f>
        <v>Fail</v>
      </c>
      <c r="AD1097" s="1" t="str">
        <f>IF(AND(Table1[[#This Row],[Spec Type2]]="N/A",Table1[[#This Row],[DUT Adj Read]]="N/A",Table1[[#This Row],[Std Adj Read]]="N/A"),"N/A",IF(Table1[[#This Row],[DUT Adj Read]]="N/A",IF(Table1[[#This Row],[Std Adj Read]]&gt;Table1[[#This Row],[Low Tol]],"Pass","Fail"),IF(Table1[[#This Row],[DUT Adj Read]]&gt;Table1[[#This Row],[Low Tol]],"Pass","Fail")))</f>
        <v>Pass</v>
      </c>
      <c r="AE1097" s="1" t="str">
        <f>IF(AND(Table1[[#This Row],[Spec Type2]]="N/A",Table1[[#This Row],[DUT Adj Read]]="N/A",Table1[[#This Row],[Std Adj Read]]="N/A"),"N/A",IF(Table1[[#This Row],[DUT Adj Read]]="N/A",IF(Table1[[#This Row],[Std Adj Read]]&lt;Table1[[#This Row],[High Tol]],"Pass","Fail"),IF(Table1[[#This Row],[DUT Adj Read]]&lt;Table1[[#This Row],[High Tol]],"Pass","Fail")))</f>
        <v>Fail</v>
      </c>
      <c r="AF1097" s="1" t="str">
        <f>IF(AND(Table1[[#This Row],[Spec Type2]]="N/A",Table1[[#This Row],[DUT Adj Read]]="N/A",Table1[[#This Row],[Std Adj Read]]="N/A"),"N/A",IF(Table1[[#This Row],[DUT Adj Read]]="N/A",IF(Table1[[#This Row],[Std Adj Read]]&gt;=Table1[[#This Row],[Low Tol]],"Pass","Fail"),IF(Table1[[#This Row],[DUT Adj Read]]&gt;=Table1[[#This Row],[Low Tol]],"Pass","Fail")))</f>
        <v>Pass</v>
      </c>
      <c r="AG1097" s="1" t="str">
        <f>IF(AND(Table1[[#This Row],[Spec Type2]]="N/A",Table1[[#This Row],[DUT Adj Read]]="N/A",Table1[[#This Row],[Std Adj Read]]="N/A"),"N/A",IF(Table1[[#This Row],[DUT Adj Read]]="N/A",IF(Table1[[#This Row],[Std Adj Read]]&lt;=Table1[[#This Row],[High Tol]],"Pass","Fail"),IF(Table1[[#This Row],[DUT Adj Read]]&lt;=Table1[[#This Row],[High Tol]],"Pass","Fail")))</f>
        <v>Fail</v>
      </c>
      <c r="AH10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7" s="1" t="b">
        <v>0</v>
      </c>
      <c r="AN1097" s="1" t="b">
        <v>0</v>
      </c>
      <c r="AO1097" s="1" t="b">
        <v>0</v>
      </c>
    </row>
    <row r="1098" spans="1:41" x14ac:dyDescent="0.25">
      <c r="A1098" s="10"/>
      <c r="B1098" s="10"/>
      <c r="C1098" s="10"/>
      <c r="D1098" s="10"/>
      <c r="E1098" s="10"/>
      <c r="F1098" s="10"/>
      <c r="G1098" s="10"/>
      <c r="H1098" s="10"/>
      <c r="I1098" s="1" t="str">
        <f t="shared" si="48"/>
        <v/>
      </c>
      <c r="J1098" s="1" t="s">
        <v>35</v>
      </c>
      <c r="K1098" s="1" t="str">
        <f t="shared" si="49"/>
        <v/>
      </c>
      <c r="L1098" s="1" t="str">
        <f t="shared" si="50"/>
        <v/>
      </c>
      <c r="M1098" s="1">
        <f>IF(OR(Table1[[#This Row],[Std Nom]]="",Table1[[#This Row],[Std Read]]=""),0,Table1[[#This Row],[Std Nom]]-Table1[[#This Row],[Std Read]])</f>
        <v>0</v>
      </c>
      <c r="N1098" s="1">
        <f>IF(Calculations!$F$5="ACCREDITED 17025 WITH UNCERTAINTIES",$N$10,0)</f>
        <v>0</v>
      </c>
      <c r="Q1098" s="1">
        <f>Table1[[#This Row],[High Tol]]-Table1[[#This Row],[Low Tol]]</f>
        <v>0</v>
      </c>
      <c r="R1098" s="1">
        <f>2*Table1[[#This Row],[Std Error]]</f>
        <v>0</v>
      </c>
      <c r="S1098" s="1" t="str">
        <f>IF(Table1[[#This Row],[High Tol]]="","N/A",IFERROR(ABS(Table1[[#This Row],[Tol Span]]/Table1[[#This Row],[Error Span]]),"N/A"))</f>
        <v>N/A</v>
      </c>
      <c r="T1098" s="1" t="str">
        <f>IF(OR(Table1[[#This Row],[Low Tol]]="",Table1[[#This Row],[High Tol]]=""),"Needs Analysis",IF(Table1[[#This Row],[Ratio]]&gt;=4,"Not Significant",IF(Table1[[#This Row],[Ratio]]&gt;=2,"Semi-Significant","Significant")))</f>
        <v>Needs Analysis</v>
      </c>
      <c r="W1098" s="1">
        <f>IF(Table1[[#This Row],[Cal Type]]&lt;&gt;"ACCREDITED 17025 WITH UNCERTAINTIES",0,"")</f>
        <v>0</v>
      </c>
      <c r="X1098" s="1" t="str">
        <f>IF(Table1[[#This Row],[DUT Read]]="","N/A",Table1[[#This Row],[Std Error]]+Table1[[#This Row],[DUT Read]]+Table1[[#This Row],[DUT Ucty]])</f>
        <v>N/A</v>
      </c>
      <c r="Y1098" s="1" t="str">
        <f>IF(Table1[[#This Row],[Std Read]]="","N/A",Table1[[#This Row],[Std Read]]+Table1[[#This Row],[Std Ucty]])</f>
        <v>N/A</v>
      </c>
      <c r="Z10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8" s="1" t="str">
        <f>IF(Table1[[#This Row],[Spec Type]]="","N/A",Table1[[#This Row],[Spec Type]])</f>
        <v>±</v>
      </c>
      <c r="AC1098" s="1" t="str">
        <f>IF(Table1[[#This Row],[Spec Type2]]="N/A","N/A",IF(AND(Table1[[#This Row],[DUT Adj Read]]&gt;=Table1[[#This Row],[Low Tol]],Table1[[#This Row],[DUT Adj Read]]&lt;=Table1[[#This Row],[High Tol]]),"Pass","Fail"))</f>
        <v>Fail</v>
      </c>
      <c r="AD1098" s="1" t="str">
        <f>IF(AND(Table1[[#This Row],[Spec Type2]]="N/A",Table1[[#This Row],[DUT Adj Read]]="N/A",Table1[[#This Row],[Std Adj Read]]="N/A"),"N/A",IF(Table1[[#This Row],[DUT Adj Read]]="N/A",IF(Table1[[#This Row],[Std Adj Read]]&gt;Table1[[#This Row],[Low Tol]],"Pass","Fail"),IF(Table1[[#This Row],[DUT Adj Read]]&gt;Table1[[#This Row],[Low Tol]],"Pass","Fail")))</f>
        <v>Pass</v>
      </c>
      <c r="AE1098" s="1" t="str">
        <f>IF(AND(Table1[[#This Row],[Spec Type2]]="N/A",Table1[[#This Row],[DUT Adj Read]]="N/A",Table1[[#This Row],[Std Adj Read]]="N/A"),"N/A",IF(Table1[[#This Row],[DUT Adj Read]]="N/A",IF(Table1[[#This Row],[Std Adj Read]]&lt;Table1[[#This Row],[High Tol]],"Pass","Fail"),IF(Table1[[#This Row],[DUT Adj Read]]&lt;Table1[[#This Row],[High Tol]],"Pass","Fail")))</f>
        <v>Fail</v>
      </c>
      <c r="AF1098" s="1" t="str">
        <f>IF(AND(Table1[[#This Row],[Spec Type2]]="N/A",Table1[[#This Row],[DUT Adj Read]]="N/A",Table1[[#This Row],[Std Adj Read]]="N/A"),"N/A",IF(Table1[[#This Row],[DUT Adj Read]]="N/A",IF(Table1[[#This Row],[Std Adj Read]]&gt;=Table1[[#This Row],[Low Tol]],"Pass","Fail"),IF(Table1[[#This Row],[DUT Adj Read]]&gt;=Table1[[#This Row],[Low Tol]],"Pass","Fail")))</f>
        <v>Pass</v>
      </c>
      <c r="AG1098" s="1" t="str">
        <f>IF(AND(Table1[[#This Row],[Spec Type2]]="N/A",Table1[[#This Row],[DUT Adj Read]]="N/A",Table1[[#This Row],[Std Adj Read]]="N/A"),"N/A",IF(Table1[[#This Row],[DUT Adj Read]]="N/A",IF(Table1[[#This Row],[Std Adj Read]]&lt;=Table1[[#This Row],[High Tol]],"Pass","Fail"),IF(Table1[[#This Row],[DUT Adj Read]]&lt;=Table1[[#This Row],[High Tol]],"Pass","Fail")))</f>
        <v>Fail</v>
      </c>
      <c r="AH10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8" s="1" t="b">
        <v>0</v>
      </c>
      <c r="AN1098" s="1" t="b">
        <v>0</v>
      </c>
      <c r="AO1098" s="1" t="b">
        <v>0</v>
      </c>
    </row>
    <row r="1099" spans="1:41" x14ac:dyDescent="0.25">
      <c r="A1099" s="10"/>
      <c r="B1099" s="10"/>
      <c r="C1099" s="10"/>
      <c r="D1099" s="10"/>
      <c r="E1099" s="10"/>
      <c r="F1099" s="10"/>
      <c r="G1099" s="10"/>
      <c r="H1099" s="10"/>
      <c r="I1099" s="1" t="str">
        <f t="shared" ref="I1099:I1162" si="51">IF($I$10="","",$I$10)</f>
        <v/>
      </c>
      <c r="J1099" s="1" t="s">
        <v>35</v>
      </c>
      <c r="K1099" s="1" t="str">
        <f t="shared" ref="K1099:K1162" si="52">IF($K$10="","",$K$10)</f>
        <v/>
      </c>
      <c r="L1099" s="1" t="str">
        <f t="shared" ref="L1099:L1162" si="53">IF($L$10="","",$L$10)</f>
        <v/>
      </c>
      <c r="M1099" s="1">
        <f>IF(OR(Table1[[#This Row],[Std Nom]]="",Table1[[#This Row],[Std Read]]=""),0,Table1[[#This Row],[Std Nom]]-Table1[[#This Row],[Std Read]])</f>
        <v>0</v>
      </c>
      <c r="N1099" s="1">
        <f>IF(Calculations!$F$5="ACCREDITED 17025 WITH UNCERTAINTIES",$N$10,0)</f>
        <v>0</v>
      </c>
      <c r="Q1099" s="1">
        <f>Table1[[#This Row],[High Tol]]-Table1[[#This Row],[Low Tol]]</f>
        <v>0</v>
      </c>
      <c r="R1099" s="1">
        <f>2*Table1[[#This Row],[Std Error]]</f>
        <v>0</v>
      </c>
      <c r="S1099" s="1" t="str">
        <f>IF(Table1[[#This Row],[High Tol]]="","N/A",IFERROR(ABS(Table1[[#This Row],[Tol Span]]/Table1[[#This Row],[Error Span]]),"N/A"))</f>
        <v>N/A</v>
      </c>
      <c r="T1099" s="1" t="str">
        <f>IF(OR(Table1[[#This Row],[Low Tol]]="",Table1[[#This Row],[High Tol]]=""),"Needs Analysis",IF(Table1[[#This Row],[Ratio]]&gt;=4,"Not Significant",IF(Table1[[#This Row],[Ratio]]&gt;=2,"Semi-Significant","Significant")))</f>
        <v>Needs Analysis</v>
      </c>
      <c r="W1099" s="1">
        <f>IF(Table1[[#This Row],[Cal Type]]&lt;&gt;"ACCREDITED 17025 WITH UNCERTAINTIES",0,"")</f>
        <v>0</v>
      </c>
      <c r="X1099" s="1" t="str">
        <f>IF(Table1[[#This Row],[DUT Read]]="","N/A",Table1[[#This Row],[Std Error]]+Table1[[#This Row],[DUT Read]]+Table1[[#This Row],[DUT Ucty]])</f>
        <v>N/A</v>
      </c>
      <c r="Y1099" s="1" t="str">
        <f>IF(Table1[[#This Row],[Std Read]]="","N/A",Table1[[#This Row],[Std Read]]+Table1[[#This Row],[Std Ucty]])</f>
        <v>N/A</v>
      </c>
      <c r="Z10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099" s="1" t="str">
        <f>IF(Table1[[#This Row],[Spec Type]]="","N/A",Table1[[#This Row],[Spec Type]])</f>
        <v>±</v>
      </c>
      <c r="AC1099" s="1" t="str">
        <f>IF(Table1[[#This Row],[Spec Type2]]="N/A","N/A",IF(AND(Table1[[#This Row],[DUT Adj Read]]&gt;=Table1[[#This Row],[Low Tol]],Table1[[#This Row],[DUT Adj Read]]&lt;=Table1[[#This Row],[High Tol]]),"Pass","Fail"))</f>
        <v>Fail</v>
      </c>
      <c r="AD1099" s="1" t="str">
        <f>IF(AND(Table1[[#This Row],[Spec Type2]]="N/A",Table1[[#This Row],[DUT Adj Read]]="N/A",Table1[[#This Row],[Std Adj Read]]="N/A"),"N/A",IF(Table1[[#This Row],[DUT Adj Read]]="N/A",IF(Table1[[#This Row],[Std Adj Read]]&gt;Table1[[#This Row],[Low Tol]],"Pass","Fail"),IF(Table1[[#This Row],[DUT Adj Read]]&gt;Table1[[#This Row],[Low Tol]],"Pass","Fail")))</f>
        <v>Pass</v>
      </c>
      <c r="AE1099" s="1" t="str">
        <f>IF(AND(Table1[[#This Row],[Spec Type2]]="N/A",Table1[[#This Row],[DUT Adj Read]]="N/A",Table1[[#This Row],[Std Adj Read]]="N/A"),"N/A",IF(Table1[[#This Row],[DUT Adj Read]]="N/A",IF(Table1[[#This Row],[Std Adj Read]]&lt;Table1[[#This Row],[High Tol]],"Pass","Fail"),IF(Table1[[#This Row],[DUT Adj Read]]&lt;Table1[[#This Row],[High Tol]],"Pass","Fail")))</f>
        <v>Fail</v>
      </c>
      <c r="AF1099" s="1" t="str">
        <f>IF(AND(Table1[[#This Row],[Spec Type2]]="N/A",Table1[[#This Row],[DUT Adj Read]]="N/A",Table1[[#This Row],[Std Adj Read]]="N/A"),"N/A",IF(Table1[[#This Row],[DUT Adj Read]]="N/A",IF(Table1[[#This Row],[Std Adj Read]]&gt;=Table1[[#This Row],[Low Tol]],"Pass","Fail"),IF(Table1[[#This Row],[DUT Adj Read]]&gt;=Table1[[#This Row],[Low Tol]],"Pass","Fail")))</f>
        <v>Pass</v>
      </c>
      <c r="AG1099" s="1" t="str">
        <f>IF(AND(Table1[[#This Row],[Spec Type2]]="N/A",Table1[[#This Row],[DUT Adj Read]]="N/A",Table1[[#This Row],[Std Adj Read]]="N/A"),"N/A",IF(Table1[[#This Row],[DUT Adj Read]]="N/A",IF(Table1[[#This Row],[Std Adj Read]]&lt;=Table1[[#This Row],[High Tol]],"Pass","Fail"),IF(Table1[[#This Row],[DUT Adj Read]]&lt;=Table1[[#This Row],[High Tol]],"Pass","Fail")))</f>
        <v>Fail</v>
      </c>
      <c r="AH10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099" s="1" t="b">
        <v>0</v>
      </c>
      <c r="AN1099" s="1" t="b">
        <v>0</v>
      </c>
      <c r="AO1099" s="1" t="b">
        <v>0</v>
      </c>
    </row>
    <row r="1100" spans="1:41" x14ac:dyDescent="0.25">
      <c r="A1100" s="10"/>
      <c r="B1100" s="10"/>
      <c r="C1100" s="10"/>
      <c r="D1100" s="10"/>
      <c r="E1100" s="10"/>
      <c r="F1100" s="10"/>
      <c r="G1100" s="10"/>
      <c r="H1100" s="10"/>
      <c r="I1100" s="1" t="str">
        <f t="shared" si="51"/>
        <v/>
      </c>
      <c r="J1100" s="1" t="s">
        <v>35</v>
      </c>
      <c r="K1100" s="1" t="str">
        <f t="shared" si="52"/>
        <v/>
      </c>
      <c r="L1100" s="1" t="str">
        <f t="shared" si="53"/>
        <v/>
      </c>
      <c r="M1100" s="1">
        <f>IF(OR(Table1[[#This Row],[Std Nom]]="",Table1[[#This Row],[Std Read]]=""),0,Table1[[#This Row],[Std Nom]]-Table1[[#This Row],[Std Read]])</f>
        <v>0</v>
      </c>
      <c r="N1100" s="1">
        <f>IF(Calculations!$F$5="ACCREDITED 17025 WITH UNCERTAINTIES",$N$10,0)</f>
        <v>0</v>
      </c>
      <c r="Q1100" s="1">
        <f>Table1[[#This Row],[High Tol]]-Table1[[#This Row],[Low Tol]]</f>
        <v>0</v>
      </c>
      <c r="R1100" s="1">
        <f>2*Table1[[#This Row],[Std Error]]</f>
        <v>0</v>
      </c>
      <c r="S1100" s="1" t="str">
        <f>IF(Table1[[#This Row],[High Tol]]="","N/A",IFERROR(ABS(Table1[[#This Row],[Tol Span]]/Table1[[#This Row],[Error Span]]),"N/A"))</f>
        <v>N/A</v>
      </c>
      <c r="T1100" s="1" t="str">
        <f>IF(OR(Table1[[#This Row],[Low Tol]]="",Table1[[#This Row],[High Tol]]=""),"Needs Analysis",IF(Table1[[#This Row],[Ratio]]&gt;=4,"Not Significant",IF(Table1[[#This Row],[Ratio]]&gt;=2,"Semi-Significant","Significant")))</f>
        <v>Needs Analysis</v>
      </c>
      <c r="W1100" s="1">
        <f>IF(Table1[[#This Row],[Cal Type]]&lt;&gt;"ACCREDITED 17025 WITH UNCERTAINTIES",0,"")</f>
        <v>0</v>
      </c>
      <c r="X1100" s="1" t="str">
        <f>IF(Table1[[#This Row],[DUT Read]]="","N/A",Table1[[#This Row],[Std Error]]+Table1[[#This Row],[DUT Read]]+Table1[[#This Row],[DUT Ucty]])</f>
        <v>N/A</v>
      </c>
      <c r="Y1100" s="1" t="str">
        <f>IF(Table1[[#This Row],[Std Read]]="","N/A",Table1[[#This Row],[Std Read]]+Table1[[#This Row],[Std Ucty]])</f>
        <v>N/A</v>
      </c>
      <c r="Z11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0" s="1" t="str">
        <f>IF(Table1[[#This Row],[Spec Type]]="","N/A",Table1[[#This Row],[Spec Type]])</f>
        <v>±</v>
      </c>
      <c r="AC1100" s="1" t="str">
        <f>IF(Table1[[#This Row],[Spec Type2]]="N/A","N/A",IF(AND(Table1[[#This Row],[DUT Adj Read]]&gt;=Table1[[#This Row],[Low Tol]],Table1[[#This Row],[DUT Adj Read]]&lt;=Table1[[#This Row],[High Tol]]),"Pass","Fail"))</f>
        <v>Fail</v>
      </c>
      <c r="AD1100" s="1" t="str">
        <f>IF(AND(Table1[[#This Row],[Spec Type2]]="N/A",Table1[[#This Row],[DUT Adj Read]]="N/A",Table1[[#This Row],[Std Adj Read]]="N/A"),"N/A",IF(Table1[[#This Row],[DUT Adj Read]]="N/A",IF(Table1[[#This Row],[Std Adj Read]]&gt;Table1[[#This Row],[Low Tol]],"Pass","Fail"),IF(Table1[[#This Row],[DUT Adj Read]]&gt;Table1[[#This Row],[Low Tol]],"Pass","Fail")))</f>
        <v>Pass</v>
      </c>
      <c r="AE1100" s="1" t="str">
        <f>IF(AND(Table1[[#This Row],[Spec Type2]]="N/A",Table1[[#This Row],[DUT Adj Read]]="N/A",Table1[[#This Row],[Std Adj Read]]="N/A"),"N/A",IF(Table1[[#This Row],[DUT Adj Read]]="N/A",IF(Table1[[#This Row],[Std Adj Read]]&lt;Table1[[#This Row],[High Tol]],"Pass","Fail"),IF(Table1[[#This Row],[DUT Adj Read]]&lt;Table1[[#This Row],[High Tol]],"Pass","Fail")))</f>
        <v>Fail</v>
      </c>
      <c r="AF1100" s="1" t="str">
        <f>IF(AND(Table1[[#This Row],[Spec Type2]]="N/A",Table1[[#This Row],[DUT Adj Read]]="N/A",Table1[[#This Row],[Std Adj Read]]="N/A"),"N/A",IF(Table1[[#This Row],[DUT Adj Read]]="N/A",IF(Table1[[#This Row],[Std Adj Read]]&gt;=Table1[[#This Row],[Low Tol]],"Pass","Fail"),IF(Table1[[#This Row],[DUT Adj Read]]&gt;=Table1[[#This Row],[Low Tol]],"Pass","Fail")))</f>
        <v>Pass</v>
      </c>
      <c r="AG1100" s="1" t="str">
        <f>IF(AND(Table1[[#This Row],[Spec Type2]]="N/A",Table1[[#This Row],[DUT Adj Read]]="N/A",Table1[[#This Row],[Std Adj Read]]="N/A"),"N/A",IF(Table1[[#This Row],[DUT Adj Read]]="N/A",IF(Table1[[#This Row],[Std Adj Read]]&lt;=Table1[[#This Row],[High Tol]],"Pass","Fail"),IF(Table1[[#This Row],[DUT Adj Read]]&lt;=Table1[[#This Row],[High Tol]],"Pass","Fail")))</f>
        <v>Fail</v>
      </c>
      <c r="AH11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0" s="1" t="b">
        <v>0</v>
      </c>
      <c r="AN1100" s="1" t="b">
        <v>0</v>
      </c>
      <c r="AO1100" s="1" t="b">
        <v>0</v>
      </c>
    </row>
    <row r="1101" spans="1:41" x14ac:dyDescent="0.25">
      <c r="A1101" s="10"/>
      <c r="B1101" s="10"/>
      <c r="C1101" s="10"/>
      <c r="D1101" s="10"/>
      <c r="E1101" s="10"/>
      <c r="F1101" s="10"/>
      <c r="G1101" s="10"/>
      <c r="H1101" s="10"/>
      <c r="I1101" s="1" t="str">
        <f t="shared" si="51"/>
        <v/>
      </c>
      <c r="J1101" s="1" t="s">
        <v>35</v>
      </c>
      <c r="K1101" s="1" t="str">
        <f t="shared" si="52"/>
        <v/>
      </c>
      <c r="L1101" s="1" t="str">
        <f t="shared" si="53"/>
        <v/>
      </c>
      <c r="M1101" s="1">
        <f>IF(OR(Table1[[#This Row],[Std Nom]]="",Table1[[#This Row],[Std Read]]=""),0,Table1[[#This Row],[Std Nom]]-Table1[[#This Row],[Std Read]])</f>
        <v>0</v>
      </c>
      <c r="N1101" s="1">
        <f>IF(Calculations!$F$5="ACCREDITED 17025 WITH UNCERTAINTIES",$N$10,0)</f>
        <v>0</v>
      </c>
      <c r="Q1101" s="1">
        <f>Table1[[#This Row],[High Tol]]-Table1[[#This Row],[Low Tol]]</f>
        <v>0</v>
      </c>
      <c r="R1101" s="1">
        <f>2*Table1[[#This Row],[Std Error]]</f>
        <v>0</v>
      </c>
      <c r="S1101" s="1" t="str">
        <f>IF(Table1[[#This Row],[High Tol]]="","N/A",IFERROR(ABS(Table1[[#This Row],[Tol Span]]/Table1[[#This Row],[Error Span]]),"N/A"))</f>
        <v>N/A</v>
      </c>
      <c r="T1101" s="1" t="str">
        <f>IF(OR(Table1[[#This Row],[Low Tol]]="",Table1[[#This Row],[High Tol]]=""),"Needs Analysis",IF(Table1[[#This Row],[Ratio]]&gt;=4,"Not Significant",IF(Table1[[#This Row],[Ratio]]&gt;=2,"Semi-Significant","Significant")))</f>
        <v>Needs Analysis</v>
      </c>
      <c r="W1101" s="1">
        <f>IF(Table1[[#This Row],[Cal Type]]&lt;&gt;"ACCREDITED 17025 WITH UNCERTAINTIES",0,"")</f>
        <v>0</v>
      </c>
      <c r="X1101" s="1" t="str">
        <f>IF(Table1[[#This Row],[DUT Read]]="","N/A",Table1[[#This Row],[Std Error]]+Table1[[#This Row],[DUT Read]]+Table1[[#This Row],[DUT Ucty]])</f>
        <v>N/A</v>
      </c>
      <c r="Y1101" s="1" t="str">
        <f>IF(Table1[[#This Row],[Std Read]]="","N/A",Table1[[#This Row],[Std Read]]+Table1[[#This Row],[Std Ucty]])</f>
        <v>N/A</v>
      </c>
      <c r="Z11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1" s="1" t="str">
        <f>IF(Table1[[#This Row],[Spec Type]]="","N/A",Table1[[#This Row],[Spec Type]])</f>
        <v>±</v>
      </c>
      <c r="AC1101" s="1" t="str">
        <f>IF(Table1[[#This Row],[Spec Type2]]="N/A","N/A",IF(AND(Table1[[#This Row],[DUT Adj Read]]&gt;=Table1[[#This Row],[Low Tol]],Table1[[#This Row],[DUT Adj Read]]&lt;=Table1[[#This Row],[High Tol]]),"Pass","Fail"))</f>
        <v>Fail</v>
      </c>
      <c r="AD1101" s="1" t="str">
        <f>IF(AND(Table1[[#This Row],[Spec Type2]]="N/A",Table1[[#This Row],[DUT Adj Read]]="N/A",Table1[[#This Row],[Std Adj Read]]="N/A"),"N/A",IF(Table1[[#This Row],[DUT Adj Read]]="N/A",IF(Table1[[#This Row],[Std Adj Read]]&gt;Table1[[#This Row],[Low Tol]],"Pass","Fail"),IF(Table1[[#This Row],[DUT Adj Read]]&gt;Table1[[#This Row],[Low Tol]],"Pass","Fail")))</f>
        <v>Pass</v>
      </c>
      <c r="AE1101" s="1" t="str">
        <f>IF(AND(Table1[[#This Row],[Spec Type2]]="N/A",Table1[[#This Row],[DUT Adj Read]]="N/A",Table1[[#This Row],[Std Adj Read]]="N/A"),"N/A",IF(Table1[[#This Row],[DUT Adj Read]]="N/A",IF(Table1[[#This Row],[Std Adj Read]]&lt;Table1[[#This Row],[High Tol]],"Pass","Fail"),IF(Table1[[#This Row],[DUT Adj Read]]&lt;Table1[[#This Row],[High Tol]],"Pass","Fail")))</f>
        <v>Fail</v>
      </c>
      <c r="AF1101" s="1" t="str">
        <f>IF(AND(Table1[[#This Row],[Spec Type2]]="N/A",Table1[[#This Row],[DUT Adj Read]]="N/A",Table1[[#This Row],[Std Adj Read]]="N/A"),"N/A",IF(Table1[[#This Row],[DUT Adj Read]]="N/A",IF(Table1[[#This Row],[Std Adj Read]]&gt;=Table1[[#This Row],[Low Tol]],"Pass","Fail"),IF(Table1[[#This Row],[DUT Adj Read]]&gt;=Table1[[#This Row],[Low Tol]],"Pass","Fail")))</f>
        <v>Pass</v>
      </c>
      <c r="AG1101" s="1" t="str">
        <f>IF(AND(Table1[[#This Row],[Spec Type2]]="N/A",Table1[[#This Row],[DUT Adj Read]]="N/A",Table1[[#This Row],[Std Adj Read]]="N/A"),"N/A",IF(Table1[[#This Row],[DUT Adj Read]]="N/A",IF(Table1[[#This Row],[Std Adj Read]]&lt;=Table1[[#This Row],[High Tol]],"Pass","Fail"),IF(Table1[[#This Row],[DUT Adj Read]]&lt;=Table1[[#This Row],[High Tol]],"Pass","Fail")))</f>
        <v>Fail</v>
      </c>
      <c r="AH11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1" s="1" t="b">
        <v>0</v>
      </c>
      <c r="AN1101" s="1" t="b">
        <v>0</v>
      </c>
      <c r="AO1101" s="1" t="b">
        <v>0</v>
      </c>
    </row>
    <row r="1102" spans="1:41" x14ac:dyDescent="0.25">
      <c r="A1102" s="10"/>
      <c r="B1102" s="10"/>
      <c r="C1102" s="10"/>
      <c r="D1102" s="10"/>
      <c r="E1102" s="10"/>
      <c r="F1102" s="10"/>
      <c r="G1102" s="10"/>
      <c r="H1102" s="10"/>
      <c r="I1102" s="1" t="str">
        <f t="shared" si="51"/>
        <v/>
      </c>
      <c r="J1102" s="1" t="s">
        <v>35</v>
      </c>
      <c r="K1102" s="1" t="str">
        <f t="shared" si="52"/>
        <v/>
      </c>
      <c r="L1102" s="1" t="str">
        <f t="shared" si="53"/>
        <v/>
      </c>
      <c r="M1102" s="1">
        <f>IF(OR(Table1[[#This Row],[Std Nom]]="",Table1[[#This Row],[Std Read]]=""),0,Table1[[#This Row],[Std Nom]]-Table1[[#This Row],[Std Read]])</f>
        <v>0</v>
      </c>
      <c r="N1102" s="1">
        <f>IF(Calculations!$F$5="ACCREDITED 17025 WITH UNCERTAINTIES",$N$10,0)</f>
        <v>0</v>
      </c>
      <c r="Q1102" s="1">
        <f>Table1[[#This Row],[High Tol]]-Table1[[#This Row],[Low Tol]]</f>
        <v>0</v>
      </c>
      <c r="R1102" s="1">
        <f>2*Table1[[#This Row],[Std Error]]</f>
        <v>0</v>
      </c>
      <c r="S1102" s="1" t="str">
        <f>IF(Table1[[#This Row],[High Tol]]="","N/A",IFERROR(ABS(Table1[[#This Row],[Tol Span]]/Table1[[#This Row],[Error Span]]),"N/A"))</f>
        <v>N/A</v>
      </c>
      <c r="T1102" s="1" t="str">
        <f>IF(OR(Table1[[#This Row],[Low Tol]]="",Table1[[#This Row],[High Tol]]=""),"Needs Analysis",IF(Table1[[#This Row],[Ratio]]&gt;=4,"Not Significant",IF(Table1[[#This Row],[Ratio]]&gt;=2,"Semi-Significant","Significant")))</f>
        <v>Needs Analysis</v>
      </c>
      <c r="W1102" s="1">
        <f>IF(Table1[[#This Row],[Cal Type]]&lt;&gt;"ACCREDITED 17025 WITH UNCERTAINTIES",0,"")</f>
        <v>0</v>
      </c>
      <c r="X1102" s="1" t="str">
        <f>IF(Table1[[#This Row],[DUT Read]]="","N/A",Table1[[#This Row],[Std Error]]+Table1[[#This Row],[DUT Read]]+Table1[[#This Row],[DUT Ucty]])</f>
        <v>N/A</v>
      </c>
      <c r="Y1102" s="1" t="str">
        <f>IF(Table1[[#This Row],[Std Read]]="","N/A",Table1[[#This Row],[Std Read]]+Table1[[#This Row],[Std Ucty]])</f>
        <v>N/A</v>
      </c>
      <c r="Z11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2" s="1" t="str">
        <f>IF(Table1[[#This Row],[Spec Type]]="","N/A",Table1[[#This Row],[Spec Type]])</f>
        <v>±</v>
      </c>
      <c r="AC1102" s="1" t="str">
        <f>IF(Table1[[#This Row],[Spec Type2]]="N/A","N/A",IF(AND(Table1[[#This Row],[DUT Adj Read]]&gt;=Table1[[#This Row],[Low Tol]],Table1[[#This Row],[DUT Adj Read]]&lt;=Table1[[#This Row],[High Tol]]),"Pass","Fail"))</f>
        <v>Fail</v>
      </c>
      <c r="AD1102" s="1" t="str">
        <f>IF(AND(Table1[[#This Row],[Spec Type2]]="N/A",Table1[[#This Row],[DUT Adj Read]]="N/A",Table1[[#This Row],[Std Adj Read]]="N/A"),"N/A",IF(Table1[[#This Row],[DUT Adj Read]]="N/A",IF(Table1[[#This Row],[Std Adj Read]]&gt;Table1[[#This Row],[Low Tol]],"Pass","Fail"),IF(Table1[[#This Row],[DUT Adj Read]]&gt;Table1[[#This Row],[Low Tol]],"Pass","Fail")))</f>
        <v>Pass</v>
      </c>
      <c r="AE1102" s="1" t="str">
        <f>IF(AND(Table1[[#This Row],[Spec Type2]]="N/A",Table1[[#This Row],[DUT Adj Read]]="N/A",Table1[[#This Row],[Std Adj Read]]="N/A"),"N/A",IF(Table1[[#This Row],[DUT Adj Read]]="N/A",IF(Table1[[#This Row],[Std Adj Read]]&lt;Table1[[#This Row],[High Tol]],"Pass","Fail"),IF(Table1[[#This Row],[DUT Adj Read]]&lt;Table1[[#This Row],[High Tol]],"Pass","Fail")))</f>
        <v>Fail</v>
      </c>
      <c r="AF1102" s="1" t="str">
        <f>IF(AND(Table1[[#This Row],[Spec Type2]]="N/A",Table1[[#This Row],[DUT Adj Read]]="N/A",Table1[[#This Row],[Std Adj Read]]="N/A"),"N/A",IF(Table1[[#This Row],[DUT Adj Read]]="N/A",IF(Table1[[#This Row],[Std Adj Read]]&gt;=Table1[[#This Row],[Low Tol]],"Pass","Fail"),IF(Table1[[#This Row],[DUT Adj Read]]&gt;=Table1[[#This Row],[Low Tol]],"Pass","Fail")))</f>
        <v>Pass</v>
      </c>
      <c r="AG1102" s="1" t="str">
        <f>IF(AND(Table1[[#This Row],[Spec Type2]]="N/A",Table1[[#This Row],[DUT Adj Read]]="N/A",Table1[[#This Row],[Std Adj Read]]="N/A"),"N/A",IF(Table1[[#This Row],[DUT Adj Read]]="N/A",IF(Table1[[#This Row],[Std Adj Read]]&lt;=Table1[[#This Row],[High Tol]],"Pass","Fail"),IF(Table1[[#This Row],[DUT Adj Read]]&lt;=Table1[[#This Row],[High Tol]],"Pass","Fail")))</f>
        <v>Fail</v>
      </c>
      <c r="AH11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2" s="1" t="b">
        <v>0</v>
      </c>
      <c r="AN1102" s="1" t="b">
        <v>0</v>
      </c>
      <c r="AO1102" s="1" t="b">
        <v>0</v>
      </c>
    </row>
    <row r="1103" spans="1:41" x14ac:dyDescent="0.25">
      <c r="A1103" s="10"/>
      <c r="B1103" s="10"/>
      <c r="C1103" s="10"/>
      <c r="D1103" s="10"/>
      <c r="E1103" s="10"/>
      <c r="F1103" s="10"/>
      <c r="G1103" s="10"/>
      <c r="H1103" s="10"/>
      <c r="I1103" s="1" t="str">
        <f t="shared" si="51"/>
        <v/>
      </c>
      <c r="J1103" s="1" t="s">
        <v>35</v>
      </c>
      <c r="K1103" s="1" t="str">
        <f t="shared" si="52"/>
        <v/>
      </c>
      <c r="L1103" s="1" t="str">
        <f t="shared" si="53"/>
        <v/>
      </c>
      <c r="M1103" s="1">
        <f>IF(OR(Table1[[#This Row],[Std Nom]]="",Table1[[#This Row],[Std Read]]=""),0,Table1[[#This Row],[Std Nom]]-Table1[[#This Row],[Std Read]])</f>
        <v>0</v>
      </c>
      <c r="N1103" s="1">
        <f>IF(Calculations!$F$5="ACCREDITED 17025 WITH UNCERTAINTIES",$N$10,0)</f>
        <v>0</v>
      </c>
      <c r="Q1103" s="1">
        <f>Table1[[#This Row],[High Tol]]-Table1[[#This Row],[Low Tol]]</f>
        <v>0</v>
      </c>
      <c r="R1103" s="1">
        <f>2*Table1[[#This Row],[Std Error]]</f>
        <v>0</v>
      </c>
      <c r="S1103" s="1" t="str">
        <f>IF(Table1[[#This Row],[High Tol]]="","N/A",IFERROR(ABS(Table1[[#This Row],[Tol Span]]/Table1[[#This Row],[Error Span]]),"N/A"))</f>
        <v>N/A</v>
      </c>
      <c r="T1103" s="1" t="str">
        <f>IF(OR(Table1[[#This Row],[Low Tol]]="",Table1[[#This Row],[High Tol]]=""),"Needs Analysis",IF(Table1[[#This Row],[Ratio]]&gt;=4,"Not Significant",IF(Table1[[#This Row],[Ratio]]&gt;=2,"Semi-Significant","Significant")))</f>
        <v>Needs Analysis</v>
      </c>
      <c r="W1103" s="1">
        <f>IF(Table1[[#This Row],[Cal Type]]&lt;&gt;"ACCREDITED 17025 WITH UNCERTAINTIES",0,"")</f>
        <v>0</v>
      </c>
      <c r="X1103" s="1" t="str">
        <f>IF(Table1[[#This Row],[DUT Read]]="","N/A",Table1[[#This Row],[Std Error]]+Table1[[#This Row],[DUT Read]]+Table1[[#This Row],[DUT Ucty]])</f>
        <v>N/A</v>
      </c>
      <c r="Y1103" s="1" t="str">
        <f>IF(Table1[[#This Row],[Std Read]]="","N/A",Table1[[#This Row],[Std Read]]+Table1[[#This Row],[Std Ucty]])</f>
        <v>N/A</v>
      </c>
      <c r="Z11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3" s="1" t="str">
        <f>IF(Table1[[#This Row],[Spec Type]]="","N/A",Table1[[#This Row],[Spec Type]])</f>
        <v>±</v>
      </c>
      <c r="AC1103" s="1" t="str">
        <f>IF(Table1[[#This Row],[Spec Type2]]="N/A","N/A",IF(AND(Table1[[#This Row],[DUT Adj Read]]&gt;=Table1[[#This Row],[Low Tol]],Table1[[#This Row],[DUT Adj Read]]&lt;=Table1[[#This Row],[High Tol]]),"Pass","Fail"))</f>
        <v>Fail</v>
      </c>
      <c r="AD1103" s="1" t="str">
        <f>IF(AND(Table1[[#This Row],[Spec Type2]]="N/A",Table1[[#This Row],[DUT Adj Read]]="N/A",Table1[[#This Row],[Std Adj Read]]="N/A"),"N/A",IF(Table1[[#This Row],[DUT Adj Read]]="N/A",IF(Table1[[#This Row],[Std Adj Read]]&gt;Table1[[#This Row],[Low Tol]],"Pass","Fail"),IF(Table1[[#This Row],[DUT Adj Read]]&gt;Table1[[#This Row],[Low Tol]],"Pass","Fail")))</f>
        <v>Pass</v>
      </c>
      <c r="AE1103" s="1" t="str">
        <f>IF(AND(Table1[[#This Row],[Spec Type2]]="N/A",Table1[[#This Row],[DUT Adj Read]]="N/A",Table1[[#This Row],[Std Adj Read]]="N/A"),"N/A",IF(Table1[[#This Row],[DUT Adj Read]]="N/A",IF(Table1[[#This Row],[Std Adj Read]]&lt;Table1[[#This Row],[High Tol]],"Pass","Fail"),IF(Table1[[#This Row],[DUT Adj Read]]&lt;Table1[[#This Row],[High Tol]],"Pass","Fail")))</f>
        <v>Fail</v>
      </c>
      <c r="AF1103" s="1" t="str">
        <f>IF(AND(Table1[[#This Row],[Spec Type2]]="N/A",Table1[[#This Row],[DUT Adj Read]]="N/A",Table1[[#This Row],[Std Adj Read]]="N/A"),"N/A",IF(Table1[[#This Row],[DUT Adj Read]]="N/A",IF(Table1[[#This Row],[Std Adj Read]]&gt;=Table1[[#This Row],[Low Tol]],"Pass","Fail"),IF(Table1[[#This Row],[DUT Adj Read]]&gt;=Table1[[#This Row],[Low Tol]],"Pass","Fail")))</f>
        <v>Pass</v>
      </c>
      <c r="AG1103" s="1" t="str">
        <f>IF(AND(Table1[[#This Row],[Spec Type2]]="N/A",Table1[[#This Row],[DUT Adj Read]]="N/A",Table1[[#This Row],[Std Adj Read]]="N/A"),"N/A",IF(Table1[[#This Row],[DUT Adj Read]]="N/A",IF(Table1[[#This Row],[Std Adj Read]]&lt;=Table1[[#This Row],[High Tol]],"Pass","Fail"),IF(Table1[[#This Row],[DUT Adj Read]]&lt;=Table1[[#This Row],[High Tol]],"Pass","Fail")))</f>
        <v>Fail</v>
      </c>
      <c r="AH11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3" s="1" t="b">
        <v>0</v>
      </c>
      <c r="AN1103" s="1" t="b">
        <v>0</v>
      </c>
      <c r="AO1103" s="1" t="b">
        <v>0</v>
      </c>
    </row>
    <row r="1104" spans="1:41" x14ac:dyDescent="0.25">
      <c r="A1104" s="10"/>
      <c r="B1104" s="10"/>
      <c r="C1104" s="10"/>
      <c r="D1104" s="10"/>
      <c r="E1104" s="10"/>
      <c r="F1104" s="10"/>
      <c r="G1104" s="10"/>
      <c r="H1104" s="10"/>
      <c r="I1104" s="1" t="str">
        <f t="shared" si="51"/>
        <v/>
      </c>
      <c r="J1104" s="1" t="s">
        <v>35</v>
      </c>
      <c r="K1104" s="1" t="str">
        <f t="shared" si="52"/>
        <v/>
      </c>
      <c r="L1104" s="1" t="str">
        <f t="shared" si="53"/>
        <v/>
      </c>
      <c r="M1104" s="1">
        <f>IF(OR(Table1[[#This Row],[Std Nom]]="",Table1[[#This Row],[Std Read]]=""),0,Table1[[#This Row],[Std Nom]]-Table1[[#This Row],[Std Read]])</f>
        <v>0</v>
      </c>
      <c r="N1104" s="1">
        <f>IF(Calculations!$F$5="ACCREDITED 17025 WITH UNCERTAINTIES",$N$10,0)</f>
        <v>0</v>
      </c>
      <c r="Q1104" s="1">
        <f>Table1[[#This Row],[High Tol]]-Table1[[#This Row],[Low Tol]]</f>
        <v>0</v>
      </c>
      <c r="R1104" s="1">
        <f>2*Table1[[#This Row],[Std Error]]</f>
        <v>0</v>
      </c>
      <c r="S1104" s="1" t="str">
        <f>IF(Table1[[#This Row],[High Tol]]="","N/A",IFERROR(ABS(Table1[[#This Row],[Tol Span]]/Table1[[#This Row],[Error Span]]),"N/A"))</f>
        <v>N/A</v>
      </c>
      <c r="T1104" s="1" t="str">
        <f>IF(OR(Table1[[#This Row],[Low Tol]]="",Table1[[#This Row],[High Tol]]=""),"Needs Analysis",IF(Table1[[#This Row],[Ratio]]&gt;=4,"Not Significant",IF(Table1[[#This Row],[Ratio]]&gt;=2,"Semi-Significant","Significant")))</f>
        <v>Needs Analysis</v>
      </c>
      <c r="W1104" s="1">
        <f>IF(Table1[[#This Row],[Cal Type]]&lt;&gt;"ACCREDITED 17025 WITH UNCERTAINTIES",0,"")</f>
        <v>0</v>
      </c>
      <c r="X1104" s="1" t="str">
        <f>IF(Table1[[#This Row],[DUT Read]]="","N/A",Table1[[#This Row],[Std Error]]+Table1[[#This Row],[DUT Read]]+Table1[[#This Row],[DUT Ucty]])</f>
        <v>N/A</v>
      </c>
      <c r="Y1104" s="1" t="str">
        <f>IF(Table1[[#This Row],[Std Read]]="","N/A",Table1[[#This Row],[Std Read]]+Table1[[#This Row],[Std Ucty]])</f>
        <v>N/A</v>
      </c>
      <c r="Z11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4" s="1" t="str">
        <f>IF(Table1[[#This Row],[Spec Type]]="","N/A",Table1[[#This Row],[Spec Type]])</f>
        <v>±</v>
      </c>
      <c r="AC1104" s="1" t="str">
        <f>IF(Table1[[#This Row],[Spec Type2]]="N/A","N/A",IF(AND(Table1[[#This Row],[DUT Adj Read]]&gt;=Table1[[#This Row],[Low Tol]],Table1[[#This Row],[DUT Adj Read]]&lt;=Table1[[#This Row],[High Tol]]),"Pass","Fail"))</f>
        <v>Fail</v>
      </c>
      <c r="AD1104" s="1" t="str">
        <f>IF(AND(Table1[[#This Row],[Spec Type2]]="N/A",Table1[[#This Row],[DUT Adj Read]]="N/A",Table1[[#This Row],[Std Adj Read]]="N/A"),"N/A",IF(Table1[[#This Row],[DUT Adj Read]]="N/A",IF(Table1[[#This Row],[Std Adj Read]]&gt;Table1[[#This Row],[Low Tol]],"Pass","Fail"),IF(Table1[[#This Row],[DUT Adj Read]]&gt;Table1[[#This Row],[Low Tol]],"Pass","Fail")))</f>
        <v>Pass</v>
      </c>
      <c r="AE1104" s="1" t="str">
        <f>IF(AND(Table1[[#This Row],[Spec Type2]]="N/A",Table1[[#This Row],[DUT Adj Read]]="N/A",Table1[[#This Row],[Std Adj Read]]="N/A"),"N/A",IF(Table1[[#This Row],[DUT Adj Read]]="N/A",IF(Table1[[#This Row],[Std Adj Read]]&lt;Table1[[#This Row],[High Tol]],"Pass","Fail"),IF(Table1[[#This Row],[DUT Adj Read]]&lt;Table1[[#This Row],[High Tol]],"Pass","Fail")))</f>
        <v>Fail</v>
      </c>
      <c r="AF1104" s="1" t="str">
        <f>IF(AND(Table1[[#This Row],[Spec Type2]]="N/A",Table1[[#This Row],[DUT Adj Read]]="N/A",Table1[[#This Row],[Std Adj Read]]="N/A"),"N/A",IF(Table1[[#This Row],[DUT Adj Read]]="N/A",IF(Table1[[#This Row],[Std Adj Read]]&gt;=Table1[[#This Row],[Low Tol]],"Pass","Fail"),IF(Table1[[#This Row],[DUT Adj Read]]&gt;=Table1[[#This Row],[Low Tol]],"Pass","Fail")))</f>
        <v>Pass</v>
      </c>
      <c r="AG1104" s="1" t="str">
        <f>IF(AND(Table1[[#This Row],[Spec Type2]]="N/A",Table1[[#This Row],[DUT Adj Read]]="N/A",Table1[[#This Row],[Std Adj Read]]="N/A"),"N/A",IF(Table1[[#This Row],[DUT Adj Read]]="N/A",IF(Table1[[#This Row],[Std Adj Read]]&lt;=Table1[[#This Row],[High Tol]],"Pass","Fail"),IF(Table1[[#This Row],[DUT Adj Read]]&lt;=Table1[[#This Row],[High Tol]],"Pass","Fail")))</f>
        <v>Fail</v>
      </c>
      <c r="AH11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4" s="1" t="b">
        <v>0</v>
      </c>
      <c r="AN1104" s="1" t="b">
        <v>0</v>
      </c>
      <c r="AO1104" s="1" t="b">
        <v>0</v>
      </c>
    </row>
    <row r="1105" spans="1:41" x14ac:dyDescent="0.25">
      <c r="A1105" s="10"/>
      <c r="B1105" s="10"/>
      <c r="C1105" s="10"/>
      <c r="D1105" s="10"/>
      <c r="E1105" s="10"/>
      <c r="F1105" s="10"/>
      <c r="G1105" s="10"/>
      <c r="H1105" s="10"/>
      <c r="I1105" s="1" t="str">
        <f t="shared" si="51"/>
        <v/>
      </c>
      <c r="J1105" s="1" t="s">
        <v>35</v>
      </c>
      <c r="K1105" s="1" t="str">
        <f t="shared" si="52"/>
        <v/>
      </c>
      <c r="L1105" s="1" t="str">
        <f t="shared" si="53"/>
        <v/>
      </c>
      <c r="M1105" s="1">
        <f>IF(OR(Table1[[#This Row],[Std Nom]]="",Table1[[#This Row],[Std Read]]=""),0,Table1[[#This Row],[Std Nom]]-Table1[[#This Row],[Std Read]])</f>
        <v>0</v>
      </c>
      <c r="N1105" s="1">
        <f>IF(Calculations!$F$5="ACCREDITED 17025 WITH UNCERTAINTIES",$N$10,0)</f>
        <v>0</v>
      </c>
      <c r="Q1105" s="1">
        <f>Table1[[#This Row],[High Tol]]-Table1[[#This Row],[Low Tol]]</f>
        <v>0</v>
      </c>
      <c r="R1105" s="1">
        <f>2*Table1[[#This Row],[Std Error]]</f>
        <v>0</v>
      </c>
      <c r="S1105" s="1" t="str">
        <f>IF(Table1[[#This Row],[High Tol]]="","N/A",IFERROR(ABS(Table1[[#This Row],[Tol Span]]/Table1[[#This Row],[Error Span]]),"N/A"))</f>
        <v>N/A</v>
      </c>
      <c r="T1105" s="1" t="str">
        <f>IF(OR(Table1[[#This Row],[Low Tol]]="",Table1[[#This Row],[High Tol]]=""),"Needs Analysis",IF(Table1[[#This Row],[Ratio]]&gt;=4,"Not Significant",IF(Table1[[#This Row],[Ratio]]&gt;=2,"Semi-Significant","Significant")))</f>
        <v>Needs Analysis</v>
      </c>
      <c r="W1105" s="1">
        <f>IF(Table1[[#This Row],[Cal Type]]&lt;&gt;"ACCREDITED 17025 WITH UNCERTAINTIES",0,"")</f>
        <v>0</v>
      </c>
      <c r="X1105" s="1" t="str">
        <f>IF(Table1[[#This Row],[DUT Read]]="","N/A",Table1[[#This Row],[Std Error]]+Table1[[#This Row],[DUT Read]]+Table1[[#This Row],[DUT Ucty]])</f>
        <v>N/A</v>
      </c>
      <c r="Y1105" s="1" t="str">
        <f>IF(Table1[[#This Row],[Std Read]]="","N/A",Table1[[#This Row],[Std Read]]+Table1[[#This Row],[Std Ucty]])</f>
        <v>N/A</v>
      </c>
      <c r="Z11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5" s="1" t="str">
        <f>IF(Table1[[#This Row],[Spec Type]]="","N/A",Table1[[#This Row],[Spec Type]])</f>
        <v>±</v>
      </c>
      <c r="AC1105" s="1" t="str">
        <f>IF(Table1[[#This Row],[Spec Type2]]="N/A","N/A",IF(AND(Table1[[#This Row],[DUT Adj Read]]&gt;=Table1[[#This Row],[Low Tol]],Table1[[#This Row],[DUT Adj Read]]&lt;=Table1[[#This Row],[High Tol]]),"Pass","Fail"))</f>
        <v>Fail</v>
      </c>
      <c r="AD1105" s="1" t="str">
        <f>IF(AND(Table1[[#This Row],[Spec Type2]]="N/A",Table1[[#This Row],[DUT Adj Read]]="N/A",Table1[[#This Row],[Std Adj Read]]="N/A"),"N/A",IF(Table1[[#This Row],[DUT Adj Read]]="N/A",IF(Table1[[#This Row],[Std Adj Read]]&gt;Table1[[#This Row],[Low Tol]],"Pass","Fail"),IF(Table1[[#This Row],[DUT Adj Read]]&gt;Table1[[#This Row],[Low Tol]],"Pass","Fail")))</f>
        <v>Pass</v>
      </c>
      <c r="AE1105" s="1" t="str">
        <f>IF(AND(Table1[[#This Row],[Spec Type2]]="N/A",Table1[[#This Row],[DUT Adj Read]]="N/A",Table1[[#This Row],[Std Adj Read]]="N/A"),"N/A",IF(Table1[[#This Row],[DUT Adj Read]]="N/A",IF(Table1[[#This Row],[Std Adj Read]]&lt;Table1[[#This Row],[High Tol]],"Pass","Fail"),IF(Table1[[#This Row],[DUT Adj Read]]&lt;Table1[[#This Row],[High Tol]],"Pass","Fail")))</f>
        <v>Fail</v>
      </c>
      <c r="AF1105" s="1" t="str">
        <f>IF(AND(Table1[[#This Row],[Spec Type2]]="N/A",Table1[[#This Row],[DUT Adj Read]]="N/A",Table1[[#This Row],[Std Adj Read]]="N/A"),"N/A",IF(Table1[[#This Row],[DUT Adj Read]]="N/A",IF(Table1[[#This Row],[Std Adj Read]]&gt;=Table1[[#This Row],[Low Tol]],"Pass","Fail"),IF(Table1[[#This Row],[DUT Adj Read]]&gt;=Table1[[#This Row],[Low Tol]],"Pass","Fail")))</f>
        <v>Pass</v>
      </c>
      <c r="AG1105" s="1" t="str">
        <f>IF(AND(Table1[[#This Row],[Spec Type2]]="N/A",Table1[[#This Row],[DUT Adj Read]]="N/A",Table1[[#This Row],[Std Adj Read]]="N/A"),"N/A",IF(Table1[[#This Row],[DUT Adj Read]]="N/A",IF(Table1[[#This Row],[Std Adj Read]]&lt;=Table1[[#This Row],[High Tol]],"Pass","Fail"),IF(Table1[[#This Row],[DUT Adj Read]]&lt;=Table1[[#This Row],[High Tol]],"Pass","Fail")))</f>
        <v>Fail</v>
      </c>
      <c r="AH11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5" s="1" t="b">
        <v>0</v>
      </c>
      <c r="AN1105" s="1" t="b">
        <v>0</v>
      </c>
      <c r="AO1105" s="1" t="b">
        <v>0</v>
      </c>
    </row>
    <row r="1106" spans="1:41" x14ac:dyDescent="0.25">
      <c r="A1106" s="10"/>
      <c r="B1106" s="10"/>
      <c r="C1106" s="10"/>
      <c r="D1106" s="10"/>
      <c r="E1106" s="10"/>
      <c r="F1106" s="10"/>
      <c r="G1106" s="10"/>
      <c r="H1106" s="10"/>
      <c r="I1106" s="1" t="str">
        <f t="shared" si="51"/>
        <v/>
      </c>
      <c r="J1106" s="1" t="s">
        <v>35</v>
      </c>
      <c r="K1106" s="1" t="str">
        <f t="shared" si="52"/>
        <v/>
      </c>
      <c r="L1106" s="1" t="str">
        <f t="shared" si="53"/>
        <v/>
      </c>
      <c r="M1106" s="1">
        <f>IF(OR(Table1[[#This Row],[Std Nom]]="",Table1[[#This Row],[Std Read]]=""),0,Table1[[#This Row],[Std Nom]]-Table1[[#This Row],[Std Read]])</f>
        <v>0</v>
      </c>
      <c r="N1106" s="1">
        <f>IF(Calculations!$F$5="ACCREDITED 17025 WITH UNCERTAINTIES",$N$10,0)</f>
        <v>0</v>
      </c>
      <c r="Q1106" s="1">
        <f>Table1[[#This Row],[High Tol]]-Table1[[#This Row],[Low Tol]]</f>
        <v>0</v>
      </c>
      <c r="R1106" s="1">
        <f>2*Table1[[#This Row],[Std Error]]</f>
        <v>0</v>
      </c>
      <c r="S1106" s="1" t="str">
        <f>IF(Table1[[#This Row],[High Tol]]="","N/A",IFERROR(ABS(Table1[[#This Row],[Tol Span]]/Table1[[#This Row],[Error Span]]),"N/A"))</f>
        <v>N/A</v>
      </c>
      <c r="T1106" s="1" t="str">
        <f>IF(OR(Table1[[#This Row],[Low Tol]]="",Table1[[#This Row],[High Tol]]=""),"Needs Analysis",IF(Table1[[#This Row],[Ratio]]&gt;=4,"Not Significant",IF(Table1[[#This Row],[Ratio]]&gt;=2,"Semi-Significant","Significant")))</f>
        <v>Needs Analysis</v>
      </c>
      <c r="W1106" s="1">
        <f>IF(Table1[[#This Row],[Cal Type]]&lt;&gt;"ACCREDITED 17025 WITH UNCERTAINTIES",0,"")</f>
        <v>0</v>
      </c>
      <c r="X1106" s="1" t="str">
        <f>IF(Table1[[#This Row],[DUT Read]]="","N/A",Table1[[#This Row],[Std Error]]+Table1[[#This Row],[DUT Read]]+Table1[[#This Row],[DUT Ucty]])</f>
        <v>N/A</v>
      </c>
      <c r="Y1106" s="1" t="str">
        <f>IF(Table1[[#This Row],[Std Read]]="","N/A",Table1[[#This Row],[Std Read]]+Table1[[#This Row],[Std Ucty]])</f>
        <v>N/A</v>
      </c>
      <c r="Z11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6" s="1" t="str">
        <f>IF(Table1[[#This Row],[Spec Type]]="","N/A",Table1[[#This Row],[Spec Type]])</f>
        <v>±</v>
      </c>
      <c r="AC1106" s="1" t="str">
        <f>IF(Table1[[#This Row],[Spec Type2]]="N/A","N/A",IF(AND(Table1[[#This Row],[DUT Adj Read]]&gt;=Table1[[#This Row],[Low Tol]],Table1[[#This Row],[DUT Adj Read]]&lt;=Table1[[#This Row],[High Tol]]),"Pass","Fail"))</f>
        <v>Fail</v>
      </c>
      <c r="AD1106" s="1" t="str">
        <f>IF(AND(Table1[[#This Row],[Spec Type2]]="N/A",Table1[[#This Row],[DUT Adj Read]]="N/A",Table1[[#This Row],[Std Adj Read]]="N/A"),"N/A",IF(Table1[[#This Row],[DUT Adj Read]]="N/A",IF(Table1[[#This Row],[Std Adj Read]]&gt;Table1[[#This Row],[Low Tol]],"Pass","Fail"),IF(Table1[[#This Row],[DUT Adj Read]]&gt;Table1[[#This Row],[Low Tol]],"Pass","Fail")))</f>
        <v>Pass</v>
      </c>
      <c r="AE1106" s="1" t="str">
        <f>IF(AND(Table1[[#This Row],[Spec Type2]]="N/A",Table1[[#This Row],[DUT Adj Read]]="N/A",Table1[[#This Row],[Std Adj Read]]="N/A"),"N/A",IF(Table1[[#This Row],[DUT Adj Read]]="N/A",IF(Table1[[#This Row],[Std Adj Read]]&lt;Table1[[#This Row],[High Tol]],"Pass","Fail"),IF(Table1[[#This Row],[DUT Adj Read]]&lt;Table1[[#This Row],[High Tol]],"Pass","Fail")))</f>
        <v>Fail</v>
      </c>
      <c r="AF1106" s="1" t="str">
        <f>IF(AND(Table1[[#This Row],[Spec Type2]]="N/A",Table1[[#This Row],[DUT Adj Read]]="N/A",Table1[[#This Row],[Std Adj Read]]="N/A"),"N/A",IF(Table1[[#This Row],[DUT Adj Read]]="N/A",IF(Table1[[#This Row],[Std Adj Read]]&gt;=Table1[[#This Row],[Low Tol]],"Pass","Fail"),IF(Table1[[#This Row],[DUT Adj Read]]&gt;=Table1[[#This Row],[Low Tol]],"Pass","Fail")))</f>
        <v>Pass</v>
      </c>
      <c r="AG1106" s="1" t="str">
        <f>IF(AND(Table1[[#This Row],[Spec Type2]]="N/A",Table1[[#This Row],[DUT Adj Read]]="N/A",Table1[[#This Row],[Std Adj Read]]="N/A"),"N/A",IF(Table1[[#This Row],[DUT Adj Read]]="N/A",IF(Table1[[#This Row],[Std Adj Read]]&lt;=Table1[[#This Row],[High Tol]],"Pass","Fail"),IF(Table1[[#This Row],[DUT Adj Read]]&lt;=Table1[[#This Row],[High Tol]],"Pass","Fail")))</f>
        <v>Fail</v>
      </c>
      <c r="AH11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6" s="1" t="b">
        <v>0</v>
      </c>
      <c r="AN1106" s="1" t="b">
        <v>0</v>
      </c>
      <c r="AO1106" s="1" t="b">
        <v>0</v>
      </c>
    </row>
    <row r="1107" spans="1:41" x14ac:dyDescent="0.25">
      <c r="A1107" s="10"/>
      <c r="B1107" s="10"/>
      <c r="C1107" s="10"/>
      <c r="D1107" s="10"/>
      <c r="E1107" s="10"/>
      <c r="F1107" s="10"/>
      <c r="G1107" s="10"/>
      <c r="H1107" s="10"/>
      <c r="I1107" s="1" t="str">
        <f t="shared" si="51"/>
        <v/>
      </c>
      <c r="J1107" s="1" t="s">
        <v>35</v>
      </c>
      <c r="K1107" s="1" t="str">
        <f t="shared" si="52"/>
        <v/>
      </c>
      <c r="L1107" s="1" t="str">
        <f t="shared" si="53"/>
        <v/>
      </c>
      <c r="M1107" s="1">
        <f>IF(OR(Table1[[#This Row],[Std Nom]]="",Table1[[#This Row],[Std Read]]=""),0,Table1[[#This Row],[Std Nom]]-Table1[[#This Row],[Std Read]])</f>
        <v>0</v>
      </c>
      <c r="N1107" s="1">
        <f>IF(Calculations!$F$5="ACCREDITED 17025 WITH UNCERTAINTIES",$N$10,0)</f>
        <v>0</v>
      </c>
      <c r="Q1107" s="1">
        <f>Table1[[#This Row],[High Tol]]-Table1[[#This Row],[Low Tol]]</f>
        <v>0</v>
      </c>
      <c r="R1107" s="1">
        <f>2*Table1[[#This Row],[Std Error]]</f>
        <v>0</v>
      </c>
      <c r="S1107" s="1" t="str">
        <f>IF(Table1[[#This Row],[High Tol]]="","N/A",IFERROR(ABS(Table1[[#This Row],[Tol Span]]/Table1[[#This Row],[Error Span]]),"N/A"))</f>
        <v>N/A</v>
      </c>
      <c r="T1107" s="1" t="str">
        <f>IF(OR(Table1[[#This Row],[Low Tol]]="",Table1[[#This Row],[High Tol]]=""),"Needs Analysis",IF(Table1[[#This Row],[Ratio]]&gt;=4,"Not Significant",IF(Table1[[#This Row],[Ratio]]&gt;=2,"Semi-Significant","Significant")))</f>
        <v>Needs Analysis</v>
      </c>
      <c r="W1107" s="1">
        <f>IF(Table1[[#This Row],[Cal Type]]&lt;&gt;"ACCREDITED 17025 WITH UNCERTAINTIES",0,"")</f>
        <v>0</v>
      </c>
      <c r="X1107" s="1" t="str">
        <f>IF(Table1[[#This Row],[DUT Read]]="","N/A",Table1[[#This Row],[Std Error]]+Table1[[#This Row],[DUT Read]]+Table1[[#This Row],[DUT Ucty]])</f>
        <v>N/A</v>
      </c>
      <c r="Y1107" s="1" t="str">
        <f>IF(Table1[[#This Row],[Std Read]]="","N/A",Table1[[#This Row],[Std Read]]+Table1[[#This Row],[Std Ucty]])</f>
        <v>N/A</v>
      </c>
      <c r="Z11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7" s="1" t="str">
        <f>IF(Table1[[#This Row],[Spec Type]]="","N/A",Table1[[#This Row],[Spec Type]])</f>
        <v>±</v>
      </c>
      <c r="AC1107" s="1" t="str">
        <f>IF(Table1[[#This Row],[Spec Type2]]="N/A","N/A",IF(AND(Table1[[#This Row],[DUT Adj Read]]&gt;=Table1[[#This Row],[Low Tol]],Table1[[#This Row],[DUT Adj Read]]&lt;=Table1[[#This Row],[High Tol]]),"Pass","Fail"))</f>
        <v>Fail</v>
      </c>
      <c r="AD1107" s="1" t="str">
        <f>IF(AND(Table1[[#This Row],[Spec Type2]]="N/A",Table1[[#This Row],[DUT Adj Read]]="N/A",Table1[[#This Row],[Std Adj Read]]="N/A"),"N/A",IF(Table1[[#This Row],[DUT Adj Read]]="N/A",IF(Table1[[#This Row],[Std Adj Read]]&gt;Table1[[#This Row],[Low Tol]],"Pass","Fail"),IF(Table1[[#This Row],[DUT Adj Read]]&gt;Table1[[#This Row],[Low Tol]],"Pass","Fail")))</f>
        <v>Pass</v>
      </c>
      <c r="AE1107" s="1" t="str">
        <f>IF(AND(Table1[[#This Row],[Spec Type2]]="N/A",Table1[[#This Row],[DUT Adj Read]]="N/A",Table1[[#This Row],[Std Adj Read]]="N/A"),"N/A",IF(Table1[[#This Row],[DUT Adj Read]]="N/A",IF(Table1[[#This Row],[Std Adj Read]]&lt;Table1[[#This Row],[High Tol]],"Pass","Fail"),IF(Table1[[#This Row],[DUT Adj Read]]&lt;Table1[[#This Row],[High Tol]],"Pass","Fail")))</f>
        <v>Fail</v>
      </c>
      <c r="AF1107" s="1" t="str">
        <f>IF(AND(Table1[[#This Row],[Spec Type2]]="N/A",Table1[[#This Row],[DUT Adj Read]]="N/A",Table1[[#This Row],[Std Adj Read]]="N/A"),"N/A",IF(Table1[[#This Row],[DUT Adj Read]]="N/A",IF(Table1[[#This Row],[Std Adj Read]]&gt;=Table1[[#This Row],[Low Tol]],"Pass","Fail"),IF(Table1[[#This Row],[DUT Adj Read]]&gt;=Table1[[#This Row],[Low Tol]],"Pass","Fail")))</f>
        <v>Pass</v>
      </c>
      <c r="AG1107" s="1" t="str">
        <f>IF(AND(Table1[[#This Row],[Spec Type2]]="N/A",Table1[[#This Row],[DUT Adj Read]]="N/A",Table1[[#This Row],[Std Adj Read]]="N/A"),"N/A",IF(Table1[[#This Row],[DUT Adj Read]]="N/A",IF(Table1[[#This Row],[Std Adj Read]]&lt;=Table1[[#This Row],[High Tol]],"Pass","Fail"),IF(Table1[[#This Row],[DUT Adj Read]]&lt;=Table1[[#This Row],[High Tol]],"Pass","Fail")))</f>
        <v>Fail</v>
      </c>
      <c r="AH11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7" s="1" t="b">
        <v>0</v>
      </c>
      <c r="AN1107" s="1" t="b">
        <v>0</v>
      </c>
      <c r="AO1107" s="1" t="b">
        <v>0</v>
      </c>
    </row>
    <row r="1108" spans="1:41" x14ac:dyDescent="0.25">
      <c r="A1108" s="10"/>
      <c r="B1108" s="10"/>
      <c r="C1108" s="10"/>
      <c r="D1108" s="10"/>
      <c r="E1108" s="10"/>
      <c r="F1108" s="10"/>
      <c r="G1108" s="10"/>
      <c r="H1108" s="10"/>
      <c r="I1108" s="1" t="str">
        <f t="shared" si="51"/>
        <v/>
      </c>
      <c r="J1108" s="1" t="s">
        <v>35</v>
      </c>
      <c r="K1108" s="1" t="str">
        <f t="shared" si="52"/>
        <v/>
      </c>
      <c r="L1108" s="1" t="str">
        <f t="shared" si="53"/>
        <v/>
      </c>
      <c r="M1108" s="1">
        <f>IF(OR(Table1[[#This Row],[Std Nom]]="",Table1[[#This Row],[Std Read]]=""),0,Table1[[#This Row],[Std Nom]]-Table1[[#This Row],[Std Read]])</f>
        <v>0</v>
      </c>
      <c r="N1108" s="1">
        <f>IF(Calculations!$F$5="ACCREDITED 17025 WITH UNCERTAINTIES",$N$10,0)</f>
        <v>0</v>
      </c>
      <c r="Q1108" s="1">
        <f>Table1[[#This Row],[High Tol]]-Table1[[#This Row],[Low Tol]]</f>
        <v>0</v>
      </c>
      <c r="R1108" s="1">
        <f>2*Table1[[#This Row],[Std Error]]</f>
        <v>0</v>
      </c>
      <c r="S1108" s="1" t="str">
        <f>IF(Table1[[#This Row],[High Tol]]="","N/A",IFERROR(ABS(Table1[[#This Row],[Tol Span]]/Table1[[#This Row],[Error Span]]),"N/A"))</f>
        <v>N/A</v>
      </c>
      <c r="T1108" s="1" t="str">
        <f>IF(OR(Table1[[#This Row],[Low Tol]]="",Table1[[#This Row],[High Tol]]=""),"Needs Analysis",IF(Table1[[#This Row],[Ratio]]&gt;=4,"Not Significant",IF(Table1[[#This Row],[Ratio]]&gt;=2,"Semi-Significant","Significant")))</f>
        <v>Needs Analysis</v>
      </c>
      <c r="W1108" s="1">
        <f>IF(Table1[[#This Row],[Cal Type]]&lt;&gt;"ACCREDITED 17025 WITH UNCERTAINTIES",0,"")</f>
        <v>0</v>
      </c>
      <c r="X1108" s="1" t="str">
        <f>IF(Table1[[#This Row],[DUT Read]]="","N/A",Table1[[#This Row],[Std Error]]+Table1[[#This Row],[DUT Read]]+Table1[[#This Row],[DUT Ucty]])</f>
        <v>N/A</v>
      </c>
      <c r="Y1108" s="1" t="str">
        <f>IF(Table1[[#This Row],[Std Read]]="","N/A",Table1[[#This Row],[Std Read]]+Table1[[#This Row],[Std Ucty]])</f>
        <v>N/A</v>
      </c>
      <c r="Z11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8" s="1" t="str">
        <f>IF(Table1[[#This Row],[Spec Type]]="","N/A",Table1[[#This Row],[Spec Type]])</f>
        <v>±</v>
      </c>
      <c r="AC1108" s="1" t="str">
        <f>IF(Table1[[#This Row],[Spec Type2]]="N/A","N/A",IF(AND(Table1[[#This Row],[DUT Adj Read]]&gt;=Table1[[#This Row],[Low Tol]],Table1[[#This Row],[DUT Adj Read]]&lt;=Table1[[#This Row],[High Tol]]),"Pass","Fail"))</f>
        <v>Fail</v>
      </c>
      <c r="AD1108" s="1" t="str">
        <f>IF(AND(Table1[[#This Row],[Spec Type2]]="N/A",Table1[[#This Row],[DUT Adj Read]]="N/A",Table1[[#This Row],[Std Adj Read]]="N/A"),"N/A",IF(Table1[[#This Row],[DUT Adj Read]]="N/A",IF(Table1[[#This Row],[Std Adj Read]]&gt;Table1[[#This Row],[Low Tol]],"Pass","Fail"),IF(Table1[[#This Row],[DUT Adj Read]]&gt;Table1[[#This Row],[Low Tol]],"Pass","Fail")))</f>
        <v>Pass</v>
      </c>
      <c r="AE1108" s="1" t="str">
        <f>IF(AND(Table1[[#This Row],[Spec Type2]]="N/A",Table1[[#This Row],[DUT Adj Read]]="N/A",Table1[[#This Row],[Std Adj Read]]="N/A"),"N/A",IF(Table1[[#This Row],[DUT Adj Read]]="N/A",IF(Table1[[#This Row],[Std Adj Read]]&lt;Table1[[#This Row],[High Tol]],"Pass","Fail"),IF(Table1[[#This Row],[DUT Adj Read]]&lt;Table1[[#This Row],[High Tol]],"Pass","Fail")))</f>
        <v>Fail</v>
      </c>
      <c r="AF1108" s="1" t="str">
        <f>IF(AND(Table1[[#This Row],[Spec Type2]]="N/A",Table1[[#This Row],[DUT Adj Read]]="N/A",Table1[[#This Row],[Std Adj Read]]="N/A"),"N/A",IF(Table1[[#This Row],[DUT Adj Read]]="N/A",IF(Table1[[#This Row],[Std Adj Read]]&gt;=Table1[[#This Row],[Low Tol]],"Pass","Fail"),IF(Table1[[#This Row],[DUT Adj Read]]&gt;=Table1[[#This Row],[Low Tol]],"Pass","Fail")))</f>
        <v>Pass</v>
      </c>
      <c r="AG1108" s="1" t="str">
        <f>IF(AND(Table1[[#This Row],[Spec Type2]]="N/A",Table1[[#This Row],[DUT Adj Read]]="N/A",Table1[[#This Row],[Std Adj Read]]="N/A"),"N/A",IF(Table1[[#This Row],[DUT Adj Read]]="N/A",IF(Table1[[#This Row],[Std Adj Read]]&lt;=Table1[[#This Row],[High Tol]],"Pass","Fail"),IF(Table1[[#This Row],[DUT Adj Read]]&lt;=Table1[[#This Row],[High Tol]],"Pass","Fail")))</f>
        <v>Fail</v>
      </c>
      <c r="AH11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8" s="1" t="b">
        <v>0</v>
      </c>
      <c r="AN1108" s="1" t="b">
        <v>0</v>
      </c>
      <c r="AO1108" s="1" t="b">
        <v>0</v>
      </c>
    </row>
    <row r="1109" spans="1:41" x14ac:dyDescent="0.25">
      <c r="A1109" s="10"/>
      <c r="B1109" s="10"/>
      <c r="C1109" s="10"/>
      <c r="D1109" s="10"/>
      <c r="E1109" s="10"/>
      <c r="F1109" s="10"/>
      <c r="G1109" s="10"/>
      <c r="H1109" s="10"/>
      <c r="I1109" s="1" t="str">
        <f t="shared" si="51"/>
        <v/>
      </c>
      <c r="J1109" s="1" t="s">
        <v>35</v>
      </c>
      <c r="K1109" s="1" t="str">
        <f t="shared" si="52"/>
        <v/>
      </c>
      <c r="L1109" s="1" t="str">
        <f t="shared" si="53"/>
        <v/>
      </c>
      <c r="M1109" s="1">
        <f>IF(OR(Table1[[#This Row],[Std Nom]]="",Table1[[#This Row],[Std Read]]=""),0,Table1[[#This Row],[Std Nom]]-Table1[[#This Row],[Std Read]])</f>
        <v>0</v>
      </c>
      <c r="N1109" s="1">
        <f>IF(Calculations!$F$5="ACCREDITED 17025 WITH UNCERTAINTIES",$N$10,0)</f>
        <v>0</v>
      </c>
      <c r="Q1109" s="1">
        <f>Table1[[#This Row],[High Tol]]-Table1[[#This Row],[Low Tol]]</f>
        <v>0</v>
      </c>
      <c r="R1109" s="1">
        <f>2*Table1[[#This Row],[Std Error]]</f>
        <v>0</v>
      </c>
      <c r="S1109" s="1" t="str">
        <f>IF(Table1[[#This Row],[High Tol]]="","N/A",IFERROR(ABS(Table1[[#This Row],[Tol Span]]/Table1[[#This Row],[Error Span]]),"N/A"))</f>
        <v>N/A</v>
      </c>
      <c r="T1109" s="1" t="str">
        <f>IF(OR(Table1[[#This Row],[Low Tol]]="",Table1[[#This Row],[High Tol]]=""),"Needs Analysis",IF(Table1[[#This Row],[Ratio]]&gt;=4,"Not Significant",IF(Table1[[#This Row],[Ratio]]&gt;=2,"Semi-Significant","Significant")))</f>
        <v>Needs Analysis</v>
      </c>
      <c r="W1109" s="1">
        <f>IF(Table1[[#This Row],[Cal Type]]&lt;&gt;"ACCREDITED 17025 WITH UNCERTAINTIES",0,"")</f>
        <v>0</v>
      </c>
      <c r="X1109" s="1" t="str">
        <f>IF(Table1[[#This Row],[DUT Read]]="","N/A",Table1[[#This Row],[Std Error]]+Table1[[#This Row],[DUT Read]]+Table1[[#This Row],[DUT Ucty]])</f>
        <v>N/A</v>
      </c>
      <c r="Y1109" s="1" t="str">
        <f>IF(Table1[[#This Row],[Std Read]]="","N/A",Table1[[#This Row],[Std Read]]+Table1[[#This Row],[Std Ucty]])</f>
        <v>N/A</v>
      </c>
      <c r="Z11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09" s="1" t="str">
        <f>IF(Table1[[#This Row],[Spec Type]]="","N/A",Table1[[#This Row],[Spec Type]])</f>
        <v>±</v>
      </c>
      <c r="AC1109" s="1" t="str">
        <f>IF(Table1[[#This Row],[Spec Type2]]="N/A","N/A",IF(AND(Table1[[#This Row],[DUT Adj Read]]&gt;=Table1[[#This Row],[Low Tol]],Table1[[#This Row],[DUT Adj Read]]&lt;=Table1[[#This Row],[High Tol]]),"Pass","Fail"))</f>
        <v>Fail</v>
      </c>
      <c r="AD1109" s="1" t="str">
        <f>IF(AND(Table1[[#This Row],[Spec Type2]]="N/A",Table1[[#This Row],[DUT Adj Read]]="N/A",Table1[[#This Row],[Std Adj Read]]="N/A"),"N/A",IF(Table1[[#This Row],[DUT Adj Read]]="N/A",IF(Table1[[#This Row],[Std Adj Read]]&gt;Table1[[#This Row],[Low Tol]],"Pass","Fail"),IF(Table1[[#This Row],[DUT Adj Read]]&gt;Table1[[#This Row],[Low Tol]],"Pass","Fail")))</f>
        <v>Pass</v>
      </c>
      <c r="AE1109" s="1" t="str">
        <f>IF(AND(Table1[[#This Row],[Spec Type2]]="N/A",Table1[[#This Row],[DUT Adj Read]]="N/A",Table1[[#This Row],[Std Adj Read]]="N/A"),"N/A",IF(Table1[[#This Row],[DUT Adj Read]]="N/A",IF(Table1[[#This Row],[Std Adj Read]]&lt;Table1[[#This Row],[High Tol]],"Pass","Fail"),IF(Table1[[#This Row],[DUT Adj Read]]&lt;Table1[[#This Row],[High Tol]],"Pass","Fail")))</f>
        <v>Fail</v>
      </c>
      <c r="AF1109" s="1" t="str">
        <f>IF(AND(Table1[[#This Row],[Spec Type2]]="N/A",Table1[[#This Row],[DUT Adj Read]]="N/A",Table1[[#This Row],[Std Adj Read]]="N/A"),"N/A",IF(Table1[[#This Row],[DUT Adj Read]]="N/A",IF(Table1[[#This Row],[Std Adj Read]]&gt;=Table1[[#This Row],[Low Tol]],"Pass","Fail"),IF(Table1[[#This Row],[DUT Adj Read]]&gt;=Table1[[#This Row],[Low Tol]],"Pass","Fail")))</f>
        <v>Pass</v>
      </c>
      <c r="AG1109" s="1" t="str">
        <f>IF(AND(Table1[[#This Row],[Spec Type2]]="N/A",Table1[[#This Row],[DUT Adj Read]]="N/A",Table1[[#This Row],[Std Adj Read]]="N/A"),"N/A",IF(Table1[[#This Row],[DUT Adj Read]]="N/A",IF(Table1[[#This Row],[Std Adj Read]]&lt;=Table1[[#This Row],[High Tol]],"Pass","Fail"),IF(Table1[[#This Row],[DUT Adj Read]]&lt;=Table1[[#This Row],[High Tol]],"Pass","Fail")))</f>
        <v>Fail</v>
      </c>
      <c r="AH11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09" s="1" t="b">
        <v>0</v>
      </c>
      <c r="AN1109" s="1" t="b">
        <v>0</v>
      </c>
      <c r="AO1109" s="1" t="b">
        <v>0</v>
      </c>
    </row>
    <row r="1110" spans="1:41" x14ac:dyDescent="0.25">
      <c r="A1110" s="10"/>
      <c r="B1110" s="10"/>
      <c r="C1110" s="10"/>
      <c r="D1110" s="10"/>
      <c r="E1110" s="10"/>
      <c r="F1110" s="10"/>
      <c r="G1110" s="10"/>
      <c r="H1110" s="10"/>
      <c r="I1110" s="1" t="str">
        <f t="shared" si="51"/>
        <v/>
      </c>
      <c r="J1110" s="1" t="s">
        <v>35</v>
      </c>
      <c r="K1110" s="1" t="str">
        <f t="shared" si="52"/>
        <v/>
      </c>
      <c r="L1110" s="1" t="str">
        <f t="shared" si="53"/>
        <v/>
      </c>
      <c r="M1110" s="1">
        <f>IF(OR(Table1[[#This Row],[Std Nom]]="",Table1[[#This Row],[Std Read]]=""),0,Table1[[#This Row],[Std Nom]]-Table1[[#This Row],[Std Read]])</f>
        <v>0</v>
      </c>
      <c r="N1110" s="1">
        <f>IF(Calculations!$F$5="ACCREDITED 17025 WITH UNCERTAINTIES",$N$10,0)</f>
        <v>0</v>
      </c>
      <c r="Q1110" s="1">
        <f>Table1[[#This Row],[High Tol]]-Table1[[#This Row],[Low Tol]]</f>
        <v>0</v>
      </c>
      <c r="R1110" s="1">
        <f>2*Table1[[#This Row],[Std Error]]</f>
        <v>0</v>
      </c>
      <c r="S1110" s="1" t="str">
        <f>IF(Table1[[#This Row],[High Tol]]="","N/A",IFERROR(ABS(Table1[[#This Row],[Tol Span]]/Table1[[#This Row],[Error Span]]),"N/A"))</f>
        <v>N/A</v>
      </c>
      <c r="T1110" s="1" t="str">
        <f>IF(OR(Table1[[#This Row],[Low Tol]]="",Table1[[#This Row],[High Tol]]=""),"Needs Analysis",IF(Table1[[#This Row],[Ratio]]&gt;=4,"Not Significant",IF(Table1[[#This Row],[Ratio]]&gt;=2,"Semi-Significant","Significant")))</f>
        <v>Needs Analysis</v>
      </c>
      <c r="W1110" s="1">
        <f>IF(Table1[[#This Row],[Cal Type]]&lt;&gt;"ACCREDITED 17025 WITH UNCERTAINTIES",0,"")</f>
        <v>0</v>
      </c>
      <c r="X1110" s="1" t="str">
        <f>IF(Table1[[#This Row],[DUT Read]]="","N/A",Table1[[#This Row],[Std Error]]+Table1[[#This Row],[DUT Read]]+Table1[[#This Row],[DUT Ucty]])</f>
        <v>N/A</v>
      </c>
      <c r="Y1110" s="1" t="str">
        <f>IF(Table1[[#This Row],[Std Read]]="","N/A",Table1[[#This Row],[Std Read]]+Table1[[#This Row],[Std Ucty]])</f>
        <v>N/A</v>
      </c>
      <c r="Z11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0" s="1" t="str">
        <f>IF(Table1[[#This Row],[Spec Type]]="","N/A",Table1[[#This Row],[Spec Type]])</f>
        <v>±</v>
      </c>
      <c r="AC1110" s="1" t="str">
        <f>IF(Table1[[#This Row],[Spec Type2]]="N/A","N/A",IF(AND(Table1[[#This Row],[DUT Adj Read]]&gt;=Table1[[#This Row],[Low Tol]],Table1[[#This Row],[DUT Adj Read]]&lt;=Table1[[#This Row],[High Tol]]),"Pass","Fail"))</f>
        <v>Fail</v>
      </c>
      <c r="AD1110" s="1" t="str">
        <f>IF(AND(Table1[[#This Row],[Spec Type2]]="N/A",Table1[[#This Row],[DUT Adj Read]]="N/A",Table1[[#This Row],[Std Adj Read]]="N/A"),"N/A",IF(Table1[[#This Row],[DUT Adj Read]]="N/A",IF(Table1[[#This Row],[Std Adj Read]]&gt;Table1[[#This Row],[Low Tol]],"Pass","Fail"),IF(Table1[[#This Row],[DUT Adj Read]]&gt;Table1[[#This Row],[Low Tol]],"Pass","Fail")))</f>
        <v>Pass</v>
      </c>
      <c r="AE1110" s="1" t="str">
        <f>IF(AND(Table1[[#This Row],[Spec Type2]]="N/A",Table1[[#This Row],[DUT Adj Read]]="N/A",Table1[[#This Row],[Std Adj Read]]="N/A"),"N/A",IF(Table1[[#This Row],[DUT Adj Read]]="N/A",IF(Table1[[#This Row],[Std Adj Read]]&lt;Table1[[#This Row],[High Tol]],"Pass","Fail"),IF(Table1[[#This Row],[DUT Adj Read]]&lt;Table1[[#This Row],[High Tol]],"Pass","Fail")))</f>
        <v>Fail</v>
      </c>
      <c r="AF1110" s="1" t="str">
        <f>IF(AND(Table1[[#This Row],[Spec Type2]]="N/A",Table1[[#This Row],[DUT Adj Read]]="N/A",Table1[[#This Row],[Std Adj Read]]="N/A"),"N/A",IF(Table1[[#This Row],[DUT Adj Read]]="N/A",IF(Table1[[#This Row],[Std Adj Read]]&gt;=Table1[[#This Row],[Low Tol]],"Pass","Fail"),IF(Table1[[#This Row],[DUT Adj Read]]&gt;=Table1[[#This Row],[Low Tol]],"Pass","Fail")))</f>
        <v>Pass</v>
      </c>
      <c r="AG1110" s="1" t="str">
        <f>IF(AND(Table1[[#This Row],[Spec Type2]]="N/A",Table1[[#This Row],[DUT Adj Read]]="N/A",Table1[[#This Row],[Std Adj Read]]="N/A"),"N/A",IF(Table1[[#This Row],[DUT Adj Read]]="N/A",IF(Table1[[#This Row],[Std Adj Read]]&lt;=Table1[[#This Row],[High Tol]],"Pass","Fail"),IF(Table1[[#This Row],[DUT Adj Read]]&lt;=Table1[[#This Row],[High Tol]],"Pass","Fail")))</f>
        <v>Fail</v>
      </c>
      <c r="AH11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0" s="1" t="b">
        <v>0</v>
      </c>
      <c r="AN1110" s="1" t="b">
        <v>0</v>
      </c>
      <c r="AO1110" s="1" t="b">
        <v>0</v>
      </c>
    </row>
    <row r="1111" spans="1:41" x14ac:dyDescent="0.25">
      <c r="A1111" s="10"/>
      <c r="B1111" s="10"/>
      <c r="C1111" s="10"/>
      <c r="D1111" s="10"/>
      <c r="E1111" s="10"/>
      <c r="F1111" s="10"/>
      <c r="G1111" s="10"/>
      <c r="H1111" s="10"/>
      <c r="I1111" s="1" t="str">
        <f t="shared" si="51"/>
        <v/>
      </c>
      <c r="J1111" s="1" t="s">
        <v>35</v>
      </c>
      <c r="K1111" s="1" t="str">
        <f t="shared" si="52"/>
        <v/>
      </c>
      <c r="L1111" s="1" t="str">
        <f t="shared" si="53"/>
        <v/>
      </c>
      <c r="M1111" s="1">
        <f>IF(OR(Table1[[#This Row],[Std Nom]]="",Table1[[#This Row],[Std Read]]=""),0,Table1[[#This Row],[Std Nom]]-Table1[[#This Row],[Std Read]])</f>
        <v>0</v>
      </c>
      <c r="N1111" s="1">
        <f>IF(Calculations!$F$5="ACCREDITED 17025 WITH UNCERTAINTIES",$N$10,0)</f>
        <v>0</v>
      </c>
      <c r="Q1111" s="1">
        <f>Table1[[#This Row],[High Tol]]-Table1[[#This Row],[Low Tol]]</f>
        <v>0</v>
      </c>
      <c r="R1111" s="1">
        <f>2*Table1[[#This Row],[Std Error]]</f>
        <v>0</v>
      </c>
      <c r="S1111" s="1" t="str">
        <f>IF(Table1[[#This Row],[High Tol]]="","N/A",IFERROR(ABS(Table1[[#This Row],[Tol Span]]/Table1[[#This Row],[Error Span]]),"N/A"))</f>
        <v>N/A</v>
      </c>
      <c r="T1111" s="1" t="str">
        <f>IF(OR(Table1[[#This Row],[Low Tol]]="",Table1[[#This Row],[High Tol]]=""),"Needs Analysis",IF(Table1[[#This Row],[Ratio]]&gt;=4,"Not Significant",IF(Table1[[#This Row],[Ratio]]&gt;=2,"Semi-Significant","Significant")))</f>
        <v>Needs Analysis</v>
      </c>
      <c r="W1111" s="1">
        <f>IF(Table1[[#This Row],[Cal Type]]&lt;&gt;"ACCREDITED 17025 WITH UNCERTAINTIES",0,"")</f>
        <v>0</v>
      </c>
      <c r="X1111" s="1" t="str">
        <f>IF(Table1[[#This Row],[DUT Read]]="","N/A",Table1[[#This Row],[Std Error]]+Table1[[#This Row],[DUT Read]]+Table1[[#This Row],[DUT Ucty]])</f>
        <v>N/A</v>
      </c>
      <c r="Y1111" s="1" t="str">
        <f>IF(Table1[[#This Row],[Std Read]]="","N/A",Table1[[#This Row],[Std Read]]+Table1[[#This Row],[Std Ucty]])</f>
        <v>N/A</v>
      </c>
      <c r="Z11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1" s="1" t="str">
        <f>IF(Table1[[#This Row],[Spec Type]]="","N/A",Table1[[#This Row],[Spec Type]])</f>
        <v>±</v>
      </c>
      <c r="AC1111" s="1" t="str">
        <f>IF(Table1[[#This Row],[Spec Type2]]="N/A","N/A",IF(AND(Table1[[#This Row],[DUT Adj Read]]&gt;=Table1[[#This Row],[Low Tol]],Table1[[#This Row],[DUT Adj Read]]&lt;=Table1[[#This Row],[High Tol]]),"Pass","Fail"))</f>
        <v>Fail</v>
      </c>
      <c r="AD1111" s="1" t="str">
        <f>IF(AND(Table1[[#This Row],[Spec Type2]]="N/A",Table1[[#This Row],[DUT Adj Read]]="N/A",Table1[[#This Row],[Std Adj Read]]="N/A"),"N/A",IF(Table1[[#This Row],[DUT Adj Read]]="N/A",IF(Table1[[#This Row],[Std Adj Read]]&gt;Table1[[#This Row],[Low Tol]],"Pass","Fail"),IF(Table1[[#This Row],[DUT Adj Read]]&gt;Table1[[#This Row],[Low Tol]],"Pass","Fail")))</f>
        <v>Pass</v>
      </c>
      <c r="AE1111" s="1" t="str">
        <f>IF(AND(Table1[[#This Row],[Spec Type2]]="N/A",Table1[[#This Row],[DUT Adj Read]]="N/A",Table1[[#This Row],[Std Adj Read]]="N/A"),"N/A",IF(Table1[[#This Row],[DUT Adj Read]]="N/A",IF(Table1[[#This Row],[Std Adj Read]]&lt;Table1[[#This Row],[High Tol]],"Pass","Fail"),IF(Table1[[#This Row],[DUT Adj Read]]&lt;Table1[[#This Row],[High Tol]],"Pass","Fail")))</f>
        <v>Fail</v>
      </c>
      <c r="AF1111" s="1" t="str">
        <f>IF(AND(Table1[[#This Row],[Spec Type2]]="N/A",Table1[[#This Row],[DUT Adj Read]]="N/A",Table1[[#This Row],[Std Adj Read]]="N/A"),"N/A",IF(Table1[[#This Row],[DUT Adj Read]]="N/A",IF(Table1[[#This Row],[Std Adj Read]]&gt;=Table1[[#This Row],[Low Tol]],"Pass","Fail"),IF(Table1[[#This Row],[DUT Adj Read]]&gt;=Table1[[#This Row],[Low Tol]],"Pass","Fail")))</f>
        <v>Pass</v>
      </c>
      <c r="AG1111" s="1" t="str">
        <f>IF(AND(Table1[[#This Row],[Spec Type2]]="N/A",Table1[[#This Row],[DUT Adj Read]]="N/A",Table1[[#This Row],[Std Adj Read]]="N/A"),"N/A",IF(Table1[[#This Row],[DUT Adj Read]]="N/A",IF(Table1[[#This Row],[Std Adj Read]]&lt;=Table1[[#This Row],[High Tol]],"Pass","Fail"),IF(Table1[[#This Row],[DUT Adj Read]]&lt;=Table1[[#This Row],[High Tol]],"Pass","Fail")))</f>
        <v>Fail</v>
      </c>
      <c r="AH11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1" s="1" t="b">
        <v>0</v>
      </c>
      <c r="AN1111" s="1" t="b">
        <v>0</v>
      </c>
      <c r="AO1111" s="1" t="b">
        <v>0</v>
      </c>
    </row>
    <row r="1112" spans="1:41" x14ac:dyDescent="0.25">
      <c r="A1112" s="10"/>
      <c r="B1112" s="10"/>
      <c r="C1112" s="10"/>
      <c r="D1112" s="10"/>
      <c r="E1112" s="10"/>
      <c r="F1112" s="10"/>
      <c r="G1112" s="10"/>
      <c r="H1112" s="10"/>
      <c r="I1112" s="1" t="str">
        <f t="shared" si="51"/>
        <v/>
      </c>
      <c r="J1112" s="1" t="s">
        <v>35</v>
      </c>
      <c r="K1112" s="1" t="str">
        <f t="shared" si="52"/>
        <v/>
      </c>
      <c r="L1112" s="1" t="str">
        <f t="shared" si="53"/>
        <v/>
      </c>
      <c r="M1112" s="1">
        <f>IF(OR(Table1[[#This Row],[Std Nom]]="",Table1[[#This Row],[Std Read]]=""),0,Table1[[#This Row],[Std Nom]]-Table1[[#This Row],[Std Read]])</f>
        <v>0</v>
      </c>
      <c r="N1112" s="1">
        <f>IF(Calculations!$F$5="ACCREDITED 17025 WITH UNCERTAINTIES",$N$10,0)</f>
        <v>0</v>
      </c>
      <c r="Q1112" s="1">
        <f>Table1[[#This Row],[High Tol]]-Table1[[#This Row],[Low Tol]]</f>
        <v>0</v>
      </c>
      <c r="R1112" s="1">
        <f>2*Table1[[#This Row],[Std Error]]</f>
        <v>0</v>
      </c>
      <c r="S1112" s="1" t="str">
        <f>IF(Table1[[#This Row],[High Tol]]="","N/A",IFERROR(ABS(Table1[[#This Row],[Tol Span]]/Table1[[#This Row],[Error Span]]),"N/A"))</f>
        <v>N/A</v>
      </c>
      <c r="T1112" s="1" t="str">
        <f>IF(OR(Table1[[#This Row],[Low Tol]]="",Table1[[#This Row],[High Tol]]=""),"Needs Analysis",IF(Table1[[#This Row],[Ratio]]&gt;=4,"Not Significant",IF(Table1[[#This Row],[Ratio]]&gt;=2,"Semi-Significant","Significant")))</f>
        <v>Needs Analysis</v>
      </c>
      <c r="W1112" s="1">
        <f>IF(Table1[[#This Row],[Cal Type]]&lt;&gt;"ACCREDITED 17025 WITH UNCERTAINTIES",0,"")</f>
        <v>0</v>
      </c>
      <c r="X1112" s="1" t="str">
        <f>IF(Table1[[#This Row],[DUT Read]]="","N/A",Table1[[#This Row],[Std Error]]+Table1[[#This Row],[DUT Read]]+Table1[[#This Row],[DUT Ucty]])</f>
        <v>N/A</v>
      </c>
      <c r="Y1112" s="1" t="str">
        <f>IF(Table1[[#This Row],[Std Read]]="","N/A",Table1[[#This Row],[Std Read]]+Table1[[#This Row],[Std Ucty]])</f>
        <v>N/A</v>
      </c>
      <c r="Z11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2" s="1" t="str">
        <f>IF(Table1[[#This Row],[Spec Type]]="","N/A",Table1[[#This Row],[Spec Type]])</f>
        <v>±</v>
      </c>
      <c r="AC1112" s="1" t="str">
        <f>IF(Table1[[#This Row],[Spec Type2]]="N/A","N/A",IF(AND(Table1[[#This Row],[DUT Adj Read]]&gt;=Table1[[#This Row],[Low Tol]],Table1[[#This Row],[DUT Adj Read]]&lt;=Table1[[#This Row],[High Tol]]),"Pass","Fail"))</f>
        <v>Fail</v>
      </c>
      <c r="AD1112" s="1" t="str">
        <f>IF(AND(Table1[[#This Row],[Spec Type2]]="N/A",Table1[[#This Row],[DUT Adj Read]]="N/A",Table1[[#This Row],[Std Adj Read]]="N/A"),"N/A",IF(Table1[[#This Row],[DUT Adj Read]]="N/A",IF(Table1[[#This Row],[Std Adj Read]]&gt;Table1[[#This Row],[Low Tol]],"Pass","Fail"),IF(Table1[[#This Row],[DUT Adj Read]]&gt;Table1[[#This Row],[Low Tol]],"Pass","Fail")))</f>
        <v>Pass</v>
      </c>
      <c r="AE1112" s="1" t="str">
        <f>IF(AND(Table1[[#This Row],[Spec Type2]]="N/A",Table1[[#This Row],[DUT Adj Read]]="N/A",Table1[[#This Row],[Std Adj Read]]="N/A"),"N/A",IF(Table1[[#This Row],[DUT Adj Read]]="N/A",IF(Table1[[#This Row],[Std Adj Read]]&lt;Table1[[#This Row],[High Tol]],"Pass","Fail"),IF(Table1[[#This Row],[DUT Adj Read]]&lt;Table1[[#This Row],[High Tol]],"Pass","Fail")))</f>
        <v>Fail</v>
      </c>
      <c r="AF1112" s="1" t="str">
        <f>IF(AND(Table1[[#This Row],[Spec Type2]]="N/A",Table1[[#This Row],[DUT Adj Read]]="N/A",Table1[[#This Row],[Std Adj Read]]="N/A"),"N/A",IF(Table1[[#This Row],[DUT Adj Read]]="N/A",IF(Table1[[#This Row],[Std Adj Read]]&gt;=Table1[[#This Row],[Low Tol]],"Pass","Fail"),IF(Table1[[#This Row],[DUT Adj Read]]&gt;=Table1[[#This Row],[Low Tol]],"Pass","Fail")))</f>
        <v>Pass</v>
      </c>
      <c r="AG1112" s="1" t="str">
        <f>IF(AND(Table1[[#This Row],[Spec Type2]]="N/A",Table1[[#This Row],[DUT Adj Read]]="N/A",Table1[[#This Row],[Std Adj Read]]="N/A"),"N/A",IF(Table1[[#This Row],[DUT Adj Read]]="N/A",IF(Table1[[#This Row],[Std Adj Read]]&lt;=Table1[[#This Row],[High Tol]],"Pass","Fail"),IF(Table1[[#This Row],[DUT Adj Read]]&lt;=Table1[[#This Row],[High Tol]],"Pass","Fail")))</f>
        <v>Fail</v>
      </c>
      <c r="AH11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2" s="1" t="b">
        <v>0</v>
      </c>
      <c r="AN1112" s="1" t="b">
        <v>0</v>
      </c>
      <c r="AO1112" s="1" t="b">
        <v>0</v>
      </c>
    </row>
    <row r="1113" spans="1:41" x14ac:dyDescent="0.25">
      <c r="A1113" s="10"/>
      <c r="B1113" s="10"/>
      <c r="C1113" s="10"/>
      <c r="D1113" s="10"/>
      <c r="E1113" s="10"/>
      <c r="F1113" s="10"/>
      <c r="G1113" s="10"/>
      <c r="H1113" s="10"/>
      <c r="I1113" s="1" t="str">
        <f t="shared" si="51"/>
        <v/>
      </c>
      <c r="J1113" s="1" t="s">
        <v>35</v>
      </c>
      <c r="K1113" s="1" t="str">
        <f t="shared" si="52"/>
        <v/>
      </c>
      <c r="L1113" s="1" t="str">
        <f t="shared" si="53"/>
        <v/>
      </c>
      <c r="M1113" s="1">
        <f>IF(OR(Table1[[#This Row],[Std Nom]]="",Table1[[#This Row],[Std Read]]=""),0,Table1[[#This Row],[Std Nom]]-Table1[[#This Row],[Std Read]])</f>
        <v>0</v>
      </c>
      <c r="N1113" s="1">
        <f>IF(Calculations!$F$5="ACCREDITED 17025 WITH UNCERTAINTIES",$N$10,0)</f>
        <v>0</v>
      </c>
      <c r="Q1113" s="1">
        <f>Table1[[#This Row],[High Tol]]-Table1[[#This Row],[Low Tol]]</f>
        <v>0</v>
      </c>
      <c r="R1113" s="1">
        <f>2*Table1[[#This Row],[Std Error]]</f>
        <v>0</v>
      </c>
      <c r="S1113" s="1" t="str">
        <f>IF(Table1[[#This Row],[High Tol]]="","N/A",IFERROR(ABS(Table1[[#This Row],[Tol Span]]/Table1[[#This Row],[Error Span]]),"N/A"))</f>
        <v>N/A</v>
      </c>
      <c r="T1113" s="1" t="str">
        <f>IF(OR(Table1[[#This Row],[Low Tol]]="",Table1[[#This Row],[High Tol]]=""),"Needs Analysis",IF(Table1[[#This Row],[Ratio]]&gt;=4,"Not Significant",IF(Table1[[#This Row],[Ratio]]&gt;=2,"Semi-Significant","Significant")))</f>
        <v>Needs Analysis</v>
      </c>
      <c r="W1113" s="1">
        <f>IF(Table1[[#This Row],[Cal Type]]&lt;&gt;"ACCREDITED 17025 WITH UNCERTAINTIES",0,"")</f>
        <v>0</v>
      </c>
      <c r="X1113" s="1" t="str">
        <f>IF(Table1[[#This Row],[DUT Read]]="","N/A",Table1[[#This Row],[Std Error]]+Table1[[#This Row],[DUT Read]]+Table1[[#This Row],[DUT Ucty]])</f>
        <v>N/A</v>
      </c>
      <c r="Y1113" s="1" t="str">
        <f>IF(Table1[[#This Row],[Std Read]]="","N/A",Table1[[#This Row],[Std Read]]+Table1[[#This Row],[Std Ucty]])</f>
        <v>N/A</v>
      </c>
      <c r="Z11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3" s="1" t="str">
        <f>IF(Table1[[#This Row],[Spec Type]]="","N/A",Table1[[#This Row],[Spec Type]])</f>
        <v>±</v>
      </c>
      <c r="AC1113" s="1" t="str">
        <f>IF(Table1[[#This Row],[Spec Type2]]="N/A","N/A",IF(AND(Table1[[#This Row],[DUT Adj Read]]&gt;=Table1[[#This Row],[Low Tol]],Table1[[#This Row],[DUT Adj Read]]&lt;=Table1[[#This Row],[High Tol]]),"Pass","Fail"))</f>
        <v>Fail</v>
      </c>
      <c r="AD1113" s="1" t="str">
        <f>IF(AND(Table1[[#This Row],[Spec Type2]]="N/A",Table1[[#This Row],[DUT Adj Read]]="N/A",Table1[[#This Row],[Std Adj Read]]="N/A"),"N/A",IF(Table1[[#This Row],[DUT Adj Read]]="N/A",IF(Table1[[#This Row],[Std Adj Read]]&gt;Table1[[#This Row],[Low Tol]],"Pass","Fail"),IF(Table1[[#This Row],[DUT Adj Read]]&gt;Table1[[#This Row],[Low Tol]],"Pass","Fail")))</f>
        <v>Pass</v>
      </c>
      <c r="AE1113" s="1" t="str">
        <f>IF(AND(Table1[[#This Row],[Spec Type2]]="N/A",Table1[[#This Row],[DUT Adj Read]]="N/A",Table1[[#This Row],[Std Adj Read]]="N/A"),"N/A",IF(Table1[[#This Row],[DUT Adj Read]]="N/A",IF(Table1[[#This Row],[Std Adj Read]]&lt;Table1[[#This Row],[High Tol]],"Pass","Fail"),IF(Table1[[#This Row],[DUT Adj Read]]&lt;Table1[[#This Row],[High Tol]],"Pass","Fail")))</f>
        <v>Fail</v>
      </c>
      <c r="AF1113" s="1" t="str">
        <f>IF(AND(Table1[[#This Row],[Spec Type2]]="N/A",Table1[[#This Row],[DUT Adj Read]]="N/A",Table1[[#This Row],[Std Adj Read]]="N/A"),"N/A",IF(Table1[[#This Row],[DUT Adj Read]]="N/A",IF(Table1[[#This Row],[Std Adj Read]]&gt;=Table1[[#This Row],[Low Tol]],"Pass","Fail"),IF(Table1[[#This Row],[DUT Adj Read]]&gt;=Table1[[#This Row],[Low Tol]],"Pass","Fail")))</f>
        <v>Pass</v>
      </c>
      <c r="AG1113" s="1" t="str">
        <f>IF(AND(Table1[[#This Row],[Spec Type2]]="N/A",Table1[[#This Row],[DUT Adj Read]]="N/A",Table1[[#This Row],[Std Adj Read]]="N/A"),"N/A",IF(Table1[[#This Row],[DUT Adj Read]]="N/A",IF(Table1[[#This Row],[Std Adj Read]]&lt;=Table1[[#This Row],[High Tol]],"Pass","Fail"),IF(Table1[[#This Row],[DUT Adj Read]]&lt;=Table1[[#This Row],[High Tol]],"Pass","Fail")))</f>
        <v>Fail</v>
      </c>
      <c r="AH11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3" s="1" t="b">
        <v>0</v>
      </c>
      <c r="AN1113" s="1" t="b">
        <v>0</v>
      </c>
      <c r="AO1113" s="1" t="b">
        <v>0</v>
      </c>
    </row>
    <row r="1114" spans="1:41" x14ac:dyDescent="0.25">
      <c r="A1114" s="10"/>
      <c r="B1114" s="10"/>
      <c r="C1114" s="10"/>
      <c r="D1114" s="10"/>
      <c r="E1114" s="10"/>
      <c r="F1114" s="10"/>
      <c r="G1114" s="10"/>
      <c r="H1114" s="10"/>
      <c r="I1114" s="1" t="str">
        <f t="shared" si="51"/>
        <v/>
      </c>
      <c r="J1114" s="1" t="s">
        <v>35</v>
      </c>
      <c r="K1114" s="1" t="str">
        <f t="shared" si="52"/>
        <v/>
      </c>
      <c r="L1114" s="1" t="str">
        <f t="shared" si="53"/>
        <v/>
      </c>
      <c r="M1114" s="1">
        <f>IF(OR(Table1[[#This Row],[Std Nom]]="",Table1[[#This Row],[Std Read]]=""),0,Table1[[#This Row],[Std Nom]]-Table1[[#This Row],[Std Read]])</f>
        <v>0</v>
      </c>
      <c r="N1114" s="1">
        <f>IF(Calculations!$F$5="ACCREDITED 17025 WITH UNCERTAINTIES",$N$10,0)</f>
        <v>0</v>
      </c>
      <c r="Q1114" s="1">
        <f>Table1[[#This Row],[High Tol]]-Table1[[#This Row],[Low Tol]]</f>
        <v>0</v>
      </c>
      <c r="R1114" s="1">
        <f>2*Table1[[#This Row],[Std Error]]</f>
        <v>0</v>
      </c>
      <c r="S1114" s="1" t="str">
        <f>IF(Table1[[#This Row],[High Tol]]="","N/A",IFERROR(ABS(Table1[[#This Row],[Tol Span]]/Table1[[#This Row],[Error Span]]),"N/A"))</f>
        <v>N/A</v>
      </c>
      <c r="T1114" s="1" t="str">
        <f>IF(OR(Table1[[#This Row],[Low Tol]]="",Table1[[#This Row],[High Tol]]=""),"Needs Analysis",IF(Table1[[#This Row],[Ratio]]&gt;=4,"Not Significant",IF(Table1[[#This Row],[Ratio]]&gt;=2,"Semi-Significant","Significant")))</f>
        <v>Needs Analysis</v>
      </c>
      <c r="W1114" s="1">
        <f>IF(Table1[[#This Row],[Cal Type]]&lt;&gt;"ACCREDITED 17025 WITH UNCERTAINTIES",0,"")</f>
        <v>0</v>
      </c>
      <c r="X1114" s="1" t="str">
        <f>IF(Table1[[#This Row],[DUT Read]]="","N/A",Table1[[#This Row],[Std Error]]+Table1[[#This Row],[DUT Read]]+Table1[[#This Row],[DUT Ucty]])</f>
        <v>N/A</v>
      </c>
      <c r="Y1114" s="1" t="str">
        <f>IF(Table1[[#This Row],[Std Read]]="","N/A",Table1[[#This Row],[Std Read]]+Table1[[#This Row],[Std Ucty]])</f>
        <v>N/A</v>
      </c>
      <c r="Z11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4" s="1" t="str">
        <f>IF(Table1[[#This Row],[Spec Type]]="","N/A",Table1[[#This Row],[Spec Type]])</f>
        <v>±</v>
      </c>
      <c r="AC1114" s="1" t="str">
        <f>IF(Table1[[#This Row],[Spec Type2]]="N/A","N/A",IF(AND(Table1[[#This Row],[DUT Adj Read]]&gt;=Table1[[#This Row],[Low Tol]],Table1[[#This Row],[DUT Adj Read]]&lt;=Table1[[#This Row],[High Tol]]),"Pass","Fail"))</f>
        <v>Fail</v>
      </c>
      <c r="AD1114" s="1" t="str">
        <f>IF(AND(Table1[[#This Row],[Spec Type2]]="N/A",Table1[[#This Row],[DUT Adj Read]]="N/A",Table1[[#This Row],[Std Adj Read]]="N/A"),"N/A",IF(Table1[[#This Row],[DUT Adj Read]]="N/A",IF(Table1[[#This Row],[Std Adj Read]]&gt;Table1[[#This Row],[Low Tol]],"Pass","Fail"),IF(Table1[[#This Row],[DUT Adj Read]]&gt;Table1[[#This Row],[Low Tol]],"Pass","Fail")))</f>
        <v>Pass</v>
      </c>
      <c r="AE1114" s="1" t="str">
        <f>IF(AND(Table1[[#This Row],[Spec Type2]]="N/A",Table1[[#This Row],[DUT Adj Read]]="N/A",Table1[[#This Row],[Std Adj Read]]="N/A"),"N/A",IF(Table1[[#This Row],[DUT Adj Read]]="N/A",IF(Table1[[#This Row],[Std Adj Read]]&lt;Table1[[#This Row],[High Tol]],"Pass","Fail"),IF(Table1[[#This Row],[DUT Adj Read]]&lt;Table1[[#This Row],[High Tol]],"Pass","Fail")))</f>
        <v>Fail</v>
      </c>
      <c r="AF1114" s="1" t="str">
        <f>IF(AND(Table1[[#This Row],[Spec Type2]]="N/A",Table1[[#This Row],[DUT Adj Read]]="N/A",Table1[[#This Row],[Std Adj Read]]="N/A"),"N/A",IF(Table1[[#This Row],[DUT Adj Read]]="N/A",IF(Table1[[#This Row],[Std Adj Read]]&gt;=Table1[[#This Row],[Low Tol]],"Pass","Fail"),IF(Table1[[#This Row],[DUT Adj Read]]&gt;=Table1[[#This Row],[Low Tol]],"Pass","Fail")))</f>
        <v>Pass</v>
      </c>
      <c r="AG1114" s="1" t="str">
        <f>IF(AND(Table1[[#This Row],[Spec Type2]]="N/A",Table1[[#This Row],[DUT Adj Read]]="N/A",Table1[[#This Row],[Std Adj Read]]="N/A"),"N/A",IF(Table1[[#This Row],[DUT Adj Read]]="N/A",IF(Table1[[#This Row],[Std Adj Read]]&lt;=Table1[[#This Row],[High Tol]],"Pass","Fail"),IF(Table1[[#This Row],[DUT Adj Read]]&lt;=Table1[[#This Row],[High Tol]],"Pass","Fail")))</f>
        <v>Fail</v>
      </c>
      <c r="AH11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4" s="1" t="b">
        <v>0</v>
      </c>
      <c r="AN1114" s="1" t="b">
        <v>0</v>
      </c>
      <c r="AO1114" s="1" t="b">
        <v>0</v>
      </c>
    </row>
    <row r="1115" spans="1:41" x14ac:dyDescent="0.25">
      <c r="A1115" s="10"/>
      <c r="B1115" s="10"/>
      <c r="C1115" s="10"/>
      <c r="D1115" s="10"/>
      <c r="E1115" s="10"/>
      <c r="F1115" s="10"/>
      <c r="G1115" s="10"/>
      <c r="H1115" s="10"/>
      <c r="I1115" s="1" t="str">
        <f t="shared" si="51"/>
        <v/>
      </c>
      <c r="J1115" s="1" t="s">
        <v>35</v>
      </c>
      <c r="K1115" s="1" t="str">
        <f t="shared" si="52"/>
        <v/>
      </c>
      <c r="L1115" s="1" t="str">
        <f t="shared" si="53"/>
        <v/>
      </c>
      <c r="M1115" s="1">
        <f>IF(OR(Table1[[#This Row],[Std Nom]]="",Table1[[#This Row],[Std Read]]=""),0,Table1[[#This Row],[Std Nom]]-Table1[[#This Row],[Std Read]])</f>
        <v>0</v>
      </c>
      <c r="N1115" s="1">
        <f>IF(Calculations!$F$5="ACCREDITED 17025 WITH UNCERTAINTIES",$N$10,0)</f>
        <v>0</v>
      </c>
      <c r="Q1115" s="1">
        <f>Table1[[#This Row],[High Tol]]-Table1[[#This Row],[Low Tol]]</f>
        <v>0</v>
      </c>
      <c r="R1115" s="1">
        <f>2*Table1[[#This Row],[Std Error]]</f>
        <v>0</v>
      </c>
      <c r="S1115" s="1" t="str">
        <f>IF(Table1[[#This Row],[High Tol]]="","N/A",IFERROR(ABS(Table1[[#This Row],[Tol Span]]/Table1[[#This Row],[Error Span]]),"N/A"))</f>
        <v>N/A</v>
      </c>
      <c r="T1115" s="1" t="str">
        <f>IF(OR(Table1[[#This Row],[Low Tol]]="",Table1[[#This Row],[High Tol]]=""),"Needs Analysis",IF(Table1[[#This Row],[Ratio]]&gt;=4,"Not Significant",IF(Table1[[#This Row],[Ratio]]&gt;=2,"Semi-Significant","Significant")))</f>
        <v>Needs Analysis</v>
      </c>
      <c r="W1115" s="1">
        <f>IF(Table1[[#This Row],[Cal Type]]&lt;&gt;"ACCREDITED 17025 WITH UNCERTAINTIES",0,"")</f>
        <v>0</v>
      </c>
      <c r="X1115" s="1" t="str">
        <f>IF(Table1[[#This Row],[DUT Read]]="","N/A",Table1[[#This Row],[Std Error]]+Table1[[#This Row],[DUT Read]]+Table1[[#This Row],[DUT Ucty]])</f>
        <v>N/A</v>
      </c>
      <c r="Y1115" s="1" t="str">
        <f>IF(Table1[[#This Row],[Std Read]]="","N/A",Table1[[#This Row],[Std Read]]+Table1[[#This Row],[Std Ucty]])</f>
        <v>N/A</v>
      </c>
      <c r="Z11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5" s="1" t="str">
        <f>IF(Table1[[#This Row],[Spec Type]]="","N/A",Table1[[#This Row],[Spec Type]])</f>
        <v>±</v>
      </c>
      <c r="AC1115" s="1" t="str">
        <f>IF(Table1[[#This Row],[Spec Type2]]="N/A","N/A",IF(AND(Table1[[#This Row],[DUT Adj Read]]&gt;=Table1[[#This Row],[Low Tol]],Table1[[#This Row],[DUT Adj Read]]&lt;=Table1[[#This Row],[High Tol]]),"Pass","Fail"))</f>
        <v>Fail</v>
      </c>
      <c r="AD1115" s="1" t="str">
        <f>IF(AND(Table1[[#This Row],[Spec Type2]]="N/A",Table1[[#This Row],[DUT Adj Read]]="N/A",Table1[[#This Row],[Std Adj Read]]="N/A"),"N/A",IF(Table1[[#This Row],[DUT Adj Read]]="N/A",IF(Table1[[#This Row],[Std Adj Read]]&gt;Table1[[#This Row],[Low Tol]],"Pass","Fail"),IF(Table1[[#This Row],[DUT Adj Read]]&gt;Table1[[#This Row],[Low Tol]],"Pass","Fail")))</f>
        <v>Pass</v>
      </c>
      <c r="AE1115" s="1" t="str">
        <f>IF(AND(Table1[[#This Row],[Spec Type2]]="N/A",Table1[[#This Row],[DUT Adj Read]]="N/A",Table1[[#This Row],[Std Adj Read]]="N/A"),"N/A",IF(Table1[[#This Row],[DUT Adj Read]]="N/A",IF(Table1[[#This Row],[Std Adj Read]]&lt;Table1[[#This Row],[High Tol]],"Pass","Fail"),IF(Table1[[#This Row],[DUT Adj Read]]&lt;Table1[[#This Row],[High Tol]],"Pass","Fail")))</f>
        <v>Fail</v>
      </c>
      <c r="AF1115" s="1" t="str">
        <f>IF(AND(Table1[[#This Row],[Spec Type2]]="N/A",Table1[[#This Row],[DUT Adj Read]]="N/A",Table1[[#This Row],[Std Adj Read]]="N/A"),"N/A",IF(Table1[[#This Row],[DUT Adj Read]]="N/A",IF(Table1[[#This Row],[Std Adj Read]]&gt;=Table1[[#This Row],[Low Tol]],"Pass","Fail"),IF(Table1[[#This Row],[DUT Adj Read]]&gt;=Table1[[#This Row],[Low Tol]],"Pass","Fail")))</f>
        <v>Pass</v>
      </c>
      <c r="AG1115" s="1" t="str">
        <f>IF(AND(Table1[[#This Row],[Spec Type2]]="N/A",Table1[[#This Row],[DUT Adj Read]]="N/A",Table1[[#This Row],[Std Adj Read]]="N/A"),"N/A",IF(Table1[[#This Row],[DUT Adj Read]]="N/A",IF(Table1[[#This Row],[Std Adj Read]]&lt;=Table1[[#This Row],[High Tol]],"Pass","Fail"),IF(Table1[[#This Row],[DUT Adj Read]]&lt;=Table1[[#This Row],[High Tol]],"Pass","Fail")))</f>
        <v>Fail</v>
      </c>
      <c r="AH11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5" s="1" t="b">
        <v>0</v>
      </c>
      <c r="AN1115" s="1" t="b">
        <v>0</v>
      </c>
      <c r="AO1115" s="1" t="b">
        <v>0</v>
      </c>
    </row>
    <row r="1116" spans="1:41" x14ac:dyDescent="0.25">
      <c r="A1116" s="10"/>
      <c r="B1116" s="10"/>
      <c r="C1116" s="10"/>
      <c r="D1116" s="10"/>
      <c r="E1116" s="10"/>
      <c r="F1116" s="10"/>
      <c r="G1116" s="10"/>
      <c r="H1116" s="10"/>
      <c r="I1116" s="1" t="str">
        <f t="shared" si="51"/>
        <v/>
      </c>
      <c r="J1116" s="1" t="s">
        <v>35</v>
      </c>
      <c r="K1116" s="1" t="str">
        <f t="shared" si="52"/>
        <v/>
      </c>
      <c r="L1116" s="1" t="str">
        <f t="shared" si="53"/>
        <v/>
      </c>
      <c r="M1116" s="1">
        <f>IF(OR(Table1[[#This Row],[Std Nom]]="",Table1[[#This Row],[Std Read]]=""),0,Table1[[#This Row],[Std Nom]]-Table1[[#This Row],[Std Read]])</f>
        <v>0</v>
      </c>
      <c r="N1116" s="1">
        <f>IF(Calculations!$F$5="ACCREDITED 17025 WITH UNCERTAINTIES",$N$10,0)</f>
        <v>0</v>
      </c>
      <c r="Q1116" s="1">
        <f>Table1[[#This Row],[High Tol]]-Table1[[#This Row],[Low Tol]]</f>
        <v>0</v>
      </c>
      <c r="R1116" s="1">
        <f>2*Table1[[#This Row],[Std Error]]</f>
        <v>0</v>
      </c>
      <c r="S1116" s="1" t="str">
        <f>IF(Table1[[#This Row],[High Tol]]="","N/A",IFERROR(ABS(Table1[[#This Row],[Tol Span]]/Table1[[#This Row],[Error Span]]),"N/A"))</f>
        <v>N/A</v>
      </c>
      <c r="T1116" s="1" t="str">
        <f>IF(OR(Table1[[#This Row],[Low Tol]]="",Table1[[#This Row],[High Tol]]=""),"Needs Analysis",IF(Table1[[#This Row],[Ratio]]&gt;=4,"Not Significant",IF(Table1[[#This Row],[Ratio]]&gt;=2,"Semi-Significant","Significant")))</f>
        <v>Needs Analysis</v>
      </c>
      <c r="W1116" s="1">
        <f>IF(Table1[[#This Row],[Cal Type]]&lt;&gt;"ACCREDITED 17025 WITH UNCERTAINTIES",0,"")</f>
        <v>0</v>
      </c>
      <c r="X1116" s="1" t="str">
        <f>IF(Table1[[#This Row],[DUT Read]]="","N/A",Table1[[#This Row],[Std Error]]+Table1[[#This Row],[DUT Read]]+Table1[[#This Row],[DUT Ucty]])</f>
        <v>N/A</v>
      </c>
      <c r="Y1116" s="1" t="str">
        <f>IF(Table1[[#This Row],[Std Read]]="","N/A",Table1[[#This Row],[Std Read]]+Table1[[#This Row],[Std Ucty]])</f>
        <v>N/A</v>
      </c>
      <c r="Z11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6" s="1" t="str">
        <f>IF(Table1[[#This Row],[Spec Type]]="","N/A",Table1[[#This Row],[Spec Type]])</f>
        <v>±</v>
      </c>
      <c r="AC1116" s="1" t="str">
        <f>IF(Table1[[#This Row],[Spec Type2]]="N/A","N/A",IF(AND(Table1[[#This Row],[DUT Adj Read]]&gt;=Table1[[#This Row],[Low Tol]],Table1[[#This Row],[DUT Adj Read]]&lt;=Table1[[#This Row],[High Tol]]),"Pass","Fail"))</f>
        <v>Fail</v>
      </c>
      <c r="AD1116" s="1" t="str">
        <f>IF(AND(Table1[[#This Row],[Spec Type2]]="N/A",Table1[[#This Row],[DUT Adj Read]]="N/A",Table1[[#This Row],[Std Adj Read]]="N/A"),"N/A",IF(Table1[[#This Row],[DUT Adj Read]]="N/A",IF(Table1[[#This Row],[Std Adj Read]]&gt;Table1[[#This Row],[Low Tol]],"Pass","Fail"),IF(Table1[[#This Row],[DUT Adj Read]]&gt;Table1[[#This Row],[Low Tol]],"Pass","Fail")))</f>
        <v>Pass</v>
      </c>
      <c r="AE1116" s="1" t="str">
        <f>IF(AND(Table1[[#This Row],[Spec Type2]]="N/A",Table1[[#This Row],[DUT Adj Read]]="N/A",Table1[[#This Row],[Std Adj Read]]="N/A"),"N/A",IF(Table1[[#This Row],[DUT Adj Read]]="N/A",IF(Table1[[#This Row],[Std Adj Read]]&lt;Table1[[#This Row],[High Tol]],"Pass","Fail"),IF(Table1[[#This Row],[DUT Adj Read]]&lt;Table1[[#This Row],[High Tol]],"Pass","Fail")))</f>
        <v>Fail</v>
      </c>
      <c r="AF1116" s="1" t="str">
        <f>IF(AND(Table1[[#This Row],[Spec Type2]]="N/A",Table1[[#This Row],[DUT Adj Read]]="N/A",Table1[[#This Row],[Std Adj Read]]="N/A"),"N/A",IF(Table1[[#This Row],[DUT Adj Read]]="N/A",IF(Table1[[#This Row],[Std Adj Read]]&gt;=Table1[[#This Row],[Low Tol]],"Pass","Fail"),IF(Table1[[#This Row],[DUT Adj Read]]&gt;=Table1[[#This Row],[Low Tol]],"Pass","Fail")))</f>
        <v>Pass</v>
      </c>
      <c r="AG1116" s="1" t="str">
        <f>IF(AND(Table1[[#This Row],[Spec Type2]]="N/A",Table1[[#This Row],[DUT Adj Read]]="N/A",Table1[[#This Row],[Std Adj Read]]="N/A"),"N/A",IF(Table1[[#This Row],[DUT Adj Read]]="N/A",IF(Table1[[#This Row],[Std Adj Read]]&lt;=Table1[[#This Row],[High Tol]],"Pass","Fail"),IF(Table1[[#This Row],[DUT Adj Read]]&lt;=Table1[[#This Row],[High Tol]],"Pass","Fail")))</f>
        <v>Fail</v>
      </c>
      <c r="AH11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6" s="1" t="b">
        <v>0</v>
      </c>
      <c r="AN1116" s="1" t="b">
        <v>0</v>
      </c>
      <c r="AO1116" s="1" t="b">
        <v>0</v>
      </c>
    </row>
    <row r="1117" spans="1:41" x14ac:dyDescent="0.25">
      <c r="A1117" s="10"/>
      <c r="B1117" s="10"/>
      <c r="C1117" s="10"/>
      <c r="D1117" s="10"/>
      <c r="E1117" s="10"/>
      <c r="F1117" s="10"/>
      <c r="G1117" s="10"/>
      <c r="H1117" s="10"/>
      <c r="I1117" s="1" t="str">
        <f t="shared" si="51"/>
        <v/>
      </c>
      <c r="J1117" s="1" t="s">
        <v>35</v>
      </c>
      <c r="K1117" s="1" t="str">
        <f t="shared" si="52"/>
        <v/>
      </c>
      <c r="L1117" s="1" t="str">
        <f t="shared" si="53"/>
        <v/>
      </c>
      <c r="M1117" s="1">
        <f>IF(OR(Table1[[#This Row],[Std Nom]]="",Table1[[#This Row],[Std Read]]=""),0,Table1[[#This Row],[Std Nom]]-Table1[[#This Row],[Std Read]])</f>
        <v>0</v>
      </c>
      <c r="N1117" s="1">
        <f>IF(Calculations!$F$5="ACCREDITED 17025 WITH UNCERTAINTIES",$N$10,0)</f>
        <v>0</v>
      </c>
      <c r="Q1117" s="1">
        <f>Table1[[#This Row],[High Tol]]-Table1[[#This Row],[Low Tol]]</f>
        <v>0</v>
      </c>
      <c r="R1117" s="1">
        <f>2*Table1[[#This Row],[Std Error]]</f>
        <v>0</v>
      </c>
      <c r="S1117" s="1" t="str">
        <f>IF(Table1[[#This Row],[High Tol]]="","N/A",IFERROR(ABS(Table1[[#This Row],[Tol Span]]/Table1[[#This Row],[Error Span]]),"N/A"))</f>
        <v>N/A</v>
      </c>
      <c r="T1117" s="1" t="str">
        <f>IF(OR(Table1[[#This Row],[Low Tol]]="",Table1[[#This Row],[High Tol]]=""),"Needs Analysis",IF(Table1[[#This Row],[Ratio]]&gt;=4,"Not Significant",IF(Table1[[#This Row],[Ratio]]&gt;=2,"Semi-Significant","Significant")))</f>
        <v>Needs Analysis</v>
      </c>
      <c r="W1117" s="1">
        <f>IF(Table1[[#This Row],[Cal Type]]&lt;&gt;"ACCREDITED 17025 WITH UNCERTAINTIES",0,"")</f>
        <v>0</v>
      </c>
      <c r="X1117" s="1" t="str">
        <f>IF(Table1[[#This Row],[DUT Read]]="","N/A",Table1[[#This Row],[Std Error]]+Table1[[#This Row],[DUT Read]]+Table1[[#This Row],[DUT Ucty]])</f>
        <v>N/A</v>
      </c>
      <c r="Y1117" s="1" t="str">
        <f>IF(Table1[[#This Row],[Std Read]]="","N/A",Table1[[#This Row],[Std Read]]+Table1[[#This Row],[Std Ucty]])</f>
        <v>N/A</v>
      </c>
      <c r="Z11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7" s="1" t="str">
        <f>IF(Table1[[#This Row],[Spec Type]]="","N/A",Table1[[#This Row],[Spec Type]])</f>
        <v>±</v>
      </c>
      <c r="AC1117" s="1" t="str">
        <f>IF(Table1[[#This Row],[Spec Type2]]="N/A","N/A",IF(AND(Table1[[#This Row],[DUT Adj Read]]&gt;=Table1[[#This Row],[Low Tol]],Table1[[#This Row],[DUT Adj Read]]&lt;=Table1[[#This Row],[High Tol]]),"Pass","Fail"))</f>
        <v>Fail</v>
      </c>
      <c r="AD1117" s="1" t="str">
        <f>IF(AND(Table1[[#This Row],[Spec Type2]]="N/A",Table1[[#This Row],[DUT Adj Read]]="N/A",Table1[[#This Row],[Std Adj Read]]="N/A"),"N/A",IF(Table1[[#This Row],[DUT Adj Read]]="N/A",IF(Table1[[#This Row],[Std Adj Read]]&gt;Table1[[#This Row],[Low Tol]],"Pass","Fail"),IF(Table1[[#This Row],[DUT Adj Read]]&gt;Table1[[#This Row],[Low Tol]],"Pass","Fail")))</f>
        <v>Pass</v>
      </c>
      <c r="AE1117" s="1" t="str">
        <f>IF(AND(Table1[[#This Row],[Spec Type2]]="N/A",Table1[[#This Row],[DUT Adj Read]]="N/A",Table1[[#This Row],[Std Adj Read]]="N/A"),"N/A",IF(Table1[[#This Row],[DUT Adj Read]]="N/A",IF(Table1[[#This Row],[Std Adj Read]]&lt;Table1[[#This Row],[High Tol]],"Pass","Fail"),IF(Table1[[#This Row],[DUT Adj Read]]&lt;Table1[[#This Row],[High Tol]],"Pass","Fail")))</f>
        <v>Fail</v>
      </c>
      <c r="AF1117" s="1" t="str">
        <f>IF(AND(Table1[[#This Row],[Spec Type2]]="N/A",Table1[[#This Row],[DUT Adj Read]]="N/A",Table1[[#This Row],[Std Adj Read]]="N/A"),"N/A",IF(Table1[[#This Row],[DUT Adj Read]]="N/A",IF(Table1[[#This Row],[Std Adj Read]]&gt;=Table1[[#This Row],[Low Tol]],"Pass","Fail"),IF(Table1[[#This Row],[DUT Adj Read]]&gt;=Table1[[#This Row],[Low Tol]],"Pass","Fail")))</f>
        <v>Pass</v>
      </c>
      <c r="AG1117" s="1" t="str">
        <f>IF(AND(Table1[[#This Row],[Spec Type2]]="N/A",Table1[[#This Row],[DUT Adj Read]]="N/A",Table1[[#This Row],[Std Adj Read]]="N/A"),"N/A",IF(Table1[[#This Row],[DUT Adj Read]]="N/A",IF(Table1[[#This Row],[Std Adj Read]]&lt;=Table1[[#This Row],[High Tol]],"Pass","Fail"),IF(Table1[[#This Row],[DUT Adj Read]]&lt;=Table1[[#This Row],[High Tol]],"Pass","Fail")))</f>
        <v>Fail</v>
      </c>
      <c r="AH11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7" s="1" t="b">
        <v>0</v>
      </c>
      <c r="AN1117" s="1" t="b">
        <v>0</v>
      </c>
      <c r="AO1117" s="1" t="b">
        <v>0</v>
      </c>
    </row>
    <row r="1118" spans="1:41" x14ac:dyDescent="0.25">
      <c r="A1118" s="10"/>
      <c r="B1118" s="10"/>
      <c r="C1118" s="10"/>
      <c r="D1118" s="10"/>
      <c r="E1118" s="10"/>
      <c r="F1118" s="10"/>
      <c r="G1118" s="10"/>
      <c r="H1118" s="10"/>
      <c r="I1118" s="1" t="str">
        <f t="shared" si="51"/>
        <v/>
      </c>
      <c r="J1118" s="1" t="s">
        <v>35</v>
      </c>
      <c r="K1118" s="1" t="str">
        <f t="shared" si="52"/>
        <v/>
      </c>
      <c r="L1118" s="1" t="str">
        <f t="shared" si="53"/>
        <v/>
      </c>
      <c r="M1118" s="1">
        <f>IF(OR(Table1[[#This Row],[Std Nom]]="",Table1[[#This Row],[Std Read]]=""),0,Table1[[#This Row],[Std Nom]]-Table1[[#This Row],[Std Read]])</f>
        <v>0</v>
      </c>
      <c r="N1118" s="1">
        <f>IF(Calculations!$F$5="ACCREDITED 17025 WITH UNCERTAINTIES",$N$10,0)</f>
        <v>0</v>
      </c>
      <c r="Q1118" s="1">
        <f>Table1[[#This Row],[High Tol]]-Table1[[#This Row],[Low Tol]]</f>
        <v>0</v>
      </c>
      <c r="R1118" s="1">
        <f>2*Table1[[#This Row],[Std Error]]</f>
        <v>0</v>
      </c>
      <c r="S1118" s="1" t="str">
        <f>IF(Table1[[#This Row],[High Tol]]="","N/A",IFERROR(ABS(Table1[[#This Row],[Tol Span]]/Table1[[#This Row],[Error Span]]),"N/A"))</f>
        <v>N/A</v>
      </c>
      <c r="T1118" s="1" t="str">
        <f>IF(OR(Table1[[#This Row],[Low Tol]]="",Table1[[#This Row],[High Tol]]=""),"Needs Analysis",IF(Table1[[#This Row],[Ratio]]&gt;=4,"Not Significant",IF(Table1[[#This Row],[Ratio]]&gt;=2,"Semi-Significant","Significant")))</f>
        <v>Needs Analysis</v>
      </c>
      <c r="W1118" s="1">
        <f>IF(Table1[[#This Row],[Cal Type]]&lt;&gt;"ACCREDITED 17025 WITH UNCERTAINTIES",0,"")</f>
        <v>0</v>
      </c>
      <c r="X1118" s="1" t="str">
        <f>IF(Table1[[#This Row],[DUT Read]]="","N/A",Table1[[#This Row],[Std Error]]+Table1[[#This Row],[DUT Read]]+Table1[[#This Row],[DUT Ucty]])</f>
        <v>N/A</v>
      </c>
      <c r="Y1118" s="1" t="str">
        <f>IF(Table1[[#This Row],[Std Read]]="","N/A",Table1[[#This Row],[Std Read]]+Table1[[#This Row],[Std Ucty]])</f>
        <v>N/A</v>
      </c>
      <c r="Z11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8" s="1" t="str">
        <f>IF(Table1[[#This Row],[Spec Type]]="","N/A",Table1[[#This Row],[Spec Type]])</f>
        <v>±</v>
      </c>
      <c r="AC1118" s="1" t="str">
        <f>IF(Table1[[#This Row],[Spec Type2]]="N/A","N/A",IF(AND(Table1[[#This Row],[DUT Adj Read]]&gt;=Table1[[#This Row],[Low Tol]],Table1[[#This Row],[DUT Adj Read]]&lt;=Table1[[#This Row],[High Tol]]),"Pass","Fail"))</f>
        <v>Fail</v>
      </c>
      <c r="AD1118" s="1" t="str">
        <f>IF(AND(Table1[[#This Row],[Spec Type2]]="N/A",Table1[[#This Row],[DUT Adj Read]]="N/A",Table1[[#This Row],[Std Adj Read]]="N/A"),"N/A",IF(Table1[[#This Row],[DUT Adj Read]]="N/A",IF(Table1[[#This Row],[Std Adj Read]]&gt;Table1[[#This Row],[Low Tol]],"Pass","Fail"),IF(Table1[[#This Row],[DUT Adj Read]]&gt;Table1[[#This Row],[Low Tol]],"Pass","Fail")))</f>
        <v>Pass</v>
      </c>
      <c r="AE1118" s="1" t="str">
        <f>IF(AND(Table1[[#This Row],[Spec Type2]]="N/A",Table1[[#This Row],[DUT Adj Read]]="N/A",Table1[[#This Row],[Std Adj Read]]="N/A"),"N/A",IF(Table1[[#This Row],[DUT Adj Read]]="N/A",IF(Table1[[#This Row],[Std Adj Read]]&lt;Table1[[#This Row],[High Tol]],"Pass","Fail"),IF(Table1[[#This Row],[DUT Adj Read]]&lt;Table1[[#This Row],[High Tol]],"Pass","Fail")))</f>
        <v>Fail</v>
      </c>
      <c r="AF1118" s="1" t="str">
        <f>IF(AND(Table1[[#This Row],[Spec Type2]]="N/A",Table1[[#This Row],[DUT Adj Read]]="N/A",Table1[[#This Row],[Std Adj Read]]="N/A"),"N/A",IF(Table1[[#This Row],[DUT Adj Read]]="N/A",IF(Table1[[#This Row],[Std Adj Read]]&gt;=Table1[[#This Row],[Low Tol]],"Pass","Fail"),IF(Table1[[#This Row],[DUT Adj Read]]&gt;=Table1[[#This Row],[Low Tol]],"Pass","Fail")))</f>
        <v>Pass</v>
      </c>
      <c r="AG1118" s="1" t="str">
        <f>IF(AND(Table1[[#This Row],[Spec Type2]]="N/A",Table1[[#This Row],[DUT Adj Read]]="N/A",Table1[[#This Row],[Std Adj Read]]="N/A"),"N/A",IF(Table1[[#This Row],[DUT Adj Read]]="N/A",IF(Table1[[#This Row],[Std Adj Read]]&lt;=Table1[[#This Row],[High Tol]],"Pass","Fail"),IF(Table1[[#This Row],[DUT Adj Read]]&lt;=Table1[[#This Row],[High Tol]],"Pass","Fail")))</f>
        <v>Fail</v>
      </c>
      <c r="AH11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8" s="1" t="b">
        <v>0</v>
      </c>
      <c r="AN1118" s="1" t="b">
        <v>0</v>
      </c>
      <c r="AO1118" s="1" t="b">
        <v>0</v>
      </c>
    </row>
    <row r="1119" spans="1:41" x14ac:dyDescent="0.25">
      <c r="A1119" s="10"/>
      <c r="B1119" s="10"/>
      <c r="C1119" s="10"/>
      <c r="D1119" s="10"/>
      <c r="E1119" s="10"/>
      <c r="F1119" s="10"/>
      <c r="G1119" s="10"/>
      <c r="H1119" s="10"/>
      <c r="I1119" s="1" t="str">
        <f t="shared" si="51"/>
        <v/>
      </c>
      <c r="J1119" s="1" t="s">
        <v>35</v>
      </c>
      <c r="K1119" s="1" t="str">
        <f t="shared" si="52"/>
        <v/>
      </c>
      <c r="L1119" s="1" t="str">
        <f t="shared" si="53"/>
        <v/>
      </c>
      <c r="M1119" s="1">
        <f>IF(OR(Table1[[#This Row],[Std Nom]]="",Table1[[#This Row],[Std Read]]=""),0,Table1[[#This Row],[Std Nom]]-Table1[[#This Row],[Std Read]])</f>
        <v>0</v>
      </c>
      <c r="N1119" s="1">
        <f>IF(Calculations!$F$5="ACCREDITED 17025 WITH UNCERTAINTIES",$N$10,0)</f>
        <v>0</v>
      </c>
      <c r="Q1119" s="1">
        <f>Table1[[#This Row],[High Tol]]-Table1[[#This Row],[Low Tol]]</f>
        <v>0</v>
      </c>
      <c r="R1119" s="1">
        <f>2*Table1[[#This Row],[Std Error]]</f>
        <v>0</v>
      </c>
      <c r="S1119" s="1" t="str">
        <f>IF(Table1[[#This Row],[High Tol]]="","N/A",IFERROR(ABS(Table1[[#This Row],[Tol Span]]/Table1[[#This Row],[Error Span]]),"N/A"))</f>
        <v>N/A</v>
      </c>
      <c r="T1119" s="1" t="str">
        <f>IF(OR(Table1[[#This Row],[Low Tol]]="",Table1[[#This Row],[High Tol]]=""),"Needs Analysis",IF(Table1[[#This Row],[Ratio]]&gt;=4,"Not Significant",IF(Table1[[#This Row],[Ratio]]&gt;=2,"Semi-Significant","Significant")))</f>
        <v>Needs Analysis</v>
      </c>
      <c r="W1119" s="1">
        <f>IF(Table1[[#This Row],[Cal Type]]&lt;&gt;"ACCREDITED 17025 WITH UNCERTAINTIES",0,"")</f>
        <v>0</v>
      </c>
      <c r="X1119" s="1" t="str">
        <f>IF(Table1[[#This Row],[DUT Read]]="","N/A",Table1[[#This Row],[Std Error]]+Table1[[#This Row],[DUT Read]]+Table1[[#This Row],[DUT Ucty]])</f>
        <v>N/A</v>
      </c>
      <c r="Y1119" s="1" t="str">
        <f>IF(Table1[[#This Row],[Std Read]]="","N/A",Table1[[#This Row],[Std Read]]+Table1[[#This Row],[Std Ucty]])</f>
        <v>N/A</v>
      </c>
      <c r="Z11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19" s="1" t="str">
        <f>IF(Table1[[#This Row],[Spec Type]]="","N/A",Table1[[#This Row],[Spec Type]])</f>
        <v>±</v>
      </c>
      <c r="AC1119" s="1" t="str">
        <f>IF(Table1[[#This Row],[Spec Type2]]="N/A","N/A",IF(AND(Table1[[#This Row],[DUT Adj Read]]&gt;=Table1[[#This Row],[Low Tol]],Table1[[#This Row],[DUT Adj Read]]&lt;=Table1[[#This Row],[High Tol]]),"Pass","Fail"))</f>
        <v>Fail</v>
      </c>
      <c r="AD1119" s="1" t="str">
        <f>IF(AND(Table1[[#This Row],[Spec Type2]]="N/A",Table1[[#This Row],[DUT Adj Read]]="N/A",Table1[[#This Row],[Std Adj Read]]="N/A"),"N/A",IF(Table1[[#This Row],[DUT Adj Read]]="N/A",IF(Table1[[#This Row],[Std Adj Read]]&gt;Table1[[#This Row],[Low Tol]],"Pass","Fail"),IF(Table1[[#This Row],[DUT Adj Read]]&gt;Table1[[#This Row],[Low Tol]],"Pass","Fail")))</f>
        <v>Pass</v>
      </c>
      <c r="AE1119" s="1" t="str">
        <f>IF(AND(Table1[[#This Row],[Spec Type2]]="N/A",Table1[[#This Row],[DUT Adj Read]]="N/A",Table1[[#This Row],[Std Adj Read]]="N/A"),"N/A",IF(Table1[[#This Row],[DUT Adj Read]]="N/A",IF(Table1[[#This Row],[Std Adj Read]]&lt;Table1[[#This Row],[High Tol]],"Pass","Fail"),IF(Table1[[#This Row],[DUT Adj Read]]&lt;Table1[[#This Row],[High Tol]],"Pass","Fail")))</f>
        <v>Fail</v>
      </c>
      <c r="AF1119" s="1" t="str">
        <f>IF(AND(Table1[[#This Row],[Spec Type2]]="N/A",Table1[[#This Row],[DUT Adj Read]]="N/A",Table1[[#This Row],[Std Adj Read]]="N/A"),"N/A",IF(Table1[[#This Row],[DUT Adj Read]]="N/A",IF(Table1[[#This Row],[Std Adj Read]]&gt;=Table1[[#This Row],[Low Tol]],"Pass","Fail"),IF(Table1[[#This Row],[DUT Adj Read]]&gt;=Table1[[#This Row],[Low Tol]],"Pass","Fail")))</f>
        <v>Pass</v>
      </c>
      <c r="AG1119" s="1" t="str">
        <f>IF(AND(Table1[[#This Row],[Spec Type2]]="N/A",Table1[[#This Row],[DUT Adj Read]]="N/A",Table1[[#This Row],[Std Adj Read]]="N/A"),"N/A",IF(Table1[[#This Row],[DUT Adj Read]]="N/A",IF(Table1[[#This Row],[Std Adj Read]]&lt;=Table1[[#This Row],[High Tol]],"Pass","Fail"),IF(Table1[[#This Row],[DUT Adj Read]]&lt;=Table1[[#This Row],[High Tol]],"Pass","Fail")))</f>
        <v>Fail</v>
      </c>
      <c r="AH11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19" s="1" t="b">
        <v>0</v>
      </c>
      <c r="AN1119" s="1" t="b">
        <v>0</v>
      </c>
      <c r="AO1119" s="1" t="b">
        <v>0</v>
      </c>
    </row>
    <row r="1120" spans="1:41" x14ac:dyDescent="0.25">
      <c r="A1120" s="10"/>
      <c r="B1120" s="10"/>
      <c r="C1120" s="10"/>
      <c r="D1120" s="10"/>
      <c r="E1120" s="10"/>
      <c r="F1120" s="10"/>
      <c r="G1120" s="10"/>
      <c r="H1120" s="10"/>
      <c r="I1120" s="1" t="str">
        <f t="shared" si="51"/>
        <v/>
      </c>
      <c r="J1120" s="1" t="s">
        <v>35</v>
      </c>
      <c r="K1120" s="1" t="str">
        <f t="shared" si="52"/>
        <v/>
      </c>
      <c r="L1120" s="1" t="str">
        <f t="shared" si="53"/>
        <v/>
      </c>
      <c r="M1120" s="1">
        <f>IF(OR(Table1[[#This Row],[Std Nom]]="",Table1[[#This Row],[Std Read]]=""),0,Table1[[#This Row],[Std Nom]]-Table1[[#This Row],[Std Read]])</f>
        <v>0</v>
      </c>
      <c r="N1120" s="1">
        <f>IF(Calculations!$F$5="ACCREDITED 17025 WITH UNCERTAINTIES",$N$10,0)</f>
        <v>0</v>
      </c>
      <c r="Q1120" s="1">
        <f>Table1[[#This Row],[High Tol]]-Table1[[#This Row],[Low Tol]]</f>
        <v>0</v>
      </c>
      <c r="R1120" s="1">
        <f>2*Table1[[#This Row],[Std Error]]</f>
        <v>0</v>
      </c>
      <c r="S1120" s="1" t="str">
        <f>IF(Table1[[#This Row],[High Tol]]="","N/A",IFERROR(ABS(Table1[[#This Row],[Tol Span]]/Table1[[#This Row],[Error Span]]),"N/A"))</f>
        <v>N/A</v>
      </c>
      <c r="T1120" s="1" t="str">
        <f>IF(OR(Table1[[#This Row],[Low Tol]]="",Table1[[#This Row],[High Tol]]=""),"Needs Analysis",IF(Table1[[#This Row],[Ratio]]&gt;=4,"Not Significant",IF(Table1[[#This Row],[Ratio]]&gt;=2,"Semi-Significant","Significant")))</f>
        <v>Needs Analysis</v>
      </c>
      <c r="W1120" s="1">
        <f>IF(Table1[[#This Row],[Cal Type]]&lt;&gt;"ACCREDITED 17025 WITH UNCERTAINTIES",0,"")</f>
        <v>0</v>
      </c>
      <c r="X1120" s="1" t="str">
        <f>IF(Table1[[#This Row],[DUT Read]]="","N/A",Table1[[#This Row],[Std Error]]+Table1[[#This Row],[DUT Read]]+Table1[[#This Row],[DUT Ucty]])</f>
        <v>N/A</v>
      </c>
      <c r="Y1120" s="1" t="str">
        <f>IF(Table1[[#This Row],[Std Read]]="","N/A",Table1[[#This Row],[Std Read]]+Table1[[#This Row],[Std Ucty]])</f>
        <v>N/A</v>
      </c>
      <c r="Z11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0" s="1" t="str">
        <f>IF(Table1[[#This Row],[Spec Type]]="","N/A",Table1[[#This Row],[Spec Type]])</f>
        <v>±</v>
      </c>
      <c r="AC1120" s="1" t="str">
        <f>IF(Table1[[#This Row],[Spec Type2]]="N/A","N/A",IF(AND(Table1[[#This Row],[DUT Adj Read]]&gt;=Table1[[#This Row],[Low Tol]],Table1[[#This Row],[DUT Adj Read]]&lt;=Table1[[#This Row],[High Tol]]),"Pass","Fail"))</f>
        <v>Fail</v>
      </c>
      <c r="AD1120" s="1" t="str">
        <f>IF(AND(Table1[[#This Row],[Spec Type2]]="N/A",Table1[[#This Row],[DUT Adj Read]]="N/A",Table1[[#This Row],[Std Adj Read]]="N/A"),"N/A",IF(Table1[[#This Row],[DUT Adj Read]]="N/A",IF(Table1[[#This Row],[Std Adj Read]]&gt;Table1[[#This Row],[Low Tol]],"Pass","Fail"),IF(Table1[[#This Row],[DUT Adj Read]]&gt;Table1[[#This Row],[Low Tol]],"Pass","Fail")))</f>
        <v>Pass</v>
      </c>
      <c r="AE1120" s="1" t="str">
        <f>IF(AND(Table1[[#This Row],[Spec Type2]]="N/A",Table1[[#This Row],[DUT Adj Read]]="N/A",Table1[[#This Row],[Std Adj Read]]="N/A"),"N/A",IF(Table1[[#This Row],[DUT Adj Read]]="N/A",IF(Table1[[#This Row],[Std Adj Read]]&lt;Table1[[#This Row],[High Tol]],"Pass","Fail"),IF(Table1[[#This Row],[DUT Adj Read]]&lt;Table1[[#This Row],[High Tol]],"Pass","Fail")))</f>
        <v>Fail</v>
      </c>
      <c r="AF1120" s="1" t="str">
        <f>IF(AND(Table1[[#This Row],[Spec Type2]]="N/A",Table1[[#This Row],[DUT Adj Read]]="N/A",Table1[[#This Row],[Std Adj Read]]="N/A"),"N/A",IF(Table1[[#This Row],[DUT Adj Read]]="N/A",IF(Table1[[#This Row],[Std Adj Read]]&gt;=Table1[[#This Row],[Low Tol]],"Pass","Fail"),IF(Table1[[#This Row],[DUT Adj Read]]&gt;=Table1[[#This Row],[Low Tol]],"Pass","Fail")))</f>
        <v>Pass</v>
      </c>
      <c r="AG1120" s="1" t="str">
        <f>IF(AND(Table1[[#This Row],[Spec Type2]]="N/A",Table1[[#This Row],[DUT Adj Read]]="N/A",Table1[[#This Row],[Std Adj Read]]="N/A"),"N/A",IF(Table1[[#This Row],[DUT Adj Read]]="N/A",IF(Table1[[#This Row],[Std Adj Read]]&lt;=Table1[[#This Row],[High Tol]],"Pass","Fail"),IF(Table1[[#This Row],[DUT Adj Read]]&lt;=Table1[[#This Row],[High Tol]],"Pass","Fail")))</f>
        <v>Fail</v>
      </c>
      <c r="AH11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0" s="1" t="b">
        <v>0</v>
      </c>
      <c r="AN1120" s="1" t="b">
        <v>0</v>
      </c>
      <c r="AO1120" s="1" t="b">
        <v>0</v>
      </c>
    </row>
    <row r="1121" spans="1:41" x14ac:dyDescent="0.25">
      <c r="A1121" s="10"/>
      <c r="B1121" s="10"/>
      <c r="C1121" s="10"/>
      <c r="D1121" s="10"/>
      <c r="E1121" s="10"/>
      <c r="F1121" s="10"/>
      <c r="G1121" s="10"/>
      <c r="H1121" s="10"/>
      <c r="I1121" s="1" t="str">
        <f t="shared" si="51"/>
        <v/>
      </c>
      <c r="J1121" s="1" t="s">
        <v>35</v>
      </c>
      <c r="K1121" s="1" t="str">
        <f t="shared" si="52"/>
        <v/>
      </c>
      <c r="L1121" s="1" t="str">
        <f t="shared" si="53"/>
        <v/>
      </c>
      <c r="M1121" s="1">
        <f>IF(OR(Table1[[#This Row],[Std Nom]]="",Table1[[#This Row],[Std Read]]=""),0,Table1[[#This Row],[Std Nom]]-Table1[[#This Row],[Std Read]])</f>
        <v>0</v>
      </c>
      <c r="N1121" s="1">
        <f>IF(Calculations!$F$5="ACCREDITED 17025 WITH UNCERTAINTIES",$N$10,0)</f>
        <v>0</v>
      </c>
      <c r="Q1121" s="1">
        <f>Table1[[#This Row],[High Tol]]-Table1[[#This Row],[Low Tol]]</f>
        <v>0</v>
      </c>
      <c r="R1121" s="1">
        <f>2*Table1[[#This Row],[Std Error]]</f>
        <v>0</v>
      </c>
      <c r="S1121" s="1" t="str">
        <f>IF(Table1[[#This Row],[High Tol]]="","N/A",IFERROR(ABS(Table1[[#This Row],[Tol Span]]/Table1[[#This Row],[Error Span]]),"N/A"))</f>
        <v>N/A</v>
      </c>
      <c r="T1121" s="1" t="str">
        <f>IF(OR(Table1[[#This Row],[Low Tol]]="",Table1[[#This Row],[High Tol]]=""),"Needs Analysis",IF(Table1[[#This Row],[Ratio]]&gt;=4,"Not Significant",IF(Table1[[#This Row],[Ratio]]&gt;=2,"Semi-Significant","Significant")))</f>
        <v>Needs Analysis</v>
      </c>
      <c r="W1121" s="1">
        <f>IF(Table1[[#This Row],[Cal Type]]&lt;&gt;"ACCREDITED 17025 WITH UNCERTAINTIES",0,"")</f>
        <v>0</v>
      </c>
      <c r="X1121" s="1" t="str">
        <f>IF(Table1[[#This Row],[DUT Read]]="","N/A",Table1[[#This Row],[Std Error]]+Table1[[#This Row],[DUT Read]]+Table1[[#This Row],[DUT Ucty]])</f>
        <v>N/A</v>
      </c>
      <c r="Y1121" s="1" t="str">
        <f>IF(Table1[[#This Row],[Std Read]]="","N/A",Table1[[#This Row],[Std Read]]+Table1[[#This Row],[Std Ucty]])</f>
        <v>N/A</v>
      </c>
      <c r="Z11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1" s="1" t="str">
        <f>IF(Table1[[#This Row],[Spec Type]]="","N/A",Table1[[#This Row],[Spec Type]])</f>
        <v>±</v>
      </c>
      <c r="AC1121" s="1" t="str">
        <f>IF(Table1[[#This Row],[Spec Type2]]="N/A","N/A",IF(AND(Table1[[#This Row],[DUT Adj Read]]&gt;=Table1[[#This Row],[Low Tol]],Table1[[#This Row],[DUT Adj Read]]&lt;=Table1[[#This Row],[High Tol]]),"Pass","Fail"))</f>
        <v>Fail</v>
      </c>
      <c r="AD1121" s="1" t="str">
        <f>IF(AND(Table1[[#This Row],[Spec Type2]]="N/A",Table1[[#This Row],[DUT Adj Read]]="N/A",Table1[[#This Row],[Std Adj Read]]="N/A"),"N/A",IF(Table1[[#This Row],[DUT Adj Read]]="N/A",IF(Table1[[#This Row],[Std Adj Read]]&gt;Table1[[#This Row],[Low Tol]],"Pass","Fail"),IF(Table1[[#This Row],[DUT Adj Read]]&gt;Table1[[#This Row],[Low Tol]],"Pass","Fail")))</f>
        <v>Pass</v>
      </c>
      <c r="AE1121" s="1" t="str">
        <f>IF(AND(Table1[[#This Row],[Spec Type2]]="N/A",Table1[[#This Row],[DUT Adj Read]]="N/A",Table1[[#This Row],[Std Adj Read]]="N/A"),"N/A",IF(Table1[[#This Row],[DUT Adj Read]]="N/A",IF(Table1[[#This Row],[Std Adj Read]]&lt;Table1[[#This Row],[High Tol]],"Pass","Fail"),IF(Table1[[#This Row],[DUT Adj Read]]&lt;Table1[[#This Row],[High Tol]],"Pass","Fail")))</f>
        <v>Fail</v>
      </c>
      <c r="AF1121" s="1" t="str">
        <f>IF(AND(Table1[[#This Row],[Spec Type2]]="N/A",Table1[[#This Row],[DUT Adj Read]]="N/A",Table1[[#This Row],[Std Adj Read]]="N/A"),"N/A",IF(Table1[[#This Row],[DUT Adj Read]]="N/A",IF(Table1[[#This Row],[Std Adj Read]]&gt;=Table1[[#This Row],[Low Tol]],"Pass","Fail"),IF(Table1[[#This Row],[DUT Adj Read]]&gt;=Table1[[#This Row],[Low Tol]],"Pass","Fail")))</f>
        <v>Pass</v>
      </c>
      <c r="AG1121" s="1" t="str">
        <f>IF(AND(Table1[[#This Row],[Spec Type2]]="N/A",Table1[[#This Row],[DUT Adj Read]]="N/A",Table1[[#This Row],[Std Adj Read]]="N/A"),"N/A",IF(Table1[[#This Row],[DUT Adj Read]]="N/A",IF(Table1[[#This Row],[Std Adj Read]]&lt;=Table1[[#This Row],[High Tol]],"Pass","Fail"),IF(Table1[[#This Row],[DUT Adj Read]]&lt;=Table1[[#This Row],[High Tol]],"Pass","Fail")))</f>
        <v>Fail</v>
      </c>
      <c r="AH11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1" s="1" t="b">
        <v>0</v>
      </c>
      <c r="AN1121" s="1" t="b">
        <v>0</v>
      </c>
      <c r="AO1121" s="1" t="b">
        <v>0</v>
      </c>
    </row>
    <row r="1122" spans="1:41" x14ac:dyDescent="0.25">
      <c r="A1122" s="10"/>
      <c r="B1122" s="10"/>
      <c r="C1122" s="10"/>
      <c r="D1122" s="10"/>
      <c r="E1122" s="10"/>
      <c r="F1122" s="10"/>
      <c r="G1122" s="10"/>
      <c r="H1122" s="10"/>
      <c r="I1122" s="1" t="str">
        <f t="shared" si="51"/>
        <v/>
      </c>
      <c r="J1122" s="1" t="s">
        <v>35</v>
      </c>
      <c r="K1122" s="1" t="str">
        <f t="shared" si="52"/>
        <v/>
      </c>
      <c r="L1122" s="1" t="str">
        <f t="shared" si="53"/>
        <v/>
      </c>
      <c r="M1122" s="1">
        <f>IF(OR(Table1[[#This Row],[Std Nom]]="",Table1[[#This Row],[Std Read]]=""),0,Table1[[#This Row],[Std Nom]]-Table1[[#This Row],[Std Read]])</f>
        <v>0</v>
      </c>
      <c r="N1122" s="1">
        <f>IF(Calculations!$F$5="ACCREDITED 17025 WITH UNCERTAINTIES",$N$10,0)</f>
        <v>0</v>
      </c>
      <c r="Q1122" s="1">
        <f>Table1[[#This Row],[High Tol]]-Table1[[#This Row],[Low Tol]]</f>
        <v>0</v>
      </c>
      <c r="R1122" s="1">
        <f>2*Table1[[#This Row],[Std Error]]</f>
        <v>0</v>
      </c>
      <c r="S1122" s="1" t="str">
        <f>IF(Table1[[#This Row],[High Tol]]="","N/A",IFERROR(ABS(Table1[[#This Row],[Tol Span]]/Table1[[#This Row],[Error Span]]),"N/A"))</f>
        <v>N/A</v>
      </c>
      <c r="T1122" s="1" t="str">
        <f>IF(OR(Table1[[#This Row],[Low Tol]]="",Table1[[#This Row],[High Tol]]=""),"Needs Analysis",IF(Table1[[#This Row],[Ratio]]&gt;=4,"Not Significant",IF(Table1[[#This Row],[Ratio]]&gt;=2,"Semi-Significant","Significant")))</f>
        <v>Needs Analysis</v>
      </c>
      <c r="W1122" s="1">
        <f>IF(Table1[[#This Row],[Cal Type]]&lt;&gt;"ACCREDITED 17025 WITH UNCERTAINTIES",0,"")</f>
        <v>0</v>
      </c>
      <c r="X1122" s="1" t="str">
        <f>IF(Table1[[#This Row],[DUT Read]]="","N/A",Table1[[#This Row],[Std Error]]+Table1[[#This Row],[DUT Read]]+Table1[[#This Row],[DUT Ucty]])</f>
        <v>N/A</v>
      </c>
      <c r="Y1122" s="1" t="str">
        <f>IF(Table1[[#This Row],[Std Read]]="","N/A",Table1[[#This Row],[Std Read]]+Table1[[#This Row],[Std Ucty]])</f>
        <v>N/A</v>
      </c>
      <c r="Z11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2" s="1" t="str">
        <f>IF(Table1[[#This Row],[Spec Type]]="","N/A",Table1[[#This Row],[Spec Type]])</f>
        <v>±</v>
      </c>
      <c r="AC1122" s="1" t="str">
        <f>IF(Table1[[#This Row],[Spec Type2]]="N/A","N/A",IF(AND(Table1[[#This Row],[DUT Adj Read]]&gt;=Table1[[#This Row],[Low Tol]],Table1[[#This Row],[DUT Adj Read]]&lt;=Table1[[#This Row],[High Tol]]),"Pass","Fail"))</f>
        <v>Fail</v>
      </c>
      <c r="AD1122" s="1" t="str">
        <f>IF(AND(Table1[[#This Row],[Spec Type2]]="N/A",Table1[[#This Row],[DUT Adj Read]]="N/A",Table1[[#This Row],[Std Adj Read]]="N/A"),"N/A",IF(Table1[[#This Row],[DUT Adj Read]]="N/A",IF(Table1[[#This Row],[Std Adj Read]]&gt;Table1[[#This Row],[Low Tol]],"Pass","Fail"),IF(Table1[[#This Row],[DUT Adj Read]]&gt;Table1[[#This Row],[Low Tol]],"Pass","Fail")))</f>
        <v>Pass</v>
      </c>
      <c r="AE1122" s="1" t="str">
        <f>IF(AND(Table1[[#This Row],[Spec Type2]]="N/A",Table1[[#This Row],[DUT Adj Read]]="N/A",Table1[[#This Row],[Std Adj Read]]="N/A"),"N/A",IF(Table1[[#This Row],[DUT Adj Read]]="N/A",IF(Table1[[#This Row],[Std Adj Read]]&lt;Table1[[#This Row],[High Tol]],"Pass","Fail"),IF(Table1[[#This Row],[DUT Adj Read]]&lt;Table1[[#This Row],[High Tol]],"Pass","Fail")))</f>
        <v>Fail</v>
      </c>
      <c r="AF1122" s="1" t="str">
        <f>IF(AND(Table1[[#This Row],[Spec Type2]]="N/A",Table1[[#This Row],[DUT Adj Read]]="N/A",Table1[[#This Row],[Std Adj Read]]="N/A"),"N/A",IF(Table1[[#This Row],[DUT Adj Read]]="N/A",IF(Table1[[#This Row],[Std Adj Read]]&gt;=Table1[[#This Row],[Low Tol]],"Pass","Fail"),IF(Table1[[#This Row],[DUT Adj Read]]&gt;=Table1[[#This Row],[Low Tol]],"Pass","Fail")))</f>
        <v>Pass</v>
      </c>
      <c r="AG1122" s="1" t="str">
        <f>IF(AND(Table1[[#This Row],[Spec Type2]]="N/A",Table1[[#This Row],[DUT Adj Read]]="N/A",Table1[[#This Row],[Std Adj Read]]="N/A"),"N/A",IF(Table1[[#This Row],[DUT Adj Read]]="N/A",IF(Table1[[#This Row],[Std Adj Read]]&lt;=Table1[[#This Row],[High Tol]],"Pass","Fail"),IF(Table1[[#This Row],[DUT Adj Read]]&lt;=Table1[[#This Row],[High Tol]],"Pass","Fail")))</f>
        <v>Fail</v>
      </c>
      <c r="AH11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2" s="1" t="b">
        <v>0</v>
      </c>
      <c r="AN1122" s="1" t="b">
        <v>0</v>
      </c>
      <c r="AO1122" s="1" t="b">
        <v>0</v>
      </c>
    </row>
    <row r="1123" spans="1:41" x14ac:dyDescent="0.25">
      <c r="A1123" s="10"/>
      <c r="B1123" s="10"/>
      <c r="C1123" s="10"/>
      <c r="D1123" s="10"/>
      <c r="E1123" s="10"/>
      <c r="F1123" s="10"/>
      <c r="G1123" s="10"/>
      <c r="H1123" s="10"/>
      <c r="I1123" s="1" t="str">
        <f t="shared" si="51"/>
        <v/>
      </c>
      <c r="J1123" s="1" t="s">
        <v>35</v>
      </c>
      <c r="K1123" s="1" t="str">
        <f t="shared" si="52"/>
        <v/>
      </c>
      <c r="L1123" s="1" t="str">
        <f t="shared" si="53"/>
        <v/>
      </c>
      <c r="M1123" s="1">
        <f>IF(OR(Table1[[#This Row],[Std Nom]]="",Table1[[#This Row],[Std Read]]=""),0,Table1[[#This Row],[Std Nom]]-Table1[[#This Row],[Std Read]])</f>
        <v>0</v>
      </c>
      <c r="N1123" s="1">
        <f>IF(Calculations!$F$5="ACCREDITED 17025 WITH UNCERTAINTIES",$N$10,0)</f>
        <v>0</v>
      </c>
      <c r="Q1123" s="1">
        <f>Table1[[#This Row],[High Tol]]-Table1[[#This Row],[Low Tol]]</f>
        <v>0</v>
      </c>
      <c r="R1123" s="1">
        <f>2*Table1[[#This Row],[Std Error]]</f>
        <v>0</v>
      </c>
      <c r="S1123" s="1" t="str">
        <f>IF(Table1[[#This Row],[High Tol]]="","N/A",IFERROR(ABS(Table1[[#This Row],[Tol Span]]/Table1[[#This Row],[Error Span]]),"N/A"))</f>
        <v>N/A</v>
      </c>
      <c r="T1123" s="1" t="str">
        <f>IF(OR(Table1[[#This Row],[Low Tol]]="",Table1[[#This Row],[High Tol]]=""),"Needs Analysis",IF(Table1[[#This Row],[Ratio]]&gt;=4,"Not Significant",IF(Table1[[#This Row],[Ratio]]&gt;=2,"Semi-Significant","Significant")))</f>
        <v>Needs Analysis</v>
      </c>
      <c r="W1123" s="1">
        <f>IF(Table1[[#This Row],[Cal Type]]&lt;&gt;"ACCREDITED 17025 WITH UNCERTAINTIES",0,"")</f>
        <v>0</v>
      </c>
      <c r="X1123" s="1" t="str">
        <f>IF(Table1[[#This Row],[DUT Read]]="","N/A",Table1[[#This Row],[Std Error]]+Table1[[#This Row],[DUT Read]]+Table1[[#This Row],[DUT Ucty]])</f>
        <v>N/A</v>
      </c>
      <c r="Y1123" s="1" t="str">
        <f>IF(Table1[[#This Row],[Std Read]]="","N/A",Table1[[#This Row],[Std Read]]+Table1[[#This Row],[Std Ucty]])</f>
        <v>N/A</v>
      </c>
      <c r="Z11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3" s="1" t="str">
        <f>IF(Table1[[#This Row],[Spec Type]]="","N/A",Table1[[#This Row],[Spec Type]])</f>
        <v>±</v>
      </c>
      <c r="AC1123" s="1" t="str">
        <f>IF(Table1[[#This Row],[Spec Type2]]="N/A","N/A",IF(AND(Table1[[#This Row],[DUT Adj Read]]&gt;=Table1[[#This Row],[Low Tol]],Table1[[#This Row],[DUT Adj Read]]&lt;=Table1[[#This Row],[High Tol]]),"Pass","Fail"))</f>
        <v>Fail</v>
      </c>
      <c r="AD1123" s="1" t="str">
        <f>IF(AND(Table1[[#This Row],[Spec Type2]]="N/A",Table1[[#This Row],[DUT Adj Read]]="N/A",Table1[[#This Row],[Std Adj Read]]="N/A"),"N/A",IF(Table1[[#This Row],[DUT Adj Read]]="N/A",IF(Table1[[#This Row],[Std Adj Read]]&gt;Table1[[#This Row],[Low Tol]],"Pass","Fail"),IF(Table1[[#This Row],[DUT Adj Read]]&gt;Table1[[#This Row],[Low Tol]],"Pass","Fail")))</f>
        <v>Pass</v>
      </c>
      <c r="AE1123" s="1" t="str">
        <f>IF(AND(Table1[[#This Row],[Spec Type2]]="N/A",Table1[[#This Row],[DUT Adj Read]]="N/A",Table1[[#This Row],[Std Adj Read]]="N/A"),"N/A",IF(Table1[[#This Row],[DUT Adj Read]]="N/A",IF(Table1[[#This Row],[Std Adj Read]]&lt;Table1[[#This Row],[High Tol]],"Pass","Fail"),IF(Table1[[#This Row],[DUT Adj Read]]&lt;Table1[[#This Row],[High Tol]],"Pass","Fail")))</f>
        <v>Fail</v>
      </c>
      <c r="AF1123" s="1" t="str">
        <f>IF(AND(Table1[[#This Row],[Spec Type2]]="N/A",Table1[[#This Row],[DUT Adj Read]]="N/A",Table1[[#This Row],[Std Adj Read]]="N/A"),"N/A",IF(Table1[[#This Row],[DUT Adj Read]]="N/A",IF(Table1[[#This Row],[Std Adj Read]]&gt;=Table1[[#This Row],[Low Tol]],"Pass","Fail"),IF(Table1[[#This Row],[DUT Adj Read]]&gt;=Table1[[#This Row],[Low Tol]],"Pass","Fail")))</f>
        <v>Pass</v>
      </c>
      <c r="AG1123" s="1" t="str">
        <f>IF(AND(Table1[[#This Row],[Spec Type2]]="N/A",Table1[[#This Row],[DUT Adj Read]]="N/A",Table1[[#This Row],[Std Adj Read]]="N/A"),"N/A",IF(Table1[[#This Row],[DUT Adj Read]]="N/A",IF(Table1[[#This Row],[Std Adj Read]]&lt;=Table1[[#This Row],[High Tol]],"Pass","Fail"),IF(Table1[[#This Row],[DUT Adj Read]]&lt;=Table1[[#This Row],[High Tol]],"Pass","Fail")))</f>
        <v>Fail</v>
      </c>
      <c r="AH11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3" s="1" t="b">
        <v>0</v>
      </c>
      <c r="AN1123" s="1" t="b">
        <v>0</v>
      </c>
      <c r="AO1123" s="1" t="b">
        <v>0</v>
      </c>
    </row>
    <row r="1124" spans="1:41" x14ac:dyDescent="0.25">
      <c r="A1124" s="10"/>
      <c r="B1124" s="10"/>
      <c r="C1124" s="10"/>
      <c r="D1124" s="10"/>
      <c r="E1124" s="10"/>
      <c r="F1124" s="10"/>
      <c r="G1124" s="10"/>
      <c r="H1124" s="10"/>
      <c r="I1124" s="1" t="str">
        <f t="shared" si="51"/>
        <v/>
      </c>
      <c r="J1124" s="1" t="s">
        <v>35</v>
      </c>
      <c r="K1124" s="1" t="str">
        <f t="shared" si="52"/>
        <v/>
      </c>
      <c r="L1124" s="1" t="str">
        <f t="shared" si="53"/>
        <v/>
      </c>
      <c r="M1124" s="1">
        <f>IF(OR(Table1[[#This Row],[Std Nom]]="",Table1[[#This Row],[Std Read]]=""),0,Table1[[#This Row],[Std Nom]]-Table1[[#This Row],[Std Read]])</f>
        <v>0</v>
      </c>
      <c r="N1124" s="1">
        <f>IF(Calculations!$F$5="ACCREDITED 17025 WITH UNCERTAINTIES",$N$10,0)</f>
        <v>0</v>
      </c>
      <c r="Q1124" s="1">
        <f>Table1[[#This Row],[High Tol]]-Table1[[#This Row],[Low Tol]]</f>
        <v>0</v>
      </c>
      <c r="R1124" s="1">
        <f>2*Table1[[#This Row],[Std Error]]</f>
        <v>0</v>
      </c>
      <c r="S1124" s="1" t="str">
        <f>IF(Table1[[#This Row],[High Tol]]="","N/A",IFERROR(ABS(Table1[[#This Row],[Tol Span]]/Table1[[#This Row],[Error Span]]),"N/A"))</f>
        <v>N/A</v>
      </c>
      <c r="T1124" s="1" t="str">
        <f>IF(OR(Table1[[#This Row],[Low Tol]]="",Table1[[#This Row],[High Tol]]=""),"Needs Analysis",IF(Table1[[#This Row],[Ratio]]&gt;=4,"Not Significant",IF(Table1[[#This Row],[Ratio]]&gt;=2,"Semi-Significant","Significant")))</f>
        <v>Needs Analysis</v>
      </c>
      <c r="W1124" s="1">
        <f>IF(Table1[[#This Row],[Cal Type]]&lt;&gt;"ACCREDITED 17025 WITH UNCERTAINTIES",0,"")</f>
        <v>0</v>
      </c>
      <c r="X1124" s="1" t="str">
        <f>IF(Table1[[#This Row],[DUT Read]]="","N/A",Table1[[#This Row],[Std Error]]+Table1[[#This Row],[DUT Read]]+Table1[[#This Row],[DUT Ucty]])</f>
        <v>N/A</v>
      </c>
      <c r="Y1124" s="1" t="str">
        <f>IF(Table1[[#This Row],[Std Read]]="","N/A",Table1[[#This Row],[Std Read]]+Table1[[#This Row],[Std Ucty]])</f>
        <v>N/A</v>
      </c>
      <c r="Z11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4" s="1" t="str">
        <f>IF(Table1[[#This Row],[Spec Type]]="","N/A",Table1[[#This Row],[Spec Type]])</f>
        <v>±</v>
      </c>
      <c r="AC1124" s="1" t="str">
        <f>IF(Table1[[#This Row],[Spec Type2]]="N/A","N/A",IF(AND(Table1[[#This Row],[DUT Adj Read]]&gt;=Table1[[#This Row],[Low Tol]],Table1[[#This Row],[DUT Adj Read]]&lt;=Table1[[#This Row],[High Tol]]),"Pass","Fail"))</f>
        <v>Fail</v>
      </c>
      <c r="AD1124" s="1" t="str">
        <f>IF(AND(Table1[[#This Row],[Spec Type2]]="N/A",Table1[[#This Row],[DUT Adj Read]]="N/A",Table1[[#This Row],[Std Adj Read]]="N/A"),"N/A",IF(Table1[[#This Row],[DUT Adj Read]]="N/A",IF(Table1[[#This Row],[Std Adj Read]]&gt;Table1[[#This Row],[Low Tol]],"Pass","Fail"),IF(Table1[[#This Row],[DUT Adj Read]]&gt;Table1[[#This Row],[Low Tol]],"Pass","Fail")))</f>
        <v>Pass</v>
      </c>
      <c r="AE1124" s="1" t="str">
        <f>IF(AND(Table1[[#This Row],[Spec Type2]]="N/A",Table1[[#This Row],[DUT Adj Read]]="N/A",Table1[[#This Row],[Std Adj Read]]="N/A"),"N/A",IF(Table1[[#This Row],[DUT Adj Read]]="N/A",IF(Table1[[#This Row],[Std Adj Read]]&lt;Table1[[#This Row],[High Tol]],"Pass","Fail"),IF(Table1[[#This Row],[DUT Adj Read]]&lt;Table1[[#This Row],[High Tol]],"Pass","Fail")))</f>
        <v>Fail</v>
      </c>
      <c r="AF1124" s="1" t="str">
        <f>IF(AND(Table1[[#This Row],[Spec Type2]]="N/A",Table1[[#This Row],[DUT Adj Read]]="N/A",Table1[[#This Row],[Std Adj Read]]="N/A"),"N/A",IF(Table1[[#This Row],[DUT Adj Read]]="N/A",IF(Table1[[#This Row],[Std Adj Read]]&gt;=Table1[[#This Row],[Low Tol]],"Pass","Fail"),IF(Table1[[#This Row],[DUT Adj Read]]&gt;=Table1[[#This Row],[Low Tol]],"Pass","Fail")))</f>
        <v>Pass</v>
      </c>
      <c r="AG1124" s="1" t="str">
        <f>IF(AND(Table1[[#This Row],[Spec Type2]]="N/A",Table1[[#This Row],[DUT Adj Read]]="N/A",Table1[[#This Row],[Std Adj Read]]="N/A"),"N/A",IF(Table1[[#This Row],[DUT Adj Read]]="N/A",IF(Table1[[#This Row],[Std Adj Read]]&lt;=Table1[[#This Row],[High Tol]],"Pass","Fail"),IF(Table1[[#This Row],[DUT Adj Read]]&lt;=Table1[[#This Row],[High Tol]],"Pass","Fail")))</f>
        <v>Fail</v>
      </c>
      <c r="AH11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4" s="1" t="b">
        <v>0</v>
      </c>
      <c r="AN1124" s="1" t="b">
        <v>0</v>
      </c>
      <c r="AO1124" s="1" t="b">
        <v>0</v>
      </c>
    </row>
    <row r="1125" spans="1:41" x14ac:dyDescent="0.25">
      <c r="A1125" s="10"/>
      <c r="B1125" s="10"/>
      <c r="C1125" s="10"/>
      <c r="D1125" s="10"/>
      <c r="E1125" s="10"/>
      <c r="F1125" s="10"/>
      <c r="G1125" s="10"/>
      <c r="H1125" s="10"/>
      <c r="I1125" s="1" t="str">
        <f t="shared" si="51"/>
        <v/>
      </c>
      <c r="J1125" s="1" t="s">
        <v>35</v>
      </c>
      <c r="K1125" s="1" t="str">
        <f t="shared" si="52"/>
        <v/>
      </c>
      <c r="L1125" s="1" t="str">
        <f t="shared" si="53"/>
        <v/>
      </c>
      <c r="M1125" s="1">
        <f>IF(OR(Table1[[#This Row],[Std Nom]]="",Table1[[#This Row],[Std Read]]=""),0,Table1[[#This Row],[Std Nom]]-Table1[[#This Row],[Std Read]])</f>
        <v>0</v>
      </c>
      <c r="N1125" s="1">
        <f>IF(Calculations!$F$5="ACCREDITED 17025 WITH UNCERTAINTIES",$N$10,0)</f>
        <v>0</v>
      </c>
      <c r="Q1125" s="1">
        <f>Table1[[#This Row],[High Tol]]-Table1[[#This Row],[Low Tol]]</f>
        <v>0</v>
      </c>
      <c r="R1125" s="1">
        <f>2*Table1[[#This Row],[Std Error]]</f>
        <v>0</v>
      </c>
      <c r="S1125" s="1" t="str">
        <f>IF(Table1[[#This Row],[High Tol]]="","N/A",IFERROR(ABS(Table1[[#This Row],[Tol Span]]/Table1[[#This Row],[Error Span]]),"N/A"))</f>
        <v>N/A</v>
      </c>
      <c r="T1125" s="1" t="str">
        <f>IF(OR(Table1[[#This Row],[Low Tol]]="",Table1[[#This Row],[High Tol]]=""),"Needs Analysis",IF(Table1[[#This Row],[Ratio]]&gt;=4,"Not Significant",IF(Table1[[#This Row],[Ratio]]&gt;=2,"Semi-Significant","Significant")))</f>
        <v>Needs Analysis</v>
      </c>
      <c r="W1125" s="1">
        <f>IF(Table1[[#This Row],[Cal Type]]&lt;&gt;"ACCREDITED 17025 WITH UNCERTAINTIES",0,"")</f>
        <v>0</v>
      </c>
      <c r="X1125" s="1" t="str">
        <f>IF(Table1[[#This Row],[DUT Read]]="","N/A",Table1[[#This Row],[Std Error]]+Table1[[#This Row],[DUT Read]]+Table1[[#This Row],[DUT Ucty]])</f>
        <v>N/A</v>
      </c>
      <c r="Y1125" s="1" t="str">
        <f>IF(Table1[[#This Row],[Std Read]]="","N/A",Table1[[#This Row],[Std Read]]+Table1[[#This Row],[Std Ucty]])</f>
        <v>N/A</v>
      </c>
      <c r="Z11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5" s="1" t="str">
        <f>IF(Table1[[#This Row],[Spec Type]]="","N/A",Table1[[#This Row],[Spec Type]])</f>
        <v>±</v>
      </c>
      <c r="AC1125" s="1" t="str">
        <f>IF(Table1[[#This Row],[Spec Type2]]="N/A","N/A",IF(AND(Table1[[#This Row],[DUT Adj Read]]&gt;=Table1[[#This Row],[Low Tol]],Table1[[#This Row],[DUT Adj Read]]&lt;=Table1[[#This Row],[High Tol]]),"Pass","Fail"))</f>
        <v>Fail</v>
      </c>
      <c r="AD1125" s="1" t="str">
        <f>IF(AND(Table1[[#This Row],[Spec Type2]]="N/A",Table1[[#This Row],[DUT Adj Read]]="N/A",Table1[[#This Row],[Std Adj Read]]="N/A"),"N/A",IF(Table1[[#This Row],[DUT Adj Read]]="N/A",IF(Table1[[#This Row],[Std Adj Read]]&gt;Table1[[#This Row],[Low Tol]],"Pass","Fail"),IF(Table1[[#This Row],[DUT Adj Read]]&gt;Table1[[#This Row],[Low Tol]],"Pass","Fail")))</f>
        <v>Pass</v>
      </c>
      <c r="AE1125" s="1" t="str">
        <f>IF(AND(Table1[[#This Row],[Spec Type2]]="N/A",Table1[[#This Row],[DUT Adj Read]]="N/A",Table1[[#This Row],[Std Adj Read]]="N/A"),"N/A",IF(Table1[[#This Row],[DUT Adj Read]]="N/A",IF(Table1[[#This Row],[Std Adj Read]]&lt;Table1[[#This Row],[High Tol]],"Pass","Fail"),IF(Table1[[#This Row],[DUT Adj Read]]&lt;Table1[[#This Row],[High Tol]],"Pass","Fail")))</f>
        <v>Fail</v>
      </c>
      <c r="AF1125" s="1" t="str">
        <f>IF(AND(Table1[[#This Row],[Spec Type2]]="N/A",Table1[[#This Row],[DUT Adj Read]]="N/A",Table1[[#This Row],[Std Adj Read]]="N/A"),"N/A",IF(Table1[[#This Row],[DUT Adj Read]]="N/A",IF(Table1[[#This Row],[Std Adj Read]]&gt;=Table1[[#This Row],[Low Tol]],"Pass","Fail"),IF(Table1[[#This Row],[DUT Adj Read]]&gt;=Table1[[#This Row],[Low Tol]],"Pass","Fail")))</f>
        <v>Pass</v>
      </c>
      <c r="AG1125" s="1" t="str">
        <f>IF(AND(Table1[[#This Row],[Spec Type2]]="N/A",Table1[[#This Row],[DUT Adj Read]]="N/A",Table1[[#This Row],[Std Adj Read]]="N/A"),"N/A",IF(Table1[[#This Row],[DUT Adj Read]]="N/A",IF(Table1[[#This Row],[Std Adj Read]]&lt;=Table1[[#This Row],[High Tol]],"Pass","Fail"),IF(Table1[[#This Row],[DUT Adj Read]]&lt;=Table1[[#This Row],[High Tol]],"Pass","Fail")))</f>
        <v>Fail</v>
      </c>
      <c r="AH11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5" s="1" t="b">
        <v>0</v>
      </c>
      <c r="AN1125" s="1" t="b">
        <v>0</v>
      </c>
      <c r="AO1125" s="1" t="b">
        <v>0</v>
      </c>
    </row>
    <row r="1126" spans="1:41" x14ac:dyDescent="0.25">
      <c r="A1126" s="10"/>
      <c r="B1126" s="10"/>
      <c r="C1126" s="10"/>
      <c r="D1126" s="10"/>
      <c r="E1126" s="10"/>
      <c r="F1126" s="10"/>
      <c r="G1126" s="10"/>
      <c r="H1126" s="10"/>
      <c r="I1126" s="1" t="str">
        <f t="shared" si="51"/>
        <v/>
      </c>
      <c r="J1126" s="1" t="s">
        <v>35</v>
      </c>
      <c r="K1126" s="1" t="str">
        <f t="shared" si="52"/>
        <v/>
      </c>
      <c r="L1126" s="1" t="str">
        <f t="shared" si="53"/>
        <v/>
      </c>
      <c r="M1126" s="1">
        <f>IF(OR(Table1[[#This Row],[Std Nom]]="",Table1[[#This Row],[Std Read]]=""),0,Table1[[#This Row],[Std Nom]]-Table1[[#This Row],[Std Read]])</f>
        <v>0</v>
      </c>
      <c r="N1126" s="1">
        <f>IF(Calculations!$F$5="ACCREDITED 17025 WITH UNCERTAINTIES",$N$10,0)</f>
        <v>0</v>
      </c>
      <c r="Q1126" s="1">
        <f>Table1[[#This Row],[High Tol]]-Table1[[#This Row],[Low Tol]]</f>
        <v>0</v>
      </c>
      <c r="R1126" s="1">
        <f>2*Table1[[#This Row],[Std Error]]</f>
        <v>0</v>
      </c>
      <c r="S1126" s="1" t="str">
        <f>IF(Table1[[#This Row],[High Tol]]="","N/A",IFERROR(ABS(Table1[[#This Row],[Tol Span]]/Table1[[#This Row],[Error Span]]),"N/A"))</f>
        <v>N/A</v>
      </c>
      <c r="T1126" s="1" t="str">
        <f>IF(OR(Table1[[#This Row],[Low Tol]]="",Table1[[#This Row],[High Tol]]=""),"Needs Analysis",IF(Table1[[#This Row],[Ratio]]&gt;=4,"Not Significant",IF(Table1[[#This Row],[Ratio]]&gt;=2,"Semi-Significant","Significant")))</f>
        <v>Needs Analysis</v>
      </c>
      <c r="W1126" s="1">
        <f>IF(Table1[[#This Row],[Cal Type]]&lt;&gt;"ACCREDITED 17025 WITH UNCERTAINTIES",0,"")</f>
        <v>0</v>
      </c>
      <c r="X1126" s="1" t="str">
        <f>IF(Table1[[#This Row],[DUT Read]]="","N/A",Table1[[#This Row],[Std Error]]+Table1[[#This Row],[DUT Read]]+Table1[[#This Row],[DUT Ucty]])</f>
        <v>N/A</v>
      </c>
      <c r="Y1126" s="1" t="str">
        <f>IF(Table1[[#This Row],[Std Read]]="","N/A",Table1[[#This Row],[Std Read]]+Table1[[#This Row],[Std Ucty]])</f>
        <v>N/A</v>
      </c>
      <c r="Z11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6" s="1" t="str">
        <f>IF(Table1[[#This Row],[Spec Type]]="","N/A",Table1[[#This Row],[Spec Type]])</f>
        <v>±</v>
      </c>
      <c r="AC1126" s="1" t="str">
        <f>IF(Table1[[#This Row],[Spec Type2]]="N/A","N/A",IF(AND(Table1[[#This Row],[DUT Adj Read]]&gt;=Table1[[#This Row],[Low Tol]],Table1[[#This Row],[DUT Adj Read]]&lt;=Table1[[#This Row],[High Tol]]),"Pass","Fail"))</f>
        <v>Fail</v>
      </c>
      <c r="AD1126" s="1" t="str">
        <f>IF(AND(Table1[[#This Row],[Spec Type2]]="N/A",Table1[[#This Row],[DUT Adj Read]]="N/A",Table1[[#This Row],[Std Adj Read]]="N/A"),"N/A",IF(Table1[[#This Row],[DUT Adj Read]]="N/A",IF(Table1[[#This Row],[Std Adj Read]]&gt;Table1[[#This Row],[Low Tol]],"Pass","Fail"),IF(Table1[[#This Row],[DUT Adj Read]]&gt;Table1[[#This Row],[Low Tol]],"Pass","Fail")))</f>
        <v>Pass</v>
      </c>
      <c r="AE1126" s="1" t="str">
        <f>IF(AND(Table1[[#This Row],[Spec Type2]]="N/A",Table1[[#This Row],[DUT Adj Read]]="N/A",Table1[[#This Row],[Std Adj Read]]="N/A"),"N/A",IF(Table1[[#This Row],[DUT Adj Read]]="N/A",IF(Table1[[#This Row],[Std Adj Read]]&lt;Table1[[#This Row],[High Tol]],"Pass","Fail"),IF(Table1[[#This Row],[DUT Adj Read]]&lt;Table1[[#This Row],[High Tol]],"Pass","Fail")))</f>
        <v>Fail</v>
      </c>
      <c r="AF1126" s="1" t="str">
        <f>IF(AND(Table1[[#This Row],[Spec Type2]]="N/A",Table1[[#This Row],[DUT Adj Read]]="N/A",Table1[[#This Row],[Std Adj Read]]="N/A"),"N/A",IF(Table1[[#This Row],[DUT Adj Read]]="N/A",IF(Table1[[#This Row],[Std Adj Read]]&gt;=Table1[[#This Row],[Low Tol]],"Pass","Fail"),IF(Table1[[#This Row],[DUT Adj Read]]&gt;=Table1[[#This Row],[Low Tol]],"Pass","Fail")))</f>
        <v>Pass</v>
      </c>
      <c r="AG1126" s="1" t="str">
        <f>IF(AND(Table1[[#This Row],[Spec Type2]]="N/A",Table1[[#This Row],[DUT Adj Read]]="N/A",Table1[[#This Row],[Std Adj Read]]="N/A"),"N/A",IF(Table1[[#This Row],[DUT Adj Read]]="N/A",IF(Table1[[#This Row],[Std Adj Read]]&lt;=Table1[[#This Row],[High Tol]],"Pass","Fail"),IF(Table1[[#This Row],[DUT Adj Read]]&lt;=Table1[[#This Row],[High Tol]],"Pass","Fail")))</f>
        <v>Fail</v>
      </c>
      <c r="AH11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6" s="1" t="b">
        <v>0</v>
      </c>
      <c r="AN1126" s="1" t="b">
        <v>0</v>
      </c>
      <c r="AO1126" s="1" t="b">
        <v>0</v>
      </c>
    </row>
    <row r="1127" spans="1:41" x14ac:dyDescent="0.25">
      <c r="A1127" s="10"/>
      <c r="B1127" s="10"/>
      <c r="C1127" s="10"/>
      <c r="D1127" s="10"/>
      <c r="E1127" s="10"/>
      <c r="F1127" s="10"/>
      <c r="G1127" s="10"/>
      <c r="H1127" s="10"/>
      <c r="I1127" s="1" t="str">
        <f t="shared" si="51"/>
        <v/>
      </c>
      <c r="J1127" s="1" t="s">
        <v>35</v>
      </c>
      <c r="K1127" s="1" t="str">
        <f t="shared" si="52"/>
        <v/>
      </c>
      <c r="L1127" s="1" t="str">
        <f t="shared" si="53"/>
        <v/>
      </c>
      <c r="M1127" s="1">
        <f>IF(OR(Table1[[#This Row],[Std Nom]]="",Table1[[#This Row],[Std Read]]=""),0,Table1[[#This Row],[Std Nom]]-Table1[[#This Row],[Std Read]])</f>
        <v>0</v>
      </c>
      <c r="N1127" s="1">
        <f>IF(Calculations!$F$5="ACCREDITED 17025 WITH UNCERTAINTIES",$N$10,0)</f>
        <v>0</v>
      </c>
      <c r="Q1127" s="1">
        <f>Table1[[#This Row],[High Tol]]-Table1[[#This Row],[Low Tol]]</f>
        <v>0</v>
      </c>
      <c r="R1127" s="1">
        <f>2*Table1[[#This Row],[Std Error]]</f>
        <v>0</v>
      </c>
      <c r="S1127" s="1" t="str">
        <f>IF(Table1[[#This Row],[High Tol]]="","N/A",IFERROR(ABS(Table1[[#This Row],[Tol Span]]/Table1[[#This Row],[Error Span]]),"N/A"))</f>
        <v>N/A</v>
      </c>
      <c r="T1127" s="1" t="str">
        <f>IF(OR(Table1[[#This Row],[Low Tol]]="",Table1[[#This Row],[High Tol]]=""),"Needs Analysis",IF(Table1[[#This Row],[Ratio]]&gt;=4,"Not Significant",IF(Table1[[#This Row],[Ratio]]&gt;=2,"Semi-Significant","Significant")))</f>
        <v>Needs Analysis</v>
      </c>
      <c r="W1127" s="1">
        <f>IF(Table1[[#This Row],[Cal Type]]&lt;&gt;"ACCREDITED 17025 WITH UNCERTAINTIES",0,"")</f>
        <v>0</v>
      </c>
      <c r="X1127" s="1" t="str">
        <f>IF(Table1[[#This Row],[DUT Read]]="","N/A",Table1[[#This Row],[Std Error]]+Table1[[#This Row],[DUT Read]]+Table1[[#This Row],[DUT Ucty]])</f>
        <v>N/A</v>
      </c>
      <c r="Y1127" s="1" t="str">
        <f>IF(Table1[[#This Row],[Std Read]]="","N/A",Table1[[#This Row],[Std Read]]+Table1[[#This Row],[Std Ucty]])</f>
        <v>N/A</v>
      </c>
      <c r="Z11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7" s="1" t="str">
        <f>IF(Table1[[#This Row],[Spec Type]]="","N/A",Table1[[#This Row],[Spec Type]])</f>
        <v>±</v>
      </c>
      <c r="AC1127" s="1" t="str">
        <f>IF(Table1[[#This Row],[Spec Type2]]="N/A","N/A",IF(AND(Table1[[#This Row],[DUT Adj Read]]&gt;=Table1[[#This Row],[Low Tol]],Table1[[#This Row],[DUT Adj Read]]&lt;=Table1[[#This Row],[High Tol]]),"Pass","Fail"))</f>
        <v>Fail</v>
      </c>
      <c r="AD1127" s="1" t="str">
        <f>IF(AND(Table1[[#This Row],[Spec Type2]]="N/A",Table1[[#This Row],[DUT Adj Read]]="N/A",Table1[[#This Row],[Std Adj Read]]="N/A"),"N/A",IF(Table1[[#This Row],[DUT Adj Read]]="N/A",IF(Table1[[#This Row],[Std Adj Read]]&gt;Table1[[#This Row],[Low Tol]],"Pass","Fail"),IF(Table1[[#This Row],[DUT Adj Read]]&gt;Table1[[#This Row],[Low Tol]],"Pass","Fail")))</f>
        <v>Pass</v>
      </c>
      <c r="AE1127" s="1" t="str">
        <f>IF(AND(Table1[[#This Row],[Spec Type2]]="N/A",Table1[[#This Row],[DUT Adj Read]]="N/A",Table1[[#This Row],[Std Adj Read]]="N/A"),"N/A",IF(Table1[[#This Row],[DUT Adj Read]]="N/A",IF(Table1[[#This Row],[Std Adj Read]]&lt;Table1[[#This Row],[High Tol]],"Pass","Fail"),IF(Table1[[#This Row],[DUT Adj Read]]&lt;Table1[[#This Row],[High Tol]],"Pass","Fail")))</f>
        <v>Fail</v>
      </c>
      <c r="AF1127" s="1" t="str">
        <f>IF(AND(Table1[[#This Row],[Spec Type2]]="N/A",Table1[[#This Row],[DUT Adj Read]]="N/A",Table1[[#This Row],[Std Adj Read]]="N/A"),"N/A",IF(Table1[[#This Row],[DUT Adj Read]]="N/A",IF(Table1[[#This Row],[Std Adj Read]]&gt;=Table1[[#This Row],[Low Tol]],"Pass","Fail"),IF(Table1[[#This Row],[DUT Adj Read]]&gt;=Table1[[#This Row],[Low Tol]],"Pass","Fail")))</f>
        <v>Pass</v>
      </c>
      <c r="AG1127" s="1" t="str">
        <f>IF(AND(Table1[[#This Row],[Spec Type2]]="N/A",Table1[[#This Row],[DUT Adj Read]]="N/A",Table1[[#This Row],[Std Adj Read]]="N/A"),"N/A",IF(Table1[[#This Row],[DUT Adj Read]]="N/A",IF(Table1[[#This Row],[Std Adj Read]]&lt;=Table1[[#This Row],[High Tol]],"Pass","Fail"),IF(Table1[[#This Row],[DUT Adj Read]]&lt;=Table1[[#This Row],[High Tol]],"Pass","Fail")))</f>
        <v>Fail</v>
      </c>
      <c r="AH11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7" s="1" t="b">
        <v>0</v>
      </c>
      <c r="AN1127" s="1" t="b">
        <v>0</v>
      </c>
      <c r="AO1127" s="1" t="b">
        <v>0</v>
      </c>
    </row>
    <row r="1128" spans="1:41" x14ac:dyDescent="0.25">
      <c r="A1128" s="10"/>
      <c r="B1128" s="10"/>
      <c r="C1128" s="10"/>
      <c r="D1128" s="10"/>
      <c r="E1128" s="10"/>
      <c r="F1128" s="10"/>
      <c r="G1128" s="10"/>
      <c r="H1128" s="10"/>
      <c r="I1128" s="1" t="str">
        <f t="shared" si="51"/>
        <v/>
      </c>
      <c r="J1128" s="1" t="s">
        <v>35</v>
      </c>
      <c r="K1128" s="1" t="str">
        <f t="shared" si="52"/>
        <v/>
      </c>
      <c r="L1128" s="1" t="str">
        <f t="shared" si="53"/>
        <v/>
      </c>
      <c r="M1128" s="1">
        <f>IF(OR(Table1[[#This Row],[Std Nom]]="",Table1[[#This Row],[Std Read]]=""),0,Table1[[#This Row],[Std Nom]]-Table1[[#This Row],[Std Read]])</f>
        <v>0</v>
      </c>
      <c r="N1128" s="1">
        <f>IF(Calculations!$F$5="ACCREDITED 17025 WITH UNCERTAINTIES",$N$10,0)</f>
        <v>0</v>
      </c>
      <c r="Q1128" s="1">
        <f>Table1[[#This Row],[High Tol]]-Table1[[#This Row],[Low Tol]]</f>
        <v>0</v>
      </c>
      <c r="R1128" s="1">
        <f>2*Table1[[#This Row],[Std Error]]</f>
        <v>0</v>
      </c>
      <c r="S1128" s="1" t="str">
        <f>IF(Table1[[#This Row],[High Tol]]="","N/A",IFERROR(ABS(Table1[[#This Row],[Tol Span]]/Table1[[#This Row],[Error Span]]),"N/A"))</f>
        <v>N/A</v>
      </c>
      <c r="T1128" s="1" t="str">
        <f>IF(OR(Table1[[#This Row],[Low Tol]]="",Table1[[#This Row],[High Tol]]=""),"Needs Analysis",IF(Table1[[#This Row],[Ratio]]&gt;=4,"Not Significant",IF(Table1[[#This Row],[Ratio]]&gt;=2,"Semi-Significant","Significant")))</f>
        <v>Needs Analysis</v>
      </c>
      <c r="W1128" s="1">
        <f>IF(Table1[[#This Row],[Cal Type]]&lt;&gt;"ACCREDITED 17025 WITH UNCERTAINTIES",0,"")</f>
        <v>0</v>
      </c>
      <c r="X1128" s="1" t="str">
        <f>IF(Table1[[#This Row],[DUT Read]]="","N/A",Table1[[#This Row],[Std Error]]+Table1[[#This Row],[DUT Read]]+Table1[[#This Row],[DUT Ucty]])</f>
        <v>N/A</v>
      </c>
      <c r="Y1128" s="1" t="str">
        <f>IF(Table1[[#This Row],[Std Read]]="","N/A",Table1[[#This Row],[Std Read]]+Table1[[#This Row],[Std Ucty]])</f>
        <v>N/A</v>
      </c>
      <c r="Z11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8" s="1" t="str">
        <f>IF(Table1[[#This Row],[Spec Type]]="","N/A",Table1[[#This Row],[Spec Type]])</f>
        <v>±</v>
      </c>
      <c r="AC1128" s="1" t="str">
        <f>IF(Table1[[#This Row],[Spec Type2]]="N/A","N/A",IF(AND(Table1[[#This Row],[DUT Adj Read]]&gt;=Table1[[#This Row],[Low Tol]],Table1[[#This Row],[DUT Adj Read]]&lt;=Table1[[#This Row],[High Tol]]),"Pass","Fail"))</f>
        <v>Fail</v>
      </c>
      <c r="AD1128" s="1" t="str">
        <f>IF(AND(Table1[[#This Row],[Spec Type2]]="N/A",Table1[[#This Row],[DUT Adj Read]]="N/A",Table1[[#This Row],[Std Adj Read]]="N/A"),"N/A",IF(Table1[[#This Row],[DUT Adj Read]]="N/A",IF(Table1[[#This Row],[Std Adj Read]]&gt;Table1[[#This Row],[Low Tol]],"Pass","Fail"),IF(Table1[[#This Row],[DUT Adj Read]]&gt;Table1[[#This Row],[Low Tol]],"Pass","Fail")))</f>
        <v>Pass</v>
      </c>
      <c r="AE1128" s="1" t="str">
        <f>IF(AND(Table1[[#This Row],[Spec Type2]]="N/A",Table1[[#This Row],[DUT Adj Read]]="N/A",Table1[[#This Row],[Std Adj Read]]="N/A"),"N/A",IF(Table1[[#This Row],[DUT Adj Read]]="N/A",IF(Table1[[#This Row],[Std Adj Read]]&lt;Table1[[#This Row],[High Tol]],"Pass","Fail"),IF(Table1[[#This Row],[DUT Adj Read]]&lt;Table1[[#This Row],[High Tol]],"Pass","Fail")))</f>
        <v>Fail</v>
      </c>
      <c r="AF1128" s="1" t="str">
        <f>IF(AND(Table1[[#This Row],[Spec Type2]]="N/A",Table1[[#This Row],[DUT Adj Read]]="N/A",Table1[[#This Row],[Std Adj Read]]="N/A"),"N/A",IF(Table1[[#This Row],[DUT Adj Read]]="N/A",IF(Table1[[#This Row],[Std Adj Read]]&gt;=Table1[[#This Row],[Low Tol]],"Pass","Fail"),IF(Table1[[#This Row],[DUT Adj Read]]&gt;=Table1[[#This Row],[Low Tol]],"Pass","Fail")))</f>
        <v>Pass</v>
      </c>
      <c r="AG1128" s="1" t="str">
        <f>IF(AND(Table1[[#This Row],[Spec Type2]]="N/A",Table1[[#This Row],[DUT Adj Read]]="N/A",Table1[[#This Row],[Std Adj Read]]="N/A"),"N/A",IF(Table1[[#This Row],[DUT Adj Read]]="N/A",IF(Table1[[#This Row],[Std Adj Read]]&lt;=Table1[[#This Row],[High Tol]],"Pass","Fail"),IF(Table1[[#This Row],[DUT Adj Read]]&lt;=Table1[[#This Row],[High Tol]],"Pass","Fail")))</f>
        <v>Fail</v>
      </c>
      <c r="AH11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8" s="1" t="b">
        <v>0</v>
      </c>
      <c r="AN1128" s="1" t="b">
        <v>0</v>
      </c>
      <c r="AO1128" s="1" t="b">
        <v>0</v>
      </c>
    </row>
    <row r="1129" spans="1:41" x14ac:dyDescent="0.25">
      <c r="A1129" s="10"/>
      <c r="B1129" s="10"/>
      <c r="C1129" s="10"/>
      <c r="D1129" s="10"/>
      <c r="E1129" s="10"/>
      <c r="F1129" s="10"/>
      <c r="G1129" s="10"/>
      <c r="H1129" s="10"/>
      <c r="I1129" s="1" t="str">
        <f t="shared" si="51"/>
        <v/>
      </c>
      <c r="J1129" s="1" t="s">
        <v>35</v>
      </c>
      <c r="K1129" s="1" t="str">
        <f t="shared" si="52"/>
        <v/>
      </c>
      <c r="L1129" s="1" t="str">
        <f t="shared" si="53"/>
        <v/>
      </c>
      <c r="M1129" s="1">
        <f>IF(OR(Table1[[#This Row],[Std Nom]]="",Table1[[#This Row],[Std Read]]=""),0,Table1[[#This Row],[Std Nom]]-Table1[[#This Row],[Std Read]])</f>
        <v>0</v>
      </c>
      <c r="N1129" s="1">
        <f>IF(Calculations!$F$5="ACCREDITED 17025 WITH UNCERTAINTIES",$N$10,0)</f>
        <v>0</v>
      </c>
      <c r="Q1129" s="1">
        <f>Table1[[#This Row],[High Tol]]-Table1[[#This Row],[Low Tol]]</f>
        <v>0</v>
      </c>
      <c r="R1129" s="1">
        <f>2*Table1[[#This Row],[Std Error]]</f>
        <v>0</v>
      </c>
      <c r="S1129" s="1" t="str">
        <f>IF(Table1[[#This Row],[High Tol]]="","N/A",IFERROR(ABS(Table1[[#This Row],[Tol Span]]/Table1[[#This Row],[Error Span]]),"N/A"))</f>
        <v>N/A</v>
      </c>
      <c r="T1129" s="1" t="str">
        <f>IF(OR(Table1[[#This Row],[Low Tol]]="",Table1[[#This Row],[High Tol]]=""),"Needs Analysis",IF(Table1[[#This Row],[Ratio]]&gt;=4,"Not Significant",IF(Table1[[#This Row],[Ratio]]&gt;=2,"Semi-Significant","Significant")))</f>
        <v>Needs Analysis</v>
      </c>
      <c r="W1129" s="1">
        <f>IF(Table1[[#This Row],[Cal Type]]&lt;&gt;"ACCREDITED 17025 WITH UNCERTAINTIES",0,"")</f>
        <v>0</v>
      </c>
      <c r="X1129" s="1" t="str">
        <f>IF(Table1[[#This Row],[DUT Read]]="","N/A",Table1[[#This Row],[Std Error]]+Table1[[#This Row],[DUT Read]]+Table1[[#This Row],[DUT Ucty]])</f>
        <v>N/A</v>
      </c>
      <c r="Y1129" s="1" t="str">
        <f>IF(Table1[[#This Row],[Std Read]]="","N/A",Table1[[#This Row],[Std Read]]+Table1[[#This Row],[Std Ucty]])</f>
        <v>N/A</v>
      </c>
      <c r="Z11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29" s="1" t="str">
        <f>IF(Table1[[#This Row],[Spec Type]]="","N/A",Table1[[#This Row],[Spec Type]])</f>
        <v>±</v>
      </c>
      <c r="AC1129" s="1" t="str">
        <f>IF(Table1[[#This Row],[Spec Type2]]="N/A","N/A",IF(AND(Table1[[#This Row],[DUT Adj Read]]&gt;=Table1[[#This Row],[Low Tol]],Table1[[#This Row],[DUT Adj Read]]&lt;=Table1[[#This Row],[High Tol]]),"Pass","Fail"))</f>
        <v>Fail</v>
      </c>
      <c r="AD1129" s="1" t="str">
        <f>IF(AND(Table1[[#This Row],[Spec Type2]]="N/A",Table1[[#This Row],[DUT Adj Read]]="N/A",Table1[[#This Row],[Std Adj Read]]="N/A"),"N/A",IF(Table1[[#This Row],[DUT Adj Read]]="N/A",IF(Table1[[#This Row],[Std Adj Read]]&gt;Table1[[#This Row],[Low Tol]],"Pass","Fail"),IF(Table1[[#This Row],[DUT Adj Read]]&gt;Table1[[#This Row],[Low Tol]],"Pass","Fail")))</f>
        <v>Pass</v>
      </c>
      <c r="AE1129" s="1" t="str">
        <f>IF(AND(Table1[[#This Row],[Spec Type2]]="N/A",Table1[[#This Row],[DUT Adj Read]]="N/A",Table1[[#This Row],[Std Adj Read]]="N/A"),"N/A",IF(Table1[[#This Row],[DUT Adj Read]]="N/A",IF(Table1[[#This Row],[Std Adj Read]]&lt;Table1[[#This Row],[High Tol]],"Pass","Fail"),IF(Table1[[#This Row],[DUT Adj Read]]&lt;Table1[[#This Row],[High Tol]],"Pass","Fail")))</f>
        <v>Fail</v>
      </c>
      <c r="AF1129" s="1" t="str">
        <f>IF(AND(Table1[[#This Row],[Spec Type2]]="N/A",Table1[[#This Row],[DUT Adj Read]]="N/A",Table1[[#This Row],[Std Adj Read]]="N/A"),"N/A",IF(Table1[[#This Row],[DUT Adj Read]]="N/A",IF(Table1[[#This Row],[Std Adj Read]]&gt;=Table1[[#This Row],[Low Tol]],"Pass","Fail"),IF(Table1[[#This Row],[DUT Adj Read]]&gt;=Table1[[#This Row],[Low Tol]],"Pass","Fail")))</f>
        <v>Pass</v>
      </c>
      <c r="AG1129" s="1" t="str">
        <f>IF(AND(Table1[[#This Row],[Spec Type2]]="N/A",Table1[[#This Row],[DUT Adj Read]]="N/A",Table1[[#This Row],[Std Adj Read]]="N/A"),"N/A",IF(Table1[[#This Row],[DUT Adj Read]]="N/A",IF(Table1[[#This Row],[Std Adj Read]]&lt;=Table1[[#This Row],[High Tol]],"Pass","Fail"),IF(Table1[[#This Row],[DUT Adj Read]]&lt;=Table1[[#This Row],[High Tol]],"Pass","Fail")))</f>
        <v>Fail</v>
      </c>
      <c r="AH11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29" s="1" t="b">
        <v>0</v>
      </c>
      <c r="AN1129" s="1" t="b">
        <v>0</v>
      </c>
      <c r="AO1129" s="1" t="b">
        <v>0</v>
      </c>
    </row>
    <row r="1130" spans="1:41" x14ac:dyDescent="0.25">
      <c r="A1130" s="10"/>
      <c r="B1130" s="10"/>
      <c r="C1130" s="10"/>
      <c r="D1130" s="10"/>
      <c r="E1130" s="10"/>
      <c r="F1130" s="10"/>
      <c r="G1130" s="10"/>
      <c r="H1130" s="10"/>
      <c r="I1130" s="1" t="str">
        <f t="shared" si="51"/>
        <v/>
      </c>
      <c r="J1130" s="1" t="s">
        <v>35</v>
      </c>
      <c r="K1130" s="1" t="str">
        <f t="shared" si="52"/>
        <v/>
      </c>
      <c r="L1130" s="1" t="str">
        <f t="shared" si="53"/>
        <v/>
      </c>
      <c r="M1130" s="1">
        <f>IF(OR(Table1[[#This Row],[Std Nom]]="",Table1[[#This Row],[Std Read]]=""),0,Table1[[#This Row],[Std Nom]]-Table1[[#This Row],[Std Read]])</f>
        <v>0</v>
      </c>
      <c r="N1130" s="1">
        <f>IF(Calculations!$F$5="ACCREDITED 17025 WITH UNCERTAINTIES",$N$10,0)</f>
        <v>0</v>
      </c>
      <c r="Q1130" s="1">
        <f>Table1[[#This Row],[High Tol]]-Table1[[#This Row],[Low Tol]]</f>
        <v>0</v>
      </c>
      <c r="R1130" s="1">
        <f>2*Table1[[#This Row],[Std Error]]</f>
        <v>0</v>
      </c>
      <c r="S1130" s="1" t="str">
        <f>IF(Table1[[#This Row],[High Tol]]="","N/A",IFERROR(ABS(Table1[[#This Row],[Tol Span]]/Table1[[#This Row],[Error Span]]),"N/A"))</f>
        <v>N/A</v>
      </c>
      <c r="T1130" s="1" t="str">
        <f>IF(OR(Table1[[#This Row],[Low Tol]]="",Table1[[#This Row],[High Tol]]=""),"Needs Analysis",IF(Table1[[#This Row],[Ratio]]&gt;=4,"Not Significant",IF(Table1[[#This Row],[Ratio]]&gt;=2,"Semi-Significant","Significant")))</f>
        <v>Needs Analysis</v>
      </c>
      <c r="W1130" s="1">
        <f>IF(Table1[[#This Row],[Cal Type]]&lt;&gt;"ACCREDITED 17025 WITH UNCERTAINTIES",0,"")</f>
        <v>0</v>
      </c>
      <c r="X1130" s="1" t="str">
        <f>IF(Table1[[#This Row],[DUT Read]]="","N/A",Table1[[#This Row],[Std Error]]+Table1[[#This Row],[DUT Read]]+Table1[[#This Row],[DUT Ucty]])</f>
        <v>N/A</v>
      </c>
      <c r="Y1130" s="1" t="str">
        <f>IF(Table1[[#This Row],[Std Read]]="","N/A",Table1[[#This Row],[Std Read]]+Table1[[#This Row],[Std Ucty]])</f>
        <v>N/A</v>
      </c>
      <c r="Z11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0" s="1" t="str">
        <f>IF(Table1[[#This Row],[Spec Type]]="","N/A",Table1[[#This Row],[Spec Type]])</f>
        <v>±</v>
      </c>
      <c r="AC1130" s="1" t="str">
        <f>IF(Table1[[#This Row],[Spec Type2]]="N/A","N/A",IF(AND(Table1[[#This Row],[DUT Adj Read]]&gt;=Table1[[#This Row],[Low Tol]],Table1[[#This Row],[DUT Adj Read]]&lt;=Table1[[#This Row],[High Tol]]),"Pass","Fail"))</f>
        <v>Fail</v>
      </c>
      <c r="AD1130" s="1" t="str">
        <f>IF(AND(Table1[[#This Row],[Spec Type2]]="N/A",Table1[[#This Row],[DUT Adj Read]]="N/A",Table1[[#This Row],[Std Adj Read]]="N/A"),"N/A",IF(Table1[[#This Row],[DUT Adj Read]]="N/A",IF(Table1[[#This Row],[Std Adj Read]]&gt;Table1[[#This Row],[Low Tol]],"Pass","Fail"),IF(Table1[[#This Row],[DUT Adj Read]]&gt;Table1[[#This Row],[Low Tol]],"Pass","Fail")))</f>
        <v>Pass</v>
      </c>
      <c r="AE1130" s="1" t="str">
        <f>IF(AND(Table1[[#This Row],[Spec Type2]]="N/A",Table1[[#This Row],[DUT Adj Read]]="N/A",Table1[[#This Row],[Std Adj Read]]="N/A"),"N/A",IF(Table1[[#This Row],[DUT Adj Read]]="N/A",IF(Table1[[#This Row],[Std Adj Read]]&lt;Table1[[#This Row],[High Tol]],"Pass","Fail"),IF(Table1[[#This Row],[DUT Adj Read]]&lt;Table1[[#This Row],[High Tol]],"Pass","Fail")))</f>
        <v>Fail</v>
      </c>
      <c r="AF1130" s="1" t="str">
        <f>IF(AND(Table1[[#This Row],[Spec Type2]]="N/A",Table1[[#This Row],[DUT Adj Read]]="N/A",Table1[[#This Row],[Std Adj Read]]="N/A"),"N/A",IF(Table1[[#This Row],[DUT Adj Read]]="N/A",IF(Table1[[#This Row],[Std Adj Read]]&gt;=Table1[[#This Row],[Low Tol]],"Pass","Fail"),IF(Table1[[#This Row],[DUT Adj Read]]&gt;=Table1[[#This Row],[Low Tol]],"Pass","Fail")))</f>
        <v>Pass</v>
      </c>
      <c r="AG1130" s="1" t="str">
        <f>IF(AND(Table1[[#This Row],[Spec Type2]]="N/A",Table1[[#This Row],[DUT Adj Read]]="N/A",Table1[[#This Row],[Std Adj Read]]="N/A"),"N/A",IF(Table1[[#This Row],[DUT Adj Read]]="N/A",IF(Table1[[#This Row],[Std Adj Read]]&lt;=Table1[[#This Row],[High Tol]],"Pass","Fail"),IF(Table1[[#This Row],[DUT Adj Read]]&lt;=Table1[[#This Row],[High Tol]],"Pass","Fail")))</f>
        <v>Fail</v>
      </c>
      <c r="AH11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0" s="1" t="b">
        <v>0</v>
      </c>
      <c r="AN1130" s="1" t="b">
        <v>0</v>
      </c>
      <c r="AO1130" s="1" t="b">
        <v>0</v>
      </c>
    </row>
    <row r="1131" spans="1:41" x14ac:dyDescent="0.25">
      <c r="A1131" s="10"/>
      <c r="B1131" s="10"/>
      <c r="C1131" s="10"/>
      <c r="D1131" s="10"/>
      <c r="E1131" s="10"/>
      <c r="F1131" s="10"/>
      <c r="G1131" s="10"/>
      <c r="H1131" s="10"/>
      <c r="I1131" s="1" t="str">
        <f t="shared" si="51"/>
        <v/>
      </c>
      <c r="J1131" s="1" t="s">
        <v>35</v>
      </c>
      <c r="K1131" s="1" t="str">
        <f t="shared" si="52"/>
        <v/>
      </c>
      <c r="L1131" s="1" t="str">
        <f t="shared" si="53"/>
        <v/>
      </c>
      <c r="M1131" s="1">
        <f>IF(OR(Table1[[#This Row],[Std Nom]]="",Table1[[#This Row],[Std Read]]=""),0,Table1[[#This Row],[Std Nom]]-Table1[[#This Row],[Std Read]])</f>
        <v>0</v>
      </c>
      <c r="N1131" s="1">
        <f>IF(Calculations!$F$5="ACCREDITED 17025 WITH UNCERTAINTIES",$N$10,0)</f>
        <v>0</v>
      </c>
      <c r="Q1131" s="1">
        <f>Table1[[#This Row],[High Tol]]-Table1[[#This Row],[Low Tol]]</f>
        <v>0</v>
      </c>
      <c r="R1131" s="1">
        <f>2*Table1[[#This Row],[Std Error]]</f>
        <v>0</v>
      </c>
      <c r="S1131" s="1" t="str">
        <f>IF(Table1[[#This Row],[High Tol]]="","N/A",IFERROR(ABS(Table1[[#This Row],[Tol Span]]/Table1[[#This Row],[Error Span]]),"N/A"))</f>
        <v>N/A</v>
      </c>
      <c r="T1131" s="1" t="str">
        <f>IF(OR(Table1[[#This Row],[Low Tol]]="",Table1[[#This Row],[High Tol]]=""),"Needs Analysis",IF(Table1[[#This Row],[Ratio]]&gt;=4,"Not Significant",IF(Table1[[#This Row],[Ratio]]&gt;=2,"Semi-Significant","Significant")))</f>
        <v>Needs Analysis</v>
      </c>
      <c r="W1131" s="1">
        <f>IF(Table1[[#This Row],[Cal Type]]&lt;&gt;"ACCREDITED 17025 WITH UNCERTAINTIES",0,"")</f>
        <v>0</v>
      </c>
      <c r="X1131" s="1" t="str">
        <f>IF(Table1[[#This Row],[DUT Read]]="","N/A",Table1[[#This Row],[Std Error]]+Table1[[#This Row],[DUT Read]]+Table1[[#This Row],[DUT Ucty]])</f>
        <v>N/A</v>
      </c>
      <c r="Y1131" s="1" t="str">
        <f>IF(Table1[[#This Row],[Std Read]]="","N/A",Table1[[#This Row],[Std Read]]+Table1[[#This Row],[Std Ucty]])</f>
        <v>N/A</v>
      </c>
      <c r="Z11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1" s="1" t="str">
        <f>IF(Table1[[#This Row],[Spec Type]]="","N/A",Table1[[#This Row],[Spec Type]])</f>
        <v>±</v>
      </c>
      <c r="AC1131" s="1" t="str">
        <f>IF(Table1[[#This Row],[Spec Type2]]="N/A","N/A",IF(AND(Table1[[#This Row],[DUT Adj Read]]&gt;=Table1[[#This Row],[Low Tol]],Table1[[#This Row],[DUT Adj Read]]&lt;=Table1[[#This Row],[High Tol]]),"Pass","Fail"))</f>
        <v>Fail</v>
      </c>
      <c r="AD1131" s="1" t="str">
        <f>IF(AND(Table1[[#This Row],[Spec Type2]]="N/A",Table1[[#This Row],[DUT Adj Read]]="N/A",Table1[[#This Row],[Std Adj Read]]="N/A"),"N/A",IF(Table1[[#This Row],[DUT Adj Read]]="N/A",IF(Table1[[#This Row],[Std Adj Read]]&gt;Table1[[#This Row],[Low Tol]],"Pass","Fail"),IF(Table1[[#This Row],[DUT Adj Read]]&gt;Table1[[#This Row],[Low Tol]],"Pass","Fail")))</f>
        <v>Pass</v>
      </c>
      <c r="AE1131" s="1" t="str">
        <f>IF(AND(Table1[[#This Row],[Spec Type2]]="N/A",Table1[[#This Row],[DUT Adj Read]]="N/A",Table1[[#This Row],[Std Adj Read]]="N/A"),"N/A",IF(Table1[[#This Row],[DUT Adj Read]]="N/A",IF(Table1[[#This Row],[Std Adj Read]]&lt;Table1[[#This Row],[High Tol]],"Pass","Fail"),IF(Table1[[#This Row],[DUT Adj Read]]&lt;Table1[[#This Row],[High Tol]],"Pass","Fail")))</f>
        <v>Fail</v>
      </c>
      <c r="AF1131" s="1" t="str">
        <f>IF(AND(Table1[[#This Row],[Spec Type2]]="N/A",Table1[[#This Row],[DUT Adj Read]]="N/A",Table1[[#This Row],[Std Adj Read]]="N/A"),"N/A",IF(Table1[[#This Row],[DUT Adj Read]]="N/A",IF(Table1[[#This Row],[Std Adj Read]]&gt;=Table1[[#This Row],[Low Tol]],"Pass","Fail"),IF(Table1[[#This Row],[DUT Adj Read]]&gt;=Table1[[#This Row],[Low Tol]],"Pass","Fail")))</f>
        <v>Pass</v>
      </c>
      <c r="AG1131" s="1" t="str">
        <f>IF(AND(Table1[[#This Row],[Spec Type2]]="N/A",Table1[[#This Row],[DUT Adj Read]]="N/A",Table1[[#This Row],[Std Adj Read]]="N/A"),"N/A",IF(Table1[[#This Row],[DUT Adj Read]]="N/A",IF(Table1[[#This Row],[Std Adj Read]]&lt;=Table1[[#This Row],[High Tol]],"Pass","Fail"),IF(Table1[[#This Row],[DUT Adj Read]]&lt;=Table1[[#This Row],[High Tol]],"Pass","Fail")))</f>
        <v>Fail</v>
      </c>
      <c r="AH11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1" s="1" t="b">
        <v>0</v>
      </c>
      <c r="AN1131" s="1" t="b">
        <v>0</v>
      </c>
      <c r="AO1131" s="1" t="b">
        <v>0</v>
      </c>
    </row>
    <row r="1132" spans="1:41" x14ac:dyDescent="0.25">
      <c r="A1132" s="10"/>
      <c r="B1132" s="10"/>
      <c r="C1132" s="10"/>
      <c r="D1132" s="10"/>
      <c r="E1132" s="10"/>
      <c r="F1132" s="10"/>
      <c r="G1132" s="10"/>
      <c r="H1132" s="10"/>
      <c r="I1132" s="1" t="str">
        <f t="shared" si="51"/>
        <v/>
      </c>
      <c r="J1132" s="1" t="s">
        <v>35</v>
      </c>
      <c r="K1132" s="1" t="str">
        <f t="shared" si="52"/>
        <v/>
      </c>
      <c r="L1132" s="1" t="str">
        <f t="shared" si="53"/>
        <v/>
      </c>
      <c r="M1132" s="1">
        <f>IF(OR(Table1[[#This Row],[Std Nom]]="",Table1[[#This Row],[Std Read]]=""),0,Table1[[#This Row],[Std Nom]]-Table1[[#This Row],[Std Read]])</f>
        <v>0</v>
      </c>
      <c r="N1132" s="1">
        <f>IF(Calculations!$F$5="ACCREDITED 17025 WITH UNCERTAINTIES",$N$10,0)</f>
        <v>0</v>
      </c>
      <c r="Q1132" s="1">
        <f>Table1[[#This Row],[High Tol]]-Table1[[#This Row],[Low Tol]]</f>
        <v>0</v>
      </c>
      <c r="R1132" s="1">
        <f>2*Table1[[#This Row],[Std Error]]</f>
        <v>0</v>
      </c>
      <c r="S1132" s="1" t="str">
        <f>IF(Table1[[#This Row],[High Tol]]="","N/A",IFERROR(ABS(Table1[[#This Row],[Tol Span]]/Table1[[#This Row],[Error Span]]),"N/A"))</f>
        <v>N/A</v>
      </c>
      <c r="T1132" s="1" t="str">
        <f>IF(OR(Table1[[#This Row],[Low Tol]]="",Table1[[#This Row],[High Tol]]=""),"Needs Analysis",IF(Table1[[#This Row],[Ratio]]&gt;=4,"Not Significant",IF(Table1[[#This Row],[Ratio]]&gt;=2,"Semi-Significant","Significant")))</f>
        <v>Needs Analysis</v>
      </c>
      <c r="W1132" s="1">
        <f>IF(Table1[[#This Row],[Cal Type]]&lt;&gt;"ACCREDITED 17025 WITH UNCERTAINTIES",0,"")</f>
        <v>0</v>
      </c>
      <c r="X1132" s="1" t="str">
        <f>IF(Table1[[#This Row],[DUT Read]]="","N/A",Table1[[#This Row],[Std Error]]+Table1[[#This Row],[DUT Read]]+Table1[[#This Row],[DUT Ucty]])</f>
        <v>N/A</v>
      </c>
      <c r="Y1132" s="1" t="str">
        <f>IF(Table1[[#This Row],[Std Read]]="","N/A",Table1[[#This Row],[Std Read]]+Table1[[#This Row],[Std Ucty]])</f>
        <v>N/A</v>
      </c>
      <c r="Z11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2" s="1" t="str">
        <f>IF(Table1[[#This Row],[Spec Type]]="","N/A",Table1[[#This Row],[Spec Type]])</f>
        <v>±</v>
      </c>
      <c r="AC1132" s="1" t="str">
        <f>IF(Table1[[#This Row],[Spec Type2]]="N/A","N/A",IF(AND(Table1[[#This Row],[DUT Adj Read]]&gt;=Table1[[#This Row],[Low Tol]],Table1[[#This Row],[DUT Adj Read]]&lt;=Table1[[#This Row],[High Tol]]),"Pass","Fail"))</f>
        <v>Fail</v>
      </c>
      <c r="AD1132" s="1" t="str">
        <f>IF(AND(Table1[[#This Row],[Spec Type2]]="N/A",Table1[[#This Row],[DUT Adj Read]]="N/A",Table1[[#This Row],[Std Adj Read]]="N/A"),"N/A",IF(Table1[[#This Row],[DUT Adj Read]]="N/A",IF(Table1[[#This Row],[Std Adj Read]]&gt;Table1[[#This Row],[Low Tol]],"Pass","Fail"),IF(Table1[[#This Row],[DUT Adj Read]]&gt;Table1[[#This Row],[Low Tol]],"Pass","Fail")))</f>
        <v>Pass</v>
      </c>
      <c r="AE1132" s="1" t="str">
        <f>IF(AND(Table1[[#This Row],[Spec Type2]]="N/A",Table1[[#This Row],[DUT Adj Read]]="N/A",Table1[[#This Row],[Std Adj Read]]="N/A"),"N/A",IF(Table1[[#This Row],[DUT Adj Read]]="N/A",IF(Table1[[#This Row],[Std Adj Read]]&lt;Table1[[#This Row],[High Tol]],"Pass","Fail"),IF(Table1[[#This Row],[DUT Adj Read]]&lt;Table1[[#This Row],[High Tol]],"Pass","Fail")))</f>
        <v>Fail</v>
      </c>
      <c r="AF1132" s="1" t="str">
        <f>IF(AND(Table1[[#This Row],[Spec Type2]]="N/A",Table1[[#This Row],[DUT Adj Read]]="N/A",Table1[[#This Row],[Std Adj Read]]="N/A"),"N/A",IF(Table1[[#This Row],[DUT Adj Read]]="N/A",IF(Table1[[#This Row],[Std Adj Read]]&gt;=Table1[[#This Row],[Low Tol]],"Pass","Fail"),IF(Table1[[#This Row],[DUT Adj Read]]&gt;=Table1[[#This Row],[Low Tol]],"Pass","Fail")))</f>
        <v>Pass</v>
      </c>
      <c r="AG1132" s="1" t="str">
        <f>IF(AND(Table1[[#This Row],[Spec Type2]]="N/A",Table1[[#This Row],[DUT Adj Read]]="N/A",Table1[[#This Row],[Std Adj Read]]="N/A"),"N/A",IF(Table1[[#This Row],[DUT Adj Read]]="N/A",IF(Table1[[#This Row],[Std Adj Read]]&lt;=Table1[[#This Row],[High Tol]],"Pass","Fail"),IF(Table1[[#This Row],[DUT Adj Read]]&lt;=Table1[[#This Row],[High Tol]],"Pass","Fail")))</f>
        <v>Fail</v>
      </c>
      <c r="AH11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2" s="1" t="b">
        <v>0</v>
      </c>
      <c r="AN1132" s="1" t="b">
        <v>0</v>
      </c>
      <c r="AO1132" s="1" t="b">
        <v>0</v>
      </c>
    </row>
    <row r="1133" spans="1:41" x14ac:dyDescent="0.25">
      <c r="A1133" s="10"/>
      <c r="B1133" s="10"/>
      <c r="C1133" s="10"/>
      <c r="D1133" s="10"/>
      <c r="E1133" s="10"/>
      <c r="F1133" s="10"/>
      <c r="G1133" s="10"/>
      <c r="H1133" s="10"/>
      <c r="I1133" s="1" t="str">
        <f t="shared" si="51"/>
        <v/>
      </c>
      <c r="J1133" s="1" t="s">
        <v>35</v>
      </c>
      <c r="K1133" s="1" t="str">
        <f t="shared" si="52"/>
        <v/>
      </c>
      <c r="L1133" s="1" t="str">
        <f t="shared" si="53"/>
        <v/>
      </c>
      <c r="M1133" s="1">
        <f>IF(OR(Table1[[#This Row],[Std Nom]]="",Table1[[#This Row],[Std Read]]=""),0,Table1[[#This Row],[Std Nom]]-Table1[[#This Row],[Std Read]])</f>
        <v>0</v>
      </c>
      <c r="N1133" s="1">
        <f>IF(Calculations!$F$5="ACCREDITED 17025 WITH UNCERTAINTIES",$N$10,0)</f>
        <v>0</v>
      </c>
      <c r="Q1133" s="1">
        <f>Table1[[#This Row],[High Tol]]-Table1[[#This Row],[Low Tol]]</f>
        <v>0</v>
      </c>
      <c r="R1133" s="1">
        <f>2*Table1[[#This Row],[Std Error]]</f>
        <v>0</v>
      </c>
      <c r="S1133" s="1" t="str">
        <f>IF(Table1[[#This Row],[High Tol]]="","N/A",IFERROR(ABS(Table1[[#This Row],[Tol Span]]/Table1[[#This Row],[Error Span]]),"N/A"))</f>
        <v>N/A</v>
      </c>
      <c r="T1133" s="1" t="str">
        <f>IF(OR(Table1[[#This Row],[Low Tol]]="",Table1[[#This Row],[High Tol]]=""),"Needs Analysis",IF(Table1[[#This Row],[Ratio]]&gt;=4,"Not Significant",IF(Table1[[#This Row],[Ratio]]&gt;=2,"Semi-Significant","Significant")))</f>
        <v>Needs Analysis</v>
      </c>
      <c r="W1133" s="1">
        <f>IF(Table1[[#This Row],[Cal Type]]&lt;&gt;"ACCREDITED 17025 WITH UNCERTAINTIES",0,"")</f>
        <v>0</v>
      </c>
      <c r="X1133" s="1" t="str">
        <f>IF(Table1[[#This Row],[DUT Read]]="","N/A",Table1[[#This Row],[Std Error]]+Table1[[#This Row],[DUT Read]]+Table1[[#This Row],[DUT Ucty]])</f>
        <v>N/A</v>
      </c>
      <c r="Y1133" s="1" t="str">
        <f>IF(Table1[[#This Row],[Std Read]]="","N/A",Table1[[#This Row],[Std Read]]+Table1[[#This Row],[Std Ucty]])</f>
        <v>N/A</v>
      </c>
      <c r="Z11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3" s="1" t="str">
        <f>IF(Table1[[#This Row],[Spec Type]]="","N/A",Table1[[#This Row],[Spec Type]])</f>
        <v>±</v>
      </c>
      <c r="AC1133" s="1" t="str">
        <f>IF(Table1[[#This Row],[Spec Type2]]="N/A","N/A",IF(AND(Table1[[#This Row],[DUT Adj Read]]&gt;=Table1[[#This Row],[Low Tol]],Table1[[#This Row],[DUT Adj Read]]&lt;=Table1[[#This Row],[High Tol]]),"Pass","Fail"))</f>
        <v>Fail</v>
      </c>
      <c r="AD1133" s="1" t="str">
        <f>IF(AND(Table1[[#This Row],[Spec Type2]]="N/A",Table1[[#This Row],[DUT Adj Read]]="N/A",Table1[[#This Row],[Std Adj Read]]="N/A"),"N/A",IF(Table1[[#This Row],[DUT Adj Read]]="N/A",IF(Table1[[#This Row],[Std Adj Read]]&gt;Table1[[#This Row],[Low Tol]],"Pass","Fail"),IF(Table1[[#This Row],[DUT Adj Read]]&gt;Table1[[#This Row],[Low Tol]],"Pass","Fail")))</f>
        <v>Pass</v>
      </c>
      <c r="AE1133" s="1" t="str">
        <f>IF(AND(Table1[[#This Row],[Spec Type2]]="N/A",Table1[[#This Row],[DUT Adj Read]]="N/A",Table1[[#This Row],[Std Adj Read]]="N/A"),"N/A",IF(Table1[[#This Row],[DUT Adj Read]]="N/A",IF(Table1[[#This Row],[Std Adj Read]]&lt;Table1[[#This Row],[High Tol]],"Pass","Fail"),IF(Table1[[#This Row],[DUT Adj Read]]&lt;Table1[[#This Row],[High Tol]],"Pass","Fail")))</f>
        <v>Fail</v>
      </c>
      <c r="AF1133" s="1" t="str">
        <f>IF(AND(Table1[[#This Row],[Spec Type2]]="N/A",Table1[[#This Row],[DUT Adj Read]]="N/A",Table1[[#This Row],[Std Adj Read]]="N/A"),"N/A",IF(Table1[[#This Row],[DUT Adj Read]]="N/A",IF(Table1[[#This Row],[Std Adj Read]]&gt;=Table1[[#This Row],[Low Tol]],"Pass","Fail"),IF(Table1[[#This Row],[DUT Adj Read]]&gt;=Table1[[#This Row],[Low Tol]],"Pass","Fail")))</f>
        <v>Pass</v>
      </c>
      <c r="AG1133" s="1" t="str">
        <f>IF(AND(Table1[[#This Row],[Spec Type2]]="N/A",Table1[[#This Row],[DUT Adj Read]]="N/A",Table1[[#This Row],[Std Adj Read]]="N/A"),"N/A",IF(Table1[[#This Row],[DUT Adj Read]]="N/A",IF(Table1[[#This Row],[Std Adj Read]]&lt;=Table1[[#This Row],[High Tol]],"Pass","Fail"),IF(Table1[[#This Row],[DUT Adj Read]]&lt;=Table1[[#This Row],[High Tol]],"Pass","Fail")))</f>
        <v>Fail</v>
      </c>
      <c r="AH11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3" s="1" t="b">
        <v>0</v>
      </c>
      <c r="AN1133" s="1" t="b">
        <v>0</v>
      </c>
      <c r="AO1133" s="1" t="b">
        <v>0</v>
      </c>
    </row>
    <row r="1134" spans="1:41" x14ac:dyDescent="0.25">
      <c r="A1134" s="10"/>
      <c r="B1134" s="10"/>
      <c r="C1134" s="10"/>
      <c r="D1134" s="10"/>
      <c r="E1134" s="10"/>
      <c r="F1134" s="10"/>
      <c r="G1134" s="10"/>
      <c r="H1134" s="10"/>
      <c r="I1134" s="1" t="str">
        <f t="shared" si="51"/>
        <v/>
      </c>
      <c r="J1134" s="1" t="s">
        <v>35</v>
      </c>
      <c r="K1134" s="1" t="str">
        <f t="shared" si="52"/>
        <v/>
      </c>
      <c r="L1134" s="1" t="str">
        <f t="shared" si="53"/>
        <v/>
      </c>
      <c r="M1134" s="1">
        <f>IF(OR(Table1[[#This Row],[Std Nom]]="",Table1[[#This Row],[Std Read]]=""),0,Table1[[#This Row],[Std Nom]]-Table1[[#This Row],[Std Read]])</f>
        <v>0</v>
      </c>
      <c r="N1134" s="1">
        <f>IF(Calculations!$F$5="ACCREDITED 17025 WITH UNCERTAINTIES",$N$10,0)</f>
        <v>0</v>
      </c>
      <c r="Q1134" s="1">
        <f>Table1[[#This Row],[High Tol]]-Table1[[#This Row],[Low Tol]]</f>
        <v>0</v>
      </c>
      <c r="R1134" s="1">
        <f>2*Table1[[#This Row],[Std Error]]</f>
        <v>0</v>
      </c>
      <c r="S1134" s="1" t="str">
        <f>IF(Table1[[#This Row],[High Tol]]="","N/A",IFERROR(ABS(Table1[[#This Row],[Tol Span]]/Table1[[#This Row],[Error Span]]),"N/A"))</f>
        <v>N/A</v>
      </c>
      <c r="T1134" s="1" t="str">
        <f>IF(OR(Table1[[#This Row],[Low Tol]]="",Table1[[#This Row],[High Tol]]=""),"Needs Analysis",IF(Table1[[#This Row],[Ratio]]&gt;=4,"Not Significant",IF(Table1[[#This Row],[Ratio]]&gt;=2,"Semi-Significant","Significant")))</f>
        <v>Needs Analysis</v>
      </c>
      <c r="W1134" s="1">
        <f>IF(Table1[[#This Row],[Cal Type]]&lt;&gt;"ACCREDITED 17025 WITH UNCERTAINTIES",0,"")</f>
        <v>0</v>
      </c>
      <c r="X1134" s="1" t="str">
        <f>IF(Table1[[#This Row],[DUT Read]]="","N/A",Table1[[#This Row],[Std Error]]+Table1[[#This Row],[DUT Read]]+Table1[[#This Row],[DUT Ucty]])</f>
        <v>N/A</v>
      </c>
      <c r="Y1134" s="1" t="str">
        <f>IF(Table1[[#This Row],[Std Read]]="","N/A",Table1[[#This Row],[Std Read]]+Table1[[#This Row],[Std Ucty]])</f>
        <v>N/A</v>
      </c>
      <c r="Z11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4" s="1" t="str">
        <f>IF(Table1[[#This Row],[Spec Type]]="","N/A",Table1[[#This Row],[Spec Type]])</f>
        <v>±</v>
      </c>
      <c r="AC1134" s="1" t="str">
        <f>IF(Table1[[#This Row],[Spec Type2]]="N/A","N/A",IF(AND(Table1[[#This Row],[DUT Adj Read]]&gt;=Table1[[#This Row],[Low Tol]],Table1[[#This Row],[DUT Adj Read]]&lt;=Table1[[#This Row],[High Tol]]),"Pass","Fail"))</f>
        <v>Fail</v>
      </c>
      <c r="AD1134" s="1" t="str">
        <f>IF(AND(Table1[[#This Row],[Spec Type2]]="N/A",Table1[[#This Row],[DUT Adj Read]]="N/A",Table1[[#This Row],[Std Adj Read]]="N/A"),"N/A",IF(Table1[[#This Row],[DUT Adj Read]]="N/A",IF(Table1[[#This Row],[Std Adj Read]]&gt;Table1[[#This Row],[Low Tol]],"Pass","Fail"),IF(Table1[[#This Row],[DUT Adj Read]]&gt;Table1[[#This Row],[Low Tol]],"Pass","Fail")))</f>
        <v>Pass</v>
      </c>
      <c r="AE1134" s="1" t="str">
        <f>IF(AND(Table1[[#This Row],[Spec Type2]]="N/A",Table1[[#This Row],[DUT Adj Read]]="N/A",Table1[[#This Row],[Std Adj Read]]="N/A"),"N/A",IF(Table1[[#This Row],[DUT Adj Read]]="N/A",IF(Table1[[#This Row],[Std Adj Read]]&lt;Table1[[#This Row],[High Tol]],"Pass","Fail"),IF(Table1[[#This Row],[DUT Adj Read]]&lt;Table1[[#This Row],[High Tol]],"Pass","Fail")))</f>
        <v>Fail</v>
      </c>
      <c r="AF1134" s="1" t="str">
        <f>IF(AND(Table1[[#This Row],[Spec Type2]]="N/A",Table1[[#This Row],[DUT Adj Read]]="N/A",Table1[[#This Row],[Std Adj Read]]="N/A"),"N/A",IF(Table1[[#This Row],[DUT Adj Read]]="N/A",IF(Table1[[#This Row],[Std Adj Read]]&gt;=Table1[[#This Row],[Low Tol]],"Pass","Fail"),IF(Table1[[#This Row],[DUT Adj Read]]&gt;=Table1[[#This Row],[Low Tol]],"Pass","Fail")))</f>
        <v>Pass</v>
      </c>
      <c r="AG1134" s="1" t="str">
        <f>IF(AND(Table1[[#This Row],[Spec Type2]]="N/A",Table1[[#This Row],[DUT Adj Read]]="N/A",Table1[[#This Row],[Std Adj Read]]="N/A"),"N/A",IF(Table1[[#This Row],[DUT Adj Read]]="N/A",IF(Table1[[#This Row],[Std Adj Read]]&lt;=Table1[[#This Row],[High Tol]],"Pass","Fail"),IF(Table1[[#This Row],[DUT Adj Read]]&lt;=Table1[[#This Row],[High Tol]],"Pass","Fail")))</f>
        <v>Fail</v>
      </c>
      <c r="AH11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4" s="1" t="b">
        <v>0</v>
      </c>
      <c r="AN1134" s="1" t="b">
        <v>0</v>
      </c>
      <c r="AO1134" s="1" t="b">
        <v>0</v>
      </c>
    </row>
    <row r="1135" spans="1:41" x14ac:dyDescent="0.25">
      <c r="A1135" s="10"/>
      <c r="B1135" s="10"/>
      <c r="C1135" s="10"/>
      <c r="D1135" s="10"/>
      <c r="E1135" s="10"/>
      <c r="F1135" s="10"/>
      <c r="G1135" s="10"/>
      <c r="H1135" s="10"/>
      <c r="I1135" s="1" t="str">
        <f t="shared" si="51"/>
        <v/>
      </c>
      <c r="J1135" s="1" t="s">
        <v>35</v>
      </c>
      <c r="K1135" s="1" t="str">
        <f t="shared" si="52"/>
        <v/>
      </c>
      <c r="L1135" s="1" t="str">
        <f t="shared" si="53"/>
        <v/>
      </c>
      <c r="M1135" s="1">
        <f>IF(OR(Table1[[#This Row],[Std Nom]]="",Table1[[#This Row],[Std Read]]=""),0,Table1[[#This Row],[Std Nom]]-Table1[[#This Row],[Std Read]])</f>
        <v>0</v>
      </c>
      <c r="N1135" s="1">
        <f>IF(Calculations!$F$5="ACCREDITED 17025 WITH UNCERTAINTIES",$N$10,0)</f>
        <v>0</v>
      </c>
      <c r="Q1135" s="1">
        <f>Table1[[#This Row],[High Tol]]-Table1[[#This Row],[Low Tol]]</f>
        <v>0</v>
      </c>
      <c r="R1135" s="1">
        <f>2*Table1[[#This Row],[Std Error]]</f>
        <v>0</v>
      </c>
      <c r="S1135" s="1" t="str">
        <f>IF(Table1[[#This Row],[High Tol]]="","N/A",IFERROR(ABS(Table1[[#This Row],[Tol Span]]/Table1[[#This Row],[Error Span]]),"N/A"))</f>
        <v>N/A</v>
      </c>
      <c r="T1135" s="1" t="str">
        <f>IF(OR(Table1[[#This Row],[Low Tol]]="",Table1[[#This Row],[High Tol]]=""),"Needs Analysis",IF(Table1[[#This Row],[Ratio]]&gt;=4,"Not Significant",IF(Table1[[#This Row],[Ratio]]&gt;=2,"Semi-Significant","Significant")))</f>
        <v>Needs Analysis</v>
      </c>
      <c r="W1135" s="1">
        <f>IF(Table1[[#This Row],[Cal Type]]&lt;&gt;"ACCREDITED 17025 WITH UNCERTAINTIES",0,"")</f>
        <v>0</v>
      </c>
      <c r="X1135" s="1" t="str">
        <f>IF(Table1[[#This Row],[DUT Read]]="","N/A",Table1[[#This Row],[Std Error]]+Table1[[#This Row],[DUT Read]]+Table1[[#This Row],[DUT Ucty]])</f>
        <v>N/A</v>
      </c>
      <c r="Y1135" s="1" t="str">
        <f>IF(Table1[[#This Row],[Std Read]]="","N/A",Table1[[#This Row],[Std Read]]+Table1[[#This Row],[Std Ucty]])</f>
        <v>N/A</v>
      </c>
      <c r="Z11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5" s="1" t="str">
        <f>IF(Table1[[#This Row],[Spec Type]]="","N/A",Table1[[#This Row],[Spec Type]])</f>
        <v>±</v>
      </c>
      <c r="AC1135" s="1" t="str">
        <f>IF(Table1[[#This Row],[Spec Type2]]="N/A","N/A",IF(AND(Table1[[#This Row],[DUT Adj Read]]&gt;=Table1[[#This Row],[Low Tol]],Table1[[#This Row],[DUT Adj Read]]&lt;=Table1[[#This Row],[High Tol]]),"Pass","Fail"))</f>
        <v>Fail</v>
      </c>
      <c r="AD1135" s="1" t="str">
        <f>IF(AND(Table1[[#This Row],[Spec Type2]]="N/A",Table1[[#This Row],[DUT Adj Read]]="N/A",Table1[[#This Row],[Std Adj Read]]="N/A"),"N/A",IF(Table1[[#This Row],[DUT Adj Read]]="N/A",IF(Table1[[#This Row],[Std Adj Read]]&gt;Table1[[#This Row],[Low Tol]],"Pass","Fail"),IF(Table1[[#This Row],[DUT Adj Read]]&gt;Table1[[#This Row],[Low Tol]],"Pass","Fail")))</f>
        <v>Pass</v>
      </c>
      <c r="AE1135" s="1" t="str">
        <f>IF(AND(Table1[[#This Row],[Spec Type2]]="N/A",Table1[[#This Row],[DUT Adj Read]]="N/A",Table1[[#This Row],[Std Adj Read]]="N/A"),"N/A",IF(Table1[[#This Row],[DUT Adj Read]]="N/A",IF(Table1[[#This Row],[Std Adj Read]]&lt;Table1[[#This Row],[High Tol]],"Pass","Fail"),IF(Table1[[#This Row],[DUT Adj Read]]&lt;Table1[[#This Row],[High Tol]],"Pass","Fail")))</f>
        <v>Fail</v>
      </c>
      <c r="AF1135" s="1" t="str">
        <f>IF(AND(Table1[[#This Row],[Spec Type2]]="N/A",Table1[[#This Row],[DUT Adj Read]]="N/A",Table1[[#This Row],[Std Adj Read]]="N/A"),"N/A",IF(Table1[[#This Row],[DUT Adj Read]]="N/A",IF(Table1[[#This Row],[Std Adj Read]]&gt;=Table1[[#This Row],[Low Tol]],"Pass","Fail"),IF(Table1[[#This Row],[DUT Adj Read]]&gt;=Table1[[#This Row],[Low Tol]],"Pass","Fail")))</f>
        <v>Pass</v>
      </c>
      <c r="AG1135" s="1" t="str">
        <f>IF(AND(Table1[[#This Row],[Spec Type2]]="N/A",Table1[[#This Row],[DUT Adj Read]]="N/A",Table1[[#This Row],[Std Adj Read]]="N/A"),"N/A",IF(Table1[[#This Row],[DUT Adj Read]]="N/A",IF(Table1[[#This Row],[Std Adj Read]]&lt;=Table1[[#This Row],[High Tol]],"Pass","Fail"),IF(Table1[[#This Row],[DUT Adj Read]]&lt;=Table1[[#This Row],[High Tol]],"Pass","Fail")))</f>
        <v>Fail</v>
      </c>
      <c r="AH11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5" s="1" t="b">
        <v>0</v>
      </c>
      <c r="AN1135" s="1" t="b">
        <v>0</v>
      </c>
      <c r="AO1135" s="1" t="b">
        <v>0</v>
      </c>
    </row>
    <row r="1136" spans="1:41" x14ac:dyDescent="0.25">
      <c r="A1136" s="10"/>
      <c r="B1136" s="10"/>
      <c r="C1136" s="10"/>
      <c r="D1136" s="10"/>
      <c r="E1136" s="10"/>
      <c r="F1136" s="10"/>
      <c r="G1136" s="10"/>
      <c r="H1136" s="10"/>
      <c r="I1136" s="1" t="str">
        <f t="shared" si="51"/>
        <v/>
      </c>
      <c r="J1136" s="1" t="s">
        <v>35</v>
      </c>
      <c r="K1136" s="1" t="str">
        <f t="shared" si="52"/>
        <v/>
      </c>
      <c r="L1136" s="1" t="str">
        <f t="shared" si="53"/>
        <v/>
      </c>
      <c r="M1136" s="1">
        <f>IF(OR(Table1[[#This Row],[Std Nom]]="",Table1[[#This Row],[Std Read]]=""),0,Table1[[#This Row],[Std Nom]]-Table1[[#This Row],[Std Read]])</f>
        <v>0</v>
      </c>
      <c r="N1136" s="1">
        <f>IF(Calculations!$F$5="ACCREDITED 17025 WITH UNCERTAINTIES",$N$10,0)</f>
        <v>0</v>
      </c>
      <c r="Q1136" s="1">
        <f>Table1[[#This Row],[High Tol]]-Table1[[#This Row],[Low Tol]]</f>
        <v>0</v>
      </c>
      <c r="R1136" s="1">
        <f>2*Table1[[#This Row],[Std Error]]</f>
        <v>0</v>
      </c>
      <c r="S1136" s="1" t="str">
        <f>IF(Table1[[#This Row],[High Tol]]="","N/A",IFERROR(ABS(Table1[[#This Row],[Tol Span]]/Table1[[#This Row],[Error Span]]),"N/A"))</f>
        <v>N/A</v>
      </c>
      <c r="T1136" s="1" t="str">
        <f>IF(OR(Table1[[#This Row],[Low Tol]]="",Table1[[#This Row],[High Tol]]=""),"Needs Analysis",IF(Table1[[#This Row],[Ratio]]&gt;=4,"Not Significant",IF(Table1[[#This Row],[Ratio]]&gt;=2,"Semi-Significant","Significant")))</f>
        <v>Needs Analysis</v>
      </c>
      <c r="W1136" s="1">
        <f>IF(Table1[[#This Row],[Cal Type]]&lt;&gt;"ACCREDITED 17025 WITH UNCERTAINTIES",0,"")</f>
        <v>0</v>
      </c>
      <c r="X1136" s="1" t="str">
        <f>IF(Table1[[#This Row],[DUT Read]]="","N/A",Table1[[#This Row],[Std Error]]+Table1[[#This Row],[DUT Read]]+Table1[[#This Row],[DUT Ucty]])</f>
        <v>N/A</v>
      </c>
      <c r="Y1136" s="1" t="str">
        <f>IF(Table1[[#This Row],[Std Read]]="","N/A",Table1[[#This Row],[Std Read]]+Table1[[#This Row],[Std Ucty]])</f>
        <v>N/A</v>
      </c>
      <c r="Z11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6" s="1" t="str">
        <f>IF(Table1[[#This Row],[Spec Type]]="","N/A",Table1[[#This Row],[Spec Type]])</f>
        <v>±</v>
      </c>
      <c r="AC1136" s="1" t="str">
        <f>IF(Table1[[#This Row],[Spec Type2]]="N/A","N/A",IF(AND(Table1[[#This Row],[DUT Adj Read]]&gt;=Table1[[#This Row],[Low Tol]],Table1[[#This Row],[DUT Adj Read]]&lt;=Table1[[#This Row],[High Tol]]),"Pass","Fail"))</f>
        <v>Fail</v>
      </c>
      <c r="AD1136" s="1" t="str">
        <f>IF(AND(Table1[[#This Row],[Spec Type2]]="N/A",Table1[[#This Row],[DUT Adj Read]]="N/A",Table1[[#This Row],[Std Adj Read]]="N/A"),"N/A",IF(Table1[[#This Row],[DUT Adj Read]]="N/A",IF(Table1[[#This Row],[Std Adj Read]]&gt;Table1[[#This Row],[Low Tol]],"Pass","Fail"),IF(Table1[[#This Row],[DUT Adj Read]]&gt;Table1[[#This Row],[Low Tol]],"Pass","Fail")))</f>
        <v>Pass</v>
      </c>
      <c r="AE1136" s="1" t="str">
        <f>IF(AND(Table1[[#This Row],[Spec Type2]]="N/A",Table1[[#This Row],[DUT Adj Read]]="N/A",Table1[[#This Row],[Std Adj Read]]="N/A"),"N/A",IF(Table1[[#This Row],[DUT Adj Read]]="N/A",IF(Table1[[#This Row],[Std Adj Read]]&lt;Table1[[#This Row],[High Tol]],"Pass","Fail"),IF(Table1[[#This Row],[DUT Adj Read]]&lt;Table1[[#This Row],[High Tol]],"Pass","Fail")))</f>
        <v>Fail</v>
      </c>
      <c r="AF1136" s="1" t="str">
        <f>IF(AND(Table1[[#This Row],[Spec Type2]]="N/A",Table1[[#This Row],[DUT Adj Read]]="N/A",Table1[[#This Row],[Std Adj Read]]="N/A"),"N/A",IF(Table1[[#This Row],[DUT Adj Read]]="N/A",IF(Table1[[#This Row],[Std Adj Read]]&gt;=Table1[[#This Row],[Low Tol]],"Pass","Fail"),IF(Table1[[#This Row],[DUT Adj Read]]&gt;=Table1[[#This Row],[Low Tol]],"Pass","Fail")))</f>
        <v>Pass</v>
      </c>
      <c r="AG1136" s="1" t="str">
        <f>IF(AND(Table1[[#This Row],[Spec Type2]]="N/A",Table1[[#This Row],[DUT Adj Read]]="N/A",Table1[[#This Row],[Std Adj Read]]="N/A"),"N/A",IF(Table1[[#This Row],[DUT Adj Read]]="N/A",IF(Table1[[#This Row],[Std Adj Read]]&lt;=Table1[[#This Row],[High Tol]],"Pass","Fail"),IF(Table1[[#This Row],[DUT Adj Read]]&lt;=Table1[[#This Row],[High Tol]],"Pass","Fail")))</f>
        <v>Fail</v>
      </c>
      <c r="AH11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6" s="1" t="b">
        <v>0</v>
      </c>
      <c r="AN1136" s="1" t="b">
        <v>0</v>
      </c>
      <c r="AO1136" s="1" t="b">
        <v>0</v>
      </c>
    </row>
    <row r="1137" spans="1:41" x14ac:dyDescent="0.25">
      <c r="A1137" s="10"/>
      <c r="B1137" s="10"/>
      <c r="C1137" s="10"/>
      <c r="D1137" s="10"/>
      <c r="E1137" s="10"/>
      <c r="F1137" s="10"/>
      <c r="G1137" s="10"/>
      <c r="H1137" s="10"/>
      <c r="I1137" s="1" t="str">
        <f t="shared" si="51"/>
        <v/>
      </c>
      <c r="J1137" s="1" t="s">
        <v>35</v>
      </c>
      <c r="K1137" s="1" t="str">
        <f t="shared" si="52"/>
        <v/>
      </c>
      <c r="L1137" s="1" t="str">
        <f t="shared" si="53"/>
        <v/>
      </c>
      <c r="M1137" s="1">
        <f>IF(OR(Table1[[#This Row],[Std Nom]]="",Table1[[#This Row],[Std Read]]=""),0,Table1[[#This Row],[Std Nom]]-Table1[[#This Row],[Std Read]])</f>
        <v>0</v>
      </c>
      <c r="N1137" s="1">
        <f>IF(Calculations!$F$5="ACCREDITED 17025 WITH UNCERTAINTIES",$N$10,0)</f>
        <v>0</v>
      </c>
      <c r="Q1137" s="1">
        <f>Table1[[#This Row],[High Tol]]-Table1[[#This Row],[Low Tol]]</f>
        <v>0</v>
      </c>
      <c r="R1137" s="1">
        <f>2*Table1[[#This Row],[Std Error]]</f>
        <v>0</v>
      </c>
      <c r="S1137" s="1" t="str">
        <f>IF(Table1[[#This Row],[High Tol]]="","N/A",IFERROR(ABS(Table1[[#This Row],[Tol Span]]/Table1[[#This Row],[Error Span]]),"N/A"))</f>
        <v>N/A</v>
      </c>
      <c r="T1137" s="1" t="str">
        <f>IF(OR(Table1[[#This Row],[Low Tol]]="",Table1[[#This Row],[High Tol]]=""),"Needs Analysis",IF(Table1[[#This Row],[Ratio]]&gt;=4,"Not Significant",IF(Table1[[#This Row],[Ratio]]&gt;=2,"Semi-Significant","Significant")))</f>
        <v>Needs Analysis</v>
      </c>
      <c r="W1137" s="1">
        <f>IF(Table1[[#This Row],[Cal Type]]&lt;&gt;"ACCREDITED 17025 WITH UNCERTAINTIES",0,"")</f>
        <v>0</v>
      </c>
      <c r="X1137" s="1" t="str">
        <f>IF(Table1[[#This Row],[DUT Read]]="","N/A",Table1[[#This Row],[Std Error]]+Table1[[#This Row],[DUT Read]]+Table1[[#This Row],[DUT Ucty]])</f>
        <v>N/A</v>
      </c>
      <c r="Y1137" s="1" t="str">
        <f>IF(Table1[[#This Row],[Std Read]]="","N/A",Table1[[#This Row],[Std Read]]+Table1[[#This Row],[Std Ucty]])</f>
        <v>N/A</v>
      </c>
      <c r="Z11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7" s="1" t="str">
        <f>IF(Table1[[#This Row],[Spec Type]]="","N/A",Table1[[#This Row],[Spec Type]])</f>
        <v>±</v>
      </c>
      <c r="AC1137" s="1" t="str">
        <f>IF(Table1[[#This Row],[Spec Type2]]="N/A","N/A",IF(AND(Table1[[#This Row],[DUT Adj Read]]&gt;=Table1[[#This Row],[Low Tol]],Table1[[#This Row],[DUT Adj Read]]&lt;=Table1[[#This Row],[High Tol]]),"Pass","Fail"))</f>
        <v>Fail</v>
      </c>
      <c r="AD1137" s="1" t="str">
        <f>IF(AND(Table1[[#This Row],[Spec Type2]]="N/A",Table1[[#This Row],[DUT Adj Read]]="N/A",Table1[[#This Row],[Std Adj Read]]="N/A"),"N/A",IF(Table1[[#This Row],[DUT Adj Read]]="N/A",IF(Table1[[#This Row],[Std Adj Read]]&gt;Table1[[#This Row],[Low Tol]],"Pass","Fail"),IF(Table1[[#This Row],[DUT Adj Read]]&gt;Table1[[#This Row],[Low Tol]],"Pass","Fail")))</f>
        <v>Pass</v>
      </c>
      <c r="AE1137" s="1" t="str">
        <f>IF(AND(Table1[[#This Row],[Spec Type2]]="N/A",Table1[[#This Row],[DUT Adj Read]]="N/A",Table1[[#This Row],[Std Adj Read]]="N/A"),"N/A",IF(Table1[[#This Row],[DUT Adj Read]]="N/A",IF(Table1[[#This Row],[Std Adj Read]]&lt;Table1[[#This Row],[High Tol]],"Pass","Fail"),IF(Table1[[#This Row],[DUT Adj Read]]&lt;Table1[[#This Row],[High Tol]],"Pass","Fail")))</f>
        <v>Fail</v>
      </c>
      <c r="AF1137" s="1" t="str">
        <f>IF(AND(Table1[[#This Row],[Spec Type2]]="N/A",Table1[[#This Row],[DUT Adj Read]]="N/A",Table1[[#This Row],[Std Adj Read]]="N/A"),"N/A",IF(Table1[[#This Row],[DUT Adj Read]]="N/A",IF(Table1[[#This Row],[Std Adj Read]]&gt;=Table1[[#This Row],[Low Tol]],"Pass","Fail"),IF(Table1[[#This Row],[DUT Adj Read]]&gt;=Table1[[#This Row],[Low Tol]],"Pass","Fail")))</f>
        <v>Pass</v>
      </c>
      <c r="AG1137" s="1" t="str">
        <f>IF(AND(Table1[[#This Row],[Spec Type2]]="N/A",Table1[[#This Row],[DUT Adj Read]]="N/A",Table1[[#This Row],[Std Adj Read]]="N/A"),"N/A",IF(Table1[[#This Row],[DUT Adj Read]]="N/A",IF(Table1[[#This Row],[Std Adj Read]]&lt;=Table1[[#This Row],[High Tol]],"Pass","Fail"),IF(Table1[[#This Row],[DUT Adj Read]]&lt;=Table1[[#This Row],[High Tol]],"Pass","Fail")))</f>
        <v>Fail</v>
      </c>
      <c r="AH11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7" s="1" t="b">
        <v>0</v>
      </c>
      <c r="AN1137" s="1" t="b">
        <v>0</v>
      </c>
      <c r="AO1137" s="1" t="b">
        <v>0</v>
      </c>
    </row>
    <row r="1138" spans="1:41" x14ac:dyDescent="0.25">
      <c r="A1138" s="10"/>
      <c r="B1138" s="10"/>
      <c r="C1138" s="10"/>
      <c r="D1138" s="10"/>
      <c r="E1138" s="10"/>
      <c r="F1138" s="10"/>
      <c r="G1138" s="10"/>
      <c r="H1138" s="10"/>
      <c r="I1138" s="1" t="str">
        <f t="shared" si="51"/>
        <v/>
      </c>
      <c r="J1138" s="1" t="s">
        <v>35</v>
      </c>
      <c r="K1138" s="1" t="str">
        <f t="shared" si="52"/>
        <v/>
      </c>
      <c r="L1138" s="1" t="str">
        <f t="shared" si="53"/>
        <v/>
      </c>
      <c r="M1138" s="1">
        <f>IF(OR(Table1[[#This Row],[Std Nom]]="",Table1[[#This Row],[Std Read]]=""),0,Table1[[#This Row],[Std Nom]]-Table1[[#This Row],[Std Read]])</f>
        <v>0</v>
      </c>
      <c r="N1138" s="1">
        <f>IF(Calculations!$F$5="ACCREDITED 17025 WITH UNCERTAINTIES",$N$10,0)</f>
        <v>0</v>
      </c>
      <c r="Q1138" s="1">
        <f>Table1[[#This Row],[High Tol]]-Table1[[#This Row],[Low Tol]]</f>
        <v>0</v>
      </c>
      <c r="R1138" s="1">
        <f>2*Table1[[#This Row],[Std Error]]</f>
        <v>0</v>
      </c>
      <c r="S1138" s="1" t="str">
        <f>IF(Table1[[#This Row],[High Tol]]="","N/A",IFERROR(ABS(Table1[[#This Row],[Tol Span]]/Table1[[#This Row],[Error Span]]),"N/A"))</f>
        <v>N/A</v>
      </c>
      <c r="T1138" s="1" t="str">
        <f>IF(OR(Table1[[#This Row],[Low Tol]]="",Table1[[#This Row],[High Tol]]=""),"Needs Analysis",IF(Table1[[#This Row],[Ratio]]&gt;=4,"Not Significant",IF(Table1[[#This Row],[Ratio]]&gt;=2,"Semi-Significant","Significant")))</f>
        <v>Needs Analysis</v>
      </c>
      <c r="W1138" s="1">
        <f>IF(Table1[[#This Row],[Cal Type]]&lt;&gt;"ACCREDITED 17025 WITH UNCERTAINTIES",0,"")</f>
        <v>0</v>
      </c>
      <c r="X1138" s="1" t="str">
        <f>IF(Table1[[#This Row],[DUT Read]]="","N/A",Table1[[#This Row],[Std Error]]+Table1[[#This Row],[DUT Read]]+Table1[[#This Row],[DUT Ucty]])</f>
        <v>N/A</v>
      </c>
      <c r="Y1138" s="1" t="str">
        <f>IF(Table1[[#This Row],[Std Read]]="","N/A",Table1[[#This Row],[Std Read]]+Table1[[#This Row],[Std Ucty]])</f>
        <v>N/A</v>
      </c>
      <c r="Z11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8" s="1" t="str">
        <f>IF(Table1[[#This Row],[Spec Type]]="","N/A",Table1[[#This Row],[Spec Type]])</f>
        <v>±</v>
      </c>
      <c r="AC1138" s="1" t="str">
        <f>IF(Table1[[#This Row],[Spec Type2]]="N/A","N/A",IF(AND(Table1[[#This Row],[DUT Adj Read]]&gt;=Table1[[#This Row],[Low Tol]],Table1[[#This Row],[DUT Adj Read]]&lt;=Table1[[#This Row],[High Tol]]),"Pass","Fail"))</f>
        <v>Fail</v>
      </c>
      <c r="AD1138" s="1" t="str">
        <f>IF(AND(Table1[[#This Row],[Spec Type2]]="N/A",Table1[[#This Row],[DUT Adj Read]]="N/A",Table1[[#This Row],[Std Adj Read]]="N/A"),"N/A",IF(Table1[[#This Row],[DUT Adj Read]]="N/A",IF(Table1[[#This Row],[Std Adj Read]]&gt;Table1[[#This Row],[Low Tol]],"Pass","Fail"),IF(Table1[[#This Row],[DUT Adj Read]]&gt;Table1[[#This Row],[Low Tol]],"Pass","Fail")))</f>
        <v>Pass</v>
      </c>
      <c r="AE1138" s="1" t="str">
        <f>IF(AND(Table1[[#This Row],[Spec Type2]]="N/A",Table1[[#This Row],[DUT Adj Read]]="N/A",Table1[[#This Row],[Std Adj Read]]="N/A"),"N/A",IF(Table1[[#This Row],[DUT Adj Read]]="N/A",IF(Table1[[#This Row],[Std Adj Read]]&lt;Table1[[#This Row],[High Tol]],"Pass","Fail"),IF(Table1[[#This Row],[DUT Adj Read]]&lt;Table1[[#This Row],[High Tol]],"Pass","Fail")))</f>
        <v>Fail</v>
      </c>
      <c r="AF1138" s="1" t="str">
        <f>IF(AND(Table1[[#This Row],[Spec Type2]]="N/A",Table1[[#This Row],[DUT Adj Read]]="N/A",Table1[[#This Row],[Std Adj Read]]="N/A"),"N/A",IF(Table1[[#This Row],[DUT Adj Read]]="N/A",IF(Table1[[#This Row],[Std Adj Read]]&gt;=Table1[[#This Row],[Low Tol]],"Pass","Fail"),IF(Table1[[#This Row],[DUT Adj Read]]&gt;=Table1[[#This Row],[Low Tol]],"Pass","Fail")))</f>
        <v>Pass</v>
      </c>
      <c r="AG1138" s="1" t="str">
        <f>IF(AND(Table1[[#This Row],[Spec Type2]]="N/A",Table1[[#This Row],[DUT Adj Read]]="N/A",Table1[[#This Row],[Std Adj Read]]="N/A"),"N/A",IF(Table1[[#This Row],[DUT Adj Read]]="N/A",IF(Table1[[#This Row],[Std Adj Read]]&lt;=Table1[[#This Row],[High Tol]],"Pass","Fail"),IF(Table1[[#This Row],[DUT Adj Read]]&lt;=Table1[[#This Row],[High Tol]],"Pass","Fail")))</f>
        <v>Fail</v>
      </c>
      <c r="AH11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8" s="1" t="b">
        <v>0</v>
      </c>
      <c r="AN1138" s="1" t="b">
        <v>0</v>
      </c>
      <c r="AO1138" s="1" t="b">
        <v>0</v>
      </c>
    </row>
    <row r="1139" spans="1:41" x14ac:dyDescent="0.25">
      <c r="A1139" s="10"/>
      <c r="B1139" s="10"/>
      <c r="C1139" s="10"/>
      <c r="D1139" s="10"/>
      <c r="E1139" s="10"/>
      <c r="F1139" s="10"/>
      <c r="G1139" s="10"/>
      <c r="H1139" s="10"/>
      <c r="I1139" s="1" t="str">
        <f t="shared" si="51"/>
        <v/>
      </c>
      <c r="J1139" s="1" t="s">
        <v>35</v>
      </c>
      <c r="K1139" s="1" t="str">
        <f t="shared" si="52"/>
        <v/>
      </c>
      <c r="L1139" s="1" t="str">
        <f t="shared" si="53"/>
        <v/>
      </c>
      <c r="M1139" s="1">
        <f>IF(OR(Table1[[#This Row],[Std Nom]]="",Table1[[#This Row],[Std Read]]=""),0,Table1[[#This Row],[Std Nom]]-Table1[[#This Row],[Std Read]])</f>
        <v>0</v>
      </c>
      <c r="N1139" s="1">
        <f>IF(Calculations!$F$5="ACCREDITED 17025 WITH UNCERTAINTIES",$N$10,0)</f>
        <v>0</v>
      </c>
      <c r="Q1139" s="1">
        <f>Table1[[#This Row],[High Tol]]-Table1[[#This Row],[Low Tol]]</f>
        <v>0</v>
      </c>
      <c r="R1139" s="1">
        <f>2*Table1[[#This Row],[Std Error]]</f>
        <v>0</v>
      </c>
      <c r="S1139" s="1" t="str">
        <f>IF(Table1[[#This Row],[High Tol]]="","N/A",IFERROR(ABS(Table1[[#This Row],[Tol Span]]/Table1[[#This Row],[Error Span]]),"N/A"))</f>
        <v>N/A</v>
      </c>
      <c r="T1139" s="1" t="str">
        <f>IF(OR(Table1[[#This Row],[Low Tol]]="",Table1[[#This Row],[High Tol]]=""),"Needs Analysis",IF(Table1[[#This Row],[Ratio]]&gt;=4,"Not Significant",IF(Table1[[#This Row],[Ratio]]&gt;=2,"Semi-Significant","Significant")))</f>
        <v>Needs Analysis</v>
      </c>
      <c r="W1139" s="1">
        <f>IF(Table1[[#This Row],[Cal Type]]&lt;&gt;"ACCREDITED 17025 WITH UNCERTAINTIES",0,"")</f>
        <v>0</v>
      </c>
      <c r="X1139" s="1" t="str">
        <f>IF(Table1[[#This Row],[DUT Read]]="","N/A",Table1[[#This Row],[Std Error]]+Table1[[#This Row],[DUT Read]]+Table1[[#This Row],[DUT Ucty]])</f>
        <v>N/A</v>
      </c>
      <c r="Y1139" s="1" t="str">
        <f>IF(Table1[[#This Row],[Std Read]]="","N/A",Table1[[#This Row],[Std Read]]+Table1[[#This Row],[Std Ucty]])</f>
        <v>N/A</v>
      </c>
      <c r="Z11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39" s="1" t="str">
        <f>IF(Table1[[#This Row],[Spec Type]]="","N/A",Table1[[#This Row],[Spec Type]])</f>
        <v>±</v>
      </c>
      <c r="AC1139" s="1" t="str">
        <f>IF(Table1[[#This Row],[Spec Type2]]="N/A","N/A",IF(AND(Table1[[#This Row],[DUT Adj Read]]&gt;=Table1[[#This Row],[Low Tol]],Table1[[#This Row],[DUT Adj Read]]&lt;=Table1[[#This Row],[High Tol]]),"Pass","Fail"))</f>
        <v>Fail</v>
      </c>
      <c r="AD1139" s="1" t="str">
        <f>IF(AND(Table1[[#This Row],[Spec Type2]]="N/A",Table1[[#This Row],[DUT Adj Read]]="N/A",Table1[[#This Row],[Std Adj Read]]="N/A"),"N/A",IF(Table1[[#This Row],[DUT Adj Read]]="N/A",IF(Table1[[#This Row],[Std Adj Read]]&gt;Table1[[#This Row],[Low Tol]],"Pass","Fail"),IF(Table1[[#This Row],[DUT Adj Read]]&gt;Table1[[#This Row],[Low Tol]],"Pass","Fail")))</f>
        <v>Pass</v>
      </c>
      <c r="AE1139" s="1" t="str">
        <f>IF(AND(Table1[[#This Row],[Spec Type2]]="N/A",Table1[[#This Row],[DUT Adj Read]]="N/A",Table1[[#This Row],[Std Adj Read]]="N/A"),"N/A",IF(Table1[[#This Row],[DUT Adj Read]]="N/A",IF(Table1[[#This Row],[Std Adj Read]]&lt;Table1[[#This Row],[High Tol]],"Pass","Fail"),IF(Table1[[#This Row],[DUT Adj Read]]&lt;Table1[[#This Row],[High Tol]],"Pass","Fail")))</f>
        <v>Fail</v>
      </c>
      <c r="AF1139" s="1" t="str">
        <f>IF(AND(Table1[[#This Row],[Spec Type2]]="N/A",Table1[[#This Row],[DUT Adj Read]]="N/A",Table1[[#This Row],[Std Adj Read]]="N/A"),"N/A",IF(Table1[[#This Row],[DUT Adj Read]]="N/A",IF(Table1[[#This Row],[Std Adj Read]]&gt;=Table1[[#This Row],[Low Tol]],"Pass","Fail"),IF(Table1[[#This Row],[DUT Adj Read]]&gt;=Table1[[#This Row],[Low Tol]],"Pass","Fail")))</f>
        <v>Pass</v>
      </c>
      <c r="AG1139" s="1" t="str">
        <f>IF(AND(Table1[[#This Row],[Spec Type2]]="N/A",Table1[[#This Row],[DUT Adj Read]]="N/A",Table1[[#This Row],[Std Adj Read]]="N/A"),"N/A",IF(Table1[[#This Row],[DUT Adj Read]]="N/A",IF(Table1[[#This Row],[Std Adj Read]]&lt;=Table1[[#This Row],[High Tol]],"Pass","Fail"),IF(Table1[[#This Row],[DUT Adj Read]]&lt;=Table1[[#This Row],[High Tol]],"Pass","Fail")))</f>
        <v>Fail</v>
      </c>
      <c r="AH11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39" s="1" t="b">
        <v>0</v>
      </c>
      <c r="AN1139" s="1" t="b">
        <v>0</v>
      </c>
      <c r="AO1139" s="1" t="b">
        <v>0</v>
      </c>
    </row>
    <row r="1140" spans="1:41" x14ac:dyDescent="0.25">
      <c r="A1140" s="10"/>
      <c r="B1140" s="10"/>
      <c r="C1140" s="10"/>
      <c r="D1140" s="10"/>
      <c r="E1140" s="10"/>
      <c r="F1140" s="10"/>
      <c r="G1140" s="10"/>
      <c r="H1140" s="10"/>
      <c r="I1140" s="1" t="str">
        <f t="shared" si="51"/>
        <v/>
      </c>
      <c r="J1140" s="1" t="s">
        <v>35</v>
      </c>
      <c r="K1140" s="1" t="str">
        <f t="shared" si="52"/>
        <v/>
      </c>
      <c r="L1140" s="1" t="str">
        <f t="shared" si="53"/>
        <v/>
      </c>
      <c r="M1140" s="1">
        <f>IF(OR(Table1[[#This Row],[Std Nom]]="",Table1[[#This Row],[Std Read]]=""),0,Table1[[#This Row],[Std Nom]]-Table1[[#This Row],[Std Read]])</f>
        <v>0</v>
      </c>
      <c r="N1140" s="1">
        <f>IF(Calculations!$F$5="ACCREDITED 17025 WITH UNCERTAINTIES",$N$10,0)</f>
        <v>0</v>
      </c>
      <c r="Q1140" s="1">
        <f>Table1[[#This Row],[High Tol]]-Table1[[#This Row],[Low Tol]]</f>
        <v>0</v>
      </c>
      <c r="R1140" s="1">
        <f>2*Table1[[#This Row],[Std Error]]</f>
        <v>0</v>
      </c>
      <c r="S1140" s="1" t="str">
        <f>IF(Table1[[#This Row],[High Tol]]="","N/A",IFERROR(ABS(Table1[[#This Row],[Tol Span]]/Table1[[#This Row],[Error Span]]),"N/A"))</f>
        <v>N/A</v>
      </c>
      <c r="T1140" s="1" t="str">
        <f>IF(OR(Table1[[#This Row],[Low Tol]]="",Table1[[#This Row],[High Tol]]=""),"Needs Analysis",IF(Table1[[#This Row],[Ratio]]&gt;=4,"Not Significant",IF(Table1[[#This Row],[Ratio]]&gt;=2,"Semi-Significant","Significant")))</f>
        <v>Needs Analysis</v>
      </c>
      <c r="W1140" s="1">
        <f>IF(Table1[[#This Row],[Cal Type]]&lt;&gt;"ACCREDITED 17025 WITH UNCERTAINTIES",0,"")</f>
        <v>0</v>
      </c>
      <c r="X1140" s="1" t="str">
        <f>IF(Table1[[#This Row],[DUT Read]]="","N/A",Table1[[#This Row],[Std Error]]+Table1[[#This Row],[DUT Read]]+Table1[[#This Row],[DUT Ucty]])</f>
        <v>N/A</v>
      </c>
      <c r="Y1140" s="1" t="str">
        <f>IF(Table1[[#This Row],[Std Read]]="","N/A",Table1[[#This Row],[Std Read]]+Table1[[#This Row],[Std Ucty]])</f>
        <v>N/A</v>
      </c>
      <c r="Z11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0" s="1" t="str">
        <f>IF(Table1[[#This Row],[Spec Type]]="","N/A",Table1[[#This Row],[Spec Type]])</f>
        <v>±</v>
      </c>
      <c r="AC1140" s="1" t="str">
        <f>IF(Table1[[#This Row],[Spec Type2]]="N/A","N/A",IF(AND(Table1[[#This Row],[DUT Adj Read]]&gt;=Table1[[#This Row],[Low Tol]],Table1[[#This Row],[DUT Adj Read]]&lt;=Table1[[#This Row],[High Tol]]),"Pass","Fail"))</f>
        <v>Fail</v>
      </c>
      <c r="AD1140" s="1" t="str">
        <f>IF(AND(Table1[[#This Row],[Spec Type2]]="N/A",Table1[[#This Row],[DUT Adj Read]]="N/A",Table1[[#This Row],[Std Adj Read]]="N/A"),"N/A",IF(Table1[[#This Row],[DUT Adj Read]]="N/A",IF(Table1[[#This Row],[Std Adj Read]]&gt;Table1[[#This Row],[Low Tol]],"Pass","Fail"),IF(Table1[[#This Row],[DUT Adj Read]]&gt;Table1[[#This Row],[Low Tol]],"Pass","Fail")))</f>
        <v>Pass</v>
      </c>
      <c r="AE1140" s="1" t="str">
        <f>IF(AND(Table1[[#This Row],[Spec Type2]]="N/A",Table1[[#This Row],[DUT Adj Read]]="N/A",Table1[[#This Row],[Std Adj Read]]="N/A"),"N/A",IF(Table1[[#This Row],[DUT Adj Read]]="N/A",IF(Table1[[#This Row],[Std Adj Read]]&lt;Table1[[#This Row],[High Tol]],"Pass","Fail"),IF(Table1[[#This Row],[DUT Adj Read]]&lt;Table1[[#This Row],[High Tol]],"Pass","Fail")))</f>
        <v>Fail</v>
      </c>
      <c r="AF1140" s="1" t="str">
        <f>IF(AND(Table1[[#This Row],[Spec Type2]]="N/A",Table1[[#This Row],[DUT Adj Read]]="N/A",Table1[[#This Row],[Std Adj Read]]="N/A"),"N/A",IF(Table1[[#This Row],[DUT Adj Read]]="N/A",IF(Table1[[#This Row],[Std Adj Read]]&gt;=Table1[[#This Row],[Low Tol]],"Pass","Fail"),IF(Table1[[#This Row],[DUT Adj Read]]&gt;=Table1[[#This Row],[Low Tol]],"Pass","Fail")))</f>
        <v>Pass</v>
      </c>
      <c r="AG1140" s="1" t="str">
        <f>IF(AND(Table1[[#This Row],[Spec Type2]]="N/A",Table1[[#This Row],[DUT Adj Read]]="N/A",Table1[[#This Row],[Std Adj Read]]="N/A"),"N/A",IF(Table1[[#This Row],[DUT Adj Read]]="N/A",IF(Table1[[#This Row],[Std Adj Read]]&lt;=Table1[[#This Row],[High Tol]],"Pass","Fail"),IF(Table1[[#This Row],[DUT Adj Read]]&lt;=Table1[[#This Row],[High Tol]],"Pass","Fail")))</f>
        <v>Fail</v>
      </c>
      <c r="AH11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0" s="1" t="b">
        <v>0</v>
      </c>
      <c r="AN1140" s="1" t="b">
        <v>0</v>
      </c>
      <c r="AO1140" s="1" t="b">
        <v>0</v>
      </c>
    </row>
    <row r="1141" spans="1:41" x14ac:dyDescent="0.25">
      <c r="A1141" s="10"/>
      <c r="B1141" s="10"/>
      <c r="C1141" s="10"/>
      <c r="D1141" s="10"/>
      <c r="E1141" s="10"/>
      <c r="F1141" s="10"/>
      <c r="G1141" s="10"/>
      <c r="H1141" s="10"/>
      <c r="I1141" s="1" t="str">
        <f t="shared" si="51"/>
        <v/>
      </c>
      <c r="J1141" s="1" t="s">
        <v>35</v>
      </c>
      <c r="K1141" s="1" t="str">
        <f t="shared" si="52"/>
        <v/>
      </c>
      <c r="L1141" s="1" t="str">
        <f t="shared" si="53"/>
        <v/>
      </c>
      <c r="M1141" s="1">
        <f>IF(OR(Table1[[#This Row],[Std Nom]]="",Table1[[#This Row],[Std Read]]=""),0,Table1[[#This Row],[Std Nom]]-Table1[[#This Row],[Std Read]])</f>
        <v>0</v>
      </c>
      <c r="N1141" s="1">
        <f>IF(Calculations!$F$5="ACCREDITED 17025 WITH UNCERTAINTIES",$N$10,0)</f>
        <v>0</v>
      </c>
      <c r="Q1141" s="1">
        <f>Table1[[#This Row],[High Tol]]-Table1[[#This Row],[Low Tol]]</f>
        <v>0</v>
      </c>
      <c r="R1141" s="1">
        <f>2*Table1[[#This Row],[Std Error]]</f>
        <v>0</v>
      </c>
      <c r="S1141" s="1" t="str">
        <f>IF(Table1[[#This Row],[High Tol]]="","N/A",IFERROR(ABS(Table1[[#This Row],[Tol Span]]/Table1[[#This Row],[Error Span]]),"N/A"))</f>
        <v>N/A</v>
      </c>
      <c r="T1141" s="1" t="str">
        <f>IF(OR(Table1[[#This Row],[Low Tol]]="",Table1[[#This Row],[High Tol]]=""),"Needs Analysis",IF(Table1[[#This Row],[Ratio]]&gt;=4,"Not Significant",IF(Table1[[#This Row],[Ratio]]&gt;=2,"Semi-Significant","Significant")))</f>
        <v>Needs Analysis</v>
      </c>
      <c r="W1141" s="1">
        <f>IF(Table1[[#This Row],[Cal Type]]&lt;&gt;"ACCREDITED 17025 WITH UNCERTAINTIES",0,"")</f>
        <v>0</v>
      </c>
      <c r="X1141" s="1" t="str">
        <f>IF(Table1[[#This Row],[DUT Read]]="","N/A",Table1[[#This Row],[Std Error]]+Table1[[#This Row],[DUT Read]]+Table1[[#This Row],[DUT Ucty]])</f>
        <v>N/A</v>
      </c>
      <c r="Y1141" s="1" t="str">
        <f>IF(Table1[[#This Row],[Std Read]]="","N/A",Table1[[#This Row],[Std Read]]+Table1[[#This Row],[Std Ucty]])</f>
        <v>N/A</v>
      </c>
      <c r="Z11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1" s="1" t="str">
        <f>IF(Table1[[#This Row],[Spec Type]]="","N/A",Table1[[#This Row],[Spec Type]])</f>
        <v>±</v>
      </c>
      <c r="AC1141" s="1" t="str">
        <f>IF(Table1[[#This Row],[Spec Type2]]="N/A","N/A",IF(AND(Table1[[#This Row],[DUT Adj Read]]&gt;=Table1[[#This Row],[Low Tol]],Table1[[#This Row],[DUT Adj Read]]&lt;=Table1[[#This Row],[High Tol]]),"Pass","Fail"))</f>
        <v>Fail</v>
      </c>
      <c r="AD1141" s="1" t="str">
        <f>IF(AND(Table1[[#This Row],[Spec Type2]]="N/A",Table1[[#This Row],[DUT Adj Read]]="N/A",Table1[[#This Row],[Std Adj Read]]="N/A"),"N/A",IF(Table1[[#This Row],[DUT Adj Read]]="N/A",IF(Table1[[#This Row],[Std Adj Read]]&gt;Table1[[#This Row],[Low Tol]],"Pass","Fail"),IF(Table1[[#This Row],[DUT Adj Read]]&gt;Table1[[#This Row],[Low Tol]],"Pass","Fail")))</f>
        <v>Pass</v>
      </c>
      <c r="AE1141" s="1" t="str">
        <f>IF(AND(Table1[[#This Row],[Spec Type2]]="N/A",Table1[[#This Row],[DUT Adj Read]]="N/A",Table1[[#This Row],[Std Adj Read]]="N/A"),"N/A",IF(Table1[[#This Row],[DUT Adj Read]]="N/A",IF(Table1[[#This Row],[Std Adj Read]]&lt;Table1[[#This Row],[High Tol]],"Pass","Fail"),IF(Table1[[#This Row],[DUT Adj Read]]&lt;Table1[[#This Row],[High Tol]],"Pass","Fail")))</f>
        <v>Fail</v>
      </c>
      <c r="AF1141" s="1" t="str">
        <f>IF(AND(Table1[[#This Row],[Spec Type2]]="N/A",Table1[[#This Row],[DUT Adj Read]]="N/A",Table1[[#This Row],[Std Adj Read]]="N/A"),"N/A",IF(Table1[[#This Row],[DUT Adj Read]]="N/A",IF(Table1[[#This Row],[Std Adj Read]]&gt;=Table1[[#This Row],[Low Tol]],"Pass","Fail"),IF(Table1[[#This Row],[DUT Adj Read]]&gt;=Table1[[#This Row],[Low Tol]],"Pass","Fail")))</f>
        <v>Pass</v>
      </c>
      <c r="AG1141" s="1" t="str">
        <f>IF(AND(Table1[[#This Row],[Spec Type2]]="N/A",Table1[[#This Row],[DUT Adj Read]]="N/A",Table1[[#This Row],[Std Adj Read]]="N/A"),"N/A",IF(Table1[[#This Row],[DUT Adj Read]]="N/A",IF(Table1[[#This Row],[Std Adj Read]]&lt;=Table1[[#This Row],[High Tol]],"Pass","Fail"),IF(Table1[[#This Row],[DUT Adj Read]]&lt;=Table1[[#This Row],[High Tol]],"Pass","Fail")))</f>
        <v>Fail</v>
      </c>
      <c r="AH11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1" s="1" t="b">
        <v>0</v>
      </c>
      <c r="AN1141" s="1" t="b">
        <v>0</v>
      </c>
      <c r="AO1141" s="1" t="b">
        <v>0</v>
      </c>
    </row>
    <row r="1142" spans="1:41" x14ac:dyDescent="0.25">
      <c r="A1142" s="10"/>
      <c r="B1142" s="10"/>
      <c r="C1142" s="10"/>
      <c r="D1142" s="10"/>
      <c r="E1142" s="10"/>
      <c r="F1142" s="10"/>
      <c r="G1142" s="10"/>
      <c r="H1142" s="10"/>
      <c r="I1142" s="1" t="str">
        <f t="shared" si="51"/>
        <v/>
      </c>
      <c r="J1142" s="1" t="s">
        <v>35</v>
      </c>
      <c r="K1142" s="1" t="str">
        <f t="shared" si="52"/>
        <v/>
      </c>
      <c r="L1142" s="1" t="str">
        <f t="shared" si="53"/>
        <v/>
      </c>
      <c r="M1142" s="1">
        <f>IF(OR(Table1[[#This Row],[Std Nom]]="",Table1[[#This Row],[Std Read]]=""),0,Table1[[#This Row],[Std Nom]]-Table1[[#This Row],[Std Read]])</f>
        <v>0</v>
      </c>
      <c r="N1142" s="1">
        <f>IF(Calculations!$F$5="ACCREDITED 17025 WITH UNCERTAINTIES",$N$10,0)</f>
        <v>0</v>
      </c>
      <c r="Q1142" s="1">
        <f>Table1[[#This Row],[High Tol]]-Table1[[#This Row],[Low Tol]]</f>
        <v>0</v>
      </c>
      <c r="R1142" s="1">
        <f>2*Table1[[#This Row],[Std Error]]</f>
        <v>0</v>
      </c>
      <c r="S1142" s="1" t="str">
        <f>IF(Table1[[#This Row],[High Tol]]="","N/A",IFERROR(ABS(Table1[[#This Row],[Tol Span]]/Table1[[#This Row],[Error Span]]),"N/A"))</f>
        <v>N/A</v>
      </c>
      <c r="T1142" s="1" t="str">
        <f>IF(OR(Table1[[#This Row],[Low Tol]]="",Table1[[#This Row],[High Tol]]=""),"Needs Analysis",IF(Table1[[#This Row],[Ratio]]&gt;=4,"Not Significant",IF(Table1[[#This Row],[Ratio]]&gt;=2,"Semi-Significant","Significant")))</f>
        <v>Needs Analysis</v>
      </c>
      <c r="W1142" s="1">
        <f>IF(Table1[[#This Row],[Cal Type]]&lt;&gt;"ACCREDITED 17025 WITH UNCERTAINTIES",0,"")</f>
        <v>0</v>
      </c>
      <c r="X1142" s="1" t="str">
        <f>IF(Table1[[#This Row],[DUT Read]]="","N/A",Table1[[#This Row],[Std Error]]+Table1[[#This Row],[DUT Read]]+Table1[[#This Row],[DUT Ucty]])</f>
        <v>N/A</v>
      </c>
      <c r="Y1142" s="1" t="str">
        <f>IF(Table1[[#This Row],[Std Read]]="","N/A",Table1[[#This Row],[Std Read]]+Table1[[#This Row],[Std Ucty]])</f>
        <v>N/A</v>
      </c>
      <c r="Z11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2" s="1" t="str">
        <f>IF(Table1[[#This Row],[Spec Type]]="","N/A",Table1[[#This Row],[Spec Type]])</f>
        <v>±</v>
      </c>
      <c r="AC1142" s="1" t="str">
        <f>IF(Table1[[#This Row],[Spec Type2]]="N/A","N/A",IF(AND(Table1[[#This Row],[DUT Adj Read]]&gt;=Table1[[#This Row],[Low Tol]],Table1[[#This Row],[DUT Adj Read]]&lt;=Table1[[#This Row],[High Tol]]),"Pass","Fail"))</f>
        <v>Fail</v>
      </c>
      <c r="AD1142" s="1" t="str">
        <f>IF(AND(Table1[[#This Row],[Spec Type2]]="N/A",Table1[[#This Row],[DUT Adj Read]]="N/A",Table1[[#This Row],[Std Adj Read]]="N/A"),"N/A",IF(Table1[[#This Row],[DUT Adj Read]]="N/A",IF(Table1[[#This Row],[Std Adj Read]]&gt;Table1[[#This Row],[Low Tol]],"Pass","Fail"),IF(Table1[[#This Row],[DUT Adj Read]]&gt;Table1[[#This Row],[Low Tol]],"Pass","Fail")))</f>
        <v>Pass</v>
      </c>
      <c r="AE1142" s="1" t="str">
        <f>IF(AND(Table1[[#This Row],[Spec Type2]]="N/A",Table1[[#This Row],[DUT Adj Read]]="N/A",Table1[[#This Row],[Std Adj Read]]="N/A"),"N/A",IF(Table1[[#This Row],[DUT Adj Read]]="N/A",IF(Table1[[#This Row],[Std Adj Read]]&lt;Table1[[#This Row],[High Tol]],"Pass","Fail"),IF(Table1[[#This Row],[DUT Adj Read]]&lt;Table1[[#This Row],[High Tol]],"Pass","Fail")))</f>
        <v>Fail</v>
      </c>
      <c r="AF1142" s="1" t="str">
        <f>IF(AND(Table1[[#This Row],[Spec Type2]]="N/A",Table1[[#This Row],[DUT Adj Read]]="N/A",Table1[[#This Row],[Std Adj Read]]="N/A"),"N/A",IF(Table1[[#This Row],[DUT Adj Read]]="N/A",IF(Table1[[#This Row],[Std Adj Read]]&gt;=Table1[[#This Row],[Low Tol]],"Pass","Fail"),IF(Table1[[#This Row],[DUT Adj Read]]&gt;=Table1[[#This Row],[Low Tol]],"Pass","Fail")))</f>
        <v>Pass</v>
      </c>
      <c r="AG1142" s="1" t="str">
        <f>IF(AND(Table1[[#This Row],[Spec Type2]]="N/A",Table1[[#This Row],[DUT Adj Read]]="N/A",Table1[[#This Row],[Std Adj Read]]="N/A"),"N/A",IF(Table1[[#This Row],[DUT Adj Read]]="N/A",IF(Table1[[#This Row],[Std Adj Read]]&lt;=Table1[[#This Row],[High Tol]],"Pass","Fail"),IF(Table1[[#This Row],[DUT Adj Read]]&lt;=Table1[[#This Row],[High Tol]],"Pass","Fail")))</f>
        <v>Fail</v>
      </c>
      <c r="AH11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2" s="1" t="b">
        <v>0</v>
      </c>
      <c r="AN1142" s="1" t="b">
        <v>0</v>
      </c>
      <c r="AO1142" s="1" t="b">
        <v>0</v>
      </c>
    </row>
    <row r="1143" spans="1:41" x14ac:dyDescent="0.25">
      <c r="A1143" s="10"/>
      <c r="B1143" s="10"/>
      <c r="C1143" s="10"/>
      <c r="D1143" s="10"/>
      <c r="E1143" s="10"/>
      <c r="F1143" s="10"/>
      <c r="G1143" s="10"/>
      <c r="H1143" s="10"/>
      <c r="I1143" s="1" t="str">
        <f t="shared" si="51"/>
        <v/>
      </c>
      <c r="J1143" s="1" t="s">
        <v>35</v>
      </c>
      <c r="K1143" s="1" t="str">
        <f t="shared" si="52"/>
        <v/>
      </c>
      <c r="L1143" s="1" t="str">
        <f t="shared" si="53"/>
        <v/>
      </c>
      <c r="M1143" s="1">
        <f>IF(OR(Table1[[#This Row],[Std Nom]]="",Table1[[#This Row],[Std Read]]=""),0,Table1[[#This Row],[Std Nom]]-Table1[[#This Row],[Std Read]])</f>
        <v>0</v>
      </c>
      <c r="N1143" s="1">
        <f>IF(Calculations!$F$5="ACCREDITED 17025 WITH UNCERTAINTIES",$N$10,0)</f>
        <v>0</v>
      </c>
      <c r="Q1143" s="1">
        <f>Table1[[#This Row],[High Tol]]-Table1[[#This Row],[Low Tol]]</f>
        <v>0</v>
      </c>
      <c r="R1143" s="1">
        <f>2*Table1[[#This Row],[Std Error]]</f>
        <v>0</v>
      </c>
      <c r="S1143" s="1" t="str">
        <f>IF(Table1[[#This Row],[High Tol]]="","N/A",IFERROR(ABS(Table1[[#This Row],[Tol Span]]/Table1[[#This Row],[Error Span]]),"N/A"))</f>
        <v>N/A</v>
      </c>
      <c r="T1143" s="1" t="str">
        <f>IF(OR(Table1[[#This Row],[Low Tol]]="",Table1[[#This Row],[High Tol]]=""),"Needs Analysis",IF(Table1[[#This Row],[Ratio]]&gt;=4,"Not Significant",IF(Table1[[#This Row],[Ratio]]&gt;=2,"Semi-Significant","Significant")))</f>
        <v>Needs Analysis</v>
      </c>
      <c r="W1143" s="1">
        <f>IF(Table1[[#This Row],[Cal Type]]&lt;&gt;"ACCREDITED 17025 WITH UNCERTAINTIES",0,"")</f>
        <v>0</v>
      </c>
      <c r="X1143" s="1" t="str">
        <f>IF(Table1[[#This Row],[DUT Read]]="","N/A",Table1[[#This Row],[Std Error]]+Table1[[#This Row],[DUT Read]]+Table1[[#This Row],[DUT Ucty]])</f>
        <v>N/A</v>
      </c>
      <c r="Y1143" s="1" t="str">
        <f>IF(Table1[[#This Row],[Std Read]]="","N/A",Table1[[#This Row],[Std Read]]+Table1[[#This Row],[Std Ucty]])</f>
        <v>N/A</v>
      </c>
      <c r="Z11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3" s="1" t="str">
        <f>IF(Table1[[#This Row],[Spec Type]]="","N/A",Table1[[#This Row],[Spec Type]])</f>
        <v>±</v>
      </c>
      <c r="AC1143" s="1" t="str">
        <f>IF(Table1[[#This Row],[Spec Type2]]="N/A","N/A",IF(AND(Table1[[#This Row],[DUT Adj Read]]&gt;=Table1[[#This Row],[Low Tol]],Table1[[#This Row],[DUT Adj Read]]&lt;=Table1[[#This Row],[High Tol]]),"Pass","Fail"))</f>
        <v>Fail</v>
      </c>
      <c r="AD1143" s="1" t="str">
        <f>IF(AND(Table1[[#This Row],[Spec Type2]]="N/A",Table1[[#This Row],[DUT Adj Read]]="N/A",Table1[[#This Row],[Std Adj Read]]="N/A"),"N/A",IF(Table1[[#This Row],[DUT Adj Read]]="N/A",IF(Table1[[#This Row],[Std Adj Read]]&gt;Table1[[#This Row],[Low Tol]],"Pass","Fail"),IF(Table1[[#This Row],[DUT Adj Read]]&gt;Table1[[#This Row],[Low Tol]],"Pass","Fail")))</f>
        <v>Pass</v>
      </c>
      <c r="AE1143" s="1" t="str">
        <f>IF(AND(Table1[[#This Row],[Spec Type2]]="N/A",Table1[[#This Row],[DUT Adj Read]]="N/A",Table1[[#This Row],[Std Adj Read]]="N/A"),"N/A",IF(Table1[[#This Row],[DUT Adj Read]]="N/A",IF(Table1[[#This Row],[Std Adj Read]]&lt;Table1[[#This Row],[High Tol]],"Pass","Fail"),IF(Table1[[#This Row],[DUT Adj Read]]&lt;Table1[[#This Row],[High Tol]],"Pass","Fail")))</f>
        <v>Fail</v>
      </c>
      <c r="AF1143" s="1" t="str">
        <f>IF(AND(Table1[[#This Row],[Spec Type2]]="N/A",Table1[[#This Row],[DUT Adj Read]]="N/A",Table1[[#This Row],[Std Adj Read]]="N/A"),"N/A",IF(Table1[[#This Row],[DUT Adj Read]]="N/A",IF(Table1[[#This Row],[Std Adj Read]]&gt;=Table1[[#This Row],[Low Tol]],"Pass","Fail"),IF(Table1[[#This Row],[DUT Adj Read]]&gt;=Table1[[#This Row],[Low Tol]],"Pass","Fail")))</f>
        <v>Pass</v>
      </c>
      <c r="AG1143" s="1" t="str">
        <f>IF(AND(Table1[[#This Row],[Spec Type2]]="N/A",Table1[[#This Row],[DUT Adj Read]]="N/A",Table1[[#This Row],[Std Adj Read]]="N/A"),"N/A",IF(Table1[[#This Row],[DUT Adj Read]]="N/A",IF(Table1[[#This Row],[Std Adj Read]]&lt;=Table1[[#This Row],[High Tol]],"Pass","Fail"),IF(Table1[[#This Row],[DUT Adj Read]]&lt;=Table1[[#This Row],[High Tol]],"Pass","Fail")))</f>
        <v>Fail</v>
      </c>
      <c r="AH11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3" s="1" t="b">
        <v>0</v>
      </c>
      <c r="AN1143" s="1" t="b">
        <v>0</v>
      </c>
      <c r="AO1143" s="1" t="b">
        <v>0</v>
      </c>
    </row>
    <row r="1144" spans="1:41" x14ac:dyDescent="0.25">
      <c r="A1144" s="10"/>
      <c r="B1144" s="10"/>
      <c r="C1144" s="10"/>
      <c r="D1144" s="10"/>
      <c r="E1144" s="10"/>
      <c r="F1144" s="10"/>
      <c r="G1144" s="10"/>
      <c r="H1144" s="10"/>
      <c r="I1144" s="1" t="str">
        <f t="shared" si="51"/>
        <v/>
      </c>
      <c r="J1144" s="1" t="s">
        <v>35</v>
      </c>
      <c r="K1144" s="1" t="str">
        <f t="shared" si="52"/>
        <v/>
      </c>
      <c r="L1144" s="1" t="str">
        <f t="shared" si="53"/>
        <v/>
      </c>
      <c r="M1144" s="1">
        <f>IF(OR(Table1[[#This Row],[Std Nom]]="",Table1[[#This Row],[Std Read]]=""),0,Table1[[#This Row],[Std Nom]]-Table1[[#This Row],[Std Read]])</f>
        <v>0</v>
      </c>
      <c r="N1144" s="1">
        <f>IF(Calculations!$F$5="ACCREDITED 17025 WITH UNCERTAINTIES",$N$10,0)</f>
        <v>0</v>
      </c>
      <c r="Q1144" s="1">
        <f>Table1[[#This Row],[High Tol]]-Table1[[#This Row],[Low Tol]]</f>
        <v>0</v>
      </c>
      <c r="R1144" s="1">
        <f>2*Table1[[#This Row],[Std Error]]</f>
        <v>0</v>
      </c>
      <c r="S1144" s="1" t="str">
        <f>IF(Table1[[#This Row],[High Tol]]="","N/A",IFERROR(ABS(Table1[[#This Row],[Tol Span]]/Table1[[#This Row],[Error Span]]),"N/A"))</f>
        <v>N/A</v>
      </c>
      <c r="T1144" s="1" t="str">
        <f>IF(OR(Table1[[#This Row],[Low Tol]]="",Table1[[#This Row],[High Tol]]=""),"Needs Analysis",IF(Table1[[#This Row],[Ratio]]&gt;=4,"Not Significant",IF(Table1[[#This Row],[Ratio]]&gt;=2,"Semi-Significant","Significant")))</f>
        <v>Needs Analysis</v>
      </c>
      <c r="W1144" s="1">
        <f>IF(Table1[[#This Row],[Cal Type]]&lt;&gt;"ACCREDITED 17025 WITH UNCERTAINTIES",0,"")</f>
        <v>0</v>
      </c>
      <c r="X1144" s="1" t="str">
        <f>IF(Table1[[#This Row],[DUT Read]]="","N/A",Table1[[#This Row],[Std Error]]+Table1[[#This Row],[DUT Read]]+Table1[[#This Row],[DUT Ucty]])</f>
        <v>N/A</v>
      </c>
      <c r="Y1144" s="1" t="str">
        <f>IF(Table1[[#This Row],[Std Read]]="","N/A",Table1[[#This Row],[Std Read]]+Table1[[#This Row],[Std Ucty]])</f>
        <v>N/A</v>
      </c>
      <c r="Z11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4" s="1" t="str">
        <f>IF(Table1[[#This Row],[Spec Type]]="","N/A",Table1[[#This Row],[Spec Type]])</f>
        <v>±</v>
      </c>
      <c r="AC1144" s="1" t="str">
        <f>IF(Table1[[#This Row],[Spec Type2]]="N/A","N/A",IF(AND(Table1[[#This Row],[DUT Adj Read]]&gt;=Table1[[#This Row],[Low Tol]],Table1[[#This Row],[DUT Adj Read]]&lt;=Table1[[#This Row],[High Tol]]),"Pass","Fail"))</f>
        <v>Fail</v>
      </c>
      <c r="AD1144" s="1" t="str">
        <f>IF(AND(Table1[[#This Row],[Spec Type2]]="N/A",Table1[[#This Row],[DUT Adj Read]]="N/A",Table1[[#This Row],[Std Adj Read]]="N/A"),"N/A",IF(Table1[[#This Row],[DUT Adj Read]]="N/A",IF(Table1[[#This Row],[Std Adj Read]]&gt;Table1[[#This Row],[Low Tol]],"Pass","Fail"),IF(Table1[[#This Row],[DUT Adj Read]]&gt;Table1[[#This Row],[Low Tol]],"Pass","Fail")))</f>
        <v>Pass</v>
      </c>
      <c r="AE1144" s="1" t="str">
        <f>IF(AND(Table1[[#This Row],[Spec Type2]]="N/A",Table1[[#This Row],[DUT Adj Read]]="N/A",Table1[[#This Row],[Std Adj Read]]="N/A"),"N/A",IF(Table1[[#This Row],[DUT Adj Read]]="N/A",IF(Table1[[#This Row],[Std Adj Read]]&lt;Table1[[#This Row],[High Tol]],"Pass","Fail"),IF(Table1[[#This Row],[DUT Adj Read]]&lt;Table1[[#This Row],[High Tol]],"Pass","Fail")))</f>
        <v>Fail</v>
      </c>
      <c r="AF1144" s="1" t="str">
        <f>IF(AND(Table1[[#This Row],[Spec Type2]]="N/A",Table1[[#This Row],[DUT Adj Read]]="N/A",Table1[[#This Row],[Std Adj Read]]="N/A"),"N/A",IF(Table1[[#This Row],[DUT Adj Read]]="N/A",IF(Table1[[#This Row],[Std Adj Read]]&gt;=Table1[[#This Row],[Low Tol]],"Pass","Fail"),IF(Table1[[#This Row],[DUT Adj Read]]&gt;=Table1[[#This Row],[Low Tol]],"Pass","Fail")))</f>
        <v>Pass</v>
      </c>
      <c r="AG1144" s="1" t="str">
        <f>IF(AND(Table1[[#This Row],[Spec Type2]]="N/A",Table1[[#This Row],[DUT Adj Read]]="N/A",Table1[[#This Row],[Std Adj Read]]="N/A"),"N/A",IF(Table1[[#This Row],[DUT Adj Read]]="N/A",IF(Table1[[#This Row],[Std Adj Read]]&lt;=Table1[[#This Row],[High Tol]],"Pass","Fail"),IF(Table1[[#This Row],[DUT Adj Read]]&lt;=Table1[[#This Row],[High Tol]],"Pass","Fail")))</f>
        <v>Fail</v>
      </c>
      <c r="AH11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4" s="1" t="b">
        <v>0</v>
      </c>
      <c r="AN1144" s="1" t="b">
        <v>0</v>
      </c>
      <c r="AO1144" s="1" t="b">
        <v>0</v>
      </c>
    </row>
    <row r="1145" spans="1:41" x14ac:dyDescent="0.25">
      <c r="A1145" s="10"/>
      <c r="B1145" s="10"/>
      <c r="C1145" s="10"/>
      <c r="D1145" s="10"/>
      <c r="E1145" s="10"/>
      <c r="F1145" s="10"/>
      <c r="G1145" s="10"/>
      <c r="H1145" s="10"/>
      <c r="I1145" s="1" t="str">
        <f t="shared" si="51"/>
        <v/>
      </c>
      <c r="J1145" s="1" t="s">
        <v>35</v>
      </c>
      <c r="K1145" s="1" t="str">
        <f t="shared" si="52"/>
        <v/>
      </c>
      <c r="L1145" s="1" t="str">
        <f t="shared" si="53"/>
        <v/>
      </c>
      <c r="M1145" s="1">
        <f>IF(OR(Table1[[#This Row],[Std Nom]]="",Table1[[#This Row],[Std Read]]=""),0,Table1[[#This Row],[Std Nom]]-Table1[[#This Row],[Std Read]])</f>
        <v>0</v>
      </c>
      <c r="N1145" s="1">
        <f>IF(Calculations!$F$5="ACCREDITED 17025 WITH UNCERTAINTIES",$N$10,0)</f>
        <v>0</v>
      </c>
      <c r="Q1145" s="1">
        <f>Table1[[#This Row],[High Tol]]-Table1[[#This Row],[Low Tol]]</f>
        <v>0</v>
      </c>
      <c r="R1145" s="1">
        <f>2*Table1[[#This Row],[Std Error]]</f>
        <v>0</v>
      </c>
      <c r="S1145" s="1" t="str">
        <f>IF(Table1[[#This Row],[High Tol]]="","N/A",IFERROR(ABS(Table1[[#This Row],[Tol Span]]/Table1[[#This Row],[Error Span]]),"N/A"))</f>
        <v>N/A</v>
      </c>
      <c r="T1145" s="1" t="str">
        <f>IF(OR(Table1[[#This Row],[Low Tol]]="",Table1[[#This Row],[High Tol]]=""),"Needs Analysis",IF(Table1[[#This Row],[Ratio]]&gt;=4,"Not Significant",IF(Table1[[#This Row],[Ratio]]&gt;=2,"Semi-Significant","Significant")))</f>
        <v>Needs Analysis</v>
      </c>
      <c r="W1145" s="1">
        <f>IF(Table1[[#This Row],[Cal Type]]&lt;&gt;"ACCREDITED 17025 WITH UNCERTAINTIES",0,"")</f>
        <v>0</v>
      </c>
      <c r="X1145" s="1" t="str">
        <f>IF(Table1[[#This Row],[DUT Read]]="","N/A",Table1[[#This Row],[Std Error]]+Table1[[#This Row],[DUT Read]]+Table1[[#This Row],[DUT Ucty]])</f>
        <v>N/A</v>
      </c>
      <c r="Y1145" s="1" t="str">
        <f>IF(Table1[[#This Row],[Std Read]]="","N/A",Table1[[#This Row],[Std Read]]+Table1[[#This Row],[Std Ucty]])</f>
        <v>N/A</v>
      </c>
      <c r="Z11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5" s="1" t="str">
        <f>IF(Table1[[#This Row],[Spec Type]]="","N/A",Table1[[#This Row],[Spec Type]])</f>
        <v>±</v>
      </c>
      <c r="AC1145" s="1" t="str">
        <f>IF(Table1[[#This Row],[Spec Type2]]="N/A","N/A",IF(AND(Table1[[#This Row],[DUT Adj Read]]&gt;=Table1[[#This Row],[Low Tol]],Table1[[#This Row],[DUT Adj Read]]&lt;=Table1[[#This Row],[High Tol]]),"Pass","Fail"))</f>
        <v>Fail</v>
      </c>
      <c r="AD1145" s="1" t="str">
        <f>IF(AND(Table1[[#This Row],[Spec Type2]]="N/A",Table1[[#This Row],[DUT Adj Read]]="N/A",Table1[[#This Row],[Std Adj Read]]="N/A"),"N/A",IF(Table1[[#This Row],[DUT Adj Read]]="N/A",IF(Table1[[#This Row],[Std Adj Read]]&gt;Table1[[#This Row],[Low Tol]],"Pass","Fail"),IF(Table1[[#This Row],[DUT Adj Read]]&gt;Table1[[#This Row],[Low Tol]],"Pass","Fail")))</f>
        <v>Pass</v>
      </c>
      <c r="AE1145" s="1" t="str">
        <f>IF(AND(Table1[[#This Row],[Spec Type2]]="N/A",Table1[[#This Row],[DUT Adj Read]]="N/A",Table1[[#This Row],[Std Adj Read]]="N/A"),"N/A",IF(Table1[[#This Row],[DUT Adj Read]]="N/A",IF(Table1[[#This Row],[Std Adj Read]]&lt;Table1[[#This Row],[High Tol]],"Pass","Fail"),IF(Table1[[#This Row],[DUT Adj Read]]&lt;Table1[[#This Row],[High Tol]],"Pass","Fail")))</f>
        <v>Fail</v>
      </c>
      <c r="AF1145" s="1" t="str">
        <f>IF(AND(Table1[[#This Row],[Spec Type2]]="N/A",Table1[[#This Row],[DUT Adj Read]]="N/A",Table1[[#This Row],[Std Adj Read]]="N/A"),"N/A",IF(Table1[[#This Row],[DUT Adj Read]]="N/A",IF(Table1[[#This Row],[Std Adj Read]]&gt;=Table1[[#This Row],[Low Tol]],"Pass","Fail"),IF(Table1[[#This Row],[DUT Adj Read]]&gt;=Table1[[#This Row],[Low Tol]],"Pass","Fail")))</f>
        <v>Pass</v>
      </c>
      <c r="AG1145" s="1" t="str">
        <f>IF(AND(Table1[[#This Row],[Spec Type2]]="N/A",Table1[[#This Row],[DUT Adj Read]]="N/A",Table1[[#This Row],[Std Adj Read]]="N/A"),"N/A",IF(Table1[[#This Row],[DUT Adj Read]]="N/A",IF(Table1[[#This Row],[Std Adj Read]]&lt;=Table1[[#This Row],[High Tol]],"Pass","Fail"),IF(Table1[[#This Row],[DUT Adj Read]]&lt;=Table1[[#This Row],[High Tol]],"Pass","Fail")))</f>
        <v>Fail</v>
      </c>
      <c r="AH11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5" s="1" t="b">
        <v>0</v>
      </c>
      <c r="AN1145" s="1" t="b">
        <v>0</v>
      </c>
      <c r="AO1145" s="1" t="b">
        <v>0</v>
      </c>
    </row>
    <row r="1146" spans="1:41" x14ac:dyDescent="0.25">
      <c r="A1146" s="10"/>
      <c r="B1146" s="10"/>
      <c r="C1146" s="10"/>
      <c r="D1146" s="10"/>
      <c r="E1146" s="10"/>
      <c r="F1146" s="10"/>
      <c r="G1146" s="10"/>
      <c r="H1146" s="10"/>
      <c r="I1146" s="1" t="str">
        <f t="shared" si="51"/>
        <v/>
      </c>
      <c r="J1146" s="1" t="s">
        <v>35</v>
      </c>
      <c r="K1146" s="1" t="str">
        <f t="shared" si="52"/>
        <v/>
      </c>
      <c r="L1146" s="1" t="str">
        <f t="shared" si="53"/>
        <v/>
      </c>
      <c r="M1146" s="1">
        <f>IF(OR(Table1[[#This Row],[Std Nom]]="",Table1[[#This Row],[Std Read]]=""),0,Table1[[#This Row],[Std Nom]]-Table1[[#This Row],[Std Read]])</f>
        <v>0</v>
      </c>
      <c r="N1146" s="1">
        <f>IF(Calculations!$F$5="ACCREDITED 17025 WITH UNCERTAINTIES",$N$10,0)</f>
        <v>0</v>
      </c>
      <c r="Q1146" s="1">
        <f>Table1[[#This Row],[High Tol]]-Table1[[#This Row],[Low Tol]]</f>
        <v>0</v>
      </c>
      <c r="R1146" s="1">
        <f>2*Table1[[#This Row],[Std Error]]</f>
        <v>0</v>
      </c>
      <c r="S1146" s="1" t="str">
        <f>IF(Table1[[#This Row],[High Tol]]="","N/A",IFERROR(ABS(Table1[[#This Row],[Tol Span]]/Table1[[#This Row],[Error Span]]),"N/A"))</f>
        <v>N/A</v>
      </c>
      <c r="T1146" s="1" t="str">
        <f>IF(OR(Table1[[#This Row],[Low Tol]]="",Table1[[#This Row],[High Tol]]=""),"Needs Analysis",IF(Table1[[#This Row],[Ratio]]&gt;=4,"Not Significant",IF(Table1[[#This Row],[Ratio]]&gt;=2,"Semi-Significant","Significant")))</f>
        <v>Needs Analysis</v>
      </c>
      <c r="W1146" s="1">
        <f>IF(Table1[[#This Row],[Cal Type]]&lt;&gt;"ACCREDITED 17025 WITH UNCERTAINTIES",0,"")</f>
        <v>0</v>
      </c>
      <c r="X1146" s="1" t="str">
        <f>IF(Table1[[#This Row],[DUT Read]]="","N/A",Table1[[#This Row],[Std Error]]+Table1[[#This Row],[DUT Read]]+Table1[[#This Row],[DUT Ucty]])</f>
        <v>N/A</v>
      </c>
      <c r="Y1146" s="1" t="str">
        <f>IF(Table1[[#This Row],[Std Read]]="","N/A",Table1[[#This Row],[Std Read]]+Table1[[#This Row],[Std Ucty]])</f>
        <v>N/A</v>
      </c>
      <c r="Z11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6" s="1" t="str">
        <f>IF(Table1[[#This Row],[Spec Type]]="","N/A",Table1[[#This Row],[Spec Type]])</f>
        <v>±</v>
      </c>
      <c r="AC1146" s="1" t="str">
        <f>IF(Table1[[#This Row],[Spec Type2]]="N/A","N/A",IF(AND(Table1[[#This Row],[DUT Adj Read]]&gt;=Table1[[#This Row],[Low Tol]],Table1[[#This Row],[DUT Adj Read]]&lt;=Table1[[#This Row],[High Tol]]),"Pass","Fail"))</f>
        <v>Fail</v>
      </c>
      <c r="AD1146" s="1" t="str">
        <f>IF(AND(Table1[[#This Row],[Spec Type2]]="N/A",Table1[[#This Row],[DUT Adj Read]]="N/A",Table1[[#This Row],[Std Adj Read]]="N/A"),"N/A",IF(Table1[[#This Row],[DUT Adj Read]]="N/A",IF(Table1[[#This Row],[Std Adj Read]]&gt;Table1[[#This Row],[Low Tol]],"Pass","Fail"),IF(Table1[[#This Row],[DUT Adj Read]]&gt;Table1[[#This Row],[Low Tol]],"Pass","Fail")))</f>
        <v>Pass</v>
      </c>
      <c r="AE1146" s="1" t="str">
        <f>IF(AND(Table1[[#This Row],[Spec Type2]]="N/A",Table1[[#This Row],[DUT Adj Read]]="N/A",Table1[[#This Row],[Std Adj Read]]="N/A"),"N/A",IF(Table1[[#This Row],[DUT Adj Read]]="N/A",IF(Table1[[#This Row],[Std Adj Read]]&lt;Table1[[#This Row],[High Tol]],"Pass","Fail"),IF(Table1[[#This Row],[DUT Adj Read]]&lt;Table1[[#This Row],[High Tol]],"Pass","Fail")))</f>
        <v>Fail</v>
      </c>
      <c r="AF1146" s="1" t="str">
        <f>IF(AND(Table1[[#This Row],[Spec Type2]]="N/A",Table1[[#This Row],[DUT Adj Read]]="N/A",Table1[[#This Row],[Std Adj Read]]="N/A"),"N/A",IF(Table1[[#This Row],[DUT Adj Read]]="N/A",IF(Table1[[#This Row],[Std Adj Read]]&gt;=Table1[[#This Row],[Low Tol]],"Pass","Fail"),IF(Table1[[#This Row],[DUT Adj Read]]&gt;=Table1[[#This Row],[Low Tol]],"Pass","Fail")))</f>
        <v>Pass</v>
      </c>
      <c r="AG1146" s="1" t="str">
        <f>IF(AND(Table1[[#This Row],[Spec Type2]]="N/A",Table1[[#This Row],[DUT Adj Read]]="N/A",Table1[[#This Row],[Std Adj Read]]="N/A"),"N/A",IF(Table1[[#This Row],[DUT Adj Read]]="N/A",IF(Table1[[#This Row],[Std Adj Read]]&lt;=Table1[[#This Row],[High Tol]],"Pass","Fail"),IF(Table1[[#This Row],[DUT Adj Read]]&lt;=Table1[[#This Row],[High Tol]],"Pass","Fail")))</f>
        <v>Fail</v>
      </c>
      <c r="AH11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6" s="1" t="b">
        <v>0</v>
      </c>
      <c r="AN1146" s="1" t="b">
        <v>0</v>
      </c>
      <c r="AO1146" s="1" t="b">
        <v>0</v>
      </c>
    </row>
    <row r="1147" spans="1:41" x14ac:dyDescent="0.25">
      <c r="A1147" s="10"/>
      <c r="B1147" s="10"/>
      <c r="C1147" s="10"/>
      <c r="D1147" s="10"/>
      <c r="E1147" s="10"/>
      <c r="F1147" s="10"/>
      <c r="G1147" s="10"/>
      <c r="H1147" s="10"/>
      <c r="I1147" s="1" t="str">
        <f t="shared" si="51"/>
        <v/>
      </c>
      <c r="J1147" s="1" t="s">
        <v>35</v>
      </c>
      <c r="K1147" s="1" t="str">
        <f t="shared" si="52"/>
        <v/>
      </c>
      <c r="L1147" s="1" t="str">
        <f t="shared" si="53"/>
        <v/>
      </c>
      <c r="M1147" s="1">
        <f>IF(OR(Table1[[#This Row],[Std Nom]]="",Table1[[#This Row],[Std Read]]=""),0,Table1[[#This Row],[Std Nom]]-Table1[[#This Row],[Std Read]])</f>
        <v>0</v>
      </c>
      <c r="N1147" s="1">
        <f>IF(Calculations!$F$5="ACCREDITED 17025 WITH UNCERTAINTIES",$N$10,0)</f>
        <v>0</v>
      </c>
      <c r="Q1147" s="1">
        <f>Table1[[#This Row],[High Tol]]-Table1[[#This Row],[Low Tol]]</f>
        <v>0</v>
      </c>
      <c r="R1147" s="1">
        <f>2*Table1[[#This Row],[Std Error]]</f>
        <v>0</v>
      </c>
      <c r="S1147" s="1" t="str">
        <f>IF(Table1[[#This Row],[High Tol]]="","N/A",IFERROR(ABS(Table1[[#This Row],[Tol Span]]/Table1[[#This Row],[Error Span]]),"N/A"))</f>
        <v>N/A</v>
      </c>
      <c r="T1147" s="1" t="str">
        <f>IF(OR(Table1[[#This Row],[Low Tol]]="",Table1[[#This Row],[High Tol]]=""),"Needs Analysis",IF(Table1[[#This Row],[Ratio]]&gt;=4,"Not Significant",IF(Table1[[#This Row],[Ratio]]&gt;=2,"Semi-Significant","Significant")))</f>
        <v>Needs Analysis</v>
      </c>
      <c r="W1147" s="1">
        <f>IF(Table1[[#This Row],[Cal Type]]&lt;&gt;"ACCREDITED 17025 WITH UNCERTAINTIES",0,"")</f>
        <v>0</v>
      </c>
      <c r="X1147" s="1" t="str">
        <f>IF(Table1[[#This Row],[DUT Read]]="","N/A",Table1[[#This Row],[Std Error]]+Table1[[#This Row],[DUT Read]]+Table1[[#This Row],[DUT Ucty]])</f>
        <v>N/A</v>
      </c>
      <c r="Y1147" s="1" t="str">
        <f>IF(Table1[[#This Row],[Std Read]]="","N/A",Table1[[#This Row],[Std Read]]+Table1[[#This Row],[Std Ucty]])</f>
        <v>N/A</v>
      </c>
      <c r="Z11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7" s="1" t="str">
        <f>IF(Table1[[#This Row],[Spec Type]]="","N/A",Table1[[#This Row],[Spec Type]])</f>
        <v>±</v>
      </c>
      <c r="AC1147" s="1" t="str">
        <f>IF(Table1[[#This Row],[Spec Type2]]="N/A","N/A",IF(AND(Table1[[#This Row],[DUT Adj Read]]&gt;=Table1[[#This Row],[Low Tol]],Table1[[#This Row],[DUT Adj Read]]&lt;=Table1[[#This Row],[High Tol]]),"Pass","Fail"))</f>
        <v>Fail</v>
      </c>
      <c r="AD1147" s="1" t="str">
        <f>IF(AND(Table1[[#This Row],[Spec Type2]]="N/A",Table1[[#This Row],[DUT Adj Read]]="N/A",Table1[[#This Row],[Std Adj Read]]="N/A"),"N/A",IF(Table1[[#This Row],[DUT Adj Read]]="N/A",IF(Table1[[#This Row],[Std Adj Read]]&gt;Table1[[#This Row],[Low Tol]],"Pass","Fail"),IF(Table1[[#This Row],[DUT Adj Read]]&gt;Table1[[#This Row],[Low Tol]],"Pass","Fail")))</f>
        <v>Pass</v>
      </c>
      <c r="AE1147" s="1" t="str">
        <f>IF(AND(Table1[[#This Row],[Spec Type2]]="N/A",Table1[[#This Row],[DUT Adj Read]]="N/A",Table1[[#This Row],[Std Adj Read]]="N/A"),"N/A",IF(Table1[[#This Row],[DUT Adj Read]]="N/A",IF(Table1[[#This Row],[Std Adj Read]]&lt;Table1[[#This Row],[High Tol]],"Pass","Fail"),IF(Table1[[#This Row],[DUT Adj Read]]&lt;Table1[[#This Row],[High Tol]],"Pass","Fail")))</f>
        <v>Fail</v>
      </c>
      <c r="AF1147" s="1" t="str">
        <f>IF(AND(Table1[[#This Row],[Spec Type2]]="N/A",Table1[[#This Row],[DUT Adj Read]]="N/A",Table1[[#This Row],[Std Adj Read]]="N/A"),"N/A",IF(Table1[[#This Row],[DUT Adj Read]]="N/A",IF(Table1[[#This Row],[Std Adj Read]]&gt;=Table1[[#This Row],[Low Tol]],"Pass","Fail"),IF(Table1[[#This Row],[DUT Adj Read]]&gt;=Table1[[#This Row],[Low Tol]],"Pass","Fail")))</f>
        <v>Pass</v>
      </c>
      <c r="AG1147" s="1" t="str">
        <f>IF(AND(Table1[[#This Row],[Spec Type2]]="N/A",Table1[[#This Row],[DUT Adj Read]]="N/A",Table1[[#This Row],[Std Adj Read]]="N/A"),"N/A",IF(Table1[[#This Row],[DUT Adj Read]]="N/A",IF(Table1[[#This Row],[Std Adj Read]]&lt;=Table1[[#This Row],[High Tol]],"Pass","Fail"),IF(Table1[[#This Row],[DUT Adj Read]]&lt;=Table1[[#This Row],[High Tol]],"Pass","Fail")))</f>
        <v>Fail</v>
      </c>
      <c r="AH11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7" s="1" t="b">
        <v>0</v>
      </c>
      <c r="AN1147" s="1" t="b">
        <v>0</v>
      </c>
      <c r="AO1147" s="1" t="b">
        <v>0</v>
      </c>
    </row>
    <row r="1148" spans="1:41" x14ac:dyDescent="0.25">
      <c r="A1148" s="10"/>
      <c r="B1148" s="10"/>
      <c r="C1148" s="10"/>
      <c r="D1148" s="10"/>
      <c r="E1148" s="10"/>
      <c r="F1148" s="10"/>
      <c r="G1148" s="10"/>
      <c r="H1148" s="10"/>
      <c r="I1148" s="1" t="str">
        <f t="shared" si="51"/>
        <v/>
      </c>
      <c r="J1148" s="1" t="s">
        <v>35</v>
      </c>
      <c r="K1148" s="1" t="str">
        <f t="shared" si="52"/>
        <v/>
      </c>
      <c r="L1148" s="1" t="str">
        <f t="shared" si="53"/>
        <v/>
      </c>
      <c r="M1148" s="1">
        <f>IF(OR(Table1[[#This Row],[Std Nom]]="",Table1[[#This Row],[Std Read]]=""),0,Table1[[#This Row],[Std Nom]]-Table1[[#This Row],[Std Read]])</f>
        <v>0</v>
      </c>
      <c r="N1148" s="1">
        <f>IF(Calculations!$F$5="ACCREDITED 17025 WITH UNCERTAINTIES",$N$10,0)</f>
        <v>0</v>
      </c>
      <c r="Q1148" s="1">
        <f>Table1[[#This Row],[High Tol]]-Table1[[#This Row],[Low Tol]]</f>
        <v>0</v>
      </c>
      <c r="R1148" s="1">
        <f>2*Table1[[#This Row],[Std Error]]</f>
        <v>0</v>
      </c>
      <c r="S1148" s="1" t="str">
        <f>IF(Table1[[#This Row],[High Tol]]="","N/A",IFERROR(ABS(Table1[[#This Row],[Tol Span]]/Table1[[#This Row],[Error Span]]),"N/A"))</f>
        <v>N/A</v>
      </c>
      <c r="T1148" s="1" t="str">
        <f>IF(OR(Table1[[#This Row],[Low Tol]]="",Table1[[#This Row],[High Tol]]=""),"Needs Analysis",IF(Table1[[#This Row],[Ratio]]&gt;=4,"Not Significant",IF(Table1[[#This Row],[Ratio]]&gt;=2,"Semi-Significant","Significant")))</f>
        <v>Needs Analysis</v>
      </c>
      <c r="W1148" s="1">
        <f>IF(Table1[[#This Row],[Cal Type]]&lt;&gt;"ACCREDITED 17025 WITH UNCERTAINTIES",0,"")</f>
        <v>0</v>
      </c>
      <c r="X1148" s="1" t="str">
        <f>IF(Table1[[#This Row],[DUT Read]]="","N/A",Table1[[#This Row],[Std Error]]+Table1[[#This Row],[DUT Read]]+Table1[[#This Row],[DUT Ucty]])</f>
        <v>N/A</v>
      </c>
      <c r="Y1148" s="1" t="str">
        <f>IF(Table1[[#This Row],[Std Read]]="","N/A",Table1[[#This Row],[Std Read]]+Table1[[#This Row],[Std Ucty]])</f>
        <v>N/A</v>
      </c>
      <c r="Z11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8" s="1" t="str">
        <f>IF(Table1[[#This Row],[Spec Type]]="","N/A",Table1[[#This Row],[Spec Type]])</f>
        <v>±</v>
      </c>
      <c r="AC1148" s="1" t="str">
        <f>IF(Table1[[#This Row],[Spec Type2]]="N/A","N/A",IF(AND(Table1[[#This Row],[DUT Adj Read]]&gt;=Table1[[#This Row],[Low Tol]],Table1[[#This Row],[DUT Adj Read]]&lt;=Table1[[#This Row],[High Tol]]),"Pass","Fail"))</f>
        <v>Fail</v>
      </c>
      <c r="AD1148" s="1" t="str">
        <f>IF(AND(Table1[[#This Row],[Spec Type2]]="N/A",Table1[[#This Row],[DUT Adj Read]]="N/A",Table1[[#This Row],[Std Adj Read]]="N/A"),"N/A",IF(Table1[[#This Row],[DUT Adj Read]]="N/A",IF(Table1[[#This Row],[Std Adj Read]]&gt;Table1[[#This Row],[Low Tol]],"Pass","Fail"),IF(Table1[[#This Row],[DUT Adj Read]]&gt;Table1[[#This Row],[Low Tol]],"Pass","Fail")))</f>
        <v>Pass</v>
      </c>
      <c r="AE1148" s="1" t="str">
        <f>IF(AND(Table1[[#This Row],[Spec Type2]]="N/A",Table1[[#This Row],[DUT Adj Read]]="N/A",Table1[[#This Row],[Std Adj Read]]="N/A"),"N/A",IF(Table1[[#This Row],[DUT Adj Read]]="N/A",IF(Table1[[#This Row],[Std Adj Read]]&lt;Table1[[#This Row],[High Tol]],"Pass","Fail"),IF(Table1[[#This Row],[DUT Adj Read]]&lt;Table1[[#This Row],[High Tol]],"Pass","Fail")))</f>
        <v>Fail</v>
      </c>
      <c r="AF1148" s="1" t="str">
        <f>IF(AND(Table1[[#This Row],[Spec Type2]]="N/A",Table1[[#This Row],[DUT Adj Read]]="N/A",Table1[[#This Row],[Std Adj Read]]="N/A"),"N/A",IF(Table1[[#This Row],[DUT Adj Read]]="N/A",IF(Table1[[#This Row],[Std Adj Read]]&gt;=Table1[[#This Row],[Low Tol]],"Pass","Fail"),IF(Table1[[#This Row],[DUT Adj Read]]&gt;=Table1[[#This Row],[Low Tol]],"Pass","Fail")))</f>
        <v>Pass</v>
      </c>
      <c r="AG1148" s="1" t="str">
        <f>IF(AND(Table1[[#This Row],[Spec Type2]]="N/A",Table1[[#This Row],[DUT Adj Read]]="N/A",Table1[[#This Row],[Std Adj Read]]="N/A"),"N/A",IF(Table1[[#This Row],[DUT Adj Read]]="N/A",IF(Table1[[#This Row],[Std Adj Read]]&lt;=Table1[[#This Row],[High Tol]],"Pass","Fail"),IF(Table1[[#This Row],[DUT Adj Read]]&lt;=Table1[[#This Row],[High Tol]],"Pass","Fail")))</f>
        <v>Fail</v>
      </c>
      <c r="AH11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8" s="1" t="b">
        <v>0</v>
      </c>
      <c r="AN1148" s="1" t="b">
        <v>0</v>
      </c>
      <c r="AO1148" s="1" t="b">
        <v>0</v>
      </c>
    </row>
    <row r="1149" spans="1:41" x14ac:dyDescent="0.25">
      <c r="A1149" s="10"/>
      <c r="B1149" s="10"/>
      <c r="C1149" s="10"/>
      <c r="D1149" s="10"/>
      <c r="E1149" s="10"/>
      <c r="F1149" s="10"/>
      <c r="G1149" s="10"/>
      <c r="H1149" s="10"/>
      <c r="I1149" s="1" t="str">
        <f t="shared" si="51"/>
        <v/>
      </c>
      <c r="J1149" s="1" t="s">
        <v>35</v>
      </c>
      <c r="K1149" s="1" t="str">
        <f t="shared" si="52"/>
        <v/>
      </c>
      <c r="L1149" s="1" t="str">
        <f t="shared" si="53"/>
        <v/>
      </c>
      <c r="M1149" s="1">
        <f>IF(OR(Table1[[#This Row],[Std Nom]]="",Table1[[#This Row],[Std Read]]=""),0,Table1[[#This Row],[Std Nom]]-Table1[[#This Row],[Std Read]])</f>
        <v>0</v>
      </c>
      <c r="N1149" s="1">
        <f>IF(Calculations!$F$5="ACCREDITED 17025 WITH UNCERTAINTIES",$N$10,0)</f>
        <v>0</v>
      </c>
      <c r="Q1149" s="1">
        <f>Table1[[#This Row],[High Tol]]-Table1[[#This Row],[Low Tol]]</f>
        <v>0</v>
      </c>
      <c r="R1149" s="1">
        <f>2*Table1[[#This Row],[Std Error]]</f>
        <v>0</v>
      </c>
      <c r="S1149" s="1" t="str">
        <f>IF(Table1[[#This Row],[High Tol]]="","N/A",IFERROR(ABS(Table1[[#This Row],[Tol Span]]/Table1[[#This Row],[Error Span]]),"N/A"))</f>
        <v>N/A</v>
      </c>
      <c r="T1149" s="1" t="str">
        <f>IF(OR(Table1[[#This Row],[Low Tol]]="",Table1[[#This Row],[High Tol]]=""),"Needs Analysis",IF(Table1[[#This Row],[Ratio]]&gt;=4,"Not Significant",IF(Table1[[#This Row],[Ratio]]&gt;=2,"Semi-Significant","Significant")))</f>
        <v>Needs Analysis</v>
      </c>
      <c r="W1149" s="1">
        <f>IF(Table1[[#This Row],[Cal Type]]&lt;&gt;"ACCREDITED 17025 WITH UNCERTAINTIES",0,"")</f>
        <v>0</v>
      </c>
      <c r="X1149" s="1" t="str">
        <f>IF(Table1[[#This Row],[DUT Read]]="","N/A",Table1[[#This Row],[Std Error]]+Table1[[#This Row],[DUT Read]]+Table1[[#This Row],[DUT Ucty]])</f>
        <v>N/A</v>
      </c>
      <c r="Y1149" s="1" t="str">
        <f>IF(Table1[[#This Row],[Std Read]]="","N/A",Table1[[#This Row],[Std Read]]+Table1[[#This Row],[Std Ucty]])</f>
        <v>N/A</v>
      </c>
      <c r="Z11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49" s="1" t="str">
        <f>IF(Table1[[#This Row],[Spec Type]]="","N/A",Table1[[#This Row],[Spec Type]])</f>
        <v>±</v>
      </c>
      <c r="AC1149" s="1" t="str">
        <f>IF(Table1[[#This Row],[Spec Type2]]="N/A","N/A",IF(AND(Table1[[#This Row],[DUT Adj Read]]&gt;=Table1[[#This Row],[Low Tol]],Table1[[#This Row],[DUT Adj Read]]&lt;=Table1[[#This Row],[High Tol]]),"Pass","Fail"))</f>
        <v>Fail</v>
      </c>
      <c r="AD1149" s="1" t="str">
        <f>IF(AND(Table1[[#This Row],[Spec Type2]]="N/A",Table1[[#This Row],[DUT Adj Read]]="N/A",Table1[[#This Row],[Std Adj Read]]="N/A"),"N/A",IF(Table1[[#This Row],[DUT Adj Read]]="N/A",IF(Table1[[#This Row],[Std Adj Read]]&gt;Table1[[#This Row],[Low Tol]],"Pass","Fail"),IF(Table1[[#This Row],[DUT Adj Read]]&gt;Table1[[#This Row],[Low Tol]],"Pass","Fail")))</f>
        <v>Pass</v>
      </c>
      <c r="AE1149" s="1" t="str">
        <f>IF(AND(Table1[[#This Row],[Spec Type2]]="N/A",Table1[[#This Row],[DUT Adj Read]]="N/A",Table1[[#This Row],[Std Adj Read]]="N/A"),"N/A",IF(Table1[[#This Row],[DUT Adj Read]]="N/A",IF(Table1[[#This Row],[Std Adj Read]]&lt;Table1[[#This Row],[High Tol]],"Pass","Fail"),IF(Table1[[#This Row],[DUT Adj Read]]&lt;Table1[[#This Row],[High Tol]],"Pass","Fail")))</f>
        <v>Fail</v>
      </c>
      <c r="AF1149" s="1" t="str">
        <f>IF(AND(Table1[[#This Row],[Spec Type2]]="N/A",Table1[[#This Row],[DUT Adj Read]]="N/A",Table1[[#This Row],[Std Adj Read]]="N/A"),"N/A",IF(Table1[[#This Row],[DUT Adj Read]]="N/A",IF(Table1[[#This Row],[Std Adj Read]]&gt;=Table1[[#This Row],[Low Tol]],"Pass","Fail"),IF(Table1[[#This Row],[DUT Adj Read]]&gt;=Table1[[#This Row],[Low Tol]],"Pass","Fail")))</f>
        <v>Pass</v>
      </c>
      <c r="AG1149" s="1" t="str">
        <f>IF(AND(Table1[[#This Row],[Spec Type2]]="N/A",Table1[[#This Row],[DUT Adj Read]]="N/A",Table1[[#This Row],[Std Adj Read]]="N/A"),"N/A",IF(Table1[[#This Row],[DUT Adj Read]]="N/A",IF(Table1[[#This Row],[Std Adj Read]]&lt;=Table1[[#This Row],[High Tol]],"Pass","Fail"),IF(Table1[[#This Row],[DUT Adj Read]]&lt;=Table1[[#This Row],[High Tol]],"Pass","Fail")))</f>
        <v>Fail</v>
      </c>
      <c r="AH11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49" s="1" t="b">
        <v>0</v>
      </c>
      <c r="AN1149" s="1" t="b">
        <v>0</v>
      </c>
      <c r="AO1149" s="1" t="b">
        <v>0</v>
      </c>
    </row>
    <row r="1150" spans="1:41" x14ac:dyDescent="0.25">
      <c r="A1150" s="10"/>
      <c r="B1150" s="10"/>
      <c r="C1150" s="10"/>
      <c r="D1150" s="10"/>
      <c r="E1150" s="10"/>
      <c r="F1150" s="10"/>
      <c r="G1150" s="10"/>
      <c r="H1150" s="10"/>
      <c r="I1150" s="1" t="str">
        <f t="shared" si="51"/>
        <v/>
      </c>
      <c r="J1150" s="1" t="s">
        <v>35</v>
      </c>
      <c r="K1150" s="1" t="str">
        <f t="shared" si="52"/>
        <v/>
      </c>
      <c r="L1150" s="1" t="str">
        <f t="shared" si="53"/>
        <v/>
      </c>
      <c r="M1150" s="1">
        <f>IF(OR(Table1[[#This Row],[Std Nom]]="",Table1[[#This Row],[Std Read]]=""),0,Table1[[#This Row],[Std Nom]]-Table1[[#This Row],[Std Read]])</f>
        <v>0</v>
      </c>
      <c r="N1150" s="1">
        <f>IF(Calculations!$F$5="ACCREDITED 17025 WITH UNCERTAINTIES",$N$10,0)</f>
        <v>0</v>
      </c>
      <c r="Q1150" s="1">
        <f>Table1[[#This Row],[High Tol]]-Table1[[#This Row],[Low Tol]]</f>
        <v>0</v>
      </c>
      <c r="R1150" s="1">
        <f>2*Table1[[#This Row],[Std Error]]</f>
        <v>0</v>
      </c>
      <c r="S1150" s="1" t="str">
        <f>IF(Table1[[#This Row],[High Tol]]="","N/A",IFERROR(ABS(Table1[[#This Row],[Tol Span]]/Table1[[#This Row],[Error Span]]),"N/A"))</f>
        <v>N/A</v>
      </c>
      <c r="T1150" s="1" t="str">
        <f>IF(OR(Table1[[#This Row],[Low Tol]]="",Table1[[#This Row],[High Tol]]=""),"Needs Analysis",IF(Table1[[#This Row],[Ratio]]&gt;=4,"Not Significant",IF(Table1[[#This Row],[Ratio]]&gt;=2,"Semi-Significant","Significant")))</f>
        <v>Needs Analysis</v>
      </c>
      <c r="W1150" s="1">
        <f>IF(Table1[[#This Row],[Cal Type]]&lt;&gt;"ACCREDITED 17025 WITH UNCERTAINTIES",0,"")</f>
        <v>0</v>
      </c>
      <c r="X1150" s="1" t="str">
        <f>IF(Table1[[#This Row],[DUT Read]]="","N/A",Table1[[#This Row],[Std Error]]+Table1[[#This Row],[DUT Read]]+Table1[[#This Row],[DUT Ucty]])</f>
        <v>N/A</v>
      </c>
      <c r="Y1150" s="1" t="str">
        <f>IF(Table1[[#This Row],[Std Read]]="","N/A",Table1[[#This Row],[Std Read]]+Table1[[#This Row],[Std Ucty]])</f>
        <v>N/A</v>
      </c>
      <c r="Z11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0" s="1" t="str">
        <f>IF(Table1[[#This Row],[Spec Type]]="","N/A",Table1[[#This Row],[Spec Type]])</f>
        <v>±</v>
      </c>
      <c r="AC1150" s="1" t="str">
        <f>IF(Table1[[#This Row],[Spec Type2]]="N/A","N/A",IF(AND(Table1[[#This Row],[DUT Adj Read]]&gt;=Table1[[#This Row],[Low Tol]],Table1[[#This Row],[DUT Adj Read]]&lt;=Table1[[#This Row],[High Tol]]),"Pass","Fail"))</f>
        <v>Fail</v>
      </c>
      <c r="AD1150" s="1" t="str">
        <f>IF(AND(Table1[[#This Row],[Spec Type2]]="N/A",Table1[[#This Row],[DUT Adj Read]]="N/A",Table1[[#This Row],[Std Adj Read]]="N/A"),"N/A",IF(Table1[[#This Row],[DUT Adj Read]]="N/A",IF(Table1[[#This Row],[Std Adj Read]]&gt;Table1[[#This Row],[Low Tol]],"Pass","Fail"),IF(Table1[[#This Row],[DUT Adj Read]]&gt;Table1[[#This Row],[Low Tol]],"Pass","Fail")))</f>
        <v>Pass</v>
      </c>
      <c r="AE1150" s="1" t="str">
        <f>IF(AND(Table1[[#This Row],[Spec Type2]]="N/A",Table1[[#This Row],[DUT Adj Read]]="N/A",Table1[[#This Row],[Std Adj Read]]="N/A"),"N/A",IF(Table1[[#This Row],[DUT Adj Read]]="N/A",IF(Table1[[#This Row],[Std Adj Read]]&lt;Table1[[#This Row],[High Tol]],"Pass","Fail"),IF(Table1[[#This Row],[DUT Adj Read]]&lt;Table1[[#This Row],[High Tol]],"Pass","Fail")))</f>
        <v>Fail</v>
      </c>
      <c r="AF1150" s="1" t="str">
        <f>IF(AND(Table1[[#This Row],[Spec Type2]]="N/A",Table1[[#This Row],[DUT Adj Read]]="N/A",Table1[[#This Row],[Std Adj Read]]="N/A"),"N/A",IF(Table1[[#This Row],[DUT Adj Read]]="N/A",IF(Table1[[#This Row],[Std Adj Read]]&gt;=Table1[[#This Row],[Low Tol]],"Pass","Fail"),IF(Table1[[#This Row],[DUT Adj Read]]&gt;=Table1[[#This Row],[Low Tol]],"Pass","Fail")))</f>
        <v>Pass</v>
      </c>
      <c r="AG1150" s="1" t="str">
        <f>IF(AND(Table1[[#This Row],[Spec Type2]]="N/A",Table1[[#This Row],[DUT Adj Read]]="N/A",Table1[[#This Row],[Std Adj Read]]="N/A"),"N/A",IF(Table1[[#This Row],[DUT Adj Read]]="N/A",IF(Table1[[#This Row],[Std Adj Read]]&lt;=Table1[[#This Row],[High Tol]],"Pass","Fail"),IF(Table1[[#This Row],[DUT Adj Read]]&lt;=Table1[[#This Row],[High Tol]],"Pass","Fail")))</f>
        <v>Fail</v>
      </c>
      <c r="AH11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0" s="1" t="b">
        <v>0</v>
      </c>
      <c r="AN1150" s="1" t="b">
        <v>0</v>
      </c>
      <c r="AO1150" s="1" t="b">
        <v>0</v>
      </c>
    </row>
    <row r="1151" spans="1:41" x14ac:dyDescent="0.25">
      <c r="A1151" s="10"/>
      <c r="B1151" s="10"/>
      <c r="C1151" s="10"/>
      <c r="D1151" s="10"/>
      <c r="E1151" s="10"/>
      <c r="F1151" s="10"/>
      <c r="G1151" s="10"/>
      <c r="H1151" s="10"/>
      <c r="I1151" s="1" t="str">
        <f t="shared" si="51"/>
        <v/>
      </c>
      <c r="J1151" s="1" t="s">
        <v>35</v>
      </c>
      <c r="K1151" s="1" t="str">
        <f t="shared" si="52"/>
        <v/>
      </c>
      <c r="L1151" s="1" t="str">
        <f t="shared" si="53"/>
        <v/>
      </c>
      <c r="M1151" s="1">
        <f>IF(OR(Table1[[#This Row],[Std Nom]]="",Table1[[#This Row],[Std Read]]=""),0,Table1[[#This Row],[Std Nom]]-Table1[[#This Row],[Std Read]])</f>
        <v>0</v>
      </c>
      <c r="N1151" s="1">
        <f>IF(Calculations!$F$5="ACCREDITED 17025 WITH UNCERTAINTIES",$N$10,0)</f>
        <v>0</v>
      </c>
      <c r="Q1151" s="1">
        <f>Table1[[#This Row],[High Tol]]-Table1[[#This Row],[Low Tol]]</f>
        <v>0</v>
      </c>
      <c r="R1151" s="1">
        <f>2*Table1[[#This Row],[Std Error]]</f>
        <v>0</v>
      </c>
      <c r="S1151" s="1" t="str">
        <f>IF(Table1[[#This Row],[High Tol]]="","N/A",IFERROR(ABS(Table1[[#This Row],[Tol Span]]/Table1[[#This Row],[Error Span]]),"N/A"))</f>
        <v>N/A</v>
      </c>
      <c r="T1151" s="1" t="str">
        <f>IF(OR(Table1[[#This Row],[Low Tol]]="",Table1[[#This Row],[High Tol]]=""),"Needs Analysis",IF(Table1[[#This Row],[Ratio]]&gt;=4,"Not Significant",IF(Table1[[#This Row],[Ratio]]&gt;=2,"Semi-Significant","Significant")))</f>
        <v>Needs Analysis</v>
      </c>
      <c r="W1151" s="1">
        <f>IF(Table1[[#This Row],[Cal Type]]&lt;&gt;"ACCREDITED 17025 WITH UNCERTAINTIES",0,"")</f>
        <v>0</v>
      </c>
      <c r="X1151" s="1" t="str">
        <f>IF(Table1[[#This Row],[DUT Read]]="","N/A",Table1[[#This Row],[Std Error]]+Table1[[#This Row],[DUT Read]]+Table1[[#This Row],[DUT Ucty]])</f>
        <v>N/A</v>
      </c>
      <c r="Y1151" s="1" t="str">
        <f>IF(Table1[[#This Row],[Std Read]]="","N/A",Table1[[#This Row],[Std Read]]+Table1[[#This Row],[Std Ucty]])</f>
        <v>N/A</v>
      </c>
      <c r="Z11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1" s="1" t="str">
        <f>IF(Table1[[#This Row],[Spec Type]]="","N/A",Table1[[#This Row],[Spec Type]])</f>
        <v>±</v>
      </c>
      <c r="AC1151" s="1" t="str">
        <f>IF(Table1[[#This Row],[Spec Type2]]="N/A","N/A",IF(AND(Table1[[#This Row],[DUT Adj Read]]&gt;=Table1[[#This Row],[Low Tol]],Table1[[#This Row],[DUT Adj Read]]&lt;=Table1[[#This Row],[High Tol]]),"Pass","Fail"))</f>
        <v>Fail</v>
      </c>
      <c r="AD1151" s="1" t="str">
        <f>IF(AND(Table1[[#This Row],[Spec Type2]]="N/A",Table1[[#This Row],[DUT Adj Read]]="N/A",Table1[[#This Row],[Std Adj Read]]="N/A"),"N/A",IF(Table1[[#This Row],[DUT Adj Read]]="N/A",IF(Table1[[#This Row],[Std Adj Read]]&gt;Table1[[#This Row],[Low Tol]],"Pass","Fail"),IF(Table1[[#This Row],[DUT Adj Read]]&gt;Table1[[#This Row],[Low Tol]],"Pass","Fail")))</f>
        <v>Pass</v>
      </c>
      <c r="AE1151" s="1" t="str">
        <f>IF(AND(Table1[[#This Row],[Spec Type2]]="N/A",Table1[[#This Row],[DUT Adj Read]]="N/A",Table1[[#This Row],[Std Adj Read]]="N/A"),"N/A",IF(Table1[[#This Row],[DUT Adj Read]]="N/A",IF(Table1[[#This Row],[Std Adj Read]]&lt;Table1[[#This Row],[High Tol]],"Pass","Fail"),IF(Table1[[#This Row],[DUT Adj Read]]&lt;Table1[[#This Row],[High Tol]],"Pass","Fail")))</f>
        <v>Fail</v>
      </c>
      <c r="AF1151" s="1" t="str">
        <f>IF(AND(Table1[[#This Row],[Spec Type2]]="N/A",Table1[[#This Row],[DUT Adj Read]]="N/A",Table1[[#This Row],[Std Adj Read]]="N/A"),"N/A",IF(Table1[[#This Row],[DUT Adj Read]]="N/A",IF(Table1[[#This Row],[Std Adj Read]]&gt;=Table1[[#This Row],[Low Tol]],"Pass","Fail"),IF(Table1[[#This Row],[DUT Adj Read]]&gt;=Table1[[#This Row],[Low Tol]],"Pass","Fail")))</f>
        <v>Pass</v>
      </c>
      <c r="AG1151" s="1" t="str">
        <f>IF(AND(Table1[[#This Row],[Spec Type2]]="N/A",Table1[[#This Row],[DUT Adj Read]]="N/A",Table1[[#This Row],[Std Adj Read]]="N/A"),"N/A",IF(Table1[[#This Row],[DUT Adj Read]]="N/A",IF(Table1[[#This Row],[Std Adj Read]]&lt;=Table1[[#This Row],[High Tol]],"Pass","Fail"),IF(Table1[[#This Row],[DUT Adj Read]]&lt;=Table1[[#This Row],[High Tol]],"Pass","Fail")))</f>
        <v>Fail</v>
      </c>
      <c r="AH11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1" s="1" t="b">
        <v>0</v>
      </c>
      <c r="AN1151" s="1" t="b">
        <v>0</v>
      </c>
      <c r="AO1151" s="1" t="b">
        <v>0</v>
      </c>
    </row>
    <row r="1152" spans="1:41" x14ac:dyDescent="0.25">
      <c r="A1152" s="10"/>
      <c r="B1152" s="10"/>
      <c r="C1152" s="10"/>
      <c r="D1152" s="10"/>
      <c r="E1152" s="10"/>
      <c r="F1152" s="10"/>
      <c r="G1152" s="10"/>
      <c r="H1152" s="10"/>
      <c r="I1152" s="1" t="str">
        <f t="shared" si="51"/>
        <v/>
      </c>
      <c r="J1152" s="1" t="s">
        <v>35</v>
      </c>
      <c r="K1152" s="1" t="str">
        <f t="shared" si="52"/>
        <v/>
      </c>
      <c r="L1152" s="1" t="str">
        <f t="shared" si="53"/>
        <v/>
      </c>
      <c r="M1152" s="1">
        <f>IF(OR(Table1[[#This Row],[Std Nom]]="",Table1[[#This Row],[Std Read]]=""),0,Table1[[#This Row],[Std Nom]]-Table1[[#This Row],[Std Read]])</f>
        <v>0</v>
      </c>
      <c r="N1152" s="1">
        <f>IF(Calculations!$F$5="ACCREDITED 17025 WITH UNCERTAINTIES",$N$10,0)</f>
        <v>0</v>
      </c>
      <c r="Q1152" s="1">
        <f>Table1[[#This Row],[High Tol]]-Table1[[#This Row],[Low Tol]]</f>
        <v>0</v>
      </c>
      <c r="R1152" s="1">
        <f>2*Table1[[#This Row],[Std Error]]</f>
        <v>0</v>
      </c>
      <c r="S1152" s="1" t="str">
        <f>IF(Table1[[#This Row],[High Tol]]="","N/A",IFERROR(ABS(Table1[[#This Row],[Tol Span]]/Table1[[#This Row],[Error Span]]),"N/A"))</f>
        <v>N/A</v>
      </c>
      <c r="T1152" s="1" t="str">
        <f>IF(OR(Table1[[#This Row],[Low Tol]]="",Table1[[#This Row],[High Tol]]=""),"Needs Analysis",IF(Table1[[#This Row],[Ratio]]&gt;=4,"Not Significant",IF(Table1[[#This Row],[Ratio]]&gt;=2,"Semi-Significant","Significant")))</f>
        <v>Needs Analysis</v>
      </c>
      <c r="W1152" s="1">
        <f>IF(Table1[[#This Row],[Cal Type]]&lt;&gt;"ACCREDITED 17025 WITH UNCERTAINTIES",0,"")</f>
        <v>0</v>
      </c>
      <c r="X1152" s="1" t="str">
        <f>IF(Table1[[#This Row],[DUT Read]]="","N/A",Table1[[#This Row],[Std Error]]+Table1[[#This Row],[DUT Read]]+Table1[[#This Row],[DUT Ucty]])</f>
        <v>N/A</v>
      </c>
      <c r="Y1152" s="1" t="str">
        <f>IF(Table1[[#This Row],[Std Read]]="","N/A",Table1[[#This Row],[Std Read]]+Table1[[#This Row],[Std Ucty]])</f>
        <v>N/A</v>
      </c>
      <c r="Z11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2" s="1" t="str">
        <f>IF(Table1[[#This Row],[Spec Type]]="","N/A",Table1[[#This Row],[Spec Type]])</f>
        <v>±</v>
      </c>
      <c r="AC1152" s="1" t="str">
        <f>IF(Table1[[#This Row],[Spec Type2]]="N/A","N/A",IF(AND(Table1[[#This Row],[DUT Adj Read]]&gt;=Table1[[#This Row],[Low Tol]],Table1[[#This Row],[DUT Adj Read]]&lt;=Table1[[#This Row],[High Tol]]),"Pass","Fail"))</f>
        <v>Fail</v>
      </c>
      <c r="AD1152" s="1" t="str">
        <f>IF(AND(Table1[[#This Row],[Spec Type2]]="N/A",Table1[[#This Row],[DUT Adj Read]]="N/A",Table1[[#This Row],[Std Adj Read]]="N/A"),"N/A",IF(Table1[[#This Row],[DUT Adj Read]]="N/A",IF(Table1[[#This Row],[Std Adj Read]]&gt;Table1[[#This Row],[Low Tol]],"Pass","Fail"),IF(Table1[[#This Row],[DUT Adj Read]]&gt;Table1[[#This Row],[Low Tol]],"Pass","Fail")))</f>
        <v>Pass</v>
      </c>
      <c r="AE1152" s="1" t="str">
        <f>IF(AND(Table1[[#This Row],[Spec Type2]]="N/A",Table1[[#This Row],[DUT Adj Read]]="N/A",Table1[[#This Row],[Std Adj Read]]="N/A"),"N/A",IF(Table1[[#This Row],[DUT Adj Read]]="N/A",IF(Table1[[#This Row],[Std Adj Read]]&lt;Table1[[#This Row],[High Tol]],"Pass","Fail"),IF(Table1[[#This Row],[DUT Adj Read]]&lt;Table1[[#This Row],[High Tol]],"Pass","Fail")))</f>
        <v>Fail</v>
      </c>
      <c r="AF1152" s="1" t="str">
        <f>IF(AND(Table1[[#This Row],[Spec Type2]]="N/A",Table1[[#This Row],[DUT Adj Read]]="N/A",Table1[[#This Row],[Std Adj Read]]="N/A"),"N/A",IF(Table1[[#This Row],[DUT Adj Read]]="N/A",IF(Table1[[#This Row],[Std Adj Read]]&gt;=Table1[[#This Row],[Low Tol]],"Pass","Fail"),IF(Table1[[#This Row],[DUT Adj Read]]&gt;=Table1[[#This Row],[Low Tol]],"Pass","Fail")))</f>
        <v>Pass</v>
      </c>
      <c r="AG1152" s="1" t="str">
        <f>IF(AND(Table1[[#This Row],[Spec Type2]]="N/A",Table1[[#This Row],[DUT Adj Read]]="N/A",Table1[[#This Row],[Std Adj Read]]="N/A"),"N/A",IF(Table1[[#This Row],[DUT Adj Read]]="N/A",IF(Table1[[#This Row],[Std Adj Read]]&lt;=Table1[[#This Row],[High Tol]],"Pass","Fail"),IF(Table1[[#This Row],[DUT Adj Read]]&lt;=Table1[[#This Row],[High Tol]],"Pass","Fail")))</f>
        <v>Fail</v>
      </c>
      <c r="AH11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2" s="1" t="b">
        <v>0</v>
      </c>
      <c r="AN1152" s="1" t="b">
        <v>0</v>
      </c>
      <c r="AO1152" s="1" t="b">
        <v>0</v>
      </c>
    </row>
    <row r="1153" spans="1:41" x14ac:dyDescent="0.25">
      <c r="A1153" s="10"/>
      <c r="B1153" s="10"/>
      <c r="C1153" s="10"/>
      <c r="D1153" s="10"/>
      <c r="E1153" s="10"/>
      <c r="F1153" s="10"/>
      <c r="G1153" s="10"/>
      <c r="H1153" s="10"/>
      <c r="I1153" s="1" t="str">
        <f t="shared" si="51"/>
        <v/>
      </c>
      <c r="J1153" s="1" t="s">
        <v>35</v>
      </c>
      <c r="K1153" s="1" t="str">
        <f t="shared" si="52"/>
        <v/>
      </c>
      <c r="L1153" s="1" t="str">
        <f t="shared" si="53"/>
        <v/>
      </c>
      <c r="M1153" s="1">
        <f>IF(OR(Table1[[#This Row],[Std Nom]]="",Table1[[#This Row],[Std Read]]=""),0,Table1[[#This Row],[Std Nom]]-Table1[[#This Row],[Std Read]])</f>
        <v>0</v>
      </c>
      <c r="N1153" s="1">
        <f>IF(Calculations!$F$5="ACCREDITED 17025 WITH UNCERTAINTIES",$N$10,0)</f>
        <v>0</v>
      </c>
      <c r="Q1153" s="1">
        <f>Table1[[#This Row],[High Tol]]-Table1[[#This Row],[Low Tol]]</f>
        <v>0</v>
      </c>
      <c r="R1153" s="1">
        <f>2*Table1[[#This Row],[Std Error]]</f>
        <v>0</v>
      </c>
      <c r="S1153" s="1" t="str">
        <f>IF(Table1[[#This Row],[High Tol]]="","N/A",IFERROR(ABS(Table1[[#This Row],[Tol Span]]/Table1[[#This Row],[Error Span]]),"N/A"))</f>
        <v>N/A</v>
      </c>
      <c r="T1153" s="1" t="str">
        <f>IF(OR(Table1[[#This Row],[Low Tol]]="",Table1[[#This Row],[High Tol]]=""),"Needs Analysis",IF(Table1[[#This Row],[Ratio]]&gt;=4,"Not Significant",IF(Table1[[#This Row],[Ratio]]&gt;=2,"Semi-Significant","Significant")))</f>
        <v>Needs Analysis</v>
      </c>
      <c r="W1153" s="1">
        <f>IF(Table1[[#This Row],[Cal Type]]&lt;&gt;"ACCREDITED 17025 WITH UNCERTAINTIES",0,"")</f>
        <v>0</v>
      </c>
      <c r="X1153" s="1" t="str">
        <f>IF(Table1[[#This Row],[DUT Read]]="","N/A",Table1[[#This Row],[Std Error]]+Table1[[#This Row],[DUT Read]]+Table1[[#This Row],[DUT Ucty]])</f>
        <v>N/A</v>
      </c>
      <c r="Y1153" s="1" t="str">
        <f>IF(Table1[[#This Row],[Std Read]]="","N/A",Table1[[#This Row],[Std Read]]+Table1[[#This Row],[Std Ucty]])</f>
        <v>N/A</v>
      </c>
      <c r="Z11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3" s="1" t="str">
        <f>IF(Table1[[#This Row],[Spec Type]]="","N/A",Table1[[#This Row],[Spec Type]])</f>
        <v>±</v>
      </c>
      <c r="AC1153" s="1" t="str">
        <f>IF(Table1[[#This Row],[Spec Type2]]="N/A","N/A",IF(AND(Table1[[#This Row],[DUT Adj Read]]&gt;=Table1[[#This Row],[Low Tol]],Table1[[#This Row],[DUT Adj Read]]&lt;=Table1[[#This Row],[High Tol]]),"Pass","Fail"))</f>
        <v>Fail</v>
      </c>
      <c r="AD1153" s="1" t="str">
        <f>IF(AND(Table1[[#This Row],[Spec Type2]]="N/A",Table1[[#This Row],[DUT Adj Read]]="N/A",Table1[[#This Row],[Std Adj Read]]="N/A"),"N/A",IF(Table1[[#This Row],[DUT Adj Read]]="N/A",IF(Table1[[#This Row],[Std Adj Read]]&gt;Table1[[#This Row],[Low Tol]],"Pass","Fail"),IF(Table1[[#This Row],[DUT Adj Read]]&gt;Table1[[#This Row],[Low Tol]],"Pass","Fail")))</f>
        <v>Pass</v>
      </c>
      <c r="AE1153" s="1" t="str">
        <f>IF(AND(Table1[[#This Row],[Spec Type2]]="N/A",Table1[[#This Row],[DUT Adj Read]]="N/A",Table1[[#This Row],[Std Adj Read]]="N/A"),"N/A",IF(Table1[[#This Row],[DUT Adj Read]]="N/A",IF(Table1[[#This Row],[Std Adj Read]]&lt;Table1[[#This Row],[High Tol]],"Pass","Fail"),IF(Table1[[#This Row],[DUT Adj Read]]&lt;Table1[[#This Row],[High Tol]],"Pass","Fail")))</f>
        <v>Fail</v>
      </c>
      <c r="AF1153" s="1" t="str">
        <f>IF(AND(Table1[[#This Row],[Spec Type2]]="N/A",Table1[[#This Row],[DUT Adj Read]]="N/A",Table1[[#This Row],[Std Adj Read]]="N/A"),"N/A",IF(Table1[[#This Row],[DUT Adj Read]]="N/A",IF(Table1[[#This Row],[Std Adj Read]]&gt;=Table1[[#This Row],[Low Tol]],"Pass","Fail"),IF(Table1[[#This Row],[DUT Adj Read]]&gt;=Table1[[#This Row],[Low Tol]],"Pass","Fail")))</f>
        <v>Pass</v>
      </c>
      <c r="AG1153" s="1" t="str">
        <f>IF(AND(Table1[[#This Row],[Spec Type2]]="N/A",Table1[[#This Row],[DUT Adj Read]]="N/A",Table1[[#This Row],[Std Adj Read]]="N/A"),"N/A",IF(Table1[[#This Row],[DUT Adj Read]]="N/A",IF(Table1[[#This Row],[Std Adj Read]]&lt;=Table1[[#This Row],[High Tol]],"Pass","Fail"),IF(Table1[[#This Row],[DUT Adj Read]]&lt;=Table1[[#This Row],[High Tol]],"Pass","Fail")))</f>
        <v>Fail</v>
      </c>
      <c r="AH11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3" s="1" t="b">
        <v>0</v>
      </c>
      <c r="AN1153" s="1" t="b">
        <v>0</v>
      </c>
      <c r="AO1153" s="1" t="b">
        <v>0</v>
      </c>
    </row>
    <row r="1154" spans="1:41" x14ac:dyDescent="0.25">
      <c r="A1154" s="10"/>
      <c r="B1154" s="10"/>
      <c r="C1154" s="10"/>
      <c r="D1154" s="10"/>
      <c r="E1154" s="10"/>
      <c r="F1154" s="10"/>
      <c r="G1154" s="10"/>
      <c r="H1154" s="10"/>
      <c r="I1154" s="1" t="str">
        <f t="shared" si="51"/>
        <v/>
      </c>
      <c r="J1154" s="1" t="s">
        <v>35</v>
      </c>
      <c r="K1154" s="1" t="str">
        <f t="shared" si="52"/>
        <v/>
      </c>
      <c r="L1154" s="1" t="str">
        <f t="shared" si="53"/>
        <v/>
      </c>
      <c r="M1154" s="1">
        <f>IF(OR(Table1[[#This Row],[Std Nom]]="",Table1[[#This Row],[Std Read]]=""),0,Table1[[#This Row],[Std Nom]]-Table1[[#This Row],[Std Read]])</f>
        <v>0</v>
      </c>
      <c r="N1154" s="1">
        <f>IF(Calculations!$F$5="ACCREDITED 17025 WITH UNCERTAINTIES",$N$10,0)</f>
        <v>0</v>
      </c>
      <c r="Q1154" s="1">
        <f>Table1[[#This Row],[High Tol]]-Table1[[#This Row],[Low Tol]]</f>
        <v>0</v>
      </c>
      <c r="R1154" s="1">
        <f>2*Table1[[#This Row],[Std Error]]</f>
        <v>0</v>
      </c>
      <c r="S1154" s="1" t="str">
        <f>IF(Table1[[#This Row],[High Tol]]="","N/A",IFERROR(ABS(Table1[[#This Row],[Tol Span]]/Table1[[#This Row],[Error Span]]),"N/A"))</f>
        <v>N/A</v>
      </c>
      <c r="T1154" s="1" t="str">
        <f>IF(OR(Table1[[#This Row],[Low Tol]]="",Table1[[#This Row],[High Tol]]=""),"Needs Analysis",IF(Table1[[#This Row],[Ratio]]&gt;=4,"Not Significant",IF(Table1[[#This Row],[Ratio]]&gt;=2,"Semi-Significant","Significant")))</f>
        <v>Needs Analysis</v>
      </c>
      <c r="W1154" s="1">
        <f>IF(Table1[[#This Row],[Cal Type]]&lt;&gt;"ACCREDITED 17025 WITH UNCERTAINTIES",0,"")</f>
        <v>0</v>
      </c>
      <c r="X1154" s="1" t="str">
        <f>IF(Table1[[#This Row],[DUT Read]]="","N/A",Table1[[#This Row],[Std Error]]+Table1[[#This Row],[DUT Read]]+Table1[[#This Row],[DUT Ucty]])</f>
        <v>N/A</v>
      </c>
      <c r="Y1154" s="1" t="str">
        <f>IF(Table1[[#This Row],[Std Read]]="","N/A",Table1[[#This Row],[Std Read]]+Table1[[#This Row],[Std Ucty]])</f>
        <v>N/A</v>
      </c>
      <c r="Z11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4" s="1" t="str">
        <f>IF(Table1[[#This Row],[Spec Type]]="","N/A",Table1[[#This Row],[Spec Type]])</f>
        <v>±</v>
      </c>
      <c r="AC1154" s="1" t="str">
        <f>IF(Table1[[#This Row],[Spec Type2]]="N/A","N/A",IF(AND(Table1[[#This Row],[DUT Adj Read]]&gt;=Table1[[#This Row],[Low Tol]],Table1[[#This Row],[DUT Adj Read]]&lt;=Table1[[#This Row],[High Tol]]),"Pass","Fail"))</f>
        <v>Fail</v>
      </c>
      <c r="AD1154" s="1" t="str">
        <f>IF(AND(Table1[[#This Row],[Spec Type2]]="N/A",Table1[[#This Row],[DUT Adj Read]]="N/A",Table1[[#This Row],[Std Adj Read]]="N/A"),"N/A",IF(Table1[[#This Row],[DUT Adj Read]]="N/A",IF(Table1[[#This Row],[Std Adj Read]]&gt;Table1[[#This Row],[Low Tol]],"Pass","Fail"),IF(Table1[[#This Row],[DUT Adj Read]]&gt;Table1[[#This Row],[Low Tol]],"Pass","Fail")))</f>
        <v>Pass</v>
      </c>
      <c r="AE1154" s="1" t="str">
        <f>IF(AND(Table1[[#This Row],[Spec Type2]]="N/A",Table1[[#This Row],[DUT Adj Read]]="N/A",Table1[[#This Row],[Std Adj Read]]="N/A"),"N/A",IF(Table1[[#This Row],[DUT Adj Read]]="N/A",IF(Table1[[#This Row],[Std Adj Read]]&lt;Table1[[#This Row],[High Tol]],"Pass","Fail"),IF(Table1[[#This Row],[DUT Adj Read]]&lt;Table1[[#This Row],[High Tol]],"Pass","Fail")))</f>
        <v>Fail</v>
      </c>
      <c r="AF1154" s="1" t="str">
        <f>IF(AND(Table1[[#This Row],[Spec Type2]]="N/A",Table1[[#This Row],[DUT Adj Read]]="N/A",Table1[[#This Row],[Std Adj Read]]="N/A"),"N/A",IF(Table1[[#This Row],[DUT Adj Read]]="N/A",IF(Table1[[#This Row],[Std Adj Read]]&gt;=Table1[[#This Row],[Low Tol]],"Pass","Fail"),IF(Table1[[#This Row],[DUT Adj Read]]&gt;=Table1[[#This Row],[Low Tol]],"Pass","Fail")))</f>
        <v>Pass</v>
      </c>
      <c r="AG1154" s="1" t="str">
        <f>IF(AND(Table1[[#This Row],[Spec Type2]]="N/A",Table1[[#This Row],[DUT Adj Read]]="N/A",Table1[[#This Row],[Std Adj Read]]="N/A"),"N/A",IF(Table1[[#This Row],[DUT Adj Read]]="N/A",IF(Table1[[#This Row],[Std Adj Read]]&lt;=Table1[[#This Row],[High Tol]],"Pass","Fail"),IF(Table1[[#This Row],[DUT Adj Read]]&lt;=Table1[[#This Row],[High Tol]],"Pass","Fail")))</f>
        <v>Fail</v>
      </c>
      <c r="AH11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4" s="1" t="b">
        <v>0</v>
      </c>
      <c r="AN1154" s="1" t="b">
        <v>0</v>
      </c>
      <c r="AO1154" s="1" t="b">
        <v>0</v>
      </c>
    </row>
    <row r="1155" spans="1:41" x14ac:dyDescent="0.25">
      <c r="A1155" s="10"/>
      <c r="B1155" s="10"/>
      <c r="C1155" s="10"/>
      <c r="D1155" s="10"/>
      <c r="E1155" s="10"/>
      <c r="F1155" s="10"/>
      <c r="G1155" s="10"/>
      <c r="H1155" s="10"/>
      <c r="I1155" s="1" t="str">
        <f t="shared" si="51"/>
        <v/>
      </c>
      <c r="J1155" s="1" t="s">
        <v>35</v>
      </c>
      <c r="K1155" s="1" t="str">
        <f t="shared" si="52"/>
        <v/>
      </c>
      <c r="L1155" s="1" t="str">
        <f t="shared" si="53"/>
        <v/>
      </c>
      <c r="M1155" s="1">
        <f>IF(OR(Table1[[#This Row],[Std Nom]]="",Table1[[#This Row],[Std Read]]=""),0,Table1[[#This Row],[Std Nom]]-Table1[[#This Row],[Std Read]])</f>
        <v>0</v>
      </c>
      <c r="N1155" s="1">
        <f>IF(Calculations!$F$5="ACCREDITED 17025 WITH UNCERTAINTIES",$N$10,0)</f>
        <v>0</v>
      </c>
      <c r="Q1155" s="1">
        <f>Table1[[#This Row],[High Tol]]-Table1[[#This Row],[Low Tol]]</f>
        <v>0</v>
      </c>
      <c r="R1155" s="1">
        <f>2*Table1[[#This Row],[Std Error]]</f>
        <v>0</v>
      </c>
      <c r="S1155" s="1" t="str">
        <f>IF(Table1[[#This Row],[High Tol]]="","N/A",IFERROR(ABS(Table1[[#This Row],[Tol Span]]/Table1[[#This Row],[Error Span]]),"N/A"))</f>
        <v>N/A</v>
      </c>
      <c r="T1155" s="1" t="str">
        <f>IF(OR(Table1[[#This Row],[Low Tol]]="",Table1[[#This Row],[High Tol]]=""),"Needs Analysis",IF(Table1[[#This Row],[Ratio]]&gt;=4,"Not Significant",IF(Table1[[#This Row],[Ratio]]&gt;=2,"Semi-Significant","Significant")))</f>
        <v>Needs Analysis</v>
      </c>
      <c r="W1155" s="1">
        <f>IF(Table1[[#This Row],[Cal Type]]&lt;&gt;"ACCREDITED 17025 WITH UNCERTAINTIES",0,"")</f>
        <v>0</v>
      </c>
      <c r="X1155" s="1" t="str">
        <f>IF(Table1[[#This Row],[DUT Read]]="","N/A",Table1[[#This Row],[Std Error]]+Table1[[#This Row],[DUT Read]]+Table1[[#This Row],[DUT Ucty]])</f>
        <v>N/A</v>
      </c>
      <c r="Y1155" s="1" t="str">
        <f>IF(Table1[[#This Row],[Std Read]]="","N/A",Table1[[#This Row],[Std Read]]+Table1[[#This Row],[Std Ucty]])</f>
        <v>N/A</v>
      </c>
      <c r="Z11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5" s="1" t="str">
        <f>IF(Table1[[#This Row],[Spec Type]]="","N/A",Table1[[#This Row],[Spec Type]])</f>
        <v>±</v>
      </c>
      <c r="AC1155" s="1" t="str">
        <f>IF(Table1[[#This Row],[Spec Type2]]="N/A","N/A",IF(AND(Table1[[#This Row],[DUT Adj Read]]&gt;=Table1[[#This Row],[Low Tol]],Table1[[#This Row],[DUT Adj Read]]&lt;=Table1[[#This Row],[High Tol]]),"Pass","Fail"))</f>
        <v>Fail</v>
      </c>
      <c r="AD1155" s="1" t="str">
        <f>IF(AND(Table1[[#This Row],[Spec Type2]]="N/A",Table1[[#This Row],[DUT Adj Read]]="N/A",Table1[[#This Row],[Std Adj Read]]="N/A"),"N/A",IF(Table1[[#This Row],[DUT Adj Read]]="N/A",IF(Table1[[#This Row],[Std Adj Read]]&gt;Table1[[#This Row],[Low Tol]],"Pass","Fail"),IF(Table1[[#This Row],[DUT Adj Read]]&gt;Table1[[#This Row],[Low Tol]],"Pass","Fail")))</f>
        <v>Pass</v>
      </c>
      <c r="AE1155" s="1" t="str">
        <f>IF(AND(Table1[[#This Row],[Spec Type2]]="N/A",Table1[[#This Row],[DUT Adj Read]]="N/A",Table1[[#This Row],[Std Adj Read]]="N/A"),"N/A",IF(Table1[[#This Row],[DUT Adj Read]]="N/A",IF(Table1[[#This Row],[Std Adj Read]]&lt;Table1[[#This Row],[High Tol]],"Pass","Fail"),IF(Table1[[#This Row],[DUT Adj Read]]&lt;Table1[[#This Row],[High Tol]],"Pass","Fail")))</f>
        <v>Fail</v>
      </c>
      <c r="AF1155" s="1" t="str">
        <f>IF(AND(Table1[[#This Row],[Spec Type2]]="N/A",Table1[[#This Row],[DUT Adj Read]]="N/A",Table1[[#This Row],[Std Adj Read]]="N/A"),"N/A",IF(Table1[[#This Row],[DUT Adj Read]]="N/A",IF(Table1[[#This Row],[Std Adj Read]]&gt;=Table1[[#This Row],[Low Tol]],"Pass","Fail"),IF(Table1[[#This Row],[DUT Adj Read]]&gt;=Table1[[#This Row],[Low Tol]],"Pass","Fail")))</f>
        <v>Pass</v>
      </c>
      <c r="AG1155" s="1" t="str">
        <f>IF(AND(Table1[[#This Row],[Spec Type2]]="N/A",Table1[[#This Row],[DUT Adj Read]]="N/A",Table1[[#This Row],[Std Adj Read]]="N/A"),"N/A",IF(Table1[[#This Row],[DUT Adj Read]]="N/A",IF(Table1[[#This Row],[Std Adj Read]]&lt;=Table1[[#This Row],[High Tol]],"Pass","Fail"),IF(Table1[[#This Row],[DUT Adj Read]]&lt;=Table1[[#This Row],[High Tol]],"Pass","Fail")))</f>
        <v>Fail</v>
      </c>
      <c r="AH11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5" s="1" t="b">
        <v>0</v>
      </c>
      <c r="AN1155" s="1" t="b">
        <v>0</v>
      </c>
      <c r="AO1155" s="1" t="b">
        <v>0</v>
      </c>
    </row>
    <row r="1156" spans="1:41" x14ac:dyDescent="0.25">
      <c r="A1156" s="10"/>
      <c r="B1156" s="10"/>
      <c r="C1156" s="10"/>
      <c r="D1156" s="10"/>
      <c r="E1156" s="10"/>
      <c r="F1156" s="10"/>
      <c r="G1156" s="10"/>
      <c r="H1156" s="10"/>
      <c r="I1156" s="1" t="str">
        <f t="shared" si="51"/>
        <v/>
      </c>
      <c r="J1156" s="1" t="s">
        <v>35</v>
      </c>
      <c r="K1156" s="1" t="str">
        <f t="shared" si="52"/>
        <v/>
      </c>
      <c r="L1156" s="1" t="str">
        <f t="shared" si="53"/>
        <v/>
      </c>
      <c r="M1156" s="1">
        <f>IF(OR(Table1[[#This Row],[Std Nom]]="",Table1[[#This Row],[Std Read]]=""),0,Table1[[#This Row],[Std Nom]]-Table1[[#This Row],[Std Read]])</f>
        <v>0</v>
      </c>
      <c r="N1156" s="1">
        <f>IF(Calculations!$F$5="ACCREDITED 17025 WITH UNCERTAINTIES",$N$10,0)</f>
        <v>0</v>
      </c>
      <c r="Q1156" s="1">
        <f>Table1[[#This Row],[High Tol]]-Table1[[#This Row],[Low Tol]]</f>
        <v>0</v>
      </c>
      <c r="R1156" s="1">
        <f>2*Table1[[#This Row],[Std Error]]</f>
        <v>0</v>
      </c>
      <c r="S1156" s="1" t="str">
        <f>IF(Table1[[#This Row],[High Tol]]="","N/A",IFERROR(ABS(Table1[[#This Row],[Tol Span]]/Table1[[#This Row],[Error Span]]),"N/A"))</f>
        <v>N/A</v>
      </c>
      <c r="T1156" s="1" t="str">
        <f>IF(OR(Table1[[#This Row],[Low Tol]]="",Table1[[#This Row],[High Tol]]=""),"Needs Analysis",IF(Table1[[#This Row],[Ratio]]&gt;=4,"Not Significant",IF(Table1[[#This Row],[Ratio]]&gt;=2,"Semi-Significant","Significant")))</f>
        <v>Needs Analysis</v>
      </c>
      <c r="W1156" s="1">
        <f>IF(Table1[[#This Row],[Cal Type]]&lt;&gt;"ACCREDITED 17025 WITH UNCERTAINTIES",0,"")</f>
        <v>0</v>
      </c>
      <c r="X1156" s="1" t="str">
        <f>IF(Table1[[#This Row],[DUT Read]]="","N/A",Table1[[#This Row],[Std Error]]+Table1[[#This Row],[DUT Read]]+Table1[[#This Row],[DUT Ucty]])</f>
        <v>N/A</v>
      </c>
      <c r="Y1156" s="1" t="str">
        <f>IF(Table1[[#This Row],[Std Read]]="","N/A",Table1[[#This Row],[Std Read]]+Table1[[#This Row],[Std Ucty]])</f>
        <v>N/A</v>
      </c>
      <c r="Z11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6" s="1" t="str">
        <f>IF(Table1[[#This Row],[Spec Type]]="","N/A",Table1[[#This Row],[Spec Type]])</f>
        <v>±</v>
      </c>
      <c r="AC1156" s="1" t="str">
        <f>IF(Table1[[#This Row],[Spec Type2]]="N/A","N/A",IF(AND(Table1[[#This Row],[DUT Adj Read]]&gt;=Table1[[#This Row],[Low Tol]],Table1[[#This Row],[DUT Adj Read]]&lt;=Table1[[#This Row],[High Tol]]),"Pass","Fail"))</f>
        <v>Fail</v>
      </c>
      <c r="AD1156" s="1" t="str">
        <f>IF(AND(Table1[[#This Row],[Spec Type2]]="N/A",Table1[[#This Row],[DUT Adj Read]]="N/A",Table1[[#This Row],[Std Adj Read]]="N/A"),"N/A",IF(Table1[[#This Row],[DUT Adj Read]]="N/A",IF(Table1[[#This Row],[Std Adj Read]]&gt;Table1[[#This Row],[Low Tol]],"Pass","Fail"),IF(Table1[[#This Row],[DUT Adj Read]]&gt;Table1[[#This Row],[Low Tol]],"Pass","Fail")))</f>
        <v>Pass</v>
      </c>
      <c r="AE1156" s="1" t="str">
        <f>IF(AND(Table1[[#This Row],[Spec Type2]]="N/A",Table1[[#This Row],[DUT Adj Read]]="N/A",Table1[[#This Row],[Std Adj Read]]="N/A"),"N/A",IF(Table1[[#This Row],[DUT Adj Read]]="N/A",IF(Table1[[#This Row],[Std Adj Read]]&lt;Table1[[#This Row],[High Tol]],"Pass","Fail"),IF(Table1[[#This Row],[DUT Adj Read]]&lt;Table1[[#This Row],[High Tol]],"Pass","Fail")))</f>
        <v>Fail</v>
      </c>
      <c r="AF1156" s="1" t="str">
        <f>IF(AND(Table1[[#This Row],[Spec Type2]]="N/A",Table1[[#This Row],[DUT Adj Read]]="N/A",Table1[[#This Row],[Std Adj Read]]="N/A"),"N/A",IF(Table1[[#This Row],[DUT Adj Read]]="N/A",IF(Table1[[#This Row],[Std Adj Read]]&gt;=Table1[[#This Row],[Low Tol]],"Pass","Fail"),IF(Table1[[#This Row],[DUT Adj Read]]&gt;=Table1[[#This Row],[Low Tol]],"Pass","Fail")))</f>
        <v>Pass</v>
      </c>
      <c r="AG1156" s="1" t="str">
        <f>IF(AND(Table1[[#This Row],[Spec Type2]]="N/A",Table1[[#This Row],[DUT Adj Read]]="N/A",Table1[[#This Row],[Std Adj Read]]="N/A"),"N/A",IF(Table1[[#This Row],[DUT Adj Read]]="N/A",IF(Table1[[#This Row],[Std Adj Read]]&lt;=Table1[[#This Row],[High Tol]],"Pass","Fail"),IF(Table1[[#This Row],[DUT Adj Read]]&lt;=Table1[[#This Row],[High Tol]],"Pass","Fail")))</f>
        <v>Fail</v>
      </c>
      <c r="AH11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6" s="1" t="b">
        <v>0</v>
      </c>
      <c r="AN1156" s="1" t="b">
        <v>0</v>
      </c>
      <c r="AO1156" s="1" t="b">
        <v>0</v>
      </c>
    </row>
    <row r="1157" spans="1:41" x14ac:dyDescent="0.25">
      <c r="A1157" s="10"/>
      <c r="B1157" s="10"/>
      <c r="C1157" s="10"/>
      <c r="D1157" s="10"/>
      <c r="E1157" s="10"/>
      <c r="F1157" s="10"/>
      <c r="G1157" s="10"/>
      <c r="H1157" s="10"/>
      <c r="I1157" s="1" t="str">
        <f t="shared" si="51"/>
        <v/>
      </c>
      <c r="J1157" s="1" t="s">
        <v>35</v>
      </c>
      <c r="K1157" s="1" t="str">
        <f t="shared" si="52"/>
        <v/>
      </c>
      <c r="L1157" s="1" t="str">
        <f t="shared" si="53"/>
        <v/>
      </c>
      <c r="M1157" s="1">
        <f>IF(OR(Table1[[#This Row],[Std Nom]]="",Table1[[#This Row],[Std Read]]=""),0,Table1[[#This Row],[Std Nom]]-Table1[[#This Row],[Std Read]])</f>
        <v>0</v>
      </c>
      <c r="N1157" s="1">
        <f>IF(Calculations!$F$5="ACCREDITED 17025 WITH UNCERTAINTIES",$N$10,0)</f>
        <v>0</v>
      </c>
      <c r="Q1157" s="1">
        <f>Table1[[#This Row],[High Tol]]-Table1[[#This Row],[Low Tol]]</f>
        <v>0</v>
      </c>
      <c r="R1157" s="1">
        <f>2*Table1[[#This Row],[Std Error]]</f>
        <v>0</v>
      </c>
      <c r="S1157" s="1" t="str">
        <f>IF(Table1[[#This Row],[High Tol]]="","N/A",IFERROR(ABS(Table1[[#This Row],[Tol Span]]/Table1[[#This Row],[Error Span]]),"N/A"))</f>
        <v>N/A</v>
      </c>
      <c r="T1157" s="1" t="str">
        <f>IF(OR(Table1[[#This Row],[Low Tol]]="",Table1[[#This Row],[High Tol]]=""),"Needs Analysis",IF(Table1[[#This Row],[Ratio]]&gt;=4,"Not Significant",IF(Table1[[#This Row],[Ratio]]&gt;=2,"Semi-Significant","Significant")))</f>
        <v>Needs Analysis</v>
      </c>
      <c r="W1157" s="1">
        <f>IF(Table1[[#This Row],[Cal Type]]&lt;&gt;"ACCREDITED 17025 WITH UNCERTAINTIES",0,"")</f>
        <v>0</v>
      </c>
      <c r="X1157" s="1" t="str">
        <f>IF(Table1[[#This Row],[DUT Read]]="","N/A",Table1[[#This Row],[Std Error]]+Table1[[#This Row],[DUT Read]]+Table1[[#This Row],[DUT Ucty]])</f>
        <v>N/A</v>
      </c>
      <c r="Y1157" s="1" t="str">
        <f>IF(Table1[[#This Row],[Std Read]]="","N/A",Table1[[#This Row],[Std Read]]+Table1[[#This Row],[Std Ucty]])</f>
        <v>N/A</v>
      </c>
      <c r="Z11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7" s="1" t="str">
        <f>IF(Table1[[#This Row],[Spec Type]]="","N/A",Table1[[#This Row],[Spec Type]])</f>
        <v>±</v>
      </c>
      <c r="AC1157" s="1" t="str">
        <f>IF(Table1[[#This Row],[Spec Type2]]="N/A","N/A",IF(AND(Table1[[#This Row],[DUT Adj Read]]&gt;=Table1[[#This Row],[Low Tol]],Table1[[#This Row],[DUT Adj Read]]&lt;=Table1[[#This Row],[High Tol]]),"Pass","Fail"))</f>
        <v>Fail</v>
      </c>
      <c r="AD1157" s="1" t="str">
        <f>IF(AND(Table1[[#This Row],[Spec Type2]]="N/A",Table1[[#This Row],[DUT Adj Read]]="N/A",Table1[[#This Row],[Std Adj Read]]="N/A"),"N/A",IF(Table1[[#This Row],[DUT Adj Read]]="N/A",IF(Table1[[#This Row],[Std Adj Read]]&gt;Table1[[#This Row],[Low Tol]],"Pass","Fail"),IF(Table1[[#This Row],[DUT Adj Read]]&gt;Table1[[#This Row],[Low Tol]],"Pass","Fail")))</f>
        <v>Pass</v>
      </c>
      <c r="AE1157" s="1" t="str">
        <f>IF(AND(Table1[[#This Row],[Spec Type2]]="N/A",Table1[[#This Row],[DUT Adj Read]]="N/A",Table1[[#This Row],[Std Adj Read]]="N/A"),"N/A",IF(Table1[[#This Row],[DUT Adj Read]]="N/A",IF(Table1[[#This Row],[Std Adj Read]]&lt;Table1[[#This Row],[High Tol]],"Pass","Fail"),IF(Table1[[#This Row],[DUT Adj Read]]&lt;Table1[[#This Row],[High Tol]],"Pass","Fail")))</f>
        <v>Fail</v>
      </c>
      <c r="AF1157" s="1" t="str">
        <f>IF(AND(Table1[[#This Row],[Spec Type2]]="N/A",Table1[[#This Row],[DUT Adj Read]]="N/A",Table1[[#This Row],[Std Adj Read]]="N/A"),"N/A",IF(Table1[[#This Row],[DUT Adj Read]]="N/A",IF(Table1[[#This Row],[Std Adj Read]]&gt;=Table1[[#This Row],[Low Tol]],"Pass","Fail"),IF(Table1[[#This Row],[DUT Adj Read]]&gt;=Table1[[#This Row],[Low Tol]],"Pass","Fail")))</f>
        <v>Pass</v>
      </c>
      <c r="AG1157" s="1" t="str">
        <f>IF(AND(Table1[[#This Row],[Spec Type2]]="N/A",Table1[[#This Row],[DUT Adj Read]]="N/A",Table1[[#This Row],[Std Adj Read]]="N/A"),"N/A",IF(Table1[[#This Row],[DUT Adj Read]]="N/A",IF(Table1[[#This Row],[Std Adj Read]]&lt;=Table1[[#This Row],[High Tol]],"Pass","Fail"),IF(Table1[[#This Row],[DUT Adj Read]]&lt;=Table1[[#This Row],[High Tol]],"Pass","Fail")))</f>
        <v>Fail</v>
      </c>
      <c r="AH11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7" s="1" t="b">
        <v>0</v>
      </c>
      <c r="AN1157" s="1" t="b">
        <v>0</v>
      </c>
      <c r="AO1157" s="1" t="b">
        <v>0</v>
      </c>
    </row>
    <row r="1158" spans="1:41" x14ac:dyDescent="0.25">
      <c r="A1158" s="10"/>
      <c r="B1158" s="10"/>
      <c r="C1158" s="10"/>
      <c r="D1158" s="10"/>
      <c r="E1158" s="10"/>
      <c r="F1158" s="10"/>
      <c r="G1158" s="10"/>
      <c r="H1158" s="10"/>
      <c r="I1158" s="1" t="str">
        <f t="shared" si="51"/>
        <v/>
      </c>
      <c r="J1158" s="1" t="s">
        <v>35</v>
      </c>
      <c r="K1158" s="1" t="str">
        <f t="shared" si="52"/>
        <v/>
      </c>
      <c r="L1158" s="1" t="str">
        <f t="shared" si="53"/>
        <v/>
      </c>
      <c r="M1158" s="1">
        <f>IF(OR(Table1[[#This Row],[Std Nom]]="",Table1[[#This Row],[Std Read]]=""),0,Table1[[#This Row],[Std Nom]]-Table1[[#This Row],[Std Read]])</f>
        <v>0</v>
      </c>
      <c r="N1158" s="1">
        <f>IF(Calculations!$F$5="ACCREDITED 17025 WITH UNCERTAINTIES",$N$10,0)</f>
        <v>0</v>
      </c>
      <c r="Q1158" s="1">
        <f>Table1[[#This Row],[High Tol]]-Table1[[#This Row],[Low Tol]]</f>
        <v>0</v>
      </c>
      <c r="R1158" s="1">
        <f>2*Table1[[#This Row],[Std Error]]</f>
        <v>0</v>
      </c>
      <c r="S1158" s="1" t="str">
        <f>IF(Table1[[#This Row],[High Tol]]="","N/A",IFERROR(ABS(Table1[[#This Row],[Tol Span]]/Table1[[#This Row],[Error Span]]),"N/A"))</f>
        <v>N/A</v>
      </c>
      <c r="T1158" s="1" t="str">
        <f>IF(OR(Table1[[#This Row],[Low Tol]]="",Table1[[#This Row],[High Tol]]=""),"Needs Analysis",IF(Table1[[#This Row],[Ratio]]&gt;=4,"Not Significant",IF(Table1[[#This Row],[Ratio]]&gt;=2,"Semi-Significant","Significant")))</f>
        <v>Needs Analysis</v>
      </c>
      <c r="W1158" s="1">
        <f>IF(Table1[[#This Row],[Cal Type]]&lt;&gt;"ACCREDITED 17025 WITH UNCERTAINTIES",0,"")</f>
        <v>0</v>
      </c>
      <c r="X1158" s="1" t="str">
        <f>IF(Table1[[#This Row],[DUT Read]]="","N/A",Table1[[#This Row],[Std Error]]+Table1[[#This Row],[DUT Read]]+Table1[[#This Row],[DUT Ucty]])</f>
        <v>N/A</v>
      </c>
      <c r="Y1158" s="1" t="str">
        <f>IF(Table1[[#This Row],[Std Read]]="","N/A",Table1[[#This Row],[Std Read]]+Table1[[#This Row],[Std Ucty]])</f>
        <v>N/A</v>
      </c>
      <c r="Z11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8" s="1" t="str">
        <f>IF(Table1[[#This Row],[Spec Type]]="","N/A",Table1[[#This Row],[Spec Type]])</f>
        <v>±</v>
      </c>
      <c r="AC1158" s="1" t="str">
        <f>IF(Table1[[#This Row],[Spec Type2]]="N/A","N/A",IF(AND(Table1[[#This Row],[DUT Adj Read]]&gt;=Table1[[#This Row],[Low Tol]],Table1[[#This Row],[DUT Adj Read]]&lt;=Table1[[#This Row],[High Tol]]),"Pass","Fail"))</f>
        <v>Fail</v>
      </c>
      <c r="AD1158" s="1" t="str">
        <f>IF(AND(Table1[[#This Row],[Spec Type2]]="N/A",Table1[[#This Row],[DUT Adj Read]]="N/A",Table1[[#This Row],[Std Adj Read]]="N/A"),"N/A",IF(Table1[[#This Row],[DUT Adj Read]]="N/A",IF(Table1[[#This Row],[Std Adj Read]]&gt;Table1[[#This Row],[Low Tol]],"Pass","Fail"),IF(Table1[[#This Row],[DUT Adj Read]]&gt;Table1[[#This Row],[Low Tol]],"Pass","Fail")))</f>
        <v>Pass</v>
      </c>
      <c r="AE1158" s="1" t="str">
        <f>IF(AND(Table1[[#This Row],[Spec Type2]]="N/A",Table1[[#This Row],[DUT Adj Read]]="N/A",Table1[[#This Row],[Std Adj Read]]="N/A"),"N/A",IF(Table1[[#This Row],[DUT Adj Read]]="N/A",IF(Table1[[#This Row],[Std Adj Read]]&lt;Table1[[#This Row],[High Tol]],"Pass","Fail"),IF(Table1[[#This Row],[DUT Adj Read]]&lt;Table1[[#This Row],[High Tol]],"Pass","Fail")))</f>
        <v>Fail</v>
      </c>
      <c r="AF1158" s="1" t="str">
        <f>IF(AND(Table1[[#This Row],[Spec Type2]]="N/A",Table1[[#This Row],[DUT Adj Read]]="N/A",Table1[[#This Row],[Std Adj Read]]="N/A"),"N/A",IF(Table1[[#This Row],[DUT Adj Read]]="N/A",IF(Table1[[#This Row],[Std Adj Read]]&gt;=Table1[[#This Row],[Low Tol]],"Pass","Fail"),IF(Table1[[#This Row],[DUT Adj Read]]&gt;=Table1[[#This Row],[Low Tol]],"Pass","Fail")))</f>
        <v>Pass</v>
      </c>
      <c r="AG1158" s="1" t="str">
        <f>IF(AND(Table1[[#This Row],[Spec Type2]]="N/A",Table1[[#This Row],[DUT Adj Read]]="N/A",Table1[[#This Row],[Std Adj Read]]="N/A"),"N/A",IF(Table1[[#This Row],[DUT Adj Read]]="N/A",IF(Table1[[#This Row],[Std Adj Read]]&lt;=Table1[[#This Row],[High Tol]],"Pass","Fail"),IF(Table1[[#This Row],[DUT Adj Read]]&lt;=Table1[[#This Row],[High Tol]],"Pass","Fail")))</f>
        <v>Fail</v>
      </c>
      <c r="AH11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8" s="1" t="b">
        <v>0</v>
      </c>
      <c r="AN1158" s="1" t="b">
        <v>0</v>
      </c>
      <c r="AO1158" s="1" t="b">
        <v>0</v>
      </c>
    </row>
    <row r="1159" spans="1:41" x14ac:dyDescent="0.25">
      <c r="A1159" s="10"/>
      <c r="B1159" s="10"/>
      <c r="C1159" s="10"/>
      <c r="D1159" s="10"/>
      <c r="E1159" s="10"/>
      <c r="F1159" s="10"/>
      <c r="G1159" s="10"/>
      <c r="H1159" s="10"/>
      <c r="I1159" s="1" t="str">
        <f t="shared" si="51"/>
        <v/>
      </c>
      <c r="J1159" s="1" t="s">
        <v>35</v>
      </c>
      <c r="K1159" s="1" t="str">
        <f t="shared" si="52"/>
        <v/>
      </c>
      <c r="L1159" s="1" t="str">
        <f t="shared" si="53"/>
        <v/>
      </c>
      <c r="M1159" s="1">
        <f>IF(OR(Table1[[#This Row],[Std Nom]]="",Table1[[#This Row],[Std Read]]=""),0,Table1[[#This Row],[Std Nom]]-Table1[[#This Row],[Std Read]])</f>
        <v>0</v>
      </c>
      <c r="N1159" s="1">
        <f>IF(Calculations!$F$5="ACCREDITED 17025 WITH UNCERTAINTIES",$N$10,0)</f>
        <v>0</v>
      </c>
      <c r="Q1159" s="1">
        <f>Table1[[#This Row],[High Tol]]-Table1[[#This Row],[Low Tol]]</f>
        <v>0</v>
      </c>
      <c r="R1159" s="1">
        <f>2*Table1[[#This Row],[Std Error]]</f>
        <v>0</v>
      </c>
      <c r="S1159" s="1" t="str">
        <f>IF(Table1[[#This Row],[High Tol]]="","N/A",IFERROR(ABS(Table1[[#This Row],[Tol Span]]/Table1[[#This Row],[Error Span]]),"N/A"))</f>
        <v>N/A</v>
      </c>
      <c r="T1159" s="1" t="str">
        <f>IF(OR(Table1[[#This Row],[Low Tol]]="",Table1[[#This Row],[High Tol]]=""),"Needs Analysis",IF(Table1[[#This Row],[Ratio]]&gt;=4,"Not Significant",IF(Table1[[#This Row],[Ratio]]&gt;=2,"Semi-Significant","Significant")))</f>
        <v>Needs Analysis</v>
      </c>
      <c r="W1159" s="1">
        <f>IF(Table1[[#This Row],[Cal Type]]&lt;&gt;"ACCREDITED 17025 WITH UNCERTAINTIES",0,"")</f>
        <v>0</v>
      </c>
      <c r="X1159" s="1" t="str">
        <f>IF(Table1[[#This Row],[DUT Read]]="","N/A",Table1[[#This Row],[Std Error]]+Table1[[#This Row],[DUT Read]]+Table1[[#This Row],[DUT Ucty]])</f>
        <v>N/A</v>
      </c>
      <c r="Y1159" s="1" t="str">
        <f>IF(Table1[[#This Row],[Std Read]]="","N/A",Table1[[#This Row],[Std Read]]+Table1[[#This Row],[Std Ucty]])</f>
        <v>N/A</v>
      </c>
      <c r="Z11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59" s="1" t="str">
        <f>IF(Table1[[#This Row],[Spec Type]]="","N/A",Table1[[#This Row],[Spec Type]])</f>
        <v>±</v>
      </c>
      <c r="AC1159" s="1" t="str">
        <f>IF(Table1[[#This Row],[Spec Type2]]="N/A","N/A",IF(AND(Table1[[#This Row],[DUT Adj Read]]&gt;=Table1[[#This Row],[Low Tol]],Table1[[#This Row],[DUT Adj Read]]&lt;=Table1[[#This Row],[High Tol]]),"Pass","Fail"))</f>
        <v>Fail</v>
      </c>
      <c r="AD1159" s="1" t="str">
        <f>IF(AND(Table1[[#This Row],[Spec Type2]]="N/A",Table1[[#This Row],[DUT Adj Read]]="N/A",Table1[[#This Row],[Std Adj Read]]="N/A"),"N/A",IF(Table1[[#This Row],[DUT Adj Read]]="N/A",IF(Table1[[#This Row],[Std Adj Read]]&gt;Table1[[#This Row],[Low Tol]],"Pass","Fail"),IF(Table1[[#This Row],[DUT Adj Read]]&gt;Table1[[#This Row],[Low Tol]],"Pass","Fail")))</f>
        <v>Pass</v>
      </c>
      <c r="AE1159" s="1" t="str">
        <f>IF(AND(Table1[[#This Row],[Spec Type2]]="N/A",Table1[[#This Row],[DUT Adj Read]]="N/A",Table1[[#This Row],[Std Adj Read]]="N/A"),"N/A",IF(Table1[[#This Row],[DUT Adj Read]]="N/A",IF(Table1[[#This Row],[Std Adj Read]]&lt;Table1[[#This Row],[High Tol]],"Pass","Fail"),IF(Table1[[#This Row],[DUT Adj Read]]&lt;Table1[[#This Row],[High Tol]],"Pass","Fail")))</f>
        <v>Fail</v>
      </c>
      <c r="AF1159" s="1" t="str">
        <f>IF(AND(Table1[[#This Row],[Spec Type2]]="N/A",Table1[[#This Row],[DUT Adj Read]]="N/A",Table1[[#This Row],[Std Adj Read]]="N/A"),"N/A",IF(Table1[[#This Row],[DUT Adj Read]]="N/A",IF(Table1[[#This Row],[Std Adj Read]]&gt;=Table1[[#This Row],[Low Tol]],"Pass","Fail"),IF(Table1[[#This Row],[DUT Adj Read]]&gt;=Table1[[#This Row],[Low Tol]],"Pass","Fail")))</f>
        <v>Pass</v>
      </c>
      <c r="AG1159" s="1" t="str">
        <f>IF(AND(Table1[[#This Row],[Spec Type2]]="N/A",Table1[[#This Row],[DUT Adj Read]]="N/A",Table1[[#This Row],[Std Adj Read]]="N/A"),"N/A",IF(Table1[[#This Row],[DUT Adj Read]]="N/A",IF(Table1[[#This Row],[Std Adj Read]]&lt;=Table1[[#This Row],[High Tol]],"Pass","Fail"),IF(Table1[[#This Row],[DUT Adj Read]]&lt;=Table1[[#This Row],[High Tol]],"Pass","Fail")))</f>
        <v>Fail</v>
      </c>
      <c r="AH11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59" s="1" t="b">
        <v>0</v>
      </c>
      <c r="AN1159" s="1" t="b">
        <v>0</v>
      </c>
      <c r="AO1159" s="1" t="b">
        <v>0</v>
      </c>
    </row>
    <row r="1160" spans="1:41" x14ac:dyDescent="0.25">
      <c r="A1160" s="10"/>
      <c r="B1160" s="10"/>
      <c r="C1160" s="10"/>
      <c r="D1160" s="10"/>
      <c r="E1160" s="10"/>
      <c r="F1160" s="10"/>
      <c r="G1160" s="10"/>
      <c r="H1160" s="10"/>
      <c r="I1160" s="1" t="str">
        <f t="shared" si="51"/>
        <v/>
      </c>
      <c r="J1160" s="1" t="s">
        <v>35</v>
      </c>
      <c r="K1160" s="1" t="str">
        <f t="shared" si="52"/>
        <v/>
      </c>
      <c r="L1160" s="1" t="str">
        <f t="shared" si="53"/>
        <v/>
      </c>
      <c r="M1160" s="1">
        <f>IF(OR(Table1[[#This Row],[Std Nom]]="",Table1[[#This Row],[Std Read]]=""),0,Table1[[#This Row],[Std Nom]]-Table1[[#This Row],[Std Read]])</f>
        <v>0</v>
      </c>
      <c r="N1160" s="1">
        <f>IF(Calculations!$F$5="ACCREDITED 17025 WITH UNCERTAINTIES",$N$10,0)</f>
        <v>0</v>
      </c>
      <c r="Q1160" s="1">
        <f>Table1[[#This Row],[High Tol]]-Table1[[#This Row],[Low Tol]]</f>
        <v>0</v>
      </c>
      <c r="R1160" s="1">
        <f>2*Table1[[#This Row],[Std Error]]</f>
        <v>0</v>
      </c>
      <c r="S1160" s="1" t="str">
        <f>IF(Table1[[#This Row],[High Tol]]="","N/A",IFERROR(ABS(Table1[[#This Row],[Tol Span]]/Table1[[#This Row],[Error Span]]),"N/A"))</f>
        <v>N/A</v>
      </c>
      <c r="T1160" s="1" t="str">
        <f>IF(OR(Table1[[#This Row],[Low Tol]]="",Table1[[#This Row],[High Tol]]=""),"Needs Analysis",IF(Table1[[#This Row],[Ratio]]&gt;=4,"Not Significant",IF(Table1[[#This Row],[Ratio]]&gt;=2,"Semi-Significant","Significant")))</f>
        <v>Needs Analysis</v>
      </c>
      <c r="W1160" s="1">
        <f>IF(Table1[[#This Row],[Cal Type]]&lt;&gt;"ACCREDITED 17025 WITH UNCERTAINTIES",0,"")</f>
        <v>0</v>
      </c>
      <c r="X1160" s="1" t="str">
        <f>IF(Table1[[#This Row],[DUT Read]]="","N/A",Table1[[#This Row],[Std Error]]+Table1[[#This Row],[DUT Read]]+Table1[[#This Row],[DUT Ucty]])</f>
        <v>N/A</v>
      </c>
      <c r="Y1160" s="1" t="str">
        <f>IF(Table1[[#This Row],[Std Read]]="","N/A",Table1[[#This Row],[Std Read]]+Table1[[#This Row],[Std Ucty]])</f>
        <v>N/A</v>
      </c>
      <c r="Z11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0" s="1" t="str">
        <f>IF(Table1[[#This Row],[Spec Type]]="","N/A",Table1[[#This Row],[Spec Type]])</f>
        <v>±</v>
      </c>
      <c r="AC1160" s="1" t="str">
        <f>IF(Table1[[#This Row],[Spec Type2]]="N/A","N/A",IF(AND(Table1[[#This Row],[DUT Adj Read]]&gt;=Table1[[#This Row],[Low Tol]],Table1[[#This Row],[DUT Adj Read]]&lt;=Table1[[#This Row],[High Tol]]),"Pass","Fail"))</f>
        <v>Fail</v>
      </c>
      <c r="AD1160" s="1" t="str">
        <f>IF(AND(Table1[[#This Row],[Spec Type2]]="N/A",Table1[[#This Row],[DUT Adj Read]]="N/A",Table1[[#This Row],[Std Adj Read]]="N/A"),"N/A",IF(Table1[[#This Row],[DUT Adj Read]]="N/A",IF(Table1[[#This Row],[Std Adj Read]]&gt;Table1[[#This Row],[Low Tol]],"Pass","Fail"),IF(Table1[[#This Row],[DUT Adj Read]]&gt;Table1[[#This Row],[Low Tol]],"Pass","Fail")))</f>
        <v>Pass</v>
      </c>
      <c r="AE1160" s="1" t="str">
        <f>IF(AND(Table1[[#This Row],[Spec Type2]]="N/A",Table1[[#This Row],[DUT Adj Read]]="N/A",Table1[[#This Row],[Std Adj Read]]="N/A"),"N/A",IF(Table1[[#This Row],[DUT Adj Read]]="N/A",IF(Table1[[#This Row],[Std Adj Read]]&lt;Table1[[#This Row],[High Tol]],"Pass","Fail"),IF(Table1[[#This Row],[DUT Adj Read]]&lt;Table1[[#This Row],[High Tol]],"Pass","Fail")))</f>
        <v>Fail</v>
      </c>
      <c r="AF1160" s="1" t="str">
        <f>IF(AND(Table1[[#This Row],[Spec Type2]]="N/A",Table1[[#This Row],[DUT Adj Read]]="N/A",Table1[[#This Row],[Std Adj Read]]="N/A"),"N/A",IF(Table1[[#This Row],[DUT Adj Read]]="N/A",IF(Table1[[#This Row],[Std Adj Read]]&gt;=Table1[[#This Row],[Low Tol]],"Pass","Fail"),IF(Table1[[#This Row],[DUT Adj Read]]&gt;=Table1[[#This Row],[Low Tol]],"Pass","Fail")))</f>
        <v>Pass</v>
      </c>
      <c r="AG1160" s="1" t="str">
        <f>IF(AND(Table1[[#This Row],[Spec Type2]]="N/A",Table1[[#This Row],[DUT Adj Read]]="N/A",Table1[[#This Row],[Std Adj Read]]="N/A"),"N/A",IF(Table1[[#This Row],[DUT Adj Read]]="N/A",IF(Table1[[#This Row],[Std Adj Read]]&lt;=Table1[[#This Row],[High Tol]],"Pass","Fail"),IF(Table1[[#This Row],[DUT Adj Read]]&lt;=Table1[[#This Row],[High Tol]],"Pass","Fail")))</f>
        <v>Fail</v>
      </c>
      <c r="AH11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0" s="1" t="b">
        <v>0</v>
      </c>
      <c r="AN1160" s="1" t="b">
        <v>0</v>
      </c>
      <c r="AO1160" s="1" t="b">
        <v>0</v>
      </c>
    </row>
    <row r="1161" spans="1:41" x14ac:dyDescent="0.25">
      <c r="A1161" s="10"/>
      <c r="B1161" s="10"/>
      <c r="C1161" s="10"/>
      <c r="D1161" s="10"/>
      <c r="E1161" s="10"/>
      <c r="F1161" s="10"/>
      <c r="G1161" s="10"/>
      <c r="H1161" s="10"/>
      <c r="I1161" s="1" t="str">
        <f t="shared" si="51"/>
        <v/>
      </c>
      <c r="J1161" s="1" t="s">
        <v>35</v>
      </c>
      <c r="K1161" s="1" t="str">
        <f t="shared" si="52"/>
        <v/>
      </c>
      <c r="L1161" s="1" t="str">
        <f t="shared" si="53"/>
        <v/>
      </c>
      <c r="M1161" s="1">
        <f>IF(OR(Table1[[#This Row],[Std Nom]]="",Table1[[#This Row],[Std Read]]=""),0,Table1[[#This Row],[Std Nom]]-Table1[[#This Row],[Std Read]])</f>
        <v>0</v>
      </c>
      <c r="N1161" s="1">
        <f>IF(Calculations!$F$5="ACCREDITED 17025 WITH UNCERTAINTIES",$N$10,0)</f>
        <v>0</v>
      </c>
      <c r="Q1161" s="1">
        <f>Table1[[#This Row],[High Tol]]-Table1[[#This Row],[Low Tol]]</f>
        <v>0</v>
      </c>
      <c r="R1161" s="1">
        <f>2*Table1[[#This Row],[Std Error]]</f>
        <v>0</v>
      </c>
      <c r="S1161" s="1" t="str">
        <f>IF(Table1[[#This Row],[High Tol]]="","N/A",IFERROR(ABS(Table1[[#This Row],[Tol Span]]/Table1[[#This Row],[Error Span]]),"N/A"))</f>
        <v>N/A</v>
      </c>
      <c r="T1161" s="1" t="str">
        <f>IF(OR(Table1[[#This Row],[Low Tol]]="",Table1[[#This Row],[High Tol]]=""),"Needs Analysis",IF(Table1[[#This Row],[Ratio]]&gt;=4,"Not Significant",IF(Table1[[#This Row],[Ratio]]&gt;=2,"Semi-Significant","Significant")))</f>
        <v>Needs Analysis</v>
      </c>
      <c r="W1161" s="1">
        <f>IF(Table1[[#This Row],[Cal Type]]&lt;&gt;"ACCREDITED 17025 WITH UNCERTAINTIES",0,"")</f>
        <v>0</v>
      </c>
      <c r="X1161" s="1" t="str">
        <f>IF(Table1[[#This Row],[DUT Read]]="","N/A",Table1[[#This Row],[Std Error]]+Table1[[#This Row],[DUT Read]]+Table1[[#This Row],[DUT Ucty]])</f>
        <v>N/A</v>
      </c>
      <c r="Y1161" s="1" t="str">
        <f>IF(Table1[[#This Row],[Std Read]]="","N/A",Table1[[#This Row],[Std Read]]+Table1[[#This Row],[Std Ucty]])</f>
        <v>N/A</v>
      </c>
      <c r="Z11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1" s="1" t="str">
        <f>IF(Table1[[#This Row],[Spec Type]]="","N/A",Table1[[#This Row],[Spec Type]])</f>
        <v>±</v>
      </c>
      <c r="AC1161" s="1" t="str">
        <f>IF(Table1[[#This Row],[Spec Type2]]="N/A","N/A",IF(AND(Table1[[#This Row],[DUT Adj Read]]&gt;=Table1[[#This Row],[Low Tol]],Table1[[#This Row],[DUT Adj Read]]&lt;=Table1[[#This Row],[High Tol]]),"Pass","Fail"))</f>
        <v>Fail</v>
      </c>
      <c r="AD1161" s="1" t="str">
        <f>IF(AND(Table1[[#This Row],[Spec Type2]]="N/A",Table1[[#This Row],[DUT Adj Read]]="N/A",Table1[[#This Row],[Std Adj Read]]="N/A"),"N/A",IF(Table1[[#This Row],[DUT Adj Read]]="N/A",IF(Table1[[#This Row],[Std Adj Read]]&gt;Table1[[#This Row],[Low Tol]],"Pass","Fail"),IF(Table1[[#This Row],[DUT Adj Read]]&gt;Table1[[#This Row],[Low Tol]],"Pass","Fail")))</f>
        <v>Pass</v>
      </c>
      <c r="AE1161" s="1" t="str">
        <f>IF(AND(Table1[[#This Row],[Spec Type2]]="N/A",Table1[[#This Row],[DUT Adj Read]]="N/A",Table1[[#This Row],[Std Adj Read]]="N/A"),"N/A",IF(Table1[[#This Row],[DUT Adj Read]]="N/A",IF(Table1[[#This Row],[Std Adj Read]]&lt;Table1[[#This Row],[High Tol]],"Pass","Fail"),IF(Table1[[#This Row],[DUT Adj Read]]&lt;Table1[[#This Row],[High Tol]],"Pass","Fail")))</f>
        <v>Fail</v>
      </c>
      <c r="AF1161" s="1" t="str">
        <f>IF(AND(Table1[[#This Row],[Spec Type2]]="N/A",Table1[[#This Row],[DUT Adj Read]]="N/A",Table1[[#This Row],[Std Adj Read]]="N/A"),"N/A",IF(Table1[[#This Row],[DUT Adj Read]]="N/A",IF(Table1[[#This Row],[Std Adj Read]]&gt;=Table1[[#This Row],[Low Tol]],"Pass","Fail"),IF(Table1[[#This Row],[DUT Adj Read]]&gt;=Table1[[#This Row],[Low Tol]],"Pass","Fail")))</f>
        <v>Pass</v>
      </c>
      <c r="AG1161" s="1" t="str">
        <f>IF(AND(Table1[[#This Row],[Spec Type2]]="N/A",Table1[[#This Row],[DUT Adj Read]]="N/A",Table1[[#This Row],[Std Adj Read]]="N/A"),"N/A",IF(Table1[[#This Row],[DUT Adj Read]]="N/A",IF(Table1[[#This Row],[Std Adj Read]]&lt;=Table1[[#This Row],[High Tol]],"Pass","Fail"),IF(Table1[[#This Row],[DUT Adj Read]]&lt;=Table1[[#This Row],[High Tol]],"Pass","Fail")))</f>
        <v>Fail</v>
      </c>
      <c r="AH11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1" s="1" t="b">
        <v>0</v>
      </c>
      <c r="AN1161" s="1" t="b">
        <v>0</v>
      </c>
      <c r="AO1161" s="1" t="b">
        <v>0</v>
      </c>
    </row>
    <row r="1162" spans="1:41" x14ac:dyDescent="0.25">
      <c r="A1162" s="10"/>
      <c r="B1162" s="10"/>
      <c r="C1162" s="10"/>
      <c r="D1162" s="10"/>
      <c r="E1162" s="10"/>
      <c r="F1162" s="10"/>
      <c r="G1162" s="10"/>
      <c r="H1162" s="10"/>
      <c r="I1162" s="1" t="str">
        <f t="shared" si="51"/>
        <v/>
      </c>
      <c r="J1162" s="1" t="s">
        <v>35</v>
      </c>
      <c r="K1162" s="1" t="str">
        <f t="shared" si="52"/>
        <v/>
      </c>
      <c r="L1162" s="1" t="str">
        <f t="shared" si="53"/>
        <v/>
      </c>
      <c r="M1162" s="1">
        <f>IF(OR(Table1[[#This Row],[Std Nom]]="",Table1[[#This Row],[Std Read]]=""),0,Table1[[#This Row],[Std Nom]]-Table1[[#This Row],[Std Read]])</f>
        <v>0</v>
      </c>
      <c r="N1162" s="1">
        <f>IF(Calculations!$F$5="ACCREDITED 17025 WITH UNCERTAINTIES",$N$10,0)</f>
        <v>0</v>
      </c>
      <c r="Q1162" s="1">
        <f>Table1[[#This Row],[High Tol]]-Table1[[#This Row],[Low Tol]]</f>
        <v>0</v>
      </c>
      <c r="R1162" s="1">
        <f>2*Table1[[#This Row],[Std Error]]</f>
        <v>0</v>
      </c>
      <c r="S1162" s="1" t="str">
        <f>IF(Table1[[#This Row],[High Tol]]="","N/A",IFERROR(ABS(Table1[[#This Row],[Tol Span]]/Table1[[#This Row],[Error Span]]),"N/A"))</f>
        <v>N/A</v>
      </c>
      <c r="T1162" s="1" t="str">
        <f>IF(OR(Table1[[#This Row],[Low Tol]]="",Table1[[#This Row],[High Tol]]=""),"Needs Analysis",IF(Table1[[#This Row],[Ratio]]&gt;=4,"Not Significant",IF(Table1[[#This Row],[Ratio]]&gt;=2,"Semi-Significant","Significant")))</f>
        <v>Needs Analysis</v>
      </c>
      <c r="W1162" s="1">
        <f>IF(Table1[[#This Row],[Cal Type]]&lt;&gt;"ACCREDITED 17025 WITH UNCERTAINTIES",0,"")</f>
        <v>0</v>
      </c>
      <c r="X1162" s="1" t="str">
        <f>IF(Table1[[#This Row],[DUT Read]]="","N/A",Table1[[#This Row],[Std Error]]+Table1[[#This Row],[DUT Read]]+Table1[[#This Row],[DUT Ucty]])</f>
        <v>N/A</v>
      </c>
      <c r="Y1162" s="1" t="str">
        <f>IF(Table1[[#This Row],[Std Read]]="","N/A",Table1[[#This Row],[Std Read]]+Table1[[#This Row],[Std Ucty]])</f>
        <v>N/A</v>
      </c>
      <c r="Z11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2" s="1" t="str">
        <f>IF(Table1[[#This Row],[Spec Type]]="","N/A",Table1[[#This Row],[Spec Type]])</f>
        <v>±</v>
      </c>
      <c r="AC1162" s="1" t="str">
        <f>IF(Table1[[#This Row],[Spec Type2]]="N/A","N/A",IF(AND(Table1[[#This Row],[DUT Adj Read]]&gt;=Table1[[#This Row],[Low Tol]],Table1[[#This Row],[DUT Adj Read]]&lt;=Table1[[#This Row],[High Tol]]),"Pass","Fail"))</f>
        <v>Fail</v>
      </c>
      <c r="AD1162" s="1" t="str">
        <f>IF(AND(Table1[[#This Row],[Spec Type2]]="N/A",Table1[[#This Row],[DUT Adj Read]]="N/A",Table1[[#This Row],[Std Adj Read]]="N/A"),"N/A",IF(Table1[[#This Row],[DUT Adj Read]]="N/A",IF(Table1[[#This Row],[Std Adj Read]]&gt;Table1[[#This Row],[Low Tol]],"Pass","Fail"),IF(Table1[[#This Row],[DUT Adj Read]]&gt;Table1[[#This Row],[Low Tol]],"Pass","Fail")))</f>
        <v>Pass</v>
      </c>
      <c r="AE1162" s="1" t="str">
        <f>IF(AND(Table1[[#This Row],[Spec Type2]]="N/A",Table1[[#This Row],[DUT Adj Read]]="N/A",Table1[[#This Row],[Std Adj Read]]="N/A"),"N/A",IF(Table1[[#This Row],[DUT Adj Read]]="N/A",IF(Table1[[#This Row],[Std Adj Read]]&lt;Table1[[#This Row],[High Tol]],"Pass","Fail"),IF(Table1[[#This Row],[DUT Adj Read]]&lt;Table1[[#This Row],[High Tol]],"Pass","Fail")))</f>
        <v>Fail</v>
      </c>
      <c r="AF1162" s="1" t="str">
        <f>IF(AND(Table1[[#This Row],[Spec Type2]]="N/A",Table1[[#This Row],[DUT Adj Read]]="N/A",Table1[[#This Row],[Std Adj Read]]="N/A"),"N/A",IF(Table1[[#This Row],[DUT Adj Read]]="N/A",IF(Table1[[#This Row],[Std Adj Read]]&gt;=Table1[[#This Row],[Low Tol]],"Pass","Fail"),IF(Table1[[#This Row],[DUT Adj Read]]&gt;=Table1[[#This Row],[Low Tol]],"Pass","Fail")))</f>
        <v>Pass</v>
      </c>
      <c r="AG1162" s="1" t="str">
        <f>IF(AND(Table1[[#This Row],[Spec Type2]]="N/A",Table1[[#This Row],[DUT Adj Read]]="N/A",Table1[[#This Row],[Std Adj Read]]="N/A"),"N/A",IF(Table1[[#This Row],[DUT Adj Read]]="N/A",IF(Table1[[#This Row],[Std Adj Read]]&lt;=Table1[[#This Row],[High Tol]],"Pass","Fail"),IF(Table1[[#This Row],[DUT Adj Read]]&lt;=Table1[[#This Row],[High Tol]],"Pass","Fail")))</f>
        <v>Fail</v>
      </c>
      <c r="AH11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2" s="1" t="b">
        <v>0</v>
      </c>
      <c r="AN1162" s="1" t="b">
        <v>0</v>
      </c>
      <c r="AO1162" s="1" t="b">
        <v>0</v>
      </c>
    </row>
    <row r="1163" spans="1:41" x14ac:dyDescent="0.25">
      <c r="A1163" s="10"/>
      <c r="B1163" s="10"/>
      <c r="C1163" s="10"/>
      <c r="D1163" s="10"/>
      <c r="E1163" s="10"/>
      <c r="F1163" s="10"/>
      <c r="G1163" s="10"/>
      <c r="H1163" s="10"/>
      <c r="I1163" s="1" t="str">
        <f t="shared" ref="I1163:I1226" si="54">IF($I$10="","",$I$10)</f>
        <v/>
      </c>
      <c r="J1163" s="1" t="s">
        <v>35</v>
      </c>
      <c r="K1163" s="1" t="str">
        <f t="shared" ref="K1163:K1226" si="55">IF($K$10="","",$K$10)</f>
        <v/>
      </c>
      <c r="L1163" s="1" t="str">
        <f t="shared" ref="L1163:L1226" si="56">IF($L$10="","",$L$10)</f>
        <v/>
      </c>
      <c r="M1163" s="1">
        <f>IF(OR(Table1[[#This Row],[Std Nom]]="",Table1[[#This Row],[Std Read]]=""),0,Table1[[#This Row],[Std Nom]]-Table1[[#This Row],[Std Read]])</f>
        <v>0</v>
      </c>
      <c r="N1163" s="1">
        <f>IF(Calculations!$F$5="ACCREDITED 17025 WITH UNCERTAINTIES",$N$10,0)</f>
        <v>0</v>
      </c>
      <c r="Q1163" s="1">
        <f>Table1[[#This Row],[High Tol]]-Table1[[#This Row],[Low Tol]]</f>
        <v>0</v>
      </c>
      <c r="R1163" s="1">
        <f>2*Table1[[#This Row],[Std Error]]</f>
        <v>0</v>
      </c>
      <c r="S1163" s="1" t="str">
        <f>IF(Table1[[#This Row],[High Tol]]="","N/A",IFERROR(ABS(Table1[[#This Row],[Tol Span]]/Table1[[#This Row],[Error Span]]),"N/A"))</f>
        <v>N/A</v>
      </c>
      <c r="T1163" s="1" t="str">
        <f>IF(OR(Table1[[#This Row],[Low Tol]]="",Table1[[#This Row],[High Tol]]=""),"Needs Analysis",IF(Table1[[#This Row],[Ratio]]&gt;=4,"Not Significant",IF(Table1[[#This Row],[Ratio]]&gt;=2,"Semi-Significant","Significant")))</f>
        <v>Needs Analysis</v>
      </c>
      <c r="W1163" s="1">
        <f>IF(Table1[[#This Row],[Cal Type]]&lt;&gt;"ACCREDITED 17025 WITH UNCERTAINTIES",0,"")</f>
        <v>0</v>
      </c>
      <c r="X1163" s="1" t="str">
        <f>IF(Table1[[#This Row],[DUT Read]]="","N/A",Table1[[#This Row],[Std Error]]+Table1[[#This Row],[DUT Read]]+Table1[[#This Row],[DUT Ucty]])</f>
        <v>N/A</v>
      </c>
      <c r="Y1163" s="1" t="str">
        <f>IF(Table1[[#This Row],[Std Read]]="","N/A",Table1[[#This Row],[Std Read]]+Table1[[#This Row],[Std Ucty]])</f>
        <v>N/A</v>
      </c>
      <c r="Z11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3" s="1" t="str">
        <f>IF(Table1[[#This Row],[Spec Type]]="","N/A",Table1[[#This Row],[Spec Type]])</f>
        <v>±</v>
      </c>
      <c r="AC1163" s="1" t="str">
        <f>IF(Table1[[#This Row],[Spec Type2]]="N/A","N/A",IF(AND(Table1[[#This Row],[DUT Adj Read]]&gt;=Table1[[#This Row],[Low Tol]],Table1[[#This Row],[DUT Adj Read]]&lt;=Table1[[#This Row],[High Tol]]),"Pass","Fail"))</f>
        <v>Fail</v>
      </c>
      <c r="AD1163" s="1" t="str">
        <f>IF(AND(Table1[[#This Row],[Spec Type2]]="N/A",Table1[[#This Row],[DUT Adj Read]]="N/A",Table1[[#This Row],[Std Adj Read]]="N/A"),"N/A",IF(Table1[[#This Row],[DUT Adj Read]]="N/A",IF(Table1[[#This Row],[Std Adj Read]]&gt;Table1[[#This Row],[Low Tol]],"Pass","Fail"),IF(Table1[[#This Row],[DUT Adj Read]]&gt;Table1[[#This Row],[Low Tol]],"Pass","Fail")))</f>
        <v>Pass</v>
      </c>
      <c r="AE1163" s="1" t="str">
        <f>IF(AND(Table1[[#This Row],[Spec Type2]]="N/A",Table1[[#This Row],[DUT Adj Read]]="N/A",Table1[[#This Row],[Std Adj Read]]="N/A"),"N/A",IF(Table1[[#This Row],[DUT Adj Read]]="N/A",IF(Table1[[#This Row],[Std Adj Read]]&lt;Table1[[#This Row],[High Tol]],"Pass","Fail"),IF(Table1[[#This Row],[DUT Adj Read]]&lt;Table1[[#This Row],[High Tol]],"Pass","Fail")))</f>
        <v>Fail</v>
      </c>
      <c r="AF1163" s="1" t="str">
        <f>IF(AND(Table1[[#This Row],[Spec Type2]]="N/A",Table1[[#This Row],[DUT Adj Read]]="N/A",Table1[[#This Row],[Std Adj Read]]="N/A"),"N/A",IF(Table1[[#This Row],[DUT Adj Read]]="N/A",IF(Table1[[#This Row],[Std Adj Read]]&gt;=Table1[[#This Row],[Low Tol]],"Pass","Fail"),IF(Table1[[#This Row],[DUT Adj Read]]&gt;=Table1[[#This Row],[Low Tol]],"Pass","Fail")))</f>
        <v>Pass</v>
      </c>
      <c r="AG1163" s="1" t="str">
        <f>IF(AND(Table1[[#This Row],[Spec Type2]]="N/A",Table1[[#This Row],[DUT Adj Read]]="N/A",Table1[[#This Row],[Std Adj Read]]="N/A"),"N/A",IF(Table1[[#This Row],[DUT Adj Read]]="N/A",IF(Table1[[#This Row],[Std Adj Read]]&lt;=Table1[[#This Row],[High Tol]],"Pass","Fail"),IF(Table1[[#This Row],[DUT Adj Read]]&lt;=Table1[[#This Row],[High Tol]],"Pass","Fail")))</f>
        <v>Fail</v>
      </c>
      <c r="AH11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3" s="1" t="b">
        <v>0</v>
      </c>
      <c r="AN1163" s="1" t="b">
        <v>0</v>
      </c>
      <c r="AO1163" s="1" t="b">
        <v>0</v>
      </c>
    </row>
    <row r="1164" spans="1:41" x14ac:dyDescent="0.25">
      <c r="A1164" s="10"/>
      <c r="B1164" s="10"/>
      <c r="C1164" s="10"/>
      <c r="D1164" s="10"/>
      <c r="E1164" s="10"/>
      <c r="F1164" s="10"/>
      <c r="G1164" s="10"/>
      <c r="H1164" s="10"/>
      <c r="I1164" s="1" t="str">
        <f t="shared" si="54"/>
        <v/>
      </c>
      <c r="J1164" s="1" t="s">
        <v>35</v>
      </c>
      <c r="K1164" s="1" t="str">
        <f t="shared" si="55"/>
        <v/>
      </c>
      <c r="L1164" s="1" t="str">
        <f t="shared" si="56"/>
        <v/>
      </c>
      <c r="M1164" s="1">
        <f>IF(OR(Table1[[#This Row],[Std Nom]]="",Table1[[#This Row],[Std Read]]=""),0,Table1[[#This Row],[Std Nom]]-Table1[[#This Row],[Std Read]])</f>
        <v>0</v>
      </c>
      <c r="N1164" s="1">
        <f>IF(Calculations!$F$5="ACCREDITED 17025 WITH UNCERTAINTIES",$N$10,0)</f>
        <v>0</v>
      </c>
      <c r="Q1164" s="1">
        <f>Table1[[#This Row],[High Tol]]-Table1[[#This Row],[Low Tol]]</f>
        <v>0</v>
      </c>
      <c r="R1164" s="1">
        <f>2*Table1[[#This Row],[Std Error]]</f>
        <v>0</v>
      </c>
      <c r="S1164" s="1" t="str">
        <f>IF(Table1[[#This Row],[High Tol]]="","N/A",IFERROR(ABS(Table1[[#This Row],[Tol Span]]/Table1[[#This Row],[Error Span]]),"N/A"))</f>
        <v>N/A</v>
      </c>
      <c r="T1164" s="1" t="str">
        <f>IF(OR(Table1[[#This Row],[Low Tol]]="",Table1[[#This Row],[High Tol]]=""),"Needs Analysis",IF(Table1[[#This Row],[Ratio]]&gt;=4,"Not Significant",IF(Table1[[#This Row],[Ratio]]&gt;=2,"Semi-Significant","Significant")))</f>
        <v>Needs Analysis</v>
      </c>
      <c r="W1164" s="1">
        <f>IF(Table1[[#This Row],[Cal Type]]&lt;&gt;"ACCREDITED 17025 WITH UNCERTAINTIES",0,"")</f>
        <v>0</v>
      </c>
      <c r="X1164" s="1" t="str">
        <f>IF(Table1[[#This Row],[DUT Read]]="","N/A",Table1[[#This Row],[Std Error]]+Table1[[#This Row],[DUT Read]]+Table1[[#This Row],[DUT Ucty]])</f>
        <v>N/A</v>
      </c>
      <c r="Y1164" s="1" t="str">
        <f>IF(Table1[[#This Row],[Std Read]]="","N/A",Table1[[#This Row],[Std Read]]+Table1[[#This Row],[Std Ucty]])</f>
        <v>N/A</v>
      </c>
      <c r="Z11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4" s="1" t="str">
        <f>IF(Table1[[#This Row],[Spec Type]]="","N/A",Table1[[#This Row],[Spec Type]])</f>
        <v>±</v>
      </c>
      <c r="AC1164" s="1" t="str">
        <f>IF(Table1[[#This Row],[Spec Type2]]="N/A","N/A",IF(AND(Table1[[#This Row],[DUT Adj Read]]&gt;=Table1[[#This Row],[Low Tol]],Table1[[#This Row],[DUT Adj Read]]&lt;=Table1[[#This Row],[High Tol]]),"Pass","Fail"))</f>
        <v>Fail</v>
      </c>
      <c r="AD1164" s="1" t="str">
        <f>IF(AND(Table1[[#This Row],[Spec Type2]]="N/A",Table1[[#This Row],[DUT Adj Read]]="N/A",Table1[[#This Row],[Std Adj Read]]="N/A"),"N/A",IF(Table1[[#This Row],[DUT Adj Read]]="N/A",IF(Table1[[#This Row],[Std Adj Read]]&gt;Table1[[#This Row],[Low Tol]],"Pass","Fail"),IF(Table1[[#This Row],[DUT Adj Read]]&gt;Table1[[#This Row],[Low Tol]],"Pass","Fail")))</f>
        <v>Pass</v>
      </c>
      <c r="AE1164" s="1" t="str">
        <f>IF(AND(Table1[[#This Row],[Spec Type2]]="N/A",Table1[[#This Row],[DUT Adj Read]]="N/A",Table1[[#This Row],[Std Adj Read]]="N/A"),"N/A",IF(Table1[[#This Row],[DUT Adj Read]]="N/A",IF(Table1[[#This Row],[Std Adj Read]]&lt;Table1[[#This Row],[High Tol]],"Pass","Fail"),IF(Table1[[#This Row],[DUT Adj Read]]&lt;Table1[[#This Row],[High Tol]],"Pass","Fail")))</f>
        <v>Fail</v>
      </c>
      <c r="AF1164" s="1" t="str">
        <f>IF(AND(Table1[[#This Row],[Spec Type2]]="N/A",Table1[[#This Row],[DUT Adj Read]]="N/A",Table1[[#This Row],[Std Adj Read]]="N/A"),"N/A",IF(Table1[[#This Row],[DUT Adj Read]]="N/A",IF(Table1[[#This Row],[Std Adj Read]]&gt;=Table1[[#This Row],[Low Tol]],"Pass","Fail"),IF(Table1[[#This Row],[DUT Adj Read]]&gt;=Table1[[#This Row],[Low Tol]],"Pass","Fail")))</f>
        <v>Pass</v>
      </c>
      <c r="AG1164" s="1" t="str">
        <f>IF(AND(Table1[[#This Row],[Spec Type2]]="N/A",Table1[[#This Row],[DUT Adj Read]]="N/A",Table1[[#This Row],[Std Adj Read]]="N/A"),"N/A",IF(Table1[[#This Row],[DUT Adj Read]]="N/A",IF(Table1[[#This Row],[Std Adj Read]]&lt;=Table1[[#This Row],[High Tol]],"Pass","Fail"),IF(Table1[[#This Row],[DUT Adj Read]]&lt;=Table1[[#This Row],[High Tol]],"Pass","Fail")))</f>
        <v>Fail</v>
      </c>
      <c r="AH11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4" s="1" t="b">
        <v>0</v>
      </c>
      <c r="AN1164" s="1" t="b">
        <v>0</v>
      </c>
      <c r="AO1164" s="1" t="b">
        <v>0</v>
      </c>
    </row>
    <row r="1165" spans="1:41" x14ac:dyDescent="0.25">
      <c r="A1165" s="10"/>
      <c r="B1165" s="10"/>
      <c r="C1165" s="10"/>
      <c r="D1165" s="10"/>
      <c r="E1165" s="10"/>
      <c r="F1165" s="10"/>
      <c r="G1165" s="10"/>
      <c r="H1165" s="10"/>
      <c r="I1165" s="1" t="str">
        <f t="shared" si="54"/>
        <v/>
      </c>
      <c r="J1165" s="1" t="s">
        <v>35</v>
      </c>
      <c r="K1165" s="1" t="str">
        <f t="shared" si="55"/>
        <v/>
      </c>
      <c r="L1165" s="1" t="str">
        <f t="shared" si="56"/>
        <v/>
      </c>
      <c r="M1165" s="1">
        <f>IF(OR(Table1[[#This Row],[Std Nom]]="",Table1[[#This Row],[Std Read]]=""),0,Table1[[#This Row],[Std Nom]]-Table1[[#This Row],[Std Read]])</f>
        <v>0</v>
      </c>
      <c r="N1165" s="1">
        <f>IF(Calculations!$F$5="ACCREDITED 17025 WITH UNCERTAINTIES",$N$10,0)</f>
        <v>0</v>
      </c>
      <c r="Q1165" s="1">
        <f>Table1[[#This Row],[High Tol]]-Table1[[#This Row],[Low Tol]]</f>
        <v>0</v>
      </c>
      <c r="R1165" s="1">
        <f>2*Table1[[#This Row],[Std Error]]</f>
        <v>0</v>
      </c>
      <c r="S1165" s="1" t="str">
        <f>IF(Table1[[#This Row],[High Tol]]="","N/A",IFERROR(ABS(Table1[[#This Row],[Tol Span]]/Table1[[#This Row],[Error Span]]),"N/A"))</f>
        <v>N/A</v>
      </c>
      <c r="T1165" s="1" t="str">
        <f>IF(OR(Table1[[#This Row],[Low Tol]]="",Table1[[#This Row],[High Tol]]=""),"Needs Analysis",IF(Table1[[#This Row],[Ratio]]&gt;=4,"Not Significant",IF(Table1[[#This Row],[Ratio]]&gt;=2,"Semi-Significant","Significant")))</f>
        <v>Needs Analysis</v>
      </c>
      <c r="W1165" s="1">
        <f>IF(Table1[[#This Row],[Cal Type]]&lt;&gt;"ACCREDITED 17025 WITH UNCERTAINTIES",0,"")</f>
        <v>0</v>
      </c>
      <c r="X1165" s="1" t="str">
        <f>IF(Table1[[#This Row],[DUT Read]]="","N/A",Table1[[#This Row],[Std Error]]+Table1[[#This Row],[DUT Read]]+Table1[[#This Row],[DUT Ucty]])</f>
        <v>N/A</v>
      </c>
      <c r="Y1165" s="1" t="str">
        <f>IF(Table1[[#This Row],[Std Read]]="","N/A",Table1[[#This Row],[Std Read]]+Table1[[#This Row],[Std Ucty]])</f>
        <v>N/A</v>
      </c>
      <c r="Z11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5" s="1" t="str">
        <f>IF(Table1[[#This Row],[Spec Type]]="","N/A",Table1[[#This Row],[Spec Type]])</f>
        <v>±</v>
      </c>
      <c r="AC1165" s="1" t="str">
        <f>IF(Table1[[#This Row],[Spec Type2]]="N/A","N/A",IF(AND(Table1[[#This Row],[DUT Adj Read]]&gt;=Table1[[#This Row],[Low Tol]],Table1[[#This Row],[DUT Adj Read]]&lt;=Table1[[#This Row],[High Tol]]),"Pass","Fail"))</f>
        <v>Fail</v>
      </c>
      <c r="AD1165" s="1" t="str">
        <f>IF(AND(Table1[[#This Row],[Spec Type2]]="N/A",Table1[[#This Row],[DUT Adj Read]]="N/A",Table1[[#This Row],[Std Adj Read]]="N/A"),"N/A",IF(Table1[[#This Row],[DUT Adj Read]]="N/A",IF(Table1[[#This Row],[Std Adj Read]]&gt;Table1[[#This Row],[Low Tol]],"Pass","Fail"),IF(Table1[[#This Row],[DUT Adj Read]]&gt;Table1[[#This Row],[Low Tol]],"Pass","Fail")))</f>
        <v>Pass</v>
      </c>
      <c r="AE1165" s="1" t="str">
        <f>IF(AND(Table1[[#This Row],[Spec Type2]]="N/A",Table1[[#This Row],[DUT Adj Read]]="N/A",Table1[[#This Row],[Std Adj Read]]="N/A"),"N/A",IF(Table1[[#This Row],[DUT Adj Read]]="N/A",IF(Table1[[#This Row],[Std Adj Read]]&lt;Table1[[#This Row],[High Tol]],"Pass","Fail"),IF(Table1[[#This Row],[DUT Adj Read]]&lt;Table1[[#This Row],[High Tol]],"Pass","Fail")))</f>
        <v>Fail</v>
      </c>
      <c r="AF1165" s="1" t="str">
        <f>IF(AND(Table1[[#This Row],[Spec Type2]]="N/A",Table1[[#This Row],[DUT Adj Read]]="N/A",Table1[[#This Row],[Std Adj Read]]="N/A"),"N/A",IF(Table1[[#This Row],[DUT Adj Read]]="N/A",IF(Table1[[#This Row],[Std Adj Read]]&gt;=Table1[[#This Row],[Low Tol]],"Pass","Fail"),IF(Table1[[#This Row],[DUT Adj Read]]&gt;=Table1[[#This Row],[Low Tol]],"Pass","Fail")))</f>
        <v>Pass</v>
      </c>
      <c r="AG1165" s="1" t="str">
        <f>IF(AND(Table1[[#This Row],[Spec Type2]]="N/A",Table1[[#This Row],[DUT Adj Read]]="N/A",Table1[[#This Row],[Std Adj Read]]="N/A"),"N/A",IF(Table1[[#This Row],[DUT Adj Read]]="N/A",IF(Table1[[#This Row],[Std Adj Read]]&lt;=Table1[[#This Row],[High Tol]],"Pass","Fail"),IF(Table1[[#This Row],[DUT Adj Read]]&lt;=Table1[[#This Row],[High Tol]],"Pass","Fail")))</f>
        <v>Fail</v>
      </c>
      <c r="AH11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5" s="1" t="b">
        <v>0</v>
      </c>
      <c r="AN1165" s="1" t="b">
        <v>0</v>
      </c>
      <c r="AO1165" s="1" t="b">
        <v>0</v>
      </c>
    </row>
    <row r="1166" spans="1:41" x14ac:dyDescent="0.25">
      <c r="A1166" s="10"/>
      <c r="B1166" s="10"/>
      <c r="C1166" s="10"/>
      <c r="D1166" s="10"/>
      <c r="E1166" s="10"/>
      <c r="F1166" s="10"/>
      <c r="G1166" s="10"/>
      <c r="H1166" s="10"/>
      <c r="I1166" s="1" t="str">
        <f t="shared" si="54"/>
        <v/>
      </c>
      <c r="J1166" s="1" t="s">
        <v>35</v>
      </c>
      <c r="K1166" s="1" t="str">
        <f t="shared" si="55"/>
        <v/>
      </c>
      <c r="L1166" s="1" t="str">
        <f t="shared" si="56"/>
        <v/>
      </c>
      <c r="M1166" s="1">
        <f>IF(OR(Table1[[#This Row],[Std Nom]]="",Table1[[#This Row],[Std Read]]=""),0,Table1[[#This Row],[Std Nom]]-Table1[[#This Row],[Std Read]])</f>
        <v>0</v>
      </c>
      <c r="N1166" s="1">
        <f>IF(Calculations!$F$5="ACCREDITED 17025 WITH UNCERTAINTIES",$N$10,0)</f>
        <v>0</v>
      </c>
      <c r="Q1166" s="1">
        <f>Table1[[#This Row],[High Tol]]-Table1[[#This Row],[Low Tol]]</f>
        <v>0</v>
      </c>
      <c r="R1166" s="1">
        <f>2*Table1[[#This Row],[Std Error]]</f>
        <v>0</v>
      </c>
      <c r="S1166" s="1" t="str">
        <f>IF(Table1[[#This Row],[High Tol]]="","N/A",IFERROR(ABS(Table1[[#This Row],[Tol Span]]/Table1[[#This Row],[Error Span]]),"N/A"))</f>
        <v>N/A</v>
      </c>
      <c r="T1166" s="1" t="str">
        <f>IF(OR(Table1[[#This Row],[Low Tol]]="",Table1[[#This Row],[High Tol]]=""),"Needs Analysis",IF(Table1[[#This Row],[Ratio]]&gt;=4,"Not Significant",IF(Table1[[#This Row],[Ratio]]&gt;=2,"Semi-Significant","Significant")))</f>
        <v>Needs Analysis</v>
      </c>
      <c r="W1166" s="1">
        <f>IF(Table1[[#This Row],[Cal Type]]&lt;&gt;"ACCREDITED 17025 WITH UNCERTAINTIES",0,"")</f>
        <v>0</v>
      </c>
      <c r="X1166" s="1" t="str">
        <f>IF(Table1[[#This Row],[DUT Read]]="","N/A",Table1[[#This Row],[Std Error]]+Table1[[#This Row],[DUT Read]]+Table1[[#This Row],[DUT Ucty]])</f>
        <v>N/A</v>
      </c>
      <c r="Y1166" s="1" t="str">
        <f>IF(Table1[[#This Row],[Std Read]]="","N/A",Table1[[#This Row],[Std Read]]+Table1[[#This Row],[Std Ucty]])</f>
        <v>N/A</v>
      </c>
      <c r="Z11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6" s="1" t="str">
        <f>IF(Table1[[#This Row],[Spec Type]]="","N/A",Table1[[#This Row],[Spec Type]])</f>
        <v>±</v>
      </c>
      <c r="AC1166" s="1" t="str">
        <f>IF(Table1[[#This Row],[Spec Type2]]="N/A","N/A",IF(AND(Table1[[#This Row],[DUT Adj Read]]&gt;=Table1[[#This Row],[Low Tol]],Table1[[#This Row],[DUT Adj Read]]&lt;=Table1[[#This Row],[High Tol]]),"Pass","Fail"))</f>
        <v>Fail</v>
      </c>
      <c r="AD1166" s="1" t="str">
        <f>IF(AND(Table1[[#This Row],[Spec Type2]]="N/A",Table1[[#This Row],[DUT Adj Read]]="N/A",Table1[[#This Row],[Std Adj Read]]="N/A"),"N/A",IF(Table1[[#This Row],[DUT Adj Read]]="N/A",IF(Table1[[#This Row],[Std Adj Read]]&gt;Table1[[#This Row],[Low Tol]],"Pass","Fail"),IF(Table1[[#This Row],[DUT Adj Read]]&gt;Table1[[#This Row],[Low Tol]],"Pass","Fail")))</f>
        <v>Pass</v>
      </c>
      <c r="AE1166" s="1" t="str">
        <f>IF(AND(Table1[[#This Row],[Spec Type2]]="N/A",Table1[[#This Row],[DUT Adj Read]]="N/A",Table1[[#This Row],[Std Adj Read]]="N/A"),"N/A",IF(Table1[[#This Row],[DUT Adj Read]]="N/A",IF(Table1[[#This Row],[Std Adj Read]]&lt;Table1[[#This Row],[High Tol]],"Pass","Fail"),IF(Table1[[#This Row],[DUT Adj Read]]&lt;Table1[[#This Row],[High Tol]],"Pass","Fail")))</f>
        <v>Fail</v>
      </c>
      <c r="AF1166" s="1" t="str">
        <f>IF(AND(Table1[[#This Row],[Spec Type2]]="N/A",Table1[[#This Row],[DUT Adj Read]]="N/A",Table1[[#This Row],[Std Adj Read]]="N/A"),"N/A",IF(Table1[[#This Row],[DUT Adj Read]]="N/A",IF(Table1[[#This Row],[Std Adj Read]]&gt;=Table1[[#This Row],[Low Tol]],"Pass","Fail"),IF(Table1[[#This Row],[DUT Adj Read]]&gt;=Table1[[#This Row],[Low Tol]],"Pass","Fail")))</f>
        <v>Pass</v>
      </c>
      <c r="AG1166" s="1" t="str">
        <f>IF(AND(Table1[[#This Row],[Spec Type2]]="N/A",Table1[[#This Row],[DUT Adj Read]]="N/A",Table1[[#This Row],[Std Adj Read]]="N/A"),"N/A",IF(Table1[[#This Row],[DUT Adj Read]]="N/A",IF(Table1[[#This Row],[Std Adj Read]]&lt;=Table1[[#This Row],[High Tol]],"Pass","Fail"),IF(Table1[[#This Row],[DUT Adj Read]]&lt;=Table1[[#This Row],[High Tol]],"Pass","Fail")))</f>
        <v>Fail</v>
      </c>
      <c r="AH11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6" s="1" t="b">
        <v>0</v>
      </c>
      <c r="AN1166" s="1" t="b">
        <v>0</v>
      </c>
      <c r="AO1166" s="1" t="b">
        <v>0</v>
      </c>
    </row>
    <row r="1167" spans="1:41" x14ac:dyDescent="0.25">
      <c r="A1167" s="10"/>
      <c r="B1167" s="10"/>
      <c r="C1167" s="10"/>
      <c r="D1167" s="10"/>
      <c r="E1167" s="10"/>
      <c r="F1167" s="10"/>
      <c r="G1167" s="10"/>
      <c r="H1167" s="10"/>
      <c r="I1167" s="1" t="str">
        <f t="shared" si="54"/>
        <v/>
      </c>
      <c r="J1167" s="1" t="s">
        <v>35</v>
      </c>
      <c r="K1167" s="1" t="str">
        <f t="shared" si="55"/>
        <v/>
      </c>
      <c r="L1167" s="1" t="str">
        <f t="shared" si="56"/>
        <v/>
      </c>
      <c r="M1167" s="1">
        <f>IF(OR(Table1[[#This Row],[Std Nom]]="",Table1[[#This Row],[Std Read]]=""),0,Table1[[#This Row],[Std Nom]]-Table1[[#This Row],[Std Read]])</f>
        <v>0</v>
      </c>
      <c r="N1167" s="1">
        <f>IF(Calculations!$F$5="ACCREDITED 17025 WITH UNCERTAINTIES",$N$10,0)</f>
        <v>0</v>
      </c>
      <c r="Q1167" s="1">
        <f>Table1[[#This Row],[High Tol]]-Table1[[#This Row],[Low Tol]]</f>
        <v>0</v>
      </c>
      <c r="R1167" s="1">
        <f>2*Table1[[#This Row],[Std Error]]</f>
        <v>0</v>
      </c>
      <c r="S1167" s="1" t="str">
        <f>IF(Table1[[#This Row],[High Tol]]="","N/A",IFERROR(ABS(Table1[[#This Row],[Tol Span]]/Table1[[#This Row],[Error Span]]),"N/A"))</f>
        <v>N/A</v>
      </c>
      <c r="T1167" s="1" t="str">
        <f>IF(OR(Table1[[#This Row],[Low Tol]]="",Table1[[#This Row],[High Tol]]=""),"Needs Analysis",IF(Table1[[#This Row],[Ratio]]&gt;=4,"Not Significant",IF(Table1[[#This Row],[Ratio]]&gt;=2,"Semi-Significant","Significant")))</f>
        <v>Needs Analysis</v>
      </c>
      <c r="W1167" s="1">
        <f>IF(Table1[[#This Row],[Cal Type]]&lt;&gt;"ACCREDITED 17025 WITH UNCERTAINTIES",0,"")</f>
        <v>0</v>
      </c>
      <c r="X1167" s="1" t="str">
        <f>IF(Table1[[#This Row],[DUT Read]]="","N/A",Table1[[#This Row],[Std Error]]+Table1[[#This Row],[DUT Read]]+Table1[[#This Row],[DUT Ucty]])</f>
        <v>N/A</v>
      </c>
      <c r="Y1167" s="1" t="str">
        <f>IF(Table1[[#This Row],[Std Read]]="","N/A",Table1[[#This Row],[Std Read]]+Table1[[#This Row],[Std Ucty]])</f>
        <v>N/A</v>
      </c>
      <c r="Z11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7" s="1" t="str">
        <f>IF(Table1[[#This Row],[Spec Type]]="","N/A",Table1[[#This Row],[Spec Type]])</f>
        <v>±</v>
      </c>
      <c r="AC1167" s="1" t="str">
        <f>IF(Table1[[#This Row],[Spec Type2]]="N/A","N/A",IF(AND(Table1[[#This Row],[DUT Adj Read]]&gt;=Table1[[#This Row],[Low Tol]],Table1[[#This Row],[DUT Adj Read]]&lt;=Table1[[#This Row],[High Tol]]),"Pass","Fail"))</f>
        <v>Fail</v>
      </c>
      <c r="AD1167" s="1" t="str">
        <f>IF(AND(Table1[[#This Row],[Spec Type2]]="N/A",Table1[[#This Row],[DUT Adj Read]]="N/A",Table1[[#This Row],[Std Adj Read]]="N/A"),"N/A",IF(Table1[[#This Row],[DUT Adj Read]]="N/A",IF(Table1[[#This Row],[Std Adj Read]]&gt;Table1[[#This Row],[Low Tol]],"Pass","Fail"),IF(Table1[[#This Row],[DUT Adj Read]]&gt;Table1[[#This Row],[Low Tol]],"Pass","Fail")))</f>
        <v>Pass</v>
      </c>
      <c r="AE1167" s="1" t="str">
        <f>IF(AND(Table1[[#This Row],[Spec Type2]]="N/A",Table1[[#This Row],[DUT Adj Read]]="N/A",Table1[[#This Row],[Std Adj Read]]="N/A"),"N/A",IF(Table1[[#This Row],[DUT Adj Read]]="N/A",IF(Table1[[#This Row],[Std Adj Read]]&lt;Table1[[#This Row],[High Tol]],"Pass","Fail"),IF(Table1[[#This Row],[DUT Adj Read]]&lt;Table1[[#This Row],[High Tol]],"Pass","Fail")))</f>
        <v>Fail</v>
      </c>
      <c r="AF1167" s="1" t="str">
        <f>IF(AND(Table1[[#This Row],[Spec Type2]]="N/A",Table1[[#This Row],[DUT Adj Read]]="N/A",Table1[[#This Row],[Std Adj Read]]="N/A"),"N/A",IF(Table1[[#This Row],[DUT Adj Read]]="N/A",IF(Table1[[#This Row],[Std Adj Read]]&gt;=Table1[[#This Row],[Low Tol]],"Pass","Fail"),IF(Table1[[#This Row],[DUT Adj Read]]&gt;=Table1[[#This Row],[Low Tol]],"Pass","Fail")))</f>
        <v>Pass</v>
      </c>
      <c r="AG1167" s="1" t="str">
        <f>IF(AND(Table1[[#This Row],[Spec Type2]]="N/A",Table1[[#This Row],[DUT Adj Read]]="N/A",Table1[[#This Row],[Std Adj Read]]="N/A"),"N/A",IF(Table1[[#This Row],[DUT Adj Read]]="N/A",IF(Table1[[#This Row],[Std Adj Read]]&lt;=Table1[[#This Row],[High Tol]],"Pass","Fail"),IF(Table1[[#This Row],[DUT Adj Read]]&lt;=Table1[[#This Row],[High Tol]],"Pass","Fail")))</f>
        <v>Fail</v>
      </c>
      <c r="AH11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7" s="1" t="b">
        <v>0</v>
      </c>
      <c r="AN1167" s="1" t="b">
        <v>0</v>
      </c>
      <c r="AO1167" s="1" t="b">
        <v>0</v>
      </c>
    </row>
    <row r="1168" spans="1:41" x14ac:dyDescent="0.25">
      <c r="A1168" s="10"/>
      <c r="B1168" s="10"/>
      <c r="C1168" s="10"/>
      <c r="D1168" s="10"/>
      <c r="E1168" s="10"/>
      <c r="F1168" s="10"/>
      <c r="G1168" s="10"/>
      <c r="H1168" s="10"/>
      <c r="I1168" s="1" t="str">
        <f t="shared" si="54"/>
        <v/>
      </c>
      <c r="J1168" s="1" t="s">
        <v>35</v>
      </c>
      <c r="K1168" s="1" t="str">
        <f t="shared" si="55"/>
        <v/>
      </c>
      <c r="L1168" s="1" t="str">
        <f t="shared" si="56"/>
        <v/>
      </c>
      <c r="M1168" s="1">
        <f>IF(OR(Table1[[#This Row],[Std Nom]]="",Table1[[#This Row],[Std Read]]=""),0,Table1[[#This Row],[Std Nom]]-Table1[[#This Row],[Std Read]])</f>
        <v>0</v>
      </c>
      <c r="N1168" s="1">
        <f>IF(Calculations!$F$5="ACCREDITED 17025 WITH UNCERTAINTIES",$N$10,0)</f>
        <v>0</v>
      </c>
      <c r="Q1168" s="1">
        <f>Table1[[#This Row],[High Tol]]-Table1[[#This Row],[Low Tol]]</f>
        <v>0</v>
      </c>
      <c r="R1168" s="1">
        <f>2*Table1[[#This Row],[Std Error]]</f>
        <v>0</v>
      </c>
      <c r="S1168" s="1" t="str">
        <f>IF(Table1[[#This Row],[High Tol]]="","N/A",IFERROR(ABS(Table1[[#This Row],[Tol Span]]/Table1[[#This Row],[Error Span]]),"N/A"))</f>
        <v>N/A</v>
      </c>
      <c r="T1168" s="1" t="str">
        <f>IF(OR(Table1[[#This Row],[Low Tol]]="",Table1[[#This Row],[High Tol]]=""),"Needs Analysis",IF(Table1[[#This Row],[Ratio]]&gt;=4,"Not Significant",IF(Table1[[#This Row],[Ratio]]&gt;=2,"Semi-Significant","Significant")))</f>
        <v>Needs Analysis</v>
      </c>
      <c r="W1168" s="1">
        <f>IF(Table1[[#This Row],[Cal Type]]&lt;&gt;"ACCREDITED 17025 WITH UNCERTAINTIES",0,"")</f>
        <v>0</v>
      </c>
      <c r="X1168" s="1" t="str">
        <f>IF(Table1[[#This Row],[DUT Read]]="","N/A",Table1[[#This Row],[Std Error]]+Table1[[#This Row],[DUT Read]]+Table1[[#This Row],[DUT Ucty]])</f>
        <v>N/A</v>
      </c>
      <c r="Y1168" s="1" t="str">
        <f>IF(Table1[[#This Row],[Std Read]]="","N/A",Table1[[#This Row],[Std Read]]+Table1[[#This Row],[Std Ucty]])</f>
        <v>N/A</v>
      </c>
      <c r="Z11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8" s="1" t="str">
        <f>IF(Table1[[#This Row],[Spec Type]]="","N/A",Table1[[#This Row],[Spec Type]])</f>
        <v>±</v>
      </c>
      <c r="AC1168" s="1" t="str">
        <f>IF(Table1[[#This Row],[Spec Type2]]="N/A","N/A",IF(AND(Table1[[#This Row],[DUT Adj Read]]&gt;=Table1[[#This Row],[Low Tol]],Table1[[#This Row],[DUT Adj Read]]&lt;=Table1[[#This Row],[High Tol]]),"Pass","Fail"))</f>
        <v>Fail</v>
      </c>
      <c r="AD1168" s="1" t="str">
        <f>IF(AND(Table1[[#This Row],[Spec Type2]]="N/A",Table1[[#This Row],[DUT Adj Read]]="N/A",Table1[[#This Row],[Std Adj Read]]="N/A"),"N/A",IF(Table1[[#This Row],[DUT Adj Read]]="N/A",IF(Table1[[#This Row],[Std Adj Read]]&gt;Table1[[#This Row],[Low Tol]],"Pass","Fail"),IF(Table1[[#This Row],[DUT Adj Read]]&gt;Table1[[#This Row],[Low Tol]],"Pass","Fail")))</f>
        <v>Pass</v>
      </c>
      <c r="AE1168" s="1" t="str">
        <f>IF(AND(Table1[[#This Row],[Spec Type2]]="N/A",Table1[[#This Row],[DUT Adj Read]]="N/A",Table1[[#This Row],[Std Adj Read]]="N/A"),"N/A",IF(Table1[[#This Row],[DUT Adj Read]]="N/A",IF(Table1[[#This Row],[Std Adj Read]]&lt;Table1[[#This Row],[High Tol]],"Pass","Fail"),IF(Table1[[#This Row],[DUT Adj Read]]&lt;Table1[[#This Row],[High Tol]],"Pass","Fail")))</f>
        <v>Fail</v>
      </c>
      <c r="AF1168" s="1" t="str">
        <f>IF(AND(Table1[[#This Row],[Spec Type2]]="N/A",Table1[[#This Row],[DUT Adj Read]]="N/A",Table1[[#This Row],[Std Adj Read]]="N/A"),"N/A",IF(Table1[[#This Row],[DUT Adj Read]]="N/A",IF(Table1[[#This Row],[Std Adj Read]]&gt;=Table1[[#This Row],[Low Tol]],"Pass","Fail"),IF(Table1[[#This Row],[DUT Adj Read]]&gt;=Table1[[#This Row],[Low Tol]],"Pass","Fail")))</f>
        <v>Pass</v>
      </c>
      <c r="AG1168" s="1" t="str">
        <f>IF(AND(Table1[[#This Row],[Spec Type2]]="N/A",Table1[[#This Row],[DUT Adj Read]]="N/A",Table1[[#This Row],[Std Adj Read]]="N/A"),"N/A",IF(Table1[[#This Row],[DUT Adj Read]]="N/A",IF(Table1[[#This Row],[Std Adj Read]]&lt;=Table1[[#This Row],[High Tol]],"Pass","Fail"),IF(Table1[[#This Row],[DUT Adj Read]]&lt;=Table1[[#This Row],[High Tol]],"Pass","Fail")))</f>
        <v>Fail</v>
      </c>
      <c r="AH11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8" s="1" t="b">
        <v>0</v>
      </c>
      <c r="AN1168" s="1" t="b">
        <v>0</v>
      </c>
      <c r="AO1168" s="1" t="b">
        <v>0</v>
      </c>
    </row>
    <row r="1169" spans="1:41" x14ac:dyDescent="0.25">
      <c r="A1169" s="10"/>
      <c r="B1169" s="10"/>
      <c r="C1169" s="10"/>
      <c r="D1169" s="10"/>
      <c r="E1169" s="10"/>
      <c r="F1169" s="10"/>
      <c r="G1169" s="10"/>
      <c r="H1169" s="10"/>
      <c r="I1169" s="1" t="str">
        <f t="shared" si="54"/>
        <v/>
      </c>
      <c r="J1169" s="1" t="s">
        <v>35</v>
      </c>
      <c r="K1169" s="1" t="str">
        <f t="shared" si="55"/>
        <v/>
      </c>
      <c r="L1169" s="1" t="str">
        <f t="shared" si="56"/>
        <v/>
      </c>
      <c r="M1169" s="1">
        <f>IF(OR(Table1[[#This Row],[Std Nom]]="",Table1[[#This Row],[Std Read]]=""),0,Table1[[#This Row],[Std Nom]]-Table1[[#This Row],[Std Read]])</f>
        <v>0</v>
      </c>
      <c r="N1169" s="1">
        <f>IF(Calculations!$F$5="ACCREDITED 17025 WITH UNCERTAINTIES",$N$10,0)</f>
        <v>0</v>
      </c>
      <c r="Q1169" s="1">
        <f>Table1[[#This Row],[High Tol]]-Table1[[#This Row],[Low Tol]]</f>
        <v>0</v>
      </c>
      <c r="R1169" s="1">
        <f>2*Table1[[#This Row],[Std Error]]</f>
        <v>0</v>
      </c>
      <c r="S1169" s="1" t="str">
        <f>IF(Table1[[#This Row],[High Tol]]="","N/A",IFERROR(ABS(Table1[[#This Row],[Tol Span]]/Table1[[#This Row],[Error Span]]),"N/A"))</f>
        <v>N/A</v>
      </c>
      <c r="T1169" s="1" t="str">
        <f>IF(OR(Table1[[#This Row],[Low Tol]]="",Table1[[#This Row],[High Tol]]=""),"Needs Analysis",IF(Table1[[#This Row],[Ratio]]&gt;=4,"Not Significant",IF(Table1[[#This Row],[Ratio]]&gt;=2,"Semi-Significant","Significant")))</f>
        <v>Needs Analysis</v>
      </c>
      <c r="W1169" s="1">
        <f>IF(Table1[[#This Row],[Cal Type]]&lt;&gt;"ACCREDITED 17025 WITH UNCERTAINTIES",0,"")</f>
        <v>0</v>
      </c>
      <c r="X1169" s="1" t="str">
        <f>IF(Table1[[#This Row],[DUT Read]]="","N/A",Table1[[#This Row],[Std Error]]+Table1[[#This Row],[DUT Read]]+Table1[[#This Row],[DUT Ucty]])</f>
        <v>N/A</v>
      </c>
      <c r="Y1169" s="1" t="str">
        <f>IF(Table1[[#This Row],[Std Read]]="","N/A",Table1[[#This Row],[Std Read]]+Table1[[#This Row],[Std Ucty]])</f>
        <v>N/A</v>
      </c>
      <c r="Z11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69" s="1" t="str">
        <f>IF(Table1[[#This Row],[Spec Type]]="","N/A",Table1[[#This Row],[Spec Type]])</f>
        <v>±</v>
      </c>
      <c r="AC1169" s="1" t="str">
        <f>IF(Table1[[#This Row],[Spec Type2]]="N/A","N/A",IF(AND(Table1[[#This Row],[DUT Adj Read]]&gt;=Table1[[#This Row],[Low Tol]],Table1[[#This Row],[DUT Adj Read]]&lt;=Table1[[#This Row],[High Tol]]),"Pass","Fail"))</f>
        <v>Fail</v>
      </c>
      <c r="AD1169" s="1" t="str">
        <f>IF(AND(Table1[[#This Row],[Spec Type2]]="N/A",Table1[[#This Row],[DUT Adj Read]]="N/A",Table1[[#This Row],[Std Adj Read]]="N/A"),"N/A",IF(Table1[[#This Row],[DUT Adj Read]]="N/A",IF(Table1[[#This Row],[Std Adj Read]]&gt;Table1[[#This Row],[Low Tol]],"Pass","Fail"),IF(Table1[[#This Row],[DUT Adj Read]]&gt;Table1[[#This Row],[Low Tol]],"Pass","Fail")))</f>
        <v>Pass</v>
      </c>
      <c r="AE1169" s="1" t="str">
        <f>IF(AND(Table1[[#This Row],[Spec Type2]]="N/A",Table1[[#This Row],[DUT Adj Read]]="N/A",Table1[[#This Row],[Std Adj Read]]="N/A"),"N/A",IF(Table1[[#This Row],[DUT Adj Read]]="N/A",IF(Table1[[#This Row],[Std Adj Read]]&lt;Table1[[#This Row],[High Tol]],"Pass","Fail"),IF(Table1[[#This Row],[DUT Adj Read]]&lt;Table1[[#This Row],[High Tol]],"Pass","Fail")))</f>
        <v>Fail</v>
      </c>
      <c r="AF1169" s="1" t="str">
        <f>IF(AND(Table1[[#This Row],[Spec Type2]]="N/A",Table1[[#This Row],[DUT Adj Read]]="N/A",Table1[[#This Row],[Std Adj Read]]="N/A"),"N/A",IF(Table1[[#This Row],[DUT Adj Read]]="N/A",IF(Table1[[#This Row],[Std Adj Read]]&gt;=Table1[[#This Row],[Low Tol]],"Pass","Fail"),IF(Table1[[#This Row],[DUT Adj Read]]&gt;=Table1[[#This Row],[Low Tol]],"Pass","Fail")))</f>
        <v>Pass</v>
      </c>
      <c r="AG1169" s="1" t="str">
        <f>IF(AND(Table1[[#This Row],[Spec Type2]]="N/A",Table1[[#This Row],[DUT Adj Read]]="N/A",Table1[[#This Row],[Std Adj Read]]="N/A"),"N/A",IF(Table1[[#This Row],[DUT Adj Read]]="N/A",IF(Table1[[#This Row],[Std Adj Read]]&lt;=Table1[[#This Row],[High Tol]],"Pass","Fail"),IF(Table1[[#This Row],[DUT Adj Read]]&lt;=Table1[[#This Row],[High Tol]],"Pass","Fail")))</f>
        <v>Fail</v>
      </c>
      <c r="AH11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69" s="1" t="b">
        <v>0</v>
      </c>
      <c r="AN1169" s="1" t="b">
        <v>0</v>
      </c>
      <c r="AO1169" s="1" t="b">
        <v>0</v>
      </c>
    </row>
    <row r="1170" spans="1:41" x14ac:dyDescent="0.25">
      <c r="A1170" s="10"/>
      <c r="B1170" s="10"/>
      <c r="C1170" s="10"/>
      <c r="D1170" s="10"/>
      <c r="E1170" s="10"/>
      <c r="F1170" s="10"/>
      <c r="G1170" s="10"/>
      <c r="H1170" s="10"/>
      <c r="I1170" s="1" t="str">
        <f t="shared" si="54"/>
        <v/>
      </c>
      <c r="J1170" s="1" t="s">
        <v>35</v>
      </c>
      <c r="K1170" s="1" t="str">
        <f t="shared" si="55"/>
        <v/>
      </c>
      <c r="L1170" s="1" t="str">
        <f t="shared" si="56"/>
        <v/>
      </c>
      <c r="M1170" s="1">
        <f>IF(OR(Table1[[#This Row],[Std Nom]]="",Table1[[#This Row],[Std Read]]=""),0,Table1[[#This Row],[Std Nom]]-Table1[[#This Row],[Std Read]])</f>
        <v>0</v>
      </c>
      <c r="N1170" s="1">
        <f>IF(Calculations!$F$5="ACCREDITED 17025 WITH UNCERTAINTIES",$N$10,0)</f>
        <v>0</v>
      </c>
      <c r="Q1170" s="1">
        <f>Table1[[#This Row],[High Tol]]-Table1[[#This Row],[Low Tol]]</f>
        <v>0</v>
      </c>
      <c r="R1170" s="1">
        <f>2*Table1[[#This Row],[Std Error]]</f>
        <v>0</v>
      </c>
      <c r="S1170" s="1" t="str">
        <f>IF(Table1[[#This Row],[High Tol]]="","N/A",IFERROR(ABS(Table1[[#This Row],[Tol Span]]/Table1[[#This Row],[Error Span]]),"N/A"))</f>
        <v>N/A</v>
      </c>
      <c r="T1170" s="1" t="str">
        <f>IF(OR(Table1[[#This Row],[Low Tol]]="",Table1[[#This Row],[High Tol]]=""),"Needs Analysis",IF(Table1[[#This Row],[Ratio]]&gt;=4,"Not Significant",IF(Table1[[#This Row],[Ratio]]&gt;=2,"Semi-Significant","Significant")))</f>
        <v>Needs Analysis</v>
      </c>
      <c r="W1170" s="1">
        <f>IF(Table1[[#This Row],[Cal Type]]&lt;&gt;"ACCREDITED 17025 WITH UNCERTAINTIES",0,"")</f>
        <v>0</v>
      </c>
      <c r="X1170" s="1" t="str">
        <f>IF(Table1[[#This Row],[DUT Read]]="","N/A",Table1[[#This Row],[Std Error]]+Table1[[#This Row],[DUT Read]]+Table1[[#This Row],[DUT Ucty]])</f>
        <v>N/A</v>
      </c>
      <c r="Y1170" s="1" t="str">
        <f>IF(Table1[[#This Row],[Std Read]]="","N/A",Table1[[#This Row],[Std Read]]+Table1[[#This Row],[Std Ucty]])</f>
        <v>N/A</v>
      </c>
      <c r="Z11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0" s="1" t="str">
        <f>IF(Table1[[#This Row],[Spec Type]]="","N/A",Table1[[#This Row],[Spec Type]])</f>
        <v>±</v>
      </c>
      <c r="AC1170" s="1" t="str">
        <f>IF(Table1[[#This Row],[Spec Type2]]="N/A","N/A",IF(AND(Table1[[#This Row],[DUT Adj Read]]&gt;=Table1[[#This Row],[Low Tol]],Table1[[#This Row],[DUT Adj Read]]&lt;=Table1[[#This Row],[High Tol]]),"Pass","Fail"))</f>
        <v>Fail</v>
      </c>
      <c r="AD1170" s="1" t="str">
        <f>IF(AND(Table1[[#This Row],[Spec Type2]]="N/A",Table1[[#This Row],[DUT Adj Read]]="N/A",Table1[[#This Row],[Std Adj Read]]="N/A"),"N/A",IF(Table1[[#This Row],[DUT Adj Read]]="N/A",IF(Table1[[#This Row],[Std Adj Read]]&gt;Table1[[#This Row],[Low Tol]],"Pass","Fail"),IF(Table1[[#This Row],[DUT Adj Read]]&gt;Table1[[#This Row],[Low Tol]],"Pass","Fail")))</f>
        <v>Pass</v>
      </c>
      <c r="AE1170" s="1" t="str">
        <f>IF(AND(Table1[[#This Row],[Spec Type2]]="N/A",Table1[[#This Row],[DUT Adj Read]]="N/A",Table1[[#This Row],[Std Adj Read]]="N/A"),"N/A",IF(Table1[[#This Row],[DUT Adj Read]]="N/A",IF(Table1[[#This Row],[Std Adj Read]]&lt;Table1[[#This Row],[High Tol]],"Pass","Fail"),IF(Table1[[#This Row],[DUT Adj Read]]&lt;Table1[[#This Row],[High Tol]],"Pass","Fail")))</f>
        <v>Fail</v>
      </c>
      <c r="AF1170" s="1" t="str">
        <f>IF(AND(Table1[[#This Row],[Spec Type2]]="N/A",Table1[[#This Row],[DUT Adj Read]]="N/A",Table1[[#This Row],[Std Adj Read]]="N/A"),"N/A",IF(Table1[[#This Row],[DUT Adj Read]]="N/A",IF(Table1[[#This Row],[Std Adj Read]]&gt;=Table1[[#This Row],[Low Tol]],"Pass","Fail"),IF(Table1[[#This Row],[DUT Adj Read]]&gt;=Table1[[#This Row],[Low Tol]],"Pass","Fail")))</f>
        <v>Pass</v>
      </c>
      <c r="AG1170" s="1" t="str">
        <f>IF(AND(Table1[[#This Row],[Spec Type2]]="N/A",Table1[[#This Row],[DUT Adj Read]]="N/A",Table1[[#This Row],[Std Adj Read]]="N/A"),"N/A",IF(Table1[[#This Row],[DUT Adj Read]]="N/A",IF(Table1[[#This Row],[Std Adj Read]]&lt;=Table1[[#This Row],[High Tol]],"Pass","Fail"),IF(Table1[[#This Row],[DUT Adj Read]]&lt;=Table1[[#This Row],[High Tol]],"Pass","Fail")))</f>
        <v>Fail</v>
      </c>
      <c r="AH11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0" s="1" t="b">
        <v>0</v>
      </c>
      <c r="AN1170" s="1" t="b">
        <v>0</v>
      </c>
      <c r="AO1170" s="1" t="b">
        <v>0</v>
      </c>
    </row>
    <row r="1171" spans="1:41" x14ac:dyDescent="0.25">
      <c r="A1171" s="10"/>
      <c r="B1171" s="10"/>
      <c r="C1171" s="10"/>
      <c r="D1171" s="10"/>
      <c r="E1171" s="10"/>
      <c r="F1171" s="10"/>
      <c r="G1171" s="10"/>
      <c r="H1171" s="10"/>
      <c r="I1171" s="1" t="str">
        <f t="shared" si="54"/>
        <v/>
      </c>
      <c r="J1171" s="1" t="s">
        <v>35</v>
      </c>
      <c r="K1171" s="1" t="str">
        <f t="shared" si="55"/>
        <v/>
      </c>
      <c r="L1171" s="1" t="str">
        <f t="shared" si="56"/>
        <v/>
      </c>
      <c r="M1171" s="1">
        <f>IF(OR(Table1[[#This Row],[Std Nom]]="",Table1[[#This Row],[Std Read]]=""),0,Table1[[#This Row],[Std Nom]]-Table1[[#This Row],[Std Read]])</f>
        <v>0</v>
      </c>
      <c r="N1171" s="1">
        <f>IF(Calculations!$F$5="ACCREDITED 17025 WITH UNCERTAINTIES",$N$10,0)</f>
        <v>0</v>
      </c>
      <c r="Q1171" s="1">
        <f>Table1[[#This Row],[High Tol]]-Table1[[#This Row],[Low Tol]]</f>
        <v>0</v>
      </c>
      <c r="R1171" s="1">
        <f>2*Table1[[#This Row],[Std Error]]</f>
        <v>0</v>
      </c>
      <c r="S1171" s="1" t="str">
        <f>IF(Table1[[#This Row],[High Tol]]="","N/A",IFERROR(ABS(Table1[[#This Row],[Tol Span]]/Table1[[#This Row],[Error Span]]),"N/A"))</f>
        <v>N/A</v>
      </c>
      <c r="T1171" s="1" t="str">
        <f>IF(OR(Table1[[#This Row],[Low Tol]]="",Table1[[#This Row],[High Tol]]=""),"Needs Analysis",IF(Table1[[#This Row],[Ratio]]&gt;=4,"Not Significant",IF(Table1[[#This Row],[Ratio]]&gt;=2,"Semi-Significant","Significant")))</f>
        <v>Needs Analysis</v>
      </c>
      <c r="W1171" s="1">
        <f>IF(Table1[[#This Row],[Cal Type]]&lt;&gt;"ACCREDITED 17025 WITH UNCERTAINTIES",0,"")</f>
        <v>0</v>
      </c>
      <c r="X1171" s="1" t="str">
        <f>IF(Table1[[#This Row],[DUT Read]]="","N/A",Table1[[#This Row],[Std Error]]+Table1[[#This Row],[DUT Read]]+Table1[[#This Row],[DUT Ucty]])</f>
        <v>N/A</v>
      </c>
      <c r="Y1171" s="1" t="str">
        <f>IF(Table1[[#This Row],[Std Read]]="","N/A",Table1[[#This Row],[Std Read]]+Table1[[#This Row],[Std Ucty]])</f>
        <v>N/A</v>
      </c>
      <c r="Z11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1" s="1" t="str">
        <f>IF(Table1[[#This Row],[Spec Type]]="","N/A",Table1[[#This Row],[Spec Type]])</f>
        <v>±</v>
      </c>
      <c r="AC1171" s="1" t="str">
        <f>IF(Table1[[#This Row],[Spec Type2]]="N/A","N/A",IF(AND(Table1[[#This Row],[DUT Adj Read]]&gt;=Table1[[#This Row],[Low Tol]],Table1[[#This Row],[DUT Adj Read]]&lt;=Table1[[#This Row],[High Tol]]),"Pass","Fail"))</f>
        <v>Fail</v>
      </c>
      <c r="AD1171" s="1" t="str">
        <f>IF(AND(Table1[[#This Row],[Spec Type2]]="N/A",Table1[[#This Row],[DUT Adj Read]]="N/A",Table1[[#This Row],[Std Adj Read]]="N/A"),"N/A",IF(Table1[[#This Row],[DUT Adj Read]]="N/A",IF(Table1[[#This Row],[Std Adj Read]]&gt;Table1[[#This Row],[Low Tol]],"Pass","Fail"),IF(Table1[[#This Row],[DUT Adj Read]]&gt;Table1[[#This Row],[Low Tol]],"Pass","Fail")))</f>
        <v>Pass</v>
      </c>
      <c r="AE1171" s="1" t="str">
        <f>IF(AND(Table1[[#This Row],[Spec Type2]]="N/A",Table1[[#This Row],[DUT Adj Read]]="N/A",Table1[[#This Row],[Std Adj Read]]="N/A"),"N/A",IF(Table1[[#This Row],[DUT Adj Read]]="N/A",IF(Table1[[#This Row],[Std Adj Read]]&lt;Table1[[#This Row],[High Tol]],"Pass","Fail"),IF(Table1[[#This Row],[DUT Adj Read]]&lt;Table1[[#This Row],[High Tol]],"Pass","Fail")))</f>
        <v>Fail</v>
      </c>
      <c r="AF1171" s="1" t="str">
        <f>IF(AND(Table1[[#This Row],[Spec Type2]]="N/A",Table1[[#This Row],[DUT Adj Read]]="N/A",Table1[[#This Row],[Std Adj Read]]="N/A"),"N/A",IF(Table1[[#This Row],[DUT Adj Read]]="N/A",IF(Table1[[#This Row],[Std Adj Read]]&gt;=Table1[[#This Row],[Low Tol]],"Pass","Fail"),IF(Table1[[#This Row],[DUT Adj Read]]&gt;=Table1[[#This Row],[Low Tol]],"Pass","Fail")))</f>
        <v>Pass</v>
      </c>
      <c r="AG1171" s="1" t="str">
        <f>IF(AND(Table1[[#This Row],[Spec Type2]]="N/A",Table1[[#This Row],[DUT Adj Read]]="N/A",Table1[[#This Row],[Std Adj Read]]="N/A"),"N/A",IF(Table1[[#This Row],[DUT Adj Read]]="N/A",IF(Table1[[#This Row],[Std Adj Read]]&lt;=Table1[[#This Row],[High Tol]],"Pass","Fail"),IF(Table1[[#This Row],[DUT Adj Read]]&lt;=Table1[[#This Row],[High Tol]],"Pass","Fail")))</f>
        <v>Fail</v>
      </c>
      <c r="AH11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1" s="1" t="b">
        <v>0</v>
      </c>
      <c r="AN1171" s="1" t="b">
        <v>0</v>
      </c>
      <c r="AO1171" s="1" t="b">
        <v>0</v>
      </c>
    </row>
    <row r="1172" spans="1:41" x14ac:dyDescent="0.25">
      <c r="A1172" s="10"/>
      <c r="B1172" s="10"/>
      <c r="C1172" s="10"/>
      <c r="D1172" s="10"/>
      <c r="E1172" s="10"/>
      <c r="F1172" s="10"/>
      <c r="G1172" s="10"/>
      <c r="H1172" s="10"/>
      <c r="I1172" s="1" t="str">
        <f t="shared" si="54"/>
        <v/>
      </c>
      <c r="J1172" s="1" t="s">
        <v>35</v>
      </c>
      <c r="K1172" s="1" t="str">
        <f t="shared" si="55"/>
        <v/>
      </c>
      <c r="L1172" s="1" t="str">
        <f t="shared" si="56"/>
        <v/>
      </c>
      <c r="M1172" s="1">
        <f>IF(OR(Table1[[#This Row],[Std Nom]]="",Table1[[#This Row],[Std Read]]=""),0,Table1[[#This Row],[Std Nom]]-Table1[[#This Row],[Std Read]])</f>
        <v>0</v>
      </c>
      <c r="N1172" s="1">
        <f>IF(Calculations!$F$5="ACCREDITED 17025 WITH UNCERTAINTIES",$N$10,0)</f>
        <v>0</v>
      </c>
      <c r="Q1172" s="1">
        <f>Table1[[#This Row],[High Tol]]-Table1[[#This Row],[Low Tol]]</f>
        <v>0</v>
      </c>
      <c r="R1172" s="1">
        <f>2*Table1[[#This Row],[Std Error]]</f>
        <v>0</v>
      </c>
      <c r="S1172" s="1" t="str">
        <f>IF(Table1[[#This Row],[High Tol]]="","N/A",IFERROR(ABS(Table1[[#This Row],[Tol Span]]/Table1[[#This Row],[Error Span]]),"N/A"))</f>
        <v>N/A</v>
      </c>
      <c r="T1172" s="1" t="str">
        <f>IF(OR(Table1[[#This Row],[Low Tol]]="",Table1[[#This Row],[High Tol]]=""),"Needs Analysis",IF(Table1[[#This Row],[Ratio]]&gt;=4,"Not Significant",IF(Table1[[#This Row],[Ratio]]&gt;=2,"Semi-Significant","Significant")))</f>
        <v>Needs Analysis</v>
      </c>
      <c r="W1172" s="1">
        <f>IF(Table1[[#This Row],[Cal Type]]&lt;&gt;"ACCREDITED 17025 WITH UNCERTAINTIES",0,"")</f>
        <v>0</v>
      </c>
      <c r="X1172" s="1" t="str">
        <f>IF(Table1[[#This Row],[DUT Read]]="","N/A",Table1[[#This Row],[Std Error]]+Table1[[#This Row],[DUT Read]]+Table1[[#This Row],[DUT Ucty]])</f>
        <v>N/A</v>
      </c>
      <c r="Y1172" s="1" t="str">
        <f>IF(Table1[[#This Row],[Std Read]]="","N/A",Table1[[#This Row],[Std Read]]+Table1[[#This Row],[Std Ucty]])</f>
        <v>N/A</v>
      </c>
      <c r="Z11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2" s="1" t="str">
        <f>IF(Table1[[#This Row],[Spec Type]]="","N/A",Table1[[#This Row],[Spec Type]])</f>
        <v>±</v>
      </c>
      <c r="AC1172" s="1" t="str">
        <f>IF(Table1[[#This Row],[Spec Type2]]="N/A","N/A",IF(AND(Table1[[#This Row],[DUT Adj Read]]&gt;=Table1[[#This Row],[Low Tol]],Table1[[#This Row],[DUT Adj Read]]&lt;=Table1[[#This Row],[High Tol]]),"Pass","Fail"))</f>
        <v>Fail</v>
      </c>
      <c r="AD1172" s="1" t="str">
        <f>IF(AND(Table1[[#This Row],[Spec Type2]]="N/A",Table1[[#This Row],[DUT Adj Read]]="N/A",Table1[[#This Row],[Std Adj Read]]="N/A"),"N/A",IF(Table1[[#This Row],[DUT Adj Read]]="N/A",IF(Table1[[#This Row],[Std Adj Read]]&gt;Table1[[#This Row],[Low Tol]],"Pass","Fail"),IF(Table1[[#This Row],[DUT Adj Read]]&gt;Table1[[#This Row],[Low Tol]],"Pass","Fail")))</f>
        <v>Pass</v>
      </c>
      <c r="AE1172" s="1" t="str">
        <f>IF(AND(Table1[[#This Row],[Spec Type2]]="N/A",Table1[[#This Row],[DUT Adj Read]]="N/A",Table1[[#This Row],[Std Adj Read]]="N/A"),"N/A",IF(Table1[[#This Row],[DUT Adj Read]]="N/A",IF(Table1[[#This Row],[Std Adj Read]]&lt;Table1[[#This Row],[High Tol]],"Pass","Fail"),IF(Table1[[#This Row],[DUT Adj Read]]&lt;Table1[[#This Row],[High Tol]],"Pass","Fail")))</f>
        <v>Fail</v>
      </c>
      <c r="AF1172" s="1" t="str">
        <f>IF(AND(Table1[[#This Row],[Spec Type2]]="N/A",Table1[[#This Row],[DUT Adj Read]]="N/A",Table1[[#This Row],[Std Adj Read]]="N/A"),"N/A",IF(Table1[[#This Row],[DUT Adj Read]]="N/A",IF(Table1[[#This Row],[Std Adj Read]]&gt;=Table1[[#This Row],[Low Tol]],"Pass","Fail"),IF(Table1[[#This Row],[DUT Adj Read]]&gt;=Table1[[#This Row],[Low Tol]],"Pass","Fail")))</f>
        <v>Pass</v>
      </c>
      <c r="AG1172" s="1" t="str">
        <f>IF(AND(Table1[[#This Row],[Spec Type2]]="N/A",Table1[[#This Row],[DUT Adj Read]]="N/A",Table1[[#This Row],[Std Adj Read]]="N/A"),"N/A",IF(Table1[[#This Row],[DUT Adj Read]]="N/A",IF(Table1[[#This Row],[Std Adj Read]]&lt;=Table1[[#This Row],[High Tol]],"Pass","Fail"),IF(Table1[[#This Row],[DUT Adj Read]]&lt;=Table1[[#This Row],[High Tol]],"Pass","Fail")))</f>
        <v>Fail</v>
      </c>
      <c r="AH11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2" s="1" t="b">
        <v>0</v>
      </c>
      <c r="AN1172" s="1" t="b">
        <v>0</v>
      </c>
      <c r="AO1172" s="1" t="b">
        <v>0</v>
      </c>
    </row>
    <row r="1173" spans="1:41" x14ac:dyDescent="0.25">
      <c r="A1173" s="10"/>
      <c r="B1173" s="10"/>
      <c r="C1173" s="10"/>
      <c r="D1173" s="10"/>
      <c r="E1173" s="10"/>
      <c r="F1173" s="10"/>
      <c r="G1173" s="10"/>
      <c r="H1173" s="10"/>
      <c r="I1173" s="1" t="str">
        <f t="shared" si="54"/>
        <v/>
      </c>
      <c r="J1173" s="1" t="s">
        <v>35</v>
      </c>
      <c r="K1173" s="1" t="str">
        <f t="shared" si="55"/>
        <v/>
      </c>
      <c r="L1173" s="1" t="str">
        <f t="shared" si="56"/>
        <v/>
      </c>
      <c r="M1173" s="1">
        <f>IF(OR(Table1[[#This Row],[Std Nom]]="",Table1[[#This Row],[Std Read]]=""),0,Table1[[#This Row],[Std Nom]]-Table1[[#This Row],[Std Read]])</f>
        <v>0</v>
      </c>
      <c r="N1173" s="1">
        <f>IF(Calculations!$F$5="ACCREDITED 17025 WITH UNCERTAINTIES",$N$10,0)</f>
        <v>0</v>
      </c>
      <c r="Q1173" s="1">
        <f>Table1[[#This Row],[High Tol]]-Table1[[#This Row],[Low Tol]]</f>
        <v>0</v>
      </c>
      <c r="R1173" s="1">
        <f>2*Table1[[#This Row],[Std Error]]</f>
        <v>0</v>
      </c>
      <c r="S1173" s="1" t="str">
        <f>IF(Table1[[#This Row],[High Tol]]="","N/A",IFERROR(ABS(Table1[[#This Row],[Tol Span]]/Table1[[#This Row],[Error Span]]),"N/A"))</f>
        <v>N/A</v>
      </c>
      <c r="T1173" s="1" t="str">
        <f>IF(OR(Table1[[#This Row],[Low Tol]]="",Table1[[#This Row],[High Tol]]=""),"Needs Analysis",IF(Table1[[#This Row],[Ratio]]&gt;=4,"Not Significant",IF(Table1[[#This Row],[Ratio]]&gt;=2,"Semi-Significant","Significant")))</f>
        <v>Needs Analysis</v>
      </c>
      <c r="W1173" s="1">
        <f>IF(Table1[[#This Row],[Cal Type]]&lt;&gt;"ACCREDITED 17025 WITH UNCERTAINTIES",0,"")</f>
        <v>0</v>
      </c>
      <c r="X1173" s="1" t="str">
        <f>IF(Table1[[#This Row],[DUT Read]]="","N/A",Table1[[#This Row],[Std Error]]+Table1[[#This Row],[DUT Read]]+Table1[[#This Row],[DUT Ucty]])</f>
        <v>N/A</v>
      </c>
      <c r="Y1173" s="1" t="str">
        <f>IF(Table1[[#This Row],[Std Read]]="","N/A",Table1[[#This Row],[Std Read]]+Table1[[#This Row],[Std Ucty]])</f>
        <v>N/A</v>
      </c>
      <c r="Z11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3" s="1" t="str">
        <f>IF(Table1[[#This Row],[Spec Type]]="","N/A",Table1[[#This Row],[Spec Type]])</f>
        <v>±</v>
      </c>
      <c r="AC1173" s="1" t="str">
        <f>IF(Table1[[#This Row],[Spec Type2]]="N/A","N/A",IF(AND(Table1[[#This Row],[DUT Adj Read]]&gt;=Table1[[#This Row],[Low Tol]],Table1[[#This Row],[DUT Adj Read]]&lt;=Table1[[#This Row],[High Tol]]),"Pass","Fail"))</f>
        <v>Fail</v>
      </c>
      <c r="AD1173" s="1" t="str">
        <f>IF(AND(Table1[[#This Row],[Spec Type2]]="N/A",Table1[[#This Row],[DUT Adj Read]]="N/A",Table1[[#This Row],[Std Adj Read]]="N/A"),"N/A",IF(Table1[[#This Row],[DUT Adj Read]]="N/A",IF(Table1[[#This Row],[Std Adj Read]]&gt;Table1[[#This Row],[Low Tol]],"Pass","Fail"),IF(Table1[[#This Row],[DUT Adj Read]]&gt;Table1[[#This Row],[Low Tol]],"Pass","Fail")))</f>
        <v>Pass</v>
      </c>
      <c r="AE1173" s="1" t="str">
        <f>IF(AND(Table1[[#This Row],[Spec Type2]]="N/A",Table1[[#This Row],[DUT Adj Read]]="N/A",Table1[[#This Row],[Std Adj Read]]="N/A"),"N/A",IF(Table1[[#This Row],[DUT Adj Read]]="N/A",IF(Table1[[#This Row],[Std Adj Read]]&lt;Table1[[#This Row],[High Tol]],"Pass","Fail"),IF(Table1[[#This Row],[DUT Adj Read]]&lt;Table1[[#This Row],[High Tol]],"Pass","Fail")))</f>
        <v>Fail</v>
      </c>
      <c r="AF1173" s="1" t="str">
        <f>IF(AND(Table1[[#This Row],[Spec Type2]]="N/A",Table1[[#This Row],[DUT Adj Read]]="N/A",Table1[[#This Row],[Std Adj Read]]="N/A"),"N/A",IF(Table1[[#This Row],[DUT Adj Read]]="N/A",IF(Table1[[#This Row],[Std Adj Read]]&gt;=Table1[[#This Row],[Low Tol]],"Pass","Fail"),IF(Table1[[#This Row],[DUT Adj Read]]&gt;=Table1[[#This Row],[Low Tol]],"Pass","Fail")))</f>
        <v>Pass</v>
      </c>
      <c r="AG1173" s="1" t="str">
        <f>IF(AND(Table1[[#This Row],[Spec Type2]]="N/A",Table1[[#This Row],[DUT Adj Read]]="N/A",Table1[[#This Row],[Std Adj Read]]="N/A"),"N/A",IF(Table1[[#This Row],[DUT Adj Read]]="N/A",IF(Table1[[#This Row],[Std Adj Read]]&lt;=Table1[[#This Row],[High Tol]],"Pass","Fail"),IF(Table1[[#This Row],[DUT Adj Read]]&lt;=Table1[[#This Row],[High Tol]],"Pass","Fail")))</f>
        <v>Fail</v>
      </c>
      <c r="AH11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3" s="1" t="b">
        <v>0</v>
      </c>
      <c r="AN1173" s="1" t="b">
        <v>0</v>
      </c>
      <c r="AO1173" s="1" t="b">
        <v>0</v>
      </c>
    </row>
    <row r="1174" spans="1:41" x14ac:dyDescent="0.25">
      <c r="A1174" s="10"/>
      <c r="B1174" s="10"/>
      <c r="C1174" s="10"/>
      <c r="D1174" s="10"/>
      <c r="E1174" s="10"/>
      <c r="F1174" s="10"/>
      <c r="G1174" s="10"/>
      <c r="H1174" s="10"/>
      <c r="I1174" s="1" t="str">
        <f t="shared" si="54"/>
        <v/>
      </c>
      <c r="J1174" s="1" t="s">
        <v>35</v>
      </c>
      <c r="K1174" s="1" t="str">
        <f t="shared" si="55"/>
        <v/>
      </c>
      <c r="L1174" s="1" t="str">
        <f t="shared" si="56"/>
        <v/>
      </c>
      <c r="M1174" s="1">
        <f>IF(OR(Table1[[#This Row],[Std Nom]]="",Table1[[#This Row],[Std Read]]=""),0,Table1[[#This Row],[Std Nom]]-Table1[[#This Row],[Std Read]])</f>
        <v>0</v>
      </c>
      <c r="N1174" s="1">
        <f>IF(Calculations!$F$5="ACCREDITED 17025 WITH UNCERTAINTIES",$N$10,0)</f>
        <v>0</v>
      </c>
      <c r="Q1174" s="1">
        <f>Table1[[#This Row],[High Tol]]-Table1[[#This Row],[Low Tol]]</f>
        <v>0</v>
      </c>
      <c r="R1174" s="1">
        <f>2*Table1[[#This Row],[Std Error]]</f>
        <v>0</v>
      </c>
      <c r="S1174" s="1" t="str">
        <f>IF(Table1[[#This Row],[High Tol]]="","N/A",IFERROR(ABS(Table1[[#This Row],[Tol Span]]/Table1[[#This Row],[Error Span]]),"N/A"))</f>
        <v>N/A</v>
      </c>
      <c r="T1174" s="1" t="str">
        <f>IF(OR(Table1[[#This Row],[Low Tol]]="",Table1[[#This Row],[High Tol]]=""),"Needs Analysis",IF(Table1[[#This Row],[Ratio]]&gt;=4,"Not Significant",IF(Table1[[#This Row],[Ratio]]&gt;=2,"Semi-Significant","Significant")))</f>
        <v>Needs Analysis</v>
      </c>
      <c r="W1174" s="1">
        <f>IF(Table1[[#This Row],[Cal Type]]&lt;&gt;"ACCREDITED 17025 WITH UNCERTAINTIES",0,"")</f>
        <v>0</v>
      </c>
      <c r="X1174" s="1" t="str">
        <f>IF(Table1[[#This Row],[DUT Read]]="","N/A",Table1[[#This Row],[Std Error]]+Table1[[#This Row],[DUT Read]]+Table1[[#This Row],[DUT Ucty]])</f>
        <v>N/A</v>
      </c>
      <c r="Y1174" s="1" t="str">
        <f>IF(Table1[[#This Row],[Std Read]]="","N/A",Table1[[#This Row],[Std Read]]+Table1[[#This Row],[Std Ucty]])</f>
        <v>N/A</v>
      </c>
      <c r="Z11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4" s="1" t="str">
        <f>IF(Table1[[#This Row],[Spec Type]]="","N/A",Table1[[#This Row],[Spec Type]])</f>
        <v>±</v>
      </c>
      <c r="AC1174" s="1" t="str">
        <f>IF(Table1[[#This Row],[Spec Type2]]="N/A","N/A",IF(AND(Table1[[#This Row],[DUT Adj Read]]&gt;=Table1[[#This Row],[Low Tol]],Table1[[#This Row],[DUT Adj Read]]&lt;=Table1[[#This Row],[High Tol]]),"Pass","Fail"))</f>
        <v>Fail</v>
      </c>
      <c r="AD1174" s="1" t="str">
        <f>IF(AND(Table1[[#This Row],[Spec Type2]]="N/A",Table1[[#This Row],[DUT Adj Read]]="N/A",Table1[[#This Row],[Std Adj Read]]="N/A"),"N/A",IF(Table1[[#This Row],[DUT Adj Read]]="N/A",IF(Table1[[#This Row],[Std Adj Read]]&gt;Table1[[#This Row],[Low Tol]],"Pass","Fail"),IF(Table1[[#This Row],[DUT Adj Read]]&gt;Table1[[#This Row],[Low Tol]],"Pass","Fail")))</f>
        <v>Pass</v>
      </c>
      <c r="AE1174" s="1" t="str">
        <f>IF(AND(Table1[[#This Row],[Spec Type2]]="N/A",Table1[[#This Row],[DUT Adj Read]]="N/A",Table1[[#This Row],[Std Adj Read]]="N/A"),"N/A",IF(Table1[[#This Row],[DUT Adj Read]]="N/A",IF(Table1[[#This Row],[Std Adj Read]]&lt;Table1[[#This Row],[High Tol]],"Pass","Fail"),IF(Table1[[#This Row],[DUT Adj Read]]&lt;Table1[[#This Row],[High Tol]],"Pass","Fail")))</f>
        <v>Fail</v>
      </c>
      <c r="AF1174" s="1" t="str">
        <f>IF(AND(Table1[[#This Row],[Spec Type2]]="N/A",Table1[[#This Row],[DUT Adj Read]]="N/A",Table1[[#This Row],[Std Adj Read]]="N/A"),"N/A",IF(Table1[[#This Row],[DUT Adj Read]]="N/A",IF(Table1[[#This Row],[Std Adj Read]]&gt;=Table1[[#This Row],[Low Tol]],"Pass","Fail"),IF(Table1[[#This Row],[DUT Adj Read]]&gt;=Table1[[#This Row],[Low Tol]],"Pass","Fail")))</f>
        <v>Pass</v>
      </c>
      <c r="AG1174" s="1" t="str">
        <f>IF(AND(Table1[[#This Row],[Spec Type2]]="N/A",Table1[[#This Row],[DUT Adj Read]]="N/A",Table1[[#This Row],[Std Adj Read]]="N/A"),"N/A",IF(Table1[[#This Row],[DUT Adj Read]]="N/A",IF(Table1[[#This Row],[Std Adj Read]]&lt;=Table1[[#This Row],[High Tol]],"Pass","Fail"),IF(Table1[[#This Row],[DUT Adj Read]]&lt;=Table1[[#This Row],[High Tol]],"Pass","Fail")))</f>
        <v>Fail</v>
      </c>
      <c r="AH11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4" s="1" t="b">
        <v>0</v>
      </c>
      <c r="AN1174" s="1" t="b">
        <v>0</v>
      </c>
      <c r="AO1174" s="1" t="b">
        <v>0</v>
      </c>
    </row>
    <row r="1175" spans="1:41" x14ac:dyDescent="0.25">
      <c r="A1175" s="10"/>
      <c r="B1175" s="10"/>
      <c r="C1175" s="10"/>
      <c r="D1175" s="10"/>
      <c r="E1175" s="10"/>
      <c r="F1175" s="10"/>
      <c r="G1175" s="10"/>
      <c r="H1175" s="10"/>
      <c r="I1175" s="1" t="str">
        <f t="shared" si="54"/>
        <v/>
      </c>
      <c r="J1175" s="1" t="s">
        <v>35</v>
      </c>
      <c r="K1175" s="1" t="str">
        <f t="shared" si="55"/>
        <v/>
      </c>
      <c r="L1175" s="1" t="str">
        <f t="shared" si="56"/>
        <v/>
      </c>
      <c r="M1175" s="1">
        <f>IF(OR(Table1[[#This Row],[Std Nom]]="",Table1[[#This Row],[Std Read]]=""),0,Table1[[#This Row],[Std Nom]]-Table1[[#This Row],[Std Read]])</f>
        <v>0</v>
      </c>
      <c r="N1175" s="1">
        <f>IF(Calculations!$F$5="ACCREDITED 17025 WITH UNCERTAINTIES",$N$10,0)</f>
        <v>0</v>
      </c>
      <c r="Q1175" s="1">
        <f>Table1[[#This Row],[High Tol]]-Table1[[#This Row],[Low Tol]]</f>
        <v>0</v>
      </c>
      <c r="R1175" s="1">
        <f>2*Table1[[#This Row],[Std Error]]</f>
        <v>0</v>
      </c>
      <c r="S1175" s="1" t="str">
        <f>IF(Table1[[#This Row],[High Tol]]="","N/A",IFERROR(ABS(Table1[[#This Row],[Tol Span]]/Table1[[#This Row],[Error Span]]),"N/A"))</f>
        <v>N/A</v>
      </c>
      <c r="T1175" s="1" t="str">
        <f>IF(OR(Table1[[#This Row],[Low Tol]]="",Table1[[#This Row],[High Tol]]=""),"Needs Analysis",IF(Table1[[#This Row],[Ratio]]&gt;=4,"Not Significant",IF(Table1[[#This Row],[Ratio]]&gt;=2,"Semi-Significant","Significant")))</f>
        <v>Needs Analysis</v>
      </c>
      <c r="W1175" s="1">
        <f>IF(Table1[[#This Row],[Cal Type]]&lt;&gt;"ACCREDITED 17025 WITH UNCERTAINTIES",0,"")</f>
        <v>0</v>
      </c>
      <c r="X1175" s="1" t="str">
        <f>IF(Table1[[#This Row],[DUT Read]]="","N/A",Table1[[#This Row],[Std Error]]+Table1[[#This Row],[DUT Read]]+Table1[[#This Row],[DUT Ucty]])</f>
        <v>N/A</v>
      </c>
      <c r="Y1175" s="1" t="str">
        <f>IF(Table1[[#This Row],[Std Read]]="","N/A",Table1[[#This Row],[Std Read]]+Table1[[#This Row],[Std Ucty]])</f>
        <v>N/A</v>
      </c>
      <c r="Z11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5" s="1" t="str">
        <f>IF(Table1[[#This Row],[Spec Type]]="","N/A",Table1[[#This Row],[Spec Type]])</f>
        <v>±</v>
      </c>
      <c r="AC1175" s="1" t="str">
        <f>IF(Table1[[#This Row],[Spec Type2]]="N/A","N/A",IF(AND(Table1[[#This Row],[DUT Adj Read]]&gt;=Table1[[#This Row],[Low Tol]],Table1[[#This Row],[DUT Adj Read]]&lt;=Table1[[#This Row],[High Tol]]),"Pass","Fail"))</f>
        <v>Fail</v>
      </c>
      <c r="AD1175" s="1" t="str">
        <f>IF(AND(Table1[[#This Row],[Spec Type2]]="N/A",Table1[[#This Row],[DUT Adj Read]]="N/A",Table1[[#This Row],[Std Adj Read]]="N/A"),"N/A",IF(Table1[[#This Row],[DUT Adj Read]]="N/A",IF(Table1[[#This Row],[Std Adj Read]]&gt;Table1[[#This Row],[Low Tol]],"Pass","Fail"),IF(Table1[[#This Row],[DUT Adj Read]]&gt;Table1[[#This Row],[Low Tol]],"Pass","Fail")))</f>
        <v>Pass</v>
      </c>
      <c r="AE1175" s="1" t="str">
        <f>IF(AND(Table1[[#This Row],[Spec Type2]]="N/A",Table1[[#This Row],[DUT Adj Read]]="N/A",Table1[[#This Row],[Std Adj Read]]="N/A"),"N/A",IF(Table1[[#This Row],[DUT Adj Read]]="N/A",IF(Table1[[#This Row],[Std Adj Read]]&lt;Table1[[#This Row],[High Tol]],"Pass","Fail"),IF(Table1[[#This Row],[DUT Adj Read]]&lt;Table1[[#This Row],[High Tol]],"Pass","Fail")))</f>
        <v>Fail</v>
      </c>
      <c r="AF1175" s="1" t="str">
        <f>IF(AND(Table1[[#This Row],[Spec Type2]]="N/A",Table1[[#This Row],[DUT Adj Read]]="N/A",Table1[[#This Row],[Std Adj Read]]="N/A"),"N/A",IF(Table1[[#This Row],[DUT Adj Read]]="N/A",IF(Table1[[#This Row],[Std Adj Read]]&gt;=Table1[[#This Row],[Low Tol]],"Pass","Fail"),IF(Table1[[#This Row],[DUT Adj Read]]&gt;=Table1[[#This Row],[Low Tol]],"Pass","Fail")))</f>
        <v>Pass</v>
      </c>
      <c r="AG1175" s="1" t="str">
        <f>IF(AND(Table1[[#This Row],[Spec Type2]]="N/A",Table1[[#This Row],[DUT Adj Read]]="N/A",Table1[[#This Row],[Std Adj Read]]="N/A"),"N/A",IF(Table1[[#This Row],[DUT Adj Read]]="N/A",IF(Table1[[#This Row],[Std Adj Read]]&lt;=Table1[[#This Row],[High Tol]],"Pass","Fail"),IF(Table1[[#This Row],[DUT Adj Read]]&lt;=Table1[[#This Row],[High Tol]],"Pass","Fail")))</f>
        <v>Fail</v>
      </c>
      <c r="AH11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5" s="1" t="b">
        <v>0</v>
      </c>
      <c r="AN1175" s="1" t="b">
        <v>0</v>
      </c>
      <c r="AO1175" s="1" t="b">
        <v>0</v>
      </c>
    </row>
    <row r="1176" spans="1:41" x14ac:dyDescent="0.25">
      <c r="A1176" s="10"/>
      <c r="B1176" s="10"/>
      <c r="C1176" s="10"/>
      <c r="D1176" s="10"/>
      <c r="E1176" s="10"/>
      <c r="F1176" s="10"/>
      <c r="G1176" s="10"/>
      <c r="H1176" s="10"/>
      <c r="I1176" s="1" t="str">
        <f t="shared" si="54"/>
        <v/>
      </c>
      <c r="J1176" s="1" t="s">
        <v>35</v>
      </c>
      <c r="K1176" s="1" t="str">
        <f t="shared" si="55"/>
        <v/>
      </c>
      <c r="L1176" s="1" t="str">
        <f t="shared" si="56"/>
        <v/>
      </c>
      <c r="M1176" s="1">
        <f>IF(OR(Table1[[#This Row],[Std Nom]]="",Table1[[#This Row],[Std Read]]=""),0,Table1[[#This Row],[Std Nom]]-Table1[[#This Row],[Std Read]])</f>
        <v>0</v>
      </c>
      <c r="N1176" s="1">
        <f>IF(Calculations!$F$5="ACCREDITED 17025 WITH UNCERTAINTIES",$N$10,0)</f>
        <v>0</v>
      </c>
      <c r="Q1176" s="1">
        <f>Table1[[#This Row],[High Tol]]-Table1[[#This Row],[Low Tol]]</f>
        <v>0</v>
      </c>
      <c r="R1176" s="1">
        <f>2*Table1[[#This Row],[Std Error]]</f>
        <v>0</v>
      </c>
      <c r="S1176" s="1" t="str">
        <f>IF(Table1[[#This Row],[High Tol]]="","N/A",IFERROR(ABS(Table1[[#This Row],[Tol Span]]/Table1[[#This Row],[Error Span]]),"N/A"))</f>
        <v>N/A</v>
      </c>
      <c r="T1176" s="1" t="str">
        <f>IF(OR(Table1[[#This Row],[Low Tol]]="",Table1[[#This Row],[High Tol]]=""),"Needs Analysis",IF(Table1[[#This Row],[Ratio]]&gt;=4,"Not Significant",IF(Table1[[#This Row],[Ratio]]&gt;=2,"Semi-Significant","Significant")))</f>
        <v>Needs Analysis</v>
      </c>
      <c r="W1176" s="1">
        <f>IF(Table1[[#This Row],[Cal Type]]&lt;&gt;"ACCREDITED 17025 WITH UNCERTAINTIES",0,"")</f>
        <v>0</v>
      </c>
      <c r="X1176" s="1" t="str">
        <f>IF(Table1[[#This Row],[DUT Read]]="","N/A",Table1[[#This Row],[Std Error]]+Table1[[#This Row],[DUT Read]]+Table1[[#This Row],[DUT Ucty]])</f>
        <v>N/A</v>
      </c>
      <c r="Y1176" s="1" t="str">
        <f>IF(Table1[[#This Row],[Std Read]]="","N/A",Table1[[#This Row],[Std Read]]+Table1[[#This Row],[Std Ucty]])</f>
        <v>N/A</v>
      </c>
      <c r="Z11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6" s="1" t="str">
        <f>IF(Table1[[#This Row],[Spec Type]]="","N/A",Table1[[#This Row],[Spec Type]])</f>
        <v>±</v>
      </c>
      <c r="AC1176" s="1" t="str">
        <f>IF(Table1[[#This Row],[Spec Type2]]="N/A","N/A",IF(AND(Table1[[#This Row],[DUT Adj Read]]&gt;=Table1[[#This Row],[Low Tol]],Table1[[#This Row],[DUT Adj Read]]&lt;=Table1[[#This Row],[High Tol]]),"Pass","Fail"))</f>
        <v>Fail</v>
      </c>
      <c r="AD1176" s="1" t="str">
        <f>IF(AND(Table1[[#This Row],[Spec Type2]]="N/A",Table1[[#This Row],[DUT Adj Read]]="N/A",Table1[[#This Row],[Std Adj Read]]="N/A"),"N/A",IF(Table1[[#This Row],[DUT Adj Read]]="N/A",IF(Table1[[#This Row],[Std Adj Read]]&gt;Table1[[#This Row],[Low Tol]],"Pass","Fail"),IF(Table1[[#This Row],[DUT Adj Read]]&gt;Table1[[#This Row],[Low Tol]],"Pass","Fail")))</f>
        <v>Pass</v>
      </c>
      <c r="AE1176" s="1" t="str">
        <f>IF(AND(Table1[[#This Row],[Spec Type2]]="N/A",Table1[[#This Row],[DUT Adj Read]]="N/A",Table1[[#This Row],[Std Adj Read]]="N/A"),"N/A",IF(Table1[[#This Row],[DUT Adj Read]]="N/A",IF(Table1[[#This Row],[Std Adj Read]]&lt;Table1[[#This Row],[High Tol]],"Pass","Fail"),IF(Table1[[#This Row],[DUT Adj Read]]&lt;Table1[[#This Row],[High Tol]],"Pass","Fail")))</f>
        <v>Fail</v>
      </c>
      <c r="AF1176" s="1" t="str">
        <f>IF(AND(Table1[[#This Row],[Spec Type2]]="N/A",Table1[[#This Row],[DUT Adj Read]]="N/A",Table1[[#This Row],[Std Adj Read]]="N/A"),"N/A",IF(Table1[[#This Row],[DUT Adj Read]]="N/A",IF(Table1[[#This Row],[Std Adj Read]]&gt;=Table1[[#This Row],[Low Tol]],"Pass","Fail"),IF(Table1[[#This Row],[DUT Adj Read]]&gt;=Table1[[#This Row],[Low Tol]],"Pass","Fail")))</f>
        <v>Pass</v>
      </c>
      <c r="AG1176" s="1" t="str">
        <f>IF(AND(Table1[[#This Row],[Spec Type2]]="N/A",Table1[[#This Row],[DUT Adj Read]]="N/A",Table1[[#This Row],[Std Adj Read]]="N/A"),"N/A",IF(Table1[[#This Row],[DUT Adj Read]]="N/A",IF(Table1[[#This Row],[Std Adj Read]]&lt;=Table1[[#This Row],[High Tol]],"Pass","Fail"),IF(Table1[[#This Row],[DUT Adj Read]]&lt;=Table1[[#This Row],[High Tol]],"Pass","Fail")))</f>
        <v>Fail</v>
      </c>
      <c r="AH11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6" s="1" t="b">
        <v>0</v>
      </c>
      <c r="AN1176" s="1" t="b">
        <v>0</v>
      </c>
      <c r="AO1176" s="1" t="b">
        <v>0</v>
      </c>
    </row>
    <row r="1177" spans="1:41" x14ac:dyDescent="0.25">
      <c r="A1177" s="10"/>
      <c r="B1177" s="10"/>
      <c r="C1177" s="10"/>
      <c r="D1177" s="10"/>
      <c r="E1177" s="10"/>
      <c r="F1177" s="10"/>
      <c r="G1177" s="10"/>
      <c r="H1177" s="10"/>
      <c r="I1177" s="1" t="str">
        <f t="shared" si="54"/>
        <v/>
      </c>
      <c r="J1177" s="1" t="s">
        <v>35</v>
      </c>
      <c r="K1177" s="1" t="str">
        <f t="shared" si="55"/>
        <v/>
      </c>
      <c r="L1177" s="1" t="str">
        <f t="shared" si="56"/>
        <v/>
      </c>
      <c r="M1177" s="1">
        <f>IF(OR(Table1[[#This Row],[Std Nom]]="",Table1[[#This Row],[Std Read]]=""),0,Table1[[#This Row],[Std Nom]]-Table1[[#This Row],[Std Read]])</f>
        <v>0</v>
      </c>
      <c r="N1177" s="1">
        <f>IF(Calculations!$F$5="ACCREDITED 17025 WITH UNCERTAINTIES",$N$10,0)</f>
        <v>0</v>
      </c>
      <c r="Q1177" s="1">
        <f>Table1[[#This Row],[High Tol]]-Table1[[#This Row],[Low Tol]]</f>
        <v>0</v>
      </c>
      <c r="R1177" s="1">
        <f>2*Table1[[#This Row],[Std Error]]</f>
        <v>0</v>
      </c>
      <c r="S1177" s="1" t="str">
        <f>IF(Table1[[#This Row],[High Tol]]="","N/A",IFERROR(ABS(Table1[[#This Row],[Tol Span]]/Table1[[#This Row],[Error Span]]),"N/A"))</f>
        <v>N/A</v>
      </c>
      <c r="T1177" s="1" t="str">
        <f>IF(OR(Table1[[#This Row],[Low Tol]]="",Table1[[#This Row],[High Tol]]=""),"Needs Analysis",IF(Table1[[#This Row],[Ratio]]&gt;=4,"Not Significant",IF(Table1[[#This Row],[Ratio]]&gt;=2,"Semi-Significant","Significant")))</f>
        <v>Needs Analysis</v>
      </c>
      <c r="W1177" s="1">
        <f>IF(Table1[[#This Row],[Cal Type]]&lt;&gt;"ACCREDITED 17025 WITH UNCERTAINTIES",0,"")</f>
        <v>0</v>
      </c>
      <c r="X1177" s="1" t="str">
        <f>IF(Table1[[#This Row],[DUT Read]]="","N/A",Table1[[#This Row],[Std Error]]+Table1[[#This Row],[DUT Read]]+Table1[[#This Row],[DUT Ucty]])</f>
        <v>N/A</v>
      </c>
      <c r="Y1177" s="1" t="str">
        <f>IF(Table1[[#This Row],[Std Read]]="","N/A",Table1[[#This Row],[Std Read]]+Table1[[#This Row],[Std Ucty]])</f>
        <v>N/A</v>
      </c>
      <c r="Z11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7" s="1" t="str">
        <f>IF(Table1[[#This Row],[Spec Type]]="","N/A",Table1[[#This Row],[Spec Type]])</f>
        <v>±</v>
      </c>
      <c r="AC1177" s="1" t="str">
        <f>IF(Table1[[#This Row],[Spec Type2]]="N/A","N/A",IF(AND(Table1[[#This Row],[DUT Adj Read]]&gt;=Table1[[#This Row],[Low Tol]],Table1[[#This Row],[DUT Adj Read]]&lt;=Table1[[#This Row],[High Tol]]),"Pass","Fail"))</f>
        <v>Fail</v>
      </c>
      <c r="AD1177" s="1" t="str">
        <f>IF(AND(Table1[[#This Row],[Spec Type2]]="N/A",Table1[[#This Row],[DUT Adj Read]]="N/A",Table1[[#This Row],[Std Adj Read]]="N/A"),"N/A",IF(Table1[[#This Row],[DUT Adj Read]]="N/A",IF(Table1[[#This Row],[Std Adj Read]]&gt;Table1[[#This Row],[Low Tol]],"Pass","Fail"),IF(Table1[[#This Row],[DUT Adj Read]]&gt;Table1[[#This Row],[Low Tol]],"Pass","Fail")))</f>
        <v>Pass</v>
      </c>
      <c r="AE1177" s="1" t="str">
        <f>IF(AND(Table1[[#This Row],[Spec Type2]]="N/A",Table1[[#This Row],[DUT Adj Read]]="N/A",Table1[[#This Row],[Std Adj Read]]="N/A"),"N/A",IF(Table1[[#This Row],[DUT Adj Read]]="N/A",IF(Table1[[#This Row],[Std Adj Read]]&lt;Table1[[#This Row],[High Tol]],"Pass","Fail"),IF(Table1[[#This Row],[DUT Adj Read]]&lt;Table1[[#This Row],[High Tol]],"Pass","Fail")))</f>
        <v>Fail</v>
      </c>
      <c r="AF1177" s="1" t="str">
        <f>IF(AND(Table1[[#This Row],[Spec Type2]]="N/A",Table1[[#This Row],[DUT Adj Read]]="N/A",Table1[[#This Row],[Std Adj Read]]="N/A"),"N/A",IF(Table1[[#This Row],[DUT Adj Read]]="N/A",IF(Table1[[#This Row],[Std Adj Read]]&gt;=Table1[[#This Row],[Low Tol]],"Pass","Fail"),IF(Table1[[#This Row],[DUT Adj Read]]&gt;=Table1[[#This Row],[Low Tol]],"Pass","Fail")))</f>
        <v>Pass</v>
      </c>
      <c r="AG1177" s="1" t="str">
        <f>IF(AND(Table1[[#This Row],[Spec Type2]]="N/A",Table1[[#This Row],[DUT Adj Read]]="N/A",Table1[[#This Row],[Std Adj Read]]="N/A"),"N/A",IF(Table1[[#This Row],[DUT Adj Read]]="N/A",IF(Table1[[#This Row],[Std Adj Read]]&lt;=Table1[[#This Row],[High Tol]],"Pass","Fail"),IF(Table1[[#This Row],[DUT Adj Read]]&lt;=Table1[[#This Row],[High Tol]],"Pass","Fail")))</f>
        <v>Fail</v>
      </c>
      <c r="AH11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7" s="1" t="b">
        <v>0</v>
      </c>
      <c r="AN1177" s="1" t="b">
        <v>0</v>
      </c>
      <c r="AO1177" s="1" t="b">
        <v>0</v>
      </c>
    </row>
    <row r="1178" spans="1:41" x14ac:dyDescent="0.25">
      <c r="A1178" s="10"/>
      <c r="B1178" s="10"/>
      <c r="C1178" s="10"/>
      <c r="D1178" s="10"/>
      <c r="E1178" s="10"/>
      <c r="F1178" s="10"/>
      <c r="G1178" s="10"/>
      <c r="H1178" s="10"/>
      <c r="I1178" s="1" t="str">
        <f t="shared" si="54"/>
        <v/>
      </c>
      <c r="J1178" s="1" t="s">
        <v>35</v>
      </c>
      <c r="K1178" s="1" t="str">
        <f t="shared" si="55"/>
        <v/>
      </c>
      <c r="L1178" s="1" t="str">
        <f t="shared" si="56"/>
        <v/>
      </c>
      <c r="M1178" s="1">
        <f>IF(OR(Table1[[#This Row],[Std Nom]]="",Table1[[#This Row],[Std Read]]=""),0,Table1[[#This Row],[Std Nom]]-Table1[[#This Row],[Std Read]])</f>
        <v>0</v>
      </c>
      <c r="N1178" s="1">
        <f>IF(Calculations!$F$5="ACCREDITED 17025 WITH UNCERTAINTIES",$N$10,0)</f>
        <v>0</v>
      </c>
      <c r="Q1178" s="1">
        <f>Table1[[#This Row],[High Tol]]-Table1[[#This Row],[Low Tol]]</f>
        <v>0</v>
      </c>
      <c r="R1178" s="1">
        <f>2*Table1[[#This Row],[Std Error]]</f>
        <v>0</v>
      </c>
      <c r="S1178" s="1" t="str">
        <f>IF(Table1[[#This Row],[High Tol]]="","N/A",IFERROR(ABS(Table1[[#This Row],[Tol Span]]/Table1[[#This Row],[Error Span]]),"N/A"))</f>
        <v>N/A</v>
      </c>
      <c r="T1178" s="1" t="str">
        <f>IF(OR(Table1[[#This Row],[Low Tol]]="",Table1[[#This Row],[High Tol]]=""),"Needs Analysis",IF(Table1[[#This Row],[Ratio]]&gt;=4,"Not Significant",IF(Table1[[#This Row],[Ratio]]&gt;=2,"Semi-Significant","Significant")))</f>
        <v>Needs Analysis</v>
      </c>
      <c r="W1178" s="1">
        <f>IF(Table1[[#This Row],[Cal Type]]&lt;&gt;"ACCREDITED 17025 WITH UNCERTAINTIES",0,"")</f>
        <v>0</v>
      </c>
      <c r="X1178" s="1" t="str">
        <f>IF(Table1[[#This Row],[DUT Read]]="","N/A",Table1[[#This Row],[Std Error]]+Table1[[#This Row],[DUT Read]]+Table1[[#This Row],[DUT Ucty]])</f>
        <v>N/A</v>
      </c>
      <c r="Y1178" s="1" t="str">
        <f>IF(Table1[[#This Row],[Std Read]]="","N/A",Table1[[#This Row],[Std Read]]+Table1[[#This Row],[Std Ucty]])</f>
        <v>N/A</v>
      </c>
      <c r="Z11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8" s="1" t="str">
        <f>IF(Table1[[#This Row],[Spec Type]]="","N/A",Table1[[#This Row],[Spec Type]])</f>
        <v>±</v>
      </c>
      <c r="AC1178" s="1" t="str">
        <f>IF(Table1[[#This Row],[Spec Type2]]="N/A","N/A",IF(AND(Table1[[#This Row],[DUT Adj Read]]&gt;=Table1[[#This Row],[Low Tol]],Table1[[#This Row],[DUT Adj Read]]&lt;=Table1[[#This Row],[High Tol]]),"Pass","Fail"))</f>
        <v>Fail</v>
      </c>
      <c r="AD1178" s="1" t="str">
        <f>IF(AND(Table1[[#This Row],[Spec Type2]]="N/A",Table1[[#This Row],[DUT Adj Read]]="N/A",Table1[[#This Row],[Std Adj Read]]="N/A"),"N/A",IF(Table1[[#This Row],[DUT Adj Read]]="N/A",IF(Table1[[#This Row],[Std Adj Read]]&gt;Table1[[#This Row],[Low Tol]],"Pass","Fail"),IF(Table1[[#This Row],[DUT Adj Read]]&gt;Table1[[#This Row],[Low Tol]],"Pass","Fail")))</f>
        <v>Pass</v>
      </c>
      <c r="AE1178" s="1" t="str">
        <f>IF(AND(Table1[[#This Row],[Spec Type2]]="N/A",Table1[[#This Row],[DUT Adj Read]]="N/A",Table1[[#This Row],[Std Adj Read]]="N/A"),"N/A",IF(Table1[[#This Row],[DUT Adj Read]]="N/A",IF(Table1[[#This Row],[Std Adj Read]]&lt;Table1[[#This Row],[High Tol]],"Pass","Fail"),IF(Table1[[#This Row],[DUT Adj Read]]&lt;Table1[[#This Row],[High Tol]],"Pass","Fail")))</f>
        <v>Fail</v>
      </c>
      <c r="AF1178" s="1" t="str">
        <f>IF(AND(Table1[[#This Row],[Spec Type2]]="N/A",Table1[[#This Row],[DUT Adj Read]]="N/A",Table1[[#This Row],[Std Adj Read]]="N/A"),"N/A",IF(Table1[[#This Row],[DUT Adj Read]]="N/A",IF(Table1[[#This Row],[Std Adj Read]]&gt;=Table1[[#This Row],[Low Tol]],"Pass","Fail"),IF(Table1[[#This Row],[DUT Adj Read]]&gt;=Table1[[#This Row],[Low Tol]],"Pass","Fail")))</f>
        <v>Pass</v>
      </c>
      <c r="AG1178" s="1" t="str">
        <f>IF(AND(Table1[[#This Row],[Spec Type2]]="N/A",Table1[[#This Row],[DUT Adj Read]]="N/A",Table1[[#This Row],[Std Adj Read]]="N/A"),"N/A",IF(Table1[[#This Row],[DUT Adj Read]]="N/A",IF(Table1[[#This Row],[Std Adj Read]]&lt;=Table1[[#This Row],[High Tol]],"Pass","Fail"),IF(Table1[[#This Row],[DUT Adj Read]]&lt;=Table1[[#This Row],[High Tol]],"Pass","Fail")))</f>
        <v>Fail</v>
      </c>
      <c r="AH11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8" s="1" t="b">
        <v>0</v>
      </c>
      <c r="AN1178" s="1" t="b">
        <v>0</v>
      </c>
      <c r="AO1178" s="1" t="b">
        <v>0</v>
      </c>
    </row>
    <row r="1179" spans="1:41" x14ac:dyDescent="0.25">
      <c r="A1179" s="10"/>
      <c r="B1179" s="10"/>
      <c r="C1179" s="10"/>
      <c r="D1179" s="10"/>
      <c r="E1179" s="10"/>
      <c r="F1179" s="10"/>
      <c r="G1179" s="10"/>
      <c r="H1179" s="10"/>
      <c r="I1179" s="1" t="str">
        <f t="shared" si="54"/>
        <v/>
      </c>
      <c r="J1179" s="1" t="s">
        <v>35</v>
      </c>
      <c r="K1179" s="1" t="str">
        <f t="shared" si="55"/>
        <v/>
      </c>
      <c r="L1179" s="1" t="str">
        <f t="shared" si="56"/>
        <v/>
      </c>
      <c r="M1179" s="1">
        <f>IF(OR(Table1[[#This Row],[Std Nom]]="",Table1[[#This Row],[Std Read]]=""),0,Table1[[#This Row],[Std Nom]]-Table1[[#This Row],[Std Read]])</f>
        <v>0</v>
      </c>
      <c r="N1179" s="1">
        <f>IF(Calculations!$F$5="ACCREDITED 17025 WITH UNCERTAINTIES",$N$10,0)</f>
        <v>0</v>
      </c>
      <c r="Q1179" s="1">
        <f>Table1[[#This Row],[High Tol]]-Table1[[#This Row],[Low Tol]]</f>
        <v>0</v>
      </c>
      <c r="R1179" s="1">
        <f>2*Table1[[#This Row],[Std Error]]</f>
        <v>0</v>
      </c>
      <c r="S1179" s="1" t="str">
        <f>IF(Table1[[#This Row],[High Tol]]="","N/A",IFERROR(ABS(Table1[[#This Row],[Tol Span]]/Table1[[#This Row],[Error Span]]),"N/A"))</f>
        <v>N/A</v>
      </c>
      <c r="T1179" s="1" t="str">
        <f>IF(OR(Table1[[#This Row],[Low Tol]]="",Table1[[#This Row],[High Tol]]=""),"Needs Analysis",IF(Table1[[#This Row],[Ratio]]&gt;=4,"Not Significant",IF(Table1[[#This Row],[Ratio]]&gt;=2,"Semi-Significant","Significant")))</f>
        <v>Needs Analysis</v>
      </c>
      <c r="W1179" s="1">
        <f>IF(Table1[[#This Row],[Cal Type]]&lt;&gt;"ACCREDITED 17025 WITH UNCERTAINTIES",0,"")</f>
        <v>0</v>
      </c>
      <c r="X1179" s="1" t="str">
        <f>IF(Table1[[#This Row],[DUT Read]]="","N/A",Table1[[#This Row],[Std Error]]+Table1[[#This Row],[DUT Read]]+Table1[[#This Row],[DUT Ucty]])</f>
        <v>N/A</v>
      </c>
      <c r="Y1179" s="1" t="str">
        <f>IF(Table1[[#This Row],[Std Read]]="","N/A",Table1[[#This Row],[Std Read]]+Table1[[#This Row],[Std Ucty]])</f>
        <v>N/A</v>
      </c>
      <c r="Z11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79" s="1" t="str">
        <f>IF(Table1[[#This Row],[Spec Type]]="","N/A",Table1[[#This Row],[Spec Type]])</f>
        <v>±</v>
      </c>
      <c r="AC1179" s="1" t="str">
        <f>IF(Table1[[#This Row],[Spec Type2]]="N/A","N/A",IF(AND(Table1[[#This Row],[DUT Adj Read]]&gt;=Table1[[#This Row],[Low Tol]],Table1[[#This Row],[DUT Adj Read]]&lt;=Table1[[#This Row],[High Tol]]),"Pass","Fail"))</f>
        <v>Fail</v>
      </c>
      <c r="AD1179" s="1" t="str">
        <f>IF(AND(Table1[[#This Row],[Spec Type2]]="N/A",Table1[[#This Row],[DUT Adj Read]]="N/A",Table1[[#This Row],[Std Adj Read]]="N/A"),"N/A",IF(Table1[[#This Row],[DUT Adj Read]]="N/A",IF(Table1[[#This Row],[Std Adj Read]]&gt;Table1[[#This Row],[Low Tol]],"Pass","Fail"),IF(Table1[[#This Row],[DUT Adj Read]]&gt;Table1[[#This Row],[Low Tol]],"Pass","Fail")))</f>
        <v>Pass</v>
      </c>
      <c r="AE1179" s="1" t="str">
        <f>IF(AND(Table1[[#This Row],[Spec Type2]]="N/A",Table1[[#This Row],[DUT Adj Read]]="N/A",Table1[[#This Row],[Std Adj Read]]="N/A"),"N/A",IF(Table1[[#This Row],[DUT Adj Read]]="N/A",IF(Table1[[#This Row],[Std Adj Read]]&lt;Table1[[#This Row],[High Tol]],"Pass","Fail"),IF(Table1[[#This Row],[DUT Adj Read]]&lt;Table1[[#This Row],[High Tol]],"Pass","Fail")))</f>
        <v>Fail</v>
      </c>
      <c r="AF1179" s="1" t="str">
        <f>IF(AND(Table1[[#This Row],[Spec Type2]]="N/A",Table1[[#This Row],[DUT Adj Read]]="N/A",Table1[[#This Row],[Std Adj Read]]="N/A"),"N/A",IF(Table1[[#This Row],[DUT Adj Read]]="N/A",IF(Table1[[#This Row],[Std Adj Read]]&gt;=Table1[[#This Row],[Low Tol]],"Pass","Fail"),IF(Table1[[#This Row],[DUT Adj Read]]&gt;=Table1[[#This Row],[Low Tol]],"Pass","Fail")))</f>
        <v>Pass</v>
      </c>
      <c r="AG1179" s="1" t="str">
        <f>IF(AND(Table1[[#This Row],[Spec Type2]]="N/A",Table1[[#This Row],[DUT Adj Read]]="N/A",Table1[[#This Row],[Std Adj Read]]="N/A"),"N/A",IF(Table1[[#This Row],[DUT Adj Read]]="N/A",IF(Table1[[#This Row],[Std Adj Read]]&lt;=Table1[[#This Row],[High Tol]],"Pass","Fail"),IF(Table1[[#This Row],[DUT Adj Read]]&lt;=Table1[[#This Row],[High Tol]],"Pass","Fail")))</f>
        <v>Fail</v>
      </c>
      <c r="AH11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79" s="1" t="b">
        <v>0</v>
      </c>
      <c r="AN1179" s="1" t="b">
        <v>0</v>
      </c>
      <c r="AO1179" s="1" t="b">
        <v>0</v>
      </c>
    </row>
    <row r="1180" spans="1:41" x14ac:dyDescent="0.25">
      <c r="A1180" s="10"/>
      <c r="B1180" s="10"/>
      <c r="C1180" s="10"/>
      <c r="D1180" s="10"/>
      <c r="E1180" s="10"/>
      <c r="F1180" s="10"/>
      <c r="G1180" s="10"/>
      <c r="H1180" s="10"/>
      <c r="I1180" s="1" t="str">
        <f t="shared" si="54"/>
        <v/>
      </c>
      <c r="J1180" s="1" t="s">
        <v>35</v>
      </c>
      <c r="K1180" s="1" t="str">
        <f t="shared" si="55"/>
        <v/>
      </c>
      <c r="L1180" s="1" t="str">
        <f t="shared" si="56"/>
        <v/>
      </c>
      <c r="M1180" s="1">
        <f>IF(OR(Table1[[#This Row],[Std Nom]]="",Table1[[#This Row],[Std Read]]=""),0,Table1[[#This Row],[Std Nom]]-Table1[[#This Row],[Std Read]])</f>
        <v>0</v>
      </c>
      <c r="N1180" s="1">
        <f>IF(Calculations!$F$5="ACCREDITED 17025 WITH UNCERTAINTIES",$N$10,0)</f>
        <v>0</v>
      </c>
      <c r="Q1180" s="1">
        <f>Table1[[#This Row],[High Tol]]-Table1[[#This Row],[Low Tol]]</f>
        <v>0</v>
      </c>
      <c r="R1180" s="1">
        <f>2*Table1[[#This Row],[Std Error]]</f>
        <v>0</v>
      </c>
      <c r="S1180" s="1" t="str">
        <f>IF(Table1[[#This Row],[High Tol]]="","N/A",IFERROR(ABS(Table1[[#This Row],[Tol Span]]/Table1[[#This Row],[Error Span]]),"N/A"))</f>
        <v>N/A</v>
      </c>
      <c r="T1180" s="1" t="str">
        <f>IF(OR(Table1[[#This Row],[Low Tol]]="",Table1[[#This Row],[High Tol]]=""),"Needs Analysis",IF(Table1[[#This Row],[Ratio]]&gt;=4,"Not Significant",IF(Table1[[#This Row],[Ratio]]&gt;=2,"Semi-Significant","Significant")))</f>
        <v>Needs Analysis</v>
      </c>
      <c r="W1180" s="1">
        <f>IF(Table1[[#This Row],[Cal Type]]&lt;&gt;"ACCREDITED 17025 WITH UNCERTAINTIES",0,"")</f>
        <v>0</v>
      </c>
      <c r="X1180" s="1" t="str">
        <f>IF(Table1[[#This Row],[DUT Read]]="","N/A",Table1[[#This Row],[Std Error]]+Table1[[#This Row],[DUT Read]]+Table1[[#This Row],[DUT Ucty]])</f>
        <v>N/A</v>
      </c>
      <c r="Y1180" s="1" t="str">
        <f>IF(Table1[[#This Row],[Std Read]]="","N/A",Table1[[#This Row],[Std Read]]+Table1[[#This Row],[Std Ucty]])</f>
        <v>N/A</v>
      </c>
      <c r="Z11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0" s="1" t="str">
        <f>IF(Table1[[#This Row],[Spec Type]]="","N/A",Table1[[#This Row],[Spec Type]])</f>
        <v>±</v>
      </c>
      <c r="AC1180" s="1" t="str">
        <f>IF(Table1[[#This Row],[Spec Type2]]="N/A","N/A",IF(AND(Table1[[#This Row],[DUT Adj Read]]&gt;=Table1[[#This Row],[Low Tol]],Table1[[#This Row],[DUT Adj Read]]&lt;=Table1[[#This Row],[High Tol]]),"Pass","Fail"))</f>
        <v>Fail</v>
      </c>
      <c r="AD1180" s="1" t="str">
        <f>IF(AND(Table1[[#This Row],[Spec Type2]]="N/A",Table1[[#This Row],[DUT Adj Read]]="N/A",Table1[[#This Row],[Std Adj Read]]="N/A"),"N/A",IF(Table1[[#This Row],[DUT Adj Read]]="N/A",IF(Table1[[#This Row],[Std Adj Read]]&gt;Table1[[#This Row],[Low Tol]],"Pass","Fail"),IF(Table1[[#This Row],[DUT Adj Read]]&gt;Table1[[#This Row],[Low Tol]],"Pass","Fail")))</f>
        <v>Pass</v>
      </c>
      <c r="AE1180" s="1" t="str">
        <f>IF(AND(Table1[[#This Row],[Spec Type2]]="N/A",Table1[[#This Row],[DUT Adj Read]]="N/A",Table1[[#This Row],[Std Adj Read]]="N/A"),"N/A",IF(Table1[[#This Row],[DUT Adj Read]]="N/A",IF(Table1[[#This Row],[Std Adj Read]]&lt;Table1[[#This Row],[High Tol]],"Pass","Fail"),IF(Table1[[#This Row],[DUT Adj Read]]&lt;Table1[[#This Row],[High Tol]],"Pass","Fail")))</f>
        <v>Fail</v>
      </c>
      <c r="AF1180" s="1" t="str">
        <f>IF(AND(Table1[[#This Row],[Spec Type2]]="N/A",Table1[[#This Row],[DUT Adj Read]]="N/A",Table1[[#This Row],[Std Adj Read]]="N/A"),"N/A",IF(Table1[[#This Row],[DUT Adj Read]]="N/A",IF(Table1[[#This Row],[Std Adj Read]]&gt;=Table1[[#This Row],[Low Tol]],"Pass","Fail"),IF(Table1[[#This Row],[DUT Adj Read]]&gt;=Table1[[#This Row],[Low Tol]],"Pass","Fail")))</f>
        <v>Pass</v>
      </c>
      <c r="AG1180" s="1" t="str">
        <f>IF(AND(Table1[[#This Row],[Spec Type2]]="N/A",Table1[[#This Row],[DUT Adj Read]]="N/A",Table1[[#This Row],[Std Adj Read]]="N/A"),"N/A",IF(Table1[[#This Row],[DUT Adj Read]]="N/A",IF(Table1[[#This Row],[Std Adj Read]]&lt;=Table1[[#This Row],[High Tol]],"Pass","Fail"),IF(Table1[[#This Row],[DUT Adj Read]]&lt;=Table1[[#This Row],[High Tol]],"Pass","Fail")))</f>
        <v>Fail</v>
      </c>
      <c r="AH11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0" s="1" t="b">
        <v>0</v>
      </c>
      <c r="AN1180" s="1" t="b">
        <v>0</v>
      </c>
      <c r="AO1180" s="1" t="b">
        <v>0</v>
      </c>
    </row>
    <row r="1181" spans="1:41" x14ac:dyDescent="0.25">
      <c r="A1181" s="10"/>
      <c r="B1181" s="10"/>
      <c r="C1181" s="10"/>
      <c r="D1181" s="10"/>
      <c r="E1181" s="10"/>
      <c r="F1181" s="10"/>
      <c r="G1181" s="10"/>
      <c r="H1181" s="10"/>
      <c r="I1181" s="1" t="str">
        <f t="shared" si="54"/>
        <v/>
      </c>
      <c r="J1181" s="1" t="s">
        <v>35</v>
      </c>
      <c r="K1181" s="1" t="str">
        <f t="shared" si="55"/>
        <v/>
      </c>
      <c r="L1181" s="1" t="str">
        <f t="shared" si="56"/>
        <v/>
      </c>
      <c r="M1181" s="1">
        <f>IF(OR(Table1[[#This Row],[Std Nom]]="",Table1[[#This Row],[Std Read]]=""),0,Table1[[#This Row],[Std Nom]]-Table1[[#This Row],[Std Read]])</f>
        <v>0</v>
      </c>
      <c r="N1181" s="1">
        <f>IF(Calculations!$F$5="ACCREDITED 17025 WITH UNCERTAINTIES",$N$10,0)</f>
        <v>0</v>
      </c>
      <c r="Q1181" s="1">
        <f>Table1[[#This Row],[High Tol]]-Table1[[#This Row],[Low Tol]]</f>
        <v>0</v>
      </c>
      <c r="R1181" s="1">
        <f>2*Table1[[#This Row],[Std Error]]</f>
        <v>0</v>
      </c>
      <c r="S1181" s="1" t="str">
        <f>IF(Table1[[#This Row],[High Tol]]="","N/A",IFERROR(ABS(Table1[[#This Row],[Tol Span]]/Table1[[#This Row],[Error Span]]),"N/A"))</f>
        <v>N/A</v>
      </c>
      <c r="T1181" s="1" t="str">
        <f>IF(OR(Table1[[#This Row],[Low Tol]]="",Table1[[#This Row],[High Tol]]=""),"Needs Analysis",IF(Table1[[#This Row],[Ratio]]&gt;=4,"Not Significant",IF(Table1[[#This Row],[Ratio]]&gt;=2,"Semi-Significant","Significant")))</f>
        <v>Needs Analysis</v>
      </c>
      <c r="W1181" s="1">
        <f>IF(Table1[[#This Row],[Cal Type]]&lt;&gt;"ACCREDITED 17025 WITH UNCERTAINTIES",0,"")</f>
        <v>0</v>
      </c>
      <c r="X1181" s="1" t="str">
        <f>IF(Table1[[#This Row],[DUT Read]]="","N/A",Table1[[#This Row],[Std Error]]+Table1[[#This Row],[DUT Read]]+Table1[[#This Row],[DUT Ucty]])</f>
        <v>N/A</v>
      </c>
      <c r="Y1181" s="1" t="str">
        <f>IF(Table1[[#This Row],[Std Read]]="","N/A",Table1[[#This Row],[Std Read]]+Table1[[#This Row],[Std Ucty]])</f>
        <v>N/A</v>
      </c>
      <c r="Z11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1" s="1" t="str">
        <f>IF(Table1[[#This Row],[Spec Type]]="","N/A",Table1[[#This Row],[Spec Type]])</f>
        <v>±</v>
      </c>
      <c r="AC1181" s="1" t="str">
        <f>IF(Table1[[#This Row],[Spec Type2]]="N/A","N/A",IF(AND(Table1[[#This Row],[DUT Adj Read]]&gt;=Table1[[#This Row],[Low Tol]],Table1[[#This Row],[DUT Adj Read]]&lt;=Table1[[#This Row],[High Tol]]),"Pass","Fail"))</f>
        <v>Fail</v>
      </c>
      <c r="AD1181" s="1" t="str">
        <f>IF(AND(Table1[[#This Row],[Spec Type2]]="N/A",Table1[[#This Row],[DUT Adj Read]]="N/A",Table1[[#This Row],[Std Adj Read]]="N/A"),"N/A",IF(Table1[[#This Row],[DUT Adj Read]]="N/A",IF(Table1[[#This Row],[Std Adj Read]]&gt;Table1[[#This Row],[Low Tol]],"Pass","Fail"),IF(Table1[[#This Row],[DUT Adj Read]]&gt;Table1[[#This Row],[Low Tol]],"Pass","Fail")))</f>
        <v>Pass</v>
      </c>
      <c r="AE1181" s="1" t="str">
        <f>IF(AND(Table1[[#This Row],[Spec Type2]]="N/A",Table1[[#This Row],[DUT Adj Read]]="N/A",Table1[[#This Row],[Std Adj Read]]="N/A"),"N/A",IF(Table1[[#This Row],[DUT Adj Read]]="N/A",IF(Table1[[#This Row],[Std Adj Read]]&lt;Table1[[#This Row],[High Tol]],"Pass","Fail"),IF(Table1[[#This Row],[DUT Adj Read]]&lt;Table1[[#This Row],[High Tol]],"Pass","Fail")))</f>
        <v>Fail</v>
      </c>
      <c r="AF1181" s="1" t="str">
        <f>IF(AND(Table1[[#This Row],[Spec Type2]]="N/A",Table1[[#This Row],[DUT Adj Read]]="N/A",Table1[[#This Row],[Std Adj Read]]="N/A"),"N/A",IF(Table1[[#This Row],[DUT Adj Read]]="N/A",IF(Table1[[#This Row],[Std Adj Read]]&gt;=Table1[[#This Row],[Low Tol]],"Pass","Fail"),IF(Table1[[#This Row],[DUT Adj Read]]&gt;=Table1[[#This Row],[Low Tol]],"Pass","Fail")))</f>
        <v>Pass</v>
      </c>
      <c r="AG1181" s="1" t="str">
        <f>IF(AND(Table1[[#This Row],[Spec Type2]]="N/A",Table1[[#This Row],[DUT Adj Read]]="N/A",Table1[[#This Row],[Std Adj Read]]="N/A"),"N/A",IF(Table1[[#This Row],[DUT Adj Read]]="N/A",IF(Table1[[#This Row],[Std Adj Read]]&lt;=Table1[[#This Row],[High Tol]],"Pass","Fail"),IF(Table1[[#This Row],[DUT Adj Read]]&lt;=Table1[[#This Row],[High Tol]],"Pass","Fail")))</f>
        <v>Fail</v>
      </c>
      <c r="AH11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1" s="1" t="b">
        <v>0</v>
      </c>
      <c r="AN1181" s="1" t="b">
        <v>0</v>
      </c>
      <c r="AO1181" s="1" t="b">
        <v>0</v>
      </c>
    </row>
    <row r="1182" spans="1:41" x14ac:dyDescent="0.25">
      <c r="A1182" s="10"/>
      <c r="B1182" s="10"/>
      <c r="C1182" s="10"/>
      <c r="D1182" s="10"/>
      <c r="E1182" s="10"/>
      <c r="F1182" s="10"/>
      <c r="G1182" s="10"/>
      <c r="H1182" s="10"/>
      <c r="I1182" s="1" t="str">
        <f t="shared" si="54"/>
        <v/>
      </c>
      <c r="J1182" s="1" t="s">
        <v>35</v>
      </c>
      <c r="K1182" s="1" t="str">
        <f t="shared" si="55"/>
        <v/>
      </c>
      <c r="L1182" s="1" t="str">
        <f t="shared" si="56"/>
        <v/>
      </c>
      <c r="M1182" s="1">
        <f>IF(OR(Table1[[#This Row],[Std Nom]]="",Table1[[#This Row],[Std Read]]=""),0,Table1[[#This Row],[Std Nom]]-Table1[[#This Row],[Std Read]])</f>
        <v>0</v>
      </c>
      <c r="N1182" s="1">
        <f>IF(Calculations!$F$5="ACCREDITED 17025 WITH UNCERTAINTIES",$N$10,0)</f>
        <v>0</v>
      </c>
      <c r="Q1182" s="1">
        <f>Table1[[#This Row],[High Tol]]-Table1[[#This Row],[Low Tol]]</f>
        <v>0</v>
      </c>
      <c r="R1182" s="1">
        <f>2*Table1[[#This Row],[Std Error]]</f>
        <v>0</v>
      </c>
      <c r="S1182" s="1" t="str">
        <f>IF(Table1[[#This Row],[High Tol]]="","N/A",IFERROR(ABS(Table1[[#This Row],[Tol Span]]/Table1[[#This Row],[Error Span]]),"N/A"))</f>
        <v>N/A</v>
      </c>
      <c r="T1182" s="1" t="str">
        <f>IF(OR(Table1[[#This Row],[Low Tol]]="",Table1[[#This Row],[High Tol]]=""),"Needs Analysis",IF(Table1[[#This Row],[Ratio]]&gt;=4,"Not Significant",IF(Table1[[#This Row],[Ratio]]&gt;=2,"Semi-Significant","Significant")))</f>
        <v>Needs Analysis</v>
      </c>
      <c r="W1182" s="1">
        <f>IF(Table1[[#This Row],[Cal Type]]&lt;&gt;"ACCREDITED 17025 WITH UNCERTAINTIES",0,"")</f>
        <v>0</v>
      </c>
      <c r="X1182" s="1" t="str">
        <f>IF(Table1[[#This Row],[DUT Read]]="","N/A",Table1[[#This Row],[Std Error]]+Table1[[#This Row],[DUT Read]]+Table1[[#This Row],[DUT Ucty]])</f>
        <v>N/A</v>
      </c>
      <c r="Y1182" s="1" t="str">
        <f>IF(Table1[[#This Row],[Std Read]]="","N/A",Table1[[#This Row],[Std Read]]+Table1[[#This Row],[Std Ucty]])</f>
        <v>N/A</v>
      </c>
      <c r="Z11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2" s="1" t="str">
        <f>IF(Table1[[#This Row],[Spec Type]]="","N/A",Table1[[#This Row],[Spec Type]])</f>
        <v>±</v>
      </c>
      <c r="AC1182" s="1" t="str">
        <f>IF(Table1[[#This Row],[Spec Type2]]="N/A","N/A",IF(AND(Table1[[#This Row],[DUT Adj Read]]&gt;=Table1[[#This Row],[Low Tol]],Table1[[#This Row],[DUT Adj Read]]&lt;=Table1[[#This Row],[High Tol]]),"Pass","Fail"))</f>
        <v>Fail</v>
      </c>
      <c r="AD1182" s="1" t="str">
        <f>IF(AND(Table1[[#This Row],[Spec Type2]]="N/A",Table1[[#This Row],[DUT Adj Read]]="N/A",Table1[[#This Row],[Std Adj Read]]="N/A"),"N/A",IF(Table1[[#This Row],[DUT Adj Read]]="N/A",IF(Table1[[#This Row],[Std Adj Read]]&gt;Table1[[#This Row],[Low Tol]],"Pass","Fail"),IF(Table1[[#This Row],[DUT Adj Read]]&gt;Table1[[#This Row],[Low Tol]],"Pass","Fail")))</f>
        <v>Pass</v>
      </c>
      <c r="AE1182" s="1" t="str">
        <f>IF(AND(Table1[[#This Row],[Spec Type2]]="N/A",Table1[[#This Row],[DUT Adj Read]]="N/A",Table1[[#This Row],[Std Adj Read]]="N/A"),"N/A",IF(Table1[[#This Row],[DUT Adj Read]]="N/A",IF(Table1[[#This Row],[Std Adj Read]]&lt;Table1[[#This Row],[High Tol]],"Pass","Fail"),IF(Table1[[#This Row],[DUT Adj Read]]&lt;Table1[[#This Row],[High Tol]],"Pass","Fail")))</f>
        <v>Fail</v>
      </c>
      <c r="AF1182" s="1" t="str">
        <f>IF(AND(Table1[[#This Row],[Spec Type2]]="N/A",Table1[[#This Row],[DUT Adj Read]]="N/A",Table1[[#This Row],[Std Adj Read]]="N/A"),"N/A",IF(Table1[[#This Row],[DUT Adj Read]]="N/A",IF(Table1[[#This Row],[Std Adj Read]]&gt;=Table1[[#This Row],[Low Tol]],"Pass","Fail"),IF(Table1[[#This Row],[DUT Adj Read]]&gt;=Table1[[#This Row],[Low Tol]],"Pass","Fail")))</f>
        <v>Pass</v>
      </c>
      <c r="AG1182" s="1" t="str">
        <f>IF(AND(Table1[[#This Row],[Spec Type2]]="N/A",Table1[[#This Row],[DUT Adj Read]]="N/A",Table1[[#This Row],[Std Adj Read]]="N/A"),"N/A",IF(Table1[[#This Row],[DUT Adj Read]]="N/A",IF(Table1[[#This Row],[Std Adj Read]]&lt;=Table1[[#This Row],[High Tol]],"Pass","Fail"),IF(Table1[[#This Row],[DUT Adj Read]]&lt;=Table1[[#This Row],[High Tol]],"Pass","Fail")))</f>
        <v>Fail</v>
      </c>
      <c r="AH11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2" s="1" t="b">
        <v>0</v>
      </c>
      <c r="AN1182" s="1" t="b">
        <v>0</v>
      </c>
      <c r="AO1182" s="1" t="b">
        <v>0</v>
      </c>
    </row>
    <row r="1183" spans="1:41" x14ac:dyDescent="0.25">
      <c r="A1183" s="10"/>
      <c r="B1183" s="10"/>
      <c r="C1183" s="10"/>
      <c r="D1183" s="10"/>
      <c r="E1183" s="10"/>
      <c r="F1183" s="10"/>
      <c r="G1183" s="10"/>
      <c r="H1183" s="10"/>
      <c r="I1183" s="1" t="str">
        <f t="shared" si="54"/>
        <v/>
      </c>
      <c r="J1183" s="1" t="s">
        <v>35</v>
      </c>
      <c r="K1183" s="1" t="str">
        <f t="shared" si="55"/>
        <v/>
      </c>
      <c r="L1183" s="1" t="str">
        <f t="shared" si="56"/>
        <v/>
      </c>
      <c r="M1183" s="1">
        <f>IF(OR(Table1[[#This Row],[Std Nom]]="",Table1[[#This Row],[Std Read]]=""),0,Table1[[#This Row],[Std Nom]]-Table1[[#This Row],[Std Read]])</f>
        <v>0</v>
      </c>
      <c r="N1183" s="1">
        <f>IF(Calculations!$F$5="ACCREDITED 17025 WITH UNCERTAINTIES",$N$10,0)</f>
        <v>0</v>
      </c>
      <c r="Q1183" s="1">
        <f>Table1[[#This Row],[High Tol]]-Table1[[#This Row],[Low Tol]]</f>
        <v>0</v>
      </c>
      <c r="R1183" s="1">
        <f>2*Table1[[#This Row],[Std Error]]</f>
        <v>0</v>
      </c>
      <c r="S1183" s="1" t="str">
        <f>IF(Table1[[#This Row],[High Tol]]="","N/A",IFERROR(ABS(Table1[[#This Row],[Tol Span]]/Table1[[#This Row],[Error Span]]),"N/A"))</f>
        <v>N/A</v>
      </c>
      <c r="T1183" s="1" t="str">
        <f>IF(OR(Table1[[#This Row],[Low Tol]]="",Table1[[#This Row],[High Tol]]=""),"Needs Analysis",IF(Table1[[#This Row],[Ratio]]&gt;=4,"Not Significant",IF(Table1[[#This Row],[Ratio]]&gt;=2,"Semi-Significant","Significant")))</f>
        <v>Needs Analysis</v>
      </c>
      <c r="W1183" s="1">
        <f>IF(Table1[[#This Row],[Cal Type]]&lt;&gt;"ACCREDITED 17025 WITH UNCERTAINTIES",0,"")</f>
        <v>0</v>
      </c>
      <c r="X1183" s="1" t="str">
        <f>IF(Table1[[#This Row],[DUT Read]]="","N/A",Table1[[#This Row],[Std Error]]+Table1[[#This Row],[DUT Read]]+Table1[[#This Row],[DUT Ucty]])</f>
        <v>N/A</v>
      </c>
      <c r="Y1183" s="1" t="str">
        <f>IF(Table1[[#This Row],[Std Read]]="","N/A",Table1[[#This Row],[Std Read]]+Table1[[#This Row],[Std Ucty]])</f>
        <v>N/A</v>
      </c>
      <c r="Z11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3" s="1" t="str">
        <f>IF(Table1[[#This Row],[Spec Type]]="","N/A",Table1[[#This Row],[Spec Type]])</f>
        <v>±</v>
      </c>
      <c r="AC1183" s="1" t="str">
        <f>IF(Table1[[#This Row],[Spec Type2]]="N/A","N/A",IF(AND(Table1[[#This Row],[DUT Adj Read]]&gt;=Table1[[#This Row],[Low Tol]],Table1[[#This Row],[DUT Adj Read]]&lt;=Table1[[#This Row],[High Tol]]),"Pass","Fail"))</f>
        <v>Fail</v>
      </c>
      <c r="AD1183" s="1" t="str">
        <f>IF(AND(Table1[[#This Row],[Spec Type2]]="N/A",Table1[[#This Row],[DUT Adj Read]]="N/A",Table1[[#This Row],[Std Adj Read]]="N/A"),"N/A",IF(Table1[[#This Row],[DUT Adj Read]]="N/A",IF(Table1[[#This Row],[Std Adj Read]]&gt;Table1[[#This Row],[Low Tol]],"Pass","Fail"),IF(Table1[[#This Row],[DUT Adj Read]]&gt;Table1[[#This Row],[Low Tol]],"Pass","Fail")))</f>
        <v>Pass</v>
      </c>
      <c r="AE1183" s="1" t="str">
        <f>IF(AND(Table1[[#This Row],[Spec Type2]]="N/A",Table1[[#This Row],[DUT Adj Read]]="N/A",Table1[[#This Row],[Std Adj Read]]="N/A"),"N/A",IF(Table1[[#This Row],[DUT Adj Read]]="N/A",IF(Table1[[#This Row],[Std Adj Read]]&lt;Table1[[#This Row],[High Tol]],"Pass","Fail"),IF(Table1[[#This Row],[DUT Adj Read]]&lt;Table1[[#This Row],[High Tol]],"Pass","Fail")))</f>
        <v>Fail</v>
      </c>
      <c r="AF1183" s="1" t="str">
        <f>IF(AND(Table1[[#This Row],[Spec Type2]]="N/A",Table1[[#This Row],[DUT Adj Read]]="N/A",Table1[[#This Row],[Std Adj Read]]="N/A"),"N/A",IF(Table1[[#This Row],[DUT Adj Read]]="N/A",IF(Table1[[#This Row],[Std Adj Read]]&gt;=Table1[[#This Row],[Low Tol]],"Pass","Fail"),IF(Table1[[#This Row],[DUT Adj Read]]&gt;=Table1[[#This Row],[Low Tol]],"Pass","Fail")))</f>
        <v>Pass</v>
      </c>
      <c r="AG1183" s="1" t="str">
        <f>IF(AND(Table1[[#This Row],[Spec Type2]]="N/A",Table1[[#This Row],[DUT Adj Read]]="N/A",Table1[[#This Row],[Std Adj Read]]="N/A"),"N/A",IF(Table1[[#This Row],[DUT Adj Read]]="N/A",IF(Table1[[#This Row],[Std Adj Read]]&lt;=Table1[[#This Row],[High Tol]],"Pass","Fail"),IF(Table1[[#This Row],[DUT Adj Read]]&lt;=Table1[[#This Row],[High Tol]],"Pass","Fail")))</f>
        <v>Fail</v>
      </c>
      <c r="AH11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3" s="1" t="b">
        <v>0</v>
      </c>
      <c r="AN1183" s="1" t="b">
        <v>0</v>
      </c>
      <c r="AO1183" s="1" t="b">
        <v>0</v>
      </c>
    </row>
    <row r="1184" spans="1:41" x14ac:dyDescent="0.25">
      <c r="A1184" s="10"/>
      <c r="B1184" s="10"/>
      <c r="C1184" s="10"/>
      <c r="D1184" s="10"/>
      <c r="E1184" s="10"/>
      <c r="F1184" s="10"/>
      <c r="G1184" s="10"/>
      <c r="H1184" s="10"/>
      <c r="I1184" s="1" t="str">
        <f t="shared" si="54"/>
        <v/>
      </c>
      <c r="J1184" s="1" t="s">
        <v>35</v>
      </c>
      <c r="K1184" s="1" t="str">
        <f t="shared" si="55"/>
        <v/>
      </c>
      <c r="L1184" s="1" t="str">
        <f t="shared" si="56"/>
        <v/>
      </c>
      <c r="M1184" s="1">
        <f>IF(OR(Table1[[#This Row],[Std Nom]]="",Table1[[#This Row],[Std Read]]=""),0,Table1[[#This Row],[Std Nom]]-Table1[[#This Row],[Std Read]])</f>
        <v>0</v>
      </c>
      <c r="N1184" s="1">
        <f>IF(Calculations!$F$5="ACCREDITED 17025 WITH UNCERTAINTIES",$N$10,0)</f>
        <v>0</v>
      </c>
      <c r="Q1184" s="1">
        <f>Table1[[#This Row],[High Tol]]-Table1[[#This Row],[Low Tol]]</f>
        <v>0</v>
      </c>
      <c r="R1184" s="1">
        <f>2*Table1[[#This Row],[Std Error]]</f>
        <v>0</v>
      </c>
      <c r="S1184" s="1" t="str">
        <f>IF(Table1[[#This Row],[High Tol]]="","N/A",IFERROR(ABS(Table1[[#This Row],[Tol Span]]/Table1[[#This Row],[Error Span]]),"N/A"))</f>
        <v>N/A</v>
      </c>
      <c r="T1184" s="1" t="str">
        <f>IF(OR(Table1[[#This Row],[Low Tol]]="",Table1[[#This Row],[High Tol]]=""),"Needs Analysis",IF(Table1[[#This Row],[Ratio]]&gt;=4,"Not Significant",IF(Table1[[#This Row],[Ratio]]&gt;=2,"Semi-Significant","Significant")))</f>
        <v>Needs Analysis</v>
      </c>
      <c r="W1184" s="1">
        <f>IF(Table1[[#This Row],[Cal Type]]&lt;&gt;"ACCREDITED 17025 WITH UNCERTAINTIES",0,"")</f>
        <v>0</v>
      </c>
      <c r="X1184" s="1" t="str">
        <f>IF(Table1[[#This Row],[DUT Read]]="","N/A",Table1[[#This Row],[Std Error]]+Table1[[#This Row],[DUT Read]]+Table1[[#This Row],[DUT Ucty]])</f>
        <v>N/A</v>
      </c>
      <c r="Y1184" s="1" t="str">
        <f>IF(Table1[[#This Row],[Std Read]]="","N/A",Table1[[#This Row],[Std Read]]+Table1[[#This Row],[Std Ucty]])</f>
        <v>N/A</v>
      </c>
      <c r="Z11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4" s="1" t="str">
        <f>IF(Table1[[#This Row],[Spec Type]]="","N/A",Table1[[#This Row],[Spec Type]])</f>
        <v>±</v>
      </c>
      <c r="AC1184" s="1" t="str">
        <f>IF(Table1[[#This Row],[Spec Type2]]="N/A","N/A",IF(AND(Table1[[#This Row],[DUT Adj Read]]&gt;=Table1[[#This Row],[Low Tol]],Table1[[#This Row],[DUT Adj Read]]&lt;=Table1[[#This Row],[High Tol]]),"Pass","Fail"))</f>
        <v>Fail</v>
      </c>
      <c r="AD1184" s="1" t="str">
        <f>IF(AND(Table1[[#This Row],[Spec Type2]]="N/A",Table1[[#This Row],[DUT Adj Read]]="N/A",Table1[[#This Row],[Std Adj Read]]="N/A"),"N/A",IF(Table1[[#This Row],[DUT Adj Read]]="N/A",IF(Table1[[#This Row],[Std Adj Read]]&gt;Table1[[#This Row],[Low Tol]],"Pass","Fail"),IF(Table1[[#This Row],[DUT Adj Read]]&gt;Table1[[#This Row],[Low Tol]],"Pass","Fail")))</f>
        <v>Pass</v>
      </c>
      <c r="AE1184" s="1" t="str">
        <f>IF(AND(Table1[[#This Row],[Spec Type2]]="N/A",Table1[[#This Row],[DUT Adj Read]]="N/A",Table1[[#This Row],[Std Adj Read]]="N/A"),"N/A",IF(Table1[[#This Row],[DUT Adj Read]]="N/A",IF(Table1[[#This Row],[Std Adj Read]]&lt;Table1[[#This Row],[High Tol]],"Pass","Fail"),IF(Table1[[#This Row],[DUT Adj Read]]&lt;Table1[[#This Row],[High Tol]],"Pass","Fail")))</f>
        <v>Fail</v>
      </c>
      <c r="AF1184" s="1" t="str">
        <f>IF(AND(Table1[[#This Row],[Spec Type2]]="N/A",Table1[[#This Row],[DUT Adj Read]]="N/A",Table1[[#This Row],[Std Adj Read]]="N/A"),"N/A",IF(Table1[[#This Row],[DUT Adj Read]]="N/A",IF(Table1[[#This Row],[Std Adj Read]]&gt;=Table1[[#This Row],[Low Tol]],"Pass","Fail"),IF(Table1[[#This Row],[DUT Adj Read]]&gt;=Table1[[#This Row],[Low Tol]],"Pass","Fail")))</f>
        <v>Pass</v>
      </c>
      <c r="AG1184" s="1" t="str">
        <f>IF(AND(Table1[[#This Row],[Spec Type2]]="N/A",Table1[[#This Row],[DUT Adj Read]]="N/A",Table1[[#This Row],[Std Adj Read]]="N/A"),"N/A",IF(Table1[[#This Row],[DUT Adj Read]]="N/A",IF(Table1[[#This Row],[Std Adj Read]]&lt;=Table1[[#This Row],[High Tol]],"Pass","Fail"),IF(Table1[[#This Row],[DUT Adj Read]]&lt;=Table1[[#This Row],[High Tol]],"Pass","Fail")))</f>
        <v>Fail</v>
      </c>
      <c r="AH11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4" s="1" t="b">
        <v>0</v>
      </c>
      <c r="AN1184" s="1" t="b">
        <v>0</v>
      </c>
      <c r="AO1184" s="1" t="b">
        <v>0</v>
      </c>
    </row>
    <row r="1185" spans="1:41" x14ac:dyDescent="0.25">
      <c r="A1185" s="10"/>
      <c r="B1185" s="10"/>
      <c r="C1185" s="10"/>
      <c r="D1185" s="10"/>
      <c r="E1185" s="10"/>
      <c r="F1185" s="10"/>
      <c r="G1185" s="10"/>
      <c r="H1185" s="10"/>
      <c r="I1185" s="1" t="str">
        <f t="shared" si="54"/>
        <v/>
      </c>
      <c r="J1185" s="1" t="s">
        <v>35</v>
      </c>
      <c r="K1185" s="1" t="str">
        <f t="shared" si="55"/>
        <v/>
      </c>
      <c r="L1185" s="1" t="str">
        <f t="shared" si="56"/>
        <v/>
      </c>
      <c r="M1185" s="1">
        <f>IF(OR(Table1[[#This Row],[Std Nom]]="",Table1[[#This Row],[Std Read]]=""),0,Table1[[#This Row],[Std Nom]]-Table1[[#This Row],[Std Read]])</f>
        <v>0</v>
      </c>
      <c r="N1185" s="1">
        <f>IF(Calculations!$F$5="ACCREDITED 17025 WITH UNCERTAINTIES",$N$10,0)</f>
        <v>0</v>
      </c>
      <c r="Q1185" s="1">
        <f>Table1[[#This Row],[High Tol]]-Table1[[#This Row],[Low Tol]]</f>
        <v>0</v>
      </c>
      <c r="R1185" s="1">
        <f>2*Table1[[#This Row],[Std Error]]</f>
        <v>0</v>
      </c>
      <c r="S1185" s="1" t="str">
        <f>IF(Table1[[#This Row],[High Tol]]="","N/A",IFERROR(ABS(Table1[[#This Row],[Tol Span]]/Table1[[#This Row],[Error Span]]),"N/A"))</f>
        <v>N/A</v>
      </c>
      <c r="T1185" s="1" t="str">
        <f>IF(OR(Table1[[#This Row],[Low Tol]]="",Table1[[#This Row],[High Tol]]=""),"Needs Analysis",IF(Table1[[#This Row],[Ratio]]&gt;=4,"Not Significant",IF(Table1[[#This Row],[Ratio]]&gt;=2,"Semi-Significant","Significant")))</f>
        <v>Needs Analysis</v>
      </c>
      <c r="W1185" s="1">
        <f>IF(Table1[[#This Row],[Cal Type]]&lt;&gt;"ACCREDITED 17025 WITH UNCERTAINTIES",0,"")</f>
        <v>0</v>
      </c>
      <c r="X1185" s="1" t="str">
        <f>IF(Table1[[#This Row],[DUT Read]]="","N/A",Table1[[#This Row],[Std Error]]+Table1[[#This Row],[DUT Read]]+Table1[[#This Row],[DUT Ucty]])</f>
        <v>N/A</v>
      </c>
      <c r="Y1185" s="1" t="str">
        <f>IF(Table1[[#This Row],[Std Read]]="","N/A",Table1[[#This Row],[Std Read]]+Table1[[#This Row],[Std Ucty]])</f>
        <v>N/A</v>
      </c>
      <c r="Z11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5" s="1" t="str">
        <f>IF(Table1[[#This Row],[Spec Type]]="","N/A",Table1[[#This Row],[Spec Type]])</f>
        <v>±</v>
      </c>
      <c r="AC1185" s="1" t="str">
        <f>IF(Table1[[#This Row],[Spec Type2]]="N/A","N/A",IF(AND(Table1[[#This Row],[DUT Adj Read]]&gt;=Table1[[#This Row],[Low Tol]],Table1[[#This Row],[DUT Adj Read]]&lt;=Table1[[#This Row],[High Tol]]),"Pass","Fail"))</f>
        <v>Fail</v>
      </c>
      <c r="AD1185" s="1" t="str">
        <f>IF(AND(Table1[[#This Row],[Spec Type2]]="N/A",Table1[[#This Row],[DUT Adj Read]]="N/A",Table1[[#This Row],[Std Adj Read]]="N/A"),"N/A",IF(Table1[[#This Row],[DUT Adj Read]]="N/A",IF(Table1[[#This Row],[Std Adj Read]]&gt;Table1[[#This Row],[Low Tol]],"Pass","Fail"),IF(Table1[[#This Row],[DUT Adj Read]]&gt;Table1[[#This Row],[Low Tol]],"Pass","Fail")))</f>
        <v>Pass</v>
      </c>
      <c r="AE1185" s="1" t="str">
        <f>IF(AND(Table1[[#This Row],[Spec Type2]]="N/A",Table1[[#This Row],[DUT Adj Read]]="N/A",Table1[[#This Row],[Std Adj Read]]="N/A"),"N/A",IF(Table1[[#This Row],[DUT Adj Read]]="N/A",IF(Table1[[#This Row],[Std Adj Read]]&lt;Table1[[#This Row],[High Tol]],"Pass","Fail"),IF(Table1[[#This Row],[DUT Adj Read]]&lt;Table1[[#This Row],[High Tol]],"Pass","Fail")))</f>
        <v>Fail</v>
      </c>
      <c r="AF1185" s="1" t="str">
        <f>IF(AND(Table1[[#This Row],[Spec Type2]]="N/A",Table1[[#This Row],[DUT Adj Read]]="N/A",Table1[[#This Row],[Std Adj Read]]="N/A"),"N/A",IF(Table1[[#This Row],[DUT Adj Read]]="N/A",IF(Table1[[#This Row],[Std Adj Read]]&gt;=Table1[[#This Row],[Low Tol]],"Pass","Fail"),IF(Table1[[#This Row],[DUT Adj Read]]&gt;=Table1[[#This Row],[Low Tol]],"Pass","Fail")))</f>
        <v>Pass</v>
      </c>
      <c r="AG1185" s="1" t="str">
        <f>IF(AND(Table1[[#This Row],[Spec Type2]]="N/A",Table1[[#This Row],[DUT Adj Read]]="N/A",Table1[[#This Row],[Std Adj Read]]="N/A"),"N/A",IF(Table1[[#This Row],[DUT Adj Read]]="N/A",IF(Table1[[#This Row],[Std Adj Read]]&lt;=Table1[[#This Row],[High Tol]],"Pass","Fail"),IF(Table1[[#This Row],[DUT Adj Read]]&lt;=Table1[[#This Row],[High Tol]],"Pass","Fail")))</f>
        <v>Fail</v>
      </c>
      <c r="AH11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5" s="1" t="b">
        <v>0</v>
      </c>
      <c r="AN1185" s="1" t="b">
        <v>0</v>
      </c>
      <c r="AO1185" s="1" t="b">
        <v>0</v>
      </c>
    </row>
    <row r="1186" spans="1:41" x14ac:dyDescent="0.25">
      <c r="A1186" s="10"/>
      <c r="B1186" s="10"/>
      <c r="C1186" s="10"/>
      <c r="D1186" s="10"/>
      <c r="E1186" s="10"/>
      <c r="F1186" s="10"/>
      <c r="G1186" s="10"/>
      <c r="H1186" s="10"/>
      <c r="I1186" s="1" t="str">
        <f t="shared" si="54"/>
        <v/>
      </c>
      <c r="J1186" s="1" t="s">
        <v>35</v>
      </c>
      <c r="K1186" s="1" t="str">
        <f t="shared" si="55"/>
        <v/>
      </c>
      <c r="L1186" s="1" t="str">
        <f t="shared" si="56"/>
        <v/>
      </c>
      <c r="M1186" s="1">
        <f>IF(OR(Table1[[#This Row],[Std Nom]]="",Table1[[#This Row],[Std Read]]=""),0,Table1[[#This Row],[Std Nom]]-Table1[[#This Row],[Std Read]])</f>
        <v>0</v>
      </c>
      <c r="N1186" s="1">
        <f>IF(Calculations!$F$5="ACCREDITED 17025 WITH UNCERTAINTIES",$N$10,0)</f>
        <v>0</v>
      </c>
      <c r="Q1186" s="1">
        <f>Table1[[#This Row],[High Tol]]-Table1[[#This Row],[Low Tol]]</f>
        <v>0</v>
      </c>
      <c r="R1186" s="1">
        <f>2*Table1[[#This Row],[Std Error]]</f>
        <v>0</v>
      </c>
      <c r="S1186" s="1" t="str">
        <f>IF(Table1[[#This Row],[High Tol]]="","N/A",IFERROR(ABS(Table1[[#This Row],[Tol Span]]/Table1[[#This Row],[Error Span]]),"N/A"))</f>
        <v>N/A</v>
      </c>
      <c r="T1186" s="1" t="str">
        <f>IF(OR(Table1[[#This Row],[Low Tol]]="",Table1[[#This Row],[High Tol]]=""),"Needs Analysis",IF(Table1[[#This Row],[Ratio]]&gt;=4,"Not Significant",IF(Table1[[#This Row],[Ratio]]&gt;=2,"Semi-Significant","Significant")))</f>
        <v>Needs Analysis</v>
      </c>
      <c r="W1186" s="1">
        <f>IF(Table1[[#This Row],[Cal Type]]&lt;&gt;"ACCREDITED 17025 WITH UNCERTAINTIES",0,"")</f>
        <v>0</v>
      </c>
      <c r="X1186" s="1" t="str">
        <f>IF(Table1[[#This Row],[DUT Read]]="","N/A",Table1[[#This Row],[Std Error]]+Table1[[#This Row],[DUT Read]]+Table1[[#This Row],[DUT Ucty]])</f>
        <v>N/A</v>
      </c>
      <c r="Y1186" s="1" t="str">
        <f>IF(Table1[[#This Row],[Std Read]]="","N/A",Table1[[#This Row],[Std Read]]+Table1[[#This Row],[Std Ucty]])</f>
        <v>N/A</v>
      </c>
      <c r="Z11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6" s="1" t="str">
        <f>IF(Table1[[#This Row],[Spec Type]]="","N/A",Table1[[#This Row],[Spec Type]])</f>
        <v>±</v>
      </c>
      <c r="AC1186" s="1" t="str">
        <f>IF(Table1[[#This Row],[Spec Type2]]="N/A","N/A",IF(AND(Table1[[#This Row],[DUT Adj Read]]&gt;=Table1[[#This Row],[Low Tol]],Table1[[#This Row],[DUT Adj Read]]&lt;=Table1[[#This Row],[High Tol]]),"Pass","Fail"))</f>
        <v>Fail</v>
      </c>
      <c r="AD1186" s="1" t="str">
        <f>IF(AND(Table1[[#This Row],[Spec Type2]]="N/A",Table1[[#This Row],[DUT Adj Read]]="N/A",Table1[[#This Row],[Std Adj Read]]="N/A"),"N/A",IF(Table1[[#This Row],[DUT Adj Read]]="N/A",IF(Table1[[#This Row],[Std Adj Read]]&gt;Table1[[#This Row],[Low Tol]],"Pass","Fail"),IF(Table1[[#This Row],[DUT Adj Read]]&gt;Table1[[#This Row],[Low Tol]],"Pass","Fail")))</f>
        <v>Pass</v>
      </c>
      <c r="AE1186" s="1" t="str">
        <f>IF(AND(Table1[[#This Row],[Spec Type2]]="N/A",Table1[[#This Row],[DUT Adj Read]]="N/A",Table1[[#This Row],[Std Adj Read]]="N/A"),"N/A",IF(Table1[[#This Row],[DUT Adj Read]]="N/A",IF(Table1[[#This Row],[Std Adj Read]]&lt;Table1[[#This Row],[High Tol]],"Pass","Fail"),IF(Table1[[#This Row],[DUT Adj Read]]&lt;Table1[[#This Row],[High Tol]],"Pass","Fail")))</f>
        <v>Fail</v>
      </c>
      <c r="AF1186" s="1" t="str">
        <f>IF(AND(Table1[[#This Row],[Spec Type2]]="N/A",Table1[[#This Row],[DUT Adj Read]]="N/A",Table1[[#This Row],[Std Adj Read]]="N/A"),"N/A",IF(Table1[[#This Row],[DUT Adj Read]]="N/A",IF(Table1[[#This Row],[Std Adj Read]]&gt;=Table1[[#This Row],[Low Tol]],"Pass","Fail"),IF(Table1[[#This Row],[DUT Adj Read]]&gt;=Table1[[#This Row],[Low Tol]],"Pass","Fail")))</f>
        <v>Pass</v>
      </c>
      <c r="AG1186" s="1" t="str">
        <f>IF(AND(Table1[[#This Row],[Spec Type2]]="N/A",Table1[[#This Row],[DUT Adj Read]]="N/A",Table1[[#This Row],[Std Adj Read]]="N/A"),"N/A",IF(Table1[[#This Row],[DUT Adj Read]]="N/A",IF(Table1[[#This Row],[Std Adj Read]]&lt;=Table1[[#This Row],[High Tol]],"Pass","Fail"),IF(Table1[[#This Row],[DUT Adj Read]]&lt;=Table1[[#This Row],[High Tol]],"Pass","Fail")))</f>
        <v>Fail</v>
      </c>
      <c r="AH11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6" s="1" t="b">
        <v>0</v>
      </c>
      <c r="AN1186" s="1" t="b">
        <v>0</v>
      </c>
      <c r="AO1186" s="1" t="b">
        <v>0</v>
      </c>
    </row>
    <row r="1187" spans="1:41" x14ac:dyDescent="0.25">
      <c r="A1187" s="10"/>
      <c r="B1187" s="10"/>
      <c r="C1187" s="10"/>
      <c r="D1187" s="10"/>
      <c r="E1187" s="10"/>
      <c r="F1187" s="10"/>
      <c r="G1187" s="10"/>
      <c r="H1187" s="10"/>
      <c r="I1187" s="1" t="str">
        <f t="shared" si="54"/>
        <v/>
      </c>
      <c r="J1187" s="1" t="s">
        <v>35</v>
      </c>
      <c r="K1187" s="1" t="str">
        <f t="shared" si="55"/>
        <v/>
      </c>
      <c r="L1187" s="1" t="str">
        <f t="shared" si="56"/>
        <v/>
      </c>
      <c r="M1187" s="1">
        <f>IF(OR(Table1[[#This Row],[Std Nom]]="",Table1[[#This Row],[Std Read]]=""),0,Table1[[#This Row],[Std Nom]]-Table1[[#This Row],[Std Read]])</f>
        <v>0</v>
      </c>
      <c r="N1187" s="1">
        <f>IF(Calculations!$F$5="ACCREDITED 17025 WITH UNCERTAINTIES",$N$10,0)</f>
        <v>0</v>
      </c>
      <c r="Q1187" s="1">
        <f>Table1[[#This Row],[High Tol]]-Table1[[#This Row],[Low Tol]]</f>
        <v>0</v>
      </c>
      <c r="R1187" s="1">
        <f>2*Table1[[#This Row],[Std Error]]</f>
        <v>0</v>
      </c>
      <c r="S1187" s="1" t="str">
        <f>IF(Table1[[#This Row],[High Tol]]="","N/A",IFERROR(ABS(Table1[[#This Row],[Tol Span]]/Table1[[#This Row],[Error Span]]),"N/A"))</f>
        <v>N/A</v>
      </c>
      <c r="T1187" s="1" t="str">
        <f>IF(OR(Table1[[#This Row],[Low Tol]]="",Table1[[#This Row],[High Tol]]=""),"Needs Analysis",IF(Table1[[#This Row],[Ratio]]&gt;=4,"Not Significant",IF(Table1[[#This Row],[Ratio]]&gt;=2,"Semi-Significant","Significant")))</f>
        <v>Needs Analysis</v>
      </c>
      <c r="W1187" s="1">
        <f>IF(Table1[[#This Row],[Cal Type]]&lt;&gt;"ACCREDITED 17025 WITH UNCERTAINTIES",0,"")</f>
        <v>0</v>
      </c>
      <c r="X1187" s="1" t="str">
        <f>IF(Table1[[#This Row],[DUT Read]]="","N/A",Table1[[#This Row],[Std Error]]+Table1[[#This Row],[DUT Read]]+Table1[[#This Row],[DUT Ucty]])</f>
        <v>N/A</v>
      </c>
      <c r="Y1187" s="1" t="str">
        <f>IF(Table1[[#This Row],[Std Read]]="","N/A",Table1[[#This Row],[Std Read]]+Table1[[#This Row],[Std Ucty]])</f>
        <v>N/A</v>
      </c>
      <c r="Z11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7" s="1" t="str">
        <f>IF(Table1[[#This Row],[Spec Type]]="","N/A",Table1[[#This Row],[Spec Type]])</f>
        <v>±</v>
      </c>
      <c r="AC1187" s="1" t="str">
        <f>IF(Table1[[#This Row],[Spec Type2]]="N/A","N/A",IF(AND(Table1[[#This Row],[DUT Adj Read]]&gt;=Table1[[#This Row],[Low Tol]],Table1[[#This Row],[DUT Adj Read]]&lt;=Table1[[#This Row],[High Tol]]),"Pass","Fail"))</f>
        <v>Fail</v>
      </c>
      <c r="AD1187" s="1" t="str">
        <f>IF(AND(Table1[[#This Row],[Spec Type2]]="N/A",Table1[[#This Row],[DUT Adj Read]]="N/A",Table1[[#This Row],[Std Adj Read]]="N/A"),"N/A",IF(Table1[[#This Row],[DUT Adj Read]]="N/A",IF(Table1[[#This Row],[Std Adj Read]]&gt;Table1[[#This Row],[Low Tol]],"Pass","Fail"),IF(Table1[[#This Row],[DUT Adj Read]]&gt;Table1[[#This Row],[Low Tol]],"Pass","Fail")))</f>
        <v>Pass</v>
      </c>
      <c r="AE1187" s="1" t="str">
        <f>IF(AND(Table1[[#This Row],[Spec Type2]]="N/A",Table1[[#This Row],[DUT Adj Read]]="N/A",Table1[[#This Row],[Std Adj Read]]="N/A"),"N/A",IF(Table1[[#This Row],[DUT Adj Read]]="N/A",IF(Table1[[#This Row],[Std Adj Read]]&lt;Table1[[#This Row],[High Tol]],"Pass","Fail"),IF(Table1[[#This Row],[DUT Adj Read]]&lt;Table1[[#This Row],[High Tol]],"Pass","Fail")))</f>
        <v>Fail</v>
      </c>
      <c r="AF1187" s="1" t="str">
        <f>IF(AND(Table1[[#This Row],[Spec Type2]]="N/A",Table1[[#This Row],[DUT Adj Read]]="N/A",Table1[[#This Row],[Std Adj Read]]="N/A"),"N/A",IF(Table1[[#This Row],[DUT Adj Read]]="N/A",IF(Table1[[#This Row],[Std Adj Read]]&gt;=Table1[[#This Row],[Low Tol]],"Pass","Fail"),IF(Table1[[#This Row],[DUT Adj Read]]&gt;=Table1[[#This Row],[Low Tol]],"Pass","Fail")))</f>
        <v>Pass</v>
      </c>
      <c r="AG1187" s="1" t="str">
        <f>IF(AND(Table1[[#This Row],[Spec Type2]]="N/A",Table1[[#This Row],[DUT Adj Read]]="N/A",Table1[[#This Row],[Std Adj Read]]="N/A"),"N/A",IF(Table1[[#This Row],[DUT Adj Read]]="N/A",IF(Table1[[#This Row],[Std Adj Read]]&lt;=Table1[[#This Row],[High Tol]],"Pass","Fail"),IF(Table1[[#This Row],[DUT Adj Read]]&lt;=Table1[[#This Row],[High Tol]],"Pass","Fail")))</f>
        <v>Fail</v>
      </c>
      <c r="AH11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7" s="1" t="b">
        <v>0</v>
      </c>
      <c r="AN1187" s="1" t="b">
        <v>0</v>
      </c>
      <c r="AO1187" s="1" t="b">
        <v>0</v>
      </c>
    </row>
    <row r="1188" spans="1:41" x14ac:dyDescent="0.25">
      <c r="A1188" s="10"/>
      <c r="B1188" s="10"/>
      <c r="C1188" s="10"/>
      <c r="D1188" s="10"/>
      <c r="E1188" s="10"/>
      <c r="F1188" s="10"/>
      <c r="G1188" s="10"/>
      <c r="H1188" s="10"/>
      <c r="I1188" s="1" t="str">
        <f t="shared" si="54"/>
        <v/>
      </c>
      <c r="J1188" s="1" t="s">
        <v>35</v>
      </c>
      <c r="K1188" s="1" t="str">
        <f t="shared" si="55"/>
        <v/>
      </c>
      <c r="L1188" s="1" t="str">
        <f t="shared" si="56"/>
        <v/>
      </c>
      <c r="M1188" s="1">
        <f>IF(OR(Table1[[#This Row],[Std Nom]]="",Table1[[#This Row],[Std Read]]=""),0,Table1[[#This Row],[Std Nom]]-Table1[[#This Row],[Std Read]])</f>
        <v>0</v>
      </c>
      <c r="N1188" s="1">
        <f>IF(Calculations!$F$5="ACCREDITED 17025 WITH UNCERTAINTIES",$N$10,0)</f>
        <v>0</v>
      </c>
      <c r="Q1188" s="1">
        <f>Table1[[#This Row],[High Tol]]-Table1[[#This Row],[Low Tol]]</f>
        <v>0</v>
      </c>
      <c r="R1188" s="1">
        <f>2*Table1[[#This Row],[Std Error]]</f>
        <v>0</v>
      </c>
      <c r="S1188" s="1" t="str">
        <f>IF(Table1[[#This Row],[High Tol]]="","N/A",IFERROR(ABS(Table1[[#This Row],[Tol Span]]/Table1[[#This Row],[Error Span]]),"N/A"))</f>
        <v>N/A</v>
      </c>
      <c r="T1188" s="1" t="str">
        <f>IF(OR(Table1[[#This Row],[Low Tol]]="",Table1[[#This Row],[High Tol]]=""),"Needs Analysis",IF(Table1[[#This Row],[Ratio]]&gt;=4,"Not Significant",IF(Table1[[#This Row],[Ratio]]&gt;=2,"Semi-Significant","Significant")))</f>
        <v>Needs Analysis</v>
      </c>
      <c r="W1188" s="1">
        <f>IF(Table1[[#This Row],[Cal Type]]&lt;&gt;"ACCREDITED 17025 WITH UNCERTAINTIES",0,"")</f>
        <v>0</v>
      </c>
      <c r="X1188" s="1" t="str">
        <f>IF(Table1[[#This Row],[DUT Read]]="","N/A",Table1[[#This Row],[Std Error]]+Table1[[#This Row],[DUT Read]]+Table1[[#This Row],[DUT Ucty]])</f>
        <v>N/A</v>
      </c>
      <c r="Y1188" s="1" t="str">
        <f>IF(Table1[[#This Row],[Std Read]]="","N/A",Table1[[#This Row],[Std Read]]+Table1[[#This Row],[Std Ucty]])</f>
        <v>N/A</v>
      </c>
      <c r="Z11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8" s="1" t="str">
        <f>IF(Table1[[#This Row],[Spec Type]]="","N/A",Table1[[#This Row],[Spec Type]])</f>
        <v>±</v>
      </c>
      <c r="AC1188" s="1" t="str">
        <f>IF(Table1[[#This Row],[Spec Type2]]="N/A","N/A",IF(AND(Table1[[#This Row],[DUT Adj Read]]&gt;=Table1[[#This Row],[Low Tol]],Table1[[#This Row],[DUT Adj Read]]&lt;=Table1[[#This Row],[High Tol]]),"Pass","Fail"))</f>
        <v>Fail</v>
      </c>
      <c r="AD1188" s="1" t="str">
        <f>IF(AND(Table1[[#This Row],[Spec Type2]]="N/A",Table1[[#This Row],[DUT Adj Read]]="N/A",Table1[[#This Row],[Std Adj Read]]="N/A"),"N/A",IF(Table1[[#This Row],[DUT Adj Read]]="N/A",IF(Table1[[#This Row],[Std Adj Read]]&gt;Table1[[#This Row],[Low Tol]],"Pass","Fail"),IF(Table1[[#This Row],[DUT Adj Read]]&gt;Table1[[#This Row],[Low Tol]],"Pass","Fail")))</f>
        <v>Pass</v>
      </c>
      <c r="AE1188" s="1" t="str">
        <f>IF(AND(Table1[[#This Row],[Spec Type2]]="N/A",Table1[[#This Row],[DUT Adj Read]]="N/A",Table1[[#This Row],[Std Adj Read]]="N/A"),"N/A",IF(Table1[[#This Row],[DUT Adj Read]]="N/A",IF(Table1[[#This Row],[Std Adj Read]]&lt;Table1[[#This Row],[High Tol]],"Pass","Fail"),IF(Table1[[#This Row],[DUT Adj Read]]&lt;Table1[[#This Row],[High Tol]],"Pass","Fail")))</f>
        <v>Fail</v>
      </c>
      <c r="AF1188" s="1" t="str">
        <f>IF(AND(Table1[[#This Row],[Spec Type2]]="N/A",Table1[[#This Row],[DUT Adj Read]]="N/A",Table1[[#This Row],[Std Adj Read]]="N/A"),"N/A",IF(Table1[[#This Row],[DUT Adj Read]]="N/A",IF(Table1[[#This Row],[Std Adj Read]]&gt;=Table1[[#This Row],[Low Tol]],"Pass","Fail"),IF(Table1[[#This Row],[DUT Adj Read]]&gt;=Table1[[#This Row],[Low Tol]],"Pass","Fail")))</f>
        <v>Pass</v>
      </c>
      <c r="AG1188" s="1" t="str">
        <f>IF(AND(Table1[[#This Row],[Spec Type2]]="N/A",Table1[[#This Row],[DUT Adj Read]]="N/A",Table1[[#This Row],[Std Adj Read]]="N/A"),"N/A",IF(Table1[[#This Row],[DUT Adj Read]]="N/A",IF(Table1[[#This Row],[Std Adj Read]]&lt;=Table1[[#This Row],[High Tol]],"Pass","Fail"),IF(Table1[[#This Row],[DUT Adj Read]]&lt;=Table1[[#This Row],[High Tol]],"Pass","Fail")))</f>
        <v>Fail</v>
      </c>
      <c r="AH11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8" s="1" t="b">
        <v>0</v>
      </c>
      <c r="AN1188" s="1" t="b">
        <v>0</v>
      </c>
      <c r="AO1188" s="1" t="b">
        <v>0</v>
      </c>
    </row>
    <row r="1189" spans="1:41" x14ac:dyDescent="0.25">
      <c r="A1189" s="10"/>
      <c r="B1189" s="10"/>
      <c r="C1189" s="10"/>
      <c r="D1189" s="10"/>
      <c r="E1189" s="10"/>
      <c r="F1189" s="10"/>
      <c r="G1189" s="10"/>
      <c r="H1189" s="10"/>
      <c r="I1189" s="1" t="str">
        <f t="shared" si="54"/>
        <v/>
      </c>
      <c r="J1189" s="1" t="s">
        <v>35</v>
      </c>
      <c r="K1189" s="1" t="str">
        <f t="shared" si="55"/>
        <v/>
      </c>
      <c r="L1189" s="1" t="str">
        <f t="shared" si="56"/>
        <v/>
      </c>
      <c r="M1189" s="1">
        <f>IF(OR(Table1[[#This Row],[Std Nom]]="",Table1[[#This Row],[Std Read]]=""),0,Table1[[#This Row],[Std Nom]]-Table1[[#This Row],[Std Read]])</f>
        <v>0</v>
      </c>
      <c r="N1189" s="1">
        <f>IF(Calculations!$F$5="ACCREDITED 17025 WITH UNCERTAINTIES",$N$10,0)</f>
        <v>0</v>
      </c>
      <c r="Q1189" s="1">
        <f>Table1[[#This Row],[High Tol]]-Table1[[#This Row],[Low Tol]]</f>
        <v>0</v>
      </c>
      <c r="R1189" s="1">
        <f>2*Table1[[#This Row],[Std Error]]</f>
        <v>0</v>
      </c>
      <c r="S1189" s="1" t="str">
        <f>IF(Table1[[#This Row],[High Tol]]="","N/A",IFERROR(ABS(Table1[[#This Row],[Tol Span]]/Table1[[#This Row],[Error Span]]),"N/A"))</f>
        <v>N/A</v>
      </c>
      <c r="T1189" s="1" t="str">
        <f>IF(OR(Table1[[#This Row],[Low Tol]]="",Table1[[#This Row],[High Tol]]=""),"Needs Analysis",IF(Table1[[#This Row],[Ratio]]&gt;=4,"Not Significant",IF(Table1[[#This Row],[Ratio]]&gt;=2,"Semi-Significant","Significant")))</f>
        <v>Needs Analysis</v>
      </c>
      <c r="W1189" s="1">
        <f>IF(Table1[[#This Row],[Cal Type]]&lt;&gt;"ACCREDITED 17025 WITH UNCERTAINTIES",0,"")</f>
        <v>0</v>
      </c>
      <c r="X1189" s="1" t="str">
        <f>IF(Table1[[#This Row],[DUT Read]]="","N/A",Table1[[#This Row],[Std Error]]+Table1[[#This Row],[DUT Read]]+Table1[[#This Row],[DUT Ucty]])</f>
        <v>N/A</v>
      </c>
      <c r="Y1189" s="1" t="str">
        <f>IF(Table1[[#This Row],[Std Read]]="","N/A",Table1[[#This Row],[Std Read]]+Table1[[#This Row],[Std Ucty]])</f>
        <v>N/A</v>
      </c>
      <c r="Z11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89" s="1" t="str">
        <f>IF(Table1[[#This Row],[Spec Type]]="","N/A",Table1[[#This Row],[Spec Type]])</f>
        <v>±</v>
      </c>
      <c r="AC1189" s="1" t="str">
        <f>IF(Table1[[#This Row],[Spec Type2]]="N/A","N/A",IF(AND(Table1[[#This Row],[DUT Adj Read]]&gt;=Table1[[#This Row],[Low Tol]],Table1[[#This Row],[DUT Adj Read]]&lt;=Table1[[#This Row],[High Tol]]),"Pass","Fail"))</f>
        <v>Fail</v>
      </c>
      <c r="AD1189" s="1" t="str">
        <f>IF(AND(Table1[[#This Row],[Spec Type2]]="N/A",Table1[[#This Row],[DUT Adj Read]]="N/A",Table1[[#This Row],[Std Adj Read]]="N/A"),"N/A",IF(Table1[[#This Row],[DUT Adj Read]]="N/A",IF(Table1[[#This Row],[Std Adj Read]]&gt;Table1[[#This Row],[Low Tol]],"Pass","Fail"),IF(Table1[[#This Row],[DUT Adj Read]]&gt;Table1[[#This Row],[Low Tol]],"Pass","Fail")))</f>
        <v>Pass</v>
      </c>
      <c r="AE1189" s="1" t="str">
        <f>IF(AND(Table1[[#This Row],[Spec Type2]]="N/A",Table1[[#This Row],[DUT Adj Read]]="N/A",Table1[[#This Row],[Std Adj Read]]="N/A"),"N/A",IF(Table1[[#This Row],[DUT Adj Read]]="N/A",IF(Table1[[#This Row],[Std Adj Read]]&lt;Table1[[#This Row],[High Tol]],"Pass","Fail"),IF(Table1[[#This Row],[DUT Adj Read]]&lt;Table1[[#This Row],[High Tol]],"Pass","Fail")))</f>
        <v>Fail</v>
      </c>
      <c r="AF1189" s="1" t="str">
        <f>IF(AND(Table1[[#This Row],[Spec Type2]]="N/A",Table1[[#This Row],[DUT Adj Read]]="N/A",Table1[[#This Row],[Std Adj Read]]="N/A"),"N/A",IF(Table1[[#This Row],[DUT Adj Read]]="N/A",IF(Table1[[#This Row],[Std Adj Read]]&gt;=Table1[[#This Row],[Low Tol]],"Pass","Fail"),IF(Table1[[#This Row],[DUT Adj Read]]&gt;=Table1[[#This Row],[Low Tol]],"Pass","Fail")))</f>
        <v>Pass</v>
      </c>
      <c r="AG1189" s="1" t="str">
        <f>IF(AND(Table1[[#This Row],[Spec Type2]]="N/A",Table1[[#This Row],[DUT Adj Read]]="N/A",Table1[[#This Row],[Std Adj Read]]="N/A"),"N/A",IF(Table1[[#This Row],[DUT Adj Read]]="N/A",IF(Table1[[#This Row],[Std Adj Read]]&lt;=Table1[[#This Row],[High Tol]],"Pass","Fail"),IF(Table1[[#This Row],[DUT Adj Read]]&lt;=Table1[[#This Row],[High Tol]],"Pass","Fail")))</f>
        <v>Fail</v>
      </c>
      <c r="AH11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89" s="1" t="b">
        <v>0</v>
      </c>
      <c r="AN1189" s="1" t="b">
        <v>0</v>
      </c>
      <c r="AO1189" s="1" t="b">
        <v>0</v>
      </c>
    </row>
    <row r="1190" spans="1:41" x14ac:dyDescent="0.25">
      <c r="A1190" s="10"/>
      <c r="B1190" s="10"/>
      <c r="C1190" s="10"/>
      <c r="D1190" s="10"/>
      <c r="E1190" s="10"/>
      <c r="F1190" s="10"/>
      <c r="G1190" s="10"/>
      <c r="H1190" s="10"/>
      <c r="I1190" s="1" t="str">
        <f t="shared" si="54"/>
        <v/>
      </c>
      <c r="J1190" s="1" t="s">
        <v>35</v>
      </c>
      <c r="K1190" s="1" t="str">
        <f t="shared" si="55"/>
        <v/>
      </c>
      <c r="L1190" s="1" t="str">
        <f t="shared" si="56"/>
        <v/>
      </c>
      <c r="M1190" s="1">
        <f>IF(OR(Table1[[#This Row],[Std Nom]]="",Table1[[#This Row],[Std Read]]=""),0,Table1[[#This Row],[Std Nom]]-Table1[[#This Row],[Std Read]])</f>
        <v>0</v>
      </c>
      <c r="N1190" s="1">
        <f>IF(Calculations!$F$5="ACCREDITED 17025 WITH UNCERTAINTIES",$N$10,0)</f>
        <v>0</v>
      </c>
      <c r="Q1190" s="1">
        <f>Table1[[#This Row],[High Tol]]-Table1[[#This Row],[Low Tol]]</f>
        <v>0</v>
      </c>
      <c r="R1190" s="1">
        <f>2*Table1[[#This Row],[Std Error]]</f>
        <v>0</v>
      </c>
      <c r="S1190" s="1" t="str">
        <f>IF(Table1[[#This Row],[High Tol]]="","N/A",IFERROR(ABS(Table1[[#This Row],[Tol Span]]/Table1[[#This Row],[Error Span]]),"N/A"))</f>
        <v>N/A</v>
      </c>
      <c r="T1190" s="1" t="str">
        <f>IF(OR(Table1[[#This Row],[Low Tol]]="",Table1[[#This Row],[High Tol]]=""),"Needs Analysis",IF(Table1[[#This Row],[Ratio]]&gt;=4,"Not Significant",IF(Table1[[#This Row],[Ratio]]&gt;=2,"Semi-Significant","Significant")))</f>
        <v>Needs Analysis</v>
      </c>
      <c r="W1190" s="1">
        <f>IF(Table1[[#This Row],[Cal Type]]&lt;&gt;"ACCREDITED 17025 WITH UNCERTAINTIES",0,"")</f>
        <v>0</v>
      </c>
      <c r="X1190" s="1" t="str">
        <f>IF(Table1[[#This Row],[DUT Read]]="","N/A",Table1[[#This Row],[Std Error]]+Table1[[#This Row],[DUT Read]]+Table1[[#This Row],[DUT Ucty]])</f>
        <v>N/A</v>
      </c>
      <c r="Y1190" s="1" t="str">
        <f>IF(Table1[[#This Row],[Std Read]]="","N/A",Table1[[#This Row],[Std Read]]+Table1[[#This Row],[Std Ucty]])</f>
        <v>N/A</v>
      </c>
      <c r="Z11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0" s="1" t="str">
        <f>IF(Table1[[#This Row],[Spec Type]]="","N/A",Table1[[#This Row],[Spec Type]])</f>
        <v>±</v>
      </c>
      <c r="AC1190" s="1" t="str">
        <f>IF(Table1[[#This Row],[Spec Type2]]="N/A","N/A",IF(AND(Table1[[#This Row],[DUT Adj Read]]&gt;=Table1[[#This Row],[Low Tol]],Table1[[#This Row],[DUT Adj Read]]&lt;=Table1[[#This Row],[High Tol]]),"Pass","Fail"))</f>
        <v>Fail</v>
      </c>
      <c r="AD1190" s="1" t="str">
        <f>IF(AND(Table1[[#This Row],[Spec Type2]]="N/A",Table1[[#This Row],[DUT Adj Read]]="N/A",Table1[[#This Row],[Std Adj Read]]="N/A"),"N/A",IF(Table1[[#This Row],[DUT Adj Read]]="N/A",IF(Table1[[#This Row],[Std Adj Read]]&gt;Table1[[#This Row],[Low Tol]],"Pass","Fail"),IF(Table1[[#This Row],[DUT Adj Read]]&gt;Table1[[#This Row],[Low Tol]],"Pass","Fail")))</f>
        <v>Pass</v>
      </c>
      <c r="AE1190" s="1" t="str">
        <f>IF(AND(Table1[[#This Row],[Spec Type2]]="N/A",Table1[[#This Row],[DUT Adj Read]]="N/A",Table1[[#This Row],[Std Adj Read]]="N/A"),"N/A",IF(Table1[[#This Row],[DUT Adj Read]]="N/A",IF(Table1[[#This Row],[Std Adj Read]]&lt;Table1[[#This Row],[High Tol]],"Pass","Fail"),IF(Table1[[#This Row],[DUT Adj Read]]&lt;Table1[[#This Row],[High Tol]],"Pass","Fail")))</f>
        <v>Fail</v>
      </c>
      <c r="AF1190" s="1" t="str">
        <f>IF(AND(Table1[[#This Row],[Spec Type2]]="N/A",Table1[[#This Row],[DUT Adj Read]]="N/A",Table1[[#This Row],[Std Adj Read]]="N/A"),"N/A",IF(Table1[[#This Row],[DUT Adj Read]]="N/A",IF(Table1[[#This Row],[Std Adj Read]]&gt;=Table1[[#This Row],[Low Tol]],"Pass","Fail"),IF(Table1[[#This Row],[DUT Adj Read]]&gt;=Table1[[#This Row],[Low Tol]],"Pass","Fail")))</f>
        <v>Pass</v>
      </c>
      <c r="AG1190" s="1" t="str">
        <f>IF(AND(Table1[[#This Row],[Spec Type2]]="N/A",Table1[[#This Row],[DUT Adj Read]]="N/A",Table1[[#This Row],[Std Adj Read]]="N/A"),"N/A",IF(Table1[[#This Row],[DUT Adj Read]]="N/A",IF(Table1[[#This Row],[Std Adj Read]]&lt;=Table1[[#This Row],[High Tol]],"Pass","Fail"),IF(Table1[[#This Row],[DUT Adj Read]]&lt;=Table1[[#This Row],[High Tol]],"Pass","Fail")))</f>
        <v>Fail</v>
      </c>
      <c r="AH11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0" s="1" t="b">
        <v>0</v>
      </c>
      <c r="AN1190" s="1" t="b">
        <v>0</v>
      </c>
      <c r="AO1190" s="1" t="b">
        <v>0</v>
      </c>
    </row>
    <row r="1191" spans="1:41" x14ac:dyDescent="0.25">
      <c r="A1191" s="10"/>
      <c r="B1191" s="10"/>
      <c r="C1191" s="10"/>
      <c r="D1191" s="10"/>
      <c r="E1191" s="10"/>
      <c r="F1191" s="10"/>
      <c r="G1191" s="10"/>
      <c r="H1191" s="10"/>
      <c r="I1191" s="1" t="str">
        <f t="shared" si="54"/>
        <v/>
      </c>
      <c r="J1191" s="1" t="s">
        <v>35</v>
      </c>
      <c r="K1191" s="1" t="str">
        <f t="shared" si="55"/>
        <v/>
      </c>
      <c r="L1191" s="1" t="str">
        <f t="shared" si="56"/>
        <v/>
      </c>
      <c r="M1191" s="1">
        <f>IF(OR(Table1[[#This Row],[Std Nom]]="",Table1[[#This Row],[Std Read]]=""),0,Table1[[#This Row],[Std Nom]]-Table1[[#This Row],[Std Read]])</f>
        <v>0</v>
      </c>
      <c r="N1191" s="1">
        <f>IF(Calculations!$F$5="ACCREDITED 17025 WITH UNCERTAINTIES",$N$10,0)</f>
        <v>0</v>
      </c>
      <c r="Q1191" s="1">
        <f>Table1[[#This Row],[High Tol]]-Table1[[#This Row],[Low Tol]]</f>
        <v>0</v>
      </c>
      <c r="R1191" s="1">
        <f>2*Table1[[#This Row],[Std Error]]</f>
        <v>0</v>
      </c>
      <c r="S1191" s="1" t="str">
        <f>IF(Table1[[#This Row],[High Tol]]="","N/A",IFERROR(ABS(Table1[[#This Row],[Tol Span]]/Table1[[#This Row],[Error Span]]),"N/A"))</f>
        <v>N/A</v>
      </c>
      <c r="T1191" s="1" t="str">
        <f>IF(OR(Table1[[#This Row],[Low Tol]]="",Table1[[#This Row],[High Tol]]=""),"Needs Analysis",IF(Table1[[#This Row],[Ratio]]&gt;=4,"Not Significant",IF(Table1[[#This Row],[Ratio]]&gt;=2,"Semi-Significant","Significant")))</f>
        <v>Needs Analysis</v>
      </c>
      <c r="W1191" s="1">
        <f>IF(Table1[[#This Row],[Cal Type]]&lt;&gt;"ACCREDITED 17025 WITH UNCERTAINTIES",0,"")</f>
        <v>0</v>
      </c>
      <c r="X1191" s="1" t="str">
        <f>IF(Table1[[#This Row],[DUT Read]]="","N/A",Table1[[#This Row],[Std Error]]+Table1[[#This Row],[DUT Read]]+Table1[[#This Row],[DUT Ucty]])</f>
        <v>N/A</v>
      </c>
      <c r="Y1191" s="1" t="str">
        <f>IF(Table1[[#This Row],[Std Read]]="","N/A",Table1[[#This Row],[Std Read]]+Table1[[#This Row],[Std Ucty]])</f>
        <v>N/A</v>
      </c>
      <c r="Z11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1" s="1" t="str">
        <f>IF(Table1[[#This Row],[Spec Type]]="","N/A",Table1[[#This Row],[Spec Type]])</f>
        <v>±</v>
      </c>
      <c r="AC1191" s="1" t="str">
        <f>IF(Table1[[#This Row],[Spec Type2]]="N/A","N/A",IF(AND(Table1[[#This Row],[DUT Adj Read]]&gt;=Table1[[#This Row],[Low Tol]],Table1[[#This Row],[DUT Adj Read]]&lt;=Table1[[#This Row],[High Tol]]),"Pass","Fail"))</f>
        <v>Fail</v>
      </c>
      <c r="AD1191" s="1" t="str">
        <f>IF(AND(Table1[[#This Row],[Spec Type2]]="N/A",Table1[[#This Row],[DUT Adj Read]]="N/A",Table1[[#This Row],[Std Adj Read]]="N/A"),"N/A",IF(Table1[[#This Row],[DUT Adj Read]]="N/A",IF(Table1[[#This Row],[Std Adj Read]]&gt;Table1[[#This Row],[Low Tol]],"Pass","Fail"),IF(Table1[[#This Row],[DUT Adj Read]]&gt;Table1[[#This Row],[Low Tol]],"Pass","Fail")))</f>
        <v>Pass</v>
      </c>
      <c r="AE1191" s="1" t="str">
        <f>IF(AND(Table1[[#This Row],[Spec Type2]]="N/A",Table1[[#This Row],[DUT Adj Read]]="N/A",Table1[[#This Row],[Std Adj Read]]="N/A"),"N/A",IF(Table1[[#This Row],[DUT Adj Read]]="N/A",IF(Table1[[#This Row],[Std Adj Read]]&lt;Table1[[#This Row],[High Tol]],"Pass","Fail"),IF(Table1[[#This Row],[DUT Adj Read]]&lt;Table1[[#This Row],[High Tol]],"Pass","Fail")))</f>
        <v>Fail</v>
      </c>
      <c r="AF1191" s="1" t="str">
        <f>IF(AND(Table1[[#This Row],[Spec Type2]]="N/A",Table1[[#This Row],[DUT Adj Read]]="N/A",Table1[[#This Row],[Std Adj Read]]="N/A"),"N/A",IF(Table1[[#This Row],[DUT Adj Read]]="N/A",IF(Table1[[#This Row],[Std Adj Read]]&gt;=Table1[[#This Row],[Low Tol]],"Pass","Fail"),IF(Table1[[#This Row],[DUT Adj Read]]&gt;=Table1[[#This Row],[Low Tol]],"Pass","Fail")))</f>
        <v>Pass</v>
      </c>
      <c r="AG1191" s="1" t="str">
        <f>IF(AND(Table1[[#This Row],[Spec Type2]]="N/A",Table1[[#This Row],[DUT Adj Read]]="N/A",Table1[[#This Row],[Std Adj Read]]="N/A"),"N/A",IF(Table1[[#This Row],[DUT Adj Read]]="N/A",IF(Table1[[#This Row],[Std Adj Read]]&lt;=Table1[[#This Row],[High Tol]],"Pass","Fail"),IF(Table1[[#This Row],[DUT Adj Read]]&lt;=Table1[[#This Row],[High Tol]],"Pass","Fail")))</f>
        <v>Fail</v>
      </c>
      <c r="AH11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1" s="1" t="b">
        <v>0</v>
      </c>
      <c r="AN1191" s="1" t="b">
        <v>0</v>
      </c>
      <c r="AO1191" s="1" t="b">
        <v>0</v>
      </c>
    </row>
    <row r="1192" spans="1:41" x14ac:dyDescent="0.25">
      <c r="A1192" s="10"/>
      <c r="B1192" s="10"/>
      <c r="C1192" s="10"/>
      <c r="D1192" s="10"/>
      <c r="E1192" s="10"/>
      <c r="F1192" s="10"/>
      <c r="G1192" s="10"/>
      <c r="H1192" s="10"/>
      <c r="I1192" s="1" t="str">
        <f t="shared" si="54"/>
        <v/>
      </c>
      <c r="J1192" s="1" t="s">
        <v>35</v>
      </c>
      <c r="K1192" s="1" t="str">
        <f t="shared" si="55"/>
        <v/>
      </c>
      <c r="L1192" s="1" t="str">
        <f t="shared" si="56"/>
        <v/>
      </c>
      <c r="M1192" s="1">
        <f>IF(OR(Table1[[#This Row],[Std Nom]]="",Table1[[#This Row],[Std Read]]=""),0,Table1[[#This Row],[Std Nom]]-Table1[[#This Row],[Std Read]])</f>
        <v>0</v>
      </c>
      <c r="N1192" s="1">
        <f>IF(Calculations!$F$5="ACCREDITED 17025 WITH UNCERTAINTIES",$N$10,0)</f>
        <v>0</v>
      </c>
      <c r="Q1192" s="1">
        <f>Table1[[#This Row],[High Tol]]-Table1[[#This Row],[Low Tol]]</f>
        <v>0</v>
      </c>
      <c r="R1192" s="1">
        <f>2*Table1[[#This Row],[Std Error]]</f>
        <v>0</v>
      </c>
      <c r="S1192" s="1" t="str">
        <f>IF(Table1[[#This Row],[High Tol]]="","N/A",IFERROR(ABS(Table1[[#This Row],[Tol Span]]/Table1[[#This Row],[Error Span]]),"N/A"))</f>
        <v>N/A</v>
      </c>
      <c r="T1192" s="1" t="str">
        <f>IF(OR(Table1[[#This Row],[Low Tol]]="",Table1[[#This Row],[High Tol]]=""),"Needs Analysis",IF(Table1[[#This Row],[Ratio]]&gt;=4,"Not Significant",IF(Table1[[#This Row],[Ratio]]&gt;=2,"Semi-Significant","Significant")))</f>
        <v>Needs Analysis</v>
      </c>
      <c r="W1192" s="1">
        <f>IF(Table1[[#This Row],[Cal Type]]&lt;&gt;"ACCREDITED 17025 WITH UNCERTAINTIES",0,"")</f>
        <v>0</v>
      </c>
      <c r="X1192" s="1" t="str">
        <f>IF(Table1[[#This Row],[DUT Read]]="","N/A",Table1[[#This Row],[Std Error]]+Table1[[#This Row],[DUT Read]]+Table1[[#This Row],[DUT Ucty]])</f>
        <v>N/A</v>
      </c>
      <c r="Y1192" s="1" t="str">
        <f>IF(Table1[[#This Row],[Std Read]]="","N/A",Table1[[#This Row],[Std Read]]+Table1[[#This Row],[Std Ucty]])</f>
        <v>N/A</v>
      </c>
      <c r="Z11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2" s="1" t="str">
        <f>IF(Table1[[#This Row],[Spec Type]]="","N/A",Table1[[#This Row],[Spec Type]])</f>
        <v>±</v>
      </c>
      <c r="AC1192" s="1" t="str">
        <f>IF(Table1[[#This Row],[Spec Type2]]="N/A","N/A",IF(AND(Table1[[#This Row],[DUT Adj Read]]&gt;=Table1[[#This Row],[Low Tol]],Table1[[#This Row],[DUT Adj Read]]&lt;=Table1[[#This Row],[High Tol]]),"Pass","Fail"))</f>
        <v>Fail</v>
      </c>
      <c r="AD1192" s="1" t="str">
        <f>IF(AND(Table1[[#This Row],[Spec Type2]]="N/A",Table1[[#This Row],[DUT Adj Read]]="N/A",Table1[[#This Row],[Std Adj Read]]="N/A"),"N/A",IF(Table1[[#This Row],[DUT Adj Read]]="N/A",IF(Table1[[#This Row],[Std Adj Read]]&gt;Table1[[#This Row],[Low Tol]],"Pass","Fail"),IF(Table1[[#This Row],[DUT Adj Read]]&gt;Table1[[#This Row],[Low Tol]],"Pass","Fail")))</f>
        <v>Pass</v>
      </c>
      <c r="AE1192" s="1" t="str">
        <f>IF(AND(Table1[[#This Row],[Spec Type2]]="N/A",Table1[[#This Row],[DUT Adj Read]]="N/A",Table1[[#This Row],[Std Adj Read]]="N/A"),"N/A",IF(Table1[[#This Row],[DUT Adj Read]]="N/A",IF(Table1[[#This Row],[Std Adj Read]]&lt;Table1[[#This Row],[High Tol]],"Pass","Fail"),IF(Table1[[#This Row],[DUT Adj Read]]&lt;Table1[[#This Row],[High Tol]],"Pass","Fail")))</f>
        <v>Fail</v>
      </c>
      <c r="AF1192" s="1" t="str">
        <f>IF(AND(Table1[[#This Row],[Spec Type2]]="N/A",Table1[[#This Row],[DUT Adj Read]]="N/A",Table1[[#This Row],[Std Adj Read]]="N/A"),"N/A",IF(Table1[[#This Row],[DUT Adj Read]]="N/A",IF(Table1[[#This Row],[Std Adj Read]]&gt;=Table1[[#This Row],[Low Tol]],"Pass","Fail"),IF(Table1[[#This Row],[DUT Adj Read]]&gt;=Table1[[#This Row],[Low Tol]],"Pass","Fail")))</f>
        <v>Pass</v>
      </c>
      <c r="AG1192" s="1" t="str">
        <f>IF(AND(Table1[[#This Row],[Spec Type2]]="N/A",Table1[[#This Row],[DUT Adj Read]]="N/A",Table1[[#This Row],[Std Adj Read]]="N/A"),"N/A",IF(Table1[[#This Row],[DUT Adj Read]]="N/A",IF(Table1[[#This Row],[Std Adj Read]]&lt;=Table1[[#This Row],[High Tol]],"Pass","Fail"),IF(Table1[[#This Row],[DUT Adj Read]]&lt;=Table1[[#This Row],[High Tol]],"Pass","Fail")))</f>
        <v>Fail</v>
      </c>
      <c r="AH11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2" s="1" t="b">
        <v>0</v>
      </c>
      <c r="AN1192" s="1" t="b">
        <v>0</v>
      </c>
      <c r="AO1192" s="1" t="b">
        <v>0</v>
      </c>
    </row>
    <row r="1193" spans="1:41" x14ac:dyDescent="0.25">
      <c r="A1193" s="10"/>
      <c r="B1193" s="10"/>
      <c r="C1193" s="10"/>
      <c r="D1193" s="10"/>
      <c r="E1193" s="10"/>
      <c r="F1193" s="10"/>
      <c r="G1193" s="10"/>
      <c r="H1193" s="10"/>
      <c r="I1193" s="1" t="str">
        <f t="shared" si="54"/>
        <v/>
      </c>
      <c r="J1193" s="1" t="s">
        <v>35</v>
      </c>
      <c r="K1193" s="1" t="str">
        <f t="shared" si="55"/>
        <v/>
      </c>
      <c r="L1193" s="1" t="str">
        <f t="shared" si="56"/>
        <v/>
      </c>
      <c r="M1193" s="1">
        <f>IF(OR(Table1[[#This Row],[Std Nom]]="",Table1[[#This Row],[Std Read]]=""),0,Table1[[#This Row],[Std Nom]]-Table1[[#This Row],[Std Read]])</f>
        <v>0</v>
      </c>
      <c r="N1193" s="1">
        <f>IF(Calculations!$F$5="ACCREDITED 17025 WITH UNCERTAINTIES",$N$10,0)</f>
        <v>0</v>
      </c>
      <c r="Q1193" s="1">
        <f>Table1[[#This Row],[High Tol]]-Table1[[#This Row],[Low Tol]]</f>
        <v>0</v>
      </c>
      <c r="R1193" s="1">
        <f>2*Table1[[#This Row],[Std Error]]</f>
        <v>0</v>
      </c>
      <c r="S1193" s="1" t="str">
        <f>IF(Table1[[#This Row],[High Tol]]="","N/A",IFERROR(ABS(Table1[[#This Row],[Tol Span]]/Table1[[#This Row],[Error Span]]),"N/A"))</f>
        <v>N/A</v>
      </c>
      <c r="T1193" s="1" t="str">
        <f>IF(OR(Table1[[#This Row],[Low Tol]]="",Table1[[#This Row],[High Tol]]=""),"Needs Analysis",IF(Table1[[#This Row],[Ratio]]&gt;=4,"Not Significant",IF(Table1[[#This Row],[Ratio]]&gt;=2,"Semi-Significant","Significant")))</f>
        <v>Needs Analysis</v>
      </c>
      <c r="W1193" s="1">
        <f>IF(Table1[[#This Row],[Cal Type]]&lt;&gt;"ACCREDITED 17025 WITH UNCERTAINTIES",0,"")</f>
        <v>0</v>
      </c>
      <c r="X1193" s="1" t="str">
        <f>IF(Table1[[#This Row],[DUT Read]]="","N/A",Table1[[#This Row],[Std Error]]+Table1[[#This Row],[DUT Read]]+Table1[[#This Row],[DUT Ucty]])</f>
        <v>N/A</v>
      </c>
      <c r="Y1193" s="1" t="str">
        <f>IF(Table1[[#This Row],[Std Read]]="","N/A",Table1[[#This Row],[Std Read]]+Table1[[#This Row],[Std Ucty]])</f>
        <v>N/A</v>
      </c>
      <c r="Z11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3" s="1" t="str">
        <f>IF(Table1[[#This Row],[Spec Type]]="","N/A",Table1[[#This Row],[Spec Type]])</f>
        <v>±</v>
      </c>
      <c r="AC1193" s="1" t="str">
        <f>IF(Table1[[#This Row],[Spec Type2]]="N/A","N/A",IF(AND(Table1[[#This Row],[DUT Adj Read]]&gt;=Table1[[#This Row],[Low Tol]],Table1[[#This Row],[DUT Adj Read]]&lt;=Table1[[#This Row],[High Tol]]),"Pass","Fail"))</f>
        <v>Fail</v>
      </c>
      <c r="AD1193" s="1" t="str">
        <f>IF(AND(Table1[[#This Row],[Spec Type2]]="N/A",Table1[[#This Row],[DUT Adj Read]]="N/A",Table1[[#This Row],[Std Adj Read]]="N/A"),"N/A",IF(Table1[[#This Row],[DUT Adj Read]]="N/A",IF(Table1[[#This Row],[Std Adj Read]]&gt;Table1[[#This Row],[Low Tol]],"Pass","Fail"),IF(Table1[[#This Row],[DUT Adj Read]]&gt;Table1[[#This Row],[Low Tol]],"Pass","Fail")))</f>
        <v>Pass</v>
      </c>
      <c r="AE1193" s="1" t="str">
        <f>IF(AND(Table1[[#This Row],[Spec Type2]]="N/A",Table1[[#This Row],[DUT Adj Read]]="N/A",Table1[[#This Row],[Std Adj Read]]="N/A"),"N/A",IF(Table1[[#This Row],[DUT Adj Read]]="N/A",IF(Table1[[#This Row],[Std Adj Read]]&lt;Table1[[#This Row],[High Tol]],"Pass","Fail"),IF(Table1[[#This Row],[DUT Adj Read]]&lt;Table1[[#This Row],[High Tol]],"Pass","Fail")))</f>
        <v>Fail</v>
      </c>
      <c r="AF1193" s="1" t="str">
        <f>IF(AND(Table1[[#This Row],[Spec Type2]]="N/A",Table1[[#This Row],[DUT Adj Read]]="N/A",Table1[[#This Row],[Std Adj Read]]="N/A"),"N/A",IF(Table1[[#This Row],[DUT Adj Read]]="N/A",IF(Table1[[#This Row],[Std Adj Read]]&gt;=Table1[[#This Row],[Low Tol]],"Pass","Fail"),IF(Table1[[#This Row],[DUT Adj Read]]&gt;=Table1[[#This Row],[Low Tol]],"Pass","Fail")))</f>
        <v>Pass</v>
      </c>
      <c r="AG1193" s="1" t="str">
        <f>IF(AND(Table1[[#This Row],[Spec Type2]]="N/A",Table1[[#This Row],[DUT Adj Read]]="N/A",Table1[[#This Row],[Std Adj Read]]="N/A"),"N/A",IF(Table1[[#This Row],[DUT Adj Read]]="N/A",IF(Table1[[#This Row],[Std Adj Read]]&lt;=Table1[[#This Row],[High Tol]],"Pass","Fail"),IF(Table1[[#This Row],[DUT Adj Read]]&lt;=Table1[[#This Row],[High Tol]],"Pass","Fail")))</f>
        <v>Fail</v>
      </c>
      <c r="AH11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3" s="1" t="b">
        <v>0</v>
      </c>
      <c r="AN1193" s="1" t="b">
        <v>0</v>
      </c>
      <c r="AO1193" s="1" t="b">
        <v>0</v>
      </c>
    </row>
    <row r="1194" spans="1:41" x14ac:dyDescent="0.25">
      <c r="A1194" s="10"/>
      <c r="B1194" s="10"/>
      <c r="C1194" s="10"/>
      <c r="D1194" s="10"/>
      <c r="E1194" s="10"/>
      <c r="F1194" s="10"/>
      <c r="G1194" s="10"/>
      <c r="H1194" s="10"/>
      <c r="I1194" s="1" t="str">
        <f t="shared" si="54"/>
        <v/>
      </c>
      <c r="J1194" s="1" t="s">
        <v>35</v>
      </c>
      <c r="K1194" s="1" t="str">
        <f t="shared" si="55"/>
        <v/>
      </c>
      <c r="L1194" s="1" t="str">
        <f t="shared" si="56"/>
        <v/>
      </c>
      <c r="M1194" s="1">
        <f>IF(OR(Table1[[#This Row],[Std Nom]]="",Table1[[#This Row],[Std Read]]=""),0,Table1[[#This Row],[Std Nom]]-Table1[[#This Row],[Std Read]])</f>
        <v>0</v>
      </c>
      <c r="N1194" s="1">
        <f>IF(Calculations!$F$5="ACCREDITED 17025 WITH UNCERTAINTIES",$N$10,0)</f>
        <v>0</v>
      </c>
      <c r="Q1194" s="1">
        <f>Table1[[#This Row],[High Tol]]-Table1[[#This Row],[Low Tol]]</f>
        <v>0</v>
      </c>
      <c r="R1194" s="1">
        <f>2*Table1[[#This Row],[Std Error]]</f>
        <v>0</v>
      </c>
      <c r="S1194" s="1" t="str">
        <f>IF(Table1[[#This Row],[High Tol]]="","N/A",IFERROR(ABS(Table1[[#This Row],[Tol Span]]/Table1[[#This Row],[Error Span]]),"N/A"))</f>
        <v>N/A</v>
      </c>
      <c r="T1194" s="1" t="str">
        <f>IF(OR(Table1[[#This Row],[Low Tol]]="",Table1[[#This Row],[High Tol]]=""),"Needs Analysis",IF(Table1[[#This Row],[Ratio]]&gt;=4,"Not Significant",IF(Table1[[#This Row],[Ratio]]&gt;=2,"Semi-Significant","Significant")))</f>
        <v>Needs Analysis</v>
      </c>
      <c r="W1194" s="1">
        <f>IF(Table1[[#This Row],[Cal Type]]&lt;&gt;"ACCREDITED 17025 WITH UNCERTAINTIES",0,"")</f>
        <v>0</v>
      </c>
      <c r="X1194" s="1" t="str">
        <f>IF(Table1[[#This Row],[DUT Read]]="","N/A",Table1[[#This Row],[Std Error]]+Table1[[#This Row],[DUT Read]]+Table1[[#This Row],[DUT Ucty]])</f>
        <v>N/A</v>
      </c>
      <c r="Y1194" s="1" t="str">
        <f>IF(Table1[[#This Row],[Std Read]]="","N/A",Table1[[#This Row],[Std Read]]+Table1[[#This Row],[Std Ucty]])</f>
        <v>N/A</v>
      </c>
      <c r="Z11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4" s="1" t="str">
        <f>IF(Table1[[#This Row],[Spec Type]]="","N/A",Table1[[#This Row],[Spec Type]])</f>
        <v>±</v>
      </c>
      <c r="AC1194" s="1" t="str">
        <f>IF(Table1[[#This Row],[Spec Type2]]="N/A","N/A",IF(AND(Table1[[#This Row],[DUT Adj Read]]&gt;=Table1[[#This Row],[Low Tol]],Table1[[#This Row],[DUT Adj Read]]&lt;=Table1[[#This Row],[High Tol]]),"Pass","Fail"))</f>
        <v>Fail</v>
      </c>
      <c r="AD1194" s="1" t="str">
        <f>IF(AND(Table1[[#This Row],[Spec Type2]]="N/A",Table1[[#This Row],[DUT Adj Read]]="N/A",Table1[[#This Row],[Std Adj Read]]="N/A"),"N/A",IF(Table1[[#This Row],[DUT Adj Read]]="N/A",IF(Table1[[#This Row],[Std Adj Read]]&gt;Table1[[#This Row],[Low Tol]],"Pass","Fail"),IF(Table1[[#This Row],[DUT Adj Read]]&gt;Table1[[#This Row],[Low Tol]],"Pass","Fail")))</f>
        <v>Pass</v>
      </c>
      <c r="AE1194" s="1" t="str">
        <f>IF(AND(Table1[[#This Row],[Spec Type2]]="N/A",Table1[[#This Row],[DUT Adj Read]]="N/A",Table1[[#This Row],[Std Adj Read]]="N/A"),"N/A",IF(Table1[[#This Row],[DUT Adj Read]]="N/A",IF(Table1[[#This Row],[Std Adj Read]]&lt;Table1[[#This Row],[High Tol]],"Pass","Fail"),IF(Table1[[#This Row],[DUT Adj Read]]&lt;Table1[[#This Row],[High Tol]],"Pass","Fail")))</f>
        <v>Fail</v>
      </c>
      <c r="AF1194" s="1" t="str">
        <f>IF(AND(Table1[[#This Row],[Spec Type2]]="N/A",Table1[[#This Row],[DUT Adj Read]]="N/A",Table1[[#This Row],[Std Adj Read]]="N/A"),"N/A",IF(Table1[[#This Row],[DUT Adj Read]]="N/A",IF(Table1[[#This Row],[Std Adj Read]]&gt;=Table1[[#This Row],[Low Tol]],"Pass","Fail"),IF(Table1[[#This Row],[DUT Adj Read]]&gt;=Table1[[#This Row],[Low Tol]],"Pass","Fail")))</f>
        <v>Pass</v>
      </c>
      <c r="AG1194" s="1" t="str">
        <f>IF(AND(Table1[[#This Row],[Spec Type2]]="N/A",Table1[[#This Row],[DUT Adj Read]]="N/A",Table1[[#This Row],[Std Adj Read]]="N/A"),"N/A",IF(Table1[[#This Row],[DUT Adj Read]]="N/A",IF(Table1[[#This Row],[Std Adj Read]]&lt;=Table1[[#This Row],[High Tol]],"Pass","Fail"),IF(Table1[[#This Row],[DUT Adj Read]]&lt;=Table1[[#This Row],[High Tol]],"Pass","Fail")))</f>
        <v>Fail</v>
      </c>
      <c r="AH11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4" s="1" t="b">
        <v>0</v>
      </c>
      <c r="AN1194" s="1" t="b">
        <v>0</v>
      </c>
      <c r="AO1194" s="1" t="b">
        <v>0</v>
      </c>
    </row>
    <row r="1195" spans="1:41" x14ac:dyDescent="0.25">
      <c r="A1195" s="10"/>
      <c r="B1195" s="10"/>
      <c r="C1195" s="10"/>
      <c r="D1195" s="10"/>
      <c r="E1195" s="10"/>
      <c r="F1195" s="10"/>
      <c r="G1195" s="10"/>
      <c r="H1195" s="10"/>
      <c r="I1195" s="1" t="str">
        <f t="shared" si="54"/>
        <v/>
      </c>
      <c r="J1195" s="1" t="s">
        <v>35</v>
      </c>
      <c r="K1195" s="1" t="str">
        <f t="shared" si="55"/>
        <v/>
      </c>
      <c r="L1195" s="1" t="str">
        <f t="shared" si="56"/>
        <v/>
      </c>
      <c r="M1195" s="1">
        <f>IF(OR(Table1[[#This Row],[Std Nom]]="",Table1[[#This Row],[Std Read]]=""),0,Table1[[#This Row],[Std Nom]]-Table1[[#This Row],[Std Read]])</f>
        <v>0</v>
      </c>
      <c r="N1195" s="1">
        <f>IF(Calculations!$F$5="ACCREDITED 17025 WITH UNCERTAINTIES",$N$10,0)</f>
        <v>0</v>
      </c>
      <c r="Q1195" s="1">
        <f>Table1[[#This Row],[High Tol]]-Table1[[#This Row],[Low Tol]]</f>
        <v>0</v>
      </c>
      <c r="R1195" s="1">
        <f>2*Table1[[#This Row],[Std Error]]</f>
        <v>0</v>
      </c>
      <c r="S1195" s="1" t="str">
        <f>IF(Table1[[#This Row],[High Tol]]="","N/A",IFERROR(ABS(Table1[[#This Row],[Tol Span]]/Table1[[#This Row],[Error Span]]),"N/A"))</f>
        <v>N/A</v>
      </c>
      <c r="T1195" s="1" t="str">
        <f>IF(OR(Table1[[#This Row],[Low Tol]]="",Table1[[#This Row],[High Tol]]=""),"Needs Analysis",IF(Table1[[#This Row],[Ratio]]&gt;=4,"Not Significant",IF(Table1[[#This Row],[Ratio]]&gt;=2,"Semi-Significant","Significant")))</f>
        <v>Needs Analysis</v>
      </c>
      <c r="W1195" s="1">
        <f>IF(Table1[[#This Row],[Cal Type]]&lt;&gt;"ACCREDITED 17025 WITH UNCERTAINTIES",0,"")</f>
        <v>0</v>
      </c>
      <c r="X1195" s="1" t="str">
        <f>IF(Table1[[#This Row],[DUT Read]]="","N/A",Table1[[#This Row],[Std Error]]+Table1[[#This Row],[DUT Read]]+Table1[[#This Row],[DUT Ucty]])</f>
        <v>N/A</v>
      </c>
      <c r="Y1195" s="1" t="str">
        <f>IF(Table1[[#This Row],[Std Read]]="","N/A",Table1[[#This Row],[Std Read]]+Table1[[#This Row],[Std Ucty]])</f>
        <v>N/A</v>
      </c>
      <c r="Z11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5" s="1" t="str">
        <f>IF(Table1[[#This Row],[Spec Type]]="","N/A",Table1[[#This Row],[Spec Type]])</f>
        <v>±</v>
      </c>
      <c r="AC1195" s="1" t="str">
        <f>IF(Table1[[#This Row],[Spec Type2]]="N/A","N/A",IF(AND(Table1[[#This Row],[DUT Adj Read]]&gt;=Table1[[#This Row],[Low Tol]],Table1[[#This Row],[DUT Adj Read]]&lt;=Table1[[#This Row],[High Tol]]),"Pass","Fail"))</f>
        <v>Fail</v>
      </c>
      <c r="AD1195" s="1" t="str">
        <f>IF(AND(Table1[[#This Row],[Spec Type2]]="N/A",Table1[[#This Row],[DUT Adj Read]]="N/A",Table1[[#This Row],[Std Adj Read]]="N/A"),"N/A",IF(Table1[[#This Row],[DUT Adj Read]]="N/A",IF(Table1[[#This Row],[Std Adj Read]]&gt;Table1[[#This Row],[Low Tol]],"Pass","Fail"),IF(Table1[[#This Row],[DUT Adj Read]]&gt;Table1[[#This Row],[Low Tol]],"Pass","Fail")))</f>
        <v>Pass</v>
      </c>
      <c r="AE1195" s="1" t="str">
        <f>IF(AND(Table1[[#This Row],[Spec Type2]]="N/A",Table1[[#This Row],[DUT Adj Read]]="N/A",Table1[[#This Row],[Std Adj Read]]="N/A"),"N/A",IF(Table1[[#This Row],[DUT Adj Read]]="N/A",IF(Table1[[#This Row],[Std Adj Read]]&lt;Table1[[#This Row],[High Tol]],"Pass","Fail"),IF(Table1[[#This Row],[DUT Adj Read]]&lt;Table1[[#This Row],[High Tol]],"Pass","Fail")))</f>
        <v>Fail</v>
      </c>
      <c r="AF1195" s="1" t="str">
        <f>IF(AND(Table1[[#This Row],[Spec Type2]]="N/A",Table1[[#This Row],[DUT Adj Read]]="N/A",Table1[[#This Row],[Std Adj Read]]="N/A"),"N/A",IF(Table1[[#This Row],[DUT Adj Read]]="N/A",IF(Table1[[#This Row],[Std Adj Read]]&gt;=Table1[[#This Row],[Low Tol]],"Pass","Fail"),IF(Table1[[#This Row],[DUT Adj Read]]&gt;=Table1[[#This Row],[Low Tol]],"Pass","Fail")))</f>
        <v>Pass</v>
      </c>
      <c r="AG1195" s="1" t="str">
        <f>IF(AND(Table1[[#This Row],[Spec Type2]]="N/A",Table1[[#This Row],[DUT Adj Read]]="N/A",Table1[[#This Row],[Std Adj Read]]="N/A"),"N/A",IF(Table1[[#This Row],[DUT Adj Read]]="N/A",IF(Table1[[#This Row],[Std Adj Read]]&lt;=Table1[[#This Row],[High Tol]],"Pass","Fail"),IF(Table1[[#This Row],[DUT Adj Read]]&lt;=Table1[[#This Row],[High Tol]],"Pass","Fail")))</f>
        <v>Fail</v>
      </c>
      <c r="AH11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5" s="1" t="b">
        <v>0</v>
      </c>
      <c r="AN1195" s="1" t="b">
        <v>0</v>
      </c>
      <c r="AO1195" s="1" t="b">
        <v>0</v>
      </c>
    </row>
    <row r="1196" spans="1:41" x14ac:dyDescent="0.25">
      <c r="A1196" s="10"/>
      <c r="B1196" s="10"/>
      <c r="C1196" s="10"/>
      <c r="D1196" s="10"/>
      <c r="E1196" s="10"/>
      <c r="F1196" s="10"/>
      <c r="G1196" s="10"/>
      <c r="H1196" s="10"/>
      <c r="I1196" s="1" t="str">
        <f t="shared" si="54"/>
        <v/>
      </c>
      <c r="J1196" s="1" t="s">
        <v>35</v>
      </c>
      <c r="K1196" s="1" t="str">
        <f t="shared" si="55"/>
        <v/>
      </c>
      <c r="L1196" s="1" t="str">
        <f t="shared" si="56"/>
        <v/>
      </c>
      <c r="M1196" s="1">
        <f>IF(OR(Table1[[#This Row],[Std Nom]]="",Table1[[#This Row],[Std Read]]=""),0,Table1[[#This Row],[Std Nom]]-Table1[[#This Row],[Std Read]])</f>
        <v>0</v>
      </c>
      <c r="N1196" s="1">
        <f>IF(Calculations!$F$5="ACCREDITED 17025 WITH UNCERTAINTIES",$N$10,0)</f>
        <v>0</v>
      </c>
      <c r="Q1196" s="1">
        <f>Table1[[#This Row],[High Tol]]-Table1[[#This Row],[Low Tol]]</f>
        <v>0</v>
      </c>
      <c r="R1196" s="1">
        <f>2*Table1[[#This Row],[Std Error]]</f>
        <v>0</v>
      </c>
      <c r="S1196" s="1" t="str">
        <f>IF(Table1[[#This Row],[High Tol]]="","N/A",IFERROR(ABS(Table1[[#This Row],[Tol Span]]/Table1[[#This Row],[Error Span]]),"N/A"))</f>
        <v>N/A</v>
      </c>
      <c r="T1196" s="1" t="str">
        <f>IF(OR(Table1[[#This Row],[Low Tol]]="",Table1[[#This Row],[High Tol]]=""),"Needs Analysis",IF(Table1[[#This Row],[Ratio]]&gt;=4,"Not Significant",IF(Table1[[#This Row],[Ratio]]&gt;=2,"Semi-Significant","Significant")))</f>
        <v>Needs Analysis</v>
      </c>
      <c r="W1196" s="1">
        <f>IF(Table1[[#This Row],[Cal Type]]&lt;&gt;"ACCREDITED 17025 WITH UNCERTAINTIES",0,"")</f>
        <v>0</v>
      </c>
      <c r="X1196" s="1" t="str">
        <f>IF(Table1[[#This Row],[DUT Read]]="","N/A",Table1[[#This Row],[Std Error]]+Table1[[#This Row],[DUT Read]]+Table1[[#This Row],[DUT Ucty]])</f>
        <v>N/A</v>
      </c>
      <c r="Y1196" s="1" t="str">
        <f>IF(Table1[[#This Row],[Std Read]]="","N/A",Table1[[#This Row],[Std Read]]+Table1[[#This Row],[Std Ucty]])</f>
        <v>N/A</v>
      </c>
      <c r="Z11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6" s="1" t="str">
        <f>IF(Table1[[#This Row],[Spec Type]]="","N/A",Table1[[#This Row],[Spec Type]])</f>
        <v>±</v>
      </c>
      <c r="AC1196" s="1" t="str">
        <f>IF(Table1[[#This Row],[Spec Type2]]="N/A","N/A",IF(AND(Table1[[#This Row],[DUT Adj Read]]&gt;=Table1[[#This Row],[Low Tol]],Table1[[#This Row],[DUT Adj Read]]&lt;=Table1[[#This Row],[High Tol]]),"Pass","Fail"))</f>
        <v>Fail</v>
      </c>
      <c r="AD1196" s="1" t="str">
        <f>IF(AND(Table1[[#This Row],[Spec Type2]]="N/A",Table1[[#This Row],[DUT Adj Read]]="N/A",Table1[[#This Row],[Std Adj Read]]="N/A"),"N/A",IF(Table1[[#This Row],[DUT Adj Read]]="N/A",IF(Table1[[#This Row],[Std Adj Read]]&gt;Table1[[#This Row],[Low Tol]],"Pass","Fail"),IF(Table1[[#This Row],[DUT Adj Read]]&gt;Table1[[#This Row],[Low Tol]],"Pass","Fail")))</f>
        <v>Pass</v>
      </c>
      <c r="AE1196" s="1" t="str">
        <f>IF(AND(Table1[[#This Row],[Spec Type2]]="N/A",Table1[[#This Row],[DUT Adj Read]]="N/A",Table1[[#This Row],[Std Adj Read]]="N/A"),"N/A",IF(Table1[[#This Row],[DUT Adj Read]]="N/A",IF(Table1[[#This Row],[Std Adj Read]]&lt;Table1[[#This Row],[High Tol]],"Pass","Fail"),IF(Table1[[#This Row],[DUT Adj Read]]&lt;Table1[[#This Row],[High Tol]],"Pass","Fail")))</f>
        <v>Fail</v>
      </c>
      <c r="AF1196" s="1" t="str">
        <f>IF(AND(Table1[[#This Row],[Spec Type2]]="N/A",Table1[[#This Row],[DUT Adj Read]]="N/A",Table1[[#This Row],[Std Adj Read]]="N/A"),"N/A",IF(Table1[[#This Row],[DUT Adj Read]]="N/A",IF(Table1[[#This Row],[Std Adj Read]]&gt;=Table1[[#This Row],[Low Tol]],"Pass","Fail"),IF(Table1[[#This Row],[DUT Adj Read]]&gt;=Table1[[#This Row],[Low Tol]],"Pass","Fail")))</f>
        <v>Pass</v>
      </c>
      <c r="AG1196" s="1" t="str">
        <f>IF(AND(Table1[[#This Row],[Spec Type2]]="N/A",Table1[[#This Row],[DUT Adj Read]]="N/A",Table1[[#This Row],[Std Adj Read]]="N/A"),"N/A",IF(Table1[[#This Row],[DUT Adj Read]]="N/A",IF(Table1[[#This Row],[Std Adj Read]]&lt;=Table1[[#This Row],[High Tol]],"Pass","Fail"),IF(Table1[[#This Row],[DUT Adj Read]]&lt;=Table1[[#This Row],[High Tol]],"Pass","Fail")))</f>
        <v>Fail</v>
      </c>
      <c r="AH11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6" s="1" t="b">
        <v>0</v>
      </c>
      <c r="AN1196" s="1" t="b">
        <v>0</v>
      </c>
      <c r="AO1196" s="1" t="b">
        <v>0</v>
      </c>
    </row>
    <row r="1197" spans="1:41" x14ac:dyDescent="0.25">
      <c r="A1197" s="10"/>
      <c r="B1197" s="10"/>
      <c r="C1197" s="10"/>
      <c r="D1197" s="10"/>
      <c r="E1197" s="10"/>
      <c r="F1197" s="10"/>
      <c r="G1197" s="10"/>
      <c r="H1197" s="10"/>
      <c r="I1197" s="1" t="str">
        <f t="shared" si="54"/>
        <v/>
      </c>
      <c r="J1197" s="1" t="s">
        <v>35</v>
      </c>
      <c r="K1197" s="1" t="str">
        <f t="shared" si="55"/>
        <v/>
      </c>
      <c r="L1197" s="1" t="str">
        <f t="shared" si="56"/>
        <v/>
      </c>
      <c r="M1197" s="1">
        <f>IF(OR(Table1[[#This Row],[Std Nom]]="",Table1[[#This Row],[Std Read]]=""),0,Table1[[#This Row],[Std Nom]]-Table1[[#This Row],[Std Read]])</f>
        <v>0</v>
      </c>
      <c r="N1197" s="1">
        <f>IF(Calculations!$F$5="ACCREDITED 17025 WITH UNCERTAINTIES",$N$10,0)</f>
        <v>0</v>
      </c>
      <c r="Q1197" s="1">
        <f>Table1[[#This Row],[High Tol]]-Table1[[#This Row],[Low Tol]]</f>
        <v>0</v>
      </c>
      <c r="R1197" s="1">
        <f>2*Table1[[#This Row],[Std Error]]</f>
        <v>0</v>
      </c>
      <c r="S1197" s="1" t="str">
        <f>IF(Table1[[#This Row],[High Tol]]="","N/A",IFERROR(ABS(Table1[[#This Row],[Tol Span]]/Table1[[#This Row],[Error Span]]),"N/A"))</f>
        <v>N/A</v>
      </c>
      <c r="T1197" s="1" t="str">
        <f>IF(OR(Table1[[#This Row],[Low Tol]]="",Table1[[#This Row],[High Tol]]=""),"Needs Analysis",IF(Table1[[#This Row],[Ratio]]&gt;=4,"Not Significant",IF(Table1[[#This Row],[Ratio]]&gt;=2,"Semi-Significant","Significant")))</f>
        <v>Needs Analysis</v>
      </c>
      <c r="W1197" s="1">
        <f>IF(Table1[[#This Row],[Cal Type]]&lt;&gt;"ACCREDITED 17025 WITH UNCERTAINTIES",0,"")</f>
        <v>0</v>
      </c>
      <c r="X1197" s="1" t="str">
        <f>IF(Table1[[#This Row],[DUT Read]]="","N/A",Table1[[#This Row],[Std Error]]+Table1[[#This Row],[DUT Read]]+Table1[[#This Row],[DUT Ucty]])</f>
        <v>N/A</v>
      </c>
      <c r="Y1197" s="1" t="str">
        <f>IF(Table1[[#This Row],[Std Read]]="","N/A",Table1[[#This Row],[Std Read]]+Table1[[#This Row],[Std Ucty]])</f>
        <v>N/A</v>
      </c>
      <c r="Z11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7" s="1" t="str">
        <f>IF(Table1[[#This Row],[Spec Type]]="","N/A",Table1[[#This Row],[Spec Type]])</f>
        <v>±</v>
      </c>
      <c r="AC1197" s="1" t="str">
        <f>IF(Table1[[#This Row],[Spec Type2]]="N/A","N/A",IF(AND(Table1[[#This Row],[DUT Adj Read]]&gt;=Table1[[#This Row],[Low Tol]],Table1[[#This Row],[DUT Adj Read]]&lt;=Table1[[#This Row],[High Tol]]),"Pass","Fail"))</f>
        <v>Fail</v>
      </c>
      <c r="AD1197" s="1" t="str">
        <f>IF(AND(Table1[[#This Row],[Spec Type2]]="N/A",Table1[[#This Row],[DUT Adj Read]]="N/A",Table1[[#This Row],[Std Adj Read]]="N/A"),"N/A",IF(Table1[[#This Row],[DUT Adj Read]]="N/A",IF(Table1[[#This Row],[Std Adj Read]]&gt;Table1[[#This Row],[Low Tol]],"Pass","Fail"),IF(Table1[[#This Row],[DUT Adj Read]]&gt;Table1[[#This Row],[Low Tol]],"Pass","Fail")))</f>
        <v>Pass</v>
      </c>
      <c r="AE1197" s="1" t="str">
        <f>IF(AND(Table1[[#This Row],[Spec Type2]]="N/A",Table1[[#This Row],[DUT Adj Read]]="N/A",Table1[[#This Row],[Std Adj Read]]="N/A"),"N/A",IF(Table1[[#This Row],[DUT Adj Read]]="N/A",IF(Table1[[#This Row],[Std Adj Read]]&lt;Table1[[#This Row],[High Tol]],"Pass","Fail"),IF(Table1[[#This Row],[DUT Adj Read]]&lt;Table1[[#This Row],[High Tol]],"Pass","Fail")))</f>
        <v>Fail</v>
      </c>
      <c r="AF1197" s="1" t="str">
        <f>IF(AND(Table1[[#This Row],[Spec Type2]]="N/A",Table1[[#This Row],[DUT Adj Read]]="N/A",Table1[[#This Row],[Std Adj Read]]="N/A"),"N/A",IF(Table1[[#This Row],[DUT Adj Read]]="N/A",IF(Table1[[#This Row],[Std Adj Read]]&gt;=Table1[[#This Row],[Low Tol]],"Pass","Fail"),IF(Table1[[#This Row],[DUT Adj Read]]&gt;=Table1[[#This Row],[Low Tol]],"Pass","Fail")))</f>
        <v>Pass</v>
      </c>
      <c r="AG1197" s="1" t="str">
        <f>IF(AND(Table1[[#This Row],[Spec Type2]]="N/A",Table1[[#This Row],[DUT Adj Read]]="N/A",Table1[[#This Row],[Std Adj Read]]="N/A"),"N/A",IF(Table1[[#This Row],[DUT Adj Read]]="N/A",IF(Table1[[#This Row],[Std Adj Read]]&lt;=Table1[[#This Row],[High Tol]],"Pass","Fail"),IF(Table1[[#This Row],[DUT Adj Read]]&lt;=Table1[[#This Row],[High Tol]],"Pass","Fail")))</f>
        <v>Fail</v>
      </c>
      <c r="AH11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7" s="1" t="b">
        <v>0</v>
      </c>
      <c r="AN1197" s="1" t="b">
        <v>0</v>
      </c>
      <c r="AO1197" s="1" t="b">
        <v>0</v>
      </c>
    </row>
    <row r="1198" spans="1:41" x14ac:dyDescent="0.25">
      <c r="A1198" s="10"/>
      <c r="B1198" s="10"/>
      <c r="C1198" s="10"/>
      <c r="D1198" s="10"/>
      <c r="E1198" s="10"/>
      <c r="F1198" s="10"/>
      <c r="G1198" s="10"/>
      <c r="H1198" s="10"/>
      <c r="I1198" s="1" t="str">
        <f t="shared" si="54"/>
        <v/>
      </c>
      <c r="J1198" s="1" t="s">
        <v>35</v>
      </c>
      <c r="K1198" s="1" t="str">
        <f t="shared" si="55"/>
        <v/>
      </c>
      <c r="L1198" s="1" t="str">
        <f t="shared" si="56"/>
        <v/>
      </c>
      <c r="M1198" s="1">
        <f>IF(OR(Table1[[#This Row],[Std Nom]]="",Table1[[#This Row],[Std Read]]=""),0,Table1[[#This Row],[Std Nom]]-Table1[[#This Row],[Std Read]])</f>
        <v>0</v>
      </c>
      <c r="N1198" s="1">
        <f>IF(Calculations!$F$5="ACCREDITED 17025 WITH UNCERTAINTIES",$N$10,0)</f>
        <v>0</v>
      </c>
      <c r="Q1198" s="1">
        <f>Table1[[#This Row],[High Tol]]-Table1[[#This Row],[Low Tol]]</f>
        <v>0</v>
      </c>
      <c r="R1198" s="1">
        <f>2*Table1[[#This Row],[Std Error]]</f>
        <v>0</v>
      </c>
      <c r="S1198" s="1" t="str">
        <f>IF(Table1[[#This Row],[High Tol]]="","N/A",IFERROR(ABS(Table1[[#This Row],[Tol Span]]/Table1[[#This Row],[Error Span]]),"N/A"))</f>
        <v>N/A</v>
      </c>
      <c r="T1198" s="1" t="str">
        <f>IF(OR(Table1[[#This Row],[Low Tol]]="",Table1[[#This Row],[High Tol]]=""),"Needs Analysis",IF(Table1[[#This Row],[Ratio]]&gt;=4,"Not Significant",IF(Table1[[#This Row],[Ratio]]&gt;=2,"Semi-Significant","Significant")))</f>
        <v>Needs Analysis</v>
      </c>
      <c r="W1198" s="1">
        <f>IF(Table1[[#This Row],[Cal Type]]&lt;&gt;"ACCREDITED 17025 WITH UNCERTAINTIES",0,"")</f>
        <v>0</v>
      </c>
      <c r="X1198" s="1" t="str">
        <f>IF(Table1[[#This Row],[DUT Read]]="","N/A",Table1[[#This Row],[Std Error]]+Table1[[#This Row],[DUT Read]]+Table1[[#This Row],[DUT Ucty]])</f>
        <v>N/A</v>
      </c>
      <c r="Y1198" s="1" t="str">
        <f>IF(Table1[[#This Row],[Std Read]]="","N/A",Table1[[#This Row],[Std Read]]+Table1[[#This Row],[Std Ucty]])</f>
        <v>N/A</v>
      </c>
      <c r="Z11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8" s="1" t="str">
        <f>IF(Table1[[#This Row],[Spec Type]]="","N/A",Table1[[#This Row],[Spec Type]])</f>
        <v>±</v>
      </c>
      <c r="AC1198" s="1" t="str">
        <f>IF(Table1[[#This Row],[Spec Type2]]="N/A","N/A",IF(AND(Table1[[#This Row],[DUT Adj Read]]&gt;=Table1[[#This Row],[Low Tol]],Table1[[#This Row],[DUT Adj Read]]&lt;=Table1[[#This Row],[High Tol]]),"Pass","Fail"))</f>
        <v>Fail</v>
      </c>
      <c r="AD1198" s="1" t="str">
        <f>IF(AND(Table1[[#This Row],[Spec Type2]]="N/A",Table1[[#This Row],[DUT Adj Read]]="N/A",Table1[[#This Row],[Std Adj Read]]="N/A"),"N/A",IF(Table1[[#This Row],[DUT Adj Read]]="N/A",IF(Table1[[#This Row],[Std Adj Read]]&gt;Table1[[#This Row],[Low Tol]],"Pass","Fail"),IF(Table1[[#This Row],[DUT Adj Read]]&gt;Table1[[#This Row],[Low Tol]],"Pass","Fail")))</f>
        <v>Pass</v>
      </c>
      <c r="AE1198" s="1" t="str">
        <f>IF(AND(Table1[[#This Row],[Spec Type2]]="N/A",Table1[[#This Row],[DUT Adj Read]]="N/A",Table1[[#This Row],[Std Adj Read]]="N/A"),"N/A",IF(Table1[[#This Row],[DUT Adj Read]]="N/A",IF(Table1[[#This Row],[Std Adj Read]]&lt;Table1[[#This Row],[High Tol]],"Pass","Fail"),IF(Table1[[#This Row],[DUT Adj Read]]&lt;Table1[[#This Row],[High Tol]],"Pass","Fail")))</f>
        <v>Fail</v>
      </c>
      <c r="AF1198" s="1" t="str">
        <f>IF(AND(Table1[[#This Row],[Spec Type2]]="N/A",Table1[[#This Row],[DUT Adj Read]]="N/A",Table1[[#This Row],[Std Adj Read]]="N/A"),"N/A",IF(Table1[[#This Row],[DUT Adj Read]]="N/A",IF(Table1[[#This Row],[Std Adj Read]]&gt;=Table1[[#This Row],[Low Tol]],"Pass","Fail"),IF(Table1[[#This Row],[DUT Adj Read]]&gt;=Table1[[#This Row],[Low Tol]],"Pass","Fail")))</f>
        <v>Pass</v>
      </c>
      <c r="AG1198" s="1" t="str">
        <f>IF(AND(Table1[[#This Row],[Spec Type2]]="N/A",Table1[[#This Row],[DUT Adj Read]]="N/A",Table1[[#This Row],[Std Adj Read]]="N/A"),"N/A",IF(Table1[[#This Row],[DUT Adj Read]]="N/A",IF(Table1[[#This Row],[Std Adj Read]]&lt;=Table1[[#This Row],[High Tol]],"Pass","Fail"),IF(Table1[[#This Row],[DUT Adj Read]]&lt;=Table1[[#This Row],[High Tol]],"Pass","Fail")))</f>
        <v>Fail</v>
      </c>
      <c r="AH11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8" s="1" t="b">
        <v>0</v>
      </c>
      <c r="AN1198" s="1" t="b">
        <v>0</v>
      </c>
      <c r="AO1198" s="1" t="b">
        <v>0</v>
      </c>
    </row>
    <row r="1199" spans="1:41" x14ac:dyDescent="0.25">
      <c r="A1199" s="10"/>
      <c r="B1199" s="10"/>
      <c r="C1199" s="10"/>
      <c r="D1199" s="10"/>
      <c r="E1199" s="10"/>
      <c r="F1199" s="10"/>
      <c r="G1199" s="10"/>
      <c r="H1199" s="10"/>
      <c r="I1199" s="1" t="str">
        <f t="shared" si="54"/>
        <v/>
      </c>
      <c r="J1199" s="1" t="s">
        <v>35</v>
      </c>
      <c r="K1199" s="1" t="str">
        <f t="shared" si="55"/>
        <v/>
      </c>
      <c r="L1199" s="1" t="str">
        <f t="shared" si="56"/>
        <v/>
      </c>
      <c r="M1199" s="1">
        <f>IF(OR(Table1[[#This Row],[Std Nom]]="",Table1[[#This Row],[Std Read]]=""),0,Table1[[#This Row],[Std Nom]]-Table1[[#This Row],[Std Read]])</f>
        <v>0</v>
      </c>
      <c r="N1199" s="1">
        <f>IF(Calculations!$F$5="ACCREDITED 17025 WITH UNCERTAINTIES",$N$10,0)</f>
        <v>0</v>
      </c>
      <c r="Q1199" s="1">
        <f>Table1[[#This Row],[High Tol]]-Table1[[#This Row],[Low Tol]]</f>
        <v>0</v>
      </c>
      <c r="R1199" s="1">
        <f>2*Table1[[#This Row],[Std Error]]</f>
        <v>0</v>
      </c>
      <c r="S1199" s="1" t="str">
        <f>IF(Table1[[#This Row],[High Tol]]="","N/A",IFERROR(ABS(Table1[[#This Row],[Tol Span]]/Table1[[#This Row],[Error Span]]),"N/A"))</f>
        <v>N/A</v>
      </c>
      <c r="T1199" s="1" t="str">
        <f>IF(OR(Table1[[#This Row],[Low Tol]]="",Table1[[#This Row],[High Tol]]=""),"Needs Analysis",IF(Table1[[#This Row],[Ratio]]&gt;=4,"Not Significant",IF(Table1[[#This Row],[Ratio]]&gt;=2,"Semi-Significant","Significant")))</f>
        <v>Needs Analysis</v>
      </c>
      <c r="W1199" s="1">
        <f>IF(Table1[[#This Row],[Cal Type]]&lt;&gt;"ACCREDITED 17025 WITH UNCERTAINTIES",0,"")</f>
        <v>0</v>
      </c>
      <c r="X1199" s="1" t="str">
        <f>IF(Table1[[#This Row],[DUT Read]]="","N/A",Table1[[#This Row],[Std Error]]+Table1[[#This Row],[DUT Read]]+Table1[[#This Row],[DUT Ucty]])</f>
        <v>N/A</v>
      </c>
      <c r="Y1199" s="1" t="str">
        <f>IF(Table1[[#This Row],[Std Read]]="","N/A",Table1[[#This Row],[Std Read]]+Table1[[#This Row],[Std Ucty]])</f>
        <v>N/A</v>
      </c>
      <c r="Z11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199" s="1" t="str">
        <f>IF(Table1[[#This Row],[Spec Type]]="","N/A",Table1[[#This Row],[Spec Type]])</f>
        <v>±</v>
      </c>
      <c r="AC1199" s="1" t="str">
        <f>IF(Table1[[#This Row],[Spec Type2]]="N/A","N/A",IF(AND(Table1[[#This Row],[DUT Adj Read]]&gt;=Table1[[#This Row],[Low Tol]],Table1[[#This Row],[DUT Adj Read]]&lt;=Table1[[#This Row],[High Tol]]),"Pass","Fail"))</f>
        <v>Fail</v>
      </c>
      <c r="AD1199" s="1" t="str">
        <f>IF(AND(Table1[[#This Row],[Spec Type2]]="N/A",Table1[[#This Row],[DUT Adj Read]]="N/A",Table1[[#This Row],[Std Adj Read]]="N/A"),"N/A",IF(Table1[[#This Row],[DUT Adj Read]]="N/A",IF(Table1[[#This Row],[Std Adj Read]]&gt;Table1[[#This Row],[Low Tol]],"Pass","Fail"),IF(Table1[[#This Row],[DUT Adj Read]]&gt;Table1[[#This Row],[Low Tol]],"Pass","Fail")))</f>
        <v>Pass</v>
      </c>
      <c r="AE1199" s="1" t="str">
        <f>IF(AND(Table1[[#This Row],[Spec Type2]]="N/A",Table1[[#This Row],[DUT Adj Read]]="N/A",Table1[[#This Row],[Std Adj Read]]="N/A"),"N/A",IF(Table1[[#This Row],[DUT Adj Read]]="N/A",IF(Table1[[#This Row],[Std Adj Read]]&lt;Table1[[#This Row],[High Tol]],"Pass","Fail"),IF(Table1[[#This Row],[DUT Adj Read]]&lt;Table1[[#This Row],[High Tol]],"Pass","Fail")))</f>
        <v>Fail</v>
      </c>
      <c r="AF1199" s="1" t="str">
        <f>IF(AND(Table1[[#This Row],[Spec Type2]]="N/A",Table1[[#This Row],[DUT Adj Read]]="N/A",Table1[[#This Row],[Std Adj Read]]="N/A"),"N/A",IF(Table1[[#This Row],[DUT Adj Read]]="N/A",IF(Table1[[#This Row],[Std Adj Read]]&gt;=Table1[[#This Row],[Low Tol]],"Pass","Fail"),IF(Table1[[#This Row],[DUT Adj Read]]&gt;=Table1[[#This Row],[Low Tol]],"Pass","Fail")))</f>
        <v>Pass</v>
      </c>
      <c r="AG1199" s="1" t="str">
        <f>IF(AND(Table1[[#This Row],[Spec Type2]]="N/A",Table1[[#This Row],[DUT Adj Read]]="N/A",Table1[[#This Row],[Std Adj Read]]="N/A"),"N/A",IF(Table1[[#This Row],[DUT Adj Read]]="N/A",IF(Table1[[#This Row],[Std Adj Read]]&lt;=Table1[[#This Row],[High Tol]],"Pass","Fail"),IF(Table1[[#This Row],[DUT Adj Read]]&lt;=Table1[[#This Row],[High Tol]],"Pass","Fail")))</f>
        <v>Fail</v>
      </c>
      <c r="AH11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199" s="1" t="b">
        <v>0</v>
      </c>
      <c r="AN1199" s="1" t="b">
        <v>0</v>
      </c>
      <c r="AO1199" s="1" t="b">
        <v>0</v>
      </c>
    </row>
    <row r="1200" spans="1:41" x14ac:dyDescent="0.25">
      <c r="A1200" s="10"/>
      <c r="B1200" s="10"/>
      <c r="C1200" s="10"/>
      <c r="D1200" s="10"/>
      <c r="E1200" s="10"/>
      <c r="F1200" s="10"/>
      <c r="G1200" s="10"/>
      <c r="H1200" s="10"/>
      <c r="I1200" s="1" t="str">
        <f t="shared" si="54"/>
        <v/>
      </c>
      <c r="J1200" s="1" t="s">
        <v>35</v>
      </c>
      <c r="K1200" s="1" t="str">
        <f t="shared" si="55"/>
        <v/>
      </c>
      <c r="L1200" s="1" t="str">
        <f t="shared" si="56"/>
        <v/>
      </c>
      <c r="M1200" s="1">
        <f>IF(OR(Table1[[#This Row],[Std Nom]]="",Table1[[#This Row],[Std Read]]=""),0,Table1[[#This Row],[Std Nom]]-Table1[[#This Row],[Std Read]])</f>
        <v>0</v>
      </c>
      <c r="N1200" s="1">
        <f>IF(Calculations!$F$5="ACCREDITED 17025 WITH UNCERTAINTIES",$N$10,0)</f>
        <v>0</v>
      </c>
      <c r="Q1200" s="1">
        <f>Table1[[#This Row],[High Tol]]-Table1[[#This Row],[Low Tol]]</f>
        <v>0</v>
      </c>
      <c r="R1200" s="1">
        <f>2*Table1[[#This Row],[Std Error]]</f>
        <v>0</v>
      </c>
      <c r="S1200" s="1" t="str">
        <f>IF(Table1[[#This Row],[High Tol]]="","N/A",IFERROR(ABS(Table1[[#This Row],[Tol Span]]/Table1[[#This Row],[Error Span]]),"N/A"))</f>
        <v>N/A</v>
      </c>
      <c r="T1200" s="1" t="str">
        <f>IF(OR(Table1[[#This Row],[Low Tol]]="",Table1[[#This Row],[High Tol]]=""),"Needs Analysis",IF(Table1[[#This Row],[Ratio]]&gt;=4,"Not Significant",IF(Table1[[#This Row],[Ratio]]&gt;=2,"Semi-Significant","Significant")))</f>
        <v>Needs Analysis</v>
      </c>
      <c r="W1200" s="1">
        <f>IF(Table1[[#This Row],[Cal Type]]&lt;&gt;"ACCREDITED 17025 WITH UNCERTAINTIES",0,"")</f>
        <v>0</v>
      </c>
      <c r="X1200" s="1" t="str">
        <f>IF(Table1[[#This Row],[DUT Read]]="","N/A",Table1[[#This Row],[Std Error]]+Table1[[#This Row],[DUT Read]]+Table1[[#This Row],[DUT Ucty]])</f>
        <v>N/A</v>
      </c>
      <c r="Y1200" s="1" t="str">
        <f>IF(Table1[[#This Row],[Std Read]]="","N/A",Table1[[#This Row],[Std Read]]+Table1[[#This Row],[Std Ucty]])</f>
        <v>N/A</v>
      </c>
      <c r="Z12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0" s="1" t="str">
        <f>IF(Table1[[#This Row],[Spec Type]]="","N/A",Table1[[#This Row],[Spec Type]])</f>
        <v>±</v>
      </c>
      <c r="AC1200" s="1" t="str">
        <f>IF(Table1[[#This Row],[Spec Type2]]="N/A","N/A",IF(AND(Table1[[#This Row],[DUT Adj Read]]&gt;=Table1[[#This Row],[Low Tol]],Table1[[#This Row],[DUT Adj Read]]&lt;=Table1[[#This Row],[High Tol]]),"Pass","Fail"))</f>
        <v>Fail</v>
      </c>
      <c r="AD1200" s="1" t="str">
        <f>IF(AND(Table1[[#This Row],[Spec Type2]]="N/A",Table1[[#This Row],[DUT Adj Read]]="N/A",Table1[[#This Row],[Std Adj Read]]="N/A"),"N/A",IF(Table1[[#This Row],[DUT Adj Read]]="N/A",IF(Table1[[#This Row],[Std Adj Read]]&gt;Table1[[#This Row],[Low Tol]],"Pass","Fail"),IF(Table1[[#This Row],[DUT Adj Read]]&gt;Table1[[#This Row],[Low Tol]],"Pass","Fail")))</f>
        <v>Pass</v>
      </c>
      <c r="AE1200" s="1" t="str">
        <f>IF(AND(Table1[[#This Row],[Spec Type2]]="N/A",Table1[[#This Row],[DUT Adj Read]]="N/A",Table1[[#This Row],[Std Adj Read]]="N/A"),"N/A",IF(Table1[[#This Row],[DUT Adj Read]]="N/A",IF(Table1[[#This Row],[Std Adj Read]]&lt;Table1[[#This Row],[High Tol]],"Pass","Fail"),IF(Table1[[#This Row],[DUT Adj Read]]&lt;Table1[[#This Row],[High Tol]],"Pass","Fail")))</f>
        <v>Fail</v>
      </c>
      <c r="AF1200" s="1" t="str">
        <f>IF(AND(Table1[[#This Row],[Spec Type2]]="N/A",Table1[[#This Row],[DUT Adj Read]]="N/A",Table1[[#This Row],[Std Adj Read]]="N/A"),"N/A",IF(Table1[[#This Row],[DUT Adj Read]]="N/A",IF(Table1[[#This Row],[Std Adj Read]]&gt;=Table1[[#This Row],[Low Tol]],"Pass","Fail"),IF(Table1[[#This Row],[DUT Adj Read]]&gt;=Table1[[#This Row],[Low Tol]],"Pass","Fail")))</f>
        <v>Pass</v>
      </c>
      <c r="AG1200" s="1" t="str">
        <f>IF(AND(Table1[[#This Row],[Spec Type2]]="N/A",Table1[[#This Row],[DUT Adj Read]]="N/A",Table1[[#This Row],[Std Adj Read]]="N/A"),"N/A",IF(Table1[[#This Row],[DUT Adj Read]]="N/A",IF(Table1[[#This Row],[Std Adj Read]]&lt;=Table1[[#This Row],[High Tol]],"Pass","Fail"),IF(Table1[[#This Row],[DUT Adj Read]]&lt;=Table1[[#This Row],[High Tol]],"Pass","Fail")))</f>
        <v>Fail</v>
      </c>
      <c r="AH12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0" s="1" t="b">
        <v>0</v>
      </c>
      <c r="AN1200" s="1" t="b">
        <v>0</v>
      </c>
      <c r="AO1200" s="1" t="b">
        <v>0</v>
      </c>
    </row>
    <row r="1201" spans="1:41" x14ac:dyDescent="0.25">
      <c r="A1201" s="10"/>
      <c r="B1201" s="10"/>
      <c r="C1201" s="10"/>
      <c r="D1201" s="10"/>
      <c r="E1201" s="10"/>
      <c r="F1201" s="10"/>
      <c r="G1201" s="10"/>
      <c r="H1201" s="10"/>
      <c r="I1201" s="1" t="str">
        <f t="shared" si="54"/>
        <v/>
      </c>
      <c r="J1201" s="1" t="s">
        <v>35</v>
      </c>
      <c r="K1201" s="1" t="str">
        <f t="shared" si="55"/>
        <v/>
      </c>
      <c r="L1201" s="1" t="str">
        <f t="shared" si="56"/>
        <v/>
      </c>
      <c r="M1201" s="1">
        <f>IF(OR(Table1[[#This Row],[Std Nom]]="",Table1[[#This Row],[Std Read]]=""),0,Table1[[#This Row],[Std Nom]]-Table1[[#This Row],[Std Read]])</f>
        <v>0</v>
      </c>
      <c r="N1201" s="1">
        <f>IF(Calculations!$F$5="ACCREDITED 17025 WITH UNCERTAINTIES",$N$10,0)</f>
        <v>0</v>
      </c>
      <c r="Q1201" s="1">
        <f>Table1[[#This Row],[High Tol]]-Table1[[#This Row],[Low Tol]]</f>
        <v>0</v>
      </c>
      <c r="R1201" s="1">
        <f>2*Table1[[#This Row],[Std Error]]</f>
        <v>0</v>
      </c>
      <c r="S1201" s="1" t="str">
        <f>IF(Table1[[#This Row],[High Tol]]="","N/A",IFERROR(ABS(Table1[[#This Row],[Tol Span]]/Table1[[#This Row],[Error Span]]),"N/A"))</f>
        <v>N/A</v>
      </c>
      <c r="T1201" s="1" t="str">
        <f>IF(OR(Table1[[#This Row],[Low Tol]]="",Table1[[#This Row],[High Tol]]=""),"Needs Analysis",IF(Table1[[#This Row],[Ratio]]&gt;=4,"Not Significant",IF(Table1[[#This Row],[Ratio]]&gt;=2,"Semi-Significant","Significant")))</f>
        <v>Needs Analysis</v>
      </c>
      <c r="W1201" s="1">
        <f>IF(Table1[[#This Row],[Cal Type]]&lt;&gt;"ACCREDITED 17025 WITH UNCERTAINTIES",0,"")</f>
        <v>0</v>
      </c>
      <c r="X1201" s="1" t="str">
        <f>IF(Table1[[#This Row],[DUT Read]]="","N/A",Table1[[#This Row],[Std Error]]+Table1[[#This Row],[DUT Read]]+Table1[[#This Row],[DUT Ucty]])</f>
        <v>N/A</v>
      </c>
      <c r="Y1201" s="1" t="str">
        <f>IF(Table1[[#This Row],[Std Read]]="","N/A",Table1[[#This Row],[Std Read]]+Table1[[#This Row],[Std Ucty]])</f>
        <v>N/A</v>
      </c>
      <c r="Z12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1" s="1" t="str">
        <f>IF(Table1[[#This Row],[Spec Type]]="","N/A",Table1[[#This Row],[Spec Type]])</f>
        <v>±</v>
      </c>
      <c r="AC1201" s="1" t="str">
        <f>IF(Table1[[#This Row],[Spec Type2]]="N/A","N/A",IF(AND(Table1[[#This Row],[DUT Adj Read]]&gt;=Table1[[#This Row],[Low Tol]],Table1[[#This Row],[DUT Adj Read]]&lt;=Table1[[#This Row],[High Tol]]),"Pass","Fail"))</f>
        <v>Fail</v>
      </c>
      <c r="AD1201" s="1" t="str">
        <f>IF(AND(Table1[[#This Row],[Spec Type2]]="N/A",Table1[[#This Row],[DUT Adj Read]]="N/A",Table1[[#This Row],[Std Adj Read]]="N/A"),"N/A",IF(Table1[[#This Row],[DUT Adj Read]]="N/A",IF(Table1[[#This Row],[Std Adj Read]]&gt;Table1[[#This Row],[Low Tol]],"Pass","Fail"),IF(Table1[[#This Row],[DUT Adj Read]]&gt;Table1[[#This Row],[Low Tol]],"Pass","Fail")))</f>
        <v>Pass</v>
      </c>
      <c r="AE1201" s="1" t="str">
        <f>IF(AND(Table1[[#This Row],[Spec Type2]]="N/A",Table1[[#This Row],[DUT Adj Read]]="N/A",Table1[[#This Row],[Std Adj Read]]="N/A"),"N/A",IF(Table1[[#This Row],[DUT Adj Read]]="N/A",IF(Table1[[#This Row],[Std Adj Read]]&lt;Table1[[#This Row],[High Tol]],"Pass","Fail"),IF(Table1[[#This Row],[DUT Adj Read]]&lt;Table1[[#This Row],[High Tol]],"Pass","Fail")))</f>
        <v>Fail</v>
      </c>
      <c r="AF1201" s="1" t="str">
        <f>IF(AND(Table1[[#This Row],[Spec Type2]]="N/A",Table1[[#This Row],[DUT Adj Read]]="N/A",Table1[[#This Row],[Std Adj Read]]="N/A"),"N/A",IF(Table1[[#This Row],[DUT Adj Read]]="N/A",IF(Table1[[#This Row],[Std Adj Read]]&gt;=Table1[[#This Row],[Low Tol]],"Pass","Fail"),IF(Table1[[#This Row],[DUT Adj Read]]&gt;=Table1[[#This Row],[Low Tol]],"Pass","Fail")))</f>
        <v>Pass</v>
      </c>
      <c r="AG1201" s="1" t="str">
        <f>IF(AND(Table1[[#This Row],[Spec Type2]]="N/A",Table1[[#This Row],[DUT Adj Read]]="N/A",Table1[[#This Row],[Std Adj Read]]="N/A"),"N/A",IF(Table1[[#This Row],[DUT Adj Read]]="N/A",IF(Table1[[#This Row],[Std Adj Read]]&lt;=Table1[[#This Row],[High Tol]],"Pass","Fail"),IF(Table1[[#This Row],[DUT Adj Read]]&lt;=Table1[[#This Row],[High Tol]],"Pass","Fail")))</f>
        <v>Fail</v>
      </c>
      <c r="AH12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1" s="1" t="b">
        <v>0</v>
      </c>
      <c r="AN1201" s="1" t="b">
        <v>0</v>
      </c>
      <c r="AO1201" s="1" t="b">
        <v>0</v>
      </c>
    </row>
    <row r="1202" spans="1:41" x14ac:dyDescent="0.25">
      <c r="A1202" s="10"/>
      <c r="B1202" s="10"/>
      <c r="C1202" s="10"/>
      <c r="D1202" s="10"/>
      <c r="E1202" s="10"/>
      <c r="F1202" s="10"/>
      <c r="G1202" s="10"/>
      <c r="H1202" s="10"/>
      <c r="I1202" s="1" t="str">
        <f t="shared" si="54"/>
        <v/>
      </c>
      <c r="J1202" s="1" t="s">
        <v>35</v>
      </c>
      <c r="K1202" s="1" t="str">
        <f t="shared" si="55"/>
        <v/>
      </c>
      <c r="L1202" s="1" t="str">
        <f t="shared" si="56"/>
        <v/>
      </c>
      <c r="M1202" s="1">
        <f>IF(OR(Table1[[#This Row],[Std Nom]]="",Table1[[#This Row],[Std Read]]=""),0,Table1[[#This Row],[Std Nom]]-Table1[[#This Row],[Std Read]])</f>
        <v>0</v>
      </c>
      <c r="N1202" s="1">
        <f>IF(Calculations!$F$5="ACCREDITED 17025 WITH UNCERTAINTIES",$N$10,0)</f>
        <v>0</v>
      </c>
      <c r="Q1202" s="1">
        <f>Table1[[#This Row],[High Tol]]-Table1[[#This Row],[Low Tol]]</f>
        <v>0</v>
      </c>
      <c r="R1202" s="1">
        <f>2*Table1[[#This Row],[Std Error]]</f>
        <v>0</v>
      </c>
      <c r="S1202" s="1" t="str">
        <f>IF(Table1[[#This Row],[High Tol]]="","N/A",IFERROR(ABS(Table1[[#This Row],[Tol Span]]/Table1[[#This Row],[Error Span]]),"N/A"))</f>
        <v>N/A</v>
      </c>
      <c r="T1202" s="1" t="str">
        <f>IF(OR(Table1[[#This Row],[Low Tol]]="",Table1[[#This Row],[High Tol]]=""),"Needs Analysis",IF(Table1[[#This Row],[Ratio]]&gt;=4,"Not Significant",IF(Table1[[#This Row],[Ratio]]&gt;=2,"Semi-Significant","Significant")))</f>
        <v>Needs Analysis</v>
      </c>
      <c r="W1202" s="1">
        <f>IF(Table1[[#This Row],[Cal Type]]&lt;&gt;"ACCREDITED 17025 WITH UNCERTAINTIES",0,"")</f>
        <v>0</v>
      </c>
      <c r="X1202" s="1" t="str">
        <f>IF(Table1[[#This Row],[DUT Read]]="","N/A",Table1[[#This Row],[Std Error]]+Table1[[#This Row],[DUT Read]]+Table1[[#This Row],[DUT Ucty]])</f>
        <v>N/A</v>
      </c>
      <c r="Y1202" s="1" t="str">
        <f>IF(Table1[[#This Row],[Std Read]]="","N/A",Table1[[#This Row],[Std Read]]+Table1[[#This Row],[Std Ucty]])</f>
        <v>N/A</v>
      </c>
      <c r="Z12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2" s="1" t="str">
        <f>IF(Table1[[#This Row],[Spec Type]]="","N/A",Table1[[#This Row],[Spec Type]])</f>
        <v>±</v>
      </c>
      <c r="AC1202" s="1" t="str">
        <f>IF(Table1[[#This Row],[Spec Type2]]="N/A","N/A",IF(AND(Table1[[#This Row],[DUT Adj Read]]&gt;=Table1[[#This Row],[Low Tol]],Table1[[#This Row],[DUT Adj Read]]&lt;=Table1[[#This Row],[High Tol]]),"Pass","Fail"))</f>
        <v>Fail</v>
      </c>
      <c r="AD1202" s="1" t="str">
        <f>IF(AND(Table1[[#This Row],[Spec Type2]]="N/A",Table1[[#This Row],[DUT Adj Read]]="N/A",Table1[[#This Row],[Std Adj Read]]="N/A"),"N/A",IF(Table1[[#This Row],[DUT Adj Read]]="N/A",IF(Table1[[#This Row],[Std Adj Read]]&gt;Table1[[#This Row],[Low Tol]],"Pass","Fail"),IF(Table1[[#This Row],[DUT Adj Read]]&gt;Table1[[#This Row],[Low Tol]],"Pass","Fail")))</f>
        <v>Pass</v>
      </c>
      <c r="AE1202" s="1" t="str">
        <f>IF(AND(Table1[[#This Row],[Spec Type2]]="N/A",Table1[[#This Row],[DUT Adj Read]]="N/A",Table1[[#This Row],[Std Adj Read]]="N/A"),"N/A",IF(Table1[[#This Row],[DUT Adj Read]]="N/A",IF(Table1[[#This Row],[Std Adj Read]]&lt;Table1[[#This Row],[High Tol]],"Pass","Fail"),IF(Table1[[#This Row],[DUT Adj Read]]&lt;Table1[[#This Row],[High Tol]],"Pass","Fail")))</f>
        <v>Fail</v>
      </c>
      <c r="AF1202" s="1" t="str">
        <f>IF(AND(Table1[[#This Row],[Spec Type2]]="N/A",Table1[[#This Row],[DUT Adj Read]]="N/A",Table1[[#This Row],[Std Adj Read]]="N/A"),"N/A",IF(Table1[[#This Row],[DUT Adj Read]]="N/A",IF(Table1[[#This Row],[Std Adj Read]]&gt;=Table1[[#This Row],[Low Tol]],"Pass","Fail"),IF(Table1[[#This Row],[DUT Adj Read]]&gt;=Table1[[#This Row],[Low Tol]],"Pass","Fail")))</f>
        <v>Pass</v>
      </c>
      <c r="AG1202" s="1" t="str">
        <f>IF(AND(Table1[[#This Row],[Spec Type2]]="N/A",Table1[[#This Row],[DUT Adj Read]]="N/A",Table1[[#This Row],[Std Adj Read]]="N/A"),"N/A",IF(Table1[[#This Row],[DUT Adj Read]]="N/A",IF(Table1[[#This Row],[Std Adj Read]]&lt;=Table1[[#This Row],[High Tol]],"Pass","Fail"),IF(Table1[[#This Row],[DUT Adj Read]]&lt;=Table1[[#This Row],[High Tol]],"Pass","Fail")))</f>
        <v>Fail</v>
      </c>
      <c r="AH12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2" s="1" t="b">
        <v>0</v>
      </c>
      <c r="AN1202" s="1" t="b">
        <v>0</v>
      </c>
      <c r="AO1202" s="1" t="b">
        <v>0</v>
      </c>
    </row>
    <row r="1203" spans="1:41" x14ac:dyDescent="0.25">
      <c r="A1203" s="10"/>
      <c r="B1203" s="10"/>
      <c r="C1203" s="10"/>
      <c r="D1203" s="10"/>
      <c r="E1203" s="10"/>
      <c r="F1203" s="10"/>
      <c r="G1203" s="10"/>
      <c r="H1203" s="10"/>
      <c r="I1203" s="1" t="str">
        <f t="shared" si="54"/>
        <v/>
      </c>
      <c r="J1203" s="1" t="s">
        <v>35</v>
      </c>
      <c r="K1203" s="1" t="str">
        <f t="shared" si="55"/>
        <v/>
      </c>
      <c r="L1203" s="1" t="str">
        <f t="shared" si="56"/>
        <v/>
      </c>
      <c r="M1203" s="1">
        <f>IF(OR(Table1[[#This Row],[Std Nom]]="",Table1[[#This Row],[Std Read]]=""),0,Table1[[#This Row],[Std Nom]]-Table1[[#This Row],[Std Read]])</f>
        <v>0</v>
      </c>
      <c r="N1203" s="1">
        <f>IF(Calculations!$F$5="ACCREDITED 17025 WITH UNCERTAINTIES",$N$10,0)</f>
        <v>0</v>
      </c>
      <c r="Q1203" s="1">
        <f>Table1[[#This Row],[High Tol]]-Table1[[#This Row],[Low Tol]]</f>
        <v>0</v>
      </c>
      <c r="R1203" s="1">
        <f>2*Table1[[#This Row],[Std Error]]</f>
        <v>0</v>
      </c>
      <c r="S1203" s="1" t="str">
        <f>IF(Table1[[#This Row],[High Tol]]="","N/A",IFERROR(ABS(Table1[[#This Row],[Tol Span]]/Table1[[#This Row],[Error Span]]),"N/A"))</f>
        <v>N/A</v>
      </c>
      <c r="T1203" s="1" t="str">
        <f>IF(OR(Table1[[#This Row],[Low Tol]]="",Table1[[#This Row],[High Tol]]=""),"Needs Analysis",IF(Table1[[#This Row],[Ratio]]&gt;=4,"Not Significant",IF(Table1[[#This Row],[Ratio]]&gt;=2,"Semi-Significant","Significant")))</f>
        <v>Needs Analysis</v>
      </c>
      <c r="W1203" s="1">
        <f>IF(Table1[[#This Row],[Cal Type]]&lt;&gt;"ACCREDITED 17025 WITH UNCERTAINTIES",0,"")</f>
        <v>0</v>
      </c>
      <c r="X1203" s="1" t="str">
        <f>IF(Table1[[#This Row],[DUT Read]]="","N/A",Table1[[#This Row],[Std Error]]+Table1[[#This Row],[DUT Read]]+Table1[[#This Row],[DUT Ucty]])</f>
        <v>N/A</v>
      </c>
      <c r="Y1203" s="1" t="str">
        <f>IF(Table1[[#This Row],[Std Read]]="","N/A",Table1[[#This Row],[Std Read]]+Table1[[#This Row],[Std Ucty]])</f>
        <v>N/A</v>
      </c>
      <c r="Z12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3" s="1" t="str">
        <f>IF(Table1[[#This Row],[Spec Type]]="","N/A",Table1[[#This Row],[Spec Type]])</f>
        <v>±</v>
      </c>
      <c r="AC1203" s="1" t="str">
        <f>IF(Table1[[#This Row],[Spec Type2]]="N/A","N/A",IF(AND(Table1[[#This Row],[DUT Adj Read]]&gt;=Table1[[#This Row],[Low Tol]],Table1[[#This Row],[DUT Adj Read]]&lt;=Table1[[#This Row],[High Tol]]),"Pass","Fail"))</f>
        <v>Fail</v>
      </c>
      <c r="AD1203" s="1" t="str">
        <f>IF(AND(Table1[[#This Row],[Spec Type2]]="N/A",Table1[[#This Row],[DUT Adj Read]]="N/A",Table1[[#This Row],[Std Adj Read]]="N/A"),"N/A",IF(Table1[[#This Row],[DUT Adj Read]]="N/A",IF(Table1[[#This Row],[Std Adj Read]]&gt;Table1[[#This Row],[Low Tol]],"Pass","Fail"),IF(Table1[[#This Row],[DUT Adj Read]]&gt;Table1[[#This Row],[Low Tol]],"Pass","Fail")))</f>
        <v>Pass</v>
      </c>
      <c r="AE1203" s="1" t="str">
        <f>IF(AND(Table1[[#This Row],[Spec Type2]]="N/A",Table1[[#This Row],[DUT Adj Read]]="N/A",Table1[[#This Row],[Std Adj Read]]="N/A"),"N/A",IF(Table1[[#This Row],[DUT Adj Read]]="N/A",IF(Table1[[#This Row],[Std Adj Read]]&lt;Table1[[#This Row],[High Tol]],"Pass","Fail"),IF(Table1[[#This Row],[DUT Adj Read]]&lt;Table1[[#This Row],[High Tol]],"Pass","Fail")))</f>
        <v>Fail</v>
      </c>
      <c r="AF1203" s="1" t="str">
        <f>IF(AND(Table1[[#This Row],[Spec Type2]]="N/A",Table1[[#This Row],[DUT Adj Read]]="N/A",Table1[[#This Row],[Std Adj Read]]="N/A"),"N/A",IF(Table1[[#This Row],[DUT Adj Read]]="N/A",IF(Table1[[#This Row],[Std Adj Read]]&gt;=Table1[[#This Row],[Low Tol]],"Pass","Fail"),IF(Table1[[#This Row],[DUT Adj Read]]&gt;=Table1[[#This Row],[Low Tol]],"Pass","Fail")))</f>
        <v>Pass</v>
      </c>
      <c r="AG1203" s="1" t="str">
        <f>IF(AND(Table1[[#This Row],[Spec Type2]]="N/A",Table1[[#This Row],[DUT Adj Read]]="N/A",Table1[[#This Row],[Std Adj Read]]="N/A"),"N/A",IF(Table1[[#This Row],[DUT Adj Read]]="N/A",IF(Table1[[#This Row],[Std Adj Read]]&lt;=Table1[[#This Row],[High Tol]],"Pass","Fail"),IF(Table1[[#This Row],[DUT Adj Read]]&lt;=Table1[[#This Row],[High Tol]],"Pass","Fail")))</f>
        <v>Fail</v>
      </c>
      <c r="AH12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3" s="1" t="b">
        <v>0</v>
      </c>
      <c r="AN1203" s="1" t="b">
        <v>0</v>
      </c>
      <c r="AO1203" s="1" t="b">
        <v>0</v>
      </c>
    </row>
    <row r="1204" spans="1:41" x14ac:dyDescent="0.25">
      <c r="A1204" s="10"/>
      <c r="B1204" s="10"/>
      <c r="C1204" s="10"/>
      <c r="D1204" s="10"/>
      <c r="E1204" s="10"/>
      <c r="F1204" s="10"/>
      <c r="G1204" s="10"/>
      <c r="H1204" s="10"/>
      <c r="I1204" s="1" t="str">
        <f t="shared" si="54"/>
        <v/>
      </c>
      <c r="J1204" s="1" t="s">
        <v>35</v>
      </c>
      <c r="K1204" s="1" t="str">
        <f t="shared" si="55"/>
        <v/>
      </c>
      <c r="L1204" s="1" t="str">
        <f t="shared" si="56"/>
        <v/>
      </c>
      <c r="M1204" s="1">
        <f>IF(OR(Table1[[#This Row],[Std Nom]]="",Table1[[#This Row],[Std Read]]=""),0,Table1[[#This Row],[Std Nom]]-Table1[[#This Row],[Std Read]])</f>
        <v>0</v>
      </c>
      <c r="N1204" s="1">
        <f>IF(Calculations!$F$5="ACCREDITED 17025 WITH UNCERTAINTIES",$N$10,0)</f>
        <v>0</v>
      </c>
      <c r="Q1204" s="1">
        <f>Table1[[#This Row],[High Tol]]-Table1[[#This Row],[Low Tol]]</f>
        <v>0</v>
      </c>
      <c r="R1204" s="1">
        <f>2*Table1[[#This Row],[Std Error]]</f>
        <v>0</v>
      </c>
      <c r="S1204" s="1" t="str">
        <f>IF(Table1[[#This Row],[High Tol]]="","N/A",IFERROR(ABS(Table1[[#This Row],[Tol Span]]/Table1[[#This Row],[Error Span]]),"N/A"))</f>
        <v>N/A</v>
      </c>
      <c r="T1204" s="1" t="str">
        <f>IF(OR(Table1[[#This Row],[Low Tol]]="",Table1[[#This Row],[High Tol]]=""),"Needs Analysis",IF(Table1[[#This Row],[Ratio]]&gt;=4,"Not Significant",IF(Table1[[#This Row],[Ratio]]&gt;=2,"Semi-Significant","Significant")))</f>
        <v>Needs Analysis</v>
      </c>
      <c r="W1204" s="1">
        <f>IF(Table1[[#This Row],[Cal Type]]&lt;&gt;"ACCREDITED 17025 WITH UNCERTAINTIES",0,"")</f>
        <v>0</v>
      </c>
      <c r="X1204" s="1" t="str">
        <f>IF(Table1[[#This Row],[DUT Read]]="","N/A",Table1[[#This Row],[Std Error]]+Table1[[#This Row],[DUT Read]]+Table1[[#This Row],[DUT Ucty]])</f>
        <v>N/A</v>
      </c>
      <c r="Y1204" s="1" t="str">
        <f>IF(Table1[[#This Row],[Std Read]]="","N/A",Table1[[#This Row],[Std Read]]+Table1[[#This Row],[Std Ucty]])</f>
        <v>N/A</v>
      </c>
      <c r="Z12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4" s="1" t="str">
        <f>IF(Table1[[#This Row],[Spec Type]]="","N/A",Table1[[#This Row],[Spec Type]])</f>
        <v>±</v>
      </c>
      <c r="AC1204" s="1" t="str">
        <f>IF(Table1[[#This Row],[Spec Type2]]="N/A","N/A",IF(AND(Table1[[#This Row],[DUT Adj Read]]&gt;=Table1[[#This Row],[Low Tol]],Table1[[#This Row],[DUT Adj Read]]&lt;=Table1[[#This Row],[High Tol]]),"Pass","Fail"))</f>
        <v>Fail</v>
      </c>
      <c r="AD1204" s="1" t="str">
        <f>IF(AND(Table1[[#This Row],[Spec Type2]]="N/A",Table1[[#This Row],[DUT Adj Read]]="N/A",Table1[[#This Row],[Std Adj Read]]="N/A"),"N/A",IF(Table1[[#This Row],[DUT Adj Read]]="N/A",IF(Table1[[#This Row],[Std Adj Read]]&gt;Table1[[#This Row],[Low Tol]],"Pass","Fail"),IF(Table1[[#This Row],[DUT Adj Read]]&gt;Table1[[#This Row],[Low Tol]],"Pass","Fail")))</f>
        <v>Pass</v>
      </c>
      <c r="AE1204" s="1" t="str">
        <f>IF(AND(Table1[[#This Row],[Spec Type2]]="N/A",Table1[[#This Row],[DUT Adj Read]]="N/A",Table1[[#This Row],[Std Adj Read]]="N/A"),"N/A",IF(Table1[[#This Row],[DUT Adj Read]]="N/A",IF(Table1[[#This Row],[Std Adj Read]]&lt;Table1[[#This Row],[High Tol]],"Pass","Fail"),IF(Table1[[#This Row],[DUT Adj Read]]&lt;Table1[[#This Row],[High Tol]],"Pass","Fail")))</f>
        <v>Fail</v>
      </c>
      <c r="AF1204" s="1" t="str">
        <f>IF(AND(Table1[[#This Row],[Spec Type2]]="N/A",Table1[[#This Row],[DUT Adj Read]]="N/A",Table1[[#This Row],[Std Adj Read]]="N/A"),"N/A",IF(Table1[[#This Row],[DUT Adj Read]]="N/A",IF(Table1[[#This Row],[Std Adj Read]]&gt;=Table1[[#This Row],[Low Tol]],"Pass","Fail"),IF(Table1[[#This Row],[DUT Adj Read]]&gt;=Table1[[#This Row],[Low Tol]],"Pass","Fail")))</f>
        <v>Pass</v>
      </c>
      <c r="AG1204" s="1" t="str">
        <f>IF(AND(Table1[[#This Row],[Spec Type2]]="N/A",Table1[[#This Row],[DUT Adj Read]]="N/A",Table1[[#This Row],[Std Adj Read]]="N/A"),"N/A",IF(Table1[[#This Row],[DUT Adj Read]]="N/A",IF(Table1[[#This Row],[Std Adj Read]]&lt;=Table1[[#This Row],[High Tol]],"Pass","Fail"),IF(Table1[[#This Row],[DUT Adj Read]]&lt;=Table1[[#This Row],[High Tol]],"Pass","Fail")))</f>
        <v>Fail</v>
      </c>
      <c r="AH12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4" s="1" t="b">
        <v>0</v>
      </c>
      <c r="AN1204" s="1" t="b">
        <v>0</v>
      </c>
      <c r="AO1204" s="1" t="b">
        <v>0</v>
      </c>
    </row>
    <row r="1205" spans="1:41" x14ac:dyDescent="0.25">
      <c r="A1205" s="10"/>
      <c r="B1205" s="10"/>
      <c r="C1205" s="10"/>
      <c r="D1205" s="10"/>
      <c r="E1205" s="10"/>
      <c r="F1205" s="10"/>
      <c r="G1205" s="10"/>
      <c r="H1205" s="10"/>
      <c r="I1205" s="1" t="str">
        <f t="shared" si="54"/>
        <v/>
      </c>
      <c r="J1205" s="1" t="s">
        <v>35</v>
      </c>
      <c r="K1205" s="1" t="str">
        <f t="shared" si="55"/>
        <v/>
      </c>
      <c r="L1205" s="1" t="str">
        <f t="shared" si="56"/>
        <v/>
      </c>
      <c r="M1205" s="1">
        <f>IF(OR(Table1[[#This Row],[Std Nom]]="",Table1[[#This Row],[Std Read]]=""),0,Table1[[#This Row],[Std Nom]]-Table1[[#This Row],[Std Read]])</f>
        <v>0</v>
      </c>
      <c r="N1205" s="1">
        <f>IF(Calculations!$F$5="ACCREDITED 17025 WITH UNCERTAINTIES",$N$10,0)</f>
        <v>0</v>
      </c>
      <c r="Q1205" s="1">
        <f>Table1[[#This Row],[High Tol]]-Table1[[#This Row],[Low Tol]]</f>
        <v>0</v>
      </c>
      <c r="R1205" s="1">
        <f>2*Table1[[#This Row],[Std Error]]</f>
        <v>0</v>
      </c>
      <c r="S1205" s="1" t="str">
        <f>IF(Table1[[#This Row],[High Tol]]="","N/A",IFERROR(ABS(Table1[[#This Row],[Tol Span]]/Table1[[#This Row],[Error Span]]),"N/A"))</f>
        <v>N/A</v>
      </c>
      <c r="T1205" s="1" t="str">
        <f>IF(OR(Table1[[#This Row],[Low Tol]]="",Table1[[#This Row],[High Tol]]=""),"Needs Analysis",IF(Table1[[#This Row],[Ratio]]&gt;=4,"Not Significant",IF(Table1[[#This Row],[Ratio]]&gt;=2,"Semi-Significant","Significant")))</f>
        <v>Needs Analysis</v>
      </c>
      <c r="W1205" s="1">
        <f>IF(Table1[[#This Row],[Cal Type]]&lt;&gt;"ACCREDITED 17025 WITH UNCERTAINTIES",0,"")</f>
        <v>0</v>
      </c>
      <c r="X1205" s="1" t="str">
        <f>IF(Table1[[#This Row],[DUT Read]]="","N/A",Table1[[#This Row],[Std Error]]+Table1[[#This Row],[DUT Read]]+Table1[[#This Row],[DUT Ucty]])</f>
        <v>N/A</v>
      </c>
      <c r="Y1205" s="1" t="str">
        <f>IF(Table1[[#This Row],[Std Read]]="","N/A",Table1[[#This Row],[Std Read]]+Table1[[#This Row],[Std Ucty]])</f>
        <v>N/A</v>
      </c>
      <c r="Z12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5" s="1" t="str">
        <f>IF(Table1[[#This Row],[Spec Type]]="","N/A",Table1[[#This Row],[Spec Type]])</f>
        <v>±</v>
      </c>
      <c r="AC1205" s="1" t="str">
        <f>IF(Table1[[#This Row],[Spec Type2]]="N/A","N/A",IF(AND(Table1[[#This Row],[DUT Adj Read]]&gt;=Table1[[#This Row],[Low Tol]],Table1[[#This Row],[DUT Adj Read]]&lt;=Table1[[#This Row],[High Tol]]),"Pass","Fail"))</f>
        <v>Fail</v>
      </c>
      <c r="AD1205" s="1" t="str">
        <f>IF(AND(Table1[[#This Row],[Spec Type2]]="N/A",Table1[[#This Row],[DUT Adj Read]]="N/A",Table1[[#This Row],[Std Adj Read]]="N/A"),"N/A",IF(Table1[[#This Row],[DUT Adj Read]]="N/A",IF(Table1[[#This Row],[Std Adj Read]]&gt;Table1[[#This Row],[Low Tol]],"Pass","Fail"),IF(Table1[[#This Row],[DUT Adj Read]]&gt;Table1[[#This Row],[Low Tol]],"Pass","Fail")))</f>
        <v>Pass</v>
      </c>
      <c r="AE1205" s="1" t="str">
        <f>IF(AND(Table1[[#This Row],[Spec Type2]]="N/A",Table1[[#This Row],[DUT Adj Read]]="N/A",Table1[[#This Row],[Std Adj Read]]="N/A"),"N/A",IF(Table1[[#This Row],[DUT Adj Read]]="N/A",IF(Table1[[#This Row],[Std Adj Read]]&lt;Table1[[#This Row],[High Tol]],"Pass","Fail"),IF(Table1[[#This Row],[DUT Adj Read]]&lt;Table1[[#This Row],[High Tol]],"Pass","Fail")))</f>
        <v>Fail</v>
      </c>
      <c r="AF1205" s="1" t="str">
        <f>IF(AND(Table1[[#This Row],[Spec Type2]]="N/A",Table1[[#This Row],[DUT Adj Read]]="N/A",Table1[[#This Row],[Std Adj Read]]="N/A"),"N/A",IF(Table1[[#This Row],[DUT Adj Read]]="N/A",IF(Table1[[#This Row],[Std Adj Read]]&gt;=Table1[[#This Row],[Low Tol]],"Pass","Fail"),IF(Table1[[#This Row],[DUT Adj Read]]&gt;=Table1[[#This Row],[Low Tol]],"Pass","Fail")))</f>
        <v>Pass</v>
      </c>
      <c r="AG1205" s="1" t="str">
        <f>IF(AND(Table1[[#This Row],[Spec Type2]]="N/A",Table1[[#This Row],[DUT Adj Read]]="N/A",Table1[[#This Row],[Std Adj Read]]="N/A"),"N/A",IF(Table1[[#This Row],[DUT Adj Read]]="N/A",IF(Table1[[#This Row],[Std Adj Read]]&lt;=Table1[[#This Row],[High Tol]],"Pass","Fail"),IF(Table1[[#This Row],[DUT Adj Read]]&lt;=Table1[[#This Row],[High Tol]],"Pass","Fail")))</f>
        <v>Fail</v>
      </c>
      <c r="AH12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5" s="1" t="b">
        <v>0</v>
      </c>
      <c r="AN1205" s="1" t="b">
        <v>0</v>
      </c>
      <c r="AO1205" s="1" t="b">
        <v>0</v>
      </c>
    </row>
    <row r="1206" spans="1:41" x14ac:dyDescent="0.25">
      <c r="A1206" s="10"/>
      <c r="B1206" s="10"/>
      <c r="C1206" s="10"/>
      <c r="D1206" s="10"/>
      <c r="E1206" s="10"/>
      <c r="F1206" s="10"/>
      <c r="G1206" s="10"/>
      <c r="H1206" s="10"/>
      <c r="I1206" s="1" t="str">
        <f t="shared" si="54"/>
        <v/>
      </c>
      <c r="J1206" s="1" t="s">
        <v>35</v>
      </c>
      <c r="K1206" s="1" t="str">
        <f t="shared" si="55"/>
        <v/>
      </c>
      <c r="L1206" s="1" t="str">
        <f t="shared" si="56"/>
        <v/>
      </c>
      <c r="M1206" s="1">
        <f>IF(OR(Table1[[#This Row],[Std Nom]]="",Table1[[#This Row],[Std Read]]=""),0,Table1[[#This Row],[Std Nom]]-Table1[[#This Row],[Std Read]])</f>
        <v>0</v>
      </c>
      <c r="N1206" s="1">
        <f>IF(Calculations!$F$5="ACCREDITED 17025 WITH UNCERTAINTIES",$N$10,0)</f>
        <v>0</v>
      </c>
      <c r="Q1206" s="1">
        <f>Table1[[#This Row],[High Tol]]-Table1[[#This Row],[Low Tol]]</f>
        <v>0</v>
      </c>
      <c r="R1206" s="1">
        <f>2*Table1[[#This Row],[Std Error]]</f>
        <v>0</v>
      </c>
      <c r="S1206" s="1" t="str">
        <f>IF(Table1[[#This Row],[High Tol]]="","N/A",IFERROR(ABS(Table1[[#This Row],[Tol Span]]/Table1[[#This Row],[Error Span]]),"N/A"))</f>
        <v>N/A</v>
      </c>
      <c r="T1206" s="1" t="str">
        <f>IF(OR(Table1[[#This Row],[Low Tol]]="",Table1[[#This Row],[High Tol]]=""),"Needs Analysis",IF(Table1[[#This Row],[Ratio]]&gt;=4,"Not Significant",IF(Table1[[#This Row],[Ratio]]&gt;=2,"Semi-Significant","Significant")))</f>
        <v>Needs Analysis</v>
      </c>
      <c r="W1206" s="1">
        <f>IF(Table1[[#This Row],[Cal Type]]&lt;&gt;"ACCREDITED 17025 WITH UNCERTAINTIES",0,"")</f>
        <v>0</v>
      </c>
      <c r="X1206" s="1" t="str">
        <f>IF(Table1[[#This Row],[DUT Read]]="","N/A",Table1[[#This Row],[Std Error]]+Table1[[#This Row],[DUT Read]]+Table1[[#This Row],[DUT Ucty]])</f>
        <v>N/A</v>
      </c>
      <c r="Y1206" s="1" t="str">
        <f>IF(Table1[[#This Row],[Std Read]]="","N/A",Table1[[#This Row],[Std Read]]+Table1[[#This Row],[Std Ucty]])</f>
        <v>N/A</v>
      </c>
      <c r="Z12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6" s="1" t="str">
        <f>IF(Table1[[#This Row],[Spec Type]]="","N/A",Table1[[#This Row],[Spec Type]])</f>
        <v>±</v>
      </c>
      <c r="AC1206" s="1" t="str">
        <f>IF(Table1[[#This Row],[Spec Type2]]="N/A","N/A",IF(AND(Table1[[#This Row],[DUT Adj Read]]&gt;=Table1[[#This Row],[Low Tol]],Table1[[#This Row],[DUT Adj Read]]&lt;=Table1[[#This Row],[High Tol]]),"Pass","Fail"))</f>
        <v>Fail</v>
      </c>
      <c r="AD1206" s="1" t="str">
        <f>IF(AND(Table1[[#This Row],[Spec Type2]]="N/A",Table1[[#This Row],[DUT Adj Read]]="N/A",Table1[[#This Row],[Std Adj Read]]="N/A"),"N/A",IF(Table1[[#This Row],[DUT Adj Read]]="N/A",IF(Table1[[#This Row],[Std Adj Read]]&gt;Table1[[#This Row],[Low Tol]],"Pass","Fail"),IF(Table1[[#This Row],[DUT Adj Read]]&gt;Table1[[#This Row],[Low Tol]],"Pass","Fail")))</f>
        <v>Pass</v>
      </c>
      <c r="AE1206" s="1" t="str">
        <f>IF(AND(Table1[[#This Row],[Spec Type2]]="N/A",Table1[[#This Row],[DUT Adj Read]]="N/A",Table1[[#This Row],[Std Adj Read]]="N/A"),"N/A",IF(Table1[[#This Row],[DUT Adj Read]]="N/A",IF(Table1[[#This Row],[Std Adj Read]]&lt;Table1[[#This Row],[High Tol]],"Pass","Fail"),IF(Table1[[#This Row],[DUT Adj Read]]&lt;Table1[[#This Row],[High Tol]],"Pass","Fail")))</f>
        <v>Fail</v>
      </c>
      <c r="AF1206" s="1" t="str">
        <f>IF(AND(Table1[[#This Row],[Spec Type2]]="N/A",Table1[[#This Row],[DUT Adj Read]]="N/A",Table1[[#This Row],[Std Adj Read]]="N/A"),"N/A",IF(Table1[[#This Row],[DUT Adj Read]]="N/A",IF(Table1[[#This Row],[Std Adj Read]]&gt;=Table1[[#This Row],[Low Tol]],"Pass","Fail"),IF(Table1[[#This Row],[DUT Adj Read]]&gt;=Table1[[#This Row],[Low Tol]],"Pass","Fail")))</f>
        <v>Pass</v>
      </c>
      <c r="AG1206" s="1" t="str">
        <f>IF(AND(Table1[[#This Row],[Spec Type2]]="N/A",Table1[[#This Row],[DUT Adj Read]]="N/A",Table1[[#This Row],[Std Adj Read]]="N/A"),"N/A",IF(Table1[[#This Row],[DUT Adj Read]]="N/A",IF(Table1[[#This Row],[Std Adj Read]]&lt;=Table1[[#This Row],[High Tol]],"Pass","Fail"),IF(Table1[[#This Row],[DUT Adj Read]]&lt;=Table1[[#This Row],[High Tol]],"Pass","Fail")))</f>
        <v>Fail</v>
      </c>
      <c r="AH12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6" s="1" t="b">
        <v>0</v>
      </c>
      <c r="AN1206" s="1" t="b">
        <v>0</v>
      </c>
      <c r="AO1206" s="1" t="b">
        <v>0</v>
      </c>
    </row>
    <row r="1207" spans="1:41" x14ac:dyDescent="0.25">
      <c r="A1207" s="10"/>
      <c r="B1207" s="10"/>
      <c r="C1207" s="10"/>
      <c r="D1207" s="10"/>
      <c r="E1207" s="10"/>
      <c r="F1207" s="10"/>
      <c r="G1207" s="10"/>
      <c r="H1207" s="10"/>
      <c r="I1207" s="1" t="str">
        <f t="shared" si="54"/>
        <v/>
      </c>
      <c r="J1207" s="1" t="s">
        <v>35</v>
      </c>
      <c r="K1207" s="1" t="str">
        <f t="shared" si="55"/>
        <v/>
      </c>
      <c r="L1207" s="1" t="str">
        <f t="shared" si="56"/>
        <v/>
      </c>
      <c r="M1207" s="1">
        <f>IF(OR(Table1[[#This Row],[Std Nom]]="",Table1[[#This Row],[Std Read]]=""),0,Table1[[#This Row],[Std Nom]]-Table1[[#This Row],[Std Read]])</f>
        <v>0</v>
      </c>
      <c r="N1207" s="1">
        <f>IF(Calculations!$F$5="ACCREDITED 17025 WITH UNCERTAINTIES",$N$10,0)</f>
        <v>0</v>
      </c>
      <c r="Q1207" s="1">
        <f>Table1[[#This Row],[High Tol]]-Table1[[#This Row],[Low Tol]]</f>
        <v>0</v>
      </c>
      <c r="R1207" s="1">
        <f>2*Table1[[#This Row],[Std Error]]</f>
        <v>0</v>
      </c>
      <c r="S1207" s="1" t="str">
        <f>IF(Table1[[#This Row],[High Tol]]="","N/A",IFERROR(ABS(Table1[[#This Row],[Tol Span]]/Table1[[#This Row],[Error Span]]),"N/A"))</f>
        <v>N/A</v>
      </c>
      <c r="T1207" s="1" t="str">
        <f>IF(OR(Table1[[#This Row],[Low Tol]]="",Table1[[#This Row],[High Tol]]=""),"Needs Analysis",IF(Table1[[#This Row],[Ratio]]&gt;=4,"Not Significant",IF(Table1[[#This Row],[Ratio]]&gt;=2,"Semi-Significant","Significant")))</f>
        <v>Needs Analysis</v>
      </c>
      <c r="W1207" s="1">
        <f>IF(Table1[[#This Row],[Cal Type]]&lt;&gt;"ACCREDITED 17025 WITH UNCERTAINTIES",0,"")</f>
        <v>0</v>
      </c>
      <c r="X1207" s="1" t="str">
        <f>IF(Table1[[#This Row],[DUT Read]]="","N/A",Table1[[#This Row],[Std Error]]+Table1[[#This Row],[DUT Read]]+Table1[[#This Row],[DUT Ucty]])</f>
        <v>N/A</v>
      </c>
      <c r="Y1207" s="1" t="str">
        <f>IF(Table1[[#This Row],[Std Read]]="","N/A",Table1[[#This Row],[Std Read]]+Table1[[#This Row],[Std Ucty]])</f>
        <v>N/A</v>
      </c>
      <c r="Z12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7" s="1" t="str">
        <f>IF(Table1[[#This Row],[Spec Type]]="","N/A",Table1[[#This Row],[Spec Type]])</f>
        <v>±</v>
      </c>
      <c r="AC1207" s="1" t="str">
        <f>IF(Table1[[#This Row],[Spec Type2]]="N/A","N/A",IF(AND(Table1[[#This Row],[DUT Adj Read]]&gt;=Table1[[#This Row],[Low Tol]],Table1[[#This Row],[DUT Adj Read]]&lt;=Table1[[#This Row],[High Tol]]),"Pass","Fail"))</f>
        <v>Fail</v>
      </c>
      <c r="AD1207" s="1" t="str">
        <f>IF(AND(Table1[[#This Row],[Spec Type2]]="N/A",Table1[[#This Row],[DUT Adj Read]]="N/A",Table1[[#This Row],[Std Adj Read]]="N/A"),"N/A",IF(Table1[[#This Row],[DUT Adj Read]]="N/A",IF(Table1[[#This Row],[Std Adj Read]]&gt;Table1[[#This Row],[Low Tol]],"Pass","Fail"),IF(Table1[[#This Row],[DUT Adj Read]]&gt;Table1[[#This Row],[Low Tol]],"Pass","Fail")))</f>
        <v>Pass</v>
      </c>
      <c r="AE1207" s="1" t="str">
        <f>IF(AND(Table1[[#This Row],[Spec Type2]]="N/A",Table1[[#This Row],[DUT Adj Read]]="N/A",Table1[[#This Row],[Std Adj Read]]="N/A"),"N/A",IF(Table1[[#This Row],[DUT Adj Read]]="N/A",IF(Table1[[#This Row],[Std Adj Read]]&lt;Table1[[#This Row],[High Tol]],"Pass","Fail"),IF(Table1[[#This Row],[DUT Adj Read]]&lt;Table1[[#This Row],[High Tol]],"Pass","Fail")))</f>
        <v>Fail</v>
      </c>
      <c r="AF1207" s="1" t="str">
        <f>IF(AND(Table1[[#This Row],[Spec Type2]]="N/A",Table1[[#This Row],[DUT Adj Read]]="N/A",Table1[[#This Row],[Std Adj Read]]="N/A"),"N/A",IF(Table1[[#This Row],[DUT Adj Read]]="N/A",IF(Table1[[#This Row],[Std Adj Read]]&gt;=Table1[[#This Row],[Low Tol]],"Pass","Fail"),IF(Table1[[#This Row],[DUT Adj Read]]&gt;=Table1[[#This Row],[Low Tol]],"Pass","Fail")))</f>
        <v>Pass</v>
      </c>
      <c r="AG1207" s="1" t="str">
        <f>IF(AND(Table1[[#This Row],[Spec Type2]]="N/A",Table1[[#This Row],[DUT Adj Read]]="N/A",Table1[[#This Row],[Std Adj Read]]="N/A"),"N/A",IF(Table1[[#This Row],[DUT Adj Read]]="N/A",IF(Table1[[#This Row],[Std Adj Read]]&lt;=Table1[[#This Row],[High Tol]],"Pass","Fail"),IF(Table1[[#This Row],[DUT Adj Read]]&lt;=Table1[[#This Row],[High Tol]],"Pass","Fail")))</f>
        <v>Fail</v>
      </c>
      <c r="AH12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7" s="1" t="b">
        <v>0</v>
      </c>
      <c r="AN1207" s="1" t="b">
        <v>0</v>
      </c>
      <c r="AO1207" s="1" t="b">
        <v>0</v>
      </c>
    </row>
    <row r="1208" spans="1:41" x14ac:dyDescent="0.25">
      <c r="A1208" s="10"/>
      <c r="B1208" s="10"/>
      <c r="C1208" s="10"/>
      <c r="D1208" s="10"/>
      <c r="E1208" s="10"/>
      <c r="F1208" s="10"/>
      <c r="G1208" s="10"/>
      <c r="H1208" s="10"/>
      <c r="I1208" s="1" t="str">
        <f t="shared" si="54"/>
        <v/>
      </c>
      <c r="J1208" s="1" t="s">
        <v>35</v>
      </c>
      <c r="K1208" s="1" t="str">
        <f t="shared" si="55"/>
        <v/>
      </c>
      <c r="L1208" s="1" t="str">
        <f t="shared" si="56"/>
        <v/>
      </c>
      <c r="M1208" s="1">
        <f>IF(OR(Table1[[#This Row],[Std Nom]]="",Table1[[#This Row],[Std Read]]=""),0,Table1[[#This Row],[Std Nom]]-Table1[[#This Row],[Std Read]])</f>
        <v>0</v>
      </c>
      <c r="N1208" s="1">
        <f>IF(Calculations!$F$5="ACCREDITED 17025 WITH UNCERTAINTIES",$N$10,0)</f>
        <v>0</v>
      </c>
      <c r="Q1208" s="1">
        <f>Table1[[#This Row],[High Tol]]-Table1[[#This Row],[Low Tol]]</f>
        <v>0</v>
      </c>
      <c r="R1208" s="1">
        <f>2*Table1[[#This Row],[Std Error]]</f>
        <v>0</v>
      </c>
      <c r="S1208" s="1" t="str">
        <f>IF(Table1[[#This Row],[High Tol]]="","N/A",IFERROR(ABS(Table1[[#This Row],[Tol Span]]/Table1[[#This Row],[Error Span]]),"N/A"))</f>
        <v>N/A</v>
      </c>
      <c r="T1208" s="1" t="str">
        <f>IF(OR(Table1[[#This Row],[Low Tol]]="",Table1[[#This Row],[High Tol]]=""),"Needs Analysis",IF(Table1[[#This Row],[Ratio]]&gt;=4,"Not Significant",IF(Table1[[#This Row],[Ratio]]&gt;=2,"Semi-Significant","Significant")))</f>
        <v>Needs Analysis</v>
      </c>
      <c r="W1208" s="1">
        <f>IF(Table1[[#This Row],[Cal Type]]&lt;&gt;"ACCREDITED 17025 WITH UNCERTAINTIES",0,"")</f>
        <v>0</v>
      </c>
      <c r="X1208" s="1" t="str">
        <f>IF(Table1[[#This Row],[DUT Read]]="","N/A",Table1[[#This Row],[Std Error]]+Table1[[#This Row],[DUT Read]]+Table1[[#This Row],[DUT Ucty]])</f>
        <v>N/A</v>
      </c>
      <c r="Y1208" s="1" t="str">
        <f>IF(Table1[[#This Row],[Std Read]]="","N/A",Table1[[#This Row],[Std Read]]+Table1[[#This Row],[Std Ucty]])</f>
        <v>N/A</v>
      </c>
      <c r="Z12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8" s="1" t="str">
        <f>IF(Table1[[#This Row],[Spec Type]]="","N/A",Table1[[#This Row],[Spec Type]])</f>
        <v>±</v>
      </c>
      <c r="AC1208" s="1" t="str">
        <f>IF(Table1[[#This Row],[Spec Type2]]="N/A","N/A",IF(AND(Table1[[#This Row],[DUT Adj Read]]&gt;=Table1[[#This Row],[Low Tol]],Table1[[#This Row],[DUT Adj Read]]&lt;=Table1[[#This Row],[High Tol]]),"Pass","Fail"))</f>
        <v>Fail</v>
      </c>
      <c r="AD1208" s="1" t="str">
        <f>IF(AND(Table1[[#This Row],[Spec Type2]]="N/A",Table1[[#This Row],[DUT Adj Read]]="N/A",Table1[[#This Row],[Std Adj Read]]="N/A"),"N/A",IF(Table1[[#This Row],[DUT Adj Read]]="N/A",IF(Table1[[#This Row],[Std Adj Read]]&gt;Table1[[#This Row],[Low Tol]],"Pass","Fail"),IF(Table1[[#This Row],[DUT Adj Read]]&gt;Table1[[#This Row],[Low Tol]],"Pass","Fail")))</f>
        <v>Pass</v>
      </c>
      <c r="AE1208" s="1" t="str">
        <f>IF(AND(Table1[[#This Row],[Spec Type2]]="N/A",Table1[[#This Row],[DUT Adj Read]]="N/A",Table1[[#This Row],[Std Adj Read]]="N/A"),"N/A",IF(Table1[[#This Row],[DUT Adj Read]]="N/A",IF(Table1[[#This Row],[Std Adj Read]]&lt;Table1[[#This Row],[High Tol]],"Pass","Fail"),IF(Table1[[#This Row],[DUT Adj Read]]&lt;Table1[[#This Row],[High Tol]],"Pass","Fail")))</f>
        <v>Fail</v>
      </c>
      <c r="AF1208" s="1" t="str">
        <f>IF(AND(Table1[[#This Row],[Spec Type2]]="N/A",Table1[[#This Row],[DUT Adj Read]]="N/A",Table1[[#This Row],[Std Adj Read]]="N/A"),"N/A",IF(Table1[[#This Row],[DUT Adj Read]]="N/A",IF(Table1[[#This Row],[Std Adj Read]]&gt;=Table1[[#This Row],[Low Tol]],"Pass","Fail"),IF(Table1[[#This Row],[DUT Adj Read]]&gt;=Table1[[#This Row],[Low Tol]],"Pass","Fail")))</f>
        <v>Pass</v>
      </c>
      <c r="AG1208" s="1" t="str">
        <f>IF(AND(Table1[[#This Row],[Spec Type2]]="N/A",Table1[[#This Row],[DUT Adj Read]]="N/A",Table1[[#This Row],[Std Adj Read]]="N/A"),"N/A",IF(Table1[[#This Row],[DUT Adj Read]]="N/A",IF(Table1[[#This Row],[Std Adj Read]]&lt;=Table1[[#This Row],[High Tol]],"Pass","Fail"),IF(Table1[[#This Row],[DUT Adj Read]]&lt;=Table1[[#This Row],[High Tol]],"Pass","Fail")))</f>
        <v>Fail</v>
      </c>
      <c r="AH12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8" s="1" t="b">
        <v>0</v>
      </c>
      <c r="AN1208" s="1" t="b">
        <v>0</v>
      </c>
      <c r="AO1208" s="1" t="b">
        <v>0</v>
      </c>
    </row>
    <row r="1209" spans="1:41" x14ac:dyDescent="0.25">
      <c r="A1209" s="10"/>
      <c r="B1209" s="10"/>
      <c r="C1209" s="10"/>
      <c r="D1209" s="10"/>
      <c r="E1209" s="10"/>
      <c r="F1209" s="10"/>
      <c r="G1209" s="10"/>
      <c r="H1209" s="10"/>
      <c r="I1209" s="1" t="str">
        <f t="shared" si="54"/>
        <v/>
      </c>
      <c r="J1209" s="1" t="s">
        <v>35</v>
      </c>
      <c r="K1209" s="1" t="str">
        <f t="shared" si="55"/>
        <v/>
      </c>
      <c r="L1209" s="1" t="str">
        <f t="shared" si="56"/>
        <v/>
      </c>
      <c r="M1209" s="1">
        <f>IF(OR(Table1[[#This Row],[Std Nom]]="",Table1[[#This Row],[Std Read]]=""),0,Table1[[#This Row],[Std Nom]]-Table1[[#This Row],[Std Read]])</f>
        <v>0</v>
      </c>
      <c r="N1209" s="1">
        <f>IF(Calculations!$F$5="ACCREDITED 17025 WITH UNCERTAINTIES",$N$10,0)</f>
        <v>0</v>
      </c>
      <c r="Q1209" s="1">
        <f>Table1[[#This Row],[High Tol]]-Table1[[#This Row],[Low Tol]]</f>
        <v>0</v>
      </c>
      <c r="R1209" s="1">
        <f>2*Table1[[#This Row],[Std Error]]</f>
        <v>0</v>
      </c>
      <c r="S1209" s="1" t="str">
        <f>IF(Table1[[#This Row],[High Tol]]="","N/A",IFERROR(ABS(Table1[[#This Row],[Tol Span]]/Table1[[#This Row],[Error Span]]),"N/A"))</f>
        <v>N/A</v>
      </c>
      <c r="T1209" s="1" t="str">
        <f>IF(OR(Table1[[#This Row],[Low Tol]]="",Table1[[#This Row],[High Tol]]=""),"Needs Analysis",IF(Table1[[#This Row],[Ratio]]&gt;=4,"Not Significant",IF(Table1[[#This Row],[Ratio]]&gt;=2,"Semi-Significant","Significant")))</f>
        <v>Needs Analysis</v>
      </c>
      <c r="W1209" s="1">
        <f>IF(Table1[[#This Row],[Cal Type]]&lt;&gt;"ACCREDITED 17025 WITH UNCERTAINTIES",0,"")</f>
        <v>0</v>
      </c>
      <c r="X1209" s="1" t="str">
        <f>IF(Table1[[#This Row],[DUT Read]]="","N/A",Table1[[#This Row],[Std Error]]+Table1[[#This Row],[DUT Read]]+Table1[[#This Row],[DUT Ucty]])</f>
        <v>N/A</v>
      </c>
      <c r="Y1209" s="1" t="str">
        <f>IF(Table1[[#This Row],[Std Read]]="","N/A",Table1[[#This Row],[Std Read]]+Table1[[#This Row],[Std Ucty]])</f>
        <v>N/A</v>
      </c>
      <c r="Z12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09" s="1" t="str">
        <f>IF(Table1[[#This Row],[Spec Type]]="","N/A",Table1[[#This Row],[Spec Type]])</f>
        <v>±</v>
      </c>
      <c r="AC1209" s="1" t="str">
        <f>IF(Table1[[#This Row],[Spec Type2]]="N/A","N/A",IF(AND(Table1[[#This Row],[DUT Adj Read]]&gt;=Table1[[#This Row],[Low Tol]],Table1[[#This Row],[DUT Adj Read]]&lt;=Table1[[#This Row],[High Tol]]),"Pass","Fail"))</f>
        <v>Fail</v>
      </c>
      <c r="AD1209" s="1" t="str">
        <f>IF(AND(Table1[[#This Row],[Spec Type2]]="N/A",Table1[[#This Row],[DUT Adj Read]]="N/A",Table1[[#This Row],[Std Adj Read]]="N/A"),"N/A",IF(Table1[[#This Row],[DUT Adj Read]]="N/A",IF(Table1[[#This Row],[Std Adj Read]]&gt;Table1[[#This Row],[Low Tol]],"Pass","Fail"),IF(Table1[[#This Row],[DUT Adj Read]]&gt;Table1[[#This Row],[Low Tol]],"Pass","Fail")))</f>
        <v>Pass</v>
      </c>
      <c r="AE1209" s="1" t="str">
        <f>IF(AND(Table1[[#This Row],[Spec Type2]]="N/A",Table1[[#This Row],[DUT Adj Read]]="N/A",Table1[[#This Row],[Std Adj Read]]="N/A"),"N/A",IF(Table1[[#This Row],[DUT Adj Read]]="N/A",IF(Table1[[#This Row],[Std Adj Read]]&lt;Table1[[#This Row],[High Tol]],"Pass","Fail"),IF(Table1[[#This Row],[DUT Adj Read]]&lt;Table1[[#This Row],[High Tol]],"Pass","Fail")))</f>
        <v>Fail</v>
      </c>
      <c r="AF1209" s="1" t="str">
        <f>IF(AND(Table1[[#This Row],[Spec Type2]]="N/A",Table1[[#This Row],[DUT Adj Read]]="N/A",Table1[[#This Row],[Std Adj Read]]="N/A"),"N/A",IF(Table1[[#This Row],[DUT Adj Read]]="N/A",IF(Table1[[#This Row],[Std Adj Read]]&gt;=Table1[[#This Row],[Low Tol]],"Pass","Fail"),IF(Table1[[#This Row],[DUT Adj Read]]&gt;=Table1[[#This Row],[Low Tol]],"Pass","Fail")))</f>
        <v>Pass</v>
      </c>
      <c r="AG1209" s="1" t="str">
        <f>IF(AND(Table1[[#This Row],[Spec Type2]]="N/A",Table1[[#This Row],[DUT Adj Read]]="N/A",Table1[[#This Row],[Std Adj Read]]="N/A"),"N/A",IF(Table1[[#This Row],[DUT Adj Read]]="N/A",IF(Table1[[#This Row],[Std Adj Read]]&lt;=Table1[[#This Row],[High Tol]],"Pass","Fail"),IF(Table1[[#This Row],[DUT Adj Read]]&lt;=Table1[[#This Row],[High Tol]],"Pass","Fail")))</f>
        <v>Fail</v>
      </c>
      <c r="AH12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09" s="1" t="b">
        <v>0</v>
      </c>
      <c r="AN1209" s="1" t="b">
        <v>0</v>
      </c>
      <c r="AO1209" s="1" t="b">
        <v>0</v>
      </c>
    </row>
    <row r="1210" spans="1:41" x14ac:dyDescent="0.25">
      <c r="A1210" s="10"/>
      <c r="B1210" s="10"/>
      <c r="C1210" s="10"/>
      <c r="D1210" s="10"/>
      <c r="E1210" s="10"/>
      <c r="F1210" s="10"/>
      <c r="G1210" s="10"/>
      <c r="H1210" s="10"/>
      <c r="I1210" s="1" t="str">
        <f t="shared" si="54"/>
        <v/>
      </c>
      <c r="J1210" s="1" t="s">
        <v>35</v>
      </c>
      <c r="K1210" s="1" t="str">
        <f t="shared" si="55"/>
        <v/>
      </c>
      <c r="L1210" s="1" t="str">
        <f t="shared" si="56"/>
        <v/>
      </c>
      <c r="M1210" s="1">
        <f>IF(OR(Table1[[#This Row],[Std Nom]]="",Table1[[#This Row],[Std Read]]=""),0,Table1[[#This Row],[Std Nom]]-Table1[[#This Row],[Std Read]])</f>
        <v>0</v>
      </c>
      <c r="N1210" s="1">
        <f>IF(Calculations!$F$5="ACCREDITED 17025 WITH UNCERTAINTIES",$N$10,0)</f>
        <v>0</v>
      </c>
      <c r="Q1210" s="1">
        <f>Table1[[#This Row],[High Tol]]-Table1[[#This Row],[Low Tol]]</f>
        <v>0</v>
      </c>
      <c r="R1210" s="1">
        <f>2*Table1[[#This Row],[Std Error]]</f>
        <v>0</v>
      </c>
      <c r="S1210" s="1" t="str">
        <f>IF(Table1[[#This Row],[High Tol]]="","N/A",IFERROR(ABS(Table1[[#This Row],[Tol Span]]/Table1[[#This Row],[Error Span]]),"N/A"))</f>
        <v>N/A</v>
      </c>
      <c r="T1210" s="1" t="str">
        <f>IF(OR(Table1[[#This Row],[Low Tol]]="",Table1[[#This Row],[High Tol]]=""),"Needs Analysis",IF(Table1[[#This Row],[Ratio]]&gt;=4,"Not Significant",IF(Table1[[#This Row],[Ratio]]&gt;=2,"Semi-Significant","Significant")))</f>
        <v>Needs Analysis</v>
      </c>
      <c r="W1210" s="1">
        <f>IF(Table1[[#This Row],[Cal Type]]&lt;&gt;"ACCREDITED 17025 WITH UNCERTAINTIES",0,"")</f>
        <v>0</v>
      </c>
      <c r="X1210" s="1" t="str">
        <f>IF(Table1[[#This Row],[DUT Read]]="","N/A",Table1[[#This Row],[Std Error]]+Table1[[#This Row],[DUT Read]]+Table1[[#This Row],[DUT Ucty]])</f>
        <v>N/A</v>
      </c>
      <c r="Y1210" s="1" t="str">
        <f>IF(Table1[[#This Row],[Std Read]]="","N/A",Table1[[#This Row],[Std Read]]+Table1[[#This Row],[Std Ucty]])</f>
        <v>N/A</v>
      </c>
      <c r="Z12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0" s="1" t="str">
        <f>IF(Table1[[#This Row],[Spec Type]]="","N/A",Table1[[#This Row],[Spec Type]])</f>
        <v>±</v>
      </c>
      <c r="AC1210" s="1" t="str">
        <f>IF(Table1[[#This Row],[Spec Type2]]="N/A","N/A",IF(AND(Table1[[#This Row],[DUT Adj Read]]&gt;=Table1[[#This Row],[Low Tol]],Table1[[#This Row],[DUT Adj Read]]&lt;=Table1[[#This Row],[High Tol]]),"Pass","Fail"))</f>
        <v>Fail</v>
      </c>
      <c r="AD1210" s="1" t="str">
        <f>IF(AND(Table1[[#This Row],[Spec Type2]]="N/A",Table1[[#This Row],[DUT Adj Read]]="N/A",Table1[[#This Row],[Std Adj Read]]="N/A"),"N/A",IF(Table1[[#This Row],[DUT Adj Read]]="N/A",IF(Table1[[#This Row],[Std Adj Read]]&gt;Table1[[#This Row],[Low Tol]],"Pass","Fail"),IF(Table1[[#This Row],[DUT Adj Read]]&gt;Table1[[#This Row],[Low Tol]],"Pass","Fail")))</f>
        <v>Pass</v>
      </c>
      <c r="AE1210" s="1" t="str">
        <f>IF(AND(Table1[[#This Row],[Spec Type2]]="N/A",Table1[[#This Row],[DUT Adj Read]]="N/A",Table1[[#This Row],[Std Adj Read]]="N/A"),"N/A",IF(Table1[[#This Row],[DUT Adj Read]]="N/A",IF(Table1[[#This Row],[Std Adj Read]]&lt;Table1[[#This Row],[High Tol]],"Pass","Fail"),IF(Table1[[#This Row],[DUT Adj Read]]&lt;Table1[[#This Row],[High Tol]],"Pass","Fail")))</f>
        <v>Fail</v>
      </c>
      <c r="AF1210" s="1" t="str">
        <f>IF(AND(Table1[[#This Row],[Spec Type2]]="N/A",Table1[[#This Row],[DUT Adj Read]]="N/A",Table1[[#This Row],[Std Adj Read]]="N/A"),"N/A",IF(Table1[[#This Row],[DUT Adj Read]]="N/A",IF(Table1[[#This Row],[Std Adj Read]]&gt;=Table1[[#This Row],[Low Tol]],"Pass","Fail"),IF(Table1[[#This Row],[DUT Adj Read]]&gt;=Table1[[#This Row],[Low Tol]],"Pass","Fail")))</f>
        <v>Pass</v>
      </c>
      <c r="AG1210" s="1" t="str">
        <f>IF(AND(Table1[[#This Row],[Spec Type2]]="N/A",Table1[[#This Row],[DUT Adj Read]]="N/A",Table1[[#This Row],[Std Adj Read]]="N/A"),"N/A",IF(Table1[[#This Row],[DUT Adj Read]]="N/A",IF(Table1[[#This Row],[Std Adj Read]]&lt;=Table1[[#This Row],[High Tol]],"Pass","Fail"),IF(Table1[[#This Row],[DUT Adj Read]]&lt;=Table1[[#This Row],[High Tol]],"Pass","Fail")))</f>
        <v>Fail</v>
      </c>
      <c r="AH12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0" s="1" t="b">
        <v>0</v>
      </c>
      <c r="AN1210" s="1" t="b">
        <v>0</v>
      </c>
      <c r="AO1210" s="1" t="b">
        <v>0</v>
      </c>
    </row>
    <row r="1211" spans="1:41" x14ac:dyDescent="0.25">
      <c r="A1211" s="10"/>
      <c r="B1211" s="10"/>
      <c r="C1211" s="10"/>
      <c r="D1211" s="10"/>
      <c r="E1211" s="10"/>
      <c r="F1211" s="10"/>
      <c r="G1211" s="10"/>
      <c r="H1211" s="10"/>
      <c r="I1211" s="1" t="str">
        <f t="shared" si="54"/>
        <v/>
      </c>
      <c r="J1211" s="1" t="s">
        <v>35</v>
      </c>
      <c r="K1211" s="1" t="str">
        <f t="shared" si="55"/>
        <v/>
      </c>
      <c r="L1211" s="1" t="str">
        <f t="shared" si="56"/>
        <v/>
      </c>
      <c r="M1211" s="1">
        <f>IF(OR(Table1[[#This Row],[Std Nom]]="",Table1[[#This Row],[Std Read]]=""),0,Table1[[#This Row],[Std Nom]]-Table1[[#This Row],[Std Read]])</f>
        <v>0</v>
      </c>
      <c r="N1211" s="1">
        <f>IF(Calculations!$F$5="ACCREDITED 17025 WITH UNCERTAINTIES",$N$10,0)</f>
        <v>0</v>
      </c>
      <c r="Q1211" s="1">
        <f>Table1[[#This Row],[High Tol]]-Table1[[#This Row],[Low Tol]]</f>
        <v>0</v>
      </c>
      <c r="R1211" s="1">
        <f>2*Table1[[#This Row],[Std Error]]</f>
        <v>0</v>
      </c>
      <c r="S1211" s="1" t="str">
        <f>IF(Table1[[#This Row],[High Tol]]="","N/A",IFERROR(ABS(Table1[[#This Row],[Tol Span]]/Table1[[#This Row],[Error Span]]),"N/A"))</f>
        <v>N/A</v>
      </c>
      <c r="T1211" s="1" t="str">
        <f>IF(OR(Table1[[#This Row],[Low Tol]]="",Table1[[#This Row],[High Tol]]=""),"Needs Analysis",IF(Table1[[#This Row],[Ratio]]&gt;=4,"Not Significant",IF(Table1[[#This Row],[Ratio]]&gt;=2,"Semi-Significant","Significant")))</f>
        <v>Needs Analysis</v>
      </c>
      <c r="W1211" s="1">
        <f>IF(Table1[[#This Row],[Cal Type]]&lt;&gt;"ACCREDITED 17025 WITH UNCERTAINTIES",0,"")</f>
        <v>0</v>
      </c>
      <c r="X1211" s="1" t="str">
        <f>IF(Table1[[#This Row],[DUT Read]]="","N/A",Table1[[#This Row],[Std Error]]+Table1[[#This Row],[DUT Read]]+Table1[[#This Row],[DUT Ucty]])</f>
        <v>N/A</v>
      </c>
      <c r="Y1211" s="1" t="str">
        <f>IF(Table1[[#This Row],[Std Read]]="","N/A",Table1[[#This Row],[Std Read]]+Table1[[#This Row],[Std Ucty]])</f>
        <v>N/A</v>
      </c>
      <c r="Z12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1" s="1" t="str">
        <f>IF(Table1[[#This Row],[Spec Type]]="","N/A",Table1[[#This Row],[Spec Type]])</f>
        <v>±</v>
      </c>
      <c r="AC1211" s="1" t="str">
        <f>IF(Table1[[#This Row],[Spec Type2]]="N/A","N/A",IF(AND(Table1[[#This Row],[DUT Adj Read]]&gt;=Table1[[#This Row],[Low Tol]],Table1[[#This Row],[DUT Adj Read]]&lt;=Table1[[#This Row],[High Tol]]),"Pass","Fail"))</f>
        <v>Fail</v>
      </c>
      <c r="AD1211" s="1" t="str">
        <f>IF(AND(Table1[[#This Row],[Spec Type2]]="N/A",Table1[[#This Row],[DUT Adj Read]]="N/A",Table1[[#This Row],[Std Adj Read]]="N/A"),"N/A",IF(Table1[[#This Row],[DUT Adj Read]]="N/A",IF(Table1[[#This Row],[Std Adj Read]]&gt;Table1[[#This Row],[Low Tol]],"Pass","Fail"),IF(Table1[[#This Row],[DUT Adj Read]]&gt;Table1[[#This Row],[Low Tol]],"Pass","Fail")))</f>
        <v>Pass</v>
      </c>
      <c r="AE1211" s="1" t="str">
        <f>IF(AND(Table1[[#This Row],[Spec Type2]]="N/A",Table1[[#This Row],[DUT Adj Read]]="N/A",Table1[[#This Row],[Std Adj Read]]="N/A"),"N/A",IF(Table1[[#This Row],[DUT Adj Read]]="N/A",IF(Table1[[#This Row],[Std Adj Read]]&lt;Table1[[#This Row],[High Tol]],"Pass","Fail"),IF(Table1[[#This Row],[DUT Adj Read]]&lt;Table1[[#This Row],[High Tol]],"Pass","Fail")))</f>
        <v>Fail</v>
      </c>
      <c r="AF1211" s="1" t="str">
        <f>IF(AND(Table1[[#This Row],[Spec Type2]]="N/A",Table1[[#This Row],[DUT Adj Read]]="N/A",Table1[[#This Row],[Std Adj Read]]="N/A"),"N/A",IF(Table1[[#This Row],[DUT Adj Read]]="N/A",IF(Table1[[#This Row],[Std Adj Read]]&gt;=Table1[[#This Row],[Low Tol]],"Pass","Fail"),IF(Table1[[#This Row],[DUT Adj Read]]&gt;=Table1[[#This Row],[Low Tol]],"Pass","Fail")))</f>
        <v>Pass</v>
      </c>
      <c r="AG1211" s="1" t="str">
        <f>IF(AND(Table1[[#This Row],[Spec Type2]]="N/A",Table1[[#This Row],[DUT Adj Read]]="N/A",Table1[[#This Row],[Std Adj Read]]="N/A"),"N/A",IF(Table1[[#This Row],[DUT Adj Read]]="N/A",IF(Table1[[#This Row],[Std Adj Read]]&lt;=Table1[[#This Row],[High Tol]],"Pass","Fail"),IF(Table1[[#This Row],[DUT Adj Read]]&lt;=Table1[[#This Row],[High Tol]],"Pass","Fail")))</f>
        <v>Fail</v>
      </c>
      <c r="AH12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1" s="1" t="b">
        <v>0</v>
      </c>
      <c r="AN1211" s="1" t="b">
        <v>0</v>
      </c>
      <c r="AO1211" s="1" t="b">
        <v>0</v>
      </c>
    </row>
    <row r="1212" spans="1:41" x14ac:dyDescent="0.25">
      <c r="A1212" s="10"/>
      <c r="B1212" s="10"/>
      <c r="C1212" s="10"/>
      <c r="D1212" s="10"/>
      <c r="E1212" s="10"/>
      <c r="F1212" s="10"/>
      <c r="G1212" s="10"/>
      <c r="H1212" s="10"/>
      <c r="I1212" s="1" t="str">
        <f t="shared" si="54"/>
        <v/>
      </c>
      <c r="J1212" s="1" t="s">
        <v>35</v>
      </c>
      <c r="K1212" s="1" t="str">
        <f t="shared" si="55"/>
        <v/>
      </c>
      <c r="L1212" s="1" t="str">
        <f t="shared" si="56"/>
        <v/>
      </c>
      <c r="M1212" s="1">
        <f>IF(OR(Table1[[#This Row],[Std Nom]]="",Table1[[#This Row],[Std Read]]=""),0,Table1[[#This Row],[Std Nom]]-Table1[[#This Row],[Std Read]])</f>
        <v>0</v>
      </c>
      <c r="N1212" s="1">
        <f>IF(Calculations!$F$5="ACCREDITED 17025 WITH UNCERTAINTIES",$N$10,0)</f>
        <v>0</v>
      </c>
      <c r="Q1212" s="1">
        <f>Table1[[#This Row],[High Tol]]-Table1[[#This Row],[Low Tol]]</f>
        <v>0</v>
      </c>
      <c r="R1212" s="1">
        <f>2*Table1[[#This Row],[Std Error]]</f>
        <v>0</v>
      </c>
      <c r="S1212" s="1" t="str">
        <f>IF(Table1[[#This Row],[High Tol]]="","N/A",IFERROR(ABS(Table1[[#This Row],[Tol Span]]/Table1[[#This Row],[Error Span]]),"N/A"))</f>
        <v>N/A</v>
      </c>
      <c r="T1212" s="1" t="str">
        <f>IF(OR(Table1[[#This Row],[Low Tol]]="",Table1[[#This Row],[High Tol]]=""),"Needs Analysis",IF(Table1[[#This Row],[Ratio]]&gt;=4,"Not Significant",IF(Table1[[#This Row],[Ratio]]&gt;=2,"Semi-Significant","Significant")))</f>
        <v>Needs Analysis</v>
      </c>
      <c r="W1212" s="1">
        <f>IF(Table1[[#This Row],[Cal Type]]&lt;&gt;"ACCREDITED 17025 WITH UNCERTAINTIES",0,"")</f>
        <v>0</v>
      </c>
      <c r="X1212" s="1" t="str">
        <f>IF(Table1[[#This Row],[DUT Read]]="","N/A",Table1[[#This Row],[Std Error]]+Table1[[#This Row],[DUT Read]]+Table1[[#This Row],[DUT Ucty]])</f>
        <v>N/A</v>
      </c>
      <c r="Y1212" s="1" t="str">
        <f>IF(Table1[[#This Row],[Std Read]]="","N/A",Table1[[#This Row],[Std Read]]+Table1[[#This Row],[Std Ucty]])</f>
        <v>N/A</v>
      </c>
      <c r="Z12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2" s="1" t="str">
        <f>IF(Table1[[#This Row],[Spec Type]]="","N/A",Table1[[#This Row],[Spec Type]])</f>
        <v>±</v>
      </c>
      <c r="AC1212" s="1" t="str">
        <f>IF(Table1[[#This Row],[Spec Type2]]="N/A","N/A",IF(AND(Table1[[#This Row],[DUT Adj Read]]&gt;=Table1[[#This Row],[Low Tol]],Table1[[#This Row],[DUT Adj Read]]&lt;=Table1[[#This Row],[High Tol]]),"Pass","Fail"))</f>
        <v>Fail</v>
      </c>
      <c r="AD1212" s="1" t="str">
        <f>IF(AND(Table1[[#This Row],[Spec Type2]]="N/A",Table1[[#This Row],[DUT Adj Read]]="N/A",Table1[[#This Row],[Std Adj Read]]="N/A"),"N/A",IF(Table1[[#This Row],[DUT Adj Read]]="N/A",IF(Table1[[#This Row],[Std Adj Read]]&gt;Table1[[#This Row],[Low Tol]],"Pass","Fail"),IF(Table1[[#This Row],[DUT Adj Read]]&gt;Table1[[#This Row],[Low Tol]],"Pass","Fail")))</f>
        <v>Pass</v>
      </c>
      <c r="AE1212" s="1" t="str">
        <f>IF(AND(Table1[[#This Row],[Spec Type2]]="N/A",Table1[[#This Row],[DUT Adj Read]]="N/A",Table1[[#This Row],[Std Adj Read]]="N/A"),"N/A",IF(Table1[[#This Row],[DUT Adj Read]]="N/A",IF(Table1[[#This Row],[Std Adj Read]]&lt;Table1[[#This Row],[High Tol]],"Pass","Fail"),IF(Table1[[#This Row],[DUT Adj Read]]&lt;Table1[[#This Row],[High Tol]],"Pass","Fail")))</f>
        <v>Fail</v>
      </c>
      <c r="AF1212" s="1" t="str">
        <f>IF(AND(Table1[[#This Row],[Spec Type2]]="N/A",Table1[[#This Row],[DUT Adj Read]]="N/A",Table1[[#This Row],[Std Adj Read]]="N/A"),"N/A",IF(Table1[[#This Row],[DUT Adj Read]]="N/A",IF(Table1[[#This Row],[Std Adj Read]]&gt;=Table1[[#This Row],[Low Tol]],"Pass","Fail"),IF(Table1[[#This Row],[DUT Adj Read]]&gt;=Table1[[#This Row],[Low Tol]],"Pass","Fail")))</f>
        <v>Pass</v>
      </c>
      <c r="AG1212" s="1" t="str">
        <f>IF(AND(Table1[[#This Row],[Spec Type2]]="N/A",Table1[[#This Row],[DUT Adj Read]]="N/A",Table1[[#This Row],[Std Adj Read]]="N/A"),"N/A",IF(Table1[[#This Row],[DUT Adj Read]]="N/A",IF(Table1[[#This Row],[Std Adj Read]]&lt;=Table1[[#This Row],[High Tol]],"Pass","Fail"),IF(Table1[[#This Row],[DUT Adj Read]]&lt;=Table1[[#This Row],[High Tol]],"Pass","Fail")))</f>
        <v>Fail</v>
      </c>
      <c r="AH12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2" s="1" t="b">
        <v>0</v>
      </c>
      <c r="AN1212" s="1" t="b">
        <v>0</v>
      </c>
      <c r="AO1212" s="1" t="b">
        <v>0</v>
      </c>
    </row>
    <row r="1213" spans="1:41" x14ac:dyDescent="0.25">
      <c r="A1213" s="10"/>
      <c r="B1213" s="10"/>
      <c r="C1213" s="10"/>
      <c r="D1213" s="10"/>
      <c r="E1213" s="10"/>
      <c r="F1213" s="10"/>
      <c r="G1213" s="10"/>
      <c r="H1213" s="10"/>
      <c r="I1213" s="1" t="str">
        <f t="shared" si="54"/>
        <v/>
      </c>
      <c r="J1213" s="1" t="s">
        <v>35</v>
      </c>
      <c r="K1213" s="1" t="str">
        <f t="shared" si="55"/>
        <v/>
      </c>
      <c r="L1213" s="1" t="str">
        <f t="shared" si="56"/>
        <v/>
      </c>
      <c r="M1213" s="1">
        <f>IF(OR(Table1[[#This Row],[Std Nom]]="",Table1[[#This Row],[Std Read]]=""),0,Table1[[#This Row],[Std Nom]]-Table1[[#This Row],[Std Read]])</f>
        <v>0</v>
      </c>
      <c r="N1213" s="1">
        <f>IF(Calculations!$F$5="ACCREDITED 17025 WITH UNCERTAINTIES",$N$10,0)</f>
        <v>0</v>
      </c>
      <c r="Q1213" s="1">
        <f>Table1[[#This Row],[High Tol]]-Table1[[#This Row],[Low Tol]]</f>
        <v>0</v>
      </c>
      <c r="R1213" s="1">
        <f>2*Table1[[#This Row],[Std Error]]</f>
        <v>0</v>
      </c>
      <c r="S1213" s="1" t="str">
        <f>IF(Table1[[#This Row],[High Tol]]="","N/A",IFERROR(ABS(Table1[[#This Row],[Tol Span]]/Table1[[#This Row],[Error Span]]),"N/A"))</f>
        <v>N/A</v>
      </c>
      <c r="T1213" s="1" t="str">
        <f>IF(OR(Table1[[#This Row],[Low Tol]]="",Table1[[#This Row],[High Tol]]=""),"Needs Analysis",IF(Table1[[#This Row],[Ratio]]&gt;=4,"Not Significant",IF(Table1[[#This Row],[Ratio]]&gt;=2,"Semi-Significant","Significant")))</f>
        <v>Needs Analysis</v>
      </c>
      <c r="W1213" s="1">
        <f>IF(Table1[[#This Row],[Cal Type]]&lt;&gt;"ACCREDITED 17025 WITH UNCERTAINTIES",0,"")</f>
        <v>0</v>
      </c>
      <c r="X1213" s="1" t="str">
        <f>IF(Table1[[#This Row],[DUT Read]]="","N/A",Table1[[#This Row],[Std Error]]+Table1[[#This Row],[DUT Read]]+Table1[[#This Row],[DUT Ucty]])</f>
        <v>N/A</v>
      </c>
      <c r="Y1213" s="1" t="str">
        <f>IF(Table1[[#This Row],[Std Read]]="","N/A",Table1[[#This Row],[Std Read]]+Table1[[#This Row],[Std Ucty]])</f>
        <v>N/A</v>
      </c>
      <c r="Z12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3" s="1" t="str">
        <f>IF(Table1[[#This Row],[Spec Type]]="","N/A",Table1[[#This Row],[Spec Type]])</f>
        <v>±</v>
      </c>
      <c r="AC1213" s="1" t="str">
        <f>IF(Table1[[#This Row],[Spec Type2]]="N/A","N/A",IF(AND(Table1[[#This Row],[DUT Adj Read]]&gt;=Table1[[#This Row],[Low Tol]],Table1[[#This Row],[DUT Adj Read]]&lt;=Table1[[#This Row],[High Tol]]),"Pass","Fail"))</f>
        <v>Fail</v>
      </c>
      <c r="AD1213" s="1" t="str">
        <f>IF(AND(Table1[[#This Row],[Spec Type2]]="N/A",Table1[[#This Row],[DUT Adj Read]]="N/A",Table1[[#This Row],[Std Adj Read]]="N/A"),"N/A",IF(Table1[[#This Row],[DUT Adj Read]]="N/A",IF(Table1[[#This Row],[Std Adj Read]]&gt;Table1[[#This Row],[Low Tol]],"Pass","Fail"),IF(Table1[[#This Row],[DUT Adj Read]]&gt;Table1[[#This Row],[Low Tol]],"Pass","Fail")))</f>
        <v>Pass</v>
      </c>
      <c r="AE1213" s="1" t="str">
        <f>IF(AND(Table1[[#This Row],[Spec Type2]]="N/A",Table1[[#This Row],[DUT Adj Read]]="N/A",Table1[[#This Row],[Std Adj Read]]="N/A"),"N/A",IF(Table1[[#This Row],[DUT Adj Read]]="N/A",IF(Table1[[#This Row],[Std Adj Read]]&lt;Table1[[#This Row],[High Tol]],"Pass","Fail"),IF(Table1[[#This Row],[DUT Adj Read]]&lt;Table1[[#This Row],[High Tol]],"Pass","Fail")))</f>
        <v>Fail</v>
      </c>
      <c r="AF1213" s="1" t="str">
        <f>IF(AND(Table1[[#This Row],[Spec Type2]]="N/A",Table1[[#This Row],[DUT Adj Read]]="N/A",Table1[[#This Row],[Std Adj Read]]="N/A"),"N/A",IF(Table1[[#This Row],[DUT Adj Read]]="N/A",IF(Table1[[#This Row],[Std Adj Read]]&gt;=Table1[[#This Row],[Low Tol]],"Pass","Fail"),IF(Table1[[#This Row],[DUT Adj Read]]&gt;=Table1[[#This Row],[Low Tol]],"Pass","Fail")))</f>
        <v>Pass</v>
      </c>
      <c r="AG1213" s="1" t="str">
        <f>IF(AND(Table1[[#This Row],[Spec Type2]]="N/A",Table1[[#This Row],[DUT Adj Read]]="N/A",Table1[[#This Row],[Std Adj Read]]="N/A"),"N/A",IF(Table1[[#This Row],[DUT Adj Read]]="N/A",IF(Table1[[#This Row],[Std Adj Read]]&lt;=Table1[[#This Row],[High Tol]],"Pass","Fail"),IF(Table1[[#This Row],[DUT Adj Read]]&lt;=Table1[[#This Row],[High Tol]],"Pass","Fail")))</f>
        <v>Fail</v>
      </c>
      <c r="AH12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3" s="1" t="b">
        <v>0</v>
      </c>
      <c r="AN1213" s="1" t="b">
        <v>0</v>
      </c>
      <c r="AO1213" s="1" t="b">
        <v>0</v>
      </c>
    </row>
    <row r="1214" spans="1:41" x14ac:dyDescent="0.25">
      <c r="A1214" s="10"/>
      <c r="B1214" s="10"/>
      <c r="C1214" s="10"/>
      <c r="D1214" s="10"/>
      <c r="E1214" s="10"/>
      <c r="F1214" s="10"/>
      <c r="G1214" s="10"/>
      <c r="H1214" s="10"/>
      <c r="I1214" s="1" t="str">
        <f t="shared" si="54"/>
        <v/>
      </c>
      <c r="J1214" s="1" t="s">
        <v>35</v>
      </c>
      <c r="K1214" s="1" t="str">
        <f t="shared" si="55"/>
        <v/>
      </c>
      <c r="L1214" s="1" t="str">
        <f t="shared" si="56"/>
        <v/>
      </c>
      <c r="M1214" s="1">
        <f>IF(OR(Table1[[#This Row],[Std Nom]]="",Table1[[#This Row],[Std Read]]=""),0,Table1[[#This Row],[Std Nom]]-Table1[[#This Row],[Std Read]])</f>
        <v>0</v>
      </c>
      <c r="N1214" s="1">
        <f>IF(Calculations!$F$5="ACCREDITED 17025 WITH UNCERTAINTIES",$N$10,0)</f>
        <v>0</v>
      </c>
      <c r="Q1214" s="1">
        <f>Table1[[#This Row],[High Tol]]-Table1[[#This Row],[Low Tol]]</f>
        <v>0</v>
      </c>
      <c r="R1214" s="1">
        <f>2*Table1[[#This Row],[Std Error]]</f>
        <v>0</v>
      </c>
      <c r="S1214" s="1" t="str">
        <f>IF(Table1[[#This Row],[High Tol]]="","N/A",IFERROR(ABS(Table1[[#This Row],[Tol Span]]/Table1[[#This Row],[Error Span]]),"N/A"))</f>
        <v>N/A</v>
      </c>
      <c r="T1214" s="1" t="str">
        <f>IF(OR(Table1[[#This Row],[Low Tol]]="",Table1[[#This Row],[High Tol]]=""),"Needs Analysis",IF(Table1[[#This Row],[Ratio]]&gt;=4,"Not Significant",IF(Table1[[#This Row],[Ratio]]&gt;=2,"Semi-Significant","Significant")))</f>
        <v>Needs Analysis</v>
      </c>
      <c r="W1214" s="1">
        <f>IF(Table1[[#This Row],[Cal Type]]&lt;&gt;"ACCREDITED 17025 WITH UNCERTAINTIES",0,"")</f>
        <v>0</v>
      </c>
      <c r="X1214" s="1" t="str">
        <f>IF(Table1[[#This Row],[DUT Read]]="","N/A",Table1[[#This Row],[Std Error]]+Table1[[#This Row],[DUT Read]]+Table1[[#This Row],[DUT Ucty]])</f>
        <v>N/A</v>
      </c>
      <c r="Y1214" s="1" t="str">
        <f>IF(Table1[[#This Row],[Std Read]]="","N/A",Table1[[#This Row],[Std Read]]+Table1[[#This Row],[Std Ucty]])</f>
        <v>N/A</v>
      </c>
      <c r="Z12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4" s="1" t="str">
        <f>IF(Table1[[#This Row],[Spec Type]]="","N/A",Table1[[#This Row],[Spec Type]])</f>
        <v>±</v>
      </c>
      <c r="AC1214" s="1" t="str">
        <f>IF(Table1[[#This Row],[Spec Type2]]="N/A","N/A",IF(AND(Table1[[#This Row],[DUT Adj Read]]&gt;=Table1[[#This Row],[Low Tol]],Table1[[#This Row],[DUT Adj Read]]&lt;=Table1[[#This Row],[High Tol]]),"Pass","Fail"))</f>
        <v>Fail</v>
      </c>
      <c r="AD1214" s="1" t="str">
        <f>IF(AND(Table1[[#This Row],[Spec Type2]]="N/A",Table1[[#This Row],[DUT Adj Read]]="N/A",Table1[[#This Row],[Std Adj Read]]="N/A"),"N/A",IF(Table1[[#This Row],[DUT Adj Read]]="N/A",IF(Table1[[#This Row],[Std Adj Read]]&gt;Table1[[#This Row],[Low Tol]],"Pass","Fail"),IF(Table1[[#This Row],[DUT Adj Read]]&gt;Table1[[#This Row],[Low Tol]],"Pass","Fail")))</f>
        <v>Pass</v>
      </c>
      <c r="AE1214" s="1" t="str">
        <f>IF(AND(Table1[[#This Row],[Spec Type2]]="N/A",Table1[[#This Row],[DUT Adj Read]]="N/A",Table1[[#This Row],[Std Adj Read]]="N/A"),"N/A",IF(Table1[[#This Row],[DUT Adj Read]]="N/A",IF(Table1[[#This Row],[Std Adj Read]]&lt;Table1[[#This Row],[High Tol]],"Pass","Fail"),IF(Table1[[#This Row],[DUT Adj Read]]&lt;Table1[[#This Row],[High Tol]],"Pass","Fail")))</f>
        <v>Fail</v>
      </c>
      <c r="AF1214" s="1" t="str">
        <f>IF(AND(Table1[[#This Row],[Spec Type2]]="N/A",Table1[[#This Row],[DUT Adj Read]]="N/A",Table1[[#This Row],[Std Adj Read]]="N/A"),"N/A",IF(Table1[[#This Row],[DUT Adj Read]]="N/A",IF(Table1[[#This Row],[Std Adj Read]]&gt;=Table1[[#This Row],[Low Tol]],"Pass","Fail"),IF(Table1[[#This Row],[DUT Adj Read]]&gt;=Table1[[#This Row],[Low Tol]],"Pass","Fail")))</f>
        <v>Pass</v>
      </c>
      <c r="AG1214" s="1" t="str">
        <f>IF(AND(Table1[[#This Row],[Spec Type2]]="N/A",Table1[[#This Row],[DUT Adj Read]]="N/A",Table1[[#This Row],[Std Adj Read]]="N/A"),"N/A",IF(Table1[[#This Row],[DUT Adj Read]]="N/A",IF(Table1[[#This Row],[Std Adj Read]]&lt;=Table1[[#This Row],[High Tol]],"Pass","Fail"),IF(Table1[[#This Row],[DUT Adj Read]]&lt;=Table1[[#This Row],[High Tol]],"Pass","Fail")))</f>
        <v>Fail</v>
      </c>
      <c r="AH12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4" s="1" t="b">
        <v>0</v>
      </c>
      <c r="AN1214" s="1" t="b">
        <v>0</v>
      </c>
      <c r="AO1214" s="1" t="b">
        <v>0</v>
      </c>
    </row>
    <row r="1215" spans="1:41" x14ac:dyDescent="0.25">
      <c r="A1215" s="10"/>
      <c r="B1215" s="10"/>
      <c r="C1215" s="10"/>
      <c r="D1215" s="10"/>
      <c r="E1215" s="10"/>
      <c r="F1215" s="10"/>
      <c r="G1215" s="10"/>
      <c r="H1215" s="10"/>
      <c r="I1215" s="1" t="str">
        <f t="shared" si="54"/>
        <v/>
      </c>
      <c r="J1215" s="1" t="s">
        <v>35</v>
      </c>
      <c r="K1215" s="1" t="str">
        <f t="shared" si="55"/>
        <v/>
      </c>
      <c r="L1215" s="1" t="str">
        <f t="shared" si="56"/>
        <v/>
      </c>
      <c r="M1215" s="1">
        <f>IF(OR(Table1[[#This Row],[Std Nom]]="",Table1[[#This Row],[Std Read]]=""),0,Table1[[#This Row],[Std Nom]]-Table1[[#This Row],[Std Read]])</f>
        <v>0</v>
      </c>
      <c r="N1215" s="1">
        <f>IF(Calculations!$F$5="ACCREDITED 17025 WITH UNCERTAINTIES",$N$10,0)</f>
        <v>0</v>
      </c>
      <c r="Q1215" s="1">
        <f>Table1[[#This Row],[High Tol]]-Table1[[#This Row],[Low Tol]]</f>
        <v>0</v>
      </c>
      <c r="R1215" s="1">
        <f>2*Table1[[#This Row],[Std Error]]</f>
        <v>0</v>
      </c>
      <c r="S1215" s="1" t="str">
        <f>IF(Table1[[#This Row],[High Tol]]="","N/A",IFERROR(ABS(Table1[[#This Row],[Tol Span]]/Table1[[#This Row],[Error Span]]),"N/A"))</f>
        <v>N/A</v>
      </c>
      <c r="T1215" s="1" t="str">
        <f>IF(OR(Table1[[#This Row],[Low Tol]]="",Table1[[#This Row],[High Tol]]=""),"Needs Analysis",IF(Table1[[#This Row],[Ratio]]&gt;=4,"Not Significant",IF(Table1[[#This Row],[Ratio]]&gt;=2,"Semi-Significant","Significant")))</f>
        <v>Needs Analysis</v>
      </c>
      <c r="W1215" s="1">
        <f>IF(Table1[[#This Row],[Cal Type]]&lt;&gt;"ACCREDITED 17025 WITH UNCERTAINTIES",0,"")</f>
        <v>0</v>
      </c>
      <c r="X1215" s="1" t="str">
        <f>IF(Table1[[#This Row],[DUT Read]]="","N/A",Table1[[#This Row],[Std Error]]+Table1[[#This Row],[DUT Read]]+Table1[[#This Row],[DUT Ucty]])</f>
        <v>N/A</v>
      </c>
      <c r="Y1215" s="1" t="str">
        <f>IF(Table1[[#This Row],[Std Read]]="","N/A",Table1[[#This Row],[Std Read]]+Table1[[#This Row],[Std Ucty]])</f>
        <v>N/A</v>
      </c>
      <c r="Z12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5" s="1" t="str">
        <f>IF(Table1[[#This Row],[Spec Type]]="","N/A",Table1[[#This Row],[Spec Type]])</f>
        <v>±</v>
      </c>
      <c r="AC1215" s="1" t="str">
        <f>IF(Table1[[#This Row],[Spec Type2]]="N/A","N/A",IF(AND(Table1[[#This Row],[DUT Adj Read]]&gt;=Table1[[#This Row],[Low Tol]],Table1[[#This Row],[DUT Adj Read]]&lt;=Table1[[#This Row],[High Tol]]),"Pass","Fail"))</f>
        <v>Fail</v>
      </c>
      <c r="AD1215" s="1" t="str">
        <f>IF(AND(Table1[[#This Row],[Spec Type2]]="N/A",Table1[[#This Row],[DUT Adj Read]]="N/A",Table1[[#This Row],[Std Adj Read]]="N/A"),"N/A",IF(Table1[[#This Row],[DUT Adj Read]]="N/A",IF(Table1[[#This Row],[Std Adj Read]]&gt;Table1[[#This Row],[Low Tol]],"Pass","Fail"),IF(Table1[[#This Row],[DUT Adj Read]]&gt;Table1[[#This Row],[Low Tol]],"Pass","Fail")))</f>
        <v>Pass</v>
      </c>
      <c r="AE1215" s="1" t="str">
        <f>IF(AND(Table1[[#This Row],[Spec Type2]]="N/A",Table1[[#This Row],[DUT Adj Read]]="N/A",Table1[[#This Row],[Std Adj Read]]="N/A"),"N/A",IF(Table1[[#This Row],[DUT Adj Read]]="N/A",IF(Table1[[#This Row],[Std Adj Read]]&lt;Table1[[#This Row],[High Tol]],"Pass","Fail"),IF(Table1[[#This Row],[DUT Adj Read]]&lt;Table1[[#This Row],[High Tol]],"Pass","Fail")))</f>
        <v>Fail</v>
      </c>
      <c r="AF1215" s="1" t="str">
        <f>IF(AND(Table1[[#This Row],[Spec Type2]]="N/A",Table1[[#This Row],[DUT Adj Read]]="N/A",Table1[[#This Row],[Std Adj Read]]="N/A"),"N/A",IF(Table1[[#This Row],[DUT Adj Read]]="N/A",IF(Table1[[#This Row],[Std Adj Read]]&gt;=Table1[[#This Row],[Low Tol]],"Pass","Fail"),IF(Table1[[#This Row],[DUT Adj Read]]&gt;=Table1[[#This Row],[Low Tol]],"Pass","Fail")))</f>
        <v>Pass</v>
      </c>
      <c r="AG1215" s="1" t="str">
        <f>IF(AND(Table1[[#This Row],[Spec Type2]]="N/A",Table1[[#This Row],[DUT Adj Read]]="N/A",Table1[[#This Row],[Std Adj Read]]="N/A"),"N/A",IF(Table1[[#This Row],[DUT Adj Read]]="N/A",IF(Table1[[#This Row],[Std Adj Read]]&lt;=Table1[[#This Row],[High Tol]],"Pass","Fail"),IF(Table1[[#This Row],[DUT Adj Read]]&lt;=Table1[[#This Row],[High Tol]],"Pass","Fail")))</f>
        <v>Fail</v>
      </c>
      <c r="AH12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5" s="1" t="b">
        <v>0</v>
      </c>
      <c r="AN1215" s="1" t="b">
        <v>0</v>
      </c>
      <c r="AO1215" s="1" t="b">
        <v>0</v>
      </c>
    </row>
    <row r="1216" spans="1:41" x14ac:dyDescent="0.25">
      <c r="A1216" s="10"/>
      <c r="B1216" s="10"/>
      <c r="C1216" s="10"/>
      <c r="D1216" s="10"/>
      <c r="E1216" s="10"/>
      <c r="F1216" s="10"/>
      <c r="G1216" s="10"/>
      <c r="H1216" s="10"/>
      <c r="I1216" s="1" t="str">
        <f t="shared" si="54"/>
        <v/>
      </c>
      <c r="J1216" s="1" t="s">
        <v>35</v>
      </c>
      <c r="K1216" s="1" t="str">
        <f t="shared" si="55"/>
        <v/>
      </c>
      <c r="L1216" s="1" t="str">
        <f t="shared" si="56"/>
        <v/>
      </c>
      <c r="M1216" s="1">
        <f>IF(OR(Table1[[#This Row],[Std Nom]]="",Table1[[#This Row],[Std Read]]=""),0,Table1[[#This Row],[Std Nom]]-Table1[[#This Row],[Std Read]])</f>
        <v>0</v>
      </c>
      <c r="N1216" s="1">
        <f>IF(Calculations!$F$5="ACCREDITED 17025 WITH UNCERTAINTIES",$N$10,0)</f>
        <v>0</v>
      </c>
      <c r="Q1216" s="1">
        <f>Table1[[#This Row],[High Tol]]-Table1[[#This Row],[Low Tol]]</f>
        <v>0</v>
      </c>
      <c r="R1216" s="1">
        <f>2*Table1[[#This Row],[Std Error]]</f>
        <v>0</v>
      </c>
      <c r="S1216" s="1" t="str">
        <f>IF(Table1[[#This Row],[High Tol]]="","N/A",IFERROR(ABS(Table1[[#This Row],[Tol Span]]/Table1[[#This Row],[Error Span]]),"N/A"))</f>
        <v>N/A</v>
      </c>
      <c r="T1216" s="1" t="str">
        <f>IF(OR(Table1[[#This Row],[Low Tol]]="",Table1[[#This Row],[High Tol]]=""),"Needs Analysis",IF(Table1[[#This Row],[Ratio]]&gt;=4,"Not Significant",IF(Table1[[#This Row],[Ratio]]&gt;=2,"Semi-Significant","Significant")))</f>
        <v>Needs Analysis</v>
      </c>
      <c r="W1216" s="1">
        <f>IF(Table1[[#This Row],[Cal Type]]&lt;&gt;"ACCREDITED 17025 WITH UNCERTAINTIES",0,"")</f>
        <v>0</v>
      </c>
      <c r="X1216" s="1" t="str">
        <f>IF(Table1[[#This Row],[DUT Read]]="","N/A",Table1[[#This Row],[Std Error]]+Table1[[#This Row],[DUT Read]]+Table1[[#This Row],[DUT Ucty]])</f>
        <v>N/A</v>
      </c>
      <c r="Y1216" s="1" t="str">
        <f>IF(Table1[[#This Row],[Std Read]]="","N/A",Table1[[#This Row],[Std Read]]+Table1[[#This Row],[Std Ucty]])</f>
        <v>N/A</v>
      </c>
      <c r="Z12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6" s="1" t="str">
        <f>IF(Table1[[#This Row],[Spec Type]]="","N/A",Table1[[#This Row],[Spec Type]])</f>
        <v>±</v>
      </c>
      <c r="AC1216" s="1" t="str">
        <f>IF(Table1[[#This Row],[Spec Type2]]="N/A","N/A",IF(AND(Table1[[#This Row],[DUT Adj Read]]&gt;=Table1[[#This Row],[Low Tol]],Table1[[#This Row],[DUT Adj Read]]&lt;=Table1[[#This Row],[High Tol]]),"Pass","Fail"))</f>
        <v>Fail</v>
      </c>
      <c r="AD1216" s="1" t="str">
        <f>IF(AND(Table1[[#This Row],[Spec Type2]]="N/A",Table1[[#This Row],[DUT Adj Read]]="N/A",Table1[[#This Row],[Std Adj Read]]="N/A"),"N/A",IF(Table1[[#This Row],[DUT Adj Read]]="N/A",IF(Table1[[#This Row],[Std Adj Read]]&gt;Table1[[#This Row],[Low Tol]],"Pass","Fail"),IF(Table1[[#This Row],[DUT Adj Read]]&gt;Table1[[#This Row],[Low Tol]],"Pass","Fail")))</f>
        <v>Pass</v>
      </c>
      <c r="AE1216" s="1" t="str">
        <f>IF(AND(Table1[[#This Row],[Spec Type2]]="N/A",Table1[[#This Row],[DUT Adj Read]]="N/A",Table1[[#This Row],[Std Adj Read]]="N/A"),"N/A",IF(Table1[[#This Row],[DUT Adj Read]]="N/A",IF(Table1[[#This Row],[Std Adj Read]]&lt;Table1[[#This Row],[High Tol]],"Pass","Fail"),IF(Table1[[#This Row],[DUT Adj Read]]&lt;Table1[[#This Row],[High Tol]],"Pass","Fail")))</f>
        <v>Fail</v>
      </c>
      <c r="AF1216" s="1" t="str">
        <f>IF(AND(Table1[[#This Row],[Spec Type2]]="N/A",Table1[[#This Row],[DUT Adj Read]]="N/A",Table1[[#This Row],[Std Adj Read]]="N/A"),"N/A",IF(Table1[[#This Row],[DUT Adj Read]]="N/A",IF(Table1[[#This Row],[Std Adj Read]]&gt;=Table1[[#This Row],[Low Tol]],"Pass","Fail"),IF(Table1[[#This Row],[DUT Adj Read]]&gt;=Table1[[#This Row],[Low Tol]],"Pass","Fail")))</f>
        <v>Pass</v>
      </c>
      <c r="AG1216" s="1" t="str">
        <f>IF(AND(Table1[[#This Row],[Spec Type2]]="N/A",Table1[[#This Row],[DUT Adj Read]]="N/A",Table1[[#This Row],[Std Adj Read]]="N/A"),"N/A",IF(Table1[[#This Row],[DUT Adj Read]]="N/A",IF(Table1[[#This Row],[Std Adj Read]]&lt;=Table1[[#This Row],[High Tol]],"Pass","Fail"),IF(Table1[[#This Row],[DUT Adj Read]]&lt;=Table1[[#This Row],[High Tol]],"Pass","Fail")))</f>
        <v>Fail</v>
      </c>
      <c r="AH12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6" s="1" t="b">
        <v>0</v>
      </c>
      <c r="AN1216" s="1" t="b">
        <v>0</v>
      </c>
      <c r="AO1216" s="1" t="b">
        <v>0</v>
      </c>
    </row>
    <row r="1217" spans="1:41" x14ac:dyDescent="0.25">
      <c r="A1217" s="10"/>
      <c r="B1217" s="10"/>
      <c r="C1217" s="10"/>
      <c r="D1217" s="10"/>
      <c r="E1217" s="10"/>
      <c r="F1217" s="10"/>
      <c r="G1217" s="10"/>
      <c r="H1217" s="10"/>
      <c r="I1217" s="1" t="str">
        <f t="shared" si="54"/>
        <v/>
      </c>
      <c r="J1217" s="1" t="s">
        <v>35</v>
      </c>
      <c r="K1217" s="1" t="str">
        <f t="shared" si="55"/>
        <v/>
      </c>
      <c r="L1217" s="1" t="str">
        <f t="shared" si="56"/>
        <v/>
      </c>
      <c r="M1217" s="1">
        <f>IF(OR(Table1[[#This Row],[Std Nom]]="",Table1[[#This Row],[Std Read]]=""),0,Table1[[#This Row],[Std Nom]]-Table1[[#This Row],[Std Read]])</f>
        <v>0</v>
      </c>
      <c r="N1217" s="1">
        <f>IF(Calculations!$F$5="ACCREDITED 17025 WITH UNCERTAINTIES",$N$10,0)</f>
        <v>0</v>
      </c>
      <c r="Q1217" s="1">
        <f>Table1[[#This Row],[High Tol]]-Table1[[#This Row],[Low Tol]]</f>
        <v>0</v>
      </c>
      <c r="R1217" s="1">
        <f>2*Table1[[#This Row],[Std Error]]</f>
        <v>0</v>
      </c>
      <c r="S1217" s="1" t="str">
        <f>IF(Table1[[#This Row],[High Tol]]="","N/A",IFERROR(ABS(Table1[[#This Row],[Tol Span]]/Table1[[#This Row],[Error Span]]),"N/A"))</f>
        <v>N/A</v>
      </c>
      <c r="T1217" s="1" t="str">
        <f>IF(OR(Table1[[#This Row],[Low Tol]]="",Table1[[#This Row],[High Tol]]=""),"Needs Analysis",IF(Table1[[#This Row],[Ratio]]&gt;=4,"Not Significant",IF(Table1[[#This Row],[Ratio]]&gt;=2,"Semi-Significant","Significant")))</f>
        <v>Needs Analysis</v>
      </c>
      <c r="W1217" s="1">
        <f>IF(Table1[[#This Row],[Cal Type]]&lt;&gt;"ACCREDITED 17025 WITH UNCERTAINTIES",0,"")</f>
        <v>0</v>
      </c>
      <c r="X1217" s="1" t="str">
        <f>IF(Table1[[#This Row],[DUT Read]]="","N/A",Table1[[#This Row],[Std Error]]+Table1[[#This Row],[DUT Read]]+Table1[[#This Row],[DUT Ucty]])</f>
        <v>N/A</v>
      </c>
      <c r="Y1217" s="1" t="str">
        <f>IF(Table1[[#This Row],[Std Read]]="","N/A",Table1[[#This Row],[Std Read]]+Table1[[#This Row],[Std Ucty]])</f>
        <v>N/A</v>
      </c>
      <c r="Z12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7" s="1" t="str">
        <f>IF(Table1[[#This Row],[Spec Type]]="","N/A",Table1[[#This Row],[Spec Type]])</f>
        <v>±</v>
      </c>
      <c r="AC1217" s="1" t="str">
        <f>IF(Table1[[#This Row],[Spec Type2]]="N/A","N/A",IF(AND(Table1[[#This Row],[DUT Adj Read]]&gt;=Table1[[#This Row],[Low Tol]],Table1[[#This Row],[DUT Adj Read]]&lt;=Table1[[#This Row],[High Tol]]),"Pass","Fail"))</f>
        <v>Fail</v>
      </c>
      <c r="AD1217" s="1" t="str">
        <f>IF(AND(Table1[[#This Row],[Spec Type2]]="N/A",Table1[[#This Row],[DUT Adj Read]]="N/A",Table1[[#This Row],[Std Adj Read]]="N/A"),"N/A",IF(Table1[[#This Row],[DUT Adj Read]]="N/A",IF(Table1[[#This Row],[Std Adj Read]]&gt;Table1[[#This Row],[Low Tol]],"Pass","Fail"),IF(Table1[[#This Row],[DUT Adj Read]]&gt;Table1[[#This Row],[Low Tol]],"Pass","Fail")))</f>
        <v>Pass</v>
      </c>
      <c r="AE1217" s="1" t="str">
        <f>IF(AND(Table1[[#This Row],[Spec Type2]]="N/A",Table1[[#This Row],[DUT Adj Read]]="N/A",Table1[[#This Row],[Std Adj Read]]="N/A"),"N/A",IF(Table1[[#This Row],[DUT Adj Read]]="N/A",IF(Table1[[#This Row],[Std Adj Read]]&lt;Table1[[#This Row],[High Tol]],"Pass","Fail"),IF(Table1[[#This Row],[DUT Adj Read]]&lt;Table1[[#This Row],[High Tol]],"Pass","Fail")))</f>
        <v>Fail</v>
      </c>
      <c r="AF1217" s="1" t="str">
        <f>IF(AND(Table1[[#This Row],[Spec Type2]]="N/A",Table1[[#This Row],[DUT Adj Read]]="N/A",Table1[[#This Row],[Std Adj Read]]="N/A"),"N/A",IF(Table1[[#This Row],[DUT Adj Read]]="N/A",IF(Table1[[#This Row],[Std Adj Read]]&gt;=Table1[[#This Row],[Low Tol]],"Pass","Fail"),IF(Table1[[#This Row],[DUT Adj Read]]&gt;=Table1[[#This Row],[Low Tol]],"Pass","Fail")))</f>
        <v>Pass</v>
      </c>
      <c r="AG1217" s="1" t="str">
        <f>IF(AND(Table1[[#This Row],[Spec Type2]]="N/A",Table1[[#This Row],[DUT Adj Read]]="N/A",Table1[[#This Row],[Std Adj Read]]="N/A"),"N/A",IF(Table1[[#This Row],[DUT Adj Read]]="N/A",IF(Table1[[#This Row],[Std Adj Read]]&lt;=Table1[[#This Row],[High Tol]],"Pass","Fail"),IF(Table1[[#This Row],[DUT Adj Read]]&lt;=Table1[[#This Row],[High Tol]],"Pass","Fail")))</f>
        <v>Fail</v>
      </c>
      <c r="AH12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7" s="1" t="b">
        <v>0</v>
      </c>
      <c r="AN1217" s="1" t="b">
        <v>0</v>
      </c>
      <c r="AO1217" s="1" t="b">
        <v>0</v>
      </c>
    </row>
    <row r="1218" spans="1:41" x14ac:dyDescent="0.25">
      <c r="A1218" s="10"/>
      <c r="B1218" s="10"/>
      <c r="C1218" s="10"/>
      <c r="D1218" s="10"/>
      <c r="E1218" s="10"/>
      <c r="F1218" s="10"/>
      <c r="G1218" s="10"/>
      <c r="H1218" s="10"/>
      <c r="I1218" s="1" t="str">
        <f t="shared" si="54"/>
        <v/>
      </c>
      <c r="J1218" s="1" t="s">
        <v>35</v>
      </c>
      <c r="K1218" s="1" t="str">
        <f t="shared" si="55"/>
        <v/>
      </c>
      <c r="L1218" s="1" t="str">
        <f t="shared" si="56"/>
        <v/>
      </c>
      <c r="M1218" s="1">
        <f>IF(OR(Table1[[#This Row],[Std Nom]]="",Table1[[#This Row],[Std Read]]=""),0,Table1[[#This Row],[Std Nom]]-Table1[[#This Row],[Std Read]])</f>
        <v>0</v>
      </c>
      <c r="N1218" s="1">
        <f>IF(Calculations!$F$5="ACCREDITED 17025 WITH UNCERTAINTIES",$N$10,0)</f>
        <v>0</v>
      </c>
      <c r="Q1218" s="1">
        <f>Table1[[#This Row],[High Tol]]-Table1[[#This Row],[Low Tol]]</f>
        <v>0</v>
      </c>
      <c r="R1218" s="1">
        <f>2*Table1[[#This Row],[Std Error]]</f>
        <v>0</v>
      </c>
      <c r="S1218" s="1" t="str">
        <f>IF(Table1[[#This Row],[High Tol]]="","N/A",IFERROR(ABS(Table1[[#This Row],[Tol Span]]/Table1[[#This Row],[Error Span]]),"N/A"))</f>
        <v>N/A</v>
      </c>
      <c r="T1218" s="1" t="str">
        <f>IF(OR(Table1[[#This Row],[Low Tol]]="",Table1[[#This Row],[High Tol]]=""),"Needs Analysis",IF(Table1[[#This Row],[Ratio]]&gt;=4,"Not Significant",IF(Table1[[#This Row],[Ratio]]&gt;=2,"Semi-Significant","Significant")))</f>
        <v>Needs Analysis</v>
      </c>
      <c r="W1218" s="1">
        <f>IF(Table1[[#This Row],[Cal Type]]&lt;&gt;"ACCREDITED 17025 WITH UNCERTAINTIES",0,"")</f>
        <v>0</v>
      </c>
      <c r="X1218" s="1" t="str">
        <f>IF(Table1[[#This Row],[DUT Read]]="","N/A",Table1[[#This Row],[Std Error]]+Table1[[#This Row],[DUT Read]]+Table1[[#This Row],[DUT Ucty]])</f>
        <v>N/A</v>
      </c>
      <c r="Y1218" s="1" t="str">
        <f>IF(Table1[[#This Row],[Std Read]]="","N/A",Table1[[#This Row],[Std Read]]+Table1[[#This Row],[Std Ucty]])</f>
        <v>N/A</v>
      </c>
      <c r="Z12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8" s="1" t="str">
        <f>IF(Table1[[#This Row],[Spec Type]]="","N/A",Table1[[#This Row],[Spec Type]])</f>
        <v>±</v>
      </c>
      <c r="AC1218" s="1" t="str">
        <f>IF(Table1[[#This Row],[Spec Type2]]="N/A","N/A",IF(AND(Table1[[#This Row],[DUT Adj Read]]&gt;=Table1[[#This Row],[Low Tol]],Table1[[#This Row],[DUT Adj Read]]&lt;=Table1[[#This Row],[High Tol]]),"Pass","Fail"))</f>
        <v>Fail</v>
      </c>
      <c r="AD1218" s="1" t="str">
        <f>IF(AND(Table1[[#This Row],[Spec Type2]]="N/A",Table1[[#This Row],[DUT Adj Read]]="N/A",Table1[[#This Row],[Std Adj Read]]="N/A"),"N/A",IF(Table1[[#This Row],[DUT Adj Read]]="N/A",IF(Table1[[#This Row],[Std Adj Read]]&gt;Table1[[#This Row],[Low Tol]],"Pass","Fail"),IF(Table1[[#This Row],[DUT Adj Read]]&gt;Table1[[#This Row],[Low Tol]],"Pass","Fail")))</f>
        <v>Pass</v>
      </c>
      <c r="AE1218" s="1" t="str">
        <f>IF(AND(Table1[[#This Row],[Spec Type2]]="N/A",Table1[[#This Row],[DUT Adj Read]]="N/A",Table1[[#This Row],[Std Adj Read]]="N/A"),"N/A",IF(Table1[[#This Row],[DUT Adj Read]]="N/A",IF(Table1[[#This Row],[Std Adj Read]]&lt;Table1[[#This Row],[High Tol]],"Pass","Fail"),IF(Table1[[#This Row],[DUT Adj Read]]&lt;Table1[[#This Row],[High Tol]],"Pass","Fail")))</f>
        <v>Fail</v>
      </c>
      <c r="AF1218" s="1" t="str">
        <f>IF(AND(Table1[[#This Row],[Spec Type2]]="N/A",Table1[[#This Row],[DUT Adj Read]]="N/A",Table1[[#This Row],[Std Adj Read]]="N/A"),"N/A",IF(Table1[[#This Row],[DUT Adj Read]]="N/A",IF(Table1[[#This Row],[Std Adj Read]]&gt;=Table1[[#This Row],[Low Tol]],"Pass","Fail"),IF(Table1[[#This Row],[DUT Adj Read]]&gt;=Table1[[#This Row],[Low Tol]],"Pass","Fail")))</f>
        <v>Pass</v>
      </c>
      <c r="AG1218" s="1" t="str">
        <f>IF(AND(Table1[[#This Row],[Spec Type2]]="N/A",Table1[[#This Row],[DUT Adj Read]]="N/A",Table1[[#This Row],[Std Adj Read]]="N/A"),"N/A",IF(Table1[[#This Row],[DUT Adj Read]]="N/A",IF(Table1[[#This Row],[Std Adj Read]]&lt;=Table1[[#This Row],[High Tol]],"Pass","Fail"),IF(Table1[[#This Row],[DUT Adj Read]]&lt;=Table1[[#This Row],[High Tol]],"Pass","Fail")))</f>
        <v>Fail</v>
      </c>
      <c r="AH12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8" s="1" t="b">
        <v>0</v>
      </c>
      <c r="AN1218" s="1" t="b">
        <v>0</v>
      </c>
      <c r="AO1218" s="1" t="b">
        <v>0</v>
      </c>
    </row>
    <row r="1219" spans="1:41" x14ac:dyDescent="0.25">
      <c r="A1219" s="10"/>
      <c r="B1219" s="10"/>
      <c r="C1219" s="10"/>
      <c r="D1219" s="10"/>
      <c r="E1219" s="10"/>
      <c r="F1219" s="10"/>
      <c r="G1219" s="10"/>
      <c r="H1219" s="10"/>
      <c r="I1219" s="1" t="str">
        <f t="shared" si="54"/>
        <v/>
      </c>
      <c r="J1219" s="1" t="s">
        <v>35</v>
      </c>
      <c r="K1219" s="1" t="str">
        <f t="shared" si="55"/>
        <v/>
      </c>
      <c r="L1219" s="1" t="str">
        <f t="shared" si="56"/>
        <v/>
      </c>
      <c r="M1219" s="1">
        <f>IF(OR(Table1[[#This Row],[Std Nom]]="",Table1[[#This Row],[Std Read]]=""),0,Table1[[#This Row],[Std Nom]]-Table1[[#This Row],[Std Read]])</f>
        <v>0</v>
      </c>
      <c r="N1219" s="1">
        <f>IF(Calculations!$F$5="ACCREDITED 17025 WITH UNCERTAINTIES",$N$10,0)</f>
        <v>0</v>
      </c>
      <c r="Q1219" s="1">
        <f>Table1[[#This Row],[High Tol]]-Table1[[#This Row],[Low Tol]]</f>
        <v>0</v>
      </c>
      <c r="R1219" s="1">
        <f>2*Table1[[#This Row],[Std Error]]</f>
        <v>0</v>
      </c>
      <c r="S1219" s="1" t="str">
        <f>IF(Table1[[#This Row],[High Tol]]="","N/A",IFERROR(ABS(Table1[[#This Row],[Tol Span]]/Table1[[#This Row],[Error Span]]),"N/A"))</f>
        <v>N/A</v>
      </c>
      <c r="T1219" s="1" t="str">
        <f>IF(OR(Table1[[#This Row],[Low Tol]]="",Table1[[#This Row],[High Tol]]=""),"Needs Analysis",IF(Table1[[#This Row],[Ratio]]&gt;=4,"Not Significant",IF(Table1[[#This Row],[Ratio]]&gt;=2,"Semi-Significant","Significant")))</f>
        <v>Needs Analysis</v>
      </c>
      <c r="W1219" s="1">
        <f>IF(Table1[[#This Row],[Cal Type]]&lt;&gt;"ACCREDITED 17025 WITH UNCERTAINTIES",0,"")</f>
        <v>0</v>
      </c>
      <c r="X1219" s="1" t="str">
        <f>IF(Table1[[#This Row],[DUT Read]]="","N/A",Table1[[#This Row],[Std Error]]+Table1[[#This Row],[DUT Read]]+Table1[[#This Row],[DUT Ucty]])</f>
        <v>N/A</v>
      </c>
      <c r="Y1219" s="1" t="str">
        <f>IF(Table1[[#This Row],[Std Read]]="","N/A",Table1[[#This Row],[Std Read]]+Table1[[#This Row],[Std Ucty]])</f>
        <v>N/A</v>
      </c>
      <c r="Z12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19" s="1" t="str">
        <f>IF(Table1[[#This Row],[Spec Type]]="","N/A",Table1[[#This Row],[Spec Type]])</f>
        <v>±</v>
      </c>
      <c r="AC1219" s="1" t="str">
        <f>IF(Table1[[#This Row],[Spec Type2]]="N/A","N/A",IF(AND(Table1[[#This Row],[DUT Adj Read]]&gt;=Table1[[#This Row],[Low Tol]],Table1[[#This Row],[DUT Adj Read]]&lt;=Table1[[#This Row],[High Tol]]),"Pass","Fail"))</f>
        <v>Fail</v>
      </c>
      <c r="AD1219" s="1" t="str">
        <f>IF(AND(Table1[[#This Row],[Spec Type2]]="N/A",Table1[[#This Row],[DUT Adj Read]]="N/A",Table1[[#This Row],[Std Adj Read]]="N/A"),"N/A",IF(Table1[[#This Row],[DUT Adj Read]]="N/A",IF(Table1[[#This Row],[Std Adj Read]]&gt;Table1[[#This Row],[Low Tol]],"Pass","Fail"),IF(Table1[[#This Row],[DUT Adj Read]]&gt;Table1[[#This Row],[Low Tol]],"Pass","Fail")))</f>
        <v>Pass</v>
      </c>
      <c r="AE1219" s="1" t="str">
        <f>IF(AND(Table1[[#This Row],[Spec Type2]]="N/A",Table1[[#This Row],[DUT Adj Read]]="N/A",Table1[[#This Row],[Std Adj Read]]="N/A"),"N/A",IF(Table1[[#This Row],[DUT Adj Read]]="N/A",IF(Table1[[#This Row],[Std Adj Read]]&lt;Table1[[#This Row],[High Tol]],"Pass","Fail"),IF(Table1[[#This Row],[DUT Adj Read]]&lt;Table1[[#This Row],[High Tol]],"Pass","Fail")))</f>
        <v>Fail</v>
      </c>
      <c r="AF1219" s="1" t="str">
        <f>IF(AND(Table1[[#This Row],[Spec Type2]]="N/A",Table1[[#This Row],[DUT Adj Read]]="N/A",Table1[[#This Row],[Std Adj Read]]="N/A"),"N/A",IF(Table1[[#This Row],[DUT Adj Read]]="N/A",IF(Table1[[#This Row],[Std Adj Read]]&gt;=Table1[[#This Row],[Low Tol]],"Pass","Fail"),IF(Table1[[#This Row],[DUT Adj Read]]&gt;=Table1[[#This Row],[Low Tol]],"Pass","Fail")))</f>
        <v>Pass</v>
      </c>
      <c r="AG1219" s="1" t="str">
        <f>IF(AND(Table1[[#This Row],[Spec Type2]]="N/A",Table1[[#This Row],[DUT Adj Read]]="N/A",Table1[[#This Row],[Std Adj Read]]="N/A"),"N/A",IF(Table1[[#This Row],[DUT Adj Read]]="N/A",IF(Table1[[#This Row],[Std Adj Read]]&lt;=Table1[[#This Row],[High Tol]],"Pass","Fail"),IF(Table1[[#This Row],[DUT Adj Read]]&lt;=Table1[[#This Row],[High Tol]],"Pass","Fail")))</f>
        <v>Fail</v>
      </c>
      <c r="AH12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19" s="1" t="b">
        <v>0</v>
      </c>
      <c r="AN1219" s="1" t="b">
        <v>0</v>
      </c>
      <c r="AO1219" s="1" t="b">
        <v>0</v>
      </c>
    </row>
    <row r="1220" spans="1:41" x14ac:dyDescent="0.25">
      <c r="A1220" s="10"/>
      <c r="B1220" s="10"/>
      <c r="C1220" s="10"/>
      <c r="D1220" s="10"/>
      <c r="E1220" s="10"/>
      <c r="F1220" s="10"/>
      <c r="G1220" s="10"/>
      <c r="H1220" s="10"/>
      <c r="I1220" s="1" t="str">
        <f t="shared" si="54"/>
        <v/>
      </c>
      <c r="J1220" s="1" t="s">
        <v>35</v>
      </c>
      <c r="K1220" s="1" t="str">
        <f t="shared" si="55"/>
        <v/>
      </c>
      <c r="L1220" s="1" t="str">
        <f t="shared" si="56"/>
        <v/>
      </c>
      <c r="M1220" s="1">
        <f>IF(OR(Table1[[#This Row],[Std Nom]]="",Table1[[#This Row],[Std Read]]=""),0,Table1[[#This Row],[Std Nom]]-Table1[[#This Row],[Std Read]])</f>
        <v>0</v>
      </c>
      <c r="N1220" s="1">
        <f>IF(Calculations!$F$5="ACCREDITED 17025 WITH UNCERTAINTIES",$N$10,0)</f>
        <v>0</v>
      </c>
      <c r="Q1220" s="1">
        <f>Table1[[#This Row],[High Tol]]-Table1[[#This Row],[Low Tol]]</f>
        <v>0</v>
      </c>
      <c r="R1220" s="1">
        <f>2*Table1[[#This Row],[Std Error]]</f>
        <v>0</v>
      </c>
      <c r="S1220" s="1" t="str">
        <f>IF(Table1[[#This Row],[High Tol]]="","N/A",IFERROR(ABS(Table1[[#This Row],[Tol Span]]/Table1[[#This Row],[Error Span]]),"N/A"))</f>
        <v>N/A</v>
      </c>
      <c r="T1220" s="1" t="str">
        <f>IF(OR(Table1[[#This Row],[Low Tol]]="",Table1[[#This Row],[High Tol]]=""),"Needs Analysis",IF(Table1[[#This Row],[Ratio]]&gt;=4,"Not Significant",IF(Table1[[#This Row],[Ratio]]&gt;=2,"Semi-Significant","Significant")))</f>
        <v>Needs Analysis</v>
      </c>
      <c r="W1220" s="1">
        <f>IF(Table1[[#This Row],[Cal Type]]&lt;&gt;"ACCREDITED 17025 WITH UNCERTAINTIES",0,"")</f>
        <v>0</v>
      </c>
      <c r="X1220" s="1" t="str">
        <f>IF(Table1[[#This Row],[DUT Read]]="","N/A",Table1[[#This Row],[Std Error]]+Table1[[#This Row],[DUT Read]]+Table1[[#This Row],[DUT Ucty]])</f>
        <v>N/A</v>
      </c>
      <c r="Y1220" s="1" t="str">
        <f>IF(Table1[[#This Row],[Std Read]]="","N/A",Table1[[#This Row],[Std Read]]+Table1[[#This Row],[Std Ucty]])</f>
        <v>N/A</v>
      </c>
      <c r="Z12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0" s="1" t="str">
        <f>IF(Table1[[#This Row],[Spec Type]]="","N/A",Table1[[#This Row],[Spec Type]])</f>
        <v>±</v>
      </c>
      <c r="AC1220" s="1" t="str">
        <f>IF(Table1[[#This Row],[Spec Type2]]="N/A","N/A",IF(AND(Table1[[#This Row],[DUT Adj Read]]&gt;=Table1[[#This Row],[Low Tol]],Table1[[#This Row],[DUT Adj Read]]&lt;=Table1[[#This Row],[High Tol]]),"Pass","Fail"))</f>
        <v>Fail</v>
      </c>
      <c r="AD1220" s="1" t="str">
        <f>IF(AND(Table1[[#This Row],[Spec Type2]]="N/A",Table1[[#This Row],[DUT Adj Read]]="N/A",Table1[[#This Row],[Std Adj Read]]="N/A"),"N/A",IF(Table1[[#This Row],[DUT Adj Read]]="N/A",IF(Table1[[#This Row],[Std Adj Read]]&gt;Table1[[#This Row],[Low Tol]],"Pass","Fail"),IF(Table1[[#This Row],[DUT Adj Read]]&gt;Table1[[#This Row],[Low Tol]],"Pass","Fail")))</f>
        <v>Pass</v>
      </c>
      <c r="AE1220" s="1" t="str">
        <f>IF(AND(Table1[[#This Row],[Spec Type2]]="N/A",Table1[[#This Row],[DUT Adj Read]]="N/A",Table1[[#This Row],[Std Adj Read]]="N/A"),"N/A",IF(Table1[[#This Row],[DUT Adj Read]]="N/A",IF(Table1[[#This Row],[Std Adj Read]]&lt;Table1[[#This Row],[High Tol]],"Pass","Fail"),IF(Table1[[#This Row],[DUT Adj Read]]&lt;Table1[[#This Row],[High Tol]],"Pass","Fail")))</f>
        <v>Fail</v>
      </c>
      <c r="AF1220" s="1" t="str">
        <f>IF(AND(Table1[[#This Row],[Spec Type2]]="N/A",Table1[[#This Row],[DUT Adj Read]]="N/A",Table1[[#This Row],[Std Adj Read]]="N/A"),"N/A",IF(Table1[[#This Row],[DUT Adj Read]]="N/A",IF(Table1[[#This Row],[Std Adj Read]]&gt;=Table1[[#This Row],[Low Tol]],"Pass","Fail"),IF(Table1[[#This Row],[DUT Adj Read]]&gt;=Table1[[#This Row],[Low Tol]],"Pass","Fail")))</f>
        <v>Pass</v>
      </c>
      <c r="AG1220" s="1" t="str">
        <f>IF(AND(Table1[[#This Row],[Spec Type2]]="N/A",Table1[[#This Row],[DUT Adj Read]]="N/A",Table1[[#This Row],[Std Adj Read]]="N/A"),"N/A",IF(Table1[[#This Row],[DUT Adj Read]]="N/A",IF(Table1[[#This Row],[Std Adj Read]]&lt;=Table1[[#This Row],[High Tol]],"Pass","Fail"),IF(Table1[[#This Row],[DUT Adj Read]]&lt;=Table1[[#This Row],[High Tol]],"Pass","Fail")))</f>
        <v>Fail</v>
      </c>
      <c r="AH12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0" s="1" t="b">
        <v>0</v>
      </c>
      <c r="AN1220" s="1" t="b">
        <v>0</v>
      </c>
      <c r="AO1220" s="1" t="b">
        <v>0</v>
      </c>
    </row>
    <row r="1221" spans="1:41" x14ac:dyDescent="0.25">
      <c r="A1221" s="10"/>
      <c r="B1221" s="10"/>
      <c r="C1221" s="10"/>
      <c r="D1221" s="10"/>
      <c r="E1221" s="10"/>
      <c r="F1221" s="10"/>
      <c r="G1221" s="10"/>
      <c r="H1221" s="10"/>
      <c r="I1221" s="1" t="str">
        <f t="shared" si="54"/>
        <v/>
      </c>
      <c r="J1221" s="1" t="s">
        <v>35</v>
      </c>
      <c r="K1221" s="1" t="str">
        <f t="shared" si="55"/>
        <v/>
      </c>
      <c r="L1221" s="1" t="str">
        <f t="shared" si="56"/>
        <v/>
      </c>
      <c r="M1221" s="1">
        <f>IF(OR(Table1[[#This Row],[Std Nom]]="",Table1[[#This Row],[Std Read]]=""),0,Table1[[#This Row],[Std Nom]]-Table1[[#This Row],[Std Read]])</f>
        <v>0</v>
      </c>
      <c r="N1221" s="1">
        <f>IF(Calculations!$F$5="ACCREDITED 17025 WITH UNCERTAINTIES",$N$10,0)</f>
        <v>0</v>
      </c>
      <c r="Q1221" s="1">
        <f>Table1[[#This Row],[High Tol]]-Table1[[#This Row],[Low Tol]]</f>
        <v>0</v>
      </c>
      <c r="R1221" s="1">
        <f>2*Table1[[#This Row],[Std Error]]</f>
        <v>0</v>
      </c>
      <c r="S1221" s="1" t="str">
        <f>IF(Table1[[#This Row],[High Tol]]="","N/A",IFERROR(ABS(Table1[[#This Row],[Tol Span]]/Table1[[#This Row],[Error Span]]),"N/A"))</f>
        <v>N/A</v>
      </c>
      <c r="T1221" s="1" t="str">
        <f>IF(OR(Table1[[#This Row],[Low Tol]]="",Table1[[#This Row],[High Tol]]=""),"Needs Analysis",IF(Table1[[#This Row],[Ratio]]&gt;=4,"Not Significant",IF(Table1[[#This Row],[Ratio]]&gt;=2,"Semi-Significant","Significant")))</f>
        <v>Needs Analysis</v>
      </c>
      <c r="W1221" s="1">
        <f>IF(Table1[[#This Row],[Cal Type]]&lt;&gt;"ACCREDITED 17025 WITH UNCERTAINTIES",0,"")</f>
        <v>0</v>
      </c>
      <c r="X1221" s="1" t="str">
        <f>IF(Table1[[#This Row],[DUT Read]]="","N/A",Table1[[#This Row],[Std Error]]+Table1[[#This Row],[DUT Read]]+Table1[[#This Row],[DUT Ucty]])</f>
        <v>N/A</v>
      </c>
      <c r="Y1221" s="1" t="str">
        <f>IF(Table1[[#This Row],[Std Read]]="","N/A",Table1[[#This Row],[Std Read]]+Table1[[#This Row],[Std Ucty]])</f>
        <v>N/A</v>
      </c>
      <c r="Z12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1" s="1" t="str">
        <f>IF(Table1[[#This Row],[Spec Type]]="","N/A",Table1[[#This Row],[Spec Type]])</f>
        <v>±</v>
      </c>
      <c r="AC1221" s="1" t="str">
        <f>IF(Table1[[#This Row],[Spec Type2]]="N/A","N/A",IF(AND(Table1[[#This Row],[DUT Adj Read]]&gt;=Table1[[#This Row],[Low Tol]],Table1[[#This Row],[DUT Adj Read]]&lt;=Table1[[#This Row],[High Tol]]),"Pass","Fail"))</f>
        <v>Fail</v>
      </c>
      <c r="AD1221" s="1" t="str">
        <f>IF(AND(Table1[[#This Row],[Spec Type2]]="N/A",Table1[[#This Row],[DUT Adj Read]]="N/A",Table1[[#This Row],[Std Adj Read]]="N/A"),"N/A",IF(Table1[[#This Row],[DUT Adj Read]]="N/A",IF(Table1[[#This Row],[Std Adj Read]]&gt;Table1[[#This Row],[Low Tol]],"Pass","Fail"),IF(Table1[[#This Row],[DUT Adj Read]]&gt;Table1[[#This Row],[Low Tol]],"Pass","Fail")))</f>
        <v>Pass</v>
      </c>
      <c r="AE1221" s="1" t="str">
        <f>IF(AND(Table1[[#This Row],[Spec Type2]]="N/A",Table1[[#This Row],[DUT Adj Read]]="N/A",Table1[[#This Row],[Std Adj Read]]="N/A"),"N/A",IF(Table1[[#This Row],[DUT Adj Read]]="N/A",IF(Table1[[#This Row],[Std Adj Read]]&lt;Table1[[#This Row],[High Tol]],"Pass","Fail"),IF(Table1[[#This Row],[DUT Adj Read]]&lt;Table1[[#This Row],[High Tol]],"Pass","Fail")))</f>
        <v>Fail</v>
      </c>
      <c r="AF1221" s="1" t="str">
        <f>IF(AND(Table1[[#This Row],[Spec Type2]]="N/A",Table1[[#This Row],[DUT Adj Read]]="N/A",Table1[[#This Row],[Std Adj Read]]="N/A"),"N/A",IF(Table1[[#This Row],[DUT Adj Read]]="N/A",IF(Table1[[#This Row],[Std Adj Read]]&gt;=Table1[[#This Row],[Low Tol]],"Pass","Fail"),IF(Table1[[#This Row],[DUT Adj Read]]&gt;=Table1[[#This Row],[Low Tol]],"Pass","Fail")))</f>
        <v>Pass</v>
      </c>
      <c r="AG1221" s="1" t="str">
        <f>IF(AND(Table1[[#This Row],[Spec Type2]]="N/A",Table1[[#This Row],[DUT Adj Read]]="N/A",Table1[[#This Row],[Std Adj Read]]="N/A"),"N/A",IF(Table1[[#This Row],[DUT Adj Read]]="N/A",IF(Table1[[#This Row],[Std Adj Read]]&lt;=Table1[[#This Row],[High Tol]],"Pass","Fail"),IF(Table1[[#This Row],[DUT Adj Read]]&lt;=Table1[[#This Row],[High Tol]],"Pass","Fail")))</f>
        <v>Fail</v>
      </c>
      <c r="AH12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1" s="1" t="b">
        <v>0</v>
      </c>
      <c r="AN1221" s="1" t="b">
        <v>0</v>
      </c>
      <c r="AO1221" s="1" t="b">
        <v>0</v>
      </c>
    </row>
    <row r="1222" spans="1:41" x14ac:dyDescent="0.25">
      <c r="A1222" s="10"/>
      <c r="B1222" s="10"/>
      <c r="C1222" s="10"/>
      <c r="D1222" s="10"/>
      <c r="E1222" s="10"/>
      <c r="F1222" s="10"/>
      <c r="G1222" s="10"/>
      <c r="H1222" s="10"/>
      <c r="I1222" s="1" t="str">
        <f t="shared" si="54"/>
        <v/>
      </c>
      <c r="J1222" s="1" t="s">
        <v>35</v>
      </c>
      <c r="K1222" s="1" t="str">
        <f t="shared" si="55"/>
        <v/>
      </c>
      <c r="L1222" s="1" t="str">
        <f t="shared" si="56"/>
        <v/>
      </c>
      <c r="M1222" s="1">
        <f>IF(OR(Table1[[#This Row],[Std Nom]]="",Table1[[#This Row],[Std Read]]=""),0,Table1[[#This Row],[Std Nom]]-Table1[[#This Row],[Std Read]])</f>
        <v>0</v>
      </c>
      <c r="N1222" s="1">
        <f>IF(Calculations!$F$5="ACCREDITED 17025 WITH UNCERTAINTIES",$N$10,0)</f>
        <v>0</v>
      </c>
      <c r="Q1222" s="1">
        <f>Table1[[#This Row],[High Tol]]-Table1[[#This Row],[Low Tol]]</f>
        <v>0</v>
      </c>
      <c r="R1222" s="1">
        <f>2*Table1[[#This Row],[Std Error]]</f>
        <v>0</v>
      </c>
      <c r="S1222" s="1" t="str">
        <f>IF(Table1[[#This Row],[High Tol]]="","N/A",IFERROR(ABS(Table1[[#This Row],[Tol Span]]/Table1[[#This Row],[Error Span]]),"N/A"))</f>
        <v>N/A</v>
      </c>
      <c r="T1222" s="1" t="str">
        <f>IF(OR(Table1[[#This Row],[Low Tol]]="",Table1[[#This Row],[High Tol]]=""),"Needs Analysis",IF(Table1[[#This Row],[Ratio]]&gt;=4,"Not Significant",IF(Table1[[#This Row],[Ratio]]&gt;=2,"Semi-Significant","Significant")))</f>
        <v>Needs Analysis</v>
      </c>
      <c r="W1222" s="1">
        <f>IF(Table1[[#This Row],[Cal Type]]&lt;&gt;"ACCREDITED 17025 WITH UNCERTAINTIES",0,"")</f>
        <v>0</v>
      </c>
      <c r="X1222" s="1" t="str">
        <f>IF(Table1[[#This Row],[DUT Read]]="","N/A",Table1[[#This Row],[Std Error]]+Table1[[#This Row],[DUT Read]]+Table1[[#This Row],[DUT Ucty]])</f>
        <v>N/A</v>
      </c>
      <c r="Y1222" s="1" t="str">
        <f>IF(Table1[[#This Row],[Std Read]]="","N/A",Table1[[#This Row],[Std Read]]+Table1[[#This Row],[Std Ucty]])</f>
        <v>N/A</v>
      </c>
      <c r="Z12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2" s="1" t="str">
        <f>IF(Table1[[#This Row],[Spec Type]]="","N/A",Table1[[#This Row],[Spec Type]])</f>
        <v>±</v>
      </c>
      <c r="AC1222" s="1" t="str">
        <f>IF(Table1[[#This Row],[Spec Type2]]="N/A","N/A",IF(AND(Table1[[#This Row],[DUT Adj Read]]&gt;=Table1[[#This Row],[Low Tol]],Table1[[#This Row],[DUT Adj Read]]&lt;=Table1[[#This Row],[High Tol]]),"Pass","Fail"))</f>
        <v>Fail</v>
      </c>
      <c r="AD1222" s="1" t="str">
        <f>IF(AND(Table1[[#This Row],[Spec Type2]]="N/A",Table1[[#This Row],[DUT Adj Read]]="N/A",Table1[[#This Row],[Std Adj Read]]="N/A"),"N/A",IF(Table1[[#This Row],[DUT Adj Read]]="N/A",IF(Table1[[#This Row],[Std Adj Read]]&gt;Table1[[#This Row],[Low Tol]],"Pass","Fail"),IF(Table1[[#This Row],[DUT Adj Read]]&gt;Table1[[#This Row],[Low Tol]],"Pass","Fail")))</f>
        <v>Pass</v>
      </c>
      <c r="AE1222" s="1" t="str">
        <f>IF(AND(Table1[[#This Row],[Spec Type2]]="N/A",Table1[[#This Row],[DUT Adj Read]]="N/A",Table1[[#This Row],[Std Adj Read]]="N/A"),"N/A",IF(Table1[[#This Row],[DUT Adj Read]]="N/A",IF(Table1[[#This Row],[Std Adj Read]]&lt;Table1[[#This Row],[High Tol]],"Pass","Fail"),IF(Table1[[#This Row],[DUT Adj Read]]&lt;Table1[[#This Row],[High Tol]],"Pass","Fail")))</f>
        <v>Fail</v>
      </c>
      <c r="AF1222" s="1" t="str">
        <f>IF(AND(Table1[[#This Row],[Spec Type2]]="N/A",Table1[[#This Row],[DUT Adj Read]]="N/A",Table1[[#This Row],[Std Adj Read]]="N/A"),"N/A",IF(Table1[[#This Row],[DUT Adj Read]]="N/A",IF(Table1[[#This Row],[Std Adj Read]]&gt;=Table1[[#This Row],[Low Tol]],"Pass","Fail"),IF(Table1[[#This Row],[DUT Adj Read]]&gt;=Table1[[#This Row],[Low Tol]],"Pass","Fail")))</f>
        <v>Pass</v>
      </c>
      <c r="AG1222" s="1" t="str">
        <f>IF(AND(Table1[[#This Row],[Spec Type2]]="N/A",Table1[[#This Row],[DUT Adj Read]]="N/A",Table1[[#This Row],[Std Adj Read]]="N/A"),"N/A",IF(Table1[[#This Row],[DUT Adj Read]]="N/A",IF(Table1[[#This Row],[Std Adj Read]]&lt;=Table1[[#This Row],[High Tol]],"Pass","Fail"),IF(Table1[[#This Row],[DUT Adj Read]]&lt;=Table1[[#This Row],[High Tol]],"Pass","Fail")))</f>
        <v>Fail</v>
      </c>
      <c r="AH12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2" s="1" t="b">
        <v>0</v>
      </c>
      <c r="AN1222" s="1" t="b">
        <v>0</v>
      </c>
      <c r="AO1222" s="1" t="b">
        <v>0</v>
      </c>
    </row>
    <row r="1223" spans="1:41" x14ac:dyDescent="0.25">
      <c r="A1223" s="10"/>
      <c r="B1223" s="10"/>
      <c r="C1223" s="10"/>
      <c r="D1223" s="10"/>
      <c r="E1223" s="10"/>
      <c r="F1223" s="10"/>
      <c r="G1223" s="10"/>
      <c r="H1223" s="10"/>
      <c r="I1223" s="1" t="str">
        <f t="shared" si="54"/>
        <v/>
      </c>
      <c r="J1223" s="1" t="s">
        <v>35</v>
      </c>
      <c r="K1223" s="1" t="str">
        <f t="shared" si="55"/>
        <v/>
      </c>
      <c r="L1223" s="1" t="str">
        <f t="shared" si="56"/>
        <v/>
      </c>
      <c r="M1223" s="1">
        <f>IF(OR(Table1[[#This Row],[Std Nom]]="",Table1[[#This Row],[Std Read]]=""),0,Table1[[#This Row],[Std Nom]]-Table1[[#This Row],[Std Read]])</f>
        <v>0</v>
      </c>
      <c r="N1223" s="1">
        <f>IF(Calculations!$F$5="ACCREDITED 17025 WITH UNCERTAINTIES",$N$10,0)</f>
        <v>0</v>
      </c>
      <c r="Q1223" s="1">
        <f>Table1[[#This Row],[High Tol]]-Table1[[#This Row],[Low Tol]]</f>
        <v>0</v>
      </c>
      <c r="R1223" s="1">
        <f>2*Table1[[#This Row],[Std Error]]</f>
        <v>0</v>
      </c>
      <c r="S1223" s="1" t="str">
        <f>IF(Table1[[#This Row],[High Tol]]="","N/A",IFERROR(ABS(Table1[[#This Row],[Tol Span]]/Table1[[#This Row],[Error Span]]),"N/A"))</f>
        <v>N/A</v>
      </c>
      <c r="T1223" s="1" t="str">
        <f>IF(OR(Table1[[#This Row],[Low Tol]]="",Table1[[#This Row],[High Tol]]=""),"Needs Analysis",IF(Table1[[#This Row],[Ratio]]&gt;=4,"Not Significant",IF(Table1[[#This Row],[Ratio]]&gt;=2,"Semi-Significant","Significant")))</f>
        <v>Needs Analysis</v>
      </c>
      <c r="W1223" s="1">
        <f>IF(Table1[[#This Row],[Cal Type]]&lt;&gt;"ACCREDITED 17025 WITH UNCERTAINTIES",0,"")</f>
        <v>0</v>
      </c>
      <c r="X1223" s="1" t="str">
        <f>IF(Table1[[#This Row],[DUT Read]]="","N/A",Table1[[#This Row],[Std Error]]+Table1[[#This Row],[DUT Read]]+Table1[[#This Row],[DUT Ucty]])</f>
        <v>N/A</v>
      </c>
      <c r="Y1223" s="1" t="str">
        <f>IF(Table1[[#This Row],[Std Read]]="","N/A",Table1[[#This Row],[Std Read]]+Table1[[#This Row],[Std Ucty]])</f>
        <v>N/A</v>
      </c>
      <c r="Z12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3" s="1" t="str">
        <f>IF(Table1[[#This Row],[Spec Type]]="","N/A",Table1[[#This Row],[Spec Type]])</f>
        <v>±</v>
      </c>
      <c r="AC1223" s="1" t="str">
        <f>IF(Table1[[#This Row],[Spec Type2]]="N/A","N/A",IF(AND(Table1[[#This Row],[DUT Adj Read]]&gt;=Table1[[#This Row],[Low Tol]],Table1[[#This Row],[DUT Adj Read]]&lt;=Table1[[#This Row],[High Tol]]),"Pass","Fail"))</f>
        <v>Fail</v>
      </c>
      <c r="AD1223" s="1" t="str">
        <f>IF(AND(Table1[[#This Row],[Spec Type2]]="N/A",Table1[[#This Row],[DUT Adj Read]]="N/A",Table1[[#This Row],[Std Adj Read]]="N/A"),"N/A",IF(Table1[[#This Row],[DUT Adj Read]]="N/A",IF(Table1[[#This Row],[Std Adj Read]]&gt;Table1[[#This Row],[Low Tol]],"Pass","Fail"),IF(Table1[[#This Row],[DUT Adj Read]]&gt;Table1[[#This Row],[Low Tol]],"Pass","Fail")))</f>
        <v>Pass</v>
      </c>
      <c r="AE1223" s="1" t="str">
        <f>IF(AND(Table1[[#This Row],[Spec Type2]]="N/A",Table1[[#This Row],[DUT Adj Read]]="N/A",Table1[[#This Row],[Std Adj Read]]="N/A"),"N/A",IF(Table1[[#This Row],[DUT Adj Read]]="N/A",IF(Table1[[#This Row],[Std Adj Read]]&lt;Table1[[#This Row],[High Tol]],"Pass","Fail"),IF(Table1[[#This Row],[DUT Adj Read]]&lt;Table1[[#This Row],[High Tol]],"Pass","Fail")))</f>
        <v>Fail</v>
      </c>
      <c r="AF1223" s="1" t="str">
        <f>IF(AND(Table1[[#This Row],[Spec Type2]]="N/A",Table1[[#This Row],[DUT Adj Read]]="N/A",Table1[[#This Row],[Std Adj Read]]="N/A"),"N/A",IF(Table1[[#This Row],[DUT Adj Read]]="N/A",IF(Table1[[#This Row],[Std Adj Read]]&gt;=Table1[[#This Row],[Low Tol]],"Pass","Fail"),IF(Table1[[#This Row],[DUT Adj Read]]&gt;=Table1[[#This Row],[Low Tol]],"Pass","Fail")))</f>
        <v>Pass</v>
      </c>
      <c r="AG1223" s="1" t="str">
        <f>IF(AND(Table1[[#This Row],[Spec Type2]]="N/A",Table1[[#This Row],[DUT Adj Read]]="N/A",Table1[[#This Row],[Std Adj Read]]="N/A"),"N/A",IF(Table1[[#This Row],[DUT Adj Read]]="N/A",IF(Table1[[#This Row],[Std Adj Read]]&lt;=Table1[[#This Row],[High Tol]],"Pass","Fail"),IF(Table1[[#This Row],[DUT Adj Read]]&lt;=Table1[[#This Row],[High Tol]],"Pass","Fail")))</f>
        <v>Fail</v>
      </c>
      <c r="AH12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3" s="1" t="b">
        <v>0</v>
      </c>
      <c r="AN1223" s="1" t="b">
        <v>0</v>
      </c>
      <c r="AO1223" s="1" t="b">
        <v>0</v>
      </c>
    </row>
    <row r="1224" spans="1:41" x14ac:dyDescent="0.25">
      <c r="A1224" s="10"/>
      <c r="B1224" s="10"/>
      <c r="C1224" s="10"/>
      <c r="D1224" s="10"/>
      <c r="E1224" s="10"/>
      <c r="F1224" s="10"/>
      <c r="G1224" s="10"/>
      <c r="H1224" s="10"/>
      <c r="I1224" s="1" t="str">
        <f t="shared" si="54"/>
        <v/>
      </c>
      <c r="J1224" s="1" t="s">
        <v>35</v>
      </c>
      <c r="K1224" s="1" t="str">
        <f t="shared" si="55"/>
        <v/>
      </c>
      <c r="L1224" s="1" t="str">
        <f t="shared" si="56"/>
        <v/>
      </c>
      <c r="M1224" s="1">
        <f>IF(OR(Table1[[#This Row],[Std Nom]]="",Table1[[#This Row],[Std Read]]=""),0,Table1[[#This Row],[Std Nom]]-Table1[[#This Row],[Std Read]])</f>
        <v>0</v>
      </c>
      <c r="N1224" s="1">
        <f>IF(Calculations!$F$5="ACCREDITED 17025 WITH UNCERTAINTIES",$N$10,0)</f>
        <v>0</v>
      </c>
      <c r="Q1224" s="1">
        <f>Table1[[#This Row],[High Tol]]-Table1[[#This Row],[Low Tol]]</f>
        <v>0</v>
      </c>
      <c r="R1224" s="1">
        <f>2*Table1[[#This Row],[Std Error]]</f>
        <v>0</v>
      </c>
      <c r="S1224" s="1" t="str">
        <f>IF(Table1[[#This Row],[High Tol]]="","N/A",IFERROR(ABS(Table1[[#This Row],[Tol Span]]/Table1[[#This Row],[Error Span]]),"N/A"))</f>
        <v>N/A</v>
      </c>
      <c r="T1224" s="1" t="str">
        <f>IF(OR(Table1[[#This Row],[Low Tol]]="",Table1[[#This Row],[High Tol]]=""),"Needs Analysis",IF(Table1[[#This Row],[Ratio]]&gt;=4,"Not Significant",IF(Table1[[#This Row],[Ratio]]&gt;=2,"Semi-Significant","Significant")))</f>
        <v>Needs Analysis</v>
      </c>
      <c r="W1224" s="1">
        <f>IF(Table1[[#This Row],[Cal Type]]&lt;&gt;"ACCREDITED 17025 WITH UNCERTAINTIES",0,"")</f>
        <v>0</v>
      </c>
      <c r="X1224" s="1" t="str">
        <f>IF(Table1[[#This Row],[DUT Read]]="","N/A",Table1[[#This Row],[Std Error]]+Table1[[#This Row],[DUT Read]]+Table1[[#This Row],[DUT Ucty]])</f>
        <v>N/A</v>
      </c>
      <c r="Y1224" s="1" t="str">
        <f>IF(Table1[[#This Row],[Std Read]]="","N/A",Table1[[#This Row],[Std Read]]+Table1[[#This Row],[Std Ucty]])</f>
        <v>N/A</v>
      </c>
      <c r="Z12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4" s="1" t="str">
        <f>IF(Table1[[#This Row],[Spec Type]]="","N/A",Table1[[#This Row],[Spec Type]])</f>
        <v>±</v>
      </c>
      <c r="AC1224" s="1" t="str">
        <f>IF(Table1[[#This Row],[Spec Type2]]="N/A","N/A",IF(AND(Table1[[#This Row],[DUT Adj Read]]&gt;=Table1[[#This Row],[Low Tol]],Table1[[#This Row],[DUT Adj Read]]&lt;=Table1[[#This Row],[High Tol]]),"Pass","Fail"))</f>
        <v>Fail</v>
      </c>
      <c r="AD1224" s="1" t="str">
        <f>IF(AND(Table1[[#This Row],[Spec Type2]]="N/A",Table1[[#This Row],[DUT Adj Read]]="N/A",Table1[[#This Row],[Std Adj Read]]="N/A"),"N/A",IF(Table1[[#This Row],[DUT Adj Read]]="N/A",IF(Table1[[#This Row],[Std Adj Read]]&gt;Table1[[#This Row],[Low Tol]],"Pass","Fail"),IF(Table1[[#This Row],[DUT Adj Read]]&gt;Table1[[#This Row],[Low Tol]],"Pass","Fail")))</f>
        <v>Pass</v>
      </c>
      <c r="AE1224" s="1" t="str">
        <f>IF(AND(Table1[[#This Row],[Spec Type2]]="N/A",Table1[[#This Row],[DUT Adj Read]]="N/A",Table1[[#This Row],[Std Adj Read]]="N/A"),"N/A",IF(Table1[[#This Row],[DUT Adj Read]]="N/A",IF(Table1[[#This Row],[Std Adj Read]]&lt;Table1[[#This Row],[High Tol]],"Pass","Fail"),IF(Table1[[#This Row],[DUT Adj Read]]&lt;Table1[[#This Row],[High Tol]],"Pass","Fail")))</f>
        <v>Fail</v>
      </c>
      <c r="AF1224" s="1" t="str">
        <f>IF(AND(Table1[[#This Row],[Spec Type2]]="N/A",Table1[[#This Row],[DUT Adj Read]]="N/A",Table1[[#This Row],[Std Adj Read]]="N/A"),"N/A",IF(Table1[[#This Row],[DUT Adj Read]]="N/A",IF(Table1[[#This Row],[Std Adj Read]]&gt;=Table1[[#This Row],[Low Tol]],"Pass","Fail"),IF(Table1[[#This Row],[DUT Adj Read]]&gt;=Table1[[#This Row],[Low Tol]],"Pass","Fail")))</f>
        <v>Pass</v>
      </c>
      <c r="AG1224" s="1" t="str">
        <f>IF(AND(Table1[[#This Row],[Spec Type2]]="N/A",Table1[[#This Row],[DUT Adj Read]]="N/A",Table1[[#This Row],[Std Adj Read]]="N/A"),"N/A",IF(Table1[[#This Row],[DUT Adj Read]]="N/A",IF(Table1[[#This Row],[Std Adj Read]]&lt;=Table1[[#This Row],[High Tol]],"Pass","Fail"),IF(Table1[[#This Row],[DUT Adj Read]]&lt;=Table1[[#This Row],[High Tol]],"Pass","Fail")))</f>
        <v>Fail</v>
      </c>
      <c r="AH12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4" s="1" t="b">
        <v>0</v>
      </c>
      <c r="AN1224" s="1" t="b">
        <v>0</v>
      </c>
      <c r="AO1224" s="1" t="b">
        <v>0</v>
      </c>
    </row>
    <row r="1225" spans="1:41" x14ac:dyDescent="0.25">
      <c r="A1225" s="10"/>
      <c r="B1225" s="10"/>
      <c r="C1225" s="10"/>
      <c r="D1225" s="10"/>
      <c r="E1225" s="10"/>
      <c r="F1225" s="10"/>
      <c r="G1225" s="10"/>
      <c r="H1225" s="10"/>
      <c r="I1225" s="1" t="str">
        <f t="shared" si="54"/>
        <v/>
      </c>
      <c r="J1225" s="1" t="s">
        <v>35</v>
      </c>
      <c r="K1225" s="1" t="str">
        <f t="shared" si="55"/>
        <v/>
      </c>
      <c r="L1225" s="1" t="str">
        <f t="shared" si="56"/>
        <v/>
      </c>
      <c r="M1225" s="1">
        <f>IF(OR(Table1[[#This Row],[Std Nom]]="",Table1[[#This Row],[Std Read]]=""),0,Table1[[#This Row],[Std Nom]]-Table1[[#This Row],[Std Read]])</f>
        <v>0</v>
      </c>
      <c r="N1225" s="1">
        <f>IF(Calculations!$F$5="ACCREDITED 17025 WITH UNCERTAINTIES",$N$10,0)</f>
        <v>0</v>
      </c>
      <c r="Q1225" s="1">
        <f>Table1[[#This Row],[High Tol]]-Table1[[#This Row],[Low Tol]]</f>
        <v>0</v>
      </c>
      <c r="R1225" s="1">
        <f>2*Table1[[#This Row],[Std Error]]</f>
        <v>0</v>
      </c>
      <c r="S1225" s="1" t="str">
        <f>IF(Table1[[#This Row],[High Tol]]="","N/A",IFERROR(ABS(Table1[[#This Row],[Tol Span]]/Table1[[#This Row],[Error Span]]),"N/A"))</f>
        <v>N/A</v>
      </c>
      <c r="T1225" s="1" t="str">
        <f>IF(OR(Table1[[#This Row],[Low Tol]]="",Table1[[#This Row],[High Tol]]=""),"Needs Analysis",IF(Table1[[#This Row],[Ratio]]&gt;=4,"Not Significant",IF(Table1[[#This Row],[Ratio]]&gt;=2,"Semi-Significant","Significant")))</f>
        <v>Needs Analysis</v>
      </c>
      <c r="W1225" s="1">
        <f>IF(Table1[[#This Row],[Cal Type]]&lt;&gt;"ACCREDITED 17025 WITH UNCERTAINTIES",0,"")</f>
        <v>0</v>
      </c>
      <c r="X1225" s="1" t="str">
        <f>IF(Table1[[#This Row],[DUT Read]]="","N/A",Table1[[#This Row],[Std Error]]+Table1[[#This Row],[DUT Read]]+Table1[[#This Row],[DUT Ucty]])</f>
        <v>N/A</v>
      </c>
      <c r="Y1225" s="1" t="str">
        <f>IF(Table1[[#This Row],[Std Read]]="","N/A",Table1[[#This Row],[Std Read]]+Table1[[#This Row],[Std Ucty]])</f>
        <v>N/A</v>
      </c>
      <c r="Z12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5" s="1" t="str">
        <f>IF(Table1[[#This Row],[Spec Type]]="","N/A",Table1[[#This Row],[Spec Type]])</f>
        <v>±</v>
      </c>
      <c r="AC1225" s="1" t="str">
        <f>IF(Table1[[#This Row],[Spec Type2]]="N/A","N/A",IF(AND(Table1[[#This Row],[DUT Adj Read]]&gt;=Table1[[#This Row],[Low Tol]],Table1[[#This Row],[DUT Adj Read]]&lt;=Table1[[#This Row],[High Tol]]),"Pass","Fail"))</f>
        <v>Fail</v>
      </c>
      <c r="AD1225" s="1" t="str">
        <f>IF(AND(Table1[[#This Row],[Spec Type2]]="N/A",Table1[[#This Row],[DUT Adj Read]]="N/A",Table1[[#This Row],[Std Adj Read]]="N/A"),"N/A",IF(Table1[[#This Row],[DUT Adj Read]]="N/A",IF(Table1[[#This Row],[Std Adj Read]]&gt;Table1[[#This Row],[Low Tol]],"Pass","Fail"),IF(Table1[[#This Row],[DUT Adj Read]]&gt;Table1[[#This Row],[Low Tol]],"Pass","Fail")))</f>
        <v>Pass</v>
      </c>
      <c r="AE1225" s="1" t="str">
        <f>IF(AND(Table1[[#This Row],[Spec Type2]]="N/A",Table1[[#This Row],[DUT Adj Read]]="N/A",Table1[[#This Row],[Std Adj Read]]="N/A"),"N/A",IF(Table1[[#This Row],[DUT Adj Read]]="N/A",IF(Table1[[#This Row],[Std Adj Read]]&lt;Table1[[#This Row],[High Tol]],"Pass","Fail"),IF(Table1[[#This Row],[DUT Adj Read]]&lt;Table1[[#This Row],[High Tol]],"Pass","Fail")))</f>
        <v>Fail</v>
      </c>
      <c r="AF1225" s="1" t="str">
        <f>IF(AND(Table1[[#This Row],[Spec Type2]]="N/A",Table1[[#This Row],[DUT Adj Read]]="N/A",Table1[[#This Row],[Std Adj Read]]="N/A"),"N/A",IF(Table1[[#This Row],[DUT Adj Read]]="N/A",IF(Table1[[#This Row],[Std Adj Read]]&gt;=Table1[[#This Row],[Low Tol]],"Pass","Fail"),IF(Table1[[#This Row],[DUT Adj Read]]&gt;=Table1[[#This Row],[Low Tol]],"Pass","Fail")))</f>
        <v>Pass</v>
      </c>
      <c r="AG1225" s="1" t="str">
        <f>IF(AND(Table1[[#This Row],[Spec Type2]]="N/A",Table1[[#This Row],[DUT Adj Read]]="N/A",Table1[[#This Row],[Std Adj Read]]="N/A"),"N/A",IF(Table1[[#This Row],[DUT Adj Read]]="N/A",IF(Table1[[#This Row],[Std Adj Read]]&lt;=Table1[[#This Row],[High Tol]],"Pass","Fail"),IF(Table1[[#This Row],[DUT Adj Read]]&lt;=Table1[[#This Row],[High Tol]],"Pass","Fail")))</f>
        <v>Fail</v>
      </c>
      <c r="AH12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5" s="1" t="b">
        <v>0</v>
      </c>
      <c r="AN1225" s="1" t="b">
        <v>0</v>
      </c>
      <c r="AO1225" s="1" t="b">
        <v>0</v>
      </c>
    </row>
    <row r="1226" spans="1:41" x14ac:dyDescent="0.25">
      <c r="A1226" s="10"/>
      <c r="B1226" s="10"/>
      <c r="C1226" s="10"/>
      <c r="D1226" s="10"/>
      <c r="E1226" s="10"/>
      <c r="F1226" s="10"/>
      <c r="G1226" s="10"/>
      <c r="H1226" s="10"/>
      <c r="I1226" s="1" t="str">
        <f t="shared" si="54"/>
        <v/>
      </c>
      <c r="J1226" s="1" t="s">
        <v>35</v>
      </c>
      <c r="K1226" s="1" t="str">
        <f t="shared" si="55"/>
        <v/>
      </c>
      <c r="L1226" s="1" t="str">
        <f t="shared" si="56"/>
        <v/>
      </c>
      <c r="M1226" s="1">
        <f>IF(OR(Table1[[#This Row],[Std Nom]]="",Table1[[#This Row],[Std Read]]=""),0,Table1[[#This Row],[Std Nom]]-Table1[[#This Row],[Std Read]])</f>
        <v>0</v>
      </c>
      <c r="N1226" s="1">
        <f>IF(Calculations!$F$5="ACCREDITED 17025 WITH UNCERTAINTIES",$N$10,0)</f>
        <v>0</v>
      </c>
      <c r="Q1226" s="1">
        <f>Table1[[#This Row],[High Tol]]-Table1[[#This Row],[Low Tol]]</f>
        <v>0</v>
      </c>
      <c r="R1226" s="1">
        <f>2*Table1[[#This Row],[Std Error]]</f>
        <v>0</v>
      </c>
      <c r="S1226" s="1" t="str">
        <f>IF(Table1[[#This Row],[High Tol]]="","N/A",IFERROR(ABS(Table1[[#This Row],[Tol Span]]/Table1[[#This Row],[Error Span]]),"N/A"))</f>
        <v>N/A</v>
      </c>
      <c r="T1226" s="1" t="str">
        <f>IF(OR(Table1[[#This Row],[Low Tol]]="",Table1[[#This Row],[High Tol]]=""),"Needs Analysis",IF(Table1[[#This Row],[Ratio]]&gt;=4,"Not Significant",IF(Table1[[#This Row],[Ratio]]&gt;=2,"Semi-Significant","Significant")))</f>
        <v>Needs Analysis</v>
      </c>
      <c r="W1226" s="1">
        <f>IF(Table1[[#This Row],[Cal Type]]&lt;&gt;"ACCREDITED 17025 WITH UNCERTAINTIES",0,"")</f>
        <v>0</v>
      </c>
      <c r="X1226" s="1" t="str">
        <f>IF(Table1[[#This Row],[DUT Read]]="","N/A",Table1[[#This Row],[Std Error]]+Table1[[#This Row],[DUT Read]]+Table1[[#This Row],[DUT Ucty]])</f>
        <v>N/A</v>
      </c>
      <c r="Y1226" s="1" t="str">
        <f>IF(Table1[[#This Row],[Std Read]]="","N/A",Table1[[#This Row],[Std Read]]+Table1[[#This Row],[Std Ucty]])</f>
        <v>N/A</v>
      </c>
      <c r="Z12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6" s="1" t="str">
        <f>IF(Table1[[#This Row],[Spec Type]]="","N/A",Table1[[#This Row],[Spec Type]])</f>
        <v>±</v>
      </c>
      <c r="AC1226" s="1" t="str">
        <f>IF(Table1[[#This Row],[Spec Type2]]="N/A","N/A",IF(AND(Table1[[#This Row],[DUT Adj Read]]&gt;=Table1[[#This Row],[Low Tol]],Table1[[#This Row],[DUT Adj Read]]&lt;=Table1[[#This Row],[High Tol]]),"Pass","Fail"))</f>
        <v>Fail</v>
      </c>
      <c r="AD1226" s="1" t="str">
        <f>IF(AND(Table1[[#This Row],[Spec Type2]]="N/A",Table1[[#This Row],[DUT Adj Read]]="N/A",Table1[[#This Row],[Std Adj Read]]="N/A"),"N/A",IF(Table1[[#This Row],[DUT Adj Read]]="N/A",IF(Table1[[#This Row],[Std Adj Read]]&gt;Table1[[#This Row],[Low Tol]],"Pass","Fail"),IF(Table1[[#This Row],[DUT Adj Read]]&gt;Table1[[#This Row],[Low Tol]],"Pass","Fail")))</f>
        <v>Pass</v>
      </c>
      <c r="AE1226" s="1" t="str">
        <f>IF(AND(Table1[[#This Row],[Spec Type2]]="N/A",Table1[[#This Row],[DUT Adj Read]]="N/A",Table1[[#This Row],[Std Adj Read]]="N/A"),"N/A",IF(Table1[[#This Row],[DUT Adj Read]]="N/A",IF(Table1[[#This Row],[Std Adj Read]]&lt;Table1[[#This Row],[High Tol]],"Pass","Fail"),IF(Table1[[#This Row],[DUT Adj Read]]&lt;Table1[[#This Row],[High Tol]],"Pass","Fail")))</f>
        <v>Fail</v>
      </c>
      <c r="AF1226" s="1" t="str">
        <f>IF(AND(Table1[[#This Row],[Spec Type2]]="N/A",Table1[[#This Row],[DUT Adj Read]]="N/A",Table1[[#This Row],[Std Adj Read]]="N/A"),"N/A",IF(Table1[[#This Row],[DUT Adj Read]]="N/A",IF(Table1[[#This Row],[Std Adj Read]]&gt;=Table1[[#This Row],[Low Tol]],"Pass","Fail"),IF(Table1[[#This Row],[DUT Adj Read]]&gt;=Table1[[#This Row],[Low Tol]],"Pass","Fail")))</f>
        <v>Pass</v>
      </c>
      <c r="AG1226" s="1" t="str">
        <f>IF(AND(Table1[[#This Row],[Spec Type2]]="N/A",Table1[[#This Row],[DUT Adj Read]]="N/A",Table1[[#This Row],[Std Adj Read]]="N/A"),"N/A",IF(Table1[[#This Row],[DUT Adj Read]]="N/A",IF(Table1[[#This Row],[Std Adj Read]]&lt;=Table1[[#This Row],[High Tol]],"Pass","Fail"),IF(Table1[[#This Row],[DUT Adj Read]]&lt;=Table1[[#This Row],[High Tol]],"Pass","Fail")))</f>
        <v>Fail</v>
      </c>
      <c r="AH12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6" s="1" t="b">
        <v>0</v>
      </c>
      <c r="AN1226" s="1" t="b">
        <v>0</v>
      </c>
      <c r="AO1226" s="1" t="b">
        <v>0</v>
      </c>
    </row>
    <row r="1227" spans="1:41" x14ac:dyDescent="0.25">
      <c r="A1227" s="10"/>
      <c r="B1227" s="10"/>
      <c r="C1227" s="10"/>
      <c r="D1227" s="10"/>
      <c r="E1227" s="10"/>
      <c r="F1227" s="10"/>
      <c r="G1227" s="10"/>
      <c r="H1227" s="10"/>
      <c r="I1227" s="1" t="str">
        <f t="shared" ref="I1227:I1290" si="57">IF($I$10="","",$I$10)</f>
        <v/>
      </c>
      <c r="J1227" s="1" t="s">
        <v>35</v>
      </c>
      <c r="K1227" s="1" t="str">
        <f t="shared" ref="K1227:K1290" si="58">IF($K$10="","",$K$10)</f>
        <v/>
      </c>
      <c r="L1227" s="1" t="str">
        <f t="shared" ref="L1227:L1290" si="59">IF($L$10="","",$L$10)</f>
        <v/>
      </c>
      <c r="M1227" s="1">
        <f>IF(OR(Table1[[#This Row],[Std Nom]]="",Table1[[#This Row],[Std Read]]=""),0,Table1[[#This Row],[Std Nom]]-Table1[[#This Row],[Std Read]])</f>
        <v>0</v>
      </c>
      <c r="N1227" s="1">
        <f>IF(Calculations!$F$5="ACCREDITED 17025 WITH UNCERTAINTIES",$N$10,0)</f>
        <v>0</v>
      </c>
      <c r="Q1227" s="1">
        <f>Table1[[#This Row],[High Tol]]-Table1[[#This Row],[Low Tol]]</f>
        <v>0</v>
      </c>
      <c r="R1227" s="1">
        <f>2*Table1[[#This Row],[Std Error]]</f>
        <v>0</v>
      </c>
      <c r="S1227" s="1" t="str">
        <f>IF(Table1[[#This Row],[High Tol]]="","N/A",IFERROR(ABS(Table1[[#This Row],[Tol Span]]/Table1[[#This Row],[Error Span]]),"N/A"))</f>
        <v>N/A</v>
      </c>
      <c r="T1227" s="1" t="str">
        <f>IF(OR(Table1[[#This Row],[Low Tol]]="",Table1[[#This Row],[High Tol]]=""),"Needs Analysis",IF(Table1[[#This Row],[Ratio]]&gt;=4,"Not Significant",IF(Table1[[#This Row],[Ratio]]&gt;=2,"Semi-Significant","Significant")))</f>
        <v>Needs Analysis</v>
      </c>
      <c r="W1227" s="1">
        <f>IF(Table1[[#This Row],[Cal Type]]&lt;&gt;"ACCREDITED 17025 WITH UNCERTAINTIES",0,"")</f>
        <v>0</v>
      </c>
      <c r="X1227" s="1" t="str">
        <f>IF(Table1[[#This Row],[DUT Read]]="","N/A",Table1[[#This Row],[Std Error]]+Table1[[#This Row],[DUT Read]]+Table1[[#This Row],[DUT Ucty]])</f>
        <v>N/A</v>
      </c>
      <c r="Y1227" s="1" t="str">
        <f>IF(Table1[[#This Row],[Std Read]]="","N/A",Table1[[#This Row],[Std Read]]+Table1[[#This Row],[Std Ucty]])</f>
        <v>N/A</v>
      </c>
      <c r="Z12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7" s="1" t="str">
        <f>IF(Table1[[#This Row],[Spec Type]]="","N/A",Table1[[#This Row],[Spec Type]])</f>
        <v>±</v>
      </c>
      <c r="AC1227" s="1" t="str">
        <f>IF(Table1[[#This Row],[Spec Type2]]="N/A","N/A",IF(AND(Table1[[#This Row],[DUT Adj Read]]&gt;=Table1[[#This Row],[Low Tol]],Table1[[#This Row],[DUT Adj Read]]&lt;=Table1[[#This Row],[High Tol]]),"Pass","Fail"))</f>
        <v>Fail</v>
      </c>
      <c r="AD1227" s="1" t="str">
        <f>IF(AND(Table1[[#This Row],[Spec Type2]]="N/A",Table1[[#This Row],[DUT Adj Read]]="N/A",Table1[[#This Row],[Std Adj Read]]="N/A"),"N/A",IF(Table1[[#This Row],[DUT Adj Read]]="N/A",IF(Table1[[#This Row],[Std Adj Read]]&gt;Table1[[#This Row],[Low Tol]],"Pass","Fail"),IF(Table1[[#This Row],[DUT Adj Read]]&gt;Table1[[#This Row],[Low Tol]],"Pass","Fail")))</f>
        <v>Pass</v>
      </c>
      <c r="AE1227" s="1" t="str">
        <f>IF(AND(Table1[[#This Row],[Spec Type2]]="N/A",Table1[[#This Row],[DUT Adj Read]]="N/A",Table1[[#This Row],[Std Adj Read]]="N/A"),"N/A",IF(Table1[[#This Row],[DUT Adj Read]]="N/A",IF(Table1[[#This Row],[Std Adj Read]]&lt;Table1[[#This Row],[High Tol]],"Pass","Fail"),IF(Table1[[#This Row],[DUT Adj Read]]&lt;Table1[[#This Row],[High Tol]],"Pass","Fail")))</f>
        <v>Fail</v>
      </c>
      <c r="AF1227" s="1" t="str">
        <f>IF(AND(Table1[[#This Row],[Spec Type2]]="N/A",Table1[[#This Row],[DUT Adj Read]]="N/A",Table1[[#This Row],[Std Adj Read]]="N/A"),"N/A",IF(Table1[[#This Row],[DUT Adj Read]]="N/A",IF(Table1[[#This Row],[Std Adj Read]]&gt;=Table1[[#This Row],[Low Tol]],"Pass","Fail"),IF(Table1[[#This Row],[DUT Adj Read]]&gt;=Table1[[#This Row],[Low Tol]],"Pass","Fail")))</f>
        <v>Pass</v>
      </c>
      <c r="AG1227" s="1" t="str">
        <f>IF(AND(Table1[[#This Row],[Spec Type2]]="N/A",Table1[[#This Row],[DUT Adj Read]]="N/A",Table1[[#This Row],[Std Adj Read]]="N/A"),"N/A",IF(Table1[[#This Row],[DUT Adj Read]]="N/A",IF(Table1[[#This Row],[Std Adj Read]]&lt;=Table1[[#This Row],[High Tol]],"Pass","Fail"),IF(Table1[[#This Row],[DUT Adj Read]]&lt;=Table1[[#This Row],[High Tol]],"Pass","Fail")))</f>
        <v>Fail</v>
      </c>
      <c r="AH12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7" s="1" t="b">
        <v>0</v>
      </c>
      <c r="AN1227" s="1" t="b">
        <v>0</v>
      </c>
      <c r="AO1227" s="1" t="b">
        <v>0</v>
      </c>
    </row>
    <row r="1228" spans="1:41" x14ac:dyDescent="0.25">
      <c r="A1228" s="10"/>
      <c r="B1228" s="10"/>
      <c r="C1228" s="10"/>
      <c r="D1228" s="10"/>
      <c r="E1228" s="10"/>
      <c r="F1228" s="10"/>
      <c r="G1228" s="10"/>
      <c r="H1228" s="10"/>
      <c r="I1228" s="1" t="str">
        <f t="shared" si="57"/>
        <v/>
      </c>
      <c r="J1228" s="1" t="s">
        <v>35</v>
      </c>
      <c r="K1228" s="1" t="str">
        <f t="shared" si="58"/>
        <v/>
      </c>
      <c r="L1228" s="1" t="str">
        <f t="shared" si="59"/>
        <v/>
      </c>
      <c r="M1228" s="1">
        <f>IF(OR(Table1[[#This Row],[Std Nom]]="",Table1[[#This Row],[Std Read]]=""),0,Table1[[#This Row],[Std Nom]]-Table1[[#This Row],[Std Read]])</f>
        <v>0</v>
      </c>
      <c r="N1228" s="1">
        <f>IF(Calculations!$F$5="ACCREDITED 17025 WITH UNCERTAINTIES",$N$10,0)</f>
        <v>0</v>
      </c>
      <c r="Q1228" s="1">
        <f>Table1[[#This Row],[High Tol]]-Table1[[#This Row],[Low Tol]]</f>
        <v>0</v>
      </c>
      <c r="R1228" s="1">
        <f>2*Table1[[#This Row],[Std Error]]</f>
        <v>0</v>
      </c>
      <c r="S1228" s="1" t="str">
        <f>IF(Table1[[#This Row],[High Tol]]="","N/A",IFERROR(ABS(Table1[[#This Row],[Tol Span]]/Table1[[#This Row],[Error Span]]),"N/A"))</f>
        <v>N/A</v>
      </c>
      <c r="T1228" s="1" t="str">
        <f>IF(OR(Table1[[#This Row],[Low Tol]]="",Table1[[#This Row],[High Tol]]=""),"Needs Analysis",IF(Table1[[#This Row],[Ratio]]&gt;=4,"Not Significant",IF(Table1[[#This Row],[Ratio]]&gt;=2,"Semi-Significant","Significant")))</f>
        <v>Needs Analysis</v>
      </c>
      <c r="W1228" s="1">
        <f>IF(Table1[[#This Row],[Cal Type]]&lt;&gt;"ACCREDITED 17025 WITH UNCERTAINTIES",0,"")</f>
        <v>0</v>
      </c>
      <c r="X1228" s="1" t="str">
        <f>IF(Table1[[#This Row],[DUT Read]]="","N/A",Table1[[#This Row],[Std Error]]+Table1[[#This Row],[DUT Read]]+Table1[[#This Row],[DUT Ucty]])</f>
        <v>N/A</v>
      </c>
      <c r="Y1228" s="1" t="str">
        <f>IF(Table1[[#This Row],[Std Read]]="","N/A",Table1[[#This Row],[Std Read]]+Table1[[#This Row],[Std Ucty]])</f>
        <v>N/A</v>
      </c>
      <c r="Z12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8" s="1" t="str">
        <f>IF(Table1[[#This Row],[Spec Type]]="","N/A",Table1[[#This Row],[Spec Type]])</f>
        <v>±</v>
      </c>
      <c r="AC1228" s="1" t="str">
        <f>IF(Table1[[#This Row],[Spec Type2]]="N/A","N/A",IF(AND(Table1[[#This Row],[DUT Adj Read]]&gt;=Table1[[#This Row],[Low Tol]],Table1[[#This Row],[DUT Adj Read]]&lt;=Table1[[#This Row],[High Tol]]),"Pass","Fail"))</f>
        <v>Fail</v>
      </c>
      <c r="AD1228" s="1" t="str">
        <f>IF(AND(Table1[[#This Row],[Spec Type2]]="N/A",Table1[[#This Row],[DUT Adj Read]]="N/A",Table1[[#This Row],[Std Adj Read]]="N/A"),"N/A",IF(Table1[[#This Row],[DUT Adj Read]]="N/A",IF(Table1[[#This Row],[Std Adj Read]]&gt;Table1[[#This Row],[Low Tol]],"Pass","Fail"),IF(Table1[[#This Row],[DUT Adj Read]]&gt;Table1[[#This Row],[Low Tol]],"Pass","Fail")))</f>
        <v>Pass</v>
      </c>
      <c r="AE1228" s="1" t="str">
        <f>IF(AND(Table1[[#This Row],[Spec Type2]]="N/A",Table1[[#This Row],[DUT Adj Read]]="N/A",Table1[[#This Row],[Std Adj Read]]="N/A"),"N/A",IF(Table1[[#This Row],[DUT Adj Read]]="N/A",IF(Table1[[#This Row],[Std Adj Read]]&lt;Table1[[#This Row],[High Tol]],"Pass","Fail"),IF(Table1[[#This Row],[DUT Adj Read]]&lt;Table1[[#This Row],[High Tol]],"Pass","Fail")))</f>
        <v>Fail</v>
      </c>
      <c r="AF1228" s="1" t="str">
        <f>IF(AND(Table1[[#This Row],[Spec Type2]]="N/A",Table1[[#This Row],[DUT Adj Read]]="N/A",Table1[[#This Row],[Std Adj Read]]="N/A"),"N/A",IF(Table1[[#This Row],[DUT Adj Read]]="N/A",IF(Table1[[#This Row],[Std Adj Read]]&gt;=Table1[[#This Row],[Low Tol]],"Pass","Fail"),IF(Table1[[#This Row],[DUT Adj Read]]&gt;=Table1[[#This Row],[Low Tol]],"Pass","Fail")))</f>
        <v>Pass</v>
      </c>
      <c r="AG1228" s="1" t="str">
        <f>IF(AND(Table1[[#This Row],[Spec Type2]]="N/A",Table1[[#This Row],[DUT Adj Read]]="N/A",Table1[[#This Row],[Std Adj Read]]="N/A"),"N/A",IF(Table1[[#This Row],[DUT Adj Read]]="N/A",IF(Table1[[#This Row],[Std Adj Read]]&lt;=Table1[[#This Row],[High Tol]],"Pass","Fail"),IF(Table1[[#This Row],[DUT Adj Read]]&lt;=Table1[[#This Row],[High Tol]],"Pass","Fail")))</f>
        <v>Fail</v>
      </c>
      <c r="AH12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8" s="1" t="b">
        <v>0</v>
      </c>
      <c r="AN1228" s="1" t="b">
        <v>0</v>
      </c>
      <c r="AO1228" s="1" t="b">
        <v>0</v>
      </c>
    </row>
    <row r="1229" spans="1:41" x14ac:dyDescent="0.25">
      <c r="A1229" s="10"/>
      <c r="B1229" s="10"/>
      <c r="C1229" s="10"/>
      <c r="D1229" s="10"/>
      <c r="E1229" s="10"/>
      <c r="F1229" s="10"/>
      <c r="G1229" s="10"/>
      <c r="H1229" s="10"/>
      <c r="I1229" s="1" t="str">
        <f t="shared" si="57"/>
        <v/>
      </c>
      <c r="J1229" s="1" t="s">
        <v>35</v>
      </c>
      <c r="K1229" s="1" t="str">
        <f t="shared" si="58"/>
        <v/>
      </c>
      <c r="L1229" s="1" t="str">
        <f t="shared" si="59"/>
        <v/>
      </c>
      <c r="M1229" s="1">
        <f>IF(OR(Table1[[#This Row],[Std Nom]]="",Table1[[#This Row],[Std Read]]=""),0,Table1[[#This Row],[Std Nom]]-Table1[[#This Row],[Std Read]])</f>
        <v>0</v>
      </c>
      <c r="N1229" s="1">
        <f>IF(Calculations!$F$5="ACCREDITED 17025 WITH UNCERTAINTIES",$N$10,0)</f>
        <v>0</v>
      </c>
      <c r="Q1229" s="1">
        <f>Table1[[#This Row],[High Tol]]-Table1[[#This Row],[Low Tol]]</f>
        <v>0</v>
      </c>
      <c r="R1229" s="1">
        <f>2*Table1[[#This Row],[Std Error]]</f>
        <v>0</v>
      </c>
      <c r="S1229" s="1" t="str">
        <f>IF(Table1[[#This Row],[High Tol]]="","N/A",IFERROR(ABS(Table1[[#This Row],[Tol Span]]/Table1[[#This Row],[Error Span]]),"N/A"))</f>
        <v>N/A</v>
      </c>
      <c r="T1229" s="1" t="str">
        <f>IF(OR(Table1[[#This Row],[Low Tol]]="",Table1[[#This Row],[High Tol]]=""),"Needs Analysis",IF(Table1[[#This Row],[Ratio]]&gt;=4,"Not Significant",IF(Table1[[#This Row],[Ratio]]&gt;=2,"Semi-Significant","Significant")))</f>
        <v>Needs Analysis</v>
      </c>
      <c r="W1229" s="1">
        <f>IF(Table1[[#This Row],[Cal Type]]&lt;&gt;"ACCREDITED 17025 WITH UNCERTAINTIES",0,"")</f>
        <v>0</v>
      </c>
      <c r="X1229" s="1" t="str">
        <f>IF(Table1[[#This Row],[DUT Read]]="","N/A",Table1[[#This Row],[Std Error]]+Table1[[#This Row],[DUT Read]]+Table1[[#This Row],[DUT Ucty]])</f>
        <v>N/A</v>
      </c>
      <c r="Y1229" s="1" t="str">
        <f>IF(Table1[[#This Row],[Std Read]]="","N/A",Table1[[#This Row],[Std Read]]+Table1[[#This Row],[Std Ucty]])</f>
        <v>N/A</v>
      </c>
      <c r="Z12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29" s="1" t="str">
        <f>IF(Table1[[#This Row],[Spec Type]]="","N/A",Table1[[#This Row],[Spec Type]])</f>
        <v>±</v>
      </c>
      <c r="AC1229" s="1" t="str">
        <f>IF(Table1[[#This Row],[Spec Type2]]="N/A","N/A",IF(AND(Table1[[#This Row],[DUT Adj Read]]&gt;=Table1[[#This Row],[Low Tol]],Table1[[#This Row],[DUT Adj Read]]&lt;=Table1[[#This Row],[High Tol]]),"Pass","Fail"))</f>
        <v>Fail</v>
      </c>
      <c r="AD1229" s="1" t="str">
        <f>IF(AND(Table1[[#This Row],[Spec Type2]]="N/A",Table1[[#This Row],[DUT Adj Read]]="N/A",Table1[[#This Row],[Std Adj Read]]="N/A"),"N/A",IF(Table1[[#This Row],[DUT Adj Read]]="N/A",IF(Table1[[#This Row],[Std Adj Read]]&gt;Table1[[#This Row],[Low Tol]],"Pass","Fail"),IF(Table1[[#This Row],[DUT Adj Read]]&gt;Table1[[#This Row],[Low Tol]],"Pass","Fail")))</f>
        <v>Pass</v>
      </c>
      <c r="AE1229" s="1" t="str">
        <f>IF(AND(Table1[[#This Row],[Spec Type2]]="N/A",Table1[[#This Row],[DUT Adj Read]]="N/A",Table1[[#This Row],[Std Adj Read]]="N/A"),"N/A",IF(Table1[[#This Row],[DUT Adj Read]]="N/A",IF(Table1[[#This Row],[Std Adj Read]]&lt;Table1[[#This Row],[High Tol]],"Pass","Fail"),IF(Table1[[#This Row],[DUT Adj Read]]&lt;Table1[[#This Row],[High Tol]],"Pass","Fail")))</f>
        <v>Fail</v>
      </c>
      <c r="AF1229" s="1" t="str">
        <f>IF(AND(Table1[[#This Row],[Spec Type2]]="N/A",Table1[[#This Row],[DUT Adj Read]]="N/A",Table1[[#This Row],[Std Adj Read]]="N/A"),"N/A",IF(Table1[[#This Row],[DUT Adj Read]]="N/A",IF(Table1[[#This Row],[Std Adj Read]]&gt;=Table1[[#This Row],[Low Tol]],"Pass","Fail"),IF(Table1[[#This Row],[DUT Adj Read]]&gt;=Table1[[#This Row],[Low Tol]],"Pass","Fail")))</f>
        <v>Pass</v>
      </c>
      <c r="AG1229" s="1" t="str">
        <f>IF(AND(Table1[[#This Row],[Spec Type2]]="N/A",Table1[[#This Row],[DUT Adj Read]]="N/A",Table1[[#This Row],[Std Adj Read]]="N/A"),"N/A",IF(Table1[[#This Row],[DUT Adj Read]]="N/A",IF(Table1[[#This Row],[Std Adj Read]]&lt;=Table1[[#This Row],[High Tol]],"Pass","Fail"),IF(Table1[[#This Row],[DUT Adj Read]]&lt;=Table1[[#This Row],[High Tol]],"Pass","Fail")))</f>
        <v>Fail</v>
      </c>
      <c r="AH12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29" s="1" t="b">
        <v>0</v>
      </c>
      <c r="AN1229" s="1" t="b">
        <v>0</v>
      </c>
      <c r="AO1229" s="1" t="b">
        <v>0</v>
      </c>
    </row>
    <row r="1230" spans="1:41" x14ac:dyDescent="0.25">
      <c r="A1230" s="10"/>
      <c r="B1230" s="10"/>
      <c r="C1230" s="10"/>
      <c r="D1230" s="10"/>
      <c r="E1230" s="10"/>
      <c r="F1230" s="10"/>
      <c r="G1230" s="10"/>
      <c r="H1230" s="10"/>
      <c r="I1230" s="1" t="str">
        <f t="shared" si="57"/>
        <v/>
      </c>
      <c r="J1230" s="1" t="s">
        <v>35</v>
      </c>
      <c r="K1230" s="1" t="str">
        <f t="shared" si="58"/>
        <v/>
      </c>
      <c r="L1230" s="1" t="str">
        <f t="shared" si="59"/>
        <v/>
      </c>
      <c r="M1230" s="1">
        <f>IF(OR(Table1[[#This Row],[Std Nom]]="",Table1[[#This Row],[Std Read]]=""),0,Table1[[#This Row],[Std Nom]]-Table1[[#This Row],[Std Read]])</f>
        <v>0</v>
      </c>
      <c r="N1230" s="1">
        <f>IF(Calculations!$F$5="ACCREDITED 17025 WITH UNCERTAINTIES",$N$10,0)</f>
        <v>0</v>
      </c>
      <c r="Q1230" s="1">
        <f>Table1[[#This Row],[High Tol]]-Table1[[#This Row],[Low Tol]]</f>
        <v>0</v>
      </c>
      <c r="R1230" s="1">
        <f>2*Table1[[#This Row],[Std Error]]</f>
        <v>0</v>
      </c>
      <c r="S1230" s="1" t="str">
        <f>IF(Table1[[#This Row],[High Tol]]="","N/A",IFERROR(ABS(Table1[[#This Row],[Tol Span]]/Table1[[#This Row],[Error Span]]),"N/A"))</f>
        <v>N/A</v>
      </c>
      <c r="T1230" s="1" t="str">
        <f>IF(OR(Table1[[#This Row],[Low Tol]]="",Table1[[#This Row],[High Tol]]=""),"Needs Analysis",IF(Table1[[#This Row],[Ratio]]&gt;=4,"Not Significant",IF(Table1[[#This Row],[Ratio]]&gt;=2,"Semi-Significant","Significant")))</f>
        <v>Needs Analysis</v>
      </c>
      <c r="W1230" s="1">
        <f>IF(Table1[[#This Row],[Cal Type]]&lt;&gt;"ACCREDITED 17025 WITH UNCERTAINTIES",0,"")</f>
        <v>0</v>
      </c>
      <c r="X1230" s="1" t="str">
        <f>IF(Table1[[#This Row],[DUT Read]]="","N/A",Table1[[#This Row],[Std Error]]+Table1[[#This Row],[DUT Read]]+Table1[[#This Row],[DUT Ucty]])</f>
        <v>N/A</v>
      </c>
      <c r="Y1230" s="1" t="str">
        <f>IF(Table1[[#This Row],[Std Read]]="","N/A",Table1[[#This Row],[Std Read]]+Table1[[#This Row],[Std Ucty]])</f>
        <v>N/A</v>
      </c>
      <c r="Z12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0" s="1" t="str">
        <f>IF(Table1[[#This Row],[Spec Type]]="","N/A",Table1[[#This Row],[Spec Type]])</f>
        <v>±</v>
      </c>
      <c r="AC1230" s="1" t="str">
        <f>IF(Table1[[#This Row],[Spec Type2]]="N/A","N/A",IF(AND(Table1[[#This Row],[DUT Adj Read]]&gt;=Table1[[#This Row],[Low Tol]],Table1[[#This Row],[DUT Adj Read]]&lt;=Table1[[#This Row],[High Tol]]),"Pass","Fail"))</f>
        <v>Fail</v>
      </c>
      <c r="AD1230" s="1" t="str">
        <f>IF(AND(Table1[[#This Row],[Spec Type2]]="N/A",Table1[[#This Row],[DUT Adj Read]]="N/A",Table1[[#This Row],[Std Adj Read]]="N/A"),"N/A",IF(Table1[[#This Row],[DUT Adj Read]]="N/A",IF(Table1[[#This Row],[Std Adj Read]]&gt;Table1[[#This Row],[Low Tol]],"Pass","Fail"),IF(Table1[[#This Row],[DUT Adj Read]]&gt;Table1[[#This Row],[Low Tol]],"Pass","Fail")))</f>
        <v>Pass</v>
      </c>
      <c r="AE1230" s="1" t="str">
        <f>IF(AND(Table1[[#This Row],[Spec Type2]]="N/A",Table1[[#This Row],[DUT Adj Read]]="N/A",Table1[[#This Row],[Std Adj Read]]="N/A"),"N/A",IF(Table1[[#This Row],[DUT Adj Read]]="N/A",IF(Table1[[#This Row],[Std Adj Read]]&lt;Table1[[#This Row],[High Tol]],"Pass","Fail"),IF(Table1[[#This Row],[DUT Adj Read]]&lt;Table1[[#This Row],[High Tol]],"Pass","Fail")))</f>
        <v>Fail</v>
      </c>
      <c r="AF1230" s="1" t="str">
        <f>IF(AND(Table1[[#This Row],[Spec Type2]]="N/A",Table1[[#This Row],[DUT Adj Read]]="N/A",Table1[[#This Row],[Std Adj Read]]="N/A"),"N/A",IF(Table1[[#This Row],[DUT Adj Read]]="N/A",IF(Table1[[#This Row],[Std Adj Read]]&gt;=Table1[[#This Row],[Low Tol]],"Pass","Fail"),IF(Table1[[#This Row],[DUT Adj Read]]&gt;=Table1[[#This Row],[Low Tol]],"Pass","Fail")))</f>
        <v>Pass</v>
      </c>
      <c r="AG1230" s="1" t="str">
        <f>IF(AND(Table1[[#This Row],[Spec Type2]]="N/A",Table1[[#This Row],[DUT Adj Read]]="N/A",Table1[[#This Row],[Std Adj Read]]="N/A"),"N/A",IF(Table1[[#This Row],[DUT Adj Read]]="N/A",IF(Table1[[#This Row],[Std Adj Read]]&lt;=Table1[[#This Row],[High Tol]],"Pass","Fail"),IF(Table1[[#This Row],[DUT Adj Read]]&lt;=Table1[[#This Row],[High Tol]],"Pass","Fail")))</f>
        <v>Fail</v>
      </c>
      <c r="AH12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0" s="1" t="b">
        <v>0</v>
      </c>
      <c r="AN1230" s="1" t="b">
        <v>0</v>
      </c>
      <c r="AO1230" s="1" t="b">
        <v>0</v>
      </c>
    </row>
    <row r="1231" spans="1:41" x14ac:dyDescent="0.25">
      <c r="A1231" s="10"/>
      <c r="B1231" s="10"/>
      <c r="C1231" s="10"/>
      <c r="D1231" s="10"/>
      <c r="E1231" s="10"/>
      <c r="F1231" s="10"/>
      <c r="G1231" s="10"/>
      <c r="H1231" s="10"/>
      <c r="I1231" s="1" t="str">
        <f t="shared" si="57"/>
        <v/>
      </c>
      <c r="J1231" s="1" t="s">
        <v>35</v>
      </c>
      <c r="K1231" s="1" t="str">
        <f t="shared" si="58"/>
        <v/>
      </c>
      <c r="L1231" s="1" t="str">
        <f t="shared" si="59"/>
        <v/>
      </c>
      <c r="M1231" s="1">
        <f>IF(OR(Table1[[#This Row],[Std Nom]]="",Table1[[#This Row],[Std Read]]=""),0,Table1[[#This Row],[Std Nom]]-Table1[[#This Row],[Std Read]])</f>
        <v>0</v>
      </c>
      <c r="N1231" s="1">
        <f>IF(Calculations!$F$5="ACCREDITED 17025 WITH UNCERTAINTIES",$N$10,0)</f>
        <v>0</v>
      </c>
      <c r="Q1231" s="1">
        <f>Table1[[#This Row],[High Tol]]-Table1[[#This Row],[Low Tol]]</f>
        <v>0</v>
      </c>
      <c r="R1231" s="1">
        <f>2*Table1[[#This Row],[Std Error]]</f>
        <v>0</v>
      </c>
      <c r="S1231" s="1" t="str">
        <f>IF(Table1[[#This Row],[High Tol]]="","N/A",IFERROR(ABS(Table1[[#This Row],[Tol Span]]/Table1[[#This Row],[Error Span]]),"N/A"))</f>
        <v>N/A</v>
      </c>
      <c r="T1231" s="1" t="str">
        <f>IF(OR(Table1[[#This Row],[Low Tol]]="",Table1[[#This Row],[High Tol]]=""),"Needs Analysis",IF(Table1[[#This Row],[Ratio]]&gt;=4,"Not Significant",IF(Table1[[#This Row],[Ratio]]&gt;=2,"Semi-Significant","Significant")))</f>
        <v>Needs Analysis</v>
      </c>
      <c r="W1231" s="1">
        <f>IF(Table1[[#This Row],[Cal Type]]&lt;&gt;"ACCREDITED 17025 WITH UNCERTAINTIES",0,"")</f>
        <v>0</v>
      </c>
      <c r="X1231" s="1" t="str">
        <f>IF(Table1[[#This Row],[DUT Read]]="","N/A",Table1[[#This Row],[Std Error]]+Table1[[#This Row],[DUT Read]]+Table1[[#This Row],[DUT Ucty]])</f>
        <v>N/A</v>
      </c>
      <c r="Y1231" s="1" t="str">
        <f>IF(Table1[[#This Row],[Std Read]]="","N/A",Table1[[#This Row],[Std Read]]+Table1[[#This Row],[Std Ucty]])</f>
        <v>N/A</v>
      </c>
      <c r="Z12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1" s="1" t="str">
        <f>IF(Table1[[#This Row],[Spec Type]]="","N/A",Table1[[#This Row],[Spec Type]])</f>
        <v>±</v>
      </c>
      <c r="AC1231" s="1" t="str">
        <f>IF(Table1[[#This Row],[Spec Type2]]="N/A","N/A",IF(AND(Table1[[#This Row],[DUT Adj Read]]&gt;=Table1[[#This Row],[Low Tol]],Table1[[#This Row],[DUT Adj Read]]&lt;=Table1[[#This Row],[High Tol]]),"Pass","Fail"))</f>
        <v>Fail</v>
      </c>
      <c r="AD1231" s="1" t="str">
        <f>IF(AND(Table1[[#This Row],[Spec Type2]]="N/A",Table1[[#This Row],[DUT Adj Read]]="N/A",Table1[[#This Row],[Std Adj Read]]="N/A"),"N/A",IF(Table1[[#This Row],[DUT Adj Read]]="N/A",IF(Table1[[#This Row],[Std Adj Read]]&gt;Table1[[#This Row],[Low Tol]],"Pass","Fail"),IF(Table1[[#This Row],[DUT Adj Read]]&gt;Table1[[#This Row],[Low Tol]],"Pass","Fail")))</f>
        <v>Pass</v>
      </c>
      <c r="AE1231" s="1" t="str">
        <f>IF(AND(Table1[[#This Row],[Spec Type2]]="N/A",Table1[[#This Row],[DUT Adj Read]]="N/A",Table1[[#This Row],[Std Adj Read]]="N/A"),"N/A",IF(Table1[[#This Row],[DUT Adj Read]]="N/A",IF(Table1[[#This Row],[Std Adj Read]]&lt;Table1[[#This Row],[High Tol]],"Pass","Fail"),IF(Table1[[#This Row],[DUT Adj Read]]&lt;Table1[[#This Row],[High Tol]],"Pass","Fail")))</f>
        <v>Fail</v>
      </c>
      <c r="AF1231" s="1" t="str">
        <f>IF(AND(Table1[[#This Row],[Spec Type2]]="N/A",Table1[[#This Row],[DUT Adj Read]]="N/A",Table1[[#This Row],[Std Adj Read]]="N/A"),"N/A",IF(Table1[[#This Row],[DUT Adj Read]]="N/A",IF(Table1[[#This Row],[Std Adj Read]]&gt;=Table1[[#This Row],[Low Tol]],"Pass","Fail"),IF(Table1[[#This Row],[DUT Adj Read]]&gt;=Table1[[#This Row],[Low Tol]],"Pass","Fail")))</f>
        <v>Pass</v>
      </c>
      <c r="AG1231" s="1" t="str">
        <f>IF(AND(Table1[[#This Row],[Spec Type2]]="N/A",Table1[[#This Row],[DUT Adj Read]]="N/A",Table1[[#This Row],[Std Adj Read]]="N/A"),"N/A",IF(Table1[[#This Row],[DUT Adj Read]]="N/A",IF(Table1[[#This Row],[Std Adj Read]]&lt;=Table1[[#This Row],[High Tol]],"Pass","Fail"),IF(Table1[[#This Row],[DUT Adj Read]]&lt;=Table1[[#This Row],[High Tol]],"Pass","Fail")))</f>
        <v>Fail</v>
      </c>
      <c r="AH12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1" s="1" t="b">
        <v>0</v>
      </c>
      <c r="AN1231" s="1" t="b">
        <v>0</v>
      </c>
      <c r="AO1231" s="1" t="b">
        <v>0</v>
      </c>
    </row>
    <row r="1232" spans="1:41" x14ac:dyDescent="0.25">
      <c r="A1232" s="10"/>
      <c r="B1232" s="10"/>
      <c r="C1232" s="10"/>
      <c r="D1232" s="10"/>
      <c r="E1232" s="10"/>
      <c r="F1232" s="10"/>
      <c r="G1232" s="10"/>
      <c r="H1232" s="10"/>
      <c r="I1232" s="1" t="str">
        <f t="shared" si="57"/>
        <v/>
      </c>
      <c r="J1232" s="1" t="s">
        <v>35</v>
      </c>
      <c r="K1232" s="1" t="str">
        <f t="shared" si="58"/>
        <v/>
      </c>
      <c r="L1232" s="1" t="str">
        <f t="shared" si="59"/>
        <v/>
      </c>
      <c r="M1232" s="1">
        <f>IF(OR(Table1[[#This Row],[Std Nom]]="",Table1[[#This Row],[Std Read]]=""),0,Table1[[#This Row],[Std Nom]]-Table1[[#This Row],[Std Read]])</f>
        <v>0</v>
      </c>
      <c r="N1232" s="1">
        <f>IF(Calculations!$F$5="ACCREDITED 17025 WITH UNCERTAINTIES",$N$10,0)</f>
        <v>0</v>
      </c>
      <c r="Q1232" s="1">
        <f>Table1[[#This Row],[High Tol]]-Table1[[#This Row],[Low Tol]]</f>
        <v>0</v>
      </c>
      <c r="R1232" s="1">
        <f>2*Table1[[#This Row],[Std Error]]</f>
        <v>0</v>
      </c>
      <c r="S1232" s="1" t="str">
        <f>IF(Table1[[#This Row],[High Tol]]="","N/A",IFERROR(ABS(Table1[[#This Row],[Tol Span]]/Table1[[#This Row],[Error Span]]),"N/A"))</f>
        <v>N/A</v>
      </c>
      <c r="T1232" s="1" t="str">
        <f>IF(OR(Table1[[#This Row],[Low Tol]]="",Table1[[#This Row],[High Tol]]=""),"Needs Analysis",IF(Table1[[#This Row],[Ratio]]&gt;=4,"Not Significant",IF(Table1[[#This Row],[Ratio]]&gt;=2,"Semi-Significant","Significant")))</f>
        <v>Needs Analysis</v>
      </c>
      <c r="W1232" s="1">
        <f>IF(Table1[[#This Row],[Cal Type]]&lt;&gt;"ACCREDITED 17025 WITH UNCERTAINTIES",0,"")</f>
        <v>0</v>
      </c>
      <c r="X1232" s="1" t="str">
        <f>IF(Table1[[#This Row],[DUT Read]]="","N/A",Table1[[#This Row],[Std Error]]+Table1[[#This Row],[DUT Read]]+Table1[[#This Row],[DUT Ucty]])</f>
        <v>N/A</v>
      </c>
      <c r="Y1232" s="1" t="str">
        <f>IF(Table1[[#This Row],[Std Read]]="","N/A",Table1[[#This Row],[Std Read]]+Table1[[#This Row],[Std Ucty]])</f>
        <v>N/A</v>
      </c>
      <c r="Z12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2" s="1" t="str">
        <f>IF(Table1[[#This Row],[Spec Type]]="","N/A",Table1[[#This Row],[Spec Type]])</f>
        <v>±</v>
      </c>
      <c r="AC1232" s="1" t="str">
        <f>IF(Table1[[#This Row],[Spec Type2]]="N/A","N/A",IF(AND(Table1[[#This Row],[DUT Adj Read]]&gt;=Table1[[#This Row],[Low Tol]],Table1[[#This Row],[DUT Adj Read]]&lt;=Table1[[#This Row],[High Tol]]),"Pass","Fail"))</f>
        <v>Fail</v>
      </c>
      <c r="AD1232" s="1" t="str">
        <f>IF(AND(Table1[[#This Row],[Spec Type2]]="N/A",Table1[[#This Row],[DUT Adj Read]]="N/A",Table1[[#This Row],[Std Adj Read]]="N/A"),"N/A",IF(Table1[[#This Row],[DUT Adj Read]]="N/A",IF(Table1[[#This Row],[Std Adj Read]]&gt;Table1[[#This Row],[Low Tol]],"Pass","Fail"),IF(Table1[[#This Row],[DUT Adj Read]]&gt;Table1[[#This Row],[Low Tol]],"Pass","Fail")))</f>
        <v>Pass</v>
      </c>
      <c r="AE1232" s="1" t="str">
        <f>IF(AND(Table1[[#This Row],[Spec Type2]]="N/A",Table1[[#This Row],[DUT Adj Read]]="N/A",Table1[[#This Row],[Std Adj Read]]="N/A"),"N/A",IF(Table1[[#This Row],[DUT Adj Read]]="N/A",IF(Table1[[#This Row],[Std Adj Read]]&lt;Table1[[#This Row],[High Tol]],"Pass","Fail"),IF(Table1[[#This Row],[DUT Adj Read]]&lt;Table1[[#This Row],[High Tol]],"Pass","Fail")))</f>
        <v>Fail</v>
      </c>
      <c r="AF1232" s="1" t="str">
        <f>IF(AND(Table1[[#This Row],[Spec Type2]]="N/A",Table1[[#This Row],[DUT Adj Read]]="N/A",Table1[[#This Row],[Std Adj Read]]="N/A"),"N/A",IF(Table1[[#This Row],[DUT Adj Read]]="N/A",IF(Table1[[#This Row],[Std Adj Read]]&gt;=Table1[[#This Row],[Low Tol]],"Pass","Fail"),IF(Table1[[#This Row],[DUT Adj Read]]&gt;=Table1[[#This Row],[Low Tol]],"Pass","Fail")))</f>
        <v>Pass</v>
      </c>
      <c r="AG1232" s="1" t="str">
        <f>IF(AND(Table1[[#This Row],[Spec Type2]]="N/A",Table1[[#This Row],[DUT Adj Read]]="N/A",Table1[[#This Row],[Std Adj Read]]="N/A"),"N/A",IF(Table1[[#This Row],[DUT Adj Read]]="N/A",IF(Table1[[#This Row],[Std Adj Read]]&lt;=Table1[[#This Row],[High Tol]],"Pass","Fail"),IF(Table1[[#This Row],[DUT Adj Read]]&lt;=Table1[[#This Row],[High Tol]],"Pass","Fail")))</f>
        <v>Fail</v>
      </c>
      <c r="AH12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2" s="1" t="b">
        <v>0</v>
      </c>
      <c r="AN1232" s="1" t="b">
        <v>0</v>
      </c>
      <c r="AO1232" s="1" t="b">
        <v>0</v>
      </c>
    </row>
    <row r="1233" spans="1:41" x14ac:dyDescent="0.25">
      <c r="A1233" s="10"/>
      <c r="B1233" s="10"/>
      <c r="C1233" s="10"/>
      <c r="D1233" s="10"/>
      <c r="E1233" s="10"/>
      <c r="F1233" s="10"/>
      <c r="G1233" s="10"/>
      <c r="H1233" s="10"/>
      <c r="I1233" s="1" t="str">
        <f t="shared" si="57"/>
        <v/>
      </c>
      <c r="J1233" s="1" t="s">
        <v>35</v>
      </c>
      <c r="K1233" s="1" t="str">
        <f t="shared" si="58"/>
        <v/>
      </c>
      <c r="L1233" s="1" t="str">
        <f t="shared" si="59"/>
        <v/>
      </c>
      <c r="M1233" s="1">
        <f>IF(OR(Table1[[#This Row],[Std Nom]]="",Table1[[#This Row],[Std Read]]=""),0,Table1[[#This Row],[Std Nom]]-Table1[[#This Row],[Std Read]])</f>
        <v>0</v>
      </c>
      <c r="N1233" s="1">
        <f>IF(Calculations!$F$5="ACCREDITED 17025 WITH UNCERTAINTIES",$N$10,0)</f>
        <v>0</v>
      </c>
      <c r="Q1233" s="1">
        <f>Table1[[#This Row],[High Tol]]-Table1[[#This Row],[Low Tol]]</f>
        <v>0</v>
      </c>
      <c r="R1233" s="1">
        <f>2*Table1[[#This Row],[Std Error]]</f>
        <v>0</v>
      </c>
      <c r="S1233" s="1" t="str">
        <f>IF(Table1[[#This Row],[High Tol]]="","N/A",IFERROR(ABS(Table1[[#This Row],[Tol Span]]/Table1[[#This Row],[Error Span]]),"N/A"))</f>
        <v>N/A</v>
      </c>
      <c r="T1233" s="1" t="str">
        <f>IF(OR(Table1[[#This Row],[Low Tol]]="",Table1[[#This Row],[High Tol]]=""),"Needs Analysis",IF(Table1[[#This Row],[Ratio]]&gt;=4,"Not Significant",IF(Table1[[#This Row],[Ratio]]&gt;=2,"Semi-Significant","Significant")))</f>
        <v>Needs Analysis</v>
      </c>
      <c r="W1233" s="1">
        <f>IF(Table1[[#This Row],[Cal Type]]&lt;&gt;"ACCREDITED 17025 WITH UNCERTAINTIES",0,"")</f>
        <v>0</v>
      </c>
      <c r="X1233" s="1" t="str">
        <f>IF(Table1[[#This Row],[DUT Read]]="","N/A",Table1[[#This Row],[Std Error]]+Table1[[#This Row],[DUT Read]]+Table1[[#This Row],[DUT Ucty]])</f>
        <v>N/A</v>
      </c>
      <c r="Y1233" s="1" t="str">
        <f>IF(Table1[[#This Row],[Std Read]]="","N/A",Table1[[#This Row],[Std Read]]+Table1[[#This Row],[Std Ucty]])</f>
        <v>N/A</v>
      </c>
      <c r="Z12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3" s="1" t="str">
        <f>IF(Table1[[#This Row],[Spec Type]]="","N/A",Table1[[#This Row],[Spec Type]])</f>
        <v>±</v>
      </c>
      <c r="AC1233" s="1" t="str">
        <f>IF(Table1[[#This Row],[Spec Type2]]="N/A","N/A",IF(AND(Table1[[#This Row],[DUT Adj Read]]&gt;=Table1[[#This Row],[Low Tol]],Table1[[#This Row],[DUT Adj Read]]&lt;=Table1[[#This Row],[High Tol]]),"Pass","Fail"))</f>
        <v>Fail</v>
      </c>
      <c r="AD1233" s="1" t="str">
        <f>IF(AND(Table1[[#This Row],[Spec Type2]]="N/A",Table1[[#This Row],[DUT Adj Read]]="N/A",Table1[[#This Row],[Std Adj Read]]="N/A"),"N/A",IF(Table1[[#This Row],[DUT Adj Read]]="N/A",IF(Table1[[#This Row],[Std Adj Read]]&gt;Table1[[#This Row],[Low Tol]],"Pass","Fail"),IF(Table1[[#This Row],[DUT Adj Read]]&gt;Table1[[#This Row],[Low Tol]],"Pass","Fail")))</f>
        <v>Pass</v>
      </c>
      <c r="AE1233" s="1" t="str">
        <f>IF(AND(Table1[[#This Row],[Spec Type2]]="N/A",Table1[[#This Row],[DUT Adj Read]]="N/A",Table1[[#This Row],[Std Adj Read]]="N/A"),"N/A",IF(Table1[[#This Row],[DUT Adj Read]]="N/A",IF(Table1[[#This Row],[Std Adj Read]]&lt;Table1[[#This Row],[High Tol]],"Pass","Fail"),IF(Table1[[#This Row],[DUT Adj Read]]&lt;Table1[[#This Row],[High Tol]],"Pass","Fail")))</f>
        <v>Fail</v>
      </c>
      <c r="AF1233" s="1" t="str">
        <f>IF(AND(Table1[[#This Row],[Spec Type2]]="N/A",Table1[[#This Row],[DUT Adj Read]]="N/A",Table1[[#This Row],[Std Adj Read]]="N/A"),"N/A",IF(Table1[[#This Row],[DUT Adj Read]]="N/A",IF(Table1[[#This Row],[Std Adj Read]]&gt;=Table1[[#This Row],[Low Tol]],"Pass","Fail"),IF(Table1[[#This Row],[DUT Adj Read]]&gt;=Table1[[#This Row],[Low Tol]],"Pass","Fail")))</f>
        <v>Pass</v>
      </c>
      <c r="AG1233" s="1" t="str">
        <f>IF(AND(Table1[[#This Row],[Spec Type2]]="N/A",Table1[[#This Row],[DUT Adj Read]]="N/A",Table1[[#This Row],[Std Adj Read]]="N/A"),"N/A",IF(Table1[[#This Row],[DUT Adj Read]]="N/A",IF(Table1[[#This Row],[Std Adj Read]]&lt;=Table1[[#This Row],[High Tol]],"Pass","Fail"),IF(Table1[[#This Row],[DUT Adj Read]]&lt;=Table1[[#This Row],[High Tol]],"Pass","Fail")))</f>
        <v>Fail</v>
      </c>
      <c r="AH12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3" s="1" t="b">
        <v>0</v>
      </c>
      <c r="AN1233" s="1" t="b">
        <v>0</v>
      </c>
      <c r="AO1233" s="1" t="b">
        <v>0</v>
      </c>
    </row>
    <row r="1234" spans="1:41" x14ac:dyDescent="0.25">
      <c r="A1234" s="10"/>
      <c r="B1234" s="10"/>
      <c r="C1234" s="10"/>
      <c r="D1234" s="10"/>
      <c r="E1234" s="10"/>
      <c r="F1234" s="10"/>
      <c r="G1234" s="10"/>
      <c r="H1234" s="10"/>
      <c r="I1234" s="1" t="str">
        <f t="shared" si="57"/>
        <v/>
      </c>
      <c r="J1234" s="1" t="s">
        <v>35</v>
      </c>
      <c r="K1234" s="1" t="str">
        <f t="shared" si="58"/>
        <v/>
      </c>
      <c r="L1234" s="1" t="str">
        <f t="shared" si="59"/>
        <v/>
      </c>
      <c r="M1234" s="1">
        <f>IF(OR(Table1[[#This Row],[Std Nom]]="",Table1[[#This Row],[Std Read]]=""),0,Table1[[#This Row],[Std Nom]]-Table1[[#This Row],[Std Read]])</f>
        <v>0</v>
      </c>
      <c r="N1234" s="1">
        <f>IF(Calculations!$F$5="ACCREDITED 17025 WITH UNCERTAINTIES",$N$10,0)</f>
        <v>0</v>
      </c>
      <c r="Q1234" s="1">
        <f>Table1[[#This Row],[High Tol]]-Table1[[#This Row],[Low Tol]]</f>
        <v>0</v>
      </c>
      <c r="R1234" s="1">
        <f>2*Table1[[#This Row],[Std Error]]</f>
        <v>0</v>
      </c>
      <c r="S1234" s="1" t="str">
        <f>IF(Table1[[#This Row],[High Tol]]="","N/A",IFERROR(ABS(Table1[[#This Row],[Tol Span]]/Table1[[#This Row],[Error Span]]),"N/A"))</f>
        <v>N/A</v>
      </c>
      <c r="T1234" s="1" t="str">
        <f>IF(OR(Table1[[#This Row],[Low Tol]]="",Table1[[#This Row],[High Tol]]=""),"Needs Analysis",IF(Table1[[#This Row],[Ratio]]&gt;=4,"Not Significant",IF(Table1[[#This Row],[Ratio]]&gt;=2,"Semi-Significant","Significant")))</f>
        <v>Needs Analysis</v>
      </c>
      <c r="W1234" s="1">
        <f>IF(Table1[[#This Row],[Cal Type]]&lt;&gt;"ACCREDITED 17025 WITH UNCERTAINTIES",0,"")</f>
        <v>0</v>
      </c>
      <c r="X1234" s="1" t="str">
        <f>IF(Table1[[#This Row],[DUT Read]]="","N/A",Table1[[#This Row],[Std Error]]+Table1[[#This Row],[DUT Read]]+Table1[[#This Row],[DUT Ucty]])</f>
        <v>N/A</v>
      </c>
      <c r="Y1234" s="1" t="str">
        <f>IF(Table1[[#This Row],[Std Read]]="","N/A",Table1[[#This Row],[Std Read]]+Table1[[#This Row],[Std Ucty]])</f>
        <v>N/A</v>
      </c>
      <c r="Z12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4" s="1" t="str">
        <f>IF(Table1[[#This Row],[Spec Type]]="","N/A",Table1[[#This Row],[Spec Type]])</f>
        <v>±</v>
      </c>
      <c r="AC1234" s="1" t="str">
        <f>IF(Table1[[#This Row],[Spec Type2]]="N/A","N/A",IF(AND(Table1[[#This Row],[DUT Adj Read]]&gt;=Table1[[#This Row],[Low Tol]],Table1[[#This Row],[DUT Adj Read]]&lt;=Table1[[#This Row],[High Tol]]),"Pass","Fail"))</f>
        <v>Fail</v>
      </c>
      <c r="AD1234" s="1" t="str">
        <f>IF(AND(Table1[[#This Row],[Spec Type2]]="N/A",Table1[[#This Row],[DUT Adj Read]]="N/A",Table1[[#This Row],[Std Adj Read]]="N/A"),"N/A",IF(Table1[[#This Row],[DUT Adj Read]]="N/A",IF(Table1[[#This Row],[Std Adj Read]]&gt;Table1[[#This Row],[Low Tol]],"Pass","Fail"),IF(Table1[[#This Row],[DUT Adj Read]]&gt;Table1[[#This Row],[Low Tol]],"Pass","Fail")))</f>
        <v>Pass</v>
      </c>
      <c r="AE1234" s="1" t="str">
        <f>IF(AND(Table1[[#This Row],[Spec Type2]]="N/A",Table1[[#This Row],[DUT Adj Read]]="N/A",Table1[[#This Row],[Std Adj Read]]="N/A"),"N/A",IF(Table1[[#This Row],[DUT Adj Read]]="N/A",IF(Table1[[#This Row],[Std Adj Read]]&lt;Table1[[#This Row],[High Tol]],"Pass","Fail"),IF(Table1[[#This Row],[DUT Adj Read]]&lt;Table1[[#This Row],[High Tol]],"Pass","Fail")))</f>
        <v>Fail</v>
      </c>
      <c r="AF1234" s="1" t="str">
        <f>IF(AND(Table1[[#This Row],[Spec Type2]]="N/A",Table1[[#This Row],[DUT Adj Read]]="N/A",Table1[[#This Row],[Std Adj Read]]="N/A"),"N/A",IF(Table1[[#This Row],[DUT Adj Read]]="N/A",IF(Table1[[#This Row],[Std Adj Read]]&gt;=Table1[[#This Row],[Low Tol]],"Pass","Fail"),IF(Table1[[#This Row],[DUT Adj Read]]&gt;=Table1[[#This Row],[Low Tol]],"Pass","Fail")))</f>
        <v>Pass</v>
      </c>
      <c r="AG1234" s="1" t="str">
        <f>IF(AND(Table1[[#This Row],[Spec Type2]]="N/A",Table1[[#This Row],[DUT Adj Read]]="N/A",Table1[[#This Row],[Std Adj Read]]="N/A"),"N/A",IF(Table1[[#This Row],[DUT Adj Read]]="N/A",IF(Table1[[#This Row],[Std Adj Read]]&lt;=Table1[[#This Row],[High Tol]],"Pass","Fail"),IF(Table1[[#This Row],[DUT Adj Read]]&lt;=Table1[[#This Row],[High Tol]],"Pass","Fail")))</f>
        <v>Fail</v>
      </c>
      <c r="AH12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4" s="1" t="b">
        <v>0</v>
      </c>
      <c r="AN1234" s="1" t="b">
        <v>0</v>
      </c>
      <c r="AO1234" s="1" t="b">
        <v>0</v>
      </c>
    </row>
    <row r="1235" spans="1:41" x14ac:dyDescent="0.25">
      <c r="A1235" s="10"/>
      <c r="B1235" s="10"/>
      <c r="C1235" s="10"/>
      <c r="D1235" s="10"/>
      <c r="E1235" s="10"/>
      <c r="F1235" s="10"/>
      <c r="G1235" s="10"/>
      <c r="H1235" s="10"/>
      <c r="I1235" s="1" t="str">
        <f t="shared" si="57"/>
        <v/>
      </c>
      <c r="J1235" s="1" t="s">
        <v>35</v>
      </c>
      <c r="K1235" s="1" t="str">
        <f t="shared" si="58"/>
        <v/>
      </c>
      <c r="L1235" s="1" t="str">
        <f t="shared" si="59"/>
        <v/>
      </c>
      <c r="M1235" s="1">
        <f>IF(OR(Table1[[#This Row],[Std Nom]]="",Table1[[#This Row],[Std Read]]=""),0,Table1[[#This Row],[Std Nom]]-Table1[[#This Row],[Std Read]])</f>
        <v>0</v>
      </c>
      <c r="N1235" s="1">
        <f>IF(Calculations!$F$5="ACCREDITED 17025 WITH UNCERTAINTIES",$N$10,0)</f>
        <v>0</v>
      </c>
      <c r="Q1235" s="1">
        <f>Table1[[#This Row],[High Tol]]-Table1[[#This Row],[Low Tol]]</f>
        <v>0</v>
      </c>
      <c r="R1235" s="1">
        <f>2*Table1[[#This Row],[Std Error]]</f>
        <v>0</v>
      </c>
      <c r="S1235" s="1" t="str">
        <f>IF(Table1[[#This Row],[High Tol]]="","N/A",IFERROR(ABS(Table1[[#This Row],[Tol Span]]/Table1[[#This Row],[Error Span]]),"N/A"))</f>
        <v>N/A</v>
      </c>
      <c r="T1235" s="1" t="str">
        <f>IF(OR(Table1[[#This Row],[Low Tol]]="",Table1[[#This Row],[High Tol]]=""),"Needs Analysis",IF(Table1[[#This Row],[Ratio]]&gt;=4,"Not Significant",IF(Table1[[#This Row],[Ratio]]&gt;=2,"Semi-Significant","Significant")))</f>
        <v>Needs Analysis</v>
      </c>
      <c r="W1235" s="1">
        <f>IF(Table1[[#This Row],[Cal Type]]&lt;&gt;"ACCREDITED 17025 WITH UNCERTAINTIES",0,"")</f>
        <v>0</v>
      </c>
      <c r="X1235" s="1" t="str">
        <f>IF(Table1[[#This Row],[DUT Read]]="","N/A",Table1[[#This Row],[Std Error]]+Table1[[#This Row],[DUT Read]]+Table1[[#This Row],[DUT Ucty]])</f>
        <v>N/A</v>
      </c>
      <c r="Y1235" s="1" t="str">
        <f>IF(Table1[[#This Row],[Std Read]]="","N/A",Table1[[#This Row],[Std Read]]+Table1[[#This Row],[Std Ucty]])</f>
        <v>N/A</v>
      </c>
      <c r="Z12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5" s="1" t="str">
        <f>IF(Table1[[#This Row],[Spec Type]]="","N/A",Table1[[#This Row],[Spec Type]])</f>
        <v>±</v>
      </c>
      <c r="AC1235" s="1" t="str">
        <f>IF(Table1[[#This Row],[Spec Type2]]="N/A","N/A",IF(AND(Table1[[#This Row],[DUT Adj Read]]&gt;=Table1[[#This Row],[Low Tol]],Table1[[#This Row],[DUT Adj Read]]&lt;=Table1[[#This Row],[High Tol]]),"Pass","Fail"))</f>
        <v>Fail</v>
      </c>
      <c r="AD1235" s="1" t="str">
        <f>IF(AND(Table1[[#This Row],[Spec Type2]]="N/A",Table1[[#This Row],[DUT Adj Read]]="N/A",Table1[[#This Row],[Std Adj Read]]="N/A"),"N/A",IF(Table1[[#This Row],[DUT Adj Read]]="N/A",IF(Table1[[#This Row],[Std Adj Read]]&gt;Table1[[#This Row],[Low Tol]],"Pass","Fail"),IF(Table1[[#This Row],[DUT Adj Read]]&gt;Table1[[#This Row],[Low Tol]],"Pass","Fail")))</f>
        <v>Pass</v>
      </c>
      <c r="AE1235" s="1" t="str">
        <f>IF(AND(Table1[[#This Row],[Spec Type2]]="N/A",Table1[[#This Row],[DUT Adj Read]]="N/A",Table1[[#This Row],[Std Adj Read]]="N/A"),"N/A",IF(Table1[[#This Row],[DUT Adj Read]]="N/A",IF(Table1[[#This Row],[Std Adj Read]]&lt;Table1[[#This Row],[High Tol]],"Pass","Fail"),IF(Table1[[#This Row],[DUT Adj Read]]&lt;Table1[[#This Row],[High Tol]],"Pass","Fail")))</f>
        <v>Fail</v>
      </c>
      <c r="AF1235" s="1" t="str">
        <f>IF(AND(Table1[[#This Row],[Spec Type2]]="N/A",Table1[[#This Row],[DUT Adj Read]]="N/A",Table1[[#This Row],[Std Adj Read]]="N/A"),"N/A",IF(Table1[[#This Row],[DUT Adj Read]]="N/A",IF(Table1[[#This Row],[Std Adj Read]]&gt;=Table1[[#This Row],[Low Tol]],"Pass","Fail"),IF(Table1[[#This Row],[DUT Adj Read]]&gt;=Table1[[#This Row],[Low Tol]],"Pass","Fail")))</f>
        <v>Pass</v>
      </c>
      <c r="AG1235" s="1" t="str">
        <f>IF(AND(Table1[[#This Row],[Spec Type2]]="N/A",Table1[[#This Row],[DUT Adj Read]]="N/A",Table1[[#This Row],[Std Adj Read]]="N/A"),"N/A",IF(Table1[[#This Row],[DUT Adj Read]]="N/A",IF(Table1[[#This Row],[Std Adj Read]]&lt;=Table1[[#This Row],[High Tol]],"Pass","Fail"),IF(Table1[[#This Row],[DUT Adj Read]]&lt;=Table1[[#This Row],[High Tol]],"Pass","Fail")))</f>
        <v>Fail</v>
      </c>
      <c r="AH12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5" s="1" t="b">
        <v>0</v>
      </c>
      <c r="AN1235" s="1" t="b">
        <v>0</v>
      </c>
      <c r="AO1235" s="1" t="b">
        <v>0</v>
      </c>
    </row>
    <row r="1236" spans="1:41" x14ac:dyDescent="0.25">
      <c r="A1236" s="10"/>
      <c r="B1236" s="10"/>
      <c r="C1236" s="10"/>
      <c r="D1236" s="10"/>
      <c r="E1236" s="10"/>
      <c r="F1236" s="10"/>
      <c r="G1236" s="10"/>
      <c r="H1236" s="10"/>
      <c r="I1236" s="1" t="str">
        <f t="shared" si="57"/>
        <v/>
      </c>
      <c r="J1236" s="1" t="s">
        <v>35</v>
      </c>
      <c r="K1236" s="1" t="str">
        <f t="shared" si="58"/>
        <v/>
      </c>
      <c r="L1236" s="1" t="str">
        <f t="shared" si="59"/>
        <v/>
      </c>
      <c r="M1236" s="1">
        <f>IF(OR(Table1[[#This Row],[Std Nom]]="",Table1[[#This Row],[Std Read]]=""),0,Table1[[#This Row],[Std Nom]]-Table1[[#This Row],[Std Read]])</f>
        <v>0</v>
      </c>
      <c r="N1236" s="1">
        <f>IF(Calculations!$F$5="ACCREDITED 17025 WITH UNCERTAINTIES",$N$10,0)</f>
        <v>0</v>
      </c>
      <c r="Q1236" s="1">
        <f>Table1[[#This Row],[High Tol]]-Table1[[#This Row],[Low Tol]]</f>
        <v>0</v>
      </c>
      <c r="R1236" s="1">
        <f>2*Table1[[#This Row],[Std Error]]</f>
        <v>0</v>
      </c>
      <c r="S1236" s="1" t="str">
        <f>IF(Table1[[#This Row],[High Tol]]="","N/A",IFERROR(ABS(Table1[[#This Row],[Tol Span]]/Table1[[#This Row],[Error Span]]),"N/A"))</f>
        <v>N/A</v>
      </c>
      <c r="T1236" s="1" t="str">
        <f>IF(OR(Table1[[#This Row],[Low Tol]]="",Table1[[#This Row],[High Tol]]=""),"Needs Analysis",IF(Table1[[#This Row],[Ratio]]&gt;=4,"Not Significant",IF(Table1[[#This Row],[Ratio]]&gt;=2,"Semi-Significant","Significant")))</f>
        <v>Needs Analysis</v>
      </c>
      <c r="W1236" s="1">
        <f>IF(Table1[[#This Row],[Cal Type]]&lt;&gt;"ACCREDITED 17025 WITH UNCERTAINTIES",0,"")</f>
        <v>0</v>
      </c>
      <c r="X1236" s="1" t="str">
        <f>IF(Table1[[#This Row],[DUT Read]]="","N/A",Table1[[#This Row],[Std Error]]+Table1[[#This Row],[DUT Read]]+Table1[[#This Row],[DUT Ucty]])</f>
        <v>N/A</v>
      </c>
      <c r="Y1236" s="1" t="str">
        <f>IF(Table1[[#This Row],[Std Read]]="","N/A",Table1[[#This Row],[Std Read]]+Table1[[#This Row],[Std Ucty]])</f>
        <v>N/A</v>
      </c>
      <c r="Z12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6" s="1" t="str">
        <f>IF(Table1[[#This Row],[Spec Type]]="","N/A",Table1[[#This Row],[Spec Type]])</f>
        <v>±</v>
      </c>
      <c r="AC1236" s="1" t="str">
        <f>IF(Table1[[#This Row],[Spec Type2]]="N/A","N/A",IF(AND(Table1[[#This Row],[DUT Adj Read]]&gt;=Table1[[#This Row],[Low Tol]],Table1[[#This Row],[DUT Adj Read]]&lt;=Table1[[#This Row],[High Tol]]),"Pass","Fail"))</f>
        <v>Fail</v>
      </c>
      <c r="AD1236" s="1" t="str">
        <f>IF(AND(Table1[[#This Row],[Spec Type2]]="N/A",Table1[[#This Row],[DUT Adj Read]]="N/A",Table1[[#This Row],[Std Adj Read]]="N/A"),"N/A",IF(Table1[[#This Row],[DUT Adj Read]]="N/A",IF(Table1[[#This Row],[Std Adj Read]]&gt;Table1[[#This Row],[Low Tol]],"Pass","Fail"),IF(Table1[[#This Row],[DUT Adj Read]]&gt;Table1[[#This Row],[Low Tol]],"Pass","Fail")))</f>
        <v>Pass</v>
      </c>
      <c r="AE1236" s="1" t="str">
        <f>IF(AND(Table1[[#This Row],[Spec Type2]]="N/A",Table1[[#This Row],[DUT Adj Read]]="N/A",Table1[[#This Row],[Std Adj Read]]="N/A"),"N/A",IF(Table1[[#This Row],[DUT Adj Read]]="N/A",IF(Table1[[#This Row],[Std Adj Read]]&lt;Table1[[#This Row],[High Tol]],"Pass","Fail"),IF(Table1[[#This Row],[DUT Adj Read]]&lt;Table1[[#This Row],[High Tol]],"Pass","Fail")))</f>
        <v>Fail</v>
      </c>
      <c r="AF1236" s="1" t="str">
        <f>IF(AND(Table1[[#This Row],[Spec Type2]]="N/A",Table1[[#This Row],[DUT Adj Read]]="N/A",Table1[[#This Row],[Std Adj Read]]="N/A"),"N/A",IF(Table1[[#This Row],[DUT Adj Read]]="N/A",IF(Table1[[#This Row],[Std Adj Read]]&gt;=Table1[[#This Row],[Low Tol]],"Pass","Fail"),IF(Table1[[#This Row],[DUT Adj Read]]&gt;=Table1[[#This Row],[Low Tol]],"Pass","Fail")))</f>
        <v>Pass</v>
      </c>
      <c r="AG1236" s="1" t="str">
        <f>IF(AND(Table1[[#This Row],[Spec Type2]]="N/A",Table1[[#This Row],[DUT Adj Read]]="N/A",Table1[[#This Row],[Std Adj Read]]="N/A"),"N/A",IF(Table1[[#This Row],[DUT Adj Read]]="N/A",IF(Table1[[#This Row],[Std Adj Read]]&lt;=Table1[[#This Row],[High Tol]],"Pass","Fail"),IF(Table1[[#This Row],[DUT Adj Read]]&lt;=Table1[[#This Row],[High Tol]],"Pass","Fail")))</f>
        <v>Fail</v>
      </c>
      <c r="AH12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6" s="1" t="b">
        <v>0</v>
      </c>
      <c r="AN1236" s="1" t="b">
        <v>0</v>
      </c>
      <c r="AO1236" s="1" t="b">
        <v>0</v>
      </c>
    </row>
    <row r="1237" spans="1:41" x14ac:dyDescent="0.25">
      <c r="A1237" s="10"/>
      <c r="B1237" s="10"/>
      <c r="C1237" s="10"/>
      <c r="D1237" s="10"/>
      <c r="E1237" s="10"/>
      <c r="F1237" s="10"/>
      <c r="G1237" s="10"/>
      <c r="H1237" s="10"/>
      <c r="I1237" s="1" t="str">
        <f t="shared" si="57"/>
        <v/>
      </c>
      <c r="J1237" s="1" t="s">
        <v>35</v>
      </c>
      <c r="K1237" s="1" t="str">
        <f t="shared" si="58"/>
        <v/>
      </c>
      <c r="L1237" s="1" t="str">
        <f t="shared" si="59"/>
        <v/>
      </c>
      <c r="M1237" s="1">
        <f>IF(OR(Table1[[#This Row],[Std Nom]]="",Table1[[#This Row],[Std Read]]=""),0,Table1[[#This Row],[Std Nom]]-Table1[[#This Row],[Std Read]])</f>
        <v>0</v>
      </c>
      <c r="N1237" s="1">
        <f>IF(Calculations!$F$5="ACCREDITED 17025 WITH UNCERTAINTIES",$N$10,0)</f>
        <v>0</v>
      </c>
      <c r="Q1237" s="1">
        <f>Table1[[#This Row],[High Tol]]-Table1[[#This Row],[Low Tol]]</f>
        <v>0</v>
      </c>
      <c r="R1237" s="1">
        <f>2*Table1[[#This Row],[Std Error]]</f>
        <v>0</v>
      </c>
      <c r="S1237" s="1" t="str">
        <f>IF(Table1[[#This Row],[High Tol]]="","N/A",IFERROR(ABS(Table1[[#This Row],[Tol Span]]/Table1[[#This Row],[Error Span]]),"N/A"))</f>
        <v>N/A</v>
      </c>
      <c r="T1237" s="1" t="str">
        <f>IF(OR(Table1[[#This Row],[Low Tol]]="",Table1[[#This Row],[High Tol]]=""),"Needs Analysis",IF(Table1[[#This Row],[Ratio]]&gt;=4,"Not Significant",IF(Table1[[#This Row],[Ratio]]&gt;=2,"Semi-Significant","Significant")))</f>
        <v>Needs Analysis</v>
      </c>
      <c r="W1237" s="1">
        <f>IF(Table1[[#This Row],[Cal Type]]&lt;&gt;"ACCREDITED 17025 WITH UNCERTAINTIES",0,"")</f>
        <v>0</v>
      </c>
      <c r="X1237" s="1" t="str">
        <f>IF(Table1[[#This Row],[DUT Read]]="","N/A",Table1[[#This Row],[Std Error]]+Table1[[#This Row],[DUT Read]]+Table1[[#This Row],[DUT Ucty]])</f>
        <v>N/A</v>
      </c>
      <c r="Y1237" s="1" t="str">
        <f>IF(Table1[[#This Row],[Std Read]]="","N/A",Table1[[#This Row],[Std Read]]+Table1[[#This Row],[Std Ucty]])</f>
        <v>N/A</v>
      </c>
      <c r="Z12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7" s="1" t="str">
        <f>IF(Table1[[#This Row],[Spec Type]]="","N/A",Table1[[#This Row],[Spec Type]])</f>
        <v>±</v>
      </c>
      <c r="AC1237" s="1" t="str">
        <f>IF(Table1[[#This Row],[Spec Type2]]="N/A","N/A",IF(AND(Table1[[#This Row],[DUT Adj Read]]&gt;=Table1[[#This Row],[Low Tol]],Table1[[#This Row],[DUT Adj Read]]&lt;=Table1[[#This Row],[High Tol]]),"Pass","Fail"))</f>
        <v>Fail</v>
      </c>
      <c r="AD1237" s="1" t="str">
        <f>IF(AND(Table1[[#This Row],[Spec Type2]]="N/A",Table1[[#This Row],[DUT Adj Read]]="N/A",Table1[[#This Row],[Std Adj Read]]="N/A"),"N/A",IF(Table1[[#This Row],[DUT Adj Read]]="N/A",IF(Table1[[#This Row],[Std Adj Read]]&gt;Table1[[#This Row],[Low Tol]],"Pass","Fail"),IF(Table1[[#This Row],[DUT Adj Read]]&gt;Table1[[#This Row],[Low Tol]],"Pass","Fail")))</f>
        <v>Pass</v>
      </c>
      <c r="AE1237" s="1" t="str">
        <f>IF(AND(Table1[[#This Row],[Spec Type2]]="N/A",Table1[[#This Row],[DUT Adj Read]]="N/A",Table1[[#This Row],[Std Adj Read]]="N/A"),"N/A",IF(Table1[[#This Row],[DUT Adj Read]]="N/A",IF(Table1[[#This Row],[Std Adj Read]]&lt;Table1[[#This Row],[High Tol]],"Pass","Fail"),IF(Table1[[#This Row],[DUT Adj Read]]&lt;Table1[[#This Row],[High Tol]],"Pass","Fail")))</f>
        <v>Fail</v>
      </c>
      <c r="AF1237" s="1" t="str">
        <f>IF(AND(Table1[[#This Row],[Spec Type2]]="N/A",Table1[[#This Row],[DUT Adj Read]]="N/A",Table1[[#This Row],[Std Adj Read]]="N/A"),"N/A",IF(Table1[[#This Row],[DUT Adj Read]]="N/A",IF(Table1[[#This Row],[Std Adj Read]]&gt;=Table1[[#This Row],[Low Tol]],"Pass","Fail"),IF(Table1[[#This Row],[DUT Adj Read]]&gt;=Table1[[#This Row],[Low Tol]],"Pass","Fail")))</f>
        <v>Pass</v>
      </c>
      <c r="AG1237" s="1" t="str">
        <f>IF(AND(Table1[[#This Row],[Spec Type2]]="N/A",Table1[[#This Row],[DUT Adj Read]]="N/A",Table1[[#This Row],[Std Adj Read]]="N/A"),"N/A",IF(Table1[[#This Row],[DUT Adj Read]]="N/A",IF(Table1[[#This Row],[Std Adj Read]]&lt;=Table1[[#This Row],[High Tol]],"Pass","Fail"),IF(Table1[[#This Row],[DUT Adj Read]]&lt;=Table1[[#This Row],[High Tol]],"Pass","Fail")))</f>
        <v>Fail</v>
      </c>
      <c r="AH12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7" s="1" t="b">
        <v>0</v>
      </c>
      <c r="AN1237" s="1" t="b">
        <v>0</v>
      </c>
      <c r="AO1237" s="1" t="b">
        <v>0</v>
      </c>
    </row>
    <row r="1238" spans="1:41" x14ac:dyDescent="0.25">
      <c r="A1238" s="10"/>
      <c r="B1238" s="10"/>
      <c r="C1238" s="10"/>
      <c r="D1238" s="10"/>
      <c r="E1238" s="10"/>
      <c r="F1238" s="10"/>
      <c r="G1238" s="10"/>
      <c r="H1238" s="10"/>
      <c r="I1238" s="1" t="str">
        <f t="shared" si="57"/>
        <v/>
      </c>
      <c r="J1238" s="1" t="s">
        <v>35</v>
      </c>
      <c r="K1238" s="1" t="str">
        <f t="shared" si="58"/>
        <v/>
      </c>
      <c r="L1238" s="1" t="str">
        <f t="shared" si="59"/>
        <v/>
      </c>
      <c r="M1238" s="1">
        <f>IF(OR(Table1[[#This Row],[Std Nom]]="",Table1[[#This Row],[Std Read]]=""),0,Table1[[#This Row],[Std Nom]]-Table1[[#This Row],[Std Read]])</f>
        <v>0</v>
      </c>
      <c r="N1238" s="1">
        <f>IF(Calculations!$F$5="ACCREDITED 17025 WITH UNCERTAINTIES",$N$10,0)</f>
        <v>0</v>
      </c>
      <c r="Q1238" s="1">
        <f>Table1[[#This Row],[High Tol]]-Table1[[#This Row],[Low Tol]]</f>
        <v>0</v>
      </c>
      <c r="R1238" s="1">
        <f>2*Table1[[#This Row],[Std Error]]</f>
        <v>0</v>
      </c>
      <c r="S1238" s="1" t="str">
        <f>IF(Table1[[#This Row],[High Tol]]="","N/A",IFERROR(ABS(Table1[[#This Row],[Tol Span]]/Table1[[#This Row],[Error Span]]),"N/A"))</f>
        <v>N/A</v>
      </c>
      <c r="T1238" s="1" t="str">
        <f>IF(OR(Table1[[#This Row],[Low Tol]]="",Table1[[#This Row],[High Tol]]=""),"Needs Analysis",IF(Table1[[#This Row],[Ratio]]&gt;=4,"Not Significant",IF(Table1[[#This Row],[Ratio]]&gt;=2,"Semi-Significant","Significant")))</f>
        <v>Needs Analysis</v>
      </c>
      <c r="W1238" s="1">
        <f>IF(Table1[[#This Row],[Cal Type]]&lt;&gt;"ACCREDITED 17025 WITH UNCERTAINTIES",0,"")</f>
        <v>0</v>
      </c>
      <c r="X1238" s="1" t="str">
        <f>IF(Table1[[#This Row],[DUT Read]]="","N/A",Table1[[#This Row],[Std Error]]+Table1[[#This Row],[DUT Read]]+Table1[[#This Row],[DUT Ucty]])</f>
        <v>N/A</v>
      </c>
      <c r="Y1238" s="1" t="str">
        <f>IF(Table1[[#This Row],[Std Read]]="","N/A",Table1[[#This Row],[Std Read]]+Table1[[#This Row],[Std Ucty]])</f>
        <v>N/A</v>
      </c>
      <c r="Z12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8" s="1" t="str">
        <f>IF(Table1[[#This Row],[Spec Type]]="","N/A",Table1[[#This Row],[Spec Type]])</f>
        <v>±</v>
      </c>
      <c r="AC1238" s="1" t="str">
        <f>IF(Table1[[#This Row],[Spec Type2]]="N/A","N/A",IF(AND(Table1[[#This Row],[DUT Adj Read]]&gt;=Table1[[#This Row],[Low Tol]],Table1[[#This Row],[DUT Adj Read]]&lt;=Table1[[#This Row],[High Tol]]),"Pass","Fail"))</f>
        <v>Fail</v>
      </c>
      <c r="AD1238" s="1" t="str">
        <f>IF(AND(Table1[[#This Row],[Spec Type2]]="N/A",Table1[[#This Row],[DUT Adj Read]]="N/A",Table1[[#This Row],[Std Adj Read]]="N/A"),"N/A",IF(Table1[[#This Row],[DUT Adj Read]]="N/A",IF(Table1[[#This Row],[Std Adj Read]]&gt;Table1[[#This Row],[Low Tol]],"Pass","Fail"),IF(Table1[[#This Row],[DUT Adj Read]]&gt;Table1[[#This Row],[Low Tol]],"Pass","Fail")))</f>
        <v>Pass</v>
      </c>
      <c r="AE1238" s="1" t="str">
        <f>IF(AND(Table1[[#This Row],[Spec Type2]]="N/A",Table1[[#This Row],[DUT Adj Read]]="N/A",Table1[[#This Row],[Std Adj Read]]="N/A"),"N/A",IF(Table1[[#This Row],[DUT Adj Read]]="N/A",IF(Table1[[#This Row],[Std Adj Read]]&lt;Table1[[#This Row],[High Tol]],"Pass","Fail"),IF(Table1[[#This Row],[DUT Adj Read]]&lt;Table1[[#This Row],[High Tol]],"Pass","Fail")))</f>
        <v>Fail</v>
      </c>
      <c r="AF1238" s="1" t="str">
        <f>IF(AND(Table1[[#This Row],[Spec Type2]]="N/A",Table1[[#This Row],[DUT Adj Read]]="N/A",Table1[[#This Row],[Std Adj Read]]="N/A"),"N/A",IF(Table1[[#This Row],[DUT Adj Read]]="N/A",IF(Table1[[#This Row],[Std Adj Read]]&gt;=Table1[[#This Row],[Low Tol]],"Pass","Fail"),IF(Table1[[#This Row],[DUT Adj Read]]&gt;=Table1[[#This Row],[Low Tol]],"Pass","Fail")))</f>
        <v>Pass</v>
      </c>
      <c r="AG1238" s="1" t="str">
        <f>IF(AND(Table1[[#This Row],[Spec Type2]]="N/A",Table1[[#This Row],[DUT Adj Read]]="N/A",Table1[[#This Row],[Std Adj Read]]="N/A"),"N/A",IF(Table1[[#This Row],[DUT Adj Read]]="N/A",IF(Table1[[#This Row],[Std Adj Read]]&lt;=Table1[[#This Row],[High Tol]],"Pass","Fail"),IF(Table1[[#This Row],[DUT Adj Read]]&lt;=Table1[[#This Row],[High Tol]],"Pass","Fail")))</f>
        <v>Fail</v>
      </c>
      <c r="AH12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8" s="1" t="b">
        <v>0</v>
      </c>
      <c r="AN1238" s="1" t="b">
        <v>0</v>
      </c>
      <c r="AO1238" s="1" t="b">
        <v>0</v>
      </c>
    </row>
    <row r="1239" spans="1:41" x14ac:dyDescent="0.25">
      <c r="A1239" s="10"/>
      <c r="B1239" s="10"/>
      <c r="C1239" s="10"/>
      <c r="D1239" s="10"/>
      <c r="E1239" s="10"/>
      <c r="F1239" s="10"/>
      <c r="G1239" s="10"/>
      <c r="H1239" s="10"/>
      <c r="I1239" s="1" t="str">
        <f t="shared" si="57"/>
        <v/>
      </c>
      <c r="J1239" s="1" t="s">
        <v>35</v>
      </c>
      <c r="K1239" s="1" t="str">
        <f t="shared" si="58"/>
        <v/>
      </c>
      <c r="L1239" s="1" t="str">
        <f t="shared" si="59"/>
        <v/>
      </c>
      <c r="M1239" s="1">
        <f>IF(OR(Table1[[#This Row],[Std Nom]]="",Table1[[#This Row],[Std Read]]=""),0,Table1[[#This Row],[Std Nom]]-Table1[[#This Row],[Std Read]])</f>
        <v>0</v>
      </c>
      <c r="N1239" s="1">
        <f>IF(Calculations!$F$5="ACCREDITED 17025 WITH UNCERTAINTIES",$N$10,0)</f>
        <v>0</v>
      </c>
      <c r="Q1239" s="1">
        <f>Table1[[#This Row],[High Tol]]-Table1[[#This Row],[Low Tol]]</f>
        <v>0</v>
      </c>
      <c r="R1239" s="1">
        <f>2*Table1[[#This Row],[Std Error]]</f>
        <v>0</v>
      </c>
      <c r="S1239" s="1" t="str">
        <f>IF(Table1[[#This Row],[High Tol]]="","N/A",IFERROR(ABS(Table1[[#This Row],[Tol Span]]/Table1[[#This Row],[Error Span]]),"N/A"))</f>
        <v>N/A</v>
      </c>
      <c r="T1239" s="1" t="str">
        <f>IF(OR(Table1[[#This Row],[Low Tol]]="",Table1[[#This Row],[High Tol]]=""),"Needs Analysis",IF(Table1[[#This Row],[Ratio]]&gt;=4,"Not Significant",IF(Table1[[#This Row],[Ratio]]&gt;=2,"Semi-Significant","Significant")))</f>
        <v>Needs Analysis</v>
      </c>
      <c r="W1239" s="1">
        <f>IF(Table1[[#This Row],[Cal Type]]&lt;&gt;"ACCREDITED 17025 WITH UNCERTAINTIES",0,"")</f>
        <v>0</v>
      </c>
      <c r="X1239" s="1" t="str">
        <f>IF(Table1[[#This Row],[DUT Read]]="","N/A",Table1[[#This Row],[Std Error]]+Table1[[#This Row],[DUT Read]]+Table1[[#This Row],[DUT Ucty]])</f>
        <v>N/A</v>
      </c>
      <c r="Y1239" s="1" t="str">
        <f>IF(Table1[[#This Row],[Std Read]]="","N/A",Table1[[#This Row],[Std Read]]+Table1[[#This Row],[Std Ucty]])</f>
        <v>N/A</v>
      </c>
      <c r="Z12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39" s="1" t="str">
        <f>IF(Table1[[#This Row],[Spec Type]]="","N/A",Table1[[#This Row],[Spec Type]])</f>
        <v>±</v>
      </c>
      <c r="AC1239" s="1" t="str">
        <f>IF(Table1[[#This Row],[Spec Type2]]="N/A","N/A",IF(AND(Table1[[#This Row],[DUT Adj Read]]&gt;=Table1[[#This Row],[Low Tol]],Table1[[#This Row],[DUT Adj Read]]&lt;=Table1[[#This Row],[High Tol]]),"Pass","Fail"))</f>
        <v>Fail</v>
      </c>
      <c r="AD1239" s="1" t="str">
        <f>IF(AND(Table1[[#This Row],[Spec Type2]]="N/A",Table1[[#This Row],[DUT Adj Read]]="N/A",Table1[[#This Row],[Std Adj Read]]="N/A"),"N/A",IF(Table1[[#This Row],[DUT Adj Read]]="N/A",IF(Table1[[#This Row],[Std Adj Read]]&gt;Table1[[#This Row],[Low Tol]],"Pass","Fail"),IF(Table1[[#This Row],[DUT Adj Read]]&gt;Table1[[#This Row],[Low Tol]],"Pass","Fail")))</f>
        <v>Pass</v>
      </c>
      <c r="AE1239" s="1" t="str">
        <f>IF(AND(Table1[[#This Row],[Spec Type2]]="N/A",Table1[[#This Row],[DUT Adj Read]]="N/A",Table1[[#This Row],[Std Adj Read]]="N/A"),"N/A",IF(Table1[[#This Row],[DUT Adj Read]]="N/A",IF(Table1[[#This Row],[Std Adj Read]]&lt;Table1[[#This Row],[High Tol]],"Pass","Fail"),IF(Table1[[#This Row],[DUT Adj Read]]&lt;Table1[[#This Row],[High Tol]],"Pass","Fail")))</f>
        <v>Fail</v>
      </c>
      <c r="AF1239" s="1" t="str">
        <f>IF(AND(Table1[[#This Row],[Spec Type2]]="N/A",Table1[[#This Row],[DUT Adj Read]]="N/A",Table1[[#This Row],[Std Adj Read]]="N/A"),"N/A",IF(Table1[[#This Row],[DUT Adj Read]]="N/A",IF(Table1[[#This Row],[Std Adj Read]]&gt;=Table1[[#This Row],[Low Tol]],"Pass","Fail"),IF(Table1[[#This Row],[DUT Adj Read]]&gt;=Table1[[#This Row],[Low Tol]],"Pass","Fail")))</f>
        <v>Pass</v>
      </c>
      <c r="AG1239" s="1" t="str">
        <f>IF(AND(Table1[[#This Row],[Spec Type2]]="N/A",Table1[[#This Row],[DUT Adj Read]]="N/A",Table1[[#This Row],[Std Adj Read]]="N/A"),"N/A",IF(Table1[[#This Row],[DUT Adj Read]]="N/A",IF(Table1[[#This Row],[Std Adj Read]]&lt;=Table1[[#This Row],[High Tol]],"Pass","Fail"),IF(Table1[[#This Row],[DUT Adj Read]]&lt;=Table1[[#This Row],[High Tol]],"Pass","Fail")))</f>
        <v>Fail</v>
      </c>
      <c r="AH12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39" s="1" t="b">
        <v>0</v>
      </c>
      <c r="AN1239" s="1" t="b">
        <v>0</v>
      </c>
      <c r="AO1239" s="1" t="b">
        <v>0</v>
      </c>
    </row>
    <row r="1240" spans="1:41" x14ac:dyDescent="0.25">
      <c r="A1240" s="10"/>
      <c r="B1240" s="10"/>
      <c r="C1240" s="10"/>
      <c r="D1240" s="10"/>
      <c r="E1240" s="10"/>
      <c r="F1240" s="10"/>
      <c r="G1240" s="10"/>
      <c r="H1240" s="10"/>
      <c r="I1240" s="1" t="str">
        <f t="shared" si="57"/>
        <v/>
      </c>
      <c r="J1240" s="1" t="s">
        <v>35</v>
      </c>
      <c r="K1240" s="1" t="str">
        <f t="shared" si="58"/>
        <v/>
      </c>
      <c r="L1240" s="1" t="str">
        <f t="shared" si="59"/>
        <v/>
      </c>
      <c r="M1240" s="1">
        <f>IF(OR(Table1[[#This Row],[Std Nom]]="",Table1[[#This Row],[Std Read]]=""),0,Table1[[#This Row],[Std Nom]]-Table1[[#This Row],[Std Read]])</f>
        <v>0</v>
      </c>
      <c r="N1240" s="1">
        <f>IF(Calculations!$F$5="ACCREDITED 17025 WITH UNCERTAINTIES",$N$10,0)</f>
        <v>0</v>
      </c>
      <c r="Q1240" s="1">
        <f>Table1[[#This Row],[High Tol]]-Table1[[#This Row],[Low Tol]]</f>
        <v>0</v>
      </c>
      <c r="R1240" s="1">
        <f>2*Table1[[#This Row],[Std Error]]</f>
        <v>0</v>
      </c>
      <c r="S1240" s="1" t="str">
        <f>IF(Table1[[#This Row],[High Tol]]="","N/A",IFERROR(ABS(Table1[[#This Row],[Tol Span]]/Table1[[#This Row],[Error Span]]),"N/A"))</f>
        <v>N/A</v>
      </c>
      <c r="T1240" s="1" t="str">
        <f>IF(OR(Table1[[#This Row],[Low Tol]]="",Table1[[#This Row],[High Tol]]=""),"Needs Analysis",IF(Table1[[#This Row],[Ratio]]&gt;=4,"Not Significant",IF(Table1[[#This Row],[Ratio]]&gt;=2,"Semi-Significant","Significant")))</f>
        <v>Needs Analysis</v>
      </c>
      <c r="W1240" s="1">
        <f>IF(Table1[[#This Row],[Cal Type]]&lt;&gt;"ACCREDITED 17025 WITH UNCERTAINTIES",0,"")</f>
        <v>0</v>
      </c>
      <c r="X1240" s="1" t="str">
        <f>IF(Table1[[#This Row],[DUT Read]]="","N/A",Table1[[#This Row],[Std Error]]+Table1[[#This Row],[DUT Read]]+Table1[[#This Row],[DUT Ucty]])</f>
        <v>N/A</v>
      </c>
      <c r="Y1240" s="1" t="str">
        <f>IF(Table1[[#This Row],[Std Read]]="","N/A",Table1[[#This Row],[Std Read]]+Table1[[#This Row],[Std Ucty]])</f>
        <v>N/A</v>
      </c>
      <c r="Z12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0" s="1" t="str">
        <f>IF(Table1[[#This Row],[Spec Type]]="","N/A",Table1[[#This Row],[Spec Type]])</f>
        <v>±</v>
      </c>
      <c r="AC1240" s="1" t="str">
        <f>IF(Table1[[#This Row],[Spec Type2]]="N/A","N/A",IF(AND(Table1[[#This Row],[DUT Adj Read]]&gt;=Table1[[#This Row],[Low Tol]],Table1[[#This Row],[DUT Adj Read]]&lt;=Table1[[#This Row],[High Tol]]),"Pass","Fail"))</f>
        <v>Fail</v>
      </c>
      <c r="AD1240" s="1" t="str">
        <f>IF(AND(Table1[[#This Row],[Spec Type2]]="N/A",Table1[[#This Row],[DUT Adj Read]]="N/A",Table1[[#This Row],[Std Adj Read]]="N/A"),"N/A",IF(Table1[[#This Row],[DUT Adj Read]]="N/A",IF(Table1[[#This Row],[Std Adj Read]]&gt;Table1[[#This Row],[Low Tol]],"Pass","Fail"),IF(Table1[[#This Row],[DUT Adj Read]]&gt;Table1[[#This Row],[Low Tol]],"Pass","Fail")))</f>
        <v>Pass</v>
      </c>
      <c r="AE1240" s="1" t="str">
        <f>IF(AND(Table1[[#This Row],[Spec Type2]]="N/A",Table1[[#This Row],[DUT Adj Read]]="N/A",Table1[[#This Row],[Std Adj Read]]="N/A"),"N/A",IF(Table1[[#This Row],[DUT Adj Read]]="N/A",IF(Table1[[#This Row],[Std Adj Read]]&lt;Table1[[#This Row],[High Tol]],"Pass","Fail"),IF(Table1[[#This Row],[DUT Adj Read]]&lt;Table1[[#This Row],[High Tol]],"Pass","Fail")))</f>
        <v>Fail</v>
      </c>
      <c r="AF1240" s="1" t="str">
        <f>IF(AND(Table1[[#This Row],[Spec Type2]]="N/A",Table1[[#This Row],[DUT Adj Read]]="N/A",Table1[[#This Row],[Std Adj Read]]="N/A"),"N/A",IF(Table1[[#This Row],[DUT Adj Read]]="N/A",IF(Table1[[#This Row],[Std Adj Read]]&gt;=Table1[[#This Row],[Low Tol]],"Pass","Fail"),IF(Table1[[#This Row],[DUT Adj Read]]&gt;=Table1[[#This Row],[Low Tol]],"Pass","Fail")))</f>
        <v>Pass</v>
      </c>
      <c r="AG1240" s="1" t="str">
        <f>IF(AND(Table1[[#This Row],[Spec Type2]]="N/A",Table1[[#This Row],[DUT Adj Read]]="N/A",Table1[[#This Row],[Std Adj Read]]="N/A"),"N/A",IF(Table1[[#This Row],[DUT Adj Read]]="N/A",IF(Table1[[#This Row],[Std Adj Read]]&lt;=Table1[[#This Row],[High Tol]],"Pass","Fail"),IF(Table1[[#This Row],[DUT Adj Read]]&lt;=Table1[[#This Row],[High Tol]],"Pass","Fail")))</f>
        <v>Fail</v>
      </c>
      <c r="AH12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0" s="1" t="b">
        <v>0</v>
      </c>
      <c r="AN1240" s="1" t="b">
        <v>0</v>
      </c>
      <c r="AO1240" s="1" t="b">
        <v>0</v>
      </c>
    </row>
    <row r="1241" spans="1:41" x14ac:dyDescent="0.25">
      <c r="A1241" s="10"/>
      <c r="B1241" s="10"/>
      <c r="C1241" s="10"/>
      <c r="D1241" s="10"/>
      <c r="E1241" s="10"/>
      <c r="F1241" s="10"/>
      <c r="G1241" s="10"/>
      <c r="H1241" s="10"/>
      <c r="I1241" s="1" t="str">
        <f t="shared" si="57"/>
        <v/>
      </c>
      <c r="J1241" s="1" t="s">
        <v>35</v>
      </c>
      <c r="K1241" s="1" t="str">
        <f t="shared" si="58"/>
        <v/>
      </c>
      <c r="L1241" s="1" t="str">
        <f t="shared" si="59"/>
        <v/>
      </c>
      <c r="M1241" s="1">
        <f>IF(OR(Table1[[#This Row],[Std Nom]]="",Table1[[#This Row],[Std Read]]=""),0,Table1[[#This Row],[Std Nom]]-Table1[[#This Row],[Std Read]])</f>
        <v>0</v>
      </c>
      <c r="N1241" s="1">
        <f>IF(Calculations!$F$5="ACCREDITED 17025 WITH UNCERTAINTIES",$N$10,0)</f>
        <v>0</v>
      </c>
      <c r="Q1241" s="1">
        <f>Table1[[#This Row],[High Tol]]-Table1[[#This Row],[Low Tol]]</f>
        <v>0</v>
      </c>
      <c r="R1241" s="1">
        <f>2*Table1[[#This Row],[Std Error]]</f>
        <v>0</v>
      </c>
      <c r="S1241" s="1" t="str">
        <f>IF(Table1[[#This Row],[High Tol]]="","N/A",IFERROR(ABS(Table1[[#This Row],[Tol Span]]/Table1[[#This Row],[Error Span]]),"N/A"))</f>
        <v>N/A</v>
      </c>
      <c r="T1241" s="1" t="str">
        <f>IF(OR(Table1[[#This Row],[Low Tol]]="",Table1[[#This Row],[High Tol]]=""),"Needs Analysis",IF(Table1[[#This Row],[Ratio]]&gt;=4,"Not Significant",IF(Table1[[#This Row],[Ratio]]&gt;=2,"Semi-Significant","Significant")))</f>
        <v>Needs Analysis</v>
      </c>
      <c r="W1241" s="1">
        <f>IF(Table1[[#This Row],[Cal Type]]&lt;&gt;"ACCREDITED 17025 WITH UNCERTAINTIES",0,"")</f>
        <v>0</v>
      </c>
      <c r="X1241" s="1" t="str">
        <f>IF(Table1[[#This Row],[DUT Read]]="","N/A",Table1[[#This Row],[Std Error]]+Table1[[#This Row],[DUT Read]]+Table1[[#This Row],[DUT Ucty]])</f>
        <v>N/A</v>
      </c>
      <c r="Y1241" s="1" t="str">
        <f>IF(Table1[[#This Row],[Std Read]]="","N/A",Table1[[#This Row],[Std Read]]+Table1[[#This Row],[Std Ucty]])</f>
        <v>N/A</v>
      </c>
      <c r="Z12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1" s="1" t="str">
        <f>IF(Table1[[#This Row],[Spec Type]]="","N/A",Table1[[#This Row],[Spec Type]])</f>
        <v>±</v>
      </c>
      <c r="AC1241" s="1" t="str">
        <f>IF(Table1[[#This Row],[Spec Type2]]="N/A","N/A",IF(AND(Table1[[#This Row],[DUT Adj Read]]&gt;=Table1[[#This Row],[Low Tol]],Table1[[#This Row],[DUT Adj Read]]&lt;=Table1[[#This Row],[High Tol]]),"Pass","Fail"))</f>
        <v>Fail</v>
      </c>
      <c r="AD1241" s="1" t="str">
        <f>IF(AND(Table1[[#This Row],[Spec Type2]]="N/A",Table1[[#This Row],[DUT Adj Read]]="N/A",Table1[[#This Row],[Std Adj Read]]="N/A"),"N/A",IF(Table1[[#This Row],[DUT Adj Read]]="N/A",IF(Table1[[#This Row],[Std Adj Read]]&gt;Table1[[#This Row],[Low Tol]],"Pass","Fail"),IF(Table1[[#This Row],[DUT Adj Read]]&gt;Table1[[#This Row],[Low Tol]],"Pass","Fail")))</f>
        <v>Pass</v>
      </c>
      <c r="AE1241" s="1" t="str">
        <f>IF(AND(Table1[[#This Row],[Spec Type2]]="N/A",Table1[[#This Row],[DUT Adj Read]]="N/A",Table1[[#This Row],[Std Adj Read]]="N/A"),"N/A",IF(Table1[[#This Row],[DUT Adj Read]]="N/A",IF(Table1[[#This Row],[Std Adj Read]]&lt;Table1[[#This Row],[High Tol]],"Pass","Fail"),IF(Table1[[#This Row],[DUT Adj Read]]&lt;Table1[[#This Row],[High Tol]],"Pass","Fail")))</f>
        <v>Fail</v>
      </c>
      <c r="AF1241" s="1" t="str">
        <f>IF(AND(Table1[[#This Row],[Spec Type2]]="N/A",Table1[[#This Row],[DUT Adj Read]]="N/A",Table1[[#This Row],[Std Adj Read]]="N/A"),"N/A",IF(Table1[[#This Row],[DUT Adj Read]]="N/A",IF(Table1[[#This Row],[Std Adj Read]]&gt;=Table1[[#This Row],[Low Tol]],"Pass","Fail"),IF(Table1[[#This Row],[DUT Adj Read]]&gt;=Table1[[#This Row],[Low Tol]],"Pass","Fail")))</f>
        <v>Pass</v>
      </c>
      <c r="AG1241" s="1" t="str">
        <f>IF(AND(Table1[[#This Row],[Spec Type2]]="N/A",Table1[[#This Row],[DUT Adj Read]]="N/A",Table1[[#This Row],[Std Adj Read]]="N/A"),"N/A",IF(Table1[[#This Row],[DUT Adj Read]]="N/A",IF(Table1[[#This Row],[Std Adj Read]]&lt;=Table1[[#This Row],[High Tol]],"Pass","Fail"),IF(Table1[[#This Row],[DUT Adj Read]]&lt;=Table1[[#This Row],[High Tol]],"Pass","Fail")))</f>
        <v>Fail</v>
      </c>
      <c r="AH12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1" s="1" t="b">
        <v>0</v>
      </c>
      <c r="AN1241" s="1" t="b">
        <v>0</v>
      </c>
      <c r="AO1241" s="1" t="b">
        <v>0</v>
      </c>
    </row>
    <row r="1242" spans="1:41" x14ac:dyDescent="0.25">
      <c r="A1242" s="10"/>
      <c r="B1242" s="10"/>
      <c r="C1242" s="10"/>
      <c r="D1242" s="10"/>
      <c r="E1242" s="10"/>
      <c r="F1242" s="10"/>
      <c r="G1242" s="10"/>
      <c r="H1242" s="10"/>
      <c r="I1242" s="1" t="str">
        <f t="shared" si="57"/>
        <v/>
      </c>
      <c r="J1242" s="1" t="s">
        <v>35</v>
      </c>
      <c r="K1242" s="1" t="str">
        <f t="shared" si="58"/>
        <v/>
      </c>
      <c r="L1242" s="1" t="str">
        <f t="shared" si="59"/>
        <v/>
      </c>
      <c r="M1242" s="1">
        <f>IF(OR(Table1[[#This Row],[Std Nom]]="",Table1[[#This Row],[Std Read]]=""),0,Table1[[#This Row],[Std Nom]]-Table1[[#This Row],[Std Read]])</f>
        <v>0</v>
      </c>
      <c r="N1242" s="1">
        <f>IF(Calculations!$F$5="ACCREDITED 17025 WITH UNCERTAINTIES",$N$10,0)</f>
        <v>0</v>
      </c>
      <c r="Q1242" s="1">
        <f>Table1[[#This Row],[High Tol]]-Table1[[#This Row],[Low Tol]]</f>
        <v>0</v>
      </c>
      <c r="R1242" s="1">
        <f>2*Table1[[#This Row],[Std Error]]</f>
        <v>0</v>
      </c>
      <c r="S1242" s="1" t="str">
        <f>IF(Table1[[#This Row],[High Tol]]="","N/A",IFERROR(ABS(Table1[[#This Row],[Tol Span]]/Table1[[#This Row],[Error Span]]),"N/A"))</f>
        <v>N/A</v>
      </c>
      <c r="T1242" s="1" t="str">
        <f>IF(OR(Table1[[#This Row],[Low Tol]]="",Table1[[#This Row],[High Tol]]=""),"Needs Analysis",IF(Table1[[#This Row],[Ratio]]&gt;=4,"Not Significant",IF(Table1[[#This Row],[Ratio]]&gt;=2,"Semi-Significant","Significant")))</f>
        <v>Needs Analysis</v>
      </c>
      <c r="W1242" s="1">
        <f>IF(Table1[[#This Row],[Cal Type]]&lt;&gt;"ACCREDITED 17025 WITH UNCERTAINTIES",0,"")</f>
        <v>0</v>
      </c>
      <c r="X1242" s="1" t="str">
        <f>IF(Table1[[#This Row],[DUT Read]]="","N/A",Table1[[#This Row],[Std Error]]+Table1[[#This Row],[DUT Read]]+Table1[[#This Row],[DUT Ucty]])</f>
        <v>N/A</v>
      </c>
      <c r="Y1242" s="1" t="str">
        <f>IF(Table1[[#This Row],[Std Read]]="","N/A",Table1[[#This Row],[Std Read]]+Table1[[#This Row],[Std Ucty]])</f>
        <v>N/A</v>
      </c>
      <c r="Z12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2" s="1" t="str">
        <f>IF(Table1[[#This Row],[Spec Type]]="","N/A",Table1[[#This Row],[Spec Type]])</f>
        <v>±</v>
      </c>
      <c r="AC1242" s="1" t="str">
        <f>IF(Table1[[#This Row],[Spec Type2]]="N/A","N/A",IF(AND(Table1[[#This Row],[DUT Adj Read]]&gt;=Table1[[#This Row],[Low Tol]],Table1[[#This Row],[DUT Adj Read]]&lt;=Table1[[#This Row],[High Tol]]),"Pass","Fail"))</f>
        <v>Fail</v>
      </c>
      <c r="AD1242" s="1" t="str">
        <f>IF(AND(Table1[[#This Row],[Spec Type2]]="N/A",Table1[[#This Row],[DUT Adj Read]]="N/A",Table1[[#This Row],[Std Adj Read]]="N/A"),"N/A",IF(Table1[[#This Row],[DUT Adj Read]]="N/A",IF(Table1[[#This Row],[Std Adj Read]]&gt;Table1[[#This Row],[Low Tol]],"Pass","Fail"),IF(Table1[[#This Row],[DUT Adj Read]]&gt;Table1[[#This Row],[Low Tol]],"Pass","Fail")))</f>
        <v>Pass</v>
      </c>
      <c r="AE1242" s="1" t="str">
        <f>IF(AND(Table1[[#This Row],[Spec Type2]]="N/A",Table1[[#This Row],[DUT Adj Read]]="N/A",Table1[[#This Row],[Std Adj Read]]="N/A"),"N/A",IF(Table1[[#This Row],[DUT Adj Read]]="N/A",IF(Table1[[#This Row],[Std Adj Read]]&lt;Table1[[#This Row],[High Tol]],"Pass","Fail"),IF(Table1[[#This Row],[DUT Adj Read]]&lt;Table1[[#This Row],[High Tol]],"Pass","Fail")))</f>
        <v>Fail</v>
      </c>
      <c r="AF1242" s="1" t="str">
        <f>IF(AND(Table1[[#This Row],[Spec Type2]]="N/A",Table1[[#This Row],[DUT Adj Read]]="N/A",Table1[[#This Row],[Std Adj Read]]="N/A"),"N/A",IF(Table1[[#This Row],[DUT Adj Read]]="N/A",IF(Table1[[#This Row],[Std Adj Read]]&gt;=Table1[[#This Row],[Low Tol]],"Pass","Fail"),IF(Table1[[#This Row],[DUT Adj Read]]&gt;=Table1[[#This Row],[Low Tol]],"Pass","Fail")))</f>
        <v>Pass</v>
      </c>
      <c r="AG1242" s="1" t="str">
        <f>IF(AND(Table1[[#This Row],[Spec Type2]]="N/A",Table1[[#This Row],[DUT Adj Read]]="N/A",Table1[[#This Row],[Std Adj Read]]="N/A"),"N/A",IF(Table1[[#This Row],[DUT Adj Read]]="N/A",IF(Table1[[#This Row],[Std Adj Read]]&lt;=Table1[[#This Row],[High Tol]],"Pass","Fail"),IF(Table1[[#This Row],[DUT Adj Read]]&lt;=Table1[[#This Row],[High Tol]],"Pass","Fail")))</f>
        <v>Fail</v>
      </c>
      <c r="AH12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2" s="1" t="b">
        <v>0</v>
      </c>
      <c r="AN1242" s="1" t="b">
        <v>0</v>
      </c>
      <c r="AO1242" s="1" t="b">
        <v>0</v>
      </c>
    </row>
    <row r="1243" spans="1:41" x14ac:dyDescent="0.25">
      <c r="A1243" s="10"/>
      <c r="B1243" s="10"/>
      <c r="C1243" s="10"/>
      <c r="D1243" s="10"/>
      <c r="E1243" s="10"/>
      <c r="F1243" s="10"/>
      <c r="G1243" s="10"/>
      <c r="H1243" s="10"/>
      <c r="I1243" s="1" t="str">
        <f t="shared" si="57"/>
        <v/>
      </c>
      <c r="J1243" s="1" t="s">
        <v>35</v>
      </c>
      <c r="K1243" s="1" t="str">
        <f t="shared" si="58"/>
        <v/>
      </c>
      <c r="L1243" s="1" t="str">
        <f t="shared" si="59"/>
        <v/>
      </c>
      <c r="M1243" s="1">
        <f>IF(OR(Table1[[#This Row],[Std Nom]]="",Table1[[#This Row],[Std Read]]=""),0,Table1[[#This Row],[Std Nom]]-Table1[[#This Row],[Std Read]])</f>
        <v>0</v>
      </c>
      <c r="N1243" s="1">
        <f>IF(Calculations!$F$5="ACCREDITED 17025 WITH UNCERTAINTIES",$N$10,0)</f>
        <v>0</v>
      </c>
      <c r="Q1243" s="1">
        <f>Table1[[#This Row],[High Tol]]-Table1[[#This Row],[Low Tol]]</f>
        <v>0</v>
      </c>
      <c r="R1243" s="1">
        <f>2*Table1[[#This Row],[Std Error]]</f>
        <v>0</v>
      </c>
      <c r="S1243" s="1" t="str">
        <f>IF(Table1[[#This Row],[High Tol]]="","N/A",IFERROR(ABS(Table1[[#This Row],[Tol Span]]/Table1[[#This Row],[Error Span]]),"N/A"))</f>
        <v>N/A</v>
      </c>
      <c r="T1243" s="1" t="str">
        <f>IF(OR(Table1[[#This Row],[Low Tol]]="",Table1[[#This Row],[High Tol]]=""),"Needs Analysis",IF(Table1[[#This Row],[Ratio]]&gt;=4,"Not Significant",IF(Table1[[#This Row],[Ratio]]&gt;=2,"Semi-Significant","Significant")))</f>
        <v>Needs Analysis</v>
      </c>
      <c r="W1243" s="1">
        <f>IF(Table1[[#This Row],[Cal Type]]&lt;&gt;"ACCREDITED 17025 WITH UNCERTAINTIES",0,"")</f>
        <v>0</v>
      </c>
      <c r="X1243" s="1" t="str">
        <f>IF(Table1[[#This Row],[DUT Read]]="","N/A",Table1[[#This Row],[Std Error]]+Table1[[#This Row],[DUT Read]]+Table1[[#This Row],[DUT Ucty]])</f>
        <v>N/A</v>
      </c>
      <c r="Y1243" s="1" t="str">
        <f>IF(Table1[[#This Row],[Std Read]]="","N/A",Table1[[#This Row],[Std Read]]+Table1[[#This Row],[Std Ucty]])</f>
        <v>N/A</v>
      </c>
      <c r="Z12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3" s="1" t="str">
        <f>IF(Table1[[#This Row],[Spec Type]]="","N/A",Table1[[#This Row],[Spec Type]])</f>
        <v>±</v>
      </c>
      <c r="AC1243" s="1" t="str">
        <f>IF(Table1[[#This Row],[Spec Type2]]="N/A","N/A",IF(AND(Table1[[#This Row],[DUT Adj Read]]&gt;=Table1[[#This Row],[Low Tol]],Table1[[#This Row],[DUT Adj Read]]&lt;=Table1[[#This Row],[High Tol]]),"Pass","Fail"))</f>
        <v>Fail</v>
      </c>
      <c r="AD1243" s="1" t="str">
        <f>IF(AND(Table1[[#This Row],[Spec Type2]]="N/A",Table1[[#This Row],[DUT Adj Read]]="N/A",Table1[[#This Row],[Std Adj Read]]="N/A"),"N/A",IF(Table1[[#This Row],[DUT Adj Read]]="N/A",IF(Table1[[#This Row],[Std Adj Read]]&gt;Table1[[#This Row],[Low Tol]],"Pass","Fail"),IF(Table1[[#This Row],[DUT Adj Read]]&gt;Table1[[#This Row],[Low Tol]],"Pass","Fail")))</f>
        <v>Pass</v>
      </c>
      <c r="AE1243" s="1" t="str">
        <f>IF(AND(Table1[[#This Row],[Spec Type2]]="N/A",Table1[[#This Row],[DUT Adj Read]]="N/A",Table1[[#This Row],[Std Adj Read]]="N/A"),"N/A",IF(Table1[[#This Row],[DUT Adj Read]]="N/A",IF(Table1[[#This Row],[Std Adj Read]]&lt;Table1[[#This Row],[High Tol]],"Pass","Fail"),IF(Table1[[#This Row],[DUT Adj Read]]&lt;Table1[[#This Row],[High Tol]],"Pass","Fail")))</f>
        <v>Fail</v>
      </c>
      <c r="AF1243" s="1" t="str">
        <f>IF(AND(Table1[[#This Row],[Spec Type2]]="N/A",Table1[[#This Row],[DUT Adj Read]]="N/A",Table1[[#This Row],[Std Adj Read]]="N/A"),"N/A",IF(Table1[[#This Row],[DUT Adj Read]]="N/A",IF(Table1[[#This Row],[Std Adj Read]]&gt;=Table1[[#This Row],[Low Tol]],"Pass","Fail"),IF(Table1[[#This Row],[DUT Adj Read]]&gt;=Table1[[#This Row],[Low Tol]],"Pass","Fail")))</f>
        <v>Pass</v>
      </c>
      <c r="AG1243" s="1" t="str">
        <f>IF(AND(Table1[[#This Row],[Spec Type2]]="N/A",Table1[[#This Row],[DUT Adj Read]]="N/A",Table1[[#This Row],[Std Adj Read]]="N/A"),"N/A",IF(Table1[[#This Row],[DUT Adj Read]]="N/A",IF(Table1[[#This Row],[Std Adj Read]]&lt;=Table1[[#This Row],[High Tol]],"Pass","Fail"),IF(Table1[[#This Row],[DUT Adj Read]]&lt;=Table1[[#This Row],[High Tol]],"Pass","Fail")))</f>
        <v>Fail</v>
      </c>
      <c r="AH12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3" s="1" t="b">
        <v>0</v>
      </c>
      <c r="AN1243" s="1" t="b">
        <v>0</v>
      </c>
      <c r="AO1243" s="1" t="b">
        <v>0</v>
      </c>
    </row>
    <row r="1244" spans="1:41" x14ac:dyDescent="0.25">
      <c r="A1244" s="10"/>
      <c r="B1244" s="10"/>
      <c r="C1244" s="10"/>
      <c r="D1244" s="10"/>
      <c r="E1244" s="10"/>
      <c r="F1244" s="10"/>
      <c r="G1244" s="10"/>
      <c r="H1244" s="10"/>
      <c r="I1244" s="1" t="str">
        <f t="shared" si="57"/>
        <v/>
      </c>
      <c r="J1244" s="1" t="s">
        <v>35</v>
      </c>
      <c r="K1244" s="1" t="str">
        <f t="shared" si="58"/>
        <v/>
      </c>
      <c r="L1244" s="1" t="str">
        <f t="shared" si="59"/>
        <v/>
      </c>
      <c r="M1244" s="1">
        <f>IF(OR(Table1[[#This Row],[Std Nom]]="",Table1[[#This Row],[Std Read]]=""),0,Table1[[#This Row],[Std Nom]]-Table1[[#This Row],[Std Read]])</f>
        <v>0</v>
      </c>
      <c r="N1244" s="1">
        <f>IF(Calculations!$F$5="ACCREDITED 17025 WITH UNCERTAINTIES",$N$10,0)</f>
        <v>0</v>
      </c>
      <c r="Q1244" s="1">
        <f>Table1[[#This Row],[High Tol]]-Table1[[#This Row],[Low Tol]]</f>
        <v>0</v>
      </c>
      <c r="R1244" s="1">
        <f>2*Table1[[#This Row],[Std Error]]</f>
        <v>0</v>
      </c>
      <c r="S1244" s="1" t="str">
        <f>IF(Table1[[#This Row],[High Tol]]="","N/A",IFERROR(ABS(Table1[[#This Row],[Tol Span]]/Table1[[#This Row],[Error Span]]),"N/A"))</f>
        <v>N/A</v>
      </c>
      <c r="T1244" s="1" t="str">
        <f>IF(OR(Table1[[#This Row],[Low Tol]]="",Table1[[#This Row],[High Tol]]=""),"Needs Analysis",IF(Table1[[#This Row],[Ratio]]&gt;=4,"Not Significant",IF(Table1[[#This Row],[Ratio]]&gt;=2,"Semi-Significant","Significant")))</f>
        <v>Needs Analysis</v>
      </c>
      <c r="W1244" s="1">
        <f>IF(Table1[[#This Row],[Cal Type]]&lt;&gt;"ACCREDITED 17025 WITH UNCERTAINTIES",0,"")</f>
        <v>0</v>
      </c>
      <c r="X1244" s="1" t="str">
        <f>IF(Table1[[#This Row],[DUT Read]]="","N/A",Table1[[#This Row],[Std Error]]+Table1[[#This Row],[DUT Read]]+Table1[[#This Row],[DUT Ucty]])</f>
        <v>N/A</v>
      </c>
      <c r="Y1244" s="1" t="str">
        <f>IF(Table1[[#This Row],[Std Read]]="","N/A",Table1[[#This Row],[Std Read]]+Table1[[#This Row],[Std Ucty]])</f>
        <v>N/A</v>
      </c>
      <c r="Z12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4" s="1" t="str">
        <f>IF(Table1[[#This Row],[Spec Type]]="","N/A",Table1[[#This Row],[Spec Type]])</f>
        <v>±</v>
      </c>
      <c r="AC1244" s="1" t="str">
        <f>IF(Table1[[#This Row],[Spec Type2]]="N/A","N/A",IF(AND(Table1[[#This Row],[DUT Adj Read]]&gt;=Table1[[#This Row],[Low Tol]],Table1[[#This Row],[DUT Adj Read]]&lt;=Table1[[#This Row],[High Tol]]),"Pass","Fail"))</f>
        <v>Fail</v>
      </c>
      <c r="AD1244" s="1" t="str">
        <f>IF(AND(Table1[[#This Row],[Spec Type2]]="N/A",Table1[[#This Row],[DUT Adj Read]]="N/A",Table1[[#This Row],[Std Adj Read]]="N/A"),"N/A",IF(Table1[[#This Row],[DUT Adj Read]]="N/A",IF(Table1[[#This Row],[Std Adj Read]]&gt;Table1[[#This Row],[Low Tol]],"Pass","Fail"),IF(Table1[[#This Row],[DUT Adj Read]]&gt;Table1[[#This Row],[Low Tol]],"Pass","Fail")))</f>
        <v>Pass</v>
      </c>
      <c r="AE1244" s="1" t="str">
        <f>IF(AND(Table1[[#This Row],[Spec Type2]]="N/A",Table1[[#This Row],[DUT Adj Read]]="N/A",Table1[[#This Row],[Std Adj Read]]="N/A"),"N/A",IF(Table1[[#This Row],[DUT Adj Read]]="N/A",IF(Table1[[#This Row],[Std Adj Read]]&lt;Table1[[#This Row],[High Tol]],"Pass","Fail"),IF(Table1[[#This Row],[DUT Adj Read]]&lt;Table1[[#This Row],[High Tol]],"Pass","Fail")))</f>
        <v>Fail</v>
      </c>
      <c r="AF1244" s="1" t="str">
        <f>IF(AND(Table1[[#This Row],[Spec Type2]]="N/A",Table1[[#This Row],[DUT Adj Read]]="N/A",Table1[[#This Row],[Std Adj Read]]="N/A"),"N/A",IF(Table1[[#This Row],[DUT Adj Read]]="N/A",IF(Table1[[#This Row],[Std Adj Read]]&gt;=Table1[[#This Row],[Low Tol]],"Pass","Fail"),IF(Table1[[#This Row],[DUT Adj Read]]&gt;=Table1[[#This Row],[Low Tol]],"Pass","Fail")))</f>
        <v>Pass</v>
      </c>
      <c r="AG1244" s="1" t="str">
        <f>IF(AND(Table1[[#This Row],[Spec Type2]]="N/A",Table1[[#This Row],[DUT Adj Read]]="N/A",Table1[[#This Row],[Std Adj Read]]="N/A"),"N/A",IF(Table1[[#This Row],[DUT Adj Read]]="N/A",IF(Table1[[#This Row],[Std Adj Read]]&lt;=Table1[[#This Row],[High Tol]],"Pass","Fail"),IF(Table1[[#This Row],[DUT Adj Read]]&lt;=Table1[[#This Row],[High Tol]],"Pass","Fail")))</f>
        <v>Fail</v>
      </c>
      <c r="AH12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4" s="1" t="b">
        <v>0</v>
      </c>
      <c r="AN1244" s="1" t="b">
        <v>0</v>
      </c>
      <c r="AO1244" s="1" t="b">
        <v>0</v>
      </c>
    </row>
    <row r="1245" spans="1:41" x14ac:dyDescent="0.25">
      <c r="A1245" s="10"/>
      <c r="B1245" s="10"/>
      <c r="C1245" s="10"/>
      <c r="D1245" s="10"/>
      <c r="E1245" s="10"/>
      <c r="F1245" s="10"/>
      <c r="G1245" s="10"/>
      <c r="H1245" s="10"/>
      <c r="I1245" s="1" t="str">
        <f t="shared" si="57"/>
        <v/>
      </c>
      <c r="J1245" s="1" t="s">
        <v>35</v>
      </c>
      <c r="K1245" s="1" t="str">
        <f t="shared" si="58"/>
        <v/>
      </c>
      <c r="L1245" s="1" t="str">
        <f t="shared" si="59"/>
        <v/>
      </c>
      <c r="M1245" s="1">
        <f>IF(OR(Table1[[#This Row],[Std Nom]]="",Table1[[#This Row],[Std Read]]=""),0,Table1[[#This Row],[Std Nom]]-Table1[[#This Row],[Std Read]])</f>
        <v>0</v>
      </c>
      <c r="N1245" s="1">
        <f>IF(Calculations!$F$5="ACCREDITED 17025 WITH UNCERTAINTIES",$N$10,0)</f>
        <v>0</v>
      </c>
      <c r="Q1245" s="1">
        <f>Table1[[#This Row],[High Tol]]-Table1[[#This Row],[Low Tol]]</f>
        <v>0</v>
      </c>
      <c r="R1245" s="1">
        <f>2*Table1[[#This Row],[Std Error]]</f>
        <v>0</v>
      </c>
      <c r="S1245" s="1" t="str">
        <f>IF(Table1[[#This Row],[High Tol]]="","N/A",IFERROR(ABS(Table1[[#This Row],[Tol Span]]/Table1[[#This Row],[Error Span]]),"N/A"))</f>
        <v>N/A</v>
      </c>
      <c r="T1245" s="1" t="str">
        <f>IF(OR(Table1[[#This Row],[Low Tol]]="",Table1[[#This Row],[High Tol]]=""),"Needs Analysis",IF(Table1[[#This Row],[Ratio]]&gt;=4,"Not Significant",IF(Table1[[#This Row],[Ratio]]&gt;=2,"Semi-Significant","Significant")))</f>
        <v>Needs Analysis</v>
      </c>
      <c r="W1245" s="1">
        <f>IF(Table1[[#This Row],[Cal Type]]&lt;&gt;"ACCREDITED 17025 WITH UNCERTAINTIES",0,"")</f>
        <v>0</v>
      </c>
      <c r="X1245" s="1" t="str">
        <f>IF(Table1[[#This Row],[DUT Read]]="","N/A",Table1[[#This Row],[Std Error]]+Table1[[#This Row],[DUT Read]]+Table1[[#This Row],[DUT Ucty]])</f>
        <v>N/A</v>
      </c>
      <c r="Y1245" s="1" t="str">
        <f>IF(Table1[[#This Row],[Std Read]]="","N/A",Table1[[#This Row],[Std Read]]+Table1[[#This Row],[Std Ucty]])</f>
        <v>N/A</v>
      </c>
      <c r="Z12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5" s="1" t="str">
        <f>IF(Table1[[#This Row],[Spec Type]]="","N/A",Table1[[#This Row],[Spec Type]])</f>
        <v>±</v>
      </c>
      <c r="AC1245" s="1" t="str">
        <f>IF(Table1[[#This Row],[Spec Type2]]="N/A","N/A",IF(AND(Table1[[#This Row],[DUT Adj Read]]&gt;=Table1[[#This Row],[Low Tol]],Table1[[#This Row],[DUT Adj Read]]&lt;=Table1[[#This Row],[High Tol]]),"Pass","Fail"))</f>
        <v>Fail</v>
      </c>
      <c r="AD1245" s="1" t="str">
        <f>IF(AND(Table1[[#This Row],[Spec Type2]]="N/A",Table1[[#This Row],[DUT Adj Read]]="N/A",Table1[[#This Row],[Std Adj Read]]="N/A"),"N/A",IF(Table1[[#This Row],[DUT Adj Read]]="N/A",IF(Table1[[#This Row],[Std Adj Read]]&gt;Table1[[#This Row],[Low Tol]],"Pass","Fail"),IF(Table1[[#This Row],[DUT Adj Read]]&gt;Table1[[#This Row],[Low Tol]],"Pass","Fail")))</f>
        <v>Pass</v>
      </c>
      <c r="AE1245" s="1" t="str">
        <f>IF(AND(Table1[[#This Row],[Spec Type2]]="N/A",Table1[[#This Row],[DUT Adj Read]]="N/A",Table1[[#This Row],[Std Adj Read]]="N/A"),"N/A",IF(Table1[[#This Row],[DUT Adj Read]]="N/A",IF(Table1[[#This Row],[Std Adj Read]]&lt;Table1[[#This Row],[High Tol]],"Pass","Fail"),IF(Table1[[#This Row],[DUT Adj Read]]&lt;Table1[[#This Row],[High Tol]],"Pass","Fail")))</f>
        <v>Fail</v>
      </c>
      <c r="AF1245" s="1" t="str">
        <f>IF(AND(Table1[[#This Row],[Spec Type2]]="N/A",Table1[[#This Row],[DUT Adj Read]]="N/A",Table1[[#This Row],[Std Adj Read]]="N/A"),"N/A",IF(Table1[[#This Row],[DUT Adj Read]]="N/A",IF(Table1[[#This Row],[Std Adj Read]]&gt;=Table1[[#This Row],[Low Tol]],"Pass","Fail"),IF(Table1[[#This Row],[DUT Adj Read]]&gt;=Table1[[#This Row],[Low Tol]],"Pass","Fail")))</f>
        <v>Pass</v>
      </c>
      <c r="AG1245" s="1" t="str">
        <f>IF(AND(Table1[[#This Row],[Spec Type2]]="N/A",Table1[[#This Row],[DUT Adj Read]]="N/A",Table1[[#This Row],[Std Adj Read]]="N/A"),"N/A",IF(Table1[[#This Row],[DUT Adj Read]]="N/A",IF(Table1[[#This Row],[Std Adj Read]]&lt;=Table1[[#This Row],[High Tol]],"Pass","Fail"),IF(Table1[[#This Row],[DUT Adj Read]]&lt;=Table1[[#This Row],[High Tol]],"Pass","Fail")))</f>
        <v>Fail</v>
      </c>
      <c r="AH12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5" s="1" t="b">
        <v>0</v>
      </c>
      <c r="AN1245" s="1" t="b">
        <v>0</v>
      </c>
      <c r="AO1245" s="1" t="b">
        <v>0</v>
      </c>
    </row>
    <row r="1246" spans="1:41" x14ac:dyDescent="0.25">
      <c r="A1246" s="10"/>
      <c r="B1246" s="10"/>
      <c r="C1246" s="10"/>
      <c r="D1246" s="10"/>
      <c r="E1246" s="10"/>
      <c r="F1246" s="10"/>
      <c r="G1246" s="10"/>
      <c r="H1246" s="10"/>
      <c r="I1246" s="1" t="str">
        <f t="shared" si="57"/>
        <v/>
      </c>
      <c r="J1246" s="1" t="s">
        <v>35</v>
      </c>
      <c r="K1246" s="1" t="str">
        <f t="shared" si="58"/>
        <v/>
      </c>
      <c r="L1246" s="1" t="str">
        <f t="shared" si="59"/>
        <v/>
      </c>
      <c r="M1246" s="1">
        <f>IF(OR(Table1[[#This Row],[Std Nom]]="",Table1[[#This Row],[Std Read]]=""),0,Table1[[#This Row],[Std Nom]]-Table1[[#This Row],[Std Read]])</f>
        <v>0</v>
      </c>
      <c r="N1246" s="1">
        <f>IF(Calculations!$F$5="ACCREDITED 17025 WITH UNCERTAINTIES",$N$10,0)</f>
        <v>0</v>
      </c>
      <c r="Q1246" s="1">
        <f>Table1[[#This Row],[High Tol]]-Table1[[#This Row],[Low Tol]]</f>
        <v>0</v>
      </c>
      <c r="R1246" s="1">
        <f>2*Table1[[#This Row],[Std Error]]</f>
        <v>0</v>
      </c>
      <c r="S1246" s="1" t="str">
        <f>IF(Table1[[#This Row],[High Tol]]="","N/A",IFERROR(ABS(Table1[[#This Row],[Tol Span]]/Table1[[#This Row],[Error Span]]),"N/A"))</f>
        <v>N/A</v>
      </c>
      <c r="T1246" s="1" t="str">
        <f>IF(OR(Table1[[#This Row],[Low Tol]]="",Table1[[#This Row],[High Tol]]=""),"Needs Analysis",IF(Table1[[#This Row],[Ratio]]&gt;=4,"Not Significant",IF(Table1[[#This Row],[Ratio]]&gt;=2,"Semi-Significant","Significant")))</f>
        <v>Needs Analysis</v>
      </c>
      <c r="W1246" s="1">
        <f>IF(Table1[[#This Row],[Cal Type]]&lt;&gt;"ACCREDITED 17025 WITH UNCERTAINTIES",0,"")</f>
        <v>0</v>
      </c>
      <c r="X1246" s="1" t="str">
        <f>IF(Table1[[#This Row],[DUT Read]]="","N/A",Table1[[#This Row],[Std Error]]+Table1[[#This Row],[DUT Read]]+Table1[[#This Row],[DUT Ucty]])</f>
        <v>N/A</v>
      </c>
      <c r="Y1246" s="1" t="str">
        <f>IF(Table1[[#This Row],[Std Read]]="","N/A",Table1[[#This Row],[Std Read]]+Table1[[#This Row],[Std Ucty]])</f>
        <v>N/A</v>
      </c>
      <c r="Z12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6" s="1" t="str">
        <f>IF(Table1[[#This Row],[Spec Type]]="","N/A",Table1[[#This Row],[Spec Type]])</f>
        <v>±</v>
      </c>
      <c r="AC1246" s="1" t="str">
        <f>IF(Table1[[#This Row],[Spec Type2]]="N/A","N/A",IF(AND(Table1[[#This Row],[DUT Adj Read]]&gt;=Table1[[#This Row],[Low Tol]],Table1[[#This Row],[DUT Adj Read]]&lt;=Table1[[#This Row],[High Tol]]),"Pass","Fail"))</f>
        <v>Fail</v>
      </c>
      <c r="AD1246" s="1" t="str">
        <f>IF(AND(Table1[[#This Row],[Spec Type2]]="N/A",Table1[[#This Row],[DUT Adj Read]]="N/A",Table1[[#This Row],[Std Adj Read]]="N/A"),"N/A",IF(Table1[[#This Row],[DUT Adj Read]]="N/A",IF(Table1[[#This Row],[Std Adj Read]]&gt;Table1[[#This Row],[Low Tol]],"Pass","Fail"),IF(Table1[[#This Row],[DUT Adj Read]]&gt;Table1[[#This Row],[Low Tol]],"Pass","Fail")))</f>
        <v>Pass</v>
      </c>
      <c r="AE1246" s="1" t="str">
        <f>IF(AND(Table1[[#This Row],[Spec Type2]]="N/A",Table1[[#This Row],[DUT Adj Read]]="N/A",Table1[[#This Row],[Std Adj Read]]="N/A"),"N/A",IF(Table1[[#This Row],[DUT Adj Read]]="N/A",IF(Table1[[#This Row],[Std Adj Read]]&lt;Table1[[#This Row],[High Tol]],"Pass","Fail"),IF(Table1[[#This Row],[DUT Adj Read]]&lt;Table1[[#This Row],[High Tol]],"Pass","Fail")))</f>
        <v>Fail</v>
      </c>
      <c r="AF1246" s="1" t="str">
        <f>IF(AND(Table1[[#This Row],[Spec Type2]]="N/A",Table1[[#This Row],[DUT Adj Read]]="N/A",Table1[[#This Row],[Std Adj Read]]="N/A"),"N/A",IF(Table1[[#This Row],[DUT Adj Read]]="N/A",IF(Table1[[#This Row],[Std Adj Read]]&gt;=Table1[[#This Row],[Low Tol]],"Pass","Fail"),IF(Table1[[#This Row],[DUT Adj Read]]&gt;=Table1[[#This Row],[Low Tol]],"Pass","Fail")))</f>
        <v>Pass</v>
      </c>
      <c r="AG1246" s="1" t="str">
        <f>IF(AND(Table1[[#This Row],[Spec Type2]]="N/A",Table1[[#This Row],[DUT Adj Read]]="N/A",Table1[[#This Row],[Std Adj Read]]="N/A"),"N/A",IF(Table1[[#This Row],[DUT Adj Read]]="N/A",IF(Table1[[#This Row],[Std Adj Read]]&lt;=Table1[[#This Row],[High Tol]],"Pass","Fail"),IF(Table1[[#This Row],[DUT Adj Read]]&lt;=Table1[[#This Row],[High Tol]],"Pass","Fail")))</f>
        <v>Fail</v>
      </c>
      <c r="AH12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6" s="1" t="b">
        <v>0</v>
      </c>
      <c r="AN1246" s="1" t="b">
        <v>0</v>
      </c>
      <c r="AO1246" s="1" t="b">
        <v>0</v>
      </c>
    </row>
    <row r="1247" spans="1:41" x14ac:dyDescent="0.25">
      <c r="A1247" s="10"/>
      <c r="B1247" s="10"/>
      <c r="C1247" s="10"/>
      <c r="D1247" s="10"/>
      <c r="E1247" s="10"/>
      <c r="F1247" s="10"/>
      <c r="G1247" s="10"/>
      <c r="H1247" s="10"/>
      <c r="I1247" s="1" t="str">
        <f t="shared" si="57"/>
        <v/>
      </c>
      <c r="J1247" s="1" t="s">
        <v>35</v>
      </c>
      <c r="K1247" s="1" t="str">
        <f t="shared" si="58"/>
        <v/>
      </c>
      <c r="L1247" s="1" t="str">
        <f t="shared" si="59"/>
        <v/>
      </c>
      <c r="M1247" s="1">
        <f>IF(OR(Table1[[#This Row],[Std Nom]]="",Table1[[#This Row],[Std Read]]=""),0,Table1[[#This Row],[Std Nom]]-Table1[[#This Row],[Std Read]])</f>
        <v>0</v>
      </c>
      <c r="N1247" s="1">
        <f>IF(Calculations!$F$5="ACCREDITED 17025 WITH UNCERTAINTIES",$N$10,0)</f>
        <v>0</v>
      </c>
      <c r="Q1247" s="1">
        <f>Table1[[#This Row],[High Tol]]-Table1[[#This Row],[Low Tol]]</f>
        <v>0</v>
      </c>
      <c r="R1247" s="1">
        <f>2*Table1[[#This Row],[Std Error]]</f>
        <v>0</v>
      </c>
      <c r="S1247" s="1" t="str">
        <f>IF(Table1[[#This Row],[High Tol]]="","N/A",IFERROR(ABS(Table1[[#This Row],[Tol Span]]/Table1[[#This Row],[Error Span]]),"N/A"))</f>
        <v>N/A</v>
      </c>
      <c r="T1247" s="1" t="str">
        <f>IF(OR(Table1[[#This Row],[Low Tol]]="",Table1[[#This Row],[High Tol]]=""),"Needs Analysis",IF(Table1[[#This Row],[Ratio]]&gt;=4,"Not Significant",IF(Table1[[#This Row],[Ratio]]&gt;=2,"Semi-Significant","Significant")))</f>
        <v>Needs Analysis</v>
      </c>
      <c r="W1247" s="1">
        <f>IF(Table1[[#This Row],[Cal Type]]&lt;&gt;"ACCREDITED 17025 WITH UNCERTAINTIES",0,"")</f>
        <v>0</v>
      </c>
      <c r="X1247" s="1" t="str">
        <f>IF(Table1[[#This Row],[DUT Read]]="","N/A",Table1[[#This Row],[Std Error]]+Table1[[#This Row],[DUT Read]]+Table1[[#This Row],[DUT Ucty]])</f>
        <v>N/A</v>
      </c>
      <c r="Y1247" s="1" t="str">
        <f>IF(Table1[[#This Row],[Std Read]]="","N/A",Table1[[#This Row],[Std Read]]+Table1[[#This Row],[Std Ucty]])</f>
        <v>N/A</v>
      </c>
      <c r="Z12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7" s="1" t="str">
        <f>IF(Table1[[#This Row],[Spec Type]]="","N/A",Table1[[#This Row],[Spec Type]])</f>
        <v>±</v>
      </c>
      <c r="AC1247" s="1" t="str">
        <f>IF(Table1[[#This Row],[Spec Type2]]="N/A","N/A",IF(AND(Table1[[#This Row],[DUT Adj Read]]&gt;=Table1[[#This Row],[Low Tol]],Table1[[#This Row],[DUT Adj Read]]&lt;=Table1[[#This Row],[High Tol]]),"Pass","Fail"))</f>
        <v>Fail</v>
      </c>
      <c r="AD1247" s="1" t="str">
        <f>IF(AND(Table1[[#This Row],[Spec Type2]]="N/A",Table1[[#This Row],[DUT Adj Read]]="N/A",Table1[[#This Row],[Std Adj Read]]="N/A"),"N/A",IF(Table1[[#This Row],[DUT Adj Read]]="N/A",IF(Table1[[#This Row],[Std Adj Read]]&gt;Table1[[#This Row],[Low Tol]],"Pass","Fail"),IF(Table1[[#This Row],[DUT Adj Read]]&gt;Table1[[#This Row],[Low Tol]],"Pass","Fail")))</f>
        <v>Pass</v>
      </c>
      <c r="AE1247" s="1" t="str">
        <f>IF(AND(Table1[[#This Row],[Spec Type2]]="N/A",Table1[[#This Row],[DUT Adj Read]]="N/A",Table1[[#This Row],[Std Adj Read]]="N/A"),"N/A",IF(Table1[[#This Row],[DUT Adj Read]]="N/A",IF(Table1[[#This Row],[Std Adj Read]]&lt;Table1[[#This Row],[High Tol]],"Pass","Fail"),IF(Table1[[#This Row],[DUT Adj Read]]&lt;Table1[[#This Row],[High Tol]],"Pass","Fail")))</f>
        <v>Fail</v>
      </c>
      <c r="AF1247" s="1" t="str">
        <f>IF(AND(Table1[[#This Row],[Spec Type2]]="N/A",Table1[[#This Row],[DUT Adj Read]]="N/A",Table1[[#This Row],[Std Adj Read]]="N/A"),"N/A",IF(Table1[[#This Row],[DUT Adj Read]]="N/A",IF(Table1[[#This Row],[Std Adj Read]]&gt;=Table1[[#This Row],[Low Tol]],"Pass","Fail"),IF(Table1[[#This Row],[DUT Adj Read]]&gt;=Table1[[#This Row],[Low Tol]],"Pass","Fail")))</f>
        <v>Pass</v>
      </c>
      <c r="AG1247" s="1" t="str">
        <f>IF(AND(Table1[[#This Row],[Spec Type2]]="N/A",Table1[[#This Row],[DUT Adj Read]]="N/A",Table1[[#This Row],[Std Adj Read]]="N/A"),"N/A",IF(Table1[[#This Row],[DUT Adj Read]]="N/A",IF(Table1[[#This Row],[Std Adj Read]]&lt;=Table1[[#This Row],[High Tol]],"Pass","Fail"),IF(Table1[[#This Row],[DUT Adj Read]]&lt;=Table1[[#This Row],[High Tol]],"Pass","Fail")))</f>
        <v>Fail</v>
      </c>
      <c r="AH12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7" s="1" t="b">
        <v>0</v>
      </c>
      <c r="AN1247" s="1" t="b">
        <v>0</v>
      </c>
      <c r="AO1247" s="1" t="b">
        <v>0</v>
      </c>
    </row>
    <row r="1248" spans="1:41" x14ac:dyDescent="0.25">
      <c r="A1248" s="10"/>
      <c r="B1248" s="10"/>
      <c r="C1248" s="10"/>
      <c r="D1248" s="10"/>
      <c r="E1248" s="10"/>
      <c r="F1248" s="10"/>
      <c r="G1248" s="10"/>
      <c r="H1248" s="10"/>
      <c r="I1248" s="1" t="str">
        <f t="shared" si="57"/>
        <v/>
      </c>
      <c r="J1248" s="1" t="s">
        <v>35</v>
      </c>
      <c r="K1248" s="1" t="str">
        <f t="shared" si="58"/>
        <v/>
      </c>
      <c r="L1248" s="1" t="str">
        <f t="shared" si="59"/>
        <v/>
      </c>
      <c r="M1248" s="1">
        <f>IF(OR(Table1[[#This Row],[Std Nom]]="",Table1[[#This Row],[Std Read]]=""),0,Table1[[#This Row],[Std Nom]]-Table1[[#This Row],[Std Read]])</f>
        <v>0</v>
      </c>
      <c r="N1248" s="1">
        <f>IF(Calculations!$F$5="ACCREDITED 17025 WITH UNCERTAINTIES",$N$10,0)</f>
        <v>0</v>
      </c>
      <c r="Q1248" s="1">
        <f>Table1[[#This Row],[High Tol]]-Table1[[#This Row],[Low Tol]]</f>
        <v>0</v>
      </c>
      <c r="R1248" s="1">
        <f>2*Table1[[#This Row],[Std Error]]</f>
        <v>0</v>
      </c>
      <c r="S1248" s="1" t="str">
        <f>IF(Table1[[#This Row],[High Tol]]="","N/A",IFERROR(ABS(Table1[[#This Row],[Tol Span]]/Table1[[#This Row],[Error Span]]),"N/A"))</f>
        <v>N/A</v>
      </c>
      <c r="T1248" s="1" t="str">
        <f>IF(OR(Table1[[#This Row],[Low Tol]]="",Table1[[#This Row],[High Tol]]=""),"Needs Analysis",IF(Table1[[#This Row],[Ratio]]&gt;=4,"Not Significant",IF(Table1[[#This Row],[Ratio]]&gt;=2,"Semi-Significant","Significant")))</f>
        <v>Needs Analysis</v>
      </c>
      <c r="W1248" s="1">
        <f>IF(Table1[[#This Row],[Cal Type]]&lt;&gt;"ACCREDITED 17025 WITH UNCERTAINTIES",0,"")</f>
        <v>0</v>
      </c>
      <c r="X1248" s="1" t="str">
        <f>IF(Table1[[#This Row],[DUT Read]]="","N/A",Table1[[#This Row],[Std Error]]+Table1[[#This Row],[DUT Read]]+Table1[[#This Row],[DUT Ucty]])</f>
        <v>N/A</v>
      </c>
      <c r="Y1248" s="1" t="str">
        <f>IF(Table1[[#This Row],[Std Read]]="","N/A",Table1[[#This Row],[Std Read]]+Table1[[#This Row],[Std Ucty]])</f>
        <v>N/A</v>
      </c>
      <c r="Z12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8" s="1" t="str">
        <f>IF(Table1[[#This Row],[Spec Type]]="","N/A",Table1[[#This Row],[Spec Type]])</f>
        <v>±</v>
      </c>
      <c r="AC1248" s="1" t="str">
        <f>IF(Table1[[#This Row],[Spec Type2]]="N/A","N/A",IF(AND(Table1[[#This Row],[DUT Adj Read]]&gt;=Table1[[#This Row],[Low Tol]],Table1[[#This Row],[DUT Adj Read]]&lt;=Table1[[#This Row],[High Tol]]),"Pass","Fail"))</f>
        <v>Fail</v>
      </c>
      <c r="AD1248" s="1" t="str">
        <f>IF(AND(Table1[[#This Row],[Spec Type2]]="N/A",Table1[[#This Row],[DUT Adj Read]]="N/A",Table1[[#This Row],[Std Adj Read]]="N/A"),"N/A",IF(Table1[[#This Row],[DUT Adj Read]]="N/A",IF(Table1[[#This Row],[Std Adj Read]]&gt;Table1[[#This Row],[Low Tol]],"Pass","Fail"),IF(Table1[[#This Row],[DUT Adj Read]]&gt;Table1[[#This Row],[Low Tol]],"Pass","Fail")))</f>
        <v>Pass</v>
      </c>
      <c r="AE1248" s="1" t="str">
        <f>IF(AND(Table1[[#This Row],[Spec Type2]]="N/A",Table1[[#This Row],[DUT Adj Read]]="N/A",Table1[[#This Row],[Std Adj Read]]="N/A"),"N/A",IF(Table1[[#This Row],[DUT Adj Read]]="N/A",IF(Table1[[#This Row],[Std Adj Read]]&lt;Table1[[#This Row],[High Tol]],"Pass","Fail"),IF(Table1[[#This Row],[DUT Adj Read]]&lt;Table1[[#This Row],[High Tol]],"Pass","Fail")))</f>
        <v>Fail</v>
      </c>
      <c r="AF1248" s="1" t="str">
        <f>IF(AND(Table1[[#This Row],[Spec Type2]]="N/A",Table1[[#This Row],[DUT Adj Read]]="N/A",Table1[[#This Row],[Std Adj Read]]="N/A"),"N/A",IF(Table1[[#This Row],[DUT Adj Read]]="N/A",IF(Table1[[#This Row],[Std Adj Read]]&gt;=Table1[[#This Row],[Low Tol]],"Pass","Fail"),IF(Table1[[#This Row],[DUT Adj Read]]&gt;=Table1[[#This Row],[Low Tol]],"Pass","Fail")))</f>
        <v>Pass</v>
      </c>
      <c r="AG1248" s="1" t="str">
        <f>IF(AND(Table1[[#This Row],[Spec Type2]]="N/A",Table1[[#This Row],[DUT Adj Read]]="N/A",Table1[[#This Row],[Std Adj Read]]="N/A"),"N/A",IF(Table1[[#This Row],[DUT Adj Read]]="N/A",IF(Table1[[#This Row],[Std Adj Read]]&lt;=Table1[[#This Row],[High Tol]],"Pass","Fail"),IF(Table1[[#This Row],[DUT Adj Read]]&lt;=Table1[[#This Row],[High Tol]],"Pass","Fail")))</f>
        <v>Fail</v>
      </c>
      <c r="AH12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8" s="1" t="b">
        <v>0</v>
      </c>
      <c r="AN1248" s="1" t="b">
        <v>0</v>
      </c>
      <c r="AO1248" s="1" t="b">
        <v>0</v>
      </c>
    </row>
    <row r="1249" spans="1:41" x14ac:dyDescent="0.25">
      <c r="A1249" s="10"/>
      <c r="B1249" s="10"/>
      <c r="C1249" s="10"/>
      <c r="D1249" s="10"/>
      <c r="E1249" s="10"/>
      <c r="F1249" s="10"/>
      <c r="G1249" s="10"/>
      <c r="H1249" s="10"/>
      <c r="I1249" s="1" t="str">
        <f t="shared" si="57"/>
        <v/>
      </c>
      <c r="J1249" s="1" t="s">
        <v>35</v>
      </c>
      <c r="K1249" s="1" t="str">
        <f t="shared" si="58"/>
        <v/>
      </c>
      <c r="L1249" s="1" t="str">
        <f t="shared" si="59"/>
        <v/>
      </c>
      <c r="M1249" s="1">
        <f>IF(OR(Table1[[#This Row],[Std Nom]]="",Table1[[#This Row],[Std Read]]=""),0,Table1[[#This Row],[Std Nom]]-Table1[[#This Row],[Std Read]])</f>
        <v>0</v>
      </c>
      <c r="N1249" s="1">
        <f>IF(Calculations!$F$5="ACCREDITED 17025 WITH UNCERTAINTIES",$N$10,0)</f>
        <v>0</v>
      </c>
      <c r="Q1249" s="1">
        <f>Table1[[#This Row],[High Tol]]-Table1[[#This Row],[Low Tol]]</f>
        <v>0</v>
      </c>
      <c r="R1249" s="1">
        <f>2*Table1[[#This Row],[Std Error]]</f>
        <v>0</v>
      </c>
      <c r="S1249" s="1" t="str">
        <f>IF(Table1[[#This Row],[High Tol]]="","N/A",IFERROR(ABS(Table1[[#This Row],[Tol Span]]/Table1[[#This Row],[Error Span]]),"N/A"))</f>
        <v>N/A</v>
      </c>
      <c r="T1249" s="1" t="str">
        <f>IF(OR(Table1[[#This Row],[Low Tol]]="",Table1[[#This Row],[High Tol]]=""),"Needs Analysis",IF(Table1[[#This Row],[Ratio]]&gt;=4,"Not Significant",IF(Table1[[#This Row],[Ratio]]&gt;=2,"Semi-Significant","Significant")))</f>
        <v>Needs Analysis</v>
      </c>
      <c r="W1249" s="1">
        <f>IF(Table1[[#This Row],[Cal Type]]&lt;&gt;"ACCREDITED 17025 WITH UNCERTAINTIES",0,"")</f>
        <v>0</v>
      </c>
      <c r="X1249" s="1" t="str">
        <f>IF(Table1[[#This Row],[DUT Read]]="","N/A",Table1[[#This Row],[Std Error]]+Table1[[#This Row],[DUT Read]]+Table1[[#This Row],[DUT Ucty]])</f>
        <v>N/A</v>
      </c>
      <c r="Y1249" s="1" t="str">
        <f>IF(Table1[[#This Row],[Std Read]]="","N/A",Table1[[#This Row],[Std Read]]+Table1[[#This Row],[Std Ucty]])</f>
        <v>N/A</v>
      </c>
      <c r="Z12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49" s="1" t="str">
        <f>IF(Table1[[#This Row],[Spec Type]]="","N/A",Table1[[#This Row],[Spec Type]])</f>
        <v>±</v>
      </c>
      <c r="AC1249" s="1" t="str">
        <f>IF(Table1[[#This Row],[Spec Type2]]="N/A","N/A",IF(AND(Table1[[#This Row],[DUT Adj Read]]&gt;=Table1[[#This Row],[Low Tol]],Table1[[#This Row],[DUT Adj Read]]&lt;=Table1[[#This Row],[High Tol]]),"Pass","Fail"))</f>
        <v>Fail</v>
      </c>
      <c r="AD1249" s="1" t="str">
        <f>IF(AND(Table1[[#This Row],[Spec Type2]]="N/A",Table1[[#This Row],[DUT Adj Read]]="N/A",Table1[[#This Row],[Std Adj Read]]="N/A"),"N/A",IF(Table1[[#This Row],[DUT Adj Read]]="N/A",IF(Table1[[#This Row],[Std Adj Read]]&gt;Table1[[#This Row],[Low Tol]],"Pass","Fail"),IF(Table1[[#This Row],[DUT Adj Read]]&gt;Table1[[#This Row],[Low Tol]],"Pass","Fail")))</f>
        <v>Pass</v>
      </c>
      <c r="AE1249" s="1" t="str">
        <f>IF(AND(Table1[[#This Row],[Spec Type2]]="N/A",Table1[[#This Row],[DUT Adj Read]]="N/A",Table1[[#This Row],[Std Adj Read]]="N/A"),"N/A",IF(Table1[[#This Row],[DUT Adj Read]]="N/A",IF(Table1[[#This Row],[Std Adj Read]]&lt;Table1[[#This Row],[High Tol]],"Pass","Fail"),IF(Table1[[#This Row],[DUT Adj Read]]&lt;Table1[[#This Row],[High Tol]],"Pass","Fail")))</f>
        <v>Fail</v>
      </c>
      <c r="AF1249" s="1" t="str">
        <f>IF(AND(Table1[[#This Row],[Spec Type2]]="N/A",Table1[[#This Row],[DUT Adj Read]]="N/A",Table1[[#This Row],[Std Adj Read]]="N/A"),"N/A",IF(Table1[[#This Row],[DUT Adj Read]]="N/A",IF(Table1[[#This Row],[Std Adj Read]]&gt;=Table1[[#This Row],[Low Tol]],"Pass","Fail"),IF(Table1[[#This Row],[DUT Adj Read]]&gt;=Table1[[#This Row],[Low Tol]],"Pass","Fail")))</f>
        <v>Pass</v>
      </c>
      <c r="AG1249" s="1" t="str">
        <f>IF(AND(Table1[[#This Row],[Spec Type2]]="N/A",Table1[[#This Row],[DUT Adj Read]]="N/A",Table1[[#This Row],[Std Adj Read]]="N/A"),"N/A",IF(Table1[[#This Row],[DUT Adj Read]]="N/A",IF(Table1[[#This Row],[Std Adj Read]]&lt;=Table1[[#This Row],[High Tol]],"Pass","Fail"),IF(Table1[[#This Row],[DUT Adj Read]]&lt;=Table1[[#This Row],[High Tol]],"Pass","Fail")))</f>
        <v>Fail</v>
      </c>
      <c r="AH12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49" s="1" t="b">
        <v>0</v>
      </c>
      <c r="AN1249" s="1" t="b">
        <v>0</v>
      </c>
      <c r="AO1249" s="1" t="b">
        <v>0</v>
      </c>
    </row>
    <row r="1250" spans="1:41" x14ac:dyDescent="0.25">
      <c r="A1250" s="10"/>
      <c r="B1250" s="10"/>
      <c r="C1250" s="10"/>
      <c r="D1250" s="10"/>
      <c r="E1250" s="10"/>
      <c r="F1250" s="10"/>
      <c r="G1250" s="10"/>
      <c r="H1250" s="10"/>
      <c r="I1250" s="1" t="str">
        <f t="shared" si="57"/>
        <v/>
      </c>
      <c r="J1250" s="1" t="s">
        <v>35</v>
      </c>
      <c r="K1250" s="1" t="str">
        <f t="shared" si="58"/>
        <v/>
      </c>
      <c r="L1250" s="1" t="str">
        <f t="shared" si="59"/>
        <v/>
      </c>
      <c r="M1250" s="1">
        <f>IF(OR(Table1[[#This Row],[Std Nom]]="",Table1[[#This Row],[Std Read]]=""),0,Table1[[#This Row],[Std Nom]]-Table1[[#This Row],[Std Read]])</f>
        <v>0</v>
      </c>
      <c r="N1250" s="1">
        <f>IF(Calculations!$F$5="ACCREDITED 17025 WITH UNCERTAINTIES",$N$10,0)</f>
        <v>0</v>
      </c>
      <c r="Q1250" s="1">
        <f>Table1[[#This Row],[High Tol]]-Table1[[#This Row],[Low Tol]]</f>
        <v>0</v>
      </c>
      <c r="R1250" s="1">
        <f>2*Table1[[#This Row],[Std Error]]</f>
        <v>0</v>
      </c>
      <c r="S1250" s="1" t="str">
        <f>IF(Table1[[#This Row],[High Tol]]="","N/A",IFERROR(ABS(Table1[[#This Row],[Tol Span]]/Table1[[#This Row],[Error Span]]),"N/A"))</f>
        <v>N/A</v>
      </c>
      <c r="T1250" s="1" t="str">
        <f>IF(OR(Table1[[#This Row],[Low Tol]]="",Table1[[#This Row],[High Tol]]=""),"Needs Analysis",IF(Table1[[#This Row],[Ratio]]&gt;=4,"Not Significant",IF(Table1[[#This Row],[Ratio]]&gt;=2,"Semi-Significant","Significant")))</f>
        <v>Needs Analysis</v>
      </c>
      <c r="W1250" s="1">
        <f>IF(Table1[[#This Row],[Cal Type]]&lt;&gt;"ACCREDITED 17025 WITH UNCERTAINTIES",0,"")</f>
        <v>0</v>
      </c>
      <c r="X1250" s="1" t="str">
        <f>IF(Table1[[#This Row],[DUT Read]]="","N/A",Table1[[#This Row],[Std Error]]+Table1[[#This Row],[DUT Read]]+Table1[[#This Row],[DUT Ucty]])</f>
        <v>N/A</v>
      </c>
      <c r="Y1250" s="1" t="str">
        <f>IF(Table1[[#This Row],[Std Read]]="","N/A",Table1[[#This Row],[Std Read]]+Table1[[#This Row],[Std Ucty]])</f>
        <v>N/A</v>
      </c>
      <c r="Z12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0" s="1" t="str">
        <f>IF(Table1[[#This Row],[Spec Type]]="","N/A",Table1[[#This Row],[Spec Type]])</f>
        <v>±</v>
      </c>
      <c r="AC1250" s="1" t="str">
        <f>IF(Table1[[#This Row],[Spec Type2]]="N/A","N/A",IF(AND(Table1[[#This Row],[DUT Adj Read]]&gt;=Table1[[#This Row],[Low Tol]],Table1[[#This Row],[DUT Adj Read]]&lt;=Table1[[#This Row],[High Tol]]),"Pass","Fail"))</f>
        <v>Fail</v>
      </c>
      <c r="AD1250" s="1" t="str">
        <f>IF(AND(Table1[[#This Row],[Spec Type2]]="N/A",Table1[[#This Row],[DUT Adj Read]]="N/A",Table1[[#This Row],[Std Adj Read]]="N/A"),"N/A",IF(Table1[[#This Row],[DUT Adj Read]]="N/A",IF(Table1[[#This Row],[Std Adj Read]]&gt;Table1[[#This Row],[Low Tol]],"Pass","Fail"),IF(Table1[[#This Row],[DUT Adj Read]]&gt;Table1[[#This Row],[Low Tol]],"Pass","Fail")))</f>
        <v>Pass</v>
      </c>
      <c r="AE1250" s="1" t="str">
        <f>IF(AND(Table1[[#This Row],[Spec Type2]]="N/A",Table1[[#This Row],[DUT Adj Read]]="N/A",Table1[[#This Row],[Std Adj Read]]="N/A"),"N/A",IF(Table1[[#This Row],[DUT Adj Read]]="N/A",IF(Table1[[#This Row],[Std Adj Read]]&lt;Table1[[#This Row],[High Tol]],"Pass","Fail"),IF(Table1[[#This Row],[DUT Adj Read]]&lt;Table1[[#This Row],[High Tol]],"Pass","Fail")))</f>
        <v>Fail</v>
      </c>
      <c r="AF1250" s="1" t="str">
        <f>IF(AND(Table1[[#This Row],[Spec Type2]]="N/A",Table1[[#This Row],[DUT Adj Read]]="N/A",Table1[[#This Row],[Std Adj Read]]="N/A"),"N/A",IF(Table1[[#This Row],[DUT Adj Read]]="N/A",IF(Table1[[#This Row],[Std Adj Read]]&gt;=Table1[[#This Row],[Low Tol]],"Pass","Fail"),IF(Table1[[#This Row],[DUT Adj Read]]&gt;=Table1[[#This Row],[Low Tol]],"Pass","Fail")))</f>
        <v>Pass</v>
      </c>
      <c r="AG1250" s="1" t="str">
        <f>IF(AND(Table1[[#This Row],[Spec Type2]]="N/A",Table1[[#This Row],[DUT Adj Read]]="N/A",Table1[[#This Row],[Std Adj Read]]="N/A"),"N/A",IF(Table1[[#This Row],[DUT Adj Read]]="N/A",IF(Table1[[#This Row],[Std Adj Read]]&lt;=Table1[[#This Row],[High Tol]],"Pass","Fail"),IF(Table1[[#This Row],[DUT Adj Read]]&lt;=Table1[[#This Row],[High Tol]],"Pass","Fail")))</f>
        <v>Fail</v>
      </c>
      <c r="AH12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0" s="1" t="b">
        <v>0</v>
      </c>
      <c r="AN1250" s="1" t="b">
        <v>0</v>
      </c>
      <c r="AO1250" s="1" t="b">
        <v>0</v>
      </c>
    </row>
    <row r="1251" spans="1:41" x14ac:dyDescent="0.25">
      <c r="A1251" s="10"/>
      <c r="B1251" s="10"/>
      <c r="C1251" s="10"/>
      <c r="D1251" s="10"/>
      <c r="E1251" s="10"/>
      <c r="F1251" s="10"/>
      <c r="G1251" s="10"/>
      <c r="H1251" s="10"/>
      <c r="I1251" s="1" t="str">
        <f t="shared" si="57"/>
        <v/>
      </c>
      <c r="J1251" s="1" t="s">
        <v>35</v>
      </c>
      <c r="K1251" s="1" t="str">
        <f t="shared" si="58"/>
        <v/>
      </c>
      <c r="L1251" s="1" t="str">
        <f t="shared" si="59"/>
        <v/>
      </c>
      <c r="M1251" s="1">
        <f>IF(OR(Table1[[#This Row],[Std Nom]]="",Table1[[#This Row],[Std Read]]=""),0,Table1[[#This Row],[Std Nom]]-Table1[[#This Row],[Std Read]])</f>
        <v>0</v>
      </c>
      <c r="N1251" s="1">
        <f>IF(Calculations!$F$5="ACCREDITED 17025 WITH UNCERTAINTIES",$N$10,0)</f>
        <v>0</v>
      </c>
      <c r="Q1251" s="1">
        <f>Table1[[#This Row],[High Tol]]-Table1[[#This Row],[Low Tol]]</f>
        <v>0</v>
      </c>
      <c r="R1251" s="1">
        <f>2*Table1[[#This Row],[Std Error]]</f>
        <v>0</v>
      </c>
      <c r="S1251" s="1" t="str">
        <f>IF(Table1[[#This Row],[High Tol]]="","N/A",IFERROR(ABS(Table1[[#This Row],[Tol Span]]/Table1[[#This Row],[Error Span]]),"N/A"))</f>
        <v>N/A</v>
      </c>
      <c r="T1251" s="1" t="str">
        <f>IF(OR(Table1[[#This Row],[Low Tol]]="",Table1[[#This Row],[High Tol]]=""),"Needs Analysis",IF(Table1[[#This Row],[Ratio]]&gt;=4,"Not Significant",IF(Table1[[#This Row],[Ratio]]&gt;=2,"Semi-Significant","Significant")))</f>
        <v>Needs Analysis</v>
      </c>
      <c r="W1251" s="1">
        <f>IF(Table1[[#This Row],[Cal Type]]&lt;&gt;"ACCREDITED 17025 WITH UNCERTAINTIES",0,"")</f>
        <v>0</v>
      </c>
      <c r="X1251" s="1" t="str">
        <f>IF(Table1[[#This Row],[DUT Read]]="","N/A",Table1[[#This Row],[Std Error]]+Table1[[#This Row],[DUT Read]]+Table1[[#This Row],[DUT Ucty]])</f>
        <v>N/A</v>
      </c>
      <c r="Y1251" s="1" t="str">
        <f>IF(Table1[[#This Row],[Std Read]]="","N/A",Table1[[#This Row],[Std Read]]+Table1[[#This Row],[Std Ucty]])</f>
        <v>N/A</v>
      </c>
      <c r="Z12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1" s="1" t="str">
        <f>IF(Table1[[#This Row],[Spec Type]]="","N/A",Table1[[#This Row],[Spec Type]])</f>
        <v>±</v>
      </c>
      <c r="AC1251" s="1" t="str">
        <f>IF(Table1[[#This Row],[Spec Type2]]="N/A","N/A",IF(AND(Table1[[#This Row],[DUT Adj Read]]&gt;=Table1[[#This Row],[Low Tol]],Table1[[#This Row],[DUT Adj Read]]&lt;=Table1[[#This Row],[High Tol]]),"Pass","Fail"))</f>
        <v>Fail</v>
      </c>
      <c r="AD1251" s="1" t="str">
        <f>IF(AND(Table1[[#This Row],[Spec Type2]]="N/A",Table1[[#This Row],[DUT Adj Read]]="N/A",Table1[[#This Row],[Std Adj Read]]="N/A"),"N/A",IF(Table1[[#This Row],[DUT Adj Read]]="N/A",IF(Table1[[#This Row],[Std Adj Read]]&gt;Table1[[#This Row],[Low Tol]],"Pass","Fail"),IF(Table1[[#This Row],[DUT Adj Read]]&gt;Table1[[#This Row],[Low Tol]],"Pass","Fail")))</f>
        <v>Pass</v>
      </c>
      <c r="AE1251" s="1" t="str">
        <f>IF(AND(Table1[[#This Row],[Spec Type2]]="N/A",Table1[[#This Row],[DUT Adj Read]]="N/A",Table1[[#This Row],[Std Adj Read]]="N/A"),"N/A",IF(Table1[[#This Row],[DUT Adj Read]]="N/A",IF(Table1[[#This Row],[Std Adj Read]]&lt;Table1[[#This Row],[High Tol]],"Pass","Fail"),IF(Table1[[#This Row],[DUT Adj Read]]&lt;Table1[[#This Row],[High Tol]],"Pass","Fail")))</f>
        <v>Fail</v>
      </c>
      <c r="AF1251" s="1" t="str">
        <f>IF(AND(Table1[[#This Row],[Spec Type2]]="N/A",Table1[[#This Row],[DUT Adj Read]]="N/A",Table1[[#This Row],[Std Adj Read]]="N/A"),"N/A",IF(Table1[[#This Row],[DUT Adj Read]]="N/A",IF(Table1[[#This Row],[Std Adj Read]]&gt;=Table1[[#This Row],[Low Tol]],"Pass","Fail"),IF(Table1[[#This Row],[DUT Adj Read]]&gt;=Table1[[#This Row],[Low Tol]],"Pass","Fail")))</f>
        <v>Pass</v>
      </c>
      <c r="AG1251" s="1" t="str">
        <f>IF(AND(Table1[[#This Row],[Spec Type2]]="N/A",Table1[[#This Row],[DUT Adj Read]]="N/A",Table1[[#This Row],[Std Adj Read]]="N/A"),"N/A",IF(Table1[[#This Row],[DUT Adj Read]]="N/A",IF(Table1[[#This Row],[Std Adj Read]]&lt;=Table1[[#This Row],[High Tol]],"Pass","Fail"),IF(Table1[[#This Row],[DUT Adj Read]]&lt;=Table1[[#This Row],[High Tol]],"Pass","Fail")))</f>
        <v>Fail</v>
      </c>
      <c r="AH12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1" s="1" t="b">
        <v>0</v>
      </c>
      <c r="AN1251" s="1" t="b">
        <v>0</v>
      </c>
      <c r="AO1251" s="1" t="b">
        <v>0</v>
      </c>
    </row>
    <row r="1252" spans="1:41" x14ac:dyDescent="0.25">
      <c r="A1252" s="10"/>
      <c r="B1252" s="10"/>
      <c r="C1252" s="10"/>
      <c r="D1252" s="10"/>
      <c r="E1252" s="10"/>
      <c r="F1252" s="10"/>
      <c r="G1252" s="10"/>
      <c r="H1252" s="10"/>
      <c r="I1252" s="1" t="str">
        <f t="shared" si="57"/>
        <v/>
      </c>
      <c r="J1252" s="1" t="s">
        <v>35</v>
      </c>
      <c r="K1252" s="1" t="str">
        <f t="shared" si="58"/>
        <v/>
      </c>
      <c r="L1252" s="1" t="str">
        <f t="shared" si="59"/>
        <v/>
      </c>
      <c r="M1252" s="1">
        <f>IF(OR(Table1[[#This Row],[Std Nom]]="",Table1[[#This Row],[Std Read]]=""),0,Table1[[#This Row],[Std Nom]]-Table1[[#This Row],[Std Read]])</f>
        <v>0</v>
      </c>
      <c r="N1252" s="1">
        <f>IF(Calculations!$F$5="ACCREDITED 17025 WITH UNCERTAINTIES",$N$10,0)</f>
        <v>0</v>
      </c>
      <c r="Q1252" s="1">
        <f>Table1[[#This Row],[High Tol]]-Table1[[#This Row],[Low Tol]]</f>
        <v>0</v>
      </c>
      <c r="R1252" s="1">
        <f>2*Table1[[#This Row],[Std Error]]</f>
        <v>0</v>
      </c>
      <c r="S1252" s="1" t="str">
        <f>IF(Table1[[#This Row],[High Tol]]="","N/A",IFERROR(ABS(Table1[[#This Row],[Tol Span]]/Table1[[#This Row],[Error Span]]),"N/A"))</f>
        <v>N/A</v>
      </c>
      <c r="T1252" s="1" t="str">
        <f>IF(OR(Table1[[#This Row],[Low Tol]]="",Table1[[#This Row],[High Tol]]=""),"Needs Analysis",IF(Table1[[#This Row],[Ratio]]&gt;=4,"Not Significant",IF(Table1[[#This Row],[Ratio]]&gt;=2,"Semi-Significant","Significant")))</f>
        <v>Needs Analysis</v>
      </c>
      <c r="W1252" s="1">
        <f>IF(Table1[[#This Row],[Cal Type]]&lt;&gt;"ACCREDITED 17025 WITH UNCERTAINTIES",0,"")</f>
        <v>0</v>
      </c>
      <c r="X1252" s="1" t="str">
        <f>IF(Table1[[#This Row],[DUT Read]]="","N/A",Table1[[#This Row],[Std Error]]+Table1[[#This Row],[DUT Read]]+Table1[[#This Row],[DUT Ucty]])</f>
        <v>N/A</v>
      </c>
      <c r="Y1252" s="1" t="str">
        <f>IF(Table1[[#This Row],[Std Read]]="","N/A",Table1[[#This Row],[Std Read]]+Table1[[#This Row],[Std Ucty]])</f>
        <v>N/A</v>
      </c>
      <c r="Z12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2" s="1" t="str">
        <f>IF(Table1[[#This Row],[Spec Type]]="","N/A",Table1[[#This Row],[Spec Type]])</f>
        <v>±</v>
      </c>
      <c r="AC1252" s="1" t="str">
        <f>IF(Table1[[#This Row],[Spec Type2]]="N/A","N/A",IF(AND(Table1[[#This Row],[DUT Adj Read]]&gt;=Table1[[#This Row],[Low Tol]],Table1[[#This Row],[DUT Adj Read]]&lt;=Table1[[#This Row],[High Tol]]),"Pass","Fail"))</f>
        <v>Fail</v>
      </c>
      <c r="AD1252" s="1" t="str">
        <f>IF(AND(Table1[[#This Row],[Spec Type2]]="N/A",Table1[[#This Row],[DUT Adj Read]]="N/A",Table1[[#This Row],[Std Adj Read]]="N/A"),"N/A",IF(Table1[[#This Row],[DUT Adj Read]]="N/A",IF(Table1[[#This Row],[Std Adj Read]]&gt;Table1[[#This Row],[Low Tol]],"Pass","Fail"),IF(Table1[[#This Row],[DUT Adj Read]]&gt;Table1[[#This Row],[Low Tol]],"Pass","Fail")))</f>
        <v>Pass</v>
      </c>
      <c r="AE1252" s="1" t="str">
        <f>IF(AND(Table1[[#This Row],[Spec Type2]]="N/A",Table1[[#This Row],[DUT Adj Read]]="N/A",Table1[[#This Row],[Std Adj Read]]="N/A"),"N/A",IF(Table1[[#This Row],[DUT Adj Read]]="N/A",IF(Table1[[#This Row],[Std Adj Read]]&lt;Table1[[#This Row],[High Tol]],"Pass","Fail"),IF(Table1[[#This Row],[DUT Adj Read]]&lt;Table1[[#This Row],[High Tol]],"Pass","Fail")))</f>
        <v>Fail</v>
      </c>
      <c r="AF1252" s="1" t="str">
        <f>IF(AND(Table1[[#This Row],[Spec Type2]]="N/A",Table1[[#This Row],[DUT Adj Read]]="N/A",Table1[[#This Row],[Std Adj Read]]="N/A"),"N/A",IF(Table1[[#This Row],[DUT Adj Read]]="N/A",IF(Table1[[#This Row],[Std Adj Read]]&gt;=Table1[[#This Row],[Low Tol]],"Pass","Fail"),IF(Table1[[#This Row],[DUT Adj Read]]&gt;=Table1[[#This Row],[Low Tol]],"Pass","Fail")))</f>
        <v>Pass</v>
      </c>
      <c r="AG1252" s="1" t="str">
        <f>IF(AND(Table1[[#This Row],[Spec Type2]]="N/A",Table1[[#This Row],[DUT Adj Read]]="N/A",Table1[[#This Row],[Std Adj Read]]="N/A"),"N/A",IF(Table1[[#This Row],[DUT Adj Read]]="N/A",IF(Table1[[#This Row],[Std Adj Read]]&lt;=Table1[[#This Row],[High Tol]],"Pass","Fail"),IF(Table1[[#This Row],[DUT Adj Read]]&lt;=Table1[[#This Row],[High Tol]],"Pass","Fail")))</f>
        <v>Fail</v>
      </c>
      <c r="AH12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2" s="1" t="b">
        <v>0</v>
      </c>
      <c r="AN1252" s="1" t="b">
        <v>0</v>
      </c>
      <c r="AO1252" s="1" t="b">
        <v>0</v>
      </c>
    </row>
    <row r="1253" spans="1:41" x14ac:dyDescent="0.25">
      <c r="A1253" s="10"/>
      <c r="B1253" s="10"/>
      <c r="C1253" s="10"/>
      <c r="D1253" s="10"/>
      <c r="E1253" s="10"/>
      <c r="F1253" s="10"/>
      <c r="G1253" s="10"/>
      <c r="H1253" s="10"/>
      <c r="I1253" s="1" t="str">
        <f t="shared" si="57"/>
        <v/>
      </c>
      <c r="J1253" s="1" t="s">
        <v>35</v>
      </c>
      <c r="K1253" s="1" t="str">
        <f t="shared" si="58"/>
        <v/>
      </c>
      <c r="L1253" s="1" t="str">
        <f t="shared" si="59"/>
        <v/>
      </c>
      <c r="M1253" s="1">
        <f>IF(OR(Table1[[#This Row],[Std Nom]]="",Table1[[#This Row],[Std Read]]=""),0,Table1[[#This Row],[Std Nom]]-Table1[[#This Row],[Std Read]])</f>
        <v>0</v>
      </c>
      <c r="N1253" s="1">
        <f>IF(Calculations!$F$5="ACCREDITED 17025 WITH UNCERTAINTIES",$N$10,0)</f>
        <v>0</v>
      </c>
      <c r="Q1253" s="1">
        <f>Table1[[#This Row],[High Tol]]-Table1[[#This Row],[Low Tol]]</f>
        <v>0</v>
      </c>
      <c r="R1253" s="1">
        <f>2*Table1[[#This Row],[Std Error]]</f>
        <v>0</v>
      </c>
      <c r="S1253" s="1" t="str">
        <f>IF(Table1[[#This Row],[High Tol]]="","N/A",IFERROR(ABS(Table1[[#This Row],[Tol Span]]/Table1[[#This Row],[Error Span]]),"N/A"))</f>
        <v>N/A</v>
      </c>
      <c r="T1253" s="1" t="str">
        <f>IF(OR(Table1[[#This Row],[Low Tol]]="",Table1[[#This Row],[High Tol]]=""),"Needs Analysis",IF(Table1[[#This Row],[Ratio]]&gt;=4,"Not Significant",IF(Table1[[#This Row],[Ratio]]&gt;=2,"Semi-Significant","Significant")))</f>
        <v>Needs Analysis</v>
      </c>
      <c r="W1253" s="1">
        <f>IF(Table1[[#This Row],[Cal Type]]&lt;&gt;"ACCREDITED 17025 WITH UNCERTAINTIES",0,"")</f>
        <v>0</v>
      </c>
      <c r="X1253" s="1" t="str">
        <f>IF(Table1[[#This Row],[DUT Read]]="","N/A",Table1[[#This Row],[Std Error]]+Table1[[#This Row],[DUT Read]]+Table1[[#This Row],[DUT Ucty]])</f>
        <v>N/A</v>
      </c>
      <c r="Y1253" s="1" t="str">
        <f>IF(Table1[[#This Row],[Std Read]]="","N/A",Table1[[#This Row],[Std Read]]+Table1[[#This Row],[Std Ucty]])</f>
        <v>N/A</v>
      </c>
      <c r="Z12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3" s="1" t="str">
        <f>IF(Table1[[#This Row],[Spec Type]]="","N/A",Table1[[#This Row],[Spec Type]])</f>
        <v>±</v>
      </c>
      <c r="AC1253" s="1" t="str">
        <f>IF(Table1[[#This Row],[Spec Type2]]="N/A","N/A",IF(AND(Table1[[#This Row],[DUT Adj Read]]&gt;=Table1[[#This Row],[Low Tol]],Table1[[#This Row],[DUT Adj Read]]&lt;=Table1[[#This Row],[High Tol]]),"Pass","Fail"))</f>
        <v>Fail</v>
      </c>
      <c r="AD1253" s="1" t="str">
        <f>IF(AND(Table1[[#This Row],[Spec Type2]]="N/A",Table1[[#This Row],[DUT Adj Read]]="N/A",Table1[[#This Row],[Std Adj Read]]="N/A"),"N/A",IF(Table1[[#This Row],[DUT Adj Read]]="N/A",IF(Table1[[#This Row],[Std Adj Read]]&gt;Table1[[#This Row],[Low Tol]],"Pass","Fail"),IF(Table1[[#This Row],[DUT Adj Read]]&gt;Table1[[#This Row],[Low Tol]],"Pass","Fail")))</f>
        <v>Pass</v>
      </c>
      <c r="AE1253" s="1" t="str">
        <f>IF(AND(Table1[[#This Row],[Spec Type2]]="N/A",Table1[[#This Row],[DUT Adj Read]]="N/A",Table1[[#This Row],[Std Adj Read]]="N/A"),"N/A",IF(Table1[[#This Row],[DUT Adj Read]]="N/A",IF(Table1[[#This Row],[Std Adj Read]]&lt;Table1[[#This Row],[High Tol]],"Pass","Fail"),IF(Table1[[#This Row],[DUT Adj Read]]&lt;Table1[[#This Row],[High Tol]],"Pass","Fail")))</f>
        <v>Fail</v>
      </c>
      <c r="AF1253" s="1" t="str">
        <f>IF(AND(Table1[[#This Row],[Spec Type2]]="N/A",Table1[[#This Row],[DUT Adj Read]]="N/A",Table1[[#This Row],[Std Adj Read]]="N/A"),"N/A",IF(Table1[[#This Row],[DUT Adj Read]]="N/A",IF(Table1[[#This Row],[Std Adj Read]]&gt;=Table1[[#This Row],[Low Tol]],"Pass","Fail"),IF(Table1[[#This Row],[DUT Adj Read]]&gt;=Table1[[#This Row],[Low Tol]],"Pass","Fail")))</f>
        <v>Pass</v>
      </c>
      <c r="AG1253" s="1" t="str">
        <f>IF(AND(Table1[[#This Row],[Spec Type2]]="N/A",Table1[[#This Row],[DUT Adj Read]]="N/A",Table1[[#This Row],[Std Adj Read]]="N/A"),"N/A",IF(Table1[[#This Row],[DUT Adj Read]]="N/A",IF(Table1[[#This Row],[Std Adj Read]]&lt;=Table1[[#This Row],[High Tol]],"Pass","Fail"),IF(Table1[[#This Row],[DUT Adj Read]]&lt;=Table1[[#This Row],[High Tol]],"Pass","Fail")))</f>
        <v>Fail</v>
      </c>
      <c r="AH12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3" s="1" t="b">
        <v>0</v>
      </c>
      <c r="AN1253" s="1" t="b">
        <v>0</v>
      </c>
      <c r="AO1253" s="1" t="b">
        <v>0</v>
      </c>
    </row>
    <row r="1254" spans="1:41" x14ac:dyDescent="0.25">
      <c r="A1254" s="10"/>
      <c r="B1254" s="10"/>
      <c r="C1254" s="10"/>
      <c r="D1254" s="10"/>
      <c r="E1254" s="10"/>
      <c r="F1254" s="10"/>
      <c r="G1254" s="10"/>
      <c r="H1254" s="10"/>
      <c r="I1254" s="1" t="str">
        <f t="shared" si="57"/>
        <v/>
      </c>
      <c r="J1254" s="1" t="s">
        <v>35</v>
      </c>
      <c r="K1254" s="1" t="str">
        <f t="shared" si="58"/>
        <v/>
      </c>
      <c r="L1254" s="1" t="str">
        <f t="shared" si="59"/>
        <v/>
      </c>
      <c r="M1254" s="1">
        <f>IF(OR(Table1[[#This Row],[Std Nom]]="",Table1[[#This Row],[Std Read]]=""),0,Table1[[#This Row],[Std Nom]]-Table1[[#This Row],[Std Read]])</f>
        <v>0</v>
      </c>
      <c r="N1254" s="1">
        <f>IF(Calculations!$F$5="ACCREDITED 17025 WITH UNCERTAINTIES",$N$10,0)</f>
        <v>0</v>
      </c>
      <c r="Q1254" s="1">
        <f>Table1[[#This Row],[High Tol]]-Table1[[#This Row],[Low Tol]]</f>
        <v>0</v>
      </c>
      <c r="R1254" s="1">
        <f>2*Table1[[#This Row],[Std Error]]</f>
        <v>0</v>
      </c>
      <c r="S1254" s="1" t="str">
        <f>IF(Table1[[#This Row],[High Tol]]="","N/A",IFERROR(ABS(Table1[[#This Row],[Tol Span]]/Table1[[#This Row],[Error Span]]),"N/A"))</f>
        <v>N/A</v>
      </c>
      <c r="T1254" s="1" t="str">
        <f>IF(OR(Table1[[#This Row],[Low Tol]]="",Table1[[#This Row],[High Tol]]=""),"Needs Analysis",IF(Table1[[#This Row],[Ratio]]&gt;=4,"Not Significant",IF(Table1[[#This Row],[Ratio]]&gt;=2,"Semi-Significant","Significant")))</f>
        <v>Needs Analysis</v>
      </c>
      <c r="W1254" s="1">
        <f>IF(Table1[[#This Row],[Cal Type]]&lt;&gt;"ACCREDITED 17025 WITH UNCERTAINTIES",0,"")</f>
        <v>0</v>
      </c>
      <c r="X1254" s="1" t="str">
        <f>IF(Table1[[#This Row],[DUT Read]]="","N/A",Table1[[#This Row],[Std Error]]+Table1[[#This Row],[DUT Read]]+Table1[[#This Row],[DUT Ucty]])</f>
        <v>N/A</v>
      </c>
      <c r="Y1254" s="1" t="str">
        <f>IF(Table1[[#This Row],[Std Read]]="","N/A",Table1[[#This Row],[Std Read]]+Table1[[#This Row],[Std Ucty]])</f>
        <v>N/A</v>
      </c>
      <c r="Z12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4" s="1" t="str">
        <f>IF(Table1[[#This Row],[Spec Type]]="","N/A",Table1[[#This Row],[Spec Type]])</f>
        <v>±</v>
      </c>
      <c r="AC1254" s="1" t="str">
        <f>IF(Table1[[#This Row],[Spec Type2]]="N/A","N/A",IF(AND(Table1[[#This Row],[DUT Adj Read]]&gt;=Table1[[#This Row],[Low Tol]],Table1[[#This Row],[DUT Adj Read]]&lt;=Table1[[#This Row],[High Tol]]),"Pass","Fail"))</f>
        <v>Fail</v>
      </c>
      <c r="AD1254" s="1" t="str">
        <f>IF(AND(Table1[[#This Row],[Spec Type2]]="N/A",Table1[[#This Row],[DUT Adj Read]]="N/A",Table1[[#This Row],[Std Adj Read]]="N/A"),"N/A",IF(Table1[[#This Row],[DUT Adj Read]]="N/A",IF(Table1[[#This Row],[Std Adj Read]]&gt;Table1[[#This Row],[Low Tol]],"Pass","Fail"),IF(Table1[[#This Row],[DUT Adj Read]]&gt;Table1[[#This Row],[Low Tol]],"Pass","Fail")))</f>
        <v>Pass</v>
      </c>
      <c r="AE1254" s="1" t="str">
        <f>IF(AND(Table1[[#This Row],[Spec Type2]]="N/A",Table1[[#This Row],[DUT Adj Read]]="N/A",Table1[[#This Row],[Std Adj Read]]="N/A"),"N/A",IF(Table1[[#This Row],[DUT Adj Read]]="N/A",IF(Table1[[#This Row],[Std Adj Read]]&lt;Table1[[#This Row],[High Tol]],"Pass","Fail"),IF(Table1[[#This Row],[DUT Adj Read]]&lt;Table1[[#This Row],[High Tol]],"Pass","Fail")))</f>
        <v>Fail</v>
      </c>
      <c r="AF1254" s="1" t="str">
        <f>IF(AND(Table1[[#This Row],[Spec Type2]]="N/A",Table1[[#This Row],[DUT Adj Read]]="N/A",Table1[[#This Row],[Std Adj Read]]="N/A"),"N/A",IF(Table1[[#This Row],[DUT Adj Read]]="N/A",IF(Table1[[#This Row],[Std Adj Read]]&gt;=Table1[[#This Row],[Low Tol]],"Pass","Fail"),IF(Table1[[#This Row],[DUT Adj Read]]&gt;=Table1[[#This Row],[Low Tol]],"Pass","Fail")))</f>
        <v>Pass</v>
      </c>
      <c r="AG1254" s="1" t="str">
        <f>IF(AND(Table1[[#This Row],[Spec Type2]]="N/A",Table1[[#This Row],[DUT Adj Read]]="N/A",Table1[[#This Row],[Std Adj Read]]="N/A"),"N/A",IF(Table1[[#This Row],[DUT Adj Read]]="N/A",IF(Table1[[#This Row],[Std Adj Read]]&lt;=Table1[[#This Row],[High Tol]],"Pass","Fail"),IF(Table1[[#This Row],[DUT Adj Read]]&lt;=Table1[[#This Row],[High Tol]],"Pass","Fail")))</f>
        <v>Fail</v>
      </c>
      <c r="AH12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4" s="1" t="b">
        <v>0</v>
      </c>
      <c r="AN1254" s="1" t="b">
        <v>0</v>
      </c>
      <c r="AO1254" s="1" t="b">
        <v>0</v>
      </c>
    </row>
    <row r="1255" spans="1:41" x14ac:dyDescent="0.25">
      <c r="A1255" s="10"/>
      <c r="B1255" s="10"/>
      <c r="C1255" s="10"/>
      <c r="D1255" s="10"/>
      <c r="E1255" s="10"/>
      <c r="F1255" s="10"/>
      <c r="G1255" s="10"/>
      <c r="H1255" s="10"/>
      <c r="I1255" s="1" t="str">
        <f t="shared" si="57"/>
        <v/>
      </c>
      <c r="J1255" s="1" t="s">
        <v>35</v>
      </c>
      <c r="K1255" s="1" t="str">
        <f t="shared" si="58"/>
        <v/>
      </c>
      <c r="L1255" s="1" t="str">
        <f t="shared" si="59"/>
        <v/>
      </c>
      <c r="M1255" s="1">
        <f>IF(OR(Table1[[#This Row],[Std Nom]]="",Table1[[#This Row],[Std Read]]=""),0,Table1[[#This Row],[Std Nom]]-Table1[[#This Row],[Std Read]])</f>
        <v>0</v>
      </c>
      <c r="N1255" s="1">
        <f>IF(Calculations!$F$5="ACCREDITED 17025 WITH UNCERTAINTIES",$N$10,0)</f>
        <v>0</v>
      </c>
      <c r="Q1255" s="1">
        <f>Table1[[#This Row],[High Tol]]-Table1[[#This Row],[Low Tol]]</f>
        <v>0</v>
      </c>
      <c r="R1255" s="1">
        <f>2*Table1[[#This Row],[Std Error]]</f>
        <v>0</v>
      </c>
      <c r="S1255" s="1" t="str">
        <f>IF(Table1[[#This Row],[High Tol]]="","N/A",IFERROR(ABS(Table1[[#This Row],[Tol Span]]/Table1[[#This Row],[Error Span]]),"N/A"))</f>
        <v>N/A</v>
      </c>
      <c r="T1255" s="1" t="str">
        <f>IF(OR(Table1[[#This Row],[Low Tol]]="",Table1[[#This Row],[High Tol]]=""),"Needs Analysis",IF(Table1[[#This Row],[Ratio]]&gt;=4,"Not Significant",IF(Table1[[#This Row],[Ratio]]&gt;=2,"Semi-Significant","Significant")))</f>
        <v>Needs Analysis</v>
      </c>
      <c r="W1255" s="1">
        <f>IF(Table1[[#This Row],[Cal Type]]&lt;&gt;"ACCREDITED 17025 WITH UNCERTAINTIES",0,"")</f>
        <v>0</v>
      </c>
      <c r="X1255" s="1" t="str">
        <f>IF(Table1[[#This Row],[DUT Read]]="","N/A",Table1[[#This Row],[Std Error]]+Table1[[#This Row],[DUT Read]]+Table1[[#This Row],[DUT Ucty]])</f>
        <v>N/A</v>
      </c>
      <c r="Y1255" s="1" t="str">
        <f>IF(Table1[[#This Row],[Std Read]]="","N/A",Table1[[#This Row],[Std Read]]+Table1[[#This Row],[Std Ucty]])</f>
        <v>N/A</v>
      </c>
      <c r="Z12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5" s="1" t="str">
        <f>IF(Table1[[#This Row],[Spec Type]]="","N/A",Table1[[#This Row],[Spec Type]])</f>
        <v>±</v>
      </c>
      <c r="AC1255" s="1" t="str">
        <f>IF(Table1[[#This Row],[Spec Type2]]="N/A","N/A",IF(AND(Table1[[#This Row],[DUT Adj Read]]&gt;=Table1[[#This Row],[Low Tol]],Table1[[#This Row],[DUT Adj Read]]&lt;=Table1[[#This Row],[High Tol]]),"Pass","Fail"))</f>
        <v>Fail</v>
      </c>
      <c r="AD1255" s="1" t="str">
        <f>IF(AND(Table1[[#This Row],[Spec Type2]]="N/A",Table1[[#This Row],[DUT Adj Read]]="N/A",Table1[[#This Row],[Std Adj Read]]="N/A"),"N/A",IF(Table1[[#This Row],[DUT Adj Read]]="N/A",IF(Table1[[#This Row],[Std Adj Read]]&gt;Table1[[#This Row],[Low Tol]],"Pass","Fail"),IF(Table1[[#This Row],[DUT Adj Read]]&gt;Table1[[#This Row],[Low Tol]],"Pass","Fail")))</f>
        <v>Pass</v>
      </c>
      <c r="AE1255" s="1" t="str">
        <f>IF(AND(Table1[[#This Row],[Spec Type2]]="N/A",Table1[[#This Row],[DUT Adj Read]]="N/A",Table1[[#This Row],[Std Adj Read]]="N/A"),"N/A",IF(Table1[[#This Row],[DUT Adj Read]]="N/A",IF(Table1[[#This Row],[Std Adj Read]]&lt;Table1[[#This Row],[High Tol]],"Pass","Fail"),IF(Table1[[#This Row],[DUT Adj Read]]&lt;Table1[[#This Row],[High Tol]],"Pass","Fail")))</f>
        <v>Fail</v>
      </c>
      <c r="AF1255" s="1" t="str">
        <f>IF(AND(Table1[[#This Row],[Spec Type2]]="N/A",Table1[[#This Row],[DUT Adj Read]]="N/A",Table1[[#This Row],[Std Adj Read]]="N/A"),"N/A",IF(Table1[[#This Row],[DUT Adj Read]]="N/A",IF(Table1[[#This Row],[Std Adj Read]]&gt;=Table1[[#This Row],[Low Tol]],"Pass","Fail"),IF(Table1[[#This Row],[DUT Adj Read]]&gt;=Table1[[#This Row],[Low Tol]],"Pass","Fail")))</f>
        <v>Pass</v>
      </c>
      <c r="AG1255" s="1" t="str">
        <f>IF(AND(Table1[[#This Row],[Spec Type2]]="N/A",Table1[[#This Row],[DUT Adj Read]]="N/A",Table1[[#This Row],[Std Adj Read]]="N/A"),"N/A",IF(Table1[[#This Row],[DUT Adj Read]]="N/A",IF(Table1[[#This Row],[Std Adj Read]]&lt;=Table1[[#This Row],[High Tol]],"Pass","Fail"),IF(Table1[[#This Row],[DUT Adj Read]]&lt;=Table1[[#This Row],[High Tol]],"Pass","Fail")))</f>
        <v>Fail</v>
      </c>
      <c r="AH12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5" s="1" t="b">
        <v>0</v>
      </c>
      <c r="AN1255" s="1" t="b">
        <v>0</v>
      </c>
      <c r="AO1255" s="1" t="b">
        <v>0</v>
      </c>
    </row>
    <row r="1256" spans="1:41" x14ac:dyDescent="0.25">
      <c r="A1256" s="10"/>
      <c r="B1256" s="10"/>
      <c r="C1256" s="10"/>
      <c r="D1256" s="10"/>
      <c r="E1256" s="10"/>
      <c r="F1256" s="10"/>
      <c r="G1256" s="10"/>
      <c r="H1256" s="10"/>
      <c r="I1256" s="1" t="str">
        <f t="shared" si="57"/>
        <v/>
      </c>
      <c r="J1256" s="1" t="s">
        <v>35</v>
      </c>
      <c r="K1256" s="1" t="str">
        <f t="shared" si="58"/>
        <v/>
      </c>
      <c r="L1256" s="1" t="str">
        <f t="shared" si="59"/>
        <v/>
      </c>
      <c r="M1256" s="1">
        <f>IF(OR(Table1[[#This Row],[Std Nom]]="",Table1[[#This Row],[Std Read]]=""),0,Table1[[#This Row],[Std Nom]]-Table1[[#This Row],[Std Read]])</f>
        <v>0</v>
      </c>
      <c r="N1256" s="1">
        <f>IF(Calculations!$F$5="ACCREDITED 17025 WITH UNCERTAINTIES",$N$10,0)</f>
        <v>0</v>
      </c>
      <c r="Q1256" s="1">
        <f>Table1[[#This Row],[High Tol]]-Table1[[#This Row],[Low Tol]]</f>
        <v>0</v>
      </c>
      <c r="R1256" s="1">
        <f>2*Table1[[#This Row],[Std Error]]</f>
        <v>0</v>
      </c>
      <c r="S1256" s="1" t="str">
        <f>IF(Table1[[#This Row],[High Tol]]="","N/A",IFERROR(ABS(Table1[[#This Row],[Tol Span]]/Table1[[#This Row],[Error Span]]),"N/A"))</f>
        <v>N/A</v>
      </c>
      <c r="T1256" s="1" t="str">
        <f>IF(OR(Table1[[#This Row],[Low Tol]]="",Table1[[#This Row],[High Tol]]=""),"Needs Analysis",IF(Table1[[#This Row],[Ratio]]&gt;=4,"Not Significant",IF(Table1[[#This Row],[Ratio]]&gt;=2,"Semi-Significant","Significant")))</f>
        <v>Needs Analysis</v>
      </c>
      <c r="W1256" s="1">
        <f>IF(Table1[[#This Row],[Cal Type]]&lt;&gt;"ACCREDITED 17025 WITH UNCERTAINTIES",0,"")</f>
        <v>0</v>
      </c>
      <c r="X1256" s="1" t="str">
        <f>IF(Table1[[#This Row],[DUT Read]]="","N/A",Table1[[#This Row],[Std Error]]+Table1[[#This Row],[DUT Read]]+Table1[[#This Row],[DUT Ucty]])</f>
        <v>N/A</v>
      </c>
      <c r="Y1256" s="1" t="str">
        <f>IF(Table1[[#This Row],[Std Read]]="","N/A",Table1[[#This Row],[Std Read]]+Table1[[#This Row],[Std Ucty]])</f>
        <v>N/A</v>
      </c>
      <c r="Z12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6" s="1" t="str">
        <f>IF(Table1[[#This Row],[Spec Type]]="","N/A",Table1[[#This Row],[Spec Type]])</f>
        <v>±</v>
      </c>
      <c r="AC1256" s="1" t="str">
        <f>IF(Table1[[#This Row],[Spec Type2]]="N/A","N/A",IF(AND(Table1[[#This Row],[DUT Adj Read]]&gt;=Table1[[#This Row],[Low Tol]],Table1[[#This Row],[DUT Adj Read]]&lt;=Table1[[#This Row],[High Tol]]),"Pass","Fail"))</f>
        <v>Fail</v>
      </c>
      <c r="AD1256" s="1" t="str">
        <f>IF(AND(Table1[[#This Row],[Spec Type2]]="N/A",Table1[[#This Row],[DUT Adj Read]]="N/A",Table1[[#This Row],[Std Adj Read]]="N/A"),"N/A",IF(Table1[[#This Row],[DUT Adj Read]]="N/A",IF(Table1[[#This Row],[Std Adj Read]]&gt;Table1[[#This Row],[Low Tol]],"Pass","Fail"),IF(Table1[[#This Row],[DUT Adj Read]]&gt;Table1[[#This Row],[Low Tol]],"Pass","Fail")))</f>
        <v>Pass</v>
      </c>
      <c r="AE1256" s="1" t="str">
        <f>IF(AND(Table1[[#This Row],[Spec Type2]]="N/A",Table1[[#This Row],[DUT Adj Read]]="N/A",Table1[[#This Row],[Std Adj Read]]="N/A"),"N/A",IF(Table1[[#This Row],[DUT Adj Read]]="N/A",IF(Table1[[#This Row],[Std Adj Read]]&lt;Table1[[#This Row],[High Tol]],"Pass","Fail"),IF(Table1[[#This Row],[DUT Adj Read]]&lt;Table1[[#This Row],[High Tol]],"Pass","Fail")))</f>
        <v>Fail</v>
      </c>
      <c r="AF1256" s="1" t="str">
        <f>IF(AND(Table1[[#This Row],[Spec Type2]]="N/A",Table1[[#This Row],[DUT Adj Read]]="N/A",Table1[[#This Row],[Std Adj Read]]="N/A"),"N/A",IF(Table1[[#This Row],[DUT Adj Read]]="N/A",IF(Table1[[#This Row],[Std Adj Read]]&gt;=Table1[[#This Row],[Low Tol]],"Pass","Fail"),IF(Table1[[#This Row],[DUT Adj Read]]&gt;=Table1[[#This Row],[Low Tol]],"Pass","Fail")))</f>
        <v>Pass</v>
      </c>
      <c r="AG1256" s="1" t="str">
        <f>IF(AND(Table1[[#This Row],[Spec Type2]]="N/A",Table1[[#This Row],[DUT Adj Read]]="N/A",Table1[[#This Row],[Std Adj Read]]="N/A"),"N/A",IF(Table1[[#This Row],[DUT Adj Read]]="N/A",IF(Table1[[#This Row],[Std Adj Read]]&lt;=Table1[[#This Row],[High Tol]],"Pass","Fail"),IF(Table1[[#This Row],[DUT Adj Read]]&lt;=Table1[[#This Row],[High Tol]],"Pass","Fail")))</f>
        <v>Fail</v>
      </c>
      <c r="AH12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6" s="1" t="b">
        <v>0</v>
      </c>
      <c r="AN1256" s="1" t="b">
        <v>0</v>
      </c>
      <c r="AO1256" s="1" t="b">
        <v>0</v>
      </c>
    </row>
    <row r="1257" spans="1:41" x14ac:dyDescent="0.25">
      <c r="A1257" s="10"/>
      <c r="B1257" s="10"/>
      <c r="C1257" s="10"/>
      <c r="D1257" s="10"/>
      <c r="E1257" s="10"/>
      <c r="F1257" s="10"/>
      <c r="G1257" s="10"/>
      <c r="H1257" s="10"/>
      <c r="I1257" s="1" t="str">
        <f t="shared" si="57"/>
        <v/>
      </c>
      <c r="J1257" s="1" t="s">
        <v>35</v>
      </c>
      <c r="K1257" s="1" t="str">
        <f t="shared" si="58"/>
        <v/>
      </c>
      <c r="L1257" s="1" t="str">
        <f t="shared" si="59"/>
        <v/>
      </c>
      <c r="M1257" s="1">
        <f>IF(OR(Table1[[#This Row],[Std Nom]]="",Table1[[#This Row],[Std Read]]=""),0,Table1[[#This Row],[Std Nom]]-Table1[[#This Row],[Std Read]])</f>
        <v>0</v>
      </c>
      <c r="N1257" s="1">
        <f>IF(Calculations!$F$5="ACCREDITED 17025 WITH UNCERTAINTIES",$N$10,0)</f>
        <v>0</v>
      </c>
      <c r="Q1257" s="1">
        <f>Table1[[#This Row],[High Tol]]-Table1[[#This Row],[Low Tol]]</f>
        <v>0</v>
      </c>
      <c r="R1257" s="1">
        <f>2*Table1[[#This Row],[Std Error]]</f>
        <v>0</v>
      </c>
      <c r="S1257" s="1" t="str">
        <f>IF(Table1[[#This Row],[High Tol]]="","N/A",IFERROR(ABS(Table1[[#This Row],[Tol Span]]/Table1[[#This Row],[Error Span]]),"N/A"))</f>
        <v>N/A</v>
      </c>
      <c r="T1257" s="1" t="str">
        <f>IF(OR(Table1[[#This Row],[Low Tol]]="",Table1[[#This Row],[High Tol]]=""),"Needs Analysis",IF(Table1[[#This Row],[Ratio]]&gt;=4,"Not Significant",IF(Table1[[#This Row],[Ratio]]&gt;=2,"Semi-Significant","Significant")))</f>
        <v>Needs Analysis</v>
      </c>
      <c r="W1257" s="1">
        <f>IF(Table1[[#This Row],[Cal Type]]&lt;&gt;"ACCREDITED 17025 WITH UNCERTAINTIES",0,"")</f>
        <v>0</v>
      </c>
      <c r="X1257" s="1" t="str">
        <f>IF(Table1[[#This Row],[DUT Read]]="","N/A",Table1[[#This Row],[Std Error]]+Table1[[#This Row],[DUT Read]]+Table1[[#This Row],[DUT Ucty]])</f>
        <v>N/A</v>
      </c>
      <c r="Y1257" s="1" t="str">
        <f>IF(Table1[[#This Row],[Std Read]]="","N/A",Table1[[#This Row],[Std Read]]+Table1[[#This Row],[Std Ucty]])</f>
        <v>N/A</v>
      </c>
      <c r="Z12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7" s="1" t="str">
        <f>IF(Table1[[#This Row],[Spec Type]]="","N/A",Table1[[#This Row],[Spec Type]])</f>
        <v>±</v>
      </c>
      <c r="AC1257" s="1" t="str">
        <f>IF(Table1[[#This Row],[Spec Type2]]="N/A","N/A",IF(AND(Table1[[#This Row],[DUT Adj Read]]&gt;=Table1[[#This Row],[Low Tol]],Table1[[#This Row],[DUT Adj Read]]&lt;=Table1[[#This Row],[High Tol]]),"Pass","Fail"))</f>
        <v>Fail</v>
      </c>
      <c r="AD1257" s="1" t="str">
        <f>IF(AND(Table1[[#This Row],[Spec Type2]]="N/A",Table1[[#This Row],[DUT Adj Read]]="N/A",Table1[[#This Row],[Std Adj Read]]="N/A"),"N/A",IF(Table1[[#This Row],[DUT Adj Read]]="N/A",IF(Table1[[#This Row],[Std Adj Read]]&gt;Table1[[#This Row],[Low Tol]],"Pass","Fail"),IF(Table1[[#This Row],[DUT Adj Read]]&gt;Table1[[#This Row],[Low Tol]],"Pass","Fail")))</f>
        <v>Pass</v>
      </c>
      <c r="AE1257" s="1" t="str">
        <f>IF(AND(Table1[[#This Row],[Spec Type2]]="N/A",Table1[[#This Row],[DUT Adj Read]]="N/A",Table1[[#This Row],[Std Adj Read]]="N/A"),"N/A",IF(Table1[[#This Row],[DUT Adj Read]]="N/A",IF(Table1[[#This Row],[Std Adj Read]]&lt;Table1[[#This Row],[High Tol]],"Pass","Fail"),IF(Table1[[#This Row],[DUT Adj Read]]&lt;Table1[[#This Row],[High Tol]],"Pass","Fail")))</f>
        <v>Fail</v>
      </c>
      <c r="AF1257" s="1" t="str">
        <f>IF(AND(Table1[[#This Row],[Spec Type2]]="N/A",Table1[[#This Row],[DUT Adj Read]]="N/A",Table1[[#This Row],[Std Adj Read]]="N/A"),"N/A",IF(Table1[[#This Row],[DUT Adj Read]]="N/A",IF(Table1[[#This Row],[Std Adj Read]]&gt;=Table1[[#This Row],[Low Tol]],"Pass","Fail"),IF(Table1[[#This Row],[DUT Adj Read]]&gt;=Table1[[#This Row],[Low Tol]],"Pass","Fail")))</f>
        <v>Pass</v>
      </c>
      <c r="AG1257" s="1" t="str">
        <f>IF(AND(Table1[[#This Row],[Spec Type2]]="N/A",Table1[[#This Row],[DUT Adj Read]]="N/A",Table1[[#This Row],[Std Adj Read]]="N/A"),"N/A",IF(Table1[[#This Row],[DUT Adj Read]]="N/A",IF(Table1[[#This Row],[Std Adj Read]]&lt;=Table1[[#This Row],[High Tol]],"Pass","Fail"),IF(Table1[[#This Row],[DUT Adj Read]]&lt;=Table1[[#This Row],[High Tol]],"Pass","Fail")))</f>
        <v>Fail</v>
      </c>
      <c r="AH12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7" s="1" t="b">
        <v>0</v>
      </c>
      <c r="AN1257" s="1" t="b">
        <v>0</v>
      </c>
      <c r="AO1257" s="1" t="b">
        <v>0</v>
      </c>
    </row>
    <row r="1258" spans="1:41" x14ac:dyDescent="0.25">
      <c r="A1258" s="10"/>
      <c r="B1258" s="10"/>
      <c r="C1258" s="10"/>
      <c r="D1258" s="10"/>
      <c r="E1258" s="10"/>
      <c r="F1258" s="10"/>
      <c r="G1258" s="10"/>
      <c r="H1258" s="10"/>
      <c r="I1258" s="1" t="str">
        <f t="shared" si="57"/>
        <v/>
      </c>
      <c r="J1258" s="1" t="s">
        <v>35</v>
      </c>
      <c r="K1258" s="1" t="str">
        <f t="shared" si="58"/>
        <v/>
      </c>
      <c r="L1258" s="1" t="str">
        <f t="shared" si="59"/>
        <v/>
      </c>
      <c r="M1258" s="1">
        <f>IF(OR(Table1[[#This Row],[Std Nom]]="",Table1[[#This Row],[Std Read]]=""),0,Table1[[#This Row],[Std Nom]]-Table1[[#This Row],[Std Read]])</f>
        <v>0</v>
      </c>
      <c r="N1258" s="1">
        <f>IF(Calculations!$F$5="ACCREDITED 17025 WITH UNCERTAINTIES",$N$10,0)</f>
        <v>0</v>
      </c>
      <c r="Q1258" s="1">
        <f>Table1[[#This Row],[High Tol]]-Table1[[#This Row],[Low Tol]]</f>
        <v>0</v>
      </c>
      <c r="R1258" s="1">
        <f>2*Table1[[#This Row],[Std Error]]</f>
        <v>0</v>
      </c>
      <c r="S1258" s="1" t="str">
        <f>IF(Table1[[#This Row],[High Tol]]="","N/A",IFERROR(ABS(Table1[[#This Row],[Tol Span]]/Table1[[#This Row],[Error Span]]),"N/A"))</f>
        <v>N/A</v>
      </c>
      <c r="T1258" s="1" t="str">
        <f>IF(OR(Table1[[#This Row],[Low Tol]]="",Table1[[#This Row],[High Tol]]=""),"Needs Analysis",IF(Table1[[#This Row],[Ratio]]&gt;=4,"Not Significant",IF(Table1[[#This Row],[Ratio]]&gt;=2,"Semi-Significant","Significant")))</f>
        <v>Needs Analysis</v>
      </c>
      <c r="W1258" s="1">
        <f>IF(Table1[[#This Row],[Cal Type]]&lt;&gt;"ACCREDITED 17025 WITH UNCERTAINTIES",0,"")</f>
        <v>0</v>
      </c>
      <c r="X1258" s="1" t="str">
        <f>IF(Table1[[#This Row],[DUT Read]]="","N/A",Table1[[#This Row],[Std Error]]+Table1[[#This Row],[DUT Read]]+Table1[[#This Row],[DUT Ucty]])</f>
        <v>N/A</v>
      </c>
      <c r="Y1258" s="1" t="str">
        <f>IF(Table1[[#This Row],[Std Read]]="","N/A",Table1[[#This Row],[Std Read]]+Table1[[#This Row],[Std Ucty]])</f>
        <v>N/A</v>
      </c>
      <c r="Z12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8" s="1" t="str">
        <f>IF(Table1[[#This Row],[Spec Type]]="","N/A",Table1[[#This Row],[Spec Type]])</f>
        <v>±</v>
      </c>
      <c r="AC1258" s="1" t="str">
        <f>IF(Table1[[#This Row],[Spec Type2]]="N/A","N/A",IF(AND(Table1[[#This Row],[DUT Adj Read]]&gt;=Table1[[#This Row],[Low Tol]],Table1[[#This Row],[DUT Adj Read]]&lt;=Table1[[#This Row],[High Tol]]),"Pass","Fail"))</f>
        <v>Fail</v>
      </c>
      <c r="AD1258" s="1" t="str">
        <f>IF(AND(Table1[[#This Row],[Spec Type2]]="N/A",Table1[[#This Row],[DUT Adj Read]]="N/A",Table1[[#This Row],[Std Adj Read]]="N/A"),"N/A",IF(Table1[[#This Row],[DUT Adj Read]]="N/A",IF(Table1[[#This Row],[Std Adj Read]]&gt;Table1[[#This Row],[Low Tol]],"Pass","Fail"),IF(Table1[[#This Row],[DUT Adj Read]]&gt;Table1[[#This Row],[Low Tol]],"Pass","Fail")))</f>
        <v>Pass</v>
      </c>
      <c r="AE1258" s="1" t="str">
        <f>IF(AND(Table1[[#This Row],[Spec Type2]]="N/A",Table1[[#This Row],[DUT Adj Read]]="N/A",Table1[[#This Row],[Std Adj Read]]="N/A"),"N/A",IF(Table1[[#This Row],[DUT Adj Read]]="N/A",IF(Table1[[#This Row],[Std Adj Read]]&lt;Table1[[#This Row],[High Tol]],"Pass","Fail"),IF(Table1[[#This Row],[DUT Adj Read]]&lt;Table1[[#This Row],[High Tol]],"Pass","Fail")))</f>
        <v>Fail</v>
      </c>
      <c r="AF1258" s="1" t="str">
        <f>IF(AND(Table1[[#This Row],[Spec Type2]]="N/A",Table1[[#This Row],[DUT Adj Read]]="N/A",Table1[[#This Row],[Std Adj Read]]="N/A"),"N/A",IF(Table1[[#This Row],[DUT Adj Read]]="N/A",IF(Table1[[#This Row],[Std Adj Read]]&gt;=Table1[[#This Row],[Low Tol]],"Pass","Fail"),IF(Table1[[#This Row],[DUT Adj Read]]&gt;=Table1[[#This Row],[Low Tol]],"Pass","Fail")))</f>
        <v>Pass</v>
      </c>
      <c r="AG1258" s="1" t="str">
        <f>IF(AND(Table1[[#This Row],[Spec Type2]]="N/A",Table1[[#This Row],[DUT Adj Read]]="N/A",Table1[[#This Row],[Std Adj Read]]="N/A"),"N/A",IF(Table1[[#This Row],[DUT Adj Read]]="N/A",IF(Table1[[#This Row],[Std Adj Read]]&lt;=Table1[[#This Row],[High Tol]],"Pass","Fail"),IF(Table1[[#This Row],[DUT Adj Read]]&lt;=Table1[[#This Row],[High Tol]],"Pass","Fail")))</f>
        <v>Fail</v>
      </c>
      <c r="AH12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8" s="1" t="b">
        <v>0</v>
      </c>
      <c r="AN1258" s="1" t="b">
        <v>0</v>
      </c>
      <c r="AO1258" s="1" t="b">
        <v>0</v>
      </c>
    </row>
    <row r="1259" spans="1:41" x14ac:dyDescent="0.25">
      <c r="A1259" s="10"/>
      <c r="B1259" s="10"/>
      <c r="C1259" s="10"/>
      <c r="D1259" s="10"/>
      <c r="E1259" s="10"/>
      <c r="F1259" s="10"/>
      <c r="G1259" s="10"/>
      <c r="H1259" s="10"/>
      <c r="I1259" s="1" t="str">
        <f t="shared" si="57"/>
        <v/>
      </c>
      <c r="J1259" s="1" t="s">
        <v>35</v>
      </c>
      <c r="K1259" s="1" t="str">
        <f t="shared" si="58"/>
        <v/>
      </c>
      <c r="L1259" s="1" t="str">
        <f t="shared" si="59"/>
        <v/>
      </c>
      <c r="M1259" s="1">
        <f>IF(OR(Table1[[#This Row],[Std Nom]]="",Table1[[#This Row],[Std Read]]=""),0,Table1[[#This Row],[Std Nom]]-Table1[[#This Row],[Std Read]])</f>
        <v>0</v>
      </c>
      <c r="N1259" s="1">
        <f>IF(Calculations!$F$5="ACCREDITED 17025 WITH UNCERTAINTIES",$N$10,0)</f>
        <v>0</v>
      </c>
      <c r="Q1259" s="1">
        <f>Table1[[#This Row],[High Tol]]-Table1[[#This Row],[Low Tol]]</f>
        <v>0</v>
      </c>
      <c r="R1259" s="1">
        <f>2*Table1[[#This Row],[Std Error]]</f>
        <v>0</v>
      </c>
      <c r="S1259" s="1" t="str">
        <f>IF(Table1[[#This Row],[High Tol]]="","N/A",IFERROR(ABS(Table1[[#This Row],[Tol Span]]/Table1[[#This Row],[Error Span]]),"N/A"))</f>
        <v>N/A</v>
      </c>
      <c r="T1259" s="1" t="str">
        <f>IF(OR(Table1[[#This Row],[Low Tol]]="",Table1[[#This Row],[High Tol]]=""),"Needs Analysis",IF(Table1[[#This Row],[Ratio]]&gt;=4,"Not Significant",IF(Table1[[#This Row],[Ratio]]&gt;=2,"Semi-Significant","Significant")))</f>
        <v>Needs Analysis</v>
      </c>
      <c r="W1259" s="1">
        <f>IF(Table1[[#This Row],[Cal Type]]&lt;&gt;"ACCREDITED 17025 WITH UNCERTAINTIES",0,"")</f>
        <v>0</v>
      </c>
      <c r="X1259" s="1" t="str">
        <f>IF(Table1[[#This Row],[DUT Read]]="","N/A",Table1[[#This Row],[Std Error]]+Table1[[#This Row],[DUT Read]]+Table1[[#This Row],[DUT Ucty]])</f>
        <v>N/A</v>
      </c>
      <c r="Y1259" s="1" t="str">
        <f>IF(Table1[[#This Row],[Std Read]]="","N/A",Table1[[#This Row],[Std Read]]+Table1[[#This Row],[Std Ucty]])</f>
        <v>N/A</v>
      </c>
      <c r="Z12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59" s="1" t="str">
        <f>IF(Table1[[#This Row],[Spec Type]]="","N/A",Table1[[#This Row],[Spec Type]])</f>
        <v>±</v>
      </c>
      <c r="AC1259" s="1" t="str">
        <f>IF(Table1[[#This Row],[Spec Type2]]="N/A","N/A",IF(AND(Table1[[#This Row],[DUT Adj Read]]&gt;=Table1[[#This Row],[Low Tol]],Table1[[#This Row],[DUT Adj Read]]&lt;=Table1[[#This Row],[High Tol]]),"Pass","Fail"))</f>
        <v>Fail</v>
      </c>
      <c r="AD1259" s="1" t="str">
        <f>IF(AND(Table1[[#This Row],[Spec Type2]]="N/A",Table1[[#This Row],[DUT Adj Read]]="N/A",Table1[[#This Row],[Std Adj Read]]="N/A"),"N/A",IF(Table1[[#This Row],[DUT Adj Read]]="N/A",IF(Table1[[#This Row],[Std Adj Read]]&gt;Table1[[#This Row],[Low Tol]],"Pass","Fail"),IF(Table1[[#This Row],[DUT Adj Read]]&gt;Table1[[#This Row],[Low Tol]],"Pass","Fail")))</f>
        <v>Pass</v>
      </c>
      <c r="AE1259" s="1" t="str">
        <f>IF(AND(Table1[[#This Row],[Spec Type2]]="N/A",Table1[[#This Row],[DUT Adj Read]]="N/A",Table1[[#This Row],[Std Adj Read]]="N/A"),"N/A",IF(Table1[[#This Row],[DUT Adj Read]]="N/A",IF(Table1[[#This Row],[Std Adj Read]]&lt;Table1[[#This Row],[High Tol]],"Pass","Fail"),IF(Table1[[#This Row],[DUT Adj Read]]&lt;Table1[[#This Row],[High Tol]],"Pass","Fail")))</f>
        <v>Fail</v>
      </c>
      <c r="AF1259" s="1" t="str">
        <f>IF(AND(Table1[[#This Row],[Spec Type2]]="N/A",Table1[[#This Row],[DUT Adj Read]]="N/A",Table1[[#This Row],[Std Adj Read]]="N/A"),"N/A",IF(Table1[[#This Row],[DUT Adj Read]]="N/A",IF(Table1[[#This Row],[Std Adj Read]]&gt;=Table1[[#This Row],[Low Tol]],"Pass","Fail"),IF(Table1[[#This Row],[DUT Adj Read]]&gt;=Table1[[#This Row],[Low Tol]],"Pass","Fail")))</f>
        <v>Pass</v>
      </c>
      <c r="AG1259" s="1" t="str">
        <f>IF(AND(Table1[[#This Row],[Spec Type2]]="N/A",Table1[[#This Row],[DUT Adj Read]]="N/A",Table1[[#This Row],[Std Adj Read]]="N/A"),"N/A",IF(Table1[[#This Row],[DUT Adj Read]]="N/A",IF(Table1[[#This Row],[Std Adj Read]]&lt;=Table1[[#This Row],[High Tol]],"Pass","Fail"),IF(Table1[[#This Row],[DUT Adj Read]]&lt;=Table1[[#This Row],[High Tol]],"Pass","Fail")))</f>
        <v>Fail</v>
      </c>
      <c r="AH12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59" s="1" t="b">
        <v>0</v>
      </c>
      <c r="AN1259" s="1" t="b">
        <v>0</v>
      </c>
      <c r="AO1259" s="1" t="b">
        <v>0</v>
      </c>
    </row>
    <row r="1260" spans="1:41" x14ac:dyDescent="0.25">
      <c r="A1260" s="10"/>
      <c r="B1260" s="10"/>
      <c r="C1260" s="10"/>
      <c r="D1260" s="10"/>
      <c r="E1260" s="10"/>
      <c r="F1260" s="10"/>
      <c r="G1260" s="10"/>
      <c r="H1260" s="10"/>
      <c r="I1260" s="1" t="str">
        <f t="shared" si="57"/>
        <v/>
      </c>
      <c r="J1260" s="1" t="s">
        <v>35</v>
      </c>
      <c r="K1260" s="1" t="str">
        <f t="shared" si="58"/>
        <v/>
      </c>
      <c r="L1260" s="1" t="str">
        <f t="shared" si="59"/>
        <v/>
      </c>
      <c r="M1260" s="1">
        <f>IF(OR(Table1[[#This Row],[Std Nom]]="",Table1[[#This Row],[Std Read]]=""),0,Table1[[#This Row],[Std Nom]]-Table1[[#This Row],[Std Read]])</f>
        <v>0</v>
      </c>
      <c r="N1260" s="1">
        <f>IF(Calculations!$F$5="ACCREDITED 17025 WITH UNCERTAINTIES",$N$10,0)</f>
        <v>0</v>
      </c>
      <c r="Q1260" s="1">
        <f>Table1[[#This Row],[High Tol]]-Table1[[#This Row],[Low Tol]]</f>
        <v>0</v>
      </c>
      <c r="R1260" s="1">
        <f>2*Table1[[#This Row],[Std Error]]</f>
        <v>0</v>
      </c>
      <c r="S1260" s="1" t="str">
        <f>IF(Table1[[#This Row],[High Tol]]="","N/A",IFERROR(ABS(Table1[[#This Row],[Tol Span]]/Table1[[#This Row],[Error Span]]),"N/A"))</f>
        <v>N/A</v>
      </c>
      <c r="T1260" s="1" t="str">
        <f>IF(OR(Table1[[#This Row],[Low Tol]]="",Table1[[#This Row],[High Tol]]=""),"Needs Analysis",IF(Table1[[#This Row],[Ratio]]&gt;=4,"Not Significant",IF(Table1[[#This Row],[Ratio]]&gt;=2,"Semi-Significant","Significant")))</f>
        <v>Needs Analysis</v>
      </c>
      <c r="W1260" s="1">
        <f>IF(Table1[[#This Row],[Cal Type]]&lt;&gt;"ACCREDITED 17025 WITH UNCERTAINTIES",0,"")</f>
        <v>0</v>
      </c>
      <c r="X1260" s="1" t="str">
        <f>IF(Table1[[#This Row],[DUT Read]]="","N/A",Table1[[#This Row],[Std Error]]+Table1[[#This Row],[DUT Read]]+Table1[[#This Row],[DUT Ucty]])</f>
        <v>N/A</v>
      </c>
      <c r="Y1260" s="1" t="str">
        <f>IF(Table1[[#This Row],[Std Read]]="","N/A",Table1[[#This Row],[Std Read]]+Table1[[#This Row],[Std Ucty]])</f>
        <v>N/A</v>
      </c>
      <c r="Z12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0" s="1" t="str">
        <f>IF(Table1[[#This Row],[Spec Type]]="","N/A",Table1[[#This Row],[Spec Type]])</f>
        <v>±</v>
      </c>
      <c r="AC1260" s="1" t="str">
        <f>IF(Table1[[#This Row],[Spec Type2]]="N/A","N/A",IF(AND(Table1[[#This Row],[DUT Adj Read]]&gt;=Table1[[#This Row],[Low Tol]],Table1[[#This Row],[DUT Adj Read]]&lt;=Table1[[#This Row],[High Tol]]),"Pass","Fail"))</f>
        <v>Fail</v>
      </c>
      <c r="AD1260" s="1" t="str">
        <f>IF(AND(Table1[[#This Row],[Spec Type2]]="N/A",Table1[[#This Row],[DUT Adj Read]]="N/A",Table1[[#This Row],[Std Adj Read]]="N/A"),"N/A",IF(Table1[[#This Row],[DUT Adj Read]]="N/A",IF(Table1[[#This Row],[Std Adj Read]]&gt;Table1[[#This Row],[Low Tol]],"Pass","Fail"),IF(Table1[[#This Row],[DUT Adj Read]]&gt;Table1[[#This Row],[Low Tol]],"Pass","Fail")))</f>
        <v>Pass</v>
      </c>
      <c r="AE1260" s="1" t="str">
        <f>IF(AND(Table1[[#This Row],[Spec Type2]]="N/A",Table1[[#This Row],[DUT Adj Read]]="N/A",Table1[[#This Row],[Std Adj Read]]="N/A"),"N/A",IF(Table1[[#This Row],[DUT Adj Read]]="N/A",IF(Table1[[#This Row],[Std Adj Read]]&lt;Table1[[#This Row],[High Tol]],"Pass","Fail"),IF(Table1[[#This Row],[DUT Adj Read]]&lt;Table1[[#This Row],[High Tol]],"Pass","Fail")))</f>
        <v>Fail</v>
      </c>
      <c r="AF1260" s="1" t="str">
        <f>IF(AND(Table1[[#This Row],[Spec Type2]]="N/A",Table1[[#This Row],[DUT Adj Read]]="N/A",Table1[[#This Row],[Std Adj Read]]="N/A"),"N/A",IF(Table1[[#This Row],[DUT Adj Read]]="N/A",IF(Table1[[#This Row],[Std Adj Read]]&gt;=Table1[[#This Row],[Low Tol]],"Pass","Fail"),IF(Table1[[#This Row],[DUT Adj Read]]&gt;=Table1[[#This Row],[Low Tol]],"Pass","Fail")))</f>
        <v>Pass</v>
      </c>
      <c r="AG1260" s="1" t="str">
        <f>IF(AND(Table1[[#This Row],[Spec Type2]]="N/A",Table1[[#This Row],[DUT Adj Read]]="N/A",Table1[[#This Row],[Std Adj Read]]="N/A"),"N/A",IF(Table1[[#This Row],[DUT Adj Read]]="N/A",IF(Table1[[#This Row],[Std Adj Read]]&lt;=Table1[[#This Row],[High Tol]],"Pass","Fail"),IF(Table1[[#This Row],[DUT Adj Read]]&lt;=Table1[[#This Row],[High Tol]],"Pass","Fail")))</f>
        <v>Fail</v>
      </c>
      <c r="AH12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0" s="1" t="b">
        <v>0</v>
      </c>
      <c r="AN1260" s="1" t="b">
        <v>0</v>
      </c>
      <c r="AO1260" s="1" t="b">
        <v>0</v>
      </c>
    </row>
    <row r="1261" spans="1:41" x14ac:dyDescent="0.25">
      <c r="A1261" s="10"/>
      <c r="B1261" s="10"/>
      <c r="C1261" s="10"/>
      <c r="D1261" s="10"/>
      <c r="E1261" s="10"/>
      <c r="F1261" s="10"/>
      <c r="G1261" s="10"/>
      <c r="H1261" s="10"/>
      <c r="I1261" s="1" t="str">
        <f t="shared" si="57"/>
        <v/>
      </c>
      <c r="J1261" s="1" t="s">
        <v>35</v>
      </c>
      <c r="K1261" s="1" t="str">
        <f t="shared" si="58"/>
        <v/>
      </c>
      <c r="L1261" s="1" t="str">
        <f t="shared" si="59"/>
        <v/>
      </c>
      <c r="M1261" s="1">
        <f>IF(OR(Table1[[#This Row],[Std Nom]]="",Table1[[#This Row],[Std Read]]=""),0,Table1[[#This Row],[Std Nom]]-Table1[[#This Row],[Std Read]])</f>
        <v>0</v>
      </c>
      <c r="N1261" s="1">
        <f>IF(Calculations!$F$5="ACCREDITED 17025 WITH UNCERTAINTIES",$N$10,0)</f>
        <v>0</v>
      </c>
      <c r="Q1261" s="1">
        <f>Table1[[#This Row],[High Tol]]-Table1[[#This Row],[Low Tol]]</f>
        <v>0</v>
      </c>
      <c r="R1261" s="1">
        <f>2*Table1[[#This Row],[Std Error]]</f>
        <v>0</v>
      </c>
      <c r="S1261" s="1" t="str">
        <f>IF(Table1[[#This Row],[High Tol]]="","N/A",IFERROR(ABS(Table1[[#This Row],[Tol Span]]/Table1[[#This Row],[Error Span]]),"N/A"))</f>
        <v>N/A</v>
      </c>
      <c r="T1261" s="1" t="str">
        <f>IF(OR(Table1[[#This Row],[Low Tol]]="",Table1[[#This Row],[High Tol]]=""),"Needs Analysis",IF(Table1[[#This Row],[Ratio]]&gt;=4,"Not Significant",IF(Table1[[#This Row],[Ratio]]&gt;=2,"Semi-Significant","Significant")))</f>
        <v>Needs Analysis</v>
      </c>
      <c r="W1261" s="1">
        <f>IF(Table1[[#This Row],[Cal Type]]&lt;&gt;"ACCREDITED 17025 WITH UNCERTAINTIES",0,"")</f>
        <v>0</v>
      </c>
      <c r="X1261" s="1" t="str">
        <f>IF(Table1[[#This Row],[DUT Read]]="","N/A",Table1[[#This Row],[Std Error]]+Table1[[#This Row],[DUT Read]]+Table1[[#This Row],[DUT Ucty]])</f>
        <v>N/A</v>
      </c>
      <c r="Y1261" s="1" t="str">
        <f>IF(Table1[[#This Row],[Std Read]]="","N/A",Table1[[#This Row],[Std Read]]+Table1[[#This Row],[Std Ucty]])</f>
        <v>N/A</v>
      </c>
      <c r="Z12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1" s="1" t="str">
        <f>IF(Table1[[#This Row],[Spec Type]]="","N/A",Table1[[#This Row],[Spec Type]])</f>
        <v>±</v>
      </c>
      <c r="AC1261" s="1" t="str">
        <f>IF(Table1[[#This Row],[Spec Type2]]="N/A","N/A",IF(AND(Table1[[#This Row],[DUT Adj Read]]&gt;=Table1[[#This Row],[Low Tol]],Table1[[#This Row],[DUT Adj Read]]&lt;=Table1[[#This Row],[High Tol]]),"Pass","Fail"))</f>
        <v>Fail</v>
      </c>
      <c r="AD1261" s="1" t="str">
        <f>IF(AND(Table1[[#This Row],[Spec Type2]]="N/A",Table1[[#This Row],[DUT Adj Read]]="N/A",Table1[[#This Row],[Std Adj Read]]="N/A"),"N/A",IF(Table1[[#This Row],[DUT Adj Read]]="N/A",IF(Table1[[#This Row],[Std Adj Read]]&gt;Table1[[#This Row],[Low Tol]],"Pass","Fail"),IF(Table1[[#This Row],[DUT Adj Read]]&gt;Table1[[#This Row],[Low Tol]],"Pass","Fail")))</f>
        <v>Pass</v>
      </c>
      <c r="AE1261" s="1" t="str">
        <f>IF(AND(Table1[[#This Row],[Spec Type2]]="N/A",Table1[[#This Row],[DUT Adj Read]]="N/A",Table1[[#This Row],[Std Adj Read]]="N/A"),"N/A",IF(Table1[[#This Row],[DUT Adj Read]]="N/A",IF(Table1[[#This Row],[Std Adj Read]]&lt;Table1[[#This Row],[High Tol]],"Pass","Fail"),IF(Table1[[#This Row],[DUT Adj Read]]&lt;Table1[[#This Row],[High Tol]],"Pass","Fail")))</f>
        <v>Fail</v>
      </c>
      <c r="AF1261" s="1" t="str">
        <f>IF(AND(Table1[[#This Row],[Spec Type2]]="N/A",Table1[[#This Row],[DUT Adj Read]]="N/A",Table1[[#This Row],[Std Adj Read]]="N/A"),"N/A",IF(Table1[[#This Row],[DUT Adj Read]]="N/A",IF(Table1[[#This Row],[Std Adj Read]]&gt;=Table1[[#This Row],[Low Tol]],"Pass","Fail"),IF(Table1[[#This Row],[DUT Adj Read]]&gt;=Table1[[#This Row],[Low Tol]],"Pass","Fail")))</f>
        <v>Pass</v>
      </c>
      <c r="AG1261" s="1" t="str">
        <f>IF(AND(Table1[[#This Row],[Spec Type2]]="N/A",Table1[[#This Row],[DUT Adj Read]]="N/A",Table1[[#This Row],[Std Adj Read]]="N/A"),"N/A",IF(Table1[[#This Row],[DUT Adj Read]]="N/A",IF(Table1[[#This Row],[Std Adj Read]]&lt;=Table1[[#This Row],[High Tol]],"Pass","Fail"),IF(Table1[[#This Row],[DUT Adj Read]]&lt;=Table1[[#This Row],[High Tol]],"Pass","Fail")))</f>
        <v>Fail</v>
      </c>
      <c r="AH12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1" s="1" t="b">
        <v>0</v>
      </c>
      <c r="AN1261" s="1" t="b">
        <v>0</v>
      </c>
      <c r="AO1261" s="1" t="b">
        <v>0</v>
      </c>
    </row>
    <row r="1262" spans="1:41" x14ac:dyDescent="0.25">
      <c r="A1262" s="10"/>
      <c r="B1262" s="10"/>
      <c r="C1262" s="10"/>
      <c r="D1262" s="10"/>
      <c r="E1262" s="10"/>
      <c r="F1262" s="10"/>
      <c r="G1262" s="10"/>
      <c r="H1262" s="10"/>
      <c r="I1262" s="1" t="str">
        <f t="shared" si="57"/>
        <v/>
      </c>
      <c r="J1262" s="1" t="s">
        <v>35</v>
      </c>
      <c r="K1262" s="1" t="str">
        <f t="shared" si="58"/>
        <v/>
      </c>
      <c r="L1262" s="1" t="str">
        <f t="shared" si="59"/>
        <v/>
      </c>
      <c r="M1262" s="1">
        <f>IF(OR(Table1[[#This Row],[Std Nom]]="",Table1[[#This Row],[Std Read]]=""),0,Table1[[#This Row],[Std Nom]]-Table1[[#This Row],[Std Read]])</f>
        <v>0</v>
      </c>
      <c r="N1262" s="1">
        <f>IF(Calculations!$F$5="ACCREDITED 17025 WITH UNCERTAINTIES",$N$10,0)</f>
        <v>0</v>
      </c>
      <c r="Q1262" s="1">
        <f>Table1[[#This Row],[High Tol]]-Table1[[#This Row],[Low Tol]]</f>
        <v>0</v>
      </c>
      <c r="R1262" s="1">
        <f>2*Table1[[#This Row],[Std Error]]</f>
        <v>0</v>
      </c>
      <c r="S1262" s="1" t="str">
        <f>IF(Table1[[#This Row],[High Tol]]="","N/A",IFERROR(ABS(Table1[[#This Row],[Tol Span]]/Table1[[#This Row],[Error Span]]),"N/A"))</f>
        <v>N/A</v>
      </c>
      <c r="T1262" s="1" t="str">
        <f>IF(OR(Table1[[#This Row],[Low Tol]]="",Table1[[#This Row],[High Tol]]=""),"Needs Analysis",IF(Table1[[#This Row],[Ratio]]&gt;=4,"Not Significant",IF(Table1[[#This Row],[Ratio]]&gt;=2,"Semi-Significant","Significant")))</f>
        <v>Needs Analysis</v>
      </c>
      <c r="W1262" s="1">
        <f>IF(Table1[[#This Row],[Cal Type]]&lt;&gt;"ACCREDITED 17025 WITH UNCERTAINTIES",0,"")</f>
        <v>0</v>
      </c>
      <c r="X1262" s="1" t="str">
        <f>IF(Table1[[#This Row],[DUT Read]]="","N/A",Table1[[#This Row],[Std Error]]+Table1[[#This Row],[DUT Read]]+Table1[[#This Row],[DUT Ucty]])</f>
        <v>N/A</v>
      </c>
      <c r="Y1262" s="1" t="str">
        <f>IF(Table1[[#This Row],[Std Read]]="","N/A",Table1[[#This Row],[Std Read]]+Table1[[#This Row],[Std Ucty]])</f>
        <v>N/A</v>
      </c>
      <c r="Z12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2" s="1" t="str">
        <f>IF(Table1[[#This Row],[Spec Type]]="","N/A",Table1[[#This Row],[Spec Type]])</f>
        <v>±</v>
      </c>
      <c r="AC1262" s="1" t="str">
        <f>IF(Table1[[#This Row],[Spec Type2]]="N/A","N/A",IF(AND(Table1[[#This Row],[DUT Adj Read]]&gt;=Table1[[#This Row],[Low Tol]],Table1[[#This Row],[DUT Adj Read]]&lt;=Table1[[#This Row],[High Tol]]),"Pass","Fail"))</f>
        <v>Fail</v>
      </c>
      <c r="AD1262" s="1" t="str">
        <f>IF(AND(Table1[[#This Row],[Spec Type2]]="N/A",Table1[[#This Row],[DUT Adj Read]]="N/A",Table1[[#This Row],[Std Adj Read]]="N/A"),"N/A",IF(Table1[[#This Row],[DUT Adj Read]]="N/A",IF(Table1[[#This Row],[Std Adj Read]]&gt;Table1[[#This Row],[Low Tol]],"Pass","Fail"),IF(Table1[[#This Row],[DUT Adj Read]]&gt;Table1[[#This Row],[Low Tol]],"Pass","Fail")))</f>
        <v>Pass</v>
      </c>
      <c r="AE1262" s="1" t="str">
        <f>IF(AND(Table1[[#This Row],[Spec Type2]]="N/A",Table1[[#This Row],[DUT Adj Read]]="N/A",Table1[[#This Row],[Std Adj Read]]="N/A"),"N/A",IF(Table1[[#This Row],[DUT Adj Read]]="N/A",IF(Table1[[#This Row],[Std Adj Read]]&lt;Table1[[#This Row],[High Tol]],"Pass","Fail"),IF(Table1[[#This Row],[DUT Adj Read]]&lt;Table1[[#This Row],[High Tol]],"Pass","Fail")))</f>
        <v>Fail</v>
      </c>
      <c r="AF1262" s="1" t="str">
        <f>IF(AND(Table1[[#This Row],[Spec Type2]]="N/A",Table1[[#This Row],[DUT Adj Read]]="N/A",Table1[[#This Row],[Std Adj Read]]="N/A"),"N/A",IF(Table1[[#This Row],[DUT Adj Read]]="N/A",IF(Table1[[#This Row],[Std Adj Read]]&gt;=Table1[[#This Row],[Low Tol]],"Pass","Fail"),IF(Table1[[#This Row],[DUT Adj Read]]&gt;=Table1[[#This Row],[Low Tol]],"Pass","Fail")))</f>
        <v>Pass</v>
      </c>
      <c r="AG1262" s="1" t="str">
        <f>IF(AND(Table1[[#This Row],[Spec Type2]]="N/A",Table1[[#This Row],[DUT Adj Read]]="N/A",Table1[[#This Row],[Std Adj Read]]="N/A"),"N/A",IF(Table1[[#This Row],[DUT Adj Read]]="N/A",IF(Table1[[#This Row],[Std Adj Read]]&lt;=Table1[[#This Row],[High Tol]],"Pass","Fail"),IF(Table1[[#This Row],[DUT Adj Read]]&lt;=Table1[[#This Row],[High Tol]],"Pass","Fail")))</f>
        <v>Fail</v>
      </c>
      <c r="AH12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2" s="1" t="b">
        <v>0</v>
      </c>
      <c r="AN1262" s="1" t="b">
        <v>0</v>
      </c>
      <c r="AO1262" s="1" t="b">
        <v>0</v>
      </c>
    </row>
    <row r="1263" spans="1:41" x14ac:dyDescent="0.25">
      <c r="A1263" s="10"/>
      <c r="B1263" s="10"/>
      <c r="C1263" s="10"/>
      <c r="D1263" s="10"/>
      <c r="E1263" s="10"/>
      <c r="F1263" s="10"/>
      <c r="G1263" s="10"/>
      <c r="H1263" s="10"/>
      <c r="I1263" s="1" t="str">
        <f t="shared" si="57"/>
        <v/>
      </c>
      <c r="J1263" s="1" t="s">
        <v>35</v>
      </c>
      <c r="K1263" s="1" t="str">
        <f t="shared" si="58"/>
        <v/>
      </c>
      <c r="L1263" s="1" t="str">
        <f t="shared" si="59"/>
        <v/>
      </c>
      <c r="M1263" s="1">
        <f>IF(OR(Table1[[#This Row],[Std Nom]]="",Table1[[#This Row],[Std Read]]=""),0,Table1[[#This Row],[Std Nom]]-Table1[[#This Row],[Std Read]])</f>
        <v>0</v>
      </c>
      <c r="N1263" s="1">
        <f>IF(Calculations!$F$5="ACCREDITED 17025 WITH UNCERTAINTIES",$N$10,0)</f>
        <v>0</v>
      </c>
      <c r="Q1263" s="1">
        <f>Table1[[#This Row],[High Tol]]-Table1[[#This Row],[Low Tol]]</f>
        <v>0</v>
      </c>
      <c r="R1263" s="1">
        <f>2*Table1[[#This Row],[Std Error]]</f>
        <v>0</v>
      </c>
      <c r="S1263" s="1" t="str">
        <f>IF(Table1[[#This Row],[High Tol]]="","N/A",IFERROR(ABS(Table1[[#This Row],[Tol Span]]/Table1[[#This Row],[Error Span]]),"N/A"))</f>
        <v>N/A</v>
      </c>
      <c r="T1263" s="1" t="str">
        <f>IF(OR(Table1[[#This Row],[Low Tol]]="",Table1[[#This Row],[High Tol]]=""),"Needs Analysis",IF(Table1[[#This Row],[Ratio]]&gt;=4,"Not Significant",IF(Table1[[#This Row],[Ratio]]&gt;=2,"Semi-Significant","Significant")))</f>
        <v>Needs Analysis</v>
      </c>
      <c r="W1263" s="1">
        <f>IF(Table1[[#This Row],[Cal Type]]&lt;&gt;"ACCREDITED 17025 WITH UNCERTAINTIES",0,"")</f>
        <v>0</v>
      </c>
      <c r="X1263" s="1" t="str">
        <f>IF(Table1[[#This Row],[DUT Read]]="","N/A",Table1[[#This Row],[Std Error]]+Table1[[#This Row],[DUT Read]]+Table1[[#This Row],[DUT Ucty]])</f>
        <v>N/A</v>
      </c>
      <c r="Y1263" s="1" t="str">
        <f>IF(Table1[[#This Row],[Std Read]]="","N/A",Table1[[#This Row],[Std Read]]+Table1[[#This Row],[Std Ucty]])</f>
        <v>N/A</v>
      </c>
      <c r="Z12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3" s="1" t="str">
        <f>IF(Table1[[#This Row],[Spec Type]]="","N/A",Table1[[#This Row],[Spec Type]])</f>
        <v>±</v>
      </c>
      <c r="AC1263" s="1" t="str">
        <f>IF(Table1[[#This Row],[Spec Type2]]="N/A","N/A",IF(AND(Table1[[#This Row],[DUT Adj Read]]&gt;=Table1[[#This Row],[Low Tol]],Table1[[#This Row],[DUT Adj Read]]&lt;=Table1[[#This Row],[High Tol]]),"Pass","Fail"))</f>
        <v>Fail</v>
      </c>
      <c r="AD1263" s="1" t="str">
        <f>IF(AND(Table1[[#This Row],[Spec Type2]]="N/A",Table1[[#This Row],[DUT Adj Read]]="N/A",Table1[[#This Row],[Std Adj Read]]="N/A"),"N/A",IF(Table1[[#This Row],[DUT Adj Read]]="N/A",IF(Table1[[#This Row],[Std Adj Read]]&gt;Table1[[#This Row],[Low Tol]],"Pass","Fail"),IF(Table1[[#This Row],[DUT Adj Read]]&gt;Table1[[#This Row],[Low Tol]],"Pass","Fail")))</f>
        <v>Pass</v>
      </c>
      <c r="AE1263" s="1" t="str">
        <f>IF(AND(Table1[[#This Row],[Spec Type2]]="N/A",Table1[[#This Row],[DUT Adj Read]]="N/A",Table1[[#This Row],[Std Adj Read]]="N/A"),"N/A",IF(Table1[[#This Row],[DUT Adj Read]]="N/A",IF(Table1[[#This Row],[Std Adj Read]]&lt;Table1[[#This Row],[High Tol]],"Pass","Fail"),IF(Table1[[#This Row],[DUT Adj Read]]&lt;Table1[[#This Row],[High Tol]],"Pass","Fail")))</f>
        <v>Fail</v>
      </c>
      <c r="AF1263" s="1" t="str">
        <f>IF(AND(Table1[[#This Row],[Spec Type2]]="N/A",Table1[[#This Row],[DUT Adj Read]]="N/A",Table1[[#This Row],[Std Adj Read]]="N/A"),"N/A",IF(Table1[[#This Row],[DUT Adj Read]]="N/A",IF(Table1[[#This Row],[Std Adj Read]]&gt;=Table1[[#This Row],[Low Tol]],"Pass","Fail"),IF(Table1[[#This Row],[DUT Adj Read]]&gt;=Table1[[#This Row],[Low Tol]],"Pass","Fail")))</f>
        <v>Pass</v>
      </c>
      <c r="AG1263" s="1" t="str">
        <f>IF(AND(Table1[[#This Row],[Spec Type2]]="N/A",Table1[[#This Row],[DUT Adj Read]]="N/A",Table1[[#This Row],[Std Adj Read]]="N/A"),"N/A",IF(Table1[[#This Row],[DUT Adj Read]]="N/A",IF(Table1[[#This Row],[Std Adj Read]]&lt;=Table1[[#This Row],[High Tol]],"Pass","Fail"),IF(Table1[[#This Row],[DUT Adj Read]]&lt;=Table1[[#This Row],[High Tol]],"Pass","Fail")))</f>
        <v>Fail</v>
      </c>
      <c r="AH12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3" s="1" t="b">
        <v>0</v>
      </c>
      <c r="AN1263" s="1" t="b">
        <v>0</v>
      </c>
      <c r="AO1263" s="1" t="b">
        <v>0</v>
      </c>
    </row>
    <row r="1264" spans="1:41" x14ac:dyDescent="0.25">
      <c r="A1264" s="10"/>
      <c r="B1264" s="10"/>
      <c r="C1264" s="10"/>
      <c r="D1264" s="10"/>
      <c r="E1264" s="10"/>
      <c r="F1264" s="10"/>
      <c r="G1264" s="10"/>
      <c r="H1264" s="10"/>
      <c r="I1264" s="1" t="str">
        <f t="shared" si="57"/>
        <v/>
      </c>
      <c r="J1264" s="1" t="s">
        <v>35</v>
      </c>
      <c r="K1264" s="1" t="str">
        <f t="shared" si="58"/>
        <v/>
      </c>
      <c r="L1264" s="1" t="str">
        <f t="shared" si="59"/>
        <v/>
      </c>
      <c r="M1264" s="1">
        <f>IF(OR(Table1[[#This Row],[Std Nom]]="",Table1[[#This Row],[Std Read]]=""),0,Table1[[#This Row],[Std Nom]]-Table1[[#This Row],[Std Read]])</f>
        <v>0</v>
      </c>
      <c r="N1264" s="1">
        <f>IF(Calculations!$F$5="ACCREDITED 17025 WITH UNCERTAINTIES",$N$10,0)</f>
        <v>0</v>
      </c>
      <c r="Q1264" s="1">
        <f>Table1[[#This Row],[High Tol]]-Table1[[#This Row],[Low Tol]]</f>
        <v>0</v>
      </c>
      <c r="R1264" s="1">
        <f>2*Table1[[#This Row],[Std Error]]</f>
        <v>0</v>
      </c>
      <c r="S1264" s="1" t="str">
        <f>IF(Table1[[#This Row],[High Tol]]="","N/A",IFERROR(ABS(Table1[[#This Row],[Tol Span]]/Table1[[#This Row],[Error Span]]),"N/A"))</f>
        <v>N/A</v>
      </c>
      <c r="T1264" s="1" t="str">
        <f>IF(OR(Table1[[#This Row],[Low Tol]]="",Table1[[#This Row],[High Tol]]=""),"Needs Analysis",IF(Table1[[#This Row],[Ratio]]&gt;=4,"Not Significant",IF(Table1[[#This Row],[Ratio]]&gt;=2,"Semi-Significant","Significant")))</f>
        <v>Needs Analysis</v>
      </c>
      <c r="W1264" s="1">
        <f>IF(Table1[[#This Row],[Cal Type]]&lt;&gt;"ACCREDITED 17025 WITH UNCERTAINTIES",0,"")</f>
        <v>0</v>
      </c>
      <c r="X1264" s="1" t="str">
        <f>IF(Table1[[#This Row],[DUT Read]]="","N/A",Table1[[#This Row],[Std Error]]+Table1[[#This Row],[DUT Read]]+Table1[[#This Row],[DUT Ucty]])</f>
        <v>N/A</v>
      </c>
      <c r="Y1264" s="1" t="str">
        <f>IF(Table1[[#This Row],[Std Read]]="","N/A",Table1[[#This Row],[Std Read]]+Table1[[#This Row],[Std Ucty]])</f>
        <v>N/A</v>
      </c>
      <c r="Z12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4" s="1" t="str">
        <f>IF(Table1[[#This Row],[Spec Type]]="","N/A",Table1[[#This Row],[Spec Type]])</f>
        <v>±</v>
      </c>
      <c r="AC1264" s="1" t="str">
        <f>IF(Table1[[#This Row],[Spec Type2]]="N/A","N/A",IF(AND(Table1[[#This Row],[DUT Adj Read]]&gt;=Table1[[#This Row],[Low Tol]],Table1[[#This Row],[DUT Adj Read]]&lt;=Table1[[#This Row],[High Tol]]),"Pass","Fail"))</f>
        <v>Fail</v>
      </c>
      <c r="AD1264" s="1" t="str">
        <f>IF(AND(Table1[[#This Row],[Spec Type2]]="N/A",Table1[[#This Row],[DUT Adj Read]]="N/A",Table1[[#This Row],[Std Adj Read]]="N/A"),"N/A",IF(Table1[[#This Row],[DUT Adj Read]]="N/A",IF(Table1[[#This Row],[Std Adj Read]]&gt;Table1[[#This Row],[Low Tol]],"Pass","Fail"),IF(Table1[[#This Row],[DUT Adj Read]]&gt;Table1[[#This Row],[Low Tol]],"Pass","Fail")))</f>
        <v>Pass</v>
      </c>
      <c r="AE1264" s="1" t="str">
        <f>IF(AND(Table1[[#This Row],[Spec Type2]]="N/A",Table1[[#This Row],[DUT Adj Read]]="N/A",Table1[[#This Row],[Std Adj Read]]="N/A"),"N/A",IF(Table1[[#This Row],[DUT Adj Read]]="N/A",IF(Table1[[#This Row],[Std Adj Read]]&lt;Table1[[#This Row],[High Tol]],"Pass","Fail"),IF(Table1[[#This Row],[DUT Adj Read]]&lt;Table1[[#This Row],[High Tol]],"Pass","Fail")))</f>
        <v>Fail</v>
      </c>
      <c r="AF1264" s="1" t="str">
        <f>IF(AND(Table1[[#This Row],[Spec Type2]]="N/A",Table1[[#This Row],[DUT Adj Read]]="N/A",Table1[[#This Row],[Std Adj Read]]="N/A"),"N/A",IF(Table1[[#This Row],[DUT Adj Read]]="N/A",IF(Table1[[#This Row],[Std Adj Read]]&gt;=Table1[[#This Row],[Low Tol]],"Pass","Fail"),IF(Table1[[#This Row],[DUT Adj Read]]&gt;=Table1[[#This Row],[Low Tol]],"Pass","Fail")))</f>
        <v>Pass</v>
      </c>
      <c r="AG1264" s="1" t="str">
        <f>IF(AND(Table1[[#This Row],[Spec Type2]]="N/A",Table1[[#This Row],[DUT Adj Read]]="N/A",Table1[[#This Row],[Std Adj Read]]="N/A"),"N/A",IF(Table1[[#This Row],[DUT Adj Read]]="N/A",IF(Table1[[#This Row],[Std Adj Read]]&lt;=Table1[[#This Row],[High Tol]],"Pass","Fail"),IF(Table1[[#This Row],[DUT Adj Read]]&lt;=Table1[[#This Row],[High Tol]],"Pass","Fail")))</f>
        <v>Fail</v>
      </c>
      <c r="AH12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4" s="1" t="b">
        <v>0</v>
      </c>
      <c r="AN1264" s="1" t="b">
        <v>0</v>
      </c>
      <c r="AO1264" s="1" t="b">
        <v>0</v>
      </c>
    </row>
    <row r="1265" spans="1:41" x14ac:dyDescent="0.25">
      <c r="A1265" s="10"/>
      <c r="B1265" s="10"/>
      <c r="C1265" s="10"/>
      <c r="D1265" s="10"/>
      <c r="E1265" s="10"/>
      <c r="F1265" s="10"/>
      <c r="G1265" s="10"/>
      <c r="H1265" s="10"/>
      <c r="I1265" s="1" t="str">
        <f t="shared" si="57"/>
        <v/>
      </c>
      <c r="J1265" s="1" t="s">
        <v>35</v>
      </c>
      <c r="K1265" s="1" t="str">
        <f t="shared" si="58"/>
        <v/>
      </c>
      <c r="L1265" s="1" t="str">
        <f t="shared" si="59"/>
        <v/>
      </c>
      <c r="M1265" s="1">
        <f>IF(OR(Table1[[#This Row],[Std Nom]]="",Table1[[#This Row],[Std Read]]=""),0,Table1[[#This Row],[Std Nom]]-Table1[[#This Row],[Std Read]])</f>
        <v>0</v>
      </c>
      <c r="N1265" s="1">
        <f>IF(Calculations!$F$5="ACCREDITED 17025 WITH UNCERTAINTIES",$N$10,0)</f>
        <v>0</v>
      </c>
      <c r="Q1265" s="1">
        <f>Table1[[#This Row],[High Tol]]-Table1[[#This Row],[Low Tol]]</f>
        <v>0</v>
      </c>
      <c r="R1265" s="1">
        <f>2*Table1[[#This Row],[Std Error]]</f>
        <v>0</v>
      </c>
      <c r="S1265" s="1" t="str">
        <f>IF(Table1[[#This Row],[High Tol]]="","N/A",IFERROR(ABS(Table1[[#This Row],[Tol Span]]/Table1[[#This Row],[Error Span]]),"N/A"))</f>
        <v>N/A</v>
      </c>
      <c r="T1265" s="1" t="str">
        <f>IF(OR(Table1[[#This Row],[Low Tol]]="",Table1[[#This Row],[High Tol]]=""),"Needs Analysis",IF(Table1[[#This Row],[Ratio]]&gt;=4,"Not Significant",IF(Table1[[#This Row],[Ratio]]&gt;=2,"Semi-Significant","Significant")))</f>
        <v>Needs Analysis</v>
      </c>
      <c r="W1265" s="1">
        <f>IF(Table1[[#This Row],[Cal Type]]&lt;&gt;"ACCREDITED 17025 WITH UNCERTAINTIES",0,"")</f>
        <v>0</v>
      </c>
      <c r="X1265" s="1" t="str">
        <f>IF(Table1[[#This Row],[DUT Read]]="","N/A",Table1[[#This Row],[Std Error]]+Table1[[#This Row],[DUT Read]]+Table1[[#This Row],[DUT Ucty]])</f>
        <v>N/A</v>
      </c>
      <c r="Y1265" s="1" t="str">
        <f>IF(Table1[[#This Row],[Std Read]]="","N/A",Table1[[#This Row],[Std Read]]+Table1[[#This Row],[Std Ucty]])</f>
        <v>N/A</v>
      </c>
      <c r="Z12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5" s="1" t="str">
        <f>IF(Table1[[#This Row],[Spec Type]]="","N/A",Table1[[#This Row],[Spec Type]])</f>
        <v>±</v>
      </c>
      <c r="AC1265" s="1" t="str">
        <f>IF(Table1[[#This Row],[Spec Type2]]="N/A","N/A",IF(AND(Table1[[#This Row],[DUT Adj Read]]&gt;=Table1[[#This Row],[Low Tol]],Table1[[#This Row],[DUT Adj Read]]&lt;=Table1[[#This Row],[High Tol]]),"Pass","Fail"))</f>
        <v>Fail</v>
      </c>
      <c r="AD1265" s="1" t="str">
        <f>IF(AND(Table1[[#This Row],[Spec Type2]]="N/A",Table1[[#This Row],[DUT Adj Read]]="N/A",Table1[[#This Row],[Std Adj Read]]="N/A"),"N/A",IF(Table1[[#This Row],[DUT Adj Read]]="N/A",IF(Table1[[#This Row],[Std Adj Read]]&gt;Table1[[#This Row],[Low Tol]],"Pass","Fail"),IF(Table1[[#This Row],[DUT Adj Read]]&gt;Table1[[#This Row],[Low Tol]],"Pass","Fail")))</f>
        <v>Pass</v>
      </c>
      <c r="AE1265" s="1" t="str">
        <f>IF(AND(Table1[[#This Row],[Spec Type2]]="N/A",Table1[[#This Row],[DUT Adj Read]]="N/A",Table1[[#This Row],[Std Adj Read]]="N/A"),"N/A",IF(Table1[[#This Row],[DUT Adj Read]]="N/A",IF(Table1[[#This Row],[Std Adj Read]]&lt;Table1[[#This Row],[High Tol]],"Pass","Fail"),IF(Table1[[#This Row],[DUT Adj Read]]&lt;Table1[[#This Row],[High Tol]],"Pass","Fail")))</f>
        <v>Fail</v>
      </c>
      <c r="AF1265" s="1" t="str">
        <f>IF(AND(Table1[[#This Row],[Spec Type2]]="N/A",Table1[[#This Row],[DUT Adj Read]]="N/A",Table1[[#This Row],[Std Adj Read]]="N/A"),"N/A",IF(Table1[[#This Row],[DUT Adj Read]]="N/A",IF(Table1[[#This Row],[Std Adj Read]]&gt;=Table1[[#This Row],[Low Tol]],"Pass","Fail"),IF(Table1[[#This Row],[DUT Adj Read]]&gt;=Table1[[#This Row],[Low Tol]],"Pass","Fail")))</f>
        <v>Pass</v>
      </c>
      <c r="AG1265" s="1" t="str">
        <f>IF(AND(Table1[[#This Row],[Spec Type2]]="N/A",Table1[[#This Row],[DUT Adj Read]]="N/A",Table1[[#This Row],[Std Adj Read]]="N/A"),"N/A",IF(Table1[[#This Row],[DUT Adj Read]]="N/A",IF(Table1[[#This Row],[Std Adj Read]]&lt;=Table1[[#This Row],[High Tol]],"Pass","Fail"),IF(Table1[[#This Row],[DUT Adj Read]]&lt;=Table1[[#This Row],[High Tol]],"Pass","Fail")))</f>
        <v>Fail</v>
      </c>
      <c r="AH12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5" s="1" t="b">
        <v>0</v>
      </c>
      <c r="AN1265" s="1" t="b">
        <v>0</v>
      </c>
      <c r="AO1265" s="1" t="b">
        <v>0</v>
      </c>
    </row>
    <row r="1266" spans="1:41" x14ac:dyDescent="0.25">
      <c r="A1266" s="10"/>
      <c r="B1266" s="10"/>
      <c r="C1266" s="10"/>
      <c r="D1266" s="10"/>
      <c r="E1266" s="10"/>
      <c r="F1266" s="10"/>
      <c r="G1266" s="10"/>
      <c r="H1266" s="10"/>
      <c r="I1266" s="1" t="str">
        <f t="shared" si="57"/>
        <v/>
      </c>
      <c r="J1266" s="1" t="s">
        <v>35</v>
      </c>
      <c r="K1266" s="1" t="str">
        <f t="shared" si="58"/>
        <v/>
      </c>
      <c r="L1266" s="1" t="str">
        <f t="shared" si="59"/>
        <v/>
      </c>
      <c r="M1266" s="1">
        <f>IF(OR(Table1[[#This Row],[Std Nom]]="",Table1[[#This Row],[Std Read]]=""),0,Table1[[#This Row],[Std Nom]]-Table1[[#This Row],[Std Read]])</f>
        <v>0</v>
      </c>
      <c r="N1266" s="1">
        <f>IF(Calculations!$F$5="ACCREDITED 17025 WITH UNCERTAINTIES",$N$10,0)</f>
        <v>0</v>
      </c>
      <c r="Q1266" s="1">
        <f>Table1[[#This Row],[High Tol]]-Table1[[#This Row],[Low Tol]]</f>
        <v>0</v>
      </c>
      <c r="R1266" s="1">
        <f>2*Table1[[#This Row],[Std Error]]</f>
        <v>0</v>
      </c>
      <c r="S1266" s="1" t="str">
        <f>IF(Table1[[#This Row],[High Tol]]="","N/A",IFERROR(ABS(Table1[[#This Row],[Tol Span]]/Table1[[#This Row],[Error Span]]),"N/A"))</f>
        <v>N/A</v>
      </c>
      <c r="T1266" s="1" t="str">
        <f>IF(OR(Table1[[#This Row],[Low Tol]]="",Table1[[#This Row],[High Tol]]=""),"Needs Analysis",IF(Table1[[#This Row],[Ratio]]&gt;=4,"Not Significant",IF(Table1[[#This Row],[Ratio]]&gt;=2,"Semi-Significant","Significant")))</f>
        <v>Needs Analysis</v>
      </c>
      <c r="W1266" s="1">
        <f>IF(Table1[[#This Row],[Cal Type]]&lt;&gt;"ACCREDITED 17025 WITH UNCERTAINTIES",0,"")</f>
        <v>0</v>
      </c>
      <c r="X1266" s="1" t="str">
        <f>IF(Table1[[#This Row],[DUT Read]]="","N/A",Table1[[#This Row],[Std Error]]+Table1[[#This Row],[DUT Read]]+Table1[[#This Row],[DUT Ucty]])</f>
        <v>N/A</v>
      </c>
      <c r="Y1266" s="1" t="str">
        <f>IF(Table1[[#This Row],[Std Read]]="","N/A",Table1[[#This Row],[Std Read]]+Table1[[#This Row],[Std Ucty]])</f>
        <v>N/A</v>
      </c>
      <c r="Z12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6" s="1" t="str">
        <f>IF(Table1[[#This Row],[Spec Type]]="","N/A",Table1[[#This Row],[Spec Type]])</f>
        <v>±</v>
      </c>
      <c r="AC1266" s="1" t="str">
        <f>IF(Table1[[#This Row],[Spec Type2]]="N/A","N/A",IF(AND(Table1[[#This Row],[DUT Adj Read]]&gt;=Table1[[#This Row],[Low Tol]],Table1[[#This Row],[DUT Adj Read]]&lt;=Table1[[#This Row],[High Tol]]),"Pass","Fail"))</f>
        <v>Fail</v>
      </c>
      <c r="AD1266" s="1" t="str">
        <f>IF(AND(Table1[[#This Row],[Spec Type2]]="N/A",Table1[[#This Row],[DUT Adj Read]]="N/A",Table1[[#This Row],[Std Adj Read]]="N/A"),"N/A",IF(Table1[[#This Row],[DUT Adj Read]]="N/A",IF(Table1[[#This Row],[Std Adj Read]]&gt;Table1[[#This Row],[Low Tol]],"Pass","Fail"),IF(Table1[[#This Row],[DUT Adj Read]]&gt;Table1[[#This Row],[Low Tol]],"Pass","Fail")))</f>
        <v>Pass</v>
      </c>
      <c r="AE1266" s="1" t="str">
        <f>IF(AND(Table1[[#This Row],[Spec Type2]]="N/A",Table1[[#This Row],[DUT Adj Read]]="N/A",Table1[[#This Row],[Std Adj Read]]="N/A"),"N/A",IF(Table1[[#This Row],[DUT Adj Read]]="N/A",IF(Table1[[#This Row],[Std Adj Read]]&lt;Table1[[#This Row],[High Tol]],"Pass","Fail"),IF(Table1[[#This Row],[DUT Adj Read]]&lt;Table1[[#This Row],[High Tol]],"Pass","Fail")))</f>
        <v>Fail</v>
      </c>
      <c r="AF1266" s="1" t="str">
        <f>IF(AND(Table1[[#This Row],[Spec Type2]]="N/A",Table1[[#This Row],[DUT Adj Read]]="N/A",Table1[[#This Row],[Std Adj Read]]="N/A"),"N/A",IF(Table1[[#This Row],[DUT Adj Read]]="N/A",IF(Table1[[#This Row],[Std Adj Read]]&gt;=Table1[[#This Row],[Low Tol]],"Pass","Fail"),IF(Table1[[#This Row],[DUT Adj Read]]&gt;=Table1[[#This Row],[Low Tol]],"Pass","Fail")))</f>
        <v>Pass</v>
      </c>
      <c r="AG1266" s="1" t="str">
        <f>IF(AND(Table1[[#This Row],[Spec Type2]]="N/A",Table1[[#This Row],[DUT Adj Read]]="N/A",Table1[[#This Row],[Std Adj Read]]="N/A"),"N/A",IF(Table1[[#This Row],[DUT Adj Read]]="N/A",IF(Table1[[#This Row],[Std Adj Read]]&lt;=Table1[[#This Row],[High Tol]],"Pass","Fail"),IF(Table1[[#This Row],[DUT Adj Read]]&lt;=Table1[[#This Row],[High Tol]],"Pass","Fail")))</f>
        <v>Fail</v>
      </c>
      <c r="AH12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6" s="1" t="b">
        <v>0</v>
      </c>
      <c r="AN1266" s="1" t="b">
        <v>0</v>
      </c>
      <c r="AO1266" s="1" t="b">
        <v>0</v>
      </c>
    </row>
    <row r="1267" spans="1:41" x14ac:dyDescent="0.25">
      <c r="A1267" s="10"/>
      <c r="B1267" s="10"/>
      <c r="C1267" s="10"/>
      <c r="D1267" s="10"/>
      <c r="E1267" s="10"/>
      <c r="F1267" s="10"/>
      <c r="G1267" s="10"/>
      <c r="H1267" s="10"/>
      <c r="I1267" s="1" t="str">
        <f t="shared" si="57"/>
        <v/>
      </c>
      <c r="J1267" s="1" t="s">
        <v>35</v>
      </c>
      <c r="K1267" s="1" t="str">
        <f t="shared" si="58"/>
        <v/>
      </c>
      <c r="L1267" s="1" t="str">
        <f t="shared" si="59"/>
        <v/>
      </c>
      <c r="M1267" s="1">
        <f>IF(OR(Table1[[#This Row],[Std Nom]]="",Table1[[#This Row],[Std Read]]=""),0,Table1[[#This Row],[Std Nom]]-Table1[[#This Row],[Std Read]])</f>
        <v>0</v>
      </c>
      <c r="N1267" s="1">
        <f>IF(Calculations!$F$5="ACCREDITED 17025 WITH UNCERTAINTIES",$N$10,0)</f>
        <v>0</v>
      </c>
      <c r="Q1267" s="1">
        <f>Table1[[#This Row],[High Tol]]-Table1[[#This Row],[Low Tol]]</f>
        <v>0</v>
      </c>
      <c r="R1267" s="1">
        <f>2*Table1[[#This Row],[Std Error]]</f>
        <v>0</v>
      </c>
      <c r="S1267" s="1" t="str">
        <f>IF(Table1[[#This Row],[High Tol]]="","N/A",IFERROR(ABS(Table1[[#This Row],[Tol Span]]/Table1[[#This Row],[Error Span]]),"N/A"))</f>
        <v>N/A</v>
      </c>
      <c r="T1267" s="1" t="str">
        <f>IF(OR(Table1[[#This Row],[Low Tol]]="",Table1[[#This Row],[High Tol]]=""),"Needs Analysis",IF(Table1[[#This Row],[Ratio]]&gt;=4,"Not Significant",IF(Table1[[#This Row],[Ratio]]&gt;=2,"Semi-Significant","Significant")))</f>
        <v>Needs Analysis</v>
      </c>
      <c r="W1267" s="1">
        <f>IF(Table1[[#This Row],[Cal Type]]&lt;&gt;"ACCREDITED 17025 WITH UNCERTAINTIES",0,"")</f>
        <v>0</v>
      </c>
      <c r="X1267" s="1" t="str">
        <f>IF(Table1[[#This Row],[DUT Read]]="","N/A",Table1[[#This Row],[Std Error]]+Table1[[#This Row],[DUT Read]]+Table1[[#This Row],[DUT Ucty]])</f>
        <v>N/A</v>
      </c>
      <c r="Y1267" s="1" t="str">
        <f>IF(Table1[[#This Row],[Std Read]]="","N/A",Table1[[#This Row],[Std Read]]+Table1[[#This Row],[Std Ucty]])</f>
        <v>N/A</v>
      </c>
      <c r="Z12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7" s="1" t="str">
        <f>IF(Table1[[#This Row],[Spec Type]]="","N/A",Table1[[#This Row],[Spec Type]])</f>
        <v>±</v>
      </c>
      <c r="AC1267" s="1" t="str">
        <f>IF(Table1[[#This Row],[Spec Type2]]="N/A","N/A",IF(AND(Table1[[#This Row],[DUT Adj Read]]&gt;=Table1[[#This Row],[Low Tol]],Table1[[#This Row],[DUT Adj Read]]&lt;=Table1[[#This Row],[High Tol]]),"Pass","Fail"))</f>
        <v>Fail</v>
      </c>
      <c r="AD1267" s="1" t="str">
        <f>IF(AND(Table1[[#This Row],[Spec Type2]]="N/A",Table1[[#This Row],[DUT Adj Read]]="N/A",Table1[[#This Row],[Std Adj Read]]="N/A"),"N/A",IF(Table1[[#This Row],[DUT Adj Read]]="N/A",IF(Table1[[#This Row],[Std Adj Read]]&gt;Table1[[#This Row],[Low Tol]],"Pass","Fail"),IF(Table1[[#This Row],[DUT Adj Read]]&gt;Table1[[#This Row],[Low Tol]],"Pass","Fail")))</f>
        <v>Pass</v>
      </c>
      <c r="AE1267" s="1" t="str">
        <f>IF(AND(Table1[[#This Row],[Spec Type2]]="N/A",Table1[[#This Row],[DUT Adj Read]]="N/A",Table1[[#This Row],[Std Adj Read]]="N/A"),"N/A",IF(Table1[[#This Row],[DUT Adj Read]]="N/A",IF(Table1[[#This Row],[Std Adj Read]]&lt;Table1[[#This Row],[High Tol]],"Pass","Fail"),IF(Table1[[#This Row],[DUT Adj Read]]&lt;Table1[[#This Row],[High Tol]],"Pass","Fail")))</f>
        <v>Fail</v>
      </c>
      <c r="AF1267" s="1" t="str">
        <f>IF(AND(Table1[[#This Row],[Spec Type2]]="N/A",Table1[[#This Row],[DUT Adj Read]]="N/A",Table1[[#This Row],[Std Adj Read]]="N/A"),"N/A",IF(Table1[[#This Row],[DUT Adj Read]]="N/A",IF(Table1[[#This Row],[Std Adj Read]]&gt;=Table1[[#This Row],[Low Tol]],"Pass","Fail"),IF(Table1[[#This Row],[DUT Adj Read]]&gt;=Table1[[#This Row],[Low Tol]],"Pass","Fail")))</f>
        <v>Pass</v>
      </c>
      <c r="AG1267" s="1" t="str">
        <f>IF(AND(Table1[[#This Row],[Spec Type2]]="N/A",Table1[[#This Row],[DUT Adj Read]]="N/A",Table1[[#This Row],[Std Adj Read]]="N/A"),"N/A",IF(Table1[[#This Row],[DUT Adj Read]]="N/A",IF(Table1[[#This Row],[Std Adj Read]]&lt;=Table1[[#This Row],[High Tol]],"Pass","Fail"),IF(Table1[[#This Row],[DUT Adj Read]]&lt;=Table1[[#This Row],[High Tol]],"Pass","Fail")))</f>
        <v>Fail</v>
      </c>
      <c r="AH12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7" s="1" t="b">
        <v>0</v>
      </c>
      <c r="AN1267" s="1" t="b">
        <v>0</v>
      </c>
      <c r="AO1267" s="1" t="b">
        <v>0</v>
      </c>
    </row>
    <row r="1268" spans="1:41" x14ac:dyDescent="0.25">
      <c r="A1268" s="10"/>
      <c r="B1268" s="10"/>
      <c r="C1268" s="10"/>
      <c r="D1268" s="10"/>
      <c r="E1268" s="10"/>
      <c r="F1268" s="10"/>
      <c r="G1268" s="10"/>
      <c r="H1268" s="10"/>
      <c r="I1268" s="1" t="str">
        <f t="shared" si="57"/>
        <v/>
      </c>
      <c r="J1268" s="1" t="s">
        <v>35</v>
      </c>
      <c r="K1268" s="1" t="str">
        <f t="shared" si="58"/>
        <v/>
      </c>
      <c r="L1268" s="1" t="str">
        <f t="shared" si="59"/>
        <v/>
      </c>
      <c r="M1268" s="1">
        <f>IF(OR(Table1[[#This Row],[Std Nom]]="",Table1[[#This Row],[Std Read]]=""),0,Table1[[#This Row],[Std Nom]]-Table1[[#This Row],[Std Read]])</f>
        <v>0</v>
      </c>
      <c r="N1268" s="1">
        <f>IF(Calculations!$F$5="ACCREDITED 17025 WITH UNCERTAINTIES",$N$10,0)</f>
        <v>0</v>
      </c>
      <c r="Q1268" s="1">
        <f>Table1[[#This Row],[High Tol]]-Table1[[#This Row],[Low Tol]]</f>
        <v>0</v>
      </c>
      <c r="R1268" s="1">
        <f>2*Table1[[#This Row],[Std Error]]</f>
        <v>0</v>
      </c>
      <c r="S1268" s="1" t="str">
        <f>IF(Table1[[#This Row],[High Tol]]="","N/A",IFERROR(ABS(Table1[[#This Row],[Tol Span]]/Table1[[#This Row],[Error Span]]),"N/A"))</f>
        <v>N/A</v>
      </c>
      <c r="T1268" s="1" t="str">
        <f>IF(OR(Table1[[#This Row],[Low Tol]]="",Table1[[#This Row],[High Tol]]=""),"Needs Analysis",IF(Table1[[#This Row],[Ratio]]&gt;=4,"Not Significant",IF(Table1[[#This Row],[Ratio]]&gt;=2,"Semi-Significant","Significant")))</f>
        <v>Needs Analysis</v>
      </c>
      <c r="W1268" s="1">
        <f>IF(Table1[[#This Row],[Cal Type]]&lt;&gt;"ACCREDITED 17025 WITH UNCERTAINTIES",0,"")</f>
        <v>0</v>
      </c>
      <c r="X1268" s="1" t="str">
        <f>IF(Table1[[#This Row],[DUT Read]]="","N/A",Table1[[#This Row],[Std Error]]+Table1[[#This Row],[DUT Read]]+Table1[[#This Row],[DUT Ucty]])</f>
        <v>N/A</v>
      </c>
      <c r="Y1268" s="1" t="str">
        <f>IF(Table1[[#This Row],[Std Read]]="","N/A",Table1[[#This Row],[Std Read]]+Table1[[#This Row],[Std Ucty]])</f>
        <v>N/A</v>
      </c>
      <c r="Z12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8" s="1" t="str">
        <f>IF(Table1[[#This Row],[Spec Type]]="","N/A",Table1[[#This Row],[Spec Type]])</f>
        <v>±</v>
      </c>
      <c r="AC1268" s="1" t="str">
        <f>IF(Table1[[#This Row],[Spec Type2]]="N/A","N/A",IF(AND(Table1[[#This Row],[DUT Adj Read]]&gt;=Table1[[#This Row],[Low Tol]],Table1[[#This Row],[DUT Adj Read]]&lt;=Table1[[#This Row],[High Tol]]),"Pass","Fail"))</f>
        <v>Fail</v>
      </c>
      <c r="AD1268" s="1" t="str">
        <f>IF(AND(Table1[[#This Row],[Spec Type2]]="N/A",Table1[[#This Row],[DUT Adj Read]]="N/A",Table1[[#This Row],[Std Adj Read]]="N/A"),"N/A",IF(Table1[[#This Row],[DUT Adj Read]]="N/A",IF(Table1[[#This Row],[Std Adj Read]]&gt;Table1[[#This Row],[Low Tol]],"Pass","Fail"),IF(Table1[[#This Row],[DUT Adj Read]]&gt;Table1[[#This Row],[Low Tol]],"Pass","Fail")))</f>
        <v>Pass</v>
      </c>
      <c r="AE1268" s="1" t="str">
        <f>IF(AND(Table1[[#This Row],[Spec Type2]]="N/A",Table1[[#This Row],[DUT Adj Read]]="N/A",Table1[[#This Row],[Std Adj Read]]="N/A"),"N/A",IF(Table1[[#This Row],[DUT Adj Read]]="N/A",IF(Table1[[#This Row],[Std Adj Read]]&lt;Table1[[#This Row],[High Tol]],"Pass","Fail"),IF(Table1[[#This Row],[DUT Adj Read]]&lt;Table1[[#This Row],[High Tol]],"Pass","Fail")))</f>
        <v>Fail</v>
      </c>
      <c r="AF1268" s="1" t="str">
        <f>IF(AND(Table1[[#This Row],[Spec Type2]]="N/A",Table1[[#This Row],[DUT Adj Read]]="N/A",Table1[[#This Row],[Std Adj Read]]="N/A"),"N/A",IF(Table1[[#This Row],[DUT Adj Read]]="N/A",IF(Table1[[#This Row],[Std Adj Read]]&gt;=Table1[[#This Row],[Low Tol]],"Pass","Fail"),IF(Table1[[#This Row],[DUT Adj Read]]&gt;=Table1[[#This Row],[Low Tol]],"Pass","Fail")))</f>
        <v>Pass</v>
      </c>
      <c r="AG1268" s="1" t="str">
        <f>IF(AND(Table1[[#This Row],[Spec Type2]]="N/A",Table1[[#This Row],[DUT Adj Read]]="N/A",Table1[[#This Row],[Std Adj Read]]="N/A"),"N/A",IF(Table1[[#This Row],[DUT Adj Read]]="N/A",IF(Table1[[#This Row],[Std Adj Read]]&lt;=Table1[[#This Row],[High Tol]],"Pass","Fail"),IF(Table1[[#This Row],[DUT Adj Read]]&lt;=Table1[[#This Row],[High Tol]],"Pass","Fail")))</f>
        <v>Fail</v>
      </c>
      <c r="AH12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8" s="1" t="b">
        <v>0</v>
      </c>
      <c r="AN1268" s="1" t="b">
        <v>0</v>
      </c>
      <c r="AO1268" s="1" t="b">
        <v>0</v>
      </c>
    </row>
    <row r="1269" spans="1:41" x14ac:dyDescent="0.25">
      <c r="A1269" s="10"/>
      <c r="B1269" s="10"/>
      <c r="C1269" s="10"/>
      <c r="D1269" s="10"/>
      <c r="E1269" s="10"/>
      <c r="F1269" s="10"/>
      <c r="G1269" s="10"/>
      <c r="H1269" s="10"/>
      <c r="I1269" s="1" t="str">
        <f t="shared" si="57"/>
        <v/>
      </c>
      <c r="J1269" s="1" t="s">
        <v>35</v>
      </c>
      <c r="K1269" s="1" t="str">
        <f t="shared" si="58"/>
        <v/>
      </c>
      <c r="L1269" s="1" t="str">
        <f t="shared" si="59"/>
        <v/>
      </c>
      <c r="M1269" s="1">
        <f>IF(OR(Table1[[#This Row],[Std Nom]]="",Table1[[#This Row],[Std Read]]=""),0,Table1[[#This Row],[Std Nom]]-Table1[[#This Row],[Std Read]])</f>
        <v>0</v>
      </c>
      <c r="N1269" s="1">
        <f>IF(Calculations!$F$5="ACCREDITED 17025 WITH UNCERTAINTIES",$N$10,0)</f>
        <v>0</v>
      </c>
      <c r="Q1269" s="1">
        <f>Table1[[#This Row],[High Tol]]-Table1[[#This Row],[Low Tol]]</f>
        <v>0</v>
      </c>
      <c r="R1269" s="1">
        <f>2*Table1[[#This Row],[Std Error]]</f>
        <v>0</v>
      </c>
      <c r="S1269" s="1" t="str">
        <f>IF(Table1[[#This Row],[High Tol]]="","N/A",IFERROR(ABS(Table1[[#This Row],[Tol Span]]/Table1[[#This Row],[Error Span]]),"N/A"))</f>
        <v>N/A</v>
      </c>
      <c r="T1269" s="1" t="str">
        <f>IF(OR(Table1[[#This Row],[Low Tol]]="",Table1[[#This Row],[High Tol]]=""),"Needs Analysis",IF(Table1[[#This Row],[Ratio]]&gt;=4,"Not Significant",IF(Table1[[#This Row],[Ratio]]&gt;=2,"Semi-Significant","Significant")))</f>
        <v>Needs Analysis</v>
      </c>
      <c r="W1269" s="1">
        <f>IF(Table1[[#This Row],[Cal Type]]&lt;&gt;"ACCREDITED 17025 WITH UNCERTAINTIES",0,"")</f>
        <v>0</v>
      </c>
      <c r="X1269" s="1" t="str">
        <f>IF(Table1[[#This Row],[DUT Read]]="","N/A",Table1[[#This Row],[Std Error]]+Table1[[#This Row],[DUT Read]]+Table1[[#This Row],[DUT Ucty]])</f>
        <v>N/A</v>
      </c>
      <c r="Y1269" s="1" t="str">
        <f>IF(Table1[[#This Row],[Std Read]]="","N/A",Table1[[#This Row],[Std Read]]+Table1[[#This Row],[Std Ucty]])</f>
        <v>N/A</v>
      </c>
      <c r="Z12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69" s="1" t="str">
        <f>IF(Table1[[#This Row],[Spec Type]]="","N/A",Table1[[#This Row],[Spec Type]])</f>
        <v>±</v>
      </c>
      <c r="AC1269" s="1" t="str">
        <f>IF(Table1[[#This Row],[Spec Type2]]="N/A","N/A",IF(AND(Table1[[#This Row],[DUT Adj Read]]&gt;=Table1[[#This Row],[Low Tol]],Table1[[#This Row],[DUT Adj Read]]&lt;=Table1[[#This Row],[High Tol]]),"Pass","Fail"))</f>
        <v>Fail</v>
      </c>
      <c r="AD1269" s="1" t="str">
        <f>IF(AND(Table1[[#This Row],[Spec Type2]]="N/A",Table1[[#This Row],[DUT Adj Read]]="N/A",Table1[[#This Row],[Std Adj Read]]="N/A"),"N/A",IF(Table1[[#This Row],[DUT Adj Read]]="N/A",IF(Table1[[#This Row],[Std Adj Read]]&gt;Table1[[#This Row],[Low Tol]],"Pass","Fail"),IF(Table1[[#This Row],[DUT Adj Read]]&gt;Table1[[#This Row],[Low Tol]],"Pass","Fail")))</f>
        <v>Pass</v>
      </c>
      <c r="AE1269" s="1" t="str">
        <f>IF(AND(Table1[[#This Row],[Spec Type2]]="N/A",Table1[[#This Row],[DUT Adj Read]]="N/A",Table1[[#This Row],[Std Adj Read]]="N/A"),"N/A",IF(Table1[[#This Row],[DUT Adj Read]]="N/A",IF(Table1[[#This Row],[Std Adj Read]]&lt;Table1[[#This Row],[High Tol]],"Pass","Fail"),IF(Table1[[#This Row],[DUT Adj Read]]&lt;Table1[[#This Row],[High Tol]],"Pass","Fail")))</f>
        <v>Fail</v>
      </c>
      <c r="AF1269" s="1" t="str">
        <f>IF(AND(Table1[[#This Row],[Spec Type2]]="N/A",Table1[[#This Row],[DUT Adj Read]]="N/A",Table1[[#This Row],[Std Adj Read]]="N/A"),"N/A",IF(Table1[[#This Row],[DUT Adj Read]]="N/A",IF(Table1[[#This Row],[Std Adj Read]]&gt;=Table1[[#This Row],[Low Tol]],"Pass","Fail"),IF(Table1[[#This Row],[DUT Adj Read]]&gt;=Table1[[#This Row],[Low Tol]],"Pass","Fail")))</f>
        <v>Pass</v>
      </c>
      <c r="AG1269" s="1" t="str">
        <f>IF(AND(Table1[[#This Row],[Spec Type2]]="N/A",Table1[[#This Row],[DUT Adj Read]]="N/A",Table1[[#This Row],[Std Adj Read]]="N/A"),"N/A",IF(Table1[[#This Row],[DUT Adj Read]]="N/A",IF(Table1[[#This Row],[Std Adj Read]]&lt;=Table1[[#This Row],[High Tol]],"Pass","Fail"),IF(Table1[[#This Row],[DUT Adj Read]]&lt;=Table1[[#This Row],[High Tol]],"Pass","Fail")))</f>
        <v>Fail</v>
      </c>
      <c r="AH12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69" s="1" t="b">
        <v>0</v>
      </c>
      <c r="AN1269" s="1" t="b">
        <v>0</v>
      </c>
      <c r="AO1269" s="1" t="b">
        <v>0</v>
      </c>
    </row>
    <row r="1270" spans="1:41" x14ac:dyDescent="0.25">
      <c r="A1270" s="10"/>
      <c r="B1270" s="10"/>
      <c r="C1270" s="10"/>
      <c r="D1270" s="10"/>
      <c r="E1270" s="10"/>
      <c r="F1270" s="10"/>
      <c r="G1270" s="10"/>
      <c r="H1270" s="10"/>
      <c r="I1270" s="1" t="str">
        <f t="shared" si="57"/>
        <v/>
      </c>
      <c r="J1270" s="1" t="s">
        <v>35</v>
      </c>
      <c r="K1270" s="1" t="str">
        <f t="shared" si="58"/>
        <v/>
      </c>
      <c r="L1270" s="1" t="str">
        <f t="shared" si="59"/>
        <v/>
      </c>
      <c r="M1270" s="1">
        <f>IF(OR(Table1[[#This Row],[Std Nom]]="",Table1[[#This Row],[Std Read]]=""),0,Table1[[#This Row],[Std Nom]]-Table1[[#This Row],[Std Read]])</f>
        <v>0</v>
      </c>
      <c r="N1270" s="1">
        <f>IF(Calculations!$F$5="ACCREDITED 17025 WITH UNCERTAINTIES",$N$10,0)</f>
        <v>0</v>
      </c>
      <c r="Q1270" s="1">
        <f>Table1[[#This Row],[High Tol]]-Table1[[#This Row],[Low Tol]]</f>
        <v>0</v>
      </c>
      <c r="R1270" s="1">
        <f>2*Table1[[#This Row],[Std Error]]</f>
        <v>0</v>
      </c>
      <c r="S1270" s="1" t="str">
        <f>IF(Table1[[#This Row],[High Tol]]="","N/A",IFERROR(ABS(Table1[[#This Row],[Tol Span]]/Table1[[#This Row],[Error Span]]),"N/A"))</f>
        <v>N/A</v>
      </c>
      <c r="T1270" s="1" t="str">
        <f>IF(OR(Table1[[#This Row],[Low Tol]]="",Table1[[#This Row],[High Tol]]=""),"Needs Analysis",IF(Table1[[#This Row],[Ratio]]&gt;=4,"Not Significant",IF(Table1[[#This Row],[Ratio]]&gt;=2,"Semi-Significant","Significant")))</f>
        <v>Needs Analysis</v>
      </c>
      <c r="W1270" s="1">
        <f>IF(Table1[[#This Row],[Cal Type]]&lt;&gt;"ACCREDITED 17025 WITH UNCERTAINTIES",0,"")</f>
        <v>0</v>
      </c>
      <c r="X1270" s="1" t="str">
        <f>IF(Table1[[#This Row],[DUT Read]]="","N/A",Table1[[#This Row],[Std Error]]+Table1[[#This Row],[DUT Read]]+Table1[[#This Row],[DUT Ucty]])</f>
        <v>N/A</v>
      </c>
      <c r="Y1270" s="1" t="str">
        <f>IF(Table1[[#This Row],[Std Read]]="","N/A",Table1[[#This Row],[Std Read]]+Table1[[#This Row],[Std Ucty]])</f>
        <v>N/A</v>
      </c>
      <c r="Z12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0" s="1" t="str">
        <f>IF(Table1[[#This Row],[Spec Type]]="","N/A",Table1[[#This Row],[Spec Type]])</f>
        <v>±</v>
      </c>
      <c r="AC1270" s="1" t="str">
        <f>IF(Table1[[#This Row],[Spec Type2]]="N/A","N/A",IF(AND(Table1[[#This Row],[DUT Adj Read]]&gt;=Table1[[#This Row],[Low Tol]],Table1[[#This Row],[DUT Adj Read]]&lt;=Table1[[#This Row],[High Tol]]),"Pass","Fail"))</f>
        <v>Fail</v>
      </c>
      <c r="AD1270" s="1" t="str">
        <f>IF(AND(Table1[[#This Row],[Spec Type2]]="N/A",Table1[[#This Row],[DUT Adj Read]]="N/A",Table1[[#This Row],[Std Adj Read]]="N/A"),"N/A",IF(Table1[[#This Row],[DUT Adj Read]]="N/A",IF(Table1[[#This Row],[Std Adj Read]]&gt;Table1[[#This Row],[Low Tol]],"Pass","Fail"),IF(Table1[[#This Row],[DUT Adj Read]]&gt;Table1[[#This Row],[Low Tol]],"Pass","Fail")))</f>
        <v>Pass</v>
      </c>
      <c r="AE1270" s="1" t="str">
        <f>IF(AND(Table1[[#This Row],[Spec Type2]]="N/A",Table1[[#This Row],[DUT Adj Read]]="N/A",Table1[[#This Row],[Std Adj Read]]="N/A"),"N/A",IF(Table1[[#This Row],[DUT Adj Read]]="N/A",IF(Table1[[#This Row],[Std Adj Read]]&lt;Table1[[#This Row],[High Tol]],"Pass","Fail"),IF(Table1[[#This Row],[DUT Adj Read]]&lt;Table1[[#This Row],[High Tol]],"Pass","Fail")))</f>
        <v>Fail</v>
      </c>
      <c r="AF1270" s="1" t="str">
        <f>IF(AND(Table1[[#This Row],[Spec Type2]]="N/A",Table1[[#This Row],[DUT Adj Read]]="N/A",Table1[[#This Row],[Std Adj Read]]="N/A"),"N/A",IF(Table1[[#This Row],[DUT Adj Read]]="N/A",IF(Table1[[#This Row],[Std Adj Read]]&gt;=Table1[[#This Row],[Low Tol]],"Pass","Fail"),IF(Table1[[#This Row],[DUT Adj Read]]&gt;=Table1[[#This Row],[Low Tol]],"Pass","Fail")))</f>
        <v>Pass</v>
      </c>
      <c r="AG1270" s="1" t="str">
        <f>IF(AND(Table1[[#This Row],[Spec Type2]]="N/A",Table1[[#This Row],[DUT Adj Read]]="N/A",Table1[[#This Row],[Std Adj Read]]="N/A"),"N/A",IF(Table1[[#This Row],[DUT Adj Read]]="N/A",IF(Table1[[#This Row],[Std Adj Read]]&lt;=Table1[[#This Row],[High Tol]],"Pass","Fail"),IF(Table1[[#This Row],[DUT Adj Read]]&lt;=Table1[[#This Row],[High Tol]],"Pass","Fail")))</f>
        <v>Fail</v>
      </c>
      <c r="AH12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0" s="1" t="b">
        <v>0</v>
      </c>
      <c r="AN1270" s="1" t="b">
        <v>0</v>
      </c>
      <c r="AO1270" s="1" t="b">
        <v>0</v>
      </c>
    </row>
    <row r="1271" spans="1:41" x14ac:dyDescent="0.25">
      <c r="A1271" s="10"/>
      <c r="B1271" s="10"/>
      <c r="C1271" s="10"/>
      <c r="D1271" s="10"/>
      <c r="E1271" s="10"/>
      <c r="F1271" s="10"/>
      <c r="G1271" s="10"/>
      <c r="H1271" s="10"/>
      <c r="I1271" s="1" t="str">
        <f t="shared" si="57"/>
        <v/>
      </c>
      <c r="J1271" s="1" t="s">
        <v>35</v>
      </c>
      <c r="K1271" s="1" t="str">
        <f t="shared" si="58"/>
        <v/>
      </c>
      <c r="L1271" s="1" t="str">
        <f t="shared" si="59"/>
        <v/>
      </c>
      <c r="M1271" s="1">
        <f>IF(OR(Table1[[#This Row],[Std Nom]]="",Table1[[#This Row],[Std Read]]=""),0,Table1[[#This Row],[Std Nom]]-Table1[[#This Row],[Std Read]])</f>
        <v>0</v>
      </c>
      <c r="N1271" s="1">
        <f>IF(Calculations!$F$5="ACCREDITED 17025 WITH UNCERTAINTIES",$N$10,0)</f>
        <v>0</v>
      </c>
      <c r="Q1271" s="1">
        <f>Table1[[#This Row],[High Tol]]-Table1[[#This Row],[Low Tol]]</f>
        <v>0</v>
      </c>
      <c r="R1271" s="1">
        <f>2*Table1[[#This Row],[Std Error]]</f>
        <v>0</v>
      </c>
      <c r="S1271" s="1" t="str">
        <f>IF(Table1[[#This Row],[High Tol]]="","N/A",IFERROR(ABS(Table1[[#This Row],[Tol Span]]/Table1[[#This Row],[Error Span]]),"N/A"))</f>
        <v>N/A</v>
      </c>
      <c r="T1271" s="1" t="str">
        <f>IF(OR(Table1[[#This Row],[Low Tol]]="",Table1[[#This Row],[High Tol]]=""),"Needs Analysis",IF(Table1[[#This Row],[Ratio]]&gt;=4,"Not Significant",IF(Table1[[#This Row],[Ratio]]&gt;=2,"Semi-Significant","Significant")))</f>
        <v>Needs Analysis</v>
      </c>
      <c r="W1271" s="1">
        <f>IF(Table1[[#This Row],[Cal Type]]&lt;&gt;"ACCREDITED 17025 WITH UNCERTAINTIES",0,"")</f>
        <v>0</v>
      </c>
      <c r="X1271" s="1" t="str">
        <f>IF(Table1[[#This Row],[DUT Read]]="","N/A",Table1[[#This Row],[Std Error]]+Table1[[#This Row],[DUT Read]]+Table1[[#This Row],[DUT Ucty]])</f>
        <v>N/A</v>
      </c>
      <c r="Y1271" s="1" t="str">
        <f>IF(Table1[[#This Row],[Std Read]]="","N/A",Table1[[#This Row],[Std Read]]+Table1[[#This Row],[Std Ucty]])</f>
        <v>N/A</v>
      </c>
      <c r="Z12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1" s="1" t="str">
        <f>IF(Table1[[#This Row],[Spec Type]]="","N/A",Table1[[#This Row],[Spec Type]])</f>
        <v>±</v>
      </c>
      <c r="AC1271" s="1" t="str">
        <f>IF(Table1[[#This Row],[Spec Type2]]="N/A","N/A",IF(AND(Table1[[#This Row],[DUT Adj Read]]&gt;=Table1[[#This Row],[Low Tol]],Table1[[#This Row],[DUT Adj Read]]&lt;=Table1[[#This Row],[High Tol]]),"Pass","Fail"))</f>
        <v>Fail</v>
      </c>
      <c r="AD1271" s="1" t="str">
        <f>IF(AND(Table1[[#This Row],[Spec Type2]]="N/A",Table1[[#This Row],[DUT Adj Read]]="N/A",Table1[[#This Row],[Std Adj Read]]="N/A"),"N/A",IF(Table1[[#This Row],[DUT Adj Read]]="N/A",IF(Table1[[#This Row],[Std Adj Read]]&gt;Table1[[#This Row],[Low Tol]],"Pass","Fail"),IF(Table1[[#This Row],[DUT Adj Read]]&gt;Table1[[#This Row],[Low Tol]],"Pass","Fail")))</f>
        <v>Pass</v>
      </c>
      <c r="AE1271" s="1" t="str">
        <f>IF(AND(Table1[[#This Row],[Spec Type2]]="N/A",Table1[[#This Row],[DUT Adj Read]]="N/A",Table1[[#This Row],[Std Adj Read]]="N/A"),"N/A",IF(Table1[[#This Row],[DUT Adj Read]]="N/A",IF(Table1[[#This Row],[Std Adj Read]]&lt;Table1[[#This Row],[High Tol]],"Pass","Fail"),IF(Table1[[#This Row],[DUT Adj Read]]&lt;Table1[[#This Row],[High Tol]],"Pass","Fail")))</f>
        <v>Fail</v>
      </c>
      <c r="AF1271" s="1" t="str">
        <f>IF(AND(Table1[[#This Row],[Spec Type2]]="N/A",Table1[[#This Row],[DUT Adj Read]]="N/A",Table1[[#This Row],[Std Adj Read]]="N/A"),"N/A",IF(Table1[[#This Row],[DUT Adj Read]]="N/A",IF(Table1[[#This Row],[Std Adj Read]]&gt;=Table1[[#This Row],[Low Tol]],"Pass","Fail"),IF(Table1[[#This Row],[DUT Adj Read]]&gt;=Table1[[#This Row],[Low Tol]],"Pass","Fail")))</f>
        <v>Pass</v>
      </c>
      <c r="AG1271" s="1" t="str">
        <f>IF(AND(Table1[[#This Row],[Spec Type2]]="N/A",Table1[[#This Row],[DUT Adj Read]]="N/A",Table1[[#This Row],[Std Adj Read]]="N/A"),"N/A",IF(Table1[[#This Row],[DUT Adj Read]]="N/A",IF(Table1[[#This Row],[Std Adj Read]]&lt;=Table1[[#This Row],[High Tol]],"Pass","Fail"),IF(Table1[[#This Row],[DUT Adj Read]]&lt;=Table1[[#This Row],[High Tol]],"Pass","Fail")))</f>
        <v>Fail</v>
      </c>
      <c r="AH12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1" s="1" t="b">
        <v>0</v>
      </c>
      <c r="AN1271" s="1" t="b">
        <v>0</v>
      </c>
      <c r="AO1271" s="1" t="b">
        <v>0</v>
      </c>
    </row>
    <row r="1272" spans="1:41" x14ac:dyDescent="0.25">
      <c r="A1272" s="10"/>
      <c r="B1272" s="10"/>
      <c r="C1272" s="10"/>
      <c r="D1272" s="10"/>
      <c r="E1272" s="10"/>
      <c r="F1272" s="10"/>
      <c r="G1272" s="10"/>
      <c r="H1272" s="10"/>
      <c r="I1272" s="1" t="str">
        <f t="shared" si="57"/>
        <v/>
      </c>
      <c r="J1272" s="1" t="s">
        <v>35</v>
      </c>
      <c r="K1272" s="1" t="str">
        <f t="shared" si="58"/>
        <v/>
      </c>
      <c r="L1272" s="1" t="str">
        <f t="shared" si="59"/>
        <v/>
      </c>
      <c r="M1272" s="1">
        <f>IF(OR(Table1[[#This Row],[Std Nom]]="",Table1[[#This Row],[Std Read]]=""),0,Table1[[#This Row],[Std Nom]]-Table1[[#This Row],[Std Read]])</f>
        <v>0</v>
      </c>
      <c r="N1272" s="1">
        <f>IF(Calculations!$F$5="ACCREDITED 17025 WITH UNCERTAINTIES",$N$10,0)</f>
        <v>0</v>
      </c>
      <c r="Q1272" s="1">
        <f>Table1[[#This Row],[High Tol]]-Table1[[#This Row],[Low Tol]]</f>
        <v>0</v>
      </c>
      <c r="R1272" s="1">
        <f>2*Table1[[#This Row],[Std Error]]</f>
        <v>0</v>
      </c>
      <c r="S1272" s="1" t="str">
        <f>IF(Table1[[#This Row],[High Tol]]="","N/A",IFERROR(ABS(Table1[[#This Row],[Tol Span]]/Table1[[#This Row],[Error Span]]),"N/A"))</f>
        <v>N/A</v>
      </c>
      <c r="T1272" s="1" t="str">
        <f>IF(OR(Table1[[#This Row],[Low Tol]]="",Table1[[#This Row],[High Tol]]=""),"Needs Analysis",IF(Table1[[#This Row],[Ratio]]&gt;=4,"Not Significant",IF(Table1[[#This Row],[Ratio]]&gt;=2,"Semi-Significant","Significant")))</f>
        <v>Needs Analysis</v>
      </c>
      <c r="W1272" s="1">
        <f>IF(Table1[[#This Row],[Cal Type]]&lt;&gt;"ACCREDITED 17025 WITH UNCERTAINTIES",0,"")</f>
        <v>0</v>
      </c>
      <c r="X1272" s="1" t="str">
        <f>IF(Table1[[#This Row],[DUT Read]]="","N/A",Table1[[#This Row],[Std Error]]+Table1[[#This Row],[DUT Read]]+Table1[[#This Row],[DUT Ucty]])</f>
        <v>N/A</v>
      </c>
      <c r="Y1272" s="1" t="str">
        <f>IF(Table1[[#This Row],[Std Read]]="","N/A",Table1[[#This Row],[Std Read]]+Table1[[#This Row],[Std Ucty]])</f>
        <v>N/A</v>
      </c>
      <c r="Z12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2" s="1" t="str">
        <f>IF(Table1[[#This Row],[Spec Type]]="","N/A",Table1[[#This Row],[Spec Type]])</f>
        <v>±</v>
      </c>
      <c r="AC1272" s="1" t="str">
        <f>IF(Table1[[#This Row],[Spec Type2]]="N/A","N/A",IF(AND(Table1[[#This Row],[DUT Adj Read]]&gt;=Table1[[#This Row],[Low Tol]],Table1[[#This Row],[DUT Adj Read]]&lt;=Table1[[#This Row],[High Tol]]),"Pass","Fail"))</f>
        <v>Fail</v>
      </c>
      <c r="AD1272" s="1" t="str">
        <f>IF(AND(Table1[[#This Row],[Spec Type2]]="N/A",Table1[[#This Row],[DUT Adj Read]]="N/A",Table1[[#This Row],[Std Adj Read]]="N/A"),"N/A",IF(Table1[[#This Row],[DUT Adj Read]]="N/A",IF(Table1[[#This Row],[Std Adj Read]]&gt;Table1[[#This Row],[Low Tol]],"Pass","Fail"),IF(Table1[[#This Row],[DUT Adj Read]]&gt;Table1[[#This Row],[Low Tol]],"Pass","Fail")))</f>
        <v>Pass</v>
      </c>
      <c r="AE1272" s="1" t="str">
        <f>IF(AND(Table1[[#This Row],[Spec Type2]]="N/A",Table1[[#This Row],[DUT Adj Read]]="N/A",Table1[[#This Row],[Std Adj Read]]="N/A"),"N/A",IF(Table1[[#This Row],[DUT Adj Read]]="N/A",IF(Table1[[#This Row],[Std Adj Read]]&lt;Table1[[#This Row],[High Tol]],"Pass","Fail"),IF(Table1[[#This Row],[DUT Adj Read]]&lt;Table1[[#This Row],[High Tol]],"Pass","Fail")))</f>
        <v>Fail</v>
      </c>
      <c r="AF1272" s="1" t="str">
        <f>IF(AND(Table1[[#This Row],[Spec Type2]]="N/A",Table1[[#This Row],[DUT Adj Read]]="N/A",Table1[[#This Row],[Std Adj Read]]="N/A"),"N/A",IF(Table1[[#This Row],[DUT Adj Read]]="N/A",IF(Table1[[#This Row],[Std Adj Read]]&gt;=Table1[[#This Row],[Low Tol]],"Pass","Fail"),IF(Table1[[#This Row],[DUT Adj Read]]&gt;=Table1[[#This Row],[Low Tol]],"Pass","Fail")))</f>
        <v>Pass</v>
      </c>
      <c r="AG1272" s="1" t="str">
        <f>IF(AND(Table1[[#This Row],[Spec Type2]]="N/A",Table1[[#This Row],[DUT Adj Read]]="N/A",Table1[[#This Row],[Std Adj Read]]="N/A"),"N/A",IF(Table1[[#This Row],[DUT Adj Read]]="N/A",IF(Table1[[#This Row],[Std Adj Read]]&lt;=Table1[[#This Row],[High Tol]],"Pass","Fail"),IF(Table1[[#This Row],[DUT Adj Read]]&lt;=Table1[[#This Row],[High Tol]],"Pass","Fail")))</f>
        <v>Fail</v>
      </c>
      <c r="AH12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2" s="1" t="b">
        <v>0</v>
      </c>
      <c r="AN1272" s="1" t="b">
        <v>0</v>
      </c>
      <c r="AO1272" s="1" t="b">
        <v>0</v>
      </c>
    </row>
    <row r="1273" spans="1:41" x14ac:dyDescent="0.25">
      <c r="A1273" s="10"/>
      <c r="B1273" s="10"/>
      <c r="C1273" s="10"/>
      <c r="D1273" s="10"/>
      <c r="E1273" s="10"/>
      <c r="F1273" s="10"/>
      <c r="G1273" s="10"/>
      <c r="H1273" s="10"/>
      <c r="I1273" s="1" t="str">
        <f t="shared" si="57"/>
        <v/>
      </c>
      <c r="J1273" s="1" t="s">
        <v>35</v>
      </c>
      <c r="K1273" s="1" t="str">
        <f t="shared" si="58"/>
        <v/>
      </c>
      <c r="L1273" s="1" t="str">
        <f t="shared" si="59"/>
        <v/>
      </c>
      <c r="M1273" s="1">
        <f>IF(OR(Table1[[#This Row],[Std Nom]]="",Table1[[#This Row],[Std Read]]=""),0,Table1[[#This Row],[Std Nom]]-Table1[[#This Row],[Std Read]])</f>
        <v>0</v>
      </c>
      <c r="N1273" s="1">
        <f>IF(Calculations!$F$5="ACCREDITED 17025 WITH UNCERTAINTIES",$N$10,0)</f>
        <v>0</v>
      </c>
      <c r="Q1273" s="1">
        <f>Table1[[#This Row],[High Tol]]-Table1[[#This Row],[Low Tol]]</f>
        <v>0</v>
      </c>
      <c r="R1273" s="1">
        <f>2*Table1[[#This Row],[Std Error]]</f>
        <v>0</v>
      </c>
      <c r="S1273" s="1" t="str">
        <f>IF(Table1[[#This Row],[High Tol]]="","N/A",IFERROR(ABS(Table1[[#This Row],[Tol Span]]/Table1[[#This Row],[Error Span]]),"N/A"))</f>
        <v>N/A</v>
      </c>
      <c r="T1273" s="1" t="str">
        <f>IF(OR(Table1[[#This Row],[Low Tol]]="",Table1[[#This Row],[High Tol]]=""),"Needs Analysis",IF(Table1[[#This Row],[Ratio]]&gt;=4,"Not Significant",IF(Table1[[#This Row],[Ratio]]&gt;=2,"Semi-Significant","Significant")))</f>
        <v>Needs Analysis</v>
      </c>
      <c r="W1273" s="1">
        <f>IF(Table1[[#This Row],[Cal Type]]&lt;&gt;"ACCREDITED 17025 WITH UNCERTAINTIES",0,"")</f>
        <v>0</v>
      </c>
      <c r="X1273" s="1" t="str">
        <f>IF(Table1[[#This Row],[DUT Read]]="","N/A",Table1[[#This Row],[Std Error]]+Table1[[#This Row],[DUT Read]]+Table1[[#This Row],[DUT Ucty]])</f>
        <v>N/A</v>
      </c>
      <c r="Y1273" s="1" t="str">
        <f>IF(Table1[[#This Row],[Std Read]]="","N/A",Table1[[#This Row],[Std Read]]+Table1[[#This Row],[Std Ucty]])</f>
        <v>N/A</v>
      </c>
      <c r="Z12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3" s="1" t="str">
        <f>IF(Table1[[#This Row],[Spec Type]]="","N/A",Table1[[#This Row],[Spec Type]])</f>
        <v>±</v>
      </c>
      <c r="AC1273" s="1" t="str">
        <f>IF(Table1[[#This Row],[Spec Type2]]="N/A","N/A",IF(AND(Table1[[#This Row],[DUT Adj Read]]&gt;=Table1[[#This Row],[Low Tol]],Table1[[#This Row],[DUT Adj Read]]&lt;=Table1[[#This Row],[High Tol]]),"Pass","Fail"))</f>
        <v>Fail</v>
      </c>
      <c r="AD1273" s="1" t="str">
        <f>IF(AND(Table1[[#This Row],[Spec Type2]]="N/A",Table1[[#This Row],[DUT Adj Read]]="N/A",Table1[[#This Row],[Std Adj Read]]="N/A"),"N/A",IF(Table1[[#This Row],[DUT Adj Read]]="N/A",IF(Table1[[#This Row],[Std Adj Read]]&gt;Table1[[#This Row],[Low Tol]],"Pass","Fail"),IF(Table1[[#This Row],[DUT Adj Read]]&gt;Table1[[#This Row],[Low Tol]],"Pass","Fail")))</f>
        <v>Pass</v>
      </c>
      <c r="AE1273" s="1" t="str">
        <f>IF(AND(Table1[[#This Row],[Spec Type2]]="N/A",Table1[[#This Row],[DUT Adj Read]]="N/A",Table1[[#This Row],[Std Adj Read]]="N/A"),"N/A",IF(Table1[[#This Row],[DUT Adj Read]]="N/A",IF(Table1[[#This Row],[Std Adj Read]]&lt;Table1[[#This Row],[High Tol]],"Pass","Fail"),IF(Table1[[#This Row],[DUT Adj Read]]&lt;Table1[[#This Row],[High Tol]],"Pass","Fail")))</f>
        <v>Fail</v>
      </c>
      <c r="AF1273" s="1" t="str">
        <f>IF(AND(Table1[[#This Row],[Spec Type2]]="N/A",Table1[[#This Row],[DUT Adj Read]]="N/A",Table1[[#This Row],[Std Adj Read]]="N/A"),"N/A",IF(Table1[[#This Row],[DUT Adj Read]]="N/A",IF(Table1[[#This Row],[Std Adj Read]]&gt;=Table1[[#This Row],[Low Tol]],"Pass","Fail"),IF(Table1[[#This Row],[DUT Adj Read]]&gt;=Table1[[#This Row],[Low Tol]],"Pass","Fail")))</f>
        <v>Pass</v>
      </c>
      <c r="AG1273" s="1" t="str">
        <f>IF(AND(Table1[[#This Row],[Spec Type2]]="N/A",Table1[[#This Row],[DUT Adj Read]]="N/A",Table1[[#This Row],[Std Adj Read]]="N/A"),"N/A",IF(Table1[[#This Row],[DUT Adj Read]]="N/A",IF(Table1[[#This Row],[Std Adj Read]]&lt;=Table1[[#This Row],[High Tol]],"Pass","Fail"),IF(Table1[[#This Row],[DUT Adj Read]]&lt;=Table1[[#This Row],[High Tol]],"Pass","Fail")))</f>
        <v>Fail</v>
      </c>
      <c r="AH12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3" s="1" t="b">
        <v>0</v>
      </c>
      <c r="AN1273" s="1" t="b">
        <v>0</v>
      </c>
      <c r="AO1273" s="1" t="b">
        <v>0</v>
      </c>
    </row>
    <row r="1274" spans="1:41" x14ac:dyDescent="0.25">
      <c r="A1274" s="10"/>
      <c r="B1274" s="10"/>
      <c r="C1274" s="10"/>
      <c r="D1274" s="10"/>
      <c r="E1274" s="10"/>
      <c r="F1274" s="10"/>
      <c r="G1274" s="10"/>
      <c r="H1274" s="10"/>
      <c r="I1274" s="1" t="str">
        <f t="shared" si="57"/>
        <v/>
      </c>
      <c r="J1274" s="1" t="s">
        <v>35</v>
      </c>
      <c r="K1274" s="1" t="str">
        <f t="shared" si="58"/>
        <v/>
      </c>
      <c r="L1274" s="1" t="str">
        <f t="shared" si="59"/>
        <v/>
      </c>
      <c r="M1274" s="1">
        <f>IF(OR(Table1[[#This Row],[Std Nom]]="",Table1[[#This Row],[Std Read]]=""),0,Table1[[#This Row],[Std Nom]]-Table1[[#This Row],[Std Read]])</f>
        <v>0</v>
      </c>
      <c r="N1274" s="1">
        <f>IF(Calculations!$F$5="ACCREDITED 17025 WITH UNCERTAINTIES",$N$10,0)</f>
        <v>0</v>
      </c>
      <c r="Q1274" s="1">
        <f>Table1[[#This Row],[High Tol]]-Table1[[#This Row],[Low Tol]]</f>
        <v>0</v>
      </c>
      <c r="R1274" s="1">
        <f>2*Table1[[#This Row],[Std Error]]</f>
        <v>0</v>
      </c>
      <c r="S1274" s="1" t="str">
        <f>IF(Table1[[#This Row],[High Tol]]="","N/A",IFERROR(ABS(Table1[[#This Row],[Tol Span]]/Table1[[#This Row],[Error Span]]),"N/A"))</f>
        <v>N/A</v>
      </c>
      <c r="T1274" s="1" t="str">
        <f>IF(OR(Table1[[#This Row],[Low Tol]]="",Table1[[#This Row],[High Tol]]=""),"Needs Analysis",IF(Table1[[#This Row],[Ratio]]&gt;=4,"Not Significant",IF(Table1[[#This Row],[Ratio]]&gt;=2,"Semi-Significant","Significant")))</f>
        <v>Needs Analysis</v>
      </c>
      <c r="W1274" s="1">
        <f>IF(Table1[[#This Row],[Cal Type]]&lt;&gt;"ACCREDITED 17025 WITH UNCERTAINTIES",0,"")</f>
        <v>0</v>
      </c>
      <c r="X1274" s="1" t="str">
        <f>IF(Table1[[#This Row],[DUT Read]]="","N/A",Table1[[#This Row],[Std Error]]+Table1[[#This Row],[DUT Read]]+Table1[[#This Row],[DUT Ucty]])</f>
        <v>N/A</v>
      </c>
      <c r="Y1274" s="1" t="str">
        <f>IF(Table1[[#This Row],[Std Read]]="","N/A",Table1[[#This Row],[Std Read]]+Table1[[#This Row],[Std Ucty]])</f>
        <v>N/A</v>
      </c>
      <c r="Z12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4" s="1" t="str">
        <f>IF(Table1[[#This Row],[Spec Type]]="","N/A",Table1[[#This Row],[Spec Type]])</f>
        <v>±</v>
      </c>
      <c r="AC1274" s="1" t="str">
        <f>IF(Table1[[#This Row],[Spec Type2]]="N/A","N/A",IF(AND(Table1[[#This Row],[DUT Adj Read]]&gt;=Table1[[#This Row],[Low Tol]],Table1[[#This Row],[DUT Adj Read]]&lt;=Table1[[#This Row],[High Tol]]),"Pass","Fail"))</f>
        <v>Fail</v>
      </c>
      <c r="AD1274" s="1" t="str">
        <f>IF(AND(Table1[[#This Row],[Spec Type2]]="N/A",Table1[[#This Row],[DUT Adj Read]]="N/A",Table1[[#This Row],[Std Adj Read]]="N/A"),"N/A",IF(Table1[[#This Row],[DUT Adj Read]]="N/A",IF(Table1[[#This Row],[Std Adj Read]]&gt;Table1[[#This Row],[Low Tol]],"Pass","Fail"),IF(Table1[[#This Row],[DUT Adj Read]]&gt;Table1[[#This Row],[Low Tol]],"Pass","Fail")))</f>
        <v>Pass</v>
      </c>
      <c r="AE1274" s="1" t="str">
        <f>IF(AND(Table1[[#This Row],[Spec Type2]]="N/A",Table1[[#This Row],[DUT Adj Read]]="N/A",Table1[[#This Row],[Std Adj Read]]="N/A"),"N/A",IF(Table1[[#This Row],[DUT Adj Read]]="N/A",IF(Table1[[#This Row],[Std Adj Read]]&lt;Table1[[#This Row],[High Tol]],"Pass","Fail"),IF(Table1[[#This Row],[DUT Adj Read]]&lt;Table1[[#This Row],[High Tol]],"Pass","Fail")))</f>
        <v>Fail</v>
      </c>
      <c r="AF1274" s="1" t="str">
        <f>IF(AND(Table1[[#This Row],[Spec Type2]]="N/A",Table1[[#This Row],[DUT Adj Read]]="N/A",Table1[[#This Row],[Std Adj Read]]="N/A"),"N/A",IF(Table1[[#This Row],[DUT Adj Read]]="N/A",IF(Table1[[#This Row],[Std Adj Read]]&gt;=Table1[[#This Row],[Low Tol]],"Pass","Fail"),IF(Table1[[#This Row],[DUT Adj Read]]&gt;=Table1[[#This Row],[Low Tol]],"Pass","Fail")))</f>
        <v>Pass</v>
      </c>
      <c r="AG1274" s="1" t="str">
        <f>IF(AND(Table1[[#This Row],[Spec Type2]]="N/A",Table1[[#This Row],[DUT Adj Read]]="N/A",Table1[[#This Row],[Std Adj Read]]="N/A"),"N/A",IF(Table1[[#This Row],[DUT Adj Read]]="N/A",IF(Table1[[#This Row],[Std Adj Read]]&lt;=Table1[[#This Row],[High Tol]],"Pass","Fail"),IF(Table1[[#This Row],[DUT Adj Read]]&lt;=Table1[[#This Row],[High Tol]],"Pass","Fail")))</f>
        <v>Fail</v>
      </c>
      <c r="AH12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4" s="1" t="b">
        <v>0</v>
      </c>
      <c r="AN1274" s="1" t="b">
        <v>0</v>
      </c>
      <c r="AO1274" s="1" t="b">
        <v>0</v>
      </c>
    </row>
    <row r="1275" spans="1:41" x14ac:dyDescent="0.25">
      <c r="A1275" s="10"/>
      <c r="B1275" s="10"/>
      <c r="C1275" s="10"/>
      <c r="D1275" s="10"/>
      <c r="E1275" s="10"/>
      <c r="F1275" s="10"/>
      <c r="G1275" s="10"/>
      <c r="H1275" s="10"/>
      <c r="I1275" s="1" t="str">
        <f t="shared" si="57"/>
        <v/>
      </c>
      <c r="J1275" s="1" t="s">
        <v>35</v>
      </c>
      <c r="K1275" s="1" t="str">
        <f t="shared" si="58"/>
        <v/>
      </c>
      <c r="L1275" s="1" t="str">
        <f t="shared" si="59"/>
        <v/>
      </c>
      <c r="M1275" s="1">
        <f>IF(OR(Table1[[#This Row],[Std Nom]]="",Table1[[#This Row],[Std Read]]=""),0,Table1[[#This Row],[Std Nom]]-Table1[[#This Row],[Std Read]])</f>
        <v>0</v>
      </c>
      <c r="N1275" s="1">
        <f>IF(Calculations!$F$5="ACCREDITED 17025 WITH UNCERTAINTIES",$N$10,0)</f>
        <v>0</v>
      </c>
      <c r="Q1275" s="1">
        <f>Table1[[#This Row],[High Tol]]-Table1[[#This Row],[Low Tol]]</f>
        <v>0</v>
      </c>
      <c r="R1275" s="1">
        <f>2*Table1[[#This Row],[Std Error]]</f>
        <v>0</v>
      </c>
      <c r="S1275" s="1" t="str">
        <f>IF(Table1[[#This Row],[High Tol]]="","N/A",IFERROR(ABS(Table1[[#This Row],[Tol Span]]/Table1[[#This Row],[Error Span]]),"N/A"))</f>
        <v>N/A</v>
      </c>
      <c r="T1275" s="1" t="str">
        <f>IF(OR(Table1[[#This Row],[Low Tol]]="",Table1[[#This Row],[High Tol]]=""),"Needs Analysis",IF(Table1[[#This Row],[Ratio]]&gt;=4,"Not Significant",IF(Table1[[#This Row],[Ratio]]&gt;=2,"Semi-Significant","Significant")))</f>
        <v>Needs Analysis</v>
      </c>
      <c r="W1275" s="1">
        <f>IF(Table1[[#This Row],[Cal Type]]&lt;&gt;"ACCREDITED 17025 WITH UNCERTAINTIES",0,"")</f>
        <v>0</v>
      </c>
      <c r="X1275" s="1" t="str">
        <f>IF(Table1[[#This Row],[DUT Read]]="","N/A",Table1[[#This Row],[Std Error]]+Table1[[#This Row],[DUT Read]]+Table1[[#This Row],[DUT Ucty]])</f>
        <v>N/A</v>
      </c>
      <c r="Y1275" s="1" t="str">
        <f>IF(Table1[[#This Row],[Std Read]]="","N/A",Table1[[#This Row],[Std Read]]+Table1[[#This Row],[Std Ucty]])</f>
        <v>N/A</v>
      </c>
      <c r="Z12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5" s="1" t="str">
        <f>IF(Table1[[#This Row],[Spec Type]]="","N/A",Table1[[#This Row],[Spec Type]])</f>
        <v>±</v>
      </c>
      <c r="AC1275" s="1" t="str">
        <f>IF(Table1[[#This Row],[Spec Type2]]="N/A","N/A",IF(AND(Table1[[#This Row],[DUT Adj Read]]&gt;=Table1[[#This Row],[Low Tol]],Table1[[#This Row],[DUT Adj Read]]&lt;=Table1[[#This Row],[High Tol]]),"Pass","Fail"))</f>
        <v>Fail</v>
      </c>
      <c r="AD1275" s="1" t="str">
        <f>IF(AND(Table1[[#This Row],[Spec Type2]]="N/A",Table1[[#This Row],[DUT Adj Read]]="N/A",Table1[[#This Row],[Std Adj Read]]="N/A"),"N/A",IF(Table1[[#This Row],[DUT Adj Read]]="N/A",IF(Table1[[#This Row],[Std Adj Read]]&gt;Table1[[#This Row],[Low Tol]],"Pass","Fail"),IF(Table1[[#This Row],[DUT Adj Read]]&gt;Table1[[#This Row],[Low Tol]],"Pass","Fail")))</f>
        <v>Pass</v>
      </c>
      <c r="AE1275" s="1" t="str">
        <f>IF(AND(Table1[[#This Row],[Spec Type2]]="N/A",Table1[[#This Row],[DUT Adj Read]]="N/A",Table1[[#This Row],[Std Adj Read]]="N/A"),"N/A",IF(Table1[[#This Row],[DUT Adj Read]]="N/A",IF(Table1[[#This Row],[Std Adj Read]]&lt;Table1[[#This Row],[High Tol]],"Pass","Fail"),IF(Table1[[#This Row],[DUT Adj Read]]&lt;Table1[[#This Row],[High Tol]],"Pass","Fail")))</f>
        <v>Fail</v>
      </c>
      <c r="AF1275" s="1" t="str">
        <f>IF(AND(Table1[[#This Row],[Spec Type2]]="N/A",Table1[[#This Row],[DUT Adj Read]]="N/A",Table1[[#This Row],[Std Adj Read]]="N/A"),"N/A",IF(Table1[[#This Row],[DUT Adj Read]]="N/A",IF(Table1[[#This Row],[Std Adj Read]]&gt;=Table1[[#This Row],[Low Tol]],"Pass","Fail"),IF(Table1[[#This Row],[DUT Adj Read]]&gt;=Table1[[#This Row],[Low Tol]],"Pass","Fail")))</f>
        <v>Pass</v>
      </c>
      <c r="AG1275" s="1" t="str">
        <f>IF(AND(Table1[[#This Row],[Spec Type2]]="N/A",Table1[[#This Row],[DUT Adj Read]]="N/A",Table1[[#This Row],[Std Adj Read]]="N/A"),"N/A",IF(Table1[[#This Row],[DUT Adj Read]]="N/A",IF(Table1[[#This Row],[Std Adj Read]]&lt;=Table1[[#This Row],[High Tol]],"Pass","Fail"),IF(Table1[[#This Row],[DUT Adj Read]]&lt;=Table1[[#This Row],[High Tol]],"Pass","Fail")))</f>
        <v>Fail</v>
      </c>
      <c r="AH12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5" s="1" t="b">
        <v>0</v>
      </c>
      <c r="AN1275" s="1" t="b">
        <v>0</v>
      </c>
      <c r="AO1275" s="1" t="b">
        <v>0</v>
      </c>
    </row>
    <row r="1276" spans="1:41" x14ac:dyDescent="0.25">
      <c r="A1276" s="10"/>
      <c r="B1276" s="10"/>
      <c r="C1276" s="10"/>
      <c r="D1276" s="10"/>
      <c r="E1276" s="10"/>
      <c r="F1276" s="10"/>
      <c r="G1276" s="10"/>
      <c r="H1276" s="10"/>
      <c r="I1276" s="1" t="str">
        <f t="shared" si="57"/>
        <v/>
      </c>
      <c r="J1276" s="1" t="s">
        <v>35</v>
      </c>
      <c r="K1276" s="1" t="str">
        <f t="shared" si="58"/>
        <v/>
      </c>
      <c r="L1276" s="1" t="str">
        <f t="shared" si="59"/>
        <v/>
      </c>
      <c r="M1276" s="1">
        <f>IF(OR(Table1[[#This Row],[Std Nom]]="",Table1[[#This Row],[Std Read]]=""),0,Table1[[#This Row],[Std Nom]]-Table1[[#This Row],[Std Read]])</f>
        <v>0</v>
      </c>
      <c r="N1276" s="1">
        <f>IF(Calculations!$F$5="ACCREDITED 17025 WITH UNCERTAINTIES",$N$10,0)</f>
        <v>0</v>
      </c>
      <c r="Q1276" s="1">
        <f>Table1[[#This Row],[High Tol]]-Table1[[#This Row],[Low Tol]]</f>
        <v>0</v>
      </c>
      <c r="R1276" s="1">
        <f>2*Table1[[#This Row],[Std Error]]</f>
        <v>0</v>
      </c>
      <c r="S1276" s="1" t="str">
        <f>IF(Table1[[#This Row],[High Tol]]="","N/A",IFERROR(ABS(Table1[[#This Row],[Tol Span]]/Table1[[#This Row],[Error Span]]),"N/A"))</f>
        <v>N/A</v>
      </c>
      <c r="T1276" s="1" t="str">
        <f>IF(OR(Table1[[#This Row],[Low Tol]]="",Table1[[#This Row],[High Tol]]=""),"Needs Analysis",IF(Table1[[#This Row],[Ratio]]&gt;=4,"Not Significant",IF(Table1[[#This Row],[Ratio]]&gt;=2,"Semi-Significant","Significant")))</f>
        <v>Needs Analysis</v>
      </c>
      <c r="W1276" s="1">
        <f>IF(Table1[[#This Row],[Cal Type]]&lt;&gt;"ACCREDITED 17025 WITH UNCERTAINTIES",0,"")</f>
        <v>0</v>
      </c>
      <c r="X1276" s="1" t="str">
        <f>IF(Table1[[#This Row],[DUT Read]]="","N/A",Table1[[#This Row],[Std Error]]+Table1[[#This Row],[DUT Read]]+Table1[[#This Row],[DUT Ucty]])</f>
        <v>N/A</v>
      </c>
      <c r="Y1276" s="1" t="str">
        <f>IF(Table1[[#This Row],[Std Read]]="","N/A",Table1[[#This Row],[Std Read]]+Table1[[#This Row],[Std Ucty]])</f>
        <v>N/A</v>
      </c>
      <c r="Z12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6" s="1" t="str">
        <f>IF(Table1[[#This Row],[Spec Type]]="","N/A",Table1[[#This Row],[Spec Type]])</f>
        <v>±</v>
      </c>
      <c r="AC1276" s="1" t="str">
        <f>IF(Table1[[#This Row],[Spec Type2]]="N/A","N/A",IF(AND(Table1[[#This Row],[DUT Adj Read]]&gt;=Table1[[#This Row],[Low Tol]],Table1[[#This Row],[DUT Adj Read]]&lt;=Table1[[#This Row],[High Tol]]),"Pass","Fail"))</f>
        <v>Fail</v>
      </c>
      <c r="AD1276" s="1" t="str">
        <f>IF(AND(Table1[[#This Row],[Spec Type2]]="N/A",Table1[[#This Row],[DUT Adj Read]]="N/A",Table1[[#This Row],[Std Adj Read]]="N/A"),"N/A",IF(Table1[[#This Row],[DUT Adj Read]]="N/A",IF(Table1[[#This Row],[Std Adj Read]]&gt;Table1[[#This Row],[Low Tol]],"Pass","Fail"),IF(Table1[[#This Row],[DUT Adj Read]]&gt;Table1[[#This Row],[Low Tol]],"Pass","Fail")))</f>
        <v>Pass</v>
      </c>
      <c r="AE1276" s="1" t="str">
        <f>IF(AND(Table1[[#This Row],[Spec Type2]]="N/A",Table1[[#This Row],[DUT Adj Read]]="N/A",Table1[[#This Row],[Std Adj Read]]="N/A"),"N/A",IF(Table1[[#This Row],[DUT Adj Read]]="N/A",IF(Table1[[#This Row],[Std Adj Read]]&lt;Table1[[#This Row],[High Tol]],"Pass","Fail"),IF(Table1[[#This Row],[DUT Adj Read]]&lt;Table1[[#This Row],[High Tol]],"Pass","Fail")))</f>
        <v>Fail</v>
      </c>
      <c r="AF1276" s="1" t="str">
        <f>IF(AND(Table1[[#This Row],[Spec Type2]]="N/A",Table1[[#This Row],[DUT Adj Read]]="N/A",Table1[[#This Row],[Std Adj Read]]="N/A"),"N/A",IF(Table1[[#This Row],[DUT Adj Read]]="N/A",IF(Table1[[#This Row],[Std Adj Read]]&gt;=Table1[[#This Row],[Low Tol]],"Pass","Fail"),IF(Table1[[#This Row],[DUT Adj Read]]&gt;=Table1[[#This Row],[Low Tol]],"Pass","Fail")))</f>
        <v>Pass</v>
      </c>
      <c r="AG1276" s="1" t="str">
        <f>IF(AND(Table1[[#This Row],[Spec Type2]]="N/A",Table1[[#This Row],[DUT Adj Read]]="N/A",Table1[[#This Row],[Std Adj Read]]="N/A"),"N/A",IF(Table1[[#This Row],[DUT Adj Read]]="N/A",IF(Table1[[#This Row],[Std Adj Read]]&lt;=Table1[[#This Row],[High Tol]],"Pass","Fail"),IF(Table1[[#This Row],[DUT Adj Read]]&lt;=Table1[[#This Row],[High Tol]],"Pass","Fail")))</f>
        <v>Fail</v>
      </c>
      <c r="AH12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6" s="1" t="b">
        <v>0</v>
      </c>
      <c r="AN1276" s="1" t="b">
        <v>0</v>
      </c>
      <c r="AO1276" s="1" t="b">
        <v>0</v>
      </c>
    </row>
    <row r="1277" spans="1:41" x14ac:dyDescent="0.25">
      <c r="A1277" s="10"/>
      <c r="B1277" s="10"/>
      <c r="C1277" s="10"/>
      <c r="D1277" s="10"/>
      <c r="E1277" s="10"/>
      <c r="F1277" s="10"/>
      <c r="G1277" s="10"/>
      <c r="H1277" s="10"/>
      <c r="I1277" s="1" t="str">
        <f t="shared" si="57"/>
        <v/>
      </c>
      <c r="J1277" s="1" t="s">
        <v>35</v>
      </c>
      <c r="K1277" s="1" t="str">
        <f t="shared" si="58"/>
        <v/>
      </c>
      <c r="L1277" s="1" t="str">
        <f t="shared" si="59"/>
        <v/>
      </c>
      <c r="M1277" s="1">
        <f>IF(OR(Table1[[#This Row],[Std Nom]]="",Table1[[#This Row],[Std Read]]=""),0,Table1[[#This Row],[Std Nom]]-Table1[[#This Row],[Std Read]])</f>
        <v>0</v>
      </c>
      <c r="N1277" s="1">
        <f>IF(Calculations!$F$5="ACCREDITED 17025 WITH UNCERTAINTIES",$N$10,0)</f>
        <v>0</v>
      </c>
      <c r="Q1277" s="1">
        <f>Table1[[#This Row],[High Tol]]-Table1[[#This Row],[Low Tol]]</f>
        <v>0</v>
      </c>
      <c r="R1277" s="1">
        <f>2*Table1[[#This Row],[Std Error]]</f>
        <v>0</v>
      </c>
      <c r="S1277" s="1" t="str">
        <f>IF(Table1[[#This Row],[High Tol]]="","N/A",IFERROR(ABS(Table1[[#This Row],[Tol Span]]/Table1[[#This Row],[Error Span]]),"N/A"))</f>
        <v>N/A</v>
      </c>
      <c r="T1277" s="1" t="str">
        <f>IF(OR(Table1[[#This Row],[Low Tol]]="",Table1[[#This Row],[High Tol]]=""),"Needs Analysis",IF(Table1[[#This Row],[Ratio]]&gt;=4,"Not Significant",IF(Table1[[#This Row],[Ratio]]&gt;=2,"Semi-Significant","Significant")))</f>
        <v>Needs Analysis</v>
      </c>
      <c r="W1277" s="1">
        <f>IF(Table1[[#This Row],[Cal Type]]&lt;&gt;"ACCREDITED 17025 WITH UNCERTAINTIES",0,"")</f>
        <v>0</v>
      </c>
      <c r="X1277" s="1" t="str">
        <f>IF(Table1[[#This Row],[DUT Read]]="","N/A",Table1[[#This Row],[Std Error]]+Table1[[#This Row],[DUT Read]]+Table1[[#This Row],[DUT Ucty]])</f>
        <v>N/A</v>
      </c>
      <c r="Y1277" s="1" t="str">
        <f>IF(Table1[[#This Row],[Std Read]]="","N/A",Table1[[#This Row],[Std Read]]+Table1[[#This Row],[Std Ucty]])</f>
        <v>N/A</v>
      </c>
      <c r="Z12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7" s="1" t="str">
        <f>IF(Table1[[#This Row],[Spec Type]]="","N/A",Table1[[#This Row],[Spec Type]])</f>
        <v>±</v>
      </c>
      <c r="AC1277" s="1" t="str">
        <f>IF(Table1[[#This Row],[Spec Type2]]="N/A","N/A",IF(AND(Table1[[#This Row],[DUT Adj Read]]&gt;=Table1[[#This Row],[Low Tol]],Table1[[#This Row],[DUT Adj Read]]&lt;=Table1[[#This Row],[High Tol]]),"Pass","Fail"))</f>
        <v>Fail</v>
      </c>
      <c r="AD1277" s="1" t="str">
        <f>IF(AND(Table1[[#This Row],[Spec Type2]]="N/A",Table1[[#This Row],[DUT Adj Read]]="N/A",Table1[[#This Row],[Std Adj Read]]="N/A"),"N/A",IF(Table1[[#This Row],[DUT Adj Read]]="N/A",IF(Table1[[#This Row],[Std Adj Read]]&gt;Table1[[#This Row],[Low Tol]],"Pass","Fail"),IF(Table1[[#This Row],[DUT Adj Read]]&gt;Table1[[#This Row],[Low Tol]],"Pass","Fail")))</f>
        <v>Pass</v>
      </c>
      <c r="AE1277" s="1" t="str">
        <f>IF(AND(Table1[[#This Row],[Spec Type2]]="N/A",Table1[[#This Row],[DUT Adj Read]]="N/A",Table1[[#This Row],[Std Adj Read]]="N/A"),"N/A",IF(Table1[[#This Row],[DUT Adj Read]]="N/A",IF(Table1[[#This Row],[Std Adj Read]]&lt;Table1[[#This Row],[High Tol]],"Pass","Fail"),IF(Table1[[#This Row],[DUT Adj Read]]&lt;Table1[[#This Row],[High Tol]],"Pass","Fail")))</f>
        <v>Fail</v>
      </c>
      <c r="AF1277" s="1" t="str">
        <f>IF(AND(Table1[[#This Row],[Spec Type2]]="N/A",Table1[[#This Row],[DUT Adj Read]]="N/A",Table1[[#This Row],[Std Adj Read]]="N/A"),"N/A",IF(Table1[[#This Row],[DUT Adj Read]]="N/A",IF(Table1[[#This Row],[Std Adj Read]]&gt;=Table1[[#This Row],[Low Tol]],"Pass","Fail"),IF(Table1[[#This Row],[DUT Adj Read]]&gt;=Table1[[#This Row],[Low Tol]],"Pass","Fail")))</f>
        <v>Pass</v>
      </c>
      <c r="AG1277" s="1" t="str">
        <f>IF(AND(Table1[[#This Row],[Spec Type2]]="N/A",Table1[[#This Row],[DUT Adj Read]]="N/A",Table1[[#This Row],[Std Adj Read]]="N/A"),"N/A",IF(Table1[[#This Row],[DUT Adj Read]]="N/A",IF(Table1[[#This Row],[Std Adj Read]]&lt;=Table1[[#This Row],[High Tol]],"Pass","Fail"),IF(Table1[[#This Row],[DUT Adj Read]]&lt;=Table1[[#This Row],[High Tol]],"Pass","Fail")))</f>
        <v>Fail</v>
      </c>
      <c r="AH12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7" s="1" t="b">
        <v>0</v>
      </c>
      <c r="AN1277" s="1" t="b">
        <v>0</v>
      </c>
      <c r="AO1277" s="1" t="b">
        <v>0</v>
      </c>
    </row>
    <row r="1278" spans="1:41" x14ac:dyDescent="0.25">
      <c r="A1278" s="10"/>
      <c r="B1278" s="10"/>
      <c r="C1278" s="10"/>
      <c r="D1278" s="10"/>
      <c r="E1278" s="10"/>
      <c r="F1278" s="10"/>
      <c r="G1278" s="10"/>
      <c r="H1278" s="10"/>
      <c r="I1278" s="1" t="str">
        <f t="shared" si="57"/>
        <v/>
      </c>
      <c r="J1278" s="1" t="s">
        <v>35</v>
      </c>
      <c r="K1278" s="1" t="str">
        <f t="shared" si="58"/>
        <v/>
      </c>
      <c r="L1278" s="1" t="str">
        <f t="shared" si="59"/>
        <v/>
      </c>
      <c r="M1278" s="1">
        <f>IF(OR(Table1[[#This Row],[Std Nom]]="",Table1[[#This Row],[Std Read]]=""),0,Table1[[#This Row],[Std Nom]]-Table1[[#This Row],[Std Read]])</f>
        <v>0</v>
      </c>
      <c r="N1278" s="1">
        <f>IF(Calculations!$F$5="ACCREDITED 17025 WITH UNCERTAINTIES",$N$10,0)</f>
        <v>0</v>
      </c>
      <c r="Q1278" s="1">
        <f>Table1[[#This Row],[High Tol]]-Table1[[#This Row],[Low Tol]]</f>
        <v>0</v>
      </c>
      <c r="R1278" s="1">
        <f>2*Table1[[#This Row],[Std Error]]</f>
        <v>0</v>
      </c>
      <c r="S1278" s="1" t="str">
        <f>IF(Table1[[#This Row],[High Tol]]="","N/A",IFERROR(ABS(Table1[[#This Row],[Tol Span]]/Table1[[#This Row],[Error Span]]),"N/A"))</f>
        <v>N/A</v>
      </c>
      <c r="T1278" s="1" t="str">
        <f>IF(OR(Table1[[#This Row],[Low Tol]]="",Table1[[#This Row],[High Tol]]=""),"Needs Analysis",IF(Table1[[#This Row],[Ratio]]&gt;=4,"Not Significant",IF(Table1[[#This Row],[Ratio]]&gt;=2,"Semi-Significant","Significant")))</f>
        <v>Needs Analysis</v>
      </c>
      <c r="W1278" s="1">
        <f>IF(Table1[[#This Row],[Cal Type]]&lt;&gt;"ACCREDITED 17025 WITH UNCERTAINTIES",0,"")</f>
        <v>0</v>
      </c>
      <c r="X1278" s="1" t="str">
        <f>IF(Table1[[#This Row],[DUT Read]]="","N/A",Table1[[#This Row],[Std Error]]+Table1[[#This Row],[DUT Read]]+Table1[[#This Row],[DUT Ucty]])</f>
        <v>N/A</v>
      </c>
      <c r="Y1278" s="1" t="str">
        <f>IF(Table1[[#This Row],[Std Read]]="","N/A",Table1[[#This Row],[Std Read]]+Table1[[#This Row],[Std Ucty]])</f>
        <v>N/A</v>
      </c>
      <c r="Z12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8" s="1" t="str">
        <f>IF(Table1[[#This Row],[Spec Type]]="","N/A",Table1[[#This Row],[Spec Type]])</f>
        <v>±</v>
      </c>
      <c r="AC1278" s="1" t="str">
        <f>IF(Table1[[#This Row],[Spec Type2]]="N/A","N/A",IF(AND(Table1[[#This Row],[DUT Adj Read]]&gt;=Table1[[#This Row],[Low Tol]],Table1[[#This Row],[DUT Adj Read]]&lt;=Table1[[#This Row],[High Tol]]),"Pass","Fail"))</f>
        <v>Fail</v>
      </c>
      <c r="AD1278" s="1" t="str">
        <f>IF(AND(Table1[[#This Row],[Spec Type2]]="N/A",Table1[[#This Row],[DUT Adj Read]]="N/A",Table1[[#This Row],[Std Adj Read]]="N/A"),"N/A",IF(Table1[[#This Row],[DUT Adj Read]]="N/A",IF(Table1[[#This Row],[Std Adj Read]]&gt;Table1[[#This Row],[Low Tol]],"Pass","Fail"),IF(Table1[[#This Row],[DUT Adj Read]]&gt;Table1[[#This Row],[Low Tol]],"Pass","Fail")))</f>
        <v>Pass</v>
      </c>
      <c r="AE1278" s="1" t="str">
        <f>IF(AND(Table1[[#This Row],[Spec Type2]]="N/A",Table1[[#This Row],[DUT Adj Read]]="N/A",Table1[[#This Row],[Std Adj Read]]="N/A"),"N/A",IF(Table1[[#This Row],[DUT Adj Read]]="N/A",IF(Table1[[#This Row],[Std Adj Read]]&lt;Table1[[#This Row],[High Tol]],"Pass","Fail"),IF(Table1[[#This Row],[DUT Adj Read]]&lt;Table1[[#This Row],[High Tol]],"Pass","Fail")))</f>
        <v>Fail</v>
      </c>
      <c r="AF1278" s="1" t="str">
        <f>IF(AND(Table1[[#This Row],[Spec Type2]]="N/A",Table1[[#This Row],[DUT Adj Read]]="N/A",Table1[[#This Row],[Std Adj Read]]="N/A"),"N/A",IF(Table1[[#This Row],[DUT Adj Read]]="N/A",IF(Table1[[#This Row],[Std Adj Read]]&gt;=Table1[[#This Row],[Low Tol]],"Pass","Fail"),IF(Table1[[#This Row],[DUT Adj Read]]&gt;=Table1[[#This Row],[Low Tol]],"Pass","Fail")))</f>
        <v>Pass</v>
      </c>
      <c r="AG1278" s="1" t="str">
        <f>IF(AND(Table1[[#This Row],[Spec Type2]]="N/A",Table1[[#This Row],[DUT Adj Read]]="N/A",Table1[[#This Row],[Std Adj Read]]="N/A"),"N/A",IF(Table1[[#This Row],[DUT Adj Read]]="N/A",IF(Table1[[#This Row],[Std Adj Read]]&lt;=Table1[[#This Row],[High Tol]],"Pass","Fail"),IF(Table1[[#This Row],[DUT Adj Read]]&lt;=Table1[[#This Row],[High Tol]],"Pass","Fail")))</f>
        <v>Fail</v>
      </c>
      <c r="AH12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8" s="1" t="b">
        <v>0</v>
      </c>
      <c r="AN1278" s="1" t="b">
        <v>0</v>
      </c>
      <c r="AO1278" s="1" t="b">
        <v>0</v>
      </c>
    </row>
    <row r="1279" spans="1:41" x14ac:dyDescent="0.25">
      <c r="A1279" s="10"/>
      <c r="B1279" s="10"/>
      <c r="C1279" s="10"/>
      <c r="D1279" s="10"/>
      <c r="E1279" s="10"/>
      <c r="F1279" s="10"/>
      <c r="G1279" s="10"/>
      <c r="H1279" s="10"/>
      <c r="I1279" s="1" t="str">
        <f t="shared" si="57"/>
        <v/>
      </c>
      <c r="J1279" s="1" t="s">
        <v>35</v>
      </c>
      <c r="K1279" s="1" t="str">
        <f t="shared" si="58"/>
        <v/>
      </c>
      <c r="L1279" s="1" t="str">
        <f t="shared" si="59"/>
        <v/>
      </c>
      <c r="M1279" s="1">
        <f>IF(OR(Table1[[#This Row],[Std Nom]]="",Table1[[#This Row],[Std Read]]=""),0,Table1[[#This Row],[Std Nom]]-Table1[[#This Row],[Std Read]])</f>
        <v>0</v>
      </c>
      <c r="N1279" s="1">
        <f>IF(Calculations!$F$5="ACCREDITED 17025 WITH UNCERTAINTIES",$N$10,0)</f>
        <v>0</v>
      </c>
      <c r="Q1279" s="1">
        <f>Table1[[#This Row],[High Tol]]-Table1[[#This Row],[Low Tol]]</f>
        <v>0</v>
      </c>
      <c r="R1279" s="1">
        <f>2*Table1[[#This Row],[Std Error]]</f>
        <v>0</v>
      </c>
      <c r="S1279" s="1" t="str">
        <f>IF(Table1[[#This Row],[High Tol]]="","N/A",IFERROR(ABS(Table1[[#This Row],[Tol Span]]/Table1[[#This Row],[Error Span]]),"N/A"))</f>
        <v>N/A</v>
      </c>
      <c r="T1279" s="1" t="str">
        <f>IF(OR(Table1[[#This Row],[Low Tol]]="",Table1[[#This Row],[High Tol]]=""),"Needs Analysis",IF(Table1[[#This Row],[Ratio]]&gt;=4,"Not Significant",IF(Table1[[#This Row],[Ratio]]&gt;=2,"Semi-Significant","Significant")))</f>
        <v>Needs Analysis</v>
      </c>
      <c r="W1279" s="1">
        <f>IF(Table1[[#This Row],[Cal Type]]&lt;&gt;"ACCREDITED 17025 WITH UNCERTAINTIES",0,"")</f>
        <v>0</v>
      </c>
      <c r="X1279" s="1" t="str">
        <f>IF(Table1[[#This Row],[DUT Read]]="","N/A",Table1[[#This Row],[Std Error]]+Table1[[#This Row],[DUT Read]]+Table1[[#This Row],[DUT Ucty]])</f>
        <v>N/A</v>
      </c>
      <c r="Y1279" s="1" t="str">
        <f>IF(Table1[[#This Row],[Std Read]]="","N/A",Table1[[#This Row],[Std Read]]+Table1[[#This Row],[Std Ucty]])</f>
        <v>N/A</v>
      </c>
      <c r="Z12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79" s="1" t="str">
        <f>IF(Table1[[#This Row],[Spec Type]]="","N/A",Table1[[#This Row],[Spec Type]])</f>
        <v>±</v>
      </c>
      <c r="AC1279" s="1" t="str">
        <f>IF(Table1[[#This Row],[Spec Type2]]="N/A","N/A",IF(AND(Table1[[#This Row],[DUT Adj Read]]&gt;=Table1[[#This Row],[Low Tol]],Table1[[#This Row],[DUT Adj Read]]&lt;=Table1[[#This Row],[High Tol]]),"Pass","Fail"))</f>
        <v>Fail</v>
      </c>
      <c r="AD1279" s="1" t="str">
        <f>IF(AND(Table1[[#This Row],[Spec Type2]]="N/A",Table1[[#This Row],[DUT Adj Read]]="N/A",Table1[[#This Row],[Std Adj Read]]="N/A"),"N/A",IF(Table1[[#This Row],[DUT Adj Read]]="N/A",IF(Table1[[#This Row],[Std Adj Read]]&gt;Table1[[#This Row],[Low Tol]],"Pass","Fail"),IF(Table1[[#This Row],[DUT Adj Read]]&gt;Table1[[#This Row],[Low Tol]],"Pass","Fail")))</f>
        <v>Pass</v>
      </c>
      <c r="AE1279" s="1" t="str">
        <f>IF(AND(Table1[[#This Row],[Spec Type2]]="N/A",Table1[[#This Row],[DUT Adj Read]]="N/A",Table1[[#This Row],[Std Adj Read]]="N/A"),"N/A",IF(Table1[[#This Row],[DUT Adj Read]]="N/A",IF(Table1[[#This Row],[Std Adj Read]]&lt;Table1[[#This Row],[High Tol]],"Pass","Fail"),IF(Table1[[#This Row],[DUT Adj Read]]&lt;Table1[[#This Row],[High Tol]],"Pass","Fail")))</f>
        <v>Fail</v>
      </c>
      <c r="AF1279" s="1" t="str">
        <f>IF(AND(Table1[[#This Row],[Spec Type2]]="N/A",Table1[[#This Row],[DUT Adj Read]]="N/A",Table1[[#This Row],[Std Adj Read]]="N/A"),"N/A",IF(Table1[[#This Row],[DUT Adj Read]]="N/A",IF(Table1[[#This Row],[Std Adj Read]]&gt;=Table1[[#This Row],[Low Tol]],"Pass","Fail"),IF(Table1[[#This Row],[DUT Adj Read]]&gt;=Table1[[#This Row],[Low Tol]],"Pass","Fail")))</f>
        <v>Pass</v>
      </c>
      <c r="AG1279" s="1" t="str">
        <f>IF(AND(Table1[[#This Row],[Spec Type2]]="N/A",Table1[[#This Row],[DUT Adj Read]]="N/A",Table1[[#This Row],[Std Adj Read]]="N/A"),"N/A",IF(Table1[[#This Row],[DUT Adj Read]]="N/A",IF(Table1[[#This Row],[Std Adj Read]]&lt;=Table1[[#This Row],[High Tol]],"Pass","Fail"),IF(Table1[[#This Row],[DUT Adj Read]]&lt;=Table1[[#This Row],[High Tol]],"Pass","Fail")))</f>
        <v>Fail</v>
      </c>
      <c r="AH12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79" s="1" t="b">
        <v>0</v>
      </c>
      <c r="AN1279" s="1" t="b">
        <v>0</v>
      </c>
      <c r="AO1279" s="1" t="b">
        <v>0</v>
      </c>
    </row>
    <row r="1280" spans="1:41" x14ac:dyDescent="0.25">
      <c r="A1280" s="10"/>
      <c r="B1280" s="10"/>
      <c r="C1280" s="10"/>
      <c r="D1280" s="10"/>
      <c r="E1280" s="10"/>
      <c r="F1280" s="10"/>
      <c r="G1280" s="10"/>
      <c r="H1280" s="10"/>
      <c r="I1280" s="1" t="str">
        <f t="shared" si="57"/>
        <v/>
      </c>
      <c r="J1280" s="1" t="s">
        <v>35</v>
      </c>
      <c r="K1280" s="1" t="str">
        <f t="shared" si="58"/>
        <v/>
      </c>
      <c r="L1280" s="1" t="str">
        <f t="shared" si="59"/>
        <v/>
      </c>
      <c r="M1280" s="1">
        <f>IF(OR(Table1[[#This Row],[Std Nom]]="",Table1[[#This Row],[Std Read]]=""),0,Table1[[#This Row],[Std Nom]]-Table1[[#This Row],[Std Read]])</f>
        <v>0</v>
      </c>
      <c r="N1280" s="1">
        <f>IF(Calculations!$F$5="ACCREDITED 17025 WITH UNCERTAINTIES",$N$10,0)</f>
        <v>0</v>
      </c>
      <c r="Q1280" s="1">
        <f>Table1[[#This Row],[High Tol]]-Table1[[#This Row],[Low Tol]]</f>
        <v>0</v>
      </c>
      <c r="R1280" s="1">
        <f>2*Table1[[#This Row],[Std Error]]</f>
        <v>0</v>
      </c>
      <c r="S1280" s="1" t="str">
        <f>IF(Table1[[#This Row],[High Tol]]="","N/A",IFERROR(ABS(Table1[[#This Row],[Tol Span]]/Table1[[#This Row],[Error Span]]),"N/A"))</f>
        <v>N/A</v>
      </c>
      <c r="T1280" s="1" t="str">
        <f>IF(OR(Table1[[#This Row],[Low Tol]]="",Table1[[#This Row],[High Tol]]=""),"Needs Analysis",IF(Table1[[#This Row],[Ratio]]&gt;=4,"Not Significant",IF(Table1[[#This Row],[Ratio]]&gt;=2,"Semi-Significant","Significant")))</f>
        <v>Needs Analysis</v>
      </c>
      <c r="W1280" s="1">
        <f>IF(Table1[[#This Row],[Cal Type]]&lt;&gt;"ACCREDITED 17025 WITH UNCERTAINTIES",0,"")</f>
        <v>0</v>
      </c>
      <c r="X1280" s="1" t="str">
        <f>IF(Table1[[#This Row],[DUT Read]]="","N/A",Table1[[#This Row],[Std Error]]+Table1[[#This Row],[DUT Read]]+Table1[[#This Row],[DUT Ucty]])</f>
        <v>N/A</v>
      </c>
      <c r="Y1280" s="1" t="str">
        <f>IF(Table1[[#This Row],[Std Read]]="","N/A",Table1[[#This Row],[Std Read]]+Table1[[#This Row],[Std Ucty]])</f>
        <v>N/A</v>
      </c>
      <c r="Z12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0" s="1" t="str">
        <f>IF(Table1[[#This Row],[Spec Type]]="","N/A",Table1[[#This Row],[Spec Type]])</f>
        <v>±</v>
      </c>
      <c r="AC1280" s="1" t="str">
        <f>IF(Table1[[#This Row],[Spec Type2]]="N/A","N/A",IF(AND(Table1[[#This Row],[DUT Adj Read]]&gt;=Table1[[#This Row],[Low Tol]],Table1[[#This Row],[DUT Adj Read]]&lt;=Table1[[#This Row],[High Tol]]),"Pass","Fail"))</f>
        <v>Fail</v>
      </c>
      <c r="AD1280" s="1" t="str">
        <f>IF(AND(Table1[[#This Row],[Spec Type2]]="N/A",Table1[[#This Row],[DUT Adj Read]]="N/A",Table1[[#This Row],[Std Adj Read]]="N/A"),"N/A",IF(Table1[[#This Row],[DUT Adj Read]]="N/A",IF(Table1[[#This Row],[Std Adj Read]]&gt;Table1[[#This Row],[Low Tol]],"Pass","Fail"),IF(Table1[[#This Row],[DUT Adj Read]]&gt;Table1[[#This Row],[Low Tol]],"Pass","Fail")))</f>
        <v>Pass</v>
      </c>
      <c r="AE1280" s="1" t="str">
        <f>IF(AND(Table1[[#This Row],[Spec Type2]]="N/A",Table1[[#This Row],[DUT Adj Read]]="N/A",Table1[[#This Row],[Std Adj Read]]="N/A"),"N/A",IF(Table1[[#This Row],[DUT Adj Read]]="N/A",IF(Table1[[#This Row],[Std Adj Read]]&lt;Table1[[#This Row],[High Tol]],"Pass","Fail"),IF(Table1[[#This Row],[DUT Adj Read]]&lt;Table1[[#This Row],[High Tol]],"Pass","Fail")))</f>
        <v>Fail</v>
      </c>
      <c r="AF1280" s="1" t="str">
        <f>IF(AND(Table1[[#This Row],[Spec Type2]]="N/A",Table1[[#This Row],[DUT Adj Read]]="N/A",Table1[[#This Row],[Std Adj Read]]="N/A"),"N/A",IF(Table1[[#This Row],[DUT Adj Read]]="N/A",IF(Table1[[#This Row],[Std Adj Read]]&gt;=Table1[[#This Row],[Low Tol]],"Pass","Fail"),IF(Table1[[#This Row],[DUT Adj Read]]&gt;=Table1[[#This Row],[Low Tol]],"Pass","Fail")))</f>
        <v>Pass</v>
      </c>
      <c r="AG1280" s="1" t="str">
        <f>IF(AND(Table1[[#This Row],[Spec Type2]]="N/A",Table1[[#This Row],[DUT Adj Read]]="N/A",Table1[[#This Row],[Std Adj Read]]="N/A"),"N/A",IF(Table1[[#This Row],[DUT Adj Read]]="N/A",IF(Table1[[#This Row],[Std Adj Read]]&lt;=Table1[[#This Row],[High Tol]],"Pass","Fail"),IF(Table1[[#This Row],[DUT Adj Read]]&lt;=Table1[[#This Row],[High Tol]],"Pass","Fail")))</f>
        <v>Fail</v>
      </c>
      <c r="AH12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0" s="1" t="b">
        <v>0</v>
      </c>
      <c r="AN1280" s="1" t="b">
        <v>0</v>
      </c>
      <c r="AO1280" s="1" t="b">
        <v>0</v>
      </c>
    </row>
    <row r="1281" spans="1:41" x14ac:dyDescent="0.25">
      <c r="A1281" s="10"/>
      <c r="B1281" s="10"/>
      <c r="C1281" s="10"/>
      <c r="D1281" s="10"/>
      <c r="E1281" s="10"/>
      <c r="F1281" s="10"/>
      <c r="G1281" s="10"/>
      <c r="H1281" s="10"/>
      <c r="I1281" s="1" t="str">
        <f t="shared" si="57"/>
        <v/>
      </c>
      <c r="J1281" s="1" t="s">
        <v>35</v>
      </c>
      <c r="K1281" s="1" t="str">
        <f t="shared" si="58"/>
        <v/>
      </c>
      <c r="L1281" s="1" t="str">
        <f t="shared" si="59"/>
        <v/>
      </c>
      <c r="M1281" s="1">
        <f>IF(OR(Table1[[#This Row],[Std Nom]]="",Table1[[#This Row],[Std Read]]=""),0,Table1[[#This Row],[Std Nom]]-Table1[[#This Row],[Std Read]])</f>
        <v>0</v>
      </c>
      <c r="N1281" s="1">
        <f>IF(Calculations!$F$5="ACCREDITED 17025 WITH UNCERTAINTIES",$N$10,0)</f>
        <v>0</v>
      </c>
      <c r="Q1281" s="1">
        <f>Table1[[#This Row],[High Tol]]-Table1[[#This Row],[Low Tol]]</f>
        <v>0</v>
      </c>
      <c r="R1281" s="1">
        <f>2*Table1[[#This Row],[Std Error]]</f>
        <v>0</v>
      </c>
      <c r="S1281" s="1" t="str">
        <f>IF(Table1[[#This Row],[High Tol]]="","N/A",IFERROR(ABS(Table1[[#This Row],[Tol Span]]/Table1[[#This Row],[Error Span]]),"N/A"))</f>
        <v>N/A</v>
      </c>
      <c r="T1281" s="1" t="str">
        <f>IF(OR(Table1[[#This Row],[Low Tol]]="",Table1[[#This Row],[High Tol]]=""),"Needs Analysis",IF(Table1[[#This Row],[Ratio]]&gt;=4,"Not Significant",IF(Table1[[#This Row],[Ratio]]&gt;=2,"Semi-Significant","Significant")))</f>
        <v>Needs Analysis</v>
      </c>
      <c r="W1281" s="1">
        <f>IF(Table1[[#This Row],[Cal Type]]&lt;&gt;"ACCREDITED 17025 WITH UNCERTAINTIES",0,"")</f>
        <v>0</v>
      </c>
      <c r="X1281" s="1" t="str">
        <f>IF(Table1[[#This Row],[DUT Read]]="","N/A",Table1[[#This Row],[Std Error]]+Table1[[#This Row],[DUT Read]]+Table1[[#This Row],[DUT Ucty]])</f>
        <v>N/A</v>
      </c>
      <c r="Y1281" s="1" t="str">
        <f>IF(Table1[[#This Row],[Std Read]]="","N/A",Table1[[#This Row],[Std Read]]+Table1[[#This Row],[Std Ucty]])</f>
        <v>N/A</v>
      </c>
      <c r="Z12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1" s="1" t="str">
        <f>IF(Table1[[#This Row],[Spec Type]]="","N/A",Table1[[#This Row],[Spec Type]])</f>
        <v>±</v>
      </c>
      <c r="AC1281" s="1" t="str">
        <f>IF(Table1[[#This Row],[Spec Type2]]="N/A","N/A",IF(AND(Table1[[#This Row],[DUT Adj Read]]&gt;=Table1[[#This Row],[Low Tol]],Table1[[#This Row],[DUT Adj Read]]&lt;=Table1[[#This Row],[High Tol]]),"Pass","Fail"))</f>
        <v>Fail</v>
      </c>
      <c r="AD1281" s="1" t="str">
        <f>IF(AND(Table1[[#This Row],[Spec Type2]]="N/A",Table1[[#This Row],[DUT Adj Read]]="N/A",Table1[[#This Row],[Std Adj Read]]="N/A"),"N/A",IF(Table1[[#This Row],[DUT Adj Read]]="N/A",IF(Table1[[#This Row],[Std Adj Read]]&gt;Table1[[#This Row],[Low Tol]],"Pass","Fail"),IF(Table1[[#This Row],[DUT Adj Read]]&gt;Table1[[#This Row],[Low Tol]],"Pass","Fail")))</f>
        <v>Pass</v>
      </c>
      <c r="AE1281" s="1" t="str">
        <f>IF(AND(Table1[[#This Row],[Spec Type2]]="N/A",Table1[[#This Row],[DUT Adj Read]]="N/A",Table1[[#This Row],[Std Adj Read]]="N/A"),"N/A",IF(Table1[[#This Row],[DUT Adj Read]]="N/A",IF(Table1[[#This Row],[Std Adj Read]]&lt;Table1[[#This Row],[High Tol]],"Pass","Fail"),IF(Table1[[#This Row],[DUT Adj Read]]&lt;Table1[[#This Row],[High Tol]],"Pass","Fail")))</f>
        <v>Fail</v>
      </c>
      <c r="AF1281" s="1" t="str">
        <f>IF(AND(Table1[[#This Row],[Spec Type2]]="N/A",Table1[[#This Row],[DUT Adj Read]]="N/A",Table1[[#This Row],[Std Adj Read]]="N/A"),"N/A",IF(Table1[[#This Row],[DUT Adj Read]]="N/A",IF(Table1[[#This Row],[Std Adj Read]]&gt;=Table1[[#This Row],[Low Tol]],"Pass","Fail"),IF(Table1[[#This Row],[DUT Adj Read]]&gt;=Table1[[#This Row],[Low Tol]],"Pass","Fail")))</f>
        <v>Pass</v>
      </c>
      <c r="AG1281" s="1" t="str">
        <f>IF(AND(Table1[[#This Row],[Spec Type2]]="N/A",Table1[[#This Row],[DUT Adj Read]]="N/A",Table1[[#This Row],[Std Adj Read]]="N/A"),"N/A",IF(Table1[[#This Row],[DUT Adj Read]]="N/A",IF(Table1[[#This Row],[Std Adj Read]]&lt;=Table1[[#This Row],[High Tol]],"Pass","Fail"),IF(Table1[[#This Row],[DUT Adj Read]]&lt;=Table1[[#This Row],[High Tol]],"Pass","Fail")))</f>
        <v>Fail</v>
      </c>
      <c r="AH12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1" s="1" t="b">
        <v>0</v>
      </c>
      <c r="AN1281" s="1" t="b">
        <v>0</v>
      </c>
      <c r="AO1281" s="1" t="b">
        <v>0</v>
      </c>
    </row>
    <row r="1282" spans="1:41" x14ac:dyDescent="0.25">
      <c r="A1282" s="10"/>
      <c r="B1282" s="10"/>
      <c r="C1282" s="10"/>
      <c r="D1282" s="10"/>
      <c r="E1282" s="10"/>
      <c r="F1282" s="10"/>
      <c r="G1282" s="10"/>
      <c r="H1282" s="10"/>
      <c r="I1282" s="1" t="str">
        <f t="shared" si="57"/>
        <v/>
      </c>
      <c r="J1282" s="1" t="s">
        <v>35</v>
      </c>
      <c r="K1282" s="1" t="str">
        <f t="shared" si="58"/>
        <v/>
      </c>
      <c r="L1282" s="1" t="str">
        <f t="shared" si="59"/>
        <v/>
      </c>
      <c r="M1282" s="1">
        <f>IF(OR(Table1[[#This Row],[Std Nom]]="",Table1[[#This Row],[Std Read]]=""),0,Table1[[#This Row],[Std Nom]]-Table1[[#This Row],[Std Read]])</f>
        <v>0</v>
      </c>
      <c r="N1282" s="1">
        <f>IF(Calculations!$F$5="ACCREDITED 17025 WITH UNCERTAINTIES",$N$10,0)</f>
        <v>0</v>
      </c>
      <c r="Q1282" s="1">
        <f>Table1[[#This Row],[High Tol]]-Table1[[#This Row],[Low Tol]]</f>
        <v>0</v>
      </c>
      <c r="R1282" s="1">
        <f>2*Table1[[#This Row],[Std Error]]</f>
        <v>0</v>
      </c>
      <c r="S1282" s="1" t="str">
        <f>IF(Table1[[#This Row],[High Tol]]="","N/A",IFERROR(ABS(Table1[[#This Row],[Tol Span]]/Table1[[#This Row],[Error Span]]),"N/A"))</f>
        <v>N/A</v>
      </c>
      <c r="T1282" s="1" t="str">
        <f>IF(OR(Table1[[#This Row],[Low Tol]]="",Table1[[#This Row],[High Tol]]=""),"Needs Analysis",IF(Table1[[#This Row],[Ratio]]&gt;=4,"Not Significant",IF(Table1[[#This Row],[Ratio]]&gt;=2,"Semi-Significant","Significant")))</f>
        <v>Needs Analysis</v>
      </c>
      <c r="W1282" s="1">
        <f>IF(Table1[[#This Row],[Cal Type]]&lt;&gt;"ACCREDITED 17025 WITH UNCERTAINTIES",0,"")</f>
        <v>0</v>
      </c>
      <c r="X1282" s="1" t="str">
        <f>IF(Table1[[#This Row],[DUT Read]]="","N/A",Table1[[#This Row],[Std Error]]+Table1[[#This Row],[DUT Read]]+Table1[[#This Row],[DUT Ucty]])</f>
        <v>N/A</v>
      </c>
      <c r="Y1282" s="1" t="str">
        <f>IF(Table1[[#This Row],[Std Read]]="","N/A",Table1[[#This Row],[Std Read]]+Table1[[#This Row],[Std Ucty]])</f>
        <v>N/A</v>
      </c>
      <c r="Z12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2" s="1" t="str">
        <f>IF(Table1[[#This Row],[Spec Type]]="","N/A",Table1[[#This Row],[Spec Type]])</f>
        <v>±</v>
      </c>
      <c r="AC1282" s="1" t="str">
        <f>IF(Table1[[#This Row],[Spec Type2]]="N/A","N/A",IF(AND(Table1[[#This Row],[DUT Adj Read]]&gt;=Table1[[#This Row],[Low Tol]],Table1[[#This Row],[DUT Adj Read]]&lt;=Table1[[#This Row],[High Tol]]),"Pass","Fail"))</f>
        <v>Fail</v>
      </c>
      <c r="AD1282" s="1" t="str">
        <f>IF(AND(Table1[[#This Row],[Spec Type2]]="N/A",Table1[[#This Row],[DUT Adj Read]]="N/A",Table1[[#This Row],[Std Adj Read]]="N/A"),"N/A",IF(Table1[[#This Row],[DUT Adj Read]]="N/A",IF(Table1[[#This Row],[Std Adj Read]]&gt;Table1[[#This Row],[Low Tol]],"Pass","Fail"),IF(Table1[[#This Row],[DUT Adj Read]]&gt;Table1[[#This Row],[Low Tol]],"Pass","Fail")))</f>
        <v>Pass</v>
      </c>
      <c r="AE1282" s="1" t="str">
        <f>IF(AND(Table1[[#This Row],[Spec Type2]]="N/A",Table1[[#This Row],[DUT Adj Read]]="N/A",Table1[[#This Row],[Std Adj Read]]="N/A"),"N/A",IF(Table1[[#This Row],[DUT Adj Read]]="N/A",IF(Table1[[#This Row],[Std Adj Read]]&lt;Table1[[#This Row],[High Tol]],"Pass","Fail"),IF(Table1[[#This Row],[DUT Adj Read]]&lt;Table1[[#This Row],[High Tol]],"Pass","Fail")))</f>
        <v>Fail</v>
      </c>
      <c r="AF1282" s="1" t="str">
        <f>IF(AND(Table1[[#This Row],[Spec Type2]]="N/A",Table1[[#This Row],[DUT Adj Read]]="N/A",Table1[[#This Row],[Std Adj Read]]="N/A"),"N/A",IF(Table1[[#This Row],[DUT Adj Read]]="N/A",IF(Table1[[#This Row],[Std Adj Read]]&gt;=Table1[[#This Row],[Low Tol]],"Pass","Fail"),IF(Table1[[#This Row],[DUT Adj Read]]&gt;=Table1[[#This Row],[Low Tol]],"Pass","Fail")))</f>
        <v>Pass</v>
      </c>
      <c r="AG1282" s="1" t="str">
        <f>IF(AND(Table1[[#This Row],[Spec Type2]]="N/A",Table1[[#This Row],[DUT Adj Read]]="N/A",Table1[[#This Row],[Std Adj Read]]="N/A"),"N/A",IF(Table1[[#This Row],[DUT Adj Read]]="N/A",IF(Table1[[#This Row],[Std Adj Read]]&lt;=Table1[[#This Row],[High Tol]],"Pass","Fail"),IF(Table1[[#This Row],[DUT Adj Read]]&lt;=Table1[[#This Row],[High Tol]],"Pass","Fail")))</f>
        <v>Fail</v>
      </c>
      <c r="AH12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2" s="1" t="b">
        <v>0</v>
      </c>
      <c r="AN1282" s="1" t="b">
        <v>0</v>
      </c>
      <c r="AO1282" s="1" t="b">
        <v>0</v>
      </c>
    </row>
    <row r="1283" spans="1:41" x14ac:dyDescent="0.25">
      <c r="A1283" s="10"/>
      <c r="B1283" s="10"/>
      <c r="C1283" s="10"/>
      <c r="D1283" s="10"/>
      <c r="E1283" s="10"/>
      <c r="F1283" s="10"/>
      <c r="G1283" s="10"/>
      <c r="H1283" s="10"/>
      <c r="I1283" s="1" t="str">
        <f t="shared" si="57"/>
        <v/>
      </c>
      <c r="J1283" s="1" t="s">
        <v>35</v>
      </c>
      <c r="K1283" s="1" t="str">
        <f t="shared" si="58"/>
        <v/>
      </c>
      <c r="L1283" s="1" t="str">
        <f t="shared" si="59"/>
        <v/>
      </c>
      <c r="M1283" s="1">
        <f>IF(OR(Table1[[#This Row],[Std Nom]]="",Table1[[#This Row],[Std Read]]=""),0,Table1[[#This Row],[Std Nom]]-Table1[[#This Row],[Std Read]])</f>
        <v>0</v>
      </c>
      <c r="N1283" s="1">
        <f>IF(Calculations!$F$5="ACCREDITED 17025 WITH UNCERTAINTIES",$N$10,0)</f>
        <v>0</v>
      </c>
      <c r="Q1283" s="1">
        <f>Table1[[#This Row],[High Tol]]-Table1[[#This Row],[Low Tol]]</f>
        <v>0</v>
      </c>
      <c r="R1283" s="1">
        <f>2*Table1[[#This Row],[Std Error]]</f>
        <v>0</v>
      </c>
      <c r="S1283" s="1" t="str">
        <f>IF(Table1[[#This Row],[High Tol]]="","N/A",IFERROR(ABS(Table1[[#This Row],[Tol Span]]/Table1[[#This Row],[Error Span]]),"N/A"))</f>
        <v>N/A</v>
      </c>
      <c r="T1283" s="1" t="str">
        <f>IF(OR(Table1[[#This Row],[Low Tol]]="",Table1[[#This Row],[High Tol]]=""),"Needs Analysis",IF(Table1[[#This Row],[Ratio]]&gt;=4,"Not Significant",IF(Table1[[#This Row],[Ratio]]&gt;=2,"Semi-Significant","Significant")))</f>
        <v>Needs Analysis</v>
      </c>
      <c r="W1283" s="1">
        <f>IF(Table1[[#This Row],[Cal Type]]&lt;&gt;"ACCREDITED 17025 WITH UNCERTAINTIES",0,"")</f>
        <v>0</v>
      </c>
      <c r="X1283" s="1" t="str">
        <f>IF(Table1[[#This Row],[DUT Read]]="","N/A",Table1[[#This Row],[Std Error]]+Table1[[#This Row],[DUT Read]]+Table1[[#This Row],[DUT Ucty]])</f>
        <v>N/A</v>
      </c>
      <c r="Y1283" s="1" t="str">
        <f>IF(Table1[[#This Row],[Std Read]]="","N/A",Table1[[#This Row],[Std Read]]+Table1[[#This Row],[Std Ucty]])</f>
        <v>N/A</v>
      </c>
      <c r="Z12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3" s="1" t="str">
        <f>IF(Table1[[#This Row],[Spec Type]]="","N/A",Table1[[#This Row],[Spec Type]])</f>
        <v>±</v>
      </c>
      <c r="AC1283" s="1" t="str">
        <f>IF(Table1[[#This Row],[Spec Type2]]="N/A","N/A",IF(AND(Table1[[#This Row],[DUT Adj Read]]&gt;=Table1[[#This Row],[Low Tol]],Table1[[#This Row],[DUT Adj Read]]&lt;=Table1[[#This Row],[High Tol]]),"Pass","Fail"))</f>
        <v>Fail</v>
      </c>
      <c r="AD1283" s="1" t="str">
        <f>IF(AND(Table1[[#This Row],[Spec Type2]]="N/A",Table1[[#This Row],[DUT Adj Read]]="N/A",Table1[[#This Row],[Std Adj Read]]="N/A"),"N/A",IF(Table1[[#This Row],[DUT Adj Read]]="N/A",IF(Table1[[#This Row],[Std Adj Read]]&gt;Table1[[#This Row],[Low Tol]],"Pass","Fail"),IF(Table1[[#This Row],[DUT Adj Read]]&gt;Table1[[#This Row],[Low Tol]],"Pass","Fail")))</f>
        <v>Pass</v>
      </c>
      <c r="AE1283" s="1" t="str">
        <f>IF(AND(Table1[[#This Row],[Spec Type2]]="N/A",Table1[[#This Row],[DUT Adj Read]]="N/A",Table1[[#This Row],[Std Adj Read]]="N/A"),"N/A",IF(Table1[[#This Row],[DUT Adj Read]]="N/A",IF(Table1[[#This Row],[Std Adj Read]]&lt;Table1[[#This Row],[High Tol]],"Pass","Fail"),IF(Table1[[#This Row],[DUT Adj Read]]&lt;Table1[[#This Row],[High Tol]],"Pass","Fail")))</f>
        <v>Fail</v>
      </c>
      <c r="AF1283" s="1" t="str">
        <f>IF(AND(Table1[[#This Row],[Spec Type2]]="N/A",Table1[[#This Row],[DUT Adj Read]]="N/A",Table1[[#This Row],[Std Adj Read]]="N/A"),"N/A",IF(Table1[[#This Row],[DUT Adj Read]]="N/A",IF(Table1[[#This Row],[Std Adj Read]]&gt;=Table1[[#This Row],[Low Tol]],"Pass","Fail"),IF(Table1[[#This Row],[DUT Adj Read]]&gt;=Table1[[#This Row],[Low Tol]],"Pass","Fail")))</f>
        <v>Pass</v>
      </c>
      <c r="AG1283" s="1" t="str">
        <f>IF(AND(Table1[[#This Row],[Spec Type2]]="N/A",Table1[[#This Row],[DUT Adj Read]]="N/A",Table1[[#This Row],[Std Adj Read]]="N/A"),"N/A",IF(Table1[[#This Row],[DUT Adj Read]]="N/A",IF(Table1[[#This Row],[Std Adj Read]]&lt;=Table1[[#This Row],[High Tol]],"Pass","Fail"),IF(Table1[[#This Row],[DUT Adj Read]]&lt;=Table1[[#This Row],[High Tol]],"Pass","Fail")))</f>
        <v>Fail</v>
      </c>
      <c r="AH12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3" s="1" t="b">
        <v>0</v>
      </c>
      <c r="AN1283" s="1" t="b">
        <v>0</v>
      </c>
      <c r="AO1283" s="1" t="b">
        <v>0</v>
      </c>
    </row>
    <row r="1284" spans="1:41" x14ac:dyDescent="0.25">
      <c r="A1284" s="10"/>
      <c r="B1284" s="10"/>
      <c r="C1284" s="10"/>
      <c r="D1284" s="10"/>
      <c r="E1284" s="10"/>
      <c r="F1284" s="10"/>
      <c r="G1284" s="10"/>
      <c r="H1284" s="10"/>
      <c r="I1284" s="1" t="str">
        <f t="shared" si="57"/>
        <v/>
      </c>
      <c r="J1284" s="1" t="s">
        <v>35</v>
      </c>
      <c r="K1284" s="1" t="str">
        <f t="shared" si="58"/>
        <v/>
      </c>
      <c r="L1284" s="1" t="str">
        <f t="shared" si="59"/>
        <v/>
      </c>
      <c r="M1284" s="1">
        <f>IF(OR(Table1[[#This Row],[Std Nom]]="",Table1[[#This Row],[Std Read]]=""),0,Table1[[#This Row],[Std Nom]]-Table1[[#This Row],[Std Read]])</f>
        <v>0</v>
      </c>
      <c r="N1284" s="1">
        <f>IF(Calculations!$F$5="ACCREDITED 17025 WITH UNCERTAINTIES",$N$10,0)</f>
        <v>0</v>
      </c>
      <c r="Q1284" s="1">
        <f>Table1[[#This Row],[High Tol]]-Table1[[#This Row],[Low Tol]]</f>
        <v>0</v>
      </c>
      <c r="R1284" s="1">
        <f>2*Table1[[#This Row],[Std Error]]</f>
        <v>0</v>
      </c>
      <c r="S1284" s="1" t="str">
        <f>IF(Table1[[#This Row],[High Tol]]="","N/A",IFERROR(ABS(Table1[[#This Row],[Tol Span]]/Table1[[#This Row],[Error Span]]),"N/A"))</f>
        <v>N/A</v>
      </c>
      <c r="T1284" s="1" t="str">
        <f>IF(OR(Table1[[#This Row],[Low Tol]]="",Table1[[#This Row],[High Tol]]=""),"Needs Analysis",IF(Table1[[#This Row],[Ratio]]&gt;=4,"Not Significant",IF(Table1[[#This Row],[Ratio]]&gt;=2,"Semi-Significant","Significant")))</f>
        <v>Needs Analysis</v>
      </c>
      <c r="W1284" s="1">
        <f>IF(Table1[[#This Row],[Cal Type]]&lt;&gt;"ACCREDITED 17025 WITH UNCERTAINTIES",0,"")</f>
        <v>0</v>
      </c>
      <c r="X1284" s="1" t="str">
        <f>IF(Table1[[#This Row],[DUT Read]]="","N/A",Table1[[#This Row],[Std Error]]+Table1[[#This Row],[DUT Read]]+Table1[[#This Row],[DUT Ucty]])</f>
        <v>N/A</v>
      </c>
      <c r="Y1284" s="1" t="str">
        <f>IF(Table1[[#This Row],[Std Read]]="","N/A",Table1[[#This Row],[Std Read]]+Table1[[#This Row],[Std Ucty]])</f>
        <v>N/A</v>
      </c>
      <c r="Z12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4" s="1" t="str">
        <f>IF(Table1[[#This Row],[Spec Type]]="","N/A",Table1[[#This Row],[Spec Type]])</f>
        <v>±</v>
      </c>
      <c r="AC1284" s="1" t="str">
        <f>IF(Table1[[#This Row],[Spec Type2]]="N/A","N/A",IF(AND(Table1[[#This Row],[DUT Adj Read]]&gt;=Table1[[#This Row],[Low Tol]],Table1[[#This Row],[DUT Adj Read]]&lt;=Table1[[#This Row],[High Tol]]),"Pass","Fail"))</f>
        <v>Fail</v>
      </c>
      <c r="AD1284" s="1" t="str">
        <f>IF(AND(Table1[[#This Row],[Spec Type2]]="N/A",Table1[[#This Row],[DUT Adj Read]]="N/A",Table1[[#This Row],[Std Adj Read]]="N/A"),"N/A",IF(Table1[[#This Row],[DUT Adj Read]]="N/A",IF(Table1[[#This Row],[Std Adj Read]]&gt;Table1[[#This Row],[Low Tol]],"Pass","Fail"),IF(Table1[[#This Row],[DUT Adj Read]]&gt;Table1[[#This Row],[Low Tol]],"Pass","Fail")))</f>
        <v>Pass</v>
      </c>
      <c r="AE1284" s="1" t="str">
        <f>IF(AND(Table1[[#This Row],[Spec Type2]]="N/A",Table1[[#This Row],[DUT Adj Read]]="N/A",Table1[[#This Row],[Std Adj Read]]="N/A"),"N/A",IF(Table1[[#This Row],[DUT Adj Read]]="N/A",IF(Table1[[#This Row],[Std Adj Read]]&lt;Table1[[#This Row],[High Tol]],"Pass","Fail"),IF(Table1[[#This Row],[DUT Adj Read]]&lt;Table1[[#This Row],[High Tol]],"Pass","Fail")))</f>
        <v>Fail</v>
      </c>
      <c r="AF1284" s="1" t="str">
        <f>IF(AND(Table1[[#This Row],[Spec Type2]]="N/A",Table1[[#This Row],[DUT Adj Read]]="N/A",Table1[[#This Row],[Std Adj Read]]="N/A"),"N/A",IF(Table1[[#This Row],[DUT Adj Read]]="N/A",IF(Table1[[#This Row],[Std Adj Read]]&gt;=Table1[[#This Row],[Low Tol]],"Pass","Fail"),IF(Table1[[#This Row],[DUT Adj Read]]&gt;=Table1[[#This Row],[Low Tol]],"Pass","Fail")))</f>
        <v>Pass</v>
      </c>
      <c r="AG1284" s="1" t="str">
        <f>IF(AND(Table1[[#This Row],[Spec Type2]]="N/A",Table1[[#This Row],[DUT Adj Read]]="N/A",Table1[[#This Row],[Std Adj Read]]="N/A"),"N/A",IF(Table1[[#This Row],[DUT Adj Read]]="N/A",IF(Table1[[#This Row],[Std Adj Read]]&lt;=Table1[[#This Row],[High Tol]],"Pass","Fail"),IF(Table1[[#This Row],[DUT Adj Read]]&lt;=Table1[[#This Row],[High Tol]],"Pass","Fail")))</f>
        <v>Fail</v>
      </c>
      <c r="AH12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4" s="1" t="b">
        <v>0</v>
      </c>
      <c r="AN1284" s="1" t="b">
        <v>0</v>
      </c>
      <c r="AO1284" s="1" t="b">
        <v>0</v>
      </c>
    </row>
    <row r="1285" spans="1:41" x14ac:dyDescent="0.25">
      <c r="A1285" s="10"/>
      <c r="B1285" s="10"/>
      <c r="C1285" s="10"/>
      <c r="D1285" s="10"/>
      <c r="E1285" s="10"/>
      <c r="F1285" s="10"/>
      <c r="G1285" s="10"/>
      <c r="H1285" s="10"/>
      <c r="I1285" s="1" t="str">
        <f t="shared" si="57"/>
        <v/>
      </c>
      <c r="J1285" s="1" t="s">
        <v>35</v>
      </c>
      <c r="K1285" s="1" t="str">
        <f t="shared" si="58"/>
        <v/>
      </c>
      <c r="L1285" s="1" t="str">
        <f t="shared" si="59"/>
        <v/>
      </c>
      <c r="M1285" s="1">
        <f>IF(OR(Table1[[#This Row],[Std Nom]]="",Table1[[#This Row],[Std Read]]=""),0,Table1[[#This Row],[Std Nom]]-Table1[[#This Row],[Std Read]])</f>
        <v>0</v>
      </c>
      <c r="N1285" s="1">
        <f>IF(Calculations!$F$5="ACCREDITED 17025 WITH UNCERTAINTIES",$N$10,0)</f>
        <v>0</v>
      </c>
      <c r="Q1285" s="1">
        <f>Table1[[#This Row],[High Tol]]-Table1[[#This Row],[Low Tol]]</f>
        <v>0</v>
      </c>
      <c r="R1285" s="1">
        <f>2*Table1[[#This Row],[Std Error]]</f>
        <v>0</v>
      </c>
      <c r="S1285" s="1" t="str">
        <f>IF(Table1[[#This Row],[High Tol]]="","N/A",IFERROR(ABS(Table1[[#This Row],[Tol Span]]/Table1[[#This Row],[Error Span]]),"N/A"))</f>
        <v>N/A</v>
      </c>
      <c r="T1285" s="1" t="str">
        <f>IF(OR(Table1[[#This Row],[Low Tol]]="",Table1[[#This Row],[High Tol]]=""),"Needs Analysis",IF(Table1[[#This Row],[Ratio]]&gt;=4,"Not Significant",IF(Table1[[#This Row],[Ratio]]&gt;=2,"Semi-Significant","Significant")))</f>
        <v>Needs Analysis</v>
      </c>
      <c r="W1285" s="1">
        <f>IF(Table1[[#This Row],[Cal Type]]&lt;&gt;"ACCREDITED 17025 WITH UNCERTAINTIES",0,"")</f>
        <v>0</v>
      </c>
      <c r="X1285" s="1" t="str">
        <f>IF(Table1[[#This Row],[DUT Read]]="","N/A",Table1[[#This Row],[Std Error]]+Table1[[#This Row],[DUT Read]]+Table1[[#This Row],[DUT Ucty]])</f>
        <v>N/A</v>
      </c>
      <c r="Y1285" s="1" t="str">
        <f>IF(Table1[[#This Row],[Std Read]]="","N/A",Table1[[#This Row],[Std Read]]+Table1[[#This Row],[Std Ucty]])</f>
        <v>N/A</v>
      </c>
      <c r="Z12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5" s="1" t="str">
        <f>IF(Table1[[#This Row],[Spec Type]]="","N/A",Table1[[#This Row],[Spec Type]])</f>
        <v>±</v>
      </c>
      <c r="AC1285" s="1" t="str">
        <f>IF(Table1[[#This Row],[Spec Type2]]="N/A","N/A",IF(AND(Table1[[#This Row],[DUT Adj Read]]&gt;=Table1[[#This Row],[Low Tol]],Table1[[#This Row],[DUT Adj Read]]&lt;=Table1[[#This Row],[High Tol]]),"Pass","Fail"))</f>
        <v>Fail</v>
      </c>
      <c r="AD1285" s="1" t="str">
        <f>IF(AND(Table1[[#This Row],[Spec Type2]]="N/A",Table1[[#This Row],[DUT Adj Read]]="N/A",Table1[[#This Row],[Std Adj Read]]="N/A"),"N/A",IF(Table1[[#This Row],[DUT Adj Read]]="N/A",IF(Table1[[#This Row],[Std Adj Read]]&gt;Table1[[#This Row],[Low Tol]],"Pass","Fail"),IF(Table1[[#This Row],[DUT Adj Read]]&gt;Table1[[#This Row],[Low Tol]],"Pass","Fail")))</f>
        <v>Pass</v>
      </c>
      <c r="AE1285" s="1" t="str">
        <f>IF(AND(Table1[[#This Row],[Spec Type2]]="N/A",Table1[[#This Row],[DUT Adj Read]]="N/A",Table1[[#This Row],[Std Adj Read]]="N/A"),"N/A",IF(Table1[[#This Row],[DUT Adj Read]]="N/A",IF(Table1[[#This Row],[Std Adj Read]]&lt;Table1[[#This Row],[High Tol]],"Pass","Fail"),IF(Table1[[#This Row],[DUT Adj Read]]&lt;Table1[[#This Row],[High Tol]],"Pass","Fail")))</f>
        <v>Fail</v>
      </c>
      <c r="AF1285" s="1" t="str">
        <f>IF(AND(Table1[[#This Row],[Spec Type2]]="N/A",Table1[[#This Row],[DUT Adj Read]]="N/A",Table1[[#This Row],[Std Adj Read]]="N/A"),"N/A",IF(Table1[[#This Row],[DUT Adj Read]]="N/A",IF(Table1[[#This Row],[Std Adj Read]]&gt;=Table1[[#This Row],[Low Tol]],"Pass","Fail"),IF(Table1[[#This Row],[DUT Adj Read]]&gt;=Table1[[#This Row],[Low Tol]],"Pass","Fail")))</f>
        <v>Pass</v>
      </c>
      <c r="AG1285" s="1" t="str">
        <f>IF(AND(Table1[[#This Row],[Spec Type2]]="N/A",Table1[[#This Row],[DUT Adj Read]]="N/A",Table1[[#This Row],[Std Adj Read]]="N/A"),"N/A",IF(Table1[[#This Row],[DUT Adj Read]]="N/A",IF(Table1[[#This Row],[Std Adj Read]]&lt;=Table1[[#This Row],[High Tol]],"Pass","Fail"),IF(Table1[[#This Row],[DUT Adj Read]]&lt;=Table1[[#This Row],[High Tol]],"Pass","Fail")))</f>
        <v>Fail</v>
      </c>
      <c r="AH12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5" s="1" t="b">
        <v>0</v>
      </c>
      <c r="AN1285" s="1" t="b">
        <v>0</v>
      </c>
      <c r="AO1285" s="1" t="b">
        <v>0</v>
      </c>
    </row>
    <row r="1286" spans="1:41" x14ac:dyDescent="0.25">
      <c r="A1286" s="10"/>
      <c r="B1286" s="10"/>
      <c r="C1286" s="10"/>
      <c r="D1286" s="10"/>
      <c r="E1286" s="10"/>
      <c r="F1286" s="10"/>
      <c r="G1286" s="10"/>
      <c r="H1286" s="10"/>
      <c r="I1286" s="1" t="str">
        <f t="shared" si="57"/>
        <v/>
      </c>
      <c r="J1286" s="1" t="s">
        <v>35</v>
      </c>
      <c r="K1286" s="1" t="str">
        <f t="shared" si="58"/>
        <v/>
      </c>
      <c r="L1286" s="1" t="str">
        <f t="shared" si="59"/>
        <v/>
      </c>
      <c r="M1286" s="1">
        <f>IF(OR(Table1[[#This Row],[Std Nom]]="",Table1[[#This Row],[Std Read]]=""),0,Table1[[#This Row],[Std Nom]]-Table1[[#This Row],[Std Read]])</f>
        <v>0</v>
      </c>
      <c r="N1286" s="1">
        <f>IF(Calculations!$F$5="ACCREDITED 17025 WITH UNCERTAINTIES",$N$10,0)</f>
        <v>0</v>
      </c>
      <c r="Q1286" s="1">
        <f>Table1[[#This Row],[High Tol]]-Table1[[#This Row],[Low Tol]]</f>
        <v>0</v>
      </c>
      <c r="R1286" s="1">
        <f>2*Table1[[#This Row],[Std Error]]</f>
        <v>0</v>
      </c>
      <c r="S1286" s="1" t="str">
        <f>IF(Table1[[#This Row],[High Tol]]="","N/A",IFERROR(ABS(Table1[[#This Row],[Tol Span]]/Table1[[#This Row],[Error Span]]),"N/A"))</f>
        <v>N/A</v>
      </c>
      <c r="T1286" s="1" t="str">
        <f>IF(OR(Table1[[#This Row],[Low Tol]]="",Table1[[#This Row],[High Tol]]=""),"Needs Analysis",IF(Table1[[#This Row],[Ratio]]&gt;=4,"Not Significant",IF(Table1[[#This Row],[Ratio]]&gt;=2,"Semi-Significant","Significant")))</f>
        <v>Needs Analysis</v>
      </c>
      <c r="W1286" s="1">
        <f>IF(Table1[[#This Row],[Cal Type]]&lt;&gt;"ACCREDITED 17025 WITH UNCERTAINTIES",0,"")</f>
        <v>0</v>
      </c>
      <c r="X1286" s="1" t="str">
        <f>IF(Table1[[#This Row],[DUT Read]]="","N/A",Table1[[#This Row],[Std Error]]+Table1[[#This Row],[DUT Read]]+Table1[[#This Row],[DUT Ucty]])</f>
        <v>N/A</v>
      </c>
      <c r="Y1286" s="1" t="str">
        <f>IF(Table1[[#This Row],[Std Read]]="","N/A",Table1[[#This Row],[Std Read]]+Table1[[#This Row],[Std Ucty]])</f>
        <v>N/A</v>
      </c>
      <c r="Z12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6" s="1" t="str">
        <f>IF(Table1[[#This Row],[Spec Type]]="","N/A",Table1[[#This Row],[Spec Type]])</f>
        <v>±</v>
      </c>
      <c r="AC1286" s="1" t="str">
        <f>IF(Table1[[#This Row],[Spec Type2]]="N/A","N/A",IF(AND(Table1[[#This Row],[DUT Adj Read]]&gt;=Table1[[#This Row],[Low Tol]],Table1[[#This Row],[DUT Adj Read]]&lt;=Table1[[#This Row],[High Tol]]),"Pass","Fail"))</f>
        <v>Fail</v>
      </c>
      <c r="AD1286" s="1" t="str">
        <f>IF(AND(Table1[[#This Row],[Spec Type2]]="N/A",Table1[[#This Row],[DUT Adj Read]]="N/A",Table1[[#This Row],[Std Adj Read]]="N/A"),"N/A",IF(Table1[[#This Row],[DUT Adj Read]]="N/A",IF(Table1[[#This Row],[Std Adj Read]]&gt;Table1[[#This Row],[Low Tol]],"Pass","Fail"),IF(Table1[[#This Row],[DUT Adj Read]]&gt;Table1[[#This Row],[Low Tol]],"Pass","Fail")))</f>
        <v>Pass</v>
      </c>
      <c r="AE1286" s="1" t="str">
        <f>IF(AND(Table1[[#This Row],[Spec Type2]]="N/A",Table1[[#This Row],[DUT Adj Read]]="N/A",Table1[[#This Row],[Std Adj Read]]="N/A"),"N/A",IF(Table1[[#This Row],[DUT Adj Read]]="N/A",IF(Table1[[#This Row],[Std Adj Read]]&lt;Table1[[#This Row],[High Tol]],"Pass","Fail"),IF(Table1[[#This Row],[DUT Adj Read]]&lt;Table1[[#This Row],[High Tol]],"Pass","Fail")))</f>
        <v>Fail</v>
      </c>
      <c r="AF1286" s="1" t="str">
        <f>IF(AND(Table1[[#This Row],[Spec Type2]]="N/A",Table1[[#This Row],[DUT Adj Read]]="N/A",Table1[[#This Row],[Std Adj Read]]="N/A"),"N/A",IF(Table1[[#This Row],[DUT Adj Read]]="N/A",IF(Table1[[#This Row],[Std Adj Read]]&gt;=Table1[[#This Row],[Low Tol]],"Pass","Fail"),IF(Table1[[#This Row],[DUT Adj Read]]&gt;=Table1[[#This Row],[Low Tol]],"Pass","Fail")))</f>
        <v>Pass</v>
      </c>
      <c r="AG1286" s="1" t="str">
        <f>IF(AND(Table1[[#This Row],[Spec Type2]]="N/A",Table1[[#This Row],[DUT Adj Read]]="N/A",Table1[[#This Row],[Std Adj Read]]="N/A"),"N/A",IF(Table1[[#This Row],[DUT Adj Read]]="N/A",IF(Table1[[#This Row],[Std Adj Read]]&lt;=Table1[[#This Row],[High Tol]],"Pass","Fail"),IF(Table1[[#This Row],[DUT Adj Read]]&lt;=Table1[[#This Row],[High Tol]],"Pass","Fail")))</f>
        <v>Fail</v>
      </c>
      <c r="AH12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6" s="1" t="b">
        <v>0</v>
      </c>
      <c r="AN1286" s="1" t="b">
        <v>0</v>
      </c>
      <c r="AO1286" s="1" t="b">
        <v>0</v>
      </c>
    </row>
    <row r="1287" spans="1:41" x14ac:dyDescent="0.25">
      <c r="A1287" s="10"/>
      <c r="B1287" s="10"/>
      <c r="C1287" s="10"/>
      <c r="D1287" s="10"/>
      <c r="E1287" s="10"/>
      <c r="F1287" s="10"/>
      <c r="G1287" s="10"/>
      <c r="H1287" s="10"/>
      <c r="I1287" s="1" t="str">
        <f t="shared" si="57"/>
        <v/>
      </c>
      <c r="J1287" s="1" t="s">
        <v>35</v>
      </c>
      <c r="K1287" s="1" t="str">
        <f t="shared" si="58"/>
        <v/>
      </c>
      <c r="L1287" s="1" t="str">
        <f t="shared" si="59"/>
        <v/>
      </c>
      <c r="M1287" s="1">
        <f>IF(OR(Table1[[#This Row],[Std Nom]]="",Table1[[#This Row],[Std Read]]=""),0,Table1[[#This Row],[Std Nom]]-Table1[[#This Row],[Std Read]])</f>
        <v>0</v>
      </c>
      <c r="N1287" s="1">
        <f>IF(Calculations!$F$5="ACCREDITED 17025 WITH UNCERTAINTIES",$N$10,0)</f>
        <v>0</v>
      </c>
      <c r="Q1287" s="1">
        <f>Table1[[#This Row],[High Tol]]-Table1[[#This Row],[Low Tol]]</f>
        <v>0</v>
      </c>
      <c r="R1287" s="1">
        <f>2*Table1[[#This Row],[Std Error]]</f>
        <v>0</v>
      </c>
      <c r="S1287" s="1" t="str">
        <f>IF(Table1[[#This Row],[High Tol]]="","N/A",IFERROR(ABS(Table1[[#This Row],[Tol Span]]/Table1[[#This Row],[Error Span]]),"N/A"))</f>
        <v>N/A</v>
      </c>
      <c r="T1287" s="1" t="str">
        <f>IF(OR(Table1[[#This Row],[Low Tol]]="",Table1[[#This Row],[High Tol]]=""),"Needs Analysis",IF(Table1[[#This Row],[Ratio]]&gt;=4,"Not Significant",IF(Table1[[#This Row],[Ratio]]&gt;=2,"Semi-Significant","Significant")))</f>
        <v>Needs Analysis</v>
      </c>
      <c r="W1287" s="1">
        <f>IF(Table1[[#This Row],[Cal Type]]&lt;&gt;"ACCREDITED 17025 WITH UNCERTAINTIES",0,"")</f>
        <v>0</v>
      </c>
      <c r="X1287" s="1" t="str">
        <f>IF(Table1[[#This Row],[DUT Read]]="","N/A",Table1[[#This Row],[Std Error]]+Table1[[#This Row],[DUT Read]]+Table1[[#This Row],[DUT Ucty]])</f>
        <v>N/A</v>
      </c>
      <c r="Y1287" s="1" t="str">
        <f>IF(Table1[[#This Row],[Std Read]]="","N/A",Table1[[#This Row],[Std Read]]+Table1[[#This Row],[Std Ucty]])</f>
        <v>N/A</v>
      </c>
      <c r="Z12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7" s="1" t="str">
        <f>IF(Table1[[#This Row],[Spec Type]]="","N/A",Table1[[#This Row],[Spec Type]])</f>
        <v>±</v>
      </c>
      <c r="AC1287" s="1" t="str">
        <f>IF(Table1[[#This Row],[Spec Type2]]="N/A","N/A",IF(AND(Table1[[#This Row],[DUT Adj Read]]&gt;=Table1[[#This Row],[Low Tol]],Table1[[#This Row],[DUT Adj Read]]&lt;=Table1[[#This Row],[High Tol]]),"Pass","Fail"))</f>
        <v>Fail</v>
      </c>
      <c r="AD1287" s="1" t="str">
        <f>IF(AND(Table1[[#This Row],[Spec Type2]]="N/A",Table1[[#This Row],[DUT Adj Read]]="N/A",Table1[[#This Row],[Std Adj Read]]="N/A"),"N/A",IF(Table1[[#This Row],[DUT Adj Read]]="N/A",IF(Table1[[#This Row],[Std Adj Read]]&gt;Table1[[#This Row],[Low Tol]],"Pass","Fail"),IF(Table1[[#This Row],[DUT Adj Read]]&gt;Table1[[#This Row],[Low Tol]],"Pass","Fail")))</f>
        <v>Pass</v>
      </c>
      <c r="AE1287" s="1" t="str">
        <f>IF(AND(Table1[[#This Row],[Spec Type2]]="N/A",Table1[[#This Row],[DUT Adj Read]]="N/A",Table1[[#This Row],[Std Adj Read]]="N/A"),"N/A",IF(Table1[[#This Row],[DUT Adj Read]]="N/A",IF(Table1[[#This Row],[Std Adj Read]]&lt;Table1[[#This Row],[High Tol]],"Pass","Fail"),IF(Table1[[#This Row],[DUT Adj Read]]&lt;Table1[[#This Row],[High Tol]],"Pass","Fail")))</f>
        <v>Fail</v>
      </c>
      <c r="AF1287" s="1" t="str">
        <f>IF(AND(Table1[[#This Row],[Spec Type2]]="N/A",Table1[[#This Row],[DUT Adj Read]]="N/A",Table1[[#This Row],[Std Adj Read]]="N/A"),"N/A",IF(Table1[[#This Row],[DUT Adj Read]]="N/A",IF(Table1[[#This Row],[Std Adj Read]]&gt;=Table1[[#This Row],[Low Tol]],"Pass","Fail"),IF(Table1[[#This Row],[DUT Adj Read]]&gt;=Table1[[#This Row],[Low Tol]],"Pass","Fail")))</f>
        <v>Pass</v>
      </c>
      <c r="AG1287" s="1" t="str">
        <f>IF(AND(Table1[[#This Row],[Spec Type2]]="N/A",Table1[[#This Row],[DUT Adj Read]]="N/A",Table1[[#This Row],[Std Adj Read]]="N/A"),"N/A",IF(Table1[[#This Row],[DUT Adj Read]]="N/A",IF(Table1[[#This Row],[Std Adj Read]]&lt;=Table1[[#This Row],[High Tol]],"Pass","Fail"),IF(Table1[[#This Row],[DUT Adj Read]]&lt;=Table1[[#This Row],[High Tol]],"Pass","Fail")))</f>
        <v>Fail</v>
      </c>
      <c r="AH12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7" s="1" t="b">
        <v>0</v>
      </c>
      <c r="AN1287" s="1" t="b">
        <v>0</v>
      </c>
      <c r="AO1287" s="1" t="b">
        <v>0</v>
      </c>
    </row>
    <row r="1288" spans="1:41" x14ac:dyDescent="0.25">
      <c r="A1288" s="10"/>
      <c r="B1288" s="10"/>
      <c r="C1288" s="10"/>
      <c r="D1288" s="10"/>
      <c r="E1288" s="10"/>
      <c r="F1288" s="10"/>
      <c r="G1288" s="10"/>
      <c r="H1288" s="10"/>
      <c r="I1288" s="1" t="str">
        <f t="shared" si="57"/>
        <v/>
      </c>
      <c r="J1288" s="1" t="s">
        <v>35</v>
      </c>
      <c r="K1288" s="1" t="str">
        <f t="shared" si="58"/>
        <v/>
      </c>
      <c r="L1288" s="1" t="str">
        <f t="shared" si="59"/>
        <v/>
      </c>
      <c r="M1288" s="1">
        <f>IF(OR(Table1[[#This Row],[Std Nom]]="",Table1[[#This Row],[Std Read]]=""),0,Table1[[#This Row],[Std Nom]]-Table1[[#This Row],[Std Read]])</f>
        <v>0</v>
      </c>
      <c r="N1288" s="1">
        <f>IF(Calculations!$F$5="ACCREDITED 17025 WITH UNCERTAINTIES",$N$10,0)</f>
        <v>0</v>
      </c>
      <c r="Q1288" s="1">
        <f>Table1[[#This Row],[High Tol]]-Table1[[#This Row],[Low Tol]]</f>
        <v>0</v>
      </c>
      <c r="R1288" s="1">
        <f>2*Table1[[#This Row],[Std Error]]</f>
        <v>0</v>
      </c>
      <c r="S1288" s="1" t="str">
        <f>IF(Table1[[#This Row],[High Tol]]="","N/A",IFERROR(ABS(Table1[[#This Row],[Tol Span]]/Table1[[#This Row],[Error Span]]),"N/A"))</f>
        <v>N/A</v>
      </c>
      <c r="T1288" s="1" t="str">
        <f>IF(OR(Table1[[#This Row],[Low Tol]]="",Table1[[#This Row],[High Tol]]=""),"Needs Analysis",IF(Table1[[#This Row],[Ratio]]&gt;=4,"Not Significant",IF(Table1[[#This Row],[Ratio]]&gt;=2,"Semi-Significant","Significant")))</f>
        <v>Needs Analysis</v>
      </c>
      <c r="W1288" s="1">
        <f>IF(Table1[[#This Row],[Cal Type]]&lt;&gt;"ACCREDITED 17025 WITH UNCERTAINTIES",0,"")</f>
        <v>0</v>
      </c>
      <c r="X1288" s="1" t="str">
        <f>IF(Table1[[#This Row],[DUT Read]]="","N/A",Table1[[#This Row],[Std Error]]+Table1[[#This Row],[DUT Read]]+Table1[[#This Row],[DUT Ucty]])</f>
        <v>N/A</v>
      </c>
      <c r="Y1288" s="1" t="str">
        <f>IF(Table1[[#This Row],[Std Read]]="","N/A",Table1[[#This Row],[Std Read]]+Table1[[#This Row],[Std Ucty]])</f>
        <v>N/A</v>
      </c>
      <c r="Z12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8" s="1" t="str">
        <f>IF(Table1[[#This Row],[Spec Type]]="","N/A",Table1[[#This Row],[Spec Type]])</f>
        <v>±</v>
      </c>
      <c r="AC1288" s="1" t="str">
        <f>IF(Table1[[#This Row],[Spec Type2]]="N/A","N/A",IF(AND(Table1[[#This Row],[DUT Adj Read]]&gt;=Table1[[#This Row],[Low Tol]],Table1[[#This Row],[DUT Adj Read]]&lt;=Table1[[#This Row],[High Tol]]),"Pass","Fail"))</f>
        <v>Fail</v>
      </c>
      <c r="AD1288" s="1" t="str">
        <f>IF(AND(Table1[[#This Row],[Spec Type2]]="N/A",Table1[[#This Row],[DUT Adj Read]]="N/A",Table1[[#This Row],[Std Adj Read]]="N/A"),"N/A",IF(Table1[[#This Row],[DUT Adj Read]]="N/A",IF(Table1[[#This Row],[Std Adj Read]]&gt;Table1[[#This Row],[Low Tol]],"Pass","Fail"),IF(Table1[[#This Row],[DUT Adj Read]]&gt;Table1[[#This Row],[Low Tol]],"Pass","Fail")))</f>
        <v>Pass</v>
      </c>
      <c r="AE1288" s="1" t="str">
        <f>IF(AND(Table1[[#This Row],[Spec Type2]]="N/A",Table1[[#This Row],[DUT Adj Read]]="N/A",Table1[[#This Row],[Std Adj Read]]="N/A"),"N/A",IF(Table1[[#This Row],[DUT Adj Read]]="N/A",IF(Table1[[#This Row],[Std Adj Read]]&lt;Table1[[#This Row],[High Tol]],"Pass","Fail"),IF(Table1[[#This Row],[DUT Adj Read]]&lt;Table1[[#This Row],[High Tol]],"Pass","Fail")))</f>
        <v>Fail</v>
      </c>
      <c r="AF1288" s="1" t="str">
        <f>IF(AND(Table1[[#This Row],[Spec Type2]]="N/A",Table1[[#This Row],[DUT Adj Read]]="N/A",Table1[[#This Row],[Std Adj Read]]="N/A"),"N/A",IF(Table1[[#This Row],[DUT Adj Read]]="N/A",IF(Table1[[#This Row],[Std Adj Read]]&gt;=Table1[[#This Row],[Low Tol]],"Pass","Fail"),IF(Table1[[#This Row],[DUT Adj Read]]&gt;=Table1[[#This Row],[Low Tol]],"Pass","Fail")))</f>
        <v>Pass</v>
      </c>
      <c r="AG1288" s="1" t="str">
        <f>IF(AND(Table1[[#This Row],[Spec Type2]]="N/A",Table1[[#This Row],[DUT Adj Read]]="N/A",Table1[[#This Row],[Std Adj Read]]="N/A"),"N/A",IF(Table1[[#This Row],[DUT Adj Read]]="N/A",IF(Table1[[#This Row],[Std Adj Read]]&lt;=Table1[[#This Row],[High Tol]],"Pass","Fail"),IF(Table1[[#This Row],[DUT Adj Read]]&lt;=Table1[[#This Row],[High Tol]],"Pass","Fail")))</f>
        <v>Fail</v>
      </c>
      <c r="AH12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8" s="1" t="b">
        <v>0</v>
      </c>
      <c r="AN1288" s="1" t="b">
        <v>0</v>
      </c>
      <c r="AO1288" s="1" t="b">
        <v>0</v>
      </c>
    </row>
    <row r="1289" spans="1:41" x14ac:dyDescent="0.25">
      <c r="A1289" s="10"/>
      <c r="B1289" s="10"/>
      <c r="C1289" s="10"/>
      <c r="D1289" s="10"/>
      <c r="E1289" s="10"/>
      <c r="F1289" s="10"/>
      <c r="G1289" s="10"/>
      <c r="H1289" s="10"/>
      <c r="I1289" s="1" t="str">
        <f t="shared" si="57"/>
        <v/>
      </c>
      <c r="J1289" s="1" t="s">
        <v>35</v>
      </c>
      <c r="K1289" s="1" t="str">
        <f t="shared" si="58"/>
        <v/>
      </c>
      <c r="L1289" s="1" t="str">
        <f t="shared" si="59"/>
        <v/>
      </c>
      <c r="M1289" s="1">
        <f>IF(OR(Table1[[#This Row],[Std Nom]]="",Table1[[#This Row],[Std Read]]=""),0,Table1[[#This Row],[Std Nom]]-Table1[[#This Row],[Std Read]])</f>
        <v>0</v>
      </c>
      <c r="N1289" s="1">
        <f>IF(Calculations!$F$5="ACCREDITED 17025 WITH UNCERTAINTIES",$N$10,0)</f>
        <v>0</v>
      </c>
      <c r="Q1289" s="1">
        <f>Table1[[#This Row],[High Tol]]-Table1[[#This Row],[Low Tol]]</f>
        <v>0</v>
      </c>
      <c r="R1289" s="1">
        <f>2*Table1[[#This Row],[Std Error]]</f>
        <v>0</v>
      </c>
      <c r="S1289" s="1" t="str">
        <f>IF(Table1[[#This Row],[High Tol]]="","N/A",IFERROR(ABS(Table1[[#This Row],[Tol Span]]/Table1[[#This Row],[Error Span]]),"N/A"))</f>
        <v>N/A</v>
      </c>
      <c r="T1289" s="1" t="str">
        <f>IF(OR(Table1[[#This Row],[Low Tol]]="",Table1[[#This Row],[High Tol]]=""),"Needs Analysis",IF(Table1[[#This Row],[Ratio]]&gt;=4,"Not Significant",IF(Table1[[#This Row],[Ratio]]&gt;=2,"Semi-Significant","Significant")))</f>
        <v>Needs Analysis</v>
      </c>
      <c r="W1289" s="1">
        <f>IF(Table1[[#This Row],[Cal Type]]&lt;&gt;"ACCREDITED 17025 WITH UNCERTAINTIES",0,"")</f>
        <v>0</v>
      </c>
      <c r="X1289" s="1" t="str">
        <f>IF(Table1[[#This Row],[DUT Read]]="","N/A",Table1[[#This Row],[Std Error]]+Table1[[#This Row],[DUT Read]]+Table1[[#This Row],[DUT Ucty]])</f>
        <v>N/A</v>
      </c>
      <c r="Y1289" s="1" t="str">
        <f>IF(Table1[[#This Row],[Std Read]]="","N/A",Table1[[#This Row],[Std Read]]+Table1[[#This Row],[Std Ucty]])</f>
        <v>N/A</v>
      </c>
      <c r="Z12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89" s="1" t="str">
        <f>IF(Table1[[#This Row],[Spec Type]]="","N/A",Table1[[#This Row],[Spec Type]])</f>
        <v>±</v>
      </c>
      <c r="AC1289" s="1" t="str">
        <f>IF(Table1[[#This Row],[Spec Type2]]="N/A","N/A",IF(AND(Table1[[#This Row],[DUT Adj Read]]&gt;=Table1[[#This Row],[Low Tol]],Table1[[#This Row],[DUT Adj Read]]&lt;=Table1[[#This Row],[High Tol]]),"Pass","Fail"))</f>
        <v>Fail</v>
      </c>
      <c r="AD1289" s="1" t="str">
        <f>IF(AND(Table1[[#This Row],[Spec Type2]]="N/A",Table1[[#This Row],[DUT Adj Read]]="N/A",Table1[[#This Row],[Std Adj Read]]="N/A"),"N/A",IF(Table1[[#This Row],[DUT Adj Read]]="N/A",IF(Table1[[#This Row],[Std Adj Read]]&gt;Table1[[#This Row],[Low Tol]],"Pass","Fail"),IF(Table1[[#This Row],[DUT Adj Read]]&gt;Table1[[#This Row],[Low Tol]],"Pass","Fail")))</f>
        <v>Pass</v>
      </c>
      <c r="AE1289" s="1" t="str">
        <f>IF(AND(Table1[[#This Row],[Spec Type2]]="N/A",Table1[[#This Row],[DUT Adj Read]]="N/A",Table1[[#This Row],[Std Adj Read]]="N/A"),"N/A",IF(Table1[[#This Row],[DUT Adj Read]]="N/A",IF(Table1[[#This Row],[Std Adj Read]]&lt;Table1[[#This Row],[High Tol]],"Pass","Fail"),IF(Table1[[#This Row],[DUT Adj Read]]&lt;Table1[[#This Row],[High Tol]],"Pass","Fail")))</f>
        <v>Fail</v>
      </c>
      <c r="AF1289" s="1" t="str">
        <f>IF(AND(Table1[[#This Row],[Spec Type2]]="N/A",Table1[[#This Row],[DUT Adj Read]]="N/A",Table1[[#This Row],[Std Adj Read]]="N/A"),"N/A",IF(Table1[[#This Row],[DUT Adj Read]]="N/A",IF(Table1[[#This Row],[Std Adj Read]]&gt;=Table1[[#This Row],[Low Tol]],"Pass","Fail"),IF(Table1[[#This Row],[DUT Adj Read]]&gt;=Table1[[#This Row],[Low Tol]],"Pass","Fail")))</f>
        <v>Pass</v>
      </c>
      <c r="AG1289" s="1" t="str">
        <f>IF(AND(Table1[[#This Row],[Spec Type2]]="N/A",Table1[[#This Row],[DUT Adj Read]]="N/A",Table1[[#This Row],[Std Adj Read]]="N/A"),"N/A",IF(Table1[[#This Row],[DUT Adj Read]]="N/A",IF(Table1[[#This Row],[Std Adj Read]]&lt;=Table1[[#This Row],[High Tol]],"Pass","Fail"),IF(Table1[[#This Row],[DUT Adj Read]]&lt;=Table1[[#This Row],[High Tol]],"Pass","Fail")))</f>
        <v>Fail</v>
      </c>
      <c r="AH12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89" s="1" t="b">
        <v>0</v>
      </c>
      <c r="AN1289" s="1" t="b">
        <v>0</v>
      </c>
      <c r="AO1289" s="1" t="b">
        <v>0</v>
      </c>
    </row>
    <row r="1290" spans="1:41" x14ac:dyDescent="0.25">
      <c r="A1290" s="10"/>
      <c r="B1290" s="10"/>
      <c r="C1290" s="10"/>
      <c r="D1290" s="10"/>
      <c r="E1290" s="10"/>
      <c r="F1290" s="10"/>
      <c r="G1290" s="10"/>
      <c r="H1290" s="10"/>
      <c r="I1290" s="1" t="str">
        <f t="shared" si="57"/>
        <v/>
      </c>
      <c r="J1290" s="1" t="s">
        <v>35</v>
      </c>
      <c r="K1290" s="1" t="str">
        <f t="shared" si="58"/>
        <v/>
      </c>
      <c r="L1290" s="1" t="str">
        <f t="shared" si="59"/>
        <v/>
      </c>
      <c r="M1290" s="1">
        <f>IF(OR(Table1[[#This Row],[Std Nom]]="",Table1[[#This Row],[Std Read]]=""),0,Table1[[#This Row],[Std Nom]]-Table1[[#This Row],[Std Read]])</f>
        <v>0</v>
      </c>
      <c r="N1290" s="1">
        <f>IF(Calculations!$F$5="ACCREDITED 17025 WITH UNCERTAINTIES",$N$10,0)</f>
        <v>0</v>
      </c>
      <c r="Q1290" s="1">
        <f>Table1[[#This Row],[High Tol]]-Table1[[#This Row],[Low Tol]]</f>
        <v>0</v>
      </c>
      <c r="R1290" s="1">
        <f>2*Table1[[#This Row],[Std Error]]</f>
        <v>0</v>
      </c>
      <c r="S1290" s="1" t="str">
        <f>IF(Table1[[#This Row],[High Tol]]="","N/A",IFERROR(ABS(Table1[[#This Row],[Tol Span]]/Table1[[#This Row],[Error Span]]),"N/A"))</f>
        <v>N/A</v>
      </c>
      <c r="T1290" s="1" t="str">
        <f>IF(OR(Table1[[#This Row],[Low Tol]]="",Table1[[#This Row],[High Tol]]=""),"Needs Analysis",IF(Table1[[#This Row],[Ratio]]&gt;=4,"Not Significant",IF(Table1[[#This Row],[Ratio]]&gt;=2,"Semi-Significant","Significant")))</f>
        <v>Needs Analysis</v>
      </c>
      <c r="W1290" s="1">
        <f>IF(Table1[[#This Row],[Cal Type]]&lt;&gt;"ACCREDITED 17025 WITH UNCERTAINTIES",0,"")</f>
        <v>0</v>
      </c>
      <c r="X1290" s="1" t="str">
        <f>IF(Table1[[#This Row],[DUT Read]]="","N/A",Table1[[#This Row],[Std Error]]+Table1[[#This Row],[DUT Read]]+Table1[[#This Row],[DUT Ucty]])</f>
        <v>N/A</v>
      </c>
      <c r="Y1290" s="1" t="str">
        <f>IF(Table1[[#This Row],[Std Read]]="","N/A",Table1[[#This Row],[Std Read]]+Table1[[#This Row],[Std Ucty]])</f>
        <v>N/A</v>
      </c>
      <c r="Z12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0" s="1" t="str">
        <f>IF(Table1[[#This Row],[Spec Type]]="","N/A",Table1[[#This Row],[Spec Type]])</f>
        <v>±</v>
      </c>
      <c r="AC1290" s="1" t="str">
        <f>IF(Table1[[#This Row],[Spec Type2]]="N/A","N/A",IF(AND(Table1[[#This Row],[DUT Adj Read]]&gt;=Table1[[#This Row],[Low Tol]],Table1[[#This Row],[DUT Adj Read]]&lt;=Table1[[#This Row],[High Tol]]),"Pass","Fail"))</f>
        <v>Fail</v>
      </c>
      <c r="AD1290" s="1" t="str">
        <f>IF(AND(Table1[[#This Row],[Spec Type2]]="N/A",Table1[[#This Row],[DUT Adj Read]]="N/A",Table1[[#This Row],[Std Adj Read]]="N/A"),"N/A",IF(Table1[[#This Row],[DUT Adj Read]]="N/A",IF(Table1[[#This Row],[Std Adj Read]]&gt;Table1[[#This Row],[Low Tol]],"Pass","Fail"),IF(Table1[[#This Row],[DUT Adj Read]]&gt;Table1[[#This Row],[Low Tol]],"Pass","Fail")))</f>
        <v>Pass</v>
      </c>
      <c r="AE1290" s="1" t="str">
        <f>IF(AND(Table1[[#This Row],[Spec Type2]]="N/A",Table1[[#This Row],[DUT Adj Read]]="N/A",Table1[[#This Row],[Std Adj Read]]="N/A"),"N/A",IF(Table1[[#This Row],[DUT Adj Read]]="N/A",IF(Table1[[#This Row],[Std Adj Read]]&lt;Table1[[#This Row],[High Tol]],"Pass","Fail"),IF(Table1[[#This Row],[DUT Adj Read]]&lt;Table1[[#This Row],[High Tol]],"Pass","Fail")))</f>
        <v>Fail</v>
      </c>
      <c r="AF1290" s="1" t="str">
        <f>IF(AND(Table1[[#This Row],[Spec Type2]]="N/A",Table1[[#This Row],[DUT Adj Read]]="N/A",Table1[[#This Row],[Std Adj Read]]="N/A"),"N/A",IF(Table1[[#This Row],[DUT Adj Read]]="N/A",IF(Table1[[#This Row],[Std Adj Read]]&gt;=Table1[[#This Row],[Low Tol]],"Pass","Fail"),IF(Table1[[#This Row],[DUT Adj Read]]&gt;=Table1[[#This Row],[Low Tol]],"Pass","Fail")))</f>
        <v>Pass</v>
      </c>
      <c r="AG1290" s="1" t="str">
        <f>IF(AND(Table1[[#This Row],[Spec Type2]]="N/A",Table1[[#This Row],[DUT Adj Read]]="N/A",Table1[[#This Row],[Std Adj Read]]="N/A"),"N/A",IF(Table1[[#This Row],[DUT Adj Read]]="N/A",IF(Table1[[#This Row],[Std Adj Read]]&lt;=Table1[[#This Row],[High Tol]],"Pass","Fail"),IF(Table1[[#This Row],[DUT Adj Read]]&lt;=Table1[[#This Row],[High Tol]],"Pass","Fail")))</f>
        <v>Fail</v>
      </c>
      <c r="AH12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0" s="1" t="b">
        <v>0</v>
      </c>
      <c r="AN1290" s="1" t="b">
        <v>0</v>
      </c>
      <c r="AO1290" s="1" t="b">
        <v>0</v>
      </c>
    </row>
    <row r="1291" spans="1:41" x14ac:dyDescent="0.25">
      <c r="A1291" s="10"/>
      <c r="B1291" s="10"/>
      <c r="C1291" s="10"/>
      <c r="D1291" s="10"/>
      <c r="E1291" s="10"/>
      <c r="F1291" s="10"/>
      <c r="G1291" s="10"/>
      <c r="H1291" s="10"/>
      <c r="I1291" s="1" t="str">
        <f t="shared" ref="I1291:I1354" si="60">IF($I$10="","",$I$10)</f>
        <v/>
      </c>
      <c r="J1291" s="1" t="s">
        <v>35</v>
      </c>
      <c r="K1291" s="1" t="str">
        <f t="shared" ref="K1291:K1354" si="61">IF($K$10="","",$K$10)</f>
        <v/>
      </c>
      <c r="L1291" s="1" t="str">
        <f t="shared" ref="L1291:L1354" si="62">IF($L$10="","",$L$10)</f>
        <v/>
      </c>
      <c r="M1291" s="1">
        <f>IF(OR(Table1[[#This Row],[Std Nom]]="",Table1[[#This Row],[Std Read]]=""),0,Table1[[#This Row],[Std Nom]]-Table1[[#This Row],[Std Read]])</f>
        <v>0</v>
      </c>
      <c r="N1291" s="1">
        <f>IF(Calculations!$F$5="ACCREDITED 17025 WITH UNCERTAINTIES",$N$10,0)</f>
        <v>0</v>
      </c>
      <c r="Q1291" s="1">
        <f>Table1[[#This Row],[High Tol]]-Table1[[#This Row],[Low Tol]]</f>
        <v>0</v>
      </c>
      <c r="R1291" s="1">
        <f>2*Table1[[#This Row],[Std Error]]</f>
        <v>0</v>
      </c>
      <c r="S1291" s="1" t="str">
        <f>IF(Table1[[#This Row],[High Tol]]="","N/A",IFERROR(ABS(Table1[[#This Row],[Tol Span]]/Table1[[#This Row],[Error Span]]),"N/A"))</f>
        <v>N/A</v>
      </c>
      <c r="T1291" s="1" t="str">
        <f>IF(OR(Table1[[#This Row],[Low Tol]]="",Table1[[#This Row],[High Tol]]=""),"Needs Analysis",IF(Table1[[#This Row],[Ratio]]&gt;=4,"Not Significant",IF(Table1[[#This Row],[Ratio]]&gt;=2,"Semi-Significant","Significant")))</f>
        <v>Needs Analysis</v>
      </c>
      <c r="W1291" s="1">
        <f>IF(Table1[[#This Row],[Cal Type]]&lt;&gt;"ACCREDITED 17025 WITH UNCERTAINTIES",0,"")</f>
        <v>0</v>
      </c>
      <c r="X1291" s="1" t="str">
        <f>IF(Table1[[#This Row],[DUT Read]]="","N/A",Table1[[#This Row],[Std Error]]+Table1[[#This Row],[DUT Read]]+Table1[[#This Row],[DUT Ucty]])</f>
        <v>N/A</v>
      </c>
      <c r="Y1291" s="1" t="str">
        <f>IF(Table1[[#This Row],[Std Read]]="","N/A",Table1[[#This Row],[Std Read]]+Table1[[#This Row],[Std Ucty]])</f>
        <v>N/A</v>
      </c>
      <c r="Z12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1" s="1" t="str">
        <f>IF(Table1[[#This Row],[Spec Type]]="","N/A",Table1[[#This Row],[Spec Type]])</f>
        <v>±</v>
      </c>
      <c r="AC1291" s="1" t="str">
        <f>IF(Table1[[#This Row],[Spec Type2]]="N/A","N/A",IF(AND(Table1[[#This Row],[DUT Adj Read]]&gt;=Table1[[#This Row],[Low Tol]],Table1[[#This Row],[DUT Adj Read]]&lt;=Table1[[#This Row],[High Tol]]),"Pass","Fail"))</f>
        <v>Fail</v>
      </c>
      <c r="AD1291" s="1" t="str">
        <f>IF(AND(Table1[[#This Row],[Spec Type2]]="N/A",Table1[[#This Row],[DUT Adj Read]]="N/A",Table1[[#This Row],[Std Adj Read]]="N/A"),"N/A",IF(Table1[[#This Row],[DUT Adj Read]]="N/A",IF(Table1[[#This Row],[Std Adj Read]]&gt;Table1[[#This Row],[Low Tol]],"Pass","Fail"),IF(Table1[[#This Row],[DUT Adj Read]]&gt;Table1[[#This Row],[Low Tol]],"Pass","Fail")))</f>
        <v>Pass</v>
      </c>
      <c r="AE1291" s="1" t="str">
        <f>IF(AND(Table1[[#This Row],[Spec Type2]]="N/A",Table1[[#This Row],[DUT Adj Read]]="N/A",Table1[[#This Row],[Std Adj Read]]="N/A"),"N/A",IF(Table1[[#This Row],[DUT Adj Read]]="N/A",IF(Table1[[#This Row],[Std Adj Read]]&lt;Table1[[#This Row],[High Tol]],"Pass","Fail"),IF(Table1[[#This Row],[DUT Adj Read]]&lt;Table1[[#This Row],[High Tol]],"Pass","Fail")))</f>
        <v>Fail</v>
      </c>
      <c r="AF1291" s="1" t="str">
        <f>IF(AND(Table1[[#This Row],[Spec Type2]]="N/A",Table1[[#This Row],[DUT Adj Read]]="N/A",Table1[[#This Row],[Std Adj Read]]="N/A"),"N/A",IF(Table1[[#This Row],[DUT Adj Read]]="N/A",IF(Table1[[#This Row],[Std Adj Read]]&gt;=Table1[[#This Row],[Low Tol]],"Pass","Fail"),IF(Table1[[#This Row],[DUT Adj Read]]&gt;=Table1[[#This Row],[Low Tol]],"Pass","Fail")))</f>
        <v>Pass</v>
      </c>
      <c r="AG1291" s="1" t="str">
        <f>IF(AND(Table1[[#This Row],[Spec Type2]]="N/A",Table1[[#This Row],[DUT Adj Read]]="N/A",Table1[[#This Row],[Std Adj Read]]="N/A"),"N/A",IF(Table1[[#This Row],[DUT Adj Read]]="N/A",IF(Table1[[#This Row],[Std Adj Read]]&lt;=Table1[[#This Row],[High Tol]],"Pass","Fail"),IF(Table1[[#This Row],[DUT Adj Read]]&lt;=Table1[[#This Row],[High Tol]],"Pass","Fail")))</f>
        <v>Fail</v>
      </c>
      <c r="AH12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1" s="1" t="b">
        <v>0</v>
      </c>
      <c r="AN1291" s="1" t="b">
        <v>0</v>
      </c>
      <c r="AO1291" s="1" t="b">
        <v>0</v>
      </c>
    </row>
    <row r="1292" spans="1:41" x14ac:dyDescent="0.25">
      <c r="A1292" s="10"/>
      <c r="B1292" s="10"/>
      <c r="C1292" s="10"/>
      <c r="D1292" s="10"/>
      <c r="E1292" s="10"/>
      <c r="F1292" s="10"/>
      <c r="G1292" s="10"/>
      <c r="H1292" s="10"/>
      <c r="I1292" s="1" t="str">
        <f t="shared" si="60"/>
        <v/>
      </c>
      <c r="J1292" s="1" t="s">
        <v>35</v>
      </c>
      <c r="K1292" s="1" t="str">
        <f t="shared" si="61"/>
        <v/>
      </c>
      <c r="L1292" s="1" t="str">
        <f t="shared" si="62"/>
        <v/>
      </c>
      <c r="M1292" s="1">
        <f>IF(OR(Table1[[#This Row],[Std Nom]]="",Table1[[#This Row],[Std Read]]=""),0,Table1[[#This Row],[Std Nom]]-Table1[[#This Row],[Std Read]])</f>
        <v>0</v>
      </c>
      <c r="N1292" s="1">
        <f>IF(Calculations!$F$5="ACCREDITED 17025 WITH UNCERTAINTIES",$N$10,0)</f>
        <v>0</v>
      </c>
      <c r="Q1292" s="1">
        <f>Table1[[#This Row],[High Tol]]-Table1[[#This Row],[Low Tol]]</f>
        <v>0</v>
      </c>
      <c r="R1292" s="1">
        <f>2*Table1[[#This Row],[Std Error]]</f>
        <v>0</v>
      </c>
      <c r="S1292" s="1" t="str">
        <f>IF(Table1[[#This Row],[High Tol]]="","N/A",IFERROR(ABS(Table1[[#This Row],[Tol Span]]/Table1[[#This Row],[Error Span]]),"N/A"))</f>
        <v>N/A</v>
      </c>
      <c r="T1292" s="1" t="str">
        <f>IF(OR(Table1[[#This Row],[Low Tol]]="",Table1[[#This Row],[High Tol]]=""),"Needs Analysis",IF(Table1[[#This Row],[Ratio]]&gt;=4,"Not Significant",IF(Table1[[#This Row],[Ratio]]&gt;=2,"Semi-Significant","Significant")))</f>
        <v>Needs Analysis</v>
      </c>
      <c r="W1292" s="1">
        <f>IF(Table1[[#This Row],[Cal Type]]&lt;&gt;"ACCREDITED 17025 WITH UNCERTAINTIES",0,"")</f>
        <v>0</v>
      </c>
      <c r="X1292" s="1" t="str">
        <f>IF(Table1[[#This Row],[DUT Read]]="","N/A",Table1[[#This Row],[Std Error]]+Table1[[#This Row],[DUT Read]]+Table1[[#This Row],[DUT Ucty]])</f>
        <v>N/A</v>
      </c>
      <c r="Y1292" s="1" t="str">
        <f>IF(Table1[[#This Row],[Std Read]]="","N/A",Table1[[#This Row],[Std Read]]+Table1[[#This Row],[Std Ucty]])</f>
        <v>N/A</v>
      </c>
      <c r="Z12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2" s="1" t="str">
        <f>IF(Table1[[#This Row],[Spec Type]]="","N/A",Table1[[#This Row],[Spec Type]])</f>
        <v>±</v>
      </c>
      <c r="AC1292" s="1" t="str">
        <f>IF(Table1[[#This Row],[Spec Type2]]="N/A","N/A",IF(AND(Table1[[#This Row],[DUT Adj Read]]&gt;=Table1[[#This Row],[Low Tol]],Table1[[#This Row],[DUT Adj Read]]&lt;=Table1[[#This Row],[High Tol]]),"Pass","Fail"))</f>
        <v>Fail</v>
      </c>
      <c r="AD1292" s="1" t="str">
        <f>IF(AND(Table1[[#This Row],[Spec Type2]]="N/A",Table1[[#This Row],[DUT Adj Read]]="N/A",Table1[[#This Row],[Std Adj Read]]="N/A"),"N/A",IF(Table1[[#This Row],[DUT Adj Read]]="N/A",IF(Table1[[#This Row],[Std Adj Read]]&gt;Table1[[#This Row],[Low Tol]],"Pass","Fail"),IF(Table1[[#This Row],[DUT Adj Read]]&gt;Table1[[#This Row],[Low Tol]],"Pass","Fail")))</f>
        <v>Pass</v>
      </c>
      <c r="AE1292" s="1" t="str">
        <f>IF(AND(Table1[[#This Row],[Spec Type2]]="N/A",Table1[[#This Row],[DUT Adj Read]]="N/A",Table1[[#This Row],[Std Adj Read]]="N/A"),"N/A",IF(Table1[[#This Row],[DUT Adj Read]]="N/A",IF(Table1[[#This Row],[Std Adj Read]]&lt;Table1[[#This Row],[High Tol]],"Pass","Fail"),IF(Table1[[#This Row],[DUT Adj Read]]&lt;Table1[[#This Row],[High Tol]],"Pass","Fail")))</f>
        <v>Fail</v>
      </c>
      <c r="AF1292" s="1" t="str">
        <f>IF(AND(Table1[[#This Row],[Spec Type2]]="N/A",Table1[[#This Row],[DUT Adj Read]]="N/A",Table1[[#This Row],[Std Adj Read]]="N/A"),"N/A",IF(Table1[[#This Row],[DUT Adj Read]]="N/A",IF(Table1[[#This Row],[Std Adj Read]]&gt;=Table1[[#This Row],[Low Tol]],"Pass","Fail"),IF(Table1[[#This Row],[DUT Adj Read]]&gt;=Table1[[#This Row],[Low Tol]],"Pass","Fail")))</f>
        <v>Pass</v>
      </c>
      <c r="AG1292" s="1" t="str">
        <f>IF(AND(Table1[[#This Row],[Spec Type2]]="N/A",Table1[[#This Row],[DUT Adj Read]]="N/A",Table1[[#This Row],[Std Adj Read]]="N/A"),"N/A",IF(Table1[[#This Row],[DUT Adj Read]]="N/A",IF(Table1[[#This Row],[Std Adj Read]]&lt;=Table1[[#This Row],[High Tol]],"Pass","Fail"),IF(Table1[[#This Row],[DUT Adj Read]]&lt;=Table1[[#This Row],[High Tol]],"Pass","Fail")))</f>
        <v>Fail</v>
      </c>
      <c r="AH12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2" s="1" t="b">
        <v>0</v>
      </c>
      <c r="AN1292" s="1" t="b">
        <v>0</v>
      </c>
      <c r="AO1292" s="1" t="b">
        <v>0</v>
      </c>
    </row>
    <row r="1293" spans="1:41" x14ac:dyDescent="0.25">
      <c r="A1293" s="10"/>
      <c r="B1293" s="10"/>
      <c r="C1293" s="10"/>
      <c r="D1293" s="10"/>
      <c r="E1293" s="10"/>
      <c r="F1293" s="10"/>
      <c r="G1293" s="10"/>
      <c r="H1293" s="10"/>
      <c r="I1293" s="1" t="str">
        <f t="shared" si="60"/>
        <v/>
      </c>
      <c r="J1293" s="1" t="s">
        <v>35</v>
      </c>
      <c r="K1293" s="1" t="str">
        <f t="shared" si="61"/>
        <v/>
      </c>
      <c r="L1293" s="1" t="str">
        <f t="shared" si="62"/>
        <v/>
      </c>
      <c r="M1293" s="1">
        <f>IF(OR(Table1[[#This Row],[Std Nom]]="",Table1[[#This Row],[Std Read]]=""),0,Table1[[#This Row],[Std Nom]]-Table1[[#This Row],[Std Read]])</f>
        <v>0</v>
      </c>
      <c r="N1293" s="1">
        <f>IF(Calculations!$F$5="ACCREDITED 17025 WITH UNCERTAINTIES",$N$10,0)</f>
        <v>0</v>
      </c>
      <c r="Q1293" s="1">
        <f>Table1[[#This Row],[High Tol]]-Table1[[#This Row],[Low Tol]]</f>
        <v>0</v>
      </c>
      <c r="R1293" s="1">
        <f>2*Table1[[#This Row],[Std Error]]</f>
        <v>0</v>
      </c>
      <c r="S1293" s="1" t="str">
        <f>IF(Table1[[#This Row],[High Tol]]="","N/A",IFERROR(ABS(Table1[[#This Row],[Tol Span]]/Table1[[#This Row],[Error Span]]),"N/A"))</f>
        <v>N/A</v>
      </c>
      <c r="T1293" s="1" t="str">
        <f>IF(OR(Table1[[#This Row],[Low Tol]]="",Table1[[#This Row],[High Tol]]=""),"Needs Analysis",IF(Table1[[#This Row],[Ratio]]&gt;=4,"Not Significant",IF(Table1[[#This Row],[Ratio]]&gt;=2,"Semi-Significant","Significant")))</f>
        <v>Needs Analysis</v>
      </c>
      <c r="W1293" s="1">
        <f>IF(Table1[[#This Row],[Cal Type]]&lt;&gt;"ACCREDITED 17025 WITH UNCERTAINTIES",0,"")</f>
        <v>0</v>
      </c>
      <c r="X1293" s="1" t="str">
        <f>IF(Table1[[#This Row],[DUT Read]]="","N/A",Table1[[#This Row],[Std Error]]+Table1[[#This Row],[DUT Read]]+Table1[[#This Row],[DUT Ucty]])</f>
        <v>N/A</v>
      </c>
      <c r="Y1293" s="1" t="str">
        <f>IF(Table1[[#This Row],[Std Read]]="","N/A",Table1[[#This Row],[Std Read]]+Table1[[#This Row],[Std Ucty]])</f>
        <v>N/A</v>
      </c>
      <c r="Z12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3" s="1" t="str">
        <f>IF(Table1[[#This Row],[Spec Type]]="","N/A",Table1[[#This Row],[Spec Type]])</f>
        <v>±</v>
      </c>
      <c r="AC1293" s="1" t="str">
        <f>IF(Table1[[#This Row],[Spec Type2]]="N/A","N/A",IF(AND(Table1[[#This Row],[DUT Adj Read]]&gt;=Table1[[#This Row],[Low Tol]],Table1[[#This Row],[DUT Adj Read]]&lt;=Table1[[#This Row],[High Tol]]),"Pass","Fail"))</f>
        <v>Fail</v>
      </c>
      <c r="AD1293" s="1" t="str">
        <f>IF(AND(Table1[[#This Row],[Spec Type2]]="N/A",Table1[[#This Row],[DUT Adj Read]]="N/A",Table1[[#This Row],[Std Adj Read]]="N/A"),"N/A",IF(Table1[[#This Row],[DUT Adj Read]]="N/A",IF(Table1[[#This Row],[Std Adj Read]]&gt;Table1[[#This Row],[Low Tol]],"Pass","Fail"),IF(Table1[[#This Row],[DUT Adj Read]]&gt;Table1[[#This Row],[Low Tol]],"Pass","Fail")))</f>
        <v>Pass</v>
      </c>
      <c r="AE1293" s="1" t="str">
        <f>IF(AND(Table1[[#This Row],[Spec Type2]]="N/A",Table1[[#This Row],[DUT Adj Read]]="N/A",Table1[[#This Row],[Std Adj Read]]="N/A"),"N/A",IF(Table1[[#This Row],[DUT Adj Read]]="N/A",IF(Table1[[#This Row],[Std Adj Read]]&lt;Table1[[#This Row],[High Tol]],"Pass","Fail"),IF(Table1[[#This Row],[DUT Adj Read]]&lt;Table1[[#This Row],[High Tol]],"Pass","Fail")))</f>
        <v>Fail</v>
      </c>
      <c r="AF1293" s="1" t="str">
        <f>IF(AND(Table1[[#This Row],[Spec Type2]]="N/A",Table1[[#This Row],[DUT Adj Read]]="N/A",Table1[[#This Row],[Std Adj Read]]="N/A"),"N/A",IF(Table1[[#This Row],[DUT Adj Read]]="N/A",IF(Table1[[#This Row],[Std Adj Read]]&gt;=Table1[[#This Row],[Low Tol]],"Pass","Fail"),IF(Table1[[#This Row],[DUT Adj Read]]&gt;=Table1[[#This Row],[Low Tol]],"Pass","Fail")))</f>
        <v>Pass</v>
      </c>
      <c r="AG1293" s="1" t="str">
        <f>IF(AND(Table1[[#This Row],[Spec Type2]]="N/A",Table1[[#This Row],[DUT Adj Read]]="N/A",Table1[[#This Row],[Std Adj Read]]="N/A"),"N/A",IF(Table1[[#This Row],[DUT Adj Read]]="N/A",IF(Table1[[#This Row],[Std Adj Read]]&lt;=Table1[[#This Row],[High Tol]],"Pass","Fail"),IF(Table1[[#This Row],[DUT Adj Read]]&lt;=Table1[[#This Row],[High Tol]],"Pass","Fail")))</f>
        <v>Fail</v>
      </c>
      <c r="AH12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3" s="1" t="b">
        <v>0</v>
      </c>
      <c r="AN1293" s="1" t="b">
        <v>0</v>
      </c>
      <c r="AO1293" s="1" t="b">
        <v>0</v>
      </c>
    </row>
    <row r="1294" spans="1:41" x14ac:dyDescent="0.25">
      <c r="A1294" s="10"/>
      <c r="B1294" s="10"/>
      <c r="C1294" s="10"/>
      <c r="D1294" s="10"/>
      <c r="E1294" s="10"/>
      <c r="F1294" s="10"/>
      <c r="G1294" s="10"/>
      <c r="H1294" s="10"/>
      <c r="I1294" s="1" t="str">
        <f t="shared" si="60"/>
        <v/>
      </c>
      <c r="J1294" s="1" t="s">
        <v>35</v>
      </c>
      <c r="K1294" s="1" t="str">
        <f t="shared" si="61"/>
        <v/>
      </c>
      <c r="L1294" s="1" t="str">
        <f t="shared" si="62"/>
        <v/>
      </c>
      <c r="M1294" s="1">
        <f>IF(OR(Table1[[#This Row],[Std Nom]]="",Table1[[#This Row],[Std Read]]=""),0,Table1[[#This Row],[Std Nom]]-Table1[[#This Row],[Std Read]])</f>
        <v>0</v>
      </c>
      <c r="N1294" s="1">
        <f>IF(Calculations!$F$5="ACCREDITED 17025 WITH UNCERTAINTIES",$N$10,0)</f>
        <v>0</v>
      </c>
      <c r="Q1294" s="1">
        <f>Table1[[#This Row],[High Tol]]-Table1[[#This Row],[Low Tol]]</f>
        <v>0</v>
      </c>
      <c r="R1294" s="1">
        <f>2*Table1[[#This Row],[Std Error]]</f>
        <v>0</v>
      </c>
      <c r="S1294" s="1" t="str">
        <f>IF(Table1[[#This Row],[High Tol]]="","N/A",IFERROR(ABS(Table1[[#This Row],[Tol Span]]/Table1[[#This Row],[Error Span]]),"N/A"))</f>
        <v>N/A</v>
      </c>
      <c r="T1294" s="1" t="str">
        <f>IF(OR(Table1[[#This Row],[Low Tol]]="",Table1[[#This Row],[High Tol]]=""),"Needs Analysis",IF(Table1[[#This Row],[Ratio]]&gt;=4,"Not Significant",IF(Table1[[#This Row],[Ratio]]&gt;=2,"Semi-Significant","Significant")))</f>
        <v>Needs Analysis</v>
      </c>
      <c r="W1294" s="1">
        <f>IF(Table1[[#This Row],[Cal Type]]&lt;&gt;"ACCREDITED 17025 WITH UNCERTAINTIES",0,"")</f>
        <v>0</v>
      </c>
      <c r="X1294" s="1" t="str">
        <f>IF(Table1[[#This Row],[DUT Read]]="","N/A",Table1[[#This Row],[Std Error]]+Table1[[#This Row],[DUT Read]]+Table1[[#This Row],[DUT Ucty]])</f>
        <v>N/A</v>
      </c>
      <c r="Y1294" s="1" t="str">
        <f>IF(Table1[[#This Row],[Std Read]]="","N/A",Table1[[#This Row],[Std Read]]+Table1[[#This Row],[Std Ucty]])</f>
        <v>N/A</v>
      </c>
      <c r="Z12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4" s="1" t="str">
        <f>IF(Table1[[#This Row],[Spec Type]]="","N/A",Table1[[#This Row],[Spec Type]])</f>
        <v>±</v>
      </c>
      <c r="AC1294" s="1" t="str">
        <f>IF(Table1[[#This Row],[Spec Type2]]="N/A","N/A",IF(AND(Table1[[#This Row],[DUT Adj Read]]&gt;=Table1[[#This Row],[Low Tol]],Table1[[#This Row],[DUT Adj Read]]&lt;=Table1[[#This Row],[High Tol]]),"Pass","Fail"))</f>
        <v>Fail</v>
      </c>
      <c r="AD1294" s="1" t="str">
        <f>IF(AND(Table1[[#This Row],[Spec Type2]]="N/A",Table1[[#This Row],[DUT Adj Read]]="N/A",Table1[[#This Row],[Std Adj Read]]="N/A"),"N/A",IF(Table1[[#This Row],[DUT Adj Read]]="N/A",IF(Table1[[#This Row],[Std Adj Read]]&gt;Table1[[#This Row],[Low Tol]],"Pass","Fail"),IF(Table1[[#This Row],[DUT Adj Read]]&gt;Table1[[#This Row],[Low Tol]],"Pass","Fail")))</f>
        <v>Pass</v>
      </c>
      <c r="AE1294" s="1" t="str">
        <f>IF(AND(Table1[[#This Row],[Spec Type2]]="N/A",Table1[[#This Row],[DUT Adj Read]]="N/A",Table1[[#This Row],[Std Adj Read]]="N/A"),"N/A",IF(Table1[[#This Row],[DUT Adj Read]]="N/A",IF(Table1[[#This Row],[Std Adj Read]]&lt;Table1[[#This Row],[High Tol]],"Pass","Fail"),IF(Table1[[#This Row],[DUT Adj Read]]&lt;Table1[[#This Row],[High Tol]],"Pass","Fail")))</f>
        <v>Fail</v>
      </c>
      <c r="AF1294" s="1" t="str">
        <f>IF(AND(Table1[[#This Row],[Spec Type2]]="N/A",Table1[[#This Row],[DUT Adj Read]]="N/A",Table1[[#This Row],[Std Adj Read]]="N/A"),"N/A",IF(Table1[[#This Row],[DUT Adj Read]]="N/A",IF(Table1[[#This Row],[Std Adj Read]]&gt;=Table1[[#This Row],[Low Tol]],"Pass","Fail"),IF(Table1[[#This Row],[DUT Adj Read]]&gt;=Table1[[#This Row],[Low Tol]],"Pass","Fail")))</f>
        <v>Pass</v>
      </c>
      <c r="AG1294" s="1" t="str">
        <f>IF(AND(Table1[[#This Row],[Spec Type2]]="N/A",Table1[[#This Row],[DUT Adj Read]]="N/A",Table1[[#This Row],[Std Adj Read]]="N/A"),"N/A",IF(Table1[[#This Row],[DUT Adj Read]]="N/A",IF(Table1[[#This Row],[Std Adj Read]]&lt;=Table1[[#This Row],[High Tol]],"Pass","Fail"),IF(Table1[[#This Row],[DUT Adj Read]]&lt;=Table1[[#This Row],[High Tol]],"Pass","Fail")))</f>
        <v>Fail</v>
      </c>
      <c r="AH12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4" s="1" t="b">
        <v>0</v>
      </c>
      <c r="AN1294" s="1" t="b">
        <v>0</v>
      </c>
      <c r="AO1294" s="1" t="b">
        <v>0</v>
      </c>
    </row>
    <row r="1295" spans="1:41" x14ac:dyDescent="0.25">
      <c r="A1295" s="10"/>
      <c r="B1295" s="10"/>
      <c r="C1295" s="10"/>
      <c r="D1295" s="10"/>
      <c r="E1295" s="10"/>
      <c r="F1295" s="10"/>
      <c r="G1295" s="10"/>
      <c r="H1295" s="10"/>
      <c r="I1295" s="1" t="str">
        <f t="shared" si="60"/>
        <v/>
      </c>
      <c r="J1295" s="1" t="s">
        <v>35</v>
      </c>
      <c r="K1295" s="1" t="str">
        <f t="shared" si="61"/>
        <v/>
      </c>
      <c r="L1295" s="1" t="str">
        <f t="shared" si="62"/>
        <v/>
      </c>
      <c r="M1295" s="1">
        <f>IF(OR(Table1[[#This Row],[Std Nom]]="",Table1[[#This Row],[Std Read]]=""),0,Table1[[#This Row],[Std Nom]]-Table1[[#This Row],[Std Read]])</f>
        <v>0</v>
      </c>
      <c r="N1295" s="1">
        <f>IF(Calculations!$F$5="ACCREDITED 17025 WITH UNCERTAINTIES",$N$10,0)</f>
        <v>0</v>
      </c>
      <c r="Q1295" s="1">
        <f>Table1[[#This Row],[High Tol]]-Table1[[#This Row],[Low Tol]]</f>
        <v>0</v>
      </c>
      <c r="R1295" s="1">
        <f>2*Table1[[#This Row],[Std Error]]</f>
        <v>0</v>
      </c>
      <c r="S1295" s="1" t="str">
        <f>IF(Table1[[#This Row],[High Tol]]="","N/A",IFERROR(ABS(Table1[[#This Row],[Tol Span]]/Table1[[#This Row],[Error Span]]),"N/A"))</f>
        <v>N/A</v>
      </c>
      <c r="T1295" s="1" t="str">
        <f>IF(OR(Table1[[#This Row],[Low Tol]]="",Table1[[#This Row],[High Tol]]=""),"Needs Analysis",IF(Table1[[#This Row],[Ratio]]&gt;=4,"Not Significant",IF(Table1[[#This Row],[Ratio]]&gt;=2,"Semi-Significant","Significant")))</f>
        <v>Needs Analysis</v>
      </c>
      <c r="W1295" s="1">
        <f>IF(Table1[[#This Row],[Cal Type]]&lt;&gt;"ACCREDITED 17025 WITH UNCERTAINTIES",0,"")</f>
        <v>0</v>
      </c>
      <c r="X1295" s="1" t="str">
        <f>IF(Table1[[#This Row],[DUT Read]]="","N/A",Table1[[#This Row],[Std Error]]+Table1[[#This Row],[DUT Read]]+Table1[[#This Row],[DUT Ucty]])</f>
        <v>N/A</v>
      </c>
      <c r="Y1295" s="1" t="str">
        <f>IF(Table1[[#This Row],[Std Read]]="","N/A",Table1[[#This Row],[Std Read]]+Table1[[#This Row],[Std Ucty]])</f>
        <v>N/A</v>
      </c>
      <c r="Z12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5" s="1" t="str">
        <f>IF(Table1[[#This Row],[Spec Type]]="","N/A",Table1[[#This Row],[Spec Type]])</f>
        <v>±</v>
      </c>
      <c r="AC1295" s="1" t="str">
        <f>IF(Table1[[#This Row],[Spec Type2]]="N/A","N/A",IF(AND(Table1[[#This Row],[DUT Adj Read]]&gt;=Table1[[#This Row],[Low Tol]],Table1[[#This Row],[DUT Adj Read]]&lt;=Table1[[#This Row],[High Tol]]),"Pass","Fail"))</f>
        <v>Fail</v>
      </c>
      <c r="AD1295" s="1" t="str">
        <f>IF(AND(Table1[[#This Row],[Spec Type2]]="N/A",Table1[[#This Row],[DUT Adj Read]]="N/A",Table1[[#This Row],[Std Adj Read]]="N/A"),"N/A",IF(Table1[[#This Row],[DUT Adj Read]]="N/A",IF(Table1[[#This Row],[Std Adj Read]]&gt;Table1[[#This Row],[Low Tol]],"Pass","Fail"),IF(Table1[[#This Row],[DUT Adj Read]]&gt;Table1[[#This Row],[Low Tol]],"Pass","Fail")))</f>
        <v>Pass</v>
      </c>
      <c r="AE1295" s="1" t="str">
        <f>IF(AND(Table1[[#This Row],[Spec Type2]]="N/A",Table1[[#This Row],[DUT Adj Read]]="N/A",Table1[[#This Row],[Std Adj Read]]="N/A"),"N/A",IF(Table1[[#This Row],[DUT Adj Read]]="N/A",IF(Table1[[#This Row],[Std Adj Read]]&lt;Table1[[#This Row],[High Tol]],"Pass","Fail"),IF(Table1[[#This Row],[DUT Adj Read]]&lt;Table1[[#This Row],[High Tol]],"Pass","Fail")))</f>
        <v>Fail</v>
      </c>
      <c r="AF1295" s="1" t="str">
        <f>IF(AND(Table1[[#This Row],[Spec Type2]]="N/A",Table1[[#This Row],[DUT Adj Read]]="N/A",Table1[[#This Row],[Std Adj Read]]="N/A"),"N/A",IF(Table1[[#This Row],[DUT Adj Read]]="N/A",IF(Table1[[#This Row],[Std Adj Read]]&gt;=Table1[[#This Row],[Low Tol]],"Pass","Fail"),IF(Table1[[#This Row],[DUT Adj Read]]&gt;=Table1[[#This Row],[Low Tol]],"Pass","Fail")))</f>
        <v>Pass</v>
      </c>
      <c r="AG1295" s="1" t="str">
        <f>IF(AND(Table1[[#This Row],[Spec Type2]]="N/A",Table1[[#This Row],[DUT Adj Read]]="N/A",Table1[[#This Row],[Std Adj Read]]="N/A"),"N/A",IF(Table1[[#This Row],[DUT Adj Read]]="N/A",IF(Table1[[#This Row],[Std Adj Read]]&lt;=Table1[[#This Row],[High Tol]],"Pass","Fail"),IF(Table1[[#This Row],[DUT Adj Read]]&lt;=Table1[[#This Row],[High Tol]],"Pass","Fail")))</f>
        <v>Fail</v>
      </c>
      <c r="AH12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5" s="1" t="b">
        <v>0</v>
      </c>
      <c r="AN1295" s="1" t="b">
        <v>0</v>
      </c>
      <c r="AO1295" s="1" t="b">
        <v>0</v>
      </c>
    </row>
    <row r="1296" spans="1:41" x14ac:dyDescent="0.25">
      <c r="A1296" s="10"/>
      <c r="B1296" s="10"/>
      <c r="C1296" s="10"/>
      <c r="D1296" s="10"/>
      <c r="E1296" s="10"/>
      <c r="F1296" s="10"/>
      <c r="G1296" s="10"/>
      <c r="H1296" s="10"/>
      <c r="I1296" s="1" t="str">
        <f t="shared" si="60"/>
        <v/>
      </c>
      <c r="J1296" s="1" t="s">
        <v>35</v>
      </c>
      <c r="K1296" s="1" t="str">
        <f t="shared" si="61"/>
        <v/>
      </c>
      <c r="L1296" s="1" t="str">
        <f t="shared" si="62"/>
        <v/>
      </c>
      <c r="M1296" s="1">
        <f>IF(OR(Table1[[#This Row],[Std Nom]]="",Table1[[#This Row],[Std Read]]=""),0,Table1[[#This Row],[Std Nom]]-Table1[[#This Row],[Std Read]])</f>
        <v>0</v>
      </c>
      <c r="N1296" s="1">
        <f>IF(Calculations!$F$5="ACCREDITED 17025 WITH UNCERTAINTIES",$N$10,0)</f>
        <v>0</v>
      </c>
      <c r="Q1296" s="1">
        <f>Table1[[#This Row],[High Tol]]-Table1[[#This Row],[Low Tol]]</f>
        <v>0</v>
      </c>
      <c r="R1296" s="1">
        <f>2*Table1[[#This Row],[Std Error]]</f>
        <v>0</v>
      </c>
      <c r="S1296" s="1" t="str">
        <f>IF(Table1[[#This Row],[High Tol]]="","N/A",IFERROR(ABS(Table1[[#This Row],[Tol Span]]/Table1[[#This Row],[Error Span]]),"N/A"))</f>
        <v>N/A</v>
      </c>
      <c r="T1296" s="1" t="str">
        <f>IF(OR(Table1[[#This Row],[Low Tol]]="",Table1[[#This Row],[High Tol]]=""),"Needs Analysis",IF(Table1[[#This Row],[Ratio]]&gt;=4,"Not Significant",IF(Table1[[#This Row],[Ratio]]&gt;=2,"Semi-Significant","Significant")))</f>
        <v>Needs Analysis</v>
      </c>
      <c r="W1296" s="1">
        <f>IF(Table1[[#This Row],[Cal Type]]&lt;&gt;"ACCREDITED 17025 WITH UNCERTAINTIES",0,"")</f>
        <v>0</v>
      </c>
      <c r="X1296" s="1" t="str">
        <f>IF(Table1[[#This Row],[DUT Read]]="","N/A",Table1[[#This Row],[Std Error]]+Table1[[#This Row],[DUT Read]]+Table1[[#This Row],[DUT Ucty]])</f>
        <v>N/A</v>
      </c>
      <c r="Y1296" s="1" t="str">
        <f>IF(Table1[[#This Row],[Std Read]]="","N/A",Table1[[#This Row],[Std Read]]+Table1[[#This Row],[Std Ucty]])</f>
        <v>N/A</v>
      </c>
      <c r="Z12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6" s="1" t="str">
        <f>IF(Table1[[#This Row],[Spec Type]]="","N/A",Table1[[#This Row],[Spec Type]])</f>
        <v>±</v>
      </c>
      <c r="AC1296" s="1" t="str">
        <f>IF(Table1[[#This Row],[Spec Type2]]="N/A","N/A",IF(AND(Table1[[#This Row],[DUT Adj Read]]&gt;=Table1[[#This Row],[Low Tol]],Table1[[#This Row],[DUT Adj Read]]&lt;=Table1[[#This Row],[High Tol]]),"Pass","Fail"))</f>
        <v>Fail</v>
      </c>
      <c r="AD1296" s="1" t="str">
        <f>IF(AND(Table1[[#This Row],[Spec Type2]]="N/A",Table1[[#This Row],[DUT Adj Read]]="N/A",Table1[[#This Row],[Std Adj Read]]="N/A"),"N/A",IF(Table1[[#This Row],[DUT Adj Read]]="N/A",IF(Table1[[#This Row],[Std Adj Read]]&gt;Table1[[#This Row],[Low Tol]],"Pass","Fail"),IF(Table1[[#This Row],[DUT Adj Read]]&gt;Table1[[#This Row],[Low Tol]],"Pass","Fail")))</f>
        <v>Pass</v>
      </c>
      <c r="AE1296" s="1" t="str">
        <f>IF(AND(Table1[[#This Row],[Spec Type2]]="N/A",Table1[[#This Row],[DUT Adj Read]]="N/A",Table1[[#This Row],[Std Adj Read]]="N/A"),"N/A",IF(Table1[[#This Row],[DUT Adj Read]]="N/A",IF(Table1[[#This Row],[Std Adj Read]]&lt;Table1[[#This Row],[High Tol]],"Pass","Fail"),IF(Table1[[#This Row],[DUT Adj Read]]&lt;Table1[[#This Row],[High Tol]],"Pass","Fail")))</f>
        <v>Fail</v>
      </c>
      <c r="AF1296" s="1" t="str">
        <f>IF(AND(Table1[[#This Row],[Spec Type2]]="N/A",Table1[[#This Row],[DUT Adj Read]]="N/A",Table1[[#This Row],[Std Adj Read]]="N/A"),"N/A",IF(Table1[[#This Row],[DUT Adj Read]]="N/A",IF(Table1[[#This Row],[Std Adj Read]]&gt;=Table1[[#This Row],[Low Tol]],"Pass","Fail"),IF(Table1[[#This Row],[DUT Adj Read]]&gt;=Table1[[#This Row],[Low Tol]],"Pass","Fail")))</f>
        <v>Pass</v>
      </c>
      <c r="AG1296" s="1" t="str">
        <f>IF(AND(Table1[[#This Row],[Spec Type2]]="N/A",Table1[[#This Row],[DUT Adj Read]]="N/A",Table1[[#This Row],[Std Adj Read]]="N/A"),"N/A",IF(Table1[[#This Row],[DUT Adj Read]]="N/A",IF(Table1[[#This Row],[Std Adj Read]]&lt;=Table1[[#This Row],[High Tol]],"Pass","Fail"),IF(Table1[[#This Row],[DUT Adj Read]]&lt;=Table1[[#This Row],[High Tol]],"Pass","Fail")))</f>
        <v>Fail</v>
      </c>
      <c r="AH12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6" s="1" t="b">
        <v>0</v>
      </c>
      <c r="AN1296" s="1" t="b">
        <v>0</v>
      </c>
      <c r="AO1296" s="1" t="b">
        <v>0</v>
      </c>
    </row>
    <row r="1297" spans="1:41" x14ac:dyDescent="0.25">
      <c r="A1297" s="10"/>
      <c r="B1297" s="10"/>
      <c r="C1297" s="10"/>
      <c r="D1297" s="10"/>
      <c r="E1297" s="10"/>
      <c r="F1297" s="10"/>
      <c r="G1297" s="10"/>
      <c r="H1297" s="10"/>
      <c r="I1297" s="1" t="str">
        <f t="shared" si="60"/>
        <v/>
      </c>
      <c r="J1297" s="1" t="s">
        <v>35</v>
      </c>
      <c r="K1297" s="1" t="str">
        <f t="shared" si="61"/>
        <v/>
      </c>
      <c r="L1297" s="1" t="str">
        <f t="shared" si="62"/>
        <v/>
      </c>
      <c r="M1297" s="1">
        <f>IF(OR(Table1[[#This Row],[Std Nom]]="",Table1[[#This Row],[Std Read]]=""),0,Table1[[#This Row],[Std Nom]]-Table1[[#This Row],[Std Read]])</f>
        <v>0</v>
      </c>
      <c r="N1297" s="1">
        <f>IF(Calculations!$F$5="ACCREDITED 17025 WITH UNCERTAINTIES",$N$10,0)</f>
        <v>0</v>
      </c>
      <c r="Q1297" s="1">
        <f>Table1[[#This Row],[High Tol]]-Table1[[#This Row],[Low Tol]]</f>
        <v>0</v>
      </c>
      <c r="R1297" s="1">
        <f>2*Table1[[#This Row],[Std Error]]</f>
        <v>0</v>
      </c>
      <c r="S1297" s="1" t="str">
        <f>IF(Table1[[#This Row],[High Tol]]="","N/A",IFERROR(ABS(Table1[[#This Row],[Tol Span]]/Table1[[#This Row],[Error Span]]),"N/A"))</f>
        <v>N/A</v>
      </c>
      <c r="T1297" s="1" t="str">
        <f>IF(OR(Table1[[#This Row],[Low Tol]]="",Table1[[#This Row],[High Tol]]=""),"Needs Analysis",IF(Table1[[#This Row],[Ratio]]&gt;=4,"Not Significant",IF(Table1[[#This Row],[Ratio]]&gt;=2,"Semi-Significant","Significant")))</f>
        <v>Needs Analysis</v>
      </c>
      <c r="W1297" s="1">
        <f>IF(Table1[[#This Row],[Cal Type]]&lt;&gt;"ACCREDITED 17025 WITH UNCERTAINTIES",0,"")</f>
        <v>0</v>
      </c>
      <c r="X1297" s="1" t="str">
        <f>IF(Table1[[#This Row],[DUT Read]]="","N/A",Table1[[#This Row],[Std Error]]+Table1[[#This Row],[DUT Read]]+Table1[[#This Row],[DUT Ucty]])</f>
        <v>N/A</v>
      </c>
      <c r="Y1297" s="1" t="str">
        <f>IF(Table1[[#This Row],[Std Read]]="","N/A",Table1[[#This Row],[Std Read]]+Table1[[#This Row],[Std Ucty]])</f>
        <v>N/A</v>
      </c>
      <c r="Z12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7" s="1" t="str">
        <f>IF(Table1[[#This Row],[Spec Type]]="","N/A",Table1[[#This Row],[Spec Type]])</f>
        <v>±</v>
      </c>
      <c r="AC1297" s="1" t="str">
        <f>IF(Table1[[#This Row],[Spec Type2]]="N/A","N/A",IF(AND(Table1[[#This Row],[DUT Adj Read]]&gt;=Table1[[#This Row],[Low Tol]],Table1[[#This Row],[DUT Adj Read]]&lt;=Table1[[#This Row],[High Tol]]),"Pass","Fail"))</f>
        <v>Fail</v>
      </c>
      <c r="AD1297" s="1" t="str">
        <f>IF(AND(Table1[[#This Row],[Spec Type2]]="N/A",Table1[[#This Row],[DUT Adj Read]]="N/A",Table1[[#This Row],[Std Adj Read]]="N/A"),"N/A",IF(Table1[[#This Row],[DUT Adj Read]]="N/A",IF(Table1[[#This Row],[Std Adj Read]]&gt;Table1[[#This Row],[Low Tol]],"Pass","Fail"),IF(Table1[[#This Row],[DUT Adj Read]]&gt;Table1[[#This Row],[Low Tol]],"Pass","Fail")))</f>
        <v>Pass</v>
      </c>
      <c r="AE1297" s="1" t="str">
        <f>IF(AND(Table1[[#This Row],[Spec Type2]]="N/A",Table1[[#This Row],[DUT Adj Read]]="N/A",Table1[[#This Row],[Std Adj Read]]="N/A"),"N/A",IF(Table1[[#This Row],[DUT Adj Read]]="N/A",IF(Table1[[#This Row],[Std Adj Read]]&lt;Table1[[#This Row],[High Tol]],"Pass","Fail"),IF(Table1[[#This Row],[DUT Adj Read]]&lt;Table1[[#This Row],[High Tol]],"Pass","Fail")))</f>
        <v>Fail</v>
      </c>
      <c r="AF1297" s="1" t="str">
        <f>IF(AND(Table1[[#This Row],[Spec Type2]]="N/A",Table1[[#This Row],[DUT Adj Read]]="N/A",Table1[[#This Row],[Std Adj Read]]="N/A"),"N/A",IF(Table1[[#This Row],[DUT Adj Read]]="N/A",IF(Table1[[#This Row],[Std Adj Read]]&gt;=Table1[[#This Row],[Low Tol]],"Pass","Fail"),IF(Table1[[#This Row],[DUT Adj Read]]&gt;=Table1[[#This Row],[Low Tol]],"Pass","Fail")))</f>
        <v>Pass</v>
      </c>
      <c r="AG1297" s="1" t="str">
        <f>IF(AND(Table1[[#This Row],[Spec Type2]]="N/A",Table1[[#This Row],[DUT Adj Read]]="N/A",Table1[[#This Row],[Std Adj Read]]="N/A"),"N/A",IF(Table1[[#This Row],[DUT Adj Read]]="N/A",IF(Table1[[#This Row],[Std Adj Read]]&lt;=Table1[[#This Row],[High Tol]],"Pass","Fail"),IF(Table1[[#This Row],[DUT Adj Read]]&lt;=Table1[[#This Row],[High Tol]],"Pass","Fail")))</f>
        <v>Fail</v>
      </c>
      <c r="AH12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7" s="1" t="b">
        <v>0</v>
      </c>
      <c r="AN1297" s="1" t="b">
        <v>0</v>
      </c>
      <c r="AO1297" s="1" t="b">
        <v>0</v>
      </c>
    </row>
    <row r="1298" spans="1:41" x14ac:dyDescent="0.25">
      <c r="A1298" s="10"/>
      <c r="B1298" s="10"/>
      <c r="C1298" s="10"/>
      <c r="D1298" s="10"/>
      <c r="E1298" s="10"/>
      <c r="F1298" s="10"/>
      <c r="G1298" s="10"/>
      <c r="H1298" s="10"/>
      <c r="I1298" s="1" t="str">
        <f t="shared" si="60"/>
        <v/>
      </c>
      <c r="J1298" s="1" t="s">
        <v>35</v>
      </c>
      <c r="K1298" s="1" t="str">
        <f t="shared" si="61"/>
        <v/>
      </c>
      <c r="L1298" s="1" t="str">
        <f t="shared" si="62"/>
        <v/>
      </c>
      <c r="M1298" s="1">
        <f>IF(OR(Table1[[#This Row],[Std Nom]]="",Table1[[#This Row],[Std Read]]=""),0,Table1[[#This Row],[Std Nom]]-Table1[[#This Row],[Std Read]])</f>
        <v>0</v>
      </c>
      <c r="N1298" s="1">
        <f>IF(Calculations!$F$5="ACCREDITED 17025 WITH UNCERTAINTIES",$N$10,0)</f>
        <v>0</v>
      </c>
      <c r="Q1298" s="1">
        <f>Table1[[#This Row],[High Tol]]-Table1[[#This Row],[Low Tol]]</f>
        <v>0</v>
      </c>
      <c r="R1298" s="1">
        <f>2*Table1[[#This Row],[Std Error]]</f>
        <v>0</v>
      </c>
      <c r="S1298" s="1" t="str">
        <f>IF(Table1[[#This Row],[High Tol]]="","N/A",IFERROR(ABS(Table1[[#This Row],[Tol Span]]/Table1[[#This Row],[Error Span]]),"N/A"))</f>
        <v>N/A</v>
      </c>
      <c r="T1298" s="1" t="str">
        <f>IF(OR(Table1[[#This Row],[Low Tol]]="",Table1[[#This Row],[High Tol]]=""),"Needs Analysis",IF(Table1[[#This Row],[Ratio]]&gt;=4,"Not Significant",IF(Table1[[#This Row],[Ratio]]&gt;=2,"Semi-Significant","Significant")))</f>
        <v>Needs Analysis</v>
      </c>
      <c r="W1298" s="1">
        <f>IF(Table1[[#This Row],[Cal Type]]&lt;&gt;"ACCREDITED 17025 WITH UNCERTAINTIES",0,"")</f>
        <v>0</v>
      </c>
      <c r="X1298" s="1" t="str">
        <f>IF(Table1[[#This Row],[DUT Read]]="","N/A",Table1[[#This Row],[Std Error]]+Table1[[#This Row],[DUT Read]]+Table1[[#This Row],[DUT Ucty]])</f>
        <v>N/A</v>
      </c>
      <c r="Y1298" s="1" t="str">
        <f>IF(Table1[[#This Row],[Std Read]]="","N/A",Table1[[#This Row],[Std Read]]+Table1[[#This Row],[Std Ucty]])</f>
        <v>N/A</v>
      </c>
      <c r="Z12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8" s="1" t="str">
        <f>IF(Table1[[#This Row],[Spec Type]]="","N/A",Table1[[#This Row],[Spec Type]])</f>
        <v>±</v>
      </c>
      <c r="AC1298" s="1" t="str">
        <f>IF(Table1[[#This Row],[Spec Type2]]="N/A","N/A",IF(AND(Table1[[#This Row],[DUT Adj Read]]&gt;=Table1[[#This Row],[Low Tol]],Table1[[#This Row],[DUT Adj Read]]&lt;=Table1[[#This Row],[High Tol]]),"Pass","Fail"))</f>
        <v>Fail</v>
      </c>
      <c r="AD1298" s="1" t="str">
        <f>IF(AND(Table1[[#This Row],[Spec Type2]]="N/A",Table1[[#This Row],[DUT Adj Read]]="N/A",Table1[[#This Row],[Std Adj Read]]="N/A"),"N/A",IF(Table1[[#This Row],[DUT Adj Read]]="N/A",IF(Table1[[#This Row],[Std Adj Read]]&gt;Table1[[#This Row],[Low Tol]],"Pass","Fail"),IF(Table1[[#This Row],[DUT Adj Read]]&gt;Table1[[#This Row],[Low Tol]],"Pass","Fail")))</f>
        <v>Pass</v>
      </c>
      <c r="AE1298" s="1" t="str">
        <f>IF(AND(Table1[[#This Row],[Spec Type2]]="N/A",Table1[[#This Row],[DUT Adj Read]]="N/A",Table1[[#This Row],[Std Adj Read]]="N/A"),"N/A",IF(Table1[[#This Row],[DUT Adj Read]]="N/A",IF(Table1[[#This Row],[Std Adj Read]]&lt;Table1[[#This Row],[High Tol]],"Pass","Fail"),IF(Table1[[#This Row],[DUT Adj Read]]&lt;Table1[[#This Row],[High Tol]],"Pass","Fail")))</f>
        <v>Fail</v>
      </c>
      <c r="AF1298" s="1" t="str">
        <f>IF(AND(Table1[[#This Row],[Spec Type2]]="N/A",Table1[[#This Row],[DUT Adj Read]]="N/A",Table1[[#This Row],[Std Adj Read]]="N/A"),"N/A",IF(Table1[[#This Row],[DUT Adj Read]]="N/A",IF(Table1[[#This Row],[Std Adj Read]]&gt;=Table1[[#This Row],[Low Tol]],"Pass","Fail"),IF(Table1[[#This Row],[DUT Adj Read]]&gt;=Table1[[#This Row],[Low Tol]],"Pass","Fail")))</f>
        <v>Pass</v>
      </c>
      <c r="AG1298" s="1" t="str">
        <f>IF(AND(Table1[[#This Row],[Spec Type2]]="N/A",Table1[[#This Row],[DUT Adj Read]]="N/A",Table1[[#This Row],[Std Adj Read]]="N/A"),"N/A",IF(Table1[[#This Row],[DUT Adj Read]]="N/A",IF(Table1[[#This Row],[Std Adj Read]]&lt;=Table1[[#This Row],[High Tol]],"Pass","Fail"),IF(Table1[[#This Row],[DUT Adj Read]]&lt;=Table1[[#This Row],[High Tol]],"Pass","Fail")))</f>
        <v>Fail</v>
      </c>
      <c r="AH12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8" s="1" t="b">
        <v>0</v>
      </c>
      <c r="AN1298" s="1" t="b">
        <v>0</v>
      </c>
      <c r="AO1298" s="1" t="b">
        <v>0</v>
      </c>
    </row>
    <row r="1299" spans="1:41" x14ac:dyDescent="0.25">
      <c r="A1299" s="10"/>
      <c r="B1299" s="10"/>
      <c r="C1299" s="10"/>
      <c r="D1299" s="10"/>
      <c r="E1299" s="10"/>
      <c r="F1299" s="10"/>
      <c r="G1299" s="10"/>
      <c r="H1299" s="10"/>
      <c r="I1299" s="1" t="str">
        <f t="shared" si="60"/>
        <v/>
      </c>
      <c r="J1299" s="1" t="s">
        <v>35</v>
      </c>
      <c r="K1299" s="1" t="str">
        <f t="shared" si="61"/>
        <v/>
      </c>
      <c r="L1299" s="1" t="str">
        <f t="shared" si="62"/>
        <v/>
      </c>
      <c r="M1299" s="1">
        <f>IF(OR(Table1[[#This Row],[Std Nom]]="",Table1[[#This Row],[Std Read]]=""),0,Table1[[#This Row],[Std Nom]]-Table1[[#This Row],[Std Read]])</f>
        <v>0</v>
      </c>
      <c r="N1299" s="1">
        <f>IF(Calculations!$F$5="ACCREDITED 17025 WITH UNCERTAINTIES",$N$10,0)</f>
        <v>0</v>
      </c>
      <c r="Q1299" s="1">
        <f>Table1[[#This Row],[High Tol]]-Table1[[#This Row],[Low Tol]]</f>
        <v>0</v>
      </c>
      <c r="R1299" s="1">
        <f>2*Table1[[#This Row],[Std Error]]</f>
        <v>0</v>
      </c>
      <c r="S1299" s="1" t="str">
        <f>IF(Table1[[#This Row],[High Tol]]="","N/A",IFERROR(ABS(Table1[[#This Row],[Tol Span]]/Table1[[#This Row],[Error Span]]),"N/A"))</f>
        <v>N/A</v>
      </c>
      <c r="T1299" s="1" t="str">
        <f>IF(OR(Table1[[#This Row],[Low Tol]]="",Table1[[#This Row],[High Tol]]=""),"Needs Analysis",IF(Table1[[#This Row],[Ratio]]&gt;=4,"Not Significant",IF(Table1[[#This Row],[Ratio]]&gt;=2,"Semi-Significant","Significant")))</f>
        <v>Needs Analysis</v>
      </c>
      <c r="W1299" s="1">
        <f>IF(Table1[[#This Row],[Cal Type]]&lt;&gt;"ACCREDITED 17025 WITH UNCERTAINTIES",0,"")</f>
        <v>0</v>
      </c>
      <c r="X1299" s="1" t="str">
        <f>IF(Table1[[#This Row],[DUT Read]]="","N/A",Table1[[#This Row],[Std Error]]+Table1[[#This Row],[DUT Read]]+Table1[[#This Row],[DUT Ucty]])</f>
        <v>N/A</v>
      </c>
      <c r="Y1299" s="1" t="str">
        <f>IF(Table1[[#This Row],[Std Read]]="","N/A",Table1[[#This Row],[Std Read]]+Table1[[#This Row],[Std Ucty]])</f>
        <v>N/A</v>
      </c>
      <c r="Z12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299" s="1" t="str">
        <f>IF(Table1[[#This Row],[Spec Type]]="","N/A",Table1[[#This Row],[Spec Type]])</f>
        <v>±</v>
      </c>
      <c r="AC1299" s="1" t="str">
        <f>IF(Table1[[#This Row],[Spec Type2]]="N/A","N/A",IF(AND(Table1[[#This Row],[DUT Adj Read]]&gt;=Table1[[#This Row],[Low Tol]],Table1[[#This Row],[DUT Adj Read]]&lt;=Table1[[#This Row],[High Tol]]),"Pass","Fail"))</f>
        <v>Fail</v>
      </c>
      <c r="AD1299" s="1" t="str">
        <f>IF(AND(Table1[[#This Row],[Spec Type2]]="N/A",Table1[[#This Row],[DUT Adj Read]]="N/A",Table1[[#This Row],[Std Adj Read]]="N/A"),"N/A",IF(Table1[[#This Row],[DUT Adj Read]]="N/A",IF(Table1[[#This Row],[Std Adj Read]]&gt;Table1[[#This Row],[Low Tol]],"Pass","Fail"),IF(Table1[[#This Row],[DUT Adj Read]]&gt;Table1[[#This Row],[Low Tol]],"Pass","Fail")))</f>
        <v>Pass</v>
      </c>
      <c r="AE1299" s="1" t="str">
        <f>IF(AND(Table1[[#This Row],[Spec Type2]]="N/A",Table1[[#This Row],[DUT Adj Read]]="N/A",Table1[[#This Row],[Std Adj Read]]="N/A"),"N/A",IF(Table1[[#This Row],[DUT Adj Read]]="N/A",IF(Table1[[#This Row],[Std Adj Read]]&lt;Table1[[#This Row],[High Tol]],"Pass","Fail"),IF(Table1[[#This Row],[DUT Adj Read]]&lt;Table1[[#This Row],[High Tol]],"Pass","Fail")))</f>
        <v>Fail</v>
      </c>
      <c r="AF1299" s="1" t="str">
        <f>IF(AND(Table1[[#This Row],[Spec Type2]]="N/A",Table1[[#This Row],[DUT Adj Read]]="N/A",Table1[[#This Row],[Std Adj Read]]="N/A"),"N/A",IF(Table1[[#This Row],[DUT Adj Read]]="N/A",IF(Table1[[#This Row],[Std Adj Read]]&gt;=Table1[[#This Row],[Low Tol]],"Pass","Fail"),IF(Table1[[#This Row],[DUT Adj Read]]&gt;=Table1[[#This Row],[Low Tol]],"Pass","Fail")))</f>
        <v>Pass</v>
      </c>
      <c r="AG1299" s="1" t="str">
        <f>IF(AND(Table1[[#This Row],[Spec Type2]]="N/A",Table1[[#This Row],[DUT Adj Read]]="N/A",Table1[[#This Row],[Std Adj Read]]="N/A"),"N/A",IF(Table1[[#This Row],[DUT Adj Read]]="N/A",IF(Table1[[#This Row],[Std Adj Read]]&lt;=Table1[[#This Row],[High Tol]],"Pass","Fail"),IF(Table1[[#This Row],[DUT Adj Read]]&lt;=Table1[[#This Row],[High Tol]],"Pass","Fail")))</f>
        <v>Fail</v>
      </c>
      <c r="AH12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299" s="1" t="b">
        <v>0</v>
      </c>
      <c r="AN1299" s="1" t="b">
        <v>0</v>
      </c>
      <c r="AO1299" s="1" t="b">
        <v>0</v>
      </c>
    </row>
    <row r="1300" spans="1:41" x14ac:dyDescent="0.25">
      <c r="A1300" s="10"/>
      <c r="B1300" s="10"/>
      <c r="C1300" s="10"/>
      <c r="D1300" s="10"/>
      <c r="E1300" s="10"/>
      <c r="F1300" s="10"/>
      <c r="G1300" s="10"/>
      <c r="H1300" s="10"/>
      <c r="I1300" s="1" t="str">
        <f t="shared" si="60"/>
        <v/>
      </c>
      <c r="J1300" s="1" t="s">
        <v>35</v>
      </c>
      <c r="K1300" s="1" t="str">
        <f t="shared" si="61"/>
        <v/>
      </c>
      <c r="L1300" s="1" t="str">
        <f t="shared" si="62"/>
        <v/>
      </c>
      <c r="M1300" s="1">
        <f>IF(OR(Table1[[#This Row],[Std Nom]]="",Table1[[#This Row],[Std Read]]=""),0,Table1[[#This Row],[Std Nom]]-Table1[[#This Row],[Std Read]])</f>
        <v>0</v>
      </c>
      <c r="N1300" s="1">
        <f>IF(Calculations!$F$5="ACCREDITED 17025 WITH UNCERTAINTIES",$N$10,0)</f>
        <v>0</v>
      </c>
      <c r="Q1300" s="1">
        <f>Table1[[#This Row],[High Tol]]-Table1[[#This Row],[Low Tol]]</f>
        <v>0</v>
      </c>
      <c r="R1300" s="1">
        <f>2*Table1[[#This Row],[Std Error]]</f>
        <v>0</v>
      </c>
      <c r="S1300" s="1" t="str">
        <f>IF(Table1[[#This Row],[High Tol]]="","N/A",IFERROR(ABS(Table1[[#This Row],[Tol Span]]/Table1[[#This Row],[Error Span]]),"N/A"))</f>
        <v>N/A</v>
      </c>
      <c r="T1300" s="1" t="str">
        <f>IF(OR(Table1[[#This Row],[Low Tol]]="",Table1[[#This Row],[High Tol]]=""),"Needs Analysis",IF(Table1[[#This Row],[Ratio]]&gt;=4,"Not Significant",IF(Table1[[#This Row],[Ratio]]&gt;=2,"Semi-Significant","Significant")))</f>
        <v>Needs Analysis</v>
      </c>
      <c r="W1300" s="1">
        <f>IF(Table1[[#This Row],[Cal Type]]&lt;&gt;"ACCREDITED 17025 WITH UNCERTAINTIES",0,"")</f>
        <v>0</v>
      </c>
      <c r="X1300" s="1" t="str">
        <f>IF(Table1[[#This Row],[DUT Read]]="","N/A",Table1[[#This Row],[Std Error]]+Table1[[#This Row],[DUT Read]]+Table1[[#This Row],[DUT Ucty]])</f>
        <v>N/A</v>
      </c>
      <c r="Y1300" s="1" t="str">
        <f>IF(Table1[[#This Row],[Std Read]]="","N/A",Table1[[#This Row],[Std Read]]+Table1[[#This Row],[Std Ucty]])</f>
        <v>N/A</v>
      </c>
      <c r="Z13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0" s="1" t="str">
        <f>IF(Table1[[#This Row],[Spec Type]]="","N/A",Table1[[#This Row],[Spec Type]])</f>
        <v>±</v>
      </c>
      <c r="AC1300" s="1" t="str">
        <f>IF(Table1[[#This Row],[Spec Type2]]="N/A","N/A",IF(AND(Table1[[#This Row],[DUT Adj Read]]&gt;=Table1[[#This Row],[Low Tol]],Table1[[#This Row],[DUT Adj Read]]&lt;=Table1[[#This Row],[High Tol]]),"Pass","Fail"))</f>
        <v>Fail</v>
      </c>
      <c r="AD1300" s="1" t="str">
        <f>IF(AND(Table1[[#This Row],[Spec Type2]]="N/A",Table1[[#This Row],[DUT Adj Read]]="N/A",Table1[[#This Row],[Std Adj Read]]="N/A"),"N/A",IF(Table1[[#This Row],[DUT Adj Read]]="N/A",IF(Table1[[#This Row],[Std Adj Read]]&gt;Table1[[#This Row],[Low Tol]],"Pass","Fail"),IF(Table1[[#This Row],[DUT Adj Read]]&gt;Table1[[#This Row],[Low Tol]],"Pass","Fail")))</f>
        <v>Pass</v>
      </c>
      <c r="AE1300" s="1" t="str">
        <f>IF(AND(Table1[[#This Row],[Spec Type2]]="N/A",Table1[[#This Row],[DUT Adj Read]]="N/A",Table1[[#This Row],[Std Adj Read]]="N/A"),"N/A",IF(Table1[[#This Row],[DUT Adj Read]]="N/A",IF(Table1[[#This Row],[Std Adj Read]]&lt;Table1[[#This Row],[High Tol]],"Pass","Fail"),IF(Table1[[#This Row],[DUT Adj Read]]&lt;Table1[[#This Row],[High Tol]],"Pass","Fail")))</f>
        <v>Fail</v>
      </c>
      <c r="AF1300" s="1" t="str">
        <f>IF(AND(Table1[[#This Row],[Spec Type2]]="N/A",Table1[[#This Row],[DUT Adj Read]]="N/A",Table1[[#This Row],[Std Adj Read]]="N/A"),"N/A",IF(Table1[[#This Row],[DUT Adj Read]]="N/A",IF(Table1[[#This Row],[Std Adj Read]]&gt;=Table1[[#This Row],[Low Tol]],"Pass","Fail"),IF(Table1[[#This Row],[DUT Adj Read]]&gt;=Table1[[#This Row],[Low Tol]],"Pass","Fail")))</f>
        <v>Pass</v>
      </c>
      <c r="AG1300" s="1" t="str">
        <f>IF(AND(Table1[[#This Row],[Spec Type2]]="N/A",Table1[[#This Row],[DUT Adj Read]]="N/A",Table1[[#This Row],[Std Adj Read]]="N/A"),"N/A",IF(Table1[[#This Row],[DUT Adj Read]]="N/A",IF(Table1[[#This Row],[Std Adj Read]]&lt;=Table1[[#This Row],[High Tol]],"Pass","Fail"),IF(Table1[[#This Row],[DUT Adj Read]]&lt;=Table1[[#This Row],[High Tol]],"Pass","Fail")))</f>
        <v>Fail</v>
      </c>
      <c r="AH13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0" s="1" t="b">
        <v>0</v>
      </c>
      <c r="AN1300" s="1" t="b">
        <v>0</v>
      </c>
      <c r="AO1300" s="1" t="b">
        <v>0</v>
      </c>
    </row>
    <row r="1301" spans="1:41" x14ac:dyDescent="0.25">
      <c r="A1301" s="10"/>
      <c r="B1301" s="10"/>
      <c r="C1301" s="10"/>
      <c r="D1301" s="10"/>
      <c r="E1301" s="10"/>
      <c r="F1301" s="10"/>
      <c r="G1301" s="10"/>
      <c r="H1301" s="10"/>
      <c r="I1301" s="1" t="str">
        <f t="shared" si="60"/>
        <v/>
      </c>
      <c r="J1301" s="1" t="s">
        <v>35</v>
      </c>
      <c r="K1301" s="1" t="str">
        <f t="shared" si="61"/>
        <v/>
      </c>
      <c r="L1301" s="1" t="str">
        <f t="shared" si="62"/>
        <v/>
      </c>
      <c r="M1301" s="1">
        <f>IF(OR(Table1[[#This Row],[Std Nom]]="",Table1[[#This Row],[Std Read]]=""),0,Table1[[#This Row],[Std Nom]]-Table1[[#This Row],[Std Read]])</f>
        <v>0</v>
      </c>
      <c r="N1301" s="1">
        <f>IF(Calculations!$F$5="ACCREDITED 17025 WITH UNCERTAINTIES",$N$10,0)</f>
        <v>0</v>
      </c>
      <c r="Q1301" s="1">
        <f>Table1[[#This Row],[High Tol]]-Table1[[#This Row],[Low Tol]]</f>
        <v>0</v>
      </c>
      <c r="R1301" s="1">
        <f>2*Table1[[#This Row],[Std Error]]</f>
        <v>0</v>
      </c>
      <c r="S1301" s="1" t="str">
        <f>IF(Table1[[#This Row],[High Tol]]="","N/A",IFERROR(ABS(Table1[[#This Row],[Tol Span]]/Table1[[#This Row],[Error Span]]),"N/A"))</f>
        <v>N/A</v>
      </c>
      <c r="T1301" s="1" t="str">
        <f>IF(OR(Table1[[#This Row],[Low Tol]]="",Table1[[#This Row],[High Tol]]=""),"Needs Analysis",IF(Table1[[#This Row],[Ratio]]&gt;=4,"Not Significant",IF(Table1[[#This Row],[Ratio]]&gt;=2,"Semi-Significant","Significant")))</f>
        <v>Needs Analysis</v>
      </c>
      <c r="W1301" s="1">
        <f>IF(Table1[[#This Row],[Cal Type]]&lt;&gt;"ACCREDITED 17025 WITH UNCERTAINTIES",0,"")</f>
        <v>0</v>
      </c>
      <c r="X1301" s="1" t="str">
        <f>IF(Table1[[#This Row],[DUT Read]]="","N/A",Table1[[#This Row],[Std Error]]+Table1[[#This Row],[DUT Read]]+Table1[[#This Row],[DUT Ucty]])</f>
        <v>N/A</v>
      </c>
      <c r="Y1301" s="1" t="str">
        <f>IF(Table1[[#This Row],[Std Read]]="","N/A",Table1[[#This Row],[Std Read]]+Table1[[#This Row],[Std Ucty]])</f>
        <v>N/A</v>
      </c>
      <c r="Z13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1" s="1" t="str">
        <f>IF(Table1[[#This Row],[Spec Type]]="","N/A",Table1[[#This Row],[Spec Type]])</f>
        <v>±</v>
      </c>
      <c r="AC1301" s="1" t="str">
        <f>IF(Table1[[#This Row],[Spec Type2]]="N/A","N/A",IF(AND(Table1[[#This Row],[DUT Adj Read]]&gt;=Table1[[#This Row],[Low Tol]],Table1[[#This Row],[DUT Adj Read]]&lt;=Table1[[#This Row],[High Tol]]),"Pass","Fail"))</f>
        <v>Fail</v>
      </c>
      <c r="AD1301" s="1" t="str">
        <f>IF(AND(Table1[[#This Row],[Spec Type2]]="N/A",Table1[[#This Row],[DUT Adj Read]]="N/A",Table1[[#This Row],[Std Adj Read]]="N/A"),"N/A",IF(Table1[[#This Row],[DUT Adj Read]]="N/A",IF(Table1[[#This Row],[Std Adj Read]]&gt;Table1[[#This Row],[Low Tol]],"Pass","Fail"),IF(Table1[[#This Row],[DUT Adj Read]]&gt;Table1[[#This Row],[Low Tol]],"Pass","Fail")))</f>
        <v>Pass</v>
      </c>
      <c r="AE1301" s="1" t="str">
        <f>IF(AND(Table1[[#This Row],[Spec Type2]]="N/A",Table1[[#This Row],[DUT Adj Read]]="N/A",Table1[[#This Row],[Std Adj Read]]="N/A"),"N/A",IF(Table1[[#This Row],[DUT Adj Read]]="N/A",IF(Table1[[#This Row],[Std Adj Read]]&lt;Table1[[#This Row],[High Tol]],"Pass","Fail"),IF(Table1[[#This Row],[DUT Adj Read]]&lt;Table1[[#This Row],[High Tol]],"Pass","Fail")))</f>
        <v>Fail</v>
      </c>
      <c r="AF1301" s="1" t="str">
        <f>IF(AND(Table1[[#This Row],[Spec Type2]]="N/A",Table1[[#This Row],[DUT Adj Read]]="N/A",Table1[[#This Row],[Std Adj Read]]="N/A"),"N/A",IF(Table1[[#This Row],[DUT Adj Read]]="N/A",IF(Table1[[#This Row],[Std Adj Read]]&gt;=Table1[[#This Row],[Low Tol]],"Pass","Fail"),IF(Table1[[#This Row],[DUT Adj Read]]&gt;=Table1[[#This Row],[Low Tol]],"Pass","Fail")))</f>
        <v>Pass</v>
      </c>
      <c r="AG1301" s="1" t="str">
        <f>IF(AND(Table1[[#This Row],[Spec Type2]]="N/A",Table1[[#This Row],[DUT Adj Read]]="N/A",Table1[[#This Row],[Std Adj Read]]="N/A"),"N/A",IF(Table1[[#This Row],[DUT Adj Read]]="N/A",IF(Table1[[#This Row],[Std Adj Read]]&lt;=Table1[[#This Row],[High Tol]],"Pass","Fail"),IF(Table1[[#This Row],[DUT Adj Read]]&lt;=Table1[[#This Row],[High Tol]],"Pass","Fail")))</f>
        <v>Fail</v>
      </c>
      <c r="AH13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1" s="1" t="b">
        <v>0</v>
      </c>
      <c r="AN1301" s="1" t="b">
        <v>0</v>
      </c>
      <c r="AO1301" s="1" t="b">
        <v>0</v>
      </c>
    </row>
    <row r="1302" spans="1:41" x14ac:dyDescent="0.25">
      <c r="A1302" s="10"/>
      <c r="B1302" s="10"/>
      <c r="C1302" s="10"/>
      <c r="D1302" s="10"/>
      <c r="E1302" s="10"/>
      <c r="F1302" s="10"/>
      <c r="G1302" s="10"/>
      <c r="H1302" s="10"/>
      <c r="I1302" s="1" t="str">
        <f t="shared" si="60"/>
        <v/>
      </c>
      <c r="J1302" s="1" t="s">
        <v>35</v>
      </c>
      <c r="K1302" s="1" t="str">
        <f t="shared" si="61"/>
        <v/>
      </c>
      <c r="L1302" s="1" t="str">
        <f t="shared" si="62"/>
        <v/>
      </c>
      <c r="M1302" s="1">
        <f>IF(OR(Table1[[#This Row],[Std Nom]]="",Table1[[#This Row],[Std Read]]=""),0,Table1[[#This Row],[Std Nom]]-Table1[[#This Row],[Std Read]])</f>
        <v>0</v>
      </c>
      <c r="N1302" s="1">
        <f>IF(Calculations!$F$5="ACCREDITED 17025 WITH UNCERTAINTIES",$N$10,0)</f>
        <v>0</v>
      </c>
      <c r="Q1302" s="1">
        <f>Table1[[#This Row],[High Tol]]-Table1[[#This Row],[Low Tol]]</f>
        <v>0</v>
      </c>
      <c r="R1302" s="1">
        <f>2*Table1[[#This Row],[Std Error]]</f>
        <v>0</v>
      </c>
      <c r="S1302" s="1" t="str">
        <f>IF(Table1[[#This Row],[High Tol]]="","N/A",IFERROR(ABS(Table1[[#This Row],[Tol Span]]/Table1[[#This Row],[Error Span]]),"N/A"))</f>
        <v>N/A</v>
      </c>
      <c r="T1302" s="1" t="str">
        <f>IF(OR(Table1[[#This Row],[Low Tol]]="",Table1[[#This Row],[High Tol]]=""),"Needs Analysis",IF(Table1[[#This Row],[Ratio]]&gt;=4,"Not Significant",IF(Table1[[#This Row],[Ratio]]&gt;=2,"Semi-Significant","Significant")))</f>
        <v>Needs Analysis</v>
      </c>
      <c r="W1302" s="1">
        <f>IF(Table1[[#This Row],[Cal Type]]&lt;&gt;"ACCREDITED 17025 WITH UNCERTAINTIES",0,"")</f>
        <v>0</v>
      </c>
      <c r="X1302" s="1" t="str">
        <f>IF(Table1[[#This Row],[DUT Read]]="","N/A",Table1[[#This Row],[Std Error]]+Table1[[#This Row],[DUT Read]]+Table1[[#This Row],[DUT Ucty]])</f>
        <v>N/A</v>
      </c>
      <c r="Y1302" s="1" t="str">
        <f>IF(Table1[[#This Row],[Std Read]]="","N/A",Table1[[#This Row],[Std Read]]+Table1[[#This Row],[Std Ucty]])</f>
        <v>N/A</v>
      </c>
      <c r="Z13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2" s="1" t="str">
        <f>IF(Table1[[#This Row],[Spec Type]]="","N/A",Table1[[#This Row],[Spec Type]])</f>
        <v>±</v>
      </c>
      <c r="AC1302" s="1" t="str">
        <f>IF(Table1[[#This Row],[Spec Type2]]="N/A","N/A",IF(AND(Table1[[#This Row],[DUT Adj Read]]&gt;=Table1[[#This Row],[Low Tol]],Table1[[#This Row],[DUT Adj Read]]&lt;=Table1[[#This Row],[High Tol]]),"Pass","Fail"))</f>
        <v>Fail</v>
      </c>
      <c r="AD1302" s="1" t="str">
        <f>IF(AND(Table1[[#This Row],[Spec Type2]]="N/A",Table1[[#This Row],[DUT Adj Read]]="N/A",Table1[[#This Row],[Std Adj Read]]="N/A"),"N/A",IF(Table1[[#This Row],[DUT Adj Read]]="N/A",IF(Table1[[#This Row],[Std Adj Read]]&gt;Table1[[#This Row],[Low Tol]],"Pass","Fail"),IF(Table1[[#This Row],[DUT Adj Read]]&gt;Table1[[#This Row],[Low Tol]],"Pass","Fail")))</f>
        <v>Pass</v>
      </c>
      <c r="AE1302" s="1" t="str">
        <f>IF(AND(Table1[[#This Row],[Spec Type2]]="N/A",Table1[[#This Row],[DUT Adj Read]]="N/A",Table1[[#This Row],[Std Adj Read]]="N/A"),"N/A",IF(Table1[[#This Row],[DUT Adj Read]]="N/A",IF(Table1[[#This Row],[Std Adj Read]]&lt;Table1[[#This Row],[High Tol]],"Pass","Fail"),IF(Table1[[#This Row],[DUT Adj Read]]&lt;Table1[[#This Row],[High Tol]],"Pass","Fail")))</f>
        <v>Fail</v>
      </c>
      <c r="AF1302" s="1" t="str">
        <f>IF(AND(Table1[[#This Row],[Spec Type2]]="N/A",Table1[[#This Row],[DUT Adj Read]]="N/A",Table1[[#This Row],[Std Adj Read]]="N/A"),"N/A",IF(Table1[[#This Row],[DUT Adj Read]]="N/A",IF(Table1[[#This Row],[Std Adj Read]]&gt;=Table1[[#This Row],[Low Tol]],"Pass","Fail"),IF(Table1[[#This Row],[DUT Adj Read]]&gt;=Table1[[#This Row],[Low Tol]],"Pass","Fail")))</f>
        <v>Pass</v>
      </c>
      <c r="AG1302" s="1" t="str">
        <f>IF(AND(Table1[[#This Row],[Spec Type2]]="N/A",Table1[[#This Row],[DUT Adj Read]]="N/A",Table1[[#This Row],[Std Adj Read]]="N/A"),"N/A",IF(Table1[[#This Row],[DUT Adj Read]]="N/A",IF(Table1[[#This Row],[Std Adj Read]]&lt;=Table1[[#This Row],[High Tol]],"Pass","Fail"),IF(Table1[[#This Row],[DUT Adj Read]]&lt;=Table1[[#This Row],[High Tol]],"Pass","Fail")))</f>
        <v>Fail</v>
      </c>
      <c r="AH13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2" s="1" t="b">
        <v>0</v>
      </c>
      <c r="AN1302" s="1" t="b">
        <v>0</v>
      </c>
      <c r="AO1302" s="1" t="b">
        <v>0</v>
      </c>
    </row>
    <row r="1303" spans="1:41" x14ac:dyDescent="0.25">
      <c r="A1303" s="10"/>
      <c r="B1303" s="10"/>
      <c r="C1303" s="10"/>
      <c r="D1303" s="10"/>
      <c r="E1303" s="10"/>
      <c r="F1303" s="10"/>
      <c r="G1303" s="10"/>
      <c r="H1303" s="10"/>
      <c r="I1303" s="1" t="str">
        <f t="shared" si="60"/>
        <v/>
      </c>
      <c r="J1303" s="1" t="s">
        <v>35</v>
      </c>
      <c r="K1303" s="1" t="str">
        <f t="shared" si="61"/>
        <v/>
      </c>
      <c r="L1303" s="1" t="str">
        <f t="shared" si="62"/>
        <v/>
      </c>
      <c r="M1303" s="1">
        <f>IF(OR(Table1[[#This Row],[Std Nom]]="",Table1[[#This Row],[Std Read]]=""),0,Table1[[#This Row],[Std Nom]]-Table1[[#This Row],[Std Read]])</f>
        <v>0</v>
      </c>
      <c r="N1303" s="1">
        <f>IF(Calculations!$F$5="ACCREDITED 17025 WITH UNCERTAINTIES",$N$10,0)</f>
        <v>0</v>
      </c>
      <c r="Q1303" s="1">
        <f>Table1[[#This Row],[High Tol]]-Table1[[#This Row],[Low Tol]]</f>
        <v>0</v>
      </c>
      <c r="R1303" s="1">
        <f>2*Table1[[#This Row],[Std Error]]</f>
        <v>0</v>
      </c>
      <c r="S1303" s="1" t="str">
        <f>IF(Table1[[#This Row],[High Tol]]="","N/A",IFERROR(ABS(Table1[[#This Row],[Tol Span]]/Table1[[#This Row],[Error Span]]),"N/A"))</f>
        <v>N/A</v>
      </c>
      <c r="T1303" s="1" t="str">
        <f>IF(OR(Table1[[#This Row],[Low Tol]]="",Table1[[#This Row],[High Tol]]=""),"Needs Analysis",IF(Table1[[#This Row],[Ratio]]&gt;=4,"Not Significant",IF(Table1[[#This Row],[Ratio]]&gt;=2,"Semi-Significant","Significant")))</f>
        <v>Needs Analysis</v>
      </c>
      <c r="W1303" s="1">
        <f>IF(Table1[[#This Row],[Cal Type]]&lt;&gt;"ACCREDITED 17025 WITH UNCERTAINTIES",0,"")</f>
        <v>0</v>
      </c>
      <c r="X1303" s="1" t="str">
        <f>IF(Table1[[#This Row],[DUT Read]]="","N/A",Table1[[#This Row],[Std Error]]+Table1[[#This Row],[DUT Read]]+Table1[[#This Row],[DUT Ucty]])</f>
        <v>N/A</v>
      </c>
      <c r="Y1303" s="1" t="str">
        <f>IF(Table1[[#This Row],[Std Read]]="","N/A",Table1[[#This Row],[Std Read]]+Table1[[#This Row],[Std Ucty]])</f>
        <v>N/A</v>
      </c>
      <c r="Z13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3" s="1" t="str">
        <f>IF(Table1[[#This Row],[Spec Type]]="","N/A",Table1[[#This Row],[Spec Type]])</f>
        <v>±</v>
      </c>
      <c r="AC1303" s="1" t="str">
        <f>IF(Table1[[#This Row],[Spec Type2]]="N/A","N/A",IF(AND(Table1[[#This Row],[DUT Adj Read]]&gt;=Table1[[#This Row],[Low Tol]],Table1[[#This Row],[DUT Adj Read]]&lt;=Table1[[#This Row],[High Tol]]),"Pass","Fail"))</f>
        <v>Fail</v>
      </c>
      <c r="AD1303" s="1" t="str">
        <f>IF(AND(Table1[[#This Row],[Spec Type2]]="N/A",Table1[[#This Row],[DUT Adj Read]]="N/A",Table1[[#This Row],[Std Adj Read]]="N/A"),"N/A",IF(Table1[[#This Row],[DUT Adj Read]]="N/A",IF(Table1[[#This Row],[Std Adj Read]]&gt;Table1[[#This Row],[Low Tol]],"Pass","Fail"),IF(Table1[[#This Row],[DUT Adj Read]]&gt;Table1[[#This Row],[Low Tol]],"Pass","Fail")))</f>
        <v>Pass</v>
      </c>
      <c r="AE1303" s="1" t="str">
        <f>IF(AND(Table1[[#This Row],[Spec Type2]]="N/A",Table1[[#This Row],[DUT Adj Read]]="N/A",Table1[[#This Row],[Std Adj Read]]="N/A"),"N/A",IF(Table1[[#This Row],[DUT Adj Read]]="N/A",IF(Table1[[#This Row],[Std Adj Read]]&lt;Table1[[#This Row],[High Tol]],"Pass","Fail"),IF(Table1[[#This Row],[DUT Adj Read]]&lt;Table1[[#This Row],[High Tol]],"Pass","Fail")))</f>
        <v>Fail</v>
      </c>
      <c r="AF1303" s="1" t="str">
        <f>IF(AND(Table1[[#This Row],[Spec Type2]]="N/A",Table1[[#This Row],[DUT Adj Read]]="N/A",Table1[[#This Row],[Std Adj Read]]="N/A"),"N/A",IF(Table1[[#This Row],[DUT Adj Read]]="N/A",IF(Table1[[#This Row],[Std Adj Read]]&gt;=Table1[[#This Row],[Low Tol]],"Pass","Fail"),IF(Table1[[#This Row],[DUT Adj Read]]&gt;=Table1[[#This Row],[Low Tol]],"Pass","Fail")))</f>
        <v>Pass</v>
      </c>
      <c r="AG1303" s="1" t="str">
        <f>IF(AND(Table1[[#This Row],[Spec Type2]]="N/A",Table1[[#This Row],[DUT Adj Read]]="N/A",Table1[[#This Row],[Std Adj Read]]="N/A"),"N/A",IF(Table1[[#This Row],[DUT Adj Read]]="N/A",IF(Table1[[#This Row],[Std Adj Read]]&lt;=Table1[[#This Row],[High Tol]],"Pass","Fail"),IF(Table1[[#This Row],[DUT Adj Read]]&lt;=Table1[[#This Row],[High Tol]],"Pass","Fail")))</f>
        <v>Fail</v>
      </c>
      <c r="AH13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3" s="1" t="b">
        <v>0</v>
      </c>
      <c r="AN1303" s="1" t="b">
        <v>0</v>
      </c>
      <c r="AO1303" s="1" t="b">
        <v>0</v>
      </c>
    </row>
    <row r="1304" spans="1:41" x14ac:dyDescent="0.25">
      <c r="A1304" s="10"/>
      <c r="B1304" s="10"/>
      <c r="C1304" s="10"/>
      <c r="D1304" s="10"/>
      <c r="E1304" s="10"/>
      <c r="F1304" s="10"/>
      <c r="G1304" s="10"/>
      <c r="H1304" s="10"/>
      <c r="I1304" s="1" t="str">
        <f t="shared" si="60"/>
        <v/>
      </c>
      <c r="J1304" s="1" t="s">
        <v>35</v>
      </c>
      <c r="K1304" s="1" t="str">
        <f t="shared" si="61"/>
        <v/>
      </c>
      <c r="L1304" s="1" t="str">
        <f t="shared" si="62"/>
        <v/>
      </c>
      <c r="M1304" s="1">
        <f>IF(OR(Table1[[#This Row],[Std Nom]]="",Table1[[#This Row],[Std Read]]=""),0,Table1[[#This Row],[Std Nom]]-Table1[[#This Row],[Std Read]])</f>
        <v>0</v>
      </c>
      <c r="N1304" s="1">
        <f>IF(Calculations!$F$5="ACCREDITED 17025 WITH UNCERTAINTIES",$N$10,0)</f>
        <v>0</v>
      </c>
      <c r="Q1304" s="1">
        <f>Table1[[#This Row],[High Tol]]-Table1[[#This Row],[Low Tol]]</f>
        <v>0</v>
      </c>
      <c r="R1304" s="1">
        <f>2*Table1[[#This Row],[Std Error]]</f>
        <v>0</v>
      </c>
      <c r="S1304" s="1" t="str">
        <f>IF(Table1[[#This Row],[High Tol]]="","N/A",IFERROR(ABS(Table1[[#This Row],[Tol Span]]/Table1[[#This Row],[Error Span]]),"N/A"))</f>
        <v>N/A</v>
      </c>
      <c r="T1304" s="1" t="str">
        <f>IF(OR(Table1[[#This Row],[Low Tol]]="",Table1[[#This Row],[High Tol]]=""),"Needs Analysis",IF(Table1[[#This Row],[Ratio]]&gt;=4,"Not Significant",IF(Table1[[#This Row],[Ratio]]&gt;=2,"Semi-Significant","Significant")))</f>
        <v>Needs Analysis</v>
      </c>
      <c r="W1304" s="1">
        <f>IF(Table1[[#This Row],[Cal Type]]&lt;&gt;"ACCREDITED 17025 WITH UNCERTAINTIES",0,"")</f>
        <v>0</v>
      </c>
      <c r="X1304" s="1" t="str">
        <f>IF(Table1[[#This Row],[DUT Read]]="","N/A",Table1[[#This Row],[Std Error]]+Table1[[#This Row],[DUT Read]]+Table1[[#This Row],[DUT Ucty]])</f>
        <v>N/A</v>
      </c>
      <c r="Y1304" s="1" t="str">
        <f>IF(Table1[[#This Row],[Std Read]]="","N/A",Table1[[#This Row],[Std Read]]+Table1[[#This Row],[Std Ucty]])</f>
        <v>N/A</v>
      </c>
      <c r="Z13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4" s="1" t="str">
        <f>IF(Table1[[#This Row],[Spec Type]]="","N/A",Table1[[#This Row],[Spec Type]])</f>
        <v>±</v>
      </c>
      <c r="AC1304" s="1" t="str">
        <f>IF(Table1[[#This Row],[Spec Type2]]="N/A","N/A",IF(AND(Table1[[#This Row],[DUT Adj Read]]&gt;=Table1[[#This Row],[Low Tol]],Table1[[#This Row],[DUT Adj Read]]&lt;=Table1[[#This Row],[High Tol]]),"Pass","Fail"))</f>
        <v>Fail</v>
      </c>
      <c r="AD1304" s="1" t="str">
        <f>IF(AND(Table1[[#This Row],[Spec Type2]]="N/A",Table1[[#This Row],[DUT Adj Read]]="N/A",Table1[[#This Row],[Std Adj Read]]="N/A"),"N/A",IF(Table1[[#This Row],[DUT Adj Read]]="N/A",IF(Table1[[#This Row],[Std Adj Read]]&gt;Table1[[#This Row],[Low Tol]],"Pass","Fail"),IF(Table1[[#This Row],[DUT Adj Read]]&gt;Table1[[#This Row],[Low Tol]],"Pass","Fail")))</f>
        <v>Pass</v>
      </c>
      <c r="AE1304" s="1" t="str">
        <f>IF(AND(Table1[[#This Row],[Spec Type2]]="N/A",Table1[[#This Row],[DUT Adj Read]]="N/A",Table1[[#This Row],[Std Adj Read]]="N/A"),"N/A",IF(Table1[[#This Row],[DUT Adj Read]]="N/A",IF(Table1[[#This Row],[Std Adj Read]]&lt;Table1[[#This Row],[High Tol]],"Pass","Fail"),IF(Table1[[#This Row],[DUT Adj Read]]&lt;Table1[[#This Row],[High Tol]],"Pass","Fail")))</f>
        <v>Fail</v>
      </c>
      <c r="AF1304" s="1" t="str">
        <f>IF(AND(Table1[[#This Row],[Spec Type2]]="N/A",Table1[[#This Row],[DUT Adj Read]]="N/A",Table1[[#This Row],[Std Adj Read]]="N/A"),"N/A",IF(Table1[[#This Row],[DUT Adj Read]]="N/A",IF(Table1[[#This Row],[Std Adj Read]]&gt;=Table1[[#This Row],[Low Tol]],"Pass","Fail"),IF(Table1[[#This Row],[DUT Adj Read]]&gt;=Table1[[#This Row],[Low Tol]],"Pass","Fail")))</f>
        <v>Pass</v>
      </c>
      <c r="AG1304" s="1" t="str">
        <f>IF(AND(Table1[[#This Row],[Spec Type2]]="N/A",Table1[[#This Row],[DUT Adj Read]]="N/A",Table1[[#This Row],[Std Adj Read]]="N/A"),"N/A",IF(Table1[[#This Row],[DUT Adj Read]]="N/A",IF(Table1[[#This Row],[Std Adj Read]]&lt;=Table1[[#This Row],[High Tol]],"Pass","Fail"),IF(Table1[[#This Row],[DUT Adj Read]]&lt;=Table1[[#This Row],[High Tol]],"Pass","Fail")))</f>
        <v>Fail</v>
      </c>
      <c r="AH13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4" s="1" t="b">
        <v>0</v>
      </c>
      <c r="AN1304" s="1" t="b">
        <v>0</v>
      </c>
      <c r="AO1304" s="1" t="b">
        <v>0</v>
      </c>
    </row>
    <row r="1305" spans="1:41" x14ac:dyDescent="0.25">
      <c r="A1305" s="10"/>
      <c r="B1305" s="10"/>
      <c r="C1305" s="10"/>
      <c r="D1305" s="10"/>
      <c r="E1305" s="10"/>
      <c r="F1305" s="10"/>
      <c r="G1305" s="10"/>
      <c r="H1305" s="10"/>
      <c r="I1305" s="1" t="str">
        <f t="shared" si="60"/>
        <v/>
      </c>
      <c r="J1305" s="1" t="s">
        <v>35</v>
      </c>
      <c r="K1305" s="1" t="str">
        <f t="shared" si="61"/>
        <v/>
      </c>
      <c r="L1305" s="1" t="str">
        <f t="shared" si="62"/>
        <v/>
      </c>
      <c r="M1305" s="1">
        <f>IF(OR(Table1[[#This Row],[Std Nom]]="",Table1[[#This Row],[Std Read]]=""),0,Table1[[#This Row],[Std Nom]]-Table1[[#This Row],[Std Read]])</f>
        <v>0</v>
      </c>
      <c r="N1305" s="1">
        <f>IF(Calculations!$F$5="ACCREDITED 17025 WITH UNCERTAINTIES",$N$10,0)</f>
        <v>0</v>
      </c>
      <c r="Q1305" s="1">
        <f>Table1[[#This Row],[High Tol]]-Table1[[#This Row],[Low Tol]]</f>
        <v>0</v>
      </c>
      <c r="R1305" s="1">
        <f>2*Table1[[#This Row],[Std Error]]</f>
        <v>0</v>
      </c>
      <c r="S1305" s="1" t="str">
        <f>IF(Table1[[#This Row],[High Tol]]="","N/A",IFERROR(ABS(Table1[[#This Row],[Tol Span]]/Table1[[#This Row],[Error Span]]),"N/A"))</f>
        <v>N/A</v>
      </c>
      <c r="T1305" s="1" t="str">
        <f>IF(OR(Table1[[#This Row],[Low Tol]]="",Table1[[#This Row],[High Tol]]=""),"Needs Analysis",IF(Table1[[#This Row],[Ratio]]&gt;=4,"Not Significant",IF(Table1[[#This Row],[Ratio]]&gt;=2,"Semi-Significant","Significant")))</f>
        <v>Needs Analysis</v>
      </c>
      <c r="W1305" s="1">
        <f>IF(Table1[[#This Row],[Cal Type]]&lt;&gt;"ACCREDITED 17025 WITH UNCERTAINTIES",0,"")</f>
        <v>0</v>
      </c>
      <c r="X1305" s="1" t="str">
        <f>IF(Table1[[#This Row],[DUT Read]]="","N/A",Table1[[#This Row],[Std Error]]+Table1[[#This Row],[DUT Read]]+Table1[[#This Row],[DUT Ucty]])</f>
        <v>N/A</v>
      </c>
      <c r="Y1305" s="1" t="str">
        <f>IF(Table1[[#This Row],[Std Read]]="","N/A",Table1[[#This Row],[Std Read]]+Table1[[#This Row],[Std Ucty]])</f>
        <v>N/A</v>
      </c>
      <c r="Z13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5" s="1" t="str">
        <f>IF(Table1[[#This Row],[Spec Type]]="","N/A",Table1[[#This Row],[Spec Type]])</f>
        <v>±</v>
      </c>
      <c r="AC1305" s="1" t="str">
        <f>IF(Table1[[#This Row],[Spec Type2]]="N/A","N/A",IF(AND(Table1[[#This Row],[DUT Adj Read]]&gt;=Table1[[#This Row],[Low Tol]],Table1[[#This Row],[DUT Adj Read]]&lt;=Table1[[#This Row],[High Tol]]),"Pass","Fail"))</f>
        <v>Fail</v>
      </c>
      <c r="AD1305" s="1" t="str">
        <f>IF(AND(Table1[[#This Row],[Spec Type2]]="N/A",Table1[[#This Row],[DUT Adj Read]]="N/A",Table1[[#This Row],[Std Adj Read]]="N/A"),"N/A",IF(Table1[[#This Row],[DUT Adj Read]]="N/A",IF(Table1[[#This Row],[Std Adj Read]]&gt;Table1[[#This Row],[Low Tol]],"Pass","Fail"),IF(Table1[[#This Row],[DUT Adj Read]]&gt;Table1[[#This Row],[Low Tol]],"Pass","Fail")))</f>
        <v>Pass</v>
      </c>
      <c r="AE1305" s="1" t="str">
        <f>IF(AND(Table1[[#This Row],[Spec Type2]]="N/A",Table1[[#This Row],[DUT Adj Read]]="N/A",Table1[[#This Row],[Std Adj Read]]="N/A"),"N/A",IF(Table1[[#This Row],[DUT Adj Read]]="N/A",IF(Table1[[#This Row],[Std Adj Read]]&lt;Table1[[#This Row],[High Tol]],"Pass","Fail"),IF(Table1[[#This Row],[DUT Adj Read]]&lt;Table1[[#This Row],[High Tol]],"Pass","Fail")))</f>
        <v>Fail</v>
      </c>
      <c r="AF1305" s="1" t="str">
        <f>IF(AND(Table1[[#This Row],[Spec Type2]]="N/A",Table1[[#This Row],[DUT Adj Read]]="N/A",Table1[[#This Row],[Std Adj Read]]="N/A"),"N/A",IF(Table1[[#This Row],[DUT Adj Read]]="N/A",IF(Table1[[#This Row],[Std Adj Read]]&gt;=Table1[[#This Row],[Low Tol]],"Pass","Fail"),IF(Table1[[#This Row],[DUT Adj Read]]&gt;=Table1[[#This Row],[Low Tol]],"Pass","Fail")))</f>
        <v>Pass</v>
      </c>
      <c r="AG1305" s="1" t="str">
        <f>IF(AND(Table1[[#This Row],[Spec Type2]]="N/A",Table1[[#This Row],[DUT Adj Read]]="N/A",Table1[[#This Row],[Std Adj Read]]="N/A"),"N/A",IF(Table1[[#This Row],[DUT Adj Read]]="N/A",IF(Table1[[#This Row],[Std Adj Read]]&lt;=Table1[[#This Row],[High Tol]],"Pass","Fail"),IF(Table1[[#This Row],[DUT Adj Read]]&lt;=Table1[[#This Row],[High Tol]],"Pass","Fail")))</f>
        <v>Fail</v>
      </c>
      <c r="AH13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5" s="1" t="b">
        <v>0</v>
      </c>
      <c r="AN1305" s="1" t="b">
        <v>0</v>
      </c>
      <c r="AO1305" s="1" t="b">
        <v>0</v>
      </c>
    </row>
    <row r="1306" spans="1:41" x14ac:dyDescent="0.25">
      <c r="A1306" s="10"/>
      <c r="B1306" s="10"/>
      <c r="C1306" s="10"/>
      <c r="D1306" s="10"/>
      <c r="E1306" s="10"/>
      <c r="F1306" s="10"/>
      <c r="G1306" s="10"/>
      <c r="H1306" s="10"/>
      <c r="I1306" s="1" t="str">
        <f t="shared" si="60"/>
        <v/>
      </c>
      <c r="J1306" s="1" t="s">
        <v>35</v>
      </c>
      <c r="K1306" s="1" t="str">
        <f t="shared" si="61"/>
        <v/>
      </c>
      <c r="L1306" s="1" t="str">
        <f t="shared" si="62"/>
        <v/>
      </c>
      <c r="M1306" s="1">
        <f>IF(OR(Table1[[#This Row],[Std Nom]]="",Table1[[#This Row],[Std Read]]=""),0,Table1[[#This Row],[Std Nom]]-Table1[[#This Row],[Std Read]])</f>
        <v>0</v>
      </c>
      <c r="N1306" s="1">
        <f>IF(Calculations!$F$5="ACCREDITED 17025 WITH UNCERTAINTIES",$N$10,0)</f>
        <v>0</v>
      </c>
      <c r="Q1306" s="1">
        <f>Table1[[#This Row],[High Tol]]-Table1[[#This Row],[Low Tol]]</f>
        <v>0</v>
      </c>
      <c r="R1306" s="1">
        <f>2*Table1[[#This Row],[Std Error]]</f>
        <v>0</v>
      </c>
      <c r="S1306" s="1" t="str">
        <f>IF(Table1[[#This Row],[High Tol]]="","N/A",IFERROR(ABS(Table1[[#This Row],[Tol Span]]/Table1[[#This Row],[Error Span]]),"N/A"))</f>
        <v>N/A</v>
      </c>
      <c r="T1306" s="1" t="str">
        <f>IF(OR(Table1[[#This Row],[Low Tol]]="",Table1[[#This Row],[High Tol]]=""),"Needs Analysis",IF(Table1[[#This Row],[Ratio]]&gt;=4,"Not Significant",IF(Table1[[#This Row],[Ratio]]&gt;=2,"Semi-Significant","Significant")))</f>
        <v>Needs Analysis</v>
      </c>
      <c r="W1306" s="1">
        <f>IF(Table1[[#This Row],[Cal Type]]&lt;&gt;"ACCREDITED 17025 WITH UNCERTAINTIES",0,"")</f>
        <v>0</v>
      </c>
      <c r="X1306" s="1" t="str">
        <f>IF(Table1[[#This Row],[DUT Read]]="","N/A",Table1[[#This Row],[Std Error]]+Table1[[#This Row],[DUT Read]]+Table1[[#This Row],[DUT Ucty]])</f>
        <v>N/A</v>
      </c>
      <c r="Y1306" s="1" t="str">
        <f>IF(Table1[[#This Row],[Std Read]]="","N/A",Table1[[#This Row],[Std Read]]+Table1[[#This Row],[Std Ucty]])</f>
        <v>N/A</v>
      </c>
      <c r="Z13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6" s="1" t="str">
        <f>IF(Table1[[#This Row],[Spec Type]]="","N/A",Table1[[#This Row],[Spec Type]])</f>
        <v>±</v>
      </c>
      <c r="AC1306" s="1" t="str">
        <f>IF(Table1[[#This Row],[Spec Type2]]="N/A","N/A",IF(AND(Table1[[#This Row],[DUT Adj Read]]&gt;=Table1[[#This Row],[Low Tol]],Table1[[#This Row],[DUT Adj Read]]&lt;=Table1[[#This Row],[High Tol]]),"Pass","Fail"))</f>
        <v>Fail</v>
      </c>
      <c r="AD1306" s="1" t="str">
        <f>IF(AND(Table1[[#This Row],[Spec Type2]]="N/A",Table1[[#This Row],[DUT Adj Read]]="N/A",Table1[[#This Row],[Std Adj Read]]="N/A"),"N/A",IF(Table1[[#This Row],[DUT Adj Read]]="N/A",IF(Table1[[#This Row],[Std Adj Read]]&gt;Table1[[#This Row],[Low Tol]],"Pass","Fail"),IF(Table1[[#This Row],[DUT Adj Read]]&gt;Table1[[#This Row],[Low Tol]],"Pass","Fail")))</f>
        <v>Pass</v>
      </c>
      <c r="AE1306" s="1" t="str">
        <f>IF(AND(Table1[[#This Row],[Spec Type2]]="N/A",Table1[[#This Row],[DUT Adj Read]]="N/A",Table1[[#This Row],[Std Adj Read]]="N/A"),"N/A",IF(Table1[[#This Row],[DUT Adj Read]]="N/A",IF(Table1[[#This Row],[Std Adj Read]]&lt;Table1[[#This Row],[High Tol]],"Pass","Fail"),IF(Table1[[#This Row],[DUT Adj Read]]&lt;Table1[[#This Row],[High Tol]],"Pass","Fail")))</f>
        <v>Fail</v>
      </c>
      <c r="AF1306" s="1" t="str">
        <f>IF(AND(Table1[[#This Row],[Spec Type2]]="N/A",Table1[[#This Row],[DUT Adj Read]]="N/A",Table1[[#This Row],[Std Adj Read]]="N/A"),"N/A",IF(Table1[[#This Row],[DUT Adj Read]]="N/A",IF(Table1[[#This Row],[Std Adj Read]]&gt;=Table1[[#This Row],[Low Tol]],"Pass","Fail"),IF(Table1[[#This Row],[DUT Adj Read]]&gt;=Table1[[#This Row],[Low Tol]],"Pass","Fail")))</f>
        <v>Pass</v>
      </c>
      <c r="AG1306" s="1" t="str">
        <f>IF(AND(Table1[[#This Row],[Spec Type2]]="N/A",Table1[[#This Row],[DUT Adj Read]]="N/A",Table1[[#This Row],[Std Adj Read]]="N/A"),"N/A",IF(Table1[[#This Row],[DUT Adj Read]]="N/A",IF(Table1[[#This Row],[Std Adj Read]]&lt;=Table1[[#This Row],[High Tol]],"Pass","Fail"),IF(Table1[[#This Row],[DUT Adj Read]]&lt;=Table1[[#This Row],[High Tol]],"Pass","Fail")))</f>
        <v>Fail</v>
      </c>
      <c r="AH13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6" s="1" t="b">
        <v>0</v>
      </c>
      <c r="AN1306" s="1" t="b">
        <v>0</v>
      </c>
      <c r="AO1306" s="1" t="b">
        <v>0</v>
      </c>
    </row>
    <row r="1307" spans="1:41" x14ac:dyDescent="0.25">
      <c r="A1307" s="10"/>
      <c r="B1307" s="10"/>
      <c r="C1307" s="10"/>
      <c r="D1307" s="10"/>
      <c r="E1307" s="10"/>
      <c r="F1307" s="10"/>
      <c r="G1307" s="10"/>
      <c r="H1307" s="10"/>
      <c r="I1307" s="1" t="str">
        <f t="shared" si="60"/>
        <v/>
      </c>
      <c r="J1307" s="1" t="s">
        <v>35</v>
      </c>
      <c r="K1307" s="1" t="str">
        <f t="shared" si="61"/>
        <v/>
      </c>
      <c r="L1307" s="1" t="str">
        <f t="shared" si="62"/>
        <v/>
      </c>
      <c r="M1307" s="1">
        <f>IF(OR(Table1[[#This Row],[Std Nom]]="",Table1[[#This Row],[Std Read]]=""),0,Table1[[#This Row],[Std Nom]]-Table1[[#This Row],[Std Read]])</f>
        <v>0</v>
      </c>
      <c r="N1307" s="1">
        <f>IF(Calculations!$F$5="ACCREDITED 17025 WITH UNCERTAINTIES",$N$10,0)</f>
        <v>0</v>
      </c>
      <c r="Q1307" s="1">
        <f>Table1[[#This Row],[High Tol]]-Table1[[#This Row],[Low Tol]]</f>
        <v>0</v>
      </c>
      <c r="R1307" s="1">
        <f>2*Table1[[#This Row],[Std Error]]</f>
        <v>0</v>
      </c>
      <c r="S1307" s="1" t="str">
        <f>IF(Table1[[#This Row],[High Tol]]="","N/A",IFERROR(ABS(Table1[[#This Row],[Tol Span]]/Table1[[#This Row],[Error Span]]),"N/A"))</f>
        <v>N/A</v>
      </c>
      <c r="T1307" s="1" t="str">
        <f>IF(OR(Table1[[#This Row],[Low Tol]]="",Table1[[#This Row],[High Tol]]=""),"Needs Analysis",IF(Table1[[#This Row],[Ratio]]&gt;=4,"Not Significant",IF(Table1[[#This Row],[Ratio]]&gt;=2,"Semi-Significant","Significant")))</f>
        <v>Needs Analysis</v>
      </c>
      <c r="W1307" s="1">
        <f>IF(Table1[[#This Row],[Cal Type]]&lt;&gt;"ACCREDITED 17025 WITH UNCERTAINTIES",0,"")</f>
        <v>0</v>
      </c>
      <c r="X1307" s="1" t="str">
        <f>IF(Table1[[#This Row],[DUT Read]]="","N/A",Table1[[#This Row],[Std Error]]+Table1[[#This Row],[DUT Read]]+Table1[[#This Row],[DUT Ucty]])</f>
        <v>N/A</v>
      </c>
      <c r="Y1307" s="1" t="str">
        <f>IF(Table1[[#This Row],[Std Read]]="","N/A",Table1[[#This Row],[Std Read]]+Table1[[#This Row],[Std Ucty]])</f>
        <v>N/A</v>
      </c>
      <c r="Z13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7" s="1" t="str">
        <f>IF(Table1[[#This Row],[Spec Type]]="","N/A",Table1[[#This Row],[Spec Type]])</f>
        <v>±</v>
      </c>
      <c r="AC1307" s="1" t="str">
        <f>IF(Table1[[#This Row],[Spec Type2]]="N/A","N/A",IF(AND(Table1[[#This Row],[DUT Adj Read]]&gt;=Table1[[#This Row],[Low Tol]],Table1[[#This Row],[DUT Adj Read]]&lt;=Table1[[#This Row],[High Tol]]),"Pass","Fail"))</f>
        <v>Fail</v>
      </c>
      <c r="AD1307" s="1" t="str">
        <f>IF(AND(Table1[[#This Row],[Spec Type2]]="N/A",Table1[[#This Row],[DUT Adj Read]]="N/A",Table1[[#This Row],[Std Adj Read]]="N/A"),"N/A",IF(Table1[[#This Row],[DUT Adj Read]]="N/A",IF(Table1[[#This Row],[Std Adj Read]]&gt;Table1[[#This Row],[Low Tol]],"Pass","Fail"),IF(Table1[[#This Row],[DUT Adj Read]]&gt;Table1[[#This Row],[Low Tol]],"Pass","Fail")))</f>
        <v>Pass</v>
      </c>
      <c r="AE1307" s="1" t="str">
        <f>IF(AND(Table1[[#This Row],[Spec Type2]]="N/A",Table1[[#This Row],[DUT Adj Read]]="N/A",Table1[[#This Row],[Std Adj Read]]="N/A"),"N/A",IF(Table1[[#This Row],[DUT Adj Read]]="N/A",IF(Table1[[#This Row],[Std Adj Read]]&lt;Table1[[#This Row],[High Tol]],"Pass","Fail"),IF(Table1[[#This Row],[DUT Adj Read]]&lt;Table1[[#This Row],[High Tol]],"Pass","Fail")))</f>
        <v>Fail</v>
      </c>
      <c r="AF1307" s="1" t="str">
        <f>IF(AND(Table1[[#This Row],[Spec Type2]]="N/A",Table1[[#This Row],[DUT Adj Read]]="N/A",Table1[[#This Row],[Std Adj Read]]="N/A"),"N/A",IF(Table1[[#This Row],[DUT Adj Read]]="N/A",IF(Table1[[#This Row],[Std Adj Read]]&gt;=Table1[[#This Row],[Low Tol]],"Pass","Fail"),IF(Table1[[#This Row],[DUT Adj Read]]&gt;=Table1[[#This Row],[Low Tol]],"Pass","Fail")))</f>
        <v>Pass</v>
      </c>
      <c r="AG1307" s="1" t="str">
        <f>IF(AND(Table1[[#This Row],[Spec Type2]]="N/A",Table1[[#This Row],[DUT Adj Read]]="N/A",Table1[[#This Row],[Std Adj Read]]="N/A"),"N/A",IF(Table1[[#This Row],[DUT Adj Read]]="N/A",IF(Table1[[#This Row],[Std Adj Read]]&lt;=Table1[[#This Row],[High Tol]],"Pass","Fail"),IF(Table1[[#This Row],[DUT Adj Read]]&lt;=Table1[[#This Row],[High Tol]],"Pass","Fail")))</f>
        <v>Fail</v>
      </c>
      <c r="AH13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7" s="1" t="b">
        <v>0</v>
      </c>
      <c r="AN1307" s="1" t="b">
        <v>0</v>
      </c>
      <c r="AO1307" s="1" t="b">
        <v>0</v>
      </c>
    </row>
    <row r="1308" spans="1:41" x14ac:dyDescent="0.25">
      <c r="A1308" s="10"/>
      <c r="B1308" s="10"/>
      <c r="C1308" s="10"/>
      <c r="D1308" s="10"/>
      <c r="E1308" s="10"/>
      <c r="F1308" s="10"/>
      <c r="G1308" s="10"/>
      <c r="H1308" s="10"/>
      <c r="I1308" s="1" t="str">
        <f t="shared" si="60"/>
        <v/>
      </c>
      <c r="J1308" s="1" t="s">
        <v>35</v>
      </c>
      <c r="K1308" s="1" t="str">
        <f t="shared" si="61"/>
        <v/>
      </c>
      <c r="L1308" s="1" t="str">
        <f t="shared" si="62"/>
        <v/>
      </c>
      <c r="M1308" s="1">
        <f>IF(OR(Table1[[#This Row],[Std Nom]]="",Table1[[#This Row],[Std Read]]=""),0,Table1[[#This Row],[Std Nom]]-Table1[[#This Row],[Std Read]])</f>
        <v>0</v>
      </c>
      <c r="N1308" s="1">
        <f>IF(Calculations!$F$5="ACCREDITED 17025 WITH UNCERTAINTIES",$N$10,0)</f>
        <v>0</v>
      </c>
      <c r="Q1308" s="1">
        <f>Table1[[#This Row],[High Tol]]-Table1[[#This Row],[Low Tol]]</f>
        <v>0</v>
      </c>
      <c r="R1308" s="1">
        <f>2*Table1[[#This Row],[Std Error]]</f>
        <v>0</v>
      </c>
      <c r="S1308" s="1" t="str">
        <f>IF(Table1[[#This Row],[High Tol]]="","N/A",IFERROR(ABS(Table1[[#This Row],[Tol Span]]/Table1[[#This Row],[Error Span]]),"N/A"))</f>
        <v>N/A</v>
      </c>
      <c r="T1308" s="1" t="str">
        <f>IF(OR(Table1[[#This Row],[Low Tol]]="",Table1[[#This Row],[High Tol]]=""),"Needs Analysis",IF(Table1[[#This Row],[Ratio]]&gt;=4,"Not Significant",IF(Table1[[#This Row],[Ratio]]&gt;=2,"Semi-Significant","Significant")))</f>
        <v>Needs Analysis</v>
      </c>
      <c r="W1308" s="1">
        <f>IF(Table1[[#This Row],[Cal Type]]&lt;&gt;"ACCREDITED 17025 WITH UNCERTAINTIES",0,"")</f>
        <v>0</v>
      </c>
      <c r="X1308" s="1" t="str">
        <f>IF(Table1[[#This Row],[DUT Read]]="","N/A",Table1[[#This Row],[Std Error]]+Table1[[#This Row],[DUT Read]]+Table1[[#This Row],[DUT Ucty]])</f>
        <v>N/A</v>
      </c>
      <c r="Y1308" s="1" t="str">
        <f>IF(Table1[[#This Row],[Std Read]]="","N/A",Table1[[#This Row],[Std Read]]+Table1[[#This Row],[Std Ucty]])</f>
        <v>N/A</v>
      </c>
      <c r="Z13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8" s="1" t="str">
        <f>IF(Table1[[#This Row],[Spec Type]]="","N/A",Table1[[#This Row],[Spec Type]])</f>
        <v>±</v>
      </c>
      <c r="AC1308" s="1" t="str">
        <f>IF(Table1[[#This Row],[Spec Type2]]="N/A","N/A",IF(AND(Table1[[#This Row],[DUT Adj Read]]&gt;=Table1[[#This Row],[Low Tol]],Table1[[#This Row],[DUT Adj Read]]&lt;=Table1[[#This Row],[High Tol]]),"Pass","Fail"))</f>
        <v>Fail</v>
      </c>
      <c r="AD1308" s="1" t="str">
        <f>IF(AND(Table1[[#This Row],[Spec Type2]]="N/A",Table1[[#This Row],[DUT Adj Read]]="N/A",Table1[[#This Row],[Std Adj Read]]="N/A"),"N/A",IF(Table1[[#This Row],[DUT Adj Read]]="N/A",IF(Table1[[#This Row],[Std Adj Read]]&gt;Table1[[#This Row],[Low Tol]],"Pass","Fail"),IF(Table1[[#This Row],[DUT Adj Read]]&gt;Table1[[#This Row],[Low Tol]],"Pass","Fail")))</f>
        <v>Pass</v>
      </c>
      <c r="AE1308" s="1" t="str">
        <f>IF(AND(Table1[[#This Row],[Spec Type2]]="N/A",Table1[[#This Row],[DUT Adj Read]]="N/A",Table1[[#This Row],[Std Adj Read]]="N/A"),"N/A",IF(Table1[[#This Row],[DUT Adj Read]]="N/A",IF(Table1[[#This Row],[Std Adj Read]]&lt;Table1[[#This Row],[High Tol]],"Pass","Fail"),IF(Table1[[#This Row],[DUT Adj Read]]&lt;Table1[[#This Row],[High Tol]],"Pass","Fail")))</f>
        <v>Fail</v>
      </c>
      <c r="AF1308" s="1" t="str">
        <f>IF(AND(Table1[[#This Row],[Spec Type2]]="N/A",Table1[[#This Row],[DUT Adj Read]]="N/A",Table1[[#This Row],[Std Adj Read]]="N/A"),"N/A",IF(Table1[[#This Row],[DUT Adj Read]]="N/A",IF(Table1[[#This Row],[Std Adj Read]]&gt;=Table1[[#This Row],[Low Tol]],"Pass","Fail"),IF(Table1[[#This Row],[DUT Adj Read]]&gt;=Table1[[#This Row],[Low Tol]],"Pass","Fail")))</f>
        <v>Pass</v>
      </c>
      <c r="AG1308" s="1" t="str">
        <f>IF(AND(Table1[[#This Row],[Spec Type2]]="N/A",Table1[[#This Row],[DUT Adj Read]]="N/A",Table1[[#This Row],[Std Adj Read]]="N/A"),"N/A",IF(Table1[[#This Row],[DUT Adj Read]]="N/A",IF(Table1[[#This Row],[Std Adj Read]]&lt;=Table1[[#This Row],[High Tol]],"Pass","Fail"),IF(Table1[[#This Row],[DUT Adj Read]]&lt;=Table1[[#This Row],[High Tol]],"Pass","Fail")))</f>
        <v>Fail</v>
      </c>
      <c r="AH13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8" s="1" t="b">
        <v>0</v>
      </c>
      <c r="AN1308" s="1" t="b">
        <v>0</v>
      </c>
      <c r="AO1308" s="1" t="b">
        <v>0</v>
      </c>
    </row>
    <row r="1309" spans="1:41" x14ac:dyDescent="0.25">
      <c r="A1309" s="10"/>
      <c r="B1309" s="10"/>
      <c r="C1309" s="10"/>
      <c r="D1309" s="10"/>
      <c r="E1309" s="10"/>
      <c r="F1309" s="10"/>
      <c r="G1309" s="10"/>
      <c r="H1309" s="10"/>
      <c r="I1309" s="1" t="str">
        <f t="shared" si="60"/>
        <v/>
      </c>
      <c r="J1309" s="1" t="s">
        <v>35</v>
      </c>
      <c r="K1309" s="1" t="str">
        <f t="shared" si="61"/>
        <v/>
      </c>
      <c r="L1309" s="1" t="str">
        <f t="shared" si="62"/>
        <v/>
      </c>
      <c r="M1309" s="1">
        <f>IF(OR(Table1[[#This Row],[Std Nom]]="",Table1[[#This Row],[Std Read]]=""),0,Table1[[#This Row],[Std Nom]]-Table1[[#This Row],[Std Read]])</f>
        <v>0</v>
      </c>
      <c r="N1309" s="1">
        <f>IF(Calculations!$F$5="ACCREDITED 17025 WITH UNCERTAINTIES",$N$10,0)</f>
        <v>0</v>
      </c>
      <c r="Q1309" s="1">
        <f>Table1[[#This Row],[High Tol]]-Table1[[#This Row],[Low Tol]]</f>
        <v>0</v>
      </c>
      <c r="R1309" s="1">
        <f>2*Table1[[#This Row],[Std Error]]</f>
        <v>0</v>
      </c>
      <c r="S1309" s="1" t="str">
        <f>IF(Table1[[#This Row],[High Tol]]="","N/A",IFERROR(ABS(Table1[[#This Row],[Tol Span]]/Table1[[#This Row],[Error Span]]),"N/A"))</f>
        <v>N/A</v>
      </c>
      <c r="T1309" s="1" t="str">
        <f>IF(OR(Table1[[#This Row],[Low Tol]]="",Table1[[#This Row],[High Tol]]=""),"Needs Analysis",IF(Table1[[#This Row],[Ratio]]&gt;=4,"Not Significant",IF(Table1[[#This Row],[Ratio]]&gt;=2,"Semi-Significant","Significant")))</f>
        <v>Needs Analysis</v>
      </c>
      <c r="W1309" s="1">
        <f>IF(Table1[[#This Row],[Cal Type]]&lt;&gt;"ACCREDITED 17025 WITH UNCERTAINTIES",0,"")</f>
        <v>0</v>
      </c>
      <c r="X1309" s="1" t="str">
        <f>IF(Table1[[#This Row],[DUT Read]]="","N/A",Table1[[#This Row],[Std Error]]+Table1[[#This Row],[DUT Read]]+Table1[[#This Row],[DUT Ucty]])</f>
        <v>N/A</v>
      </c>
      <c r="Y1309" s="1" t="str">
        <f>IF(Table1[[#This Row],[Std Read]]="","N/A",Table1[[#This Row],[Std Read]]+Table1[[#This Row],[Std Ucty]])</f>
        <v>N/A</v>
      </c>
      <c r="Z13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09" s="1" t="str">
        <f>IF(Table1[[#This Row],[Spec Type]]="","N/A",Table1[[#This Row],[Spec Type]])</f>
        <v>±</v>
      </c>
      <c r="AC1309" s="1" t="str">
        <f>IF(Table1[[#This Row],[Spec Type2]]="N/A","N/A",IF(AND(Table1[[#This Row],[DUT Adj Read]]&gt;=Table1[[#This Row],[Low Tol]],Table1[[#This Row],[DUT Adj Read]]&lt;=Table1[[#This Row],[High Tol]]),"Pass","Fail"))</f>
        <v>Fail</v>
      </c>
      <c r="AD1309" s="1" t="str">
        <f>IF(AND(Table1[[#This Row],[Spec Type2]]="N/A",Table1[[#This Row],[DUT Adj Read]]="N/A",Table1[[#This Row],[Std Adj Read]]="N/A"),"N/A",IF(Table1[[#This Row],[DUT Adj Read]]="N/A",IF(Table1[[#This Row],[Std Adj Read]]&gt;Table1[[#This Row],[Low Tol]],"Pass","Fail"),IF(Table1[[#This Row],[DUT Adj Read]]&gt;Table1[[#This Row],[Low Tol]],"Pass","Fail")))</f>
        <v>Pass</v>
      </c>
      <c r="AE1309" s="1" t="str">
        <f>IF(AND(Table1[[#This Row],[Spec Type2]]="N/A",Table1[[#This Row],[DUT Adj Read]]="N/A",Table1[[#This Row],[Std Adj Read]]="N/A"),"N/A",IF(Table1[[#This Row],[DUT Adj Read]]="N/A",IF(Table1[[#This Row],[Std Adj Read]]&lt;Table1[[#This Row],[High Tol]],"Pass","Fail"),IF(Table1[[#This Row],[DUT Adj Read]]&lt;Table1[[#This Row],[High Tol]],"Pass","Fail")))</f>
        <v>Fail</v>
      </c>
      <c r="AF1309" s="1" t="str">
        <f>IF(AND(Table1[[#This Row],[Spec Type2]]="N/A",Table1[[#This Row],[DUT Adj Read]]="N/A",Table1[[#This Row],[Std Adj Read]]="N/A"),"N/A",IF(Table1[[#This Row],[DUT Adj Read]]="N/A",IF(Table1[[#This Row],[Std Adj Read]]&gt;=Table1[[#This Row],[Low Tol]],"Pass","Fail"),IF(Table1[[#This Row],[DUT Adj Read]]&gt;=Table1[[#This Row],[Low Tol]],"Pass","Fail")))</f>
        <v>Pass</v>
      </c>
      <c r="AG1309" s="1" t="str">
        <f>IF(AND(Table1[[#This Row],[Spec Type2]]="N/A",Table1[[#This Row],[DUT Adj Read]]="N/A",Table1[[#This Row],[Std Adj Read]]="N/A"),"N/A",IF(Table1[[#This Row],[DUT Adj Read]]="N/A",IF(Table1[[#This Row],[Std Adj Read]]&lt;=Table1[[#This Row],[High Tol]],"Pass","Fail"),IF(Table1[[#This Row],[DUT Adj Read]]&lt;=Table1[[#This Row],[High Tol]],"Pass","Fail")))</f>
        <v>Fail</v>
      </c>
      <c r="AH13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09" s="1" t="b">
        <v>0</v>
      </c>
      <c r="AN1309" s="1" t="b">
        <v>0</v>
      </c>
      <c r="AO1309" s="1" t="b">
        <v>0</v>
      </c>
    </row>
    <row r="1310" spans="1:41" x14ac:dyDescent="0.25">
      <c r="A1310" s="10"/>
      <c r="B1310" s="10"/>
      <c r="C1310" s="10"/>
      <c r="D1310" s="10"/>
      <c r="E1310" s="10"/>
      <c r="F1310" s="10"/>
      <c r="G1310" s="10"/>
      <c r="H1310" s="10"/>
      <c r="I1310" s="1" t="str">
        <f t="shared" si="60"/>
        <v/>
      </c>
      <c r="J1310" s="1" t="s">
        <v>35</v>
      </c>
      <c r="K1310" s="1" t="str">
        <f t="shared" si="61"/>
        <v/>
      </c>
      <c r="L1310" s="1" t="str">
        <f t="shared" si="62"/>
        <v/>
      </c>
      <c r="M1310" s="1">
        <f>IF(OR(Table1[[#This Row],[Std Nom]]="",Table1[[#This Row],[Std Read]]=""),0,Table1[[#This Row],[Std Nom]]-Table1[[#This Row],[Std Read]])</f>
        <v>0</v>
      </c>
      <c r="N1310" s="1">
        <f>IF(Calculations!$F$5="ACCREDITED 17025 WITH UNCERTAINTIES",$N$10,0)</f>
        <v>0</v>
      </c>
      <c r="Q1310" s="1">
        <f>Table1[[#This Row],[High Tol]]-Table1[[#This Row],[Low Tol]]</f>
        <v>0</v>
      </c>
      <c r="R1310" s="1">
        <f>2*Table1[[#This Row],[Std Error]]</f>
        <v>0</v>
      </c>
      <c r="S1310" s="1" t="str">
        <f>IF(Table1[[#This Row],[High Tol]]="","N/A",IFERROR(ABS(Table1[[#This Row],[Tol Span]]/Table1[[#This Row],[Error Span]]),"N/A"))</f>
        <v>N/A</v>
      </c>
      <c r="T1310" s="1" t="str">
        <f>IF(OR(Table1[[#This Row],[Low Tol]]="",Table1[[#This Row],[High Tol]]=""),"Needs Analysis",IF(Table1[[#This Row],[Ratio]]&gt;=4,"Not Significant",IF(Table1[[#This Row],[Ratio]]&gt;=2,"Semi-Significant","Significant")))</f>
        <v>Needs Analysis</v>
      </c>
      <c r="W1310" s="1">
        <f>IF(Table1[[#This Row],[Cal Type]]&lt;&gt;"ACCREDITED 17025 WITH UNCERTAINTIES",0,"")</f>
        <v>0</v>
      </c>
      <c r="X1310" s="1" t="str">
        <f>IF(Table1[[#This Row],[DUT Read]]="","N/A",Table1[[#This Row],[Std Error]]+Table1[[#This Row],[DUT Read]]+Table1[[#This Row],[DUT Ucty]])</f>
        <v>N/A</v>
      </c>
      <c r="Y1310" s="1" t="str">
        <f>IF(Table1[[#This Row],[Std Read]]="","N/A",Table1[[#This Row],[Std Read]]+Table1[[#This Row],[Std Ucty]])</f>
        <v>N/A</v>
      </c>
      <c r="Z13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0" s="1" t="str">
        <f>IF(Table1[[#This Row],[Spec Type]]="","N/A",Table1[[#This Row],[Spec Type]])</f>
        <v>±</v>
      </c>
      <c r="AC1310" s="1" t="str">
        <f>IF(Table1[[#This Row],[Spec Type2]]="N/A","N/A",IF(AND(Table1[[#This Row],[DUT Adj Read]]&gt;=Table1[[#This Row],[Low Tol]],Table1[[#This Row],[DUT Adj Read]]&lt;=Table1[[#This Row],[High Tol]]),"Pass","Fail"))</f>
        <v>Fail</v>
      </c>
      <c r="AD1310" s="1" t="str">
        <f>IF(AND(Table1[[#This Row],[Spec Type2]]="N/A",Table1[[#This Row],[DUT Adj Read]]="N/A",Table1[[#This Row],[Std Adj Read]]="N/A"),"N/A",IF(Table1[[#This Row],[DUT Adj Read]]="N/A",IF(Table1[[#This Row],[Std Adj Read]]&gt;Table1[[#This Row],[Low Tol]],"Pass","Fail"),IF(Table1[[#This Row],[DUT Adj Read]]&gt;Table1[[#This Row],[Low Tol]],"Pass","Fail")))</f>
        <v>Pass</v>
      </c>
      <c r="AE1310" s="1" t="str">
        <f>IF(AND(Table1[[#This Row],[Spec Type2]]="N/A",Table1[[#This Row],[DUT Adj Read]]="N/A",Table1[[#This Row],[Std Adj Read]]="N/A"),"N/A",IF(Table1[[#This Row],[DUT Adj Read]]="N/A",IF(Table1[[#This Row],[Std Adj Read]]&lt;Table1[[#This Row],[High Tol]],"Pass","Fail"),IF(Table1[[#This Row],[DUT Adj Read]]&lt;Table1[[#This Row],[High Tol]],"Pass","Fail")))</f>
        <v>Fail</v>
      </c>
      <c r="AF1310" s="1" t="str">
        <f>IF(AND(Table1[[#This Row],[Spec Type2]]="N/A",Table1[[#This Row],[DUT Adj Read]]="N/A",Table1[[#This Row],[Std Adj Read]]="N/A"),"N/A",IF(Table1[[#This Row],[DUT Adj Read]]="N/A",IF(Table1[[#This Row],[Std Adj Read]]&gt;=Table1[[#This Row],[Low Tol]],"Pass","Fail"),IF(Table1[[#This Row],[DUT Adj Read]]&gt;=Table1[[#This Row],[Low Tol]],"Pass","Fail")))</f>
        <v>Pass</v>
      </c>
      <c r="AG1310" s="1" t="str">
        <f>IF(AND(Table1[[#This Row],[Spec Type2]]="N/A",Table1[[#This Row],[DUT Adj Read]]="N/A",Table1[[#This Row],[Std Adj Read]]="N/A"),"N/A",IF(Table1[[#This Row],[DUT Adj Read]]="N/A",IF(Table1[[#This Row],[Std Adj Read]]&lt;=Table1[[#This Row],[High Tol]],"Pass","Fail"),IF(Table1[[#This Row],[DUT Adj Read]]&lt;=Table1[[#This Row],[High Tol]],"Pass","Fail")))</f>
        <v>Fail</v>
      </c>
      <c r="AH13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0" s="1" t="b">
        <v>0</v>
      </c>
      <c r="AN1310" s="1" t="b">
        <v>0</v>
      </c>
      <c r="AO1310" s="1" t="b">
        <v>0</v>
      </c>
    </row>
    <row r="1311" spans="1:41" x14ac:dyDescent="0.25">
      <c r="A1311" s="10"/>
      <c r="B1311" s="10"/>
      <c r="C1311" s="10"/>
      <c r="D1311" s="10"/>
      <c r="E1311" s="10"/>
      <c r="F1311" s="10"/>
      <c r="G1311" s="10"/>
      <c r="H1311" s="10"/>
      <c r="I1311" s="1" t="str">
        <f t="shared" si="60"/>
        <v/>
      </c>
      <c r="J1311" s="1" t="s">
        <v>35</v>
      </c>
      <c r="K1311" s="1" t="str">
        <f t="shared" si="61"/>
        <v/>
      </c>
      <c r="L1311" s="1" t="str">
        <f t="shared" si="62"/>
        <v/>
      </c>
      <c r="M1311" s="1">
        <f>IF(OR(Table1[[#This Row],[Std Nom]]="",Table1[[#This Row],[Std Read]]=""),0,Table1[[#This Row],[Std Nom]]-Table1[[#This Row],[Std Read]])</f>
        <v>0</v>
      </c>
      <c r="N1311" s="1">
        <f>IF(Calculations!$F$5="ACCREDITED 17025 WITH UNCERTAINTIES",$N$10,0)</f>
        <v>0</v>
      </c>
      <c r="Q1311" s="1">
        <f>Table1[[#This Row],[High Tol]]-Table1[[#This Row],[Low Tol]]</f>
        <v>0</v>
      </c>
      <c r="R1311" s="1">
        <f>2*Table1[[#This Row],[Std Error]]</f>
        <v>0</v>
      </c>
      <c r="S1311" s="1" t="str">
        <f>IF(Table1[[#This Row],[High Tol]]="","N/A",IFERROR(ABS(Table1[[#This Row],[Tol Span]]/Table1[[#This Row],[Error Span]]),"N/A"))</f>
        <v>N/A</v>
      </c>
      <c r="T1311" s="1" t="str">
        <f>IF(OR(Table1[[#This Row],[Low Tol]]="",Table1[[#This Row],[High Tol]]=""),"Needs Analysis",IF(Table1[[#This Row],[Ratio]]&gt;=4,"Not Significant",IF(Table1[[#This Row],[Ratio]]&gt;=2,"Semi-Significant","Significant")))</f>
        <v>Needs Analysis</v>
      </c>
      <c r="W1311" s="1">
        <f>IF(Table1[[#This Row],[Cal Type]]&lt;&gt;"ACCREDITED 17025 WITH UNCERTAINTIES",0,"")</f>
        <v>0</v>
      </c>
      <c r="X1311" s="1" t="str">
        <f>IF(Table1[[#This Row],[DUT Read]]="","N/A",Table1[[#This Row],[Std Error]]+Table1[[#This Row],[DUT Read]]+Table1[[#This Row],[DUT Ucty]])</f>
        <v>N/A</v>
      </c>
      <c r="Y1311" s="1" t="str">
        <f>IF(Table1[[#This Row],[Std Read]]="","N/A",Table1[[#This Row],[Std Read]]+Table1[[#This Row],[Std Ucty]])</f>
        <v>N/A</v>
      </c>
      <c r="Z13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1" s="1" t="str">
        <f>IF(Table1[[#This Row],[Spec Type]]="","N/A",Table1[[#This Row],[Spec Type]])</f>
        <v>±</v>
      </c>
      <c r="AC1311" s="1" t="str">
        <f>IF(Table1[[#This Row],[Spec Type2]]="N/A","N/A",IF(AND(Table1[[#This Row],[DUT Adj Read]]&gt;=Table1[[#This Row],[Low Tol]],Table1[[#This Row],[DUT Adj Read]]&lt;=Table1[[#This Row],[High Tol]]),"Pass","Fail"))</f>
        <v>Fail</v>
      </c>
      <c r="AD1311" s="1" t="str">
        <f>IF(AND(Table1[[#This Row],[Spec Type2]]="N/A",Table1[[#This Row],[DUT Adj Read]]="N/A",Table1[[#This Row],[Std Adj Read]]="N/A"),"N/A",IF(Table1[[#This Row],[DUT Adj Read]]="N/A",IF(Table1[[#This Row],[Std Adj Read]]&gt;Table1[[#This Row],[Low Tol]],"Pass","Fail"),IF(Table1[[#This Row],[DUT Adj Read]]&gt;Table1[[#This Row],[Low Tol]],"Pass","Fail")))</f>
        <v>Pass</v>
      </c>
      <c r="AE1311" s="1" t="str">
        <f>IF(AND(Table1[[#This Row],[Spec Type2]]="N/A",Table1[[#This Row],[DUT Adj Read]]="N/A",Table1[[#This Row],[Std Adj Read]]="N/A"),"N/A",IF(Table1[[#This Row],[DUT Adj Read]]="N/A",IF(Table1[[#This Row],[Std Adj Read]]&lt;Table1[[#This Row],[High Tol]],"Pass","Fail"),IF(Table1[[#This Row],[DUT Adj Read]]&lt;Table1[[#This Row],[High Tol]],"Pass","Fail")))</f>
        <v>Fail</v>
      </c>
      <c r="AF1311" s="1" t="str">
        <f>IF(AND(Table1[[#This Row],[Spec Type2]]="N/A",Table1[[#This Row],[DUT Adj Read]]="N/A",Table1[[#This Row],[Std Adj Read]]="N/A"),"N/A",IF(Table1[[#This Row],[DUT Adj Read]]="N/A",IF(Table1[[#This Row],[Std Adj Read]]&gt;=Table1[[#This Row],[Low Tol]],"Pass","Fail"),IF(Table1[[#This Row],[DUT Adj Read]]&gt;=Table1[[#This Row],[Low Tol]],"Pass","Fail")))</f>
        <v>Pass</v>
      </c>
      <c r="AG1311" s="1" t="str">
        <f>IF(AND(Table1[[#This Row],[Spec Type2]]="N/A",Table1[[#This Row],[DUT Adj Read]]="N/A",Table1[[#This Row],[Std Adj Read]]="N/A"),"N/A",IF(Table1[[#This Row],[DUT Adj Read]]="N/A",IF(Table1[[#This Row],[Std Adj Read]]&lt;=Table1[[#This Row],[High Tol]],"Pass","Fail"),IF(Table1[[#This Row],[DUT Adj Read]]&lt;=Table1[[#This Row],[High Tol]],"Pass","Fail")))</f>
        <v>Fail</v>
      </c>
      <c r="AH13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1" s="1" t="b">
        <v>0</v>
      </c>
      <c r="AN1311" s="1" t="b">
        <v>0</v>
      </c>
      <c r="AO1311" s="1" t="b">
        <v>0</v>
      </c>
    </row>
    <row r="1312" spans="1:41" x14ac:dyDescent="0.25">
      <c r="A1312" s="10"/>
      <c r="B1312" s="10"/>
      <c r="C1312" s="10"/>
      <c r="D1312" s="10"/>
      <c r="E1312" s="10"/>
      <c r="F1312" s="10"/>
      <c r="G1312" s="10"/>
      <c r="H1312" s="10"/>
      <c r="I1312" s="1" t="str">
        <f t="shared" si="60"/>
        <v/>
      </c>
      <c r="J1312" s="1" t="s">
        <v>35</v>
      </c>
      <c r="K1312" s="1" t="str">
        <f t="shared" si="61"/>
        <v/>
      </c>
      <c r="L1312" s="1" t="str">
        <f t="shared" si="62"/>
        <v/>
      </c>
      <c r="M1312" s="1">
        <f>IF(OR(Table1[[#This Row],[Std Nom]]="",Table1[[#This Row],[Std Read]]=""),0,Table1[[#This Row],[Std Nom]]-Table1[[#This Row],[Std Read]])</f>
        <v>0</v>
      </c>
      <c r="N1312" s="1">
        <f>IF(Calculations!$F$5="ACCREDITED 17025 WITH UNCERTAINTIES",$N$10,0)</f>
        <v>0</v>
      </c>
      <c r="Q1312" s="1">
        <f>Table1[[#This Row],[High Tol]]-Table1[[#This Row],[Low Tol]]</f>
        <v>0</v>
      </c>
      <c r="R1312" s="1">
        <f>2*Table1[[#This Row],[Std Error]]</f>
        <v>0</v>
      </c>
      <c r="S1312" s="1" t="str">
        <f>IF(Table1[[#This Row],[High Tol]]="","N/A",IFERROR(ABS(Table1[[#This Row],[Tol Span]]/Table1[[#This Row],[Error Span]]),"N/A"))</f>
        <v>N/A</v>
      </c>
      <c r="T1312" s="1" t="str">
        <f>IF(OR(Table1[[#This Row],[Low Tol]]="",Table1[[#This Row],[High Tol]]=""),"Needs Analysis",IF(Table1[[#This Row],[Ratio]]&gt;=4,"Not Significant",IF(Table1[[#This Row],[Ratio]]&gt;=2,"Semi-Significant","Significant")))</f>
        <v>Needs Analysis</v>
      </c>
      <c r="W1312" s="1">
        <f>IF(Table1[[#This Row],[Cal Type]]&lt;&gt;"ACCREDITED 17025 WITH UNCERTAINTIES",0,"")</f>
        <v>0</v>
      </c>
      <c r="X1312" s="1" t="str">
        <f>IF(Table1[[#This Row],[DUT Read]]="","N/A",Table1[[#This Row],[Std Error]]+Table1[[#This Row],[DUT Read]]+Table1[[#This Row],[DUT Ucty]])</f>
        <v>N/A</v>
      </c>
      <c r="Y1312" s="1" t="str">
        <f>IF(Table1[[#This Row],[Std Read]]="","N/A",Table1[[#This Row],[Std Read]]+Table1[[#This Row],[Std Ucty]])</f>
        <v>N/A</v>
      </c>
      <c r="Z13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2" s="1" t="str">
        <f>IF(Table1[[#This Row],[Spec Type]]="","N/A",Table1[[#This Row],[Spec Type]])</f>
        <v>±</v>
      </c>
      <c r="AC1312" s="1" t="str">
        <f>IF(Table1[[#This Row],[Spec Type2]]="N/A","N/A",IF(AND(Table1[[#This Row],[DUT Adj Read]]&gt;=Table1[[#This Row],[Low Tol]],Table1[[#This Row],[DUT Adj Read]]&lt;=Table1[[#This Row],[High Tol]]),"Pass","Fail"))</f>
        <v>Fail</v>
      </c>
      <c r="AD1312" s="1" t="str">
        <f>IF(AND(Table1[[#This Row],[Spec Type2]]="N/A",Table1[[#This Row],[DUT Adj Read]]="N/A",Table1[[#This Row],[Std Adj Read]]="N/A"),"N/A",IF(Table1[[#This Row],[DUT Adj Read]]="N/A",IF(Table1[[#This Row],[Std Adj Read]]&gt;Table1[[#This Row],[Low Tol]],"Pass","Fail"),IF(Table1[[#This Row],[DUT Adj Read]]&gt;Table1[[#This Row],[Low Tol]],"Pass","Fail")))</f>
        <v>Pass</v>
      </c>
      <c r="AE1312" s="1" t="str">
        <f>IF(AND(Table1[[#This Row],[Spec Type2]]="N/A",Table1[[#This Row],[DUT Adj Read]]="N/A",Table1[[#This Row],[Std Adj Read]]="N/A"),"N/A",IF(Table1[[#This Row],[DUT Adj Read]]="N/A",IF(Table1[[#This Row],[Std Adj Read]]&lt;Table1[[#This Row],[High Tol]],"Pass","Fail"),IF(Table1[[#This Row],[DUT Adj Read]]&lt;Table1[[#This Row],[High Tol]],"Pass","Fail")))</f>
        <v>Fail</v>
      </c>
      <c r="AF1312" s="1" t="str">
        <f>IF(AND(Table1[[#This Row],[Spec Type2]]="N/A",Table1[[#This Row],[DUT Adj Read]]="N/A",Table1[[#This Row],[Std Adj Read]]="N/A"),"N/A",IF(Table1[[#This Row],[DUT Adj Read]]="N/A",IF(Table1[[#This Row],[Std Adj Read]]&gt;=Table1[[#This Row],[Low Tol]],"Pass","Fail"),IF(Table1[[#This Row],[DUT Adj Read]]&gt;=Table1[[#This Row],[Low Tol]],"Pass","Fail")))</f>
        <v>Pass</v>
      </c>
      <c r="AG1312" s="1" t="str">
        <f>IF(AND(Table1[[#This Row],[Spec Type2]]="N/A",Table1[[#This Row],[DUT Adj Read]]="N/A",Table1[[#This Row],[Std Adj Read]]="N/A"),"N/A",IF(Table1[[#This Row],[DUT Adj Read]]="N/A",IF(Table1[[#This Row],[Std Adj Read]]&lt;=Table1[[#This Row],[High Tol]],"Pass","Fail"),IF(Table1[[#This Row],[DUT Adj Read]]&lt;=Table1[[#This Row],[High Tol]],"Pass","Fail")))</f>
        <v>Fail</v>
      </c>
      <c r="AH13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2" s="1" t="b">
        <v>0</v>
      </c>
      <c r="AN1312" s="1" t="b">
        <v>0</v>
      </c>
      <c r="AO1312" s="1" t="b">
        <v>0</v>
      </c>
    </row>
    <row r="1313" spans="1:41" x14ac:dyDescent="0.25">
      <c r="A1313" s="10"/>
      <c r="B1313" s="10"/>
      <c r="C1313" s="10"/>
      <c r="D1313" s="10"/>
      <c r="E1313" s="10"/>
      <c r="F1313" s="10"/>
      <c r="G1313" s="10"/>
      <c r="H1313" s="10"/>
      <c r="I1313" s="1" t="str">
        <f t="shared" si="60"/>
        <v/>
      </c>
      <c r="J1313" s="1" t="s">
        <v>35</v>
      </c>
      <c r="K1313" s="1" t="str">
        <f t="shared" si="61"/>
        <v/>
      </c>
      <c r="L1313" s="1" t="str">
        <f t="shared" si="62"/>
        <v/>
      </c>
      <c r="M1313" s="1">
        <f>IF(OR(Table1[[#This Row],[Std Nom]]="",Table1[[#This Row],[Std Read]]=""),0,Table1[[#This Row],[Std Nom]]-Table1[[#This Row],[Std Read]])</f>
        <v>0</v>
      </c>
      <c r="N1313" s="1">
        <f>IF(Calculations!$F$5="ACCREDITED 17025 WITH UNCERTAINTIES",$N$10,0)</f>
        <v>0</v>
      </c>
      <c r="Q1313" s="1">
        <f>Table1[[#This Row],[High Tol]]-Table1[[#This Row],[Low Tol]]</f>
        <v>0</v>
      </c>
      <c r="R1313" s="1">
        <f>2*Table1[[#This Row],[Std Error]]</f>
        <v>0</v>
      </c>
      <c r="S1313" s="1" t="str">
        <f>IF(Table1[[#This Row],[High Tol]]="","N/A",IFERROR(ABS(Table1[[#This Row],[Tol Span]]/Table1[[#This Row],[Error Span]]),"N/A"))</f>
        <v>N/A</v>
      </c>
      <c r="T1313" s="1" t="str">
        <f>IF(OR(Table1[[#This Row],[Low Tol]]="",Table1[[#This Row],[High Tol]]=""),"Needs Analysis",IF(Table1[[#This Row],[Ratio]]&gt;=4,"Not Significant",IF(Table1[[#This Row],[Ratio]]&gt;=2,"Semi-Significant","Significant")))</f>
        <v>Needs Analysis</v>
      </c>
      <c r="W1313" s="1">
        <f>IF(Table1[[#This Row],[Cal Type]]&lt;&gt;"ACCREDITED 17025 WITH UNCERTAINTIES",0,"")</f>
        <v>0</v>
      </c>
      <c r="X1313" s="1" t="str">
        <f>IF(Table1[[#This Row],[DUT Read]]="","N/A",Table1[[#This Row],[Std Error]]+Table1[[#This Row],[DUT Read]]+Table1[[#This Row],[DUT Ucty]])</f>
        <v>N/A</v>
      </c>
      <c r="Y1313" s="1" t="str">
        <f>IF(Table1[[#This Row],[Std Read]]="","N/A",Table1[[#This Row],[Std Read]]+Table1[[#This Row],[Std Ucty]])</f>
        <v>N/A</v>
      </c>
      <c r="Z13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3" s="1" t="str">
        <f>IF(Table1[[#This Row],[Spec Type]]="","N/A",Table1[[#This Row],[Spec Type]])</f>
        <v>±</v>
      </c>
      <c r="AC1313" s="1" t="str">
        <f>IF(Table1[[#This Row],[Spec Type2]]="N/A","N/A",IF(AND(Table1[[#This Row],[DUT Adj Read]]&gt;=Table1[[#This Row],[Low Tol]],Table1[[#This Row],[DUT Adj Read]]&lt;=Table1[[#This Row],[High Tol]]),"Pass","Fail"))</f>
        <v>Fail</v>
      </c>
      <c r="AD1313" s="1" t="str">
        <f>IF(AND(Table1[[#This Row],[Spec Type2]]="N/A",Table1[[#This Row],[DUT Adj Read]]="N/A",Table1[[#This Row],[Std Adj Read]]="N/A"),"N/A",IF(Table1[[#This Row],[DUT Adj Read]]="N/A",IF(Table1[[#This Row],[Std Adj Read]]&gt;Table1[[#This Row],[Low Tol]],"Pass","Fail"),IF(Table1[[#This Row],[DUT Adj Read]]&gt;Table1[[#This Row],[Low Tol]],"Pass","Fail")))</f>
        <v>Pass</v>
      </c>
      <c r="AE1313" s="1" t="str">
        <f>IF(AND(Table1[[#This Row],[Spec Type2]]="N/A",Table1[[#This Row],[DUT Adj Read]]="N/A",Table1[[#This Row],[Std Adj Read]]="N/A"),"N/A",IF(Table1[[#This Row],[DUT Adj Read]]="N/A",IF(Table1[[#This Row],[Std Adj Read]]&lt;Table1[[#This Row],[High Tol]],"Pass","Fail"),IF(Table1[[#This Row],[DUT Adj Read]]&lt;Table1[[#This Row],[High Tol]],"Pass","Fail")))</f>
        <v>Fail</v>
      </c>
      <c r="AF1313" s="1" t="str">
        <f>IF(AND(Table1[[#This Row],[Spec Type2]]="N/A",Table1[[#This Row],[DUT Adj Read]]="N/A",Table1[[#This Row],[Std Adj Read]]="N/A"),"N/A",IF(Table1[[#This Row],[DUT Adj Read]]="N/A",IF(Table1[[#This Row],[Std Adj Read]]&gt;=Table1[[#This Row],[Low Tol]],"Pass","Fail"),IF(Table1[[#This Row],[DUT Adj Read]]&gt;=Table1[[#This Row],[Low Tol]],"Pass","Fail")))</f>
        <v>Pass</v>
      </c>
      <c r="AG1313" s="1" t="str">
        <f>IF(AND(Table1[[#This Row],[Spec Type2]]="N/A",Table1[[#This Row],[DUT Adj Read]]="N/A",Table1[[#This Row],[Std Adj Read]]="N/A"),"N/A",IF(Table1[[#This Row],[DUT Adj Read]]="N/A",IF(Table1[[#This Row],[Std Adj Read]]&lt;=Table1[[#This Row],[High Tol]],"Pass","Fail"),IF(Table1[[#This Row],[DUT Adj Read]]&lt;=Table1[[#This Row],[High Tol]],"Pass","Fail")))</f>
        <v>Fail</v>
      </c>
      <c r="AH13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3" s="1" t="b">
        <v>0</v>
      </c>
      <c r="AN1313" s="1" t="b">
        <v>0</v>
      </c>
      <c r="AO1313" s="1" t="b">
        <v>0</v>
      </c>
    </row>
    <row r="1314" spans="1:41" x14ac:dyDescent="0.25">
      <c r="A1314" s="10"/>
      <c r="B1314" s="10"/>
      <c r="C1314" s="10"/>
      <c r="D1314" s="10"/>
      <c r="E1314" s="10"/>
      <c r="F1314" s="10"/>
      <c r="G1314" s="10"/>
      <c r="H1314" s="10"/>
      <c r="I1314" s="1" t="str">
        <f t="shared" si="60"/>
        <v/>
      </c>
      <c r="J1314" s="1" t="s">
        <v>35</v>
      </c>
      <c r="K1314" s="1" t="str">
        <f t="shared" si="61"/>
        <v/>
      </c>
      <c r="L1314" s="1" t="str">
        <f t="shared" si="62"/>
        <v/>
      </c>
      <c r="M1314" s="1">
        <f>IF(OR(Table1[[#This Row],[Std Nom]]="",Table1[[#This Row],[Std Read]]=""),0,Table1[[#This Row],[Std Nom]]-Table1[[#This Row],[Std Read]])</f>
        <v>0</v>
      </c>
      <c r="N1314" s="1">
        <f>IF(Calculations!$F$5="ACCREDITED 17025 WITH UNCERTAINTIES",$N$10,0)</f>
        <v>0</v>
      </c>
      <c r="Q1314" s="1">
        <f>Table1[[#This Row],[High Tol]]-Table1[[#This Row],[Low Tol]]</f>
        <v>0</v>
      </c>
      <c r="R1314" s="1">
        <f>2*Table1[[#This Row],[Std Error]]</f>
        <v>0</v>
      </c>
      <c r="S1314" s="1" t="str">
        <f>IF(Table1[[#This Row],[High Tol]]="","N/A",IFERROR(ABS(Table1[[#This Row],[Tol Span]]/Table1[[#This Row],[Error Span]]),"N/A"))</f>
        <v>N/A</v>
      </c>
      <c r="T1314" s="1" t="str">
        <f>IF(OR(Table1[[#This Row],[Low Tol]]="",Table1[[#This Row],[High Tol]]=""),"Needs Analysis",IF(Table1[[#This Row],[Ratio]]&gt;=4,"Not Significant",IF(Table1[[#This Row],[Ratio]]&gt;=2,"Semi-Significant","Significant")))</f>
        <v>Needs Analysis</v>
      </c>
      <c r="W1314" s="1">
        <f>IF(Table1[[#This Row],[Cal Type]]&lt;&gt;"ACCREDITED 17025 WITH UNCERTAINTIES",0,"")</f>
        <v>0</v>
      </c>
      <c r="X1314" s="1" t="str">
        <f>IF(Table1[[#This Row],[DUT Read]]="","N/A",Table1[[#This Row],[Std Error]]+Table1[[#This Row],[DUT Read]]+Table1[[#This Row],[DUT Ucty]])</f>
        <v>N/A</v>
      </c>
      <c r="Y1314" s="1" t="str">
        <f>IF(Table1[[#This Row],[Std Read]]="","N/A",Table1[[#This Row],[Std Read]]+Table1[[#This Row],[Std Ucty]])</f>
        <v>N/A</v>
      </c>
      <c r="Z13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4" s="1" t="str">
        <f>IF(Table1[[#This Row],[Spec Type]]="","N/A",Table1[[#This Row],[Spec Type]])</f>
        <v>±</v>
      </c>
      <c r="AC1314" s="1" t="str">
        <f>IF(Table1[[#This Row],[Spec Type2]]="N/A","N/A",IF(AND(Table1[[#This Row],[DUT Adj Read]]&gt;=Table1[[#This Row],[Low Tol]],Table1[[#This Row],[DUT Adj Read]]&lt;=Table1[[#This Row],[High Tol]]),"Pass","Fail"))</f>
        <v>Fail</v>
      </c>
      <c r="AD1314" s="1" t="str">
        <f>IF(AND(Table1[[#This Row],[Spec Type2]]="N/A",Table1[[#This Row],[DUT Adj Read]]="N/A",Table1[[#This Row],[Std Adj Read]]="N/A"),"N/A",IF(Table1[[#This Row],[DUT Adj Read]]="N/A",IF(Table1[[#This Row],[Std Adj Read]]&gt;Table1[[#This Row],[Low Tol]],"Pass","Fail"),IF(Table1[[#This Row],[DUT Adj Read]]&gt;Table1[[#This Row],[Low Tol]],"Pass","Fail")))</f>
        <v>Pass</v>
      </c>
      <c r="AE1314" s="1" t="str">
        <f>IF(AND(Table1[[#This Row],[Spec Type2]]="N/A",Table1[[#This Row],[DUT Adj Read]]="N/A",Table1[[#This Row],[Std Adj Read]]="N/A"),"N/A",IF(Table1[[#This Row],[DUT Adj Read]]="N/A",IF(Table1[[#This Row],[Std Adj Read]]&lt;Table1[[#This Row],[High Tol]],"Pass","Fail"),IF(Table1[[#This Row],[DUT Adj Read]]&lt;Table1[[#This Row],[High Tol]],"Pass","Fail")))</f>
        <v>Fail</v>
      </c>
      <c r="AF1314" s="1" t="str">
        <f>IF(AND(Table1[[#This Row],[Spec Type2]]="N/A",Table1[[#This Row],[DUT Adj Read]]="N/A",Table1[[#This Row],[Std Adj Read]]="N/A"),"N/A",IF(Table1[[#This Row],[DUT Adj Read]]="N/A",IF(Table1[[#This Row],[Std Adj Read]]&gt;=Table1[[#This Row],[Low Tol]],"Pass","Fail"),IF(Table1[[#This Row],[DUT Adj Read]]&gt;=Table1[[#This Row],[Low Tol]],"Pass","Fail")))</f>
        <v>Pass</v>
      </c>
      <c r="AG1314" s="1" t="str">
        <f>IF(AND(Table1[[#This Row],[Spec Type2]]="N/A",Table1[[#This Row],[DUT Adj Read]]="N/A",Table1[[#This Row],[Std Adj Read]]="N/A"),"N/A",IF(Table1[[#This Row],[DUT Adj Read]]="N/A",IF(Table1[[#This Row],[Std Adj Read]]&lt;=Table1[[#This Row],[High Tol]],"Pass","Fail"),IF(Table1[[#This Row],[DUT Adj Read]]&lt;=Table1[[#This Row],[High Tol]],"Pass","Fail")))</f>
        <v>Fail</v>
      </c>
      <c r="AH13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4" s="1" t="b">
        <v>0</v>
      </c>
      <c r="AN1314" s="1" t="b">
        <v>0</v>
      </c>
      <c r="AO1314" s="1" t="b">
        <v>0</v>
      </c>
    </row>
    <row r="1315" spans="1:41" x14ac:dyDescent="0.25">
      <c r="A1315" s="10"/>
      <c r="B1315" s="10"/>
      <c r="C1315" s="10"/>
      <c r="D1315" s="10"/>
      <c r="E1315" s="10"/>
      <c r="F1315" s="10"/>
      <c r="G1315" s="10"/>
      <c r="H1315" s="10"/>
      <c r="I1315" s="1" t="str">
        <f t="shared" si="60"/>
        <v/>
      </c>
      <c r="J1315" s="1" t="s">
        <v>35</v>
      </c>
      <c r="K1315" s="1" t="str">
        <f t="shared" si="61"/>
        <v/>
      </c>
      <c r="L1315" s="1" t="str">
        <f t="shared" si="62"/>
        <v/>
      </c>
      <c r="M1315" s="1">
        <f>IF(OR(Table1[[#This Row],[Std Nom]]="",Table1[[#This Row],[Std Read]]=""),0,Table1[[#This Row],[Std Nom]]-Table1[[#This Row],[Std Read]])</f>
        <v>0</v>
      </c>
      <c r="N1315" s="1">
        <f>IF(Calculations!$F$5="ACCREDITED 17025 WITH UNCERTAINTIES",$N$10,0)</f>
        <v>0</v>
      </c>
      <c r="Q1315" s="1">
        <f>Table1[[#This Row],[High Tol]]-Table1[[#This Row],[Low Tol]]</f>
        <v>0</v>
      </c>
      <c r="R1315" s="1">
        <f>2*Table1[[#This Row],[Std Error]]</f>
        <v>0</v>
      </c>
      <c r="S1315" s="1" t="str">
        <f>IF(Table1[[#This Row],[High Tol]]="","N/A",IFERROR(ABS(Table1[[#This Row],[Tol Span]]/Table1[[#This Row],[Error Span]]),"N/A"))</f>
        <v>N/A</v>
      </c>
      <c r="T1315" s="1" t="str">
        <f>IF(OR(Table1[[#This Row],[Low Tol]]="",Table1[[#This Row],[High Tol]]=""),"Needs Analysis",IF(Table1[[#This Row],[Ratio]]&gt;=4,"Not Significant",IF(Table1[[#This Row],[Ratio]]&gt;=2,"Semi-Significant","Significant")))</f>
        <v>Needs Analysis</v>
      </c>
      <c r="W1315" s="1">
        <f>IF(Table1[[#This Row],[Cal Type]]&lt;&gt;"ACCREDITED 17025 WITH UNCERTAINTIES",0,"")</f>
        <v>0</v>
      </c>
      <c r="X1315" s="1" t="str">
        <f>IF(Table1[[#This Row],[DUT Read]]="","N/A",Table1[[#This Row],[Std Error]]+Table1[[#This Row],[DUT Read]]+Table1[[#This Row],[DUT Ucty]])</f>
        <v>N/A</v>
      </c>
      <c r="Y1315" s="1" t="str">
        <f>IF(Table1[[#This Row],[Std Read]]="","N/A",Table1[[#This Row],[Std Read]]+Table1[[#This Row],[Std Ucty]])</f>
        <v>N/A</v>
      </c>
      <c r="Z13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5" s="1" t="str">
        <f>IF(Table1[[#This Row],[Spec Type]]="","N/A",Table1[[#This Row],[Spec Type]])</f>
        <v>±</v>
      </c>
      <c r="AC1315" s="1" t="str">
        <f>IF(Table1[[#This Row],[Spec Type2]]="N/A","N/A",IF(AND(Table1[[#This Row],[DUT Adj Read]]&gt;=Table1[[#This Row],[Low Tol]],Table1[[#This Row],[DUT Adj Read]]&lt;=Table1[[#This Row],[High Tol]]),"Pass","Fail"))</f>
        <v>Fail</v>
      </c>
      <c r="AD1315" s="1" t="str">
        <f>IF(AND(Table1[[#This Row],[Spec Type2]]="N/A",Table1[[#This Row],[DUT Adj Read]]="N/A",Table1[[#This Row],[Std Adj Read]]="N/A"),"N/A",IF(Table1[[#This Row],[DUT Adj Read]]="N/A",IF(Table1[[#This Row],[Std Adj Read]]&gt;Table1[[#This Row],[Low Tol]],"Pass","Fail"),IF(Table1[[#This Row],[DUT Adj Read]]&gt;Table1[[#This Row],[Low Tol]],"Pass","Fail")))</f>
        <v>Pass</v>
      </c>
      <c r="AE1315" s="1" t="str">
        <f>IF(AND(Table1[[#This Row],[Spec Type2]]="N/A",Table1[[#This Row],[DUT Adj Read]]="N/A",Table1[[#This Row],[Std Adj Read]]="N/A"),"N/A",IF(Table1[[#This Row],[DUT Adj Read]]="N/A",IF(Table1[[#This Row],[Std Adj Read]]&lt;Table1[[#This Row],[High Tol]],"Pass","Fail"),IF(Table1[[#This Row],[DUT Adj Read]]&lt;Table1[[#This Row],[High Tol]],"Pass","Fail")))</f>
        <v>Fail</v>
      </c>
      <c r="AF1315" s="1" t="str">
        <f>IF(AND(Table1[[#This Row],[Spec Type2]]="N/A",Table1[[#This Row],[DUT Adj Read]]="N/A",Table1[[#This Row],[Std Adj Read]]="N/A"),"N/A",IF(Table1[[#This Row],[DUT Adj Read]]="N/A",IF(Table1[[#This Row],[Std Adj Read]]&gt;=Table1[[#This Row],[Low Tol]],"Pass","Fail"),IF(Table1[[#This Row],[DUT Adj Read]]&gt;=Table1[[#This Row],[Low Tol]],"Pass","Fail")))</f>
        <v>Pass</v>
      </c>
      <c r="AG1315" s="1" t="str">
        <f>IF(AND(Table1[[#This Row],[Spec Type2]]="N/A",Table1[[#This Row],[DUT Adj Read]]="N/A",Table1[[#This Row],[Std Adj Read]]="N/A"),"N/A",IF(Table1[[#This Row],[DUT Adj Read]]="N/A",IF(Table1[[#This Row],[Std Adj Read]]&lt;=Table1[[#This Row],[High Tol]],"Pass","Fail"),IF(Table1[[#This Row],[DUT Adj Read]]&lt;=Table1[[#This Row],[High Tol]],"Pass","Fail")))</f>
        <v>Fail</v>
      </c>
      <c r="AH13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5" s="1" t="b">
        <v>0</v>
      </c>
      <c r="AN1315" s="1" t="b">
        <v>0</v>
      </c>
      <c r="AO1315" s="1" t="b">
        <v>0</v>
      </c>
    </row>
    <row r="1316" spans="1:41" x14ac:dyDescent="0.25">
      <c r="A1316" s="10"/>
      <c r="B1316" s="10"/>
      <c r="C1316" s="10"/>
      <c r="D1316" s="10"/>
      <c r="E1316" s="10"/>
      <c r="F1316" s="10"/>
      <c r="G1316" s="10"/>
      <c r="H1316" s="10"/>
      <c r="I1316" s="1" t="str">
        <f t="shared" si="60"/>
        <v/>
      </c>
      <c r="J1316" s="1" t="s">
        <v>35</v>
      </c>
      <c r="K1316" s="1" t="str">
        <f t="shared" si="61"/>
        <v/>
      </c>
      <c r="L1316" s="1" t="str">
        <f t="shared" si="62"/>
        <v/>
      </c>
      <c r="M1316" s="1">
        <f>IF(OR(Table1[[#This Row],[Std Nom]]="",Table1[[#This Row],[Std Read]]=""),0,Table1[[#This Row],[Std Nom]]-Table1[[#This Row],[Std Read]])</f>
        <v>0</v>
      </c>
      <c r="N1316" s="1">
        <f>IF(Calculations!$F$5="ACCREDITED 17025 WITH UNCERTAINTIES",$N$10,0)</f>
        <v>0</v>
      </c>
      <c r="Q1316" s="1">
        <f>Table1[[#This Row],[High Tol]]-Table1[[#This Row],[Low Tol]]</f>
        <v>0</v>
      </c>
      <c r="R1316" s="1">
        <f>2*Table1[[#This Row],[Std Error]]</f>
        <v>0</v>
      </c>
      <c r="S1316" s="1" t="str">
        <f>IF(Table1[[#This Row],[High Tol]]="","N/A",IFERROR(ABS(Table1[[#This Row],[Tol Span]]/Table1[[#This Row],[Error Span]]),"N/A"))</f>
        <v>N/A</v>
      </c>
      <c r="T1316" s="1" t="str">
        <f>IF(OR(Table1[[#This Row],[Low Tol]]="",Table1[[#This Row],[High Tol]]=""),"Needs Analysis",IF(Table1[[#This Row],[Ratio]]&gt;=4,"Not Significant",IF(Table1[[#This Row],[Ratio]]&gt;=2,"Semi-Significant","Significant")))</f>
        <v>Needs Analysis</v>
      </c>
      <c r="W1316" s="1">
        <f>IF(Table1[[#This Row],[Cal Type]]&lt;&gt;"ACCREDITED 17025 WITH UNCERTAINTIES",0,"")</f>
        <v>0</v>
      </c>
      <c r="X1316" s="1" t="str">
        <f>IF(Table1[[#This Row],[DUT Read]]="","N/A",Table1[[#This Row],[Std Error]]+Table1[[#This Row],[DUT Read]]+Table1[[#This Row],[DUT Ucty]])</f>
        <v>N/A</v>
      </c>
      <c r="Y1316" s="1" t="str">
        <f>IF(Table1[[#This Row],[Std Read]]="","N/A",Table1[[#This Row],[Std Read]]+Table1[[#This Row],[Std Ucty]])</f>
        <v>N/A</v>
      </c>
      <c r="Z13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6" s="1" t="str">
        <f>IF(Table1[[#This Row],[Spec Type]]="","N/A",Table1[[#This Row],[Spec Type]])</f>
        <v>±</v>
      </c>
      <c r="AC1316" s="1" t="str">
        <f>IF(Table1[[#This Row],[Spec Type2]]="N/A","N/A",IF(AND(Table1[[#This Row],[DUT Adj Read]]&gt;=Table1[[#This Row],[Low Tol]],Table1[[#This Row],[DUT Adj Read]]&lt;=Table1[[#This Row],[High Tol]]),"Pass","Fail"))</f>
        <v>Fail</v>
      </c>
      <c r="AD1316" s="1" t="str">
        <f>IF(AND(Table1[[#This Row],[Spec Type2]]="N/A",Table1[[#This Row],[DUT Adj Read]]="N/A",Table1[[#This Row],[Std Adj Read]]="N/A"),"N/A",IF(Table1[[#This Row],[DUT Adj Read]]="N/A",IF(Table1[[#This Row],[Std Adj Read]]&gt;Table1[[#This Row],[Low Tol]],"Pass","Fail"),IF(Table1[[#This Row],[DUT Adj Read]]&gt;Table1[[#This Row],[Low Tol]],"Pass","Fail")))</f>
        <v>Pass</v>
      </c>
      <c r="AE1316" s="1" t="str">
        <f>IF(AND(Table1[[#This Row],[Spec Type2]]="N/A",Table1[[#This Row],[DUT Adj Read]]="N/A",Table1[[#This Row],[Std Adj Read]]="N/A"),"N/A",IF(Table1[[#This Row],[DUT Adj Read]]="N/A",IF(Table1[[#This Row],[Std Adj Read]]&lt;Table1[[#This Row],[High Tol]],"Pass","Fail"),IF(Table1[[#This Row],[DUT Adj Read]]&lt;Table1[[#This Row],[High Tol]],"Pass","Fail")))</f>
        <v>Fail</v>
      </c>
      <c r="AF1316" s="1" t="str">
        <f>IF(AND(Table1[[#This Row],[Spec Type2]]="N/A",Table1[[#This Row],[DUT Adj Read]]="N/A",Table1[[#This Row],[Std Adj Read]]="N/A"),"N/A",IF(Table1[[#This Row],[DUT Adj Read]]="N/A",IF(Table1[[#This Row],[Std Adj Read]]&gt;=Table1[[#This Row],[Low Tol]],"Pass","Fail"),IF(Table1[[#This Row],[DUT Adj Read]]&gt;=Table1[[#This Row],[Low Tol]],"Pass","Fail")))</f>
        <v>Pass</v>
      </c>
      <c r="AG1316" s="1" t="str">
        <f>IF(AND(Table1[[#This Row],[Spec Type2]]="N/A",Table1[[#This Row],[DUT Adj Read]]="N/A",Table1[[#This Row],[Std Adj Read]]="N/A"),"N/A",IF(Table1[[#This Row],[DUT Adj Read]]="N/A",IF(Table1[[#This Row],[Std Adj Read]]&lt;=Table1[[#This Row],[High Tol]],"Pass","Fail"),IF(Table1[[#This Row],[DUT Adj Read]]&lt;=Table1[[#This Row],[High Tol]],"Pass","Fail")))</f>
        <v>Fail</v>
      </c>
      <c r="AH13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6" s="1" t="b">
        <v>0</v>
      </c>
      <c r="AN1316" s="1" t="b">
        <v>0</v>
      </c>
      <c r="AO1316" s="1" t="b">
        <v>0</v>
      </c>
    </row>
    <row r="1317" spans="1:41" x14ac:dyDescent="0.25">
      <c r="A1317" s="10"/>
      <c r="B1317" s="10"/>
      <c r="C1317" s="10"/>
      <c r="D1317" s="10"/>
      <c r="E1317" s="10"/>
      <c r="F1317" s="10"/>
      <c r="G1317" s="10"/>
      <c r="H1317" s="10"/>
      <c r="I1317" s="1" t="str">
        <f t="shared" si="60"/>
        <v/>
      </c>
      <c r="J1317" s="1" t="s">
        <v>35</v>
      </c>
      <c r="K1317" s="1" t="str">
        <f t="shared" si="61"/>
        <v/>
      </c>
      <c r="L1317" s="1" t="str">
        <f t="shared" si="62"/>
        <v/>
      </c>
      <c r="M1317" s="1">
        <f>IF(OR(Table1[[#This Row],[Std Nom]]="",Table1[[#This Row],[Std Read]]=""),0,Table1[[#This Row],[Std Nom]]-Table1[[#This Row],[Std Read]])</f>
        <v>0</v>
      </c>
      <c r="N1317" s="1">
        <f>IF(Calculations!$F$5="ACCREDITED 17025 WITH UNCERTAINTIES",$N$10,0)</f>
        <v>0</v>
      </c>
      <c r="Q1317" s="1">
        <f>Table1[[#This Row],[High Tol]]-Table1[[#This Row],[Low Tol]]</f>
        <v>0</v>
      </c>
      <c r="R1317" s="1">
        <f>2*Table1[[#This Row],[Std Error]]</f>
        <v>0</v>
      </c>
      <c r="S1317" s="1" t="str">
        <f>IF(Table1[[#This Row],[High Tol]]="","N/A",IFERROR(ABS(Table1[[#This Row],[Tol Span]]/Table1[[#This Row],[Error Span]]),"N/A"))</f>
        <v>N/A</v>
      </c>
      <c r="T1317" s="1" t="str">
        <f>IF(OR(Table1[[#This Row],[Low Tol]]="",Table1[[#This Row],[High Tol]]=""),"Needs Analysis",IF(Table1[[#This Row],[Ratio]]&gt;=4,"Not Significant",IF(Table1[[#This Row],[Ratio]]&gt;=2,"Semi-Significant","Significant")))</f>
        <v>Needs Analysis</v>
      </c>
      <c r="W1317" s="1">
        <f>IF(Table1[[#This Row],[Cal Type]]&lt;&gt;"ACCREDITED 17025 WITH UNCERTAINTIES",0,"")</f>
        <v>0</v>
      </c>
      <c r="X1317" s="1" t="str">
        <f>IF(Table1[[#This Row],[DUT Read]]="","N/A",Table1[[#This Row],[Std Error]]+Table1[[#This Row],[DUT Read]]+Table1[[#This Row],[DUT Ucty]])</f>
        <v>N/A</v>
      </c>
      <c r="Y1317" s="1" t="str">
        <f>IF(Table1[[#This Row],[Std Read]]="","N/A",Table1[[#This Row],[Std Read]]+Table1[[#This Row],[Std Ucty]])</f>
        <v>N/A</v>
      </c>
      <c r="Z13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7" s="1" t="str">
        <f>IF(Table1[[#This Row],[Spec Type]]="","N/A",Table1[[#This Row],[Spec Type]])</f>
        <v>±</v>
      </c>
      <c r="AC1317" s="1" t="str">
        <f>IF(Table1[[#This Row],[Spec Type2]]="N/A","N/A",IF(AND(Table1[[#This Row],[DUT Adj Read]]&gt;=Table1[[#This Row],[Low Tol]],Table1[[#This Row],[DUT Adj Read]]&lt;=Table1[[#This Row],[High Tol]]),"Pass","Fail"))</f>
        <v>Fail</v>
      </c>
      <c r="AD1317" s="1" t="str">
        <f>IF(AND(Table1[[#This Row],[Spec Type2]]="N/A",Table1[[#This Row],[DUT Adj Read]]="N/A",Table1[[#This Row],[Std Adj Read]]="N/A"),"N/A",IF(Table1[[#This Row],[DUT Adj Read]]="N/A",IF(Table1[[#This Row],[Std Adj Read]]&gt;Table1[[#This Row],[Low Tol]],"Pass","Fail"),IF(Table1[[#This Row],[DUT Adj Read]]&gt;Table1[[#This Row],[Low Tol]],"Pass","Fail")))</f>
        <v>Pass</v>
      </c>
      <c r="AE1317" s="1" t="str">
        <f>IF(AND(Table1[[#This Row],[Spec Type2]]="N/A",Table1[[#This Row],[DUT Adj Read]]="N/A",Table1[[#This Row],[Std Adj Read]]="N/A"),"N/A",IF(Table1[[#This Row],[DUT Adj Read]]="N/A",IF(Table1[[#This Row],[Std Adj Read]]&lt;Table1[[#This Row],[High Tol]],"Pass","Fail"),IF(Table1[[#This Row],[DUT Adj Read]]&lt;Table1[[#This Row],[High Tol]],"Pass","Fail")))</f>
        <v>Fail</v>
      </c>
      <c r="AF1317" s="1" t="str">
        <f>IF(AND(Table1[[#This Row],[Spec Type2]]="N/A",Table1[[#This Row],[DUT Adj Read]]="N/A",Table1[[#This Row],[Std Adj Read]]="N/A"),"N/A",IF(Table1[[#This Row],[DUT Adj Read]]="N/A",IF(Table1[[#This Row],[Std Adj Read]]&gt;=Table1[[#This Row],[Low Tol]],"Pass","Fail"),IF(Table1[[#This Row],[DUT Adj Read]]&gt;=Table1[[#This Row],[Low Tol]],"Pass","Fail")))</f>
        <v>Pass</v>
      </c>
      <c r="AG1317" s="1" t="str">
        <f>IF(AND(Table1[[#This Row],[Spec Type2]]="N/A",Table1[[#This Row],[DUT Adj Read]]="N/A",Table1[[#This Row],[Std Adj Read]]="N/A"),"N/A",IF(Table1[[#This Row],[DUT Adj Read]]="N/A",IF(Table1[[#This Row],[Std Adj Read]]&lt;=Table1[[#This Row],[High Tol]],"Pass","Fail"),IF(Table1[[#This Row],[DUT Adj Read]]&lt;=Table1[[#This Row],[High Tol]],"Pass","Fail")))</f>
        <v>Fail</v>
      </c>
      <c r="AH13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7" s="1" t="b">
        <v>0</v>
      </c>
      <c r="AN1317" s="1" t="b">
        <v>0</v>
      </c>
      <c r="AO1317" s="1" t="b">
        <v>0</v>
      </c>
    </row>
    <row r="1318" spans="1:41" x14ac:dyDescent="0.25">
      <c r="A1318" s="10"/>
      <c r="B1318" s="10"/>
      <c r="C1318" s="10"/>
      <c r="D1318" s="10"/>
      <c r="E1318" s="10"/>
      <c r="F1318" s="10"/>
      <c r="G1318" s="10"/>
      <c r="H1318" s="10"/>
      <c r="I1318" s="1" t="str">
        <f t="shared" si="60"/>
        <v/>
      </c>
      <c r="J1318" s="1" t="s">
        <v>35</v>
      </c>
      <c r="K1318" s="1" t="str">
        <f t="shared" si="61"/>
        <v/>
      </c>
      <c r="L1318" s="1" t="str">
        <f t="shared" si="62"/>
        <v/>
      </c>
      <c r="M1318" s="1">
        <f>IF(OR(Table1[[#This Row],[Std Nom]]="",Table1[[#This Row],[Std Read]]=""),0,Table1[[#This Row],[Std Nom]]-Table1[[#This Row],[Std Read]])</f>
        <v>0</v>
      </c>
      <c r="N1318" s="1">
        <f>IF(Calculations!$F$5="ACCREDITED 17025 WITH UNCERTAINTIES",$N$10,0)</f>
        <v>0</v>
      </c>
      <c r="Q1318" s="1">
        <f>Table1[[#This Row],[High Tol]]-Table1[[#This Row],[Low Tol]]</f>
        <v>0</v>
      </c>
      <c r="R1318" s="1">
        <f>2*Table1[[#This Row],[Std Error]]</f>
        <v>0</v>
      </c>
      <c r="S1318" s="1" t="str">
        <f>IF(Table1[[#This Row],[High Tol]]="","N/A",IFERROR(ABS(Table1[[#This Row],[Tol Span]]/Table1[[#This Row],[Error Span]]),"N/A"))</f>
        <v>N/A</v>
      </c>
      <c r="T1318" s="1" t="str">
        <f>IF(OR(Table1[[#This Row],[Low Tol]]="",Table1[[#This Row],[High Tol]]=""),"Needs Analysis",IF(Table1[[#This Row],[Ratio]]&gt;=4,"Not Significant",IF(Table1[[#This Row],[Ratio]]&gt;=2,"Semi-Significant","Significant")))</f>
        <v>Needs Analysis</v>
      </c>
      <c r="W1318" s="1">
        <f>IF(Table1[[#This Row],[Cal Type]]&lt;&gt;"ACCREDITED 17025 WITH UNCERTAINTIES",0,"")</f>
        <v>0</v>
      </c>
      <c r="X1318" s="1" t="str">
        <f>IF(Table1[[#This Row],[DUT Read]]="","N/A",Table1[[#This Row],[Std Error]]+Table1[[#This Row],[DUT Read]]+Table1[[#This Row],[DUT Ucty]])</f>
        <v>N/A</v>
      </c>
      <c r="Y1318" s="1" t="str">
        <f>IF(Table1[[#This Row],[Std Read]]="","N/A",Table1[[#This Row],[Std Read]]+Table1[[#This Row],[Std Ucty]])</f>
        <v>N/A</v>
      </c>
      <c r="Z13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8" s="1" t="str">
        <f>IF(Table1[[#This Row],[Spec Type]]="","N/A",Table1[[#This Row],[Spec Type]])</f>
        <v>±</v>
      </c>
      <c r="AC1318" s="1" t="str">
        <f>IF(Table1[[#This Row],[Spec Type2]]="N/A","N/A",IF(AND(Table1[[#This Row],[DUT Adj Read]]&gt;=Table1[[#This Row],[Low Tol]],Table1[[#This Row],[DUT Adj Read]]&lt;=Table1[[#This Row],[High Tol]]),"Pass","Fail"))</f>
        <v>Fail</v>
      </c>
      <c r="AD1318" s="1" t="str">
        <f>IF(AND(Table1[[#This Row],[Spec Type2]]="N/A",Table1[[#This Row],[DUT Adj Read]]="N/A",Table1[[#This Row],[Std Adj Read]]="N/A"),"N/A",IF(Table1[[#This Row],[DUT Adj Read]]="N/A",IF(Table1[[#This Row],[Std Adj Read]]&gt;Table1[[#This Row],[Low Tol]],"Pass","Fail"),IF(Table1[[#This Row],[DUT Adj Read]]&gt;Table1[[#This Row],[Low Tol]],"Pass","Fail")))</f>
        <v>Pass</v>
      </c>
      <c r="AE1318" s="1" t="str">
        <f>IF(AND(Table1[[#This Row],[Spec Type2]]="N/A",Table1[[#This Row],[DUT Adj Read]]="N/A",Table1[[#This Row],[Std Adj Read]]="N/A"),"N/A",IF(Table1[[#This Row],[DUT Adj Read]]="N/A",IF(Table1[[#This Row],[Std Adj Read]]&lt;Table1[[#This Row],[High Tol]],"Pass","Fail"),IF(Table1[[#This Row],[DUT Adj Read]]&lt;Table1[[#This Row],[High Tol]],"Pass","Fail")))</f>
        <v>Fail</v>
      </c>
      <c r="AF1318" s="1" t="str">
        <f>IF(AND(Table1[[#This Row],[Spec Type2]]="N/A",Table1[[#This Row],[DUT Adj Read]]="N/A",Table1[[#This Row],[Std Adj Read]]="N/A"),"N/A",IF(Table1[[#This Row],[DUT Adj Read]]="N/A",IF(Table1[[#This Row],[Std Adj Read]]&gt;=Table1[[#This Row],[Low Tol]],"Pass","Fail"),IF(Table1[[#This Row],[DUT Adj Read]]&gt;=Table1[[#This Row],[Low Tol]],"Pass","Fail")))</f>
        <v>Pass</v>
      </c>
      <c r="AG1318" s="1" t="str">
        <f>IF(AND(Table1[[#This Row],[Spec Type2]]="N/A",Table1[[#This Row],[DUT Adj Read]]="N/A",Table1[[#This Row],[Std Adj Read]]="N/A"),"N/A",IF(Table1[[#This Row],[DUT Adj Read]]="N/A",IF(Table1[[#This Row],[Std Adj Read]]&lt;=Table1[[#This Row],[High Tol]],"Pass","Fail"),IF(Table1[[#This Row],[DUT Adj Read]]&lt;=Table1[[#This Row],[High Tol]],"Pass","Fail")))</f>
        <v>Fail</v>
      </c>
      <c r="AH13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8" s="1" t="b">
        <v>0</v>
      </c>
      <c r="AN1318" s="1" t="b">
        <v>0</v>
      </c>
      <c r="AO1318" s="1" t="b">
        <v>0</v>
      </c>
    </row>
    <row r="1319" spans="1:41" x14ac:dyDescent="0.25">
      <c r="A1319" s="10"/>
      <c r="B1319" s="10"/>
      <c r="C1319" s="10"/>
      <c r="D1319" s="10"/>
      <c r="E1319" s="10"/>
      <c r="F1319" s="10"/>
      <c r="G1319" s="10"/>
      <c r="H1319" s="10"/>
      <c r="I1319" s="1" t="str">
        <f t="shared" si="60"/>
        <v/>
      </c>
      <c r="J1319" s="1" t="s">
        <v>35</v>
      </c>
      <c r="K1319" s="1" t="str">
        <f t="shared" si="61"/>
        <v/>
      </c>
      <c r="L1319" s="1" t="str">
        <f t="shared" si="62"/>
        <v/>
      </c>
      <c r="M1319" s="1">
        <f>IF(OR(Table1[[#This Row],[Std Nom]]="",Table1[[#This Row],[Std Read]]=""),0,Table1[[#This Row],[Std Nom]]-Table1[[#This Row],[Std Read]])</f>
        <v>0</v>
      </c>
      <c r="N1319" s="1">
        <f>IF(Calculations!$F$5="ACCREDITED 17025 WITH UNCERTAINTIES",$N$10,0)</f>
        <v>0</v>
      </c>
      <c r="Q1319" s="1">
        <f>Table1[[#This Row],[High Tol]]-Table1[[#This Row],[Low Tol]]</f>
        <v>0</v>
      </c>
      <c r="R1319" s="1">
        <f>2*Table1[[#This Row],[Std Error]]</f>
        <v>0</v>
      </c>
      <c r="S1319" s="1" t="str">
        <f>IF(Table1[[#This Row],[High Tol]]="","N/A",IFERROR(ABS(Table1[[#This Row],[Tol Span]]/Table1[[#This Row],[Error Span]]),"N/A"))</f>
        <v>N/A</v>
      </c>
      <c r="T1319" s="1" t="str">
        <f>IF(OR(Table1[[#This Row],[Low Tol]]="",Table1[[#This Row],[High Tol]]=""),"Needs Analysis",IF(Table1[[#This Row],[Ratio]]&gt;=4,"Not Significant",IF(Table1[[#This Row],[Ratio]]&gt;=2,"Semi-Significant","Significant")))</f>
        <v>Needs Analysis</v>
      </c>
      <c r="W1319" s="1">
        <f>IF(Table1[[#This Row],[Cal Type]]&lt;&gt;"ACCREDITED 17025 WITH UNCERTAINTIES",0,"")</f>
        <v>0</v>
      </c>
      <c r="X1319" s="1" t="str">
        <f>IF(Table1[[#This Row],[DUT Read]]="","N/A",Table1[[#This Row],[Std Error]]+Table1[[#This Row],[DUT Read]]+Table1[[#This Row],[DUT Ucty]])</f>
        <v>N/A</v>
      </c>
      <c r="Y1319" s="1" t="str">
        <f>IF(Table1[[#This Row],[Std Read]]="","N/A",Table1[[#This Row],[Std Read]]+Table1[[#This Row],[Std Ucty]])</f>
        <v>N/A</v>
      </c>
      <c r="Z13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19" s="1" t="str">
        <f>IF(Table1[[#This Row],[Spec Type]]="","N/A",Table1[[#This Row],[Spec Type]])</f>
        <v>±</v>
      </c>
      <c r="AC1319" s="1" t="str">
        <f>IF(Table1[[#This Row],[Spec Type2]]="N/A","N/A",IF(AND(Table1[[#This Row],[DUT Adj Read]]&gt;=Table1[[#This Row],[Low Tol]],Table1[[#This Row],[DUT Adj Read]]&lt;=Table1[[#This Row],[High Tol]]),"Pass","Fail"))</f>
        <v>Fail</v>
      </c>
      <c r="AD1319" s="1" t="str">
        <f>IF(AND(Table1[[#This Row],[Spec Type2]]="N/A",Table1[[#This Row],[DUT Adj Read]]="N/A",Table1[[#This Row],[Std Adj Read]]="N/A"),"N/A",IF(Table1[[#This Row],[DUT Adj Read]]="N/A",IF(Table1[[#This Row],[Std Adj Read]]&gt;Table1[[#This Row],[Low Tol]],"Pass","Fail"),IF(Table1[[#This Row],[DUT Adj Read]]&gt;Table1[[#This Row],[Low Tol]],"Pass","Fail")))</f>
        <v>Pass</v>
      </c>
      <c r="AE1319" s="1" t="str">
        <f>IF(AND(Table1[[#This Row],[Spec Type2]]="N/A",Table1[[#This Row],[DUT Adj Read]]="N/A",Table1[[#This Row],[Std Adj Read]]="N/A"),"N/A",IF(Table1[[#This Row],[DUT Adj Read]]="N/A",IF(Table1[[#This Row],[Std Adj Read]]&lt;Table1[[#This Row],[High Tol]],"Pass","Fail"),IF(Table1[[#This Row],[DUT Adj Read]]&lt;Table1[[#This Row],[High Tol]],"Pass","Fail")))</f>
        <v>Fail</v>
      </c>
      <c r="AF1319" s="1" t="str">
        <f>IF(AND(Table1[[#This Row],[Spec Type2]]="N/A",Table1[[#This Row],[DUT Adj Read]]="N/A",Table1[[#This Row],[Std Adj Read]]="N/A"),"N/A",IF(Table1[[#This Row],[DUT Adj Read]]="N/A",IF(Table1[[#This Row],[Std Adj Read]]&gt;=Table1[[#This Row],[Low Tol]],"Pass","Fail"),IF(Table1[[#This Row],[DUT Adj Read]]&gt;=Table1[[#This Row],[Low Tol]],"Pass","Fail")))</f>
        <v>Pass</v>
      </c>
      <c r="AG1319" s="1" t="str">
        <f>IF(AND(Table1[[#This Row],[Spec Type2]]="N/A",Table1[[#This Row],[DUT Adj Read]]="N/A",Table1[[#This Row],[Std Adj Read]]="N/A"),"N/A",IF(Table1[[#This Row],[DUT Adj Read]]="N/A",IF(Table1[[#This Row],[Std Adj Read]]&lt;=Table1[[#This Row],[High Tol]],"Pass","Fail"),IF(Table1[[#This Row],[DUT Adj Read]]&lt;=Table1[[#This Row],[High Tol]],"Pass","Fail")))</f>
        <v>Fail</v>
      </c>
      <c r="AH13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19" s="1" t="b">
        <v>0</v>
      </c>
      <c r="AN1319" s="1" t="b">
        <v>0</v>
      </c>
      <c r="AO1319" s="1" t="b">
        <v>0</v>
      </c>
    </row>
    <row r="1320" spans="1:41" x14ac:dyDescent="0.25">
      <c r="A1320" s="10"/>
      <c r="B1320" s="10"/>
      <c r="C1320" s="10"/>
      <c r="D1320" s="10"/>
      <c r="E1320" s="10"/>
      <c r="F1320" s="10"/>
      <c r="G1320" s="10"/>
      <c r="H1320" s="10"/>
      <c r="I1320" s="1" t="str">
        <f t="shared" si="60"/>
        <v/>
      </c>
      <c r="J1320" s="1" t="s">
        <v>35</v>
      </c>
      <c r="K1320" s="1" t="str">
        <f t="shared" si="61"/>
        <v/>
      </c>
      <c r="L1320" s="1" t="str">
        <f t="shared" si="62"/>
        <v/>
      </c>
      <c r="M1320" s="1">
        <f>IF(OR(Table1[[#This Row],[Std Nom]]="",Table1[[#This Row],[Std Read]]=""),0,Table1[[#This Row],[Std Nom]]-Table1[[#This Row],[Std Read]])</f>
        <v>0</v>
      </c>
      <c r="N1320" s="1">
        <f>IF(Calculations!$F$5="ACCREDITED 17025 WITH UNCERTAINTIES",$N$10,0)</f>
        <v>0</v>
      </c>
      <c r="Q1320" s="1">
        <f>Table1[[#This Row],[High Tol]]-Table1[[#This Row],[Low Tol]]</f>
        <v>0</v>
      </c>
      <c r="R1320" s="1">
        <f>2*Table1[[#This Row],[Std Error]]</f>
        <v>0</v>
      </c>
      <c r="S1320" s="1" t="str">
        <f>IF(Table1[[#This Row],[High Tol]]="","N/A",IFERROR(ABS(Table1[[#This Row],[Tol Span]]/Table1[[#This Row],[Error Span]]),"N/A"))</f>
        <v>N/A</v>
      </c>
      <c r="T1320" s="1" t="str">
        <f>IF(OR(Table1[[#This Row],[Low Tol]]="",Table1[[#This Row],[High Tol]]=""),"Needs Analysis",IF(Table1[[#This Row],[Ratio]]&gt;=4,"Not Significant",IF(Table1[[#This Row],[Ratio]]&gt;=2,"Semi-Significant","Significant")))</f>
        <v>Needs Analysis</v>
      </c>
      <c r="W1320" s="1">
        <f>IF(Table1[[#This Row],[Cal Type]]&lt;&gt;"ACCREDITED 17025 WITH UNCERTAINTIES",0,"")</f>
        <v>0</v>
      </c>
      <c r="X1320" s="1" t="str">
        <f>IF(Table1[[#This Row],[DUT Read]]="","N/A",Table1[[#This Row],[Std Error]]+Table1[[#This Row],[DUT Read]]+Table1[[#This Row],[DUT Ucty]])</f>
        <v>N/A</v>
      </c>
      <c r="Y1320" s="1" t="str">
        <f>IF(Table1[[#This Row],[Std Read]]="","N/A",Table1[[#This Row],[Std Read]]+Table1[[#This Row],[Std Ucty]])</f>
        <v>N/A</v>
      </c>
      <c r="Z13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0" s="1" t="str">
        <f>IF(Table1[[#This Row],[Spec Type]]="","N/A",Table1[[#This Row],[Spec Type]])</f>
        <v>±</v>
      </c>
      <c r="AC1320" s="1" t="str">
        <f>IF(Table1[[#This Row],[Spec Type2]]="N/A","N/A",IF(AND(Table1[[#This Row],[DUT Adj Read]]&gt;=Table1[[#This Row],[Low Tol]],Table1[[#This Row],[DUT Adj Read]]&lt;=Table1[[#This Row],[High Tol]]),"Pass","Fail"))</f>
        <v>Fail</v>
      </c>
      <c r="AD1320" s="1" t="str">
        <f>IF(AND(Table1[[#This Row],[Spec Type2]]="N/A",Table1[[#This Row],[DUT Adj Read]]="N/A",Table1[[#This Row],[Std Adj Read]]="N/A"),"N/A",IF(Table1[[#This Row],[DUT Adj Read]]="N/A",IF(Table1[[#This Row],[Std Adj Read]]&gt;Table1[[#This Row],[Low Tol]],"Pass","Fail"),IF(Table1[[#This Row],[DUT Adj Read]]&gt;Table1[[#This Row],[Low Tol]],"Pass","Fail")))</f>
        <v>Pass</v>
      </c>
      <c r="AE1320" s="1" t="str">
        <f>IF(AND(Table1[[#This Row],[Spec Type2]]="N/A",Table1[[#This Row],[DUT Adj Read]]="N/A",Table1[[#This Row],[Std Adj Read]]="N/A"),"N/A",IF(Table1[[#This Row],[DUT Adj Read]]="N/A",IF(Table1[[#This Row],[Std Adj Read]]&lt;Table1[[#This Row],[High Tol]],"Pass","Fail"),IF(Table1[[#This Row],[DUT Adj Read]]&lt;Table1[[#This Row],[High Tol]],"Pass","Fail")))</f>
        <v>Fail</v>
      </c>
      <c r="AF1320" s="1" t="str">
        <f>IF(AND(Table1[[#This Row],[Spec Type2]]="N/A",Table1[[#This Row],[DUT Adj Read]]="N/A",Table1[[#This Row],[Std Adj Read]]="N/A"),"N/A",IF(Table1[[#This Row],[DUT Adj Read]]="N/A",IF(Table1[[#This Row],[Std Adj Read]]&gt;=Table1[[#This Row],[Low Tol]],"Pass","Fail"),IF(Table1[[#This Row],[DUT Adj Read]]&gt;=Table1[[#This Row],[Low Tol]],"Pass","Fail")))</f>
        <v>Pass</v>
      </c>
      <c r="AG1320" s="1" t="str">
        <f>IF(AND(Table1[[#This Row],[Spec Type2]]="N/A",Table1[[#This Row],[DUT Adj Read]]="N/A",Table1[[#This Row],[Std Adj Read]]="N/A"),"N/A",IF(Table1[[#This Row],[DUT Adj Read]]="N/A",IF(Table1[[#This Row],[Std Adj Read]]&lt;=Table1[[#This Row],[High Tol]],"Pass","Fail"),IF(Table1[[#This Row],[DUT Adj Read]]&lt;=Table1[[#This Row],[High Tol]],"Pass","Fail")))</f>
        <v>Fail</v>
      </c>
      <c r="AH13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0" s="1" t="b">
        <v>0</v>
      </c>
      <c r="AN1320" s="1" t="b">
        <v>0</v>
      </c>
      <c r="AO1320" s="1" t="b">
        <v>0</v>
      </c>
    </row>
    <row r="1321" spans="1:41" x14ac:dyDescent="0.25">
      <c r="A1321" s="10"/>
      <c r="B1321" s="10"/>
      <c r="C1321" s="10"/>
      <c r="D1321" s="10"/>
      <c r="E1321" s="10"/>
      <c r="F1321" s="10"/>
      <c r="G1321" s="10"/>
      <c r="H1321" s="10"/>
      <c r="I1321" s="1" t="str">
        <f t="shared" si="60"/>
        <v/>
      </c>
      <c r="J1321" s="1" t="s">
        <v>35</v>
      </c>
      <c r="K1321" s="1" t="str">
        <f t="shared" si="61"/>
        <v/>
      </c>
      <c r="L1321" s="1" t="str">
        <f t="shared" si="62"/>
        <v/>
      </c>
      <c r="M1321" s="1">
        <f>IF(OR(Table1[[#This Row],[Std Nom]]="",Table1[[#This Row],[Std Read]]=""),0,Table1[[#This Row],[Std Nom]]-Table1[[#This Row],[Std Read]])</f>
        <v>0</v>
      </c>
      <c r="N1321" s="1">
        <f>IF(Calculations!$F$5="ACCREDITED 17025 WITH UNCERTAINTIES",$N$10,0)</f>
        <v>0</v>
      </c>
      <c r="Q1321" s="1">
        <f>Table1[[#This Row],[High Tol]]-Table1[[#This Row],[Low Tol]]</f>
        <v>0</v>
      </c>
      <c r="R1321" s="1">
        <f>2*Table1[[#This Row],[Std Error]]</f>
        <v>0</v>
      </c>
      <c r="S1321" s="1" t="str">
        <f>IF(Table1[[#This Row],[High Tol]]="","N/A",IFERROR(ABS(Table1[[#This Row],[Tol Span]]/Table1[[#This Row],[Error Span]]),"N/A"))</f>
        <v>N/A</v>
      </c>
      <c r="T1321" s="1" t="str">
        <f>IF(OR(Table1[[#This Row],[Low Tol]]="",Table1[[#This Row],[High Tol]]=""),"Needs Analysis",IF(Table1[[#This Row],[Ratio]]&gt;=4,"Not Significant",IF(Table1[[#This Row],[Ratio]]&gt;=2,"Semi-Significant","Significant")))</f>
        <v>Needs Analysis</v>
      </c>
      <c r="W1321" s="1">
        <f>IF(Table1[[#This Row],[Cal Type]]&lt;&gt;"ACCREDITED 17025 WITH UNCERTAINTIES",0,"")</f>
        <v>0</v>
      </c>
      <c r="X1321" s="1" t="str">
        <f>IF(Table1[[#This Row],[DUT Read]]="","N/A",Table1[[#This Row],[Std Error]]+Table1[[#This Row],[DUT Read]]+Table1[[#This Row],[DUT Ucty]])</f>
        <v>N/A</v>
      </c>
      <c r="Y1321" s="1" t="str">
        <f>IF(Table1[[#This Row],[Std Read]]="","N/A",Table1[[#This Row],[Std Read]]+Table1[[#This Row],[Std Ucty]])</f>
        <v>N/A</v>
      </c>
      <c r="Z13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1" s="1" t="str">
        <f>IF(Table1[[#This Row],[Spec Type]]="","N/A",Table1[[#This Row],[Spec Type]])</f>
        <v>±</v>
      </c>
      <c r="AC1321" s="1" t="str">
        <f>IF(Table1[[#This Row],[Spec Type2]]="N/A","N/A",IF(AND(Table1[[#This Row],[DUT Adj Read]]&gt;=Table1[[#This Row],[Low Tol]],Table1[[#This Row],[DUT Adj Read]]&lt;=Table1[[#This Row],[High Tol]]),"Pass","Fail"))</f>
        <v>Fail</v>
      </c>
      <c r="AD1321" s="1" t="str">
        <f>IF(AND(Table1[[#This Row],[Spec Type2]]="N/A",Table1[[#This Row],[DUT Adj Read]]="N/A",Table1[[#This Row],[Std Adj Read]]="N/A"),"N/A",IF(Table1[[#This Row],[DUT Adj Read]]="N/A",IF(Table1[[#This Row],[Std Adj Read]]&gt;Table1[[#This Row],[Low Tol]],"Pass","Fail"),IF(Table1[[#This Row],[DUT Adj Read]]&gt;Table1[[#This Row],[Low Tol]],"Pass","Fail")))</f>
        <v>Pass</v>
      </c>
      <c r="AE1321" s="1" t="str">
        <f>IF(AND(Table1[[#This Row],[Spec Type2]]="N/A",Table1[[#This Row],[DUT Adj Read]]="N/A",Table1[[#This Row],[Std Adj Read]]="N/A"),"N/A",IF(Table1[[#This Row],[DUT Adj Read]]="N/A",IF(Table1[[#This Row],[Std Adj Read]]&lt;Table1[[#This Row],[High Tol]],"Pass","Fail"),IF(Table1[[#This Row],[DUT Adj Read]]&lt;Table1[[#This Row],[High Tol]],"Pass","Fail")))</f>
        <v>Fail</v>
      </c>
      <c r="AF1321" s="1" t="str">
        <f>IF(AND(Table1[[#This Row],[Spec Type2]]="N/A",Table1[[#This Row],[DUT Adj Read]]="N/A",Table1[[#This Row],[Std Adj Read]]="N/A"),"N/A",IF(Table1[[#This Row],[DUT Adj Read]]="N/A",IF(Table1[[#This Row],[Std Adj Read]]&gt;=Table1[[#This Row],[Low Tol]],"Pass","Fail"),IF(Table1[[#This Row],[DUT Adj Read]]&gt;=Table1[[#This Row],[Low Tol]],"Pass","Fail")))</f>
        <v>Pass</v>
      </c>
      <c r="AG1321" s="1" t="str">
        <f>IF(AND(Table1[[#This Row],[Spec Type2]]="N/A",Table1[[#This Row],[DUT Adj Read]]="N/A",Table1[[#This Row],[Std Adj Read]]="N/A"),"N/A",IF(Table1[[#This Row],[DUT Adj Read]]="N/A",IF(Table1[[#This Row],[Std Adj Read]]&lt;=Table1[[#This Row],[High Tol]],"Pass","Fail"),IF(Table1[[#This Row],[DUT Adj Read]]&lt;=Table1[[#This Row],[High Tol]],"Pass","Fail")))</f>
        <v>Fail</v>
      </c>
      <c r="AH13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1" s="1" t="b">
        <v>0</v>
      </c>
      <c r="AN1321" s="1" t="b">
        <v>0</v>
      </c>
      <c r="AO1321" s="1" t="b">
        <v>0</v>
      </c>
    </row>
    <row r="1322" spans="1:41" x14ac:dyDescent="0.25">
      <c r="A1322" s="10"/>
      <c r="B1322" s="10"/>
      <c r="C1322" s="10"/>
      <c r="D1322" s="10"/>
      <c r="E1322" s="10"/>
      <c r="F1322" s="10"/>
      <c r="G1322" s="10"/>
      <c r="H1322" s="10"/>
      <c r="I1322" s="1" t="str">
        <f t="shared" si="60"/>
        <v/>
      </c>
      <c r="J1322" s="1" t="s">
        <v>35</v>
      </c>
      <c r="K1322" s="1" t="str">
        <f t="shared" si="61"/>
        <v/>
      </c>
      <c r="L1322" s="1" t="str">
        <f t="shared" si="62"/>
        <v/>
      </c>
      <c r="M1322" s="1">
        <f>IF(OR(Table1[[#This Row],[Std Nom]]="",Table1[[#This Row],[Std Read]]=""),0,Table1[[#This Row],[Std Nom]]-Table1[[#This Row],[Std Read]])</f>
        <v>0</v>
      </c>
      <c r="N1322" s="1">
        <f>IF(Calculations!$F$5="ACCREDITED 17025 WITH UNCERTAINTIES",$N$10,0)</f>
        <v>0</v>
      </c>
      <c r="Q1322" s="1">
        <f>Table1[[#This Row],[High Tol]]-Table1[[#This Row],[Low Tol]]</f>
        <v>0</v>
      </c>
      <c r="R1322" s="1">
        <f>2*Table1[[#This Row],[Std Error]]</f>
        <v>0</v>
      </c>
      <c r="S1322" s="1" t="str">
        <f>IF(Table1[[#This Row],[High Tol]]="","N/A",IFERROR(ABS(Table1[[#This Row],[Tol Span]]/Table1[[#This Row],[Error Span]]),"N/A"))</f>
        <v>N/A</v>
      </c>
      <c r="T1322" s="1" t="str">
        <f>IF(OR(Table1[[#This Row],[Low Tol]]="",Table1[[#This Row],[High Tol]]=""),"Needs Analysis",IF(Table1[[#This Row],[Ratio]]&gt;=4,"Not Significant",IF(Table1[[#This Row],[Ratio]]&gt;=2,"Semi-Significant","Significant")))</f>
        <v>Needs Analysis</v>
      </c>
      <c r="W1322" s="1">
        <f>IF(Table1[[#This Row],[Cal Type]]&lt;&gt;"ACCREDITED 17025 WITH UNCERTAINTIES",0,"")</f>
        <v>0</v>
      </c>
      <c r="X1322" s="1" t="str">
        <f>IF(Table1[[#This Row],[DUT Read]]="","N/A",Table1[[#This Row],[Std Error]]+Table1[[#This Row],[DUT Read]]+Table1[[#This Row],[DUT Ucty]])</f>
        <v>N/A</v>
      </c>
      <c r="Y1322" s="1" t="str">
        <f>IF(Table1[[#This Row],[Std Read]]="","N/A",Table1[[#This Row],[Std Read]]+Table1[[#This Row],[Std Ucty]])</f>
        <v>N/A</v>
      </c>
      <c r="Z13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2" s="1" t="str">
        <f>IF(Table1[[#This Row],[Spec Type]]="","N/A",Table1[[#This Row],[Spec Type]])</f>
        <v>±</v>
      </c>
      <c r="AC1322" s="1" t="str">
        <f>IF(Table1[[#This Row],[Spec Type2]]="N/A","N/A",IF(AND(Table1[[#This Row],[DUT Adj Read]]&gt;=Table1[[#This Row],[Low Tol]],Table1[[#This Row],[DUT Adj Read]]&lt;=Table1[[#This Row],[High Tol]]),"Pass","Fail"))</f>
        <v>Fail</v>
      </c>
      <c r="AD1322" s="1" t="str">
        <f>IF(AND(Table1[[#This Row],[Spec Type2]]="N/A",Table1[[#This Row],[DUT Adj Read]]="N/A",Table1[[#This Row],[Std Adj Read]]="N/A"),"N/A",IF(Table1[[#This Row],[DUT Adj Read]]="N/A",IF(Table1[[#This Row],[Std Adj Read]]&gt;Table1[[#This Row],[Low Tol]],"Pass","Fail"),IF(Table1[[#This Row],[DUT Adj Read]]&gt;Table1[[#This Row],[Low Tol]],"Pass","Fail")))</f>
        <v>Pass</v>
      </c>
      <c r="AE1322" s="1" t="str">
        <f>IF(AND(Table1[[#This Row],[Spec Type2]]="N/A",Table1[[#This Row],[DUT Adj Read]]="N/A",Table1[[#This Row],[Std Adj Read]]="N/A"),"N/A",IF(Table1[[#This Row],[DUT Adj Read]]="N/A",IF(Table1[[#This Row],[Std Adj Read]]&lt;Table1[[#This Row],[High Tol]],"Pass","Fail"),IF(Table1[[#This Row],[DUT Adj Read]]&lt;Table1[[#This Row],[High Tol]],"Pass","Fail")))</f>
        <v>Fail</v>
      </c>
      <c r="AF1322" s="1" t="str">
        <f>IF(AND(Table1[[#This Row],[Spec Type2]]="N/A",Table1[[#This Row],[DUT Adj Read]]="N/A",Table1[[#This Row],[Std Adj Read]]="N/A"),"N/A",IF(Table1[[#This Row],[DUT Adj Read]]="N/A",IF(Table1[[#This Row],[Std Adj Read]]&gt;=Table1[[#This Row],[Low Tol]],"Pass","Fail"),IF(Table1[[#This Row],[DUT Adj Read]]&gt;=Table1[[#This Row],[Low Tol]],"Pass","Fail")))</f>
        <v>Pass</v>
      </c>
      <c r="AG1322" s="1" t="str">
        <f>IF(AND(Table1[[#This Row],[Spec Type2]]="N/A",Table1[[#This Row],[DUT Adj Read]]="N/A",Table1[[#This Row],[Std Adj Read]]="N/A"),"N/A",IF(Table1[[#This Row],[DUT Adj Read]]="N/A",IF(Table1[[#This Row],[Std Adj Read]]&lt;=Table1[[#This Row],[High Tol]],"Pass","Fail"),IF(Table1[[#This Row],[DUT Adj Read]]&lt;=Table1[[#This Row],[High Tol]],"Pass","Fail")))</f>
        <v>Fail</v>
      </c>
      <c r="AH13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2" s="1" t="b">
        <v>0</v>
      </c>
      <c r="AN1322" s="1" t="b">
        <v>0</v>
      </c>
      <c r="AO1322" s="1" t="b">
        <v>0</v>
      </c>
    </row>
    <row r="1323" spans="1:41" x14ac:dyDescent="0.25">
      <c r="A1323" s="10"/>
      <c r="B1323" s="10"/>
      <c r="C1323" s="10"/>
      <c r="D1323" s="10"/>
      <c r="E1323" s="10"/>
      <c r="F1323" s="10"/>
      <c r="G1323" s="10"/>
      <c r="H1323" s="10"/>
      <c r="I1323" s="1" t="str">
        <f t="shared" si="60"/>
        <v/>
      </c>
      <c r="J1323" s="1" t="s">
        <v>35</v>
      </c>
      <c r="K1323" s="1" t="str">
        <f t="shared" si="61"/>
        <v/>
      </c>
      <c r="L1323" s="1" t="str">
        <f t="shared" si="62"/>
        <v/>
      </c>
      <c r="M1323" s="1">
        <f>IF(OR(Table1[[#This Row],[Std Nom]]="",Table1[[#This Row],[Std Read]]=""),0,Table1[[#This Row],[Std Nom]]-Table1[[#This Row],[Std Read]])</f>
        <v>0</v>
      </c>
      <c r="N1323" s="1">
        <f>IF(Calculations!$F$5="ACCREDITED 17025 WITH UNCERTAINTIES",$N$10,0)</f>
        <v>0</v>
      </c>
      <c r="Q1323" s="1">
        <f>Table1[[#This Row],[High Tol]]-Table1[[#This Row],[Low Tol]]</f>
        <v>0</v>
      </c>
      <c r="R1323" s="1">
        <f>2*Table1[[#This Row],[Std Error]]</f>
        <v>0</v>
      </c>
      <c r="S1323" s="1" t="str">
        <f>IF(Table1[[#This Row],[High Tol]]="","N/A",IFERROR(ABS(Table1[[#This Row],[Tol Span]]/Table1[[#This Row],[Error Span]]),"N/A"))</f>
        <v>N/A</v>
      </c>
      <c r="T1323" s="1" t="str">
        <f>IF(OR(Table1[[#This Row],[Low Tol]]="",Table1[[#This Row],[High Tol]]=""),"Needs Analysis",IF(Table1[[#This Row],[Ratio]]&gt;=4,"Not Significant",IF(Table1[[#This Row],[Ratio]]&gt;=2,"Semi-Significant","Significant")))</f>
        <v>Needs Analysis</v>
      </c>
      <c r="W1323" s="1">
        <f>IF(Table1[[#This Row],[Cal Type]]&lt;&gt;"ACCREDITED 17025 WITH UNCERTAINTIES",0,"")</f>
        <v>0</v>
      </c>
      <c r="X1323" s="1" t="str">
        <f>IF(Table1[[#This Row],[DUT Read]]="","N/A",Table1[[#This Row],[Std Error]]+Table1[[#This Row],[DUT Read]]+Table1[[#This Row],[DUT Ucty]])</f>
        <v>N/A</v>
      </c>
      <c r="Y1323" s="1" t="str">
        <f>IF(Table1[[#This Row],[Std Read]]="","N/A",Table1[[#This Row],[Std Read]]+Table1[[#This Row],[Std Ucty]])</f>
        <v>N/A</v>
      </c>
      <c r="Z13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3" s="1" t="str">
        <f>IF(Table1[[#This Row],[Spec Type]]="","N/A",Table1[[#This Row],[Spec Type]])</f>
        <v>±</v>
      </c>
      <c r="AC1323" s="1" t="str">
        <f>IF(Table1[[#This Row],[Spec Type2]]="N/A","N/A",IF(AND(Table1[[#This Row],[DUT Adj Read]]&gt;=Table1[[#This Row],[Low Tol]],Table1[[#This Row],[DUT Adj Read]]&lt;=Table1[[#This Row],[High Tol]]),"Pass","Fail"))</f>
        <v>Fail</v>
      </c>
      <c r="AD1323" s="1" t="str">
        <f>IF(AND(Table1[[#This Row],[Spec Type2]]="N/A",Table1[[#This Row],[DUT Adj Read]]="N/A",Table1[[#This Row],[Std Adj Read]]="N/A"),"N/A",IF(Table1[[#This Row],[DUT Adj Read]]="N/A",IF(Table1[[#This Row],[Std Adj Read]]&gt;Table1[[#This Row],[Low Tol]],"Pass","Fail"),IF(Table1[[#This Row],[DUT Adj Read]]&gt;Table1[[#This Row],[Low Tol]],"Pass","Fail")))</f>
        <v>Pass</v>
      </c>
      <c r="AE1323" s="1" t="str">
        <f>IF(AND(Table1[[#This Row],[Spec Type2]]="N/A",Table1[[#This Row],[DUT Adj Read]]="N/A",Table1[[#This Row],[Std Adj Read]]="N/A"),"N/A",IF(Table1[[#This Row],[DUT Adj Read]]="N/A",IF(Table1[[#This Row],[Std Adj Read]]&lt;Table1[[#This Row],[High Tol]],"Pass","Fail"),IF(Table1[[#This Row],[DUT Adj Read]]&lt;Table1[[#This Row],[High Tol]],"Pass","Fail")))</f>
        <v>Fail</v>
      </c>
      <c r="AF1323" s="1" t="str">
        <f>IF(AND(Table1[[#This Row],[Spec Type2]]="N/A",Table1[[#This Row],[DUT Adj Read]]="N/A",Table1[[#This Row],[Std Adj Read]]="N/A"),"N/A",IF(Table1[[#This Row],[DUT Adj Read]]="N/A",IF(Table1[[#This Row],[Std Adj Read]]&gt;=Table1[[#This Row],[Low Tol]],"Pass","Fail"),IF(Table1[[#This Row],[DUT Adj Read]]&gt;=Table1[[#This Row],[Low Tol]],"Pass","Fail")))</f>
        <v>Pass</v>
      </c>
      <c r="AG1323" s="1" t="str">
        <f>IF(AND(Table1[[#This Row],[Spec Type2]]="N/A",Table1[[#This Row],[DUT Adj Read]]="N/A",Table1[[#This Row],[Std Adj Read]]="N/A"),"N/A",IF(Table1[[#This Row],[DUT Adj Read]]="N/A",IF(Table1[[#This Row],[Std Adj Read]]&lt;=Table1[[#This Row],[High Tol]],"Pass","Fail"),IF(Table1[[#This Row],[DUT Adj Read]]&lt;=Table1[[#This Row],[High Tol]],"Pass","Fail")))</f>
        <v>Fail</v>
      </c>
      <c r="AH13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3" s="1" t="b">
        <v>0</v>
      </c>
      <c r="AN1323" s="1" t="b">
        <v>0</v>
      </c>
      <c r="AO1323" s="1" t="b">
        <v>0</v>
      </c>
    </row>
    <row r="1324" spans="1:41" x14ac:dyDescent="0.25">
      <c r="A1324" s="10"/>
      <c r="B1324" s="10"/>
      <c r="C1324" s="10"/>
      <c r="D1324" s="10"/>
      <c r="E1324" s="10"/>
      <c r="F1324" s="10"/>
      <c r="G1324" s="10"/>
      <c r="H1324" s="10"/>
      <c r="I1324" s="1" t="str">
        <f t="shared" si="60"/>
        <v/>
      </c>
      <c r="J1324" s="1" t="s">
        <v>35</v>
      </c>
      <c r="K1324" s="1" t="str">
        <f t="shared" si="61"/>
        <v/>
      </c>
      <c r="L1324" s="1" t="str">
        <f t="shared" si="62"/>
        <v/>
      </c>
      <c r="M1324" s="1">
        <f>IF(OR(Table1[[#This Row],[Std Nom]]="",Table1[[#This Row],[Std Read]]=""),0,Table1[[#This Row],[Std Nom]]-Table1[[#This Row],[Std Read]])</f>
        <v>0</v>
      </c>
      <c r="N1324" s="1">
        <f>IF(Calculations!$F$5="ACCREDITED 17025 WITH UNCERTAINTIES",$N$10,0)</f>
        <v>0</v>
      </c>
      <c r="Q1324" s="1">
        <f>Table1[[#This Row],[High Tol]]-Table1[[#This Row],[Low Tol]]</f>
        <v>0</v>
      </c>
      <c r="R1324" s="1">
        <f>2*Table1[[#This Row],[Std Error]]</f>
        <v>0</v>
      </c>
      <c r="S1324" s="1" t="str">
        <f>IF(Table1[[#This Row],[High Tol]]="","N/A",IFERROR(ABS(Table1[[#This Row],[Tol Span]]/Table1[[#This Row],[Error Span]]),"N/A"))</f>
        <v>N/A</v>
      </c>
      <c r="T1324" s="1" t="str">
        <f>IF(OR(Table1[[#This Row],[Low Tol]]="",Table1[[#This Row],[High Tol]]=""),"Needs Analysis",IF(Table1[[#This Row],[Ratio]]&gt;=4,"Not Significant",IF(Table1[[#This Row],[Ratio]]&gt;=2,"Semi-Significant","Significant")))</f>
        <v>Needs Analysis</v>
      </c>
      <c r="W1324" s="1">
        <f>IF(Table1[[#This Row],[Cal Type]]&lt;&gt;"ACCREDITED 17025 WITH UNCERTAINTIES",0,"")</f>
        <v>0</v>
      </c>
      <c r="X1324" s="1" t="str">
        <f>IF(Table1[[#This Row],[DUT Read]]="","N/A",Table1[[#This Row],[Std Error]]+Table1[[#This Row],[DUT Read]]+Table1[[#This Row],[DUT Ucty]])</f>
        <v>N/A</v>
      </c>
      <c r="Y1324" s="1" t="str">
        <f>IF(Table1[[#This Row],[Std Read]]="","N/A",Table1[[#This Row],[Std Read]]+Table1[[#This Row],[Std Ucty]])</f>
        <v>N/A</v>
      </c>
      <c r="Z13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4" s="1" t="str">
        <f>IF(Table1[[#This Row],[Spec Type]]="","N/A",Table1[[#This Row],[Spec Type]])</f>
        <v>±</v>
      </c>
      <c r="AC1324" s="1" t="str">
        <f>IF(Table1[[#This Row],[Spec Type2]]="N/A","N/A",IF(AND(Table1[[#This Row],[DUT Adj Read]]&gt;=Table1[[#This Row],[Low Tol]],Table1[[#This Row],[DUT Adj Read]]&lt;=Table1[[#This Row],[High Tol]]),"Pass","Fail"))</f>
        <v>Fail</v>
      </c>
      <c r="AD1324" s="1" t="str">
        <f>IF(AND(Table1[[#This Row],[Spec Type2]]="N/A",Table1[[#This Row],[DUT Adj Read]]="N/A",Table1[[#This Row],[Std Adj Read]]="N/A"),"N/A",IF(Table1[[#This Row],[DUT Adj Read]]="N/A",IF(Table1[[#This Row],[Std Adj Read]]&gt;Table1[[#This Row],[Low Tol]],"Pass","Fail"),IF(Table1[[#This Row],[DUT Adj Read]]&gt;Table1[[#This Row],[Low Tol]],"Pass","Fail")))</f>
        <v>Pass</v>
      </c>
      <c r="AE1324" s="1" t="str">
        <f>IF(AND(Table1[[#This Row],[Spec Type2]]="N/A",Table1[[#This Row],[DUT Adj Read]]="N/A",Table1[[#This Row],[Std Adj Read]]="N/A"),"N/A",IF(Table1[[#This Row],[DUT Adj Read]]="N/A",IF(Table1[[#This Row],[Std Adj Read]]&lt;Table1[[#This Row],[High Tol]],"Pass","Fail"),IF(Table1[[#This Row],[DUT Adj Read]]&lt;Table1[[#This Row],[High Tol]],"Pass","Fail")))</f>
        <v>Fail</v>
      </c>
      <c r="AF1324" s="1" t="str">
        <f>IF(AND(Table1[[#This Row],[Spec Type2]]="N/A",Table1[[#This Row],[DUT Adj Read]]="N/A",Table1[[#This Row],[Std Adj Read]]="N/A"),"N/A",IF(Table1[[#This Row],[DUT Adj Read]]="N/A",IF(Table1[[#This Row],[Std Adj Read]]&gt;=Table1[[#This Row],[Low Tol]],"Pass","Fail"),IF(Table1[[#This Row],[DUT Adj Read]]&gt;=Table1[[#This Row],[Low Tol]],"Pass","Fail")))</f>
        <v>Pass</v>
      </c>
      <c r="AG1324" s="1" t="str">
        <f>IF(AND(Table1[[#This Row],[Spec Type2]]="N/A",Table1[[#This Row],[DUT Adj Read]]="N/A",Table1[[#This Row],[Std Adj Read]]="N/A"),"N/A",IF(Table1[[#This Row],[DUT Adj Read]]="N/A",IF(Table1[[#This Row],[Std Adj Read]]&lt;=Table1[[#This Row],[High Tol]],"Pass","Fail"),IF(Table1[[#This Row],[DUT Adj Read]]&lt;=Table1[[#This Row],[High Tol]],"Pass","Fail")))</f>
        <v>Fail</v>
      </c>
      <c r="AH13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4" s="1" t="b">
        <v>0</v>
      </c>
      <c r="AN1324" s="1" t="b">
        <v>0</v>
      </c>
      <c r="AO1324" s="1" t="b">
        <v>0</v>
      </c>
    </row>
    <row r="1325" spans="1:41" x14ac:dyDescent="0.25">
      <c r="A1325" s="10"/>
      <c r="B1325" s="10"/>
      <c r="C1325" s="10"/>
      <c r="D1325" s="10"/>
      <c r="E1325" s="10"/>
      <c r="F1325" s="10"/>
      <c r="G1325" s="10"/>
      <c r="H1325" s="10"/>
      <c r="I1325" s="1" t="str">
        <f t="shared" si="60"/>
        <v/>
      </c>
      <c r="J1325" s="1" t="s">
        <v>35</v>
      </c>
      <c r="K1325" s="1" t="str">
        <f t="shared" si="61"/>
        <v/>
      </c>
      <c r="L1325" s="1" t="str">
        <f t="shared" si="62"/>
        <v/>
      </c>
      <c r="M1325" s="1">
        <f>IF(OR(Table1[[#This Row],[Std Nom]]="",Table1[[#This Row],[Std Read]]=""),0,Table1[[#This Row],[Std Nom]]-Table1[[#This Row],[Std Read]])</f>
        <v>0</v>
      </c>
      <c r="N1325" s="1">
        <f>IF(Calculations!$F$5="ACCREDITED 17025 WITH UNCERTAINTIES",$N$10,0)</f>
        <v>0</v>
      </c>
      <c r="Q1325" s="1">
        <f>Table1[[#This Row],[High Tol]]-Table1[[#This Row],[Low Tol]]</f>
        <v>0</v>
      </c>
      <c r="R1325" s="1">
        <f>2*Table1[[#This Row],[Std Error]]</f>
        <v>0</v>
      </c>
      <c r="S1325" s="1" t="str">
        <f>IF(Table1[[#This Row],[High Tol]]="","N/A",IFERROR(ABS(Table1[[#This Row],[Tol Span]]/Table1[[#This Row],[Error Span]]),"N/A"))</f>
        <v>N/A</v>
      </c>
      <c r="T1325" s="1" t="str">
        <f>IF(OR(Table1[[#This Row],[Low Tol]]="",Table1[[#This Row],[High Tol]]=""),"Needs Analysis",IF(Table1[[#This Row],[Ratio]]&gt;=4,"Not Significant",IF(Table1[[#This Row],[Ratio]]&gt;=2,"Semi-Significant","Significant")))</f>
        <v>Needs Analysis</v>
      </c>
      <c r="W1325" s="1">
        <f>IF(Table1[[#This Row],[Cal Type]]&lt;&gt;"ACCREDITED 17025 WITH UNCERTAINTIES",0,"")</f>
        <v>0</v>
      </c>
      <c r="X1325" s="1" t="str">
        <f>IF(Table1[[#This Row],[DUT Read]]="","N/A",Table1[[#This Row],[Std Error]]+Table1[[#This Row],[DUT Read]]+Table1[[#This Row],[DUT Ucty]])</f>
        <v>N/A</v>
      </c>
      <c r="Y1325" s="1" t="str">
        <f>IF(Table1[[#This Row],[Std Read]]="","N/A",Table1[[#This Row],[Std Read]]+Table1[[#This Row],[Std Ucty]])</f>
        <v>N/A</v>
      </c>
      <c r="Z13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5" s="1" t="str">
        <f>IF(Table1[[#This Row],[Spec Type]]="","N/A",Table1[[#This Row],[Spec Type]])</f>
        <v>±</v>
      </c>
      <c r="AC1325" s="1" t="str">
        <f>IF(Table1[[#This Row],[Spec Type2]]="N/A","N/A",IF(AND(Table1[[#This Row],[DUT Adj Read]]&gt;=Table1[[#This Row],[Low Tol]],Table1[[#This Row],[DUT Adj Read]]&lt;=Table1[[#This Row],[High Tol]]),"Pass","Fail"))</f>
        <v>Fail</v>
      </c>
      <c r="AD1325" s="1" t="str">
        <f>IF(AND(Table1[[#This Row],[Spec Type2]]="N/A",Table1[[#This Row],[DUT Adj Read]]="N/A",Table1[[#This Row],[Std Adj Read]]="N/A"),"N/A",IF(Table1[[#This Row],[DUT Adj Read]]="N/A",IF(Table1[[#This Row],[Std Adj Read]]&gt;Table1[[#This Row],[Low Tol]],"Pass","Fail"),IF(Table1[[#This Row],[DUT Adj Read]]&gt;Table1[[#This Row],[Low Tol]],"Pass","Fail")))</f>
        <v>Pass</v>
      </c>
      <c r="AE1325" s="1" t="str">
        <f>IF(AND(Table1[[#This Row],[Spec Type2]]="N/A",Table1[[#This Row],[DUT Adj Read]]="N/A",Table1[[#This Row],[Std Adj Read]]="N/A"),"N/A",IF(Table1[[#This Row],[DUT Adj Read]]="N/A",IF(Table1[[#This Row],[Std Adj Read]]&lt;Table1[[#This Row],[High Tol]],"Pass","Fail"),IF(Table1[[#This Row],[DUT Adj Read]]&lt;Table1[[#This Row],[High Tol]],"Pass","Fail")))</f>
        <v>Fail</v>
      </c>
      <c r="AF1325" s="1" t="str">
        <f>IF(AND(Table1[[#This Row],[Spec Type2]]="N/A",Table1[[#This Row],[DUT Adj Read]]="N/A",Table1[[#This Row],[Std Adj Read]]="N/A"),"N/A",IF(Table1[[#This Row],[DUT Adj Read]]="N/A",IF(Table1[[#This Row],[Std Adj Read]]&gt;=Table1[[#This Row],[Low Tol]],"Pass","Fail"),IF(Table1[[#This Row],[DUT Adj Read]]&gt;=Table1[[#This Row],[Low Tol]],"Pass","Fail")))</f>
        <v>Pass</v>
      </c>
      <c r="AG1325" s="1" t="str">
        <f>IF(AND(Table1[[#This Row],[Spec Type2]]="N/A",Table1[[#This Row],[DUT Adj Read]]="N/A",Table1[[#This Row],[Std Adj Read]]="N/A"),"N/A",IF(Table1[[#This Row],[DUT Adj Read]]="N/A",IF(Table1[[#This Row],[Std Adj Read]]&lt;=Table1[[#This Row],[High Tol]],"Pass","Fail"),IF(Table1[[#This Row],[DUT Adj Read]]&lt;=Table1[[#This Row],[High Tol]],"Pass","Fail")))</f>
        <v>Fail</v>
      </c>
      <c r="AH13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5" s="1" t="b">
        <v>0</v>
      </c>
      <c r="AN1325" s="1" t="b">
        <v>0</v>
      </c>
      <c r="AO1325" s="1" t="b">
        <v>0</v>
      </c>
    </row>
    <row r="1326" spans="1:41" x14ac:dyDescent="0.25">
      <c r="A1326" s="10"/>
      <c r="B1326" s="10"/>
      <c r="C1326" s="10"/>
      <c r="D1326" s="10"/>
      <c r="E1326" s="10"/>
      <c r="F1326" s="10"/>
      <c r="G1326" s="10"/>
      <c r="H1326" s="10"/>
      <c r="I1326" s="1" t="str">
        <f t="shared" si="60"/>
        <v/>
      </c>
      <c r="J1326" s="1" t="s">
        <v>35</v>
      </c>
      <c r="K1326" s="1" t="str">
        <f t="shared" si="61"/>
        <v/>
      </c>
      <c r="L1326" s="1" t="str">
        <f t="shared" si="62"/>
        <v/>
      </c>
      <c r="M1326" s="1">
        <f>IF(OR(Table1[[#This Row],[Std Nom]]="",Table1[[#This Row],[Std Read]]=""),0,Table1[[#This Row],[Std Nom]]-Table1[[#This Row],[Std Read]])</f>
        <v>0</v>
      </c>
      <c r="N1326" s="1">
        <f>IF(Calculations!$F$5="ACCREDITED 17025 WITH UNCERTAINTIES",$N$10,0)</f>
        <v>0</v>
      </c>
      <c r="Q1326" s="1">
        <f>Table1[[#This Row],[High Tol]]-Table1[[#This Row],[Low Tol]]</f>
        <v>0</v>
      </c>
      <c r="R1326" s="1">
        <f>2*Table1[[#This Row],[Std Error]]</f>
        <v>0</v>
      </c>
      <c r="S1326" s="1" t="str">
        <f>IF(Table1[[#This Row],[High Tol]]="","N/A",IFERROR(ABS(Table1[[#This Row],[Tol Span]]/Table1[[#This Row],[Error Span]]),"N/A"))</f>
        <v>N/A</v>
      </c>
      <c r="T1326" s="1" t="str">
        <f>IF(OR(Table1[[#This Row],[Low Tol]]="",Table1[[#This Row],[High Tol]]=""),"Needs Analysis",IF(Table1[[#This Row],[Ratio]]&gt;=4,"Not Significant",IF(Table1[[#This Row],[Ratio]]&gt;=2,"Semi-Significant","Significant")))</f>
        <v>Needs Analysis</v>
      </c>
      <c r="W1326" s="1">
        <f>IF(Table1[[#This Row],[Cal Type]]&lt;&gt;"ACCREDITED 17025 WITH UNCERTAINTIES",0,"")</f>
        <v>0</v>
      </c>
      <c r="X1326" s="1" t="str">
        <f>IF(Table1[[#This Row],[DUT Read]]="","N/A",Table1[[#This Row],[Std Error]]+Table1[[#This Row],[DUT Read]]+Table1[[#This Row],[DUT Ucty]])</f>
        <v>N/A</v>
      </c>
      <c r="Y1326" s="1" t="str">
        <f>IF(Table1[[#This Row],[Std Read]]="","N/A",Table1[[#This Row],[Std Read]]+Table1[[#This Row],[Std Ucty]])</f>
        <v>N/A</v>
      </c>
      <c r="Z13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6" s="1" t="str">
        <f>IF(Table1[[#This Row],[Spec Type]]="","N/A",Table1[[#This Row],[Spec Type]])</f>
        <v>±</v>
      </c>
      <c r="AC1326" s="1" t="str">
        <f>IF(Table1[[#This Row],[Spec Type2]]="N/A","N/A",IF(AND(Table1[[#This Row],[DUT Adj Read]]&gt;=Table1[[#This Row],[Low Tol]],Table1[[#This Row],[DUT Adj Read]]&lt;=Table1[[#This Row],[High Tol]]),"Pass","Fail"))</f>
        <v>Fail</v>
      </c>
      <c r="AD1326" s="1" t="str">
        <f>IF(AND(Table1[[#This Row],[Spec Type2]]="N/A",Table1[[#This Row],[DUT Adj Read]]="N/A",Table1[[#This Row],[Std Adj Read]]="N/A"),"N/A",IF(Table1[[#This Row],[DUT Adj Read]]="N/A",IF(Table1[[#This Row],[Std Adj Read]]&gt;Table1[[#This Row],[Low Tol]],"Pass","Fail"),IF(Table1[[#This Row],[DUT Adj Read]]&gt;Table1[[#This Row],[Low Tol]],"Pass","Fail")))</f>
        <v>Pass</v>
      </c>
      <c r="AE1326" s="1" t="str">
        <f>IF(AND(Table1[[#This Row],[Spec Type2]]="N/A",Table1[[#This Row],[DUT Adj Read]]="N/A",Table1[[#This Row],[Std Adj Read]]="N/A"),"N/A",IF(Table1[[#This Row],[DUT Adj Read]]="N/A",IF(Table1[[#This Row],[Std Adj Read]]&lt;Table1[[#This Row],[High Tol]],"Pass","Fail"),IF(Table1[[#This Row],[DUT Adj Read]]&lt;Table1[[#This Row],[High Tol]],"Pass","Fail")))</f>
        <v>Fail</v>
      </c>
      <c r="AF1326" s="1" t="str">
        <f>IF(AND(Table1[[#This Row],[Spec Type2]]="N/A",Table1[[#This Row],[DUT Adj Read]]="N/A",Table1[[#This Row],[Std Adj Read]]="N/A"),"N/A",IF(Table1[[#This Row],[DUT Adj Read]]="N/A",IF(Table1[[#This Row],[Std Adj Read]]&gt;=Table1[[#This Row],[Low Tol]],"Pass","Fail"),IF(Table1[[#This Row],[DUT Adj Read]]&gt;=Table1[[#This Row],[Low Tol]],"Pass","Fail")))</f>
        <v>Pass</v>
      </c>
      <c r="AG1326" s="1" t="str">
        <f>IF(AND(Table1[[#This Row],[Spec Type2]]="N/A",Table1[[#This Row],[DUT Adj Read]]="N/A",Table1[[#This Row],[Std Adj Read]]="N/A"),"N/A",IF(Table1[[#This Row],[DUT Adj Read]]="N/A",IF(Table1[[#This Row],[Std Adj Read]]&lt;=Table1[[#This Row],[High Tol]],"Pass","Fail"),IF(Table1[[#This Row],[DUT Adj Read]]&lt;=Table1[[#This Row],[High Tol]],"Pass","Fail")))</f>
        <v>Fail</v>
      </c>
      <c r="AH13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6" s="1" t="b">
        <v>0</v>
      </c>
      <c r="AN1326" s="1" t="b">
        <v>0</v>
      </c>
      <c r="AO1326" s="1" t="b">
        <v>0</v>
      </c>
    </row>
    <row r="1327" spans="1:41" x14ac:dyDescent="0.25">
      <c r="A1327" s="10"/>
      <c r="B1327" s="10"/>
      <c r="C1327" s="10"/>
      <c r="D1327" s="10"/>
      <c r="E1327" s="10"/>
      <c r="F1327" s="10"/>
      <c r="G1327" s="10"/>
      <c r="H1327" s="10"/>
      <c r="I1327" s="1" t="str">
        <f t="shared" si="60"/>
        <v/>
      </c>
      <c r="J1327" s="1" t="s">
        <v>35</v>
      </c>
      <c r="K1327" s="1" t="str">
        <f t="shared" si="61"/>
        <v/>
      </c>
      <c r="L1327" s="1" t="str">
        <f t="shared" si="62"/>
        <v/>
      </c>
      <c r="M1327" s="1">
        <f>IF(OR(Table1[[#This Row],[Std Nom]]="",Table1[[#This Row],[Std Read]]=""),0,Table1[[#This Row],[Std Nom]]-Table1[[#This Row],[Std Read]])</f>
        <v>0</v>
      </c>
      <c r="N1327" s="1">
        <f>IF(Calculations!$F$5="ACCREDITED 17025 WITH UNCERTAINTIES",$N$10,0)</f>
        <v>0</v>
      </c>
      <c r="Q1327" s="1">
        <f>Table1[[#This Row],[High Tol]]-Table1[[#This Row],[Low Tol]]</f>
        <v>0</v>
      </c>
      <c r="R1327" s="1">
        <f>2*Table1[[#This Row],[Std Error]]</f>
        <v>0</v>
      </c>
      <c r="S1327" s="1" t="str">
        <f>IF(Table1[[#This Row],[High Tol]]="","N/A",IFERROR(ABS(Table1[[#This Row],[Tol Span]]/Table1[[#This Row],[Error Span]]),"N/A"))</f>
        <v>N/A</v>
      </c>
      <c r="T1327" s="1" t="str">
        <f>IF(OR(Table1[[#This Row],[Low Tol]]="",Table1[[#This Row],[High Tol]]=""),"Needs Analysis",IF(Table1[[#This Row],[Ratio]]&gt;=4,"Not Significant",IF(Table1[[#This Row],[Ratio]]&gt;=2,"Semi-Significant","Significant")))</f>
        <v>Needs Analysis</v>
      </c>
      <c r="W1327" s="1">
        <f>IF(Table1[[#This Row],[Cal Type]]&lt;&gt;"ACCREDITED 17025 WITH UNCERTAINTIES",0,"")</f>
        <v>0</v>
      </c>
      <c r="X1327" s="1" t="str">
        <f>IF(Table1[[#This Row],[DUT Read]]="","N/A",Table1[[#This Row],[Std Error]]+Table1[[#This Row],[DUT Read]]+Table1[[#This Row],[DUT Ucty]])</f>
        <v>N/A</v>
      </c>
      <c r="Y1327" s="1" t="str">
        <f>IF(Table1[[#This Row],[Std Read]]="","N/A",Table1[[#This Row],[Std Read]]+Table1[[#This Row],[Std Ucty]])</f>
        <v>N/A</v>
      </c>
      <c r="Z13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7" s="1" t="str">
        <f>IF(Table1[[#This Row],[Spec Type]]="","N/A",Table1[[#This Row],[Spec Type]])</f>
        <v>±</v>
      </c>
      <c r="AC1327" s="1" t="str">
        <f>IF(Table1[[#This Row],[Spec Type2]]="N/A","N/A",IF(AND(Table1[[#This Row],[DUT Adj Read]]&gt;=Table1[[#This Row],[Low Tol]],Table1[[#This Row],[DUT Adj Read]]&lt;=Table1[[#This Row],[High Tol]]),"Pass","Fail"))</f>
        <v>Fail</v>
      </c>
      <c r="AD1327" s="1" t="str">
        <f>IF(AND(Table1[[#This Row],[Spec Type2]]="N/A",Table1[[#This Row],[DUT Adj Read]]="N/A",Table1[[#This Row],[Std Adj Read]]="N/A"),"N/A",IF(Table1[[#This Row],[DUT Adj Read]]="N/A",IF(Table1[[#This Row],[Std Adj Read]]&gt;Table1[[#This Row],[Low Tol]],"Pass","Fail"),IF(Table1[[#This Row],[DUT Adj Read]]&gt;Table1[[#This Row],[Low Tol]],"Pass","Fail")))</f>
        <v>Pass</v>
      </c>
      <c r="AE1327" s="1" t="str">
        <f>IF(AND(Table1[[#This Row],[Spec Type2]]="N/A",Table1[[#This Row],[DUT Adj Read]]="N/A",Table1[[#This Row],[Std Adj Read]]="N/A"),"N/A",IF(Table1[[#This Row],[DUT Adj Read]]="N/A",IF(Table1[[#This Row],[Std Adj Read]]&lt;Table1[[#This Row],[High Tol]],"Pass","Fail"),IF(Table1[[#This Row],[DUT Adj Read]]&lt;Table1[[#This Row],[High Tol]],"Pass","Fail")))</f>
        <v>Fail</v>
      </c>
      <c r="AF1327" s="1" t="str">
        <f>IF(AND(Table1[[#This Row],[Spec Type2]]="N/A",Table1[[#This Row],[DUT Adj Read]]="N/A",Table1[[#This Row],[Std Adj Read]]="N/A"),"N/A",IF(Table1[[#This Row],[DUT Adj Read]]="N/A",IF(Table1[[#This Row],[Std Adj Read]]&gt;=Table1[[#This Row],[Low Tol]],"Pass","Fail"),IF(Table1[[#This Row],[DUT Adj Read]]&gt;=Table1[[#This Row],[Low Tol]],"Pass","Fail")))</f>
        <v>Pass</v>
      </c>
      <c r="AG1327" s="1" t="str">
        <f>IF(AND(Table1[[#This Row],[Spec Type2]]="N/A",Table1[[#This Row],[DUT Adj Read]]="N/A",Table1[[#This Row],[Std Adj Read]]="N/A"),"N/A",IF(Table1[[#This Row],[DUT Adj Read]]="N/A",IF(Table1[[#This Row],[Std Adj Read]]&lt;=Table1[[#This Row],[High Tol]],"Pass","Fail"),IF(Table1[[#This Row],[DUT Adj Read]]&lt;=Table1[[#This Row],[High Tol]],"Pass","Fail")))</f>
        <v>Fail</v>
      </c>
      <c r="AH13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7" s="1" t="b">
        <v>0</v>
      </c>
      <c r="AN1327" s="1" t="b">
        <v>0</v>
      </c>
      <c r="AO1327" s="1" t="b">
        <v>0</v>
      </c>
    </row>
    <row r="1328" spans="1:41" x14ac:dyDescent="0.25">
      <c r="A1328" s="10"/>
      <c r="B1328" s="10"/>
      <c r="C1328" s="10"/>
      <c r="D1328" s="10"/>
      <c r="E1328" s="10"/>
      <c r="F1328" s="10"/>
      <c r="G1328" s="10"/>
      <c r="H1328" s="10"/>
      <c r="I1328" s="1" t="str">
        <f t="shared" si="60"/>
        <v/>
      </c>
      <c r="J1328" s="1" t="s">
        <v>35</v>
      </c>
      <c r="K1328" s="1" t="str">
        <f t="shared" si="61"/>
        <v/>
      </c>
      <c r="L1328" s="1" t="str">
        <f t="shared" si="62"/>
        <v/>
      </c>
      <c r="M1328" s="1">
        <f>IF(OR(Table1[[#This Row],[Std Nom]]="",Table1[[#This Row],[Std Read]]=""),0,Table1[[#This Row],[Std Nom]]-Table1[[#This Row],[Std Read]])</f>
        <v>0</v>
      </c>
      <c r="N1328" s="1">
        <f>IF(Calculations!$F$5="ACCREDITED 17025 WITH UNCERTAINTIES",$N$10,0)</f>
        <v>0</v>
      </c>
      <c r="Q1328" s="1">
        <f>Table1[[#This Row],[High Tol]]-Table1[[#This Row],[Low Tol]]</f>
        <v>0</v>
      </c>
      <c r="R1328" s="1">
        <f>2*Table1[[#This Row],[Std Error]]</f>
        <v>0</v>
      </c>
      <c r="S1328" s="1" t="str">
        <f>IF(Table1[[#This Row],[High Tol]]="","N/A",IFERROR(ABS(Table1[[#This Row],[Tol Span]]/Table1[[#This Row],[Error Span]]),"N/A"))</f>
        <v>N/A</v>
      </c>
      <c r="T1328" s="1" t="str">
        <f>IF(OR(Table1[[#This Row],[Low Tol]]="",Table1[[#This Row],[High Tol]]=""),"Needs Analysis",IF(Table1[[#This Row],[Ratio]]&gt;=4,"Not Significant",IF(Table1[[#This Row],[Ratio]]&gt;=2,"Semi-Significant","Significant")))</f>
        <v>Needs Analysis</v>
      </c>
      <c r="W1328" s="1">
        <f>IF(Table1[[#This Row],[Cal Type]]&lt;&gt;"ACCREDITED 17025 WITH UNCERTAINTIES",0,"")</f>
        <v>0</v>
      </c>
      <c r="X1328" s="1" t="str">
        <f>IF(Table1[[#This Row],[DUT Read]]="","N/A",Table1[[#This Row],[Std Error]]+Table1[[#This Row],[DUT Read]]+Table1[[#This Row],[DUT Ucty]])</f>
        <v>N/A</v>
      </c>
      <c r="Y1328" s="1" t="str">
        <f>IF(Table1[[#This Row],[Std Read]]="","N/A",Table1[[#This Row],[Std Read]]+Table1[[#This Row],[Std Ucty]])</f>
        <v>N/A</v>
      </c>
      <c r="Z13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8" s="1" t="str">
        <f>IF(Table1[[#This Row],[Spec Type]]="","N/A",Table1[[#This Row],[Spec Type]])</f>
        <v>±</v>
      </c>
      <c r="AC1328" s="1" t="str">
        <f>IF(Table1[[#This Row],[Spec Type2]]="N/A","N/A",IF(AND(Table1[[#This Row],[DUT Adj Read]]&gt;=Table1[[#This Row],[Low Tol]],Table1[[#This Row],[DUT Adj Read]]&lt;=Table1[[#This Row],[High Tol]]),"Pass","Fail"))</f>
        <v>Fail</v>
      </c>
      <c r="AD1328" s="1" t="str">
        <f>IF(AND(Table1[[#This Row],[Spec Type2]]="N/A",Table1[[#This Row],[DUT Adj Read]]="N/A",Table1[[#This Row],[Std Adj Read]]="N/A"),"N/A",IF(Table1[[#This Row],[DUT Adj Read]]="N/A",IF(Table1[[#This Row],[Std Adj Read]]&gt;Table1[[#This Row],[Low Tol]],"Pass","Fail"),IF(Table1[[#This Row],[DUT Adj Read]]&gt;Table1[[#This Row],[Low Tol]],"Pass","Fail")))</f>
        <v>Pass</v>
      </c>
      <c r="AE1328" s="1" t="str">
        <f>IF(AND(Table1[[#This Row],[Spec Type2]]="N/A",Table1[[#This Row],[DUT Adj Read]]="N/A",Table1[[#This Row],[Std Adj Read]]="N/A"),"N/A",IF(Table1[[#This Row],[DUT Adj Read]]="N/A",IF(Table1[[#This Row],[Std Adj Read]]&lt;Table1[[#This Row],[High Tol]],"Pass","Fail"),IF(Table1[[#This Row],[DUT Adj Read]]&lt;Table1[[#This Row],[High Tol]],"Pass","Fail")))</f>
        <v>Fail</v>
      </c>
      <c r="AF1328" s="1" t="str">
        <f>IF(AND(Table1[[#This Row],[Spec Type2]]="N/A",Table1[[#This Row],[DUT Adj Read]]="N/A",Table1[[#This Row],[Std Adj Read]]="N/A"),"N/A",IF(Table1[[#This Row],[DUT Adj Read]]="N/A",IF(Table1[[#This Row],[Std Adj Read]]&gt;=Table1[[#This Row],[Low Tol]],"Pass","Fail"),IF(Table1[[#This Row],[DUT Adj Read]]&gt;=Table1[[#This Row],[Low Tol]],"Pass","Fail")))</f>
        <v>Pass</v>
      </c>
      <c r="AG1328" s="1" t="str">
        <f>IF(AND(Table1[[#This Row],[Spec Type2]]="N/A",Table1[[#This Row],[DUT Adj Read]]="N/A",Table1[[#This Row],[Std Adj Read]]="N/A"),"N/A",IF(Table1[[#This Row],[DUT Adj Read]]="N/A",IF(Table1[[#This Row],[Std Adj Read]]&lt;=Table1[[#This Row],[High Tol]],"Pass","Fail"),IF(Table1[[#This Row],[DUT Adj Read]]&lt;=Table1[[#This Row],[High Tol]],"Pass","Fail")))</f>
        <v>Fail</v>
      </c>
      <c r="AH13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8" s="1" t="b">
        <v>0</v>
      </c>
      <c r="AN1328" s="1" t="b">
        <v>0</v>
      </c>
      <c r="AO1328" s="1" t="b">
        <v>0</v>
      </c>
    </row>
    <row r="1329" spans="1:41" x14ac:dyDescent="0.25">
      <c r="A1329" s="10"/>
      <c r="B1329" s="10"/>
      <c r="C1329" s="10"/>
      <c r="D1329" s="10"/>
      <c r="E1329" s="10"/>
      <c r="F1329" s="10"/>
      <c r="G1329" s="10"/>
      <c r="H1329" s="10"/>
      <c r="I1329" s="1" t="str">
        <f t="shared" si="60"/>
        <v/>
      </c>
      <c r="J1329" s="1" t="s">
        <v>35</v>
      </c>
      <c r="K1329" s="1" t="str">
        <f t="shared" si="61"/>
        <v/>
      </c>
      <c r="L1329" s="1" t="str">
        <f t="shared" si="62"/>
        <v/>
      </c>
      <c r="M1329" s="1">
        <f>IF(OR(Table1[[#This Row],[Std Nom]]="",Table1[[#This Row],[Std Read]]=""),0,Table1[[#This Row],[Std Nom]]-Table1[[#This Row],[Std Read]])</f>
        <v>0</v>
      </c>
      <c r="N1329" s="1">
        <f>IF(Calculations!$F$5="ACCREDITED 17025 WITH UNCERTAINTIES",$N$10,0)</f>
        <v>0</v>
      </c>
      <c r="Q1329" s="1">
        <f>Table1[[#This Row],[High Tol]]-Table1[[#This Row],[Low Tol]]</f>
        <v>0</v>
      </c>
      <c r="R1329" s="1">
        <f>2*Table1[[#This Row],[Std Error]]</f>
        <v>0</v>
      </c>
      <c r="S1329" s="1" t="str">
        <f>IF(Table1[[#This Row],[High Tol]]="","N/A",IFERROR(ABS(Table1[[#This Row],[Tol Span]]/Table1[[#This Row],[Error Span]]),"N/A"))</f>
        <v>N/A</v>
      </c>
      <c r="T1329" s="1" t="str">
        <f>IF(OR(Table1[[#This Row],[Low Tol]]="",Table1[[#This Row],[High Tol]]=""),"Needs Analysis",IF(Table1[[#This Row],[Ratio]]&gt;=4,"Not Significant",IF(Table1[[#This Row],[Ratio]]&gt;=2,"Semi-Significant","Significant")))</f>
        <v>Needs Analysis</v>
      </c>
      <c r="W1329" s="1">
        <f>IF(Table1[[#This Row],[Cal Type]]&lt;&gt;"ACCREDITED 17025 WITH UNCERTAINTIES",0,"")</f>
        <v>0</v>
      </c>
      <c r="X1329" s="1" t="str">
        <f>IF(Table1[[#This Row],[DUT Read]]="","N/A",Table1[[#This Row],[Std Error]]+Table1[[#This Row],[DUT Read]]+Table1[[#This Row],[DUT Ucty]])</f>
        <v>N/A</v>
      </c>
      <c r="Y1329" s="1" t="str">
        <f>IF(Table1[[#This Row],[Std Read]]="","N/A",Table1[[#This Row],[Std Read]]+Table1[[#This Row],[Std Ucty]])</f>
        <v>N/A</v>
      </c>
      <c r="Z13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29" s="1" t="str">
        <f>IF(Table1[[#This Row],[Spec Type]]="","N/A",Table1[[#This Row],[Spec Type]])</f>
        <v>±</v>
      </c>
      <c r="AC1329" s="1" t="str">
        <f>IF(Table1[[#This Row],[Spec Type2]]="N/A","N/A",IF(AND(Table1[[#This Row],[DUT Adj Read]]&gt;=Table1[[#This Row],[Low Tol]],Table1[[#This Row],[DUT Adj Read]]&lt;=Table1[[#This Row],[High Tol]]),"Pass","Fail"))</f>
        <v>Fail</v>
      </c>
      <c r="AD1329" s="1" t="str">
        <f>IF(AND(Table1[[#This Row],[Spec Type2]]="N/A",Table1[[#This Row],[DUT Adj Read]]="N/A",Table1[[#This Row],[Std Adj Read]]="N/A"),"N/A",IF(Table1[[#This Row],[DUT Adj Read]]="N/A",IF(Table1[[#This Row],[Std Adj Read]]&gt;Table1[[#This Row],[Low Tol]],"Pass","Fail"),IF(Table1[[#This Row],[DUT Adj Read]]&gt;Table1[[#This Row],[Low Tol]],"Pass","Fail")))</f>
        <v>Pass</v>
      </c>
      <c r="AE1329" s="1" t="str">
        <f>IF(AND(Table1[[#This Row],[Spec Type2]]="N/A",Table1[[#This Row],[DUT Adj Read]]="N/A",Table1[[#This Row],[Std Adj Read]]="N/A"),"N/A",IF(Table1[[#This Row],[DUT Adj Read]]="N/A",IF(Table1[[#This Row],[Std Adj Read]]&lt;Table1[[#This Row],[High Tol]],"Pass","Fail"),IF(Table1[[#This Row],[DUT Adj Read]]&lt;Table1[[#This Row],[High Tol]],"Pass","Fail")))</f>
        <v>Fail</v>
      </c>
      <c r="AF1329" s="1" t="str">
        <f>IF(AND(Table1[[#This Row],[Spec Type2]]="N/A",Table1[[#This Row],[DUT Adj Read]]="N/A",Table1[[#This Row],[Std Adj Read]]="N/A"),"N/A",IF(Table1[[#This Row],[DUT Adj Read]]="N/A",IF(Table1[[#This Row],[Std Adj Read]]&gt;=Table1[[#This Row],[Low Tol]],"Pass","Fail"),IF(Table1[[#This Row],[DUT Adj Read]]&gt;=Table1[[#This Row],[Low Tol]],"Pass","Fail")))</f>
        <v>Pass</v>
      </c>
      <c r="AG1329" s="1" t="str">
        <f>IF(AND(Table1[[#This Row],[Spec Type2]]="N/A",Table1[[#This Row],[DUT Adj Read]]="N/A",Table1[[#This Row],[Std Adj Read]]="N/A"),"N/A",IF(Table1[[#This Row],[DUT Adj Read]]="N/A",IF(Table1[[#This Row],[Std Adj Read]]&lt;=Table1[[#This Row],[High Tol]],"Pass","Fail"),IF(Table1[[#This Row],[DUT Adj Read]]&lt;=Table1[[#This Row],[High Tol]],"Pass","Fail")))</f>
        <v>Fail</v>
      </c>
      <c r="AH13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29" s="1" t="b">
        <v>0</v>
      </c>
      <c r="AN1329" s="1" t="b">
        <v>0</v>
      </c>
      <c r="AO1329" s="1" t="b">
        <v>0</v>
      </c>
    </row>
    <row r="1330" spans="1:41" x14ac:dyDescent="0.25">
      <c r="A1330" s="10"/>
      <c r="B1330" s="10"/>
      <c r="C1330" s="10"/>
      <c r="D1330" s="10"/>
      <c r="E1330" s="10"/>
      <c r="F1330" s="10"/>
      <c r="G1330" s="10"/>
      <c r="H1330" s="10"/>
      <c r="I1330" s="1" t="str">
        <f t="shared" si="60"/>
        <v/>
      </c>
      <c r="J1330" s="1" t="s">
        <v>35</v>
      </c>
      <c r="K1330" s="1" t="str">
        <f t="shared" si="61"/>
        <v/>
      </c>
      <c r="L1330" s="1" t="str">
        <f t="shared" si="62"/>
        <v/>
      </c>
      <c r="M1330" s="1">
        <f>IF(OR(Table1[[#This Row],[Std Nom]]="",Table1[[#This Row],[Std Read]]=""),0,Table1[[#This Row],[Std Nom]]-Table1[[#This Row],[Std Read]])</f>
        <v>0</v>
      </c>
      <c r="N1330" s="1">
        <f>IF(Calculations!$F$5="ACCREDITED 17025 WITH UNCERTAINTIES",$N$10,0)</f>
        <v>0</v>
      </c>
      <c r="Q1330" s="1">
        <f>Table1[[#This Row],[High Tol]]-Table1[[#This Row],[Low Tol]]</f>
        <v>0</v>
      </c>
      <c r="R1330" s="1">
        <f>2*Table1[[#This Row],[Std Error]]</f>
        <v>0</v>
      </c>
      <c r="S1330" s="1" t="str">
        <f>IF(Table1[[#This Row],[High Tol]]="","N/A",IFERROR(ABS(Table1[[#This Row],[Tol Span]]/Table1[[#This Row],[Error Span]]),"N/A"))</f>
        <v>N/A</v>
      </c>
      <c r="T1330" s="1" t="str">
        <f>IF(OR(Table1[[#This Row],[Low Tol]]="",Table1[[#This Row],[High Tol]]=""),"Needs Analysis",IF(Table1[[#This Row],[Ratio]]&gt;=4,"Not Significant",IF(Table1[[#This Row],[Ratio]]&gt;=2,"Semi-Significant","Significant")))</f>
        <v>Needs Analysis</v>
      </c>
      <c r="W1330" s="1">
        <f>IF(Table1[[#This Row],[Cal Type]]&lt;&gt;"ACCREDITED 17025 WITH UNCERTAINTIES",0,"")</f>
        <v>0</v>
      </c>
      <c r="X1330" s="1" t="str">
        <f>IF(Table1[[#This Row],[DUT Read]]="","N/A",Table1[[#This Row],[Std Error]]+Table1[[#This Row],[DUT Read]]+Table1[[#This Row],[DUT Ucty]])</f>
        <v>N/A</v>
      </c>
      <c r="Y1330" s="1" t="str">
        <f>IF(Table1[[#This Row],[Std Read]]="","N/A",Table1[[#This Row],[Std Read]]+Table1[[#This Row],[Std Ucty]])</f>
        <v>N/A</v>
      </c>
      <c r="Z13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0" s="1" t="str">
        <f>IF(Table1[[#This Row],[Spec Type]]="","N/A",Table1[[#This Row],[Spec Type]])</f>
        <v>±</v>
      </c>
      <c r="AC1330" s="1" t="str">
        <f>IF(Table1[[#This Row],[Spec Type2]]="N/A","N/A",IF(AND(Table1[[#This Row],[DUT Adj Read]]&gt;=Table1[[#This Row],[Low Tol]],Table1[[#This Row],[DUT Adj Read]]&lt;=Table1[[#This Row],[High Tol]]),"Pass","Fail"))</f>
        <v>Fail</v>
      </c>
      <c r="AD1330" s="1" t="str">
        <f>IF(AND(Table1[[#This Row],[Spec Type2]]="N/A",Table1[[#This Row],[DUT Adj Read]]="N/A",Table1[[#This Row],[Std Adj Read]]="N/A"),"N/A",IF(Table1[[#This Row],[DUT Adj Read]]="N/A",IF(Table1[[#This Row],[Std Adj Read]]&gt;Table1[[#This Row],[Low Tol]],"Pass","Fail"),IF(Table1[[#This Row],[DUT Adj Read]]&gt;Table1[[#This Row],[Low Tol]],"Pass","Fail")))</f>
        <v>Pass</v>
      </c>
      <c r="AE1330" s="1" t="str">
        <f>IF(AND(Table1[[#This Row],[Spec Type2]]="N/A",Table1[[#This Row],[DUT Adj Read]]="N/A",Table1[[#This Row],[Std Adj Read]]="N/A"),"N/A",IF(Table1[[#This Row],[DUT Adj Read]]="N/A",IF(Table1[[#This Row],[Std Adj Read]]&lt;Table1[[#This Row],[High Tol]],"Pass","Fail"),IF(Table1[[#This Row],[DUT Adj Read]]&lt;Table1[[#This Row],[High Tol]],"Pass","Fail")))</f>
        <v>Fail</v>
      </c>
      <c r="AF1330" s="1" t="str">
        <f>IF(AND(Table1[[#This Row],[Spec Type2]]="N/A",Table1[[#This Row],[DUT Adj Read]]="N/A",Table1[[#This Row],[Std Adj Read]]="N/A"),"N/A",IF(Table1[[#This Row],[DUT Adj Read]]="N/A",IF(Table1[[#This Row],[Std Adj Read]]&gt;=Table1[[#This Row],[Low Tol]],"Pass","Fail"),IF(Table1[[#This Row],[DUT Adj Read]]&gt;=Table1[[#This Row],[Low Tol]],"Pass","Fail")))</f>
        <v>Pass</v>
      </c>
      <c r="AG1330" s="1" t="str">
        <f>IF(AND(Table1[[#This Row],[Spec Type2]]="N/A",Table1[[#This Row],[DUT Adj Read]]="N/A",Table1[[#This Row],[Std Adj Read]]="N/A"),"N/A",IF(Table1[[#This Row],[DUT Adj Read]]="N/A",IF(Table1[[#This Row],[Std Adj Read]]&lt;=Table1[[#This Row],[High Tol]],"Pass","Fail"),IF(Table1[[#This Row],[DUT Adj Read]]&lt;=Table1[[#This Row],[High Tol]],"Pass","Fail")))</f>
        <v>Fail</v>
      </c>
      <c r="AH13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0" s="1" t="b">
        <v>0</v>
      </c>
      <c r="AN1330" s="1" t="b">
        <v>0</v>
      </c>
      <c r="AO1330" s="1" t="b">
        <v>0</v>
      </c>
    </row>
    <row r="1331" spans="1:41" x14ac:dyDescent="0.25">
      <c r="A1331" s="10"/>
      <c r="B1331" s="10"/>
      <c r="C1331" s="10"/>
      <c r="D1331" s="10"/>
      <c r="E1331" s="10"/>
      <c r="F1331" s="10"/>
      <c r="G1331" s="10"/>
      <c r="H1331" s="10"/>
      <c r="I1331" s="1" t="str">
        <f t="shared" si="60"/>
        <v/>
      </c>
      <c r="J1331" s="1" t="s">
        <v>35</v>
      </c>
      <c r="K1331" s="1" t="str">
        <f t="shared" si="61"/>
        <v/>
      </c>
      <c r="L1331" s="1" t="str">
        <f t="shared" si="62"/>
        <v/>
      </c>
      <c r="M1331" s="1">
        <f>IF(OR(Table1[[#This Row],[Std Nom]]="",Table1[[#This Row],[Std Read]]=""),0,Table1[[#This Row],[Std Nom]]-Table1[[#This Row],[Std Read]])</f>
        <v>0</v>
      </c>
      <c r="N1331" s="1">
        <f>IF(Calculations!$F$5="ACCREDITED 17025 WITH UNCERTAINTIES",$N$10,0)</f>
        <v>0</v>
      </c>
      <c r="Q1331" s="1">
        <f>Table1[[#This Row],[High Tol]]-Table1[[#This Row],[Low Tol]]</f>
        <v>0</v>
      </c>
      <c r="R1331" s="1">
        <f>2*Table1[[#This Row],[Std Error]]</f>
        <v>0</v>
      </c>
      <c r="S1331" s="1" t="str">
        <f>IF(Table1[[#This Row],[High Tol]]="","N/A",IFERROR(ABS(Table1[[#This Row],[Tol Span]]/Table1[[#This Row],[Error Span]]),"N/A"))</f>
        <v>N/A</v>
      </c>
      <c r="T1331" s="1" t="str">
        <f>IF(OR(Table1[[#This Row],[Low Tol]]="",Table1[[#This Row],[High Tol]]=""),"Needs Analysis",IF(Table1[[#This Row],[Ratio]]&gt;=4,"Not Significant",IF(Table1[[#This Row],[Ratio]]&gt;=2,"Semi-Significant","Significant")))</f>
        <v>Needs Analysis</v>
      </c>
      <c r="W1331" s="1">
        <f>IF(Table1[[#This Row],[Cal Type]]&lt;&gt;"ACCREDITED 17025 WITH UNCERTAINTIES",0,"")</f>
        <v>0</v>
      </c>
      <c r="X1331" s="1" t="str">
        <f>IF(Table1[[#This Row],[DUT Read]]="","N/A",Table1[[#This Row],[Std Error]]+Table1[[#This Row],[DUT Read]]+Table1[[#This Row],[DUT Ucty]])</f>
        <v>N/A</v>
      </c>
      <c r="Y1331" s="1" t="str">
        <f>IF(Table1[[#This Row],[Std Read]]="","N/A",Table1[[#This Row],[Std Read]]+Table1[[#This Row],[Std Ucty]])</f>
        <v>N/A</v>
      </c>
      <c r="Z13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1" s="1" t="str">
        <f>IF(Table1[[#This Row],[Spec Type]]="","N/A",Table1[[#This Row],[Spec Type]])</f>
        <v>±</v>
      </c>
      <c r="AC1331" s="1" t="str">
        <f>IF(Table1[[#This Row],[Spec Type2]]="N/A","N/A",IF(AND(Table1[[#This Row],[DUT Adj Read]]&gt;=Table1[[#This Row],[Low Tol]],Table1[[#This Row],[DUT Adj Read]]&lt;=Table1[[#This Row],[High Tol]]),"Pass","Fail"))</f>
        <v>Fail</v>
      </c>
      <c r="AD1331" s="1" t="str">
        <f>IF(AND(Table1[[#This Row],[Spec Type2]]="N/A",Table1[[#This Row],[DUT Adj Read]]="N/A",Table1[[#This Row],[Std Adj Read]]="N/A"),"N/A",IF(Table1[[#This Row],[DUT Adj Read]]="N/A",IF(Table1[[#This Row],[Std Adj Read]]&gt;Table1[[#This Row],[Low Tol]],"Pass","Fail"),IF(Table1[[#This Row],[DUT Adj Read]]&gt;Table1[[#This Row],[Low Tol]],"Pass","Fail")))</f>
        <v>Pass</v>
      </c>
      <c r="AE1331" s="1" t="str">
        <f>IF(AND(Table1[[#This Row],[Spec Type2]]="N/A",Table1[[#This Row],[DUT Adj Read]]="N/A",Table1[[#This Row],[Std Adj Read]]="N/A"),"N/A",IF(Table1[[#This Row],[DUT Adj Read]]="N/A",IF(Table1[[#This Row],[Std Adj Read]]&lt;Table1[[#This Row],[High Tol]],"Pass","Fail"),IF(Table1[[#This Row],[DUT Adj Read]]&lt;Table1[[#This Row],[High Tol]],"Pass","Fail")))</f>
        <v>Fail</v>
      </c>
      <c r="AF1331" s="1" t="str">
        <f>IF(AND(Table1[[#This Row],[Spec Type2]]="N/A",Table1[[#This Row],[DUT Adj Read]]="N/A",Table1[[#This Row],[Std Adj Read]]="N/A"),"N/A",IF(Table1[[#This Row],[DUT Adj Read]]="N/A",IF(Table1[[#This Row],[Std Adj Read]]&gt;=Table1[[#This Row],[Low Tol]],"Pass","Fail"),IF(Table1[[#This Row],[DUT Adj Read]]&gt;=Table1[[#This Row],[Low Tol]],"Pass","Fail")))</f>
        <v>Pass</v>
      </c>
      <c r="AG1331" s="1" t="str">
        <f>IF(AND(Table1[[#This Row],[Spec Type2]]="N/A",Table1[[#This Row],[DUT Adj Read]]="N/A",Table1[[#This Row],[Std Adj Read]]="N/A"),"N/A",IF(Table1[[#This Row],[DUT Adj Read]]="N/A",IF(Table1[[#This Row],[Std Adj Read]]&lt;=Table1[[#This Row],[High Tol]],"Pass","Fail"),IF(Table1[[#This Row],[DUT Adj Read]]&lt;=Table1[[#This Row],[High Tol]],"Pass","Fail")))</f>
        <v>Fail</v>
      </c>
      <c r="AH13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1" s="1" t="b">
        <v>0</v>
      </c>
      <c r="AN1331" s="1" t="b">
        <v>0</v>
      </c>
      <c r="AO1331" s="1" t="b">
        <v>0</v>
      </c>
    </row>
    <row r="1332" spans="1:41" x14ac:dyDescent="0.25">
      <c r="A1332" s="10"/>
      <c r="B1332" s="10"/>
      <c r="C1332" s="10"/>
      <c r="D1332" s="10"/>
      <c r="E1332" s="10"/>
      <c r="F1332" s="10"/>
      <c r="G1332" s="10"/>
      <c r="H1332" s="10"/>
      <c r="I1332" s="1" t="str">
        <f t="shared" si="60"/>
        <v/>
      </c>
      <c r="J1332" s="1" t="s">
        <v>35</v>
      </c>
      <c r="K1332" s="1" t="str">
        <f t="shared" si="61"/>
        <v/>
      </c>
      <c r="L1332" s="1" t="str">
        <f t="shared" si="62"/>
        <v/>
      </c>
      <c r="M1332" s="1">
        <f>IF(OR(Table1[[#This Row],[Std Nom]]="",Table1[[#This Row],[Std Read]]=""),0,Table1[[#This Row],[Std Nom]]-Table1[[#This Row],[Std Read]])</f>
        <v>0</v>
      </c>
      <c r="N1332" s="1">
        <f>IF(Calculations!$F$5="ACCREDITED 17025 WITH UNCERTAINTIES",$N$10,0)</f>
        <v>0</v>
      </c>
      <c r="Q1332" s="1">
        <f>Table1[[#This Row],[High Tol]]-Table1[[#This Row],[Low Tol]]</f>
        <v>0</v>
      </c>
      <c r="R1332" s="1">
        <f>2*Table1[[#This Row],[Std Error]]</f>
        <v>0</v>
      </c>
      <c r="S1332" s="1" t="str">
        <f>IF(Table1[[#This Row],[High Tol]]="","N/A",IFERROR(ABS(Table1[[#This Row],[Tol Span]]/Table1[[#This Row],[Error Span]]),"N/A"))</f>
        <v>N/A</v>
      </c>
      <c r="T1332" s="1" t="str">
        <f>IF(OR(Table1[[#This Row],[Low Tol]]="",Table1[[#This Row],[High Tol]]=""),"Needs Analysis",IF(Table1[[#This Row],[Ratio]]&gt;=4,"Not Significant",IF(Table1[[#This Row],[Ratio]]&gt;=2,"Semi-Significant","Significant")))</f>
        <v>Needs Analysis</v>
      </c>
      <c r="W1332" s="1">
        <f>IF(Table1[[#This Row],[Cal Type]]&lt;&gt;"ACCREDITED 17025 WITH UNCERTAINTIES",0,"")</f>
        <v>0</v>
      </c>
      <c r="X1332" s="1" t="str">
        <f>IF(Table1[[#This Row],[DUT Read]]="","N/A",Table1[[#This Row],[Std Error]]+Table1[[#This Row],[DUT Read]]+Table1[[#This Row],[DUT Ucty]])</f>
        <v>N/A</v>
      </c>
      <c r="Y1332" s="1" t="str">
        <f>IF(Table1[[#This Row],[Std Read]]="","N/A",Table1[[#This Row],[Std Read]]+Table1[[#This Row],[Std Ucty]])</f>
        <v>N/A</v>
      </c>
      <c r="Z13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2" s="1" t="str">
        <f>IF(Table1[[#This Row],[Spec Type]]="","N/A",Table1[[#This Row],[Spec Type]])</f>
        <v>±</v>
      </c>
      <c r="AC1332" s="1" t="str">
        <f>IF(Table1[[#This Row],[Spec Type2]]="N/A","N/A",IF(AND(Table1[[#This Row],[DUT Adj Read]]&gt;=Table1[[#This Row],[Low Tol]],Table1[[#This Row],[DUT Adj Read]]&lt;=Table1[[#This Row],[High Tol]]),"Pass","Fail"))</f>
        <v>Fail</v>
      </c>
      <c r="AD1332" s="1" t="str">
        <f>IF(AND(Table1[[#This Row],[Spec Type2]]="N/A",Table1[[#This Row],[DUT Adj Read]]="N/A",Table1[[#This Row],[Std Adj Read]]="N/A"),"N/A",IF(Table1[[#This Row],[DUT Adj Read]]="N/A",IF(Table1[[#This Row],[Std Adj Read]]&gt;Table1[[#This Row],[Low Tol]],"Pass","Fail"),IF(Table1[[#This Row],[DUT Adj Read]]&gt;Table1[[#This Row],[Low Tol]],"Pass","Fail")))</f>
        <v>Pass</v>
      </c>
      <c r="AE1332" s="1" t="str">
        <f>IF(AND(Table1[[#This Row],[Spec Type2]]="N/A",Table1[[#This Row],[DUT Adj Read]]="N/A",Table1[[#This Row],[Std Adj Read]]="N/A"),"N/A",IF(Table1[[#This Row],[DUT Adj Read]]="N/A",IF(Table1[[#This Row],[Std Adj Read]]&lt;Table1[[#This Row],[High Tol]],"Pass","Fail"),IF(Table1[[#This Row],[DUT Adj Read]]&lt;Table1[[#This Row],[High Tol]],"Pass","Fail")))</f>
        <v>Fail</v>
      </c>
      <c r="AF1332" s="1" t="str">
        <f>IF(AND(Table1[[#This Row],[Spec Type2]]="N/A",Table1[[#This Row],[DUT Adj Read]]="N/A",Table1[[#This Row],[Std Adj Read]]="N/A"),"N/A",IF(Table1[[#This Row],[DUT Adj Read]]="N/A",IF(Table1[[#This Row],[Std Adj Read]]&gt;=Table1[[#This Row],[Low Tol]],"Pass","Fail"),IF(Table1[[#This Row],[DUT Adj Read]]&gt;=Table1[[#This Row],[Low Tol]],"Pass","Fail")))</f>
        <v>Pass</v>
      </c>
      <c r="AG1332" s="1" t="str">
        <f>IF(AND(Table1[[#This Row],[Spec Type2]]="N/A",Table1[[#This Row],[DUT Adj Read]]="N/A",Table1[[#This Row],[Std Adj Read]]="N/A"),"N/A",IF(Table1[[#This Row],[DUT Adj Read]]="N/A",IF(Table1[[#This Row],[Std Adj Read]]&lt;=Table1[[#This Row],[High Tol]],"Pass","Fail"),IF(Table1[[#This Row],[DUT Adj Read]]&lt;=Table1[[#This Row],[High Tol]],"Pass","Fail")))</f>
        <v>Fail</v>
      </c>
      <c r="AH13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2" s="1" t="b">
        <v>0</v>
      </c>
      <c r="AN1332" s="1" t="b">
        <v>0</v>
      </c>
      <c r="AO1332" s="1" t="b">
        <v>0</v>
      </c>
    </row>
    <row r="1333" spans="1:41" x14ac:dyDescent="0.25">
      <c r="A1333" s="10"/>
      <c r="B1333" s="10"/>
      <c r="C1333" s="10"/>
      <c r="D1333" s="10"/>
      <c r="E1333" s="10"/>
      <c r="F1333" s="10"/>
      <c r="G1333" s="10"/>
      <c r="H1333" s="10"/>
      <c r="I1333" s="1" t="str">
        <f t="shared" si="60"/>
        <v/>
      </c>
      <c r="J1333" s="1" t="s">
        <v>35</v>
      </c>
      <c r="K1333" s="1" t="str">
        <f t="shared" si="61"/>
        <v/>
      </c>
      <c r="L1333" s="1" t="str">
        <f t="shared" si="62"/>
        <v/>
      </c>
      <c r="M1333" s="1">
        <f>IF(OR(Table1[[#This Row],[Std Nom]]="",Table1[[#This Row],[Std Read]]=""),0,Table1[[#This Row],[Std Nom]]-Table1[[#This Row],[Std Read]])</f>
        <v>0</v>
      </c>
      <c r="N1333" s="1">
        <f>IF(Calculations!$F$5="ACCREDITED 17025 WITH UNCERTAINTIES",$N$10,0)</f>
        <v>0</v>
      </c>
      <c r="Q1333" s="1">
        <f>Table1[[#This Row],[High Tol]]-Table1[[#This Row],[Low Tol]]</f>
        <v>0</v>
      </c>
      <c r="R1333" s="1">
        <f>2*Table1[[#This Row],[Std Error]]</f>
        <v>0</v>
      </c>
      <c r="S1333" s="1" t="str">
        <f>IF(Table1[[#This Row],[High Tol]]="","N/A",IFERROR(ABS(Table1[[#This Row],[Tol Span]]/Table1[[#This Row],[Error Span]]),"N/A"))</f>
        <v>N/A</v>
      </c>
      <c r="T1333" s="1" t="str">
        <f>IF(OR(Table1[[#This Row],[Low Tol]]="",Table1[[#This Row],[High Tol]]=""),"Needs Analysis",IF(Table1[[#This Row],[Ratio]]&gt;=4,"Not Significant",IF(Table1[[#This Row],[Ratio]]&gt;=2,"Semi-Significant","Significant")))</f>
        <v>Needs Analysis</v>
      </c>
      <c r="W1333" s="1">
        <f>IF(Table1[[#This Row],[Cal Type]]&lt;&gt;"ACCREDITED 17025 WITH UNCERTAINTIES",0,"")</f>
        <v>0</v>
      </c>
      <c r="X1333" s="1" t="str">
        <f>IF(Table1[[#This Row],[DUT Read]]="","N/A",Table1[[#This Row],[Std Error]]+Table1[[#This Row],[DUT Read]]+Table1[[#This Row],[DUT Ucty]])</f>
        <v>N/A</v>
      </c>
      <c r="Y1333" s="1" t="str">
        <f>IF(Table1[[#This Row],[Std Read]]="","N/A",Table1[[#This Row],[Std Read]]+Table1[[#This Row],[Std Ucty]])</f>
        <v>N/A</v>
      </c>
      <c r="Z13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3" s="1" t="str">
        <f>IF(Table1[[#This Row],[Spec Type]]="","N/A",Table1[[#This Row],[Spec Type]])</f>
        <v>±</v>
      </c>
      <c r="AC1333" s="1" t="str">
        <f>IF(Table1[[#This Row],[Spec Type2]]="N/A","N/A",IF(AND(Table1[[#This Row],[DUT Adj Read]]&gt;=Table1[[#This Row],[Low Tol]],Table1[[#This Row],[DUT Adj Read]]&lt;=Table1[[#This Row],[High Tol]]),"Pass","Fail"))</f>
        <v>Fail</v>
      </c>
      <c r="AD1333" s="1" t="str">
        <f>IF(AND(Table1[[#This Row],[Spec Type2]]="N/A",Table1[[#This Row],[DUT Adj Read]]="N/A",Table1[[#This Row],[Std Adj Read]]="N/A"),"N/A",IF(Table1[[#This Row],[DUT Adj Read]]="N/A",IF(Table1[[#This Row],[Std Adj Read]]&gt;Table1[[#This Row],[Low Tol]],"Pass","Fail"),IF(Table1[[#This Row],[DUT Adj Read]]&gt;Table1[[#This Row],[Low Tol]],"Pass","Fail")))</f>
        <v>Pass</v>
      </c>
      <c r="AE1333" s="1" t="str">
        <f>IF(AND(Table1[[#This Row],[Spec Type2]]="N/A",Table1[[#This Row],[DUT Adj Read]]="N/A",Table1[[#This Row],[Std Adj Read]]="N/A"),"N/A",IF(Table1[[#This Row],[DUT Adj Read]]="N/A",IF(Table1[[#This Row],[Std Adj Read]]&lt;Table1[[#This Row],[High Tol]],"Pass","Fail"),IF(Table1[[#This Row],[DUT Adj Read]]&lt;Table1[[#This Row],[High Tol]],"Pass","Fail")))</f>
        <v>Fail</v>
      </c>
      <c r="AF1333" s="1" t="str">
        <f>IF(AND(Table1[[#This Row],[Spec Type2]]="N/A",Table1[[#This Row],[DUT Adj Read]]="N/A",Table1[[#This Row],[Std Adj Read]]="N/A"),"N/A",IF(Table1[[#This Row],[DUT Adj Read]]="N/A",IF(Table1[[#This Row],[Std Adj Read]]&gt;=Table1[[#This Row],[Low Tol]],"Pass","Fail"),IF(Table1[[#This Row],[DUT Adj Read]]&gt;=Table1[[#This Row],[Low Tol]],"Pass","Fail")))</f>
        <v>Pass</v>
      </c>
      <c r="AG1333" s="1" t="str">
        <f>IF(AND(Table1[[#This Row],[Spec Type2]]="N/A",Table1[[#This Row],[DUT Adj Read]]="N/A",Table1[[#This Row],[Std Adj Read]]="N/A"),"N/A",IF(Table1[[#This Row],[DUT Adj Read]]="N/A",IF(Table1[[#This Row],[Std Adj Read]]&lt;=Table1[[#This Row],[High Tol]],"Pass","Fail"),IF(Table1[[#This Row],[DUT Adj Read]]&lt;=Table1[[#This Row],[High Tol]],"Pass","Fail")))</f>
        <v>Fail</v>
      </c>
      <c r="AH13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3" s="1" t="b">
        <v>0</v>
      </c>
      <c r="AN1333" s="1" t="b">
        <v>0</v>
      </c>
      <c r="AO1333" s="1" t="b">
        <v>0</v>
      </c>
    </row>
    <row r="1334" spans="1:41" x14ac:dyDescent="0.25">
      <c r="A1334" s="10"/>
      <c r="B1334" s="10"/>
      <c r="C1334" s="10"/>
      <c r="D1334" s="10"/>
      <c r="E1334" s="10"/>
      <c r="F1334" s="10"/>
      <c r="G1334" s="10"/>
      <c r="H1334" s="10"/>
      <c r="I1334" s="1" t="str">
        <f t="shared" si="60"/>
        <v/>
      </c>
      <c r="J1334" s="1" t="s">
        <v>35</v>
      </c>
      <c r="K1334" s="1" t="str">
        <f t="shared" si="61"/>
        <v/>
      </c>
      <c r="L1334" s="1" t="str">
        <f t="shared" si="62"/>
        <v/>
      </c>
      <c r="M1334" s="1">
        <f>IF(OR(Table1[[#This Row],[Std Nom]]="",Table1[[#This Row],[Std Read]]=""),0,Table1[[#This Row],[Std Nom]]-Table1[[#This Row],[Std Read]])</f>
        <v>0</v>
      </c>
      <c r="N1334" s="1">
        <f>IF(Calculations!$F$5="ACCREDITED 17025 WITH UNCERTAINTIES",$N$10,0)</f>
        <v>0</v>
      </c>
      <c r="Q1334" s="1">
        <f>Table1[[#This Row],[High Tol]]-Table1[[#This Row],[Low Tol]]</f>
        <v>0</v>
      </c>
      <c r="R1334" s="1">
        <f>2*Table1[[#This Row],[Std Error]]</f>
        <v>0</v>
      </c>
      <c r="S1334" s="1" t="str">
        <f>IF(Table1[[#This Row],[High Tol]]="","N/A",IFERROR(ABS(Table1[[#This Row],[Tol Span]]/Table1[[#This Row],[Error Span]]),"N/A"))</f>
        <v>N/A</v>
      </c>
      <c r="T1334" s="1" t="str">
        <f>IF(OR(Table1[[#This Row],[Low Tol]]="",Table1[[#This Row],[High Tol]]=""),"Needs Analysis",IF(Table1[[#This Row],[Ratio]]&gt;=4,"Not Significant",IF(Table1[[#This Row],[Ratio]]&gt;=2,"Semi-Significant","Significant")))</f>
        <v>Needs Analysis</v>
      </c>
      <c r="W1334" s="1">
        <f>IF(Table1[[#This Row],[Cal Type]]&lt;&gt;"ACCREDITED 17025 WITH UNCERTAINTIES",0,"")</f>
        <v>0</v>
      </c>
      <c r="X1334" s="1" t="str">
        <f>IF(Table1[[#This Row],[DUT Read]]="","N/A",Table1[[#This Row],[Std Error]]+Table1[[#This Row],[DUT Read]]+Table1[[#This Row],[DUT Ucty]])</f>
        <v>N/A</v>
      </c>
      <c r="Y1334" s="1" t="str">
        <f>IF(Table1[[#This Row],[Std Read]]="","N/A",Table1[[#This Row],[Std Read]]+Table1[[#This Row],[Std Ucty]])</f>
        <v>N/A</v>
      </c>
      <c r="Z13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4" s="1" t="str">
        <f>IF(Table1[[#This Row],[Spec Type]]="","N/A",Table1[[#This Row],[Spec Type]])</f>
        <v>±</v>
      </c>
      <c r="AC1334" s="1" t="str">
        <f>IF(Table1[[#This Row],[Spec Type2]]="N/A","N/A",IF(AND(Table1[[#This Row],[DUT Adj Read]]&gt;=Table1[[#This Row],[Low Tol]],Table1[[#This Row],[DUT Adj Read]]&lt;=Table1[[#This Row],[High Tol]]),"Pass","Fail"))</f>
        <v>Fail</v>
      </c>
      <c r="AD1334" s="1" t="str">
        <f>IF(AND(Table1[[#This Row],[Spec Type2]]="N/A",Table1[[#This Row],[DUT Adj Read]]="N/A",Table1[[#This Row],[Std Adj Read]]="N/A"),"N/A",IF(Table1[[#This Row],[DUT Adj Read]]="N/A",IF(Table1[[#This Row],[Std Adj Read]]&gt;Table1[[#This Row],[Low Tol]],"Pass","Fail"),IF(Table1[[#This Row],[DUT Adj Read]]&gt;Table1[[#This Row],[Low Tol]],"Pass","Fail")))</f>
        <v>Pass</v>
      </c>
      <c r="AE1334" s="1" t="str">
        <f>IF(AND(Table1[[#This Row],[Spec Type2]]="N/A",Table1[[#This Row],[DUT Adj Read]]="N/A",Table1[[#This Row],[Std Adj Read]]="N/A"),"N/A",IF(Table1[[#This Row],[DUT Adj Read]]="N/A",IF(Table1[[#This Row],[Std Adj Read]]&lt;Table1[[#This Row],[High Tol]],"Pass","Fail"),IF(Table1[[#This Row],[DUT Adj Read]]&lt;Table1[[#This Row],[High Tol]],"Pass","Fail")))</f>
        <v>Fail</v>
      </c>
      <c r="AF1334" s="1" t="str">
        <f>IF(AND(Table1[[#This Row],[Spec Type2]]="N/A",Table1[[#This Row],[DUT Adj Read]]="N/A",Table1[[#This Row],[Std Adj Read]]="N/A"),"N/A",IF(Table1[[#This Row],[DUT Adj Read]]="N/A",IF(Table1[[#This Row],[Std Adj Read]]&gt;=Table1[[#This Row],[Low Tol]],"Pass","Fail"),IF(Table1[[#This Row],[DUT Adj Read]]&gt;=Table1[[#This Row],[Low Tol]],"Pass","Fail")))</f>
        <v>Pass</v>
      </c>
      <c r="AG1334" s="1" t="str">
        <f>IF(AND(Table1[[#This Row],[Spec Type2]]="N/A",Table1[[#This Row],[DUT Adj Read]]="N/A",Table1[[#This Row],[Std Adj Read]]="N/A"),"N/A",IF(Table1[[#This Row],[DUT Adj Read]]="N/A",IF(Table1[[#This Row],[Std Adj Read]]&lt;=Table1[[#This Row],[High Tol]],"Pass","Fail"),IF(Table1[[#This Row],[DUT Adj Read]]&lt;=Table1[[#This Row],[High Tol]],"Pass","Fail")))</f>
        <v>Fail</v>
      </c>
      <c r="AH13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4" s="1" t="b">
        <v>0</v>
      </c>
      <c r="AN1334" s="1" t="b">
        <v>0</v>
      </c>
      <c r="AO1334" s="1" t="b">
        <v>0</v>
      </c>
    </row>
    <row r="1335" spans="1:41" x14ac:dyDescent="0.25">
      <c r="A1335" s="10"/>
      <c r="B1335" s="10"/>
      <c r="C1335" s="10"/>
      <c r="D1335" s="10"/>
      <c r="E1335" s="10"/>
      <c r="F1335" s="10"/>
      <c r="G1335" s="10"/>
      <c r="H1335" s="10"/>
      <c r="I1335" s="1" t="str">
        <f t="shared" si="60"/>
        <v/>
      </c>
      <c r="J1335" s="1" t="s">
        <v>35</v>
      </c>
      <c r="K1335" s="1" t="str">
        <f t="shared" si="61"/>
        <v/>
      </c>
      <c r="L1335" s="1" t="str">
        <f t="shared" si="62"/>
        <v/>
      </c>
      <c r="M1335" s="1">
        <f>IF(OR(Table1[[#This Row],[Std Nom]]="",Table1[[#This Row],[Std Read]]=""),0,Table1[[#This Row],[Std Nom]]-Table1[[#This Row],[Std Read]])</f>
        <v>0</v>
      </c>
      <c r="N1335" s="1">
        <f>IF(Calculations!$F$5="ACCREDITED 17025 WITH UNCERTAINTIES",$N$10,0)</f>
        <v>0</v>
      </c>
      <c r="Q1335" s="1">
        <f>Table1[[#This Row],[High Tol]]-Table1[[#This Row],[Low Tol]]</f>
        <v>0</v>
      </c>
      <c r="R1335" s="1">
        <f>2*Table1[[#This Row],[Std Error]]</f>
        <v>0</v>
      </c>
      <c r="S1335" s="1" t="str">
        <f>IF(Table1[[#This Row],[High Tol]]="","N/A",IFERROR(ABS(Table1[[#This Row],[Tol Span]]/Table1[[#This Row],[Error Span]]),"N/A"))</f>
        <v>N/A</v>
      </c>
      <c r="T1335" s="1" t="str">
        <f>IF(OR(Table1[[#This Row],[Low Tol]]="",Table1[[#This Row],[High Tol]]=""),"Needs Analysis",IF(Table1[[#This Row],[Ratio]]&gt;=4,"Not Significant",IF(Table1[[#This Row],[Ratio]]&gt;=2,"Semi-Significant","Significant")))</f>
        <v>Needs Analysis</v>
      </c>
      <c r="W1335" s="1">
        <f>IF(Table1[[#This Row],[Cal Type]]&lt;&gt;"ACCREDITED 17025 WITH UNCERTAINTIES",0,"")</f>
        <v>0</v>
      </c>
      <c r="X1335" s="1" t="str">
        <f>IF(Table1[[#This Row],[DUT Read]]="","N/A",Table1[[#This Row],[Std Error]]+Table1[[#This Row],[DUT Read]]+Table1[[#This Row],[DUT Ucty]])</f>
        <v>N/A</v>
      </c>
      <c r="Y1335" s="1" t="str">
        <f>IF(Table1[[#This Row],[Std Read]]="","N/A",Table1[[#This Row],[Std Read]]+Table1[[#This Row],[Std Ucty]])</f>
        <v>N/A</v>
      </c>
      <c r="Z13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5" s="1" t="str">
        <f>IF(Table1[[#This Row],[Spec Type]]="","N/A",Table1[[#This Row],[Spec Type]])</f>
        <v>±</v>
      </c>
      <c r="AC1335" s="1" t="str">
        <f>IF(Table1[[#This Row],[Spec Type2]]="N/A","N/A",IF(AND(Table1[[#This Row],[DUT Adj Read]]&gt;=Table1[[#This Row],[Low Tol]],Table1[[#This Row],[DUT Adj Read]]&lt;=Table1[[#This Row],[High Tol]]),"Pass","Fail"))</f>
        <v>Fail</v>
      </c>
      <c r="AD1335" s="1" t="str">
        <f>IF(AND(Table1[[#This Row],[Spec Type2]]="N/A",Table1[[#This Row],[DUT Adj Read]]="N/A",Table1[[#This Row],[Std Adj Read]]="N/A"),"N/A",IF(Table1[[#This Row],[DUT Adj Read]]="N/A",IF(Table1[[#This Row],[Std Adj Read]]&gt;Table1[[#This Row],[Low Tol]],"Pass","Fail"),IF(Table1[[#This Row],[DUT Adj Read]]&gt;Table1[[#This Row],[Low Tol]],"Pass","Fail")))</f>
        <v>Pass</v>
      </c>
      <c r="AE1335" s="1" t="str">
        <f>IF(AND(Table1[[#This Row],[Spec Type2]]="N/A",Table1[[#This Row],[DUT Adj Read]]="N/A",Table1[[#This Row],[Std Adj Read]]="N/A"),"N/A",IF(Table1[[#This Row],[DUT Adj Read]]="N/A",IF(Table1[[#This Row],[Std Adj Read]]&lt;Table1[[#This Row],[High Tol]],"Pass","Fail"),IF(Table1[[#This Row],[DUT Adj Read]]&lt;Table1[[#This Row],[High Tol]],"Pass","Fail")))</f>
        <v>Fail</v>
      </c>
      <c r="AF1335" s="1" t="str">
        <f>IF(AND(Table1[[#This Row],[Spec Type2]]="N/A",Table1[[#This Row],[DUT Adj Read]]="N/A",Table1[[#This Row],[Std Adj Read]]="N/A"),"N/A",IF(Table1[[#This Row],[DUT Adj Read]]="N/A",IF(Table1[[#This Row],[Std Adj Read]]&gt;=Table1[[#This Row],[Low Tol]],"Pass","Fail"),IF(Table1[[#This Row],[DUT Adj Read]]&gt;=Table1[[#This Row],[Low Tol]],"Pass","Fail")))</f>
        <v>Pass</v>
      </c>
      <c r="AG1335" s="1" t="str">
        <f>IF(AND(Table1[[#This Row],[Spec Type2]]="N/A",Table1[[#This Row],[DUT Adj Read]]="N/A",Table1[[#This Row],[Std Adj Read]]="N/A"),"N/A",IF(Table1[[#This Row],[DUT Adj Read]]="N/A",IF(Table1[[#This Row],[Std Adj Read]]&lt;=Table1[[#This Row],[High Tol]],"Pass","Fail"),IF(Table1[[#This Row],[DUT Adj Read]]&lt;=Table1[[#This Row],[High Tol]],"Pass","Fail")))</f>
        <v>Fail</v>
      </c>
      <c r="AH13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5" s="1" t="b">
        <v>0</v>
      </c>
      <c r="AN1335" s="1" t="b">
        <v>0</v>
      </c>
      <c r="AO1335" s="1" t="b">
        <v>0</v>
      </c>
    </row>
    <row r="1336" spans="1:41" x14ac:dyDescent="0.25">
      <c r="A1336" s="10"/>
      <c r="B1336" s="10"/>
      <c r="C1336" s="10"/>
      <c r="D1336" s="10"/>
      <c r="E1336" s="10"/>
      <c r="F1336" s="10"/>
      <c r="G1336" s="10"/>
      <c r="H1336" s="10"/>
      <c r="I1336" s="1" t="str">
        <f t="shared" si="60"/>
        <v/>
      </c>
      <c r="J1336" s="1" t="s">
        <v>35</v>
      </c>
      <c r="K1336" s="1" t="str">
        <f t="shared" si="61"/>
        <v/>
      </c>
      <c r="L1336" s="1" t="str">
        <f t="shared" si="62"/>
        <v/>
      </c>
      <c r="M1336" s="1">
        <f>IF(OR(Table1[[#This Row],[Std Nom]]="",Table1[[#This Row],[Std Read]]=""),0,Table1[[#This Row],[Std Nom]]-Table1[[#This Row],[Std Read]])</f>
        <v>0</v>
      </c>
      <c r="N1336" s="1">
        <f>IF(Calculations!$F$5="ACCREDITED 17025 WITH UNCERTAINTIES",$N$10,0)</f>
        <v>0</v>
      </c>
      <c r="Q1336" s="1">
        <f>Table1[[#This Row],[High Tol]]-Table1[[#This Row],[Low Tol]]</f>
        <v>0</v>
      </c>
      <c r="R1336" s="1">
        <f>2*Table1[[#This Row],[Std Error]]</f>
        <v>0</v>
      </c>
      <c r="S1336" s="1" t="str">
        <f>IF(Table1[[#This Row],[High Tol]]="","N/A",IFERROR(ABS(Table1[[#This Row],[Tol Span]]/Table1[[#This Row],[Error Span]]),"N/A"))</f>
        <v>N/A</v>
      </c>
      <c r="T1336" s="1" t="str">
        <f>IF(OR(Table1[[#This Row],[Low Tol]]="",Table1[[#This Row],[High Tol]]=""),"Needs Analysis",IF(Table1[[#This Row],[Ratio]]&gt;=4,"Not Significant",IF(Table1[[#This Row],[Ratio]]&gt;=2,"Semi-Significant","Significant")))</f>
        <v>Needs Analysis</v>
      </c>
      <c r="W1336" s="1">
        <f>IF(Table1[[#This Row],[Cal Type]]&lt;&gt;"ACCREDITED 17025 WITH UNCERTAINTIES",0,"")</f>
        <v>0</v>
      </c>
      <c r="X1336" s="1" t="str">
        <f>IF(Table1[[#This Row],[DUT Read]]="","N/A",Table1[[#This Row],[Std Error]]+Table1[[#This Row],[DUT Read]]+Table1[[#This Row],[DUT Ucty]])</f>
        <v>N/A</v>
      </c>
      <c r="Y1336" s="1" t="str">
        <f>IF(Table1[[#This Row],[Std Read]]="","N/A",Table1[[#This Row],[Std Read]]+Table1[[#This Row],[Std Ucty]])</f>
        <v>N/A</v>
      </c>
      <c r="Z13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6" s="1" t="str">
        <f>IF(Table1[[#This Row],[Spec Type]]="","N/A",Table1[[#This Row],[Spec Type]])</f>
        <v>±</v>
      </c>
      <c r="AC1336" s="1" t="str">
        <f>IF(Table1[[#This Row],[Spec Type2]]="N/A","N/A",IF(AND(Table1[[#This Row],[DUT Adj Read]]&gt;=Table1[[#This Row],[Low Tol]],Table1[[#This Row],[DUT Adj Read]]&lt;=Table1[[#This Row],[High Tol]]),"Pass","Fail"))</f>
        <v>Fail</v>
      </c>
      <c r="AD1336" s="1" t="str">
        <f>IF(AND(Table1[[#This Row],[Spec Type2]]="N/A",Table1[[#This Row],[DUT Adj Read]]="N/A",Table1[[#This Row],[Std Adj Read]]="N/A"),"N/A",IF(Table1[[#This Row],[DUT Adj Read]]="N/A",IF(Table1[[#This Row],[Std Adj Read]]&gt;Table1[[#This Row],[Low Tol]],"Pass","Fail"),IF(Table1[[#This Row],[DUT Adj Read]]&gt;Table1[[#This Row],[Low Tol]],"Pass","Fail")))</f>
        <v>Pass</v>
      </c>
      <c r="AE1336" s="1" t="str">
        <f>IF(AND(Table1[[#This Row],[Spec Type2]]="N/A",Table1[[#This Row],[DUT Adj Read]]="N/A",Table1[[#This Row],[Std Adj Read]]="N/A"),"N/A",IF(Table1[[#This Row],[DUT Adj Read]]="N/A",IF(Table1[[#This Row],[Std Adj Read]]&lt;Table1[[#This Row],[High Tol]],"Pass","Fail"),IF(Table1[[#This Row],[DUT Adj Read]]&lt;Table1[[#This Row],[High Tol]],"Pass","Fail")))</f>
        <v>Fail</v>
      </c>
      <c r="AF1336" s="1" t="str">
        <f>IF(AND(Table1[[#This Row],[Spec Type2]]="N/A",Table1[[#This Row],[DUT Adj Read]]="N/A",Table1[[#This Row],[Std Adj Read]]="N/A"),"N/A",IF(Table1[[#This Row],[DUT Adj Read]]="N/A",IF(Table1[[#This Row],[Std Adj Read]]&gt;=Table1[[#This Row],[Low Tol]],"Pass","Fail"),IF(Table1[[#This Row],[DUT Adj Read]]&gt;=Table1[[#This Row],[Low Tol]],"Pass","Fail")))</f>
        <v>Pass</v>
      </c>
      <c r="AG1336" s="1" t="str">
        <f>IF(AND(Table1[[#This Row],[Spec Type2]]="N/A",Table1[[#This Row],[DUT Adj Read]]="N/A",Table1[[#This Row],[Std Adj Read]]="N/A"),"N/A",IF(Table1[[#This Row],[DUT Adj Read]]="N/A",IF(Table1[[#This Row],[Std Adj Read]]&lt;=Table1[[#This Row],[High Tol]],"Pass","Fail"),IF(Table1[[#This Row],[DUT Adj Read]]&lt;=Table1[[#This Row],[High Tol]],"Pass","Fail")))</f>
        <v>Fail</v>
      </c>
      <c r="AH13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6" s="1" t="b">
        <v>0</v>
      </c>
      <c r="AN1336" s="1" t="b">
        <v>0</v>
      </c>
      <c r="AO1336" s="1" t="b">
        <v>0</v>
      </c>
    </row>
    <row r="1337" spans="1:41" x14ac:dyDescent="0.25">
      <c r="A1337" s="10"/>
      <c r="B1337" s="10"/>
      <c r="C1337" s="10"/>
      <c r="D1337" s="10"/>
      <c r="E1337" s="10"/>
      <c r="F1337" s="10"/>
      <c r="G1337" s="10"/>
      <c r="H1337" s="10"/>
      <c r="I1337" s="1" t="str">
        <f t="shared" si="60"/>
        <v/>
      </c>
      <c r="J1337" s="1" t="s">
        <v>35</v>
      </c>
      <c r="K1337" s="1" t="str">
        <f t="shared" si="61"/>
        <v/>
      </c>
      <c r="L1337" s="1" t="str">
        <f t="shared" si="62"/>
        <v/>
      </c>
      <c r="M1337" s="1">
        <f>IF(OR(Table1[[#This Row],[Std Nom]]="",Table1[[#This Row],[Std Read]]=""),0,Table1[[#This Row],[Std Nom]]-Table1[[#This Row],[Std Read]])</f>
        <v>0</v>
      </c>
      <c r="N1337" s="1">
        <f>IF(Calculations!$F$5="ACCREDITED 17025 WITH UNCERTAINTIES",$N$10,0)</f>
        <v>0</v>
      </c>
      <c r="Q1337" s="1">
        <f>Table1[[#This Row],[High Tol]]-Table1[[#This Row],[Low Tol]]</f>
        <v>0</v>
      </c>
      <c r="R1337" s="1">
        <f>2*Table1[[#This Row],[Std Error]]</f>
        <v>0</v>
      </c>
      <c r="S1337" s="1" t="str">
        <f>IF(Table1[[#This Row],[High Tol]]="","N/A",IFERROR(ABS(Table1[[#This Row],[Tol Span]]/Table1[[#This Row],[Error Span]]),"N/A"))</f>
        <v>N/A</v>
      </c>
      <c r="T1337" s="1" t="str">
        <f>IF(OR(Table1[[#This Row],[Low Tol]]="",Table1[[#This Row],[High Tol]]=""),"Needs Analysis",IF(Table1[[#This Row],[Ratio]]&gt;=4,"Not Significant",IF(Table1[[#This Row],[Ratio]]&gt;=2,"Semi-Significant","Significant")))</f>
        <v>Needs Analysis</v>
      </c>
      <c r="W1337" s="1">
        <f>IF(Table1[[#This Row],[Cal Type]]&lt;&gt;"ACCREDITED 17025 WITH UNCERTAINTIES",0,"")</f>
        <v>0</v>
      </c>
      <c r="X1337" s="1" t="str">
        <f>IF(Table1[[#This Row],[DUT Read]]="","N/A",Table1[[#This Row],[Std Error]]+Table1[[#This Row],[DUT Read]]+Table1[[#This Row],[DUT Ucty]])</f>
        <v>N/A</v>
      </c>
      <c r="Y1337" s="1" t="str">
        <f>IF(Table1[[#This Row],[Std Read]]="","N/A",Table1[[#This Row],[Std Read]]+Table1[[#This Row],[Std Ucty]])</f>
        <v>N/A</v>
      </c>
      <c r="Z13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7" s="1" t="str">
        <f>IF(Table1[[#This Row],[Spec Type]]="","N/A",Table1[[#This Row],[Spec Type]])</f>
        <v>±</v>
      </c>
      <c r="AC1337" s="1" t="str">
        <f>IF(Table1[[#This Row],[Spec Type2]]="N/A","N/A",IF(AND(Table1[[#This Row],[DUT Adj Read]]&gt;=Table1[[#This Row],[Low Tol]],Table1[[#This Row],[DUT Adj Read]]&lt;=Table1[[#This Row],[High Tol]]),"Pass","Fail"))</f>
        <v>Fail</v>
      </c>
      <c r="AD1337" s="1" t="str">
        <f>IF(AND(Table1[[#This Row],[Spec Type2]]="N/A",Table1[[#This Row],[DUT Adj Read]]="N/A",Table1[[#This Row],[Std Adj Read]]="N/A"),"N/A",IF(Table1[[#This Row],[DUT Adj Read]]="N/A",IF(Table1[[#This Row],[Std Adj Read]]&gt;Table1[[#This Row],[Low Tol]],"Pass","Fail"),IF(Table1[[#This Row],[DUT Adj Read]]&gt;Table1[[#This Row],[Low Tol]],"Pass","Fail")))</f>
        <v>Pass</v>
      </c>
      <c r="AE1337" s="1" t="str">
        <f>IF(AND(Table1[[#This Row],[Spec Type2]]="N/A",Table1[[#This Row],[DUT Adj Read]]="N/A",Table1[[#This Row],[Std Adj Read]]="N/A"),"N/A",IF(Table1[[#This Row],[DUT Adj Read]]="N/A",IF(Table1[[#This Row],[Std Adj Read]]&lt;Table1[[#This Row],[High Tol]],"Pass","Fail"),IF(Table1[[#This Row],[DUT Adj Read]]&lt;Table1[[#This Row],[High Tol]],"Pass","Fail")))</f>
        <v>Fail</v>
      </c>
      <c r="AF1337" s="1" t="str">
        <f>IF(AND(Table1[[#This Row],[Spec Type2]]="N/A",Table1[[#This Row],[DUT Adj Read]]="N/A",Table1[[#This Row],[Std Adj Read]]="N/A"),"N/A",IF(Table1[[#This Row],[DUT Adj Read]]="N/A",IF(Table1[[#This Row],[Std Adj Read]]&gt;=Table1[[#This Row],[Low Tol]],"Pass","Fail"),IF(Table1[[#This Row],[DUT Adj Read]]&gt;=Table1[[#This Row],[Low Tol]],"Pass","Fail")))</f>
        <v>Pass</v>
      </c>
      <c r="AG1337" s="1" t="str">
        <f>IF(AND(Table1[[#This Row],[Spec Type2]]="N/A",Table1[[#This Row],[DUT Adj Read]]="N/A",Table1[[#This Row],[Std Adj Read]]="N/A"),"N/A",IF(Table1[[#This Row],[DUT Adj Read]]="N/A",IF(Table1[[#This Row],[Std Adj Read]]&lt;=Table1[[#This Row],[High Tol]],"Pass","Fail"),IF(Table1[[#This Row],[DUT Adj Read]]&lt;=Table1[[#This Row],[High Tol]],"Pass","Fail")))</f>
        <v>Fail</v>
      </c>
      <c r="AH13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7" s="1" t="b">
        <v>0</v>
      </c>
      <c r="AN1337" s="1" t="b">
        <v>0</v>
      </c>
      <c r="AO1337" s="1" t="b">
        <v>0</v>
      </c>
    </row>
    <row r="1338" spans="1:41" x14ac:dyDescent="0.25">
      <c r="A1338" s="10"/>
      <c r="B1338" s="10"/>
      <c r="C1338" s="10"/>
      <c r="D1338" s="10"/>
      <c r="E1338" s="10"/>
      <c r="F1338" s="10"/>
      <c r="G1338" s="10"/>
      <c r="H1338" s="10"/>
      <c r="I1338" s="1" t="str">
        <f t="shared" si="60"/>
        <v/>
      </c>
      <c r="J1338" s="1" t="s">
        <v>35</v>
      </c>
      <c r="K1338" s="1" t="str">
        <f t="shared" si="61"/>
        <v/>
      </c>
      <c r="L1338" s="1" t="str">
        <f t="shared" si="62"/>
        <v/>
      </c>
      <c r="M1338" s="1">
        <f>IF(OR(Table1[[#This Row],[Std Nom]]="",Table1[[#This Row],[Std Read]]=""),0,Table1[[#This Row],[Std Nom]]-Table1[[#This Row],[Std Read]])</f>
        <v>0</v>
      </c>
      <c r="N1338" s="1">
        <f>IF(Calculations!$F$5="ACCREDITED 17025 WITH UNCERTAINTIES",$N$10,0)</f>
        <v>0</v>
      </c>
      <c r="Q1338" s="1">
        <f>Table1[[#This Row],[High Tol]]-Table1[[#This Row],[Low Tol]]</f>
        <v>0</v>
      </c>
      <c r="R1338" s="1">
        <f>2*Table1[[#This Row],[Std Error]]</f>
        <v>0</v>
      </c>
      <c r="S1338" s="1" t="str">
        <f>IF(Table1[[#This Row],[High Tol]]="","N/A",IFERROR(ABS(Table1[[#This Row],[Tol Span]]/Table1[[#This Row],[Error Span]]),"N/A"))</f>
        <v>N/A</v>
      </c>
      <c r="T1338" s="1" t="str">
        <f>IF(OR(Table1[[#This Row],[Low Tol]]="",Table1[[#This Row],[High Tol]]=""),"Needs Analysis",IF(Table1[[#This Row],[Ratio]]&gt;=4,"Not Significant",IF(Table1[[#This Row],[Ratio]]&gt;=2,"Semi-Significant","Significant")))</f>
        <v>Needs Analysis</v>
      </c>
      <c r="W1338" s="1">
        <f>IF(Table1[[#This Row],[Cal Type]]&lt;&gt;"ACCREDITED 17025 WITH UNCERTAINTIES",0,"")</f>
        <v>0</v>
      </c>
      <c r="X1338" s="1" t="str">
        <f>IF(Table1[[#This Row],[DUT Read]]="","N/A",Table1[[#This Row],[Std Error]]+Table1[[#This Row],[DUT Read]]+Table1[[#This Row],[DUT Ucty]])</f>
        <v>N/A</v>
      </c>
      <c r="Y1338" s="1" t="str">
        <f>IF(Table1[[#This Row],[Std Read]]="","N/A",Table1[[#This Row],[Std Read]]+Table1[[#This Row],[Std Ucty]])</f>
        <v>N/A</v>
      </c>
      <c r="Z13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8" s="1" t="str">
        <f>IF(Table1[[#This Row],[Spec Type]]="","N/A",Table1[[#This Row],[Spec Type]])</f>
        <v>±</v>
      </c>
      <c r="AC1338" s="1" t="str">
        <f>IF(Table1[[#This Row],[Spec Type2]]="N/A","N/A",IF(AND(Table1[[#This Row],[DUT Adj Read]]&gt;=Table1[[#This Row],[Low Tol]],Table1[[#This Row],[DUT Adj Read]]&lt;=Table1[[#This Row],[High Tol]]),"Pass","Fail"))</f>
        <v>Fail</v>
      </c>
      <c r="AD1338" s="1" t="str">
        <f>IF(AND(Table1[[#This Row],[Spec Type2]]="N/A",Table1[[#This Row],[DUT Adj Read]]="N/A",Table1[[#This Row],[Std Adj Read]]="N/A"),"N/A",IF(Table1[[#This Row],[DUT Adj Read]]="N/A",IF(Table1[[#This Row],[Std Adj Read]]&gt;Table1[[#This Row],[Low Tol]],"Pass","Fail"),IF(Table1[[#This Row],[DUT Adj Read]]&gt;Table1[[#This Row],[Low Tol]],"Pass","Fail")))</f>
        <v>Pass</v>
      </c>
      <c r="AE1338" s="1" t="str">
        <f>IF(AND(Table1[[#This Row],[Spec Type2]]="N/A",Table1[[#This Row],[DUT Adj Read]]="N/A",Table1[[#This Row],[Std Adj Read]]="N/A"),"N/A",IF(Table1[[#This Row],[DUT Adj Read]]="N/A",IF(Table1[[#This Row],[Std Adj Read]]&lt;Table1[[#This Row],[High Tol]],"Pass","Fail"),IF(Table1[[#This Row],[DUT Adj Read]]&lt;Table1[[#This Row],[High Tol]],"Pass","Fail")))</f>
        <v>Fail</v>
      </c>
      <c r="AF1338" s="1" t="str">
        <f>IF(AND(Table1[[#This Row],[Spec Type2]]="N/A",Table1[[#This Row],[DUT Adj Read]]="N/A",Table1[[#This Row],[Std Adj Read]]="N/A"),"N/A",IF(Table1[[#This Row],[DUT Adj Read]]="N/A",IF(Table1[[#This Row],[Std Adj Read]]&gt;=Table1[[#This Row],[Low Tol]],"Pass","Fail"),IF(Table1[[#This Row],[DUT Adj Read]]&gt;=Table1[[#This Row],[Low Tol]],"Pass","Fail")))</f>
        <v>Pass</v>
      </c>
      <c r="AG1338" s="1" t="str">
        <f>IF(AND(Table1[[#This Row],[Spec Type2]]="N/A",Table1[[#This Row],[DUT Adj Read]]="N/A",Table1[[#This Row],[Std Adj Read]]="N/A"),"N/A",IF(Table1[[#This Row],[DUT Adj Read]]="N/A",IF(Table1[[#This Row],[Std Adj Read]]&lt;=Table1[[#This Row],[High Tol]],"Pass","Fail"),IF(Table1[[#This Row],[DUT Adj Read]]&lt;=Table1[[#This Row],[High Tol]],"Pass","Fail")))</f>
        <v>Fail</v>
      </c>
      <c r="AH13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8" s="1" t="b">
        <v>0</v>
      </c>
      <c r="AN1338" s="1" t="b">
        <v>0</v>
      </c>
      <c r="AO1338" s="1" t="b">
        <v>0</v>
      </c>
    </row>
    <row r="1339" spans="1:41" x14ac:dyDescent="0.25">
      <c r="A1339" s="10"/>
      <c r="B1339" s="10"/>
      <c r="C1339" s="10"/>
      <c r="D1339" s="10"/>
      <c r="E1339" s="10"/>
      <c r="F1339" s="10"/>
      <c r="G1339" s="10"/>
      <c r="H1339" s="10"/>
      <c r="I1339" s="1" t="str">
        <f t="shared" si="60"/>
        <v/>
      </c>
      <c r="J1339" s="1" t="s">
        <v>35</v>
      </c>
      <c r="K1339" s="1" t="str">
        <f t="shared" si="61"/>
        <v/>
      </c>
      <c r="L1339" s="1" t="str">
        <f t="shared" si="62"/>
        <v/>
      </c>
      <c r="M1339" s="1">
        <f>IF(OR(Table1[[#This Row],[Std Nom]]="",Table1[[#This Row],[Std Read]]=""),0,Table1[[#This Row],[Std Nom]]-Table1[[#This Row],[Std Read]])</f>
        <v>0</v>
      </c>
      <c r="N1339" s="1">
        <f>IF(Calculations!$F$5="ACCREDITED 17025 WITH UNCERTAINTIES",$N$10,0)</f>
        <v>0</v>
      </c>
      <c r="Q1339" s="1">
        <f>Table1[[#This Row],[High Tol]]-Table1[[#This Row],[Low Tol]]</f>
        <v>0</v>
      </c>
      <c r="R1339" s="1">
        <f>2*Table1[[#This Row],[Std Error]]</f>
        <v>0</v>
      </c>
      <c r="S1339" s="1" t="str">
        <f>IF(Table1[[#This Row],[High Tol]]="","N/A",IFERROR(ABS(Table1[[#This Row],[Tol Span]]/Table1[[#This Row],[Error Span]]),"N/A"))</f>
        <v>N/A</v>
      </c>
      <c r="T1339" s="1" t="str">
        <f>IF(OR(Table1[[#This Row],[Low Tol]]="",Table1[[#This Row],[High Tol]]=""),"Needs Analysis",IF(Table1[[#This Row],[Ratio]]&gt;=4,"Not Significant",IF(Table1[[#This Row],[Ratio]]&gt;=2,"Semi-Significant","Significant")))</f>
        <v>Needs Analysis</v>
      </c>
      <c r="W1339" s="1">
        <f>IF(Table1[[#This Row],[Cal Type]]&lt;&gt;"ACCREDITED 17025 WITH UNCERTAINTIES",0,"")</f>
        <v>0</v>
      </c>
      <c r="X1339" s="1" t="str">
        <f>IF(Table1[[#This Row],[DUT Read]]="","N/A",Table1[[#This Row],[Std Error]]+Table1[[#This Row],[DUT Read]]+Table1[[#This Row],[DUT Ucty]])</f>
        <v>N/A</v>
      </c>
      <c r="Y1339" s="1" t="str">
        <f>IF(Table1[[#This Row],[Std Read]]="","N/A",Table1[[#This Row],[Std Read]]+Table1[[#This Row],[Std Ucty]])</f>
        <v>N/A</v>
      </c>
      <c r="Z13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39" s="1" t="str">
        <f>IF(Table1[[#This Row],[Spec Type]]="","N/A",Table1[[#This Row],[Spec Type]])</f>
        <v>±</v>
      </c>
      <c r="AC1339" s="1" t="str">
        <f>IF(Table1[[#This Row],[Spec Type2]]="N/A","N/A",IF(AND(Table1[[#This Row],[DUT Adj Read]]&gt;=Table1[[#This Row],[Low Tol]],Table1[[#This Row],[DUT Adj Read]]&lt;=Table1[[#This Row],[High Tol]]),"Pass","Fail"))</f>
        <v>Fail</v>
      </c>
      <c r="AD1339" s="1" t="str">
        <f>IF(AND(Table1[[#This Row],[Spec Type2]]="N/A",Table1[[#This Row],[DUT Adj Read]]="N/A",Table1[[#This Row],[Std Adj Read]]="N/A"),"N/A",IF(Table1[[#This Row],[DUT Adj Read]]="N/A",IF(Table1[[#This Row],[Std Adj Read]]&gt;Table1[[#This Row],[Low Tol]],"Pass","Fail"),IF(Table1[[#This Row],[DUT Adj Read]]&gt;Table1[[#This Row],[Low Tol]],"Pass","Fail")))</f>
        <v>Pass</v>
      </c>
      <c r="AE1339" s="1" t="str">
        <f>IF(AND(Table1[[#This Row],[Spec Type2]]="N/A",Table1[[#This Row],[DUT Adj Read]]="N/A",Table1[[#This Row],[Std Adj Read]]="N/A"),"N/A",IF(Table1[[#This Row],[DUT Adj Read]]="N/A",IF(Table1[[#This Row],[Std Adj Read]]&lt;Table1[[#This Row],[High Tol]],"Pass","Fail"),IF(Table1[[#This Row],[DUT Adj Read]]&lt;Table1[[#This Row],[High Tol]],"Pass","Fail")))</f>
        <v>Fail</v>
      </c>
      <c r="AF1339" s="1" t="str">
        <f>IF(AND(Table1[[#This Row],[Spec Type2]]="N/A",Table1[[#This Row],[DUT Adj Read]]="N/A",Table1[[#This Row],[Std Adj Read]]="N/A"),"N/A",IF(Table1[[#This Row],[DUT Adj Read]]="N/A",IF(Table1[[#This Row],[Std Adj Read]]&gt;=Table1[[#This Row],[Low Tol]],"Pass","Fail"),IF(Table1[[#This Row],[DUT Adj Read]]&gt;=Table1[[#This Row],[Low Tol]],"Pass","Fail")))</f>
        <v>Pass</v>
      </c>
      <c r="AG1339" s="1" t="str">
        <f>IF(AND(Table1[[#This Row],[Spec Type2]]="N/A",Table1[[#This Row],[DUT Adj Read]]="N/A",Table1[[#This Row],[Std Adj Read]]="N/A"),"N/A",IF(Table1[[#This Row],[DUT Adj Read]]="N/A",IF(Table1[[#This Row],[Std Adj Read]]&lt;=Table1[[#This Row],[High Tol]],"Pass","Fail"),IF(Table1[[#This Row],[DUT Adj Read]]&lt;=Table1[[#This Row],[High Tol]],"Pass","Fail")))</f>
        <v>Fail</v>
      </c>
      <c r="AH13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39" s="1" t="b">
        <v>0</v>
      </c>
      <c r="AN1339" s="1" t="b">
        <v>0</v>
      </c>
      <c r="AO1339" s="1" t="b">
        <v>0</v>
      </c>
    </row>
    <row r="1340" spans="1:41" x14ac:dyDescent="0.25">
      <c r="A1340" s="10"/>
      <c r="B1340" s="10"/>
      <c r="C1340" s="10"/>
      <c r="D1340" s="10"/>
      <c r="E1340" s="10"/>
      <c r="F1340" s="10"/>
      <c r="G1340" s="10"/>
      <c r="H1340" s="10"/>
      <c r="I1340" s="1" t="str">
        <f t="shared" si="60"/>
        <v/>
      </c>
      <c r="J1340" s="1" t="s">
        <v>35</v>
      </c>
      <c r="K1340" s="1" t="str">
        <f t="shared" si="61"/>
        <v/>
      </c>
      <c r="L1340" s="1" t="str">
        <f t="shared" si="62"/>
        <v/>
      </c>
      <c r="M1340" s="1">
        <f>IF(OR(Table1[[#This Row],[Std Nom]]="",Table1[[#This Row],[Std Read]]=""),0,Table1[[#This Row],[Std Nom]]-Table1[[#This Row],[Std Read]])</f>
        <v>0</v>
      </c>
      <c r="N1340" s="1">
        <f>IF(Calculations!$F$5="ACCREDITED 17025 WITH UNCERTAINTIES",$N$10,0)</f>
        <v>0</v>
      </c>
      <c r="Q1340" s="1">
        <f>Table1[[#This Row],[High Tol]]-Table1[[#This Row],[Low Tol]]</f>
        <v>0</v>
      </c>
      <c r="R1340" s="1">
        <f>2*Table1[[#This Row],[Std Error]]</f>
        <v>0</v>
      </c>
      <c r="S1340" s="1" t="str">
        <f>IF(Table1[[#This Row],[High Tol]]="","N/A",IFERROR(ABS(Table1[[#This Row],[Tol Span]]/Table1[[#This Row],[Error Span]]),"N/A"))</f>
        <v>N/A</v>
      </c>
      <c r="T1340" s="1" t="str">
        <f>IF(OR(Table1[[#This Row],[Low Tol]]="",Table1[[#This Row],[High Tol]]=""),"Needs Analysis",IF(Table1[[#This Row],[Ratio]]&gt;=4,"Not Significant",IF(Table1[[#This Row],[Ratio]]&gt;=2,"Semi-Significant","Significant")))</f>
        <v>Needs Analysis</v>
      </c>
      <c r="W1340" s="1">
        <f>IF(Table1[[#This Row],[Cal Type]]&lt;&gt;"ACCREDITED 17025 WITH UNCERTAINTIES",0,"")</f>
        <v>0</v>
      </c>
      <c r="X1340" s="1" t="str">
        <f>IF(Table1[[#This Row],[DUT Read]]="","N/A",Table1[[#This Row],[Std Error]]+Table1[[#This Row],[DUT Read]]+Table1[[#This Row],[DUT Ucty]])</f>
        <v>N/A</v>
      </c>
      <c r="Y1340" s="1" t="str">
        <f>IF(Table1[[#This Row],[Std Read]]="","N/A",Table1[[#This Row],[Std Read]]+Table1[[#This Row],[Std Ucty]])</f>
        <v>N/A</v>
      </c>
      <c r="Z13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0" s="1" t="str">
        <f>IF(Table1[[#This Row],[Spec Type]]="","N/A",Table1[[#This Row],[Spec Type]])</f>
        <v>±</v>
      </c>
      <c r="AC1340" s="1" t="str">
        <f>IF(Table1[[#This Row],[Spec Type2]]="N/A","N/A",IF(AND(Table1[[#This Row],[DUT Adj Read]]&gt;=Table1[[#This Row],[Low Tol]],Table1[[#This Row],[DUT Adj Read]]&lt;=Table1[[#This Row],[High Tol]]),"Pass","Fail"))</f>
        <v>Fail</v>
      </c>
      <c r="AD1340" s="1" t="str">
        <f>IF(AND(Table1[[#This Row],[Spec Type2]]="N/A",Table1[[#This Row],[DUT Adj Read]]="N/A",Table1[[#This Row],[Std Adj Read]]="N/A"),"N/A",IF(Table1[[#This Row],[DUT Adj Read]]="N/A",IF(Table1[[#This Row],[Std Adj Read]]&gt;Table1[[#This Row],[Low Tol]],"Pass","Fail"),IF(Table1[[#This Row],[DUT Adj Read]]&gt;Table1[[#This Row],[Low Tol]],"Pass","Fail")))</f>
        <v>Pass</v>
      </c>
      <c r="AE1340" s="1" t="str">
        <f>IF(AND(Table1[[#This Row],[Spec Type2]]="N/A",Table1[[#This Row],[DUT Adj Read]]="N/A",Table1[[#This Row],[Std Adj Read]]="N/A"),"N/A",IF(Table1[[#This Row],[DUT Adj Read]]="N/A",IF(Table1[[#This Row],[Std Adj Read]]&lt;Table1[[#This Row],[High Tol]],"Pass","Fail"),IF(Table1[[#This Row],[DUT Adj Read]]&lt;Table1[[#This Row],[High Tol]],"Pass","Fail")))</f>
        <v>Fail</v>
      </c>
      <c r="AF1340" s="1" t="str">
        <f>IF(AND(Table1[[#This Row],[Spec Type2]]="N/A",Table1[[#This Row],[DUT Adj Read]]="N/A",Table1[[#This Row],[Std Adj Read]]="N/A"),"N/A",IF(Table1[[#This Row],[DUT Adj Read]]="N/A",IF(Table1[[#This Row],[Std Adj Read]]&gt;=Table1[[#This Row],[Low Tol]],"Pass","Fail"),IF(Table1[[#This Row],[DUT Adj Read]]&gt;=Table1[[#This Row],[Low Tol]],"Pass","Fail")))</f>
        <v>Pass</v>
      </c>
      <c r="AG1340" s="1" t="str">
        <f>IF(AND(Table1[[#This Row],[Spec Type2]]="N/A",Table1[[#This Row],[DUT Adj Read]]="N/A",Table1[[#This Row],[Std Adj Read]]="N/A"),"N/A",IF(Table1[[#This Row],[DUT Adj Read]]="N/A",IF(Table1[[#This Row],[Std Adj Read]]&lt;=Table1[[#This Row],[High Tol]],"Pass","Fail"),IF(Table1[[#This Row],[DUT Adj Read]]&lt;=Table1[[#This Row],[High Tol]],"Pass","Fail")))</f>
        <v>Fail</v>
      </c>
      <c r="AH13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0" s="1" t="b">
        <v>0</v>
      </c>
      <c r="AN1340" s="1" t="b">
        <v>0</v>
      </c>
      <c r="AO1340" s="1" t="b">
        <v>0</v>
      </c>
    </row>
    <row r="1341" spans="1:41" x14ac:dyDescent="0.25">
      <c r="A1341" s="10"/>
      <c r="B1341" s="10"/>
      <c r="C1341" s="10"/>
      <c r="D1341" s="10"/>
      <c r="E1341" s="10"/>
      <c r="F1341" s="10"/>
      <c r="G1341" s="10"/>
      <c r="H1341" s="10"/>
      <c r="I1341" s="1" t="str">
        <f t="shared" si="60"/>
        <v/>
      </c>
      <c r="J1341" s="1" t="s">
        <v>35</v>
      </c>
      <c r="K1341" s="1" t="str">
        <f t="shared" si="61"/>
        <v/>
      </c>
      <c r="L1341" s="1" t="str">
        <f t="shared" si="62"/>
        <v/>
      </c>
      <c r="M1341" s="1">
        <f>IF(OR(Table1[[#This Row],[Std Nom]]="",Table1[[#This Row],[Std Read]]=""),0,Table1[[#This Row],[Std Nom]]-Table1[[#This Row],[Std Read]])</f>
        <v>0</v>
      </c>
      <c r="N1341" s="1">
        <f>IF(Calculations!$F$5="ACCREDITED 17025 WITH UNCERTAINTIES",$N$10,0)</f>
        <v>0</v>
      </c>
      <c r="Q1341" s="1">
        <f>Table1[[#This Row],[High Tol]]-Table1[[#This Row],[Low Tol]]</f>
        <v>0</v>
      </c>
      <c r="R1341" s="1">
        <f>2*Table1[[#This Row],[Std Error]]</f>
        <v>0</v>
      </c>
      <c r="S1341" s="1" t="str">
        <f>IF(Table1[[#This Row],[High Tol]]="","N/A",IFERROR(ABS(Table1[[#This Row],[Tol Span]]/Table1[[#This Row],[Error Span]]),"N/A"))</f>
        <v>N/A</v>
      </c>
      <c r="T1341" s="1" t="str">
        <f>IF(OR(Table1[[#This Row],[Low Tol]]="",Table1[[#This Row],[High Tol]]=""),"Needs Analysis",IF(Table1[[#This Row],[Ratio]]&gt;=4,"Not Significant",IF(Table1[[#This Row],[Ratio]]&gt;=2,"Semi-Significant","Significant")))</f>
        <v>Needs Analysis</v>
      </c>
      <c r="W1341" s="1">
        <f>IF(Table1[[#This Row],[Cal Type]]&lt;&gt;"ACCREDITED 17025 WITH UNCERTAINTIES",0,"")</f>
        <v>0</v>
      </c>
      <c r="X1341" s="1" t="str">
        <f>IF(Table1[[#This Row],[DUT Read]]="","N/A",Table1[[#This Row],[Std Error]]+Table1[[#This Row],[DUT Read]]+Table1[[#This Row],[DUT Ucty]])</f>
        <v>N/A</v>
      </c>
      <c r="Y1341" s="1" t="str">
        <f>IF(Table1[[#This Row],[Std Read]]="","N/A",Table1[[#This Row],[Std Read]]+Table1[[#This Row],[Std Ucty]])</f>
        <v>N/A</v>
      </c>
      <c r="Z13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1" s="1" t="str">
        <f>IF(Table1[[#This Row],[Spec Type]]="","N/A",Table1[[#This Row],[Spec Type]])</f>
        <v>±</v>
      </c>
      <c r="AC1341" s="1" t="str">
        <f>IF(Table1[[#This Row],[Spec Type2]]="N/A","N/A",IF(AND(Table1[[#This Row],[DUT Adj Read]]&gt;=Table1[[#This Row],[Low Tol]],Table1[[#This Row],[DUT Adj Read]]&lt;=Table1[[#This Row],[High Tol]]),"Pass","Fail"))</f>
        <v>Fail</v>
      </c>
      <c r="AD1341" s="1" t="str">
        <f>IF(AND(Table1[[#This Row],[Spec Type2]]="N/A",Table1[[#This Row],[DUT Adj Read]]="N/A",Table1[[#This Row],[Std Adj Read]]="N/A"),"N/A",IF(Table1[[#This Row],[DUT Adj Read]]="N/A",IF(Table1[[#This Row],[Std Adj Read]]&gt;Table1[[#This Row],[Low Tol]],"Pass","Fail"),IF(Table1[[#This Row],[DUT Adj Read]]&gt;Table1[[#This Row],[Low Tol]],"Pass","Fail")))</f>
        <v>Pass</v>
      </c>
      <c r="AE1341" s="1" t="str">
        <f>IF(AND(Table1[[#This Row],[Spec Type2]]="N/A",Table1[[#This Row],[DUT Adj Read]]="N/A",Table1[[#This Row],[Std Adj Read]]="N/A"),"N/A",IF(Table1[[#This Row],[DUT Adj Read]]="N/A",IF(Table1[[#This Row],[Std Adj Read]]&lt;Table1[[#This Row],[High Tol]],"Pass","Fail"),IF(Table1[[#This Row],[DUT Adj Read]]&lt;Table1[[#This Row],[High Tol]],"Pass","Fail")))</f>
        <v>Fail</v>
      </c>
      <c r="AF1341" s="1" t="str">
        <f>IF(AND(Table1[[#This Row],[Spec Type2]]="N/A",Table1[[#This Row],[DUT Adj Read]]="N/A",Table1[[#This Row],[Std Adj Read]]="N/A"),"N/A",IF(Table1[[#This Row],[DUT Adj Read]]="N/A",IF(Table1[[#This Row],[Std Adj Read]]&gt;=Table1[[#This Row],[Low Tol]],"Pass","Fail"),IF(Table1[[#This Row],[DUT Adj Read]]&gt;=Table1[[#This Row],[Low Tol]],"Pass","Fail")))</f>
        <v>Pass</v>
      </c>
      <c r="AG1341" s="1" t="str">
        <f>IF(AND(Table1[[#This Row],[Spec Type2]]="N/A",Table1[[#This Row],[DUT Adj Read]]="N/A",Table1[[#This Row],[Std Adj Read]]="N/A"),"N/A",IF(Table1[[#This Row],[DUT Adj Read]]="N/A",IF(Table1[[#This Row],[Std Adj Read]]&lt;=Table1[[#This Row],[High Tol]],"Pass","Fail"),IF(Table1[[#This Row],[DUT Adj Read]]&lt;=Table1[[#This Row],[High Tol]],"Pass","Fail")))</f>
        <v>Fail</v>
      </c>
      <c r="AH13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1" s="1" t="b">
        <v>0</v>
      </c>
      <c r="AN1341" s="1" t="b">
        <v>0</v>
      </c>
      <c r="AO1341" s="1" t="b">
        <v>0</v>
      </c>
    </row>
    <row r="1342" spans="1:41" x14ac:dyDescent="0.25">
      <c r="A1342" s="10"/>
      <c r="B1342" s="10"/>
      <c r="C1342" s="10"/>
      <c r="D1342" s="10"/>
      <c r="E1342" s="10"/>
      <c r="F1342" s="10"/>
      <c r="G1342" s="10"/>
      <c r="H1342" s="10"/>
      <c r="I1342" s="1" t="str">
        <f t="shared" si="60"/>
        <v/>
      </c>
      <c r="J1342" s="1" t="s">
        <v>35</v>
      </c>
      <c r="K1342" s="1" t="str">
        <f t="shared" si="61"/>
        <v/>
      </c>
      <c r="L1342" s="1" t="str">
        <f t="shared" si="62"/>
        <v/>
      </c>
      <c r="M1342" s="1">
        <f>IF(OR(Table1[[#This Row],[Std Nom]]="",Table1[[#This Row],[Std Read]]=""),0,Table1[[#This Row],[Std Nom]]-Table1[[#This Row],[Std Read]])</f>
        <v>0</v>
      </c>
      <c r="N1342" s="1">
        <f>IF(Calculations!$F$5="ACCREDITED 17025 WITH UNCERTAINTIES",$N$10,0)</f>
        <v>0</v>
      </c>
      <c r="Q1342" s="1">
        <f>Table1[[#This Row],[High Tol]]-Table1[[#This Row],[Low Tol]]</f>
        <v>0</v>
      </c>
      <c r="R1342" s="1">
        <f>2*Table1[[#This Row],[Std Error]]</f>
        <v>0</v>
      </c>
      <c r="S1342" s="1" t="str">
        <f>IF(Table1[[#This Row],[High Tol]]="","N/A",IFERROR(ABS(Table1[[#This Row],[Tol Span]]/Table1[[#This Row],[Error Span]]),"N/A"))</f>
        <v>N/A</v>
      </c>
      <c r="T1342" s="1" t="str">
        <f>IF(OR(Table1[[#This Row],[Low Tol]]="",Table1[[#This Row],[High Tol]]=""),"Needs Analysis",IF(Table1[[#This Row],[Ratio]]&gt;=4,"Not Significant",IF(Table1[[#This Row],[Ratio]]&gt;=2,"Semi-Significant","Significant")))</f>
        <v>Needs Analysis</v>
      </c>
      <c r="W1342" s="1">
        <f>IF(Table1[[#This Row],[Cal Type]]&lt;&gt;"ACCREDITED 17025 WITH UNCERTAINTIES",0,"")</f>
        <v>0</v>
      </c>
      <c r="X1342" s="1" t="str">
        <f>IF(Table1[[#This Row],[DUT Read]]="","N/A",Table1[[#This Row],[Std Error]]+Table1[[#This Row],[DUT Read]]+Table1[[#This Row],[DUT Ucty]])</f>
        <v>N/A</v>
      </c>
      <c r="Y1342" s="1" t="str">
        <f>IF(Table1[[#This Row],[Std Read]]="","N/A",Table1[[#This Row],[Std Read]]+Table1[[#This Row],[Std Ucty]])</f>
        <v>N/A</v>
      </c>
      <c r="Z13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2" s="1" t="str">
        <f>IF(Table1[[#This Row],[Spec Type]]="","N/A",Table1[[#This Row],[Spec Type]])</f>
        <v>±</v>
      </c>
      <c r="AC1342" s="1" t="str">
        <f>IF(Table1[[#This Row],[Spec Type2]]="N/A","N/A",IF(AND(Table1[[#This Row],[DUT Adj Read]]&gt;=Table1[[#This Row],[Low Tol]],Table1[[#This Row],[DUT Adj Read]]&lt;=Table1[[#This Row],[High Tol]]),"Pass","Fail"))</f>
        <v>Fail</v>
      </c>
      <c r="AD1342" s="1" t="str">
        <f>IF(AND(Table1[[#This Row],[Spec Type2]]="N/A",Table1[[#This Row],[DUT Adj Read]]="N/A",Table1[[#This Row],[Std Adj Read]]="N/A"),"N/A",IF(Table1[[#This Row],[DUT Adj Read]]="N/A",IF(Table1[[#This Row],[Std Adj Read]]&gt;Table1[[#This Row],[Low Tol]],"Pass","Fail"),IF(Table1[[#This Row],[DUT Adj Read]]&gt;Table1[[#This Row],[Low Tol]],"Pass","Fail")))</f>
        <v>Pass</v>
      </c>
      <c r="AE1342" s="1" t="str">
        <f>IF(AND(Table1[[#This Row],[Spec Type2]]="N/A",Table1[[#This Row],[DUT Adj Read]]="N/A",Table1[[#This Row],[Std Adj Read]]="N/A"),"N/A",IF(Table1[[#This Row],[DUT Adj Read]]="N/A",IF(Table1[[#This Row],[Std Adj Read]]&lt;Table1[[#This Row],[High Tol]],"Pass","Fail"),IF(Table1[[#This Row],[DUT Adj Read]]&lt;Table1[[#This Row],[High Tol]],"Pass","Fail")))</f>
        <v>Fail</v>
      </c>
      <c r="AF1342" s="1" t="str">
        <f>IF(AND(Table1[[#This Row],[Spec Type2]]="N/A",Table1[[#This Row],[DUT Adj Read]]="N/A",Table1[[#This Row],[Std Adj Read]]="N/A"),"N/A",IF(Table1[[#This Row],[DUT Adj Read]]="N/A",IF(Table1[[#This Row],[Std Adj Read]]&gt;=Table1[[#This Row],[Low Tol]],"Pass","Fail"),IF(Table1[[#This Row],[DUT Adj Read]]&gt;=Table1[[#This Row],[Low Tol]],"Pass","Fail")))</f>
        <v>Pass</v>
      </c>
      <c r="AG1342" s="1" t="str">
        <f>IF(AND(Table1[[#This Row],[Spec Type2]]="N/A",Table1[[#This Row],[DUT Adj Read]]="N/A",Table1[[#This Row],[Std Adj Read]]="N/A"),"N/A",IF(Table1[[#This Row],[DUT Adj Read]]="N/A",IF(Table1[[#This Row],[Std Adj Read]]&lt;=Table1[[#This Row],[High Tol]],"Pass","Fail"),IF(Table1[[#This Row],[DUT Adj Read]]&lt;=Table1[[#This Row],[High Tol]],"Pass","Fail")))</f>
        <v>Fail</v>
      </c>
      <c r="AH13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2" s="1" t="b">
        <v>0</v>
      </c>
      <c r="AN1342" s="1" t="b">
        <v>0</v>
      </c>
      <c r="AO1342" s="1" t="b">
        <v>0</v>
      </c>
    </row>
    <row r="1343" spans="1:41" x14ac:dyDescent="0.25">
      <c r="A1343" s="10"/>
      <c r="B1343" s="10"/>
      <c r="C1343" s="10"/>
      <c r="D1343" s="10"/>
      <c r="E1343" s="10"/>
      <c r="F1343" s="10"/>
      <c r="G1343" s="10"/>
      <c r="H1343" s="10"/>
      <c r="I1343" s="1" t="str">
        <f t="shared" si="60"/>
        <v/>
      </c>
      <c r="J1343" s="1" t="s">
        <v>35</v>
      </c>
      <c r="K1343" s="1" t="str">
        <f t="shared" si="61"/>
        <v/>
      </c>
      <c r="L1343" s="1" t="str">
        <f t="shared" si="62"/>
        <v/>
      </c>
      <c r="M1343" s="1">
        <f>IF(OR(Table1[[#This Row],[Std Nom]]="",Table1[[#This Row],[Std Read]]=""),0,Table1[[#This Row],[Std Nom]]-Table1[[#This Row],[Std Read]])</f>
        <v>0</v>
      </c>
      <c r="N1343" s="1">
        <f>IF(Calculations!$F$5="ACCREDITED 17025 WITH UNCERTAINTIES",$N$10,0)</f>
        <v>0</v>
      </c>
      <c r="Q1343" s="1">
        <f>Table1[[#This Row],[High Tol]]-Table1[[#This Row],[Low Tol]]</f>
        <v>0</v>
      </c>
      <c r="R1343" s="1">
        <f>2*Table1[[#This Row],[Std Error]]</f>
        <v>0</v>
      </c>
      <c r="S1343" s="1" t="str">
        <f>IF(Table1[[#This Row],[High Tol]]="","N/A",IFERROR(ABS(Table1[[#This Row],[Tol Span]]/Table1[[#This Row],[Error Span]]),"N/A"))</f>
        <v>N/A</v>
      </c>
      <c r="T1343" s="1" t="str">
        <f>IF(OR(Table1[[#This Row],[Low Tol]]="",Table1[[#This Row],[High Tol]]=""),"Needs Analysis",IF(Table1[[#This Row],[Ratio]]&gt;=4,"Not Significant",IF(Table1[[#This Row],[Ratio]]&gt;=2,"Semi-Significant","Significant")))</f>
        <v>Needs Analysis</v>
      </c>
      <c r="W1343" s="1">
        <f>IF(Table1[[#This Row],[Cal Type]]&lt;&gt;"ACCREDITED 17025 WITH UNCERTAINTIES",0,"")</f>
        <v>0</v>
      </c>
      <c r="X1343" s="1" t="str">
        <f>IF(Table1[[#This Row],[DUT Read]]="","N/A",Table1[[#This Row],[Std Error]]+Table1[[#This Row],[DUT Read]]+Table1[[#This Row],[DUT Ucty]])</f>
        <v>N/A</v>
      </c>
      <c r="Y1343" s="1" t="str">
        <f>IF(Table1[[#This Row],[Std Read]]="","N/A",Table1[[#This Row],[Std Read]]+Table1[[#This Row],[Std Ucty]])</f>
        <v>N/A</v>
      </c>
      <c r="Z13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3" s="1" t="str">
        <f>IF(Table1[[#This Row],[Spec Type]]="","N/A",Table1[[#This Row],[Spec Type]])</f>
        <v>±</v>
      </c>
      <c r="AC1343" s="1" t="str">
        <f>IF(Table1[[#This Row],[Spec Type2]]="N/A","N/A",IF(AND(Table1[[#This Row],[DUT Adj Read]]&gt;=Table1[[#This Row],[Low Tol]],Table1[[#This Row],[DUT Adj Read]]&lt;=Table1[[#This Row],[High Tol]]),"Pass","Fail"))</f>
        <v>Fail</v>
      </c>
      <c r="AD1343" s="1" t="str">
        <f>IF(AND(Table1[[#This Row],[Spec Type2]]="N/A",Table1[[#This Row],[DUT Adj Read]]="N/A",Table1[[#This Row],[Std Adj Read]]="N/A"),"N/A",IF(Table1[[#This Row],[DUT Adj Read]]="N/A",IF(Table1[[#This Row],[Std Adj Read]]&gt;Table1[[#This Row],[Low Tol]],"Pass","Fail"),IF(Table1[[#This Row],[DUT Adj Read]]&gt;Table1[[#This Row],[Low Tol]],"Pass","Fail")))</f>
        <v>Pass</v>
      </c>
      <c r="AE1343" s="1" t="str">
        <f>IF(AND(Table1[[#This Row],[Spec Type2]]="N/A",Table1[[#This Row],[DUT Adj Read]]="N/A",Table1[[#This Row],[Std Adj Read]]="N/A"),"N/A",IF(Table1[[#This Row],[DUT Adj Read]]="N/A",IF(Table1[[#This Row],[Std Adj Read]]&lt;Table1[[#This Row],[High Tol]],"Pass","Fail"),IF(Table1[[#This Row],[DUT Adj Read]]&lt;Table1[[#This Row],[High Tol]],"Pass","Fail")))</f>
        <v>Fail</v>
      </c>
      <c r="AF1343" s="1" t="str">
        <f>IF(AND(Table1[[#This Row],[Spec Type2]]="N/A",Table1[[#This Row],[DUT Adj Read]]="N/A",Table1[[#This Row],[Std Adj Read]]="N/A"),"N/A",IF(Table1[[#This Row],[DUT Adj Read]]="N/A",IF(Table1[[#This Row],[Std Adj Read]]&gt;=Table1[[#This Row],[Low Tol]],"Pass","Fail"),IF(Table1[[#This Row],[DUT Adj Read]]&gt;=Table1[[#This Row],[Low Tol]],"Pass","Fail")))</f>
        <v>Pass</v>
      </c>
      <c r="AG1343" s="1" t="str">
        <f>IF(AND(Table1[[#This Row],[Spec Type2]]="N/A",Table1[[#This Row],[DUT Adj Read]]="N/A",Table1[[#This Row],[Std Adj Read]]="N/A"),"N/A",IF(Table1[[#This Row],[DUT Adj Read]]="N/A",IF(Table1[[#This Row],[Std Adj Read]]&lt;=Table1[[#This Row],[High Tol]],"Pass","Fail"),IF(Table1[[#This Row],[DUT Adj Read]]&lt;=Table1[[#This Row],[High Tol]],"Pass","Fail")))</f>
        <v>Fail</v>
      </c>
      <c r="AH13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3" s="1" t="b">
        <v>0</v>
      </c>
      <c r="AN1343" s="1" t="b">
        <v>0</v>
      </c>
      <c r="AO1343" s="1" t="b">
        <v>0</v>
      </c>
    </row>
    <row r="1344" spans="1:41" x14ac:dyDescent="0.25">
      <c r="A1344" s="10"/>
      <c r="B1344" s="10"/>
      <c r="C1344" s="10"/>
      <c r="D1344" s="10"/>
      <c r="E1344" s="10"/>
      <c r="F1344" s="10"/>
      <c r="G1344" s="10"/>
      <c r="H1344" s="10"/>
      <c r="I1344" s="1" t="str">
        <f t="shared" si="60"/>
        <v/>
      </c>
      <c r="J1344" s="1" t="s">
        <v>35</v>
      </c>
      <c r="K1344" s="1" t="str">
        <f t="shared" si="61"/>
        <v/>
      </c>
      <c r="L1344" s="1" t="str">
        <f t="shared" si="62"/>
        <v/>
      </c>
      <c r="M1344" s="1">
        <f>IF(OR(Table1[[#This Row],[Std Nom]]="",Table1[[#This Row],[Std Read]]=""),0,Table1[[#This Row],[Std Nom]]-Table1[[#This Row],[Std Read]])</f>
        <v>0</v>
      </c>
      <c r="N1344" s="1">
        <f>IF(Calculations!$F$5="ACCREDITED 17025 WITH UNCERTAINTIES",$N$10,0)</f>
        <v>0</v>
      </c>
      <c r="Q1344" s="1">
        <f>Table1[[#This Row],[High Tol]]-Table1[[#This Row],[Low Tol]]</f>
        <v>0</v>
      </c>
      <c r="R1344" s="1">
        <f>2*Table1[[#This Row],[Std Error]]</f>
        <v>0</v>
      </c>
      <c r="S1344" s="1" t="str">
        <f>IF(Table1[[#This Row],[High Tol]]="","N/A",IFERROR(ABS(Table1[[#This Row],[Tol Span]]/Table1[[#This Row],[Error Span]]),"N/A"))</f>
        <v>N/A</v>
      </c>
      <c r="T1344" s="1" t="str">
        <f>IF(OR(Table1[[#This Row],[Low Tol]]="",Table1[[#This Row],[High Tol]]=""),"Needs Analysis",IF(Table1[[#This Row],[Ratio]]&gt;=4,"Not Significant",IF(Table1[[#This Row],[Ratio]]&gt;=2,"Semi-Significant","Significant")))</f>
        <v>Needs Analysis</v>
      </c>
      <c r="W1344" s="1">
        <f>IF(Table1[[#This Row],[Cal Type]]&lt;&gt;"ACCREDITED 17025 WITH UNCERTAINTIES",0,"")</f>
        <v>0</v>
      </c>
      <c r="X1344" s="1" t="str">
        <f>IF(Table1[[#This Row],[DUT Read]]="","N/A",Table1[[#This Row],[Std Error]]+Table1[[#This Row],[DUT Read]]+Table1[[#This Row],[DUT Ucty]])</f>
        <v>N/A</v>
      </c>
      <c r="Y1344" s="1" t="str">
        <f>IF(Table1[[#This Row],[Std Read]]="","N/A",Table1[[#This Row],[Std Read]]+Table1[[#This Row],[Std Ucty]])</f>
        <v>N/A</v>
      </c>
      <c r="Z13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4" s="1" t="str">
        <f>IF(Table1[[#This Row],[Spec Type]]="","N/A",Table1[[#This Row],[Spec Type]])</f>
        <v>±</v>
      </c>
      <c r="AC1344" s="1" t="str">
        <f>IF(Table1[[#This Row],[Spec Type2]]="N/A","N/A",IF(AND(Table1[[#This Row],[DUT Adj Read]]&gt;=Table1[[#This Row],[Low Tol]],Table1[[#This Row],[DUT Adj Read]]&lt;=Table1[[#This Row],[High Tol]]),"Pass","Fail"))</f>
        <v>Fail</v>
      </c>
      <c r="AD1344" s="1" t="str">
        <f>IF(AND(Table1[[#This Row],[Spec Type2]]="N/A",Table1[[#This Row],[DUT Adj Read]]="N/A",Table1[[#This Row],[Std Adj Read]]="N/A"),"N/A",IF(Table1[[#This Row],[DUT Adj Read]]="N/A",IF(Table1[[#This Row],[Std Adj Read]]&gt;Table1[[#This Row],[Low Tol]],"Pass","Fail"),IF(Table1[[#This Row],[DUT Adj Read]]&gt;Table1[[#This Row],[Low Tol]],"Pass","Fail")))</f>
        <v>Pass</v>
      </c>
      <c r="AE1344" s="1" t="str">
        <f>IF(AND(Table1[[#This Row],[Spec Type2]]="N/A",Table1[[#This Row],[DUT Adj Read]]="N/A",Table1[[#This Row],[Std Adj Read]]="N/A"),"N/A",IF(Table1[[#This Row],[DUT Adj Read]]="N/A",IF(Table1[[#This Row],[Std Adj Read]]&lt;Table1[[#This Row],[High Tol]],"Pass","Fail"),IF(Table1[[#This Row],[DUT Adj Read]]&lt;Table1[[#This Row],[High Tol]],"Pass","Fail")))</f>
        <v>Fail</v>
      </c>
      <c r="AF1344" s="1" t="str">
        <f>IF(AND(Table1[[#This Row],[Spec Type2]]="N/A",Table1[[#This Row],[DUT Adj Read]]="N/A",Table1[[#This Row],[Std Adj Read]]="N/A"),"N/A",IF(Table1[[#This Row],[DUT Adj Read]]="N/A",IF(Table1[[#This Row],[Std Adj Read]]&gt;=Table1[[#This Row],[Low Tol]],"Pass","Fail"),IF(Table1[[#This Row],[DUT Adj Read]]&gt;=Table1[[#This Row],[Low Tol]],"Pass","Fail")))</f>
        <v>Pass</v>
      </c>
      <c r="AG1344" s="1" t="str">
        <f>IF(AND(Table1[[#This Row],[Spec Type2]]="N/A",Table1[[#This Row],[DUT Adj Read]]="N/A",Table1[[#This Row],[Std Adj Read]]="N/A"),"N/A",IF(Table1[[#This Row],[DUT Adj Read]]="N/A",IF(Table1[[#This Row],[Std Adj Read]]&lt;=Table1[[#This Row],[High Tol]],"Pass","Fail"),IF(Table1[[#This Row],[DUT Adj Read]]&lt;=Table1[[#This Row],[High Tol]],"Pass","Fail")))</f>
        <v>Fail</v>
      </c>
      <c r="AH13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4" s="1" t="b">
        <v>0</v>
      </c>
      <c r="AN1344" s="1" t="b">
        <v>0</v>
      </c>
      <c r="AO1344" s="1" t="b">
        <v>0</v>
      </c>
    </row>
    <row r="1345" spans="1:41" x14ac:dyDescent="0.25">
      <c r="A1345" s="10"/>
      <c r="B1345" s="10"/>
      <c r="C1345" s="10"/>
      <c r="D1345" s="10"/>
      <c r="E1345" s="10"/>
      <c r="F1345" s="10"/>
      <c r="G1345" s="10"/>
      <c r="H1345" s="10"/>
      <c r="I1345" s="1" t="str">
        <f t="shared" si="60"/>
        <v/>
      </c>
      <c r="J1345" s="1" t="s">
        <v>35</v>
      </c>
      <c r="K1345" s="1" t="str">
        <f t="shared" si="61"/>
        <v/>
      </c>
      <c r="L1345" s="1" t="str">
        <f t="shared" si="62"/>
        <v/>
      </c>
      <c r="M1345" s="1">
        <f>IF(OR(Table1[[#This Row],[Std Nom]]="",Table1[[#This Row],[Std Read]]=""),0,Table1[[#This Row],[Std Nom]]-Table1[[#This Row],[Std Read]])</f>
        <v>0</v>
      </c>
      <c r="N1345" s="1">
        <f>IF(Calculations!$F$5="ACCREDITED 17025 WITH UNCERTAINTIES",$N$10,0)</f>
        <v>0</v>
      </c>
      <c r="Q1345" s="1">
        <f>Table1[[#This Row],[High Tol]]-Table1[[#This Row],[Low Tol]]</f>
        <v>0</v>
      </c>
      <c r="R1345" s="1">
        <f>2*Table1[[#This Row],[Std Error]]</f>
        <v>0</v>
      </c>
      <c r="S1345" s="1" t="str">
        <f>IF(Table1[[#This Row],[High Tol]]="","N/A",IFERROR(ABS(Table1[[#This Row],[Tol Span]]/Table1[[#This Row],[Error Span]]),"N/A"))</f>
        <v>N/A</v>
      </c>
      <c r="T1345" s="1" t="str">
        <f>IF(OR(Table1[[#This Row],[Low Tol]]="",Table1[[#This Row],[High Tol]]=""),"Needs Analysis",IF(Table1[[#This Row],[Ratio]]&gt;=4,"Not Significant",IF(Table1[[#This Row],[Ratio]]&gt;=2,"Semi-Significant","Significant")))</f>
        <v>Needs Analysis</v>
      </c>
      <c r="W1345" s="1">
        <f>IF(Table1[[#This Row],[Cal Type]]&lt;&gt;"ACCREDITED 17025 WITH UNCERTAINTIES",0,"")</f>
        <v>0</v>
      </c>
      <c r="X1345" s="1" t="str">
        <f>IF(Table1[[#This Row],[DUT Read]]="","N/A",Table1[[#This Row],[Std Error]]+Table1[[#This Row],[DUT Read]]+Table1[[#This Row],[DUT Ucty]])</f>
        <v>N/A</v>
      </c>
      <c r="Y1345" s="1" t="str">
        <f>IF(Table1[[#This Row],[Std Read]]="","N/A",Table1[[#This Row],[Std Read]]+Table1[[#This Row],[Std Ucty]])</f>
        <v>N/A</v>
      </c>
      <c r="Z13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5" s="1" t="str">
        <f>IF(Table1[[#This Row],[Spec Type]]="","N/A",Table1[[#This Row],[Spec Type]])</f>
        <v>±</v>
      </c>
      <c r="AC1345" s="1" t="str">
        <f>IF(Table1[[#This Row],[Spec Type2]]="N/A","N/A",IF(AND(Table1[[#This Row],[DUT Adj Read]]&gt;=Table1[[#This Row],[Low Tol]],Table1[[#This Row],[DUT Adj Read]]&lt;=Table1[[#This Row],[High Tol]]),"Pass","Fail"))</f>
        <v>Fail</v>
      </c>
      <c r="AD1345" s="1" t="str">
        <f>IF(AND(Table1[[#This Row],[Spec Type2]]="N/A",Table1[[#This Row],[DUT Adj Read]]="N/A",Table1[[#This Row],[Std Adj Read]]="N/A"),"N/A",IF(Table1[[#This Row],[DUT Adj Read]]="N/A",IF(Table1[[#This Row],[Std Adj Read]]&gt;Table1[[#This Row],[Low Tol]],"Pass","Fail"),IF(Table1[[#This Row],[DUT Adj Read]]&gt;Table1[[#This Row],[Low Tol]],"Pass","Fail")))</f>
        <v>Pass</v>
      </c>
      <c r="AE1345" s="1" t="str">
        <f>IF(AND(Table1[[#This Row],[Spec Type2]]="N/A",Table1[[#This Row],[DUT Adj Read]]="N/A",Table1[[#This Row],[Std Adj Read]]="N/A"),"N/A",IF(Table1[[#This Row],[DUT Adj Read]]="N/A",IF(Table1[[#This Row],[Std Adj Read]]&lt;Table1[[#This Row],[High Tol]],"Pass","Fail"),IF(Table1[[#This Row],[DUT Adj Read]]&lt;Table1[[#This Row],[High Tol]],"Pass","Fail")))</f>
        <v>Fail</v>
      </c>
      <c r="AF1345" s="1" t="str">
        <f>IF(AND(Table1[[#This Row],[Spec Type2]]="N/A",Table1[[#This Row],[DUT Adj Read]]="N/A",Table1[[#This Row],[Std Adj Read]]="N/A"),"N/A",IF(Table1[[#This Row],[DUT Adj Read]]="N/A",IF(Table1[[#This Row],[Std Adj Read]]&gt;=Table1[[#This Row],[Low Tol]],"Pass","Fail"),IF(Table1[[#This Row],[DUT Adj Read]]&gt;=Table1[[#This Row],[Low Tol]],"Pass","Fail")))</f>
        <v>Pass</v>
      </c>
      <c r="AG1345" s="1" t="str">
        <f>IF(AND(Table1[[#This Row],[Spec Type2]]="N/A",Table1[[#This Row],[DUT Adj Read]]="N/A",Table1[[#This Row],[Std Adj Read]]="N/A"),"N/A",IF(Table1[[#This Row],[DUT Adj Read]]="N/A",IF(Table1[[#This Row],[Std Adj Read]]&lt;=Table1[[#This Row],[High Tol]],"Pass","Fail"),IF(Table1[[#This Row],[DUT Adj Read]]&lt;=Table1[[#This Row],[High Tol]],"Pass","Fail")))</f>
        <v>Fail</v>
      </c>
      <c r="AH13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5" s="1" t="b">
        <v>0</v>
      </c>
      <c r="AN1345" s="1" t="b">
        <v>0</v>
      </c>
      <c r="AO1345" s="1" t="b">
        <v>0</v>
      </c>
    </row>
    <row r="1346" spans="1:41" x14ac:dyDescent="0.25">
      <c r="A1346" s="10"/>
      <c r="B1346" s="10"/>
      <c r="C1346" s="10"/>
      <c r="D1346" s="10"/>
      <c r="E1346" s="10"/>
      <c r="F1346" s="10"/>
      <c r="G1346" s="10"/>
      <c r="H1346" s="10"/>
      <c r="I1346" s="1" t="str">
        <f t="shared" si="60"/>
        <v/>
      </c>
      <c r="J1346" s="1" t="s">
        <v>35</v>
      </c>
      <c r="K1346" s="1" t="str">
        <f t="shared" si="61"/>
        <v/>
      </c>
      <c r="L1346" s="1" t="str">
        <f t="shared" si="62"/>
        <v/>
      </c>
      <c r="M1346" s="1">
        <f>IF(OR(Table1[[#This Row],[Std Nom]]="",Table1[[#This Row],[Std Read]]=""),0,Table1[[#This Row],[Std Nom]]-Table1[[#This Row],[Std Read]])</f>
        <v>0</v>
      </c>
      <c r="N1346" s="1">
        <f>IF(Calculations!$F$5="ACCREDITED 17025 WITH UNCERTAINTIES",$N$10,0)</f>
        <v>0</v>
      </c>
      <c r="Q1346" s="1">
        <f>Table1[[#This Row],[High Tol]]-Table1[[#This Row],[Low Tol]]</f>
        <v>0</v>
      </c>
      <c r="R1346" s="1">
        <f>2*Table1[[#This Row],[Std Error]]</f>
        <v>0</v>
      </c>
      <c r="S1346" s="1" t="str">
        <f>IF(Table1[[#This Row],[High Tol]]="","N/A",IFERROR(ABS(Table1[[#This Row],[Tol Span]]/Table1[[#This Row],[Error Span]]),"N/A"))</f>
        <v>N/A</v>
      </c>
      <c r="T1346" s="1" t="str">
        <f>IF(OR(Table1[[#This Row],[Low Tol]]="",Table1[[#This Row],[High Tol]]=""),"Needs Analysis",IF(Table1[[#This Row],[Ratio]]&gt;=4,"Not Significant",IF(Table1[[#This Row],[Ratio]]&gt;=2,"Semi-Significant","Significant")))</f>
        <v>Needs Analysis</v>
      </c>
      <c r="W1346" s="1">
        <f>IF(Table1[[#This Row],[Cal Type]]&lt;&gt;"ACCREDITED 17025 WITH UNCERTAINTIES",0,"")</f>
        <v>0</v>
      </c>
      <c r="X1346" s="1" t="str">
        <f>IF(Table1[[#This Row],[DUT Read]]="","N/A",Table1[[#This Row],[Std Error]]+Table1[[#This Row],[DUT Read]]+Table1[[#This Row],[DUT Ucty]])</f>
        <v>N/A</v>
      </c>
      <c r="Y1346" s="1" t="str">
        <f>IF(Table1[[#This Row],[Std Read]]="","N/A",Table1[[#This Row],[Std Read]]+Table1[[#This Row],[Std Ucty]])</f>
        <v>N/A</v>
      </c>
      <c r="Z13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6" s="1" t="str">
        <f>IF(Table1[[#This Row],[Spec Type]]="","N/A",Table1[[#This Row],[Spec Type]])</f>
        <v>±</v>
      </c>
      <c r="AC1346" s="1" t="str">
        <f>IF(Table1[[#This Row],[Spec Type2]]="N/A","N/A",IF(AND(Table1[[#This Row],[DUT Adj Read]]&gt;=Table1[[#This Row],[Low Tol]],Table1[[#This Row],[DUT Adj Read]]&lt;=Table1[[#This Row],[High Tol]]),"Pass","Fail"))</f>
        <v>Fail</v>
      </c>
      <c r="AD1346" s="1" t="str">
        <f>IF(AND(Table1[[#This Row],[Spec Type2]]="N/A",Table1[[#This Row],[DUT Adj Read]]="N/A",Table1[[#This Row],[Std Adj Read]]="N/A"),"N/A",IF(Table1[[#This Row],[DUT Adj Read]]="N/A",IF(Table1[[#This Row],[Std Adj Read]]&gt;Table1[[#This Row],[Low Tol]],"Pass","Fail"),IF(Table1[[#This Row],[DUT Adj Read]]&gt;Table1[[#This Row],[Low Tol]],"Pass","Fail")))</f>
        <v>Pass</v>
      </c>
      <c r="AE1346" s="1" t="str">
        <f>IF(AND(Table1[[#This Row],[Spec Type2]]="N/A",Table1[[#This Row],[DUT Adj Read]]="N/A",Table1[[#This Row],[Std Adj Read]]="N/A"),"N/A",IF(Table1[[#This Row],[DUT Adj Read]]="N/A",IF(Table1[[#This Row],[Std Adj Read]]&lt;Table1[[#This Row],[High Tol]],"Pass","Fail"),IF(Table1[[#This Row],[DUT Adj Read]]&lt;Table1[[#This Row],[High Tol]],"Pass","Fail")))</f>
        <v>Fail</v>
      </c>
      <c r="AF1346" s="1" t="str">
        <f>IF(AND(Table1[[#This Row],[Spec Type2]]="N/A",Table1[[#This Row],[DUT Adj Read]]="N/A",Table1[[#This Row],[Std Adj Read]]="N/A"),"N/A",IF(Table1[[#This Row],[DUT Adj Read]]="N/A",IF(Table1[[#This Row],[Std Adj Read]]&gt;=Table1[[#This Row],[Low Tol]],"Pass","Fail"),IF(Table1[[#This Row],[DUT Adj Read]]&gt;=Table1[[#This Row],[Low Tol]],"Pass","Fail")))</f>
        <v>Pass</v>
      </c>
      <c r="AG1346" s="1" t="str">
        <f>IF(AND(Table1[[#This Row],[Spec Type2]]="N/A",Table1[[#This Row],[DUT Adj Read]]="N/A",Table1[[#This Row],[Std Adj Read]]="N/A"),"N/A",IF(Table1[[#This Row],[DUT Adj Read]]="N/A",IF(Table1[[#This Row],[Std Adj Read]]&lt;=Table1[[#This Row],[High Tol]],"Pass","Fail"),IF(Table1[[#This Row],[DUT Adj Read]]&lt;=Table1[[#This Row],[High Tol]],"Pass","Fail")))</f>
        <v>Fail</v>
      </c>
      <c r="AH13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6" s="1" t="b">
        <v>0</v>
      </c>
      <c r="AN1346" s="1" t="b">
        <v>0</v>
      </c>
      <c r="AO1346" s="1" t="b">
        <v>0</v>
      </c>
    </row>
    <row r="1347" spans="1:41" x14ac:dyDescent="0.25">
      <c r="A1347" s="10"/>
      <c r="B1347" s="10"/>
      <c r="C1347" s="10"/>
      <c r="D1347" s="10"/>
      <c r="E1347" s="10"/>
      <c r="F1347" s="10"/>
      <c r="G1347" s="10"/>
      <c r="H1347" s="10"/>
      <c r="I1347" s="1" t="str">
        <f t="shared" si="60"/>
        <v/>
      </c>
      <c r="J1347" s="1" t="s">
        <v>35</v>
      </c>
      <c r="K1347" s="1" t="str">
        <f t="shared" si="61"/>
        <v/>
      </c>
      <c r="L1347" s="1" t="str">
        <f t="shared" si="62"/>
        <v/>
      </c>
      <c r="M1347" s="1">
        <f>IF(OR(Table1[[#This Row],[Std Nom]]="",Table1[[#This Row],[Std Read]]=""),0,Table1[[#This Row],[Std Nom]]-Table1[[#This Row],[Std Read]])</f>
        <v>0</v>
      </c>
      <c r="N1347" s="1">
        <f>IF(Calculations!$F$5="ACCREDITED 17025 WITH UNCERTAINTIES",$N$10,0)</f>
        <v>0</v>
      </c>
      <c r="Q1347" s="1">
        <f>Table1[[#This Row],[High Tol]]-Table1[[#This Row],[Low Tol]]</f>
        <v>0</v>
      </c>
      <c r="R1347" s="1">
        <f>2*Table1[[#This Row],[Std Error]]</f>
        <v>0</v>
      </c>
      <c r="S1347" s="1" t="str">
        <f>IF(Table1[[#This Row],[High Tol]]="","N/A",IFERROR(ABS(Table1[[#This Row],[Tol Span]]/Table1[[#This Row],[Error Span]]),"N/A"))</f>
        <v>N/A</v>
      </c>
      <c r="T1347" s="1" t="str">
        <f>IF(OR(Table1[[#This Row],[Low Tol]]="",Table1[[#This Row],[High Tol]]=""),"Needs Analysis",IF(Table1[[#This Row],[Ratio]]&gt;=4,"Not Significant",IF(Table1[[#This Row],[Ratio]]&gt;=2,"Semi-Significant","Significant")))</f>
        <v>Needs Analysis</v>
      </c>
      <c r="W1347" s="1">
        <f>IF(Table1[[#This Row],[Cal Type]]&lt;&gt;"ACCREDITED 17025 WITH UNCERTAINTIES",0,"")</f>
        <v>0</v>
      </c>
      <c r="X1347" s="1" t="str">
        <f>IF(Table1[[#This Row],[DUT Read]]="","N/A",Table1[[#This Row],[Std Error]]+Table1[[#This Row],[DUT Read]]+Table1[[#This Row],[DUT Ucty]])</f>
        <v>N/A</v>
      </c>
      <c r="Y1347" s="1" t="str">
        <f>IF(Table1[[#This Row],[Std Read]]="","N/A",Table1[[#This Row],[Std Read]]+Table1[[#This Row],[Std Ucty]])</f>
        <v>N/A</v>
      </c>
      <c r="Z13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7" s="1" t="str">
        <f>IF(Table1[[#This Row],[Spec Type]]="","N/A",Table1[[#This Row],[Spec Type]])</f>
        <v>±</v>
      </c>
      <c r="AC1347" s="1" t="str">
        <f>IF(Table1[[#This Row],[Spec Type2]]="N/A","N/A",IF(AND(Table1[[#This Row],[DUT Adj Read]]&gt;=Table1[[#This Row],[Low Tol]],Table1[[#This Row],[DUT Adj Read]]&lt;=Table1[[#This Row],[High Tol]]),"Pass","Fail"))</f>
        <v>Fail</v>
      </c>
      <c r="AD1347" s="1" t="str">
        <f>IF(AND(Table1[[#This Row],[Spec Type2]]="N/A",Table1[[#This Row],[DUT Adj Read]]="N/A",Table1[[#This Row],[Std Adj Read]]="N/A"),"N/A",IF(Table1[[#This Row],[DUT Adj Read]]="N/A",IF(Table1[[#This Row],[Std Adj Read]]&gt;Table1[[#This Row],[Low Tol]],"Pass","Fail"),IF(Table1[[#This Row],[DUT Adj Read]]&gt;Table1[[#This Row],[Low Tol]],"Pass","Fail")))</f>
        <v>Pass</v>
      </c>
      <c r="AE1347" s="1" t="str">
        <f>IF(AND(Table1[[#This Row],[Spec Type2]]="N/A",Table1[[#This Row],[DUT Adj Read]]="N/A",Table1[[#This Row],[Std Adj Read]]="N/A"),"N/A",IF(Table1[[#This Row],[DUT Adj Read]]="N/A",IF(Table1[[#This Row],[Std Adj Read]]&lt;Table1[[#This Row],[High Tol]],"Pass","Fail"),IF(Table1[[#This Row],[DUT Adj Read]]&lt;Table1[[#This Row],[High Tol]],"Pass","Fail")))</f>
        <v>Fail</v>
      </c>
      <c r="AF1347" s="1" t="str">
        <f>IF(AND(Table1[[#This Row],[Spec Type2]]="N/A",Table1[[#This Row],[DUT Adj Read]]="N/A",Table1[[#This Row],[Std Adj Read]]="N/A"),"N/A",IF(Table1[[#This Row],[DUT Adj Read]]="N/A",IF(Table1[[#This Row],[Std Adj Read]]&gt;=Table1[[#This Row],[Low Tol]],"Pass","Fail"),IF(Table1[[#This Row],[DUT Adj Read]]&gt;=Table1[[#This Row],[Low Tol]],"Pass","Fail")))</f>
        <v>Pass</v>
      </c>
      <c r="AG1347" s="1" t="str">
        <f>IF(AND(Table1[[#This Row],[Spec Type2]]="N/A",Table1[[#This Row],[DUT Adj Read]]="N/A",Table1[[#This Row],[Std Adj Read]]="N/A"),"N/A",IF(Table1[[#This Row],[DUT Adj Read]]="N/A",IF(Table1[[#This Row],[Std Adj Read]]&lt;=Table1[[#This Row],[High Tol]],"Pass","Fail"),IF(Table1[[#This Row],[DUT Adj Read]]&lt;=Table1[[#This Row],[High Tol]],"Pass","Fail")))</f>
        <v>Fail</v>
      </c>
      <c r="AH13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7" s="1" t="b">
        <v>0</v>
      </c>
      <c r="AN1347" s="1" t="b">
        <v>0</v>
      </c>
      <c r="AO1347" s="1" t="b">
        <v>0</v>
      </c>
    </row>
    <row r="1348" spans="1:41" x14ac:dyDescent="0.25">
      <c r="A1348" s="10"/>
      <c r="B1348" s="10"/>
      <c r="C1348" s="10"/>
      <c r="D1348" s="10"/>
      <c r="E1348" s="10"/>
      <c r="F1348" s="10"/>
      <c r="G1348" s="10"/>
      <c r="H1348" s="10"/>
      <c r="I1348" s="1" t="str">
        <f t="shared" si="60"/>
        <v/>
      </c>
      <c r="J1348" s="1" t="s">
        <v>35</v>
      </c>
      <c r="K1348" s="1" t="str">
        <f t="shared" si="61"/>
        <v/>
      </c>
      <c r="L1348" s="1" t="str">
        <f t="shared" si="62"/>
        <v/>
      </c>
      <c r="M1348" s="1">
        <f>IF(OR(Table1[[#This Row],[Std Nom]]="",Table1[[#This Row],[Std Read]]=""),0,Table1[[#This Row],[Std Nom]]-Table1[[#This Row],[Std Read]])</f>
        <v>0</v>
      </c>
      <c r="N1348" s="1">
        <f>IF(Calculations!$F$5="ACCREDITED 17025 WITH UNCERTAINTIES",$N$10,0)</f>
        <v>0</v>
      </c>
      <c r="Q1348" s="1">
        <f>Table1[[#This Row],[High Tol]]-Table1[[#This Row],[Low Tol]]</f>
        <v>0</v>
      </c>
      <c r="R1348" s="1">
        <f>2*Table1[[#This Row],[Std Error]]</f>
        <v>0</v>
      </c>
      <c r="S1348" s="1" t="str">
        <f>IF(Table1[[#This Row],[High Tol]]="","N/A",IFERROR(ABS(Table1[[#This Row],[Tol Span]]/Table1[[#This Row],[Error Span]]),"N/A"))</f>
        <v>N/A</v>
      </c>
      <c r="T1348" s="1" t="str">
        <f>IF(OR(Table1[[#This Row],[Low Tol]]="",Table1[[#This Row],[High Tol]]=""),"Needs Analysis",IF(Table1[[#This Row],[Ratio]]&gt;=4,"Not Significant",IF(Table1[[#This Row],[Ratio]]&gt;=2,"Semi-Significant","Significant")))</f>
        <v>Needs Analysis</v>
      </c>
      <c r="W1348" s="1">
        <f>IF(Table1[[#This Row],[Cal Type]]&lt;&gt;"ACCREDITED 17025 WITH UNCERTAINTIES",0,"")</f>
        <v>0</v>
      </c>
      <c r="X1348" s="1" t="str">
        <f>IF(Table1[[#This Row],[DUT Read]]="","N/A",Table1[[#This Row],[Std Error]]+Table1[[#This Row],[DUT Read]]+Table1[[#This Row],[DUT Ucty]])</f>
        <v>N/A</v>
      </c>
      <c r="Y1348" s="1" t="str">
        <f>IF(Table1[[#This Row],[Std Read]]="","N/A",Table1[[#This Row],[Std Read]]+Table1[[#This Row],[Std Ucty]])</f>
        <v>N/A</v>
      </c>
      <c r="Z13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8" s="1" t="str">
        <f>IF(Table1[[#This Row],[Spec Type]]="","N/A",Table1[[#This Row],[Spec Type]])</f>
        <v>±</v>
      </c>
      <c r="AC1348" s="1" t="str">
        <f>IF(Table1[[#This Row],[Spec Type2]]="N/A","N/A",IF(AND(Table1[[#This Row],[DUT Adj Read]]&gt;=Table1[[#This Row],[Low Tol]],Table1[[#This Row],[DUT Adj Read]]&lt;=Table1[[#This Row],[High Tol]]),"Pass","Fail"))</f>
        <v>Fail</v>
      </c>
      <c r="AD1348" s="1" t="str">
        <f>IF(AND(Table1[[#This Row],[Spec Type2]]="N/A",Table1[[#This Row],[DUT Adj Read]]="N/A",Table1[[#This Row],[Std Adj Read]]="N/A"),"N/A",IF(Table1[[#This Row],[DUT Adj Read]]="N/A",IF(Table1[[#This Row],[Std Adj Read]]&gt;Table1[[#This Row],[Low Tol]],"Pass","Fail"),IF(Table1[[#This Row],[DUT Adj Read]]&gt;Table1[[#This Row],[Low Tol]],"Pass","Fail")))</f>
        <v>Pass</v>
      </c>
      <c r="AE1348" s="1" t="str">
        <f>IF(AND(Table1[[#This Row],[Spec Type2]]="N/A",Table1[[#This Row],[DUT Adj Read]]="N/A",Table1[[#This Row],[Std Adj Read]]="N/A"),"N/A",IF(Table1[[#This Row],[DUT Adj Read]]="N/A",IF(Table1[[#This Row],[Std Adj Read]]&lt;Table1[[#This Row],[High Tol]],"Pass","Fail"),IF(Table1[[#This Row],[DUT Adj Read]]&lt;Table1[[#This Row],[High Tol]],"Pass","Fail")))</f>
        <v>Fail</v>
      </c>
      <c r="AF1348" s="1" t="str">
        <f>IF(AND(Table1[[#This Row],[Spec Type2]]="N/A",Table1[[#This Row],[DUT Adj Read]]="N/A",Table1[[#This Row],[Std Adj Read]]="N/A"),"N/A",IF(Table1[[#This Row],[DUT Adj Read]]="N/A",IF(Table1[[#This Row],[Std Adj Read]]&gt;=Table1[[#This Row],[Low Tol]],"Pass","Fail"),IF(Table1[[#This Row],[DUT Adj Read]]&gt;=Table1[[#This Row],[Low Tol]],"Pass","Fail")))</f>
        <v>Pass</v>
      </c>
      <c r="AG1348" s="1" t="str">
        <f>IF(AND(Table1[[#This Row],[Spec Type2]]="N/A",Table1[[#This Row],[DUT Adj Read]]="N/A",Table1[[#This Row],[Std Adj Read]]="N/A"),"N/A",IF(Table1[[#This Row],[DUT Adj Read]]="N/A",IF(Table1[[#This Row],[Std Adj Read]]&lt;=Table1[[#This Row],[High Tol]],"Pass","Fail"),IF(Table1[[#This Row],[DUT Adj Read]]&lt;=Table1[[#This Row],[High Tol]],"Pass","Fail")))</f>
        <v>Fail</v>
      </c>
      <c r="AH13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8" s="1" t="b">
        <v>0</v>
      </c>
      <c r="AN1348" s="1" t="b">
        <v>0</v>
      </c>
      <c r="AO1348" s="1" t="b">
        <v>0</v>
      </c>
    </row>
    <row r="1349" spans="1:41" x14ac:dyDescent="0.25">
      <c r="A1349" s="10"/>
      <c r="B1349" s="10"/>
      <c r="C1349" s="10"/>
      <c r="D1349" s="10"/>
      <c r="E1349" s="10"/>
      <c r="F1349" s="10"/>
      <c r="G1349" s="10"/>
      <c r="H1349" s="10"/>
      <c r="I1349" s="1" t="str">
        <f t="shared" si="60"/>
        <v/>
      </c>
      <c r="J1349" s="1" t="s">
        <v>35</v>
      </c>
      <c r="K1349" s="1" t="str">
        <f t="shared" si="61"/>
        <v/>
      </c>
      <c r="L1349" s="1" t="str">
        <f t="shared" si="62"/>
        <v/>
      </c>
      <c r="M1349" s="1">
        <f>IF(OR(Table1[[#This Row],[Std Nom]]="",Table1[[#This Row],[Std Read]]=""),0,Table1[[#This Row],[Std Nom]]-Table1[[#This Row],[Std Read]])</f>
        <v>0</v>
      </c>
      <c r="N1349" s="1">
        <f>IF(Calculations!$F$5="ACCREDITED 17025 WITH UNCERTAINTIES",$N$10,0)</f>
        <v>0</v>
      </c>
      <c r="Q1349" s="1">
        <f>Table1[[#This Row],[High Tol]]-Table1[[#This Row],[Low Tol]]</f>
        <v>0</v>
      </c>
      <c r="R1349" s="1">
        <f>2*Table1[[#This Row],[Std Error]]</f>
        <v>0</v>
      </c>
      <c r="S1349" s="1" t="str">
        <f>IF(Table1[[#This Row],[High Tol]]="","N/A",IFERROR(ABS(Table1[[#This Row],[Tol Span]]/Table1[[#This Row],[Error Span]]),"N/A"))</f>
        <v>N/A</v>
      </c>
      <c r="T1349" s="1" t="str">
        <f>IF(OR(Table1[[#This Row],[Low Tol]]="",Table1[[#This Row],[High Tol]]=""),"Needs Analysis",IF(Table1[[#This Row],[Ratio]]&gt;=4,"Not Significant",IF(Table1[[#This Row],[Ratio]]&gt;=2,"Semi-Significant","Significant")))</f>
        <v>Needs Analysis</v>
      </c>
      <c r="W1349" s="1">
        <f>IF(Table1[[#This Row],[Cal Type]]&lt;&gt;"ACCREDITED 17025 WITH UNCERTAINTIES",0,"")</f>
        <v>0</v>
      </c>
      <c r="X1349" s="1" t="str">
        <f>IF(Table1[[#This Row],[DUT Read]]="","N/A",Table1[[#This Row],[Std Error]]+Table1[[#This Row],[DUT Read]]+Table1[[#This Row],[DUT Ucty]])</f>
        <v>N/A</v>
      </c>
      <c r="Y1349" s="1" t="str">
        <f>IF(Table1[[#This Row],[Std Read]]="","N/A",Table1[[#This Row],[Std Read]]+Table1[[#This Row],[Std Ucty]])</f>
        <v>N/A</v>
      </c>
      <c r="Z13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49" s="1" t="str">
        <f>IF(Table1[[#This Row],[Spec Type]]="","N/A",Table1[[#This Row],[Spec Type]])</f>
        <v>±</v>
      </c>
      <c r="AC1349" s="1" t="str">
        <f>IF(Table1[[#This Row],[Spec Type2]]="N/A","N/A",IF(AND(Table1[[#This Row],[DUT Adj Read]]&gt;=Table1[[#This Row],[Low Tol]],Table1[[#This Row],[DUT Adj Read]]&lt;=Table1[[#This Row],[High Tol]]),"Pass","Fail"))</f>
        <v>Fail</v>
      </c>
      <c r="AD1349" s="1" t="str">
        <f>IF(AND(Table1[[#This Row],[Spec Type2]]="N/A",Table1[[#This Row],[DUT Adj Read]]="N/A",Table1[[#This Row],[Std Adj Read]]="N/A"),"N/A",IF(Table1[[#This Row],[DUT Adj Read]]="N/A",IF(Table1[[#This Row],[Std Adj Read]]&gt;Table1[[#This Row],[Low Tol]],"Pass","Fail"),IF(Table1[[#This Row],[DUT Adj Read]]&gt;Table1[[#This Row],[Low Tol]],"Pass","Fail")))</f>
        <v>Pass</v>
      </c>
      <c r="AE1349" s="1" t="str">
        <f>IF(AND(Table1[[#This Row],[Spec Type2]]="N/A",Table1[[#This Row],[DUT Adj Read]]="N/A",Table1[[#This Row],[Std Adj Read]]="N/A"),"N/A",IF(Table1[[#This Row],[DUT Adj Read]]="N/A",IF(Table1[[#This Row],[Std Adj Read]]&lt;Table1[[#This Row],[High Tol]],"Pass","Fail"),IF(Table1[[#This Row],[DUT Adj Read]]&lt;Table1[[#This Row],[High Tol]],"Pass","Fail")))</f>
        <v>Fail</v>
      </c>
      <c r="AF1349" s="1" t="str">
        <f>IF(AND(Table1[[#This Row],[Spec Type2]]="N/A",Table1[[#This Row],[DUT Adj Read]]="N/A",Table1[[#This Row],[Std Adj Read]]="N/A"),"N/A",IF(Table1[[#This Row],[DUT Adj Read]]="N/A",IF(Table1[[#This Row],[Std Adj Read]]&gt;=Table1[[#This Row],[Low Tol]],"Pass","Fail"),IF(Table1[[#This Row],[DUT Adj Read]]&gt;=Table1[[#This Row],[Low Tol]],"Pass","Fail")))</f>
        <v>Pass</v>
      </c>
      <c r="AG1349" s="1" t="str">
        <f>IF(AND(Table1[[#This Row],[Spec Type2]]="N/A",Table1[[#This Row],[DUT Adj Read]]="N/A",Table1[[#This Row],[Std Adj Read]]="N/A"),"N/A",IF(Table1[[#This Row],[DUT Adj Read]]="N/A",IF(Table1[[#This Row],[Std Adj Read]]&lt;=Table1[[#This Row],[High Tol]],"Pass","Fail"),IF(Table1[[#This Row],[DUT Adj Read]]&lt;=Table1[[#This Row],[High Tol]],"Pass","Fail")))</f>
        <v>Fail</v>
      </c>
      <c r="AH13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49" s="1" t="b">
        <v>0</v>
      </c>
      <c r="AN1349" s="1" t="b">
        <v>0</v>
      </c>
      <c r="AO1349" s="1" t="b">
        <v>0</v>
      </c>
    </row>
    <row r="1350" spans="1:41" x14ac:dyDescent="0.25">
      <c r="A1350" s="10"/>
      <c r="B1350" s="10"/>
      <c r="C1350" s="10"/>
      <c r="D1350" s="10"/>
      <c r="E1350" s="10"/>
      <c r="F1350" s="10"/>
      <c r="G1350" s="10"/>
      <c r="H1350" s="10"/>
      <c r="I1350" s="1" t="str">
        <f t="shared" si="60"/>
        <v/>
      </c>
      <c r="J1350" s="1" t="s">
        <v>35</v>
      </c>
      <c r="K1350" s="1" t="str">
        <f t="shared" si="61"/>
        <v/>
      </c>
      <c r="L1350" s="1" t="str">
        <f t="shared" si="62"/>
        <v/>
      </c>
      <c r="M1350" s="1">
        <f>IF(OR(Table1[[#This Row],[Std Nom]]="",Table1[[#This Row],[Std Read]]=""),0,Table1[[#This Row],[Std Nom]]-Table1[[#This Row],[Std Read]])</f>
        <v>0</v>
      </c>
      <c r="N1350" s="1">
        <f>IF(Calculations!$F$5="ACCREDITED 17025 WITH UNCERTAINTIES",$N$10,0)</f>
        <v>0</v>
      </c>
      <c r="Q1350" s="1">
        <f>Table1[[#This Row],[High Tol]]-Table1[[#This Row],[Low Tol]]</f>
        <v>0</v>
      </c>
      <c r="R1350" s="1">
        <f>2*Table1[[#This Row],[Std Error]]</f>
        <v>0</v>
      </c>
      <c r="S1350" s="1" t="str">
        <f>IF(Table1[[#This Row],[High Tol]]="","N/A",IFERROR(ABS(Table1[[#This Row],[Tol Span]]/Table1[[#This Row],[Error Span]]),"N/A"))</f>
        <v>N/A</v>
      </c>
      <c r="T1350" s="1" t="str">
        <f>IF(OR(Table1[[#This Row],[Low Tol]]="",Table1[[#This Row],[High Tol]]=""),"Needs Analysis",IF(Table1[[#This Row],[Ratio]]&gt;=4,"Not Significant",IF(Table1[[#This Row],[Ratio]]&gt;=2,"Semi-Significant","Significant")))</f>
        <v>Needs Analysis</v>
      </c>
      <c r="W1350" s="1">
        <f>IF(Table1[[#This Row],[Cal Type]]&lt;&gt;"ACCREDITED 17025 WITH UNCERTAINTIES",0,"")</f>
        <v>0</v>
      </c>
      <c r="X1350" s="1" t="str">
        <f>IF(Table1[[#This Row],[DUT Read]]="","N/A",Table1[[#This Row],[Std Error]]+Table1[[#This Row],[DUT Read]]+Table1[[#This Row],[DUT Ucty]])</f>
        <v>N/A</v>
      </c>
      <c r="Y1350" s="1" t="str">
        <f>IF(Table1[[#This Row],[Std Read]]="","N/A",Table1[[#This Row],[Std Read]]+Table1[[#This Row],[Std Ucty]])</f>
        <v>N/A</v>
      </c>
      <c r="Z13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0" s="1" t="str">
        <f>IF(Table1[[#This Row],[Spec Type]]="","N/A",Table1[[#This Row],[Spec Type]])</f>
        <v>±</v>
      </c>
      <c r="AC1350" s="1" t="str">
        <f>IF(Table1[[#This Row],[Spec Type2]]="N/A","N/A",IF(AND(Table1[[#This Row],[DUT Adj Read]]&gt;=Table1[[#This Row],[Low Tol]],Table1[[#This Row],[DUT Adj Read]]&lt;=Table1[[#This Row],[High Tol]]),"Pass","Fail"))</f>
        <v>Fail</v>
      </c>
      <c r="AD1350" s="1" t="str">
        <f>IF(AND(Table1[[#This Row],[Spec Type2]]="N/A",Table1[[#This Row],[DUT Adj Read]]="N/A",Table1[[#This Row],[Std Adj Read]]="N/A"),"N/A",IF(Table1[[#This Row],[DUT Adj Read]]="N/A",IF(Table1[[#This Row],[Std Adj Read]]&gt;Table1[[#This Row],[Low Tol]],"Pass","Fail"),IF(Table1[[#This Row],[DUT Adj Read]]&gt;Table1[[#This Row],[Low Tol]],"Pass","Fail")))</f>
        <v>Pass</v>
      </c>
      <c r="AE1350" s="1" t="str">
        <f>IF(AND(Table1[[#This Row],[Spec Type2]]="N/A",Table1[[#This Row],[DUT Adj Read]]="N/A",Table1[[#This Row],[Std Adj Read]]="N/A"),"N/A",IF(Table1[[#This Row],[DUT Adj Read]]="N/A",IF(Table1[[#This Row],[Std Adj Read]]&lt;Table1[[#This Row],[High Tol]],"Pass","Fail"),IF(Table1[[#This Row],[DUT Adj Read]]&lt;Table1[[#This Row],[High Tol]],"Pass","Fail")))</f>
        <v>Fail</v>
      </c>
      <c r="AF1350" s="1" t="str">
        <f>IF(AND(Table1[[#This Row],[Spec Type2]]="N/A",Table1[[#This Row],[DUT Adj Read]]="N/A",Table1[[#This Row],[Std Adj Read]]="N/A"),"N/A",IF(Table1[[#This Row],[DUT Adj Read]]="N/A",IF(Table1[[#This Row],[Std Adj Read]]&gt;=Table1[[#This Row],[Low Tol]],"Pass","Fail"),IF(Table1[[#This Row],[DUT Adj Read]]&gt;=Table1[[#This Row],[Low Tol]],"Pass","Fail")))</f>
        <v>Pass</v>
      </c>
      <c r="AG1350" s="1" t="str">
        <f>IF(AND(Table1[[#This Row],[Spec Type2]]="N/A",Table1[[#This Row],[DUT Adj Read]]="N/A",Table1[[#This Row],[Std Adj Read]]="N/A"),"N/A",IF(Table1[[#This Row],[DUT Adj Read]]="N/A",IF(Table1[[#This Row],[Std Adj Read]]&lt;=Table1[[#This Row],[High Tol]],"Pass","Fail"),IF(Table1[[#This Row],[DUT Adj Read]]&lt;=Table1[[#This Row],[High Tol]],"Pass","Fail")))</f>
        <v>Fail</v>
      </c>
      <c r="AH13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0" s="1" t="b">
        <v>0</v>
      </c>
      <c r="AN1350" s="1" t="b">
        <v>0</v>
      </c>
      <c r="AO1350" s="1" t="b">
        <v>0</v>
      </c>
    </row>
    <row r="1351" spans="1:41" x14ac:dyDescent="0.25">
      <c r="A1351" s="10"/>
      <c r="B1351" s="10"/>
      <c r="C1351" s="10"/>
      <c r="D1351" s="10"/>
      <c r="E1351" s="10"/>
      <c r="F1351" s="10"/>
      <c r="G1351" s="10"/>
      <c r="H1351" s="10"/>
      <c r="I1351" s="1" t="str">
        <f t="shared" si="60"/>
        <v/>
      </c>
      <c r="J1351" s="1" t="s">
        <v>35</v>
      </c>
      <c r="K1351" s="1" t="str">
        <f t="shared" si="61"/>
        <v/>
      </c>
      <c r="L1351" s="1" t="str">
        <f t="shared" si="62"/>
        <v/>
      </c>
      <c r="M1351" s="1">
        <f>IF(OR(Table1[[#This Row],[Std Nom]]="",Table1[[#This Row],[Std Read]]=""),0,Table1[[#This Row],[Std Nom]]-Table1[[#This Row],[Std Read]])</f>
        <v>0</v>
      </c>
      <c r="N1351" s="1">
        <f>IF(Calculations!$F$5="ACCREDITED 17025 WITH UNCERTAINTIES",$N$10,0)</f>
        <v>0</v>
      </c>
      <c r="Q1351" s="1">
        <f>Table1[[#This Row],[High Tol]]-Table1[[#This Row],[Low Tol]]</f>
        <v>0</v>
      </c>
      <c r="R1351" s="1">
        <f>2*Table1[[#This Row],[Std Error]]</f>
        <v>0</v>
      </c>
      <c r="S1351" s="1" t="str">
        <f>IF(Table1[[#This Row],[High Tol]]="","N/A",IFERROR(ABS(Table1[[#This Row],[Tol Span]]/Table1[[#This Row],[Error Span]]),"N/A"))</f>
        <v>N/A</v>
      </c>
      <c r="T1351" s="1" t="str">
        <f>IF(OR(Table1[[#This Row],[Low Tol]]="",Table1[[#This Row],[High Tol]]=""),"Needs Analysis",IF(Table1[[#This Row],[Ratio]]&gt;=4,"Not Significant",IF(Table1[[#This Row],[Ratio]]&gt;=2,"Semi-Significant","Significant")))</f>
        <v>Needs Analysis</v>
      </c>
      <c r="W1351" s="1">
        <f>IF(Table1[[#This Row],[Cal Type]]&lt;&gt;"ACCREDITED 17025 WITH UNCERTAINTIES",0,"")</f>
        <v>0</v>
      </c>
      <c r="X1351" s="1" t="str">
        <f>IF(Table1[[#This Row],[DUT Read]]="","N/A",Table1[[#This Row],[Std Error]]+Table1[[#This Row],[DUT Read]]+Table1[[#This Row],[DUT Ucty]])</f>
        <v>N/A</v>
      </c>
      <c r="Y1351" s="1" t="str">
        <f>IF(Table1[[#This Row],[Std Read]]="","N/A",Table1[[#This Row],[Std Read]]+Table1[[#This Row],[Std Ucty]])</f>
        <v>N/A</v>
      </c>
      <c r="Z13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1" s="1" t="str">
        <f>IF(Table1[[#This Row],[Spec Type]]="","N/A",Table1[[#This Row],[Spec Type]])</f>
        <v>±</v>
      </c>
      <c r="AC1351" s="1" t="str">
        <f>IF(Table1[[#This Row],[Spec Type2]]="N/A","N/A",IF(AND(Table1[[#This Row],[DUT Adj Read]]&gt;=Table1[[#This Row],[Low Tol]],Table1[[#This Row],[DUT Adj Read]]&lt;=Table1[[#This Row],[High Tol]]),"Pass","Fail"))</f>
        <v>Fail</v>
      </c>
      <c r="AD1351" s="1" t="str">
        <f>IF(AND(Table1[[#This Row],[Spec Type2]]="N/A",Table1[[#This Row],[DUT Adj Read]]="N/A",Table1[[#This Row],[Std Adj Read]]="N/A"),"N/A",IF(Table1[[#This Row],[DUT Adj Read]]="N/A",IF(Table1[[#This Row],[Std Adj Read]]&gt;Table1[[#This Row],[Low Tol]],"Pass","Fail"),IF(Table1[[#This Row],[DUT Adj Read]]&gt;Table1[[#This Row],[Low Tol]],"Pass","Fail")))</f>
        <v>Pass</v>
      </c>
      <c r="AE1351" s="1" t="str">
        <f>IF(AND(Table1[[#This Row],[Spec Type2]]="N/A",Table1[[#This Row],[DUT Adj Read]]="N/A",Table1[[#This Row],[Std Adj Read]]="N/A"),"N/A",IF(Table1[[#This Row],[DUT Adj Read]]="N/A",IF(Table1[[#This Row],[Std Adj Read]]&lt;Table1[[#This Row],[High Tol]],"Pass","Fail"),IF(Table1[[#This Row],[DUT Adj Read]]&lt;Table1[[#This Row],[High Tol]],"Pass","Fail")))</f>
        <v>Fail</v>
      </c>
      <c r="AF1351" s="1" t="str">
        <f>IF(AND(Table1[[#This Row],[Spec Type2]]="N/A",Table1[[#This Row],[DUT Adj Read]]="N/A",Table1[[#This Row],[Std Adj Read]]="N/A"),"N/A",IF(Table1[[#This Row],[DUT Adj Read]]="N/A",IF(Table1[[#This Row],[Std Adj Read]]&gt;=Table1[[#This Row],[Low Tol]],"Pass","Fail"),IF(Table1[[#This Row],[DUT Adj Read]]&gt;=Table1[[#This Row],[Low Tol]],"Pass","Fail")))</f>
        <v>Pass</v>
      </c>
      <c r="AG1351" s="1" t="str">
        <f>IF(AND(Table1[[#This Row],[Spec Type2]]="N/A",Table1[[#This Row],[DUT Adj Read]]="N/A",Table1[[#This Row],[Std Adj Read]]="N/A"),"N/A",IF(Table1[[#This Row],[DUT Adj Read]]="N/A",IF(Table1[[#This Row],[Std Adj Read]]&lt;=Table1[[#This Row],[High Tol]],"Pass","Fail"),IF(Table1[[#This Row],[DUT Adj Read]]&lt;=Table1[[#This Row],[High Tol]],"Pass","Fail")))</f>
        <v>Fail</v>
      </c>
      <c r="AH13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1" s="1" t="b">
        <v>0</v>
      </c>
      <c r="AN1351" s="1" t="b">
        <v>0</v>
      </c>
      <c r="AO1351" s="1" t="b">
        <v>0</v>
      </c>
    </row>
    <row r="1352" spans="1:41" x14ac:dyDescent="0.25">
      <c r="A1352" s="10"/>
      <c r="B1352" s="10"/>
      <c r="C1352" s="10"/>
      <c r="D1352" s="10"/>
      <c r="E1352" s="10"/>
      <c r="F1352" s="10"/>
      <c r="G1352" s="10"/>
      <c r="H1352" s="10"/>
      <c r="I1352" s="1" t="str">
        <f t="shared" si="60"/>
        <v/>
      </c>
      <c r="J1352" s="1" t="s">
        <v>35</v>
      </c>
      <c r="K1352" s="1" t="str">
        <f t="shared" si="61"/>
        <v/>
      </c>
      <c r="L1352" s="1" t="str">
        <f t="shared" si="62"/>
        <v/>
      </c>
      <c r="M1352" s="1">
        <f>IF(OR(Table1[[#This Row],[Std Nom]]="",Table1[[#This Row],[Std Read]]=""),0,Table1[[#This Row],[Std Nom]]-Table1[[#This Row],[Std Read]])</f>
        <v>0</v>
      </c>
      <c r="N1352" s="1">
        <f>IF(Calculations!$F$5="ACCREDITED 17025 WITH UNCERTAINTIES",$N$10,0)</f>
        <v>0</v>
      </c>
      <c r="Q1352" s="1">
        <f>Table1[[#This Row],[High Tol]]-Table1[[#This Row],[Low Tol]]</f>
        <v>0</v>
      </c>
      <c r="R1352" s="1">
        <f>2*Table1[[#This Row],[Std Error]]</f>
        <v>0</v>
      </c>
      <c r="S1352" s="1" t="str">
        <f>IF(Table1[[#This Row],[High Tol]]="","N/A",IFERROR(ABS(Table1[[#This Row],[Tol Span]]/Table1[[#This Row],[Error Span]]),"N/A"))</f>
        <v>N/A</v>
      </c>
      <c r="T1352" s="1" t="str">
        <f>IF(OR(Table1[[#This Row],[Low Tol]]="",Table1[[#This Row],[High Tol]]=""),"Needs Analysis",IF(Table1[[#This Row],[Ratio]]&gt;=4,"Not Significant",IF(Table1[[#This Row],[Ratio]]&gt;=2,"Semi-Significant","Significant")))</f>
        <v>Needs Analysis</v>
      </c>
      <c r="W1352" s="1">
        <f>IF(Table1[[#This Row],[Cal Type]]&lt;&gt;"ACCREDITED 17025 WITH UNCERTAINTIES",0,"")</f>
        <v>0</v>
      </c>
      <c r="X1352" s="1" t="str">
        <f>IF(Table1[[#This Row],[DUT Read]]="","N/A",Table1[[#This Row],[Std Error]]+Table1[[#This Row],[DUT Read]]+Table1[[#This Row],[DUT Ucty]])</f>
        <v>N/A</v>
      </c>
      <c r="Y1352" s="1" t="str">
        <f>IF(Table1[[#This Row],[Std Read]]="","N/A",Table1[[#This Row],[Std Read]]+Table1[[#This Row],[Std Ucty]])</f>
        <v>N/A</v>
      </c>
      <c r="Z13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2" s="1" t="str">
        <f>IF(Table1[[#This Row],[Spec Type]]="","N/A",Table1[[#This Row],[Spec Type]])</f>
        <v>±</v>
      </c>
      <c r="AC1352" s="1" t="str">
        <f>IF(Table1[[#This Row],[Spec Type2]]="N/A","N/A",IF(AND(Table1[[#This Row],[DUT Adj Read]]&gt;=Table1[[#This Row],[Low Tol]],Table1[[#This Row],[DUT Adj Read]]&lt;=Table1[[#This Row],[High Tol]]),"Pass","Fail"))</f>
        <v>Fail</v>
      </c>
      <c r="AD1352" s="1" t="str">
        <f>IF(AND(Table1[[#This Row],[Spec Type2]]="N/A",Table1[[#This Row],[DUT Adj Read]]="N/A",Table1[[#This Row],[Std Adj Read]]="N/A"),"N/A",IF(Table1[[#This Row],[DUT Adj Read]]="N/A",IF(Table1[[#This Row],[Std Adj Read]]&gt;Table1[[#This Row],[Low Tol]],"Pass","Fail"),IF(Table1[[#This Row],[DUT Adj Read]]&gt;Table1[[#This Row],[Low Tol]],"Pass","Fail")))</f>
        <v>Pass</v>
      </c>
      <c r="AE1352" s="1" t="str">
        <f>IF(AND(Table1[[#This Row],[Spec Type2]]="N/A",Table1[[#This Row],[DUT Adj Read]]="N/A",Table1[[#This Row],[Std Adj Read]]="N/A"),"N/A",IF(Table1[[#This Row],[DUT Adj Read]]="N/A",IF(Table1[[#This Row],[Std Adj Read]]&lt;Table1[[#This Row],[High Tol]],"Pass","Fail"),IF(Table1[[#This Row],[DUT Adj Read]]&lt;Table1[[#This Row],[High Tol]],"Pass","Fail")))</f>
        <v>Fail</v>
      </c>
      <c r="AF1352" s="1" t="str">
        <f>IF(AND(Table1[[#This Row],[Spec Type2]]="N/A",Table1[[#This Row],[DUT Adj Read]]="N/A",Table1[[#This Row],[Std Adj Read]]="N/A"),"N/A",IF(Table1[[#This Row],[DUT Adj Read]]="N/A",IF(Table1[[#This Row],[Std Adj Read]]&gt;=Table1[[#This Row],[Low Tol]],"Pass","Fail"),IF(Table1[[#This Row],[DUT Adj Read]]&gt;=Table1[[#This Row],[Low Tol]],"Pass","Fail")))</f>
        <v>Pass</v>
      </c>
      <c r="AG1352" s="1" t="str">
        <f>IF(AND(Table1[[#This Row],[Spec Type2]]="N/A",Table1[[#This Row],[DUT Adj Read]]="N/A",Table1[[#This Row],[Std Adj Read]]="N/A"),"N/A",IF(Table1[[#This Row],[DUT Adj Read]]="N/A",IF(Table1[[#This Row],[Std Adj Read]]&lt;=Table1[[#This Row],[High Tol]],"Pass","Fail"),IF(Table1[[#This Row],[DUT Adj Read]]&lt;=Table1[[#This Row],[High Tol]],"Pass","Fail")))</f>
        <v>Fail</v>
      </c>
      <c r="AH13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2" s="1" t="b">
        <v>0</v>
      </c>
      <c r="AN1352" s="1" t="b">
        <v>0</v>
      </c>
      <c r="AO1352" s="1" t="b">
        <v>0</v>
      </c>
    </row>
    <row r="1353" spans="1:41" x14ac:dyDescent="0.25">
      <c r="A1353" s="10"/>
      <c r="B1353" s="10"/>
      <c r="C1353" s="10"/>
      <c r="D1353" s="10"/>
      <c r="E1353" s="10"/>
      <c r="F1353" s="10"/>
      <c r="G1353" s="10"/>
      <c r="H1353" s="10"/>
      <c r="I1353" s="1" t="str">
        <f t="shared" si="60"/>
        <v/>
      </c>
      <c r="J1353" s="1" t="s">
        <v>35</v>
      </c>
      <c r="K1353" s="1" t="str">
        <f t="shared" si="61"/>
        <v/>
      </c>
      <c r="L1353" s="1" t="str">
        <f t="shared" si="62"/>
        <v/>
      </c>
      <c r="M1353" s="1">
        <f>IF(OR(Table1[[#This Row],[Std Nom]]="",Table1[[#This Row],[Std Read]]=""),0,Table1[[#This Row],[Std Nom]]-Table1[[#This Row],[Std Read]])</f>
        <v>0</v>
      </c>
      <c r="N1353" s="1">
        <f>IF(Calculations!$F$5="ACCREDITED 17025 WITH UNCERTAINTIES",$N$10,0)</f>
        <v>0</v>
      </c>
      <c r="Q1353" s="1">
        <f>Table1[[#This Row],[High Tol]]-Table1[[#This Row],[Low Tol]]</f>
        <v>0</v>
      </c>
      <c r="R1353" s="1">
        <f>2*Table1[[#This Row],[Std Error]]</f>
        <v>0</v>
      </c>
      <c r="S1353" s="1" t="str">
        <f>IF(Table1[[#This Row],[High Tol]]="","N/A",IFERROR(ABS(Table1[[#This Row],[Tol Span]]/Table1[[#This Row],[Error Span]]),"N/A"))</f>
        <v>N/A</v>
      </c>
      <c r="T1353" s="1" t="str">
        <f>IF(OR(Table1[[#This Row],[Low Tol]]="",Table1[[#This Row],[High Tol]]=""),"Needs Analysis",IF(Table1[[#This Row],[Ratio]]&gt;=4,"Not Significant",IF(Table1[[#This Row],[Ratio]]&gt;=2,"Semi-Significant","Significant")))</f>
        <v>Needs Analysis</v>
      </c>
      <c r="W1353" s="1">
        <f>IF(Table1[[#This Row],[Cal Type]]&lt;&gt;"ACCREDITED 17025 WITH UNCERTAINTIES",0,"")</f>
        <v>0</v>
      </c>
      <c r="X1353" s="1" t="str">
        <f>IF(Table1[[#This Row],[DUT Read]]="","N/A",Table1[[#This Row],[Std Error]]+Table1[[#This Row],[DUT Read]]+Table1[[#This Row],[DUT Ucty]])</f>
        <v>N/A</v>
      </c>
      <c r="Y1353" s="1" t="str">
        <f>IF(Table1[[#This Row],[Std Read]]="","N/A",Table1[[#This Row],[Std Read]]+Table1[[#This Row],[Std Ucty]])</f>
        <v>N/A</v>
      </c>
      <c r="Z13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3" s="1" t="str">
        <f>IF(Table1[[#This Row],[Spec Type]]="","N/A",Table1[[#This Row],[Spec Type]])</f>
        <v>±</v>
      </c>
      <c r="AC1353" s="1" t="str">
        <f>IF(Table1[[#This Row],[Spec Type2]]="N/A","N/A",IF(AND(Table1[[#This Row],[DUT Adj Read]]&gt;=Table1[[#This Row],[Low Tol]],Table1[[#This Row],[DUT Adj Read]]&lt;=Table1[[#This Row],[High Tol]]),"Pass","Fail"))</f>
        <v>Fail</v>
      </c>
      <c r="AD1353" s="1" t="str">
        <f>IF(AND(Table1[[#This Row],[Spec Type2]]="N/A",Table1[[#This Row],[DUT Adj Read]]="N/A",Table1[[#This Row],[Std Adj Read]]="N/A"),"N/A",IF(Table1[[#This Row],[DUT Adj Read]]="N/A",IF(Table1[[#This Row],[Std Adj Read]]&gt;Table1[[#This Row],[Low Tol]],"Pass","Fail"),IF(Table1[[#This Row],[DUT Adj Read]]&gt;Table1[[#This Row],[Low Tol]],"Pass","Fail")))</f>
        <v>Pass</v>
      </c>
      <c r="AE1353" s="1" t="str">
        <f>IF(AND(Table1[[#This Row],[Spec Type2]]="N/A",Table1[[#This Row],[DUT Adj Read]]="N/A",Table1[[#This Row],[Std Adj Read]]="N/A"),"N/A",IF(Table1[[#This Row],[DUT Adj Read]]="N/A",IF(Table1[[#This Row],[Std Adj Read]]&lt;Table1[[#This Row],[High Tol]],"Pass","Fail"),IF(Table1[[#This Row],[DUT Adj Read]]&lt;Table1[[#This Row],[High Tol]],"Pass","Fail")))</f>
        <v>Fail</v>
      </c>
      <c r="AF1353" s="1" t="str">
        <f>IF(AND(Table1[[#This Row],[Spec Type2]]="N/A",Table1[[#This Row],[DUT Adj Read]]="N/A",Table1[[#This Row],[Std Adj Read]]="N/A"),"N/A",IF(Table1[[#This Row],[DUT Adj Read]]="N/A",IF(Table1[[#This Row],[Std Adj Read]]&gt;=Table1[[#This Row],[Low Tol]],"Pass","Fail"),IF(Table1[[#This Row],[DUT Adj Read]]&gt;=Table1[[#This Row],[Low Tol]],"Pass","Fail")))</f>
        <v>Pass</v>
      </c>
      <c r="AG1353" s="1" t="str">
        <f>IF(AND(Table1[[#This Row],[Spec Type2]]="N/A",Table1[[#This Row],[DUT Adj Read]]="N/A",Table1[[#This Row],[Std Adj Read]]="N/A"),"N/A",IF(Table1[[#This Row],[DUT Adj Read]]="N/A",IF(Table1[[#This Row],[Std Adj Read]]&lt;=Table1[[#This Row],[High Tol]],"Pass","Fail"),IF(Table1[[#This Row],[DUT Adj Read]]&lt;=Table1[[#This Row],[High Tol]],"Pass","Fail")))</f>
        <v>Fail</v>
      </c>
      <c r="AH13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3" s="1" t="b">
        <v>0</v>
      </c>
      <c r="AN1353" s="1" t="b">
        <v>0</v>
      </c>
      <c r="AO1353" s="1" t="b">
        <v>0</v>
      </c>
    </row>
    <row r="1354" spans="1:41" x14ac:dyDescent="0.25">
      <c r="A1354" s="10"/>
      <c r="B1354" s="10"/>
      <c r="C1354" s="10"/>
      <c r="D1354" s="10"/>
      <c r="E1354" s="10"/>
      <c r="F1354" s="10"/>
      <c r="G1354" s="10"/>
      <c r="H1354" s="10"/>
      <c r="I1354" s="1" t="str">
        <f t="shared" si="60"/>
        <v/>
      </c>
      <c r="J1354" s="1" t="s">
        <v>35</v>
      </c>
      <c r="K1354" s="1" t="str">
        <f t="shared" si="61"/>
        <v/>
      </c>
      <c r="L1354" s="1" t="str">
        <f t="shared" si="62"/>
        <v/>
      </c>
      <c r="M1354" s="1">
        <f>IF(OR(Table1[[#This Row],[Std Nom]]="",Table1[[#This Row],[Std Read]]=""),0,Table1[[#This Row],[Std Nom]]-Table1[[#This Row],[Std Read]])</f>
        <v>0</v>
      </c>
      <c r="N1354" s="1">
        <f>IF(Calculations!$F$5="ACCREDITED 17025 WITH UNCERTAINTIES",$N$10,0)</f>
        <v>0</v>
      </c>
      <c r="Q1354" s="1">
        <f>Table1[[#This Row],[High Tol]]-Table1[[#This Row],[Low Tol]]</f>
        <v>0</v>
      </c>
      <c r="R1354" s="1">
        <f>2*Table1[[#This Row],[Std Error]]</f>
        <v>0</v>
      </c>
      <c r="S1354" s="1" t="str">
        <f>IF(Table1[[#This Row],[High Tol]]="","N/A",IFERROR(ABS(Table1[[#This Row],[Tol Span]]/Table1[[#This Row],[Error Span]]),"N/A"))</f>
        <v>N/A</v>
      </c>
      <c r="T1354" s="1" t="str">
        <f>IF(OR(Table1[[#This Row],[Low Tol]]="",Table1[[#This Row],[High Tol]]=""),"Needs Analysis",IF(Table1[[#This Row],[Ratio]]&gt;=4,"Not Significant",IF(Table1[[#This Row],[Ratio]]&gt;=2,"Semi-Significant","Significant")))</f>
        <v>Needs Analysis</v>
      </c>
      <c r="W1354" s="1">
        <f>IF(Table1[[#This Row],[Cal Type]]&lt;&gt;"ACCREDITED 17025 WITH UNCERTAINTIES",0,"")</f>
        <v>0</v>
      </c>
      <c r="X1354" s="1" t="str">
        <f>IF(Table1[[#This Row],[DUT Read]]="","N/A",Table1[[#This Row],[Std Error]]+Table1[[#This Row],[DUT Read]]+Table1[[#This Row],[DUT Ucty]])</f>
        <v>N/A</v>
      </c>
      <c r="Y1354" s="1" t="str">
        <f>IF(Table1[[#This Row],[Std Read]]="","N/A",Table1[[#This Row],[Std Read]]+Table1[[#This Row],[Std Ucty]])</f>
        <v>N/A</v>
      </c>
      <c r="Z13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4" s="1" t="str">
        <f>IF(Table1[[#This Row],[Spec Type]]="","N/A",Table1[[#This Row],[Spec Type]])</f>
        <v>±</v>
      </c>
      <c r="AC1354" s="1" t="str">
        <f>IF(Table1[[#This Row],[Spec Type2]]="N/A","N/A",IF(AND(Table1[[#This Row],[DUT Adj Read]]&gt;=Table1[[#This Row],[Low Tol]],Table1[[#This Row],[DUT Adj Read]]&lt;=Table1[[#This Row],[High Tol]]),"Pass","Fail"))</f>
        <v>Fail</v>
      </c>
      <c r="AD1354" s="1" t="str">
        <f>IF(AND(Table1[[#This Row],[Spec Type2]]="N/A",Table1[[#This Row],[DUT Adj Read]]="N/A",Table1[[#This Row],[Std Adj Read]]="N/A"),"N/A",IF(Table1[[#This Row],[DUT Adj Read]]="N/A",IF(Table1[[#This Row],[Std Adj Read]]&gt;Table1[[#This Row],[Low Tol]],"Pass","Fail"),IF(Table1[[#This Row],[DUT Adj Read]]&gt;Table1[[#This Row],[Low Tol]],"Pass","Fail")))</f>
        <v>Pass</v>
      </c>
      <c r="AE1354" s="1" t="str">
        <f>IF(AND(Table1[[#This Row],[Spec Type2]]="N/A",Table1[[#This Row],[DUT Adj Read]]="N/A",Table1[[#This Row],[Std Adj Read]]="N/A"),"N/A",IF(Table1[[#This Row],[DUT Adj Read]]="N/A",IF(Table1[[#This Row],[Std Adj Read]]&lt;Table1[[#This Row],[High Tol]],"Pass","Fail"),IF(Table1[[#This Row],[DUT Adj Read]]&lt;Table1[[#This Row],[High Tol]],"Pass","Fail")))</f>
        <v>Fail</v>
      </c>
      <c r="AF1354" s="1" t="str">
        <f>IF(AND(Table1[[#This Row],[Spec Type2]]="N/A",Table1[[#This Row],[DUT Adj Read]]="N/A",Table1[[#This Row],[Std Adj Read]]="N/A"),"N/A",IF(Table1[[#This Row],[DUT Adj Read]]="N/A",IF(Table1[[#This Row],[Std Adj Read]]&gt;=Table1[[#This Row],[Low Tol]],"Pass","Fail"),IF(Table1[[#This Row],[DUT Adj Read]]&gt;=Table1[[#This Row],[Low Tol]],"Pass","Fail")))</f>
        <v>Pass</v>
      </c>
      <c r="AG1354" s="1" t="str">
        <f>IF(AND(Table1[[#This Row],[Spec Type2]]="N/A",Table1[[#This Row],[DUT Adj Read]]="N/A",Table1[[#This Row],[Std Adj Read]]="N/A"),"N/A",IF(Table1[[#This Row],[DUT Adj Read]]="N/A",IF(Table1[[#This Row],[Std Adj Read]]&lt;=Table1[[#This Row],[High Tol]],"Pass","Fail"),IF(Table1[[#This Row],[DUT Adj Read]]&lt;=Table1[[#This Row],[High Tol]],"Pass","Fail")))</f>
        <v>Fail</v>
      </c>
      <c r="AH13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4" s="1" t="b">
        <v>0</v>
      </c>
      <c r="AN1354" s="1" t="b">
        <v>0</v>
      </c>
      <c r="AO1354" s="1" t="b">
        <v>0</v>
      </c>
    </row>
    <row r="1355" spans="1:41" x14ac:dyDescent="0.25">
      <c r="A1355" s="10"/>
      <c r="B1355" s="10"/>
      <c r="C1355" s="10"/>
      <c r="D1355" s="10"/>
      <c r="E1355" s="10"/>
      <c r="F1355" s="10"/>
      <c r="G1355" s="10"/>
      <c r="H1355" s="10"/>
      <c r="I1355" s="1" t="str">
        <f t="shared" ref="I1355:I1418" si="63">IF($I$10="","",$I$10)</f>
        <v/>
      </c>
      <c r="J1355" s="1" t="s">
        <v>35</v>
      </c>
      <c r="K1355" s="1" t="str">
        <f t="shared" ref="K1355:K1418" si="64">IF($K$10="","",$K$10)</f>
        <v/>
      </c>
      <c r="L1355" s="1" t="str">
        <f t="shared" ref="L1355:L1418" si="65">IF($L$10="","",$L$10)</f>
        <v/>
      </c>
      <c r="M1355" s="1">
        <f>IF(OR(Table1[[#This Row],[Std Nom]]="",Table1[[#This Row],[Std Read]]=""),0,Table1[[#This Row],[Std Nom]]-Table1[[#This Row],[Std Read]])</f>
        <v>0</v>
      </c>
      <c r="N1355" s="1">
        <f>IF(Calculations!$F$5="ACCREDITED 17025 WITH UNCERTAINTIES",$N$10,0)</f>
        <v>0</v>
      </c>
      <c r="Q1355" s="1">
        <f>Table1[[#This Row],[High Tol]]-Table1[[#This Row],[Low Tol]]</f>
        <v>0</v>
      </c>
      <c r="R1355" s="1">
        <f>2*Table1[[#This Row],[Std Error]]</f>
        <v>0</v>
      </c>
      <c r="S1355" s="1" t="str">
        <f>IF(Table1[[#This Row],[High Tol]]="","N/A",IFERROR(ABS(Table1[[#This Row],[Tol Span]]/Table1[[#This Row],[Error Span]]),"N/A"))</f>
        <v>N/A</v>
      </c>
      <c r="T1355" s="1" t="str">
        <f>IF(OR(Table1[[#This Row],[Low Tol]]="",Table1[[#This Row],[High Tol]]=""),"Needs Analysis",IF(Table1[[#This Row],[Ratio]]&gt;=4,"Not Significant",IF(Table1[[#This Row],[Ratio]]&gt;=2,"Semi-Significant","Significant")))</f>
        <v>Needs Analysis</v>
      </c>
      <c r="W1355" s="1">
        <f>IF(Table1[[#This Row],[Cal Type]]&lt;&gt;"ACCREDITED 17025 WITH UNCERTAINTIES",0,"")</f>
        <v>0</v>
      </c>
      <c r="X1355" s="1" t="str">
        <f>IF(Table1[[#This Row],[DUT Read]]="","N/A",Table1[[#This Row],[Std Error]]+Table1[[#This Row],[DUT Read]]+Table1[[#This Row],[DUT Ucty]])</f>
        <v>N/A</v>
      </c>
      <c r="Y1355" s="1" t="str">
        <f>IF(Table1[[#This Row],[Std Read]]="","N/A",Table1[[#This Row],[Std Read]]+Table1[[#This Row],[Std Ucty]])</f>
        <v>N/A</v>
      </c>
      <c r="Z13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5" s="1" t="str">
        <f>IF(Table1[[#This Row],[Spec Type]]="","N/A",Table1[[#This Row],[Spec Type]])</f>
        <v>±</v>
      </c>
      <c r="AC1355" s="1" t="str">
        <f>IF(Table1[[#This Row],[Spec Type2]]="N/A","N/A",IF(AND(Table1[[#This Row],[DUT Adj Read]]&gt;=Table1[[#This Row],[Low Tol]],Table1[[#This Row],[DUT Adj Read]]&lt;=Table1[[#This Row],[High Tol]]),"Pass","Fail"))</f>
        <v>Fail</v>
      </c>
      <c r="AD1355" s="1" t="str">
        <f>IF(AND(Table1[[#This Row],[Spec Type2]]="N/A",Table1[[#This Row],[DUT Adj Read]]="N/A",Table1[[#This Row],[Std Adj Read]]="N/A"),"N/A",IF(Table1[[#This Row],[DUT Adj Read]]="N/A",IF(Table1[[#This Row],[Std Adj Read]]&gt;Table1[[#This Row],[Low Tol]],"Pass","Fail"),IF(Table1[[#This Row],[DUT Adj Read]]&gt;Table1[[#This Row],[Low Tol]],"Pass","Fail")))</f>
        <v>Pass</v>
      </c>
      <c r="AE1355" s="1" t="str">
        <f>IF(AND(Table1[[#This Row],[Spec Type2]]="N/A",Table1[[#This Row],[DUT Adj Read]]="N/A",Table1[[#This Row],[Std Adj Read]]="N/A"),"N/A",IF(Table1[[#This Row],[DUT Adj Read]]="N/A",IF(Table1[[#This Row],[Std Adj Read]]&lt;Table1[[#This Row],[High Tol]],"Pass","Fail"),IF(Table1[[#This Row],[DUT Adj Read]]&lt;Table1[[#This Row],[High Tol]],"Pass","Fail")))</f>
        <v>Fail</v>
      </c>
      <c r="AF1355" s="1" t="str">
        <f>IF(AND(Table1[[#This Row],[Spec Type2]]="N/A",Table1[[#This Row],[DUT Adj Read]]="N/A",Table1[[#This Row],[Std Adj Read]]="N/A"),"N/A",IF(Table1[[#This Row],[DUT Adj Read]]="N/A",IF(Table1[[#This Row],[Std Adj Read]]&gt;=Table1[[#This Row],[Low Tol]],"Pass","Fail"),IF(Table1[[#This Row],[DUT Adj Read]]&gt;=Table1[[#This Row],[Low Tol]],"Pass","Fail")))</f>
        <v>Pass</v>
      </c>
      <c r="AG1355" s="1" t="str">
        <f>IF(AND(Table1[[#This Row],[Spec Type2]]="N/A",Table1[[#This Row],[DUT Adj Read]]="N/A",Table1[[#This Row],[Std Adj Read]]="N/A"),"N/A",IF(Table1[[#This Row],[DUT Adj Read]]="N/A",IF(Table1[[#This Row],[Std Adj Read]]&lt;=Table1[[#This Row],[High Tol]],"Pass","Fail"),IF(Table1[[#This Row],[DUT Adj Read]]&lt;=Table1[[#This Row],[High Tol]],"Pass","Fail")))</f>
        <v>Fail</v>
      </c>
      <c r="AH13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5" s="1" t="b">
        <v>0</v>
      </c>
      <c r="AN1355" s="1" t="b">
        <v>0</v>
      </c>
      <c r="AO1355" s="1" t="b">
        <v>0</v>
      </c>
    </row>
    <row r="1356" spans="1:41" x14ac:dyDescent="0.25">
      <c r="A1356" s="10"/>
      <c r="B1356" s="10"/>
      <c r="C1356" s="10"/>
      <c r="D1356" s="10"/>
      <c r="E1356" s="10"/>
      <c r="F1356" s="10"/>
      <c r="G1356" s="10"/>
      <c r="H1356" s="10"/>
      <c r="I1356" s="1" t="str">
        <f t="shared" si="63"/>
        <v/>
      </c>
      <c r="J1356" s="1" t="s">
        <v>35</v>
      </c>
      <c r="K1356" s="1" t="str">
        <f t="shared" si="64"/>
        <v/>
      </c>
      <c r="L1356" s="1" t="str">
        <f t="shared" si="65"/>
        <v/>
      </c>
      <c r="M1356" s="1">
        <f>IF(OR(Table1[[#This Row],[Std Nom]]="",Table1[[#This Row],[Std Read]]=""),0,Table1[[#This Row],[Std Nom]]-Table1[[#This Row],[Std Read]])</f>
        <v>0</v>
      </c>
      <c r="N1356" s="1">
        <f>IF(Calculations!$F$5="ACCREDITED 17025 WITH UNCERTAINTIES",$N$10,0)</f>
        <v>0</v>
      </c>
      <c r="Q1356" s="1">
        <f>Table1[[#This Row],[High Tol]]-Table1[[#This Row],[Low Tol]]</f>
        <v>0</v>
      </c>
      <c r="R1356" s="1">
        <f>2*Table1[[#This Row],[Std Error]]</f>
        <v>0</v>
      </c>
      <c r="S1356" s="1" t="str">
        <f>IF(Table1[[#This Row],[High Tol]]="","N/A",IFERROR(ABS(Table1[[#This Row],[Tol Span]]/Table1[[#This Row],[Error Span]]),"N/A"))</f>
        <v>N/A</v>
      </c>
      <c r="T1356" s="1" t="str">
        <f>IF(OR(Table1[[#This Row],[Low Tol]]="",Table1[[#This Row],[High Tol]]=""),"Needs Analysis",IF(Table1[[#This Row],[Ratio]]&gt;=4,"Not Significant",IF(Table1[[#This Row],[Ratio]]&gt;=2,"Semi-Significant","Significant")))</f>
        <v>Needs Analysis</v>
      </c>
      <c r="W1356" s="1">
        <f>IF(Table1[[#This Row],[Cal Type]]&lt;&gt;"ACCREDITED 17025 WITH UNCERTAINTIES",0,"")</f>
        <v>0</v>
      </c>
      <c r="X1356" s="1" t="str">
        <f>IF(Table1[[#This Row],[DUT Read]]="","N/A",Table1[[#This Row],[Std Error]]+Table1[[#This Row],[DUT Read]]+Table1[[#This Row],[DUT Ucty]])</f>
        <v>N/A</v>
      </c>
      <c r="Y1356" s="1" t="str">
        <f>IF(Table1[[#This Row],[Std Read]]="","N/A",Table1[[#This Row],[Std Read]]+Table1[[#This Row],[Std Ucty]])</f>
        <v>N/A</v>
      </c>
      <c r="Z13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6" s="1" t="str">
        <f>IF(Table1[[#This Row],[Spec Type]]="","N/A",Table1[[#This Row],[Spec Type]])</f>
        <v>±</v>
      </c>
      <c r="AC1356" s="1" t="str">
        <f>IF(Table1[[#This Row],[Spec Type2]]="N/A","N/A",IF(AND(Table1[[#This Row],[DUT Adj Read]]&gt;=Table1[[#This Row],[Low Tol]],Table1[[#This Row],[DUT Adj Read]]&lt;=Table1[[#This Row],[High Tol]]),"Pass","Fail"))</f>
        <v>Fail</v>
      </c>
      <c r="AD1356" s="1" t="str">
        <f>IF(AND(Table1[[#This Row],[Spec Type2]]="N/A",Table1[[#This Row],[DUT Adj Read]]="N/A",Table1[[#This Row],[Std Adj Read]]="N/A"),"N/A",IF(Table1[[#This Row],[DUT Adj Read]]="N/A",IF(Table1[[#This Row],[Std Adj Read]]&gt;Table1[[#This Row],[Low Tol]],"Pass","Fail"),IF(Table1[[#This Row],[DUT Adj Read]]&gt;Table1[[#This Row],[Low Tol]],"Pass","Fail")))</f>
        <v>Pass</v>
      </c>
      <c r="AE1356" s="1" t="str">
        <f>IF(AND(Table1[[#This Row],[Spec Type2]]="N/A",Table1[[#This Row],[DUT Adj Read]]="N/A",Table1[[#This Row],[Std Adj Read]]="N/A"),"N/A",IF(Table1[[#This Row],[DUT Adj Read]]="N/A",IF(Table1[[#This Row],[Std Adj Read]]&lt;Table1[[#This Row],[High Tol]],"Pass","Fail"),IF(Table1[[#This Row],[DUT Adj Read]]&lt;Table1[[#This Row],[High Tol]],"Pass","Fail")))</f>
        <v>Fail</v>
      </c>
      <c r="AF1356" s="1" t="str">
        <f>IF(AND(Table1[[#This Row],[Spec Type2]]="N/A",Table1[[#This Row],[DUT Adj Read]]="N/A",Table1[[#This Row],[Std Adj Read]]="N/A"),"N/A",IF(Table1[[#This Row],[DUT Adj Read]]="N/A",IF(Table1[[#This Row],[Std Adj Read]]&gt;=Table1[[#This Row],[Low Tol]],"Pass","Fail"),IF(Table1[[#This Row],[DUT Adj Read]]&gt;=Table1[[#This Row],[Low Tol]],"Pass","Fail")))</f>
        <v>Pass</v>
      </c>
      <c r="AG1356" s="1" t="str">
        <f>IF(AND(Table1[[#This Row],[Spec Type2]]="N/A",Table1[[#This Row],[DUT Adj Read]]="N/A",Table1[[#This Row],[Std Adj Read]]="N/A"),"N/A",IF(Table1[[#This Row],[DUT Adj Read]]="N/A",IF(Table1[[#This Row],[Std Adj Read]]&lt;=Table1[[#This Row],[High Tol]],"Pass","Fail"),IF(Table1[[#This Row],[DUT Adj Read]]&lt;=Table1[[#This Row],[High Tol]],"Pass","Fail")))</f>
        <v>Fail</v>
      </c>
      <c r="AH13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6" s="1" t="b">
        <v>0</v>
      </c>
      <c r="AN1356" s="1" t="b">
        <v>0</v>
      </c>
      <c r="AO1356" s="1" t="b">
        <v>0</v>
      </c>
    </row>
    <row r="1357" spans="1:41" x14ac:dyDescent="0.25">
      <c r="A1357" s="10"/>
      <c r="B1357" s="10"/>
      <c r="C1357" s="10"/>
      <c r="D1357" s="10"/>
      <c r="E1357" s="10"/>
      <c r="F1357" s="10"/>
      <c r="G1357" s="10"/>
      <c r="H1357" s="10"/>
      <c r="I1357" s="1" t="str">
        <f t="shared" si="63"/>
        <v/>
      </c>
      <c r="J1357" s="1" t="s">
        <v>35</v>
      </c>
      <c r="K1357" s="1" t="str">
        <f t="shared" si="64"/>
        <v/>
      </c>
      <c r="L1357" s="1" t="str">
        <f t="shared" si="65"/>
        <v/>
      </c>
      <c r="M1357" s="1">
        <f>IF(OR(Table1[[#This Row],[Std Nom]]="",Table1[[#This Row],[Std Read]]=""),0,Table1[[#This Row],[Std Nom]]-Table1[[#This Row],[Std Read]])</f>
        <v>0</v>
      </c>
      <c r="N1357" s="1">
        <f>IF(Calculations!$F$5="ACCREDITED 17025 WITH UNCERTAINTIES",$N$10,0)</f>
        <v>0</v>
      </c>
      <c r="Q1357" s="1">
        <f>Table1[[#This Row],[High Tol]]-Table1[[#This Row],[Low Tol]]</f>
        <v>0</v>
      </c>
      <c r="R1357" s="1">
        <f>2*Table1[[#This Row],[Std Error]]</f>
        <v>0</v>
      </c>
      <c r="S1357" s="1" t="str">
        <f>IF(Table1[[#This Row],[High Tol]]="","N/A",IFERROR(ABS(Table1[[#This Row],[Tol Span]]/Table1[[#This Row],[Error Span]]),"N/A"))</f>
        <v>N/A</v>
      </c>
      <c r="T1357" s="1" t="str">
        <f>IF(OR(Table1[[#This Row],[Low Tol]]="",Table1[[#This Row],[High Tol]]=""),"Needs Analysis",IF(Table1[[#This Row],[Ratio]]&gt;=4,"Not Significant",IF(Table1[[#This Row],[Ratio]]&gt;=2,"Semi-Significant","Significant")))</f>
        <v>Needs Analysis</v>
      </c>
      <c r="W1357" s="1">
        <f>IF(Table1[[#This Row],[Cal Type]]&lt;&gt;"ACCREDITED 17025 WITH UNCERTAINTIES",0,"")</f>
        <v>0</v>
      </c>
      <c r="X1357" s="1" t="str">
        <f>IF(Table1[[#This Row],[DUT Read]]="","N/A",Table1[[#This Row],[Std Error]]+Table1[[#This Row],[DUT Read]]+Table1[[#This Row],[DUT Ucty]])</f>
        <v>N/A</v>
      </c>
      <c r="Y1357" s="1" t="str">
        <f>IF(Table1[[#This Row],[Std Read]]="","N/A",Table1[[#This Row],[Std Read]]+Table1[[#This Row],[Std Ucty]])</f>
        <v>N/A</v>
      </c>
      <c r="Z13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7" s="1" t="str">
        <f>IF(Table1[[#This Row],[Spec Type]]="","N/A",Table1[[#This Row],[Spec Type]])</f>
        <v>±</v>
      </c>
      <c r="AC1357" s="1" t="str">
        <f>IF(Table1[[#This Row],[Spec Type2]]="N/A","N/A",IF(AND(Table1[[#This Row],[DUT Adj Read]]&gt;=Table1[[#This Row],[Low Tol]],Table1[[#This Row],[DUT Adj Read]]&lt;=Table1[[#This Row],[High Tol]]),"Pass","Fail"))</f>
        <v>Fail</v>
      </c>
      <c r="AD1357" s="1" t="str">
        <f>IF(AND(Table1[[#This Row],[Spec Type2]]="N/A",Table1[[#This Row],[DUT Adj Read]]="N/A",Table1[[#This Row],[Std Adj Read]]="N/A"),"N/A",IF(Table1[[#This Row],[DUT Adj Read]]="N/A",IF(Table1[[#This Row],[Std Adj Read]]&gt;Table1[[#This Row],[Low Tol]],"Pass","Fail"),IF(Table1[[#This Row],[DUT Adj Read]]&gt;Table1[[#This Row],[Low Tol]],"Pass","Fail")))</f>
        <v>Pass</v>
      </c>
      <c r="AE1357" s="1" t="str">
        <f>IF(AND(Table1[[#This Row],[Spec Type2]]="N/A",Table1[[#This Row],[DUT Adj Read]]="N/A",Table1[[#This Row],[Std Adj Read]]="N/A"),"N/A",IF(Table1[[#This Row],[DUT Adj Read]]="N/A",IF(Table1[[#This Row],[Std Adj Read]]&lt;Table1[[#This Row],[High Tol]],"Pass","Fail"),IF(Table1[[#This Row],[DUT Adj Read]]&lt;Table1[[#This Row],[High Tol]],"Pass","Fail")))</f>
        <v>Fail</v>
      </c>
      <c r="AF1357" s="1" t="str">
        <f>IF(AND(Table1[[#This Row],[Spec Type2]]="N/A",Table1[[#This Row],[DUT Adj Read]]="N/A",Table1[[#This Row],[Std Adj Read]]="N/A"),"N/A",IF(Table1[[#This Row],[DUT Adj Read]]="N/A",IF(Table1[[#This Row],[Std Adj Read]]&gt;=Table1[[#This Row],[Low Tol]],"Pass","Fail"),IF(Table1[[#This Row],[DUT Adj Read]]&gt;=Table1[[#This Row],[Low Tol]],"Pass","Fail")))</f>
        <v>Pass</v>
      </c>
      <c r="AG1357" s="1" t="str">
        <f>IF(AND(Table1[[#This Row],[Spec Type2]]="N/A",Table1[[#This Row],[DUT Adj Read]]="N/A",Table1[[#This Row],[Std Adj Read]]="N/A"),"N/A",IF(Table1[[#This Row],[DUT Adj Read]]="N/A",IF(Table1[[#This Row],[Std Adj Read]]&lt;=Table1[[#This Row],[High Tol]],"Pass","Fail"),IF(Table1[[#This Row],[DUT Adj Read]]&lt;=Table1[[#This Row],[High Tol]],"Pass","Fail")))</f>
        <v>Fail</v>
      </c>
      <c r="AH13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7" s="1" t="b">
        <v>0</v>
      </c>
      <c r="AN1357" s="1" t="b">
        <v>0</v>
      </c>
      <c r="AO1357" s="1" t="b">
        <v>0</v>
      </c>
    </row>
    <row r="1358" spans="1:41" x14ac:dyDescent="0.25">
      <c r="A1358" s="10"/>
      <c r="B1358" s="10"/>
      <c r="C1358" s="10"/>
      <c r="D1358" s="10"/>
      <c r="E1358" s="10"/>
      <c r="F1358" s="10"/>
      <c r="G1358" s="10"/>
      <c r="H1358" s="10"/>
      <c r="I1358" s="1" t="str">
        <f t="shared" si="63"/>
        <v/>
      </c>
      <c r="J1358" s="1" t="s">
        <v>35</v>
      </c>
      <c r="K1358" s="1" t="str">
        <f t="shared" si="64"/>
        <v/>
      </c>
      <c r="L1358" s="1" t="str">
        <f t="shared" si="65"/>
        <v/>
      </c>
      <c r="M1358" s="1">
        <f>IF(OR(Table1[[#This Row],[Std Nom]]="",Table1[[#This Row],[Std Read]]=""),0,Table1[[#This Row],[Std Nom]]-Table1[[#This Row],[Std Read]])</f>
        <v>0</v>
      </c>
      <c r="N1358" s="1">
        <f>IF(Calculations!$F$5="ACCREDITED 17025 WITH UNCERTAINTIES",$N$10,0)</f>
        <v>0</v>
      </c>
      <c r="Q1358" s="1">
        <f>Table1[[#This Row],[High Tol]]-Table1[[#This Row],[Low Tol]]</f>
        <v>0</v>
      </c>
      <c r="R1358" s="1">
        <f>2*Table1[[#This Row],[Std Error]]</f>
        <v>0</v>
      </c>
      <c r="S1358" s="1" t="str">
        <f>IF(Table1[[#This Row],[High Tol]]="","N/A",IFERROR(ABS(Table1[[#This Row],[Tol Span]]/Table1[[#This Row],[Error Span]]),"N/A"))</f>
        <v>N/A</v>
      </c>
      <c r="T1358" s="1" t="str">
        <f>IF(OR(Table1[[#This Row],[Low Tol]]="",Table1[[#This Row],[High Tol]]=""),"Needs Analysis",IF(Table1[[#This Row],[Ratio]]&gt;=4,"Not Significant",IF(Table1[[#This Row],[Ratio]]&gt;=2,"Semi-Significant","Significant")))</f>
        <v>Needs Analysis</v>
      </c>
      <c r="W1358" s="1">
        <f>IF(Table1[[#This Row],[Cal Type]]&lt;&gt;"ACCREDITED 17025 WITH UNCERTAINTIES",0,"")</f>
        <v>0</v>
      </c>
      <c r="X1358" s="1" t="str">
        <f>IF(Table1[[#This Row],[DUT Read]]="","N/A",Table1[[#This Row],[Std Error]]+Table1[[#This Row],[DUT Read]]+Table1[[#This Row],[DUT Ucty]])</f>
        <v>N/A</v>
      </c>
      <c r="Y1358" s="1" t="str">
        <f>IF(Table1[[#This Row],[Std Read]]="","N/A",Table1[[#This Row],[Std Read]]+Table1[[#This Row],[Std Ucty]])</f>
        <v>N/A</v>
      </c>
      <c r="Z13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8" s="1" t="str">
        <f>IF(Table1[[#This Row],[Spec Type]]="","N/A",Table1[[#This Row],[Spec Type]])</f>
        <v>±</v>
      </c>
      <c r="AC1358" s="1" t="str">
        <f>IF(Table1[[#This Row],[Spec Type2]]="N/A","N/A",IF(AND(Table1[[#This Row],[DUT Adj Read]]&gt;=Table1[[#This Row],[Low Tol]],Table1[[#This Row],[DUT Adj Read]]&lt;=Table1[[#This Row],[High Tol]]),"Pass","Fail"))</f>
        <v>Fail</v>
      </c>
      <c r="AD1358" s="1" t="str">
        <f>IF(AND(Table1[[#This Row],[Spec Type2]]="N/A",Table1[[#This Row],[DUT Adj Read]]="N/A",Table1[[#This Row],[Std Adj Read]]="N/A"),"N/A",IF(Table1[[#This Row],[DUT Adj Read]]="N/A",IF(Table1[[#This Row],[Std Adj Read]]&gt;Table1[[#This Row],[Low Tol]],"Pass","Fail"),IF(Table1[[#This Row],[DUT Adj Read]]&gt;Table1[[#This Row],[Low Tol]],"Pass","Fail")))</f>
        <v>Pass</v>
      </c>
      <c r="AE1358" s="1" t="str">
        <f>IF(AND(Table1[[#This Row],[Spec Type2]]="N/A",Table1[[#This Row],[DUT Adj Read]]="N/A",Table1[[#This Row],[Std Adj Read]]="N/A"),"N/A",IF(Table1[[#This Row],[DUT Adj Read]]="N/A",IF(Table1[[#This Row],[Std Adj Read]]&lt;Table1[[#This Row],[High Tol]],"Pass","Fail"),IF(Table1[[#This Row],[DUT Adj Read]]&lt;Table1[[#This Row],[High Tol]],"Pass","Fail")))</f>
        <v>Fail</v>
      </c>
      <c r="AF1358" s="1" t="str">
        <f>IF(AND(Table1[[#This Row],[Spec Type2]]="N/A",Table1[[#This Row],[DUT Adj Read]]="N/A",Table1[[#This Row],[Std Adj Read]]="N/A"),"N/A",IF(Table1[[#This Row],[DUT Adj Read]]="N/A",IF(Table1[[#This Row],[Std Adj Read]]&gt;=Table1[[#This Row],[Low Tol]],"Pass","Fail"),IF(Table1[[#This Row],[DUT Adj Read]]&gt;=Table1[[#This Row],[Low Tol]],"Pass","Fail")))</f>
        <v>Pass</v>
      </c>
      <c r="AG1358" s="1" t="str">
        <f>IF(AND(Table1[[#This Row],[Spec Type2]]="N/A",Table1[[#This Row],[DUT Adj Read]]="N/A",Table1[[#This Row],[Std Adj Read]]="N/A"),"N/A",IF(Table1[[#This Row],[DUT Adj Read]]="N/A",IF(Table1[[#This Row],[Std Adj Read]]&lt;=Table1[[#This Row],[High Tol]],"Pass","Fail"),IF(Table1[[#This Row],[DUT Adj Read]]&lt;=Table1[[#This Row],[High Tol]],"Pass","Fail")))</f>
        <v>Fail</v>
      </c>
      <c r="AH13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8" s="1" t="b">
        <v>0</v>
      </c>
      <c r="AN1358" s="1" t="b">
        <v>0</v>
      </c>
      <c r="AO1358" s="1" t="b">
        <v>0</v>
      </c>
    </row>
    <row r="1359" spans="1:41" x14ac:dyDescent="0.25">
      <c r="A1359" s="10"/>
      <c r="B1359" s="10"/>
      <c r="C1359" s="10"/>
      <c r="D1359" s="10"/>
      <c r="E1359" s="10"/>
      <c r="F1359" s="10"/>
      <c r="G1359" s="10"/>
      <c r="H1359" s="10"/>
      <c r="I1359" s="1" t="str">
        <f t="shared" si="63"/>
        <v/>
      </c>
      <c r="J1359" s="1" t="s">
        <v>35</v>
      </c>
      <c r="K1359" s="1" t="str">
        <f t="shared" si="64"/>
        <v/>
      </c>
      <c r="L1359" s="1" t="str">
        <f t="shared" si="65"/>
        <v/>
      </c>
      <c r="M1359" s="1">
        <f>IF(OR(Table1[[#This Row],[Std Nom]]="",Table1[[#This Row],[Std Read]]=""),0,Table1[[#This Row],[Std Nom]]-Table1[[#This Row],[Std Read]])</f>
        <v>0</v>
      </c>
      <c r="N1359" s="1">
        <f>IF(Calculations!$F$5="ACCREDITED 17025 WITH UNCERTAINTIES",$N$10,0)</f>
        <v>0</v>
      </c>
      <c r="Q1359" s="1">
        <f>Table1[[#This Row],[High Tol]]-Table1[[#This Row],[Low Tol]]</f>
        <v>0</v>
      </c>
      <c r="R1359" s="1">
        <f>2*Table1[[#This Row],[Std Error]]</f>
        <v>0</v>
      </c>
      <c r="S1359" s="1" t="str">
        <f>IF(Table1[[#This Row],[High Tol]]="","N/A",IFERROR(ABS(Table1[[#This Row],[Tol Span]]/Table1[[#This Row],[Error Span]]),"N/A"))</f>
        <v>N/A</v>
      </c>
      <c r="T1359" s="1" t="str">
        <f>IF(OR(Table1[[#This Row],[Low Tol]]="",Table1[[#This Row],[High Tol]]=""),"Needs Analysis",IF(Table1[[#This Row],[Ratio]]&gt;=4,"Not Significant",IF(Table1[[#This Row],[Ratio]]&gt;=2,"Semi-Significant","Significant")))</f>
        <v>Needs Analysis</v>
      </c>
      <c r="W1359" s="1">
        <f>IF(Table1[[#This Row],[Cal Type]]&lt;&gt;"ACCREDITED 17025 WITH UNCERTAINTIES",0,"")</f>
        <v>0</v>
      </c>
      <c r="X1359" s="1" t="str">
        <f>IF(Table1[[#This Row],[DUT Read]]="","N/A",Table1[[#This Row],[Std Error]]+Table1[[#This Row],[DUT Read]]+Table1[[#This Row],[DUT Ucty]])</f>
        <v>N/A</v>
      </c>
      <c r="Y1359" s="1" t="str">
        <f>IF(Table1[[#This Row],[Std Read]]="","N/A",Table1[[#This Row],[Std Read]]+Table1[[#This Row],[Std Ucty]])</f>
        <v>N/A</v>
      </c>
      <c r="Z13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59" s="1" t="str">
        <f>IF(Table1[[#This Row],[Spec Type]]="","N/A",Table1[[#This Row],[Spec Type]])</f>
        <v>±</v>
      </c>
      <c r="AC1359" s="1" t="str">
        <f>IF(Table1[[#This Row],[Spec Type2]]="N/A","N/A",IF(AND(Table1[[#This Row],[DUT Adj Read]]&gt;=Table1[[#This Row],[Low Tol]],Table1[[#This Row],[DUT Adj Read]]&lt;=Table1[[#This Row],[High Tol]]),"Pass","Fail"))</f>
        <v>Fail</v>
      </c>
      <c r="AD1359" s="1" t="str">
        <f>IF(AND(Table1[[#This Row],[Spec Type2]]="N/A",Table1[[#This Row],[DUT Adj Read]]="N/A",Table1[[#This Row],[Std Adj Read]]="N/A"),"N/A",IF(Table1[[#This Row],[DUT Adj Read]]="N/A",IF(Table1[[#This Row],[Std Adj Read]]&gt;Table1[[#This Row],[Low Tol]],"Pass","Fail"),IF(Table1[[#This Row],[DUT Adj Read]]&gt;Table1[[#This Row],[Low Tol]],"Pass","Fail")))</f>
        <v>Pass</v>
      </c>
      <c r="AE1359" s="1" t="str">
        <f>IF(AND(Table1[[#This Row],[Spec Type2]]="N/A",Table1[[#This Row],[DUT Adj Read]]="N/A",Table1[[#This Row],[Std Adj Read]]="N/A"),"N/A",IF(Table1[[#This Row],[DUT Adj Read]]="N/A",IF(Table1[[#This Row],[Std Adj Read]]&lt;Table1[[#This Row],[High Tol]],"Pass","Fail"),IF(Table1[[#This Row],[DUT Adj Read]]&lt;Table1[[#This Row],[High Tol]],"Pass","Fail")))</f>
        <v>Fail</v>
      </c>
      <c r="AF1359" s="1" t="str">
        <f>IF(AND(Table1[[#This Row],[Spec Type2]]="N/A",Table1[[#This Row],[DUT Adj Read]]="N/A",Table1[[#This Row],[Std Adj Read]]="N/A"),"N/A",IF(Table1[[#This Row],[DUT Adj Read]]="N/A",IF(Table1[[#This Row],[Std Adj Read]]&gt;=Table1[[#This Row],[Low Tol]],"Pass","Fail"),IF(Table1[[#This Row],[DUT Adj Read]]&gt;=Table1[[#This Row],[Low Tol]],"Pass","Fail")))</f>
        <v>Pass</v>
      </c>
      <c r="AG1359" s="1" t="str">
        <f>IF(AND(Table1[[#This Row],[Spec Type2]]="N/A",Table1[[#This Row],[DUT Adj Read]]="N/A",Table1[[#This Row],[Std Adj Read]]="N/A"),"N/A",IF(Table1[[#This Row],[DUT Adj Read]]="N/A",IF(Table1[[#This Row],[Std Adj Read]]&lt;=Table1[[#This Row],[High Tol]],"Pass","Fail"),IF(Table1[[#This Row],[DUT Adj Read]]&lt;=Table1[[#This Row],[High Tol]],"Pass","Fail")))</f>
        <v>Fail</v>
      </c>
      <c r="AH13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59" s="1" t="b">
        <v>0</v>
      </c>
      <c r="AN1359" s="1" t="b">
        <v>0</v>
      </c>
      <c r="AO1359" s="1" t="b">
        <v>0</v>
      </c>
    </row>
    <row r="1360" spans="1:41" x14ac:dyDescent="0.25">
      <c r="A1360" s="10"/>
      <c r="B1360" s="10"/>
      <c r="C1360" s="10"/>
      <c r="D1360" s="10"/>
      <c r="E1360" s="10"/>
      <c r="F1360" s="10"/>
      <c r="G1360" s="10"/>
      <c r="H1360" s="10"/>
      <c r="I1360" s="1" t="str">
        <f t="shared" si="63"/>
        <v/>
      </c>
      <c r="J1360" s="1" t="s">
        <v>35</v>
      </c>
      <c r="K1360" s="1" t="str">
        <f t="shared" si="64"/>
        <v/>
      </c>
      <c r="L1360" s="1" t="str">
        <f t="shared" si="65"/>
        <v/>
      </c>
      <c r="M1360" s="1">
        <f>IF(OR(Table1[[#This Row],[Std Nom]]="",Table1[[#This Row],[Std Read]]=""),0,Table1[[#This Row],[Std Nom]]-Table1[[#This Row],[Std Read]])</f>
        <v>0</v>
      </c>
      <c r="N1360" s="1">
        <f>IF(Calculations!$F$5="ACCREDITED 17025 WITH UNCERTAINTIES",$N$10,0)</f>
        <v>0</v>
      </c>
      <c r="Q1360" s="1">
        <f>Table1[[#This Row],[High Tol]]-Table1[[#This Row],[Low Tol]]</f>
        <v>0</v>
      </c>
      <c r="R1360" s="1">
        <f>2*Table1[[#This Row],[Std Error]]</f>
        <v>0</v>
      </c>
      <c r="S1360" s="1" t="str">
        <f>IF(Table1[[#This Row],[High Tol]]="","N/A",IFERROR(ABS(Table1[[#This Row],[Tol Span]]/Table1[[#This Row],[Error Span]]),"N/A"))</f>
        <v>N/A</v>
      </c>
      <c r="T1360" s="1" t="str">
        <f>IF(OR(Table1[[#This Row],[Low Tol]]="",Table1[[#This Row],[High Tol]]=""),"Needs Analysis",IF(Table1[[#This Row],[Ratio]]&gt;=4,"Not Significant",IF(Table1[[#This Row],[Ratio]]&gt;=2,"Semi-Significant","Significant")))</f>
        <v>Needs Analysis</v>
      </c>
      <c r="W1360" s="1">
        <f>IF(Table1[[#This Row],[Cal Type]]&lt;&gt;"ACCREDITED 17025 WITH UNCERTAINTIES",0,"")</f>
        <v>0</v>
      </c>
      <c r="X1360" s="1" t="str">
        <f>IF(Table1[[#This Row],[DUT Read]]="","N/A",Table1[[#This Row],[Std Error]]+Table1[[#This Row],[DUT Read]]+Table1[[#This Row],[DUT Ucty]])</f>
        <v>N/A</v>
      </c>
      <c r="Y1360" s="1" t="str">
        <f>IF(Table1[[#This Row],[Std Read]]="","N/A",Table1[[#This Row],[Std Read]]+Table1[[#This Row],[Std Ucty]])</f>
        <v>N/A</v>
      </c>
      <c r="Z13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0" s="1" t="str">
        <f>IF(Table1[[#This Row],[Spec Type]]="","N/A",Table1[[#This Row],[Spec Type]])</f>
        <v>±</v>
      </c>
      <c r="AC1360" s="1" t="str">
        <f>IF(Table1[[#This Row],[Spec Type2]]="N/A","N/A",IF(AND(Table1[[#This Row],[DUT Adj Read]]&gt;=Table1[[#This Row],[Low Tol]],Table1[[#This Row],[DUT Adj Read]]&lt;=Table1[[#This Row],[High Tol]]),"Pass","Fail"))</f>
        <v>Fail</v>
      </c>
      <c r="AD1360" s="1" t="str">
        <f>IF(AND(Table1[[#This Row],[Spec Type2]]="N/A",Table1[[#This Row],[DUT Adj Read]]="N/A",Table1[[#This Row],[Std Adj Read]]="N/A"),"N/A",IF(Table1[[#This Row],[DUT Adj Read]]="N/A",IF(Table1[[#This Row],[Std Adj Read]]&gt;Table1[[#This Row],[Low Tol]],"Pass","Fail"),IF(Table1[[#This Row],[DUT Adj Read]]&gt;Table1[[#This Row],[Low Tol]],"Pass","Fail")))</f>
        <v>Pass</v>
      </c>
      <c r="AE1360" s="1" t="str">
        <f>IF(AND(Table1[[#This Row],[Spec Type2]]="N/A",Table1[[#This Row],[DUT Adj Read]]="N/A",Table1[[#This Row],[Std Adj Read]]="N/A"),"N/A",IF(Table1[[#This Row],[DUT Adj Read]]="N/A",IF(Table1[[#This Row],[Std Adj Read]]&lt;Table1[[#This Row],[High Tol]],"Pass","Fail"),IF(Table1[[#This Row],[DUT Adj Read]]&lt;Table1[[#This Row],[High Tol]],"Pass","Fail")))</f>
        <v>Fail</v>
      </c>
      <c r="AF1360" s="1" t="str">
        <f>IF(AND(Table1[[#This Row],[Spec Type2]]="N/A",Table1[[#This Row],[DUT Adj Read]]="N/A",Table1[[#This Row],[Std Adj Read]]="N/A"),"N/A",IF(Table1[[#This Row],[DUT Adj Read]]="N/A",IF(Table1[[#This Row],[Std Adj Read]]&gt;=Table1[[#This Row],[Low Tol]],"Pass","Fail"),IF(Table1[[#This Row],[DUT Adj Read]]&gt;=Table1[[#This Row],[Low Tol]],"Pass","Fail")))</f>
        <v>Pass</v>
      </c>
      <c r="AG1360" s="1" t="str">
        <f>IF(AND(Table1[[#This Row],[Spec Type2]]="N/A",Table1[[#This Row],[DUT Adj Read]]="N/A",Table1[[#This Row],[Std Adj Read]]="N/A"),"N/A",IF(Table1[[#This Row],[DUT Adj Read]]="N/A",IF(Table1[[#This Row],[Std Adj Read]]&lt;=Table1[[#This Row],[High Tol]],"Pass","Fail"),IF(Table1[[#This Row],[DUT Adj Read]]&lt;=Table1[[#This Row],[High Tol]],"Pass","Fail")))</f>
        <v>Fail</v>
      </c>
      <c r="AH13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0" s="1" t="b">
        <v>0</v>
      </c>
      <c r="AN1360" s="1" t="b">
        <v>0</v>
      </c>
      <c r="AO1360" s="1" t="b">
        <v>0</v>
      </c>
    </row>
    <row r="1361" spans="1:41" x14ac:dyDescent="0.25">
      <c r="A1361" s="10"/>
      <c r="B1361" s="10"/>
      <c r="C1361" s="10"/>
      <c r="D1361" s="10"/>
      <c r="E1361" s="10"/>
      <c r="F1361" s="10"/>
      <c r="G1361" s="10"/>
      <c r="H1361" s="10"/>
      <c r="I1361" s="1" t="str">
        <f t="shared" si="63"/>
        <v/>
      </c>
      <c r="J1361" s="1" t="s">
        <v>35</v>
      </c>
      <c r="K1361" s="1" t="str">
        <f t="shared" si="64"/>
        <v/>
      </c>
      <c r="L1361" s="1" t="str">
        <f t="shared" si="65"/>
        <v/>
      </c>
      <c r="M1361" s="1">
        <f>IF(OR(Table1[[#This Row],[Std Nom]]="",Table1[[#This Row],[Std Read]]=""),0,Table1[[#This Row],[Std Nom]]-Table1[[#This Row],[Std Read]])</f>
        <v>0</v>
      </c>
      <c r="N1361" s="1">
        <f>IF(Calculations!$F$5="ACCREDITED 17025 WITH UNCERTAINTIES",$N$10,0)</f>
        <v>0</v>
      </c>
      <c r="Q1361" s="1">
        <f>Table1[[#This Row],[High Tol]]-Table1[[#This Row],[Low Tol]]</f>
        <v>0</v>
      </c>
      <c r="R1361" s="1">
        <f>2*Table1[[#This Row],[Std Error]]</f>
        <v>0</v>
      </c>
      <c r="S1361" s="1" t="str">
        <f>IF(Table1[[#This Row],[High Tol]]="","N/A",IFERROR(ABS(Table1[[#This Row],[Tol Span]]/Table1[[#This Row],[Error Span]]),"N/A"))</f>
        <v>N/A</v>
      </c>
      <c r="T1361" s="1" t="str">
        <f>IF(OR(Table1[[#This Row],[Low Tol]]="",Table1[[#This Row],[High Tol]]=""),"Needs Analysis",IF(Table1[[#This Row],[Ratio]]&gt;=4,"Not Significant",IF(Table1[[#This Row],[Ratio]]&gt;=2,"Semi-Significant","Significant")))</f>
        <v>Needs Analysis</v>
      </c>
      <c r="W1361" s="1">
        <f>IF(Table1[[#This Row],[Cal Type]]&lt;&gt;"ACCREDITED 17025 WITH UNCERTAINTIES",0,"")</f>
        <v>0</v>
      </c>
      <c r="X1361" s="1" t="str">
        <f>IF(Table1[[#This Row],[DUT Read]]="","N/A",Table1[[#This Row],[Std Error]]+Table1[[#This Row],[DUT Read]]+Table1[[#This Row],[DUT Ucty]])</f>
        <v>N/A</v>
      </c>
      <c r="Y1361" s="1" t="str">
        <f>IF(Table1[[#This Row],[Std Read]]="","N/A",Table1[[#This Row],[Std Read]]+Table1[[#This Row],[Std Ucty]])</f>
        <v>N/A</v>
      </c>
      <c r="Z13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1" s="1" t="str">
        <f>IF(Table1[[#This Row],[Spec Type]]="","N/A",Table1[[#This Row],[Spec Type]])</f>
        <v>±</v>
      </c>
      <c r="AC1361" s="1" t="str">
        <f>IF(Table1[[#This Row],[Spec Type2]]="N/A","N/A",IF(AND(Table1[[#This Row],[DUT Adj Read]]&gt;=Table1[[#This Row],[Low Tol]],Table1[[#This Row],[DUT Adj Read]]&lt;=Table1[[#This Row],[High Tol]]),"Pass","Fail"))</f>
        <v>Fail</v>
      </c>
      <c r="AD1361" s="1" t="str">
        <f>IF(AND(Table1[[#This Row],[Spec Type2]]="N/A",Table1[[#This Row],[DUT Adj Read]]="N/A",Table1[[#This Row],[Std Adj Read]]="N/A"),"N/A",IF(Table1[[#This Row],[DUT Adj Read]]="N/A",IF(Table1[[#This Row],[Std Adj Read]]&gt;Table1[[#This Row],[Low Tol]],"Pass","Fail"),IF(Table1[[#This Row],[DUT Adj Read]]&gt;Table1[[#This Row],[Low Tol]],"Pass","Fail")))</f>
        <v>Pass</v>
      </c>
      <c r="AE1361" s="1" t="str">
        <f>IF(AND(Table1[[#This Row],[Spec Type2]]="N/A",Table1[[#This Row],[DUT Adj Read]]="N/A",Table1[[#This Row],[Std Adj Read]]="N/A"),"N/A",IF(Table1[[#This Row],[DUT Adj Read]]="N/A",IF(Table1[[#This Row],[Std Adj Read]]&lt;Table1[[#This Row],[High Tol]],"Pass","Fail"),IF(Table1[[#This Row],[DUT Adj Read]]&lt;Table1[[#This Row],[High Tol]],"Pass","Fail")))</f>
        <v>Fail</v>
      </c>
      <c r="AF1361" s="1" t="str">
        <f>IF(AND(Table1[[#This Row],[Spec Type2]]="N/A",Table1[[#This Row],[DUT Adj Read]]="N/A",Table1[[#This Row],[Std Adj Read]]="N/A"),"N/A",IF(Table1[[#This Row],[DUT Adj Read]]="N/A",IF(Table1[[#This Row],[Std Adj Read]]&gt;=Table1[[#This Row],[Low Tol]],"Pass","Fail"),IF(Table1[[#This Row],[DUT Adj Read]]&gt;=Table1[[#This Row],[Low Tol]],"Pass","Fail")))</f>
        <v>Pass</v>
      </c>
      <c r="AG1361" s="1" t="str">
        <f>IF(AND(Table1[[#This Row],[Spec Type2]]="N/A",Table1[[#This Row],[DUT Adj Read]]="N/A",Table1[[#This Row],[Std Adj Read]]="N/A"),"N/A",IF(Table1[[#This Row],[DUT Adj Read]]="N/A",IF(Table1[[#This Row],[Std Adj Read]]&lt;=Table1[[#This Row],[High Tol]],"Pass","Fail"),IF(Table1[[#This Row],[DUT Adj Read]]&lt;=Table1[[#This Row],[High Tol]],"Pass","Fail")))</f>
        <v>Fail</v>
      </c>
      <c r="AH13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1" s="1" t="b">
        <v>0</v>
      </c>
      <c r="AN1361" s="1" t="b">
        <v>0</v>
      </c>
      <c r="AO1361" s="1" t="b">
        <v>0</v>
      </c>
    </row>
    <row r="1362" spans="1:41" x14ac:dyDescent="0.25">
      <c r="A1362" s="10"/>
      <c r="B1362" s="10"/>
      <c r="C1362" s="10"/>
      <c r="D1362" s="10"/>
      <c r="E1362" s="10"/>
      <c r="F1362" s="10"/>
      <c r="G1362" s="10"/>
      <c r="H1362" s="10"/>
      <c r="I1362" s="1" t="str">
        <f t="shared" si="63"/>
        <v/>
      </c>
      <c r="J1362" s="1" t="s">
        <v>35</v>
      </c>
      <c r="K1362" s="1" t="str">
        <f t="shared" si="64"/>
        <v/>
      </c>
      <c r="L1362" s="1" t="str">
        <f t="shared" si="65"/>
        <v/>
      </c>
      <c r="M1362" s="1">
        <f>IF(OR(Table1[[#This Row],[Std Nom]]="",Table1[[#This Row],[Std Read]]=""),0,Table1[[#This Row],[Std Nom]]-Table1[[#This Row],[Std Read]])</f>
        <v>0</v>
      </c>
      <c r="N1362" s="1">
        <f>IF(Calculations!$F$5="ACCREDITED 17025 WITH UNCERTAINTIES",$N$10,0)</f>
        <v>0</v>
      </c>
      <c r="Q1362" s="1">
        <f>Table1[[#This Row],[High Tol]]-Table1[[#This Row],[Low Tol]]</f>
        <v>0</v>
      </c>
      <c r="R1362" s="1">
        <f>2*Table1[[#This Row],[Std Error]]</f>
        <v>0</v>
      </c>
      <c r="S1362" s="1" t="str">
        <f>IF(Table1[[#This Row],[High Tol]]="","N/A",IFERROR(ABS(Table1[[#This Row],[Tol Span]]/Table1[[#This Row],[Error Span]]),"N/A"))</f>
        <v>N/A</v>
      </c>
      <c r="T1362" s="1" t="str">
        <f>IF(OR(Table1[[#This Row],[Low Tol]]="",Table1[[#This Row],[High Tol]]=""),"Needs Analysis",IF(Table1[[#This Row],[Ratio]]&gt;=4,"Not Significant",IF(Table1[[#This Row],[Ratio]]&gt;=2,"Semi-Significant","Significant")))</f>
        <v>Needs Analysis</v>
      </c>
      <c r="W1362" s="1">
        <f>IF(Table1[[#This Row],[Cal Type]]&lt;&gt;"ACCREDITED 17025 WITH UNCERTAINTIES",0,"")</f>
        <v>0</v>
      </c>
      <c r="X1362" s="1" t="str">
        <f>IF(Table1[[#This Row],[DUT Read]]="","N/A",Table1[[#This Row],[Std Error]]+Table1[[#This Row],[DUT Read]]+Table1[[#This Row],[DUT Ucty]])</f>
        <v>N/A</v>
      </c>
      <c r="Y1362" s="1" t="str">
        <f>IF(Table1[[#This Row],[Std Read]]="","N/A",Table1[[#This Row],[Std Read]]+Table1[[#This Row],[Std Ucty]])</f>
        <v>N/A</v>
      </c>
      <c r="Z13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2" s="1" t="str">
        <f>IF(Table1[[#This Row],[Spec Type]]="","N/A",Table1[[#This Row],[Spec Type]])</f>
        <v>±</v>
      </c>
      <c r="AC1362" s="1" t="str">
        <f>IF(Table1[[#This Row],[Spec Type2]]="N/A","N/A",IF(AND(Table1[[#This Row],[DUT Adj Read]]&gt;=Table1[[#This Row],[Low Tol]],Table1[[#This Row],[DUT Adj Read]]&lt;=Table1[[#This Row],[High Tol]]),"Pass","Fail"))</f>
        <v>Fail</v>
      </c>
      <c r="AD1362" s="1" t="str">
        <f>IF(AND(Table1[[#This Row],[Spec Type2]]="N/A",Table1[[#This Row],[DUT Adj Read]]="N/A",Table1[[#This Row],[Std Adj Read]]="N/A"),"N/A",IF(Table1[[#This Row],[DUT Adj Read]]="N/A",IF(Table1[[#This Row],[Std Adj Read]]&gt;Table1[[#This Row],[Low Tol]],"Pass","Fail"),IF(Table1[[#This Row],[DUT Adj Read]]&gt;Table1[[#This Row],[Low Tol]],"Pass","Fail")))</f>
        <v>Pass</v>
      </c>
      <c r="AE1362" s="1" t="str">
        <f>IF(AND(Table1[[#This Row],[Spec Type2]]="N/A",Table1[[#This Row],[DUT Adj Read]]="N/A",Table1[[#This Row],[Std Adj Read]]="N/A"),"N/A",IF(Table1[[#This Row],[DUT Adj Read]]="N/A",IF(Table1[[#This Row],[Std Adj Read]]&lt;Table1[[#This Row],[High Tol]],"Pass","Fail"),IF(Table1[[#This Row],[DUT Adj Read]]&lt;Table1[[#This Row],[High Tol]],"Pass","Fail")))</f>
        <v>Fail</v>
      </c>
      <c r="AF1362" s="1" t="str">
        <f>IF(AND(Table1[[#This Row],[Spec Type2]]="N/A",Table1[[#This Row],[DUT Adj Read]]="N/A",Table1[[#This Row],[Std Adj Read]]="N/A"),"N/A",IF(Table1[[#This Row],[DUT Adj Read]]="N/A",IF(Table1[[#This Row],[Std Adj Read]]&gt;=Table1[[#This Row],[Low Tol]],"Pass","Fail"),IF(Table1[[#This Row],[DUT Adj Read]]&gt;=Table1[[#This Row],[Low Tol]],"Pass","Fail")))</f>
        <v>Pass</v>
      </c>
      <c r="AG1362" s="1" t="str">
        <f>IF(AND(Table1[[#This Row],[Spec Type2]]="N/A",Table1[[#This Row],[DUT Adj Read]]="N/A",Table1[[#This Row],[Std Adj Read]]="N/A"),"N/A",IF(Table1[[#This Row],[DUT Adj Read]]="N/A",IF(Table1[[#This Row],[Std Adj Read]]&lt;=Table1[[#This Row],[High Tol]],"Pass","Fail"),IF(Table1[[#This Row],[DUT Adj Read]]&lt;=Table1[[#This Row],[High Tol]],"Pass","Fail")))</f>
        <v>Fail</v>
      </c>
      <c r="AH13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2" s="1" t="b">
        <v>0</v>
      </c>
      <c r="AN1362" s="1" t="b">
        <v>0</v>
      </c>
      <c r="AO1362" s="1" t="b">
        <v>0</v>
      </c>
    </row>
    <row r="1363" spans="1:41" x14ac:dyDescent="0.25">
      <c r="A1363" s="10"/>
      <c r="B1363" s="10"/>
      <c r="C1363" s="10"/>
      <c r="D1363" s="10"/>
      <c r="E1363" s="10"/>
      <c r="F1363" s="10"/>
      <c r="G1363" s="10"/>
      <c r="H1363" s="10"/>
      <c r="I1363" s="1" t="str">
        <f t="shared" si="63"/>
        <v/>
      </c>
      <c r="J1363" s="1" t="s">
        <v>35</v>
      </c>
      <c r="K1363" s="1" t="str">
        <f t="shared" si="64"/>
        <v/>
      </c>
      <c r="L1363" s="1" t="str">
        <f t="shared" si="65"/>
        <v/>
      </c>
      <c r="M1363" s="1">
        <f>IF(OR(Table1[[#This Row],[Std Nom]]="",Table1[[#This Row],[Std Read]]=""),0,Table1[[#This Row],[Std Nom]]-Table1[[#This Row],[Std Read]])</f>
        <v>0</v>
      </c>
      <c r="N1363" s="1">
        <f>IF(Calculations!$F$5="ACCREDITED 17025 WITH UNCERTAINTIES",$N$10,0)</f>
        <v>0</v>
      </c>
      <c r="Q1363" s="1">
        <f>Table1[[#This Row],[High Tol]]-Table1[[#This Row],[Low Tol]]</f>
        <v>0</v>
      </c>
      <c r="R1363" s="1">
        <f>2*Table1[[#This Row],[Std Error]]</f>
        <v>0</v>
      </c>
      <c r="S1363" s="1" t="str">
        <f>IF(Table1[[#This Row],[High Tol]]="","N/A",IFERROR(ABS(Table1[[#This Row],[Tol Span]]/Table1[[#This Row],[Error Span]]),"N/A"))</f>
        <v>N/A</v>
      </c>
      <c r="T1363" s="1" t="str">
        <f>IF(OR(Table1[[#This Row],[Low Tol]]="",Table1[[#This Row],[High Tol]]=""),"Needs Analysis",IF(Table1[[#This Row],[Ratio]]&gt;=4,"Not Significant",IF(Table1[[#This Row],[Ratio]]&gt;=2,"Semi-Significant","Significant")))</f>
        <v>Needs Analysis</v>
      </c>
      <c r="W1363" s="1">
        <f>IF(Table1[[#This Row],[Cal Type]]&lt;&gt;"ACCREDITED 17025 WITH UNCERTAINTIES",0,"")</f>
        <v>0</v>
      </c>
      <c r="X1363" s="1" t="str">
        <f>IF(Table1[[#This Row],[DUT Read]]="","N/A",Table1[[#This Row],[Std Error]]+Table1[[#This Row],[DUT Read]]+Table1[[#This Row],[DUT Ucty]])</f>
        <v>N/A</v>
      </c>
      <c r="Y1363" s="1" t="str">
        <f>IF(Table1[[#This Row],[Std Read]]="","N/A",Table1[[#This Row],[Std Read]]+Table1[[#This Row],[Std Ucty]])</f>
        <v>N/A</v>
      </c>
      <c r="Z13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3" s="1" t="str">
        <f>IF(Table1[[#This Row],[Spec Type]]="","N/A",Table1[[#This Row],[Spec Type]])</f>
        <v>±</v>
      </c>
      <c r="AC1363" s="1" t="str">
        <f>IF(Table1[[#This Row],[Spec Type2]]="N/A","N/A",IF(AND(Table1[[#This Row],[DUT Adj Read]]&gt;=Table1[[#This Row],[Low Tol]],Table1[[#This Row],[DUT Adj Read]]&lt;=Table1[[#This Row],[High Tol]]),"Pass","Fail"))</f>
        <v>Fail</v>
      </c>
      <c r="AD1363" s="1" t="str">
        <f>IF(AND(Table1[[#This Row],[Spec Type2]]="N/A",Table1[[#This Row],[DUT Adj Read]]="N/A",Table1[[#This Row],[Std Adj Read]]="N/A"),"N/A",IF(Table1[[#This Row],[DUT Adj Read]]="N/A",IF(Table1[[#This Row],[Std Adj Read]]&gt;Table1[[#This Row],[Low Tol]],"Pass","Fail"),IF(Table1[[#This Row],[DUT Adj Read]]&gt;Table1[[#This Row],[Low Tol]],"Pass","Fail")))</f>
        <v>Pass</v>
      </c>
      <c r="AE1363" s="1" t="str">
        <f>IF(AND(Table1[[#This Row],[Spec Type2]]="N/A",Table1[[#This Row],[DUT Adj Read]]="N/A",Table1[[#This Row],[Std Adj Read]]="N/A"),"N/A",IF(Table1[[#This Row],[DUT Adj Read]]="N/A",IF(Table1[[#This Row],[Std Adj Read]]&lt;Table1[[#This Row],[High Tol]],"Pass","Fail"),IF(Table1[[#This Row],[DUT Adj Read]]&lt;Table1[[#This Row],[High Tol]],"Pass","Fail")))</f>
        <v>Fail</v>
      </c>
      <c r="AF1363" s="1" t="str">
        <f>IF(AND(Table1[[#This Row],[Spec Type2]]="N/A",Table1[[#This Row],[DUT Adj Read]]="N/A",Table1[[#This Row],[Std Adj Read]]="N/A"),"N/A",IF(Table1[[#This Row],[DUT Adj Read]]="N/A",IF(Table1[[#This Row],[Std Adj Read]]&gt;=Table1[[#This Row],[Low Tol]],"Pass","Fail"),IF(Table1[[#This Row],[DUT Adj Read]]&gt;=Table1[[#This Row],[Low Tol]],"Pass","Fail")))</f>
        <v>Pass</v>
      </c>
      <c r="AG1363" s="1" t="str">
        <f>IF(AND(Table1[[#This Row],[Spec Type2]]="N/A",Table1[[#This Row],[DUT Adj Read]]="N/A",Table1[[#This Row],[Std Adj Read]]="N/A"),"N/A",IF(Table1[[#This Row],[DUT Adj Read]]="N/A",IF(Table1[[#This Row],[Std Adj Read]]&lt;=Table1[[#This Row],[High Tol]],"Pass","Fail"),IF(Table1[[#This Row],[DUT Adj Read]]&lt;=Table1[[#This Row],[High Tol]],"Pass","Fail")))</f>
        <v>Fail</v>
      </c>
      <c r="AH13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3" s="1" t="b">
        <v>0</v>
      </c>
      <c r="AN1363" s="1" t="b">
        <v>0</v>
      </c>
      <c r="AO1363" s="1" t="b">
        <v>0</v>
      </c>
    </row>
    <row r="1364" spans="1:41" x14ac:dyDescent="0.25">
      <c r="A1364" s="10"/>
      <c r="B1364" s="10"/>
      <c r="C1364" s="10"/>
      <c r="D1364" s="10"/>
      <c r="E1364" s="10"/>
      <c r="F1364" s="10"/>
      <c r="G1364" s="10"/>
      <c r="H1364" s="10"/>
      <c r="I1364" s="1" t="str">
        <f t="shared" si="63"/>
        <v/>
      </c>
      <c r="J1364" s="1" t="s">
        <v>35</v>
      </c>
      <c r="K1364" s="1" t="str">
        <f t="shared" si="64"/>
        <v/>
      </c>
      <c r="L1364" s="1" t="str">
        <f t="shared" si="65"/>
        <v/>
      </c>
      <c r="M1364" s="1">
        <f>IF(OR(Table1[[#This Row],[Std Nom]]="",Table1[[#This Row],[Std Read]]=""),0,Table1[[#This Row],[Std Nom]]-Table1[[#This Row],[Std Read]])</f>
        <v>0</v>
      </c>
      <c r="N1364" s="1">
        <f>IF(Calculations!$F$5="ACCREDITED 17025 WITH UNCERTAINTIES",$N$10,0)</f>
        <v>0</v>
      </c>
      <c r="Q1364" s="1">
        <f>Table1[[#This Row],[High Tol]]-Table1[[#This Row],[Low Tol]]</f>
        <v>0</v>
      </c>
      <c r="R1364" s="1">
        <f>2*Table1[[#This Row],[Std Error]]</f>
        <v>0</v>
      </c>
      <c r="S1364" s="1" t="str">
        <f>IF(Table1[[#This Row],[High Tol]]="","N/A",IFERROR(ABS(Table1[[#This Row],[Tol Span]]/Table1[[#This Row],[Error Span]]),"N/A"))</f>
        <v>N/A</v>
      </c>
      <c r="T1364" s="1" t="str">
        <f>IF(OR(Table1[[#This Row],[Low Tol]]="",Table1[[#This Row],[High Tol]]=""),"Needs Analysis",IF(Table1[[#This Row],[Ratio]]&gt;=4,"Not Significant",IF(Table1[[#This Row],[Ratio]]&gt;=2,"Semi-Significant","Significant")))</f>
        <v>Needs Analysis</v>
      </c>
      <c r="W1364" s="1">
        <f>IF(Table1[[#This Row],[Cal Type]]&lt;&gt;"ACCREDITED 17025 WITH UNCERTAINTIES",0,"")</f>
        <v>0</v>
      </c>
      <c r="X1364" s="1" t="str">
        <f>IF(Table1[[#This Row],[DUT Read]]="","N/A",Table1[[#This Row],[Std Error]]+Table1[[#This Row],[DUT Read]]+Table1[[#This Row],[DUT Ucty]])</f>
        <v>N/A</v>
      </c>
      <c r="Y1364" s="1" t="str">
        <f>IF(Table1[[#This Row],[Std Read]]="","N/A",Table1[[#This Row],[Std Read]]+Table1[[#This Row],[Std Ucty]])</f>
        <v>N/A</v>
      </c>
      <c r="Z13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4" s="1" t="str">
        <f>IF(Table1[[#This Row],[Spec Type]]="","N/A",Table1[[#This Row],[Spec Type]])</f>
        <v>±</v>
      </c>
      <c r="AC1364" s="1" t="str">
        <f>IF(Table1[[#This Row],[Spec Type2]]="N/A","N/A",IF(AND(Table1[[#This Row],[DUT Adj Read]]&gt;=Table1[[#This Row],[Low Tol]],Table1[[#This Row],[DUT Adj Read]]&lt;=Table1[[#This Row],[High Tol]]),"Pass","Fail"))</f>
        <v>Fail</v>
      </c>
      <c r="AD1364" s="1" t="str">
        <f>IF(AND(Table1[[#This Row],[Spec Type2]]="N/A",Table1[[#This Row],[DUT Adj Read]]="N/A",Table1[[#This Row],[Std Adj Read]]="N/A"),"N/A",IF(Table1[[#This Row],[DUT Adj Read]]="N/A",IF(Table1[[#This Row],[Std Adj Read]]&gt;Table1[[#This Row],[Low Tol]],"Pass","Fail"),IF(Table1[[#This Row],[DUT Adj Read]]&gt;Table1[[#This Row],[Low Tol]],"Pass","Fail")))</f>
        <v>Pass</v>
      </c>
      <c r="AE1364" s="1" t="str">
        <f>IF(AND(Table1[[#This Row],[Spec Type2]]="N/A",Table1[[#This Row],[DUT Adj Read]]="N/A",Table1[[#This Row],[Std Adj Read]]="N/A"),"N/A",IF(Table1[[#This Row],[DUT Adj Read]]="N/A",IF(Table1[[#This Row],[Std Adj Read]]&lt;Table1[[#This Row],[High Tol]],"Pass","Fail"),IF(Table1[[#This Row],[DUT Adj Read]]&lt;Table1[[#This Row],[High Tol]],"Pass","Fail")))</f>
        <v>Fail</v>
      </c>
      <c r="AF1364" s="1" t="str">
        <f>IF(AND(Table1[[#This Row],[Spec Type2]]="N/A",Table1[[#This Row],[DUT Adj Read]]="N/A",Table1[[#This Row],[Std Adj Read]]="N/A"),"N/A",IF(Table1[[#This Row],[DUT Adj Read]]="N/A",IF(Table1[[#This Row],[Std Adj Read]]&gt;=Table1[[#This Row],[Low Tol]],"Pass","Fail"),IF(Table1[[#This Row],[DUT Adj Read]]&gt;=Table1[[#This Row],[Low Tol]],"Pass","Fail")))</f>
        <v>Pass</v>
      </c>
      <c r="AG1364" s="1" t="str">
        <f>IF(AND(Table1[[#This Row],[Spec Type2]]="N/A",Table1[[#This Row],[DUT Adj Read]]="N/A",Table1[[#This Row],[Std Adj Read]]="N/A"),"N/A",IF(Table1[[#This Row],[DUT Adj Read]]="N/A",IF(Table1[[#This Row],[Std Adj Read]]&lt;=Table1[[#This Row],[High Tol]],"Pass","Fail"),IF(Table1[[#This Row],[DUT Adj Read]]&lt;=Table1[[#This Row],[High Tol]],"Pass","Fail")))</f>
        <v>Fail</v>
      </c>
      <c r="AH13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4" s="1" t="b">
        <v>0</v>
      </c>
      <c r="AN1364" s="1" t="b">
        <v>0</v>
      </c>
      <c r="AO1364" s="1" t="b">
        <v>0</v>
      </c>
    </row>
    <row r="1365" spans="1:41" x14ac:dyDescent="0.25">
      <c r="A1365" s="10"/>
      <c r="B1365" s="10"/>
      <c r="C1365" s="10"/>
      <c r="D1365" s="10"/>
      <c r="E1365" s="10"/>
      <c r="F1365" s="10"/>
      <c r="G1365" s="10"/>
      <c r="H1365" s="10"/>
      <c r="I1365" s="1" t="str">
        <f t="shared" si="63"/>
        <v/>
      </c>
      <c r="J1365" s="1" t="s">
        <v>35</v>
      </c>
      <c r="K1365" s="1" t="str">
        <f t="shared" si="64"/>
        <v/>
      </c>
      <c r="L1365" s="1" t="str">
        <f t="shared" si="65"/>
        <v/>
      </c>
      <c r="M1365" s="1">
        <f>IF(OR(Table1[[#This Row],[Std Nom]]="",Table1[[#This Row],[Std Read]]=""),0,Table1[[#This Row],[Std Nom]]-Table1[[#This Row],[Std Read]])</f>
        <v>0</v>
      </c>
      <c r="N1365" s="1">
        <f>IF(Calculations!$F$5="ACCREDITED 17025 WITH UNCERTAINTIES",$N$10,0)</f>
        <v>0</v>
      </c>
      <c r="Q1365" s="1">
        <f>Table1[[#This Row],[High Tol]]-Table1[[#This Row],[Low Tol]]</f>
        <v>0</v>
      </c>
      <c r="R1365" s="1">
        <f>2*Table1[[#This Row],[Std Error]]</f>
        <v>0</v>
      </c>
      <c r="S1365" s="1" t="str">
        <f>IF(Table1[[#This Row],[High Tol]]="","N/A",IFERROR(ABS(Table1[[#This Row],[Tol Span]]/Table1[[#This Row],[Error Span]]),"N/A"))</f>
        <v>N/A</v>
      </c>
      <c r="T1365" s="1" t="str">
        <f>IF(OR(Table1[[#This Row],[Low Tol]]="",Table1[[#This Row],[High Tol]]=""),"Needs Analysis",IF(Table1[[#This Row],[Ratio]]&gt;=4,"Not Significant",IF(Table1[[#This Row],[Ratio]]&gt;=2,"Semi-Significant","Significant")))</f>
        <v>Needs Analysis</v>
      </c>
      <c r="W1365" s="1">
        <f>IF(Table1[[#This Row],[Cal Type]]&lt;&gt;"ACCREDITED 17025 WITH UNCERTAINTIES",0,"")</f>
        <v>0</v>
      </c>
      <c r="X1365" s="1" t="str">
        <f>IF(Table1[[#This Row],[DUT Read]]="","N/A",Table1[[#This Row],[Std Error]]+Table1[[#This Row],[DUT Read]]+Table1[[#This Row],[DUT Ucty]])</f>
        <v>N/A</v>
      </c>
      <c r="Y1365" s="1" t="str">
        <f>IF(Table1[[#This Row],[Std Read]]="","N/A",Table1[[#This Row],[Std Read]]+Table1[[#This Row],[Std Ucty]])</f>
        <v>N/A</v>
      </c>
      <c r="Z13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5" s="1" t="str">
        <f>IF(Table1[[#This Row],[Spec Type]]="","N/A",Table1[[#This Row],[Spec Type]])</f>
        <v>±</v>
      </c>
      <c r="AC1365" s="1" t="str">
        <f>IF(Table1[[#This Row],[Spec Type2]]="N/A","N/A",IF(AND(Table1[[#This Row],[DUT Adj Read]]&gt;=Table1[[#This Row],[Low Tol]],Table1[[#This Row],[DUT Adj Read]]&lt;=Table1[[#This Row],[High Tol]]),"Pass","Fail"))</f>
        <v>Fail</v>
      </c>
      <c r="AD1365" s="1" t="str">
        <f>IF(AND(Table1[[#This Row],[Spec Type2]]="N/A",Table1[[#This Row],[DUT Adj Read]]="N/A",Table1[[#This Row],[Std Adj Read]]="N/A"),"N/A",IF(Table1[[#This Row],[DUT Adj Read]]="N/A",IF(Table1[[#This Row],[Std Adj Read]]&gt;Table1[[#This Row],[Low Tol]],"Pass","Fail"),IF(Table1[[#This Row],[DUT Adj Read]]&gt;Table1[[#This Row],[Low Tol]],"Pass","Fail")))</f>
        <v>Pass</v>
      </c>
      <c r="AE1365" s="1" t="str">
        <f>IF(AND(Table1[[#This Row],[Spec Type2]]="N/A",Table1[[#This Row],[DUT Adj Read]]="N/A",Table1[[#This Row],[Std Adj Read]]="N/A"),"N/A",IF(Table1[[#This Row],[DUT Adj Read]]="N/A",IF(Table1[[#This Row],[Std Adj Read]]&lt;Table1[[#This Row],[High Tol]],"Pass","Fail"),IF(Table1[[#This Row],[DUT Adj Read]]&lt;Table1[[#This Row],[High Tol]],"Pass","Fail")))</f>
        <v>Fail</v>
      </c>
      <c r="AF1365" s="1" t="str">
        <f>IF(AND(Table1[[#This Row],[Spec Type2]]="N/A",Table1[[#This Row],[DUT Adj Read]]="N/A",Table1[[#This Row],[Std Adj Read]]="N/A"),"N/A",IF(Table1[[#This Row],[DUT Adj Read]]="N/A",IF(Table1[[#This Row],[Std Adj Read]]&gt;=Table1[[#This Row],[Low Tol]],"Pass","Fail"),IF(Table1[[#This Row],[DUT Adj Read]]&gt;=Table1[[#This Row],[Low Tol]],"Pass","Fail")))</f>
        <v>Pass</v>
      </c>
      <c r="AG1365" s="1" t="str">
        <f>IF(AND(Table1[[#This Row],[Spec Type2]]="N/A",Table1[[#This Row],[DUT Adj Read]]="N/A",Table1[[#This Row],[Std Adj Read]]="N/A"),"N/A",IF(Table1[[#This Row],[DUT Adj Read]]="N/A",IF(Table1[[#This Row],[Std Adj Read]]&lt;=Table1[[#This Row],[High Tol]],"Pass","Fail"),IF(Table1[[#This Row],[DUT Adj Read]]&lt;=Table1[[#This Row],[High Tol]],"Pass","Fail")))</f>
        <v>Fail</v>
      </c>
      <c r="AH13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5" s="1" t="b">
        <v>0</v>
      </c>
      <c r="AN1365" s="1" t="b">
        <v>0</v>
      </c>
      <c r="AO1365" s="1" t="b">
        <v>0</v>
      </c>
    </row>
    <row r="1366" spans="1:41" x14ac:dyDescent="0.25">
      <c r="A1366" s="10"/>
      <c r="B1366" s="10"/>
      <c r="C1366" s="10"/>
      <c r="D1366" s="10"/>
      <c r="E1366" s="10"/>
      <c r="F1366" s="10"/>
      <c r="G1366" s="10"/>
      <c r="H1366" s="10"/>
      <c r="I1366" s="1" t="str">
        <f t="shared" si="63"/>
        <v/>
      </c>
      <c r="J1366" s="1" t="s">
        <v>35</v>
      </c>
      <c r="K1366" s="1" t="str">
        <f t="shared" si="64"/>
        <v/>
      </c>
      <c r="L1366" s="1" t="str">
        <f t="shared" si="65"/>
        <v/>
      </c>
      <c r="M1366" s="1">
        <f>IF(OR(Table1[[#This Row],[Std Nom]]="",Table1[[#This Row],[Std Read]]=""),0,Table1[[#This Row],[Std Nom]]-Table1[[#This Row],[Std Read]])</f>
        <v>0</v>
      </c>
      <c r="N1366" s="1">
        <f>IF(Calculations!$F$5="ACCREDITED 17025 WITH UNCERTAINTIES",$N$10,0)</f>
        <v>0</v>
      </c>
      <c r="Q1366" s="1">
        <f>Table1[[#This Row],[High Tol]]-Table1[[#This Row],[Low Tol]]</f>
        <v>0</v>
      </c>
      <c r="R1366" s="1">
        <f>2*Table1[[#This Row],[Std Error]]</f>
        <v>0</v>
      </c>
      <c r="S1366" s="1" t="str">
        <f>IF(Table1[[#This Row],[High Tol]]="","N/A",IFERROR(ABS(Table1[[#This Row],[Tol Span]]/Table1[[#This Row],[Error Span]]),"N/A"))</f>
        <v>N/A</v>
      </c>
      <c r="T1366" s="1" t="str">
        <f>IF(OR(Table1[[#This Row],[Low Tol]]="",Table1[[#This Row],[High Tol]]=""),"Needs Analysis",IF(Table1[[#This Row],[Ratio]]&gt;=4,"Not Significant",IF(Table1[[#This Row],[Ratio]]&gt;=2,"Semi-Significant","Significant")))</f>
        <v>Needs Analysis</v>
      </c>
      <c r="W1366" s="1">
        <f>IF(Table1[[#This Row],[Cal Type]]&lt;&gt;"ACCREDITED 17025 WITH UNCERTAINTIES",0,"")</f>
        <v>0</v>
      </c>
      <c r="X1366" s="1" t="str">
        <f>IF(Table1[[#This Row],[DUT Read]]="","N/A",Table1[[#This Row],[Std Error]]+Table1[[#This Row],[DUT Read]]+Table1[[#This Row],[DUT Ucty]])</f>
        <v>N/A</v>
      </c>
      <c r="Y1366" s="1" t="str">
        <f>IF(Table1[[#This Row],[Std Read]]="","N/A",Table1[[#This Row],[Std Read]]+Table1[[#This Row],[Std Ucty]])</f>
        <v>N/A</v>
      </c>
      <c r="Z13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6" s="1" t="str">
        <f>IF(Table1[[#This Row],[Spec Type]]="","N/A",Table1[[#This Row],[Spec Type]])</f>
        <v>±</v>
      </c>
      <c r="AC1366" s="1" t="str">
        <f>IF(Table1[[#This Row],[Spec Type2]]="N/A","N/A",IF(AND(Table1[[#This Row],[DUT Adj Read]]&gt;=Table1[[#This Row],[Low Tol]],Table1[[#This Row],[DUT Adj Read]]&lt;=Table1[[#This Row],[High Tol]]),"Pass","Fail"))</f>
        <v>Fail</v>
      </c>
      <c r="AD1366" s="1" t="str">
        <f>IF(AND(Table1[[#This Row],[Spec Type2]]="N/A",Table1[[#This Row],[DUT Adj Read]]="N/A",Table1[[#This Row],[Std Adj Read]]="N/A"),"N/A",IF(Table1[[#This Row],[DUT Adj Read]]="N/A",IF(Table1[[#This Row],[Std Adj Read]]&gt;Table1[[#This Row],[Low Tol]],"Pass","Fail"),IF(Table1[[#This Row],[DUT Adj Read]]&gt;Table1[[#This Row],[Low Tol]],"Pass","Fail")))</f>
        <v>Pass</v>
      </c>
      <c r="AE1366" s="1" t="str">
        <f>IF(AND(Table1[[#This Row],[Spec Type2]]="N/A",Table1[[#This Row],[DUT Adj Read]]="N/A",Table1[[#This Row],[Std Adj Read]]="N/A"),"N/A",IF(Table1[[#This Row],[DUT Adj Read]]="N/A",IF(Table1[[#This Row],[Std Adj Read]]&lt;Table1[[#This Row],[High Tol]],"Pass","Fail"),IF(Table1[[#This Row],[DUT Adj Read]]&lt;Table1[[#This Row],[High Tol]],"Pass","Fail")))</f>
        <v>Fail</v>
      </c>
      <c r="AF1366" s="1" t="str">
        <f>IF(AND(Table1[[#This Row],[Spec Type2]]="N/A",Table1[[#This Row],[DUT Adj Read]]="N/A",Table1[[#This Row],[Std Adj Read]]="N/A"),"N/A",IF(Table1[[#This Row],[DUT Adj Read]]="N/A",IF(Table1[[#This Row],[Std Adj Read]]&gt;=Table1[[#This Row],[Low Tol]],"Pass","Fail"),IF(Table1[[#This Row],[DUT Adj Read]]&gt;=Table1[[#This Row],[Low Tol]],"Pass","Fail")))</f>
        <v>Pass</v>
      </c>
      <c r="AG1366" s="1" t="str">
        <f>IF(AND(Table1[[#This Row],[Spec Type2]]="N/A",Table1[[#This Row],[DUT Adj Read]]="N/A",Table1[[#This Row],[Std Adj Read]]="N/A"),"N/A",IF(Table1[[#This Row],[DUT Adj Read]]="N/A",IF(Table1[[#This Row],[Std Adj Read]]&lt;=Table1[[#This Row],[High Tol]],"Pass","Fail"),IF(Table1[[#This Row],[DUT Adj Read]]&lt;=Table1[[#This Row],[High Tol]],"Pass","Fail")))</f>
        <v>Fail</v>
      </c>
      <c r="AH13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6" s="1" t="b">
        <v>0</v>
      </c>
      <c r="AN1366" s="1" t="b">
        <v>0</v>
      </c>
      <c r="AO1366" s="1" t="b">
        <v>0</v>
      </c>
    </row>
    <row r="1367" spans="1:41" x14ac:dyDescent="0.25">
      <c r="A1367" s="10"/>
      <c r="B1367" s="10"/>
      <c r="C1367" s="10"/>
      <c r="D1367" s="10"/>
      <c r="E1367" s="10"/>
      <c r="F1367" s="10"/>
      <c r="G1367" s="10"/>
      <c r="H1367" s="10"/>
      <c r="I1367" s="1" t="str">
        <f t="shared" si="63"/>
        <v/>
      </c>
      <c r="J1367" s="1" t="s">
        <v>35</v>
      </c>
      <c r="K1367" s="1" t="str">
        <f t="shared" si="64"/>
        <v/>
      </c>
      <c r="L1367" s="1" t="str">
        <f t="shared" si="65"/>
        <v/>
      </c>
      <c r="M1367" s="1">
        <f>IF(OR(Table1[[#This Row],[Std Nom]]="",Table1[[#This Row],[Std Read]]=""),0,Table1[[#This Row],[Std Nom]]-Table1[[#This Row],[Std Read]])</f>
        <v>0</v>
      </c>
      <c r="N1367" s="1">
        <f>IF(Calculations!$F$5="ACCREDITED 17025 WITH UNCERTAINTIES",$N$10,0)</f>
        <v>0</v>
      </c>
      <c r="Q1367" s="1">
        <f>Table1[[#This Row],[High Tol]]-Table1[[#This Row],[Low Tol]]</f>
        <v>0</v>
      </c>
      <c r="R1367" s="1">
        <f>2*Table1[[#This Row],[Std Error]]</f>
        <v>0</v>
      </c>
      <c r="S1367" s="1" t="str">
        <f>IF(Table1[[#This Row],[High Tol]]="","N/A",IFERROR(ABS(Table1[[#This Row],[Tol Span]]/Table1[[#This Row],[Error Span]]),"N/A"))</f>
        <v>N/A</v>
      </c>
      <c r="T1367" s="1" t="str">
        <f>IF(OR(Table1[[#This Row],[Low Tol]]="",Table1[[#This Row],[High Tol]]=""),"Needs Analysis",IF(Table1[[#This Row],[Ratio]]&gt;=4,"Not Significant",IF(Table1[[#This Row],[Ratio]]&gt;=2,"Semi-Significant","Significant")))</f>
        <v>Needs Analysis</v>
      </c>
      <c r="W1367" s="1">
        <f>IF(Table1[[#This Row],[Cal Type]]&lt;&gt;"ACCREDITED 17025 WITH UNCERTAINTIES",0,"")</f>
        <v>0</v>
      </c>
      <c r="X1367" s="1" t="str">
        <f>IF(Table1[[#This Row],[DUT Read]]="","N/A",Table1[[#This Row],[Std Error]]+Table1[[#This Row],[DUT Read]]+Table1[[#This Row],[DUT Ucty]])</f>
        <v>N/A</v>
      </c>
      <c r="Y1367" s="1" t="str">
        <f>IF(Table1[[#This Row],[Std Read]]="","N/A",Table1[[#This Row],[Std Read]]+Table1[[#This Row],[Std Ucty]])</f>
        <v>N/A</v>
      </c>
      <c r="Z13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7" s="1" t="str">
        <f>IF(Table1[[#This Row],[Spec Type]]="","N/A",Table1[[#This Row],[Spec Type]])</f>
        <v>±</v>
      </c>
      <c r="AC1367" s="1" t="str">
        <f>IF(Table1[[#This Row],[Spec Type2]]="N/A","N/A",IF(AND(Table1[[#This Row],[DUT Adj Read]]&gt;=Table1[[#This Row],[Low Tol]],Table1[[#This Row],[DUT Adj Read]]&lt;=Table1[[#This Row],[High Tol]]),"Pass","Fail"))</f>
        <v>Fail</v>
      </c>
      <c r="AD1367" s="1" t="str">
        <f>IF(AND(Table1[[#This Row],[Spec Type2]]="N/A",Table1[[#This Row],[DUT Adj Read]]="N/A",Table1[[#This Row],[Std Adj Read]]="N/A"),"N/A",IF(Table1[[#This Row],[DUT Adj Read]]="N/A",IF(Table1[[#This Row],[Std Adj Read]]&gt;Table1[[#This Row],[Low Tol]],"Pass","Fail"),IF(Table1[[#This Row],[DUT Adj Read]]&gt;Table1[[#This Row],[Low Tol]],"Pass","Fail")))</f>
        <v>Pass</v>
      </c>
      <c r="AE1367" s="1" t="str">
        <f>IF(AND(Table1[[#This Row],[Spec Type2]]="N/A",Table1[[#This Row],[DUT Adj Read]]="N/A",Table1[[#This Row],[Std Adj Read]]="N/A"),"N/A",IF(Table1[[#This Row],[DUT Adj Read]]="N/A",IF(Table1[[#This Row],[Std Adj Read]]&lt;Table1[[#This Row],[High Tol]],"Pass","Fail"),IF(Table1[[#This Row],[DUT Adj Read]]&lt;Table1[[#This Row],[High Tol]],"Pass","Fail")))</f>
        <v>Fail</v>
      </c>
      <c r="AF1367" s="1" t="str">
        <f>IF(AND(Table1[[#This Row],[Spec Type2]]="N/A",Table1[[#This Row],[DUT Adj Read]]="N/A",Table1[[#This Row],[Std Adj Read]]="N/A"),"N/A",IF(Table1[[#This Row],[DUT Adj Read]]="N/A",IF(Table1[[#This Row],[Std Adj Read]]&gt;=Table1[[#This Row],[Low Tol]],"Pass","Fail"),IF(Table1[[#This Row],[DUT Adj Read]]&gt;=Table1[[#This Row],[Low Tol]],"Pass","Fail")))</f>
        <v>Pass</v>
      </c>
      <c r="AG1367" s="1" t="str">
        <f>IF(AND(Table1[[#This Row],[Spec Type2]]="N/A",Table1[[#This Row],[DUT Adj Read]]="N/A",Table1[[#This Row],[Std Adj Read]]="N/A"),"N/A",IF(Table1[[#This Row],[DUT Adj Read]]="N/A",IF(Table1[[#This Row],[Std Adj Read]]&lt;=Table1[[#This Row],[High Tol]],"Pass","Fail"),IF(Table1[[#This Row],[DUT Adj Read]]&lt;=Table1[[#This Row],[High Tol]],"Pass","Fail")))</f>
        <v>Fail</v>
      </c>
      <c r="AH13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7" s="1" t="b">
        <v>0</v>
      </c>
      <c r="AN1367" s="1" t="b">
        <v>0</v>
      </c>
      <c r="AO1367" s="1" t="b">
        <v>0</v>
      </c>
    </row>
    <row r="1368" spans="1:41" x14ac:dyDescent="0.25">
      <c r="A1368" s="10"/>
      <c r="B1368" s="10"/>
      <c r="C1368" s="10"/>
      <c r="D1368" s="10"/>
      <c r="E1368" s="10"/>
      <c r="F1368" s="10"/>
      <c r="G1368" s="10"/>
      <c r="H1368" s="10"/>
      <c r="I1368" s="1" t="str">
        <f t="shared" si="63"/>
        <v/>
      </c>
      <c r="J1368" s="1" t="s">
        <v>35</v>
      </c>
      <c r="K1368" s="1" t="str">
        <f t="shared" si="64"/>
        <v/>
      </c>
      <c r="L1368" s="1" t="str">
        <f t="shared" si="65"/>
        <v/>
      </c>
      <c r="M1368" s="1">
        <f>IF(OR(Table1[[#This Row],[Std Nom]]="",Table1[[#This Row],[Std Read]]=""),0,Table1[[#This Row],[Std Nom]]-Table1[[#This Row],[Std Read]])</f>
        <v>0</v>
      </c>
      <c r="N1368" s="1">
        <f>IF(Calculations!$F$5="ACCREDITED 17025 WITH UNCERTAINTIES",$N$10,0)</f>
        <v>0</v>
      </c>
      <c r="Q1368" s="1">
        <f>Table1[[#This Row],[High Tol]]-Table1[[#This Row],[Low Tol]]</f>
        <v>0</v>
      </c>
      <c r="R1368" s="1">
        <f>2*Table1[[#This Row],[Std Error]]</f>
        <v>0</v>
      </c>
      <c r="S1368" s="1" t="str">
        <f>IF(Table1[[#This Row],[High Tol]]="","N/A",IFERROR(ABS(Table1[[#This Row],[Tol Span]]/Table1[[#This Row],[Error Span]]),"N/A"))</f>
        <v>N/A</v>
      </c>
      <c r="T1368" s="1" t="str">
        <f>IF(OR(Table1[[#This Row],[Low Tol]]="",Table1[[#This Row],[High Tol]]=""),"Needs Analysis",IF(Table1[[#This Row],[Ratio]]&gt;=4,"Not Significant",IF(Table1[[#This Row],[Ratio]]&gt;=2,"Semi-Significant","Significant")))</f>
        <v>Needs Analysis</v>
      </c>
      <c r="W1368" s="1">
        <f>IF(Table1[[#This Row],[Cal Type]]&lt;&gt;"ACCREDITED 17025 WITH UNCERTAINTIES",0,"")</f>
        <v>0</v>
      </c>
      <c r="X1368" s="1" t="str">
        <f>IF(Table1[[#This Row],[DUT Read]]="","N/A",Table1[[#This Row],[Std Error]]+Table1[[#This Row],[DUT Read]]+Table1[[#This Row],[DUT Ucty]])</f>
        <v>N/A</v>
      </c>
      <c r="Y1368" s="1" t="str">
        <f>IF(Table1[[#This Row],[Std Read]]="","N/A",Table1[[#This Row],[Std Read]]+Table1[[#This Row],[Std Ucty]])</f>
        <v>N/A</v>
      </c>
      <c r="Z13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8" s="1" t="str">
        <f>IF(Table1[[#This Row],[Spec Type]]="","N/A",Table1[[#This Row],[Spec Type]])</f>
        <v>±</v>
      </c>
      <c r="AC1368" s="1" t="str">
        <f>IF(Table1[[#This Row],[Spec Type2]]="N/A","N/A",IF(AND(Table1[[#This Row],[DUT Adj Read]]&gt;=Table1[[#This Row],[Low Tol]],Table1[[#This Row],[DUT Adj Read]]&lt;=Table1[[#This Row],[High Tol]]),"Pass","Fail"))</f>
        <v>Fail</v>
      </c>
      <c r="AD1368" s="1" t="str">
        <f>IF(AND(Table1[[#This Row],[Spec Type2]]="N/A",Table1[[#This Row],[DUT Adj Read]]="N/A",Table1[[#This Row],[Std Adj Read]]="N/A"),"N/A",IF(Table1[[#This Row],[DUT Adj Read]]="N/A",IF(Table1[[#This Row],[Std Adj Read]]&gt;Table1[[#This Row],[Low Tol]],"Pass","Fail"),IF(Table1[[#This Row],[DUT Adj Read]]&gt;Table1[[#This Row],[Low Tol]],"Pass","Fail")))</f>
        <v>Pass</v>
      </c>
      <c r="AE1368" s="1" t="str">
        <f>IF(AND(Table1[[#This Row],[Spec Type2]]="N/A",Table1[[#This Row],[DUT Adj Read]]="N/A",Table1[[#This Row],[Std Adj Read]]="N/A"),"N/A",IF(Table1[[#This Row],[DUT Adj Read]]="N/A",IF(Table1[[#This Row],[Std Adj Read]]&lt;Table1[[#This Row],[High Tol]],"Pass","Fail"),IF(Table1[[#This Row],[DUT Adj Read]]&lt;Table1[[#This Row],[High Tol]],"Pass","Fail")))</f>
        <v>Fail</v>
      </c>
      <c r="AF1368" s="1" t="str">
        <f>IF(AND(Table1[[#This Row],[Spec Type2]]="N/A",Table1[[#This Row],[DUT Adj Read]]="N/A",Table1[[#This Row],[Std Adj Read]]="N/A"),"N/A",IF(Table1[[#This Row],[DUT Adj Read]]="N/A",IF(Table1[[#This Row],[Std Adj Read]]&gt;=Table1[[#This Row],[Low Tol]],"Pass","Fail"),IF(Table1[[#This Row],[DUT Adj Read]]&gt;=Table1[[#This Row],[Low Tol]],"Pass","Fail")))</f>
        <v>Pass</v>
      </c>
      <c r="AG1368" s="1" t="str">
        <f>IF(AND(Table1[[#This Row],[Spec Type2]]="N/A",Table1[[#This Row],[DUT Adj Read]]="N/A",Table1[[#This Row],[Std Adj Read]]="N/A"),"N/A",IF(Table1[[#This Row],[DUT Adj Read]]="N/A",IF(Table1[[#This Row],[Std Adj Read]]&lt;=Table1[[#This Row],[High Tol]],"Pass","Fail"),IF(Table1[[#This Row],[DUT Adj Read]]&lt;=Table1[[#This Row],[High Tol]],"Pass","Fail")))</f>
        <v>Fail</v>
      </c>
      <c r="AH13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8" s="1" t="b">
        <v>0</v>
      </c>
      <c r="AN1368" s="1" t="b">
        <v>0</v>
      </c>
      <c r="AO1368" s="1" t="b">
        <v>0</v>
      </c>
    </row>
    <row r="1369" spans="1:41" x14ac:dyDescent="0.25">
      <c r="A1369" s="10"/>
      <c r="B1369" s="10"/>
      <c r="C1369" s="10"/>
      <c r="D1369" s="10"/>
      <c r="E1369" s="10"/>
      <c r="F1369" s="10"/>
      <c r="G1369" s="10"/>
      <c r="H1369" s="10"/>
      <c r="I1369" s="1" t="str">
        <f t="shared" si="63"/>
        <v/>
      </c>
      <c r="J1369" s="1" t="s">
        <v>35</v>
      </c>
      <c r="K1369" s="1" t="str">
        <f t="shared" si="64"/>
        <v/>
      </c>
      <c r="L1369" s="1" t="str">
        <f t="shared" si="65"/>
        <v/>
      </c>
      <c r="M1369" s="1">
        <f>IF(OR(Table1[[#This Row],[Std Nom]]="",Table1[[#This Row],[Std Read]]=""),0,Table1[[#This Row],[Std Nom]]-Table1[[#This Row],[Std Read]])</f>
        <v>0</v>
      </c>
      <c r="N1369" s="1">
        <f>IF(Calculations!$F$5="ACCREDITED 17025 WITH UNCERTAINTIES",$N$10,0)</f>
        <v>0</v>
      </c>
      <c r="Q1369" s="1">
        <f>Table1[[#This Row],[High Tol]]-Table1[[#This Row],[Low Tol]]</f>
        <v>0</v>
      </c>
      <c r="R1369" s="1">
        <f>2*Table1[[#This Row],[Std Error]]</f>
        <v>0</v>
      </c>
      <c r="S1369" s="1" t="str">
        <f>IF(Table1[[#This Row],[High Tol]]="","N/A",IFERROR(ABS(Table1[[#This Row],[Tol Span]]/Table1[[#This Row],[Error Span]]),"N/A"))</f>
        <v>N/A</v>
      </c>
      <c r="T1369" s="1" t="str">
        <f>IF(OR(Table1[[#This Row],[Low Tol]]="",Table1[[#This Row],[High Tol]]=""),"Needs Analysis",IF(Table1[[#This Row],[Ratio]]&gt;=4,"Not Significant",IF(Table1[[#This Row],[Ratio]]&gt;=2,"Semi-Significant","Significant")))</f>
        <v>Needs Analysis</v>
      </c>
      <c r="W1369" s="1">
        <f>IF(Table1[[#This Row],[Cal Type]]&lt;&gt;"ACCREDITED 17025 WITH UNCERTAINTIES",0,"")</f>
        <v>0</v>
      </c>
      <c r="X1369" s="1" t="str">
        <f>IF(Table1[[#This Row],[DUT Read]]="","N/A",Table1[[#This Row],[Std Error]]+Table1[[#This Row],[DUT Read]]+Table1[[#This Row],[DUT Ucty]])</f>
        <v>N/A</v>
      </c>
      <c r="Y1369" s="1" t="str">
        <f>IF(Table1[[#This Row],[Std Read]]="","N/A",Table1[[#This Row],[Std Read]]+Table1[[#This Row],[Std Ucty]])</f>
        <v>N/A</v>
      </c>
      <c r="Z13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69" s="1" t="str">
        <f>IF(Table1[[#This Row],[Spec Type]]="","N/A",Table1[[#This Row],[Spec Type]])</f>
        <v>±</v>
      </c>
      <c r="AC1369" s="1" t="str">
        <f>IF(Table1[[#This Row],[Spec Type2]]="N/A","N/A",IF(AND(Table1[[#This Row],[DUT Adj Read]]&gt;=Table1[[#This Row],[Low Tol]],Table1[[#This Row],[DUT Adj Read]]&lt;=Table1[[#This Row],[High Tol]]),"Pass","Fail"))</f>
        <v>Fail</v>
      </c>
      <c r="AD1369" s="1" t="str">
        <f>IF(AND(Table1[[#This Row],[Spec Type2]]="N/A",Table1[[#This Row],[DUT Adj Read]]="N/A",Table1[[#This Row],[Std Adj Read]]="N/A"),"N/A",IF(Table1[[#This Row],[DUT Adj Read]]="N/A",IF(Table1[[#This Row],[Std Adj Read]]&gt;Table1[[#This Row],[Low Tol]],"Pass","Fail"),IF(Table1[[#This Row],[DUT Adj Read]]&gt;Table1[[#This Row],[Low Tol]],"Pass","Fail")))</f>
        <v>Pass</v>
      </c>
      <c r="AE1369" s="1" t="str">
        <f>IF(AND(Table1[[#This Row],[Spec Type2]]="N/A",Table1[[#This Row],[DUT Adj Read]]="N/A",Table1[[#This Row],[Std Adj Read]]="N/A"),"N/A",IF(Table1[[#This Row],[DUT Adj Read]]="N/A",IF(Table1[[#This Row],[Std Adj Read]]&lt;Table1[[#This Row],[High Tol]],"Pass","Fail"),IF(Table1[[#This Row],[DUT Adj Read]]&lt;Table1[[#This Row],[High Tol]],"Pass","Fail")))</f>
        <v>Fail</v>
      </c>
      <c r="AF1369" s="1" t="str">
        <f>IF(AND(Table1[[#This Row],[Spec Type2]]="N/A",Table1[[#This Row],[DUT Adj Read]]="N/A",Table1[[#This Row],[Std Adj Read]]="N/A"),"N/A",IF(Table1[[#This Row],[DUT Adj Read]]="N/A",IF(Table1[[#This Row],[Std Adj Read]]&gt;=Table1[[#This Row],[Low Tol]],"Pass","Fail"),IF(Table1[[#This Row],[DUT Adj Read]]&gt;=Table1[[#This Row],[Low Tol]],"Pass","Fail")))</f>
        <v>Pass</v>
      </c>
      <c r="AG1369" s="1" t="str">
        <f>IF(AND(Table1[[#This Row],[Spec Type2]]="N/A",Table1[[#This Row],[DUT Adj Read]]="N/A",Table1[[#This Row],[Std Adj Read]]="N/A"),"N/A",IF(Table1[[#This Row],[DUT Adj Read]]="N/A",IF(Table1[[#This Row],[Std Adj Read]]&lt;=Table1[[#This Row],[High Tol]],"Pass","Fail"),IF(Table1[[#This Row],[DUT Adj Read]]&lt;=Table1[[#This Row],[High Tol]],"Pass","Fail")))</f>
        <v>Fail</v>
      </c>
      <c r="AH13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69" s="1" t="b">
        <v>0</v>
      </c>
      <c r="AN1369" s="1" t="b">
        <v>0</v>
      </c>
      <c r="AO1369" s="1" t="b">
        <v>0</v>
      </c>
    </row>
    <row r="1370" spans="1:41" x14ac:dyDescent="0.25">
      <c r="A1370" s="10"/>
      <c r="B1370" s="10"/>
      <c r="C1370" s="10"/>
      <c r="D1370" s="10"/>
      <c r="E1370" s="10"/>
      <c r="F1370" s="10"/>
      <c r="G1370" s="10"/>
      <c r="H1370" s="10"/>
      <c r="I1370" s="1" t="str">
        <f t="shared" si="63"/>
        <v/>
      </c>
      <c r="J1370" s="1" t="s">
        <v>35</v>
      </c>
      <c r="K1370" s="1" t="str">
        <f t="shared" si="64"/>
        <v/>
      </c>
      <c r="L1370" s="1" t="str">
        <f t="shared" si="65"/>
        <v/>
      </c>
      <c r="M1370" s="1">
        <f>IF(OR(Table1[[#This Row],[Std Nom]]="",Table1[[#This Row],[Std Read]]=""),0,Table1[[#This Row],[Std Nom]]-Table1[[#This Row],[Std Read]])</f>
        <v>0</v>
      </c>
      <c r="N1370" s="1">
        <f>IF(Calculations!$F$5="ACCREDITED 17025 WITH UNCERTAINTIES",$N$10,0)</f>
        <v>0</v>
      </c>
      <c r="Q1370" s="1">
        <f>Table1[[#This Row],[High Tol]]-Table1[[#This Row],[Low Tol]]</f>
        <v>0</v>
      </c>
      <c r="R1370" s="1">
        <f>2*Table1[[#This Row],[Std Error]]</f>
        <v>0</v>
      </c>
      <c r="S1370" s="1" t="str">
        <f>IF(Table1[[#This Row],[High Tol]]="","N/A",IFERROR(ABS(Table1[[#This Row],[Tol Span]]/Table1[[#This Row],[Error Span]]),"N/A"))</f>
        <v>N/A</v>
      </c>
      <c r="T1370" s="1" t="str">
        <f>IF(OR(Table1[[#This Row],[Low Tol]]="",Table1[[#This Row],[High Tol]]=""),"Needs Analysis",IF(Table1[[#This Row],[Ratio]]&gt;=4,"Not Significant",IF(Table1[[#This Row],[Ratio]]&gt;=2,"Semi-Significant","Significant")))</f>
        <v>Needs Analysis</v>
      </c>
      <c r="W1370" s="1">
        <f>IF(Table1[[#This Row],[Cal Type]]&lt;&gt;"ACCREDITED 17025 WITH UNCERTAINTIES",0,"")</f>
        <v>0</v>
      </c>
      <c r="X1370" s="1" t="str">
        <f>IF(Table1[[#This Row],[DUT Read]]="","N/A",Table1[[#This Row],[Std Error]]+Table1[[#This Row],[DUT Read]]+Table1[[#This Row],[DUT Ucty]])</f>
        <v>N/A</v>
      </c>
      <c r="Y1370" s="1" t="str">
        <f>IF(Table1[[#This Row],[Std Read]]="","N/A",Table1[[#This Row],[Std Read]]+Table1[[#This Row],[Std Ucty]])</f>
        <v>N/A</v>
      </c>
      <c r="Z13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0" s="1" t="str">
        <f>IF(Table1[[#This Row],[Spec Type]]="","N/A",Table1[[#This Row],[Spec Type]])</f>
        <v>±</v>
      </c>
      <c r="AC1370" s="1" t="str">
        <f>IF(Table1[[#This Row],[Spec Type2]]="N/A","N/A",IF(AND(Table1[[#This Row],[DUT Adj Read]]&gt;=Table1[[#This Row],[Low Tol]],Table1[[#This Row],[DUT Adj Read]]&lt;=Table1[[#This Row],[High Tol]]),"Pass","Fail"))</f>
        <v>Fail</v>
      </c>
      <c r="AD1370" s="1" t="str">
        <f>IF(AND(Table1[[#This Row],[Spec Type2]]="N/A",Table1[[#This Row],[DUT Adj Read]]="N/A",Table1[[#This Row],[Std Adj Read]]="N/A"),"N/A",IF(Table1[[#This Row],[DUT Adj Read]]="N/A",IF(Table1[[#This Row],[Std Adj Read]]&gt;Table1[[#This Row],[Low Tol]],"Pass","Fail"),IF(Table1[[#This Row],[DUT Adj Read]]&gt;Table1[[#This Row],[Low Tol]],"Pass","Fail")))</f>
        <v>Pass</v>
      </c>
      <c r="AE1370" s="1" t="str">
        <f>IF(AND(Table1[[#This Row],[Spec Type2]]="N/A",Table1[[#This Row],[DUT Adj Read]]="N/A",Table1[[#This Row],[Std Adj Read]]="N/A"),"N/A",IF(Table1[[#This Row],[DUT Adj Read]]="N/A",IF(Table1[[#This Row],[Std Adj Read]]&lt;Table1[[#This Row],[High Tol]],"Pass","Fail"),IF(Table1[[#This Row],[DUT Adj Read]]&lt;Table1[[#This Row],[High Tol]],"Pass","Fail")))</f>
        <v>Fail</v>
      </c>
      <c r="AF1370" s="1" t="str">
        <f>IF(AND(Table1[[#This Row],[Spec Type2]]="N/A",Table1[[#This Row],[DUT Adj Read]]="N/A",Table1[[#This Row],[Std Adj Read]]="N/A"),"N/A",IF(Table1[[#This Row],[DUT Adj Read]]="N/A",IF(Table1[[#This Row],[Std Adj Read]]&gt;=Table1[[#This Row],[Low Tol]],"Pass","Fail"),IF(Table1[[#This Row],[DUT Adj Read]]&gt;=Table1[[#This Row],[Low Tol]],"Pass","Fail")))</f>
        <v>Pass</v>
      </c>
      <c r="AG1370" s="1" t="str">
        <f>IF(AND(Table1[[#This Row],[Spec Type2]]="N/A",Table1[[#This Row],[DUT Adj Read]]="N/A",Table1[[#This Row],[Std Adj Read]]="N/A"),"N/A",IF(Table1[[#This Row],[DUT Adj Read]]="N/A",IF(Table1[[#This Row],[Std Adj Read]]&lt;=Table1[[#This Row],[High Tol]],"Pass","Fail"),IF(Table1[[#This Row],[DUT Adj Read]]&lt;=Table1[[#This Row],[High Tol]],"Pass","Fail")))</f>
        <v>Fail</v>
      </c>
      <c r="AH13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0" s="1" t="b">
        <v>0</v>
      </c>
      <c r="AN1370" s="1" t="b">
        <v>0</v>
      </c>
      <c r="AO1370" s="1" t="b">
        <v>0</v>
      </c>
    </row>
    <row r="1371" spans="1:41" x14ac:dyDescent="0.25">
      <c r="A1371" s="10"/>
      <c r="B1371" s="10"/>
      <c r="C1371" s="10"/>
      <c r="D1371" s="10"/>
      <c r="E1371" s="10"/>
      <c r="F1371" s="10"/>
      <c r="G1371" s="10"/>
      <c r="H1371" s="10"/>
      <c r="I1371" s="1" t="str">
        <f t="shared" si="63"/>
        <v/>
      </c>
      <c r="J1371" s="1" t="s">
        <v>35</v>
      </c>
      <c r="K1371" s="1" t="str">
        <f t="shared" si="64"/>
        <v/>
      </c>
      <c r="L1371" s="1" t="str">
        <f t="shared" si="65"/>
        <v/>
      </c>
      <c r="M1371" s="1">
        <f>IF(OR(Table1[[#This Row],[Std Nom]]="",Table1[[#This Row],[Std Read]]=""),0,Table1[[#This Row],[Std Nom]]-Table1[[#This Row],[Std Read]])</f>
        <v>0</v>
      </c>
      <c r="N1371" s="1">
        <f>IF(Calculations!$F$5="ACCREDITED 17025 WITH UNCERTAINTIES",$N$10,0)</f>
        <v>0</v>
      </c>
      <c r="Q1371" s="1">
        <f>Table1[[#This Row],[High Tol]]-Table1[[#This Row],[Low Tol]]</f>
        <v>0</v>
      </c>
      <c r="R1371" s="1">
        <f>2*Table1[[#This Row],[Std Error]]</f>
        <v>0</v>
      </c>
      <c r="S1371" s="1" t="str">
        <f>IF(Table1[[#This Row],[High Tol]]="","N/A",IFERROR(ABS(Table1[[#This Row],[Tol Span]]/Table1[[#This Row],[Error Span]]),"N/A"))</f>
        <v>N/A</v>
      </c>
      <c r="T1371" s="1" t="str">
        <f>IF(OR(Table1[[#This Row],[Low Tol]]="",Table1[[#This Row],[High Tol]]=""),"Needs Analysis",IF(Table1[[#This Row],[Ratio]]&gt;=4,"Not Significant",IF(Table1[[#This Row],[Ratio]]&gt;=2,"Semi-Significant","Significant")))</f>
        <v>Needs Analysis</v>
      </c>
      <c r="W1371" s="1">
        <f>IF(Table1[[#This Row],[Cal Type]]&lt;&gt;"ACCREDITED 17025 WITH UNCERTAINTIES",0,"")</f>
        <v>0</v>
      </c>
      <c r="X1371" s="1" t="str">
        <f>IF(Table1[[#This Row],[DUT Read]]="","N/A",Table1[[#This Row],[Std Error]]+Table1[[#This Row],[DUT Read]]+Table1[[#This Row],[DUT Ucty]])</f>
        <v>N/A</v>
      </c>
      <c r="Y1371" s="1" t="str">
        <f>IF(Table1[[#This Row],[Std Read]]="","N/A",Table1[[#This Row],[Std Read]]+Table1[[#This Row],[Std Ucty]])</f>
        <v>N/A</v>
      </c>
      <c r="Z13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1" s="1" t="str">
        <f>IF(Table1[[#This Row],[Spec Type]]="","N/A",Table1[[#This Row],[Spec Type]])</f>
        <v>±</v>
      </c>
      <c r="AC1371" s="1" t="str">
        <f>IF(Table1[[#This Row],[Spec Type2]]="N/A","N/A",IF(AND(Table1[[#This Row],[DUT Adj Read]]&gt;=Table1[[#This Row],[Low Tol]],Table1[[#This Row],[DUT Adj Read]]&lt;=Table1[[#This Row],[High Tol]]),"Pass","Fail"))</f>
        <v>Fail</v>
      </c>
      <c r="AD1371" s="1" t="str">
        <f>IF(AND(Table1[[#This Row],[Spec Type2]]="N/A",Table1[[#This Row],[DUT Adj Read]]="N/A",Table1[[#This Row],[Std Adj Read]]="N/A"),"N/A",IF(Table1[[#This Row],[DUT Adj Read]]="N/A",IF(Table1[[#This Row],[Std Adj Read]]&gt;Table1[[#This Row],[Low Tol]],"Pass","Fail"),IF(Table1[[#This Row],[DUT Adj Read]]&gt;Table1[[#This Row],[Low Tol]],"Pass","Fail")))</f>
        <v>Pass</v>
      </c>
      <c r="AE1371" s="1" t="str">
        <f>IF(AND(Table1[[#This Row],[Spec Type2]]="N/A",Table1[[#This Row],[DUT Adj Read]]="N/A",Table1[[#This Row],[Std Adj Read]]="N/A"),"N/A",IF(Table1[[#This Row],[DUT Adj Read]]="N/A",IF(Table1[[#This Row],[Std Adj Read]]&lt;Table1[[#This Row],[High Tol]],"Pass","Fail"),IF(Table1[[#This Row],[DUT Adj Read]]&lt;Table1[[#This Row],[High Tol]],"Pass","Fail")))</f>
        <v>Fail</v>
      </c>
      <c r="AF1371" s="1" t="str">
        <f>IF(AND(Table1[[#This Row],[Spec Type2]]="N/A",Table1[[#This Row],[DUT Adj Read]]="N/A",Table1[[#This Row],[Std Adj Read]]="N/A"),"N/A",IF(Table1[[#This Row],[DUT Adj Read]]="N/A",IF(Table1[[#This Row],[Std Adj Read]]&gt;=Table1[[#This Row],[Low Tol]],"Pass","Fail"),IF(Table1[[#This Row],[DUT Adj Read]]&gt;=Table1[[#This Row],[Low Tol]],"Pass","Fail")))</f>
        <v>Pass</v>
      </c>
      <c r="AG1371" s="1" t="str">
        <f>IF(AND(Table1[[#This Row],[Spec Type2]]="N/A",Table1[[#This Row],[DUT Adj Read]]="N/A",Table1[[#This Row],[Std Adj Read]]="N/A"),"N/A",IF(Table1[[#This Row],[DUT Adj Read]]="N/A",IF(Table1[[#This Row],[Std Adj Read]]&lt;=Table1[[#This Row],[High Tol]],"Pass","Fail"),IF(Table1[[#This Row],[DUT Adj Read]]&lt;=Table1[[#This Row],[High Tol]],"Pass","Fail")))</f>
        <v>Fail</v>
      </c>
      <c r="AH13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1" s="1" t="b">
        <v>0</v>
      </c>
      <c r="AN1371" s="1" t="b">
        <v>0</v>
      </c>
      <c r="AO1371" s="1" t="b">
        <v>0</v>
      </c>
    </row>
    <row r="1372" spans="1:41" x14ac:dyDescent="0.25">
      <c r="A1372" s="10"/>
      <c r="B1372" s="10"/>
      <c r="C1372" s="10"/>
      <c r="D1372" s="10"/>
      <c r="E1372" s="10"/>
      <c r="F1372" s="10"/>
      <c r="G1372" s="10"/>
      <c r="H1372" s="10"/>
      <c r="I1372" s="1" t="str">
        <f t="shared" si="63"/>
        <v/>
      </c>
      <c r="J1372" s="1" t="s">
        <v>35</v>
      </c>
      <c r="K1372" s="1" t="str">
        <f t="shared" si="64"/>
        <v/>
      </c>
      <c r="L1372" s="1" t="str">
        <f t="shared" si="65"/>
        <v/>
      </c>
      <c r="M1372" s="1">
        <f>IF(OR(Table1[[#This Row],[Std Nom]]="",Table1[[#This Row],[Std Read]]=""),0,Table1[[#This Row],[Std Nom]]-Table1[[#This Row],[Std Read]])</f>
        <v>0</v>
      </c>
      <c r="N1372" s="1">
        <f>IF(Calculations!$F$5="ACCREDITED 17025 WITH UNCERTAINTIES",$N$10,0)</f>
        <v>0</v>
      </c>
      <c r="Q1372" s="1">
        <f>Table1[[#This Row],[High Tol]]-Table1[[#This Row],[Low Tol]]</f>
        <v>0</v>
      </c>
      <c r="R1372" s="1">
        <f>2*Table1[[#This Row],[Std Error]]</f>
        <v>0</v>
      </c>
      <c r="S1372" s="1" t="str">
        <f>IF(Table1[[#This Row],[High Tol]]="","N/A",IFERROR(ABS(Table1[[#This Row],[Tol Span]]/Table1[[#This Row],[Error Span]]),"N/A"))</f>
        <v>N/A</v>
      </c>
      <c r="T1372" s="1" t="str">
        <f>IF(OR(Table1[[#This Row],[Low Tol]]="",Table1[[#This Row],[High Tol]]=""),"Needs Analysis",IF(Table1[[#This Row],[Ratio]]&gt;=4,"Not Significant",IF(Table1[[#This Row],[Ratio]]&gt;=2,"Semi-Significant","Significant")))</f>
        <v>Needs Analysis</v>
      </c>
      <c r="W1372" s="1">
        <f>IF(Table1[[#This Row],[Cal Type]]&lt;&gt;"ACCREDITED 17025 WITH UNCERTAINTIES",0,"")</f>
        <v>0</v>
      </c>
      <c r="X1372" s="1" t="str">
        <f>IF(Table1[[#This Row],[DUT Read]]="","N/A",Table1[[#This Row],[Std Error]]+Table1[[#This Row],[DUT Read]]+Table1[[#This Row],[DUT Ucty]])</f>
        <v>N/A</v>
      </c>
      <c r="Y1372" s="1" t="str">
        <f>IF(Table1[[#This Row],[Std Read]]="","N/A",Table1[[#This Row],[Std Read]]+Table1[[#This Row],[Std Ucty]])</f>
        <v>N/A</v>
      </c>
      <c r="Z13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2" s="1" t="str">
        <f>IF(Table1[[#This Row],[Spec Type]]="","N/A",Table1[[#This Row],[Spec Type]])</f>
        <v>±</v>
      </c>
      <c r="AC1372" s="1" t="str">
        <f>IF(Table1[[#This Row],[Spec Type2]]="N/A","N/A",IF(AND(Table1[[#This Row],[DUT Adj Read]]&gt;=Table1[[#This Row],[Low Tol]],Table1[[#This Row],[DUT Adj Read]]&lt;=Table1[[#This Row],[High Tol]]),"Pass","Fail"))</f>
        <v>Fail</v>
      </c>
      <c r="AD1372" s="1" t="str">
        <f>IF(AND(Table1[[#This Row],[Spec Type2]]="N/A",Table1[[#This Row],[DUT Adj Read]]="N/A",Table1[[#This Row],[Std Adj Read]]="N/A"),"N/A",IF(Table1[[#This Row],[DUT Adj Read]]="N/A",IF(Table1[[#This Row],[Std Adj Read]]&gt;Table1[[#This Row],[Low Tol]],"Pass","Fail"),IF(Table1[[#This Row],[DUT Adj Read]]&gt;Table1[[#This Row],[Low Tol]],"Pass","Fail")))</f>
        <v>Pass</v>
      </c>
      <c r="AE1372" s="1" t="str">
        <f>IF(AND(Table1[[#This Row],[Spec Type2]]="N/A",Table1[[#This Row],[DUT Adj Read]]="N/A",Table1[[#This Row],[Std Adj Read]]="N/A"),"N/A",IF(Table1[[#This Row],[DUT Adj Read]]="N/A",IF(Table1[[#This Row],[Std Adj Read]]&lt;Table1[[#This Row],[High Tol]],"Pass","Fail"),IF(Table1[[#This Row],[DUT Adj Read]]&lt;Table1[[#This Row],[High Tol]],"Pass","Fail")))</f>
        <v>Fail</v>
      </c>
      <c r="AF1372" s="1" t="str">
        <f>IF(AND(Table1[[#This Row],[Spec Type2]]="N/A",Table1[[#This Row],[DUT Adj Read]]="N/A",Table1[[#This Row],[Std Adj Read]]="N/A"),"N/A",IF(Table1[[#This Row],[DUT Adj Read]]="N/A",IF(Table1[[#This Row],[Std Adj Read]]&gt;=Table1[[#This Row],[Low Tol]],"Pass","Fail"),IF(Table1[[#This Row],[DUT Adj Read]]&gt;=Table1[[#This Row],[Low Tol]],"Pass","Fail")))</f>
        <v>Pass</v>
      </c>
      <c r="AG1372" s="1" t="str">
        <f>IF(AND(Table1[[#This Row],[Spec Type2]]="N/A",Table1[[#This Row],[DUT Adj Read]]="N/A",Table1[[#This Row],[Std Adj Read]]="N/A"),"N/A",IF(Table1[[#This Row],[DUT Adj Read]]="N/A",IF(Table1[[#This Row],[Std Adj Read]]&lt;=Table1[[#This Row],[High Tol]],"Pass","Fail"),IF(Table1[[#This Row],[DUT Adj Read]]&lt;=Table1[[#This Row],[High Tol]],"Pass","Fail")))</f>
        <v>Fail</v>
      </c>
      <c r="AH13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2" s="1" t="b">
        <v>0</v>
      </c>
      <c r="AN1372" s="1" t="b">
        <v>0</v>
      </c>
      <c r="AO1372" s="1" t="b">
        <v>0</v>
      </c>
    </row>
    <row r="1373" spans="1:41" x14ac:dyDescent="0.25">
      <c r="A1373" s="10"/>
      <c r="B1373" s="10"/>
      <c r="C1373" s="10"/>
      <c r="D1373" s="10"/>
      <c r="E1373" s="10"/>
      <c r="F1373" s="10"/>
      <c r="G1373" s="10"/>
      <c r="H1373" s="10"/>
      <c r="I1373" s="1" t="str">
        <f t="shared" si="63"/>
        <v/>
      </c>
      <c r="J1373" s="1" t="s">
        <v>35</v>
      </c>
      <c r="K1373" s="1" t="str">
        <f t="shared" si="64"/>
        <v/>
      </c>
      <c r="L1373" s="1" t="str">
        <f t="shared" si="65"/>
        <v/>
      </c>
      <c r="M1373" s="1">
        <f>IF(OR(Table1[[#This Row],[Std Nom]]="",Table1[[#This Row],[Std Read]]=""),0,Table1[[#This Row],[Std Nom]]-Table1[[#This Row],[Std Read]])</f>
        <v>0</v>
      </c>
      <c r="N1373" s="1">
        <f>IF(Calculations!$F$5="ACCREDITED 17025 WITH UNCERTAINTIES",$N$10,0)</f>
        <v>0</v>
      </c>
      <c r="Q1373" s="1">
        <f>Table1[[#This Row],[High Tol]]-Table1[[#This Row],[Low Tol]]</f>
        <v>0</v>
      </c>
      <c r="R1373" s="1">
        <f>2*Table1[[#This Row],[Std Error]]</f>
        <v>0</v>
      </c>
      <c r="S1373" s="1" t="str">
        <f>IF(Table1[[#This Row],[High Tol]]="","N/A",IFERROR(ABS(Table1[[#This Row],[Tol Span]]/Table1[[#This Row],[Error Span]]),"N/A"))</f>
        <v>N/A</v>
      </c>
      <c r="T1373" s="1" t="str">
        <f>IF(OR(Table1[[#This Row],[Low Tol]]="",Table1[[#This Row],[High Tol]]=""),"Needs Analysis",IF(Table1[[#This Row],[Ratio]]&gt;=4,"Not Significant",IF(Table1[[#This Row],[Ratio]]&gt;=2,"Semi-Significant","Significant")))</f>
        <v>Needs Analysis</v>
      </c>
      <c r="W1373" s="1">
        <f>IF(Table1[[#This Row],[Cal Type]]&lt;&gt;"ACCREDITED 17025 WITH UNCERTAINTIES",0,"")</f>
        <v>0</v>
      </c>
      <c r="X1373" s="1" t="str">
        <f>IF(Table1[[#This Row],[DUT Read]]="","N/A",Table1[[#This Row],[Std Error]]+Table1[[#This Row],[DUT Read]]+Table1[[#This Row],[DUT Ucty]])</f>
        <v>N/A</v>
      </c>
      <c r="Y1373" s="1" t="str">
        <f>IF(Table1[[#This Row],[Std Read]]="","N/A",Table1[[#This Row],[Std Read]]+Table1[[#This Row],[Std Ucty]])</f>
        <v>N/A</v>
      </c>
      <c r="Z13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3" s="1" t="str">
        <f>IF(Table1[[#This Row],[Spec Type]]="","N/A",Table1[[#This Row],[Spec Type]])</f>
        <v>±</v>
      </c>
      <c r="AC1373" s="1" t="str">
        <f>IF(Table1[[#This Row],[Spec Type2]]="N/A","N/A",IF(AND(Table1[[#This Row],[DUT Adj Read]]&gt;=Table1[[#This Row],[Low Tol]],Table1[[#This Row],[DUT Adj Read]]&lt;=Table1[[#This Row],[High Tol]]),"Pass","Fail"))</f>
        <v>Fail</v>
      </c>
      <c r="AD1373" s="1" t="str">
        <f>IF(AND(Table1[[#This Row],[Spec Type2]]="N/A",Table1[[#This Row],[DUT Adj Read]]="N/A",Table1[[#This Row],[Std Adj Read]]="N/A"),"N/A",IF(Table1[[#This Row],[DUT Adj Read]]="N/A",IF(Table1[[#This Row],[Std Adj Read]]&gt;Table1[[#This Row],[Low Tol]],"Pass","Fail"),IF(Table1[[#This Row],[DUT Adj Read]]&gt;Table1[[#This Row],[Low Tol]],"Pass","Fail")))</f>
        <v>Pass</v>
      </c>
      <c r="AE1373" s="1" t="str">
        <f>IF(AND(Table1[[#This Row],[Spec Type2]]="N/A",Table1[[#This Row],[DUT Adj Read]]="N/A",Table1[[#This Row],[Std Adj Read]]="N/A"),"N/A",IF(Table1[[#This Row],[DUT Adj Read]]="N/A",IF(Table1[[#This Row],[Std Adj Read]]&lt;Table1[[#This Row],[High Tol]],"Pass","Fail"),IF(Table1[[#This Row],[DUT Adj Read]]&lt;Table1[[#This Row],[High Tol]],"Pass","Fail")))</f>
        <v>Fail</v>
      </c>
      <c r="AF1373" s="1" t="str">
        <f>IF(AND(Table1[[#This Row],[Spec Type2]]="N/A",Table1[[#This Row],[DUT Adj Read]]="N/A",Table1[[#This Row],[Std Adj Read]]="N/A"),"N/A",IF(Table1[[#This Row],[DUT Adj Read]]="N/A",IF(Table1[[#This Row],[Std Adj Read]]&gt;=Table1[[#This Row],[Low Tol]],"Pass","Fail"),IF(Table1[[#This Row],[DUT Adj Read]]&gt;=Table1[[#This Row],[Low Tol]],"Pass","Fail")))</f>
        <v>Pass</v>
      </c>
      <c r="AG1373" s="1" t="str">
        <f>IF(AND(Table1[[#This Row],[Spec Type2]]="N/A",Table1[[#This Row],[DUT Adj Read]]="N/A",Table1[[#This Row],[Std Adj Read]]="N/A"),"N/A",IF(Table1[[#This Row],[DUT Adj Read]]="N/A",IF(Table1[[#This Row],[Std Adj Read]]&lt;=Table1[[#This Row],[High Tol]],"Pass","Fail"),IF(Table1[[#This Row],[DUT Adj Read]]&lt;=Table1[[#This Row],[High Tol]],"Pass","Fail")))</f>
        <v>Fail</v>
      </c>
      <c r="AH13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3" s="1" t="b">
        <v>0</v>
      </c>
      <c r="AN1373" s="1" t="b">
        <v>0</v>
      </c>
      <c r="AO1373" s="1" t="b">
        <v>0</v>
      </c>
    </row>
    <row r="1374" spans="1:41" x14ac:dyDescent="0.25">
      <c r="A1374" s="10"/>
      <c r="B1374" s="10"/>
      <c r="C1374" s="10"/>
      <c r="D1374" s="10"/>
      <c r="E1374" s="10"/>
      <c r="F1374" s="10"/>
      <c r="G1374" s="10"/>
      <c r="H1374" s="10"/>
      <c r="I1374" s="1" t="str">
        <f t="shared" si="63"/>
        <v/>
      </c>
      <c r="J1374" s="1" t="s">
        <v>35</v>
      </c>
      <c r="K1374" s="1" t="str">
        <f t="shared" si="64"/>
        <v/>
      </c>
      <c r="L1374" s="1" t="str">
        <f t="shared" si="65"/>
        <v/>
      </c>
      <c r="M1374" s="1">
        <f>IF(OR(Table1[[#This Row],[Std Nom]]="",Table1[[#This Row],[Std Read]]=""),0,Table1[[#This Row],[Std Nom]]-Table1[[#This Row],[Std Read]])</f>
        <v>0</v>
      </c>
      <c r="N1374" s="1">
        <f>IF(Calculations!$F$5="ACCREDITED 17025 WITH UNCERTAINTIES",$N$10,0)</f>
        <v>0</v>
      </c>
      <c r="Q1374" s="1">
        <f>Table1[[#This Row],[High Tol]]-Table1[[#This Row],[Low Tol]]</f>
        <v>0</v>
      </c>
      <c r="R1374" s="1">
        <f>2*Table1[[#This Row],[Std Error]]</f>
        <v>0</v>
      </c>
      <c r="S1374" s="1" t="str">
        <f>IF(Table1[[#This Row],[High Tol]]="","N/A",IFERROR(ABS(Table1[[#This Row],[Tol Span]]/Table1[[#This Row],[Error Span]]),"N/A"))</f>
        <v>N/A</v>
      </c>
      <c r="T1374" s="1" t="str">
        <f>IF(OR(Table1[[#This Row],[Low Tol]]="",Table1[[#This Row],[High Tol]]=""),"Needs Analysis",IF(Table1[[#This Row],[Ratio]]&gt;=4,"Not Significant",IF(Table1[[#This Row],[Ratio]]&gt;=2,"Semi-Significant","Significant")))</f>
        <v>Needs Analysis</v>
      </c>
      <c r="W1374" s="1">
        <f>IF(Table1[[#This Row],[Cal Type]]&lt;&gt;"ACCREDITED 17025 WITH UNCERTAINTIES",0,"")</f>
        <v>0</v>
      </c>
      <c r="X1374" s="1" t="str">
        <f>IF(Table1[[#This Row],[DUT Read]]="","N/A",Table1[[#This Row],[Std Error]]+Table1[[#This Row],[DUT Read]]+Table1[[#This Row],[DUT Ucty]])</f>
        <v>N/A</v>
      </c>
      <c r="Y1374" s="1" t="str">
        <f>IF(Table1[[#This Row],[Std Read]]="","N/A",Table1[[#This Row],[Std Read]]+Table1[[#This Row],[Std Ucty]])</f>
        <v>N/A</v>
      </c>
      <c r="Z13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4" s="1" t="str">
        <f>IF(Table1[[#This Row],[Spec Type]]="","N/A",Table1[[#This Row],[Spec Type]])</f>
        <v>±</v>
      </c>
      <c r="AC1374" s="1" t="str">
        <f>IF(Table1[[#This Row],[Spec Type2]]="N/A","N/A",IF(AND(Table1[[#This Row],[DUT Adj Read]]&gt;=Table1[[#This Row],[Low Tol]],Table1[[#This Row],[DUT Adj Read]]&lt;=Table1[[#This Row],[High Tol]]),"Pass","Fail"))</f>
        <v>Fail</v>
      </c>
      <c r="AD1374" s="1" t="str">
        <f>IF(AND(Table1[[#This Row],[Spec Type2]]="N/A",Table1[[#This Row],[DUT Adj Read]]="N/A",Table1[[#This Row],[Std Adj Read]]="N/A"),"N/A",IF(Table1[[#This Row],[DUT Adj Read]]="N/A",IF(Table1[[#This Row],[Std Adj Read]]&gt;Table1[[#This Row],[Low Tol]],"Pass","Fail"),IF(Table1[[#This Row],[DUT Adj Read]]&gt;Table1[[#This Row],[Low Tol]],"Pass","Fail")))</f>
        <v>Pass</v>
      </c>
      <c r="AE1374" s="1" t="str">
        <f>IF(AND(Table1[[#This Row],[Spec Type2]]="N/A",Table1[[#This Row],[DUT Adj Read]]="N/A",Table1[[#This Row],[Std Adj Read]]="N/A"),"N/A",IF(Table1[[#This Row],[DUT Adj Read]]="N/A",IF(Table1[[#This Row],[Std Adj Read]]&lt;Table1[[#This Row],[High Tol]],"Pass","Fail"),IF(Table1[[#This Row],[DUT Adj Read]]&lt;Table1[[#This Row],[High Tol]],"Pass","Fail")))</f>
        <v>Fail</v>
      </c>
      <c r="AF1374" s="1" t="str">
        <f>IF(AND(Table1[[#This Row],[Spec Type2]]="N/A",Table1[[#This Row],[DUT Adj Read]]="N/A",Table1[[#This Row],[Std Adj Read]]="N/A"),"N/A",IF(Table1[[#This Row],[DUT Adj Read]]="N/A",IF(Table1[[#This Row],[Std Adj Read]]&gt;=Table1[[#This Row],[Low Tol]],"Pass","Fail"),IF(Table1[[#This Row],[DUT Adj Read]]&gt;=Table1[[#This Row],[Low Tol]],"Pass","Fail")))</f>
        <v>Pass</v>
      </c>
      <c r="AG1374" s="1" t="str">
        <f>IF(AND(Table1[[#This Row],[Spec Type2]]="N/A",Table1[[#This Row],[DUT Adj Read]]="N/A",Table1[[#This Row],[Std Adj Read]]="N/A"),"N/A",IF(Table1[[#This Row],[DUT Adj Read]]="N/A",IF(Table1[[#This Row],[Std Adj Read]]&lt;=Table1[[#This Row],[High Tol]],"Pass","Fail"),IF(Table1[[#This Row],[DUT Adj Read]]&lt;=Table1[[#This Row],[High Tol]],"Pass","Fail")))</f>
        <v>Fail</v>
      </c>
      <c r="AH13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4" s="1" t="b">
        <v>0</v>
      </c>
      <c r="AN1374" s="1" t="b">
        <v>0</v>
      </c>
      <c r="AO1374" s="1" t="b">
        <v>0</v>
      </c>
    </row>
    <row r="1375" spans="1:41" x14ac:dyDescent="0.25">
      <c r="A1375" s="10"/>
      <c r="B1375" s="10"/>
      <c r="C1375" s="10"/>
      <c r="D1375" s="10"/>
      <c r="E1375" s="10"/>
      <c r="F1375" s="10"/>
      <c r="G1375" s="10"/>
      <c r="H1375" s="10"/>
      <c r="I1375" s="1" t="str">
        <f t="shared" si="63"/>
        <v/>
      </c>
      <c r="J1375" s="1" t="s">
        <v>35</v>
      </c>
      <c r="K1375" s="1" t="str">
        <f t="shared" si="64"/>
        <v/>
      </c>
      <c r="L1375" s="1" t="str">
        <f t="shared" si="65"/>
        <v/>
      </c>
      <c r="M1375" s="1">
        <f>IF(OR(Table1[[#This Row],[Std Nom]]="",Table1[[#This Row],[Std Read]]=""),0,Table1[[#This Row],[Std Nom]]-Table1[[#This Row],[Std Read]])</f>
        <v>0</v>
      </c>
      <c r="N1375" s="1">
        <f>IF(Calculations!$F$5="ACCREDITED 17025 WITH UNCERTAINTIES",$N$10,0)</f>
        <v>0</v>
      </c>
      <c r="Q1375" s="1">
        <f>Table1[[#This Row],[High Tol]]-Table1[[#This Row],[Low Tol]]</f>
        <v>0</v>
      </c>
      <c r="R1375" s="1">
        <f>2*Table1[[#This Row],[Std Error]]</f>
        <v>0</v>
      </c>
      <c r="S1375" s="1" t="str">
        <f>IF(Table1[[#This Row],[High Tol]]="","N/A",IFERROR(ABS(Table1[[#This Row],[Tol Span]]/Table1[[#This Row],[Error Span]]),"N/A"))</f>
        <v>N/A</v>
      </c>
      <c r="T1375" s="1" t="str">
        <f>IF(OR(Table1[[#This Row],[Low Tol]]="",Table1[[#This Row],[High Tol]]=""),"Needs Analysis",IF(Table1[[#This Row],[Ratio]]&gt;=4,"Not Significant",IF(Table1[[#This Row],[Ratio]]&gt;=2,"Semi-Significant","Significant")))</f>
        <v>Needs Analysis</v>
      </c>
      <c r="W1375" s="1">
        <f>IF(Table1[[#This Row],[Cal Type]]&lt;&gt;"ACCREDITED 17025 WITH UNCERTAINTIES",0,"")</f>
        <v>0</v>
      </c>
      <c r="X1375" s="1" t="str">
        <f>IF(Table1[[#This Row],[DUT Read]]="","N/A",Table1[[#This Row],[Std Error]]+Table1[[#This Row],[DUT Read]]+Table1[[#This Row],[DUT Ucty]])</f>
        <v>N/A</v>
      </c>
      <c r="Y1375" s="1" t="str">
        <f>IF(Table1[[#This Row],[Std Read]]="","N/A",Table1[[#This Row],[Std Read]]+Table1[[#This Row],[Std Ucty]])</f>
        <v>N/A</v>
      </c>
      <c r="Z13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5" s="1" t="str">
        <f>IF(Table1[[#This Row],[Spec Type]]="","N/A",Table1[[#This Row],[Spec Type]])</f>
        <v>±</v>
      </c>
      <c r="AC1375" s="1" t="str">
        <f>IF(Table1[[#This Row],[Spec Type2]]="N/A","N/A",IF(AND(Table1[[#This Row],[DUT Adj Read]]&gt;=Table1[[#This Row],[Low Tol]],Table1[[#This Row],[DUT Adj Read]]&lt;=Table1[[#This Row],[High Tol]]),"Pass","Fail"))</f>
        <v>Fail</v>
      </c>
      <c r="AD1375" s="1" t="str">
        <f>IF(AND(Table1[[#This Row],[Spec Type2]]="N/A",Table1[[#This Row],[DUT Adj Read]]="N/A",Table1[[#This Row],[Std Adj Read]]="N/A"),"N/A",IF(Table1[[#This Row],[DUT Adj Read]]="N/A",IF(Table1[[#This Row],[Std Adj Read]]&gt;Table1[[#This Row],[Low Tol]],"Pass","Fail"),IF(Table1[[#This Row],[DUT Adj Read]]&gt;Table1[[#This Row],[Low Tol]],"Pass","Fail")))</f>
        <v>Pass</v>
      </c>
      <c r="AE1375" s="1" t="str">
        <f>IF(AND(Table1[[#This Row],[Spec Type2]]="N/A",Table1[[#This Row],[DUT Adj Read]]="N/A",Table1[[#This Row],[Std Adj Read]]="N/A"),"N/A",IF(Table1[[#This Row],[DUT Adj Read]]="N/A",IF(Table1[[#This Row],[Std Adj Read]]&lt;Table1[[#This Row],[High Tol]],"Pass","Fail"),IF(Table1[[#This Row],[DUT Adj Read]]&lt;Table1[[#This Row],[High Tol]],"Pass","Fail")))</f>
        <v>Fail</v>
      </c>
      <c r="AF1375" s="1" t="str">
        <f>IF(AND(Table1[[#This Row],[Spec Type2]]="N/A",Table1[[#This Row],[DUT Adj Read]]="N/A",Table1[[#This Row],[Std Adj Read]]="N/A"),"N/A",IF(Table1[[#This Row],[DUT Adj Read]]="N/A",IF(Table1[[#This Row],[Std Adj Read]]&gt;=Table1[[#This Row],[Low Tol]],"Pass","Fail"),IF(Table1[[#This Row],[DUT Adj Read]]&gt;=Table1[[#This Row],[Low Tol]],"Pass","Fail")))</f>
        <v>Pass</v>
      </c>
      <c r="AG1375" s="1" t="str">
        <f>IF(AND(Table1[[#This Row],[Spec Type2]]="N/A",Table1[[#This Row],[DUT Adj Read]]="N/A",Table1[[#This Row],[Std Adj Read]]="N/A"),"N/A",IF(Table1[[#This Row],[DUT Adj Read]]="N/A",IF(Table1[[#This Row],[Std Adj Read]]&lt;=Table1[[#This Row],[High Tol]],"Pass","Fail"),IF(Table1[[#This Row],[DUT Adj Read]]&lt;=Table1[[#This Row],[High Tol]],"Pass","Fail")))</f>
        <v>Fail</v>
      </c>
      <c r="AH13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5" s="1" t="b">
        <v>0</v>
      </c>
      <c r="AN1375" s="1" t="b">
        <v>0</v>
      </c>
      <c r="AO1375" s="1" t="b">
        <v>0</v>
      </c>
    </row>
    <row r="1376" spans="1:41" x14ac:dyDescent="0.25">
      <c r="A1376" s="10"/>
      <c r="B1376" s="10"/>
      <c r="C1376" s="10"/>
      <c r="D1376" s="10"/>
      <c r="E1376" s="10"/>
      <c r="F1376" s="10"/>
      <c r="G1376" s="10"/>
      <c r="H1376" s="10"/>
      <c r="I1376" s="1" t="str">
        <f t="shared" si="63"/>
        <v/>
      </c>
      <c r="J1376" s="1" t="s">
        <v>35</v>
      </c>
      <c r="K1376" s="1" t="str">
        <f t="shared" si="64"/>
        <v/>
      </c>
      <c r="L1376" s="1" t="str">
        <f t="shared" si="65"/>
        <v/>
      </c>
      <c r="M1376" s="1">
        <f>IF(OR(Table1[[#This Row],[Std Nom]]="",Table1[[#This Row],[Std Read]]=""),0,Table1[[#This Row],[Std Nom]]-Table1[[#This Row],[Std Read]])</f>
        <v>0</v>
      </c>
      <c r="N1376" s="1">
        <f>IF(Calculations!$F$5="ACCREDITED 17025 WITH UNCERTAINTIES",$N$10,0)</f>
        <v>0</v>
      </c>
      <c r="Q1376" s="1">
        <f>Table1[[#This Row],[High Tol]]-Table1[[#This Row],[Low Tol]]</f>
        <v>0</v>
      </c>
      <c r="R1376" s="1">
        <f>2*Table1[[#This Row],[Std Error]]</f>
        <v>0</v>
      </c>
      <c r="S1376" s="1" t="str">
        <f>IF(Table1[[#This Row],[High Tol]]="","N/A",IFERROR(ABS(Table1[[#This Row],[Tol Span]]/Table1[[#This Row],[Error Span]]),"N/A"))</f>
        <v>N/A</v>
      </c>
      <c r="T1376" s="1" t="str">
        <f>IF(OR(Table1[[#This Row],[Low Tol]]="",Table1[[#This Row],[High Tol]]=""),"Needs Analysis",IF(Table1[[#This Row],[Ratio]]&gt;=4,"Not Significant",IF(Table1[[#This Row],[Ratio]]&gt;=2,"Semi-Significant","Significant")))</f>
        <v>Needs Analysis</v>
      </c>
      <c r="W1376" s="1">
        <f>IF(Table1[[#This Row],[Cal Type]]&lt;&gt;"ACCREDITED 17025 WITH UNCERTAINTIES",0,"")</f>
        <v>0</v>
      </c>
      <c r="X1376" s="1" t="str">
        <f>IF(Table1[[#This Row],[DUT Read]]="","N/A",Table1[[#This Row],[Std Error]]+Table1[[#This Row],[DUT Read]]+Table1[[#This Row],[DUT Ucty]])</f>
        <v>N/A</v>
      </c>
      <c r="Y1376" s="1" t="str">
        <f>IF(Table1[[#This Row],[Std Read]]="","N/A",Table1[[#This Row],[Std Read]]+Table1[[#This Row],[Std Ucty]])</f>
        <v>N/A</v>
      </c>
      <c r="Z13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6" s="1" t="str">
        <f>IF(Table1[[#This Row],[Spec Type]]="","N/A",Table1[[#This Row],[Spec Type]])</f>
        <v>±</v>
      </c>
      <c r="AC1376" s="1" t="str">
        <f>IF(Table1[[#This Row],[Spec Type2]]="N/A","N/A",IF(AND(Table1[[#This Row],[DUT Adj Read]]&gt;=Table1[[#This Row],[Low Tol]],Table1[[#This Row],[DUT Adj Read]]&lt;=Table1[[#This Row],[High Tol]]),"Pass","Fail"))</f>
        <v>Fail</v>
      </c>
      <c r="AD1376" s="1" t="str">
        <f>IF(AND(Table1[[#This Row],[Spec Type2]]="N/A",Table1[[#This Row],[DUT Adj Read]]="N/A",Table1[[#This Row],[Std Adj Read]]="N/A"),"N/A",IF(Table1[[#This Row],[DUT Adj Read]]="N/A",IF(Table1[[#This Row],[Std Adj Read]]&gt;Table1[[#This Row],[Low Tol]],"Pass","Fail"),IF(Table1[[#This Row],[DUT Adj Read]]&gt;Table1[[#This Row],[Low Tol]],"Pass","Fail")))</f>
        <v>Pass</v>
      </c>
      <c r="AE1376" s="1" t="str">
        <f>IF(AND(Table1[[#This Row],[Spec Type2]]="N/A",Table1[[#This Row],[DUT Adj Read]]="N/A",Table1[[#This Row],[Std Adj Read]]="N/A"),"N/A",IF(Table1[[#This Row],[DUT Adj Read]]="N/A",IF(Table1[[#This Row],[Std Adj Read]]&lt;Table1[[#This Row],[High Tol]],"Pass","Fail"),IF(Table1[[#This Row],[DUT Adj Read]]&lt;Table1[[#This Row],[High Tol]],"Pass","Fail")))</f>
        <v>Fail</v>
      </c>
      <c r="AF1376" s="1" t="str">
        <f>IF(AND(Table1[[#This Row],[Spec Type2]]="N/A",Table1[[#This Row],[DUT Adj Read]]="N/A",Table1[[#This Row],[Std Adj Read]]="N/A"),"N/A",IF(Table1[[#This Row],[DUT Adj Read]]="N/A",IF(Table1[[#This Row],[Std Adj Read]]&gt;=Table1[[#This Row],[Low Tol]],"Pass","Fail"),IF(Table1[[#This Row],[DUT Adj Read]]&gt;=Table1[[#This Row],[Low Tol]],"Pass","Fail")))</f>
        <v>Pass</v>
      </c>
      <c r="AG1376" s="1" t="str">
        <f>IF(AND(Table1[[#This Row],[Spec Type2]]="N/A",Table1[[#This Row],[DUT Adj Read]]="N/A",Table1[[#This Row],[Std Adj Read]]="N/A"),"N/A",IF(Table1[[#This Row],[DUT Adj Read]]="N/A",IF(Table1[[#This Row],[Std Adj Read]]&lt;=Table1[[#This Row],[High Tol]],"Pass","Fail"),IF(Table1[[#This Row],[DUT Adj Read]]&lt;=Table1[[#This Row],[High Tol]],"Pass","Fail")))</f>
        <v>Fail</v>
      </c>
      <c r="AH13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6" s="1" t="b">
        <v>0</v>
      </c>
      <c r="AN1376" s="1" t="b">
        <v>0</v>
      </c>
      <c r="AO1376" s="1" t="b">
        <v>0</v>
      </c>
    </row>
    <row r="1377" spans="1:41" x14ac:dyDescent="0.25">
      <c r="A1377" s="10"/>
      <c r="B1377" s="10"/>
      <c r="C1377" s="10"/>
      <c r="D1377" s="10"/>
      <c r="E1377" s="10"/>
      <c r="F1377" s="10"/>
      <c r="G1377" s="10"/>
      <c r="H1377" s="10"/>
      <c r="I1377" s="1" t="str">
        <f t="shared" si="63"/>
        <v/>
      </c>
      <c r="J1377" s="1" t="s">
        <v>35</v>
      </c>
      <c r="K1377" s="1" t="str">
        <f t="shared" si="64"/>
        <v/>
      </c>
      <c r="L1377" s="1" t="str">
        <f t="shared" si="65"/>
        <v/>
      </c>
      <c r="M1377" s="1">
        <f>IF(OR(Table1[[#This Row],[Std Nom]]="",Table1[[#This Row],[Std Read]]=""),0,Table1[[#This Row],[Std Nom]]-Table1[[#This Row],[Std Read]])</f>
        <v>0</v>
      </c>
      <c r="N1377" s="1">
        <f>IF(Calculations!$F$5="ACCREDITED 17025 WITH UNCERTAINTIES",$N$10,0)</f>
        <v>0</v>
      </c>
      <c r="Q1377" s="1">
        <f>Table1[[#This Row],[High Tol]]-Table1[[#This Row],[Low Tol]]</f>
        <v>0</v>
      </c>
      <c r="R1377" s="1">
        <f>2*Table1[[#This Row],[Std Error]]</f>
        <v>0</v>
      </c>
      <c r="S1377" s="1" t="str">
        <f>IF(Table1[[#This Row],[High Tol]]="","N/A",IFERROR(ABS(Table1[[#This Row],[Tol Span]]/Table1[[#This Row],[Error Span]]),"N/A"))</f>
        <v>N/A</v>
      </c>
      <c r="T1377" s="1" t="str">
        <f>IF(OR(Table1[[#This Row],[Low Tol]]="",Table1[[#This Row],[High Tol]]=""),"Needs Analysis",IF(Table1[[#This Row],[Ratio]]&gt;=4,"Not Significant",IF(Table1[[#This Row],[Ratio]]&gt;=2,"Semi-Significant","Significant")))</f>
        <v>Needs Analysis</v>
      </c>
      <c r="W1377" s="1">
        <f>IF(Table1[[#This Row],[Cal Type]]&lt;&gt;"ACCREDITED 17025 WITH UNCERTAINTIES",0,"")</f>
        <v>0</v>
      </c>
      <c r="X1377" s="1" t="str">
        <f>IF(Table1[[#This Row],[DUT Read]]="","N/A",Table1[[#This Row],[Std Error]]+Table1[[#This Row],[DUT Read]]+Table1[[#This Row],[DUT Ucty]])</f>
        <v>N/A</v>
      </c>
      <c r="Y1377" s="1" t="str">
        <f>IF(Table1[[#This Row],[Std Read]]="","N/A",Table1[[#This Row],[Std Read]]+Table1[[#This Row],[Std Ucty]])</f>
        <v>N/A</v>
      </c>
      <c r="Z13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7" s="1" t="str">
        <f>IF(Table1[[#This Row],[Spec Type]]="","N/A",Table1[[#This Row],[Spec Type]])</f>
        <v>±</v>
      </c>
      <c r="AC1377" s="1" t="str">
        <f>IF(Table1[[#This Row],[Spec Type2]]="N/A","N/A",IF(AND(Table1[[#This Row],[DUT Adj Read]]&gt;=Table1[[#This Row],[Low Tol]],Table1[[#This Row],[DUT Adj Read]]&lt;=Table1[[#This Row],[High Tol]]),"Pass","Fail"))</f>
        <v>Fail</v>
      </c>
      <c r="AD1377" s="1" t="str">
        <f>IF(AND(Table1[[#This Row],[Spec Type2]]="N/A",Table1[[#This Row],[DUT Adj Read]]="N/A",Table1[[#This Row],[Std Adj Read]]="N/A"),"N/A",IF(Table1[[#This Row],[DUT Adj Read]]="N/A",IF(Table1[[#This Row],[Std Adj Read]]&gt;Table1[[#This Row],[Low Tol]],"Pass","Fail"),IF(Table1[[#This Row],[DUT Adj Read]]&gt;Table1[[#This Row],[Low Tol]],"Pass","Fail")))</f>
        <v>Pass</v>
      </c>
      <c r="AE1377" s="1" t="str">
        <f>IF(AND(Table1[[#This Row],[Spec Type2]]="N/A",Table1[[#This Row],[DUT Adj Read]]="N/A",Table1[[#This Row],[Std Adj Read]]="N/A"),"N/A",IF(Table1[[#This Row],[DUT Adj Read]]="N/A",IF(Table1[[#This Row],[Std Adj Read]]&lt;Table1[[#This Row],[High Tol]],"Pass","Fail"),IF(Table1[[#This Row],[DUT Adj Read]]&lt;Table1[[#This Row],[High Tol]],"Pass","Fail")))</f>
        <v>Fail</v>
      </c>
      <c r="AF1377" s="1" t="str">
        <f>IF(AND(Table1[[#This Row],[Spec Type2]]="N/A",Table1[[#This Row],[DUT Adj Read]]="N/A",Table1[[#This Row],[Std Adj Read]]="N/A"),"N/A",IF(Table1[[#This Row],[DUT Adj Read]]="N/A",IF(Table1[[#This Row],[Std Adj Read]]&gt;=Table1[[#This Row],[Low Tol]],"Pass","Fail"),IF(Table1[[#This Row],[DUT Adj Read]]&gt;=Table1[[#This Row],[Low Tol]],"Pass","Fail")))</f>
        <v>Pass</v>
      </c>
      <c r="AG1377" s="1" t="str">
        <f>IF(AND(Table1[[#This Row],[Spec Type2]]="N/A",Table1[[#This Row],[DUT Adj Read]]="N/A",Table1[[#This Row],[Std Adj Read]]="N/A"),"N/A",IF(Table1[[#This Row],[DUT Adj Read]]="N/A",IF(Table1[[#This Row],[Std Adj Read]]&lt;=Table1[[#This Row],[High Tol]],"Pass","Fail"),IF(Table1[[#This Row],[DUT Adj Read]]&lt;=Table1[[#This Row],[High Tol]],"Pass","Fail")))</f>
        <v>Fail</v>
      </c>
      <c r="AH13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7" s="1" t="b">
        <v>0</v>
      </c>
      <c r="AN1377" s="1" t="b">
        <v>0</v>
      </c>
      <c r="AO1377" s="1" t="b">
        <v>0</v>
      </c>
    </row>
    <row r="1378" spans="1:41" x14ac:dyDescent="0.25">
      <c r="A1378" s="10"/>
      <c r="B1378" s="10"/>
      <c r="C1378" s="10"/>
      <c r="D1378" s="10"/>
      <c r="E1378" s="10"/>
      <c r="F1378" s="10"/>
      <c r="G1378" s="10"/>
      <c r="H1378" s="10"/>
      <c r="I1378" s="1" t="str">
        <f t="shared" si="63"/>
        <v/>
      </c>
      <c r="J1378" s="1" t="s">
        <v>35</v>
      </c>
      <c r="K1378" s="1" t="str">
        <f t="shared" si="64"/>
        <v/>
      </c>
      <c r="L1378" s="1" t="str">
        <f t="shared" si="65"/>
        <v/>
      </c>
      <c r="M1378" s="1">
        <f>IF(OR(Table1[[#This Row],[Std Nom]]="",Table1[[#This Row],[Std Read]]=""),0,Table1[[#This Row],[Std Nom]]-Table1[[#This Row],[Std Read]])</f>
        <v>0</v>
      </c>
      <c r="N1378" s="1">
        <f>IF(Calculations!$F$5="ACCREDITED 17025 WITH UNCERTAINTIES",$N$10,0)</f>
        <v>0</v>
      </c>
      <c r="Q1378" s="1">
        <f>Table1[[#This Row],[High Tol]]-Table1[[#This Row],[Low Tol]]</f>
        <v>0</v>
      </c>
      <c r="R1378" s="1">
        <f>2*Table1[[#This Row],[Std Error]]</f>
        <v>0</v>
      </c>
      <c r="S1378" s="1" t="str">
        <f>IF(Table1[[#This Row],[High Tol]]="","N/A",IFERROR(ABS(Table1[[#This Row],[Tol Span]]/Table1[[#This Row],[Error Span]]),"N/A"))</f>
        <v>N/A</v>
      </c>
      <c r="T1378" s="1" t="str">
        <f>IF(OR(Table1[[#This Row],[Low Tol]]="",Table1[[#This Row],[High Tol]]=""),"Needs Analysis",IF(Table1[[#This Row],[Ratio]]&gt;=4,"Not Significant",IF(Table1[[#This Row],[Ratio]]&gt;=2,"Semi-Significant","Significant")))</f>
        <v>Needs Analysis</v>
      </c>
      <c r="W1378" s="1">
        <f>IF(Table1[[#This Row],[Cal Type]]&lt;&gt;"ACCREDITED 17025 WITH UNCERTAINTIES",0,"")</f>
        <v>0</v>
      </c>
      <c r="X1378" s="1" t="str">
        <f>IF(Table1[[#This Row],[DUT Read]]="","N/A",Table1[[#This Row],[Std Error]]+Table1[[#This Row],[DUT Read]]+Table1[[#This Row],[DUT Ucty]])</f>
        <v>N/A</v>
      </c>
      <c r="Y1378" s="1" t="str">
        <f>IF(Table1[[#This Row],[Std Read]]="","N/A",Table1[[#This Row],[Std Read]]+Table1[[#This Row],[Std Ucty]])</f>
        <v>N/A</v>
      </c>
      <c r="Z13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8" s="1" t="str">
        <f>IF(Table1[[#This Row],[Spec Type]]="","N/A",Table1[[#This Row],[Spec Type]])</f>
        <v>±</v>
      </c>
      <c r="AC1378" s="1" t="str">
        <f>IF(Table1[[#This Row],[Spec Type2]]="N/A","N/A",IF(AND(Table1[[#This Row],[DUT Adj Read]]&gt;=Table1[[#This Row],[Low Tol]],Table1[[#This Row],[DUT Adj Read]]&lt;=Table1[[#This Row],[High Tol]]),"Pass","Fail"))</f>
        <v>Fail</v>
      </c>
      <c r="AD1378" s="1" t="str">
        <f>IF(AND(Table1[[#This Row],[Spec Type2]]="N/A",Table1[[#This Row],[DUT Adj Read]]="N/A",Table1[[#This Row],[Std Adj Read]]="N/A"),"N/A",IF(Table1[[#This Row],[DUT Adj Read]]="N/A",IF(Table1[[#This Row],[Std Adj Read]]&gt;Table1[[#This Row],[Low Tol]],"Pass","Fail"),IF(Table1[[#This Row],[DUT Adj Read]]&gt;Table1[[#This Row],[Low Tol]],"Pass","Fail")))</f>
        <v>Pass</v>
      </c>
      <c r="AE1378" s="1" t="str">
        <f>IF(AND(Table1[[#This Row],[Spec Type2]]="N/A",Table1[[#This Row],[DUT Adj Read]]="N/A",Table1[[#This Row],[Std Adj Read]]="N/A"),"N/A",IF(Table1[[#This Row],[DUT Adj Read]]="N/A",IF(Table1[[#This Row],[Std Adj Read]]&lt;Table1[[#This Row],[High Tol]],"Pass","Fail"),IF(Table1[[#This Row],[DUT Adj Read]]&lt;Table1[[#This Row],[High Tol]],"Pass","Fail")))</f>
        <v>Fail</v>
      </c>
      <c r="AF1378" s="1" t="str">
        <f>IF(AND(Table1[[#This Row],[Spec Type2]]="N/A",Table1[[#This Row],[DUT Adj Read]]="N/A",Table1[[#This Row],[Std Adj Read]]="N/A"),"N/A",IF(Table1[[#This Row],[DUT Adj Read]]="N/A",IF(Table1[[#This Row],[Std Adj Read]]&gt;=Table1[[#This Row],[Low Tol]],"Pass","Fail"),IF(Table1[[#This Row],[DUT Adj Read]]&gt;=Table1[[#This Row],[Low Tol]],"Pass","Fail")))</f>
        <v>Pass</v>
      </c>
      <c r="AG1378" s="1" t="str">
        <f>IF(AND(Table1[[#This Row],[Spec Type2]]="N/A",Table1[[#This Row],[DUT Adj Read]]="N/A",Table1[[#This Row],[Std Adj Read]]="N/A"),"N/A",IF(Table1[[#This Row],[DUT Adj Read]]="N/A",IF(Table1[[#This Row],[Std Adj Read]]&lt;=Table1[[#This Row],[High Tol]],"Pass","Fail"),IF(Table1[[#This Row],[DUT Adj Read]]&lt;=Table1[[#This Row],[High Tol]],"Pass","Fail")))</f>
        <v>Fail</v>
      </c>
      <c r="AH13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8" s="1" t="b">
        <v>0</v>
      </c>
      <c r="AN1378" s="1" t="b">
        <v>0</v>
      </c>
      <c r="AO1378" s="1" t="b">
        <v>0</v>
      </c>
    </row>
    <row r="1379" spans="1:41" x14ac:dyDescent="0.25">
      <c r="A1379" s="10"/>
      <c r="B1379" s="10"/>
      <c r="C1379" s="10"/>
      <c r="D1379" s="10"/>
      <c r="E1379" s="10"/>
      <c r="F1379" s="10"/>
      <c r="G1379" s="10"/>
      <c r="H1379" s="10"/>
      <c r="I1379" s="1" t="str">
        <f t="shared" si="63"/>
        <v/>
      </c>
      <c r="J1379" s="1" t="s">
        <v>35</v>
      </c>
      <c r="K1379" s="1" t="str">
        <f t="shared" si="64"/>
        <v/>
      </c>
      <c r="L1379" s="1" t="str">
        <f t="shared" si="65"/>
        <v/>
      </c>
      <c r="M1379" s="1">
        <f>IF(OR(Table1[[#This Row],[Std Nom]]="",Table1[[#This Row],[Std Read]]=""),0,Table1[[#This Row],[Std Nom]]-Table1[[#This Row],[Std Read]])</f>
        <v>0</v>
      </c>
      <c r="N1379" s="1">
        <f>IF(Calculations!$F$5="ACCREDITED 17025 WITH UNCERTAINTIES",$N$10,0)</f>
        <v>0</v>
      </c>
      <c r="Q1379" s="1">
        <f>Table1[[#This Row],[High Tol]]-Table1[[#This Row],[Low Tol]]</f>
        <v>0</v>
      </c>
      <c r="R1379" s="1">
        <f>2*Table1[[#This Row],[Std Error]]</f>
        <v>0</v>
      </c>
      <c r="S1379" s="1" t="str">
        <f>IF(Table1[[#This Row],[High Tol]]="","N/A",IFERROR(ABS(Table1[[#This Row],[Tol Span]]/Table1[[#This Row],[Error Span]]),"N/A"))</f>
        <v>N/A</v>
      </c>
      <c r="T1379" s="1" t="str">
        <f>IF(OR(Table1[[#This Row],[Low Tol]]="",Table1[[#This Row],[High Tol]]=""),"Needs Analysis",IF(Table1[[#This Row],[Ratio]]&gt;=4,"Not Significant",IF(Table1[[#This Row],[Ratio]]&gt;=2,"Semi-Significant","Significant")))</f>
        <v>Needs Analysis</v>
      </c>
      <c r="W1379" s="1">
        <f>IF(Table1[[#This Row],[Cal Type]]&lt;&gt;"ACCREDITED 17025 WITH UNCERTAINTIES",0,"")</f>
        <v>0</v>
      </c>
      <c r="X1379" s="1" t="str">
        <f>IF(Table1[[#This Row],[DUT Read]]="","N/A",Table1[[#This Row],[Std Error]]+Table1[[#This Row],[DUT Read]]+Table1[[#This Row],[DUT Ucty]])</f>
        <v>N/A</v>
      </c>
      <c r="Y1379" s="1" t="str">
        <f>IF(Table1[[#This Row],[Std Read]]="","N/A",Table1[[#This Row],[Std Read]]+Table1[[#This Row],[Std Ucty]])</f>
        <v>N/A</v>
      </c>
      <c r="Z13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79" s="1" t="str">
        <f>IF(Table1[[#This Row],[Spec Type]]="","N/A",Table1[[#This Row],[Spec Type]])</f>
        <v>±</v>
      </c>
      <c r="AC1379" s="1" t="str">
        <f>IF(Table1[[#This Row],[Spec Type2]]="N/A","N/A",IF(AND(Table1[[#This Row],[DUT Adj Read]]&gt;=Table1[[#This Row],[Low Tol]],Table1[[#This Row],[DUT Adj Read]]&lt;=Table1[[#This Row],[High Tol]]),"Pass","Fail"))</f>
        <v>Fail</v>
      </c>
      <c r="AD1379" s="1" t="str">
        <f>IF(AND(Table1[[#This Row],[Spec Type2]]="N/A",Table1[[#This Row],[DUT Adj Read]]="N/A",Table1[[#This Row],[Std Adj Read]]="N/A"),"N/A",IF(Table1[[#This Row],[DUT Adj Read]]="N/A",IF(Table1[[#This Row],[Std Adj Read]]&gt;Table1[[#This Row],[Low Tol]],"Pass","Fail"),IF(Table1[[#This Row],[DUT Adj Read]]&gt;Table1[[#This Row],[Low Tol]],"Pass","Fail")))</f>
        <v>Pass</v>
      </c>
      <c r="AE1379" s="1" t="str">
        <f>IF(AND(Table1[[#This Row],[Spec Type2]]="N/A",Table1[[#This Row],[DUT Adj Read]]="N/A",Table1[[#This Row],[Std Adj Read]]="N/A"),"N/A",IF(Table1[[#This Row],[DUT Adj Read]]="N/A",IF(Table1[[#This Row],[Std Adj Read]]&lt;Table1[[#This Row],[High Tol]],"Pass","Fail"),IF(Table1[[#This Row],[DUT Adj Read]]&lt;Table1[[#This Row],[High Tol]],"Pass","Fail")))</f>
        <v>Fail</v>
      </c>
      <c r="AF1379" s="1" t="str">
        <f>IF(AND(Table1[[#This Row],[Spec Type2]]="N/A",Table1[[#This Row],[DUT Adj Read]]="N/A",Table1[[#This Row],[Std Adj Read]]="N/A"),"N/A",IF(Table1[[#This Row],[DUT Adj Read]]="N/A",IF(Table1[[#This Row],[Std Adj Read]]&gt;=Table1[[#This Row],[Low Tol]],"Pass","Fail"),IF(Table1[[#This Row],[DUT Adj Read]]&gt;=Table1[[#This Row],[Low Tol]],"Pass","Fail")))</f>
        <v>Pass</v>
      </c>
      <c r="AG1379" s="1" t="str">
        <f>IF(AND(Table1[[#This Row],[Spec Type2]]="N/A",Table1[[#This Row],[DUT Adj Read]]="N/A",Table1[[#This Row],[Std Adj Read]]="N/A"),"N/A",IF(Table1[[#This Row],[DUT Adj Read]]="N/A",IF(Table1[[#This Row],[Std Adj Read]]&lt;=Table1[[#This Row],[High Tol]],"Pass","Fail"),IF(Table1[[#This Row],[DUT Adj Read]]&lt;=Table1[[#This Row],[High Tol]],"Pass","Fail")))</f>
        <v>Fail</v>
      </c>
      <c r="AH13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79" s="1" t="b">
        <v>0</v>
      </c>
      <c r="AN1379" s="1" t="b">
        <v>0</v>
      </c>
      <c r="AO1379" s="1" t="b">
        <v>0</v>
      </c>
    </row>
    <row r="1380" spans="1:41" x14ac:dyDescent="0.25">
      <c r="A1380" s="10"/>
      <c r="B1380" s="10"/>
      <c r="C1380" s="10"/>
      <c r="D1380" s="10"/>
      <c r="E1380" s="10"/>
      <c r="F1380" s="10"/>
      <c r="G1380" s="10"/>
      <c r="H1380" s="10"/>
      <c r="I1380" s="1" t="str">
        <f t="shared" si="63"/>
        <v/>
      </c>
      <c r="J1380" s="1" t="s">
        <v>35</v>
      </c>
      <c r="K1380" s="1" t="str">
        <f t="shared" si="64"/>
        <v/>
      </c>
      <c r="L1380" s="1" t="str">
        <f t="shared" si="65"/>
        <v/>
      </c>
      <c r="M1380" s="1">
        <f>IF(OR(Table1[[#This Row],[Std Nom]]="",Table1[[#This Row],[Std Read]]=""),0,Table1[[#This Row],[Std Nom]]-Table1[[#This Row],[Std Read]])</f>
        <v>0</v>
      </c>
      <c r="N1380" s="1">
        <f>IF(Calculations!$F$5="ACCREDITED 17025 WITH UNCERTAINTIES",$N$10,0)</f>
        <v>0</v>
      </c>
      <c r="Q1380" s="1">
        <f>Table1[[#This Row],[High Tol]]-Table1[[#This Row],[Low Tol]]</f>
        <v>0</v>
      </c>
      <c r="R1380" s="1">
        <f>2*Table1[[#This Row],[Std Error]]</f>
        <v>0</v>
      </c>
      <c r="S1380" s="1" t="str">
        <f>IF(Table1[[#This Row],[High Tol]]="","N/A",IFERROR(ABS(Table1[[#This Row],[Tol Span]]/Table1[[#This Row],[Error Span]]),"N/A"))</f>
        <v>N/A</v>
      </c>
      <c r="T1380" s="1" t="str">
        <f>IF(OR(Table1[[#This Row],[Low Tol]]="",Table1[[#This Row],[High Tol]]=""),"Needs Analysis",IF(Table1[[#This Row],[Ratio]]&gt;=4,"Not Significant",IF(Table1[[#This Row],[Ratio]]&gt;=2,"Semi-Significant","Significant")))</f>
        <v>Needs Analysis</v>
      </c>
      <c r="W1380" s="1">
        <f>IF(Table1[[#This Row],[Cal Type]]&lt;&gt;"ACCREDITED 17025 WITH UNCERTAINTIES",0,"")</f>
        <v>0</v>
      </c>
      <c r="X1380" s="1" t="str">
        <f>IF(Table1[[#This Row],[DUT Read]]="","N/A",Table1[[#This Row],[Std Error]]+Table1[[#This Row],[DUT Read]]+Table1[[#This Row],[DUT Ucty]])</f>
        <v>N/A</v>
      </c>
      <c r="Y1380" s="1" t="str">
        <f>IF(Table1[[#This Row],[Std Read]]="","N/A",Table1[[#This Row],[Std Read]]+Table1[[#This Row],[Std Ucty]])</f>
        <v>N/A</v>
      </c>
      <c r="Z13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0" s="1" t="str">
        <f>IF(Table1[[#This Row],[Spec Type]]="","N/A",Table1[[#This Row],[Spec Type]])</f>
        <v>±</v>
      </c>
      <c r="AC1380" s="1" t="str">
        <f>IF(Table1[[#This Row],[Spec Type2]]="N/A","N/A",IF(AND(Table1[[#This Row],[DUT Adj Read]]&gt;=Table1[[#This Row],[Low Tol]],Table1[[#This Row],[DUT Adj Read]]&lt;=Table1[[#This Row],[High Tol]]),"Pass","Fail"))</f>
        <v>Fail</v>
      </c>
      <c r="AD1380" s="1" t="str">
        <f>IF(AND(Table1[[#This Row],[Spec Type2]]="N/A",Table1[[#This Row],[DUT Adj Read]]="N/A",Table1[[#This Row],[Std Adj Read]]="N/A"),"N/A",IF(Table1[[#This Row],[DUT Adj Read]]="N/A",IF(Table1[[#This Row],[Std Adj Read]]&gt;Table1[[#This Row],[Low Tol]],"Pass","Fail"),IF(Table1[[#This Row],[DUT Adj Read]]&gt;Table1[[#This Row],[Low Tol]],"Pass","Fail")))</f>
        <v>Pass</v>
      </c>
      <c r="AE1380" s="1" t="str">
        <f>IF(AND(Table1[[#This Row],[Spec Type2]]="N/A",Table1[[#This Row],[DUT Adj Read]]="N/A",Table1[[#This Row],[Std Adj Read]]="N/A"),"N/A",IF(Table1[[#This Row],[DUT Adj Read]]="N/A",IF(Table1[[#This Row],[Std Adj Read]]&lt;Table1[[#This Row],[High Tol]],"Pass","Fail"),IF(Table1[[#This Row],[DUT Adj Read]]&lt;Table1[[#This Row],[High Tol]],"Pass","Fail")))</f>
        <v>Fail</v>
      </c>
      <c r="AF1380" s="1" t="str">
        <f>IF(AND(Table1[[#This Row],[Spec Type2]]="N/A",Table1[[#This Row],[DUT Adj Read]]="N/A",Table1[[#This Row],[Std Adj Read]]="N/A"),"N/A",IF(Table1[[#This Row],[DUT Adj Read]]="N/A",IF(Table1[[#This Row],[Std Adj Read]]&gt;=Table1[[#This Row],[Low Tol]],"Pass","Fail"),IF(Table1[[#This Row],[DUT Adj Read]]&gt;=Table1[[#This Row],[Low Tol]],"Pass","Fail")))</f>
        <v>Pass</v>
      </c>
      <c r="AG1380" s="1" t="str">
        <f>IF(AND(Table1[[#This Row],[Spec Type2]]="N/A",Table1[[#This Row],[DUT Adj Read]]="N/A",Table1[[#This Row],[Std Adj Read]]="N/A"),"N/A",IF(Table1[[#This Row],[DUT Adj Read]]="N/A",IF(Table1[[#This Row],[Std Adj Read]]&lt;=Table1[[#This Row],[High Tol]],"Pass","Fail"),IF(Table1[[#This Row],[DUT Adj Read]]&lt;=Table1[[#This Row],[High Tol]],"Pass","Fail")))</f>
        <v>Fail</v>
      </c>
      <c r="AH13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0" s="1" t="b">
        <v>0</v>
      </c>
      <c r="AN1380" s="1" t="b">
        <v>0</v>
      </c>
      <c r="AO1380" s="1" t="b">
        <v>0</v>
      </c>
    </row>
    <row r="1381" spans="1:41" x14ac:dyDescent="0.25">
      <c r="A1381" s="10"/>
      <c r="B1381" s="10"/>
      <c r="C1381" s="10"/>
      <c r="D1381" s="10"/>
      <c r="E1381" s="10"/>
      <c r="F1381" s="10"/>
      <c r="G1381" s="10"/>
      <c r="H1381" s="10"/>
      <c r="I1381" s="1" t="str">
        <f t="shared" si="63"/>
        <v/>
      </c>
      <c r="J1381" s="1" t="s">
        <v>35</v>
      </c>
      <c r="K1381" s="1" t="str">
        <f t="shared" si="64"/>
        <v/>
      </c>
      <c r="L1381" s="1" t="str">
        <f t="shared" si="65"/>
        <v/>
      </c>
      <c r="M1381" s="1">
        <f>IF(OR(Table1[[#This Row],[Std Nom]]="",Table1[[#This Row],[Std Read]]=""),0,Table1[[#This Row],[Std Nom]]-Table1[[#This Row],[Std Read]])</f>
        <v>0</v>
      </c>
      <c r="N1381" s="1">
        <f>IF(Calculations!$F$5="ACCREDITED 17025 WITH UNCERTAINTIES",$N$10,0)</f>
        <v>0</v>
      </c>
      <c r="Q1381" s="1">
        <f>Table1[[#This Row],[High Tol]]-Table1[[#This Row],[Low Tol]]</f>
        <v>0</v>
      </c>
      <c r="R1381" s="1">
        <f>2*Table1[[#This Row],[Std Error]]</f>
        <v>0</v>
      </c>
      <c r="S1381" s="1" t="str">
        <f>IF(Table1[[#This Row],[High Tol]]="","N/A",IFERROR(ABS(Table1[[#This Row],[Tol Span]]/Table1[[#This Row],[Error Span]]),"N/A"))</f>
        <v>N/A</v>
      </c>
      <c r="T1381" s="1" t="str">
        <f>IF(OR(Table1[[#This Row],[Low Tol]]="",Table1[[#This Row],[High Tol]]=""),"Needs Analysis",IF(Table1[[#This Row],[Ratio]]&gt;=4,"Not Significant",IF(Table1[[#This Row],[Ratio]]&gt;=2,"Semi-Significant","Significant")))</f>
        <v>Needs Analysis</v>
      </c>
      <c r="W1381" s="1">
        <f>IF(Table1[[#This Row],[Cal Type]]&lt;&gt;"ACCREDITED 17025 WITH UNCERTAINTIES",0,"")</f>
        <v>0</v>
      </c>
      <c r="X1381" s="1" t="str">
        <f>IF(Table1[[#This Row],[DUT Read]]="","N/A",Table1[[#This Row],[Std Error]]+Table1[[#This Row],[DUT Read]]+Table1[[#This Row],[DUT Ucty]])</f>
        <v>N/A</v>
      </c>
      <c r="Y1381" s="1" t="str">
        <f>IF(Table1[[#This Row],[Std Read]]="","N/A",Table1[[#This Row],[Std Read]]+Table1[[#This Row],[Std Ucty]])</f>
        <v>N/A</v>
      </c>
      <c r="Z13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1" s="1" t="str">
        <f>IF(Table1[[#This Row],[Spec Type]]="","N/A",Table1[[#This Row],[Spec Type]])</f>
        <v>±</v>
      </c>
      <c r="AC1381" s="1" t="str">
        <f>IF(Table1[[#This Row],[Spec Type2]]="N/A","N/A",IF(AND(Table1[[#This Row],[DUT Adj Read]]&gt;=Table1[[#This Row],[Low Tol]],Table1[[#This Row],[DUT Adj Read]]&lt;=Table1[[#This Row],[High Tol]]),"Pass","Fail"))</f>
        <v>Fail</v>
      </c>
      <c r="AD1381" s="1" t="str">
        <f>IF(AND(Table1[[#This Row],[Spec Type2]]="N/A",Table1[[#This Row],[DUT Adj Read]]="N/A",Table1[[#This Row],[Std Adj Read]]="N/A"),"N/A",IF(Table1[[#This Row],[DUT Adj Read]]="N/A",IF(Table1[[#This Row],[Std Adj Read]]&gt;Table1[[#This Row],[Low Tol]],"Pass","Fail"),IF(Table1[[#This Row],[DUT Adj Read]]&gt;Table1[[#This Row],[Low Tol]],"Pass","Fail")))</f>
        <v>Pass</v>
      </c>
      <c r="AE1381" s="1" t="str">
        <f>IF(AND(Table1[[#This Row],[Spec Type2]]="N/A",Table1[[#This Row],[DUT Adj Read]]="N/A",Table1[[#This Row],[Std Adj Read]]="N/A"),"N/A",IF(Table1[[#This Row],[DUT Adj Read]]="N/A",IF(Table1[[#This Row],[Std Adj Read]]&lt;Table1[[#This Row],[High Tol]],"Pass","Fail"),IF(Table1[[#This Row],[DUT Adj Read]]&lt;Table1[[#This Row],[High Tol]],"Pass","Fail")))</f>
        <v>Fail</v>
      </c>
      <c r="AF1381" s="1" t="str">
        <f>IF(AND(Table1[[#This Row],[Spec Type2]]="N/A",Table1[[#This Row],[DUT Adj Read]]="N/A",Table1[[#This Row],[Std Adj Read]]="N/A"),"N/A",IF(Table1[[#This Row],[DUT Adj Read]]="N/A",IF(Table1[[#This Row],[Std Adj Read]]&gt;=Table1[[#This Row],[Low Tol]],"Pass","Fail"),IF(Table1[[#This Row],[DUT Adj Read]]&gt;=Table1[[#This Row],[Low Tol]],"Pass","Fail")))</f>
        <v>Pass</v>
      </c>
      <c r="AG1381" s="1" t="str">
        <f>IF(AND(Table1[[#This Row],[Spec Type2]]="N/A",Table1[[#This Row],[DUT Adj Read]]="N/A",Table1[[#This Row],[Std Adj Read]]="N/A"),"N/A",IF(Table1[[#This Row],[DUT Adj Read]]="N/A",IF(Table1[[#This Row],[Std Adj Read]]&lt;=Table1[[#This Row],[High Tol]],"Pass","Fail"),IF(Table1[[#This Row],[DUT Adj Read]]&lt;=Table1[[#This Row],[High Tol]],"Pass","Fail")))</f>
        <v>Fail</v>
      </c>
      <c r="AH13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1" s="1" t="b">
        <v>0</v>
      </c>
      <c r="AN1381" s="1" t="b">
        <v>0</v>
      </c>
      <c r="AO1381" s="1" t="b">
        <v>0</v>
      </c>
    </row>
    <row r="1382" spans="1:41" x14ac:dyDescent="0.25">
      <c r="A1382" s="10"/>
      <c r="B1382" s="10"/>
      <c r="C1382" s="10"/>
      <c r="D1382" s="10"/>
      <c r="E1382" s="10"/>
      <c r="F1382" s="10"/>
      <c r="G1382" s="10"/>
      <c r="H1382" s="10"/>
      <c r="I1382" s="1" t="str">
        <f t="shared" si="63"/>
        <v/>
      </c>
      <c r="J1382" s="1" t="s">
        <v>35</v>
      </c>
      <c r="K1382" s="1" t="str">
        <f t="shared" si="64"/>
        <v/>
      </c>
      <c r="L1382" s="1" t="str">
        <f t="shared" si="65"/>
        <v/>
      </c>
      <c r="M1382" s="1">
        <f>IF(OR(Table1[[#This Row],[Std Nom]]="",Table1[[#This Row],[Std Read]]=""),0,Table1[[#This Row],[Std Nom]]-Table1[[#This Row],[Std Read]])</f>
        <v>0</v>
      </c>
      <c r="N1382" s="1">
        <f>IF(Calculations!$F$5="ACCREDITED 17025 WITH UNCERTAINTIES",$N$10,0)</f>
        <v>0</v>
      </c>
      <c r="Q1382" s="1">
        <f>Table1[[#This Row],[High Tol]]-Table1[[#This Row],[Low Tol]]</f>
        <v>0</v>
      </c>
      <c r="R1382" s="1">
        <f>2*Table1[[#This Row],[Std Error]]</f>
        <v>0</v>
      </c>
      <c r="S1382" s="1" t="str">
        <f>IF(Table1[[#This Row],[High Tol]]="","N/A",IFERROR(ABS(Table1[[#This Row],[Tol Span]]/Table1[[#This Row],[Error Span]]),"N/A"))</f>
        <v>N/A</v>
      </c>
      <c r="T1382" s="1" t="str">
        <f>IF(OR(Table1[[#This Row],[Low Tol]]="",Table1[[#This Row],[High Tol]]=""),"Needs Analysis",IF(Table1[[#This Row],[Ratio]]&gt;=4,"Not Significant",IF(Table1[[#This Row],[Ratio]]&gt;=2,"Semi-Significant","Significant")))</f>
        <v>Needs Analysis</v>
      </c>
      <c r="W1382" s="1">
        <f>IF(Table1[[#This Row],[Cal Type]]&lt;&gt;"ACCREDITED 17025 WITH UNCERTAINTIES",0,"")</f>
        <v>0</v>
      </c>
      <c r="X1382" s="1" t="str">
        <f>IF(Table1[[#This Row],[DUT Read]]="","N/A",Table1[[#This Row],[Std Error]]+Table1[[#This Row],[DUT Read]]+Table1[[#This Row],[DUT Ucty]])</f>
        <v>N/A</v>
      </c>
      <c r="Y1382" s="1" t="str">
        <f>IF(Table1[[#This Row],[Std Read]]="","N/A",Table1[[#This Row],[Std Read]]+Table1[[#This Row],[Std Ucty]])</f>
        <v>N/A</v>
      </c>
      <c r="Z13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2" s="1" t="str">
        <f>IF(Table1[[#This Row],[Spec Type]]="","N/A",Table1[[#This Row],[Spec Type]])</f>
        <v>±</v>
      </c>
      <c r="AC1382" s="1" t="str">
        <f>IF(Table1[[#This Row],[Spec Type2]]="N/A","N/A",IF(AND(Table1[[#This Row],[DUT Adj Read]]&gt;=Table1[[#This Row],[Low Tol]],Table1[[#This Row],[DUT Adj Read]]&lt;=Table1[[#This Row],[High Tol]]),"Pass","Fail"))</f>
        <v>Fail</v>
      </c>
      <c r="AD1382" s="1" t="str">
        <f>IF(AND(Table1[[#This Row],[Spec Type2]]="N/A",Table1[[#This Row],[DUT Adj Read]]="N/A",Table1[[#This Row],[Std Adj Read]]="N/A"),"N/A",IF(Table1[[#This Row],[DUT Adj Read]]="N/A",IF(Table1[[#This Row],[Std Adj Read]]&gt;Table1[[#This Row],[Low Tol]],"Pass","Fail"),IF(Table1[[#This Row],[DUT Adj Read]]&gt;Table1[[#This Row],[Low Tol]],"Pass","Fail")))</f>
        <v>Pass</v>
      </c>
      <c r="AE1382" s="1" t="str">
        <f>IF(AND(Table1[[#This Row],[Spec Type2]]="N/A",Table1[[#This Row],[DUT Adj Read]]="N/A",Table1[[#This Row],[Std Adj Read]]="N/A"),"N/A",IF(Table1[[#This Row],[DUT Adj Read]]="N/A",IF(Table1[[#This Row],[Std Adj Read]]&lt;Table1[[#This Row],[High Tol]],"Pass","Fail"),IF(Table1[[#This Row],[DUT Adj Read]]&lt;Table1[[#This Row],[High Tol]],"Pass","Fail")))</f>
        <v>Fail</v>
      </c>
      <c r="AF1382" s="1" t="str">
        <f>IF(AND(Table1[[#This Row],[Spec Type2]]="N/A",Table1[[#This Row],[DUT Adj Read]]="N/A",Table1[[#This Row],[Std Adj Read]]="N/A"),"N/A",IF(Table1[[#This Row],[DUT Adj Read]]="N/A",IF(Table1[[#This Row],[Std Adj Read]]&gt;=Table1[[#This Row],[Low Tol]],"Pass","Fail"),IF(Table1[[#This Row],[DUT Adj Read]]&gt;=Table1[[#This Row],[Low Tol]],"Pass","Fail")))</f>
        <v>Pass</v>
      </c>
      <c r="AG1382" s="1" t="str">
        <f>IF(AND(Table1[[#This Row],[Spec Type2]]="N/A",Table1[[#This Row],[DUT Adj Read]]="N/A",Table1[[#This Row],[Std Adj Read]]="N/A"),"N/A",IF(Table1[[#This Row],[DUT Adj Read]]="N/A",IF(Table1[[#This Row],[Std Adj Read]]&lt;=Table1[[#This Row],[High Tol]],"Pass","Fail"),IF(Table1[[#This Row],[DUT Adj Read]]&lt;=Table1[[#This Row],[High Tol]],"Pass","Fail")))</f>
        <v>Fail</v>
      </c>
      <c r="AH13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2" s="1" t="b">
        <v>0</v>
      </c>
      <c r="AN1382" s="1" t="b">
        <v>0</v>
      </c>
      <c r="AO1382" s="1" t="b">
        <v>0</v>
      </c>
    </row>
    <row r="1383" spans="1:41" x14ac:dyDescent="0.25">
      <c r="A1383" s="10"/>
      <c r="B1383" s="10"/>
      <c r="C1383" s="10"/>
      <c r="D1383" s="10"/>
      <c r="E1383" s="10"/>
      <c r="F1383" s="10"/>
      <c r="G1383" s="10"/>
      <c r="H1383" s="10"/>
      <c r="I1383" s="1" t="str">
        <f t="shared" si="63"/>
        <v/>
      </c>
      <c r="J1383" s="1" t="s">
        <v>35</v>
      </c>
      <c r="K1383" s="1" t="str">
        <f t="shared" si="64"/>
        <v/>
      </c>
      <c r="L1383" s="1" t="str">
        <f t="shared" si="65"/>
        <v/>
      </c>
      <c r="M1383" s="1">
        <f>IF(OR(Table1[[#This Row],[Std Nom]]="",Table1[[#This Row],[Std Read]]=""),0,Table1[[#This Row],[Std Nom]]-Table1[[#This Row],[Std Read]])</f>
        <v>0</v>
      </c>
      <c r="N1383" s="1">
        <f>IF(Calculations!$F$5="ACCREDITED 17025 WITH UNCERTAINTIES",$N$10,0)</f>
        <v>0</v>
      </c>
      <c r="Q1383" s="1">
        <f>Table1[[#This Row],[High Tol]]-Table1[[#This Row],[Low Tol]]</f>
        <v>0</v>
      </c>
      <c r="R1383" s="1">
        <f>2*Table1[[#This Row],[Std Error]]</f>
        <v>0</v>
      </c>
      <c r="S1383" s="1" t="str">
        <f>IF(Table1[[#This Row],[High Tol]]="","N/A",IFERROR(ABS(Table1[[#This Row],[Tol Span]]/Table1[[#This Row],[Error Span]]),"N/A"))</f>
        <v>N/A</v>
      </c>
      <c r="T1383" s="1" t="str">
        <f>IF(OR(Table1[[#This Row],[Low Tol]]="",Table1[[#This Row],[High Tol]]=""),"Needs Analysis",IF(Table1[[#This Row],[Ratio]]&gt;=4,"Not Significant",IF(Table1[[#This Row],[Ratio]]&gt;=2,"Semi-Significant","Significant")))</f>
        <v>Needs Analysis</v>
      </c>
      <c r="W1383" s="1">
        <f>IF(Table1[[#This Row],[Cal Type]]&lt;&gt;"ACCREDITED 17025 WITH UNCERTAINTIES",0,"")</f>
        <v>0</v>
      </c>
      <c r="X1383" s="1" t="str">
        <f>IF(Table1[[#This Row],[DUT Read]]="","N/A",Table1[[#This Row],[Std Error]]+Table1[[#This Row],[DUT Read]]+Table1[[#This Row],[DUT Ucty]])</f>
        <v>N/A</v>
      </c>
      <c r="Y1383" s="1" t="str">
        <f>IF(Table1[[#This Row],[Std Read]]="","N/A",Table1[[#This Row],[Std Read]]+Table1[[#This Row],[Std Ucty]])</f>
        <v>N/A</v>
      </c>
      <c r="Z13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3" s="1" t="str">
        <f>IF(Table1[[#This Row],[Spec Type]]="","N/A",Table1[[#This Row],[Spec Type]])</f>
        <v>±</v>
      </c>
      <c r="AC1383" s="1" t="str">
        <f>IF(Table1[[#This Row],[Spec Type2]]="N/A","N/A",IF(AND(Table1[[#This Row],[DUT Adj Read]]&gt;=Table1[[#This Row],[Low Tol]],Table1[[#This Row],[DUT Adj Read]]&lt;=Table1[[#This Row],[High Tol]]),"Pass","Fail"))</f>
        <v>Fail</v>
      </c>
      <c r="AD1383" s="1" t="str">
        <f>IF(AND(Table1[[#This Row],[Spec Type2]]="N/A",Table1[[#This Row],[DUT Adj Read]]="N/A",Table1[[#This Row],[Std Adj Read]]="N/A"),"N/A",IF(Table1[[#This Row],[DUT Adj Read]]="N/A",IF(Table1[[#This Row],[Std Adj Read]]&gt;Table1[[#This Row],[Low Tol]],"Pass","Fail"),IF(Table1[[#This Row],[DUT Adj Read]]&gt;Table1[[#This Row],[Low Tol]],"Pass","Fail")))</f>
        <v>Pass</v>
      </c>
      <c r="AE1383" s="1" t="str">
        <f>IF(AND(Table1[[#This Row],[Spec Type2]]="N/A",Table1[[#This Row],[DUT Adj Read]]="N/A",Table1[[#This Row],[Std Adj Read]]="N/A"),"N/A",IF(Table1[[#This Row],[DUT Adj Read]]="N/A",IF(Table1[[#This Row],[Std Adj Read]]&lt;Table1[[#This Row],[High Tol]],"Pass","Fail"),IF(Table1[[#This Row],[DUT Adj Read]]&lt;Table1[[#This Row],[High Tol]],"Pass","Fail")))</f>
        <v>Fail</v>
      </c>
      <c r="AF1383" s="1" t="str">
        <f>IF(AND(Table1[[#This Row],[Spec Type2]]="N/A",Table1[[#This Row],[DUT Adj Read]]="N/A",Table1[[#This Row],[Std Adj Read]]="N/A"),"N/A",IF(Table1[[#This Row],[DUT Adj Read]]="N/A",IF(Table1[[#This Row],[Std Adj Read]]&gt;=Table1[[#This Row],[Low Tol]],"Pass","Fail"),IF(Table1[[#This Row],[DUT Adj Read]]&gt;=Table1[[#This Row],[Low Tol]],"Pass","Fail")))</f>
        <v>Pass</v>
      </c>
      <c r="AG1383" s="1" t="str">
        <f>IF(AND(Table1[[#This Row],[Spec Type2]]="N/A",Table1[[#This Row],[DUT Adj Read]]="N/A",Table1[[#This Row],[Std Adj Read]]="N/A"),"N/A",IF(Table1[[#This Row],[DUT Adj Read]]="N/A",IF(Table1[[#This Row],[Std Adj Read]]&lt;=Table1[[#This Row],[High Tol]],"Pass","Fail"),IF(Table1[[#This Row],[DUT Adj Read]]&lt;=Table1[[#This Row],[High Tol]],"Pass","Fail")))</f>
        <v>Fail</v>
      </c>
      <c r="AH13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3" s="1" t="b">
        <v>0</v>
      </c>
      <c r="AN1383" s="1" t="b">
        <v>0</v>
      </c>
      <c r="AO1383" s="1" t="b">
        <v>0</v>
      </c>
    </row>
    <row r="1384" spans="1:41" x14ac:dyDescent="0.25">
      <c r="A1384" s="10"/>
      <c r="B1384" s="10"/>
      <c r="C1384" s="10"/>
      <c r="D1384" s="10"/>
      <c r="E1384" s="10"/>
      <c r="F1384" s="10"/>
      <c r="G1384" s="10"/>
      <c r="H1384" s="10"/>
      <c r="I1384" s="1" t="str">
        <f t="shared" si="63"/>
        <v/>
      </c>
      <c r="J1384" s="1" t="s">
        <v>35</v>
      </c>
      <c r="K1384" s="1" t="str">
        <f t="shared" si="64"/>
        <v/>
      </c>
      <c r="L1384" s="1" t="str">
        <f t="shared" si="65"/>
        <v/>
      </c>
      <c r="M1384" s="1">
        <f>IF(OR(Table1[[#This Row],[Std Nom]]="",Table1[[#This Row],[Std Read]]=""),0,Table1[[#This Row],[Std Nom]]-Table1[[#This Row],[Std Read]])</f>
        <v>0</v>
      </c>
      <c r="N1384" s="1">
        <f>IF(Calculations!$F$5="ACCREDITED 17025 WITH UNCERTAINTIES",$N$10,0)</f>
        <v>0</v>
      </c>
      <c r="Q1384" s="1">
        <f>Table1[[#This Row],[High Tol]]-Table1[[#This Row],[Low Tol]]</f>
        <v>0</v>
      </c>
      <c r="R1384" s="1">
        <f>2*Table1[[#This Row],[Std Error]]</f>
        <v>0</v>
      </c>
      <c r="S1384" s="1" t="str">
        <f>IF(Table1[[#This Row],[High Tol]]="","N/A",IFERROR(ABS(Table1[[#This Row],[Tol Span]]/Table1[[#This Row],[Error Span]]),"N/A"))</f>
        <v>N/A</v>
      </c>
      <c r="T1384" s="1" t="str">
        <f>IF(OR(Table1[[#This Row],[Low Tol]]="",Table1[[#This Row],[High Tol]]=""),"Needs Analysis",IF(Table1[[#This Row],[Ratio]]&gt;=4,"Not Significant",IF(Table1[[#This Row],[Ratio]]&gt;=2,"Semi-Significant","Significant")))</f>
        <v>Needs Analysis</v>
      </c>
      <c r="W1384" s="1">
        <f>IF(Table1[[#This Row],[Cal Type]]&lt;&gt;"ACCREDITED 17025 WITH UNCERTAINTIES",0,"")</f>
        <v>0</v>
      </c>
      <c r="X1384" s="1" t="str">
        <f>IF(Table1[[#This Row],[DUT Read]]="","N/A",Table1[[#This Row],[Std Error]]+Table1[[#This Row],[DUT Read]]+Table1[[#This Row],[DUT Ucty]])</f>
        <v>N/A</v>
      </c>
      <c r="Y1384" s="1" t="str">
        <f>IF(Table1[[#This Row],[Std Read]]="","N/A",Table1[[#This Row],[Std Read]]+Table1[[#This Row],[Std Ucty]])</f>
        <v>N/A</v>
      </c>
      <c r="Z13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4" s="1" t="str">
        <f>IF(Table1[[#This Row],[Spec Type]]="","N/A",Table1[[#This Row],[Spec Type]])</f>
        <v>±</v>
      </c>
      <c r="AC1384" s="1" t="str">
        <f>IF(Table1[[#This Row],[Spec Type2]]="N/A","N/A",IF(AND(Table1[[#This Row],[DUT Adj Read]]&gt;=Table1[[#This Row],[Low Tol]],Table1[[#This Row],[DUT Adj Read]]&lt;=Table1[[#This Row],[High Tol]]),"Pass","Fail"))</f>
        <v>Fail</v>
      </c>
      <c r="AD1384" s="1" t="str">
        <f>IF(AND(Table1[[#This Row],[Spec Type2]]="N/A",Table1[[#This Row],[DUT Adj Read]]="N/A",Table1[[#This Row],[Std Adj Read]]="N/A"),"N/A",IF(Table1[[#This Row],[DUT Adj Read]]="N/A",IF(Table1[[#This Row],[Std Adj Read]]&gt;Table1[[#This Row],[Low Tol]],"Pass","Fail"),IF(Table1[[#This Row],[DUT Adj Read]]&gt;Table1[[#This Row],[Low Tol]],"Pass","Fail")))</f>
        <v>Pass</v>
      </c>
      <c r="AE1384" s="1" t="str">
        <f>IF(AND(Table1[[#This Row],[Spec Type2]]="N/A",Table1[[#This Row],[DUT Adj Read]]="N/A",Table1[[#This Row],[Std Adj Read]]="N/A"),"N/A",IF(Table1[[#This Row],[DUT Adj Read]]="N/A",IF(Table1[[#This Row],[Std Adj Read]]&lt;Table1[[#This Row],[High Tol]],"Pass","Fail"),IF(Table1[[#This Row],[DUT Adj Read]]&lt;Table1[[#This Row],[High Tol]],"Pass","Fail")))</f>
        <v>Fail</v>
      </c>
      <c r="AF1384" s="1" t="str">
        <f>IF(AND(Table1[[#This Row],[Spec Type2]]="N/A",Table1[[#This Row],[DUT Adj Read]]="N/A",Table1[[#This Row],[Std Adj Read]]="N/A"),"N/A",IF(Table1[[#This Row],[DUT Adj Read]]="N/A",IF(Table1[[#This Row],[Std Adj Read]]&gt;=Table1[[#This Row],[Low Tol]],"Pass","Fail"),IF(Table1[[#This Row],[DUT Adj Read]]&gt;=Table1[[#This Row],[Low Tol]],"Pass","Fail")))</f>
        <v>Pass</v>
      </c>
      <c r="AG1384" s="1" t="str">
        <f>IF(AND(Table1[[#This Row],[Spec Type2]]="N/A",Table1[[#This Row],[DUT Adj Read]]="N/A",Table1[[#This Row],[Std Adj Read]]="N/A"),"N/A",IF(Table1[[#This Row],[DUT Adj Read]]="N/A",IF(Table1[[#This Row],[Std Adj Read]]&lt;=Table1[[#This Row],[High Tol]],"Pass","Fail"),IF(Table1[[#This Row],[DUT Adj Read]]&lt;=Table1[[#This Row],[High Tol]],"Pass","Fail")))</f>
        <v>Fail</v>
      </c>
      <c r="AH13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4" s="1" t="b">
        <v>0</v>
      </c>
      <c r="AN1384" s="1" t="b">
        <v>0</v>
      </c>
      <c r="AO1384" s="1" t="b">
        <v>0</v>
      </c>
    </row>
    <row r="1385" spans="1:41" x14ac:dyDescent="0.25">
      <c r="A1385" s="10"/>
      <c r="B1385" s="10"/>
      <c r="C1385" s="10"/>
      <c r="D1385" s="10"/>
      <c r="E1385" s="10"/>
      <c r="F1385" s="10"/>
      <c r="G1385" s="10"/>
      <c r="H1385" s="10"/>
      <c r="I1385" s="1" t="str">
        <f t="shared" si="63"/>
        <v/>
      </c>
      <c r="J1385" s="1" t="s">
        <v>35</v>
      </c>
      <c r="K1385" s="1" t="str">
        <f t="shared" si="64"/>
        <v/>
      </c>
      <c r="L1385" s="1" t="str">
        <f t="shared" si="65"/>
        <v/>
      </c>
      <c r="M1385" s="1">
        <f>IF(OR(Table1[[#This Row],[Std Nom]]="",Table1[[#This Row],[Std Read]]=""),0,Table1[[#This Row],[Std Nom]]-Table1[[#This Row],[Std Read]])</f>
        <v>0</v>
      </c>
      <c r="N1385" s="1">
        <f>IF(Calculations!$F$5="ACCREDITED 17025 WITH UNCERTAINTIES",$N$10,0)</f>
        <v>0</v>
      </c>
      <c r="Q1385" s="1">
        <f>Table1[[#This Row],[High Tol]]-Table1[[#This Row],[Low Tol]]</f>
        <v>0</v>
      </c>
      <c r="R1385" s="1">
        <f>2*Table1[[#This Row],[Std Error]]</f>
        <v>0</v>
      </c>
      <c r="S1385" s="1" t="str">
        <f>IF(Table1[[#This Row],[High Tol]]="","N/A",IFERROR(ABS(Table1[[#This Row],[Tol Span]]/Table1[[#This Row],[Error Span]]),"N/A"))</f>
        <v>N/A</v>
      </c>
      <c r="T1385" s="1" t="str">
        <f>IF(OR(Table1[[#This Row],[Low Tol]]="",Table1[[#This Row],[High Tol]]=""),"Needs Analysis",IF(Table1[[#This Row],[Ratio]]&gt;=4,"Not Significant",IF(Table1[[#This Row],[Ratio]]&gt;=2,"Semi-Significant","Significant")))</f>
        <v>Needs Analysis</v>
      </c>
      <c r="W1385" s="1">
        <f>IF(Table1[[#This Row],[Cal Type]]&lt;&gt;"ACCREDITED 17025 WITH UNCERTAINTIES",0,"")</f>
        <v>0</v>
      </c>
      <c r="X1385" s="1" t="str">
        <f>IF(Table1[[#This Row],[DUT Read]]="","N/A",Table1[[#This Row],[Std Error]]+Table1[[#This Row],[DUT Read]]+Table1[[#This Row],[DUT Ucty]])</f>
        <v>N/A</v>
      </c>
      <c r="Y1385" s="1" t="str">
        <f>IF(Table1[[#This Row],[Std Read]]="","N/A",Table1[[#This Row],[Std Read]]+Table1[[#This Row],[Std Ucty]])</f>
        <v>N/A</v>
      </c>
      <c r="Z13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5" s="1" t="str">
        <f>IF(Table1[[#This Row],[Spec Type]]="","N/A",Table1[[#This Row],[Spec Type]])</f>
        <v>±</v>
      </c>
      <c r="AC1385" s="1" t="str">
        <f>IF(Table1[[#This Row],[Spec Type2]]="N/A","N/A",IF(AND(Table1[[#This Row],[DUT Adj Read]]&gt;=Table1[[#This Row],[Low Tol]],Table1[[#This Row],[DUT Adj Read]]&lt;=Table1[[#This Row],[High Tol]]),"Pass","Fail"))</f>
        <v>Fail</v>
      </c>
      <c r="AD1385" s="1" t="str">
        <f>IF(AND(Table1[[#This Row],[Spec Type2]]="N/A",Table1[[#This Row],[DUT Adj Read]]="N/A",Table1[[#This Row],[Std Adj Read]]="N/A"),"N/A",IF(Table1[[#This Row],[DUT Adj Read]]="N/A",IF(Table1[[#This Row],[Std Adj Read]]&gt;Table1[[#This Row],[Low Tol]],"Pass","Fail"),IF(Table1[[#This Row],[DUT Adj Read]]&gt;Table1[[#This Row],[Low Tol]],"Pass","Fail")))</f>
        <v>Pass</v>
      </c>
      <c r="AE1385" s="1" t="str">
        <f>IF(AND(Table1[[#This Row],[Spec Type2]]="N/A",Table1[[#This Row],[DUT Adj Read]]="N/A",Table1[[#This Row],[Std Adj Read]]="N/A"),"N/A",IF(Table1[[#This Row],[DUT Adj Read]]="N/A",IF(Table1[[#This Row],[Std Adj Read]]&lt;Table1[[#This Row],[High Tol]],"Pass","Fail"),IF(Table1[[#This Row],[DUT Adj Read]]&lt;Table1[[#This Row],[High Tol]],"Pass","Fail")))</f>
        <v>Fail</v>
      </c>
      <c r="AF1385" s="1" t="str">
        <f>IF(AND(Table1[[#This Row],[Spec Type2]]="N/A",Table1[[#This Row],[DUT Adj Read]]="N/A",Table1[[#This Row],[Std Adj Read]]="N/A"),"N/A",IF(Table1[[#This Row],[DUT Adj Read]]="N/A",IF(Table1[[#This Row],[Std Adj Read]]&gt;=Table1[[#This Row],[Low Tol]],"Pass","Fail"),IF(Table1[[#This Row],[DUT Adj Read]]&gt;=Table1[[#This Row],[Low Tol]],"Pass","Fail")))</f>
        <v>Pass</v>
      </c>
      <c r="AG1385" s="1" t="str">
        <f>IF(AND(Table1[[#This Row],[Spec Type2]]="N/A",Table1[[#This Row],[DUT Adj Read]]="N/A",Table1[[#This Row],[Std Adj Read]]="N/A"),"N/A",IF(Table1[[#This Row],[DUT Adj Read]]="N/A",IF(Table1[[#This Row],[Std Adj Read]]&lt;=Table1[[#This Row],[High Tol]],"Pass","Fail"),IF(Table1[[#This Row],[DUT Adj Read]]&lt;=Table1[[#This Row],[High Tol]],"Pass","Fail")))</f>
        <v>Fail</v>
      </c>
      <c r="AH13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5" s="1" t="b">
        <v>0</v>
      </c>
      <c r="AN1385" s="1" t="b">
        <v>0</v>
      </c>
      <c r="AO1385" s="1" t="b">
        <v>0</v>
      </c>
    </row>
    <row r="1386" spans="1:41" x14ac:dyDescent="0.25">
      <c r="A1386" s="10"/>
      <c r="B1386" s="10"/>
      <c r="C1386" s="10"/>
      <c r="D1386" s="10"/>
      <c r="E1386" s="10"/>
      <c r="F1386" s="10"/>
      <c r="G1386" s="10"/>
      <c r="H1386" s="10"/>
      <c r="I1386" s="1" t="str">
        <f t="shared" si="63"/>
        <v/>
      </c>
      <c r="J1386" s="1" t="s">
        <v>35</v>
      </c>
      <c r="K1386" s="1" t="str">
        <f t="shared" si="64"/>
        <v/>
      </c>
      <c r="L1386" s="1" t="str">
        <f t="shared" si="65"/>
        <v/>
      </c>
      <c r="M1386" s="1">
        <f>IF(OR(Table1[[#This Row],[Std Nom]]="",Table1[[#This Row],[Std Read]]=""),0,Table1[[#This Row],[Std Nom]]-Table1[[#This Row],[Std Read]])</f>
        <v>0</v>
      </c>
      <c r="N1386" s="1">
        <f>IF(Calculations!$F$5="ACCREDITED 17025 WITH UNCERTAINTIES",$N$10,0)</f>
        <v>0</v>
      </c>
      <c r="Q1386" s="1">
        <f>Table1[[#This Row],[High Tol]]-Table1[[#This Row],[Low Tol]]</f>
        <v>0</v>
      </c>
      <c r="R1386" s="1">
        <f>2*Table1[[#This Row],[Std Error]]</f>
        <v>0</v>
      </c>
      <c r="S1386" s="1" t="str">
        <f>IF(Table1[[#This Row],[High Tol]]="","N/A",IFERROR(ABS(Table1[[#This Row],[Tol Span]]/Table1[[#This Row],[Error Span]]),"N/A"))</f>
        <v>N/A</v>
      </c>
      <c r="T1386" s="1" t="str">
        <f>IF(OR(Table1[[#This Row],[Low Tol]]="",Table1[[#This Row],[High Tol]]=""),"Needs Analysis",IF(Table1[[#This Row],[Ratio]]&gt;=4,"Not Significant",IF(Table1[[#This Row],[Ratio]]&gt;=2,"Semi-Significant","Significant")))</f>
        <v>Needs Analysis</v>
      </c>
      <c r="W1386" s="1">
        <f>IF(Table1[[#This Row],[Cal Type]]&lt;&gt;"ACCREDITED 17025 WITH UNCERTAINTIES",0,"")</f>
        <v>0</v>
      </c>
      <c r="X1386" s="1" t="str">
        <f>IF(Table1[[#This Row],[DUT Read]]="","N/A",Table1[[#This Row],[Std Error]]+Table1[[#This Row],[DUT Read]]+Table1[[#This Row],[DUT Ucty]])</f>
        <v>N/A</v>
      </c>
      <c r="Y1386" s="1" t="str">
        <f>IF(Table1[[#This Row],[Std Read]]="","N/A",Table1[[#This Row],[Std Read]]+Table1[[#This Row],[Std Ucty]])</f>
        <v>N/A</v>
      </c>
      <c r="Z13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6" s="1" t="str">
        <f>IF(Table1[[#This Row],[Spec Type]]="","N/A",Table1[[#This Row],[Spec Type]])</f>
        <v>±</v>
      </c>
      <c r="AC1386" s="1" t="str">
        <f>IF(Table1[[#This Row],[Spec Type2]]="N/A","N/A",IF(AND(Table1[[#This Row],[DUT Adj Read]]&gt;=Table1[[#This Row],[Low Tol]],Table1[[#This Row],[DUT Adj Read]]&lt;=Table1[[#This Row],[High Tol]]),"Pass","Fail"))</f>
        <v>Fail</v>
      </c>
      <c r="AD1386" s="1" t="str">
        <f>IF(AND(Table1[[#This Row],[Spec Type2]]="N/A",Table1[[#This Row],[DUT Adj Read]]="N/A",Table1[[#This Row],[Std Adj Read]]="N/A"),"N/A",IF(Table1[[#This Row],[DUT Adj Read]]="N/A",IF(Table1[[#This Row],[Std Adj Read]]&gt;Table1[[#This Row],[Low Tol]],"Pass","Fail"),IF(Table1[[#This Row],[DUT Adj Read]]&gt;Table1[[#This Row],[Low Tol]],"Pass","Fail")))</f>
        <v>Pass</v>
      </c>
      <c r="AE1386" s="1" t="str">
        <f>IF(AND(Table1[[#This Row],[Spec Type2]]="N/A",Table1[[#This Row],[DUT Adj Read]]="N/A",Table1[[#This Row],[Std Adj Read]]="N/A"),"N/A",IF(Table1[[#This Row],[DUT Adj Read]]="N/A",IF(Table1[[#This Row],[Std Adj Read]]&lt;Table1[[#This Row],[High Tol]],"Pass","Fail"),IF(Table1[[#This Row],[DUT Adj Read]]&lt;Table1[[#This Row],[High Tol]],"Pass","Fail")))</f>
        <v>Fail</v>
      </c>
      <c r="AF1386" s="1" t="str">
        <f>IF(AND(Table1[[#This Row],[Spec Type2]]="N/A",Table1[[#This Row],[DUT Adj Read]]="N/A",Table1[[#This Row],[Std Adj Read]]="N/A"),"N/A",IF(Table1[[#This Row],[DUT Adj Read]]="N/A",IF(Table1[[#This Row],[Std Adj Read]]&gt;=Table1[[#This Row],[Low Tol]],"Pass","Fail"),IF(Table1[[#This Row],[DUT Adj Read]]&gt;=Table1[[#This Row],[Low Tol]],"Pass","Fail")))</f>
        <v>Pass</v>
      </c>
      <c r="AG1386" s="1" t="str">
        <f>IF(AND(Table1[[#This Row],[Spec Type2]]="N/A",Table1[[#This Row],[DUT Adj Read]]="N/A",Table1[[#This Row],[Std Adj Read]]="N/A"),"N/A",IF(Table1[[#This Row],[DUT Adj Read]]="N/A",IF(Table1[[#This Row],[Std Adj Read]]&lt;=Table1[[#This Row],[High Tol]],"Pass","Fail"),IF(Table1[[#This Row],[DUT Adj Read]]&lt;=Table1[[#This Row],[High Tol]],"Pass","Fail")))</f>
        <v>Fail</v>
      </c>
      <c r="AH13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6" s="1" t="b">
        <v>0</v>
      </c>
      <c r="AN1386" s="1" t="b">
        <v>0</v>
      </c>
      <c r="AO1386" s="1" t="b">
        <v>0</v>
      </c>
    </row>
    <row r="1387" spans="1:41" x14ac:dyDescent="0.25">
      <c r="A1387" s="10"/>
      <c r="B1387" s="10"/>
      <c r="C1387" s="10"/>
      <c r="D1387" s="10"/>
      <c r="E1387" s="10"/>
      <c r="F1387" s="10"/>
      <c r="G1387" s="10"/>
      <c r="H1387" s="10"/>
      <c r="I1387" s="1" t="str">
        <f t="shared" si="63"/>
        <v/>
      </c>
      <c r="J1387" s="1" t="s">
        <v>35</v>
      </c>
      <c r="K1387" s="1" t="str">
        <f t="shared" si="64"/>
        <v/>
      </c>
      <c r="L1387" s="1" t="str">
        <f t="shared" si="65"/>
        <v/>
      </c>
      <c r="M1387" s="1">
        <f>IF(OR(Table1[[#This Row],[Std Nom]]="",Table1[[#This Row],[Std Read]]=""),0,Table1[[#This Row],[Std Nom]]-Table1[[#This Row],[Std Read]])</f>
        <v>0</v>
      </c>
      <c r="N1387" s="1">
        <f>IF(Calculations!$F$5="ACCREDITED 17025 WITH UNCERTAINTIES",$N$10,0)</f>
        <v>0</v>
      </c>
      <c r="Q1387" s="1">
        <f>Table1[[#This Row],[High Tol]]-Table1[[#This Row],[Low Tol]]</f>
        <v>0</v>
      </c>
      <c r="R1387" s="1">
        <f>2*Table1[[#This Row],[Std Error]]</f>
        <v>0</v>
      </c>
      <c r="S1387" s="1" t="str">
        <f>IF(Table1[[#This Row],[High Tol]]="","N/A",IFERROR(ABS(Table1[[#This Row],[Tol Span]]/Table1[[#This Row],[Error Span]]),"N/A"))</f>
        <v>N/A</v>
      </c>
      <c r="T1387" s="1" t="str">
        <f>IF(OR(Table1[[#This Row],[Low Tol]]="",Table1[[#This Row],[High Tol]]=""),"Needs Analysis",IF(Table1[[#This Row],[Ratio]]&gt;=4,"Not Significant",IF(Table1[[#This Row],[Ratio]]&gt;=2,"Semi-Significant","Significant")))</f>
        <v>Needs Analysis</v>
      </c>
      <c r="W1387" s="1">
        <f>IF(Table1[[#This Row],[Cal Type]]&lt;&gt;"ACCREDITED 17025 WITH UNCERTAINTIES",0,"")</f>
        <v>0</v>
      </c>
      <c r="X1387" s="1" t="str">
        <f>IF(Table1[[#This Row],[DUT Read]]="","N/A",Table1[[#This Row],[Std Error]]+Table1[[#This Row],[DUT Read]]+Table1[[#This Row],[DUT Ucty]])</f>
        <v>N/A</v>
      </c>
      <c r="Y1387" s="1" t="str">
        <f>IF(Table1[[#This Row],[Std Read]]="","N/A",Table1[[#This Row],[Std Read]]+Table1[[#This Row],[Std Ucty]])</f>
        <v>N/A</v>
      </c>
      <c r="Z13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7" s="1" t="str">
        <f>IF(Table1[[#This Row],[Spec Type]]="","N/A",Table1[[#This Row],[Spec Type]])</f>
        <v>±</v>
      </c>
      <c r="AC1387" s="1" t="str">
        <f>IF(Table1[[#This Row],[Spec Type2]]="N/A","N/A",IF(AND(Table1[[#This Row],[DUT Adj Read]]&gt;=Table1[[#This Row],[Low Tol]],Table1[[#This Row],[DUT Adj Read]]&lt;=Table1[[#This Row],[High Tol]]),"Pass","Fail"))</f>
        <v>Fail</v>
      </c>
      <c r="AD1387" s="1" t="str">
        <f>IF(AND(Table1[[#This Row],[Spec Type2]]="N/A",Table1[[#This Row],[DUT Adj Read]]="N/A",Table1[[#This Row],[Std Adj Read]]="N/A"),"N/A",IF(Table1[[#This Row],[DUT Adj Read]]="N/A",IF(Table1[[#This Row],[Std Adj Read]]&gt;Table1[[#This Row],[Low Tol]],"Pass","Fail"),IF(Table1[[#This Row],[DUT Adj Read]]&gt;Table1[[#This Row],[Low Tol]],"Pass","Fail")))</f>
        <v>Pass</v>
      </c>
      <c r="AE1387" s="1" t="str">
        <f>IF(AND(Table1[[#This Row],[Spec Type2]]="N/A",Table1[[#This Row],[DUT Adj Read]]="N/A",Table1[[#This Row],[Std Adj Read]]="N/A"),"N/A",IF(Table1[[#This Row],[DUT Adj Read]]="N/A",IF(Table1[[#This Row],[Std Adj Read]]&lt;Table1[[#This Row],[High Tol]],"Pass","Fail"),IF(Table1[[#This Row],[DUT Adj Read]]&lt;Table1[[#This Row],[High Tol]],"Pass","Fail")))</f>
        <v>Fail</v>
      </c>
      <c r="AF1387" s="1" t="str">
        <f>IF(AND(Table1[[#This Row],[Spec Type2]]="N/A",Table1[[#This Row],[DUT Adj Read]]="N/A",Table1[[#This Row],[Std Adj Read]]="N/A"),"N/A",IF(Table1[[#This Row],[DUT Adj Read]]="N/A",IF(Table1[[#This Row],[Std Adj Read]]&gt;=Table1[[#This Row],[Low Tol]],"Pass","Fail"),IF(Table1[[#This Row],[DUT Adj Read]]&gt;=Table1[[#This Row],[Low Tol]],"Pass","Fail")))</f>
        <v>Pass</v>
      </c>
      <c r="AG1387" s="1" t="str">
        <f>IF(AND(Table1[[#This Row],[Spec Type2]]="N/A",Table1[[#This Row],[DUT Adj Read]]="N/A",Table1[[#This Row],[Std Adj Read]]="N/A"),"N/A",IF(Table1[[#This Row],[DUT Adj Read]]="N/A",IF(Table1[[#This Row],[Std Adj Read]]&lt;=Table1[[#This Row],[High Tol]],"Pass","Fail"),IF(Table1[[#This Row],[DUT Adj Read]]&lt;=Table1[[#This Row],[High Tol]],"Pass","Fail")))</f>
        <v>Fail</v>
      </c>
      <c r="AH13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7" s="1" t="b">
        <v>0</v>
      </c>
      <c r="AN1387" s="1" t="b">
        <v>0</v>
      </c>
      <c r="AO1387" s="1" t="b">
        <v>0</v>
      </c>
    </row>
    <row r="1388" spans="1:41" x14ac:dyDescent="0.25">
      <c r="A1388" s="10"/>
      <c r="B1388" s="10"/>
      <c r="C1388" s="10"/>
      <c r="D1388" s="10"/>
      <c r="E1388" s="10"/>
      <c r="F1388" s="10"/>
      <c r="G1388" s="10"/>
      <c r="H1388" s="10"/>
      <c r="I1388" s="1" t="str">
        <f t="shared" si="63"/>
        <v/>
      </c>
      <c r="J1388" s="1" t="s">
        <v>35</v>
      </c>
      <c r="K1388" s="1" t="str">
        <f t="shared" si="64"/>
        <v/>
      </c>
      <c r="L1388" s="1" t="str">
        <f t="shared" si="65"/>
        <v/>
      </c>
      <c r="M1388" s="1">
        <f>IF(OR(Table1[[#This Row],[Std Nom]]="",Table1[[#This Row],[Std Read]]=""),0,Table1[[#This Row],[Std Nom]]-Table1[[#This Row],[Std Read]])</f>
        <v>0</v>
      </c>
      <c r="N1388" s="1">
        <f>IF(Calculations!$F$5="ACCREDITED 17025 WITH UNCERTAINTIES",$N$10,0)</f>
        <v>0</v>
      </c>
      <c r="Q1388" s="1">
        <f>Table1[[#This Row],[High Tol]]-Table1[[#This Row],[Low Tol]]</f>
        <v>0</v>
      </c>
      <c r="R1388" s="1">
        <f>2*Table1[[#This Row],[Std Error]]</f>
        <v>0</v>
      </c>
      <c r="S1388" s="1" t="str">
        <f>IF(Table1[[#This Row],[High Tol]]="","N/A",IFERROR(ABS(Table1[[#This Row],[Tol Span]]/Table1[[#This Row],[Error Span]]),"N/A"))</f>
        <v>N/A</v>
      </c>
      <c r="T1388" s="1" t="str">
        <f>IF(OR(Table1[[#This Row],[Low Tol]]="",Table1[[#This Row],[High Tol]]=""),"Needs Analysis",IF(Table1[[#This Row],[Ratio]]&gt;=4,"Not Significant",IF(Table1[[#This Row],[Ratio]]&gt;=2,"Semi-Significant","Significant")))</f>
        <v>Needs Analysis</v>
      </c>
      <c r="W1388" s="1">
        <f>IF(Table1[[#This Row],[Cal Type]]&lt;&gt;"ACCREDITED 17025 WITH UNCERTAINTIES",0,"")</f>
        <v>0</v>
      </c>
      <c r="X1388" s="1" t="str">
        <f>IF(Table1[[#This Row],[DUT Read]]="","N/A",Table1[[#This Row],[Std Error]]+Table1[[#This Row],[DUT Read]]+Table1[[#This Row],[DUT Ucty]])</f>
        <v>N/A</v>
      </c>
      <c r="Y1388" s="1" t="str">
        <f>IF(Table1[[#This Row],[Std Read]]="","N/A",Table1[[#This Row],[Std Read]]+Table1[[#This Row],[Std Ucty]])</f>
        <v>N/A</v>
      </c>
      <c r="Z13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8" s="1" t="str">
        <f>IF(Table1[[#This Row],[Spec Type]]="","N/A",Table1[[#This Row],[Spec Type]])</f>
        <v>±</v>
      </c>
      <c r="AC1388" s="1" t="str">
        <f>IF(Table1[[#This Row],[Spec Type2]]="N/A","N/A",IF(AND(Table1[[#This Row],[DUT Adj Read]]&gt;=Table1[[#This Row],[Low Tol]],Table1[[#This Row],[DUT Adj Read]]&lt;=Table1[[#This Row],[High Tol]]),"Pass","Fail"))</f>
        <v>Fail</v>
      </c>
      <c r="AD1388" s="1" t="str">
        <f>IF(AND(Table1[[#This Row],[Spec Type2]]="N/A",Table1[[#This Row],[DUT Adj Read]]="N/A",Table1[[#This Row],[Std Adj Read]]="N/A"),"N/A",IF(Table1[[#This Row],[DUT Adj Read]]="N/A",IF(Table1[[#This Row],[Std Adj Read]]&gt;Table1[[#This Row],[Low Tol]],"Pass","Fail"),IF(Table1[[#This Row],[DUT Adj Read]]&gt;Table1[[#This Row],[Low Tol]],"Pass","Fail")))</f>
        <v>Pass</v>
      </c>
      <c r="AE1388" s="1" t="str">
        <f>IF(AND(Table1[[#This Row],[Spec Type2]]="N/A",Table1[[#This Row],[DUT Adj Read]]="N/A",Table1[[#This Row],[Std Adj Read]]="N/A"),"N/A",IF(Table1[[#This Row],[DUT Adj Read]]="N/A",IF(Table1[[#This Row],[Std Adj Read]]&lt;Table1[[#This Row],[High Tol]],"Pass","Fail"),IF(Table1[[#This Row],[DUT Adj Read]]&lt;Table1[[#This Row],[High Tol]],"Pass","Fail")))</f>
        <v>Fail</v>
      </c>
      <c r="AF1388" s="1" t="str">
        <f>IF(AND(Table1[[#This Row],[Spec Type2]]="N/A",Table1[[#This Row],[DUT Adj Read]]="N/A",Table1[[#This Row],[Std Adj Read]]="N/A"),"N/A",IF(Table1[[#This Row],[DUT Adj Read]]="N/A",IF(Table1[[#This Row],[Std Adj Read]]&gt;=Table1[[#This Row],[Low Tol]],"Pass","Fail"),IF(Table1[[#This Row],[DUT Adj Read]]&gt;=Table1[[#This Row],[Low Tol]],"Pass","Fail")))</f>
        <v>Pass</v>
      </c>
      <c r="AG1388" s="1" t="str">
        <f>IF(AND(Table1[[#This Row],[Spec Type2]]="N/A",Table1[[#This Row],[DUT Adj Read]]="N/A",Table1[[#This Row],[Std Adj Read]]="N/A"),"N/A",IF(Table1[[#This Row],[DUT Adj Read]]="N/A",IF(Table1[[#This Row],[Std Adj Read]]&lt;=Table1[[#This Row],[High Tol]],"Pass","Fail"),IF(Table1[[#This Row],[DUT Adj Read]]&lt;=Table1[[#This Row],[High Tol]],"Pass","Fail")))</f>
        <v>Fail</v>
      </c>
      <c r="AH13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8" s="1" t="b">
        <v>0</v>
      </c>
      <c r="AN1388" s="1" t="b">
        <v>0</v>
      </c>
      <c r="AO1388" s="1" t="b">
        <v>0</v>
      </c>
    </row>
    <row r="1389" spans="1:41" x14ac:dyDescent="0.25">
      <c r="A1389" s="10"/>
      <c r="B1389" s="10"/>
      <c r="C1389" s="10"/>
      <c r="D1389" s="10"/>
      <c r="E1389" s="10"/>
      <c r="F1389" s="10"/>
      <c r="G1389" s="10"/>
      <c r="H1389" s="10"/>
      <c r="I1389" s="1" t="str">
        <f t="shared" si="63"/>
        <v/>
      </c>
      <c r="J1389" s="1" t="s">
        <v>35</v>
      </c>
      <c r="K1389" s="1" t="str">
        <f t="shared" si="64"/>
        <v/>
      </c>
      <c r="L1389" s="1" t="str">
        <f t="shared" si="65"/>
        <v/>
      </c>
      <c r="M1389" s="1">
        <f>IF(OR(Table1[[#This Row],[Std Nom]]="",Table1[[#This Row],[Std Read]]=""),0,Table1[[#This Row],[Std Nom]]-Table1[[#This Row],[Std Read]])</f>
        <v>0</v>
      </c>
      <c r="N1389" s="1">
        <f>IF(Calculations!$F$5="ACCREDITED 17025 WITH UNCERTAINTIES",$N$10,0)</f>
        <v>0</v>
      </c>
      <c r="Q1389" s="1">
        <f>Table1[[#This Row],[High Tol]]-Table1[[#This Row],[Low Tol]]</f>
        <v>0</v>
      </c>
      <c r="R1389" s="1">
        <f>2*Table1[[#This Row],[Std Error]]</f>
        <v>0</v>
      </c>
      <c r="S1389" s="1" t="str">
        <f>IF(Table1[[#This Row],[High Tol]]="","N/A",IFERROR(ABS(Table1[[#This Row],[Tol Span]]/Table1[[#This Row],[Error Span]]),"N/A"))</f>
        <v>N/A</v>
      </c>
      <c r="T1389" s="1" t="str">
        <f>IF(OR(Table1[[#This Row],[Low Tol]]="",Table1[[#This Row],[High Tol]]=""),"Needs Analysis",IF(Table1[[#This Row],[Ratio]]&gt;=4,"Not Significant",IF(Table1[[#This Row],[Ratio]]&gt;=2,"Semi-Significant","Significant")))</f>
        <v>Needs Analysis</v>
      </c>
      <c r="W1389" s="1">
        <f>IF(Table1[[#This Row],[Cal Type]]&lt;&gt;"ACCREDITED 17025 WITH UNCERTAINTIES",0,"")</f>
        <v>0</v>
      </c>
      <c r="X1389" s="1" t="str">
        <f>IF(Table1[[#This Row],[DUT Read]]="","N/A",Table1[[#This Row],[Std Error]]+Table1[[#This Row],[DUT Read]]+Table1[[#This Row],[DUT Ucty]])</f>
        <v>N/A</v>
      </c>
      <c r="Y1389" s="1" t="str">
        <f>IF(Table1[[#This Row],[Std Read]]="","N/A",Table1[[#This Row],[Std Read]]+Table1[[#This Row],[Std Ucty]])</f>
        <v>N/A</v>
      </c>
      <c r="Z13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89" s="1" t="str">
        <f>IF(Table1[[#This Row],[Spec Type]]="","N/A",Table1[[#This Row],[Spec Type]])</f>
        <v>±</v>
      </c>
      <c r="AC1389" s="1" t="str">
        <f>IF(Table1[[#This Row],[Spec Type2]]="N/A","N/A",IF(AND(Table1[[#This Row],[DUT Adj Read]]&gt;=Table1[[#This Row],[Low Tol]],Table1[[#This Row],[DUT Adj Read]]&lt;=Table1[[#This Row],[High Tol]]),"Pass","Fail"))</f>
        <v>Fail</v>
      </c>
      <c r="AD1389" s="1" t="str">
        <f>IF(AND(Table1[[#This Row],[Spec Type2]]="N/A",Table1[[#This Row],[DUT Adj Read]]="N/A",Table1[[#This Row],[Std Adj Read]]="N/A"),"N/A",IF(Table1[[#This Row],[DUT Adj Read]]="N/A",IF(Table1[[#This Row],[Std Adj Read]]&gt;Table1[[#This Row],[Low Tol]],"Pass","Fail"),IF(Table1[[#This Row],[DUT Adj Read]]&gt;Table1[[#This Row],[Low Tol]],"Pass","Fail")))</f>
        <v>Pass</v>
      </c>
      <c r="AE1389" s="1" t="str">
        <f>IF(AND(Table1[[#This Row],[Spec Type2]]="N/A",Table1[[#This Row],[DUT Adj Read]]="N/A",Table1[[#This Row],[Std Adj Read]]="N/A"),"N/A",IF(Table1[[#This Row],[DUT Adj Read]]="N/A",IF(Table1[[#This Row],[Std Adj Read]]&lt;Table1[[#This Row],[High Tol]],"Pass","Fail"),IF(Table1[[#This Row],[DUT Adj Read]]&lt;Table1[[#This Row],[High Tol]],"Pass","Fail")))</f>
        <v>Fail</v>
      </c>
      <c r="AF1389" s="1" t="str">
        <f>IF(AND(Table1[[#This Row],[Spec Type2]]="N/A",Table1[[#This Row],[DUT Adj Read]]="N/A",Table1[[#This Row],[Std Adj Read]]="N/A"),"N/A",IF(Table1[[#This Row],[DUT Adj Read]]="N/A",IF(Table1[[#This Row],[Std Adj Read]]&gt;=Table1[[#This Row],[Low Tol]],"Pass","Fail"),IF(Table1[[#This Row],[DUT Adj Read]]&gt;=Table1[[#This Row],[Low Tol]],"Pass","Fail")))</f>
        <v>Pass</v>
      </c>
      <c r="AG1389" s="1" t="str">
        <f>IF(AND(Table1[[#This Row],[Spec Type2]]="N/A",Table1[[#This Row],[DUT Adj Read]]="N/A",Table1[[#This Row],[Std Adj Read]]="N/A"),"N/A",IF(Table1[[#This Row],[DUT Adj Read]]="N/A",IF(Table1[[#This Row],[Std Adj Read]]&lt;=Table1[[#This Row],[High Tol]],"Pass","Fail"),IF(Table1[[#This Row],[DUT Adj Read]]&lt;=Table1[[#This Row],[High Tol]],"Pass","Fail")))</f>
        <v>Fail</v>
      </c>
      <c r="AH13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89" s="1" t="b">
        <v>0</v>
      </c>
      <c r="AN1389" s="1" t="b">
        <v>0</v>
      </c>
      <c r="AO1389" s="1" t="b">
        <v>0</v>
      </c>
    </row>
    <row r="1390" spans="1:41" x14ac:dyDescent="0.25">
      <c r="A1390" s="10"/>
      <c r="B1390" s="10"/>
      <c r="C1390" s="10"/>
      <c r="D1390" s="10"/>
      <c r="E1390" s="10"/>
      <c r="F1390" s="10"/>
      <c r="G1390" s="10"/>
      <c r="H1390" s="10"/>
      <c r="I1390" s="1" t="str">
        <f t="shared" si="63"/>
        <v/>
      </c>
      <c r="J1390" s="1" t="s">
        <v>35</v>
      </c>
      <c r="K1390" s="1" t="str">
        <f t="shared" si="64"/>
        <v/>
      </c>
      <c r="L1390" s="1" t="str">
        <f t="shared" si="65"/>
        <v/>
      </c>
      <c r="M1390" s="1">
        <f>IF(OR(Table1[[#This Row],[Std Nom]]="",Table1[[#This Row],[Std Read]]=""),0,Table1[[#This Row],[Std Nom]]-Table1[[#This Row],[Std Read]])</f>
        <v>0</v>
      </c>
      <c r="N1390" s="1">
        <f>IF(Calculations!$F$5="ACCREDITED 17025 WITH UNCERTAINTIES",$N$10,0)</f>
        <v>0</v>
      </c>
      <c r="Q1390" s="1">
        <f>Table1[[#This Row],[High Tol]]-Table1[[#This Row],[Low Tol]]</f>
        <v>0</v>
      </c>
      <c r="R1390" s="1">
        <f>2*Table1[[#This Row],[Std Error]]</f>
        <v>0</v>
      </c>
      <c r="S1390" s="1" t="str">
        <f>IF(Table1[[#This Row],[High Tol]]="","N/A",IFERROR(ABS(Table1[[#This Row],[Tol Span]]/Table1[[#This Row],[Error Span]]),"N/A"))</f>
        <v>N/A</v>
      </c>
      <c r="T1390" s="1" t="str">
        <f>IF(OR(Table1[[#This Row],[Low Tol]]="",Table1[[#This Row],[High Tol]]=""),"Needs Analysis",IF(Table1[[#This Row],[Ratio]]&gt;=4,"Not Significant",IF(Table1[[#This Row],[Ratio]]&gt;=2,"Semi-Significant","Significant")))</f>
        <v>Needs Analysis</v>
      </c>
      <c r="W1390" s="1">
        <f>IF(Table1[[#This Row],[Cal Type]]&lt;&gt;"ACCREDITED 17025 WITH UNCERTAINTIES",0,"")</f>
        <v>0</v>
      </c>
      <c r="X1390" s="1" t="str">
        <f>IF(Table1[[#This Row],[DUT Read]]="","N/A",Table1[[#This Row],[Std Error]]+Table1[[#This Row],[DUT Read]]+Table1[[#This Row],[DUT Ucty]])</f>
        <v>N/A</v>
      </c>
      <c r="Y1390" s="1" t="str">
        <f>IF(Table1[[#This Row],[Std Read]]="","N/A",Table1[[#This Row],[Std Read]]+Table1[[#This Row],[Std Ucty]])</f>
        <v>N/A</v>
      </c>
      <c r="Z13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0" s="1" t="str">
        <f>IF(Table1[[#This Row],[Spec Type]]="","N/A",Table1[[#This Row],[Spec Type]])</f>
        <v>±</v>
      </c>
      <c r="AC1390" s="1" t="str">
        <f>IF(Table1[[#This Row],[Spec Type2]]="N/A","N/A",IF(AND(Table1[[#This Row],[DUT Adj Read]]&gt;=Table1[[#This Row],[Low Tol]],Table1[[#This Row],[DUT Adj Read]]&lt;=Table1[[#This Row],[High Tol]]),"Pass","Fail"))</f>
        <v>Fail</v>
      </c>
      <c r="AD1390" s="1" t="str">
        <f>IF(AND(Table1[[#This Row],[Spec Type2]]="N/A",Table1[[#This Row],[DUT Adj Read]]="N/A",Table1[[#This Row],[Std Adj Read]]="N/A"),"N/A",IF(Table1[[#This Row],[DUT Adj Read]]="N/A",IF(Table1[[#This Row],[Std Adj Read]]&gt;Table1[[#This Row],[Low Tol]],"Pass","Fail"),IF(Table1[[#This Row],[DUT Adj Read]]&gt;Table1[[#This Row],[Low Tol]],"Pass","Fail")))</f>
        <v>Pass</v>
      </c>
      <c r="AE1390" s="1" t="str">
        <f>IF(AND(Table1[[#This Row],[Spec Type2]]="N/A",Table1[[#This Row],[DUT Adj Read]]="N/A",Table1[[#This Row],[Std Adj Read]]="N/A"),"N/A",IF(Table1[[#This Row],[DUT Adj Read]]="N/A",IF(Table1[[#This Row],[Std Adj Read]]&lt;Table1[[#This Row],[High Tol]],"Pass","Fail"),IF(Table1[[#This Row],[DUT Adj Read]]&lt;Table1[[#This Row],[High Tol]],"Pass","Fail")))</f>
        <v>Fail</v>
      </c>
      <c r="AF1390" s="1" t="str">
        <f>IF(AND(Table1[[#This Row],[Spec Type2]]="N/A",Table1[[#This Row],[DUT Adj Read]]="N/A",Table1[[#This Row],[Std Adj Read]]="N/A"),"N/A",IF(Table1[[#This Row],[DUT Adj Read]]="N/A",IF(Table1[[#This Row],[Std Adj Read]]&gt;=Table1[[#This Row],[Low Tol]],"Pass","Fail"),IF(Table1[[#This Row],[DUT Adj Read]]&gt;=Table1[[#This Row],[Low Tol]],"Pass","Fail")))</f>
        <v>Pass</v>
      </c>
      <c r="AG1390" s="1" t="str">
        <f>IF(AND(Table1[[#This Row],[Spec Type2]]="N/A",Table1[[#This Row],[DUT Adj Read]]="N/A",Table1[[#This Row],[Std Adj Read]]="N/A"),"N/A",IF(Table1[[#This Row],[DUT Adj Read]]="N/A",IF(Table1[[#This Row],[Std Adj Read]]&lt;=Table1[[#This Row],[High Tol]],"Pass","Fail"),IF(Table1[[#This Row],[DUT Adj Read]]&lt;=Table1[[#This Row],[High Tol]],"Pass","Fail")))</f>
        <v>Fail</v>
      </c>
      <c r="AH13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0" s="1" t="b">
        <v>0</v>
      </c>
      <c r="AN1390" s="1" t="b">
        <v>0</v>
      </c>
      <c r="AO1390" s="1" t="b">
        <v>0</v>
      </c>
    </row>
    <row r="1391" spans="1:41" x14ac:dyDescent="0.25">
      <c r="A1391" s="10"/>
      <c r="B1391" s="10"/>
      <c r="C1391" s="10"/>
      <c r="D1391" s="10"/>
      <c r="E1391" s="10"/>
      <c r="F1391" s="10"/>
      <c r="G1391" s="10"/>
      <c r="H1391" s="10"/>
      <c r="I1391" s="1" t="str">
        <f t="shared" si="63"/>
        <v/>
      </c>
      <c r="J1391" s="1" t="s">
        <v>35</v>
      </c>
      <c r="K1391" s="1" t="str">
        <f t="shared" si="64"/>
        <v/>
      </c>
      <c r="L1391" s="1" t="str">
        <f t="shared" si="65"/>
        <v/>
      </c>
      <c r="M1391" s="1">
        <f>IF(OR(Table1[[#This Row],[Std Nom]]="",Table1[[#This Row],[Std Read]]=""),0,Table1[[#This Row],[Std Nom]]-Table1[[#This Row],[Std Read]])</f>
        <v>0</v>
      </c>
      <c r="N1391" s="1">
        <f>IF(Calculations!$F$5="ACCREDITED 17025 WITH UNCERTAINTIES",$N$10,0)</f>
        <v>0</v>
      </c>
      <c r="Q1391" s="1">
        <f>Table1[[#This Row],[High Tol]]-Table1[[#This Row],[Low Tol]]</f>
        <v>0</v>
      </c>
      <c r="R1391" s="1">
        <f>2*Table1[[#This Row],[Std Error]]</f>
        <v>0</v>
      </c>
      <c r="S1391" s="1" t="str">
        <f>IF(Table1[[#This Row],[High Tol]]="","N/A",IFERROR(ABS(Table1[[#This Row],[Tol Span]]/Table1[[#This Row],[Error Span]]),"N/A"))</f>
        <v>N/A</v>
      </c>
      <c r="T1391" s="1" t="str">
        <f>IF(OR(Table1[[#This Row],[Low Tol]]="",Table1[[#This Row],[High Tol]]=""),"Needs Analysis",IF(Table1[[#This Row],[Ratio]]&gt;=4,"Not Significant",IF(Table1[[#This Row],[Ratio]]&gt;=2,"Semi-Significant","Significant")))</f>
        <v>Needs Analysis</v>
      </c>
      <c r="W1391" s="1">
        <f>IF(Table1[[#This Row],[Cal Type]]&lt;&gt;"ACCREDITED 17025 WITH UNCERTAINTIES",0,"")</f>
        <v>0</v>
      </c>
      <c r="X1391" s="1" t="str">
        <f>IF(Table1[[#This Row],[DUT Read]]="","N/A",Table1[[#This Row],[Std Error]]+Table1[[#This Row],[DUT Read]]+Table1[[#This Row],[DUT Ucty]])</f>
        <v>N/A</v>
      </c>
      <c r="Y1391" s="1" t="str">
        <f>IF(Table1[[#This Row],[Std Read]]="","N/A",Table1[[#This Row],[Std Read]]+Table1[[#This Row],[Std Ucty]])</f>
        <v>N/A</v>
      </c>
      <c r="Z13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1" s="1" t="str">
        <f>IF(Table1[[#This Row],[Spec Type]]="","N/A",Table1[[#This Row],[Spec Type]])</f>
        <v>±</v>
      </c>
      <c r="AC1391" s="1" t="str">
        <f>IF(Table1[[#This Row],[Spec Type2]]="N/A","N/A",IF(AND(Table1[[#This Row],[DUT Adj Read]]&gt;=Table1[[#This Row],[Low Tol]],Table1[[#This Row],[DUT Adj Read]]&lt;=Table1[[#This Row],[High Tol]]),"Pass","Fail"))</f>
        <v>Fail</v>
      </c>
      <c r="AD1391" s="1" t="str">
        <f>IF(AND(Table1[[#This Row],[Spec Type2]]="N/A",Table1[[#This Row],[DUT Adj Read]]="N/A",Table1[[#This Row],[Std Adj Read]]="N/A"),"N/A",IF(Table1[[#This Row],[DUT Adj Read]]="N/A",IF(Table1[[#This Row],[Std Adj Read]]&gt;Table1[[#This Row],[Low Tol]],"Pass","Fail"),IF(Table1[[#This Row],[DUT Adj Read]]&gt;Table1[[#This Row],[Low Tol]],"Pass","Fail")))</f>
        <v>Pass</v>
      </c>
      <c r="AE1391" s="1" t="str">
        <f>IF(AND(Table1[[#This Row],[Spec Type2]]="N/A",Table1[[#This Row],[DUT Adj Read]]="N/A",Table1[[#This Row],[Std Adj Read]]="N/A"),"N/A",IF(Table1[[#This Row],[DUT Adj Read]]="N/A",IF(Table1[[#This Row],[Std Adj Read]]&lt;Table1[[#This Row],[High Tol]],"Pass","Fail"),IF(Table1[[#This Row],[DUT Adj Read]]&lt;Table1[[#This Row],[High Tol]],"Pass","Fail")))</f>
        <v>Fail</v>
      </c>
      <c r="AF1391" s="1" t="str">
        <f>IF(AND(Table1[[#This Row],[Spec Type2]]="N/A",Table1[[#This Row],[DUT Adj Read]]="N/A",Table1[[#This Row],[Std Adj Read]]="N/A"),"N/A",IF(Table1[[#This Row],[DUT Adj Read]]="N/A",IF(Table1[[#This Row],[Std Adj Read]]&gt;=Table1[[#This Row],[Low Tol]],"Pass","Fail"),IF(Table1[[#This Row],[DUT Adj Read]]&gt;=Table1[[#This Row],[Low Tol]],"Pass","Fail")))</f>
        <v>Pass</v>
      </c>
      <c r="AG1391" s="1" t="str">
        <f>IF(AND(Table1[[#This Row],[Spec Type2]]="N/A",Table1[[#This Row],[DUT Adj Read]]="N/A",Table1[[#This Row],[Std Adj Read]]="N/A"),"N/A",IF(Table1[[#This Row],[DUT Adj Read]]="N/A",IF(Table1[[#This Row],[Std Adj Read]]&lt;=Table1[[#This Row],[High Tol]],"Pass","Fail"),IF(Table1[[#This Row],[DUT Adj Read]]&lt;=Table1[[#This Row],[High Tol]],"Pass","Fail")))</f>
        <v>Fail</v>
      </c>
      <c r="AH13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1" s="1" t="b">
        <v>0</v>
      </c>
      <c r="AN1391" s="1" t="b">
        <v>0</v>
      </c>
      <c r="AO1391" s="1" t="b">
        <v>0</v>
      </c>
    </row>
    <row r="1392" spans="1:41" x14ac:dyDescent="0.25">
      <c r="A1392" s="10"/>
      <c r="B1392" s="10"/>
      <c r="C1392" s="10"/>
      <c r="D1392" s="10"/>
      <c r="E1392" s="10"/>
      <c r="F1392" s="10"/>
      <c r="G1392" s="10"/>
      <c r="H1392" s="10"/>
      <c r="I1392" s="1" t="str">
        <f t="shared" si="63"/>
        <v/>
      </c>
      <c r="J1392" s="1" t="s">
        <v>35</v>
      </c>
      <c r="K1392" s="1" t="str">
        <f t="shared" si="64"/>
        <v/>
      </c>
      <c r="L1392" s="1" t="str">
        <f t="shared" si="65"/>
        <v/>
      </c>
      <c r="M1392" s="1">
        <f>IF(OR(Table1[[#This Row],[Std Nom]]="",Table1[[#This Row],[Std Read]]=""),0,Table1[[#This Row],[Std Nom]]-Table1[[#This Row],[Std Read]])</f>
        <v>0</v>
      </c>
      <c r="N1392" s="1">
        <f>IF(Calculations!$F$5="ACCREDITED 17025 WITH UNCERTAINTIES",$N$10,0)</f>
        <v>0</v>
      </c>
      <c r="Q1392" s="1">
        <f>Table1[[#This Row],[High Tol]]-Table1[[#This Row],[Low Tol]]</f>
        <v>0</v>
      </c>
      <c r="R1392" s="1">
        <f>2*Table1[[#This Row],[Std Error]]</f>
        <v>0</v>
      </c>
      <c r="S1392" s="1" t="str">
        <f>IF(Table1[[#This Row],[High Tol]]="","N/A",IFERROR(ABS(Table1[[#This Row],[Tol Span]]/Table1[[#This Row],[Error Span]]),"N/A"))</f>
        <v>N/A</v>
      </c>
      <c r="T1392" s="1" t="str">
        <f>IF(OR(Table1[[#This Row],[Low Tol]]="",Table1[[#This Row],[High Tol]]=""),"Needs Analysis",IF(Table1[[#This Row],[Ratio]]&gt;=4,"Not Significant",IF(Table1[[#This Row],[Ratio]]&gt;=2,"Semi-Significant","Significant")))</f>
        <v>Needs Analysis</v>
      </c>
      <c r="W1392" s="1">
        <f>IF(Table1[[#This Row],[Cal Type]]&lt;&gt;"ACCREDITED 17025 WITH UNCERTAINTIES",0,"")</f>
        <v>0</v>
      </c>
      <c r="X1392" s="1" t="str">
        <f>IF(Table1[[#This Row],[DUT Read]]="","N/A",Table1[[#This Row],[Std Error]]+Table1[[#This Row],[DUT Read]]+Table1[[#This Row],[DUT Ucty]])</f>
        <v>N/A</v>
      </c>
      <c r="Y1392" s="1" t="str">
        <f>IF(Table1[[#This Row],[Std Read]]="","N/A",Table1[[#This Row],[Std Read]]+Table1[[#This Row],[Std Ucty]])</f>
        <v>N/A</v>
      </c>
      <c r="Z13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2" s="1" t="str">
        <f>IF(Table1[[#This Row],[Spec Type]]="","N/A",Table1[[#This Row],[Spec Type]])</f>
        <v>±</v>
      </c>
      <c r="AC1392" s="1" t="str">
        <f>IF(Table1[[#This Row],[Spec Type2]]="N/A","N/A",IF(AND(Table1[[#This Row],[DUT Adj Read]]&gt;=Table1[[#This Row],[Low Tol]],Table1[[#This Row],[DUT Adj Read]]&lt;=Table1[[#This Row],[High Tol]]),"Pass","Fail"))</f>
        <v>Fail</v>
      </c>
      <c r="AD1392" s="1" t="str">
        <f>IF(AND(Table1[[#This Row],[Spec Type2]]="N/A",Table1[[#This Row],[DUT Adj Read]]="N/A",Table1[[#This Row],[Std Adj Read]]="N/A"),"N/A",IF(Table1[[#This Row],[DUT Adj Read]]="N/A",IF(Table1[[#This Row],[Std Adj Read]]&gt;Table1[[#This Row],[Low Tol]],"Pass","Fail"),IF(Table1[[#This Row],[DUT Adj Read]]&gt;Table1[[#This Row],[Low Tol]],"Pass","Fail")))</f>
        <v>Pass</v>
      </c>
      <c r="AE1392" s="1" t="str">
        <f>IF(AND(Table1[[#This Row],[Spec Type2]]="N/A",Table1[[#This Row],[DUT Adj Read]]="N/A",Table1[[#This Row],[Std Adj Read]]="N/A"),"N/A",IF(Table1[[#This Row],[DUT Adj Read]]="N/A",IF(Table1[[#This Row],[Std Adj Read]]&lt;Table1[[#This Row],[High Tol]],"Pass","Fail"),IF(Table1[[#This Row],[DUT Adj Read]]&lt;Table1[[#This Row],[High Tol]],"Pass","Fail")))</f>
        <v>Fail</v>
      </c>
      <c r="AF1392" s="1" t="str">
        <f>IF(AND(Table1[[#This Row],[Spec Type2]]="N/A",Table1[[#This Row],[DUT Adj Read]]="N/A",Table1[[#This Row],[Std Adj Read]]="N/A"),"N/A",IF(Table1[[#This Row],[DUT Adj Read]]="N/A",IF(Table1[[#This Row],[Std Adj Read]]&gt;=Table1[[#This Row],[Low Tol]],"Pass","Fail"),IF(Table1[[#This Row],[DUT Adj Read]]&gt;=Table1[[#This Row],[Low Tol]],"Pass","Fail")))</f>
        <v>Pass</v>
      </c>
      <c r="AG1392" s="1" t="str">
        <f>IF(AND(Table1[[#This Row],[Spec Type2]]="N/A",Table1[[#This Row],[DUT Adj Read]]="N/A",Table1[[#This Row],[Std Adj Read]]="N/A"),"N/A",IF(Table1[[#This Row],[DUT Adj Read]]="N/A",IF(Table1[[#This Row],[Std Adj Read]]&lt;=Table1[[#This Row],[High Tol]],"Pass","Fail"),IF(Table1[[#This Row],[DUT Adj Read]]&lt;=Table1[[#This Row],[High Tol]],"Pass","Fail")))</f>
        <v>Fail</v>
      </c>
      <c r="AH13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2" s="1" t="b">
        <v>0</v>
      </c>
      <c r="AN1392" s="1" t="b">
        <v>0</v>
      </c>
      <c r="AO1392" s="1" t="b">
        <v>0</v>
      </c>
    </row>
    <row r="1393" spans="1:41" x14ac:dyDescent="0.25">
      <c r="A1393" s="10"/>
      <c r="B1393" s="10"/>
      <c r="C1393" s="10"/>
      <c r="D1393" s="10"/>
      <c r="E1393" s="10"/>
      <c r="F1393" s="10"/>
      <c r="G1393" s="10"/>
      <c r="H1393" s="10"/>
      <c r="I1393" s="1" t="str">
        <f t="shared" si="63"/>
        <v/>
      </c>
      <c r="J1393" s="1" t="s">
        <v>35</v>
      </c>
      <c r="K1393" s="1" t="str">
        <f t="shared" si="64"/>
        <v/>
      </c>
      <c r="L1393" s="1" t="str">
        <f t="shared" si="65"/>
        <v/>
      </c>
      <c r="M1393" s="1">
        <f>IF(OR(Table1[[#This Row],[Std Nom]]="",Table1[[#This Row],[Std Read]]=""),0,Table1[[#This Row],[Std Nom]]-Table1[[#This Row],[Std Read]])</f>
        <v>0</v>
      </c>
      <c r="N1393" s="1">
        <f>IF(Calculations!$F$5="ACCREDITED 17025 WITH UNCERTAINTIES",$N$10,0)</f>
        <v>0</v>
      </c>
      <c r="Q1393" s="1">
        <f>Table1[[#This Row],[High Tol]]-Table1[[#This Row],[Low Tol]]</f>
        <v>0</v>
      </c>
      <c r="R1393" s="1">
        <f>2*Table1[[#This Row],[Std Error]]</f>
        <v>0</v>
      </c>
      <c r="S1393" s="1" t="str">
        <f>IF(Table1[[#This Row],[High Tol]]="","N/A",IFERROR(ABS(Table1[[#This Row],[Tol Span]]/Table1[[#This Row],[Error Span]]),"N/A"))</f>
        <v>N/A</v>
      </c>
      <c r="T1393" s="1" t="str">
        <f>IF(OR(Table1[[#This Row],[Low Tol]]="",Table1[[#This Row],[High Tol]]=""),"Needs Analysis",IF(Table1[[#This Row],[Ratio]]&gt;=4,"Not Significant",IF(Table1[[#This Row],[Ratio]]&gt;=2,"Semi-Significant","Significant")))</f>
        <v>Needs Analysis</v>
      </c>
      <c r="W1393" s="1">
        <f>IF(Table1[[#This Row],[Cal Type]]&lt;&gt;"ACCREDITED 17025 WITH UNCERTAINTIES",0,"")</f>
        <v>0</v>
      </c>
      <c r="X1393" s="1" t="str">
        <f>IF(Table1[[#This Row],[DUT Read]]="","N/A",Table1[[#This Row],[Std Error]]+Table1[[#This Row],[DUT Read]]+Table1[[#This Row],[DUT Ucty]])</f>
        <v>N/A</v>
      </c>
      <c r="Y1393" s="1" t="str">
        <f>IF(Table1[[#This Row],[Std Read]]="","N/A",Table1[[#This Row],[Std Read]]+Table1[[#This Row],[Std Ucty]])</f>
        <v>N/A</v>
      </c>
      <c r="Z13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3" s="1" t="str">
        <f>IF(Table1[[#This Row],[Spec Type]]="","N/A",Table1[[#This Row],[Spec Type]])</f>
        <v>±</v>
      </c>
      <c r="AC1393" s="1" t="str">
        <f>IF(Table1[[#This Row],[Spec Type2]]="N/A","N/A",IF(AND(Table1[[#This Row],[DUT Adj Read]]&gt;=Table1[[#This Row],[Low Tol]],Table1[[#This Row],[DUT Adj Read]]&lt;=Table1[[#This Row],[High Tol]]),"Pass","Fail"))</f>
        <v>Fail</v>
      </c>
      <c r="AD1393" s="1" t="str">
        <f>IF(AND(Table1[[#This Row],[Spec Type2]]="N/A",Table1[[#This Row],[DUT Adj Read]]="N/A",Table1[[#This Row],[Std Adj Read]]="N/A"),"N/A",IF(Table1[[#This Row],[DUT Adj Read]]="N/A",IF(Table1[[#This Row],[Std Adj Read]]&gt;Table1[[#This Row],[Low Tol]],"Pass","Fail"),IF(Table1[[#This Row],[DUT Adj Read]]&gt;Table1[[#This Row],[Low Tol]],"Pass","Fail")))</f>
        <v>Pass</v>
      </c>
      <c r="AE1393" s="1" t="str">
        <f>IF(AND(Table1[[#This Row],[Spec Type2]]="N/A",Table1[[#This Row],[DUT Adj Read]]="N/A",Table1[[#This Row],[Std Adj Read]]="N/A"),"N/A",IF(Table1[[#This Row],[DUT Adj Read]]="N/A",IF(Table1[[#This Row],[Std Adj Read]]&lt;Table1[[#This Row],[High Tol]],"Pass","Fail"),IF(Table1[[#This Row],[DUT Adj Read]]&lt;Table1[[#This Row],[High Tol]],"Pass","Fail")))</f>
        <v>Fail</v>
      </c>
      <c r="AF1393" s="1" t="str">
        <f>IF(AND(Table1[[#This Row],[Spec Type2]]="N/A",Table1[[#This Row],[DUT Adj Read]]="N/A",Table1[[#This Row],[Std Adj Read]]="N/A"),"N/A",IF(Table1[[#This Row],[DUT Adj Read]]="N/A",IF(Table1[[#This Row],[Std Adj Read]]&gt;=Table1[[#This Row],[Low Tol]],"Pass","Fail"),IF(Table1[[#This Row],[DUT Adj Read]]&gt;=Table1[[#This Row],[Low Tol]],"Pass","Fail")))</f>
        <v>Pass</v>
      </c>
      <c r="AG1393" s="1" t="str">
        <f>IF(AND(Table1[[#This Row],[Spec Type2]]="N/A",Table1[[#This Row],[DUT Adj Read]]="N/A",Table1[[#This Row],[Std Adj Read]]="N/A"),"N/A",IF(Table1[[#This Row],[DUT Adj Read]]="N/A",IF(Table1[[#This Row],[Std Adj Read]]&lt;=Table1[[#This Row],[High Tol]],"Pass","Fail"),IF(Table1[[#This Row],[DUT Adj Read]]&lt;=Table1[[#This Row],[High Tol]],"Pass","Fail")))</f>
        <v>Fail</v>
      </c>
      <c r="AH13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3" s="1" t="b">
        <v>0</v>
      </c>
      <c r="AN1393" s="1" t="b">
        <v>0</v>
      </c>
      <c r="AO1393" s="1" t="b">
        <v>0</v>
      </c>
    </row>
    <row r="1394" spans="1:41" x14ac:dyDescent="0.25">
      <c r="A1394" s="10"/>
      <c r="B1394" s="10"/>
      <c r="C1394" s="10"/>
      <c r="D1394" s="10"/>
      <c r="E1394" s="10"/>
      <c r="F1394" s="10"/>
      <c r="G1394" s="10"/>
      <c r="H1394" s="10"/>
      <c r="I1394" s="1" t="str">
        <f t="shared" si="63"/>
        <v/>
      </c>
      <c r="J1394" s="1" t="s">
        <v>35</v>
      </c>
      <c r="K1394" s="1" t="str">
        <f t="shared" si="64"/>
        <v/>
      </c>
      <c r="L1394" s="1" t="str">
        <f t="shared" si="65"/>
        <v/>
      </c>
      <c r="M1394" s="1">
        <f>IF(OR(Table1[[#This Row],[Std Nom]]="",Table1[[#This Row],[Std Read]]=""),0,Table1[[#This Row],[Std Nom]]-Table1[[#This Row],[Std Read]])</f>
        <v>0</v>
      </c>
      <c r="N1394" s="1">
        <f>IF(Calculations!$F$5="ACCREDITED 17025 WITH UNCERTAINTIES",$N$10,0)</f>
        <v>0</v>
      </c>
      <c r="Q1394" s="1">
        <f>Table1[[#This Row],[High Tol]]-Table1[[#This Row],[Low Tol]]</f>
        <v>0</v>
      </c>
      <c r="R1394" s="1">
        <f>2*Table1[[#This Row],[Std Error]]</f>
        <v>0</v>
      </c>
      <c r="S1394" s="1" t="str">
        <f>IF(Table1[[#This Row],[High Tol]]="","N/A",IFERROR(ABS(Table1[[#This Row],[Tol Span]]/Table1[[#This Row],[Error Span]]),"N/A"))</f>
        <v>N/A</v>
      </c>
      <c r="T1394" s="1" t="str">
        <f>IF(OR(Table1[[#This Row],[Low Tol]]="",Table1[[#This Row],[High Tol]]=""),"Needs Analysis",IF(Table1[[#This Row],[Ratio]]&gt;=4,"Not Significant",IF(Table1[[#This Row],[Ratio]]&gt;=2,"Semi-Significant","Significant")))</f>
        <v>Needs Analysis</v>
      </c>
      <c r="W1394" s="1">
        <f>IF(Table1[[#This Row],[Cal Type]]&lt;&gt;"ACCREDITED 17025 WITH UNCERTAINTIES",0,"")</f>
        <v>0</v>
      </c>
      <c r="X1394" s="1" t="str">
        <f>IF(Table1[[#This Row],[DUT Read]]="","N/A",Table1[[#This Row],[Std Error]]+Table1[[#This Row],[DUT Read]]+Table1[[#This Row],[DUT Ucty]])</f>
        <v>N/A</v>
      </c>
      <c r="Y1394" s="1" t="str">
        <f>IF(Table1[[#This Row],[Std Read]]="","N/A",Table1[[#This Row],[Std Read]]+Table1[[#This Row],[Std Ucty]])</f>
        <v>N/A</v>
      </c>
      <c r="Z13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4" s="1" t="str">
        <f>IF(Table1[[#This Row],[Spec Type]]="","N/A",Table1[[#This Row],[Spec Type]])</f>
        <v>±</v>
      </c>
      <c r="AC1394" s="1" t="str">
        <f>IF(Table1[[#This Row],[Spec Type2]]="N/A","N/A",IF(AND(Table1[[#This Row],[DUT Adj Read]]&gt;=Table1[[#This Row],[Low Tol]],Table1[[#This Row],[DUT Adj Read]]&lt;=Table1[[#This Row],[High Tol]]),"Pass","Fail"))</f>
        <v>Fail</v>
      </c>
      <c r="AD1394" s="1" t="str">
        <f>IF(AND(Table1[[#This Row],[Spec Type2]]="N/A",Table1[[#This Row],[DUT Adj Read]]="N/A",Table1[[#This Row],[Std Adj Read]]="N/A"),"N/A",IF(Table1[[#This Row],[DUT Adj Read]]="N/A",IF(Table1[[#This Row],[Std Adj Read]]&gt;Table1[[#This Row],[Low Tol]],"Pass","Fail"),IF(Table1[[#This Row],[DUT Adj Read]]&gt;Table1[[#This Row],[Low Tol]],"Pass","Fail")))</f>
        <v>Pass</v>
      </c>
      <c r="AE1394" s="1" t="str">
        <f>IF(AND(Table1[[#This Row],[Spec Type2]]="N/A",Table1[[#This Row],[DUT Adj Read]]="N/A",Table1[[#This Row],[Std Adj Read]]="N/A"),"N/A",IF(Table1[[#This Row],[DUT Adj Read]]="N/A",IF(Table1[[#This Row],[Std Adj Read]]&lt;Table1[[#This Row],[High Tol]],"Pass","Fail"),IF(Table1[[#This Row],[DUT Adj Read]]&lt;Table1[[#This Row],[High Tol]],"Pass","Fail")))</f>
        <v>Fail</v>
      </c>
      <c r="AF1394" s="1" t="str">
        <f>IF(AND(Table1[[#This Row],[Spec Type2]]="N/A",Table1[[#This Row],[DUT Adj Read]]="N/A",Table1[[#This Row],[Std Adj Read]]="N/A"),"N/A",IF(Table1[[#This Row],[DUT Adj Read]]="N/A",IF(Table1[[#This Row],[Std Adj Read]]&gt;=Table1[[#This Row],[Low Tol]],"Pass","Fail"),IF(Table1[[#This Row],[DUT Adj Read]]&gt;=Table1[[#This Row],[Low Tol]],"Pass","Fail")))</f>
        <v>Pass</v>
      </c>
      <c r="AG1394" s="1" t="str">
        <f>IF(AND(Table1[[#This Row],[Spec Type2]]="N/A",Table1[[#This Row],[DUT Adj Read]]="N/A",Table1[[#This Row],[Std Adj Read]]="N/A"),"N/A",IF(Table1[[#This Row],[DUT Adj Read]]="N/A",IF(Table1[[#This Row],[Std Adj Read]]&lt;=Table1[[#This Row],[High Tol]],"Pass","Fail"),IF(Table1[[#This Row],[DUT Adj Read]]&lt;=Table1[[#This Row],[High Tol]],"Pass","Fail")))</f>
        <v>Fail</v>
      </c>
      <c r="AH13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4" s="1" t="b">
        <v>0</v>
      </c>
      <c r="AN1394" s="1" t="b">
        <v>0</v>
      </c>
      <c r="AO1394" s="1" t="b">
        <v>0</v>
      </c>
    </row>
    <row r="1395" spans="1:41" x14ac:dyDescent="0.25">
      <c r="A1395" s="10"/>
      <c r="B1395" s="10"/>
      <c r="C1395" s="10"/>
      <c r="D1395" s="10"/>
      <c r="E1395" s="10"/>
      <c r="F1395" s="10"/>
      <c r="G1395" s="10"/>
      <c r="H1395" s="10"/>
      <c r="I1395" s="1" t="str">
        <f t="shared" si="63"/>
        <v/>
      </c>
      <c r="J1395" s="1" t="s">
        <v>35</v>
      </c>
      <c r="K1395" s="1" t="str">
        <f t="shared" si="64"/>
        <v/>
      </c>
      <c r="L1395" s="1" t="str">
        <f t="shared" si="65"/>
        <v/>
      </c>
      <c r="M1395" s="1">
        <f>IF(OR(Table1[[#This Row],[Std Nom]]="",Table1[[#This Row],[Std Read]]=""),0,Table1[[#This Row],[Std Nom]]-Table1[[#This Row],[Std Read]])</f>
        <v>0</v>
      </c>
      <c r="N1395" s="1">
        <f>IF(Calculations!$F$5="ACCREDITED 17025 WITH UNCERTAINTIES",$N$10,0)</f>
        <v>0</v>
      </c>
      <c r="Q1395" s="1">
        <f>Table1[[#This Row],[High Tol]]-Table1[[#This Row],[Low Tol]]</f>
        <v>0</v>
      </c>
      <c r="R1395" s="1">
        <f>2*Table1[[#This Row],[Std Error]]</f>
        <v>0</v>
      </c>
      <c r="S1395" s="1" t="str">
        <f>IF(Table1[[#This Row],[High Tol]]="","N/A",IFERROR(ABS(Table1[[#This Row],[Tol Span]]/Table1[[#This Row],[Error Span]]),"N/A"))</f>
        <v>N/A</v>
      </c>
      <c r="T1395" s="1" t="str">
        <f>IF(OR(Table1[[#This Row],[Low Tol]]="",Table1[[#This Row],[High Tol]]=""),"Needs Analysis",IF(Table1[[#This Row],[Ratio]]&gt;=4,"Not Significant",IF(Table1[[#This Row],[Ratio]]&gt;=2,"Semi-Significant","Significant")))</f>
        <v>Needs Analysis</v>
      </c>
      <c r="W1395" s="1">
        <f>IF(Table1[[#This Row],[Cal Type]]&lt;&gt;"ACCREDITED 17025 WITH UNCERTAINTIES",0,"")</f>
        <v>0</v>
      </c>
      <c r="X1395" s="1" t="str">
        <f>IF(Table1[[#This Row],[DUT Read]]="","N/A",Table1[[#This Row],[Std Error]]+Table1[[#This Row],[DUT Read]]+Table1[[#This Row],[DUT Ucty]])</f>
        <v>N/A</v>
      </c>
      <c r="Y1395" s="1" t="str">
        <f>IF(Table1[[#This Row],[Std Read]]="","N/A",Table1[[#This Row],[Std Read]]+Table1[[#This Row],[Std Ucty]])</f>
        <v>N/A</v>
      </c>
      <c r="Z13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5" s="1" t="str">
        <f>IF(Table1[[#This Row],[Spec Type]]="","N/A",Table1[[#This Row],[Spec Type]])</f>
        <v>±</v>
      </c>
      <c r="AC1395" s="1" t="str">
        <f>IF(Table1[[#This Row],[Spec Type2]]="N/A","N/A",IF(AND(Table1[[#This Row],[DUT Adj Read]]&gt;=Table1[[#This Row],[Low Tol]],Table1[[#This Row],[DUT Adj Read]]&lt;=Table1[[#This Row],[High Tol]]),"Pass","Fail"))</f>
        <v>Fail</v>
      </c>
      <c r="AD1395" s="1" t="str">
        <f>IF(AND(Table1[[#This Row],[Spec Type2]]="N/A",Table1[[#This Row],[DUT Adj Read]]="N/A",Table1[[#This Row],[Std Adj Read]]="N/A"),"N/A",IF(Table1[[#This Row],[DUT Adj Read]]="N/A",IF(Table1[[#This Row],[Std Adj Read]]&gt;Table1[[#This Row],[Low Tol]],"Pass","Fail"),IF(Table1[[#This Row],[DUT Adj Read]]&gt;Table1[[#This Row],[Low Tol]],"Pass","Fail")))</f>
        <v>Pass</v>
      </c>
      <c r="AE1395" s="1" t="str">
        <f>IF(AND(Table1[[#This Row],[Spec Type2]]="N/A",Table1[[#This Row],[DUT Adj Read]]="N/A",Table1[[#This Row],[Std Adj Read]]="N/A"),"N/A",IF(Table1[[#This Row],[DUT Adj Read]]="N/A",IF(Table1[[#This Row],[Std Adj Read]]&lt;Table1[[#This Row],[High Tol]],"Pass","Fail"),IF(Table1[[#This Row],[DUT Adj Read]]&lt;Table1[[#This Row],[High Tol]],"Pass","Fail")))</f>
        <v>Fail</v>
      </c>
      <c r="AF1395" s="1" t="str">
        <f>IF(AND(Table1[[#This Row],[Spec Type2]]="N/A",Table1[[#This Row],[DUT Adj Read]]="N/A",Table1[[#This Row],[Std Adj Read]]="N/A"),"N/A",IF(Table1[[#This Row],[DUT Adj Read]]="N/A",IF(Table1[[#This Row],[Std Adj Read]]&gt;=Table1[[#This Row],[Low Tol]],"Pass","Fail"),IF(Table1[[#This Row],[DUT Adj Read]]&gt;=Table1[[#This Row],[Low Tol]],"Pass","Fail")))</f>
        <v>Pass</v>
      </c>
      <c r="AG1395" s="1" t="str">
        <f>IF(AND(Table1[[#This Row],[Spec Type2]]="N/A",Table1[[#This Row],[DUT Adj Read]]="N/A",Table1[[#This Row],[Std Adj Read]]="N/A"),"N/A",IF(Table1[[#This Row],[DUT Adj Read]]="N/A",IF(Table1[[#This Row],[Std Adj Read]]&lt;=Table1[[#This Row],[High Tol]],"Pass","Fail"),IF(Table1[[#This Row],[DUT Adj Read]]&lt;=Table1[[#This Row],[High Tol]],"Pass","Fail")))</f>
        <v>Fail</v>
      </c>
      <c r="AH13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5" s="1" t="b">
        <v>0</v>
      </c>
      <c r="AN1395" s="1" t="b">
        <v>0</v>
      </c>
      <c r="AO1395" s="1" t="b">
        <v>0</v>
      </c>
    </row>
    <row r="1396" spans="1:41" x14ac:dyDescent="0.25">
      <c r="A1396" s="10"/>
      <c r="B1396" s="10"/>
      <c r="C1396" s="10"/>
      <c r="D1396" s="10"/>
      <c r="E1396" s="10"/>
      <c r="F1396" s="10"/>
      <c r="G1396" s="10"/>
      <c r="H1396" s="10"/>
      <c r="I1396" s="1" t="str">
        <f t="shared" si="63"/>
        <v/>
      </c>
      <c r="J1396" s="1" t="s">
        <v>35</v>
      </c>
      <c r="K1396" s="1" t="str">
        <f t="shared" si="64"/>
        <v/>
      </c>
      <c r="L1396" s="1" t="str">
        <f t="shared" si="65"/>
        <v/>
      </c>
      <c r="M1396" s="1">
        <f>IF(OR(Table1[[#This Row],[Std Nom]]="",Table1[[#This Row],[Std Read]]=""),0,Table1[[#This Row],[Std Nom]]-Table1[[#This Row],[Std Read]])</f>
        <v>0</v>
      </c>
      <c r="N1396" s="1">
        <f>IF(Calculations!$F$5="ACCREDITED 17025 WITH UNCERTAINTIES",$N$10,0)</f>
        <v>0</v>
      </c>
      <c r="Q1396" s="1">
        <f>Table1[[#This Row],[High Tol]]-Table1[[#This Row],[Low Tol]]</f>
        <v>0</v>
      </c>
      <c r="R1396" s="1">
        <f>2*Table1[[#This Row],[Std Error]]</f>
        <v>0</v>
      </c>
      <c r="S1396" s="1" t="str">
        <f>IF(Table1[[#This Row],[High Tol]]="","N/A",IFERROR(ABS(Table1[[#This Row],[Tol Span]]/Table1[[#This Row],[Error Span]]),"N/A"))</f>
        <v>N/A</v>
      </c>
      <c r="T1396" s="1" t="str">
        <f>IF(OR(Table1[[#This Row],[Low Tol]]="",Table1[[#This Row],[High Tol]]=""),"Needs Analysis",IF(Table1[[#This Row],[Ratio]]&gt;=4,"Not Significant",IF(Table1[[#This Row],[Ratio]]&gt;=2,"Semi-Significant","Significant")))</f>
        <v>Needs Analysis</v>
      </c>
      <c r="W1396" s="1">
        <f>IF(Table1[[#This Row],[Cal Type]]&lt;&gt;"ACCREDITED 17025 WITH UNCERTAINTIES",0,"")</f>
        <v>0</v>
      </c>
      <c r="X1396" s="1" t="str">
        <f>IF(Table1[[#This Row],[DUT Read]]="","N/A",Table1[[#This Row],[Std Error]]+Table1[[#This Row],[DUT Read]]+Table1[[#This Row],[DUT Ucty]])</f>
        <v>N/A</v>
      </c>
      <c r="Y1396" s="1" t="str">
        <f>IF(Table1[[#This Row],[Std Read]]="","N/A",Table1[[#This Row],[Std Read]]+Table1[[#This Row],[Std Ucty]])</f>
        <v>N/A</v>
      </c>
      <c r="Z13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6" s="1" t="str">
        <f>IF(Table1[[#This Row],[Spec Type]]="","N/A",Table1[[#This Row],[Spec Type]])</f>
        <v>±</v>
      </c>
      <c r="AC1396" s="1" t="str">
        <f>IF(Table1[[#This Row],[Spec Type2]]="N/A","N/A",IF(AND(Table1[[#This Row],[DUT Adj Read]]&gt;=Table1[[#This Row],[Low Tol]],Table1[[#This Row],[DUT Adj Read]]&lt;=Table1[[#This Row],[High Tol]]),"Pass","Fail"))</f>
        <v>Fail</v>
      </c>
      <c r="AD1396" s="1" t="str">
        <f>IF(AND(Table1[[#This Row],[Spec Type2]]="N/A",Table1[[#This Row],[DUT Adj Read]]="N/A",Table1[[#This Row],[Std Adj Read]]="N/A"),"N/A",IF(Table1[[#This Row],[DUT Adj Read]]="N/A",IF(Table1[[#This Row],[Std Adj Read]]&gt;Table1[[#This Row],[Low Tol]],"Pass","Fail"),IF(Table1[[#This Row],[DUT Adj Read]]&gt;Table1[[#This Row],[Low Tol]],"Pass","Fail")))</f>
        <v>Pass</v>
      </c>
      <c r="AE1396" s="1" t="str">
        <f>IF(AND(Table1[[#This Row],[Spec Type2]]="N/A",Table1[[#This Row],[DUT Adj Read]]="N/A",Table1[[#This Row],[Std Adj Read]]="N/A"),"N/A",IF(Table1[[#This Row],[DUT Adj Read]]="N/A",IF(Table1[[#This Row],[Std Adj Read]]&lt;Table1[[#This Row],[High Tol]],"Pass","Fail"),IF(Table1[[#This Row],[DUT Adj Read]]&lt;Table1[[#This Row],[High Tol]],"Pass","Fail")))</f>
        <v>Fail</v>
      </c>
      <c r="AF1396" s="1" t="str">
        <f>IF(AND(Table1[[#This Row],[Spec Type2]]="N/A",Table1[[#This Row],[DUT Adj Read]]="N/A",Table1[[#This Row],[Std Adj Read]]="N/A"),"N/A",IF(Table1[[#This Row],[DUT Adj Read]]="N/A",IF(Table1[[#This Row],[Std Adj Read]]&gt;=Table1[[#This Row],[Low Tol]],"Pass","Fail"),IF(Table1[[#This Row],[DUT Adj Read]]&gt;=Table1[[#This Row],[Low Tol]],"Pass","Fail")))</f>
        <v>Pass</v>
      </c>
      <c r="AG1396" s="1" t="str">
        <f>IF(AND(Table1[[#This Row],[Spec Type2]]="N/A",Table1[[#This Row],[DUT Adj Read]]="N/A",Table1[[#This Row],[Std Adj Read]]="N/A"),"N/A",IF(Table1[[#This Row],[DUT Adj Read]]="N/A",IF(Table1[[#This Row],[Std Adj Read]]&lt;=Table1[[#This Row],[High Tol]],"Pass","Fail"),IF(Table1[[#This Row],[DUT Adj Read]]&lt;=Table1[[#This Row],[High Tol]],"Pass","Fail")))</f>
        <v>Fail</v>
      </c>
      <c r="AH13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6" s="1" t="b">
        <v>0</v>
      </c>
      <c r="AN1396" s="1" t="b">
        <v>0</v>
      </c>
      <c r="AO1396" s="1" t="b">
        <v>0</v>
      </c>
    </row>
    <row r="1397" spans="1:41" x14ac:dyDescent="0.25">
      <c r="A1397" s="10"/>
      <c r="B1397" s="10"/>
      <c r="C1397" s="10"/>
      <c r="D1397" s="10"/>
      <c r="E1397" s="10"/>
      <c r="F1397" s="10"/>
      <c r="G1397" s="10"/>
      <c r="H1397" s="10"/>
      <c r="I1397" s="1" t="str">
        <f t="shared" si="63"/>
        <v/>
      </c>
      <c r="J1397" s="1" t="s">
        <v>35</v>
      </c>
      <c r="K1397" s="1" t="str">
        <f t="shared" si="64"/>
        <v/>
      </c>
      <c r="L1397" s="1" t="str">
        <f t="shared" si="65"/>
        <v/>
      </c>
      <c r="M1397" s="1">
        <f>IF(OR(Table1[[#This Row],[Std Nom]]="",Table1[[#This Row],[Std Read]]=""),0,Table1[[#This Row],[Std Nom]]-Table1[[#This Row],[Std Read]])</f>
        <v>0</v>
      </c>
      <c r="N1397" s="1">
        <f>IF(Calculations!$F$5="ACCREDITED 17025 WITH UNCERTAINTIES",$N$10,0)</f>
        <v>0</v>
      </c>
      <c r="Q1397" s="1">
        <f>Table1[[#This Row],[High Tol]]-Table1[[#This Row],[Low Tol]]</f>
        <v>0</v>
      </c>
      <c r="R1397" s="1">
        <f>2*Table1[[#This Row],[Std Error]]</f>
        <v>0</v>
      </c>
      <c r="S1397" s="1" t="str">
        <f>IF(Table1[[#This Row],[High Tol]]="","N/A",IFERROR(ABS(Table1[[#This Row],[Tol Span]]/Table1[[#This Row],[Error Span]]),"N/A"))</f>
        <v>N/A</v>
      </c>
      <c r="T1397" s="1" t="str">
        <f>IF(OR(Table1[[#This Row],[Low Tol]]="",Table1[[#This Row],[High Tol]]=""),"Needs Analysis",IF(Table1[[#This Row],[Ratio]]&gt;=4,"Not Significant",IF(Table1[[#This Row],[Ratio]]&gt;=2,"Semi-Significant","Significant")))</f>
        <v>Needs Analysis</v>
      </c>
      <c r="W1397" s="1">
        <f>IF(Table1[[#This Row],[Cal Type]]&lt;&gt;"ACCREDITED 17025 WITH UNCERTAINTIES",0,"")</f>
        <v>0</v>
      </c>
      <c r="X1397" s="1" t="str">
        <f>IF(Table1[[#This Row],[DUT Read]]="","N/A",Table1[[#This Row],[Std Error]]+Table1[[#This Row],[DUT Read]]+Table1[[#This Row],[DUT Ucty]])</f>
        <v>N/A</v>
      </c>
      <c r="Y1397" s="1" t="str">
        <f>IF(Table1[[#This Row],[Std Read]]="","N/A",Table1[[#This Row],[Std Read]]+Table1[[#This Row],[Std Ucty]])</f>
        <v>N/A</v>
      </c>
      <c r="Z13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7" s="1" t="str">
        <f>IF(Table1[[#This Row],[Spec Type]]="","N/A",Table1[[#This Row],[Spec Type]])</f>
        <v>±</v>
      </c>
      <c r="AC1397" s="1" t="str">
        <f>IF(Table1[[#This Row],[Spec Type2]]="N/A","N/A",IF(AND(Table1[[#This Row],[DUT Adj Read]]&gt;=Table1[[#This Row],[Low Tol]],Table1[[#This Row],[DUT Adj Read]]&lt;=Table1[[#This Row],[High Tol]]),"Pass","Fail"))</f>
        <v>Fail</v>
      </c>
      <c r="AD1397" s="1" t="str">
        <f>IF(AND(Table1[[#This Row],[Spec Type2]]="N/A",Table1[[#This Row],[DUT Adj Read]]="N/A",Table1[[#This Row],[Std Adj Read]]="N/A"),"N/A",IF(Table1[[#This Row],[DUT Adj Read]]="N/A",IF(Table1[[#This Row],[Std Adj Read]]&gt;Table1[[#This Row],[Low Tol]],"Pass","Fail"),IF(Table1[[#This Row],[DUT Adj Read]]&gt;Table1[[#This Row],[Low Tol]],"Pass","Fail")))</f>
        <v>Pass</v>
      </c>
      <c r="AE1397" s="1" t="str">
        <f>IF(AND(Table1[[#This Row],[Spec Type2]]="N/A",Table1[[#This Row],[DUT Adj Read]]="N/A",Table1[[#This Row],[Std Adj Read]]="N/A"),"N/A",IF(Table1[[#This Row],[DUT Adj Read]]="N/A",IF(Table1[[#This Row],[Std Adj Read]]&lt;Table1[[#This Row],[High Tol]],"Pass","Fail"),IF(Table1[[#This Row],[DUT Adj Read]]&lt;Table1[[#This Row],[High Tol]],"Pass","Fail")))</f>
        <v>Fail</v>
      </c>
      <c r="AF1397" s="1" t="str">
        <f>IF(AND(Table1[[#This Row],[Spec Type2]]="N/A",Table1[[#This Row],[DUT Adj Read]]="N/A",Table1[[#This Row],[Std Adj Read]]="N/A"),"N/A",IF(Table1[[#This Row],[DUT Adj Read]]="N/A",IF(Table1[[#This Row],[Std Adj Read]]&gt;=Table1[[#This Row],[Low Tol]],"Pass","Fail"),IF(Table1[[#This Row],[DUT Adj Read]]&gt;=Table1[[#This Row],[Low Tol]],"Pass","Fail")))</f>
        <v>Pass</v>
      </c>
      <c r="AG1397" s="1" t="str">
        <f>IF(AND(Table1[[#This Row],[Spec Type2]]="N/A",Table1[[#This Row],[DUT Adj Read]]="N/A",Table1[[#This Row],[Std Adj Read]]="N/A"),"N/A",IF(Table1[[#This Row],[DUT Adj Read]]="N/A",IF(Table1[[#This Row],[Std Adj Read]]&lt;=Table1[[#This Row],[High Tol]],"Pass","Fail"),IF(Table1[[#This Row],[DUT Adj Read]]&lt;=Table1[[#This Row],[High Tol]],"Pass","Fail")))</f>
        <v>Fail</v>
      </c>
      <c r="AH13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7" s="1" t="b">
        <v>0</v>
      </c>
      <c r="AN1397" s="1" t="b">
        <v>0</v>
      </c>
      <c r="AO1397" s="1" t="b">
        <v>0</v>
      </c>
    </row>
    <row r="1398" spans="1:41" x14ac:dyDescent="0.25">
      <c r="A1398" s="10"/>
      <c r="B1398" s="10"/>
      <c r="C1398" s="10"/>
      <c r="D1398" s="10"/>
      <c r="E1398" s="10"/>
      <c r="F1398" s="10"/>
      <c r="G1398" s="10"/>
      <c r="H1398" s="10"/>
      <c r="I1398" s="1" t="str">
        <f t="shared" si="63"/>
        <v/>
      </c>
      <c r="J1398" s="1" t="s">
        <v>35</v>
      </c>
      <c r="K1398" s="1" t="str">
        <f t="shared" si="64"/>
        <v/>
      </c>
      <c r="L1398" s="1" t="str">
        <f t="shared" si="65"/>
        <v/>
      </c>
      <c r="M1398" s="1">
        <f>IF(OR(Table1[[#This Row],[Std Nom]]="",Table1[[#This Row],[Std Read]]=""),0,Table1[[#This Row],[Std Nom]]-Table1[[#This Row],[Std Read]])</f>
        <v>0</v>
      </c>
      <c r="N1398" s="1">
        <f>IF(Calculations!$F$5="ACCREDITED 17025 WITH UNCERTAINTIES",$N$10,0)</f>
        <v>0</v>
      </c>
      <c r="Q1398" s="1">
        <f>Table1[[#This Row],[High Tol]]-Table1[[#This Row],[Low Tol]]</f>
        <v>0</v>
      </c>
      <c r="R1398" s="1">
        <f>2*Table1[[#This Row],[Std Error]]</f>
        <v>0</v>
      </c>
      <c r="S1398" s="1" t="str">
        <f>IF(Table1[[#This Row],[High Tol]]="","N/A",IFERROR(ABS(Table1[[#This Row],[Tol Span]]/Table1[[#This Row],[Error Span]]),"N/A"))</f>
        <v>N/A</v>
      </c>
      <c r="T1398" s="1" t="str">
        <f>IF(OR(Table1[[#This Row],[Low Tol]]="",Table1[[#This Row],[High Tol]]=""),"Needs Analysis",IF(Table1[[#This Row],[Ratio]]&gt;=4,"Not Significant",IF(Table1[[#This Row],[Ratio]]&gt;=2,"Semi-Significant","Significant")))</f>
        <v>Needs Analysis</v>
      </c>
      <c r="W1398" s="1">
        <f>IF(Table1[[#This Row],[Cal Type]]&lt;&gt;"ACCREDITED 17025 WITH UNCERTAINTIES",0,"")</f>
        <v>0</v>
      </c>
      <c r="X1398" s="1" t="str">
        <f>IF(Table1[[#This Row],[DUT Read]]="","N/A",Table1[[#This Row],[Std Error]]+Table1[[#This Row],[DUT Read]]+Table1[[#This Row],[DUT Ucty]])</f>
        <v>N/A</v>
      </c>
      <c r="Y1398" s="1" t="str">
        <f>IF(Table1[[#This Row],[Std Read]]="","N/A",Table1[[#This Row],[Std Read]]+Table1[[#This Row],[Std Ucty]])</f>
        <v>N/A</v>
      </c>
      <c r="Z13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8" s="1" t="str">
        <f>IF(Table1[[#This Row],[Spec Type]]="","N/A",Table1[[#This Row],[Spec Type]])</f>
        <v>±</v>
      </c>
      <c r="AC1398" s="1" t="str">
        <f>IF(Table1[[#This Row],[Spec Type2]]="N/A","N/A",IF(AND(Table1[[#This Row],[DUT Adj Read]]&gt;=Table1[[#This Row],[Low Tol]],Table1[[#This Row],[DUT Adj Read]]&lt;=Table1[[#This Row],[High Tol]]),"Pass","Fail"))</f>
        <v>Fail</v>
      </c>
      <c r="AD1398" s="1" t="str">
        <f>IF(AND(Table1[[#This Row],[Spec Type2]]="N/A",Table1[[#This Row],[DUT Adj Read]]="N/A",Table1[[#This Row],[Std Adj Read]]="N/A"),"N/A",IF(Table1[[#This Row],[DUT Adj Read]]="N/A",IF(Table1[[#This Row],[Std Adj Read]]&gt;Table1[[#This Row],[Low Tol]],"Pass","Fail"),IF(Table1[[#This Row],[DUT Adj Read]]&gt;Table1[[#This Row],[Low Tol]],"Pass","Fail")))</f>
        <v>Pass</v>
      </c>
      <c r="AE1398" s="1" t="str">
        <f>IF(AND(Table1[[#This Row],[Spec Type2]]="N/A",Table1[[#This Row],[DUT Adj Read]]="N/A",Table1[[#This Row],[Std Adj Read]]="N/A"),"N/A",IF(Table1[[#This Row],[DUT Adj Read]]="N/A",IF(Table1[[#This Row],[Std Adj Read]]&lt;Table1[[#This Row],[High Tol]],"Pass","Fail"),IF(Table1[[#This Row],[DUT Adj Read]]&lt;Table1[[#This Row],[High Tol]],"Pass","Fail")))</f>
        <v>Fail</v>
      </c>
      <c r="AF1398" s="1" t="str">
        <f>IF(AND(Table1[[#This Row],[Spec Type2]]="N/A",Table1[[#This Row],[DUT Adj Read]]="N/A",Table1[[#This Row],[Std Adj Read]]="N/A"),"N/A",IF(Table1[[#This Row],[DUT Adj Read]]="N/A",IF(Table1[[#This Row],[Std Adj Read]]&gt;=Table1[[#This Row],[Low Tol]],"Pass","Fail"),IF(Table1[[#This Row],[DUT Adj Read]]&gt;=Table1[[#This Row],[Low Tol]],"Pass","Fail")))</f>
        <v>Pass</v>
      </c>
      <c r="AG1398" s="1" t="str">
        <f>IF(AND(Table1[[#This Row],[Spec Type2]]="N/A",Table1[[#This Row],[DUT Adj Read]]="N/A",Table1[[#This Row],[Std Adj Read]]="N/A"),"N/A",IF(Table1[[#This Row],[DUT Adj Read]]="N/A",IF(Table1[[#This Row],[Std Adj Read]]&lt;=Table1[[#This Row],[High Tol]],"Pass","Fail"),IF(Table1[[#This Row],[DUT Adj Read]]&lt;=Table1[[#This Row],[High Tol]],"Pass","Fail")))</f>
        <v>Fail</v>
      </c>
      <c r="AH13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8" s="1" t="b">
        <v>0</v>
      </c>
      <c r="AN1398" s="1" t="b">
        <v>0</v>
      </c>
      <c r="AO1398" s="1" t="b">
        <v>0</v>
      </c>
    </row>
    <row r="1399" spans="1:41" x14ac:dyDescent="0.25">
      <c r="A1399" s="10"/>
      <c r="B1399" s="10"/>
      <c r="C1399" s="10"/>
      <c r="D1399" s="10"/>
      <c r="E1399" s="10"/>
      <c r="F1399" s="10"/>
      <c r="G1399" s="10"/>
      <c r="H1399" s="10"/>
      <c r="I1399" s="1" t="str">
        <f t="shared" si="63"/>
        <v/>
      </c>
      <c r="J1399" s="1" t="s">
        <v>35</v>
      </c>
      <c r="K1399" s="1" t="str">
        <f t="shared" si="64"/>
        <v/>
      </c>
      <c r="L1399" s="1" t="str">
        <f t="shared" si="65"/>
        <v/>
      </c>
      <c r="M1399" s="1">
        <f>IF(OR(Table1[[#This Row],[Std Nom]]="",Table1[[#This Row],[Std Read]]=""),0,Table1[[#This Row],[Std Nom]]-Table1[[#This Row],[Std Read]])</f>
        <v>0</v>
      </c>
      <c r="N1399" s="1">
        <f>IF(Calculations!$F$5="ACCREDITED 17025 WITH UNCERTAINTIES",$N$10,0)</f>
        <v>0</v>
      </c>
      <c r="Q1399" s="1">
        <f>Table1[[#This Row],[High Tol]]-Table1[[#This Row],[Low Tol]]</f>
        <v>0</v>
      </c>
      <c r="R1399" s="1">
        <f>2*Table1[[#This Row],[Std Error]]</f>
        <v>0</v>
      </c>
      <c r="S1399" s="1" t="str">
        <f>IF(Table1[[#This Row],[High Tol]]="","N/A",IFERROR(ABS(Table1[[#This Row],[Tol Span]]/Table1[[#This Row],[Error Span]]),"N/A"))</f>
        <v>N/A</v>
      </c>
      <c r="T1399" s="1" t="str">
        <f>IF(OR(Table1[[#This Row],[Low Tol]]="",Table1[[#This Row],[High Tol]]=""),"Needs Analysis",IF(Table1[[#This Row],[Ratio]]&gt;=4,"Not Significant",IF(Table1[[#This Row],[Ratio]]&gt;=2,"Semi-Significant","Significant")))</f>
        <v>Needs Analysis</v>
      </c>
      <c r="W1399" s="1">
        <f>IF(Table1[[#This Row],[Cal Type]]&lt;&gt;"ACCREDITED 17025 WITH UNCERTAINTIES",0,"")</f>
        <v>0</v>
      </c>
      <c r="X1399" s="1" t="str">
        <f>IF(Table1[[#This Row],[DUT Read]]="","N/A",Table1[[#This Row],[Std Error]]+Table1[[#This Row],[DUT Read]]+Table1[[#This Row],[DUT Ucty]])</f>
        <v>N/A</v>
      </c>
      <c r="Y1399" s="1" t="str">
        <f>IF(Table1[[#This Row],[Std Read]]="","N/A",Table1[[#This Row],[Std Read]]+Table1[[#This Row],[Std Ucty]])</f>
        <v>N/A</v>
      </c>
      <c r="Z13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399" s="1" t="str">
        <f>IF(Table1[[#This Row],[Spec Type]]="","N/A",Table1[[#This Row],[Spec Type]])</f>
        <v>±</v>
      </c>
      <c r="AC1399" s="1" t="str">
        <f>IF(Table1[[#This Row],[Spec Type2]]="N/A","N/A",IF(AND(Table1[[#This Row],[DUT Adj Read]]&gt;=Table1[[#This Row],[Low Tol]],Table1[[#This Row],[DUT Adj Read]]&lt;=Table1[[#This Row],[High Tol]]),"Pass","Fail"))</f>
        <v>Fail</v>
      </c>
      <c r="AD1399" s="1" t="str">
        <f>IF(AND(Table1[[#This Row],[Spec Type2]]="N/A",Table1[[#This Row],[DUT Adj Read]]="N/A",Table1[[#This Row],[Std Adj Read]]="N/A"),"N/A",IF(Table1[[#This Row],[DUT Adj Read]]="N/A",IF(Table1[[#This Row],[Std Adj Read]]&gt;Table1[[#This Row],[Low Tol]],"Pass","Fail"),IF(Table1[[#This Row],[DUT Adj Read]]&gt;Table1[[#This Row],[Low Tol]],"Pass","Fail")))</f>
        <v>Pass</v>
      </c>
      <c r="AE1399" s="1" t="str">
        <f>IF(AND(Table1[[#This Row],[Spec Type2]]="N/A",Table1[[#This Row],[DUT Adj Read]]="N/A",Table1[[#This Row],[Std Adj Read]]="N/A"),"N/A",IF(Table1[[#This Row],[DUT Adj Read]]="N/A",IF(Table1[[#This Row],[Std Adj Read]]&lt;Table1[[#This Row],[High Tol]],"Pass","Fail"),IF(Table1[[#This Row],[DUT Adj Read]]&lt;Table1[[#This Row],[High Tol]],"Pass","Fail")))</f>
        <v>Fail</v>
      </c>
      <c r="AF1399" s="1" t="str">
        <f>IF(AND(Table1[[#This Row],[Spec Type2]]="N/A",Table1[[#This Row],[DUT Adj Read]]="N/A",Table1[[#This Row],[Std Adj Read]]="N/A"),"N/A",IF(Table1[[#This Row],[DUT Adj Read]]="N/A",IF(Table1[[#This Row],[Std Adj Read]]&gt;=Table1[[#This Row],[Low Tol]],"Pass","Fail"),IF(Table1[[#This Row],[DUT Adj Read]]&gt;=Table1[[#This Row],[Low Tol]],"Pass","Fail")))</f>
        <v>Pass</v>
      </c>
      <c r="AG1399" s="1" t="str">
        <f>IF(AND(Table1[[#This Row],[Spec Type2]]="N/A",Table1[[#This Row],[DUT Adj Read]]="N/A",Table1[[#This Row],[Std Adj Read]]="N/A"),"N/A",IF(Table1[[#This Row],[DUT Adj Read]]="N/A",IF(Table1[[#This Row],[Std Adj Read]]&lt;=Table1[[#This Row],[High Tol]],"Pass","Fail"),IF(Table1[[#This Row],[DUT Adj Read]]&lt;=Table1[[#This Row],[High Tol]],"Pass","Fail")))</f>
        <v>Fail</v>
      </c>
      <c r="AH13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399" s="1" t="b">
        <v>0</v>
      </c>
      <c r="AN1399" s="1" t="b">
        <v>0</v>
      </c>
      <c r="AO1399" s="1" t="b">
        <v>0</v>
      </c>
    </row>
    <row r="1400" spans="1:41" x14ac:dyDescent="0.25">
      <c r="A1400" s="10"/>
      <c r="B1400" s="10"/>
      <c r="C1400" s="10"/>
      <c r="D1400" s="10"/>
      <c r="E1400" s="10"/>
      <c r="F1400" s="10"/>
      <c r="G1400" s="10"/>
      <c r="H1400" s="10"/>
      <c r="I1400" s="1" t="str">
        <f t="shared" si="63"/>
        <v/>
      </c>
      <c r="J1400" s="1" t="s">
        <v>35</v>
      </c>
      <c r="K1400" s="1" t="str">
        <f t="shared" si="64"/>
        <v/>
      </c>
      <c r="L1400" s="1" t="str">
        <f t="shared" si="65"/>
        <v/>
      </c>
      <c r="M1400" s="1">
        <f>IF(OR(Table1[[#This Row],[Std Nom]]="",Table1[[#This Row],[Std Read]]=""),0,Table1[[#This Row],[Std Nom]]-Table1[[#This Row],[Std Read]])</f>
        <v>0</v>
      </c>
      <c r="N1400" s="1">
        <f>IF(Calculations!$F$5="ACCREDITED 17025 WITH UNCERTAINTIES",$N$10,0)</f>
        <v>0</v>
      </c>
      <c r="Q1400" s="1">
        <f>Table1[[#This Row],[High Tol]]-Table1[[#This Row],[Low Tol]]</f>
        <v>0</v>
      </c>
      <c r="R1400" s="1">
        <f>2*Table1[[#This Row],[Std Error]]</f>
        <v>0</v>
      </c>
      <c r="S1400" s="1" t="str">
        <f>IF(Table1[[#This Row],[High Tol]]="","N/A",IFERROR(ABS(Table1[[#This Row],[Tol Span]]/Table1[[#This Row],[Error Span]]),"N/A"))</f>
        <v>N/A</v>
      </c>
      <c r="T1400" s="1" t="str">
        <f>IF(OR(Table1[[#This Row],[Low Tol]]="",Table1[[#This Row],[High Tol]]=""),"Needs Analysis",IF(Table1[[#This Row],[Ratio]]&gt;=4,"Not Significant",IF(Table1[[#This Row],[Ratio]]&gt;=2,"Semi-Significant","Significant")))</f>
        <v>Needs Analysis</v>
      </c>
      <c r="W1400" s="1">
        <f>IF(Table1[[#This Row],[Cal Type]]&lt;&gt;"ACCREDITED 17025 WITH UNCERTAINTIES",0,"")</f>
        <v>0</v>
      </c>
      <c r="X1400" s="1" t="str">
        <f>IF(Table1[[#This Row],[DUT Read]]="","N/A",Table1[[#This Row],[Std Error]]+Table1[[#This Row],[DUT Read]]+Table1[[#This Row],[DUT Ucty]])</f>
        <v>N/A</v>
      </c>
      <c r="Y1400" s="1" t="str">
        <f>IF(Table1[[#This Row],[Std Read]]="","N/A",Table1[[#This Row],[Std Read]]+Table1[[#This Row],[Std Ucty]])</f>
        <v>N/A</v>
      </c>
      <c r="Z14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0" s="1" t="str">
        <f>IF(Table1[[#This Row],[Spec Type]]="","N/A",Table1[[#This Row],[Spec Type]])</f>
        <v>±</v>
      </c>
      <c r="AC1400" s="1" t="str">
        <f>IF(Table1[[#This Row],[Spec Type2]]="N/A","N/A",IF(AND(Table1[[#This Row],[DUT Adj Read]]&gt;=Table1[[#This Row],[Low Tol]],Table1[[#This Row],[DUT Adj Read]]&lt;=Table1[[#This Row],[High Tol]]),"Pass","Fail"))</f>
        <v>Fail</v>
      </c>
      <c r="AD1400" s="1" t="str">
        <f>IF(AND(Table1[[#This Row],[Spec Type2]]="N/A",Table1[[#This Row],[DUT Adj Read]]="N/A",Table1[[#This Row],[Std Adj Read]]="N/A"),"N/A",IF(Table1[[#This Row],[DUT Adj Read]]="N/A",IF(Table1[[#This Row],[Std Adj Read]]&gt;Table1[[#This Row],[Low Tol]],"Pass","Fail"),IF(Table1[[#This Row],[DUT Adj Read]]&gt;Table1[[#This Row],[Low Tol]],"Pass","Fail")))</f>
        <v>Pass</v>
      </c>
      <c r="AE1400" s="1" t="str">
        <f>IF(AND(Table1[[#This Row],[Spec Type2]]="N/A",Table1[[#This Row],[DUT Adj Read]]="N/A",Table1[[#This Row],[Std Adj Read]]="N/A"),"N/A",IF(Table1[[#This Row],[DUT Adj Read]]="N/A",IF(Table1[[#This Row],[Std Adj Read]]&lt;Table1[[#This Row],[High Tol]],"Pass","Fail"),IF(Table1[[#This Row],[DUT Adj Read]]&lt;Table1[[#This Row],[High Tol]],"Pass","Fail")))</f>
        <v>Fail</v>
      </c>
      <c r="AF1400" s="1" t="str">
        <f>IF(AND(Table1[[#This Row],[Spec Type2]]="N/A",Table1[[#This Row],[DUT Adj Read]]="N/A",Table1[[#This Row],[Std Adj Read]]="N/A"),"N/A",IF(Table1[[#This Row],[DUT Adj Read]]="N/A",IF(Table1[[#This Row],[Std Adj Read]]&gt;=Table1[[#This Row],[Low Tol]],"Pass","Fail"),IF(Table1[[#This Row],[DUT Adj Read]]&gt;=Table1[[#This Row],[Low Tol]],"Pass","Fail")))</f>
        <v>Pass</v>
      </c>
      <c r="AG1400" s="1" t="str">
        <f>IF(AND(Table1[[#This Row],[Spec Type2]]="N/A",Table1[[#This Row],[DUT Adj Read]]="N/A",Table1[[#This Row],[Std Adj Read]]="N/A"),"N/A",IF(Table1[[#This Row],[DUT Adj Read]]="N/A",IF(Table1[[#This Row],[Std Adj Read]]&lt;=Table1[[#This Row],[High Tol]],"Pass","Fail"),IF(Table1[[#This Row],[DUT Adj Read]]&lt;=Table1[[#This Row],[High Tol]],"Pass","Fail")))</f>
        <v>Fail</v>
      </c>
      <c r="AH14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0" s="1" t="b">
        <v>0</v>
      </c>
      <c r="AN1400" s="1" t="b">
        <v>0</v>
      </c>
      <c r="AO1400" s="1" t="b">
        <v>0</v>
      </c>
    </row>
    <row r="1401" spans="1:41" x14ac:dyDescent="0.25">
      <c r="A1401" s="10"/>
      <c r="B1401" s="10"/>
      <c r="C1401" s="10"/>
      <c r="D1401" s="10"/>
      <c r="E1401" s="10"/>
      <c r="F1401" s="10"/>
      <c r="G1401" s="10"/>
      <c r="H1401" s="10"/>
      <c r="I1401" s="1" t="str">
        <f t="shared" si="63"/>
        <v/>
      </c>
      <c r="J1401" s="1" t="s">
        <v>35</v>
      </c>
      <c r="K1401" s="1" t="str">
        <f t="shared" si="64"/>
        <v/>
      </c>
      <c r="L1401" s="1" t="str">
        <f t="shared" si="65"/>
        <v/>
      </c>
      <c r="M1401" s="1">
        <f>IF(OR(Table1[[#This Row],[Std Nom]]="",Table1[[#This Row],[Std Read]]=""),0,Table1[[#This Row],[Std Nom]]-Table1[[#This Row],[Std Read]])</f>
        <v>0</v>
      </c>
      <c r="N1401" s="1">
        <f>IF(Calculations!$F$5="ACCREDITED 17025 WITH UNCERTAINTIES",$N$10,0)</f>
        <v>0</v>
      </c>
      <c r="Q1401" s="1">
        <f>Table1[[#This Row],[High Tol]]-Table1[[#This Row],[Low Tol]]</f>
        <v>0</v>
      </c>
      <c r="R1401" s="1">
        <f>2*Table1[[#This Row],[Std Error]]</f>
        <v>0</v>
      </c>
      <c r="S1401" s="1" t="str">
        <f>IF(Table1[[#This Row],[High Tol]]="","N/A",IFERROR(ABS(Table1[[#This Row],[Tol Span]]/Table1[[#This Row],[Error Span]]),"N/A"))</f>
        <v>N/A</v>
      </c>
      <c r="T1401" s="1" t="str">
        <f>IF(OR(Table1[[#This Row],[Low Tol]]="",Table1[[#This Row],[High Tol]]=""),"Needs Analysis",IF(Table1[[#This Row],[Ratio]]&gt;=4,"Not Significant",IF(Table1[[#This Row],[Ratio]]&gt;=2,"Semi-Significant","Significant")))</f>
        <v>Needs Analysis</v>
      </c>
      <c r="W1401" s="1">
        <f>IF(Table1[[#This Row],[Cal Type]]&lt;&gt;"ACCREDITED 17025 WITH UNCERTAINTIES",0,"")</f>
        <v>0</v>
      </c>
      <c r="X1401" s="1" t="str">
        <f>IF(Table1[[#This Row],[DUT Read]]="","N/A",Table1[[#This Row],[Std Error]]+Table1[[#This Row],[DUT Read]]+Table1[[#This Row],[DUT Ucty]])</f>
        <v>N/A</v>
      </c>
      <c r="Y1401" s="1" t="str">
        <f>IF(Table1[[#This Row],[Std Read]]="","N/A",Table1[[#This Row],[Std Read]]+Table1[[#This Row],[Std Ucty]])</f>
        <v>N/A</v>
      </c>
      <c r="Z14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1" s="1" t="str">
        <f>IF(Table1[[#This Row],[Spec Type]]="","N/A",Table1[[#This Row],[Spec Type]])</f>
        <v>±</v>
      </c>
      <c r="AC1401" s="1" t="str">
        <f>IF(Table1[[#This Row],[Spec Type2]]="N/A","N/A",IF(AND(Table1[[#This Row],[DUT Adj Read]]&gt;=Table1[[#This Row],[Low Tol]],Table1[[#This Row],[DUT Adj Read]]&lt;=Table1[[#This Row],[High Tol]]),"Pass","Fail"))</f>
        <v>Fail</v>
      </c>
      <c r="AD1401" s="1" t="str">
        <f>IF(AND(Table1[[#This Row],[Spec Type2]]="N/A",Table1[[#This Row],[DUT Adj Read]]="N/A",Table1[[#This Row],[Std Adj Read]]="N/A"),"N/A",IF(Table1[[#This Row],[DUT Adj Read]]="N/A",IF(Table1[[#This Row],[Std Adj Read]]&gt;Table1[[#This Row],[Low Tol]],"Pass","Fail"),IF(Table1[[#This Row],[DUT Adj Read]]&gt;Table1[[#This Row],[Low Tol]],"Pass","Fail")))</f>
        <v>Pass</v>
      </c>
      <c r="AE1401" s="1" t="str">
        <f>IF(AND(Table1[[#This Row],[Spec Type2]]="N/A",Table1[[#This Row],[DUT Adj Read]]="N/A",Table1[[#This Row],[Std Adj Read]]="N/A"),"N/A",IF(Table1[[#This Row],[DUT Adj Read]]="N/A",IF(Table1[[#This Row],[Std Adj Read]]&lt;Table1[[#This Row],[High Tol]],"Pass","Fail"),IF(Table1[[#This Row],[DUT Adj Read]]&lt;Table1[[#This Row],[High Tol]],"Pass","Fail")))</f>
        <v>Fail</v>
      </c>
      <c r="AF1401" s="1" t="str">
        <f>IF(AND(Table1[[#This Row],[Spec Type2]]="N/A",Table1[[#This Row],[DUT Adj Read]]="N/A",Table1[[#This Row],[Std Adj Read]]="N/A"),"N/A",IF(Table1[[#This Row],[DUT Adj Read]]="N/A",IF(Table1[[#This Row],[Std Adj Read]]&gt;=Table1[[#This Row],[Low Tol]],"Pass","Fail"),IF(Table1[[#This Row],[DUT Adj Read]]&gt;=Table1[[#This Row],[Low Tol]],"Pass","Fail")))</f>
        <v>Pass</v>
      </c>
      <c r="AG1401" s="1" t="str">
        <f>IF(AND(Table1[[#This Row],[Spec Type2]]="N/A",Table1[[#This Row],[DUT Adj Read]]="N/A",Table1[[#This Row],[Std Adj Read]]="N/A"),"N/A",IF(Table1[[#This Row],[DUT Adj Read]]="N/A",IF(Table1[[#This Row],[Std Adj Read]]&lt;=Table1[[#This Row],[High Tol]],"Pass","Fail"),IF(Table1[[#This Row],[DUT Adj Read]]&lt;=Table1[[#This Row],[High Tol]],"Pass","Fail")))</f>
        <v>Fail</v>
      </c>
      <c r="AH14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1" s="1" t="b">
        <v>0</v>
      </c>
      <c r="AN1401" s="1" t="b">
        <v>0</v>
      </c>
      <c r="AO1401" s="1" t="b">
        <v>0</v>
      </c>
    </row>
    <row r="1402" spans="1:41" x14ac:dyDescent="0.25">
      <c r="A1402" s="10"/>
      <c r="B1402" s="10"/>
      <c r="C1402" s="10"/>
      <c r="D1402" s="10"/>
      <c r="E1402" s="10"/>
      <c r="F1402" s="10"/>
      <c r="G1402" s="10"/>
      <c r="H1402" s="10"/>
      <c r="I1402" s="1" t="str">
        <f t="shared" si="63"/>
        <v/>
      </c>
      <c r="J1402" s="1" t="s">
        <v>35</v>
      </c>
      <c r="K1402" s="1" t="str">
        <f t="shared" si="64"/>
        <v/>
      </c>
      <c r="L1402" s="1" t="str">
        <f t="shared" si="65"/>
        <v/>
      </c>
      <c r="M1402" s="1">
        <f>IF(OR(Table1[[#This Row],[Std Nom]]="",Table1[[#This Row],[Std Read]]=""),0,Table1[[#This Row],[Std Nom]]-Table1[[#This Row],[Std Read]])</f>
        <v>0</v>
      </c>
      <c r="N1402" s="1">
        <f>IF(Calculations!$F$5="ACCREDITED 17025 WITH UNCERTAINTIES",$N$10,0)</f>
        <v>0</v>
      </c>
      <c r="Q1402" s="1">
        <f>Table1[[#This Row],[High Tol]]-Table1[[#This Row],[Low Tol]]</f>
        <v>0</v>
      </c>
      <c r="R1402" s="1">
        <f>2*Table1[[#This Row],[Std Error]]</f>
        <v>0</v>
      </c>
      <c r="S1402" s="1" t="str">
        <f>IF(Table1[[#This Row],[High Tol]]="","N/A",IFERROR(ABS(Table1[[#This Row],[Tol Span]]/Table1[[#This Row],[Error Span]]),"N/A"))</f>
        <v>N/A</v>
      </c>
      <c r="T1402" s="1" t="str">
        <f>IF(OR(Table1[[#This Row],[Low Tol]]="",Table1[[#This Row],[High Tol]]=""),"Needs Analysis",IF(Table1[[#This Row],[Ratio]]&gt;=4,"Not Significant",IF(Table1[[#This Row],[Ratio]]&gt;=2,"Semi-Significant","Significant")))</f>
        <v>Needs Analysis</v>
      </c>
      <c r="W1402" s="1">
        <f>IF(Table1[[#This Row],[Cal Type]]&lt;&gt;"ACCREDITED 17025 WITH UNCERTAINTIES",0,"")</f>
        <v>0</v>
      </c>
      <c r="X1402" s="1" t="str">
        <f>IF(Table1[[#This Row],[DUT Read]]="","N/A",Table1[[#This Row],[Std Error]]+Table1[[#This Row],[DUT Read]]+Table1[[#This Row],[DUT Ucty]])</f>
        <v>N/A</v>
      </c>
      <c r="Y1402" s="1" t="str">
        <f>IF(Table1[[#This Row],[Std Read]]="","N/A",Table1[[#This Row],[Std Read]]+Table1[[#This Row],[Std Ucty]])</f>
        <v>N/A</v>
      </c>
      <c r="Z14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2" s="1" t="str">
        <f>IF(Table1[[#This Row],[Spec Type]]="","N/A",Table1[[#This Row],[Spec Type]])</f>
        <v>±</v>
      </c>
      <c r="AC1402" s="1" t="str">
        <f>IF(Table1[[#This Row],[Spec Type2]]="N/A","N/A",IF(AND(Table1[[#This Row],[DUT Adj Read]]&gt;=Table1[[#This Row],[Low Tol]],Table1[[#This Row],[DUT Adj Read]]&lt;=Table1[[#This Row],[High Tol]]),"Pass","Fail"))</f>
        <v>Fail</v>
      </c>
      <c r="AD1402" s="1" t="str">
        <f>IF(AND(Table1[[#This Row],[Spec Type2]]="N/A",Table1[[#This Row],[DUT Adj Read]]="N/A",Table1[[#This Row],[Std Adj Read]]="N/A"),"N/A",IF(Table1[[#This Row],[DUT Adj Read]]="N/A",IF(Table1[[#This Row],[Std Adj Read]]&gt;Table1[[#This Row],[Low Tol]],"Pass","Fail"),IF(Table1[[#This Row],[DUT Adj Read]]&gt;Table1[[#This Row],[Low Tol]],"Pass","Fail")))</f>
        <v>Pass</v>
      </c>
      <c r="AE1402" s="1" t="str">
        <f>IF(AND(Table1[[#This Row],[Spec Type2]]="N/A",Table1[[#This Row],[DUT Adj Read]]="N/A",Table1[[#This Row],[Std Adj Read]]="N/A"),"N/A",IF(Table1[[#This Row],[DUT Adj Read]]="N/A",IF(Table1[[#This Row],[Std Adj Read]]&lt;Table1[[#This Row],[High Tol]],"Pass","Fail"),IF(Table1[[#This Row],[DUT Adj Read]]&lt;Table1[[#This Row],[High Tol]],"Pass","Fail")))</f>
        <v>Fail</v>
      </c>
      <c r="AF1402" s="1" t="str">
        <f>IF(AND(Table1[[#This Row],[Spec Type2]]="N/A",Table1[[#This Row],[DUT Adj Read]]="N/A",Table1[[#This Row],[Std Adj Read]]="N/A"),"N/A",IF(Table1[[#This Row],[DUT Adj Read]]="N/A",IF(Table1[[#This Row],[Std Adj Read]]&gt;=Table1[[#This Row],[Low Tol]],"Pass","Fail"),IF(Table1[[#This Row],[DUT Adj Read]]&gt;=Table1[[#This Row],[Low Tol]],"Pass","Fail")))</f>
        <v>Pass</v>
      </c>
      <c r="AG1402" s="1" t="str">
        <f>IF(AND(Table1[[#This Row],[Spec Type2]]="N/A",Table1[[#This Row],[DUT Adj Read]]="N/A",Table1[[#This Row],[Std Adj Read]]="N/A"),"N/A",IF(Table1[[#This Row],[DUT Adj Read]]="N/A",IF(Table1[[#This Row],[Std Adj Read]]&lt;=Table1[[#This Row],[High Tol]],"Pass","Fail"),IF(Table1[[#This Row],[DUT Adj Read]]&lt;=Table1[[#This Row],[High Tol]],"Pass","Fail")))</f>
        <v>Fail</v>
      </c>
      <c r="AH14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2" s="1" t="b">
        <v>0</v>
      </c>
      <c r="AN1402" s="1" t="b">
        <v>0</v>
      </c>
      <c r="AO1402" s="1" t="b">
        <v>0</v>
      </c>
    </row>
    <row r="1403" spans="1:41" x14ac:dyDescent="0.25">
      <c r="A1403" s="10"/>
      <c r="B1403" s="10"/>
      <c r="C1403" s="10"/>
      <c r="D1403" s="10"/>
      <c r="E1403" s="10"/>
      <c r="F1403" s="10"/>
      <c r="G1403" s="10"/>
      <c r="H1403" s="10"/>
      <c r="I1403" s="1" t="str">
        <f t="shared" si="63"/>
        <v/>
      </c>
      <c r="J1403" s="1" t="s">
        <v>35</v>
      </c>
      <c r="K1403" s="1" t="str">
        <f t="shared" si="64"/>
        <v/>
      </c>
      <c r="L1403" s="1" t="str">
        <f t="shared" si="65"/>
        <v/>
      </c>
      <c r="M1403" s="1">
        <f>IF(OR(Table1[[#This Row],[Std Nom]]="",Table1[[#This Row],[Std Read]]=""),0,Table1[[#This Row],[Std Nom]]-Table1[[#This Row],[Std Read]])</f>
        <v>0</v>
      </c>
      <c r="N1403" s="1">
        <f>IF(Calculations!$F$5="ACCREDITED 17025 WITH UNCERTAINTIES",$N$10,0)</f>
        <v>0</v>
      </c>
      <c r="Q1403" s="1">
        <f>Table1[[#This Row],[High Tol]]-Table1[[#This Row],[Low Tol]]</f>
        <v>0</v>
      </c>
      <c r="R1403" s="1">
        <f>2*Table1[[#This Row],[Std Error]]</f>
        <v>0</v>
      </c>
      <c r="S1403" s="1" t="str">
        <f>IF(Table1[[#This Row],[High Tol]]="","N/A",IFERROR(ABS(Table1[[#This Row],[Tol Span]]/Table1[[#This Row],[Error Span]]),"N/A"))</f>
        <v>N/A</v>
      </c>
      <c r="T1403" s="1" t="str">
        <f>IF(OR(Table1[[#This Row],[Low Tol]]="",Table1[[#This Row],[High Tol]]=""),"Needs Analysis",IF(Table1[[#This Row],[Ratio]]&gt;=4,"Not Significant",IF(Table1[[#This Row],[Ratio]]&gt;=2,"Semi-Significant","Significant")))</f>
        <v>Needs Analysis</v>
      </c>
      <c r="W1403" s="1">
        <f>IF(Table1[[#This Row],[Cal Type]]&lt;&gt;"ACCREDITED 17025 WITH UNCERTAINTIES",0,"")</f>
        <v>0</v>
      </c>
      <c r="X1403" s="1" t="str">
        <f>IF(Table1[[#This Row],[DUT Read]]="","N/A",Table1[[#This Row],[Std Error]]+Table1[[#This Row],[DUT Read]]+Table1[[#This Row],[DUT Ucty]])</f>
        <v>N/A</v>
      </c>
      <c r="Y1403" s="1" t="str">
        <f>IF(Table1[[#This Row],[Std Read]]="","N/A",Table1[[#This Row],[Std Read]]+Table1[[#This Row],[Std Ucty]])</f>
        <v>N/A</v>
      </c>
      <c r="Z14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3" s="1" t="str">
        <f>IF(Table1[[#This Row],[Spec Type]]="","N/A",Table1[[#This Row],[Spec Type]])</f>
        <v>±</v>
      </c>
      <c r="AC1403" s="1" t="str">
        <f>IF(Table1[[#This Row],[Spec Type2]]="N/A","N/A",IF(AND(Table1[[#This Row],[DUT Adj Read]]&gt;=Table1[[#This Row],[Low Tol]],Table1[[#This Row],[DUT Adj Read]]&lt;=Table1[[#This Row],[High Tol]]),"Pass","Fail"))</f>
        <v>Fail</v>
      </c>
      <c r="AD1403" s="1" t="str">
        <f>IF(AND(Table1[[#This Row],[Spec Type2]]="N/A",Table1[[#This Row],[DUT Adj Read]]="N/A",Table1[[#This Row],[Std Adj Read]]="N/A"),"N/A",IF(Table1[[#This Row],[DUT Adj Read]]="N/A",IF(Table1[[#This Row],[Std Adj Read]]&gt;Table1[[#This Row],[Low Tol]],"Pass","Fail"),IF(Table1[[#This Row],[DUT Adj Read]]&gt;Table1[[#This Row],[Low Tol]],"Pass","Fail")))</f>
        <v>Pass</v>
      </c>
      <c r="AE1403" s="1" t="str">
        <f>IF(AND(Table1[[#This Row],[Spec Type2]]="N/A",Table1[[#This Row],[DUT Adj Read]]="N/A",Table1[[#This Row],[Std Adj Read]]="N/A"),"N/A",IF(Table1[[#This Row],[DUT Adj Read]]="N/A",IF(Table1[[#This Row],[Std Adj Read]]&lt;Table1[[#This Row],[High Tol]],"Pass","Fail"),IF(Table1[[#This Row],[DUT Adj Read]]&lt;Table1[[#This Row],[High Tol]],"Pass","Fail")))</f>
        <v>Fail</v>
      </c>
      <c r="AF1403" s="1" t="str">
        <f>IF(AND(Table1[[#This Row],[Spec Type2]]="N/A",Table1[[#This Row],[DUT Adj Read]]="N/A",Table1[[#This Row],[Std Adj Read]]="N/A"),"N/A",IF(Table1[[#This Row],[DUT Adj Read]]="N/A",IF(Table1[[#This Row],[Std Adj Read]]&gt;=Table1[[#This Row],[Low Tol]],"Pass","Fail"),IF(Table1[[#This Row],[DUT Adj Read]]&gt;=Table1[[#This Row],[Low Tol]],"Pass","Fail")))</f>
        <v>Pass</v>
      </c>
      <c r="AG1403" s="1" t="str">
        <f>IF(AND(Table1[[#This Row],[Spec Type2]]="N/A",Table1[[#This Row],[DUT Adj Read]]="N/A",Table1[[#This Row],[Std Adj Read]]="N/A"),"N/A",IF(Table1[[#This Row],[DUT Adj Read]]="N/A",IF(Table1[[#This Row],[Std Adj Read]]&lt;=Table1[[#This Row],[High Tol]],"Pass","Fail"),IF(Table1[[#This Row],[DUT Adj Read]]&lt;=Table1[[#This Row],[High Tol]],"Pass","Fail")))</f>
        <v>Fail</v>
      </c>
      <c r="AH14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3" s="1" t="b">
        <v>0</v>
      </c>
      <c r="AN1403" s="1" t="b">
        <v>0</v>
      </c>
      <c r="AO1403" s="1" t="b">
        <v>0</v>
      </c>
    </row>
    <row r="1404" spans="1:41" x14ac:dyDescent="0.25">
      <c r="A1404" s="10"/>
      <c r="B1404" s="10"/>
      <c r="C1404" s="10"/>
      <c r="D1404" s="10"/>
      <c r="E1404" s="10"/>
      <c r="F1404" s="10"/>
      <c r="G1404" s="10"/>
      <c r="H1404" s="10"/>
      <c r="I1404" s="1" t="str">
        <f t="shared" si="63"/>
        <v/>
      </c>
      <c r="J1404" s="1" t="s">
        <v>35</v>
      </c>
      <c r="K1404" s="1" t="str">
        <f t="shared" si="64"/>
        <v/>
      </c>
      <c r="L1404" s="1" t="str">
        <f t="shared" si="65"/>
        <v/>
      </c>
      <c r="M1404" s="1">
        <f>IF(OR(Table1[[#This Row],[Std Nom]]="",Table1[[#This Row],[Std Read]]=""),0,Table1[[#This Row],[Std Nom]]-Table1[[#This Row],[Std Read]])</f>
        <v>0</v>
      </c>
      <c r="N1404" s="1">
        <f>IF(Calculations!$F$5="ACCREDITED 17025 WITH UNCERTAINTIES",$N$10,0)</f>
        <v>0</v>
      </c>
      <c r="Q1404" s="1">
        <f>Table1[[#This Row],[High Tol]]-Table1[[#This Row],[Low Tol]]</f>
        <v>0</v>
      </c>
      <c r="R1404" s="1">
        <f>2*Table1[[#This Row],[Std Error]]</f>
        <v>0</v>
      </c>
      <c r="S1404" s="1" t="str">
        <f>IF(Table1[[#This Row],[High Tol]]="","N/A",IFERROR(ABS(Table1[[#This Row],[Tol Span]]/Table1[[#This Row],[Error Span]]),"N/A"))</f>
        <v>N/A</v>
      </c>
      <c r="T1404" s="1" t="str">
        <f>IF(OR(Table1[[#This Row],[Low Tol]]="",Table1[[#This Row],[High Tol]]=""),"Needs Analysis",IF(Table1[[#This Row],[Ratio]]&gt;=4,"Not Significant",IF(Table1[[#This Row],[Ratio]]&gt;=2,"Semi-Significant","Significant")))</f>
        <v>Needs Analysis</v>
      </c>
      <c r="W1404" s="1">
        <f>IF(Table1[[#This Row],[Cal Type]]&lt;&gt;"ACCREDITED 17025 WITH UNCERTAINTIES",0,"")</f>
        <v>0</v>
      </c>
      <c r="X1404" s="1" t="str">
        <f>IF(Table1[[#This Row],[DUT Read]]="","N/A",Table1[[#This Row],[Std Error]]+Table1[[#This Row],[DUT Read]]+Table1[[#This Row],[DUT Ucty]])</f>
        <v>N/A</v>
      </c>
      <c r="Y1404" s="1" t="str">
        <f>IF(Table1[[#This Row],[Std Read]]="","N/A",Table1[[#This Row],[Std Read]]+Table1[[#This Row],[Std Ucty]])</f>
        <v>N/A</v>
      </c>
      <c r="Z14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4" s="1" t="str">
        <f>IF(Table1[[#This Row],[Spec Type]]="","N/A",Table1[[#This Row],[Spec Type]])</f>
        <v>±</v>
      </c>
      <c r="AC1404" s="1" t="str">
        <f>IF(Table1[[#This Row],[Spec Type2]]="N/A","N/A",IF(AND(Table1[[#This Row],[DUT Adj Read]]&gt;=Table1[[#This Row],[Low Tol]],Table1[[#This Row],[DUT Adj Read]]&lt;=Table1[[#This Row],[High Tol]]),"Pass","Fail"))</f>
        <v>Fail</v>
      </c>
      <c r="AD1404" s="1" t="str">
        <f>IF(AND(Table1[[#This Row],[Spec Type2]]="N/A",Table1[[#This Row],[DUT Adj Read]]="N/A",Table1[[#This Row],[Std Adj Read]]="N/A"),"N/A",IF(Table1[[#This Row],[DUT Adj Read]]="N/A",IF(Table1[[#This Row],[Std Adj Read]]&gt;Table1[[#This Row],[Low Tol]],"Pass","Fail"),IF(Table1[[#This Row],[DUT Adj Read]]&gt;Table1[[#This Row],[Low Tol]],"Pass","Fail")))</f>
        <v>Pass</v>
      </c>
      <c r="AE1404" s="1" t="str">
        <f>IF(AND(Table1[[#This Row],[Spec Type2]]="N/A",Table1[[#This Row],[DUT Adj Read]]="N/A",Table1[[#This Row],[Std Adj Read]]="N/A"),"N/A",IF(Table1[[#This Row],[DUT Adj Read]]="N/A",IF(Table1[[#This Row],[Std Adj Read]]&lt;Table1[[#This Row],[High Tol]],"Pass","Fail"),IF(Table1[[#This Row],[DUT Adj Read]]&lt;Table1[[#This Row],[High Tol]],"Pass","Fail")))</f>
        <v>Fail</v>
      </c>
      <c r="AF1404" s="1" t="str">
        <f>IF(AND(Table1[[#This Row],[Spec Type2]]="N/A",Table1[[#This Row],[DUT Adj Read]]="N/A",Table1[[#This Row],[Std Adj Read]]="N/A"),"N/A",IF(Table1[[#This Row],[DUT Adj Read]]="N/A",IF(Table1[[#This Row],[Std Adj Read]]&gt;=Table1[[#This Row],[Low Tol]],"Pass","Fail"),IF(Table1[[#This Row],[DUT Adj Read]]&gt;=Table1[[#This Row],[Low Tol]],"Pass","Fail")))</f>
        <v>Pass</v>
      </c>
      <c r="AG1404" s="1" t="str">
        <f>IF(AND(Table1[[#This Row],[Spec Type2]]="N/A",Table1[[#This Row],[DUT Adj Read]]="N/A",Table1[[#This Row],[Std Adj Read]]="N/A"),"N/A",IF(Table1[[#This Row],[DUT Adj Read]]="N/A",IF(Table1[[#This Row],[Std Adj Read]]&lt;=Table1[[#This Row],[High Tol]],"Pass","Fail"),IF(Table1[[#This Row],[DUT Adj Read]]&lt;=Table1[[#This Row],[High Tol]],"Pass","Fail")))</f>
        <v>Fail</v>
      </c>
      <c r="AH14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4" s="1" t="b">
        <v>0</v>
      </c>
      <c r="AN1404" s="1" t="b">
        <v>0</v>
      </c>
      <c r="AO1404" s="1" t="b">
        <v>0</v>
      </c>
    </row>
    <row r="1405" spans="1:41" x14ac:dyDescent="0.25">
      <c r="A1405" s="10"/>
      <c r="B1405" s="10"/>
      <c r="C1405" s="10"/>
      <c r="D1405" s="10"/>
      <c r="E1405" s="10"/>
      <c r="F1405" s="10"/>
      <c r="G1405" s="10"/>
      <c r="H1405" s="10"/>
      <c r="I1405" s="1" t="str">
        <f t="shared" si="63"/>
        <v/>
      </c>
      <c r="J1405" s="1" t="s">
        <v>35</v>
      </c>
      <c r="K1405" s="1" t="str">
        <f t="shared" si="64"/>
        <v/>
      </c>
      <c r="L1405" s="1" t="str">
        <f t="shared" si="65"/>
        <v/>
      </c>
      <c r="M1405" s="1">
        <f>IF(OR(Table1[[#This Row],[Std Nom]]="",Table1[[#This Row],[Std Read]]=""),0,Table1[[#This Row],[Std Nom]]-Table1[[#This Row],[Std Read]])</f>
        <v>0</v>
      </c>
      <c r="N1405" s="1">
        <f>IF(Calculations!$F$5="ACCREDITED 17025 WITH UNCERTAINTIES",$N$10,0)</f>
        <v>0</v>
      </c>
      <c r="Q1405" s="1">
        <f>Table1[[#This Row],[High Tol]]-Table1[[#This Row],[Low Tol]]</f>
        <v>0</v>
      </c>
      <c r="R1405" s="1">
        <f>2*Table1[[#This Row],[Std Error]]</f>
        <v>0</v>
      </c>
      <c r="S1405" s="1" t="str">
        <f>IF(Table1[[#This Row],[High Tol]]="","N/A",IFERROR(ABS(Table1[[#This Row],[Tol Span]]/Table1[[#This Row],[Error Span]]),"N/A"))</f>
        <v>N/A</v>
      </c>
      <c r="T1405" s="1" t="str">
        <f>IF(OR(Table1[[#This Row],[Low Tol]]="",Table1[[#This Row],[High Tol]]=""),"Needs Analysis",IF(Table1[[#This Row],[Ratio]]&gt;=4,"Not Significant",IF(Table1[[#This Row],[Ratio]]&gt;=2,"Semi-Significant","Significant")))</f>
        <v>Needs Analysis</v>
      </c>
      <c r="W1405" s="1">
        <f>IF(Table1[[#This Row],[Cal Type]]&lt;&gt;"ACCREDITED 17025 WITH UNCERTAINTIES",0,"")</f>
        <v>0</v>
      </c>
      <c r="X1405" s="1" t="str">
        <f>IF(Table1[[#This Row],[DUT Read]]="","N/A",Table1[[#This Row],[Std Error]]+Table1[[#This Row],[DUT Read]]+Table1[[#This Row],[DUT Ucty]])</f>
        <v>N/A</v>
      </c>
      <c r="Y1405" s="1" t="str">
        <f>IF(Table1[[#This Row],[Std Read]]="","N/A",Table1[[#This Row],[Std Read]]+Table1[[#This Row],[Std Ucty]])</f>
        <v>N/A</v>
      </c>
      <c r="Z14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5" s="1" t="str">
        <f>IF(Table1[[#This Row],[Spec Type]]="","N/A",Table1[[#This Row],[Spec Type]])</f>
        <v>±</v>
      </c>
      <c r="AC1405" s="1" t="str">
        <f>IF(Table1[[#This Row],[Spec Type2]]="N/A","N/A",IF(AND(Table1[[#This Row],[DUT Adj Read]]&gt;=Table1[[#This Row],[Low Tol]],Table1[[#This Row],[DUT Adj Read]]&lt;=Table1[[#This Row],[High Tol]]),"Pass","Fail"))</f>
        <v>Fail</v>
      </c>
      <c r="AD1405" s="1" t="str">
        <f>IF(AND(Table1[[#This Row],[Spec Type2]]="N/A",Table1[[#This Row],[DUT Adj Read]]="N/A",Table1[[#This Row],[Std Adj Read]]="N/A"),"N/A",IF(Table1[[#This Row],[DUT Adj Read]]="N/A",IF(Table1[[#This Row],[Std Adj Read]]&gt;Table1[[#This Row],[Low Tol]],"Pass","Fail"),IF(Table1[[#This Row],[DUT Adj Read]]&gt;Table1[[#This Row],[Low Tol]],"Pass","Fail")))</f>
        <v>Pass</v>
      </c>
      <c r="AE1405" s="1" t="str">
        <f>IF(AND(Table1[[#This Row],[Spec Type2]]="N/A",Table1[[#This Row],[DUT Adj Read]]="N/A",Table1[[#This Row],[Std Adj Read]]="N/A"),"N/A",IF(Table1[[#This Row],[DUT Adj Read]]="N/A",IF(Table1[[#This Row],[Std Adj Read]]&lt;Table1[[#This Row],[High Tol]],"Pass","Fail"),IF(Table1[[#This Row],[DUT Adj Read]]&lt;Table1[[#This Row],[High Tol]],"Pass","Fail")))</f>
        <v>Fail</v>
      </c>
      <c r="AF1405" s="1" t="str">
        <f>IF(AND(Table1[[#This Row],[Spec Type2]]="N/A",Table1[[#This Row],[DUT Adj Read]]="N/A",Table1[[#This Row],[Std Adj Read]]="N/A"),"N/A",IF(Table1[[#This Row],[DUT Adj Read]]="N/A",IF(Table1[[#This Row],[Std Adj Read]]&gt;=Table1[[#This Row],[Low Tol]],"Pass","Fail"),IF(Table1[[#This Row],[DUT Adj Read]]&gt;=Table1[[#This Row],[Low Tol]],"Pass","Fail")))</f>
        <v>Pass</v>
      </c>
      <c r="AG1405" s="1" t="str">
        <f>IF(AND(Table1[[#This Row],[Spec Type2]]="N/A",Table1[[#This Row],[DUT Adj Read]]="N/A",Table1[[#This Row],[Std Adj Read]]="N/A"),"N/A",IF(Table1[[#This Row],[DUT Adj Read]]="N/A",IF(Table1[[#This Row],[Std Adj Read]]&lt;=Table1[[#This Row],[High Tol]],"Pass","Fail"),IF(Table1[[#This Row],[DUT Adj Read]]&lt;=Table1[[#This Row],[High Tol]],"Pass","Fail")))</f>
        <v>Fail</v>
      </c>
      <c r="AH14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5" s="1" t="b">
        <v>0</v>
      </c>
      <c r="AN1405" s="1" t="b">
        <v>0</v>
      </c>
      <c r="AO1405" s="1" t="b">
        <v>0</v>
      </c>
    </row>
    <row r="1406" spans="1:41" x14ac:dyDescent="0.25">
      <c r="A1406" s="10"/>
      <c r="B1406" s="10"/>
      <c r="C1406" s="10"/>
      <c r="D1406" s="10"/>
      <c r="E1406" s="10"/>
      <c r="F1406" s="10"/>
      <c r="G1406" s="10"/>
      <c r="H1406" s="10"/>
      <c r="I1406" s="1" t="str">
        <f t="shared" si="63"/>
        <v/>
      </c>
      <c r="J1406" s="1" t="s">
        <v>35</v>
      </c>
      <c r="K1406" s="1" t="str">
        <f t="shared" si="64"/>
        <v/>
      </c>
      <c r="L1406" s="1" t="str">
        <f t="shared" si="65"/>
        <v/>
      </c>
      <c r="M1406" s="1">
        <f>IF(OR(Table1[[#This Row],[Std Nom]]="",Table1[[#This Row],[Std Read]]=""),0,Table1[[#This Row],[Std Nom]]-Table1[[#This Row],[Std Read]])</f>
        <v>0</v>
      </c>
      <c r="N1406" s="1">
        <f>IF(Calculations!$F$5="ACCREDITED 17025 WITH UNCERTAINTIES",$N$10,0)</f>
        <v>0</v>
      </c>
      <c r="Q1406" s="1">
        <f>Table1[[#This Row],[High Tol]]-Table1[[#This Row],[Low Tol]]</f>
        <v>0</v>
      </c>
      <c r="R1406" s="1">
        <f>2*Table1[[#This Row],[Std Error]]</f>
        <v>0</v>
      </c>
      <c r="S1406" s="1" t="str">
        <f>IF(Table1[[#This Row],[High Tol]]="","N/A",IFERROR(ABS(Table1[[#This Row],[Tol Span]]/Table1[[#This Row],[Error Span]]),"N/A"))</f>
        <v>N/A</v>
      </c>
      <c r="T1406" s="1" t="str">
        <f>IF(OR(Table1[[#This Row],[Low Tol]]="",Table1[[#This Row],[High Tol]]=""),"Needs Analysis",IF(Table1[[#This Row],[Ratio]]&gt;=4,"Not Significant",IF(Table1[[#This Row],[Ratio]]&gt;=2,"Semi-Significant","Significant")))</f>
        <v>Needs Analysis</v>
      </c>
      <c r="W1406" s="1">
        <f>IF(Table1[[#This Row],[Cal Type]]&lt;&gt;"ACCREDITED 17025 WITH UNCERTAINTIES",0,"")</f>
        <v>0</v>
      </c>
      <c r="X1406" s="1" t="str">
        <f>IF(Table1[[#This Row],[DUT Read]]="","N/A",Table1[[#This Row],[Std Error]]+Table1[[#This Row],[DUT Read]]+Table1[[#This Row],[DUT Ucty]])</f>
        <v>N/A</v>
      </c>
      <c r="Y1406" s="1" t="str">
        <f>IF(Table1[[#This Row],[Std Read]]="","N/A",Table1[[#This Row],[Std Read]]+Table1[[#This Row],[Std Ucty]])</f>
        <v>N/A</v>
      </c>
      <c r="Z14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6" s="1" t="str">
        <f>IF(Table1[[#This Row],[Spec Type]]="","N/A",Table1[[#This Row],[Spec Type]])</f>
        <v>±</v>
      </c>
      <c r="AC1406" s="1" t="str">
        <f>IF(Table1[[#This Row],[Spec Type2]]="N/A","N/A",IF(AND(Table1[[#This Row],[DUT Adj Read]]&gt;=Table1[[#This Row],[Low Tol]],Table1[[#This Row],[DUT Adj Read]]&lt;=Table1[[#This Row],[High Tol]]),"Pass","Fail"))</f>
        <v>Fail</v>
      </c>
      <c r="AD1406" s="1" t="str">
        <f>IF(AND(Table1[[#This Row],[Spec Type2]]="N/A",Table1[[#This Row],[DUT Adj Read]]="N/A",Table1[[#This Row],[Std Adj Read]]="N/A"),"N/A",IF(Table1[[#This Row],[DUT Adj Read]]="N/A",IF(Table1[[#This Row],[Std Adj Read]]&gt;Table1[[#This Row],[Low Tol]],"Pass","Fail"),IF(Table1[[#This Row],[DUT Adj Read]]&gt;Table1[[#This Row],[Low Tol]],"Pass","Fail")))</f>
        <v>Pass</v>
      </c>
      <c r="AE1406" s="1" t="str">
        <f>IF(AND(Table1[[#This Row],[Spec Type2]]="N/A",Table1[[#This Row],[DUT Adj Read]]="N/A",Table1[[#This Row],[Std Adj Read]]="N/A"),"N/A",IF(Table1[[#This Row],[DUT Adj Read]]="N/A",IF(Table1[[#This Row],[Std Adj Read]]&lt;Table1[[#This Row],[High Tol]],"Pass","Fail"),IF(Table1[[#This Row],[DUT Adj Read]]&lt;Table1[[#This Row],[High Tol]],"Pass","Fail")))</f>
        <v>Fail</v>
      </c>
      <c r="AF1406" s="1" t="str">
        <f>IF(AND(Table1[[#This Row],[Spec Type2]]="N/A",Table1[[#This Row],[DUT Adj Read]]="N/A",Table1[[#This Row],[Std Adj Read]]="N/A"),"N/A",IF(Table1[[#This Row],[DUT Adj Read]]="N/A",IF(Table1[[#This Row],[Std Adj Read]]&gt;=Table1[[#This Row],[Low Tol]],"Pass","Fail"),IF(Table1[[#This Row],[DUT Adj Read]]&gt;=Table1[[#This Row],[Low Tol]],"Pass","Fail")))</f>
        <v>Pass</v>
      </c>
      <c r="AG1406" s="1" t="str">
        <f>IF(AND(Table1[[#This Row],[Spec Type2]]="N/A",Table1[[#This Row],[DUT Adj Read]]="N/A",Table1[[#This Row],[Std Adj Read]]="N/A"),"N/A",IF(Table1[[#This Row],[DUT Adj Read]]="N/A",IF(Table1[[#This Row],[Std Adj Read]]&lt;=Table1[[#This Row],[High Tol]],"Pass","Fail"),IF(Table1[[#This Row],[DUT Adj Read]]&lt;=Table1[[#This Row],[High Tol]],"Pass","Fail")))</f>
        <v>Fail</v>
      </c>
      <c r="AH14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6" s="1" t="b">
        <v>0</v>
      </c>
      <c r="AN1406" s="1" t="b">
        <v>0</v>
      </c>
      <c r="AO1406" s="1" t="b">
        <v>0</v>
      </c>
    </row>
    <row r="1407" spans="1:41" x14ac:dyDescent="0.25">
      <c r="A1407" s="10"/>
      <c r="B1407" s="10"/>
      <c r="C1407" s="10"/>
      <c r="D1407" s="10"/>
      <c r="E1407" s="10"/>
      <c r="F1407" s="10"/>
      <c r="G1407" s="10"/>
      <c r="H1407" s="10"/>
      <c r="I1407" s="1" t="str">
        <f t="shared" si="63"/>
        <v/>
      </c>
      <c r="J1407" s="1" t="s">
        <v>35</v>
      </c>
      <c r="K1407" s="1" t="str">
        <f t="shared" si="64"/>
        <v/>
      </c>
      <c r="L1407" s="1" t="str">
        <f t="shared" si="65"/>
        <v/>
      </c>
      <c r="M1407" s="1">
        <f>IF(OR(Table1[[#This Row],[Std Nom]]="",Table1[[#This Row],[Std Read]]=""),0,Table1[[#This Row],[Std Nom]]-Table1[[#This Row],[Std Read]])</f>
        <v>0</v>
      </c>
      <c r="N1407" s="1">
        <f>IF(Calculations!$F$5="ACCREDITED 17025 WITH UNCERTAINTIES",$N$10,0)</f>
        <v>0</v>
      </c>
      <c r="Q1407" s="1">
        <f>Table1[[#This Row],[High Tol]]-Table1[[#This Row],[Low Tol]]</f>
        <v>0</v>
      </c>
      <c r="R1407" s="1">
        <f>2*Table1[[#This Row],[Std Error]]</f>
        <v>0</v>
      </c>
      <c r="S1407" s="1" t="str">
        <f>IF(Table1[[#This Row],[High Tol]]="","N/A",IFERROR(ABS(Table1[[#This Row],[Tol Span]]/Table1[[#This Row],[Error Span]]),"N/A"))</f>
        <v>N/A</v>
      </c>
      <c r="T1407" s="1" t="str">
        <f>IF(OR(Table1[[#This Row],[Low Tol]]="",Table1[[#This Row],[High Tol]]=""),"Needs Analysis",IF(Table1[[#This Row],[Ratio]]&gt;=4,"Not Significant",IF(Table1[[#This Row],[Ratio]]&gt;=2,"Semi-Significant","Significant")))</f>
        <v>Needs Analysis</v>
      </c>
      <c r="W1407" s="1">
        <f>IF(Table1[[#This Row],[Cal Type]]&lt;&gt;"ACCREDITED 17025 WITH UNCERTAINTIES",0,"")</f>
        <v>0</v>
      </c>
      <c r="X1407" s="1" t="str">
        <f>IF(Table1[[#This Row],[DUT Read]]="","N/A",Table1[[#This Row],[Std Error]]+Table1[[#This Row],[DUT Read]]+Table1[[#This Row],[DUT Ucty]])</f>
        <v>N/A</v>
      </c>
      <c r="Y1407" s="1" t="str">
        <f>IF(Table1[[#This Row],[Std Read]]="","N/A",Table1[[#This Row],[Std Read]]+Table1[[#This Row],[Std Ucty]])</f>
        <v>N/A</v>
      </c>
      <c r="Z14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7" s="1" t="str">
        <f>IF(Table1[[#This Row],[Spec Type]]="","N/A",Table1[[#This Row],[Spec Type]])</f>
        <v>±</v>
      </c>
      <c r="AC1407" s="1" t="str">
        <f>IF(Table1[[#This Row],[Spec Type2]]="N/A","N/A",IF(AND(Table1[[#This Row],[DUT Adj Read]]&gt;=Table1[[#This Row],[Low Tol]],Table1[[#This Row],[DUT Adj Read]]&lt;=Table1[[#This Row],[High Tol]]),"Pass","Fail"))</f>
        <v>Fail</v>
      </c>
      <c r="AD1407" s="1" t="str">
        <f>IF(AND(Table1[[#This Row],[Spec Type2]]="N/A",Table1[[#This Row],[DUT Adj Read]]="N/A",Table1[[#This Row],[Std Adj Read]]="N/A"),"N/A",IF(Table1[[#This Row],[DUT Adj Read]]="N/A",IF(Table1[[#This Row],[Std Adj Read]]&gt;Table1[[#This Row],[Low Tol]],"Pass","Fail"),IF(Table1[[#This Row],[DUT Adj Read]]&gt;Table1[[#This Row],[Low Tol]],"Pass","Fail")))</f>
        <v>Pass</v>
      </c>
      <c r="AE1407" s="1" t="str">
        <f>IF(AND(Table1[[#This Row],[Spec Type2]]="N/A",Table1[[#This Row],[DUT Adj Read]]="N/A",Table1[[#This Row],[Std Adj Read]]="N/A"),"N/A",IF(Table1[[#This Row],[DUT Adj Read]]="N/A",IF(Table1[[#This Row],[Std Adj Read]]&lt;Table1[[#This Row],[High Tol]],"Pass","Fail"),IF(Table1[[#This Row],[DUT Adj Read]]&lt;Table1[[#This Row],[High Tol]],"Pass","Fail")))</f>
        <v>Fail</v>
      </c>
      <c r="AF1407" s="1" t="str">
        <f>IF(AND(Table1[[#This Row],[Spec Type2]]="N/A",Table1[[#This Row],[DUT Adj Read]]="N/A",Table1[[#This Row],[Std Adj Read]]="N/A"),"N/A",IF(Table1[[#This Row],[DUT Adj Read]]="N/A",IF(Table1[[#This Row],[Std Adj Read]]&gt;=Table1[[#This Row],[Low Tol]],"Pass","Fail"),IF(Table1[[#This Row],[DUT Adj Read]]&gt;=Table1[[#This Row],[Low Tol]],"Pass","Fail")))</f>
        <v>Pass</v>
      </c>
      <c r="AG1407" s="1" t="str">
        <f>IF(AND(Table1[[#This Row],[Spec Type2]]="N/A",Table1[[#This Row],[DUT Adj Read]]="N/A",Table1[[#This Row],[Std Adj Read]]="N/A"),"N/A",IF(Table1[[#This Row],[DUT Adj Read]]="N/A",IF(Table1[[#This Row],[Std Adj Read]]&lt;=Table1[[#This Row],[High Tol]],"Pass","Fail"),IF(Table1[[#This Row],[DUT Adj Read]]&lt;=Table1[[#This Row],[High Tol]],"Pass","Fail")))</f>
        <v>Fail</v>
      </c>
      <c r="AH14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7" s="1" t="b">
        <v>0</v>
      </c>
      <c r="AN1407" s="1" t="b">
        <v>0</v>
      </c>
      <c r="AO1407" s="1" t="b">
        <v>0</v>
      </c>
    </row>
    <row r="1408" spans="1:41" x14ac:dyDescent="0.25">
      <c r="A1408" s="10"/>
      <c r="B1408" s="10"/>
      <c r="C1408" s="10"/>
      <c r="D1408" s="10"/>
      <c r="E1408" s="10"/>
      <c r="F1408" s="10"/>
      <c r="G1408" s="10"/>
      <c r="H1408" s="10"/>
      <c r="I1408" s="1" t="str">
        <f t="shared" si="63"/>
        <v/>
      </c>
      <c r="J1408" s="1" t="s">
        <v>35</v>
      </c>
      <c r="K1408" s="1" t="str">
        <f t="shared" si="64"/>
        <v/>
      </c>
      <c r="L1408" s="1" t="str">
        <f t="shared" si="65"/>
        <v/>
      </c>
      <c r="M1408" s="1">
        <f>IF(OR(Table1[[#This Row],[Std Nom]]="",Table1[[#This Row],[Std Read]]=""),0,Table1[[#This Row],[Std Nom]]-Table1[[#This Row],[Std Read]])</f>
        <v>0</v>
      </c>
      <c r="N1408" s="1">
        <f>IF(Calculations!$F$5="ACCREDITED 17025 WITH UNCERTAINTIES",$N$10,0)</f>
        <v>0</v>
      </c>
      <c r="Q1408" s="1">
        <f>Table1[[#This Row],[High Tol]]-Table1[[#This Row],[Low Tol]]</f>
        <v>0</v>
      </c>
      <c r="R1408" s="1">
        <f>2*Table1[[#This Row],[Std Error]]</f>
        <v>0</v>
      </c>
      <c r="S1408" s="1" t="str">
        <f>IF(Table1[[#This Row],[High Tol]]="","N/A",IFERROR(ABS(Table1[[#This Row],[Tol Span]]/Table1[[#This Row],[Error Span]]),"N/A"))</f>
        <v>N/A</v>
      </c>
      <c r="T1408" s="1" t="str">
        <f>IF(OR(Table1[[#This Row],[Low Tol]]="",Table1[[#This Row],[High Tol]]=""),"Needs Analysis",IF(Table1[[#This Row],[Ratio]]&gt;=4,"Not Significant",IF(Table1[[#This Row],[Ratio]]&gt;=2,"Semi-Significant","Significant")))</f>
        <v>Needs Analysis</v>
      </c>
      <c r="W1408" s="1">
        <f>IF(Table1[[#This Row],[Cal Type]]&lt;&gt;"ACCREDITED 17025 WITH UNCERTAINTIES",0,"")</f>
        <v>0</v>
      </c>
      <c r="X1408" s="1" t="str">
        <f>IF(Table1[[#This Row],[DUT Read]]="","N/A",Table1[[#This Row],[Std Error]]+Table1[[#This Row],[DUT Read]]+Table1[[#This Row],[DUT Ucty]])</f>
        <v>N/A</v>
      </c>
      <c r="Y1408" s="1" t="str">
        <f>IF(Table1[[#This Row],[Std Read]]="","N/A",Table1[[#This Row],[Std Read]]+Table1[[#This Row],[Std Ucty]])</f>
        <v>N/A</v>
      </c>
      <c r="Z14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8" s="1" t="str">
        <f>IF(Table1[[#This Row],[Spec Type]]="","N/A",Table1[[#This Row],[Spec Type]])</f>
        <v>±</v>
      </c>
      <c r="AC1408" s="1" t="str">
        <f>IF(Table1[[#This Row],[Spec Type2]]="N/A","N/A",IF(AND(Table1[[#This Row],[DUT Adj Read]]&gt;=Table1[[#This Row],[Low Tol]],Table1[[#This Row],[DUT Adj Read]]&lt;=Table1[[#This Row],[High Tol]]),"Pass","Fail"))</f>
        <v>Fail</v>
      </c>
      <c r="AD1408" s="1" t="str">
        <f>IF(AND(Table1[[#This Row],[Spec Type2]]="N/A",Table1[[#This Row],[DUT Adj Read]]="N/A",Table1[[#This Row],[Std Adj Read]]="N/A"),"N/A",IF(Table1[[#This Row],[DUT Adj Read]]="N/A",IF(Table1[[#This Row],[Std Adj Read]]&gt;Table1[[#This Row],[Low Tol]],"Pass","Fail"),IF(Table1[[#This Row],[DUT Adj Read]]&gt;Table1[[#This Row],[Low Tol]],"Pass","Fail")))</f>
        <v>Pass</v>
      </c>
      <c r="AE1408" s="1" t="str">
        <f>IF(AND(Table1[[#This Row],[Spec Type2]]="N/A",Table1[[#This Row],[DUT Adj Read]]="N/A",Table1[[#This Row],[Std Adj Read]]="N/A"),"N/A",IF(Table1[[#This Row],[DUT Adj Read]]="N/A",IF(Table1[[#This Row],[Std Adj Read]]&lt;Table1[[#This Row],[High Tol]],"Pass","Fail"),IF(Table1[[#This Row],[DUT Adj Read]]&lt;Table1[[#This Row],[High Tol]],"Pass","Fail")))</f>
        <v>Fail</v>
      </c>
      <c r="AF1408" s="1" t="str">
        <f>IF(AND(Table1[[#This Row],[Spec Type2]]="N/A",Table1[[#This Row],[DUT Adj Read]]="N/A",Table1[[#This Row],[Std Adj Read]]="N/A"),"N/A",IF(Table1[[#This Row],[DUT Adj Read]]="N/A",IF(Table1[[#This Row],[Std Adj Read]]&gt;=Table1[[#This Row],[Low Tol]],"Pass","Fail"),IF(Table1[[#This Row],[DUT Adj Read]]&gt;=Table1[[#This Row],[Low Tol]],"Pass","Fail")))</f>
        <v>Pass</v>
      </c>
      <c r="AG1408" s="1" t="str">
        <f>IF(AND(Table1[[#This Row],[Spec Type2]]="N/A",Table1[[#This Row],[DUT Adj Read]]="N/A",Table1[[#This Row],[Std Adj Read]]="N/A"),"N/A",IF(Table1[[#This Row],[DUT Adj Read]]="N/A",IF(Table1[[#This Row],[Std Adj Read]]&lt;=Table1[[#This Row],[High Tol]],"Pass","Fail"),IF(Table1[[#This Row],[DUT Adj Read]]&lt;=Table1[[#This Row],[High Tol]],"Pass","Fail")))</f>
        <v>Fail</v>
      </c>
      <c r="AH14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8" s="1" t="b">
        <v>0</v>
      </c>
      <c r="AN1408" s="1" t="b">
        <v>0</v>
      </c>
      <c r="AO1408" s="1" t="b">
        <v>0</v>
      </c>
    </row>
    <row r="1409" spans="1:41" x14ac:dyDescent="0.25">
      <c r="A1409" s="10"/>
      <c r="B1409" s="10"/>
      <c r="C1409" s="10"/>
      <c r="D1409" s="10"/>
      <c r="E1409" s="10"/>
      <c r="F1409" s="10"/>
      <c r="G1409" s="10"/>
      <c r="H1409" s="10"/>
      <c r="I1409" s="1" t="str">
        <f t="shared" si="63"/>
        <v/>
      </c>
      <c r="J1409" s="1" t="s">
        <v>35</v>
      </c>
      <c r="K1409" s="1" t="str">
        <f t="shared" si="64"/>
        <v/>
      </c>
      <c r="L1409" s="1" t="str">
        <f t="shared" si="65"/>
        <v/>
      </c>
      <c r="M1409" s="1">
        <f>IF(OR(Table1[[#This Row],[Std Nom]]="",Table1[[#This Row],[Std Read]]=""),0,Table1[[#This Row],[Std Nom]]-Table1[[#This Row],[Std Read]])</f>
        <v>0</v>
      </c>
      <c r="N1409" s="1">
        <f>IF(Calculations!$F$5="ACCREDITED 17025 WITH UNCERTAINTIES",$N$10,0)</f>
        <v>0</v>
      </c>
      <c r="Q1409" s="1">
        <f>Table1[[#This Row],[High Tol]]-Table1[[#This Row],[Low Tol]]</f>
        <v>0</v>
      </c>
      <c r="R1409" s="1">
        <f>2*Table1[[#This Row],[Std Error]]</f>
        <v>0</v>
      </c>
      <c r="S1409" s="1" t="str">
        <f>IF(Table1[[#This Row],[High Tol]]="","N/A",IFERROR(ABS(Table1[[#This Row],[Tol Span]]/Table1[[#This Row],[Error Span]]),"N/A"))</f>
        <v>N/A</v>
      </c>
      <c r="T1409" s="1" t="str">
        <f>IF(OR(Table1[[#This Row],[Low Tol]]="",Table1[[#This Row],[High Tol]]=""),"Needs Analysis",IF(Table1[[#This Row],[Ratio]]&gt;=4,"Not Significant",IF(Table1[[#This Row],[Ratio]]&gt;=2,"Semi-Significant","Significant")))</f>
        <v>Needs Analysis</v>
      </c>
      <c r="W1409" s="1">
        <f>IF(Table1[[#This Row],[Cal Type]]&lt;&gt;"ACCREDITED 17025 WITH UNCERTAINTIES",0,"")</f>
        <v>0</v>
      </c>
      <c r="X1409" s="1" t="str">
        <f>IF(Table1[[#This Row],[DUT Read]]="","N/A",Table1[[#This Row],[Std Error]]+Table1[[#This Row],[DUT Read]]+Table1[[#This Row],[DUT Ucty]])</f>
        <v>N/A</v>
      </c>
      <c r="Y1409" s="1" t="str">
        <f>IF(Table1[[#This Row],[Std Read]]="","N/A",Table1[[#This Row],[Std Read]]+Table1[[#This Row],[Std Ucty]])</f>
        <v>N/A</v>
      </c>
      <c r="Z14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09" s="1" t="str">
        <f>IF(Table1[[#This Row],[Spec Type]]="","N/A",Table1[[#This Row],[Spec Type]])</f>
        <v>±</v>
      </c>
      <c r="AC1409" s="1" t="str">
        <f>IF(Table1[[#This Row],[Spec Type2]]="N/A","N/A",IF(AND(Table1[[#This Row],[DUT Adj Read]]&gt;=Table1[[#This Row],[Low Tol]],Table1[[#This Row],[DUT Adj Read]]&lt;=Table1[[#This Row],[High Tol]]),"Pass","Fail"))</f>
        <v>Fail</v>
      </c>
      <c r="AD1409" s="1" t="str">
        <f>IF(AND(Table1[[#This Row],[Spec Type2]]="N/A",Table1[[#This Row],[DUT Adj Read]]="N/A",Table1[[#This Row],[Std Adj Read]]="N/A"),"N/A",IF(Table1[[#This Row],[DUT Adj Read]]="N/A",IF(Table1[[#This Row],[Std Adj Read]]&gt;Table1[[#This Row],[Low Tol]],"Pass","Fail"),IF(Table1[[#This Row],[DUT Adj Read]]&gt;Table1[[#This Row],[Low Tol]],"Pass","Fail")))</f>
        <v>Pass</v>
      </c>
      <c r="AE1409" s="1" t="str">
        <f>IF(AND(Table1[[#This Row],[Spec Type2]]="N/A",Table1[[#This Row],[DUT Adj Read]]="N/A",Table1[[#This Row],[Std Adj Read]]="N/A"),"N/A",IF(Table1[[#This Row],[DUT Adj Read]]="N/A",IF(Table1[[#This Row],[Std Adj Read]]&lt;Table1[[#This Row],[High Tol]],"Pass","Fail"),IF(Table1[[#This Row],[DUT Adj Read]]&lt;Table1[[#This Row],[High Tol]],"Pass","Fail")))</f>
        <v>Fail</v>
      </c>
      <c r="AF1409" s="1" t="str">
        <f>IF(AND(Table1[[#This Row],[Spec Type2]]="N/A",Table1[[#This Row],[DUT Adj Read]]="N/A",Table1[[#This Row],[Std Adj Read]]="N/A"),"N/A",IF(Table1[[#This Row],[DUT Adj Read]]="N/A",IF(Table1[[#This Row],[Std Adj Read]]&gt;=Table1[[#This Row],[Low Tol]],"Pass","Fail"),IF(Table1[[#This Row],[DUT Adj Read]]&gt;=Table1[[#This Row],[Low Tol]],"Pass","Fail")))</f>
        <v>Pass</v>
      </c>
      <c r="AG1409" s="1" t="str">
        <f>IF(AND(Table1[[#This Row],[Spec Type2]]="N/A",Table1[[#This Row],[DUT Adj Read]]="N/A",Table1[[#This Row],[Std Adj Read]]="N/A"),"N/A",IF(Table1[[#This Row],[DUT Adj Read]]="N/A",IF(Table1[[#This Row],[Std Adj Read]]&lt;=Table1[[#This Row],[High Tol]],"Pass","Fail"),IF(Table1[[#This Row],[DUT Adj Read]]&lt;=Table1[[#This Row],[High Tol]],"Pass","Fail")))</f>
        <v>Fail</v>
      </c>
      <c r="AH14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09" s="1" t="b">
        <v>0</v>
      </c>
      <c r="AN1409" s="1" t="b">
        <v>0</v>
      </c>
      <c r="AO1409" s="1" t="b">
        <v>0</v>
      </c>
    </row>
    <row r="1410" spans="1:41" x14ac:dyDescent="0.25">
      <c r="A1410" s="10"/>
      <c r="B1410" s="10"/>
      <c r="C1410" s="10"/>
      <c r="D1410" s="10"/>
      <c r="E1410" s="10"/>
      <c r="F1410" s="10"/>
      <c r="G1410" s="10"/>
      <c r="H1410" s="10"/>
      <c r="I1410" s="1" t="str">
        <f t="shared" si="63"/>
        <v/>
      </c>
      <c r="J1410" s="1" t="s">
        <v>35</v>
      </c>
      <c r="K1410" s="1" t="str">
        <f t="shared" si="64"/>
        <v/>
      </c>
      <c r="L1410" s="1" t="str">
        <f t="shared" si="65"/>
        <v/>
      </c>
      <c r="M1410" s="1">
        <f>IF(OR(Table1[[#This Row],[Std Nom]]="",Table1[[#This Row],[Std Read]]=""),0,Table1[[#This Row],[Std Nom]]-Table1[[#This Row],[Std Read]])</f>
        <v>0</v>
      </c>
      <c r="N1410" s="1">
        <f>IF(Calculations!$F$5="ACCREDITED 17025 WITH UNCERTAINTIES",$N$10,0)</f>
        <v>0</v>
      </c>
      <c r="Q1410" s="1">
        <f>Table1[[#This Row],[High Tol]]-Table1[[#This Row],[Low Tol]]</f>
        <v>0</v>
      </c>
      <c r="R1410" s="1">
        <f>2*Table1[[#This Row],[Std Error]]</f>
        <v>0</v>
      </c>
      <c r="S1410" s="1" t="str">
        <f>IF(Table1[[#This Row],[High Tol]]="","N/A",IFERROR(ABS(Table1[[#This Row],[Tol Span]]/Table1[[#This Row],[Error Span]]),"N/A"))</f>
        <v>N/A</v>
      </c>
      <c r="T1410" s="1" t="str">
        <f>IF(OR(Table1[[#This Row],[Low Tol]]="",Table1[[#This Row],[High Tol]]=""),"Needs Analysis",IF(Table1[[#This Row],[Ratio]]&gt;=4,"Not Significant",IF(Table1[[#This Row],[Ratio]]&gt;=2,"Semi-Significant","Significant")))</f>
        <v>Needs Analysis</v>
      </c>
      <c r="W1410" s="1">
        <f>IF(Table1[[#This Row],[Cal Type]]&lt;&gt;"ACCREDITED 17025 WITH UNCERTAINTIES",0,"")</f>
        <v>0</v>
      </c>
      <c r="X1410" s="1" t="str">
        <f>IF(Table1[[#This Row],[DUT Read]]="","N/A",Table1[[#This Row],[Std Error]]+Table1[[#This Row],[DUT Read]]+Table1[[#This Row],[DUT Ucty]])</f>
        <v>N/A</v>
      </c>
      <c r="Y1410" s="1" t="str">
        <f>IF(Table1[[#This Row],[Std Read]]="","N/A",Table1[[#This Row],[Std Read]]+Table1[[#This Row],[Std Ucty]])</f>
        <v>N/A</v>
      </c>
      <c r="Z14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0" s="1" t="str">
        <f>IF(Table1[[#This Row],[Spec Type]]="","N/A",Table1[[#This Row],[Spec Type]])</f>
        <v>±</v>
      </c>
      <c r="AC1410" s="1" t="str">
        <f>IF(Table1[[#This Row],[Spec Type2]]="N/A","N/A",IF(AND(Table1[[#This Row],[DUT Adj Read]]&gt;=Table1[[#This Row],[Low Tol]],Table1[[#This Row],[DUT Adj Read]]&lt;=Table1[[#This Row],[High Tol]]),"Pass","Fail"))</f>
        <v>Fail</v>
      </c>
      <c r="AD1410" s="1" t="str">
        <f>IF(AND(Table1[[#This Row],[Spec Type2]]="N/A",Table1[[#This Row],[DUT Adj Read]]="N/A",Table1[[#This Row],[Std Adj Read]]="N/A"),"N/A",IF(Table1[[#This Row],[DUT Adj Read]]="N/A",IF(Table1[[#This Row],[Std Adj Read]]&gt;Table1[[#This Row],[Low Tol]],"Pass","Fail"),IF(Table1[[#This Row],[DUT Adj Read]]&gt;Table1[[#This Row],[Low Tol]],"Pass","Fail")))</f>
        <v>Pass</v>
      </c>
      <c r="AE1410" s="1" t="str">
        <f>IF(AND(Table1[[#This Row],[Spec Type2]]="N/A",Table1[[#This Row],[DUT Adj Read]]="N/A",Table1[[#This Row],[Std Adj Read]]="N/A"),"N/A",IF(Table1[[#This Row],[DUT Adj Read]]="N/A",IF(Table1[[#This Row],[Std Adj Read]]&lt;Table1[[#This Row],[High Tol]],"Pass","Fail"),IF(Table1[[#This Row],[DUT Adj Read]]&lt;Table1[[#This Row],[High Tol]],"Pass","Fail")))</f>
        <v>Fail</v>
      </c>
      <c r="AF1410" s="1" t="str">
        <f>IF(AND(Table1[[#This Row],[Spec Type2]]="N/A",Table1[[#This Row],[DUT Adj Read]]="N/A",Table1[[#This Row],[Std Adj Read]]="N/A"),"N/A",IF(Table1[[#This Row],[DUT Adj Read]]="N/A",IF(Table1[[#This Row],[Std Adj Read]]&gt;=Table1[[#This Row],[Low Tol]],"Pass","Fail"),IF(Table1[[#This Row],[DUT Adj Read]]&gt;=Table1[[#This Row],[Low Tol]],"Pass","Fail")))</f>
        <v>Pass</v>
      </c>
      <c r="AG1410" s="1" t="str">
        <f>IF(AND(Table1[[#This Row],[Spec Type2]]="N/A",Table1[[#This Row],[DUT Adj Read]]="N/A",Table1[[#This Row],[Std Adj Read]]="N/A"),"N/A",IF(Table1[[#This Row],[DUT Adj Read]]="N/A",IF(Table1[[#This Row],[Std Adj Read]]&lt;=Table1[[#This Row],[High Tol]],"Pass","Fail"),IF(Table1[[#This Row],[DUT Adj Read]]&lt;=Table1[[#This Row],[High Tol]],"Pass","Fail")))</f>
        <v>Fail</v>
      </c>
      <c r="AH14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0" s="1" t="b">
        <v>0</v>
      </c>
      <c r="AN1410" s="1" t="b">
        <v>0</v>
      </c>
      <c r="AO1410" s="1" t="b">
        <v>0</v>
      </c>
    </row>
    <row r="1411" spans="1:41" x14ac:dyDescent="0.25">
      <c r="A1411" s="10"/>
      <c r="B1411" s="10"/>
      <c r="C1411" s="10"/>
      <c r="D1411" s="10"/>
      <c r="E1411" s="10"/>
      <c r="F1411" s="10"/>
      <c r="G1411" s="10"/>
      <c r="H1411" s="10"/>
      <c r="I1411" s="1" t="str">
        <f t="shared" si="63"/>
        <v/>
      </c>
      <c r="J1411" s="1" t="s">
        <v>35</v>
      </c>
      <c r="K1411" s="1" t="str">
        <f t="shared" si="64"/>
        <v/>
      </c>
      <c r="L1411" s="1" t="str">
        <f t="shared" si="65"/>
        <v/>
      </c>
      <c r="M1411" s="1">
        <f>IF(OR(Table1[[#This Row],[Std Nom]]="",Table1[[#This Row],[Std Read]]=""),0,Table1[[#This Row],[Std Nom]]-Table1[[#This Row],[Std Read]])</f>
        <v>0</v>
      </c>
      <c r="N1411" s="1">
        <f>IF(Calculations!$F$5="ACCREDITED 17025 WITH UNCERTAINTIES",$N$10,0)</f>
        <v>0</v>
      </c>
      <c r="Q1411" s="1">
        <f>Table1[[#This Row],[High Tol]]-Table1[[#This Row],[Low Tol]]</f>
        <v>0</v>
      </c>
      <c r="R1411" s="1">
        <f>2*Table1[[#This Row],[Std Error]]</f>
        <v>0</v>
      </c>
      <c r="S1411" s="1" t="str">
        <f>IF(Table1[[#This Row],[High Tol]]="","N/A",IFERROR(ABS(Table1[[#This Row],[Tol Span]]/Table1[[#This Row],[Error Span]]),"N/A"))</f>
        <v>N/A</v>
      </c>
      <c r="T1411" s="1" t="str">
        <f>IF(OR(Table1[[#This Row],[Low Tol]]="",Table1[[#This Row],[High Tol]]=""),"Needs Analysis",IF(Table1[[#This Row],[Ratio]]&gt;=4,"Not Significant",IF(Table1[[#This Row],[Ratio]]&gt;=2,"Semi-Significant","Significant")))</f>
        <v>Needs Analysis</v>
      </c>
      <c r="W1411" s="1">
        <f>IF(Table1[[#This Row],[Cal Type]]&lt;&gt;"ACCREDITED 17025 WITH UNCERTAINTIES",0,"")</f>
        <v>0</v>
      </c>
      <c r="X1411" s="1" t="str">
        <f>IF(Table1[[#This Row],[DUT Read]]="","N/A",Table1[[#This Row],[Std Error]]+Table1[[#This Row],[DUT Read]]+Table1[[#This Row],[DUT Ucty]])</f>
        <v>N/A</v>
      </c>
      <c r="Y1411" s="1" t="str">
        <f>IF(Table1[[#This Row],[Std Read]]="","N/A",Table1[[#This Row],[Std Read]]+Table1[[#This Row],[Std Ucty]])</f>
        <v>N/A</v>
      </c>
      <c r="Z14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1" s="1" t="str">
        <f>IF(Table1[[#This Row],[Spec Type]]="","N/A",Table1[[#This Row],[Spec Type]])</f>
        <v>±</v>
      </c>
      <c r="AC1411" s="1" t="str">
        <f>IF(Table1[[#This Row],[Spec Type2]]="N/A","N/A",IF(AND(Table1[[#This Row],[DUT Adj Read]]&gt;=Table1[[#This Row],[Low Tol]],Table1[[#This Row],[DUT Adj Read]]&lt;=Table1[[#This Row],[High Tol]]),"Pass","Fail"))</f>
        <v>Fail</v>
      </c>
      <c r="AD1411" s="1" t="str">
        <f>IF(AND(Table1[[#This Row],[Spec Type2]]="N/A",Table1[[#This Row],[DUT Adj Read]]="N/A",Table1[[#This Row],[Std Adj Read]]="N/A"),"N/A",IF(Table1[[#This Row],[DUT Adj Read]]="N/A",IF(Table1[[#This Row],[Std Adj Read]]&gt;Table1[[#This Row],[Low Tol]],"Pass","Fail"),IF(Table1[[#This Row],[DUT Adj Read]]&gt;Table1[[#This Row],[Low Tol]],"Pass","Fail")))</f>
        <v>Pass</v>
      </c>
      <c r="AE1411" s="1" t="str">
        <f>IF(AND(Table1[[#This Row],[Spec Type2]]="N/A",Table1[[#This Row],[DUT Adj Read]]="N/A",Table1[[#This Row],[Std Adj Read]]="N/A"),"N/A",IF(Table1[[#This Row],[DUT Adj Read]]="N/A",IF(Table1[[#This Row],[Std Adj Read]]&lt;Table1[[#This Row],[High Tol]],"Pass","Fail"),IF(Table1[[#This Row],[DUT Adj Read]]&lt;Table1[[#This Row],[High Tol]],"Pass","Fail")))</f>
        <v>Fail</v>
      </c>
      <c r="AF1411" s="1" t="str">
        <f>IF(AND(Table1[[#This Row],[Spec Type2]]="N/A",Table1[[#This Row],[DUT Adj Read]]="N/A",Table1[[#This Row],[Std Adj Read]]="N/A"),"N/A",IF(Table1[[#This Row],[DUT Adj Read]]="N/A",IF(Table1[[#This Row],[Std Adj Read]]&gt;=Table1[[#This Row],[Low Tol]],"Pass","Fail"),IF(Table1[[#This Row],[DUT Adj Read]]&gt;=Table1[[#This Row],[Low Tol]],"Pass","Fail")))</f>
        <v>Pass</v>
      </c>
      <c r="AG1411" s="1" t="str">
        <f>IF(AND(Table1[[#This Row],[Spec Type2]]="N/A",Table1[[#This Row],[DUT Adj Read]]="N/A",Table1[[#This Row],[Std Adj Read]]="N/A"),"N/A",IF(Table1[[#This Row],[DUT Adj Read]]="N/A",IF(Table1[[#This Row],[Std Adj Read]]&lt;=Table1[[#This Row],[High Tol]],"Pass","Fail"),IF(Table1[[#This Row],[DUT Adj Read]]&lt;=Table1[[#This Row],[High Tol]],"Pass","Fail")))</f>
        <v>Fail</v>
      </c>
      <c r="AH14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1" s="1" t="b">
        <v>0</v>
      </c>
      <c r="AN1411" s="1" t="b">
        <v>0</v>
      </c>
      <c r="AO1411" s="1" t="b">
        <v>0</v>
      </c>
    </row>
    <row r="1412" spans="1:41" x14ac:dyDescent="0.25">
      <c r="A1412" s="10"/>
      <c r="B1412" s="10"/>
      <c r="C1412" s="10"/>
      <c r="D1412" s="10"/>
      <c r="E1412" s="10"/>
      <c r="F1412" s="10"/>
      <c r="G1412" s="10"/>
      <c r="H1412" s="10"/>
      <c r="I1412" s="1" t="str">
        <f t="shared" si="63"/>
        <v/>
      </c>
      <c r="J1412" s="1" t="s">
        <v>35</v>
      </c>
      <c r="K1412" s="1" t="str">
        <f t="shared" si="64"/>
        <v/>
      </c>
      <c r="L1412" s="1" t="str">
        <f t="shared" si="65"/>
        <v/>
      </c>
      <c r="M1412" s="1">
        <f>IF(OR(Table1[[#This Row],[Std Nom]]="",Table1[[#This Row],[Std Read]]=""),0,Table1[[#This Row],[Std Nom]]-Table1[[#This Row],[Std Read]])</f>
        <v>0</v>
      </c>
      <c r="N1412" s="1">
        <f>IF(Calculations!$F$5="ACCREDITED 17025 WITH UNCERTAINTIES",$N$10,0)</f>
        <v>0</v>
      </c>
      <c r="Q1412" s="1">
        <f>Table1[[#This Row],[High Tol]]-Table1[[#This Row],[Low Tol]]</f>
        <v>0</v>
      </c>
      <c r="R1412" s="1">
        <f>2*Table1[[#This Row],[Std Error]]</f>
        <v>0</v>
      </c>
      <c r="S1412" s="1" t="str">
        <f>IF(Table1[[#This Row],[High Tol]]="","N/A",IFERROR(ABS(Table1[[#This Row],[Tol Span]]/Table1[[#This Row],[Error Span]]),"N/A"))</f>
        <v>N/A</v>
      </c>
      <c r="T1412" s="1" t="str">
        <f>IF(OR(Table1[[#This Row],[Low Tol]]="",Table1[[#This Row],[High Tol]]=""),"Needs Analysis",IF(Table1[[#This Row],[Ratio]]&gt;=4,"Not Significant",IF(Table1[[#This Row],[Ratio]]&gt;=2,"Semi-Significant","Significant")))</f>
        <v>Needs Analysis</v>
      </c>
      <c r="W1412" s="1">
        <f>IF(Table1[[#This Row],[Cal Type]]&lt;&gt;"ACCREDITED 17025 WITH UNCERTAINTIES",0,"")</f>
        <v>0</v>
      </c>
      <c r="X1412" s="1" t="str">
        <f>IF(Table1[[#This Row],[DUT Read]]="","N/A",Table1[[#This Row],[Std Error]]+Table1[[#This Row],[DUT Read]]+Table1[[#This Row],[DUT Ucty]])</f>
        <v>N/A</v>
      </c>
      <c r="Y1412" s="1" t="str">
        <f>IF(Table1[[#This Row],[Std Read]]="","N/A",Table1[[#This Row],[Std Read]]+Table1[[#This Row],[Std Ucty]])</f>
        <v>N/A</v>
      </c>
      <c r="Z14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2" s="1" t="str">
        <f>IF(Table1[[#This Row],[Spec Type]]="","N/A",Table1[[#This Row],[Spec Type]])</f>
        <v>±</v>
      </c>
      <c r="AC1412" s="1" t="str">
        <f>IF(Table1[[#This Row],[Spec Type2]]="N/A","N/A",IF(AND(Table1[[#This Row],[DUT Adj Read]]&gt;=Table1[[#This Row],[Low Tol]],Table1[[#This Row],[DUT Adj Read]]&lt;=Table1[[#This Row],[High Tol]]),"Pass","Fail"))</f>
        <v>Fail</v>
      </c>
      <c r="AD1412" s="1" t="str">
        <f>IF(AND(Table1[[#This Row],[Spec Type2]]="N/A",Table1[[#This Row],[DUT Adj Read]]="N/A",Table1[[#This Row],[Std Adj Read]]="N/A"),"N/A",IF(Table1[[#This Row],[DUT Adj Read]]="N/A",IF(Table1[[#This Row],[Std Adj Read]]&gt;Table1[[#This Row],[Low Tol]],"Pass","Fail"),IF(Table1[[#This Row],[DUT Adj Read]]&gt;Table1[[#This Row],[Low Tol]],"Pass","Fail")))</f>
        <v>Pass</v>
      </c>
      <c r="AE1412" s="1" t="str">
        <f>IF(AND(Table1[[#This Row],[Spec Type2]]="N/A",Table1[[#This Row],[DUT Adj Read]]="N/A",Table1[[#This Row],[Std Adj Read]]="N/A"),"N/A",IF(Table1[[#This Row],[DUT Adj Read]]="N/A",IF(Table1[[#This Row],[Std Adj Read]]&lt;Table1[[#This Row],[High Tol]],"Pass","Fail"),IF(Table1[[#This Row],[DUT Adj Read]]&lt;Table1[[#This Row],[High Tol]],"Pass","Fail")))</f>
        <v>Fail</v>
      </c>
      <c r="AF1412" s="1" t="str">
        <f>IF(AND(Table1[[#This Row],[Spec Type2]]="N/A",Table1[[#This Row],[DUT Adj Read]]="N/A",Table1[[#This Row],[Std Adj Read]]="N/A"),"N/A",IF(Table1[[#This Row],[DUT Adj Read]]="N/A",IF(Table1[[#This Row],[Std Adj Read]]&gt;=Table1[[#This Row],[Low Tol]],"Pass","Fail"),IF(Table1[[#This Row],[DUT Adj Read]]&gt;=Table1[[#This Row],[Low Tol]],"Pass","Fail")))</f>
        <v>Pass</v>
      </c>
      <c r="AG1412" s="1" t="str">
        <f>IF(AND(Table1[[#This Row],[Spec Type2]]="N/A",Table1[[#This Row],[DUT Adj Read]]="N/A",Table1[[#This Row],[Std Adj Read]]="N/A"),"N/A",IF(Table1[[#This Row],[DUT Adj Read]]="N/A",IF(Table1[[#This Row],[Std Adj Read]]&lt;=Table1[[#This Row],[High Tol]],"Pass","Fail"),IF(Table1[[#This Row],[DUT Adj Read]]&lt;=Table1[[#This Row],[High Tol]],"Pass","Fail")))</f>
        <v>Fail</v>
      </c>
      <c r="AH14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2" s="1" t="b">
        <v>0</v>
      </c>
      <c r="AN1412" s="1" t="b">
        <v>0</v>
      </c>
      <c r="AO1412" s="1" t="b">
        <v>0</v>
      </c>
    </row>
    <row r="1413" spans="1:41" x14ac:dyDescent="0.25">
      <c r="A1413" s="10"/>
      <c r="B1413" s="10"/>
      <c r="C1413" s="10"/>
      <c r="D1413" s="10"/>
      <c r="E1413" s="10"/>
      <c r="F1413" s="10"/>
      <c r="G1413" s="10"/>
      <c r="H1413" s="10"/>
      <c r="I1413" s="1" t="str">
        <f t="shared" si="63"/>
        <v/>
      </c>
      <c r="J1413" s="1" t="s">
        <v>35</v>
      </c>
      <c r="K1413" s="1" t="str">
        <f t="shared" si="64"/>
        <v/>
      </c>
      <c r="L1413" s="1" t="str">
        <f t="shared" si="65"/>
        <v/>
      </c>
      <c r="M1413" s="1">
        <f>IF(OR(Table1[[#This Row],[Std Nom]]="",Table1[[#This Row],[Std Read]]=""),0,Table1[[#This Row],[Std Nom]]-Table1[[#This Row],[Std Read]])</f>
        <v>0</v>
      </c>
      <c r="N1413" s="1">
        <f>IF(Calculations!$F$5="ACCREDITED 17025 WITH UNCERTAINTIES",$N$10,0)</f>
        <v>0</v>
      </c>
      <c r="Q1413" s="1">
        <f>Table1[[#This Row],[High Tol]]-Table1[[#This Row],[Low Tol]]</f>
        <v>0</v>
      </c>
      <c r="R1413" s="1">
        <f>2*Table1[[#This Row],[Std Error]]</f>
        <v>0</v>
      </c>
      <c r="S1413" s="1" t="str">
        <f>IF(Table1[[#This Row],[High Tol]]="","N/A",IFERROR(ABS(Table1[[#This Row],[Tol Span]]/Table1[[#This Row],[Error Span]]),"N/A"))</f>
        <v>N/A</v>
      </c>
      <c r="T1413" s="1" t="str">
        <f>IF(OR(Table1[[#This Row],[Low Tol]]="",Table1[[#This Row],[High Tol]]=""),"Needs Analysis",IF(Table1[[#This Row],[Ratio]]&gt;=4,"Not Significant",IF(Table1[[#This Row],[Ratio]]&gt;=2,"Semi-Significant","Significant")))</f>
        <v>Needs Analysis</v>
      </c>
      <c r="W1413" s="1">
        <f>IF(Table1[[#This Row],[Cal Type]]&lt;&gt;"ACCREDITED 17025 WITH UNCERTAINTIES",0,"")</f>
        <v>0</v>
      </c>
      <c r="X1413" s="1" t="str">
        <f>IF(Table1[[#This Row],[DUT Read]]="","N/A",Table1[[#This Row],[Std Error]]+Table1[[#This Row],[DUT Read]]+Table1[[#This Row],[DUT Ucty]])</f>
        <v>N/A</v>
      </c>
      <c r="Y1413" s="1" t="str">
        <f>IF(Table1[[#This Row],[Std Read]]="","N/A",Table1[[#This Row],[Std Read]]+Table1[[#This Row],[Std Ucty]])</f>
        <v>N/A</v>
      </c>
      <c r="Z14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3" s="1" t="str">
        <f>IF(Table1[[#This Row],[Spec Type]]="","N/A",Table1[[#This Row],[Spec Type]])</f>
        <v>±</v>
      </c>
      <c r="AC1413" s="1" t="str">
        <f>IF(Table1[[#This Row],[Spec Type2]]="N/A","N/A",IF(AND(Table1[[#This Row],[DUT Adj Read]]&gt;=Table1[[#This Row],[Low Tol]],Table1[[#This Row],[DUT Adj Read]]&lt;=Table1[[#This Row],[High Tol]]),"Pass","Fail"))</f>
        <v>Fail</v>
      </c>
      <c r="AD1413" s="1" t="str">
        <f>IF(AND(Table1[[#This Row],[Spec Type2]]="N/A",Table1[[#This Row],[DUT Adj Read]]="N/A",Table1[[#This Row],[Std Adj Read]]="N/A"),"N/A",IF(Table1[[#This Row],[DUT Adj Read]]="N/A",IF(Table1[[#This Row],[Std Adj Read]]&gt;Table1[[#This Row],[Low Tol]],"Pass","Fail"),IF(Table1[[#This Row],[DUT Adj Read]]&gt;Table1[[#This Row],[Low Tol]],"Pass","Fail")))</f>
        <v>Pass</v>
      </c>
      <c r="AE1413" s="1" t="str">
        <f>IF(AND(Table1[[#This Row],[Spec Type2]]="N/A",Table1[[#This Row],[DUT Adj Read]]="N/A",Table1[[#This Row],[Std Adj Read]]="N/A"),"N/A",IF(Table1[[#This Row],[DUT Adj Read]]="N/A",IF(Table1[[#This Row],[Std Adj Read]]&lt;Table1[[#This Row],[High Tol]],"Pass","Fail"),IF(Table1[[#This Row],[DUT Adj Read]]&lt;Table1[[#This Row],[High Tol]],"Pass","Fail")))</f>
        <v>Fail</v>
      </c>
      <c r="AF1413" s="1" t="str">
        <f>IF(AND(Table1[[#This Row],[Spec Type2]]="N/A",Table1[[#This Row],[DUT Adj Read]]="N/A",Table1[[#This Row],[Std Adj Read]]="N/A"),"N/A",IF(Table1[[#This Row],[DUT Adj Read]]="N/A",IF(Table1[[#This Row],[Std Adj Read]]&gt;=Table1[[#This Row],[Low Tol]],"Pass","Fail"),IF(Table1[[#This Row],[DUT Adj Read]]&gt;=Table1[[#This Row],[Low Tol]],"Pass","Fail")))</f>
        <v>Pass</v>
      </c>
      <c r="AG1413" s="1" t="str">
        <f>IF(AND(Table1[[#This Row],[Spec Type2]]="N/A",Table1[[#This Row],[DUT Adj Read]]="N/A",Table1[[#This Row],[Std Adj Read]]="N/A"),"N/A",IF(Table1[[#This Row],[DUT Adj Read]]="N/A",IF(Table1[[#This Row],[Std Adj Read]]&lt;=Table1[[#This Row],[High Tol]],"Pass","Fail"),IF(Table1[[#This Row],[DUT Adj Read]]&lt;=Table1[[#This Row],[High Tol]],"Pass","Fail")))</f>
        <v>Fail</v>
      </c>
      <c r="AH14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3" s="1" t="b">
        <v>0</v>
      </c>
      <c r="AN1413" s="1" t="b">
        <v>0</v>
      </c>
      <c r="AO1413" s="1" t="b">
        <v>0</v>
      </c>
    </row>
    <row r="1414" spans="1:41" x14ac:dyDescent="0.25">
      <c r="A1414" s="10"/>
      <c r="B1414" s="10"/>
      <c r="C1414" s="10"/>
      <c r="D1414" s="10"/>
      <c r="E1414" s="10"/>
      <c r="F1414" s="10"/>
      <c r="G1414" s="10"/>
      <c r="H1414" s="10"/>
      <c r="I1414" s="1" t="str">
        <f t="shared" si="63"/>
        <v/>
      </c>
      <c r="J1414" s="1" t="s">
        <v>35</v>
      </c>
      <c r="K1414" s="1" t="str">
        <f t="shared" si="64"/>
        <v/>
      </c>
      <c r="L1414" s="1" t="str">
        <f t="shared" si="65"/>
        <v/>
      </c>
      <c r="M1414" s="1">
        <f>IF(OR(Table1[[#This Row],[Std Nom]]="",Table1[[#This Row],[Std Read]]=""),0,Table1[[#This Row],[Std Nom]]-Table1[[#This Row],[Std Read]])</f>
        <v>0</v>
      </c>
      <c r="N1414" s="1">
        <f>IF(Calculations!$F$5="ACCREDITED 17025 WITH UNCERTAINTIES",$N$10,0)</f>
        <v>0</v>
      </c>
      <c r="Q1414" s="1">
        <f>Table1[[#This Row],[High Tol]]-Table1[[#This Row],[Low Tol]]</f>
        <v>0</v>
      </c>
      <c r="R1414" s="1">
        <f>2*Table1[[#This Row],[Std Error]]</f>
        <v>0</v>
      </c>
      <c r="S1414" s="1" t="str">
        <f>IF(Table1[[#This Row],[High Tol]]="","N/A",IFERROR(ABS(Table1[[#This Row],[Tol Span]]/Table1[[#This Row],[Error Span]]),"N/A"))</f>
        <v>N/A</v>
      </c>
      <c r="T1414" s="1" t="str">
        <f>IF(OR(Table1[[#This Row],[Low Tol]]="",Table1[[#This Row],[High Tol]]=""),"Needs Analysis",IF(Table1[[#This Row],[Ratio]]&gt;=4,"Not Significant",IF(Table1[[#This Row],[Ratio]]&gt;=2,"Semi-Significant","Significant")))</f>
        <v>Needs Analysis</v>
      </c>
      <c r="W1414" s="1">
        <f>IF(Table1[[#This Row],[Cal Type]]&lt;&gt;"ACCREDITED 17025 WITH UNCERTAINTIES",0,"")</f>
        <v>0</v>
      </c>
      <c r="X1414" s="1" t="str">
        <f>IF(Table1[[#This Row],[DUT Read]]="","N/A",Table1[[#This Row],[Std Error]]+Table1[[#This Row],[DUT Read]]+Table1[[#This Row],[DUT Ucty]])</f>
        <v>N/A</v>
      </c>
      <c r="Y1414" s="1" t="str">
        <f>IF(Table1[[#This Row],[Std Read]]="","N/A",Table1[[#This Row],[Std Read]]+Table1[[#This Row],[Std Ucty]])</f>
        <v>N/A</v>
      </c>
      <c r="Z14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4" s="1" t="str">
        <f>IF(Table1[[#This Row],[Spec Type]]="","N/A",Table1[[#This Row],[Spec Type]])</f>
        <v>±</v>
      </c>
      <c r="AC1414" s="1" t="str">
        <f>IF(Table1[[#This Row],[Spec Type2]]="N/A","N/A",IF(AND(Table1[[#This Row],[DUT Adj Read]]&gt;=Table1[[#This Row],[Low Tol]],Table1[[#This Row],[DUT Adj Read]]&lt;=Table1[[#This Row],[High Tol]]),"Pass","Fail"))</f>
        <v>Fail</v>
      </c>
      <c r="AD1414" s="1" t="str">
        <f>IF(AND(Table1[[#This Row],[Spec Type2]]="N/A",Table1[[#This Row],[DUT Adj Read]]="N/A",Table1[[#This Row],[Std Adj Read]]="N/A"),"N/A",IF(Table1[[#This Row],[DUT Adj Read]]="N/A",IF(Table1[[#This Row],[Std Adj Read]]&gt;Table1[[#This Row],[Low Tol]],"Pass","Fail"),IF(Table1[[#This Row],[DUT Adj Read]]&gt;Table1[[#This Row],[Low Tol]],"Pass","Fail")))</f>
        <v>Pass</v>
      </c>
      <c r="AE1414" s="1" t="str">
        <f>IF(AND(Table1[[#This Row],[Spec Type2]]="N/A",Table1[[#This Row],[DUT Adj Read]]="N/A",Table1[[#This Row],[Std Adj Read]]="N/A"),"N/A",IF(Table1[[#This Row],[DUT Adj Read]]="N/A",IF(Table1[[#This Row],[Std Adj Read]]&lt;Table1[[#This Row],[High Tol]],"Pass","Fail"),IF(Table1[[#This Row],[DUT Adj Read]]&lt;Table1[[#This Row],[High Tol]],"Pass","Fail")))</f>
        <v>Fail</v>
      </c>
      <c r="AF1414" s="1" t="str">
        <f>IF(AND(Table1[[#This Row],[Spec Type2]]="N/A",Table1[[#This Row],[DUT Adj Read]]="N/A",Table1[[#This Row],[Std Adj Read]]="N/A"),"N/A",IF(Table1[[#This Row],[DUT Adj Read]]="N/A",IF(Table1[[#This Row],[Std Adj Read]]&gt;=Table1[[#This Row],[Low Tol]],"Pass","Fail"),IF(Table1[[#This Row],[DUT Adj Read]]&gt;=Table1[[#This Row],[Low Tol]],"Pass","Fail")))</f>
        <v>Pass</v>
      </c>
      <c r="AG1414" s="1" t="str">
        <f>IF(AND(Table1[[#This Row],[Spec Type2]]="N/A",Table1[[#This Row],[DUT Adj Read]]="N/A",Table1[[#This Row],[Std Adj Read]]="N/A"),"N/A",IF(Table1[[#This Row],[DUT Adj Read]]="N/A",IF(Table1[[#This Row],[Std Adj Read]]&lt;=Table1[[#This Row],[High Tol]],"Pass","Fail"),IF(Table1[[#This Row],[DUT Adj Read]]&lt;=Table1[[#This Row],[High Tol]],"Pass","Fail")))</f>
        <v>Fail</v>
      </c>
      <c r="AH14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4" s="1" t="b">
        <v>0</v>
      </c>
      <c r="AN1414" s="1" t="b">
        <v>0</v>
      </c>
      <c r="AO1414" s="1" t="b">
        <v>0</v>
      </c>
    </row>
    <row r="1415" spans="1:41" x14ac:dyDescent="0.25">
      <c r="A1415" s="10"/>
      <c r="B1415" s="10"/>
      <c r="C1415" s="10"/>
      <c r="D1415" s="10"/>
      <c r="E1415" s="10"/>
      <c r="F1415" s="10"/>
      <c r="G1415" s="10"/>
      <c r="H1415" s="10"/>
      <c r="I1415" s="1" t="str">
        <f t="shared" si="63"/>
        <v/>
      </c>
      <c r="J1415" s="1" t="s">
        <v>35</v>
      </c>
      <c r="K1415" s="1" t="str">
        <f t="shared" si="64"/>
        <v/>
      </c>
      <c r="L1415" s="1" t="str">
        <f t="shared" si="65"/>
        <v/>
      </c>
      <c r="M1415" s="1">
        <f>IF(OR(Table1[[#This Row],[Std Nom]]="",Table1[[#This Row],[Std Read]]=""),0,Table1[[#This Row],[Std Nom]]-Table1[[#This Row],[Std Read]])</f>
        <v>0</v>
      </c>
      <c r="N1415" s="1">
        <f>IF(Calculations!$F$5="ACCREDITED 17025 WITH UNCERTAINTIES",$N$10,0)</f>
        <v>0</v>
      </c>
      <c r="Q1415" s="1">
        <f>Table1[[#This Row],[High Tol]]-Table1[[#This Row],[Low Tol]]</f>
        <v>0</v>
      </c>
      <c r="R1415" s="1">
        <f>2*Table1[[#This Row],[Std Error]]</f>
        <v>0</v>
      </c>
      <c r="S1415" s="1" t="str">
        <f>IF(Table1[[#This Row],[High Tol]]="","N/A",IFERROR(ABS(Table1[[#This Row],[Tol Span]]/Table1[[#This Row],[Error Span]]),"N/A"))</f>
        <v>N/A</v>
      </c>
      <c r="T1415" s="1" t="str">
        <f>IF(OR(Table1[[#This Row],[Low Tol]]="",Table1[[#This Row],[High Tol]]=""),"Needs Analysis",IF(Table1[[#This Row],[Ratio]]&gt;=4,"Not Significant",IF(Table1[[#This Row],[Ratio]]&gt;=2,"Semi-Significant","Significant")))</f>
        <v>Needs Analysis</v>
      </c>
      <c r="W1415" s="1">
        <f>IF(Table1[[#This Row],[Cal Type]]&lt;&gt;"ACCREDITED 17025 WITH UNCERTAINTIES",0,"")</f>
        <v>0</v>
      </c>
      <c r="X1415" s="1" t="str">
        <f>IF(Table1[[#This Row],[DUT Read]]="","N/A",Table1[[#This Row],[Std Error]]+Table1[[#This Row],[DUT Read]]+Table1[[#This Row],[DUT Ucty]])</f>
        <v>N/A</v>
      </c>
      <c r="Y1415" s="1" t="str">
        <f>IF(Table1[[#This Row],[Std Read]]="","N/A",Table1[[#This Row],[Std Read]]+Table1[[#This Row],[Std Ucty]])</f>
        <v>N/A</v>
      </c>
      <c r="Z14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5" s="1" t="str">
        <f>IF(Table1[[#This Row],[Spec Type]]="","N/A",Table1[[#This Row],[Spec Type]])</f>
        <v>±</v>
      </c>
      <c r="AC1415" s="1" t="str">
        <f>IF(Table1[[#This Row],[Spec Type2]]="N/A","N/A",IF(AND(Table1[[#This Row],[DUT Adj Read]]&gt;=Table1[[#This Row],[Low Tol]],Table1[[#This Row],[DUT Adj Read]]&lt;=Table1[[#This Row],[High Tol]]),"Pass","Fail"))</f>
        <v>Fail</v>
      </c>
      <c r="AD1415" s="1" t="str">
        <f>IF(AND(Table1[[#This Row],[Spec Type2]]="N/A",Table1[[#This Row],[DUT Adj Read]]="N/A",Table1[[#This Row],[Std Adj Read]]="N/A"),"N/A",IF(Table1[[#This Row],[DUT Adj Read]]="N/A",IF(Table1[[#This Row],[Std Adj Read]]&gt;Table1[[#This Row],[Low Tol]],"Pass","Fail"),IF(Table1[[#This Row],[DUT Adj Read]]&gt;Table1[[#This Row],[Low Tol]],"Pass","Fail")))</f>
        <v>Pass</v>
      </c>
      <c r="AE1415" s="1" t="str">
        <f>IF(AND(Table1[[#This Row],[Spec Type2]]="N/A",Table1[[#This Row],[DUT Adj Read]]="N/A",Table1[[#This Row],[Std Adj Read]]="N/A"),"N/A",IF(Table1[[#This Row],[DUT Adj Read]]="N/A",IF(Table1[[#This Row],[Std Adj Read]]&lt;Table1[[#This Row],[High Tol]],"Pass","Fail"),IF(Table1[[#This Row],[DUT Adj Read]]&lt;Table1[[#This Row],[High Tol]],"Pass","Fail")))</f>
        <v>Fail</v>
      </c>
      <c r="AF1415" s="1" t="str">
        <f>IF(AND(Table1[[#This Row],[Spec Type2]]="N/A",Table1[[#This Row],[DUT Adj Read]]="N/A",Table1[[#This Row],[Std Adj Read]]="N/A"),"N/A",IF(Table1[[#This Row],[DUT Adj Read]]="N/A",IF(Table1[[#This Row],[Std Adj Read]]&gt;=Table1[[#This Row],[Low Tol]],"Pass","Fail"),IF(Table1[[#This Row],[DUT Adj Read]]&gt;=Table1[[#This Row],[Low Tol]],"Pass","Fail")))</f>
        <v>Pass</v>
      </c>
      <c r="AG1415" s="1" t="str">
        <f>IF(AND(Table1[[#This Row],[Spec Type2]]="N/A",Table1[[#This Row],[DUT Adj Read]]="N/A",Table1[[#This Row],[Std Adj Read]]="N/A"),"N/A",IF(Table1[[#This Row],[DUT Adj Read]]="N/A",IF(Table1[[#This Row],[Std Adj Read]]&lt;=Table1[[#This Row],[High Tol]],"Pass","Fail"),IF(Table1[[#This Row],[DUT Adj Read]]&lt;=Table1[[#This Row],[High Tol]],"Pass","Fail")))</f>
        <v>Fail</v>
      </c>
      <c r="AH14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5" s="1" t="b">
        <v>0</v>
      </c>
      <c r="AN1415" s="1" t="b">
        <v>0</v>
      </c>
      <c r="AO1415" s="1" t="b">
        <v>0</v>
      </c>
    </row>
    <row r="1416" spans="1:41" x14ac:dyDescent="0.25">
      <c r="A1416" s="10"/>
      <c r="B1416" s="10"/>
      <c r="C1416" s="10"/>
      <c r="D1416" s="10"/>
      <c r="E1416" s="10"/>
      <c r="F1416" s="10"/>
      <c r="G1416" s="10"/>
      <c r="H1416" s="10"/>
      <c r="I1416" s="1" t="str">
        <f t="shared" si="63"/>
        <v/>
      </c>
      <c r="J1416" s="1" t="s">
        <v>35</v>
      </c>
      <c r="K1416" s="1" t="str">
        <f t="shared" si="64"/>
        <v/>
      </c>
      <c r="L1416" s="1" t="str">
        <f t="shared" si="65"/>
        <v/>
      </c>
      <c r="M1416" s="1">
        <f>IF(OR(Table1[[#This Row],[Std Nom]]="",Table1[[#This Row],[Std Read]]=""),0,Table1[[#This Row],[Std Nom]]-Table1[[#This Row],[Std Read]])</f>
        <v>0</v>
      </c>
      <c r="N1416" s="1">
        <f>IF(Calculations!$F$5="ACCREDITED 17025 WITH UNCERTAINTIES",$N$10,0)</f>
        <v>0</v>
      </c>
      <c r="Q1416" s="1">
        <f>Table1[[#This Row],[High Tol]]-Table1[[#This Row],[Low Tol]]</f>
        <v>0</v>
      </c>
      <c r="R1416" s="1">
        <f>2*Table1[[#This Row],[Std Error]]</f>
        <v>0</v>
      </c>
      <c r="S1416" s="1" t="str">
        <f>IF(Table1[[#This Row],[High Tol]]="","N/A",IFERROR(ABS(Table1[[#This Row],[Tol Span]]/Table1[[#This Row],[Error Span]]),"N/A"))</f>
        <v>N/A</v>
      </c>
      <c r="T1416" s="1" t="str">
        <f>IF(OR(Table1[[#This Row],[Low Tol]]="",Table1[[#This Row],[High Tol]]=""),"Needs Analysis",IF(Table1[[#This Row],[Ratio]]&gt;=4,"Not Significant",IF(Table1[[#This Row],[Ratio]]&gt;=2,"Semi-Significant","Significant")))</f>
        <v>Needs Analysis</v>
      </c>
      <c r="W1416" s="1">
        <f>IF(Table1[[#This Row],[Cal Type]]&lt;&gt;"ACCREDITED 17025 WITH UNCERTAINTIES",0,"")</f>
        <v>0</v>
      </c>
      <c r="X1416" s="1" t="str">
        <f>IF(Table1[[#This Row],[DUT Read]]="","N/A",Table1[[#This Row],[Std Error]]+Table1[[#This Row],[DUT Read]]+Table1[[#This Row],[DUT Ucty]])</f>
        <v>N/A</v>
      </c>
      <c r="Y1416" s="1" t="str">
        <f>IF(Table1[[#This Row],[Std Read]]="","N/A",Table1[[#This Row],[Std Read]]+Table1[[#This Row],[Std Ucty]])</f>
        <v>N/A</v>
      </c>
      <c r="Z14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6" s="1" t="str">
        <f>IF(Table1[[#This Row],[Spec Type]]="","N/A",Table1[[#This Row],[Spec Type]])</f>
        <v>±</v>
      </c>
      <c r="AC1416" s="1" t="str">
        <f>IF(Table1[[#This Row],[Spec Type2]]="N/A","N/A",IF(AND(Table1[[#This Row],[DUT Adj Read]]&gt;=Table1[[#This Row],[Low Tol]],Table1[[#This Row],[DUT Adj Read]]&lt;=Table1[[#This Row],[High Tol]]),"Pass","Fail"))</f>
        <v>Fail</v>
      </c>
      <c r="AD1416" s="1" t="str">
        <f>IF(AND(Table1[[#This Row],[Spec Type2]]="N/A",Table1[[#This Row],[DUT Adj Read]]="N/A",Table1[[#This Row],[Std Adj Read]]="N/A"),"N/A",IF(Table1[[#This Row],[DUT Adj Read]]="N/A",IF(Table1[[#This Row],[Std Adj Read]]&gt;Table1[[#This Row],[Low Tol]],"Pass","Fail"),IF(Table1[[#This Row],[DUT Adj Read]]&gt;Table1[[#This Row],[Low Tol]],"Pass","Fail")))</f>
        <v>Pass</v>
      </c>
      <c r="AE1416" s="1" t="str">
        <f>IF(AND(Table1[[#This Row],[Spec Type2]]="N/A",Table1[[#This Row],[DUT Adj Read]]="N/A",Table1[[#This Row],[Std Adj Read]]="N/A"),"N/A",IF(Table1[[#This Row],[DUT Adj Read]]="N/A",IF(Table1[[#This Row],[Std Adj Read]]&lt;Table1[[#This Row],[High Tol]],"Pass","Fail"),IF(Table1[[#This Row],[DUT Adj Read]]&lt;Table1[[#This Row],[High Tol]],"Pass","Fail")))</f>
        <v>Fail</v>
      </c>
      <c r="AF1416" s="1" t="str">
        <f>IF(AND(Table1[[#This Row],[Spec Type2]]="N/A",Table1[[#This Row],[DUT Adj Read]]="N/A",Table1[[#This Row],[Std Adj Read]]="N/A"),"N/A",IF(Table1[[#This Row],[DUT Adj Read]]="N/A",IF(Table1[[#This Row],[Std Adj Read]]&gt;=Table1[[#This Row],[Low Tol]],"Pass","Fail"),IF(Table1[[#This Row],[DUT Adj Read]]&gt;=Table1[[#This Row],[Low Tol]],"Pass","Fail")))</f>
        <v>Pass</v>
      </c>
      <c r="AG1416" s="1" t="str">
        <f>IF(AND(Table1[[#This Row],[Spec Type2]]="N/A",Table1[[#This Row],[DUT Adj Read]]="N/A",Table1[[#This Row],[Std Adj Read]]="N/A"),"N/A",IF(Table1[[#This Row],[DUT Adj Read]]="N/A",IF(Table1[[#This Row],[Std Adj Read]]&lt;=Table1[[#This Row],[High Tol]],"Pass","Fail"),IF(Table1[[#This Row],[DUT Adj Read]]&lt;=Table1[[#This Row],[High Tol]],"Pass","Fail")))</f>
        <v>Fail</v>
      </c>
      <c r="AH14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6" s="1" t="b">
        <v>0</v>
      </c>
      <c r="AN1416" s="1" t="b">
        <v>0</v>
      </c>
      <c r="AO1416" s="1" t="b">
        <v>0</v>
      </c>
    </row>
    <row r="1417" spans="1:41" x14ac:dyDescent="0.25">
      <c r="A1417" s="10"/>
      <c r="B1417" s="10"/>
      <c r="C1417" s="10"/>
      <c r="D1417" s="10"/>
      <c r="E1417" s="10"/>
      <c r="F1417" s="10"/>
      <c r="G1417" s="10"/>
      <c r="H1417" s="10"/>
      <c r="I1417" s="1" t="str">
        <f t="shared" si="63"/>
        <v/>
      </c>
      <c r="J1417" s="1" t="s">
        <v>35</v>
      </c>
      <c r="K1417" s="1" t="str">
        <f t="shared" si="64"/>
        <v/>
      </c>
      <c r="L1417" s="1" t="str">
        <f t="shared" si="65"/>
        <v/>
      </c>
      <c r="M1417" s="1">
        <f>IF(OR(Table1[[#This Row],[Std Nom]]="",Table1[[#This Row],[Std Read]]=""),0,Table1[[#This Row],[Std Nom]]-Table1[[#This Row],[Std Read]])</f>
        <v>0</v>
      </c>
      <c r="N1417" s="1">
        <f>IF(Calculations!$F$5="ACCREDITED 17025 WITH UNCERTAINTIES",$N$10,0)</f>
        <v>0</v>
      </c>
      <c r="Q1417" s="1">
        <f>Table1[[#This Row],[High Tol]]-Table1[[#This Row],[Low Tol]]</f>
        <v>0</v>
      </c>
      <c r="R1417" s="1">
        <f>2*Table1[[#This Row],[Std Error]]</f>
        <v>0</v>
      </c>
      <c r="S1417" s="1" t="str">
        <f>IF(Table1[[#This Row],[High Tol]]="","N/A",IFERROR(ABS(Table1[[#This Row],[Tol Span]]/Table1[[#This Row],[Error Span]]),"N/A"))</f>
        <v>N/A</v>
      </c>
      <c r="T1417" s="1" t="str">
        <f>IF(OR(Table1[[#This Row],[Low Tol]]="",Table1[[#This Row],[High Tol]]=""),"Needs Analysis",IF(Table1[[#This Row],[Ratio]]&gt;=4,"Not Significant",IF(Table1[[#This Row],[Ratio]]&gt;=2,"Semi-Significant","Significant")))</f>
        <v>Needs Analysis</v>
      </c>
      <c r="W1417" s="1">
        <f>IF(Table1[[#This Row],[Cal Type]]&lt;&gt;"ACCREDITED 17025 WITH UNCERTAINTIES",0,"")</f>
        <v>0</v>
      </c>
      <c r="X1417" s="1" t="str">
        <f>IF(Table1[[#This Row],[DUT Read]]="","N/A",Table1[[#This Row],[Std Error]]+Table1[[#This Row],[DUT Read]]+Table1[[#This Row],[DUT Ucty]])</f>
        <v>N/A</v>
      </c>
      <c r="Y1417" s="1" t="str">
        <f>IF(Table1[[#This Row],[Std Read]]="","N/A",Table1[[#This Row],[Std Read]]+Table1[[#This Row],[Std Ucty]])</f>
        <v>N/A</v>
      </c>
      <c r="Z14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7" s="1" t="str">
        <f>IF(Table1[[#This Row],[Spec Type]]="","N/A",Table1[[#This Row],[Spec Type]])</f>
        <v>±</v>
      </c>
      <c r="AC1417" s="1" t="str">
        <f>IF(Table1[[#This Row],[Spec Type2]]="N/A","N/A",IF(AND(Table1[[#This Row],[DUT Adj Read]]&gt;=Table1[[#This Row],[Low Tol]],Table1[[#This Row],[DUT Adj Read]]&lt;=Table1[[#This Row],[High Tol]]),"Pass","Fail"))</f>
        <v>Fail</v>
      </c>
      <c r="AD1417" s="1" t="str">
        <f>IF(AND(Table1[[#This Row],[Spec Type2]]="N/A",Table1[[#This Row],[DUT Adj Read]]="N/A",Table1[[#This Row],[Std Adj Read]]="N/A"),"N/A",IF(Table1[[#This Row],[DUT Adj Read]]="N/A",IF(Table1[[#This Row],[Std Adj Read]]&gt;Table1[[#This Row],[Low Tol]],"Pass","Fail"),IF(Table1[[#This Row],[DUT Adj Read]]&gt;Table1[[#This Row],[Low Tol]],"Pass","Fail")))</f>
        <v>Pass</v>
      </c>
      <c r="AE1417" s="1" t="str">
        <f>IF(AND(Table1[[#This Row],[Spec Type2]]="N/A",Table1[[#This Row],[DUT Adj Read]]="N/A",Table1[[#This Row],[Std Adj Read]]="N/A"),"N/A",IF(Table1[[#This Row],[DUT Adj Read]]="N/A",IF(Table1[[#This Row],[Std Adj Read]]&lt;Table1[[#This Row],[High Tol]],"Pass","Fail"),IF(Table1[[#This Row],[DUT Adj Read]]&lt;Table1[[#This Row],[High Tol]],"Pass","Fail")))</f>
        <v>Fail</v>
      </c>
      <c r="AF1417" s="1" t="str">
        <f>IF(AND(Table1[[#This Row],[Spec Type2]]="N/A",Table1[[#This Row],[DUT Adj Read]]="N/A",Table1[[#This Row],[Std Adj Read]]="N/A"),"N/A",IF(Table1[[#This Row],[DUT Adj Read]]="N/A",IF(Table1[[#This Row],[Std Adj Read]]&gt;=Table1[[#This Row],[Low Tol]],"Pass","Fail"),IF(Table1[[#This Row],[DUT Adj Read]]&gt;=Table1[[#This Row],[Low Tol]],"Pass","Fail")))</f>
        <v>Pass</v>
      </c>
      <c r="AG1417" s="1" t="str">
        <f>IF(AND(Table1[[#This Row],[Spec Type2]]="N/A",Table1[[#This Row],[DUT Adj Read]]="N/A",Table1[[#This Row],[Std Adj Read]]="N/A"),"N/A",IF(Table1[[#This Row],[DUT Adj Read]]="N/A",IF(Table1[[#This Row],[Std Adj Read]]&lt;=Table1[[#This Row],[High Tol]],"Pass","Fail"),IF(Table1[[#This Row],[DUT Adj Read]]&lt;=Table1[[#This Row],[High Tol]],"Pass","Fail")))</f>
        <v>Fail</v>
      </c>
      <c r="AH14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7" s="1" t="b">
        <v>0</v>
      </c>
      <c r="AN1417" s="1" t="b">
        <v>0</v>
      </c>
      <c r="AO1417" s="1" t="b">
        <v>0</v>
      </c>
    </row>
    <row r="1418" spans="1:41" x14ac:dyDescent="0.25">
      <c r="A1418" s="10"/>
      <c r="B1418" s="10"/>
      <c r="C1418" s="10"/>
      <c r="D1418" s="10"/>
      <c r="E1418" s="10"/>
      <c r="F1418" s="10"/>
      <c r="G1418" s="10"/>
      <c r="H1418" s="10"/>
      <c r="I1418" s="1" t="str">
        <f t="shared" si="63"/>
        <v/>
      </c>
      <c r="J1418" s="1" t="s">
        <v>35</v>
      </c>
      <c r="K1418" s="1" t="str">
        <f t="shared" si="64"/>
        <v/>
      </c>
      <c r="L1418" s="1" t="str">
        <f t="shared" si="65"/>
        <v/>
      </c>
      <c r="M1418" s="1">
        <f>IF(OR(Table1[[#This Row],[Std Nom]]="",Table1[[#This Row],[Std Read]]=""),0,Table1[[#This Row],[Std Nom]]-Table1[[#This Row],[Std Read]])</f>
        <v>0</v>
      </c>
      <c r="N1418" s="1">
        <f>IF(Calculations!$F$5="ACCREDITED 17025 WITH UNCERTAINTIES",$N$10,0)</f>
        <v>0</v>
      </c>
      <c r="Q1418" s="1">
        <f>Table1[[#This Row],[High Tol]]-Table1[[#This Row],[Low Tol]]</f>
        <v>0</v>
      </c>
      <c r="R1418" s="1">
        <f>2*Table1[[#This Row],[Std Error]]</f>
        <v>0</v>
      </c>
      <c r="S1418" s="1" t="str">
        <f>IF(Table1[[#This Row],[High Tol]]="","N/A",IFERROR(ABS(Table1[[#This Row],[Tol Span]]/Table1[[#This Row],[Error Span]]),"N/A"))</f>
        <v>N/A</v>
      </c>
      <c r="T1418" s="1" t="str">
        <f>IF(OR(Table1[[#This Row],[Low Tol]]="",Table1[[#This Row],[High Tol]]=""),"Needs Analysis",IF(Table1[[#This Row],[Ratio]]&gt;=4,"Not Significant",IF(Table1[[#This Row],[Ratio]]&gt;=2,"Semi-Significant","Significant")))</f>
        <v>Needs Analysis</v>
      </c>
      <c r="W1418" s="1">
        <f>IF(Table1[[#This Row],[Cal Type]]&lt;&gt;"ACCREDITED 17025 WITH UNCERTAINTIES",0,"")</f>
        <v>0</v>
      </c>
      <c r="X1418" s="1" t="str">
        <f>IF(Table1[[#This Row],[DUT Read]]="","N/A",Table1[[#This Row],[Std Error]]+Table1[[#This Row],[DUT Read]]+Table1[[#This Row],[DUT Ucty]])</f>
        <v>N/A</v>
      </c>
      <c r="Y1418" s="1" t="str">
        <f>IF(Table1[[#This Row],[Std Read]]="","N/A",Table1[[#This Row],[Std Read]]+Table1[[#This Row],[Std Ucty]])</f>
        <v>N/A</v>
      </c>
      <c r="Z14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8" s="1" t="str">
        <f>IF(Table1[[#This Row],[Spec Type]]="","N/A",Table1[[#This Row],[Spec Type]])</f>
        <v>±</v>
      </c>
      <c r="AC1418" s="1" t="str">
        <f>IF(Table1[[#This Row],[Spec Type2]]="N/A","N/A",IF(AND(Table1[[#This Row],[DUT Adj Read]]&gt;=Table1[[#This Row],[Low Tol]],Table1[[#This Row],[DUT Adj Read]]&lt;=Table1[[#This Row],[High Tol]]),"Pass","Fail"))</f>
        <v>Fail</v>
      </c>
      <c r="AD1418" s="1" t="str">
        <f>IF(AND(Table1[[#This Row],[Spec Type2]]="N/A",Table1[[#This Row],[DUT Adj Read]]="N/A",Table1[[#This Row],[Std Adj Read]]="N/A"),"N/A",IF(Table1[[#This Row],[DUT Adj Read]]="N/A",IF(Table1[[#This Row],[Std Adj Read]]&gt;Table1[[#This Row],[Low Tol]],"Pass","Fail"),IF(Table1[[#This Row],[DUT Adj Read]]&gt;Table1[[#This Row],[Low Tol]],"Pass","Fail")))</f>
        <v>Pass</v>
      </c>
      <c r="AE1418" s="1" t="str">
        <f>IF(AND(Table1[[#This Row],[Spec Type2]]="N/A",Table1[[#This Row],[DUT Adj Read]]="N/A",Table1[[#This Row],[Std Adj Read]]="N/A"),"N/A",IF(Table1[[#This Row],[DUT Adj Read]]="N/A",IF(Table1[[#This Row],[Std Adj Read]]&lt;Table1[[#This Row],[High Tol]],"Pass","Fail"),IF(Table1[[#This Row],[DUT Adj Read]]&lt;Table1[[#This Row],[High Tol]],"Pass","Fail")))</f>
        <v>Fail</v>
      </c>
      <c r="AF1418" s="1" t="str">
        <f>IF(AND(Table1[[#This Row],[Spec Type2]]="N/A",Table1[[#This Row],[DUT Adj Read]]="N/A",Table1[[#This Row],[Std Adj Read]]="N/A"),"N/A",IF(Table1[[#This Row],[DUT Adj Read]]="N/A",IF(Table1[[#This Row],[Std Adj Read]]&gt;=Table1[[#This Row],[Low Tol]],"Pass","Fail"),IF(Table1[[#This Row],[DUT Adj Read]]&gt;=Table1[[#This Row],[Low Tol]],"Pass","Fail")))</f>
        <v>Pass</v>
      </c>
      <c r="AG1418" s="1" t="str">
        <f>IF(AND(Table1[[#This Row],[Spec Type2]]="N/A",Table1[[#This Row],[DUT Adj Read]]="N/A",Table1[[#This Row],[Std Adj Read]]="N/A"),"N/A",IF(Table1[[#This Row],[DUT Adj Read]]="N/A",IF(Table1[[#This Row],[Std Adj Read]]&lt;=Table1[[#This Row],[High Tol]],"Pass","Fail"),IF(Table1[[#This Row],[DUT Adj Read]]&lt;=Table1[[#This Row],[High Tol]],"Pass","Fail")))</f>
        <v>Fail</v>
      </c>
      <c r="AH14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8" s="1" t="b">
        <v>0</v>
      </c>
      <c r="AN1418" s="1" t="b">
        <v>0</v>
      </c>
      <c r="AO1418" s="1" t="b">
        <v>0</v>
      </c>
    </row>
    <row r="1419" spans="1:41" x14ac:dyDescent="0.25">
      <c r="A1419" s="10"/>
      <c r="B1419" s="10"/>
      <c r="C1419" s="10"/>
      <c r="D1419" s="10"/>
      <c r="E1419" s="10"/>
      <c r="F1419" s="10"/>
      <c r="G1419" s="10"/>
      <c r="H1419" s="10"/>
      <c r="I1419" s="1" t="str">
        <f t="shared" ref="I1419:I1482" si="66">IF($I$10="","",$I$10)</f>
        <v/>
      </c>
      <c r="J1419" s="1" t="s">
        <v>35</v>
      </c>
      <c r="K1419" s="1" t="str">
        <f t="shared" ref="K1419:K1482" si="67">IF($K$10="","",$K$10)</f>
        <v/>
      </c>
      <c r="L1419" s="1" t="str">
        <f t="shared" ref="L1419:L1482" si="68">IF($L$10="","",$L$10)</f>
        <v/>
      </c>
      <c r="M1419" s="1">
        <f>IF(OR(Table1[[#This Row],[Std Nom]]="",Table1[[#This Row],[Std Read]]=""),0,Table1[[#This Row],[Std Nom]]-Table1[[#This Row],[Std Read]])</f>
        <v>0</v>
      </c>
      <c r="N1419" s="1">
        <f>IF(Calculations!$F$5="ACCREDITED 17025 WITH UNCERTAINTIES",$N$10,0)</f>
        <v>0</v>
      </c>
      <c r="Q1419" s="1">
        <f>Table1[[#This Row],[High Tol]]-Table1[[#This Row],[Low Tol]]</f>
        <v>0</v>
      </c>
      <c r="R1419" s="1">
        <f>2*Table1[[#This Row],[Std Error]]</f>
        <v>0</v>
      </c>
      <c r="S1419" s="1" t="str">
        <f>IF(Table1[[#This Row],[High Tol]]="","N/A",IFERROR(ABS(Table1[[#This Row],[Tol Span]]/Table1[[#This Row],[Error Span]]),"N/A"))</f>
        <v>N/A</v>
      </c>
      <c r="T1419" s="1" t="str">
        <f>IF(OR(Table1[[#This Row],[Low Tol]]="",Table1[[#This Row],[High Tol]]=""),"Needs Analysis",IF(Table1[[#This Row],[Ratio]]&gt;=4,"Not Significant",IF(Table1[[#This Row],[Ratio]]&gt;=2,"Semi-Significant","Significant")))</f>
        <v>Needs Analysis</v>
      </c>
      <c r="W1419" s="1">
        <f>IF(Table1[[#This Row],[Cal Type]]&lt;&gt;"ACCREDITED 17025 WITH UNCERTAINTIES",0,"")</f>
        <v>0</v>
      </c>
      <c r="X1419" s="1" t="str">
        <f>IF(Table1[[#This Row],[DUT Read]]="","N/A",Table1[[#This Row],[Std Error]]+Table1[[#This Row],[DUT Read]]+Table1[[#This Row],[DUT Ucty]])</f>
        <v>N/A</v>
      </c>
      <c r="Y1419" s="1" t="str">
        <f>IF(Table1[[#This Row],[Std Read]]="","N/A",Table1[[#This Row],[Std Read]]+Table1[[#This Row],[Std Ucty]])</f>
        <v>N/A</v>
      </c>
      <c r="Z14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19" s="1" t="str">
        <f>IF(Table1[[#This Row],[Spec Type]]="","N/A",Table1[[#This Row],[Spec Type]])</f>
        <v>±</v>
      </c>
      <c r="AC1419" s="1" t="str">
        <f>IF(Table1[[#This Row],[Spec Type2]]="N/A","N/A",IF(AND(Table1[[#This Row],[DUT Adj Read]]&gt;=Table1[[#This Row],[Low Tol]],Table1[[#This Row],[DUT Adj Read]]&lt;=Table1[[#This Row],[High Tol]]),"Pass","Fail"))</f>
        <v>Fail</v>
      </c>
      <c r="AD1419" s="1" t="str">
        <f>IF(AND(Table1[[#This Row],[Spec Type2]]="N/A",Table1[[#This Row],[DUT Adj Read]]="N/A",Table1[[#This Row],[Std Adj Read]]="N/A"),"N/A",IF(Table1[[#This Row],[DUT Adj Read]]="N/A",IF(Table1[[#This Row],[Std Adj Read]]&gt;Table1[[#This Row],[Low Tol]],"Pass","Fail"),IF(Table1[[#This Row],[DUT Adj Read]]&gt;Table1[[#This Row],[Low Tol]],"Pass","Fail")))</f>
        <v>Pass</v>
      </c>
      <c r="AE1419" s="1" t="str">
        <f>IF(AND(Table1[[#This Row],[Spec Type2]]="N/A",Table1[[#This Row],[DUT Adj Read]]="N/A",Table1[[#This Row],[Std Adj Read]]="N/A"),"N/A",IF(Table1[[#This Row],[DUT Adj Read]]="N/A",IF(Table1[[#This Row],[Std Adj Read]]&lt;Table1[[#This Row],[High Tol]],"Pass","Fail"),IF(Table1[[#This Row],[DUT Adj Read]]&lt;Table1[[#This Row],[High Tol]],"Pass","Fail")))</f>
        <v>Fail</v>
      </c>
      <c r="AF1419" s="1" t="str">
        <f>IF(AND(Table1[[#This Row],[Spec Type2]]="N/A",Table1[[#This Row],[DUT Adj Read]]="N/A",Table1[[#This Row],[Std Adj Read]]="N/A"),"N/A",IF(Table1[[#This Row],[DUT Adj Read]]="N/A",IF(Table1[[#This Row],[Std Adj Read]]&gt;=Table1[[#This Row],[Low Tol]],"Pass","Fail"),IF(Table1[[#This Row],[DUT Adj Read]]&gt;=Table1[[#This Row],[Low Tol]],"Pass","Fail")))</f>
        <v>Pass</v>
      </c>
      <c r="AG1419" s="1" t="str">
        <f>IF(AND(Table1[[#This Row],[Spec Type2]]="N/A",Table1[[#This Row],[DUT Adj Read]]="N/A",Table1[[#This Row],[Std Adj Read]]="N/A"),"N/A",IF(Table1[[#This Row],[DUT Adj Read]]="N/A",IF(Table1[[#This Row],[Std Adj Read]]&lt;=Table1[[#This Row],[High Tol]],"Pass","Fail"),IF(Table1[[#This Row],[DUT Adj Read]]&lt;=Table1[[#This Row],[High Tol]],"Pass","Fail")))</f>
        <v>Fail</v>
      </c>
      <c r="AH14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19" s="1" t="b">
        <v>0</v>
      </c>
      <c r="AN1419" s="1" t="b">
        <v>0</v>
      </c>
      <c r="AO1419" s="1" t="b">
        <v>0</v>
      </c>
    </row>
    <row r="1420" spans="1:41" x14ac:dyDescent="0.25">
      <c r="A1420" s="10"/>
      <c r="B1420" s="10"/>
      <c r="C1420" s="10"/>
      <c r="D1420" s="10"/>
      <c r="E1420" s="10"/>
      <c r="F1420" s="10"/>
      <c r="G1420" s="10"/>
      <c r="H1420" s="10"/>
      <c r="I1420" s="1" t="str">
        <f t="shared" si="66"/>
        <v/>
      </c>
      <c r="J1420" s="1" t="s">
        <v>35</v>
      </c>
      <c r="K1420" s="1" t="str">
        <f t="shared" si="67"/>
        <v/>
      </c>
      <c r="L1420" s="1" t="str">
        <f t="shared" si="68"/>
        <v/>
      </c>
      <c r="M1420" s="1">
        <f>IF(OR(Table1[[#This Row],[Std Nom]]="",Table1[[#This Row],[Std Read]]=""),0,Table1[[#This Row],[Std Nom]]-Table1[[#This Row],[Std Read]])</f>
        <v>0</v>
      </c>
      <c r="N1420" s="1">
        <f>IF(Calculations!$F$5="ACCREDITED 17025 WITH UNCERTAINTIES",$N$10,0)</f>
        <v>0</v>
      </c>
      <c r="Q1420" s="1">
        <f>Table1[[#This Row],[High Tol]]-Table1[[#This Row],[Low Tol]]</f>
        <v>0</v>
      </c>
      <c r="R1420" s="1">
        <f>2*Table1[[#This Row],[Std Error]]</f>
        <v>0</v>
      </c>
      <c r="S1420" s="1" t="str">
        <f>IF(Table1[[#This Row],[High Tol]]="","N/A",IFERROR(ABS(Table1[[#This Row],[Tol Span]]/Table1[[#This Row],[Error Span]]),"N/A"))</f>
        <v>N/A</v>
      </c>
      <c r="T1420" s="1" t="str">
        <f>IF(OR(Table1[[#This Row],[Low Tol]]="",Table1[[#This Row],[High Tol]]=""),"Needs Analysis",IF(Table1[[#This Row],[Ratio]]&gt;=4,"Not Significant",IF(Table1[[#This Row],[Ratio]]&gt;=2,"Semi-Significant","Significant")))</f>
        <v>Needs Analysis</v>
      </c>
      <c r="W1420" s="1">
        <f>IF(Table1[[#This Row],[Cal Type]]&lt;&gt;"ACCREDITED 17025 WITH UNCERTAINTIES",0,"")</f>
        <v>0</v>
      </c>
      <c r="X1420" s="1" t="str">
        <f>IF(Table1[[#This Row],[DUT Read]]="","N/A",Table1[[#This Row],[Std Error]]+Table1[[#This Row],[DUT Read]]+Table1[[#This Row],[DUT Ucty]])</f>
        <v>N/A</v>
      </c>
      <c r="Y1420" s="1" t="str">
        <f>IF(Table1[[#This Row],[Std Read]]="","N/A",Table1[[#This Row],[Std Read]]+Table1[[#This Row],[Std Ucty]])</f>
        <v>N/A</v>
      </c>
      <c r="Z14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0" s="1" t="str">
        <f>IF(Table1[[#This Row],[Spec Type]]="","N/A",Table1[[#This Row],[Spec Type]])</f>
        <v>±</v>
      </c>
      <c r="AC1420" s="1" t="str">
        <f>IF(Table1[[#This Row],[Spec Type2]]="N/A","N/A",IF(AND(Table1[[#This Row],[DUT Adj Read]]&gt;=Table1[[#This Row],[Low Tol]],Table1[[#This Row],[DUT Adj Read]]&lt;=Table1[[#This Row],[High Tol]]),"Pass","Fail"))</f>
        <v>Fail</v>
      </c>
      <c r="AD1420" s="1" t="str">
        <f>IF(AND(Table1[[#This Row],[Spec Type2]]="N/A",Table1[[#This Row],[DUT Adj Read]]="N/A",Table1[[#This Row],[Std Adj Read]]="N/A"),"N/A",IF(Table1[[#This Row],[DUT Adj Read]]="N/A",IF(Table1[[#This Row],[Std Adj Read]]&gt;Table1[[#This Row],[Low Tol]],"Pass","Fail"),IF(Table1[[#This Row],[DUT Adj Read]]&gt;Table1[[#This Row],[Low Tol]],"Pass","Fail")))</f>
        <v>Pass</v>
      </c>
      <c r="AE1420" s="1" t="str">
        <f>IF(AND(Table1[[#This Row],[Spec Type2]]="N/A",Table1[[#This Row],[DUT Adj Read]]="N/A",Table1[[#This Row],[Std Adj Read]]="N/A"),"N/A",IF(Table1[[#This Row],[DUT Adj Read]]="N/A",IF(Table1[[#This Row],[Std Adj Read]]&lt;Table1[[#This Row],[High Tol]],"Pass","Fail"),IF(Table1[[#This Row],[DUT Adj Read]]&lt;Table1[[#This Row],[High Tol]],"Pass","Fail")))</f>
        <v>Fail</v>
      </c>
      <c r="AF1420" s="1" t="str">
        <f>IF(AND(Table1[[#This Row],[Spec Type2]]="N/A",Table1[[#This Row],[DUT Adj Read]]="N/A",Table1[[#This Row],[Std Adj Read]]="N/A"),"N/A",IF(Table1[[#This Row],[DUT Adj Read]]="N/A",IF(Table1[[#This Row],[Std Adj Read]]&gt;=Table1[[#This Row],[Low Tol]],"Pass","Fail"),IF(Table1[[#This Row],[DUT Adj Read]]&gt;=Table1[[#This Row],[Low Tol]],"Pass","Fail")))</f>
        <v>Pass</v>
      </c>
      <c r="AG1420" s="1" t="str">
        <f>IF(AND(Table1[[#This Row],[Spec Type2]]="N/A",Table1[[#This Row],[DUT Adj Read]]="N/A",Table1[[#This Row],[Std Adj Read]]="N/A"),"N/A",IF(Table1[[#This Row],[DUT Adj Read]]="N/A",IF(Table1[[#This Row],[Std Adj Read]]&lt;=Table1[[#This Row],[High Tol]],"Pass","Fail"),IF(Table1[[#This Row],[DUT Adj Read]]&lt;=Table1[[#This Row],[High Tol]],"Pass","Fail")))</f>
        <v>Fail</v>
      </c>
      <c r="AH14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0" s="1" t="b">
        <v>0</v>
      </c>
      <c r="AN1420" s="1" t="b">
        <v>0</v>
      </c>
      <c r="AO1420" s="1" t="b">
        <v>0</v>
      </c>
    </row>
    <row r="1421" spans="1:41" x14ac:dyDescent="0.25">
      <c r="A1421" s="10"/>
      <c r="B1421" s="10"/>
      <c r="C1421" s="10"/>
      <c r="D1421" s="10"/>
      <c r="E1421" s="10"/>
      <c r="F1421" s="10"/>
      <c r="G1421" s="10"/>
      <c r="H1421" s="10"/>
      <c r="I1421" s="1" t="str">
        <f t="shared" si="66"/>
        <v/>
      </c>
      <c r="J1421" s="1" t="s">
        <v>35</v>
      </c>
      <c r="K1421" s="1" t="str">
        <f t="shared" si="67"/>
        <v/>
      </c>
      <c r="L1421" s="1" t="str">
        <f t="shared" si="68"/>
        <v/>
      </c>
      <c r="M1421" s="1">
        <f>IF(OR(Table1[[#This Row],[Std Nom]]="",Table1[[#This Row],[Std Read]]=""),0,Table1[[#This Row],[Std Nom]]-Table1[[#This Row],[Std Read]])</f>
        <v>0</v>
      </c>
      <c r="N1421" s="1">
        <f>IF(Calculations!$F$5="ACCREDITED 17025 WITH UNCERTAINTIES",$N$10,0)</f>
        <v>0</v>
      </c>
      <c r="Q1421" s="1">
        <f>Table1[[#This Row],[High Tol]]-Table1[[#This Row],[Low Tol]]</f>
        <v>0</v>
      </c>
      <c r="R1421" s="1">
        <f>2*Table1[[#This Row],[Std Error]]</f>
        <v>0</v>
      </c>
      <c r="S1421" s="1" t="str">
        <f>IF(Table1[[#This Row],[High Tol]]="","N/A",IFERROR(ABS(Table1[[#This Row],[Tol Span]]/Table1[[#This Row],[Error Span]]),"N/A"))</f>
        <v>N/A</v>
      </c>
      <c r="T1421" s="1" t="str">
        <f>IF(OR(Table1[[#This Row],[Low Tol]]="",Table1[[#This Row],[High Tol]]=""),"Needs Analysis",IF(Table1[[#This Row],[Ratio]]&gt;=4,"Not Significant",IF(Table1[[#This Row],[Ratio]]&gt;=2,"Semi-Significant","Significant")))</f>
        <v>Needs Analysis</v>
      </c>
      <c r="W1421" s="1">
        <f>IF(Table1[[#This Row],[Cal Type]]&lt;&gt;"ACCREDITED 17025 WITH UNCERTAINTIES",0,"")</f>
        <v>0</v>
      </c>
      <c r="X1421" s="1" t="str">
        <f>IF(Table1[[#This Row],[DUT Read]]="","N/A",Table1[[#This Row],[Std Error]]+Table1[[#This Row],[DUT Read]]+Table1[[#This Row],[DUT Ucty]])</f>
        <v>N/A</v>
      </c>
      <c r="Y1421" s="1" t="str">
        <f>IF(Table1[[#This Row],[Std Read]]="","N/A",Table1[[#This Row],[Std Read]]+Table1[[#This Row],[Std Ucty]])</f>
        <v>N/A</v>
      </c>
      <c r="Z14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1" s="1" t="str">
        <f>IF(Table1[[#This Row],[Spec Type]]="","N/A",Table1[[#This Row],[Spec Type]])</f>
        <v>±</v>
      </c>
      <c r="AC1421" s="1" t="str">
        <f>IF(Table1[[#This Row],[Spec Type2]]="N/A","N/A",IF(AND(Table1[[#This Row],[DUT Adj Read]]&gt;=Table1[[#This Row],[Low Tol]],Table1[[#This Row],[DUT Adj Read]]&lt;=Table1[[#This Row],[High Tol]]),"Pass","Fail"))</f>
        <v>Fail</v>
      </c>
      <c r="AD1421" s="1" t="str">
        <f>IF(AND(Table1[[#This Row],[Spec Type2]]="N/A",Table1[[#This Row],[DUT Adj Read]]="N/A",Table1[[#This Row],[Std Adj Read]]="N/A"),"N/A",IF(Table1[[#This Row],[DUT Adj Read]]="N/A",IF(Table1[[#This Row],[Std Adj Read]]&gt;Table1[[#This Row],[Low Tol]],"Pass","Fail"),IF(Table1[[#This Row],[DUT Adj Read]]&gt;Table1[[#This Row],[Low Tol]],"Pass","Fail")))</f>
        <v>Pass</v>
      </c>
      <c r="AE1421" s="1" t="str">
        <f>IF(AND(Table1[[#This Row],[Spec Type2]]="N/A",Table1[[#This Row],[DUT Adj Read]]="N/A",Table1[[#This Row],[Std Adj Read]]="N/A"),"N/A",IF(Table1[[#This Row],[DUT Adj Read]]="N/A",IF(Table1[[#This Row],[Std Adj Read]]&lt;Table1[[#This Row],[High Tol]],"Pass","Fail"),IF(Table1[[#This Row],[DUT Adj Read]]&lt;Table1[[#This Row],[High Tol]],"Pass","Fail")))</f>
        <v>Fail</v>
      </c>
      <c r="AF1421" s="1" t="str">
        <f>IF(AND(Table1[[#This Row],[Spec Type2]]="N/A",Table1[[#This Row],[DUT Adj Read]]="N/A",Table1[[#This Row],[Std Adj Read]]="N/A"),"N/A",IF(Table1[[#This Row],[DUT Adj Read]]="N/A",IF(Table1[[#This Row],[Std Adj Read]]&gt;=Table1[[#This Row],[Low Tol]],"Pass","Fail"),IF(Table1[[#This Row],[DUT Adj Read]]&gt;=Table1[[#This Row],[Low Tol]],"Pass","Fail")))</f>
        <v>Pass</v>
      </c>
      <c r="AG1421" s="1" t="str">
        <f>IF(AND(Table1[[#This Row],[Spec Type2]]="N/A",Table1[[#This Row],[DUT Adj Read]]="N/A",Table1[[#This Row],[Std Adj Read]]="N/A"),"N/A",IF(Table1[[#This Row],[DUT Adj Read]]="N/A",IF(Table1[[#This Row],[Std Adj Read]]&lt;=Table1[[#This Row],[High Tol]],"Pass","Fail"),IF(Table1[[#This Row],[DUT Adj Read]]&lt;=Table1[[#This Row],[High Tol]],"Pass","Fail")))</f>
        <v>Fail</v>
      </c>
      <c r="AH14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1" s="1" t="b">
        <v>0</v>
      </c>
      <c r="AN1421" s="1" t="b">
        <v>0</v>
      </c>
      <c r="AO1421" s="1" t="b">
        <v>0</v>
      </c>
    </row>
    <row r="1422" spans="1:41" x14ac:dyDescent="0.25">
      <c r="A1422" s="10"/>
      <c r="B1422" s="10"/>
      <c r="C1422" s="10"/>
      <c r="D1422" s="10"/>
      <c r="E1422" s="10"/>
      <c r="F1422" s="10"/>
      <c r="G1422" s="10"/>
      <c r="H1422" s="10"/>
      <c r="I1422" s="1" t="str">
        <f t="shared" si="66"/>
        <v/>
      </c>
      <c r="J1422" s="1" t="s">
        <v>35</v>
      </c>
      <c r="K1422" s="1" t="str">
        <f t="shared" si="67"/>
        <v/>
      </c>
      <c r="L1422" s="1" t="str">
        <f t="shared" si="68"/>
        <v/>
      </c>
      <c r="M1422" s="1">
        <f>IF(OR(Table1[[#This Row],[Std Nom]]="",Table1[[#This Row],[Std Read]]=""),0,Table1[[#This Row],[Std Nom]]-Table1[[#This Row],[Std Read]])</f>
        <v>0</v>
      </c>
      <c r="N1422" s="1">
        <f>IF(Calculations!$F$5="ACCREDITED 17025 WITH UNCERTAINTIES",$N$10,0)</f>
        <v>0</v>
      </c>
      <c r="Q1422" s="1">
        <f>Table1[[#This Row],[High Tol]]-Table1[[#This Row],[Low Tol]]</f>
        <v>0</v>
      </c>
      <c r="R1422" s="1">
        <f>2*Table1[[#This Row],[Std Error]]</f>
        <v>0</v>
      </c>
      <c r="S1422" s="1" t="str">
        <f>IF(Table1[[#This Row],[High Tol]]="","N/A",IFERROR(ABS(Table1[[#This Row],[Tol Span]]/Table1[[#This Row],[Error Span]]),"N/A"))</f>
        <v>N/A</v>
      </c>
      <c r="T1422" s="1" t="str">
        <f>IF(OR(Table1[[#This Row],[Low Tol]]="",Table1[[#This Row],[High Tol]]=""),"Needs Analysis",IF(Table1[[#This Row],[Ratio]]&gt;=4,"Not Significant",IF(Table1[[#This Row],[Ratio]]&gt;=2,"Semi-Significant","Significant")))</f>
        <v>Needs Analysis</v>
      </c>
      <c r="W1422" s="1">
        <f>IF(Table1[[#This Row],[Cal Type]]&lt;&gt;"ACCREDITED 17025 WITH UNCERTAINTIES",0,"")</f>
        <v>0</v>
      </c>
      <c r="X1422" s="1" t="str">
        <f>IF(Table1[[#This Row],[DUT Read]]="","N/A",Table1[[#This Row],[Std Error]]+Table1[[#This Row],[DUT Read]]+Table1[[#This Row],[DUT Ucty]])</f>
        <v>N/A</v>
      </c>
      <c r="Y1422" s="1" t="str">
        <f>IF(Table1[[#This Row],[Std Read]]="","N/A",Table1[[#This Row],[Std Read]]+Table1[[#This Row],[Std Ucty]])</f>
        <v>N/A</v>
      </c>
      <c r="Z14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2" s="1" t="str">
        <f>IF(Table1[[#This Row],[Spec Type]]="","N/A",Table1[[#This Row],[Spec Type]])</f>
        <v>±</v>
      </c>
      <c r="AC1422" s="1" t="str">
        <f>IF(Table1[[#This Row],[Spec Type2]]="N/A","N/A",IF(AND(Table1[[#This Row],[DUT Adj Read]]&gt;=Table1[[#This Row],[Low Tol]],Table1[[#This Row],[DUT Adj Read]]&lt;=Table1[[#This Row],[High Tol]]),"Pass","Fail"))</f>
        <v>Fail</v>
      </c>
      <c r="AD1422" s="1" t="str">
        <f>IF(AND(Table1[[#This Row],[Spec Type2]]="N/A",Table1[[#This Row],[DUT Adj Read]]="N/A",Table1[[#This Row],[Std Adj Read]]="N/A"),"N/A",IF(Table1[[#This Row],[DUT Adj Read]]="N/A",IF(Table1[[#This Row],[Std Adj Read]]&gt;Table1[[#This Row],[Low Tol]],"Pass","Fail"),IF(Table1[[#This Row],[DUT Adj Read]]&gt;Table1[[#This Row],[Low Tol]],"Pass","Fail")))</f>
        <v>Pass</v>
      </c>
      <c r="AE1422" s="1" t="str">
        <f>IF(AND(Table1[[#This Row],[Spec Type2]]="N/A",Table1[[#This Row],[DUT Adj Read]]="N/A",Table1[[#This Row],[Std Adj Read]]="N/A"),"N/A",IF(Table1[[#This Row],[DUT Adj Read]]="N/A",IF(Table1[[#This Row],[Std Adj Read]]&lt;Table1[[#This Row],[High Tol]],"Pass","Fail"),IF(Table1[[#This Row],[DUT Adj Read]]&lt;Table1[[#This Row],[High Tol]],"Pass","Fail")))</f>
        <v>Fail</v>
      </c>
      <c r="AF1422" s="1" t="str">
        <f>IF(AND(Table1[[#This Row],[Spec Type2]]="N/A",Table1[[#This Row],[DUT Adj Read]]="N/A",Table1[[#This Row],[Std Adj Read]]="N/A"),"N/A",IF(Table1[[#This Row],[DUT Adj Read]]="N/A",IF(Table1[[#This Row],[Std Adj Read]]&gt;=Table1[[#This Row],[Low Tol]],"Pass","Fail"),IF(Table1[[#This Row],[DUT Adj Read]]&gt;=Table1[[#This Row],[Low Tol]],"Pass","Fail")))</f>
        <v>Pass</v>
      </c>
      <c r="AG1422" s="1" t="str">
        <f>IF(AND(Table1[[#This Row],[Spec Type2]]="N/A",Table1[[#This Row],[DUT Adj Read]]="N/A",Table1[[#This Row],[Std Adj Read]]="N/A"),"N/A",IF(Table1[[#This Row],[DUT Adj Read]]="N/A",IF(Table1[[#This Row],[Std Adj Read]]&lt;=Table1[[#This Row],[High Tol]],"Pass","Fail"),IF(Table1[[#This Row],[DUT Adj Read]]&lt;=Table1[[#This Row],[High Tol]],"Pass","Fail")))</f>
        <v>Fail</v>
      </c>
      <c r="AH14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2" s="1" t="b">
        <v>0</v>
      </c>
      <c r="AN1422" s="1" t="b">
        <v>0</v>
      </c>
      <c r="AO1422" s="1" t="b">
        <v>0</v>
      </c>
    </row>
    <row r="1423" spans="1:41" x14ac:dyDescent="0.25">
      <c r="A1423" s="10"/>
      <c r="B1423" s="10"/>
      <c r="C1423" s="10"/>
      <c r="D1423" s="10"/>
      <c r="E1423" s="10"/>
      <c r="F1423" s="10"/>
      <c r="G1423" s="10"/>
      <c r="H1423" s="10"/>
      <c r="I1423" s="1" t="str">
        <f t="shared" si="66"/>
        <v/>
      </c>
      <c r="J1423" s="1" t="s">
        <v>35</v>
      </c>
      <c r="K1423" s="1" t="str">
        <f t="shared" si="67"/>
        <v/>
      </c>
      <c r="L1423" s="1" t="str">
        <f t="shared" si="68"/>
        <v/>
      </c>
      <c r="M1423" s="1">
        <f>IF(OR(Table1[[#This Row],[Std Nom]]="",Table1[[#This Row],[Std Read]]=""),0,Table1[[#This Row],[Std Nom]]-Table1[[#This Row],[Std Read]])</f>
        <v>0</v>
      </c>
      <c r="N1423" s="1">
        <f>IF(Calculations!$F$5="ACCREDITED 17025 WITH UNCERTAINTIES",$N$10,0)</f>
        <v>0</v>
      </c>
      <c r="Q1423" s="1">
        <f>Table1[[#This Row],[High Tol]]-Table1[[#This Row],[Low Tol]]</f>
        <v>0</v>
      </c>
      <c r="R1423" s="1">
        <f>2*Table1[[#This Row],[Std Error]]</f>
        <v>0</v>
      </c>
      <c r="S1423" s="1" t="str">
        <f>IF(Table1[[#This Row],[High Tol]]="","N/A",IFERROR(ABS(Table1[[#This Row],[Tol Span]]/Table1[[#This Row],[Error Span]]),"N/A"))</f>
        <v>N/A</v>
      </c>
      <c r="T1423" s="1" t="str">
        <f>IF(OR(Table1[[#This Row],[Low Tol]]="",Table1[[#This Row],[High Tol]]=""),"Needs Analysis",IF(Table1[[#This Row],[Ratio]]&gt;=4,"Not Significant",IF(Table1[[#This Row],[Ratio]]&gt;=2,"Semi-Significant","Significant")))</f>
        <v>Needs Analysis</v>
      </c>
      <c r="W1423" s="1">
        <f>IF(Table1[[#This Row],[Cal Type]]&lt;&gt;"ACCREDITED 17025 WITH UNCERTAINTIES",0,"")</f>
        <v>0</v>
      </c>
      <c r="X1423" s="1" t="str">
        <f>IF(Table1[[#This Row],[DUT Read]]="","N/A",Table1[[#This Row],[Std Error]]+Table1[[#This Row],[DUT Read]]+Table1[[#This Row],[DUT Ucty]])</f>
        <v>N/A</v>
      </c>
      <c r="Y1423" s="1" t="str">
        <f>IF(Table1[[#This Row],[Std Read]]="","N/A",Table1[[#This Row],[Std Read]]+Table1[[#This Row],[Std Ucty]])</f>
        <v>N/A</v>
      </c>
      <c r="Z14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3" s="1" t="str">
        <f>IF(Table1[[#This Row],[Spec Type]]="","N/A",Table1[[#This Row],[Spec Type]])</f>
        <v>±</v>
      </c>
      <c r="AC1423" s="1" t="str">
        <f>IF(Table1[[#This Row],[Spec Type2]]="N/A","N/A",IF(AND(Table1[[#This Row],[DUT Adj Read]]&gt;=Table1[[#This Row],[Low Tol]],Table1[[#This Row],[DUT Adj Read]]&lt;=Table1[[#This Row],[High Tol]]),"Pass","Fail"))</f>
        <v>Fail</v>
      </c>
      <c r="AD1423" s="1" t="str">
        <f>IF(AND(Table1[[#This Row],[Spec Type2]]="N/A",Table1[[#This Row],[DUT Adj Read]]="N/A",Table1[[#This Row],[Std Adj Read]]="N/A"),"N/A",IF(Table1[[#This Row],[DUT Adj Read]]="N/A",IF(Table1[[#This Row],[Std Adj Read]]&gt;Table1[[#This Row],[Low Tol]],"Pass","Fail"),IF(Table1[[#This Row],[DUT Adj Read]]&gt;Table1[[#This Row],[Low Tol]],"Pass","Fail")))</f>
        <v>Pass</v>
      </c>
      <c r="AE1423" s="1" t="str">
        <f>IF(AND(Table1[[#This Row],[Spec Type2]]="N/A",Table1[[#This Row],[DUT Adj Read]]="N/A",Table1[[#This Row],[Std Adj Read]]="N/A"),"N/A",IF(Table1[[#This Row],[DUT Adj Read]]="N/A",IF(Table1[[#This Row],[Std Adj Read]]&lt;Table1[[#This Row],[High Tol]],"Pass","Fail"),IF(Table1[[#This Row],[DUT Adj Read]]&lt;Table1[[#This Row],[High Tol]],"Pass","Fail")))</f>
        <v>Fail</v>
      </c>
      <c r="AF1423" s="1" t="str">
        <f>IF(AND(Table1[[#This Row],[Spec Type2]]="N/A",Table1[[#This Row],[DUT Adj Read]]="N/A",Table1[[#This Row],[Std Adj Read]]="N/A"),"N/A",IF(Table1[[#This Row],[DUT Adj Read]]="N/A",IF(Table1[[#This Row],[Std Adj Read]]&gt;=Table1[[#This Row],[Low Tol]],"Pass","Fail"),IF(Table1[[#This Row],[DUT Adj Read]]&gt;=Table1[[#This Row],[Low Tol]],"Pass","Fail")))</f>
        <v>Pass</v>
      </c>
      <c r="AG1423" s="1" t="str">
        <f>IF(AND(Table1[[#This Row],[Spec Type2]]="N/A",Table1[[#This Row],[DUT Adj Read]]="N/A",Table1[[#This Row],[Std Adj Read]]="N/A"),"N/A",IF(Table1[[#This Row],[DUT Adj Read]]="N/A",IF(Table1[[#This Row],[Std Adj Read]]&lt;=Table1[[#This Row],[High Tol]],"Pass","Fail"),IF(Table1[[#This Row],[DUT Adj Read]]&lt;=Table1[[#This Row],[High Tol]],"Pass","Fail")))</f>
        <v>Fail</v>
      </c>
      <c r="AH14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3" s="1" t="b">
        <v>0</v>
      </c>
      <c r="AN1423" s="1" t="b">
        <v>0</v>
      </c>
      <c r="AO1423" s="1" t="b">
        <v>0</v>
      </c>
    </row>
    <row r="1424" spans="1:41" x14ac:dyDescent="0.25">
      <c r="A1424" s="10"/>
      <c r="B1424" s="10"/>
      <c r="C1424" s="10"/>
      <c r="D1424" s="10"/>
      <c r="E1424" s="10"/>
      <c r="F1424" s="10"/>
      <c r="G1424" s="10"/>
      <c r="H1424" s="10"/>
      <c r="I1424" s="1" t="str">
        <f t="shared" si="66"/>
        <v/>
      </c>
      <c r="J1424" s="1" t="s">
        <v>35</v>
      </c>
      <c r="K1424" s="1" t="str">
        <f t="shared" si="67"/>
        <v/>
      </c>
      <c r="L1424" s="1" t="str">
        <f t="shared" si="68"/>
        <v/>
      </c>
      <c r="M1424" s="1">
        <f>IF(OR(Table1[[#This Row],[Std Nom]]="",Table1[[#This Row],[Std Read]]=""),0,Table1[[#This Row],[Std Nom]]-Table1[[#This Row],[Std Read]])</f>
        <v>0</v>
      </c>
      <c r="N1424" s="1">
        <f>IF(Calculations!$F$5="ACCREDITED 17025 WITH UNCERTAINTIES",$N$10,0)</f>
        <v>0</v>
      </c>
      <c r="Q1424" s="1">
        <f>Table1[[#This Row],[High Tol]]-Table1[[#This Row],[Low Tol]]</f>
        <v>0</v>
      </c>
      <c r="R1424" s="1">
        <f>2*Table1[[#This Row],[Std Error]]</f>
        <v>0</v>
      </c>
      <c r="S1424" s="1" t="str">
        <f>IF(Table1[[#This Row],[High Tol]]="","N/A",IFERROR(ABS(Table1[[#This Row],[Tol Span]]/Table1[[#This Row],[Error Span]]),"N/A"))</f>
        <v>N/A</v>
      </c>
      <c r="T1424" s="1" t="str">
        <f>IF(OR(Table1[[#This Row],[Low Tol]]="",Table1[[#This Row],[High Tol]]=""),"Needs Analysis",IF(Table1[[#This Row],[Ratio]]&gt;=4,"Not Significant",IF(Table1[[#This Row],[Ratio]]&gt;=2,"Semi-Significant","Significant")))</f>
        <v>Needs Analysis</v>
      </c>
      <c r="W1424" s="1">
        <f>IF(Table1[[#This Row],[Cal Type]]&lt;&gt;"ACCREDITED 17025 WITH UNCERTAINTIES",0,"")</f>
        <v>0</v>
      </c>
      <c r="X1424" s="1" t="str">
        <f>IF(Table1[[#This Row],[DUT Read]]="","N/A",Table1[[#This Row],[Std Error]]+Table1[[#This Row],[DUT Read]]+Table1[[#This Row],[DUT Ucty]])</f>
        <v>N/A</v>
      </c>
      <c r="Y1424" s="1" t="str">
        <f>IF(Table1[[#This Row],[Std Read]]="","N/A",Table1[[#This Row],[Std Read]]+Table1[[#This Row],[Std Ucty]])</f>
        <v>N/A</v>
      </c>
      <c r="Z14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4" s="1" t="str">
        <f>IF(Table1[[#This Row],[Spec Type]]="","N/A",Table1[[#This Row],[Spec Type]])</f>
        <v>±</v>
      </c>
      <c r="AC1424" s="1" t="str">
        <f>IF(Table1[[#This Row],[Spec Type2]]="N/A","N/A",IF(AND(Table1[[#This Row],[DUT Adj Read]]&gt;=Table1[[#This Row],[Low Tol]],Table1[[#This Row],[DUT Adj Read]]&lt;=Table1[[#This Row],[High Tol]]),"Pass","Fail"))</f>
        <v>Fail</v>
      </c>
      <c r="AD1424" s="1" t="str">
        <f>IF(AND(Table1[[#This Row],[Spec Type2]]="N/A",Table1[[#This Row],[DUT Adj Read]]="N/A",Table1[[#This Row],[Std Adj Read]]="N/A"),"N/A",IF(Table1[[#This Row],[DUT Adj Read]]="N/A",IF(Table1[[#This Row],[Std Adj Read]]&gt;Table1[[#This Row],[Low Tol]],"Pass","Fail"),IF(Table1[[#This Row],[DUT Adj Read]]&gt;Table1[[#This Row],[Low Tol]],"Pass","Fail")))</f>
        <v>Pass</v>
      </c>
      <c r="AE1424" s="1" t="str">
        <f>IF(AND(Table1[[#This Row],[Spec Type2]]="N/A",Table1[[#This Row],[DUT Adj Read]]="N/A",Table1[[#This Row],[Std Adj Read]]="N/A"),"N/A",IF(Table1[[#This Row],[DUT Adj Read]]="N/A",IF(Table1[[#This Row],[Std Adj Read]]&lt;Table1[[#This Row],[High Tol]],"Pass","Fail"),IF(Table1[[#This Row],[DUT Adj Read]]&lt;Table1[[#This Row],[High Tol]],"Pass","Fail")))</f>
        <v>Fail</v>
      </c>
      <c r="AF1424" s="1" t="str">
        <f>IF(AND(Table1[[#This Row],[Spec Type2]]="N/A",Table1[[#This Row],[DUT Adj Read]]="N/A",Table1[[#This Row],[Std Adj Read]]="N/A"),"N/A",IF(Table1[[#This Row],[DUT Adj Read]]="N/A",IF(Table1[[#This Row],[Std Adj Read]]&gt;=Table1[[#This Row],[Low Tol]],"Pass","Fail"),IF(Table1[[#This Row],[DUT Adj Read]]&gt;=Table1[[#This Row],[Low Tol]],"Pass","Fail")))</f>
        <v>Pass</v>
      </c>
      <c r="AG1424" s="1" t="str">
        <f>IF(AND(Table1[[#This Row],[Spec Type2]]="N/A",Table1[[#This Row],[DUT Adj Read]]="N/A",Table1[[#This Row],[Std Adj Read]]="N/A"),"N/A",IF(Table1[[#This Row],[DUT Adj Read]]="N/A",IF(Table1[[#This Row],[Std Adj Read]]&lt;=Table1[[#This Row],[High Tol]],"Pass","Fail"),IF(Table1[[#This Row],[DUT Adj Read]]&lt;=Table1[[#This Row],[High Tol]],"Pass","Fail")))</f>
        <v>Fail</v>
      </c>
      <c r="AH14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4" s="1" t="b">
        <v>0</v>
      </c>
      <c r="AN1424" s="1" t="b">
        <v>0</v>
      </c>
      <c r="AO1424" s="1" t="b">
        <v>0</v>
      </c>
    </row>
    <row r="1425" spans="1:41" x14ac:dyDescent="0.25">
      <c r="A1425" s="10"/>
      <c r="B1425" s="10"/>
      <c r="C1425" s="10"/>
      <c r="D1425" s="10"/>
      <c r="E1425" s="10"/>
      <c r="F1425" s="10"/>
      <c r="G1425" s="10"/>
      <c r="H1425" s="10"/>
      <c r="I1425" s="1" t="str">
        <f t="shared" si="66"/>
        <v/>
      </c>
      <c r="J1425" s="1" t="s">
        <v>35</v>
      </c>
      <c r="K1425" s="1" t="str">
        <f t="shared" si="67"/>
        <v/>
      </c>
      <c r="L1425" s="1" t="str">
        <f t="shared" si="68"/>
        <v/>
      </c>
      <c r="M1425" s="1">
        <f>IF(OR(Table1[[#This Row],[Std Nom]]="",Table1[[#This Row],[Std Read]]=""),0,Table1[[#This Row],[Std Nom]]-Table1[[#This Row],[Std Read]])</f>
        <v>0</v>
      </c>
      <c r="N1425" s="1">
        <f>IF(Calculations!$F$5="ACCREDITED 17025 WITH UNCERTAINTIES",$N$10,0)</f>
        <v>0</v>
      </c>
      <c r="Q1425" s="1">
        <f>Table1[[#This Row],[High Tol]]-Table1[[#This Row],[Low Tol]]</f>
        <v>0</v>
      </c>
      <c r="R1425" s="1">
        <f>2*Table1[[#This Row],[Std Error]]</f>
        <v>0</v>
      </c>
      <c r="S1425" s="1" t="str">
        <f>IF(Table1[[#This Row],[High Tol]]="","N/A",IFERROR(ABS(Table1[[#This Row],[Tol Span]]/Table1[[#This Row],[Error Span]]),"N/A"))</f>
        <v>N/A</v>
      </c>
      <c r="T1425" s="1" t="str">
        <f>IF(OR(Table1[[#This Row],[Low Tol]]="",Table1[[#This Row],[High Tol]]=""),"Needs Analysis",IF(Table1[[#This Row],[Ratio]]&gt;=4,"Not Significant",IF(Table1[[#This Row],[Ratio]]&gt;=2,"Semi-Significant","Significant")))</f>
        <v>Needs Analysis</v>
      </c>
      <c r="W1425" s="1">
        <f>IF(Table1[[#This Row],[Cal Type]]&lt;&gt;"ACCREDITED 17025 WITH UNCERTAINTIES",0,"")</f>
        <v>0</v>
      </c>
      <c r="X1425" s="1" t="str">
        <f>IF(Table1[[#This Row],[DUT Read]]="","N/A",Table1[[#This Row],[Std Error]]+Table1[[#This Row],[DUT Read]]+Table1[[#This Row],[DUT Ucty]])</f>
        <v>N/A</v>
      </c>
      <c r="Y1425" s="1" t="str">
        <f>IF(Table1[[#This Row],[Std Read]]="","N/A",Table1[[#This Row],[Std Read]]+Table1[[#This Row],[Std Ucty]])</f>
        <v>N/A</v>
      </c>
      <c r="Z14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5" s="1" t="str">
        <f>IF(Table1[[#This Row],[Spec Type]]="","N/A",Table1[[#This Row],[Spec Type]])</f>
        <v>±</v>
      </c>
      <c r="AC1425" s="1" t="str">
        <f>IF(Table1[[#This Row],[Spec Type2]]="N/A","N/A",IF(AND(Table1[[#This Row],[DUT Adj Read]]&gt;=Table1[[#This Row],[Low Tol]],Table1[[#This Row],[DUT Adj Read]]&lt;=Table1[[#This Row],[High Tol]]),"Pass","Fail"))</f>
        <v>Fail</v>
      </c>
      <c r="AD1425" s="1" t="str">
        <f>IF(AND(Table1[[#This Row],[Spec Type2]]="N/A",Table1[[#This Row],[DUT Adj Read]]="N/A",Table1[[#This Row],[Std Adj Read]]="N/A"),"N/A",IF(Table1[[#This Row],[DUT Adj Read]]="N/A",IF(Table1[[#This Row],[Std Adj Read]]&gt;Table1[[#This Row],[Low Tol]],"Pass","Fail"),IF(Table1[[#This Row],[DUT Adj Read]]&gt;Table1[[#This Row],[Low Tol]],"Pass","Fail")))</f>
        <v>Pass</v>
      </c>
      <c r="AE1425" s="1" t="str">
        <f>IF(AND(Table1[[#This Row],[Spec Type2]]="N/A",Table1[[#This Row],[DUT Adj Read]]="N/A",Table1[[#This Row],[Std Adj Read]]="N/A"),"N/A",IF(Table1[[#This Row],[DUT Adj Read]]="N/A",IF(Table1[[#This Row],[Std Adj Read]]&lt;Table1[[#This Row],[High Tol]],"Pass","Fail"),IF(Table1[[#This Row],[DUT Adj Read]]&lt;Table1[[#This Row],[High Tol]],"Pass","Fail")))</f>
        <v>Fail</v>
      </c>
      <c r="AF1425" s="1" t="str">
        <f>IF(AND(Table1[[#This Row],[Spec Type2]]="N/A",Table1[[#This Row],[DUT Adj Read]]="N/A",Table1[[#This Row],[Std Adj Read]]="N/A"),"N/A",IF(Table1[[#This Row],[DUT Adj Read]]="N/A",IF(Table1[[#This Row],[Std Adj Read]]&gt;=Table1[[#This Row],[Low Tol]],"Pass","Fail"),IF(Table1[[#This Row],[DUT Adj Read]]&gt;=Table1[[#This Row],[Low Tol]],"Pass","Fail")))</f>
        <v>Pass</v>
      </c>
      <c r="AG1425" s="1" t="str">
        <f>IF(AND(Table1[[#This Row],[Spec Type2]]="N/A",Table1[[#This Row],[DUT Adj Read]]="N/A",Table1[[#This Row],[Std Adj Read]]="N/A"),"N/A",IF(Table1[[#This Row],[DUT Adj Read]]="N/A",IF(Table1[[#This Row],[Std Adj Read]]&lt;=Table1[[#This Row],[High Tol]],"Pass","Fail"),IF(Table1[[#This Row],[DUT Adj Read]]&lt;=Table1[[#This Row],[High Tol]],"Pass","Fail")))</f>
        <v>Fail</v>
      </c>
      <c r="AH14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5" s="1" t="b">
        <v>0</v>
      </c>
      <c r="AN1425" s="1" t="b">
        <v>0</v>
      </c>
      <c r="AO1425" s="1" t="b">
        <v>0</v>
      </c>
    </row>
    <row r="1426" spans="1:41" x14ac:dyDescent="0.25">
      <c r="A1426" s="10"/>
      <c r="B1426" s="10"/>
      <c r="C1426" s="10"/>
      <c r="D1426" s="10"/>
      <c r="E1426" s="10"/>
      <c r="F1426" s="10"/>
      <c r="G1426" s="10"/>
      <c r="H1426" s="10"/>
      <c r="I1426" s="1" t="str">
        <f t="shared" si="66"/>
        <v/>
      </c>
      <c r="J1426" s="1" t="s">
        <v>35</v>
      </c>
      <c r="K1426" s="1" t="str">
        <f t="shared" si="67"/>
        <v/>
      </c>
      <c r="L1426" s="1" t="str">
        <f t="shared" si="68"/>
        <v/>
      </c>
      <c r="M1426" s="1">
        <f>IF(OR(Table1[[#This Row],[Std Nom]]="",Table1[[#This Row],[Std Read]]=""),0,Table1[[#This Row],[Std Nom]]-Table1[[#This Row],[Std Read]])</f>
        <v>0</v>
      </c>
      <c r="N1426" s="1">
        <f>IF(Calculations!$F$5="ACCREDITED 17025 WITH UNCERTAINTIES",$N$10,0)</f>
        <v>0</v>
      </c>
      <c r="Q1426" s="1">
        <f>Table1[[#This Row],[High Tol]]-Table1[[#This Row],[Low Tol]]</f>
        <v>0</v>
      </c>
      <c r="R1426" s="1">
        <f>2*Table1[[#This Row],[Std Error]]</f>
        <v>0</v>
      </c>
      <c r="S1426" s="1" t="str">
        <f>IF(Table1[[#This Row],[High Tol]]="","N/A",IFERROR(ABS(Table1[[#This Row],[Tol Span]]/Table1[[#This Row],[Error Span]]),"N/A"))</f>
        <v>N/A</v>
      </c>
      <c r="T1426" s="1" t="str">
        <f>IF(OR(Table1[[#This Row],[Low Tol]]="",Table1[[#This Row],[High Tol]]=""),"Needs Analysis",IF(Table1[[#This Row],[Ratio]]&gt;=4,"Not Significant",IF(Table1[[#This Row],[Ratio]]&gt;=2,"Semi-Significant","Significant")))</f>
        <v>Needs Analysis</v>
      </c>
      <c r="W1426" s="1">
        <f>IF(Table1[[#This Row],[Cal Type]]&lt;&gt;"ACCREDITED 17025 WITH UNCERTAINTIES",0,"")</f>
        <v>0</v>
      </c>
      <c r="X1426" s="1" t="str">
        <f>IF(Table1[[#This Row],[DUT Read]]="","N/A",Table1[[#This Row],[Std Error]]+Table1[[#This Row],[DUT Read]]+Table1[[#This Row],[DUT Ucty]])</f>
        <v>N/A</v>
      </c>
      <c r="Y1426" s="1" t="str">
        <f>IF(Table1[[#This Row],[Std Read]]="","N/A",Table1[[#This Row],[Std Read]]+Table1[[#This Row],[Std Ucty]])</f>
        <v>N/A</v>
      </c>
      <c r="Z14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6" s="1" t="str">
        <f>IF(Table1[[#This Row],[Spec Type]]="","N/A",Table1[[#This Row],[Spec Type]])</f>
        <v>±</v>
      </c>
      <c r="AC1426" s="1" t="str">
        <f>IF(Table1[[#This Row],[Spec Type2]]="N/A","N/A",IF(AND(Table1[[#This Row],[DUT Adj Read]]&gt;=Table1[[#This Row],[Low Tol]],Table1[[#This Row],[DUT Adj Read]]&lt;=Table1[[#This Row],[High Tol]]),"Pass","Fail"))</f>
        <v>Fail</v>
      </c>
      <c r="AD1426" s="1" t="str">
        <f>IF(AND(Table1[[#This Row],[Spec Type2]]="N/A",Table1[[#This Row],[DUT Adj Read]]="N/A",Table1[[#This Row],[Std Adj Read]]="N/A"),"N/A",IF(Table1[[#This Row],[DUT Adj Read]]="N/A",IF(Table1[[#This Row],[Std Adj Read]]&gt;Table1[[#This Row],[Low Tol]],"Pass","Fail"),IF(Table1[[#This Row],[DUT Adj Read]]&gt;Table1[[#This Row],[Low Tol]],"Pass","Fail")))</f>
        <v>Pass</v>
      </c>
      <c r="AE1426" s="1" t="str">
        <f>IF(AND(Table1[[#This Row],[Spec Type2]]="N/A",Table1[[#This Row],[DUT Adj Read]]="N/A",Table1[[#This Row],[Std Adj Read]]="N/A"),"N/A",IF(Table1[[#This Row],[DUT Adj Read]]="N/A",IF(Table1[[#This Row],[Std Adj Read]]&lt;Table1[[#This Row],[High Tol]],"Pass","Fail"),IF(Table1[[#This Row],[DUT Adj Read]]&lt;Table1[[#This Row],[High Tol]],"Pass","Fail")))</f>
        <v>Fail</v>
      </c>
      <c r="AF1426" s="1" t="str">
        <f>IF(AND(Table1[[#This Row],[Spec Type2]]="N/A",Table1[[#This Row],[DUT Adj Read]]="N/A",Table1[[#This Row],[Std Adj Read]]="N/A"),"N/A",IF(Table1[[#This Row],[DUT Adj Read]]="N/A",IF(Table1[[#This Row],[Std Adj Read]]&gt;=Table1[[#This Row],[Low Tol]],"Pass","Fail"),IF(Table1[[#This Row],[DUT Adj Read]]&gt;=Table1[[#This Row],[Low Tol]],"Pass","Fail")))</f>
        <v>Pass</v>
      </c>
      <c r="AG1426" s="1" t="str">
        <f>IF(AND(Table1[[#This Row],[Spec Type2]]="N/A",Table1[[#This Row],[DUT Adj Read]]="N/A",Table1[[#This Row],[Std Adj Read]]="N/A"),"N/A",IF(Table1[[#This Row],[DUT Adj Read]]="N/A",IF(Table1[[#This Row],[Std Adj Read]]&lt;=Table1[[#This Row],[High Tol]],"Pass","Fail"),IF(Table1[[#This Row],[DUT Adj Read]]&lt;=Table1[[#This Row],[High Tol]],"Pass","Fail")))</f>
        <v>Fail</v>
      </c>
      <c r="AH14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6" s="1" t="b">
        <v>0</v>
      </c>
      <c r="AN1426" s="1" t="b">
        <v>0</v>
      </c>
      <c r="AO1426" s="1" t="b">
        <v>0</v>
      </c>
    </row>
    <row r="1427" spans="1:41" x14ac:dyDescent="0.25">
      <c r="A1427" s="10"/>
      <c r="B1427" s="10"/>
      <c r="C1427" s="10"/>
      <c r="D1427" s="10"/>
      <c r="E1427" s="10"/>
      <c r="F1427" s="10"/>
      <c r="G1427" s="10"/>
      <c r="H1427" s="10"/>
      <c r="I1427" s="1" t="str">
        <f t="shared" si="66"/>
        <v/>
      </c>
      <c r="J1427" s="1" t="s">
        <v>35</v>
      </c>
      <c r="K1427" s="1" t="str">
        <f t="shared" si="67"/>
        <v/>
      </c>
      <c r="L1427" s="1" t="str">
        <f t="shared" si="68"/>
        <v/>
      </c>
      <c r="M1427" s="1">
        <f>IF(OR(Table1[[#This Row],[Std Nom]]="",Table1[[#This Row],[Std Read]]=""),0,Table1[[#This Row],[Std Nom]]-Table1[[#This Row],[Std Read]])</f>
        <v>0</v>
      </c>
      <c r="N1427" s="1">
        <f>IF(Calculations!$F$5="ACCREDITED 17025 WITH UNCERTAINTIES",$N$10,0)</f>
        <v>0</v>
      </c>
      <c r="Q1427" s="1">
        <f>Table1[[#This Row],[High Tol]]-Table1[[#This Row],[Low Tol]]</f>
        <v>0</v>
      </c>
      <c r="R1427" s="1">
        <f>2*Table1[[#This Row],[Std Error]]</f>
        <v>0</v>
      </c>
      <c r="S1427" s="1" t="str">
        <f>IF(Table1[[#This Row],[High Tol]]="","N/A",IFERROR(ABS(Table1[[#This Row],[Tol Span]]/Table1[[#This Row],[Error Span]]),"N/A"))</f>
        <v>N/A</v>
      </c>
      <c r="T1427" s="1" t="str">
        <f>IF(OR(Table1[[#This Row],[Low Tol]]="",Table1[[#This Row],[High Tol]]=""),"Needs Analysis",IF(Table1[[#This Row],[Ratio]]&gt;=4,"Not Significant",IF(Table1[[#This Row],[Ratio]]&gt;=2,"Semi-Significant","Significant")))</f>
        <v>Needs Analysis</v>
      </c>
      <c r="W1427" s="1">
        <f>IF(Table1[[#This Row],[Cal Type]]&lt;&gt;"ACCREDITED 17025 WITH UNCERTAINTIES",0,"")</f>
        <v>0</v>
      </c>
      <c r="X1427" s="1" t="str">
        <f>IF(Table1[[#This Row],[DUT Read]]="","N/A",Table1[[#This Row],[Std Error]]+Table1[[#This Row],[DUT Read]]+Table1[[#This Row],[DUT Ucty]])</f>
        <v>N/A</v>
      </c>
      <c r="Y1427" s="1" t="str">
        <f>IF(Table1[[#This Row],[Std Read]]="","N/A",Table1[[#This Row],[Std Read]]+Table1[[#This Row],[Std Ucty]])</f>
        <v>N/A</v>
      </c>
      <c r="Z14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7" s="1" t="str">
        <f>IF(Table1[[#This Row],[Spec Type]]="","N/A",Table1[[#This Row],[Spec Type]])</f>
        <v>±</v>
      </c>
      <c r="AC1427" s="1" t="str">
        <f>IF(Table1[[#This Row],[Spec Type2]]="N/A","N/A",IF(AND(Table1[[#This Row],[DUT Adj Read]]&gt;=Table1[[#This Row],[Low Tol]],Table1[[#This Row],[DUT Adj Read]]&lt;=Table1[[#This Row],[High Tol]]),"Pass","Fail"))</f>
        <v>Fail</v>
      </c>
      <c r="AD1427" s="1" t="str">
        <f>IF(AND(Table1[[#This Row],[Spec Type2]]="N/A",Table1[[#This Row],[DUT Adj Read]]="N/A",Table1[[#This Row],[Std Adj Read]]="N/A"),"N/A",IF(Table1[[#This Row],[DUT Adj Read]]="N/A",IF(Table1[[#This Row],[Std Adj Read]]&gt;Table1[[#This Row],[Low Tol]],"Pass","Fail"),IF(Table1[[#This Row],[DUT Adj Read]]&gt;Table1[[#This Row],[Low Tol]],"Pass","Fail")))</f>
        <v>Pass</v>
      </c>
      <c r="AE1427" s="1" t="str">
        <f>IF(AND(Table1[[#This Row],[Spec Type2]]="N/A",Table1[[#This Row],[DUT Adj Read]]="N/A",Table1[[#This Row],[Std Adj Read]]="N/A"),"N/A",IF(Table1[[#This Row],[DUT Adj Read]]="N/A",IF(Table1[[#This Row],[Std Adj Read]]&lt;Table1[[#This Row],[High Tol]],"Pass","Fail"),IF(Table1[[#This Row],[DUT Adj Read]]&lt;Table1[[#This Row],[High Tol]],"Pass","Fail")))</f>
        <v>Fail</v>
      </c>
      <c r="AF1427" s="1" t="str">
        <f>IF(AND(Table1[[#This Row],[Spec Type2]]="N/A",Table1[[#This Row],[DUT Adj Read]]="N/A",Table1[[#This Row],[Std Adj Read]]="N/A"),"N/A",IF(Table1[[#This Row],[DUT Adj Read]]="N/A",IF(Table1[[#This Row],[Std Adj Read]]&gt;=Table1[[#This Row],[Low Tol]],"Pass","Fail"),IF(Table1[[#This Row],[DUT Adj Read]]&gt;=Table1[[#This Row],[Low Tol]],"Pass","Fail")))</f>
        <v>Pass</v>
      </c>
      <c r="AG1427" s="1" t="str">
        <f>IF(AND(Table1[[#This Row],[Spec Type2]]="N/A",Table1[[#This Row],[DUT Adj Read]]="N/A",Table1[[#This Row],[Std Adj Read]]="N/A"),"N/A",IF(Table1[[#This Row],[DUT Adj Read]]="N/A",IF(Table1[[#This Row],[Std Adj Read]]&lt;=Table1[[#This Row],[High Tol]],"Pass","Fail"),IF(Table1[[#This Row],[DUT Adj Read]]&lt;=Table1[[#This Row],[High Tol]],"Pass","Fail")))</f>
        <v>Fail</v>
      </c>
      <c r="AH14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7" s="1" t="b">
        <v>0</v>
      </c>
      <c r="AN1427" s="1" t="b">
        <v>0</v>
      </c>
      <c r="AO1427" s="1" t="b">
        <v>0</v>
      </c>
    </row>
    <row r="1428" spans="1:41" x14ac:dyDescent="0.25">
      <c r="A1428" s="10"/>
      <c r="B1428" s="10"/>
      <c r="C1428" s="10"/>
      <c r="D1428" s="10"/>
      <c r="E1428" s="10"/>
      <c r="F1428" s="10"/>
      <c r="G1428" s="10"/>
      <c r="H1428" s="10"/>
      <c r="I1428" s="1" t="str">
        <f t="shared" si="66"/>
        <v/>
      </c>
      <c r="J1428" s="1" t="s">
        <v>35</v>
      </c>
      <c r="K1428" s="1" t="str">
        <f t="shared" si="67"/>
        <v/>
      </c>
      <c r="L1428" s="1" t="str">
        <f t="shared" si="68"/>
        <v/>
      </c>
      <c r="M1428" s="1">
        <f>IF(OR(Table1[[#This Row],[Std Nom]]="",Table1[[#This Row],[Std Read]]=""),0,Table1[[#This Row],[Std Nom]]-Table1[[#This Row],[Std Read]])</f>
        <v>0</v>
      </c>
      <c r="N1428" s="1">
        <f>IF(Calculations!$F$5="ACCREDITED 17025 WITH UNCERTAINTIES",$N$10,0)</f>
        <v>0</v>
      </c>
      <c r="Q1428" s="1">
        <f>Table1[[#This Row],[High Tol]]-Table1[[#This Row],[Low Tol]]</f>
        <v>0</v>
      </c>
      <c r="R1428" s="1">
        <f>2*Table1[[#This Row],[Std Error]]</f>
        <v>0</v>
      </c>
      <c r="S1428" s="1" t="str">
        <f>IF(Table1[[#This Row],[High Tol]]="","N/A",IFERROR(ABS(Table1[[#This Row],[Tol Span]]/Table1[[#This Row],[Error Span]]),"N/A"))</f>
        <v>N/A</v>
      </c>
      <c r="T1428" s="1" t="str">
        <f>IF(OR(Table1[[#This Row],[Low Tol]]="",Table1[[#This Row],[High Tol]]=""),"Needs Analysis",IF(Table1[[#This Row],[Ratio]]&gt;=4,"Not Significant",IF(Table1[[#This Row],[Ratio]]&gt;=2,"Semi-Significant","Significant")))</f>
        <v>Needs Analysis</v>
      </c>
      <c r="W1428" s="1">
        <f>IF(Table1[[#This Row],[Cal Type]]&lt;&gt;"ACCREDITED 17025 WITH UNCERTAINTIES",0,"")</f>
        <v>0</v>
      </c>
      <c r="X1428" s="1" t="str">
        <f>IF(Table1[[#This Row],[DUT Read]]="","N/A",Table1[[#This Row],[Std Error]]+Table1[[#This Row],[DUT Read]]+Table1[[#This Row],[DUT Ucty]])</f>
        <v>N/A</v>
      </c>
      <c r="Y1428" s="1" t="str">
        <f>IF(Table1[[#This Row],[Std Read]]="","N/A",Table1[[#This Row],[Std Read]]+Table1[[#This Row],[Std Ucty]])</f>
        <v>N/A</v>
      </c>
      <c r="Z14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8" s="1" t="str">
        <f>IF(Table1[[#This Row],[Spec Type]]="","N/A",Table1[[#This Row],[Spec Type]])</f>
        <v>±</v>
      </c>
      <c r="AC1428" s="1" t="str">
        <f>IF(Table1[[#This Row],[Spec Type2]]="N/A","N/A",IF(AND(Table1[[#This Row],[DUT Adj Read]]&gt;=Table1[[#This Row],[Low Tol]],Table1[[#This Row],[DUT Adj Read]]&lt;=Table1[[#This Row],[High Tol]]),"Pass","Fail"))</f>
        <v>Fail</v>
      </c>
      <c r="AD1428" s="1" t="str">
        <f>IF(AND(Table1[[#This Row],[Spec Type2]]="N/A",Table1[[#This Row],[DUT Adj Read]]="N/A",Table1[[#This Row],[Std Adj Read]]="N/A"),"N/A",IF(Table1[[#This Row],[DUT Adj Read]]="N/A",IF(Table1[[#This Row],[Std Adj Read]]&gt;Table1[[#This Row],[Low Tol]],"Pass","Fail"),IF(Table1[[#This Row],[DUT Adj Read]]&gt;Table1[[#This Row],[Low Tol]],"Pass","Fail")))</f>
        <v>Pass</v>
      </c>
      <c r="AE1428" s="1" t="str">
        <f>IF(AND(Table1[[#This Row],[Spec Type2]]="N/A",Table1[[#This Row],[DUT Adj Read]]="N/A",Table1[[#This Row],[Std Adj Read]]="N/A"),"N/A",IF(Table1[[#This Row],[DUT Adj Read]]="N/A",IF(Table1[[#This Row],[Std Adj Read]]&lt;Table1[[#This Row],[High Tol]],"Pass","Fail"),IF(Table1[[#This Row],[DUT Adj Read]]&lt;Table1[[#This Row],[High Tol]],"Pass","Fail")))</f>
        <v>Fail</v>
      </c>
      <c r="AF1428" s="1" t="str">
        <f>IF(AND(Table1[[#This Row],[Spec Type2]]="N/A",Table1[[#This Row],[DUT Adj Read]]="N/A",Table1[[#This Row],[Std Adj Read]]="N/A"),"N/A",IF(Table1[[#This Row],[DUT Adj Read]]="N/A",IF(Table1[[#This Row],[Std Adj Read]]&gt;=Table1[[#This Row],[Low Tol]],"Pass","Fail"),IF(Table1[[#This Row],[DUT Adj Read]]&gt;=Table1[[#This Row],[Low Tol]],"Pass","Fail")))</f>
        <v>Pass</v>
      </c>
      <c r="AG1428" s="1" t="str">
        <f>IF(AND(Table1[[#This Row],[Spec Type2]]="N/A",Table1[[#This Row],[DUT Adj Read]]="N/A",Table1[[#This Row],[Std Adj Read]]="N/A"),"N/A",IF(Table1[[#This Row],[DUT Adj Read]]="N/A",IF(Table1[[#This Row],[Std Adj Read]]&lt;=Table1[[#This Row],[High Tol]],"Pass","Fail"),IF(Table1[[#This Row],[DUT Adj Read]]&lt;=Table1[[#This Row],[High Tol]],"Pass","Fail")))</f>
        <v>Fail</v>
      </c>
      <c r="AH14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8" s="1" t="b">
        <v>0</v>
      </c>
      <c r="AN1428" s="1" t="b">
        <v>0</v>
      </c>
      <c r="AO1428" s="1" t="b">
        <v>0</v>
      </c>
    </row>
    <row r="1429" spans="1:41" x14ac:dyDescent="0.25">
      <c r="A1429" s="10"/>
      <c r="B1429" s="10"/>
      <c r="C1429" s="10"/>
      <c r="D1429" s="10"/>
      <c r="E1429" s="10"/>
      <c r="F1429" s="10"/>
      <c r="G1429" s="10"/>
      <c r="H1429" s="10"/>
      <c r="I1429" s="1" t="str">
        <f t="shared" si="66"/>
        <v/>
      </c>
      <c r="J1429" s="1" t="s">
        <v>35</v>
      </c>
      <c r="K1429" s="1" t="str">
        <f t="shared" si="67"/>
        <v/>
      </c>
      <c r="L1429" s="1" t="str">
        <f t="shared" si="68"/>
        <v/>
      </c>
      <c r="M1429" s="1">
        <f>IF(OR(Table1[[#This Row],[Std Nom]]="",Table1[[#This Row],[Std Read]]=""),0,Table1[[#This Row],[Std Nom]]-Table1[[#This Row],[Std Read]])</f>
        <v>0</v>
      </c>
      <c r="N1429" s="1">
        <f>IF(Calculations!$F$5="ACCREDITED 17025 WITH UNCERTAINTIES",$N$10,0)</f>
        <v>0</v>
      </c>
      <c r="Q1429" s="1">
        <f>Table1[[#This Row],[High Tol]]-Table1[[#This Row],[Low Tol]]</f>
        <v>0</v>
      </c>
      <c r="R1429" s="1">
        <f>2*Table1[[#This Row],[Std Error]]</f>
        <v>0</v>
      </c>
      <c r="S1429" s="1" t="str">
        <f>IF(Table1[[#This Row],[High Tol]]="","N/A",IFERROR(ABS(Table1[[#This Row],[Tol Span]]/Table1[[#This Row],[Error Span]]),"N/A"))</f>
        <v>N/A</v>
      </c>
      <c r="T1429" s="1" t="str">
        <f>IF(OR(Table1[[#This Row],[Low Tol]]="",Table1[[#This Row],[High Tol]]=""),"Needs Analysis",IF(Table1[[#This Row],[Ratio]]&gt;=4,"Not Significant",IF(Table1[[#This Row],[Ratio]]&gt;=2,"Semi-Significant","Significant")))</f>
        <v>Needs Analysis</v>
      </c>
      <c r="W1429" s="1">
        <f>IF(Table1[[#This Row],[Cal Type]]&lt;&gt;"ACCREDITED 17025 WITH UNCERTAINTIES",0,"")</f>
        <v>0</v>
      </c>
      <c r="X1429" s="1" t="str">
        <f>IF(Table1[[#This Row],[DUT Read]]="","N/A",Table1[[#This Row],[Std Error]]+Table1[[#This Row],[DUT Read]]+Table1[[#This Row],[DUT Ucty]])</f>
        <v>N/A</v>
      </c>
      <c r="Y1429" s="1" t="str">
        <f>IF(Table1[[#This Row],[Std Read]]="","N/A",Table1[[#This Row],[Std Read]]+Table1[[#This Row],[Std Ucty]])</f>
        <v>N/A</v>
      </c>
      <c r="Z14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29" s="1" t="str">
        <f>IF(Table1[[#This Row],[Spec Type]]="","N/A",Table1[[#This Row],[Spec Type]])</f>
        <v>±</v>
      </c>
      <c r="AC1429" s="1" t="str">
        <f>IF(Table1[[#This Row],[Spec Type2]]="N/A","N/A",IF(AND(Table1[[#This Row],[DUT Adj Read]]&gt;=Table1[[#This Row],[Low Tol]],Table1[[#This Row],[DUT Adj Read]]&lt;=Table1[[#This Row],[High Tol]]),"Pass","Fail"))</f>
        <v>Fail</v>
      </c>
      <c r="AD1429" s="1" t="str">
        <f>IF(AND(Table1[[#This Row],[Spec Type2]]="N/A",Table1[[#This Row],[DUT Adj Read]]="N/A",Table1[[#This Row],[Std Adj Read]]="N/A"),"N/A",IF(Table1[[#This Row],[DUT Adj Read]]="N/A",IF(Table1[[#This Row],[Std Adj Read]]&gt;Table1[[#This Row],[Low Tol]],"Pass","Fail"),IF(Table1[[#This Row],[DUT Adj Read]]&gt;Table1[[#This Row],[Low Tol]],"Pass","Fail")))</f>
        <v>Pass</v>
      </c>
      <c r="AE1429" s="1" t="str">
        <f>IF(AND(Table1[[#This Row],[Spec Type2]]="N/A",Table1[[#This Row],[DUT Adj Read]]="N/A",Table1[[#This Row],[Std Adj Read]]="N/A"),"N/A",IF(Table1[[#This Row],[DUT Adj Read]]="N/A",IF(Table1[[#This Row],[Std Adj Read]]&lt;Table1[[#This Row],[High Tol]],"Pass","Fail"),IF(Table1[[#This Row],[DUT Adj Read]]&lt;Table1[[#This Row],[High Tol]],"Pass","Fail")))</f>
        <v>Fail</v>
      </c>
      <c r="AF1429" s="1" t="str">
        <f>IF(AND(Table1[[#This Row],[Spec Type2]]="N/A",Table1[[#This Row],[DUT Adj Read]]="N/A",Table1[[#This Row],[Std Adj Read]]="N/A"),"N/A",IF(Table1[[#This Row],[DUT Adj Read]]="N/A",IF(Table1[[#This Row],[Std Adj Read]]&gt;=Table1[[#This Row],[Low Tol]],"Pass","Fail"),IF(Table1[[#This Row],[DUT Adj Read]]&gt;=Table1[[#This Row],[Low Tol]],"Pass","Fail")))</f>
        <v>Pass</v>
      </c>
      <c r="AG1429" s="1" t="str">
        <f>IF(AND(Table1[[#This Row],[Spec Type2]]="N/A",Table1[[#This Row],[DUT Adj Read]]="N/A",Table1[[#This Row],[Std Adj Read]]="N/A"),"N/A",IF(Table1[[#This Row],[DUT Adj Read]]="N/A",IF(Table1[[#This Row],[Std Adj Read]]&lt;=Table1[[#This Row],[High Tol]],"Pass","Fail"),IF(Table1[[#This Row],[DUT Adj Read]]&lt;=Table1[[#This Row],[High Tol]],"Pass","Fail")))</f>
        <v>Fail</v>
      </c>
      <c r="AH14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29" s="1" t="b">
        <v>0</v>
      </c>
      <c r="AN1429" s="1" t="b">
        <v>0</v>
      </c>
      <c r="AO1429" s="1" t="b">
        <v>0</v>
      </c>
    </row>
    <row r="1430" spans="1:41" x14ac:dyDescent="0.25">
      <c r="A1430" s="10"/>
      <c r="B1430" s="10"/>
      <c r="C1430" s="10"/>
      <c r="D1430" s="10"/>
      <c r="E1430" s="10"/>
      <c r="F1430" s="10"/>
      <c r="G1430" s="10"/>
      <c r="H1430" s="10"/>
      <c r="I1430" s="1" t="str">
        <f t="shared" si="66"/>
        <v/>
      </c>
      <c r="J1430" s="1" t="s">
        <v>35</v>
      </c>
      <c r="K1430" s="1" t="str">
        <f t="shared" si="67"/>
        <v/>
      </c>
      <c r="L1430" s="1" t="str">
        <f t="shared" si="68"/>
        <v/>
      </c>
      <c r="M1430" s="1">
        <f>IF(OR(Table1[[#This Row],[Std Nom]]="",Table1[[#This Row],[Std Read]]=""),0,Table1[[#This Row],[Std Nom]]-Table1[[#This Row],[Std Read]])</f>
        <v>0</v>
      </c>
      <c r="N1430" s="1">
        <f>IF(Calculations!$F$5="ACCREDITED 17025 WITH UNCERTAINTIES",$N$10,0)</f>
        <v>0</v>
      </c>
      <c r="Q1430" s="1">
        <f>Table1[[#This Row],[High Tol]]-Table1[[#This Row],[Low Tol]]</f>
        <v>0</v>
      </c>
      <c r="R1430" s="1">
        <f>2*Table1[[#This Row],[Std Error]]</f>
        <v>0</v>
      </c>
      <c r="S1430" s="1" t="str">
        <f>IF(Table1[[#This Row],[High Tol]]="","N/A",IFERROR(ABS(Table1[[#This Row],[Tol Span]]/Table1[[#This Row],[Error Span]]),"N/A"))</f>
        <v>N/A</v>
      </c>
      <c r="T1430" s="1" t="str">
        <f>IF(OR(Table1[[#This Row],[Low Tol]]="",Table1[[#This Row],[High Tol]]=""),"Needs Analysis",IF(Table1[[#This Row],[Ratio]]&gt;=4,"Not Significant",IF(Table1[[#This Row],[Ratio]]&gt;=2,"Semi-Significant","Significant")))</f>
        <v>Needs Analysis</v>
      </c>
      <c r="W1430" s="1">
        <f>IF(Table1[[#This Row],[Cal Type]]&lt;&gt;"ACCREDITED 17025 WITH UNCERTAINTIES",0,"")</f>
        <v>0</v>
      </c>
      <c r="X1430" s="1" t="str">
        <f>IF(Table1[[#This Row],[DUT Read]]="","N/A",Table1[[#This Row],[Std Error]]+Table1[[#This Row],[DUT Read]]+Table1[[#This Row],[DUT Ucty]])</f>
        <v>N/A</v>
      </c>
      <c r="Y1430" s="1" t="str">
        <f>IF(Table1[[#This Row],[Std Read]]="","N/A",Table1[[#This Row],[Std Read]]+Table1[[#This Row],[Std Ucty]])</f>
        <v>N/A</v>
      </c>
      <c r="Z14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0" s="1" t="str">
        <f>IF(Table1[[#This Row],[Spec Type]]="","N/A",Table1[[#This Row],[Spec Type]])</f>
        <v>±</v>
      </c>
      <c r="AC1430" s="1" t="str">
        <f>IF(Table1[[#This Row],[Spec Type2]]="N/A","N/A",IF(AND(Table1[[#This Row],[DUT Adj Read]]&gt;=Table1[[#This Row],[Low Tol]],Table1[[#This Row],[DUT Adj Read]]&lt;=Table1[[#This Row],[High Tol]]),"Pass","Fail"))</f>
        <v>Fail</v>
      </c>
      <c r="AD1430" s="1" t="str">
        <f>IF(AND(Table1[[#This Row],[Spec Type2]]="N/A",Table1[[#This Row],[DUT Adj Read]]="N/A",Table1[[#This Row],[Std Adj Read]]="N/A"),"N/A",IF(Table1[[#This Row],[DUT Adj Read]]="N/A",IF(Table1[[#This Row],[Std Adj Read]]&gt;Table1[[#This Row],[Low Tol]],"Pass","Fail"),IF(Table1[[#This Row],[DUT Adj Read]]&gt;Table1[[#This Row],[Low Tol]],"Pass","Fail")))</f>
        <v>Pass</v>
      </c>
      <c r="AE1430" s="1" t="str">
        <f>IF(AND(Table1[[#This Row],[Spec Type2]]="N/A",Table1[[#This Row],[DUT Adj Read]]="N/A",Table1[[#This Row],[Std Adj Read]]="N/A"),"N/A",IF(Table1[[#This Row],[DUT Adj Read]]="N/A",IF(Table1[[#This Row],[Std Adj Read]]&lt;Table1[[#This Row],[High Tol]],"Pass","Fail"),IF(Table1[[#This Row],[DUT Adj Read]]&lt;Table1[[#This Row],[High Tol]],"Pass","Fail")))</f>
        <v>Fail</v>
      </c>
      <c r="AF1430" s="1" t="str">
        <f>IF(AND(Table1[[#This Row],[Spec Type2]]="N/A",Table1[[#This Row],[DUT Adj Read]]="N/A",Table1[[#This Row],[Std Adj Read]]="N/A"),"N/A",IF(Table1[[#This Row],[DUT Adj Read]]="N/A",IF(Table1[[#This Row],[Std Adj Read]]&gt;=Table1[[#This Row],[Low Tol]],"Pass","Fail"),IF(Table1[[#This Row],[DUT Adj Read]]&gt;=Table1[[#This Row],[Low Tol]],"Pass","Fail")))</f>
        <v>Pass</v>
      </c>
      <c r="AG1430" s="1" t="str">
        <f>IF(AND(Table1[[#This Row],[Spec Type2]]="N/A",Table1[[#This Row],[DUT Adj Read]]="N/A",Table1[[#This Row],[Std Adj Read]]="N/A"),"N/A",IF(Table1[[#This Row],[DUT Adj Read]]="N/A",IF(Table1[[#This Row],[Std Adj Read]]&lt;=Table1[[#This Row],[High Tol]],"Pass","Fail"),IF(Table1[[#This Row],[DUT Adj Read]]&lt;=Table1[[#This Row],[High Tol]],"Pass","Fail")))</f>
        <v>Fail</v>
      </c>
      <c r="AH14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0" s="1" t="b">
        <v>0</v>
      </c>
      <c r="AN1430" s="1" t="b">
        <v>0</v>
      </c>
      <c r="AO1430" s="1" t="b">
        <v>0</v>
      </c>
    </row>
    <row r="1431" spans="1:41" x14ac:dyDescent="0.25">
      <c r="A1431" s="10"/>
      <c r="B1431" s="10"/>
      <c r="C1431" s="10"/>
      <c r="D1431" s="10"/>
      <c r="E1431" s="10"/>
      <c r="F1431" s="10"/>
      <c r="G1431" s="10"/>
      <c r="H1431" s="10"/>
      <c r="I1431" s="1" t="str">
        <f t="shared" si="66"/>
        <v/>
      </c>
      <c r="J1431" s="1" t="s">
        <v>35</v>
      </c>
      <c r="K1431" s="1" t="str">
        <f t="shared" si="67"/>
        <v/>
      </c>
      <c r="L1431" s="1" t="str">
        <f t="shared" si="68"/>
        <v/>
      </c>
      <c r="M1431" s="1">
        <f>IF(OR(Table1[[#This Row],[Std Nom]]="",Table1[[#This Row],[Std Read]]=""),0,Table1[[#This Row],[Std Nom]]-Table1[[#This Row],[Std Read]])</f>
        <v>0</v>
      </c>
      <c r="N1431" s="1">
        <f>IF(Calculations!$F$5="ACCREDITED 17025 WITH UNCERTAINTIES",$N$10,0)</f>
        <v>0</v>
      </c>
      <c r="Q1431" s="1">
        <f>Table1[[#This Row],[High Tol]]-Table1[[#This Row],[Low Tol]]</f>
        <v>0</v>
      </c>
      <c r="R1431" s="1">
        <f>2*Table1[[#This Row],[Std Error]]</f>
        <v>0</v>
      </c>
      <c r="S1431" s="1" t="str">
        <f>IF(Table1[[#This Row],[High Tol]]="","N/A",IFERROR(ABS(Table1[[#This Row],[Tol Span]]/Table1[[#This Row],[Error Span]]),"N/A"))</f>
        <v>N/A</v>
      </c>
      <c r="T1431" s="1" t="str">
        <f>IF(OR(Table1[[#This Row],[Low Tol]]="",Table1[[#This Row],[High Tol]]=""),"Needs Analysis",IF(Table1[[#This Row],[Ratio]]&gt;=4,"Not Significant",IF(Table1[[#This Row],[Ratio]]&gt;=2,"Semi-Significant","Significant")))</f>
        <v>Needs Analysis</v>
      </c>
      <c r="W1431" s="1">
        <f>IF(Table1[[#This Row],[Cal Type]]&lt;&gt;"ACCREDITED 17025 WITH UNCERTAINTIES",0,"")</f>
        <v>0</v>
      </c>
      <c r="X1431" s="1" t="str">
        <f>IF(Table1[[#This Row],[DUT Read]]="","N/A",Table1[[#This Row],[Std Error]]+Table1[[#This Row],[DUT Read]]+Table1[[#This Row],[DUT Ucty]])</f>
        <v>N/A</v>
      </c>
      <c r="Y1431" s="1" t="str">
        <f>IF(Table1[[#This Row],[Std Read]]="","N/A",Table1[[#This Row],[Std Read]]+Table1[[#This Row],[Std Ucty]])</f>
        <v>N/A</v>
      </c>
      <c r="Z14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1" s="1" t="str">
        <f>IF(Table1[[#This Row],[Spec Type]]="","N/A",Table1[[#This Row],[Spec Type]])</f>
        <v>±</v>
      </c>
      <c r="AC1431" s="1" t="str">
        <f>IF(Table1[[#This Row],[Spec Type2]]="N/A","N/A",IF(AND(Table1[[#This Row],[DUT Adj Read]]&gt;=Table1[[#This Row],[Low Tol]],Table1[[#This Row],[DUT Adj Read]]&lt;=Table1[[#This Row],[High Tol]]),"Pass","Fail"))</f>
        <v>Fail</v>
      </c>
      <c r="AD1431" s="1" t="str">
        <f>IF(AND(Table1[[#This Row],[Spec Type2]]="N/A",Table1[[#This Row],[DUT Adj Read]]="N/A",Table1[[#This Row],[Std Adj Read]]="N/A"),"N/A",IF(Table1[[#This Row],[DUT Adj Read]]="N/A",IF(Table1[[#This Row],[Std Adj Read]]&gt;Table1[[#This Row],[Low Tol]],"Pass","Fail"),IF(Table1[[#This Row],[DUT Adj Read]]&gt;Table1[[#This Row],[Low Tol]],"Pass","Fail")))</f>
        <v>Pass</v>
      </c>
      <c r="AE1431" s="1" t="str">
        <f>IF(AND(Table1[[#This Row],[Spec Type2]]="N/A",Table1[[#This Row],[DUT Adj Read]]="N/A",Table1[[#This Row],[Std Adj Read]]="N/A"),"N/A",IF(Table1[[#This Row],[DUT Adj Read]]="N/A",IF(Table1[[#This Row],[Std Adj Read]]&lt;Table1[[#This Row],[High Tol]],"Pass","Fail"),IF(Table1[[#This Row],[DUT Adj Read]]&lt;Table1[[#This Row],[High Tol]],"Pass","Fail")))</f>
        <v>Fail</v>
      </c>
      <c r="AF1431" s="1" t="str">
        <f>IF(AND(Table1[[#This Row],[Spec Type2]]="N/A",Table1[[#This Row],[DUT Adj Read]]="N/A",Table1[[#This Row],[Std Adj Read]]="N/A"),"N/A",IF(Table1[[#This Row],[DUT Adj Read]]="N/A",IF(Table1[[#This Row],[Std Adj Read]]&gt;=Table1[[#This Row],[Low Tol]],"Pass","Fail"),IF(Table1[[#This Row],[DUT Adj Read]]&gt;=Table1[[#This Row],[Low Tol]],"Pass","Fail")))</f>
        <v>Pass</v>
      </c>
      <c r="AG1431" s="1" t="str">
        <f>IF(AND(Table1[[#This Row],[Spec Type2]]="N/A",Table1[[#This Row],[DUT Adj Read]]="N/A",Table1[[#This Row],[Std Adj Read]]="N/A"),"N/A",IF(Table1[[#This Row],[DUT Adj Read]]="N/A",IF(Table1[[#This Row],[Std Adj Read]]&lt;=Table1[[#This Row],[High Tol]],"Pass","Fail"),IF(Table1[[#This Row],[DUT Adj Read]]&lt;=Table1[[#This Row],[High Tol]],"Pass","Fail")))</f>
        <v>Fail</v>
      </c>
      <c r="AH14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1" s="1" t="b">
        <v>0</v>
      </c>
      <c r="AN1431" s="1" t="b">
        <v>0</v>
      </c>
      <c r="AO1431" s="1" t="b">
        <v>0</v>
      </c>
    </row>
    <row r="1432" spans="1:41" x14ac:dyDescent="0.25">
      <c r="A1432" s="10"/>
      <c r="B1432" s="10"/>
      <c r="C1432" s="10"/>
      <c r="D1432" s="10"/>
      <c r="E1432" s="10"/>
      <c r="F1432" s="10"/>
      <c r="G1432" s="10"/>
      <c r="H1432" s="10"/>
      <c r="I1432" s="1" t="str">
        <f t="shared" si="66"/>
        <v/>
      </c>
      <c r="J1432" s="1" t="s">
        <v>35</v>
      </c>
      <c r="K1432" s="1" t="str">
        <f t="shared" si="67"/>
        <v/>
      </c>
      <c r="L1432" s="1" t="str">
        <f t="shared" si="68"/>
        <v/>
      </c>
      <c r="M1432" s="1">
        <f>IF(OR(Table1[[#This Row],[Std Nom]]="",Table1[[#This Row],[Std Read]]=""),0,Table1[[#This Row],[Std Nom]]-Table1[[#This Row],[Std Read]])</f>
        <v>0</v>
      </c>
      <c r="N1432" s="1">
        <f>IF(Calculations!$F$5="ACCREDITED 17025 WITH UNCERTAINTIES",$N$10,0)</f>
        <v>0</v>
      </c>
      <c r="Q1432" s="1">
        <f>Table1[[#This Row],[High Tol]]-Table1[[#This Row],[Low Tol]]</f>
        <v>0</v>
      </c>
      <c r="R1432" s="1">
        <f>2*Table1[[#This Row],[Std Error]]</f>
        <v>0</v>
      </c>
      <c r="S1432" s="1" t="str">
        <f>IF(Table1[[#This Row],[High Tol]]="","N/A",IFERROR(ABS(Table1[[#This Row],[Tol Span]]/Table1[[#This Row],[Error Span]]),"N/A"))</f>
        <v>N/A</v>
      </c>
      <c r="T1432" s="1" t="str">
        <f>IF(OR(Table1[[#This Row],[Low Tol]]="",Table1[[#This Row],[High Tol]]=""),"Needs Analysis",IF(Table1[[#This Row],[Ratio]]&gt;=4,"Not Significant",IF(Table1[[#This Row],[Ratio]]&gt;=2,"Semi-Significant","Significant")))</f>
        <v>Needs Analysis</v>
      </c>
      <c r="W1432" s="1">
        <f>IF(Table1[[#This Row],[Cal Type]]&lt;&gt;"ACCREDITED 17025 WITH UNCERTAINTIES",0,"")</f>
        <v>0</v>
      </c>
      <c r="X1432" s="1" t="str">
        <f>IF(Table1[[#This Row],[DUT Read]]="","N/A",Table1[[#This Row],[Std Error]]+Table1[[#This Row],[DUT Read]]+Table1[[#This Row],[DUT Ucty]])</f>
        <v>N/A</v>
      </c>
      <c r="Y1432" s="1" t="str">
        <f>IF(Table1[[#This Row],[Std Read]]="","N/A",Table1[[#This Row],[Std Read]]+Table1[[#This Row],[Std Ucty]])</f>
        <v>N/A</v>
      </c>
      <c r="Z14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2" s="1" t="str">
        <f>IF(Table1[[#This Row],[Spec Type]]="","N/A",Table1[[#This Row],[Spec Type]])</f>
        <v>±</v>
      </c>
      <c r="AC1432" s="1" t="str">
        <f>IF(Table1[[#This Row],[Spec Type2]]="N/A","N/A",IF(AND(Table1[[#This Row],[DUT Adj Read]]&gt;=Table1[[#This Row],[Low Tol]],Table1[[#This Row],[DUT Adj Read]]&lt;=Table1[[#This Row],[High Tol]]),"Pass","Fail"))</f>
        <v>Fail</v>
      </c>
      <c r="AD1432" s="1" t="str">
        <f>IF(AND(Table1[[#This Row],[Spec Type2]]="N/A",Table1[[#This Row],[DUT Adj Read]]="N/A",Table1[[#This Row],[Std Adj Read]]="N/A"),"N/A",IF(Table1[[#This Row],[DUT Adj Read]]="N/A",IF(Table1[[#This Row],[Std Adj Read]]&gt;Table1[[#This Row],[Low Tol]],"Pass","Fail"),IF(Table1[[#This Row],[DUT Adj Read]]&gt;Table1[[#This Row],[Low Tol]],"Pass","Fail")))</f>
        <v>Pass</v>
      </c>
      <c r="AE1432" s="1" t="str">
        <f>IF(AND(Table1[[#This Row],[Spec Type2]]="N/A",Table1[[#This Row],[DUT Adj Read]]="N/A",Table1[[#This Row],[Std Adj Read]]="N/A"),"N/A",IF(Table1[[#This Row],[DUT Adj Read]]="N/A",IF(Table1[[#This Row],[Std Adj Read]]&lt;Table1[[#This Row],[High Tol]],"Pass","Fail"),IF(Table1[[#This Row],[DUT Adj Read]]&lt;Table1[[#This Row],[High Tol]],"Pass","Fail")))</f>
        <v>Fail</v>
      </c>
      <c r="AF1432" s="1" t="str">
        <f>IF(AND(Table1[[#This Row],[Spec Type2]]="N/A",Table1[[#This Row],[DUT Adj Read]]="N/A",Table1[[#This Row],[Std Adj Read]]="N/A"),"N/A",IF(Table1[[#This Row],[DUT Adj Read]]="N/A",IF(Table1[[#This Row],[Std Adj Read]]&gt;=Table1[[#This Row],[Low Tol]],"Pass","Fail"),IF(Table1[[#This Row],[DUT Adj Read]]&gt;=Table1[[#This Row],[Low Tol]],"Pass","Fail")))</f>
        <v>Pass</v>
      </c>
      <c r="AG1432" s="1" t="str">
        <f>IF(AND(Table1[[#This Row],[Spec Type2]]="N/A",Table1[[#This Row],[DUT Adj Read]]="N/A",Table1[[#This Row],[Std Adj Read]]="N/A"),"N/A",IF(Table1[[#This Row],[DUT Adj Read]]="N/A",IF(Table1[[#This Row],[Std Adj Read]]&lt;=Table1[[#This Row],[High Tol]],"Pass","Fail"),IF(Table1[[#This Row],[DUT Adj Read]]&lt;=Table1[[#This Row],[High Tol]],"Pass","Fail")))</f>
        <v>Fail</v>
      </c>
      <c r="AH14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2" s="1" t="b">
        <v>0</v>
      </c>
      <c r="AN1432" s="1" t="b">
        <v>0</v>
      </c>
      <c r="AO1432" s="1" t="b">
        <v>0</v>
      </c>
    </row>
    <row r="1433" spans="1:41" x14ac:dyDescent="0.25">
      <c r="A1433" s="10"/>
      <c r="B1433" s="10"/>
      <c r="C1433" s="10"/>
      <c r="D1433" s="10"/>
      <c r="E1433" s="10"/>
      <c r="F1433" s="10"/>
      <c r="G1433" s="10"/>
      <c r="H1433" s="10"/>
      <c r="I1433" s="1" t="str">
        <f t="shared" si="66"/>
        <v/>
      </c>
      <c r="J1433" s="1" t="s">
        <v>35</v>
      </c>
      <c r="K1433" s="1" t="str">
        <f t="shared" si="67"/>
        <v/>
      </c>
      <c r="L1433" s="1" t="str">
        <f t="shared" si="68"/>
        <v/>
      </c>
      <c r="M1433" s="1">
        <f>IF(OR(Table1[[#This Row],[Std Nom]]="",Table1[[#This Row],[Std Read]]=""),0,Table1[[#This Row],[Std Nom]]-Table1[[#This Row],[Std Read]])</f>
        <v>0</v>
      </c>
      <c r="N1433" s="1">
        <f>IF(Calculations!$F$5="ACCREDITED 17025 WITH UNCERTAINTIES",$N$10,0)</f>
        <v>0</v>
      </c>
      <c r="Q1433" s="1">
        <f>Table1[[#This Row],[High Tol]]-Table1[[#This Row],[Low Tol]]</f>
        <v>0</v>
      </c>
      <c r="R1433" s="1">
        <f>2*Table1[[#This Row],[Std Error]]</f>
        <v>0</v>
      </c>
      <c r="S1433" s="1" t="str">
        <f>IF(Table1[[#This Row],[High Tol]]="","N/A",IFERROR(ABS(Table1[[#This Row],[Tol Span]]/Table1[[#This Row],[Error Span]]),"N/A"))</f>
        <v>N/A</v>
      </c>
      <c r="T1433" s="1" t="str">
        <f>IF(OR(Table1[[#This Row],[Low Tol]]="",Table1[[#This Row],[High Tol]]=""),"Needs Analysis",IF(Table1[[#This Row],[Ratio]]&gt;=4,"Not Significant",IF(Table1[[#This Row],[Ratio]]&gt;=2,"Semi-Significant","Significant")))</f>
        <v>Needs Analysis</v>
      </c>
      <c r="W1433" s="1">
        <f>IF(Table1[[#This Row],[Cal Type]]&lt;&gt;"ACCREDITED 17025 WITH UNCERTAINTIES",0,"")</f>
        <v>0</v>
      </c>
      <c r="X1433" s="1" t="str">
        <f>IF(Table1[[#This Row],[DUT Read]]="","N/A",Table1[[#This Row],[Std Error]]+Table1[[#This Row],[DUT Read]]+Table1[[#This Row],[DUT Ucty]])</f>
        <v>N/A</v>
      </c>
      <c r="Y1433" s="1" t="str">
        <f>IF(Table1[[#This Row],[Std Read]]="","N/A",Table1[[#This Row],[Std Read]]+Table1[[#This Row],[Std Ucty]])</f>
        <v>N/A</v>
      </c>
      <c r="Z14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3" s="1" t="str">
        <f>IF(Table1[[#This Row],[Spec Type]]="","N/A",Table1[[#This Row],[Spec Type]])</f>
        <v>±</v>
      </c>
      <c r="AC1433" s="1" t="str">
        <f>IF(Table1[[#This Row],[Spec Type2]]="N/A","N/A",IF(AND(Table1[[#This Row],[DUT Adj Read]]&gt;=Table1[[#This Row],[Low Tol]],Table1[[#This Row],[DUT Adj Read]]&lt;=Table1[[#This Row],[High Tol]]),"Pass","Fail"))</f>
        <v>Fail</v>
      </c>
      <c r="AD1433" s="1" t="str">
        <f>IF(AND(Table1[[#This Row],[Spec Type2]]="N/A",Table1[[#This Row],[DUT Adj Read]]="N/A",Table1[[#This Row],[Std Adj Read]]="N/A"),"N/A",IF(Table1[[#This Row],[DUT Adj Read]]="N/A",IF(Table1[[#This Row],[Std Adj Read]]&gt;Table1[[#This Row],[Low Tol]],"Pass","Fail"),IF(Table1[[#This Row],[DUT Adj Read]]&gt;Table1[[#This Row],[Low Tol]],"Pass","Fail")))</f>
        <v>Pass</v>
      </c>
      <c r="AE1433" s="1" t="str">
        <f>IF(AND(Table1[[#This Row],[Spec Type2]]="N/A",Table1[[#This Row],[DUT Adj Read]]="N/A",Table1[[#This Row],[Std Adj Read]]="N/A"),"N/A",IF(Table1[[#This Row],[DUT Adj Read]]="N/A",IF(Table1[[#This Row],[Std Adj Read]]&lt;Table1[[#This Row],[High Tol]],"Pass","Fail"),IF(Table1[[#This Row],[DUT Adj Read]]&lt;Table1[[#This Row],[High Tol]],"Pass","Fail")))</f>
        <v>Fail</v>
      </c>
      <c r="AF1433" s="1" t="str">
        <f>IF(AND(Table1[[#This Row],[Spec Type2]]="N/A",Table1[[#This Row],[DUT Adj Read]]="N/A",Table1[[#This Row],[Std Adj Read]]="N/A"),"N/A",IF(Table1[[#This Row],[DUT Adj Read]]="N/A",IF(Table1[[#This Row],[Std Adj Read]]&gt;=Table1[[#This Row],[Low Tol]],"Pass","Fail"),IF(Table1[[#This Row],[DUT Adj Read]]&gt;=Table1[[#This Row],[Low Tol]],"Pass","Fail")))</f>
        <v>Pass</v>
      </c>
      <c r="AG1433" s="1" t="str">
        <f>IF(AND(Table1[[#This Row],[Spec Type2]]="N/A",Table1[[#This Row],[DUT Adj Read]]="N/A",Table1[[#This Row],[Std Adj Read]]="N/A"),"N/A",IF(Table1[[#This Row],[DUT Adj Read]]="N/A",IF(Table1[[#This Row],[Std Adj Read]]&lt;=Table1[[#This Row],[High Tol]],"Pass","Fail"),IF(Table1[[#This Row],[DUT Adj Read]]&lt;=Table1[[#This Row],[High Tol]],"Pass","Fail")))</f>
        <v>Fail</v>
      </c>
      <c r="AH14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3" s="1" t="b">
        <v>0</v>
      </c>
      <c r="AN1433" s="1" t="b">
        <v>0</v>
      </c>
      <c r="AO1433" s="1" t="b">
        <v>0</v>
      </c>
    </row>
    <row r="1434" spans="1:41" x14ac:dyDescent="0.25">
      <c r="A1434" s="10"/>
      <c r="B1434" s="10"/>
      <c r="C1434" s="10"/>
      <c r="D1434" s="10"/>
      <c r="E1434" s="10"/>
      <c r="F1434" s="10"/>
      <c r="G1434" s="10"/>
      <c r="H1434" s="10"/>
      <c r="I1434" s="1" t="str">
        <f t="shared" si="66"/>
        <v/>
      </c>
      <c r="J1434" s="1" t="s">
        <v>35</v>
      </c>
      <c r="K1434" s="1" t="str">
        <f t="shared" si="67"/>
        <v/>
      </c>
      <c r="L1434" s="1" t="str">
        <f t="shared" si="68"/>
        <v/>
      </c>
      <c r="M1434" s="1">
        <f>IF(OR(Table1[[#This Row],[Std Nom]]="",Table1[[#This Row],[Std Read]]=""),0,Table1[[#This Row],[Std Nom]]-Table1[[#This Row],[Std Read]])</f>
        <v>0</v>
      </c>
      <c r="N1434" s="1">
        <f>IF(Calculations!$F$5="ACCREDITED 17025 WITH UNCERTAINTIES",$N$10,0)</f>
        <v>0</v>
      </c>
      <c r="Q1434" s="1">
        <f>Table1[[#This Row],[High Tol]]-Table1[[#This Row],[Low Tol]]</f>
        <v>0</v>
      </c>
      <c r="R1434" s="1">
        <f>2*Table1[[#This Row],[Std Error]]</f>
        <v>0</v>
      </c>
      <c r="S1434" s="1" t="str">
        <f>IF(Table1[[#This Row],[High Tol]]="","N/A",IFERROR(ABS(Table1[[#This Row],[Tol Span]]/Table1[[#This Row],[Error Span]]),"N/A"))</f>
        <v>N/A</v>
      </c>
      <c r="T1434" s="1" t="str">
        <f>IF(OR(Table1[[#This Row],[Low Tol]]="",Table1[[#This Row],[High Tol]]=""),"Needs Analysis",IF(Table1[[#This Row],[Ratio]]&gt;=4,"Not Significant",IF(Table1[[#This Row],[Ratio]]&gt;=2,"Semi-Significant","Significant")))</f>
        <v>Needs Analysis</v>
      </c>
      <c r="W1434" s="1">
        <f>IF(Table1[[#This Row],[Cal Type]]&lt;&gt;"ACCREDITED 17025 WITH UNCERTAINTIES",0,"")</f>
        <v>0</v>
      </c>
      <c r="X1434" s="1" t="str">
        <f>IF(Table1[[#This Row],[DUT Read]]="","N/A",Table1[[#This Row],[Std Error]]+Table1[[#This Row],[DUT Read]]+Table1[[#This Row],[DUT Ucty]])</f>
        <v>N/A</v>
      </c>
      <c r="Y1434" s="1" t="str">
        <f>IF(Table1[[#This Row],[Std Read]]="","N/A",Table1[[#This Row],[Std Read]]+Table1[[#This Row],[Std Ucty]])</f>
        <v>N/A</v>
      </c>
      <c r="Z14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4" s="1" t="str">
        <f>IF(Table1[[#This Row],[Spec Type]]="","N/A",Table1[[#This Row],[Spec Type]])</f>
        <v>±</v>
      </c>
      <c r="AC1434" s="1" t="str">
        <f>IF(Table1[[#This Row],[Spec Type2]]="N/A","N/A",IF(AND(Table1[[#This Row],[DUT Adj Read]]&gt;=Table1[[#This Row],[Low Tol]],Table1[[#This Row],[DUT Adj Read]]&lt;=Table1[[#This Row],[High Tol]]),"Pass","Fail"))</f>
        <v>Fail</v>
      </c>
      <c r="AD1434" s="1" t="str">
        <f>IF(AND(Table1[[#This Row],[Spec Type2]]="N/A",Table1[[#This Row],[DUT Adj Read]]="N/A",Table1[[#This Row],[Std Adj Read]]="N/A"),"N/A",IF(Table1[[#This Row],[DUT Adj Read]]="N/A",IF(Table1[[#This Row],[Std Adj Read]]&gt;Table1[[#This Row],[Low Tol]],"Pass","Fail"),IF(Table1[[#This Row],[DUT Adj Read]]&gt;Table1[[#This Row],[Low Tol]],"Pass","Fail")))</f>
        <v>Pass</v>
      </c>
      <c r="AE1434" s="1" t="str">
        <f>IF(AND(Table1[[#This Row],[Spec Type2]]="N/A",Table1[[#This Row],[DUT Adj Read]]="N/A",Table1[[#This Row],[Std Adj Read]]="N/A"),"N/A",IF(Table1[[#This Row],[DUT Adj Read]]="N/A",IF(Table1[[#This Row],[Std Adj Read]]&lt;Table1[[#This Row],[High Tol]],"Pass","Fail"),IF(Table1[[#This Row],[DUT Adj Read]]&lt;Table1[[#This Row],[High Tol]],"Pass","Fail")))</f>
        <v>Fail</v>
      </c>
      <c r="AF1434" s="1" t="str">
        <f>IF(AND(Table1[[#This Row],[Spec Type2]]="N/A",Table1[[#This Row],[DUT Adj Read]]="N/A",Table1[[#This Row],[Std Adj Read]]="N/A"),"N/A",IF(Table1[[#This Row],[DUT Adj Read]]="N/A",IF(Table1[[#This Row],[Std Adj Read]]&gt;=Table1[[#This Row],[Low Tol]],"Pass","Fail"),IF(Table1[[#This Row],[DUT Adj Read]]&gt;=Table1[[#This Row],[Low Tol]],"Pass","Fail")))</f>
        <v>Pass</v>
      </c>
      <c r="AG1434" s="1" t="str">
        <f>IF(AND(Table1[[#This Row],[Spec Type2]]="N/A",Table1[[#This Row],[DUT Adj Read]]="N/A",Table1[[#This Row],[Std Adj Read]]="N/A"),"N/A",IF(Table1[[#This Row],[DUT Adj Read]]="N/A",IF(Table1[[#This Row],[Std Adj Read]]&lt;=Table1[[#This Row],[High Tol]],"Pass","Fail"),IF(Table1[[#This Row],[DUT Adj Read]]&lt;=Table1[[#This Row],[High Tol]],"Pass","Fail")))</f>
        <v>Fail</v>
      </c>
      <c r="AH14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4" s="1" t="b">
        <v>0</v>
      </c>
      <c r="AN1434" s="1" t="b">
        <v>0</v>
      </c>
      <c r="AO1434" s="1" t="b">
        <v>0</v>
      </c>
    </row>
    <row r="1435" spans="1:41" x14ac:dyDescent="0.25">
      <c r="A1435" s="10"/>
      <c r="B1435" s="10"/>
      <c r="C1435" s="10"/>
      <c r="D1435" s="10"/>
      <c r="E1435" s="10"/>
      <c r="F1435" s="10"/>
      <c r="G1435" s="10"/>
      <c r="H1435" s="10"/>
      <c r="I1435" s="1" t="str">
        <f t="shared" si="66"/>
        <v/>
      </c>
      <c r="J1435" s="1" t="s">
        <v>35</v>
      </c>
      <c r="K1435" s="1" t="str">
        <f t="shared" si="67"/>
        <v/>
      </c>
      <c r="L1435" s="1" t="str">
        <f t="shared" si="68"/>
        <v/>
      </c>
      <c r="M1435" s="1">
        <f>IF(OR(Table1[[#This Row],[Std Nom]]="",Table1[[#This Row],[Std Read]]=""),0,Table1[[#This Row],[Std Nom]]-Table1[[#This Row],[Std Read]])</f>
        <v>0</v>
      </c>
      <c r="N1435" s="1">
        <f>IF(Calculations!$F$5="ACCREDITED 17025 WITH UNCERTAINTIES",$N$10,0)</f>
        <v>0</v>
      </c>
      <c r="Q1435" s="1">
        <f>Table1[[#This Row],[High Tol]]-Table1[[#This Row],[Low Tol]]</f>
        <v>0</v>
      </c>
      <c r="R1435" s="1">
        <f>2*Table1[[#This Row],[Std Error]]</f>
        <v>0</v>
      </c>
      <c r="S1435" s="1" t="str">
        <f>IF(Table1[[#This Row],[High Tol]]="","N/A",IFERROR(ABS(Table1[[#This Row],[Tol Span]]/Table1[[#This Row],[Error Span]]),"N/A"))</f>
        <v>N/A</v>
      </c>
      <c r="T1435" s="1" t="str">
        <f>IF(OR(Table1[[#This Row],[Low Tol]]="",Table1[[#This Row],[High Tol]]=""),"Needs Analysis",IF(Table1[[#This Row],[Ratio]]&gt;=4,"Not Significant",IF(Table1[[#This Row],[Ratio]]&gt;=2,"Semi-Significant","Significant")))</f>
        <v>Needs Analysis</v>
      </c>
      <c r="W1435" s="1">
        <f>IF(Table1[[#This Row],[Cal Type]]&lt;&gt;"ACCREDITED 17025 WITH UNCERTAINTIES",0,"")</f>
        <v>0</v>
      </c>
      <c r="X1435" s="1" t="str">
        <f>IF(Table1[[#This Row],[DUT Read]]="","N/A",Table1[[#This Row],[Std Error]]+Table1[[#This Row],[DUT Read]]+Table1[[#This Row],[DUT Ucty]])</f>
        <v>N/A</v>
      </c>
      <c r="Y1435" s="1" t="str">
        <f>IF(Table1[[#This Row],[Std Read]]="","N/A",Table1[[#This Row],[Std Read]]+Table1[[#This Row],[Std Ucty]])</f>
        <v>N/A</v>
      </c>
      <c r="Z14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5" s="1" t="str">
        <f>IF(Table1[[#This Row],[Spec Type]]="","N/A",Table1[[#This Row],[Spec Type]])</f>
        <v>±</v>
      </c>
      <c r="AC1435" s="1" t="str">
        <f>IF(Table1[[#This Row],[Spec Type2]]="N/A","N/A",IF(AND(Table1[[#This Row],[DUT Adj Read]]&gt;=Table1[[#This Row],[Low Tol]],Table1[[#This Row],[DUT Adj Read]]&lt;=Table1[[#This Row],[High Tol]]),"Pass","Fail"))</f>
        <v>Fail</v>
      </c>
      <c r="AD1435" s="1" t="str">
        <f>IF(AND(Table1[[#This Row],[Spec Type2]]="N/A",Table1[[#This Row],[DUT Adj Read]]="N/A",Table1[[#This Row],[Std Adj Read]]="N/A"),"N/A",IF(Table1[[#This Row],[DUT Adj Read]]="N/A",IF(Table1[[#This Row],[Std Adj Read]]&gt;Table1[[#This Row],[Low Tol]],"Pass","Fail"),IF(Table1[[#This Row],[DUT Adj Read]]&gt;Table1[[#This Row],[Low Tol]],"Pass","Fail")))</f>
        <v>Pass</v>
      </c>
      <c r="AE1435" s="1" t="str">
        <f>IF(AND(Table1[[#This Row],[Spec Type2]]="N/A",Table1[[#This Row],[DUT Adj Read]]="N/A",Table1[[#This Row],[Std Adj Read]]="N/A"),"N/A",IF(Table1[[#This Row],[DUT Adj Read]]="N/A",IF(Table1[[#This Row],[Std Adj Read]]&lt;Table1[[#This Row],[High Tol]],"Pass","Fail"),IF(Table1[[#This Row],[DUT Adj Read]]&lt;Table1[[#This Row],[High Tol]],"Pass","Fail")))</f>
        <v>Fail</v>
      </c>
      <c r="AF1435" s="1" t="str">
        <f>IF(AND(Table1[[#This Row],[Spec Type2]]="N/A",Table1[[#This Row],[DUT Adj Read]]="N/A",Table1[[#This Row],[Std Adj Read]]="N/A"),"N/A",IF(Table1[[#This Row],[DUT Adj Read]]="N/A",IF(Table1[[#This Row],[Std Adj Read]]&gt;=Table1[[#This Row],[Low Tol]],"Pass","Fail"),IF(Table1[[#This Row],[DUT Adj Read]]&gt;=Table1[[#This Row],[Low Tol]],"Pass","Fail")))</f>
        <v>Pass</v>
      </c>
      <c r="AG1435" s="1" t="str">
        <f>IF(AND(Table1[[#This Row],[Spec Type2]]="N/A",Table1[[#This Row],[DUT Adj Read]]="N/A",Table1[[#This Row],[Std Adj Read]]="N/A"),"N/A",IF(Table1[[#This Row],[DUT Adj Read]]="N/A",IF(Table1[[#This Row],[Std Adj Read]]&lt;=Table1[[#This Row],[High Tol]],"Pass","Fail"),IF(Table1[[#This Row],[DUT Adj Read]]&lt;=Table1[[#This Row],[High Tol]],"Pass","Fail")))</f>
        <v>Fail</v>
      </c>
      <c r="AH14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5" s="1" t="b">
        <v>0</v>
      </c>
      <c r="AN1435" s="1" t="b">
        <v>0</v>
      </c>
      <c r="AO1435" s="1" t="b">
        <v>0</v>
      </c>
    </row>
    <row r="1436" spans="1:41" x14ac:dyDescent="0.25">
      <c r="A1436" s="10"/>
      <c r="B1436" s="10"/>
      <c r="C1436" s="10"/>
      <c r="D1436" s="10"/>
      <c r="E1436" s="10"/>
      <c r="F1436" s="10"/>
      <c r="G1436" s="10"/>
      <c r="H1436" s="10"/>
      <c r="I1436" s="1" t="str">
        <f t="shared" si="66"/>
        <v/>
      </c>
      <c r="J1436" s="1" t="s">
        <v>35</v>
      </c>
      <c r="K1436" s="1" t="str">
        <f t="shared" si="67"/>
        <v/>
      </c>
      <c r="L1436" s="1" t="str">
        <f t="shared" si="68"/>
        <v/>
      </c>
      <c r="M1436" s="1">
        <f>IF(OR(Table1[[#This Row],[Std Nom]]="",Table1[[#This Row],[Std Read]]=""),0,Table1[[#This Row],[Std Nom]]-Table1[[#This Row],[Std Read]])</f>
        <v>0</v>
      </c>
      <c r="N1436" s="1">
        <f>IF(Calculations!$F$5="ACCREDITED 17025 WITH UNCERTAINTIES",$N$10,0)</f>
        <v>0</v>
      </c>
      <c r="Q1436" s="1">
        <f>Table1[[#This Row],[High Tol]]-Table1[[#This Row],[Low Tol]]</f>
        <v>0</v>
      </c>
      <c r="R1436" s="1">
        <f>2*Table1[[#This Row],[Std Error]]</f>
        <v>0</v>
      </c>
      <c r="S1436" s="1" t="str">
        <f>IF(Table1[[#This Row],[High Tol]]="","N/A",IFERROR(ABS(Table1[[#This Row],[Tol Span]]/Table1[[#This Row],[Error Span]]),"N/A"))</f>
        <v>N/A</v>
      </c>
      <c r="T1436" s="1" t="str">
        <f>IF(OR(Table1[[#This Row],[Low Tol]]="",Table1[[#This Row],[High Tol]]=""),"Needs Analysis",IF(Table1[[#This Row],[Ratio]]&gt;=4,"Not Significant",IF(Table1[[#This Row],[Ratio]]&gt;=2,"Semi-Significant","Significant")))</f>
        <v>Needs Analysis</v>
      </c>
      <c r="W1436" s="1">
        <f>IF(Table1[[#This Row],[Cal Type]]&lt;&gt;"ACCREDITED 17025 WITH UNCERTAINTIES",0,"")</f>
        <v>0</v>
      </c>
      <c r="X1436" s="1" t="str">
        <f>IF(Table1[[#This Row],[DUT Read]]="","N/A",Table1[[#This Row],[Std Error]]+Table1[[#This Row],[DUT Read]]+Table1[[#This Row],[DUT Ucty]])</f>
        <v>N/A</v>
      </c>
      <c r="Y1436" s="1" t="str">
        <f>IF(Table1[[#This Row],[Std Read]]="","N/A",Table1[[#This Row],[Std Read]]+Table1[[#This Row],[Std Ucty]])</f>
        <v>N/A</v>
      </c>
      <c r="Z14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6" s="1" t="str">
        <f>IF(Table1[[#This Row],[Spec Type]]="","N/A",Table1[[#This Row],[Spec Type]])</f>
        <v>±</v>
      </c>
      <c r="AC1436" s="1" t="str">
        <f>IF(Table1[[#This Row],[Spec Type2]]="N/A","N/A",IF(AND(Table1[[#This Row],[DUT Adj Read]]&gt;=Table1[[#This Row],[Low Tol]],Table1[[#This Row],[DUT Adj Read]]&lt;=Table1[[#This Row],[High Tol]]),"Pass","Fail"))</f>
        <v>Fail</v>
      </c>
      <c r="AD1436" s="1" t="str">
        <f>IF(AND(Table1[[#This Row],[Spec Type2]]="N/A",Table1[[#This Row],[DUT Adj Read]]="N/A",Table1[[#This Row],[Std Adj Read]]="N/A"),"N/A",IF(Table1[[#This Row],[DUT Adj Read]]="N/A",IF(Table1[[#This Row],[Std Adj Read]]&gt;Table1[[#This Row],[Low Tol]],"Pass","Fail"),IF(Table1[[#This Row],[DUT Adj Read]]&gt;Table1[[#This Row],[Low Tol]],"Pass","Fail")))</f>
        <v>Pass</v>
      </c>
      <c r="AE1436" s="1" t="str">
        <f>IF(AND(Table1[[#This Row],[Spec Type2]]="N/A",Table1[[#This Row],[DUT Adj Read]]="N/A",Table1[[#This Row],[Std Adj Read]]="N/A"),"N/A",IF(Table1[[#This Row],[DUT Adj Read]]="N/A",IF(Table1[[#This Row],[Std Adj Read]]&lt;Table1[[#This Row],[High Tol]],"Pass","Fail"),IF(Table1[[#This Row],[DUT Adj Read]]&lt;Table1[[#This Row],[High Tol]],"Pass","Fail")))</f>
        <v>Fail</v>
      </c>
      <c r="AF1436" s="1" t="str">
        <f>IF(AND(Table1[[#This Row],[Spec Type2]]="N/A",Table1[[#This Row],[DUT Adj Read]]="N/A",Table1[[#This Row],[Std Adj Read]]="N/A"),"N/A",IF(Table1[[#This Row],[DUT Adj Read]]="N/A",IF(Table1[[#This Row],[Std Adj Read]]&gt;=Table1[[#This Row],[Low Tol]],"Pass","Fail"),IF(Table1[[#This Row],[DUT Adj Read]]&gt;=Table1[[#This Row],[Low Tol]],"Pass","Fail")))</f>
        <v>Pass</v>
      </c>
      <c r="AG1436" s="1" t="str">
        <f>IF(AND(Table1[[#This Row],[Spec Type2]]="N/A",Table1[[#This Row],[DUT Adj Read]]="N/A",Table1[[#This Row],[Std Adj Read]]="N/A"),"N/A",IF(Table1[[#This Row],[DUT Adj Read]]="N/A",IF(Table1[[#This Row],[Std Adj Read]]&lt;=Table1[[#This Row],[High Tol]],"Pass","Fail"),IF(Table1[[#This Row],[DUT Adj Read]]&lt;=Table1[[#This Row],[High Tol]],"Pass","Fail")))</f>
        <v>Fail</v>
      </c>
      <c r="AH14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6" s="1" t="b">
        <v>0</v>
      </c>
      <c r="AN1436" s="1" t="b">
        <v>0</v>
      </c>
      <c r="AO1436" s="1" t="b">
        <v>0</v>
      </c>
    </row>
    <row r="1437" spans="1:41" x14ac:dyDescent="0.25">
      <c r="A1437" s="10"/>
      <c r="B1437" s="10"/>
      <c r="C1437" s="10"/>
      <c r="D1437" s="10"/>
      <c r="E1437" s="10"/>
      <c r="F1437" s="10"/>
      <c r="G1437" s="10"/>
      <c r="H1437" s="10"/>
      <c r="I1437" s="1" t="str">
        <f t="shared" si="66"/>
        <v/>
      </c>
      <c r="J1437" s="1" t="s">
        <v>35</v>
      </c>
      <c r="K1437" s="1" t="str">
        <f t="shared" si="67"/>
        <v/>
      </c>
      <c r="L1437" s="1" t="str">
        <f t="shared" si="68"/>
        <v/>
      </c>
      <c r="M1437" s="1">
        <f>IF(OR(Table1[[#This Row],[Std Nom]]="",Table1[[#This Row],[Std Read]]=""),0,Table1[[#This Row],[Std Nom]]-Table1[[#This Row],[Std Read]])</f>
        <v>0</v>
      </c>
      <c r="N1437" s="1">
        <f>IF(Calculations!$F$5="ACCREDITED 17025 WITH UNCERTAINTIES",$N$10,0)</f>
        <v>0</v>
      </c>
      <c r="Q1437" s="1">
        <f>Table1[[#This Row],[High Tol]]-Table1[[#This Row],[Low Tol]]</f>
        <v>0</v>
      </c>
      <c r="R1437" s="1">
        <f>2*Table1[[#This Row],[Std Error]]</f>
        <v>0</v>
      </c>
      <c r="S1437" s="1" t="str">
        <f>IF(Table1[[#This Row],[High Tol]]="","N/A",IFERROR(ABS(Table1[[#This Row],[Tol Span]]/Table1[[#This Row],[Error Span]]),"N/A"))</f>
        <v>N/A</v>
      </c>
      <c r="T1437" s="1" t="str">
        <f>IF(OR(Table1[[#This Row],[Low Tol]]="",Table1[[#This Row],[High Tol]]=""),"Needs Analysis",IF(Table1[[#This Row],[Ratio]]&gt;=4,"Not Significant",IF(Table1[[#This Row],[Ratio]]&gt;=2,"Semi-Significant","Significant")))</f>
        <v>Needs Analysis</v>
      </c>
      <c r="W1437" s="1">
        <f>IF(Table1[[#This Row],[Cal Type]]&lt;&gt;"ACCREDITED 17025 WITH UNCERTAINTIES",0,"")</f>
        <v>0</v>
      </c>
      <c r="X1437" s="1" t="str">
        <f>IF(Table1[[#This Row],[DUT Read]]="","N/A",Table1[[#This Row],[Std Error]]+Table1[[#This Row],[DUT Read]]+Table1[[#This Row],[DUT Ucty]])</f>
        <v>N/A</v>
      </c>
      <c r="Y1437" s="1" t="str">
        <f>IF(Table1[[#This Row],[Std Read]]="","N/A",Table1[[#This Row],[Std Read]]+Table1[[#This Row],[Std Ucty]])</f>
        <v>N/A</v>
      </c>
      <c r="Z14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7" s="1" t="str">
        <f>IF(Table1[[#This Row],[Spec Type]]="","N/A",Table1[[#This Row],[Spec Type]])</f>
        <v>±</v>
      </c>
      <c r="AC1437" s="1" t="str">
        <f>IF(Table1[[#This Row],[Spec Type2]]="N/A","N/A",IF(AND(Table1[[#This Row],[DUT Adj Read]]&gt;=Table1[[#This Row],[Low Tol]],Table1[[#This Row],[DUT Adj Read]]&lt;=Table1[[#This Row],[High Tol]]),"Pass","Fail"))</f>
        <v>Fail</v>
      </c>
      <c r="AD1437" s="1" t="str">
        <f>IF(AND(Table1[[#This Row],[Spec Type2]]="N/A",Table1[[#This Row],[DUT Adj Read]]="N/A",Table1[[#This Row],[Std Adj Read]]="N/A"),"N/A",IF(Table1[[#This Row],[DUT Adj Read]]="N/A",IF(Table1[[#This Row],[Std Adj Read]]&gt;Table1[[#This Row],[Low Tol]],"Pass","Fail"),IF(Table1[[#This Row],[DUT Adj Read]]&gt;Table1[[#This Row],[Low Tol]],"Pass","Fail")))</f>
        <v>Pass</v>
      </c>
      <c r="AE1437" s="1" t="str">
        <f>IF(AND(Table1[[#This Row],[Spec Type2]]="N/A",Table1[[#This Row],[DUT Adj Read]]="N/A",Table1[[#This Row],[Std Adj Read]]="N/A"),"N/A",IF(Table1[[#This Row],[DUT Adj Read]]="N/A",IF(Table1[[#This Row],[Std Adj Read]]&lt;Table1[[#This Row],[High Tol]],"Pass","Fail"),IF(Table1[[#This Row],[DUT Adj Read]]&lt;Table1[[#This Row],[High Tol]],"Pass","Fail")))</f>
        <v>Fail</v>
      </c>
      <c r="AF1437" s="1" t="str">
        <f>IF(AND(Table1[[#This Row],[Spec Type2]]="N/A",Table1[[#This Row],[DUT Adj Read]]="N/A",Table1[[#This Row],[Std Adj Read]]="N/A"),"N/A",IF(Table1[[#This Row],[DUT Adj Read]]="N/A",IF(Table1[[#This Row],[Std Adj Read]]&gt;=Table1[[#This Row],[Low Tol]],"Pass","Fail"),IF(Table1[[#This Row],[DUT Adj Read]]&gt;=Table1[[#This Row],[Low Tol]],"Pass","Fail")))</f>
        <v>Pass</v>
      </c>
      <c r="AG1437" s="1" t="str">
        <f>IF(AND(Table1[[#This Row],[Spec Type2]]="N/A",Table1[[#This Row],[DUT Adj Read]]="N/A",Table1[[#This Row],[Std Adj Read]]="N/A"),"N/A",IF(Table1[[#This Row],[DUT Adj Read]]="N/A",IF(Table1[[#This Row],[Std Adj Read]]&lt;=Table1[[#This Row],[High Tol]],"Pass","Fail"),IF(Table1[[#This Row],[DUT Adj Read]]&lt;=Table1[[#This Row],[High Tol]],"Pass","Fail")))</f>
        <v>Fail</v>
      </c>
      <c r="AH14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7" s="1" t="b">
        <v>0</v>
      </c>
      <c r="AN1437" s="1" t="b">
        <v>0</v>
      </c>
      <c r="AO1437" s="1" t="b">
        <v>0</v>
      </c>
    </row>
    <row r="1438" spans="1:41" x14ac:dyDescent="0.25">
      <c r="A1438" s="10"/>
      <c r="B1438" s="10"/>
      <c r="C1438" s="10"/>
      <c r="D1438" s="10"/>
      <c r="E1438" s="10"/>
      <c r="F1438" s="10"/>
      <c r="G1438" s="10"/>
      <c r="H1438" s="10"/>
      <c r="I1438" s="1" t="str">
        <f t="shared" si="66"/>
        <v/>
      </c>
      <c r="J1438" s="1" t="s">
        <v>35</v>
      </c>
      <c r="K1438" s="1" t="str">
        <f t="shared" si="67"/>
        <v/>
      </c>
      <c r="L1438" s="1" t="str">
        <f t="shared" si="68"/>
        <v/>
      </c>
      <c r="M1438" s="1">
        <f>IF(OR(Table1[[#This Row],[Std Nom]]="",Table1[[#This Row],[Std Read]]=""),0,Table1[[#This Row],[Std Nom]]-Table1[[#This Row],[Std Read]])</f>
        <v>0</v>
      </c>
      <c r="N1438" s="1">
        <f>IF(Calculations!$F$5="ACCREDITED 17025 WITH UNCERTAINTIES",$N$10,0)</f>
        <v>0</v>
      </c>
      <c r="Q1438" s="1">
        <f>Table1[[#This Row],[High Tol]]-Table1[[#This Row],[Low Tol]]</f>
        <v>0</v>
      </c>
      <c r="R1438" s="1">
        <f>2*Table1[[#This Row],[Std Error]]</f>
        <v>0</v>
      </c>
      <c r="S1438" s="1" t="str">
        <f>IF(Table1[[#This Row],[High Tol]]="","N/A",IFERROR(ABS(Table1[[#This Row],[Tol Span]]/Table1[[#This Row],[Error Span]]),"N/A"))</f>
        <v>N/A</v>
      </c>
      <c r="T1438" s="1" t="str">
        <f>IF(OR(Table1[[#This Row],[Low Tol]]="",Table1[[#This Row],[High Tol]]=""),"Needs Analysis",IF(Table1[[#This Row],[Ratio]]&gt;=4,"Not Significant",IF(Table1[[#This Row],[Ratio]]&gt;=2,"Semi-Significant","Significant")))</f>
        <v>Needs Analysis</v>
      </c>
      <c r="W1438" s="1">
        <f>IF(Table1[[#This Row],[Cal Type]]&lt;&gt;"ACCREDITED 17025 WITH UNCERTAINTIES",0,"")</f>
        <v>0</v>
      </c>
      <c r="X1438" s="1" t="str">
        <f>IF(Table1[[#This Row],[DUT Read]]="","N/A",Table1[[#This Row],[Std Error]]+Table1[[#This Row],[DUT Read]]+Table1[[#This Row],[DUT Ucty]])</f>
        <v>N/A</v>
      </c>
      <c r="Y1438" s="1" t="str">
        <f>IF(Table1[[#This Row],[Std Read]]="","N/A",Table1[[#This Row],[Std Read]]+Table1[[#This Row],[Std Ucty]])</f>
        <v>N/A</v>
      </c>
      <c r="Z14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8" s="1" t="str">
        <f>IF(Table1[[#This Row],[Spec Type]]="","N/A",Table1[[#This Row],[Spec Type]])</f>
        <v>±</v>
      </c>
      <c r="AC1438" s="1" t="str">
        <f>IF(Table1[[#This Row],[Spec Type2]]="N/A","N/A",IF(AND(Table1[[#This Row],[DUT Adj Read]]&gt;=Table1[[#This Row],[Low Tol]],Table1[[#This Row],[DUT Adj Read]]&lt;=Table1[[#This Row],[High Tol]]),"Pass","Fail"))</f>
        <v>Fail</v>
      </c>
      <c r="AD1438" s="1" t="str">
        <f>IF(AND(Table1[[#This Row],[Spec Type2]]="N/A",Table1[[#This Row],[DUT Adj Read]]="N/A",Table1[[#This Row],[Std Adj Read]]="N/A"),"N/A",IF(Table1[[#This Row],[DUT Adj Read]]="N/A",IF(Table1[[#This Row],[Std Adj Read]]&gt;Table1[[#This Row],[Low Tol]],"Pass","Fail"),IF(Table1[[#This Row],[DUT Adj Read]]&gt;Table1[[#This Row],[Low Tol]],"Pass","Fail")))</f>
        <v>Pass</v>
      </c>
      <c r="AE1438" s="1" t="str">
        <f>IF(AND(Table1[[#This Row],[Spec Type2]]="N/A",Table1[[#This Row],[DUT Adj Read]]="N/A",Table1[[#This Row],[Std Adj Read]]="N/A"),"N/A",IF(Table1[[#This Row],[DUT Adj Read]]="N/A",IF(Table1[[#This Row],[Std Adj Read]]&lt;Table1[[#This Row],[High Tol]],"Pass","Fail"),IF(Table1[[#This Row],[DUT Adj Read]]&lt;Table1[[#This Row],[High Tol]],"Pass","Fail")))</f>
        <v>Fail</v>
      </c>
      <c r="AF1438" s="1" t="str">
        <f>IF(AND(Table1[[#This Row],[Spec Type2]]="N/A",Table1[[#This Row],[DUT Adj Read]]="N/A",Table1[[#This Row],[Std Adj Read]]="N/A"),"N/A",IF(Table1[[#This Row],[DUT Adj Read]]="N/A",IF(Table1[[#This Row],[Std Adj Read]]&gt;=Table1[[#This Row],[Low Tol]],"Pass","Fail"),IF(Table1[[#This Row],[DUT Adj Read]]&gt;=Table1[[#This Row],[Low Tol]],"Pass","Fail")))</f>
        <v>Pass</v>
      </c>
      <c r="AG1438" s="1" t="str">
        <f>IF(AND(Table1[[#This Row],[Spec Type2]]="N/A",Table1[[#This Row],[DUT Adj Read]]="N/A",Table1[[#This Row],[Std Adj Read]]="N/A"),"N/A",IF(Table1[[#This Row],[DUT Adj Read]]="N/A",IF(Table1[[#This Row],[Std Adj Read]]&lt;=Table1[[#This Row],[High Tol]],"Pass","Fail"),IF(Table1[[#This Row],[DUT Adj Read]]&lt;=Table1[[#This Row],[High Tol]],"Pass","Fail")))</f>
        <v>Fail</v>
      </c>
      <c r="AH14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8" s="1" t="b">
        <v>0</v>
      </c>
      <c r="AN1438" s="1" t="b">
        <v>0</v>
      </c>
      <c r="AO1438" s="1" t="b">
        <v>0</v>
      </c>
    </row>
    <row r="1439" spans="1:41" x14ac:dyDescent="0.25">
      <c r="A1439" s="10"/>
      <c r="B1439" s="10"/>
      <c r="C1439" s="10"/>
      <c r="D1439" s="10"/>
      <c r="E1439" s="10"/>
      <c r="F1439" s="10"/>
      <c r="G1439" s="10"/>
      <c r="H1439" s="10"/>
      <c r="I1439" s="1" t="str">
        <f t="shared" si="66"/>
        <v/>
      </c>
      <c r="J1439" s="1" t="s">
        <v>35</v>
      </c>
      <c r="K1439" s="1" t="str">
        <f t="shared" si="67"/>
        <v/>
      </c>
      <c r="L1439" s="1" t="str">
        <f t="shared" si="68"/>
        <v/>
      </c>
      <c r="M1439" s="1">
        <f>IF(OR(Table1[[#This Row],[Std Nom]]="",Table1[[#This Row],[Std Read]]=""),0,Table1[[#This Row],[Std Nom]]-Table1[[#This Row],[Std Read]])</f>
        <v>0</v>
      </c>
      <c r="N1439" s="1">
        <f>IF(Calculations!$F$5="ACCREDITED 17025 WITH UNCERTAINTIES",$N$10,0)</f>
        <v>0</v>
      </c>
      <c r="Q1439" s="1">
        <f>Table1[[#This Row],[High Tol]]-Table1[[#This Row],[Low Tol]]</f>
        <v>0</v>
      </c>
      <c r="R1439" s="1">
        <f>2*Table1[[#This Row],[Std Error]]</f>
        <v>0</v>
      </c>
      <c r="S1439" s="1" t="str">
        <f>IF(Table1[[#This Row],[High Tol]]="","N/A",IFERROR(ABS(Table1[[#This Row],[Tol Span]]/Table1[[#This Row],[Error Span]]),"N/A"))</f>
        <v>N/A</v>
      </c>
      <c r="T1439" s="1" t="str">
        <f>IF(OR(Table1[[#This Row],[Low Tol]]="",Table1[[#This Row],[High Tol]]=""),"Needs Analysis",IF(Table1[[#This Row],[Ratio]]&gt;=4,"Not Significant",IF(Table1[[#This Row],[Ratio]]&gt;=2,"Semi-Significant","Significant")))</f>
        <v>Needs Analysis</v>
      </c>
      <c r="W1439" s="1">
        <f>IF(Table1[[#This Row],[Cal Type]]&lt;&gt;"ACCREDITED 17025 WITH UNCERTAINTIES",0,"")</f>
        <v>0</v>
      </c>
      <c r="X1439" s="1" t="str">
        <f>IF(Table1[[#This Row],[DUT Read]]="","N/A",Table1[[#This Row],[Std Error]]+Table1[[#This Row],[DUT Read]]+Table1[[#This Row],[DUT Ucty]])</f>
        <v>N/A</v>
      </c>
      <c r="Y1439" s="1" t="str">
        <f>IF(Table1[[#This Row],[Std Read]]="","N/A",Table1[[#This Row],[Std Read]]+Table1[[#This Row],[Std Ucty]])</f>
        <v>N/A</v>
      </c>
      <c r="Z14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39" s="1" t="str">
        <f>IF(Table1[[#This Row],[Spec Type]]="","N/A",Table1[[#This Row],[Spec Type]])</f>
        <v>±</v>
      </c>
      <c r="AC1439" s="1" t="str">
        <f>IF(Table1[[#This Row],[Spec Type2]]="N/A","N/A",IF(AND(Table1[[#This Row],[DUT Adj Read]]&gt;=Table1[[#This Row],[Low Tol]],Table1[[#This Row],[DUT Adj Read]]&lt;=Table1[[#This Row],[High Tol]]),"Pass","Fail"))</f>
        <v>Fail</v>
      </c>
      <c r="AD1439" s="1" t="str">
        <f>IF(AND(Table1[[#This Row],[Spec Type2]]="N/A",Table1[[#This Row],[DUT Adj Read]]="N/A",Table1[[#This Row],[Std Adj Read]]="N/A"),"N/A",IF(Table1[[#This Row],[DUT Adj Read]]="N/A",IF(Table1[[#This Row],[Std Adj Read]]&gt;Table1[[#This Row],[Low Tol]],"Pass","Fail"),IF(Table1[[#This Row],[DUT Adj Read]]&gt;Table1[[#This Row],[Low Tol]],"Pass","Fail")))</f>
        <v>Pass</v>
      </c>
      <c r="AE1439" s="1" t="str">
        <f>IF(AND(Table1[[#This Row],[Spec Type2]]="N/A",Table1[[#This Row],[DUT Adj Read]]="N/A",Table1[[#This Row],[Std Adj Read]]="N/A"),"N/A",IF(Table1[[#This Row],[DUT Adj Read]]="N/A",IF(Table1[[#This Row],[Std Adj Read]]&lt;Table1[[#This Row],[High Tol]],"Pass","Fail"),IF(Table1[[#This Row],[DUT Adj Read]]&lt;Table1[[#This Row],[High Tol]],"Pass","Fail")))</f>
        <v>Fail</v>
      </c>
      <c r="AF1439" s="1" t="str">
        <f>IF(AND(Table1[[#This Row],[Spec Type2]]="N/A",Table1[[#This Row],[DUT Adj Read]]="N/A",Table1[[#This Row],[Std Adj Read]]="N/A"),"N/A",IF(Table1[[#This Row],[DUT Adj Read]]="N/A",IF(Table1[[#This Row],[Std Adj Read]]&gt;=Table1[[#This Row],[Low Tol]],"Pass","Fail"),IF(Table1[[#This Row],[DUT Adj Read]]&gt;=Table1[[#This Row],[Low Tol]],"Pass","Fail")))</f>
        <v>Pass</v>
      </c>
      <c r="AG1439" s="1" t="str">
        <f>IF(AND(Table1[[#This Row],[Spec Type2]]="N/A",Table1[[#This Row],[DUT Adj Read]]="N/A",Table1[[#This Row],[Std Adj Read]]="N/A"),"N/A",IF(Table1[[#This Row],[DUT Adj Read]]="N/A",IF(Table1[[#This Row],[Std Adj Read]]&lt;=Table1[[#This Row],[High Tol]],"Pass","Fail"),IF(Table1[[#This Row],[DUT Adj Read]]&lt;=Table1[[#This Row],[High Tol]],"Pass","Fail")))</f>
        <v>Fail</v>
      </c>
      <c r="AH14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39" s="1" t="b">
        <v>0</v>
      </c>
      <c r="AN1439" s="1" t="b">
        <v>0</v>
      </c>
      <c r="AO1439" s="1" t="b">
        <v>0</v>
      </c>
    </row>
    <row r="1440" spans="1:41" x14ac:dyDescent="0.25">
      <c r="A1440" s="10"/>
      <c r="B1440" s="10"/>
      <c r="C1440" s="10"/>
      <c r="D1440" s="10"/>
      <c r="E1440" s="10"/>
      <c r="F1440" s="10"/>
      <c r="G1440" s="10"/>
      <c r="H1440" s="10"/>
      <c r="I1440" s="1" t="str">
        <f t="shared" si="66"/>
        <v/>
      </c>
      <c r="J1440" s="1" t="s">
        <v>35</v>
      </c>
      <c r="K1440" s="1" t="str">
        <f t="shared" si="67"/>
        <v/>
      </c>
      <c r="L1440" s="1" t="str">
        <f t="shared" si="68"/>
        <v/>
      </c>
      <c r="M1440" s="1">
        <f>IF(OR(Table1[[#This Row],[Std Nom]]="",Table1[[#This Row],[Std Read]]=""),0,Table1[[#This Row],[Std Nom]]-Table1[[#This Row],[Std Read]])</f>
        <v>0</v>
      </c>
      <c r="N1440" s="1">
        <f>IF(Calculations!$F$5="ACCREDITED 17025 WITH UNCERTAINTIES",$N$10,0)</f>
        <v>0</v>
      </c>
      <c r="Q1440" s="1">
        <f>Table1[[#This Row],[High Tol]]-Table1[[#This Row],[Low Tol]]</f>
        <v>0</v>
      </c>
      <c r="R1440" s="1">
        <f>2*Table1[[#This Row],[Std Error]]</f>
        <v>0</v>
      </c>
      <c r="S1440" s="1" t="str">
        <f>IF(Table1[[#This Row],[High Tol]]="","N/A",IFERROR(ABS(Table1[[#This Row],[Tol Span]]/Table1[[#This Row],[Error Span]]),"N/A"))</f>
        <v>N/A</v>
      </c>
      <c r="T1440" s="1" t="str">
        <f>IF(OR(Table1[[#This Row],[Low Tol]]="",Table1[[#This Row],[High Tol]]=""),"Needs Analysis",IF(Table1[[#This Row],[Ratio]]&gt;=4,"Not Significant",IF(Table1[[#This Row],[Ratio]]&gt;=2,"Semi-Significant","Significant")))</f>
        <v>Needs Analysis</v>
      </c>
      <c r="W1440" s="1">
        <f>IF(Table1[[#This Row],[Cal Type]]&lt;&gt;"ACCREDITED 17025 WITH UNCERTAINTIES",0,"")</f>
        <v>0</v>
      </c>
      <c r="X1440" s="1" t="str">
        <f>IF(Table1[[#This Row],[DUT Read]]="","N/A",Table1[[#This Row],[Std Error]]+Table1[[#This Row],[DUT Read]]+Table1[[#This Row],[DUT Ucty]])</f>
        <v>N/A</v>
      </c>
      <c r="Y1440" s="1" t="str">
        <f>IF(Table1[[#This Row],[Std Read]]="","N/A",Table1[[#This Row],[Std Read]]+Table1[[#This Row],[Std Ucty]])</f>
        <v>N/A</v>
      </c>
      <c r="Z14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0" s="1" t="str">
        <f>IF(Table1[[#This Row],[Spec Type]]="","N/A",Table1[[#This Row],[Spec Type]])</f>
        <v>±</v>
      </c>
      <c r="AC1440" s="1" t="str">
        <f>IF(Table1[[#This Row],[Spec Type2]]="N/A","N/A",IF(AND(Table1[[#This Row],[DUT Adj Read]]&gt;=Table1[[#This Row],[Low Tol]],Table1[[#This Row],[DUT Adj Read]]&lt;=Table1[[#This Row],[High Tol]]),"Pass","Fail"))</f>
        <v>Fail</v>
      </c>
      <c r="AD1440" s="1" t="str">
        <f>IF(AND(Table1[[#This Row],[Spec Type2]]="N/A",Table1[[#This Row],[DUT Adj Read]]="N/A",Table1[[#This Row],[Std Adj Read]]="N/A"),"N/A",IF(Table1[[#This Row],[DUT Adj Read]]="N/A",IF(Table1[[#This Row],[Std Adj Read]]&gt;Table1[[#This Row],[Low Tol]],"Pass","Fail"),IF(Table1[[#This Row],[DUT Adj Read]]&gt;Table1[[#This Row],[Low Tol]],"Pass","Fail")))</f>
        <v>Pass</v>
      </c>
      <c r="AE1440" s="1" t="str">
        <f>IF(AND(Table1[[#This Row],[Spec Type2]]="N/A",Table1[[#This Row],[DUT Adj Read]]="N/A",Table1[[#This Row],[Std Adj Read]]="N/A"),"N/A",IF(Table1[[#This Row],[DUT Adj Read]]="N/A",IF(Table1[[#This Row],[Std Adj Read]]&lt;Table1[[#This Row],[High Tol]],"Pass","Fail"),IF(Table1[[#This Row],[DUT Adj Read]]&lt;Table1[[#This Row],[High Tol]],"Pass","Fail")))</f>
        <v>Fail</v>
      </c>
      <c r="AF1440" s="1" t="str">
        <f>IF(AND(Table1[[#This Row],[Spec Type2]]="N/A",Table1[[#This Row],[DUT Adj Read]]="N/A",Table1[[#This Row],[Std Adj Read]]="N/A"),"N/A",IF(Table1[[#This Row],[DUT Adj Read]]="N/A",IF(Table1[[#This Row],[Std Adj Read]]&gt;=Table1[[#This Row],[Low Tol]],"Pass","Fail"),IF(Table1[[#This Row],[DUT Adj Read]]&gt;=Table1[[#This Row],[Low Tol]],"Pass","Fail")))</f>
        <v>Pass</v>
      </c>
      <c r="AG1440" s="1" t="str">
        <f>IF(AND(Table1[[#This Row],[Spec Type2]]="N/A",Table1[[#This Row],[DUT Adj Read]]="N/A",Table1[[#This Row],[Std Adj Read]]="N/A"),"N/A",IF(Table1[[#This Row],[DUT Adj Read]]="N/A",IF(Table1[[#This Row],[Std Adj Read]]&lt;=Table1[[#This Row],[High Tol]],"Pass","Fail"),IF(Table1[[#This Row],[DUT Adj Read]]&lt;=Table1[[#This Row],[High Tol]],"Pass","Fail")))</f>
        <v>Fail</v>
      </c>
      <c r="AH14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0" s="1" t="b">
        <v>0</v>
      </c>
      <c r="AN1440" s="1" t="b">
        <v>0</v>
      </c>
      <c r="AO1440" s="1" t="b">
        <v>0</v>
      </c>
    </row>
    <row r="1441" spans="1:41" x14ac:dyDescent="0.25">
      <c r="A1441" s="10"/>
      <c r="B1441" s="10"/>
      <c r="C1441" s="10"/>
      <c r="D1441" s="10"/>
      <c r="E1441" s="10"/>
      <c r="F1441" s="10"/>
      <c r="G1441" s="10"/>
      <c r="H1441" s="10"/>
      <c r="I1441" s="1" t="str">
        <f t="shared" si="66"/>
        <v/>
      </c>
      <c r="J1441" s="1" t="s">
        <v>35</v>
      </c>
      <c r="K1441" s="1" t="str">
        <f t="shared" si="67"/>
        <v/>
      </c>
      <c r="L1441" s="1" t="str">
        <f t="shared" si="68"/>
        <v/>
      </c>
      <c r="M1441" s="1">
        <f>IF(OR(Table1[[#This Row],[Std Nom]]="",Table1[[#This Row],[Std Read]]=""),0,Table1[[#This Row],[Std Nom]]-Table1[[#This Row],[Std Read]])</f>
        <v>0</v>
      </c>
      <c r="N1441" s="1">
        <f>IF(Calculations!$F$5="ACCREDITED 17025 WITH UNCERTAINTIES",$N$10,0)</f>
        <v>0</v>
      </c>
      <c r="Q1441" s="1">
        <f>Table1[[#This Row],[High Tol]]-Table1[[#This Row],[Low Tol]]</f>
        <v>0</v>
      </c>
      <c r="R1441" s="1">
        <f>2*Table1[[#This Row],[Std Error]]</f>
        <v>0</v>
      </c>
      <c r="S1441" s="1" t="str">
        <f>IF(Table1[[#This Row],[High Tol]]="","N/A",IFERROR(ABS(Table1[[#This Row],[Tol Span]]/Table1[[#This Row],[Error Span]]),"N/A"))</f>
        <v>N/A</v>
      </c>
      <c r="T1441" s="1" t="str">
        <f>IF(OR(Table1[[#This Row],[Low Tol]]="",Table1[[#This Row],[High Tol]]=""),"Needs Analysis",IF(Table1[[#This Row],[Ratio]]&gt;=4,"Not Significant",IF(Table1[[#This Row],[Ratio]]&gt;=2,"Semi-Significant","Significant")))</f>
        <v>Needs Analysis</v>
      </c>
      <c r="W1441" s="1">
        <f>IF(Table1[[#This Row],[Cal Type]]&lt;&gt;"ACCREDITED 17025 WITH UNCERTAINTIES",0,"")</f>
        <v>0</v>
      </c>
      <c r="X1441" s="1" t="str">
        <f>IF(Table1[[#This Row],[DUT Read]]="","N/A",Table1[[#This Row],[Std Error]]+Table1[[#This Row],[DUT Read]]+Table1[[#This Row],[DUT Ucty]])</f>
        <v>N/A</v>
      </c>
      <c r="Y1441" s="1" t="str">
        <f>IF(Table1[[#This Row],[Std Read]]="","N/A",Table1[[#This Row],[Std Read]]+Table1[[#This Row],[Std Ucty]])</f>
        <v>N/A</v>
      </c>
      <c r="Z14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1" s="1" t="str">
        <f>IF(Table1[[#This Row],[Spec Type]]="","N/A",Table1[[#This Row],[Spec Type]])</f>
        <v>±</v>
      </c>
      <c r="AC1441" s="1" t="str">
        <f>IF(Table1[[#This Row],[Spec Type2]]="N/A","N/A",IF(AND(Table1[[#This Row],[DUT Adj Read]]&gt;=Table1[[#This Row],[Low Tol]],Table1[[#This Row],[DUT Adj Read]]&lt;=Table1[[#This Row],[High Tol]]),"Pass","Fail"))</f>
        <v>Fail</v>
      </c>
      <c r="AD1441" s="1" t="str">
        <f>IF(AND(Table1[[#This Row],[Spec Type2]]="N/A",Table1[[#This Row],[DUT Adj Read]]="N/A",Table1[[#This Row],[Std Adj Read]]="N/A"),"N/A",IF(Table1[[#This Row],[DUT Adj Read]]="N/A",IF(Table1[[#This Row],[Std Adj Read]]&gt;Table1[[#This Row],[Low Tol]],"Pass","Fail"),IF(Table1[[#This Row],[DUT Adj Read]]&gt;Table1[[#This Row],[Low Tol]],"Pass","Fail")))</f>
        <v>Pass</v>
      </c>
      <c r="AE1441" s="1" t="str">
        <f>IF(AND(Table1[[#This Row],[Spec Type2]]="N/A",Table1[[#This Row],[DUT Adj Read]]="N/A",Table1[[#This Row],[Std Adj Read]]="N/A"),"N/A",IF(Table1[[#This Row],[DUT Adj Read]]="N/A",IF(Table1[[#This Row],[Std Adj Read]]&lt;Table1[[#This Row],[High Tol]],"Pass","Fail"),IF(Table1[[#This Row],[DUT Adj Read]]&lt;Table1[[#This Row],[High Tol]],"Pass","Fail")))</f>
        <v>Fail</v>
      </c>
      <c r="AF1441" s="1" t="str">
        <f>IF(AND(Table1[[#This Row],[Spec Type2]]="N/A",Table1[[#This Row],[DUT Adj Read]]="N/A",Table1[[#This Row],[Std Adj Read]]="N/A"),"N/A",IF(Table1[[#This Row],[DUT Adj Read]]="N/A",IF(Table1[[#This Row],[Std Adj Read]]&gt;=Table1[[#This Row],[Low Tol]],"Pass","Fail"),IF(Table1[[#This Row],[DUT Adj Read]]&gt;=Table1[[#This Row],[Low Tol]],"Pass","Fail")))</f>
        <v>Pass</v>
      </c>
      <c r="AG1441" s="1" t="str">
        <f>IF(AND(Table1[[#This Row],[Spec Type2]]="N/A",Table1[[#This Row],[DUT Adj Read]]="N/A",Table1[[#This Row],[Std Adj Read]]="N/A"),"N/A",IF(Table1[[#This Row],[DUT Adj Read]]="N/A",IF(Table1[[#This Row],[Std Adj Read]]&lt;=Table1[[#This Row],[High Tol]],"Pass","Fail"),IF(Table1[[#This Row],[DUT Adj Read]]&lt;=Table1[[#This Row],[High Tol]],"Pass","Fail")))</f>
        <v>Fail</v>
      </c>
      <c r="AH14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1" s="1" t="b">
        <v>0</v>
      </c>
      <c r="AN1441" s="1" t="b">
        <v>0</v>
      </c>
      <c r="AO1441" s="1" t="b">
        <v>0</v>
      </c>
    </row>
    <row r="1442" spans="1:41" x14ac:dyDescent="0.25">
      <c r="A1442" s="10"/>
      <c r="B1442" s="10"/>
      <c r="C1442" s="10"/>
      <c r="D1442" s="10"/>
      <c r="E1442" s="10"/>
      <c r="F1442" s="10"/>
      <c r="G1442" s="10"/>
      <c r="H1442" s="10"/>
      <c r="I1442" s="1" t="str">
        <f t="shared" si="66"/>
        <v/>
      </c>
      <c r="J1442" s="1" t="s">
        <v>35</v>
      </c>
      <c r="K1442" s="1" t="str">
        <f t="shared" si="67"/>
        <v/>
      </c>
      <c r="L1442" s="1" t="str">
        <f t="shared" si="68"/>
        <v/>
      </c>
      <c r="M1442" s="1">
        <f>IF(OR(Table1[[#This Row],[Std Nom]]="",Table1[[#This Row],[Std Read]]=""),0,Table1[[#This Row],[Std Nom]]-Table1[[#This Row],[Std Read]])</f>
        <v>0</v>
      </c>
      <c r="N1442" s="1">
        <f>IF(Calculations!$F$5="ACCREDITED 17025 WITH UNCERTAINTIES",$N$10,0)</f>
        <v>0</v>
      </c>
      <c r="Q1442" s="1">
        <f>Table1[[#This Row],[High Tol]]-Table1[[#This Row],[Low Tol]]</f>
        <v>0</v>
      </c>
      <c r="R1442" s="1">
        <f>2*Table1[[#This Row],[Std Error]]</f>
        <v>0</v>
      </c>
      <c r="S1442" s="1" t="str">
        <f>IF(Table1[[#This Row],[High Tol]]="","N/A",IFERROR(ABS(Table1[[#This Row],[Tol Span]]/Table1[[#This Row],[Error Span]]),"N/A"))</f>
        <v>N/A</v>
      </c>
      <c r="T1442" s="1" t="str">
        <f>IF(OR(Table1[[#This Row],[Low Tol]]="",Table1[[#This Row],[High Tol]]=""),"Needs Analysis",IF(Table1[[#This Row],[Ratio]]&gt;=4,"Not Significant",IF(Table1[[#This Row],[Ratio]]&gt;=2,"Semi-Significant","Significant")))</f>
        <v>Needs Analysis</v>
      </c>
      <c r="W1442" s="1">
        <f>IF(Table1[[#This Row],[Cal Type]]&lt;&gt;"ACCREDITED 17025 WITH UNCERTAINTIES",0,"")</f>
        <v>0</v>
      </c>
      <c r="X1442" s="1" t="str">
        <f>IF(Table1[[#This Row],[DUT Read]]="","N/A",Table1[[#This Row],[Std Error]]+Table1[[#This Row],[DUT Read]]+Table1[[#This Row],[DUT Ucty]])</f>
        <v>N/A</v>
      </c>
      <c r="Y1442" s="1" t="str">
        <f>IF(Table1[[#This Row],[Std Read]]="","N/A",Table1[[#This Row],[Std Read]]+Table1[[#This Row],[Std Ucty]])</f>
        <v>N/A</v>
      </c>
      <c r="Z14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2" s="1" t="str">
        <f>IF(Table1[[#This Row],[Spec Type]]="","N/A",Table1[[#This Row],[Spec Type]])</f>
        <v>±</v>
      </c>
      <c r="AC1442" s="1" t="str">
        <f>IF(Table1[[#This Row],[Spec Type2]]="N/A","N/A",IF(AND(Table1[[#This Row],[DUT Adj Read]]&gt;=Table1[[#This Row],[Low Tol]],Table1[[#This Row],[DUT Adj Read]]&lt;=Table1[[#This Row],[High Tol]]),"Pass","Fail"))</f>
        <v>Fail</v>
      </c>
      <c r="AD1442" s="1" t="str">
        <f>IF(AND(Table1[[#This Row],[Spec Type2]]="N/A",Table1[[#This Row],[DUT Adj Read]]="N/A",Table1[[#This Row],[Std Adj Read]]="N/A"),"N/A",IF(Table1[[#This Row],[DUT Adj Read]]="N/A",IF(Table1[[#This Row],[Std Adj Read]]&gt;Table1[[#This Row],[Low Tol]],"Pass","Fail"),IF(Table1[[#This Row],[DUT Adj Read]]&gt;Table1[[#This Row],[Low Tol]],"Pass","Fail")))</f>
        <v>Pass</v>
      </c>
      <c r="AE1442" s="1" t="str">
        <f>IF(AND(Table1[[#This Row],[Spec Type2]]="N/A",Table1[[#This Row],[DUT Adj Read]]="N/A",Table1[[#This Row],[Std Adj Read]]="N/A"),"N/A",IF(Table1[[#This Row],[DUT Adj Read]]="N/A",IF(Table1[[#This Row],[Std Adj Read]]&lt;Table1[[#This Row],[High Tol]],"Pass","Fail"),IF(Table1[[#This Row],[DUT Adj Read]]&lt;Table1[[#This Row],[High Tol]],"Pass","Fail")))</f>
        <v>Fail</v>
      </c>
      <c r="AF1442" s="1" t="str">
        <f>IF(AND(Table1[[#This Row],[Spec Type2]]="N/A",Table1[[#This Row],[DUT Adj Read]]="N/A",Table1[[#This Row],[Std Adj Read]]="N/A"),"N/A",IF(Table1[[#This Row],[DUT Adj Read]]="N/A",IF(Table1[[#This Row],[Std Adj Read]]&gt;=Table1[[#This Row],[Low Tol]],"Pass","Fail"),IF(Table1[[#This Row],[DUT Adj Read]]&gt;=Table1[[#This Row],[Low Tol]],"Pass","Fail")))</f>
        <v>Pass</v>
      </c>
      <c r="AG1442" s="1" t="str">
        <f>IF(AND(Table1[[#This Row],[Spec Type2]]="N/A",Table1[[#This Row],[DUT Adj Read]]="N/A",Table1[[#This Row],[Std Adj Read]]="N/A"),"N/A",IF(Table1[[#This Row],[DUT Adj Read]]="N/A",IF(Table1[[#This Row],[Std Adj Read]]&lt;=Table1[[#This Row],[High Tol]],"Pass","Fail"),IF(Table1[[#This Row],[DUT Adj Read]]&lt;=Table1[[#This Row],[High Tol]],"Pass","Fail")))</f>
        <v>Fail</v>
      </c>
      <c r="AH14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2" s="1" t="b">
        <v>0</v>
      </c>
      <c r="AN1442" s="1" t="b">
        <v>0</v>
      </c>
      <c r="AO1442" s="1" t="b">
        <v>0</v>
      </c>
    </row>
    <row r="1443" spans="1:41" x14ac:dyDescent="0.25">
      <c r="A1443" s="10"/>
      <c r="B1443" s="10"/>
      <c r="C1443" s="10"/>
      <c r="D1443" s="10"/>
      <c r="E1443" s="10"/>
      <c r="F1443" s="10"/>
      <c r="G1443" s="10"/>
      <c r="H1443" s="10"/>
      <c r="I1443" s="1" t="str">
        <f t="shared" si="66"/>
        <v/>
      </c>
      <c r="J1443" s="1" t="s">
        <v>35</v>
      </c>
      <c r="K1443" s="1" t="str">
        <f t="shared" si="67"/>
        <v/>
      </c>
      <c r="L1443" s="1" t="str">
        <f t="shared" si="68"/>
        <v/>
      </c>
      <c r="M1443" s="1">
        <f>IF(OR(Table1[[#This Row],[Std Nom]]="",Table1[[#This Row],[Std Read]]=""),0,Table1[[#This Row],[Std Nom]]-Table1[[#This Row],[Std Read]])</f>
        <v>0</v>
      </c>
      <c r="N1443" s="1">
        <f>IF(Calculations!$F$5="ACCREDITED 17025 WITH UNCERTAINTIES",$N$10,0)</f>
        <v>0</v>
      </c>
      <c r="Q1443" s="1">
        <f>Table1[[#This Row],[High Tol]]-Table1[[#This Row],[Low Tol]]</f>
        <v>0</v>
      </c>
      <c r="R1443" s="1">
        <f>2*Table1[[#This Row],[Std Error]]</f>
        <v>0</v>
      </c>
      <c r="S1443" s="1" t="str">
        <f>IF(Table1[[#This Row],[High Tol]]="","N/A",IFERROR(ABS(Table1[[#This Row],[Tol Span]]/Table1[[#This Row],[Error Span]]),"N/A"))</f>
        <v>N/A</v>
      </c>
      <c r="T1443" s="1" t="str">
        <f>IF(OR(Table1[[#This Row],[Low Tol]]="",Table1[[#This Row],[High Tol]]=""),"Needs Analysis",IF(Table1[[#This Row],[Ratio]]&gt;=4,"Not Significant",IF(Table1[[#This Row],[Ratio]]&gt;=2,"Semi-Significant","Significant")))</f>
        <v>Needs Analysis</v>
      </c>
      <c r="W1443" s="1">
        <f>IF(Table1[[#This Row],[Cal Type]]&lt;&gt;"ACCREDITED 17025 WITH UNCERTAINTIES",0,"")</f>
        <v>0</v>
      </c>
      <c r="X1443" s="1" t="str">
        <f>IF(Table1[[#This Row],[DUT Read]]="","N/A",Table1[[#This Row],[Std Error]]+Table1[[#This Row],[DUT Read]]+Table1[[#This Row],[DUT Ucty]])</f>
        <v>N/A</v>
      </c>
      <c r="Y1443" s="1" t="str">
        <f>IF(Table1[[#This Row],[Std Read]]="","N/A",Table1[[#This Row],[Std Read]]+Table1[[#This Row],[Std Ucty]])</f>
        <v>N/A</v>
      </c>
      <c r="Z14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3" s="1" t="str">
        <f>IF(Table1[[#This Row],[Spec Type]]="","N/A",Table1[[#This Row],[Spec Type]])</f>
        <v>±</v>
      </c>
      <c r="AC1443" s="1" t="str">
        <f>IF(Table1[[#This Row],[Spec Type2]]="N/A","N/A",IF(AND(Table1[[#This Row],[DUT Adj Read]]&gt;=Table1[[#This Row],[Low Tol]],Table1[[#This Row],[DUT Adj Read]]&lt;=Table1[[#This Row],[High Tol]]),"Pass","Fail"))</f>
        <v>Fail</v>
      </c>
      <c r="AD1443" s="1" t="str">
        <f>IF(AND(Table1[[#This Row],[Spec Type2]]="N/A",Table1[[#This Row],[DUT Adj Read]]="N/A",Table1[[#This Row],[Std Adj Read]]="N/A"),"N/A",IF(Table1[[#This Row],[DUT Adj Read]]="N/A",IF(Table1[[#This Row],[Std Adj Read]]&gt;Table1[[#This Row],[Low Tol]],"Pass","Fail"),IF(Table1[[#This Row],[DUT Adj Read]]&gt;Table1[[#This Row],[Low Tol]],"Pass","Fail")))</f>
        <v>Pass</v>
      </c>
      <c r="AE1443" s="1" t="str">
        <f>IF(AND(Table1[[#This Row],[Spec Type2]]="N/A",Table1[[#This Row],[DUT Adj Read]]="N/A",Table1[[#This Row],[Std Adj Read]]="N/A"),"N/A",IF(Table1[[#This Row],[DUT Adj Read]]="N/A",IF(Table1[[#This Row],[Std Adj Read]]&lt;Table1[[#This Row],[High Tol]],"Pass","Fail"),IF(Table1[[#This Row],[DUT Adj Read]]&lt;Table1[[#This Row],[High Tol]],"Pass","Fail")))</f>
        <v>Fail</v>
      </c>
      <c r="AF1443" s="1" t="str">
        <f>IF(AND(Table1[[#This Row],[Spec Type2]]="N/A",Table1[[#This Row],[DUT Adj Read]]="N/A",Table1[[#This Row],[Std Adj Read]]="N/A"),"N/A",IF(Table1[[#This Row],[DUT Adj Read]]="N/A",IF(Table1[[#This Row],[Std Adj Read]]&gt;=Table1[[#This Row],[Low Tol]],"Pass","Fail"),IF(Table1[[#This Row],[DUT Adj Read]]&gt;=Table1[[#This Row],[Low Tol]],"Pass","Fail")))</f>
        <v>Pass</v>
      </c>
      <c r="AG1443" s="1" t="str">
        <f>IF(AND(Table1[[#This Row],[Spec Type2]]="N/A",Table1[[#This Row],[DUT Adj Read]]="N/A",Table1[[#This Row],[Std Adj Read]]="N/A"),"N/A",IF(Table1[[#This Row],[DUT Adj Read]]="N/A",IF(Table1[[#This Row],[Std Adj Read]]&lt;=Table1[[#This Row],[High Tol]],"Pass","Fail"),IF(Table1[[#This Row],[DUT Adj Read]]&lt;=Table1[[#This Row],[High Tol]],"Pass","Fail")))</f>
        <v>Fail</v>
      </c>
      <c r="AH14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3" s="1" t="b">
        <v>0</v>
      </c>
      <c r="AN1443" s="1" t="b">
        <v>0</v>
      </c>
      <c r="AO1443" s="1" t="b">
        <v>0</v>
      </c>
    </row>
    <row r="1444" spans="1:41" x14ac:dyDescent="0.25">
      <c r="A1444" s="10"/>
      <c r="B1444" s="10"/>
      <c r="C1444" s="10"/>
      <c r="D1444" s="10"/>
      <c r="E1444" s="10"/>
      <c r="F1444" s="10"/>
      <c r="G1444" s="10"/>
      <c r="H1444" s="10"/>
      <c r="I1444" s="1" t="str">
        <f t="shared" si="66"/>
        <v/>
      </c>
      <c r="J1444" s="1" t="s">
        <v>35</v>
      </c>
      <c r="K1444" s="1" t="str">
        <f t="shared" si="67"/>
        <v/>
      </c>
      <c r="L1444" s="1" t="str">
        <f t="shared" si="68"/>
        <v/>
      </c>
      <c r="M1444" s="1">
        <f>IF(OR(Table1[[#This Row],[Std Nom]]="",Table1[[#This Row],[Std Read]]=""),0,Table1[[#This Row],[Std Nom]]-Table1[[#This Row],[Std Read]])</f>
        <v>0</v>
      </c>
      <c r="N1444" s="1">
        <f>IF(Calculations!$F$5="ACCREDITED 17025 WITH UNCERTAINTIES",$N$10,0)</f>
        <v>0</v>
      </c>
      <c r="Q1444" s="1">
        <f>Table1[[#This Row],[High Tol]]-Table1[[#This Row],[Low Tol]]</f>
        <v>0</v>
      </c>
      <c r="R1444" s="1">
        <f>2*Table1[[#This Row],[Std Error]]</f>
        <v>0</v>
      </c>
      <c r="S1444" s="1" t="str">
        <f>IF(Table1[[#This Row],[High Tol]]="","N/A",IFERROR(ABS(Table1[[#This Row],[Tol Span]]/Table1[[#This Row],[Error Span]]),"N/A"))</f>
        <v>N/A</v>
      </c>
      <c r="T1444" s="1" t="str">
        <f>IF(OR(Table1[[#This Row],[Low Tol]]="",Table1[[#This Row],[High Tol]]=""),"Needs Analysis",IF(Table1[[#This Row],[Ratio]]&gt;=4,"Not Significant",IF(Table1[[#This Row],[Ratio]]&gt;=2,"Semi-Significant","Significant")))</f>
        <v>Needs Analysis</v>
      </c>
      <c r="W1444" s="1">
        <f>IF(Table1[[#This Row],[Cal Type]]&lt;&gt;"ACCREDITED 17025 WITH UNCERTAINTIES",0,"")</f>
        <v>0</v>
      </c>
      <c r="X1444" s="1" t="str">
        <f>IF(Table1[[#This Row],[DUT Read]]="","N/A",Table1[[#This Row],[Std Error]]+Table1[[#This Row],[DUT Read]]+Table1[[#This Row],[DUT Ucty]])</f>
        <v>N/A</v>
      </c>
      <c r="Y1444" s="1" t="str">
        <f>IF(Table1[[#This Row],[Std Read]]="","N/A",Table1[[#This Row],[Std Read]]+Table1[[#This Row],[Std Ucty]])</f>
        <v>N/A</v>
      </c>
      <c r="Z14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4" s="1" t="str">
        <f>IF(Table1[[#This Row],[Spec Type]]="","N/A",Table1[[#This Row],[Spec Type]])</f>
        <v>±</v>
      </c>
      <c r="AC1444" s="1" t="str">
        <f>IF(Table1[[#This Row],[Spec Type2]]="N/A","N/A",IF(AND(Table1[[#This Row],[DUT Adj Read]]&gt;=Table1[[#This Row],[Low Tol]],Table1[[#This Row],[DUT Adj Read]]&lt;=Table1[[#This Row],[High Tol]]),"Pass","Fail"))</f>
        <v>Fail</v>
      </c>
      <c r="AD1444" s="1" t="str">
        <f>IF(AND(Table1[[#This Row],[Spec Type2]]="N/A",Table1[[#This Row],[DUT Adj Read]]="N/A",Table1[[#This Row],[Std Adj Read]]="N/A"),"N/A",IF(Table1[[#This Row],[DUT Adj Read]]="N/A",IF(Table1[[#This Row],[Std Adj Read]]&gt;Table1[[#This Row],[Low Tol]],"Pass","Fail"),IF(Table1[[#This Row],[DUT Adj Read]]&gt;Table1[[#This Row],[Low Tol]],"Pass","Fail")))</f>
        <v>Pass</v>
      </c>
      <c r="AE1444" s="1" t="str">
        <f>IF(AND(Table1[[#This Row],[Spec Type2]]="N/A",Table1[[#This Row],[DUT Adj Read]]="N/A",Table1[[#This Row],[Std Adj Read]]="N/A"),"N/A",IF(Table1[[#This Row],[DUT Adj Read]]="N/A",IF(Table1[[#This Row],[Std Adj Read]]&lt;Table1[[#This Row],[High Tol]],"Pass","Fail"),IF(Table1[[#This Row],[DUT Adj Read]]&lt;Table1[[#This Row],[High Tol]],"Pass","Fail")))</f>
        <v>Fail</v>
      </c>
      <c r="AF1444" s="1" t="str">
        <f>IF(AND(Table1[[#This Row],[Spec Type2]]="N/A",Table1[[#This Row],[DUT Adj Read]]="N/A",Table1[[#This Row],[Std Adj Read]]="N/A"),"N/A",IF(Table1[[#This Row],[DUT Adj Read]]="N/A",IF(Table1[[#This Row],[Std Adj Read]]&gt;=Table1[[#This Row],[Low Tol]],"Pass","Fail"),IF(Table1[[#This Row],[DUT Adj Read]]&gt;=Table1[[#This Row],[Low Tol]],"Pass","Fail")))</f>
        <v>Pass</v>
      </c>
      <c r="AG1444" s="1" t="str">
        <f>IF(AND(Table1[[#This Row],[Spec Type2]]="N/A",Table1[[#This Row],[DUT Adj Read]]="N/A",Table1[[#This Row],[Std Adj Read]]="N/A"),"N/A",IF(Table1[[#This Row],[DUT Adj Read]]="N/A",IF(Table1[[#This Row],[Std Adj Read]]&lt;=Table1[[#This Row],[High Tol]],"Pass","Fail"),IF(Table1[[#This Row],[DUT Adj Read]]&lt;=Table1[[#This Row],[High Tol]],"Pass","Fail")))</f>
        <v>Fail</v>
      </c>
      <c r="AH14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4" s="1" t="b">
        <v>0</v>
      </c>
      <c r="AN1444" s="1" t="b">
        <v>0</v>
      </c>
      <c r="AO1444" s="1" t="b">
        <v>0</v>
      </c>
    </row>
    <row r="1445" spans="1:41" x14ac:dyDescent="0.25">
      <c r="A1445" s="10"/>
      <c r="B1445" s="10"/>
      <c r="C1445" s="10"/>
      <c r="D1445" s="10"/>
      <c r="E1445" s="10"/>
      <c r="F1445" s="10"/>
      <c r="G1445" s="10"/>
      <c r="H1445" s="10"/>
      <c r="I1445" s="1" t="str">
        <f t="shared" si="66"/>
        <v/>
      </c>
      <c r="J1445" s="1" t="s">
        <v>35</v>
      </c>
      <c r="K1445" s="1" t="str">
        <f t="shared" si="67"/>
        <v/>
      </c>
      <c r="L1445" s="1" t="str">
        <f t="shared" si="68"/>
        <v/>
      </c>
      <c r="M1445" s="1">
        <f>IF(OR(Table1[[#This Row],[Std Nom]]="",Table1[[#This Row],[Std Read]]=""),0,Table1[[#This Row],[Std Nom]]-Table1[[#This Row],[Std Read]])</f>
        <v>0</v>
      </c>
      <c r="N1445" s="1">
        <f>IF(Calculations!$F$5="ACCREDITED 17025 WITH UNCERTAINTIES",$N$10,0)</f>
        <v>0</v>
      </c>
      <c r="Q1445" s="1">
        <f>Table1[[#This Row],[High Tol]]-Table1[[#This Row],[Low Tol]]</f>
        <v>0</v>
      </c>
      <c r="R1445" s="1">
        <f>2*Table1[[#This Row],[Std Error]]</f>
        <v>0</v>
      </c>
      <c r="S1445" s="1" t="str">
        <f>IF(Table1[[#This Row],[High Tol]]="","N/A",IFERROR(ABS(Table1[[#This Row],[Tol Span]]/Table1[[#This Row],[Error Span]]),"N/A"))</f>
        <v>N/A</v>
      </c>
      <c r="T1445" s="1" t="str">
        <f>IF(OR(Table1[[#This Row],[Low Tol]]="",Table1[[#This Row],[High Tol]]=""),"Needs Analysis",IF(Table1[[#This Row],[Ratio]]&gt;=4,"Not Significant",IF(Table1[[#This Row],[Ratio]]&gt;=2,"Semi-Significant","Significant")))</f>
        <v>Needs Analysis</v>
      </c>
      <c r="W1445" s="1">
        <f>IF(Table1[[#This Row],[Cal Type]]&lt;&gt;"ACCREDITED 17025 WITH UNCERTAINTIES",0,"")</f>
        <v>0</v>
      </c>
      <c r="X1445" s="1" t="str">
        <f>IF(Table1[[#This Row],[DUT Read]]="","N/A",Table1[[#This Row],[Std Error]]+Table1[[#This Row],[DUT Read]]+Table1[[#This Row],[DUT Ucty]])</f>
        <v>N/A</v>
      </c>
      <c r="Y1445" s="1" t="str">
        <f>IF(Table1[[#This Row],[Std Read]]="","N/A",Table1[[#This Row],[Std Read]]+Table1[[#This Row],[Std Ucty]])</f>
        <v>N/A</v>
      </c>
      <c r="Z14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5" s="1" t="str">
        <f>IF(Table1[[#This Row],[Spec Type]]="","N/A",Table1[[#This Row],[Spec Type]])</f>
        <v>±</v>
      </c>
      <c r="AC1445" s="1" t="str">
        <f>IF(Table1[[#This Row],[Spec Type2]]="N/A","N/A",IF(AND(Table1[[#This Row],[DUT Adj Read]]&gt;=Table1[[#This Row],[Low Tol]],Table1[[#This Row],[DUT Adj Read]]&lt;=Table1[[#This Row],[High Tol]]),"Pass","Fail"))</f>
        <v>Fail</v>
      </c>
      <c r="AD1445" s="1" t="str">
        <f>IF(AND(Table1[[#This Row],[Spec Type2]]="N/A",Table1[[#This Row],[DUT Adj Read]]="N/A",Table1[[#This Row],[Std Adj Read]]="N/A"),"N/A",IF(Table1[[#This Row],[DUT Adj Read]]="N/A",IF(Table1[[#This Row],[Std Adj Read]]&gt;Table1[[#This Row],[Low Tol]],"Pass","Fail"),IF(Table1[[#This Row],[DUT Adj Read]]&gt;Table1[[#This Row],[Low Tol]],"Pass","Fail")))</f>
        <v>Pass</v>
      </c>
      <c r="AE1445" s="1" t="str">
        <f>IF(AND(Table1[[#This Row],[Spec Type2]]="N/A",Table1[[#This Row],[DUT Adj Read]]="N/A",Table1[[#This Row],[Std Adj Read]]="N/A"),"N/A",IF(Table1[[#This Row],[DUT Adj Read]]="N/A",IF(Table1[[#This Row],[Std Adj Read]]&lt;Table1[[#This Row],[High Tol]],"Pass","Fail"),IF(Table1[[#This Row],[DUT Adj Read]]&lt;Table1[[#This Row],[High Tol]],"Pass","Fail")))</f>
        <v>Fail</v>
      </c>
      <c r="AF1445" s="1" t="str">
        <f>IF(AND(Table1[[#This Row],[Spec Type2]]="N/A",Table1[[#This Row],[DUT Adj Read]]="N/A",Table1[[#This Row],[Std Adj Read]]="N/A"),"N/A",IF(Table1[[#This Row],[DUT Adj Read]]="N/A",IF(Table1[[#This Row],[Std Adj Read]]&gt;=Table1[[#This Row],[Low Tol]],"Pass","Fail"),IF(Table1[[#This Row],[DUT Adj Read]]&gt;=Table1[[#This Row],[Low Tol]],"Pass","Fail")))</f>
        <v>Pass</v>
      </c>
      <c r="AG1445" s="1" t="str">
        <f>IF(AND(Table1[[#This Row],[Spec Type2]]="N/A",Table1[[#This Row],[DUT Adj Read]]="N/A",Table1[[#This Row],[Std Adj Read]]="N/A"),"N/A",IF(Table1[[#This Row],[DUT Adj Read]]="N/A",IF(Table1[[#This Row],[Std Adj Read]]&lt;=Table1[[#This Row],[High Tol]],"Pass","Fail"),IF(Table1[[#This Row],[DUT Adj Read]]&lt;=Table1[[#This Row],[High Tol]],"Pass","Fail")))</f>
        <v>Fail</v>
      </c>
      <c r="AH14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5" s="1" t="b">
        <v>0</v>
      </c>
      <c r="AN1445" s="1" t="b">
        <v>0</v>
      </c>
      <c r="AO1445" s="1" t="b">
        <v>0</v>
      </c>
    </row>
    <row r="1446" spans="1:41" x14ac:dyDescent="0.25">
      <c r="A1446" s="10"/>
      <c r="B1446" s="10"/>
      <c r="C1446" s="10"/>
      <c r="D1446" s="10"/>
      <c r="E1446" s="10"/>
      <c r="F1446" s="10"/>
      <c r="G1446" s="10"/>
      <c r="H1446" s="10"/>
      <c r="I1446" s="1" t="str">
        <f t="shared" si="66"/>
        <v/>
      </c>
      <c r="J1446" s="1" t="s">
        <v>35</v>
      </c>
      <c r="K1446" s="1" t="str">
        <f t="shared" si="67"/>
        <v/>
      </c>
      <c r="L1446" s="1" t="str">
        <f t="shared" si="68"/>
        <v/>
      </c>
      <c r="M1446" s="1">
        <f>IF(OR(Table1[[#This Row],[Std Nom]]="",Table1[[#This Row],[Std Read]]=""),0,Table1[[#This Row],[Std Nom]]-Table1[[#This Row],[Std Read]])</f>
        <v>0</v>
      </c>
      <c r="N1446" s="1">
        <f>IF(Calculations!$F$5="ACCREDITED 17025 WITH UNCERTAINTIES",$N$10,0)</f>
        <v>0</v>
      </c>
      <c r="Q1446" s="1">
        <f>Table1[[#This Row],[High Tol]]-Table1[[#This Row],[Low Tol]]</f>
        <v>0</v>
      </c>
      <c r="R1446" s="1">
        <f>2*Table1[[#This Row],[Std Error]]</f>
        <v>0</v>
      </c>
      <c r="S1446" s="1" t="str">
        <f>IF(Table1[[#This Row],[High Tol]]="","N/A",IFERROR(ABS(Table1[[#This Row],[Tol Span]]/Table1[[#This Row],[Error Span]]),"N/A"))</f>
        <v>N/A</v>
      </c>
      <c r="T1446" s="1" t="str">
        <f>IF(OR(Table1[[#This Row],[Low Tol]]="",Table1[[#This Row],[High Tol]]=""),"Needs Analysis",IF(Table1[[#This Row],[Ratio]]&gt;=4,"Not Significant",IF(Table1[[#This Row],[Ratio]]&gt;=2,"Semi-Significant","Significant")))</f>
        <v>Needs Analysis</v>
      </c>
      <c r="W1446" s="1">
        <f>IF(Table1[[#This Row],[Cal Type]]&lt;&gt;"ACCREDITED 17025 WITH UNCERTAINTIES",0,"")</f>
        <v>0</v>
      </c>
      <c r="X1446" s="1" t="str">
        <f>IF(Table1[[#This Row],[DUT Read]]="","N/A",Table1[[#This Row],[Std Error]]+Table1[[#This Row],[DUT Read]]+Table1[[#This Row],[DUT Ucty]])</f>
        <v>N/A</v>
      </c>
      <c r="Y1446" s="1" t="str">
        <f>IF(Table1[[#This Row],[Std Read]]="","N/A",Table1[[#This Row],[Std Read]]+Table1[[#This Row],[Std Ucty]])</f>
        <v>N/A</v>
      </c>
      <c r="Z14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6" s="1" t="str">
        <f>IF(Table1[[#This Row],[Spec Type]]="","N/A",Table1[[#This Row],[Spec Type]])</f>
        <v>±</v>
      </c>
      <c r="AC1446" s="1" t="str">
        <f>IF(Table1[[#This Row],[Spec Type2]]="N/A","N/A",IF(AND(Table1[[#This Row],[DUT Adj Read]]&gt;=Table1[[#This Row],[Low Tol]],Table1[[#This Row],[DUT Adj Read]]&lt;=Table1[[#This Row],[High Tol]]),"Pass","Fail"))</f>
        <v>Fail</v>
      </c>
      <c r="AD1446" s="1" t="str">
        <f>IF(AND(Table1[[#This Row],[Spec Type2]]="N/A",Table1[[#This Row],[DUT Adj Read]]="N/A",Table1[[#This Row],[Std Adj Read]]="N/A"),"N/A",IF(Table1[[#This Row],[DUT Adj Read]]="N/A",IF(Table1[[#This Row],[Std Adj Read]]&gt;Table1[[#This Row],[Low Tol]],"Pass","Fail"),IF(Table1[[#This Row],[DUT Adj Read]]&gt;Table1[[#This Row],[Low Tol]],"Pass","Fail")))</f>
        <v>Pass</v>
      </c>
      <c r="AE1446" s="1" t="str">
        <f>IF(AND(Table1[[#This Row],[Spec Type2]]="N/A",Table1[[#This Row],[DUT Adj Read]]="N/A",Table1[[#This Row],[Std Adj Read]]="N/A"),"N/A",IF(Table1[[#This Row],[DUT Adj Read]]="N/A",IF(Table1[[#This Row],[Std Adj Read]]&lt;Table1[[#This Row],[High Tol]],"Pass","Fail"),IF(Table1[[#This Row],[DUT Adj Read]]&lt;Table1[[#This Row],[High Tol]],"Pass","Fail")))</f>
        <v>Fail</v>
      </c>
      <c r="AF1446" s="1" t="str">
        <f>IF(AND(Table1[[#This Row],[Spec Type2]]="N/A",Table1[[#This Row],[DUT Adj Read]]="N/A",Table1[[#This Row],[Std Adj Read]]="N/A"),"N/A",IF(Table1[[#This Row],[DUT Adj Read]]="N/A",IF(Table1[[#This Row],[Std Adj Read]]&gt;=Table1[[#This Row],[Low Tol]],"Pass","Fail"),IF(Table1[[#This Row],[DUT Adj Read]]&gt;=Table1[[#This Row],[Low Tol]],"Pass","Fail")))</f>
        <v>Pass</v>
      </c>
      <c r="AG1446" s="1" t="str">
        <f>IF(AND(Table1[[#This Row],[Spec Type2]]="N/A",Table1[[#This Row],[DUT Adj Read]]="N/A",Table1[[#This Row],[Std Adj Read]]="N/A"),"N/A",IF(Table1[[#This Row],[DUT Adj Read]]="N/A",IF(Table1[[#This Row],[Std Adj Read]]&lt;=Table1[[#This Row],[High Tol]],"Pass","Fail"),IF(Table1[[#This Row],[DUT Adj Read]]&lt;=Table1[[#This Row],[High Tol]],"Pass","Fail")))</f>
        <v>Fail</v>
      </c>
      <c r="AH14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6" s="1" t="b">
        <v>0</v>
      </c>
      <c r="AN1446" s="1" t="b">
        <v>0</v>
      </c>
      <c r="AO1446" s="1" t="b">
        <v>0</v>
      </c>
    </row>
    <row r="1447" spans="1:41" x14ac:dyDescent="0.25">
      <c r="A1447" s="10"/>
      <c r="B1447" s="10"/>
      <c r="C1447" s="10"/>
      <c r="D1447" s="10"/>
      <c r="E1447" s="10"/>
      <c r="F1447" s="10"/>
      <c r="G1447" s="10"/>
      <c r="H1447" s="10"/>
      <c r="I1447" s="1" t="str">
        <f t="shared" si="66"/>
        <v/>
      </c>
      <c r="J1447" s="1" t="s">
        <v>35</v>
      </c>
      <c r="K1447" s="1" t="str">
        <f t="shared" si="67"/>
        <v/>
      </c>
      <c r="L1447" s="1" t="str">
        <f t="shared" si="68"/>
        <v/>
      </c>
      <c r="M1447" s="1">
        <f>IF(OR(Table1[[#This Row],[Std Nom]]="",Table1[[#This Row],[Std Read]]=""),0,Table1[[#This Row],[Std Nom]]-Table1[[#This Row],[Std Read]])</f>
        <v>0</v>
      </c>
      <c r="N1447" s="1">
        <f>IF(Calculations!$F$5="ACCREDITED 17025 WITH UNCERTAINTIES",$N$10,0)</f>
        <v>0</v>
      </c>
      <c r="Q1447" s="1">
        <f>Table1[[#This Row],[High Tol]]-Table1[[#This Row],[Low Tol]]</f>
        <v>0</v>
      </c>
      <c r="R1447" s="1">
        <f>2*Table1[[#This Row],[Std Error]]</f>
        <v>0</v>
      </c>
      <c r="S1447" s="1" t="str">
        <f>IF(Table1[[#This Row],[High Tol]]="","N/A",IFERROR(ABS(Table1[[#This Row],[Tol Span]]/Table1[[#This Row],[Error Span]]),"N/A"))</f>
        <v>N/A</v>
      </c>
      <c r="T1447" s="1" t="str">
        <f>IF(OR(Table1[[#This Row],[Low Tol]]="",Table1[[#This Row],[High Tol]]=""),"Needs Analysis",IF(Table1[[#This Row],[Ratio]]&gt;=4,"Not Significant",IF(Table1[[#This Row],[Ratio]]&gt;=2,"Semi-Significant","Significant")))</f>
        <v>Needs Analysis</v>
      </c>
      <c r="W1447" s="1">
        <f>IF(Table1[[#This Row],[Cal Type]]&lt;&gt;"ACCREDITED 17025 WITH UNCERTAINTIES",0,"")</f>
        <v>0</v>
      </c>
      <c r="X1447" s="1" t="str">
        <f>IF(Table1[[#This Row],[DUT Read]]="","N/A",Table1[[#This Row],[Std Error]]+Table1[[#This Row],[DUT Read]]+Table1[[#This Row],[DUT Ucty]])</f>
        <v>N/A</v>
      </c>
      <c r="Y1447" s="1" t="str">
        <f>IF(Table1[[#This Row],[Std Read]]="","N/A",Table1[[#This Row],[Std Read]]+Table1[[#This Row],[Std Ucty]])</f>
        <v>N/A</v>
      </c>
      <c r="Z14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7" s="1" t="str">
        <f>IF(Table1[[#This Row],[Spec Type]]="","N/A",Table1[[#This Row],[Spec Type]])</f>
        <v>±</v>
      </c>
      <c r="AC1447" s="1" t="str">
        <f>IF(Table1[[#This Row],[Spec Type2]]="N/A","N/A",IF(AND(Table1[[#This Row],[DUT Adj Read]]&gt;=Table1[[#This Row],[Low Tol]],Table1[[#This Row],[DUT Adj Read]]&lt;=Table1[[#This Row],[High Tol]]),"Pass","Fail"))</f>
        <v>Fail</v>
      </c>
      <c r="AD1447" s="1" t="str">
        <f>IF(AND(Table1[[#This Row],[Spec Type2]]="N/A",Table1[[#This Row],[DUT Adj Read]]="N/A",Table1[[#This Row],[Std Adj Read]]="N/A"),"N/A",IF(Table1[[#This Row],[DUT Adj Read]]="N/A",IF(Table1[[#This Row],[Std Adj Read]]&gt;Table1[[#This Row],[Low Tol]],"Pass","Fail"),IF(Table1[[#This Row],[DUT Adj Read]]&gt;Table1[[#This Row],[Low Tol]],"Pass","Fail")))</f>
        <v>Pass</v>
      </c>
      <c r="AE1447" s="1" t="str">
        <f>IF(AND(Table1[[#This Row],[Spec Type2]]="N/A",Table1[[#This Row],[DUT Adj Read]]="N/A",Table1[[#This Row],[Std Adj Read]]="N/A"),"N/A",IF(Table1[[#This Row],[DUT Adj Read]]="N/A",IF(Table1[[#This Row],[Std Adj Read]]&lt;Table1[[#This Row],[High Tol]],"Pass","Fail"),IF(Table1[[#This Row],[DUT Adj Read]]&lt;Table1[[#This Row],[High Tol]],"Pass","Fail")))</f>
        <v>Fail</v>
      </c>
      <c r="AF1447" s="1" t="str">
        <f>IF(AND(Table1[[#This Row],[Spec Type2]]="N/A",Table1[[#This Row],[DUT Adj Read]]="N/A",Table1[[#This Row],[Std Adj Read]]="N/A"),"N/A",IF(Table1[[#This Row],[DUT Adj Read]]="N/A",IF(Table1[[#This Row],[Std Adj Read]]&gt;=Table1[[#This Row],[Low Tol]],"Pass","Fail"),IF(Table1[[#This Row],[DUT Adj Read]]&gt;=Table1[[#This Row],[Low Tol]],"Pass","Fail")))</f>
        <v>Pass</v>
      </c>
      <c r="AG1447" s="1" t="str">
        <f>IF(AND(Table1[[#This Row],[Spec Type2]]="N/A",Table1[[#This Row],[DUT Adj Read]]="N/A",Table1[[#This Row],[Std Adj Read]]="N/A"),"N/A",IF(Table1[[#This Row],[DUT Adj Read]]="N/A",IF(Table1[[#This Row],[Std Adj Read]]&lt;=Table1[[#This Row],[High Tol]],"Pass","Fail"),IF(Table1[[#This Row],[DUT Adj Read]]&lt;=Table1[[#This Row],[High Tol]],"Pass","Fail")))</f>
        <v>Fail</v>
      </c>
      <c r="AH14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7" s="1" t="b">
        <v>0</v>
      </c>
      <c r="AN1447" s="1" t="b">
        <v>0</v>
      </c>
      <c r="AO1447" s="1" t="b">
        <v>0</v>
      </c>
    </row>
    <row r="1448" spans="1:41" x14ac:dyDescent="0.25">
      <c r="A1448" s="10"/>
      <c r="B1448" s="10"/>
      <c r="C1448" s="10"/>
      <c r="D1448" s="10"/>
      <c r="E1448" s="10"/>
      <c r="F1448" s="10"/>
      <c r="G1448" s="10"/>
      <c r="H1448" s="10"/>
      <c r="I1448" s="1" t="str">
        <f t="shared" si="66"/>
        <v/>
      </c>
      <c r="J1448" s="1" t="s">
        <v>35</v>
      </c>
      <c r="K1448" s="1" t="str">
        <f t="shared" si="67"/>
        <v/>
      </c>
      <c r="L1448" s="1" t="str">
        <f t="shared" si="68"/>
        <v/>
      </c>
      <c r="M1448" s="1">
        <f>IF(OR(Table1[[#This Row],[Std Nom]]="",Table1[[#This Row],[Std Read]]=""),0,Table1[[#This Row],[Std Nom]]-Table1[[#This Row],[Std Read]])</f>
        <v>0</v>
      </c>
      <c r="N1448" s="1">
        <f>IF(Calculations!$F$5="ACCREDITED 17025 WITH UNCERTAINTIES",$N$10,0)</f>
        <v>0</v>
      </c>
      <c r="Q1448" s="1">
        <f>Table1[[#This Row],[High Tol]]-Table1[[#This Row],[Low Tol]]</f>
        <v>0</v>
      </c>
      <c r="R1448" s="1">
        <f>2*Table1[[#This Row],[Std Error]]</f>
        <v>0</v>
      </c>
      <c r="S1448" s="1" t="str">
        <f>IF(Table1[[#This Row],[High Tol]]="","N/A",IFERROR(ABS(Table1[[#This Row],[Tol Span]]/Table1[[#This Row],[Error Span]]),"N/A"))</f>
        <v>N/A</v>
      </c>
      <c r="T1448" s="1" t="str">
        <f>IF(OR(Table1[[#This Row],[Low Tol]]="",Table1[[#This Row],[High Tol]]=""),"Needs Analysis",IF(Table1[[#This Row],[Ratio]]&gt;=4,"Not Significant",IF(Table1[[#This Row],[Ratio]]&gt;=2,"Semi-Significant","Significant")))</f>
        <v>Needs Analysis</v>
      </c>
      <c r="W1448" s="1">
        <f>IF(Table1[[#This Row],[Cal Type]]&lt;&gt;"ACCREDITED 17025 WITH UNCERTAINTIES",0,"")</f>
        <v>0</v>
      </c>
      <c r="X1448" s="1" t="str">
        <f>IF(Table1[[#This Row],[DUT Read]]="","N/A",Table1[[#This Row],[Std Error]]+Table1[[#This Row],[DUT Read]]+Table1[[#This Row],[DUT Ucty]])</f>
        <v>N/A</v>
      </c>
      <c r="Y1448" s="1" t="str">
        <f>IF(Table1[[#This Row],[Std Read]]="","N/A",Table1[[#This Row],[Std Read]]+Table1[[#This Row],[Std Ucty]])</f>
        <v>N/A</v>
      </c>
      <c r="Z14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8" s="1" t="str">
        <f>IF(Table1[[#This Row],[Spec Type]]="","N/A",Table1[[#This Row],[Spec Type]])</f>
        <v>±</v>
      </c>
      <c r="AC1448" s="1" t="str">
        <f>IF(Table1[[#This Row],[Spec Type2]]="N/A","N/A",IF(AND(Table1[[#This Row],[DUT Adj Read]]&gt;=Table1[[#This Row],[Low Tol]],Table1[[#This Row],[DUT Adj Read]]&lt;=Table1[[#This Row],[High Tol]]),"Pass","Fail"))</f>
        <v>Fail</v>
      </c>
      <c r="AD1448" s="1" t="str">
        <f>IF(AND(Table1[[#This Row],[Spec Type2]]="N/A",Table1[[#This Row],[DUT Adj Read]]="N/A",Table1[[#This Row],[Std Adj Read]]="N/A"),"N/A",IF(Table1[[#This Row],[DUT Adj Read]]="N/A",IF(Table1[[#This Row],[Std Adj Read]]&gt;Table1[[#This Row],[Low Tol]],"Pass","Fail"),IF(Table1[[#This Row],[DUT Adj Read]]&gt;Table1[[#This Row],[Low Tol]],"Pass","Fail")))</f>
        <v>Pass</v>
      </c>
      <c r="AE1448" s="1" t="str">
        <f>IF(AND(Table1[[#This Row],[Spec Type2]]="N/A",Table1[[#This Row],[DUT Adj Read]]="N/A",Table1[[#This Row],[Std Adj Read]]="N/A"),"N/A",IF(Table1[[#This Row],[DUT Adj Read]]="N/A",IF(Table1[[#This Row],[Std Adj Read]]&lt;Table1[[#This Row],[High Tol]],"Pass","Fail"),IF(Table1[[#This Row],[DUT Adj Read]]&lt;Table1[[#This Row],[High Tol]],"Pass","Fail")))</f>
        <v>Fail</v>
      </c>
      <c r="AF1448" s="1" t="str">
        <f>IF(AND(Table1[[#This Row],[Spec Type2]]="N/A",Table1[[#This Row],[DUT Adj Read]]="N/A",Table1[[#This Row],[Std Adj Read]]="N/A"),"N/A",IF(Table1[[#This Row],[DUT Adj Read]]="N/A",IF(Table1[[#This Row],[Std Adj Read]]&gt;=Table1[[#This Row],[Low Tol]],"Pass","Fail"),IF(Table1[[#This Row],[DUT Adj Read]]&gt;=Table1[[#This Row],[Low Tol]],"Pass","Fail")))</f>
        <v>Pass</v>
      </c>
      <c r="AG1448" s="1" t="str">
        <f>IF(AND(Table1[[#This Row],[Spec Type2]]="N/A",Table1[[#This Row],[DUT Adj Read]]="N/A",Table1[[#This Row],[Std Adj Read]]="N/A"),"N/A",IF(Table1[[#This Row],[DUT Adj Read]]="N/A",IF(Table1[[#This Row],[Std Adj Read]]&lt;=Table1[[#This Row],[High Tol]],"Pass","Fail"),IF(Table1[[#This Row],[DUT Adj Read]]&lt;=Table1[[#This Row],[High Tol]],"Pass","Fail")))</f>
        <v>Fail</v>
      </c>
      <c r="AH14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8" s="1" t="b">
        <v>0</v>
      </c>
      <c r="AN1448" s="1" t="b">
        <v>0</v>
      </c>
      <c r="AO1448" s="1" t="b">
        <v>0</v>
      </c>
    </row>
    <row r="1449" spans="1:41" x14ac:dyDescent="0.25">
      <c r="A1449" s="10"/>
      <c r="B1449" s="10"/>
      <c r="C1449" s="10"/>
      <c r="D1449" s="10"/>
      <c r="E1449" s="10"/>
      <c r="F1449" s="10"/>
      <c r="G1449" s="10"/>
      <c r="H1449" s="10"/>
      <c r="I1449" s="1" t="str">
        <f t="shared" si="66"/>
        <v/>
      </c>
      <c r="J1449" s="1" t="s">
        <v>35</v>
      </c>
      <c r="K1449" s="1" t="str">
        <f t="shared" si="67"/>
        <v/>
      </c>
      <c r="L1449" s="1" t="str">
        <f t="shared" si="68"/>
        <v/>
      </c>
      <c r="M1449" s="1">
        <f>IF(OR(Table1[[#This Row],[Std Nom]]="",Table1[[#This Row],[Std Read]]=""),0,Table1[[#This Row],[Std Nom]]-Table1[[#This Row],[Std Read]])</f>
        <v>0</v>
      </c>
      <c r="N1449" s="1">
        <f>IF(Calculations!$F$5="ACCREDITED 17025 WITH UNCERTAINTIES",$N$10,0)</f>
        <v>0</v>
      </c>
      <c r="Q1449" s="1">
        <f>Table1[[#This Row],[High Tol]]-Table1[[#This Row],[Low Tol]]</f>
        <v>0</v>
      </c>
      <c r="R1449" s="1">
        <f>2*Table1[[#This Row],[Std Error]]</f>
        <v>0</v>
      </c>
      <c r="S1449" s="1" t="str">
        <f>IF(Table1[[#This Row],[High Tol]]="","N/A",IFERROR(ABS(Table1[[#This Row],[Tol Span]]/Table1[[#This Row],[Error Span]]),"N/A"))</f>
        <v>N/A</v>
      </c>
      <c r="T1449" s="1" t="str">
        <f>IF(OR(Table1[[#This Row],[Low Tol]]="",Table1[[#This Row],[High Tol]]=""),"Needs Analysis",IF(Table1[[#This Row],[Ratio]]&gt;=4,"Not Significant",IF(Table1[[#This Row],[Ratio]]&gt;=2,"Semi-Significant","Significant")))</f>
        <v>Needs Analysis</v>
      </c>
      <c r="W1449" s="1">
        <f>IF(Table1[[#This Row],[Cal Type]]&lt;&gt;"ACCREDITED 17025 WITH UNCERTAINTIES",0,"")</f>
        <v>0</v>
      </c>
      <c r="X1449" s="1" t="str">
        <f>IF(Table1[[#This Row],[DUT Read]]="","N/A",Table1[[#This Row],[Std Error]]+Table1[[#This Row],[DUT Read]]+Table1[[#This Row],[DUT Ucty]])</f>
        <v>N/A</v>
      </c>
      <c r="Y1449" s="1" t="str">
        <f>IF(Table1[[#This Row],[Std Read]]="","N/A",Table1[[#This Row],[Std Read]]+Table1[[#This Row],[Std Ucty]])</f>
        <v>N/A</v>
      </c>
      <c r="Z14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49" s="1" t="str">
        <f>IF(Table1[[#This Row],[Spec Type]]="","N/A",Table1[[#This Row],[Spec Type]])</f>
        <v>±</v>
      </c>
      <c r="AC1449" s="1" t="str">
        <f>IF(Table1[[#This Row],[Spec Type2]]="N/A","N/A",IF(AND(Table1[[#This Row],[DUT Adj Read]]&gt;=Table1[[#This Row],[Low Tol]],Table1[[#This Row],[DUT Adj Read]]&lt;=Table1[[#This Row],[High Tol]]),"Pass","Fail"))</f>
        <v>Fail</v>
      </c>
      <c r="AD1449" s="1" t="str">
        <f>IF(AND(Table1[[#This Row],[Spec Type2]]="N/A",Table1[[#This Row],[DUT Adj Read]]="N/A",Table1[[#This Row],[Std Adj Read]]="N/A"),"N/A",IF(Table1[[#This Row],[DUT Adj Read]]="N/A",IF(Table1[[#This Row],[Std Adj Read]]&gt;Table1[[#This Row],[Low Tol]],"Pass","Fail"),IF(Table1[[#This Row],[DUT Adj Read]]&gt;Table1[[#This Row],[Low Tol]],"Pass","Fail")))</f>
        <v>Pass</v>
      </c>
      <c r="AE1449" s="1" t="str">
        <f>IF(AND(Table1[[#This Row],[Spec Type2]]="N/A",Table1[[#This Row],[DUT Adj Read]]="N/A",Table1[[#This Row],[Std Adj Read]]="N/A"),"N/A",IF(Table1[[#This Row],[DUT Adj Read]]="N/A",IF(Table1[[#This Row],[Std Adj Read]]&lt;Table1[[#This Row],[High Tol]],"Pass","Fail"),IF(Table1[[#This Row],[DUT Adj Read]]&lt;Table1[[#This Row],[High Tol]],"Pass","Fail")))</f>
        <v>Fail</v>
      </c>
      <c r="AF1449" s="1" t="str">
        <f>IF(AND(Table1[[#This Row],[Spec Type2]]="N/A",Table1[[#This Row],[DUT Adj Read]]="N/A",Table1[[#This Row],[Std Adj Read]]="N/A"),"N/A",IF(Table1[[#This Row],[DUT Adj Read]]="N/A",IF(Table1[[#This Row],[Std Adj Read]]&gt;=Table1[[#This Row],[Low Tol]],"Pass","Fail"),IF(Table1[[#This Row],[DUT Adj Read]]&gt;=Table1[[#This Row],[Low Tol]],"Pass","Fail")))</f>
        <v>Pass</v>
      </c>
      <c r="AG1449" s="1" t="str">
        <f>IF(AND(Table1[[#This Row],[Spec Type2]]="N/A",Table1[[#This Row],[DUT Adj Read]]="N/A",Table1[[#This Row],[Std Adj Read]]="N/A"),"N/A",IF(Table1[[#This Row],[DUT Adj Read]]="N/A",IF(Table1[[#This Row],[Std Adj Read]]&lt;=Table1[[#This Row],[High Tol]],"Pass","Fail"),IF(Table1[[#This Row],[DUT Adj Read]]&lt;=Table1[[#This Row],[High Tol]],"Pass","Fail")))</f>
        <v>Fail</v>
      </c>
      <c r="AH14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49" s="1" t="b">
        <v>0</v>
      </c>
      <c r="AN1449" s="1" t="b">
        <v>0</v>
      </c>
      <c r="AO1449" s="1" t="b">
        <v>0</v>
      </c>
    </row>
    <row r="1450" spans="1:41" x14ac:dyDescent="0.25">
      <c r="A1450" s="10"/>
      <c r="B1450" s="10"/>
      <c r="C1450" s="10"/>
      <c r="D1450" s="10"/>
      <c r="E1450" s="10"/>
      <c r="F1450" s="10"/>
      <c r="G1450" s="10"/>
      <c r="H1450" s="10"/>
      <c r="I1450" s="1" t="str">
        <f t="shared" si="66"/>
        <v/>
      </c>
      <c r="J1450" s="1" t="s">
        <v>35</v>
      </c>
      <c r="K1450" s="1" t="str">
        <f t="shared" si="67"/>
        <v/>
      </c>
      <c r="L1450" s="1" t="str">
        <f t="shared" si="68"/>
        <v/>
      </c>
      <c r="M1450" s="1">
        <f>IF(OR(Table1[[#This Row],[Std Nom]]="",Table1[[#This Row],[Std Read]]=""),0,Table1[[#This Row],[Std Nom]]-Table1[[#This Row],[Std Read]])</f>
        <v>0</v>
      </c>
      <c r="N1450" s="1">
        <f>IF(Calculations!$F$5="ACCREDITED 17025 WITH UNCERTAINTIES",$N$10,0)</f>
        <v>0</v>
      </c>
      <c r="Q1450" s="1">
        <f>Table1[[#This Row],[High Tol]]-Table1[[#This Row],[Low Tol]]</f>
        <v>0</v>
      </c>
      <c r="R1450" s="1">
        <f>2*Table1[[#This Row],[Std Error]]</f>
        <v>0</v>
      </c>
      <c r="S1450" s="1" t="str">
        <f>IF(Table1[[#This Row],[High Tol]]="","N/A",IFERROR(ABS(Table1[[#This Row],[Tol Span]]/Table1[[#This Row],[Error Span]]),"N/A"))</f>
        <v>N/A</v>
      </c>
      <c r="T1450" s="1" t="str">
        <f>IF(OR(Table1[[#This Row],[Low Tol]]="",Table1[[#This Row],[High Tol]]=""),"Needs Analysis",IF(Table1[[#This Row],[Ratio]]&gt;=4,"Not Significant",IF(Table1[[#This Row],[Ratio]]&gt;=2,"Semi-Significant","Significant")))</f>
        <v>Needs Analysis</v>
      </c>
      <c r="W1450" s="1">
        <f>IF(Table1[[#This Row],[Cal Type]]&lt;&gt;"ACCREDITED 17025 WITH UNCERTAINTIES",0,"")</f>
        <v>0</v>
      </c>
      <c r="X1450" s="1" t="str">
        <f>IF(Table1[[#This Row],[DUT Read]]="","N/A",Table1[[#This Row],[Std Error]]+Table1[[#This Row],[DUT Read]]+Table1[[#This Row],[DUT Ucty]])</f>
        <v>N/A</v>
      </c>
      <c r="Y1450" s="1" t="str">
        <f>IF(Table1[[#This Row],[Std Read]]="","N/A",Table1[[#This Row],[Std Read]]+Table1[[#This Row],[Std Ucty]])</f>
        <v>N/A</v>
      </c>
      <c r="Z14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0" s="1" t="str">
        <f>IF(Table1[[#This Row],[Spec Type]]="","N/A",Table1[[#This Row],[Spec Type]])</f>
        <v>±</v>
      </c>
      <c r="AC1450" s="1" t="str">
        <f>IF(Table1[[#This Row],[Spec Type2]]="N/A","N/A",IF(AND(Table1[[#This Row],[DUT Adj Read]]&gt;=Table1[[#This Row],[Low Tol]],Table1[[#This Row],[DUT Adj Read]]&lt;=Table1[[#This Row],[High Tol]]),"Pass","Fail"))</f>
        <v>Fail</v>
      </c>
      <c r="AD1450" s="1" t="str">
        <f>IF(AND(Table1[[#This Row],[Spec Type2]]="N/A",Table1[[#This Row],[DUT Adj Read]]="N/A",Table1[[#This Row],[Std Adj Read]]="N/A"),"N/A",IF(Table1[[#This Row],[DUT Adj Read]]="N/A",IF(Table1[[#This Row],[Std Adj Read]]&gt;Table1[[#This Row],[Low Tol]],"Pass","Fail"),IF(Table1[[#This Row],[DUT Adj Read]]&gt;Table1[[#This Row],[Low Tol]],"Pass","Fail")))</f>
        <v>Pass</v>
      </c>
      <c r="AE1450" s="1" t="str">
        <f>IF(AND(Table1[[#This Row],[Spec Type2]]="N/A",Table1[[#This Row],[DUT Adj Read]]="N/A",Table1[[#This Row],[Std Adj Read]]="N/A"),"N/A",IF(Table1[[#This Row],[DUT Adj Read]]="N/A",IF(Table1[[#This Row],[Std Adj Read]]&lt;Table1[[#This Row],[High Tol]],"Pass","Fail"),IF(Table1[[#This Row],[DUT Adj Read]]&lt;Table1[[#This Row],[High Tol]],"Pass","Fail")))</f>
        <v>Fail</v>
      </c>
      <c r="AF1450" s="1" t="str">
        <f>IF(AND(Table1[[#This Row],[Spec Type2]]="N/A",Table1[[#This Row],[DUT Adj Read]]="N/A",Table1[[#This Row],[Std Adj Read]]="N/A"),"N/A",IF(Table1[[#This Row],[DUT Adj Read]]="N/A",IF(Table1[[#This Row],[Std Adj Read]]&gt;=Table1[[#This Row],[Low Tol]],"Pass","Fail"),IF(Table1[[#This Row],[DUT Adj Read]]&gt;=Table1[[#This Row],[Low Tol]],"Pass","Fail")))</f>
        <v>Pass</v>
      </c>
      <c r="AG1450" s="1" t="str">
        <f>IF(AND(Table1[[#This Row],[Spec Type2]]="N/A",Table1[[#This Row],[DUT Adj Read]]="N/A",Table1[[#This Row],[Std Adj Read]]="N/A"),"N/A",IF(Table1[[#This Row],[DUT Adj Read]]="N/A",IF(Table1[[#This Row],[Std Adj Read]]&lt;=Table1[[#This Row],[High Tol]],"Pass","Fail"),IF(Table1[[#This Row],[DUT Adj Read]]&lt;=Table1[[#This Row],[High Tol]],"Pass","Fail")))</f>
        <v>Fail</v>
      </c>
      <c r="AH14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0" s="1" t="b">
        <v>0</v>
      </c>
      <c r="AN1450" s="1" t="b">
        <v>0</v>
      </c>
      <c r="AO1450" s="1" t="b">
        <v>0</v>
      </c>
    </row>
    <row r="1451" spans="1:41" x14ac:dyDescent="0.25">
      <c r="A1451" s="10"/>
      <c r="B1451" s="10"/>
      <c r="C1451" s="10"/>
      <c r="D1451" s="10"/>
      <c r="E1451" s="10"/>
      <c r="F1451" s="10"/>
      <c r="G1451" s="10"/>
      <c r="H1451" s="10"/>
      <c r="I1451" s="1" t="str">
        <f t="shared" si="66"/>
        <v/>
      </c>
      <c r="J1451" s="1" t="s">
        <v>35</v>
      </c>
      <c r="K1451" s="1" t="str">
        <f t="shared" si="67"/>
        <v/>
      </c>
      <c r="L1451" s="1" t="str">
        <f t="shared" si="68"/>
        <v/>
      </c>
      <c r="M1451" s="1">
        <f>IF(OR(Table1[[#This Row],[Std Nom]]="",Table1[[#This Row],[Std Read]]=""),0,Table1[[#This Row],[Std Nom]]-Table1[[#This Row],[Std Read]])</f>
        <v>0</v>
      </c>
      <c r="N1451" s="1">
        <f>IF(Calculations!$F$5="ACCREDITED 17025 WITH UNCERTAINTIES",$N$10,0)</f>
        <v>0</v>
      </c>
      <c r="Q1451" s="1">
        <f>Table1[[#This Row],[High Tol]]-Table1[[#This Row],[Low Tol]]</f>
        <v>0</v>
      </c>
      <c r="R1451" s="1">
        <f>2*Table1[[#This Row],[Std Error]]</f>
        <v>0</v>
      </c>
      <c r="S1451" s="1" t="str">
        <f>IF(Table1[[#This Row],[High Tol]]="","N/A",IFERROR(ABS(Table1[[#This Row],[Tol Span]]/Table1[[#This Row],[Error Span]]),"N/A"))</f>
        <v>N/A</v>
      </c>
      <c r="T1451" s="1" t="str">
        <f>IF(OR(Table1[[#This Row],[Low Tol]]="",Table1[[#This Row],[High Tol]]=""),"Needs Analysis",IF(Table1[[#This Row],[Ratio]]&gt;=4,"Not Significant",IF(Table1[[#This Row],[Ratio]]&gt;=2,"Semi-Significant","Significant")))</f>
        <v>Needs Analysis</v>
      </c>
      <c r="W1451" s="1">
        <f>IF(Table1[[#This Row],[Cal Type]]&lt;&gt;"ACCREDITED 17025 WITH UNCERTAINTIES",0,"")</f>
        <v>0</v>
      </c>
      <c r="X1451" s="1" t="str">
        <f>IF(Table1[[#This Row],[DUT Read]]="","N/A",Table1[[#This Row],[Std Error]]+Table1[[#This Row],[DUT Read]]+Table1[[#This Row],[DUT Ucty]])</f>
        <v>N/A</v>
      </c>
      <c r="Y1451" s="1" t="str">
        <f>IF(Table1[[#This Row],[Std Read]]="","N/A",Table1[[#This Row],[Std Read]]+Table1[[#This Row],[Std Ucty]])</f>
        <v>N/A</v>
      </c>
      <c r="Z14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1" s="1" t="str">
        <f>IF(Table1[[#This Row],[Spec Type]]="","N/A",Table1[[#This Row],[Spec Type]])</f>
        <v>±</v>
      </c>
      <c r="AC1451" s="1" t="str">
        <f>IF(Table1[[#This Row],[Spec Type2]]="N/A","N/A",IF(AND(Table1[[#This Row],[DUT Adj Read]]&gt;=Table1[[#This Row],[Low Tol]],Table1[[#This Row],[DUT Adj Read]]&lt;=Table1[[#This Row],[High Tol]]),"Pass","Fail"))</f>
        <v>Fail</v>
      </c>
      <c r="AD1451" s="1" t="str">
        <f>IF(AND(Table1[[#This Row],[Spec Type2]]="N/A",Table1[[#This Row],[DUT Adj Read]]="N/A",Table1[[#This Row],[Std Adj Read]]="N/A"),"N/A",IF(Table1[[#This Row],[DUT Adj Read]]="N/A",IF(Table1[[#This Row],[Std Adj Read]]&gt;Table1[[#This Row],[Low Tol]],"Pass","Fail"),IF(Table1[[#This Row],[DUT Adj Read]]&gt;Table1[[#This Row],[Low Tol]],"Pass","Fail")))</f>
        <v>Pass</v>
      </c>
      <c r="AE1451" s="1" t="str">
        <f>IF(AND(Table1[[#This Row],[Spec Type2]]="N/A",Table1[[#This Row],[DUT Adj Read]]="N/A",Table1[[#This Row],[Std Adj Read]]="N/A"),"N/A",IF(Table1[[#This Row],[DUT Adj Read]]="N/A",IF(Table1[[#This Row],[Std Adj Read]]&lt;Table1[[#This Row],[High Tol]],"Pass","Fail"),IF(Table1[[#This Row],[DUT Adj Read]]&lt;Table1[[#This Row],[High Tol]],"Pass","Fail")))</f>
        <v>Fail</v>
      </c>
      <c r="AF1451" s="1" t="str">
        <f>IF(AND(Table1[[#This Row],[Spec Type2]]="N/A",Table1[[#This Row],[DUT Adj Read]]="N/A",Table1[[#This Row],[Std Adj Read]]="N/A"),"N/A",IF(Table1[[#This Row],[DUT Adj Read]]="N/A",IF(Table1[[#This Row],[Std Adj Read]]&gt;=Table1[[#This Row],[Low Tol]],"Pass","Fail"),IF(Table1[[#This Row],[DUT Adj Read]]&gt;=Table1[[#This Row],[Low Tol]],"Pass","Fail")))</f>
        <v>Pass</v>
      </c>
      <c r="AG1451" s="1" t="str">
        <f>IF(AND(Table1[[#This Row],[Spec Type2]]="N/A",Table1[[#This Row],[DUT Adj Read]]="N/A",Table1[[#This Row],[Std Adj Read]]="N/A"),"N/A",IF(Table1[[#This Row],[DUT Adj Read]]="N/A",IF(Table1[[#This Row],[Std Adj Read]]&lt;=Table1[[#This Row],[High Tol]],"Pass","Fail"),IF(Table1[[#This Row],[DUT Adj Read]]&lt;=Table1[[#This Row],[High Tol]],"Pass","Fail")))</f>
        <v>Fail</v>
      </c>
      <c r="AH14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1" s="1" t="b">
        <v>0</v>
      </c>
      <c r="AN1451" s="1" t="b">
        <v>0</v>
      </c>
      <c r="AO1451" s="1" t="b">
        <v>0</v>
      </c>
    </row>
    <row r="1452" spans="1:41" x14ac:dyDescent="0.25">
      <c r="A1452" s="10"/>
      <c r="B1452" s="10"/>
      <c r="C1452" s="10"/>
      <c r="D1452" s="10"/>
      <c r="E1452" s="10"/>
      <c r="F1452" s="10"/>
      <c r="G1452" s="10"/>
      <c r="H1452" s="10"/>
      <c r="I1452" s="1" t="str">
        <f t="shared" si="66"/>
        <v/>
      </c>
      <c r="J1452" s="1" t="s">
        <v>35</v>
      </c>
      <c r="K1452" s="1" t="str">
        <f t="shared" si="67"/>
        <v/>
      </c>
      <c r="L1452" s="1" t="str">
        <f t="shared" si="68"/>
        <v/>
      </c>
      <c r="M1452" s="1">
        <f>IF(OR(Table1[[#This Row],[Std Nom]]="",Table1[[#This Row],[Std Read]]=""),0,Table1[[#This Row],[Std Nom]]-Table1[[#This Row],[Std Read]])</f>
        <v>0</v>
      </c>
      <c r="N1452" s="1">
        <f>IF(Calculations!$F$5="ACCREDITED 17025 WITH UNCERTAINTIES",$N$10,0)</f>
        <v>0</v>
      </c>
      <c r="Q1452" s="1">
        <f>Table1[[#This Row],[High Tol]]-Table1[[#This Row],[Low Tol]]</f>
        <v>0</v>
      </c>
      <c r="R1452" s="1">
        <f>2*Table1[[#This Row],[Std Error]]</f>
        <v>0</v>
      </c>
      <c r="S1452" s="1" t="str">
        <f>IF(Table1[[#This Row],[High Tol]]="","N/A",IFERROR(ABS(Table1[[#This Row],[Tol Span]]/Table1[[#This Row],[Error Span]]),"N/A"))</f>
        <v>N/A</v>
      </c>
      <c r="T1452" s="1" t="str">
        <f>IF(OR(Table1[[#This Row],[Low Tol]]="",Table1[[#This Row],[High Tol]]=""),"Needs Analysis",IF(Table1[[#This Row],[Ratio]]&gt;=4,"Not Significant",IF(Table1[[#This Row],[Ratio]]&gt;=2,"Semi-Significant","Significant")))</f>
        <v>Needs Analysis</v>
      </c>
      <c r="W1452" s="1">
        <f>IF(Table1[[#This Row],[Cal Type]]&lt;&gt;"ACCREDITED 17025 WITH UNCERTAINTIES",0,"")</f>
        <v>0</v>
      </c>
      <c r="X1452" s="1" t="str">
        <f>IF(Table1[[#This Row],[DUT Read]]="","N/A",Table1[[#This Row],[Std Error]]+Table1[[#This Row],[DUT Read]]+Table1[[#This Row],[DUT Ucty]])</f>
        <v>N/A</v>
      </c>
      <c r="Y1452" s="1" t="str">
        <f>IF(Table1[[#This Row],[Std Read]]="","N/A",Table1[[#This Row],[Std Read]]+Table1[[#This Row],[Std Ucty]])</f>
        <v>N/A</v>
      </c>
      <c r="Z14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2" s="1" t="str">
        <f>IF(Table1[[#This Row],[Spec Type]]="","N/A",Table1[[#This Row],[Spec Type]])</f>
        <v>±</v>
      </c>
      <c r="AC1452" s="1" t="str">
        <f>IF(Table1[[#This Row],[Spec Type2]]="N/A","N/A",IF(AND(Table1[[#This Row],[DUT Adj Read]]&gt;=Table1[[#This Row],[Low Tol]],Table1[[#This Row],[DUT Adj Read]]&lt;=Table1[[#This Row],[High Tol]]),"Pass","Fail"))</f>
        <v>Fail</v>
      </c>
      <c r="AD1452" s="1" t="str">
        <f>IF(AND(Table1[[#This Row],[Spec Type2]]="N/A",Table1[[#This Row],[DUT Adj Read]]="N/A",Table1[[#This Row],[Std Adj Read]]="N/A"),"N/A",IF(Table1[[#This Row],[DUT Adj Read]]="N/A",IF(Table1[[#This Row],[Std Adj Read]]&gt;Table1[[#This Row],[Low Tol]],"Pass","Fail"),IF(Table1[[#This Row],[DUT Adj Read]]&gt;Table1[[#This Row],[Low Tol]],"Pass","Fail")))</f>
        <v>Pass</v>
      </c>
      <c r="AE1452" s="1" t="str">
        <f>IF(AND(Table1[[#This Row],[Spec Type2]]="N/A",Table1[[#This Row],[DUT Adj Read]]="N/A",Table1[[#This Row],[Std Adj Read]]="N/A"),"N/A",IF(Table1[[#This Row],[DUT Adj Read]]="N/A",IF(Table1[[#This Row],[Std Adj Read]]&lt;Table1[[#This Row],[High Tol]],"Pass","Fail"),IF(Table1[[#This Row],[DUT Adj Read]]&lt;Table1[[#This Row],[High Tol]],"Pass","Fail")))</f>
        <v>Fail</v>
      </c>
      <c r="AF1452" s="1" t="str">
        <f>IF(AND(Table1[[#This Row],[Spec Type2]]="N/A",Table1[[#This Row],[DUT Adj Read]]="N/A",Table1[[#This Row],[Std Adj Read]]="N/A"),"N/A",IF(Table1[[#This Row],[DUT Adj Read]]="N/A",IF(Table1[[#This Row],[Std Adj Read]]&gt;=Table1[[#This Row],[Low Tol]],"Pass","Fail"),IF(Table1[[#This Row],[DUT Adj Read]]&gt;=Table1[[#This Row],[Low Tol]],"Pass","Fail")))</f>
        <v>Pass</v>
      </c>
      <c r="AG1452" s="1" t="str">
        <f>IF(AND(Table1[[#This Row],[Spec Type2]]="N/A",Table1[[#This Row],[DUT Adj Read]]="N/A",Table1[[#This Row],[Std Adj Read]]="N/A"),"N/A",IF(Table1[[#This Row],[DUT Adj Read]]="N/A",IF(Table1[[#This Row],[Std Adj Read]]&lt;=Table1[[#This Row],[High Tol]],"Pass","Fail"),IF(Table1[[#This Row],[DUT Adj Read]]&lt;=Table1[[#This Row],[High Tol]],"Pass","Fail")))</f>
        <v>Fail</v>
      </c>
      <c r="AH14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2" s="1" t="b">
        <v>0</v>
      </c>
      <c r="AN1452" s="1" t="b">
        <v>0</v>
      </c>
      <c r="AO1452" s="1" t="b">
        <v>0</v>
      </c>
    </row>
    <row r="1453" spans="1:41" x14ac:dyDescent="0.25">
      <c r="A1453" s="10"/>
      <c r="B1453" s="10"/>
      <c r="C1453" s="10"/>
      <c r="D1453" s="10"/>
      <c r="E1453" s="10"/>
      <c r="F1453" s="10"/>
      <c r="G1453" s="10"/>
      <c r="H1453" s="10"/>
      <c r="I1453" s="1" t="str">
        <f t="shared" si="66"/>
        <v/>
      </c>
      <c r="J1453" s="1" t="s">
        <v>35</v>
      </c>
      <c r="K1453" s="1" t="str">
        <f t="shared" si="67"/>
        <v/>
      </c>
      <c r="L1453" s="1" t="str">
        <f t="shared" si="68"/>
        <v/>
      </c>
      <c r="M1453" s="1">
        <f>IF(OR(Table1[[#This Row],[Std Nom]]="",Table1[[#This Row],[Std Read]]=""),0,Table1[[#This Row],[Std Nom]]-Table1[[#This Row],[Std Read]])</f>
        <v>0</v>
      </c>
      <c r="N1453" s="1">
        <f>IF(Calculations!$F$5="ACCREDITED 17025 WITH UNCERTAINTIES",$N$10,0)</f>
        <v>0</v>
      </c>
      <c r="Q1453" s="1">
        <f>Table1[[#This Row],[High Tol]]-Table1[[#This Row],[Low Tol]]</f>
        <v>0</v>
      </c>
      <c r="R1453" s="1">
        <f>2*Table1[[#This Row],[Std Error]]</f>
        <v>0</v>
      </c>
      <c r="S1453" s="1" t="str">
        <f>IF(Table1[[#This Row],[High Tol]]="","N/A",IFERROR(ABS(Table1[[#This Row],[Tol Span]]/Table1[[#This Row],[Error Span]]),"N/A"))</f>
        <v>N/A</v>
      </c>
      <c r="T1453" s="1" t="str">
        <f>IF(OR(Table1[[#This Row],[Low Tol]]="",Table1[[#This Row],[High Tol]]=""),"Needs Analysis",IF(Table1[[#This Row],[Ratio]]&gt;=4,"Not Significant",IF(Table1[[#This Row],[Ratio]]&gt;=2,"Semi-Significant","Significant")))</f>
        <v>Needs Analysis</v>
      </c>
      <c r="W1453" s="1">
        <f>IF(Table1[[#This Row],[Cal Type]]&lt;&gt;"ACCREDITED 17025 WITH UNCERTAINTIES",0,"")</f>
        <v>0</v>
      </c>
      <c r="X1453" s="1" t="str">
        <f>IF(Table1[[#This Row],[DUT Read]]="","N/A",Table1[[#This Row],[Std Error]]+Table1[[#This Row],[DUT Read]]+Table1[[#This Row],[DUT Ucty]])</f>
        <v>N/A</v>
      </c>
      <c r="Y1453" s="1" t="str">
        <f>IF(Table1[[#This Row],[Std Read]]="","N/A",Table1[[#This Row],[Std Read]]+Table1[[#This Row],[Std Ucty]])</f>
        <v>N/A</v>
      </c>
      <c r="Z14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3" s="1" t="str">
        <f>IF(Table1[[#This Row],[Spec Type]]="","N/A",Table1[[#This Row],[Spec Type]])</f>
        <v>±</v>
      </c>
      <c r="AC1453" s="1" t="str">
        <f>IF(Table1[[#This Row],[Spec Type2]]="N/A","N/A",IF(AND(Table1[[#This Row],[DUT Adj Read]]&gt;=Table1[[#This Row],[Low Tol]],Table1[[#This Row],[DUT Adj Read]]&lt;=Table1[[#This Row],[High Tol]]),"Pass","Fail"))</f>
        <v>Fail</v>
      </c>
      <c r="AD1453" s="1" t="str">
        <f>IF(AND(Table1[[#This Row],[Spec Type2]]="N/A",Table1[[#This Row],[DUT Adj Read]]="N/A",Table1[[#This Row],[Std Adj Read]]="N/A"),"N/A",IF(Table1[[#This Row],[DUT Adj Read]]="N/A",IF(Table1[[#This Row],[Std Adj Read]]&gt;Table1[[#This Row],[Low Tol]],"Pass","Fail"),IF(Table1[[#This Row],[DUT Adj Read]]&gt;Table1[[#This Row],[Low Tol]],"Pass","Fail")))</f>
        <v>Pass</v>
      </c>
      <c r="AE1453" s="1" t="str">
        <f>IF(AND(Table1[[#This Row],[Spec Type2]]="N/A",Table1[[#This Row],[DUT Adj Read]]="N/A",Table1[[#This Row],[Std Adj Read]]="N/A"),"N/A",IF(Table1[[#This Row],[DUT Adj Read]]="N/A",IF(Table1[[#This Row],[Std Adj Read]]&lt;Table1[[#This Row],[High Tol]],"Pass","Fail"),IF(Table1[[#This Row],[DUT Adj Read]]&lt;Table1[[#This Row],[High Tol]],"Pass","Fail")))</f>
        <v>Fail</v>
      </c>
      <c r="AF1453" s="1" t="str">
        <f>IF(AND(Table1[[#This Row],[Spec Type2]]="N/A",Table1[[#This Row],[DUT Adj Read]]="N/A",Table1[[#This Row],[Std Adj Read]]="N/A"),"N/A",IF(Table1[[#This Row],[DUT Adj Read]]="N/A",IF(Table1[[#This Row],[Std Adj Read]]&gt;=Table1[[#This Row],[Low Tol]],"Pass","Fail"),IF(Table1[[#This Row],[DUT Adj Read]]&gt;=Table1[[#This Row],[Low Tol]],"Pass","Fail")))</f>
        <v>Pass</v>
      </c>
      <c r="AG1453" s="1" t="str">
        <f>IF(AND(Table1[[#This Row],[Spec Type2]]="N/A",Table1[[#This Row],[DUT Adj Read]]="N/A",Table1[[#This Row],[Std Adj Read]]="N/A"),"N/A",IF(Table1[[#This Row],[DUT Adj Read]]="N/A",IF(Table1[[#This Row],[Std Adj Read]]&lt;=Table1[[#This Row],[High Tol]],"Pass","Fail"),IF(Table1[[#This Row],[DUT Adj Read]]&lt;=Table1[[#This Row],[High Tol]],"Pass","Fail")))</f>
        <v>Fail</v>
      </c>
      <c r="AH14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3" s="1" t="b">
        <v>0</v>
      </c>
      <c r="AN1453" s="1" t="b">
        <v>0</v>
      </c>
      <c r="AO1453" s="1" t="b">
        <v>0</v>
      </c>
    </row>
    <row r="1454" spans="1:41" x14ac:dyDescent="0.25">
      <c r="A1454" s="10"/>
      <c r="B1454" s="10"/>
      <c r="C1454" s="10"/>
      <c r="D1454" s="10"/>
      <c r="E1454" s="10"/>
      <c r="F1454" s="10"/>
      <c r="G1454" s="10"/>
      <c r="H1454" s="10"/>
      <c r="I1454" s="1" t="str">
        <f t="shared" si="66"/>
        <v/>
      </c>
      <c r="J1454" s="1" t="s">
        <v>35</v>
      </c>
      <c r="K1454" s="1" t="str">
        <f t="shared" si="67"/>
        <v/>
      </c>
      <c r="L1454" s="1" t="str">
        <f t="shared" si="68"/>
        <v/>
      </c>
      <c r="M1454" s="1">
        <f>IF(OR(Table1[[#This Row],[Std Nom]]="",Table1[[#This Row],[Std Read]]=""),0,Table1[[#This Row],[Std Nom]]-Table1[[#This Row],[Std Read]])</f>
        <v>0</v>
      </c>
      <c r="N1454" s="1">
        <f>IF(Calculations!$F$5="ACCREDITED 17025 WITH UNCERTAINTIES",$N$10,0)</f>
        <v>0</v>
      </c>
      <c r="Q1454" s="1">
        <f>Table1[[#This Row],[High Tol]]-Table1[[#This Row],[Low Tol]]</f>
        <v>0</v>
      </c>
      <c r="R1454" s="1">
        <f>2*Table1[[#This Row],[Std Error]]</f>
        <v>0</v>
      </c>
      <c r="S1454" s="1" t="str">
        <f>IF(Table1[[#This Row],[High Tol]]="","N/A",IFERROR(ABS(Table1[[#This Row],[Tol Span]]/Table1[[#This Row],[Error Span]]),"N/A"))</f>
        <v>N/A</v>
      </c>
      <c r="T1454" s="1" t="str">
        <f>IF(OR(Table1[[#This Row],[Low Tol]]="",Table1[[#This Row],[High Tol]]=""),"Needs Analysis",IF(Table1[[#This Row],[Ratio]]&gt;=4,"Not Significant",IF(Table1[[#This Row],[Ratio]]&gt;=2,"Semi-Significant","Significant")))</f>
        <v>Needs Analysis</v>
      </c>
      <c r="W1454" s="1">
        <f>IF(Table1[[#This Row],[Cal Type]]&lt;&gt;"ACCREDITED 17025 WITH UNCERTAINTIES",0,"")</f>
        <v>0</v>
      </c>
      <c r="X1454" s="1" t="str">
        <f>IF(Table1[[#This Row],[DUT Read]]="","N/A",Table1[[#This Row],[Std Error]]+Table1[[#This Row],[DUT Read]]+Table1[[#This Row],[DUT Ucty]])</f>
        <v>N/A</v>
      </c>
      <c r="Y1454" s="1" t="str">
        <f>IF(Table1[[#This Row],[Std Read]]="","N/A",Table1[[#This Row],[Std Read]]+Table1[[#This Row],[Std Ucty]])</f>
        <v>N/A</v>
      </c>
      <c r="Z14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4" s="1" t="str">
        <f>IF(Table1[[#This Row],[Spec Type]]="","N/A",Table1[[#This Row],[Spec Type]])</f>
        <v>±</v>
      </c>
      <c r="AC1454" s="1" t="str">
        <f>IF(Table1[[#This Row],[Spec Type2]]="N/A","N/A",IF(AND(Table1[[#This Row],[DUT Adj Read]]&gt;=Table1[[#This Row],[Low Tol]],Table1[[#This Row],[DUT Adj Read]]&lt;=Table1[[#This Row],[High Tol]]),"Pass","Fail"))</f>
        <v>Fail</v>
      </c>
      <c r="AD1454" s="1" t="str">
        <f>IF(AND(Table1[[#This Row],[Spec Type2]]="N/A",Table1[[#This Row],[DUT Adj Read]]="N/A",Table1[[#This Row],[Std Adj Read]]="N/A"),"N/A",IF(Table1[[#This Row],[DUT Adj Read]]="N/A",IF(Table1[[#This Row],[Std Adj Read]]&gt;Table1[[#This Row],[Low Tol]],"Pass","Fail"),IF(Table1[[#This Row],[DUT Adj Read]]&gt;Table1[[#This Row],[Low Tol]],"Pass","Fail")))</f>
        <v>Pass</v>
      </c>
      <c r="AE1454" s="1" t="str">
        <f>IF(AND(Table1[[#This Row],[Spec Type2]]="N/A",Table1[[#This Row],[DUT Adj Read]]="N/A",Table1[[#This Row],[Std Adj Read]]="N/A"),"N/A",IF(Table1[[#This Row],[DUT Adj Read]]="N/A",IF(Table1[[#This Row],[Std Adj Read]]&lt;Table1[[#This Row],[High Tol]],"Pass","Fail"),IF(Table1[[#This Row],[DUT Adj Read]]&lt;Table1[[#This Row],[High Tol]],"Pass","Fail")))</f>
        <v>Fail</v>
      </c>
      <c r="AF1454" s="1" t="str">
        <f>IF(AND(Table1[[#This Row],[Spec Type2]]="N/A",Table1[[#This Row],[DUT Adj Read]]="N/A",Table1[[#This Row],[Std Adj Read]]="N/A"),"N/A",IF(Table1[[#This Row],[DUT Adj Read]]="N/A",IF(Table1[[#This Row],[Std Adj Read]]&gt;=Table1[[#This Row],[Low Tol]],"Pass","Fail"),IF(Table1[[#This Row],[DUT Adj Read]]&gt;=Table1[[#This Row],[Low Tol]],"Pass","Fail")))</f>
        <v>Pass</v>
      </c>
      <c r="AG1454" s="1" t="str">
        <f>IF(AND(Table1[[#This Row],[Spec Type2]]="N/A",Table1[[#This Row],[DUT Adj Read]]="N/A",Table1[[#This Row],[Std Adj Read]]="N/A"),"N/A",IF(Table1[[#This Row],[DUT Adj Read]]="N/A",IF(Table1[[#This Row],[Std Adj Read]]&lt;=Table1[[#This Row],[High Tol]],"Pass","Fail"),IF(Table1[[#This Row],[DUT Adj Read]]&lt;=Table1[[#This Row],[High Tol]],"Pass","Fail")))</f>
        <v>Fail</v>
      </c>
      <c r="AH14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4" s="1" t="b">
        <v>0</v>
      </c>
      <c r="AN1454" s="1" t="b">
        <v>0</v>
      </c>
      <c r="AO1454" s="1" t="b">
        <v>0</v>
      </c>
    </row>
    <row r="1455" spans="1:41" x14ac:dyDescent="0.25">
      <c r="A1455" s="10"/>
      <c r="B1455" s="10"/>
      <c r="C1455" s="10"/>
      <c r="D1455" s="10"/>
      <c r="E1455" s="10"/>
      <c r="F1455" s="10"/>
      <c r="G1455" s="10"/>
      <c r="H1455" s="10"/>
      <c r="I1455" s="1" t="str">
        <f t="shared" si="66"/>
        <v/>
      </c>
      <c r="J1455" s="1" t="s">
        <v>35</v>
      </c>
      <c r="K1455" s="1" t="str">
        <f t="shared" si="67"/>
        <v/>
      </c>
      <c r="L1455" s="1" t="str">
        <f t="shared" si="68"/>
        <v/>
      </c>
      <c r="M1455" s="1">
        <f>IF(OR(Table1[[#This Row],[Std Nom]]="",Table1[[#This Row],[Std Read]]=""),0,Table1[[#This Row],[Std Nom]]-Table1[[#This Row],[Std Read]])</f>
        <v>0</v>
      </c>
      <c r="N1455" s="1">
        <f>IF(Calculations!$F$5="ACCREDITED 17025 WITH UNCERTAINTIES",$N$10,0)</f>
        <v>0</v>
      </c>
      <c r="Q1455" s="1">
        <f>Table1[[#This Row],[High Tol]]-Table1[[#This Row],[Low Tol]]</f>
        <v>0</v>
      </c>
      <c r="R1455" s="1">
        <f>2*Table1[[#This Row],[Std Error]]</f>
        <v>0</v>
      </c>
      <c r="S1455" s="1" t="str">
        <f>IF(Table1[[#This Row],[High Tol]]="","N/A",IFERROR(ABS(Table1[[#This Row],[Tol Span]]/Table1[[#This Row],[Error Span]]),"N/A"))</f>
        <v>N/A</v>
      </c>
      <c r="T1455" s="1" t="str">
        <f>IF(OR(Table1[[#This Row],[Low Tol]]="",Table1[[#This Row],[High Tol]]=""),"Needs Analysis",IF(Table1[[#This Row],[Ratio]]&gt;=4,"Not Significant",IF(Table1[[#This Row],[Ratio]]&gt;=2,"Semi-Significant","Significant")))</f>
        <v>Needs Analysis</v>
      </c>
      <c r="W1455" s="1">
        <f>IF(Table1[[#This Row],[Cal Type]]&lt;&gt;"ACCREDITED 17025 WITH UNCERTAINTIES",0,"")</f>
        <v>0</v>
      </c>
      <c r="X1455" s="1" t="str">
        <f>IF(Table1[[#This Row],[DUT Read]]="","N/A",Table1[[#This Row],[Std Error]]+Table1[[#This Row],[DUT Read]]+Table1[[#This Row],[DUT Ucty]])</f>
        <v>N/A</v>
      </c>
      <c r="Y1455" s="1" t="str">
        <f>IF(Table1[[#This Row],[Std Read]]="","N/A",Table1[[#This Row],[Std Read]]+Table1[[#This Row],[Std Ucty]])</f>
        <v>N/A</v>
      </c>
      <c r="Z14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5" s="1" t="str">
        <f>IF(Table1[[#This Row],[Spec Type]]="","N/A",Table1[[#This Row],[Spec Type]])</f>
        <v>±</v>
      </c>
      <c r="AC1455" s="1" t="str">
        <f>IF(Table1[[#This Row],[Spec Type2]]="N/A","N/A",IF(AND(Table1[[#This Row],[DUT Adj Read]]&gt;=Table1[[#This Row],[Low Tol]],Table1[[#This Row],[DUT Adj Read]]&lt;=Table1[[#This Row],[High Tol]]),"Pass","Fail"))</f>
        <v>Fail</v>
      </c>
      <c r="AD1455" s="1" t="str">
        <f>IF(AND(Table1[[#This Row],[Spec Type2]]="N/A",Table1[[#This Row],[DUT Adj Read]]="N/A",Table1[[#This Row],[Std Adj Read]]="N/A"),"N/A",IF(Table1[[#This Row],[DUT Adj Read]]="N/A",IF(Table1[[#This Row],[Std Adj Read]]&gt;Table1[[#This Row],[Low Tol]],"Pass","Fail"),IF(Table1[[#This Row],[DUT Adj Read]]&gt;Table1[[#This Row],[Low Tol]],"Pass","Fail")))</f>
        <v>Pass</v>
      </c>
      <c r="AE1455" s="1" t="str">
        <f>IF(AND(Table1[[#This Row],[Spec Type2]]="N/A",Table1[[#This Row],[DUT Adj Read]]="N/A",Table1[[#This Row],[Std Adj Read]]="N/A"),"N/A",IF(Table1[[#This Row],[DUT Adj Read]]="N/A",IF(Table1[[#This Row],[Std Adj Read]]&lt;Table1[[#This Row],[High Tol]],"Pass","Fail"),IF(Table1[[#This Row],[DUT Adj Read]]&lt;Table1[[#This Row],[High Tol]],"Pass","Fail")))</f>
        <v>Fail</v>
      </c>
      <c r="AF1455" s="1" t="str">
        <f>IF(AND(Table1[[#This Row],[Spec Type2]]="N/A",Table1[[#This Row],[DUT Adj Read]]="N/A",Table1[[#This Row],[Std Adj Read]]="N/A"),"N/A",IF(Table1[[#This Row],[DUT Adj Read]]="N/A",IF(Table1[[#This Row],[Std Adj Read]]&gt;=Table1[[#This Row],[Low Tol]],"Pass","Fail"),IF(Table1[[#This Row],[DUT Adj Read]]&gt;=Table1[[#This Row],[Low Tol]],"Pass","Fail")))</f>
        <v>Pass</v>
      </c>
      <c r="AG1455" s="1" t="str">
        <f>IF(AND(Table1[[#This Row],[Spec Type2]]="N/A",Table1[[#This Row],[DUT Adj Read]]="N/A",Table1[[#This Row],[Std Adj Read]]="N/A"),"N/A",IF(Table1[[#This Row],[DUT Adj Read]]="N/A",IF(Table1[[#This Row],[Std Adj Read]]&lt;=Table1[[#This Row],[High Tol]],"Pass","Fail"),IF(Table1[[#This Row],[DUT Adj Read]]&lt;=Table1[[#This Row],[High Tol]],"Pass","Fail")))</f>
        <v>Fail</v>
      </c>
      <c r="AH14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5" s="1" t="b">
        <v>0</v>
      </c>
      <c r="AN1455" s="1" t="b">
        <v>0</v>
      </c>
      <c r="AO1455" s="1" t="b">
        <v>0</v>
      </c>
    </row>
    <row r="1456" spans="1:41" x14ac:dyDescent="0.25">
      <c r="A1456" s="10"/>
      <c r="B1456" s="10"/>
      <c r="C1456" s="10"/>
      <c r="D1456" s="10"/>
      <c r="E1456" s="10"/>
      <c r="F1456" s="10"/>
      <c r="G1456" s="10"/>
      <c r="H1456" s="10"/>
      <c r="I1456" s="1" t="str">
        <f t="shared" si="66"/>
        <v/>
      </c>
      <c r="J1456" s="1" t="s">
        <v>35</v>
      </c>
      <c r="K1456" s="1" t="str">
        <f t="shared" si="67"/>
        <v/>
      </c>
      <c r="L1456" s="1" t="str">
        <f t="shared" si="68"/>
        <v/>
      </c>
      <c r="M1456" s="1">
        <f>IF(OR(Table1[[#This Row],[Std Nom]]="",Table1[[#This Row],[Std Read]]=""),0,Table1[[#This Row],[Std Nom]]-Table1[[#This Row],[Std Read]])</f>
        <v>0</v>
      </c>
      <c r="N1456" s="1">
        <f>IF(Calculations!$F$5="ACCREDITED 17025 WITH UNCERTAINTIES",$N$10,0)</f>
        <v>0</v>
      </c>
      <c r="Q1456" s="1">
        <f>Table1[[#This Row],[High Tol]]-Table1[[#This Row],[Low Tol]]</f>
        <v>0</v>
      </c>
      <c r="R1456" s="1">
        <f>2*Table1[[#This Row],[Std Error]]</f>
        <v>0</v>
      </c>
      <c r="S1456" s="1" t="str">
        <f>IF(Table1[[#This Row],[High Tol]]="","N/A",IFERROR(ABS(Table1[[#This Row],[Tol Span]]/Table1[[#This Row],[Error Span]]),"N/A"))</f>
        <v>N/A</v>
      </c>
      <c r="T1456" s="1" t="str">
        <f>IF(OR(Table1[[#This Row],[Low Tol]]="",Table1[[#This Row],[High Tol]]=""),"Needs Analysis",IF(Table1[[#This Row],[Ratio]]&gt;=4,"Not Significant",IF(Table1[[#This Row],[Ratio]]&gt;=2,"Semi-Significant","Significant")))</f>
        <v>Needs Analysis</v>
      </c>
      <c r="W1456" s="1">
        <f>IF(Table1[[#This Row],[Cal Type]]&lt;&gt;"ACCREDITED 17025 WITH UNCERTAINTIES",0,"")</f>
        <v>0</v>
      </c>
      <c r="X1456" s="1" t="str">
        <f>IF(Table1[[#This Row],[DUT Read]]="","N/A",Table1[[#This Row],[Std Error]]+Table1[[#This Row],[DUT Read]]+Table1[[#This Row],[DUT Ucty]])</f>
        <v>N/A</v>
      </c>
      <c r="Y1456" s="1" t="str">
        <f>IF(Table1[[#This Row],[Std Read]]="","N/A",Table1[[#This Row],[Std Read]]+Table1[[#This Row],[Std Ucty]])</f>
        <v>N/A</v>
      </c>
      <c r="Z14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6" s="1" t="str">
        <f>IF(Table1[[#This Row],[Spec Type]]="","N/A",Table1[[#This Row],[Spec Type]])</f>
        <v>±</v>
      </c>
      <c r="AC1456" s="1" t="str">
        <f>IF(Table1[[#This Row],[Spec Type2]]="N/A","N/A",IF(AND(Table1[[#This Row],[DUT Adj Read]]&gt;=Table1[[#This Row],[Low Tol]],Table1[[#This Row],[DUT Adj Read]]&lt;=Table1[[#This Row],[High Tol]]),"Pass","Fail"))</f>
        <v>Fail</v>
      </c>
      <c r="AD1456" s="1" t="str">
        <f>IF(AND(Table1[[#This Row],[Spec Type2]]="N/A",Table1[[#This Row],[DUT Adj Read]]="N/A",Table1[[#This Row],[Std Adj Read]]="N/A"),"N/A",IF(Table1[[#This Row],[DUT Adj Read]]="N/A",IF(Table1[[#This Row],[Std Adj Read]]&gt;Table1[[#This Row],[Low Tol]],"Pass","Fail"),IF(Table1[[#This Row],[DUT Adj Read]]&gt;Table1[[#This Row],[Low Tol]],"Pass","Fail")))</f>
        <v>Pass</v>
      </c>
      <c r="AE1456" s="1" t="str">
        <f>IF(AND(Table1[[#This Row],[Spec Type2]]="N/A",Table1[[#This Row],[DUT Adj Read]]="N/A",Table1[[#This Row],[Std Adj Read]]="N/A"),"N/A",IF(Table1[[#This Row],[DUT Adj Read]]="N/A",IF(Table1[[#This Row],[Std Adj Read]]&lt;Table1[[#This Row],[High Tol]],"Pass","Fail"),IF(Table1[[#This Row],[DUT Adj Read]]&lt;Table1[[#This Row],[High Tol]],"Pass","Fail")))</f>
        <v>Fail</v>
      </c>
      <c r="AF1456" s="1" t="str">
        <f>IF(AND(Table1[[#This Row],[Spec Type2]]="N/A",Table1[[#This Row],[DUT Adj Read]]="N/A",Table1[[#This Row],[Std Adj Read]]="N/A"),"N/A",IF(Table1[[#This Row],[DUT Adj Read]]="N/A",IF(Table1[[#This Row],[Std Adj Read]]&gt;=Table1[[#This Row],[Low Tol]],"Pass","Fail"),IF(Table1[[#This Row],[DUT Adj Read]]&gt;=Table1[[#This Row],[Low Tol]],"Pass","Fail")))</f>
        <v>Pass</v>
      </c>
      <c r="AG1456" s="1" t="str">
        <f>IF(AND(Table1[[#This Row],[Spec Type2]]="N/A",Table1[[#This Row],[DUT Adj Read]]="N/A",Table1[[#This Row],[Std Adj Read]]="N/A"),"N/A",IF(Table1[[#This Row],[DUT Adj Read]]="N/A",IF(Table1[[#This Row],[Std Adj Read]]&lt;=Table1[[#This Row],[High Tol]],"Pass","Fail"),IF(Table1[[#This Row],[DUT Adj Read]]&lt;=Table1[[#This Row],[High Tol]],"Pass","Fail")))</f>
        <v>Fail</v>
      </c>
      <c r="AH14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6" s="1" t="b">
        <v>0</v>
      </c>
      <c r="AN1456" s="1" t="b">
        <v>0</v>
      </c>
      <c r="AO1456" s="1" t="b">
        <v>0</v>
      </c>
    </row>
    <row r="1457" spans="1:41" x14ac:dyDescent="0.25">
      <c r="A1457" s="10"/>
      <c r="B1457" s="10"/>
      <c r="C1457" s="10"/>
      <c r="D1457" s="10"/>
      <c r="E1457" s="10"/>
      <c r="F1457" s="10"/>
      <c r="G1457" s="10"/>
      <c r="H1457" s="10"/>
      <c r="I1457" s="1" t="str">
        <f t="shared" si="66"/>
        <v/>
      </c>
      <c r="J1457" s="1" t="s">
        <v>35</v>
      </c>
      <c r="K1457" s="1" t="str">
        <f t="shared" si="67"/>
        <v/>
      </c>
      <c r="L1457" s="1" t="str">
        <f t="shared" si="68"/>
        <v/>
      </c>
      <c r="M1457" s="1">
        <f>IF(OR(Table1[[#This Row],[Std Nom]]="",Table1[[#This Row],[Std Read]]=""),0,Table1[[#This Row],[Std Nom]]-Table1[[#This Row],[Std Read]])</f>
        <v>0</v>
      </c>
      <c r="N1457" s="1">
        <f>IF(Calculations!$F$5="ACCREDITED 17025 WITH UNCERTAINTIES",$N$10,0)</f>
        <v>0</v>
      </c>
      <c r="Q1457" s="1">
        <f>Table1[[#This Row],[High Tol]]-Table1[[#This Row],[Low Tol]]</f>
        <v>0</v>
      </c>
      <c r="R1457" s="1">
        <f>2*Table1[[#This Row],[Std Error]]</f>
        <v>0</v>
      </c>
      <c r="S1457" s="1" t="str">
        <f>IF(Table1[[#This Row],[High Tol]]="","N/A",IFERROR(ABS(Table1[[#This Row],[Tol Span]]/Table1[[#This Row],[Error Span]]),"N/A"))</f>
        <v>N/A</v>
      </c>
      <c r="T1457" s="1" t="str">
        <f>IF(OR(Table1[[#This Row],[Low Tol]]="",Table1[[#This Row],[High Tol]]=""),"Needs Analysis",IF(Table1[[#This Row],[Ratio]]&gt;=4,"Not Significant",IF(Table1[[#This Row],[Ratio]]&gt;=2,"Semi-Significant","Significant")))</f>
        <v>Needs Analysis</v>
      </c>
      <c r="W1457" s="1">
        <f>IF(Table1[[#This Row],[Cal Type]]&lt;&gt;"ACCREDITED 17025 WITH UNCERTAINTIES",0,"")</f>
        <v>0</v>
      </c>
      <c r="X1457" s="1" t="str">
        <f>IF(Table1[[#This Row],[DUT Read]]="","N/A",Table1[[#This Row],[Std Error]]+Table1[[#This Row],[DUT Read]]+Table1[[#This Row],[DUT Ucty]])</f>
        <v>N/A</v>
      </c>
      <c r="Y1457" s="1" t="str">
        <f>IF(Table1[[#This Row],[Std Read]]="","N/A",Table1[[#This Row],[Std Read]]+Table1[[#This Row],[Std Ucty]])</f>
        <v>N/A</v>
      </c>
      <c r="Z14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7" s="1" t="str">
        <f>IF(Table1[[#This Row],[Spec Type]]="","N/A",Table1[[#This Row],[Spec Type]])</f>
        <v>±</v>
      </c>
      <c r="AC1457" s="1" t="str">
        <f>IF(Table1[[#This Row],[Spec Type2]]="N/A","N/A",IF(AND(Table1[[#This Row],[DUT Adj Read]]&gt;=Table1[[#This Row],[Low Tol]],Table1[[#This Row],[DUT Adj Read]]&lt;=Table1[[#This Row],[High Tol]]),"Pass","Fail"))</f>
        <v>Fail</v>
      </c>
      <c r="AD1457" s="1" t="str">
        <f>IF(AND(Table1[[#This Row],[Spec Type2]]="N/A",Table1[[#This Row],[DUT Adj Read]]="N/A",Table1[[#This Row],[Std Adj Read]]="N/A"),"N/A",IF(Table1[[#This Row],[DUT Adj Read]]="N/A",IF(Table1[[#This Row],[Std Adj Read]]&gt;Table1[[#This Row],[Low Tol]],"Pass","Fail"),IF(Table1[[#This Row],[DUT Adj Read]]&gt;Table1[[#This Row],[Low Tol]],"Pass","Fail")))</f>
        <v>Pass</v>
      </c>
      <c r="AE1457" s="1" t="str">
        <f>IF(AND(Table1[[#This Row],[Spec Type2]]="N/A",Table1[[#This Row],[DUT Adj Read]]="N/A",Table1[[#This Row],[Std Adj Read]]="N/A"),"N/A",IF(Table1[[#This Row],[DUT Adj Read]]="N/A",IF(Table1[[#This Row],[Std Adj Read]]&lt;Table1[[#This Row],[High Tol]],"Pass","Fail"),IF(Table1[[#This Row],[DUT Adj Read]]&lt;Table1[[#This Row],[High Tol]],"Pass","Fail")))</f>
        <v>Fail</v>
      </c>
      <c r="AF1457" s="1" t="str">
        <f>IF(AND(Table1[[#This Row],[Spec Type2]]="N/A",Table1[[#This Row],[DUT Adj Read]]="N/A",Table1[[#This Row],[Std Adj Read]]="N/A"),"N/A",IF(Table1[[#This Row],[DUT Adj Read]]="N/A",IF(Table1[[#This Row],[Std Adj Read]]&gt;=Table1[[#This Row],[Low Tol]],"Pass","Fail"),IF(Table1[[#This Row],[DUT Adj Read]]&gt;=Table1[[#This Row],[Low Tol]],"Pass","Fail")))</f>
        <v>Pass</v>
      </c>
      <c r="AG1457" s="1" t="str">
        <f>IF(AND(Table1[[#This Row],[Spec Type2]]="N/A",Table1[[#This Row],[DUT Adj Read]]="N/A",Table1[[#This Row],[Std Adj Read]]="N/A"),"N/A",IF(Table1[[#This Row],[DUT Adj Read]]="N/A",IF(Table1[[#This Row],[Std Adj Read]]&lt;=Table1[[#This Row],[High Tol]],"Pass","Fail"),IF(Table1[[#This Row],[DUT Adj Read]]&lt;=Table1[[#This Row],[High Tol]],"Pass","Fail")))</f>
        <v>Fail</v>
      </c>
      <c r="AH14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7" s="1" t="b">
        <v>0</v>
      </c>
      <c r="AN1457" s="1" t="b">
        <v>0</v>
      </c>
      <c r="AO1457" s="1" t="b">
        <v>0</v>
      </c>
    </row>
    <row r="1458" spans="1:41" x14ac:dyDescent="0.25">
      <c r="A1458" s="10"/>
      <c r="B1458" s="10"/>
      <c r="C1458" s="10"/>
      <c r="D1458" s="10"/>
      <c r="E1458" s="10"/>
      <c r="F1458" s="10"/>
      <c r="G1458" s="10"/>
      <c r="H1458" s="10"/>
      <c r="I1458" s="1" t="str">
        <f t="shared" si="66"/>
        <v/>
      </c>
      <c r="J1458" s="1" t="s">
        <v>35</v>
      </c>
      <c r="K1458" s="1" t="str">
        <f t="shared" si="67"/>
        <v/>
      </c>
      <c r="L1458" s="1" t="str">
        <f t="shared" si="68"/>
        <v/>
      </c>
      <c r="M1458" s="1">
        <f>IF(OR(Table1[[#This Row],[Std Nom]]="",Table1[[#This Row],[Std Read]]=""),0,Table1[[#This Row],[Std Nom]]-Table1[[#This Row],[Std Read]])</f>
        <v>0</v>
      </c>
      <c r="N1458" s="1">
        <f>IF(Calculations!$F$5="ACCREDITED 17025 WITH UNCERTAINTIES",$N$10,0)</f>
        <v>0</v>
      </c>
      <c r="Q1458" s="1">
        <f>Table1[[#This Row],[High Tol]]-Table1[[#This Row],[Low Tol]]</f>
        <v>0</v>
      </c>
      <c r="R1458" s="1">
        <f>2*Table1[[#This Row],[Std Error]]</f>
        <v>0</v>
      </c>
      <c r="S1458" s="1" t="str">
        <f>IF(Table1[[#This Row],[High Tol]]="","N/A",IFERROR(ABS(Table1[[#This Row],[Tol Span]]/Table1[[#This Row],[Error Span]]),"N/A"))</f>
        <v>N/A</v>
      </c>
      <c r="T1458" s="1" t="str">
        <f>IF(OR(Table1[[#This Row],[Low Tol]]="",Table1[[#This Row],[High Tol]]=""),"Needs Analysis",IF(Table1[[#This Row],[Ratio]]&gt;=4,"Not Significant",IF(Table1[[#This Row],[Ratio]]&gt;=2,"Semi-Significant","Significant")))</f>
        <v>Needs Analysis</v>
      </c>
      <c r="W1458" s="1">
        <f>IF(Table1[[#This Row],[Cal Type]]&lt;&gt;"ACCREDITED 17025 WITH UNCERTAINTIES",0,"")</f>
        <v>0</v>
      </c>
      <c r="X1458" s="1" t="str">
        <f>IF(Table1[[#This Row],[DUT Read]]="","N/A",Table1[[#This Row],[Std Error]]+Table1[[#This Row],[DUT Read]]+Table1[[#This Row],[DUT Ucty]])</f>
        <v>N/A</v>
      </c>
      <c r="Y1458" s="1" t="str">
        <f>IF(Table1[[#This Row],[Std Read]]="","N/A",Table1[[#This Row],[Std Read]]+Table1[[#This Row],[Std Ucty]])</f>
        <v>N/A</v>
      </c>
      <c r="Z14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8" s="1" t="str">
        <f>IF(Table1[[#This Row],[Spec Type]]="","N/A",Table1[[#This Row],[Spec Type]])</f>
        <v>±</v>
      </c>
      <c r="AC1458" s="1" t="str">
        <f>IF(Table1[[#This Row],[Spec Type2]]="N/A","N/A",IF(AND(Table1[[#This Row],[DUT Adj Read]]&gt;=Table1[[#This Row],[Low Tol]],Table1[[#This Row],[DUT Adj Read]]&lt;=Table1[[#This Row],[High Tol]]),"Pass","Fail"))</f>
        <v>Fail</v>
      </c>
      <c r="AD1458" s="1" t="str">
        <f>IF(AND(Table1[[#This Row],[Spec Type2]]="N/A",Table1[[#This Row],[DUT Adj Read]]="N/A",Table1[[#This Row],[Std Adj Read]]="N/A"),"N/A",IF(Table1[[#This Row],[DUT Adj Read]]="N/A",IF(Table1[[#This Row],[Std Adj Read]]&gt;Table1[[#This Row],[Low Tol]],"Pass","Fail"),IF(Table1[[#This Row],[DUT Adj Read]]&gt;Table1[[#This Row],[Low Tol]],"Pass","Fail")))</f>
        <v>Pass</v>
      </c>
      <c r="AE1458" s="1" t="str">
        <f>IF(AND(Table1[[#This Row],[Spec Type2]]="N/A",Table1[[#This Row],[DUT Adj Read]]="N/A",Table1[[#This Row],[Std Adj Read]]="N/A"),"N/A",IF(Table1[[#This Row],[DUT Adj Read]]="N/A",IF(Table1[[#This Row],[Std Adj Read]]&lt;Table1[[#This Row],[High Tol]],"Pass","Fail"),IF(Table1[[#This Row],[DUT Adj Read]]&lt;Table1[[#This Row],[High Tol]],"Pass","Fail")))</f>
        <v>Fail</v>
      </c>
      <c r="AF1458" s="1" t="str">
        <f>IF(AND(Table1[[#This Row],[Spec Type2]]="N/A",Table1[[#This Row],[DUT Adj Read]]="N/A",Table1[[#This Row],[Std Adj Read]]="N/A"),"N/A",IF(Table1[[#This Row],[DUT Adj Read]]="N/A",IF(Table1[[#This Row],[Std Adj Read]]&gt;=Table1[[#This Row],[Low Tol]],"Pass","Fail"),IF(Table1[[#This Row],[DUT Adj Read]]&gt;=Table1[[#This Row],[Low Tol]],"Pass","Fail")))</f>
        <v>Pass</v>
      </c>
      <c r="AG1458" s="1" t="str">
        <f>IF(AND(Table1[[#This Row],[Spec Type2]]="N/A",Table1[[#This Row],[DUT Adj Read]]="N/A",Table1[[#This Row],[Std Adj Read]]="N/A"),"N/A",IF(Table1[[#This Row],[DUT Adj Read]]="N/A",IF(Table1[[#This Row],[Std Adj Read]]&lt;=Table1[[#This Row],[High Tol]],"Pass","Fail"),IF(Table1[[#This Row],[DUT Adj Read]]&lt;=Table1[[#This Row],[High Tol]],"Pass","Fail")))</f>
        <v>Fail</v>
      </c>
      <c r="AH14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8" s="1" t="b">
        <v>0</v>
      </c>
      <c r="AN1458" s="1" t="b">
        <v>0</v>
      </c>
      <c r="AO1458" s="1" t="b">
        <v>0</v>
      </c>
    </row>
    <row r="1459" spans="1:41" x14ac:dyDescent="0.25">
      <c r="A1459" s="10"/>
      <c r="B1459" s="10"/>
      <c r="C1459" s="10"/>
      <c r="D1459" s="10"/>
      <c r="E1459" s="10"/>
      <c r="F1459" s="10"/>
      <c r="G1459" s="10"/>
      <c r="H1459" s="10"/>
      <c r="I1459" s="1" t="str">
        <f t="shared" si="66"/>
        <v/>
      </c>
      <c r="J1459" s="1" t="s">
        <v>35</v>
      </c>
      <c r="K1459" s="1" t="str">
        <f t="shared" si="67"/>
        <v/>
      </c>
      <c r="L1459" s="1" t="str">
        <f t="shared" si="68"/>
        <v/>
      </c>
      <c r="M1459" s="1">
        <f>IF(OR(Table1[[#This Row],[Std Nom]]="",Table1[[#This Row],[Std Read]]=""),0,Table1[[#This Row],[Std Nom]]-Table1[[#This Row],[Std Read]])</f>
        <v>0</v>
      </c>
      <c r="N1459" s="1">
        <f>IF(Calculations!$F$5="ACCREDITED 17025 WITH UNCERTAINTIES",$N$10,0)</f>
        <v>0</v>
      </c>
      <c r="Q1459" s="1">
        <f>Table1[[#This Row],[High Tol]]-Table1[[#This Row],[Low Tol]]</f>
        <v>0</v>
      </c>
      <c r="R1459" s="1">
        <f>2*Table1[[#This Row],[Std Error]]</f>
        <v>0</v>
      </c>
      <c r="S1459" s="1" t="str">
        <f>IF(Table1[[#This Row],[High Tol]]="","N/A",IFERROR(ABS(Table1[[#This Row],[Tol Span]]/Table1[[#This Row],[Error Span]]),"N/A"))</f>
        <v>N/A</v>
      </c>
      <c r="T1459" s="1" t="str">
        <f>IF(OR(Table1[[#This Row],[Low Tol]]="",Table1[[#This Row],[High Tol]]=""),"Needs Analysis",IF(Table1[[#This Row],[Ratio]]&gt;=4,"Not Significant",IF(Table1[[#This Row],[Ratio]]&gt;=2,"Semi-Significant","Significant")))</f>
        <v>Needs Analysis</v>
      </c>
      <c r="W1459" s="1">
        <f>IF(Table1[[#This Row],[Cal Type]]&lt;&gt;"ACCREDITED 17025 WITH UNCERTAINTIES",0,"")</f>
        <v>0</v>
      </c>
      <c r="X1459" s="1" t="str">
        <f>IF(Table1[[#This Row],[DUT Read]]="","N/A",Table1[[#This Row],[Std Error]]+Table1[[#This Row],[DUT Read]]+Table1[[#This Row],[DUT Ucty]])</f>
        <v>N/A</v>
      </c>
      <c r="Y1459" s="1" t="str">
        <f>IF(Table1[[#This Row],[Std Read]]="","N/A",Table1[[#This Row],[Std Read]]+Table1[[#This Row],[Std Ucty]])</f>
        <v>N/A</v>
      </c>
      <c r="Z14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59" s="1" t="str">
        <f>IF(Table1[[#This Row],[Spec Type]]="","N/A",Table1[[#This Row],[Spec Type]])</f>
        <v>±</v>
      </c>
      <c r="AC1459" s="1" t="str">
        <f>IF(Table1[[#This Row],[Spec Type2]]="N/A","N/A",IF(AND(Table1[[#This Row],[DUT Adj Read]]&gt;=Table1[[#This Row],[Low Tol]],Table1[[#This Row],[DUT Adj Read]]&lt;=Table1[[#This Row],[High Tol]]),"Pass","Fail"))</f>
        <v>Fail</v>
      </c>
      <c r="AD1459" s="1" t="str">
        <f>IF(AND(Table1[[#This Row],[Spec Type2]]="N/A",Table1[[#This Row],[DUT Adj Read]]="N/A",Table1[[#This Row],[Std Adj Read]]="N/A"),"N/A",IF(Table1[[#This Row],[DUT Adj Read]]="N/A",IF(Table1[[#This Row],[Std Adj Read]]&gt;Table1[[#This Row],[Low Tol]],"Pass","Fail"),IF(Table1[[#This Row],[DUT Adj Read]]&gt;Table1[[#This Row],[Low Tol]],"Pass","Fail")))</f>
        <v>Pass</v>
      </c>
      <c r="AE1459" s="1" t="str">
        <f>IF(AND(Table1[[#This Row],[Spec Type2]]="N/A",Table1[[#This Row],[DUT Adj Read]]="N/A",Table1[[#This Row],[Std Adj Read]]="N/A"),"N/A",IF(Table1[[#This Row],[DUT Adj Read]]="N/A",IF(Table1[[#This Row],[Std Adj Read]]&lt;Table1[[#This Row],[High Tol]],"Pass","Fail"),IF(Table1[[#This Row],[DUT Adj Read]]&lt;Table1[[#This Row],[High Tol]],"Pass","Fail")))</f>
        <v>Fail</v>
      </c>
      <c r="AF1459" s="1" t="str">
        <f>IF(AND(Table1[[#This Row],[Spec Type2]]="N/A",Table1[[#This Row],[DUT Adj Read]]="N/A",Table1[[#This Row],[Std Adj Read]]="N/A"),"N/A",IF(Table1[[#This Row],[DUT Adj Read]]="N/A",IF(Table1[[#This Row],[Std Adj Read]]&gt;=Table1[[#This Row],[Low Tol]],"Pass","Fail"),IF(Table1[[#This Row],[DUT Adj Read]]&gt;=Table1[[#This Row],[Low Tol]],"Pass","Fail")))</f>
        <v>Pass</v>
      </c>
      <c r="AG1459" s="1" t="str">
        <f>IF(AND(Table1[[#This Row],[Spec Type2]]="N/A",Table1[[#This Row],[DUT Adj Read]]="N/A",Table1[[#This Row],[Std Adj Read]]="N/A"),"N/A",IF(Table1[[#This Row],[DUT Adj Read]]="N/A",IF(Table1[[#This Row],[Std Adj Read]]&lt;=Table1[[#This Row],[High Tol]],"Pass","Fail"),IF(Table1[[#This Row],[DUT Adj Read]]&lt;=Table1[[#This Row],[High Tol]],"Pass","Fail")))</f>
        <v>Fail</v>
      </c>
      <c r="AH14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59" s="1" t="b">
        <v>0</v>
      </c>
      <c r="AN1459" s="1" t="b">
        <v>0</v>
      </c>
      <c r="AO1459" s="1" t="b">
        <v>0</v>
      </c>
    </row>
    <row r="1460" spans="1:41" x14ac:dyDescent="0.25">
      <c r="A1460" s="10"/>
      <c r="B1460" s="10"/>
      <c r="C1460" s="10"/>
      <c r="D1460" s="10"/>
      <c r="E1460" s="10"/>
      <c r="F1460" s="10"/>
      <c r="G1460" s="10"/>
      <c r="H1460" s="10"/>
      <c r="I1460" s="1" t="str">
        <f t="shared" si="66"/>
        <v/>
      </c>
      <c r="J1460" s="1" t="s">
        <v>35</v>
      </c>
      <c r="K1460" s="1" t="str">
        <f t="shared" si="67"/>
        <v/>
      </c>
      <c r="L1460" s="1" t="str">
        <f t="shared" si="68"/>
        <v/>
      </c>
      <c r="M1460" s="1">
        <f>IF(OR(Table1[[#This Row],[Std Nom]]="",Table1[[#This Row],[Std Read]]=""),0,Table1[[#This Row],[Std Nom]]-Table1[[#This Row],[Std Read]])</f>
        <v>0</v>
      </c>
      <c r="N1460" s="1">
        <f>IF(Calculations!$F$5="ACCREDITED 17025 WITH UNCERTAINTIES",$N$10,0)</f>
        <v>0</v>
      </c>
      <c r="Q1460" s="1">
        <f>Table1[[#This Row],[High Tol]]-Table1[[#This Row],[Low Tol]]</f>
        <v>0</v>
      </c>
      <c r="R1460" s="1">
        <f>2*Table1[[#This Row],[Std Error]]</f>
        <v>0</v>
      </c>
      <c r="S1460" s="1" t="str">
        <f>IF(Table1[[#This Row],[High Tol]]="","N/A",IFERROR(ABS(Table1[[#This Row],[Tol Span]]/Table1[[#This Row],[Error Span]]),"N/A"))</f>
        <v>N/A</v>
      </c>
      <c r="T1460" s="1" t="str">
        <f>IF(OR(Table1[[#This Row],[Low Tol]]="",Table1[[#This Row],[High Tol]]=""),"Needs Analysis",IF(Table1[[#This Row],[Ratio]]&gt;=4,"Not Significant",IF(Table1[[#This Row],[Ratio]]&gt;=2,"Semi-Significant","Significant")))</f>
        <v>Needs Analysis</v>
      </c>
      <c r="W1460" s="1">
        <f>IF(Table1[[#This Row],[Cal Type]]&lt;&gt;"ACCREDITED 17025 WITH UNCERTAINTIES",0,"")</f>
        <v>0</v>
      </c>
      <c r="X1460" s="1" t="str">
        <f>IF(Table1[[#This Row],[DUT Read]]="","N/A",Table1[[#This Row],[Std Error]]+Table1[[#This Row],[DUT Read]]+Table1[[#This Row],[DUT Ucty]])</f>
        <v>N/A</v>
      </c>
      <c r="Y1460" s="1" t="str">
        <f>IF(Table1[[#This Row],[Std Read]]="","N/A",Table1[[#This Row],[Std Read]]+Table1[[#This Row],[Std Ucty]])</f>
        <v>N/A</v>
      </c>
      <c r="Z14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0" s="1" t="str">
        <f>IF(Table1[[#This Row],[Spec Type]]="","N/A",Table1[[#This Row],[Spec Type]])</f>
        <v>±</v>
      </c>
      <c r="AC1460" s="1" t="str">
        <f>IF(Table1[[#This Row],[Spec Type2]]="N/A","N/A",IF(AND(Table1[[#This Row],[DUT Adj Read]]&gt;=Table1[[#This Row],[Low Tol]],Table1[[#This Row],[DUT Adj Read]]&lt;=Table1[[#This Row],[High Tol]]),"Pass","Fail"))</f>
        <v>Fail</v>
      </c>
      <c r="AD1460" s="1" t="str">
        <f>IF(AND(Table1[[#This Row],[Spec Type2]]="N/A",Table1[[#This Row],[DUT Adj Read]]="N/A",Table1[[#This Row],[Std Adj Read]]="N/A"),"N/A",IF(Table1[[#This Row],[DUT Adj Read]]="N/A",IF(Table1[[#This Row],[Std Adj Read]]&gt;Table1[[#This Row],[Low Tol]],"Pass","Fail"),IF(Table1[[#This Row],[DUT Adj Read]]&gt;Table1[[#This Row],[Low Tol]],"Pass","Fail")))</f>
        <v>Pass</v>
      </c>
      <c r="AE1460" s="1" t="str">
        <f>IF(AND(Table1[[#This Row],[Spec Type2]]="N/A",Table1[[#This Row],[DUT Adj Read]]="N/A",Table1[[#This Row],[Std Adj Read]]="N/A"),"N/A",IF(Table1[[#This Row],[DUT Adj Read]]="N/A",IF(Table1[[#This Row],[Std Adj Read]]&lt;Table1[[#This Row],[High Tol]],"Pass","Fail"),IF(Table1[[#This Row],[DUT Adj Read]]&lt;Table1[[#This Row],[High Tol]],"Pass","Fail")))</f>
        <v>Fail</v>
      </c>
      <c r="AF1460" s="1" t="str">
        <f>IF(AND(Table1[[#This Row],[Spec Type2]]="N/A",Table1[[#This Row],[DUT Adj Read]]="N/A",Table1[[#This Row],[Std Adj Read]]="N/A"),"N/A",IF(Table1[[#This Row],[DUT Adj Read]]="N/A",IF(Table1[[#This Row],[Std Adj Read]]&gt;=Table1[[#This Row],[Low Tol]],"Pass","Fail"),IF(Table1[[#This Row],[DUT Adj Read]]&gt;=Table1[[#This Row],[Low Tol]],"Pass","Fail")))</f>
        <v>Pass</v>
      </c>
      <c r="AG1460" s="1" t="str">
        <f>IF(AND(Table1[[#This Row],[Spec Type2]]="N/A",Table1[[#This Row],[DUT Adj Read]]="N/A",Table1[[#This Row],[Std Adj Read]]="N/A"),"N/A",IF(Table1[[#This Row],[DUT Adj Read]]="N/A",IF(Table1[[#This Row],[Std Adj Read]]&lt;=Table1[[#This Row],[High Tol]],"Pass","Fail"),IF(Table1[[#This Row],[DUT Adj Read]]&lt;=Table1[[#This Row],[High Tol]],"Pass","Fail")))</f>
        <v>Fail</v>
      </c>
      <c r="AH14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0" s="1" t="b">
        <v>0</v>
      </c>
      <c r="AN1460" s="1" t="b">
        <v>0</v>
      </c>
      <c r="AO1460" s="1" t="b">
        <v>0</v>
      </c>
    </row>
    <row r="1461" spans="1:41" x14ac:dyDescent="0.25">
      <c r="A1461" s="10"/>
      <c r="B1461" s="10"/>
      <c r="C1461" s="10"/>
      <c r="D1461" s="10"/>
      <c r="E1461" s="10"/>
      <c r="F1461" s="10"/>
      <c r="G1461" s="10"/>
      <c r="H1461" s="10"/>
      <c r="I1461" s="1" t="str">
        <f t="shared" si="66"/>
        <v/>
      </c>
      <c r="J1461" s="1" t="s">
        <v>35</v>
      </c>
      <c r="K1461" s="1" t="str">
        <f t="shared" si="67"/>
        <v/>
      </c>
      <c r="L1461" s="1" t="str">
        <f t="shared" si="68"/>
        <v/>
      </c>
      <c r="M1461" s="1">
        <f>IF(OR(Table1[[#This Row],[Std Nom]]="",Table1[[#This Row],[Std Read]]=""),0,Table1[[#This Row],[Std Nom]]-Table1[[#This Row],[Std Read]])</f>
        <v>0</v>
      </c>
      <c r="N1461" s="1">
        <f>IF(Calculations!$F$5="ACCREDITED 17025 WITH UNCERTAINTIES",$N$10,0)</f>
        <v>0</v>
      </c>
      <c r="Q1461" s="1">
        <f>Table1[[#This Row],[High Tol]]-Table1[[#This Row],[Low Tol]]</f>
        <v>0</v>
      </c>
      <c r="R1461" s="1">
        <f>2*Table1[[#This Row],[Std Error]]</f>
        <v>0</v>
      </c>
      <c r="S1461" s="1" t="str">
        <f>IF(Table1[[#This Row],[High Tol]]="","N/A",IFERROR(ABS(Table1[[#This Row],[Tol Span]]/Table1[[#This Row],[Error Span]]),"N/A"))</f>
        <v>N/A</v>
      </c>
      <c r="T1461" s="1" t="str">
        <f>IF(OR(Table1[[#This Row],[Low Tol]]="",Table1[[#This Row],[High Tol]]=""),"Needs Analysis",IF(Table1[[#This Row],[Ratio]]&gt;=4,"Not Significant",IF(Table1[[#This Row],[Ratio]]&gt;=2,"Semi-Significant","Significant")))</f>
        <v>Needs Analysis</v>
      </c>
      <c r="W1461" s="1">
        <f>IF(Table1[[#This Row],[Cal Type]]&lt;&gt;"ACCREDITED 17025 WITH UNCERTAINTIES",0,"")</f>
        <v>0</v>
      </c>
      <c r="X1461" s="1" t="str">
        <f>IF(Table1[[#This Row],[DUT Read]]="","N/A",Table1[[#This Row],[Std Error]]+Table1[[#This Row],[DUT Read]]+Table1[[#This Row],[DUT Ucty]])</f>
        <v>N/A</v>
      </c>
      <c r="Y1461" s="1" t="str">
        <f>IF(Table1[[#This Row],[Std Read]]="","N/A",Table1[[#This Row],[Std Read]]+Table1[[#This Row],[Std Ucty]])</f>
        <v>N/A</v>
      </c>
      <c r="Z14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1" s="1" t="str">
        <f>IF(Table1[[#This Row],[Spec Type]]="","N/A",Table1[[#This Row],[Spec Type]])</f>
        <v>±</v>
      </c>
      <c r="AC1461" s="1" t="str">
        <f>IF(Table1[[#This Row],[Spec Type2]]="N/A","N/A",IF(AND(Table1[[#This Row],[DUT Adj Read]]&gt;=Table1[[#This Row],[Low Tol]],Table1[[#This Row],[DUT Adj Read]]&lt;=Table1[[#This Row],[High Tol]]),"Pass","Fail"))</f>
        <v>Fail</v>
      </c>
      <c r="AD1461" s="1" t="str">
        <f>IF(AND(Table1[[#This Row],[Spec Type2]]="N/A",Table1[[#This Row],[DUT Adj Read]]="N/A",Table1[[#This Row],[Std Adj Read]]="N/A"),"N/A",IF(Table1[[#This Row],[DUT Adj Read]]="N/A",IF(Table1[[#This Row],[Std Adj Read]]&gt;Table1[[#This Row],[Low Tol]],"Pass","Fail"),IF(Table1[[#This Row],[DUT Adj Read]]&gt;Table1[[#This Row],[Low Tol]],"Pass","Fail")))</f>
        <v>Pass</v>
      </c>
      <c r="AE1461" s="1" t="str">
        <f>IF(AND(Table1[[#This Row],[Spec Type2]]="N/A",Table1[[#This Row],[DUT Adj Read]]="N/A",Table1[[#This Row],[Std Adj Read]]="N/A"),"N/A",IF(Table1[[#This Row],[DUT Adj Read]]="N/A",IF(Table1[[#This Row],[Std Adj Read]]&lt;Table1[[#This Row],[High Tol]],"Pass","Fail"),IF(Table1[[#This Row],[DUT Adj Read]]&lt;Table1[[#This Row],[High Tol]],"Pass","Fail")))</f>
        <v>Fail</v>
      </c>
      <c r="AF1461" s="1" t="str">
        <f>IF(AND(Table1[[#This Row],[Spec Type2]]="N/A",Table1[[#This Row],[DUT Adj Read]]="N/A",Table1[[#This Row],[Std Adj Read]]="N/A"),"N/A",IF(Table1[[#This Row],[DUT Adj Read]]="N/A",IF(Table1[[#This Row],[Std Adj Read]]&gt;=Table1[[#This Row],[Low Tol]],"Pass","Fail"),IF(Table1[[#This Row],[DUT Adj Read]]&gt;=Table1[[#This Row],[Low Tol]],"Pass","Fail")))</f>
        <v>Pass</v>
      </c>
      <c r="AG1461" s="1" t="str">
        <f>IF(AND(Table1[[#This Row],[Spec Type2]]="N/A",Table1[[#This Row],[DUT Adj Read]]="N/A",Table1[[#This Row],[Std Adj Read]]="N/A"),"N/A",IF(Table1[[#This Row],[DUT Adj Read]]="N/A",IF(Table1[[#This Row],[Std Adj Read]]&lt;=Table1[[#This Row],[High Tol]],"Pass","Fail"),IF(Table1[[#This Row],[DUT Adj Read]]&lt;=Table1[[#This Row],[High Tol]],"Pass","Fail")))</f>
        <v>Fail</v>
      </c>
      <c r="AH14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1" s="1" t="b">
        <v>0</v>
      </c>
      <c r="AN1461" s="1" t="b">
        <v>0</v>
      </c>
      <c r="AO1461" s="1" t="b">
        <v>0</v>
      </c>
    </row>
    <row r="1462" spans="1:41" x14ac:dyDescent="0.25">
      <c r="A1462" s="10"/>
      <c r="B1462" s="10"/>
      <c r="C1462" s="10"/>
      <c r="D1462" s="10"/>
      <c r="E1462" s="10"/>
      <c r="F1462" s="10"/>
      <c r="G1462" s="10"/>
      <c r="H1462" s="10"/>
      <c r="I1462" s="1" t="str">
        <f t="shared" si="66"/>
        <v/>
      </c>
      <c r="J1462" s="1" t="s">
        <v>35</v>
      </c>
      <c r="K1462" s="1" t="str">
        <f t="shared" si="67"/>
        <v/>
      </c>
      <c r="L1462" s="1" t="str">
        <f t="shared" si="68"/>
        <v/>
      </c>
      <c r="M1462" s="1">
        <f>IF(OR(Table1[[#This Row],[Std Nom]]="",Table1[[#This Row],[Std Read]]=""),0,Table1[[#This Row],[Std Nom]]-Table1[[#This Row],[Std Read]])</f>
        <v>0</v>
      </c>
      <c r="N1462" s="1">
        <f>IF(Calculations!$F$5="ACCREDITED 17025 WITH UNCERTAINTIES",$N$10,0)</f>
        <v>0</v>
      </c>
      <c r="Q1462" s="1">
        <f>Table1[[#This Row],[High Tol]]-Table1[[#This Row],[Low Tol]]</f>
        <v>0</v>
      </c>
      <c r="R1462" s="1">
        <f>2*Table1[[#This Row],[Std Error]]</f>
        <v>0</v>
      </c>
      <c r="S1462" s="1" t="str">
        <f>IF(Table1[[#This Row],[High Tol]]="","N/A",IFERROR(ABS(Table1[[#This Row],[Tol Span]]/Table1[[#This Row],[Error Span]]),"N/A"))</f>
        <v>N/A</v>
      </c>
      <c r="T1462" s="1" t="str">
        <f>IF(OR(Table1[[#This Row],[Low Tol]]="",Table1[[#This Row],[High Tol]]=""),"Needs Analysis",IF(Table1[[#This Row],[Ratio]]&gt;=4,"Not Significant",IF(Table1[[#This Row],[Ratio]]&gt;=2,"Semi-Significant","Significant")))</f>
        <v>Needs Analysis</v>
      </c>
      <c r="W1462" s="1">
        <f>IF(Table1[[#This Row],[Cal Type]]&lt;&gt;"ACCREDITED 17025 WITH UNCERTAINTIES",0,"")</f>
        <v>0</v>
      </c>
      <c r="X1462" s="1" t="str">
        <f>IF(Table1[[#This Row],[DUT Read]]="","N/A",Table1[[#This Row],[Std Error]]+Table1[[#This Row],[DUT Read]]+Table1[[#This Row],[DUT Ucty]])</f>
        <v>N/A</v>
      </c>
      <c r="Y1462" s="1" t="str">
        <f>IF(Table1[[#This Row],[Std Read]]="","N/A",Table1[[#This Row],[Std Read]]+Table1[[#This Row],[Std Ucty]])</f>
        <v>N/A</v>
      </c>
      <c r="Z14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2" s="1" t="str">
        <f>IF(Table1[[#This Row],[Spec Type]]="","N/A",Table1[[#This Row],[Spec Type]])</f>
        <v>±</v>
      </c>
      <c r="AC1462" s="1" t="str">
        <f>IF(Table1[[#This Row],[Spec Type2]]="N/A","N/A",IF(AND(Table1[[#This Row],[DUT Adj Read]]&gt;=Table1[[#This Row],[Low Tol]],Table1[[#This Row],[DUT Adj Read]]&lt;=Table1[[#This Row],[High Tol]]),"Pass","Fail"))</f>
        <v>Fail</v>
      </c>
      <c r="AD1462" s="1" t="str">
        <f>IF(AND(Table1[[#This Row],[Spec Type2]]="N/A",Table1[[#This Row],[DUT Adj Read]]="N/A",Table1[[#This Row],[Std Adj Read]]="N/A"),"N/A",IF(Table1[[#This Row],[DUT Adj Read]]="N/A",IF(Table1[[#This Row],[Std Adj Read]]&gt;Table1[[#This Row],[Low Tol]],"Pass","Fail"),IF(Table1[[#This Row],[DUT Adj Read]]&gt;Table1[[#This Row],[Low Tol]],"Pass","Fail")))</f>
        <v>Pass</v>
      </c>
      <c r="AE1462" s="1" t="str">
        <f>IF(AND(Table1[[#This Row],[Spec Type2]]="N/A",Table1[[#This Row],[DUT Adj Read]]="N/A",Table1[[#This Row],[Std Adj Read]]="N/A"),"N/A",IF(Table1[[#This Row],[DUT Adj Read]]="N/A",IF(Table1[[#This Row],[Std Adj Read]]&lt;Table1[[#This Row],[High Tol]],"Pass","Fail"),IF(Table1[[#This Row],[DUT Adj Read]]&lt;Table1[[#This Row],[High Tol]],"Pass","Fail")))</f>
        <v>Fail</v>
      </c>
      <c r="AF1462" s="1" t="str">
        <f>IF(AND(Table1[[#This Row],[Spec Type2]]="N/A",Table1[[#This Row],[DUT Adj Read]]="N/A",Table1[[#This Row],[Std Adj Read]]="N/A"),"N/A",IF(Table1[[#This Row],[DUT Adj Read]]="N/A",IF(Table1[[#This Row],[Std Adj Read]]&gt;=Table1[[#This Row],[Low Tol]],"Pass","Fail"),IF(Table1[[#This Row],[DUT Adj Read]]&gt;=Table1[[#This Row],[Low Tol]],"Pass","Fail")))</f>
        <v>Pass</v>
      </c>
      <c r="AG1462" s="1" t="str">
        <f>IF(AND(Table1[[#This Row],[Spec Type2]]="N/A",Table1[[#This Row],[DUT Adj Read]]="N/A",Table1[[#This Row],[Std Adj Read]]="N/A"),"N/A",IF(Table1[[#This Row],[DUT Adj Read]]="N/A",IF(Table1[[#This Row],[Std Adj Read]]&lt;=Table1[[#This Row],[High Tol]],"Pass","Fail"),IF(Table1[[#This Row],[DUT Adj Read]]&lt;=Table1[[#This Row],[High Tol]],"Pass","Fail")))</f>
        <v>Fail</v>
      </c>
      <c r="AH14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2" s="1" t="b">
        <v>0</v>
      </c>
      <c r="AN1462" s="1" t="b">
        <v>0</v>
      </c>
      <c r="AO1462" s="1" t="b">
        <v>0</v>
      </c>
    </row>
    <row r="1463" spans="1:41" x14ac:dyDescent="0.25">
      <c r="A1463" s="10"/>
      <c r="B1463" s="10"/>
      <c r="C1463" s="10"/>
      <c r="D1463" s="10"/>
      <c r="E1463" s="10"/>
      <c r="F1463" s="10"/>
      <c r="G1463" s="10"/>
      <c r="H1463" s="10"/>
      <c r="I1463" s="1" t="str">
        <f t="shared" si="66"/>
        <v/>
      </c>
      <c r="J1463" s="1" t="s">
        <v>35</v>
      </c>
      <c r="K1463" s="1" t="str">
        <f t="shared" si="67"/>
        <v/>
      </c>
      <c r="L1463" s="1" t="str">
        <f t="shared" si="68"/>
        <v/>
      </c>
      <c r="M1463" s="1">
        <f>IF(OR(Table1[[#This Row],[Std Nom]]="",Table1[[#This Row],[Std Read]]=""),0,Table1[[#This Row],[Std Nom]]-Table1[[#This Row],[Std Read]])</f>
        <v>0</v>
      </c>
      <c r="N1463" s="1">
        <f>IF(Calculations!$F$5="ACCREDITED 17025 WITH UNCERTAINTIES",$N$10,0)</f>
        <v>0</v>
      </c>
      <c r="Q1463" s="1">
        <f>Table1[[#This Row],[High Tol]]-Table1[[#This Row],[Low Tol]]</f>
        <v>0</v>
      </c>
      <c r="R1463" s="1">
        <f>2*Table1[[#This Row],[Std Error]]</f>
        <v>0</v>
      </c>
      <c r="S1463" s="1" t="str">
        <f>IF(Table1[[#This Row],[High Tol]]="","N/A",IFERROR(ABS(Table1[[#This Row],[Tol Span]]/Table1[[#This Row],[Error Span]]),"N/A"))</f>
        <v>N/A</v>
      </c>
      <c r="T1463" s="1" t="str">
        <f>IF(OR(Table1[[#This Row],[Low Tol]]="",Table1[[#This Row],[High Tol]]=""),"Needs Analysis",IF(Table1[[#This Row],[Ratio]]&gt;=4,"Not Significant",IF(Table1[[#This Row],[Ratio]]&gt;=2,"Semi-Significant","Significant")))</f>
        <v>Needs Analysis</v>
      </c>
      <c r="W1463" s="1">
        <f>IF(Table1[[#This Row],[Cal Type]]&lt;&gt;"ACCREDITED 17025 WITH UNCERTAINTIES",0,"")</f>
        <v>0</v>
      </c>
      <c r="X1463" s="1" t="str">
        <f>IF(Table1[[#This Row],[DUT Read]]="","N/A",Table1[[#This Row],[Std Error]]+Table1[[#This Row],[DUT Read]]+Table1[[#This Row],[DUT Ucty]])</f>
        <v>N/A</v>
      </c>
      <c r="Y1463" s="1" t="str">
        <f>IF(Table1[[#This Row],[Std Read]]="","N/A",Table1[[#This Row],[Std Read]]+Table1[[#This Row],[Std Ucty]])</f>
        <v>N/A</v>
      </c>
      <c r="Z14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3" s="1" t="str">
        <f>IF(Table1[[#This Row],[Spec Type]]="","N/A",Table1[[#This Row],[Spec Type]])</f>
        <v>±</v>
      </c>
      <c r="AC1463" s="1" t="str">
        <f>IF(Table1[[#This Row],[Spec Type2]]="N/A","N/A",IF(AND(Table1[[#This Row],[DUT Adj Read]]&gt;=Table1[[#This Row],[Low Tol]],Table1[[#This Row],[DUT Adj Read]]&lt;=Table1[[#This Row],[High Tol]]),"Pass","Fail"))</f>
        <v>Fail</v>
      </c>
      <c r="AD1463" s="1" t="str">
        <f>IF(AND(Table1[[#This Row],[Spec Type2]]="N/A",Table1[[#This Row],[DUT Adj Read]]="N/A",Table1[[#This Row],[Std Adj Read]]="N/A"),"N/A",IF(Table1[[#This Row],[DUT Adj Read]]="N/A",IF(Table1[[#This Row],[Std Adj Read]]&gt;Table1[[#This Row],[Low Tol]],"Pass","Fail"),IF(Table1[[#This Row],[DUT Adj Read]]&gt;Table1[[#This Row],[Low Tol]],"Pass","Fail")))</f>
        <v>Pass</v>
      </c>
      <c r="AE1463" s="1" t="str">
        <f>IF(AND(Table1[[#This Row],[Spec Type2]]="N/A",Table1[[#This Row],[DUT Adj Read]]="N/A",Table1[[#This Row],[Std Adj Read]]="N/A"),"N/A",IF(Table1[[#This Row],[DUT Adj Read]]="N/A",IF(Table1[[#This Row],[Std Adj Read]]&lt;Table1[[#This Row],[High Tol]],"Pass","Fail"),IF(Table1[[#This Row],[DUT Adj Read]]&lt;Table1[[#This Row],[High Tol]],"Pass","Fail")))</f>
        <v>Fail</v>
      </c>
      <c r="AF1463" s="1" t="str">
        <f>IF(AND(Table1[[#This Row],[Spec Type2]]="N/A",Table1[[#This Row],[DUT Adj Read]]="N/A",Table1[[#This Row],[Std Adj Read]]="N/A"),"N/A",IF(Table1[[#This Row],[DUT Adj Read]]="N/A",IF(Table1[[#This Row],[Std Adj Read]]&gt;=Table1[[#This Row],[Low Tol]],"Pass","Fail"),IF(Table1[[#This Row],[DUT Adj Read]]&gt;=Table1[[#This Row],[Low Tol]],"Pass","Fail")))</f>
        <v>Pass</v>
      </c>
      <c r="AG1463" s="1" t="str">
        <f>IF(AND(Table1[[#This Row],[Spec Type2]]="N/A",Table1[[#This Row],[DUT Adj Read]]="N/A",Table1[[#This Row],[Std Adj Read]]="N/A"),"N/A",IF(Table1[[#This Row],[DUT Adj Read]]="N/A",IF(Table1[[#This Row],[Std Adj Read]]&lt;=Table1[[#This Row],[High Tol]],"Pass","Fail"),IF(Table1[[#This Row],[DUT Adj Read]]&lt;=Table1[[#This Row],[High Tol]],"Pass","Fail")))</f>
        <v>Fail</v>
      </c>
      <c r="AH14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3" s="1" t="b">
        <v>0</v>
      </c>
      <c r="AN1463" s="1" t="b">
        <v>0</v>
      </c>
      <c r="AO1463" s="1" t="b">
        <v>0</v>
      </c>
    </row>
    <row r="1464" spans="1:41" x14ac:dyDescent="0.25">
      <c r="A1464" s="10"/>
      <c r="B1464" s="10"/>
      <c r="C1464" s="10"/>
      <c r="D1464" s="10"/>
      <c r="E1464" s="10"/>
      <c r="F1464" s="10"/>
      <c r="G1464" s="10"/>
      <c r="H1464" s="10"/>
      <c r="I1464" s="1" t="str">
        <f t="shared" si="66"/>
        <v/>
      </c>
      <c r="J1464" s="1" t="s">
        <v>35</v>
      </c>
      <c r="K1464" s="1" t="str">
        <f t="shared" si="67"/>
        <v/>
      </c>
      <c r="L1464" s="1" t="str">
        <f t="shared" si="68"/>
        <v/>
      </c>
      <c r="M1464" s="1">
        <f>IF(OR(Table1[[#This Row],[Std Nom]]="",Table1[[#This Row],[Std Read]]=""),0,Table1[[#This Row],[Std Nom]]-Table1[[#This Row],[Std Read]])</f>
        <v>0</v>
      </c>
      <c r="N1464" s="1">
        <f>IF(Calculations!$F$5="ACCREDITED 17025 WITH UNCERTAINTIES",$N$10,0)</f>
        <v>0</v>
      </c>
      <c r="Q1464" s="1">
        <f>Table1[[#This Row],[High Tol]]-Table1[[#This Row],[Low Tol]]</f>
        <v>0</v>
      </c>
      <c r="R1464" s="1">
        <f>2*Table1[[#This Row],[Std Error]]</f>
        <v>0</v>
      </c>
      <c r="S1464" s="1" t="str">
        <f>IF(Table1[[#This Row],[High Tol]]="","N/A",IFERROR(ABS(Table1[[#This Row],[Tol Span]]/Table1[[#This Row],[Error Span]]),"N/A"))</f>
        <v>N/A</v>
      </c>
      <c r="T1464" s="1" t="str">
        <f>IF(OR(Table1[[#This Row],[Low Tol]]="",Table1[[#This Row],[High Tol]]=""),"Needs Analysis",IF(Table1[[#This Row],[Ratio]]&gt;=4,"Not Significant",IF(Table1[[#This Row],[Ratio]]&gt;=2,"Semi-Significant","Significant")))</f>
        <v>Needs Analysis</v>
      </c>
      <c r="W1464" s="1">
        <f>IF(Table1[[#This Row],[Cal Type]]&lt;&gt;"ACCREDITED 17025 WITH UNCERTAINTIES",0,"")</f>
        <v>0</v>
      </c>
      <c r="X1464" s="1" t="str">
        <f>IF(Table1[[#This Row],[DUT Read]]="","N/A",Table1[[#This Row],[Std Error]]+Table1[[#This Row],[DUT Read]]+Table1[[#This Row],[DUT Ucty]])</f>
        <v>N/A</v>
      </c>
      <c r="Y1464" s="1" t="str">
        <f>IF(Table1[[#This Row],[Std Read]]="","N/A",Table1[[#This Row],[Std Read]]+Table1[[#This Row],[Std Ucty]])</f>
        <v>N/A</v>
      </c>
      <c r="Z14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4" s="1" t="str">
        <f>IF(Table1[[#This Row],[Spec Type]]="","N/A",Table1[[#This Row],[Spec Type]])</f>
        <v>±</v>
      </c>
      <c r="AC1464" s="1" t="str">
        <f>IF(Table1[[#This Row],[Spec Type2]]="N/A","N/A",IF(AND(Table1[[#This Row],[DUT Adj Read]]&gt;=Table1[[#This Row],[Low Tol]],Table1[[#This Row],[DUT Adj Read]]&lt;=Table1[[#This Row],[High Tol]]),"Pass","Fail"))</f>
        <v>Fail</v>
      </c>
      <c r="AD1464" s="1" t="str">
        <f>IF(AND(Table1[[#This Row],[Spec Type2]]="N/A",Table1[[#This Row],[DUT Adj Read]]="N/A",Table1[[#This Row],[Std Adj Read]]="N/A"),"N/A",IF(Table1[[#This Row],[DUT Adj Read]]="N/A",IF(Table1[[#This Row],[Std Adj Read]]&gt;Table1[[#This Row],[Low Tol]],"Pass","Fail"),IF(Table1[[#This Row],[DUT Adj Read]]&gt;Table1[[#This Row],[Low Tol]],"Pass","Fail")))</f>
        <v>Pass</v>
      </c>
      <c r="AE1464" s="1" t="str">
        <f>IF(AND(Table1[[#This Row],[Spec Type2]]="N/A",Table1[[#This Row],[DUT Adj Read]]="N/A",Table1[[#This Row],[Std Adj Read]]="N/A"),"N/A",IF(Table1[[#This Row],[DUT Adj Read]]="N/A",IF(Table1[[#This Row],[Std Adj Read]]&lt;Table1[[#This Row],[High Tol]],"Pass","Fail"),IF(Table1[[#This Row],[DUT Adj Read]]&lt;Table1[[#This Row],[High Tol]],"Pass","Fail")))</f>
        <v>Fail</v>
      </c>
      <c r="AF1464" s="1" t="str">
        <f>IF(AND(Table1[[#This Row],[Spec Type2]]="N/A",Table1[[#This Row],[DUT Adj Read]]="N/A",Table1[[#This Row],[Std Adj Read]]="N/A"),"N/A",IF(Table1[[#This Row],[DUT Adj Read]]="N/A",IF(Table1[[#This Row],[Std Adj Read]]&gt;=Table1[[#This Row],[Low Tol]],"Pass","Fail"),IF(Table1[[#This Row],[DUT Adj Read]]&gt;=Table1[[#This Row],[Low Tol]],"Pass","Fail")))</f>
        <v>Pass</v>
      </c>
      <c r="AG1464" s="1" t="str">
        <f>IF(AND(Table1[[#This Row],[Spec Type2]]="N/A",Table1[[#This Row],[DUT Adj Read]]="N/A",Table1[[#This Row],[Std Adj Read]]="N/A"),"N/A",IF(Table1[[#This Row],[DUT Adj Read]]="N/A",IF(Table1[[#This Row],[Std Adj Read]]&lt;=Table1[[#This Row],[High Tol]],"Pass","Fail"),IF(Table1[[#This Row],[DUT Adj Read]]&lt;=Table1[[#This Row],[High Tol]],"Pass","Fail")))</f>
        <v>Fail</v>
      </c>
      <c r="AH14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4" s="1" t="b">
        <v>0</v>
      </c>
      <c r="AN1464" s="1" t="b">
        <v>0</v>
      </c>
      <c r="AO1464" s="1" t="b">
        <v>0</v>
      </c>
    </row>
    <row r="1465" spans="1:41" x14ac:dyDescent="0.25">
      <c r="A1465" s="10"/>
      <c r="B1465" s="10"/>
      <c r="C1465" s="10"/>
      <c r="D1465" s="10"/>
      <c r="E1465" s="10"/>
      <c r="F1465" s="10"/>
      <c r="G1465" s="10"/>
      <c r="H1465" s="10"/>
      <c r="I1465" s="1" t="str">
        <f t="shared" si="66"/>
        <v/>
      </c>
      <c r="J1465" s="1" t="s">
        <v>35</v>
      </c>
      <c r="K1465" s="1" t="str">
        <f t="shared" si="67"/>
        <v/>
      </c>
      <c r="L1465" s="1" t="str">
        <f t="shared" si="68"/>
        <v/>
      </c>
      <c r="M1465" s="1">
        <f>IF(OR(Table1[[#This Row],[Std Nom]]="",Table1[[#This Row],[Std Read]]=""),0,Table1[[#This Row],[Std Nom]]-Table1[[#This Row],[Std Read]])</f>
        <v>0</v>
      </c>
      <c r="N1465" s="1">
        <f>IF(Calculations!$F$5="ACCREDITED 17025 WITH UNCERTAINTIES",$N$10,0)</f>
        <v>0</v>
      </c>
      <c r="Q1465" s="1">
        <f>Table1[[#This Row],[High Tol]]-Table1[[#This Row],[Low Tol]]</f>
        <v>0</v>
      </c>
      <c r="R1465" s="1">
        <f>2*Table1[[#This Row],[Std Error]]</f>
        <v>0</v>
      </c>
      <c r="S1465" s="1" t="str">
        <f>IF(Table1[[#This Row],[High Tol]]="","N/A",IFERROR(ABS(Table1[[#This Row],[Tol Span]]/Table1[[#This Row],[Error Span]]),"N/A"))</f>
        <v>N/A</v>
      </c>
      <c r="T1465" s="1" t="str">
        <f>IF(OR(Table1[[#This Row],[Low Tol]]="",Table1[[#This Row],[High Tol]]=""),"Needs Analysis",IF(Table1[[#This Row],[Ratio]]&gt;=4,"Not Significant",IF(Table1[[#This Row],[Ratio]]&gt;=2,"Semi-Significant","Significant")))</f>
        <v>Needs Analysis</v>
      </c>
      <c r="W1465" s="1">
        <f>IF(Table1[[#This Row],[Cal Type]]&lt;&gt;"ACCREDITED 17025 WITH UNCERTAINTIES",0,"")</f>
        <v>0</v>
      </c>
      <c r="X1465" s="1" t="str">
        <f>IF(Table1[[#This Row],[DUT Read]]="","N/A",Table1[[#This Row],[Std Error]]+Table1[[#This Row],[DUT Read]]+Table1[[#This Row],[DUT Ucty]])</f>
        <v>N/A</v>
      </c>
      <c r="Y1465" s="1" t="str">
        <f>IF(Table1[[#This Row],[Std Read]]="","N/A",Table1[[#This Row],[Std Read]]+Table1[[#This Row],[Std Ucty]])</f>
        <v>N/A</v>
      </c>
      <c r="Z14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5" s="1" t="str">
        <f>IF(Table1[[#This Row],[Spec Type]]="","N/A",Table1[[#This Row],[Spec Type]])</f>
        <v>±</v>
      </c>
      <c r="AC1465" s="1" t="str">
        <f>IF(Table1[[#This Row],[Spec Type2]]="N/A","N/A",IF(AND(Table1[[#This Row],[DUT Adj Read]]&gt;=Table1[[#This Row],[Low Tol]],Table1[[#This Row],[DUT Adj Read]]&lt;=Table1[[#This Row],[High Tol]]),"Pass","Fail"))</f>
        <v>Fail</v>
      </c>
      <c r="AD1465" s="1" t="str">
        <f>IF(AND(Table1[[#This Row],[Spec Type2]]="N/A",Table1[[#This Row],[DUT Adj Read]]="N/A",Table1[[#This Row],[Std Adj Read]]="N/A"),"N/A",IF(Table1[[#This Row],[DUT Adj Read]]="N/A",IF(Table1[[#This Row],[Std Adj Read]]&gt;Table1[[#This Row],[Low Tol]],"Pass","Fail"),IF(Table1[[#This Row],[DUT Adj Read]]&gt;Table1[[#This Row],[Low Tol]],"Pass","Fail")))</f>
        <v>Pass</v>
      </c>
      <c r="AE1465" s="1" t="str">
        <f>IF(AND(Table1[[#This Row],[Spec Type2]]="N/A",Table1[[#This Row],[DUT Adj Read]]="N/A",Table1[[#This Row],[Std Adj Read]]="N/A"),"N/A",IF(Table1[[#This Row],[DUT Adj Read]]="N/A",IF(Table1[[#This Row],[Std Adj Read]]&lt;Table1[[#This Row],[High Tol]],"Pass","Fail"),IF(Table1[[#This Row],[DUT Adj Read]]&lt;Table1[[#This Row],[High Tol]],"Pass","Fail")))</f>
        <v>Fail</v>
      </c>
      <c r="AF1465" s="1" t="str">
        <f>IF(AND(Table1[[#This Row],[Spec Type2]]="N/A",Table1[[#This Row],[DUT Adj Read]]="N/A",Table1[[#This Row],[Std Adj Read]]="N/A"),"N/A",IF(Table1[[#This Row],[DUT Adj Read]]="N/A",IF(Table1[[#This Row],[Std Adj Read]]&gt;=Table1[[#This Row],[Low Tol]],"Pass","Fail"),IF(Table1[[#This Row],[DUT Adj Read]]&gt;=Table1[[#This Row],[Low Tol]],"Pass","Fail")))</f>
        <v>Pass</v>
      </c>
      <c r="AG1465" s="1" t="str">
        <f>IF(AND(Table1[[#This Row],[Spec Type2]]="N/A",Table1[[#This Row],[DUT Adj Read]]="N/A",Table1[[#This Row],[Std Adj Read]]="N/A"),"N/A",IF(Table1[[#This Row],[DUT Adj Read]]="N/A",IF(Table1[[#This Row],[Std Adj Read]]&lt;=Table1[[#This Row],[High Tol]],"Pass","Fail"),IF(Table1[[#This Row],[DUT Adj Read]]&lt;=Table1[[#This Row],[High Tol]],"Pass","Fail")))</f>
        <v>Fail</v>
      </c>
      <c r="AH14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5" s="1" t="b">
        <v>0</v>
      </c>
      <c r="AN1465" s="1" t="b">
        <v>0</v>
      </c>
      <c r="AO1465" s="1" t="b">
        <v>0</v>
      </c>
    </row>
    <row r="1466" spans="1:41" x14ac:dyDescent="0.25">
      <c r="A1466" s="10"/>
      <c r="B1466" s="10"/>
      <c r="C1466" s="10"/>
      <c r="D1466" s="10"/>
      <c r="E1466" s="10"/>
      <c r="F1466" s="10"/>
      <c r="G1466" s="10"/>
      <c r="H1466" s="10"/>
      <c r="I1466" s="1" t="str">
        <f t="shared" si="66"/>
        <v/>
      </c>
      <c r="J1466" s="1" t="s">
        <v>35</v>
      </c>
      <c r="K1466" s="1" t="str">
        <f t="shared" si="67"/>
        <v/>
      </c>
      <c r="L1466" s="1" t="str">
        <f t="shared" si="68"/>
        <v/>
      </c>
      <c r="M1466" s="1">
        <f>IF(OR(Table1[[#This Row],[Std Nom]]="",Table1[[#This Row],[Std Read]]=""),0,Table1[[#This Row],[Std Nom]]-Table1[[#This Row],[Std Read]])</f>
        <v>0</v>
      </c>
      <c r="N1466" s="1">
        <f>IF(Calculations!$F$5="ACCREDITED 17025 WITH UNCERTAINTIES",$N$10,0)</f>
        <v>0</v>
      </c>
      <c r="Q1466" s="1">
        <f>Table1[[#This Row],[High Tol]]-Table1[[#This Row],[Low Tol]]</f>
        <v>0</v>
      </c>
      <c r="R1466" s="1">
        <f>2*Table1[[#This Row],[Std Error]]</f>
        <v>0</v>
      </c>
      <c r="S1466" s="1" t="str">
        <f>IF(Table1[[#This Row],[High Tol]]="","N/A",IFERROR(ABS(Table1[[#This Row],[Tol Span]]/Table1[[#This Row],[Error Span]]),"N/A"))</f>
        <v>N/A</v>
      </c>
      <c r="T1466" s="1" t="str">
        <f>IF(OR(Table1[[#This Row],[Low Tol]]="",Table1[[#This Row],[High Tol]]=""),"Needs Analysis",IF(Table1[[#This Row],[Ratio]]&gt;=4,"Not Significant",IF(Table1[[#This Row],[Ratio]]&gt;=2,"Semi-Significant","Significant")))</f>
        <v>Needs Analysis</v>
      </c>
      <c r="W1466" s="1">
        <f>IF(Table1[[#This Row],[Cal Type]]&lt;&gt;"ACCREDITED 17025 WITH UNCERTAINTIES",0,"")</f>
        <v>0</v>
      </c>
      <c r="X1466" s="1" t="str">
        <f>IF(Table1[[#This Row],[DUT Read]]="","N/A",Table1[[#This Row],[Std Error]]+Table1[[#This Row],[DUT Read]]+Table1[[#This Row],[DUT Ucty]])</f>
        <v>N/A</v>
      </c>
      <c r="Y1466" s="1" t="str">
        <f>IF(Table1[[#This Row],[Std Read]]="","N/A",Table1[[#This Row],[Std Read]]+Table1[[#This Row],[Std Ucty]])</f>
        <v>N/A</v>
      </c>
      <c r="Z14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6" s="1" t="str">
        <f>IF(Table1[[#This Row],[Spec Type]]="","N/A",Table1[[#This Row],[Spec Type]])</f>
        <v>±</v>
      </c>
      <c r="AC1466" s="1" t="str">
        <f>IF(Table1[[#This Row],[Spec Type2]]="N/A","N/A",IF(AND(Table1[[#This Row],[DUT Adj Read]]&gt;=Table1[[#This Row],[Low Tol]],Table1[[#This Row],[DUT Adj Read]]&lt;=Table1[[#This Row],[High Tol]]),"Pass","Fail"))</f>
        <v>Fail</v>
      </c>
      <c r="AD1466" s="1" t="str">
        <f>IF(AND(Table1[[#This Row],[Spec Type2]]="N/A",Table1[[#This Row],[DUT Adj Read]]="N/A",Table1[[#This Row],[Std Adj Read]]="N/A"),"N/A",IF(Table1[[#This Row],[DUT Adj Read]]="N/A",IF(Table1[[#This Row],[Std Adj Read]]&gt;Table1[[#This Row],[Low Tol]],"Pass","Fail"),IF(Table1[[#This Row],[DUT Adj Read]]&gt;Table1[[#This Row],[Low Tol]],"Pass","Fail")))</f>
        <v>Pass</v>
      </c>
      <c r="AE1466" s="1" t="str">
        <f>IF(AND(Table1[[#This Row],[Spec Type2]]="N/A",Table1[[#This Row],[DUT Adj Read]]="N/A",Table1[[#This Row],[Std Adj Read]]="N/A"),"N/A",IF(Table1[[#This Row],[DUT Adj Read]]="N/A",IF(Table1[[#This Row],[Std Adj Read]]&lt;Table1[[#This Row],[High Tol]],"Pass","Fail"),IF(Table1[[#This Row],[DUT Adj Read]]&lt;Table1[[#This Row],[High Tol]],"Pass","Fail")))</f>
        <v>Fail</v>
      </c>
      <c r="AF1466" s="1" t="str">
        <f>IF(AND(Table1[[#This Row],[Spec Type2]]="N/A",Table1[[#This Row],[DUT Adj Read]]="N/A",Table1[[#This Row],[Std Adj Read]]="N/A"),"N/A",IF(Table1[[#This Row],[DUT Adj Read]]="N/A",IF(Table1[[#This Row],[Std Adj Read]]&gt;=Table1[[#This Row],[Low Tol]],"Pass","Fail"),IF(Table1[[#This Row],[DUT Adj Read]]&gt;=Table1[[#This Row],[Low Tol]],"Pass","Fail")))</f>
        <v>Pass</v>
      </c>
      <c r="AG1466" s="1" t="str">
        <f>IF(AND(Table1[[#This Row],[Spec Type2]]="N/A",Table1[[#This Row],[DUT Adj Read]]="N/A",Table1[[#This Row],[Std Adj Read]]="N/A"),"N/A",IF(Table1[[#This Row],[DUT Adj Read]]="N/A",IF(Table1[[#This Row],[Std Adj Read]]&lt;=Table1[[#This Row],[High Tol]],"Pass","Fail"),IF(Table1[[#This Row],[DUT Adj Read]]&lt;=Table1[[#This Row],[High Tol]],"Pass","Fail")))</f>
        <v>Fail</v>
      </c>
      <c r="AH14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6" s="1" t="b">
        <v>0</v>
      </c>
      <c r="AN1466" s="1" t="b">
        <v>0</v>
      </c>
      <c r="AO1466" s="1" t="b">
        <v>0</v>
      </c>
    </row>
    <row r="1467" spans="1:41" x14ac:dyDescent="0.25">
      <c r="A1467" s="10"/>
      <c r="B1467" s="10"/>
      <c r="C1467" s="10"/>
      <c r="D1467" s="10"/>
      <c r="E1467" s="10"/>
      <c r="F1467" s="10"/>
      <c r="G1467" s="10"/>
      <c r="H1467" s="10"/>
      <c r="I1467" s="1" t="str">
        <f t="shared" si="66"/>
        <v/>
      </c>
      <c r="J1467" s="1" t="s">
        <v>35</v>
      </c>
      <c r="K1467" s="1" t="str">
        <f t="shared" si="67"/>
        <v/>
      </c>
      <c r="L1467" s="1" t="str">
        <f t="shared" si="68"/>
        <v/>
      </c>
      <c r="M1467" s="1">
        <f>IF(OR(Table1[[#This Row],[Std Nom]]="",Table1[[#This Row],[Std Read]]=""),0,Table1[[#This Row],[Std Nom]]-Table1[[#This Row],[Std Read]])</f>
        <v>0</v>
      </c>
      <c r="N1467" s="1">
        <f>IF(Calculations!$F$5="ACCREDITED 17025 WITH UNCERTAINTIES",$N$10,0)</f>
        <v>0</v>
      </c>
      <c r="Q1467" s="1">
        <f>Table1[[#This Row],[High Tol]]-Table1[[#This Row],[Low Tol]]</f>
        <v>0</v>
      </c>
      <c r="R1467" s="1">
        <f>2*Table1[[#This Row],[Std Error]]</f>
        <v>0</v>
      </c>
      <c r="S1467" s="1" t="str">
        <f>IF(Table1[[#This Row],[High Tol]]="","N/A",IFERROR(ABS(Table1[[#This Row],[Tol Span]]/Table1[[#This Row],[Error Span]]),"N/A"))</f>
        <v>N/A</v>
      </c>
      <c r="T1467" s="1" t="str">
        <f>IF(OR(Table1[[#This Row],[Low Tol]]="",Table1[[#This Row],[High Tol]]=""),"Needs Analysis",IF(Table1[[#This Row],[Ratio]]&gt;=4,"Not Significant",IF(Table1[[#This Row],[Ratio]]&gt;=2,"Semi-Significant","Significant")))</f>
        <v>Needs Analysis</v>
      </c>
      <c r="W1467" s="1">
        <f>IF(Table1[[#This Row],[Cal Type]]&lt;&gt;"ACCREDITED 17025 WITH UNCERTAINTIES",0,"")</f>
        <v>0</v>
      </c>
      <c r="X1467" s="1" t="str">
        <f>IF(Table1[[#This Row],[DUT Read]]="","N/A",Table1[[#This Row],[Std Error]]+Table1[[#This Row],[DUT Read]]+Table1[[#This Row],[DUT Ucty]])</f>
        <v>N/A</v>
      </c>
      <c r="Y1467" s="1" t="str">
        <f>IF(Table1[[#This Row],[Std Read]]="","N/A",Table1[[#This Row],[Std Read]]+Table1[[#This Row],[Std Ucty]])</f>
        <v>N/A</v>
      </c>
      <c r="Z14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7" s="1" t="str">
        <f>IF(Table1[[#This Row],[Spec Type]]="","N/A",Table1[[#This Row],[Spec Type]])</f>
        <v>±</v>
      </c>
      <c r="AC1467" s="1" t="str">
        <f>IF(Table1[[#This Row],[Spec Type2]]="N/A","N/A",IF(AND(Table1[[#This Row],[DUT Adj Read]]&gt;=Table1[[#This Row],[Low Tol]],Table1[[#This Row],[DUT Adj Read]]&lt;=Table1[[#This Row],[High Tol]]),"Pass","Fail"))</f>
        <v>Fail</v>
      </c>
      <c r="AD1467" s="1" t="str">
        <f>IF(AND(Table1[[#This Row],[Spec Type2]]="N/A",Table1[[#This Row],[DUT Adj Read]]="N/A",Table1[[#This Row],[Std Adj Read]]="N/A"),"N/A",IF(Table1[[#This Row],[DUT Adj Read]]="N/A",IF(Table1[[#This Row],[Std Adj Read]]&gt;Table1[[#This Row],[Low Tol]],"Pass","Fail"),IF(Table1[[#This Row],[DUT Adj Read]]&gt;Table1[[#This Row],[Low Tol]],"Pass","Fail")))</f>
        <v>Pass</v>
      </c>
      <c r="AE1467" s="1" t="str">
        <f>IF(AND(Table1[[#This Row],[Spec Type2]]="N/A",Table1[[#This Row],[DUT Adj Read]]="N/A",Table1[[#This Row],[Std Adj Read]]="N/A"),"N/A",IF(Table1[[#This Row],[DUT Adj Read]]="N/A",IF(Table1[[#This Row],[Std Adj Read]]&lt;Table1[[#This Row],[High Tol]],"Pass","Fail"),IF(Table1[[#This Row],[DUT Adj Read]]&lt;Table1[[#This Row],[High Tol]],"Pass","Fail")))</f>
        <v>Fail</v>
      </c>
      <c r="AF1467" s="1" t="str">
        <f>IF(AND(Table1[[#This Row],[Spec Type2]]="N/A",Table1[[#This Row],[DUT Adj Read]]="N/A",Table1[[#This Row],[Std Adj Read]]="N/A"),"N/A",IF(Table1[[#This Row],[DUT Adj Read]]="N/A",IF(Table1[[#This Row],[Std Adj Read]]&gt;=Table1[[#This Row],[Low Tol]],"Pass","Fail"),IF(Table1[[#This Row],[DUT Adj Read]]&gt;=Table1[[#This Row],[Low Tol]],"Pass","Fail")))</f>
        <v>Pass</v>
      </c>
      <c r="AG1467" s="1" t="str">
        <f>IF(AND(Table1[[#This Row],[Spec Type2]]="N/A",Table1[[#This Row],[DUT Adj Read]]="N/A",Table1[[#This Row],[Std Adj Read]]="N/A"),"N/A",IF(Table1[[#This Row],[DUT Adj Read]]="N/A",IF(Table1[[#This Row],[Std Adj Read]]&lt;=Table1[[#This Row],[High Tol]],"Pass","Fail"),IF(Table1[[#This Row],[DUT Adj Read]]&lt;=Table1[[#This Row],[High Tol]],"Pass","Fail")))</f>
        <v>Fail</v>
      </c>
      <c r="AH14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7" s="1" t="b">
        <v>0</v>
      </c>
      <c r="AN1467" s="1" t="b">
        <v>0</v>
      </c>
      <c r="AO1467" s="1" t="b">
        <v>0</v>
      </c>
    </row>
    <row r="1468" spans="1:41" x14ac:dyDescent="0.25">
      <c r="A1468" s="10"/>
      <c r="B1468" s="10"/>
      <c r="C1468" s="10"/>
      <c r="D1468" s="10"/>
      <c r="E1468" s="10"/>
      <c r="F1468" s="10"/>
      <c r="G1468" s="10"/>
      <c r="H1468" s="10"/>
      <c r="I1468" s="1" t="str">
        <f t="shared" si="66"/>
        <v/>
      </c>
      <c r="J1468" s="1" t="s">
        <v>35</v>
      </c>
      <c r="K1468" s="1" t="str">
        <f t="shared" si="67"/>
        <v/>
      </c>
      <c r="L1468" s="1" t="str">
        <f t="shared" si="68"/>
        <v/>
      </c>
      <c r="M1468" s="1">
        <f>IF(OR(Table1[[#This Row],[Std Nom]]="",Table1[[#This Row],[Std Read]]=""),0,Table1[[#This Row],[Std Nom]]-Table1[[#This Row],[Std Read]])</f>
        <v>0</v>
      </c>
      <c r="N1468" s="1">
        <f>IF(Calculations!$F$5="ACCREDITED 17025 WITH UNCERTAINTIES",$N$10,0)</f>
        <v>0</v>
      </c>
      <c r="Q1468" s="1">
        <f>Table1[[#This Row],[High Tol]]-Table1[[#This Row],[Low Tol]]</f>
        <v>0</v>
      </c>
      <c r="R1468" s="1">
        <f>2*Table1[[#This Row],[Std Error]]</f>
        <v>0</v>
      </c>
      <c r="S1468" s="1" t="str">
        <f>IF(Table1[[#This Row],[High Tol]]="","N/A",IFERROR(ABS(Table1[[#This Row],[Tol Span]]/Table1[[#This Row],[Error Span]]),"N/A"))</f>
        <v>N/A</v>
      </c>
      <c r="T1468" s="1" t="str">
        <f>IF(OR(Table1[[#This Row],[Low Tol]]="",Table1[[#This Row],[High Tol]]=""),"Needs Analysis",IF(Table1[[#This Row],[Ratio]]&gt;=4,"Not Significant",IF(Table1[[#This Row],[Ratio]]&gt;=2,"Semi-Significant","Significant")))</f>
        <v>Needs Analysis</v>
      </c>
      <c r="W1468" s="1">
        <f>IF(Table1[[#This Row],[Cal Type]]&lt;&gt;"ACCREDITED 17025 WITH UNCERTAINTIES",0,"")</f>
        <v>0</v>
      </c>
      <c r="X1468" s="1" t="str">
        <f>IF(Table1[[#This Row],[DUT Read]]="","N/A",Table1[[#This Row],[Std Error]]+Table1[[#This Row],[DUT Read]]+Table1[[#This Row],[DUT Ucty]])</f>
        <v>N/A</v>
      </c>
      <c r="Y1468" s="1" t="str">
        <f>IF(Table1[[#This Row],[Std Read]]="","N/A",Table1[[#This Row],[Std Read]]+Table1[[#This Row],[Std Ucty]])</f>
        <v>N/A</v>
      </c>
      <c r="Z14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8" s="1" t="str">
        <f>IF(Table1[[#This Row],[Spec Type]]="","N/A",Table1[[#This Row],[Spec Type]])</f>
        <v>±</v>
      </c>
      <c r="AC1468" s="1" t="str">
        <f>IF(Table1[[#This Row],[Spec Type2]]="N/A","N/A",IF(AND(Table1[[#This Row],[DUT Adj Read]]&gt;=Table1[[#This Row],[Low Tol]],Table1[[#This Row],[DUT Adj Read]]&lt;=Table1[[#This Row],[High Tol]]),"Pass","Fail"))</f>
        <v>Fail</v>
      </c>
      <c r="AD1468" s="1" t="str">
        <f>IF(AND(Table1[[#This Row],[Spec Type2]]="N/A",Table1[[#This Row],[DUT Adj Read]]="N/A",Table1[[#This Row],[Std Adj Read]]="N/A"),"N/A",IF(Table1[[#This Row],[DUT Adj Read]]="N/A",IF(Table1[[#This Row],[Std Adj Read]]&gt;Table1[[#This Row],[Low Tol]],"Pass","Fail"),IF(Table1[[#This Row],[DUT Adj Read]]&gt;Table1[[#This Row],[Low Tol]],"Pass","Fail")))</f>
        <v>Pass</v>
      </c>
      <c r="AE1468" s="1" t="str">
        <f>IF(AND(Table1[[#This Row],[Spec Type2]]="N/A",Table1[[#This Row],[DUT Adj Read]]="N/A",Table1[[#This Row],[Std Adj Read]]="N/A"),"N/A",IF(Table1[[#This Row],[DUT Adj Read]]="N/A",IF(Table1[[#This Row],[Std Adj Read]]&lt;Table1[[#This Row],[High Tol]],"Pass","Fail"),IF(Table1[[#This Row],[DUT Adj Read]]&lt;Table1[[#This Row],[High Tol]],"Pass","Fail")))</f>
        <v>Fail</v>
      </c>
      <c r="AF1468" s="1" t="str">
        <f>IF(AND(Table1[[#This Row],[Spec Type2]]="N/A",Table1[[#This Row],[DUT Adj Read]]="N/A",Table1[[#This Row],[Std Adj Read]]="N/A"),"N/A",IF(Table1[[#This Row],[DUT Adj Read]]="N/A",IF(Table1[[#This Row],[Std Adj Read]]&gt;=Table1[[#This Row],[Low Tol]],"Pass","Fail"),IF(Table1[[#This Row],[DUT Adj Read]]&gt;=Table1[[#This Row],[Low Tol]],"Pass","Fail")))</f>
        <v>Pass</v>
      </c>
      <c r="AG1468" s="1" t="str">
        <f>IF(AND(Table1[[#This Row],[Spec Type2]]="N/A",Table1[[#This Row],[DUT Adj Read]]="N/A",Table1[[#This Row],[Std Adj Read]]="N/A"),"N/A",IF(Table1[[#This Row],[DUT Adj Read]]="N/A",IF(Table1[[#This Row],[Std Adj Read]]&lt;=Table1[[#This Row],[High Tol]],"Pass","Fail"),IF(Table1[[#This Row],[DUT Adj Read]]&lt;=Table1[[#This Row],[High Tol]],"Pass","Fail")))</f>
        <v>Fail</v>
      </c>
      <c r="AH14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8" s="1" t="b">
        <v>0</v>
      </c>
      <c r="AN1468" s="1" t="b">
        <v>0</v>
      </c>
      <c r="AO1468" s="1" t="b">
        <v>0</v>
      </c>
    </row>
    <row r="1469" spans="1:41" x14ac:dyDescent="0.25">
      <c r="A1469" s="10"/>
      <c r="B1469" s="10"/>
      <c r="C1469" s="10"/>
      <c r="D1469" s="10"/>
      <c r="E1469" s="10"/>
      <c r="F1469" s="10"/>
      <c r="G1469" s="10"/>
      <c r="H1469" s="10"/>
      <c r="I1469" s="1" t="str">
        <f t="shared" si="66"/>
        <v/>
      </c>
      <c r="J1469" s="1" t="s">
        <v>35</v>
      </c>
      <c r="K1469" s="1" t="str">
        <f t="shared" si="67"/>
        <v/>
      </c>
      <c r="L1469" s="1" t="str">
        <f t="shared" si="68"/>
        <v/>
      </c>
      <c r="M1469" s="1">
        <f>IF(OR(Table1[[#This Row],[Std Nom]]="",Table1[[#This Row],[Std Read]]=""),0,Table1[[#This Row],[Std Nom]]-Table1[[#This Row],[Std Read]])</f>
        <v>0</v>
      </c>
      <c r="N1469" s="1">
        <f>IF(Calculations!$F$5="ACCREDITED 17025 WITH UNCERTAINTIES",$N$10,0)</f>
        <v>0</v>
      </c>
      <c r="Q1469" s="1">
        <f>Table1[[#This Row],[High Tol]]-Table1[[#This Row],[Low Tol]]</f>
        <v>0</v>
      </c>
      <c r="R1469" s="1">
        <f>2*Table1[[#This Row],[Std Error]]</f>
        <v>0</v>
      </c>
      <c r="S1469" s="1" t="str">
        <f>IF(Table1[[#This Row],[High Tol]]="","N/A",IFERROR(ABS(Table1[[#This Row],[Tol Span]]/Table1[[#This Row],[Error Span]]),"N/A"))</f>
        <v>N/A</v>
      </c>
      <c r="T1469" s="1" t="str">
        <f>IF(OR(Table1[[#This Row],[Low Tol]]="",Table1[[#This Row],[High Tol]]=""),"Needs Analysis",IF(Table1[[#This Row],[Ratio]]&gt;=4,"Not Significant",IF(Table1[[#This Row],[Ratio]]&gt;=2,"Semi-Significant","Significant")))</f>
        <v>Needs Analysis</v>
      </c>
      <c r="W1469" s="1">
        <f>IF(Table1[[#This Row],[Cal Type]]&lt;&gt;"ACCREDITED 17025 WITH UNCERTAINTIES",0,"")</f>
        <v>0</v>
      </c>
      <c r="X1469" s="1" t="str">
        <f>IF(Table1[[#This Row],[DUT Read]]="","N/A",Table1[[#This Row],[Std Error]]+Table1[[#This Row],[DUT Read]]+Table1[[#This Row],[DUT Ucty]])</f>
        <v>N/A</v>
      </c>
      <c r="Y1469" s="1" t="str">
        <f>IF(Table1[[#This Row],[Std Read]]="","N/A",Table1[[#This Row],[Std Read]]+Table1[[#This Row],[Std Ucty]])</f>
        <v>N/A</v>
      </c>
      <c r="Z14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69" s="1" t="str">
        <f>IF(Table1[[#This Row],[Spec Type]]="","N/A",Table1[[#This Row],[Spec Type]])</f>
        <v>±</v>
      </c>
      <c r="AC1469" s="1" t="str">
        <f>IF(Table1[[#This Row],[Spec Type2]]="N/A","N/A",IF(AND(Table1[[#This Row],[DUT Adj Read]]&gt;=Table1[[#This Row],[Low Tol]],Table1[[#This Row],[DUT Adj Read]]&lt;=Table1[[#This Row],[High Tol]]),"Pass","Fail"))</f>
        <v>Fail</v>
      </c>
      <c r="AD1469" s="1" t="str">
        <f>IF(AND(Table1[[#This Row],[Spec Type2]]="N/A",Table1[[#This Row],[DUT Adj Read]]="N/A",Table1[[#This Row],[Std Adj Read]]="N/A"),"N/A",IF(Table1[[#This Row],[DUT Adj Read]]="N/A",IF(Table1[[#This Row],[Std Adj Read]]&gt;Table1[[#This Row],[Low Tol]],"Pass","Fail"),IF(Table1[[#This Row],[DUT Adj Read]]&gt;Table1[[#This Row],[Low Tol]],"Pass","Fail")))</f>
        <v>Pass</v>
      </c>
      <c r="AE1469" s="1" t="str">
        <f>IF(AND(Table1[[#This Row],[Spec Type2]]="N/A",Table1[[#This Row],[DUT Adj Read]]="N/A",Table1[[#This Row],[Std Adj Read]]="N/A"),"N/A",IF(Table1[[#This Row],[DUT Adj Read]]="N/A",IF(Table1[[#This Row],[Std Adj Read]]&lt;Table1[[#This Row],[High Tol]],"Pass","Fail"),IF(Table1[[#This Row],[DUT Adj Read]]&lt;Table1[[#This Row],[High Tol]],"Pass","Fail")))</f>
        <v>Fail</v>
      </c>
      <c r="AF1469" s="1" t="str">
        <f>IF(AND(Table1[[#This Row],[Spec Type2]]="N/A",Table1[[#This Row],[DUT Adj Read]]="N/A",Table1[[#This Row],[Std Adj Read]]="N/A"),"N/A",IF(Table1[[#This Row],[DUT Adj Read]]="N/A",IF(Table1[[#This Row],[Std Adj Read]]&gt;=Table1[[#This Row],[Low Tol]],"Pass","Fail"),IF(Table1[[#This Row],[DUT Adj Read]]&gt;=Table1[[#This Row],[Low Tol]],"Pass","Fail")))</f>
        <v>Pass</v>
      </c>
      <c r="AG1469" s="1" t="str">
        <f>IF(AND(Table1[[#This Row],[Spec Type2]]="N/A",Table1[[#This Row],[DUT Adj Read]]="N/A",Table1[[#This Row],[Std Adj Read]]="N/A"),"N/A",IF(Table1[[#This Row],[DUT Adj Read]]="N/A",IF(Table1[[#This Row],[Std Adj Read]]&lt;=Table1[[#This Row],[High Tol]],"Pass","Fail"),IF(Table1[[#This Row],[DUT Adj Read]]&lt;=Table1[[#This Row],[High Tol]],"Pass","Fail")))</f>
        <v>Fail</v>
      </c>
      <c r="AH14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69" s="1" t="b">
        <v>0</v>
      </c>
      <c r="AN1469" s="1" t="b">
        <v>0</v>
      </c>
      <c r="AO1469" s="1" t="b">
        <v>0</v>
      </c>
    </row>
    <row r="1470" spans="1:41" x14ac:dyDescent="0.25">
      <c r="A1470" s="10"/>
      <c r="B1470" s="10"/>
      <c r="C1470" s="10"/>
      <c r="D1470" s="10"/>
      <c r="E1470" s="10"/>
      <c r="F1470" s="10"/>
      <c r="G1470" s="10"/>
      <c r="H1470" s="10"/>
      <c r="I1470" s="1" t="str">
        <f t="shared" si="66"/>
        <v/>
      </c>
      <c r="J1470" s="1" t="s">
        <v>35</v>
      </c>
      <c r="K1470" s="1" t="str">
        <f t="shared" si="67"/>
        <v/>
      </c>
      <c r="L1470" s="1" t="str">
        <f t="shared" si="68"/>
        <v/>
      </c>
      <c r="M1470" s="1">
        <f>IF(OR(Table1[[#This Row],[Std Nom]]="",Table1[[#This Row],[Std Read]]=""),0,Table1[[#This Row],[Std Nom]]-Table1[[#This Row],[Std Read]])</f>
        <v>0</v>
      </c>
      <c r="N1470" s="1">
        <f>IF(Calculations!$F$5="ACCREDITED 17025 WITH UNCERTAINTIES",$N$10,0)</f>
        <v>0</v>
      </c>
      <c r="Q1470" s="1">
        <f>Table1[[#This Row],[High Tol]]-Table1[[#This Row],[Low Tol]]</f>
        <v>0</v>
      </c>
      <c r="R1470" s="1">
        <f>2*Table1[[#This Row],[Std Error]]</f>
        <v>0</v>
      </c>
      <c r="S1470" s="1" t="str">
        <f>IF(Table1[[#This Row],[High Tol]]="","N/A",IFERROR(ABS(Table1[[#This Row],[Tol Span]]/Table1[[#This Row],[Error Span]]),"N/A"))</f>
        <v>N/A</v>
      </c>
      <c r="T1470" s="1" t="str">
        <f>IF(OR(Table1[[#This Row],[Low Tol]]="",Table1[[#This Row],[High Tol]]=""),"Needs Analysis",IF(Table1[[#This Row],[Ratio]]&gt;=4,"Not Significant",IF(Table1[[#This Row],[Ratio]]&gt;=2,"Semi-Significant","Significant")))</f>
        <v>Needs Analysis</v>
      </c>
      <c r="W1470" s="1">
        <f>IF(Table1[[#This Row],[Cal Type]]&lt;&gt;"ACCREDITED 17025 WITH UNCERTAINTIES",0,"")</f>
        <v>0</v>
      </c>
      <c r="X1470" s="1" t="str">
        <f>IF(Table1[[#This Row],[DUT Read]]="","N/A",Table1[[#This Row],[Std Error]]+Table1[[#This Row],[DUT Read]]+Table1[[#This Row],[DUT Ucty]])</f>
        <v>N/A</v>
      </c>
      <c r="Y1470" s="1" t="str">
        <f>IF(Table1[[#This Row],[Std Read]]="","N/A",Table1[[#This Row],[Std Read]]+Table1[[#This Row],[Std Ucty]])</f>
        <v>N/A</v>
      </c>
      <c r="Z14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0" s="1" t="str">
        <f>IF(Table1[[#This Row],[Spec Type]]="","N/A",Table1[[#This Row],[Spec Type]])</f>
        <v>±</v>
      </c>
      <c r="AC1470" s="1" t="str">
        <f>IF(Table1[[#This Row],[Spec Type2]]="N/A","N/A",IF(AND(Table1[[#This Row],[DUT Adj Read]]&gt;=Table1[[#This Row],[Low Tol]],Table1[[#This Row],[DUT Adj Read]]&lt;=Table1[[#This Row],[High Tol]]),"Pass","Fail"))</f>
        <v>Fail</v>
      </c>
      <c r="AD1470" s="1" t="str">
        <f>IF(AND(Table1[[#This Row],[Spec Type2]]="N/A",Table1[[#This Row],[DUT Adj Read]]="N/A",Table1[[#This Row],[Std Adj Read]]="N/A"),"N/A",IF(Table1[[#This Row],[DUT Adj Read]]="N/A",IF(Table1[[#This Row],[Std Adj Read]]&gt;Table1[[#This Row],[Low Tol]],"Pass","Fail"),IF(Table1[[#This Row],[DUT Adj Read]]&gt;Table1[[#This Row],[Low Tol]],"Pass","Fail")))</f>
        <v>Pass</v>
      </c>
      <c r="AE1470" s="1" t="str">
        <f>IF(AND(Table1[[#This Row],[Spec Type2]]="N/A",Table1[[#This Row],[DUT Adj Read]]="N/A",Table1[[#This Row],[Std Adj Read]]="N/A"),"N/A",IF(Table1[[#This Row],[DUT Adj Read]]="N/A",IF(Table1[[#This Row],[Std Adj Read]]&lt;Table1[[#This Row],[High Tol]],"Pass","Fail"),IF(Table1[[#This Row],[DUT Adj Read]]&lt;Table1[[#This Row],[High Tol]],"Pass","Fail")))</f>
        <v>Fail</v>
      </c>
      <c r="AF1470" s="1" t="str">
        <f>IF(AND(Table1[[#This Row],[Spec Type2]]="N/A",Table1[[#This Row],[DUT Adj Read]]="N/A",Table1[[#This Row],[Std Adj Read]]="N/A"),"N/A",IF(Table1[[#This Row],[DUT Adj Read]]="N/A",IF(Table1[[#This Row],[Std Adj Read]]&gt;=Table1[[#This Row],[Low Tol]],"Pass","Fail"),IF(Table1[[#This Row],[DUT Adj Read]]&gt;=Table1[[#This Row],[Low Tol]],"Pass","Fail")))</f>
        <v>Pass</v>
      </c>
      <c r="AG1470" s="1" t="str">
        <f>IF(AND(Table1[[#This Row],[Spec Type2]]="N/A",Table1[[#This Row],[DUT Adj Read]]="N/A",Table1[[#This Row],[Std Adj Read]]="N/A"),"N/A",IF(Table1[[#This Row],[DUT Adj Read]]="N/A",IF(Table1[[#This Row],[Std Adj Read]]&lt;=Table1[[#This Row],[High Tol]],"Pass","Fail"),IF(Table1[[#This Row],[DUT Adj Read]]&lt;=Table1[[#This Row],[High Tol]],"Pass","Fail")))</f>
        <v>Fail</v>
      </c>
      <c r="AH14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0" s="1" t="b">
        <v>0</v>
      </c>
      <c r="AN1470" s="1" t="b">
        <v>0</v>
      </c>
      <c r="AO1470" s="1" t="b">
        <v>0</v>
      </c>
    </row>
    <row r="1471" spans="1:41" x14ac:dyDescent="0.25">
      <c r="A1471" s="10"/>
      <c r="B1471" s="10"/>
      <c r="C1471" s="10"/>
      <c r="D1471" s="10"/>
      <c r="E1471" s="10"/>
      <c r="F1471" s="10"/>
      <c r="G1471" s="10"/>
      <c r="H1471" s="10"/>
      <c r="I1471" s="1" t="str">
        <f t="shared" si="66"/>
        <v/>
      </c>
      <c r="J1471" s="1" t="s">
        <v>35</v>
      </c>
      <c r="K1471" s="1" t="str">
        <f t="shared" si="67"/>
        <v/>
      </c>
      <c r="L1471" s="1" t="str">
        <f t="shared" si="68"/>
        <v/>
      </c>
      <c r="M1471" s="1">
        <f>IF(OR(Table1[[#This Row],[Std Nom]]="",Table1[[#This Row],[Std Read]]=""),0,Table1[[#This Row],[Std Nom]]-Table1[[#This Row],[Std Read]])</f>
        <v>0</v>
      </c>
      <c r="N1471" s="1">
        <f>IF(Calculations!$F$5="ACCREDITED 17025 WITH UNCERTAINTIES",$N$10,0)</f>
        <v>0</v>
      </c>
      <c r="Q1471" s="1">
        <f>Table1[[#This Row],[High Tol]]-Table1[[#This Row],[Low Tol]]</f>
        <v>0</v>
      </c>
      <c r="R1471" s="1">
        <f>2*Table1[[#This Row],[Std Error]]</f>
        <v>0</v>
      </c>
      <c r="S1471" s="1" t="str">
        <f>IF(Table1[[#This Row],[High Tol]]="","N/A",IFERROR(ABS(Table1[[#This Row],[Tol Span]]/Table1[[#This Row],[Error Span]]),"N/A"))</f>
        <v>N/A</v>
      </c>
      <c r="T1471" s="1" t="str">
        <f>IF(OR(Table1[[#This Row],[Low Tol]]="",Table1[[#This Row],[High Tol]]=""),"Needs Analysis",IF(Table1[[#This Row],[Ratio]]&gt;=4,"Not Significant",IF(Table1[[#This Row],[Ratio]]&gt;=2,"Semi-Significant","Significant")))</f>
        <v>Needs Analysis</v>
      </c>
      <c r="W1471" s="1">
        <f>IF(Table1[[#This Row],[Cal Type]]&lt;&gt;"ACCREDITED 17025 WITH UNCERTAINTIES",0,"")</f>
        <v>0</v>
      </c>
      <c r="X1471" s="1" t="str">
        <f>IF(Table1[[#This Row],[DUT Read]]="","N/A",Table1[[#This Row],[Std Error]]+Table1[[#This Row],[DUT Read]]+Table1[[#This Row],[DUT Ucty]])</f>
        <v>N/A</v>
      </c>
      <c r="Y1471" s="1" t="str">
        <f>IF(Table1[[#This Row],[Std Read]]="","N/A",Table1[[#This Row],[Std Read]]+Table1[[#This Row],[Std Ucty]])</f>
        <v>N/A</v>
      </c>
      <c r="Z14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1" s="1" t="str">
        <f>IF(Table1[[#This Row],[Spec Type]]="","N/A",Table1[[#This Row],[Spec Type]])</f>
        <v>±</v>
      </c>
      <c r="AC1471" s="1" t="str">
        <f>IF(Table1[[#This Row],[Spec Type2]]="N/A","N/A",IF(AND(Table1[[#This Row],[DUT Adj Read]]&gt;=Table1[[#This Row],[Low Tol]],Table1[[#This Row],[DUT Adj Read]]&lt;=Table1[[#This Row],[High Tol]]),"Pass","Fail"))</f>
        <v>Fail</v>
      </c>
      <c r="AD1471" s="1" t="str">
        <f>IF(AND(Table1[[#This Row],[Spec Type2]]="N/A",Table1[[#This Row],[DUT Adj Read]]="N/A",Table1[[#This Row],[Std Adj Read]]="N/A"),"N/A",IF(Table1[[#This Row],[DUT Adj Read]]="N/A",IF(Table1[[#This Row],[Std Adj Read]]&gt;Table1[[#This Row],[Low Tol]],"Pass","Fail"),IF(Table1[[#This Row],[DUT Adj Read]]&gt;Table1[[#This Row],[Low Tol]],"Pass","Fail")))</f>
        <v>Pass</v>
      </c>
      <c r="AE1471" s="1" t="str">
        <f>IF(AND(Table1[[#This Row],[Spec Type2]]="N/A",Table1[[#This Row],[DUT Adj Read]]="N/A",Table1[[#This Row],[Std Adj Read]]="N/A"),"N/A",IF(Table1[[#This Row],[DUT Adj Read]]="N/A",IF(Table1[[#This Row],[Std Adj Read]]&lt;Table1[[#This Row],[High Tol]],"Pass","Fail"),IF(Table1[[#This Row],[DUT Adj Read]]&lt;Table1[[#This Row],[High Tol]],"Pass","Fail")))</f>
        <v>Fail</v>
      </c>
      <c r="AF1471" s="1" t="str">
        <f>IF(AND(Table1[[#This Row],[Spec Type2]]="N/A",Table1[[#This Row],[DUT Adj Read]]="N/A",Table1[[#This Row],[Std Adj Read]]="N/A"),"N/A",IF(Table1[[#This Row],[DUT Adj Read]]="N/A",IF(Table1[[#This Row],[Std Adj Read]]&gt;=Table1[[#This Row],[Low Tol]],"Pass","Fail"),IF(Table1[[#This Row],[DUT Adj Read]]&gt;=Table1[[#This Row],[Low Tol]],"Pass","Fail")))</f>
        <v>Pass</v>
      </c>
      <c r="AG1471" s="1" t="str">
        <f>IF(AND(Table1[[#This Row],[Spec Type2]]="N/A",Table1[[#This Row],[DUT Adj Read]]="N/A",Table1[[#This Row],[Std Adj Read]]="N/A"),"N/A",IF(Table1[[#This Row],[DUT Adj Read]]="N/A",IF(Table1[[#This Row],[Std Adj Read]]&lt;=Table1[[#This Row],[High Tol]],"Pass","Fail"),IF(Table1[[#This Row],[DUT Adj Read]]&lt;=Table1[[#This Row],[High Tol]],"Pass","Fail")))</f>
        <v>Fail</v>
      </c>
      <c r="AH14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1" s="1" t="b">
        <v>0</v>
      </c>
      <c r="AN1471" s="1" t="b">
        <v>0</v>
      </c>
      <c r="AO1471" s="1" t="b">
        <v>0</v>
      </c>
    </row>
    <row r="1472" spans="1:41" x14ac:dyDescent="0.25">
      <c r="A1472" s="10"/>
      <c r="B1472" s="10"/>
      <c r="C1472" s="10"/>
      <c r="D1472" s="10"/>
      <c r="E1472" s="10"/>
      <c r="F1472" s="10"/>
      <c r="G1472" s="10"/>
      <c r="H1472" s="10"/>
      <c r="I1472" s="1" t="str">
        <f t="shared" si="66"/>
        <v/>
      </c>
      <c r="J1472" s="1" t="s">
        <v>35</v>
      </c>
      <c r="K1472" s="1" t="str">
        <f t="shared" si="67"/>
        <v/>
      </c>
      <c r="L1472" s="1" t="str">
        <f t="shared" si="68"/>
        <v/>
      </c>
      <c r="M1472" s="1">
        <f>IF(OR(Table1[[#This Row],[Std Nom]]="",Table1[[#This Row],[Std Read]]=""),0,Table1[[#This Row],[Std Nom]]-Table1[[#This Row],[Std Read]])</f>
        <v>0</v>
      </c>
      <c r="N1472" s="1">
        <f>IF(Calculations!$F$5="ACCREDITED 17025 WITH UNCERTAINTIES",$N$10,0)</f>
        <v>0</v>
      </c>
      <c r="Q1472" s="1">
        <f>Table1[[#This Row],[High Tol]]-Table1[[#This Row],[Low Tol]]</f>
        <v>0</v>
      </c>
      <c r="R1472" s="1">
        <f>2*Table1[[#This Row],[Std Error]]</f>
        <v>0</v>
      </c>
      <c r="S1472" s="1" t="str">
        <f>IF(Table1[[#This Row],[High Tol]]="","N/A",IFERROR(ABS(Table1[[#This Row],[Tol Span]]/Table1[[#This Row],[Error Span]]),"N/A"))</f>
        <v>N/A</v>
      </c>
      <c r="T1472" s="1" t="str">
        <f>IF(OR(Table1[[#This Row],[Low Tol]]="",Table1[[#This Row],[High Tol]]=""),"Needs Analysis",IF(Table1[[#This Row],[Ratio]]&gt;=4,"Not Significant",IF(Table1[[#This Row],[Ratio]]&gt;=2,"Semi-Significant","Significant")))</f>
        <v>Needs Analysis</v>
      </c>
      <c r="W1472" s="1">
        <f>IF(Table1[[#This Row],[Cal Type]]&lt;&gt;"ACCREDITED 17025 WITH UNCERTAINTIES",0,"")</f>
        <v>0</v>
      </c>
      <c r="X1472" s="1" t="str">
        <f>IF(Table1[[#This Row],[DUT Read]]="","N/A",Table1[[#This Row],[Std Error]]+Table1[[#This Row],[DUT Read]]+Table1[[#This Row],[DUT Ucty]])</f>
        <v>N/A</v>
      </c>
      <c r="Y1472" s="1" t="str">
        <f>IF(Table1[[#This Row],[Std Read]]="","N/A",Table1[[#This Row],[Std Read]]+Table1[[#This Row],[Std Ucty]])</f>
        <v>N/A</v>
      </c>
      <c r="Z14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2" s="1" t="str">
        <f>IF(Table1[[#This Row],[Spec Type]]="","N/A",Table1[[#This Row],[Spec Type]])</f>
        <v>±</v>
      </c>
      <c r="AC1472" s="1" t="str">
        <f>IF(Table1[[#This Row],[Spec Type2]]="N/A","N/A",IF(AND(Table1[[#This Row],[DUT Adj Read]]&gt;=Table1[[#This Row],[Low Tol]],Table1[[#This Row],[DUT Adj Read]]&lt;=Table1[[#This Row],[High Tol]]),"Pass","Fail"))</f>
        <v>Fail</v>
      </c>
      <c r="AD1472" s="1" t="str">
        <f>IF(AND(Table1[[#This Row],[Spec Type2]]="N/A",Table1[[#This Row],[DUT Adj Read]]="N/A",Table1[[#This Row],[Std Adj Read]]="N/A"),"N/A",IF(Table1[[#This Row],[DUT Adj Read]]="N/A",IF(Table1[[#This Row],[Std Adj Read]]&gt;Table1[[#This Row],[Low Tol]],"Pass","Fail"),IF(Table1[[#This Row],[DUT Adj Read]]&gt;Table1[[#This Row],[Low Tol]],"Pass","Fail")))</f>
        <v>Pass</v>
      </c>
      <c r="AE1472" s="1" t="str">
        <f>IF(AND(Table1[[#This Row],[Spec Type2]]="N/A",Table1[[#This Row],[DUT Adj Read]]="N/A",Table1[[#This Row],[Std Adj Read]]="N/A"),"N/A",IF(Table1[[#This Row],[DUT Adj Read]]="N/A",IF(Table1[[#This Row],[Std Adj Read]]&lt;Table1[[#This Row],[High Tol]],"Pass","Fail"),IF(Table1[[#This Row],[DUT Adj Read]]&lt;Table1[[#This Row],[High Tol]],"Pass","Fail")))</f>
        <v>Fail</v>
      </c>
      <c r="AF1472" s="1" t="str">
        <f>IF(AND(Table1[[#This Row],[Spec Type2]]="N/A",Table1[[#This Row],[DUT Adj Read]]="N/A",Table1[[#This Row],[Std Adj Read]]="N/A"),"N/A",IF(Table1[[#This Row],[DUT Adj Read]]="N/A",IF(Table1[[#This Row],[Std Adj Read]]&gt;=Table1[[#This Row],[Low Tol]],"Pass","Fail"),IF(Table1[[#This Row],[DUT Adj Read]]&gt;=Table1[[#This Row],[Low Tol]],"Pass","Fail")))</f>
        <v>Pass</v>
      </c>
      <c r="AG1472" s="1" t="str">
        <f>IF(AND(Table1[[#This Row],[Spec Type2]]="N/A",Table1[[#This Row],[DUT Adj Read]]="N/A",Table1[[#This Row],[Std Adj Read]]="N/A"),"N/A",IF(Table1[[#This Row],[DUT Adj Read]]="N/A",IF(Table1[[#This Row],[Std Adj Read]]&lt;=Table1[[#This Row],[High Tol]],"Pass","Fail"),IF(Table1[[#This Row],[DUT Adj Read]]&lt;=Table1[[#This Row],[High Tol]],"Pass","Fail")))</f>
        <v>Fail</v>
      </c>
      <c r="AH14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2" s="1" t="b">
        <v>0</v>
      </c>
      <c r="AN1472" s="1" t="b">
        <v>0</v>
      </c>
      <c r="AO1472" s="1" t="b">
        <v>0</v>
      </c>
    </row>
    <row r="1473" spans="1:41" x14ac:dyDescent="0.25">
      <c r="A1473" s="10"/>
      <c r="B1473" s="10"/>
      <c r="C1473" s="10"/>
      <c r="D1473" s="10"/>
      <c r="E1473" s="10"/>
      <c r="F1473" s="10"/>
      <c r="G1473" s="10"/>
      <c r="H1473" s="10"/>
      <c r="I1473" s="1" t="str">
        <f t="shared" si="66"/>
        <v/>
      </c>
      <c r="J1473" s="1" t="s">
        <v>35</v>
      </c>
      <c r="K1473" s="1" t="str">
        <f t="shared" si="67"/>
        <v/>
      </c>
      <c r="L1473" s="1" t="str">
        <f t="shared" si="68"/>
        <v/>
      </c>
      <c r="M1473" s="1">
        <f>IF(OR(Table1[[#This Row],[Std Nom]]="",Table1[[#This Row],[Std Read]]=""),0,Table1[[#This Row],[Std Nom]]-Table1[[#This Row],[Std Read]])</f>
        <v>0</v>
      </c>
      <c r="N1473" s="1">
        <f>IF(Calculations!$F$5="ACCREDITED 17025 WITH UNCERTAINTIES",$N$10,0)</f>
        <v>0</v>
      </c>
      <c r="Q1473" s="1">
        <f>Table1[[#This Row],[High Tol]]-Table1[[#This Row],[Low Tol]]</f>
        <v>0</v>
      </c>
      <c r="R1473" s="1">
        <f>2*Table1[[#This Row],[Std Error]]</f>
        <v>0</v>
      </c>
      <c r="S1473" s="1" t="str">
        <f>IF(Table1[[#This Row],[High Tol]]="","N/A",IFERROR(ABS(Table1[[#This Row],[Tol Span]]/Table1[[#This Row],[Error Span]]),"N/A"))</f>
        <v>N/A</v>
      </c>
      <c r="T1473" s="1" t="str">
        <f>IF(OR(Table1[[#This Row],[Low Tol]]="",Table1[[#This Row],[High Tol]]=""),"Needs Analysis",IF(Table1[[#This Row],[Ratio]]&gt;=4,"Not Significant",IF(Table1[[#This Row],[Ratio]]&gt;=2,"Semi-Significant","Significant")))</f>
        <v>Needs Analysis</v>
      </c>
      <c r="W1473" s="1">
        <f>IF(Table1[[#This Row],[Cal Type]]&lt;&gt;"ACCREDITED 17025 WITH UNCERTAINTIES",0,"")</f>
        <v>0</v>
      </c>
      <c r="X1473" s="1" t="str">
        <f>IF(Table1[[#This Row],[DUT Read]]="","N/A",Table1[[#This Row],[Std Error]]+Table1[[#This Row],[DUT Read]]+Table1[[#This Row],[DUT Ucty]])</f>
        <v>N/A</v>
      </c>
      <c r="Y1473" s="1" t="str">
        <f>IF(Table1[[#This Row],[Std Read]]="","N/A",Table1[[#This Row],[Std Read]]+Table1[[#This Row],[Std Ucty]])</f>
        <v>N/A</v>
      </c>
      <c r="Z14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3" s="1" t="str">
        <f>IF(Table1[[#This Row],[Spec Type]]="","N/A",Table1[[#This Row],[Spec Type]])</f>
        <v>±</v>
      </c>
      <c r="AC1473" s="1" t="str">
        <f>IF(Table1[[#This Row],[Spec Type2]]="N/A","N/A",IF(AND(Table1[[#This Row],[DUT Adj Read]]&gt;=Table1[[#This Row],[Low Tol]],Table1[[#This Row],[DUT Adj Read]]&lt;=Table1[[#This Row],[High Tol]]),"Pass","Fail"))</f>
        <v>Fail</v>
      </c>
      <c r="AD1473" s="1" t="str">
        <f>IF(AND(Table1[[#This Row],[Spec Type2]]="N/A",Table1[[#This Row],[DUT Adj Read]]="N/A",Table1[[#This Row],[Std Adj Read]]="N/A"),"N/A",IF(Table1[[#This Row],[DUT Adj Read]]="N/A",IF(Table1[[#This Row],[Std Adj Read]]&gt;Table1[[#This Row],[Low Tol]],"Pass","Fail"),IF(Table1[[#This Row],[DUT Adj Read]]&gt;Table1[[#This Row],[Low Tol]],"Pass","Fail")))</f>
        <v>Pass</v>
      </c>
      <c r="AE1473" s="1" t="str">
        <f>IF(AND(Table1[[#This Row],[Spec Type2]]="N/A",Table1[[#This Row],[DUT Adj Read]]="N/A",Table1[[#This Row],[Std Adj Read]]="N/A"),"N/A",IF(Table1[[#This Row],[DUT Adj Read]]="N/A",IF(Table1[[#This Row],[Std Adj Read]]&lt;Table1[[#This Row],[High Tol]],"Pass","Fail"),IF(Table1[[#This Row],[DUT Adj Read]]&lt;Table1[[#This Row],[High Tol]],"Pass","Fail")))</f>
        <v>Fail</v>
      </c>
      <c r="AF1473" s="1" t="str">
        <f>IF(AND(Table1[[#This Row],[Spec Type2]]="N/A",Table1[[#This Row],[DUT Adj Read]]="N/A",Table1[[#This Row],[Std Adj Read]]="N/A"),"N/A",IF(Table1[[#This Row],[DUT Adj Read]]="N/A",IF(Table1[[#This Row],[Std Adj Read]]&gt;=Table1[[#This Row],[Low Tol]],"Pass","Fail"),IF(Table1[[#This Row],[DUT Adj Read]]&gt;=Table1[[#This Row],[Low Tol]],"Pass","Fail")))</f>
        <v>Pass</v>
      </c>
      <c r="AG1473" s="1" t="str">
        <f>IF(AND(Table1[[#This Row],[Spec Type2]]="N/A",Table1[[#This Row],[DUT Adj Read]]="N/A",Table1[[#This Row],[Std Adj Read]]="N/A"),"N/A",IF(Table1[[#This Row],[DUT Adj Read]]="N/A",IF(Table1[[#This Row],[Std Adj Read]]&lt;=Table1[[#This Row],[High Tol]],"Pass","Fail"),IF(Table1[[#This Row],[DUT Adj Read]]&lt;=Table1[[#This Row],[High Tol]],"Pass","Fail")))</f>
        <v>Fail</v>
      </c>
      <c r="AH14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3" s="1" t="b">
        <v>0</v>
      </c>
      <c r="AN1473" s="1" t="b">
        <v>0</v>
      </c>
      <c r="AO1473" s="1" t="b">
        <v>0</v>
      </c>
    </row>
    <row r="1474" spans="1:41" x14ac:dyDescent="0.25">
      <c r="A1474" s="10"/>
      <c r="B1474" s="10"/>
      <c r="C1474" s="10"/>
      <c r="D1474" s="10"/>
      <c r="E1474" s="10"/>
      <c r="F1474" s="10"/>
      <c r="G1474" s="10"/>
      <c r="H1474" s="10"/>
      <c r="I1474" s="1" t="str">
        <f t="shared" si="66"/>
        <v/>
      </c>
      <c r="J1474" s="1" t="s">
        <v>35</v>
      </c>
      <c r="K1474" s="1" t="str">
        <f t="shared" si="67"/>
        <v/>
      </c>
      <c r="L1474" s="1" t="str">
        <f t="shared" si="68"/>
        <v/>
      </c>
      <c r="M1474" s="1">
        <f>IF(OR(Table1[[#This Row],[Std Nom]]="",Table1[[#This Row],[Std Read]]=""),0,Table1[[#This Row],[Std Nom]]-Table1[[#This Row],[Std Read]])</f>
        <v>0</v>
      </c>
      <c r="N1474" s="1">
        <f>IF(Calculations!$F$5="ACCREDITED 17025 WITH UNCERTAINTIES",$N$10,0)</f>
        <v>0</v>
      </c>
      <c r="Q1474" s="1">
        <f>Table1[[#This Row],[High Tol]]-Table1[[#This Row],[Low Tol]]</f>
        <v>0</v>
      </c>
      <c r="R1474" s="1">
        <f>2*Table1[[#This Row],[Std Error]]</f>
        <v>0</v>
      </c>
      <c r="S1474" s="1" t="str">
        <f>IF(Table1[[#This Row],[High Tol]]="","N/A",IFERROR(ABS(Table1[[#This Row],[Tol Span]]/Table1[[#This Row],[Error Span]]),"N/A"))</f>
        <v>N/A</v>
      </c>
      <c r="T1474" s="1" t="str">
        <f>IF(OR(Table1[[#This Row],[Low Tol]]="",Table1[[#This Row],[High Tol]]=""),"Needs Analysis",IF(Table1[[#This Row],[Ratio]]&gt;=4,"Not Significant",IF(Table1[[#This Row],[Ratio]]&gt;=2,"Semi-Significant","Significant")))</f>
        <v>Needs Analysis</v>
      </c>
      <c r="W1474" s="1">
        <f>IF(Table1[[#This Row],[Cal Type]]&lt;&gt;"ACCREDITED 17025 WITH UNCERTAINTIES",0,"")</f>
        <v>0</v>
      </c>
      <c r="X1474" s="1" t="str">
        <f>IF(Table1[[#This Row],[DUT Read]]="","N/A",Table1[[#This Row],[Std Error]]+Table1[[#This Row],[DUT Read]]+Table1[[#This Row],[DUT Ucty]])</f>
        <v>N/A</v>
      </c>
      <c r="Y1474" s="1" t="str">
        <f>IF(Table1[[#This Row],[Std Read]]="","N/A",Table1[[#This Row],[Std Read]]+Table1[[#This Row],[Std Ucty]])</f>
        <v>N/A</v>
      </c>
      <c r="Z14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4" s="1" t="str">
        <f>IF(Table1[[#This Row],[Spec Type]]="","N/A",Table1[[#This Row],[Spec Type]])</f>
        <v>±</v>
      </c>
      <c r="AC1474" s="1" t="str">
        <f>IF(Table1[[#This Row],[Spec Type2]]="N/A","N/A",IF(AND(Table1[[#This Row],[DUT Adj Read]]&gt;=Table1[[#This Row],[Low Tol]],Table1[[#This Row],[DUT Adj Read]]&lt;=Table1[[#This Row],[High Tol]]),"Pass","Fail"))</f>
        <v>Fail</v>
      </c>
      <c r="AD1474" s="1" t="str">
        <f>IF(AND(Table1[[#This Row],[Spec Type2]]="N/A",Table1[[#This Row],[DUT Adj Read]]="N/A",Table1[[#This Row],[Std Adj Read]]="N/A"),"N/A",IF(Table1[[#This Row],[DUT Adj Read]]="N/A",IF(Table1[[#This Row],[Std Adj Read]]&gt;Table1[[#This Row],[Low Tol]],"Pass","Fail"),IF(Table1[[#This Row],[DUT Adj Read]]&gt;Table1[[#This Row],[Low Tol]],"Pass","Fail")))</f>
        <v>Pass</v>
      </c>
      <c r="AE1474" s="1" t="str">
        <f>IF(AND(Table1[[#This Row],[Spec Type2]]="N/A",Table1[[#This Row],[DUT Adj Read]]="N/A",Table1[[#This Row],[Std Adj Read]]="N/A"),"N/A",IF(Table1[[#This Row],[DUT Adj Read]]="N/A",IF(Table1[[#This Row],[Std Adj Read]]&lt;Table1[[#This Row],[High Tol]],"Pass","Fail"),IF(Table1[[#This Row],[DUT Adj Read]]&lt;Table1[[#This Row],[High Tol]],"Pass","Fail")))</f>
        <v>Fail</v>
      </c>
      <c r="AF1474" s="1" t="str">
        <f>IF(AND(Table1[[#This Row],[Spec Type2]]="N/A",Table1[[#This Row],[DUT Adj Read]]="N/A",Table1[[#This Row],[Std Adj Read]]="N/A"),"N/A",IF(Table1[[#This Row],[DUT Adj Read]]="N/A",IF(Table1[[#This Row],[Std Adj Read]]&gt;=Table1[[#This Row],[Low Tol]],"Pass","Fail"),IF(Table1[[#This Row],[DUT Adj Read]]&gt;=Table1[[#This Row],[Low Tol]],"Pass","Fail")))</f>
        <v>Pass</v>
      </c>
      <c r="AG1474" s="1" t="str">
        <f>IF(AND(Table1[[#This Row],[Spec Type2]]="N/A",Table1[[#This Row],[DUT Adj Read]]="N/A",Table1[[#This Row],[Std Adj Read]]="N/A"),"N/A",IF(Table1[[#This Row],[DUT Adj Read]]="N/A",IF(Table1[[#This Row],[Std Adj Read]]&lt;=Table1[[#This Row],[High Tol]],"Pass","Fail"),IF(Table1[[#This Row],[DUT Adj Read]]&lt;=Table1[[#This Row],[High Tol]],"Pass","Fail")))</f>
        <v>Fail</v>
      </c>
      <c r="AH14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4" s="1" t="b">
        <v>0</v>
      </c>
      <c r="AN1474" s="1" t="b">
        <v>0</v>
      </c>
      <c r="AO1474" s="1" t="b">
        <v>0</v>
      </c>
    </row>
    <row r="1475" spans="1:41" x14ac:dyDescent="0.25">
      <c r="A1475" s="10"/>
      <c r="B1475" s="10"/>
      <c r="C1475" s="10"/>
      <c r="D1475" s="10"/>
      <c r="E1475" s="10"/>
      <c r="F1475" s="10"/>
      <c r="G1475" s="10"/>
      <c r="H1475" s="10"/>
      <c r="I1475" s="1" t="str">
        <f t="shared" si="66"/>
        <v/>
      </c>
      <c r="J1475" s="1" t="s">
        <v>35</v>
      </c>
      <c r="K1475" s="1" t="str">
        <f t="shared" si="67"/>
        <v/>
      </c>
      <c r="L1475" s="1" t="str">
        <f t="shared" si="68"/>
        <v/>
      </c>
      <c r="M1475" s="1">
        <f>IF(OR(Table1[[#This Row],[Std Nom]]="",Table1[[#This Row],[Std Read]]=""),0,Table1[[#This Row],[Std Nom]]-Table1[[#This Row],[Std Read]])</f>
        <v>0</v>
      </c>
      <c r="N1475" s="1">
        <f>IF(Calculations!$F$5="ACCREDITED 17025 WITH UNCERTAINTIES",$N$10,0)</f>
        <v>0</v>
      </c>
      <c r="Q1475" s="1">
        <f>Table1[[#This Row],[High Tol]]-Table1[[#This Row],[Low Tol]]</f>
        <v>0</v>
      </c>
      <c r="R1475" s="1">
        <f>2*Table1[[#This Row],[Std Error]]</f>
        <v>0</v>
      </c>
      <c r="S1475" s="1" t="str">
        <f>IF(Table1[[#This Row],[High Tol]]="","N/A",IFERROR(ABS(Table1[[#This Row],[Tol Span]]/Table1[[#This Row],[Error Span]]),"N/A"))</f>
        <v>N/A</v>
      </c>
      <c r="T1475" s="1" t="str">
        <f>IF(OR(Table1[[#This Row],[Low Tol]]="",Table1[[#This Row],[High Tol]]=""),"Needs Analysis",IF(Table1[[#This Row],[Ratio]]&gt;=4,"Not Significant",IF(Table1[[#This Row],[Ratio]]&gt;=2,"Semi-Significant","Significant")))</f>
        <v>Needs Analysis</v>
      </c>
      <c r="W1475" s="1">
        <f>IF(Table1[[#This Row],[Cal Type]]&lt;&gt;"ACCREDITED 17025 WITH UNCERTAINTIES",0,"")</f>
        <v>0</v>
      </c>
      <c r="X1475" s="1" t="str">
        <f>IF(Table1[[#This Row],[DUT Read]]="","N/A",Table1[[#This Row],[Std Error]]+Table1[[#This Row],[DUT Read]]+Table1[[#This Row],[DUT Ucty]])</f>
        <v>N/A</v>
      </c>
      <c r="Y1475" s="1" t="str">
        <f>IF(Table1[[#This Row],[Std Read]]="","N/A",Table1[[#This Row],[Std Read]]+Table1[[#This Row],[Std Ucty]])</f>
        <v>N/A</v>
      </c>
      <c r="Z14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5" s="1" t="str">
        <f>IF(Table1[[#This Row],[Spec Type]]="","N/A",Table1[[#This Row],[Spec Type]])</f>
        <v>±</v>
      </c>
      <c r="AC1475" s="1" t="str">
        <f>IF(Table1[[#This Row],[Spec Type2]]="N/A","N/A",IF(AND(Table1[[#This Row],[DUT Adj Read]]&gt;=Table1[[#This Row],[Low Tol]],Table1[[#This Row],[DUT Adj Read]]&lt;=Table1[[#This Row],[High Tol]]),"Pass","Fail"))</f>
        <v>Fail</v>
      </c>
      <c r="AD1475" s="1" t="str">
        <f>IF(AND(Table1[[#This Row],[Spec Type2]]="N/A",Table1[[#This Row],[DUT Adj Read]]="N/A",Table1[[#This Row],[Std Adj Read]]="N/A"),"N/A",IF(Table1[[#This Row],[DUT Adj Read]]="N/A",IF(Table1[[#This Row],[Std Adj Read]]&gt;Table1[[#This Row],[Low Tol]],"Pass","Fail"),IF(Table1[[#This Row],[DUT Adj Read]]&gt;Table1[[#This Row],[Low Tol]],"Pass","Fail")))</f>
        <v>Pass</v>
      </c>
      <c r="AE1475" s="1" t="str">
        <f>IF(AND(Table1[[#This Row],[Spec Type2]]="N/A",Table1[[#This Row],[DUT Adj Read]]="N/A",Table1[[#This Row],[Std Adj Read]]="N/A"),"N/A",IF(Table1[[#This Row],[DUT Adj Read]]="N/A",IF(Table1[[#This Row],[Std Adj Read]]&lt;Table1[[#This Row],[High Tol]],"Pass","Fail"),IF(Table1[[#This Row],[DUT Adj Read]]&lt;Table1[[#This Row],[High Tol]],"Pass","Fail")))</f>
        <v>Fail</v>
      </c>
      <c r="AF1475" s="1" t="str">
        <f>IF(AND(Table1[[#This Row],[Spec Type2]]="N/A",Table1[[#This Row],[DUT Adj Read]]="N/A",Table1[[#This Row],[Std Adj Read]]="N/A"),"N/A",IF(Table1[[#This Row],[DUT Adj Read]]="N/A",IF(Table1[[#This Row],[Std Adj Read]]&gt;=Table1[[#This Row],[Low Tol]],"Pass","Fail"),IF(Table1[[#This Row],[DUT Adj Read]]&gt;=Table1[[#This Row],[Low Tol]],"Pass","Fail")))</f>
        <v>Pass</v>
      </c>
      <c r="AG1475" s="1" t="str">
        <f>IF(AND(Table1[[#This Row],[Spec Type2]]="N/A",Table1[[#This Row],[DUT Adj Read]]="N/A",Table1[[#This Row],[Std Adj Read]]="N/A"),"N/A",IF(Table1[[#This Row],[DUT Adj Read]]="N/A",IF(Table1[[#This Row],[Std Adj Read]]&lt;=Table1[[#This Row],[High Tol]],"Pass","Fail"),IF(Table1[[#This Row],[DUT Adj Read]]&lt;=Table1[[#This Row],[High Tol]],"Pass","Fail")))</f>
        <v>Fail</v>
      </c>
      <c r="AH14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5" s="1" t="b">
        <v>0</v>
      </c>
      <c r="AN1475" s="1" t="b">
        <v>0</v>
      </c>
      <c r="AO1475" s="1" t="b">
        <v>0</v>
      </c>
    </row>
    <row r="1476" spans="1:41" x14ac:dyDescent="0.25">
      <c r="A1476" s="10"/>
      <c r="B1476" s="10"/>
      <c r="C1476" s="10"/>
      <c r="D1476" s="10"/>
      <c r="E1476" s="10"/>
      <c r="F1476" s="10"/>
      <c r="G1476" s="10"/>
      <c r="H1476" s="10"/>
      <c r="I1476" s="1" t="str">
        <f t="shared" si="66"/>
        <v/>
      </c>
      <c r="J1476" s="1" t="s">
        <v>35</v>
      </c>
      <c r="K1476" s="1" t="str">
        <f t="shared" si="67"/>
        <v/>
      </c>
      <c r="L1476" s="1" t="str">
        <f t="shared" si="68"/>
        <v/>
      </c>
      <c r="M1476" s="1">
        <f>IF(OR(Table1[[#This Row],[Std Nom]]="",Table1[[#This Row],[Std Read]]=""),0,Table1[[#This Row],[Std Nom]]-Table1[[#This Row],[Std Read]])</f>
        <v>0</v>
      </c>
      <c r="N1476" s="1">
        <f>IF(Calculations!$F$5="ACCREDITED 17025 WITH UNCERTAINTIES",$N$10,0)</f>
        <v>0</v>
      </c>
      <c r="Q1476" s="1">
        <f>Table1[[#This Row],[High Tol]]-Table1[[#This Row],[Low Tol]]</f>
        <v>0</v>
      </c>
      <c r="R1476" s="1">
        <f>2*Table1[[#This Row],[Std Error]]</f>
        <v>0</v>
      </c>
      <c r="S1476" s="1" t="str">
        <f>IF(Table1[[#This Row],[High Tol]]="","N/A",IFERROR(ABS(Table1[[#This Row],[Tol Span]]/Table1[[#This Row],[Error Span]]),"N/A"))</f>
        <v>N/A</v>
      </c>
      <c r="T1476" s="1" t="str">
        <f>IF(OR(Table1[[#This Row],[Low Tol]]="",Table1[[#This Row],[High Tol]]=""),"Needs Analysis",IF(Table1[[#This Row],[Ratio]]&gt;=4,"Not Significant",IF(Table1[[#This Row],[Ratio]]&gt;=2,"Semi-Significant","Significant")))</f>
        <v>Needs Analysis</v>
      </c>
      <c r="W1476" s="1">
        <f>IF(Table1[[#This Row],[Cal Type]]&lt;&gt;"ACCREDITED 17025 WITH UNCERTAINTIES",0,"")</f>
        <v>0</v>
      </c>
      <c r="X1476" s="1" t="str">
        <f>IF(Table1[[#This Row],[DUT Read]]="","N/A",Table1[[#This Row],[Std Error]]+Table1[[#This Row],[DUT Read]]+Table1[[#This Row],[DUT Ucty]])</f>
        <v>N/A</v>
      </c>
      <c r="Y1476" s="1" t="str">
        <f>IF(Table1[[#This Row],[Std Read]]="","N/A",Table1[[#This Row],[Std Read]]+Table1[[#This Row],[Std Ucty]])</f>
        <v>N/A</v>
      </c>
      <c r="Z14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6" s="1" t="str">
        <f>IF(Table1[[#This Row],[Spec Type]]="","N/A",Table1[[#This Row],[Spec Type]])</f>
        <v>±</v>
      </c>
      <c r="AC1476" s="1" t="str">
        <f>IF(Table1[[#This Row],[Spec Type2]]="N/A","N/A",IF(AND(Table1[[#This Row],[DUT Adj Read]]&gt;=Table1[[#This Row],[Low Tol]],Table1[[#This Row],[DUT Adj Read]]&lt;=Table1[[#This Row],[High Tol]]),"Pass","Fail"))</f>
        <v>Fail</v>
      </c>
      <c r="AD1476" s="1" t="str">
        <f>IF(AND(Table1[[#This Row],[Spec Type2]]="N/A",Table1[[#This Row],[DUT Adj Read]]="N/A",Table1[[#This Row],[Std Adj Read]]="N/A"),"N/A",IF(Table1[[#This Row],[DUT Adj Read]]="N/A",IF(Table1[[#This Row],[Std Adj Read]]&gt;Table1[[#This Row],[Low Tol]],"Pass","Fail"),IF(Table1[[#This Row],[DUT Adj Read]]&gt;Table1[[#This Row],[Low Tol]],"Pass","Fail")))</f>
        <v>Pass</v>
      </c>
      <c r="AE1476" s="1" t="str">
        <f>IF(AND(Table1[[#This Row],[Spec Type2]]="N/A",Table1[[#This Row],[DUT Adj Read]]="N/A",Table1[[#This Row],[Std Adj Read]]="N/A"),"N/A",IF(Table1[[#This Row],[DUT Adj Read]]="N/A",IF(Table1[[#This Row],[Std Adj Read]]&lt;Table1[[#This Row],[High Tol]],"Pass","Fail"),IF(Table1[[#This Row],[DUT Adj Read]]&lt;Table1[[#This Row],[High Tol]],"Pass","Fail")))</f>
        <v>Fail</v>
      </c>
      <c r="AF1476" s="1" t="str">
        <f>IF(AND(Table1[[#This Row],[Spec Type2]]="N/A",Table1[[#This Row],[DUT Adj Read]]="N/A",Table1[[#This Row],[Std Adj Read]]="N/A"),"N/A",IF(Table1[[#This Row],[DUT Adj Read]]="N/A",IF(Table1[[#This Row],[Std Adj Read]]&gt;=Table1[[#This Row],[Low Tol]],"Pass","Fail"),IF(Table1[[#This Row],[DUT Adj Read]]&gt;=Table1[[#This Row],[Low Tol]],"Pass","Fail")))</f>
        <v>Pass</v>
      </c>
      <c r="AG1476" s="1" t="str">
        <f>IF(AND(Table1[[#This Row],[Spec Type2]]="N/A",Table1[[#This Row],[DUT Adj Read]]="N/A",Table1[[#This Row],[Std Adj Read]]="N/A"),"N/A",IF(Table1[[#This Row],[DUT Adj Read]]="N/A",IF(Table1[[#This Row],[Std Adj Read]]&lt;=Table1[[#This Row],[High Tol]],"Pass","Fail"),IF(Table1[[#This Row],[DUT Adj Read]]&lt;=Table1[[#This Row],[High Tol]],"Pass","Fail")))</f>
        <v>Fail</v>
      </c>
      <c r="AH14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6" s="1" t="b">
        <v>0</v>
      </c>
      <c r="AN1476" s="1" t="b">
        <v>0</v>
      </c>
      <c r="AO1476" s="1" t="b">
        <v>0</v>
      </c>
    </row>
    <row r="1477" spans="1:41" x14ac:dyDescent="0.25">
      <c r="A1477" s="10"/>
      <c r="B1477" s="10"/>
      <c r="C1477" s="10"/>
      <c r="D1477" s="10"/>
      <c r="E1477" s="10"/>
      <c r="F1477" s="10"/>
      <c r="G1477" s="10"/>
      <c r="H1477" s="10"/>
      <c r="I1477" s="1" t="str">
        <f t="shared" si="66"/>
        <v/>
      </c>
      <c r="J1477" s="1" t="s">
        <v>35</v>
      </c>
      <c r="K1477" s="1" t="str">
        <f t="shared" si="67"/>
        <v/>
      </c>
      <c r="L1477" s="1" t="str">
        <f t="shared" si="68"/>
        <v/>
      </c>
      <c r="M1477" s="1">
        <f>IF(OR(Table1[[#This Row],[Std Nom]]="",Table1[[#This Row],[Std Read]]=""),0,Table1[[#This Row],[Std Nom]]-Table1[[#This Row],[Std Read]])</f>
        <v>0</v>
      </c>
      <c r="N1477" s="1">
        <f>IF(Calculations!$F$5="ACCREDITED 17025 WITH UNCERTAINTIES",$N$10,0)</f>
        <v>0</v>
      </c>
      <c r="Q1477" s="1">
        <f>Table1[[#This Row],[High Tol]]-Table1[[#This Row],[Low Tol]]</f>
        <v>0</v>
      </c>
      <c r="R1477" s="1">
        <f>2*Table1[[#This Row],[Std Error]]</f>
        <v>0</v>
      </c>
      <c r="S1477" s="1" t="str">
        <f>IF(Table1[[#This Row],[High Tol]]="","N/A",IFERROR(ABS(Table1[[#This Row],[Tol Span]]/Table1[[#This Row],[Error Span]]),"N/A"))</f>
        <v>N/A</v>
      </c>
      <c r="T1477" s="1" t="str">
        <f>IF(OR(Table1[[#This Row],[Low Tol]]="",Table1[[#This Row],[High Tol]]=""),"Needs Analysis",IF(Table1[[#This Row],[Ratio]]&gt;=4,"Not Significant",IF(Table1[[#This Row],[Ratio]]&gt;=2,"Semi-Significant","Significant")))</f>
        <v>Needs Analysis</v>
      </c>
      <c r="W1477" s="1">
        <f>IF(Table1[[#This Row],[Cal Type]]&lt;&gt;"ACCREDITED 17025 WITH UNCERTAINTIES",0,"")</f>
        <v>0</v>
      </c>
      <c r="X1477" s="1" t="str">
        <f>IF(Table1[[#This Row],[DUT Read]]="","N/A",Table1[[#This Row],[Std Error]]+Table1[[#This Row],[DUT Read]]+Table1[[#This Row],[DUT Ucty]])</f>
        <v>N/A</v>
      </c>
      <c r="Y1477" s="1" t="str">
        <f>IF(Table1[[#This Row],[Std Read]]="","N/A",Table1[[#This Row],[Std Read]]+Table1[[#This Row],[Std Ucty]])</f>
        <v>N/A</v>
      </c>
      <c r="Z14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7" s="1" t="str">
        <f>IF(Table1[[#This Row],[Spec Type]]="","N/A",Table1[[#This Row],[Spec Type]])</f>
        <v>±</v>
      </c>
      <c r="AC1477" s="1" t="str">
        <f>IF(Table1[[#This Row],[Spec Type2]]="N/A","N/A",IF(AND(Table1[[#This Row],[DUT Adj Read]]&gt;=Table1[[#This Row],[Low Tol]],Table1[[#This Row],[DUT Adj Read]]&lt;=Table1[[#This Row],[High Tol]]),"Pass","Fail"))</f>
        <v>Fail</v>
      </c>
      <c r="AD1477" s="1" t="str">
        <f>IF(AND(Table1[[#This Row],[Spec Type2]]="N/A",Table1[[#This Row],[DUT Adj Read]]="N/A",Table1[[#This Row],[Std Adj Read]]="N/A"),"N/A",IF(Table1[[#This Row],[DUT Adj Read]]="N/A",IF(Table1[[#This Row],[Std Adj Read]]&gt;Table1[[#This Row],[Low Tol]],"Pass","Fail"),IF(Table1[[#This Row],[DUT Adj Read]]&gt;Table1[[#This Row],[Low Tol]],"Pass","Fail")))</f>
        <v>Pass</v>
      </c>
      <c r="AE1477" s="1" t="str">
        <f>IF(AND(Table1[[#This Row],[Spec Type2]]="N/A",Table1[[#This Row],[DUT Adj Read]]="N/A",Table1[[#This Row],[Std Adj Read]]="N/A"),"N/A",IF(Table1[[#This Row],[DUT Adj Read]]="N/A",IF(Table1[[#This Row],[Std Adj Read]]&lt;Table1[[#This Row],[High Tol]],"Pass","Fail"),IF(Table1[[#This Row],[DUT Adj Read]]&lt;Table1[[#This Row],[High Tol]],"Pass","Fail")))</f>
        <v>Fail</v>
      </c>
      <c r="AF1477" s="1" t="str">
        <f>IF(AND(Table1[[#This Row],[Spec Type2]]="N/A",Table1[[#This Row],[DUT Adj Read]]="N/A",Table1[[#This Row],[Std Adj Read]]="N/A"),"N/A",IF(Table1[[#This Row],[DUT Adj Read]]="N/A",IF(Table1[[#This Row],[Std Adj Read]]&gt;=Table1[[#This Row],[Low Tol]],"Pass","Fail"),IF(Table1[[#This Row],[DUT Adj Read]]&gt;=Table1[[#This Row],[Low Tol]],"Pass","Fail")))</f>
        <v>Pass</v>
      </c>
      <c r="AG1477" s="1" t="str">
        <f>IF(AND(Table1[[#This Row],[Spec Type2]]="N/A",Table1[[#This Row],[DUT Adj Read]]="N/A",Table1[[#This Row],[Std Adj Read]]="N/A"),"N/A",IF(Table1[[#This Row],[DUT Adj Read]]="N/A",IF(Table1[[#This Row],[Std Adj Read]]&lt;=Table1[[#This Row],[High Tol]],"Pass","Fail"),IF(Table1[[#This Row],[DUT Adj Read]]&lt;=Table1[[#This Row],[High Tol]],"Pass","Fail")))</f>
        <v>Fail</v>
      </c>
      <c r="AH14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7" s="1" t="b">
        <v>0</v>
      </c>
      <c r="AN1477" s="1" t="b">
        <v>0</v>
      </c>
      <c r="AO1477" s="1" t="b">
        <v>0</v>
      </c>
    </row>
    <row r="1478" spans="1:41" x14ac:dyDescent="0.25">
      <c r="A1478" s="10"/>
      <c r="B1478" s="10"/>
      <c r="C1478" s="10"/>
      <c r="D1478" s="10"/>
      <c r="E1478" s="10"/>
      <c r="F1478" s="10"/>
      <c r="G1478" s="10"/>
      <c r="H1478" s="10"/>
      <c r="I1478" s="1" t="str">
        <f t="shared" si="66"/>
        <v/>
      </c>
      <c r="J1478" s="1" t="s">
        <v>35</v>
      </c>
      <c r="K1478" s="1" t="str">
        <f t="shared" si="67"/>
        <v/>
      </c>
      <c r="L1478" s="1" t="str">
        <f t="shared" si="68"/>
        <v/>
      </c>
      <c r="M1478" s="1">
        <f>IF(OR(Table1[[#This Row],[Std Nom]]="",Table1[[#This Row],[Std Read]]=""),0,Table1[[#This Row],[Std Nom]]-Table1[[#This Row],[Std Read]])</f>
        <v>0</v>
      </c>
      <c r="N1478" s="1">
        <f>IF(Calculations!$F$5="ACCREDITED 17025 WITH UNCERTAINTIES",$N$10,0)</f>
        <v>0</v>
      </c>
      <c r="Q1478" s="1">
        <f>Table1[[#This Row],[High Tol]]-Table1[[#This Row],[Low Tol]]</f>
        <v>0</v>
      </c>
      <c r="R1478" s="1">
        <f>2*Table1[[#This Row],[Std Error]]</f>
        <v>0</v>
      </c>
      <c r="S1478" s="1" t="str">
        <f>IF(Table1[[#This Row],[High Tol]]="","N/A",IFERROR(ABS(Table1[[#This Row],[Tol Span]]/Table1[[#This Row],[Error Span]]),"N/A"))</f>
        <v>N/A</v>
      </c>
      <c r="T1478" s="1" t="str">
        <f>IF(OR(Table1[[#This Row],[Low Tol]]="",Table1[[#This Row],[High Tol]]=""),"Needs Analysis",IF(Table1[[#This Row],[Ratio]]&gt;=4,"Not Significant",IF(Table1[[#This Row],[Ratio]]&gt;=2,"Semi-Significant","Significant")))</f>
        <v>Needs Analysis</v>
      </c>
      <c r="W1478" s="1">
        <f>IF(Table1[[#This Row],[Cal Type]]&lt;&gt;"ACCREDITED 17025 WITH UNCERTAINTIES",0,"")</f>
        <v>0</v>
      </c>
      <c r="X1478" s="1" t="str">
        <f>IF(Table1[[#This Row],[DUT Read]]="","N/A",Table1[[#This Row],[Std Error]]+Table1[[#This Row],[DUT Read]]+Table1[[#This Row],[DUT Ucty]])</f>
        <v>N/A</v>
      </c>
      <c r="Y1478" s="1" t="str">
        <f>IF(Table1[[#This Row],[Std Read]]="","N/A",Table1[[#This Row],[Std Read]]+Table1[[#This Row],[Std Ucty]])</f>
        <v>N/A</v>
      </c>
      <c r="Z14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8" s="1" t="str">
        <f>IF(Table1[[#This Row],[Spec Type]]="","N/A",Table1[[#This Row],[Spec Type]])</f>
        <v>±</v>
      </c>
      <c r="AC1478" s="1" t="str">
        <f>IF(Table1[[#This Row],[Spec Type2]]="N/A","N/A",IF(AND(Table1[[#This Row],[DUT Adj Read]]&gt;=Table1[[#This Row],[Low Tol]],Table1[[#This Row],[DUT Adj Read]]&lt;=Table1[[#This Row],[High Tol]]),"Pass","Fail"))</f>
        <v>Fail</v>
      </c>
      <c r="AD1478" s="1" t="str">
        <f>IF(AND(Table1[[#This Row],[Spec Type2]]="N/A",Table1[[#This Row],[DUT Adj Read]]="N/A",Table1[[#This Row],[Std Adj Read]]="N/A"),"N/A",IF(Table1[[#This Row],[DUT Adj Read]]="N/A",IF(Table1[[#This Row],[Std Adj Read]]&gt;Table1[[#This Row],[Low Tol]],"Pass","Fail"),IF(Table1[[#This Row],[DUT Adj Read]]&gt;Table1[[#This Row],[Low Tol]],"Pass","Fail")))</f>
        <v>Pass</v>
      </c>
      <c r="AE1478" s="1" t="str">
        <f>IF(AND(Table1[[#This Row],[Spec Type2]]="N/A",Table1[[#This Row],[DUT Adj Read]]="N/A",Table1[[#This Row],[Std Adj Read]]="N/A"),"N/A",IF(Table1[[#This Row],[DUT Adj Read]]="N/A",IF(Table1[[#This Row],[Std Adj Read]]&lt;Table1[[#This Row],[High Tol]],"Pass","Fail"),IF(Table1[[#This Row],[DUT Adj Read]]&lt;Table1[[#This Row],[High Tol]],"Pass","Fail")))</f>
        <v>Fail</v>
      </c>
      <c r="AF1478" s="1" t="str">
        <f>IF(AND(Table1[[#This Row],[Spec Type2]]="N/A",Table1[[#This Row],[DUT Adj Read]]="N/A",Table1[[#This Row],[Std Adj Read]]="N/A"),"N/A",IF(Table1[[#This Row],[DUT Adj Read]]="N/A",IF(Table1[[#This Row],[Std Adj Read]]&gt;=Table1[[#This Row],[Low Tol]],"Pass","Fail"),IF(Table1[[#This Row],[DUT Adj Read]]&gt;=Table1[[#This Row],[Low Tol]],"Pass","Fail")))</f>
        <v>Pass</v>
      </c>
      <c r="AG1478" s="1" t="str">
        <f>IF(AND(Table1[[#This Row],[Spec Type2]]="N/A",Table1[[#This Row],[DUT Adj Read]]="N/A",Table1[[#This Row],[Std Adj Read]]="N/A"),"N/A",IF(Table1[[#This Row],[DUT Adj Read]]="N/A",IF(Table1[[#This Row],[Std Adj Read]]&lt;=Table1[[#This Row],[High Tol]],"Pass","Fail"),IF(Table1[[#This Row],[DUT Adj Read]]&lt;=Table1[[#This Row],[High Tol]],"Pass","Fail")))</f>
        <v>Fail</v>
      </c>
      <c r="AH14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8" s="1" t="b">
        <v>0</v>
      </c>
      <c r="AN1478" s="1" t="b">
        <v>0</v>
      </c>
      <c r="AO1478" s="1" t="b">
        <v>0</v>
      </c>
    </row>
    <row r="1479" spans="1:41" x14ac:dyDescent="0.25">
      <c r="A1479" s="10"/>
      <c r="B1479" s="10"/>
      <c r="C1479" s="10"/>
      <c r="D1479" s="10"/>
      <c r="E1479" s="10"/>
      <c r="F1479" s="10"/>
      <c r="G1479" s="10"/>
      <c r="H1479" s="10"/>
      <c r="I1479" s="1" t="str">
        <f t="shared" si="66"/>
        <v/>
      </c>
      <c r="J1479" s="1" t="s">
        <v>35</v>
      </c>
      <c r="K1479" s="1" t="str">
        <f t="shared" si="67"/>
        <v/>
      </c>
      <c r="L1479" s="1" t="str">
        <f t="shared" si="68"/>
        <v/>
      </c>
      <c r="M1479" s="1">
        <f>IF(OR(Table1[[#This Row],[Std Nom]]="",Table1[[#This Row],[Std Read]]=""),0,Table1[[#This Row],[Std Nom]]-Table1[[#This Row],[Std Read]])</f>
        <v>0</v>
      </c>
      <c r="N1479" s="1">
        <f>IF(Calculations!$F$5="ACCREDITED 17025 WITH UNCERTAINTIES",$N$10,0)</f>
        <v>0</v>
      </c>
      <c r="Q1479" s="1">
        <f>Table1[[#This Row],[High Tol]]-Table1[[#This Row],[Low Tol]]</f>
        <v>0</v>
      </c>
      <c r="R1479" s="1">
        <f>2*Table1[[#This Row],[Std Error]]</f>
        <v>0</v>
      </c>
      <c r="S1479" s="1" t="str">
        <f>IF(Table1[[#This Row],[High Tol]]="","N/A",IFERROR(ABS(Table1[[#This Row],[Tol Span]]/Table1[[#This Row],[Error Span]]),"N/A"))</f>
        <v>N/A</v>
      </c>
      <c r="T1479" s="1" t="str">
        <f>IF(OR(Table1[[#This Row],[Low Tol]]="",Table1[[#This Row],[High Tol]]=""),"Needs Analysis",IF(Table1[[#This Row],[Ratio]]&gt;=4,"Not Significant",IF(Table1[[#This Row],[Ratio]]&gt;=2,"Semi-Significant","Significant")))</f>
        <v>Needs Analysis</v>
      </c>
      <c r="W1479" s="1">
        <f>IF(Table1[[#This Row],[Cal Type]]&lt;&gt;"ACCREDITED 17025 WITH UNCERTAINTIES",0,"")</f>
        <v>0</v>
      </c>
      <c r="X1479" s="1" t="str">
        <f>IF(Table1[[#This Row],[DUT Read]]="","N/A",Table1[[#This Row],[Std Error]]+Table1[[#This Row],[DUT Read]]+Table1[[#This Row],[DUT Ucty]])</f>
        <v>N/A</v>
      </c>
      <c r="Y1479" s="1" t="str">
        <f>IF(Table1[[#This Row],[Std Read]]="","N/A",Table1[[#This Row],[Std Read]]+Table1[[#This Row],[Std Ucty]])</f>
        <v>N/A</v>
      </c>
      <c r="Z14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79" s="1" t="str">
        <f>IF(Table1[[#This Row],[Spec Type]]="","N/A",Table1[[#This Row],[Spec Type]])</f>
        <v>±</v>
      </c>
      <c r="AC1479" s="1" t="str">
        <f>IF(Table1[[#This Row],[Spec Type2]]="N/A","N/A",IF(AND(Table1[[#This Row],[DUT Adj Read]]&gt;=Table1[[#This Row],[Low Tol]],Table1[[#This Row],[DUT Adj Read]]&lt;=Table1[[#This Row],[High Tol]]),"Pass","Fail"))</f>
        <v>Fail</v>
      </c>
      <c r="AD1479" s="1" t="str">
        <f>IF(AND(Table1[[#This Row],[Spec Type2]]="N/A",Table1[[#This Row],[DUT Adj Read]]="N/A",Table1[[#This Row],[Std Adj Read]]="N/A"),"N/A",IF(Table1[[#This Row],[DUT Adj Read]]="N/A",IF(Table1[[#This Row],[Std Adj Read]]&gt;Table1[[#This Row],[Low Tol]],"Pass","Fail"),IF(Table1[[#This Row],[DUT Adj Read]]&gt;Table1[[#This Row],[Low Tol]],"Pass","Fail")))</f>
        <v>Pass</v>
      </c>
      <c r="AE1479" s="1" t="str">
        <f>IF(AND(Table1[[#This Row],[Spec Type2]]="N/A",Table1[[#This Row],[DUT Adj Read]]="N/A",Table1[[#This Row],[Std Adj Read]]="N/A"),"N/A",IF(Table1[[#This Row],[DUT Adj Read]]="N/A",IF(Table1[[#This Row],[Std Adj Read]]&lt;Table1[[#This Row],[High Tol]],"Pass","Fail"),IF(Table1[[#This Row],[DUT Adj Read]]&lt;Table1[[#This Row],[High Tol]],"Pass","Fail")))</f>
        <v>Fail</v>
      </c>
      <c r="AF1479" s="1" t="str">
        <f>IF(AND(Table1[[#This Row],[Spec Type2]]="N/A",Table1[[#This Row],[DUT Adj Read]]="N/A",Table1[[#This Row],[Std Adj Read]]="N/A"),"N/A",IF(Table1[[#This Row],[DUT Adj Read]]="N/A",IF(Table1[[#This Row],[Std Adj Read]]&gt;=Table1[[#This Row],[Low Tol]],"Pass","Fail"),IF(Table1[[#This Row],[DUT Adj Read]]&gt;=Table1[[#This Row],[Low Tol]],"Pass","Fail")))</f>
        <v>Pass</v>
      </c>
      <c r="AG1479" s="1" t="str">
        <f>IF(AND(Table1[[#This Row],[Spec Type2]]="N/A",Table1[[#This Row],[DUT Adj Read]]="N/A",Table1[[#This Row],[Std Adj Read]]="N/A"),"N/A",IF(Table1[[#This Row],[DUT Adj Read]]="N/A",IF(Table1[[#This Row],[Std Adj Read]]&lt;=Table1[[#This Row],[High Tol]],"Pass","Fail"),IF(Table1[[#This Row],[DUT Adj Read]]&lt;=Table1[[#This Row],[High Tol]],"Pass","Fail")))</f>
        <v>Fail</v>
      </c>
      <c r="AH14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79" s="1" t="b">
        <v>0</v>
      </c>
      <c r="AN1479" s="1" t="b">
        <v>0</v>
      </c>
      <c r="AO1479" s="1" t="b">
        <v>0</v>
      </c>
    </row>
    <row r="1480" spans="1:41" x14ac:dyDescent="0.25">
      <c r="A1480" s="10"/>
      <c r="B1480" s="10"/>
      <c r="C1480" s="10"/>
      <c r="D1480" s="10"/>
      <c r="E1480" s="10"/>
      <c r="F1480" s="10"/>
      <c r="G1480" s="10"/>
      <c r="H1480" s="10"/>
      <c r="I1480" s="1" t="str">
        <f t="shared" si="66"/>
        <v/>
      </c>
      <c r="J1480" s="1" t="s">
        <v>35</v>
      </c>
      <c r="K1480" s="1" t="str">
        <f t="shared" si="67"/>
        <v/>
      </c>
      <c r="L1480" s="1" t="str">
        <f t="shared" si="68"/>
        <v/>
      </c>
      <c r="M1480" s="1">
        <f>IF(OR(Table1[[#This Row],[Std Nom]]="",Table1[[#This Row],[Std Read]]=""),0,Table1[[#This Row],[Std Nom]]-Table1[[#This Row],[Std Read]])</f>
        <v>0</v>
      </c>
      <c r="N1480" s="1">
        <f>IF(Calculations!$F$5="ACCREDITED 17025 WITH UNCERTAINTIES",$N$10,0)</f>
        <v>0</v>
      </c>
      <c r="Q1480" s="1">
        <f>Table1[[#This Row],[High Tol]]-Table1[[#This Row],[Low Tol]]</f>
        <v>0</v>
      </c>
      <c r="R1480" s="1">
        <f>2*Table1[[#This Row],[Std Error]]</f>
        <v>0</v>
      </c>
      <c r="S1480" s="1" t="str">
        <f>IF(Table1[[#This Row],[High Tol]]="","N/A",IFERROR(ABS(Table1[[#This Row],[Tol Span]]/Table1[[#This Row],[Error Span]]),"N/A"))</f>
        <v>N/A</v>
      </c>
      <c r="T1480" s="1" t="str">
        <f>IF(OR(Table1[[#This Row],[Low Tol]]="",Table1[[#This Row],[High Tol]]=""),"Needs Analysis",IF(Table1[[#This Row],[Ratio]]&gt;=4,"Not Significant",IF(Table1[[#This Row],[Ratio]]&gt;=2,"Semi-Significant","Significant")))</f>
        <v>Needs Analysis</v>
      </c>
      <c r="W1480" s="1">
        <f>IF(Table1[[#This Row],[Cal Type]]&lt;&gt;"ACCREDITED 17025 WITH UNCERTAINTIES",0,"")</f>
        <v>0</v>
      </c>
      <c r="X1480" s="1" t="str">
        <f>IF(Table1[[#This Row],[DUT Read]]="","N/A",Table1[[#This Row],[Std Error]]+Table1[[#This Row],[DUT Read]]+Table1[[#This Row],[DUT Ucty]])</f>
        <v>N/A</v>
      </c>
      <c r="Y1480" s="1" t="str">
        <f>IF(Table1[[#This Row],[Std Read]]="","N/A",Table1[[#This Row],[Std Read]]+Table1[[#This Row],[Std Ucty]])</f>
        <v>N/A</v>
      </c>
      <c r="Z14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0" s="1" t="str">
        <f>IF(Table1[[#This Row],[Spec Type]]="","N/A",Table1[[#This Row],[Spec Type]])</f>
        <v>±</v>
      </c>
      <c r="AC1480" s="1" t="str">
        <f>IF(Table1[[#This Row],[Spec Type2]]="N/A","N/A",IF(AND(Table1[[#This Row],[DUT Adj Read]]&gt;=Table1[[#This Row],[Low Tol]],Table1[[#This Row],[DUT Adj Read]]&lt;=Table1[[#This Row],[High Tol]]),"Pass","Fail"))</f>
        <v>Fail</v>
      </c>
      <c r="AD1480" s="1" t="str">
        <f>IF(AND(Table1[[#This Row],[Spec Type2]]="N/A",Table1[[#This Row],[DUT Adj Read]]="N/A",Table1[[#This Row],[Std Adj Read]]="N/A"),"N/A",IF(Table1[[#This Row],[DUT Adj Read]]="N/A",IF(Table1[[#This Row],[Std Adj Read]]&gt;Table1[[#This Row],[Low Tol]],"Pass","Fail"),IF(Table1[[#This Row],[DUT Adj Read]]&gt;Table1[[#This Row],[Low Tol]],"Pass","Fail")))</f>
        <v>Pass</v>
      </c>
      <c r="AE1480" s="1" t="str">
        <f>IF(AND(Table1[[#This Row],[Spec Type2]]="N/A",Table1[[#This Row],[DUT Adj Read]]="N/A",Table1[[#This Row],[Std Adj Read]]="N/A"),"N/A",IF(Table1[[#This Row],[DUT Adj Read]]="N/A",IF(Table1[[#This Row],[Std Adj Read]]&lt;Table1[[#This Row],[High Tol]],"Pass","Fail"),IF(Table1[[#This Row],[DUT Adj Read]]&lt;Table1[[#This Row],[High Tol]],"Pass","Fail")))</f>
        <v>Fail</v>
      </c>
      <c r="AF1480" s="1" t="str">
        <f>IF(AND(Table1[[#This Row],[Spec Type2]]="N/A",Table1[[#This Row],[DUT Adj Read]]="N/A",Table1[[#This Row],[Std Adj Read]]="N/A"),"N/A",IF(Table1[[#This Row],[DUT Adj Read]]="N/A",IF(Table1[[#This Row],[Std Adj Read]]&gt;=Table1[[#This Row],[Low Tol]],"Pass","Fail"),IF(Table1[[#This Row],[DUT Adj Read]]&gt;=Table1[[#This Row],[Low Tol]],"Pass","Fail")))</f>
        <v>Pass</v>
      </c>
      <c r="AG1480" s="1" t="str">
        <f>IF(AND(Table1[[#This Row],[Spec Type2]]="N/A",Table1[[#This Row],[DUT Adj Read]]="N/A",Table1[[#This Row],[Std Adj Read]]="N/A"),"N/A",IF(Table1[[#This Row],[DUT Adj Read]]="N/A",IF(Table1[[#This Row],[Std Adj Read]]&lt;=Table1[[#This Row],[High Tol]],"Pass","Fail"),IF(Table1[[#This Row],[DUT Adj Read]]&lt;=Table1[[#This Row],[High Tol]],"Pass","Fail")))</f>
        <v>Fail</v>
      </c>
      <c r="AH14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0" s="1" t="b">
        <v>0</v>
      </c>
      <c r="AN1480" s="1" t="b">
        <v>0</v>
      </c>
      <c r="AO1480" s="1" t="b">
        <v>0</v>
      </c>
    </row>
    <row r="1481" spans="1:41" x14ac:dyDescent="0.25">
      <c r="A1481" s="10"/>
      <c r="B1481" s="10"/>
      <c r="C1481" s="10"/>
      <c r="D1481" s="10"/>
      <c r="E1481" s="10"/>
      <c r="F1481" s="10"/>
      <c r="G1481" s="10"/>
      <c r="H1481" s="10"/>
      <c r="I1481" s="1" t="str">
        <f t="shared" si="66"/>
        <v/>
      </c>
      <c r="J1481" s="1" t="s">
        <v>35</v>
      </c>
      <c r="K1481" s="1" t="str">
        <f t="shared" si="67"/>
        <v/>
      </c>
      <c r="L1481" s="1" t="str">
        <f t="shared" si="68"/>
        <v/>
      </c>
      <c r="M1481" s="1">
        <f>IF(OR(Table1[[#This Row],[Std Nom]]="",Table1[[#This Row],[Std Read]]=""),0,Table1[[#This Row],[Std Nom]]-Table1[[#This Row],[Std Read]])</f>
        <v>0</v>
      </c>
      <c r="N1481" s="1">
        <f>IF(Calculations!$F$5="ACCREDITED 17025 WITH UNCERTAINTIES",$N$10,0)</f>
        <v>0</v>
      </c>
      <c r="Q1481" s="1">
        <f>Table1[[#This Row],[High Tol]]-Table1[[#This Row],[Low Tol]]</f>
        <v>0</v>
      </c>
      <c r="R1481" s="1">
        <f>2*Table1[[#This Row],[Std Error]]</f>
        <v>0</v>
      </c>
      <c r="S1481" s="1" t="str">
        <f>IF(Table1[[#This Row],[High Tol]]="","N/A",IFERROR(ABS(Table1[[#This Row],[Tol Span]]/Table1[[#This Row],[Error Span]]),"N/A"))</f>
        <v>N/A</v>
      </c>
      <c r="T1481" s="1" t="str">
        <f>IF(OR(Table1[[#This Row],[Low Tol]]="",Table1[[#This Row],[High Tol]]=""),"Needs Analysis",IF(Table1[[#This Row],[Ratio]]&gt;=4,"Not Significant",IF(Table1[[#This Row],[Ratio]]&gt;=2,"Semi-Significant","Significant")))</f>
        <v>Needs Analysis</v>
      </c>
      <c r="W1481" s="1">
        <f>IF(Table1[[#This Row],[Cal Type]]&lt;&gt;"ACCREDITED 17025 WITH UNCERTAINTIES",0,"")</f>
        <v>0</v>
      </c>
      <c r="X1481" s="1" t="str">
        <f>IF(Table1[[#This Row],[DUT Read]]="","N/A",Table1[[#This Row],[Std Error]]+Table1[[#This Row],[DUT Read]]+Table1[[#This Row],[DUT Ucty]])</f>
        <v>N/A</v>
      </c>
      <c r="Y1481" s="1" t="str">
        <f>IF(Table1[[#This Row],[Std Read]]="","N/A",Table1[[#This Row],[Std Read]]+Table1[[#This Row],[Std Ucty]])</f>
        <v>N/A</v>
      </c>
      <c r="Z14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1" s="1" t="str">
        <f>IF(Table1[[#This Row],[Spec Type]]="","N/A",Table1[[#This Row],[Spec Type]])</f>
        <v>±</v>
      </c>
      <c r="AC1481" s="1" t="str">
        <f>IF(Table1[[#This Row],[Spec Type2]]="N/A","N/A",IF(AND(Table1[[#This Row],[DUT Adj Read]]&gt;=Table1[[#This Row],[Low Tol]],Table1[[#This Row],[DUT Adj Read]]&lt;=Table1[[#This Row],[High Tol]]),"Pass","Fail"))</f>
        <v>Fail</v>
      </c>
      <c r="AD1481" s="1" t="str">
        <f>IF(AND(Table1[[#This Row],[Spec Type2]]="N/A",Table1[[#This Row],[DUT Adj Read]]="N/A",Table1[[#This Row],[Std Adj Read]]="N/A"),"N/A",IF(Table1[[#This Row],[DUT Adj Read]]="N/A",IF(Table1[[#This Row],[Std Adj Read]]&gt;Table1[[#This Row],[Low Tol]],"Pass","Fail"),IF(Table1[[#This Row],[DUT Adj Read]]&gt;Table1[[#This Row],[Low Tol]],"Pass","Fail")))</f>
        <v>Pass</v>
      </c>
      <c r="AE1481" s="1" t="str">
        <f>IF(AND(Table1[[#This Row],[Spec Type2]]="N/A",Table1[[#This Row],[DUT Adj Read]]="N/A",Table1[[#This Row],[Std Adj Read]]="N/A"),"N/A",IF(Table1[[#This Row],[DUT Adj Read]]="N/A",IF(Table1[[#This Row],[Std Adj Read]]&lt;Table1[[#This Row],[High Tol]],"Pass","Fail"),IF(Table1[[#This Row],[DUT Adj Read]]&lt;Table1[[#This Row],[High Tol]],"Pass","Fail")))</f>
        <v>Fail</v>
      </c>
      <c r="AF1481" s="1" t="str">
        <f>IF(AND(Table1[[#This Row],[Spec Type2]]="N/A",Table1[[#This Row],[DUT Adj Read]]="N/A",Table1[[#This Row],[Std Adj Read]]="N/A"),"N/A",IF(Table1[[#This Row],[DUT Adj Read]]="N/A",IF(Table1[[#This Row],[Std Adj Read]]&gt;=Table1[[#This Row],[Low Tol]],"Pass","Fail"),IF(Table1[[#This Row],[DUT Adj Read]]&gt;=Table1[[#This Row],[Low Tol]],"Pass","Fail")))</f>
        <v>Pass</v>
      </c>
      <c r="AG1481" s="1" t="str">
        <f>IF(AND(Table1[[#This Row],[Spec Type2]]="N/A",Table1[[#This Row],[DUT Adj Read]]="N/A",Table1[[#This Row],[Std Adj Read]]="N/A"),"N/A",IF(Table1[[#This Row],[DUT Adj Read]]="N/A",IF(Table1[[#This Row],[Std Adj Read]]&lt;=Table1[[#This Row],[High Tol]],"Pass","Fail"),IF(Table1[[#This Row],[DUT Adj Read]]&lt;=Table1[[#This Row],[High Tol]],"Pass","Fail")))</f>
        <v>Fail</v>
      </c>
      <c r="AH14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1" s="1" t="b">
        <v>0</v>
      </c>
      <c r="AN1481" s="1" t="b">
        <v>0</v>
      </c>
      <c r="AO1481" s="1" t="b">
        <v>0</v>
      </c>
    </row>
    <row r="1482" spans="1:41" x14ac:dyDescent="0.25">
      <c r="A1482" s="10"/>
      <c r="B1482" s="10"/>
      <c r="C1482" s="10"/>
      <c r="D1482" s="10"/>
      <c r="E1482" s="10"/>
      <c r="F1482" s="10"/>
      <c r="G1482" s="10"/>
      <c r="H1482" s="10"/>
      <c r="I1482" s="1" t="str">
        <f t="shared" si="66"/>
        <v/>
      </c>
      <c r="J1482" s="1" t="s">
        <v>35</v>
      </c>
      <c r="K1482" s="1" t="str">
        <f t="shared" si="67"/>
        <v/>
      </c>
      <c r="L1482" s="1" t="str">
        <f t="shared" si="68"/>
        <v/>
      </c>
      <c r="M1482" s="1">
        <f>IF(OR(Table1[[#This Row],[Std Nom]]="",Table1[[#This Row],[Std Read]]=""),0,Table1[[#This Row],[Std Nom]]-Table1[[#This Row],[Std Read]])</f>
        <v>0</v>
      </c>
      <c r="N1482" s="1">
        <f>IF(Calculations!$F$5="ACCREDITED 17025 WITH UNCERTAINTIES",$N$10,0)</f>
        <v>0</v>
      </c>
      <c r="Q1482" s="1">
        <f>Table1[[#This Row],[High Tol]]-Table1[[#This Row],[Low Tol]]</f>
        <v>0</v>
      </c>
      <c r="R1482" s="1">
        <f>2*Table1[[#This Row],[Std Error]]</f>
        <v>0</v>
      </c>
      <c r="S1482" s="1" t="str">
        <f>IF(Table1[[#This Row],[High Tol]]="","N/A",IFERROR(ABS(Table1[[#This Row],[Tol Span]]/Table1[[#This Row],[Error Span]]),"N/A"))</f>
        <v>N/A</v>
      </c>
      <c r="T1482" s="1" t="str">
        <f>IF(OR(Table1[[#This Row],[Low Tol]]="",Table1[[#This Row],[High Tol]]=""),"Needs Analysis",IF(Table1[[#This Row],[Ratio]]&gt;=4,"Not Significant",IF(Table1[[#This Row],[Ratio]]&gt;=2,"Semi-Significant","Significant")))</f>
        <v>Needs Analysis</v>
      </c>
      <c r="W1482" s="1">
        <f>IF(Table1[[#This Row],[Cal Type]]&lt;&gt;"ACCREDITED 17025 WITH UNCERTAINTIES",0,"")</f>
        <v>0</v>
      </c>
      <c r="X1482" s="1" t="str">
        <f>IF(Table1[[#This Row],[DUT Read]]="","N/A",Table1[[#This Row],[Std Error]]+Table1[[#This Row],[DUT Read]]+Table1[[#This Row],[DUT Ucty]])</f>
        <v>N/A</v>
      </c>
      <c r="Y1482" s="1" t="str">
        <f>IF(Table1[[#This Row],[Std Read]]="","N/A",Table1[[#This Row],[Std Read]]+Table1[[#This Row],[Std Ucty]])</f>
        <v>N/A</v>
      </c>
      <c r="Z14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2" s="1" t="str">
        <f>IF(Table1[[#This Row],[Spec Type]]="","N/A",Table1[[#This Row],[Spec Type]])</f>
        <v>±</v>
      </c>
      <c r="AC1482" s="1" t="str">
        <f>IF(Table1[[#This Row],[Spec Type2]]="N/A","N/A",IF(AND(Table1[[#This Row],[DUT Adj Read]]&gt;=Table1[[#This Row],[Low Tol]],Table1[[#This Row],[DUT Adj Read]]&lt;=Table1[[#This Row],[High Tol]]),"Pass","Fail"))</f>
        <v>Fail</v>
      </c>
      <c r="AD1482" s="1" t="str">
        <f>IF(AND(Table1[[#This Row],[Spec Type2]]="N/A",Table1[[#This Row],[DUT Adj Read]]="N/A",Table1[[#This Row],[Std Adj Read]]="N/A"),"N/A",IF(Table1[[#This Row],[DUT Adj Read]]="N/A",IF(Table1[[#This Row],[Std Adj Read]]&gt;Table1[[#This Row],[Low Tol]],"Pass","Fail"),IF(Table1[[#This Row],[DUT Adj Read]]&gt;Table1[[#This Row],[Low Tol]],"Pass","Fail")))</f>
        <v>Pass</v>
      </c>
      <c r="AE1482" s="1" t="str">
        <f>IF(AND(Table1[[#This Row],[Spec Type2]]="N/A",Table1[[#This Row],[DUT Adj Read]]="N/A",Table1[[#This Row],[Std Adj Read]]="N/A"),"N/A",IF(Table1[[#This Row],[DUT Adj Read]]="N/A",IF(Table1[[#This Row],[Std Adj Read]]&lt;Table1[[#This Row],[High Tol]],"Pass","Fail"),IF(Table1[[#This Row],[DUT Adj Read]]&lt;Table1[[#This Row],[High Tol]],"Pass","Fail")))</f>
        <v>Fail</v>
      </c>
      <c r="AF1482" s="1" t="str">
        <f>IF(AND(Table1[[#This Row],[Spec Type2]]="N/A",Table1[[#This Row],[DUT Adj Read]]="N/A",Table1[[#This Row],[Std Adj Read]]="N/A"),"N/A",IF(Table1[[#This Row],[DUT Adj Read]]="N/A",IF(Table1[[#This Row],[Std Adj Read]]&gt;=Table1[[#This Row],[Low Tol]],"Pass","Fail"),IF(Table1[[#This Row],[DUT Adj Read]]&gt;=Table1[[#This Row],[Low Tol]],"Pass","Fail")))</f>
        <v>Pass</v>
      </c>
      <c r="AG1482" s="1" t="str">
        <f>IF(AND(Table1[[#This Row],[Spec Type2]]="N/A",Table1[[#This Row],[DUT Adj Read]]="N/A",Table1[[#This Row],[Std Adj Read]]="N/A"),"N/A",IF(Table1[[#This Row],[DUT Adj Read]]="N/A",IF(Table1[[#This Row],[Std Adj Read]]&lt;=Table1[[#This Row],[High Tol]],"Pass","Fail"),IF(Table1[[#This Row],[DUT Adj Read]]&lt;=Table1[[#This Row],[High Tol]],"Pass","Fail")))</f>
        <v>Fail</v>
      </c>
      <c r="AH14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2" s="1" t="b">
        <v>0</v>
      </c>
      <c r="AN1482" s="1" t="b">
        <v>0</v>
      </c>
      <c r="AO1482" s="1" t="b">
        <v>0</v>
      </c>
    </row>
    <row r="1483" spans="1:41" x14ac:dyDescent="0.25">
      <c r="A1483" s="10"/>
      <c r="B1483" s="10"/>
      <c r="C1483" s="10"/>
      <c r="D1483" s="10"/>
      <c r="E1483" s="10"/>
      <c r="F1483" s="10"/>
      <c r="G1483" s="10"/>
      <c r="H1483" s="10"/>
      <c r="I1483" s="1" t="str">
        <f t="shared" ref="I1483:I1546" si="69">IF($I$10="","",$I$10)</f>
        <v/>
      </c>
      <c r="J1483" s="1" t="s">
        <v>35</v>
      </c>
      <c r="K1483" s="1" t="str">
        <f t="shared" ref="K1483:K1546" si="70">IF($K$10="","",$K$10)</f>
        <v/>
      </c>
      <c r="L1483" s="1" t="str">
        <f t="shared" ref="L1483:L1546" si="71">IF($L$10="","",$L$10)</f>
        <v/>
      </c>
      <c r="M1483" s="1">
        <f>IF(OR(Table1[[#This Row],[Std Nom]]="",Table1[[#This Row],[Std Read]]=""),0,Table1[[#This Row],[Std Nom]]-Table1[[#This Row],[Std Read]])</f>
        <v>0</v>
      </c>
      <c r="N1483" s="1">
        <f>IF(Calculations!$F$5="ACCREDITED 17025 WITH UNCERTAINTIES",$N$10,0)</f>
        <v>0</v>
      </c>
      <c r="Q1483" s="1">
        <f>Table1[[#This Row],[High Tol]]-Table1[[#This Row],[Low Tol]]</f>
        <v>0</v>
      </c>
      <c r="R1483" s="1">
        <f>2*Table1[[#This Row],[Std Error]]</f>
        <v>0</v>
      </c>
      <c r="S1483" s="1" t="str">
        <f>IF(Table1[[#This Row],[High Tol]]="","N/A",IFERROR(ABS(Table1[[#This Row],[Tol Span]]/Table1[[#This Row],[Error Span]]),"N/A"))</f>
        <v>N/A</v>
      </c>
      <c r="T1483" s="1" t="str">
        <f>IF(OR(Table1[[#This Row],[Low Tol]]="",Table1[[#This Row],[High Tol]]=""),"Needs Analysis",IF(Table1[[#This Row],[Ratio]]&gt;=4,"Not Significant",IF(Table1[[#This Row],[Ratio]]&gt;=2,"Semi-Significant","Significant")))</f>
        <v>Needs Analysis</v>
      </c>
      <c r="W1483" s="1">
        <f>IF(Table1[[#This Row],[Cal Type]]&lt;&gt;"ACCREDITED 17025 WITH UNCERTAINTIES",0,"")</f>
        <v>0</v>
      </c>
      <c r="X1483" s="1" t="str">
        <f>IF(Table1[[#This Row],[DUT Read]]="","N/A",Table1[[#This Row],[Std Error]]+Table1[[#This Row],[DUT Read]]+Table1[[#This Row],[DUT Ucty]])</f>
        <v>N/A</v>
      </c>
      <c r="Y1483" s="1" t="str">
        <f>IF(Table1[[#This Row],[Std Read]]="","N/A",Table1[[#This Row],[Std Read]]+Table1[[#This Row],[Std Ucty]])</f>
        <v>N/A</v>
      </c>
      <c r="Z14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3" s="1" t="str">
        <f>IF(Table1[[#This Row],[Spec Type]]="","N/A",Table1[[#This Row],[Spec Type]])</f>
        <v>±</v>
      </c>
      <c r="AC1483" s="1" t="str">
        <f>IF(Table1[[#This Row],[Spec Type2]]="N/A","N/A",IF(AND(Table1[[#This Row],[DUT Adj Read]]&gt;=Table1[[#This Row],[Low Tol]],Table1[[#This Row],[DUT Adj Read]]&lt;=Table1[[#This Row],[High Tol]]),"Pass","Fail"))</f>
        <v>Fail</v>
      </c>
      <c r="AD1483" s="1" t="str">
        <f>IF(AND(Table1[[#This Row],[Spec Type2]]="N/A",Table1[[#This Row],[DUT Adj Read]]="N/A",Table1[[#This Row],[Std Adj Read]]="N/A"),"N/A",IF(Table1[[#This Row],[DUT Adj Read]]="N/A",IF(Table1[[#This Row],[Std Adj Read]]&gt;Table1[[#This Row],[Low Tol]],"Pass","Fail"),IF(Table1[[#This Row],[DUT Adj Read]]&gt;Table1[[#This Row],[Low Tol]],"Pass","Fail")))</f>
        <v>Pass</v>
      </c>
      <c r="AE1483" s="1" t="str">
        <f>IF(AND(Table1[[#This Row],[Spec Type2]]="N/A",Table1[[#This Row],[DUT Adj Read]]="N/A",Table1[[#This Row],[Std Adj Read]]="N/A"),"N/A",IF(Table1[[#This Row],[DUT Adj Read]]="N/A",IF(Table1[[#This Row],[Std Adj Read]]&lt;Table1[[#This Row],[High Tol]],"Pass","Fail"),IF(Table1[[#This Row],[DUT Adj Read]]&lt;Table1[[#This Row],[High Tol]],"Pass","Fail")))</f>
        <v>Fail</v>
      </c>
      <c r="AF1483" s="1" t="str">
        <f>IF(AND(Table1[[#This Row],[Spec Type2]]="N/A",Table1[[#This Row],[DUT Adj Read]]="N/A",Table1[[#This Row],[Std Adj Read]]="N/A"),"N/A",IF(Table1[[#This Row],[DUT Adj Read]]="N/A",IF(Table1[[#This Row],[Std Adj Read]]&gt;=Table1[[#This Row],[Low Tol]],"Pass","Fail"),IF(Table1[[#This Row],[DUT Adj Read]]&gt;=Table1[[#This Row],[Low Tol]],"Pass","Fail")))</f>
        <v>Pass</v>
      </c>
      <c r="AG1483" s="1" t="str">
        <f>IF(AND(Table1[[#This Row],[Spec Type2]]="N/A",Table1[[#This Row],[DUT Adj Read]]="N/A",Table1[[#This Row],[Std Adj Read]]="N/A"),"N/A",IF(Table1[[#This Row],[DUT Adj Read]]="N/A",IF(Table1[[#This Row],[Std Adj Read]]&lt;=Table1[[#This Row],[High Tol]],"Pass","Fail"),IF(Table1[[#This Row],[DUT Adj Read]]&lt;=Table1[[#This Row],[High Tol]],"Pass","Fail")))</f>
        <v>Fail</v>
      </c>
      <c r="AH14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3" s="1" t="b">
        <v>0</v>
      </c>
      <c r="AN1483" s="1" t="b">
        <v>0</v>
      </c>
      <c r="AO1483" s="1" t="b">
        <v>0</v>
      </c>
    </row>
    <row r="1484" spans="1:41" x14ac:dyDescent="0.25">
      <c r="A1484" s="10"/>
      <c r="B1484" s="10"/>
      <c r="C1484" s="10"/>
      <c r="D1484" s="10"/>
      <c r="E1484" s="10"/>
      <c r="F1484" s="10"/>
      <c r="G1484" s="10"/>
      <c r="H1484" s="10"/>
      <c r="I1484" s="1" t="str">
        <f t="shared" si="69"/>
        <v/>
      </c>
      <c r="J1484" s="1" t="s">
        <v>35</v>
      </c>
      <c r="K1484" s="1" t="str">
        <f t="shared" si="70"/>
        <v/>
      </c>
      <c r="L1484" s="1" t="str">
        <f t="shared" si="71"/>
        <v/>
      </c>
      <c r="M1484" s="1">
        <f>IF(OR(Table1[[#This Row],[Std Nom]]="",Table1[[#This Row],[Std Read]]=""),0,Table1[[#This Row],[Std Nom]]-Table1[[#This Row],[Std Read]])</f>
        <v>0</v>
      </c>
      <c r="N1484" s="1">
        <f>IF(Calculations!$F$5="ACCREDITED 17025 WITH UNCERTAINTIES",$N$10,0)</f>
        <v>0</v>
      </c>
      <c r="Q1484" s="1">
        <f>Table1[[#This Row],[High Tol]]-Table1[[#This Row],[Low Tol]]</f>
        <v>0</v>
      </c>
      <c r="R1484" s="1">
        <f>2*Table1[[#This Row],[Std Error]]</f>
        <v>0</v>
      </c>
      <c r="S1484" s="1" t="str">
        <f>IF(Table1[[#This Row],[High Tol]]="","N/A",IFERROR(ABS(Table1[[#This Row],[Tol Span]]/Table1[[#This Row],[Error Span]]),"N/A"))</f>
        <v>N/A</v>
      </c>
      <c r="T1484" s="1" t="str">
        <f>IF(OR(Table1[[#This Row],[Low Tol]]="",Table1[[#This Row],[High Tol]]=""),"Needs Analysis",IF(Table1[[#This Row],[Ratio]]&gt;=4,"Not Significant",IF(Table1[[#This Row],[Ratio]]&gt;=2,"Semi-Significant","Significant")))</f>
        <v>Needs Analysis</v>
      </c>
      <c r="W1484" s="1">
        <f>IF(Table1[[#This Row],[Cal Type]]&lt;&gt;"ACCREDITED 17025 WITH UNCERTAINTIES",0,"")</f>
        <v>0</v>
      </c>
      <c r="X1484" s="1" t="str">
        <f>IF(Table1[[#This Row],[DUT Read]]="","N/A",Table1[[#This Row],[Std Error]]+Table1[[#This Row],[DUT Read]]+Table1[[#This Row],[DUT Ucty]])</f>
        <v>N/A</v>
      </c>
      <c r="Y1484" s="1" t="str">
        <f>IF(Table1[[#This Row],[Std Read]]="","N/A",Table1[[#This Row],[Std Read]]+Table1[[#This Row],[Std Ucty]])</f>
        <v>N/A</v>
      </c>
      <c r="Z14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4" s="1" t="str">
        <f>IF(Table1[[#This Row],[Spec Type]]="","N/A",Table1[[#This Row],[Spec Type]])</f>
        <v>±</v>
      </c>
      <c r="AC1484" s="1" t="str">
        <f>IF(Table1[[#This Row],[Spec Type2]]="N/A","N/A",IF(AND(Table1[[#This Row],[DUT Adj Read]]&gt;=Table1[[#This Row],[Low Tol]],Table1[[#This Row],[DUT Adj Read]]&lt;=Table1[[#This Row],[High Tol]]),"Pass","Fail"))</f>
        <v>Fail</v>
      </c>
      <c r="AD1484" s="1" t="str">
        <f>IF(AND(Table1[[#This Row],[Spec Type2]]="N/A",Table1[[#This Row],[DUT Adj Read]]="N/A",Table1[[#This Row],[Std Adj Read]]="N/A"),"N/A",IF(Table1[[#This Row],[DUT Adj Read]]="N/A",IF(Table1[[#This Row],[Std Adj Read]]&gt;Table1[[#This Row],[Low Tol]],"Pass","Fail"),IF(Table1[[#This Row],[DUT Adj Read]]&gt;Table1[[#This Row],[Low Tol]],"Pass","Fail")))</f>
        <v>Pass</v>
      </c>
      <c r="AE1484" s="1" t="str">
        <f>IF(AND(Table1[[#This Row],[Spec Type2]]="N/A",Table1[[#This Row],[DUT Adj Read]]="N/A",Table1[[#This Row],[Std Adj Read]]="N/A"),"N/A",IF(Table1[[#This Row],[DUT Adj Read]]="N/A",IF(Table1[[#This Row],[Std Adj Read]]&lt;Table1[[#This Row],[High Tol]],"Pass","Fail"),IF(Table1[[#This Row],[DUT Adj Read]]&lt;Table1[[#This Row],[High Tol]],"Pass","Fail")))</f>
        <v>Fail</v>
      </c>
      <c r="AF1484" s="1" t="str">
        <f>IF(AND(Table1[[#This Row],[Spec Type2]]="N/A",Table1[[#This Row],[DUT Adj Read]]="N/A",Table1[[#This Row],[Std Adj Read]]="N/A"),"N/A",IF(Table1[[#This Row],[DUT Adj Read]]="N/A",IF(Table1[[#This Row],[Std Adj Read]]&gt;=Table1[[#This Row],[Low Tol]],"Pass","Fail"),IF(Table1[[#This Row],[DUT Adj Read]]&gt;=Table1[[#This Row],[Low Tol]],"Pass","Fail")))</f>
        <v>Pass</v>
      </c>
      <c r="AG1484" s="1" t="str">
        <f>IF(AND(Table1[[#This Row],[Spec Type2]]="N/A",Table1[[#This Row],[DUT Adj Read]]="N/A",Table1[[#This Row],[Std Adj Read]]="N/A"),"N/A",IF(Table1[[#This Row],[DUT Adj Read]]="N/A",IF(Table1[[#This Row],[Std Adj Read]]&lt;=Table1[[#This Row],[High Tol]],"Pass","Fail"),IF(Table1[[#This Row],[DUT Adj Read]]&lt;=Table1[[#This Row],[High Tol]],"Pass","Fail")))</f>
        <v>Fail</v>
      </c>
      <c r="AH14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4" s="1" t="b">
        <v>0</v>
      </c>
      <c r="AN1484" s="1" t="b">
        <v>0</v>
      </c>
      <c r="AO1484" s="1" t="b">
        <v>0</v>
      </c>
    </row>
    <row r="1485" spans="1:41" x14ac:dyDescent="0.25">
      <c r="A1485" s="10"/>
      <c r="B1485" s="10"/>
      <c r="C1485" s="10"/>
      <c r="D1485" s="10"/>
      <c r="E1485" s="10"/>
      <c r="F1485" s="10"/>
      <c r="G1485" s="10"/>
      <c r="H1485" s="10"/>
      <c r="I1485" s="1" t="str">
        <f t="shared" si="69"/>
        <v/>
      </c>
      <c r="J1485" s="1" t="s">
        <v>35</v>
      </c>
      <c r="K1485" s="1" t="str">
        <f t="shared" si="70"/>
        <v/>
      </c>
      <c r="L1485" s="1" t="str">
        <f t="shared" si="71"/>
        <v/>
      </c>
      <c r="M1485" s="1">
        <f>IF(OR(Table1[[#This Row],[Std Nom]]="",Table1[[#This Row],[Std Read]]=""),0,Table1[[#This Row],[Std Nom]]-Table1[[#This Row],[Std Read]])</f>
        <v>0</v>
      </c>
      <c r="N1485" s="1">
        <f>IF(Calculations!$F$5="ACCREDITED 17025 WITH UNCERTAINTIES",$N$10,0)</f>
        <v>0</v>
      </c>
      <c r="Q1485" s="1">
        <f>Table1[[#This Row],[High Tol]]-Table1[[#This Row],[Low Tol]]</f>
        <v>0</v>
      </c>
      <c r="R1485" s="1">
        <f>2*Table1[[#This Row],[Std Error]]</f>
        <v>0</v>
      </c>
      <c r="S1485" s="1" t="str">
        <f>IF(Table1[[#This Row],[High Tol]]="","N/A",IFERROR(ABS(Table1[[#This Row],[Tol Span]]/Table1[[#This Row],[Error Span]]),"N/A"))</f>
        <v>N/A</v>
      </c>
      <c r="T1485" s="1" t="str">
        <f>IF(OR(Table1[[#This Row],[Low Tol]]="",Table1[[#This Row],[High Tol]]=""),"Needs Analysis",IF(Table1[[#This Row],[Ratio]]&gt;=4,"Not Significant",IF(Table1[[#This Row],[Ratio]]&gt;=2,"Semi-Significant","Significant")))</f>
        <v>Needs Analysis</v>
      </c>
      <c r="W1485" s="1">
        <f>IF(Table1[[#This Row],[Cal Type]]&lt;&gt;"ACCREDITED 17025 WITH UNCERTAINTIES",0,"")</f>
        <v>0</v>
      </c>
      <c r="X1485" s="1" t="str">
        <f>IF(Table1[[#This Row],[DUT Read]]="","N/A",Table1[[#This Row],[Std Error]]+Table1[[#This Row],[DUT Read]]+Table1[[#This Row],[DUT Ucty]])</f>
        <v>N/A</v>
      </c>
      <c r="Y1485" s="1" t="str">
        <f>IF(Table1[[#This Row],[Std Read]]="","N/A",Table1[[#This Row],[Std Read]]+Table1[[#This Row],[Std Ucty]])</f>
        <v>N/A</v>
      </c>
      <c r="Z14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5" s="1" t="str">
        <f>IF(Table1[[#This Row],[Spec Type]]="","N/A",Table1[[#This Row],[Spec Type]])</f>
        <v>±</v>
      </c>
      <c r="AC1485" s="1" t="str">
        <f>IF(Table1[[#This Row],[Spec Type2]]="N/A","N/A",IF(AND(Table1[[#This Row],[DUT Adj Read]]&gt;=Table1[[#This Row],[Low Tol]],Table1[[#This Row],[DUT Adj Read]]&lt;=Table1[[#This Row],[High Tol]]),"Pass","Fail"))</f>
        <v>Fail</v>
      </c>
      <c r="AD1485" s="1" t="str">
        <f>IF(AND(Table1[[#This Row],[Spec Type2]]="N/A",Table1[[#This Row],[DUT Adj Read]]="N/A",Table1[[#This Row],[Std Adj Read]]="N/A"),"N/A",IF(Table1[[#This Row],[DUT Adj Read]]="N/A",IF(Table1[[#This Row],[Std Adj Read]]&gt;Table1[[#This Row],[Low Tol]],"Pass","Fail"),IF(Table1[[#This Row],[DUT Adj Read]]&gt;Table1[[#This Row],[Low Tol]],"Pass","Fail")))</f>
        <v>Pass</v>
      </c>
      <c r="AE1485" s="1" t="str">
        <f>IF(AND(Table1[[#This Row],[Spec Type2]]="N/A",Table1[[#This Row],[DUT Adj Read]]="N/A",Table1[[#This Row],[Std Adj Read]]="N/A"),"N/A",IF(Table1[[#This Row],[DUT Adj Read]]="N/A",IF(Table1[[#This Row],[Std Adj Read]]&lt;Table1[[#This Row],[High Tol]],"Pass","Fail"),IF(Table1[[#This Row],[DUT Adj Read]]&lt;Table1[[#This Row],[High Tol]],"Pass","Fail")))</f>
        <v>Fail</v>
      </c>
      <c r="AF1485" s="1" t="str">
        <f>IF(AND(Table1[[#This Row],[Spec Type2]]="N/A",Table1[[#This Row],[DUT Adj Read]]="N/A",Table1[[#This Row],[Std Adj Read]]="N/A"),"N/A",IF(Table1[[#This Row],[DUT Adj Read]]="N/A",IF(Table1[[#This Row],[Std Adj Read]]&gt;=Table1[[#This Row],[Low Tol]],"Pass","Fail"),IF(Table1[[#This Row],[DUT Adj Read]]&gt;=Table1[[#This Row],[Low Tol]],"Pass","Fail")))</f>
        <v>Pass</v>
      </c>
      <c r="AG1485" s="1" t="str">
        <f>IF(AND(Table1[[#This Row],[Spec Type2]]="N/A",Table1[[#This Row],[DUT Adj Read]]="N/A",Table1[[#This Row],[Std Adj Read]]="N/A"),"N/A",IF(Table1[[#This Row],[DUT Adj Read]]="N/A",IF(Table1[[#This Row],[Std Adj Read]]&lt;=Table1[[#This Row],[High Tol]],"Pass","Fail"),IF(Table1[[#This Row],[DUT Adj Read]]&lt;=Table1[[#This Row],[High Tol]],"Pass","Fail")))</f>
        <v>Fail</v>
      </c>
      <c r="AH14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5" s="1" t="b">
        <v>0</v>
      </c>
      <c r="AN1485" s="1" t="b">
        <v>0</v>
      </c>
      <c r="AO1485" s="1" t="b">
        <v>0</v>
      </c>
    </row>
    <row r="1486" spans="1:41" x14ac:dyDescent="0.25">
      <c r="A1486" s="10"/>
      <c r="B1486" s="10"/>
      <c r="C1486" s="10"/>
      <c r="D1486" s="10"/>
      <c r="E1486" s="10"/>
      <c r="F1486" s="10"/>
      <c r="G1486" s="10"/>
      <c r="H1486" s="10"/>
      <c r="I1486" s="1" t="str">
        <f t="shared" si="69"/>
        <v/>
      </c>
      <c r="J1486" s="1" t="s">
        <v>35</v>
      </c>
      <c r="K1486" s="1" t="str">
        <f t="shared" si="70"/>
        <v/>
      </c>
      <c r="L1486" s="1" t="str">
        <f t="shared" si="71"/>
        <v/>
      </c>
      <c r="M1486" s="1">
        <f>IF(OR(Table1[[#This Row],[Std Nom]]="",Table1[[#This Row],[Std Read]]=""),0,Table1[[#This Row],[Std Nom]]-Table1[[#This Row],[Std Read]])</f>
        <v>0</v>
      </c>
      <c r="N1486" s="1">
        <f>IF(Calculations!$F$5="ACCREDITED 17025 WITH UNCERTAINTIES",$N$10,0)</f>
        <v>0</v>
      </c>
      <c r="Q1486" s="1">
        <f>Table1[[#This Row],[High Tol]]-Table1[[#This Row],[Low Tol]]</f>
        <v>0</v>
      </c>
      <c r="R1486" s="1">
        <f>2*Table1[[#This Row],[Std Error]]</f>
        <v>0</v>
      </c>
      <c r="S1486" s="1" t="str">
        <f>IF(Table1[[#This Row],[High Tol]]="","N/A",IFERROR(ABS(Table1[[#This Row],[Tol Span]]/Table1[[#This Row],[Error Span]]),"N/A"))</f>
        <v>N/A</v>
      </c>
      <c r="T1486" s="1" t="str">
        <f>IF(OR(Table1[[#This Row],[Low Tol]]="",Table1[[#This Row],[High Tol]]=""),"Needs Analysis",IF(Table1[[#This Row],[Ratio]]&gt;=4,"Not Significant",IF(Table1[[#This Row],[Ratio]]&gt;=2,"Semi-Significant","Significant")))</f>
        <v>Needs Analysis</v>
      </c>
      <c r="W1486" s="1">
        <f>IF(Table1[[#This Row],[Cal Type]]&lt;&gt;"ACCREDITED 17025 WITH UNCERTAINTIES",0,"")</f>
        <v>0</v>
      </c>
      <c r="X1486" s="1" t="str">
        <f>IF(Table1[[#This Row],[DUT Read]]="","N/A",Table1[[#This Row],[Std Error]]+Table1[[#This Row],[DUT Read]]+Table1[[#This Row],[DUT Ucty]])</f>
        <v>N/A</v>
      </c>
      <c r="Y1486" s="1" t="str">
        <f>IF(Table1[[#This Row],[Std Read]]="","N/A",Table1[[#This Row],[Std Read]]+Table1[[#This Row],[Std Ucty]])</f>
        <v>N/A</v>
      </c>
      <c r="Z14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6" s="1" t="str">
        <f>IF(Table1[[#This Row],[Spec Type]]="","N/A",Table1[[#This Row],[Spec Type]])</f>
        <v>±</v>
      </c>
      <c r="AC1486" s="1" t="str">
        <f>IF(Table1[[#This Row],[Spec Type2]]="N/A","N/A",IF(AND(Table1[[#This Row],[DUT Adj Read]]&gt;=Table1[[#This Row],[Low Tol]],Table1[[#This Row],[DUT Adj Read]]&lt;=Table1[[#This Row],[High Tol]]),"Pass","Fail"))</f>
        <v>Fail</v>
      </c>
      <c r="AD1486" s="1" t="str">
        <f>IF(AND(Table1[[#This Row],[Spec Type2]]="N/A",Table1[[#This Row],[DUT Adj Read]]="N/A",Table1[[#This Row],[Std Adj Read]]="N/A"),"N/A",IF(Table1[[#This Row],[DUT Adj Read]]="N/A",IF(Table1[[#This Row],[Std Adj Read]]&gt;Table1[[#This Row],[Low Tol]],"Pass","Fail"),IF(Table1[[#This Row],[DUT Adj Read]]&gt;Table1[[#This Row],[Low Tol]],"Pass","Fail")))</f>
        <v>Pass</v>
      </c>
      <c r="AE1486" s="1" t="str">
        <f>IF(AND(Table1[[#This Row],[Spec Type2]]="N/A",Table1[[#This Row],[DUT Adj Read]]="N/A",Table1[[#This Row],[Std Adj Read]]="N/A"),"N/A",IF(Table1[[#This Row],[DUT Adj Read]]="N/A",IF(Table1[[#This Row],[Std Adj Read]]&lt;Table1[[#This Row],[High Tol]],"Pass","Fail"),IF(Table1[[#This Row],[DUT Adj Read]]&lt;Table1[[#This Row],[High Tol]],"Pass","Fail")))</f>
        <v>Fail</v>
      </c>
      <c r="AF1486" s="1" t="str">
        <f>IF(AND(Table1[[#This Row],[Spec Type2]]="N/A",Table1[[#This Row],[DUT Adj Read]]="N/A",Table1[[#This Row],[Std Adj Read]]="N/A"),"N/A",IF(Table1[[#This Row],[DUT Adj Read]]="N/A",IF(Table1[[#This Row],[Std Adj Read]]&gt;=Table1[[#This Row],[Low Tol]],"Pass","Fail"),IF(Table1[[#This Row],[DUT Adj Read]]&gt;=Table1[[#This Row],[Low Tol]],"Pass","Fail")))</f>
        <v>Pass</v>
      </c>
      <c r="AG1486" s="1" t="str">
        <f>IF(AND(Table1[[#This Row],[Spec Type2]]="N/A",Table1[[#This Row],[DUT Adj Read]]="N/A",Table1[[#This Row],[Std Adj Read]]="N/A"),"N/A",IF(Table1[[#This Row],[DUT Adj Read]]="N/A",IF(Table1[[#This Row],[Std Adj Read]]&lt;=Table1[[#This Row],[High Tol]],"Pass","Fail"),IF(Table1[[#This Row],[DUT Adj Read]]&lt;=Table1[[#This Row],[High Tol]],"Pass","Fail")))</f>
        <v>Fail</v>
      </c>
      <c r="AH14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6" s="1" t="b">
        <v>0</v>
      </c>
      <c r="AN1486" s="1" t="b">
        <v>0</v>
      </c>
      <c r="AO1486" s="1" t="b">
        <v>0</v>
      </c>
    </row>
    <row r="1487" spans="1:41" x14ac:dyDescent="0.25">
      <c r="A1487" s="10"/>
      <c r="B1487" s="10"/>
      <c r="C1487" s="10"/>
      <c r="D1487" s="10"/>
      <c r="E1487" s="10"/>
      <c r="F1487" s="10"/>
      <c r="G1487" s="10"/>
      <c r="H1487" s="10"/>
      <c r="I1487" s="1" t="str">
        <f t="shared" si="69"/>
        <v/>
      </c>
      <c r="J1487" s="1" t="s">
        <v>35</v>
      </c>
      <c r="K1487" s="1" t="str">
        <f t="shared" si="70"/>
        <v/>
      </c>
      <c r="L1487" s="1" t="str">
        <f t="shared" si="71"/>
        <v/>
      </c>
      <c r="M1487" s="1">
        <f>IF(OR(Table1[[#This Row],[Std Nom]]="",Table1[[#This Row],[Std Read]]=""),0,Table1[[#This Row],[Std Nom]]-Table1[[#This Row],[Std Read]])</f>
        <v>0</v>
      </c>
      <c r="N1487" s="1">
        <f>IF(Calculations!$F$5="ACCREDITED 17025 WITH UNCERTAINTIES",$N$10,0)</f>
        <v>0</v>
      </c>
      <c r="Q1487" s="1">
        <f>Table1[[#This Row],[High Tol]]-Table1[[#This Row],[Low Tol]]</f>
        <v>0</v>
      </c>
      <c r="R1487" s="1">
        <f>2*Table1[[#This Row],[Std Error]]</f>
        <v>0</v>
      </c>
      <c r="S1487" s="1" t="str">
        <f>IF(Table1[[#This Row],[High Tol]]="","N/A",IFERROR(ABS(Table1[[#This Row],[Tol Span]]/Table1[[#This Row],[Error Span]]),"N/A"))</f>
        <v>N/A</v>
      </c>
      <c r="T1487" s="1" t="str">
        <f>IF(OR(Table1[[#This Row],[Low Tol]]="",Table1[[#This Row],[High Tol]]=""),"Needs Analysis",IF(Table1[[#This Row],[Ratio]]&gt;=4,"Not Significant",IF(Table1[[#This Row],[Ratio]]&gt;=2,"Semi-Significant","Significant")))</f>
        <v>Needs Analysis</v>
      </c>
      <c r="W1487" s="1">
        <f>IF(Table1[[#This Row],[Cal Type]]&lt;&gt;"ACCREDITED 17025 WITH UNCERTAINTIES",0,"")</f>
        <v>0</v>
      </c>
      <c r="X1487" s="1" t="str">
        <f>IF(Table1[[#This Row],[DUT Read]]="","N/A",Table1[[#This Row],[Std Error]]+Table1[[#This Row],[DUT Read]]+Table1[[#This Row],[DUT Ucty]])</f>
        <v>N/A</v>
      </c>
      <c r="Y1487" s="1" t="str">
        <f>IF(Table1[[#This Row],[Std Read]]="","N/A",Table1[[#This Row],[Std Read]]+Table1[[#This Row],[Std Ucty]])</f>
        <v>N/A</v>
      </c>
      <c r="Z14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7" s="1" t="str">
        <f>IF(Table1[[#This Row],[Spec Type]]="","N/A",Table1[[#This Row],[Spec Type]])</f>
        <v>±</v>
      </c>
      <c r="AC1487" s="1" t="str">
        <f>IF(Table1[[#This Row],[Spec Type2]]="N/A","N/A",IF(AND(Table1[[#This Row],[DUT Adj Read]]&gt;=Table1[[#This Row],[Low Tol]],Table1[[#This Row],[DUT Adj Read]]&lt;=Table1[[#This Row],[High Tol]]),"Pass","Fail"))</f>
        <v>Fail</v>
      </c>
      <c r="AD1487" s="1" t="str">
        <f>IF(AND(Table1[[#This Row],[Spec Type2]]="N/A",Table1[[#This Row],[DUT Adj Read]]="N/A",Table1[[#This Row],[Std Adj Read]]="N/A"),"N/A",IF(Table1[[#This Row],[DUT Adj Read]]="N/A",IF(Table1[[#This Row],[Std Adj Read]]&gt;Table1[[#This Row],[Low Tol]],"Pass","Fail"),IF(Table1[[#This Row],[DUT Adj Read]]&gt;Table1[[#This Row],[Low Tol]],"Pass","Fail")))</f>
        <v>Pass</v>
      </c>
      <c r="AE1487" s="1" t="str">
        <f>IF(AND(Table1[[#This Row],[Spec Type2]]="N/A",Table1[[#This Row],[DUT Adj Read]]="N/A",Table1[[#This Row],[Std Adj Read]]="N/A"),"N/A",IF(Table1[[#This Row],[DUT Adj Read]]="N/A",IF(Table1[[#This Row],[Std Adj Read]]&lt;Table1[[#This Row],[High Tol]],"Pass","Fail"),IF(Table1[[#This Row],[DUT Adj Read]]&lt;Table1[[#This Row],[High Tol]],"Pass","Fail")))</f>
        <v>Fail</v>
      </c>
      <c r="AF1487" s="1" t="str">
        <f>IF(AND(Table1[[#This Row],[Spec Type2]]="N/A",Table1[[#This Row],[DUT Adj Read]]="N/A",Table1[[#This Row],[Std Adj Read]]="N/A"),"N/A",IF(Table1[[#This Row],[DUT Adj Read]]="N/A",IF(Table1[[#This Row],[Std Adj Read]]&gt;=Table1[[#This Row],[Low Tol]],"Pass","Fail"),IF(Table1[[#This Row],[DUT Adj Read]]&gt;=Table1[[#This Row],[Low Tol]],"Pass","Fail")))</f>
        <v>Pass</v>
      </c>
      <c r="AG1487" s="1" t="str">
        <f>IF(AND(Table1[[#This Row],[Spec Type2]]="N/A",Table1[[#This Row],[DUT Adj Read]]="N/A",Table1[[#This Row],[Std Adj Read]]="N/A"),"N/A",IF(Table1[[#This Row],[DUT Adj Read]]="N/A",IF(Table1[[#This Row],[Std Adj Read]]&lt;=Table1[[#This Row],[High Tol]],"Pass","Fail"),IF(Table1[[#This Row],[DUT Adj Read]]&lt;=Table1[[#This Row],[High Tol]],"Pass","Fail")))</f>
        <v>Fail</v>
      </c>
      <c r="AH14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7" s="1" t="b">
        <v>0</v>
      </c>
      <c r="AN1487" s="1" t="b">
        <v>0</v>
      </c>
      <c r="AO1487" s="1" t="b">
        <v>0</v>
      </c>
    </row>
    <row r="1488" spans="1:41" x14ac:dyDescent="0.25">
      <c r="A1488" s="10"/>
      <c r="B1488" s="10"/>
      <c r="C1488" s="10"/>
      <c r="D1488" s="10"/>
      <c r="E1488" s="10"/>
      <c r="F1488" s="10"/>
      <c r="G1488" s="10"/>
      <c r="H1488" s="10"/>
      <c r="I1488" s="1" t="str">
        <f t="shared" si="69"/>
        <v/>
      </c>
      <c r="J1488" s="1" t="s">
        <v>35</v>
      </c>
      <c r="K1488" s="1" t="str">
        <f t="shared" si="70"/>
        <v/>
      </c>
      <c r="L1488" s="1" t="str">
        <f t="shared" si="71"/>
        <v/>
      </c>
      <c r="M1488" s="1">
        <f>IF(OR(Table1[[#This Row],[Std Nom]]="",Table1[[#This Row],[Std Read]]=""),0,Table1[[#This Row],[Std Nom]]-Table1[[#This Row],[Std Read]])</f>
        <v>0</v>
      </c>
      <c r="N1488" s="1">
        <f>IF(Calculations!$F$5="ACCREDITED 17025 WITH UNCERTAINTIES",$N$10,0)</f>
        <v>0</v>
      </c>
      <c r="Q1488" s="1">
        <f>Table1[[#This Row],[High Tol]]-Table1[[#This Row],[Low Tol]]</f>
        <v>0</v>
      </c>
      <c r="R1488" s="1">
        <f>2*Table1[[#This Row],[Std Error]]</f>
        <v>0</v>
      </c>
      <c r="S1488" s="1" t="str">
        <f>IF(Table1[[#This Row],[High Tol]]="","N/A",IFERROR(ABS(Table1[[#This Row],[Tol Span]]/Table1[[#This Row],[Error Span]]),"N/A"))</f>
        <v>N/A</v>
      </c>
      <c r="T1488" s="1" t="str">
        <f>IF(OR(Table1[[#This Row],[Low Tol]]="",Table1[[#This Row],[High Tol]]=""),"Needs Analysis",IF(Table1[[#This Row],[Ratio]]&gt;=4,"Not Significant",IF(Table1[[#This Row],[Ratio]]&gt;=2,"Semi-Significant","Significant")))</f>
        <v>Needs Analysis</v>
      </c>
      <c r="W1488" s="1">
        <f>IF(Table1[[#This Row],[Cal Type]]&lt;&gt;"ACCREDITED 17025 WITH UNCERTAINTIES",0,"")</f>
        <v>0</v>
      </c>
      <c r="X1488" s="1" t="str">
        <f>IF(Table1[[#This Row],[DUT Read]]="","N/A",Table1[[#This Row],[Std Error]]+Table1[[#This Row],[DUT Read]]+Table1[[#This Row],[DUT Ucty]])</f>
        <v>N/A</v>
      </c>
      <c r="Y1488" s="1" t="str">
        <f>IF(Table1[[#This Row],[Std Read]]="","N/A",Table1[[#This Row],[Std Read]]+Table1[[#This Row],[Std Ucty]])</f>
        <v>N/A</v>
      </c>
      <c r="Z14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8" s="1" t="str">
        <f>IF(Table1[[#This Row],[Spec Type]]="","N/A",Table1[[#This Row],[Spec Type]])</f>
        <v>±</v>
      </c>
      <c r="AC1488" s="1" t="str">
        <f>IF(Table1[[#This Row],[Spec Type2]]="N/A","N/A",IF(AND(Table1[[#This Row],[DUT Adj Read]]&gt;=Table1[[#This Row],[Low Tol]],Table1[[#This Row],[DUT Adj Read]]&lt;=Table1[[#This Row],[High Tol]]),"Pass","Fail"))</f>
        <v>Fail</v>
      </c>
      <c r="AD1488" s="1" t="str">
        <f>IF(AND(Table1[[#This Row],[Spec Type2]]="N/A",Table1[[#This Row],[DUT Adj Read]]="N/A",Table1[[#This Row],[Std Adj Read]]="N/A"),"N/A",IF(Table1[[#This Row],[DUT Adj Read]]="N/A",IF(Table1[[#This Row],[Std Adj Read]]&gt;Table1[[#This Row],[Low Tol]],"Pass","Fail"),IF(Table1[[#This Row],[DUT Adj Read]]&gt;Table1[[#This Row],[Low Tol]],"Pass","Fail")))</f>
        <v>Pass</v>
      </c>
      <c r="AE1488" s="1" t="str">
        <f>IF(AND(Table1[[#This Row],[Spec Type2]]="N/A",Table1[[#This Row],[DUT Adj Read]]="N/A",Table1[[#This Row],[Std Adj Read]]="N/A"),"N/A",IF(Table1[[#This Row],[DUT Adj Read]]="N/A",IF(Table1[[#This Row],[Std Adj Read]]&lt;Table1[[#This Row],[High Tol]],"Pass","Fail"),IF(Table1[[#This Row],[DUT Adj Read]]&lt;Table1[[#This Row],[High Tol]],"Pass","Fail")))</f>
        <v>Fail</v>
      </c>
      <c r="AF1488" s="1" t="str">
        <f>IF(AND(Table1[[#This Row],[Spec Type2]]="N/A",Table1[[#This Row],[DUT Adj Read]]="N/A",Table1[[#This Row],[Std Adj Read]]="N/A"),"N/A",IF(Table1[[#This Row],[DUT Adj Read]]="N/A",IF(Table1[[#This Row],[Std Adj Read]]&gt;=Table1[[#This Row],[Low Tol]],"Pass","Fail"),IF(Table1[[#This Row],[DUT Adj Read]]&gt;=Table1[[#This Row],[Low Tol]],"Pass","Fail")))</f>
        <v>Pass</v>
      </c>
      <c r="AG1488" s="1" t="str">
        <f>IF(AND(Table1[[#This Row],[Spec Type2]]="N/A",Table1[[#This Row],[DUT Adj Read]]="N/A",Table1[[#This Row],[Std Adj Read]]="N/A"),"N/A",IF(Table1[[#This Row],[DUT Adj Read]]="N/A",IF(Table1[[#This Row],[Std Adj Read]]&lt;=Table1[[#This Row],[High Tol]],"Pass","Fail"),IF(Table1[[#This Row],[DUT Adj Read]]&lt;=Table1[[#This Row],[High Tol]],"Pass","Fail")))</f>
        <v>Fail</v>
      </c>
      <c r="AH14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8" s="1" t="b">
        <v>0</v>
      </c>
      <c r="AN1488" s="1" t="b">
        <v>0</v>
      </c>
      <c r="AO1488" s="1" t="b">
        <v>0</v>
      </c>
    </row>
    <row r="1489" spans="1:41" x14ac:dyDescent="0.25">
      <c r="A1489" s="10"/>
      <c r="B1489" s="10"/>
      <c r="C1489" s="10"/>
      <c r="D1489" s="10"/>
      <c r="E1489" s="10"/>
      <c r="F1489" s="10"/>
      <c r="G1489" s="10"/>
      <c r="H1489" s="10"/>
      <c r="I1489" s="1" t="str">
        <f t="shared" si="69"/>
        <v/>
      </c>
      <c r="J1489" s="1" t="s">
        <v>35</v>
      </c>
      <c r="K1489" s="1" t="str">
        <f t="shared" si="70"/>
        <v/>
      </c>
      <c r="L1489" s="1" t="str">
        <f t="shared" si="71"/>
        <v/>
      </c>
      <c r="M1489" s="1">
        <f>IF(OR(Table1[[#This Row],[Std Nom]]="",Table1[[#This Row],[Std Read]]=""),0,Table1[[#This Row],[Std Nom]]-Table1[[#This Row],[Std Read]])</f>
        <v>0</v>
      </c>
      <c r="N1489" s="1">
        <f>IF(Calculations!$F$5="ACCREDITED 17025 WITH UNCERTAINTIES",$N$10,0)</f>
        <v>0</v>
      </c>
      <c r="Q1489" s="1">
        <f>Table1[[#This Row],[High Tol]]-Table1[[#This Row],[Low Tol]]</f>
        <v>0</v>
      </c>
      <c r="R1489" s="1">
        <f>2*Table1[[#This Row],[Std Error]]</f>
        <v>0</v>
      </c>
      <c r="S1489" s="1" t="str">
        <f>IF(Table1[[#This Row],[High Tol]]="","N/A",IFERROR(ABS(Table1[[#This Row],[Tol Span]]/Table1[[#This Row],[Error Span]]),"N/A"))</f>
        <v>N/A</v>
      </c>
      <c r="T1489" s="1" t="str">
        <f>IF(OR(Table1[[#This Row],[Low Tol]]="",Table1[[#This Row],[High Tol]]=""),"Needs Analysis",IF(Table1[[#This Row],[Ratio]]&gt;=4,"Not Significant",IF(Table1[[#This Row],[Ratio]]&gt;=2,"Semi-Significant","Significant")))</f>
        <v>Needs Analysis</v>
      </c>
      <c r="W1489" s="1">
        <f>IF(Table1[[#This Row],[Cal Type]]&lt;&gt;"ACCREDITED 17025 WITH UNCERTAINTIES",0,"")</f>
        <v>0</v>
      </c>
      <c r="X1489" s="1" t="str">
        <f>IF(Table1[[#This Row],[DUT Read]]="","N/A",Table1[[#This Row],[Std Error]]+Table1[[#This Row],[DUT Read]]+Table1[[#This Row],[DUT Ucty]])</f>
        <v>N/A</v>
      </c>
      <c r="Y1489" s="1" t="str">
        <f>IF(Table1[[#This Row],[Std Read]]="","N/A",Table1[[#This Row],[Std Read]]+Table1[[#This Row],[Std Ucty]])</f>
        <v>N/A</v>
      </c>
      <c r="Z14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89" s="1" t="str">
        <f>IF(Table1[[#This Row],[Spec Type]]="","N/A",Table1[[#This Row],[Spec Type]])</f>
        <v>±</v>
      </c>
      <c r="AC1489" s="1" t="str">
        <f>IF(Table1[[#This Row],[Spec Type2]]="N/A","N/A",IF(AND(Table1[[#This Row],[DUT Adj Read]]&gt;=Table1[[#This Row],[Low Tol]],Table1[[#This Row],[DUT Adj Read]]&lt;=Table1[[#This Row],[High Tol]]),"Pass","Fail"))</f>
        <v>Fail</v>
      </c>
      <c r="AD1489" s="1" t="str">
        <f>IF(AND(Table1[[#This Row],[Spec Type2]]="N/A",Table1[[#This Row],[DUT Adj Read]]="N/A",Table1[[#This Row],[Std Adj Read]]="N/A"),"N/A",IF(Table1[[#This Row],[DUT Adj Read]]="N/A",IF(Table1[[#This Row],[Std Adj Read]]&gt;Table1[[#This Row],[Low Tol]],"Pass","Fail"),IF(Table1[[#This Row],[DUT Adj Read]]&gt;Table1[[#This Row],[Low Tol]],"Pass","Fail")))</f>
        <v>Pass</v>
      </c>
      <c r="AE1489" s="1" t="str">
        <f>IF(AND(Table1[[#This Row],[Spec Type2]]="N/A",Table1[[#This Row],[DUT Adj Read]]="N/A",Table1[[#This Row],[Std Adj Read]]="N/A"),"N/A",IF(Table1[[#This Row],[DUT Adj Read]]="N/A",IF(Table1[[#This Row],[Std Adj Read]]&lt;Table1[[#This Row],[High Tol]],"Pass","Fail"),IF(Table1[[#This Row],[DUT Adj Read]]&lt;Table1[[#This Row],[High Tol]],"Pass","Fail")))</f>
        <v>Fail</v>
      </c>
      <c r="AF1489" s="1" t="str">
        <f>IF(AND(Table1[[#This Row],[Spec Type2]]="N/A",Table1[[#This Row],[DUT Adj Read]]="N/A",Table1[[#This Row],[Std Adj Read]]="N/A"),"N/A",IF(Table1[[#This Row],[DUT Adj Read]]="N/A",IF(Table1[[#This Row],[Std Adj Read]]&gt;=Table1[[#This Row],[Low Tol]],"Pass","Fail"),IF(Table1[[#This Row],[DUT Adj Read]]&gt;=Table1[[#This Row],[Low Tol]],"Pass","Fail")))</f>
        <v>Pass</v>
      </c>
      <c r="AG1489" s="1" t="str">
        <f>IF(AND(Table1[[#This Row],[Spec Type2]]="N/A",Table1[[#This Row],[DUT Adj Read]]="N/A",Table1[[#This Row],[Std Adj Read]]="N/A"),"N/A",IF(Table1[[#This Row],[DUT Adj Read]]="N/A",IF(Table1[[#This Row],[Std Adj Read]]&lt;=Table1[[#This Row],[High Tol]],"Pass","Fail"),IF(Table1[[#This Row],[DUT Adj Read]]&lt;=Table1[[#This Row],[High Tol]],"Pass","Fail")))</f>
        <v>Fail</v>
      </c>
      <c r="AH14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89" s="1" t="b">
        <v>0</v>
      </c>
      <c r="AN1489" s="1" t="b">
        <v>0</v>
      </c>
      <c r="AO1489" s="1" t="b">
        <v>0</v>
      </c>
    </row>
    <row r="1490" spans="1:41" x14ac:dyDescent="0.25">
      <c r="A1490" s="10"/>
      <c r="B1490" s="10"/>
      <c r="C1490" s="10"/>
      <c r="D1490" s="10"/>
      <c r="E1490" s="10"/>
      <c r="F1490" s="10"/>
      <c r="G1490" s="10"/>
      <c r="H1490" s="10"/>
      <c r="I1490" s="1" t="str">
        <f t="shared" si="69"/>
        <v/>
      </c>
      <c r="J1490" s="1" t="s">
        <v>35</v>
      </c>
      <c r="K1490" s="1" t="str">
        <f t="shared" si="70"/>
        <v/>
      </c>
      <c r="L1490" s="1" t="str">
        <f t="shared" si="71"/>
        <v/>
      </c>
      <c r="M1490" s="1">
        <f>IF(OR(Table1[[#This Row],[Std Nom]]="",Table1[[#This Row],[Std Read]]=""),0,Table1[[#This Row],[Std Nom]]-Table1[[#This Row],[Std Read]])</f>
        <v>0</v>
      </c>
      <c r="N1490" s="1">
        <f>IF(Calculations!$F$5="ACCREDITED 17025 WITH UNCERTAINTIES",$N$10,0)</f>
        <v>0</v>
      </c>
      <c r="Q1490" s="1">
        <f>Table1[[#This Row],[High Tol]]-Table1[[#This Row],[Low Tol]]</f>
        <v>0</v>
      </c>
      <c r="R1490" s="1">
        <f>2*Table1[[#This Row],[Std Error]]</f>
        <v>0</v>
      </c>
      <c r="S1490" s="1" t="str">
        <f>IF(Table1[[#This Row],[High Tol]]="","N/A",IFERROR(ABS(Table1[[#This Row],[Tol Span]]/Table1[[#This Row],[Error Span]]),"N/A"))</f>
        <v>N/A</v>
      </c>
      <c r="T1490" s="1" t="str">
        <f>IF(OR(Table1[[#This Row],[Low Tol]]="",Table1[[#This Row],[High Tol]]=""),"Needs Analysis",IF(Table1[[#This Row],[Ratio]]&gt;=4,"Not Significant",IF(Table1[[#This Row],[Ratio]]&gt;=2,"Semi-Significant","Significant")))</f>
        <v>Needs Analysis</v>
      </c>
      <c r="W1490" s="1">
        <f>IF(Table1[[#This Row],[Cal Type]]&lt;&gt;"ACCREDITED 17025 WITH UNCERTAINTIES",0,"")</f>
        <v>0</v>
      </c>
      <c r="X1490" s="1" t="str">
        <f>IF(Table1[[#This Row],[DUT Read]]="","N/A",Table1[[#This Row],[Std Error]]+Table1[[#This Row],[DUT Read]]+Table1[[#This Row],[DUT Ucty]])</f>
        <v>N/A</v>
      </c>
      <c r="Y1490" s="1" t="str">
        <f>IF(Table1[[#This Row],[Std Read]]="","N/A",Table1[[#This Row],[Std Read]]+Table1[[#This Row],[Std Ucty]])</f>
        <v>N/A</v>
      </c>
      <c r="Z14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0" s="1" t="str">
        <f>IF(Table1[[#This Row],[Spec Type]]="","N/A",Table1[[#This Row],[Spec Type]])</f>
        <v>±</v>
      </c>
      <c r="AC1490" s="1" t="str">
        <f>IF(Table1[[#This Row],[Spec Type2]]="N/A","N/A",IF(AND(Table1[[#This Row],[DUT Adj Read]]&gt;=Table1[[#This Row],[Low Tol]],Table1[[#This Row],[DUT Adj Read]]&lt;=Table1[[#This Row],[High Tol]]),"Pass","Fail"))</f>
        <v>Fail</v>
      </c>
      <c r="AD1490" s="1" t="str">
        <f>IF(AND(Table1[[#This Row],[Spec Type2]]="N/A",Table1[[#This Row],[DUT Adj Read]]="N/A",Table1[[#This Row],[Std Adj Read]]="N/A"),"N/A",IF(Table1[[#This Row],[DUT Adj Read]]="N/A",IF(Table1[[#This Row],[Std Adj Read]]&gt;Table1[[#This Row],[Low Tol]],"Pass","Fail"),IF(Table1[[#This Row],[DUT Adj Read]]&gt;Table1[[#This Row],[Low Tol]],"Pass","Fail")))</f>
        <v>Pass</v>
      </c>
      <c r="AE1490" s="1" t="str">
        <f>IF(AND(Table1[[#This Row],[Spec Type2]]="N/A",Table1[[#This Row],[DUT Adj Read]]="N/A",Table1[[#This Row],[Std Adj Read]]="N/A"),"N/A",IF(Table1[[#This Row],[DUT Adj Read]]="N/A",IF(Table1[[#This Row],[Std Adj Read]]&lt;Table1[[#This Row],[High Tol]],"Pass","Fail"),IF(Table1[[#This Row],[DUT Adj Read]]&lt;Table1[[#This Row],[High Tol]],"Pass","Fail")))</f>
        <v>Fail</v>
      </c>
      <c r="AF1490" s="1" t="str">
        <f>IF(AND(Table1[[#This Row],[Spec Type2]]="N/A",Table1[[#This Row],[DUT Adj Read]]="N/A",Table1[[#This Row],[Std Adj Read]]="N/A"),"N/A",IF(Table1[[#This Row],[DUT Adj Read]]="N/A",IF(Table1[[#This Row],[Std Adj Read]]&gt;=Table1[[#This Row],[Low Tol]],"Pass","Fail"),IF(Table1[[#This Row],[DUT Adj Read]]&gt;=Table1[[#This Row],[Low Tol]],"Pass","Fail")))</f>
        <v>Pass</v>
      </c>
      <c r="AG1490" s="1" t="str">
        <f>IF(AND(Table1[[#This Row],[Spec Type2]]="N/A",Table1[[#This Row],[DUT Adj Read]]="N/A",Table1[[#This Row],[Std Adj Read]]="N/A"),"N/A",IF(Table1[[#This Row],[DUT Adj Read]]="N/A",IF(Table1[[#This Row],[Std Adj Read]]&lt;=Table1[[#This Row],[High Tol]],"Pass","Fail"),IF(Table1[[#This Row],[DUT Adj Read]]&lt;=Table1[[#This Row],[High Tol]],"Pass","Fail")))</f>
        <v>Fail</v>
      </c>
      <c r="AH14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0" s="1" t="b">
        <v>0</v>
      </c>
      <c r="AN1490" s="1" t="b">
        <v>0</v>
      </c>
      <c r="AO1490" s="1" t="b">
        <v>0</v>
      </c>
    </row>
    <row r="1491" spans="1:41" x14ac:dyDescent="0.25">
      <c r="A1491" s="10"/>
      <c r="B1491" s="10"/>
      <c r="C1491" s="10"/>
      <c r="D1491" s="10"/>
      <c r="E1491" s="10"/>
      <c r="F1491" s="10"/>
      <c r="G1491" s="10"/>
      <c r="H1491" s="10"/>
      <c r="I1491" s="1" t="str">
        <f t="shared" si="69"/>
        <v/>
      </c>
      <c r="J1491" s="1" t="s">
        <v>35</v>
      </c>
      <c r="K1491" s="1" t="str">
        <f t="shared" si="70"/>
        <v/>
      </c>
      <c r="L1491" s="1" t="str">
        <f t="shared" si="71"/>
        <v/>
      </c>
      <c r="M1491" s="1">
        <f>IF(OR(Table1[[#This Row],[Std Nom]]="",Table1[[#This Row],[Std Read]]=""),0,Table1[[#This Row],[Std Nom]]-Table1[[#This Row],[Std Read]])</f>
        <v>0</v>
      </c>
      <c r="N1491" s="1">
        <f>IF(Calculations!$F$5="ACCREDITED 17025 WITH UNCERTAINTIES",$N$10,0)</f>
        <v>0</v>
      </c>
      <c r="Q1491" s="1">
        <f>Table1[[#This Row],[High Tol]]-Table1[[#This Row],[Low Tol]]</f>
        <v>0</v>
      </c>
      <c r="R1491" s="1">
        <f>2*Table1[[#This Row],[Std Error]]</f>
        <v>0</v>
      </c>
      <c r="S1491" s="1" t="str">
        <f>IF(Table1[[#This Row],[High Tol]]="","N/A",IFERROR(ABS(Table1[[#This Row],[Tol Span]]/Table1[[#This Row],[Error Span]]),"N/A"))</f>
        <v>N/A</v>
      </c>
      <c r="T1491" s="1" t="str">
        <f>IF(OR(Table1[[#This Row],[Low Tol]]="",Table1[[#This Row],[High Tol]]=""),"Needs Analysis",IF(Table1[[#This Row],[Ratio]]&gt;=4,"Not Significant",IF(Table1[[#This Row],[Ratio]]&gt;=2,"Semi-Significant","Significant")))</f>
        <v>Needs Analysis</v>
      </c>
      <c r="W1491" s="1">
        <f>IF(Table1[[#This Row],[Cal Type]]&lt;&gt;"ACCREDITED 17025 WITH UNCERTAINTIES",0,"")</f>
        <v>0</v>
      </c>
      <c r="X1491" s="1" t="str">
        <f>IF(Table1[[#This Row],[DUT Read]]="","N/A",Table1[[#This Row],[Std Error]]+Table1[[#This Row],[DUT Read]]+Table1[[#This Row],[DUT Ucty]])</f>
        <v>N/A</v>
      </c>
      <c r="Y1491" s="1" t="str">
        <f>IF(Table1[[#This Row],[Std Read]]="","N/A",Table1[[#This Row],[Std Read]]+Table1[[#This Row],[Std Ucty]])</f>
        <v>N/A</v>
      </c>
      <c r="Z14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1" s="1" t="str">
        <f>IF(Table1[[#This Row],[Spec Type]]="","N/A",Table1[[#This Row],[Spec Type]])</f>
        <v>±</v>
      </c>
      <c r="AC1491" s="1" t="str">
        <f>IF(Table1[[#This Row],[Spec Type2]]="N/A","N/A",IF(AND(Table1[[#This Row],[DUT Adj Read]]&gt;=Table1[[#This Row],[Low Tol]],Table1[[#This Row],[DUT Adj Read]]&lt;=Table1[[#This Row],[High Tol]]),"Pass","Fail"))</f>
        <v>Fail</v>
      </c>
      <c r="AD1491" s="1" t="str">
        <f>IF(AND(Table1[[#This Row],[Spec Type2]]="N/A",Table1[[#This Row],[DUT Adj Read]]="N/A",Table1[[#This Row],[Std Adj Read]]="N/A"),"N/A",IF(Table1[[#This Row],[DUT Adj Read]]="N/A",IF(Table1[[#This Row],[Std Adj Read]]&gt;Table1[[#This Row],[Low Tol]],"Pass","Fail"),IF(Table1[[#This Row],[DUT Adj Read]]&gt;Table1[[#This Row],[Low Tol]],"Pass","Fail")))</f>
        <v>Pass</v>
      </c>
      <c r="AE1491" s="1" t="str">
        <f>IF(AND(Table1[[#This Row],[Spec Type2]]="N/A",Table1[[#This Row],[DUT Adj Read]]="N/A",Table1[[#This Row],[Std Adj Read]]="N/A"),"N/A",IF(Table1[[#This Row],[DUT Adj Read]]="N/A",IF(Table1[[#This Row],[Std Adj Read]]&lt;Table1[[#This Row],[High Tol]],"Pass","Fail"),IF(Table1[[#This Row],[DUT Adj Read]]&lt;Table1[[#This Row],[High Tol]],"Pass","Fail")))</f>
        <v>Fail</v>
      </c>
      <c r="AF1491" s="1" t="str">
        <f>IF(AND(Table1[[#This Row],[Spec Type2]]="N/A",Table1[[#This Row],[DUT Adj Read]]="N/A",Table1[[#This Row],[Std Adj Read]]="N/A"),"N/A",IF(Table1[[#This Row],[DUT Adj Read]]="N/A",IF(Table1[[#This Row],[Std Adj Read]]&gt;=Table1[[#This Row],[Low Tol]],"Pass","Fail"),IF(Table1[[#This Row],[DUT Adj Read]]&gt;=Table1[[#This Row],[Low Tol]],"Pass","Fail")))</f>
        <v>Pass</v>
      </c>
      <c r="AG1491" s="1" t="str">
        <f>IF(AND(Table1[[#This Row],[Spec Type2]]="N/A",Table1[[#This Row],[DUT Adj Read]]="N/A",Table1[[#This Row],[Std Adj Read]]="N/A"),"N/A",IF(Table1[[#This Row],[DUT Adj Read]]="N/A",IF(Table1[[#This Row],[Std Adj Read]]&lt;=Table1[[#This Row],[High Tol]],"Pass","Fail"),IF(Table1[[#This Row],[DUT Adj Read]]&lt;=Table1[[#This Row],[High Tol]],"Pass","Fail")))</f>
        <v>Fail</v>
      </c>
      <c r="AH14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1" s="1" t="b">
        <v>0</v>
      </c>
      <c r="AN1491" s="1" t="b">
        <v>0</v>
      </c>
      <c r="AO1491" s="1" t="b">
        <v>0</v>
      </c>
    </row>
    <row r="1492" spans="1:41" x14ac:dyDescent="0.25">
      <c r="A1492" s="10"/>
      <c r="B1492" s="10"/>
      <c r="C1492" s="10"/>
      <c r="D1492" s="10"/>
      <c r="E1492" s="10"/>
      <c r="F1492" s="10"/>
      <c r="G1492" s="10"/>
      <c r="H1492" s="10"/>
      <c r="I1492" s="1" t="str">
        <f t="shared" si="69"/>
        <v/>
      </c>
      <c r="J1492" s="1" t="s">
        <v>35</v>
      </c>
      <c r="K1492" s="1" t="str">
        <f t="shared" si="70"/>
        <v/>
      </c>
      <c r="L1492" s="1" t="str">
        <f t="shared" si="71"/>
        <v/>
      </c>
      <c r="M1492" s="1">
        <f>IF(OR(Table1[[#This Row],[Std Nom]]="",Table1[[#This Row],[Std Read]]=""),0,Table1[[#This Row],[Std Nom]]-Table1[[#This Row],[Std Read]])</f>
        <v>0</v>
      </c>
      <c r="N1492" s="1">
        <f>IF(Calculations!$F$5="ACCREDITED 17025 WITH UNCERTAINTIES",$N$10,0)</f>
        <v>0</v>
      </c>
      <c r="Q1492" s="1">
        <f>Table1[[#This Row],[High Tol]]-Table1[[#This Row],[Low Tol]]</f>
        <v>0</v>
      </c>
      <c r="R1492" s="1">
        <f>2*Table1[[#This Row],[Std Error]]</f>
        <v>0</v>
      </c>
      <c r="S1492" s="1" t="str">
        <f>IF(Table1[[#This Row],[High Tol]]="","N/A",IFERROR(ABS(Table1[[#This Row],[Tol Span]]/Table1[[#This Row],[Error Span]]),"N/A"))</f>
        <v>N/A</v>
      </c>
      <c r="T1492" s="1" t="str">
        <f>IF(OR(Table1[[#This Row],[Low Tol]]="",Table1[[#This Row],[High Tol]]=""),"Needs Analysis",IF(Table1[[#This Row],[Ratio]]&gt;=4,"Not Significant",IF(Table1[[#This Row],[Ratio]]&gt;=2,"Semi-Significant","Significant")))</f>
        <v>Needs Analysis</v>
      </c>
      <c r="W1492" s="1">
        <f>IF(Table1[[#This Row],[Cal Type]]&lt;&gt;"ACCREDITED 17025 WITH UNCERTAINTIES",0,"")</f>
        <v>0</v>
      </c>
      <c r="X1492" s="1" t="str">
        <f>IF(Table1[[#This Row],[DUT Read]]="","N/A",Table1[[#This Row],[Std Error]]+Table1[[#This Row],[DUT Read]]+Table1[[#This Row],[DUT Ucty]])</f>
        <v>N/A</v>
      </c>
      <c r="Y1492" s="1" t="str">
        <f>IF(Table1[[#This Row],[Std Read]]="","N/A",Table1[[#This Row],[Std Read]]+Table1[[#This Row],[Std Ucty]])</f>
        <v>N/A</v>
      </c>
      <c r="Z14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2" s="1" t="str">
        <f>IF(Table1[[#This Row],[Spec Type]]="","N/A",Table1[[#This Row],[Spec Type]])</f>
        <v>±</v>
      </c>
      <c r="AC1492" s="1" t="str">
        <f>IF(Table1[[#This Row],[Spec Type2]]="N/A","N/A",IF(AND(Table1[[#This Row],[DUT Adj Read]]&gt;=Table1[[#This Row],[Low Tol]],Table1[[#This Row],[DUT Adj Read]]&lt;=Table1[[#This Row],[High Tol]]),"Pass","Fail"))</f>
        <v>Fail</v>
      </c>
      <c r="AD1492" s="1" t="str">
        <f>IF(AND(Table1[[#This Row],[Spec Type2]]="N/A",Table1[[#This Row],[DUT Adj Read]]="N/A",Table1[[#This Row],[Std Adj Read]]="N/A"),"N/A",IF(Table1[[#This Row],[DUT Adj Read]]="N/A",IF(Table1[[#This Row],[Std Adj Read]]&gt;Table1[[#This Row],[Low Tol]],"Pass","Fail"),IF(Table1[[#This Row],[DUT Adj Read]]&gt;Table1[[#This Row],[Low Tol]],"Pass","Fail")))</f>
        <v>Pass</v>
      </c>
      <c r="AE1492" s="1" t="str">
        <f>IF(AND(Table1[[#This Row],[Spec Type2]]="N/A",Table1[[#This Row],[DUT Adj Read]]="N/A",Table1[[#This Row],[Std Adj Read]]="N/A"),"N/A",IF(Table1[[#This Row],[DUT Adj Read]]="N/A",IF(Table1[[#This Row],[Std Adj Read]]&lt;Table1[[#This Row],[High Tol]],"Pass","Fail"),IF(Table1[[#This Row],[DUT Adj Read]]&lt;Table1[[#This Row],[High Tol]],"Pass","Fail")))</f>
        <v>Fail</v>
      </c>
      <c r="AF1492" s="1" t="str">
        <f>IF(AND(Table1[[#This Row],[Spec Type2]]="N/A",Table1[[#This Row],[DUT Adj Read]]="N/A",Table1[[#This Row],[Std Adj Read]]="N/A"),"N/A",IF(Table1[[#This Row],[DUT Adj Read]]="N/A",IF(Table1[[#This Row],[Std Adj Read]]&gt;=Table1[[#This Row],[Low Tol]],"Pass","Fail"),IF(Table1[[#This Row],[DUT Adj Read]]&gt;=Table1[[#This Row],[Low Tol]],"Pass","Fail")))</f>
        <v>Pass</v>
      </c>
      <c r="AG1492" s="1" t="str">
        <f>IF(AND(Table1[[#This Row],[Spec Type2]]="N/A",Table1[[#This Row],[DUT Adj Read]]="N/A",Table1[[#This Row],[Std Adj Read]]="N/A"),"N/A",IF(Table1[[#This Row],[DUT Adj Read]]="N/A",IF(Table1[[#This Row],[Std Adj Read]]&lt;=Table1[[#This Row],[High Tol]],"Pass","Fail"),IF(Table1[[#This Row],[DUT Adj Read]]&lt;=Table1[[#This Row],[High Tol]],"Pass","Fail")))</f>
        <v>Fail</v>
      </c>
      <c r="AH14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2" s="1" t="b">
        <v>0</v>
      </c>
      <c r="AN1492" s="1" t="b">
        <v>0</v>
      </c>
      <c r="AO1492" s="1" t="b">
        <v>0</v>
      </c>
    </row>
    <row r="1493" spans="1:41" x14ac:dyDescent="0.25">
      <c r="A1493" s="10"/>
      <c r="B1493" s="10"/>
      <c r="C1493" s="10"/>
      <c r="D1493" s="10"/>
      <c r="E1493" s="10"/>
      <c r="F1493" s="10"/>
      <c r="G1493" s="10"/>
      <c r="H1493" s="10"/>
      <c r="I1493" s="1" t="str">
        <f t="shared" si="69"/>
        <v/>
      </c>
      <c r="J1493" s="1" t="s">
        <v>35</v>
      </c>
      <c r="K1493" s="1" t="str">
        <f t="shared" si="70"/>
        <v/>
      </c>
      <c r="L1493" s="1" t="str">
        <f t="shared" si="71"/>
        <v/>
      </c>
      <c r="M1493" s="1">
        <f>IF(OR(Table1[[#This Row],[Std Nom]]="",Table1[[#This Row],[Std Read]]=""),0,Table1[[#This Row],[Std Nom]]-Table1[[#This Row],[Std Read]])</f>
        <v>0</v>
      </c>
      <c r="N1493" s="1">
        <f>IF(Calculations!$F$5="ACCREDITED 17025 WITH UNCERTAINTIES",$N$10,0)</f>
        <v>0</v>
      </c>
      <c r="Q1493" s="1">
        <f>Table1[[#This Row],[High Tol]]-Table1[[#This Row],[Low Tol]]</f>
        <v>0</v>
      </c>
      <c r="R1493" s="1">
        <f>2*Table1[[#This Row],[Std Error]]</f>
        <v>0</v>
      </c>
      <c r="S1493" s="1" t="str">
        <f>IF(Table1[[#This Row],[High Tol]]="","N/A",IFERROR(ABS(Table1[[#This Row],[Tol Span]]/Table1[[#This Row],[Error Span]]),"N/A"))</f>
        <v>N/A</v>
      </c>
      <c r="T1493" s="1" t="str">
        <f>IF(OR(Table1[[#This Row],[Low Tol]]="",Table1[[#This Row],[High Tol]]=""),"Needs Analysis",IF(Table1[[#This Row],[Ratio]]&gt;=4,"Not Significant",IF(Table1[[#This Row],[Ratio]]&gt;=2,"Semi-Significant","Significant")))</f>
        <v>Needs Analysis</v>
      </c>
      <c r="W1493" s="1">
        <f>IF(Table1[[#This Row],[Cal Type]]&lt;&gt;"ACCREDITED 17025 WITH UNCERTAINTIES",0,"")</f>
        <v>0</v>
      </c>
      <c r="X1493" s="1" t="str">
        <f>IF(Table1[[#This Row],[DUT Read]]="","N/A",Table1[[#This Row],[Std Error]]+Table1[[#This Row],[DUT Read]]+Table1[[#This Row],[DUT Ucty]])</f>
        <v>N/A</v>
      </c>
      <c r="Y1493" s="1" t="str">
        <f>IF(Table1[[#This Row],[Std Read]]="","N/A",Table1[[#This Row],[Std Read]]+Table1[[#This Row],[Std Ucty]])</f>
        <v>N/A</v>
      </c>
      <c r="Z14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3" s="1" t="str">
        <f>IF(Table1[[#This Row],[Spec Type]]="","N/A",Table1[[#This Row],[Spec Type]])</f>
        <v>±</v>
      </c>
      <c r="AC1493" s="1" t="str">
        <f>IF(Table1[[#This Row],[Spec Type2]]="N/A","N/A",IF(AND(Table1[[#This Row],[DUT Adj Read]]&gt;=Table1[[#This Row],[Low Tol]],Table1[[#This Row],[DUT Adj Read]]&lt;=Table1[[#This Row],[High Tol]]),"Pass","Fail"))</f>
        <v>Fail</v>
      </c>
      <c r="AD1493" s="1" t="str">
        <f>IF(AND(Table1[[#This Row],[Spec Type2]]="N/A",Table1[[#This Row],[DUT Adj Read]]="N/A",Table1[[#This Row],[Std Adj Read]]="N/A"),"N/A",IF(Table1[[#This Row],[DUT Adj Read]]="N/A",IF(Table1[[#This Row],[Std Adj Read]]&gt;Table1[[#This Row],[Low Tol]],"Pass","Fail"),IF(Table1[[#This Row],[DUT Adj Read]]&gt;Table1[[#This Row],[Low Tol]],"Pass","Fail")))</f>
        <v>Pass</v>
      </c>
      <c r="AE1493" s="1" t="str">
        <f>IF(AND(Table1[[#This Row],[Spec Type2]]="N/A",Table1[[#This Row],[DUT Adj Read]]="N/A",Table1[[#This Row],[Std Adj Read]]="N/A"),"N/A",IF(Table1[[#This Row],[DUT Adj Read]]="N/A",IF(Table1[[#This Row],[Std Adj Read]]&lt;Table1[[#This Row],[High Tol]],"Pass","Fail"),IF(Table1[[#This Row],[DUT Adj Read]]&lt;Table1[[#This Row],[High Tol]],"Pass","Fail")))</f>
        <v>Fail</v>
      </c>
      <c r="AF1493" s="1" t="str">
        <f>IF(AND(Table1[[#This Row],[Spec Type2]]="N/A",Table1[[#This Row],[DUT Adj Read]]="N/A",Table1[[#This Row],[Std Adj Read]]="N/A"),"N/A",IF(Table1[[#This Row],[DUT Adj Read]]="N/A",IF(Table1[[#This Row],[Std Adj Read]]&gt;=Table1[[#This Row],[Low Tol]],"Pass","Fail"),IF(Table1[[#This Row],[DUT Adj Read]]&gt;=Table1[[#This Row],[Low Tol]],"Pass","Fail")))</f>
        <v>Pass</v>
      </c>
      <c r="AG1493" s="1" t="str">
        <f>IF(AND(Table1[[#This Row],[Spec Type2]]="N/A",Table1[[#This Row],[DUT Adj Read]]="N/A",Table1[[#This Row],[Std Adj Read]]="N/A"),"N/A",IF(Table1[[#This Row],[DUT Adj Read]]="N/A",IF(Table1[[#This Row],[Std Adj Read]]&lt;=Table1[[#This Row],[High Tol]],"Pass","Fail"),IF(Table1[[#This Row],[DUT Adj Read]]&lt;=Table1[[#This Row],[High Tol]],"Pass","Fail")))</f>
        <v>Fail</v>
      </c>
      <c r="AH14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3" s="1" t="b">
        <v>0</v>
      </c>
      <c r="AN1493" s="1" t="b">
        <v>0</v>
      </c>
      <c r="AO1493" s="1" t="b">
        <v>0</v>
      </c>
    </row>
    <row r="1494" spans="1:41" x14ac:dyDescent="0.25">
      <c r="A1494" s="10"/>
      <c r="B1494" s="10"/>
      <c r="C1494" s="10"/>
      <c r="D1494" s="10"/>
      <c r="E1494" s="10"/>
      <c r="F1494" s="10"/>
      <c r="G1494" s="10"/>
      <c r="H1494" s="10"/>
      <c r="I1494" s="1" t="str">
        <f t="shared" si="69"/>
        <v/>
      </c>
      <c r="J1494" s="1" t="s">
        <v>35</v>
      </c>
      <c r="K1494" s="1" t="str">
        <f t="shared" si="70"/>
        <v/>
      </c>
      <c r="L1494" s="1" t="str">
        <f t="shared" si="71"/>
        <v/>
      </c>
      <c r="M1494" s="1">
        <f>IF(OR(Table1[[#This Row],[Std Nom]]="",Table1[[#This Row],[Std Read]]=""),0,Table1[[#This Row],[Std Nom]]-Table1[[#This Row],[Std Read]])</f>
        <v>0</v>
      </c>
      <c r="N1494" s="1">
        <f>IF(Calculations!$F$5="ACCREDITED 17025 WITH UNCERTAINTIES",$N$10,0)</f>
        <v>0</v>
      </c>
      <c r="Q1494" s="1">
        <f>Table1[[#This Row],[High Tol]]-Table1[[#This Row],[Low Tol]]</f>
        <v>0</v>
      </c>
      <c r="R1494" s="1">
        <f>2*Table1[[#This Row],[Std Error]]</f>
        <v>0</v>
      </c>
      <c r="S1494" s="1" t="str">
        <f>IF(Table1[[#This Row],[High Tol]]="","N/A",IFERROR(ABS(Table1[[#This Row],[Tol Span]]/Table1[[#This Row],[Error Span]]),"N/A"))</f>
        <v>N/A</v>
      </c>
      <c r="T1494" s="1" t="str">
        <f>IF(OR(Table1[[#This Row],[Low Tol]]="",Table1[[#This Row],[High Tol]]=""),"Needs Analysis",IF(Table1[[#This Row],[Ratio]]&gt;=4,"Not Significant",IF(Table1[[#This Row],[Ratio]]&gt;=2,"Semi-Significant","Significant")))</f>
        <v>Needs Analysis</v>
      </c>
      <c r="W1494" s="1">
        <f>IF(Table1[[#This Row],[Cal Type]]&lt;&gt;"ACCREDITED 17025 WITH UNCERTAINTIES",0,"")</f>
        <v>0</v>
      </c>
      <c r="X1494" s="1" t="str">
        <f>IF(Table1[[#This Row],[DUT Read]]="","N/A",Table1[[#This Row],[Std Error]]+Table1[[#This Row],[DUT Read]]+Table1[[#This Row],[DUT Ucty]])</f>
        <v>N/A</v>
      </c>
      <c r="Y1494" s="1" t="str">
        <f>IF(Table1[[#This Row],[Std Read]]="","N/A",Table1[[#This Row],[Std Read]]+Table1[[#This Row],[Std Ucty]])</f>
        <v>N/A</v>
      </c>
      <c r="Z14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4" s="1" t="str">
        <f>IF(Table1[[#This Row],[Spec Type]]="","N/A",Table1[[#This Row],[Spec Type]])</f>
        <v>±</v>
      </c>
      <c r="AC1494" s="1" t="str">
        <f>IF(Table1[[#This Row],[Spec Type2]]="N/A","N/A",IF(AND(Table1[[#This Row],[DUT Adj Read]]&gt;=Table1[[#This Row],[Low Tol]],Table1[[#This Row],[DUT Adj Read]]&lt;=Table1[[#This Row],[High Tol]]),"Pass","Fail"))</f>
        <v>Fail</v>
      </c>
      <c r="AD1494" s="1" t="str">
        <f>IF(AND(Table1[[#This Row],[Spec Type2]]="N/A",Table1[[#This Row],[DUT Adj Read]]="N/A",Table1[[#This Row],[Std Adj Read]]="N/A"),"N/A",IF(Table1[[#This Row],[DUT Adj Read]]="N/A",IF(Table1[[#This Row],[Std Adj Read]]&gt;Table1[[#This Row],[Low Tol]],"Pass","Fail"),IF(Table1[[#This Row],[DUT Adj Read]]&gt;Table1[[#This Row],[Low Tol]],"Pass","Fail")))</f>
        <v>Pass</v>
      </c>
      <c r="AE1494" s="1" t="str">
        <f>IF(AND(Table1[[#This Row],[Spec Type2]]="N/A",Table1[[#This Row],[DUT Adj Read]]="N/A",Table1[[#This Row],[Std Adj Read]]="N/A"),"N/A",IF(Table1[[#This Row],[DUT Adj Read]]="N/A",IF(Table1[[#This Row],[Std Adj Read]]&lt;Table1[[#This Row],[High Tol]],"Pass","Fail"),IF(Table1[[#This Row],[DUT Adj Read]]&lt;Table1[[#This Row],[High Tol]],"Pass","Fail")))</f>
        <v>Fail</v>
      </c>
      <c r="AF1494" s="1" t="str">
        <f>IF(AND(Table1[[#This Row],[Spec Type2]]="N/A",Table1[[#This Row],[DUT Adj Read]]="N/A",Table1[[#This Row],[Std Adj Read]]="N/A"),"N/A",IF(Table1[[#This Row],[DUT Adj Read]]="N/A",IF(Table1[[#This Row],[Std Adj Read]]&gt;=Table1[[#This Row],[Low Tol]],"Pass","Fail"),IF(Table1[[#This Row],[DUT Adj Read]]&gt;=Table1[[#This Row],[Low Tol]],"Pass","Fail")))</f>
        <v>Pass</v>
      </c>
      <c r="AG1494" s="1" t="str">
        <f>IF(AND(Table1[[#This Row],[Spec Type2]]="N/A",Table1[[#This Row],[DUT Adj Read]]="N/A",Table1[[#This Row],[Std Adj Read]]="N/A"),"N/A",IF(Table1[[#This Row],[DUT Adj Read]]="N/A",IF(Table1[[#This Row],[Std Adj Read]]&lt;=Table1[[#This Row],[High Tol]],"Pass","Fail"),IF(Table1[[#This Row],[DUT Adj Read]]&lt;=Table1[[#This Row],[High Tol]],"Pass","Fail")))</f>
        <v>Fail</v>
      </c>
      <c r="AH14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4" s="1" t="b">
        <v>0</v>
      </c>
      <c r="AN1494" s="1" t="b">
        <v>0</v>
      </c>
      <c r="AO1494" s="1" t="b">
        <v>0</v>
      </c>
    </row>
    <row r="1495" spans="1:41" x14ac:dyDescent="0.25">
      <c r="A1495" s="10"/>
      <c r="B1495" s="10"/>
      <c r="C1495" s="10"/>
      <c r="D1495" s="10"/>
      <c r="E1495" s="10"/>
      <c r="F1495" s="10"/>
      <c r="G1495" s="10"/>
      <c r="H1495" s="10"/>
      <c r="I1495" s="1" t="str">
        <f t="shared" si="69"/>
        <v/>
      </c>
      <c r="J1495" s="1" t="s">
        <v>35</v>
      </c>
      <c r="K1495" s="1" t="str">
        <f t="shared" si="70"/>
        <v/>
      </c>
      <c r="L1495" s="1" t="str">
        <f t="shared" si="71"/>
        <v/>
      </c>
      <c r="M1495" s="1">
        <f>IF(OR(Table1[[#This Row],[Std Nom]]="",Table1[[#This Row],[Std Read]]=""),0,Table1[[#This Row],[Std Nom]]-Table1[[#This Row],[Std Read]])</f>
        <v>0</v>
      </c>
      <c r="N1495" s="1">
        <f>IF(Calculations!$F$5="ACCREDITED 17025 WITH UNCERTAINTIES",$N$10,0)</f>
        <v>0</v>
      </c>
      <c r="Q1495" s="1">
        <f>Table1[[#This Row],[High Tol]]-Table1[[#This Row],[Low Tol]]</f>
        <v>0</v>
      </c>
      <c r="R1495" s="1">
        <f>2*Table1[[#This Row],[Std Error]]</f>
        <v>0</v>
      </c>
      <c r="S1495" s="1" t="str">
        <f>IF(Table1[[#This Row],[High Tol]]="","N/A",IFERROR(ABS(Table1[[#This Row],[Tol Span]]/Table1[[#This Row],[Error Span]]),"N/A"))</f>
        <v>N/A</v>
      </c>
      <c r="T1495" s="1" t="str">
        <f>IF(OR(Table1[[#This Row],[Low Tol]]="",Table1[[#This Row],[High Tol]]=""),"Needs Analysis",IF(Table1[[#This Row],[Ratio]]&gt;=4,"Not Significant",IF(Table1[[#This Row],[Ratio]]&gt;=2,"Semi-Significant","Significant")))</f>
        <v>Needs Analysis</v>
      </c>
      <c r="W1495" s="1">
        <f>IF(Table1[[#This Row],[Cal Type]]&lt;&gt;"ACCREDITED 17025 WITH UNCERTAINTIES",0,"")</f>
        <v>0</v>
      </c>
      <c r="X1495" s="1" t="str">
        <f>IF(Table1[[#This Row],[DUT Read]]="","N/A",Table1[[#This Row],[Std Error]]+Table1[[#This Row],[DUT Read]]+Table1[[#This Row],[DUT Ucty]])</f>
        <v>N/A</v>
      </c>
      <c r="Y1495" s="1" t="str">
        <f>IF(Table1[[#This Row],[Std Read]]="","N/A",Table1[[#This Row],[Std Read]]+Table1[[#This Row],[Std Ucty]])</f>
        <v>N/A</v>
      </c>
      <c r="Z14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5" s="1" t="str">
        <f>IF(Table1[[#This Row],[Spec Type]]="","N/A",Table1[[#This Row],[Spec Type]])</f>
        <v>±</v>
      </c>
      <c r="AC1495" s="1" t="str">
        <f>IF(Table1[[#This Row],[Spec Type2]]="N/A","N/A",IF(AND(Table1[[#This Row],[DUT Adj Read]]&gt;=Table1[[#This Row],[Low Tol]],Table1[[#This Row],[DUT Adj Read]]&lt;=Table1[[#This Row],[High Tol]]),"Pass","Fail"))</f>
        <v>Fail</v>
      </c>
      <c r="AD1495" s="1" t="str">
        <f>IF(AND(Table1[[#This Row],[Spec Type2]]="N/A",Table1[[#This Row],[DUT Adj Read]]="N/A",Table1[[#This Row],[Std Adj Read]]="N/A"),"N/A",IF(Table1[[#This Row],[DUT Adj Read]]="N/A",IF(Table1[[#This Row],[Std Adj Read]]&gt;Table1[[#This Row],[Low Tol]],"Pass","Fail"),IF(Table1[[#This Row],[DUT Adj Read]]&gt;Table1[[#This Row],[Low Tol]],"Pass","Fail")))</f>
        <v>Pass</v>
      </c>
      <c r="AE1495" s="1" t="str">
        <f>IF(AND(Table1[[#This Row],[Spec Type2]]="N/A",Table1[[#This Row],[DUT Adj Read]]="N/A",Table1[[#This Row],[Std Adj Read]]="N/A"),"N/A",IF(Table1[[#This Row],[DUT Adj Read]]="N/A",IF(Table1[[#This Row],[Std Adj Read]]&lt;Table1[[#This Row],[High Tol]],"Pass","Fail"),IF(Table1[[#This Row],[DUT Adj Read]]&lt;Table1[[#This Row],[High Tol]],"Pass","Fail")))</f>
        <v>Fail</v>
      </c>
      <c r="AF1495" s="1" t="str">
        <f>IF(AND(Table1[[#This Row],[Spec Type2]]="N/A",Table1[[#This Row],[DUT Adj Read]]="N/A",Table1[[#This Row],[Std Adj Read]]="N/A"),"N/A",IF(Table1[[#This Row],[DUT Adj Read]]="N/A",IF(Table1[[#This Row],[Std Adj Read]]&gt;=Table1[[#This Row],[Low Tol]],"Pass","Fail"),IF(Table1[[#This Row],[DUT Adj Read]]&gt;=Table1[[#This Row],[Low Tol]],"Pass","Fail")))</f>
        <v>Pass</v>
      </c>
      <c r="AG1495" s="1" t="str">
        <f>IF(AND(Table1[[#This Row],[Spec Type2]]="N/A",Table1[[#This Row],[DUT Adj Read]]="N/A",Table1[[#This Row],[Std Adj Read]]="N/A"),"N/A",IF(Table1[[#This Row],[DUT Adj Read]]="N/A",IF(Table1[[#This Row],[Std Adj Read]]&lt;=Table1[[#This Row],[High Tol]],"Pass","Fail"),IF(Table1[[#This Row],[DUT Adj Read]]&lt;=Table1[[#This Row],[High Tol]],"Pass","Fail")))</f>
        <v>Fail</v>
      </c>
      <c r="AH14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5" s="1" t="b">
        <v>0</v>
      </c>
      <c r="AN1495" s="1" t="b">
        <v>0</v>
      </c>
      <c r="AO1495" s="1" t="b">
        <v>0</v>
      </c>
    </row>
    <row r="1496" spans="1:41" x14ac:dyDescent="0.25">
      <c r="A1496" s="10"/>
      <c r="B1496" s="10"/>
      <c r="C1496" s="10"/>
      <c r="D1496" s="10"/>
      <c r="E1496" s="10"/>
      <c r="F1496" s="10"/>
      <c r="G1496" s="10"/>
      <c r="H1496" s="10"/>
      <c r="I1496" s="1" t="str">
        <f t="shared" si="69"/>
        <v/>
      </c>
      <c r="J1496" s="1" t="s">
        <v>35</v>
      </c>
      <c r="K1496" s="1" t="str">
        <f t="shared" si="70"/>
        <v/>
      </c>
      <c r="L1496" s="1" t="str">
        <f t="shared" si="71"/>
        <v/>
      </c>
      <c r="M1496" s="1">
        <f>IF(OR(Table1[[#This Row],[Std Nom]]="",Table1[[#This Row],[Std Read]]=""),0,Table1[[#This Row],[Std Nom]]-Table1[[#This Row],[Std Read]])</f>
        <v>0</v>
      </c>
      <c r="N1496" s="1">
        <f>IF(Calculations!$F$5="ACCREDITED 17025 WITH UNCERTAINTIES",$N$10,0)</f>
        <v>0</v>
      </c>
      <c r="Q1496" s="1">
        <f>Table1[[#This Row],[High Tol]]-Table1[[#This Row],[Low Tol]]</f>
        <v>0</v>
      </c>
      <c r="R1496" s="1">
        <f>2*Table1[[#This Row],[Std Error]]</f>
        <v>0</v>
      </c>
      <c r="S1496" s="1" t="str">
        <f>IF(Table1[[#This Row],[High Tol]]="","N/A",IFERROR(ABS(Table1[[#This Row],[Tol Span]]/Table1[[#This Row],[Error Span]]),"N/A"))</f>
        <v>N/A</v>
      </c>
      <c r="T1496" s="1" t="str">
        <f>IF(OR(Table1[[#This Row],[Low Tol]]="",Table1[[#This Row],[High Tol]]=""),"Needs Analysis",IF(Table1[[#This Row],[Ratio]]&gt;=4,"Not Significant",IF(Table1[[#This Row],[Ratio]]&gt;=2,"Semi-Significant","Significant")))</f>
        <v>Needs Analysis</v>
      </c>
      <c r="W1496" s="1">
        <f>IF(Table1[[#This Row],[Cal Type]]&lt;&gt;"ACCREDITED 17025 WITH UNCERTAINTIES",0,"")</f>
        <v>0</v>
      </c>
      <c r="X1496" s="1" t="str">
        <f>IF(Table1[[#This Row],[DUT Read]]="","N/A",Table1[[#This Row],[Std Error]]+Table1[[#This Row],[DUT Read]]+Table1[[#This Row],[DUT Ucty]])</f>
        <v>N/A</v>
      </c>
      <c r="Y1496" s="1" t="str">
        <f>IF(Table1[[#This Row],[Std Read]]="","N/A",Table1[[#This Row],[Std Read]]+Table1[[#This Row],[Std Ucty]])</f>
        <v>N/A</v>
      </c>
      <c r="Z14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6" s="1" t="str">
        <f>IF(Table1[[#This Row],[Spec Type]]="","N/A",Table1[[#This Row],[Spec Type]])</f>
        <v>±</v>
      </c>
      <c r="AC1496" s="1" t="str">
        <f>IF(Table1[[#This Row],[Spec Type2]]="N/A","N/A",IF(AND(Table1[[#This Row],[DUT Adj Read]]&gt;=Table1[[#This Row],[Low Tol]],Table1[[#This Row],[DUT Adj Read]]&lt;=Table1[[#This Row],[High Tol]]),"Pass","Fail"))</f>
        <v>Fail</v>
      </c>
      <c r="AD1496" s="1" t="str">
        <f>IF(AND(Table1[[#This Row],[Spec Type2]]="N/A",Table1[[#This Row],[DUT Adj Read]]="N/A",Table1[[#This Row],[Std Adj Read]]="N/A"),"N/A",IF(Table1[[#This Row],[DUT Adj Read]]="N/A",IF(Table1[[#This Row],[Std Adj Read]]&gt;Table1[[#This Row],[Low Tol]],"Pass","Fail"),IF(Table1[[#This Row],[DUT Adj Read]]&gt;Table1[[#This Row],[Low Tol]],"Pass","Fail")))</f>
        <v>Pass</v>
      </c>
      <c r="AE1496" s="1" t="str">
        <f>IF(AND(Table1[[#This Row],[Spec Type2]]="N/A",Table1[[#This Row],[DUT Adj Read]]="N/A",Table1[[#This Row],[Std Adj Read]]="N/A"),"N/A",IF(Table1[[#This Row],[DUT Adj Read]]="N/A",IF(Table1[[#This Row],[Std Adj Read]]&lt;Table1[[#This Row],[High Tol]],"Pass","Fail"),IF(Table1[[#This Row],[DUT Adj Read]]&lt;Table1[[#This Row],[High Tol]],"Pass","Fail")))</f>
        <v>Fail</v>
      </c>
      <c r="AF1496" s="1" t="str">
        <f>IF(AND(Table1[[#This Row],[Spec Type2]]="N/A",Table1[[#This Row],[DUT Adj Read]]="N/A",Table1[[#This Row],[Std Adj Read]]="N/A"),"N/A",IF(Table1[[#This Row],[DUT Adj Read]]="N/A",IF(Table1[[#This Row],[Std Adj Read]]&gt;=Table1[[#This Row],[Low Tol]],"Pass","Fail"),IF(Table1[[#This Row],[DUT Adj Read]]&gt;=Table1[[#This Row],[Low Tol]],"Pass","Fail")))</f>
        <v>Pass</v>
      </c>
      <c r="AG1496" s="1" t="str">
        <f>IF(AND(Table1[[#This Row],[Spec Type2]]="N/A",Table1[[#This Row],[DUT Adj Read]]="N/A",Table1[[#This Row],[Std Adj Read]]="N/A"),"N/A",IF(Table1[[#This Row],[DUT Adj Read]]="N/A",IF(Table1[[#This Row],[Std Adj Read]]&lt;=Table1[[#This Row],[High Tol]],"Pass","Fail"),IF(Table1[[#This Row],[DUT Adj Read]]&lt;=Table1[[#This Row],[High Tol]],"Pass","Fail")))</f>
        <v>Fail</v>
      </c>
      <c r="AH14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6" s="1" t="b">
        <v>0</v>
      </c>
      <c r="AN1496" s="1" t="b">
        <v>0</v>
      </c>
      <c r="AO1496" s="1" t="b">
        <v>0</v>
      </c>
    </row>
    <row r="1497" spans="1:41" x14ac:dyDescent="0.25">
      <c r="A1497" s="10"/>
      <c r="B1497" s="10"/>
      <c r="C1497" s="10"/>
      <c r="D1497" s="10"/>
      <c r="E1497" s="10"/>
      <c r="F1497" s="10"/>
      <c r="G1497" s="10"/>
      <c r="H1497" s="10"/>
      <c r="I1497" s="1" t="str">
        <f t="shared" si="69"/>
        <v/>
      </c>
      <c r="J1497" s="1" t="s">
        <v>35</v>
      </c>
      <c r="K1497" s="1" t="str">
        <f t="shared" si="70"/>
        <v/>
      </c>
      <c r="L1497" s="1" t="str">
        <f t="shared" si="71"/>
        <v/>
      </c>
      <c r="M1497" s="1">
        <f>IF(OR(Table1[[#This Row],[Std Nom]]="",Table1[[#This Row],[Std Read]]=""),0,Table1[[#This Row],[Std Nom]]-Table1[[#This Row],[Std Read]])</f>
        <v>0</v>
      </c>
      <c r="N1497" s="1">
        <f>IF(Calculations!$F$5="ACCREDITED 17025 WITH UNCERTAINTIES",$N$10,0)</f>
        <v>0</v>
      </c>
      <c r="Q1497" s="1">
        <f>Table1[[#This Row],[High Tol]]-Table1[[#This Row],[Low Tol]]</f>
        <v>0</v>
      </c>
      <c r="R1497" s="1">
        <f>2*Table1[[#This Row],[Std Error]]</f>
        <v>0</v>
      </c>
      <c r="S1497" s="1" t="str">
        <f>IF(Table1[[#This Row],[High Tol]]="","N/A",IFERROR(ABS(Table1[[#This Row],[Tol Span]]/Table1[[#This Row],[Error Span]]),"N/A"))</f>
        <v>N/A</v>
      </c>
      <c r="T1497" s="1" t="str">
        <f>IF(OR(Table1[[#This Row],[Low Tol]]="",Table1[[#This Row],[High Tol]]=""),"Needs Analysis",IF(Table1[[#This Row],[Ratio]]&gt;=4,"Not Significant",IF(Table1[[#This Row],[Ratio]]&gt;=2,"Semi-Significant","Significant")))</f>
        <v>Needs Analysis</v>
      </c>
      <c r="W1497" s="1">
        <f>IF(Table1[[#This Row],[Cal Type]]&lt;&gt;"ACCREDITED 17025 WITH UNCERTAINTIES",0,"")</f>
        <v>0</v>
      </c>
      <c r="X1497" s="1" t="str">
        <f>IF(Table1[[#This Row],[DUT Read]]="","N/A",Table1[[#This Row],[Std Error]]+Table1[[#This Row],[DUT Read]]+Table1[[#This Row],[DUT Ucty]])</f>
        <v>N/A</v>
      </c>
      <c r="Y1497" s="1" t="str">
        <f>IF(Table1[[#This Row],[Std Read]]="","N/A",Table1[[#This Row],[Std Read]]+Table1[[#This Row],[Std Ucty]])</f>
        <v>N/A</v>
      </c>
      <c r="Z14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7" s="1" t="str">
        <f>IF(Table1[[#This Row],[Spec Type]]="","N/A",Table1[[#This Row],[Spec Type]])</f>
        <v>±</v>
      </c>
      <c r="AC1497" s="1" t="str">
        <f>IF(Table1[[#This Row],[Spec Type2]]="N/A","N/A",IF(AND(Table1[[#This Row],[DUT Adj Read]]&gt;=Table1[[#This Row],[Low Tol]],Table1[[#This Row],[DUT Adj Read]]&lt;=Table1[[#This Row],[High Tol]]),"Pass","Fail"))</f>
        <v>Fail</v>
      </c>
      <c r="AD1497" s="1" t="str">
        <f>IF(AND(Table1[[#This Row],[Spec Type2]]="N/A",Table1[[#This Row],[DUT Adj Read]]="N/A",Table1[[#This Row],[Std Adj Read]]="N/A"),"N/A",IF(Table1[[#This Row],[DUT Adj Read]]="N/A",IF(Table1[[#This Row],[Std Adj Read]]&gt;Table1[[#This Row],[Low Tol]],"Pass","Fail"),IF(Table1[[#This Row],[DUT Adj Read]]&gt;Table1[[#This Row],[Low Tol]],"Pass","Fail")))</f>
        <v>Pass</v>
      </c>
      <c r="AE1497" s="1" t="str">
        <f>IF(AND(Table1[[#This Row],[Spec Type2]]="N/A",Table1[[#This Row],[DUT Adj Read]]="N/A",Table1[[#This Row],[Std Adj Read]]="N/A"),"N/A",IF(Table1[[#This Row],[DUT Adj Read]]="N/A",IF(Table1[[#This Row],[Std Adj Read]]&lt;Table1[[#This Row],[High Tol]],"Pass","Fail"),IF(Table1[[#This Row],[DUT Adj Read]]&lt;Table1[[#This Row],[High Tol]],"Pass","Fail")))</f>
        <v>Fail</v>
      </c>
      <c r="AF1497" s="1" t="str">
        <f>IF(AND(Table1[[#This Row],[Spec Type2]]="N/A",Table1[[#This Row],[DUT Adj Read]]="N/A",Table1[[#This Row],[Std Adj Read]]="N/A"),"N/A",IF(Table1[[#This Row],[DUT Adj Read]]="N/A",IF(Table1[[#This Row],[Std Adj Read]]&gt;=Table1[[#This Row],[Low Tol]],"Pass","Fail"),IF(Table1[[#This Row],[DUT Adj Read]]&gt;=Table1[[#This Row],[Low Tol]],"Pass","Fail")))</f>
        <v>Pass</v>
      </c>
      <c r="AG1497" s="1" t="str">
        <f>IF(AND(Table1[[#This Row],[Spec Type2]]="N/A",Table1[[#This Row],[DUT Adj Read]]="N/A",Table1[[#This Row],[Std Adj Read]]="N/A"),"N/A",IF(Table1[[#This Row],[DUT Adj Read]]="N/A",IF(Table1[[#This Row],[Std Adj Read]]&lt;=Table1[[#This Row],[High Tol]],"Pass","Fail"),IF(Table1[[#This Row],[DUT Adj Read]]&lt;=Table1[[#This Row],[High Tol]],"Pass","Fail")))</f>
        <v>Fail</v>
      </c>
      <c r="AH14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7" s="1" t="b">
        <v>0</v>
      </c>
      <c r="AN1497" s="1" t="b">
        <v>0</v>
      </c>
      <c r="AO1497" s="1" t="b">
        <v>0</v>
      </c>
    </row>
    <row r="1498" spans="1:41" x14ac:dyDescent="0.25">
      <c r="A1498" s="10"/>
      <c r="B1498" s="10"/>
      <c r="C1498" s="10"/>
      <c r="D1498" s="10"/>
      <c r="E1498" s="10"/>
      <c r="F1498" s="10"/>
      <c r="G1498" s="10"/>
      <c r="H1498" s="10"/>
      <c r="I1498" s="1" t="str">
        <f t="shared" si="69"/>
        <v/>
      </c>
      <c r="J1498" s="1" t="s">
        <v>35</v>
      </c>
      <c r="K1498" s="1" t="str">
        <f t="shared" si="70"/>
        <v/>
      </c>
      <c r="L1498" s="1" t="str">
        <f t="shared" si="71"/>
        <v/>
      </c>
      <c r="M1498" s="1">
        <f>IF(OR(Table1[[#This Row],[Std Nom]]="",Table1[[#This Row],[Std Read]]=""),0,Table1[[#This Row],[Std Nom]]-Table1[[#This Row],[Std Read]])</f>
        <v>0</v>
      </c>
      <c r="N1498" s="1">
        <f>IF(Calculations!$F$5="ACCREDITED 17025 WITH UNCERTAINTIES",$N$10,0)</f>
        <v>0</v>
      </c>
      <c r="Q1498" s="1">
        <f>Table1[[#This Row],[High Tol]]-Table1[[#This Row],[Low Tol]]</f>
        <v>0</v>
      </c>
      <c r="R1498" s="1">
        <f>2*Table1[[#This Row],[Std Error]]</f>
        <v>0</v>
      </c>
      <c r="S1498" s="1" t="str">
        <f>IF(Table1[[#This Row],[High Tol]]="","N/A",IFERROR(ABS(Table1[[#This Row],[Tol Span]]/Table1[[#This Row],[Error Span]]),"N/A"))</f>
        <v>N/A</v>
      </c>
      <c r="T1498" s="1" t="str">
        <f>IF(OR(Table1[[#This Row],[Low Tol]]="",Table1[[#This Row],[High Tol]]=""),"Needs Analysis",IF(Table1[[#This Row],[Ratio]]&gt;=4,"Not Significant",IF(Table1[[#This Row],[Ratio]]&gt;=2,"Semi-Significant","Significant")))</f>
        <v>Needs Analysis</v>
      </c>
      <c r="W1498" s="1">
        <f>IF(Table1[[#This Row],[Cal Type]]&lt;&gt;"ACCREDITED 17025 WITH UNCERTAINTIES",0,"")</f>
        <v>0</v>
      </c>
      <c r="X1498" s="1" t="str">
        <f>IF(Table1[[#This Row],[DUT Read]]="","N/A",Table1[[#This Row],[Std Error]]+Table1[[#This Row],[DUT Read]]+Table1[[#This Row],[DUT Ucty]])</f>
        <v>N/A</v>
      </c>
      <c r="Y1498" s="1" t="str">
        <f>IF(Table1[[#This Row],[Std Read]]="","N/A",Table1[[#This Row],[Std Read]]+Table1[[#This Row],[Std Ucty]])</f>
        <v>N/A</v>
      </c>
      <c r="Z14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8" s="1" t="str">
        <f>IF(Table1[[#This Row],[Spec Type]]="","N/A",Table1[[#This Row],[Spec Type]])</f>
        <v>±</v>
      </c>
      <c r="AC1498" s="1" t="str">
        <f>IF(Table1[[#This Row],[Spec Type2]]="N/A","N/A",IF(AND(Table1[[#This Row],[DUT Adj Read]]&gt;=Table1[[#This Row],[Low Tol]],Table1[[#This Row],[DUT Adj Read]]&lt;=Table1[[#This Row],[High Tol]]),"Pass","Fail"))</f>
        <v>Fail</v>
      </c>
      <c r="AD1498" s="1" t="str">
        <f>IF(AND(Table1[[#This Row],[Spec Type2]]="N/A",Table1[[#This Row],[DUT Adj Read]]="N/A",Table1[[#This Row],[Std Adj Read]]="N/A"),"N/A",IF(Table1[[#This Row],[DUT Adj Read]]="N/A",IF(Table1[[#This Row],[Std Adj Read]]&gt;Table1[[#This Row],[Low Tol]],"Pass","Fail"),IF(Table1[[#This Row],[DUT Adj Read]]&gt;Table1[[#This Row],[Low Tol]],"Pass","Fail")))</f>
        <v>Pass</v>
      </c>
      <c r="AE1498" s="1" t="str">
        <f>IF(AND(Table1[[#This Row],[Spec Type2]]="N/A",Table1[[#This Row],[DUT Adj Read]]="N/A",Table1[[#This Row],[Std Adj Read]]="N/A"),"N/A",IF(Table1[[#This Row],[DUT Adj Read]]="N/A",IF(Table1[[#This Row],[Std Adj Read]]&lt;Table1[[#This Row],[High Tol]],"Pass","Fail"),IF(Table1[[#This Row],[DUT Adj Read]]&lt;Table1[[#This Row],[High Tol]],"Pass","Fail")))</f>
        <v>Fail</v>
      </c>
      <c r="AF1498" s="1" t="str">
        <f>IF(AND(Table1[[#This Row],[Spec Type2]]="N/A",Table1[[#This Row],[DUT Adj Read]]="N/A",Table1[[#This Row],[Std Adj Read]]="N/A"),"N/A",IF(Table1[[#This Row],[DUT Adj Read]]="N/A",IF(Table1[[#This Row],[Std Adj Read]]&gt;=Table1[[#This Row],[Low Tol]],"Pass","Fail"),IF(Table1[[#This Row],[DUT Adj Read]]&gt;=Table1[[#This Row],[Low Tol]],"Pass","Fail")))</f>
        <v>Pass</v>
      </c>
      <c r="AG1498" s="1" t="str">
        <f>IF(AND(Table1[[#This Row],[Spec Type2]]="N/A",Table1[[#This Row],[DUT Adj Read]]="N/A",Table1[[#This Row],[Std Adj Read]]="N/A"),"N/A",IF(Table1[[#This Row],[DUT Adj Read]]="N/A",IF(Table1[[#This Row],[Std Adj Read]]&lt;=Table1[[#This Row],[High Tol]],"Pass","Fail"),IF(Table1[[#This Row],[DUT Adj Read]]&lt;=Table1[[#This Row],[High Tol]],"Pass","Fail")))</f>
        <v>Fail</v>
      </c>
      <c r="AH14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8" s="1" t="b">
        <v>0</v>
      </c>
      <c r="AN1498" s="1" t="b">
        <v>0</v>
      </c>
      <c r="AO1498" s="1" t="b">
        <v>0</v>
      </c>
    </row>
    <row r="1499" spans="1:41" x14ac:dyDescent="0.25">
      <c r="A1499" s="10"/>
      <c r="B1499" s="10"/>
      <c r="C1499" s="10"/>
      <c r="D1499" s="10"/>
      <c r="E1499" s="10"/>
      <c r="F1499" s="10"/>
      <c r="G1499" s="10"/>
      <c r="H1499" s="10"/>
      <c r="I1499" s="1" t="str">
        <f t="shared" si="69"/>
        <v/>
      </c>
      <c r="J1499" s="1" t="s">
        <v>35</v>
      </c>
      <c r="K1499" s="1" t="str">
        <f t="shared" si="70"/>
        <v/>
      </c>
      <c r="L1499" s="1" t="str">
        <f t="shared" si="71"/>
        <v/>
      </c>
      <c r="M1499" s="1">
        <f>IF(OR(Table1[[#This Row],[Std Nom]]="",Table1[[#This Row],[Std Read]]=""),0,Table1[[#This Row],[Std Nom]]-Table1[[#This Row],[Std Read]])</f>
        <v>0</v>
      </c>
      <c r="N1499" s="1">
        <f>IF(Calculations!$F$5="ACCREDITED 17025 WITH UNCERTAINTIES",$N$10,0)</f>
        <v>0</v>
      </c>
      <c r="Q1499" s="1">
        <f>Table1[[#This Row],[High Tol]]-Table1[[#This Row],[Low Tol]]</f>
        <v>0</v>
      </c>
      <c r="R1499" s="1">
        <f>2*Table1[[#This Row],[Std Error]]</f>
        <v>0</v>
      </c>
      <c r="S1499" s="1" t="str">
        <f>IF(Table1[[#This Row],[High Tol]]="","N/A",IFERROR(ABS(Table1[[#This Row],[Tol Span]]/Table1[[#This Row],[Error Span]]),"N/A"))</f>
        <v>N/A</v>
      </c>
      <c r="T1499" s="1" t="str">
        <f>IF(OR(Table1[[#This Row],[Low Tol]]="",Table1[[#This Row],[High Tol]]=""),"Needs Analysis",IF(Table1[[#This Row],[Ratio]]&gt;=4,"Not Significant",IF(Table1[[#This Row],[Ratio]]&gt;=2,"Semi-Significant","Significant")))</f>
        <v>Needs Analysis</v>
      </c>
      <c r="W1499" s="1">
        <f>IF(Table1[[#This Row],[Cal Type]]&lt;&gt;"ACCREDITED 17025 WITH UNCERTAINTIES",0,"")</f>
        <v>0</v>
      </c>
      <c r="X1499" s="1" t="str">
        <f>IF(Table1[[#This Row],[DUT Read]]="","N/A",Table1[[#This Row],[Std Error]]+Table1[[#This Row],[DUT Read]]+Table1[[#This Row],[DUT Ucty]])</f>
        <v>N/A</v>
      </c>
      <c r="Y1499" s="1" t="str">
        <f>IF(Table1[[#This Row],[Std Read]]="","N/A",Table1[[#This Row],[Std Read]]+Table1[[#This Row],[Std Ucty]])</f>
        <v>N/A</v>
      </c>
      <c r="Z14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499" s="1" t="str">
        <f>IF(Table1[[#This Row],[Spec Type]]="","N/A",Table1[[#This Row],[Spec Type]])</f>
        <v>±</v>
      </c>
      <c r="AC1499" s="1" t="str">
        <f>IF(Table1[[#This Row],[Spec Type2]]="N/A","N/A",IF(AND(Table1[[#This Row],[DUT Adj Read]]&gt;=Table1[[#This Row],[Low Tol]],Table1[[#This Row],[DUT Adj Read]]&lt;=Table1[[#This Row],[High Tol]]),"Pass","Fail"))</f>
        <v>Fail</v>
      </c>
      <c r="AD1499" s="1" t="str">
        <f>IF(AND(Table1[[#This Row],[Spec Type2]]="N/A",Table1[[#This Row],[DUT Adj Read]]="N/A",Table1[[#This Row],[Std Adj Read]]="N/A"),"N/A",IF(Table1[[#This Row],[DUT Adj Read]]="N/A",IF(Table1[[#This Row],[Std Adj Read]]&gt;Table1[[#This Row],[Low Tol]],"Pass","Fail"),IF(Table1[[#This Row],[DUT Adj Read]]&gt;Table1[[#This Row],[Low Tol]],"Pass","Fail")))</f>
        <v>Pass</v>
      </c>
      <c r="AE1499" s="1" t="str">
        <f>IF(AND(Table1[[#This Row],[Spec Type2]]="N/A",Table1[[#This Row],[DUT Adj Read]]="N/A",Table1[[#This Row],[Std Adj Read]]="N/A"),"N/A",IF(Table1[[#This Row],[DUT Adj Read]]="N/A",IF(Table1[[#This Row],[Std Adj Read]]&lt;Table1[[#This Row],[High Tol]],"Pass","Fail"),IF(Table1[[#This Row],[DUT Adj Read]]&lt;Table1[[#This Row],[High Tol]],"Pass","Fail")))</f>
        <v>Fail</v>
      </c>
      <c r="AF1499" s="1" t="str">
        <f>IF(AND(Table1[[#This Row],[Spec Type2]]="N/A",Table1[[#This Row],[DUT Adj Read]]="N/A",Table1[[#This Row],[Std Adj Read]]="N/A"),"N/A",IF(Table1[[#This Row],[DUT Adj Read]]="N/A",IF(Table1[[#This Row],[Std Adj Read]]&gt;=Table1[[#This Row],[Low Tol]],"Pass","Fail"),IF(Table1[[#This Row],[DUT Adj Read]]&gt;=Table1[[#This Row],[Low Tol]],"Pass","Fail")))</f>
        <v>Pass</v>
      </c>
      <c r="AG1499" s="1" t="str">
        <f>IF(AND(Table1[[#This Row],[Spec Type2]]="N/A",Table1[[#This Row],[DUT Adj Read]]="N/A",Table1[[#This Row],[Std Adj Read]]="N/A"),"N/A",IF(Table1[[#This Row],[DUT Adj Read]]="N/A",IF(Table1[[#This Row],[Std Adj Read]]&lt;=Table1[[#This Row],[High Tol]],"Pass","Fail"),IF(Table1[[#This Row],[DUT Adj Read]]&lt;=Table1[[#This Row],[High Tol]],"Pass","Fail")))</f>
        <v>Fail</v>
      </c>
      <c r="AH14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499" s="1" t="b">
        <v>0</v>
      </c>
      <c r="AN1499" s="1" t="b">
        <v>0</v>
      </c>
      <c r="AO1499" s="1" t="b">
        <v>0</v>
      </c>
    </row>
    <row r="1500" spans="1:41" x14ac:dyDescent="0.25">
      <c r="A1500" s="10"/>
      <c r="B1500" s="10"/>
      <c r="C1500" s="10"/>
      <c r="D1500" s="10"/>
      <c r="E1500" s="10"/>
      <c r="F1500" s="10"/>
      <c r="G1500" s="10"/>
      <c r="H1500" s="10"/>
      <c r="I1500" s="1" t="str">
        <f t="shared" si="69"/>
        <v/>
      </c>
      <c r="J1500" s="1" t="s">
        <v>35</v>
      </c>
      <c r="K1500" s="1" t="str">
        <f t="shared" si="70"/>
        <v/>
      </c>
      <c r="L1500" s="1" t="str">
        <f t="shared" si="71"/>
        <v/>
      </c>
      <c r="M1500" s="1">
        <f>IF(OR(Table1[[#This Row],[Std Nom]]="",Table1[[#This Row],[Std Read]]=""),0,Table1[[#This Row],[Std Nom]]-Table1[[#This Row],[Std Read]])</f>
        <v>0</v>
      </c>
      <c r="N1500" s="1">
        <f>IF(Calculations!$F$5="ACCREDITED 17025 WITH UNCERTAINTIES",$N$10,0)</f>
        <v>0</v>
      </c>
      <c r="Q1500" s="1">
        <f>Table1[[#This Row],[High Tol]]-Table1[[#This Row],[Low Tol]]</f>
        <v>0</v>
      </c>
      <c r="R1500" s="1">
        <f>2*Table1[[#This Row],[Std Error]]</f>
        <v>0</v>
      </c>
      <c r="S1500" s="1" t="str">
        <f>IF(Table1[[#This Row],[High Tol]]="","N/A",IFERROR(ABS(Table1[[#This Row],[Tol Span]]/Table1[[#This Row],[Error Span]]),"N/A"))</f>
        <v>N/A</v>
      </c>
      <c r="T1500" s="1" t="str">
        <f>IF(OR(Table1[[#This Row],[Low Tol]]="",Table1[[#This Row],[High Tol]]=""),"Needs Analysis",IF(Table1[[#This Row],[Ratio]]&gt;=4,"Not Significant",IF(Table1[[#This Row],[Ratio]]&gt;=2,"Semi-Significant","Significant")))</f>
        <v>Needs Analysis</v>
      </c>
      <c r="W1500" s="1">
        <f>IF(Table1[[#This Row],[Cal Type]]&lt;&gt;"ACCREDITED 17025 WITH UNCERTAINTIES",0,"")</f>
        <v>0</v>
      </c>
      <c r="X1500" s="1" t="str">
        <f>IF(Table1[[#This Row],[DUT Read]]="","N/A",Table1[[#This Row],[Std Error]]+Table1[[#This Row],[DUT Read]]+Table1[[#This Row],[DUT Ucty]])</f>
        <v>N/A</v>
      </c>
      <c r="Y1500" s="1" t="str">
        <f>IF(Table1[[#This Row],[Std Read]]="","N/A",Table1[[#This Row],[Std Read]]+Table1[[#This Row],[Std Ucty]])</f>
        <v>N/A</v>
      </c>
      <c r="Z15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0" s="1" t="str">
        <f>IF(Table1[[#This Row],[Spec Type]]="","N/A",Table1[[#This Row],[Spec Type]])</f>
        <v>±</v>
      </c>
      <c r="AC1500" s="1" t="str">
        <f>IF(Table1[[#This Row],[Spec Type2]]="N/A","N/A",IF(AND(Table1[[#This Row],[DUT Adj Read]]&gt;=Table1[[#This Row],[Low Tol]],Table1[[#This Row],[DUT Adj Read]]&lt;=Table1[[#This Row],[High Tol]]),"Pass","Fail"))</f>
        <v>Fail</v>
      </c>
      <c r="AD1500" s="1" t="str">
        <f>IF(AND(Table1[[#This Row],[Spec Type2]]="N/A",Table1[[#This Row],[DUT Adj Read]]="N/A",Table1[[#This Row],[Std Adj Read]]="N/A"),"N/A",IF(Table1[[#This Row],[DUT Adj Read]]="N/A",IF(Table1[[#This Row],[Std Adj Read]]&gt;Table1[[#This Row],[Low Tol]],"Pass","Fail"),IF(Table1[[#This Row],[DUT Adj Read]]&gt;Table1[[#This Row],[Low Tol]],"Pass","Fail")))</f>
        <v>Pass</v>
      </c>
      <c r="AE1500" s="1" t="str">
        <f>IF(AND(Table1[[#This Row],[Spec Type2]]="N/A",Table1[[#This Row],[DUT Adj Read]]="N/A",Table1[[#This Row],[Std Adj Read]]="N/A"),"N/A",IF(Table1[[#This Row],[DUT Adj Read]]="N/A",IF(Table1[[#This Row],[Std Adj Read]]&lt;Table1[[#This Row],[High Tol]],"Pass","Fail"),IF(Table1[[#This Row],[DUT Adj Read]]&lt;Table1[[#This Row],[High Tol]],"Pass","Fail")))</f>
        <v>Fail</v>
      </c>
      <c r="AF1500" s="1" t="str">
        <f>IF(AND(Table1[[#This Row],[Spec Type2]]="N/A",Table1[[#This Row],[DUT Adj Read]]="N/A",Table1[[#This Row],[Std Adj Read]]="N/A"),"N/A",IF(Table1[[#This Row],[DUT Adj Read]]="N/A",IF(Table1[[#This Row],[Std Adj Read]]&gt;=Table1[[#This Row],[Low Tol]],"Pass","Fail"),IF(Table1[[#This Row],[DUT Adj Read]]&gt;=Table1[[#This Row],[Low Tol]],"Pass","Fail")))</f>
        <v>Pass</v>
      </c>
      <c r="AG1500" s="1" t="str">
        <f>IF(AND(Table1[[#This Row],[Spec Type2]]="N/A",Table1[[#This Row],[DUT Adj Read]]="N/A",Table1[[#This Row],[Std Adj Read]]="N/A"),"N/A",IF(Table1[[#This Row],[DUT Adj Read]]="N/A",IF(Table1[[#This Row],[Std Adj Read]]&lt;=Table1[[#This Row],[High Tol]],"Pass","Fail"),IF(Table1[[#This Row],[DUT Adj Read]]&lt;=Table1[[#This Row],[High Tol]],"Pass","Fail")))</f>
        <v>Fail</v>
      </c>
      <c r="AH15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0" s="1" t="b">
        <v>0</v>
      </c>
      <c r="AN1500" s="1" t="b">
        <v>0</v>
      </c>
      <c r="AO1500" s="1" t="b">
        <v>0</v>
      </c>
    </row>
    <row r="1501" spans="1:41" x14ac:dyDescent="0.25">
      <c r="A1501" s="10"/>
      <c r="B1501" s="10"/>
      <c r="C1501" s="10"/>
      <c r="D1501" s="10"/>
      <c r="E1501" s="10"/>
      <c r="F1501" s="10"/>
      <c r="G1501" s="10"/>
      <c r="H1501" s="10"/>
      <c r="I1501" s="1" t="str">
        <f t="shared" si="69"/>
        <v/>
      </c>
      <c r="J1501" s="1" t="s">
        <v>35</v>
      </c>
      <c r="K1501" s="1" t="str">
        <f t="shared" si="70"/>
        <v/>
      </c>
      <c r="L1501" s="1" t="str">
        <f t="shared" si="71"/>
        <v/>
      </c>
      <c r="M1501" s="1">
        <f>IF(OR(Table1[[#This Row],[Std Nom]]="",Table1[[#This Row],[Std Read]]=""),0,Table1[[#This Row],[Std Nom]]-Table1[[#This Row],[Std Read]])</f>
        <v>0</v>
      </c>
      <c r="N1501" s="1">
        <f>IF(Calculations!$F$5="ACCREDITED 17025 WITH UNCERTAINTIES",$N$10,0)</f>
        <v>0</v>
      </c>
      <c r="Q1501" s="1">
        <f>Table1[[#This Row],[High Tol]]-Table1[[#This Row],[Low Tol]]</f>
        <v>0</v>
      </c>
      <c r="R1501" s="1">
        <f>2*Table1[[#This Row],[Std Error]]</f>
        <v>0</v>
      </c>
      <c r="S1501" s="1" t="str">
        <f>IF(Table1[[#This Row],[High Tol]]="","N/A",IFERROR(ABS(Table1[[#This Row],[Tol Span]]/Table1[[#This Row],[Error Span]]),"N/A"))</f>
        <v>N/A</v>
      </c>
      <c r="T1501" s="1" t="str">
        <f>IF(OR(Table1[[#This Row],[Low Tol]]="",Table1[[#This Row],[High Tol]]=""),"Needs Analysis",IF(Table1[[#This Row],[Ratio]]&gt;=4,"Not Significant",IF(Table1[[#This Row],[Ratio]]&gt;=2,"Semi-Significant","Significant")))</f>
        <v>Needs Analysis</v>
      </c>
      <c r="W1501" s="1">
        <f>IF(Table1[[#This Row],[Cal Type]]&lt;&gt;"ACCREDITED 17025 WITH UNCERTAINTIES",0,"")</f>
        <v>0</v>
      </c>
      <c r="X1501" s="1" t="str">
        <f>IF(Table1[[#This Row],[DUT Read]]="","N/A",Table1[[#This Row],[Std Error]]+Table1[[#This Row],[DUT Read]]+Table1[[#This Row],[DUT Ucty]])</f>
        <v>N/A</v>
      </c>
      <c r="Y1501" s="1" t="str">
        <f>IF(Table1[[#This Row],[Std Read]]="","N/A",Table1[[#This Row],[Std Read]]+Table1[[#This Row],[Std Ucty]])</f>
        <v>N/A</v>
      </c>
      <c r="Z15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1" s="1" t="str">
        <f>IF(Table1[[#This Row],[Spec Type]]="","N/A",Table1[[#This Row],[Spec Type]])</f>
        <v>±</v>
      </c>
      <c r="AC1501" s="1" t="str">
        <f>IF(Table1[[#This Row],[Spec Type2]]="N/A","N/A",IF(AND(Table1[[#This Row],[DUT Adj Read]]&gt;=Table1[[#This Row],[Low Tol]],Table1[[#This Row],[DUT Adj Read]]&lt;=Table1[[#This Row],[High Tol]]),"Pass","Fail"))</f>
        <v>Fail</v>
      </c>
      <c r="AD1501" s="1" t="str">
        <f>IF(AND(Table1[[#This Row],[Spec Type2]]="N/A",Table1[[#This Row],[DUT Adj Read]]="N/A",Table1[[#This Row],[Std Adj Read]]="N/A"),"N/A",IF(Table1[[#This Row],[DUT Adj Read]]="N/A",IF(Table1[[#This Row],[Std Adj Read]]&gt;Table1[[#This Row],[Low Tol]],"Pass","Fail"),IF(Table1[[#This Row],[DUT Adj Read]]&gt;Table1[[#This Row],[Low Tol]],"Pass","Fail")))</f>
        <v>Pass</v>
      </c>
      <c r="AE1501" s="1" t="str">
        <f>IF(AND(Table1[[#This Row],[Spec Type2]]="N/A",Table1[[#This Row],[DUT Adj Read]]="N/A",Table1[[#This Row],[Std Adj Read]]="N/A"),"N/A",IF(Table1[[#This Row],[DUT Adj Read]]="N/A",IF(Table1[[#This Row],[Std Adj Read]]&lt;Table1[[#This Row],[High Tol]],"Pass","Fail"),IF(Table1[[#This Row],[DUT Adj Read]]&lt;Table1[[#This Row],[High Tol]],"Pass","Fail")))</f>
        <v>Fail</v>
      </c>
      <c r="AF1501" s="1" t="str">
        <f>IF(AND(Table1[[#This Row],[Spec Type2]]="N/A",Table1[[#This Row],[DUT Adj Read]]="N/A",Table1[[#This Row],[Std Adj Read]]="N/A"),"N/A",IF(Table1[[#This Row],[DUT Adj Read]]="N/A",IF(Table1[[#This Row],[Std Adj Read]]&gt;=Table1[[#This Row],[Low Tol]],"Pass","Fail"),IF(Table1[[#This Row],[DUT Adj Read]]&gt;=Table1[[#This Row],[Low Tol]],"Pass","Fail")))</f>
        <v>Pass</v>
      </c>
      <c r="AG1501" s="1" t="str">
        <f>IF(AND(Table1[[#This Row],[Spec Type2]]="N/A",Table1[[#This Row],[DUT Adj Read]]="N/A",Table1[[#This Row],[Std Adj Read]]="N/A"),"N/A",IF(Table1[[#This Row],[DUT Adj Read]]="N/A",IF(Table1[[#This Row],[Std Adj Read]]&lt;=Table1[[#This Row],[High Tol]],"Pass","Fail"),IF(Table1[[#This Row],[DUT Adj Read]]&lt;=Table1[[#This Row],[High Tol]],"Pass","Fail")))</f>
        <v>Fail</v>
      </c>
      <c r="AH15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1" s="1" t="b">
        <v>0</v>
      </c>
      <c r="AN1501" s="1" t="b">
        <v>0</v>
      </c>
      <c r="AO1501" s="1" t="b">
        <v>0</v>
      </c>
    </row>
    <row r="1502" spans="1:41" x14ac:dyDescent="0.25">
      <c r="A1502" s="10"/>
      <c r="B1502" s="10"/>
      <c r="C1502" s="10"/>
      <c r="D1502" s="10"/>
      <c r="E1502" s="10"/>
      <c r="F1502" s="10"/>
      <c r="G1502" s="10"/>
      <c r="H1502" s="10"/>
      <c r="I1502" s="1" t="str">
        <f t="shared" si="69"/>
        <v/>
      </c>
      <c r="J1502" s="1" t="s">
        <v>35</v>
      </c>
      <c r="K1502" s="1" t="str">
        <f t="shared" si="70"/>
        <v/>
      </c>
      <c r="L1502" s="1" t="str">
        <f t="shared" si="71"/>
        <v/>
      </c>
      <c r="M1502" s="1">
        <f>IF(OR(Table1[[#This Row],[Std Nom]]="",Table1[[#This Row],[Std Read]]=""),0,Table1[[#This Row],[Std Nom]]-Table1[[#This Row],[Std Read]])</f>
        <v>0</v>
      </c>
      <c r="N1502" s="1">
        <f>IF(Calculations!$F$5="ACCREDITED 17025 WITH UNCERTAINTIES",$N$10,0)</f>
        <v>0</v>
      </c>
      <c r="Q1502" s="1">
        <f>Table1[[#This Row],[High Tol]]-Table1[[#This Row],[Low Tol]]</f>
        <v>0</v>
      </c>
      <c r="R1502" s="1">
        <f>2*Table1[[#This Row],[Std Error]]</f>
        <v>0</v>
      </c>
      <c r="S1502" s="1" t="str">
        <f>IF(Table1[[#This Row],[High Tol]]="","N/A",IFERROR(ABS(Table1[[#This Row],[Tol Span]]/Table1[[#This Row],[Error Span]]),"N/A"))</f>
        <v>N/A</v>
      </c>
      <c r="T1502" s="1" t="str">
        <f>IF(OR(Table1[[#This Row],[Low Tol]]="",Table1[[#This Row],[High Tol]]=""),"Needs Analysis",IF(Table1[[#This Row],[Ratio]]&gt;=4,"Not Significant",IF(Table1[[#This Row],[Ratio]]&gt;=2,"Semi-Significant","Significant")))</f>
        <v>Needs Analysis</v>
      </c>
      <c r="W1502" s="1">
        <f>IF(Table1[[#This Row],[Cal Type]]&lt;&gt;"ACCREDITED 17025 WITH UNCERTAINTIES",0,"")</f>
        <v>0</v>
      </c>
      <c r="X1502" s="1" t="str">
        <f>IF(Table1[[#This Row],[DUT Read]]="","N/A",Table1[[#This Row],[Std Error]]+Table1[[#This Row],[DUT Read]]+Table1[[#This Row],[DUT Ucty]])</f>
        <v>N/A</v>
      </c>
      <c r="Y1502" s="1" t="str">
        <f>IF(Table1[[#This Row],[Std Read]]="","N/A",Table1[[#This Row],[Std Read]]+Table1[[#This Row],[Std Ucty]])</f>
        <v>N/A</v>
      </c>
      <c r="Z15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2" s="1" t="str">
        <f>IF(Table1[[#This Row],[Spec Type]]="","N/A",Table1[[#This Row],[Spec Type]])</f>
        <v>±</v>
      </c>
      <c r="AC1502" s="1" t="str">
        <f>IF(Table1[[#This Row],[Spec Type2]]="N/A","N/A",IF(AND(Table1[[#This Row],[DUT Adj Read]]&gt;=Table1[[#This Row],[Low Tol]],Table1[[#This Row],[DUT Adj Read]]&lt;=Table1[[#This Row],[High Tol]]),"Pass","Fail"))</f>
        <v>Fail</v>
      </c>
      <c r="AD1502" s="1" t="str">
        <f>IF(AND(Table1[[#This Row],[Spec Type2]]="N/A",Table1[[#This Row],[DUT Adj Read]]="N/A",Table1[[#This Row],[Std Adj Read]]="N/A"),"N/A",IF(Table1[[#This Row],[DUT Adj Read]]="N/A",IF(Table1[[#This Row],[Std Adj Read]]&gt;Table1[[#This Row],[Low Tol]],"Pass","Fail"),IF(Table1[[#This Row],[DUT Adj Read]]&gt;Table1[[#This Row],[Low Tol]],"Pass","Fail")))</f>
        <v>Pass</v>
      </c>
      <c r="AE1502" s="1" t="str">
        <f>IF(AND(Table1[[#This Row],[Spec Type2]]="N/A",Table1[[#This Row],[DUT Adj Read]]="N/A",Table1[[#This Row],[Std Adj Read]]="N/A"),"N/A",IF(Table1[[#This Row],[DUT Adj Read]]="N/A",IF(Table1[[#This Row],[Std Adj Read]]&lt;Table1[[#This Row],[High Tol]],"Pass","Fail"),IF(Table1[[#This Row],[DUT Adj Read]]&lt;Table1[[#This Row],[High Tol]],"Pass","Fail")))</f>
        <v>Fail</v>
      </c>
      <c r="AF1502" s="1" t="str">
        <f>IF(AND(Table1[[#This Row],[Spec Type2]]="N/A",Table1[[#This Row],[DUT Adj Read]]="N/A",Table1[[#This Row],[Std Adj Read]]="N/A"),"N/A",IF(Table1[[#This Row],[DUT Adj Read]]="N/A",IF(Table1[[#This Row],[Std Adj Read]]&gt;=Table1[[#This Row],[Low Tol]],"Pass","Fail"),IF(Table1[[#This Row],[DUT Adj Read]]&gt;=Table1[[#This Row],[Low Tol]],"Pass","Fail")))</f>
        <v>Pass</v>
      </c>
      <c r="AG1502" s="1" t="str">
        <f>IF(AND(Table1[[#This Row],[Spec Type2]]="N/A",Table1[[#This Row],[DUT Adj Read]]="N/A",Table1[[#This Row],[Std Adj Read]]="N/A"),"N/A",IF(Table1[[#This Row],[DUT Adj Read]]="N/A",IF(Table1[[#This Row],[Std Adj Read]]&lt;=Table1[[#This Row],[High Tol]],"Pass","Fail"),IF(Table1[[#This Row],[DUT Adj Read]]&lt;=Table1[[#This Row],[High Tol]],"Pass","Fail")))</f>
        <v>Fail</v>
      </c>
      <c r="AH15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2" s="1" t="b">
        <v>0</v>
      </c>
      <c r="AN1502" s="1" t="b">
        <v>0</v>
      </c>
      <c r="AO1502" s="1" t="b">
        <v>0</v>
      </c>
    </row>
    <row r="1503" spans="1:41" x14ac:dyDescent="0.25">
      <c r="A1503" s="10"/>
      <c r="B1503" s="10"/>
      <c r="C1503" s="10"/>
      <c r="D1503" s="10"/>
      <c r="E1503" s="10"/>
      <c r="F1503" s="10"/>
      <c r="G1503" s="10"/>
      <c r="H1503" s="10"/>
      <c r="I1503" s="1" t="str">
        <f t="shared" si="69"/>
        <v/>
      </c>
      <c r="J1503" s="1" t="s">
        <v>35</v>
      </c>
      <c r="K1503" s="1" t="str">
        <f t="shared" si="70"/>
        <v/>
      </c>
      <c r="L1503" s="1" t="str">
        <f t="shared" si="71"/>
        <v/>
      </c>
      <c r="M1503" s="1">
        <f>IF(OR(Table1[[#This Row],[Std Nom]]="",Table1[[#This Row],[Std Read]]=""),0,Table1[[#This Row],[Std Nom]]-Table1[[#This Row],[Std Read]])</f>
        <v>0</v>
      </c>
      <c r="N1503" s="1">
        <f>IF(Calculations!$F$5="ACCREDITED 17025 WITH UNCERTAINTIES",$N$10,0)</f>
        <v>0</v>
      </c>
      <c r="Q1503" s="1">
        <f>Table1[[#This Row],[High Tol]]-Table1[[#This Row],[Low Tol]]</f>
        <v>0</v>
      </c>
      <c r="R1503" s="1">
        <f>2*Table1[[#This Row],[Std Error]]</f>
        <v>0</v>
      </c>
      <c r="S1503" s="1" t="str">
        <f>IF(Table1[[#This Row],[High Tol]]="","N/A",IFERROR(ABS(Table1[[#This Row],[Tol Span]]/Table1[[#This Row],[Error Span]]),"N/A"))</f>
        <v>N/A</v>
      </c>
      <c r="T1503" s="1" t="str">
        <f>IF(OR(Table1[[#This Row],[Low Tol]]="",Table1[[#This Row],[High Tol]]=""),"Needs Analysis",IF(Table1[[#This Row],[Ratio]]&gt;=4,"Not Significant",IF(Table1[[#This Row],[Ratio]]&gt;=2,"Semi-Significant","Significant")))</f>
        <v>Needs Analysis</v>
      </c>
      <c r="W1503" s="1">
        <f>IF(Table1[[#This Row],[Cal Type]]&lt;&gt;"ACCREDITED 17025 WITH UNCERTAINTIES",0,"")</f>
        <v>0</v>
      </c>
      <c r="X1503" s="1" t="str">
        <f>IF(Table1[[#This Row],[DUT Read]]="","N/A",Table1[[#This Row],[Std Error]]+Table1[[#This Row],[DUT Read]]+Table1[[#This Row],[DUT Ucty]])</f>
        <v>N/A</v>
      </c>
      <c r="Y1503" s="1" t="str">
        <f>IF(Table1[[#This Row],[Std Read]]="","N/A",Table1[[#This Row],[Std Read]]+Table1[[#This Row],[Std Ucty]])</f>
        <v>N/A</v>
      </c>
      <c r="Z15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3" s="1" t="str">
        <f>IF(Table1[[#This Row],[Spec Type]]="","N/A",Table1[[#This Row],[Spec Type]])</f>
        <v>±</v>
      </c>
      <c r="AC1503" s="1" t="str">
        <f>IF(Table1[[#This Row],[Spec Type2]]="N/A","N/A",IF(AND(Table1[[#This Row],[DUT Adj Read]]&gt;=Table1[[#This Row],[Low Tol]],Table1[[#This Row],[DUT Adj Read]]&lt;=Table1[[#This Row],[High Tol]]),"Pass","Fail"))</f>
        <v>Fail</v>
      </c>
      <c r="AD1503" s="1" t="str">
        <f>IF(AND(Table1[[#This Row],[Spec Type2]]="N/A",Table1[[#This Row],[DUT Adj Read]]="N/A",Table1[[#This Row],[Std Adj Read]]="N/A"),"N/A",IF(Table1[[#This Row],[DUT Adj Read]]="N/A",IF(Table1[[#This Row],[Std Adj Read]]&gt;Table1[[#This Row],[Low Tol]],"Pass","Fail"),IF(Table1[[#This Row],[DUT Adj Read]]&gt;Table1[[#This Row],[Low Tol]],"Pass","Fail")))</f>
        <v>Pass</v>
      </c>
      <c r="AE1503" s="1" t="str">
        <f>IF(AND(Table1[[#This Row],[Spec Type2]]="N/A",Table1[[#This Row],[DUT Adj Read]]="N/A",Table1[[#This Row],[Std Adj Read]]="N/A"),"N/A",IF(Table1[[#This Row],[DUT Adj Read]]="N/A",IF(Table1[[#This Row],[Std Adj Read]]&lt;Table1[[#This Row],[High Tol]],"Pass","Fail"),IF(Table1[[#This Row],[DUT Adj Read]]&lt;Table1[[#This Row],[High Tol]],"Pass","Fail")))</f>
        <v>Fail</v>
      </c>
      <c r="AF1503" s="1" t="str">
        <f>IF(AND(Table1[[#This Row],[Spec Type2]]="N/A",Table1[[#This Row],[DUT Adj Read]]="N/A",Table1[[#This Row],[Std Adj Read]]="N/A"),"N/A",IF(Table1[[#This Row],[DUT Adj Read]]="N/A",IF(Table1[[#This Row],[Std Adj Read]]&gt;=Table1[[#This Row],[Low Tol]],"Pass","Fail"),IF(Table1[[#This Row],[DUT Adj Read]]&gt;=Table1[[#This Row],[Low Tol]],"Pass","Fail")))</f>
        <v>Pass</v>
      </c>
      <c r="AG1503" s="1" t="str">
        <f>IF(AND(Table1[[#This Row],[Spec Type2]]="N/A",Table1[[#This Row],[DUT Adj Read]]="N/A",Table1[[#This Row],[Std Adj Read]]="N/A"),"N/A",IF(Table1[[#This Row],[DUT Adj Read]]="N/A",IF(Table1[[#This Row],[Std Adj Read]]&lt;=Table1[[#This Row],[High Tol]],"Pass","Fail"),IF(Table1[[#This Row],[DUT Adj Read]]&lt;=Table1[[#This Row],[High Tol]],"Pass","Fail")))</f>
        <v>Fail</v>
      </c>
      <c r="AH15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3" s="1" t="b">
        <v>0</v>
      </c>
      <c r="AN1503" s="1" t="b">
        <v>0</v>
      </c>
      <c r="AO1503" s="1" t="b">
        <v>0</v>
      </c>
    </row>
    <row r="1504" spans="1:41" x14ac:dyDescent="0.25">
      <c r="A1504" s="10"/>
      <c r="B1504" s="10"/>
      <c r="C1504" s="10"/>
      <c r="D1504" s="10"/>
      <c r="E1504" s="10"/>
      <c r="F1504" s="10"/>
      <c r="G1504" s="10"/>
      <c r="H1504" s="10"/>
      <c r="I1504" s="1" t="str">
        <f t="shared" si="69"/>
        <v/>
      </c>
      <c r="J1504" s="1" t="s">
        <v>35</v>
      </c>
      <c r="K1504" s="1" t="str">
        <f t="shared" si="70"/>
        <v/>
      </c>
      <c r="L1504" s="1" t="str">
        <f t="shared" si="71"/>
        <v/>
      </c>
      <c r="M1504" s="1">
        <f>IF(OR(Table1[[#This Row],[Std Nom]]="",Table1[[#This Row],[Std Read]]=""),0,Table1[[#This Row],[Std Nom]]-Table1[[#This Row],[Std Read]])</f>
        <v>0</v>
      </c>
      <c r="N1504" s="1">
        <f>IF(Calculations!$F$5="ACCREDITED 17025 WITH UNCERTAINTIES",$N$10,0)</f>
        <v>0</v>
      </c>
      <c r="Q1504" s="1">
        <f>Table1[[#This Row],[High Tol]]-Table1[[#This Row],[Low Tol]]</f>
        <v>0</v>
      </c>
      <c r="R1504" s="1">
        <f>2*Table1[[#This Row],[Std Error]]</f>
        <v>0</v>
      </c>
      <c r="S1504" s="1" t="str">
        <f>IF(Table1[[#This Row],[High Tol]]="","N/A",IFERROR(ABS(Table1[[#This Row],[Tol Span]]/Table1[[#This Row],[Error Span]]),"N/A"))</f>
        <v>N/A</v>
      </c>
      <c r="T1504" s="1" t="str">
        <f>IF(OR(Table1[[#This Row],[Low Tol]]="",Table1[[#This Row],[High Tol]]=""),"Needs Analysis",IF(Table1[[#This Row],[Ratio]]&gt;=4,"Not Significant",IF(Table1[[#This Row],[Ratio]]&gt;=2,"Semi-Significant","Significant")))</f>
        <v>Needs Analysis</v>
      </c>
      <c r="W1504" s="1">
        <f>IF(Table1[[#This Row],[Cal Type]]&lt;&gt;"ACCREDITED 17025 WITH UNCERTAINTIES",0,"")</f>
        <v>0</v>
      </c>
      <c r="X1504" s="1" t="str">
        <f>IF(Table1[[#This Row],[DUT Read]]="","N/A",Table1[[#This Row],[Std Error]]+Table1[[#This Row],[DUT Read]]+Table1[[#This Row],[DUT Ucty]])</f>
        <v>N/A</v>
      </c>
      <c r="Y1504" s="1" t="str">
        <f>IF(Table1[[#This Row],[Std Read]]="","N/A",Table1[[#This Row],[Std Read]]+Table1[[#This Row],[Std Ucty]])</f>
        <v>N/A</v>
      </c>
      <c r="Z15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4" s="1" t="str">
        <f>IF(Table1[[#This Row],[Spec Type]]="","N/A",Table1[[#This Row],[Spec Type]])</f>
        <v>±</v>
      </c>
      <c r="AC1504" s="1" t="str">
        <f>IF(Table1[[#This Row],[Spec Type2]]="N/A","N/A",IF(AND(Table1[[#This Row],[DUT Adj Read]]&gt;=Table1[[#This Row],[Low Tol]],Table1[[#This Row],[DUT Adj Read]]&lt;=Table1[[#This Row],[High Tol]]),"Pass","Fail"))</f>
        <v>Fail</v>
      </c>
      <c r="AD1504" s="1" t="str">
        <f>IF(AND(Table1[[#This Row],[Spec Type2]]="N/A",Table1[[#This Row],[DUT Adj Read]]="N/A",Table1[[#This Row],[Std Adj Read]]="N/A"),"N/A",IF(Table1[[#This Row],[DUT Adj Read]]="N/A",IF(Table1[[#This Row],[Std Adj Read]]&gt;Table1[[#This Row],[Low Tol]],"Pass","Fail"),IF(Table1[[#This Row],[DUT Adj Read]]&gt;Table1[[#This Row],[Low Tol]],"Pass","Fail")))</f>
        <v>Pass</v>
      </c>
      <c r="AE1504" s="1" t="str">
        <f>IF(AND(Table1[[#This Row],[Spec Type2]]="N/A",Table1[[#This Row],[DUT Adj Read]]="N/A",Table1[[#This Row],[Std Adj Read]]="N/A"),"N/A",IF(Table1[[#This Row],[DUT Adj Read]]="N/A",IF(Table1[[#This Row],[Std Adj Read]]&lt;Table1[[#This Row],[High Tol]],"Pass","Fail"),IF(Table1[[#This Row],[DUT Adj Read]]&lt;Table1[[#This Row],[High Tol]],"Pass","Fail")))</f>
        <v>Fail</v>
      </c>
      <c r="AF1504" s="1" t="str">
        <f>IF(AND(Table1[[#This Row],[Spec Type2]]="N/A",Table1[[#This Row],[DUT Adj Read]]="N/A",Table1[[#This Row],[Std Adj Read]]="N/A"),"N/A",IF(Table1[[#This Row],[DUT Adj Read]]="N/A",IF(Table1[[#This Row],[Std Adj Read]]&gt;=Table1[[#This Row],[Low Tol]],"Pass","Fail"),IF(Table1[[#This Row],[DUT Adj Read]]&gt;=Table1[[#This Row],[Low Tol]],"Pass","Fail")))</f>
        <v>Pass</v>
      </c>
      <c r="AG1504" s="1" t="str">
        <f>IF(AND(Table1[[#This Row],[Spec Type2]]="N/A",Table1[[#This Row],[DUT Adj Read]]="N/A",Table1[[#This Row],[Std Adj Read]]="N/A"),"N/A",IF(Table1[[#This Row],[DUT Adj Read]]="N/A",IF(Table1[[#This Row],[Std Adj Read]]&lt;=Table1[[#This Row],[High Tol]],"Pass","Fail"),IF(Table1[[#This Row],[DUT Adj Read]]&lt;=Table1[[#This Row],[High Tol]],"Pass","Fail")))</f>
        <v>Fail</v>
      </c>
      <c r="AH15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4" s="1" t="b">
        <v>0</v>
      </c>
      <c r="AN1504" s="1" t="b">
        <v>0</v>
      </c>
      <c r="AO1504" s="1" t="b">
        <v>0</v>
      </c>
    </row>
    <row r="1505" spans="1:41" x14ac:dyDescent="0.25">
      <c r="A1505" s="10"/>
      <c r="B1505" s="10"/>
      <c r="C1505" s="10"/>
      <c r="D1505" s="10"/>
      <c r="E1505" s="10"/>
      <c r="F1505" s="10"/>
      <c r="G1505" s="10"/>
      <c r="H1505" s="10"/>
      <c r="I1505" s="1" t="str">
        <f t="shared" si="69"/>
        <v/>
      </c>
      <c r="J1505" s="1" t="s">
        <v>35</v>
      </c>
      <c r="K1505" s="1" t="str">
        <f t="shared" si="70"/>
        <v/>
      </c>
      <c r="L1505" s="1" t="str">
        <f t="shared" si="71"/>
        <v/>
      </c>
      <c r="M1505" s="1">
        <f>IF(OR(Table1[[#This Row],[Std Nom]]="",Table1[[#This Row],[Std Read]]=""),0,Table1[[#This Row],[Std Nom]]-Table1[[#This Row],[Std Read]])</f>
        <v>0</v>
      </c>
      <c r="N1505" s="1">
        <f>IF(Calculations!$F$5="ACCREDITED 17025 WITH UNCERTAINTIES",$N$10,0)</f>
        <v>0</v>
      </c>
      <c r="Q1505" s="1">
        <f>Table1[[#This Row],[High Tol]]-Table1[[#This Row],[Low Tol]]</f>
        <v>0</v>
      </c>
      <c r="R1505" s="1">
        <f>2*Table1[[#This Row],[Std Error]]</f>
        <v>0</v>
      </c>
      <c r="S1505" s="1" t="str">
        <f>IF(Table1[[#This Row],[High Tol]]="","N/A",IFERROR(ABS(Table1[[#This Row],[Tol Span]]/Table1[[#This Row],[Error Span]]),"N/A"))</f>
        <v>N/A</v>
      </c>
      <c r="T1505" s="1" t="str">
        <f>IF(OR(Table1[[#This Row],[Low Tol]]="",Table1[[#This Row],[High Tol]]=""),"Needs Analysis",IF(Table1[[#This Row],[Ratio]]&gt;=4,"Not Significant",IF(Table1[[#This Row],[Ratio]]&gt;=2,"Semi-Significant","Significant")))</f>
        <v>Needs Analysis</v>
      </c>
      <c r="W1505" s="1">
        <f>IF(Table1[[#This Row],[Cal Type]]&lt;&gt;"ACCREDITED 17025 WITH UNCERTAINTIES",0,"")</f>
        <v>0</v>
      </c>
      <c r="X1505" s="1" t="str">
        <f>IF(Table1[[#This Row],[DUT Read]]="","N/A",Table1[[#This Row],[Std Error]]+Table1[[#This Row],[DUT Read]]+Table1[[#This Row],[DUT Ucty]])</f>
        <v>N/A</v>
      </c>
      <c r="Y1505" s="1" t="str">
        <f>IF(Table1[[#This Row],[Std Read]]="","N/A",Table1[[#This Row],[Std Read]]+Table1[[#This Row],[Std Ucty]])</f>
        <v>N/A</v>
      </c>
      <c r="Z15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5" s="1" t="str">
        <f>IF(Table1[[#This Row],[Spec Type]]="","N/A",Table1[[#This Row],[Spec Type]])</f>
        <v>±</v>
      </c>
      <c r="AC1505" s="1" t="str">
        <f>IF(Table1[[#This Row],[Spec Type2]]="N/A","N/A",IF(AND(Table1[[#This Row],[DUT Adj Read]]&gt;=Table1[[#This Row],[Low Tol]],Table1[[#This Row],[DUT Adj Read]]&lt;=Table1[[#This Row],[High Tol]]),"Pass","Fail"))</f>
        <v>Fail</v>
      </c>
      <c r="AD1505" s="1" t="str">
        <f>IF(AND(Table1[[#This Row],[Spec Type2]]="N/A",Table1[[#This Row],[DUT Adj Read]]="N/A",Table1[[#This Row],[Std Adj Read]]="N/A"),"N/A",IF(Table1[[#This Row],[DUT Adj Read]]="N/A",IF(Table1[[#This Row],[Std Adj Read]]&gt;Table1[[#This Row],[Low Tol]],"Pass","Fail"),IF(Table1[[#This Row],[DUT Adj Read]]&gt;Table1[[#This Row],[Low Tol]],"Pass","Fail")))</f>
        <v>Pass</v>
      </c>
      <c r="AE1505" s="1" t="str">
        <f>IF(AND(Table1[[#This Row],[Spec Type2]]="N/A",Table1[[#This Row],[DUT Adj Read]]="N/A",Table1[[#This Row],[Std Adj Read]]="N/A"),"N/A",IF(Table1[[#This Row],[DUT Adj Read]]="N/A",IF(Table1[[#This Row],[Std Adj Read]]&lt;Table1[[#This Row],[High Tol]],"Pass","Fail"),IF(Table1[[#This Row],[DUT Adj Read]]&lt;Table1[[#This Row],[High Tol]],"Pass","Fail")))</f>
        <v>Fail</v>
      </c>
      <c r="AF1505" s="1" t="str">
        <f>IF(AND(Table1[[#This Row],[Spec Type2]]="N/A",Table1[[#This Row],[DUT Adj Read]]="N/A",Table1[[#This Row],[Std Adj Read]]="N/A"),"N/A",IF(Table1[[#This Row],[DUT Adj Read]]="N/A",IF(Table1[[#This Row],[Std Adj Read]]&gt;=Table1[[#This Row],[Low Tol]],"Pass","Fail"),IF(Table1[[#This Row],[DUT Adj Read]]&gt;=Table1[[#This Row],[Low Tol]],"Pass","Fail")))</f>
        <v>Pass</v>
      </c>
      <c r="AG1505" s="1" t="str">
        <f>IF(AND(Table1[[#This Row],[Spec Type2]]="N/A",Table1[[#This Row],[DUT Adj Read]]="N/A",Table1[[#This Row],[Std Adj Read]]="N/A"),"N/A",IF(Table1[[#This Row],[DUT Adj Read]]="N/A",IF(Table1[[#This Row],[Std Adj Read]]&lt;=Table1[[#This Row],[High Tol]],"Pass","Fail"),IF(Table1[[#This Row],[DUT Adj Read]]&lt;=Table1[[#This Row],[High Tol]],"Pass","Fail")))</f>
        <v>Fail</v>
      </c>
      <c r="AH15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5" s="1" t="b">
        <v>0</v>
      </c>
      <c r="AN1505" s="1" t="b">
        <v>0</v>
      </c>
      <c r="AO1505" s="1" t="b">
        <v>0</v>
      </c>
    </row>
    <row r="1506" spans="1:41" x14ac:dyDescent="0.25">
      <c r="A1506" s="10"/>
      <c r="B1506" s="10"/>
      <c r="C1506" s="10"/>
      <c r="D1506" s="10"/>
      <c r="E1506" s="10"/>
      <c r="F1506" s="10"/>
      <c r="G1506" s="10"/>
      <c r="H1506" s="10"/>
      <c r="I1506" s="1" t="str">
        <f t="shared" si="69"/>
        <v/>
      </c>
      <c r="J1506" s="1" t="s">
        <v>35</v>
      </c>
      <c r="K1506" s="1" t="str">
        <f t="shared" si="70"/>
        <v/>
      </c>
      <c r="L1506" s="1" t="str">
        <f t="shared" si="71"/>
        <v/>
      </c>
      <c r="M1506" s="1">
        <f>IF(OR(Table1[[#This Row],[Std Nom]]="",Table1[[#This Row],[Std Read]]=""),0,Table1[[#This Row],[Std Nom]]-Table1[[#This Row],[Std Read]])</f>
        <v>0</v>
      </c>
      <c r="N1506" s="1">
        <f>IF(Calculations!$F$5="ACCREDITED 17025 WITH UNCERTAINTIES",$N$10,0)</f>
        <v>0</v>
      </c>
      <c r="Q1506" s="1">
        <f>Table1[[#This Row],[High Tol]]-Table1[[#This Row],[Low Tol]]</f>
        <v>0</v>
      </c>
      <c r="R1506" s="1">
        <f>2*Table1[[#This Row],[Std Error]]</f>
        <v>0</v>
      </c>
      <c r="S1506" s="1" t="str">
        <f>IF(Table1[[#This Row],[High Tol]]="","N/A",IFERROR(ABS(Table1[[#This Row],[Tol Span]]/Table1[[#This Row],[Error Span]]),"N/A"))</f>
        <v>N/A</v>
      </c>
      <c r="T1506" s="1" t="str">
        <f>IF(OR(Table1[[#This Row],[Low Tol]]="",Table1[[#This Row],[High Tol]]=""),"Needs Analysis",IF(Table1[[#This Row],[Ratio]]&gt;=4,"Not Significant",IF(Table1[[#This Row],[Ratio]]&gt;=2,"Semi-Significant","Significant")))</f>
        <v>Needs Analysis</v>
      </c>
      <c r="W1506" s="1">
        <f>IF(Table1[[#This Row],[Cal Type]]&lt;&gt;"ACCREDITED 17025 WITH UNCERTAINTIES",0,"")</f>
        <v>0</v>
      </c>
      <c r="X1506" s="1" t="str">
        <f>IF(Table1[[#This Row],[DUT Read]]="","N/A",Table1[[#This Row],[Std Error]]+Table1[[#This Row],[DUT Read]]+Table1[[#This Row],[DUT Ucty]])</f>
        <v>N/A</v>
      </c>
      <c r="Y1506" s="1" t="str">
        <f>IF(Table1[[#This Row],[Std Read]]="","N/A",Table1[[#This Row],[Std Read]]+Table1[[#This Row],[Std Ucty]])</f>
        <v>N/A</v>
      </c>
      <c r="Z15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6" s="1" t="str">
        <f>IF(Table1[[#This Row],[Spec Type]]="","N/A",Table1[[#This Row],[Spec Type]])</f>
        <v>±</v>
      </c>
      <c r="AC1506" s="1" t="str">
        <f>IF(Table1[[#This Row],[Spec Type2]]="N/A","N/A",IF(AND(Table1[[#This Row],[DUT Adj Read]]&gt;=Table1[[#This Row],[Low Tol]],Table1[[#This Row],[DUT Adj Read]]&lt;=Table1[[#This Row],[High Tol]]),"Pass","Fail"))</f>
        <v>Fail</v>
      </c>
      <c r="AD1506" s="1" t="str">
        <f>IF(AND(Table1[[#This Row],[Spec Type2]]="N/A",Table1[[#This Row],[DUT Adj Read]]="N/A",Table1[[#This Row],[Std Adj Read]]="N/A"),"N/A",IF(Table1[[#This Row],[DUT Adj Read]]="N/A",IF(Table1[[#This Row],[Std Adj Read]]&gt;Table1[[#This Row],[Low Tol]],"Pass","Fail"),IF(Table1[[#This Row],[DUT Adj Read]]&gt;Table1[[#This Row],[Low Tol]],"Pass","Fail")))</f>
        <v>Pass</v>
      </c>
      <c r="AE1506" s="1" t="str">
        <f>IF(AND(Table1[[#This Row],[Spec Type2]]="N/A",Table1[[#This Row],[DUT Adj Read]]="N/A",Table1[[#This Row],[Std Adj Read]]="N/A"),"N/A",IF(Table1[[#This Row],[DUT Adj Read]]="N/A",IF(Table1[[#This Row],[Std Adj Read]]&lt;Table1[[#This Row],[High Tol]],"Pass","Fail"),IF(Table1[[#This Row],[DUT Adj Read]]&lt;Table1[[#This Row],[High Tol]],"Pass","Fail")))</f>
        <v>Fail</v>
      </c>
      <c r="AF1506" s="1" t="str">
        <f>IF(AND(Table1[[#This Row],[Spec Type2]]="N/A",Table1[[#This Row],[DUT Adj Read]]="N/A",Table1[[#This Row],[Std Adj Read]]="N/A"),"N/A",IF(Table1[[#This Row],[DUT Adj Read]]="N/A",IF(Table1[[#This Row],[Std Adj Read]]&gt;=Table1[[#This Row],[Low Tol]],"Pass","Fail"),IF(Table1[[#This Row],[DUT Adj Read]]&gt;=Table1[[#This Row],[Low Tol]],"Pass","Fail")))</f>
        <v>Pass</v>
      </c>
      <c r="AG1506" s="1" t="str">
        <f>IF(AND(Table1[[#This Row],[Spec Type2]]="N/A",Table1[[#This Row],[DUT Adj Read]]="N/A",Table1[[#This Row],[Std Adj Read]]="N/A"),"N/A",IF(Table1[[#This Row],[DUT Adj Read]]="N/A",IF(Table1[[#This Row],[Std Adj Read]]&lt;=Table1[[#This Row],[High Tol]],"Pass","Fail"),IF(Table1[[#This Row],[DUT Adj Read]]&lt;=Table1[[#This Row],[High Tol]],"Pass","Fail")))</f>
        <v>Fail</v>
      </c>
      <c r="AH15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6" s="1" t="b">
        <v>0</v>
      </c>
      <c r="AN1506" s="1" t="b">
        <v>0</v>
      </c>
      <c r="AO1506" s="1" t="b">
        <v>0</v>
      </c>
    </row>
    <row r="1507" spans="1:41" x14ac:dyDescent="0.25">
      <c r="A1507" s="10"/>
      <c r="B1507" s="10"/>
      <c r="C1507" s="10"/>
      <c r="D1507" s="10"/>
      <c r="E1507" s="10"/>
      <c r="F1507" s="10"/>
      <c r="G1507" s="10"/>
      <c r="H1507" s="10"/>
      <c r="I1507" s="1" t="str">
        <f t="shared" si="69"/>
        <v/>
      </c>
      <c r="J1507" s="1" t="s">
        <v>35</v>
      </c>
      <c r="K1507" s="1" t="str">
        <f t="shared" si="70"/>
        <v/>
      </c>
      <c r="L1507" s="1" t="str">
        <f t="shared" si="71"/>
        <v/>
      </c>
      <c r="M1507" s="1">
        <f>IF(OR(Table1[[#This Row],[Std Nom]]="",Table1[[#This Row],[Std Read]]=""),0,Table1[[#This Row],[Std Nom]]-Table1[[#This Row],[Std Read]])</f>
        <v>0</v>
      </c>
      <c r="N1507" s="1">
        <f>IF(Calculations!$F$5="ACCREDITED 17025 WITH UNCERTAINTIES",$N$10,0)</f>
        <v>0</v>
      </c>
      <c r="Q1507" s="1">
        <f>Table1[[#This Row],[High Tol]]-Table1[[#This Row],[Low Tol]]</f>
        <v>0</v>
      </c>
      <c r="R1507" s="1">
        <f>2*Table1[[#This Row],[Std Error]]</f>
        <v>0</v>
      </c>
      <c r="S1507" s="1" t="str">
        <f>IF(Table1[[#This Row],[High Tol]]="","N/A",IFERROR(ABS(Table1[[#This Row],[Tol Span]]/Table1[[#This Row],[Error Span]]),"N/A"))</f>
        <v>N/A</v>
      </c>
      <c r="T1507" s="1" t="str">
        <f>IF(OR(Table1[[#This Row],[Low Tol]]="",Table1[[#This Row],[High Tol]]=""),"Needs Analysis",IF(Table1[[#This Row],[Ratio]]&gt;=4,"Not Significant",IF(Table1[[#This Row],[Ratio]]&gt;=2,"Semi-Significant","Significant")))</f>
        <v>Needs Analysis</v>
      </c>
      <c r="W1507" s="1">
        <f>IF(Table1[[#This Row],[Cal Type]]&lt;&gt;"ACCREDITED 17025 WITH UNCERTAINTIES",0,"")</f>
        <v>0</v>
      </c>
      <c r="X1507" s="1" t="str">
        <f>IF(Table1[[#This Row],[DUT Read]]="","N/A",Table1[[#This Row],[Std Error]]+Table1[[#This Row],[DUT Read]]+Table1[[#This Row],[DUT Ucty]])</f>
        <v>N/A</v>
      </c>
      <c r="Y1507" s="1" t="str">
        <f>IF(Table1[[#This Row],[Std Read]]="","N/A",Table1[[#This Row],[Std Read]]+Table1[[#This Row],[Std Ucty]])</f>
        <v>N/A</v>
      </c>
      <c r="Z15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7" s="1" t="str">
        <f>IF(Table1[[#This Row],[Spec Type]]="","N/A",Table1[[#This Row],[Spec Type]])</f>
        <v>±</v>
      </c>
      <c r="AC1507" s="1" t="str">
        <f>IF(Table1[[#This Row],[Spec Type2]]="N/A","N/A",IF(AND(Table1[[#This Row],[DUT Adj Read]]&gt;=Table1[[#This Row],[Low Tol]],Table1[[#This Row],[DUT Adj Read]]&lt;=Table1[[#This Row],[High Tol]]),"Pass","Fail"))</f>
        <v>Fail</v>
      </c>
      <c r="AD1507" s="1" t="str">
        <f>IF(AND(Table1[[#This Row],[Spec Type2]]="N/A",Table1[[#This Row],[DUT Adj Read]]="N/A",Table1[[#This Row],[Std Adj Read]]="N/A"),"N/A",IF(Table1[[#This Row],[DUT Adj Read]]="N/A",IF(Table1[[#This Row],[Std Adj Read]]&gt;Table1[[#This Row],[Low Tol]],"Pass","Fail"),IF(Table1[[#This Row],[DUT Adj Read]]&gt;Table1[[#This Row],[Low Tol]],"Pass","Fail")))</f>
        <v>Pass</v>
      </c>
      <c r="AE1507" s="1" t="str">
        <f>IF(AND(Table1[[#This Row],[Spec Type2]]="N/A",Table1[[#This Row],[DUT Adj Read]]="N/A",Table1[[#This Row],[Std Adj Read]]="N/A"),"N/A",IF(Table1[[#This Row],[DUT Adj Read]]="N/A",IF(Table1[[#This Row],[Std Adj Read]]&lt;Table1[[#This Row],[High Tol]],"Pass","Fail"),IF(Table1[[#This Row],[DUT Adj Read]]&lt;Table1[[#This Row],[High Tol]],"Pass","Fail")))</f>
        <v>Fail</v>
      </c>
      <c r="AF1507" s="1" t="str">
        <f>IF(AND(Table1[[#This Row],[Spec Type2]]="N/A",Table1[[#This Row],[DUT Adj Read]]="N/A",Table1[[#This Row],[Std Adj Read]]="N/A"),"N/A",IF(Table1[[#This Row],[DUT Adj Read]]="N/A",IF(Table1[[#This Row],[Std Adj Read]]&gt;=Table1[[#This Row],[Low Tol]],"Pass","Fail"),IF(Table1[[#This Row],[DUT Adj Read]]&gt;=Table1[[#This Row],[Low Tol]],"Pass","Fail")))</f>
        <v>Pass</v>
      </c>
      <c r="AG1507" s="1" t="str">
        <f>IF(AND(Table1[[#This Row],[Spec Type2]]="N/A",Table1[[#This Row],[DUT Adj Read]]="N/A",Table1[[#This Row],[Std Adj Read]]="N/A"),"N/A",IF(Table1[[#This Row],[DUT Adj Read]]="N/A",IF(Table1[[#This Row],[Std Adj Read]]&lt;=Table1[[#This Row],[High Tol]],"Pass","Fail"),IF(Table1[[#This Row],[DUT Adj Read]]&lt;=Table1[[#This Row],[High Tol]],"Pass","Fail")))</f>
        <v>Fail</v>
      </c>
      <c r="AH15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7" s="1" t="b">
        <v>0</v>
      </c>
      <c r="AN1507" s="1" t="b">
        <v>0</v>
      </c>
      <c r="AO1507" s="1" t="b">
        <v>0</v>
      </c>
    </row>
    <row r="1508" spans="1:41" x14ac:dyDescent="0.25">
      <c r="A1508" s="10"/>
      <c r="B1508" s="10"/>
      <c r="C1508" s="10"/>
      <c r="D1508" s="10"/>
      <c r="E1508" s="10"/>
      <c r="F1508" s="10"/>
      <c r="G1508" s="10"/>
      <c r="H1508" s="10"/>
      <c r="I1508" s="1" t="str">
        <f t="shared" si="69"/>
        <v/>
      </c>
      <c r="J1508" s="1" t="s">
        <v>35</v>
      </c>
      <c r="K1508" s="1" t="str">
        <f t="shared" si="70"/>
        <v/>
      </c>
      <c r="L1508" s="1" t="str">
        <f t="shared" si="71"/>
        <v/>
      </c>
      <c r="M1508" s="1">
        <f>IF(OR(Table1[[#This Row],[Std Nom]]="",Table1[[#This Row],[Std Read]]=""),0,Table1[[#This Row],[Std Nom]]-Table1[[#This Row],[Std Read]])</f>
        <v>0</v>
      </c>
      <c r="N1508" s="1">
        <f>IF(Calculations!$F$5="ACCREDITED 17025 WITH UNCERTAINTIES",$N$10,0)</f>
        <v>0</v>
      </c>
      <c r="Q1508" s="1">
        <f>Table1[[#This Row],[High Tol]]-Table1[[#This Row],[Low Tol]]</f>
        <v>0</v>
      </c>
      <c r="R1508" s="1">
        <f>2*Table1[[#This Row],[Std Error]]</f>
        <v>0</v>
      </c>
      <c r="S1508" s="1" t="str">
        <f>IF(Table1[[#This Row],[High Tol]]="","N/A",IFERROR(ABS(Table1[[#This Row],[Tol Span]]/Table1[[#This Row],[Error Span]]),"N/A"))</f>
        <v>N/A</v>
      </c>
      <c r="T1508" s="1" t="str">
        <f>IF(OR(Table1[[#This Row],[Low Tol]]="",Table1[[#This Row],[High Tol]]=""),"Needs Analysis",IF(Table1[[#This Row],[Ratio]]&gt;=4,"Not Significant",IF(Table1[[#This Row],[Ratio]]&gt;=2,"Semi-Significant","Significant")))</f>
        <v>Needs Analysis</v>
      </c>
      <c r="W1508" s="1">
        <f>IF(Table1[[#This Row],[Cal Type]]&lt;&gt;"ACCREDITED 17025 WITH UNCERTAINTIES",0,"")</f>
        <v>0</v>
      </c>
      <c r="X1508" s="1" t="str">
        <f>IF(Table1[[#This Row],[DUT Read]]="","N/A",Table1[[#This Row],[Std Error]]+Table1[[#This Row],[DUT Read]]+Table1[[#This Row],[DUT Ucty]])</f>
        <v>N/A</v>
      </c>
      <c r="Y1508" s="1" t="str">
        <f>IF(Table1[[#This Row],[Std Read]]="","N/A",Table1[[#This Row],[Std Read]]+Table1[[#This Row],[Std Ucty]])</f>
        <v>N/A</v>
      </c>
      <c r="Z15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8" s="1" t="str">
        <f>IF(Table1[[#This Row],[Spec Type]]="","N/A",Table1[[#This Row],[Spec Type]])</f>
        <v>±</v>
      </c>
      <c r="AC1508" s="1" t="str">
        <f>IF(Table1[[#This Row],[Spec Type2]]="N/A","N/A",IF(AND(Table1[[#This Row],[DUT Adj Read]]&gt;=Table1[[#This Row],[Low Tol]],Table1[[#This Row],[DUT Adj Read]]&lt;=Table1[[#This Row],[High Tol]]),"Pass","Fail"))</f>
        <v>Fail</v>
      </c>
      <c r="AD1508" s="1" t="str">
        <f>IF(AND(Table1[[#This Row],[Spec Type2]]="N/A",Table1[[#This Row],[DUT Adj Read]]="N/A",Table1[[#This Row],[Std Adj Read]]="N/A"),"N/A",IF(Table1[[#This Row],[DUT Adj Read]]="N/A",IF(Table1[[#This Row],[Std Adj Read]]&gt;Table1[[#This Row],[Low Tol]],"Pass","Fail"),IF(Table1[[#This Row],[DUT Adj Read]]&gt;Table1[[#This Row],[Low Tol]],"Pass","Fail")))</f>
        <v>Pass</v>
      </c>
      <c r="AE1508" s="1" t="str">
        <f>IF(AND(Table1[[#This Row],[Spec Type2]]="N/A",Table1[[#This Row],[DUT Adj Read]]="N/A",Table1[[#This Row],[Std Adj Read]]="N/A"),"N/A",IF(Table1[[#This Row],[DUT Adj Read]]="N/A",IF(Table1[[#This Row],[Std Adj Read]]&lt;Table1[[#This Row],[High Tol]],"Pass","Fail"),IF(Table1[[#This Row],[DUT Adj Read]]&lt;Table1[[#This Row],[High Tol]],"Pass","Fail")))</f>
        <v>Fail</v>
      </c>
      <c r="AF1508" s="1" t="str">
        <f>IF(AND(Table1[[#This Row],[Spec Type2]]="N/A",Table1[[#This Row],[DUT Adj Read]]="N/A",Table1[[#This Row],[Std Adj Read]]="N/A"),"N/A",IF(Table1[[#This Row],[DUT Adj Read]]="N/A",IF(Table1[[#This Row],[Std Adj Read]]&gt;=Table1[[#This Row],[Low Tol]],"Pass","Fail"),IF(Table1[[#This Row],[DUT Adj Read]]&gt;=Table1[[#This Row],[Low Tol]],"Pass","Fail")))</f>
        <v>Pass</v>
      </c>
      <c r="AG1508" s="1" t="str">
        <f>IF(AND(Table1[[#This Row],[Spec Type2]]="N/A",Table1[[#This Row],[DUT Adj Read]]="N/A",Table1[[#This Row],[Std Adj Read]]="N/A"),"N/A",IF(Table1[[#This Row],[DUT Adj Read]]="N/A",IF(Table1[[#This Row],[Std Adj Read]]&lt;=Table1[[#This Row],[High Tol]],"Pass","Fail"),IF(Table1[[#This Row],[DUT Adj Read]]&lt;=Table1[[#This Row],[High Tol]],"Pass","Fail")))</f>
        <v>Fail</v>
      </c>
      <c r="AH15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8" s="1" t="b">
        <v>0</v>
      </c>
      <c r="AN1508" s="1" t="b">
        <v>0</v>
      </c>
      <c r="AO1508" s="1" t="b">
        <v>0</v>
      </c>
    </row>
    <row r="1509" spans="1:41" x14ac:dyDescent="0.25">
      <c r="A1509" s="10"/>
      <c r="B1509" s="10"/>
      <c r="C1509" s="10"/>
      <c r="D1509" s="10"/>
      <c r="E1509" s="10"/>
      <c r="F1509" s="10"/>
      <c r="G1509" s="10"/>
      <c r="H1509" s="10"/>
      <c r="I1509" s="1" t="str">
        <f t="shared" si="69"/>
        <v/>
      </c>
      <c r="J1509" s="1" t="s">
        <v>35</v>
      </c>
      <c r="K1509" s="1" t="str">
        <f t="shared" si="70"/>
        <v/>
      </c>
      <c r="L1509" s="1" t="str">
        <f t="shared" si="71"/>
        <v/>
      </c>
      <c r="M1509" s="1">
        <f>IF(OR(Table1[[#This Row],[Std Nom]]="",Table1[[#This Row],[Std Read]]=""),0,Table1[[#This Row],[Std Nom]]-Table1[[#This Row],[Std Read]])</f>
        <v>0</v>
      </c>
      <c r="N1509" s="1">
        <f>IF(Calculations!$F$5="ACCREDITED 17025 WITH UNCERTAINTIES",$N$10,0)</f>
        <v>0</v>
      </c>
      <c r="Q1509" s="1">
        <f>Table1[[#This Row],[High Tol]]-Table1[[#This Row],[Low Tol]]</f>
        <v>0</v>
      </c>
      <c r="R1509" s="1">
        <f>2*Table1[[#This Row],[Std Error]]</f>
        <v>0</v>
      </c>
      <c r="S1509" s="1" t="str">
        <f>IF(Table1[[#This Row],[High Tol]]="","N/A",IFERROR(ABS(Table1[[#This Row],[Tol Span]]/Table1[[#This Row],[Error Span]]),"N/A"))</f>
        <v>N/A</v>
      </c>
      <c r="T1509" s="1" t="str">
        <f>IF(OR(Table1[[#This Row],[Low Tol]]="",Table1[[#This Row],[High Tol]]=""),"Needs Analysis",IF(Table1[[#This Row],[Ratio]]&gt;=4,"Not Significant",IF(Table1[[#This Row],[Ratio]]&gt;=2,"Semi-Significant","Significant")))</f>
        <v>Needs Analysis</v>
      </c>
      <c r="W1509" s="1">
        <f>IF(Table1[[#This Row],[Cal Type]]&lt;&gt;"ACCREDITED 17025 WITH UNCERTAINTIES",0,"")</f>
        <v>0</v>
      </c>
      <c r="X1509" s="1" t="str">
        <f>IF(Table1[[#This Row],[DUT Read]]="","N/A",Table1[[#This Row],[Std Error]]+Table1[[#This Row],[DUT Read]]+Table1[[#This Row],[DUT Ucty]])</f>
        <v>N/A</v>
      </c>
      <c r="Y1509" s="1" t="str">
        <f>IF(Table1[[#This Row],[Std Read]]="","N/A",Table1[[#This Row],[Std Read]]+Table1[[#This Row],[Std Ucty]])</f>
        <v>N/A</v>
      </c>
      <c r="Z15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09" s="1" t="str">
        <f>IF(Table1[[#This Row],[Spec Type]]="","N/A",Table1[[#This Row],[Spec Type]])</f>
        <v>±</v>
      </c>
      <c r="AC1509" s="1" t="str">
        <f>IF(Table1[[#This Row],[Spec Type2]]="N/A","N/A",IF(AND(Table1[[#This Row],[DUT Adj Read]]&gt;=Table1[[#This Row],[Low Tol]],Table1[[#This Row],[DUT Adj Read]]&lt;=Table1[[#This Row],[High Tol]]),"Pass","Fail"))</f>
        <v>Fail</v>
      </c>
      <c r="AD1509" s="1" t="str">
        <f>IF(AND(Table1[[#This Row],[Spec Type2]]="N/A",Table1[[#This Row],[DUT Adj Read]]="N/A",Table1[[#This Row],[Std Adj Read]]="N/A"),"N/A",IF(Table1[[#This Row],[DUT Adj Read]]="N/A",IF(Table1[[#This Row],[Std Adj Read]]&gt;Table1[[#This Row],[Low Tol]],"Pass","Fail"),IF(Table1[[#This Row],[DUT Adj Read]]&gt;Table1[[#This Row],[Low Tol]],"Pass","Fail")))</f>
        <v>Pass</v>
      </c>
      <c r="AE1509" s="1" t="str">
        <f>IF(AND(Table1[[#This Row],[Spec Type2]]="N/A",Table1[[#This Row],[DUT Adj Read]]="N/A",Table1[[#This Row],[Std Adj Read]]="N/A"),"N/A",IF(Table1[[#This Row],[DUT Adj Read]]="N/A",IF(Table1[[#This Row],[Std Adj Read]]&lt;Table1[[#This Row],[High Tol]],"Pass","Fail"),IF(Table1[[#This Row],[DUT Adj Read]]&lt;Table1[[#This Row],[High Tol]],"Pass","Fail")))</f>
        <v>Fail</v>
      </c>
      <c r="AF1509" s="1" t="str">
        <f>IF(AND(Table1[[#This Row],[Spec Type2]]="N/A",Table1[[#This Row],[DUT Adj Read]]="N/A",Table1[[#This Row],[Std Adj Read]]="N/A"),"N/A",IF(Table1[[#This Row],[DUT Adj Read]]="N/A",IF(Table1[[#This Row],[Std Adj Read]]&gt;=Table1[[#This Row],[Low Tol]],"Pass","Fail"),IF(Table1[[#This Row],[DUT Adj Read]]&gt;=Table1[[#This Row],[Low Tol]],"Pass","Fail")))</f>
        <v>Pass</v>
      </c>
      <c r="AG1509" s="1" t="str">
        <f>IF(AND(Table1[[#This Row],[Spec Type2]]="N/A",Table1[[#This Row],[DUT Adj Read]]="N/A",Table1[[#This Row],[Std Adj Read]]="N/A"),"N/A",IF(Table1[[#This Row],[DUT Adj Read]]="N/A",IF(Table1[[#This Row],[Std Adj Read]]&lt;=Table1[[#This Row],[High Tol]],"Pass","Fail"),IF(Table1[[#This Row],[DUT Adj Read]]&lt;=Table1[[#This Row],[High Tol]],"Pass","Fail")))</f>
        <v>Fail</v>
      </c>
      <c r="AH15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09" s="1" t="b">
        <v>0</v>
      </c>
      <c r="AN1509" s="1" t="b">
        <v>0</v>
      </c>
      <c r="AO1509" s="1" t="b">
        <v>0</v>
      </c>
    </row>
    <row r="1510" spans="1:41" x14ac:dyDescent="0.25">
      <c r="A1510" s="10"/>
      <c r="B1510" s="10"/>
      <c r="C1510" s="10"/>
      <c r="D1510" s="10"/>
      <c r="E1510" s="10"/>
      <c r="F1510" s="10"/>
      <c r="G1510" s="10"/>
      <c r="H1510" s="10"/>
      <c r="I1510" s="1" t="str">
        <f t="shared" si="69"/>
        <v/>
      </c>
      <c r="J1510" s="1" t="s">
        <v>35</v>
      </c>
      <c r="K1510" s="1" t="str">
        <f t="shared" si="70"/>
        <v/>
      </c>
      <c r="L1510" s="1" t="str">
        <f t="shared" si="71"/>
        <v/>
      </c>
      <c r="M1510" s="1">
        <f>IF(OR(Table1[[#This Row],[Std Nom]]="",Table1[[#This Row],[Std Read]]=""),0,Table1[[#This Row],[Std Nom]]-Table1[[#This Row],[Std Read]])</f>
        <v>0</v>
      </c>
      <c r="N1510" s="1">
        <f>IF(Calculations!$F$5="ACCREDITED 17025 WITH UNCERTAINTIES",$N$10,0)</f>
        <v>0</v>
      </c>
      <c r="Q1510" s="1">
        <f>Table1[[#This Row],[High Tol]]-Table1[[#This Row],[Low Tol]]</f>
        <v>0</v>
      </c>
      <c r="R1510" s="1">
        <f>2*Table1[[#This Row],[Std Error]]</f>
        <v>0</v>
      </c>
      <c r="S1510" s="1" t="str">
        <f>IF(Table1[[#This Row],[High Tol]]="","N/A",IFERROR(ABS(Table1[[#This Row],[Tol Span]]/Table1[[#This Row],[Error Span]]),"N/A"))</f>
        <v>N/A</v>
      </c>
      <c r="T1510" s="1" t="str">
        <f>IF(OR(Table1[[#This Row],[Low Tol]]="",Table1[[#This Row],[High Tol]]=""),"Needs Analysis",IF(Table1[[#This Row],[Ratio]]&gt;=4,"Not Significant",IF(Table1[[#This Row],[Ratio]]&gt;=2,"Semi-Significant","Significant")))</f>
        <v>Needs Analysis</v>
      </c>
      <c r="W1510" s="1">
        <f>IF(Table1[[#This Row],[Cal Type]]&lt;&gt;"ACCREDITED 17025 WITH UNCERTAINTIES",0,"")</f>
        <v>0</v>
      </c>
      <c r="X1510" s="1" t="str">
        <f>IF(Table1[[#This Row],[DUT Read]]="","N/A",Table1[[#This Row],[Std Error]]+Table1[[#This Row],[DUT Read]]+Table1[[#This Row],[DUT Ucty]])</f>
        <v>N/A</v>
      </c>
      <c r="Y1510" s="1" t="str">
        <f>IF(Table1[[#This Row],[Std Read]]="","N/A",Table1[[#This Row],[Std Read]]+Table1[[#This Row],[Std Ucty]])</f>
        <v>N/A</v>
      </c>
      <c r="Z15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0" s="1" t="str">
        <f>IF(Table1[[#This Row],[Spec Type]]="","N/A",Table1[[#This Row],[Spec Type]])</f>
        <v>±</v>
      </c>
      <c r="AC1510" s="1" t="str">
        <f>IF(Table1[[#This Row],[Spec Type2]]="N/A","N/A",IF(AND(Table1[[#This Row],[DUT Adj Read]]&gt;=Table1[[#This Row],[Low Tol]],Table1[[#This Row],[DUT Adj Read]]&lt;=Table1[[#This Row],[High Tol]]),"Pass","Fail"))</f>
        <v>Fail</v>
      </c>
      <c r="AD1510" s="1" t="str">
        <f>IF(AND(Table1[[#This Row],[Spec Type2]]="N/A",Table1[[#This Row],[DUT Adj Read]]="N/A",Table1[[#This Row],[Std Adj Read]]="N/A"),"N/A",IF(Table1[[#This Row],[DUT Adj Read]]="N/A",IF(Table1[[#This Row],[Std Adj Read]]&gt;Table1[[#This Row],[Low Tol]],"Pass","Fail"),IF(Table1[[#This Row],[DUT Adj Read]]&gt;Table1[[#This Row],[Low Tol]],"Pass","Fail")))</f>
        <v>Pass</v>
      </c>
      <c r="AE1510" s="1" t="str">
        <f>IF(AND(Table1[[#This Row],[Spec Type2]]="N/A",Table1[[#This Row],[DUT Adj Read]]="N/A",Table1[[#This Row],[Std Adj Read]]="N/A"),"N/A",IF(Table1[[#This Row],[DUT Adj Read]]="N/A",IF(Table1[[#This Row],[Std Adj Read]]&lt;Table1[[#This Row],[High Tol]],"Pass","Fail"),IF(Table1[[#This Row],[DUT Adj Read]]&lt;Table1[[#This Row],[High Tol]],"Pass","Fail")))</f>
        <v>Fail</v>
      </c>
      <c r="AF1510" s="1" t="str">
        <f>IF(AND(Table1[[#This Row],[Spec Type2]]="N/A",Table1[[#This Row],[DUT Adj Read]]="N/A",Table1[[#This Row],[Std Adj Read]]="N/A"),"N/A",IF(Table1[[#This Row],[DUT Adj Read]]="N/A",IF(Table1[[#This Row],[Std Adj Read]]&gt;=Table1[[#This Row],[Low Tol]],"Pass","Fail"),IF(Table1[[#This Row],[DUT Adj Read]]&gt;=Table1[[#This Row],[Low Tol]],"Pass","Fail")))</f>
        <v>Pass</v>
      </c>
      <c r="AG1510" s="1" t="str">
        <f>IF(AND(Table1[[#This Row],[Spec Type2]]="N/A",Table1[[#This Row],[DUT Adj Read]]="N/A",Table1[[#This Row],[Std Adj Read]]="N/A"),"N/A",IF(Table1[[#This Row],[DUT Adj Read]]="N/A",IF(Table1[[#This Row],[Std Adj Read]]&lt;=Table1[[#This Row],[High Tol]],"Pass","Fail"),IF(Table1[[#This Row],[DUT Adj Read]]&lt;=Table1[[#This Row],[High Tol]],"Pass","Fail")))</f>
        <v>Fail</v>
      </c>
      <c r="AH15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0" s="1" t="b">
        <v>0</v>
      </c>
      <c r="AN1510" s="1" t="b">
        <v>0</v>
      </c>
      <c r="AO1510" s="1" t="b">
        <v>0</v>
      </c>
    </row>
    <row r="1511" spans="1:41" x14ac:dyDescent="0.25">
      <c r="A1511" s="10"/>
      <c r="B1511" s="10"/>
      <c r="C1511" s="10"/>
      <c r="D1511" s="10"/>
      <c r="E1511" s="10"/>
      <c r="F1511" s="10"/>
      <c r="G1511" s="10"/>
      <c r="H1511" s="10"/>
      <c r="I1511" s="1" t="str">
        <f t="shared" si="69"/>
        <v/>
      </c>
      <c r="J1511" s="1" t="s">
        <v>35</v>
      </c>
      <c r="K1511" s="1" t="str">
        <f t="shared" si="70"/>
        <v/>
      </c>
      <c r="L1511" s="1" t="str">
        <f t="shared" si="71"/>
        <v/>
      </c>
      <c r="M1511" s="1">
        <f>IF(OR(Table1[[#This Row],[Std Nom]]="",Table1[[#This Row],[Std Read]]=""),0,Table1[[#This Row],[Std Nom]]-Table1[[#This Row],[Std Read]])</f>
        <v>0</v>
      </c>
      <c r="N1511" s="1">
        <f>IF(Calculations!$F$5="ACCREDITED 17025 WITH UNCERTAINTIES",$N$10,0)</f>
        <v>0</v>
      </c>
      <c r="Q1511" s="1">
        <f>Table1[[#This Row],[High Tol]]-Table1[[#This Row],[Low Tol]]</f>
        <v>0</v>
      </c>
      <c r="R1511" s="1">
        <f>2*Table1[[#This Row],[Std Error]]</f>
        <v>0</v>
      </c>
      <c r="S1511" s="1" t="str">
        <f>IF(Table1[[#This Row],[High Tol]]="","N/A",IFERROR(ABS(Table1[[#This Row],[Tol Span]]/Table1[[#This Row],[Error Span]]),"N/A"))</f>
        <v>N/A</v>
      </c>
      <c r="T1511" s="1" t="str">
        <f>IF(OR(Table1[[#This Row],[Low Tol]]="",Table1[[#This Row],[High Tol]]=""),"Needs Analysis",IF(Table1[[#This Row],[Ratio]]&gt;=4,"Not Significant",IF(Table1[[#This Row],[Ratio]]&gt;=2,"Semi-Significant","Significant")))</f>
        <v>Needs Analysis</v>
      </c>
      <c r="W1511" s="1">
        <f>IF(Table1[[#This Row],[Cal Type]]&lt;&gt;"ACCREDITED 17025 WITH UNCERTAINTIES",0,"")</f>
        <v>0</v>
      </c>
      <c r="X1511" s="1" t="str">
        <f>IF(Table1[[#This Row],[DUT Read]]="","N/A",Table1[[#This Row],[Std Error]]+Table1[[#This Row],[DUT Read]]+Table1[[#This Row],[DUT Ucty]])</f>
        <v>N/A</v>
      </c>
      <c r="Y1511" s="1" t="str">
        <f>IF(Table1[[#This Row],[Std Read]]="","N/A",Table1[[#This Row],[Std Read]]+Table1[[#This Row],[Std Ucty]])</f>
        <v>N/A</v>
      </c>
      <c r="Z15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1" s="1" t="str">
        <f>IF(Table1[[#This Row],[Spec Type]]="","N/A",Table1[[#This Row],[Spec Type]])</f>
        <v>±</v>
      </c>
      <c r="AC1511" s="1" t="str">
        <f>IF(Table1[[#This Row],[Spec Type2]]="N/A","N/A",IF(AND(Table1[[#This Row],[DUT Adj Read]]&gt;=Table1[[#This Row],[Low Tol]],Table1[[#This Row],[DUT Adj Read]]&lt;=Table1[[#This Row],[High Tol]]),"Pass","Fail"))</f>
        <v>Fail</v>
      </c>
      <c r="AD1511" s="1" t="str">
        <f>IF(AND(Table1[[#This Row],[Spec Type2]]="N/A",Table1[[#This Row],[DUT Adj Read]]="N/A",Table1[[#This Row],[Std Adj Read]]="N/A"),"N/A",IF(Table1[[#This Row],[DUT Adj Read]]="N/A",IF(Table1[[#This Row],[Std Adj Read]]&gt;Table1[[#This Row],[Low Tol]],"Pass","Fail"),IF(Table1[[#This Row],[DUT Adj Read]]&gt;Table1[[#This Row],[Low Tol]],"Pass","Fail")))</f>
        <v>Pass</v>
      </c>
      <c r="AE1511" s="1" t="str">
        <f>IF(AND(Table1[[#This Row],[Spec Type2]]="N/A",Table1[[#This Row],[DUT Adj Read]]="N/A",Table1[[#This Row],[Std Adj Read]]="N/A"),"N/A",IF(Table1[[#This Row],[DUT Adj Read]]="N/A",IF(Table1[[#This Row],[Std Adj Read]]&lt;Table1[[#This Row],[High Tol]],"Pass","Fail"),IF(Table1[[#This Row],[DUT Adj Read]]&lt;Table1[[#This Row],[High Tol]],"Pass","Fail")))</f>
        <v>Fail</v>
      </c>
      <c r="AF1511" s="1" t="str">
        <f>IF(AND(Table1[[#This Row],[Spec Type2]]="N/A",Table1[[#This Row],[DUT Adj Read]]="N/A",Table1[[#This Row],[Std Adj Read]]="N/A"),"N/A",IF(Table1[[#This Row],[DUT Adj Read]]="N/A",IF(Table1[[#This Row],[Std Adj Read]]&gt;=Table1[[#This Row],[Low Tol]],"Pass","Fail"),IF(Table1[[#This Row],[DUT Adj Read]]&gt;=Table1[[#This Row],[Low Tol]],"Pass","Fail")))</f>
        <v>Pass</v>
      </c>
      <c r="AG1511" s="1" t="str">
        <f>IF(AND(Table1[[#This Row],[Spec Type2]]="N/A",Table1[[#This Row],[DUT Adj Read]]="N/A",Table1[[#This Row],[Std Adj Read]]="N/A"),"N/A",IF(Table1[[#This Row],[DUT Adj Read]]="N/A",IF(Table1[[#This Row],[Std Adj Read]]&lt;=Table1[[#This Row],[High Tol]],"Pass","Fail"),IF(Table1[[#This Row],[DUT Adj Read]]&lt;=Table1[[#This Row],[High Tol]],"Pass","Fail")))</f>
        <v>Fail</v>
      </c>
      <c r="AH15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1" s="1" t="b">
        <v>0</v>
      </c>
      <c r="AN1511" s="1" t="b">
        <v>0</v>
      </c>
      <c r="AO1511" s="1" t="b">
        <v>0</v>
      </c>
    </row>
    <row r="1512" spans="1:41" x14ac:dyDescent="0.25">
      <c r="A1512" s="10"/>
      <c r="B1512" s="10"/>
      <c r="C1512" s="10"/>
      <c r="D1512" s="10"/>
      <c r="E1512" s="10"/>
      <c r="F1512" s="10"/>
      <c r="G1512" s="10"/>
      <c r="H1512" s="10"/>
      <c r="I1512" s="1" t="str">
        <f t="shared" si="69"/>
        <v/>
      </c>
      <c r="J1512" s="1" t="s">
        <v>35</v>
      </c>
      <c r="K1512" s="1" t="str">
        <f t="shared" si="70"/>
        <v/>
      </c>
      <c r="L1512" s="1" t="str">
        <f t="shared" si="71"/>
        <v/>
      </c>
      <c r="M1512" s="1">
        <f>IF(OR(Table1[[#This Row],[Std Nom]]="",Table1[[#This Row],[Std Read]]=""),0,Table1[[#This Row],[Std Nom]]-Table1[[#This Row],[Std Read]])</f>
        <v>0</v>
      </c>
      <c r="N1512" s="1">
        <f>IF(Calculations!$F$5="ACCREDITED 17025 WITH UNCERTAINTIES",$N$10,0)</f>
        <v>0</v>
      </c>
      <c r="Q1512" s="1">
        <f>Table1[[#This Row],[High Tol]]-Table1[[#This Row],[Low Tol]]</f>
        <v>0</v>
      </c>
      <c r="R1512" s="1">
        <f>2*Table1[[#This Row],[Std Error]]</f>
        <v>0</v>
      </c>
      <c r="S1512" s="1" t="str">
        <f>IF(Table1[[#This Row],[High Tol]]="","N/A",IFERROR(ABS(Table1[[#This Row],[Tol Span]]/Table1[[#This Row],[Error Span]]),"N/A"))</f>
        <v>N/A</v>
      </c>
      <c r="T1512" s="1" t="str">
        <f>IF(OR(Table1[[#This Row],[Low Tol]]="",Table1[[#This Row],[High Tol]]=""),"Needs Analysis",IF(Table1[[#This Row],[Ratio]]&gt;=4,"Not Significant",IF(Table1[[#This Row],[Ratio]]&gt;=2,"Semi-Significant","Significant")))</f>
        <v>Needs Analysis</v>
      </c>
      <c r="W1512" s="1">
        <f>IF(Table1[[#This Row],[Cal Type]]&lt;&gt;"ACCREDITED 17025 WITH UNCERTAINTIES",0,"")</f>
        <v>0</v>
      </c>
      <c r="X1512" s="1" t="str">
        <f>IF(Table1[[#This Row],[DUT Read]]="","N/A",Table1[[#This Row],[Std Error]]+Table1[[#This Row],[DUT Read]]+Table1[[#This Row],[DUT Ucty]])</f>
        <v>N/A</v>
      </c>
      <c r="Y1512" s="1" t="str">
        <f>IF(Table1[[#This Row],[Std Read]]="","N/A",Table1[[#This Row],[Std Read]]+Table1[[#This Row],[Std Ucty]])</f>
        <v>N/A</v>
      </c>
      <c r="Z15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2" s="1" t="str">
        <f>IF(Table1[[#This Row],[Spec Type]]="","N/A",Table1[[#This Row],[Spec Type]])</f>
        <v>±</v>
      </c>
      <c r="AC1512" s="1" t="str">
        <f>IF(Table1[[#This Row],[Spec Type2]]="N/A","N/A",IF(AND(Table1[[#This Row],[DUT Adj Read]]&gt;=Table1[[#This Row],[Low Tol]],Table1[[#This Row],[DUT Adj Read]]&lt;=Table1[[#This Row],[High Tol]]),"Pass","Fail"))</f>
        <v>Fail</v>
      </c>
      <c r="AD1512" s="1" t="str">
        <f>IF(AND(Table1[[#This Row],[Spec Type2]]="N/A",Table1[[#This Row],[DUT Adj Read]]="N/A",Table1[[#This Row],[Std Adj Read]]="N/A"),"N/A",IF(Table1[[#This Row],[DUT Adj Read]]="N/A",IF(Table1[[#This Row],[Std Adj Read]]&gt;Table1[[#This Row],[Low Tol]],"Pass","Fail"),IF(Table1[[#This Row],[DUT Adj Read]]&gt;Table1[[#This Row],[Low Tol]],"Pass","Fail")))</f>
        <v>Pass</v>
      </c>
      <c r="AE1512" s="1" t="str">
        <f>IF(AND(Table1[[#This Row],[Spec Type2]]="N/A",Table1[[#This Row],[DUT Adj Read]]="N/A",Table1[[#This Row],[Std Adj Read]]="N/A"),"N/A",IF(Table1[[#This Row],[DUT Adj Read]]="N/A",IF(Table1[[#This Row],[Std Adj Read]]&lt;Table1[[#This Row],[High Tol]],"Pass","Fail"),IF(Table1[[#This Row],[DUT Adj Read]]&lt;Table1[[#This Row],[High Tol]],"Pass","Fail")))</f>
        <v>Fail</v>
      </c>
      <c r="AF1512" s="1" t="str">
        <f>IF(AND(Table1[[#This Row],[Spec Type2]]="N/A",Table1[[#This Row],[DUT Adj Read]]="N/A",Table1[[#This Row],[Std Adj Read]]="N/A"),"N/A",IF(Table1[[#This Row],[DUT Adj Read]]="N/A",IF(Table1[[#This Row],[Std Adj Read]]&gt;=Table1[[#This Row],[Low Tol]],"Pass","Fail"),IF(Table1[[#This Row],[DUT Adj Read]]&gt;=Table1[[#This Row],[Low Tol]],"Pass","Fail")))</f>
        <v>Pass</v>
      </c>
      <c r="AG1512" s="1" t="str">
        <f>IF(AND(Table1[[#This Row],[Spec Type2]]="N/A",Table1[[#This Row],[DUT Adj Read]]="N/A",Table1[[#This Row],[Std Adj Read]]="N/A"),"N/A",IF(Table1[[#This Row],[DUT Adj Read]]="N/A",IF(Table1[[#This Row],[Std Adj Read]]&lt;=Table1[[#This Row],[High Tol]],"Pass","Fail"),IF(Table1[[#This Row],[DUT Adj Read]]&lt;=Table1[[#This Row],[High Tol]],"Pass","Fail")))</f>
        <v>Fail</v>
      </c>
      <c r="AH15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2" s="1" t="b">
        <v>0</v>
      </c>
      <c r="AN1512" s="1" t="b">
        <v>0</v>
      </c>
      <c r="AO1512" s="1" t="b">
        <v>0</v>
      </c>
    </row>
    <row r="1513" spans="1:41" x14ac:dyDescent="0.25">
      <c r="A1513" s="10"/>
      <c r="B1513" s="10"/>
      <c r="C1513" s="10"/>
      <c r="D1513" s="10"/>
      <c r="E1513" s="10"/>
      <c r="F1513" s="10"/>
      <c r="G1513" s="10"/>
      <c r="H1513" s="10"/>
      <c r="I1513" s="1" t="str">
        <f t="shared" si="69"/>
        <v/>
      </c>
      <c r="J1513" s="1" t="s">
        <v>35</v>
      </c>
      <c r="K1513" s="1" t="str">
        <f t="shared" si="70"/>
        <v/>
      </c>
      <c r="L1513" s="1" t="str">
        <f t="shared" si="71"/>
        <v/>
      </c>
      <c r="M1513" s="1">
        <f>IF(OR(Table1[[#This Row],[Std Nom]]="",Table1[[#This Row],[Std Read]]=""),0,Table1[[#This Row],[Std Nom]]-Table1[[#This Row],[Std Read]])</f>
        <v>0</v>
      </c>
      <c r="N1513" s="1">
        <f>IF(Calculations!$F$5="ACCREDITED 17025 WITH UNCERTAINTIES",$N$10,0)</f>
        <v>0</v>
      </c>
      <c r="Q1513" s="1">
        <f>Table1[[#This Row],[High Tol]]-Table1[[#This Row],[Low Tol]]</f>
        <v>0</v>
      </c>
      <c r="R1513" s="1">
        <f>2*Table1[[#This Row],[Std Error]]</f>
        <v>0</v>
      </c>
      <c r="S1513" s="1" t="str">
        <f>IF(Table1[[#This Row],[High Tol]]="","N/A",IFERROR(ABS(Table1[[#This Row],[Tol Span]]/Table1[[#This Row],[Error Span]]),"N/A"))</f>
        <v>N/A</v>
      </c>
      <c r="T1513" s="1" t="str">
        <f>IF(OR(Table1[[#This Row],[Low Tol]]="",Table1[[#This Row],[High Tol]]=""),"Needs Analysis",IF(Table1[[#This Row],[Ratio]]&gt;=4,"Not Significant",IF(Table1[[#This Row],[Ratio]]&gt;=2,"Semi-Significant","Significant")))</f>
        <v>Needs Analysis</v>
      </c>
      <c r="W1513" s="1">
        <f>IF(Table1[[#This Row],[Cal Type]]&lt;&gt;"ACCREDITED 17025 WITH UNCERTAINTIES",0,"")</f>
        <v>0</v>
      </c>
      <c r="X1513" s="1" t="str">
        <f>IF(Table1[[#This Row],[DUT Read]]="","N/A",Table1[[#This Row],[Std Error]]+Table1[[#This Row],[DUT Read]]+Table1[[#This Row],[DUT Ucty]])</f>
        <v>N/A</v>
      </c>
      <c r="Y1513" s="1" t="str">
        <f>IF(Table1[[#This Row],[Std Read]]="","N/A",Table1[[#This Row],[Std Read]]+Table1[[#This Row],[Std Ucty]])</f>
        <v>N/A</v>
      </c>
      <c r="Z15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3" s="1" t="str">
        <f>IF(Table1[[#This Row],[Spec Type]]="","N/A",Table1[[#This Row],[Spec Type]])</f>
        <v>±</v>
      </c>
      <c r="AC1513" s="1" t="str">
        <f>IF(Table1[[#This Row],[Spec Type2]]="N/A","N/A",IF(AND(Table1[[#This Row],[DUT Adj Read]]&gt;=Table1[[#This Row],[Low Tol]],Table1[[#This Row],[DUT Adj Read]]&lt;=Table1[[#This Row],[High Tol]]),"Pass","Fail"))</f>
        <v>Fail</v>
      </c>
      <c r="AD1513" s="1" t="str">
        <f>IF(AND(Table1[[#This Row],[Spec Type2]]="N/A",Table1[[#This Row],[DUT Adj Read]]="N/A",Table1[[#This Row],[Std Adj Read]]="N/A"),"N/A",IF(Table1[[#This Row],[DUT Adj Read]]="N/A",IF(Table1[[#This Row],[Std Adj Read]]&gt;Table1[[#This Row],[Low Tol]],"Pass","Fail"),IF(Table1[[#This Row],[DUT Adj Read]]&gt;Table1[[#This Row],[Low Tol]],"Pass","Fail")))</f>
        <v>Pass</v>
      </c>
      <c r="AE1513" s="1" t="str">
        <f>IF(AND(Table1[[#This Row],[Spec Type2]]="N/A",Table1[[#This Row],[DUT Adj Read]]="N/A",Table1[[#This Row],[Std Adj Read]]="N/A"),"N/A",IF(Table1[[#This Row],[DUT Adj Read]]="N/A",IF(Table1[[#This Row],[Std Adj Read]]&lt;Table1[[#This Row],[High Tol]],"Pass","Fail"),IF(Table1[[#This Row],[DUT Adj Read]]&lt;Table1[[#This Row],[High Tol]],"Pass","Fail")))</f>
        <v>Fail</v>
      </c>
      <c r="AF1513" s="1" t="str">
        <f>IF(AND(Table1[[#This Row],[Spec Type2]]="N/A",Table1[[#This Row],[DUT Adj Read]]="N/A",Table1[[#This Row],[Std Adj Read]]="N/A"),"N/A",IF(Table1[[#This Row],[DUT Adj Read]]="N/A",IF(Table1[[#This Row],[Std Adj Read]]&gt;=Table1[[#This Row],[Low Tol]],"Pass","Fail"),IF(Table1[[#This Row],[DUT Adj Read]]&gt;=Table1[[#This Row],[Low Tol]],"Pass","Fail")))</f>
        <v>Pass</v>
      </c>
      <c r="AG1513" s="1" t="str">
        <f>IF(AND(Table1[[#This Row],[Spec Type2]]="N/A",Table1[[#This Row],[DUT Adj Read]]="N/A",Table1[[#This Row],[Std Adj Read]]="N/A"),"N/A",IF(Table1[[#This Row],[DUT Adj Read]]="N/A",IF(Table1[[#This Row],[Std Adj Read]]&lt;=Table1[[#This Row],[High Tol]],"Pass","Fail"),IF(Table1[[#This Row],[DUT Adj Read]]&lt;=Table1[[#This Row],[High Tol]],"Pass","Fail")))</f>
        <v>Fail</v>
      </c>
      <c r="AH15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3" s="1" t="b">
        <v>0</v>
      </c>
      <c r="AN1513" s="1" t="b">
        <v>0</v>
      </c>
      <c r="AO1513" s="1" t="b">
        <v>0</v>
      </c>
    </row>
    <row r="1514" spans="1:41" x14ac:dyDescent="0.25">
      <c r="A1514" s="10"/>
      <c r="B1514" s="10"/>
      <c r="C1514" s="10"/>
      <c r="D1514" s="10"/>
      <c r="E1514" s="10"/>
      <c r="F1514" s="10"/>
      <c r="G1514" s="10"/>
      <c r="H1514" s="10"/>
      <c r="I1514" s="1" t="str">
        <f t="shared" si="69"/>
        <v/>
      </c>
      <c r="J1514" s="1" t="s">
        <v>35</v>
      </c>
      <c r="K1514" s="1" t="str">
        <f t="shared" si="70"/>
        <v/>
      </c>
      <c r="L1514" s="1" t="str">
        <f t="shared" si="71"/>
        <v/>
      </c>
      <c r="M1514" s="1">
        <f>IF(OR(Table1[[#This Row],[Std Nom]]="",Table1[[#This Row],[Std Read]]=""),0,Table1[[#This Row],[Std Nom]]-Table1[[#This Row],[Std Read]])</f>
        <v>0</v>
      </c>
      <c r="N1514" s="1">
        <f>IF(Calculations!$F$5="ACCREDITED 17025 WITH UNCERTAINTIES",$N$10,0)</f>
        <v>0</v>
      </c>
      <c r="Q1514" s="1">
        <f>Table1[[#This Row],[High Tol]]-Table1[[#This Row],[Low Tol]]</f>
        <v>0</v>
      </c>
      <c r="R1514" s="1">
        <f>2*Table1[[#This Row],[Std Error]]</f>
        <v>0</v>
      </c>
      <c r="S1514" s="1" t="str">
        <f>IF(Table1[[#This Row],[High Tol]]="","N/A",IFERROR(ABS(Table1[[#This Row],[Tol Span]]/Table1[[#This Row],[Error Span]]),"N/A"))</f>
        <v>N/A</v>
      </c>
      <c r="T1514" s="1" t="str">
        <f>IF(OR(Table1[[#This Row],[Low Tol]]="",Table1[[#This Row],[High Tol]]=""),"Needs Analysis",IF(Table1[[#This Row],[Ratio]]&gt;=4,"Not Significant",IF(Table1[[#This Row],[Ratio]]&gt;=2,"Semi-Significant","Significant")))</f>
        <v>Needs Analysis</v>
      </c>
      <c r="W1514" s="1">
        <f>IF(Table1[[#This Row],[Cal Type]]&lt;&gt;"ACCREDITED 17025 WITH UNCERTAINTIES",0,"")</f>
        <v>0</v>
      </c>
      <c r="X1514" s="1" t="str">
        <f>IF(Table1[[#This Row],[DUT Read]]="","N/A",Table1[[#This Row],[Std Error]]+Table1[[#This Row],[DUT Read]]+Table1[[#This Row],[DUT Ucty]])</f>
        <v>N/A</v>
      </c>
      <c r="Y1514" s="1" t="str">
        <f>IF(Table1[[#This Row],[Std Read]]="","N/A",Table1[[#This Row],[Std Read]]+Table1[[#This Row],[Std Ucty]])</f>
        <v>N/A</v>
      </c>
      <c r="Z15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4" s="1" t="str">
        <f>IF(Table1[[#This Row],[Spec Type]]="","N/A",Table1[[#This Row],[Spec Type]])</f>
        <v>±</v>
      </c>
      <c r="AC1514" s="1" t="str">
        <f>IF(Table1[[#This Row],[Spec Type2]]="N/A","N/A",IF(AND(Table1[[#This Row],[DUT Adj Read]]&gt;=Table1[[#This Row],[Low Tol]],Table1[[#This Row],[DUT Adj Read]]&lt;=Table1[[#This Row],[High Tol]]),"Pass","Fail"))</f>
        <v>Fail</v>
      </c>
      <c r="AD1514" s="1" t="str">
        <f>IF(AND(Table1[[#This Row],[Spec Type2]]="N/A",Table1[[#This Row],[DUT Adj Read]]="N/A",Table1[[#This Row],[Std Adj Read]]="N/A"),"N/A",IF(Table1[[#This Row],[DUT Adj Read]]="N/A",IF(Table1[[#This Row],[Std Adj Read]]&gt;Table1[[#This Row],[Low Tol]],"Pass","Fail"),IF(Table1[[#This Row],[DUT Adj Read]]&gt;Table1[[#This Row],[Low Tol]],"Pass","Fail")))</f>
        <v>Pass</v>
      </c>
      <c r="AE1514" s="1" t="str">
        <f>IF(AND(Table1[[#This Row],[Spec Type2]]="N/A",Table1[[#This Row],[DUT Adj Read]]="N/A",Table1[[#This Row],[Std Adj Read]]="N/A"),"N/A",IF(Table1[[#This Row],[DUT Adj Read]]="N/A",IF(Table1[[#This Row],[Std Adj Read]]&lt;Table1[[#This Row],[High Tol]],"Pass","Fail"),IF(Table1[[#This Row],[DUT Adj Read]]&lt;Table1[[#This Row],[High Tol]],"Pass","Fail")))</f>
        <v>Fail</v>
      </c>
      <c r="AF1514" s="1" t="str">
        <f>IF(AND(Table1[[#This Row],[Spec Type2]]="N/A",Table1[[#This Row],[DUT Adj Read]]="N/A",Table1[[#This Row],[Std Adj Read]]="N/A"),"N/A",IF(Table1[[#This Row],[DUT Adj Read]]="N/A",IF(Table1[[#This Row],[Std Adj Read]]&gt;=Table1[[#This Row],[Low Tol]],"Pass","Fail"),IF(Table1[[#This Row],[DUT Adj Read]]&gt;=Table1[[#This Row],[Low Tol]],"Pass","Fail")))</f>
        <v>Pass</v>
      </c>
      <c r="AG1514" s="1" t="str">
        <f>IF(AND(Table1[[#This Row],[Spec Type2]]="N/A",Table1[[#This Row],[DUT Adj Read]]="N/A",Table1[[#This Row],[Std Adj Read]]="N/A"),"N/A",IF(Table1[[#This Row],[DUT Adj Read]]="N/A",IF(Table1[[#This Row],[Std Adj Read]]&lt;=Table1[[#This Row],[High Tol]],"Pass","Fail"),IF(Table1[[#This Row],[DUT Adj Read]]&lt;=Table1[[#This Row],[High Tol]],"Pass","Fail")))</f>
        <v>Fail</v>
      </c>
      <c r="AH15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4" s="1" t="b">
        <v>0</v>
      </c>
      <c r="AN1514" s="1" t="b">
        <v>0</v>
      </c>
      <c r="AO1514" s="1" t="b">
        <v>0</v>
      </c>
    </row>
    <row r="1515" spans="1:41" x14ac:dyDescent="0.25">
      <c r="A1515" s="10"/>
      <c r="B1515" s="10"/>
      <c r="C1515" s="10"/>
      <c r="D1515" s="10"/>
      <c r="E1515" s="10"/>
      <c r="F1515" s="10"/>
      <c r="G1515" s="10"/>
      <c r="H1515" s="10"/>
      <c r="I1515" s="1" t="str">
        <f t="shared" si="69"/>
        <v/>
      </c>
      <c r="J1515" s="1" t="s">
        <v>35</v>
      </c>
      <c r="K1515" s="1" t="str">
        <f t="shared" si="70"/>
        <v/>
      </c>
      <c r="L1515" s="1" t="str">
        <f t="shared" si="71"/>
        <v/>
      </c>
      <c r="M1515" s="1">
        <f>IF(OR(Table1[[#This Row],[Std Nom]]="",Table1[[#This Row],[Std Read]]=""),0,Table1[[#This Row],[Std Nom]]-Table1[[#This Row],[Std Read]])</f>
        <v>0</v>
      </c>
      <c r="N1515" s="1">
        <f>IF(Calculations!$F$5="ACCREDITED 17025 WITH UNCERTAINTIES",$N$10,0)</f>
        <v>0</v>
      </c>
      <c r="Q1515" s="1">
        <f>Table1[[#This Row],[High Tol]]-Table1[[#This Row],[Low Tol]]</f>
        <v>0</v>
      </c>
      <c r="R1515" s="1">
        <f>2*Table1[[#This Row],[Std Error]]</f>
        <v>0</v>
      </c>
      <c r="S1515" s="1" t="str">
        <f>IF(Table1[[#This Row],[High Tol]]="","N/A",IFERROR(ABS(Table1[[#This Row],[Tol Span]]/Table1[[#This Row],[Error Span]]),"N/A"))</f>
        <v>N/A</v>
      </c>
      <c r="T1515" s="1" t="str">
        <f>IF(OR(Table1[[#This Row],[Low Tol]]="",Table1[[#This Row],[High Tol]]=""),"Needs Analysis",IF(Table1[[#This Row],[Ratio]]&gt;=4,"Not Significant",IF(Table1[[#This Row],[Ratio]]&gt;=2,"Semi-Significant","Significant")))</f>
        <v>Needs Analysis</v>
      </c>
      <c r="W1515" s="1">
        <f>IF(Table1[[#This Row],[Cal Type]]&lt;&gt;"ACCREDITED 17025 WITH UNCERTAINTIES",0,"")</f>
        <v>0</v>
      </c>
      <c r="X1515" s="1" t="str">
        <f>IF(Table1[[#This Row],[DUT Read]]="","N/A",Table1[[#This Row],[Std Error]]+Table1[[#This Row],[DUT Read]]+Table1[[#This Row],[DUT Ucty]])</f>
        <v>N/A</v>
      </c>
      <c r="Y1515" s="1" t="str">
        <f>IF(Table1[[#This Row],[Std Read]]="","N/A",Table1[[#This Row],[Std Read]]+Table1[[#This Row],[Std Ucty]])</f>
        <v>N/A</v>
      </c>
      <c r="Z15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5" s="1" t="str">
        <f>IF(Table1[[#This Row],[Spec Type]]="","N/A",Table1[[#This Row],[Spec Type]])</f>
        <v>±</v>
      </c>
      <c r="AC1515" s="1" t="str">
        <f>IF(Table1[[#This Row],[Spec Type2]]="N/A","N/A",IF(AND(Table1[[#This Row],[DUT Adj Read]]&gt;=Table1[[#This Row],[Low Tol]],Table1[[#This Row],[DUT Adj Read]]&lt;=Table1[[#This Row],[High Tol]]),"Pass","Fail"))</f>
        <v>Fail</v>
      </c>
      <c r="AD1515" s="1" t="str">
        <f>IF(AND(Table1[[#This Row],[Spec Type2]]="N/A",Table1[[#This Row],[DUT Adj Read]]="N/A",Table1[[#This Row],[Std Adj Read]]="N/A"),"N/A",IF(Table1[[#This Row],[DUT Adj Read]]="N/A",IF(Table1[[#This Row],[Std Adj Read]]&gt;Table1[[#This Row],[Low Tol]],"Pass","Fail"),IF(Table1[[#This Row],[DUT Adj Read]]&gt;Table1[[#This Row],[Low Tol]],"Pass","Fail")))</f>
        <v>Pass</v>
      </c>
      <c r="AE1515" s="1" t="str">
        <f>IF(AND(Table1[[#This Row],[Spec Type2]]="N/A",Table1[[#This Row],[DUT Adj Read]]="N/A",Table1[[#This Row],[Std Adj Read]]="N/A"),"N/A",IF(Table1[[#This Row],[DUT Adj Read]]="N/A",IF(Table1[[#This Row],[Std Adj Read]]&lt;Table1[[#This Row],[High Tol]],"Pass","Fail"),IF(Table1[[#This Row],[DUT Adj Read]]&lt;Table1[[#This Row],[High Tol]],"Pass","Fail")))</f>
        <v>Fail</v>
      </c>
      <c r="AF1515" s="1" t="str">
        <f>IF(AND(Table1[[#This Row],[Spec Type2]]="N/A",Table1[[#This Row],[DUT Adj Read]]="N/A",Table1[[#This Row],[Std Adj Read]]="N/A"),"N/A",IF(Table1[[#This Row],[DUT Adj Read]]="N/A",IF(Table1[[#This Row],[Std Adj Read]]&gt;=Table1[[#This Row],[Low Tol]],"Pass","Fail"),IF(Table1[[#This Row],[DUT Adj Read]]&gt;=Table1[[#This Row],[Low Tol]],"Pass","Fail")))</f>
        <v>Pass</v>
      </c>
      <c r="AG1515" s="1" t="str">
        <f>IF(AND(Table1[[#This Row],[Spec Type2]]="N/A",Table1[[#This Row],[DUT Adj Read]]="N/A",Table1[[#This Row],[Std Adj Read]]="N/A"),"N/A",IF(Table1[[#This Row],[DUT Adj Read]]="N/A",IF(Table1[[#This Row],[Std Adj Read]]&lt;=Table1[[#This Row],[High Tol]],"Pass","Fail"),IF(Table1[[#This Row],[DUT Adj Read]]&lt;=Table1[[#This Row],[High Tol]],"Pass","Fail")))</f>
        <v>Fail</v>
      </c>
      <c r="AH15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5" s="1" t="b">
        <v>0</v>
      </c>
      <c r="AN1515" s="1" t="b">
        <v>0</v>
      </c>
      <c r="AO1515" s="1" t="b">
        <v>0</v>
      </c>
    </row>
    <row r="1516" spans="1:41" x14ac:dyDescent="0.25">
      <c r="A1516" s="10"/>
      <c r="B1516" s="10"/>
      <c r="C1516" s="10"/>
      <c r="D1516" s="10"/>
      <c r="E1516" s="10"/>
      <c r="F1516" s="10"/>
      <c r="G1516" s="10"/>
      <c r="H1516" s="10"/>
      <c r="I1516" s="1" t="str">
        <f t="shared" si="69"/>
        <v/>
      </c>
      <c r="J1516" s="1" t="s">
        <v>35</v>
      </c>
      <c r="K1516" s="1" t="str">
        <f t="shared" si="70"/>
        <v/>
      </c>
      <c r="L1516" s="1" t="str">
        <f t="shared" si="71"/>
        <v/>
      </c>
      <c r="M1516" s="1">
        <f>IF(OR(Table1[[#This Row],[Std Nom]]="",Table1[[#This Row],[Std Read]]=""),0,Table1[[#This Row],[Std Nom]]-Table1[[#This Row],[Std Read]])</f>
        <v>0</v>
      </c>
      <c r="N1516" s="1">
        <f>IF(Calculations!$F$5="ACCREDITED 17025 WITH UNCERTAINTIES",$N$10,0)</f>
        <v>0</v>
      </c>
      <c r="Q1516" s="1">
        <f>Table1[[#This Row],[High Tol]]-Table1[[#This Row],[Low Tol]]</f>
        <v>0</v>
      </c>
      <c r="R1516" s="1">
        <f>2*Table1[[#This Row],[Std Error]]</f>
        <v>0</v>
      </c>
      <c r="S1516" s="1" t="str">
        <f>IF(Table1[[#This Row],[High Tol]]="","N/A",IFERROR(ABS(Table1[[#This Row],[Tol Span]]/Table1[[#This Row],[Error Span]]),"N/A"))</f>
        <v>N/A</v>
      </c>
      <c r="T1516" s="1" t="str">
        <f>IF(OR(Table1[[#This Row],[Low Tol]]="",Table1[[#This Row],[High Tol]]=""),"Needs Analysis",IF(Table1[[#This Row],[Ratio]]&gt;=4,"Not Significant",IF(Table1[[#This Row],[Ratio]]&gt;=2,"Semi-Significant","Significant")))</f>
        <v>Needs Analysis</v>
      </c>
      <c r="W1516" s="1">
        <f>IF(Table1[[#This Row],[Cal Type]]&lt;&gt;"ACCREDITED 17025 WITH UNCERTAINTIES",0,"")</f>
        <v>0</v>
      </c>
      <c r="X1516" s="1" t="str">
        <f>IF(Table1[[#This Row],[DUT Read]]="","N/A",Table1[[#This Row],[Std Error]]+Table1[[#This Row],[DUT Read]]+Table1[[#This Row],[DUT Ucty]])</f>
        <v>N/A</v>
      </c>
      <c r="Y1516" s="1" t="str">
        <f>IF(Table1[[#This Row],[Std Read]]="","N/A",Table1[[#This Row],[Std Read]]+Table1[[#This Row],[Std Ucty]])</f>
        <v>N/A</v>
      </c>
      <c r="Z15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6" s="1" t="str">
        <f>IF(Table1[[#This Row],[Spec Type]]="","N/A",Table1[[#This Row],[Spec Type]])</f>
        <v>±</v>
      </c>
      <c r="AC1516" s="1" t="str">
        <f>IF(Table1[[#This Row],[Spec Type2]]="N/A","N/A",IF(AND(Table1[[#This Row],[DUT Adj Read]]&gt;=Table1[[#This Row],[Low Tol]],Table1[[#This Row],[DUT Adj Read]]&lt;=Table1[[#This Row],[High Tol]]),"Pass","Fail"))</f>
        <v>Fail</v>
      </c>
      <c r="AD1516" s="1" t="str">
        <f>IF(AND(Table1[[#This Row],[Spec Type2]]="N/A",Table1[[#This Row],[DUT Adj Read]]="N/A",Table1[[#This Row],[Std Adj Read]]="N/A"),"N/A",IF(Table1[[#This Row],[DUT Adj Read]]="N/A",IF(Table1[[#This Row],[Std Adj Read]]&gt;Table1[[#This Row],[Low Tol]],"Pass","Fail"),IF(Table1[[#This Row],[DUT Adj Read]]&gt;Table1[[#This Row],[Low Tol]],"Pass","Fail")))</f>
        <v>Pass</v>
      </c>
      <c r="AE1516" s="1" t="str">
        <f>IF(AND(Table1[[#This Row],[Spec Type2]]="N/A",Table1[[#This Row],[DUT Adj Read]]="N/A",Table1[[#This Row],[Std Adj Read]]="N/A"),"N/A",IF(Table1[[#This Row],[DUT Adj Read]]="N/A",IF(Table1[[#This Row],[Std Adj Read]]&lt;Table1[[#This Row],[High Tol]],"Pass","Fail"),IF(Table1[[#This Row],[DUT Adj Read]]&lt;Table1[[#This Row],[High Tol]],"Pass","Fail")))</f>
        <v>Fail</v>
      </c>
      <c r="AF1516" s="1" t="str">
        <f>IF(AND(Table1[[#This Row],[Spec Type2]]="N/A",Table1[[#This Row],[DUT Adj Read]]="N/A",Table1[[#This Row],[Std Adj Read]]="N/A"),"N/A",IF(Table1[[#This Row],[DUT Adj Read]]="N/A",IF(Table1[[#This Row],[Std Adj Read]]&gt;=Table1[[#This Row],[Low Tol]],"Pass","Fail"),IF(Table1[[#This Row],[DUT Adj Read]]&gt;=Table1[[#This Row],[Low Tol]],"Pass","Fail")))</f>
        <v>Pass</v>
      </c>
      <c r="AG1516" s="1" t="str">
        <f>IF(AND(Table1[[#This Row],[Spec Type2]]="N/A",Table1[[#This Row],[DUT Adj Read]]="N/A",Table1[[#This Row],[Std Adj Read]]="N/A"),"N/A",IF(Table1[[#This Row],[DUT Adj Read]]="N/A",IF(Table1[[#This Row],[Std Adj Read]]&lt;=Table1[[#This Row],[High Tol]],"Pass","Fail"),IF(Table1[[#This Row],[DUT Adj Read]]&lt;=Table1[[#This Row],[High Tol]],"Pass","Fail")))</f>
        <v>Fail</v>
      </c>
      <c r="AH15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6" s="1" t="b">
        <v>0</v>
      </c>
      <c r="AN1516" s="1" t="b">
        <v>0</v>
      </c>
      <c r="AO1516" s="1" t="b">
        <v>0</v>
      </c>
    </row>
    <row r="1517" spans="1:41" x14ac:dyDescent="0.25">
      <c r="A1517" s="10"/>
      <c r="B1517" s="10"/>
      <c r="C1517" s="10"/>
      <c r="D1517" s="10"/>
      <c r="E1517" s="10"/>
      <c r="F1517" s="10"/>
      <c r="G1517" s="10"/>
      <c r="H1517" s="10"/>
      <c r="I1517" s="1" t="str">
        <f t="shared" si="69"/>
        <v/>
      </c>
      <c r="J1517" s="1" t="s">
        <v>35</v>
      </c>
      <c r="K1517" s="1" t="str">
        <f t="shared" si="70"/>
        <v/>
      </c>
      <c r="L1517" s="1" t="str">
        <f t="shared" si="71"/>
        <v/>
      </c>
      <c r="M1517" s="1">
        <f>IF(OR(Table1[[#This Row],[Std Nom]]="",Table1[[#This Row],[Std Read]]=""),0,Table1[[#This Row],[Std Nom]]-Table1[[#This Row],[Std Read]])</f>
        <v>0</v>
      </c>
      <c r="N1517" s="1">
        <f>IF(Calculations!$F$5="ACCREDITED 17025 WITH UNCERTAINTIES",$N$10,0)</f>
        <v>0</v>
      </c>
      <c r="Q1517" s="1">
        <f>Table1[[#This Row],[High Tol]]-Table1[[#This Row],[Low Tol]]</f>
        <v>0</v>
      </c>
      <c r="R1517" s="1">
        <f>2*Table1[[#This Row],[Std Error]]</f>
        <v>0</v>
      </c>
      <c r="S1517" s="1" t="str">
        <f>IF(Table1[[#This Row],[High Tol]]="","N/A",IFERROR(ABS(Table1[[#This Row],[Tol Span]]/Table1[[#This Row],[Error Span]]),"N/A"))</f>
        <v>N/A</v>
      </c>
      <c r="T1517" s="1" t="str">
        <f>IF(OR(Table1[[#This Row],[Low Tol]]="",Table1[[#This Row],[High Tol]]=""),"Needs Analysis",IF(Table1[[#This Row],[Ratio]]&gt;=4,"Not Significant",IF(Table1[[#This Row],[Ratio]]&gt;=2,"Semi-Significant","Significant")))</f>
        <v>Needs Analysis</v>
      </c>
      <c r="W1517" s="1">
        <f>IF(Table1[[#This Row],[Cal Type]]&lt;&gt;"ACCREDITED 17025 WITH UNCERTAINTIES",0,"")</f>
        <v>0</v>
      </c>
      <c r="X1517" s="1" t="str">
        <f>IF(Table1[[#This Row],[DUT Read]]="","N/A",Table1[[#This Row],[Std Error]]+Table1[[#This Row],[DUT Read]]+Table1[[#This Row],[DUT Ucty]])</f>
        <v>N/A</v>
      </c>
      <c r="Y1517" s="1" t="str">
        <f>IF(Table1[[#This Row],[Std Read]]="","N/A",Table1[[#This Row],[Std Read]]+Table1[[#This Row],[Std Ucty]])</f>
        <v>N/A</v>
      </c>
      <c r="Z15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7" s="1" t="str">
        <f>IF(Table1[[#This Row],[Spec Type]]="","N/A",Table1[[#This Row],[Spec Type]])</f>
        <v>±</v>
      </c>
      <c r="AC1517" s="1" t="str">
        <f>IF(Table1[[#This Row],[Spec Type2]]="N/A","N/A",IF(AND(Table1[[#This Row],[DUT Adj Read]]&gt;=Table1[[#This Row],[Low Tol]],Table1[[#This Row],[DUT Adj Read]]&lt;=Table1[[#This Row],[High Tol]]),"Pass","Fail"))</f>
        <v>Fail</v>
      </c>
      <c r="AD1517" s="1" t="str">
        <f>IF(AND(Table1[[#This Row],[Spec Type2]]="N/A",Table1[[#This Row],[DUT Adj Read]]="N/A",Table1[[#This Row],[Std Adj Read]]="N/A"),"N/A",IF(Table1[[#This Row],[DUT Adj Read]]="N/A",IF(Table1[[#This Row],[Std Adj Read]]&gt;Table1[[#This Row],[Low Tol]],"Pass","Fail"),IF(Table1[[#This Row],[DUT Adj Read]]&gt;Table1[[#This Row],[Low Tol]],"Pass","Fail")))</f>
        <v>Pass</v>
      </c>
      <c r="AE1517" s="1" t="str">
        <f>IF(AND(Table1[[#This Row],[Spec Type2]]="N/A",Table1[[#This Row],[DUT Adj Read]]="N/A",Table1[[#This Row],[Std Adj Read]]="N/A"),"N/A",IF(Table1[[#This Row],[DUT Adj Read]]="N/A",IF(Table1[[#This Row],[Std Adj Read]]&lt;Table1[[#This Row],[High Tol]],"Pass","Fail"),IF(Table1[[#This Row],[DUT Adj Read]]&lt;Table1[[#This Row],[High Tol]],"Pass","Fail")))</f>
        <v>Fail</v>
      </c>
      <c r="AF1517" s="1" t="str">
        <f>IF(AND(Table1[[#This Row],[Spec Type2]]="N/A",Table1[[#This Row],[DUT Adj Read]]="N/A",Table1[[#This Row],[Std Adj Read]]="N/A"),"N/A",IF(Table1[[#This Row],[DUT Adj Read]]="N/A",IF(Table1[[#This Row],[Std Adj Read]]&gt;=Table1[[#This Row],[Low Tol]],"Pass","Fail"),IF(Table1[[#This Row],[DUT Adj Read]]&gt;=Table1[[#This Row],[Low Tol]],"Pass","Fail")))</f>
        <v>Pass</v>
      </c>
      <c r="AG1517" s="1" t="str">
        <f>IF(AND(Table1[[#This Row],[Spec Type2]]="N/A",Table1[[#This Row],[DUT Adj Read]]="N/A",Table1[[#This Row],[Std Adj Read]]="N/A"),"N/A",IF(Table1[[#This Row],[DUT Adj Read]]="N/A",IF(Table1[[#This Row],[Std Adj Read]]&lt;=Table1[[#This Row],[High Tol]],"Pass","Fail"),IF(Table1[[#This Row],[DUT Adj Read]]&lt;=Table1[[#This Row],[High Tol]],"Pass","Fail")))</f>
        <v>Fail</v>
      </c>
      <c r="AH15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7" s="1" t="b">
        <v>0</v>
      </c>
      <c r="AN1517" s="1" t="b">
        <v>0</v>
      </c>
      <c r="AO1517" s="1" t="b">
        <v>0</v>
      </c>
    </row>
    <row r="1518" spans="1:41" x14ac:dyDescent="0.25">
      <c r="A1518" s="10"/>
      <c r="B1518" s="10"/>
      <c r="C1518" s="10"/>
      <c r="D1518" s="10"/>
      <c r="E1518" s="10"/>
      <c r="F1518" s="10"/>
      <c r="G1518" s="10"/>
      <c r="H1518" s="10"/>
      <c r="I1518" s="1" t="str">
        <f t="shared" si="69"/>
        <v/>
      </c>
      <c r="J1518" s="1" t="s">
        <v>35</v>
      </c>
      <c r="K1518" s="1" t="str">
        <f t="shared" si="70"/>
        <v/>
      </c>
      <c r="L1518" s="1" t="str">
        <f t="shared" si="71"/>
        <v/>
      </c>
      <c r="M1518" s="1">
        <f>IF(OR(Table1[[#This Row],[Std Nom]]="",Table1[[#This Row],[Std Read]]=""),0,Table1[[#This Row],[Std Nom]]-Table1[[#This Row],[Std Read]])</f>
        <v>0</v>
      </c>
      <c r="N1518" s="1">
        <f>IF(Calculations!$F$5="ACCREDITED 17025 WITH UNCERTAINTIES",$N$10,0)</f>
        <v>0</v>
      </c>
      <c r="Q1518" s="1">
        <f>Table1[[#This Row],[High Tol]]-Table1[[#This Row],[Low Tol]]</f>
        <v>0</v>
      </c>
      <c r="R1518" s="1">
        <f>2*Table1[[#This Row],[Std Error]]</f>
        <v>0</v>
      </c>
      <c r="S1518" s="1" t="str">
        <f>IF(Table1[[#This Row],[High Tol]]="","N/A",IFERROR(ABS(Table1[[#This Row],[Tol Span]]/Table1[[#This Row],[Error Span]]),"N/A"))</f>
        <v>N/A</v>
      </c>
      <c r="T1518" s="1" t="str">
        <f>IF(OR(Table1[[#This Row],[Low Tol]]="",Table1[[#This Row],[High Tol]]=""),"Needs Analysis",IF(Table1[[#This Row],[Ratio]]&gt;=4,"Not Significant",IF(Table1[[#This Row],[Ratio]]&gt;=2,"Semi-Significant","Significant")))</f>
        <v>Needs Analysis</v>
      </c>
      <c r="W1518" s="1">
        <f>IF(Table1[[#This Row],[Cal Type]]&lt;&gt;"ACCREDITED 17025 WITH UNCERTAINTIES",0,"")</f>
        <v>0</v>
      </c>
      <c r="X1518" s="1" t="str">
        <f>IF(Table1[[#This Row],[DUT Read]]="","N/A",Table1[[#This Row],[Std Error]]+Table1[[#This Row],[DUT Read]]+Table1[[#This Row],[DUT Ucty]])</f>
        <v>N/A</v>
      </c>
      <c r="Y1518" s="1" t="str">
        <f>IF(Table1[[#This Row],[Std Read]]="","N/A",Table1[[#This Row],[Std Read]]+Table1[[#This Row],[Std Ucty]])</f>
        <v>N/A</v>
      </c>
      <c r="Z15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8" s="1" t="str">
        <f>IF(Table1[[#This Row],[Spec Type]]="","N/A",Table1[[#This Row],[Spec Type]])</f>
        <v>±</v>
      </c>
      <c r="AC1518" s="1" t="str">
        <f>IF(Table1[[#This Row],[Spec Type2]]="N/A","N/A",IF(AND(Table1[[#This Row],[DUT Adj Read]]&gt;=Table1[[#This Row],[Low Tol]],Table1[[#This Row],[DUT Adj Read]]&lt;=Table1[[#This Row],[High Tol]]),"Pass","Fail"))</f>
        <v>Fail</v>
      </c>
      <c r="AD1518" s="1" t="str">
        <f>IF(AND(Table1[[#This Row],[Spec Type2]]="N/A",Table1[[#This Row],[DUT Adj Read]]="N/A",Table1[[#This Row],[Std Adj Read]]="N/A"),"N/A",IF(Table1[[#This Row],[DUT Adj Read]]="N/A",IF(Table1[[#This Row],[Std Adj Read]]&gt;Table1[[#This Row],[Low Tol]],"Pass","Fail"),IF(Table1[[#This Row],[DUT Adj Read]]&gt;Table1[[#This Row],[Low Tol]],"Pass","Fail")))</f>
        <v>Pass</v>
      </c>
      <c r="AE1518" s="1" t="str">
        <f>IF(AND(Table1[[#This Row],[Spec Type2]]="N/A",Table1[[#This Row],[DUT Adj Read]]="N/A",Table1[[#This Row],[Std Adj Read]]="N/A"),"N/A",IF(Table1[[#This Row],[DUT Adj Read]]="N/A",IF(Table1[[#This Row],[Std Adj Read]]&lt;Table1[[#This Row],[High Tol]],"Pass","Fail"),IF(Table1[[#This Row],[DUT Adj Read]]&lt;Table1[[#This Row],[High Tol]],"Pass","Fail")))</f>
        <v>Fail</v>
      </c>
      <c r="AF1518" s="1" t="str">
        <f>IF(AND(Table1[[#This Row],[Spec Type2]]="N/A",Table1[[#This Row],[DUT Adj Read]]="N/A",Table1[[#This Row],[Std Adj Read]]="N/A"),"N/A",IF(Table1[[#This Row],[DUT Adj Read]]="N/A",IF(Table1[[#This Row],[Std Adj Read]]&gt;=Table1[[#This Row],[Low Tol]],"Pass","Fail"),IF(Table1[[#This Row],[DUT Adj Read]]&gt;=Table1[[#This Row],[Low Tol]],"Pass","Fail")))</f>
        <v>Pass</v>
      </c>
      <c r="AG1518" s="1" t="str">
        <f>IF(AND(Table1[[#This Row],[Spec Type2]]="N/A",Table1[[#This Row],[DUT Adj Read]]="N/A",Table1[[#This Row],[Std Adj Read]]="N/A"),"N/A",IF(Table1[[#This Row],[DUT Adj Read]]="N/A",IF(Table1[[#This Row],[Std Adj Read]]&lt;=Table1[[#This Row],[High Tol]],"Pass","Fail"),IF(Table1[[#This Row],[DUT Adj Read]]&lt;=Table1[[#This Row],[High Tol]],"Pass","Fail")))</f>
        <v>Fail</v>
      </c>
      <c r="AH15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8" s="1" t="b">
        <v>0</v>
      </c>
      <c r="AN1518" s="1" t="b">
        <v>0</v>
      </c>
      <c r="AO1518" s="1" t="b">
        <v>0</v>
      </c>
    </row>
    <row r="1519" spans="1:41" x14ac:dyDescent="0.25">
      <c r="A1519" s="10"/>
      <c r="B1519" s="10"/>
      <c r="C1519" s="10"/>
      <c r="D1519" s="10"/>
      <c r="E1519" s="10"/>
      <c r="F1519" s="10"/>
      <c r="G1519" s="10"/>
      <c r="H1519" s="10"/>
      <c r="I1519" s="1" t="str">
        <f t="shared" si="69"/>
        <v/>
      </c>
      <c r="J1519" s="1" t="s">
        <v>35</v>
      </c>
      <c r="K1519" s="1" t="str">
        <f t="shared" si="70"/>
        <v/>
      </c>
      <c r="L1519" s="1" t="str">
        <f t="shared" si="71"/>
        <v/>
      </c>
      <c r="M1519" s="1">
        <f>IF(OR(Table1[[#This Row],[Std Nom]]="",Table1[[#This Row],[Std Read]]=""),0,Table1[[#This Row],[Std Nom]]-Table1[[#This Row],[Std Read]])</f>
        <v>0</v>
      </c>
      <c r="N1519" s="1">
        <f>IF(Calculations!$F$5="ACCREDITED 17025 WITH UNCERTAINTIES",$N$10,0)</f>
        <v>0</v>
      </c>
      <c r="Q1519" s="1">
        <f>Table1[[#This Row],[High Tol]]-Table1[[#This Row],[Low Tol]]</f>
        <v>0</v>
      </c>
      <c r="R1519" s="1">
        <f>2*Table1[[#This Row],[Std Error]]</f>
        <v>0</v>
      </c>
      <c r="S1519" s="1" t="str">
        <f>IF(Table1[[#This Row],[High Tol]]="","N/A",IFERROR(ABS(Table1[[#This Row],[Tol Span]]/Table1[[#This Row],[Error Span]]),"N/A"))</f>
        <v>N/A</v>
      </c>
      <c r="T1519" s="1" t="str">
        <f>IF(OR(Table1[[#This Row],[Low Tol]]="",Table1[[#This Row],[High Tol]]=""),"Needs Analysis",IF(Table1[[#This Row],[Ratio]]&gt;=4,"Not Significant",IF(Table1[[#This Row],[Ratio]]&gt;=2,"Semi-Significant","Significant")))</f>
        <v>Needs Analysis</v>
      </c>
      <c r="W1519" s="1">
        <f>IF(Table1[[#This Row],[Cal Type]]&lt;&gt;"ACCREDITED 17025 WITH UNCERTAINTIES",0,"")</f>
        <v>0</v>
      </c>
      <c r="X1519" s="1" t="str">
        <f>IF(Table1[[#This Row],[DUT Read]]="","N/A",Table1[[#This Row],[Std Error]]+Table1[[#This Row],[DUT Read]]+Table1[[#This Row],[DUT Ucty]])</f>
        <v>N/A</v>
      </c>
      <c r="Y1519" s="1" t="str">
        <f>IF(Table1[[#This Row],[Std Read]]="","N/A",Table1[[#This Row],[Std Read]]+Table1[[#This Row],[Std Ucty]])</f>
        <v>N/A</v>
      </c>
      <c r="Z15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19" s="1" t="str">
        <f>IF(Table1[[#This Row],[Spec Type]]="","N/A",Table1[[#This Row],[Spec Type]])</f>
        <v>±</v>
      </c>
      <c r="AC1519" s="1" t="str">
        <f>IF(Table1[[#This Row],[Spec Type2]]="N/A","N/A",IF(AND(Table1[[#This Row],[DUT Adj Read]]&gt;=Table1[[#This Row],[Low Tol]],Table1[[#This Row],[DUT Adj Read]]&lt;=Table1[[#This Row],[High Tol]]),"Pass","Fail"))</f>
        <v>Fail</v>
      </c>
      <c r="AD1519" s="1" t="str">
        <f>IF(AND(Table1[[#This Row],[Spec Type2]]="N/A",Table1[[#This Row],[DUT Adj Read]]="N/A",Table1[[#This Row],[Std Adj Read]]="N/A"),"N/A",IF(Table1[[#This Row],[DUT Adj Read]]="N/A",IF(Table1[[#This Row],[Std Adj Read]]&gt;Table1[[#This Row],[Low Tol]],"Pass","Fail"),IF(Table1[[#This Row],[DUT Adj Read]]&gt;Table1[[#This Row],[Low Tol]],"Pass","Fail")))</f>
        <v>Pass</v>
      </c>
      <c r="AE1519" s="1" t="str">
        <f>IF(AND(Table1[[#This Row],[Spec Type2]]="N/A",Table1[[#This Row],[DUT Adj Read]]="N/A",Table1[[#This Row],[Std Adj Read]]="N/A"),"N/A",IF(Table1[[#This Row],[DUT Adj Read]]="N/A",IF(Table1[[#This Row],[Std Adj Read]]&lt;Table1[[#This Row],[High Tol]],"Pass","Fail"),IF(Table1[[#This Row],[DUT Adj Read]]&lt;Table1[[#This Row],[High Tol]],"Pass","Fail")))</f>
        <v>Fail</v>
      </c>
      <c r="AF1519" s="1" t="str">
        <f>IF(AND(Table1[[#This Row],[Spec Type2]]="N/A",Table1[[#This Row],[DUT Adj Read]]="N/A",Table1[[#This Row],[Std Adj Read]]="N/A"),"N/A",IF(Table1[[#This Row],[DUT Adj Read]]="N/A",IF(Table1[[#This Row],[Std Adj Read]]&gt;=Table1[[#This Row],[Low Tol]],"Pass","Fail"),IF(Table1[[#This Row],[DUT Adj Read]]&gt;=Table1[[#This Row],[Low Tol]],"Pass","Fail")))</f>
        <v>Pass</v>
      </c>
      <c r="AG1519" s="1" t="str">
        <f>IF(AND(Table1[[#This Row],[Spec Type2]]="N/A",Table1[[#This Row],[DUT Adj Read]]="N/A",Table1[[#This Row],[Std Adj Read]]="N/A"),"N/A",IF(Table1[[#This Row],[DUT Adj Read]]="N/A",IF(Table1[[#This Row],[Std Adj Read]]&lt;=Table1[[#This Row],[High Tol]],"Pass","Fail"),IF(Table1[[#This Row],[DUT Adj Read]]&lt;=Table1[[#This Row],[High Tol]],"Pass","Fail")))</f>
        <v>Fail</v>
      </c>
      <c r="AH15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19" s="1" t="b">
        <v>0</v>
      </c>
      <c r="AN1519" s="1" t="b">
        <v>0</v>
      </c>
      <c r="AO1519" s="1" t="b">
        <v>0</v>
      </c>
    </row>
    <row r="1520" spans="1:41" x14ac:dyDescent="0.25">
      <c r="A1520" s="10"/>
      <c r="B1520" s="10"/>
      <c r="C1520" s="10"/>
      <c r="D1520" s="10"/>
      <c r="E1520" s="10"/>
      <c r="F1520" s="10"/>
      <c r="G1520" s="10"/>
      <c r="H1520" s="10"/>
      <c r="I1520" s="1" t="str">
        <f t="shared" si="69"/>
        <v/>
      </c>
      <c r="J1520" s="1" t="s">
        <v>35</v>
      </c>
      <c r="K1520" s="1" t="str">
        <f t="shared" si="70"/>
        <v/>
      </c>
      <c r="L1520" s="1" t="str">
        <f t="shared" si="71"/>
        <v/>
      </c>
      <c r="M1520" s="1">
        <f>IF(OR(Table1[[#This Row],[Std Nom]]="",Table1[[#This Row],[Std Read]]=""),0,Table1[[#This Row],[Std Nom]]-Table1[[#This Row],[Std Read]])</f>
        <v>0</v>
      </c>
      <c r="N1520" s="1">
        <f>IF(Calculations!$F$5="ACCREDITED 17025 WITH UNCERTAINTIES",$N$10,0)</f>
        <v>0</v>
      </c>
      <c r="Q1520" s="1">
        <f>Table1[[#This Row],[High Tol]]-Table1[[#This Row],[Low Tol]]</f>
        <v>0</v>
      </c>
      <c r="R1520" s="1">
        <f>2*Table1[[#This Row],[Std Error]]</f>
        <v>0</v>
      </c>
      <c r="S1520" s="1" t="str">
        <f>IF(Table1[[#This Row],[High Tol]]="","N/A",IFERROR(ABS(Table1[[#This Row],[Tol Span]]/Table1[[#This Row],[Error Span]]),"N/A"))</f>
        <v>N/A</v>
      </c>
      <c r="T1520" s="1" t="str">
        <f>IF(OR(Table1[[#This Row],[Low Tol]]="",Table1[[#This Row],[High Tol]]=""),"Needs Analysis",IF(Table1[[#This Row],[Ratio]]&gt;=4,"Not Significant",IF(Table1[[#This Row],[Ratio]]&gt;=2,"Semi-Significant","Significant")))</f>
        <v>Needs Analysis</v>
      </c>
      <c r="W1520" s="1">
        <f>IF(Table1[[#This Row],[Cal Type]]&lt;&gt;"ACCREDITED 17025 WITH UNCERTAINTIES",0,"")</f>
        <v>0</v>
      </c>
      <c r="X1520" s="1" t="str">
        <f>IF(Table1[[#This Row],[DUT Read]]="","N/A",Table1[[#This Row],[Std Error]]+Table1[[#This Row],[DUT Read]]+Table1[[#This Row],[DUT Ucty]])</f>
        <v>N/A</v>
      </c>
      <c r="Y1520" s="1" t="str">
        <f>IF(Table1[[#This Row],[Std Read]]="","N/A",Table1[[#This Row],[Std Read]]+Table1[[#This Row],[Std Ucty]])</f>
        <v>N/A</v>
      </c>
      <c r="Z15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0" s="1" t="str">
        <f>IF(Table1[[#This Row],[Spec Type]]="","N/A",Table1[[#This Row],[Spec Type]])</f>
        <v>±</v>
      </c>
      <c r="AC1520" s="1" t="str">
        <f>IF(Table1[[#This Row],[Spec Type2]]="N/A","N/A",IF(AND(Table1[[#This Row],[DUT Adj Read]]&gt;=Table1[[#This Row],[Low Tol]],Table1[[#This Row],[DUT Adj Read]]&lt;=Table1[[#This Row],[High Tol]]),"Pass","Fail"))</f>
        <v>Fail</v>
      </c>
      <c r="AD1520" s="1" t="str">
        <f>IF(AND(Table1[[#This Row],[Spec Type2]]="N/A",Table1[[#This Row],[DUT Adj Read]]="N/A",Table1[[#This Row],[Std Adj Read]]="N/A"),"N/A",IF(Table1[[#This Row],[DUT Adj Read]]="N/A",IF(Table1[[#This Row],[Std Adj Read]]&gt;Table1[[#This Row],[Low Tol]],"Pass","Fail"),IF(Table1[[#This Row],[DUT Adj Read]]&gt;Table1[[#This Row],[Low Tol]],"Pass","Fail")))</f>
        <v>Pass</v>
      </c>
      <c r="AE1520" s="1" t="str">
        <f>IF(AND(Table1[[#This Row],[Spec Type2]]="N/A",Table1[[#This Row],[DUT Adj Read]]="N/A",Table1[[#This Row],[Std Adj Read]]="N/A"),"N/A",IF(Table1[[#This Row],[DUT Adj Read]]="N/A",IF(Table1[[#This Row],[Std Adj Read]]&lt;Table1[[#This Row],[High Tol]],"Pass","Fail"),IF(Table1[[#This Row],[DUT Adj Read]]&lt;Table1[[#This Row],[High Tol]],"Pass","Fail")))</f>
        <v>Fail</v>
      </c>
      <c r="AF1520" s="1" t="str">
        <f>IF(AND(Table1[[#This Row],[Spec Type2]]="N/A",Table1[[#This Row],[DUT Adj Read]]="N/A",Table1[[#This Row],[Std Adj Read]]="N/A"),"N/A",IF(Table1[[#This Row],[DUT Adj Read]]="N/A",IF(Table1[[#This Row],[Std Adj Read]]&gt;=Table1[[#This Row],[Low Tol]],"Pass","Fail"),IF(Table1[[#This Row],[DUT Adj Read]]&gt;=Table1[[#This Row],[Low Tol]],"Pass","Fail")))</f>
        <v>Pass</v>
      </c>
      <c r="AG1520" s="1" t="str">
        <f>IF(AND(Table1[[#This Row],[Spec Type2]]="N/A",Table1[[#This Row],[DUT Adj Read]]="N/A",Table1[[#This Row],[Std Adj Read]]="N/A"),"N/A",IF(Table1[[#This Row],[DUT Adj Read]]="N/A",IF(Table1[[#This Row],[Std Adj Read]]&lt;=Table1[[#This Row],[High Tol]],"Pass","Fail"),IF(Table1[[#This Row],[DUT Adj Read]]&lt;=Table1[[#This Row],[High Tol]],"Pass","Fail")))</f>
        <v>Fail</v>
      </c>
      <c r="AH15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0" s="1" t="b">
        <v>0</v>
      </c>
      <c r="AN1520" s="1" t="b">
        <v>0</v>
      </c>
      <c r="AO1520" s="1" t="b">
        <v>0</v>
      </c>
    </row>
    <row r="1521" spans="1:41" x14ac:dyDescent="0.25">
      <c r="A1521" s="10"/>
      <c r="B1521" s="10"/>
      <c r="C1521" s="10"/>
      <c r="D1521" s="10"/>
      <c r="E1521" s="10"/>
      <c r="F1521" s="10"/>
      <c r="G1521" s="10"/>
      <c r="H1521" s="10"/>
      <c r="I1521" s="1" t="str">
        <f t="shared" si="69"/>
        <v/>
      </c>
      <c r="J1521" s="1" t="s">
        <v>35</v>
      </c>
      <c r="K1521" s="1" t="str">
        <f t="shared" si="70"/>
        <v/>
      </c>
      <c r="L1521" s="1" t="str">
        <f t="shared" si="71"/>
        <v/>
      </c>
      <c r="M1521" s="1">
        <f>IF(OR(Table1[[#This Row],[Std Nom]]="",Table1[[#This Row],[Std Read]]=""),0,Table1[[#This Row],[Std Nom]]-Table1[[#This Row],[Std Read]])</f>
        <v>0</v>
      </c>
      <c r="N1521" s="1">
        <f>IF(Calculations!$F$5="ACCREDITED 17025 WITH UNCERTAINTIES",$N$10,0)</f>
        <v>0</v>
      </c>
      <c r="Q1521" s="1">
        <f>Table1[[#This Row],[High Tol]]-Table1[[#This Row],[Low Tol]]</f>
        <v>0</v>
      </c>
      <c r="R1521" s="1">
        <f>2*Table1[[#This Row],[Std Error]]</f>
        <v>0</v>
      </c>
      <c r="S1521" s="1" t="str">
        <f>IF(Table1[[#This Row],[High Tol]]="","N/A",IFERROR(ABS(Table1[[#This Row],[Tol Span]]/Table1[[#This Row],[Error Span]]),"N/A"))</f>
        <v>N/A</v>
      </c>
      <c r="T1521" s="1" t="str">
        <f>IF(OR(Table1[[#This Row],[Low Tol]]="",Table1[[#This Row],[High Tol]]=""),"Needs Analysis",IF(Table1[[#This Row],[Ratio]]&gt;=4,"Not Significant",IF(Table1[[#This Row],[Ratio]]&gt;=2,"Semi-Significant","Significant")))</f>
        <v>Needs Analysis</v>
      </c>
      <c r="W1521" s="1">
        <f>IF(Table1[[#This Row],[Cal Type]]&lt;&gt;"ACCREDITED 17025 WITH UNCERTAINTIES",0,"")</f>
        <v>0</v>
      </c>
      <c r="X1521" s="1" t="str">
        <f>IF(Table1[[#This Row],[DUT Read]]="","N/A",Table1[[#This Row],[Std Error]]+Table1[[#This Row],[DUT Read]]+Table1[[#This Row],[DUT Ucty]])</f>
        <v>N/A</v>
      </c>
      <c r="Y1521" s="1" t="str">
        <f>IF(Table1[[#This Row],[Std Read]]="","N/A",Table1[[#This Row],[Std Read]]+Table1[[#This Row],[Std Ucty]])</f>
        <v>N/A</v>
      </c>
      <c r="Z15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1" s="1" t="str">
        <f>IF(Table1[[#This Row],[Spec Type]]="","N/A",Table1[[#This Row],[Spec Type]])</f>
        <v>±</v>
      </c>
      <c r="AC1521" s="1" t="str">
        <f>IF(Table1[[#This Row],[Spec Type2]]="N/A","N/A",IF(AND(Table1[[#This Row],[DUT Adj Read]]&gt;=Table1[[#This Row],[Low Tol]],Table1[[#This Row],[DUT Adj Read]]&lt;=Table1[[#This Row],[High Tol]]),"Pass","Fail"))</f>
        <v>Fail</v>
      </c>
      <c r="AD1521" s="1" t="str">
        <f>IF(AND(Table1[[#This Row],[Spec Type2]]="N/A",Table1[[#This Row],[DUT Adj Read]]="N/A",Table1[[#This Row],[Std Adj Read]]="N/A"),"N/A",IF(Table1[[#This Row],[DUT Adj Read]]="N/A",IF(Table1[[#This Row],[Std Adj Read]]&gt;Table1[[#This Row],[Low Tol]],"Pass","Fail"),IF(Table1[[#This Row],[DUT Adj Read]]&gt;Table1[[#This Row],[Low Tol]],"Pass","Fail")))</f>
        <v>Pass</v>
      </c>
      <c r="AE1521" s="1" t="str">
        <f>IF(AND(Table1[[#This Row],[Spec Type2]]="N/A",Table1[[#This Row],[DUT Adj Read]]="N/A",Table1[[#This Row],[Std Adj Read]]="N/A"),"N/A",IF(Table1[[#This Row],[DUT Adj Read]]="N/A",IF(Table1[[#This Row],[Std Adj Read]]&lt;Table1[[#This Row],[High Tol]],"Pass","Fail"),IF(Table1[[#This Row],[DUT Adj Read]]&lt;Table1[[#This Row],[High Tol]],"Pass","Fail")))</f>
        <v>Fail</v>
      </c>
      <c r="AF1521" s="1" t="str">
        <f>IF(AND(Table1[[#This Row],[Spec Type2]]="N/A",Table1[[#This Row],[DUT Adj Read]]="N/A",Table1[[#This Row],[Std Adj Read]]="N/A"),"N/A",IF(Table1[[#This Row],[DUT Adj Read]]="N/A",IF(Table1[[#This Row],[Std Adj Read]]&gt;=Table1[[#This Row],[Low Tol]],"Pass","Fail"),IF(Table1[[#This Row],[DUT Adj Read]]&gt;=Table1[[#This Row],[Low Tol]],"Pass","Fail")))</f>
        <v>Pass</v>
      </c>
      <c r="AG1521" s="1" t="str">
        <f>IF(AND(Table1[[#This Row],[Spec Type2]]="N/A",Table1[[#This Row],[DUT Adj Read]]="N/A",Table1[[#This Row],[Std Adj Read]]="N/A"),"N/A",IF(Table1[[#This Row],[DUT Adj Read]]="N/A",IF(Table1[[#This Row],[Std Adj Read]]&lt;=Table1[[#This Row],[High Tol]],"Pass","Fail"),IF(Table1[[#This Row],[DUT Adj Read]]&lt;=Table1[[#This Row],[High Tol]],"Pass","Fail")))</f>
        <v>Fail</v>
      </c>
      <c r="AH15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1" s="1" t="b">
        <v>0</v>
      </c>
      <c r="AN1521" s="1" t="b">
        <v>0</v>
      </c>
      <c r="AO1521" s="1" t="b">
        <v>0</v>
      </c>
    </row>
    <row r="1522" spans="1:41" x14ac:dyDescent="0.25">
      <c r="A1522" s="10"/>
      <c r="B1522" s="10"/>
      <c r="C1522" s="10"/>
      <c r="D1522" s="10"/>
      <c r="E1522" s="10"/>
      <c r="F1522" s="10"/>
      <c r="G1522" s="10"/>
      <c r="H1522" s="10"/>
      <c r="I1522" s="1" t="str">
        <f t="shared" si="69"/>
        <v/>
      </c>
      <c r="J1522" s="1" t="s">
        <v>35</v>
      </c>
      <c r="K1522" s="1" t="str">
        <f t="shared" si="70"/>
        <v/>
      </c>
      <c r="L1522" s="1" t="str">
        <f t="shared" si="71"/>
        <v/>
      </c>
      <c r="M1522" s="1">
        <f>IF(OR(Table1[[#This Row],[Std Nom]]="",Table1[[#This Row],[Std Read]]=""),0,Table1[[#This Row],[Std Nom]]-Table1[[#This Row],[Std Read]])</f>
        <v>0</v>
      </c>
      <c r="N1522" s="1">
        <f>IF(Calculations!$F$5="ACCREDITED 17025 WITH UNCERTAINTIES",$N$10,0)</f>
        <v>0</v>
      </c>
      <c r="Q1522" s="1">
        <f>Table1[[#This Row],[High Tol]]-Table1[[#This Row],[Low Tol]]</f>
        <v>0</v>
      </c>
      <c r="R1522" s="1">
        <f>2*Table1[[#This Row],[Std Error]]</f>
        <v>0</v>
      </c>
      <c r="S1522" s="1" t="str">
        <f>IF(Table1[[#This Row],[High Tol]]="","N/A",IFERROR(ABS(Table1[[#This Row],[Tol Span]]/Table1[[#This Row],[Error Span]]),"N/A"))</f>
        <v>N/A</v>
      </c>
      <c r="T1522" s="1" t="str">
        <f>IF(OR(Table1[[#This Row],[Low Tol]]="",Table1[[#This Row],[High Tol]]=""),"Needs Analysis",IF(Table1[[#This Row],[Ratio]]&gt;=4,"Not Significant",IF(Table1[[#This Row],[Ratio]]&gt;=2,"Semi-Significant","Significant")))</f>
        <v>Needs Analysis</v>
      </c>
      <c r="W1522" s="1">
        <f>IF(Table1[[#This Row],[Cal Type]]&lt;&gt;"ACCREDITED 17025 WITH UNCERTAINTIES",0,"")</f>
        <v>0</v>
      </c>
      <c r="X1522" s="1" t="str">
        <f>IF(Table1[[#This Row],[DUT Read]]="","N/A",Table1[[#This Row],[Std Error]]+Table1[[#This Row],[DUT Read]]+Table1[[#This Row],[DUT Ucty]])</f>
        <v>N/A</v>
      </c>
      <c r="Y1522" s="1" t="str">
        <f>IF(Table1[[#This Row],[Std Read]]="","N/A",Table1[[#This Row],[Std Read]]+Table1[[#This Row],[Std Ucty]])</f>
        <v>N/A</v>
      </c>
      <c r="Z15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2" s="1" t="str">
        <f>IF(Table1[[#This Row],[Spec Type]]="","N/A",Table1[[#This Row],[Spec Type]])</f>
        <v>±</v>
      </c>
      <c r="AC1522" s="1" t="str">
        <f>IF(Table1[[#This Row],[Spec Type2]]="N/A","N/A",IF(AND(Table1[[#This Row],[DUT Adj Read]]&gt;=Table1[[#This Row],[Low Tol]],Table1[[#This Row],[DUT Adj Read]]&lt;=Table1[[#This Row],[High Tol]]),"Pass","Fail"))</f>
        <v>Fail</v>
      </c>
      <c r="AD1522" s="1" t="str">
        <f>IF(AND(Table1[[#This Row],[Spec Type2]]="N/A",Table1[[#This Row],[DUT Adj Read]]="N/A",Table1[[#This Row],[Std Adj Read]]="N/A"),"N/A",IF(Table1[[#This Row],[DUT Adj Read]]="N/A",IF(Table1[[#This Row],[Std Adj Read]]&gt;Table1[[#This Row],[Low Tol]],"Pass","Fail"),IF(Table1[[#This Row],[DUT Adj Read]]&gt;Table1[[#This Row],[Low Tol]],"Pass","Fail")))</f>
        <v>Pass</v>
      </c>
      <c r="AE1522" s="1" t="str">
        <f>IF(AND(Table1[[#This Row],[Spec Type2]]="N/A",Table1[[#This Row],[DUT Adj Read]]="N/A",Table1[[#This Row],[Std Adj Read]]="N/A"),"N/A",IF(Table1[[#This Row],[DUT Adj Read]]="N/A",IF(Table1[[#This Row],[Std Adj Read]]&lt;Table1[[#This Row],[High Tol]],"Pass","Fail"),IF(Table1[[#This Row],[DUT Adj Read]]&lt;Table1[[#This Row],[High Tol]],"Pass","Fail")))</f>
        <v>Fail</v>
      </c>
      <c r="AF1522" s="1" t="str">
        <f>IF(AND(Table1[[#This Row],[Spec Type2]]="N/A",Table1[[#This Row],[DUT Adj Read]]="N/A",Table1[[#This Row],[Std Adj Read]]="N/A"),"N/A",IF(Table1[[#This Row],[DUT Adj Read]]="N/A",IF(Table1[[#This Row],[Std Adj Read]]&gt;=Table1[[#This Row],[Low Tol]],"Pass","Fail"),IF(Table1[[#This Row],[DUT Adj Read]]&gt;=Table1[[#This Row],[Low Tol]],"Pass","Fail")))</f>
        <v>Pass</v>
      </c>
      <c r="AG1522" s="1" t="str">
        <f>IF(AND(Table1[[#This Row],[Spec Type2]]="N/A",Table1[[#This Row],[DUT Adj Read]]="N/A",Table1[[#This Row],[Std Adj Read]]="N/A"),"N/A",IF(Table1[[#This Row],[DUT Adj Read]]="N/A",IF(Table1[[#This Row],[Std Adj Read]]&lt;=Table1[[#This Row],[High Tol]],"Pass","Fail"),IF(Table1[[#This Row],[DUT Adj Read]]&lt;=Table1[[#This Row],[High Tol]],"Pass","Fail")))</f>
        <v>Fail</v>
      </c>
      <c r="AH15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2" s="1" t="b">
        <v>0</v>
      </c>
      <c r="AN1522" s="1" t="b">
        <v>0</v>
      </c>
      <c r="AO1522" s="1" t="b">
        <v>0</v>
      </c>
    </row>
    <row r="1523" spans="1:41" x14ac:dyDescent="0.25">
      <c r="A1523" s="10"/>
      <c r="B1523" s="10"/>
      <c r="C1523" s="10"/>
      <c r="D1523" s="10"/>
      <c r="E1523" s="10"/>
      <c r="F1523" s="10"/>
      <c r="G1523" s="10"/>
      <c r="H1523" s="10"/>
      <c r="I1523" s="1" t="str">
        <f t="shared" si="69"/>
        <v/>
      </c>
      <c r="J1523" s="1" t="s">
        <v>35</v>
      </c>
      <c r="K1523" s="1" t="str">
        <f t="shared" si="70"/>
        <v/>
      </c>
      <c r="L1523" s="1" t="str">
        <f t="shared" si="71"/>
        <v/>
      </c>
      <c r="M1523" s="1">
        <f>IF(OR(Table1[[#This Row],[Std Nom]]="",Table1[[#This Row],[Std Read]]=""),0,Table1[[#This Row],[Std Nom]]-Table1[[#This Row],[Std Read]])</f>
        <v>0</v>
      </c>
      <c r="N1523" s="1">
        <f>IF(Calculations!$F$5="ACCREDITED 17025 WITH UNCERTAINTIES",$N$10,0)</f>
        <v>0</v>
      </c>
      <c r="Q1523" s="1">
        <f>Table1[[#This Row],[High Tol]]-Table1[[#This Row],[Low Tol]]</f>
        <v>0</v>
      </c>
      <c r="R1523" s="1">
        <f>2*Table1[[#This Row],[Std Error]]</f>
        <v>0</v>
      </c>
      <c r="S1523" s="1" t="str">
        <f>IF(Table1[[#This Row],[High Tol]]="","N/A",IFERROR(ABS(Table1[[#This Row],[Tol Span]]/Table1[[#This Row],[Error Span]]),"N/A"))</f>
        <v>N/A</v>
      </c>
      <c r="T1523" s="1" t="str">
        <f>IF(OR(Table1[[#This Row],[Low Tol]]="",Table1[[#This Row],[High Tol]]=""),"Needs Analysis",IF(Table1[[#This Row],[Ratio]]&gt;=4,"Not Significant",IF(Table1[[#This Row],[Ratio]]&gt;=2,"Semi-Significant","Significant")))</f>
        <v>Needs Analysis</v>
      </c>
      <c r="W1523" s="1">
        <f>IF(Table1[[#This Row],[Cal Type]]&lt;&gt;"ACCREDITED 17025 WITH UNCERTAINTIES",0,"")</f>
        <v>0</v>
      </c>
      <c r="X1523" s="1" t="str">
        <f>IF(Table1[[#This Row],[DUT Read]]="","N/A",Table1[[#This Row],[Std Error]]+Table1[[#This Row],[DUT Read]]+Table1[[#This Row],[DUT Ucty]])</f>
        <v>N/A</v>
      </c>
      <c r="Y1523" s="1" t="str">
        <f>IF(Table1[[#This Row],[Std Read]]="","N/A",Table1[[#This Row],[Std Read]]+Table1[[#This Row],[Std Ucty]])</f>
        <v>N/A</v>
      </c>
      <c r="Z15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3" s="1" t="str">
        <f>IF(Table1[[#This Row],[Spec Type]]="","N/A",Table1[[#This Row],[Spec Type]])</f>
        <v>±</v>
      </c>
      <c r="AC1523" s="1" t="str">
        <f>IF(Table1[[#This Row],[Spec Type2]]="N/A","N/A",IF(AND(Table1[[#This Row],[DUT Adj Read]]&gt;=Table1[[#This Row],[Low Tol]],Table1[[#This Row],[DUT Adj Read]]&lt;=Table1[[#This Row],[High Tol]]),"Pass","Fail"))</f>
        <v>Fail</v>
      </c>
      <c r="AD1523" s="1" t="str">
        <f>IF(AND(Table1[[#This Row],[Spec Type2]]="N/A",Table1[[#This Row],[DUT Adj Read]]="N/A",Table1[[#This Row],[Std Adj Read]]="N/A"),"N/A",IF(Table1[[#This Row],[DUT Adj Read]]="N/A",IF(Table1[[#This Row],[Std Adj Read]]&gt;Table1[[#This Row],[Low Tol]],"Pass","Fail"),IF(Table1[[#This Row],[DUT Adj Read]]&gt;Table1[[#This Row],[Low Tol]],"Pass","Fail")))</f>
        <v>Pass</v>
      </c>
      <c r="AE1523" s="1" t="str">
        <f>IF(AND(Table1[[#This Row],[Spec Type2]]="N/A",Table1[[#This Row],[DUT Adj Read]]="N/A",Table1[[#This Row],[Std Adj Read]]="N/A"),"N/A",IF(Table1[[#This Row],[DUT Adj Read]]="N/A",IF(Table1[[#This Row],[Std Adj Read]]&lt;Table1[[#This Row],[High Tol]],"Pass","Fail"),IF(Table1[[#This Row],[DUT Adj Read]]&lt;Table1[[#This Row],[High Tol]],"Pass","Fail")))</f>
        <v>Fail</v>
      </c>
      <c r="AF1523" s="1" t="str">
        <f>IF(AND(Table1[[#This Row],[Spec Type2]]="N/A",Table1[[#This Row],[DUT Adj Read]]="N/A",Table1[[#This Row],[Std Adj Read]]="N/A"),"N/A",IF(Table1[[#This Row],[DUT Adj Read]]="N/A",IF(Table1[[#This Row],[Std Adj Read]]&gt;=Table1[[#This Row],[Low Tol]],"Pass","Fail"),IF(Table1[[#This Row],[DUT Adj Read]]&gt;=Table1[[#This Row],[Low Tol]],"Pass","Fail")))</f>
        <v>Pass</v>
      </c>
      <c r="AG1523" s="1" t="str">
        <f>IF(AND(Table1[[#This Row],[Spec Type2]]="N/A",Table1[[#This Row],[DUT Adj Read]]="N/A",Table1[[#This Row],[Std Adj Read]]="N/A"),"N/A",IF(Table1[[#This Row],[DUT Adj Read]]="N/A",IF(Table1[[#This Row],[Std Adj Read]]&lt;=Table1[[#This Row],[High Tol]],"Pass","Fail"),IF(Table1[[#This Row],[DUT Adj Read]]&lt;=Table1[[#This Row],[High Tol]],"Pass","Fail")))</f>
        <v>Fail</v>
      </c>
      <c r="AH15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3" s="1" t="b">
        <v>0</v>
      </c>
      <c r="AN1523" s="1" t="b">
        <v>0</v>
      </c>
      <c r="AO1523" s="1" t="b">
        <v>0</v>
      </c>
    </row>
    <row r="1524" spans="1:41" x14ac:dyDescent="0.25">
      <c r="A1524" s="10"/>
      <c r="B1524" s="10"/>
      <c r="C1524" s="10"/>
      <c r="D1524" s="10"/>
      <c r="E1524" s="10"/>
      <c r="F1524" s="10"/>
      <c r="G1524" s="10"/>
      <c r="H1524" s="10"/>
      <c r="I1524" s="1" t="str">
        <f t="shared" si="69"/>
        <v/>
      </c>
      <c r="J1524" s="1" t="s">
        <v>35</v>
      </c>
      <c r="K1524" s="1" t="str">
        <f t="shared" si="70"/>
        <v/>
      </c>
      <c r="L1524" s="1" t="str">
        <f t="shared" si="71"/>
        <v/>
      </c>
      <c r="M1524" s="1">
        <f>IF(OR(Table1[[#This Row],[Std Nom]]="",Table1[[#This Row],[Std Read]]=""),0,Table1[[#This Row],[Std Nom]]-Table1[[#This Row],[Std Read]])</f>
        <v>0</v>
      </c>
      <c r="N1524" s="1">
        <f>IF(Calculations!$F$5="ACCREDITED 17025 WITH UNCERTAINTIES",$N$10,0)</f>
        <v>0</v>
      </c>
      <c r="Q1524" s="1">
        <f>Table1[[#This Row],[High Tol]]-Table1[[#This Row],[Low Tol]]</f>
        <v>0</v>
      </c>
      <c r="R1524" s="1">
        <f>2*Table1[[#This Row],[Std Error]]</f>
        <v>0</v>
      </c>
      <c r="S1524" s="1" t="str">
        <f>IF(Table1[[#This Row],[High Tol]]="","N/A",IFERROR(ABS(Table1[[#This Row],[Tol Span]]/Table1[[#This Row],[Error Span]]),"N/A"))</f>
        <v>N/A</v>
      </c>
      <c r="T1524" s="1" t="str">
        <f>IF(OR(Table1[[#This Row],[Low Tol]]="",Table1[[#This Row],[High Tol]]=""),"Needs Analysis",IF(Table1[[#This Row],[Ratio]]&gt;=4,"Not Significant",IF(Table1[[#This Row],[Ratio]]&gt;=2,"Semi-Significant","Significant")))</f>
        <v>Needs Analysis</v>
      </c>
      <c r="W1524" s="1">
        <f>IF(Table1[[#This Row],[Cal Type]]&lt;&gt;"ACCREDITED 17025 WITH UNCERTAINTIES",0,"")</f>
        <v>0</v>
      </c>
      <c r="X1524" s="1" t="str">
        <f>IF(Table1[[#This Row],[DUT Read]]="","N/A",Table1[[#This Row],[Std Error]]+Table1[[#This Row],[DUT Read]]+Table1[[#This Row],[DUT Ucty]])</f>
        <v>N/A</v>
      </c>
      <c r="Y1524" s="1" t="str">
        <f>IF(Table1[[#This Row],[Std Read]]="","N/A",Table1[[#This Row],[Std Read]]+Table1[[#This Row],[Std Ucty]])</f>
        <v>N/A</v>
      </c>
      <c r="Z15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4" s="1" t="str">
        <f>IF(Table1[[#This Row],[Spec Type]]="","N/A",Table1[[#This Row],[Spec Type]])</f>
        <v>±</v>
      </c>
      <c r="AC1524" s="1" t="str">
        <f>IF(Table1[[#This Row],[Spec Type2]]="N/A","N/A",IF(AND(Table1[[#This Row],[DUT Adj Read]]&gt;=Table1[[#This Row],[Low Tol]],Table1[[#This Row],[DUT Adj Read]]&lt;=Table1[[#This Row],[High Tol]]),"Pass","Fail"))</f>
        <v>Fail</v>
      </c>
      <c r="AD1524" s="1" t="str">
        <f>IF(AND(Table1[[#This Row],[Spec Type2]]="N/A",Table1[[#This Row],[DUT Adj Read]]="N/A",Table1[[#This Row],[Std Adj Read]]="N/A"),"N/A",IF(Table1[[#This Row],[DUT Adj Read]]="N/A",IF(Table1[[#This Row],[Std Adj Read]]&gt;Table1[[#This Row],[Low Tol]],"Pass","Fail"),IF(Table1[[#This Row],[DUT Adj Read]]&gt;Table1[[#This Row],[Low Tol]],"Pass","Fail")))</f>
        <v>Pass</v>
      </c>
      <c r="AE1524" s="1" t="str">
        <f>IF(AND(Table1[[#This Row],[Spec Type2]]="N/A",Table1[[#This Row],[DUT Adj Read]]="N/A",Table1[[#This Row],[Std Adj Read]]="N/A"),"N/A",IF(Table1[[#This Row],[DUT Adj Read]]="N/A",IF(Table1[[#This Row],[Std Adj Read]]&lt;Table1[[#This Row],[High Tol]],"Pass","Fail"),IF(Table1[[#This Row],[DUT Adj Read]]&lt;Table1[[#This Row],[High Tol]],"Pass","Fail")))</f>
        <v>Fail</v>
      </c>
      <c r="AF1524" s="1" t="str">
        <f>IF(AND(Table1[[#This Row],[Spec Type2]]="N/A",Table1[[#This Row],[DUT Adj Read]]="N/A",Table1[[#This Row],[Std Adj Read]]="N/A"),"N/A",IF(Table1[[#This Row],[DUT Adj Read]]="N/A",IF(Table1[[#This Row],[Std Adj Read]]&gt;=Table1[[#This Row],[Low Tol]],"Pass","Fail"),IF(Table1[[#This Row],[DUT Adj Read]]&gt;=Table1[[#This Row],[Low Tol]],"Pass","Fail")))</f>
        <v>Pass</v>
      </c>
      <c r="AG1524" s="1" t="str">
        <f>IF(AND(Table1[[#This Row],[Spec Type2]]="N/A",Table1[[#This Row],[DUT Adj Read]]="N/A",Table1[[#This Row],[Std Adj Read]]="N/A"),"N/A",IF(Table1[[#This Row],[DUT Adj Read]]="N/A",IF(Table1[[#This Row],[Std Adj Read]]&lt;=Table1[[#This Row],[High Tol]],"Pass","Fail"),IF(Table1[[#This Row],[DUT Adj Read]]&lt;=Table1[[#This Row],[High Tol]],"Pass","Fail")))</f>
        <v>Fail</v>
      </c>
      <c r="AH15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4" s="1" t="b">
        <v>0</v>
      </c>
      <c r="AN1524" s="1" t="b">
        <v>0</v>
      </c>
      <c r="AO1524" s="1" t="b">
        <v>0</v>
      </c>
    </row>
    <row r="1525" spans="1:41" x14ac:dyDescent="0.25">
      <c r="A1525" s="10"/>
      <c r="B1525" s="10"/>
      <c r="C1525" s="10"/>
      <c r="D1525" s="10"/>
      <c r="E1525" s="10"/>
      <c r="F1525" s="10"/>
      <c r="G1525" s="10"/>
      <c r="H1525" s="10"/>
      <c r="I1525" s="1" t="str">
        <f t="shared" si="69"/>
        <v/>
      </c>
      <c r="J1525" s="1" t="s">
        <v>35</v>
      </c>
      <c r="K1525" s="1" t="str">
        <f t="shared" si="70"/>
        <v/>
      </c>
      <c r="L1525" s="1" t="str">
        <f t="shared" si="71"/>
        <v/>
      </c>
      <c r="M1525" s="1">
        <f>IF(OR(Table1[[#This Row],[Std Nom]]="",Table1[[#This Row],[Std Read]]=""),0,Table1[[#This Row],[Std Nom]]-Table1[[#This Row],[Std Read]])</f>
        <v>0</v>
      </c>
      <c r="N1525" s="1">
        <f>IF(Calculations!$F$5="ACCREDITED 17025 WITH UNCERTAINTIES",$N$10,0)</f>
        <v>0</v>
      </c>
      <c r="Q1525" s="1">
        <f>Table1[[#This Row],[High Tol]]-Table1[[#This Row],[Low Tol]]</f>
        <v>0</v>
      </c>
      <c r="R1525" s="1">
        <f>2*Table1[[#This Row],[Std Error]]</f>
        <v>0</v>
      </c>
      <c r="S1525" s="1" t="str">
        <f>IF(Table1[[#This Row],[High Tol]]="","N/A",IFERROR(ABS(Table1[[#This Row],[Tol Span]]/Table1[[#This Row],[Error Span]]),"N/A"))</f>
        <v>N/A</v>
      </c>
      <c r="T1525" s="1" t="str">
        <f>IF(OR(Table1[[#This Row],[Low Tol]]="",Table1[[#This Row],[High Tol]]=""),"Needs Analysis",IF(Table1[[#This Row],[Ratio]]&gt;=4,"Not Significant",IF(Table1[[#This Row],[Ratio]]&gt;=2,"Semi-Significant","Significant")))</f>
        <v>Needs Analysis</v>
      </c>
      <c r="W1525" s="1">
        <f>IF(Table1[[#This Row],[Cal Type]]&lt;&gt;"ACCREDITED 17025 WITH UNCERTAINTIES",0,"")</f>
        <v>0</v>
      </c>
      <c r="X1525" s="1" t="str">
        <f>IF(Table1[[#This Row],[DUT Read]]="","N/A",Table1[[#This Row],[Std Error]]+Table1[[#This Row],[DUT Read]]+Table1[[#This Row],[DUT Ucty]])</f>
        <v>N/A</v>
      </c>
      <c r="Y1525" s="1" t="str">
        <f>IF(Table1[[#This Row],[Std Read]]="","N/A",Table1[[#This Row],[Std Read]]+Table1[[#This Row],[Std Ucty]])</f>
        <v>N/A</v>
      </c>
      <c r="Z15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5" s="1" t="str">
        <f>IF(Table1[[#This Row],[Spec Type]]="","N/A",Table1[[#This Row],[Spec Type]])</f>
        <v>±</v>
      </c>
      <c r="AC1525" s="1" t="str">
        <f>IF(Table1[[#This Row],[Spec Type2]]="N/A","N/A",IF(AND(Table1[[#This Row],[DUT Adj Read]]&gt;=Table1[[#This Row],[Low Tol]],Table1[[#This Row],[DUT Adj Read]]&lt;=Table1[[#This Row],[High Tol]]),"Pass","Fail"))</f>
        <v>Fail</v>
      </c>
      <c r="AD1525" s="1" t="str">
        <f>IF(AND(Table1[[#This Row],[Spec Type2]]="N/A",Table1[[#This Row],[DUT Adj Read]]="N/A",Table1[[#This Row],[Std Adj Read]]="N/A"),"N/A",IF(Table1[[#This Row],[DUT Adj Read]]="N/A",IF(Table1[[#This Row],[Std Adj Read]]&gt;Table1[[#This Row],[Low Tol]],"Pass","Fail"),IF(Table1[[#This Row],[DUT Adj Read]]&gt;Table1[[#This Row],[Low Tol]],"Pass","Fail")))</f>
        <v>Pass</v>
      </c>
      <c r="AE1525" s="1" t="str">
        <f>IF(AND(Table1[[#This Row],[Spec Type2]]="N/A",Table1[[#This Row],[DUT Adj Read]]="N/A",Table1[[#This Row],[Std Adj Read]]="N/A"),"N/A",IF(Table1[[#This Row],[DUT Adj Read]]="N/A",IF(Table1[[#This Row],[Std Adj Read]]&lt;Table1[[#This Row],[High Tol]],"Pass","Fail"),IF(Table1[[#This Row],[DUT Adj Read]]&lt;Table1[[#This Row],[High Tol]],"Pass","Fail")))</f>
        <v>Fail</v>
      </c>
      <c r="AF1525" s="1" t="str">
        <f>IF(AND(Table1[[#This Row],[Spec Type2]]="N/A",Table1[[#This Row],[DUT Adj Read]]="N/A",Table1[[#This Row],[Std Adj Read]]="N/A"),"N/A",IF(Table1[[#This Row],[DUT Adj Read]]="N/A",IF(Table1[[#This Row],[Std Adj Read]]&gt;=Table1[[#This Row],[Low Tol]],"Pass","Fail"),IF(Table1[[#This Row],[DUT Adj Read]]&gt;=Table1[[#This Row],[Low Tol]],"Pass","Fail")))</f>
        <v>Pass</v>
      </c>
      <c r="AG1525" s="1" t="str">
        <f>IF(AND(Table1[[#This Row],[Spec Type2]]="N/A",Table1[[#This Row],[DUT Adj Read]]="N/A",Table1[[#This Row],[Std Adj Read]]="N/A"),"N/A",IF(Table1[[#This Row],[DUT Adj Read]]="N/A",IF(Table1[[#This Row],[Std Adj Read]]&lt;=Table1[[#This Row],[High Tol]],"Pass","Fail"),IF(Table1[[#This Row],[DUT Adj Read]]&lt;=Table1[[#This Row],[High Tol]],"Pass","Fail")))</f>
        <v>Fail</v>
      </c>
      <c r="AH15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5" s="1" t="b">
        <v>0</v>
      </c>
      <c r="AN1525" s="1" t="b">
        <v>0</v>
      </c>
      <c r="AO1525" s="1" t="b">
        <v>0</v>
      </c>
    </row>
    <row r="1526" spans="1:41" x14ac:dyDescent="0.25">
      <c r="A1526" s="10"/>
      <c r="B1526" s="10"/>
      <c r="C1526" s="10"/>
      <c r="D1526" s="10"/>
      <c r="E1526" s="10"/>
      <c r="F1526" s="10"/>
      <c r="G1526" s="10"/>
      <c r="H1526" s="10"/>
      <c r="I1526" s="1" t="str">
        <f t="shared" si="69"/>
        <v/>
      </c>
      <c r="J1526" s="1" t="s">
        <v>35</v>
      </c>
      <c r="K1526" s="1" t="str">
        <f t="shared" si="70"/>
        <v/>
      </c>
      <c r="L1526" s="1" t="str">
        <f t="shared" si="71"/>
        <v/>
      </c>
      <c r="M1526" s="1">
        <f>IF(OR(Table1[[#This Row],[Std Nom]]="",Table1[[#This Row],[Std Read]]=""),0,Table1[[#This Row],[Std Nom]]-Table1[[#This Row],[Std Read]])</f>
        <v>0</v>
      </c>
      <c r="N1526" s="1">
        <f>IF(Calculations!$F$5="ACCREDITED 17025 WITH UNCERTAINTIES",$N$10,0)</f>
        <v>0</v>
      </c>
      <c r="Q1526" s="1">
        <f>Table1[[#This Row],[High Tol]]-Table1[[#This Row],[Low Tol]]</f>
        <v>0</v>
      </c>
      <c r="R1526" s="1">
        <f>2*Table1[[#This Row],[Std Error]]</f>
        <v>0</v>
      </c>
      <c r="S1526" s="1" t="str">
        <f>IF(Table1[[#This Row],[High Tol]]="","N/A",IFERROR(ABS(Table1[[#This Row],[Tol Span]]/Table1[[#This Row],[Error Span]]),"N/A"))</f>
        <v>N/A</v>
      </c>
      <c r="T1526" s="1" t="str">
        <f>IF(OR(Table1[[#This Row],[Low Tol]]="",Table1[[#This Row],[High Tol]]=""),"Needs Analysis",IF(Table1[[#This Row],[Ratio]]&gt;=4,"Not Significant",IF(Table1[[#This Row],[Ratio]]&gt;=2,"Semi-Significant","Significant")))</f>
        <v>Needs Analysis</v>
      </c>
      <c r="W1526" s="1">
        <f>IF(Table1[[#This Row],[Cal Type]]&lt;&gt;"ACCREDITED 17025 WITH UNCERTAINTIES",0,"")</f>
        <v>0</v>
      </c>
      <c r="X1526" s="1" t="str">
        <f>IF(Table1[[#This Row],[DUT Read]]="","N/A",Table1[[#This Row],[Std Error]]+Table1[[#This Row],[DUT Read]]+Table1[[#This Row],[DUT Ucty]])</f>
        <v>N/A</v>
      </c>
      <c r="Y1526" s="1" t="str">
        <f>IF(Table1[[#This Row],[Std Read]]="","N/A",Table1[[#This Row],[Std Read]]+Table1[[#This Row],[Std Ucty]])</f>
        <v>N/A</v>
      </c>
      <c r="Z15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6" s="1" t="str">
        <f>IF(Table1[[#This Row],[Spec Type]]="","N/A",Table1[[#This Row],[Spec Type]])</f>
        <v>±</v>
      </c>
      <c r="AC1526" s="1" t="str">
        <f>IF(Table1[[#This Row],[Spec Type2]]="N/A","N/A",IF(AND(Table1[[#This Row],[DUT Adj Read]]&gt;=Table1[[#This Row],[Low Tol]],Table1[[#This Row],[DUT Adj Read]]&lt;=Table1[[#This Row],[High Tol]]),"Pass","Fail"))</f>
        <v>Fail</v>
      </c>
      <c r="AD1526" s="1" t="str">
        <f>IF(AND(Table1[[#This Row],[Spec Type2]]="N/A",Table1[[#This Row],[DUT Adj Read]]="N/A",Table1[[#This Row],[Std Adj Read]]="N/A"),"N/A",IF(Table1[[#This Row],[DUT Adj Read]]="N/A",IF(Table1[[#This Row],[Std Adj Read]]&gt;Table1[[#This Row],[Low Tol]],"Pass","Fail"),IF(Table1[[#This Row],[DUT Adj Read]]&gt;Table1[[#This Row],[Low Tol]],"Pass","Fail")))</f>
        <v>Pass</v>
      </c>
      <c r="AE1526" s="1" t="str">
        <f>IF(AND(Table1[[#This Row],[Spec Type2]]="N/A",Table1[[#This Row],[DUT Adj Read]]="N/A",Table1[[#This Row],[Std Adj Read]]="N/A"),"N/A",IF(Table1[[#This Row],[DUT Adj Read]]="N/A",IF(Table1[[#This Row],[Std Adj Read]]&lt;Table1[[#This Row],[High Tol]],"Pass","Fail"),IF(Table1[[#This Row],[DUT Adj Read]]&lt;Table1[[#This Row],[High Tol]],"Pass","Fail")))</f>
        <v>Fail</v>
      </c>
      <c r="AF1526" s="1" t="str">
        <f>IF(AND(Table1[[#This Row],[Spec Type2]]="N/A",Table1[[#This Row],[DUT Adj Read]]="N/A",Table1[[#This Row],[Std Adj Read]]="N/A"),"N/A",IF(Table1[[#This Row],[DUT Adj Read]]="N/A",IF(Table1[[#This Row],[Std Adj Read]]&gt;=Table1[[#This Row],[Low Tol]],"Pass","Fail"),IF(Table1[[#This Row],[DUT Adj Read]]&gt;=Table1[[#This Row],[Low Tol]],"Pass","Fail")))</f>
        <v>Pass</v>
      </c>
      <c r="AG1526" s="1" t="str">
        <f>IF(AND(Table1[[#This Row],[Spec Type2]]="N/A",Table1[[#This Row],[DUT Adj Read]]="N/A",Table1[[#This Row],[Std Adj Read]]="N/A"),"N/A",IF(Table1[[#This Row],[DUT Adj Read]]="N/A",IF(Table1[[#This Row],[Std Adj Read]]&lt;=Table1[[#This Row],[High Tol]],"Pass","Fail"),IF(Table1[[#This Row],[DUT Adj Read]]&lt;=Table1[[#This Row],[High Tol]],"Pass","Fail")))</f>
        <v>Fail</v>
      </c>
      <c r="AH15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6" s="1" t="b">
        <v>0</v>
      </c>
      <c r="AN1526" s="1" t="b">
        <v>0</v>
      </c>
      <c r="AO1526" s="1" t="b">
        <v>0</v>
      </c>
    </row>
    <row r="1527" spans="1:41" x14ac:dyDescent="0.25">
      <c r="A1527" s="10"/>
      <c r="B1527" s="10"/>
      <c r="C1527" s="10"/>
      <c r="D1527" s="10"/>
      <c r="E1527" s="10"/>
      <c r="F1527" s="10"/>
      <c r="G1527" s="10"/>
      <c r="H1527" s="10"/>
      <c r="I1527" s="1" t="str">
        <f t="shared" si="69"/>
        <v/>
      </c>
      <c r="J1527" s="1" t="s">
        <v>35</v>
      </c>
      <c r="K1527" s="1" t="str">
        <f t="shared" si="70"/>
        <v/>
      </c>
      <c r="L1527" s="1" t="str">
        <f t="shared" si="71"/>
        <v/>
      </c>
      <c r="M1527" s="1">
        <f>IF(OR(Table1[[#This Row],[Std Nom]]="",Table1[[#This Row],[Std Read]]=""),0,Table1[[#This Row],[Std Nom]]-Table1[[#This Row],[Std Read]])</f>
        <v>0</v>
      </c>
      <c r="N1527" s="1">
        <f>IF(Calculations!$F$5="ACCREDITED 17025 WITH UNCERTAINTIES",$N$10,0)</f>
        <v>0</v>
      </c>
      <c r="Q1527" s="1">
        <f>Table1[[#This Row],[High Tol]]-Table1[[#This Row],[Low Tol]]</f>
        <v>0</v>
      </c>
      <c r="R1527" s="1">
        <f>2*Table1[[#This Row],[Std Error]]</f>
        <v>0</v>
      </c>
      <c r="S1527" s="1" t="str">
        <f>IF(Table1[[#This Row],[High Tol]]="","N/A",IFERROR(ABS(Table1[[#This Row],[Tol Span]]/Table1[[#This Row],[Error Span]]),"N/A"))</f>
        <v>N/A</v>
      </c>
      <c r="T1527" s="1" t="str">
        <f>IF(OR(Table1[[#This Row],[Low Tol]]="",Table1[[#This Row],[High Tol]]=""),"Needs Analysis",IF(Table1[[#This Row],[Ratio]]&gt;=4,"Not Significant",IF(Table1[[#This Row],[Ratio]]&gt;=2,"Semi-Significant","Significant")))</f>
        <v>Needs Analysis</v>
      </c>
      <c r="W1527" s="1">
        <f>IF(Table1[[#This Row],[Cal Type]]&lt;&gt;"ACCREDITED 17025 WITH UNCERTAINTIES",0,"")</f>
        <v>0</v>
      </c>
      <c r="X1527" s="1" t="str">
        <f>IF(Table1[[#This Row],[DUT Read]]="","N/A",Table1[[#This Row],[Std Error]]+Table1[[#This Row],[DUT Read]]+Table1[[#This Row],[DUT Ucty]])</f>
        <v>N/A</v>
      </c>
      <c r="Y1527" s="1" t="str">
        <f>IF(Table1[[#This Row],[Std Read]]="","N/A",Table1[[#This Row],[Std Read]]+Table1[[#This Row],[Std Ucty]])</f>
        <v>N/A</v>
      </c>
      <c r="Z15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7" s="1" t="str">
        <f>IF(Table1[[#This Row],[Spec Type]]="","N/A",Table1[[#This Row],[Spec Type]])</f>
        <v>±</v>
      </c>
      <c r="AC1527" s="1" t="str">
        <f>IF(Table1[[#This Row],[Spec Type2]]="N/A","N/A",IF(AND(Table1[[#This Row],[DUT Adj Read]]&gt;=Table1[[#This Row],[Low Tol]],Table1[[#This Row],[DUT Adj Read]]&lt;=Table1[[#This Row],[High Tol]]),"Pass","Fail"))</f>
        <v>Fail</v>
      </c>
      <c r="AD1527" s="1" t="str">
        <f>IF(AND(Table1[[#This Row],[Spec Type2]]="N/A",Table1[[#This Row],[DUT Adj Read]]="N/A",Table1[[#This Row],[Std Adj Read]]="N/A"),"N/A",IF(Table1[[#This Row],[DUT Adj Read]]="N/A",IF(Table1[[#This Row],[Std Adj Read]]&gt;Table1[[#This Row],[Low Tol]],"Pass","Fail"),IF(Table1[[#This Row],[DUT Adj Read]]&gt;Table1[[#This Row],[Low Tol]],"Pass","Fail")))</f>
        <v>Pass</v>
      </c>
      <c r="AE1527" s="1" t="str">
        <f>IF(AND(Table1[[#This Row],[Spec Type2]]="N/A",Table1[[#This Row],[DUT Adj Read]]="N/A",Table1[[#This Row],[Std Adj Read]]="N/A"),"N/A",IF(Table1[[#This Row],[DUT Adj Read]]="N/A",IF(Table1[[#This Row],[Std Adj Read]]&lt;Table1[[#This Row],[High Tol]],"Pass","Fail"),IF(Table1[[#This Row],[DUT Adj Read]]&lt;Table1[[#This Row],[High Tol]],"Pass","Fail")))</f>
        <v>Fail</v>
      </c>
      <c r="AF1527" s="1" t="str">
        <f>IF(AND(Table1[[#This Row],[Spec Type2]]="N/A",Table1[[#This Row],[DUT Adj Read]]="N/A",Table1[[#This Row],[Std Adj Read]]="N/A"),"N/A",IF(Table1[[#This Row],[DUT Adj Read]]="N/A",IF(Table1[[#This Row],[Std Adj Read]]&gt;=Table1[[#This Row],[Low Tol]],"Pass","Fail"),IF(Table1[[#This Row],[DUT Adj Read]]&gt;=Table1[[#This Row],[Low Tol]],"Pass","Fail")))</f>
        <v>Pass</v>
      </c>
      <c r="AG1527" s="1" t="str">
        <f>IF(AND(Table1[[#This Row],[Spec Type2]]="N/A",Table1[[#This Row],[DUT Adj Read]]="N/A",Table1[[#This Row],[Std Adj Read]]="N/A"),"N/A",IF(Table1[[#This Row],[DUT Adj Read]]="N/A",IF(Table1[[#This Row],[Std Adj Read]]&lt;=Table1[[#This Row],[High Tol]],"Pass","Fail"),IF(Table1[[#This Row],[DUT Adj Read]]&lt;=Table1[[#This Row],[High Tol]],"Pass","Fail")))</f>
        <v>Fail</v>
      </c>
      <c r="AH15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7" s="1" t="b">
        <v>0</v>
      </c>
      <c r="AN1527" s="1" t="b">
        <v>0</v>
      </c>
      <c r="AO1527" s="1" t="b">
        <v>0</v>
      </c>
    </row>
    <row r="1528" spans="1:41" x14ac:dyDescent="0.25">
      <c r="A1528" s="10"/>
      <c r="B1528" s="10"/>
      <c r="C1528" s="10"/>
      <c r="D1528" s="10"/>
      <c r="E1528" s="10"/>
      <c r="F1528" s="10"/>
      <c r="G1528" s="10"/>
      <c r="H1528" s="10"/>
      <c r="I1528" s="1" t="str">
        <f t="shared" si="69"/>
        <v/>
      </c>
      <c r="J1528" s="1" t="s">
        <v>35</v>
      </c>
      <c r="K1528" s="1" t="str">
        <f t="shared" si="70"/>
        <v/>
      </c>
      <c r="L1528" s="1" t="str">
        <f t="shared" si="71"/>
        <v/>
      </c>
      <c r="M1528" s="1">
        <f>IF(OR(Table1[[#This Row],[Std Nom]]="",Table1[[#This Row],[Std Read]]=""),0,Table1[[#This Row],[Std Nom]]-Table1[[#This Row],[Std Read]])</f>
        <v>0</v>
      </c>
      <c r="N1528" s="1">
        <f>IF(Calculations!$F$5="ACCREDITED 17025 WITH UNCERTAINTIES",$N$10,0)</f>
        <v>0</v>
      </c>
      <c r="Q1528" s="1">
        <f>Table1[[#This Row],[High Tol]]-Table1[[#This Row],[Low Tol]]</f>
        <v>0</v>
      </c>
      <c r="R1528" s="1">
        <f>2*Table1[[#This Row],[Std Error]]</f>
        <v>0</v>
      </c>
      <c r="S1528" s="1" t="str">
        <f>IF(Table1[[#This Row],[High Tol]]="","N/A",IFERROR(ABS(Table1[[#This Row],[Tol Span]]/Table1[[#This Row],[Error Span]]),"N/A"))</f>
        <v>N/A</v>
      </c>
      <c r="T1528" s="1" t="str">
        <f>IF(OR(Table1[[#This Row],[Low Tol]]="",Table1[[#This Row],[High Tol]]=""),"Needs Analysis",IF(Table1[[#This Row],[Ratio]]&gt;=4,"Not Significant",IF(Table1[[#This Row],[Ratio]]&gt;=2,"Semi-Significant","Significant")))</f>
        <v>Needs Analysis</v>
      </c>
      <c r="W1528" s="1">
        <f>IF(Table1[[#This Row],[Cal Type]]&lt;&gt;"ACCREDITED 17025 WITH UNCERTAINTIES",0,"")</f>
        <v>0</v>
      </c>
      <c r="X1528" s="1" t="str">
        <f>IF(Table1[[#This Row],[DUT Read]]="","N/A",Table1[[#This Row],[Std Error]]+Table1[[#This Row],[DUT Read]]+Table1[[#This Row],[DUT Ucty]])</f>
        <v>N/A</v>
      </c>
      <c r="Y1528" s="1" t="str">
        <f>IF(Table1[[#This Row],[Std Read]]="","N/A",Table1[[#This Row],[Std Read]]+Table1[[#This Row],[Std Ucty]])</f>
        <v>N/A</v>
      </c>
      <c r="Z15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8" s="1" t="str">
        <f>IF(Table1[[#This Row],[Spec Type]]="","N/A",Table1[[#This Row],[Spec Type]])</f>
        <v>±</v>
      </c>
      <c r="AC1528" s="1" t="str">
        <f>IF(Table1[[#This Row],[Spec Type2]]="N/A","N/A",IF(AND(Table1[[#This Row],[DUT Adj Read]]&gt;=Table1[[#This Row],[Low Tol]],Table1[[#This Row],[DUT Adj Read]]&lt;=Table1[[#This Row],[High Tol]]),"Pass","Fail"))</f>
        <v>Fail</v>
      </c>
      <c r="AD1528" s="1" t="str">
        <f>IF(AND(Table1[[#This Row],[Spec Type2]]="N/A",Table1[[#This Row],[DUT Adj Read]]="N/A",Table1[[#This Row],[Std Adj Read]]="N/A"),"N/A",IF(Table1[[#This Row],[DUT Adj Read]]="N/A",IF(Table1[[#This Row],[Std Adj Read]]&gt;Table1[[#This Row],[Low Tol]],"Pass","Fail"),IF(Table1[[#This Row],[DUT Adj Read]]&gt;Table1[[#This Row],[Low Tol]],"Pass","Fail")))</f>
        <v>Pass</v>
      </c>
      <c r="AE1528" s="1" t="str">
        <f>IF(AND(Table1[[#This Row],[Spec Type2]]="N/A",Table1[[#This Row],[DUT Adj Read]]="N/A",Table1[[#This Row],[Std Adj Read]]="N/A"),"N/A",IF(Table1[[#This Row],[DUT Adj Read]]="N/A",IF(Table1[[#This Row],[Std Adj Read]]&lt;Table1[[#This Row],[High Tol]],"Pass","Fail"),IF(Table1[[#This Row],[DUT Adj Read]]&lt;Table1[[#This Row],[High Tol]],"Pass","Fail")))</f>
        <v>Fail</v>
      </c>
      <c r="AF1528" s="1" t="str">
        <f>IF(AND(Table1[[#This Row],[Spec Type2]]="N/A",Table1[[#This Row],[DUT Adj Read]]="N/A",Table1[[#This Row],[Std Adj Read]]="N/A"),"N/A",IF(Table1[[#This Row],[DUT Adj Read]]="N/A",IF(Table1[[#This Row],[Std Adj Read]]&gt;=Table1[[#This Row],[Low Tol]],"Pass","Fail"),IF(Table1[[#This Row],[DUT Adj Read]]&gt;=Table1[[#This Row],[Low Tol]],"Pass","Fail")))</f>
        <v>Pass</v>
      </c>
      <c r="AG1528" s="1" t="str">
        <f>IF(AND(Table1[[#This Row],[Spec Type2]]="N/A",Table1[[#This Row],[DUT Adj Read]]="N/A",Table1[[#This Row],[Std Adj Read]]="N/A"),"N/A",IF(Table1[[#This Row],[DUT Adj Read]]="N/A",IF(Table1[[#This Row],[Std Adj Read]]&lt;=Table1[[#This Row],[High Tol]],"Pass","Fail"),IF(Table1[[#This Row],[DUT Adj Read]]&lt;=Table1[[#This Row],[High Tol]],"Pass","Fail")))</f>
        <v>Fail</v>
      </c>
      <c r="AH15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8" s="1" t="b">
        <v>0</v>
      </c>
      <c r="AN1528" s="1" t="b">
        <v>0</v>
      </c>
      <c r="AO1528" s="1" t="b">
        <v>0</v>
      </c>
    </row>
    <row r="1529" spans="1:41" x14ac:dyDescent="0.25">
      <c r="A1529" s="10"/>
      <c r="B1529" s="10"/>
      <c r="C1529" s="10"/>
      <c r="D1529" s="10"/>
      <c r="E1529" s="10"/>
      <c r="F1529" s="10"/>
      <c r="G1529" s="10"/>
      <c r="H1529" s="10"/>
      <c r="I1529" s="1" t="str">
        <f t="shared" si="69"/>
        <v/>
      </c>
      <c r="J1529" s="1" t="s">
        <v>35</v>
      </c>
      <c r="K1529" s="1" t="str">
        <f t="shared" si="70"/>
        <v/>
      </c>
      <c r="L1529" s="1" t="str">
        <f t="shared" si="71"/>
        <v/>
      </c>
      <c r="M1529" s="1">
        <f>IF(OR(Table1[[#This Row],[Std Nom]]="",Table1[[#This Row],[Std Read]]=""),0,Table1[[#This Row],[Std Nom]]-Table1[[#This Row],[Std Read]])</f>
        <v>0</v>
      </c>
      <c r="N1529" s="1">
        <f>IF(Calculations!$F$5="ACCREDITED 17025 WITH UNCERTAINTIES",$N$10,0)</f>
        <v>0</v>
      </c>
      <c r="Q1529" s="1">
        <f>Table1[[#This Row],[High Tol]]-Table1[[#This Row],[Low Tol]]</f>
        <v>0</v>
      </c>
      <c r="R1529" s="1">
        <f>2*Table1[[#This Row],[Std Error]]</f>
        <v>0</v>
      </c>
      <c r="S1529" s="1" t="str">
        <f>IF(Table1[[#This Row],[High Tol]]="","N/A",IFERROR(ABS(Table1[[#This Row],[Tol Span]]/Table1[[#This Row],[Error Span]]),"N/A"))</f>
        <v>N/A</v>
      </c>
      <c r="T1529" s="1" t="str">
        <f>IF(OR(Table1[[#This Row],[Low Tol]]="",Table1[[#This Row],[High Tol]]=""),"Needs Analysis",IF(Table1[[#This Row],[Ratio]]&gt;=4,"Not Significant",IF(Table1[[#This Row],[Ratio]]&gt;=2,"Semi-Significant","Significant")))</f>
        <v>Needs Analysis</v>
      </c>
      <c r="W1529" s="1">
        <f>IF(Table1[[#This Row],[Cal Type]]&lt;&gt;"ACCREDITED 17025 WITH UNCERTAINTIES",0,"")</f>
        <v>0</v>
      </c>
      <c r="X1529" s="1" t="str">
        <f>IF(Table1[[#This Row],[DUT Read]]="","N/A",Table1[[#This Row],[Std Error]]+Table1[[#This Row],[DUT Read]]+Table1[[#This Row],[DUT Ucty]])</f>
        <v>N/A</v>
      </c>
      <c r="Y1529" s="1" t="str">
        <f>IF(Table1[[#This Row],[Std Read]]="","N/A",Table1[[#This Row],[Std Read]]+Table1[[#This Row],[Std Ucty]])</f>
        <v>N/A</v>
      </c>
      <c r="Z15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29" s="1" t="str">
        <f>IF(Table1[[#This Row],[Spec Type]]="","N/A",Table1[[#This Row],[Spec Type]])</f>
        <v>±</v>
      </c>
      <c r="AC1529" s="1" t="str">
        <f>IF(Table1[[#This Row],[Spec Type2]]="N/A","N/A",IF(AND(Table1[[#This Row],[DUT Adj Read]]&gt;=Table1[[#This Row],[Low Tol]],Table1[[#This Row],[DUT Adj Read]]&lt;=Table1[[#This Row],[High Tol]]),"Pass","Fail"))</f>
        <v>Fail</v>
      </c>
      <c r="AD1529" s="1" t="str">
        <f>IF(AND(Table1[[#This Row],[Spec Type2]]="N/A",Table1[[#This Row],[DUT Adj Read]]="N/A",Table1[[#This Row],[Std Adj Read]]="N/A"),"N/A",IF(Table1[[#This Row],[DUT Adj Read]]="N/A",IF(Table1[[#This Row],[Std Adj Read]]&gt;Table1[[#This Row],[Low Tol]],"Pass","Fail"),IF(Table1[[#This Row],[DUT Adj Read]]&gt;Table1[[#This Row],[Low Tol]],"Pass","Fail")))</f>
        <v>Pass</v>
      </c>
      <c r="AE1529" s="1" t="str">
        <f>IF(AND(Table1[[#This Row],[Spec Type2]]="N/A",Table1[[#This Row],[DUT Adj Read]]="N/A",Table1[[#This Row],[Std Adj Read]]="N/A"),"N/A",IF(Table1[[#This Row],[DUT Adj Read]]="N/A",IF(Table1[[#This Row],[Std Adj Read]]&lt;Table1[[#This Row],[High Tol]],"Pass","Fail"),IF(Table1[[#This Row],[DUT Adj Read]]&lt;Table1[[#This Row],[High Tol]],"Pass","Fail")))</f>
        <v>Fail</v>
      </c>
      <c r="AF1529" s="1" t="str">
        <f>IF(AND(Table1[[#This Row],[Spec Type2]]="N/A",Table1[[#This Row],[DUT Adj Read]]="N/A",Table1[[#This Row],[Std Adj Read]]="N/A"),"N/A",IF(Table1[[#This Row],[DUT Adj Read]]="N/A",IF(Table1[[#This Row],[Std Adj Read]]&gt;=Table1[[#This Row],[Low Tol]],"Pass","Fail"),IF(Table1[[#This Row],[DUT Adj Read]]&gt;=Table1[[#This Row],[Low Tol]],"Pass","Fail")))</f>
        <v>Pass</v>
      </c>
      <c r="AG1529" s="1" t="str">
        <f>IF(AND(Table1[[#This Row],[Spec Type2]]="N/A",Table1[[#This Row],[DUT Adj Read]]="N/A",Table1[[#This Row],[Std Adj Read]]="N/A"),"N/A",IF(Table1[[#This Row],[DUT Adj Read]]="N/A",IF(Table1[[#This Row],[Std Adj Read]]&lt;=Table1[[#This Row],[High Tol]],"Pass","Fail"),IF(Table1[[#This Row],[DUT Adj Read]]&lt;=Table1[[#This Row],[High Tol]],"Pass","Fail")))</f>
        <v>Fail</v>
      </c>
      <c r="AH15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29" s="1" t="b">
        <v>0</v>
      </c>
      <c r="AN1529" s="1" t="b">
        <v>0</v>
      </c>
      <c r="AO1529" s="1" t="b">
        <v>0</v>
      </c>
    </row>
    <row r="1530" spans="1:41" x14ac:dyDescent="0.25">
      <c r="A1530" s="10"/>
      <c r="B1530" s="10"/>
      <c r="C1530" s="10"/>
      <c r="D1530" s="10"/>
      <c r="E1530" s="10"/>
      <c r="F1530" s="10"/>
      <c r="G1530" s="10"/>
      <c r="H1530" s="10"/>
      <c r="I1530" s="1" t="str">
        <f t="shared" si="69"/>
        <v/>
      </c>
      <c r="J1530" s="1" t="s">
        <v>35</v>
      </c>
      <c r="K1530" s="1" t="str">
        <f t="shared" si="70"/>
        <v/>
      </c>
      <c r="L1530" s="1" t="str">
        <f t="shared" si="71"/>
        <v/>
      </c>
      <c r="M1530" s="1">
        <f>IF(OR(Table1[[#This Row],[Std Nom]]="",Table1[[#This Row],[Std Read]]=""),0,Table1[[#This Row],[Std Nom]]-Table1[[#This Row],[Std Read]])</f>
        <v>0</v>
      </c>
      <c r="N1530" s="1">
        <f>IF(Calculations!$F$5="ACCREDITED 17025 WITH UNCERTAINTIES",$N$10,0)</f>
        <v>0</v>
      </c>
      <c r="Q1530" s="1">
        <f>Table1[[#This Row],[High Tol]]-Table1[[#This Row],[Low Tol]]</f>
        <v>0</v>
      </c>
      <c r="R1530" s="1">
        <f>2*Table1[[#This Row],[Std Error]]</f>
        <v>0</v>
      </c>
      <c r="S1530" s="1" t="str">
        <f>IF(Table1[[#This Row],[High Tol]]="","N/A",IFERROR(ABS(Table1[[#This Row],[Tol Span]]/Table1[[#This Row],[Error Span]]),"N/A"))</f>
        <v>N/A</v>
      </c>
      <c r="T1530" s="1" t="str">
        <f>IF(OR(Table1[[#This Row],[Low Tol]]="",Table1[[#This Row],[High Tol]]=""),"Needs Analysis",IF(Table1[[#This Row],[Ratio]]&gt;=4,"Not Significant",IF(Table1[[#This Row],[Ratio]]&gt;=2,"Semi-Significant","Significant")))</f>
        <v>Needs Analysis</v>
      </c>
      <c r="W1530" s="1">
        <f>IF(Table1[[#This Row],[Cal Type]]&lt;&gt;"ACCREDITED 17025 WITH UNCERTAINTIES",0,"")</f>
        <v>0</v>
      </c>
      <c r="X1530" s="1" t="str">
        <f>IF(Table1[[#This Row],[DUT Read]]="","N/A",Table1[[#This Row],[Std Error]]+Table1[[#This Row],[DUT Read]]+Table1[[#This Row],[DUT Ucty]])</f>
        <v>N/A</v>
      </c>
      <c r="Y1530" s="1" t="str">
        <f>IF(Table1[[#This Row],[Std Read]]="","N/A",Table1[[#This Row],[Std Read]]+Table1[[#This Row],[Std Ucty]])</f>
        <v>N/A</v>
      </c>
      <c r="Z15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0" s="1" t="str">
        <f>IF(Table1[[#This Row],[Spec Type]]="","N/A",Table1[[#This Row],[Spec Type]])</f>
        <v>±</v>
      </c>
      <c r="AC1530" s="1" t="str">
        <f>IF(Table1[[#This Row],[Spec Type2]]="N/A","N/A",IF(AND(Table1[[#This Row],[DUT Adj Read]]&gt;=Table1[[#This Row],[Low Tol]],Table1[[#This Row],[DUT Adj Read]]&lt;=Table1[[#This Row],[High Tol]]),"Pass","Fail"))</f>
        <v>Fail</v>
      </c>
      <c r="AD1530" s="1" t="str">
        <f>IF(AND(Table1[[#This Row],[Spec Type2]]="N/A",Table1[[#This Row],[DUT Adj Read]]="N/A",Table1[[#This Row],[Std Adj Read]]="N/A"),"N/A",IF(Table1[[#This Row],[DUT Adj Read]]="N/A",IF(Table1[[#This Row],[Std Adj Read]]&gt;Table1[[#This Row],[Low Tol]],"Pass","Fail"),IF(Table1[[#This Row],[DUT Adj Read]]&gt;Table1[[#This Row],[Low Tol]],"Pass","Fail")))</f>
        <v>Pass</v>
      </c>
      <c r="AE1530" s="1" t="str">
        <f>IF(AND(Table1[[#This Row],[Spec Type2]]="N/A",Table1[[#This Row],[DUT Adj Read]]="N/A",Table1[[#This Row],[Std Adj Read]]="N/A"),"N/A",IF(Table1[[#This Row],[DUT Adj Read]]="N/A",IF(Table1[[#This Row],[Std Adj Read]]&lt;Table1[[#This Row],[High Tol]],"Pass","Fail"),IF(Table1[[#This Row],[DUT Adj Read]]&lt;Table1[[#This Row],[High Tol]],"Pass","Fail")))</f>
        <v>Fail</v>
      </c>
      <c r="AF1530" s="1" t="str">
        <f>IF(AND(Table1[[#This Row],[Spec Type2]]="N/A",Table1[[#This Row],[DUT Adj Read]]="N/A",Table1[[#This Row],[Std Adj Read]]="N/A"),"N/A",IF(Table1[[#This Row],[DUT Adj Read]]="N/A",IF(Table1[[#This Row],[Std Adj Read]]&gt;=Table1[[#This Row],[Low Tol]],"Pass","Fail"),IF(Table1[[#This Row],[DUT Adj Read]]&gt;=Table1[[#This Row],[Low Tol]],"Pass","Fail")))</f>
        <v>Pass</v>
      </c>
      <c r="AG1530" s="1" t="str">
        <f>IF(AND(Table1[[#This Row],[Spec Type2]]="N/A",Table1[[#This Row],[DUT Adj Read]]="N/A",Table1[[#This Row],[Std Adj Read]]="N/A"),"N/A",IF(Table1[[#This Row],[DUT Adj Read]]="N/A",IF(Table1[[#This Row],[Std Adj Read]]&lt;=Table1[[#This Row],[High Tol]],"Pass","Fail"),IF(Table1[[#This Row],[DUT Adj Read]]&lt;=Table1[[#This Row],[High Tol]],"Pass","Fail")))</f>
        <v>Fail</v>
      </c>
      <c r="AH15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0" s="1" t="b">
        <v>0</v>
      </c>
      <c r="AN1530" s="1" t="b">
        <v>0</v>
      </c>
      <c r="AO1530" s="1" t="b">
        <v>0</v>
      </c>
    </row>
    <row r="1531" spans="1:41" x14ac:dyDescent="0.25">
      <c r="A1531" s="10"/>
      <c r="B1531" s="10"/>
      <c r="C1531" s="10"/>
      <c r="D1531" s="10"/>
      <c r="E1531" s="10"/>
      <c r="F1531" s="10"/>
      <c r="G1531" s="10"/>
      <c r="H1531" s="10"/>
      <c r="I1531" s="1" t="str">
        <f t="shared" si="69"/>
        <v/>
      </c>
      <c r="J1531" s="1" t="s">
        <v>35</v>
      </c>
      <c r="K1531" s="1" t="str">
        <f t="shared" si="70"/>
        <v/>
      </c>
      <c r="L1531" s="1" t="str">
        <f t="shared" si="71"/>
        <v/>
      </c>
      <c r="M1531" s="1">
        <f>IF(OR(Table1[[#This Row],[Std Nom]]="",Table1[[#This Row],[Std Read]]=""),0,Table1[[#This Row],[Std Nom]]-Table1[[#This Row],[Std Read]])</f>
        <v>0</v>
      </c>
      <c r="N1531" s="1">
        <f>IF(Calculations!$F$5="ACCREDITED 17025 WITH UNCERTAINTIES",$N$10,0)</f>
        <v>0</v>
      </c>
      <c r="Q1531" s="1">
        <f>Table1[[#This Row],[High Tol]]-Table1[[#This Row],[Low Tol]]</f>
        <v>0</v>
      </c>
      <c r="R1531" s="1">
        <f>2*Table1[[#This Row],[Std Error]]</f>
        <v>0</v>
      </c>
      <c r="S1531" s="1" t="str">
        <f>IF(Table1[[#This Row],[High Tol]]="","N/A",IFERROR(ABS(Table1[[#This Row],[Tol Span]]/Table1[[#This Row],[Error Span]]),"N/A"))</f>
        <v>N/A</v>
      </c>
      <c r="T1531" s="1" t="str">
        <f>IF(OR(Table1[[#This Row],[Low Tol]]="",Table1[[#This Row],[High Tol]]=""),"Needs Analysis",IF(Table1[[#This Row],[Ratio]]&gt;=4,"Not Significant",IF(Table1[[#This Row],[Ratio]]&gt;=2,"Semi-Significant","Significant")))</f>
        <v>Needs Analysis</v>
      </c>
      <c r="W1531" s="1">
        <f>IF(Table1[[#This Row],[Cal Type]]&lt;&gt;"ACCREDITED 17025 WITH UNCERTAINTIES",0,"")</f>
        <v>0</v>
      </c>
      <c r="X1531" s="1" t="str">
        <f>IF(Table1[[#This Row],[DUT Read]]="","N/A",Table1[[#This Row],[Std Error]]+Table1[[#This Row],[DUT Read]]+Table1[[#This Row],[DUT Ucty]])</f>
        <v>N/A</v>
      </c>
      <c r="Y1531" s="1" t="str">
        <f>IF(Table1[[#This Row],[Std Read]]="","N/A",Table1[[#This Row],[Std Read]]+Table1[[#This Row],[Std Ucty]])</f>
        <v>N/A</v>
      </c>
      <c r="Z15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1" s="1" t="str">
        <f>IF(Table1[[#This Row],[Spec Type]]="","N/A",Table1[[#This Row],[Spec Type]])</f>
        <v>±</v>
      </c>
      <c r="AC1531" s="1" t="str">
        <f>IF(Table1[[#This Row],[Spec Type2]]="N/A","N/A",IF(AND(Table1[[#This Row],[DUT Adj Read]]&gt;=Table1[[#This Row],[Low Tol]],Table1[[#This Row],[DUT Adj Read]]&lt;=Table1[[#This Row],[High Tol]]),"Pass","Fail"))</f>
        <v>Fail</v>
      </c>
      <c r="AD1531" s="1" t="str">
        <f>IF(AND(Table1[[#This Row],[Spec Type2]]="N/A",Table1[[#This Row],[DUT Adj Read]]="N/A",Table1[[#This Row],[Std Adj Read]]="N/A"),"N/A",IF(Table1[[#This Row],[DUT Adj Read]]="N/A",IF(Table1[[#This Row],[Std Adj Read]]&gt;Table1[[#This Row],[Low Tol]],"Pass","Fail"),IF(Table1[[#This Row],[DUT Adj Read]]&gt;Table1[[#This Row],[Low Tol]],"Pass","Fail")))</f>
        <v>Pass</v>
      </c>
      <c r="AE1531" s="1" t="str">
        <f>IF(AND(Table1[[#This Row],[Spec Type2]]="N/A",Table1[[#This Row],[DUT Adj Read]]="N/A",Table1[[#This Row],[Std Adj Read]]="N/A"),"N/A",IF(Table1[[#This Row],[DUT Adj Read]]="N/A",IF(Table1[[#This Row],[Std Adj Read]]&lt;Table1[[#This Row],[High Tol]],"Pass","Fail"),IF(Table1[[#This Row],[DUT Adj Read]]&lt;Table1[[#This Row],[High Tol]],"Pass","Fail")))</f>
        <v>Fail</v>
      </c>
      <c r="AF1531" s="1" t="str">
        <f>IF(AND(Table1[[#This Row],[Spec Type2]]="N/A",Table1[[#This Row],[DUT Adj Read]]="N/A",Table1[[#This Row],[Std Adj Read]]="N/A"),"N/A",IF(Table1[[#This Row],[DUT Adj Read]]="N/A",IF(Table1[[#This Row],[Std Adj Read]]&gt;=Table1[[#This Row],[Low Tol]],"Pass","Fail"),IF(Table1[[#This Row],[DUT Adj Read]]&gt;=Table1[[#This Row],[Low Tol]],"Pass","Fail")))</f>
        <v>Pass</v>
      </c>
      <c r="AG1531" s="1" t="str">
        <f>IF(AND(Table1[[#This Row],[Spec Type2]]="N/A",Table1[[#This Row],[DUT Adj Read]]="N/A",Table1[[#This Row],[Std Adj Read]]="N/A"),"N/A",IF(Table1[[#This Row],[DUT Adj Read]]="N/A",IF(Table1[[#This Row],[Std Adj Read]]&lt;=Table1[[#This Row],[High Tol]],"Pass","Fail"),IF(Table1[[#This Row],[DUT Adj Read]]&lt;=Table1[[#This Row],[High Tol]],"Pass","Fail")))</f>
        <v>Fail</v>
      </c>
      <c r="AH15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1" s="1" t="b">
        <v>0</v>
      </c>
      <c r="AN1531" s="1" t="b">
        <v>0</v>
      </c>
      <c r="AO1531" s="1" t="b">
        <v>0</v>
      </c>
    </row>
    <row r="1532" spans="1:41" x14ac:dyDescent="0.25">
      <c r="A1532" s="10"/>
      <c r="B1532" s="10"/>
      <c r="C1532" s="10"/>
      <c r="D1532" s="10"/>
      <c r="E1532" s="10"/>
      <c r="F1532" s="10"/>
      <c r="G1532" s="10"/>
      <c r="H1532" s="10"/>
      <c r="I1532" s="1" t="str">
        <f t="shared" si="69"/>
        <v/>
      </c>
      <c r="J1532" s="1" t="s">
        <v>35</v>
      </c>
      <c r="K1532" s="1" t="str">
        <f t="shared" si="70"/>
        <v/>
      </c>
      <c r="L1532" s="1" t="str">
        <f t="shared" si="71"/>
        <v/>
      </c>
      <c r="M1532" s="1">
        <f>IF(OR(Table1[[#This Row],[Std Nom]]="",Table1[[#This Row],[Std Read]]=""),0,Table1[[#This Row],[Std Nom]]-Table1[[#This Row],[Std Read]])</f>
        <v>0</v>
      </c>
      <c r="N1532" s="1">
        <f>IF(Calculations!$F$5="ACCREDITED 17025 WITH UNCERTAINTIES",$N$10,0)</f>
        <v>0</v>
      </c>
      <c r="Q1532" s="1">
        <f>Table1[[#This Row],[High Tol]]-Table1[[#This Row],[Low Tol]]</f>
        <v>0</v>
      </c>
      <c r="R1532" s="1">
        <f>2*Table1[[#This Row],[Std Error]]</f>
        <v>0</v>
      </c>
      <c r="S1532" s="1" t="str">
        <f>IF(Table1[[#This Row],[High Tol]]="","N/A",IFERROR(ABS(Table1[[#This Row],[Tol Span]]/Table1[[#This Row],[Error Span]]),"N/A"))</f>
        <v>N/A</v>
      </c>
      <c r="T1532" s="1" t="str">
        <f>IF(OR(Table1[[#This Row],[Low Tol]]="",Table1[[#This Row],[High Tol]]=""),"Needs Analysis",IF(Table1[[#This Row],[Ratio]]&gt;=4,"Not Significant",IF(Table1[[#This Row],[Ratio]]&gt;=2,"Semi-Significant","Significant")))</f>
        <v>Needs Analysis</v>
      </c>
      <c r="W1532" s="1">
        <f>IF(Table1[[#This Row],[Cal Type]]&lt;&gt;"ACCREDITED 17025 WITH UNCERTAINTIES",0,"")</f>
        <v>0</v>
      </c>
      <c r="X1532" s="1" t="str">
        <f>IF(Table1[[#This Row],[DUT Read]]="","N/A",Table1[[#This Row],[Std Error]]+Table1[[#This Row],[DUT Read]]+Table1[[#This Row],[DUT Ucty]])</f>
        <v>N/A</v>
      </c>
      <c r="Y1532" s="1" t="str">
        <f>IF(Table1[[#This Row],[Std Read]]="","N/A",Table1[[#This Row],[Std Read]]+Table1[[#This Row],[Std Ucty]])</f>
        <v>N/A</v>
      </c>
      <c r="Z15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2" s="1" t="str">
        <f>IF(Table1[[#This Row],[Spec Type]]="","N/A",Table1[[#This Row],[Spec Type]])</f>
        <v>±</v>
      </c>
      <c r="AC1532" s="1" t="str">
        <f>IF(Table1[[#This Row],[Spec Type2]]="N/A","N/A",IF(AND(Table1[[#This Row],[DUT Adj Read]]&gt;=Table1[[#This Row],[Low Tol]],Table1[[#This Row],[DUT Adj Read]]&lt;=Table1[[#This Row],[High Tol]]),"Pass","Fail"))</f>
        <v>Fail</v>
      </c>
      <c r="AD1532" s="1" t="str">
        <f>IF(AND(Table1[[#This Row],[Spec Type2]]="N/A",Table1[[#This Row],[DUT Adj Read]]="N/A",Table1[[#This Row],[Std Adj Read]]="N/A"),"N/A",IF(Table1[[#This Row],[DUT Adj Read]]="N/A",IF(Table1[[#This Row],[Std Adj Read]]&gt;Table1[[#This Row],[Low Tol]],"Pass","Fail"),IF(Table1[[#This Row],[DUT Adj Read]]&gt;Table1[[#This Row],[Low Tol]],"Pass","Fail")))</f>
        <v>Pass</v>
      </c>
      <c r="AE1532" s="1" t="str">
        <f>IF(AND(Table1[[#This Row],[Spec Type2]]="N/A",Table1[[#This Row],[DUT Adj Read]]="N/A",Table1[[#This Row],[Std Adj Read]]="N/A"),"N/A",IF(Table1[[#This Row],[DUT Adj Read]]="N/A",IF(Table1[[#This Row],[Std Adj Read]]&lt;Table1[[#This Row],[High Tol]],"Pass","Fail"),IF(Table1[[#This Row],[DUT Adj Read]]&lt;Table1[[#This Row],[High Tol]],"Pass","Fail")))</f>
        <v>Fail</v>
      </c>
      <c r="AF1532" s="1" t="str">
        <f>IF(AND(Table1[[#This Row],[Spec Type2]]="N/A",Table1[[#This Row],[DUT Adj Read]]="N/A",Table1[[#This Row],[Std Adj Read]]="N/A"),"N/A",IF(Table1[[#This Row],[DUT Adj Read]]="N/A",IF(Table1[[#This Row],[Std Adj Read]]&gt;=Table1[[#This Row],[Low Tol]],"Pass","Fail"),IF(Table1[[#This Row],[DUT Adj Read]]&gt;=Table1[[#This Row],[Low Tol]],"Pass","Fail")))</f>
        <v>Pass</v>
      </c>
      <c r="AG1532" s="1" t="str">
        <f>IF(AND(Table1[[#This Row],[Spec Type2]]="N/A",Table1[[#This Row],[DUT Adj Read]]="N/A",Table1[[#This Row],[Std Adj Read]]="N/A"),"N/A",IF(Table1[[#This Row],[DUT Adj Read]]="N/A",IF(Table1[[#This Row],[Std Adj Read]]&lt;=Table1[[#This Row],[High Tol]],"Pass","Fail"),IF(Table1[[#This Row],[DUT Adj Read]]&lt;=Table1[[#This Row],[High Tol]],"Pass","Fail")))</f>
        <v>Fail</v>
      </c>
      <c r="AH15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2" s="1" t="b">
        <v>0</v>
      </c>
      <c r="AN1532" s="1" t="b">
        <v>0</v>
      </c>
      <c r="AO1532" s="1" t="b">
        <v>0</v>
      </c>
    </row>
    <row r="1533" spans="1:41" x14ac:dyDescent="0.25">
      <c r="A1533" s="10"/>
      <c r="B1533" s="10"/>
      <c r="C1533" s="10"/>
      <c r="D1533" s="10"/>
      <c r="E1533" s="10"/>
      <c r="F1533" s="10"/>
      <c r="G1533" s="10"/>
      <c r="H1533" s="10"/>
      <c r="I1533" s="1" t="str">
        <f t="shared" si="69"/>
        <v/>
      </c>
      <c r="J1533" s="1" t="s">
        <v>35</v>
      </c>
      <c r="K1533" s="1" t="str">
        <f t="shared" si="70"/>
        <v/>
      </c>
      <c r="L1533" s="1" t="str">
        <f t="shared" si="71"/>
        <v/>
      </c>
      <c r="M1533" s="1">
        <f>IF(OR(Table1[[#This Row],[Std Nom]]="",Table1[[#This Row],[Std Read]]=""),0,Table1[[#This Row],[Std Nom]]-Table1[[#This Row],[Std Read]])</f>
        <v>0</v>
      </c>
      <c r="N1533" s="1">
        <f>IF(Calculations!$F$5="ACCREDITED 17025 WITH UNCERTAINTIES",$N$10,0)</f>
        <v>0</v>
      </c>
      <c r="Q1533" s="1">
        <f>Table1[[#This Row],[High Tol]]-Table1[[#This Row],[Low Tol]]</f>
        <v>0</v>
      </c>
      <c r="R1533" s="1">
        <f>2*Table1[[#This Row],[Std Error]]</f>
        <v>0</v>
      </c>
      <c r="S1533" s="1" t="str">
        <f>IF(Table1[[#This Row],[High Tol]]="","N/A",IFERROR(ABS(Table1[[#This Row],[Tol Span]]/Table1[[#This Row],[Error Span]]),"N/A"))</f>
        <v>N/A</v>
      </c>
      <c r="T1533" s="1" t="str">
        <f>IF(OR(Table1[[#This Row],[Low Tol]]="",Table1[[#This Row],[High Tol]]=""),"Needs Analysis",IF(Table1[[#This Row],[Ratio]]&gt;=4,"Not Significant",IF(Table1[[#This Row],[Ratio]]&gt;=2,"Semi-Significant","Significant")))</f>
        <v>Needs Analysis</v>
      </c>
      <c r="W1533" s="1">
        <f>IF(Table1[[#This Row],[Cal Type]]&lt;&gt;"ACCREDITED 17025 WITH UNCERTAINTIES",0,"")</f>
        <v>0</v>
      </c>
      <c r="X1533" s="1" t="str">
        <f>IF(Table1[[#This Row],[DUT Read]]="","N/A",Table1[[#This Row],[Std Error]]+Table1[[#This Row],[DUT Read]]+Table1[[#This Row],[DUT Ucty]])</f>
        <v>N/A</v>
      </c>
      <c r="Y1533" s="1" t="str">
        <f>IF(Table1[[#This Row],[Std Read]]="","N/A",Table1[[#This Row],[Std Read]]+Table1[[#This Row],[Std Ucty]])</f>
        <v>N/A</v>
      </c>
      <c r="Z15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3" s="1" t="str">
        <f>IF(Table1[[#This Row],[Spec Type]]="","N/A",Table1[[#This Row],[Spec Type]])</f>
        <v>±</v>
      </c>
      <c r="AC1533" s="1" t="str">
        <f>IF(Table1[[#This Row],[Spec Type2]]="N/A","N/A",IF(AND(Table1[[#This Row],[DUT Adj Read]]&gt;=Table1[[#This Row],[Low Tol]],Table1[[#This Row],[DUT Adj Read]]&lt;=Table1[[#This Row],[High Tol]]),"Pass","Fail"))</f>
        <v>Fail</v>
      </c>
      <c r="AD1533" s="1" t="str">
        <f>IF(AND(Table1[[#This Row],[Spec Type2]]="N/A",Table1[[#This Row],[DUT Adj Read]]="N/A",Table1[[#This Row],[Std Adj Read]]="N/A"),"N/A",IF(Table1[[#This Row],[DUT Adj Read]]="N/A",IF(Table1[[#This Row],[Std Adj Read]]&gt;Table1[[#This Row],[Low Tol]],"Pass","Fail"),IF(Table1[[#This Row],[DUT Adj Read]]&gt;Table1[[#This Row],[Low Tol]],"Pass","Fail")))</f>
        <v>Pass</v>
      </c>
      <c r="AE1533" s="1" t="str">
        <f>IF(AND(Table1[[#This Row],[Spec Type2]]="N/A",Table1[[#This Row],[DUT Adj Read]]="N/A",Table1[[#This Row],[Std Adj Read]]="N/A"),"N/A",IF(Table1[[#This Row],[DUT Adj Read]]="N/A",IF(Table1[[#This Row],[Std Adj Read]]&lt;Table1[[#This Row],[High Tol]],"Pass","Fail"),IF(Table1[[#This Row],[DUT Adj Read]]&lt;Table1[[#This Row],[High Tol]],"Pass","Fail")))</f>
        <v>Fail</v>
      </c>
      <c r="AF1533" s="1" t="str">
        <f>IF(AND(Table1[[#This Row],[Spec Type2]]="N/A",Table1[[#This Row],[DUT Adj Read]]="N/A",Table1[[#This Row],[Std Adj Read]]="N/A"),"N/A",IF(Table1[[#This Row],[DUT Adj Read]]="N/A",IF(Table1[[#This Row],[Std Adj Read]]&gt;=Table1[[#This Row],[Low Tol]],"Pass","Fail"),IF(Table1[[#This Row],[DUT Adj Read]]&gt;=Table1[[#This Row],[Low Tol]],"Pass","Fail")))</f>
        <v>Pass</v>
      </c>
      <c r="AG1533" s="1" t="str">
        <f>IF(AND(Table1[[#This Row],[Spec Type2]]="N/A",Table1[[#This Row],[DUT Adj Read]]="N/A",Table1[[#This Row],[Std Adj Read]]="N/A"),"N/A",IF(Table1[[#This Row],[DUT Adj Read]]="N/A",IF(Table1[[#This Row],[Std Adj Read]]&lt;=Table1[[#This Row],[High Tol]],"Pass","Fail"),IF(Table1[[#This Row],[DUT Adj Read]]&lt;=Table1[[#This Row],[High Tol]],"Pass","Fail")))</f>
        <v>Fail</v>
      </c>
      <c r="AH15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3" s="1" t="b">
        <v>0</v>
      </c>
      <c r="AN1533" s="1" t="b">
        <v>0</v>
      </c>
      <c r="AO1533" s="1" t="b">
        <v>0</v>
      </c>
    </row>
    <row r="1534" spans="1:41" x14ac:dyDescent="0.25">
      <c r="A1534" s="10"/>
      <c r="B1534" s="10"/>
      <c r="C1534" s="10"/>
      <c r="D1534" s="10"/>
      <c r="E1534" s="10"/>
      <c r="F1534" s="10"/>
      <c r="G1534" s="10"/>
      <c r="H1534" s="10"/>
      <c r="I1534" s="1" t="str">
        <f t="shared" si="69"/>
        <v/>
      </c>
      <c r="J1534" s="1" t="s">
        <v>35</v>
      </c>
      <c r="K1534" s="1" t="str">
        <f t="shared" si="70"/>
        <v/>
      </c>
      <c r="L1534" s="1" t="str">
        <f t="shared" si="71"/>
        <v/>
      </c>
      <c r="M1534" s="1">
        <f>IF(OR(Table1[[#This Row],[Std Nom]]="",Table1[[#This Row],[Std Read]]=""),0,Table1[[#This Row],[Std Nom]]-Table1[[#This Row],[Std Read]])</f>
        <v>0</v>
      </c>
      <c r="N1534" s="1">
        <f>IF(Calculations!$F$5="ACCREDITED 17025 WITH UNCERTAINTIES",$N$10,0)</f>
        <v>0</v>
      </c>
      <c r="Q1534" s="1">
        <f>Table1[[#This Row],[High Tol]]-Table1[[#This Row],[Low Tol]]</f>
        <v>0</v>
      </c>
      <c r="R1534" s="1">
        <f>2*Table1[[#This Row],[Std Error]]</f>
        <v>0</v>
      </c>
      <c r="S1534" s="1" t="str">
        <f>IF(Table1[[#This Row],[High Tol]]="","N/A",IFERROR(ABS(Table1[[#This Row],[Tol Span]]/Table1[[#This Row],[Error Span]]),"N/A"))</f>
        <v>N/A</v>
      </c>
      <c r="T1534" s="1" t="str">
        <f>IF(OR(Table1[[#This Row],[Low Tol]]="",Table1[[#This Row],[High Tol]]=""),"Needs Analysis",IF(Table1[[#This Row],[Ratio]]&gt;=4,"Not Significant",IF(Table1[[#This Row],[Ratio]]&gt;=2,"Semi-Significant","Significant")))</f>
        <v>Needs Analysis</v>
      </c>
      <c r="W1534" s="1">
        <f>IF(Table1[[#This Row],[Cal Type]]&lt;&gt;"ACCREDITED 17025 WITH UNCERTAINTIES",0,"")</f>
        <v>0</v>
      </c>
      <c r="X1534" s="1" t="str">
        <f>IF(Table1[[#This Row],[DUT Read]]="","N/A",Table1[[#This Row],[Std Error]]+Table1[[#This Row],[DUT Read]]+Table1[[#This Row],[DUT Ucty]])</f>
        <v>N/A</v>
      </c>
      <c r="Y1534" s="1" t="str">
        <f>IF(Table1[[#This Row],[Std Read]]="","N/A",Table1[[#This Row],[Std Read]]+Table1[[#This Row],[Std Ucty]])</f>
        <v>N/A</v>
      </c>
      <c r="Z15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4" s="1" t="str">
        <f>IF(Table1[[#This Row],[Spec Type]]="","N/A",Table1[[#This Row],[Spec Type]])</f>
        <v>±</v>
      </c>
      <c r="AC1534" s="1" t="str">
        <f>IF(Table1[[#This Row],[Spec Type2]]="N/A","N/A",IF(AND(Table1[[#This Row],[DUT Adj Read]]&gt;=Table1[[#This Row],[Low Tol]],Table1[[#This Row],[DUT Adj Read]]&lt;=Table1[[#This Row],[High Tol]]),"Pass","Fail"))</f>
        <v>Fail</v>
      </c>
      <c r="AD1534" s="1" t="str">
        <f>IF(AND(Table1[[#This Row],[Spec Type2]]="N/A",Table1[[#This Row],[DUT Adj Read]]="N/A",Table1[[#This Row],[Std Adj Read]]="N/A"),"N/A",IF(Table1[[#This Row],[DUT Adj Read]]="N/A",IF(Table1[[#This Row],[Std Adj Read]]&gt;Table1[[#This Row],[Low Tol]],"Pass","Fail"),IF(Table1[[#This Row],[DUT Adj Read]]&gt;Table1[[#This Row],[Low Tol]],"Pass","Fail")))</f>
        <v>Pass</v>
      </c>
      <c r="AE1534" s="1" t="str">
        <f>IF(AND(Table1[[#This Row],[Spec Type2]]="N/A",Table1[[#This Row],[DUT Adj Read]]="N/A",Table1[[#This Row],[Std Adj Read]]="N/A"),"N/A",IF(Table1[[#This Row],[DUT Adj Read]]="N/A",IF(Table1[[#This Row],[Std Adj Read]]&lt;Table1[[#This Row],[High Tol]],"Pass","Fail"),IF(Table1[[#This Row],[DUT Adj Read]]&lt;Table1[[#This Row],[High Tol]],"Pass","Fail")))</f>
        <v>Fail</v>
      </c>
      <c r="AF1534" s="1" t="str">
        <f>IF(AND(Table1[[#This Row],[Spec Type2]]="N/A",Table1[[#This Row],[DUT Adj Read]]="N/A",Table1[[#This Row],[Std Adj Read]]="N/A"),"N/A",IF(Table1[[#This Row],[DUT Adj Read]]="N/A",IF(Table1[[#This Row],[Std Adj Read]]&gt;=Table1[[#This Row],[Low Tol]],"Pass","Fail"),IF(Table1[[#This Row],[DUT Adj Read]]&gt;=Table1[[#This Row],[Low Tol]],"Pass","Fail")))</f>
        <v>Pass</v>
      </c>
      <c r="AG1534" s="1" t="str">
        <f>IF(AND(Table1[[#This Row],[Spec Type2]]="N/A",Table1[[#This Row],[DUT Adj Read]]="N/A",Table1[[#This Row],[Std Adj Read]]="N/A"),"N/A",IF(Table1[[#This Row],[DUT Adj Read]]="N/A",IF(Table1[[#This Row],[Std Adj Read]]&lt;=Table1[[#This Row],[High Tol]],"Pass","Fail"),IF(Table1[[#This Row],[DUT Adj Read]]&lt;=Table1[[#This Row],[High Tol]],"Pass","Fail")))</f>
        <v>Fail</v>
      </c>
      <c r="AH15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4" s="1" t="b">
        <v>0</v>
      </c>
      <c r="AN1534" s="1" t="b">
        <v>0</v>
      </c>
      <c r="AO1534" s="1" t="b">
        <v>0</v>
      </c>
    </row>
    <row r="1535" spans="1:41" x14ac:dyDescent="0.25">
      <c r="A1535" s="10"/>
      <c r="B1535" s="10"/>
      <c r="C1535" s="10"/>
      <c r="D1535" s="10"/>
      <c r="E1535" s="10"/>
      <c r="F1535" s="10"/>
      <c r="G1535" s="10"/>
      <c r="H1535" s="10"/>
      <c r="I1535" s="1" t="str">
        <f t="shared" si="69"/>
        <v/>
      </c>
      <c r="J1535" s="1" t="s">
        <v>35</v>
      </c>
      <c r="K1535" s="1" t="str">
        <f t="shared" si="70"/>
        <v/>
      </c>
      <c r="L1535" s="1" t="str">
        <f t="shared" si="71"/>
        <v/>
      </c>
      <c r="M1535" s="1">
        <f>IF(OR(Table1[[#This Row],[Std Nom]]="",Table1[[#This Row],[Std Read]]=""),0,Table1[[#This Row],[Std Nom]]-Table1[[#This Row],[Std Read]])</f>
        <v>0</v>
      </c>
      <c r="N1535" s="1">
        <f>IF(Calculations!$F$5="ACCREDITED 17025 WITH UNCERTAINTIES",$N$10,0)</f>
        <v>0</v>
      </c>
      <c r="Q1535" s="1">
        <f>Table1[[#This Row],[High Tol]]-Table1[[#This Row],[Low Tol]]</f>
        <v>0</v>
      </c>
      <c r="R1535" s="1">
        <f>2*Table1[[#This Row],[Std Error]]</f>
        <v>0</v>
      </c>
      <c r="S1535" s="1" t="str">
        <f>IF(Table1[[#This Row],[High Tol]]="","N/A",IFERROR(ABS(Table1[[#This Row],[Tol Span]]/Table1[[#This Row],[Error Span]]),"N/A"))</f>
        <v>N/A</v>
      </c>
      <c r="T1535" s="1" t="str">
        <f>IF(OR(Table1[[#This Row],[Low Tol]]="",Table1[[#This Row],[High Tol]]=""),"Needs Analysis",IF(Table1[[#This Row],[Ratio]]&gt;=4,"Not Significant",IF(Table1[[#This Row],[Ratio]]&gt;=2,"Semi-Significant","Significant")))</f>
        <v>Needs Analysis</v>
      </c>
      <c r="W1535" s="1">
        <f>IF(Table1[[#This Row],[Cal Type]]&lt;&gt;"ACCREDITED 17025 WITH UNCERTAINTIES",0,"")</f>
        <v>0</v>
      </c>
      <c r="X1535" s="1" t="str">
        <f>IF(Table1[[#This Row],[DUT Read]]="","N/A",Table1[[#This Row],[Std Error]]+Table1[[#This Row],[DUT Read]]+Table1[[#This Row],[DUT Ucty]])</f>
        <v>N/A</v>
      </c>
      <c r="Y1535" s="1" t="str">
        <f>IF(Table1[[#This Row],[Std Read]]="","N/A",Table1[[#This Row],[Std Read]]+Table1[[#This Row],[Std Ucty]])</f>
        <v>N/A</v>
      </c>
      <c r="Z15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5" s="1" t="str">
        <f>IF(Table1[[#This Row],[Spec Type]]="","N/A",Table1[[#This Row],[Spec Type]])</f>
        <v>±</v>
      </c>
      <c r="AC1535" s="1" t="str">
        <f>IF(Table1[[#This Row],[Spec Type2]]="N/A","N/A",IF(AND(Table1[[#This Row],[DUT Adj Read]]&gt;=Table1[[#This Row],[Low Tol]],Table1[[#This Row],[DUT Adj Read]]&lt;=Table1[[#This Row],[High Tol]]),"Pass","Fail"))</f>
        <v>Fail</v>
      </c>
      <c r="AD1535" s="1" t="str">
        <f>IF(AND(Table1[[#This Row],[Spec Type2]]="N/A",Table1[[#This Row],[DUT Adj Read]]="N/A",Table1[[#This Row],[Std Adj Read]]="N/A"),"N/A",IF(Table1[[#This Row],[DUT Adj Read]]="N/A",IF(Table1[[#This Row],[Std Adj Read]]&gt;Table1[[#This Row],[Low Tol]],"Pass","Fail"),IF(Table1[[#This Row],[DUT Adj Read]]&gt;Table1[[#This Row],[Low Tol]],"Pass","Fail")))</f>
        <v>Pass</v>
      </c>
      <c r="AE1535" s="1" t="str">
        <f>IF(AND(Table1[[#This Row],[Spec Type2]]="N/A",Table1[[#This Row],[DUT Adj Read]]="N/A",Table1[[#This Row],[Std Adj Read]]="N/A"),"N/A",IF(Table1[[#This Row],[DUT Adj Read]]="N/A",IF(Table1[[#This Row],[Std Adj Read]]&lt;Table1[[#This Row],[High Tol]],"Pass","Fail"),IF(Table1[[#This Row],[DUT Adj Read]]&lt;Table1[[#This Row],[High Tol]],"Pass","Fail")))</f>
        <v>Fail</v>
      </c>
      <c r="AF1535" s="1" t="str">
        <f>IF(AND(Table1[[#This Row],[Spec Type2]]="N/A",Table1[[#This Row],[DUT Adj Read]]="N/A",Table1[[#This Row],[Std Adj Read]]="N/A"),"N/A",IF(Table1[[#This Row],[DUT Adj Read]]="N/A",IF(Table1[[#This Row],[Std Adj Read]]&gt;=Table1[[#This Row],[Low Tol]],"Pass","Fail"),IF(Table1[[#This Row],[DUT Adj Read]]&gt;=Table1[[#This Row],[Low Tol]],"Pass","Fail")))</f>
        <v>Pass</v>
      </c>
      <c r="AG1535" s="1" t="str">
        <f>IF(AND(Table1[[#This Row],[Spec Type2]]="N/A",Table1[[#This Row],[DUT Adj Read]]="N/A",Table1[[#This Row],[Std Adj Read]]="N/A"),"N/A",IF(Table1[[#This Row],[DUT Adj Read]]="N/A",IF(Table1[[#This Row],[Std Adj Read]]&lt;=Table1[[#This Row],[High Tol]],"Pass","Fail"),IF(Table1[[#This Row],[DUT Adj Read]]&lt;=Table1[[#This Row],[High Tol]],"Pass","Fail")))</f>
        <v>Fail</v>
      </c>
      <c r="AH15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5" s="1" t="b">
        <v>0</v>
      </c>
      <c r="AN1535" s="1" t="b">
        <v>0</v>
      </c>
      <c r="AO1535" s="1" t="b">
        <v>0</v>
      </c>
    </row>
    <row r="1536" spans="1:41" x14ac:dyDescent="0.25">
      <c r="A1536" s="10"/>
      <c r="B1536" s="10"/>
      <c r="C1536" s="10"/>
      <c r="D1536" s="10"/>
      <c r="E1536" s="10"/>
      <c r="F1536" s="10"/>
      <c r="G1536" s="10"/>
      <c r="H1536" s="10"/>
      <c r="I1536" s="1" t="str">
        <f t="shared" si="69"/>
        <v/>
      </c>
      <c r="J1536" s="1" t="s">
        <v>35</v>
      </c>
      <c r="K1536" s="1" t="str">
        <f t="shared" si="70"/>
        <v/>
      </c>
      <c r="L1536" s="1" t="str">
        <f t="shared" si="71"/>
        <v/>
      </c>
      <c r="M1536" s="1">
        <f>IF(OR(Table1[[#This Row],[Std Nom]]="",Table1[[#This Row],[Std Read]]=""),0,Table1[[#This Row],[Std Nom]]-Table1[[#This Row],[Std Read]])</f>
        <v>0</v>
      </c>
      <c r="N1536" s="1">
        <f>IF(Calculations!$F$5="ACCREDITED 17025 WITH UNCERTAINTIES",$N$10,0)</f>
        <v>0</v>
      </c>
      <c r="Q1536" s="1">
        <f>Table1[[#This Row],[High Tol]]-Table1[[#This Row],[Low Tol]]</f>
        <v>0</v>
      </c>
      <c r="R1536" s="1">
        <f>2*Table1[[#This Row],[Std Error]]</f>
        <v>0</v>
      </c>
      <c r="S1536" s="1" t="str">
        <f>IF(Table1[[#This Row],[High Tol]]="","N/A",IFERROR(ABS(Table1[[#This Row],[Tol Span]]/Table1[[#This Row],[Error Span]]),"N/A"))</f>
        <v>N/A</v>
      </c>
      <c r="T1536" s="1" t="str">
        <f>IF(OR(Table1[[#This Row],[Low Tol]]="",Table1[[#This Row],[High Tol]]=""),"Needs Analysis",IF(Table1[[#This Row],[Ratio]]&gt;=4,"Not Significant",IF(Table1[[#This Row],[Ratio]]&gt;=2,"Semi-Significant","Significant")))</f>
        <v>Needs Analysis</v>
      </c>
      <c r="W1536" s="1">
        <f>IF(Table1[[#This Row],[Cal Type]]&lt;&gt;"ACCREDITED 17025 WITH UNCERTAINTIES",0,"")</f>
        <v>0</v>
      </c>
      <c r="X1536" s="1" t="str">
        <f>IF(Table1[[#This Row],[DUT Read]]="","N/A",Table1[[#This Row],[Std Error]]+Table1[[#This Row],[DUT Read]]+Table1[[#This Row],[DUT Ucty]])</f>
        <v>N/A</v>
      </c>
      <c r="Y1536" s="1" t="str">
        <f>IF(Table1[[#This Row],[Std Read]]="","N/A",Table1[[#This Row],[Std Read]]+Table1[[#This Row],[Std Ucty]])</f>
        <v>N/A</v>
      </c>
      <c r="Z15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6" s="1" t="str">
        <f>IF(Table1[[#This Row],[Spec Type]]="","N/A",Table1[[#This Row],[Spec Type]])</f>
        <v>±</v>
      </c>
      <c r="AC1536" s="1" t="str">
        <f>IF(Table1[[#This Row],[Spec Type2]]="N/A","N/A",IF(AND(Table1[[#This Row],[DUT Adj Read]]&gt;=Table1[[#This Row],[Low Tol]],Table1[[#This Row],[DUT Adj Read]]&lt;=Table1[[#This Row],[High Tol]]),"Pass","Fail"))</f>
        <v>Fail</v>
      </c>
      <c r="AD1536" s="1" t="str">
        <f>IF(AND(Table1[[#This Row],[Spec Type2]]="N/A",Table1[[#This Row],[DUT Adj Read]]="N/A",Table1[[#This Row],[Std Adj Read]]="N/A"),"N/A",IF(Table1[[#This Row],[DUT Adj Read]]="N/A",IF(Table1[[#This Row],[Std Adj Read]]&gt;Table1[[#This Row],[Low Tol]],"Pass","Fail"),IF(Table1[[#This Row],[DUT Adj Read]]&gt;Table1[[#This Row],[Low Tol]],"Pass","Fail")))</f>
        <v>Pass</v>
      </c>
      <c r="AE1536" s="1" t="str">
        <f>IF(AND(Table1[[#This Row],[Spec Type2]]="N/A",Table1[[#This Row],[DUT Adj Read]]="N/A",Table1[[#This Row],[Std Adj Read]]="N/A"),"N/A",IF(Table1[[#This Row],[DUT Adj Read]]="N/A",IF(Table1[[#This Row],[Std Adj Read]]&lt;Table1[[#This Row],[High Tol]],"Pass","Fail"),IF(Table1[[#This Row],[DUT Adj Read]]&lt;Table1[[#This Row],[High Tol]],"Pass","Fail")))</f>
        <v>Fail</v>
      </c>
      <c r="AF1536" s="1" t="str">
        <f>IF(AND(Table1[[#This Row],[Spec Type2]]="N/A",Table1[[#This Row],[DUT Adj Read]]="N/A",Table1[[#This Row],[Std Adj Read]]="N/A"),"N/A",IF(Table1[[#This Row],[DUT Adj Read]]="N/A",IF(Table1[[#This Row],[Std Adj Read]]&gt;=Table1[[#This Row],[Low Tol]],"Pass","Fail"),IF(Table1[[#This Row],[DUT Adj Read]]&gt;=Table1[[#This Row],[Low Tol]],"Pass","Fail")))</f>
        <v>Pass</v>
      </c>
      <c r="AG1536" s="1" t="str">
        <f>IF(AND(Table1[[#This Row],[Spec Type2]]="N/A",Table1[[#This Row],[DUT Adj Read]]="N/A",Table1[[#This Row],[Std Adj Read]]="N/A"),"N/A",IF(Table1[[#This Row],[DUT Adj Read]]="N/A",IF(Table1[[#This Row],[Std Adj Read]]&lt;=Table1[[#This Row],[High Tol]],"Pass","Fail"),IF(Table1[[#This Row],[DUT Adj Read]]&lt;=Table1[[#This Row],[High Tol]],"Pass","Fail")))</f>
        <v>Fail</v>
      </c>
      <c r="AH15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6" s="1" t="b">
        <v>0</v>
      </c>
      <c r="AN1536" s="1" t="b">
        <v>0</v>
      </c>
      <c r="AO1536" s="1" t="b">
        <v>0</v>
      </c>
    </row>
    <row r="1537" spans="1:41" x14ac:dyDescent="0.25">
      <c r="A1537" s="10"/>
      <c r="B1537" s="10"/>
      <c r="C1537" s="10"/>
      <c r="D1537" s="10"/>
      <c r="E1537" s="10"/>
      <c r="F1537" s="10"/>
      <c r="G1537" s="10"/>
      <c r="H1537" s="10"/>
      <c r="I1537" s="1" t="str">
        <f t="shared" si="69"/>
        <v/>
      </c>
      <c r="J1537" s="1" t="s">
        <v>35</v>
      </c>
      <c r="K1537" s="1" t="str">
        <f t="shared" si="70"/>
        <v/>
      </c>
      <c r="L1537" s="1" t="str">
        <f t="shared" si="71"/>
        <v/>
      </c>
      <c r="M1537" s="1">
        <f>IF(OR(Table1[[#This Row],[Std Nom]]="",Table1[[#This Row],[Std Read]]=""),0,Table1[[#This Row],[Std Nom]]-Table1[[#This Row],[Std Read]])</f>
        <v>0</v>
      </c>
      <c r="N1537" s="1">
        <f>IF(Calculations!$F$5="ACCREDITED 17025 WITH UNCERTAINTIES",$N$10,0)</f>
        <v>0</v>
      </c>
      <c r="Q1537" s="1">
        <f>Table1[[#This Row],[High Tol]]-Table1[[#This Row],[Low Tol]]</f>
        <v>0</v>
      </c>
      <c r="R1537" s="1">
        <f>2*Table1[[#This Row],[Std Error]]</f>
        <v>0</v>
      </c>
      <c r="S1537" s="1" t="str">
        <f>IF(Table1[[#This Row],[High Tol]]="","N/A",IFERROR(ABS(Table1[[#This Row],[Tol Span]]/Table1[[#This Row],[Error Span]]),"N/A"))</f>
        <v>N/A</v>
      </c>
      <c r="T1537" s="1" t="str">
        <f>IF(OR(Table1[[#This Row],[Low Tol]]="",Table1[[#This Row],[High Tol]]=""),"Needs Analysis",IF(Table1[[#This Row],[Ratio]]&gt;=4,"Not Significant",IF(Table1[[#This Row],[Ratio]]&gt;=2,"Semi-Significant","Significant")))</f>
        <v>Needs Analysis</v>
      </c>
      <c r="W1537" s="1">
        <f>IF(Table1[[#This Row],[Cal Type]]&lt;&gt;"ACCREDITED 17025 WITH UNCERTAINTIES",0,"")</f>
        <v>0</v>
      </c>
      <c r="X1537" s="1" t="str">
        <f>IF(Table1[[#This Row],[DUT Read]]="","N/A",Table1[[#This Row],[Std Error]]+Table1[[#This Row],[DUT Read]]+Table1[[#This Row],[DUT Ucty]])</f>
        <v>N/A</v>
      </c>
      <c r="Y1537" s="1" t="str">
        <f>IF(Table1[[#This Row],[Std Read]]="","N/A",Table1[[#This Row],[Std Read]]+Table1[[#This Row],[Std Ucty]])</f>
        <v>N/A</v>
      </c>
      <c r="Z15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7" s="1" t="str">
        <f>IF(Table1[[#This Row],[Spec Type]]="","N/A",Table1[[#This Row],[Spec Type]])</f>
        <v>±</v>
      </c>
      <c r="AC1537" s="1" t="str">
        <f>IF(Table1[[#This Row],[Spec Type2]]="N/A","N/A",IF(AND(Table1[[#This Row],[DUT Adj Read]]&gt;=Table1[[#This Row],[Low Tol]],Table1[[#This Row],[DUT Adj Read]]&lt;=Table1[[#This Row],[High Tol]]),"Pass","Fail"))</f>
        <v>Fail</v>
      </c>
      <c r="AD1537" s="1" t="str">
        <f>IF(AND(Table1[[#This Row],[Spec Type2]]="N/A",Table1[[#This Row],[DUT Adj Read]]="N/A",Table1[[#This Row],[Std Adj Read]]="N/A"),"N/A",IF(Table1[[#This Row],[DUT Adj Read]]="N/A",IF(Table1[[#This Row],[Std Adj Read]]&gt;Table1[[#This Row],[Low Tol]],"Pass","Fail"),IF(Table1[[#This Row],[DUT Adj Read]]&gt;Table1[[#This Row],[Low Tol]],"Pass","Fail")))</f>
        <v>Pass</v>
      </c>
      <c r="AE1537" s="1" t="str">
        <f>IF(AND(Table1[[#This Row],[Spec Type2]]="N/A",Table1[[#This Row],[DUT Adj Read]]="N/A",Table1[[#This Row],[Std Adj Read]]="N/A"),"N/A",IF(Table1[[#This Row],[DUT Adj Read]]="N/A",IF(Table1[[#This Row],[Std Adj Read]]&lt;Table1[[#This Row],[High Tol]],"Pass","Fail"),IF(Table1[[#This Row],[DUT Adj Read]]&lt;Table1[[#This Row],[High Tol]],"Pass","Fail")))</f>
        <v>Fail</v>
      </c>
      <c r="AF1537" s="1" t="str">
        <f>IF(AND(Table1[[#This Row],[Spec Type2]]="N/A",Table1[[#This Row],[DUT Adj Read]]="N/A",Table1[[#This Row],[Std Adj Read]]="N/A"),"N/A",IF(Table1[[#This Row],[DUT Adj Read]]="N/A",IF(Table1[[#This Row],[Std Adj Read]]&gt;=Table1[[#This Row],[Low Tol]],"Pass","Fail"),IF(Table1[[#This Row],[DUT Adj Read]]&gt;=Table1[[#This Row],[Low Tol]],"Pass","Fail")))</f>
        <v>Pass</v>
      </c>
      <c r="AG1537" s="1" t="str">
        <f>IF(AND(Table1[[#This Row],[Spec Type2]]="N/A",Table1[[#This Row],[DUT Adj Read]]="N/A",Table1[[#This Row],[Std Adj Read]]="N/A"),"N/A",IF(Table1[[#This Row],[DUT Adj Read]]="N/A",IF(Table1[[#This Row],[Std Adj Read]]&lt;=Table1[[#This Row],[High Tol]],"Pass","Fail"),IF(Table1[[#This Row],[DUT Adj Read]]&lt;=Table1[[#This Row],[High Tol]],"Pass","Fail")))</f>
        <v>Fail</v>
      </c>
      <c r="AH15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7" s="1" t="b">
        <v>0</v>
      </c>
      <c r="AN1537" s="1" t="b">
        <v>0</v>
      </c>
      <c r="AO1537" s="1" t="b">
        <v>0</v>
      </c>
    </row>
    <row r="1538" spans="1:41" x14ac:dyDescent="0.25">
      <c r="A1538" s="10"/>
      <c r="B1538" s="10"/>
      <c r="C1538" s="10"/>
      <c r="D1538" s="10"/>
      <c r="E1538" s="10"/>
      <c r="F1538" s="10"/>
      <c r="G1538" s="10"/>
      <c r="H1538" s="10"/>
      <c r="I1538" s="1" t="str">
        <f t="shared" si="69"/>
        <v/>
      </c>
      <c r="J1538" s="1" t="s">
        <v>35</v>
      </c>
      <c r="K1538" s="1" t="str">
        <f t="shared" si="70"/>
        <v/>
      </c>
      <c r="L1538" s="1" t="str">
        <f t="shared" si="71"/>
        <v/>
      </c>
      <c r="M1538" s="1">
        <f>IF(OR(Table1[[#This Row],[Std Nom]]="",Table1[[#This Row],[Std Read]]=""),0,Table1[[#This Row],[Std Nom]]-Table1[[#This Row],[Std Read]])</f>
        <v>0</v>
      </c>
      <c r="N1538" s="1">
        <f>IF(Calculations!$F$5="ACCREDITED 17025 WITH UNCERTAINTIES",$N$10,0)</f>
        <v>0</v>
      </c>
      <c r="Q1538" s="1">
        <f>Table1[[#This Row],[High Tol]]-Table1[[#This Row],[Low Tol]]</f>
        <v>0</v>
      </c>
      <c r="R1538" s="1">
        <f>2*Table1[[#This Row],[Std Error]]</f>
        <v>0</v>
      </c>
      <c r="S1538" s="1" t="str">
        <f>IF(Table1[[#This Row],[High Tol]]="","N/A",IFERROR(ABS(Table1[[#This Row],[Tol Span]]/Table1[[#This Row],[Error Span]]),"N/A"))</f>
        <v>N/A</v>
      </c>
      <c r="T1538" s="1" t="str">
        <f>IF(OR(Table1[[#This Row],[Low Tol]]="",Table1[[#This Row],[High Tol]]=""),"Needs Analysis",IF(Table1[[#This Row],[Ratio]]&gt;=4,"Not Significant",IF(Table1[[#This Row],[Ratio]]&gt;=2,"Semi-Significant","Significant")))</f>
        <v>Needs Analysis</v>
      </c>
      <c r="W1538" s="1">
        <f>IF(Table1[[#This Row],[Cal Type]]&lt;&gt;"ACCREDITED 17025 WITH UNCERTAINTIES",0,"")</f>
        <v>0</v>
      </c>
      <c r="X1538" s="1" t="str">
        <f>IF(Table1[[#This Row],[DUT Read]]="","N/A",Table1[[#This Row],[Std Error]]+Table1[[#This Row],[DUT Read]]+Table1[[#This Row],[DUT Ucty]])</f>
        <v>N/A</v>
      </c>
      <c r="Y1538" s="1" t="str">
        <f>IF(Table1[[#This Row],[Std Read]]="","N/A",Table1[[#This Row],[Std Read]]+Table1[[#This Row],[Std Ucty]])</f>
        <v>N/A</v>
      </c>
      <c r="Z15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8" s="1" t="str">
        <f>IF(Table1[[#This Row],[Spec Type]]="","N/A",Table1[[#This Row],[Spec Type]])</f>
        <v>±</v>
      </c>
      <c r="AC1538" s="1" t="str">
        <f>IF(Table1[[#This Row],[Spec Type2]]="N/A","N/A",IF(AND(Table1[[#This Row],[DUT Adj Read]]&gt;=Table1[[#This Row],[Low Tol]],Table1[[#This Row],[DUT Adj Read]]&lt;=Table1[[#This Row],[High Tol]]),"Pass","Fail"))</f>
        <v>Fail</v>
      </c>
      <c r="AD1538" s="1" t="str">
        <f>IF(AND(Table1[[#This Row],[Spec Type2]]="N/A",Table1[[#This Row],[DUT Adj Read]]="N/A",Table1[[#This Row],[Std Adj Read]]="N/A"),"N/A",IF(Table1[[#This Row],[DUT Adj Read]]="N/A",IF(Table1[[#This Row],[Std Adj Read]]&gt;Table1[[#This Row],[Low Tol]],"Pass","Fail"),IF(Table1[[#This Row],[DUT Adj Read]]&gt;Table1[[#This Row],[Low Tol]],"Pass","Fail")))</f>
        <v>Pass</v>
      </c>
      <c r="AE1538" s="1" t="str">
        <f>IF(AND(Table1[[#This Row],[Spec Type2]]="N/A",Table1[[#This Row],[DUT Adj Read]]="N/A",Table1[[#This Row],[Std Adj Read]]="N/A"),"N/A",IF(Table1[[#This Row],[DUT Adj Read]]="N/A",IF(Table1[[#This Row],[Std Adj Read]]&lt;Table1[[#This Row],[High Tol]],"Pass","Fail"),IF(Table1[[#This Row],[DUT Adj Read]]&lt;Table1[[#This Row],[High Tol]],"Pass","Fail")))</f>
        <v>Fail</v>
      </c>
      <c r="AF1538" s="1" t="str">
        <f>IF(AND(Table1[[#This Row],[Spec Type2]]="N/A",Table1[[#This Row],[DUT Adj Read]]="N/A",Table1[[#This Row],[Std Adj Read]]="N/A"),"N/A",IF(Table1[[#This Row],[DUT Adj Read]]="N/A",IF(Table1[[#This Row],[Std Adj Read]]&gt;=Table1[[#This Row],[Low Tol]],"Pass","Fail"),IF(Table1[[#This Row],[DUT Adj Read]]&gt;=Table1[[#This Row],[Low Tol]],"Pass","Fail")))</f>
        <v>Pass</v>
      </c>
      <c r="AG1538" s="1" t="str">
        <f>IF(AND(Table1[[#This Row],[Spec Type2]]="N/A",Table1[[#This Row],[DUT Adj Read]]="N/A",Table1[[#This Row],[Std Adj Read]]="N/A"),"N/A",IF(Table1[[#This Row],[DUT Adj Read]]="N/A",IF(Table1[[#This Row],[Std Adj Read]]&lt;=Table1[[#This Row],[High Tol]],"Pass","Fail"),IF(Table1[[#This Row],[DUT Adj Read]]&lt;=Table1[[#This Row],[High Tol]],"Pass","Fail")))</f>
        <v>Fail</v>
      </c>
      <c r="AH15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8" s="1" t="b">
        <v>0</v>
      </c>
      <c r="AN1538" s="1" t="b">
        <v>0</v>
      </c>
      <c r="AO1538" s="1" t="b">
        <v>0</v>
      </c>
    </row>
    <row r="1539" spans="1:41" x14ac:dyDescent="0.25">
      <c r="A1539" s="10"/>
      <c r="B1539" s="10"/>
      <c r="C1539" s="10"/>
      <c r="D1539" s="10"/>
      <c r="E1539" s="10"/>
      <c r="F1539" s="10"/>
      <c r="G1539" s="10"/>
      <c r="H1539" s="10"/>
      <c r="I1539" s="1" t="str">
        <f t="shared" si="69"/>
        <v/>
      </c>
      <c r="J1539" s="1" t="s">
        <v>35</v>
      </c>
      <c r="K1539" s="1" t="str">
        <f t="shared" si="70"/>
        <v/>
      </c>
      <c r="L1539" s="1" t="str">
        <f t="shared" si="71"/>
        <v/>
      </c>
      <c r="M1539" s="1">
        <f>IF(OR(Table1[[#This Row],[Std Nom]]="",Table1[[#This Row],[Std Read]]=""),0,Table1[[#This Row],[Std Nom]]-Table1[[#This Row],[Std Read]])</f>
        <v>0</v>
      </c>
      <c r="N1539" s="1">
        <f>IF(Calculations!$F$5="ACCREDITED 17025 WITH UNCERTAINTIES",$N$10,0)</f>
        <v>0</v>
      </c>
      <c r="Q1539" s="1">
        <f>Table1[[#This Row],[High Tol]]-Table1[[#This Row],[Low Tol]]</f>
        <v>0</v>
      </c>
      <c r="R1539" s="1">
        <f>2*Table1[[#This Row],[Std Error]]</f>
        <v>0</v>
      </c>
      <c r="S1539" s="1" t="str">
        <f>IF(Table1[[#This Row],[High Tol]]="","N/A",IFERROR(ABS(Table1[[#This Row],[Tol Span]]/Table1[[#This Row],[Error Span]]),"N/A"))</f>
        <v>N/A</v>
      </c>
      <c r="T1539" s="1" t="str">
        <f>IF(OR(Table1[[#This Row],[Low Tol]]="",Table1[[#This Row],[High Tol]]=""),"Needs Analysis",IF(Table1[[#This Row],[Ratio]]&gt;=4,"Not Significant",IF(Table1[[#This Row],[Ratio]]&gt;=2,"Semi-Significant","Significant")))</f>
        <v>Needs Analysis</v>
      </c>
      <c r="W1539" s="1">
        <f>IF(Table1[[#This Row],[Cal Type]]&lt;&gt;"ACCREDITED 17025 WITH UNCERTAINTIES",0,"")</f>
        <v>0</v>
      </c>
      <c r="X1539" s="1" t="str">
        <f>IF(Table1[[#This Row],[DUT Read]]="","N/A",Table1[[#This Row],[Std Error]]+Table1[[#This Row],[DUT Read]]+Table1[[#This Row],[DUT Ucty]])</f>
        <v>N/A</v>
      </c>
      <c r="Y1539" s="1" t="str">
        <f>IF(Table1[[#This Row],[Std Read]]="","N/A",Table1[[#This Row],[Std Read]]+Table1[[#This Row],[Std Ucty]])</f>
        <v>N/A</v>
      </c>
      <c r="Z15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39" s="1" t="str">
        <f>IF(Table1[[#This Row],[Spec Type]]="","N/A",Table1[[#This Row],[Spec Type]])</f>
        <v>±</v>
      </c>
      <c r="AC1539" s="1" t="str">
        <f>IF(Table1[[#This Row],[Spec Type2]]="N/A","N/A",IF(AND(Table1[[#This Row],[DUT Adj Read]]&gt;=Table1[[#This Row],[Low Tol]],Table1[[#This Row],[DUT Adj Read]]&lt;=Table1[[#This Row],[High Tol]]),"Pass","Fail"))</f>
        <v>Fail</v>
      </c>
      <c r="AD1539" s="1" t="str">
        <f>IF(AND(Table1[[#This Row],[Spec Type2]]="N/A",Table1[[#This Row],[DUT Adj Read]]="N/A",Table1[[#This Row],[Std Adj Read]]="N/A"),"N/A",IF(Table1[[#This Row],[DUT Adj Read]]="N/A",IF(Table1[[#This Row],[Std Adj Read]]&gt;Table1[[#This Row],[Low Tol]],"Pass","Fail"),IF(Table1[[#This Row],[DUT Adj Read]]&gt;Table1[[#This Row],[Low Tol]],"Pass","Fail")))</f>
        <v>Pass</v>
      </c>
      <c r="AE1539" s="1" t="str">
        <f>IF(AND(Table1[[#This Row],[Spec Type2]]="N/A",Table1[[#This Row],[DUT Adj Read]]="N/A",Table1[[#This Row],[Std Adj Read]]="N/A"),"N/A",IF(Table1[[#This Row],[DUT Adj Read]]="N/A",IF(Table1[[#This Row],[Std Adj Read]]&lt;Table1[[#This Row],[High Tol]],"Pass","Fail"),IF(Table1[[#This Row],[DUT Adj Read]]&lt;Table1[[#This Row],[High Tol]],"Pass","Fail")))</f>
        <v>Fail</v>
      </c>
      <c r="AF1539" s="1" t="str">
        <f>IF(AND(Table1[[#This Row],[Spec Type2]]="N/A",Table1[[#This Row],[DUT Adj Read]]="N/A",Table1[[#This Row],[Std Adj Read]]="N/A"),"N/A",IF(Table1[[#This Row],[DUT Adj Read]]="N/A",IF(Table1[[#This Row],[Std Adj Read]]&gt;=Table1[[#This Row],[Low Tol]],"Pass","Fail"),IF(Table1[[#This Row],[DUT Adj Read]]&gt;=Table1[[#This Row],[Low Tol]],"Pass","Fail")))</f>
        <v>Pass</v>
      </c>
      <c r="AG1539" s="1" t="str">
        <f>IF(AND(Table1[[#This Row],[Spec Type2]]="N/A",Table1[[#This Row],[DUT Adj Read]]="N/A",Table1[[#This Row],[Std Adj Read]]="N/A"),"N/A",IF(Table1[[#This Row],[DUT Adj Read]]="N/A",IF(Table1[[#This Row],[Std Adj Read]]&lt;=Table1[[#This Row],[High Tol]],"Pass","Fail"),IF(Table1[[#This Row],[DUT Adj Read]]&lt;=Table1[[#This Row],[High Tol]],"Pass","Fail")))</f>
        <v>Fail</v>
      </c>
      <c r="AH15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39" s="1" t="b">
        <v>0</v>
      </c>
      <c r="AN1539" s="1" t="b">
        <v>0</v>
      </c>
      <c r="AO1539" s="1" t="b">
        <v>0</v>
      </c>
    </row>
    <row r="1540" spans="1:41" x14ac:dyDescent="0.25">
      <c r="A1540" s="10"/>
      <c r="B1540" s="10"/>
      <c r="C1540" s="10"/>
      <c r="D1540" s="10"/>
      <c r="E1540" s="10"/>
      <c r="F1540" s="10"/>
      <c r="G1540" s="10"/>
      <c r="H1540" s="10"/>
      <c r="I1540" s="1" t="str">
        <f t="shared" si="69"/>
        <v/>
      </c>
      <c r="J1540" s="1" t="s">
        <v>35</v>
      </c>
      <c r="K1540" s="1" t="str">
        <f t="shared" si="70"/>
        <v/>
      </c>
      <c r="L1540" s="1" t="str">
        <f t="shared" si="71"/>
        <v/>
      </c>
      <c r="M1540" s="1">
        <f>IF(OR(Table1[[#This Row],[Std Nom]]="",Table1[[#This Row],[Std Read]]=""),0,Table1[[#This Row],[Std Nom]]-Table1[[#This Row],[Std Read]])</f>
        <v>0</v>
      </c>
      <c r="N1540" s="1">
        <f>IF(Calculations!$F$5="ACCREDITED 17025 WITH UNCERTAINTIES",$N$10,0)</f>
        <v>0</v>
      </c>
      <c r="Q1540" s="1">
        <f>Table1[[#This Row],[High Tol]]-Table1[[#This Row],[Low Tol]]</f>
        <v>0</v>
      </c>
      <c r="R1540" s="1">
        <f>2*Table1[[#This Row],[Std Error]]</f>
        <v>0</v>
      </c>
      <c r="S1540" s="1" t="str">
        <f>IF(Table1[[#This Row],[High Tol]]="","N/A",IFERROR(ABS(Table1[[#This Row],[Tol Span]]/Table1[[#This Row],[Error Span]]),"N/A"))</f>
        <v>N/A</v>
      </c>
      <c r="T1540" s="1" t="str">
        <f>IF(OR(Table1[[#This Row],[Low Tol]]="",Table1[[#This Row],[High Tol]]=""),"Needs Analysis",IF(Table1[[#This Row],[Ratio]]&gt;=4,"Not Significant",IF(Table1[[#This Row],[Ratio]]&gt;=2,"Semi-Significant","Significant")))</f>
        <v>Needs Analysis</v>
      </c>
      <c r="W1540" s="1">
        <f>IF(Table1[[#This Row],[Cal Type]]&lt;&gt;"ACCREDITED 17025 WITH UNCERTAINTIES",0,"")</f>
        <v>0</v>
      </c>
      <c r="X1540" s="1" t="str">
        <f>IF(Table1[[#This Row],[DUT Read]]="","N/A",Table1[[#This Row],[Std Error]]+Table1[[#This Row],[DUT Read]]+Table1[[#This Row],[DUT Ucty]])</f>
        <v>N/A</v>
      </c>
      <c r="Y1540" s="1" t="str">
        <f>IF(Table1[[#This Row],[Std Read]]="","N/A",Table1[[#This Row],[Std Read]]+Table1[[#This Row],[Std Ucty]])</f>
        <v>N/A</v>
      </c>
      <c r="Z15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0" s="1" t="str">
        <f>IF(Table1[[#This Row],[Spec Type]]="","N/A",Table1[[#This Row],[Spec Type]])</f>
        <v>±</v>
      </c>
      <c r="AC1540" s="1" t="str">
        <f>IF(Table1[[#This Row],[Spec Type2]]="N/A","N/A",IF(AND(Table1[[#This Row],[DUT Adj Read]]&gt;=Table1[[#This Row],[Low Tol]],Table1[[#This Row],[DUT Adj Read]]&lt;=Table1[[#This Row],[High Tol]]),"Pass","Fail"))</f>
        <v>Fail</v>
      </c>
      <c r="AD1540" s="1" t="str">
        <f>IF(AND(Table1[[#This Row],[Spec Type2]]="N/A",Table1[[#This Row],[DUT Adj Read]]="N/A",Table1[[#This Row],[Std Adj Read]]="N/A"),"N/A",IF(Table1[[#This Row],[DUT Adj Read]]="N/A",IF(Table1[[#This Row],[Std Adj Read]]&gt;Table1[[#This Row],[Low Tol]],"Pass","Fail"),IF(Table1[[#This Row],[DUT Adj Read]]&gt;Table1[[#This Row],[Low Tol]],"Pass","Fail")))</f>
        <v>Pass</v>
      </c>
      <c r="AE1540" s="1" t="str">
        <f>IF(AND(Table1[[#This Row],[Spec Type2]]="N/A",Table1[[#This Row],[DUT Adj Read]]="N/A",Table1[[#This Row],[Std Adj Read]]="N/A"),"N/A",IF(Table1[[#This Row],[DUT Adj Read]]="N/A",IF(Table1[[#This Row],[Std Adj Read]]&lt;Table1[[#This Row],[High Tol]],"Pass","Fail"),IF(Table1[[#This Row],[DUT Adj Read]]&lt;Table1[[#This Row],[High Tol]],"Pass","Fail")))</f>
        <v>Fail</v>
      </c>
      <c r="AF1540" s="1" t="str">
        <f>IF(AND(Table1[[#This Row],[Spec Type2]]="N/A",Table1[[#This Row],[DUT Adj Read]]="N/A",Table1[[#This Row],[Std Adj Read]]="N/A"),"N/A",IF(Table1[[#This Row],[DUT Adj Read]]="N/A",IF(Table1[[#This Row],[Std Adj Read]]&gt;=Table1[[#This Row],[Low Tol]],"Pass","Fail"),IF(Table1[[#This Row],[DUT Adj Read]]&gt;=Table1[[#This Row],[Low Tol]],"Pass","Fail")))</f>
        <v>Pass</v>
      </c>
      <c r="AG1540" s="1" t="str">
        <f>IF(AND(Table1[[#This Row],[Spec Type2]]="N/A",Table1[[#This Row],[DUT Adj Read]]="N/A",Table1[[#This Row],[Std Adj Read]]="N/A"),"N/A",IF(Table1[[#This Row],[DUT Adj Read]]="N/A",IF(Table1[[#This Row],[Std Adj Read]]&lt;=Table1[[#This Row],[High Tol]],"Pass","Fail"),IF(Table1[[#This Row],[DUT Adj Read]]&lt;=Table1[[#This Row],[High Tol]],"Pass","Fail")))</f>
        <v>Fail</v>
      </c>
      <c r="AH15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0" s="1" t="b">
        <v>0</v>
      </c>
      <c r="AN1540" s="1" t="b">
        <v>0</v>
      </c>
      <c r="AO1540" s="1" t="b">
        <v>0</v>
      </c>
    </row>
    <row r="1541" spans="1:41" x14ac:dyDescent="0.25">
      <c r="A1541" s="10"/>
      <c r="B1541" s="10"/>
      <c r="C1541" s="10"/>
      <c r="D1541" s="10"/>
      <c r="E1541" s="10"/>
      <c r="F1541" s="10"/>
      <c r="G1541" s="10"/>
      <c r="H1541" s="10"/>
      <c r="I1541" s="1" t="str">
        <f t="shared" si="69"/>
        <v/>
      </c>
      <c r="J1541" s="1" t="s">
        <v>35</v>
      </c>
      <c r="K1541" s="1" t="str">
        <f t="shared" si="70"/>
        <v/>
      </c>
      <c r="L1541" s="1" t="str">
        <f t="shared" si="71"/>
        <v/>
      </c>
      <c r="M1541" s="1">
        <f>IF(OR(Table1[[#This Row],[Std Nom]]="",Table1[[#This Row],[Std Read]]=""),0,Table1[[#This Row],[Std Nom]]-Table1[[#This Row],[Std Read]])</f>
        <v>0</v>
      </c>
      <c r="N1541" s="1">
        <f>IF(Calculations!$F$5="ACCREDITED 17025 WITH UNCERTAINTIES",$N$10,0)</f>
        <v>0</v>
      </c>
      <c r="Q1541" s="1">
        <f>Table1[[#This Row],[High Tol]]-Table1[[#This Row],[Low Tol]]</f>
        <v>0</v>
      </c>
      <c r="R1541" s="1">
        <f>2*Table1[[#This Row],[Std Error]]</f>
        <v>0</v>
      </c>
      <c r="S1541" s="1" t="str">
        <f>IF(Table1[[#This Row],[High Tol]]="","N/A",IFERROR(ABS(Table1[[#This Row],[Tol Span]]/Table1[[#This Row],[Error Span]]),"N/A"))</f>
        <v>N/A</v>
      </c>
      <c r="T1541" s="1" t="str">
        <f>IF(OR(Table1[[#This Row],[Low Tol]]="",Table1[[#This Row],[High Tol]]=""),"Needs Analysis",IF(Table1[[#This Row],[Ratio]]&gt;=4,"Not Significant",IF(Table1[[#This Row],[Ratio]]&gt;=2,"Semi-Significant","Significant")))</f>
        <v>Needs Analysis</v>
      </c>
      <c r="W1541" s="1">
        <f>IF(Table1[[#This Row],[Cal Type]]&lt;&gt;"ACCREDITED 17025 WITH UNCERTAINTIES",0,"")</f>
        <v>0</v>
      </c>
      <c r="X1541" s="1" t="str">
        <f>IF(Table1[[#This Row],[DUT Read]]="","N/A",Table1[[#This Row],[Std Error]]+Table1[[#This Row],[DUT Read]]+Table1[[#This Row],[DUT Ucty]])</f>
        <v>N/A</v>
      </c>
      <c r="Y1541" s="1" t="str">
        <f>IF(Table1[[#This Row],[Std Read]]="","N/A",Table1[[#This Row],[Std Read]]+Table1[[#This Row],[Std Ucty]])</f>
        <v>N/A</v>
      </c>
      <c r="Z15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1" s="1" t="str">
        <f>IF(Table1[[#This Row],[Spec Type]]="","N/A",Table1[[#This Row],[Spec Type]])</f>
        <v>±</v>
      </c>
      <c r="AC1541" s="1" t="str">
        <f>IF(Table1[[#This Row],[Spec Type2]]="N/A","N/A",IF(AND(Table1[[#This Row],[DUT Adj Read]]&gt;=Table1[[#This Row],[Low Tol]],Table1[[#This Row],[DUT Adj Read]]&lt;=Table1[[#This Row],[High Tol]]),"Pass","Fail"))</f>
        <v>Fail</v>
      </c>
      <c r="AD1541" s="1" t="str">
        <f>IF(AND(Table1[[#This Row],[Spec Type2]]="N/A",Table1[[#This Row],[DUT Adj Read]]="N/A",Table1[[#This Row],[Std Adj Read]]="N/A"),"N/A",IF(Table1[[#This Row],[DUT Adj Read]]="N/A",IF(Table1[[#This Row],[Std Adj Read]]&gt;Table1[[#This Row],[Low Tol]],"Pass","Fail"),IF(Table1[[#This Row],[DUT Adj Read]]&gt;Table1[[#This Row],[Low Tol]],"Pass","Fail")))</f>
        <v>Pass</v>
      </c>
      <c r="AE1541" s="1" t="str">
        <f>IF(AND(Table1[[#This Row],[Spec Type2]]="N/A",Table1[[#This Row],[DUT Adj Read]]="N/A",Table1[[#This Row],[Std Adj Read]]="N/A"),"N/A",IF(Table1[[#This Row],[DUT Adj Read]]="N/A",IF(Table1[[#This Row],[Std Adj Read]]&lt;Table1[[#This Row],[High Tol]],"Pass","Fail"),IF(Table1[[#This Row],[DUT Adj Read]]&lt;Table1[[#This Row],[High Tol]],"Pass","Fail")))</f>
        <v>Fail</v>
      </c>
      <c r="AF1541" s="1" t="str">
        <f>IF(AND(Table1[[#This Row],[Spec Type2]]="N/A",Table1[[#This Row],[DUT Adj Read]]="N/A",Table1[[#This Row],[Std Adj Read]]="N/A"),"N/A",IF(Table1[[#This Row],[DUT Adj Read]]="N/A",IF(Table1[[#This Row],[Std Adj Read]]&gt;=Table1[[#This Row],[Low Tol]],"Pass","Fail"),IF(Table1[[#This Row],[DUT Adj Read]]&gt;=Table1[[#This Row],[Low Tol]],"Pass","Fail")))</f>
        <v>Pass</v>
      </c>
      <c r="AG1541" s="1" t="str">
        <f>IF(AND(Table1[[#This Row],[Spec Type2]]="N/A",Table1[[#This Row],[DUT Adj Read]]="N/A",Table1[[#This Row],[Std Adj Read]]="N/A"),"N/A",IF(Table1[[#This Row],[DUT Adj Read]]="N/A",IF(Table1[[#This Row],[Std Adj Read]]&lt;=Table1[[#This Row],[High Tol]],"Pass","Fail"),IF(Table1[[#This Row],[DUT Adj Read]]&lt;=Table1[[#This Row],[High Tol]],"Pass","Fail")))</f>
        <v>Fail</v>
      </c>
      <c r="AH15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1" s="1" t="b">
        <v>0</v>
      </c>
      <c r="AN1541" s="1" t="b">
        <v>0</v>
      </c>
      <c r="AO1541" s="1" t="b">
        <v>0</v>
      </c>
    </row>
    <row r="1542" spans="1:41" x14ac:dyDescent="0.25">
      <c r="A1542" s="10"/>
      <c r="B1542" s="10"/>
      <c r="C1542" s="10"/>
      <c r="D1542" s="10"/>
      <c r="E1542" s="10"/>
      <c r="F1542" s="10"/>
      <c r="G1542" s="10"/>
      <c r="H1542" s="10"/>
      <c r="I1542" s="1" t="str">
        <f t="shared" si="69"/>
        <v/>
      </c>
      <c r="J1542" s="1" t="s">
        <v>35</v>
      </c>
      <c r="K1542" s="1" t="str">
        <f t="shared" si="70"/>
        <v/>
      </c>
      <c r="L1542" s="1" t="str">
        <f t="shared" si="71"/>
        <v/>
      </c>
      <c r="M1542" s="1">
        <f>IF(OR(Table1[[#This Row],[Std Nom]]="",Table1[[#This Row],[Std Read]]=""),0,Table1[[#This Row],[Std Nom]]-Table1[[#This Row],[Std Read]])</f>
        <v>0</v>
      </c>
      <c r="N1542" s="1">
        <f>IF(Calculations!$F$5="ACCREDITED 17025 WITH UNCERTAINTIES",$N$10,0)</f>
        <v>0</v>
      </c>
      <c r="Q1542" s="1">
        <f>Table1[[#This Row],[High Tol]]-Table1[[#This Row],[Low Tol]]</f>
        <v>0</v>
      </c>
      <c r="R1542" s="1">
        <f>2*Table1[[#This Row],[Std Error]]</f>
        <v>0</v>
      </c>
      <c r="S1542" s="1" t="str">
        <f>IF(Table1[[#This Row],[High Tol]]="","N/A",IFERROR(ABS(Table1[[#This Row],[Tol Span]]/Table1[[#This Row],[Error Span]]),"N/A"))</f>
        <v>N/A</v>
      </c>
      <c r="T1542" s="1" t="str">
        <f>IF(OR(Table1[[#This Row],[Low Tol]]="",Table1[[#This Row],[High Tol]]=""),"Needs Analysis",IF(Table1[[#This Row],[Ratio]]&gt;=4,"Not Significant",IF(Table1[[#This Row],[Ratio]]&gt;=2,"Semi-Significant","Significant")))</f>
        <v>Needs Analysis</v>
      </c>
      <c r="W1542" s="1">
        <f>IF(Table1[[#This Row],[Cal Type]]&lt;&gt;"ACCREDITED 17025 WITH UNCERTAINTIES",0,"")</f>
        <v>0</v>
      </c>
      <c r="X1542" s="1" t="str">
        <f>IF(Table1[[#This Row],[DUT Read]]="","N/A",Table1[[#This Row],[Std Error]]+Table1[[#This Row],[DUT Read]]+Table1[[#This Row],[DUT Ucty]])</f>
        <v>N/A</v>
      </c>
      <c r="Y1542" s="1" t="str">
        <f>IF(Table1[[#This Row],[Std Read]]="","N/A",Table1[[#This Row],[Std Read]]+Table1[[#This Row],[Std Ucty]])</f>
        <v>N/A</v>
      </c>
      <c r="Z15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2" s="1" t="str">
        <f>IF(Table1[[#This Row],[Spec Type]]="","N/A",Table1[[#This Row],[Spec Type]])</f>
        <v>±</v>
      </c>
      <c r="AC1542" s="1" t="str">
        <f>IF(Table1[[#This Row],[Spec Type2]]="N/A","N/A",IF(AND(Table1[[#This Row],[DUT Adj Read]]&gt;=Table1[[#This Row],[Low Tol]],Table1[[#This Row],[DUT Adj Read]]&lt;=Table1[[#This Row],[High Tol]]),"Pass","Fail"))</f>
        <v>Fail</v>
      </c>
      <c r="AD1542" s="1" t="str">
        <f>IF(AND(Table1[[#This Row],[Spec Type2]]="N/A",Table1[[#This Row],[DUT Adj Read]]="N/A",Table1[[#This Row],[Std Adj Read]]="N/A"),"N/A",IF(Table1[[#This Row],[DUT Adj Read]]="N/A",IF(Table1[[#This Row],[Std Adj Read]]&gt;Table1[[#This Row],[Low Tol]],"Pass","Fail"),IF(Table1[[#This Row],[DUT Adj Read]]&gt;Table1[[#This Row],[Low Tol]],"Pass","Fail")))</f>
        <v>Pass</v>
      </c>
      <c r="AE1542" s="1" t="str">
        <f>IF(AND(Table1[[#This Row],[Spec Type2]]="N/A",Table1[[#This Row],[DUT Adj Read]]="N/A",Table1[[#This Row],[Std Adj Read]]="N/A"),"N/A",IF(Table1[[#This Row],[DUT Adj Read]]="N/A",IF(Table1[[#This Row],[Std Adj Read]]&lt;Table1[[#This Row],[High Tol]],"Pass","Fail"),IF(Table1[[#This Row],[DUT Adj Read]]&lt;Table1[[#This Row],[High Tol]],"Pass","Fail")))</f>
        <v>Fail</v>
      </c>
      <c r="AF1542" s="1" t="str">
        <f>IF(AND(Table1[[#This Row],[Spec Type2]]="N/A",Table1[[#This Row],[DUT Adj Read]]="N/A",Table1[[#This Row],[Std Adj Read]]="N/A"),"N/A",IF(Table1[[#This Row],[DUT Adj Read]]="N/A",IF(Table1[[#This Row],[Std Adj Read]]&gt;=Table1[[#This Row],[Low Tol]],"Pass","Fail"),IF(Table1[[#This Row],[DUT Adj Read]]&gt;=Table1[[#This Row],[Low Tol]],"Pass","Fail")))</f>
        <v>Pass</v>
      </c>
      <c r="AG1542" s="1" t="str">
        <f>IF(AND(Table1[[#This Row],[Spec Type2]]="N/A",Table1[[#This Row],[DUT Adj Read]]="N/A",Table1[[#This Row],[Std Adj Read]]="N/A"),"N/A",IF(Table1[[#This Row],[DUT Adj Read]]="N/A",IF(Table1[[#This Row],[Std Adj Read]]&lt;=Table1[[#This Row],[High Tol]],"Pass","Fail"),IF(Table1[[#This Row],[DUT Adj Read]]&lt;=Table1[[#This Row],[High Tol]],"Pass","Fail")))</f>
        <v>Fail</v>
      </c>
      <c r="AH15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2" s="1" t="b">
        <v>0</v>
      </c>
      <c r="AN1542" s="1" t="b">
        <v>0</v>
      </c>
      <c r="AO1542" s="1" t="b">
        <v>0</v>
      </c>
    </row>
    <row r="1543" spans="1:41" x14ac:dyDescent="0.25">
      <c r="A1543" s="10"/>
      <c r="B1543" s="10"/>
      <c r="C1543" s="10"/>
      <c r="D1543" s="10"/>
      <c r="E1543" s="10"/>
      <c r="F1543" s="10"/>
      <c r="G1543" s="10"/>
      <c r="H1543" s="10"/>
      <c r="I1543" s="1" t="str">
        <f t="shared" si="69"/>
        <v/>
      </c>
      <c r="J1543" s="1" t="s">
        <v>35</v>
      </c>
      <c r="K1543" s="1" t="str">
        <f t="shared" si="70"/>
        <v/>
      </c>
      <c r="L1543" s="1" t="str">
        <f t="shared" si="71"/>
        <v/>
      </c>
      <c r="M1543" s="1">
        <f>IF(OR(Table1[[#This Row],[Std Nom]]="",Table1[[#This Row],[Std Read]]=""),0,Table1[[#This Row],[Std Nom]]-Table1[[#This Row],[Std Read]])</f>
        <v>0</v>
      </c>
      <c r="N1543" s="1">
        <f>IF(Calculations!$F$5="ACCREDITED 17025 WITH UNCERTAINTIES",$N$10,0)</f>
        <v>0</v>
      </c>
      <c r="Q1543" s="1">
        <f>Table1[[#This Row],[High Tol]]-Table1[[#This Row],[Low Tol]]</f>
        <v>0</v>
      </c>
      <c r="R1543" s="1">
        <f>2*Table1[[#This Row],[Std Error]]</f>
        <v>0</v>
      </c>
      <c r="S1543" s="1" t="str">
        <f>IF(Table1[[#This Row],[High Tol]]="","N/A",IFERROR(ABS(Table1[[#This Row],[Tol Span]]/Table1[[#This Row],[Error Span]]),"N/A"))</f>
        <v>N/A</v>
      </c>
      <c r="T1543" s="1" t="str">
        <f>IF(OR(Table1[[#This Row],[Low Tol]]="",Table1[[#This Row],[High Tol]]=""),"Needs Analysis",IF(Table1[[#This Row],[Ratio]]&gt;=4,"Not Significant",IF(Table1[[#This Row],[Ratio]]&gt;=2,"Semi-Significant","Significant")))</f>
        <v>Needs Analysis</v>
      </c>
      <c r="W1543" s="1">
        <f>IF(Table1[[#This Row],[Cal Type]]&lt;&gt;"ACCREDITED 17025 WITH UNCERTAINTIES",0,"")</f>
        <v>0</v>
      </c>
      <c r="X1543" s="1" t="str">
        <f>IF(Table1[[#This Row],[DUT Read]]="","N/A",Table1[[#This Row],[Std Error]]+Table1[[#This Row],[DUT Read]]+Table1[[#This Row],[DUT Ucty]])</f>
        <v>N/A</v>
      </c>
      <c r="Y1543" s="1" t="str">
        <f>IF(Table1[[#This Row],[Std Read]]="","N/A",Table1[[#This Row],[Std Read]]+Table1[[#This Row],[Std Ucty]])</f>
        <v>N/A</v>
      </c>
      <c r="Z15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3" s="1" t="str">
        <f>IF(Table1[[#This Row],[Spec Type]]="","N/A",Table1[[#This Row],[Spec Type]])</f>
        <v>±</v>
      </c>
      <c r="AC1543" s="1" t="str">
        <f>IF(Table1[[#This Row],[Spec Type2]]="N/A","N/A",IF(AND(Table1[[#This Row],[DUT Adj Read]]&gt;=Table1[[#This Row],[Low Tol]],Table1[[#This Row],[DUT Adj Read]]&lt;=Table1[[#This Row],[High Tol]]),"Pass","Fail"))</f>
        <v>Fail</v>
      </c>
      <c r="AD1543" s="1" t="str">
        <f>IF(AND(Table1[[#This Row],[Spec Type2]]="N/A",Table1[[#This Row],[DUT Adj Read]]="N/A",Table1[[#This Row],[Std Adj Read]]="N/A"),"N/A",IF(Table1[[#This Row],[DUT Adj Read]]="N/A",IF(Table1[[#This Row],[Std Adj Read]]&gt;Table1[[#This Row],[Low Tol]],"Pass","Fail"),IF(Table1[[#This Row],[DUT Adj Read]]&gt;Table1[[#This Row],[Low Tol]],"Pass","Fail")))</f>
        <v>Pass</v>
      </c>
      <c r="AE1543" s="1" t="str">
        <f>IF(AND(Table1[[#This Row],[Spec Type2]]="N/A",Table1[[#This Row],[DUT Adj Read]]="N/A",Table1[[#This Row],[Std Adj Read]]="N/A"),"N/A",IF(Table1[[#This Row],[DUT Adj Read]]="N/A",IF(Table1[[#This Row],[Std Adj Read]]&lt;Table1[[#This Row],[High Tol]],"Pass","Fail"),IF(Table1[[#This Row],[DUT Adj Read]]&lt;Table1[[#This Row],[High Tol]],"Pass","Fail")))</f>
        <v>Fail</v>
      </c>
      <c r="AF1543" s="1" t="str">
        <f>IF(AND(Table1[[#This Row],[Spec Type2]]="N/A",Table1[[#This Row],[DUT Adj Read]]="N/A",Table1[[#This Row],[Std Adj Read]]="N/A"),"N/A",IF(Table1[[#This Row],[DUT Adj Read]]="N/A",IF(Table1[[#This Row],[Std Adj Read]]&gt;=Table1[[#This Row],[Low Tol]],"Pass","Fail"),IF(Table1[[#This Row],[DUT Adj Read]]&gt;=Table1[[#This Row],[Low Tol]],"Pass","Fail")))</f>
        <v>Pass</v>
      </c>
      <c r="AG1543" s="1" t="str">
        <f>IF(AND(Table1[[#This Row],[Spec Type2]]="N/A",Table1[[#This Row],[DUT Adj Read]]="N/A",Table1[[#This Row],[Std Adj Read]]="N/A"),"N/A",IF(Table1[[#This Row],[DUT Adj Read]]="N/A",IF(Table1[[#This Row],[Std Adj Read]]&lt;=Table1[[#This Row],[High Tol]],"Pass","Fail"),IF(Table1[[#This Row],[DUT Adj Read]]&lt;=Table1[[#This Row],[High Tol]],"Pass","Fail")))</f>
        <v>Fail</v>
      </c>
      <c r="AH15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3" s="1" t="b">
        <v>0</v>
      </c>
      <c r="AN1543" s="1" t="b">
        <v>0</v>
      </c>
      <c r="AO1543" s="1" t="b">
        <v>0</v>
      </c>
    </row>
    <row r="1544" spans="1:41" x14ac:dyDescent="0.25">
      <c r="A1544" s="10"/>
      <c r="B1544" s="10"/>
      <c r="C1544" s="10"/>
      <c r="D1544" s="10"/>
      <c r="E1544" s="10"/>
      <c r="F1544" s="10"/>
      <c r="G1544" s="10"/>
      <c r="H1544" s="10"/>
      <c r="I1544" s="1" t="str">
        <f t="shared" si="69"/>
        <v/>
      </c>
      <c r="J1544" s="1" t="s">
        <v>35</v>
      </c>
      <c r="K1544" s="1" t="str">
        <f t="shared" si="70"/>
        <v/>
      </c>
      <c r="L1544" s="1" t="str">
        <f t="shared" si="71"/>
        <v/>
      </c>
      <c r="M1544" s="1">
        <f>IF(OR(Table1[[#This Row],[Std Nom]]="",Table1[[#This Row],[Std Read]]=""),0,Table1[[#This Row],[Std Nom]]-Table1[[#This Row],[Std Read]])</f>
        <v>0</v>
      </c>
      <c r="N1544" s="1">
        <f>IF(Calculations!$F$5="ACCREDITED 17025 WITH UNCERTAINTIES",$N$10,0)</f>
        <v>0</v>
      </c>
      <c r="Q1544" s="1">
        <f>Table1[[#This Row],[High Tol]]-Table1[[#This Row],[Low Tol]]</f>
        <v>0</v>
      </c>
      <c r="R1544" s="1">
        <f>2*Table1[[#This Row],[Std Error]]</f>
        <v>0</v>
      </c>
      <c r="S1544" s="1" t="str">
        <f>IF(Table1[[#This Row],[High Tol]]="","N/A",IFERROR(ABS(Table1[[#This Row],[Tol Span]]/Table1[[#This Row],[Error Span]]),"N/A"))</f>
        <v>N/A</v>
      </c>
      <c r="T1544" s="1" t="str">
        <f>IF(OR(Table1[[#This Row],[Low Tol]]="",Table1[[#This Row],[High Tol]]=""),"Needs Analysis",IF(Table1[[#This Row],[Ratio]]&gt;=4,"Not Significant",IF(Table1[[#This Row],[Ratio]]&gt;=2,"Semi-Significant","Significant")))</f>
        <v>Needs Analysis</v>
      </c>
      <c r="W1544" s="1">
        <f>IF(Table1[[#This Row],[Cal Type]]&lt;&gt;"ACCREDITED 17025 WITH UNCERTAINTIES",0,"")</f>
        <v>0</v>
      </c>
      <c r="X1544" s="1" t="str">
        <f>IF(Table1[[#This Row],[DUT Read]]="","N/A",Table1[[#This Row],[Std Error]]+Table1[[#This Row],[DUT Read]]+Table1[[#This Row],[DUT Ucty]])</f>
        <v>N/A</v>
      </c>
      <c r="Y1544" s="1" t="str">
        <f>IF(Table1[[#This Row],[Std Read]]="","N/A",Table1[[#This Row],[Std Read]]+Table1[[#This Row],[Std Ucty]])</f>
        <v>N/A</v>
      </c>
      <c r="Z15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4" s="1" t="str">
        <f>IF(Table1[[#This Row],[Spec Type]]="","N/A",Table1[[#This Row],[Spec Type]])</f>
        <v>±</v>
      </c>
      <c r="AC1544" s="1" t="str">
        <f>IF(Table1[[#This Row],[Spec Type2]]="N/A","N/A",IF(AND(Table1[[#This Row],[DUT Adj Read]]&gt;=Table1[[#This Row],[Low Tol]],Table1[[#This Row],[DUT Adj Read]]&lt;=Table1[[#This Row],[High Tol]]),"Pass","Fail"))</f>
        <v>Fail</v>
      </c>
      <c r="AD1544" s="1" t="str">
        <f>IF(AND(Table1[[#This Row],[Spec Type2]]="N/A",Table1[[#This Row],[DUT Adj Read]]="N/A",Table1[[#This Row],[Std Adj Read]]="N/A"),"N/A",IF(Table1[[#This Row],[DUT Adj Read]]="N/A",IF(Table1[[#This Row],[Std Adj Read]]&gt;Table1[[#This Row],[Low Tol]],"Pass","Fail"),IF(Table1[[#This Row],[DUT Adj Read]]&gt;Table1[[#This Row],[Low Tol]],"Pass","Fail")))</f>
        <v>Pass</v>
      </c>
      <c r="AE1544" s="1" t="str">
        <f>IF(AND(Table1[[#This Row],[Spec Type2]]="N/A",Table1[[#This Row],[DUT Adj Read]]="N/A",Table1[[#This Row],[Std Adj Read]]="N/A"),"N/A",IF(Table1[[#This Row],[DUT Adj Read]]="N/A",IF(Table1[[#This Row],[Std Adj Read]]&lt;Table1[[#This Row],[High Tol]],"Pass","Fail"),IF(Table1[[#This Row],[DUT Adj Read]]&lt;Table1[[#This Row],[High Tol]],"Pass","Fail")))</f>
        <v>Fail</v>
      </c>
      <c r="AF1544" s="1" t="str">
        <f>IF(AND(Table1[[#This Row],[Spec Type2]]="N/A",Table1[[#This Row],[DUT Adj Read]]="N/A",Table1[[#This Row],[Std Adj Read]]="N/A"),"N/A",IF(Table1[[#This Row],[DUT Adj Read]]="N/A",IF(Table1[[#This Row],[Std Adj Read]]&gt;=Table1[[#This Row],[Low Tol]],"Pass","Fail"),IF(Table1[[#This Row],[DUT Adj Read]]&gt;=Table1[[#This Row],[Low Tol]],"Pass","Fail")))</f>
        <v>Pass</v>
      </c>
      <c r="AG1544" s="1" t="str">
        <f>IF(AND(Table1[[#This Row],[Spec Type2]]="N/A",Table1[[#This Row],[DUT Adj Read]]="N/A",Table1[[#This Row],[Std Adj Read]]="N/A"),"N/A",IF(Table1[[#This Row],[DUT Adj Read]]="N/A",IF(Table1[[#This Row],[Std Adj Read]]&lt;=Table1[[#This Row],[High Tol]],"Pass","Fail"),IF(Table1[[#This Row],[DUT Adj Read]]&lt;=Table1[[#This Row],[High Tol]],"Pass","Fail")))</f>
        <v>Fail</v>
      </c>
      <c r="AH15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4" s="1" t="b">
        <v>0</v>
      </c>
      <c r="AN1544" s="1" t="b">
        <v>0</v>
      </c>
      <c r="AO1544" s="1" t="b">
        <v>0</v>
      </c>
    </row>
    <row r="1545" spans="1:41" x14ac:dyDescent="0.25">
      <c r="A1545" s="10"/>
      <c r="B1545" s="10"/>
      <c r="C1545" s="10"/>
      <c r="D1545" s="10"/>
      <c r="E1545" s="10"/>
      <c r="F1545" s="10"/>
      <c r="G1545" s="10"/>
      <c r="H1545" s="10"/>
      <c r="I1545" s="1" t="str">
        <f t="shared" si="69"/>
        <v/>
      </c>
      <c r="J1545" s="1" t="s">
        <v>35</v>
      </c>
      <c r="K1545" s="1" t="str">
        <f t="shared" si="70"/>
        <v/>
      </c>
      <c r="L1545" s="1" t="str">
        <f t="shared" si="71"/>
        <v/>
      </c>
      <c r="M1545" s="1">
        <f>IF(OR(Table1[[#This Row],[Std Nom]]="",Table1[[#This Row],[Std Read]]=""),0,Table1[[#This Row],[Std Nom]]-Table1[[#This Row],[Std Read]])</f>
        <v>0</v>
      </c>
      <c r="N1545" s="1">
        <f>IF(Calculations!$F$5="ACCREDITED 17025 WITH UNCERTAINTIES",$N$10,0)</f>
        <v>0</v>
      </c>
      <c r="Q1545" s="1">
        <f>Table1[[#This Row],[High Tol]]-Table1[[#This Row],[Low Tol]]</f>
        <v>0</v>
      </c>
      <c r="R1545" s="1">
        <f>2*Table1[[#This Row],[Std Error]]</f>
        <v>0</v>
      </c>
      <c r="S1545" s="1" t="str">
        <f>IF(Table1[[#This Row],[High Tol]]="","N/A",IFERROR(ABS(Table1[[#This Row],[Tol Span]]/Table1[[#This Row],[Error Span]]),"N/A"))</f>
        <v>N/A</v>
      </c>
      <c r="T1545" s="1" t="str">
        <f>IF(OR(Table1[[#This Row],[Low Tol]]="",Table1[[#This Row],[High Tol]]=""),"Needs Analysis",IF(Table1[[#This Row],[Ratio]]&gt;=4,"Not Significant",IF(Table1[[#This Row],[Ratio]]&gt;=2,"Semi-Significant","Significant")))</f>
        <v>Needs Analysis</v>
      </c>
      <c r="W1545" s="1">
        <f>IF(Table1[[#This Row],[Cal Type]]&lt;&gt;"ACCREDITED 17025 WITH UNCERTAINTIES",0,"")</f>
        <v>0</v>
      </c>
      <c r="X1545" s="1" t="str">
        <f>IF(Table1[[#This Row],[DUT Read]]="","N/A",Table1[[#This Row],[Std Error]]+Table1[[#This Row],[DUT Read]]+Table1[[#This Row],[DUT Ucty]])</f>
        <v>N/A</v>
      </c>
      <c r="Y1545" s="1" t="str">
        <f>IF(Table1[[#This Row],[Std Read]]="","N/A",Table1[[#This Row],[Std Read]]+Table1[[#This Row],[Std Ucty]])</f>
        <v>N/A</v>
      </c>
      <c r="Z15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5" s="1" t="str">
        <f>IF(Table1[[#This Row],[Spec Type]]="","N/A",Table1[[#This Row],[Spec Type]])</f>
        <v>±</v>
      </c>
      <c r="AC1545" s="1" t="str">
        <f>IF(Table1[[#This Row],[Spec Type2]]="N/A","N/A",IF(AND(Table1[[#This Row],[DUT Adj Read]]&gt;=Table1[[#This Row],[Low Tol]],Table1[[#This Row],[DUT Adj Read]]&lt;=Table1[[#This Row],[High Tol]]),"Pass","Fail"))</f>
        <v>Fail</v>
      </c>
      <c r="AD1545" s="1" t="str">
        <f>IF(AND(Table1[[#This Row],[Spec Type2]]="N/A",Table1[[#This Row],[DUT Adj Read]]="N/A",Table1[[#This Row],[Std Adj Read]]="N/A"),"N/A",IF(Table1[[#This Row],[DUT Adj Read]]="N/A",IF(Table1[[#This Row],[Std Adj Read]]&gt;Table1[[#This Row],[Low Tol]],"Pass","Fail"),IF(Table1[[#This Row],[DUT Adj Read]]&gt;Table1[[#This Row],[Low Tol]],"Pass","Fail")))</f>
        <v>Pass</v>
      </c>
      <c r="AE1545" s="1" t="str">
        <f>IF(AND(Table1[[#This Row],[Spec Type2]]="N/A",Table1[[#This Row],[DUT Adj Read]]="N/A",Table1[[#This Row],[Std Adj Read]]="N/A"),"N/A",IF(Table1[[#This Row],[DUT Adj Read]]="N/A",IF(Table1[[#This Row],[Std Adj Read]]&lt;Table1[[#This Row],[High Tol]],"Pass","Fail"),IF(Table1[[#This Row],[DUT Adj Read]]&lt;Table1[[#This Row],[High Tol]],"Pass","Fail")))</f>
        <v>Fail</v>
      </c>
      <c r="AF1545" s="1" t="str">
        <f>IF(AND(Table1[[#This Row],[Spec Type2]]="N/A",Table1[[#This Row],[DUT Adj Read]]="N/A",Table1[[#This Row],[Std Adj Read]]="N/A"),"N/A",IF(Table1[[#This Row],[DUT Adj Read]]="N/A",IF(Table1[[#This Row],[Std Adj Read]]&gt;=Table1[[#This Row],[Low Tol]],"Pass","Fail"),IF(Table1[[#This Row],[DUT Adj Read]]&gt;=Table1[[#This Row],[Low Tol]],"Pass","Fail")))</f>
        <v>Pass</v>
      </c>
      <c r="AG1545" s="1" t="str">
        <f>IF(AND(Table1[[#This Row],[Spec Type2]]="N/A",Table1[[#This Row],[DUT Adj Read]]="N/A",Table1[[#This Row],[Std Adj Read]]="N/A"),"N/A",IF(Table1[[#This Row],[DUT Adj Read]]="N/A",IF(Table1[[#This Row],[Std Adj Read]]&lt;=Table1[[#This Row],[High Tol]],"Pass","Fail"),IF(Table1[[#This Row],[DUT Adj Read]]&lt;=Table1[[#This Row],[High Tol]],"Pass","Fail")))</f>
        <v>Fail</v>
      </c>
      <c r="AH15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5" s="1" t="b">
        <v>0</v>
      </c>
      <c r="AN1545" s="1" t="b">
        <v>0</v>
      </c>
      <c r="AO1545" s="1" t="b">
        <v>0</v>
      </c>
    </row>
    <row r="1546" spans="1:41" x14ac:dyDescent="0.25">
      <c r="A1546" s="10"/>
      <c r="B1546" s="10"/>
      <c r="C1546" s="10"/>
      <c r="D1546" s="10"/>
      <c r="E1546" s="10"/>
      <c r="F1546" s="10"/>
      <c r="G1546" s="10"/>
      <c r="H1546" s="10"/>
      <c r="I1546" s="1" t="str">
        <f t="shared" si="69"/>
        <v/>
      </c>
      <c r="J1546" s="1" t="s">
        <v>35</v>
      </c>
      <c r="K1546" s="1" t="str">
        <f t="shared" si="70"/>
        <v/>
      </c>
      <c r="L1546" s="1" t="str">
        <f t="shared" si="71"/>
        <v/>
      </c>
      <c r="M1546" s="1">
        <f>IF(OR(Table1[[#This Row],[Std Nom]]="",Table1[[#This Row],[Std Read]]=""),0,Table1[[#This Row],[Std Nom]]-Table1[[#This Row],[Std Read]])</f>
        <v>0</v>
      </c>
      <c r="N1546" s="1">
        <f>IF(Calculations!$F$5="ACCREDITED 17025 WITH UNCERTAINTIES",$N$10,0)</f>
        <v>0</v>
      </c>
      <c r="Q1546" s="1">
        <f>Table1[[#This Row],[High Tol]]-Table1[[#This Row],[Low Tol]]</f>
        <v>0</v>
      </c>
      <c r="R1546" s="1">
        <f>2*Table1[[#This Row],[Std Error]]</f>
        <v>0</v>
      </c>
      <c r="S1546" s="1" t="str">
        <f>IF(Table1[[#This Row],[High Tol]]="","N/A",IFERROR(ABS(Table1[[#This Row],[Tol Span]]/Table1[[#This Row],[Error Span]]),"N/A"))</f>
        <v>N/A</v>
      </c>
      <c r="T1546" s="1" t="str">
        <f>IF(OR(Table1[[#This Row],[Low Tol]]="",Table1[[#This Row],[High Tol]]=""),"Needs Analysis",IF(Table1[[#This Row],[Ratio]]&gt;=4,"Not Significant",IF(Table1[[#This Row],[Ratio]]&gt;=2,"Semi-Significant","Significant")))</f>
        <v>Needs Analysis</v>
      </c>
      <c r="W1546" s="1">
        <f>IF(Table1[[#This Row],[Cal Type]]&lt;&gt;"ACCREDITED 17025 WITH UNCERTAINTIES",0,"")</f>
        <v>0</v>
      </c>
      <c r="X1546" s="1" t="str">
        <f>IF(Table1[[#This Row],[DUT Read]]="","N/A",Table1[[#This Row],[Std Error]]+Table1[[#This Row],[DUT Read]]+Table1[[#This Row],[DUT Ucty]])</f>
        <v>N/A</v>
      </c>
      <c r="Y1546" s="1" t="str">
        <f>IF(Table1[[#This Row],[Std Read]]="","N/A",Table1[[#This Row],[Std Read]]+Table1[[#This Row],[Std Ucty]])</f>
        <v>N/A</v>
      </c>
      <c r="Z15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6" s="1" t="str">
        <f>IF(Table1[[#This Row],[Spec Type]]="","N/A",Table1[[#This Row],[Spec Type]])</f>
        <v>±</v>
      </c>
      <c r="AC1546" s="1" t="str">
        <f>IF(Table1[[#This Row],[Spec Type2]]="N/A","N/A",IF(AND(Table1[[#This Row],[DUT Adj Read]]&gt;=Table1[[#This Row],[Low Tol]],Table1[[#This Row],[DUT Adj Read]]&lt;=Table1[[#This Row],[High Tol]]),"Pass","Fail"))</f>
        <v>Fail</v>
      </c>
      <c r="AD1546" s="1" t="str">
        <f>IF(AND(Table1[[#This Row],[Spec Type2]]="N/A",Table1[[#This Row],[DUT Adj Read]]="N/A",Table1[[#This Row],[Std Adj Read]]="N/A"),"N/A",IF(Table1[[#This Row],[DUT Adj Read]]="N/A",IF(Table1[[#This Row],[Std Adj Read]]&gt;Table1[[#This Row],[Low Tol]],"Pass","Fail"),IF(Table1[[#This Row],[DUT Adj Read]]&gt;Table1[[#This Row],[Low Tol]],"Pass","Fail")))</f>
        <v>Pass</v>
      </c>
      <c r="AE1546" s="1" t="str">
        <f>IF(AND(Table1[[#This Row],[Spec Type2]]="N/A",Table1[[#This Row],[DUT Adj Read]]="N/A",Table1[[#This Row],[Std Adj Read]]="N/A"),"N/A",IF(Table1[[#This Row],[DUT Adj Read]]="N/A",IF(Table1[[#This Row],[Std Adj Read]]&lt;Table1[[#This Row],[High Tol]],"Pass","Fail"),IF(Table1[[#This Row],[DUT Adj Read]]&lt;Table1[[#This Row],[High Tol]],"Pass","Fail")))</f>
        <v>Fail</v>
      </c>
      <c r="AF1546" s="1" t="str">
        <f>IF(AND(Table1[[#This Row],[Spec Type2]]="N/A",Table1[[#This Row],[DUT Adj Read]]="N/A",Table1[[#This Row],[Std Adj Read]]="N/A"),"N/A",IF(Table1[[#This Row],[DUT Adj Read]]="N/A",IF(Table1[[#This Row],[Std Adj Read]]&gt;=Table1[[#This Row],[Low Tol]],"Pass","Fail"),IF(Table1[[#This Row],[DUT Adj Read]]&gt;=Table1[[#This Row],[Low Tol]],"Pass","Fail")))</f>
        <v>Pass</v>
      </c>
      <c r="AG1546" s="1" t="str">
        <f>IF(AND(Table1[[#This Row],[Spec Type2]]="N/A",Table1[[#This Row],[DUT Adj Read]]="N/A",Table1[[#This Row],[Std Adj Read]]="N/A"),"N/A",IF(Table1[[#This Row],[DUT Adj Read]]="N/A",IF(Table1[[#This Row],[Std Adj Read]]&lt;=Table1[[#This Row],[High Tol]],"Pass","Fail"),IF(Table1[[#This Row],[DUT Adj Read]]&lt;=Table1[[#This Row],[High Tol]],"Pass","Fail")))</f>
        <v>Fail</v>
      </c>
      <c r="AH15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6" s="1" t="b">
        <v>0</v>
      </c>
      <c r="AN1546" s="1" t="b">
        <v>0</v>
      </c>
      <c r="AO1546" s="1" t="b">
        <v>0</v>
      </c>
    </row>
    <row r="1547" spans="1:41" x14ac:dyDescent="0.25">
      <c r="A1547" s="10"/>
      <c r="B1547" s="10"/>
      <c r="C1547" s="10"/>
      <c r="D1547" s="10"/>
      <c r="E1547" s="10"/>
      <c r="F1547" s="10"/>
      <c r="G1547" s="10"/>
      <c r="H1547" s="10"/>
      <c r="I1547" s="1" t="str">
        <f t="shared" ref="I1547:I1610" si="72">IF($I$10="","",$I$10)</f>
        <v/>
      </c>
      <c r="J1547" s="1" t="s">
        <v>35</v>
      </c>
      <c r="K1547" s="1" t="str">
        <f t="shared" ref="K1547:K1610" si="73">IF($K$10="","",$K$10)</f>
        <v/>
      </c>
      <c r="L1547" s="1" t="str">
        <f t="shared" ref="L1547:L1610" si="74">IF($L$10="","",$L$10)</f>
        <v/>
      </c>
      <c r="M1547" s="1">
        <f>IF(OR(Table1[[#This Row],[Std Nom]]="",Table1[[#This Row],[Std Read]]=""),0,Table1[[#This Row],[Std Nom]]-Table1[[#This Row],[Std Read]])</f>
        <v>0</v>
      </c>
      <c r="N1547" s="1">
        <f>IF(Calculations!$F$5="ACCREDITED 17025 WITH UNCERTAINTIES",$N$10,0)</f>
        <v>0</v>
      </c>
      <c r="Q1547" s="1">
        <f>Table1[[#This Row],[High Tol]]-Table1[[#This Row],[Low Tol]]</f>
        <v>0</v>
      </c>
      <c r="R1547" s="1">
        <f>2*Table1[[#This Row],[Std Error]]</f>
        <v>0</v>
      </c>
      <c r="S1547" s="1" t="str">
        <f>IF(Table1[[#This Row],[High Tol]]="","N/A",IFERROR(ABS(Table1[[#This Row],[Tol Span]]/Table1[[#This Row],[Error Span]]),"N/A"))</f>
        <v>N/A</v>
      </c>
      <c r="T1547" s="1" t="str">
        <f>IF(OR(Table1[[#This Row],[Low Tol]]="",Table1[[#This Row],[High Tol]]=""),"Needs Analysis",IF(Table1[[#This Row],[Ratio]]&gt;=4,"Not Significant",IF(Table1[[#This Row],[Ratio]]&gt;=2,"Semi-Significant","Significant")))</f>
        <v>Needs Analysis</v>
      </c>
      <c r="W1547" s="1">
        <f>IF(Table1[[#This Row],[Cal Type]]&lt;&gt;"ACCREDITED 17025 WITH UNCERTAINTIES",0,"")</f>
        <v>0</v>
      </c>
      <c r="X1547" s="1" t="str">
        <f>IF(Table1[[#This Row],[DUT Read]]="","N/A",Table1[[#This Row],[Std Error]]+Table1[[#This Row],[DUT Read]]+Table1[[#This Row],[DUT Ucty]])</f>
        <v>N/A</v>
      </c>
      <c r="Y1547" s="1" t="str">
        <f>IF(Table1[[#This Row],[Std Read]]="","N/A",Table1[[#This Row],[Std Read]]+Table1[[#This Row],[Std Ucty]])</f>
        <v>N/A</v>
      </c>
      <c r="Z15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7" s="1" t="str">
        <f>IF(Table1[[#This Row],[Spec Type]]="","N/A",Table1[[#This Row],[Spec Type]])</f>
        <v>±</v>
      </c>
      <c r="AC1547" s="1" t="str">
        <f>IF(Table1[[#This Row],[Spec Type2]]="N/A","N/A",IF(AND(Table1[[#This Row],[DUT Adj Read]]&gt;=Table1[[#This Row],[Low Tol]],Table1[[#This Row],[DUT Adj Read]]&lt;=Table1[[#This Row],[High Tol]]),"Pass","Fail"))</f>
        <v>Fail</v>
      </c>
      <c r="AD1547" s="1" t="str">
        <f>IF(AND(Table1[[#This Row],[Spec Type2]]="N/A",Table1[[#This Row],[DUT Adj Read]]="N/A",Table1[[#This Row],[Std Adj Read]]="N/A"),"N/A",IF(Table1[[#This Row],[DUT Adj Read]]="N/A",IF(Table1[[#This Row],[Std Adj Read]]&gt;Table1[[#This Row],[Low Tol]],"Pass","Fail"),IF(Table1[[#This Row],[DUT Adj Read]]&gt;Table1[[#This Row],[Low Tol]],"Pass","Fail")))</f>
        <v>Pass</v>
      </c>
      <c r="AE1547" s="1" t="str">
        <f>IF(AND(Table1[[#This Row],[Spec Type2]]="N/A",Table1[[#This Row],[DUT Adj Read]]="N/A",Table1[[#This Row],[Std Adj Read]]="N/A"),"N/A",IF(Table1[[#This Row],[DUT Adj Read]]="N/A",IF(Table1[[#This Row],[Std Adj Read]]&lt;Table1[[#This Row],[High Tol]],"Pass","Fail"),IF(Table1[[#This Row],[DUT Adj Read]]&lt;Table1[[#This Row],[High Tol]],"Pass","Fail")))</f>
        <v>Fail</v>
      </c>
      <c r="AF1547" s="1" t="str">
        <f>IF(AND(Table1[[#This Row],[Spec Type2]]="N/A",Table1[[#This Row],[DUT Adj Read]]="N/A",Table1[[#This Row],[Std Adj Read]]="N/A"),"N/A",IF(Table1[[#This Row],[DUT Adj Read]]="N/A",IF(Table1[[#This Row],[Std Adj Read]]&gt;=Table1[[#This Row],[Low Tol]],"Pass","Fail"),IF(Table1[[#This Row],[DUT Adj Read]]&gt;=Table1[[#This Row],[Low Tol]],"Pass","Fail")))</f>
        <v>Pass</v>
      </c>
      <c r="AG1547" s="1" t="str">
        <f>IF(AND(Table1[[#This Row],[Spec Type2]]="N/A",Table1[[#This Row],[DUT Adj Read]]="N/A",Table1[[#This Row],[Std Adj Read]]="N/A"),"N/A",IF(Table1[[#This Row],[DUT Adj Read]]="N/A",IF(Table1[[#This Row],[Std Adj Read]]&lt;=Table1[[#This Row],[High Tol]],"Pass","Fail"),IF(Table1[[#This Row],[DUT Adj Read]]&lt;=Table1[[#This Row],[High Tol]],"Pass","Fail")))</f>
        <v>Fail</v>
      </c>
      <c r="AH15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7" s="1" t="b">
        <v>0</v>
      </c>
      <c r="AN1547" s="1" t="b">
        <v>0</v>
      </c>
      <c r="AO1547" s="1" t="b">
        <v>0</v>
      </c>
    </row>
    <row r="1548" spans="1:41" x14ac:dyDescent="0.25">
      <c r="A1548" s="10"/>
      <c r="B1548" s="10"/>
      <c r="C1548" s="10"/>
      <c r="D1548" s="10"/>
      <c r="E1548" s="10"/>
      <c r="F1548" s="10"/>
      <c r="G1548" s="10"/>
      <c r="H1548" s="10"/>
      <c r="I1548" s="1" t="str">
        <f t="shared" si="72"/>
        <v/>
      </c>
      <c r="J1548" s="1" t="s">
        <v>35</v>
      </c>
      <c r="K1548" s="1" t="str">
        <f t="shared" si="73"/>
        <v/>
      </c>
      <c r="L1548" s="1" t="str">
        <f t="shared" si="74"/>
        <v/>
      </c>
      <c r="M1548" s="1">
        <f>IF(OR(Table1[[#This Row],[Std Nom]]="",Table1[[#This Row],[Std Read]]=""),0,Table1[[#This Row],[Std Nom]]-Table1[[#This Row],[Std Read]])</f>
        <v>0</v>
      </c>
      <c r="N1548" s="1">
        <f>IF(Calculations!$F$5="ACCREDITED 17025 WITH UNCERTAINTIES",$N$10,0)</f>
        <v>0</v>
      </c>
      <c r="Q1548" s="1">
        <f>Table1[[#This Row],[High Tol]]-Table1[[#This Row],[Low Tol]]</f>
        <v>0</v>
      </c>
      <c r="R1548" s="1">
        <f>2*Table1[[#This Row],[Std Error]]</f>
        <v>0</v>
      </c>
      <c r="S1548" s="1" t="str">
        <f>IF(Table1[[#This Row],[High Tol]]="","N/A",IFERROR(ABS(Table1[[#This Row],[Tol Span]]/Table1[[#This Row],[Error Span]]),"N/A"))</f>
        <v>N/A</v>
      </c>
      <c r="T1548" s="1" t="str">
        <f>IF(OR(Table1[[#This Row],[Low Tol]]="",Table1[[#This Row],[High Tol]]=""),"Needs Analysis",IF(Table1[[#This Row],[Ratio]]&gt;=4,"Not Significant",IF(Table1[[#This Row],[Ratio]]&gt;=2,"Semi-Significant","Significant")))</f>
        <v>Needs Analysis</v>
      </c>
      <c r="W1548" s="1">
        <f>IF(Table1[[#This Row],[Cal Type]]&lt;&gt;"ACCREDITED 17025 WITH UNCERTAINTIES",0,"")</f>
        <v>0</v>
      </c>
      <c r="X1548" s="1" t="str">
        <f>IF(Table1[[#This Row],[DUT Read]]="","N/A",Table1[[#This Row],[Std Error]]+Table1[[#This Row],[DUT Read]]+Table1[[#This Row],[DUT Ucty]])</f>
        <v>N/A</v>
      </c>
      <c r="Y1548" s="1" t="str">
        <f>IF(Table1[[#This Row],[Std Read]]="","N/A",Table1[[#This Row],[Std Read]]+Table1[[#This Row],[Std Ucty]])</f>
        <v>N/A</v>
      </c>
      <c r="Z15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8" s="1" t="str">
        <f>IF(Table1[[#This Row],[Spec Type]]="","N/A",Table1[[#This Row],[Spec Type]])</f>
        <v>±</v>
      </c>
      <c r="AC1548" s="1" t="str">
        <f>IF(Table1[[#This Row],[Spec Type2]]="N/A","N/A",IF(AND(Table1[[#This Row],[DUT Adj Read]]&gt;=Table1[[#This Row],[Low Tol]],Table1[[#This Row],[DUT Adj Read]]&lt;=Table1[[#This Row],[High Tol]]),"Pass","Fail"))</f>
        <v>Fail</v>
      </c>
      <c r="AD1548" s="1" t="str">
        <f>IF(AND(Table1[[#This Row],[Spec Type2]]="N/A",Table1[[#This Row],[DUT Adj Read]]="N/A",Table1[[#This Row],[Std Adj Read]]="N/A"),"N/A",IF(Table1[[#This Row],[DUT Adj Read]]="N/A",IF(Table1[[#This Row],[Std Adj Read]]&gt;Table1[[#This Row],[Low Tol]],"Pass","Fail"),IF(Table1[[#This Row],[DUT Adj Read]]&gt;Table1[[#This Row],[Low Tol]],"Pass","Fail")))</f>
        <v>Pass</v>
      </c>
      <c r="AE1548" s="1" t="str">
        <f>IF(AND(Table1[[#This Row],[Spec Type2]]="N/A",Table1[[#This Row],[DUT Adj Read]]="N/A",Table1[[#This Row],[Std Adj Read]]="N/A"),"N/A",IF(Table1[[#This Row],[DUT Adj Read]]="N/A",IF(Table1[[#This Row],[Std Adj Read]]&lt;Table1[[#This Row],[High Tol]],"Pass","Fail"),IF(Table1[[#This Row],[DUT Adj Read]]&lt;Table1[[#This Row],[High Tol]],"Pass","Fail")))</f>
        <v>Fail</v>
      </c>
      <c r="AF1548" s="1" t="str">
        <f>IF(AND(Table1[[#This Row],[Spec Type2]]="N/A",Table1[[#This Row],[DUT Adj Read]]="N/A",Table1[[#This Row],[Std Adj Read]]="N/A"),"N/A",IF(Table1[[#This Row],[DUT Adj Read]]="N/A",IF(Table1[[#This Row],[Std Adj Read]]&gt;=Table1[[#This Row],[Low Tol]],"Pass","Fail"),IF(Table1[[#This Row],[DUT Adj Read]]&gt;=Table1[[#This Row],[Low Tol]],"Pass","Fail")))</f>
        <v>Pass</v>
      </c>
      <c r="AG1548" s="1" t="str">
        <f>IF(AND(Table1[[#This Row],[Spec Type2]]="N/A",Table1[[#This Row],[DUT Adj Read]]="N/A",Table1[[#This Row],[Std Adj Read]]="N/A"),"N/A",IF(Table1[[#This Row],[DUT Adj Read]]="N/A",IF(Table1[[#This Row],[Std Adj Read]]&lt;=Table1[[#This Row],[High Tol]],"Pass","Fail"),IF(Table1[[#This Row],[DUT Adj Read]]&lt;=Table1[[#This Row],[High Tol]],"Pass","Fail")))</f>
        <v>Fail</v>
      </c>
      <c r="AH15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8" s="1" t="b">
        <v>0</v>
      </c>
      <c r="AN1548" s="1" t="b">
        <v>0</v>
      </c>
      <c r="AO1548" s="1" t="b">
        <v>0</v>
      </c>
    </row>
    <row r="1549" spans="1:41" x14ac:dyDescent="0.25">
      <c r="A1549" s="10"/>
      <c r="B1549" s="10"/>
      <c r="C1549" s="10"/>
      <c r="D1549" s="10"/>
      <c r="E1549" s="10"/>
      <c r="F1549" s="10"/>
      <c r="G1549" s="10"/>
      <c r="H1549" s="10"/>
      <c r="I1549" s="1" t="str">
        <f t="shared" si="72"/>
        <v/>
      </c>
      <c r="J1549" s="1" t="s">
        <v>35</v>
      </c>
      <c r="K1549" s="1" t="str">
        <f t="shared" si="73"/>
        <v/>
      </c>
      <c r="L1549" s="1" t="str">
        <f t="shared" si="74"/>
        <v/>
      </c>
      <c r="M1549" s="1">
        <f>IF(OR(Table1[[#This Row],[Std Nom]]="",Table1[[#This Row],[Std Read]]=""),0,Table1[[#This Row],[Std Nom]]-Table1[[#This Row],[Std Read]])</f>
        <v>0</v>
      </c>
      <c r="N1549" s="1">
        <f>IF(Calculations!$F$5="ACCREDITED 17025 WITH UNCERTAINTIES",$N$10,0)</f>
        <v>0</v>
      </c>
      <c r="Q1549" s="1">
        <f>Table1[[#This Row],[High Tol]]-Table1[[#This Row],[Low Tol]]</f>
        <v>0</v>
      </c>
      <c r="R1549" s="1">
        <f>2*Table1[[#This Row],[Std Error]]</f>
        <v>0</v>
      </c>
      <c r="S1549" s="1" t="str">
        <f>IF(Table1[[#This Row],[High Tol]]="","N/A",IFERROR(ABS(Table1[[#This Row],[Tol Span]]/Table1[[#This Row],[Error Span]]),"N/A"))</f>
        <v>N/A</v>
      </c>
      <c r="T1549" s="1" t="str">
        <f>IF(OR(Table1[[#This Row],[Low Tol]]="",Table1[[#This Row],[High Tol]]=""),"Needs Analysis",IF(Table1[[#This Row],[Ratio]]&gt;=4,"Not Significant",IF(Table1[[#This Row],[Ratio]]&gt;=2,"Semi-Significant","Significant")))</f>
        <v>Needs Analysis</v>
      </c>
      <c r="W1549" s="1">
        <f>IF(Table1[[#This Row],[Cal Type]]&lt;&gt;"ACCREDITED 17025 WITH UNCERTAINTIES",0,"")</f>
        <v>0</v>
      </c>
      <c r="X1549" s="1" t="str">
        <f>IF(Table1[[#This Row],[DUT Read]]="","N/A",Table1[[#This Row],[Std Error]]+Table1[[#This Row],[DUT Read]]+Table1[[#This Row],[DUT Ucty]])</f>
        <v>N/A</v>
      </c>
      <c r="Y1549" s="1" t="str">
        <f>IF(Table1[[#This Row],[Std Read]]="","N/A",Table1[[#This Row],[Std Read]]+Table1[[#This Row],[Std Ucty]])</f>
        <v>N/A</v>
      </c>
      <c r="Z15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49" s="1" t="str">
        <f>IF(Table1[[#This Row],[Spec Type]]="","N/A",Table1[[#This Row],[Spec Type]])</f>
        <v>±</v>
      </c>
      <c r="AC1549" s="1" t="str">
        <f>IF(Table1[[#This Row],[Spec Type2]]="N/A","N/A",IF(AND(Table1[[#This Row],[DUT Adj Read]]&gt;=Table1[[#This Row],[Low Tol]],Table1[[#This Row],[DUT Adj Read]]&lt;=Table1[[#This Row],[High Tol]]),"Pass","Fail"))</f>
        <v>Fail</v>
      </c>
      <c r="AD1549" s="1" t="str">
        <f>IF(AND(Table1[[#This Row],[Spec Type2]]="N/A",Table1[[#This Row],[DUT Adj Read]]="N/A",Table1[[#This Row],[Std Adj Read]]="N/A"),"N/A",IF(Table1[[#This Row],[DUT Adj Read]]="N/A",IF(Table1[[#This Row],[Std Adj Read]]&gt;Table1[[#This Row],[Low Tol]],"Pass","Fail"),IF(Table1[[#This Row],[DUT Adj Read]]&gt;Table1[[#This Row],[Low Tol]],"Pass","Fail")))</f>
        <v>Pass</v>
      </c>
      <c r="AE1549" s="1" t="str">
        <f>IF(AND(Table1[[#This Row],[Spec Type2]]="N/A",Table1[[#This Row],[DUT Adj Read]]="N/A",Table1[[#This Row],[Std Adj Read]]="N/A"),"N/A",IF(Table1[[#This Row],[DUT Adj Read]]="N/A",IF(Table1[[#This Row],[Std Adj Read]]&lt;Table1[[#This Row],[High Tol]],"Pass","Fail"),IF(Table1[[#This Row],[DUT Adj Read]]&lt;Table1[[#This Row],[High Tol]],"Pass","Fail")))</f>
        <v>Fail</v>
      </c>
      <c r="AF1549" s="1" t="str">
        <f>IF(AND(Table1[[#This Row],[Spec Type2]]="N/A",Table1[[#This Row],[DUT Adj Read]]="N/A",Table1[[#This Row],[Std Adj Read]]="N/A"),"N/A",IF(Table1[[#This Row],[DUT Adj Read]]="N/A",IF(Table1[[#This Row],[Std Adj Read]]&gt;=Table1[[#This Row],[Low Tol]],"Pass","Fail"),IF(Table1[[#This Row],[DUT Adj Read]]&gt;=Table1[[#This Row],[Low Tol]],"Pass","Fail")))</f>
        <v>Pass</v>
      </c>
      <c r="AG1549" s="1" t="str">
        <f>IF(AND(Table1[[#This Row],[Spec Type2]]="N/A",Table1[[#This Row],[DUT Adj Read]]="N/A",Table1[[#This Row],[Std Adj Read]]="N/A"),"N/A",IF(Table1[[#This Row],[DUT Adj Read]]="N/A",IF(Table1[[#This Row],[Std Adj Read]]&lt;=Table1[[#This Row],[High Tol]],"Pass","Fail"),IF(Table1[[#This Row],[DUT Adj Read]]&lt;=Table1[[#This Row],[High Tol]],"Pass","Fail")))</f>
        <v>Fail</v>
      </c>
      <c r="AH15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49" s="1" t="b">
        <v>0</v>
      </c>
      <c r="AN1549" s="1" t="b">
        <v>0</v>
      </c>
      <c r="AO1549" s="1" t="b">
        <v>0</v>
      </c>
    </row>
    <row r="1550" spans="1:41" x14ac:dyDescent="0.25">
      <c r="A1550" s="10"/>
      <c r="B1550" s="10"/>
      <c r="C1550" s="10"/>
      <c r="D1550" s="10"/>
      <c r="E1550" s="10"/>
      <c r="F1550" s="10"/>
      <c r="G1550" s="10"/>
      <c r="H1550" s="10"/>
      <c r="I1550" s="1" t="str">
        <f t="shared" si="72"/>
        <v/>
      </c>
      <c r="J1550" s="1" t="s">
        <v>35</v>
      </c>
      <c r="K1550" s="1" t="str">
        <f t="shared" si="73"/>
        <v/>
      </c>
      <c r="L1550" s="1" t="str">
        <f t="shared" si="74"/>
        <v/>
      </c>
      <c r="M1550" s="1">
        <f>IF(OR(Table1[[#This Row],[Std Nom]]="",Table1[[#This Row],[Std Read]]=""),0,Table1[[#This Row],[Std Nom]]-Table1[[#This Row],[Std Read]])</f>
        <v>0</v>
      </c>
      <c r="N1550" s="1">
        <f>IF(Calculations!$F$5="ACCREDITED 17025 WITH UNCERTAINTIES",$N$10,0)</f>
        <v>0</v>
      </c>
      <c r="Q1550" s="1">
        <f>Table1[[#This Row],[High Tol]]-Table1[[#This Row],[Low Tol]]</f>
        <v>0</v>
      </c>
      <c r="R1550" s="1">
        <f>2*Table1[[#This Row],[Std Error]]</f>
        <v>0</v>
      </c>
      <c r="S1550" s="1" t="str">
        <f>IF(Table1[[#This Row],[High Tol]]="","N/A",IFERROR(ABS(Table1[[#This Row],[Tol Span]]/Table1[[#This Row],[Error Span]]),"N/A"))</f>
        <v>N/A</v>
      </c>
      <c r="T1550" s="1" t="str">
        <f>IF(OR(Table1[[#This Row],[Low Tol]]="",Table1[[#This Row],[High Tol]]=""),"Needs Analysis",IF(Table1[[#This Row],[Ratio]]&gt;=4,"Not Significant",IF(Table1[[#This Row],[Ratio]]&gt;=2,"Semi-Significant","Significant")))</f>
        <v>Needs Analysis</v>
      </c>
      <c r="W1550" s="1">
        <f>IF(Table1[[#This Row],[Cal Type]]&lt;&gt;"ACCREDITED 17025 WITH UNCERTAINTIES",0,"")</f>
        <v>0</v>
      </c>
      <c r="X1550" s="1" t="str">
        <f>IF(Table1[[#This Row],[DUT Read]]="","N/A",Table1[[#This Row],[Std Error]]+Table1[[#This Row],[DUT Read]]+Table1[[#This Row],[DUT Ucty]])</f>
        <v>N/A</v>
      </c>
      <c r="Y1550" s="1" t="str">
        <f>IF(Table1[[#This Row],[Std Read]]="","N/A",Table1[[#This Row],[Std Read]]+Table1[[#This Row],[Std Ucty]])</f>
        <v>N/A</v>
      </c>
      <c r="Z15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0" s="1" t="str">
        <f>IF(Table1[[#This Row],[Spec Type]]="","N/A",Table1[[#This Row],[Spec Type]])</f>
        <v>±</v>
      </c>
      <c r="AC1550" s="1" t="str">
        <f>IF(Table1[[#This Row],[Spec Type2]]="N/A","N/A",IF(AND(Table1[[#This Row],[DUT Adj Read]]&gt;=Table1[[#This Row],[Low Tol]],Table1[[#This Row],[DUT Adj Read]]&lt;=Table1[[#This Row],[High Tol]]),"Pass","Fail"))</f>
        <v>Fail</v>
      </c>
      <c r="AD1550" s="1" t="str">
        <f>IF(AND(Table1[[#This Row],[Spec Type2]]="N/A",Table1[[#This Row],[DUT Adj Read]]="N/A",Table1[[#This Row],[Std Adj Read]]="N/A"),"N/A",IF(Table1[[#This Row],[DUT Adj Read]]="N/A",IF(Table1[[#This Row],[Std Adj Read]]&gt;Table1[[#This Row],[Low Tol]],"Pass","Fail"),IF(Table1[[#This Row],[DUT Adj Read]]&gt;Table1[[#This Row],[Low Tol]],"Pass","Fail")))</f>
        <v>Pass</v>
      </c>
      <c r="AE1550" s="1" t="str">
        <f>IF(AND(Table1[[#This Row],[Spec Type2]]="N/A",Table1[[#This Row],[DUT Adj Read]]="N/A",Table1[[#This Row],[Std Adj Read]]="N/A"),"N/A",IF(Table1[[#This Row],[DUT Adj Read]]="N/A",IF(Table1[[#This Row],[Std Adj Read]]&lt;Table1[[#This Row],[High Tol]],"Pass","Fail"),IF(Table1[[#This Row],[DUT Adj Read]]&lt;Table1[[#This Row],[High Tol]],"Pass","Fail")))</f>
        <v>Fail</v>
      </c>
      <c r="AF1550" s="1" t="str">
        <f>IF(AND(Table1[[#This Row],[Spec Type2]]="N/A",Table1[[#This Row],[DUT Adj Read]]="N/A",Table1[[#This Row],[Std Adj Read]]="N/A"),"N/A",IF(Table1[[#This Row],[DUT Adj Read]]="N/A",IF(Table1[[#This Row],[Std Adj Read]]&gt;=Table1[[#This Row],[Low Tol]],"Pass","Fail"),IF(Table1[[#This Row],[DUT Adj Read]]&gt;=Table1[[#This Row],[Low Tol]],"Pass","Fail")))</f>
        <v>Pass</v>
      </c>
      <c r="AG1550" s="1" t="str">
        <f>IF(AND(Table1[[#This Row],[Spec Type2]]="N/A",Table1[[#This Row],[DUT Adj Read]]="N/A",Table1[[#This Row],[Std Adj Read]]="N/A"),"N/A",IF(Table1[[#This Row],[DUT Adj Read]]="N/A",IF(Table1[[#This Row],[Std Adj Read]]&lt;=Table1[[#This Row],[High Tol]],"Pass","Fail"),IF(Table1[[#This Row],[DUT Adj Read]]&lt;=Table1[[#This Row],[High Tol]],"Pass","Fail")))</f>
        <v>Fail</v>
      </c>
      <c r="AH15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0" s="1" t="b">
        <v>0</v>
      </c>
      <c r="AN1550" s="1" t="b">
        <v>0</v>
      </c>
      <c r="AO1550" s="1" t="b">
        <v>0</v>
      </c>
    </row>
    <row r="1551" spans="1:41" x14ac:dyDescent="0.25">
      <c r="A1551" s="10"/>
      <c r="B1551" s="10"/>
      <c r="C1551" s="10"/>
      <c r="D1551" s="10"/>
      <c r="E1551" s="10"/>
      <c r="F1551" s="10"/>
      <c r="G1551" s="10"/>
      <c r="H1551" s="10"/>
      <c r="I1551" s="1" t="str">
        <f t="shared" si="72"/>
        <v/>
      </c>
      <c r="J1551" s="1" t="s">
        <v>35</v>
      </c>
      <c r="K1551" s="1" t="str">
        <f t="shared" si="73"/>
        <v/>
      </c>
      <c r="L1551" s="1" t="str">
        <f t="shared" si="74"/>
        <v/>
      </c>
      <c r="M1551" s="1">
        <f>IF(OR(Table1[[#This Row],[Std Nom]]="",Table1[[#This Row],[Std Read]]=""),0,Table1[[#This Row],[Std Nom]]-Table1[[#This Row],[Std Read]])</f>
        <v>0</v>
      </c>
      <c r="N1551" s="1">
        <f>IF(Calculations!$F$5="ACCREDITED 17025 WITH UNCERTAINTIES",$N$10,0)</f>
        <v>0</v>
      </c>
      <c r="Q1551" s="1">
        <f>Table1[[#This Row],[High Tol]]-Table1[[#This Row],[Low Tol]]</f>
        <v>0</v>
      </c>
      <c r="R1551" s="1">
        <f>2*Table1[[#This Row],[Std Error]]</f>
        <v>0</v>
      </c>
      <c r="S1551" s="1" t="str">
        <f>IF(Table1[[#This Row],[High Tol]]="","N/A",IFERROR(ABS(Table1[[#This Row],[Tol Span]]/Table1[[#This Row],[Error Span]]),"N/A"))</f>
        <v>N/A</v>
      </c>
      <c r="T1551" s="1" t="str">
        <f>IF(OR(Table1[[#This Row],[Low Tol]]="",Table1[[#This Row],[High Tol]]=""),"Needs Analysis",IF(Table1[[#This Row],[Ratio]]&gt;=4,"Not Significant",IF(Table1[[#This Row],[Ratio]]&gt;=2,"Semi-Significant","Significant")))</f>
        <v>Needs Analysis</v>
      </c>
      <c r="W1551" s="1">
        <f>IF(Table1[[#This Row],[Cal Type]]&lt;&gt;"ACCREDITED 17025 WITH UNCERTAINTIES",0,"")</f>
        <v>0</v>
      </c>
      <c r="X1551" s="1" t="str">
        <f>IF(Table1[[#This Row],[DUT Read]]="","N/A",Table1[[#This Row],[Std Error]]+Table1[[#This Row],[DUT Read]]+Table1[[#This Row],[DUT Ucty]])</f>
        <v>N/A</v>
      </c>
      <c r="Y1551" s="1" t="str">
        <f>IF(Table1[[#This Row],[Std Read]]="","N/A",Table1[[#This Row],[Std Read]]+Table1[[#This Row],[Std Ucty]])</f>
        <v>N/A</v>
      </c>
      <c r="Z15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1" s="1" t="str">
        <f>IF(Table1[[#This Row],[Spec Type]]="","N/A",Table1[[#This Row],[Spec Type]])</f>
        <v>±</v>
      </c>
      <c r="AC1551" s="1" t="str">
        <f>IF(Table1[[#This Row],[Spec Type2]]="N/A","N/A",IF(AND(Table1[[#This Row],[DUT Adj Read]]&gt;=Table1[[#This Row],[Low Tol]],Table1[[#This Row],[DUT Adj Read]]&lt;=Table1[[#This Row],[High Tol]]),"Pass","Fail"))</f>
        <v>Fail</v>
      </c>
      <c r="AD1551" s="1" t="str">
        <f>IF(AND(Table1[[#This Row],[Spec Type2]]="N/A",Table1[[#This Row],[DUT Adj Read]]="N/A",Table1[[#This Row],[Std Adj Read]]="N/A"),"N/A",IF(Table1[[#This Row],[DUT Adj Read]]="N/A",IF(Table1[[#This Row],[Std Adj Read]]&gt;Table1[[#This Row],[Low Tol]],"Pass","Fail"),IF(Table1[[#This Row],[DUT Adj Read]]&gt;Table1[[#This Row],[Low Tol]],"Pass","Fail")))</f>
        <v>Pass</v>
      </c>
      <c r="AE1551" s="1" t="str">
        <f>IF(AND(Table1[[#This Row],[Spec Type2]]="N/A",Table1[[#This Row],[DUT Adj Read]]="N/A",Table1[[#This Row],[Std Adj Read]]="N/A"),"N/A",IF(Table1[[#This Row],[DUT Adj Read]]="N/A",IF(Table1[[#This Row],[Std Adj Read]]&lt;Table1[[#This Row],[High Tol]],"Pass","Fail"),IF(Table1[[#This Row],[DUT Adj Read]]&lt;Table1[[#This Row],[High Tol]],"Pass","Fail")))</f>
        <v>Fail</v>
      </c>
      <c r="AF1551" s="1" t="str">
        <f>IF(AND(Table1[[#This Row],[Spec Type2]]="N/A",Table1[[#This Row],[DUT Adj Read]]="N/A",Table1[[#This Row],[Std Adj Read]]="N/A"),"N/A",IF(Table1[[#This Row],[DUT Adj Read]]="N/A",IF(Table1[[#This Row],[Std Adj Read]]&gt;=Table1[[#This Row],[Low Tol]],"Pass","Fail"),IF(Table1[[#This Row],[DUT Adj Read]]&gt;=Table1[[#This Row],[Low Tol]],"Pass","Fail")))</f>
        <v>Pass</v>
      </c>
      <c r="AG1551" s="1" t="str">
        <f>IF(AND(Table1[[#This Row],[Spec Type2]]="N/A",Table1[[#This Row],[DUT Adj Read]]="N/A",Table1[[#This Row],[Std Adj Read]]="N/A"),"N/A",IF(Table1[[#This Row],[DUT Adj Read]]="N/A",IF(Table1[[#This Row],[Std Adj Read]]&lt;=Table1[[#This Row],[High Tol]],"Pass","Fail"),IF(Table1[[#This Row],[DUT Adj Read]]&lt;=Table1[[#This Row],[High Tol]],"Pass","Fail")))</f>
        <v>Fail</v>
      </c>
      <c r="AH15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1" s="1" t="b">
        <v>0</v>
      </c>
      <c r="AN1551" s="1" t="b">
        <v>0</v>
      </c>
      <c r="AO1551" s="1" t="b">
        <v>0</v>
      </c>
    </row>
    <row r="1552" spans="1:41" x14ac:dyDescent="0.25">
      <c r="A1552" s="10"/>
      <c r="B1552" s="10"/>
      <c r="C1552" s="10"/>
      <c r="D1552" s="10"/>
      <c r="E1552" s="10"/>
      <c r="F1552" s="10"/>
      <c r="G1552" s="10"/>
      <c r="H1552" s="10"/>
      <c r="I1552" s="1" t="str">
        <f t="shared" si="72"/>
        <v/>
      </c>
      <c r="J1552" s="1" t="s">
        <v>35</v>
      </c>
      <c r="K1552" s="1" t="str">
        <f t="shared" si="73"/>
        <v/>
      </c>
      <c r="L1552" s="1" t="str">
        <f t="shared" si="74"/>
        <v/>
      </c>
      <c r="M1552" s="1">
        <f>IF(OR(Table1[[#This Row],[Std Nom]]="",Table1[[#This Row],[Std Read]]=""),0,Table1[[#This Row],[Std Nom]]-Table1[[#This Row],[Std Read]])</f>
        <v>0</v>
      </c>
      <c r="N1552" s="1">
        <f>IF(Calculations!$F$5="ACCREDITED 17025 WITH UNCERTAINTIES",$N$10,0)</f>
        <v>0</v>
      </c>
      <c r="Q1552" s="1">
        <f>Table1[[#This Row],[High Tol]]-Table1[[#This Row],[Low Tol]]</f>
        <v>0</v>
      </c>
      <c r="R1552" s="1">
        <f>2*Table1[[#This Row],[Std Error]]</f>
        <v>0</v>
      </c>
      <c r="S1552" s="1" t="str">
        <f>IF(Table1[[#This Row],[High Tol]]="","N/A",IFERROR(ABS(Table1[[#This Row],[Tol Span]]/Table1[[#This Row],[Error Span]]),"N/A"))</f>
        <v>N/A</v>
      </c>
      <c r="T1552" s="1" t="str">
        <f>IF(OR(Table1[[#This Row],[Low Tol]]="",Table1[[#This Row],[High Tol]]=""),"Needs Analysis",IF(Table1[[#This Row],[Ratio]]&gt;=4,"Not Significant",IF(Table1[[#This Row],[Ratio]]&gt;=2,"Semi-Significant","Significant")))</f>
        <v>Needs Analysis</v>
      </c>
      <c r="W1552" s="1">
        <f>IF(Table1[[#This Row],[Cal Type]]&lt;&gt;"ACCREDITED 17025 WITH UNCERTAINTIES",0,"")</f>
        <v>0</v>
      </c>
      <c r="X1552" s="1" t="str">
        <f>IF(Table1[[#This Row],[DUT Read]]="","N/A",Table1[[#This Row],[Std Error]]+Table1[[#This Row],[DUT Read]]+Table1[[#This Row],[DUT Ucty]])</f>
        <v>N/A</v>
      </c>
      <c r="Y1552" s="1" t="str">
        <f>IF(Table1[[#This Row],[Std Read]]="","N/A",Table1[[#This Row],[Std Read]]+Table1[[#This Row],[Std Ucty]])</f>
        <v>N/A</v>
      </c>
      <c r="Z15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2" s="1" t="str">
        <f>IF(Table1[[#This Row],[Spec Type]]="","N/A",Table1[[#This Row],[Spec Type]])</f>
        <v>±</v>
      </c>
      <c r="AC1552" s="1" t="str">
        <f>IF(Table1[[#This Row],[Spec Type2]]="N/A","N/A",IF(AND(Table1[[#This Row],[DUT Adj Read]]&gt;=Table1[[#This Row],[Low Tol]],Table1[[#This Row],[DUT Adj Read]]&lt;=Table1[[#This Row],[High Tol]]),"Pass","Fail"))</f>
        <v>Fail</v>
      </c>
      <c r="AD1552" s="1" t="str">
        <f>IF(AND(Table1[[#This Row],[Spec Type2]]="N/A",Table1[[#This Row],[DUT Adj Read]]="N/A",Table1[[#This Row],[Std Adj Read]]="N/A"),"N/A",IF(Table1[[#This Row],[DUT Adj Read]]="N/A",IF(Table1[[#This Row],[Std Adj Read]]&gt;Table1[[#This Row],[Low Tol]],"Pass","Fail"),IF(Table1[[#This Row],[DUT Adj Read]]&gt;Table1[[#This Row],[Low Tol]],"Pass","Fail")))</f>
        <v>Pass</v>
      </c>
      <c r="AE1552" s="1" t="str">
        <f>IF(AND(Table1[[#This Row],[Spec Type2]]="N/A",Table1[[#This Row],[DUT Adj Read]]="N/A",Table1[[#This Row],[Std Adj Read]]="N/A"),"N/A",IF(Table1[[#This Row],[DUT Adj Read]]="N/A",IF(Table1[[#This Row],[Std Adj Read]]&lt;Table1[[#This Row],[High Tol]],"Pass","Fail"),IF(Table1[[#This Row],[DUT Adj Read]]&lt;Table1[[#This Row],[High Tol]],"Pass","Fail")))</f>
        <v>Fail</v>
      </c>
      <c r="AF1552" s="1" t="str">
        <f>IF(AND(Table1[[#This Row],[Spec Type2]]="N/A",Table1[[#This Row],[DUT Adj Read]]="N/A",Table1[[#This Row],[Std Adj Read]]="N/A"),"N/A",IF(Table1[[#This Row],[DUT Adj Read]]="N/A",IF(Table1[[#This Row],[Std Adj Read]]&gt;=Table1[[#This Row],[Low Tol]],"Pass","Fail"),IF(Table1[[#This Row],[DUT Adj Read]]&gt;=Table1[[#This Row],[Low Tol]],"Pass","Fail")))</f>
        <v>Pass</v>
      </c>
      <c r="AG1552" s="1" t="str">
        <f>IF(AND(Table1[[#This Row],[Spec Type2]]="N/A",Table1[[#This Row],[DUT Adj Read]]="N/A",Table1[[#This Row],[Std Adj Read]]="N/A"),"N/A",IF(Table1[[#This Row],[DUT Adj Read]]="N/A",IF(Table1[[#This Row],[Std Adj Read]]&lt;=Table1[[#This Row],[High Tol]],"Pass","Fail"),IF(Table1[[#This Row],[DUT Adj Read]]&lt;=Table1[[#This Row],[High Tol]],"Pass","Fail")))</f>
        <v>Fail</v>
      </c>
      <c r="AH15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2" s="1" t="b">
        <v>0</v>
      </c>
      <c r="AN1552" s="1" t="b">
        <v>0</v>
      </c>
      <c r="AO1552" s="1" t="b">
        <v>0</v>
      </c>
    </row>
    <row r="1553" spans="1:41" x14ac:dyDescent="0.25">
      <c r="A1553" s="10"/>
      <c r="B1553" s="10"/>
      <c r="C1553" s="10"/>
      <c r="D1553" s="10"/>
      <c r="E1553" s="10"/>
      <c r="F1553" s="10"/>
      <c r="G1553" s="10"/>
      <c r="H1553" s="10"/>
      <c r="I1553" s="1" t="str">
        <f t="shared" si="72"/>
        <v/>
      </c>
      <c r="J1553" s="1" t="s">
        <v>35</v>
      </c>
      <c r="K1553" s="1" t="str">
        <f t="shared" si="73"/>
        <v/>
      </c>
      <c r="L1553" s="1" t="str">
        <f t="shared" si="74"/>
        <v/>
      </c>
      <c r="M1553" s="1">
        <f>IF(OR(Table1[[#This Row],[Std Nom]]="",Table1[[#This Row],[Std Read]]=""),0,Table1[[#This Row],[Std Nom]]-Table1[[#This Row],[Std Read]])</f>
        <v>0</v>
      </c>
      <c r="N1553" s="1">
        <f>IF(Calculations!$F$5="ACCREDITED 17025 WITH UNCERTAINTIES",$N$10,0)</f>
        <v>0</v>
      </c>
      <c r="Q1553" s="1">
        <f>Table1[[#This Row],[High Tol]]-Table1[[#This Row],[Low Tol]]</f>
        <v>0</v>
      </c>
      <c r="R1553" s="1">
        <f>2*Table1[[#This Row],[Std Error]]</f>
        <v>0</v>
      </c>
      <c r="S1553" s="1" t="str">
        <f>IF(Table1[[#This Row],[High Tol]]="","N/A",IFERROR(ABS(Table1[[#This Row],[Tol Span]]/Table1[[#This Row],[Error Span]]),"N/A"))</f>
        <v>N/A</v>
      </c>
      <c r="T1553" s="1" t="str">
        <f>IF(OR(Table1[[#This Row],[Low Tol]]="",Table1[[#This Row],[High Tol]]=""),"Needs Analysis",IF(Table1[[#This Row],[Ratio]]&gt;=4,"Not Significant",IF(Table1[[#This Row],[Ratio]]&gt;=2,"Semi-Significant","Significant")))</f>
        <v>Needs Analysis</v>
      </c>
      <c r="W1553" s="1">
        <f>IF(Table1[[#This Row],[Cal Type]]&lt;&gt;"ACCREDITED 17025 WITH UNCERTAINTIES",0,"")</f>
        <v>0</v>
      </c>
      <c r="X1553" s="1" t="str">
        <f>IF(Table1[[#This Row],[DUT Read]]="","N/A",Table1[[#This Row],[Std Error]]+Table1[[#This Row],[DUT Read]]+Table1[[#This Row],[DUT Ucty]])</f>
        <v>N/A</v>
      </c>
      <c r="Y1553" s="1" t="str">
        <f>IF(Table1[[#This Row],[Std Read]]="","N/A",Table1[[#This Row],[Std Read]]+Table1[[#This Row],[Std Ucty]])</f>
        <v>N/A</v>
      </c>
      <c r="Z15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3" s="1" t="str">
        <f>IF(Table1[[#This Row],[Spec Type]]="","N/A",Table1[[#This Row],[Spec Type]])</f>
        <v>±</v>
      </c>
      <c r="AC1553" s="1" t="str">
        <f>IF(Table1[[#This Row],[Spec Type2]]="N/A","N/A",IF(AND(Table1[[#This Row],[DUT Adj Read]]&gt;=Table1[[#This Row],[Low Tol]],Table1[[#This Row],[DUT Adj Read]]&lt;=Table1[[#This Row],[High Tol]]),"Pass","Fail"))</f>
        <v>Fail</v>
      </c>
      <c r="AD1553" s="1" t="str">
        <f>IF(AND(Table1[[#This Row],[Spec Type2]]="N/A",Table1[[#This Row],[DUT Adj Read]]="N/A",Table1[[#This Row],[Std Adj Read]]="N/A"),"N/A",IF(Table1[[#This Row],[DUT Adj Read]]="N/A",IF(Table1[[#This Row],[Std Adj Read]]&gt;Table1[[#This Row],[Low Tol]],"Pass","Fail"),IF(Table1[[#This Row],[DUT Adj Read]]&gt;Table1[[#This Row],[Low Tol]],"Pass","Fail")))</f>
        <v>Pass</v>
      </c>
      <c r="AE1553" s="1" t="str">
        <f>IF(AND(Table1[[#This Row],[Spec Type2]]="N/A",Table1[[#This Row],[DUT Adj Read]]="N/A",Table1[[#This Row],[Std Adj Read]]="N/A"),"N/A",IF(Table1[[#This Row],[DUT Adj Read]]="N/A",IF(Table1[[#This Row],[Std Adj Read]]&lt;Table1[[#This Row],[High Tol]],"Pass","Fail"),IF(Table1[[#This Row],[DUT Adj Read]]&lt;Table1[[#This Row],[High Tol]],"Pass","Fail")))</f>
        <v>Fail</v>
      </c>
      <c r="AF1553" s="1" t="str">
        <f>IF(AND(Table1[[#This Row],[Spec Type2]]="N/A",Table1[[#This Row],[DUT Adj Read]]="N/A",Table1[[#This Row],[Std Adj Read]]="N/A"),"N/A",IF(Table1[[#This Row],[DUT Adj Read]]="N/A",IF(Table1[[#This Row],[Std Adj Read]]&gt;=Table1[[#This Row],[Low Tol]],"Pass","Fail"),IF(Table1[[#This Row],[DUT Adj Read]]&gt;=Table1[[#This Row],[Low Tol]],"Pass","Fail")))</f>
        <v>Pass</v>
      </c>
      <c r="AG1553" s="1" t="str">
        <f>IF(AND(Table1[[#This Row],[Spec Type2]]="N/A",Table1[[#This Row],[DUT Adj Read]]="N/A",Table1[[#This Row],[Std Adj Read]]="N/A"),"N/A",IF(Table1[[#This Row],[DUT Adj Read]]="N/A",IF(Table1[[#This Row],[Std Adj Read]]&lt;=Table1[[#This Row],[High Tol]],"Pass","Fail"),IF(Table1[[#This Row],[DUT Adj Read]]&lt;=Table1[[#This Row],[High Tol]],"Pass","Fail")))</f>
        <v>Fail</v>
      </c>
      <c r="AH15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3" s="1" t="b">
        <v>0</v>
      </c>
      <c r="AN1553" s="1" t="b">
        <v>0</v>
      </c>
      <c r="AO1553" s="1" t="b">
        <v>0</v>
      </c>
    </row>
    <row r="1554" spans="1:41" x14ac:dyDescent="0.25">
      <c r="A1554" s="10"/>
      <c r="B1554" s="10"/>
      <c r="C1554" s="10"/>
      <c r="D1554" s="10"/>
      <c r="E1554" s="10"/>
      <c r="F1554" s="10"/>
      <c r="G1554" s="10"/>
      <c r="H1554" s="10"/>
      <c r="I1554" s="1" t="str">
        <f t="shared" si="72"/>
        <v/>
      </c>
      <c r="J1554" s="1" t="s">
        <v>35</v>
      </c>
      <c r="K1554" s="1" t="str">
        <f t="shared" si="73"/>
        <v/>
      </c>
      <c r="L1554" s="1" t="str">
        <f t="shared" si="74"/>
        <v/>
      </c>
      <c r="M1554" s="1">
        <f>IF(OR(Table1[[#This Row],[Std Nom]]="",Table1[[#This Row],[Std Read]]=""),0,Table1[[#This Row],[Std Nom]]-Table1[[#This Row],[Std Read]])</f>
        <v>0</v>
      </c>
      <c r="N1554" s="1">
        <f>IF(Calculations!$F$5="ACCREDITED 17025 WITH UNCERTAINTIES",$N$10,0)</f>
        <v>0</v>
      </c>
      <c r="Q1554" s="1">
        <f>Table1[[#This Row],[High Tol]]-Table1[[#This Row],[Low Tol]]</f>
        <v>0</v>
      </c>
      <c r="R1554" s="1">
        <f>2*Table1[[#This Row],[Std Error]]</f>
        <v>0</v>
      </c>
      <c r="S1554" s="1" t="str">
        <f>IF(Table1[[#This Row],[High Tol]]="","N/A",IFERROR(ABS(Table1[[#This Row],[Tol Span]]/Table1[[#This Row],[Error Span]]),"N/A"))</f>
        <v>N/A</v>
      </c>
      <c r="T1554" s="1" t="str">
        <f>IF(OR(Table1[[#This Row],[Low Tol]]="",Table1[[#This Row],[High Tol]]=""),"Needs Analysis",IF(Table1[[#This Row],[Ratio]]&gt;=4,"Not Significant",IF(Table1[[#This Row],[Ratio]]&gt;=2,"Semi-Significant","Significant")))</f>
        <v>Needs Analysis</v>
      </c>
      <c r="W1554" s="1">
        <f>IF(Table1[[#This Row],[Cal Type]]&lt;&gt;"ACCREDITED 17025 WITH UNCERTAINTIES",0,"")</f>
        <v>0</v>
      </c>
      <c r="X1554" s="1" t="str">
        <f>IF(Table1[[#This Row],[DUT Read]]="","N/A",Table1[[#This Row],[Std Error]]+Table1[[#This Row],[DUT Read]]+Table1[[#This Row],[DUT Ucty]])</f>
        <v>N/A</v>
      </c>
      <c r="Y1554" s="1" t="str">
        <f>IF(Table1[[#This Row],[Std Read]]="","N/A",Table1[[#This Row],[Std Read]]+Table1[[#This Row],[Std Ucty]])</f>
        <v>N/A</v>
      </c>
      <c r="Z15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4" s="1" t="str">
        <f>IF(Table1[[#This Row],[Spec Type]]="","N/A",Table1[[#This Row],[Spec Type]])</f>
        <v>±</v>
      </c>
      <c r="AC1554" s="1" t="str">
        <f>IF(Table1[[#This Row],[Spec Type2]]="N/A","N/A",IF(AND(Table1[[#This Row],[DUT Adj Read]]&gt;=Table1[[#This Row],[Low Tol]],Table1[[#This Row],[DUT Adj Read]]&lt;=Table1[[#This Row],[High Tol]]),"Pass","Fail"))</f>
        <v>Fail</v>
      </c>
      <c r="AD1554" s="1" t="str">
        <f>IF(AND(Table1[[#This Row],[Spec Type2]]="N/A",Table1[[#This Row],[DUT Adj Read]]="N/A",Table1[[#This Row],[Std Adj Read]]="N/A"),"N/A",IF(Table1[[#This Row],[DUT Adj Read]]="N/A",IF(Table1[[#This Row],[Std Adj Read]]&gt;Table1[[#This Row],[Low Tol]],"Pass","Fail"),IF(Table1[[#This Row],[DUT Adj Read]]&gt;Table1[[#This Row],[Low Tol]],"Pass","Fail")))</f>
        <v>Pass</v>
      </c>
      <c r="AE1554" s="1" t="str">
        <f>IF(AND(Table1[[#This Row],[Spec Type2]]="N/A",Table1[[#This Row],[DUT Adj Read]]="N/A",Table1[[#This Row],[Std Adj Read]]="N/A"),"N/A",IF(Table1[[#This Row],[DUT Adj Read]]="N/A",IF(Table1[[#This Row],[Std Adj Read]]&lt;Table1[[#This Row],[High Tol]],"Pass","Fail"),IF(Table1[[#This Row],[DUT Adj Read]]&lt;Table1[[#This Row],[High Tol]],"Pass","Fail")))</f>
        <v>Fail</v>
      </c>
      <c r="AF1554" s="1" t="str">
        <f>IF(AND(Table1[[#This Row],[Spec Type2]]="N/A",Table1[[#This Row],[DUT Adj Read]]="N/A",Table1[[#This Row],[Std Adj Read]]="N/A"),"N/A",IF(Table1[[#This Row],[DUT Adj Read]]="N/A",IF(Table1[[#This Row],[Std Adj Read]]&gt;=Table1[[#This Row],[Low Tol]],"Pass","Fail"),IF(Table1[[#This Row],[DUT Adj Read]]&gt;=Table1[[#This Row],[Low Tol]],"Pass","Fail")))</f>
        <v>Pass</v>
      </c>
      <c r="AG1554" s="1" t="str">
        <f>IF(AND(Table1[[#This Row],[Spec Type2]]="N/A",Table1[[#This Row],[DUT Adj Read]]="N/A",Table1[[#This Row],[Std Adj Read]]="N/A"),"N/A",IF(Table1[[#This Row],[DUT Adj Read]]="N/A",IF(Table1[[#This Row],[Std Adj Read]]&lt;=Table1[[#This Row],[High Tol]],"Pass","Fail"),IF(Table1[[#This Row],[DUT Adj Read]]&lt;=Table1[[#This Row],[High Tol]],"Pass","Fail")))</f>
        <v>Fail</v>
      </c>
      <c r="AH15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4" s="1" t="b">
        <v>0</v>
      </c>
      <c r="AN1554" s="1" t="b">
        <v>0</v>
      </c>
      <c r="AO1554" s="1" t="b">
        <v>0</v>
      </c>
    </row>
    <row r="1555" spans="1:41" x14ac:dyDescent="0.25">
      <c r="A1555" s="10"/>
      <c r="B1555" s="10"/>
      <c r="C1555" s="10"/>
      <c r="D1555" s="10"/>
      <c r="E1555" s="10"/>
      <c r="F1555" s="10"/>
      <c r="G1555" s="10"/>
      <c r="H1555" s="10"/>
      <c r="I1555" s="1" t="str">
        <f t="shared" si="72"/>
        <v/>
      </c>
      <c r="J1555" s="1" t="s">
        <v>35</v>
      </c>
      <c r="K1555" s="1" t="str">
        <f t="shared" si="73"/>
        <v/>
      </c>
      <c r="L1555" s="1" t="str">
        <f t="shared" si="74"/>
        <v/>
      </c>
      <c r="M1555" s="1">
        <f>IF(OR(Table1[[#This Row],[Std Nom]]="",Table1[[#This Row],[Std Read]]=""),0,Table1[[#This Row],[Std Nom]]-Table1[[#This Row],[Std Read]])</f>
        <v>0</v>
      </c>
      <c r="N1555" s="1">
        <f>IF(Calculations!$F$5="ACCREDITED 17025 WITH UNCERTAINTIES",$N$10,0)</f>
        <v>0</v>
      </c>
      <c r="Q1555" s="1">
        <f>Table1[[#This Row],[High Tol]]-Table1[[#This Row],[Low Tol]]</f>
        <v>0</v>
      </c>
      <c r="R1555" s="1">
        <f>2*Table1[[#This Row],[Std Error]]</f>
        <v>0</v>
      </c>
      <c r="S1555" s="1" t="str">
        <f>IF(Table1[[#This Row],[High Tol]]="","N/A",IFERROR(ABS(Table1[[#This Row],[Tol Span]]/Table1[[#This Row],[Error Span]]),"N/A"))</f>
        <v>N/A</v>
      </c>
      <c r="T1555" s="1" t="str">
        <f>IF(OR(Table1[[#This Row],[Low Tol]]="",Table1[[#This Row],[High Tol]]=""),"Needs Analysis",IF(Table1[[#This Row],[Ratio]]&gt;=4,"Not Significant",IF(Table1[[#This Row],[Ratio]]&gt;=2,"Semi-Significant","Significant")))</f>
        <v>Needs Analysis</v>
      </c>
      <c r="W1555" s="1">
        <f>IF(Table1[[#This Row],[Cal Type]]&lt;&gt;"ACCREDITED 17025 WITH UNCERTAINTIES",0,"")</f>
        <v>0</v>
      </c>
      <c r="X1555" s="1" t="str">
        <f>IF(Table1[[#This Row],[DUT Read]]="","N/A",Table1[[#This Row],[Std Error]]+Table1[[#This Row],[DUT Read]]+Table1[[#This Row],[DUT Ucty]])</f>
        <v>N/A</v>
      </c>
      <c r="Y1555" s="1" t="str">
        <f>IF(Table1[[#This Row],[Std Read]]="","N/A",Table1[[#This Row],[Std Read]]+Table1[[#This Row],[Std Ucty]])</f>
        <v>N/A</v>
      </c>
      <c r="Z15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5" s="1" t="str">
        <f>IF(Table1[[#This Row],[Spec Type]]="","N/A",Table1[[#This Row],[Spec Type]])</f>
        <v>±</v>
      </c>
      <c r="AC1555" s="1" t="str">
        <f>IF(Table1[[#This Row],[Spec Type2]]="N/A","N/A",IF(AND(Table1[[#This Row],[DUT Adj Read]]&gt;=Table1[[#This Row],[Low Tol]],Table1[[#This Row],[DUT Adj Read]]&lt;=Table1[[#This Row],[High Tol]]),"Pass","Fail"))</f>
        <v>Fail</v>
      </c>
      <c r="AD1555" s="1" t="str">
        <f>IF(AND(Table1[[#This Row],[Spec Type2]]="N/A",Table1[[#This Row],[DUT Adj Read]]="N/A",Table1[[#This Row],[Std Adj Read]]="N/A"),"N/A",IF(Table1[[#This Row],[DUT Adj Read]]="N/A",IF(Table1[[#This Row],[Std Adj Read]]&gt;Table1[[#This Row],[Low Tol]],"Pass","Fail"),IF(Table1[[#This Row],[DUT Adj Read]]&gt;Table1[[#This Row],[Low Tol]],"Pass","Fail")))</f>
        <v>Pass</v>
      </c>
      <c r="AE1555" s="1" t="str">
        <f>IF(AND(Table1[[#This Row],[Spec Type2]]="N/A",Table1[[#This Row],[DUT Adj Read]]="N/A",Table1[[#This Row],[Std Adj Read]]="N/A"),"N/A",IF(Table1[[#This Row],[DUT Adj Read]]="N/A",IF(Table1[[#This Row],[Std Adj Read]]&lt;Table1[[#This Row],[High Tol]],"Pass","Fail"),IF(Table1[[#This Row],[DUT Adj Read]]&lt;Table1[[#This Row],[High Tol]],"Pass","Fail")))</f>
        <v>Fail</v>
      </c>
      <c r="AF1555" s="1" t="str">
        <f>IF(AND(Table1[[#This Row],[Spec Type2]]="N/A",Table1[[#This Row],[DUT Adj Read]]="N/A",Table1[[#This Row],[Std Adj Read]]="N/A"),"N/A",IF(Table1[[#This Row],[DUT Adj Read]]="N/A",IF(Table1[[#This Row],[Std Adj Read]]&gt;=Table1[[#This Row],[Low Tol]],"Pass","Fail"),IF(Table1[[#This Row],[DUT Adj Read]]&gt;=Table1[[#This Row],[Low Tol]],"Pass","Fail")))</f>
        <v>Pass</v>
      </c>
      <c r="AG1555" s="1" t="str">
        <f>IF(AND(Table1[[#This Row],[Spec Type2]]="N/A",Table1[[#This Row],[DUT Adj Read]]="N/A",Table1[[#This Row],[Std Adj Read]]="N/A"),"N/A",IF(Table1[[#This Row],[DUT Adj Read]]="N/A",IF(Table1[[#This Row],[Std Adj Read]]&lt;=Table1[[#This Row],[High Tol]],"Pass","Fail"),IF(Table1[[#This Row],[DUT Adj Read]]&lt;=Table1[[#This Row],[High Tol]],"Pass","Fail")))</f>
        <v>Fail</v>
      </c>
      <c r="AH15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5" s="1" t="b">
        <v>0</v>
      </c>
      <c r="AN1555" s="1" t="b">
        <v>0</v>
      </c>
      <c r="AO1555" s="1" t="b">
        <v>0</v>
      </c>
    </row>
    <row r="1556" spans="1:41" x14ac:dyDescent="0.25">
      <c r="A1556" s="10"/>
      <c r="B1556" s="10"/>
      <c r="C1556" s="10"/>
      <c r="D1556" s="10"/>
      <c r="E1556" s="10"/>
      <c r="F1556" s="10"/>
      <c r="G1556" s="10"/>
      <c r="H1556" s="10"/>
      <c r="I1556" s="1" t="str">
        <f t="shared" si="72"/>
        <v/>
      </c>
      <c r="J1556" s="1" t="s">
        <v>35</v>
      </c>
      <c r="K1556" s="1" t="str">
        <f t="shared" si="73"/>
        <v/>
      </c>
      <c r="L1556" s="1" t="str">
        <f t="shared" si="74"/>
        <v/>
      </c>
      <c r="M1556" s="1">
        <f>IF(OR(Table1[[#This Row],[Std Nom]]="",Table1[[#This Row],[Std Read]]=""),0,Table1[[#This Row],[Std Nom]]-Table1[[#This Row],[Std Read]])</f>
        <v>0</v>
      </c>
      <c r="N1556" s="1">
        <f>IF(Calculations!$F$5="ACCREDITED 17025 WITH UNCERTAINTIES",$N$10,0)</f>
        <v>0</v>
      </c>
      <c r="Q1556" s="1">
        <f>Table1[[#This Row],[High Tol]]-Table1[[#This Row],[Low Tol]]</f>
        <v>0</v>
      </c>
      <c r="R1556" s="1">
        <f>2*Table1[[#This Row],[Std Error]]</f>
        <v>0</v>
      </c>
      <c r="S1556" s="1" t="str">
        <f>IF(Table1[[#This Row],[High Tol]]="","N/A",IFERROR(ABS(Table1[[#This Row],[Tol Span]]/Table1[[#This Row],[Error Span]]),"N/A"))</f>
        <v>N/A</v>
      </c>
      <c r="T1556" s="1" t="str">
        <f>IF(OR(Table1[[#This Row],[Low Tol]]="",Table1[[#This Row],[High Tol]]=""),"Needs Analysis",IF(Table1[[#This Row],[Ratio]]&gt;=4,"Not Significant",IF(Table1[[#This Row],[Ratio]]&gt;=2,"Semi-Significant","Significant")))</f>
        <v>Needs Analysis</v>
      </c>
      <c r="W1556" s="1">
        <f>IF(Table1[[#This Row],[Cal Type]]&lt;&gt;"ACCREDITED 17025 WITH UNCERTAINTIES",0,"")</f>
        <v>0</v>
      </c>
      <c r="X1556" s="1" t="str">
        <f>IF(Table1[[#This Row],[DUT Read]]="","N/A",Table1[[#This Row],[Std Error]]+Table1[[#This Row],[DUT Read]]+Table1[[#This Row],[DUT Ucty]])</f>
        <v>N/A</v>
      </c>
      <c r="Y1556" s="1" t="str">
        <f>IF(Table1[[#This Row],[Std Read]]="","N/A",Table1[[#This Row],[Std Read]]+Table1[[#This Row],[Std Ucty]])</f>
        <v>N/A</v>
      </c>
      <c r="Z15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6" s="1" t="str">
        <f>IF(Table1[[#This Row],[Spec Type]]="","N/A",Table1[[#This Row],[Spec Type]])</f>
        <v>±</v>
      </c>
      <c r="AC1556" s="1" t="str">
        <f>IF(Table1[[#This Row],[Spec Type2]]="N/A","N/A",IF(AND(Table1[[#This Row],[DUT Adj Read]]&gt;=Table1[[#This Row],[Low Tol]],Table1[[#This Row],[DUT Adj Read]]&lt;=Table1[[#This Row],[High Tol]]),"Pass","Fail"))</f>
        <v>Fail</v>
      </c>
      <c r="AD1556" s="1" t="str">
        <f>IF(AND(Table1[[#This Row],[Spec Type2]]="N/A",Table1[[#This Row],[DUT Adj Read]]="N/A",Table1[[#This Row],[Std Adj Read]]="N/A"),"N/A",IF(Table1[[#This Row],[DUT Adj Read]]="N/A",IF(Table1[[#This Row],[Std Adj Read]]&gt;Table1[[#This Row],[Low Tol]],"Pass","Fail"),IF(Table1[[#This Row],[DUT Adj Read]]&gt;Table1[[#This Row],[Low Tol]],"Pass","Fail")))</f>
        <v>Pass</v>
      </c>
      <c r="AE1556" s="1" t="str">
        <f>IF(AND(Table1[[#This Row],[Spec Type2]]="N/A",Table1[[#This Row],[DUT Adj Read]]="N/A",Table1[[#This Row],[Std Adj Read]]="N/A"),"N/A",IF(Table1[[#This Row],[DUT Adj Read]]="N/A",IF(Table1[[#This Row],[Std Adj Read]]&lt;Table1[[#This Row],[High Tol]],"Pass","Fail"),IF(Table1[[#This Row],[DUT Adj Read]]&lt;Table1[[#This Row],[High Tol]],"Pass","Fail")))</f>
        <v>Fail</v>
      </c>
      <c r="AF1556" s="1" t="str">
        <f>IF(AND(Table1[[#This Row],[Spec Type2]]="N/A",Table1[[#This Row],[DUT Adj Read]]="N/A",Table1[[#This Row],[Std Adj Read]]="N/A"),"N/A",IF(Table1[[#This Row],[DUT Adj Read]]="N/A",IF(Table1[[#This Row],[Std Adj Read]]&gt;=Table1[[#This Row],[Low Tol]],"Pass","Fail"),IF(Table1[[#This Row],[DUT Adj Read]]&gt;=Table1[[#This Row],[Low Tol]],"Pass","Fail")))</f>
        <v>Pass</v>
      </c>
      <c r="AG1556" s="1" t="str">
        <f>IF(AND(Table1[[#This Row],[Spec Type2]]="N/A",Table1[[#This Row],[DUT Adj Read]]="N/A",Table1[[#This Row],[Std Adj Read]]="N/A"),"N/A",IF(Table1[[#This Row],[DUT Adj Read]]="N/A",IF(Table1[[#This Row],[Std Adj Read]]&lt;=Table1[[#This Row],[High Tol]],"Pass","Fail"),IF(Table1[[#This Row],[DUT Adj Read]]&lt;=Table1[[#This Row],[High Tol]],"Pass","Fail")))</f>
        <v>Fail</v>
      </c>
      <c r="AH15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6" s="1" t="b">
        <v>0</v>
      </c>
      <c r="AN1556" s="1" t="b">
        <v>0</v>
      </c>
      <c r="AO1556" s="1" t="b">
        <v>0</v>
      </c>
    </row>
    <row r="1557" spans="1:41" x14ac:dyDescent="0.25">
      <c r="A1557" s="10"/>
      <c r="B1557" s="10"/>
      <c r="C1557" s="10"/>
      <c r="D1557" s="10"/>
      <c r="E1557" s="10"/>
      <c r="F1557" s="10"/>
      <c r="G1557" s="10"/>
      <c r="H1557" s="10"/>
      <c r="I1557" s="1" t="str">
        <f t="shared" si="72"/>
        <v/>
      </c>
      <c r="J1557" s="1" t="s">
        <v>35</v>
      </c>
      <c r="K1557" s="1" t="str">
        <f t="shared" si="73"/>
        <v/>
      </c>
      <c r="L1557" s="1" t="str">
        <f t="shared" si="74"/>
        <v/>
      </c>
      <c r="M1557" s="1">
        <f>IF(OR(Table1[[#This Row],[Std Nom]]="",Table1[[#This Row],[Std Read]]=""),0,Table1[[#This Row],[Std Nom]]-Table1[[#This Row],[Std Read]])</f>
        <v>0</v>
      </c>
      <c r="N1557" s="1">
        <f>IF(Calculations!$F$5="ACCREDITED 17025 WITH UNCERTAINTIES",$N$10,0)</f>
        <v>0</v>
      </c>
      <c r="Q1557" s="1">
        <f>Table1[[#This Row],[High Tol]]-Table1[[#This Row],[Low Tol]]</f>
        <v>0</v>
      </c>
      <c r="R1557" s="1">
        <f>2*Table1[[#This Row],[Std Error]]</f>
        <v>0</v>
      </c>
      <c r="S1557" s="1" t="str">
        <f>IF(Table1[[#This Row],[High Tol]]="","N/A",IFERROR(ABS(Table1[[#This Row],[Tol Span]]/Table1[[#This Row],[Error Span]]),"N/A"))</f>
        <v>N/A</v>
      </c>
      <c r="T1557" s="1" t="str">
        <f>IF(OR(Table1[[#This Row],[Low Tol]]="",Table1[[#This Row],[High Tol]]=""),"Needs Analysis",IF(Table1[[#This Row],[Ratio]]&gt;=4,"Not Significant",IF(Table1[[#This Row],[Ratio]]&gt;=2,"Semi-Significant","Significant")))</f>
        <v>Needs Analysis</v>
      </c>
      <c r="W1557" s="1">
        <f>IF(Table1[[#This Row],[Cal Type]]&lt;&gt;"ACCREDITED 17025 WITH UNCERTAINTIES",0,"")</f>
        <v>0</v>
      </c>
      <c r="X1557" s="1" t="str">
        <f>IF(Table1[[#This Row],[DUT Read]]="","N/A",Table1[[#This Row],[Std Error]]+Table1[[#This Row],[DUT Read]]+Table1[[#This Row],[DUT Ucty]])</f>
        <v>N/A</v>
      </c>
      <c r="Y1557" s="1" t="str">
        <f>IF(Table1[[#This Row],[Std Read]]="","N/A",Table1[[#This Row],[Std Read]]+Table1[[#This Row],[Std Ucty]])</f>
        <v>N/A</v>
      </c>
      <c r="Z15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7" s="1" t="str">
        <f>IF(Table1[[#This Row],[Spec Type]]="","N/A",Table1[[#This Row],[Spec Type]])</f>
        <v>±</v>
      </c>
      <c r="AC1557" s="1" t="str">
        <f>IF(Table1[[#This Row],[Spec Type2]]="N/A","N/A",IF(AND(Table1[[#This Row],[DUT Adj Read]]&gt;=Table1[[#This Row],[Low Tol]],Table1[[#This Row],[DUT Adj Read]]&lt;=Table1[[#This Row],[High Tol]]),"Pass","Fail"))</f>
        <v>Fail</v>
      </c>
      <c r="AD1557" s="1" t="str">
        <f>IF(AND(Table1[[#This Row],[Spec Type2]]="N/A",Table1[[#This Row],[DUT Adj Read]]="N/A",Table1[[#This Row],[Std Adj Read]]="N/A"),"N/A",IF(Table1[[#This Row],[DUT Adj Read]]="N/A",IF(Table1[[#This Row],[Std Adj Read]]&gt;Table1[[#This Row],[Low Tol]],"Pass","Fail"),IF(Table1[[#This Row],[DUT Adj Read]]&gt;Table1[[#This Row],[Low Tol]],"Pass","Fail")))</f>
        <v>Pass</v>
      </c>
      <c r="AE1557" s="1" t="str">
        <f>IF(AND(Table1[[#This Row],[Spec Type2]]="N/A",Table1[[#This Row],[DUT Adj Read]]="N/A",Table1[[#This Row],[Std Adj Read]]="N/A"),"N/A",IF(Table1[[#This Row],[DUT Adj Read]]="N/A",IF(Table1[[#This Row],[Std Adj Read]]&lt;Table1[[#This Row],[High Tol]],"Pass","Fail"),IF(Table1[[#This Row],[DUT Adj Read]]&lt;Table1[[#This Row],[High Tol]],"Pass","Fail")))</f>
        <v>Fail</v>
      </c>
      <c r="AF1557" s="1" t="str">
        <f>IF(AND(Table1[[#This Row],[Spec Type2]]="N/A",Table1[[#This Row],[DUT Adj Read]]="N/A",Table1[[#This Row],[Std Adj Read]]="N/A"),"N/A",IF(Table1[[#This Row],[DUT Adj Read]]="N/A",IF(Table1[[#This Row],[Std Adj Read]]&gt;=Table1[[#This Row],[Low Tol]],"Pass","Fail"),IF(Table1[[#This Row],[DUT Adj Read]]&gt;=Table1[[#This Row],[Low Tol]],"Pass","Fail")))</f>
        <v>Pass</v>
      </c>
      <c r="AG1557" s="1" t="str">
        <f>IF(AND(Table1[[#This Row],[Spec Type2]]="N/A",Table1[[#This Row],[DUT Adj Read]]="N/A",Table1[[#This Row],[Std Adj Read]]="N/A"),"N/A",IF(Table1[[#This Row],[DUT Adj Read]]="N/A",IF(Table1[[#This Row],[Std Adj Read]]&lt;=Table1[[#This Row],[High Tol]],"Pass","Fail"),IF(Table1[[#This Row],[DUT Adj Read]]&lt;=Table1[[#This Row],[High Tol]],"Pass","Fail")))</f>
        <v>Fail</v>
      </c>
      <c r="AH15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7" s="1" t="b">
        <v>0</v>
      </c>
      <c r="AN1557" s="1" t="b">
        <v>0</v>
      </c>
      <c r="AO1557" s="1" t="b">
        <v>0</v>
      </c>
    </row>
    <row r="1558" spans="1:41" x14ac:dyDescent="0.25">
      <c r="A1558" s="10"/>
      <c r="B1558" s="10"/>
      <c r="C1558" s="10"/>
      <c r="D1558" s="10"/>
      <c r="E1558" s="10"/>
      <c r="F1558" s="10"/>
      <c r="G1558" s="10"/>
      <c r="H1558" s="10"/>
      <c r="I1558" s="1" t="str">
        <f t="shared" si="72"/>
        <v/>
      </c>
      <c r="J1558" s="1" t="s">
        <v>35</v>
      </c>
      <c r="K1558" s="1" t="str">
        <f t="shared" si="73"/>
        <v/>
      </c>
      <c r="L1558" s="1" t="str">
        <f t="shared" si="74"/>
        <v/>
      </c>
      <c r="M1558" s="1">
        <f>IF(OR(Table1[[#This Row],[Std Nom]]="",Table1[[#This Row],[Std Read]]=""),0,Table1[[#This Row],[Std Nom]]-Table1[[#This Row],[Std Read]])</f>
        <v>0</v>
      </c>
      <c r="N1558" s="1">
        <f>IF(Calculations!$F$5="ACCREDITED 17025 WITH UNCERTAINTIES",$N$10,0)</f>
        <v>0</v>
      </c>
      <c r="Q1558" s="1">
        <f>Table1[[#This Row],[High Tol]]-Table1[[#This Row],[Low Tol]]</f>
        <v>0</v>
      </c>
      <c r="R1558" s="1">
        <f>2*Table1[[#This Row],[Std Error]]</f>
        <v>0</v>
      </c>
      <c r="S1558" s="1" t="str">
        <f>IF(Table1[[#This Row],[High Tol]]="","N/A",IFERROR(ABS(Table1[[#This Row],[Tol Span]]/Table1[[#This Row],[Error Span]]),"N/A"))</f>
        <v>N/A</v>
      </c>
      <c r="T1558" s="1" t="str">
        <f>IF(OR(Table1[[#This Row],[Low Tol]]="",Table1[[#This Row],[High Tol]]=""),"Needs Analysis",IF(Table1[[#This Row],[Ratio]]&gt;=4,"Not Significant",IF(Table1[[#This Row],[Ratio]]&gt;=2,"Semi-Significant","Significant")))</f>
        <v>Needs Analysis</v>
      </c>
      <c r="W1558" s="1">
        <f>IF(Table1[[#This Row],[Cal Type]]&lt;&gt;"ACCREDITED 17025 WITH UNCERTAINTIES",0,"")</f>
        <v>0</v>
      </c>
      <c r="X1558" s="1" t="str">
        <f>IF(Table1[[#This Row],[DUT Read]]="","N/A",Table1[[#This Row],[Std Error]]+Table1[[#This Row],[DUT Read]]+Table1[[#This Row],[DUT Ucty]])</f>
        <v>N/A</v>
      </c>
      <c r="Y1558" s="1" t="str">
        <f>IF(Table1[[#This Row],[Std Read]]="","N/A",Table1[[#This Row],[Std Read]]+Table1[[#This Row],[Std Ucty]])</f>
        <v>N/A</v>
      </c>
      <c r="Z15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8" s="1" t="str">
        <f>IF(Table1[[#This Row],[Spec Type]]="","N/A",Table1[[#This Row],[Spec Type]])</f>
        <v>±</v>
      </c>
      <c r="AC1558" s="1" t="str">
        <f>IF(Table1[[#This Row],[Spec Type2]]="N/A","N/A",IF(AND(Table1[[#This Row],[DUT Adj Read]]&gt;=Table1[[#This Row],[Low Tol]],Table1[[#This Row],[DUT Adj Read]]&lt;=Table1[[#This Row],[High Tol]]),"Pass","Fail"))</f>
        <v>Fail</v>
      </c>
      <c r="AD1558" s="1" t="str">
        <f>IF(AND(Table1[[#This Row],[Spec Type2]]="N/A",Table1[[#This Row],[DUT Adj Read]]="N/A",Table1[[#This Row],[Std Adj Read]]="N/A"),"N/A",IF(Table1[[#This Row],[DUT Adj Read]]="N/A",IF(Table1[[#This Row],[Std Adj Read]]&gt;Table1[[#This Row],[Low Tol]],"Pass","Fail"),IF(Table1[[#This Row],[DUT Adj Read]]&gt;Table1[[#This Row],[Low Tol]],"Pass","Fail")))</f>
        <v>Pass</v>
      </c>
      <c r="AE1558" s="1" t="str">
        <f>IF(AND(Table1[[#This Row],[Spec Type2]]="N/A",Table1[[#This Row],[DUT Adj Read]]="N/A",Table1[[#This Row],[Std Adj Read]]="N/A"),"N/A",IF(Table1[[#This Row],[DUT Adj Read]]="N/A",IF(Table1[[#This Row],[Std Adj Read]]&lt;Table1[[#This Row],[High Tol]],"Pass","Fail"),IF(Table1[[#This Row],[DUT Adj Read]]&lt;Table1[[#This Row],[High Tol]],"Pass","Fail")))</f>
        <v>Fail</v>
      </c>
      <c r="AF1558" s="1" t="str">
        <f>IF(AND(Table1[[#This Row],[Spec Type2]]="N/A",Table1[[#This Row],[DUT Adj Read]]="N/A",Table1[[#This Row],[Std Adj Read]]="N/A"),"N/A",IF(Table1[[#This Row],[DUT Adj Read]]="N/A",IF(Table1[[#This Row],[Std Adj Read]]&gt;=Table1[[#This Row],[Low Tol]],"Pass","Fail"),IF(Table1[[#This Row],[DUT Adj Read]]&gt;=Table1[[#This Row],[Low Tol]],"Pass","Fail")))</f>
        <v>Pass</v>
      </c>
      <c r="AG1558" s="1" t="str">
        <f>IF(AND(Table1[[#This Row],[Spec Type2]]="N/A",Table1[[#This Row],[DUT Adj Read]]="N/A",Table1[[#This Row],[Std Adj Read]]="N/A"),"N/A",IF(Table1[[#This Row],[DUT Adj Read]]="N/A",IF(Table1[[#This Row],[Std Adj Read]]&lt;=Table1[[#This Row],[High Tol]],"Pass","Fail"),IF(Table1[[#This Row],[DUT Adj Read]]&lt;=Table1[[#This Row],[High Tol]],"Pass","Fail")))</f>
        <v>Fail</v>
      </c>
      <c r="AH15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8" s="1" t="b">
        <v>0</v>
      </c>
      <c r="AN1558" s="1" t="b">
        <v>0</v>
      </c>
      <c r="AO1558" s="1" t="b">
        <v>0</v>
      </c>
    </row>
    <row r="1559" spans="1:41" x14ac:dyDescent="0.25">
      <c r="A1559" s="10"/>
      <c r="B1559" s="10"/>
      <c r="C1559" s="10"/>
      <c r="D1559" s="10"/>
      <c r="E1559" s="10"/>
      <c r="F1559" s="10"/>
      <c r="G1559" s="10"/>
      <c r="H1559" s="10"/>
      <c r="I1559" s="1" t="str">
        <f t="shared" si="72"/>
        <v/>
      </c>
      <c r="J1559" s="1" t="s">
        <v>35</v>
      </c>
      <c r="K1559" s="1" t="str">
        <f t="shared" si="73"/>
        <v/>
      </c>
      <c r="L1559" s="1" t="str">
        <f t="shared" si="74"/>
        <v/>
      </c>
      <c r="M1559" s="1">
        <f>IF(OR(Table1[[#This Row],[Std Nom]]="",Table1[[#This Row],[Std Read]]=""),0,Table1[[#This Row],[Std Nom]]-Table1[[#This Row],[Std Read]])</f>
        <v>0</v>
      </c>
      <c r="N1559" s="1">
        <f>IF(Calculations!$F$5="ACCREDITED 17025 WITH UNCERTAINTIES",$N$10,0)</f>
        <v>0</v>
      </c>
      <c r="Q1559" s="1">
        <f>Table1[[#This Row],[High Tol]]-Table1[[#This Row],[Low Tol]]</f>
        <v>0</v>
      </c>
      <c r="R1559" s="1">
        <f>2*Table1[[#This Row],[Std Error]]</f>
        <v>0</v>
      </c>
      <c r="S1559" s="1" t="str">
        <f>IF(Table1[[#This Row],[High Tol]]="","N/A",IFERROR(ABS(Table1[[#This Row],[Tol Span]]/Table1[[#This Row],[Error Span]]),"N/A"))</f>
        <v>N/A</v>
      </c>
      <c r="T1559" s="1" t="str">
        <f>IF(OR(Table1[[#This Row],[Low Tol]]="",Table1[[#This Row],[High Tol]]=""),"Needs Analysis",IF(Table1[[#This Row],[Ratio]]&gt;=4,"Not Significant",IF(Table1[[#This Row],[Ratio]]&gt;=2,"Semi-Significant","Significant")))</f>
        <v>Needs Analysis</v>
      </c>
      <c r="W1559" s="1">
        <f>IF(Table1[[#This Row],[Cal Type]]&lt;&gt;"ACCREDITED 17025 WITH UNCERTAINTIES",0,"")</f>
        <v>0</v>
      </c>
      <c r="X1559" s="1" t="str">
        <f>IF(Table1[[#This Row],[DUT Read]]="","N/A",Table1[[#This Row],[Std Error]]+Table1[[#This Row],[DUT Read]]+Table1[[#This Row],[DUT Ucty]])</f>
        <v>N/A</v>
      </c>
      <c r="Y1559" s="1" t="str">
        <f>IF(Table1[[#This Row],[Std Read]]="","N/A",Table1[[#This Row],[Std Read]]+Table1[[#This Row],[Std Ucty]])</f>
        <v>N/A</v>
      </c>
      <c r="Z15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59" s="1" t="str">
        <f>IF(Table1[[#This Row],[Spec Type]]="","N/A",Table1[[#This Row],[Spec Type]])</f>
        <v>±</v>
      </c>
      <c r="AC1559" s="1" t="str">
        <f>IF(Table1[[#This Row],[Spec Type2]]="N/A","N/A",IF(AND(Table1[[#This Row],[DUT Adj Read]]&gt;=Table1[[#This Row],[Low Tol]],Table1[[#This Row],[DUT Adj Read]]&lt;=Table1[[#This Row],[High Tol]]),"Pass","Fail"))</f>
        <v>Fail</v>
      </c>
      <c r="AD1559" s="1" t="str">
        <f>IF(AND(Table1[[#This Row],[Spec Type2]]="N/A",Table1[[#This Row],[DUT Adj Read]]="N/A",Table1[[#This Row],[Std Adj Read]]="N/A"),"N/A",IF(Table1[[#This Row],[DUT Adj Read]]="N/A",IF(Table1[[#This Row],[Std Adj Read]]&gt;Table1[[#This Row],[Low Tol]],"Pass","Fail"),IF(Table1[[#This Row],[DUT Adj Read]]&gt;Table1[[#This Row],[Low Tol]],"Pass","Fail")))</f>
        <v>Pass</v>
      </c>
      <c r="AE1559" s="1" t="str">
        <f>IF(AND(Table1[[#This Row],[Spec Type2]]="N/A",Table1[[#This Row],[DUT Adj Read]]="N/A",Table1[[#This Row],[Std Adj Read]]="N/A"),"N/A",IF(Table1[[#This Row],[DUT Adj Read]]="N/A",IF(Table1[[#This Row],[Std Adj Read]]&lt;Table1[[#This Row],[High Tol]],"Pass","Fail"),IF(Table1[[#This Row],[DUT Adj Read]]&lt;Table1[[#This Row],[High Tol]],"Pass","Fail")))</f>
        <v>Fail</v>
      </c>
      <c r="AF1559" s="1" t="str">
        <f>IF(AND(Table1[[#This Row],[Spec Type2]]="N/A",Table1[[#This Row],[DUT Adj Read]]="N/A",Table1[[#This Row],[Std Adj Read]]="N/A"),"N/A",IF(Table1[[#This Row],[DUT Adj Read]]="N/A",IF(Table1[[#This Row],[Std Adj Read]]&gt;=Table1[[#This Row],[Low Tol]],"Pass","Fail"),IF(Table1[[#This Row],[DUT Adj Read]]&gt;=Table1[[#This Row],[Low Tol]],"Pass","Fail")))</f>
        <v>Pass</v>
      </c>
      <c r="AG1559" s="1" t="str">
        <f>IF(AND(Table1[[#This Row],[Spec Type2]]="N/A",Table1[[#This Row],[DUT Adj Read]]="N/A",Table1[[#This Row],[Std Adj Read]]="N/A"),"N/A",IF(Table1[[#This Row],[DUT Adj Read]]="N/A",IF(Table1[[#This Row],[Std Adj Read]]&lt;=Table1[[#This Row],[High Tol]],"Pass","Fail"),IF(Table1[[#This Row],[DUT Adj Read]]&lt;=Table1[[#This Row],[High Tol]],"Pass","Fail")))</f>
        <v>Fail</v>
      </c>
      <c r="AH15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59" s="1" t="b">
        <v>0</v>
      </c>
      <c r="AN1559" s="1" t="b">
        <v>0</v>
      </c>
      <c r="AO1559" s="1" t="b">
        <v>0</v>
      </c>
    </row>
    <row r="1560" spans="1:41" x14ac:dyDescent="0.25">
      <c r="A1560" s="10"/>
      <c r="B1560" s="10"/>
      <c r="C1560" s="10"/>
      <c r="D1560" s="10"/>
      <c r="E1560" s="10"/>
      <c r="F1560" s="10"/>
      <c r="G1560" s="10"/>
      <c r="H1560" s="10"/>
      <c r="I1560" s="1" t="str">
        <f t="shared" si="72"/>
        <v/>
      </c>
      <c r="J1560" s="1" t="s">
        <v>35</v>
      </c>
      <c r="K1560" s="1" t="str">
        <f t="shared" si="73"/>
        <v/>
      </c>
      <c r="L1560" s="1" t="str">
        <f t="shared" si="74"/>
        <v/>
      </c>
      <c r="M1560" s="1">
        <f>IF(OR(Table1[[#This Row],[Std Nom]]="",Table1[[#This Row],[Std Read]]=""),0,Table1[[#This Row],[Std Nom]]-Table1[[#This Row],[Std Read]])</f>
        <v>0</v>
      </c>
      <c r="N1560" s="1">
        <f>IF(Calculations!$F$5="ACCREDITED 17025 WITH UNCERTAINTIES",$N$10,0)</f>
        <v>0</v>
      </c>
      <c r="Q1560" s="1">
        <f>Table1[[#This Row],[High Tol]]-Table1[[#This Row],[Low Tol]]</f>
        <v>0</v>
      </c>
      <c r="R1560" s="1">
        <f>2*Table1[[#This Row],[Std Error]]</f>
        <v>0</v>
      </c>
      <c r="S1560" s="1" t="str">
        <f>IF(Table1[[#This Row],[High Tol]]="","N/A",IFERROR(ABS(Table1[[#This Row],[Tol Span]]/Table1[[#This Row],[Error Span]]),"N/A"))</f>
        <v>N/A</v>
      </c>
      <c r="T1560" s="1" t="str">
        <f>IF(OR(Table1[[#This Row],[Low Tol]]="",Table1[[#This Row],[High Tol]]=""),"Needs Analysis",IF(Table1[[#This Row],[Ratio]]&gt;=4,"Not Significant",IF(Table1[[#This Row],[Ratio]]&gt;=2,"Semi-Significant","Significant")))</f>
        <v>Needs Analysis</v>
      </c>
      <c r="W1560" s="1">
        <f>IF(Table1[[#This Row],[Cal Type]]&lt;&gt;"ACCREDITED 17025 WITH UNCERTAINTIES",0,"")</f>
        <v>0</v>
      </c>
      <c r="X1560" s="1" t="str">
        <f>IF(Table1[[#This Row],[DUT Read]]="","N/A",Table1[[#This Row],[Std Error]]+Table1[[#This Row],[DUT Read]]+Table1[[#This Row],[DUT Ucty]])</f>
        <v>N/A</v>
      </c>
      <c r="Y1560" s="1" t="str">
        <f>IF(Table1[[#This Row],[Std Read]]="","N/A",Table1[[#This Row],[Std Read]]+Table1[[#This Row],[Std Ucty]])</f>
        <v>N/A</v>
      </c>
      <c r="Z15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0" s="1" t="str">
        <f>IF(Table1[[#This Row],[Spec Type]]="","N/A",Table1[[#This Row],[Spec Type]])</f>
        <v>±</v>
      </c>
      <c r="AC1560" s="1" t="str">
        <f>IF(Table1[[#This Row],[Spec Type2]]="N/A","N/A",IF(AND(Table1[[#This Row],[DUT Adj Read]]&gt;=Table1[[#This Row],[Low Tol]],Table1[[#This Row],[DUT Adj Read]]&lt;=Table1[[#This Row],[High Tol]]),"Pass","Fail"))</f>
        <v>Fail</v>
      </c>
      <c r="AD1560" s="1" t="str">
        <f>IF(AND(Table1[[#This Row],[Spec Type2]]="N/A",Table1[[#This Row],[DUT Adj Read]]="N/A",Table1[[#This Row],[Std Adj Read]]="N/A"),"N/A",IF(Table1[[#This Row],[DUT Adj Read]]="N/A",IF(Table1[[#This Row],[Std Adj Read]]&gt;Table1[[#This Row],[Low Tol]],"Pass","Fail"),IF(Table1[[#This Row],[DUT Adj Read]]&gt;Table1[[#This Row],[Low Tol]],"Pass","Fail")))</f>
        <v>Pass</v>
      </c>
      <c r="AE1560" s="1" t="str">
        <f>IF(AND(Table1[[#This Row],[Spec Type2]]="N/A",Table1[[#This Row],[DUT Adj Read]]="N/A",Table1[[#This Row],[Std Adj Read]]="N/A"),"N/A",IF(Table1[[#This Row],[DUT Adj Read]]="N/A",IF(Table1[[#This Row],[Std Adj Read]]&lt;Table1[[#This Row],[High Tol]],"Pass","Fail"),IF(Table1[[#This Row],[DUT Adj Read]]&lt;Table1[[#This Row],[High Tol]],"Pass","Fail")))</f>
        <v>Fail</v>
      </c>
      <c r="AF1560" s="1" t="str">
        <f>IF(AND(Table1[[#This Row],[Spec Type2]]="N/A",Table1[[#This Row],[DUT Adj Read]]="N/A",Table1[[#This Row],[Std Adj Read]]="N/A"),"N/A",IF(Table1[[#This Row],[DUT Adj Read]]="N/A",IF(Table1[[#This Row],[Std Adj Read]]&gt;=Table1[[#This Row],[Low Tol]],"Pass","Fail"),IF(Table1[[#This Row],[DUT Adj Read]]&gt;=Table1[[#This Row],[Low Tol]],"Pass","Fail")))</f>
        <v>Pass</v>
      </c>
      <c r="AG1560" s="1" t="str">
        <f>IF(AND(Table1[[#This Row],[Spec Type2]]="N/A",Table1[[#This Row],[DUT Adj Read]]="N/A",Table1[[#This Row],[Std Adj Read]]="N/A"),"N/A",IF(Table1[[#This Row],[DUT Adj Read]]="N/A",IF(Table1[[#This Row],[Std Adj Read]]&lt;=Table1[[#This Row],[High Tol]],"Pass","Fail"),IF(Table1[[#This Row],[DUT Adj Read]]&lt;=Table1[[#This Row],[High Tol]],"Pass","Fail")))</f>
        <v>Fail</v>
      </c>
      <c r="AH15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0" s="1" t="b">
        <v>0</v>
      </c>
      <c r="AN1560" s="1" t="b">
        <v>0</v>
      </c>
      <c r="AO1560" s="1" t="b">
        <v>0</v>
      </c>
    </row>
    <row r="1561" spans="1:41" x14ac:dyDescent="0.25">
      <c r="A1561" s="10"/>
      <c r="B1561" s="10"/>
      <c r="C1561" s="10"/>
      <c r="D1561" s="10"/>
      <c r="E1561" s="10"/>
      <c r="F1561" s="10"/>
      <c r="G1561" s="10"/>
      <c r="H1561" s="10"/>
      <c r="I1561" s="1" t="str">
        <f t="shared" si="72"/>
        <v/>
      </c>
      <c r="J1561" s="1" t="s">
        <v>35</v>
      </c>
      <c r="K1561" s="1" t="str">
        <f t="shared" si="73"/>
        <v/>
      </c>
      <c r="L1561" s="1" t="str">
        <f t="shared" si="74"/>
        <v/>
      </c>
      <c r="M1561" s="1">
        <f>IF(OR(Table1[[#This Row],[Std Nom]]="",Table1[[#This Row],[Std Read]]=""),0,Table1[[#This Row],[Std Nom]]-Table1[[#This Row],[Std Read]])</f>
        <v>0</v>
      </c>
      <c r="N1561" s="1">
        <f>IF(Calculations!$F$5="ACCREDITED 17025 WITH UNCERTAINTIES",$N$10,0)</f>
        <v>0</v>
      </c>
      <c r="Q1561" s="1">
        <f>Table1[[#This Row],[High Tol]]-Table1[[#This Row],[Low Tol]]</f>
        <v>0</v>
      </c>
      <c r="R1561" s="1">
        <f>2*Table1[[#This Row],[Std Error]]</f>
        <v>0</v>
      </c>
      <c r="S1561" s="1" t="str">
        <f>IF(Table1[[#This Row],[High Tol]]="","N/A",IFERROR(ABS(Table1[[#This Row],[Tol Span]]/Table1[[#This Row],[Error Span]]),"N/A"))</f>
        <v>N/A</v>
      </c>
      <c r="T1561" s="1" t="str">
        <f>IF(OR(Table1[[#This Row],[Low Tol]]="",Table1[[#This Row],[High Tol]]=""),"Needs Analysis",IF(Table1[[#This Row],[Ratio]]&gt;=4,"Not Significant",IF(Table1[[#This Row],[Ratio]]&gt;=2,"Semi-Significant","Significant")))</f>
        <v>Needs Analysis</v>
      </c>
      <c r="W1561" s="1">
        <f>IF(Table1[[#This Row],[Cal Type]]&lt;&gt;"ACCREDITED 17025 WITH UNCERTAINTIES",0,"")</f>
        <v>0</v>
      </c>
      <c r="X1561" s="1" t="str">
        <f>IF(Table1[[#This Row],[DUT Read]]="","N/A",Table1[[#This Row],[Std Error]]+Table1[[#This Row],[DUT Read]]+Table1[[#This Row],[DUT Ucty]])</f>
        <v>N/A</v>
      </c>
      <c r="Y1561" s="1" t="str">
        <f>IF(Table1[[#This Row],[Std Read]]="","N/A",Table1[[#This Row],[Std Read]]+Table1[[#This Row],[Std Ucty]])</f>
        <v>N/A</v>
      </c>
      <c r="Z15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1" s="1" t="str">
        <f>IF(Table1[[#This Row],[Spec Type]]="","N/A",Table1[[#This Row],[Spec Type]])</f>
        <v>±</v>
      </c>
      <c r="AC1561" s="1" t="str">
        <f>IF(Table1[[#This Row],[Spec Type2]]="N/A","N/A",IF(AND(Table1[[#This Row],[DUT Adj Read]]&gt;=Table1[[#This Row],[Low Tol]],Table1[[#This Row],[DUT Adj Read]]&lt;=Table1[[#This Row],[High Tol]]),"Pass","Fail"))</f>
        <v>Fail</v>
      </c>
      <c r="AD1561" s="1" t="str">
        <f>IF(AND(Table1[[#This Row],[Spec Type2]]="N/A",Table1[[#This Row],[DUT Adj Read]]="N/A",Table1[[#This Row],[Std Adj Read]]="N/A"),"N/A",IF(Table1[[#This Row],[DUT Adj Read]]="N/A",IF(Table1[[#This Row],[Std Adj Read]]&gt;Table1[[#This Row],[Low Tol]],"Pass","Fail"),IF(Table1[[#This Row],[DUT Adj Read]]&gt;Table1[[#This Row],[Low Tol]],"Pass","Fail")))</f>
        <v>Pass</v>
      </c>
      <c r="AE1561" s="1" t="str">
        <f>IF(AND(Table1[[#This Row],[Spec Type2]]="N/A",Table1[[#This Row],[DUT Adj Read]]="N/A",Table1[[#This Row],[Std Adj Read]]="N/A"),"N/A",IF(Table1[[#This Row],[DUT Adj Read]]="N/A",IF(Table1[[#This Row],[Std Adj Read]]&lt;Table1[[#This Row],[High Tol]],"Pass","Fail"),IF(Table1[[#This Row],[DUT Adj Read]]&lt;Table1[[#This Row],[High Tol]],"Pass","Fail")))</f>
        <v>Fail</v>
      </c>
      <c r="AF1561" s="1" t="str">
        <f>IF(AND(Table1[[#This Row],[Spec Type2]]="N/A",Table1[[#This Row],[DUT Adj Read]]="N/A",Table1[[#This Row],[Std Adj Read]]="N/A"),"N/A",IF(Table1[[#This Row],[DUT Adj Read]]="N/A",IF(Table1[[#This Row],[Std Adj Read]]&gt;=Table1[[#This Row],[Low Tol]],"Pass","Fail"),IF(Table1[[#This Row],[DUT Adj Read]]&gt;=Table1[[#This Row],[Low Tol]],"Pass","Fail")))</f>
        <v>Pass</v>
      </c>
      <c r="AG1561" s="1" t="str">
        <f>IF(AND(Table1[[#This Row],[Spec Type2]]="N/A",Table1[[#This Row],[DUT Adj Read]]="N/A",Table1[[#This Row],[Std Adj Read]]="N/A"),"N/A",IF(Table1[[#This Row],[DUT Adj Read]]="N/A",IF(Table1[[#This Row],[Std Adj Read]]&lt;=Table1[[#This Row],[High Tol]],"Pass","Fail"),IF(Table1[[#This Row],[DUT Adj Read]]&lt;=Table1[[#This Row],[High Tol]],"Pass","Fail")))</f>
        <v>Fail</v>
      </c>
      <c r="AH15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1" s="1" t="b">
        <v>0</v>
      </c>
      <c r="AN1561" s="1" t="b">
        <v>0</v>
      </c>
      <c r="AO1561" s="1" t="b">
        <v>0</v>
      </c>
    </row>
    <row r="1562" spans="1:41" x14ac:dyDescent="0.25">
      <c r="A1562" s="10"/>
      <c r="B1562" s="10"/>
      <c r="C1562" s="10"/>
      <c r="D1562" s="10"/>
      <c r="E1562" s="10"/>
      <c r="F1562" s="10"/>
      <c r="G1562" s="10"/>
      <c r="H1562" s="10"/>
      <c r="I1562" s="1" t="str">
        <f t="shared" si="72"/>
        <v/>
      </c>
      <c r="J1562" s="1" t="s">
        <v>35</v>
      </c>
      <c r="K1562" s="1" t="str">
        <f t="shared" si="73"/>
        <v/>
      </c>
      <c r="L1562" s="1" t="str">
        <f t="shared" si="74"/>
        <v/>
      </c>
      <c r="M1562" s="1">
        <f>IF(OR(Table1[[#This Row],[Std Nom]]="",Table1[[#This Row],[Std Read]]=""),0,Table1[[#This Row],[Std Nom]]-Table1[[#This Row],[Std Read]])</f>
        <v>0</v>
      </c>
      <c r="N1562" s="1">
        <f>IF(Calculations!$F$5="ACCREDITED 17025 WITH UNCERTAINTIES",$N$10,0)</f>
        <v>0</v>
      </c>
      <c r="Q1562" s="1">
        <f>Table1[[#This Row],[High Tol]]-Table1[[#This Row],[Low Tol]]</f>
        <v>0</v>
      </c>
      <c r="R1562" s="1">
        <f>2*Table1[[#This Row],[Std Error]]</f>
        <v>0</v>
      </c>
      <c r="S1562" s="1" t="str">
        <f>IF(Table1[[#This Row],[High Tol]]="","N/A",IFERROR(ABS(Table1[[#This Row],[Tol Span]]/Table1[[#This Row],[Error Span]]),"N/A"))</f>
        <v>N/A</v>
      </c>
      <c r="T1562" s="1" t="str">
        <f>IF(OR(Table1[[#This Row],[Low Tol]]="",Table1[[#This Row],[High Tol]]=""),"Needs Analysis",IF(Table1[[#This Row],[Ratio]]&gt;=4,"Not Significant",IF(Table1[[#This Row],[Ratio]]&gt;=2,"Semi-Significant","Significant")))</f>
        <v>Needs Analysis</v>
      </c>
      <c r="W1562" s="1">
        <f>IF(Table1[[#This Row],[Cal Type]]&lt;&gt;"ACCREDITED 17025 WITH UNCERTAINTIES",0,"")</f>
        <v>0</v>
      </c>
      <c r="X1562" s="1" t="str">
        <f>IF(Table1[[#This Row],[DUT Read]]="","N/A",Table1[[#This Row],[Std Error]]+Table1[[#This Row],[DUT Read]]+Table1[[#This Row],[DUT Ucty]])</f>
        <v>N/A</v>
      </c>
      <c r="Y1562" s="1" t="str">
        <f>IF(Table1[[#This Row],[Std Read]]="","N/A",Table1[[#This Row],[Std Read]]+Table1[[#This Row],[Std Ucty]])</f>
        <v>N/A</v>
      </c>
      <c r="Z15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2" s="1" t="str">
        <f>IF(Table1[[#This Row],[Spec Type]]="","N/A",Table1[[#This Row],[Spec Type]])</f>
        <v>±</v>
      </c>
      <c r="AC1562" s="1" t="str">
        <f>IF(Table1[[#This Row],[Spec Type2]]="N/A","N/A",IF(AND(Table1[[#This Row],[DUT Adj Read]]&gt;=Table1[[#This Row],[Low Tol]],Table1[[#This Row],[DUT Adj Read]]&lt;=Table1[[#This Row],[High Tol]]),"Pass","Fail"))</f>
        <v>Fail</v>
      </c>
      <c r="AD1562" s="1" t="str">
        <f>IF(AND(Table1[[#This Row],[Spec Type2]]="N/A",Table1[[#This Row],[DUT Adj Read]]="N/A",Table1[[#This Row],[Std Adj Read]]="N/A"),"N/A",IF(Table1[[#This Row],[DUT Adj Read]]="N/A",IF(Table1[[#This Row],[Std Adj Read]]&gt;Table1[[#This Row],[Low Tol]],"Pass","Fail"),IF(Table1[[#This Row],[DUT Adj Read]]&gt;Table1[[#This Row],[Low Tol]],"Pass","Fail")))</f>
        <v>Pass</v>
      </c>
      <c r="AE1562" s="1" t="str">
        <f>IF(AND(Table1[[#This Row],[Spec Type2]]="N/A",Table1[[#This Row],[DUT Adj Read]]="N/A",Table1[[#This Row],[Std Adj Read]]="N/A"),"N/A",IF(Table1[[#This Row],[DUT Adj Read]]="N/A",IF(Table1[[#This Row],[Std Adj Read]]&lt;Table1[[#This Row],[High Tol]],"Pass","Fail"),IF(Table1[[#This Row],[DUT Adj Read]]&lt;Table1[[#This Row],[High Tol]],"Pass","Fail")))</f>
        <v>Fail</v>
      </c>
      <c r="AF1562" s="1" t="str">
        <f>IF(AND(Table1[[#This Row],[Spec Type2]]="N/A",Table1[[#This Row],[DUT Adj Read]]="N/A",Table1[[#This Row],[Std Adj Read]]="N/A"),"N/A",IF(Table1[[#This Row],[DUT Adj Read]]="N/A",IF(Table1[[#This Row],[Std Adj Read]]&gt;=Table1[[#This Row],[Low Tol]],"Pass","Fail"),IF(Table1[[#This Row],[DUT Adj Read]]&gt;=Table1[[#This Row],[Low Tol]],"Pass","Fail")))</f>
        <v>Pass</v>
      </c>
      <c r="AG1562" s="1" t="str">
        <f>IF(AND(Table1[[#This Row],[Spec Type2]]="N/A",Table1[[#This Row],[DUT Adj Read]]="N/A",Table1[[#This Row],[Std Adj Read]]="N/A"),"N/A",IF(Table1[[#This Row],[DUT Adj Read]]="N/A",IF(Table1[[#This Row],[Std Adj Read]]&lt;=Table1[[#This Row],[High Tol]],"Pass","Fail"),IF(Table1[[#This Row],[DUT Adj Read]]&lt;=Table1[[#This Row],[High Tol]],"Pass","Fail")))</f>
        <v>Fail</v>
      </c>
      <c r="AH15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2" s="1" t="b">
        <v>0</v>
      </c>
      <c r="AN1562" s="1" t="b">
        <v>0</v>
      </c>
      <c r="AO1562" s="1" t="b">
        <v>0</v>
      </c>
    </row>
    <row r="1563" spans="1:41" x14ac:dyDescent="0.25">
      <c r="A1563" s="10"/>
      <c r="B1563" s="10"/>
      <c r="C1563" s="10"/>
      <c r="D1563" s="10"/>
      <c r="E1563" s="10"/>
      <c r="F1563" s="10"/>
      <c r="G1563" s="10"/>
      <c r="H1563" s="10"/>
      <c r="I1563" s="1" t="str">
        <f t="shared" si="72"/>
        <v/>
      </c>
      <c r="J1563" s="1" t="s">
        <v>35</v>
      </c>
      <c r="K1563" s="1" t="str">
        <f t="shared" si="73"/>
        <v/>
      </c>
      <c r="L1563" s="1" t="str">
        <f t="shared" si="74"/>
        <v/>
      </c>
      <c r="M1563" s="1">
        <f>IF(OR(Table1[[#This Row],[Std Nom]]="",Table1[[#This Row],[Std Read]]=""),0,Table1[[#This Row],[Std Nom]]-Table1[[#This Row],[Std Read]])</f>
        <v>0</v>
      </c>
      <c r="N1563" s="1">
        <f>IF(Calculations!$F$5="ACCREDITED 17025 WITH UNCERTAINTIES",$N$10,0)</f>
        <v>0</v>
      </c>
      <c r="Q1563" s="1">
        <f>Table1[[#This Row],[High Tol]]-Table1[[#This Row],[Low Tol]]</f>
        <v>0</v>
      </c>
      <c r="R1563" s="1">
        <f>2*Table1[[#This Row],[Std Error]]</f>
        <v>0</v>
      </c>
      <c r="S1563" s="1" t="str">
        <f>IF(Table1[[#This Row],[High Tol]]="","N/A",IFERROR(ABS(Table1[[#This Row],[Tol Span]]/Table1[[#This Row],[Error Span]]),"N/A"))</f>
        <v>N/A</v>
      </c>
      <c r="T1563" s="1" t="str">
        <f>IF(OR(Table1[[#This Row],[Low Tol]]="",Table1[[#This Row],[High Tol]]=""),"Needs Analysis",IF(Table1[[#This Row],[Ratio]]&gt;=4,"Not Significant",IF(Table1[[#This Row],[Ratio]]&gt;=2,"Semi-Significant","Significant")))</f>
        <v>Needs Analysis</v>
      </c>
      <c r="W1563" s="1">
        <f>IF(Table1[[#This Row],[Cal Type]]&lt;&gt;"ACCREDITED 17025 WITH UNCERTAINTIES",0,"")</f>
        <v>0</v>
      </c>
      <c r="X1563" s="1" t="str">
        <f>IF(Table1[[#This Row],[DUT Read]]="","N/A",Table1[[#This Row],[Std Error]]+Table1[[#This Row],[DUT Read]]+Table1[[#This Row],[DUT Ucty]])</f>
        <v>N/A</v>
      </c>
      <c r="Y1563" s="1" t="str">
        <f>IF(Table1[[#This Row],[Std Read]]="","N/A",Table1[[#This Row],[Std Read]]+Table1[[#This Row],[Std Ucty]])</f>
        <v>N/A</v>
      </c>
      <c r="Z15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3" s="1" t="str">
        <f>IF(Table1[[#This Row],[Spec Type]]="","N/A",Table1[[#This Row],[Spec Type]])</f>
        <v>±</v>
      </c>
      <c r="AC1563" s="1" t="str">
        <f>IF(Table1[[#This Row],[Spec Type2]]="N/A","N/A",IF(AND(Table1[[#This Row],[DUT Adj Read]]&gt;=Table1[[#This Row],[Low Tol]],Table1[[#This Row],[DUT Adj Read]]&lt;=Table1[[#This Row],[High Tol]]),"Pass","Fail"))</f>
        <v>Fail</v>
      </c>
      <c r="AD1563" s="1" t="str">
        <f>IF(AND(Table1[[#This Row],[Spec Type2]]="N/A",Table1[[#This Row],[DUT Adj Read]]="N/A",Table1[[#This Row],[Std Adj Read]]="N/A"),"N/A",IF(Table1[[#This Row],[DUT Adj Read]]="N/A",IF(Table1[[#This Row],[Std Adj Read]]&gt;Table1[[#This Row],[Low Tol]],"Pass","Fail"),IF(Table1[[#This Row],[DUT Adj Read]]&gt;Table1[[#This Row],[Low Tol]],"Pass","Fail")))</f>
        <v>Pass</v>
      </c>
      <c r="AE1563" s="1" t="str">
        <f>IF(AND(Table1[[#This Row],[Spec Type2]]="N/A",Table1[[#This Row],[DUT Adj Read]]="N/A",Table1[[#This Row],[Std Adj Read]]="N/A"),"N/A",IF(Table1[[#This Row],[DUT Adj Read]]="N/A",IF(Table1[[#This Row],[Std Adj Read]]&lt;Table1[[#This Row],[High Tol]],"Pass","Fail"),IF(Table1[[#This Row],[DUT Adj Read]]&lt;Table1[[#This Row],[High Tol]],"Pass","Fail")))</f>
        <v>Fail</v>
      </c>
      <c r="AF1563" s="1" t="str">
        <f>IF(AND(Table1[[#This Row],[Spec Type2]]="N/A",Table1[[#This Row],[DUT Adj Read]]="N/A",Table1[[#This Row],[Std Adj Read]]="N/A"),"N/A",IF(Table1[[#This Row],[DUT Adj Read]]="N/A",IF(Table1[[#This Row],[Std Adj Read]]&gt;=Table1[[#This Row],[Low Tol]],"Pass","Fail"),IF(Table1[[#This Row],[DUT Adj Read]]&gt;=Table1[[#This Row],[Low Tol]],"Pass","Fail")))</f>
        <v>Pass</v>
      </c>
      <c r="AG1563" s="1" t="str">
        <f>IF(AND(Table1[[#This Row],[Spec Type2]]="N/A",Table1[[#This Row],[DUT Adj Read]]="N/A",Table1[[#This Row],[Std Adj Read]]="N/A"),"N/A",IF(Table1[[#This Row],[DUT Adj Read]]="N/A",IF(Table1[[#This Row],[Std Adj Read]]&lt;=Table1[[#This Row],[High Tol]],"Pass","Fail"),IF(Table1[[#This Row],[DUT Adj Read]]&lt;=Table1[[#This Row],[High Tol]],"Pass","Fail")))</f>
        <v>Fail</v>
      </c>
      <c r="AH15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3" s="1" t="b">
        <v>0</v>
      </c>
      <c r="AN1563" s="1" t="b">
        <v>0</v>
      </c>
      <c r="AO1563" s="1" t="b">
        <v>0</v>
      </c>
    </row>
    <row r="1564" spans="1:41" x14ac:dyDescent="0.25">
      <c r="A1564" s="10"/>
      <c r="B1564" s="10"/>
      <c r="C1564" s="10"/>
      <c r="D1564" s="10"/>
      <c r="E1564" s="10"/>
      <c r="F1564" s="10"/>
      <c r="G1564" s="10"/>
      <c r="H1564" s="10"/>
      <c r="I1564" s="1" t="str">
        <f t="shared" si="72"/>
        <v/>
      </c>
      <c r="J1564" s="1" t="s">
        <v>35</v>
      </c>
      <c r="K1564" s="1" t="str">
        <f t="shared" si="73"/>
        <v/>
      </c>
      <c r="L1564" s="1" t="str">
        <f t="shared" si="74"/>
        <v/>
      </c>
      <c r="M1564" s="1">
        <f>IF(OR(Table1[[#This Row],[Std Nom]]="",Table1[[#This Row],[Std Read]]=""),0,Table1[[#This Row],[Std Nom]]-Table1[[#This Row],[Std Read]])</f>
        <v>0</v>
      </c>
      <c r="N1564" s="1">
        <f>IF(Calculations!$F$5="ACCREDITED 17025 WITH UNCERTAINTIES",$N$10,0)</f>
        <v>0</v>
      </c>
      <c r="Q1564" s="1">
        <f>Table1[[#This Row],[High Tol]]-Table1[[#This Row],[Low Tol]]</f>
        <v>0</v>
      </c>
      <c r="R1564" s="1">
        <f>2*Table1[[#This Row],[Std Error]]</f>
        <v>0</v>
      </c>
      <c r="S1564" s="1" t="str">
        <f>IF(Table1[[#This Row],[High Tol]]="","N/A",IFERROR(ABS(Table1[[#This Row],[Tol Span]]/Table1[[#This Row],[Error Span]]),"N/A"))</f>
        <v>N/A</v>
      </c>
      <c r="T1564" s="1" t="str">
        <f>IF(OR(Table1[[#This Row],[Low Tol]]="",Table1[[#This Row],[High Tol]]=""),"Needs Analysis",IF(Table1[[#This Row],[Ratio]]&gt;=4,"Not Significant",IF(Table1[[#This Row],[Ratio]]&gt;=2,"Semi-Significant","Significant")))</f>
        <v>Needs Analysis</v>
      </c>
      <c r="W1564" s="1">
        <f>IF(Table1[[#This Row],[Cal Type]]&lt;&gt;"ACCREDITED 17025 WITH UNCERTAINTIES",0,"")</f>
        <v>0</v>
      </c>
      <c r="X1564" s="1" t="str">
        <f>IF(Table1[[#This Row],[DUT Read]]="","N/A",Table1[[#This Row],[Std Error]]+Table1[[#This Row],[DUT Read]]+Table1[[#This Row],[DUT Ucty]])</f>
        <v>N/A</v>
      </c>
      <c r="Y1564" s="1" t="str">
        <f>IF(Table1[[#This Row],[Std Read]]="","N/A",Table1[[#This Row],[Std Read]]+Table1[[#This Row],[Std Ucty]])</f>
        <v>N/A</v>
      </c>
      <c r="Z15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4" s="1" t="str">
        <f>IF(Table1[[#This Row],[Spec Type]]="","N/A",Table1[[#This Row],[Spec Type]])</f>
        <v>±</v>
      </c>
      <c r="AC1564" s="1" t="str">
        <f>IF(Table1[[#This Row],[Spec Type2]]="N/A","N/A",IF(AND(Table1[[#This Row],[DUT Adj Read]]&gt;=Table1[[#This Row],[Low Tol]],Table1[[#This Row],[DUT Adj Read]]&lt;=Table1[[#This Row],[High Tol]]),"Pass","Fail"))</f>
        <v>Fail</v>
      </c>
      <c r="AD1564" s="1" t="str">
        <f>IF(AND(Table1[[#This Row],[Spec Type2]]="N/A",Table1[[#This Row],[DUT Adj Read]]="N/A",Table1[[#This Row],[Std Adj Read]]="N/A"),"N/A",IF(Table1[[#This Row],[DUT Adj Read]]="N/A",IF(Table1[[#This Row],[Std Adj Read]]&gt;Table1[[#This Row],[Low Tol]],"Pass","Fail"),IF(Table1[[#This Row],[DUT Adj Read]]&gt;Table1[[#This Row],[Low Tol]],"Pass","Fail")))</f>
        <v>Pass</v>
      </c>
      <c r="AE1564" s="1" t="str">
        <f>IF(AND(Table1[[#This Row],[Spec Type2]]="N/A",Table1[[#This Row],[DUT Adj Read]]="N/A",Table1[[#This Row],[Std Adj Read]]="N/A"),"N/A",IF(Table1[[#This Row],[DUT Adj Read]]="N/A",IF(Table1[[#This Row],[Std Adj Read]]&lt;Table1[[#This Row],[High Tol]],"Pass","Fail"),IF(Table1[[#This Row],[DUT Adj Read]]&lt;Table1[[#This Row],[High Tol]],"Pass","Fail")))</f>
        <v>Fail</v>
      </c>
      <c r="AF1564" s="1" t="str">
        <f>IF(AND(Table1[[#This Row],[Spec Type2]]="N/A",Table1[[#This Row],[DUT Adj Read]]="N/A",Table1[[#This Row],[Std Adj Read]]="N/A"),"N/A",IF(Table1[[#This Row],[DUT Adj Read]]="N/A",IF(Table1[[#This Row],[Std Adj Read]]&gt;=Table1[[#This Row],[Low Tol]],"Pass","Fail"),IF(Table1[[#This Row],[DUT Adj Read]]&gt;=Table1[[#This Row],[Low Tol]],"Pass","Fail")))</f>
        <v>Pass</v>
      </c>
      <c r="AG1564" s="1" t="str">
        <f>IF(AND(Table1[[#This Row],[Spec Type2]]="N/A",Table1[[#This Row],[DUT Adj Read]]="N/A",Table1[[#This Row],[Std Adj Read]]="N/A"),"N/A",IF(Table1[[#This Row],[DUT Adj Read]]="N/A",IF(Table1[[#This Row],[Std Adj Read]]&lt;=Table1[[#This Row],[High Tol]],"Pass","Fail"),IF(Table1[[#This Row],[DUT Adj Read]]&lt;=Table1[[#This Row],[High Tol]],"Pass","Fail")))</f>
        <v>Fail</v>
      </c>
      <c r="AH15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4" s="1" t="b">
        <v>0</v>
      </c>
      <c r="AN1564" s="1" t="b">
        <v>0</v>
      </c>
      <c r="AO1564" s="1" t="b">
        <v>0</v>
      </c>
    </row>
    <row r="1565" spans="1:41" x14ac:dyDescent="0.25">
      <c r="A1565" s="10"/>
      <c r="B1565" s="10"/>
      <c r="C1565" s="10"/>
      <c r="D1565" s="10"/>
      <c r="E1565" s="10"/>
      <c r="F1565" s="10"/>
      <c r="G1565" s="10"/>
      <c r="H1565" s="10"/>
      <c r="I1565" s="1" t="str">
        <f t="shared" si="72"/>
        <v/>
      </c>
      <c r="J1565" s="1" t="s">
        <v>35</v>
      </c>
      <c r="K1565" s="1" t="str">
        <f t="shared" si="73"/>
        <v/>
      </c>
      <c r="L1565" s="1" t="str">
        <f t="shared" si="74"/>
        <v/>
      </c>
      <c r="M1565" s="1">
        <f>IF(OR(Table1[[#This Row],[Std Nom]]="",Table1[[#This Row],[Std Read]]=""),0,Table1[[#This Row],[Std Nom]]-Table1[[#This Row],[Std Read]])</f>
        <v>0</v>
      </c>
      <c r="N1565" s="1">
        <f>IF(Calculations!$F$5="ACCREDITED 17025 WITH UNCERTAINTIES",$N$10,0)</f>
        <v>0</v>
      </c>
      <c r="Q1565" s="1">
        <f>Table1[[#This Row],[High Tol]]-Table1[[#This Row],[Low Tol]]</f>
        <v>0</v>
      </c>
      <c r="R1565" s="1">
        <f>2*Table1[[#This Row],[Std Error]]</f>
        <v>0</v>
      </c>
      <c r="S1565" s="1" t="str">
        <f>IF(Table1[[#This Row],[High Tol]]="","N/A",IFERROR(ABS(Table1[[#This Row],[Tol Span]]/Table1[[#This Row],[Error Span]]),"N/A"))</f>
        <v>N/A</v>
      </c>
      <c r="T1565" s="1" t="str">
        <f>IF(OR(Table1[[#This Row],[Low Tol]]="",Table1[[#This Row],[High Tol]]=""),"Needs Analysis",IF(Table1[[#This Row],[Ratio]]&gt;=4,"Not Significant",IF(Table1[[#This Row],[Ratio]]&gt;=2,"Semi-Significant","Significant")))</f>
        <v>Needs Analysis</v>
      </c>
      <c r="W1565" s="1">
        <f>IF(Table1[[#This Row],[Cal Type]]&lt;&gt;"ACCREDITED 17025 WITH UNCERTAINTIES",0,"")</f>
        <v>0</v>
      </c>
      <c r="X1565" s="1" t="str">
        <f>IF(Table1[[#This Row],[DUT Read]]="","N/A",Table1[[#This Row],[Std Error]]+Table1[[#This Row],[DUT Read]]+Table1[[#This Row],[DUT Ucty]])</f>
        <v>N/A</v>
      </c>
      <c r="Y1565" s="1" t="str">
        <f>IF(Table1[[#This Row],[Std Read]]="","N/A",Table1[[#This Row],[Std Read]]+Table1[[#This Row],[Std Ucty]])</f>
        <v>N/A</v>
      </c>
      <c r="Z15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5" s="1" t="str">
        <f>IF(Table1[[#This Row],[Spec Type]]="","N/A",Table1[[#This Row],[Spec Type]])</f>
        <v>±</v>
      </c>
      <c r="AC1565" s="1" t="str">
        <f>IF(Table1[[#This Row],[Spec Type2]]="N/A","N/A",IF(AND(Table1[[#This Row],[DUT Adj Read]]&gt;=Table1[[#This Row],[Low Tol]],Table1[[#This Row],[DUT Adj Read]]&lt;=Table1[[#This Row],[High Tol]]),"Pass","Fail"))</f>
        <v>Fail</v>
      </c>
      <c r="AD1565" s="1" t="str">
        <f>IF(AND(Table1[[#This Row],[Spec Type2]]="N/A",Table1[[#This Row],[DUT Adj Read]]="N/A",Table1[[#This Row],[Std Adj Read]]="N/A"),"N/A",IF(Table1[[#This Row],[DUT Adj Read]]="N/A",IF(Table1[[#This Row],[Std Adj Read]]&gt;Table1[[#This Row],[Low Tol]],"Pass","Fail"),IF(Table1[[#This Row],[DUT Adj Read]]&gt;Table1[[#This Row],[Low Tol]],"Pass","Fail")))</f>
        <v>Pass</v>
      </c>
      <c r="AE1565" s="1" t="str">
        <f>IF(AND(Table1[[#This Row],[Spec Type2]]="N/A",Table1[[#This Row],[DUT Adj Read]]="N/A",Table1[[#This Row],[Std Adj Read]]="N/A"),"N/A",IF(Table1[[#This Row],[DUT Adj Read]]="N/A",IF(Table1[[#This Row],[Std Adj Read]]&lt;Table1[[#This Row],[High Tol]],"Pass","Fail"),IF(Table1[[#This Row],[DUT Adj Read]]&lt;Table1[[#This Row],[High Tol]],"Pass","Fail")))</f>
        <v>Fail</v>
      </c>
      <c r="AF1565" s="1" t="str">
        <f>IF(AND(Table1[[#This Row],[Spec Type2]]="N/A",Table1[[#This Row],[DUT Adj Read]]="N/A",Table1[[#This Row],[Std Adj Read]]="N/A"),"N/A",IF(Table1[[#This Row],[DUT Adj Read]]="N/A",IF(Table1[[#This Row],[Std Adj Read]]&gt;=Table1[[#This Row],[Low Tol]],"Pass","Fail"),IF(Table1[[#This Row],[DUT Adj Read]]&gt;=Table1[[#This Row],[Low Tol]],"Pass","Fail")))</f>
        <v>Pass</v>
      </c>
      <c r="AG1565" s="1" t="str">
        <f>IF(AND(Table1[[#This Row],[Spec Type2]]="N/A",Table1[[#This Row],[DUT Adj Read]]="N/A",Table1[[#This Row],[Std Adj Read]]="N/A"),"N/A",IF(Table1[[#This Row],[DUT Adj Read]]="N/A",IF(Table1[[#This Row],[Std Adj Read]]&lt;=Table1[[#This Row],[High Tol]],"Pass","Fail"),IF(Table1[[#This Row],[DUT Adj Read]]&lt;=Table1[[#This Row],[High Tol]],"Pass","Fail")))</f>
        <v>Fail</v>
      </c>
      <c r="AH15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5" s="1" t="b">
        <v>0</v>
      </c>
      <c r="AN1565" s="1" t="b">
        <v>0</v>
      </c>
      <c r="AO1565" s="1" t="b">
        <v>0</v>
      </c>
    </row>
    <row r="1566" spans="1:41" x14ac:dyDescent="0.25">
      <c r="A1566" s="10"/>
      <c r="B1566" s="10"/>
      <c r="C1566" s="10"/>
      <c r="D1566" s="10"/>
      <c r="E1566" s="10"/>
      <c r="F1566" s="10"/>
      <c r="G1566" s="10"/>
      <c r="H1566" s="10"/>
      <c r="I1566" s="1" t="str">
        <f t="shared" si="72"/>
        <v/>
      </c>
      <c r="J1566" s="1" t="s">
        <v>35</v>
      </c>
      <c r="K1566" s="1" t="str">
        <f t="shared" si="73"/>
        <v/>
      </c>
      <c r="L1566" s="1" t="str">
        <f t="shared" si="74"/>
        <v/>
      </c>
      <c r="M1566" s="1">
        <f>IF(OR(Table1[[#This Row],[Std Nom]]="",Table1[[#This Row],[Std Read]]=""),0,Table1[[#This Row],[Std Nom]]-Table1[[#This Row],[Std Read]])</f>
        <v>0</v>
      </c>
      <c r="N1566" s="1">
        <f>IF(Calculations!$F$5="ACCREDITED 17025 WITH UNCERTAINTIES",$N$10,0)</f>
        <v>0</v>
      </c>
      <c r="Q1566" s="1">
        <f>Table1[[#This Row],[High Tol]]-Table1[[#This Row],[Low Tol]]</f>
        <v>0</v>
      </c>
      <c r="R1566" s="1">
        <f>2*Table1[[#This Row],[Std Error]]</f>
        <v>0</v>
      </c>
      <c r="S1566" s="1" t="str">
        <f>IF(Table1[[#This Row],[High Tol]]="","N/A",IFERROR(ABS(Table1[[#This Row],[Tol Span]]/Table1[[#This Row],[Error Span]]),"N/A"))</f>
        <v>N/A</v>
      </c>
      <c r="T1566" s="1" t="str">
        <f>IF(OR(Table1[[#This Row],[Low Tol]]="",Table1[[#This Row],[High Tol]]=""),"Needs Analysis",IF(Table1[[#This Row],[Ratio]]&gt;=4,"Not Significant",IF(Table1[[#This Row],[Ratio]]&gt;=2,"Semi-Significant","Significant")))</f>
        <v>Needs Analysis</v>
      </c>
      <c r="W1566" s="1">
        <f>IF(Table1[[#This Row],[Cal Type]]&lt;&gt;"ACCREDITED 17025 WITH UNCERTAINTIES",0,"")</f>
        <v>0</v>
      </c>
      <c r="X1566" s="1" t="str">
        <f>IF(Table1[[#This Row],[DUT Read]]="","N/A",Table1[[#This Row],[Std Error]]+Table1[[#This Row],[DUT Read]]+Table1[[#This Row],[DUT Ucty]])</f>
        <v>N/A</v>
      </c>
      <c r="Y1566" s="1" t="str">
        <f>IF(Table1[[#This Row],[Std Read]]="","N/A",Table1[[#This Row],[Std Read]]+Table1[[#This Row],[Std Ucty]])</f>
        <v>N/A</v>
      </c>
      <c r="Z15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6" s="1" t="str">
        <f>IF(Table1[[#This Row],[Spec Type]]="","N/A",Table1[[#This Row],[Spec Type]])</f>
        <v>±</v>
      </c>
      <c r="AC1566" s="1" t="str">
        <f>IF(Table1[[#This Row],[Spec Type2]]="N/A","N/A",IF(AND(Table1[[#This Row],[DUT Adj Read]]&gt;=Table1[[#This Row],[Low Tol]],Table1[[#This Row],[DUT Adj Read]]&lt;=Table1[[#This Row],[High Tol]]),"Pass","Fail"))</f>
        <v>Fail</v>
      </c>
      <c r="AD1566" s="1" t="str">
        <f>IF(AND(Table1[[#This Row],[Spec Type2]]="N/A",Table1[[#This Row],[DUT Adj Read]]="N/A",Table1[[#This Row],[Std Adj Read]]="N/A"),"N/A",IF(Table1[[#This Row],[DUT Adj Read]]="N/A",IF(Table1[[#This Row],[Std Adj Read]]&gt;Table1[[#This Row],[Low Tol]],"Pass","Fail"),IF(Table1[[#This Row],[DUT Adj Read]]&gt;Table1[[#This Row],[Low Tol]],"Pass","Fail")))</f>
        <v>Pass</v>
      </c>
      <c r="AE1566" s="1" t="str">
        <f>IF(AND(Table1[[#This Row],[Spec Type2]]="N/A",Table1[[#This Row],[DUT Adj Read]]="N/A",Table1[[#This Row],[Std Adj Read]]="N/A"),"N/A",IF(Table1[[#This Row],[DUT Adj Read]]="N/A",IF(Table1[[#This Row],[Std Adj Read]]&lt;Table1[[#This Row],[High Tol]],"Pass","Fail"),IF(Table1[[#This Row],[DUT Adj Read]]&lt;Table1[[#This Row],[High Tol]],"Pass","Fail")))</f>
        <v>Fail</v>
      </c>
      <c r="AF1566" s="1" t="str">
        <f>IF(AND(Table1[[#This Row],[Spec Type2]]="N/A",Table1[[#This Row],[DUT Adj Read]]="N/A",Table1[[#This Row],[Std Adj Read]]="N/A"),"N/A",IF(Table1[[#This Row],[DUT Adj Read]]="N/A",IF(Table1[[#This Row],[Std Adj Read]]&gt;=Table1[[#This Row],[Low Tol]],"Pass","Fail"),IF(Table1[[#This Row],[DUT Adj Read]]&gt;=Table1[[#This Row],[Low Tol]],"Pass","Fail")))</f>
        <v>Pass</v>
      </c>
      <c r="AG1566" s="1" t="str">
        <f>IF(AND(Table1[[#This Row],[Spec Type2]]="N/A",Table1[[#This Row],[DUT Adj Read]]="N/A",Table1[[#This Row],[Std Adj Read]]="N/A"),"N/A",IF(Table1[[#This Row],[DUT Adj Read]]="N/A",IF(Table1[[#This Row],[Std Adj Read]]&lt;=Table1[[#This Row],[High Tol]],"Pass","Fail"),IF(Table1[[#This Row],[DUT Adj Read]]&lt;=Table1[[#This Row],[High Tol]],"Pass","Fail")))</f>
        <v>Fail</v>
      </c>
      <c r="AH15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6" s="1" t="b">
        <v>0</v>
      </c>
      <c r="AN1566" s="1" t="b">
        <v>0</v>
      </c>
      <c r="AO1566" s="1" t="b">
        <v>0</v>
      </c>
    </row>
    <row r="1567" spans="1:41" x14ac:dyDescent="0.25">
      <c r="A1567" s="10"/>
      <c r="B1567" s="10"/>
      <c r="C1567" s="10"/>
      <c r="D1567" s="10"/>
      <c r="E1567" s="10"/>
      <c r="F1567" s="10"/>
      <c r="G1567" s="10"/>
      <c r="H1567" s="10"/>
      <c r="I1567" s="1" t="str">
        <f t="shared" si="72"/>
        <v/>
      </c>
      <c r="J1567" s="1" t="s">
        <v>35</v>
      </c>
      <c r="K1567" s="1" t="str">
        <f t="shared" si="73"/>
        <v/>
      </c>
      <c r="L1567" s="1" t="str">
        <f t="shared" si="74"/>
        <v/>
      </c>
      <c r="M1567" s="1">
        <f>IF(OR(Table1[[#This Row],[Std Nom]]="",Table1[[#This Row],[Std Read]]=""),0,Table1[[#This Row],[Std Nom]]-Table1[[#This Row],[Std Read]])</f>
        <v>0</v>
      </c>
      <c r="N1567" s="1">
        <f>IF(Calculations!$F$5="ACCREDITED 17025 WITH UNCERTAINTIES",$N$10,0)</f>
        <v>0</v>
      </c>
      <c r="Q1567" s="1">
        <f>Table1[[#This Row],[High Tol]]-Table1[[#This Row],[Low Tol]]</f>
        <v>0</v>
      </c>
      <c r="R1567" s="1">
        <f>2*Table1[[#This Row],[Std Error]]</f>
        <v>0</v>
      </c>
      <c r="S1567" s="1" t="str">
        <f>IF(Table1[[#This Row],[High Tol]]="","N/A",IFERROR(ABS(Table1[[#This Row],[Tol Span]]/Table1[[#This Row],[Error Span]]),"N/A"))</f>
        <v>N/A</v>
      </c>
      <c r="T1567" s="1" t="str">
        <f>IF(OR(Table1[[#This Row],[Low Tol]]="",Table1[[#This Row],[High Tol]]=""),"Needs Analysis",IF(Table1[[#This Row],[Ratio]]&gt;=4,"Not Significant",IF(Table1[[#This Row],[Ratio]]&gt;=2,"Semi-Significant","Significant")))</f>
        <v>Needs Analysis</v>
      </c>
      <c r="W1567" s="1">
        <f>IF(Table1[[#This Row],[Cal Type]]&lt;&gt;"ACCREDITED 17025 WITH UNCERTAINTIES",0,"")</f>
        <v>0</v>
      </c>
      <c r="X1567" s="1" t="str">
        <f>IF(Table1[[#This Row],[DUT Read]]="","N/A",Table1[[#This Row],[Std Error]]+Table1[[#This Row],[DUT Read]]+Table1[[#This Row],[DUT Ucty]])</f>
        <v>N/A</v>
      </c>
      <c r="Y1567" s="1" t="str">
        <f>IF(Table1[[#This Row],[Std Read]]="","N/A",Table1[[#This Row],[Std Read]]+Table1[[#This Row],[Std Ucty]])</f>
        <v>N/A</v>
      </c>
      <c r="Z15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7" s="1" t="str">
        <f>IF(Table1[[#This Row],[Spec Type]]="","N/A",Table1[[#This Row],[Spec Type]])</f>
        <v>±</v>
      </c>
      <c r="AC1567" s="1" t="str">
        <f>IF(Table1[[#This Row],[Spec Type2]]="N/A","N/A",IF(AND(Table1[[#This Row],[DUT Adj Read]]&gt;=Table1[[#This Row],[Low Tol]],Table1[[#This Row],[DUT Adj Read]]&lt;=Table1[[#This Row],[High Tol]]),"Pass","Fail"))</f>
        <v>Fail</v>
      </c>
      <c r="AD1567" s="1" t="str">
        <f>IF(AND(Table1[[#This Row],[Spec Type2]]="N/A",Table1[[#This Row],[DUT Adj Read]]="N/A",Table1[[#This Row],[Std Adj Read]]="N/A"),"N/A",IF(Table1[[#This Row],[DUT Adj Read]]="N/A",IF(Table1[[#This Row],[Std Adj Read]]&gt;Table1[[#This Row],[Low Tol]],"Pass","Fail"),IF(Table1[[#This Row],[DUT Adj Read]]&gt;Table1[[#This Row],[Low Tol]],"Pass","Fail")))</f>
        <v>Pass</v>
      </c>
      <c r="AE1567" s="1" t="str">
        <f>IF(AND(Table1[[#This Row],[Spec Type2]]="N/A",Table1[[#This Row],[DUT Adj Read]]="N/A",Table1[[#This Row],[Std Adj Read]]="N/A"),"N/A",IF(Table1[[#This Row],[DUT Adj Read]]="N/A",IF(Table1[[#This Row],[Std Adj Read]]&lt;Table1[[#This Row],[High Tol]],"Pass","Fail"),IF(Table1[[#This Row],[DUT Adj Read]]&lt;Table1[[#This Row],[High Tol]],"Pass","Fail")))</f>
        <v>Fail</v>
      </c>
      <c r="AF1567" s="1" t="str">
        <f>IF(AND(Table1[[#This Row],[Spec Type2]]="N/A",Table1[[#This Row],[DUT Adj Read]]="N/A",Table1[[#This Row],[Std Adj Read]]="N/A"),"N/A",IF(Table1[[#This Row],[DUT Adj Read]]="N/A",IF(Table1[[#This Row],[Std Adj Read]]&gt;=Table1[[#This Row],[Low Tol]],"Pass","Fail"),IF(Table1[[#This Row],[DUT Adj Read]]&gt;=Table1[[#This Row],[Low Tol]],"Pass","Fail")))</f>
        <v>Pass</v>
      </c>
      <c r="AG1567" s="1" t="str">
        <f>IF(AND(Table1[[#This Row],[Spec Type2]]="N/A",Table1[[#This Row],[DUT Adj Read]]="N/A",Table1[[#This Row],[Std Adj Read]]="N/A"),"N/A",IF(Table1[[#This Row],[DUT Adj Read]]="N/A",IF(Table1[[#This Row],[Std Adj Read]]&lt;=Table1[[#This Row],[High Tol]],"Pass","Fail"),IF(Table1[[#This Row],[DUT Adj Read]]&lt;=Table1[[#This Row],[High Tol]],"Pass","Fail")))</f>
        <v>Fail</v>
      </c>
      <c r="AH15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7" s="1" t="b">
        <v>0</v>
      </c>
      <c r="AN1567" s="1" t="b">
        <v>0</v>
      </c>
      <c r="AO1567" s="1" t="b">
        <v>0</v>
      </c>
    </row>
    <row r="1568" spans="1:41" x14ac:dyDescent="0.25">
      <c r="A1568" s="10"/>
      <c r="B1568" s="10"/>
      <c r="C1568" s="10"/>
      <c r="D1568" s="10"/>
      <c r="E1568" s="10"/>
      <c r="F1568" s="10"/>
      <c r="G1568" s="10"/>
      <c r="H1568" s="10"/>
      <c r="I1568" s="1" t="str">
        <f t="shared" si="72"/>
        <v/>
      </c>
      <c r="J1568" s="1" t="s">
        <v>35</v>
      </c>
      <c r="K1568" s="1" t="str">
        <f t="shared" si="73"/>
        <v/>
      </c>
      <c r="L1568" s="1" t="str">
        <f t="shared" si="74"/>
        <v/>
      </c>
      <c r="M1568" s="1">
        <f>IF(OR(Table1[[#This Row],[Std Nom]]="",Table1[[#This Row],[Std Read]]=""),0,Table1[[#This Row],[Std Nom]]-Table1[[#This Row],[Std Read]])</f>
        <v>0</v>
      </c>
      <c r="N1568" s="1">
        <f>IF(Calculations!$F$5="ACCREDITED 17025 WITH UNCERTAINTIES",$N$10,0)</f>
        <v>0</v>
      </c>
      <c r="Q1568" s="1">
        <f>Table1[[#This Row],[High Tol]]-Table1[[#This Row],[Low Tol]]</f>
        <v>0</v>
      </c>
      <c r="R1568" s="1">
        <f>2*Table1[[#This Row],[Std Error]]</f>
        <v>0</v>
      </c>
      <c r="S1568" s="1" t="str">
        <f>IF(Table1[[#This Row],[High Tol]]="","N/A",IFERROR(ABS(Table1[[#This Row],[Tol Span]]/Table1[[#This Row],[Error Span]]),"N/A"))</f>
        <v>N/A</v>
      </c>
      <c r="T1568" s="1" t="str">
        <f>IF(OR(Table1[[#This Row],[Low Tol]]="",Table1[[#This Row],[High Tol]]=""),"Needs Analysis",IF(Table1[[#This Row],[Ratio]]&gt;=4,"Not Significant",IF(Table1[[#This Row],[Ratio]]&gt;=2,"Semi-Significant","Significant")))</f>
        <v>Needs Analysis</v>
      </c>
      <c r="W1568" s="1">
        <f>IF(Table1[[#This Row],[Cal Type]]&lt;&gt;"ACCREDITED 17025 WITH UNCERTAINTIES",0,"")</f>
        <v>0</v>
      </c>
      <c r="X1568" s="1" t="str">
        <f>IF(Table1[[#This Row],[DUT Read]]="","N/A",Table1[[#This Row],[Std Error]]+Table1[[#This Row],[DUT Read]]+Table1[[#This Row],[DUT Ucty]])</f>
        <v>N/A</v>
      </c>
      <c r="Y1568" s="1" t="str">
        <f>IF(Table1[[#This Row],[Std Read]]="","N/A",Table1[[#This Row],[Std Read]]+Table1[[#This Row],[Std Ucty]])</f>
        <v>N/A</v>
      </c>
      <c r="Z15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8" s="1" t="str">
        <f>IF(Table1[[#This Row],[Spec Type]]="","N/A",Table1[[#This Row],[Spec Type]])</f>
        <v>±</v>
      </c>
      <c r="AC1568" s="1" t="str">
        <f>IF(Table1[[#This Row],[Spec Type2]]="N/A","N/A",IF(AND(Table1[[#This Row],[DUT Adj Read]]&gt;=Table1[[#This Row],[Low Tol]],Table1[[#This Row],[DUT Adj Read]]&lt;=Table1[[#This Row],[High Tol]]),"Pass","Fail"))</f>
        <v>Fail</v>
      </c>
      <c r="AD1568" s="1" t="str">
        <f>IF(AND(Table1[[#This Row],[Spec Type2]]="N/A",Table1[[#This Row],[DUT Adj Read]]="N/A",Table1[[#This Row],[Std Adj Read]]="N/A"),"N/A",IF(Table1[[#This Row],[DUT Adj Read]]="N/A",IF(Table1[[#This Row],[Std Adj Read]]&gt;Table1[[#This Row],[Low Tol]],"Pass","Fail"),IF(Table1[[#This Row],[DUT Adj Read]]&gt;Table1[[#This Row],[Low Tol]],"Pass","Fail")))</f>
        <v>Pass</v>
      </c>
      <c r="AE1568" s="1" t="str">
        <f>IF(AND(Table1[[#This Row],[Spec Type2]]="N/A",Table1[[#This Row],[DUT Adj Read]]="N/A",Table1[[#This Row],[Std Adj Read]]="N/A"),"N/A",IF(Table1[[#This Row],[DUT Adj Read]]="N/A",IF(Table1[[#This Row],[Std Adj Read]]&lt;Table1[[#This Row],[High Tol]],"Pass","Fail"),IF(Table1[[#This Row],[DUT Adj Read]]&lt;Table1[[#This Row],[High Tol]],"Pass","Fail")))</f>
        <v>Fail</v>
      </c>
      <c r="AF1568" s="1" t="str">
        <f>IF(AND(Table1[[#This Row],[Spec Type2]]="N/A",Table1[[#This Row],[DUT Adj Read]]="N/A",Table1[[#This Row],[Std Adj Read]]="N/A"),"N/A",IF(Table1[[#This Row],[DUT Adj Read]]="N/A",IF(Table1[[#This Row],[Std Adj Read]]&gt;=Table1[[#This Row],[Low Tol]],"Pass","Fail"),IF(Table1[[#This Row],[DUT Adj Read]]&gt;=Table1[[#This Row],[Low Tol]],"Pass","Fail")))</f>
        <v>Pass</v>
      </c>
      <c r="AG1568" s="1" t="str">
        <f>IF(AND(Table1[[#This Row],[Spec Type2]]="N/A",Table1[[#This Row],[DUT Adj Read]]="N/A",Table1[[#This Row],[Std Adj Read]]="N/A"),"N/A",IF(Table1[[#This Row],[DUT Adj Read]]="N/A",IF(Table1[[#This Row],[Std Adj Read]]&lt;=Table1[[#This Row],[High Tol]],"Pass","Fail"),IF(Table1[[#This Row],[DUT Adj Read]]&lt;=Table1[[#This Row],[High Tol]],"Pass","Fail")))</f>
        <v>Fail</v>
      </c>
      <c r="AH15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8" s="1" t="b">
        <v>0</v>
      </c>
      <c r="AN1568" s="1" t="b">
        <v>0</v>
      </c>
      <c r="AO1568" s="1" t="b">
        <v>0</v>
      </c>
    </row>
    <row r="1569" spans="1:41" x14ac:dyDescent="0.25">
      <c r="A1569" s="10"/>
      <c r="B1569" s="10"/>
      <c r="C1569" s="10"/>
      <c r="D1569" s="10"/>
      <c r="E1569" s="10"/>
      <c r="F1569" s="10"/>
      <c r="G1569" s="10"/>
      <c r="H1569" s="10"/>
      <c r="I1569" s="1" t="str">
        <f t="shared" si="72"/>
        <v/>
      </c>
      <c r="J1569" s="1" t="s">
        <v>35</v>
      </c>
      <c r="K1569" s="1" t="str">
        <f t="shared" si="73"/>
        <v/>
      </c>
      <c r="L1569" s="1" t="str">
        <f t="shared" si="74"/>
        <v/>
      </c>
      <c r="M1569" s="1">
        <f>IF(OR(Table1[[#This Row],[Std Nom]]="",Table1[[#This Row],[Std Read]]=""),0,Table1[[#This Row],[Std Nom]]-Table1[[#This Row],[Std Read]])</f>
        <v>0</v>
      </c>
      <c r="N1569" s="1">
        <f>IF(Calculations!$F$5="ACCREDITED 17025 WITH UNCERTAINTIES",$N$10,0)</f>
        <v>0</v>
      </c>
      <c r="Q1569" s="1">
        <f>Table1[[#This Row],[High Tol]]-Table1[[#This Row],[Low Tol]]</f>
        <v>0</v>
      </c>
      <c r="R1569" s="1">
        <f>2*Table1[[#This Row],[Std Error]]</f>
        <v>0</v>
      </c>
      <c r="S1569" s="1" t="str">
        <f>IF(Table1[[#This Row],[High Tol]]="","N/A",IFERROR(ABS(Table1[[#This Row],[Tol Span]]/Table1[[#This Row],[Error Span]]),"N/A"))</f>
        <v>N/A</v>
      </c>
      <c r="T1569" s="1" t="str">
        <f>IF(OR(Table1[[#This Row],[Low Tol]]="",Table1[[#This Row],[High Tol]]=""),"Needs Analysis",IF(Table1[[#This Row],[Ratio]]&gt;=4,"Not Significant",IF(Table1[[#This Row],[Ratio]]&gt;=2,"Semi-Significant","Significant")))</f>
        <v>Needs Analysis</v>
      </c>
      <c r="W1569" s="1">
        <f>IF(Table1[[#This Row],[Cal Type]]&lt;&gt;"ACCREDITED 17025 WITH UNCERTAINTIES",0,"")</f>
        <v>0</v>
      </c>
      <c r="X1569" s="1" t="str">
        <f>IF(Table1[[#This Row],[DUT Read]]="","N/A",Table1[[#This Row],[Std Error]]+Table1[[#This Row],[DUT Read]]+Table1[[#This Row],[DUT Ucty]])</f>
        <v>N/A</v>
      </c>
      <c r="Y1569" s="1" t="str">
        <f>IF(Table1[[#This Row],[Std Read]]="","N/A",Table1[[#This Row],[Std Read]]+Table1[[#This Row],[Std Ucty]])</f>
        <v>N/A</v>
      </c>
      <c r="Z15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69" s="1" t="str">
        <f>IF(Table1[[#This Row],[Spec Type]]="","N/A",Table1[[#This Row],[Spec Type]])</f>
        <v>±</v>
      </c>
      <c r="AC1569" s="1" t="str">
        <f>IF(Table1[[#This Row],[Spec Type2]]="N/A","N/A",IF(AND(Table1[[#This Row],[DUT Adj Read]]&gt;=Table1[[#This Row],[Low Tol]],Table1[[#This Row],[DUT Adj Read]]&lt;=Table1[[#This Row],[High Tol]]),"Pass","Fail"))</f>
        <v>Fail</v>
      </c>
      <c r="AD1569" s="1" t="str">
        <f>IF(AND(Table1[[#This Row],[Spec Type2]]="N/A",Table1[[#This Row],[DUT Adj Read]]="N/A",Table1[[#This Row],[Std Adj Read]]="N/A"),"N/A",IF(Table1[[#This Row],[DUT Adj Read]]="N/A",IF(Table1[[#This Row],[Std Adj Read]]&gt;Table1[[#This Row],[Low Tol]],"Pass","Fail"),IF(Table1[[#This Row],[DUT Adj Read]]&gt;Table1[[#This Row],[Low Tol]],"Pass","Fail")))</f>
        <v>Pass</v>
      </c>
      <c r="AE1569" s="1" t="str">
        <f>IF(AND(Table1[[#This Row],[Spec Type2]]="N/A",Table1[[#This Row],[DUT Adj Read]]="N/A",Table1[[#This Row],[Std Adj Read]]="N/A"),"N/A",IF(Table1[[#This Row],[DUT Adj Read]]="N/A",IF(Table1[[#This Row],[Std Adj Read]]&lt;Table1[[#This Row],[High Tol]],"Pass","Fail"),IF(Table1[[#This Row],[DUT Adj Read]]&lt;Table1[[#This Row],[High Tol]],"Pass","Fail")))</f>
        <v>Fail</v>
      </c>
      <c r="AF1569" s="1" t="str">
        <f>IF(AND(Table1[[#This Row],[Spec Type2]]="N/A",Table1[[#This Row],[DUT Adj Read]]="N/A",Table1[[#This Row],[Std Adj Read]]="N/A"),"N/A",IF(Table1[[#This Row],[DUT Adj Read]]="N/A",IF(Table1[[#This Row],[Std Adj Read]]&gt;=Table1[[#This Row],[Low Tol]],"Pass","Fail"),IF(Table1[[#This Row],[DUT Adj Read]]&gt;=Table1[[#This Row],[Low Tol]],"Pass","Fail")))</f>
        <v>Pass</v>
      </c>
      <c r="AG1569" s="1" t="str">
        <f>IF(AND(Table1[[#This Row],[Spec Type2]]="N/A",Table1[[#This Row],[DUT Adj Read]]="N/A",Table1[[#This Row],[Std Adj Read]]="N/A"),"N/A",IF(Table1[[#This Row],[DUT Adj Read]]="N/A",IF(Table1[[#This Row],[Std Adj Read]]&lt;=Table1[[#This Row],[High Tol]],"Pass","Fail"),IF(Table1[[#This Row],[DUT Adj Read]]&lt;=Table1[[#This Row],[High Tol]],"Pass","Fail")))</f>
        <v>Fail</v>
      </c>
      <c r="AH15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69" s="1" t="b">
        <v>0</v>
      </c>
      <c r="AN1569" s="1" t="b">
        <v>0</v>
      </c>
      <c r="AO1569" s="1" t="b">
        <v>0</v>
      </c>
    </row>
    <row r="1570" spans="1:41" x14ac:dyDescent="0.25">
      <c r="A1570" s="10"/>
      <c r="B1570" s="10"/>
      <c r="C1570" s="10"/>
      <c r="D1570" s="10"/>
      <c r="E1570" s="10"/>
      <c r="F1570" s="10"/>
      <c r="G1570" s="10"/>
      <c r="H1570" s="10"/>
      <c r="I1570" s="1" t="str">
        <f t="shared" si="72"/>
        <v/>
      </c>
      <c r="J1570" s="1" t="s">
        <v>35</v>
      </c>
      <c r="K1570" s="1" t="str">
        <f t="shared" si="73"/>
        <v/>
      </c>
      <c r="L1570" s="1" t="str">
        <f t="shared" si="74"/>
        <v/>
      </c>
      <c r="M1570" s="1">
        <f>IF(OR(Table1[[#This Row],[Std Nom]]="",Table1[[#This Row],[Std Read]]=""),0,Table1[[#This Row],[Std Nom]]-Table1[[#This Row],[Std Read]])</f>
        <v>0</v>
      </c>
      <c r="N1570" s="1">
        <f>IF(Calculations!$F$5="ACCREDITED 17025 WITH UNCERTAINTIES",$N$10,0)</f>
        <v>0</v>
      </c>
      <c r="Q1570" s="1">
        <f>Table1[[#This Row],[High Tol]]-Table1[[#This Row],[Low Tol]]</f>
        <v>0</v>
      </c>
      <c r="R1570" s="1">
        <f>2*Table1[[#This Row],[Std Error]]</f>
        <v>0</v>
      </c>
      <c r="S1570" s="1" t="str">
        <f>IF(Table1[[#This Row],[High Tol]]="","N/A",IFERROR(ABS(Table1[[#This Row],[Tol Span]]/Table1[[#This Row],[Error Span]]),"N/A"))</f>
        <v>N/A</v>
      </c>
      <c r="T1570" s="1" t="str">
        <f>IF(OR(Table1[[#This Row],[Low Tol]]="",Table1[[#This Row],[High Tol]]=""),"Needs Analysis",IF(Table1[[#This Row],[Ratio]]&gt;=4,"Not Significant",IF(Table1[[#This Row],[Ratio]]&gt;=2,"Semi-Significant","Significant")))</f>
        <v>Needs Analysis</v>
      </c>
      <c r="W1570" s="1">
        <f>IF(Table1[[#This Row],[Cal Type]]&lt;&gt;"ACCREDITED 17025 WITH UNCERTAINTIES",0,"")</f>
        <v>0</v>
      </c>
      <c r="X1570" s="1" t="str">
        <f>IF(Table1[[#This Row],[DUT Read]]="","N/A",Table1[[#This Row],[Std Error]]+Table1[[#This Row],[DUT Read]]+Table1[[#This Row],[DUT Ucty]])</f>
        <v>N/A</v>
      </c>
      <c r="Y1570" s="1" t="str">
        <f>IF(Table1[[#This Row],[Std Read]]="","N/A",Table1[[#This Row],[Std Read]]+Table1[[#This Row],[Std Ucty]])</f>
        <v>N/A</v>
      </c>
      <c r="Z15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0" s="1" t="str">
        <f>IF(Table1[[#This Row],[Spec Type]]="","N/A",Table1[[#This Row],[Spec Type]])</f>
        <v>±</v>
      </c>
      <c r="AC1570" s="1" t="str">
        <f>IF(Table1[[#This Row],[Spec Type2]]="N/A","N/A",IF(AND(Table1[[#This Row],[DUT Adj Read]]&gt;=Table1[[#This Row],[Low Tol]],Table1[[#This Row],[DUT Adj Read]]&lt;=Table1[[#This Row],[High Tol]]),"Pass","Fail"))</f>
        <v>Fail</v>
      </c>
      <c r="AD1570" s="1" t="str">
        <f>IF(AND(Table1[[#This Row],[Spec Type2]]="N/A",Table1[[#This Row],[DUT Adj Read]]="N/A",Table1[[#This Row],[Std Adj Read]]="N/A"),"N/A",IF(Table1[[#This Row],[DUT Adj Read]]="N/A",IF(Table1[[#This Row],[Std Adj Read]]&gt;Table1[[#This Row],[Low Tol]],"Pass","Fail"),IF(Table1[[#This Row],[DUT Adj Read]]&gt;Table1[[#This Row],[Low Tol]],"Pass","Fail")))</f>
        <v>Pass</v>
      </c>
      <c r="AE1570" s="1" t="str">
        <f>IF(AND(Table1[[#This Row],[Spec Type2]]="N/A",Table1[[#This Row],[DUT Adj Read]]="N/A",Table1[[#This Row],[Std Adj Read]]="N/A"),"N/A",IF(Table1[[#This Row],[DUT Adj Read]]="N/A",IF(Table1[[#This Row],[Std Adj Read]]&lt;Table1[[#This Row],[High Tol]],"Pass","Fail"),IF(Table1[[#This Row],[DUT Adj Read]]&lt;Table1[[#This Row],[High Tol]],"Pass","Fail")))</f>
        <v>Fail</v>
      </c>
      <c r="AF1570" s="1" t="str">
        <f>IF(AND(Table1[[#This Row],[Spec Type2]]="N/A",Table1[[#This Row],[DUT Adj Read]]="N/A",Table1[[#This Row],[Std Adj Read]]="N/A"),"N/A",IF(Table1[[#This Row],[DUT Adj Read]]="N/A",IF(Table1[[#This Row],[Std Adj Read]]&gt;=Table1[[#This Row],[Low Tol]],"Pass","Fail"),IF(Table1[[#This Row],[DUT Adj Read]]&gt;=Table1[[#This Row],[Low Tol]],"Pass","Fail")))</f>
        <v>Pass</v>
      </c>
      <c r="AG1570" s="1" t="str">
        <f>IF(AND(Table1[[#This Row],[Spec Type2]]="N/A",Table1[[#This Row],[DUT Adj Read]]="N/A",Table1[[#This Row],[Std Adj Read]]="N/A"),"N/A",IF(Table1[[#This Row],[DUT Adj Read]]="N/A",IF(Table1[[#This Row],[Std Adj Read]]&lt;=Table1[[#This Row],[High Tol]],"Pass","Fail"),IF(Table1[[#This Row],[DUT Adj Read]]&lt;=Table1[[#This Row],[High Tol]],"Pass","Fail")))</f>
        <v>Fail</v>
      </c>
      <c r="AH15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0" s="1" t="b">
        <v>0</v>
      </c>
      <c r="AN1570" s="1" t="b">
        <v>0</v>
      </c>
      <c r="AO1570" s="1" t="b">
        <v>0</v>
      </c>
    </row>
    <row r="1571" spans="1:41" x14ac:dyDescent="0.25">
      <c r="A1571" s="10"/>
      <c r="B1571" s="10"/>
      <c r="C1571" s="10"/>
      <c r="D1571" s="10"/>
      <c r="E1571" s="10"/>
      <c r="F1571" s="10"/>
      <c r="G1571" s="10"/>
      <c r="H1571" s="10"/>
      <c r="I1571" s="1" t="str">
        <f t="shared" si="72"/>
        <v/>
      </c>
      <c r="J1571" s="1" t="s">
        <v>35</v>
      </c>
      <c r="K1571" s="1" t="str">
        <f t="shared" si="73"/>
        <v/>
      </c>
      <c r="L1571" s="1" t="str">
        <f t="shared" si="74"/>
        <v/>
      </c>
      <c r="M1571" s="1">
        <f>IF(OR(Table1[[#This Row],[Std Nom]]="",Table1[[#This Row],[Std Read]]=""),0,Table1[[#This Row],[Std Nom]]-Table1[[#This Row],[Std Read]])</f>
        <v>0</v>
      </c>
      <c r="N1571" s="1">
        <f>IF(Calculations!$F$5="ACCREDITED 17025 WITH UNCERTAINTIES",$N$10,0)</f>
        <v>0</v>
      </c>
      <c r="Q1571" s="1">
        <f>Table1[[#This Row],[High Tol]]-Table1[[#This Row],[Low Tol]]</f>
        <v>0</v>
      </c>
      <c r="R1571" s="1">
        <f>2*Table1[[#This Row],[Std Error]]</f>
        <v>0</v>
      </c>
      <c r="S1571" s="1" t="str">
        <f>IF(Table1[[#This Row],[High Tol]]="","N/A",IFERROR(ABS(Table1[[#This Row],[Tol Span]]/Table1[[#This Row],[Error Span]]),"N/A"))</f>
        <v>N/A</v>
      </c>
      <c r="T1571" s="1" t="str">
        <f>IF(OR(Table1[[#This Row],[Low Tol]]="",Table1[[#This Row],[High Tol]]=""),"Needs Analysis",IF(Table1[[#This Row],[Ratio]]&gt;=4,"Not Significant",IF(Table1[[#This Row],[Ratio]]&gt;=2,"Semi-Significant","Significant")))</f>
        <v>Needs Analysis</v>
      </c>
      <c r="W1571" s="1">
        <f>IF(Table1[[#This Row],[Cal Type]]&lt;&gt;"ACCREDITED 17025 WITH UNCERTAINTIES",0,"")</f>
        <v>0</v>
      </c>
      <c r="X1571" s="1" t="str">
        <f>IF(Table1[[#This Row],[DUT Read]]="","N/A",Table1[[#This Row],[Std Error]]+Table1[[#This Row],[DUT Read]]+Table1[[#This Row],[DUT Ucty]])</f>
        <v>N/A</v>
      </c>
      <c r="Y1571" s="1" t="str">
        <f>IF(Table1[[#This Row],[Std Read]]="","N/A",Table1[[#This Row],[Std Read]]+Table1[[#This Row],[Std Ucty]])</f>
        <v>N/A</v>
      </c>
      <c r="Z15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1" s="1" t="str">
        <f>IF(Table1[[#This Row],[Spec Type]]="","N/A",Table1[[#This Row],[Spec Type]])</f>
        <v>±</v>
      </c>
      <c r="AC1571" s="1" t="str">
        <f>IF(Table1[[#This Row],[Spec Type2]]="N/A","N/A",IF(AND(Table1[[#This Row],[DUT Adj Read]]&gt;=Table1[[#This Row],[Low Tol]],Table1[[#This Row],[DUT Adj Read]]&lt;=Table1[[#This Row],[High Tol]]),"Pass","Fail"))</f>
        <v>Fail</v>
      </c>
      <c r="AD1571" s="1" t="str">
        <f>IF(AND(Table1[[#This Row],[Spec Type2]]="N/A",Table1[[#This Row],[DUT Adj Read]]="N/A",Table1[[#This Row],[Std Adj Read]]="N/A"),"N/A",IF(Table1[[#This Row],[DUT Adj Read]]="N/A",IF(Table1[[#This Row],[Std Adj Read]]&gt;Table1[[#This Row],[Low Tol]],"Pass","Fail"),IF(Table1[[#This Row],[DUT Adj Read]]&gt;Table1[[#This Row],[Low Tol]],"Pass","Fail")))</f>
        <v>Pass</v>
      </c>
      <c r="AE1571" s="1" t="str">
        <f>IF(AND(Table1[[#This Row],[Spec Type2]]="N/A",Table1[[#This Row],[DUT Adj Read]]="N/A",Table1[[#This Row],[Std Adj Read]]="N/A"),"N/A",IF(Table1[[#This Row],[DUT Adj Read]]="N/A",IF(Table1[[#This Row],[Std Adj Read]]&lt;Table1[[#This Row],[High Tol]],"Pass","Fail"),IF(Table1[[#This Row],[DUT Adj Read]]&lt;Table1[[#This Row],[High Tol]],"Pass","Fail")))</f>
        <v>Fail</v>
      </c>
      <c r="AF1571" s="1" t="str">
        <f>IF(AND(Table1[[#This Row],[Spec Type2]]="N/A",Table1[[#This Row],[DUT Adj Read]]="N/A",Table1[[#This Row],[Std Adj Read]]="N/A"),"N/A",IF(Table1[[#This Row],[DUT Adj Read]]="N/A",IF(Table1[[#This Row],[Std Adj Read]]&gt;=Table1[[#This Row],[Low Tol]],"Pass","Fail"),IF(Table1[[#This Row],[DUT Adj Read]]&gt;=Table1[[#This Row],[Low Tol]],"Pass","Fail")))</f>
        <v>Pass</v>
      </c>
      <c r="AG1571" s="1" t="str">
        <f>IF(AND(Table1[[#This Row],[Spec Type2]]="N/A",Table1[[#This Row],[DUT Adj Read]]="N/A",Table1[[#This Row],[Std Adj Read]]="N/A"),"N/A",IF(Table1[[#This Row],[DUT Adj Read]]="N/A",IF(Table1[[#This Row],[Std Adj Read]]&lt;=Table1[[#This Row],[High Tol]],"Pass","Fail"),IF(Table1[[#This Row],[DUT Adj Read]]&lt;=Table1[[#This Row],[High Tol]],"Pass","Fail")))</f>
        <v>Fail</v>
      </c>
      <c r="AH15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1" s="1" t="b">
        <v>0</v>
      </c>
      <c r="AN1571" s="1" t="b">
        <v>0</v>
      </c>
      <c r="AO1571" s="1" t="b">
        <v>0</v>
      </c>
    </row>
    <row r="1572" spans="1:41" x14ac:dyDescent="0.25">
      <c r="A1572" s="10"/>
      <c r="B1572" s="10"/>
      <c r="C1572" s="10"/>
      <c r="D1572" s="10"/>
      <c r="E1572" s="10"/>
      <c r="F1572" s="10"/>
      <c r="G1572" s="10"/>
      <c r="H1572" s="10"/>
      <c r="I1572" s="1" t="str">
        <f t="shared" si="72"/>
        <v/>
      </c>
      <c r="J1572" s="1" t="s">
        <v>35</v>
      </c>
      <c r="K1572" s="1" t="str">
        <f t="shared" si="73"/>
        <v/>
      </c>
      <c r="L1572" s="1" t="str">
        <f t="shared" si="74"/>
        <v/>
      </c>
      <c r="M1572" s="1">
        <f>IF(OR(Table1[[#This Row],[Std Nom]]="",Table1[[#This Row],[Std Read]]=""),0,Table1[[#This Row],[Std Nom]]-Table1[[#This Row],[Std Read]])</f>
        <v>0</v>
      </c>
      <c r="N1572" s="1">
        <f>IF(Calculations!$F$5="ACCREDITED 17025 WITH UNCERTAINTIES",$N$10,0)</f>
        <v>0</v>
      </c>
      <c r="Q1572" s="1">
        <f>Table1[[#This Row],[High Tol]]-Table1[[#This Row],[Low Tol]]</f>
        <v>0</v>
      </c>
      <c r="R1572" s="1">
        <f>2*Table1[[#This Row],[Std Error]]</f>
        <v>0</v>
      </c>
      <c r="S1572" s="1" t="str">
        <f>IF(Table1[[#This Row],[High Tol]]="","N/A",IFERROR(ABS(Table1[[#This Row],[Tol Span]]/Table1[[#This Row],[Error Span]]),"N/A"))</f>
        <v>N/A</v>
      </c>
      <c r="T1572" s="1" t="str">
        <f>IF(OR(Table1[[#This Row],[Low Tol]]="",Table1[[#This Row],[High Tol]]=""),"Needs Analysis",IF(Table1[[#This Row],[Ratio]]&gt;=4,"Not Significant",IF(Table1[[#This Row],[Ratio]]&gt;=2,"Semi-Significant","Significant")))</f>
        <v>Needs Analysis</v>
      </c>
      <c r="W1572" s="1">
        <f>IF(Table1[[#This Row],[Cal Type]]&lt;&gt;"ACCREDITED 17025 WITH UNCERTAINTIES",0,"")</f>
        <v>0</v>
      </c>
      <c r="X1572" s="1" t="str">
        <f>IF(Table1[[#This Row],[DUT Read]]="","N/A",Table1[[#This Row],[Std Error]]+Table1[[#This Row],[DUT Read]]+Table1[[#This Row],[DUT Ucty]])</f>
        <v>N/A</v>
      </c>
      <c r="Y1572" s="1" t="str">
        <f>IF(Table1[[#This Row],[Std Read]]="","N/A",Table1[[#This Row],[Std Read]]+Table1[[#This Row],[Std Ucty]])</f>
        <v>N/A</v>
      </c>
      <c r="Z15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2" s="1" t="str">
        <f>IF(Table1[[#This Row],[Spec Type]]="","N/A",Table1[[#This Row],[Spec Type]])</f>
        <v>±</v>
      </c>
      <c r="AC1572" s="1" t="str">
        <f>IF(Table1[[#This Row],[Spec Type2]]="N/A","N/A",IF(AND(Table1[[#This Row],[DUT Adj Read]]&gt;=Table1[[#This Row],[Low Tol]],Table1[[#This Row],[DUT Adj Read]]&lt;=Table1[[#This Row],[High Tol]]),"Pass","Fail"))</f>
        <v>Fail</v>
      </c>
      <c r="AD1572" s="1" t="str">
        <f>IF(AND(Table1[[#This Row],[Spec Type2]]="N/A",Table1[[#This Row],[DUT Adj Read]]="N/A",Table1[[#This Row],[Std Adj Read]]="N/A"),"N/A",IF(Table1[[#This Row],[DUT Adj Read]]="N/A",IF(Table1[[#This Row],[Std Adj Read]]&gt;Table1[[#This Row],[Low Tol]],"Pass","Fail"),IF(Table1[[#This Row],[DUT Adj Read]]&gt;Table1[[#This Row],[Low Tol]],"Pass","Fail")))</f>
        <v>Pass</v>
      </c>
      <c r="AE1572" s="1" t="str">
        <f>IF(AND(Table1[[#This Row],[Spec Type2]]="N/A",Table1[[#This Row],[DUT Adj Read]]="N/A",Table1[[#This Row],[Std Adj Read]]="N/A"),"N/A",IF(Table1[[#This Row],[DUT Adj Read]]="N/A",IF(Table1[[#This Row],[Std Adj Read]]&lt;Table1[[#This Row],[High Tol]],"Pass","Fail"),IF(Table1[[#This Row],[DUT Adj Read]]&lt;Table1[[#This Row],[High Tol]],"Pass","Fail")))</f>
        <v>Fail</v>
      </c>
      <c r="AF1572" s="1" t="str">
        <f>IF(AND(Table1[[#This Row],[Spec Type2]]="N/A",Table1[[#This Row],[DUT Adj Read]]="N/A",Table1[[#This Row],[Std Adj Read]]="N/A"),"N/A",IF(Table1[[#This Row],[DUT Adj Read]]="N/A",IF(Table1[[#This Row],[Std Adj Read]]&gt;=Table1[[#This Row],[Low Tol]],"Pass","Fail"),IF(Table1[[#This Row],[DUT Adj Read]]&gt;=Table1[[#This Row],[Low Tol]],"Pass","Fail")))</f>
        <v>Pass</v>
      </c>
      <c r="AG1572" s="1" t="str">
        <f>IF(AND(Table1[[#This Row],[Spec Type2]]="N/A",Table1[[#This Row],[DUT Adj Read]]="N/A",Table1[[#This Row],[Std Adj Read]]="N/A"),"N/A",IF(Table1[[#This Row],[DUT Adj Read]]="N/A",IF(Table1[[#This Row],[Std Adj Read]]&lt;=Table1[[#This Row],[High Tol]],"Pass","Fail"),IF(Table1[[#This Row],[DUT Adj Read]]&lt;=Table1[[#This Row],[High Tol]],"Pass","Fail")))</f>
        <v>Fail</v>
      </c>
      <c r="AH15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2" s="1" t="b">
        <v>0</v>
      </c>
      <c r="AN1572" s="1" t="b">
        <v>0</v>
      </c>
      <c r="AO1572" s="1" t="b">
        <v>0</v>
      </c>
    </row>
    <row r="1573" spans="1:41" x14ac:dyDescent="0.25">
      <c r="A1573" s="10"/>
      <c r="B1573" s="10"/>
      <c r="C1573" s="10"/>
      <c r="D1573" s="10"/>
      <c r="E1573" s="10"/>
      <c r="F1573" s="10"/>
      <c r="G1573" s="10"/>
      <c r="H1573" s="10"/>
      <c r="I1573" s="1" t="str">
        <f t="shared" si="72"/>
        <v/>
      </c>
      <c r="J1573" s="1" t="s">
        <v>35</v>
      </c>
      <c r="K1573" s="1" t="str">
        <f t="shared" si="73"/>
        <v/>
      </c>
      <c r="L1573" s="1" t="str">
        <f t="shared" si="74"/>
        <v/>
      </c>
      <c r="M1573" s="1">
        <f>IF(OR(Table1[[#This Row],[Std Nom]]="",Table1[[#This Row],[Std Read]]=""),0,Table1[[#This Row],[Std Nom]]-Table1[[#This Row],[Std Read]])</f>
        <v>0</v>
      </c>
      <c r="N1573" s="1">
        <f>IF(Calculations!$F$5="ACCREDITED 17025 WITH UNCERTAINTIES",$N$10,0)</f>
        <v>0</v>
      </c>
      <c r="Q1573" s="1">
        <f>Table1[[#This Row],[High Tol]]-Table1[[#This Row],[Low Tol]]</f>
        <v>0</v>
      </c>
      <c r="R1573" s="1">
        <f>2*Table1[[#This Row],[Std Error]]</f>
        <v>0</v>
      </c>
      <c r="S1573" s="1" t="str">
        <f>IF(Table1[[#This Row],[High Tol]]="","N/A",IFERROR(ABS(Table1[[#This Row],[Tol Span]]/Table1[[#This Row],[Error Span]]),"N/A"))</f>
        <v>N/A</v>
      </c>
      <c r="T1573" s="1" t="str">
        <f>IF(OR(Table1[[#This Row],[Low Tol]]="",Table1[[#This Row],[High Tol]]=""),"Needs Analysis",IF(Table1[[#This Row],[Ratio]]&gt;=4,"Not Significant",IF(Table1[[#This Row],[Ratio]]&gt;=2,"Semi-Significant","Significant")))</f>
        <v>Needs Analysis</v>
      </c>
      <c r="W1573" s="1">
        <f>IF(Table1[[#This Row],[Cal Type]]&lt;&gt;"ACCREDITED 17025 WITH UNCERTAINTIES",0,"")</f>
        <v>0</v>
      </c>
      <c r="X1573" s="1" t="str">
        <f>IF(Table1[[#This Row],[DUT Read]]="","N/A",Table1[[#This Row],[Std Error]]+Table1[[#This Row],[DUT Read]]+Table1[[#This Row],[DUT Ucty]])</f>
        <v>N/A</v>
      </c>
      <c r="Y1573" s="1" t="str">
        <f>IF(Table1[[#This Row],[Std Read]]="","N/A",Table1[[#This Row],[Std Read]]+Table1[[#This Row],[Std Ucty]])</f>
        <v>N/A</v>
      </c>
      <c r="Z15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3" s="1" t="str">
        <f>IF(Table1[[#This Row],[Spec Type]]="","N/A",Table1[[#This Row],[Spec Type]])</f>
        <v>±</v>
      </c>
      <c r="AC1573" s="1" t="str">
        <f>IF(Table1[[#This Row],[Spec Type2]]="N/A","N/A",IF(AND(Table1[[#This Row],[DUT Adj Read]]&gt;=Table1[[#This Row],[Low Tol]],Table1[[#This Row],[DUT Adj Read]]&lt;=Table1[[#This Row],[High Tol]]),"Pass","Fail"))</f>
        <v>Fail</v>
      </c>
      <c r="AD1573" s="1" t="str">
        <f>IF(AND(Table1[[#This Row],[Spec Type2]]="N/A",Table1[[#This Row],[DUT Adj Read]]="N/A",Table1[[#This Row],[Std Adj Read]]="N/A"),"N/A",IF(Table1[[#This Row],[DUT Adj Read]]="N/A",IF(Table1[[#This Row],[Std Adj Read]]&gt;Table1[[#This Row],[Low Tol]],"Pass","Fail"),IF(Table1[[#This Row],[DUT Adj Read]]&gt;Table1[[#This Row],[Low Tol]],"Pass","Fail")))</f>
        <v>Pass</v>
      </c>
      <c r="AE1573" s="1" t="str">
        <f>IF(AND(Table1[[#This Row],[Spec Type2]]="N/A",Table1[[#This Row],[DUT Adj Read]]="N/A",Table1[[#This Row],[Std Adj Read]]="N/A"),"N/A",IF(Table1[[#This Row],[DUT Adj Read]]="N/A",IF(Table1[[#This Row],[Std Adj Read]]&lt;Table1[[#This Row],[High Tol]],"Pass","Fail"),IF(Table1[[#This Row],[DUT Adj Read]]&lt;Table1[[#This Row],[High Tol]],"Pass","Fail")))</f>
        <v>Fail</v>
      </c>
      <c r="AF1573" s="1" t="str">
        <f>IF(AND(Table1[[#This Row],[Spec Type2]]="N/A",Table1[[#This Row],[DUT Adj Read]]="N/A",Table1[[#This Row],[Std Adj Read]]="N/A"),"N/A",IF(Table1[[#This Row],[DUT Adj Read]]="N/A",IF(Table1[[#This Row],[Std Adj Read]]&gt;=Table1[[#This Row],[Low Tol]],"Pass","Fail"),IF(Table1[[#This Row],[DUT Adj Read]]&gt;=Table1[[#This Row],[Low Tol]],"Pass","Fail")))</f>
        <v>Pass</v>
      </c>
      <c r="AG1573" s="1" t="str">
        <f>IF(AND(Table1[[#This Row],[Spec Type2]]="N/A",Table1[[#This Row],[DUT Adj Read]]="N/A",Table1[[#This Row],[Std Adj Read]]="N/A"),"N/A",IF(Table1[[#This Row],[DUT Adj Read]]="N/A",IF(Table1[[#This Row],[Std Adj Read]]&lt;=Table1[[#This Row],[High Tol]],"Pass","Fail"),IF(Table1[[#This Row],[DUT Adj Read]]&lt;=Table1[[#This Row],[High Tol]],"Pass","Fail")))</f>
        <v>Fail</v>
      </c>
      <c r="AH15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3" s="1" t="b">
        <v>0</v>
      </c>
      <c r="AN1573" s="1" t="b">
        <v>0</v>
      </c>
      <c r="AO1573" s="1" t="b">
        <v>0</v>
      </c>
    </row>
    <row r="1574" spans="1:41" x14ac:dyDescent="0.25">
      <c r="A1574" s="10"/>
      <c r="B1574" s="10"/>
      <c r="C1574" s="10"/>
      <c r="D1574" s="10"/>
      <c r="E1574" s="10"/>
      <c r="F1574" s="10"/>
      <c r="G1574" s="10"/>
      <c r="H1574" s="10"/>
      <c r="I1574" s="1" t="str">
        <f t="shared" si="72"/>
        <v/>
      </c>
      <c r="J1574" s="1" t="s">
        <v>35</v>
      </c>
      <c r="K1574" s="1" t="str">
        <f t="shared" si="73"/>
        <v/>
      </c>
      <c r="L1574" s="1" t="str">
        <f t="shared" si="74"/>
        <v/>
      </c>
      <c r="M1574" s="1">
        <f>IF(OR(Table1[[#This Row],[Std Nom]]="",Table1[[#This Row],[Std Read]]=""),0,Table1[[#This Row],[Std Nom]]-Table1[[#This Row],[Std Read]])</f>
        <v>0</v>
      </c>
      <c r="N1574" s="1">
        <f>IF(Calculations!$F$5="ACCREDITED 17025 WITH UNCERTAINTIES",$N$10,0)</f>
        <v>0</v>
      </c>
      <c r="Q1574" s="1">
        <f>Table1[[#This Row],[High Tol]]-Table1[[#This Row],[Low Tol]]</f>
        <v>0</v>
      </c>
      <c r="R1574" s="1">
        <f>2*Table1[[#This Row],[Std Error]]</f>
        <v>0</v>
      </c>
      <c r="S1574" s="1" t="str">
        <f>IF(Table1[[#This Row],[High Tol]]="","N/A",IFERROR(ABS(Table1[[#This Row],[Tol Span]]/Table1[[#This Row],[Error Span]]),"N/A"))</f>
        <v>N/A</v>
      </c>
      <c r="T1574" s="1" t="str">
        <f>IF(OR(Table1[[#This Row],[Low Tol]]="",Table1[[#This Row],[High Tol]]=""),"Needs Analysis",IF(Table1[[#This Row],[Ratio]]&gt;=4,"Not Significant",IF(Table1[[#This Row],[Ratio]]&gt;=2,"Semi-Significant","Significant")))</f>
        <v>Needs Analysis</v>
      </c>
      <c r="W1574" s="1">
        <f>IF(Table1[[#This Row],[Cal Type]]&lt;&gt;"ACCREDITED 17025 WITH UNCERTAINTIES",0,"")</f>
        <v>0</v>
      </c>
      <c r="X1574" s="1" t="str">
        <f>IF(Table1[[#This Row],[DUT Read]]="","N/A",Table1[[#This Row],[Std Error]]+Table1[[#This Row],[DUT Read]]+Table1[[#This Row],[DUT Ucty]])</f>
        <v>N/A</v>
      </c>
      <c r="Y1574" s="1" t="str">
        <f>IF(Table1[[#This Row],[Std Read]]="","N/A",Table1[[#This Row],[Std Read]]+Table1[[#This Row],[Std Ucty]])</f>
        <v>N/A</v>
      </c>
      <c r="Z15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4" s="1" t="str">
        <f>IF(Table1[[#This Row],[Spec Type]]="","N/A",Table1[[#This Row],[Spec Type]])</f>
        <v>±</v>
      </c>
      <c r="AC1574" s="1" t="str">
        <f>IF(Table1[[#This Row],[Spec Type2]]="N/A","N/A",IF(AND(Table1[[#This Row],[DUT Adj Read]]&gt;=Table1[[#This Row],[Low Tol]],Table1[[#This Row],[DUT Adj Read]]&lt;=Table1[[#This Row],[High Tol]]),"Pass","Fail"))</f>
        <v>Fail</v>
      </c>
      <c r="AD1574" s="1" t="str">
        <f>IF(AND(Table1[[#This Row],[Spec Type2]]="N/A",Table1[[#This Row],[DUT Adj Read]]="N/A",Table1[[#This Row],[Std Adj Read]]="N/A"),"N/A",IF(Table1[[#This Row],[DUT Adj Read]]="N/A",IF(Table1[[#This Row],[Std Adj Read]]&gt;Table1[[#This Row],[Low Tol]],"Pass","Fail"),IF(Table1[[#This Row],[DUT Adj Read]]&gt;Table1[[#This Row],[Low Tol]],"Pass","Fail")))</f>
        <v>Pass</v>
      </c>
      <c r="AE1574" s="1" t="str">
        <f>IF(AND(Table1[[#This Row],[Spec Type2]]="N/A",Table1[[#This Row],[DUT Adj Read]]="N/A",Table1[[#This Row],[Std Adj Read]]="N/A"),"N/A",IF(Table1[[#This Row],[DUT Adj Read]]="N/A",IF(Table1[[#This Row],[Std Adj Read]]&lt;Table1[[#This Row],[High Tol]],"Pass","Fail"),IF(Table1[[#This Row],[DUT Adj Read]]&lt;Table1[[#This Row],[High Tol]],"Pass","Fail")))</f>
        <v>Fail</v>
      </c>
      <c r="AF1574" s="1" t="str">
        <f>IF(AND(Table1[[#This Row],[Spec Type2]]="N/A",Table1[[#This Row],[DUT Adj Read]]="N/A",Table1[[#This Row],[Std Adj Read]]="N/A"),"N/A",IF(Table1[[#This Row],[DUT Adj Read]]="N/A",IF(Table1[[#This Row],[Std Adj Read]]&gt;=Table1[[#This Row],[Low Tol]],"Pass","Fail"),IF(Table1[[#This Row],[DUT Adj Read]]&gt;=Table1[[#This Row],[Low Tol]],"Pass","Fail")))</f>
        <v>Pass</v>
      </c>
      <c r="AG1574" s="1" t="str">
        <f>IF(AND(Table1[[#This Row],[Spec Type2]]="N/A",Table1[[#This Row],[DUT Adj Read]]="N/A",Table1[[#This Row],[Std Adj Read]]="N/A"),"N/A",IF(Table1[[#This Row],[DUT Adj Read]]="N/A",IF(Table1[[#This Row],[Std Adj Read]]&lt;=Table1[[#This Row],[High Tol]],"Pass","Fail"),IF(Table1[[#This Row],[DUT Adj Read]]&lt;=Table1[[#This Row],[High Tol]],"Pass","Fail")))</f>
        <v>Fail</v>
      </c>
      <c r="AH15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4" s="1" t="b">
        <v>0</v>
      </c>
      <c r="AN1574" s="1" t="b">
        <v>0</v>
      </c>
      <c r="AO1574" s="1" t="b">
        <v>0</v>
      </c>
    </row>
    <row r="1575" spans="1:41" x14ac:dyDescent="0.25">
      <c r="A1575" s="10"/>
      <c r="B1575" s="10"/>
      <c r="C1575" s="10"/>
      <c r="D1575" s="10"/>
      <c r="E1575" s="10"/>
      <c r="F1575" s="10"/>
      <c r="G1575" s="10"/>
      <c r="H1575" s="10"/>
      <c r="I1575" s="1" t="str">
        <f t="shared" si="72"/>
        <v/>
      </c>
      <c r="J1575" s="1" t="s">
        <v>35</v>
      </c>
      <c r="K1575" s="1" t="str">
        <f t="shared" si="73"/>
        <v/>
      </c>
      <c r="L1575" s="1" t="str">
        <f t="shared" si="74"/>
        <v/>
      </c>
      <c r="M1575" s="1">
        <f>IF(OR(Table1[[#This Row],[Std Nom]]="",Table1[[#This Row],[Std Read]]=""),0,Table1[[#This Row],[Std Nom]]-Table1[[#This Row],[Std Read]])</f>
        <v>0</v>
      </c>
      <c r="N1575" s="1">
        <f>IF(Calculations!$F$5="ACCREDITED 17025 WITH UNCERTAINTIES",$N$10,0)</f>
        <v>0</v>
      </c>
      <c r="Q1575" s="1">
        <f>Table1[[#This Row],[High Tol]]-Table1[[#This Row],[Low Tol]]</f>
        <v>0</v>
      </c>
      <c r="R1575" s="1">
        <f>2*Table1[[#This Row],[Std Error]]</f>
        <v>0</v>
      </c>
      <c r="S1575" s="1" t="str">
        <f>IF(Table1[[#This Row],[High Tol]]="","N/A",IFERROR(ABS(Table1[[#This Row],[Tol Span]]/Table1[[#This Row],[Error Span]]),"N/A"))</f>
        <v>N/A</v>
      </c>
      <c r="T1575" s="1" t="str">
        <f>IF(OR(Table1[[#This Row],[Low Tol]]="",Table1[[#This Row],[High Tol]]=""),"Needs Analysis",IF(Table1[[#This Row],[Ratio]]&gt;=4,"Not Significant",IF(Table1[[#This Row],[Ratio]]&gt;=2,"Semi-Significant","Significant")))</f>
        <v>Needs Analysis</v>
      </c>
      <c r="W1575" s="1">
        <f>IF(Table1[[#This Row],[Cal Type]]&lt;&gt;"ACCREDITED 17025 WITH UNCERTAINTIES",0,"")</f>
        <v>0</v>
      </c>
      <c r="X1575" s="1" t="str">
        <f>IF(Table1[[#This Row],[DUT Read]]="","N/A",Table1[[#This Row],[Std Error]]+Table1[[#This Row],[DUT Read]]+Table1[[#This Row],[DUT Ucty]])</f>
        <v>N/A</v>
      </c>
      <c r="Y1575" s="1" t="str">
        <f>IF(Table1[[#This Row],[Std Read]]="","N/A",Table1[[#This Row],[Std Read]]+Table1[[#This Row],[Std Ucty]])</f>
        <v>N/A</v>
      </c>
      <c r="Z15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5" s="1" t="str">
        <f>IF(Table1[[#This Row],[Spec Type]]="","N/A",Table1[[#This Row],[Spec Type]])</f>
        <v>±</v>
      </c>
      <c r="AC1575" s="1" t="str">
        <f>IF(Table1[[#This Row],[Spec Type2]]="N/A","N/A",IF(AND(Table1[[#This Row],[DUT Adj Read]]&gt;=Table1[[#This Row],[Low Tol]],Table1[[#This Row],[DUT Adj Read]]&lt;=Table1[[#This Row],[High Tol]]),"Pass","Fail"))</f>
        <v>Fail</v>
      </c>
      <c r="AD1575" s="1" t="str">
        <f>IF(AND(Table1[[#This Row],[Spec Type2]]="N/A",Table1[[#This Row],[DUT Adj Read]]="N/A",Table1[[#This Row],[Std Adj Read]]="N/A"),"N/A",IF(Table1[[#This Row],[DUT Adj Read]]="N/A",IF(Table1[[#This Row],[Std Adj Read]]&gt;Table1[[#This Row],[Low Tol]],"Pass","Fail"),IF(Table1[[#This Row],[DUT Adj Read]]&gt;Table1[[#This Row],[Low Tol]],"Pass","Fail")))</f>
        <v>Pass</v>
      </c>
      <c r="AE1575" s="1" t="str">
        <f>IF(AND(Table1[[#This Row],[Spec Type2]]="N/A",Table1[[#This Row],[DUT Adj Read]]="N/A",Table1[[#This Row],[Std Adj Read]]="N/A"),"N/A",IF(Table1[[#This Row],[DUT Adj Read]]="N/A",IF(Table1[[#This Row],[Std Adj Read]]&lt;Table1[[#This Row],[High Tol]],"Pass","Fail"),IF(Table1[[#This Row],[DUT Adj Read]]&lt;Table1[[#This Row],[High Tol]],"Pass","Fail")))</f>
        <v>Fail</v>
      </c>
      <c r="AF1575" s="1" t="str">
        <f>IF(AND(Table1[[#This Row],[Spec Type2]]="N/A",Table1[[#This Row],[DUT Adj Read]]="N/A",Table1[[#This Row],[Std Adj Read]]="N/A"),"N/A",IF(Table1[[#This Row],[DUT Adj Read]]="N/A",IF(Table1[[#This Row],[Std Adj Read]]&gt;=Table1[[#This Row],[Low Tol]],"Pass","Fail"),IF(Table1[[#This Row],[DUT Adj Read]]&gt;=Table1[[#This Row],[Low Tol]],"Pass","Fail")))</f>
        <v>Pass</v>
      </c>
      <c r="AG1575" s="1" t="str">
        <f>IF(AND(Table1[[#This Row],[Spec Type2]]="N/A",Table1[[#This Row],[DUT Adj Read]]="N/A",Table1[[#This Row],[Std Adj Read]]="N/A"),"N/A",IF(Table1[[#This Row],[DUT Adj Read]]="N/A",IF(Table1[[#This Row],[Std Adj Read]]&lt;=Table1[[#This Row],[High Tol]],"Pass","Fail"),IF(Table1[[#This Row],[DUT Adj Read]]&lt;=Table1[[#This Row],[High Tol]],"Pass","Fail")))</f>
        <v>Fail</v>
      </c>
      <c r="AH15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5" s="1" t="b">
        <v>0</v>
      </c>
      <c r="AN1575" s="1" t="b">
        <v>0</v>
      </c>
      <c r="AO1575" s="1" t="b">
        <v>0</v>
      </c>
    </row>
    <row r="1576" spans="1:41" x14ac:dyDescent="0.25">
      <c r="A1576" s="10"/>
      <c r="B1576" s="10"/>
      <c r="C1576" s="10"/>
      <c r="D1576" s="10"/>
      <c r="E1576" s="10"/>
      <c r="F1576" s="10"/>
      <c r="G1576" s="10"/>
      <c r="H1576" s="10"/>
      <c r="I1576" s="1" t="str">
        <f t="shared" si="72"/>
        <v/>
      </c>
      <c r="J1576" s="1" t="s">
        <v>35</v>
      </c>
      <c r="K1576" s="1" t="str">
        <f t="shared" si="73"/>
        <v/>
      </c>
      <c r="L1576" s="1" t="str">
        <f t="shared" si="74"/>
        <v/>
      </c>
      <c r="M1576" s="1">
        <f>IF(OR(Table1[[#This Row],[Std Nom]]="",Table1[[#This Row],[Std Read]]=""),0,Table1[[#This Row],[Std Nom]]-Table1[[#This Row],[Std Read]])</f>
        <v>0</v>
      </c>
      <c r="N1576" s="1">
        <f>IF(Calculations!$F$5="ACCREDITED 17025 WITH UNCERTAINTIES",$N$10,0)</f>
        <v>0</v>
      </c>
      <c r="Q1576" s="1">
        <f>Table1[[#This Row],[High Tol]]-Table1[[#This Row],[Low Tol]]</f>
        <v>0</v>
      </c>
      <c r="R1576" s="1">
        <f>2*Table1[[#This Row],[Std Error]]</f>
        <v>0</v>
      </c>
      <c r="S1576" s="1" t="str">
        <f>IF(Table1[[#This Row],[High Tol]]="","N/A",IFERROR(ABS(Table1[[#This Row],[Tol Span]]/Table1[[#This Row],[Error Span]]),"N/A"))</f>
        <v>N/A</v>
      </c>
      <c r="T1576" s="1" t="str">
        <f>IF(OR(Table1[[#This Row],[Low Tol]]="",Table1[[#This Row],[High Tol]]=""),"Needs Analysis",IF(Table1[[#This Row],[Ratio]]&gt;=4,"Not Significant",IF(Table1[[#This Row],[Ratio]]&gt;=2,"Semi-Significant","Significant")))</f>
        <v>Needs Analysis</v>
      </c>
      <c r="W1576" s="1">
        <f>IF(Table1[[#This Row],[Cal Type]]&lt;&gt;"ACCREDITED 17025 WITH UNCERTAINTIES",0,"")</f>
        <v>0</v>
      </c>
      <c r="X1576" s="1" t="str">
        <f>IF(Table1[[#This Row],[DUT Read]]="","N/A",Table1[[#This Row],[Std Error]]+Table1[[#This Row],[DUT Read]]+Table1[[#This Row],[DUT Ucty]])</f>
        <v>N/A</v>
      </c>
      <c r="Y1576" s="1" t="str">
        <f>IF(Table1[[#This Row],[Std Read]]="","N/A",Table1[[#This Row],[Std Read]]+Table1[[#This Row],[Std Ucty]])</f>
        <v>N/A</v>
      </c>
      <c r="Z15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6" s="1" t="str">
        <f>IF(Table1[[#This Row],[Spec Type]]="","N/A",Table1[[#This Row],[Spec Type]])</f>
        <v>±</v>
      </c>
      <c r="AC1576" s="1" t="str">
        <f>IF(Table1[[#This Row],[Spec Type2]]="N/A","N/A",IF(AND(Table1[[#This Row],[DUT Adj Read]]&gt;=Table1[[#This Row],[Low Tol]],Table1[[#This Row],[DUT Adj Read]]&lt;=Table1[[#This Row],[High Tol]]),"Pass","Fail"))</f>
        <v>Fail</v>
      </c>
      <c r="AD1576" s="1" t="str">
        <f>IF(AND(Table1[[#This Row],[Spec Type2]]="N/A",Table1[[#This Row],[DUT Adj Read]]="N/A",Table1[[#This Row],[Std Adj Read]]="N/A"),"N/A",IF(Table1[[#This Row],[DUT Adj Read]]="N/A",IF(Table1[[#This Row],[Std Adj Read]]&gt;Table1[[#This Row],[Low Tol]],"Pass","Fail"),IF(Table1[[#This Row],[DUT Adj Read]]&gt;Table1[[#This Row],[Low Tol]],"Pass","Fail")))</f>
        <v>Pass</v>
      </c>
      <c r="AE1576" s="1" t="str">
        <f>IF(AND(Table1[[#This Row],[Spec Type2]]="N/A",Table1[[#This Row],[DUT Adj Read]]="N/A",Table1[[#This Row],[Std Adj Read]]="N/A"),"N/A",IF(Table1[[#This Row],[DUT Adj Read]]="N/A",IF(Table1[[#This Row],[Std Adj Read]]&lt;Table1[[#This Row],[High Tol]],"Pass","Fail"),IF(Table1[[#This Row],[DUT Adj Read]]&lt;Table1[[#This Row],[High Tol]],"Pass","Fail")))</f>
        <v>Fail</v>
      </c>
      <c r="AF1576" s="1" t="str">
        <f>IF(AND(Table1[[#This Row],[Spec Type2]]="N/A",Table1[[#This Row],[DUT Adj Read]]="N/A",Table1[[#This Row],[Std Adj Read]]="N/A"),"N/A",IF(Table1[[#This Row],[DUT Adj Read]]="N/A",IF(Table1[[#This Row],[Std Adj Read]]&gt;=Table1[[#This Row],[Low Tol]],"Pass","Fail"),IF(Table1[[#This Row],[DUT Adj Read]]&gt;=Table1[[#This Row],[Low Tol]],"Pass","Fail")))</f>
        <v>Pass</v>
      </c>
      <c r="AG1576" s="1" t="str">
        <f>IF(AND(Table1[[#This Row],[Spec Type2]]="N/A",Table1[[#This Row],[DUT Adj Read]]="N/A",Table1[[#This Row],[Std Adj Read]]="N/A"),"N/A",IF(Table1[[#This Row],[DUT Adj Read]]="N/A",IF(Table1[[#This Row],[Std Adj Read]]&lt;=Table1[[#This Row],[High Tol]],"Pass","Fail"),IF(Table1[[#This Row],[DUT Adj Read]]&lt;=Table1[[#This Row],[High Tol]],"Pass","Fail")))</f>
        <v>Fail</v>
      </c>
      <c r="AH15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6" s="1" t="b">
        <v>0</v>
      </c>
      <c r="AN1576" s="1" t="b">
        <v>0</v>
      </c>
      <c r="AO1576" s="1" t="b">
        <v>0</v>
      </c>
    </row>
    <row r="1577" spans="1:41" x14ac:dyDescent="0.25">
      <c r="A1577" s="10"/>
      <c r="B1577" s="10"/>
      <c r="C1577" s="10"/>
      <c r="D1577" s="10"/>
      <c r="E1577" s="10"/>
      <c r="F1577" s="10"/>
      <c r="G1577" s="10"/>
      <c r="H1577" s="10"/>
      <c r="I1577" s="1" t="str">
        <f t="shared" si="72"/>
        <v/>
      </c>
      <c r="J1577" s="1" t="s">
        <v>35</v>
      </c>
      <c r="K1577" s="1" t="str">
        <f t="shared" si="73"/>
        <v/>
      </c>
      <c r="L1577" s="1" t="str">
        <f t="shared" si="74"/>
        <v/>
      </c>
      <c r="M1577" s="1">
        <f>IF(OR(Table1[[#This Row],[Std Nom]]="",Table1[[#This Row],[Std Read]]=""),0,Table1[[#This Row],[Std Nom]]-Table1[[#This Row],[Std Read]])</f>
        <v>0</v>
      </c>
      <c r="N1577" s="1">
        <f>IF(Calculations!$F$5="ACCREDITED 17025 WITH UNCERTAINTIES",$N$10,0)</f>
        <v>0</v>
      </c>
      <c r="Q1577" s="1">
        <f>Table1[[#This Row],[High Tol]]-Table1[[#This Row],[Low Tol]]</f>
        <v>0</v>
      </c>
      <c r="R1577" s="1">
        <f>2*Table1[[#This Row],[Std Error]]</f>
        <v>0</v>
      </c>
      <c r="S1577" s="1" t="str">
        <f>IF(Table1[[#This Row],[High Tol]]="","N/A",IFERROR(ABS(Table1[[#This Row],[Tol Span]]/Table1[[#This Row],[Error Span]]),"N/A"))</f>
        <v>N/A</v>
      </c>
      <c r="T1577" s="1" t="str">
        <f>IF(OR(Table1[[#This Row],[Low Tol]]="",Table1[[#This Row],[High Tol]]=""),"Needs Analysis",IF(Table1[[#This Row],[Ratio]]&gt;=4,"Not Significant",IF(Table1[[#This Row],[Ratio]]&gt;=2,"Semi-Significant","Significant")))</f>
        <v>Needs Analysis</v>
      </c>
      <c r="W1577" s="1">
        <f>IF(Table1[[#This Row],[Cal Type]]&lt;&gt;"ACCREDITED 17025 WITH UNCERTAINTIES",0,"")</f>
        <v>0</v>
      </c>
      <c r="X1577" s="1" t="str">
        <f>IF(Table1[[#This Row],[DUT Read]]="","N/A",Table1[[#This Row],[Std Error]]+Table1[[#This Row],[DUT Read]]+Table1[[#This Row],[DUT Ucty]])</f>
        <v>N/A</v>
      </c>
      <c r="Y1577" s="1" t="str">
        <f>IF(Table1[[#This Row],[Std Read]]="","N/A",Table1[[#This Row],[Std Read]]+Table1[[#This Row],[Std Ucty]])</f>
        <v>N/A</v>
      </c>
      <c r="Z15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7" s="1" t="str">
        <f>IF(Table1[[#This Row],[Spec Type]]="","N/A",Table1[[#This Row],[Spec Type]])</f>
        <v>±</v>
      </c>
      <c r="AC1577" s="1" t="str">
        <f>IF(Table1[[#This Row],[Spec Type2]]="N/A","N/A",IF(AND(Table1[[#This Row],[DUT Adj Read]]&gt;=Table1[[#This Row],[Low Tol]],Table1[[#This Row],[DUT Adj Read]]&lt;=Table1[[#This Row],[High Tol]]),"Pass","Fail"))</f>
        <v>Fail</v>
      </c>
      <c r="AD1577" s="1" t="str">
        <f>IF(AND(Table1[[#This Row],[Spec Type2]]="N/A",Table1[[#This Row],[DUT Adj Read]]="N/A",Table1[[#This Row],[Std Adj Read]]="N/A"),"N/A",IF(Table1[[#This Row],[DUT Adj Read]]="N/A",IF(Table1[[#This Row],[Std Adj Read]]&gt;Table1[[#This Row],[Low Tol]],"Pass","Fail"),IF(Table1[[#This Row],[DUT Adj Read]]&gt;Table1[[#This Row],[Low Tol]],"Pass","Fail")))</f>
        <v>Pass</v>
      </c>
      <c r="AE1577" s="1" t="str">
        <f>IF(AND(Table1[[#This Row],[Spec Type2]]="N/A",Table1[[#This Row],[DUT Adj Read]]="N/A",Table1[[#This Row],[Std Adj Read]]="N/A"),"N/A",IF(Table1[[#This Row],[DUT Adj Read]]="N/A",IF(Table1[[#This Row],[Std Adj Read]]&lt;Table1[[#This Row],[High Tol]],"Pass","Fail"),IF(Table1[[#This Row],[DUT Adj Read]]&lt;Table1[[#This Row],[High Tol]],"Pass","Fail")))</f>
        <v>Fail</v>
      </c>
      <c r="AF1577" s="1" t="str">
        <f>IF(AND(Table1[[#This Row],[Spec Type2]]="N/A",Table1[[#This Row],[DUT Adj Read]]="N/A",Table1[[#This Row],[Std Adj Read]]="N/A"),"N/A",IF(Table1[[#This Row],[DUT Adj Read]]="N/A",IF(Table1[[#This Row],[Std Adj Read]]&gt;=Table1[[#This Row],[Low Tol]],"Pass","Fail"),IF(Table1[[#This Row],[DUT Adj Read]]&gt;=Table1[[#This Row],[Low Tol]],"Pass","Fail")))</f>
        <v>Pass</v>
      </c>
      <c r="AG1577" s="1" t="str">
        <f>IF(AND(Table1[[#This Row],[Spec Type2]]="N/A",Table1[[#This Row],[DUT Adj Read]]="N/A",Table1[[#This Row],[Std Adj Read]]="N/A"),"N/A",IF(Table1[[#This Row],[DUT Adj Read]]="N/A",IF(Table1[[#This Row],[Std Adj Read]]&lt;=Table1[[#This Row],[High Tol]],"Pass","Fail"),IF(Table1[[#This Row],[DUT Adj Read]]&lt;=Table1[[#This Row],[High Tol]],"Pass","Fail")))</f>
        <v>Fail</v>
      </c>
      <c r="AH15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7" s="1" t="b">
        <v>0</v>
      </c>
      <c r="AN1577" s="1" t="b">
        <v>0</v>
      </c>
      <c r="AO1577" s="1" t="b">
        <v>0</v>
      </c>
    </row>
    <row r="1578" spans="1:41" x14ac:dyDescent="0.25">
      <c r="A1578" s="10"/>
      <c r="B1578" s="10"/>
      <c r="C1578" s="10"/>
      <c r="D1578" s="10"/>
      <c r="E1578" s="10"/>
      <c r="F1578" s="10"/>
      <c r="G1578" s="10"/>
      <c r="H1578" s="10"/>
      <c r="I1578" s="1" t="str">
        <f t="shared" si="72"/>
        <v/>
      </c>
      <c r="J1578" s="1" t="s">
        <v>35</v>
      </c>
      <c r="K1578" s="1" t="str">
        <f t="shared" si="73"/>
        <v/>
      </c>
      <c r="L1578" s="1" t="str">
        <f t="shared" si="74"/>
        <v/>
      </c>
      <c r="M1578" s="1">
        <f>IF(OR(Table1[[#This Row],[Std Nom]]="",Table1[[#This Row],[Std Read]]=""),0,Table1[[#This Row],[Std Nom]]-Table1[[#This Row],[Std Read]])</f>
        <v>0</v>
      </c>
      <c r="N1578" s="1">
        <f>IF(Calculations!$F$5="ACCREDITED 17025 WITH UNCERTAINTIES",$N$10,0)</f>
        <v>0</v>
      </c>
      <c r="Q1578" s="1">
        <f>Table1[[#This Row],[High Tol]]-Table1[[#This Row],[Low Tol]]</f>
        <v>0</v>
      </c>
      <c r="R1578" s="1">
        <f>2*Table1[[#This Row],[Std Error]]</f>
        <v>0</v>
      </c>
      <c r="S1578" s="1" t="str">
        <f>IF(Table1[[#This Row],[High Tol]]="","N/A",IFERROR(ABS(Table1[[#This Row],[Tol Span]]/Table1[[#This Row],[Error Span]]),"N/A"))</f>
        <v>N/A</v>
      </c>
      <c r="T1578" s="1" t="str">
        <f>IF(OR(Table1[[#This Row],[Low Tol]]="",Table1[[#This Row],[High Tol]]=""),"Needs Analysis",IF(Table1[[#This Row],[Ratio]]&gt;=4,"Not Significant",IF(Table1[[#This Row],[Ratio]]&gt;=2,"Semi-Significant","Significant")))</f>
        <v>Needs Analysis</v>
      </c>
      <c r="W1578" s="1">
        <f>IF(Table1[[#This Row],[Cal Type]]&lt;&gt;"ACCREDITED 17025 WITH UNCERTAINTIES",0,"")</f>
        <v>0</v>
      </c>
      <c r="X1578" s="1" t="str">
        <f>IF(Table1[[#This Row],[DUT Read]]="","N/A",Table1[[#This Row],[Std Error]]+Table1[[#This Row],[DUT Read]]+Table1[[#This Row],[DUT Ucty]])</f>
        <v>N/A</v>
      </c>
      <c r="Y1578" s="1" t="str">
        <f>IF(Table1[[#This Row],[Std Read]]="","N/A",Table1[[#This Row],[Std Read]]+Table1[[#This Row],[Std Ucty]])</f>
        <v>N/A</v>
      </c>
      <c r="Z15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8" s="1" t="str">
        <f>IF(Table1[[#This Row],[Spec Type]]="","N/A",Table1[[#This Row],[Spec Type]])</f>
        <v>±</v>
      </c>
      <c r="AC1578" s="1" t="str">
        <f>IF(Table1[[#This Row],[Spec Type2]]="N/A","N/A",IF(AND(Table1[[#This Row],[DUT Adj Read]]&gt;=Table1[[#This Row],[Low Tol]],Table1[[#This Row],[DUT Adj Read]]&lt;=Table1[[#This Row],[High Tol]]),"Pass","Fail"))</f>
        <v>Fail</v>
      </c>
      <c r="AD1578" s="1" t="str">
        <f>IF(AND(Table1[[#This Row],[Spec Type2]]="N/A",Table1[[#This Row],[DUT Adj Read]]="N/A",Table1[[#This Row],[Std Adj Read]]="N/A"),"N/A",IF(Table1[[#This Row],[DUT Adj Read]]="N/A",IF(Table1[[#This Row],[Std Adj Read]]&gt;Table1[[#This Row],[Low Tol]],"Pass","Fail"),IF(Table1[[#This Row],[DUT Adj Read]]&gt;Table1[[#This Row],[Low Tol]],"Pass","Fail")))</f>
        <v>Pass</v>
      </c>
      <c r="AE1578" s="1" t="str">
        <f>IF(AND(Table1[[#This Row],[Spec Type2]]="N/A",Table1[[#This Row],[DUT Adj Read]]="N/A",Table1[[#This Row],[Std Adj Read]]="N/A"),"N/A",IF(Table1[[#This Row],[DUT Adj Read]]="N/A",IF(Table1[[#This Row],[Std Adj Read]]&lt;Table1[[#This Row],[High Tol]],"Pass","Fail"),IF(Table1[[#This Row],[DUT Adj Read]]&lt;Table1[[#This Row],[High Tol]],"Pass","Fail")))</f>
        <v>Fail</v>
      </c>
      <c r="AF1578" s="1" t="str">
        <f>IF(AND(Table1[[#This Row],[Spec Type2]]="N/A",Table1[[#This Row],[DUT Adj Read]]="N/A",Table1[[#This Row],[Std Adj Read]]="N/A"),"N/A",IF(Table1[[#This Row],[DUT Adj Read]]="N/A",IF(Table1[[#This Row],[Std Adj Read]]&gt;=Table1[[#This Row],[Low Tol]],"Pass","Fail"),IF(Table1[[#This Row],[DUT Adj Read]]&gt;=Table1[[#This Row],[Low Tol]],"Pass","Fail")))</f>
        <v>Pass</v>
      </c>
      <c r="AG1578" s="1" t="str">
        <f>IF(AND(Table1[[#This Row],[Spec Type2]]="N/A",Table1[[#This Row],[DUT Adj Read]]="N/A",Table1[[#This Row],[Std Adj Read]]="N/A"),"N/A",IF(Table1[[#This Row],[DUT Adj Read]]="N/A",IF(Table1[[#This Row],[Std Adj Read]]&lt;=Table1[[#This Row],[High Tol]],"Pass","Fail"),IF(Table1[[#This Row],[DUT Adj Read]]&lt;=Table1[[#This Row],[High Tol]],"Pass","Fail")))</f>
        <v>Fail</v>
      </c>
      <c r="AH15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8" s="1" t="b">
        <v>0</v>
      </c>
      <c r="AN1578" s="1" t="b">
        <v>0</v>
      </c>
      <c r="AO1578" s="1" t="b">
        <v>0</v>
      </c>
    </row>
    <row r="1579" spans="1:41" x14ac:dyDescent="0.25">
      <c r="A1579" s="10"/>
      <c r="B1579" s="10"/>
      <c r="C1579" s="10"/>
      <c r="D1579" s="10"/>
      <c r="E1579" s="10"/>
      <c r="F1579" s="10"/>
      <c r="G1579" s="10"/>
      <c r="H1579" s="10"/>
      <c r="I1579" s="1" t="str">
        <f t="shared" si="72"/>
        <v/>
      </c>
      <c r="J1579" s="1" t="s">
        <v>35</v>
      </c>
      <c r="K1579" s="1" t="str">
        <f t="shared" si="73"/>
        <v/>
      </c>
      <c r="L1579" s="1" t="str">
        <f t="shared" si="74"/>
        <v/>
      </c>
      <c r="M1579" s="1">
        <f>IF(OR(Table1[[#This Row],[Std Nom]]="",Table1[[#This Row],[Std Read]]=""),0,Table1[[#This Row],[Std Nom]]-Table1[[#This Row],[Std Read]])</f>
        <v>0</v>
      </c>
      <c r="N1579" s="1">
        <f>IF(Calculations!$F$5="ACCREDITED 17025 WITH UNCERTAINTIES",$N$10,0)</f>
        <v>0</v>
      </c>
      <c r="Q1579" s="1">
        <f>Table1[[#This Row],[High Tol]]-Table1[[#This Row],[Low Tol]]</f>
        <v>0</v>
      </c>
      <c r="R1579" s="1">
        <f>2*Table1[[#This Row],[Std Error]]</f>
        <v>0</v>
      </c>
      <c r="S1579" s="1" t="str">
        <f>IF(Table1[[#This Row],[High Tol]]="","N/A",IFERROR(ABS(Table1[[#This Row],[Tol Span]]/Table1[[#This Row],[Error Span]]),"N/A"))</f>
        <v>N/A</v>
      </c>
      <c r="T1579" s="1" t="str">
        <f>IF(OR(Table1[[#This Row],[Low Tol]]="",Table1[[#This Row],[High Tol]]=""),"Needs Analysis",IF(Table1[[#This Row],[Ratio]]&gt;=4,"Not Significant",IF(Table1[[#This Row],[Ratio]]&gt;=2,"Semi-Significant","Significant")))</f>
        <v>Needs Analysis</v>
      </c>
      <c r="W1579" s="1">
        <f>IF(Table1[[#This Row],[Cal Type]]&lt;&gt;"ACCREDITED 17025 WITH UNCERTAINTIES",0,"")</f>
        <v>0</v>
      </c>
      <c r="X1579" s="1" t="str">
        <f>IF(Table1[[#This Row],[DUT Read]]="","N/A",Table1[[#This Row],[Std Error]]+Table1[[#This Row],[DUT Read]]+Table1[[#This Row],[DUT Ucty]])</f>
        <v>N/A</v>
      </c>
      <c r="Y1579" s="1" t="str">
        <f>IF(Table1[[#This Row],[Std Read]]="","N/A",Table1[[#This Row],[Std Read]]+Table1[[#This Row],[Std Ucty]])</f>
        <v>N/A</v>
      </c>
      <c r="Z15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79" s="1" t="str">
        <f>IF(Table1[[#This Row],[Spec Type]]="","N/A",Table1[[#This Row],[Spec Type]])</f>
        <v>±</v>
      </c>
      <c r="AC1579" s="1" t="str">
        <f>IF(Table1[[#This Row],[Spec Type2]]="N/A","N/A",IF(AND(Table1[[#This Row],[DUT Adj Read]]&gt;=Table1[[#This Row],[Low Tol]],Table1[[#This Row],[DUT Adj Read]]&lt;=Table1[[#This Row],[High Tol]]),"Pass","Fail"))</f>
        <v>Fail</v>
      </c>
      <c r="AD1579" s="1" t="str">
        <f>IF(AND(Table1[[#This Row],[Spec Type2]]="N/A",Table1[[#This Row],[DUT Adj Read]]="N/A",Table1[[#This Row],[Std Adj Read]]="N/A"),"N/A",IF(Table1[[#This Row],[DUT Adj Read]]="N/A",IF(Table1[[#This Row],[Std Adj Read]]&gt;Table1[[#This Row],[Low Tol]],"Pass","Fail"),IF(Table1[[#This Row],[DUT Adj Read]]&gt;Table1[[#This Row],[Low Tol]],"Pass","Fail")))</f>
        <v>Pass</v>
      </c>
      <c r="AE1579" s="1" t="str">
        <f>IF(AND(Table1[[#This Row],[Spec Type2]]="N/A",Table1[[#This Row],[DUT Adj Read]]="N/A",Table1[[#This Row],[Std Adj Read]]="N/A"),"N/A",IF(Table1[[#This Row],[DUT Adj Read]]="N/A",IF(Table1[[#This Row],[Std Adj Read]]&lt;Table1[[#This Row],[High Tol]],"Pass","Fail"),IF(Table1[[#This Row],[DUT Adj Read]]&lt;Table1[[#This Row],[High Tol]],"Pass","Fail")))</f>
        <v>Fail</v>
      </c>
      <c r="AF1579" s="1" t="str">
        <f>IF(AND(Table1[[#This Row],[Spec Type2]]="N/A",Table1[[#This Row],[DUT Adj Read]]="N/A",Table1[[#This Row],[Std Adj Read]]="N/A"),"N/A",IF(Table1[[#This Row],[DUT Adj Read]]="N/A",IF(Table1[[#This Row],[Std Adj Read]]&gt;=Table1[[#This Row],[Low Tol]],"Pass","Fail"),IF(Table1[[#This Row],[DUT Adj Read]]&gt;=Table1[[#This Row],[Low Tol]],"Pass","Fail")))</f>
        <v>Pass</v>
      </c>
      <c r="AG1579" s="1" t="str">
        <f>IF(AND(Table1[[#This Row],[Spec Type2]]="N/A",Table1[[#This Row],[DUT Adj Read]]="N/A",Table1[[#This Row],[Std Adj Read]]="N/A"),"N/A",IF(Table1[[#This Row],[DUT Adj Read]]="N/A",IF(Table1[[#This Row],[Std Adj Read]]&lt;=Table1[[#This Row],[High Tol]],"Pass","Fail"),IF(Table1[[#This Row],[DUT Adj Read]]&lt;=Table1[[#This Row],[High Tol]],"Pass","Fail")))</f>
        <v>Fail</v>
      </c>
      <c r="AH15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79" s="1" t="b">
        <v>0</v>
      </c>
      <c r="AN1579" s="1" t="b">
        <v>0</v>
      </c>
      <c r="AO1579" s="1" t="b">
        <v>0</v>
      </c>
    </row>
    <row r="1580" spans="1:41" x14ac:dyDescent="0.25">
      <c r="A1580" s="10"/>
      <c r="B1580" s="10"/>
      <c r="C1580" s="10"/>
      <c r="D1580" s="10"/>
      <c r="E1580" s="10"/>
      <c r="F1580" s="10"/>
      <c r="G1580" s="10"/>
      <c r="H1580" s="10"/>
      <c r="I1580" s="1" t="str">
        <f t="shared" si="72"/>
        <v/>
      </c>
      <c r="J1580" s="1" t="s">
        <v>35</v>
      </c>
      <c r="K1580" s="1" t="str">
        <f t="shared" si="73"/>
        <v/>
      </c>
      <c r="L1580" s="1" t="str">
        <f t="shared" si="74"/>
        <v/>
      </c>
      <c r="M1580" s="1">
        <f>IF(OR(Table1[[#This Row],[Std Nom]]="",Table1[[#This Row],[Std Read]]=""),0,Table1[[#This Row],[Std Nom]]-Table1[[#This Row],[Std Read]])</f>
        <v>0</v>
      </c>
      <c r="N1580" s="1">
        <f>IF(Calculations!$F$5="ACCREDITED 17025 WITH UNCERTAINTIES",$N$10,0)</f>
        <v>0</v>
      </c>
      <c r="Q1580" s="1">
        <f>Table1[[#This Row],[High Tol]]-Table1[[#This Row],[Low Tol]]</f>
        <v>0</v>
      </c>
      <c r="R1580" s="1">
        <f>2*Table1[[#This Row],[Std Error]]</f>
        <v>0</v>
      </c>
      <c r="S1580" s="1" t="str">
        <f>IF(Table1[[#This Row],[High Tol]]="","N/A",IFERROR(ABS(Table1[[#This Row],[Tol Span]]/Table1[[#This Row],[Error Span]]),"N/A"))</f>
        <v>N/A</v>
      </c>
      <c r="T1580" s="1" t="str">
        <f>IF(OR(Table1[[#This Row],[Low Tol]]="",Table1[[#This Row],[High Tol]]=""),"Needs Analysis",IF(Table1[[#This Row],[Ratio]]&gt;=4,"Not Significant",IF(Table1[[#This Row],[Ratio]]&gt;=2,"Semi-Significant","Significant")))</f>
        <v>Needs Analysis</v>
      </c>
      <c r="W1580" s="1">
        <f>IF(Table1[[#This Row],[Cal Type]]&lt;&gt;"ACCREDITED 17025 WITH UNCERTAINTIES",0,"")</f>
        <v>0</v>
      </c>
      <c r="X1580" s="1" t="str">
        <f>IF(Table1[[#This Row],[DUT Read]]="","N/A",Table1[[#This Row],[Std Error]]+Table1[[#This Row],[DUT Read]]+Table1[[#This Row],[DUT Ucty]])</f>
        <v>N/A</v>
      </c>
      <c r="Y1580" s="1" t="str">
        <f>IF(Table1[[#This Row],[Std Read]]="","N/A",Table1[[#This Row],[Std Read]]+Table1[[#This Row],[Std Ucty]])</f>
        <v>N/A</v>
      </c>
      <c r="Z15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0" s="1" t="str">
        <f>IF(Table1[[#This Row],[Spec Type]]="","N/A",Table1[[#This Row],[Spec Type]])</f>
        <v>±</v>
      </c>
      <c r="AC1580" s="1" t="str">
        <f>IF(Table1[[#This Row],[Spec Type2]]="N/A","N/A",IF(AND(Table1[[#This Row],[DUT Adj Read]]&gt;=Table1[[#This Row],[Low Tol]],Table1[[#This Row],[DUT Adj Read]]&lt;=Table1[[#This Row],[High Tol]]),"Pass","Fail"))</f>
        <v>Fail</v>
      </c>
      <c r="AD1580" s="1" t="str">
        <f>IF(AND(Table1[[#This Row],[Spec Type2]]="N/A",Table1[[#This Row],[DUT Adj Read]]="N/A",Table1[[#This Row],[Std Adj Read]]="N/A"),"N/A",IF(Table1[[#This Row],[DUT Adj Read]]="N/A",IF(Table1[[#This Row],[Std Adj Read]]&gt;Table1[[#This Row],[Low Tol]],"Pass","Fail"),IF(Table1[[#This Row],[DUT Adj Read]]&gt;Table1[[#This Row],[Low Tol]],"Pass","Fail")))</f>
        <v>Pass</v>
      </c>
      <c r="AE1580" s="1" t="str">
        <f>IF(AND(Table1[[#This Row],[Spec Type2]]="N/A",Table1[[#This Row],[DUT Adj Read]]="N/A",Table1[[#This Row],[Std Adj Read]]="N/A"),"N/A",IF(Table1[[#This Row],[DUT Adj Read]]="N/A",IF(Table1[[#This Row],[Std Adj Read]]&lt;Table1[[#This Row],[High Tol]],"Pass","Fail"),IF(Table1[[#This Row],[DUT Adj Read]]&lt;Table1[[#This Row],[High Tol]],"Pass","Fail")))</f>
        <v>Fail</v>
      </c>
      <c r="AF1580" s="1" t="str">
        <f>IF(AND(Table1[[#This Row],[Spec Type2]]="N/A",Table1[[#This Row],[DUT Adj Read]]="N/A",Table1[[#This Row],[Std Adj Read]]="N/A"),"N/A",IF(Table1[[#This Row],[DUT Adj Read]]="N/A",IF(Table1[[#This Row],[Std Adj Read]]&gt;=Table1[[#This Row],[Low Tol]],"Pass","Fail"),IF(Table1[[#This Row],[DUT Adj Read]]&gt;=Table1[[#This Row],[Low Tol]],"Pass","Fail")))</f>
        <v>Pass</v>
      </c>
      <c r="AG1580" s="1" t="str">
        <f>IF(AND(Table1[[#This Row],[Spec Type2]]="N/A",Table1[[#This Row],[DUT Adj Read]]="N/A",Table1[[#This Row],[Std Adj Read]]="N/A"),"N/A",IF(Table1[[#This Row],[DUT Adj Read]]="N/A",IF(Table1[[#This Row],[Std Adj Read]]&lt;=Table1[[#This Row],[High Tol]],"Pass","Fail"),IF(Table1[[#This Row],[DUT Adj Read]]&lt;=Table1[[#This Row],[High Tol]],"Pass","Fail")))</f>
        <v>Fail</v>
      </c>
      <c r="AH15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0" s="1" t="b">
        <v>0</v>
      </c>
      <c r="AN1580" s="1" t="b">
        <v>0</v>
      </c>
      <c r="AO1580" s="1" t="b">
        <v>0</v>
      </c>
    </row>
    <row r="1581" spans="1:41" x14ac:dyDescent="0.25">
      <c r="A1581" s="10"/>
      <c r="B1581" s="10"/>
      <c r="C1581" s="10"/>
      <c r="D1581" s="10"/>
      <c r="E1581" s="10"/>
      <c r="F1581" s="10"/>
      <c r="G1581" s="10"/>
      <c r="H1581" s="10"/>
      <c r="I1581" s="1" t="str">
        <f t="shared" si="72"/>
        <v/>
      </c>
      <c r="J1581" s="1" t="s">
        <v>35</v>
      </c>
      <c r="K1581" s="1" t="str">
        <f t="shared" si="73"/>
        <v/>
      </c>
      <c r="L1581" s="1" t="str">
        <f t="shared" si="74"/>
        <v/>
      </c>
      <c r="M1581" s="1">
        <f>IF(OR(Table1[[#This Row],[Std Nom]]="",Table1[[#This Row],[Std Read]]=""),0,Table1[[#This Row],[Std Nom]]-Table1[[#This Row],[Std Read]])</f>
        <v>0</v>
      </c>
      <c r="N1581" s="1">
        <f>IF(Calculations!$F$5="ACCREDITED 17025 WITH UNCERTAINTIES",$N$10,0)</f>
        <v>0</v>
      </c>
      <c r="Q1581" s="1">
        <f>Table1[[#This Row],[High Tol]]-Table1[[#This Row],[Low Tol]]</f>
        <v>0</v>
      </c>
      <c r="R1581" s="1">
        <f>2*Table1[[#This Row],[Std Error]]</f>
        <v>0</v>
      </c>
      <c r="S1581" s="1" t="str">
        <f>IF(Table1[[#This Row],[High Tol]]="","N/A",IFERROR(ABS(Table1[[#This Row],[Tol Span]]/Table1[[#This Row],[Error Span]]),"N/A"))</f>
        <v>N/A</v>
      </c>
      <c r="T1581" s="1" t="str">
        <f>IF(OR(Table1[[#This Row],[Low Tol]]="",Table1[[#This Row],[High Tol]]=""),"Needs Analysis",IF(Table1[[#This Row],[Ratio]]&gt;=4,"Not Significant",IF(Table1[[#This Row],[Ratio]]&gt;=2,"Semi-Significant","Significant")))</f>
        <v>Needs Analysis</v>
      </c>
      <c r="W1581" s="1">
        <f>IF(Table1[[#This Row],[Cal Type]]&lt;&gt;"ACCREDITED 17025 WITH UNCERTAINTIES",0,"")</f>
        <v>0</v>
      </c>
      <c r="X1581" s="1" t="str">
        <f>IF(Table1[[#This Row],[DUT Read]]="","N/A",Table1[[#This Row],[Std Error]]+Table1[[#This Row],[DUT Read]]+Table1[[#This Row],[DUT Ucty]])</f>
        <v>N/A</v>
      </c>
      <c r="Y1581" s="1" t="str">
        <f>IF(Table1[[#This Row],[Std Read]]="","N/A",Table1[[#This Row],[Std Read]]+Table1[[#This Row],[Std Ucty]])</f>
        <v>N/A</v>
      </c>
      <c r="Z15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1" s="1" t="str">
        <f>IF(Table1[[#This Row],[Spec Type]]="","N/A",Table1[[#This Row],[Spec Type]])</f>
        <v>±</v>
      </c>
      <c r="AC1581" s="1" t="str">
        <f>IF(Table1[[#This Row],[Spec Type2]]="N/A","N/A",IF(AND(Table1[[#This Row],[DUT Adj Read]]&gt;=Table1[[#This Row],[Low Tol]],Table1[[#This Row],[DUT Adj Read]]&lt;=Table1[[#This Row],[High Tol]]),"Pass","Fail"))</f>
        <v>Fail</v>
      </c>
      <c r="AD1581" s="1" t="str">
        <f>IF(AND(Table1[[#This Row],[Spec Type2]]="N/A",Table1[[#This Row],[DUT Adj Read]]="N/A",Table1[[#This Row],[Std Adj Read]]="N/A"),"N/A",IF(Table1[[#This Row],[DUT Adj Read]]="N/A",IF(Table1[[#This Row],[Std Adj Read]]&gt;Table1[[#This Row],[Low Tol]],"Pass","Fail"),IF(Table1[[#This Row],[DUT Adj Read]]&gt;Table1[[#This Row],[Low Tol]],"Pass","Fail")))</f>
        <v>Pass</v>
      </c>
      <c r="AE1581" s="1" t="str">
        <f>IF(AND(Table1[[#This Row],[Spec Type2]]="N/A",Table1[[#This Row],[DUT Adj Read]]="N/A",Table1[[#This Row],[Std Adj Read]]="N/A"),"N/A",IF(Table1[[#This Row],[DUT Adj Read]]="N/A",IF(Table1[[#This Row],[Std Adj Read]]&lt;Table1[[#This Row],[High Tol]],"Pass","Fail"),IF(Table1[[#This Row],[DUT Adj Read]]&lt;Table1[[#This Row],[High Tol]],"Pass","Fail")))</f>
        <v>Fail</v>
      </c>
      <c r="AF1581" s="1" t="str">
        <f>IF(AND(Table1[[#This Row],[Spec Type2]]="N/A",Table1[[#This Row],[DUT Adj Read]]="N/A",Table1[[#This Row],[Std Adj Read]]="N/A"),"N/A",IF(Table1[[#This Row],[DUT Adj Read]]="N/A",IF(Table1[[#This Row],[Std Adj Read]]&gt;=Table1[[#This Row],[Low Tol]],"Pass","Fail"),IF(Table1[[#This Row],[DUT Adj Read]]&gt;=Table1[[#This Row],[Low Tol]],"Pass","Fail")))</f>
        <v>Pass</v>
      </c>
      <c r="AG1581" s="1" t="str">
        <f>IF(AND(Table1[[#This Row],[Spec Type2]]="N/A",Table1[[#This Row],[DUT Adj Read]]="N/A",Table1[[#This Row],[Std Adj Read]]="N/A"),"N/A",IF(Table1[[#This Row],[DUT Adj Read]]="N/A",IF(Table1[[#This Row],[Std Adj Read]]&lt;=Table1[[#This Row],[High Tol]],"Pass","Fail"),IF(Table1[[#This Row],[DUT Adj Read]]&lt;=Table1[[#This Row],[High Tol]],"Pass","Fail")))</f>
        <v>Fail</v>
      </c>
      <c r="AH15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1" s="1" t="b">
        <v>0</v>
      </c>
      <c r="AN1581" s="1" t="b">
        <v>0</v>
      </c>
      <c r="AO1581" s="1" t="b">
        <v>0</v>
      </c>
    </row>
    <row r="1582" spans="1:41" x14ac:dyDescent="0.25">
      <c r="A1582" s="10"/>
      <c r="B1582" s="10"/>
      <c r="C1582" s="10"/>
      <c r="D1582" s="10"/>
      <c r="E1582" s="10"/>
      <c r="F1582" s="10"/>
      <c r="G1582" s="10"/>
      <c r="H1582" s="10"/>
      <c r="I1582" s="1" t="str">
        <f t="shared" si="72"/>
        <v/>
      </c>
      <c r="J1582" s="1" t="s">
        <v>35</v>
      </c>
      <c r="K1582" s="1" t="str">
        <f t="shared" si="73"/>
        <v/>
      </c>
      <c r="L1582" s="1" t="str">
        <f t="shared" si="74"/>
        <v/>
      </c>
      <c r="M1582" s="1">
        <f>IF(OR(Table1[[#This Row],[Std Nom]]="",Table1[[#This Row],[Std Read]]=""),0,Table1[[#This Row],[Std Nom]]-Table1[[#This Row],[Std Read]])</f>
        <v>0</v>
      </c>
      <c r="N1582" s="1">
        <f>IF(Calculations!$F$5="ACCREDITED 17025 WITH UNCERTAINTIES",$N$10,0)</f>
        <v>0</v>
      </c>
      <c r="Q1582" s="1">
        <f>Table1[[#This Row],[High Tol]]-Table1[[#This Row],[Low Tol]]</f>
        <v>0</v>
      </c>
      <c r="R1582" s="1">
        <f>2*Table1[[#This Row],[Std Error]]</f>
        <v>0</v>
      </c>
      <c r="S1582" s="1" t="str">
        <f>IF(Table1[[#This Row],[High Tol]]="","N/A",IFERROR(ABS(Table1[[#This Row],[Tol Span]]/Table1[[#This Row],[Error Span]]),"N/A"))</f>
        <v>N/A</v>
      </c>
      <c r="T1582" s="1" t="str">
        <f>IF(OR(Table1[[#This Row],[Low Tol]]="",Table1[[#This Row],[High Tol]]=""),"Needs Analysis",IF(Table1[[#This Row],[Ratio]]&gt;=4,"Not Significant",IF(Table1[[#This Row],[Ratio]]&gt;=2,"Semi-Significant","Significant")))</f>
        <v>Needs Analysis</v>
      </c>
      <c r="W1582" s="1">
        <f>IF(Table1[[#This Row],[Cal Type]]&lt;&gt;"ACCREDITED 17025 WITH UNCERTAINTIES",0,"")</f>
        <v>0</v>
      </c>
      <c r="X1582" s="1" t="str">
        <f>IF(Table1[[#This Row],[DUT Read]]="","N/A",Table1[[#This Row],[Std Error]]+Table1[[#This Row],[DUT Read]]+Table1[[#This Row],[DUT Ucty]])</f>
        <v>N/A</v>
      </c>
      <c r="Y1582" s="1" t="str">
        <f>IF(Table1[[#This Row],[Std Read]]="","N/A",Table1[[#This Row],[Std Read]]+Table1[[#This Row],[Std Ucty]])</f>
        <v>N/A</v>
      </c>
      <c r="Z15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2" s="1" t="str">
        <f>IF(Table1[[#This Row],[Spec Type]]="","N/A",Table1[[#This Row],[Spec Type]])</f>
        <v>±</v>
      </c>
      <c r="AC1582" s="1" t="str">
        <f>IF(Table1[[#This Row],[Spec Type2]]="N/A","N/A",IF(AND(Table1[[#This Row],[DUT Adj Read]]&gt;=Table1[[#This Row],[Low Tol]],Table1[[#This Row],[DUT Adj Read]]&lt;=Table1[[#This Row],[High Tol]]),"Pass","Fail"))</f>
        <v>Fail</v>
      </c>
      <c r="AD1582" s="1" t="str">
        <f>IF(AND(Table1[[#This Row],[Spec Type2]]="N/A",Table1[[#This Row],[DUT Adj Read]]="N/A",Table1[[#This Row],[Std Adj Read]]="N/A"),"N/A",IF(Table1[[#This Row],[DUT Adj Read]]="N/A",IF(Table1[[#This Row],[Std Adj Read]]&gt;Table1[[#This Row],[Low Tol]],"Pass","Fail"),IF(Table1[[#This Row],[DUT Adj Read]]&gt;Table1[[#This Row],[Low Tol]],"Pass","Fail")))</f>
        <v>Pass</v>
      </c>
      <c r="AE1582" s="1" t="str">
        <f>IF(AND(Table1[[#This Row],[Spec Type2]]="N/A",Table1[[#This Row],[DUT Adj Read]]="N/A",Table1[[#This Row],[Std Adj Read]]="N/A"),"N/A",IF(Table1[[#This Row],[DUT Adj Read]]="N/A",IF(Table1[[#This Row],[Std Adj Read]]&lt;Table1[[#This Row],[High Tol]],"Pass","Fail"),IF(Table1[[#This Row],[DUT Adj Read]]&lt;Table1[[#This Row],[High Tol]],"Pass","Fail")))</f>
        <v>Fail</v>
      </c>
      <c r="AF1582" s="1" t="str">
        <f>IF(AND(Table1[[#This Row],[Spec Type2]]="N/A",Table1[[#This Row],[DUT Adj Read]]="N/A",Table1[[#This Row],[Std Adj Read]]="N/A"),"N/A",IF(Table1[[#This Row],[DUT Adj Read]]="N/A",IF(Table1[[#This Row],[Std Adj Read]]&gt;=Table1[[#This Row],[Low Tol]],"Pass","Fail"),IF(Table1[[#This Row],[DUT Adj Read]]&gt;=Table1[[#This Row],[Low Tol]],"Pass","Fail")))</f>
        <v>Pass</v>
      </c>
      <c r="AG1582" s="1" t="str">
        <f>IF(AND(Table1[[#This Row],[Spec Type2]]="N/A",Table1[[#This Row],[DUT Adj Read]]="N/A",Table1[[#This Row],[Std Adj Read]]="N/A"),"N/A",IF(Table1[[#This Row],[DUT Adj Read]]="N/A",IF(Table1[[#This Row],[Std Adj Read]]&lt;=Table1[[#This Row],[High Tol]],"Pass","Fail"),IF(Table1[[#This Row],[DUT Adj Read]]&lt;=Table1[[#This Row],[High Tol]],"Pass","Fail")))</f>
        <v>Fail</v>
      </c>
      <c r="AH15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2" s="1" t="b">
        <v>0</v>
      </c>
      <c r="AN1582" s="1" t="b">
        <v>0</v>
      </c>
      <c r="AO1582" s="1" t="b">
        <v>0</v>
      </c>
    </row>
    <row r="1583" spans="1:41" x14ac:dyDescent="0.25">
      <c r="A1583" s="10"/>
      <c r="B1583" s="10"/>
      <c r="C1583" s="10"/>
      <c r="D1583" s="10"/>
      <c r="E1583" s="10"/>
      <c r="F1583" s="10"/>
      <c r="G1583" s="10"/>
      <c r="H1583" s="10"/>
      <c r="I1583" s="1" t="str">
        <f t="shared" si="72"/>
        <v/>
      </c>
      <c r="J1583" s="1" t="s">
        <v>35</v>
      </c>
      <c r="K1583" s="1" t="str">
        <f t="shared" si="73"/>
        <v/>
      </c>
      <c r="L1583" s="1" t="str">
        <f t="shared" si="74"/>
        <v/>
      </c>
      <c r="M1583" s="1">
        <f>IF(OR(Table1[[#This Row],[Std Nom]]="",Table1[[#This Row],[Std Read]]=""),0,Table1[[#This Row],[Std Nom]]-Table1[[#This Row],[Std Read]])</f>
        <v>0</v>
      </c>
      <c r="N1583" s="1">
        <f>IF(Calculations!$F$5="ACCREDITED 17025 WITH UNCERTAINTIES",$N$10,0)</f>
        <v>0</v>
      </c>
      <c r="Q1583" s="1">
        <f>Table1[[#This Row],[High Tol]]-Table1[[#This Row],[Low Tol]]</f>
        <v>0</v>
      </c>
      <c r="R1583" s="1">
        <f>2*Table1[[#This Row],[Std Error]]</f>
        <v>0</v>
      </c>
      <c r="S1583" s="1" t="str">
        <f>IF(Table1[[#This Row],[High Tol]]="","N/A",IFERROR(ABS(Table1[[#This Row],[Tol Span]]/Table1[[#This Row],[Error Span]]),"N/A"))</f>
        <v>N/A</v>
      </c>
      <c r="T1583" s="1" t="str">
        <f>IF(OR(Table1[[#This Row],[Low Tol]]="",Table1[[#This Row],[High Tol]]=""),"Needs Analysis",IF(Table1[[#This Row],[Ratio]]&gt;=4,"Not Significant",IF(Table1[[#This Row],[Ratio]]&gt;=2,"Semi-Significant","Significant")))</f>
        <v>Needs Analysis</v>
      </c>
      <c r="W1583" s="1">
        <f>IF(Table1[[#This Row],[Cal Type]]&lt;&gt;"ACCREDITED 17025 WITH UNCERTAINTIES",0,"")</f>
        <v>0</v>
      </c>
      <c r="X1583" s="1" t="str">
        <f>IF(Table1[[#This Row],[DUT Read]]="","N/A",Table1[[#This Row],[Std Error]]+Table1[[#This Row],[DUT Read]]+Table1[[#This Row],[DUT Ucty]])</f>
        <v>N/A</v>
      </c>
      <c r="Y1583" s="1" t="str">
        <f>IF(Table1[[#This Row],[Std Read]]="","N/A",Table1[[#This Row],[Std Read]]+Table1[[#This Row],[Std Ucty]])</f>
        <v>N/A</v>
      </c>
      <c r="Z15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3" s="1" t="str">
        <f>IF(Table1[[#This Row],[Spec Type]]="","N/A",Table1[[#This Row],[Spec Type]])</f>
        <v>±</v>
      </c>
      <c r="AC1583" s="1" t="str">
        <f>IF(Table1[[#This Row],[Spec Type2]]="N/A","N/A",IF(AND(Table1[[#This Row],[DUT Adj Read]]&gt;=Table1[[#This Row],[Low Tol]],Table1[[#This Row],[DUT Adj Read]]&lt;=Table1[[#This Row],[High Tol]]),"Pass","Fail"))</f>
        <v>Fail</v>
      </c>
      <c r="AD1583" s="1" t="str">
        <f>IF(AND(Table1[[#This Row],[Spec Type2]]="N/A",Table1[[#This Row],[DUT Adj Read]]="N/A",Table1[[#This Row],[Std Adj Read]]="N/A"),"N/A",IF(Table1[[#This Row],[DUT Adj Read]]="N/A",IF(Table1[[#This Row],[Std Adj Read]]&gt;Table1[[#This Row],[Low Tol]],"Pass","Fail"),IF(Table1[[#This Row],[DUT Adj Read]]&gt;Table1[[#This Row],[Low Tol]],"Pass","Fail")))</f>
        <v>Pass</v>
      </c>
      <c r="AE1583" s="1" t="str">
        <f>IF(AND(Table1[[#This Row],[Spec Type2]]="N/A",Table1[[#This Row],[DUT Adj Read]]="N/A",Table1[[#This Row],[Std Adj Read]]="N/A"),"N/A",IF(Table1[[#This Row],[DUT Adj Read]]="N/A",IF(Table1[[#This Row],[Std Adj Read]]&lt;Table1[[#This Row],[High Tol]],"Pass","Fail"),IF(Table1[[#This Row],[DUT Adj Read]]&lt;Table1[[#This Row],[High Tol]],"Pass","Fail")))</f>
        <v>Fail</v>
      </c>
      <c r="AF1583" s="1" t="str">
        <f>IF(AND(Table1[[#This Row],[Spec Type2]]="N/A",Table1[[#This Row],[DUT Adj Read]]="N/A",Table1[[#This Row],[Std Adj Read]]="N/A"),"N/A",IF(Table1[[#This Row],[DUT Adj Read]]="N/A",IF(Table1[[#This Row],[Std Adj Read]]&gt;=Table1[[#This Row],[Low Tol]],"Pass","Fail"),IF(Table1[[#This Row],[DUT Adj Read]]&gt;=Table1[[#This Row],[Low Tol]],"Pass","Fail")))</f>
        <v>Pass</v>
      </c>
      <c r="AG1583" s="1" t="str">
        <f>IF(AND(Table1[[#This Row],[Spec Type2]]="N/A",Table1[[#This Row],[DUT Adj Read]]="N/A",Table1[[#This Row],[Std Adj Read]]="N/A"),"N/A",IF(Table1[[#This Row],[DUT Adj Read]]="N/A",IF(Table1[[#This Row],[Std Adj Read]]&lt;=Table1[[#This Row],[High Tol]],"Pass","Fail"),IF(Table1[[#This Row],[DUT Adj Read]]&lt;=Table1[[#This Row],[High Tol]],"Pass","Fail")))</f>
        <v>Fail</v>
      </c>
      <c r="AH15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3" s="1" t="b">
        <v>0</v>
      </c>
      <c r="AN1583" s="1" t="b">
        <v>0</v>
      </c>
      <c r="AO1583" s="1" t="b">
        <v>0</v>
      </c>
    </row>
    <row r="1584" spans="1:41" x14ac:dyDescent="0.25">
      <c r="A1584" s="10"/>
      <c r="B1584" s="10"/>
      <c r="C1584" s="10"/>
      <c r="D1584" s="10"/>
      <c r="E1584" s="10"/>
      <c r="F1584" s="10"/>
      <c r="G1584" s="10"/>
      <c r="H1584" s="10"/>
      <c r="I1584" s="1" t="str">
        <f t="shared" si="72"/>
        <v/>
      </c>
      <c r="J1584" s="1" t="s">
        <v>35</v>
      </c>
      <c r="K1584" s="1" t="str">
        <f t="shared" si="73"/>
        <v/>
      </c>
      <c r="L1584" s="1" t="str">
        <f t="shared" si="74"/>
        <v/>
      </c>
      <c r="M1584" s="1">
        <f>IF(OR(Table1[[#This Row],[Std Nom]]="",Table1[[#This Row],[Std Read]]=""),0,Table1[[#This Row],[Std Nom]]-Table1[[#This Row],[Std Read]])</f>
        <v>0</v>
      </c>
      <c r="N1584" s="1">
        <f>IF(Calculations!$F$5="ACCREDITED 17025 WITH UNCERTAINTIES",$N$10,0)</f>
        <v>0</v>
      </c>
      <c r="Q1584" s="1">
        <f>Table1[[#This Row],[High Tol]]-Table1[[#This Row],[Low Tol]]</f>
        <v>0</v>
      </c>
      <c r="R1584" s="1">
        <f>2*Table1[[#This Row],[Std Error]]</f>
        <v>0</v>
      </c>
      <c r="S1584" s="1" t="str">
        <f>IF(Table1[[#This Row],[High Tol]]="","N/A",IFERROR(ABS(Table1[[#This Row],[Tol Span]]/Table1[[#This Row],[Error Span]]),"N/A"))</f>
        <v>N/A</v>
      </c>
      <c r="T1584" s="1" t="str">
        <f>IF(OR(Table1[[#This Row],[Low Tol]]="",Table1[[#This Row],[High Tol]]=""),"Needs Analysis",IF(Table1[[#This Row],[Ratio]]&gt;=4,"Not Significant",IF(Table1[[#This Row],[Ratio]]&gt;=2,"Semi-Significant","Significant")))</f>
        <v>Needs Analysis</v>
      </c>
      <c r="W1584" s="1">
        <f>IF(Table1[[#This Row],[Cal Type]]&lt;&gt;"ACCREDITED 17025 WITH UNCERTAINTIES",0,"")</f>
        <v>0</v>
      </c>
      <c r="X1584" s="1" t="str">
        <f>IF(Table1[[#This Row],[DUT Read]]="","N/A",Table1[[#This Row],[Std Error]]+Table1[[#This Row],[DUT Read]]+Table1[[#This Row],[DUT Ucty]])</f>
        <v>N/A</v>
      </c>
      <c r="Y1584" s="1" t="str">
        <f>IF(Table1[[#This Row],[Std Read]]="","N/A",Table1[[#This Row],[Std Read]]+Table1[[#This Row],[Std Ucty]])</f>
        <v>N/A</v>
      </c>
      <c r="Z15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4" s="1" t="str">
        <f>IF(Table1[[#This Row],[Spec Type]]="","N/A",Table1[[#This Row],[Spec Type]])</f>
        <v>±</v>
      </c>
      <c r="AC1584" s="1" t="str">
        <f>IF(Table1[[#This Row],[Spec Type2]]="N/A","N/A",IF(AND(Table1[[#This Row],[DUT Adj Read]]&gt;=Table1[[#This Row],[Low Tol]],Table1[[#This Row],[DUT Adj Read]]&lt;=Table1[[#This Row],[High Tol]]),"Pass","Fail"))</f>
        <v>Fail</v>
      </c>
      <c r="AD1584" s="1" t="str">
        <f>IF(AND(Table1[[#This Row],[Spec Type2]]="N/A",Table1[[#This Row],[DUT Adj Read]]="N/A",Table1[[#This Row],[Std Adj Read]]="N/A"),"N/A",IF(Table1[[#This Row],[DUT Adj Read]]="N/A",IF(Table1[[#This Row],[Std Adj Read]]&gt;Table1[[#This Row],[Low Tol]],"Pass","Fail"),IF(Table1[[#This Row],[DUT Adj Read]]&gt;Table1[[#This Row],[Low Tol]],"Pass","Fail")))</f>
        <v>Pass</v>
      </c>
      <c r="AE1584" s="1" t="str">
        <f>IF(AND(Table1[[#This Row],[Spec Type2]]="N/A",Table1[[#This Row],[DUT Adj Read]]="N/A",Table1[[#This Row],[Std Adj Read]]="N/A"),"N/A",IF(Table1[[#This Row],[DUT Adj Read]]="N/A",IF(Table1[[#This Row],[Std Adj Read]]&lt;Table1[[#This Row],[High Tol]],"Pass","Fail"),IF(Table1[[#This Row],[DUT Adj Read]]&lt;Table1[[#This Row],[High Tol]],"Pass","Fail")))</f>
        <v>Fail</v>
      </c>
      <c r="AF1584" s="1" t="str">
        <f>IF(AND(Table1[[#This Row],[Spec Type2]]="N/A",Table1[[#This Row],[DUT Adj Read]]="N/A",Table1[[#This Row],[Std Adj Read]]="N/A"),"N/A",IF(Table1[[#This Row],[DUT Adj Read]]="N/A",IF(Table1[[#This Row],[Std Adj Read]]&gt;=Table1[[#This Row],[Low Tol]],"Pass","Fail"),IF(Table1[[#This Row],[DUT Adj Read]]&gt;=Table1[[#This Row],[Low Tol]],"Pass","Fail")))</f>
        <v>Pass</v>
      </c>
      <c r="AG1584" s="1" t="str">
        <f>IF(AND(Table1[[#This Row],[Spec Type2]]="N/A",Table1[[#This Row],[DUT Adj Read]]="N/A",Table1[[#This Row],[Std Adj Read]]="N/A"),"N/A",IF(Table1[[#This Row],[DUT Adj Read]]="N/A",IF(Table1[[#This Row],[Std Adj Read]]&lt;=Table1[[#This Row],[High Tol]],"Pass","Fail"),IF(Table1[[#This Row],[DUT Adj Read]]&lt;=Table1[[#This Row],[High Tol]],"Pass","Fail")))</f>
        <v>Fail</v>
      </c>
      <c r="AH15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4" s="1" t="b">
        <v>0</v>
      </c>
      <c r="AN1584" s="1" t="b">
        <v>0</v>
      </c>
      <c r="AO1584" s="1" t="b">
        <v>0</v>
      </c>
    </row>
    <row r="1585" spans="1:41" x14ac:dyDescent="0.25">
      <c r="A1585" s="10"/>
      <c r="B1585" s="10"/>
      <c r="C1585" s="10"/>
      <c r="D1585" s="10"/>
      <c r="E1585" s="10"/>
      <c r="F1585" s="10"/>
      <c r="G1585" s="10"/>
      <c r="H1585" s="10"/>
      <c r="I1585" s="1" t="str">
        <f t="shared" si="72"/>
        <v/>
      </c>
      <c r="J1585" s="1" t="s">
        <v>35</v>
      </c>
      <c r="K1585" s="1" t="str">
        <f t="shared" si="73"/>
        <v/>
      </c>
      <c r="L1585" s="1" t="str">
        <f t="shared" si="74"/>
        <v/>
      </c>
      <c r="M1585" s="1">
        <f>IF(OR(Table1[[#This Row],[Std Nom]]="",Table1[[#This Row],[Std Read]]=""),0,Table1[[#This Row],[Std Nom]]-Table1[[#This Row],[Std Read]])</f>
        <v>0</v>
      </c>
      <c r="N1585" s="1">
        <f>IF(Calculations!$F$5="ACCREDITED 17025 WITH UNCERTAINTIES",$N$10,0)</f>
        <v>0</v>
      </c>
      <c r="Q1585" s="1">
        <f>Table1[[#This Row],[High Tol]]-Table1[[#This Row],[Low Tol]]</f>
        <v>0</v>
      </c>
      <c r="R1585" s="1">
        <f>2*Table1[[#This Row],[Std Error]]</f>
        <v>0</v>
      </c>
      <c r="S1585" s="1" t="str">
        <f>IF(Table1[[#This Row],[High Tol]]="","N/A",IFERROR(ABS(Table1[[#This Row],[Tol Span]]/Table1[[#This Row],[Error Span]]),"N/A"))</f>
        <v>N/A</v>
      </c>
      <c r="T1585" s="1" t="str">
        <f>IF(OR(Table1[[#This Row],[Low Tol]]="",Table1[[#This Row],[High Tol]]=""),"Needs Analysis",IF(Table1[[#This Row],[Ratio]]&gt;=4,"Not Significant",IF(Table1[[#This Row],[Ratio]]&gt;=2,"Semi-Significant","Significant")))</f>
        <v>Needs Analysis</v>
      </c>
      <c r="W1585" s="1">
        <f>IF(Table1[[#This Row],[Cal Type]]&lt;&gt;"ACCREDITED 17025 WITH UNCERTAINTIES",0,"")</f>
        <v>0</v>
      </c>
      <c r="X1585" s="1" t="str">
        <f>IF(Table1[[#This Row],[DUT Read]]="","N/A",Table1[[#This Row],[Std Error]]+Table1[[#This Row],[DUT Read]]+Table1[[#This Row],[DUT Ucty]])</f>
        <v>N/A</v>
      </c>
      <c r="Y1585" s="1" t="str">
        <f>IF(Table1[[#This Row],[Std Read]]="","N/A",Table1[[#This Row],[Std Read]]+Table1[[#This Row],[Std Ucty]])</f>
        <v>N/A</v>
      </c>
      <c r="Z15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5" s="1" t="str">
        <f>IF(Table1[[#This Row],[Spec Type]]="","N/A",Table1[[#This Row],[Spec Type]])</f>
        <v>±</v>
      </c>
      <c r="AC1585" s="1" t="str">
        <f>IF(Table1[[#This Row],[Spec Type2]]="N/A","N/A",IF(AND(Table1[[#This Row],[DUT Adj Read]]&gt;=Table1[[#This Row],[Low Tol]],Table1[[#This Row],[DUT Adj Read]]&lt;=Table1[[#This Row],[High Tol]]),"Pass","Fail"))</f>
        <v>Fail</v>
      </c>
      <c r="AD1585" s="1" t="str">
        <f>IF(AND(Table1[[#This Row],[Spec Type2]]="N/A",Table1[[#This Row],[DUT Adj Read]]="N/A",Table1[[#This Row],[Std Adj Read]]="N/A"),"N/A",IF(Table1[[#This Row],[DUT Adj Read]]="N/A",IF(Table1[[#This Row],[Std Adj Read]]&gt;Table1[[#This Row],[Low Tol]],"Pass","Fail"),IF(Table1[[#This Row],[DUT Adj Read]]&gt;Table1[[#This Row],[Low Tol]],"Pass","Fail")))</f>
        <v>Pass</v>
      </c>
      <c r="AE1585" s="1" t="str">
        <f>IF(AND(Table1[[#This Row],[Spec Type2]]="N/A",Table1[[#This Row],[DUT Adj Read]]="N/A",Table1[[#This Row],[Std Adj Read]]="N/A"),"N/A",IF(Table1[[#This Row],[DUT Adj Read]]="N/A",IF(Table1[[#This Row],[Std Adj Read]]&lt;Table1[[#This Row],[High Tol]],"Pass","Fail"),IF(Table1[[#This Row],[DUT Adj Read]]&lt;Table1[[#This Row],[High Tol]],"Pass","Fail")))</f>
        <v>Fail</v>
      </c>
      <c r="AF1585" s="1" t="str">
        <f>IF(AND(Table1[[#This Row],[Spec Type2]]="N/A",Table1[[#This Row],[DUT Adj Read]]="N/A",Table1[[#This Row],[Std Adj Read]]="N/A"),"N/A",IF(Table1[[#This Row],[DUT Adj Read]]="N/A",IF(Table1[[#This Row],[Std Adj Read]]&gt;=Table1[[#This Row],[Low Tol]],"Pass","Fail"),IF(Table1[[#This Row],[DUT Adj Read]]&gt;=Table1[[#This Row],[Low Tol]],"Pass","Fail")))</f>
        <v>Pass</v>
      </c>
      <c r="AG1585" s="1" t="str">
        <f>IF(AND(Table1[[#This Row],[Spec Type2]]="N/A",Table1[[#This Row],[DUT Adj Read]]="N/A",Table1[[#This Row],[Std Adj Read]]="N/A"),"N/A",IF(Table1[[#This Row],[DUT Adj Read]]="N/A",IF(Table1[[#This Row],[Std Adj Read]]&lt;=Table1[[#This Row],[High Tol]],"Pass","Fail"),IF(Table1[[#This Row],[DUT Adj Read]]&lt;=Table1[[#This Row],[High Tol]],"Pass","Fail")))</f>
        <v>Fail</v>
      </c>
      <c r="AH15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5" s="1" t="b">
        <v>0</v>
      </c>
      <c r="AN1585" s="1" t="b">
        <v>0</v>
      </c>
      <c r="AO1585" s="1" t="b">
        <v>0</v>
      </c>
    </row>
    <row r="1586" spans="1:41" x14ac:dyDescent="0.25">
      <c r="A1586" s="10"/>
      <c r="B1586" s="10"/>
      <c r="C1586" s="10"/>
      <c r="D1586" s="10"/>
      <c r="E1586" s="10"/>
      <c r="F1586" s="10"/>
      <c r="G1586" s="10"/>
      <c r="H1586" s="10"/>
      <c r="I1586" s="1" t="str">
        <f t="shared" si="72"/>
        <v/>
      </c>
      <c r="J1586" s="1" t="s">
        <v>35</v>
      </c>
      <c r="K1586" s="1" t="str">
        <f t="shared" si="73"/>
        <v/>
      </c>
      <c r="L1586" s="1" t="str">
        <f t="shared" si="74"/>
        <v/>
      </c>
      <c r="M1586" s="1">
        <f>IF(OR(Table1[[#This Row],[Std Nom]]="",Table1[[#This Row],[Std Read]]=""),0,Table1[[#This Row],[Std Nom]]-Table1[[#This Row],[Std Read]])</f>
        <v>0</v>
      </c>
      <c r="N1586" s="1">
        <f>IF(Calculations!$F$5="ACCREDITED 17025 WITH UNCERTAINTIES",$N$10,0)</f>
        <v>0</v>
      </c>
      <c r="Q1586" s="1">
        <f>Table1[[#This Row],[High Tol]]-Table1[[#This Row],[Low Tol]]</f>
        <v>0</v>
      </c>
      <c r="R1586" s="1">
        <f>2*Table1[[#This Row],[Std Error]]</f>
        <v>0</v>
      </c>
      <c r="S1586" s="1" t="str">
        <f>IF(Table1[[#This Row],[High Tol]]="","N/A",IFERROR(ABS(Table1[[#This Row],[Tol Span]]/Table1[[#This Row],[Error Span]]),"N/A"))</f>
        <v>N/A</v>
      </c>
      <c r="T1586" s="1" t="str">
        <f>IF(OR(Table1[[#This Row],[Low Tol]]="",Table1[[#This Row],[High Tol]]=""),"Needs Analysis",IF(Table1[[#This Row],[Ratio]]&gt;=4,"Not Significant",IF(Table1[[#This Row],[Ratio]]&gt;=2,"Semi-Significant","Significant")))</f>
        <v>Needs Analysis</v>
      </c>
      <c r="W1586" s="1">
        <f>IF(Table1[[#This Row],[Cal Type]]&lt;&gt;"ACCREDITED 17025 WITH UNCERTAINTIES",0,"")</f>
        <v>0</v>
      </c>
      <c r="X1586" s="1" t="str">
        <f>IF(Table1[[#This Row],[DUT Read]]="","N/A",Table1[[#This Row],[Std Error]]+Table1[[#This Row],[DUT Read]]+Table1[[#This Row],[DUT Ucty]])</f>
        <v>N/A</v>
      </c>
      <c r="Y1586" s="1" t="str">
        <f>IF(Table1[[#This Row],[Std Read]]="","N/A",Table1[[#This Row],[Std Read]]+Table1[[#This Row],[Std Ucty]])</f>
        <v>N/A</v>
      </c>
      <c r="Z15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6" s="1" t="str">
        <f>IF(Table1[[#This Row],[Spec Type]]="","N/A",Table1[[#This Row],[Spec Type]])</f>
        <v>±</v>
      </c>
      <c r="AC1586" s="1" t="str">
        <f>IF(Table1[[#This Row],[Spec Type2]]="N/A","N/A",IF(AND(Table1[[#This Row],[DUT Adj Read]]&gt;=Table1[[#This Row],[Low Tol]],Table1[[#This Row],[DUT Adj Read]]&lt;=Table1[[#This Row],[High Tol]]),"Pass","Fail"))</f>
        <v>Fail</v>
      </c>
      <c r="AD1586" s="1" t="str">
        <f>IF(AND(Table1[[#This Row],[Spec Type2]]="N/A",Table1[[#This Row],[DUT Adj Read]]="N/A",Table1[[#This Row],[Std Adj Read]]="N/A"),"N/A",IF(Table1[[#This Row],[DUT Adj Read]]="N/A",IF(Table1[[#This Row],[Std Adj Read]]&gt;Table1[[#This Row],[Low Tol]],"Pass","Fail"),IF(Table1[[#This Row],[DUT Adj Read]]&gt;Table1[[#This Row],[Low Tol]],"Pass","Fail")))</f>
        <v>Pass</v>
      </c>
      <c r="AE1586" s="1" t="str">
        <f>IF(AND(Table1[[#This Row],[Spec Type2]]="N/A",Table1[[#This Row],[DUT Adj Read]]="N/A",Table1[[#This Row],[Std Adj Read]]="N/A"),"N/A",IF(Table1[[#This Row],[DUT Adj Read]]="N/A",IF(Table1[[#This Row],[Std Adj Read]]&lt;Table1[[#This Row],[High Tol]],"Pass","Fail"),IF(Table1[[#This Row],[DUT Adj Read]]&lt;Table1[[#This Row],[High Tol]],"Pass","Fail")))</f>
        <v>Fail</v>
      </c>
      <c r="AF1586" s="1" t="str">
        <f>IF(AND(Table1[[#This Row],[Spec Type2]]="N/A",Table1[[#This Row],[DUT Adj Read]]="N/A",Table1[[#This Row],[Std Adj Read]]="N/A"),"N/A",IF(Table1[[#This Row],[DUT Adj Read]]="N/A",IF(Table1[[#This Row],[Std Adj Read]]&gt;=Table1[[#This Row],[Low Tol]],"Pass","Fail"),IF(Table1[[#This Row],[DUT Adj Read]]&gt;=Table1[[#This Row],[Low Tol]],"Pass","Fail")))</f>
        <v>Pass</v>
      </c>
      <c r="AG1586" s="1" t="str">
        <f>IF(AND(Table1[[#This Row],[Spec Type2]]="N/A",Table1[[#This Row],[DUT Adj Read]]="N/A",Table1[[#This Row],[Std Adj Read]]="N/A"),"N/A",IF(Table1[[#This Row],[DUT Adj Read]]="N/A",IF(Table1[[#This Row],[Std Adj Read]]&lt;=Table1[[#This Row],[High Tol]],"Pass","Fail"),IF(Table1[[#This Row],[DUT Adj Read]]&lt;=Table1[[#This Row],[High Tol]],"Pass","Fail")))</f>
        <v>Fail</v>
      </c>
      <c r="AH15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6" s="1" t="b">
        <v>0</v>
      </c>
      <c r="AN1586" s="1" t="b">
        <v>0</v>
      </c>
      <c r="AO1586" s="1" t="b">
        <v>0</v>
      </c>
    </row>
    <row r="1587" spans="1:41" x14ac:dyDescent="0.25">
      <c r="A1587" s="10"/>
      <c r="B1587" s="10"/>
      <c r="C1587" s="10"/>
      <c r="D1587" s="10"/>
      <c r="E1587" s="10"/>
      <c r="F1587" s="10"/>
      <c r="G1587" s="10"/>
      <c r="H1587" s="10"/>
      <c r="I1587" s="1" t="str">
        <f t="shared" si="72"/>
        <v/>
      </c>
      <c r="J1587" s="1" t="s">
        <v>35</v>
      </c>
      <c r="K1587" s="1" t="str">
        <f t="shared" si="73"/>
        <v/>
      </c>
      <c r="L1587" s="1" t="str">
        <f t="shared" si="74"/>
        <v/>
      </c>
      <c r="M1587" s="1">
        <f>IF(OR(Table1[[#This Row],[Std Nom]]="",Table1[[#This Row],[Std Read]]=""),0,Table1[[#This Row],[Std Nom]]-Table1[[#This Row],[Std Read]])</f>
        <v>0</v>
      </c>
      <c r="N1587" s="1">
        <f>IF(Calculations!$F$5="ACCREDITED 17025 WITH UNCERTAINTIES",$N$10,0)</f>
        <v>0</v>
      </c>
      <c r="Q1587" s="1">
        <f>Table1[[#This Row],[High Tol]]-Table1[[#This Row],[Low Tol]]</f>
        <v>0</v>
      </c>
      <c r="R1587" s="1">
        <f>2*Table1[[#This Row],[Std Error]]</f>
        <v>0</v>
      </c>
      <c r="S1587" s="1" t="str">
        <f>IF(Table1[[#This Row],[High Tol]]="","N/A",IFERROR(ABS(Table1[[#This Row],[Tol Span]]/Table1[[#This Row],[Error Span]]),"N/A"))</f>
        <v>N/A</v>
      </c>
      <c r="T1587" s="1" t="str">
        <f>IF(OR(Table1[[#This Row],[Low Tol]]="",Table1[[#This Row],[High Tol]]=""),"Needs Analysis",IF(Table1[[#This Row],[Ratio]]&gt;=4,"Not Significant",IF(Table1[[#This Row],[Ratio]]&gt;=2,"Semi-Significant","Significant")))</f>
        <v>Needs Analysis</v>
      </c>
      <c r="W1587" s="1">
        <f>IF(Table1[[#This Row],[Cal Type]]&lt;&gt;"ACCREDITED 17025 WITH UNCERTAINTIES",0,"")</f>
        <v>0</v>
      </c>
      <c r="X1587" s="1" t="str">
        <f>IF(Table1[[#This Row],[DUT Read]]="","N/A",Table1[[#This Row],[Std Error]]+Table1[[#This Row],[DUT Read]]+Table1[[#This Row],[DUT Ucty]])</f>
        <v>N/A</v>
      </c>
      <c r="Y1587" s="1" t="str">
        <f>IF(Table1[[#This Row],[Std Read]]="","N/A",Table1[[#This Row],[Std Read]]+Table1[[#This Row],[Std Ucty]])</f>
        <v>N/A</v>
      </c>
      <c r="Z15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7" s="1" t="str">
        <f>IF(Table1[[#This Row],[Spec Type]]="","N/A",Table1[[#This Row],[Spec Type]])</f>
        <v>±</v>
      </c>
      <c r="AC1587" s="1" t="str">
        <f>IF(Table1[[#This Row],[Spec Type2]]="N/A","N/A",IF(AND(Table1[[#This Row],[DUT Adj Read]]&gt;=Table1[[#This Row],[Low Tol]],Table1[[#This Row],[DUT Adj Read]]&lt;=Table1[[#This Row],[High Tol]]),"Pass","Fail"))</f>
        <v>Fail</v>
      </c>
      <c r="AD1587" s="1" t="str">
        <f>IF(AND(Table1[[#This Row],[Spec Type2]]="N/A",Table1[[#This Row],[DUT Adj Read]]="N/A",Table1[[#This Row],[Std Adj Read]]="N/A"),"N/A",IF(Table1[[#This Row],[DUT Adj Read]]="N/A",IF(Table1[[#This Row],[Std Adj Read]]&gt;Table1[[#This Row],[Low Tol]],"Pass","Fail"),IF(Table1[[#This Row],[DUT Adj Read]]&gt;Table1[[#This Row],[Low Tol]],"Pass","Fail")))</f>
        <v>Pass</v>
      </c>
      <c r="AE1587" s="1" t="str">
        <f>IF(AND(Table1[[#This Row],[Spec Type2]]="N/A",Table1[[#This Row],[DUT Adj Read]]="N/A",Table1[[#This Row],[Std Adj Read]]="N/A"),"N/A",IF(Table1[[#This Row],[DUT Adj Read]]="N/A",IF(Table1[[#This Row],[Std Adj Read]]&lt;Table1[[#This Row],[High Tol]],"Pass","Fail"),IF(Table1[[#This Row],[DUT Adj Read]]&lt;Table1[[#This Row],[High Tol]],"Pass","Fail")))</f>
        <v>Fail</v>
      </c>
      <c r="AF1587" s="1" t="str">
        <f>IF(AND(Table1[[#This Row],[Spec Type2]]="N/A",Table1[[#This Row],[DUT Adj Read]]="N/A",Table1[[#This Row],[Std Adj Read]]="N/A"),"N/A",IF(Table1[[#This Row],[DUT Adj Read]]="N/A",IF(Table1[[#This Row],[Std Adj Read]]&gt;=Table1[[#This Row],[Low Tol]],"Pass","Fail"),IF(Table1[[#This Row],[DUT Adj Read]]&gt;=Table1[[#This Row],[Low Tol]],"Pass","Fail")))</f>
        <v>Pass</v>
      </c>
      <c r="AG1587" s="1" t="str">
        <f>IF(AND(Table1[[#This Row],[Spec Type2]]="N/A",Table1[[#This Row],[DUT Adj Read]]="N/A",Table1[[#This Row],[Std Adj Read]]="N/A"),"N/A",IF(Table1[[#This Row],[DUT Adj Read]]="N/A",IF(Table1[[#This Row],[Std Adj Read]]&lt;=Table1[[#This Row],[High Tol]],"Pass","Fail"),IF(Table1[[#This Row],[DUT Adj Read]]&lt;=Table1[[#This Row],[High Tol]],"Pass","Fail")))</f>
        <v>Fail</v>
      </c>
      <c r="AH15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7" s="1" t="b">
        <v>0</v>
      </c>
      <c r="AN1587" s="1" t="b">
        <v>0</v>
      </c>
      <c r="AO1587" s="1" t="b">
        <v>0</v>
      </c>
    </row>
    <row r="1588" spans="1:41" x14ac:dyDescent="0.25">
      <c r="A1588" s="10"/>
      <c r="B1588" s="10"/>
      <c r="C1588" s="10"/>
      <c r="D1588" s="10"/>
      <c r="E1588" s="10"/>
      <c r="F1588" s="10"/>
      <c r="G1588" s="10"/>
      <c r="H1588" s="10"/>
      <c r="I1588" s="1" t="str">
        <f t="shared" si="72"/>
        <v/>
      </c>
      <c r="J1588" s="1" t="s">
        <v>35</v>
      </c>
      <c r="K1588" s="1" t="str">
        <f t="shared" si="73"/>
        <v/>
      </c>
      <c r="L1588" s="1" t="str">
        <f t="shared" si="74"/>
        <v/>
      </c>
      <c r="M1588" s="1">
        <f>IF(OR(Table1[[#This Row],[Std Nom]]="",Table1[[#This Row],[Std Read]]=""),0,Table1[[#This Row],[Std Nom]]-Table1[[#This Row],[Std Read]])</f>
        <v>0</v>
      </c>
      <c r="N1588" s="1">
        <f>IF(Calculations!$F$5="ACCREDITED 17025 WITH UNCERTAINTIES",$N$10,0)</f>
        <v>0</v>
      </c>
      <c r="Q1588" s="1">
        <f>Table1[[#This Row],[High Tol]]-Table1[[#This Row],[Low Tol]]</f>
        <v>0</v>
      </c>
      <c r="R1588" s="1">
        <f>2*Table1[[#This Row],[Std Error]]</f>
        <v>0</v>
      </c>
      <c r="S1588" s="1" t="str">
        <f>IF(Table1[[#This Row],[High Tol]]="","N/A",IFERROR(ABS(Table1[[#This Row],[Tol Span]]/Table1[[#This Row],[Error Span]]),"N/A"))</f>
        <v>N/A</v>
      </c>
      <c r="T1588" s="1" t="str">
        <f>IF(OR(Table1[[#This Row],[Low Tol]]="",Table1[[#This Row],[High Tol]]=""),"Needs Analysis",IF(Table1[[#This Row],[Ratio]]&gt;=4,"Not Significant",IF(Table1[[#This Row],[Ratio]]&gt;=2,"Semi-Significant","Significant")))</f>
        <v>Needs Analysis</v>
      </c>
      <c r="W1588" s="1">
        <f>IF(Table1[[#This Row],[Cal Type]]&lt;&gt;"ACCREDITED 17025 WITH UNCERTAINTIES",0,"")</f>
        <v>0</v>
      </c>
      <c r="X1588" s="1" t="str">
        <f>IF(Table1[[#This Row],[DUT Read]]="","N/A",Table1[[#This Row],[Std Error]]+Table1[[#This Row],[DUT Read]]+Table1[[#This Row],[DUT Ucty]])</f>
        <v>N/A</v>
      </c>
      <c r="Y1588" s="1" t="str">
        <f>IF(Table1[[#This Row],[Std Read]]="","N/A",Table1[[#This Row],[Std Read]]+Table1[[#This Row],[Std Ucty]])</f>
        <v>N/A</v>
      </c>
      <c r="Z15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8" s="1" t="str">
        <f>IF(Table1[[#This Row],[Spec Type]]="","N/A",Table1[[#This Row],[Spec Type]])</f>
        <v>±</v>
      </c>
      <c r="AC1588" s="1" t="str">
        <f>IF(Table1[[#This Row],[Spec Type2]]="N/A","N/A",IF(AND(Table1[[#This Row],[DUT Adj Read]]&gt;=Table1[[#This Row],[Low Tol]],Table1[[#This Row],[DUT Adj Read]]&lt;=Table1[[#This Row],[High Tol]]),"Pass","Fail"))</f>
        <v>Fail</v>
      </c>
      <c r="AD1588" s="1" t="str">
        <f>IF(AND(Table1[[#This Row],[Spec Type2]]="N/A",Table1[[#This Row],[DUT Adj Read]]="N/A",Table1[[#This Row],[Std Adj Read]]="N/A"),"N/A",IF(Table1[[#This Row],[DUT Adj Read]]="N/A",IF(Table1[[#This Row],[Std Adj Read]]&gt;Table1[[#This Row],[Low Tol]],"Pass","Fail"),IF(Table1[[#This Row],[DUT Adj Read]]&gt;Table1[[#This Row],[Low Tol]],"Pass","Fail")))</f>
        <v>Pass</v>
      </c>
      <c r="AE1588" s="1" t="str">
        <f>IF(AND(Table1[[#This Row],[Spec Type2]]="N/A",Table1[[#This Row],[DUT Adj Read]]="N/A",Table1[[#This Row],[Std Adj Read]]="N/A"),"N/A",IF(Table1[[#This Row],[DUT Adj Read]]="N/A",IF(Table1[[#This Row],[Std Adj Read]]&lt;Table1[[#This Row],[High Tol]],"Pass","Fail"),IF(Table1[[#This Row],[DUT Adj Read]]&lt;Table1[[#This Row],[High Tol]],"Pass","Fail")))</f>
        <v>Fail</v>
      </c>
      <c r="AF1588" s="1" t="str">
        <f>IF(AND(Table1[[#This Row],[Spec Type2]]="N/A",Table1[[#This Row],[DUT Adj Read]]="N/A",Table1[[#This Row],[Std Adj Read]]="N/A"),"N/A",IF(Table1[[#This Row],[DUT Adj Read]]="N/A",IF(Table1[[#This Row],[Std Adj Read]]&gt;=Table1[[#This Row],[Low Tol]],"Pass","Fail"),IF(Table1[[#This Row],[DUT Adj Read]]&gt;=Table1[[#This Row],[Low Tol]],"Pass","Fail")))</f>
        <v>Pass</v>
      </c>
      <c r="AG1588" s="1" t="str">
        <f>IF(AND(Table1[[#This Row],[Spec Type2]]="N/A",Table1[[#This Row],[DUT Adj Read]]="N/A",Table1[[#This Row],[Std Adj Read]]="N/A"),"N/A",IF(Table1[[#This Row],[DUT Adj Read]]="N/A",IF(Table1[[#This Row],[Std Adj Read]]&lt;=Table1[[#This Row],[High Tol]],"Pass","Fail"),IF(Table1[[#This Row],[DUT Adj Read]]&lt;=Table1[[#This Row],[High Tol]],"Pass","Fail")))</f>
        <v>Fail</v>
      </c>
      <c r="AH15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8" s="1" t="b">
        <v>0</v>
      </c>
      <c r="AN1588" s="1" t="b">
        <v>0</v>
      </c>
      <c r="AO1588" s="1" t="b">
        <v>0</v>
      </c>
    </row>
    <row r="1589" spans="1:41" x14ac:dyDescent="0.25">
      <c r="A1589" s="10"/>
      <c r="B1589" s="10"/>
      <c r="C1589" s="10"/>
      <c r="D1589" s="10"/>
      <c r="E1589" s="10"/>
      <c r="F1589" s="10"/>
      <c r="G1589" s="10"/>
      <c r="H1589" s="10"/>
      <c r="I1589" s="1" t="str">
        <f t="shared" si="72"/>
        <v/>
      </c>
      <c r="J1589" s="1" t="s">
        <v>35</v>
      </c>
      <c r="K1589" s="1" t="str">
        <f t="shared" si="73"/>
        <v/>
      </c>
      <c r="L1589" s="1" t="str">
        <f t="shared" si="74"/>
        <v/>
      </c>
      <c r="M1589" s="1">
        <f>IF(OR(Table1[[#This Row],[Std Nom]]="",Table1[[#This Row],[Std Read]]=""),0,Table1[[#This Row],[Std Nom]]-Table1[[#This Row],[Std Read]])</f>
        <v>0</v>
      </c>
      <c r="N1589" s="1">
        <f>IF(Calculations!$F$5="ACCREDITED 17025 WITH UNCERTAINTIES",$N$10,0)</f>
        <v>0</v>
      </c>
      <c r="Q1589" s="1">
        <f>Table1[[#This Row],[High Tol]]-Table1[[#This Row],[Low Tol]]</f>
        <v>0</v>
      </c>
      <c r="R1589" s="1">
        <f>2*Table1[[#This Row],[Std Error]]</f>
        <v>0</v>
      </c>
      <c r="S1589" s="1" t="str">
        <f>IF(Table1[[#This Row],[High Tol]]="","N/A",IFERROR(ABS(Table1[[#This Row],[Tol Span]]/Table1[[#This Row],[Error Span]]),"N/A"))</f>
        <v>N/A</v>
      </c>
      <c r="T1589" s="1" t="str">
        <f>IF(OR(Table1[[#This Row],[Low Tol]]="",Table1[[#This Row],[High Tol]]=""),"Needs Analysis",IF(Table1[[#This Row],[Ratio]]&gt;=4,"Not Significant",IF(Table1[[#This Row],[Ratio]]&gt;=2,"Semi-Significant","Significant")))</f>
        <v>Needs Analysis</v>
      </c>
      <c r="W1589" s="1">
        <f>IF(Table1[[#This Row],[Cal Type]]&lt;&gt;"ACCREDITED 17025 WITH UNCERTAINTIES",0,"")</f>
        <v>0</v>
      </c>
      <c r="X1589" s="1" t="str">
        <f>IF(Table1[[#This Row],[DUT Read]]="","N/A",Table1[[#This Row],[Std Error]]+Table1[[#This Row],[DUT Read]]+Table1[[#This Row],[DUT Ucty]])</f>
        <v>N/A</v>
      </c>
      <c r="Y1589" s="1" t="str">
        <f>IF(Table1[[#This Row],[Std Read]]="","N/A",Table1[[#This Row],[Std Read]]+Table1[[#This Row],[Std Ucty]])</f>
        <v>N/A</v>
      </c>
      <c r="Z15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89" s="1" t="str">
        <f>IF(Table1[[#This Row],[Spec Type]]="","N/A",Table1[[#This Row],[Spec Type]])</f>
        <v>±</v>
      </c>
      <c r="AC1589" s="1" t="str">
        <f>IF(Table1[[#This Row],[Spec Type2]]="N/A","N/A",IF(AND(Table1[[#This Row],[DUT Adj Read]]&gt;=Table1[[#This Row],[Low Tol]],Table1[[#This Row],[DUT Adj Read]]&lt;=Table1[[#This Row],[High Tol]]),"Pass","Fail"))</f>
        <v>Fail</v>
      </c>
      <c r="AD1589" s="1" t="str">
        <f>IF(AND(Table1[[#This Row],[Spec Type2]]="N/A",Table1[[#This Row],[DUT Adj Read]]="N/A",Table1[[#This Row],[Std Adj Read]]="N/A"),"N/A",IF(Table1[[#This Row],[DUT Adj Read]]="N/A",IF(Table1[[#This Row],[Std Adj Read]]&gt;Table1[[#This Row],[Low Tol]],"Pass","Fail"),IF(Table1[[#This Row],[DUT Adj Read]]&gt;Table1[[#This Row],[Low Tol]],"Pass","Fail")))</f>
        <v>Pass</v>
      </c>
      <c r="AE1589" s="1" t="str">
        <f>IF(AND(Table1[[#This Row],[Spec Type2]]="N/A",Table1[[#This Row],[DUT Adj Read]]="N/A",Table1[[#This Row],[Std Adj Read]]="N/A"),"N/A",IF(Table1[[#This Row],[DUT Adj Read]]="N/A",IF(Table1[[#This Row],[Std Adj Read]]&lt;Table1[[#This Row],[High Tol]],"Pass","Fail"),IF(Table1[[#This Row],[DUT Adj Read]]&lt;Table1[[#This Row],[High Tol]],"Pass","Fail")))</f>
        <v>Fail</v>
      </c>
      <c r="AF1589" s="1" t="str">
        <f>IF(AND(Table1[[#This Row],[Spec Type2]]="N/A",Table1[[#This Row],[DUT Adj Read]]="N/A",Table1[[#This Row],[Std Adj Read]]="N/A"),"N/A",IF(Table1[[#This Row],[DUT Adj Read]]="N/A",IF(Table1[[#This Row],[Std Adj Read]]&gt;=Table1[[#This Row],[Low Tol]],"Pass","Fail"),IF(Table1[[#This Row],[DUT Adj Read]]&gt;=Table1[[#This Row],[Low Tol]],"Pass","Fail")))</f>
        <v>Pass</v>
      </c>
      <c r="AG1589" s="1" t="str">
        <f>IF(AND(Table1[[#This Row],[Spec Type2]]="N/A",Table1[[#This Row],[DUT Adj Read]]="N/A",Table1[[#This Row],[Std Adj Read]]="N/A"),"N/A",IF(Table1[[#This Row],[DUT Adj Read]]="N/A",IF(Table1[[#This Row],[Std Adj Read]]&lt;=Table1[[#This Row],[High Tol]],"Pass","Fail"),IF(Table1[[#This Row],[DUT Adj Read]]&lt;=Table1[[#This Row],[High Tol]],"Pass","Fail")))</f>
        <v>Fail</v>
      </c>
      <c r="AH15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89" s="1" t="b">
        <v>0</v>
      </c>
      <c r="AN1589" s="1" t="b">
        <v>0</v>
      </c>
      <c r="AO1589" s="1" t="b">
        <v>0</v>
      </c>
    </row>
    <row r="1590" spans="1:41" x14ac:dyDescent="0.25">
      <c r="A1590" s="10"/>
      <c r="B1590" s="10"/>
      <c r="C1590" s="10"/>
      <c r="D1590" s="10"/>
      <c r="E1590" s="10"/>
      <c r="F1590" s="10"/>
      <c r="G1590" s="10"/>
      <c r="H1590" s="10"/>
      <c r="I1590" s="1" t="str">
        <f t="shared" si="72"/>
        <v/>
      </c>
      <c r="J1590" s="1" t="s">
        <v>35</v>
      </c>
      <c r="K1590" s="1" t="str">
        <f t="shared" si="73"/>
        <v/>
      </c>
      <c r="L1590" s="1" t="str">
        <f t="shared" si="74"/>
        <v/>
      </c>
      <c r="M1590" s="1">
        <f>IF(OR(Table1[[#This Row],[Std Nom]]="",Table1[[#This Row],[Std Read]]=""),0,Table1[[#This Row],[Std Nom]]-Table1[[#This Row],[Std Read]])</f>
        <v>0</v>
      </c>
      <c r="N1590" s="1">
        <f>IF(Calculations!$F$5="ACCREDITED 17025 WITH UNCERTAINTIES",$N$10,0)</f>
        <v>0</v>
      </c>
      <c r="Q1590" s="1">
        <f>Table1[[#This Row],[High Tol]]-Table1[[#This Row],[Low Tol]]</f>
        <v>0</v>
      </c>
      <c r="R1590" s="1">
        <f>2*Table1[[#This Row],[Std Error]]</f>
        <v>0</v>
      </c>
      <c r="S1590" s="1" t="str">
        <f>IF(Table1[[#This Row],[High Tol]]="","N/A",IFERROR(ABS(Table1[[#This Row],[Tol Span]]/Table1[[#This Row],[Error Span]]),"N/A"))</f>
        <v>N/A</v>
      </c>
      <c r="T1590" s="1" t="str">
        <f>IF(OR(Table1[[#This Row],[Low Tol]]="",Table1[[#This Row],[High Tol]]=""),"Needs Analysis",IF(Table1[[#This Row],[Ratio]]&gt;=4,"Not Significant",IF(Table1[[#This Row],[Ratio]]&gt;=2,"Semi-Significant","Significant")))</f>
        <v>Needs Analysis</v>
      </c>
      <c r="W1590" s="1">
        <f>IF(Table1[[#This Row],[Cal Type]]&lt;&gt;"ACCREDITED 17025 WITH UNCERTAINTIES",0,"")</f>
        <v>0</v>
      </c>
      <c r="X1590" s="1" t="str">
        <f>IF(Table1[[#This Row],[DUT Read]]="","N/A",Table1[[#This Row],[Std Error]]+Table1[[#This Row],[DUT Read]]+Table1[[#This Row],[DUT Ucty]])</f>
        <v>N/A</v>
      </c>
      <c r="Y1590" s="1" t="str">
        <f>IF(Table1[[#This Row],[Std Read]]="","N/A",Table1[[#This Row],[Std Read]]+Table1[[#This Row],[Std Ucty]])</f>
        <v>N/A</v>
      </c>
      <c r="Z15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0" s="1" t="str">
        <f>IF(Table1[[#This Row],[Spec Type]]="","N/A",Table1[[#This Row],[Spec Type]])</f>
        <v>±</v>
      </c>
      <c r="AC1590" s="1" t="str">
        <f>IF(Table1[[#This Row],[Spec Type2]]="N/A","N/A",IF(AND(Table1[[#This Row],[DUT Adj Read]]&gt;=Table1[[#This Row],[Low Tol]],Table1[[#This Row],[DUT Adj Read]]&lt;=Table1[[#This Row],[High Tol]]),"Pass","Fail"))</f>
        <v>Fail</v>
      </c>
      <c r="AD1590" s="1" t="str">
        <f>IF(AND(Table1[[#This Row],[Spec Type2]]="N/A",Table1[[#This Row],[DUT Adj Read]]="N/A",Table1[[#This Row],[Std Adj Read]]="N/A"),"N/A",IF(Table1[[#This Row],[DUT Adj Read]]="N/A",IF(Table1[[#This Row],[Std Adj Read]]&gt;Table1[[#This Row],[Low Tol]],"Pass","Fail"),IF(Table1[[#This Row],[DUT Adj Read]]&gt;Table1[[#This Row],[Low Tol]],"Pass","Fail")))</f>
        <v>Pass</v>
      </c>
      <c r="AE1590" s="1" t="str">
        <f>IF(AND(Table1[[#This Row],[Spec Type2]]="N/A",Table1[[#This Row],[DUT Adj Read]]="N/A",Table1[[#This Row],[Std Adj Read]]="N/A"),"N/A",IF(Table1[[#This Row],[DUT Adj Read]]="N/A",IF(Table1[[#This Row],[Std Adj Read]]&lt;Table1[[#This Row],[High Tol]],"Pass","Fail"),IF(Table1[[#This Row],[DUT Adj Read]]&lt;Table1[[#This Row],[High Tol]],"Pass","Fail")))</f>
        <v>Fail</v>
      </c>
      <c r="AF1590" s="1" t="str">
        <f>IF(AND(Table1[[#This Row],[Spec Type2]]="N/A",Table1[[#This Row],[DUT Adj Read]]="N/A",Table1[[#This Row],[Std Adj Read]]="N/A"),"N/A",IF(Table1[[#This Row],[DUT Adj Read]]="N/A",IF(Table1[[#This Row],[Std Adj Read]]&gt;=Table1[[#This Row],[Low Tol]],"Pass","Fail"),IF(Table1[[#This Row],[DUT Adj Read]]&gt;=Table1[[#This Row],[Low Tol]],"Pass","Fail")))</f>
        <v>Pass</v>
      </c>
      <c r="AG1590" s="1" t="str">
        <f>IF(AND(Table1[[#This Row],[Spec Type2]]="N/A",Table1[[#This Row],[DUT Adj Read]]="N/A",Table1[[#This Row],[Std Adj Read]]="N/A"),"N/A",IF(Table1[[#This Row],[DUT Adj Read]]="N/A",IF(Table1[[#This Row],[Std Adj Read]]&lt;=Table1[[#This Row],[High Tol]],"Pass","Fail"),IF(Table1[[#This Row],[DUT Adj Read]]&lt;=Table1[[#This Row],[High Tol]],"Pass","Fail")))</f>
        <v>Fail</v>
      </c>
      <c r="AH15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0" s="1" t="b">
        <v>0</v>
      </c>
      <c r="AN1590" s="1" t="b">
        <v>0</v>
      </c>
      <c r="AO1590" s="1" t="b">
        <v>0</v>
      </c>
    </row>
    <row r="1591" spans="1:41" x14ac:dyDescent="0.25">
      <c r="A1591" s="10"/>
      <c r="B1591" s="10"/>
      <c r="C1591" s="10"/>
      <c r="D1591" s="10"/>
      <c r="E1591" s="10"/>
      <c r="F1591" s="10"/>
      <c r="G1591" s="10"/>
      <c r="H1591" s="10"/>
      <c r="I1591" s="1" t="str">
        <f t="shared" si="72"/>
        <v/>
      </c>
      <c r="J1591" s="1" t="s">
        <v>35</v>
      </c>
      <c r="K1591" s="1" t="str">
        <f t="shared" si="73"/>
        <v/>
      </c>
      <c r="L1591" s="1" t="str">
        <f t="shared" si="74"/>
        <v/>
      </c>
      <c r="M1591" s="1">
        <f>IF(OR(Table1[[#This Row],[Std Nom]]="",Table1[[#This Row],[Std Read]]=""),0,Table1[[#This Row],[Std Nom]]-Table1[[#This Row],[Std Read]])</f>
        <v>0</v>
      </c>
      <c r="N1591" s="1">
        <f>IF(Calculations!$F$5="ACCREDITED 17025 WITH UNCERTAINTIES",$N$10,0)</f>
        <v>0</v>
      </c>
      <c r="Q1591" s="1">
        <f>Table1[[#This Row],[High Tol]]-Table1[[#This Row],[Low Tol]]</f>
        <v>0</v>
      </c>
      <c r="R1591" s="1">
        <f>2*Table1[[#This Row],[Std Error]]</f>
        <v>0</v>
      </c>
      <c r="S1591" s="1" t="str">
        <f>IF(Table1[[#This Row],[High Tol]]="","N/A",IFERROR(ABS(Table1[[#This Row],[Tol Span]]/Table1[[#This Row],[Error Span]]),"N/A"))</f>
        <v>N/A</v>
      </c>
      <c r="T1591" s="1" t="str">
        <f>IF(OR(Table1[[#This Row],[Low Tol]]="",Table1[[#This Row],[High Tol]]=""),"Needs Analysis",IF(Table1[[#This Row],[Ratio]]&gt;=4,"Not Significant",IF(Table1[[#This Row],[Ratio]]&gt;=2,"Semi-Significant","Significant")))</f>
        <v>Needs Analysis</v>
      </c>
      <c r="W1591" s="1">
        <f>IF(Table1[[#This Row],[Cal Type]]&lt;&gt;"ACCREDITED 17025 WITH UNCERTAINTIES",0,"")</f>
        <v>0</v>
      </c>
      <c r="X1591" s="1" t="str">
        <f>IF(Table1[[#This Row],[DUT Read]]="","N/A",Table1[[#This Row],[Std Error]]+Table1[[#This Row],[DUT Read]]+Table1[[#This Row],[DUT Ucty]])</f>
        <v>N/A</v>
      </c>
      <c r="Y1591" s="1" t="str">
        <f>IF(Table1[[#This Row],[Std Read]]="","N/A",Table1[[#This Row],[Std Read]]+Table1[[#This Row],[Std Ucty]])</f>
        <v>N/A</v>
      </c>
      <c r="Z15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1" s="1" t="str">
        <f>IF(Table1[[#This Row],[Spec Type]]="","N/A",Table1[[#This Row],[Spec Type]])</f>
        <v>±</v>
      </c>
      <c r="AC1591" s="1" t="str">
        <f>IF(Table1[[#This Row],[Spec Type2]]="N/A","N/A",IF(AND(Table1[[#This Row],[DUT Adj Read]]&gt;=Table1[[#This Row],[Low Tol]],Table1[[#This Row],[DUT Adj Read]]&lt;=Table1[[#This Row],[High Tol]]),"Pass","Fail"))</f>
        <v>Fail</v>
      </c>
      <c r="AD1591" s="1" t="str">
        <f>IF(AND(Table1[[#This Row],[Spec Type2]]="N/A",Table1[[#This Row],[DUT Adj Read]]="N/A",Table1[[#This Row],[Std Adj Read]]="N/A"),"N/A",IF(Table1[[#This Row],[DUT Adj Read]]="N/A",IF(Table1[[#This Row],[Std Adj Read]]&gt;Table1[[#This Row],[Low Tol]],"Pass","Fail"),IF(Table1[[#This Row],[DUT Adj Read]]&gt;Table1[[#This Row],[Low Tol]],"Pass","Fail")))</f>
        <v>Pass</v>
      </c>
      <c r="AE1591" s="1" t="str">
        <f>IF(AND(Table1[[#This Row],[Spec Type2]]="N/A",Table1[[#This Row],[DUT Adj Read]]="N/A",Table1[[#This Row],[Std Adj Read]]="N/A"),"N/A",IF(Table1[[#This Row],[DUT Adj Read]]="N/A",IF(Table1[[#This Row],[Std Adj Read]]&lt;Table1[[#This Row],[High Tol]],"Pass","Fail"),IF(Table1[[#This Row],[DUT Adj Read]]&lt;Table1[[#This Row],[High Tol]],"Pass","Fail")))</f>
        <v>Fail</v>
      </c>
      <c r="AF1591" s="1" t="str">
        <f>IF(AND(Table1[[#This Row],[Spec Type2]]="N/A",Table1[[#This Row],[DUT Adj Read]]="N/A",Table1[[#This Row],[Std Adj Read]]="N/A"),"N/A",IF(Table1[[#This Row],[DUT Adj Read]]="N/A",IF(Table1[[#This Row],[Std Adj Read]]&gt;=Table1[[#This Row],[Low Tol]],"Pass","Fail"),IF(Table1[[#This Row],[DUT Adj Read]]&gt;=Table1[[#This Row],[Low Tol]],"Pass","Fail")))</f>
        <v>Pass</v>
      </c>
      <c r="AG1591" s="1" t="str">
        <f>IF(AND(Table1[[#This Row],[Spec Type2]]="N/A",Table1[[#This Row],[DUT Adj Read]]="N/A",Table1[[#This Row],[Std Adj Read]]="N/A"),"N/A",IF(Table1[[#This Row],[DUT Adj Read]]="N/A",IF(Table1[[#This Row],[Std Adj Read]]&lt;=Table1[[#This Row],[High Tol]],"Pass","Fail"),IF(Table1[[#This Row],[DUT Adj Read]]&lt;=Table1[[#This Row],[High Tol]],"Pass","Fail")))</f>
        <v>Fail</v>
      </c>
      <c r="AH15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1" s="1" t="b">
        <v>0</v>
      </c>
      <c r="AN1591" s="1" t="b">
        <v>0</v>
      </c>
      <c r="AO1591" s="1" t="b">
        <v>0</v>
      </c>
    </row>
    <row r="1592" spans="1:41" x14ac:dyDescent="0.25">
      <c r="A1592" s="10"/>
      <c r="B1592" s="10"/>
      <c r="C1592" s="10"/>
      <c r="D1592" s="10"/>
      <c r="E1592" s="10"/>
      <c r="F1592" s="10"/>
      <c r="G1592" s="10"/>
      <c r="H1592" s="10"/>
      <c r="I1592" s="1" t="str">
        <f t="shared" si="72"/>
        <v/>
      </c>
      <c r="J1592" s="1" t="s">
        <v>35</v>
      </c>
      <c r="K1592" s="1" t="str">
        <f t="shared" si="73"/>
        <v/>
      </c>
      <c r="L1592" s="1" t="str">
        <f t="shared" si="74"/>
        <v/>
      </c>
      <c r="M1592" s="1">
        <f>IF(OR(Table1[[#This Row],[Std Nom]]="",Table1[[#This Row],[Std Read]]=""),0,Table1[[#This Row],[Std Nom]]-Table1[[#This Row],[Std Read]])</f>
        <v>0</v>
      </c>
      <c r="N1592" s="1">
        <f>IF(Calculations!$F$5="ACCREDITED 17025 WITH UNCERTAINTIES",$N$10,0)</f>
        <v>0</v>
      </c>
      <c r="Q1592" s="1">
        <f>Table1[[#This Row],[High Tol]]-Table1[[#This Row],[Low Tol]]</f>
        <v>0</v>
      </c>
      <c r="R1592" s="1">
        <f>2*Table1[[#This Row],[Std Error]]</f>
        <v>0</v>
      </c>
      <c r="S1592" s="1" t="str">
        <f>IF(Table1[[#This Row],[High Tol]]="","N/A",IFERROR(ABS(Table1[[#This Row],[Tol Span]]/Table1[[#This Row],[Error Span]]),"N/A"))</f>
        <v>N/A</v>
      </c>
      <c r="T1592" s="1" t="str">
        <f>IF(OR(Table1[[#This Row],[Low Tol]]="",Table1[[#This Row],[High Tol]]=""),"Needs Analysis",IF(Table1[[#This Row],[Ratio]]&gt;=4,"Not Significant",IF(Table1[[#This Row],[Ratio]]&gt;=2,"Semi-Significant","Significant")))</f>
        <v>Needs Analysis</v>
      </c>
      <c r="W1592" s="1">
        <f>IF(Table1[[#This Row],[Cal Type]]&lt;&gt;"ACCREDITED 17025 WITH UNCERTAINTIES",0,"")</f>
        <v>0</v>
      </c>
      <c r="X1592" s="1" t="str">
        <f>IF(Table1[[#This Row],[DUT Read]]="","N/A",Table1[[#This Row],[Std Error]]+Table1[[#This Row],[DUT Read]]+Table1[[#This Row],[DUT Ucty]])</f>
        <v>N/A</v>
      </c>
      <c r="Y1592" s="1" t="str">
        <f>IF(Table1[[#This Row],[Std Read]]="","N/A",Table1[[#This Row],[Std Read]]+Table1[[#This Row],[Std Ucty]])</f>
        <v>N/A</v>
      </c>
      <c r="Z15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2" s="1" t="str">
        <f>IF(Table1[[#This Row],[Spec Type]]="","N/A",Table1[[#This Row],[Spec Type]])</f>
        <v>±</v>
      </c>
      <c r="AC1592" s="1" t="str">
        <f>IF(Table1[[#This Row],[Spec Type2]]="N/A","N/A",IF(AND(Table1[[#This Row],[DUT Adj Read]]&gt;=Table1[[#This Row],[Low Tol]],Table1[[#This Row],[DUT Adj Read]]&lt;=Table1[[#This Row],[High Tol]]),"Pass","Fail"))</f>
        <v>Fail</v>
      </c>
      <c r="AD1592" s="1" t="str">
        <f>IF(AND(Table1[[#This Row],[Spec Type2]]="N/A",Table1[[#This Row],[DUT Adj Read]]="N/A",Table1[[#This Row],[Std Adj Read]]="N/A"),"N/A",IF(Table1[[#This Row],[DUT Adj Read]]="N/A",IF(Table1[[#This Row],[Std Adj Read]]&gt;Table1[[#This Row],[Low Tol]],"Pass","Fail"),IF(Table1[[#This Row],[DUT Adj Read]]&gt;Table1[[#This Row],[Low Tol]],"Pass","Fail")))</f>
        <v>Pass</v>
      </c>
      <c r="AE1592" s="1" t="str">
        <f>IF(AND(Table1[[#This Row],[Spec Type2]]="N/A",Table1[[#This Row],[DUT Adj Read]]="N/A",Table1[[#This Row],[Std Adj Read]]="N/A"),"N/A",IF(Table1[[#This Row],[DUT Adj Read]]="N/A",IF(Table1[[#This Row],[Std Adj Read]]&lt;Table1[[#This Row],[High Tol]],"Pass","Fail"),IF(Table1[[#This Row],[DUT Adj Read]]&lt;Table1[[#This Row],[High Tol]],"Pass","Fail")))</f>
        <v>Fail</v>
      </c>
      <c r="AF1592" s="1" t="str">
        <f>IF(AND(Table1[[#This Row],[Spec Type2]]="N/A",Table1[[#This Row],[DUT Adj Read]]="N/A",Table1[[#This Row],[Std Adj Read]]="N/A"),"N/A",IF(Table1[[#This Row],[DUT Adj Read]]="N/A",IF(Table1[[#This Row],[Std Adj Read]]&gt;=Table1[[#This Row],[Low Tol]],"Pass","Fail"),IF(Table1[[#This Row],[DUT Adj Read]]&gt;=Table1[[#This Row],[Low Tol]],"Pass","Fail")))</f>
        <v>Pass</v>
      </c>
      <c r="AG1592" s="1" t="str">
        <f>IF(AND(Table1[[#This Row],[Spec Type2]]="N/A",Table1[[#This Row],[DUT Adj Read]]="N/A",Table1[[#This Row],[Std Adj Read]]="N/A"),"N/A",IF(Table1[[#This Row],[DUT Adj Read]]="N/A",IF(Table1[[#This Row],[Std Adj Read]]&lt;=Table1[[#This Row],[High Tol]],"Pass","Fail"),IF(Table1[[#This Row],[DUT Adj Read]]&lt;=Table1[[#This Row],[High Tol]],"Pass","Fail")))</f>
        <v>Fail</v>
      </c>
      <c r="AH15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2" s="1" t="b">
        <v>0</v>
      </c>
      <c r="AN1592" s="1" t="b">
        <v>0</v>
      </c>
      <c r="AO1592" s="1" t="b">
        <v>0</v>
      </c>
    </row>
    <row r="1593" spans="1:41" x14ac:dyDescent="0.25">
      <c r="A1593" s="10"/>
      <c r="B1593" s="10"/>
      <c r="C1593" s="10"/>
      <c r="D1593" s="10"/>
      <c r="E1593" s="10"/>
      <c r="F1593" s="10"/>
      <c r="G1593" s="10"/>
      <c r="H1593" s="10"/>
      <c r="I1593" s="1" t="str">
        <f t="shared" si="72"/>
        <v/>
      </c>
      <c r="J1593" s="1" t="s">
        <v>35</v>
      </c>
      <c r="K1593" s="1" t="str">
        <f t="shared" si="73"/>
        <v/>
      </c>
      <c r="L1593" s="1" t="str">
        <f t="shared" si="74"/>
        <v/>
      </c>
      <c r="M1593" s="1">
        <f>IF(OR(Table1[[#This Row],[Std Nom]]="",Table1[[#This Row],[Std Read]]=""),0,Table1[[#This Row],[Std Nom]]-Table1[[#This Row],[Std Read]])</f>
        <v>0</v>
      </c>
      <c r="N1593" s="1">
        <f>IF(Calculations!$F$5="ACCREDITED 17025 WITH UNCERTAINTIES",$N$10,0)</f>
        <v>0</v>
      </c>
      <c r="Q1593" s="1">
        <f>Table1[[#This Row],[High Tol]]-Table1[[#This Row],[Low Tol]]</f>
        <v>0</v>
      </c>
      <c r="R1593" s="1">
        <f>2*Table1[[#This Row],[Std Error]]</f>
        <v>0</v>
      </c>
      <c r="S1593" s="1" t="str">
        <f>IF(Table1[[#This Row],[High Tol]]="","N/A",IFERROR(ABS(Table1[[#This Row],[Tol Span]]/Table1[[#This Row],[Error Span]]),"N/A"))</f>
        <v>N/A</v>
      </c>
      <c r="T1593" s="1" t="str">
        <f>IF(OR(Table1[[#This Row],[Low Tol]]="",Table1[[#This Row],[High Tol]]=""),"Needs Analysis",IF(Table1[[#This Row],[Ratio]]&gt;=4,"Not Significant",IF(Table1[[#This Row],[Ratio]]&gt;=2,"Semi-Significant","Significant")))</f>
        <v>Needs Analysis</v>
      </c>
      <c r="W1593" s="1">
        <f>IF(Table1[[#This Row],[Cal Type]]&lt;&gt;"ACCREDITED 17025 WITH UNCERTAINTIES",0,"")</f>
        <v>0</v>
      </c>
      <c r="X1593" s="1" t="str">
        <f>IF(Table1[[#This Row],[DUT Read]]="","N/A",Table1[[#This Row],[Std Error]]+Table1[[#This Row],[DUT Read]]+Table1[[#This Row],[DUT Ucty]])</f>
        <v>N/A</v>
      </c>
      <c r="Y1593" s="1" t="str">
        <f>IF(Table1[[#This Row],[Std Read]]="","N/A",Table1[[#This Row],[Std Read]]+Table1[[#This Row],[Std Ucty]])</f>
        <v>N/A</v>
      </c>
      <c r="Z15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3" s="1" t="str">
        <f>IF(Table1[[#This Row],[Spec Type]]="","N/A",Table1[[#This Row],[Spec Type]])</f>
        <v>±</v>
      </c>
      <c r="AC1593" s="1" t="str">
        <f>IF(Table1[[#This Row],[Spec Type2]]="N/A","N/A",IF(AND(Table1[[#This Row],[DUT Adj Read]]&gt;=Table1[[#This Row],[Low Tol]],Table1[[#This Row],[DUT Adj Read]]&lt;=Table1[[#This Row],[High Tol]]),"Pass","Fail"))</f>
        <v>Fail</v>
      </c>
      <c r="AD1593" s="1" t="str">
        <f>IF(AND(Table1[[#This Row],[Spec Type2]]="N/A",Table1[[#This Row],[DUT Adj Read]]="N/A",Table1[[#This Row],[Std Adj Read]]="N/A"),"N/A",IF(Table1[[#This Row],[DUT Adj Read]]="N/A",IF(Table1[[#This Row],[Std Adj Read]]&gt;Table1[[#This Row],[Low Tol]],"Pass","Fail"),IF(Table1[[#This Row],[DUT Adj Read]]&gt;Table1[[#This Row],[Low Tol]],"Pass","Fail")))</f>
        <v>Pass</v>
      </c>
      <c r="AE1593" s="1" t="str">
        <f>IF(AND(Table1[[#This Row],[Spec Type2]]="N/A",Table1[[#This Row],[DUT Adj Read]]="N/A",Table1[[#This Row],[Std Adj Read]]="N/A"),"N/A",IF(Table1[[#This Row],[DUT Adj Read]]="N/A",IF(Table1[[#This Row],[Std Adj Read]]&lt;Table1[[#This Row],[High Tol]],"Pass","Fail"),IF(Table1[[#This Row],[DUT Adj Read]]&lt;Table1[[#This Row],[High Tol]],"Pass","Fail")))</f>
        <v>Fail</v>
      </c>
      <c r="AF1593" s="1" t="str">
        <f>IF(AND(Table1[[#This Row],[Spec Type2]]="N/A",Table1[[#This Row],[DUT Adj Read]]="N/A",Table1[[#This Row],[Std Adj Read]]="N/A"),"N/A",IF(Table1[[#This Row],[DUT Adj Read]]="N/A",IF(Table1[[#This Row],[Std Adj Read]]&gt;=Table1[[#This Row],[Low Tol]],"Pass","Fail"),IF(Table1[[#This Row],[DUT Adj Read]]&gt;=Table1[[#This Row],[Low Tol]],"Pass","Fail")))</f>
        <v>Pass</v>
      </c>
      <c r="AG1593" s="1" t="str">
        <f>IF(AND(Table1[[#This Row],[Spec Type2]]="N/A",Table1[[#This Row],[DUT Adj Read]]="N/A",Table1[[#This Row],[Std Adj Read]]="N/A"),"N/A",IF(Table1[[#This Row],[DUT Adj Read]]="N/A",IF(Table1[[#This Row],[Std Adj Read]]&lt;=Table1[[#This Row],[High Tol]],"Pass","Fail"),IF(Table1[[#This Row],[DUT Adj Read]]&lt;=Table1[[#This Row],[High Tol]],"Pass","Fail")))</f>
        <v>Fail</v>
      </c>
      <c r="AH15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3" s="1" t="b">
        <v>0</v>
      </c>
      <c r="AN1593" s="1" t="b">
        <v>0</v>
      </c>
      <c r="AO1593" s="1" t="b">
        <v>0</v>
      </c>
    </row>
    <row r="1594" spans="1:41" x14ac:dyDescent="0.25">
      <c r="A1594" s="10"/>
      <c r="B1594" s="10"/>
      <c r="C1594" s="10"/>
      <c r="D1594" s="10"/>
      <c r="E1594" s="10"/>
      <c r="F1594" s="10"/>
      <c r="G1594" s="10"/>
      <c r="H1594" s="10"/>
      <c r="I1594" s="1" t="str">
        <f t="shared" si="72"/>
        <v/>
      </c>
      <c r="J1594" s="1" t="s">
        <v>35</v>
      </c>
      <c r="K1594" s="1" t="str">
        <f t="shared" si="73"/>
        <v/>
      </c>
      <c r="L1594" s="1" t="str">
        <f t="shared" si="74"/>
        <v/>
      </c>
      <c r="M1594" s="1">
        <f>IF(OR(Table1[[#This Row],[Std Nom]]="",Table1[[#This Row],[Std Read]]=""),0,Table1[[#This Row],[Std Nom]]-Table1[[#This Row],[Std Read]])</f>
        <v>0</v>
      </c>
      <c r="N1594" s="1">
        <f>IF(Calculations!$F$5="ACCREDITED 17025 WITH UNCERTAINTIES",$N$10,0)</f>
        <v>0</v>
      </c>
      <c r="Q1594" s="1">
        <f>Table1[[#This Row],[High Tol]]-Table1[[#This Row],[Low Tol]]</f>
        <v>0</v>
      </c>
      <c r="R1594" s="1">
        <f>2*Table1[[#This Row],[Std Error]]</f>
        <v>0</v>
      </c>
      <c r="S1594" s="1" t="str">
        <f>IF(Table1[[#This Row],[High Tol]]="","N/A",IFERROR(ABS(Table1[[#This Row],[Tol Span]]/Table1[[#This Row],[Error Span]]),"N/A"))</f>
        <v>N/A</v>
      </c>
      <c r="T1594" s="1" t="str">
        <f>IF(OR(Table1[[#This Row],[Low Tol]]="",Table1[[#This Row],[High Tol]]=""),"Needs Analysis",IF(Table1[[#This Row],[Ratio]]&gt;=4,"Not Significant",IF(Table1[[#This Row],[Ratio]]&gt;=2,"Semi-Significant","Significant")))</f>
        <v>Needs Analysis</v>
      </c>
      <c r="W1594" s="1">
        <f>IF(Table1[[#This Row],[Cal Type]]&lt;&gt;"ACCREDITED 17025 WITH UNCERTAINTIES",0,"")</f>
        <v>0</v>
      </c>
      <c r="X1594" s="1" t="str">
        <f>IF(Table1[[#This Row],[DUT Read]]="","N/A",Table1[[#This Row],[Std Error]]+Table1[[#This Row],[DUT Read]]+Table1[[#This Row],[DUT Ucty]])</f>
        <v>N/A</v>
      </c>
      <c r="Y1594" s="1" t="str">
        <f>IF(Table1[[#This Row],[Std Read]]="","N/A",Table1[[#This Row],[Std Read]]+Table1[[#This Row],[Std Ucty]])</f>
        <v>N/A</v>
      </c>
      <c r="Z15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4" s="1" t="str">
        <f>IF(Table1[[#This Row],[Spec Type]]="","N/A",Table1[[#This Row],[Spec Type]])</f>
        <v>±</v>
      </c>
      <c r="AC1594" s="1" t="str">
        <f>IF(Table1[[#This Row],[Spec Type2]]="N/A","N/A",IF(AND(Table1[[#This Row],[DUT Adj Read]]&gt;=Table1[[#This Row],[Low Tol]],Table1[[#This Row],[DUT Adj Read]]&lt;=Table1[[#This Row],[High Tol]]),"Pass","Fail"))</f>
        <v>Fail</v>
      </c>
      <c r="AD1594" s="1" t="str">
        <f>IF(AND(Table1[[#This Row],[Spec Type2]]="N/A",Table1[[#This Row],[DUT Adj Read]]="N/A",Table1[[#This Row],[Std Adj Read]]="N/A"),"N/A",IF(Table1[[#This Row],[DUT Adj Read]]="N/A",IF(Table1[[#This Row],[Std Adj Read]]&gt;Table1[[#This Row],[Low Tol]],"Pass","Fail"),IF(Table1[[#This Row],[DUT Adj Read]]&gt;Table1[[#This Row],[Low Tol]],"Pass","Fail")))</f>
        <v>Pass</v>
      </c>
      <c r="AE1594" s="1" t="str">
        <f>IF(AND(Table1[[#This Row],[Spec Type2]]="N/A",Table1[[#This Row],[DUT Adj Read]]="N/A",Table1[[#This Row],[Std Adj Read]]="N/A"),"N/A",IF(Table1[[#This Row],[DUT Adj Read]]="N/A",IF(Table1[[#This Row],[Std Adj Read]]&lt;Table1[[#This Row],[High Tol]],"Pass","Fail"),IF(Table1[[#This Row],[DUT Adj Read]]&lt;Table1[[#This Row],[High Tol]],"Pass","Fail")))</f>
        <v>Fail</v>
      </c>
      <c r="AF1594" s="1" t="str">
        <f>IF(AND(Table1[[#This Row],[Spec Type2]]="N/A",Table1[[#This Row],[DUT Adj Read]]="N/A",Table1[[#This Row],[Std Adj Read]]="N/A"),"N/A",IF(Table1[[#This Row],[DUT Adj Read]]="N/A",IF(Table1[[#This Row],[Std Adj Read]]&gt;=Table1[[#This Row],[Low Tol]],"Pass","Fail"),IF(Table1[[#This Row],[DUT Adj Read]]&gt;=Table1[[#This Row],[Low Tol]],"Pass","Fail")))</f>
        <v>Pass</v>
      </c>
      <c r="AG1594" s="1" t="str">
        <f>IF(AND(Table1[[#This Row],[Spec Type2]]="N/A",Table1[[#This Row],[DUT Adj Read]]="N/A",Table1[[#This Row],[Std Adj Read]]="N/A"),"N/A",IF(Table1[[#This Row],[DUT Adj Read]]="N/A",IF(Table1[[#This Row],[Std Adj Read]]&lt;=Table1[[#This Row],[High Tol]],"Pass","Fail"),IF(Table1[[#This Row],[DUT Adj Read]]&lt;=Table1[[#This Row],[High Tol]],"Pass","Fail")))</f>
        <v>Fail</v>
      </c>
      <c r="AH15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4" s="1" t="b">
        <v>0</v>
      </c>
      <c r="AN1594" s="1" t="b">
        <v>0</v>
      </c>
      <c r="AO1594" s="1" t="b">
        <v>0</v>
      </c>
    </row>
    <row r="1595" spans="1:41" x14ac:dyDescent="0.25">
      <c r="A1595" s="10"/>
      <c r="B1595" s="10"/>
      <c r="C1595" s="10"/>
      <c r="D1595" s="10"/>
      <c r="E1595" s="10"/>
      <c r="F1595" s="10"/>
      <c r="G1595" s="10"/>
      <c r="H1595" s="10"/>
      <c r="I1595" s="1" t="str">
        <f t="shared" si="72"/>
        <v/>
      </c>
      <c r="J1595" s="1" t="s">
        <v>35</v>
      </c>
      <c r="K1595" s="1" t="str">
        <f t="shared" si="73"/>
        <v/>
      </c>
      <c r="L1595" s="1" t="str">
        <f t="shared" si="74"/>
        <v/>
      </c>
      <c r="M1595" s="1">
        <f>IF(OR(Table1[[#This Row],[Std Nom]]="",Table1[[#This Row],[Std Read]]=""),0,Table1[[#This Row],[Std Nom]]-Table1[[#This Row],[Std Read]])</f>
        <v>0</v>
      </c>
      <c r="N1595" s="1">
        <f>IF(Calculations!$F$5="ACCREDITED 17025 WITH UNCERTAINTIES",$N$10,0)</f>
        <v>0</v>
      </c>
      <c r="Q1595" s="1">
        <f>Table1[[#This Row],[High Tol]]-Table1[[#This Row],[Low Tol]]</f>
        <v>0</v>
      </c>
      <c r="R1595" s="1">
        <f>2*Table1[[#This Row],[Std Error]]</f>
        <v>0</v>
      </c>
      <c r="S1595" s="1" t="str">
        <f>IF(Table1[[#This Row],[High Tol]]="","N/A",IFERROR(ABS(Table1[[#This Row],[Tol Span]]/Table1[[#This Row],[Error Span]]),"N/A"))</f>
        <v>N/A</v>
      </c>
      <c r="T1595" s="1" t="str">
        <f>IF(OR(Table1[[#This Row],[Low Tol]]="",Table1[[#This Row],[High Tol]]=""),"Needs Analysis",IF(Table1[[#This Row],[Ratio]]&gt;=4,"Not Significant",IF(Table1[[#This Row],[Ratio]]&gt;=2,"Semi-Significant","Significant")))</f>
        <v>Needs Analysis</v>
      </c>
      <c r="W1595" s="1">
        <f>IF(Table1[[#This Row],[Cal Type]]&lt;&gt;"ACCREDITED 17025 WITH UNCERTAINTIES",0,"")</f>
        <v>0</v>
      </c>
      <c r="X1595" s="1" t="str">
        <f>IF(Table1[[#This Row],[DUT Read]]="","N/A",Table1[[#This Row],[Std Error]]+Table1[[#This Row],[DUT Read]]+Table1[[#This Row],[DUT Ucty]])</f>
        <v>N/A</v>
      </c>
      <c r="Y1595" s="1" t="str">
        <f>IF(Table1[[#This Row],[Std Read]]="","N/A",Table1[[#This Row],[Std Read]]+Table1[[#This Row],[Std Ucty]])</f>
        <v>N/A</v>
      </c>
      <c r="Z15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5" s="1" t="str">
        <f>IF(Table1[[#This Row],[Spec Type]]="","N/A",Table1[[#This Row],[Spec Type]])</f>
        <v>±</v>
      </c>
      <c r="AC1595" s="1" t="str">
        <f>IF(Table1[[#This Row],[Spec Type2]]="N/A","N/A",IF(AND(Table1[[#This Row],[DUT Adj Read]]&gt;=Table1[[#This Row],[Low Tol]],Table1[[#This Row],[DUT Adj Read]]&lt;=Table1[[#This Row],[High Tol]]),"Pass","Fail"))</f>
        <v>Fail</v>
      </c>
      <c r="AD1595" s="1" t="str">
        <f>IF(AND(Table1[[#This Row],[Spec Type2]]="N/A",Table1[[#This Row],[DUT Adj Read]]="N/A",Table1[[#This Row],[Std Adj Read]]="N/A"),"N/A",IF(Table1[[#This Row],[DUT Adj Read]]="N/A",IF(Table1[[#This Row],[Std Adj Read]]&gt;Table1[[#This Row],[Low Tol]],"Pass","Fail"),IF(Table1[[#This Row],[DUT Adj Read]]&gt;Table1[[#This Row],[Low Tol]],"Pass","Fail")))</f>
        <v>Pass</v>
      </c>
      <c r="AE1595" s="1" t="str">
        <f>IF(AND(Table1[[#This Row],[Spec Type2]]="N/A",Table1[[#This Row],[DUT Adj Read]]="N/A",Table1[[#This Row],[Std Adj Read]]="N/A"),"N/A",IF(Table1[[#This Row],[DUT Adj Read]]="N/A",IF(Table1[[#This Row],[Std Adj Read]]&lt;Table1[[#This Row],[High Tol]],"Pass","Fail"),IF(Table1[[#This Row],[DUT Adj Read]]&lt;Table1[[#This Row],[High Tol]],"Pass","Fail")))</f>
        <v>Fail</v>
      </c>
      <c r="AF1595" s="1" t="str">
        <f>IF(AND(Table1[[#This Row],[Spec Type2]]="N/A",Table1[[#This Row],[DUT Adj Read]]="N/A",Table1[[#This Row],[Std Adj Read]]="N/A"),"N/A",IF(Table1[[#This Row],[DUT Adj Read]]="N/A",IF(Table1[[#This Row],[Std Adj Read]]&gt;=Table1[[#This Row],[Low Tol]],"Pass","Fail"),IF(Table1[[#This Row],[DUT Adj Read]]&gt;=Table1[[#This Row],[Low Tol]],"Pass","Fail")))</f>
        <v>Pass</v>
      </c>
      <c r="AG1595" s="1" t="str">
        <f>IF(AND(Table1[[#This Row],[Spec Type2]]="N/A",Table1[[#This Row],[DUT Adj Read]]="N/A",Table1[[#This Row],[Std Adj Read]]="N/A"),"N/A",IF(Table1[[#This Row],[DUT Adj Read]]="N/A",IF(Table1[[#This Row],[Std Adj Read]]&lt;=Table1[[#This Row],[High Tol]],"Pass","Fail"),IF(Table1[[#This Row],[DUT Adj Read]]&lt;=Table1[[#This Row],[High Tol]],"Pass","Fail")))</f>
        <v>Fail</v>
      </c>
      <c r="AH15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5" s="1" t="b">
        <v>0</v>
      </c>
      <c r="AN1595" s="1" t="b">
        <v>0</v>
      </c>
      <c r="AO1595" s="1" t="b">
        <v>0</v>
      </c>
    </row>
    <row r="1596" spans="1:41" x14ac:dyDescent="0.25">
      <c r="A1596" s="10"/>
      <c r="B1596" s="10"/>
      <c r="C1596" s="10"/>
      <c r="D1596" s="10"/>
      <c r="E1596" s="10"/>
      <c r="F1596" s="10"/>
      <c r="G1596" s="10"/>
      <c r="H1596" s="10"/>
      <c r="I1596" s="1" t="str">
        <f t="shared" si="72"/>
        <v/>
      </c>
      <c r="J1596" s="1" t="s">
        <v>35</v>
      </c>
      <c r="K1596" s="1" t="str">
        <f t="shared" si="73"/>
        <v/>
      </c>
      <c r="L1596" s="1" t="str">
        <f t="shared" si="74"/>
        <v/>
      </c>
      <c r="M1596" s="1">
        <f>IF(OR(Table1[[#This Row],[Std Nom]]="",Table1[[#This Row],[Std Read]]=""),0,Table1[[#This Row],[Std Nom]]-Table1[[#This Row],[Std Read]])</f>
        <v>0</v>
      </c>
      <c r="N1596" s="1">
        <f>IF(Calculations!$F$5="ACCREDITED 17025 WITH UNCERTAINTIES",$N$10,0)</f>
        <v>0</v>
      </c>
      <c r="Q1596" s="1">
        <f>Table1[[#This Row],[High Tol]]-Table1[[#This Row],[Low Tol]]</f>
        <v>0</v>
      </c>
      <c r="R1596" s="1">
        <f>2*Table1[[#This Row],[Std Error]]</f>
        <v>0</v>
      </c>
      <c r="S1596" s="1" t="str">
        <f>IF(Table1[[#This Row],[High Tol]]="","N/A",IFERROR(ABS(Table1[[#This Row],[Tol Span]]/Table1[[#This Row],[Error Span]]),"N/A"))</f>
        <v>N/A</v>
      </c>
      <c r="T1596" s="1" t="str">
        <f>IF(OR(Table1[[#This Row],[Low Tol]]="",Table1[[#This Row],[High Tol]]=""),"Needs Analysis",IF(Table1[[#This Row],[Ratio]]&gt;=4,"Not Significant",IF(Table1[[#This Row],[Ratio]]&gt;=2,"Semi-Significant","Significant")))</f>
        <v>Needs Analysis</v>
      </c>
      <c r="W1596" s="1">
        <f>IF(Table1[[#This Row],[Cal Type]]&lt;&gt;"ACCREDITED 17025 WITH UNCERTAINTIES",0,"")</f>
        <v>0</v>
      </c>
      <c r="X1596" s="1" t="str">
        <f>IF(Table1[[#This Row],[DUT Read]]="","N/A",Table1[[#This Row],[Std Error]]+Table1[[#This Row],[DUT Read]]+Table1[[#This Row],[DUT Ucty]])</f>
        <v>N/A</v>
      </c>
      <c r="Y1596" s="1" t="str">
        <f>IF(Table1[[#This Row],[Std Read]]="","N/A",Table1[[#This Row],[Std Read]]+Table1[[#This Row],[Std Ucty]])</f>
        <v>N/A</v>
      </c>
      <c r="Z15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6" s="1" t="str">
        <f>IF(Table1[[#This Row],[Spec Type]]="","N/A",Table1[[#This Row],[Spec Type]])</f>
        <v>±</v>
      </c>
      <c r="AC1596" s="1" t="str">
        <f>IF(Table1[[#This Row],[Spec Type2]]="N/A","N/A",IF(AND(Table1[[#This Row],[DUT Adj Read]]&gt;=Table1[[#This Row],[Low Tol]],Table1[[#This Row],[DUT Adj Read]]&lt;=Table1[[#This Row],[High Tol]]),"Pass","Fail"))</f>
        <v>Fail</v>
      </c>
      <c r="AD1596" s="1" t="str">
        <f>IF(AND(Table1[[#This Row],[Spec Type2]]="N/A",Table1[[#This Row],[DUT Adj Read]]="N/A",Table1[[#This Row],[Std Adj Read]]="N/A"),"N/A",IF(Table1[[#This Row],[DUT Adj Read]]="N/A",IF(Table1[[#This Row],[Std Adj Read]]&gt;Table1[[#This Row],[Low Tol]],"Pass","Fail"),IF(Table1[[#This Row],[DUT Adj Read]]&gt;Table1[[#This Row],[Low Tol]],"Pass","Fail")))</f>
        <v>Pass</v>
      </c>
      <c r="AE1596" s="1" t="str">
        <f>IF(AND(Table1[[#This Row],[Spec Type2]]="N/A",Table1[[#This Row],[DUT Adj Read]]="N/A",Table1[[#This Row],[Std Adj Read]]="N/A"),"N/A",IF(Table1[[#This Row],[DUT Adj Read]]="N/A",IF(Table1[[#This Row],[Std Adj Read]]&lt;Table1[[#This Row],[High Tol]],"Pass","Fail"),IF(Table1[[#This Row],[DUT Adj Read]]&lt;Table1[[#This Row],[High Tol]],"Pass","Fail")))</f>
        <v>Fail</v>
      </c>
      <c r="AF1596" s="1" t="str">
        <f>IF(AND(Table1[[#This Row],[Spec Type2]]="N/A",Table1[[#This Row],[DUT Adj Read]]="N/A",Table1[[#This Row],[Std Adj Read]]="N/A"),"N/A",IF(Table1[[#This Row],[DUT Adj Read]]="N/A",IF(Table1[[#This Row],[Std Adj Read]]&gt;=Table1[[#This Row],[Low Tol]],"Pass","Fail"),IF(Table1[[#This Row],[DUT Adj Read]]&gt;=Table1[[#This Row],[Low Tol]],"Pass","Fail")))</f>
        <v>Pass</v>
      </c>
      <c r="AG1596" s="1" t="str">
        <f>IF(AND(Table1[[#This Row],[Spec Type2]]="N/A",Table1[[#This Row],[DUT Adj Read]]="N/A",Table1[[#This Row],[Std Adj Read]]="N/A"),"N/A",IF(Table1[[#This Row],[DUT Adj Read]]="N/A",IF(Table1[[#This Row],[Std Adj Read]]&lt;=Table1[[#This Row],[High Tol]],"Pass","Fail"),IF(Table1[[#This Row],[DUT Adj Read]]&lt;=Table1[[#This Row],[High Tol]],"Pass","Fail")))</f>
        <v>Fail</v>
      </c>
      <c r="AH15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6" s="1" t="b">
        <v>0</v>
      </c>
      <c r="AN1596" s="1" t="b">
        <v>0</v>
      </c>
      <c r="AO1596" s="1" t="b">
        <v>0</v>
      </c>
    </row>
    <row r="1597" spans="1:41" x14ac:dyDescent="0.25">
      <c r="A1597" s="10"/>
      <c r="B1597" s="10"/>
      <c r="C1597" s="10"/>
      <c r="D1597" s="10"/>
      <c r="E1597" s="10"/>
      <c r="F1597" s="10"/>
      <c r="G1597" s="10"/>
      <c r="H1597" s="10"/>
      <c r="I1597" s="1" t="str">
        <f t="shared" si="72"/>
        <v/>
      </c>
      <c r="J1597" s="1" t="s">
        <v>35</v>
      </c>
      <c r="K1597" s="1" t="str">
        <f t="shared" si="73"/>
        <v/>
      </c>
      <c r="L1597" s="1" t="str">
        <f t="shared" si="74"/>
        <v/>
      </c>
      <c r="M1597" s="1">
        <f>IF(OR(Table1[[#This Row],[Std Nom]]="",Table1[[#This Row],[Std Read]]=""),0,Table1[[#This Row],[Std Nom]]-Table1[[#This Row],[Std Read]])</f>
        <v>0</v>
      </c>
      <c r="N1597" s="1">
        <f>IF(Calculations!$F$5="ACCREDITED 17025 WITH UNCERTAINTIES",$N$10,0)</f>
        <v>0</v>
      </c>
      <c r="Q1597" s="1">
        <f>Table1[[#This Row],[High Tol]]-Table1[[#This Row],[Low Tol]]</f>
        <v>0</v>
      </c>
      <c r="R1597" s="1">
        <f>2*Table1[[#This Row],[Std Error]]</f>
        <v>0</v>
      </c>
      <c r="S1597" s="1" t="str">
        <f>IF(Table1[[#This Row],[High Tol]]="","N/A",IFERROR(ABS(Table1[[#This Row],[Tol Span]]/Table1[[#This Row],[Error Span]]),"N/A"))</f>
        <v>N/A</v>
      </c>
      <c r="T1597" s="1" t="str">
        <f>IF(OR(Table1[[#This Row],[Low Tol]]="",Table1[[#This Row],[High Tol]]=""),"Needs Analysis",IF(Table1[[#This Row],[Ratio]]&gt;=4,"Not Significant",IF(Table1[[#This Row],[Ratio]]&gt;=2,"Semi-Significant","Significant")))</f>
        <v>Needs Analysis</v>
      </c>
      <c r="W1597" s="1">
        <f>IF(Table1[[#This Row],[Cal Type]]&lt;&gt;"ACCREDITED 17025 WITH UNCERTAINTIES",0,"")</f>
        <v>0</v>
      </c>
      <c r="X1597" s="1" t="str">
        <f>IF(Table1[[#This Row],[DUT Read]]="","N/A",Table1[[#This Row],[Std Error]]+Table1[[#This Row],[DUT Read]]+Table1[[#This Row],[DUT Ucty]])</f>
        <v>N/A</v>
      </c>
      <c r="Y1597" s="1" t="str">
        <f>IF(Table1[[#This Row],[Std Read]]="","N/A",Table1[[#This Row],[Std Read]]+Table1[[#This Row],[Std Ucty]])</f>
        <v>N/A</v>
      </c>
      <c r="Z15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7" s="1" t="str">
        <f>IF(Table1[[#This Row],[Spec Type]]="","N/A",Table1[[#This Row],[Spec Type]])</f>
        <v>±</v>
      </c>
      <c r="AC1597" s="1" t="str">
        <f>IF(Table1[[#This Row],[Spec Type2]]="N/A","N/A",IF(AND(Table1[[#This Row],[DUT Adj Read]]&gt;=Table1[[#This Row],[Low Tol]],Table1[[#This Row],[DUT Adj Read]]&lt;=Table1[[#This Row],[High Tol]]),"Pass","Fail"))</f>
        <v>Fail</v>
      </c>
      <c r="AD1597" s="1" t="str">
        <f>IF(AND(Table1[[#This Row],[Spec Type2]]="N/A",Table1[[#This Row],[DUT Adj Read]]="N/A",Table1[[#This Row],[Std Adj Read]]="N/A"),"N/A",IF(Table1[[#This Row],[DUT Adj Read]]="N/A",IF(Table1[[#This Row],[Std Adj Read]]&gt;Table1[[#This Row],[Low Tol]],"Pass","Fail"),IF(Table1[[#This Row],[DUT Adj Read]]&gt;Table1[[#This Row],[Low Tol]],"Pass","Fail")))</f>
        <v>Pass</v>
      </c>
      <c r="AE1597" s="1" t="str">
        <f>IF(AND(Table1[[#This Row],[Spec Type2]]="N/A",Table1[[#This Row],[DUT Adj Read]]="N/A",Table1[[#This Row],[Std Adj Read]]="N/A"),"N/A",IF(Table1[[#This Row],[DUT Adj Read]]="N/A",IF(Table1[[#This Row],[Std Adj Read]]&lt;Table1[[#This Row],[High Tol]],"Pass","Fail"),IF(Table1[[#This Row],[DUT Adj Read]]&lt;Table1[[#This Row],[High Tol]],"Pass","Fail")))</f>
        <v>Fail</v>
      </c>
      <c r="AF1597" s="1" t="str">
        <f>IF(AND(Table1[[#This Row],[Spec Type2]]="N/A",Table1[[#This Row],[DUT Adj Read]]="N/A",Table1[[#This Row],[Std Adj Read]]="N/A"),"N/A",IF(Table1[[#This Row],[DUT Adj Read]]="N/A",IF(Table1[[#This Row],[Std Adj Read]]&gt;=Table1[[#This Row],[Low Tol]],"Pass","Fail"),IF(Table1[[#This Row],[DUT Adj Read]]&gt;=Table1[[#This Row],[Low Tol]],"Pass","Fail")))</f>
        <v>Pass</v>
      </c>
      <c r="AG1597" s="1" t="str">
        <f>IF(AND(Table1[[#This Row],[Spec Type2]]="N/A",Table1[[#This Row],[DUT Adj Read]]="N/A",Table1[[#This Row],[Std Adj Read]]="N/A"),"N/A",IF(Table1[[#This Row],[DUT Adj Read]]="N/A",IF(Table1[[#This Row],[Std Adj Read]]&lt;=Table1[[#This Row],[High Tol]],"Pass","Fail"),IF(Table1[[#This Row],[DUT Adj Read]]&lt;=Table1[[#This Row],[High Tol]],"Pass","Fail")))</f>
        <v>Fail</v>
      </c>
      <c r="AH15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7" s="1" t="b">
        <v>0</v>
      </c>
      <c r="AN1597" s="1" t="b">
        <v>0</v>
      </c>
      <c r="AO1597" s="1" t="b">
        <v>0</v>
      </c>
    </row>
    <row r="1598" spans="1:41" x14ac:dyDescent="0.25">
      <c r="A1598" s="10"/>
      <c r="B1598" s="10"/>
      <c r="C1598" s="10"/>
      <c r="D1598" s="10"/>
      <c r="E1598" s="10"/>
      <c r="F1598" s="10"/>
      <c r="G1598" s="10"/>
      <c r="H1598" s="10"/>
      <c r="I1598" s="1" t="str">
        <f t="shared" si="72"/>
        <v/>
      </c>
      <c r="J1598" s="1" t="s">
        <v>35</v>
      </c>
      <c r="K1598" s="1" t="str">
        <f t="shared" si="73"/>
        <v/>
      </c>
      <c r="L1598" s="1" t="str">
        <f t="shared" si="74"/>
        <v/>
      </c>
      <c r="M1598" s="1">
        <f>IF(OR(Table1[[#This Row],[Std Nom]]="",Table1[[#This Row],[Std Read]]=""),0,Table1[[#This Row],[Std Nom]]-Table1[[#This Row],[Std Read]])</f>
        <v>0</v>
      </c>
      <c r="N1598" s="1">
        <f>IF(Calculations!$F$5="ACCREDITED 17025 WITH UNCERTAINTIES",$N$10,0)</f>
        <v>0</v>
      </c>
      <c r="Q1598" s="1">
        <f>Table1[[#This Row],[High Tol]]-Table1[[#This Row],[Low Tol]]</f>
        <v>0</v>
      </c>
      <c r="R1598" s="1">
        <f>2*Table1[[#This Row],[Std Error]]</f>
        <v>0</v>
      </c>
      <c r="S1598" s="1" t="str">
        <f>IF(Table1[[#This Row],[High Tol]]="","N/A",IFERROR(ABS(Table1[[#This Row],[Tol Span]]/Table1[[#This Row],[Error Span]]),"N/A"))</f>
        <v>N/A</v>
      </c>
      <c r="T1598" s="1" t="str">
        <f>IF(OR(Table1[[#This Row],[Low Tol]]="",Table1[[#This Row],[High Tol]]=""),"Needs Analysis",IF(Table1[[#This Row],[Ratio]]&gt;=4,"Not Significant",IF(Table1[[#This Row],[Ratio]]&gt;=2,"Semi-Significant","Significant")))</f>
        <v>Needs Analysis</v>
      </c>
      <c r="W1598" s="1">
        <f>IF(Table1[[#This Row],[Cal Type]]&lt;&gt;"ACCREDITED 17025 WITH UNCERTAINTIES",0,"")</f>
        <v>0</v>
      </c>
      <c r="X1598" s="1" t="str">
        <f>IF(Table1[[#This Row],[DUT Read]]="","N/A",Table1[[#This Row],[Std Error]]+Table1[[#This Row],[DUT Read]]+Table1[[#This Row],[DUT Ucty]])</f>
        <v>N/A</v>
      </c>
      <c r="Y1598" s="1" t="str">
        <f>IF(Table1[[#This Row],[Std Read]]="","N/A",Table1[[#This Row],[Std Read]]+Table1[[#This Row],[Std Ucty]])</f>
        <v>N/A</v>
      </c>
      <c r="Z15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8" s="1" t="str">
        <f>IF(Table1[[#This Row],[Spec Type]]="","N/A",Table1[[#This Row],[Spec Type]])</f>
        <v>±</v>
      </c>
      <c r="AC1598" s="1" t="str">
        <f>IF(Table1[[#This Row],[Spec Type2]]="N/A","N/A",IF(AND(Table1[[#This Row],[DUT Adj Read]]&gt;=Table1[[#This Row],[Low Tol]],Table1[[#This Row],[DUT Adj Read]]&lt;=Table1[[#This Row],[High Tol]]),"Pass","Fail"))</f>
        <v>Fail</v>
      </c>
      <c r="AD1598" s="1" t="str">
        <f>IF(AND(Table1[[#This Row],[Spec Type2]]="N/A",Table1[[#This Row],[DUT Adj Read]]="N/A",Table1[[#This Row],[Std Adj Read]]="N/A"),"N/A",IF(Table1[[#This Row],[DUT Adj Read]]="N/A",IF(Table1[[#This Row],[Std Adj Read]]&gt;Table1[[#This Row],[Low Tol]],"Pass","Fail"),IF(Table1[[#This Row],[DUT Adj Read]]&gt;Table1[[#This Row],[Low Tol]],"Pass","Fail")))</f>
        <v>Pass</v>
      </c>
      <c r="AE1598" s="1" t="str">
        <f>IF(AND(Table1[[#This Row],[Spec Type2]]="N/A",Table1[[#This Row],[DUT Adj Read]]="N/A",Table1[[#This Row],[Std Adj Read]]="N/A"),"N/A",IF(Table1[[#This Row],[DUT Adj Read]]="N/A",IF(Table1[[#This Row],[Std Adj Read]]&lt;Table1[[#This Row],[High Tol]],"Pass","Fail"),IF(Table1[[#This Row],[DUT Adj Read]]&lt;Table1[[#This Row],[High Tol]],"Pass","Fail")))</f>
        <v>Fail</v>
      </c>
      <c r="AF1598" s="1" t="str">
        <f>IF(AND(Table1[[#This Row],[Spec Type2]]="N/A",Table1[[#This Row],[DUT Adj Read]]="N/A",Table1[[#This Row],[Std Adj Read]]="N/A"),"N/A",IF(Table1[[#This Row],[DUT Adj Read]]="N/A",IF(Table1[[#This Row],[Std Adj Read]]&gt;=Table1[[#This Row],[Low Tol]],"Pass","Fail"),IF(Table1[[#This Row],[DUT Adj Read]]&gt;=Table1[[#This Row],[Low Tol]],"Pass","Fail")))</f>
        <v>Pass</v>
      </c>
      <c r="AG1598" s="1" t="str">
        <f>IF(AND(Table1[[#This Row],[Spec Type2]]="N/A",Table1[[#This Row],[DUT Adj Read]]="N/A",Table1[[#This Row],[Std Adj Read]]="N/A"),"N/A",IF(Table1[[#This Row],[DUT Adj Read]]="N/A",IF(Table1[[#This Row],[Std Adj Read]]&lt;=Table1[[#This Row],[High Tol]],"Pass","Fail"),IF(Table1[[#This Row],[DUT Adj Read]]&lt;=Table1[[#This Row],[High Tol]],"Pass","Fail")))</f>
        <v>Fail</v>
      </c>
      <c r="AH15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8" s="1" t="b">
        <v>0</v>
      </c>
      <c r="AN1598" s="1" t="b">
        <v>0</v>
      </c>
      <c r="AO1598" s="1" t="b">
        <v>0</v>
      </c>
    </row>
    <row r="1599" spans="1:41" x14ac:dyDescent="0.25">
      <c r="A1599" s="10"/>
      <c r="B1599" s="10"/>
      <c r="C1599" s="10"/>
      <c r="D1599" s="10"/>
      <c r="E1599" s="10"/>
      <c r="F1599" s="10"/>
      <c r="G1599" s="10"/>
      <c r="H1599" s="10"/>
      <c r="I1599" s="1" t="str">
        <f t="shared" si="72"/>
        <v/>
      </c>
      <c r="J1599" s="1" t="s">
        <v>35</v>
      </c>
      <c r="K1599" s="1" t="str">
        <f t="shared" si="73"/>
        <v/>
      </c>
      <c r="L1599" s="1" t="str">
        <f t="shared" si="74"/>
        <v/>
      </c>
      <c r="M1599" s="1">
        <f>IF(OR(Table1[[#This Row],[Std Nom]]="",Table1[[#This Row],[Std Read]]=""),0,Table1[[#This Row],[Std Nom]]-Table1[[#This Row],[Std Read]])</f>
        <v>0</v>
      </c>
      <c r="N1599" s="1">
        <f>IF(Calculations!$F$5="ACCREDITED 17025 WITH UNCERTAINTIES",$N$10,0)</f>
        <v>0</v>
      </c>
      <c r="Q1599" s="1">
        <f>Table1[[#This Row],[High Tol]]-Table1[[#This Row],[Low Tol]]</f>
        <v>0</v>
      </c>
      <c r="R1599" s="1">
        <f>2*Table1[[#This Row],[Std Error]]</f>
        <v>0</v>
      </c>
      <c r="S1599" s="1" t="str">
        <f>IF(Table1[[#This Row],[High Tol]]="","N/A",IFERROR(ABS(Table1[[#This Row],[Tol Span]]/Table1[[#This Row],[Error Span]]),"N/A"))</f>
        <v>N/A</v>
      </c>
      <c r="T1599" s="1" t="str">
        <f>IF(OR(Table1[[#This Row],[Low Tol]]="",Table1[[#This Row],[High Tol]]=""),"Needs Analysis",IF(Table1[[#This Row],[Ratio]]&gt;=4,"Not Significant",IF(Table1[[#This Row],[Ratio]]&gt;=2,"Semi-Significant","Significant")))</f>
        <v>Needs Analysis</v>
      </c>
      <c r="W1599" s="1">
        <f>IF(Table1[[#This Row],[Cal Type]]&lt;&gt;"ACCREDITED 17025 WITH UNCERTAINTIES",0,"")</f>
        <v>0</v>
      </c>
      <c r="X1599" s="1" t="str">
        <f>IF(Table1[[#This Row],[DUT Read]]="","N/A",Table1[[#This Row],[Std Error]]+Table1[[#This Row],[DUT Read]]+Table1[[#This Row],[DUT Ucty]])</f>
        <v>N/A</v>
      </c>
      <c r="Y1599" s="1" t="str">
        <f>IF(Table1[[#This Row],[Std Read]]="","N/A",Table1[[#This Row],[Std Read]]+Table1[[#This Row],[Std Ucty]])</f>
        <v>N/A</v>
      </c>
      <c r="Z15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599" s="1" t="str">
        <f>IF(Table1[[#This Row],[Spec Type]]="","N/A",Table1[[#This Row],[Spec Type]])</f>
        <v>±</v>
      </c>
      <c r="AC1599" s="1" t="str">
        <f>IF(Table1[[#This Row],[Spec Type2]]="N/A","N/A",IF(AND(Table1[[#This Row],[DUT Adj Read]]&gt;=Table1[[#This Row],[Low Tol]],Table1[[#This Row],[DUT Adj Read]]&lt;=Table1[[#This Row],[High Tol]]),"Pass","Fail"))</f>
        <v>Fail</v>
      </c>
      <c r="AD1599" s="1" t="str">
        <f>IF(AND(Table1[[#This Row],[Spec Type2]]="N/A",Table1[[#This Row],[DUT Adj Read]]="N/A",Table1[[#This Row],[Std Adj Read]]="N/A"),"N/A",IF(Table1[[#This Row],[DUT Adj Read]]="N/A",IF(Table1[[#This Row],[Std Adj Read]]&gt;Table1[[#This Row],[Low Tol]],"Pass","Fail"),IF(Table1[[#This Row],[DUT Adj Read]]&gt;Table1[[#This Row],[Low Tol]],"Pass","Fail")))</f>
        <v>Pass</v>
      </c>
      <c r="AE1599" s="1" t="str">
        <f>IF(AND(Table1[[#This Row],[Spec Type2]]="N/A",Table1[[#This Row],[DUT Adj Read]]="N/A",Table1[[#This Row],[Std Adj Read]]="N/A"),"N/A",IF(Table1[[#This Row],[DUT Adj Read]]="N/A",IF(Table1[[#This Row],[Std Adj Read]]&lt;Table1[[#This Row],[High Tol]],"Pass","Fail"),IF(Table1[[#This Row],[DUT Adj Read]]&lt;Table1[[#This Row],[High Tol]],"Pass","Fail")))</f>
        <v>Fail</v>
      </c>
      <c r="AF1599" s="1" t="str">
        <f>IF(AND(Table1[[#This Row],[Spec Type2]]="N/A",Table1[[#This Row],[DUT Adj Read]]="N/A",Table1[[#This Row],[Std Adj Read]]="N/A"),"N/A",IF(Table1[[#This Row],[DUT Adj Read]]="N/A",IF(Table1[[#This Row],[Std Adj Read]]&gt;=Table1[[#This Row],[Low Tol]],"Pass","Fail"),IF(Table1[[#This Row],[DUT Adj Read]]&gt;=Table1[[#This Row],[Low Tol]],"Pass","Fail")))</f>
        <v>Pass</v>
      </c>
      <c r="AG1599" s="1" t="str">
        <f>IF(AND(Table1[[#This Row],[Spec Type2]]="N/A",Table1[[#This Row],[DUT Adj Read]]="N/A",Table1[[#This Row],[Std Adj Read]]="N/A"),"N/A",IF(Table1[[#This Row],[DUT Adj Read]]="N/A",IF(Table1[[#This Row],[Std Adj Read]]&lt;=Table1[[#This Row],[High Tol]],"Pass","Fail"),IF(Table1[[#This Row],[DUT Adj Read]]&lt;=Table1[[#This Row],[High Tol]],"Pass","Fail")))</f>
        <v>Fail</v>
      </c>
      <c r="AH15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599" s="1" t="b">
        <v>0</v>
      </c>
      <c r="AN1599" s="1" t="b">
        <v>0</v>
      </c>
      <c r="AO1599" s="1" t="b">
        <v>0</v>
      </c>
    </row>
    <row r="1600" spans="1:41" x14ac:dyDescent="0.25">
      <c r="A1600" s="10"/>
      <c r="B1600" s="10"/>
      <c r="C1600" s="10"/>
      <c r="D1600" s="10"/>
      <c r="E1600" s="10"/>
      <c r="F1600" s="10"/>
      <c r="G1600" s="10"/>
      <c r="H1600" s="10"/>
      <c r="I1600" s="1" t="str">
        <f t="shared" si="72"/>
        <v/>
      </c>
      <c r="J1600" s="1" t="s">
        <v>35</v>
      </c>
      <c r="K1600" s="1" t="str">
        <f t="shared" si="73"/>
        <v/>
      </c>
      <c r="L1600" s="1" t="str">
        <f t="shared" si="74"/>
        <v/>
      </c>
      <c r="M1600" s="1">
        <f>IF(OR(Table1[[#This Row],[Std Nom]]="",Table1[[#This Row],[Std Read]]=""),0,Table1[[#This Row],[Std Nom]]-Table1[[#This Row],[Std Read]])</f>
        <v>0</v>
      </c>
      <c r="N1600" s="1">
        <f>IF(Calculations!$F$5="ACCREDITED 17025 WITH UNCERTAINTIES",$N$10,0)</f>
        <v>0</v>
      </c>
      <c r="Q1600" s="1">
        <f>Table1[[#This Row],[High Tol]]-Table1[[#This Row],[Low Tol]]</f>
        <v>0</v>
      </c>
      <c r="R1600" s="1">
        <f>2*Table1[[#This Row],[Std Error]]</f>
        <v>0</v>
      </c>
      <c r="S1600" s="1" t="str">
        <f>IF(Table1[[#This Row],[High Tol]]="","N/A",IFERROR(ABS(Table1[[#This Row],[Tol Span]]/Table1[[#This Row],[Error Span]]),"N/A"))</f>
        <v>N/A</v>
      </c>
      <c r="T1600" s="1" t="str">
        <f>IF(OR(Table1[[#This Row],[Low Tol]]="",Table1[[#This Row],[High Tol]]=""),"Needs Analysis",IF(Table1[[#This Row],[Ratio]]&gt;=4,"Not Significant",IF(Table1[[#This Row],[Ratio]]&gt;=2,"Semi-Significant","Significant")))</f>
        <v>Needs Analysis</v>
      </c>
      <c r="W1600" s="1">
        <f>IF(Table1[[#This Row],[Cal Type]]&lt;&gt;"ACCREDITED 17025 WITH UNCERTAINTIES",0,"")</f>
        <v>0</v>
      </c>
      <c r="X1600" s="1" t="str">
        <f>IF(Table1[[#This Row],[DUT Read]]="","N/A",Table1[[#This Row],[Std Error]]+Table1[[#This Row],[DUT Read]]+Table1[[#This Row],[DUT Ucty]])</f>
        <v>N/A</v>
      </c>
      <c r="Y1600" s="1" t="str">
        <f>IF(Table1[[#This Row],[Std Read]]="","N/A",Table1[[#This Row],[Std Read]]+Table1[[#This Row],[Std Ucty]])</f>
        <v>N/A</v>
      </c>
      <c r="Z16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0" s="1" t="str">
        <f>IF(Table1[[#This Row],[Spec Type]]="","N/A",Table1[[#This Row],[Spec Type]])</f>
        <v>±</v>
      </c>
      <c r="AC1600" s="1" t="str">
        <f>IF(Table1[[#This Row],[Spec Type2]]="N/A","N/A",IF(AND(Table1[[#This Row],[DUT Adj Read]]&gt;=Table1[[#This Row],[Low Tol]],Table1[[#This Row],[DUT Adj Read]]&lt;=Table1[[#This Row],[High Tol]]),"Pass","Fail"))</f>
        <v>Fail</v>
      </c>
      <c r="AD1600" s="1" t="str">
        <f>IF(AND(Table1[[#This Row],[Spec Type2]]="N/A",Table1[[#This Row],[DUT Adj Read]]="N/A",Table1[[#This Row],[Std Adj Read]]="N/A"),"N/A",IF(Table1[[#This Row],[DUT Adj Read]]="N/A",IF(Table1[[#This Row],[Std Adj Read]]&gt;Table1[[#This Row],[Low Tol]],"Pass","Fail"),IF(Table1[[#This Row],[DUT Adj Read]]&gt;Table1[[#This Row],[Low Tol]],"Pass","Fail")))</f>
        <v>Pass</v>
      </c>
      <c r="AE1600" s="1" t="str">
        <f>IF(AND(Table1[[#This Row],[Spec Type2]]="N/A",Table1[[#This Row],[DUT Adj Read]]="N/A",Table1[[#This Row],[Std Adj Read]]="N/A"),"N/A",IF(Table1[[#This Row],[DUT Adj Read]]="N/A",IF(Table1[[#This Row],[Std Adj Read]]&lt;Table1[[#This Row],[High Tol]],"Pass","Fail"),IF(Table1[[#This Row],[DUT Adj Read]]&lt;Table1[[#This Row],[High Tol]],"Pass","Fail")))</f>
        <v>Fail</v>
      </c>
      <c r="AF1600" s="1" t="str">
        <f>IF(AND(Table1[[#This Row],[Spec Type2]]="N/A",Table1[[#This Row],[DUT Adj Read]]="N/A",Table1[[#This Row],[Std Adj Read]]="N/A"),"N/A",IF(Table1[[#This Row],[DUT Adj Read]]="N/A",IF(Table1[[#This Row],[Std Adj Read]]&gt;=Table1[[#This Row],[Low Tol]],"Pass","Fail"),IF(Table1[[#This Row],[DUT Adj Read]]&gt;=Table1[[#This Row],[Low Tol]],"Pass","Fail")))</f>
        <v>Pass</v>
      </c>
      <c r="AG1600" s="1" t="str">
        <f>IF(AND(Table1[[#This Row],[Spec Type2]]="N/A",Table1[[#This Row],[DUT Adj Read]]="N/A",Table1[[#This Row],[Std Adj Read]]="N/A"),"N/A",IF(Table1[[#This Row],[DUT Adj Read]]="N/A",IF(Table1[[#This Row],[Std Adj Read]]&lt;=Table1[[#This Row],[High Tol]],"Pass","Fail"),IF(Table1[[#This Row],[DUT Adj Read]]&lt;=Table1[[#This Row],[High Tol]],"Pass","Fail")))</f>
        <v>Fail</v>
      </c>
      <c r="AH16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0" s="1" t="b">
        <v>0</v>
      </c>
      <c r="AN1600" s="1" t="b">
        <v>0</v>
      </c>
      <c r="AO1600" s="1" t="b">
        <v>0</v>
      </c>
    </row>
    <row r="1601" spans="1:41" x14ac:dyDescent="0.25">
      <c r="A1601" s="10"/>
      <c r="B1601" s="10"/>
      <c r="C1601" s="10"/>
      <c r="D1601" s="10"/>
      <c r="E1601" s="10"/>
      <c r="F1601" s="10"/>
      <c r="G1601" s="10"/>
      <c r="H1601" s="10"/>
      <c r="I1601" s="1" t="str">
        <f t="shared" si="72"/>
        <v/>
      </c>
      <c r="J1601" s="1" t="s">
        <v>35</v>
      </c>
      <c r="K1601" s="1" t="str">
        <f t="shared" si="73"/>
        <v/>
      </c>
      <c r="L1601" s="1" t="str">
        <f t="shared" si="74"/>
        <v/>
      </c>
      <c r="M1601" s="1">
        <f>IF(OR(Table1[[#This Row],[Std Nom]]="",Table1[[#This Row],[Std Read]]=""),0,Table1[[#This Row],[Std Nom]]-Table1[[#This Row],[Std Read]])</f>
        <v>0</v>
      </c>
      <c r="N1601" s="1">
        <f>IF(Calculations!$F$5="ACCREDITED 17025 WITH UNCERTAINTIES",$N$10,0)</f>
        <v>0</v>
      </c>
      <c r="Q1601" s="1">
        <f>Table1[[#This Row],[High Tol]]-Table1[[#This Row],[Low Tol]]</f>
        <v>0</v>
      </c>
      <c r="R1601" s="1">
        <f>2*Table1[[#This Row],[Std Error]]</f>
        <v>0</v>
      </c>
      <c r="S1601" s="1" t="str">
        <f>IF(Table1[[#This Row],[High Tol]]="","N/A",IFERROR(ABS(Table1[[#This Row],[Tol Span]]/Table1[[#This Row],[Error Span]]),"N/A"))</f>
        <v>N/A</v>
      </c>
      <c r="T1601" s="1" t="str">
        <f>IF(OR(Table1[[#This Row],[Low Tol]]="",Table1[[#This Row],[High Tol]]=""),"Needs Analysis",IF(Table1[[#This Row],[Ratio]]&gt;=4,"Not Significant",IF(Table1[[#This Row],[Ratio]]&gt;=2,"Semi-Significant","Significant")))</f>
        <v>Needs Analysis</v>
      </c>
      <c r="W1601" s="1">
        <f>IF(Table1[[#This Row],[Cal Type]]&lt;&gt;"ACCREDITED 17025 WITH UNCERTAINTIES",0,"")</f>
        <v>0</v>
      </c>
      <c r="X1601" s="1" t="str">
        <f>IF(Table1[[#This Row],[DUT Read]]="","N/A",Table1[[#This Row],[Std Error]]+Table1[[#This Row],[DUT Read]]+Table1[[#This Row],[DUT Ucty]])</f>
        <v>N/A</v>
      </c>
      <c r="Y1601" s="1" t="str">
        <f>IF(Table1[[#This Row],[Std Read]]="","N/A",Table1[[#This Row],[Std Read]]+Table1[[#This Row],[Std Ucty]])</f>
        <v>N/A</v>
      </c>
      <c r="Z16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1" s="1" t="str">
        <f>IF(Table1[[#This Row],[Spec Type]]="","N/A",Table1[[#This Row],[Spec Type]])</f>
        <v>±</v>
      </c>
      <c r="AC1601" s="1" t="str">
        <f>IF(Table1[[#This Row],[Spec Type2]]="N/A","N/A",IF(AND(Table1[[#This Row],[DUT Adj Read]]&gt;=Table1[[#This Row],[Low Tol]],Table1[[#This Row],[DUT Adj Read]]&lt;=Table1[[#This Row],[High Tol]]),"Pass","Fail"))</f>
        <v>Fail</v>
      </c>
      <c r="AD1601" s="1" t="str">
        <f>IF(AND(Table1[[#This Row],[Spec Type2]]="N/A",Table1[[#This Row],[DUT Adj Read]]="N/A",Table1[[#This Row],[Std Adj Read]]="N/A"),"N/A",IF(Table1[[#This Row],[DUT Adj Read]]="N/A",IF(Table1[[#This Row],[Std Adj Read]]&gt;Table1[[#This Row],[Low Tol]],"Pass","Fail"),IF(Table1[[#This Row],[DUT Adj Read]]&gt;Table1[[#This Row],[Low Tol]],"Pass","Fail")))</f>
        <v>Pass</v>
      </c>
      <c r="AE1601" s="1" t="str">
        <f>IF(AND(Table1[[#This Row],[Spec Type2]]="N/A",Table1[[#This Row],[DUT Adj Read]]="N/A",Table1[[#This Row],[Std Adj Read]]="N/A"),"N/A",IF(Table1[[#This Row],[DUT Adj Read]]="N/A",IF(Table1[[#This Row],[Std Adj Read]]&lt;Table1[[#This Row],[High Tol]],"Pass","Fail"),IF(Table1[[#This Row],[DUT Adj Read]]&lt;Table1[[#This Row],[High Tol]],"Pass","Fail")))</f>
        <v>Fail</v>
      </c>
      <c r="AF1601" s="1" t="str">
        <f>IF(AND(Table1[[#This Row],[Spec Type2]]="N/A",Table1[[#This Row],[DUT Adj Read]]="N/A",Table1[[#This Row],[Std Adj Read]]="N/A"),"N/A",IF(Table1[[#This Row],[DUT Adj Read]]="N/A",IF(Table1[[#This Row],[Std Adj Read]]&gt;=Table1[[#This Row],[Low Tol]],"Pass","Fail"),IF(Table1[[#This Row],[DUT Adj Read]]&gt;=Table1[[#This Row],[Low Tol]],"Pass","Fail")))</f>
        <v>Pass</v>
      </c>
      <c r="AG1601" s="1" t="str">
        <f>IF(AND(Table1[[#This Row],[Spec Type2]]="N/A",Table1[[#This Row],[DUT Adj Read]]="N/A",Table1[[#This Row],[Std Adj Read]]="N/A"),"N/A",IF(Table1[[#This Row],[DUT Adj Read]]="N/A",IF(Table1[[#This Row],[Std Adj Read]]&lt;=Table1[[#This Row],[High Tol]],"Pass","Fail"),IF(Table1[[#This Row],[DUT Adj Read]]&lt;=Table1[[#This Row],[High Tol]],"Pass","Fail")))</f>
        <v>Fail</v>
      </c>
      <c r="AH16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1" s="1" t="b">
        <v>0</v>
      </c>
      <c r="AN1601" s="1" t="b">
        <v>0</v>
      </c>
      <c r="AO1601" s="1" t="b">
        <v>0</v>
      </c>
    </row>
    <row r="1602" spans="1:41" x14ac:dyDescent="0.25">
      <c r="A1602" s="10"/>
      <c r="B1602" s="10"/>
      <c r="C1602" s="10"/>
      <c r="D1602" s="10"/>
      <c r="E1602" s="10"/>
      <c r="F1602" s="10"/>
      <c r="G1602" s="10"/>
      <c r="H1602" s="10"/>
      <c r="I1602" s="1" t="str">
        <f t="shared" si="72"/>
        <v/>
      </c>
      <c r="J1602" s="1" t="s">
        <v>35</v>
      </c>
      <c r="K1602" s="1" t="str">
        <f t="shared" si="73"/>
        <v/>
      </c>
      <c r="L1602" s="1" t="str">
        <f t="shared" si="74"/>
        <v/>
      </c>
      <c r="M1602" s="1">
        <f>IF(OR(Table1[[#This Row],[Std Nom]]="",Table1[[#This Row],[Std Read]]=""),0,Table1[[#This Row],[Std Nom]]-Table1[[#This Row],[Std Read]])</f>
        <v>0</v>
      </c>
      <c r="N1602" s="1">
        <f>IF(Calculations!$F$5="ACCREDITED 17025 WITH UNCERTAINTIES",$N$10,0)</f>
        <v>0</v>
      </c>
      <c r="Q1602" s="1">
        <f>Table1[[#This Row],[High Tol]]-Table1[[#This Row],[Low Tol]]</f>
        <v>0</v>
      </c>
      <c r="R1602" s="1">
        <f>2*Table1[[#This Row],[Std Error]]</f>
        <v>0</v>
      </c>
      <c r="S1602" s="1" t="str">
        <f>IF(Table1[[#This Row],[High Tol]]="","N/A",IFERROR(ABS(Table1[[#This Row],[Tol Span]]/Table1[[#This Row],[Error Span]]),"N/A"))</f>
        <v>N/A</v>
      </c>
      <c r="T1602" s="1" t="str">
        <f>IF(OR(Table1[[#This Row],[Low Tol]]="",Table1[[#This Row],[High Tol]]=""),"Needs Analysis",IF(Table1[[#This Row],[Ratio]]&gt;=4,"Not Significant",IF(Table1[[#This Row],[Ratio]]&gt;=2,"Semi-Significant","Significant")))</f>
        <v>Needs Analysis</v>
      </c>
      <c r="W1602" s="1">
        <f>IF(Table1[[#This Row],[Cal Type]]&lt;&gt;"ACCREDITED 17025 WITH UNCERTAINTIES",0,"")</f>
        <v>0</v>
      </c>
      <c r="X1602" s="1" t="str">
        <f>IF(Table1[[#This Row],[DUT Read]]="","N/A",Table1[[#This Row],[Std Error]]+Table1[[#This Row],[DUT Read]]+Table1[[#This Row],[DUT Ucty]])</f>
        <v>N/A</v>
      </c>
      <c r="Y1602" s="1" t="str">
        <f>IF(Table1[[#This Row],[Std Read]]="","N/A",Table1[[#This Row],[Std Read]]+Table1[[#This Row],[Std Ucty]])</f>
        <v>N/A</v>
      </c>
      <c r="Z16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2" s="1" t="str">
        <f>IF(Table1[[#This Row],[Spec Type]]="","N/A",Table1[[#This Row],[Spec Type]])</f>
        <v>±</v>
      </c>
      <c r="AC1602" s="1" t="str">
        <f>IF(Table1[[#This Row],[Spec Type2]]="N/A","N/A",IF(AND(Table1[[#This Row],[DUT Adj Read]]&gt;=Table1[[#This Row],[Low Tol]],Table1[[#This Row],[DUT Adj Read]]&lt;=Table1[[#This Row],[High Tol]]),"Pass","Fail"))</f>
        <v>Fail</v>
      </c>
      <c r="AD1602" s="1" t="str">
        <f>IF(AND(Table1[[#This Row],[Spec Type2]]="N/A",Table1[[#This Row],[DUT Adj Read]]="N/A",Table1[[#This Row],[Std Adj Read]]="N/A"),"N/A",IF(Table1[[#This Row],[DUT Adj Read]]="N/A",IF(Table1[[#This Row],[Std Adj Read]]&gt;Table1[[#This Row],[Low Tol]],"Pass","Fail"),IF(Table1[[#This Row],[DUT Adj Read]]&gt;Table1[[#This Row],[Low Tol]],"Pass","Fail")))</f>
        <v>Pass</v>
      </c>
      <c r="AE1602" s="1" t="str">
        <f>IF(AND(Table1[[#This Row],[Spec Type2]]="N/A",Table1[[#This Row],[DUT Adj Read]]="N/A",Table1[[#This Row],[Std Adj Read]]="N/A"),"N/A",IF(Table1[[#This Row],[DUT Adj Read]]="N/A",IF(Table1[[#This Row],[Std Adj Read]]&lt;Table1[[#This Row],[High Tol]],"Pass","Fail"),IF(Table1[[#This Row],[DUT Adj Read]]&lt;Table1[[#This Row],[High Tol]],"Pass","Fail")))</f>
        <v>Fail</v>
      </c>
      <c r="AF1602" s="1" t="str">
        <f>IF(AND(Table1[[#This Row],[Spec Type2]]="N/A",Table1[[#This Row],[DUT Adj Read]]="N/A",Table1[[#This Row],[Std Adj Read]]="N/A"),"N/A",IF(Table1[[#This Row],[DUT Adj Read]]="N/A",IF(Table1[[#This Row],[Std Adj Read]]&gt;=Table1[[#This Row],[Low Tol]],"Pass","Fail"),IF(Table1[[#This Row],[DUT Adj Read]]&gt;=Table1[[#This Row],[Low Tol]],"Pass","Fail")))</f>
        <v>Pass</v>
      </c>
      <c r="AG1602" s="1" t="str">
        <f>IF(AND(Table1[[#This Row],[Spec Type2]]="N/A",Table1[[#This Row],[DUT Adj Read]]="N/A",Table1[[#This Row],[Std Adj Read]]="N/A"),"N/A",IF(Table1[[#This Row],[DUT Adj Read]]="N/A",IF(Table1[[#This Row],[Std Adj Read]]&lt;=Table1[[#This Row],[High Tol]],"Pass","Fail"),IF(Table1[[#This Row],[DUT Adj Read]]&lt;=Table1[[#This Row],[High Tol]],"Pass","Fail")))</f>
        <v>Fail</v>
      </c>
      <c r="AH16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2" s="1" t="b">
        <v>0</v>
      </c>
      <c r="AN1602" s="1" t="b">
        <v>0</v>
      </c>
      <c r="AO1602" s="1" t="b">
        <v>0</v>
      </c>
    </row>
    <row r="1603" spans="1:41" x14ac:dyDescent="0.25">
      <c r="A1603" s="10"/>
      <c r="B1603" s="10"/>
      <c r="C1603" s="10"/>
      <c r="D1603" s="10"/>
      <c r="E1603" s="10"/>
      <c r="F1603" s="10"/>
      <c r="G1603" s="10"/>
      <c r="H1603" s="10"/>
      <c r="I1603" s="1" t="str">
        <f t="shared" si="72"/>
        <v/>
      </c>
      <c r="J1603" s="1" t="s">
        <v>35</v>
      </c>
      <c r="K1603" s="1" t="str">
        <f t="shared" si="73"/>
        <v/>
      </c>
      <c r="L1603" s="1" t="str">
        <f t="shared" si="74"/>
        <v/>
      </c>
      <c r="M1603" s="1">
        <f>IF(OR(Table1[[#This Row],[Std Nom]]="",Table1[[#This Row],[Std Read]]=""),0,Table1[[#This Row],[Std Nom]]-Table1[[#This Row],[Std Read]])</f>
        <v>0</v>
      </c>
      <c r="N1603" s="1">
        <f>IF(Calculations!$F$5="ACCREDITED 17025 WITH UNCERTAINTIES",$N$10,0)</f>
        <v>0</v>
      </c>
      <c r="Q1603" s="1">
        <f>Table1[[#This Row],[High Tol]]-Table1[[#This Row],[Low Tol]]</f>
        <v>0</v>
      </c>
      <c r="R1603" s="1">
        <f>2*Table1[[#This Row],[Std Error]]</f>
        <v>0</v>
      </c>
      <c r="S1603" s="1" t="str">
        <f>IF(Table1[[#This Row],[High Tol]]="","N/A",IFERROR(ABS(Table1[[#This Row],[Tol Span]]/Table1[[#This Row],[Error Span]]),"N/A"))</f>
        <v>N/A</v>
      </c>
      <c r="T1603" s="1" t="str">
        <f>IF(OR(Table1[[#This Row],[Low Tol]]="",Table1[[#This Row],[High Tol]]=""),"Needs Analysis",IF(Table1[[#This Row],[Ratio]]&gt;=4,"Not Significant",IF(Table1[[#This Row],[Ratio]]&gt;=2,"Semi-Significant","Significant")))</f>
        <v>Needs Analysis</v>
      </c>
      <c r="W1603" s="1">
        <f>IF(Table1[[#This Row],[Cal Type]]&lt;&gt;"ACCREDITED 17025 WITH UNCERTAINTIES",0,"")</f>
        <v>0</v>
      </c>
      <c r="X1603" s="1" t="str">
        <f>IF(Table1[[#This Row],[DUT Read]]="","N/A",Table1[[#This Row],[Std Error]]+Table1[[#This Row],[DUT Read]]+Table1[[#This Row],[DUT Ucty]])</f>
        <v>N/A</v>
      </c>
      <c r="Y1603" s="1" t="str">
        <f>IF(Table1[[#This Row],[Std Read]]="","N/A",Table1[[#This Row],[Std Read]]+Table1[[#This Row],[Std Ucty]])</f>
        <v>N/A</v>
      </c>
      <c r="Z16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3" s="1" t="str">
        <f>IF(Table1[[#This Row],[Spec Type]]="","N/A",Table1[[#This Row],[Spec Type]])</f>
        <v>±</v>
      </c>
      <c r="AC1603" s="1" t="str">
        <f>IF(Table1[[#This Row],[Spec Type2]]="N/A","N/A",IF(AND(Table1[[#This Row],[DUT Adj Read]]&gt;=Table1[[#This Row],[Low Tol]],Table1[[#This Row],[DUT Adj Read]]&lt;=Table1[[#This Row],[High Tol]]),"Pass","Fail"))</f>
        <v>Fail</v>
      </c>
      <c r="AD1603" s="1" t="str">
        <f>IF(AND(Table1[[#This Row],[Spec Type2]]="N/A",Table1[[#This Row],[DUT Adj Read]]="N/A",Table1[[#This Row],[Std Adj Read]]="N/A"),"N/A",IF(Table1[[#This Row],[DUT Adj Read]]="N/A",IF(Table1[[#This Row],[Std Adj Read]]&gt;Table1[[#This Row],[Low Tol]],"Pass","Fail"),IF(Table1[[#This Row],[DUT Adj Read]]&gt;Table1[[#This Row],[Low Tol]],"Pass","Fail")))</f>
        <v>Pass</v>
      </c>
      <c r="AE1603" s="1" t="str">
        <f>IF(AND(Table1[[#This Row],[Spec Type2]]="N/A",Table1[[#This Row],[DUT Adj Read]]="N/A",Table1[[#This Row],[Std Adj Read]]="N/A"),"N/A",IF(Table1[[#This Row],[DUT Adj Read]]="N/A",IF(Table1[[#This Row],[Std Adj Read]]&lt;Table1[[#This Row],[High Tol]],"Pass","Fail"),IF(Table1[[#This Row],[DUT Adj Read]]&lt;Table1[[#This Row],[High Tol]],"Pass","Fail")))</f>
        <v>Fail</v>
      </c>
      <c r="AF1603" s="1" t="str">
        <f>IF(AND(Table1[[#This Row],[Spec Type2]]="N/A",Table1[[#This Row],[DUT Adj Read]]="N/A",Table1[[#This Row],[Std Adj Read]]="N/A"),"N/A",IF(Table1[[#This Row],[DUT Adj Read]]="N/A",IF(Table1[[#This Row],[Std Adj Read]]&gt;=Table1[[#This Row],[Low Tol]],"Pass","Fail"),IF(Table1[[#This Row],[DUT Adj Read]]&gt;=Table1[[#This Row],[Low Tol]],"Pass","Fail")))</f>
        <v>Pass</v>
      </c>
      <c r="AG1603" s="1" t="str">
        <f>IF(AND(Table1[[#This Row],[Spec Type2]]="N/A",Table1[[#This Row],[DUT Adj Read]]="N/A",Table1[[#This Row],[Std Adj Read]]="N/A"),"N/A",IF(Table1[[#This Row],[DUT Adj Read]]="N/A",IF(Table1[[#This Row],[Std Adj Read]]&lt;=Table1[[#This Row],[High Tol]],"Pass","Fail"),IF(Table1[[#This Row],[DUT Adj Read]]&lt;=Table1[[#This Row],[High Tol]],"Pass","Fail")))</f>
        <v>Fail</v>
      </c>
      <c r="AH16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3" s="1" t="b">
        <v>0</v>
      </c>
      <c r="AN1603" s="1" t="b">
        <v>0</v>
      </c>
      <c r="AO1603" s="1" t="b">
        <v>0</v>
      </c>
    </row>
    <row r="1604" spans="1:41" x14ac:dyDescent="0.25">
      <c r="A1604" s="10"/>
      <c r="B1604" s="10"/>
      <c r="C1604" s="10"/>
      <c r="D1604" s="10"/>
      <c r="E1604" s="10"/>
      <c r="F1604" s="10"/>
      <c r="G1604" s="10"/>
      <c r="H1604" s="10"/>
      <c r="I1604" s="1" t="str">
        <f t="shared" si="72"/>
        <v/>
      </c>
      <c r="J1604" s="1" t="s">
        <v>35</v>
      </c>
      <c r="K1604" s="1" t="str">
        <f t="shared" si="73"/>
        <v/>
      </c>
      <c r="L1604" s="1" t="str">
        <f t="shared" si="74"/>
        <v/>
      </c>
      <c r="M1604" s="1">
        <f>IF(OR(Table1[[#This Row],[Std Nom]]="",Table1[[#This Row],[Std Read]]=""),0,Table1[[#This Row],[Std Nom]]-Table1[[#This Row],[Std Read]])</f>
        <v>0</v>
      </c>
      <c r="N1604" s="1">
        <f>IF(Calculations!$F$5="ACCREDITED 17025 WITH UNCERTAINTIES",$N$10,0)</f>
        <v>0</v>
      </c>
      <c r="Q1604" s="1">
        <f>Table1[[#This Row],[High Tol]]-Table1[[#This Row],[Low Tol]]</f>
        <v>0</v>
      </c>
      <c r="R1604" s="1">
        <f>2*Table1[[#This Row],[Std Error]]</f>
        <v>0</v>
      </c>
      <c r="S1604" s="1" t="str">
        <f>IF(Table1[[#This Row],[High Tol]]="","N/A",IFERROR(ABS(Table1[[#This Row],[Tol Span]]/Table1[[#This Row],[Error Span]]),"N/A"))</f>
        <v>N/A</v>
      </c>
      <c r="T1604" s="1" t="str">
        <f>IF(OR(Table1[[#This Row],[Low Tol]]="",Table1[[#This Row],[High Tol]]=""),"Needs Analysis",IF(Table1[[#This Row],[Ratio]]&gt;=4,"Not Significant",IF(Table1[[#This Row],[Ratio]]&gt;=2,"Semi-Significant","Significant")))</f>
        <v>Needs Analysis</v>
      </c>
      <c r="W1604" s="1">
        <f>IF(Table1[[#This Row],[Cal Type]]&lt;&gt;"ACCREDITED 17025 WITH UNCERTAINTIES",0,"")</f>
        <v>0</v>
      </c>
      <c r="X1604" s="1" t="str">
        <f>IF(Table1[[#This Row],[DUT Read]]="","N/A",Table1[[#This Row],[Std Error]]+Table1[[#This Row],[DUT Read]]+Table1[[#This Row],[DUT Ucty]])</f>
        <v>N/A</v>
      </c>
      <c r="Y1604" s="1" t="str">
        <f>IF(Table1[[#This Row],[Std Read]]="","N/A",Table1[[#This Row],[Std Read]]+Table1[[#This Row],[Std Ucty]])</f>
        <v>N/A</v>
      </c>
      <c r="Z16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4" s="1" t="str">
        <f>IF(Table1[[#This Row],[Spec Type]]="","N/A",Table1[[#This Row],[Spec Type]])</f>
        <v>±</v>
      </c>
      <c r="AC1604" s="1" t="str">
        <f>IF(Table1[[#This Row],[Spec Type2]]="N/A","N/A",IF(AND(Table1[[#This Row],[DUT Adj Read]]&gt;=Table1[[#This Row],[Low Tol]],Table1[[#This Row],[DUT Adj Read]]&lt;=Table1[[#This Row],[High Tol]]),"Pass","Fail"))</f>
        <v>Fail</v>
      </c>
      <c r="AD1604" s="1" t="str">
        <f>IF(AND(Table1[[#This Row],[Spec Type2]]="N/A",Table1[[#This Row],[DUT Adj Read]]="N/A",Table1[[#This Row],[Std Adj Read]]="N/A"),"N/A",IF(Table1[[#This Row],[DUT Adj Read]]="N/A",IF(Table1[[#This Row],[Std Adj Read]]&gt;Table1[[#This Row],[Low Tol]],"Pass","Fail"),IF(Table1[[#This Row],[DUT Adj Read]]&gt;Table1[[#This Row],[Low Tol]],"Pass","Fail")))</f>
        <v>Pass</v>
      </c>
      <c r="AE1604" s="1" t="str">
        <f>IF(AND(Table1[[#This Row],[Spec Type2]]="N/A",Table1[[#This Row],[DUT Adj Read]]="N/A",Table1[[#This Row],[Std Adj Read]]="N/A"),"N/A",IF(Table1[[#This Row],[DUT Adj Read]]="N/A",IF(Table1[[#This Row],[Std Adj Read]]&lt;Table1[[#This Row],[High Tol]],"Pass","Fail"),IF(Table1[[#This Row],[DUT Adj Read]]&lt;Table1[[#This Row],[High Tol]],"Pass","Fail")))</f>
        <v>Fail</v>
      </c>
      <c r="AF1604" s="1" t="str">
        <f>IF(AND(Table1[[#This Row],[Spec Type2]]="N/A",Table1[[#This Row],[DUT Adj Read]]="N/A",Table1[[#This Row],[Std Adj Read]]="N/A"),"N/A",IF(Table1[[#This Row],[DUT Adj Read]]="N/A",IF(Table1[[#This Row],[Std Adj Read]]&gt;=Table1[[#This Row],[Low Tol]],"Pass","Fail"),IF(Table1[[#This Row],[DUT Adj Read]]&gt;=Table1[[#This Row],[Low Tol]],"Pass","Fail")))</f>
        <v>Pass</v>
      </c>
      <c r="AG1604" s="1" t="str">
        <f>IF(AND(Table1[[#This Row],[Spec Type2]]="N/A",Table1[[#This Row],[DUT Adj Read]]="N/A",Table1[[#This Row],[Std Adj Read]]="N/A"),"N/A",IF(Table1[[#This Row],[DUT Adj Read]]="N/A",IF(Table1[[#This Row],[Std Adj Read]]&lt;=Table1[[#This Row],[High Tol]],"Pass","Fail"),IF(Table1[[#This Row],[DUT Adj Read]]&lt;=Table1[[#This Row],[High Tol]],"Pass","Fail")))</f>
        <v>Fail</v>
      </c>
      <c r="AH16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4" s="1" t="b">
        <v>0</v>
      </c>
      <c r="AN1604" s="1" t="b">
        <v>0</v>
      </c>
      <c r="AO1604" s="1" t="b">
        <v>0</v>
      </c>
    </row>
    <row r="1605" spans="1:41" x14ac:dyDescent="0.25">
      <c r="A1605" s="10"/>
      <c r="B1605" s="10"/>
      <c r="C1605" s="10"/>
      <c r="D1605" s="10"/>
      <c r="E1605" s="10"/>
      <c r="F1605" s="10"/>
      <c r="G1605" s="10"/>
      <c r="H1605" s="10"/>
      <c r="I1605" s="1" t="str">
        <f t="shared" si="72"/>
        <v/>
      </c>
      <c r="J1605" s="1" t="s">
        <v>35</v>
      </c>
      <c r="K1605" s="1" t="str">
        <f t="shared" si="73"/>
        <v/>
      </c>
      <c r="L1605" s="1" t="str">
        <f t="shared" si="74"/>
        <v/>
      </c>
      <c r="M1605" s="1">
        <f>IF(OR(Table1[[#This Row],[Std Nom]]="",Table1[[#This Row],[Std Read]]=""),0,Table1[[#This Row],[Std Nom]]-Table1[[#This Row],[Std Read]])</f>
        <v>0</v>
      </c>
      <c r="N1605" s="1">
        <f>IF(Calculations!$F$5="ACCREDITED 17025 WITH UNCERTAINTIES",$N$10,0)</f>
        <v>0</v>
      </c>
      <c r="Q1605" s="1">
        <f>Table1[[#This Row],[High Tol]]-Table1[[#This Row],[Low Tol]]</f>
        <v>0</v>
      </c>
      <c r="R1605" s="1">
        <f>2*Table1[[#This Row],[Std Error]]</f>
        <v>0</v>
      </c>
      <c r="S1605" s="1" t="str">
        <f>IF(Table1[[#This Row],[High Tol]]="","N/A",IFERROR(ABS(Table1[[#This Row],[Tol Span]]/Table1[[#This Row],[Error Span]]),"N/A"))</f>
        <v>N/A</v>
      </c>
      <c r="T1605" s="1" t="str">
        <f>IF(OR(Table1[[#This Row],[Low Tol]]="",Table1[[#This Row],[High Tol]]=""),"Needs Analysis",IF(Table1[[#This Row],[Ratio]]&gt;=4,"Not Significant",IF(Table1[[#This Row],[Ratio]]&gt;=2,"Semi-Significant","Significant")))</f>
        <v>Needs Analysis</v>
      </c>
      <c r="W1605" s="1">
        <f>IF(Table1[[#This Row],[Cal Type]]&lt;&gt;"ACCREDITED 17025 WITH UNCERTAINTIES",0,"")</f>
        <v>0</v>
      </c>
      <c r="X1605" s="1" t="str">
        <f>IF(Table1[[#This Row],[DUT Read]]="","N/A",Table1[[#This Row],[Std Error]]+Table1[[#This Row],[DUT Read]]+Table1[[#This Row],[DUT Ucty]])</f>
        <v>N/A</v>
      </c>
      <c r="Y1605" s="1" t="str">
        <f>IF(Table1[[#This Row],[Std Read]]="","N/A",Table1[[#This Row],[Std Read]]+Table1[[#This Row],[Std Ucty]])</f>
        <v>N/A</v>
      </c>
      <c r="Z16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5" s="1" t="str">
        <f>IF(Table1[[#This Row],[Spec Type]]="","N/A",Table1[[#This Row],[Spec Type]])</f>
        <v>±</v>
      </c>
      <c r="AC1605" s="1" t="str">
        <f>IF(Table1[[#This Row],[Spec Type2]]="N/A","N/A",IF(AND(Table1[[#This Row],[DUT Adj Read]]&gt;=Table1[[#This Row],[Low Tol]],Table1[[#This Row],[DUT Adj Read]]&lt;=Table1[[#This Row],[High Tol]]),"Pass","Fail"))</f>
        <v>Fail</v>
      </c>
      <c r="AD1605" s="1" t="str">
        <f>IF(AND(Table1[[#This Row],[Spec Type2]]="N/A",Table1[[#This Row],[DUT Adj Read]]="N/A",Table1[[#This Row],[Std Adj Read]]="N/A"),"N/A",IF(Table1[[#This Row],[DUT Adj Read]]="N/A",IF(Table1[[#This Row],[Std Adj Read]]&gt;Table1[[#This Row],[Low Tol]],"Pass","Fail"),IF(Table1[[#This Row],[DUT Adj Read]]&gt;Table1[[#This Row],[Low Tol]],"Pass","Fail")))</f>
        <v>Pass</v>
      </c>
      <c r="AE1605" s="1" t="str">
        <f>IF(AND(Table1[[#This Row],[Spec Type2]]="N/A",Table1[[#This Row],[DUT Adj Read]]="N/A",Table1[[#This Row],[Std Adj Read]]="N/A"),"N/A",IF(Table1[[#This Row],[DUT Adj Read]]="N/A",IF(Table1[[#This Row],[Std Adj Read]]&lt;Table1[[#This Row],[High Tol]],"Pass","Fail"),IF(Table1[[#This Row],[DUT Adj Read]]&lt;Table1[[#This Row],[High Tol]],"Pass","Fail")))</f>
        <v>Fail</v>
      </c>
      <c r="AF1605" s="1" t="str">
        <f>IF(AND(Table1[[#This Row],[Spec Type2]]="N/A",Table1[[#This Row],[DUT Adj Read]]="N/A",Table1[[#This Row],[Std Adj Read]]="N/A"),"N/A",IF(Table1[[#This Row],[DUT Adj Read]]="N/A",IF(Table1[[#This Row],[Std Adj Read]]&gt;=Table1[[#This Row],[Low Tol]],"Pass","Fail"),IF(Table1[[#This Row],[DUT Adj Read]]&gt;=Table1[[#This Row],[Low Tol]],"Pass","Fail")))</f>
        <v>Pass</v>
      </c>
      <c r="AG1605" s="1" t="str">
        <f>IF(AND(Table1[[#This Row],[Spec Type2]]="N/A",Table1[[#This Row],[DUT Adj Read]]="N/A",Table1[[#This Row],[Std Adj Read]]="N/A"),"N/A",IF(Table1[[#This Row],[DUT Adj Read]]="N/A",IF(Table1[[#This Row],[Std Adj Read]]&lt;=Table1[[#This Row],[High Tol]],"Pass","Fail"),IF(Table1[[#This Row],[DUT Adj Read]]&lt;=Table1[[#This Row],[High Tol]],"Pass","Fail")))</f>
        <v>Fail</v>
      </c>
      <c r="AH16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5" s="1" t="b">
        <v>0</v>
      </c>
      <c r="AN1605" s="1" t="b">
        <v>0</v>
      </c>
      <c r="AO1605" s="1" t="b">
        <v>0</v>
      </c>
    </row>
    <row r="1606" spans="1:41" x14ac:dyDescent="0.25">
      <c r="A1606" s="10"/>
      <c r="B1606" s="10"/>
      <c r="C1606" s="10"/>
      <c r="D1606" s="10"/>
      <c r="E1606" s="10"/>
      <c r="F1606" s="10"/>
      <c r="G1606" s="10"/>
      <c r="H1606" s="10"/>
      <c r="I1606" s="1" t="str">
        <f t="shared" si="72"/>
        <v/>
      </c>
      <c r="J1606" s="1" t="s">
        <v>35</v>
      </c>
      <c r="K1606" s="1" t="str">
        <f t="shared" si="73"/>
        <v/>
      </c>
      <c r="L1606" s="1" t="str">
        <f t="shared" si="74"/>
        <v/>
      </c>
      <c r="M1606" s="1">
        <f>IF(OR(Table1[[#This Row],[Std Nom]]="",Table1[[#This Row],[Std Read]]=""),0,Table1[[#This Row],[Std Nom]]-Table1[[#This Row],[Std Read]])</f>
        <v>0</v>
      </c>
      <c r="N1606" s="1">
        <f>IF(Calculations!$F$5="ACCREDITED 17025 WITH UNCERTAINTIES",$N$10,0)</f>
        <v>0</v>
      </c>
      <c r="Q1606" s="1">
        <f>Table1[[#This Row],[High Tol]]-Table1[[#This Row],[Low Tol]]</f>
        <v>0</v>
      </c>
      <c r="R1606" s="1">
        <f>2*Table1[[#This Row],[Std Error]]</f>
        <v>0</v>
      </c>
      <c r="S1606" s="1" t="str">
        <f>IF(Table1[[#This Row],[High Tol]]="","N/A",IFERROR(ABS(Table1[[#This Row],[Tol Span]]/Table1[[#This Row],[Error Span]]),"N/A"))</f>
        <v>N/A</v>
      </c>
      <c r="T1606" s="1" t="str">
        <f>IF(OR(Table1[[#This Row],[Low Tol]]="",Table1[[#This Row],[High Tol]]=""),"Needs Analysis",IF(Table1[[#This Row],[Ratio]]&gt;=4,"Not Significant",IF(Table1[[#This Row],[Ratio]]&gt;=2,"Semi-Significant","Significant")))</f>
        <v>Needs Analysis</v>
      </c>
      <c r="W1606" s="1">
        <f>IF(Table1[[#This Row],[Cal Type]]&lt;&gt;"ACCREDITED 17025 WITH UNCERTAINTIES",0,"")</f>
        <v>0</v>
      </c>
      <c r="X1606" s="1" t="str">
        <f>IF(Table1[[#This Row],[DUT Read]]="","N/A",Table1[[#This Row],[Std Error]]+Table1[[#This Row],[DUT Read]]+Table1[[#This Row],[DUT Ucty]])</f>
        <v>N/A</v>
      </c>
      <c r="Y1606" s="1" t="str">
        <f>IF(Table1[[#This Row],[Std Read]]="","N/A",Table1[[#This Row],[Std Read]]+Table1[[#This Row],[Std Ucty]])</f>
        <v>N/A</v>
      </c>
      <c r="Z16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6" s="1" t="str">
        <f>IF(Table1[[#This Row],[Spec Type]]="","N/A",Table1[[#This Row],[Spec Type]])</f>
        <v>±</v>
      </c>
      <c r="AC1606" s="1" t="str">
        <f>IF(Table1[[#This Row],[Spec Type2]]="N/A","N/A",IF(AND(Table1[[#This Row],[DUT Adj Read]]&gt;=Table1[[#This Row],[Low Tol]],Table1[[#This Row],[DUT Adj Read]]&lt;=Table1[[#This Row],[High Tol]]),"Pass","Fail"))</f>
        <v>Fail</v>
      </c>
      <c r="AD1606" s="1" t="str">
        <f>IF(AND(Table1[[#This Row],[Spec Type2]]="N/A",Table1[[#This Row],[DUT Adj Read]]="N/A",Table1[[#This Row],[Std Adj Read]]="N/A"),"N/A",IF(Table1[[#This Row],[DUT Adj Read]]="N/A",IF(Table1[[#This Row],[Std Adj Read]]&gt;Table1[[#This Row],[Low Tol]],"Pass","Fail"),IF(Table1[[#This Row],[DUT Adj Read]]&gt;Table1[[#This Row],[Low Tol]],"Pass","Fail")))</f>
        <v>Pass</v>
      </c>
      <c r="AE1606" s="1" t="str">
        <f>IF(AND(Table1[[#This Row],[Spec Type2]]="N/A",Table1[[#This Row],[DUT Adj Read]]="N/A",Table1[[#This Row],[Std Adj Read]]="N/A"),"N/A",IF(Table1[[#This Row],[DUT Adj Read]]="N/A",IF(Table1[[#This Row],[Std Adj Read]]&lt;Table1[[#This Row],[High Tol]],"Pass","Fail"),IF(Table1[[#This Row],[DUT Adj Read]]&lt;Table1[[#This Row],[High Tol]],"Pass","Fail")))</f>
        <v>Fail</v>
      </c>
      <c r="AF1606" s="1" t="str">
        <f>IF(AND(Table1[[#This Row],[Spec Type2]]="N/A",Table1[[#This Row],[DUT Adj Read]]="N/A",Table1[[#This Row],[Std Adj Read]]="N/A"),"N/A",IF(Table1[[#This Row],[DUT Adj Read]]="N/A",IF(Table1[[#This Row],[Std Adj Read]]&gt;=Table1[[#This Row],[Low Tol]],"Pass","Fail"),IF(Table1[[#This Row],[DUT Adj Read]]&gt;=Table1[[#This Row],[Low Tol]],"Pass","Fail")))</f>
        <v>Pass</v>
      </c>
      <c r="AG1606" s="1" t="str">
        <f>IF(AND(Table1[[#This Row],[Spec Type2]]="N/A",Table1[[#This Row],[DUT Adj Read]]="N/A",Table1[[#This Row],[Std Adj Read]]="N/A"),"N/A",IF(Table1[[#This Row],[DUT Adj Read]]="N/A",IF(Table1[[#This Row],[Std Adj Read]]&lt;=Table1[[#This Row],[High Tol]],"Pass","Fail"),IF(Table1[[#This Row],[DUT Adj Read]]&lt;=Table1[[#This Row],[High Tol]],"Pass","Fail")))</f>
        <v>Fail</v>
      </c>
      <c r="AH16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6" s="1" t="b">
        <v>0</v>
      </c>
      <c r="AN1606" s="1" t="b">
        <v>0</v>
      </c>
      <c r="AO1606" s="1" t="b">
        <v>0</v>
      </c>
    </row>
    <row r="1607" spans="1:41" x14ac:dyDescent="0.25">
      <c r="A1607" s="10"/>
      <c r="B1607" s="10"/>
      <c r="C1607" s="10"/>
      <c r="D1607" s="10"/>
      <c r="E1607" s="10"/>
      <c r="F1607" s="10"/>
      <c r="G1607" s="10"/>
      <c r="H1607" s="10"/>
      <c r="I1607" s="1" t="str">
        <f t="shared" si="72"/>
        <v/>
      </c>
      <c r="J1607" s="1" t="s">
        <v>35</v>
      </c>
      <c r="K1607" s="1" t="str">
        <f t="shared" si="73"/>
        <v/>
      </c>
      <c r="L1607" s="1" t="str">
        <f t="shared" si="74"/>
        <v/>
      </c>
      <c r="M1607" s="1">
        <f>IF(OR(Table1[[#This Row],[Std Nom]]="",Table1[[#This Row],[Std Read]]=""),0,Table1[[#This Row],[Std Nom]]-Table1[[#This Row],[Std Read]])</f>
        <v>0</v>
      </c>
      <c r="N1607" s="1">
        <f>IF(Calculations!$F$5="ACCREDITED 17025 WITH UNCERTAINTIES",$N$10,0)</f>
        <v>0</v>
      </c>
      <c r="Q1607" s="1">
        <f>Table1[[#This Row],[High Tol]]-Table1[[#This Row],[Low Tol]]</f>
        <v>0</v>
      </c>
      <c r="R1607" s="1">
        <f>2*Table1[[#This Row],[Std Error]]</f>
        <v>0</v>
      </c>
      <c r="S1607" s="1" t="str">
        <f>IF(Table1[[#This Row],[High Tol]]="","N/A",IFERROR(ABS(Table1[[#This Row],[Tol Span]]/Table1[[#This Row],[Error Span]]),"N/A"))</f>
        <v>N/A</v>
      </c>
      <c r="T1607" s="1" t="str">
        <f>IF(OR(Table1[[#This Row],[Low Tol]]="",Table1[[#This Row],[High Tol]]=""),"Needs Analysis",IF(Table1[[#This Row],[Ratio]]&gt;=4,"Not Significant",IF(Table1[[#This Row],[Ratio]]&gt;=2,"Semi-Significant","Significant")))</f>
        <v>Needs Analysis</v>
      </c>
      <c r="W1607" s="1">
        <f>IF(Table1[[#This Row],[Cal Type]]&lt;&gt;"ACCREDITED 17025 WITH UNCERTAINTIES",0,"")</f>
        <v>0</v>
      </c>
      <c r="X1607" s="1" t="str">
        <f>IF(Table1[[#This Row],[DUT Read]]="","N/A",Table1[[#This Row],[Std Error]]+Table1[[#This Row],[DUT Read]]+Table1[[#This Row],[DUT Ucty]])</f>
        <v>N/A</v>
      </c>
      <c r="Y1607" s="1" t="str">
        <f>IF(Table1[[#This Row],[Std Read]]="","N/A",Table1[[#This Row],[Std Read]]+Table1[[#This Row],[Std Ucty]])</f>
        <v>N/A</v>
      </c>
      <c r="Z16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7" s="1" t="str">
        <f>IF(Table1[[#This Row],[Spec Type]]="","N/A",Table1[[#This Row],[Spec Type]])</f>
        <v>±</v>
      </c>
      <c r="AC1607" s="1" t="str">
        <f>IF(Table1[[#This Row],[Spec Type2]]="N/A","N/A",IF(AND(Table1[[#This Row],[DUT Adj Read]]&gt;=Table1[[#This Row],[Low Tol]],Table1[[#This Row],[DUT Adj Read]]&lt;=Table1[[#This Row],[High Tol]]),"Pass","Fail"))</f>
        <v>Fail</v>
      </c>
      <c r="AD1607" s="1" t="str">
        <f>IF(AND(Table1[[#This Row],[Spec Type2]]="N/A",Table1[[#This Row],[DUT Adj Read]]="N/A",Table1[[#This Row],[Std Adj Read]]="N/A"),"N/A",IF(Table1[[#This Row],[DUT Adj Read]]="N/A",IF(Table1[[#This Row],[Std Adj Read]]&gt;Table1[[#This Row],[Low Tol]],"Pass","Fail"),IF(Table1[[#This Row],[DUT Adj Read]]&gt;Table1[[#This Row],[Low Tol]],"Pass","Fail")))</f>
        <v>Pass</v>
      </c>
      <c r="AE1607" s="1" t="str">
        <f>IF(AND(Table1[[#This Row],[Spec Type2]]="N/A",Table1[[#This Row],[DUT Adj Read]]="N/A",Table1[[#This Row],[Std Adj Read]]="N/A"),"N/A",IF(Table1[[#This Row],[DUT Adj Read]]="N/A",IF(Table1[[#This Row],[Std Adj Read]]&lt;Table1[[#This Row],[High Tol]],"Pass","Fail"),IF(Table1[[#This Row],[DUT Adj Read]]&lt;Table1[[#This Row],[High Tol]],"Pass","Fail")))</f>
        <v>Fail</v>
      </c>
      <c r="AF1607" s="1" t="str">
        <f>IF(AND(Table1[[#This Row],[Spec Type2]]="N/A",Table1[[#This Row],[DUT Adj Read]]="N/A",Table1[[#This Row],[Std Adj Read]]="N/A"),"N/A",IF(Table1[[#This Row],[DUT Adj Read]]="N/A",IF(Table1[[#This Row],[Std Adj Read]]&gt;=Table1[[#This Row],[Low Tol]],"Pass","Fail"),IF(Table1[[#This Row],[DUT Adj Read]]&gt;=Table1[[#This Row],[Low Tol]],"Pass","Fail")))</f>
        <v>Pass</v>
      </c>
      <c r="AG1607" s="1" t="str">
        <f>IF(AND(Table1[[#This Row],[Spec Type2]]="N/A",Table1[[#This Row],[DUT Adj Read]]="N/A",Table1[[#This Row],[Std Adj Read]]="N/A"),"N/A",IF(Table1[[#This Row],[DUT Adj Read]]="N/A",IF(Table1[[#This Row],[Std Adj Read]]&lt;=Table1[[#This Row],[High Tol]],"Pass","Fail"),IF(Table1[[#This Row],[DUT Adj Read]]&lt;=Table1[[#This Row],[High Tol]],"Pass","Fail")))</f>
        <v>Fail</v>
      </c>
      <c r="AH16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7" s="1" t="b">
        <v>0</v>
      </c>
      <c r="AN1607" s="1" t="b">
        <v>0</v>
      </c>
      <c r="AO1607" s="1" t="b">
        <v>0</v>
      </c>
    </row>
    <row r="1608" spans="1:41" x14ac:dyDescent="0.25">
      <c r="A1608" s="10"/>
      <c r="B1608" s="10"/>
      <c r="C1608" s="10"/>
      <c r="D1608" s="10"/>
      <c r="E1608" s="10"/>
      <c r="F1608" s="10"/>
      <c r="G1608" s="10"/>
      <c r="H1608" s="10"/>
      <c r="I1608" s="1" t="str">
        <f t="shared" si="72"/>
        <v/>
      </c>
      <c r="J1608" s="1" t="s">
        <v>35</v>
      </c>
      <c r="K1608" s="1" t="str">
        <f t="shared" si="73"/>
        <v/>
      </c>
      <c r="L1608" s="1" t="str">
        <f t="shared" si="74"/>
        <v/>
      </c>
      <c r="M1608" s="1">
        <f>IF(OR(Table1[[#This Row],[Std Nom]]="",Table1[[#This Row],[Std Read]]=""),0,Table1[[#This Row],[Std Nom]]-Table1[[#This Row],[Std Read]])</f>
        <v>0</v>
      </c>
      <c r="N1608" s="1">
        <f>IF(Calculations!$F$5="ACCREDITED 17025 WITH UNCERTAINTIES",$N$10,0)</f>
        <v>0</v>
      </c>
      <c r="Q1608" s="1">
        <f>Table1[[#This Row],[High Tol]]-Table1[[#This Row],[Low Tol]]</f>
        <v>0</v>
      </c>
      <c r="R1608" s="1">
        <f>2*Table1[[#This Row],[Std Error]]</f>
        <v>0</v>
      </c>
      <c r="S1608" s="1" t="str">
        <f>IF(Table1[[#This Row],[High Tol]]="","N/A",IFERROR(ABS(Table1[[#This Row],[Tol Span]]/Table1[[#This Row],[Error Span]]),"N/A"))</f>
        <v>N/A</v>
      </c>
      <c r="T1608" s="1" t="str">
        <f>IF(OR(Table1[[#This Row],[Low Tol]]="",Table1[[#This Row],[High Tol]]=""),"Needs Analysis",IF(Table1[[#This Row],[Ratio]]&gt;=4,"Not Significant",IF(Table1[[#This Row],[Ratio]]&gt;=2,"Semi-Significant","Significant")))</f>
        <v>Needs Analysis</v>
      </c>
      <c r="W1608" s="1">
        <f>IF(Table1[[#This Row],[Cal Type]]&lt;&gt;"ACCREDITED 17025 WITH UNCERTAINTIES",0,"")</f>
        <v>0</v>
      </c>
      <c r="X1608" s="1" t="str">
        <f>IF(Table1[[#This Row],[DUT Read]]="","N/A",Table1[[#This Row],[Std Error]]+Table1[[#This Row],[DUT Read]]+Table1[[#This Row],[DUT Ucty]])</f>
        <v>N/A</v>
      </c>
      <c r="Y1608" s="1" t="str">
        <f>IF(Table1[[#This Row],[Std Read]]="","N/A",Table1[[#This Row],[Std Read]]+Table1[[#This Row],[Std Ucty]])</f>
        <v>N/A</v>
      </c>
      <c r="Z16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8" s="1" t="str">
        <f>IF(Table1[[#This Row],[Spec Type]]="","N/A",Table1[[#This Row],[Spec Type]])</f>
        <v>±</v>
      </c>
      <c r="AC1608" s="1" t="str">
        <f>IF(Table1[[#This Row],[Spec Type2]]="N/A","N/A",IF(AND(Table1[[#This Row],[DUT Adj Read]]&gt;=Table1[[#This Row],[Low Tol]],Table1[[#This Row],[DUT Adj Read]]&lt;=Table1[[#This Row],[High Tol]]),"Pass","Fail"))</f>
        <v>Fail</v>
      </c>
      <c r="AD1608" s="1" t="str">
        <f>IF(AND(Table1[[#This Row],[Spec Type2]]="N/A",Table1[[#This Row],[DUT Adj Read]]="N/A",Table1[[#This Row],[Std Adj Read]]="N/A"),"N/A",IF(Table1[[#This Row],[DUT Adj Read]]="N/A",IF(Table1[[#This Row],[Std Adj Read]]&gt;Table1[[#This Row],[Low Tol]],"Pass","Fail"),IF(Table1[[#This Row],[DUT Adj Read]]&gt;Table1[[#This Row],[Low Tol]],"Pass","Fail")))</f>
        <v>Pass</v>
      </c>
      <c r="AE1608" s="1" t="str">
        <f>IF(AND(Table1[[#This Row],[Spec Type2]]="N/A",Table1[[#This Row],[DUT Adj Read]]="N/A",Table1[[#This Row],[Std Adj Read]]="N/A"),"N/A",IF(Table1[[#This Row],[DUT Adj Read]]="N/A",IF(Table1[[#This Row],[Std Adj Read]]&lt;Table1[[#This Row],[High Tol]],"Pass","Fail"),IF(Table1[[#This Row],[DUT Adj Read]]&lt;Table1[[#This Row],[High Tol]],"Pass","Fail")))</f>
        <v>Fail</v>
      </c>
      <c r="AF1608" s="1" t="str">
        <f>IF(AND(Table1[[#This Row],[Spec Type2]]="N/A",Table1[[#This Row],[DUT Adj Read]]="N/A",Table1[[#This Row],[Std Adj Read]]="N/A"),"N/A",IF(Table1[[#This Row],[DUT Adj Read]]="N/A",IF(Table1[[#This Row],[Std Adj Read]]&gt;=Table1[[#This Row],[Low Tol]],"Pass","Fail"),IF(Table1[[#This Row],[DUT Adj Read]]&gt;=Table1[[#This Row],[Low Tol]],"Pass","Fail")))</f>
        <v>Pass</v>
      </c>
      <c r="AG1608" s="1" t="str">
        <f>IF(AND(Table1[[#This Row],[Spec Type2]]="N/A",Table1[[#This Row],[DUT Adj Read]]="N/A",Table1[[#This Row],[Std Adj Read]]="N/A"),"N/A",IF(Table1[[#This Row],[DUT Adj Read]]="N/A",IF(Table1[[#This Row],[Std Adj Read]]&lt;=Table1[[#This Row],[High Tol]],"Pass","Fail"),IF(Table1[[#This Row],[DUT Adj Read]]&lt;=Table1[[#This Row],[High Tol]],"Pass","Fail")))</f>
        <v>Fail</v>
      </c>
      <c r="AH16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8" s="1" t="b">
        <v>0</v>
      </c>
      <c r="AN1608" s="1" t="b">
        <v>0</v>
      </c>
      <c r="AO1608" s="1" t="b">
        <v>0</v>
      </c>
    </row>
    <row r="1609" spans="1:41" x14ac:dyDescent="0.25">
      <c r="A1609" s="10"/>
      <c r="B1609" s="10"/>
      <c r="C1609" s="10"/>
      <c r="D1609" s="10"/>
      <c r="E1609" s="10"/>
      <c r="F1609" s="10"/>
      <c r="G1609" s="10"/>
      <c r="H1609" s="10"/>
      <c r="I1609" s="1" t="str">
        <f t="shared" si="72"/>
        <v/>
      </c>
      <c r="J1609" s="1" t="s">
        <v>35</v>
      </c>
      <c r="K1609" s="1" t="str">
        <f t="shared" si="73"/>
        <v/>
      </c>
      <c r="L1609" s="1" t="str">
        <f t="shared" si="74"/>
        <v/>
      </c>
      <c r="M1609" s="1">
        <f>IF(OR(Table1[[#This Row],[Std Nom]]="",Table1[[#This Row],[Std Read]]=""),0,Table1[[#This Row],[Std Nom]]-Table1[[#This Row],[Std Read]])</f>
        <v>0</v>
      </c>
      <c r="N1609" s="1">
        <f>IF(Calculations!$F$5="ACCREDITED 17025 WITH UNCERTAINTIES",$N$10,0)</f>
        <v>0</v>
      </c>
      <c r="Q1609" s="1">
        <f>Table1[[#This Row],[High Tol]]-Table1[[#This Row],[Low Tol]]</f>
        <v>0</v>
      </c>
      <c r="R1609" s="1">
        <f>2*Table1[[#This Row],[Std Error]]</f>
        <v>0</v>
      </c>
      <c r="S1609" s="1" t="str">
        <f>IF(Table1[[#This Row],[High Tol]]="","N/A",IFERROR(ABS(Table1[[#This Row],[Tol Span]]/Table1[[#This Row],[Error Span]]),"N/A"))</f>
        <v>N/A</v>
      </c>
      <c r="T1609" s="1" t="str">
        <f>IF(OR(Table1[[#This Row],[Low Tol]]="",Table1[[#This Row],[High Tol]]=""),"Needs Analysis",IF(Table1[[#This Row],[Ratio]]&gt;=4,"Not Significant",IF(Table1[[#This Row],[Ratio]]&gt;=2,"Semi-Significant","Significant")))</f>
        <v>Needs Analysis</v>
      </c>
      <c r="W1609" s="1">
        <f>IF(Table1[[#This Row],[Cal Type]]&lt;&gt;"ACCREDITED 17025 WITH UNCERTAINTIES",0,"")</f>
        <v>0</v>
      </c>
      <c r="X1609" s="1" t="str">
        <f>IF(Table1[[#This Row],[DUT Read]]="","N/A",Table1[[#This Row],[Std Error]]+Table1[[#This Row],[DUT Read]]+Table1[[#This Row],[DUT Ucty]])</f>
        <v>N/A</v>
      </c>
      <c r="Y1609" s="1" t="str">
        <f>IF(Table1[[#This Row],[Std Read]]="","N/A",Table1[[#This Row],[Std Read]]+Table1[[#This Row],[Std Ucty]])</f>
        <v>N/A</v>
      </c>
      <c r="Z16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09" s="1" t="str">
        <f>IF(Table1[[#This Row],[Spec Type]]="","N/A",Table1[[#This Row],[Spec Type]])</f>
        <v>±</v>
      </c>
      <c r="AC1609" s="1" t="str">
        <f>IF(Table1[[#This Row],[Spec Type2]]="N/A","N/A",IF(AND(Table1[[#This Row],[DUT Adj Read]]&gt;=Table1[[#This Row],[Low Tol]],Table1[[#This Row],[DUT Adj Read]]&lt;=Table1[[#This Row],[High Tol]]),"Pass","Fail"))</f>
        <v>Fail</v>
      </c>
      <c r="AD1609" s="1" t="str">
        <f>IF(AND(Table1[[#This Row],[Spec Type2]]="N/A",Table1[[#This Row],[DUT Adj Read]]="N/A",Table1[[#This Row],[Std Adj Read]]="N/A"),"N/A",IF(Table1[[#This Row],[DUT Adj Read]]="N/A",IF(Table1[[#This Row],[Std Adj Read]]&gt;Table1[[#This Row],[Low Tol]],"Pass","Fail"),IF(Table1[[#This Row],[DUT Adj Read]]&gt;Table1[[#This Row],[Low Tol]],"Pass","Fail")))</f>
        <v>Pass</v>
      </c>
      <c r="AE1609" s="1" t="str">
        <f>IF(AND(Table1[[#This Row],[Spec Type2]]="N/A",Table1[[#This Row],[DUT Adj Read]]="N/A",Table1[[#This Row],[Std Adj Read]]="N/A"),"N/A",IF(Table1[[#This Row],[DUT Adj Read]]="N/A",IF(Table1[[#This Row],[Std Adj Read]]&lt;Table1[[#This Row],[High Tol]],"Pass","Fail"),IF(Table1[[#This Row],[DUT Adj Read]]&lt;Table1[[#This Row],[High Tol]],"Pass","Fail")))</f>
        <v>Fail</v>
      </c>
      <c r="AF1609" s="1" t="str">
        <f>IF(AND(Table1[[#This Row],[Spec Type2]]="N/A",Table1[[#This Row],[DUT Adj Read]]="N/A",Table1[[#This Row],[Std Adj Read]]="N/A"),"N/A",IF(Table1[[#This Row],[DUT Adj Read]]="N/A",IF(Table1[[#This Row],[Std Adj Read]]&gt;=Table1[[#This Row],[Low Tol]],"Pass","Fail"),IF(Table1[[#This Row],[DUT Adj Read]]&gt;=Table1[[#This Row],[Low Tol]],"Pass","Fail")))</f>
        <v>Pass</v>
      </c>
      <c r="AG1609" s="1" t="str">
        <f>IF(AND(Table1[[#This Row],[Spec Type2]]="N/A",Table1[[#This Row],[DUT Adj Read]]="N/A",Table1[[#This Row],[Std Adj Read]]="N/A"),"N/A",IF(Table1[[#This Row],[DUT Adj Read]]="N/A",IF(Table1[[#This Row],[Std Adj Read]]&lt;=Table1[[#This Row],[High Tol]],"Pass","Fail"),IF(Table1[[#This Row],[DUT Adj Read]]&lt;=Table1[[#This Row],[High Tol]],"Pass","Fail")))</f>
        <v>Fail</v>
      </c>
      <c r="AH16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09" s="1" t="b">
        <v>0</v>
      </c>
      <c r="AN1609" s="1" t="b">
        <v>0</v>
      </c>
      <c r="AO1609" s="1" t="b">
        <v>0</v>
      </c>
    </row>
    <row r="1610" spans="1:41" x14ac:dyDescent="0.25">
      <c r="A1610" s="10"/>
      <c r="B1610" s="10"/>
      <c r="C1610" s="10"/>
      <c r="D1610" s="10"/>
      <c r="E1610" s="10"/>
      <c r="F1610" s="10"/>
      <c r="G1610" s="10"/>
      <c r="H1610" s="10"/>
      <c r="I1610" s="1" t="str">
        <f t="shared" si="72"/>
        <v/>
      </c>
      <c r="J1610" s="1" t="s">
        <v>35</v>
      </c>
      <c r="K1610" s="1" t="str">
        <f t="shared" si="73"/>
        <v/>
      </c>
      <c r="L1610" s="1" t="str">
        <f t="shared" si="74"/>
        <v/>
      </c>
      <c r="M1610" s="1">
        <f>IF(OR(Table1[[#This Row],[Std Nom]]="",Table1[[#This Row],[Std Read]]=""),0,Table1[[#This Row],[Std Nom]]-Table1[[#This Row],[Std Read]])</f>
        <v>0</v>
      </c>
      <c r="N1610" s="1">
        <f>IF(Calculations!$F$5="ACCREDITED 17025 WITH UNCERTAINTIES",$N$10,0)</f>
        <v>0</v>
      </c>
      <c r="Q1610" s="1">
        <f>Table1[[#This Row],[High Tol]]-Table1[[#This Row],[Low Tol]]</f>
        <v>0</v>
      </c>
      <c r="R1610" s="1">
        <f>2*Table1[[#This Row],[Std Error]]</f>
        <v>0</v>
      </c>
      <c r="S1610" s="1" t="str">
        <f>IF(Table1[[#This Row],[High Tol]]="","N/A",IFERROR(ABS(Table1[[#This Row],[Tol Span]]/Table1[[#This Row],[Error Span]]),"N/A"))</f>
        <v>N/A</v>
      </c>
      <c r="T1610" s="1" t="str">
        <f>IF(OR(Table1[[#This Row],[Low Tol]]="",Table1[[#This Row],[High Tol]]=""),"Needs Analysis",IF(Table1[[#This Row],[Ratio]]&gt;=4,"Not Significant",IF(Table1[[#This Row],[Ratio]]&gt;=2,"Semi-Significant","Significant")))</f>
        <v>Needs Analysis</v>
      </c>
      <c r="W1610" s="1">
        <f>IF(Table1[[#This Row],[Cal Type]]&lt;&gt;"ACCREDITED 17025 WITH UNCERTAINTIES",0,"")</f>
        <v>0</v>
      </c>
      <c r="X1610" s="1" t="str">
        <f>IF(Table1[[#This Row],[DUT Read]]="","N/A",Table1[[#This Row],[Std Error]]+Table1[[#This Row],[DUT Read]]+Table1[[#This Row],[DUT Ucty]])</f>
        <v>N/A</v>
      </c>
      <c r="Y1610" s="1" t="str">
        <f>IF(Table1[[#This Row],[Std Read]]="","N/A",Table1[[#This Row],[Std Read]]+Table1[[#This Row],[Std Ucty]])</f>
        <v>N/A</v>
      </c>
      <c r="Z16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0" s="1" t="str">
        <f>IF(Table1[[#This Row],[Spec Type]]="","N/A",Table1[[#This Row],[Spec Type]])</f>
        <v>±</v>
      </c>
      <c r="AC1610" s="1" t="str">
        <f>IF(Table1[[#This Row],[Spec Type2]]="N/A","N/A",IF(AND(Table1[[#This Row],[DUT Adj Read]]&gt;=Table1[[#This Row],[Low Tol]],Table1[[#This Row],[DUT Adj Read]]&lt;=Table1[[#This Row],[High Tol]]),"Pass","Fail"))</f>
        <v>Fail</v>
      </c>
      <c r="AD1610" s="1" t="str">
        <f>IF(AND(Table1[[#This Row],[Spec Type2]]="N/A",Table1[[#This Row],[DUT Adj Read]]="N/A",Table1[[#This Row],[Std Adj Read]]="N/A"),"N/A",IF(Table1[[#This Row],[DUT Adj Read]]="N/A",IF(Table1[[#This Row],[Std Adj Read]]&gt;Table1[[#This Row],[Low Tol]],"Pass","Fail"),IF(Table1[[#This Row],[DUT Adj Read]]&gt;Table1[[#This Row],[Low Tol]],"Pass","Fail")))</f>
        <v>Pass</v>
      </c>
      <c r="AE1610" s="1" t="str">
        <f>IF(AND(Table1[[#This Row],[Spec Type2]]="N/A",Table1[[#This Row],[DUT Adj Read]]="N/A",Table1[[#This Row],[Std Adj Read]]="N/A"),"N/A",IF(Table1[[#This Row],[DUT Adj Read]]="N/A",IF(Table1[[#This Row],[Std Adj Read]]&lt;Table1[[#This Row],[High Tol]],"Pass","Fail"),IF(Table1[[#This Row],[DUT Adj Read]]&lt;Table1[[#This Row],[High Tol]],"Pass","Fail")))</f>
        <v>Fail</v>
      </c>
      <c r="AF1610" s="1" t="str">
        <f>IF(AND(Table1[[#This Row],[Spec Type2]]="N/A",Table1[[#This Row],[DUT Adj Read]]="N/A",Table1[[#This Row],[Std Adj Read]]="N/A"),"N/A",IF(Table1[[#This Row],[DUT Adj Read]]="N/A",IF(Table1[[#This Row],[Std Adj Read]]&gt;=Table1[[#This Row],[Low Tol]],"Pass","Fail"),IF(Table1[[#This Row],[DUT Adj Read]]&gt;=Table1[[#This Row],[Low Tol]],"Pass","Fail")))</f>
        <v>Pass</v>
      </c>
      <c r="AG1610" s="1" t="str">
        <f>IF(AND(Table1[[#This Row],[Spec Type2]]="N/A",Table1[[#This Row],[DUT Adj Read]]="N/A",Table1[[#This Row],[Std Adj Read]]="N/A"),"N/A",IF(Table1[[#This Row],[DUT Adj Read]]="N/A",IF(Table1[[#This Row],[Std Adj Read]]&lt;=Table1[[#This Row],[High Tol]],"Pass","Fail"),IF(Table1[[#This Row],[DUT Adj Read]]&lt;=Table1[[#This Row],[High Tol]],"Pass","Fail")))</f>
        <v>Fail</v>
      </c>
      <c r="AH16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0" s="1" t="b">
        <v>0</v>
      </c>
      <c r="AN1610" s="1" t="b">
        <v>0</v>
      </c>
      <c r="AO1610" s="1" t="b">
        <v>0</v>
      </c>
    </row>
    <row r="1611" spans="1:41" x14ac:dyDescent="0.25">
      <c r="A1611" s="10"/>
      <c r="B1611" s="10"/>
      <c r="C1611" s="10"/>
      <c r="D1611" s="10"/>
      <c r="E1611" s="10"/>
      <c r="F1611" s="10"/>
      <c r="G1611" s="10"/>
      <c r="H1611" s="10"/>
      <c r="I1611" s="1" t="str">
        <f t="shared" ref="I1611:I1674" si="75">IF($I$10="","",$I$10)</f>
        <v/>
      </c>
      <c r="J1611" s="1" t="s">
        <v>35</v>
      </c>
      <c r="K1611" s="1" t="str">
        <f t="shared" ref="K1611:K1674" si="76">IF($K$10="","",$K$10)</f>
        <v/>
      </c>
      <c r="L1611" s="1" t="str">
        <f t="shared" ref="L1611:L1674" si="77">IF($L$10="","",$L$10)</f>
        <v/>
      </c>
      <c r="M1611" s="1">
        <f>IF(OR(Table1[[#This Row],[Std Nom]]="",Table1[[#This Row],[Std Read]]=""),0,Table1[[#This Row],[Std Nom]]-Table1[[#This Row],[Std Read]])</f>
        <v>0</v>
      </c>
      <c r="N1611" s="1">
        <f>IF(Calculations!$F$5="ACCREDITED 17025 WITH UNCERTAINTIES",$N$10,0)</f>
        <v>0</v>
      </c>
      <c r="Q1611" s="1">
        <f>Table1[[#This Row],[High Tol]]-Table1[[#This Row],[Low Tol]]</f>
        <v>0</v>
      </c>
      <c r="R1611" s="1">
        <f>2*Table1[[#This Row],[Std Error]]</f>
        <v>0</v>
      </c>
      <c r="S1611" s="1" t="str">
        <f>IF(Table1[[#This Row],[High Tol]]="","N/A",IFERROR(ABS(Table1[[#This Row],[Tol Span]]/Table1[[#This Row],[Error Span]]),"N/A"))</f>
        <v>N/A</v>
      </c>
      <c r="T1611" s="1" t="str">
        <f>IF(OR(Table1[[#This Row],[Low Tol]]="",Table1[[#This Row],[High Tol]]=""),"Needs Analysis",IF(Table1[[#This Row],[Ratio]]&gt;=4,"Not Significant",IF(Table1[[#This Row],[Ratio]]&gt;=2,"Semi-Significant","Significant")))</f>
        <v>Needs Analysis</v>
      </c>
      <c r="W1611" s="1">
        <f>IF(Table1[[#This Row],[Cal Type]]&lt;&gt;"ACCREDITED 17025 WITH UNCERTAINTIES",0,"")</f>
        <v>0</v>
      </c>
      <c r="X1611" s="1" t="str">
        <f>IF(Table1[[#This Row],[DUT Read]]="","N/A",Table1[[#This Row],[Std Error]]+Table1[[#This Row],[DUT Read]]+Table1[[#This Row],[DUT Ucty]])</f>
        <v>N/A</v>
      </c>
      <c r="Y1611" s="1" t="str">
        <f>IF(Table1[[#This Row],[Std Read]]="","N/A",Table1[[#This Row],[Std Read]]+Table1[[#This Row],[Std Ucty]])</f>
        <v>N/A</v>
      </c>
      <c r="Z16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1" s="1" t="str">
        <f>IF(Table1[[#This Row],[Spec Type]]="","N/A",Table1[[#This Row],[Spec Type]])</f>
        <v>±</v>
      </c>
      <c r="AC1611" s="1" t="str">
        <f>IF(Table1[[#This Row],[Spec Type2]]="N/A","N/A",IF(AND(Table1[[#This Row],[DUT Adj Read]]&gt;=Table1[[#This Row],[Low Tol]],Table1[[#This Row],[DUT Adj Read]]&lt;=Table1[[#This Row],[High Tol]]),"Pass","Fail"))</f>
        <v>Fail</v>
      </c>
      <c r="AD1611" s="1" t="str">
        <f>IF(AND(Table1[[#This Row],[Spec Type2]]="N/A",Table1[[#This Row],[DUT Adj Read]]="N/A",Table1[[#This Row],[Std Adj Read]]="N/A"),"N/A",IF(Table1[[#This Row],[DUT Adj Read]]="N/A",IF(Table1[[#This Row],[Std Adj Read]]&gt;Table1[[#This Row],[Low Tol]],"Pass","Fail"),IF(Table1[[#This Row],[DUT Adj Read]]&gt;Table1[[#This Row],[Low Tol]],"Pass","Fail")))</f>
        <v>Pass</v>
      </c>
      <c r="AE1611" s="1" t="str">
        <f>IF(AND(Table1[[#This Row],[Spec Type2]]="N/A",Table1[[#This Row],[DUT Adj Read]]="N/A",Table1[[#This Row],[Std Adj Read]]="N/A"),"N/A",IF(Table1[[#This Row],[DUT Adj Read]]="N/A",IF(Table1[[#This Row],[Std Adj Read]]&lt;Table1[[#This Row],[High Tol]],"Pass","Fail"),IF(Table1[[#This Row],[DUT Adj Read]]&lt;Table1[[#This Row],[High Tol]],"Pass","Fail")))</f>
        <v>Fail</v>
      </c>
      <c r="AF1611" s="1" t="str">
        <f>IF(AND(Table1[[#This Row],[Spec Type2]]="N/A",Table1[[#This Row],[DUT Adj Read]]="N/A",Table1[[#This Row],[Std Adj Read]]="N/A"),"N/A",IF(Table1[[#This Row],[DUT Adj Read]]="N/A",IF(Table1[[#This Row],[Std Adj Read]]&gt;=Table1[[#This Row],[Low Tol]],"Pass","Fail"),IF(Table1[[#This Row],[DUT Adj Read]]&gt;=Table1[[#This Row],[Low Tol]],"Pass","Fail")))</f>
        <v>Pass</v>
      </c>
      <c r="AG1611" s="1" t="str">
        <f>IF(AND(Table1[[#This Row],[Spec Type2]]="N/A",Table1[[#This Row],[DUT Adj Read]]="N/A",Table1[[#This Row],[Std Adj Read]]="N/A"),"N/A",IF(Table1[[#This Row],[DUT Adj Read]]="N/A",IF(Table1[[#This Row],[Std Adj Read]]&lt;=Table1[[#This Row],[High Tol]],"Pass","Fail"),IF(Table1[[#This Row],[DUT Adj Read]]&lt;=Table1[[#This Row],[High Tol]],"Pass","Fail")))</f>
        <v>Fail</v>
      </c>
      <c r="AH16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1" s="1" t="b">
        <v>0</v>
      </c>
      <c r="AN1611" s="1" t="b">
        <v>0</v>
      </c>
      <c r="AO1611" s="1" t="b">
        <v>0</v>
      </c>
    </row>
    <row r="1612" spans="1:41" x14ac:dyDescent="0.25">
      <c r="A1612" s="10"/>
      <c r="B1612" s="10"/>
      <c r="C1612" s="10"/>
      <c r="D1612" s="10"/>
      <c r="E1612" s="10"/>
      <c r="F1612" s="10"/>
      <c r="G1612" s="10"/>
      <c r="H1612" s="10"/>
      <c r="I1612" s="1" t="str">
        <f t="shared" si="75"/>
        <v/>
      </c>
      <c r="J1612" s="1" t="s">
        <v>35</v>
      </c>
      <c r="K1612" s="1" t="str">
        <f t="shared" si="76"/>
        <v/>
      </c>
      <c r="L1612" s="1" t="str">
        <f t="shared" si="77"/>
        <v/>
      </c>
      <c r="M1612" s="1">
        <f>IF(OR(Table1[[#This Row],[Std Nom]]="",Table1[[#This Row],[Std Read]]=""),0,Table1[[#This Row],[Std Nom]]-Table1[[#This Row],[Std Read]])</f>
        <v>0</v>
      </c>
      <c r="N1612" s="1">
        <f>IF(Calculations!$F$5="ACCREDITED 17025 WITH UNCERTAINTIES",$N$10,0)</f>
        <v>0</v>
      </c>
      <c r="Q1612" s="1">
        <f>Table1[[#This Row],[High Tol]]-Table1[[#This Row],[Low Tol]]</f>
        <v>0</v>
      </c>
      <c r="R1612" s="1">
        <f>2*Table1[[#This Row],[Std Error]]</f>
        <v>0</v>
      </c>
      <c r="S1612" s="1" t="str">
        <f>IF(Table1[[#This Row],[High Tol]]="","N/A",IFERROR(ABS(Table1[[#This Row],[Tol Span]]/Table1[[#This Row],[Error Span]]),"N/A"))</f>
        <v>N/A</v>
      </c>
      <c r="T1612" s="1" t="str">
        <f>IF(OR(Table1[[#This Row],[Low Tol]]="",Table1[[#This Row],[High Tol]]=""),"Needs Analysis",IF(Table1[[#This Row],[Ratio]]&gt;=4,"Not Significant",IF(Table1[[#This Row],[Ratio]]&gt;=2,"Semi-Significant","Significant")))</f>
        <v>Needs Analysis</v>
      </c>
      <c r="W1612" s="1">
        <f>IF(Table1[[#This Row],[Cal Type]]&lt;&gt;"ACCREDITED 17025 WITH UNCERTAINTIES",0,"")</f>
        <v>0</v>
      </c>
      <c r="X1612" s="1" t="str">
        <f>IF(Table1[[#This Row],[DUT Read]]="","N/A",Table1[[#This Row],[Std Error]]+Table1[[#This Row],[DUT Read]]+Table1[[#This Row],[DUT Ucty]])</f>
        <v>N/A</v>
      </c>
      <c r="Y1612" s="1" t="str">
        <f>IF(Table1[[#This Row],[Std Read]]="","N/A",Table1[[#This Row],[Std Read]]+Table1[[#This Row],[Std Ucty]])</f>
        <v>N/A</v>
      </c>
      <c r="Z16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2" s="1" t="str">
        <f>IF(Table1[[#This Row],[Spec Type]]="","N/A",Table1[[#This Row],[Spec Type]])</f>
        <v>±</v>
      </c>
      <c r="AC1612" s="1" t="str">
        <f>IF(Table1[[#This Row],[Spec Type2]]="N/A","N/A",IF(AND(Table1[[#This Row],[DUT Adj Read]]&gt;=Table1[[#This Row],[Low Tol]],Table1[[#This Row],[DUT Adj Read]]&lt;=Table1[[#This Row],[High Tol]]),"Pass","Fail"))</f>
        <v>Fail</v>
      </c>
      <c r="AD1612" s="1" t="str">
        <f>IF(AND(Table1[[#This Row],[Spec Type2]]="N/A",Table1[[#This Row],[DUT Adj Read]]="N/A",Table1[[#This Row],[Std Adj Read]]="N/A"),"N/A",IF(Table1[[#This Row],[DUT Adj Read]]="N/A",IF(Table1[[#This Row],[Std Adj Read]]&gt;Table1[[#This Row],[Low Tol]],"Pass","Fail"),IF(Table1[[#This Row],[DUT Adj Read]]&gt;Table1[[#This Row],[Low Tol]],"Pass","Fail")))</f>
        <v>Pass</v>
      </c>
      <c r="AE1612" s="1" t="str">
        <f>IF(AND(Table1[[#This Row],[Spec Type2]]="N/A",Table1[[#This Row],[DUT Adj Read]]="N/A",Table1[[#This Row],[Std Adj Read]]="N/A"),"N/A",IF(Table1[[#This Row],[DUT Adj Read]]="N/A",IF(Table1[[#This Row],[Std Adj Read]]&lt;Table1[[#This Row],[High Tol]],"Pass","Fail"),IF(Table1[[#This Row],[DUT Adj Read]]&lt;Table1[[#This Row],[High Tol]],"Pass","Fail")))</f>
        <v>Fail</v>
      </c>
      <c r="AF1612" s="1" t="str">
        <f>IF(AND(Table1[[#This Row],[Spec Type2]]="N/A",Table1[[#This Row],[DUT Adj Read]]="N/A",Table1[[#This Row],[Std Adj Read]]="N/A"),"N/A",IF(Table1[[#This Row],[DUT Adj Read]]="N/A",IF(Table1[[#This Row],[Std Adj Read]]&gt;=Table1[[#This Row],[Low Tol]],"Pass","Fail"),IF(Table1[[#This Row],[DUT Adj Read]]&gt;=Table1[[#This Row],[Low Tol]],"Pass","Fail")))</f>
        <v>Pass</v>
      </c>
      <c r="AG1612" s="1" t="str">
        <f>IF(AND(Table1[[#This Row],[Spec Type2]]="N/A",Table1[[#This Row],[DUT Adj Read]]="N/A",Table1[[#This Row],[Std Adj Read]]="N/A"),"N/A",IF(Table1[[#This Row],[DUT Adj Read]]="N/A",IF(Table1[[#This Row],[Std Adj Read]]&lt;=Table1[[#This Row],[High Tol]],"Pass","Fail"),IF(Table1[[#This Row],[DUT Adj Read]]&lt;=Table1[[#This Row],[High Tol]],"Pass","Fail")))</f>
        <v>Fail</v>
      </c>
      <c r="AH16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2" s="1" t="b">
        <v>0</v>
      </c>
      <c r="AN1612" s="1" t="b">
        <v>0</v>
      </c>
      <c r="AO1612" s="1" t="b">
        <v>0</v>
      </c>
    </row>
    <row r="1613" spans="1:41" x14ac:dyDescent="0.25">
      <c r="A1613" s="10"/>
      <c r="B1613" s="10"/>
      <c r="C1613" s="10"/>
      <c r="D1613" s="10"/>
      <c r="E1613" s="10"/>
      <c r="F1613" s="10"/>
      <c r="G1613" s="10"/>
      <c r="H1613" s="10"/>
      <c r="I1613" s="1" t="str">
        <f t="shared" si="75"/>
        <v/>
      </c>
      <c r="J1613" s="1" t="s">
        <v>35</v>
      </c>
      <c r="K1613" s="1" t="str">
        <f t="shared" si="76"/>
        <v/>
      </c>
      <c r="L1613" s="1" t="str">
        <f t="shared" si="77"/>
        <v/>
      </c>
      <c r="M1613" s="1">
        <f>IF(OR(Table1[[#This Row],[Std Nom]]="",Table1[[#This Row],[Std Read]]=""),0,Table1[[#This Row],[Std Nom]]-Table1[[#This Row],[Std Read]])</f>
        <v>0</v>
      </c>
      <c r="N1613" s="1">
        <f>IF(Calculations!$F$5="ACCREDITED 17025 WITH UNCERTAINTIES",$N$10,0)</f>
        <v>0</v>
      </c>
      <c r="Q1613" s="1">
        <f>Table1[[#This Row],[High Tol]]-Table1[[#This Row],[Low Tol]]</f>
        <v>0</v>
      </c>
      <c r="R1613" s="1">
        <f>2*Table1[[#This Row],[Std Error]]</f>
        <v>0</v>
      </c>
      <c r="S1613" s="1" t="str">
        <f>IF(Table1[[#This Row],[High Tol]]="","N/A",IFERROR(ABS(Table1[[#This Row],[Tol Span]]/Table1[[#This Row],[Error Span]]),"N/A"))</f>
        <v>N/A</v>
      </c>
      <c r="T1613" s="1" t="str">
        <f>IF(OR(Table1[[#This Row],[Low Tol]]="",Table1[[#This Row],[High Tol]]=""),"Needs Analysis",IF(Table1[[#This Row],[Ratio]]&gt;=4,"Not Significant",IF(Table1[[#This Row],[Ratio]]&gt;=2,"Semi-Significant","Significant")))</f>
        <v>Needs Analysis</v>
      </c>
      <c r="W1613" s="1">
        <f>IF(Table1[[#This Row],[Cal Type]]&lt;&gt;"ACCREDITED 17025 WITH UNCERTAINTIES",0,"")</f>
        <v>0</v>
      </c>
      <c r="X1613" s="1" t="str">
        <f>IF(Table1[[#This Row],[DUT Read]]="","N/A",Table1[[#This Row],[Std Error]]+Table1[[#This Row],[DUT Read]]+Table1[[#This Row],[DUT Ucty]])</f>
        <v>N/A</v>
      </c>
      <c r="Y1613" s="1" t="str">
        <f>IF(Table1[[#This Row],[Std Read]]="","N/A",Table1[[#This Row],[Std Read]]+Table1[[#This Row],[Std Ucty]])</f>
        <v>N/A</v>
      </c>
      <c r="Z16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3" s="1" t="str">
        <f>IF(Table1[[#This Row],[Spec Type]]="","N/A",Table1[[#This Row],[Spec Type]])</f>
        <v>±</v>
      </c>
      <c r="AC1613" s="1" t="str">
        <f>IF(Table1[[#This Row],[Spec Type2]]="N/A","N/A",IF(AND(Table1[[#This Row],[DUT Adj Read]]&gt;=Table1[[#This Row],[Low Tol]],Table1[[#This Row],[DUT Adj Read]]&lt;=Table1[[#This Row],[High Tol]]),"Pass","Fail"))</f>
        <v>Fail</v>
      </c>
      <c r="AD1613" s="1" t="str">
        <f>IF(AND(Table1[[#This Row],[Spec Type2]]="N/A",Table1[[#This Row],[DUT Adj Read]]="N/A",Table1[[#This Row],[Std Adj Read]]="N/A"),"N/A",IF(Table1[[#This Row],[DUT Adj Read]]="N/A",IF(Table1[[#This Row],[Std Adj Read]]&gt;Table1[[#This Row],[Low Tol]],"Pass","Fail"),IF(Table1[[#This Row],[DUT Adj Read]]&gt;Table1[[#This Row],[Low Tol]],"Pass","Fail")))</f>
        <v>Pass</v>
      </c>
      <c r="AE1613" s="1" t="str">
        <f>IF(AND(Table1[[#This Row],[Spec Type2]]="N/A",Table1[[#This Row],[DUT Adj Read]]="N/A",Table1[[#This Row],[Std Adj Read]]="N/A"),"N/A",IF(Table1[[#This Row],[DUT Adj Read]]="N/A",IF(Table1[[#This Row],[Std Adj Read]]&lt;Table1[[#This Row],[High Tol]],"Pass","Fail"),IF(Table1[[#This Row],[DUT Adj Read]]&lt;Table1[[#This Row],[High Tol]],"Pass","Fail")))</f>
        <v>Fail</v>
      </c>
      <c r="AF1613" s="1" t="str">
        <f>IF(AND(Table1[[#This Row],[Spec Type2]]="N/A",Table1[[#This Row],[DUT Adj Read]]="N/A",Table1[[#This Row],[Std Adj Read]]="N/A"),"N/A",IF(Table1[[#This Row],[DUT Adj Read]]="N/A",IF(Table1[[#This Row],[Std Adj Read]]&gt;=Table1[[#This Row],[Low Tol]],"Pass","Fail"),IF(Table1[[#This Row],[DUT Adj Read]]&gt;=Table1[[#This Row],[Low Tol]],"Pass","Fail")))</f>
        <v>Pass</v>
      </c>
      <c r="AG1613" s="1" t="str">
        <f>IF(AND(Table1[[#This Row],[Spec Type2]]="N/A",Table1[[#This Row],[DUT Adj Read]]="N/A",Table1[[#This Row],[Std Adj Read]]="N/A"),"N/A",IF(Table1[[#This Row],[DUT Adj Read]]="N/A",IF(Table1[[#This Row],[Std Adj Read]]&lt;=Table1[[#This Row],[High Tol]],"Pass","Fail"),IF(Table1[[#This Row],[DUT Adj Read]]&lt;=Table1[[#This Row],[High Tol]],"Pass","Fail")))</f>
        <v>Fail</v>
      </c>
      <c r="AH16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3" s="1" t="b">
        <v>0</v>
      </c>
      <c r="AN1613" s="1" t="b">
        <v>0</v>
      </c>
      <c r="AO1613" s="1" t="b">
        <v>0</v>
      </c>
    </row>
    <row r="1614" spans="1:41" x14ac:dyDescent="0.25">
      <c r="A1614" s="10"/>
      <c r="B1614" s="10"/>
      <c r="C1614" s="10"/>
      <c r="D1614" s="10"/>
      <c r="E1614" s="10"/>
      <c r="F1614" s="10"/>
      <c r="G1614" s="10"/>
      <c r="H1614" s="10"/>
      <c r="I1614" s="1" t="str">
        <f t="shared" si="75"/>
        <v/>
      </c>
      <c r="J1614" s="1" t="s">
        <v>35</v>
      </c>
      <c r="K1614" s="1" t="str">
        <f t="shared" si="76"/>
        <v/>
      </c>
      <c r="L1614" s="1" t="str">
        <f t="shared" si="77"/>
        <v/>
      </c>
      <c r="M1614" s="1">
        <f>IF(OR(Table1[[#This Row],[Std Nom]]="",Table1[[#This Row],[Std Read]]=""),0,Table1[[#This Row],[Std Nom]]-Table1[[#This Row],[Std Read]])</f>
        <v>0</v>
      </c>
      <c r="N1614" s="1">
        <f>IF(Calculations!$F$5="ACCREDITED 17025 WITH UNCERTAINTIES",$N$10,0)</f>
        <v>0</v>
      </c>
      <c r="Q1614" s="1">
        <f>Table1[[#This Row],[High Tol]]-Table1[[#This Row],[Low Tol]]</f>
        <v>0</v>
      </c>
      <c r="R1614" s="1">
        <f>2*Table1[[#This Row],[Std Error]]</f>
        <v>0</v>
      </c>
      <c r="S1614" s="1" t="str">
        <f>IF(Table1[[#This Row],[High Tol]]="","N/A",IFERROR(ABS(Table1[[#This Row],[Tol Span]]/Table1[[#This Row],[Error Span]]),"N/A"))</f>
        <v>N/A</v>
      </c>
      <c r="T1614" s="1" t="str">
        <f>IF(OR(Table1[[#This Row],[Low Tol]]="",Table1[[#This Row],[High Tol]]=""),"Needs Analysis",IF(Table1[[#This Row],[Ratio]]&gt;=4,"Not Significant",IF(Table1[[#This Row],[Ratio]]&gt;=2,"Semi-Significant","Significant")))</f>
        <v>Needs Analysis</v>
      </c>
      <c r="W1614" s="1">
        <f>IF(Table1[[#This Row],[Cal Type]]&lt;&gt;"ACCREDITED 17025 WITH UNCERTAINTIES",0,"")</f>
        <v>0</v>
      </c>
      <c r="X1614" s="1" t="str">
        <f>IF(Table1[[#This Row],[DUT Read]]="","N/A",Table1[[#This Row],[Std Error]]+Table1[[#This Row],[DUT Read]]+Table1[[#This Row],[DUT Ucty]])</f>
        <v>N/A</v>
      </c>
      <c r="Y1614" s="1" t="str">
        <f>IF(Table1[[#This Row],[Std Read]]="","N/A",Table1[[#This Row],[Std Read]]+Table1[[#This Row],[Std Ucty]])</f>
        <v>N/A</v>
      </c>
      <c r="Z16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4" s="1" t="str">
        <f>IF(Table1[[#This Row],[Spec Type]]="","N/A",Table1[[#This Row],[Spec Type]])</f>
        <v>±</v>
      </c>
      <c r="AC1614" s="1" t="str">
        <f>IF(Table1[[#This Row],[Spec Type2]]="N/A","N/A",IF(AND(Table1[[#This Row],[DUT Adj Read]]&gt;=Table1[[#This Row],[Low Tol]],Table1[[#This Row],[DUT Adj Read]]&lt;=Table1[[#This Row],[High Tol]]),"Pass","Fail"))</f>
        <v>Fail</v>
      </c>
      <c r="AD1614" s="1" t="str">
        <f>IF(AND(Table1[[#This Row],[Spec Type2]]="N/A",Table1[[#This Row],[DUT Adj Read]]="N/A",Table1[[#This Row],[Std Adj Read]]="N/A"),"N/A",IF(Table1[[#This Row],[DUT Adj Read]]="N/A",IF(Table1[[#This Row],[Std Adj Read]]&gt;Table1[[#This Row],[Low Tol]],"Pass","Fail"),IF(Table1[[#This Row],[DUT Adj Read]]&gt;Table1[[#This Row],[Low Tol]],"Pass","Fail")))</f>
        <v>Pass</v>
      </c>
      <c r="AE1614" s="1" t="str">
        <f>IF(AND(Table1[[#This Row],[Spec Type2]]="N/A",Table1[[#This Row],[DUT Adj Read]]="N/A",Table1[[#This Row],[Std Adj Read]]="N/A"),"N/A",IF(Table1[[#This Row],[DUT Adj Read]]="N/A",IF(Table1[[#This Row],[Std Adj Read]]&lt;Table1[[#This Row],[High Tol]],"Pass","Fail"),IF(Table1[[#This Row],[DUT Adj Read]]&lt;Table1[[#This Row],[High Tol]],"Pass","Fail")))</f>
        <v>Fail</v>
      </c>
      <c r="AF1614" s="1" t="str">
        <f>IF(AND(Table1[[#This Row],[Spec Type2]]="N/A",Table1[[#This Row],[DUT Adj Read]]="N/A",Table1[[#This Row],[Std Adj Read]]="N/A"),"N/A",IF(Table1[[#This Row],[DUT Adj Read]]="N/A",IF(Table1[[#This Row],[Std Adj Read]]&gt;=Table1[[#This Row],[Low Tol]],"Pass","Fail"),IF(Table1[[#This Row],[DUT Adj Read]]&gt;=Table1[[#This Row],[Low Tol]],"Pass","Fail")))</f>
        <v>Pass</v>
      </c>
      <c r="AG1614" s="1" t="str">
        <f>IF(AND(Table1[[#This Row],[Spec Type2]]="N/A",Table1[[#This Row],[DUT Adj Read]]="N/A",Table1[[#This Row],[Std Adj Read]]="N/A"),"N/A",IF(Table1[[#This Row],[DUT Adj Read]]="N/A",IF(Table1[[#This Row],[Std Adj Read]]&lt;=Table1[[#This Row],[High Tol]],"Pass","Fail"),IF(Table1[[#This Row],[DUT Adj Read]]&lt;=Table1[[#This Row],[High Tol]],"Pass","Fail")))</f>
        <v>Fail</v>
      </c>
      <c r="AH16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4" s="1" t="b">
        <v>0</v>
      </c>
      <c r="AN1614" s="1" t="b">
        <v>0</v>
      </c>
      <c r="AO1614" s="1" t="b">
        <v>0</v>
      </c>
    </row>
    <row r="1615" spans="1:41" x14ac:dyDescent="0.25">
      <c r="A1615" s="10"/>
      <c r="B1615" s="10"/>
      <c r="C1615" s="10"/>
      <c r="D1615" s="10"/>
      <c r="E1615" s="10"/>
      <c r="F1615" s="10"/>
      <c r="G1615" s="10"/>
      <c r="H1615" s="10"/>
      <c r="I1615" s="1" t="str">
        <f t="shared" si="75"/>
        <v/>
      </c>
      <c r="J1615" s="1" t="s">
        <v>35</v>
      </c>
      <c r="K1615" s="1" t="str">
        <f t="shared" si="76"/>
        <v/>
      </c>
      <c r="L1615" s="1" t="str">
        <f t="shared" si="77"/>
        <v/>
      </c>
      <c r="M1615" s="1">
        <f>IF(OR(Table1[[#This Row],[Std Nom]]="",Table1[[#This Row],[Std Read]]=""),0,Table1[[#This Row],[Std Nom]]-Table1[[#This Row],[Std Read]])</f>
        <v>0</v>
      </c>
      <c r="N1615" s="1">
        <f>IF(Calculations!$F$5="ACCREDITED 17025 WITH UNCERTAINTIES",$N$10,0)</f>
        <v>0</v>
      </c>
      <c r="Q1615" s="1">
        <f>Table1[[#This Row],[High Tol]]-Table1[[#This Row],[Low Tol]]</f>
        <v>0</v>
      </c>
      <c r="R1615" s="1">
        <f>2*Table1[[#This Row],[Std Error]]</f>
        <v>0</v>
      </c>
      <c r="S1615" s="1" t="str">
        <f>IF(Table1[[#This Row],[High Tol]]="","N/A",IFERROR(ABS(Table1[[#This Row],[Tol Span]]/Table1[[#This Row],[Error Span]]),"N/A"))</f>
        <v>N/A</v>
      </c>
      <c r="T1615" s="1" t="str">
        <f>IF(OR(Table1[[#This Row],[Low Tol]]="",Table1[[#This Row],[High Tol]]=""),"Needs Analysis",IF(Table1[[#This Row],[Ratio]]&gt;=4,"Not Significant",IF(Table1[[#This Row],[Ratio]]&gt;=2,"Semi-Significant","Significant")))</f>
        <v>Needs Analysis</v>
      </c>
      <c r="W1615" s="1">
        <f>IF(Table1[[#This Row],[Cal Type]]&lt;&gt;"ACCREDITED 17025 WITH UNCERTAINTIES",0,"")</f>
        <v>0</v>
      </c>
      <c r="X1615" s="1" t="str">
        <f>IF(Table1[[#This Row],[DUT Read]]="","N/A",Table1[[#This Row],[Std Error]]+Table1[[#This Row],[DUT Read]]+Table1[[#This Row],[DUT Ucty]])</f>
        <v>N/A</v>
      </c>
      <c r="Y1615" s="1" t="str">
        <f>IF(Table1[[#This Row],[Std Read]]="","N/A",Table1[[#This Row],[Std Read]]+Table1[[#This Row],[Std Ucty]])</f>
        <v>N/A</v>
      </c>
      <c r="Z16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5" s="1" t="str">
        <f>IF(Table1[[#This Row],[Spec Type]]="","N/A",Table1[[#This Row],[Spec Type]])</f>
        <v>±</v>
      </c>
      <c r="AC1615" s="1" t="str">
        <f>IF(Table1[[#This Row],[Spec Type2]]="N/A","N/A",IF(AND(Table1[[#This Row],[DUT Adj Read]]&gt;=Table1[[#This Row],[Low Tol]],Table1[[#This Row],[DUT Adj Read]]&lt;=Table1[[#This Row],[High Tol]]),"Pass","Fail"))</f>
        <v>Fail</v>
      </c>
      <c r="AD1615" s="1" t="str">
        <f>IF(AND(Table1[[#This Row],[Spec Type2]]="N/A",Table1[[#This Row],[DUT Adj Read]]="N/A",Table1[[#This Row],[Std Adj Read]]="N/A"),"N/A",IF(Table1[[#This Row],[DUT Adj Read]]="N/A",IF(Table1[[#This Row],[Std Adj Read]]&gt;Table1[[#This Row],[Low Tol]],"Pass","Fail"),IF(Table1[[#This Row],[DUT Adj Read]]&gt;Table1[[#This Row],[Low Tol]],"Pass","Fail")))</f>
        <v>Pass</v>
      </c>
      <c r="AE1615" s="1" t="str">
        <f>IF(AND(Table1[[#This Row],[Spec Type2]]="N/A",Table1[[#This Row],[DUT Adj Read]]="N/A",Table1[[#This Row],[Std Adj Read]]="N/A"),"N/A",IF(Table1[[#This Row],[DUT Adj Read]]="N/A",IF(Table1[[#This Row],[Std Adj Read]]&lt;Table1[[#This Row],[High Tol]],"Pass","Fail"),IF(Table1[[#This Row],[DUT Adj Read]]&lt;Table1[[#This Row],[High Tol]],"Pass","Fail")))</f>
        <v>Fail</v>
      </c>
      <c r="AF1615" s="1" t="str">
        <f>IF(AND(Table1[[#This Row],[Spec Type2]]="N/A",Table1[[#This Row],[DUT Adj Read]]="N/A",Table1[[#This Row],[Std Adj Read]]="N/A"),"N/A",IF(Table1[[#This Row],[DUT Adj Read]]="N/A",IF(Table1[[#This Row],[Std Adj Read]]&gt;=Table1[[#This Row],[Low Tol]],"Pass","Fail"),IF(Table1[[#This Row],[DUT Adj Read]]&gt;=Table1[[#This Row],[Low Tol]],"Pass","Fail")))</f>
        <v>Pass</v>
      </c>
      <c r="AG1615" s="1" t="str">
        <f>IF(AND(Table1[[#This Row],[Spec Type2]]="N/A",Table1[[#This Row],[DUT Adj Read]]="N/A",Table1[[#This Row],[Std Adj Read]]="N/A"),"N/A",IF(Table1[[#This Row],[DUT Adj Read]]="N/A",IF(Table1[[#This Row],[Std Adj Read]]&lt;=Table1[[#This Row],[High Tol]],"Pass","Fail"),IF(Table1[[#This Row],[DUT Adj Read]]&lt;=Table1[[#This Row],[High Tol]],"Pass","Fail")))</f>
        <v>Fail</v>
      </c>
      <c r="AH16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5" s="1" t="b">
        <v>0</v>
      </c>
      <c r="AN1615" s="1" t="b">
        <v>0</v>
      </c>
      <c r="AO1615" s="1" t="b">
        <v>0</v>
      </c>
    </row>
    <row r="1616" spans="1:41" x14ac:dyDescent="0.25">
      <c r="A1616" s="10"/>
      <c r="B1616" s="10"/>
      <c r="C1616" s="10"/>
      <c r="D1616" s="10"/>
      <c r="E1616" s="10"/>
      <c r="F1616" s="10"/>
      <c r="G1616" s="10"/>
      <c r="H1616" s="10"/>
      <c r="I1616" s="1" t="str">
        <f t="shared" si="75"/>
        <v/>
      </c>
      <c r="J1616" s="1" t="s">
        <v>35</v>
      </c>
      <c r="K1616" s="1" t="str">
        <f t="shared" si="76"/>
        <v/>
      </c>
      <c r="L1616" s="1" t="str">
        <f t="shared" si="77"/>
        <v/>
      </c>
      <c r="M1616" s="1">
        <f>IF(OR(Table1[[#This Row],[Std Nom]]="",Table1[[#This Row],[Std Read]]=""),0,Table1[[#This Row],[Std Nom]]-Table1[[#This Row],[Std Read]])</f>
        <v>0</v>
      </c>
      <c r="N1616" s="1">
        <f>IF(Calculations!$F$5="ACCREDITED 17025 WITH UNCERTAINTIES",$N$10,0)</f>
        <v>0</v>
      </c>
      <c r="Q1616" s="1">
        <f>Table1[[#This Row],[High Tol]]-Table1[[#This Row],[Low Tol]]</f>
        <v>0</v>
      </c>
      <c r="R1616" s="1">
        <f>2*Table1[[#This Row],[Std Error]]</f>
        <v>0</v>
      </c>
      <c r="S1616" s="1" t="str">
        <f>IF(Table1[[#This Row],[High Tol]]="","N/A",IFERROR(ABS(Table1[[#This Row],[Tol Span]]/Table1[[#This Row],[Error Span]]),"N/A"))</f>
        <v>N/A</v>
      </c>
      <c r="T1616" s="1" t="str">
        <f>IF(OR(Table1[[#This Row],[Low Tol]]="",Table1[[#This Row],[High Tol]]=""),"Needs Analysis",IF(Table1[[#This Row],[Ratio]]&gt;=4,"Not Significant",IF(Table1[[#This Row],[Ratio]]&gt;=2,"Semi-Significant","Significant")))</f>
        <v>Needs Analysis</v>
      </c>
      <c r="W1616" s="1">
        <f>IF(Table1[[#This Row],[Cal Type]]&lt;&gt;"ACCREDITED 17025 WITH UNCERTAINTIES",0,"")</f>
        <v>0</v>
      </c>
      <c r="X1616" s="1" t="str">
        <f>IF(Table1[[#This Row],[DUT Read]]="","N/A",Table1[[#This Row],[Std Error]]+Table1[[#This Row],[DUT Read]]+Table1[[#This Row],[DUT Ucty]])</f>
        <v>N/A</v>
      </c>
      <c r="Y1616" s="1" t="str">
        <f>IF(Table1[[#This Row],[Std Read]]="","N/A",Table1[[#This Row],[Std Read]]+Table1[[#This Row],[Std Ucty]])</f>
        <v>N/A</v>
      </c>
      <c r="Z16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6" s="1" t="str">
        <f>IF(Table1[[#This Row],[Spec Type]]="","N/A",Table1[[#This Row],[Spec Type]])</f>
        <v>±</v>
      </c>
      <c r="AC1616" s="1" t="str">
        <f>IF(Table1[[#This Row],[Spec Type2]]="N/A","N/A",IF(AND(Table1[[#This Row],[DUT Adj Read]]&gt;=Table1[[#This Row],[Low Tol]],Table1[[#This Row],[DUT Adj Read]]&lt;=Table1[[#This Row],[High Tol]]),"Pass","Fail"))</f>
        <v>Fail</v>
      </c>
      <c r="AD1616" s="1" t="str">
        <f>IF(AND(Table1[[#This Row],[Spec Type2]]="N/A",Table1[[#This Row],[DUT Adj Read]]="N/A",Table1[[#This Row],[Std Adj Read]]="N/A"),"N/A",IF(Table1[[#This Row],[DUT Adj Read]]="N/A",IF(Table1[[#This Row],[Std Adj Read]]&gt;Table1[[#This Row],[Low Tol]],"Pass","Fail"),IF(Table1[[#This Row],[DUT Adj Read]]&gt;Table1[[#This Row],[Low Tol]],"Pass","Fail")))</f>
        <v>Pass</v>
      </c>
      <c r="AE1616" s="1" t="str">
        <f>IF(AND(Table1[[#This Row],[Spec Type2]]="N/A",Table1[[#This Row],[DUT Adj Read]]="N/A",Table1[[#This Row],[Std Adj Read]]="N/A"),"N/A",IF(Table1[[#This Row],[DUT Adj Read]]="N/A",IF(Table1[[#This Row],[Std Adj Read]]&lt;Table1[[#This Row],[High Tol]],"Pass","Fail"),IF(Table1[[#This Row],[DUT Adj Read]]&lt;Table1[[#This Row],[High Tol]],"Pass","Fail")))</f>
        <v>Fail</v>
      </c>
      <c r="AF1616" s="1" t="str">
        <f>IF(AND(Table1[[#This Row],[Spec Type2]]="N/A",Table1[[#This Row],[DUT Adj Read]]="N/A",Table1[[#This Row],[Std Adj Read]]="N/A"),"N/A",IF(Table1[[#This Row],[DUT Adj Read]]="N/A",IF(Table1[[#This Row],[Std Adj Read]]&gt;=Table1[[#This Row],[Low Tol]],"Pass","Fail"),IF(Table1[[#This Row],[DUT Adj Read]]&gt;=Table1[[#This Row],[Low Tol]],"Pass","Fail")))</f>
        <v>Pass</v>
      </c>
      <c r="AG1616" s="1" t="str">
        <f>IF(AND(Table1[[#This Row],[Spec Type2]]="N/A",Table1[[#This Row],[DUT Adj Read]]="N/A",Table1[[#This Row],[Std Adj Read]]="N/A"),"N/A",IF(Table1[[#This Row],[DUT Adj Read]]="N/A",IF(Table1[[#This Row],[Std Adj Read]]&lt;=Table1[[#This Row],[High Tol]],"Pass","Fail"),IF(Table1[[#This Row],[DUT Adj Read]]&lt;=Table1[[#This Row],[High Tol]],"Pass","Fail")))</f>
        <v>Fail</v>
      </c>
      <c r="AH16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6" s="1" t="b">
        <v>0</v>
      </c>
      <c r="AN1616" s="1" t="b">
        <v>0</v>
      </c>
      <c r="AO1616" s="1" t="b">
        <v>0</v>
      </c>
    </row>
    <row r="1617" spans="1:41" x14ac:dyDescent="0.25">
      <c r="A1617" s="10"/>
      <c r="B1617" s="10"/>
      <c r="C1617" s="10"/>
      <c r="D1617" s="10"/>
      <c r="E1617" s="10"/>
      <c r="F1617" s="10"/>
      <c r="G1617" s="10"/>
      <c r="H1617" s="10"/>
      <c r="I1617" s="1" t="str">
        <f t="shared" si="75"/>
        <v/>
      </c>
      <c r="J1617" s="1" t="s">
        <v>35</v>
      </c>
      <c r="K1617" s="1" t="str">
        <f t="shared" si="76"/>
        <v/>
      </c>
      <c r="L1617" s="1" t="str">
        <f t="shared" si="77"/>
        <v/>
      </c>
      <c r="M1617" s="1">
        <f>IF(OR(Table1[[#This Row],[Std Nom]]="",Table1[[#This Row],[Std Read]]=""),0,Table1[[#This Row],[Std Nom]]-Table1[[#This Row],[Std Read]])</f>
        <v>0</v>
      </c>
      <c r="N1617" s="1">
        <f>IF(Calculations!$F$5="ACCREDITED 17025 WITH UNCERTAINTIES",$N$10,0)</f>
        <v>0</v>
      </c>
      <c r="Q1617" s="1">
        <f>Table1[[#This Row],[High Tol]]-Table1[[#This Row],[Low Tol]]</f>
        <v>0</v>
      </c>
      <c r="R1617" s="1">
        <f>2*Table1[[#This Row],[Std Error]]</f>
        <v>0</v>
      </c>
      <c r="S1617" s="1" t="str">
        <f>IF(Table1[[#This Row],[High Tol]]="","N/A",IFERROR(ABS(Table1[[#This Row],[Tol Span]]/Table1[[#This Row],[Error Span]]),"N/A"))</f>
        <v>N/A</v>
      </c>
      <c r="T1617" s="1" t="str">
        <f>IF(OR(Table1[[#This Row],[Low Tol]]="",Table1[[#This Row],[High Tol]]=""),"Needs Analysis",IF(Table1[[#This Row],[Ratio]]&gt;=4,"Not Significant",IF(Table1[[#This Row],[Ratio]]&gt;=2,"Semi-Significant","Significant")))</f>
        <v>Needs Analysis</v>
      </c>
      <c r="W1617" s="1">
        <f>IF(Table1[[#This Row],[Cal Type]]&lt;&gt;"ACCREDITED 17025 WITH UNCERTAINTIES",0,"")</f>
        <v>0</v>
      </c>
      <c r="X1617" s="1" t="str">
        <f>IF(Table1[[#This Row],[DUT Read]]="","N/A",Table1[[#This Row],[Std Error]]+Table1[[#This Row],[DUT Read]]+Table1[[#This Row],[DUT Ucty]])</f>
        <v>N/A</v>
      </c>
      <c r="Y1617" s="1" t="str">
        <f>IF(Table1[[#This Row],[Std Read]]="","N/A",Table1[[#This Row],[Std Read]]+Table1[[#This Row],[Std Ucty]])</f>
        <v>N/A</v>
      </c>
      <c r="Z16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7" s="1" t="str">
        <f>IF(Table1[[#This Row],[Spec Type]]="","N/A",Table1[[#This Row],[Spec Type]])</f>
        <v>±</v>
      </c>
      <c r="AC1617" s="1" t="str">
        <f>IF(Table1[[#This Row],[Spec Type2]]="N/A","N/A",IF(AND(Table1[[#This Row],[DUT Adj Read]]&gt;=Table1[[#This Row],[Low Tol]],Table1[[#This Row],[DUT Adj Read]]&lt;=Table1[[#This Row],[High Tol]]),"Pass","Fail"))</f>
        <v>Fail</v>
      </c>
      <c r="AD1617" s="1" t="str">
        <f>IF(AND(Table1[[#This Row],[Spec Type2]]="N/A",Table1[[#This Row],[DUT Adj Read]]="N/A",Table1[[#This Row],[Std Adj Read]]="N/A"),"N/A",IF(Table1[[#This Row],[DUT Adj Read]]="N/A",IF(Table1[[#This Row],[Std Adj Read]]&gt;Table1[[#This Row],[Low Tol]],"Pass","Fail"),IF(Table1[[#This Row],[DUT Adj Read]]&gt;Table1[[#This Row],[Low Tol]],"Pass","Fail")))</f>
        <v>Pass</v>
      </c>
      <c r="AE1617" s="1" t="str">
        <f>IF(AND(Table1[[#This Row],[Spec Type2]]="N/A",Table1[[#This Row],[DUT Adj Read]]="N/A",Table1[[#This Row],[Std Adj Read]]="N/A"),"N/A",IF(Table1[[#This Row],[DUT Adj Read]]="N/A",IF(Table1[[#This Row],[Std Adj Read]]&lt;Table1[[#This Row],[High Tol]],"Pass","Fail"),IF(Table1[[#This Row],[DUT Adj Read]]&lt;Table1[[#This Row],[High Tol]],"Pass","Fail")))</f>
        <v>Fail</v>
      </c>
      <c r="AF1617" s="1" t="str">
        <f>IF(AND(Table1[[#This Row],[Spec Type2]]="N/A",Table1[[#This Row],[DUT Adj Read]]="N/A",Table1[[#This Row],[Std Adj Read]]="N/A"),"N/A",IF(Table1[[#This Row],[DUT Adj Read]]="N/A",IF(Table1[[#This Row],[Std Adj Read]]&gt;=Table1[[#This Row],[Low Tol]],"Pass","Fail"),IF(Table1[[#This Row],[DUT Adj Read]]&gt;=Table1[[#This Row],[Low Tol]],"Pass","Fail")))</f>
        <v>Pass</v>
      </c>
      <c r="AG1617" s="1" t="str">
        <f>IF(AND(Table1[[#This Row],[Spec Type2]]="N/A",Table1[[#This Row],[DUT Adj Read]]="N/A",Table1[[#This Row],[Std Adj Read]]="N/A"),"N/A",IF(Table1[[#This Row],[DUT Adj Read]]="N/A",IF(Table1[[#This Row],[Std Adj Read]]&lt;=Table1[[#This Row],[High Tol]],"Pass","Fail"),IF(Table1[[#This Row],[DUT Adj Read]]&lt;=Table1[[#This Row],[High Tol]],"Pass","Fail")))</f>
        <v>Fail</v>
      </c>
      <c r="AH16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7" s="1" t="b">
        <v>0</v>
      </c>
      <c r="AN1617" s="1" t="b">
        <v>0</v>
      </c>
      <c r="AO1617" s="1" t="b">
        <v>0</v>
      </c>
    </row>
    <row r="1618" spans="1:41" x14ac:dyDescent="0.25">
      <c r="A1618" s="10"/>
      <c r="B1618" s="10"/>
      <c r="C1618" s="10"/>
      <c r="D1618" s="10"/>
      <c r="E1618" s="10"/>
      <c r="F1618" s="10"/>
      <c r="G1618" s="10"/>
      <c r="H1618" s="10"/>
      <c r="I1618" s="1" t="str">
        <f t="shared" si="75"/>
        <v/>
      </c>
      <c r="J1618" s="1" t="s">
        <v>35</v>
      </c>
      <c r="K1618" s="1" t="str">
        <f t="shared" si="76"/>
        <v/>
      </c>
      <c r="L1618" s="1" t="str">
        <f t="shared" si="77"/>
        <v/>
      </c>
      <c r="M1618" s="1">
        <f>IF(OR(Table1[[#This Row],[Std Nom]]="",Table1[[#This Row],[Std Read]]=""),0,Table1[[#This Row],[Std Nom]]-Table1[[#This Row],[Std Read]])</f>
        <v>0</v>
      </c>
      <c r="N1618" s="1">
        <f>IF(Calculations!$F$5="ACCREDITED 17025 WITH UNCERTAINTIES",$N$10,0)</f>
        <v>0</v>
      </c>
      <c r="Q1618" s="1">
        <f>Table1[[#This Row],[High Tol]]-Table1[[#This Row],[Low Tol]]</f>
        <v>0</v>
      </c>
      <c r="R1618" s="1">
        <f>2*Table1[[#This Row],[Std Error]]</f>
        <v>0</v>
      </c>
      <c r="S1618" s="1" t="str">
        <f>IF(Table1[[#This Row],[High Tol]]="","N/A",IFERROR(ABS(Table1[[#This Row],[Tol Span]]/Table1[[#This Row],[Error Span]]),"N/A"))</f>
        <v>N/A</v>
      </c>
      <c r="T1618" s="1" t="str">
        <f>IF(OR(Table1[[#This Row],[Low Tol]]="",Table1[[#This Row],[High Tol]]=""),"Needs Analysis",IF(Table1[[#This Row],[Ratio]]&gt;=4,"Not Significant",IF(Table1[[#This Row],[Ratio]]&gt;=2,"Semi-Significant","Significant")))</f>
        <v>Needs Analysis</v>
      </c>
      <c r="W1618" s="1">
        <f>IF(Table1[[#This Row],[Cal Type]]&lt;&gt;"ACCREDITED 17025 WITH UNCERTAINTIES",0,"")</f>
        <v>0</v>
      </c>
      <c r="X1618" s="1" t="str">
        <f>IF(Table1[[#This Row],[DUT Read]]="","N/A",Table1[[#This Row],[Std Error]]+Table1[[#This Row],[DUT Read]]+Table1[[#This Row],[DUT Ucty]])</f>
        <v>N/A</v>
      </c>
      <c r="Y1618" s="1" t="str">
        <f>IF(Table1[[#This Row],[Std Read]]="","N/A",Table1[[#This Row],[Std Read]]+Table1[[#This Row],[Std Ucty]])</f>
        <v>N/A</v>
      </c>
      <c r="Z16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8" s="1" t="str">
        <f>IF(Table1[[#This Row],[Spec Type]]="","N/A",Table1[[#This Row],[Spec Type]])</f>
        <v>±</v>
      </c>
      <c r="AC1618" s="1" t="str">
        <f>IF(Table1[[#This Row],[Spec Type2]]="N/A","N/A",IF(AND(Table1[[#This Row],[DUT Adj Read]]&gt;=Table1[[#This Row],[Low Tol]],Table1[[#This Row],[DUT Adj Read]]&lt;=Table1[[#This Row],[High Tol]]),"Pass","Fail"))</f>
        <v>Fail</v>
      </c>
      <c r="AD1618" s="1" t="str">
        <f>IF(AND(Table1[[#This Row],[Spec Type2]]="N/A",Table1[[#This Row],[DUT Adj Read]]="N/A",Table1[[#This Row],[Std Adj Read]]="N/A"),"N/A",IF(Table1[[#This Row],[DUT Adj Read]]="N/A",IF(Table1[[#This Row],[Std Adj Read]]&gt;Table1[[#This Row],[Low Tol]],"Pass","Fail"),IF(Table1[[#This Row],[DUT Adj Read]]&gt;Table1[[#This Row],[Low Tol]],"Pass","Fail")))</f>
        <v>Pass</v>
      </c>
      <c r="AE1618" s="1" t="str">
        <f>IF(AND(Table1[[#This Row],[Spec Type2]]="N/A",Table1[[#This Row],[DUT Adj Read]]="N/A",Table1[[#This Row],[Std Adj Read]]="N/A"),"N/A",IF(Table1[[#This Row],[DUT Adj Read]]="N/A",IF(Table1[[#This Row],[Std Adj Read]]&lt;Table1[[#This Row],[High Tol]],"Pass","Fail"),IF(Table1[[#This Row],[DUT Adj Read]]&lt;Table1[[#This Row],[High Tol]],"Pass","Fail")))</f>
        <v>Fail</v>
      </c>
      <c r="AF1618" s="1" t="str">
        <f>IF(AND(Table1[[#This Row],[Spec Type2]]="N/A",Table1[[#This Row],[DUT Adj Read]]="N/A",Table1[[#This Row],[Std Adj Read]]="N/A"),"N/A",IF(Table1[[#This Row],[DUT Adj Read]]="N/A",IF(Table1[[#This Row],[Std Adj Read]]&gt;=Table1[[#This Row],[Low Tol]],"Pass","Fail"),IF(Table1[[#This Row],[DUT Adj Read]]&gt;=Table1[[#This Row],[Low Tol]],"Pass","Fail")))</f>
        <v>Pass</v>
      </c>
      <c r="AG1618" s="1" t="str">
        <f>IF(AND(Table1[[#This Row],[Spec Type2]]="N/A",Table1[[#This Row],[DUT Adj Read]]="N/A",Table1[[#This Row],[Std Adj Read]]="N/A"),"N/A",IF(Table1[[#This Row],[DUT Adj Read]]="N/A",IF(Table1[[#This Row],[Std Adj Read]]&lt;=Table1[[#This Row],[High Tol]],"Pass","Fail"),IF(Table1[[#This Row],[DUT Adj Read]]&lt;=Table1[[#This Row],[High Tol]],"Pass","Fail")))</f>
        <v>Fail</v>
      </c>
      <c r="AH16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8" s="1" t="b">
        <v>0</v>
      </c>
      <c r="AN1618" s="1" t="b">
        <v>0</v>
      </c>
      <c r="AO1618" s="1" t="b">
        <v>0</v>
      </c>
    </row>
    <row r="1619" spans="1:41" x14ac:dyDescent="0.25">
      <c r="A1619" s="10"/>
      <c r="B1619" s="10"/>
      <c r="C1619" s="10"/>
      <c r="D1619" s="10"/>
      <c r="E1619" s="10"/>
      <c r="F1619" s="10"/>
      <c r="G1619" s="10"/>
      <c r="H1619" s="10"/>
      <c r="I1619" s="1" t="str">
        <f t="shared" si="75"/>
        <v/>
      </c>
      <c r="J1619" s="1" t="s">
        <v>35</v>
      </c>
      <c r="K1619" s="1" t="str">
        <f t="shared" si="76"/>
        <v/>
      </c>
      <c r="L1619" s="1" t="str">
        <f t="shared" si="77"/>
        <v/>
      </c>
      <c r="M1619" s="1">
        <f>IF(OR(Table1[[#This Row],[Std Nom]]="",Table1[[#This Row],[Std Read]]=""),0,Table1[[#This Row],[Std Nom]]-Table1[[#This Row],[Std Read]])</f>
        <v>0</v>
      </c>
      <c r="N1619" s="1">
        <f>IF(Calculations!$F$5="ACCREDITED 17025 WITH UNCERTAINTIES",$N$10,0)</f>
        <v>0</v>
      </c>
      <c r="Q1619" s="1">
        <f>Table1[[#This Row],[High Tol]]-Table1[[#This Row],[Low Tol]]</f>
        <v>0</v>
      </c>
      <c r="R1619" s="1">
        <f>2*Table1[[#This Row],[Std Error]]</f>
        <v>0</v>
      </c>
      <c r="S1619" s="1" t="str">
        <f>IF(Table1[[#This Row],[High Tol]]="","N/A",IFERROR(ABS(Table1[[#This Row],[Tol Span]]/Table1[[#This Row],[Error Span]]),"N/A"))</f>
        <v>N/A</v>
      </c>
      <c r="T1619" s="1" t="str">
        <f>IF(OR(Table1[[#This Row],[Low Tol]]="",Table1[[#This Row],[High Tol]]=""),"Needs Analysis",IF(Table1[[#This Row],[Ratio]]&gt;=4,"Not Significant",IF(Table1[[#This Row],[Ratio]]&gt;=2,"Semi-Significant","Significant")))</f>
        <v>Needs Analysis</v>
      </c>
      <c r="W1619" s="1">
        <f>IF(Table1[[#This Row],[Cal Type]]&lt;&gt;"ACCREDITED 17025 WITH UNCERTAINTIES",0,"")</f>
        <v>0</v>
      </c>
      <c r="X1619" s="1" t="str">
        <f>IF(Table1[[#This Row],[DUT Read]]="","N/A",Table1[[#This Row],[Std Error]]+Table1[[#This Row],[DUT Read]]+Table1[[#This Row],[DUT Ucty]])</f>
        <v>N/A</v>
      </c>
      <c r="Y1619" s="1" t="str">
        <f>IF(Table1[[#This Row],[Std Read]]="","N/A",Table1[[#This Row],[Std Read]]+Table1[[#This Row],[Std Ucty]])</f>
        <v>N/A</v>
      </c>
      <c r="Z16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19" s="1" t="str">
        <f>IF(Table1[[#This Row],[Spec Type]]="","N/A",Table1[[#This Row],[Spec Type]])</f>
        <v>±</v>
      </c>
      <c r="AC1619" s="1" t="str">
        <f>IF(Table1[[#This Row],[Spec Type2]]="N/A","N/A",IF(AND(Table1[[#This Row],[DUT Adj Read]]&gt;=Table1[[#This Row],[Low Tol]],Table1[[#This Row],[DUT Adj Read]]&lt;=Table1[[#This Row],[High Tol]]),"Pass","Fail"))</f>
        <v>Fail</v>
      </c>
      <c r="AD1619" s="1" t="str">
        <f>IF(AND(Table1[[#This Row],[Spec Type2]]="N/A",Table1[[#This Row],[DUT Adj Read]]="N/A",Table1[[#This Row],[Std Adj Read]]="N/A"),"N/A",IF(Table1[[#This Row],[DUT Adj Read]]="N/A",IF(Table1[[#This Row],[Std Adj Read]]&gt;Table1[[#This Row],[Low Tol]],"Pass","Fail"),IF(Table1[[#This Row],[DUT Adj Read]]&gt;Table1[[#This Row],[Low Tol]],"Pass","Fail")))</f>
        <v>Pass</v>
      </c>
      <c r="AE1619" s="1" t="str">
        <f>IF(AND(Table1[[#This Row],[Spec Type2]]="N/A",Table1[[#This Row],[DUT Adj Read]]="N/A",Table1[[#This Row],[Std Adj Read]]="N/A"),"N/A",IF(Table1[[#This Row],[DUT Adj Read]]="N/A",IF(Table1[[#This Row],[Std Adj Read]]&lt;Table1[[#This Row],[High Tol]],"Pass","Fail"),IF(Table1[[#This Row],[DUT Adj Read]]&lt;Table1[[#This Row],[High Tol]],"Pass","Fail")))</f>
        <v>Fail</v>
      </c>
      <c r="AF1619" s="1" t="str">
        <f>IF(AND(Table1[[#This Row],[Spec Type2]]="N/A",Table1[[#This Row],[DUT Adj Read]]="N/A",Table1[[#This Row],[Std Adj Read]]="N/A"),"N/A",IF(Table1[[#This Row],[DUT Adj Read]]="N/A",IF(Table1[[#This Row],[Std Adj Read]]&gt;=Table1[[#This Row],[Low Tol]],"Pass","Fail"),IF(Table1[[#This Row],[DUT Adj Read]]&gt;=Table1[[#This Row],[Low Tol]],"Pass","Fail")))</f>
        <v>Pass</v>
      </c>
      <c r="AG1619" s="1" t="str">
        <f>IF(AND(Table1[[#This Row],[Spec Type2]]="N/A",Table1[[#This Row],[DUT Adj Read]]="N/A",Table1[[#This Row],[Std Adj Read]]="N/A"),"N/A",IF(Table1[[#This Row],[DUT Adj Read]]="N/A",IF(Table1[[#This Row],[Std Adj Read]]&lt;=Table1[[#This Row],[High Tol]],"Pass","Fail"),IF(Table1[[#This Row],[DUT Adj Read]]&lt;=Table1[[#This Row],[High Tol]],"Pass","Fail")))</f>
        <v>Fail</v>
      </c>
      <c r="AH16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19" s="1" t="b">
        <v>0</v>
      </c>
      <c r="AN1619" s="1" t="b">
        <v>0</v>
      </c>
      <c r="AO1619" s="1" t="b">
        <v>0</v>
      </c>
    </row>
    <row r="1620" spans="1:41" x14ac:dyDescent="0.25">
      <c r="A1620" s="10"/>
      <c r="B1620" s="10"/>
      <c r="C1620" s="10"/>
      <c r="D1620" s="10"/>
      <c r="E1620" s="10"/>
      <c r="F1620" s="10"/>
      <c r="G1620" s="10"/>
      <c r="H1620" s="10"/>
      <c r="I1620" s="1" t="str">
        <f t="shared" si="75"/>
        <v/>
      </c>
      <c r="J1620" s="1" t="s">
        <v>35</v>
      </c>
      <c r="K1620" s="1" t="str">
        <f t="shared" si="76"/>
        <v/>
      </c>
      <c r="L1620" s="1" t="str">
        <f t="shared" si="77"/>
        <v/>
      </c>
      <c r="M1620" s="1">
        <f>IF(OR(Table1[[#This Row],[Std Nom]]="",Table1[[#This Row],[Std Read]]=""),0,Table1[[#This Row],[Std Nom]]-Table1[[#This Row],[Std Read]])</f>
        <v>0</v>
      </c>
      <c r="N1620" s="1">
        <f>IF(Calculations!$F$5="ACCREDITED 17025 WITH UNCERTAINTIES",$N$10,0)</f>
        <v>0</v>
      </c>
      <c r="Q1620" s="1">
        <f>Table1[[#This Row],[High Tol]]-Table1[[#This Row],[Low Tol]]</f>
        <v>0</v>
      </c>
      <c r="R1620" s="1">
        <f>2*Table1[[#This Row],[Std Error]]</f>
        <v>0</v>
      </c>
      <c r="S1620" s="1" t="str">
        <f>IF(Table1[[#This Row],[High Tol]]="","N/A",IFERROR(ABS(Table1[[#This Row],[Tol Span]]/Table1[[#This Row],[Error Span]]),"N/A"))</f>
        <v>N/A</v>
      </c>
      <c r="T1620" s="1" t="str">
        <f>IF(OR(Table1[[#This Row],[Low Tol]]="",Table1[[#This Row],[High Tol]]=""),"Needs Analysis",IF(Table1[[#This Row],[Ratio]]&gt;=4,"Not Significant",IF(Table1[[#This Row],[Ratio]]&gt;=2,"Semi-Significant","Significant")))</f>
        <v>Needs Analysis</v>
      </c>
      <c r="W1620" s="1">
        <f>IF(Table1[[#This Row],[Cal Type]]&lt;&gt;"ACCREDITED 17025 WITH UNCERTAINTIES",0,"")</f>
        <v>0</v>
      </c>
      <c r="X1620" s="1" t="str">
        <f>IF(Table1[[#This Row],[DUT Read]]="","N/A",Table1[[#This Row],[Std Error]]+Table1[[#This Row],[DUT Read]]+Table1[[#This Row],[DUT Ucty]])</f>
        <v>N/A</v>
      </c>
      <c r="Y1620" s="1" t="str">
        <f>IF(Table1[[#This Row],[Std Read]]="","N/A",Table1[[#This Row],[Std Read]]+Table1[[#This Row],[Std Ucty]])</f>
        <v>N/A</v>
      </c>
      <c r="Z16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0" s="1" t="str">
        <f>IF(Table1[[#This Row],[Spec Type]]="","N/A",Table1[[#This Row],[Spec Type]])</f>
        <v>±</v>
      </c>
      <c r="AC1620" s="1" t="str">
        <f>IF(Table1[[#This Row],[Spec Type2]]="N/A","N/A",IF(AND(Table1[[#This Row],[DUT Adj Read]]&gt;=Table1[[#This Row],[Low Tol]],Table1[[#This Row],[DUT Adj Read]]&lt;=Table1[[#This Row],[High Tol]]),"Pass","Fail"))</f>
        <v>Fail</v>
      </c>
      <c r="AD1620" s="1" t="str">
        <f>IF(AND(Table1[[#This Row],[Spec Type2]]="N/A",Table1[[#This Row],[DUT Adj Read]]="N/A",Table1[[#This Row],[Std Adj Read]]="N/A"),"N/A",IF(Table1[[#This Row],[DUT Adj Read]]="N/A",IF(Table1[[#This Row],[Std Adj Read]]&gt;Table1[[#This Row],[Low Tol]],"Pass","Fail"),IF(Table1[[#This Row],[DUT Adj Read]]&gt;Table1[[#This Row],[Low Tol]],"Pass","Fail")))</f>
        <v>Pass</v>
      </c>
      <c r="AE1620" s="1" t="str">
        <f>IF(AND(Table1[[#This Row],[Spec Type2]]="N/A",Table1[[#This Row],[DUT Adj Read]]="N/A",Table1[[#This Row],[Std Adj Read]]="N/A"),"N/A",IF(Table1[[#This Row],[DUT Adj Read]]="N/A",IF(Table1[[#This Row],[Std Adj Read]]&lt;Table1[[#This Row],[High Tol]],"Pass","Fail"),IF(Table1[[#This Row],[DUT Adj Read]]&lt;Table1[[#This Row],[High Tol]],"Pass","Fail")))</f>
        <v>Fail</v>
      </c>
      <c r="AF1620" s="1" t="str">
        <f>IF(AND(Table1[[#This Row],[Spec Type2]]="N/A",Table1[[#This Row],[DUT Adj Read]]="N/A",Table1[[#This Row],[Std Adj Read]]="N/A"),"N/A",IF(Table1[[#This Row],[DUT Adj Read]]="N/A",IF(Table1[[#This Row],[Std Adj Read]]&gt;=Table1[[#This Row],[Low Tol]],"Pass","Fail"),IF(Table1[[#This Row],[DUT Adj Read]]&gt;=Table1[[#This Row],[Low Tol]],"Pass","Fail")))</f>
        <v>Pass</v>
      </c>
      <c r="AG1620" s="1" t="str">
        <f>IF(AND(Table1[[#This Row],[Spec Type2]]="N/A",Table1[[#This Row],[DUT Adj Read]]="N/A",Table1[[#This Row],[Std Adj Read]]="N/A"),"N/A",IF(Table1[[#This Row],[DUT Adj Read]]="N/A",IF(Table1[[#This Row],[Std Adj Read]]&lt;=Table1[[#This Row],[High Tol]],"Pass","Fail"),IF(Table1[[#This Row],[DUT Adj Read]]&lt;=Table1[[#This Row],[High Tol]],"Pass","Fail")))</f>
        <v>Fail</v>
      </c>
      <c r="AH16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0" s="1" t="b">
        <v>0</v>
      </c>
      <c r="AN1620" s="1" t="b">
        <v>0</v>
      </c>
      <c r="AO1620" s="1" t="b">
        <v>0</v>
      </c>
    </row>
    <row r="1621" spans="1:41" x14ac:dyDescent="0.25">
      <c r="A1621" s="10"/>
      <c r="B1621" s="10"/>
      <c r="C1621" s="10"/>
      <c r="D1621" s="10"/>
      <c r="E1621" s="10"/>
      <c r="F1621" s="10"/>
      <c r="G1621" s="10"/>
      <c r="H1621" s="10"/>
      <c r="I1621" s="1" t="str">
        <f t="shared" si="75"/>
        <v/>
      </c>
      <c r="J1621" s="1" t="s">
        <v>35</v>
      </c>
      <c r="K1621" s="1" t="str">
        <f t="shared" si="76"/>
        <v/>
      </c>
      <c r="L1621" s="1" t="str">
        <f t="shared" si="77"/>
        <v/>
      </c>
      <c r="M1621" s="1">
        <f>IF(OR(Table1[[#This Row],[Std Nom]]="",Table1[[#This Row],[Std Read]]=""),0,Table1[[#This Row],[Std Nom]]-Table1[[#This Row],[Std Read]])</f>
        <v>0</v>
      </c>
      <c r="N1621" s="1">
        <f>IF(Calculations!$F$5="ACCREDITED 17025 WITH UNCERTAINTIES",$N$10,0)</f>
        <v>0</v>
      </c>
      <c r="Q1621" s="1">
        <f>Table1[[#This Row],[High Tol]]-Table1[[#This Row],[Low Tol]]</f>
        <v>0</v>
      </c>
      <c r="R1621" s="1">
        <f>2*Table1[[#This Row],[Std Error]]</f>
        <v>0</v>
      </c>
      <c r="S1621" s="1" t="str">
        <f>IF(Table1[[#This Row],[High Tol]]="","N/A",IFERROR(ABS(Table1[[#This Row],[Tol Span]]/Table1[[#This Row],[Error Span]]),"N/A"))</f>
        <v>N/A</v>
      </c>
      <c r="T1621" s="1" t="str">
        <f>IF(OR(Table1[[#This Row],[Low Tol]]="",Table1[[#This Row],[High Tol]]=""),"Needs Analysis",IF(Table1[[#This Row],[Ratio]]&gt;=4,"Not Significant",IF(Table1[[#This Row],[Ratio]]&gt;=2,"Semi-Significant","Significant")))</f>
        <v>Needs Analysis</v>
      </c>
      <c r="W1621" s="1">
        <f>IF(Table1[[#This Row],[Cal Type]]&lt;&gt;"ACCREDITED 17025 WITH UNCERTAINTIES",0,"")</f>
        <v>0</v>
      </c>
      <c r="X1621" s="1" t="str">
        <f>IF(Table1[[#This Row],[DUT Read]]="","N/A",Table1[[#This Row],[Std Error]]+Table1[[#This Row],[DUT Read]]+Table1[[#This Row],[DUT Ucty]])</f>
        <v>N/A</v>
      </c>
      <c r="Y1621" s="1" t="str">
        <f>IF(Table1[[#This Row],[Std Read]]="","N/A",Table1[[#This Row],[Std Read]]+Table1[[#This Row],[Std Ucty]])</f>
        <v>N/A</v>
      </c>
      <c r="Z16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1" s="1" t="str">
        <f>IF(Table1[[#This Row],[Spec Type]]="","N/A",Table1[[#This Row],[Spec Type]])</f>
        <v>±</v>
      </c>
      <c r="AC1621" s="1" t="str">
        <f>IF(Table1[[#This Row],[Spec Type2]]="N/A","N/A",IF(AND(Table1[[#This Row],[DUT Adj Read]]&gt;=Table1[[#This Row],[Low Tol]],Table1[[#This Row],[DUT Adj Read]]&lt;=Table1[[#This Row],[High Tol]]),"Pass","Fail"))</f>
        <v>Fail</v>
      </c>
      <c r="AD1621" s="1" t="str">
        <f>IF(AND(Table1[[#This Row],[Spec Type2]]="N/A",Table1[[#This Row],[DUT Adj Read]]="N/A",Table1[[#This Row],[Std Adj Read]]="N/A"),"N/A",IF(Table1[[#This Row],[DUT Adj Read]]="N/A",IF(Table1[[#This Row],[Std Adj Read]]&gt;Table1[[#This Row],[Low Tol]],"Pass","Fail"),IF(Table1[[#This Row],[DUT Adj Read]]&gt;Table1[[#This Row],[Low Tol]],"Pass","Fail")))</f>
        <v>Pass</v>
      </c>
      <c r="AE1621" s="1" t="str">
        <f>IF(AND(Table1[[#This Row],[Spec Type2]]="N/A",Table1[[#This Row],[DUT Adj Read]]="N/A",Table1[[#This Row],[Std Adj Read]]="N/A"),"N/A",IF(Table1[[#This Row],[DUT Adj Read]]="N/A",IF(Table1[[#This Row],[Std Adj Read]]&lt;Table1[[#This Row],[High Tol]],"Pass","Fail"),IF(Table1[[#This Row],[DUT Adj Read]]&lt;Table1[[#This Row],[High Tol]],"Pass","Fail")))</f>
        <v>Fail</v>
      </c>
      <c r="AF1621" s="1" t="str">
        <f>IF(AND(Table1[[#This Row],[Spec Type2]]="N/A",Table1[[#This Row],[DUT Adj Read]]="N/A",Table1[[#This Row],[Std Adj Read]]="N/A"),"N/A",IF(Table1[[#This Row],[DUT Adj Read]]="N/A",IF(Table1[[#This Row],[Std Adj Read]]&gt;=Table1[[#This Row],[Low Tol]],"Pass","Fail"),IF(Table1[[#This Row],[DUT Adj Read]]&gt;=Table1[[#This Row],[Low Tol]],"Pass","Fail")))</f>
        <v>Pass</v>
      </c>
      <c r="AG1621" s="1" t="str">
        <f>IF(AND(Table1[[#This Row],[Spec Type2]]="N/A",Table1[[#This Row],[DUT Adj Read]]="N/A",Table1[[#This Row],[Std Adj Read]]="N/A"),"N/A",IF(Table1[[#This Row],[DUT Adj Read]]="N/A",IF(Table1[[#This Row],[Std Adj Read]]&lt;=Table1[[#This Row],[High Tol]],"Pass","Fail"),IF(Table1[[#This Row],[DUT Adj Read]]&lt;=Table1[[#This Row],[High Tol]],"Pass","Fail")))</f>
        <v>Fail</v>
      </c>
      <c r="AH16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1" s="1" t="b">
        <v>0</v>
      </c>
      <c r="AN1621" s="1" t="b">
        <v>0</v>
      </c>
      <c r="AO1621" s="1" t="b">
        <v>0</v>
      </c>
    </row>
    <row r="1622" spans="1:41" x14ac:dyDescent="0.25">
      <c r="A1622" s="10"/>
      <c r="B1622" s="10"/>
      <c r="C1622" s="10"/>
      <c r="D1622" s="10"/>
      <c r="E1622" s="10"/>
      <c r="F1622" s="10"/>
      <c r="G1622" s="10"/>
      <c r="H1622" s="10"/>
      <c r="I1622" s="1" t="str">
        <f t="shared" si="75"/>
        <v/>
      </c>
      <c r="J1622" s="1" t="s">
        <v>35</v>
      </c>
      <c r="K1622" s="1" t="str">
        <f t="shared" si="76"/>
        <v/>
      </c>
      <c r="L1622" s="1" t="str">
        <f t="shared" si="77"/>
        <v/>
      </c>
      <c r="M1622" s="1">
        <f>IF(OR(Table1[[#This Row],[Std Nom]]="",Table1[[#This Row],[Std Read]]=""),0,Table1[[#This Row],[Std Nom]]-Table1[[#This Row],[Std Read]])</f>
        <v>0</v>
      </c>
      <c r="N1622" s="1">
        <f>IF(Calculations!$F$5="ACCREDITED 17025 WITH UNCERTAINTIES",$N$10,0)</f>
        <v>0</v>
      </c>
      <c r="Q1622" s="1">
        <f>Table1[[#This Row],[High Tol]]-Table1[[#This Row],[Low Tol]]</f>
        <v>0</v>
      </c>
      <c r="R1622" s="1">
        <f>2*Table1[[#This Row],[Std Error]]</f>
        <v>0</v>
      </c>
      <c r="S1622" s="1" t="str">
        <f>IF(Table1[[#This Row],[High Tol]]="","N/A",IFERROR(ABS(Table1[[#This Row],[Tol Span]]/Table1[[#This Row],[Error Span]]),"N/A"))</f>
        <v>N/A</v>
      </c>
      <c r="T1622" s="1" t="str">
        <f>IF(OR(Table1[[#This Row],[Low Tol]]="",Table1[[#This Row],[High Tol]]=""),"Needs Analysis",IF(Table1[[#This Row],[Ratio]]&gt;=4,"Not Significant",IF(Table1[[#This Row],[Ratio]]&gt;=2,"Semi-Significant","Significant")))</f>
        <v>Needs Analysis</v>
      </c>
      <c r="W1622" s="1">
        <f>IF(Table1[[#This Row],[Cal Type]]&lt;&gt;"ACCREDITED 17025 WITH UNCERTAINTIES",0,"")</f>
        <v>0</v>
      </c>
      <c r="X1622" s="1" t="str">
        <f>IF(Table1[[#This Row],[DUT Read]]="","N/A",Table1[[#This Row],[Std Error]]+Table1[[#This Row],[DUT Read]]+Table1[[#This Row],[DUT Ucty]])</f>
        <v>N/A</v>
      </c>
      <c r="Y1622" s="1" t="str">
        <f>IF(Table1[[#This Row],[Std Read]]="","N/A",Table1[[#This Row],[Std Read]]+Table1[[#This Row],[Std Ucty]])</f>
        <v>N/A</v>
      </c>
      <c r="Z16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2" s="1" t="str">
        <f>IF(Table1[[#This Row],[Spec Type]]="","N/A",Table1[[#This Row],[Spec Type]])</f>
        <v>±</v>
      </c>
      <c r="AC1622" s="1" t="str">
        <f>IF(Table1[[#This Row],[Spec Type2]]="N/A","N/A",IF(AND(Table1[[#This Row],[DUT Adj Read]]&gt;=Table1[[#This Row],[Low Tol]],Table1[[#This Row],[DUT Adj Read]]&lt;=Table1[[#This Row],[High Tol]]),"Pass","Fail"))</f>
        <v>Fail</v>
      </c>
      <c r="AD1622" s="1" t="str">
        <f>IF(AND(Table1[[#This Row],[Spec Type2]]="N/A",Table1[[#This Row],[DUT Adj Read]]="N/A",Table1[[#This Row],[Std Adj Read]]="N/A"),"N/A",IF(Table1[[#This Row],[DUT Adj Read]]="N/A",IF(Table1[[#This Row],[Std Adj Read]]&gt;Table1[[#This Row],[Low Tol]],"Pass","Fail"),IF(Table1[[#This Row],[DUT Adj Read]]&gt;Table1[[#This Row],[Low Tol]],"Pass","Fail")))</f>
        <v>Pass</v>
      </c>
      <c r="AE1622" s="1" t="str">
        <f>IF(AND(Table1[[#This Row],[Spec Type2]]="N/A",Table1[[#This Row],[DUT Adj Read]]="N/A",Table1[[#This Row],[Std Adj Read]]="N/A"),"N/A",IF(Table1[[#This Row],[DUT Adj Read]]="N/A",IF(Table1[[#This Row],[Std Adj Read]]&lt;Table1[[#This Row],[High Tol]],"Pass","Fail"),IF(Table1[[#This Row],[DUT Adj Read]]&lt;Table1[[#This Row],[High Tol]],"Pass","Fail")))</f>
        <v>Fail</v>
      </c>
      <c r="AF1622" s="1" t="str">
        <f>IF(AND(Table1[[#This Row],[Spec Type2]]="N/A",Table1[[#This Row],[DUT Adj Read]]="N/A",Table1[[#This Row],[Std Adj Read]]="N/A"),"N/A",IF(Table1[[#This Row],[DUT Adj Read]]="N/A",IF(Table1[[#This Row],[Std Adj Read]]&gt;=Table1[[#This Row],[Low Tol]],"Pass","Fail"),IF(Table1[[#This Row],[DUT Adj Read]]&gt;=Table1[[#This Row],[Low Tol]],"Pass","Fail")))</f>
        <v>Pass</v>
      </c>
      <c r="AG1622" s="1" t="str">
        <f>IF(AND(Table1[[#This Row],[Spec Type2]]="N/A",Table1[[#This Row],[DUT Adj Read]]="N/A",Table1[[#This Row],[Std Adj Read]]="N/A"),"N/A",IF(Table1[[#This Row],[DUT Adj Read]]="N/A",IF(Table1[[#This Row],[Std Adj Read]]&lt;=Table1[[#This Row],[High Tol]],"Pass","Fail"),IF(Table1[[#This Row],[DUT Adj Read]]&lt;=Table1[[#This Row],[High Tol]],"Pass","Fail")))</f>
        <v>Fail</v>
      </c>
      <c r="AH16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2" s="1" t="b">
        <v>0</v>
      </c>
      <c r="AN1622" s="1" t="b">
        <v>0</v>
      </c>
      <c r="AO1622" s="1" t="b">
        <v>0</v>
      </c>
    </row>
    <row r="1623" spans="1:41" x14ac:dyDescent="0.25">
      <c r="A1623" s="10"/>
      <c r="B1623" s="10"/>
      <c r="C1623" s="10"/>
      <c r="D1623" s="10"/>
      <c r="E1623" s="10"/>
      <c r="F1623" s="10"/>
      <c r="G1623" s="10"/>
      <c r="H1623" s="10"/>
      <c r="I1623" s="1" t="str">
        <f t="shared" si="75"/>
        <v/>
      </c>
      <c r="J1623" s="1" t="s">
        <v>35</v>
      </c>
      <c r="K1623" s="1" t="str">
        <f t="shared" si="76"/>
        <v/>
      </c>
      <c r="L1623" s="1" t="str">
        <f t="shared" si="77"/>
        <v/>
      </c>
      <c r="M1623" s="1">
        <f>IF(OR(Table1[[#This Row],[Std Nom]]="",Table1[[#This Row],[Std Read]]=""),0,Table1[[#This Row],[Std Nom]]-Table1[[#This Row],[Std Read]])</f>
        <v>0</v>
      </c>
      <c r="N1623" s="1">
        <f>IF(Calculations!$F$5="ACCREDITED 17025 WITH UNCERTAINTIES",$N$10,0)</f>
        <v>0</v>
      </c>
      <c r="Q1623" s="1">
        <f>Table1[[#This Row],[High Tol]]-Table1[[#This Row],[Low Tol]]</f>
        <v>0</v>
      </c>
      <c r="R1623" s="1">
        <f>2*Table1[[#This Row],[Std Error]]</f>
        <v>0</v>
      </c>
      <c r="S1623" s="1" t="str">
        <f>IF(Table1[[#This Row],[High Tol]]="","N/A",IFERROR(ABS(Table1[[#This Row],[Tol Span]]/Table1[[#This Row],[Error Span]]),"N/A"))</f>
        <v>N/A</v>
      </c>
      <c r="T1623" s="1" t="str">
        <f>IF(OR(Table1[[#This Row],[Low Tol]]="",Table1[[#This Row],[High Tol]]=""),"Needs Analysis",IF(Table1[[#This Row],[Ratio]]&gt;=4,"Not Significant",IF(Table1[[#This Row],[Ratio]]&gt;=2,"Semi-Significant","Significant")))</f>
        <v>Needs Analysis</v>
      </c>
      <c r="W1623" s="1">
        <f>IF(Table1[[#This Row],[Cal Type]]&lt;&gt;"ACCREDITED 17025 WITH UNCERTAINTIES",0,"")</f>
        <v>0</v>
      </c>
      <c r="X1623" s="1" t="str">
        <f>IF(Table1[[#This Row],[DUT Read]]="","N/A",Table1[[#This Row],[Std Error]]+Table1[[#This Row],[DUT Read]]+Table1[[#This Row],[DUT Ucty]])</f>
        <v>N/A</v>
      </c>
      <c r="Y1623" s="1" t="str">
        <f>IF(Table1[[#This Row],[Std Read]]="","N/A",Table1[[#This Row],[Std Read]]+Table1[[#This Row],[Std Ucty]])</f>
        <v>N/A</v>
      </c>
      <c r="Z16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3" s="1" t="str">
        <f>IF(Table1[[#This Row],[Spec Type]]="","N/A",Table1[[#This Row],[Spec Type]])</f>
        <v>±</v>
      </c>
      <c r="AC1623" s="1" t="str">
        <f>IF(Table1[[#This Row],[Spec Type2]]="N/A","N/A",IF(AND(Table1[[#This Row],[DUT Adj Read]]&gt;=Table1[[#This Row],[Low Tol]],Table1[[#This Row],[DUT Adj Read]]&lt;=Table1[[#This Row],[High Tol]]),"Pass","Fail"))</f>
        <v>Fail</v>
      </c>
      <c r="AD1623" s="1" t="str">
        <f>IF(AND(Table1[[#This Row],[Spec Type2]]="N/A",Table1[[#This Row],[DUT Adj Read]]="N/A",Table1[[#This Row],[Std Adj Read]]="N/A"),"N/A",IF(Table1[[#This Row],[DUT Adj Read]]="N/A",IF(Table1[[#This Row],[Std Adj Read]]&gt;Table1[[#This Row],[Low Tol]],"Pass","Fail"),IF(Table1[[#This Row],[DUT Adj Read]]&gt;Table1[[#This Row],[Low Tol]],"Pass","Fail")))</f>
        <v>Pass</v>
      </c>
      <c r="AE1623" s="1" t="str">
        <f>IF(AND(Table1[[#This Row],[Spec Type2]]="N/A",Table1[[#This Row],[DUT Adj Read]]="N/A",Table1[[#This Row],[Std Adj Read]]="N/A"),"N/A",IF(Table1[[#This Row],[DUT Adj Read]]="N/A",IF(Table1[[#This Row],[Std Adj Read]]&lt;Table1[[#This Row],[High Tol]],"Pass","Fail"),IF(Table1[[#This Row],[DUT Adj Read]]&lt;Table1[[#This Row],[High Tol]],"Pass","Fail")))</f>
        <v>Fail</v>
      </c>
      <c r="AF1623" s="1" t="str">
        <f>IF(AND(Table1[[#This Row],[Spec Type2]]="N/A",Table1[[#This Row],[DUT Adj Read]]="N/A",Table1[[#This Row],[Std Adj Read]]="N/A"),"N/A",IF(Table1[[#This Row],[DUT Adj Read]]="N/A",IF(Table1[[#This Row],[Std Adj Read]]&gt;=Table1[[#This Row],[Low Tol]],"Pass","Fail"),IF(Table1[[#This Row],[DUT Adj Read]]&gt;=Table1[[#This Row],[Low Tol]],"Pass","Fail")))</f>
        <v>Pass</v>
      </c>
      <c r="AG1623" s="1" t="str">
        <f>IF(AND(Table1[[#This Row],[Spec Type2]]="N/A",Table1[[#This Row],[DUT Adj Read]]="N/A",Table1[[#This Row],[Std Adj Read]]="N/A"),"N/A",IF(Table1[[#This Row],[DUT Adj Read]]="N/A",IF(Table1[[#This Row],[Std Adj Read]]&lt;=Table1[[#This Row],[High Tol]],"Pass","Fail"),IF(Table1[[#This Row],[DUT Adj Read]]&lt;=Table1[[#This Row],[High Tol]],"Pass","Fail")))</f>
        <v>Fail</v>
      </c>
      <c r="AH16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3" s="1" t="b">
        <v>0</v>
      </c>
      <c r="AN1623" s="1" t="b">
        <v>0</v>
      </c>
      <c r="AO1623" s="1" t="b">
        <v>0</v>
      </c>
    </row>
    <row r="1624" spans="1:41" x14ac:dyDescent="0.25">
      <c r="A1624" s="10"/>
      <c r="B1624" s="10"/>
      <c r="C1624" s="10"/>
      <c r="D1624" s="10"/>
      <c r="E1624" s="10"/>
      <c r="F1624" s="10"/>
      <c r="G1624" s="10"/>
      <c r="H1624" s="10"/>
      <c r="I1624" s="1" t="str">
        <f t="shared" si="75"/>
        <v/>
      </c>
      <c r="J1624" s="1" t="s">
        <v>35</v>
      </c>
      <c r="K1624" s="1" t="str">
        <f t="shared" si="76"/>
        <v/>
      </c>
      <c r="L1624" s="1" t="str">
        <f t="shared" si="77"/>
        <v/>
      </c>
      <c r="M1624" s="1">
        <f>IF(OR(Table1[[#This Row],[Std Nom]]="",Table1[[#This Row],[Std Read]]=""),0,Table1[[#This Row],[Std Nom]]-Table1[[#This Row],[Std Read]])</f>
        <v>0</v>
      </c>
      <c r="N1624" s="1">
        <f>IF(Calculations!$F$5="ACCREDITED 17025 WITH UNCERTAINTIES",$N$10,0)</f>
        <v>0</v>
      </c>
      <c r="Q1624" s="1">
        <f>Table1[[#This Row],[High Tol]]-Table1[[#This Row],[Low Tol]]</f>
        <v>0</v>
      </c>
      <c r="R1624" s="1">
        <f>2*Table1[[#This Row],[Std Error]]</f>
        <v>0</v>
      </c>
      <c r="S1624" s="1" t="str">
        <f>IF(Table1[[#This Row],[High Tol]]="","N/A",IFERROR(ABS(Table1[[#This Row],[Tol Span]]/Table1[[#This Row],[Error Span]]),"N/A"))</f>
        <v>N/A</v>
      </c>
      <c r="T1624" s="1" t="str">
        <f>IF(OR(Table1[[#This Row],[Low Tol]]="",Table1[[#This Row],[High Tol]]=""),"Needs Analysis",IF(Table1[[#This Row],[Ratio]]&gt;=4,"Not Significant",IF(Table1[[#This Row],[Ratio]]&gt;=2,"Semi-Significant","Significant")))</f>
        <v>Needs Analysis</v>
      </c>
      <c r="W1624" s="1">
        <f>IF(Table1[[#This Row],[Cal Type]]&lt;&gt;"ACCREDITED 17025 WITH UNCERTAINTIES",0,"")</f>
        <v>0</v>
      </c>
      <c r="X1624" s="1" t="str">
        <f>IF(Table1[[#This Row],[DUT Read]]="","N/A",Table1[[#This Row],[Std Error]]+Table1[[#This Row],[DUT Read]]+Table1[[#This Row],[DUT Ucty]])</f>
        <v>N/A</v>
      </c>
      <c r="Y1624" s="1" t="str">
        <f>IF(Table1[[#This Row],[Std Read]]="","N/A",Table1[[#This Row],[Std Read]]+Table1[[#This Row],[Std Ucty]])</f>
        <v>N/A</v>
      </c>
      <c r="Z16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4" s="1" t="str">
        <f>IF(Table1[[#This Row],[Spec Type]]="","N/A",Table1[[#This Row],[Spec Type]])</f>
        <v>±</v>
      </c>
      <c r="AC1624" s="1" t="str">
        <f>IF(Table1[[#This Row],[Spec Type2]]="N/A","N/A",IF(AND(Table1[[#This Row],[DUT Adj Read]]&gt;=Table1[[#This Row],[Low Tol]],Table1[[#This Row],[DUT Adj Read]]&lt;=Table1[[#This Row],[High Tol]]),"Pass","Fail"))</f>
        <v>Fail</v>
      </c>
      <c r="AD1624" s="1" t="str">
        <f>IF(AND(Table1[[#This Row],[Spec Type2]]="N/A",Table1[[#This Row],[DUT Adj Read]]="N/A",Table1[[#This Row],[Std Adj Read]]="N/A"),"N/A",IF(Table1[[#This Row],[DUT Adj Read]]="N/A",IF(Table1[[#This Row],[Std Adj Read]]&gt;Table1[[#This Row],[Low Tol]],"Pass","Fail"),IF(Table1[[#This Row],[DUT Adj Read]]&gt;Table1[[#This Row],[Low Tol]],"Pass","Fail")))</f>
        <v>Pass</v>
      </c>
      <c r="AE1624" s="1" t="str">
        <f>IF(AND(Table1[[#This Row],[Spec Type2]]="N/A",Table1[[#This Row],[DUT Adj Read]]="N/A",Table1[[#This Row],[Std Adj Read]]="N/A"),"N/A",IF(Table1[[#This Row],[DUT Adj Read]]="N/A",IF(Table1[[#This Row],[Std Adj Read]]&lt;Table1[[#This Row],[High Tol]],"Pass","Fail"),IF(Table1[[#This Row],[DUT Adj Read]]&lt;Table1[[#This Row],[High Tol]],"Pass","Fail")))</f>
        <v>Fail</v>
      </c>
      <c r="AF1624" s="1" t="str">
        <f>IF(AND(Table1[[#This Row],[Spec Type2]]="N/A",Table1[[#This Row],[DUT Adj Read]]="N/A",Table1[[#This Row],[Std Adj Read]]="N/A"),"N/A",IF(Table1[[#This Row],[DUT Adj Read]]="N/A",IF(Table1[[#This Row],[Std Adj Read]]&gt;=Table1[[#This Row],[Low Tol]],"Pass","Fail"),IF(Table1[[#This Row],[DUT Adj Read]]&gt;=Table1[[#This Row],[Low Tol]],"Pass","Fail")))</f>
        <v>Pass</v>
      </c>
      <c r="AG1624" s="1" t="str">
        <f>IF(AND(Table1[[#This Row],[Spec Type2]]="N/A",Table1[[#This Row],[DUT Adj Read]]="N/A",Table1[[#This Row],[Std Adj Read]]="N/A"),"N/A",IF(Table1[[#This Row],[DUT Adj Read]]="N/A",IF(Table1[[#This Row],[Std Adj Read]]&lt;=Table1[[#This Row],[High Tol]],"Pass","Fail"),IF(Table1[[#This Row],[DUT Adj Read]]&lt;=Table1[[#This Row],[High Tol]],"Pass","Fail")))</f>
        <v>Fail</v>
      </c>
      <c r="AH16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4" s="1" t="b">
        <v>0</v>
      </c>
      <c r="AN1624" s="1" t="b">
        <v>0</v>
      </c>
      <c r="AO1624" s="1" t="b">
        <v>0</v>
      </c>
    </row>
    <row r="1625" spans="1:41" x14ac:dyDescent="0.25">
      <c r="A1625" s="10"/>
      <c r="B1625" s="10"/>
      <c r="C1625" s="10"/>
      <c r="D1625" s="10"/>
      <c r="E1625" s="10"/>
      <c r="F1625" s="10"/>
      <c r="G1625" s="10"/>
      <c r="H1625" s="10"/>
      <c r="I1625" s="1" t="str">
        <f t="shared" si="75"/>
        <v/>
      </c>
      <c r="J1625" s="1" t="s">
        <v>35</v>
      </c>
      <c r="K1625" s="1" t="str">
        <f t="shared" si="76"/>
        <v/>
      </c>
      <c r="L1625" s="1" t="str">
        <f t="shared" si="77"/>
        <v/>
      </c>
      <c r="M1625" s="1">
        <f>IF(OR(Table1[[#This Row],[Std Nom]]="",Table1[[#This Row],[Std Read]]=""),0,Table1[[#This Row],[Std Nom]]-Table1[[#This Row],[Std Read]])</f>
        <v>0</v>
      </c>
      <c r="N1625" s="1">
        <f>IF(Calculations!$F$5="ACCREDITED 17025 WITH UNCERTAINTIES",$N$10,0)</f>
        <v>0</v>
      </c>
      <c r="Q1625" s="1">
        <f>Table1[[#This Row],[High Tol]]-Table1[[#This Row],[Low Tol]]</f>
        <v>0</v>
      </c>
      <c r="R1625" s="1">
        <f>2*Table1[[#This Row],[Std Error]]</f>
        <v>0</v>
      </c>
      <c r="S1625" s="1" t="str">
        <f>IF(Table1[[#This Row],[High Tol]]="","N/A",IFERROR(ABS(Table1[[#This Row],[Tol Span]]/Table1[[#This Row],[Error Span]]),"N/A"))</f>
        <v>N/A</v>
      </c>
      <c r="T1625" s="1" t="str">
        <f>IF(OR(Table1[[#This Row],[Low Tol]]="",Table1[[#This Row],[High Tol]]=""),"Needs Analysis",IF(Table1[[#This Row],[Ratio]]&gt;=4,"Not Significant",IF(Table1[[#This Row],[Ratio]]&gt;=2,"Semi-Significant","Significant")))</f>
        <v>Needs Analysis</v>
      </c>
      <c r="W1625" s="1">
        <f>IF(Table1[[#This Row],[Cal Type]]&lt;&gt;"ACCREDITED 17025 WITH UNCERTAINTIES",0,"")</f>
        <v>0</v>
      </c>
      <c r="X1625" s="1" t="str">
        <f>IF(Table1[[#This Row],[DUT Read]]="","N/A",Table1[[#This Row],[Std Error]]+Table1[[#This Row],[DUT Read]]+Table1[[#This Row],[DUT Ucty]])</f>
        <v>N/A</v>
      </c>
      <c r="Y1625" s="1" t="str">
        <f>IF(Table1[[#This Row],[Std Read]]="","N/A",Table1[[#This Row],[Std Read]]+Table1[[#This Row],[Std Ucty]])</f>
        <v>N/A</v>
      </c>
      <c r="Z16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5" s="1" t="str">
        <f>IF(Table1[[#This Row],[Spec Type]]="","N/A",Table1[[#This Row],[Spec Type]])</f>
        <v>±</v>
      </c>
      <c r="AC1625" s="1" t="str">
        <f>IF(Table1[[#This Row],[Spec Type2]]="N/A","N/A",IF(AND(Table1[[#This Row],[DUT Adj Read]]&gt;=Table1[[#This Row],[Low Tol]],Table1[[#This Row],[DUT Adj Read]]&lt;=Table1[[#This Row],[High Tol]]),"Pass","Fail"))</f>
        <v>Fail</v>
      </c>
      <c r="AD1625" s="1" t="str">
        <f>IF(AND(Table1[[#This Row],[Spec Type2]]="N/A",Table1[[#This Row],[DUT Adj Read]]="N/A",Table1[[#This Row],[Std Adj Read]]="N/A"),"N/A",IF(Table1[[#This Row],[DUT Adj Read]]="N/A",IF(Table1[[#This Row],[Std Adj Read]]&gt;Table1[[#This Row],[Low Tol]],"Pass","Fail"),IF(Table1[[#This Row],[DUT Adj Read]]&gt;Table1[[#This Row],[Low Tol]],"Pass","Fail")))</f>
        <v>Pass</v>
      </c>
      <c r="AE1625" s="1" t="str">
        <f>IF(AND(Table1[[#This Row],[Spec Type2]]="N/A",Table1[[#This Row],[DUT Adj Read]]="N/A",Table1[[#This Row],[Std Adj Read]]="N/A"),"N/A",IF(Table1[[#This Row],[DUT Adj Read]]="N/A",IF(Table1[[#This Row],[Std Adj Read]]&lt;Table1[[#This Row],[High Tol]],"Pass","Fail"),IF(Table1[[#This Row],[DUT Adj Read]]&lt;Table1[[#This Row],[High Tol]],"Pass","Fail")))</f>
        <v>Fail</v>
      </c>
      <c r="AF1625" s="1" t="str">
        <f>IF(AND(Table1[[#This Row],[Spec Type2]]="N/A",Table1[[#This Row],[DUT Adj Read]]="N/A",Table1[[#This Row],[Std Adj Read]]="N/A"),"N/A",IF(Table1[[#This Row],[DUT Adj Read]]="N/A",IF(Table1[[#This Row],[Std Adj Read]]&gt;=Table1[[#This Row],[Low Tol]],"Pass","Fail"),IF(Table1[[#This Row],[DUT Adj Read]]&gt;=Table1[[#This Row],[Low Tol]],"Pass","Fail")))</f>
        <v>Pass</v>
      </c>
      <c r="AG1625" s="1" t="str">
        <f>IF(AND(Table1[[#This Row],[Spec Type2]]="N/A",Table1[[#This Row],[DUT Adj Read]]="N/A",Table1[[#This Row],[Std Adj Read]]="N/A"),"N/A",IF(Table1[[#This Row],[DUT Adj Read]]="N/A",IF(Table1[[#This Row],[Std Adj Read]]&lt;=Table1[[#This Row],[High Tol]],"Pass","Fail"),IF(Table1[[#This Row],[DUT Adj Read]]&lt;=Table1[[#This Row],[High Tol]],"Pass","Fail")))</f>
        <v>Fail</v>
      </c>
      <c r="AH16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5" s="1" t="b">
        <v>0</v>
      </c>
      <c r="AN1625" s="1" t="b">
        <v>0</v>
      </c>
      <c r="AO1625" s="1" t="b">
        <v>0</v>
      </c>
    </row>
    <row r="1626" spans="1:41" x14ac:dyDescent="0.25">
      <c r="A1626" s="10"/>
      <c r="B1626" s="10"/>
      <c r="C1626" s="10"/>
      <c r="D1626" s="10"/>
      <c r="E1626" s="10"/>
      <c r="F1626" s="10"/>
      <c r="G1626" s="10"/>
      <c r="H1626" s="10"/>
      <c r="I1626" s="1" t="str">
        <f t="shared" si="75"/>
        <v/>
      </c>
      <c r="J1626" s="1" t="s">
        <v>35</v>
      </c>
      <c r="K1626" s="1" t="str">
        <f t="shared" si="76"/>
        <v/>
      </c>
      <c r="L1626" s="1" t="str">
        <f t="shared" si="77"/>
        <v/>
      </c>
      <c r="M1626" s="1">
        <f>IF(OR(Table1[[#This Row],[Std Nom]]="",Table1[[#This Row],[Std Read]]=""),0,Table1[[#This Row],[Std Nom]]-Table1[[#This Row],[Std Read]])</f>
        <v>0</v>
      </c>
      <c r="N1626" s="1">
        <f>IF(Calculations!$F$5="ACCREDITED 17025 WITH UNCERTAINTIES",$N$10,0)</f>
        <v>0</v>
      </c>
      <c r="Q1626" s="1">
        <f>Table1[[#This Row],[High Tol]]-Table1[[#This Row],[Low Tol]]</f>
        <v>0</v>
      </c>
      <c r="R1626" s="1">
        <f>2*Table1[[#This Row],[Std Error]]</f>
        <v>0</v>
      </c>
      <c r="S1626" s="1" t="str">
        <f>IF(Table1[[#This Row],[High Tol]]="","N/A",IFERROR(ABS(Table1[[#This Row],[Tol Span]]/Table1[[#This Row],[Error Span]]),"N/A"))</f>
        <v>N/A</v>
      </c>
      <c r="T1626" s="1" t="str">
        <f>IF(OR(Table1[[#This Row],[Low Tol]]="",Table1[[#This Row],[High Tol]]=""),"Needs Analysis",IF(Table1[[#This Row],[Ratio]]&gt;=4,"Not Significant",IF(Table1[[#This Row],[Ratio]]&gt;=2,"Semi-Significant","Significant")))</f>
        <v>Needs Analysis</v>
      </c>
      <c r="W1626" s="1">
        <f>IF(Table1[[#This Row],[Cal Type]]&lt;&gt;"ACCREDITED 17025 WITH UNCERTAINTIES",0,"")</f>
        <v>0</v>
      </c>
      <c r="X1626" s="1" t="str">
        <f>IF(Table1[[#This Row],[DUT Read]]="","N/A",Table1[[#This Row],[Std Error]]+Table1[[#This Row],[DUT Read]]+Table1[[#This Row],[DUT Ucty]])</f>
        <v>N/A</v>
      </c>
      <c r="Y1626" s="1" t="str">
        <f>IF(Table1[[#This Row],[Std Read]]="","N/A",Table1[[#This Row],[Std Read]]+Table1[[#This Row],[Std Ucty]])</f>
        <v>N/A</v>
      </c>
      <c r="Z16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6" s="1" t="str">
        <f>IF(Table1[[#This Row],[Spec Type]]="","N/A",Table1[[#This Row],[Spec Type]])</f>
        <v>±</v>
      </c>
      <c r="AC1626" s="1" t="str">
        <f>IF(Table1[[#This Row],[Spec Type2]]="N/A","N/A",IF(AND(Table1[[#This Row],[DUT Adj Read]]&gt;=Table1[[#This Row],[Low Tol]],Table1[[#This Row],[DUT Adj Read]]&lt;=Table1[[#This Row],[High Tol]]),"Pass","Fail"))</f>
        <v>Fail</v>
      </c>
      <c r="AD1626" s="1" t="str">
        <f>IF(AND(Table1[[#This Row],[Spec Type2]]="N/A",Table1[[#This Row],[DUT Adj Read]]="N/A",Table1[[#This Row],[Std Adj Read]]="N/A"),"N/A",IF(Table1[[#This Row],[DUT Adj Read]]="N/A",IF(Table1[[#This Row],[Std Adj Read]]&gt;Table1[[#This Row],[Low Tol]],"Pass","Fail"),IF(Table1[[#This Row],[DUT Adj Read]]&gt;Table1[[#This Row],[Low Tol]],"Pass","Fail")))</f>
        <v>Pass</v>
      </c>
      <c r="AE1626" s="1" t="str">
        <f>IF(AND(Table1[[#This Row],[Spec Type2]]="N/A",Table1[[#This Row],[DUT Adj Read]]="N/A",Table1[[#This Row],[Std Adj Read]]="N/A"),"N/A",IF(Table1[[#This Row],[DUT Adj Read]]="N/A",IF(Table1[[#This Row],[Std Adj Read]]&lt;Table1[[#This Row],[High Tol]],"Pass","Fail"),IF(Table1[[#This Row],[DUT Adj Read]]&lt;Table1[[#This Row],[High Tol]],"Pass","Fail")))</f>
        <v>Fail</v>
      </c>
      <c r="AF1626" s="1" t="str">
        <f>IF(AND(Table1[[#This Row],[Spec Type2]]="N/A",Table1[[#This Row],[DUT Adj Read]]="N/A",Table1[[#This Row],[Std Adj Read]]="N/A"),"N/A",IF(Table1[[#This Row],[DUT Adj Read]]="N/A",IF(Table1[[#This Row],[Std Adj Read]]&gt;=Table1[[#This Row],[Low Tol]],"Pass","Fail"),IF(Table1[[#This Row],[DUT Adj Read]]&gt;=Table1[[#This Row],[Low Tol]],"Pass","Fail")))</f>
        <v>Pass</v>
      </c>
      <c r="AG1626" s="1" t="str">
        <f>IF(AND(Table1[[#This Row],[Spec Type2]]="N/A",Table1[[#This Row],[DUT Adj Read]]="N/A",Table1[[#This Row],[Std Adj Read]]="N/A"),"N/A",IF(Table1[[#This Row],[DUT Adj Read]]="N/A",IF(Table1[[#This Row],[Std Adj Read]]&lt;=Table1[[#This Row],[High Tol]],"Pass","Fail"),IF(Table1[[#This Row],[DUT Adj Read]]&lt;=Table1[[#This Row],[High Tol]],"Pass","Fail")))</f>
        <v>Fail</v>
      </c>
      <c r="AH16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6" s="1" t="b">
        <v>0</v>
      </c>
      <c r="AN1626" s="1" t="b">
        <v>0</v>
      </c>
      <c r="AO1626" s="1" t="b">
        <v>0</v>
      </c>
    </row>
    <row r="1627" spans="1:41" x14ac:dyDescent="0.25">
      <c r="A1627" s="10"/>
      <c r="B1627" s="10"/>
      <c r="C1627" s="10"/>
      <c r="D1627" s="10"/>
      <c r="E1627" s="10"/>
      <c r="F1627" s="10"/>
      <c r="G1627" s="10"/>
      <c r="H1627" s="10"/>
      <c r="I1627" s="1" t="str">
        <f t="shared" si="75"/>
        <v/>
      </c>
      <c r="J1627" s="1" t="s">
        <v>35</v>
      </c>
      <c r="K1627" s="1" t="str">
        <f t="shared" si="76"/>
        <v/>
      </c>
      <c r="L1627" s="1" t="str">
        <f t="shared" si="77"/>
        <v/>
      </c>
      <c r="M1627" s="1">
        <f>IF(OR(Table1[[#This Row],[Std Nom]]="",Table1[[#This Row],[Std Read]]=""),0,Table1[[#This Row],[Std Nom]]-Table1[[#This Row],[Std Read]])</f>
        <v>0</v>
      </c>
      <c r="N1627" s="1">
        <f>IF(Calculations!$F$5="ACCREDITED 17025 WITH UNCERTAINTIES",$N$10,0)</f>
        <v>0</v>
      </c>
      <c r="Q1627" s="1">
        <f>Table1[[#This Row],[High Tol]]-Table1[[#This Row],[Low Tol]]</f>
        <v>0</v>
      </c>
      <c r="R1627" s="1">
        <f>2*Table1[[#This Row],[Std Error]]</f>
        <v>0</v>
      </c>
      <c r="S1627" s="1" t="str">
        <f>IF(Table1[[#This Row],[High Tol]]="","N/A",IFERROR(ABS(Table1[[#This Row],[Tol Span]]/Table1[[#This Row],[Error Span]]),"N/A"))</f>
        <v>N/A</v>
      </c>
      <c r="T1627" s="1" t="str">
        <f>IF(OR(Table1[[#This Row],[Low Tol]]="",Table1[[#This Row],[High Tol]]=""),"Needs Analysis",IF(Table1[[#This Row],[Ratio]]&gt;=4,"Not Significant",IF(Table1[[#This Row],[Ratio]]&gt;=2,"Semi-Significant","Significant")))</f>
        <v>Needs Analysis</v>
      </c>
      <c r="W1627" s="1">
        <f>IF(Table1[[#This Row],[Cal Type]]&lt;&gt;"ACCREDITED 17025 WITH UNCERTAINTIES",0,"")</f>
        <v>0</v>
      </c>
      <c r="X1627" s="1" t="str">
        <f>IF(Table1[[#This Row],[DUT Read]]="","N/A",Table1[[#This Row],[Std Error]]+Table1[[#This Row],[DUT Read]]+Table1[[#This Row],[DUT Ucty]])</f>
        <v>N/A</v>
      </c>
      <c r="Y1627" s="1" t="str">
        <f>IF(Table1[[#This Row],[Std Read]]="","N/A",Table1[[#This Row],[Std Read]]+Table1[[#This Row],[Std Ucty]])</f>
        <v>N/A</v>
      </c>
      <c r="Z16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7" s="1" t="str">
        <f>IF(Table1[[#This Row],[Spec Type]]="","N/A",Table1[[#This Row],[Spec Type]])</f>
        <v>±</v>
      </c>
      <c r="AC1627" s="1" t="str">
        <f>IF(Table1[[#This Row],[Spec Type2]]="N/A","N/A",IF(AND(Table1[[#This Row],[DUT Adj Read]]&gt;=Table1[[#This Row],[Low Tol]],Table1[[#This Row],[DUT Adj Read]]&lt;=Table1[[#This Row],[High Tol]]),"Pass","Fail"))</f>
        <v>Fail</v>
      </c>
      <c r="AD1627" s="1" t="str">
        <f>IF(AND(Table1[[#This Row],[Spec Type2]]="N/A",Table1[[#This Row],[DUT Adj Read]]="N/A",Table1[[#This Row],[Std Adj Read]]="N/A"),"N/A",IF(Table1[[#This Row],[DUT Adj Read]]="N/A",IF(Table1[[#This Row],[Std Adj Read]]&gt;Table1[[#This Row],[Low Tol]],"Pass","Fail"),IF(Table1[[#This Row],[DUT Adj Read]]&gt;Table1[[#This Row],[Low Tol]],"Pass","Fail")))</f>
        <v>Pass</v>
      </c>
      <c r="AE1627" s="1" t="str">
        <f>IF(AND(Table1[[#This Row],[Spec Type2]]="N/A",Table1[[#This Row],[DUT Adj Read]]="N/A",Table1[[#This Row],[Std Adj Read]]="N/A"),"N/A",IF(Table1[[#This Row],[DUT Adj Read]]="N/A",IF(Table1[[#This Row],[Std Adj Read]]&lt;Table1[[#This Row],[High Tol]],"Pass","Fail"),IF(Table1[[#This Row],[DUT Adj Read]]&lt;Table1[[#This Row],[High Tol]],"Pass","Fail")))</f>
        <v>Fail</v>
      </c>
      <c r="AF1627" s="1" t="str">
        <f>IF(AND(Table1[[#This Row],[Spec Type2]]="N/A",Table1[[#This Row],[DUT Adj Read]]="N/A",Table1[[#This Row],[Std Adj Read]]="N/A"),"N/A",IF(Table1[[#This Row],[DUT Adj Read]]="N/A",IF(Table1[[#This Row],[Std Adj Read]]&gt;=Table1[[#This Row],[Low Tol]],"Pass","Fail"),IF(Table1[[#This Row],[DUT Adj Read]]&gt;=Table1[[#This Row],[Low Tol]],"Pass","Fail")))</f>
        <v>Pass</v>
      </c>
      <c r="AG1627" s="1" t="str">
        <f>IF(AND(Table1[[#This Row],[Spec Type2]]="N/A",Table1[[#This Row],[DUT Adj Read]]="N/A",Table1[[#This Row],[Std Adj Read]]="N/A"),"N/A",IF(Table1[[#This Row],[DUT Adj Read]]="N/A",IF(Table1[[#This Row],[Std Adj Read]]&lt;=Table1[[#This Row],[High Tol]],"Pass","Fail"),IF(Table1[[#This Row],[DUT Adj Read]]&lt;=Table1[[#This Row],[High Tol]],"Pass","Fail")))</f>
        <v>Fail</v>
      </c>
      <c r="AH16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7" s="1" t="b">
        <v>0</v>
      </c>
      <c r="AN1627" s="1" t="b">
        <v>0</v>
      </c>
      <c r="AO1627" s="1" t="b">
        <v>0</v>
      </c>
    </row>
    <row r="1628" spans="1:41" x14ac:dyDescent="0.25">
      <c r="A1628" s="10"/>
      <c r="B1628" s="10"/>
      <c r="C1628" s="10"/>
      <c r="D1628" s="10"/>
      <c r="E1628" s="10"/>
      <c r="F1628" s="10"/>
      <c r="G1628" s="10"/>
      <c r="H1628" s="10"/>
      <c r="I1628" s="1" t="str">
        <f t="shared" si="75"/>
        <v/>
      </c>
      <c r="J1628" s="1" t="s">
        <v>35</v>
      </c>
      <c r="K1628" s="1" t="str">
        <f t="shared" si="76"/>
        <v/>
      </c>
      <c r="L1628" s="1" t="str">
        <f t="shared" si="77"/>
        <v/>
      </c>
      <c r="M1628" s="1">
        <f>IF(OR(Table1[[#This Row],[Std Nom]]="",Table1[[#This Row],[Std Read]]=""),0,Table1[[#This Row],[Std Nom]]-Table1[[#This Row],[Std Read]])</f>
        <v>0</v>
      </c>
      <c r="N1628" s="1">
        <f>IF(Calculations!$F$5="ACCREDITED 17025 WITH UNCERTAINTIES",$N$10,0)</f>
        <v>0</v>
      </c>
      <c r="Q1628" s="1">
        <f>Table1[[#This Row],[High Tol]]-Table1[[#This Row],[Low Tol]]</f>
        <v>0</v>
      </c>
      <c r="R1628" s="1">
        <f>2*Table1[[#This Row],[Std Error]]</f>
        <v>0</v>
      </c>
      <c r="S1628" s="1" t="str">
        <f>IF(Table1[[#This Row],[High Tol]]="","N/A",IFERROR(ABS(Table1[[#This Row],[Tol Span]]/Table1[[#This Row],[Error Span]]),"N/A"))</f>
        <v>N/A</v>
      </c>
      <c r="T1628" s="1" t="str">
        <f>IF(OR(Table1[[#This Row],[Low Tol]]="",Table1[[#This Row],[High Tol]]=""),"Needs Analysis",IF(Table1[[#This Row],[Ratio]]&gt;=4,"Not Significant",IF(Table1[[#This Row],[Ratio]]&gt;=2,"Semi-Significant","Significant")))</f>
        <v>Needs Analysis</v>
      </c>
      <c r="W1628" s="1">
        <f>IF(Table1[[#This Row],[Cal Type]]&lt;&gt;"ACCREDITED 17025 WITH UNCERTAINTIES",0,"")</f>
        <v>0</v>
      </c>
      <c r="X1628" s="1" t="str">
        <f>IF(Table1[[#This Row],[DUT Read]]="","N/A",Table1[[#This Row],[Std Error]]+Table1[[#This Row],[DUT Read]]+Table1[[#This Row],[DUT Ucty]])</f>
        <v>N/A</v>
      </c>
      <c r="Y1628" s="1" t="str">
        <f>IF(Table1[[#This Row],[Std Read]]="","N/A",Table1[[#This Row],[Std Read]]+Table1[[#This Row],[Std Ucty]])</f>
        <v>N/A</v>
      </c>
      <c r="Z16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8" s="1" t="str">
        <f>IF(Table1[[#This Row],[Spec Type]]="","N/A",Table1[[#This Row],[Spec Type]])</f>
        <v>±</v>
      </c>
      <c r="AC1628" s="1" t="str">
        <f>IF(Table1[[#This Row],[Spec Type2]]="N/A","N/A",IF(AND(Table1[[#This Row],[DUT Adj Read]]&gt;=Table1[[#This Row],[Low Tol]],Table1[[#This Row],[DUT Adj Read]]&lt;=Table1[[#This Row],[High Tol]]),"Pass","Fail"))</f>
        <v>Fail</v>
      </c>
      <c r="AD1628" s="1" t="str">
        <f>IF(AND(Table1[[#This Row],[Spec Type2]]="N/A",Table1[[#This Row],[DUT Adj Read]]="N/A",Table1[[#This Row],[Std Adj Read]]="N/A"),"N/A",IF(Table1[[#This Row],[DUT Adj Read]]="N/A",IF(Table1[[#This Row],[Std Adj Read]]&gt;Table1[[#This Row],[Low Tol]],"Pass","Fail"),IF(Table1[[#This Row],[DUT Adj Read]]&gt;Table1[[#This Row],[Low Tol]],"Pass","Fail")))</f>
        <v>Pass</v>
      </c>
      <c r="AE1628" s="1" t="str">
        <f>IF(AND(Table1[[#This Row],[Spec Type2]]="N/A",Table1[[#This Row],[DUT Adj Read]]="N/A",Table1[[#This Row],[Std Adj Read]]="N/A"),"N/A",IF(Table1[[#This Row],[DUT Adj Read]]="N/A",IF(Table1[[#This Row],[Std Adj Read]]&lt;Table1[[#This Row],[High Tol]],"Pass","Fail"),IF(Table1[[#This Row],[DUT Adj Read]]&lt;Table1[[#This Row],[High Tol]],"Pass","Fail")))</f>
        <v>Fail</v>
      </c>
      <c r="AF1628" s="1" t="str">
        <f>IF(AND(Table1[[#This Row],[Spec Type2]]="N/A",Table1[[#This Row],[DUT Adj Read]]="N/A",Table1[[#This Row],[Std Adj Read]]="N/A"),"N/A",IF(Table1[[#This Row],[DUT Adj Read]]="N/A",IF(Table1[[#This Row],[Std Adj Read]]&gt;=Table1[[#This Row],[Low Tol]],"Pass","Fail"),IF(Table1[[#This Row],[DUT Adj Read]]&gt;=Table1[[#This Row],[Low Tol]],"Pass","Fail")))</f>
        <v>Pass</v>
      </c>
      <c r="AG1628" s="1" t="str">
        <f>IF(AND(Table1[[#This Row],[Spec Type2]]="N/A",Table1[[#This Row],[DUT Adj Read]]="N/A",Table1[[#This Row],[Std Adj Read]]="N/A"),"N/A",IF(Table1[[#This Row],[DUT Adj Read]]="N/A",IF(Table1[[#This Row],[Std Adj Read]]&lt;=Table1[[#This Row],[High Tol]],"Pass","Fail"),IF(Table1[[#This Row],[DUT Adj Read]]&lt;=Table1[[#This Row],[High Tol]],"Pass","Fail")))</f>
        <v>Fail</v>
      </c>
      <c r="AH16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8" s="1" t="b">
        <v>0</v>
      </c>
      <c r="AN1628" s="1" t="b">
        <v>0</v>
      </c>
      <c r="AO1628" s="1" t="b">
        <v>0</v>
      </c>
    </row>
    <row r="1629" spans="1:41" x14ac:dyDescent="0.25">
      <c r="A1629" s="10"/>
      <c r="B1629" s="10"/>
      <c r="C1629" s="10"/>
      <c r="D1629" s="10"/>
      <c r="E1629" s="10"/>
      <c r="F1629" s="10"/>
      <c r="G1629" s="10"/>
      <c r="H1629" s="10"/>
      <c r="I1629" s="1" t="str">
        <f t="shared" si="75"/>
        <v/>
      </c>
      <c r="J1629" s="1" t="s">
        <v>35</v>
      </c>
      <c r="K1629" s="1" t="str">
        <f t="shared" si="76"/>
        <v/>
      </c>
      <c r="L1629" s="1" t="str">
        <f t="shared" si="77"/>
        <v/>
      </c>
      <c r="M1629" s="1">
        <f>IF(OR(Table1[[#This Row],[Std Nom]]="",Table1[[#This Row],[Std Read]]=""),0,Table1[[#This Row],[Std Nom]]-Table1[[#This Row],[Std Read]])</f>
        <v>0</v>
      </c>
      <c r="N1629" s="1">
        <f>IF(Calculations!$F$5="ACCREDITED 17025 WITH UNCERTAINTIES",$N$10,0)</f>
        <v>0</v>
      </c>
      <c r="Q1629" s="1">
        <f>Table1[[#This Row],[High Tol]]-Table1[[#This Row],[Low Tol]]</f>
        <v>0</v>
      </c>
      <c r="R1629" s="1">
        <f>2*Table1[[#This Row],[Std Error]]</f>
        <v>0</v>
      </c>
      <c r="S1629" s="1" t="str">
        <f>IF(Table1[[#This Row],[High Tol]]="","N/A",IFERROR(ABS(Table1[[#This Row],[Tol Span]]/Table1[[#This Row],[Error Span]]),"N/A"))</f>
        <v>N/A</v>
      </c>
      <c r="T1629" s="1" t="str">
        <f>IF(OR(Table1[[#This Row],[Low Tol]]="",Table1[[#This Row],[High Tol]]=""),"Needs Analysis",IF(Table1[[#This Row],[Ratio]]&gt;=4,"Not Significant",IF(Table1[[#This Row],[Ratio]]&gt;=2,"Semi-Significant","Significant")))</f>
        <v>Needs Analysis</v>
      </c>
      <c r="W1629" s="1">
        <f>IF(Table1[[#This Row],[Cal Type]]&lt;&gt;"ACCREDITED 17025 WITH UNCERTAINTIES",0,"")</f>
        <v>0</v>
      </c>
      <c r="X1629" s="1" t="str">
        <f>IF(Table1[[#This Row],[DUT Read]]="","N/A",Table1[[#This Row],[Std Error]]+Table1[[#This Row],[DUT Read]]+Table1[[#This Row],[DUT Ucty]])</f>
        <v>N/A</v>
      </c>
      <c r="Y1629" s="1" t="str">
        <f>IF(Table1[[#This Row],[Std Read]]="","N/A",Table1[[#This Row],[Std Read]]+Table1[[#This Row],[Std Ucty]])</f>
        <v>N/A</v>
      </c>
      <c r="Z16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29" s="1" t="str">
        <f>IF(Table1[[#This Row],[Spec Type]]="","N/A",Table1[[#This Row],[Spec Type]])</f>
        <v>±</v>
      </c>
      <c r="AC1629" s="1" t="str">
        <f>IF(Table1[[#This Row],[Spec Type2]]="N/A","N/A",IF(AND(Table1[[#This Row],[DUT Adj Read]]&gt;=Table1[[#This Row],[Low Tol]],Table1[[#This Row],[DUT Adj Read]]&lt;=Table1[[#This Row],[High Tol]]),"Pass","Fail"))</f>
        <v>Fail</v>
      </c>
      <c r="AD1629" s="1" t="str">
        <f>IF(AND(Table1[[#This Row],[Spec Type2]]="N/A",Table1[[#This Row],[DUT Adj Read]]="N/A",Table1[[#This Row],[Std Adj Read]]="N/A"),"N/A",IF(Table1[[#This Row],[DUT Adj Read]]="N/A",IF(Table1[[#This Row],[Std Adj Read]]&gt;Table1[[#This Row],[Low Tol]],"Pass","Fail"),IF(Table1[[#This Row],[DUT Adj Read]]&gt;Table1[[#This Row],[Low Tol]],"Pass","Fail")))</f>
        <v>Pass</v>
      </c>
      <c r="AE1629" s="1" t="str">
        <f>IF(AND(Table1[[#This Row],[Spec Type2]]="N/A",Table1[[#This Row],[DUT Adj Read]]="N/A",Table1[[#This Row],[Std Adj Read]]="N/A"),"N/A",IF(Table1[[#This Row],[DUT Adj Read]]="N/A",IF(Table1[[#This Row],[Std Adj Read]]&lt;Table1[[#This Row],[High Tol]],"Pass","Fail"),IF(Table1[[#This Row],[DUT Adj Read]]&lt;Table1[[#This Row],[High Tol]],"Pass","Fail")))</f>
        <v>Fail</v>
      </c>
      <c r="AF1629" s="1" t="str">
        <f>IF(AND(Table1[[#This Row],[Spec Type2]]="N/A",Table1[[#This Row],[DUT Adj Read]]="N/A",Table1[[#This Row],[Std Adj Read]]="N/A"),"N/A",IF(Table1[[#This Row],[DUT Adj Read]]="N/A",IF(Table1[[#This Row],[Std Adj Read]]&gt;=Table1[[#This Row],[Low Tol]],"Pass","Fail"),IF(Table1[[#This Row],[DUT Adj Read]]&gt;=Table1[[#This Row],[Low Tol]],"Pass","Fail")))</f>
        <v>Pass</v>
      </c>
      <c r="AG1629" s="1" t="str">
        <f>IF(AND(Table1[[#This Row],[Spec Type2]]="N/A",Table1[[#This Row],[DUT Adj Read]]="N/A",Table1[[#This Row],[Std Adj Read]]="N/A"),"N/A",IF(Table1[[#This Row],[DUT Adj Read]]="N/A",IF(Table1[[#This Row],[Std Adj Read]]&lt;=Table1[[#This Row],[High Tol]],"Pass","Fail"),IF(Table1[[#This Row],[DUT Adj Read]]&lt;=Table1[[#This Row],[High Tol]],"Pass","Fail")))</f>
        <v>Fail</v>
      </c>
      <c r="AH16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29" s="1" t="b">
        <v>0</v>
      </c>
      <c r="AN1629" s="1" t="b">
        <v>0</v>
      </c>
      <c r="AO1629" s="1" t="b">
        <v>0</v>
      </c>
    </row>
    <row r="1630" spans="1:41" x14ac:dyDescent="0.25">
      <c r="A1630" s="10"/>
      <c r="B1630" s="10"/>
      <c r="C1630" s="10"/>
      <c r="D1630" s="10"/>
      <c r="E1630" s="10"/>
      <c r="F1630" s="10"/>
      <c r="G1630" s="10"/>
      <c r="H1630" s="10"/>
      <c r="I1630" s="1" t="str">
        <f t="shared" si="75"/>
        <v/>
      </c>
      <c r="J1630" s="1" t="s">
        <v>35</v>
      </c>
      <c r="K1630" s="1" t="str">
        <f t="shared" si="76"/>
        <v/>
      </c>
      <c r="L1630" s="1" t="str">
        <f t="shared" si="77"/>
        <v/>
      </c>
      <c r="M1630" s="1">
        <f>IF(OR(Table1[[#This Row],[Std Nom]]="",Table1[[#This Row],[Std Read]]=""),0,Table1[[#This Row],[Std Nom]]-Table1[[#This Row],[Std Read]])</f>
        <v>0</v>
      </c>
      <c r="N1630" s="1">
        <f>IF(Calculations!$F$5="ACCREDITED 17025 WITH UNCERTAINTIES",$N$10,0)</f>
        <v>0</v>
      </c>
      <c r="Q1630" s="1">
        <f>Table1[[#This Row],[High Tol]]-Table1[[#This Row],[Low Tol]]</f>
        <v>0</v>
      </c>
      <c r="R1630" s="1">
        <f>2*Table1[[#This Row],[Std Error]]</f>
        <v>0</v>
      </c>
      <c r="S1630" s="1" t="str">
        <f>IF(Table1[[#This Row],[High Tol]]="","N/A",IFERROR(ABS(Table1[[#This Row],[Tol Span]]/Table1[[#This Row],[Error Span]]),"N/A"))</f>
        <v>N/A</v>
      </c>
      <c r="T1630" s="1" t="str">
        <f>IF(OR(Table1[[#This Row],[Low Tol]]="",Table1[[#This Row],[High Tol]]=""),"Needs Analysis",IF(Table1[[#This Row],[Ratio]]&gt;=4,"Not Significant",IF(Table1[[#This Row],[Ratio]]&gt;=2,"Semi-Significant","Significant")))</f>
        <v>Needs Analysis</v>
      </c>
      <c r="W1630" s="1">
        <f>IF(Table1[[#This Row],[Cal Type]]&lt;&gt;"ACCREDITED 17025 WITH UNCERTAINTIES",0,"")</f>
        <v>0</v>
      </c>
      <c r="X1630" s="1" t="str">
        <f>IF(Table1[[#This Row],[DUT Read]]="","N/A",Table1[[#This Row],[Std Error]]+Table1[[#This Row],[DUT Read]]+Table1[[#This Row],[DUT Ucty]])</f>
        <v>N/A</v>
      </c>
      <c r="Y1630" s="1" t="str">
        <f>IF(Table1[[#This Row],[Std Read]]="","N/A",Table1[[#This Row],[Std Read]]+Table1[[#This Row],[Std Ucty]])</f>
        <v>N/A</v>
      </c>
      <c r="Z16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0" s="1" t="str">
        <f>IF(Table1[[#This Row],[Spec Type]]="","N/A",Table1[[#This Row],[Spec Type]])</f>
        <v>±</v>
      </c>
      <c r="AC1630" s="1" t="str">
        <f>IF(Table1[[#This Row],[Spec Type2]]="N/A","N/A",IF(AND(Table1[[#This Row],[DUT Adj Read]]&gt;=Table1[[#This Row],[Low Tol]],Table1[[#This Row],[DUT Adj Read]]&lt;=Table1[[#This Row],[High Tol]]),"Pass","Fail"))</f>
        <v>Fail</v>
      </c>
      <c r="AD1630" s="1" t="str">
        <f>IF(AND(Table1[[#This Row],[Spec Type2]]="N/A",Table1[[#This Row],[DUT Adj Read]]="N/A",Table1[[#This Row],[Std Adj Read]]="N/A"),"N/A",IF(Table1[[#This Row],[DUT Adj Read]]="N/A",IF(Table1[[#This Row],[Std Adj Read]]&gt;Table1[[#This Row],[Low Tol]],"Pass","Fail"),IF(Table1[[#This Row],[DUT Adj Read]]&gt;Table1[[#This Row],[Low Tol]],"Pass","Fail")))</f>
        <v>Pass</v>
      </c>
      <c r="AE1630" s="1" t="str">
        <f>IF(AND(Table1[[#This Row],[Spec Type2]]="N/A",Table1[[#This Row],[DUT Adj Read]]="N/A",Table1[[#This Row],[Std Adj Read]]="N/A"),"N/A",IF(Table1[[#This Row],[DUT Adj Read]]="N/A",IF(Table1[[#This Row],[Std Adj Read]]&lt;Table1[[#This Row],[High Tol]],"Pass","Fail"),IF(Table1[[#This Row],[DUT Adj Read]]&lt;Table1[[#This Row],[High Tol]],"Pass","Fail")))</f>
        <v>Fail</v>
      </c>
      <c r="AF1630" s="1" t="str">
        <f>IF(AND(Table1[[#This Row],[Spec Type2]]="N/A",Table1[[#This Row],[DUT Adj Read]]="N/A",Table1[[#This Row],[Std Adj Read]]="N/A"),"N/A",IF(Table1[[#This Row],[DUT Adj Read]]="N/A",IF(Table1[[#This Row],[Std Adj Read]]&gt;=Table1[[#This Row],[Low Tol]],"Pass","Fail"),IF(Table1[[#This Row],[DUT Adj Read]]&gt;=Table1[[#This Row],[Low Tol]],"Pass","Fail")))</f>
        <v>Pass</v>
      </c>
      <c r="AG1630" s="1" t="str">
        <f>IF(AND(Table1[[#This Row],[Spec Type2]]="N/A",Table1[[#This Row],[DUT Adj Read]]="N/A",Table1[[#This Row],[Std Adj Read]]="N/A"),"N/A",IF(Table1[[#This Row],[DUT Adj Read]]="N/A",IF(Table1[[#This Row],[Std Adj Read]]&lt;=Table1[[#This Row],[High Tol]],"Pass","Fail"),IF(Table1[[#This Row],[DUT Adj Read]]&lt;=Table1[[#This Row],[High Tol]],"Pass","Fail")))</f>
        <v>Fail</v>
      </c>
      <c r="AH16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0" s="1" t="b">
        <v>0</v>
      </c>
      <c r="AN1630" s="1" t="b">
        <v>0</v>
      </c>
      <c r="AO1630" s="1" t="b">
        <v>0</v>
      </c>
    </row>
    <row r="1631" spans="1:41" x14ac:dyDescent="0.25">
      <c r="A1631" s="10"/>
      <c r="B1631" s="10"/>
      <c r="C1631" s="10"/>
      <c r="D1631" s="10"/>
      <c r="E1631" s="10"/>
      <c r="F1631" s="10"/>
      <c r="G1631" s="10"/>
      <c r="H1631" s="10"/>
      <c r="I1631" s="1" t="str">
        <f t="shared" si="75"/>
        <v/>
      </c>
      <c r="J1631" s="1" t="s">
        <v>35</v>
      </c>
      <c r="K1631" s="1" t="str">
        <f t="shared" si="76"/>
        <v/>
      </c>
      <c r="L1631" s="1" t="str">
        <f t="shared" si="77"/>
        <v/>
      </c>
      <c r="M1631" s="1">
        <f>IF(OR(Table1[[#This Row],[Std Nom]]="",Table1[[#This Row],[Std Read]]=""),0,Table1[[#This Row],[Std Nom]]-Table1[[#This Row],[Std Read]])</f>
        <v>0</v>
      </c>
      <c r="N1631" s="1">
        <f>IF(Calculations!$F$5="ACCREDITED 17025 WITH UNCERTAINTIES",$N$10,0)</f>
        <v>0</v>
      </c>
      <c r="Q1631" s="1">
        <f>Table1[[#This Row],[High Tol]]-Table1[[#This Row],[Low Tol]]</f>
        <v>0</v>
      </c>
      <c r="R1631" s="1">
        <f>2*Table1[[#This Row],[Std Error]]</f>
        <v>0</v>
      </c>
      <c r="S1631" s="1" t="str">
        <f>IF(Table1[[#This Row],[High Tol]]="","N/A",IFERROR(ABS(Table1[[#This Row],[Tol Span]]/Table1[[#This Row],[Error Span]]),"N/A"))</f>
        <v>N/A</v>
      </c>
      <c r="T1631" s="1" t="str">
        <f>IF(OR(Table1[[#This Row],[Low Tol]]="",Table1[[#This Row],[High Tol]]=""),"Needs Analysis",IF(Table1[[#This Row],[Ratio]]&gt;=4,"Not Significant",IF(Table1[[#This Row],[Ratio]]&gt;=2,"Semi-Significant","Significant")))</f>
        <v>Needs Analysis</v>
      </c>
      <c r="W1631" s="1">
        <f>IF(Table1[[#This Row],[Cal Type]]&lt;&gt;"ACCREDITED 17025 WITH UNCERTAINTIES",0,"")</f>
        <v>0</v>
      </c>
      <c r="X1631" s="1" t="str">
        <f>IF(Table1[[#This Row],[DUT Read]]="","N/A",Table1[[#This Row],[Std Error]]+Table1[[#This Row],[DUT Read]]+Table1[[#This Row],[DUT Ucty]])</f>
        <v>N/A</v>
      </c>
      <c r="Y1631" s="1" t="str">
        <f>IF(Table1[[#This Row],[Std Read]]="","N/A",Table1[[#This Row],[Std Read]]+Table1[[#This Row],[Std Ucty]])</f>
        <v>N/A</v>
      </c>
      <c r="Z16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1" s="1" t="str">
        <f>IF(Table1[[#This Row],[Spec Type]]="","N/A",Table1[[#This Row],[Spec Type]])</f>
        <v>±</v>
      </c>
      <c r="AC1631" s="1" t="str">
        <f>IF(Table1[[#This Row],[Spec Type2]]="N/A","N/A",IF(AND(Table1[[#This Row],[DUT Adj Read]]&gt;=Table1[[#This Row],[Low Tol]],Table1[[#This Row],[DUT Adj Read]]&lt;=Table1[[#This Row],[High Tol]]),"Pass","Fail"))</f>
        <v>Fail</v>
      </c>
      <c r="AD1631" s="1" t="str">
        <f>IF(AND(Table1[[#This Row],[Spec Type2]]="N/A",Table1[[#This Row],[DUT Adj Read]]="N/A",Table1[[#This Row],[Std Adj Read]]="N/A"),"N/A",IF(Table1[[#This Row],[DUT Adj Read]]="N/A",IF(Table1[[#This Row],[Std Adj Read]]&gt;Table1[[#This Row],[Low Tol]],"Pass","Fail"),IF(Table1[[#This Row],[DUT Adj Read]]&gt;Table1[[#This Row],[Low Tol]],"Pass","Fail")))</f>
        <v>Pass</v>
      </c>
      <c r="AE1631" s="1" t="str">
        <f>IF(AND(Table1[[#This Row],[Spec Type2]]="N/A",Table1[[#This Row],[DUT Adj Read]]="N/A",Table1[[#This Row],[Std Adj Read]]="N/A"),"N/A",IF(Table1[[#This Row],[DUT Adj Read]]="N/A",IF(Table1[[#This Row],[Std Adj Read]]&lt;Table1[[#This Row],[High Tol]],"Pass","Fail"),IF(Table1[[#This Row],[DUT Adj Read]]&lt;Table1[[#This Row],[High Tol]],"Pass","Fail")))</f>
        <v>Fail</v>
      </c>
      <c r="AF1631" s="1" t="str">
        <f>IF(AND(Table1[[#This Row],[Spec Type2]]="N/A",Table1[[#This Row],[DUT Adj Read]]="N/A",Table1[[#This Row],[Std Adj Read]]="N/A"),"N/A",IF(Table1[[#This Row],[DUT Adj Read]]="N/A",IF(Table1[[#This Row],[Std Adj Read]]&gt;=Table1[[#This Row],[Low Tol]],"Pass","Fail"),IF(Table1[[#This Row],[DUT Adj Read]]&gt;=Table1[[#This Row],[Low Tol]],"Pass","Fail")))</f>
        <v>Pass</v>
      </c>
      <c r="AG1631" s="1" t="str">
        <f>IF(AND(Table1[[#This Row],[Spec Type2]]="N/A",Table1[[#This Row],[DUT Adj Read]]="N/A",Table1[[#This Row],[Std Adj Read]]="N/A"),"N/A",IF(Table1[[#This Row],[DUT Adj Read]]="N/A",IF(Table1[[#This Row],[Std Adj Read]]&lt;=Table1[[#This Row],[High Tol]],"Pass","Fail"),IF(Table1[[#This Row],[DUT Adj Read]]&lt;=Table1[[#This Row],[High Tol]],"Pass","Fail")))</f>
        <v>Fail</v>
      </c>
      <c r="AH16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1" s="1" t="b">
        <v>0</v>
      </c>
      <c r="AN1631" s="1" t="b">
        <v>0</v>
      </c>
      <c r="AO1631" s="1" t="b">
        <v>0</v>
      </c>
    </row>
    <row r="1632" spans="1:41" x14ac:dyDescent="0.25">
      <c r="A1632" s="10"/>
      <c r="B1632" s="10"/>
      <c r="C1632" s="10"/>
      <c r="D1632" s="10"/>
      <c r="E1632" s="10"/>
      <c r="F1632" s="10"/>
      <c r="G1632" s="10"/>
      <c r="H1632" s="10"/>
      <c r="I1632" s="1" t="str">
        <f t="shared" si="75"/>
        <v/>
      </c>
      <c r="J1632" s="1" t="s">
        <v>35</v>
      </c>
      <c r="K1632" s="1" t="str">
        <f t="shared" si="76"/>
        <v/>
      </c>
      <c r="L1632" s="1" t="str">
        <f t="shared" si="77"/>
        <v/>
      </c>
      <c r="M1632" s="1">
        <f>IF(OR(Table1[[#This Row],[Std Nom]]="",Table1[[#This Row],[Std Read]]=""),0,Table1[[#This Row],[Std Nom]]-Table1[[#This Row],[Std Read]])</f>
        <v>0</v>
      </c>
      <c r="N1632" s="1">
        <f>IF(Calculations!$F$5="ACCREDITED 17025 WITH UNCERTAINTIES",$N$10,0)</f>
        <v>0</v>
      </c>
      <c r="Q1632" s="1">
        <f>Table1[[#This Row],[High Tol]]-Table1[[#This Row],[Low Tol]]</f>
        <v>0</v>
      </c>
      <c r="R1632" s="1">
        <f>2*Table1[[#This Row],[Std Error]]</f>
        <v>0</v>
      </c>
      <c r="S1632" s="1" t="str">
        <f>IF(Table1[[#This Row],[High Tol]]="","N/A",IFERROR(ABS(Table1[[#This Row],[Tol Span]]/Table1[[#This Row],[Error Span]]),"N/A"))</f>
        <v>N/A</v>
      </c>
      <c r="T1632" s="1" t="str">
        <f>IF(OR(Table1[[#This Row],[Low Tol]]="",Table1[[#This Row],[High Tol]]=""),"Needs Analysis",IF(Table1[[#This Row],[Ratio]]&gt;=4,"Not Significant",IF(Table1[[#This Row],[Ratio]]&gt;=2,"Semi-Significant","Significant")))</f>
        <v>Needs Analysis</v>
      </c>
      <c r="W1632" s="1">
        <f>IF(Table1[[#This Row],[Cal Type]]&lt;&gt;"ACCREDITED 17025 WITH UNCERTAINTIES",0,"")</f>
        <v>0</v>
      </c>
      <c r="X1632" s="1" t="str">
        <f>IF(Table1[[#This Row],[DUT Read]]="","N/A",Table1[[#This Row],[Std Error]]+Table1[[#This Row],[DUT Read]]+Table1[[#This Row],[DUT Ucty]])</f>
        <v>N/A</v>
      </c>
      <c r="Y1632" s="1" t="str">
        <f>IF(Table1[[#This Row],[Std Read]]="","N/A",Table1[[#This Row],[Std Read]]+Table1[[#This Row],[Std Ucty]])</f>
        <v>N/A</v>
      </c>
      <c r="Z16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2" s="1" t="str">
        <f>IF(Table1[[#This Row],[Spec Type]]="","N/A",Table1[[#This Row],[Spec Type]])</f>
        <v>±</v>
      </c>
      <c r="AC1632" s="1" t="str">
        <f>IF(Table1[[#This Row],[Spec Type2]]="N/A","N/A",IF(AND(Table1[[#This Row],[DUT Adj Read]]&gt;=Table1[[#This Row],[Low Tol]],Table1[[#This Row],[DUT Adj Read]]&lt;=Table1[[#This Row],[High Tol]]),"Pass","Fail"))</f>
        <v>Fail</v>
      </c>
      <c r="AD1632" s="1" t="str">
        <f>IF(AND(Table1[[#This Row],[Spec Type2]]="N/A",Table1[[#This Row],[DUT Adj Read]]="N/A",Table1[[#This Row],[Std Adj Read]]="N/A"),"N/A",IF(Table1[[#This Row],[DUT Adj Read]]="N/A",IF(Table1[[#This Row],[Std Adj Read]]&gt;Table1[[#This Row],[Low Tol]],"Pass","Fail"),IF(Table1[[#This Row],[DUT Adj Read]]&gt;Table1[[#This Row],[Low Tol]],"Pass","Fail")))</f>
        <v>Pass</v>
      </c>
      <c r="AE1632" s="1" t="str">
        <f>IF(AND(Table1[[#This Row],[Spec Type2]]="N/A",Table1[[#This Row],[DUT Adj Read]]="N/A",Table1[[#This Row],[Std Adj Read]]="N/A"),"N/A",IF(Table1[[#This Row],[DUT Adj Read]]="N/A",IF(Table1[[#This Row],[Std Adj Read]]&lt;Table1[[#This Row],[High Tol]],"Pass","Fail"),IF(Table1[[#This Row],[DUT Adj Read]]&lt;Table1[[#This Row],[High Tol]],"Pass","Fail")))</f>
        <v>Fail</v>
      </c>
      <c r="AF1632" s="1" t="str">
        <f>IF(AND(Table1[[#This Row],[Spec Type2]]="N/A",Table1[[#This Row],[DUT Adj Read]]="N/A",Table1[[#This Row],[Std Adj Read]]="N/A"),"N/A",IF(Table1[[#This Row],[DUT Adj Read]]="N/A",IF(Table1[[#This Row],[Std Adj Read]]&gt;=Table1[[#This Row],[Low Tol]],"Pass","Fail"),IF(Table1[[#This Row],[DUT Adj Read]]&gt;=Table1[[#This Row],[Low Tol]],"Pass","Fail")))</f>
        <v>Pass</v>
      </c>
      <c r="AG1632" s="1" t="str">
        <f>IF(AND(Table1[[#This Row],[Spec Type2]]="N/A",Table1[[#This Row],[DUT Adj Read]]="N/A",Table1[[#This Row],[Std Adj Read]]="N/A"),"N/A",IF(Table1[[#This Row],[DUT Adj Read]]="N/A",IF(Table1[[#This Row],[Std Adj Read]]&lt;=Table1[[#This Row],[High Tol]],"Pass","Fail"),IF(Table1[[#This Row],[DUT Adj Read]]&lt;=Table1[[#This Row],[High Tol]],"Pass","Fail")))</f>
        <v>Fail</v>
      </c>
      <c r="AH16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2" s="1" t="b">
        <v>0</v>
      </c>
      <c r="AN1632" s="1" t="b">
        <v>0</v>
      </c>
      <c r="AO1632" s="1" t="b">
        <v>0</v>
      </c>
    </row>
    <row r="1633" spans="1:41" x14ac:dyDescent="0.25">
      <c r="A1633" s="10"/>
      <c r="B1633" s="10"/>
      <c r="C1633" s="10"/>
      <c r="D1633" s="10"/>
      <c r="E1633" s="10"/>
      <c r="F1633" s="10"/>
      <c r="G1633" s="10"/>
      <c r="H1633" s="10"/>
      <c r="I1633" s="1" t="str">
        <f t="shared" si="75"/>
        <v/>
      </c>
      <c r="J1633" s="1" t="s">
        <v>35</v>
      </c>
      <c r="K1633" s="1" t="str">
        <f t="shared" si="76"/>
        <v/>
      </c>
      <c r="L1633" s="1" t="str">
        <f t="shared" si="77"/>
        <v/>
      </c>
      <c r="M1633" s="1">
        <f>IF(OR(Table1[[#This Row],[Std Nom]]="",Table1[[#This Row],[Std Read]]=""),0,Table1[[#This Row],[Std Nom]]-Table1[[#This Row],[Std Read]])</f>
        <v>0</v>
      </c>
      <c r="N1633" s="1">
        <f>IF(Calculations!$F$5="ACCREDITED 17025 WITH UNCERTAINTIES",$N$10,0)</f>
        <v>0</v>
      </c>
      <c r="Q1633" s="1">
        <f>Table1[[#This Row],[High Tol]]-Table1[[#This Row],[Low Tol]]</f>
        <v>0</v>
      </c>
      <c r="R1633" s="1">
        <f>2*Table1[[#This Row],[Std Error]]</f>
        <v>0</v>
      </c>
      <c r="S1633" s="1" t="str">
        <f>IF(Table1[[#This Row],[High Tol]]="","N/A",IFERROR(ABS(Table1[[#This Row],[Tol Span]]/Table1[[#This Row],[Error Span]]),"N/A"))</f>
        <v>N/A</v>
      </c>
      <c r="T1633" s="1" t="str">
        <f>IF(OR(Table1[[#This Row],[Low Tol]]="",Table1[[#This Row],[High Tol]]=""),"Needs Analysis",IF(Table1[[#This Row],[Ratio]]&gt;=4,"Not Significant",IF(Table1[[#This Row],[Ratio]]&gt;=2,"Semi-Significant","Significant")))</f>
        <v>Needs Analysis</v>
      </c>
      <c r="W1633" s="1">
        <f>IF(Table1[[#This Row],[Cal Type]]&lt;&gt;"ACCREDITED 17025 WITH UNCERTAINTIES",0,"")</f>
        <v>0</v>
      </c>
      <c r="X1633" s="1" t="str">
        <f>IF(Table1[[#This Row],[DUT Read]]="","N/A",Table1[[#This Row],[Std Error]]+Table1[[#This Row],[DUT Read]]+Table1[[#This Row],[DUT Ucty]])</f>
        <v>N/A</v>
      </c>
      <c r="Y1633" s="1" t="str">
        <f>IF(Table1[[#This Row],[Std Read]]="","N/A",Table1[[#This Row],[Std Read]]+Table1[[#This Row],[Std Ucty]])</f>
        <v>N/A</v>
      </c>
      <c r="Z16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3" s="1" t="str">
        <f>IF(Table1[[#This Row],[Spec Type]]="","N/A",Table1[[#This Row],[Spec Type]])</f>
        <v>±</v>
      </c>
      <c r="AC1633" s="1" t="str">
        <f>IF(Table1[[#This Row],[Spec Type2]]="N/A","N/A",IF(AND(Table1[[#This Row],[DUT Adj Read]]&gt;=Table1[[#This Row],[Low Tol]],Table1[[#This Row],[DUT Adj Read]]&lt;=Table1[[#This Row],[High Tol]]),"Pass","Fail"))</f>
        <v>Fail</v>
      </c>
      <c r="AD1633" s="1" t="str">
        <f>IF(AND(Table1[[#This Row],[Spec Type2]]="N/A",Table1[[#This Row],[DUT Adj Read]]="N/A",Table1[[#This Row],[Std Adj Read]]="N/A"),"N/A",IF(Table1[[#This Row],[DUT Adj Read]]="N/A",IF(Table1[[#This Row],[Std Adj Read]]&gt;Table1[[#This Row],[Low Tol]],"Pass","Fail"),IF(Table1[[#This Row],[DUT Adj Read]]&gt;Table1[[#This Row],[Low Tol]],"Pass","Fail")))</f>
        <v>Pass</v>
      </c>
      <c r="AE1633" s="1" t="str">
        <f>IF(AND(Table1[[#This Row],[Spec Type2]]="N/A",Table1[[#This Row],[DUT Adj Read]]="N/A",Table1[[#This Row],[Std Adj Read]]="N/A"),"N/A",IF(Table1[[#This Row],[DUT Adj Read]]="N/A",IF(Table1[[#This Row],[Std Adj Read]]&lt;Table1[[#This Row],[High Tol]],"Pass","Fail"),IF(Table1[[#This Row],[DUT Adj Read]]&lt;Table1[[#This Row],[High Tol]],"Pass","Fail")))</f>
        <v>Fail</v>
      </c>
      <c r="AF1633" s="1" t="str">
        <f>IF(AND(Table1[[#This Row],[Spec Type2]]="N/A",Table1[[#This Row],[DUT Adj Read]]="N/A",Table1[[#This Row],[Std Adj Read]]="N/A"),"N/A",IF(Table1[[#This Row],[DUT Adj Read]]="N/A",IF(Table1[[#This Row],[Std Adj Read]]&gt;=Table1[[#This Row],[Low Tol]],"Pass","Fail"),IF(Table1[[#This Row],[DUT Adj Read]]&gt;=Table1[[#This Row],[Low Tol]],"Pass","Fail")))</f>
        <v>Pass</v>
      </c>
      <c r="AG1633" s="1" t="str">
        <f>IF(AND(Table1[[#This Row],[Spec Type2]]="N/A",Table1[[#This Row],[DUT Adj Read]]="N/A",Table1[[#This Row],[Std Adj Read]]="N/A"),"N/A",IF(Table1[[#This Row],[DUT Adj Read]]="N/A",IF(Table1[[#This Row],[Std Adj Read]]&lt;=Table1[[#This Row],[High Tol]],"Pass","Fail"),IF(Table1[[#This Row],[DUT Adj Read]]&lt;=Table1[[#This Row],[High Tol]],"Pass","Fail")))</f>
        <v>Fail</v>
      </c>
      <c r="AH16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3" s="1" t="b">
        <v>0</v>
      </c>
      <c r="AN1633" s="1" t="b">
        <v>0</v>
      </c>
      <c r="AO1633" s="1" t="b">
        <v>0</v>
      </c>
    </row>
    <row r="1634" spans="1:41" x14ac:dyDescent="0.25">
      <c r="A1634" s="10"/>
      <c r="B1634" s="10"/>
      <c r="C1634" s="10"/>
      <c r="D1634" s="10"/>
      <c r="E1634" s="10"/>
      <c r="F1634" s="10"/>
      <c r="G1634" s="10"/>
      <c r="H1634" s="10"/>
      <c r="I1634" s="1" t="str">
        <f t="shared" si="75"/>
        <v/>
      </c>
      <c r="J1634" s="1" t="s">
        <v>35</v>
      </c>
      <c r="K1634" s="1" t="str">
        <f t="shared" si="76"/>
        <v/>
      </c>
      <c r="L1634" s="1" t="str">
        <f t="shared" si="77"/>
        <v/>
      </c>
      <c r="M1634" s="1">
        <f>IF(OR(Table1[[#This Row],[Std Nom]]="",Table1[[#This Row],[Std Read]]=""),0,Table1[[#This Row],[Std Nom]]-Table1[[#This Row],[Std Read]])</f>
        <v>0</v>
      </c>
      <c r="N1634" s="1">
        <f>IF(Calculations!$F$5="ACCREDITED 17025 WITH UNCERTAINTIES",$N$10,0)</f>
        <v>0</v>
      </c>
      <c r="Q1634" s="1">
        <f>Table1[[#This Row],[High Tol]]-Table1[[#This Row],[Low Tol]]</f>
        <v>0</v>
      </c>
      <c r="R1634" s="1">
        <f>2*Table1[[#This Row],[Std Error]]</f>
        <v>0</v>
      </c>
      <c r="S1634" s="1" t="str">
        <f>IF(Table1[[#This Row],[High Tol]]="","N/A",IFERROR(ABS(Table1[[#This Row],[Tol Span]]/Table1[[#This Row],[Error Span]]),"N/A"))</f>
        <v>N/A</v>
      </c>
      <c r="T1634" s="1" t="str">
        <f>IF(OR(Table1[[#This Row],[Low Tol]]="",Table1[[#This Row],[High Tol]]=""),"Needs Analysis",IF(Table1[[#This Row],[Ratio]]&gt;=4,"Not Significant",IF(Table1[[#This Row],[Ratio]]&gt;=2,"Semi-Significant","Significant")))</f>
        <v>Needs Analysis</v>
      </c>
      <c r="W1634" s="1">
        <f>IF(Table1[[#This Row],[Cal Type]]&lt;&gt;"ACCREDITED 17025 WITH UNCERTAINTIES",0,"")</f>
        <v>0</v>
      </c>
      <c r="X1634" s="1" t="str">
        <f>IF(Table1[[#This Row],[DUT Read]]="","N/A",Table1[[#This Row],[Std Error]]+Table1[[#This Row],[DUT Read]]+Table1[[#This Row],[DUT Ucty]])</f>
        <v>N/A</v>
      </c>
      <c r="Y1634" s="1" t="str">
        <f>IF(Table1[[#This Row],[Std Read]]="","N/A",Table1[[#This Row],[Std Read]]+Table1[[#This Row],[Std Ucty]])</f>
        <v>N/A</v>
      </c>
      <c r="Z16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4" s="1" t="str">
        <f>IF(Table1[[#This Row],[Spec Type]]="","N/A",Table1[[#This Row],[Spec Type]])</f>
        <v>±</v>
      </c>
      <c r="AC1634" s="1" t="str">
        <f>IF(Table1[[#This Row],[Spec Type2]]="N/A","N/A",IF(AND(Table1[[#This Row],[DUT Adj Read]]&gt;=Table1[[#This Row],[Low Tol]],Table1[[#This Row],[DUT Adj Read]]&lt;=Table1[[#This Row],[High Tol]]),"Pass","Fail"))</f>
        <v>Fail</v>
      </c>
      <c r="AD1634" s="1" t="str">
        <f>IF(AND(Table1[[#This Row],[Spec Type2]]="N/A",Table1[[#This Row],[DUT Adj Read]]="N/A",Table1[[#This Row],[Std Adj Read]]="N/A"),"N/A",IF(Table1[[#This Row],[DUT Adj Read]]="N/A",IF(Table1[[#This Row],[Std Adj Read]]&gt;Table1[[#This Row],[Low Tol]],"Pass","Fail"),IF(Table1[[#This Row],[DUT Adj Read]]&gt;Table1[[#This Row],[Low Tol]],"Pass","Fail")))</f>
        <v>Pass</v>
      </c>
      <c r="AE1634" s="1" t="str">
        <f>IF(AND(Table1[[#This Row],[Spec Type2]]="N/A",Table1[[#This Row],[DUT Adj Read]]="N/A",Table1[[#This Row],[Std Adj Read]]="N/A"),"N/A",IF(Table1[[#This Row],[DUT Adj Read]]="N/A",IF(Table1[[#This Row],[Std Adj Read]]&lt;Table1[[#This Row],[High Tol]],"Pass","Fail"),IF(Table1[[#This Row],[DUT Adj Read]]&lt;Table1[[#This Row],[High Tol]],"Pass","Fail")))</f>
        <v>Fail</v>
      </c>
      <c r="AF1634" s="1" t="str">
        <f>IF(AND(Table1[[#This Row],[Spec Type2]]="N/A",Table1[[#This Row],[DUT Adj Read]]="N/A",Table1[[#This Row],[Std Adj Read]]="N/A"),"N/A",IF(Table1[[#This Row],[DUT Adj Read]]="N/A",IF(Table1[[#This Row],[Std Adj Read]]&gt;=Table1[[#This Row],[Low Tol]],"Pass","Fail"),IF(Table1[[#This Row],[DUT Adj Read]]&gt;=Table1[[#This Row],[Low Tol]],"Pass","Fail")))</f>
        <v>Pass</v>
      </c>
      <c r="AG1634" s="1" t="str">
        <f>IF(AND(Table1[[#This Row],[Spec Type2]]="N/A",Table1[[#This Row],[DUT Adj Read]]="N/A",Table1[[#This Row],[Std Adj Read]]="N/A"),"N/A",IF(Table1[[#This Row],[DUT Adj Read]]="N/A",IF(Table1[[#This Row],[Std Adj Read]]&lt;=Table1[[#This Row],[High Tol]],"Pass","Fail"),IF(Table1[[#This Row],[DUT Adj Read]]&lt;=Table1[[#This Row],[High Tol]],"Pass","Fail")))</f>
        <v>Fail</v>
      </c>
      <c r="AH16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4" s="1" t="b">
        <v>0</v>
      </c>
      <c r="AN1634" s="1" t="b">
        <v>0</v>
      </c>
      <c r="AO1634" s="1" t="b">
        <v>0</v>
      </c>
    </row>
    <row r="1635" spans="1:41" x14ac:dyDescent="0.25">
      <c r="A1635" s="10"/>
      <c r="B1635" s="10"/>
      <c r="C1635" s="10"/>
      <c r="D1635" s="10"/>
      <c r="E1635" s="10"/>
      <c r="F1635" s="10"/>
      <c r="G1635" s="10"/>
      <c r="H1635" s="10"/>
      <c r="I1635" s="1" t="str">
        <f t="shared" si="75"/>
        <v/>
      </c>
      <c r="J1635" s="1" t="s">
        <v>35</v>
      </c>
      <c r="K1635" s="1" t="str">
        <f t="shared" si="76"/>
        <v/>
      </c>
      <c r="L1635" s="1" t="str">
        <f t="shared" si="77"/>
        <v/>
      </c>
      <c r="M1635" s="1">
        <f>IF(OR(Table1[[#This Row],[Std Nom]]="",Table1[[#This Row],[Std Read]]=""),0,Table1[[#This Row],[Std Nom]]-Table1[[#This Row],[Std Read]])</f>
        <v>0</v>
      </c>
      <c r="N1635" s="1">
        <f>IF(Calculations!$F$5="ACCREDITED 17025 WITH UNCERTAINTIES",$N$10,0)</f>
        <v>0</v>
      </c>
      <c r="Q1635" s="1">
        <f>Table1[[#This Row],[High Tol]]-Table1[[#This Row],[Low Tol]]</f>
        <v>0</v>
      </c>
      <c r="R1635" s="1">
        <f>2*Table1[[#This Row],[Std Error]]</f>
        <v>0</v>
      </c>
      <c r="S1635" s="1" t="str">
        <f>IF(Table1[[#This Row],[High Tol]]="","N/A",IFERROR(ABS(Table1[[#This Row],[Tol Span]]/Table1[[#This Row],[Error Span]]),"N/A"))</f>
        <v>N/A</v>
      </c>
      <c r="T1635" s="1" t="str">
        <f>IF(OR(Table1[[#This Row],[Low Tol]]="",Table1[[#This Row],[High Tol]]=""),"Needs Analysis",IF(Table1[[#This Row],[Ratio]]&gt;=4,"Not Significant",IF(Table1[[#This Row],[Ratio]]&gt;=2,"Semi-Significant","Significant")))</f>
        <v>Needs Analysis</v>
      </c>
      <c r="W1635" s="1">
        <f>IF(Table1[[#This Row],[Cal Type]]&lt;&gt;"ACCREDITED 17025 WITH UNCERTAINTIES",0,"")</f>
        <v>0</v>
      </c>
      <c r="X1635" s="1" t="str">
        <f>IF(Table1[[#This Row],[DUT Read]]="","N/A",Table1[[#This Row],[Std Error]]+Table1[[#This Row],[DUT Read]]+Table1[[#This Row],[DUT Ucty]])</f>
        <v>N/A</v>
      </c>
      <c r="Y1635" s="1" t="str">
        <f>IF(Table1[[#This Row],[Std Read]]="","N/A",Table1[[#This Row],[Std Read]]+Table1[[#This Row],[Std Ucty]])</f>
        <v>N/A</v>
      </c>
      <c r="Z16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5" s="1" t="str">
        <f>IF(Table1[[#This Row],[Spec Type]]="","N/A",Table1[[#This Row],[Spec Type]])</f>
        <v>±</v>
      </c>
      <c r="AC1635" s="1" t="str">
        <f>IF(Table1[[#This Row],[Spec Type2]]="N/A","N/A",IF(AND(Table1[[#This Row],[DUT Adj Read]]&gt;=Table1[[#This Row],[Low Tol]],Table1[[#This Row],[DUT Adj Read]]&lt;=Table1[[#This Row],[High Tol]]),"Pass","Fail"))</f>
        <v>Fail</v>
      </c>
      <c r="AD1635" s="1" t="str">
        <f>IF(AND(Table1[[#This Row],[Spec Type2]]="N/A",Table1[[#This Row],[DUT Adj Read]]="N/A",Table1[[#This Row],[Std Adj Read]]="N/A"),"N/A",IF(Table1[[#This Row],[DUT Adj Read]]="N/A",IF(Table1[[#This Row],[Std Adj Read]]&gt;Table1[[#This Row],[Low Tol]],"Pass","Fail"),IF(Table1[[#This Row],[DUT Adj Read]]&gt;Table1[[#This Row],[Low Tol]],"Pass","Fail")))</f>
        <v>Pass</v>
      </c>
      <c r="AE1635" s="1" t="str">
        <f>IF(AND(Table1[[#This Row],[Spec Type2]]="N/A",Table1[[#This Row],[DUT Adj Read]]="N/A",Table1[[#This Row],[Std Adj Read]]="N/A"),"N/A",IF(Table1[[#This Row],[DUT Adj Read]]="N/A",IF(Table1[[#This Row],[Std Adj Read]]&lt;Table1[[#This Row],[High Tol]],"Pass","Fail"),IF(Table1[[#This Row],[DUT Adj Read]]&lt;Table1[[#This Row],[High Tol]],"Pass","Fail")))</f>
        <v>Fail</v>
      </c>
      <c r="AF1635" s="1" t="str">
        <f>IF(AND(Table1[[#This Row],[Spec Type2]]="N/A",Table1[[#This Row],[DUT Adj Read]]="N/A",Table1[[#This Row],[Std Adj Read]]="N/A"),"N/A",IF(Table1[[#This Row],[DUT Adj Read]]="N/A",IF(Table1[[#This Row],[Std Adj Read]]&gt;=Table1[[#This Row],[Low Tol]],"Pass","Fail"),IF(Table1[[#This Row],[DUT Adj Read]]&gt;=Table1[[#This Row],[Low Tol]],"Pass","Fail")))</f>
        <v>Pass</v>
      </c>
      <c r="AG1635" s="1" t="str">
        <f>IF(AND(Table1[[#This Row],[Spec Type2]]="N/A",Table1[[#This Row],[DUT Adj Read]]="N/A",Table1[[#This Row],[Std Adj Read]]="N/A"),"N/A",IF(Table1[[#This Row],[DUT Adj Read]]="N/A",IF(Table1[[#This Row],[Std Adj Read]]&lt;=Table1[[#This Row],[High Tol]],"Pass","Fail"),IF(Table1[[#This Row],[DUT Adj Read]]&lt;=Table1[[#This Row],[High Tol]],"Pass","Fail")))</f>
        <v>Fail</v>
      </c>
      <c r="AH16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5" s="1" t="b">
        <v>0</v>
      </c>
      <c r="AN1635" s="1" t="b">
        <v>0</v>
      </c>
      <c r="AO1635" s="1" t="b">
        <v>0</v>
      </c>
    </row>
    <row r="1636" spans="1:41" x14ac:dyDescent="0.25">
      <c r="A1636" s="10"/>
      <c r="B1636" s="10"/>
      <c r="C1636" s="10"/>
      <c r="D1636" s="10"/>
      <c r="E1636" s="10"/>
      <c r="F1636" s="10"/>
      <c r="G1636" s="10"/>
      <c r="H1636" s="10"/>
      <c r="I1636" s="1" t="str">
        <f t="shared" si="75"/>
        <v/>
      </c>
      <c r="J1636" s="1" t="s">
        <v>35</v>
      </c>
      <c r="K1636" s="1" t="str">
        <f t="shared" si="76"/>
        <v/>
      </c>
      <c r="L1636" s="1" t="str">
        <f t="shared" si="77"/>
        <v/>
      </c>
      <c r="M1636" s="1">
        <f>IF(OR(Table1[[#This Row],[Std Nom]]="",Table1[[#This Row],[Std Read]]=""),0,Table1[[#This Row],[Std Nom]]-Table1[[#This Row],[Std Read]])</f>
        <v>0</v>
      </c>
      <c r="N1636" s="1">
        <f>IF(Calculations!$F$5="ACCREDITED 17025 WITH UNCERTAINTIES",$N$10,0)</f>
        <v>0</v>
      </c>
      <c r="Q1636" s="1">
        <f>Table1[[#This Row],[High Tol]]-Table1[[#This Row],[Low Tol]]</f>
        <v>0</v>
      </c>
      <c r="R1636" s="1">
        <f>2*Table1[[#This Row],[Std Error]]</f>
        <v>0</v>
      </c>
      <c r="S1636" s="1" t="str">
        <f>IF(Table1[[#This Row],[High Tol]]="","N/A",IFERROR(ABS(Table1[[#This Row],[Tol Span]]/Table1[[#This Row],[Error Span]]),"N/A"))</f>
        <v>N/A</v>
      </c>
      <c r="T1636" s="1" t="str">
        <f>IF(OR(Table1[[#This Row],[Low Tol]]="",Table1[[#This Row],[High Tol]]=""),"Needs Analysis",IF(Table1[[#This Row],[Ratio]]&gt;=4,"Not Significant",IF(Table1[[#This Row],[Ratio]]&gt;=2,"Semi-Significant","Significant")))</f>
        <v>Needs Analysis</v>
      </c>
      <c r="W1636" s="1">
        <f>IF(Table1[[#This Row],[Cal Type]]&lt;&gt;"ACCREDITED 17025 WITH UNCERTAINTIES",0,"")</f>
        <v>0</v>
      </c>
      <c r="X1636" s="1" t="str">
        <f>IF(Table1[[#This Row],[DUT Read]]="","N/A",Table1[[#This Row],[Std Error]]+Table1[[#This Row],[DUT Read]]+Table1[[#This Row],[DUT Ucty]])</f>
        <v>N/A</v>
      </c>
      <c r="Y1636" s="1" t="str">
        <f>IF(Table1[[#This Row],[Std Read]]="","N/A",Table1[[#This Row],[Std Read]]+Table1[[#This Row],[Std Ucty]])</f>
        <v>N/A</v>
      </c>
      <c r="Z16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6" s="1" t="str">
        <f>IF(Table1[[#This Row],[Spec Type]]="","N/A",Table1[[#This Row],[Spec Type]])</f>
        <v>±</v>
      </c>
      <c r="AC1636" s="1" t="str">
        <f>IF(Table1[[#This Row],[Spec Type2]]="N/A","N/A",IF(AND(Table1[[#This Row],[DUT Adj Read]]&gt;=Table1[[#This Row],[Low Tol]],Table1[[#This Row],[DUT Adj Read]]&lt;=Table1[[#This Row],[High Tol]]),"Pass","Fail"))</f>
        <v>Fail</v>
      </c>
      <c r="AD1636" s="1" t="str">
        <f>IF(AND(Table1[[#This Row],[Spec Type2]]="N/A",Table1[[#This Row],[DUT Adj Read]]="N/A",Table1[[#This Row],[Std Adj Read]]="N/A"),"N/A",IF(Table1[[#This Row],[DUT Adj Read]]="N/A",IF(Table1[[#This Row],[Std Adj Read]]&gt;Table1[[#This Row],[Low Tol]],"Pass","Fail"),IF(Table1[[#This Row],[DUT Adj Read]]&gt;Table1[[#This Row],[Low Tol]],"Pass","Fail")))</f>
        <v>Pass</v>
      </c>
      <c r="AE1636" s="1" t="str">
        <f>IF(AND(Table1[[#This Row],[Spec Type2]]="N/A",Table1[[#This Row],[DUT Adj Read]]="N/A",Table1[[#This Row],[Std Adj Read]]="N/A"),"N/A",IF(Table1[[#This Row],[DUT Adj Read]]="N/A",IF(Table1[[#This Row],[Std Adj Read]]&lt;Table1[[#This Row],[High Tol]],"Pass","Fail"),IF(Table1[[#This Row],[DUT Adj Read]]&lt;Table1[[#This Row],[High Tol]],"Pass","Fail")))</f>
        <v>Fail</v>
      </c>
      <c r="AF1636" s="1" t="str">
        <f>IF(AND(Table1[[#This Row],[Spec Type2]]="N/A",Table1[[#This Row],[DUT Adj Read]]="N/A",Table1[[#This Row],[Std Adj Read]]="N/A"),"N/A",IF(Table1[[#This Row],[DUT Adj Read]]="N/A",IF(Table1[[#This Row],[Std Adj Read]]&gt;=Table1[[#This Row],[Low Tol]],"Pass","Fail"),IF(Table1[[#This Row],[DUT Adj Read]]&gt;=Table1[[#This Row],[Low Tol]],"Pass","Fail")))</f>
        <v>Pass</v>
      </c>
      <c r="AG1636" s="1" t="str">
        <f>IF(AND(Table1[[#This Row],[Spec Type2]]="N/A",Table1[[#This Row],[DUT Adj Read]]="N/A",Table1[[#This Row],[Std Adj Read]]="N/A"),"N/A",IF(Table1[[#This Row],[DUT Adj Read]]="N/A",IF(Table1[[#This Row],[Std Adj Read]]&lt;=Table1[[#This Row],[High Tol]],"Pass","Fail"),IF(Table1[[#This Row],[DUT Adj Read]]&lt;=Table1[[#This Row],[High Tol]],"Pass","Fail")))</f>
        <v>Fail</v>
      </c>
      <c r="AH16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6" s="1" t="b">
        <v>0</v>
      </c>
      <c r="AN1636" s="1" t="b">
        <v>0</v>
      </c>
      <c r="AO1636" s="1" t="b">
        <v>0</v>
      </c>
    </row>
    <row r="1637" spans="1:41" x14ac:dyDescent="0.25">
      <c r="A1637" s="10"/>
      <c r="B1637" s="10"/>
      <c r="C1637" s="10"/>
      <c r="D1637" s="10"/>
      <c r="E1637" s="10"/>
      <c r="F1637" s="10"/>
      <c r="G1637" s="10"/>
      <c r="H1637" s="10"/>
      <c r="I1637" s="1" t="str">
        <f t="shared" si="75"/>
        <v/>
      </c>
      <c r="J1637" s="1" t="s">
        <v>35</v>
      </c>
      <c r="K1637" s="1" t="str">
        <f t="shared" si="76"/>
        <v/>
      </c>
      <c r="L1637" s="1" t="str">
        <f t="shared" si="77"/>
        <v/>
      </c>
      <c r="M1637" s="1">
        <f>IF(OR(Table1[[#This Row],[Std Nom]]="",Table1[[#This Row],[Std Read]]=""),0,Table1[[#This Row],[Std Nom]]-Table1[[#This Row],[Std Read]])</f>
        <v>0</v>
      </c>
      <c r="N1637" s="1">
        <f>IF(Calculations!$F$5="ACCREDITED 17025 WITH UNCERTAINTIES",$N$10,0)</f>
        <v>0</v>
      </c>
      <c r="Q1637" s="1">
        <f>Table1[[#This Row],[High Tol]]-Table1[[#This Row],[Low Tol]]</f>
        <v>0</v>
      </c>
      <c r="R1637" s="1">
        <f>2*Table1[[#This Row],[Std Error]]</f>
        <v>0</v>
      </c>
      <c r="S1637" s="1" t="str">
        <f>IF(Table1[[#This Row],[High Tol]]="","N/A",IFERROR(ABS(Table1[[#This Row],[Tol Span]]/Table1[[#This Row],[Error Span]]),"N/A"))</f>
        <v>N/A</v>
      </c>
      <c r="T1637" s="1" t="str">
        <f>IF(OR(Table1[[#This Row],[Low Tol]]="",Table1[[#This Row],[High Tol]]=""),"Needs Analysis",IF(Table1[[#This Row],[Ratio]]&gt;=4,"Not Significant",IF(Table1[[#This Row],[Ratio]]&gt;=2,"Semi-Significant","Significant")))</f>
        <v>Needs Analysis</v>
      </c>
      <c r="W1637" s="1">
        <f>IF(Table1[[#This Row],[Cal Type]]&lt;&gt;"ACCREDITED 17025 WITH UNCERTAINTIES",0,"")</f>
        <v>0</v>
      </c>
      <c r="X1637" s="1" t="str">
        <f>IF(Table1[[#This Row],[DUT Read]]="","N/A",Table1[[#This Row],[Std Error]]+Table1[[#This Row],[DUT Read]]+Table1[[#This Row],[DUT Ucty]])</f>
        <v>N/A</v>
      </c>
      <c r="Y1637" s="1" t="str">
        <f>IF(Table1[[#This Row],[Std Read]]="","N/A",Table1[[#This Row],[Std Read]]+Table1[[#This Row],[Std Ucty]])</f>
        <v>N/A</v>
      </c>
      <c r="Z16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7" s="1" t="str">
        <f>IF(Table1[[#This Row],[Spec Type]]="","N/A",Table1[[#This Row],[Spec Type]])</f>
        <v>±</v>
      </c>
      <c r="AC1637" s="1" t="str">
        <f>IF(Table1[[#This Row],[Spec Type2]]="N/A","N/A",IF(AND(Table1[[#This Row],[DUT Adj Read]]&gt;=Table1[[#This Row],[Low Tol]],Table1[[#This Row],[DUT Adj Read]]&lt;=Table1[[#This Row],[High Tol]]),"Pass","Fail"))</f>
        <v>Fail</v>
      </c>
      <c r="AD1637" s="1" t="str">
        <f>IF(AND(Table1[[#This Row],[Spec Type2]]="N/A",Table1[[#This Row],[DUT Adj Read]]="N/A",Table1[[#This Row],[Std Adj Read]]="N/A"),"N/A",IF(Table1[[#This Row],[DUT Adj Read]]="N/A",IF(Table1[[#This Row],[Std Adj Read]]&gt;Table1[[#This Row],[Low Tol]],"Pass","Fail"),IF(Table1[[#This Row],[DUT Adj Read]]&gt;Table1[[#This Row],[Low Tol]],"Pass","Fail")))</f>
        <v>Pass</v>
      </c>
      <c r="AE1637" s="1" t="str">
        <f>IF(AND(Table1[[#This Row],[Spec Type2]]="N/A",Table1[[#This Row],[DUT Adj Read]]="N/A",Table1[[#This Row],[Std Adj Read]]="N/A"),"N/A",IF(Table1[[#This Row],[DUT Adj Read]]="N/A",IF(Table1[[#This Row],[Std Adj Read]]&lt;Table1[[#This Row],[High Tol]],"Pass","Fail"),IF(Table1[[#This Row],[DUT Adj Read]]&lt;Table1[[#This Row],[High Tol]],"Pass","Fail")))</f>
        <v>Fail</v>
      </c>
      <c r="AF1637" s="1" t="str">
        <f>IF(AND(Table1[[#This Row],[Spec Type2]]="N/A",Table1[[#This Row],[DUT Adj Read]]="N/A",Table1[[#This Row],[Std Adj Read]]="N/A"),"N/A",IF(Table1[[#This Row],[DUT Adj Read]]="N/A",IF(Table1[[#This Row],[Std Adj Read]]&gt;=Table1[[#This Row],[Low Tol]],"Pass","Fail"),IF(Table1[[#This Row],[DUT Adj Read]]&gt;=Table1[[#This Row],[Low Tol]],"Pass","Fail")))</f>
        <v>Pass</v>
      </c>
      <c r="AG1637" s="1" t="str">
        <f>IF(AND(Table1[[#This Row],[Spec Type2]]="N/A",Table1[[#This Row],[DUT Adj Read]]="N/A",Table1[[#This Row],[Std Adj Read]]="N/A"),"N/A",IF(Table1[[#This Row],[DUT Adj Read]]="N/A",IF(Table1[[#This Row],[Std Adj Read]]&lt;=Table1[[#This Row],[High Tol]],"Pass","Fail"),IF(Table1[[#This Row],[DUT Adj Read]]&lt;=Table1[[#This Row],[High Tol]],"Pass","Fail")))</f>
        <v>Fail</v>
      </c>
      <c r="AH16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7" s="1" t="b">
        <v>0</v>
      </c>
      <c r="AN1637" s="1" t="b">
        <v>0</v>
      </c>
      <c r="AO1637" s="1" t="b">
        <v>0</v>
      </c>
    </row>
    <row r="1638" spans="1:41" x14ac:dyDescent="0.25">
      <c r="A1638" s="10"/>
      <c r="B1638" s="10"/>
      <c r="C1638" s="10"/>
      <c r="D1638" s="10"/>
      <c r="E1638" s="10"/>
      <c r="F1638" s="10"/>
      <c r="G1638" s="10"/>
      <c r="H1638" s="10"/>
      <c r="I1638" s="1" t="str">
        <f t="shared" si="75"/>
        <v/>
      </c>
      <c r="J1638" s="1" t="s">
        <v>35</v>
      </c>
      <c r="K1638" s="1" t="str">
        <f t="shared" si="76"/>
        <v/>
      </c>
      <c r="L1638" s="1" t="str">
        <f t="shared" si="77"/>
        <v/>
      </c>
      <c r="M1638" s="1">
        <f>IF(OR(Table1[[#This Row],[Std Nom]]="",Table1[[#This Row],[Std Read]]=""),0,Table1[[#This Row],[Std Nom]]-Table1[[#This Row],[Std Read]])</f>
        <v>0</v>
      </c>
      <c r="N1638" s="1">
        <f>IF(Calculations!$F$5="ACCREDITED 17025 WITH UNCERTAINTIES",$N$10,0)</f>
        <v>0</v>
      </c>
      <c r="Q1638" s="1">
        <f>Table1[[#This Row],[High Tol]]-Table1[[#This Row],[Low Tol]]</f>
        <v>0</v>
      </c>
      <c r="R1638" s="1">
        <f>2*Table1[[#This Row],[Std Error]]</f>
        <v>0</v>
      </c>
      <c r="S1638" s="1" t="str">
        <f>IF(Table1[[#This Row],[High Tol]]="","N/A",IFERROR(ABS(Table1[[#This Row],[Tol Span]]/Table1[[#This Row],[Error Span]]),"N/A"))</f>
        <v>N/A</v>
      </c>
      <c r="T1638" s="1" t="str">
        <f>IF(OR(Table1[[#This Row],[Low Tol]]="",Table1[[#This Row],[High Tol]]=""),"Needs Analysis",IF(Table1[[#This Row],[Ratio]]&gt;=4,"Not Significant",IF(Table1[[#This Row],[Ratio]]&gt;=2,"Semi-Significant","Significant")))</f>
        <v>Needs Analysis</v>
      </c>
      <c r="W1638" s="1">
        <f>IF(Table1[[#This Row],[Cal Type]]&lt;&gt;"ACCREDITED 17025 WITH UNCERTAINTIES",0,"")</f>
        <v>0</v>
      </c>
      <c r="X1638" s="1" t="str">
        <f>IF(Table1[[#This Row],[DUT Read]]="","N/A",Table1[[#This Row],[Std Error]]+Table1[[#This Row],[DUT Read]]+Table1[[#This Row],[DUT Ucty]])</f>
        <v>N/A</v>
      </c>
      <c r="Y1638" s="1" t="str">
        <f>IF(Table1[[#This Row],[Std Read]]="","N/A",Table1[[#This Row],[Std Read]]+Table1[[#This Row],[Std Ucty]])</f>
        <v>N/A</v>
      </c>
      <c r="Z16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8" s="1" t="str">
        <f>IF(Table1[[#This Row],[Spec Type]]="","N/A",Table1[[#This Row],[Spec Type]])</f>
        <v>±</v>
      </c>
      <c r="AC1638" s="1" t="str">
        <f>IF(Table1[[#This Row],[Spec Type2]]="N/A","N/A",IF(AND(Table1[[#This Row],[DUT Adj Read]]&gt;=Table1[[#This Row],[Low Tol]],Table1[[#This Row],[DUT Adj Read]]&lt;=Table1[[#This Row],[High Tol]]),"Pass","Fail"))</f>
        <v>Fail</v>
      </c>
      <c r="AD1638" s="1" t="str">
        <f>IF(AND(Table1[[#This Row],[Spec Type2]]="N/A",Table1[[#This Row],[DUT Adj Read]]="N/A",Table1[[#This Row],[Std Adj Read]]="N/A"),"N/A",IF(Table1[[#This Row],[DUT Adj Read]]="N/A",IF(Table1[[#This Row],[Std Adj Read]]&gt;Table1[[#This Row],[Low Tol]],"Pass","Fail"),IF(Table1[[#This Row],[DUT Adj Read]]&gt;Table1[[#This Row],[Low Tol]],"Pass","Fail")))</f>
        <v>Pass</v>
      </c>
      <c r="AE1638" s="1" t="str">
        <f>IF(AND(Table1[[#This Row],[Spec Type2]]="N/A",Table1[[#This Row],[DUT Adj Read]]="N/A",Table1[[#This Row],[Std Adj Read]]="N/A"),"N/A",IF(Table1[[#This Row],[DUT Adj Read]]="N/A",IF(Table1[[#This Row],[Std Adj Read]]&lt;Table1[[#This Row],[High Tol]],"Pass","Fail"),IF(Table1[[#This Row],[DUT Adj Read]]&lt;Table1[[#This Row],[High Tol]],"Pass","Fail")))</f>
        <v>Fail</v>
      </c>
      <c r="AF1638" s="1" t="str">
        <f>IF(AND(Table1[[#This Row],[Spec Type2]]="N/A",Table1[[#This Row],[DUT Adj Read]]="N/A",Table1[[#This Row],[Std Adj Read]]="N/A"),"N/A",IF(Table1[[#This Row],[DUT Adj Read]]="N/A",IF(Table1[[#This Row],[Std Adj Read]]&gt;=Table1[[#This Row],[Low Tol]],"Pass","Fail"),IF(Table1[[#This Row],[DUT Adj Read]]&gt;=Table1[[#This Row],[Low Tol]],"Pass","Fail")))</f>
        <v>Pass</v>
      </c>
      <c r="AG1638" s="1" t="str">
        <f>IF(AND(Table1[[#This Row],[Spec Type2]]="N/A",Table1[[#This Row],[DUT Adj Read]]="N/A",Table1[[#This Row],[Std Adj Read]]="N/A"),"N/A",IF(Table1[[#This Row],[DUT Adj Read]]="N/A",IF(Table1[[#This Row],[Std Adj Read]]&lt;=Table1[[#This Row],[High Tol]],"Pass","Fail"),IF(Table1[[#This Row],[DUT Adj Read]]&lt;=Table1[[#This Row],[High Tol]],"Pass","Fail")))</f>
        <v>Fail</v>
      </c>
      <c r="AH16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8" s="1" t="b">
        <v>0</v>
      </c>
      <c r="AN1638" s="1" t="b">
        <v>0</v>
      </c>
      <c r="AO1638" s="1" t="b">
        <v>0</v>
      </c>
    </row>
    <row r="1639" spans="1:41" x14ac:dyDescent="0.25">
      <c r="A1639" s="10"/>
      <c r="B1639" s="10"/>
      <c r="C1639" s="10"/>
      <c r="D1639" s="10"/>
      <c r="E1639" s="10"/>
      <c r="F1639" s="10"/>
      <c r="G1639" s="10"/>
      <c r="H1639" s="10"/>
      <c r="I1639" s="1" t="str">
        <f t="shared" si="75"/>
        <v/>
      </c>
      <c r="J1639" s="1" t="s">
        <v>35</v>
      </c>
      <c r="K1639" s="1" t="str">
        <f t="shared" si="76"/>
        <v/>
      </c>
      <c r="L1639" s="1" t="str">
        <f t="shared" si="77"/>
        <v/>
      </c>
      <c r="M1639" s="1">
        <f>IF(OR(Table1[[#This Row],[Std Nom]]="",Table1[[#This Row],[Std Read]]=""),0,Table1[[#This Row],[Std Nom]]-Table1[[#This Row],[Std Read]])</f>
        <v>0</v>
      </c>
      <c r="N1639" s="1">
        <f>IF(Calculations!$F$5="ACCREDITED 17025 WITH UNCERTAINTIES",$N$10,0)</f>
        <v>0</v>
      </c>
      <c r="Q1639" s="1">
        <f>Table1[[#This Row],[High Tol]]-Table1[[#This Row],[Low Tol]]</f>
        <v>0</v>
      </c>
      <c r="R1639" s="1">
        <f>2*Table1[[#This Row],[Std Error]]</f>
        <v>0</v>
      </c>
      <c r="S1639" s="1" t="str">
        <f>IF(Table1[[#This Row],[High Tol]]="","N/A",IFERROR(ABS(Table1[[#This Row],[Tol Span]]/Table1[[#This Row],[Error Span]]),"N/A"))</f>
        <v>N/A</v>
      </c>
      <c r="T1639" s="1" t="str">
        <f>IF(OR(Table1[[#This Row],[Low Tol]]="",Table1[[#This Row],[High Tol]]=""),"Needs Analysis",IF(Table1[[#This Row],[Ratio]]&gt;=4,"Not Significant",IF(Table1[[#This Row],[Ratio]]&gt;=2,"Semi-Significant","Significant")))</f>
        <v>Needs Analysis</v>
      </c>
      <c r="W1639" s="1">
        <f>IF(Table1[[#This Row],[Cal Type]]&lt;&gt;"ACCREDITED 17025 WITH UNCERTAINTIES",0,"")</f>
        <v>0</v>
      </c>
      <c r="X1639" s="1" t="str">
        <f>IF(Table1[[#This Row],[DUT Read]]="","N/A",Table1[[#This Row],[Std Error]]+Table1[[#This Row],[DUT Read]]+Table1[[#This Row],[DUT Ucty]])</f>
        <v>N/A</v>
      </c>
      <c r="Y1639" s="1" t="str">
        <f>IF(Table1[[#This Row],[Std Read]]="","N/A",Table1[[#This Row],[Std Read]]+Table1[[#This Row],[Std Ucty]])</f>
        <v>N/A</v>
      </c>
      <c r="Z16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39" s="1" t="str">
        <f>IF(Table1[[#This Row],[Spec Type]]="","N/A",Table1[[#This Row],[Spec Type]])</f>
        <v>±</v>
      </c>
      <c r="AC1639" s="1" t="str">
        <f>IF(Table1[[#This Row],[Spec Type2]]="N/A","N/A",IF(AND(Table1[[#This Row],[DUT Adj Read]]&gt;=Table1[[#This Row],[Low Tol]],Table1[[#This Row],[DUT Adj Read]]&lt;=Table1[[#This Row],[High Tol]]),"Pass","Fail"))</f>
        <v>Fail</v>
      </c>
      <c r="AD1639" s="1" t="str">
        <f>IF(AND(Table1[[#This Row],[Spec Type2]]="N/A",Table1[[#This Row],[DUT Adj Read]]="N/A",Table1[[#This Row],[Std Adj Read]]="N/A"),"N/A",IF(Table1[[#This Row],[DUT Adj Read]]="N/A",IF(Table1[[#This Row],[Std Adj Read]]&gt;Table1[[#This Row],[Low Tol]],"Pass","Fail"),IF(Table1[[#This Row],[DUT Adj Read]]&gt;Table1[[#This Row],[Low Tol]],"Pass","Fail")))</f>
        <v>Pass</v>
      </c>
      <c r="AE1639" s="1" t="str">
        <f>IF(AND(Table1[[#This Row],[Spec Type2]]="N/A",Table1[[#This Row],[DUT Adj Read]]="N/A",Table1[[#This Row],[Std Adj Read]]="N/A"),"N/A",IF(Table1[[#This Row],[DUT Adj Read]]="N/A",IF(Table1[[#This Row],[Std Adj Read]]&lt;Table1[[#This Row],[High Tol]],"Pass","Fail"),IF(Table1[[#This Row],[DUT Adj Read]]&lt;Table1[[#This Row],[High Tol]],"Pass","Fail")))</f>
        <v>Fail</v>
      </c>
      <c r="AF1639" s="1" t="str">
        <f>IF(AND(Table1[[#This Row],[Spec Type2]]="N/A",Table1[[#This Row],[DUT Adj Read]]="N/A",Table1[[#This Row],[Std Adj Read]]="N/A"),"N/A",IF(Table1[[#This Row],[DUT Adj Read]]="N/A",IF(Table1[[#This Row],[Std Adj Read]]&gt;=Table1[[#This Row],[Low Tol]],"Pass","Fail"),IF(Table1[[#This Row],[DUT Adj Read]]&gt;=Table1[[#This Row],[Low Tol]],"Pass","Fail")))</f>
        <v>Pass</v>
      </c>
      <c r="AG1639" s="1" t="str">
        <f>IF(AND(Table1[[#This Row],[Spec Type2]]="N/A",Table1[[#This Row],[DUT Adj Read]]="N/A",Table1[[#This Row],[Std Adj Read]]="N/A"),"N/A",IF(Table1[[#This Row],[DUT Adj Read]]="N/A",IF(Table1[[#This Row],[Std Adj Read]]&lt;=Table1[[#This Row],[High Tol]],"Pass","Fail"),IF(Table1[[#This Row],[DUT Adj Read]]&lt;=Table1[[#This Row],[High Tol]],"Pass","Fail")))</f>
        <v>Fail</v>
      </c>
      <c r="AH16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39" s="1" t="b">
        <v>0</v>
      </c>
      <c r="AN1639" s="1" t="b">
        <v>0</v>
      </c>
      <c r="AO1639" s="1" t="b">
        <v>0</v>
      </c>
    </row>
    <row r="1640" spans="1:41" x14ac:dyDescent="0.25">
      <c r="A1640" s="10"/>
      <c r="B1640" s="10"/>
      <c r="C1640" s="10"/>
      <c r="D1640" s="10"/>
      <c r="E1640" s="10"/>
      <c r="F1640" s="10"/>
      <c r="G1640" s="10"/>
      <c r="H1640" s="10"/>
      <c r="I1640" s="1" t="str">
        <f t="shared" si="75"/>
        <v/>
      </c>
      <c r="J1640" s="1" t="s">
        <v>35</v>
      </c>
      <c r="K1640" s="1" t="str">
        <f t="shared" si="76"/>
        <v/>
      </c>
      <c r="L1640" s="1" t="str">
        <f t="shared" si="77"/>
        <v/>
      </c>
      <c r="M1640" s="1">
        <f>IF(OR(Table1[[#This Row],[Std Nom]]="",Table1[[#This Row],[Std Read]]=""),0,Table1[[#This Row],[Std Nom]]-Table1[[#This Row],[Std Read]])</f>
        <v>0</v>
      </c>
      <c r="N1640" s="1">
        <f>IF(Calculations!$F$5="ACCREDITED 17025 WITH UNCERTAINTIES",$N$10,0)</f>
        <v>0</v>
      </c>
      <c r="Q1640" s="1">
        <f>Table1[[#This Row],[High Tol]]-Table1[[#This Row],[Low Tol]]</f>
        <v>0</v>
      </c>
      <c r="R1640" s="1">
        <f>2*Table1[[#This Row],[Std Error]]</f>
        <v>0</v>
      </c>
      <c r="S1640" s="1" t="str">
        <f>IF(Table1[[#This Row],[High Tol]]="","N/A",IFERROR(ABS(Table1[[#This Row],[Tol Span]]/Table1[[#This Row],[Error Span]]),"N/A"))</f>
        <v>N/A</v>
      </c>
      <c r="T1640" s="1" t="str">
        <f>IF(OR(Table1[[#This Row],[Low Tol]]="",Table1[[#This Row],[High Tol]]=""),"Needs Analysis",IF(Table1[[#This Row],[Ratio]]&gt;=4,"Not Significant",IF(Table1[[#This Row],[Ratio]]&gt;=2,"Semi-Significant","Significant")))</f>
        <v>Needs Analysis</v>
      </c>
      <c r="W1640" s="1">
        <f>IF(Table1[[#This Row],[Cal Type]]&lt;&gt;"ACCREDITED 17025 WITH UNCERTAINTIES",0,"")</f>
        <v>0</v>
      </c>
      <c r="X1640" s="1" t="str">
        <f>IF(Table1[[#This Row],[DUT Read]]="","N/A",Table1[[#This Row],[Std Error]]+Table1[[#This Row],[DUT Read]]+Table1[[#This Row],[DUT Ucty]])</f>
        <v>N/A</v>
      </c>
      <c r="Y1640" s="1" t="str">
        <f>IF(Table1[[#This Row],[Std Read]]="","N/A",Table1[[#This Row],[Std Read]]+Table1[[#This Row],[Std Ucty]])</f>
        <v>N/A</v>
      </c>
      <c r="Z16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0" s="1" t="str">
        <f>IF(Table1[[#This Row],[Spec Type]]="","N/A",Table1[[#This Row],[Spec Type]])</f>
        <v>±</v>
      </c>
      <c r="AC1640" s="1" t="str">
        <f>IF(Table1[[#This Row],[Spec Type2]]="N/A","N/A",IF(AND(Table1[[#This Row],[DUT Adj Read]]&gt;=Table1[[#This Row],[Low Tol]],Table1[[#This Row],[DUT Adj Read]]&lt;=Table1[[#This Row],[High Tol]]),"Pass","Fail"))</f>
        <v>Fail</v>
      </c>
      <c r="AD1640" s="1" t="str">
        <f>IF(AND(Table1[[#This Row],[Spec Type2]]="N/A",Table1[[#This Row],[DUT Adj Read]]="N/A",Table1[[#This Row],[Std Adj Read]]="N/A"),"N/A",IF(Table1[[#This Row],[DUT Adj Read]]="N/A",IF(Table1[[#This Row],[Std Adj Read]]&gt;Table1[[#This Row],[Low Tol]],"Pass","Fail"),IF(Table1[[#This Row],[DUT Adj Read]]&gt;Table1[[#This Row],[Low Tol]],"Pass","Fail")))</f>
        <v>Pass</v>
      </c>
      <c r="AE1640" s="1" t="str">
        <f>IF(AND(Table1[[#This Row],[Spec Type2]]="N/A",Table1[[#This Row],[DUT Adj Read]]="N/A",Table1[[#This Row],[Std Adj Read]]="N/A"),"N/A",IF(Table1[[#This Row],[DUT Adj Read]]="N/A",IF(Table1[[#This Row],[Std Adj Read]]&lt;Table1[[#This Row],[High Tol]],"Pass","Fail"),IF(Table1[[#This Row],[DUT Adj Read]]&lt;Table1[[#This Row],[High Tol]],"Pass","Fail")))</f>
        <v>Fail</v>
      </c>
      <c r="AF1640" s="1" t="str">
        <f>IF(AND(Table1[[#This Row],[Spec Type2]]="N/A",Table1[[#This Row],[DUT Adj Read]]="N/A",Table1[[#This Row],[Std Adj Read]]="N/A"),"N/A",IF(Table1[[#This Row],[DUT Adj Read]]="N/A",IF(Table1[[#This Row],[Std Adj Read]]&gt;=Table1[[#This Row],[Low Tol]],"Pass","Fail"),IF(Table1[[#This Row],[DUT Adj Read]]&gt;=Table1[[#This Row],[Low Tol]],"Pass","Fail")))</f>
        <v>Pass</v>
      </c>
      <c r="AG1640" s="1" t="str">
        <f>IF(AND(Table1[[#This Row],[Spec Type2]]="N/A",Table1[[#This Row],[DUT Adj Read]]="N/A",Table1[[#This Row],[Std Adj Read]]="N/A"),"N/A",IF(Table1[[#This Row],[DUT Adj Read]]="N/A",IF(Table1[[#This Row],[Std Adj Read]]&lt;=Table1[[#This Row],[High Tol]],"Pass","Fail"),IF(Table1[[#This Row],[DUT Adj Read]]&lt;=Table1[[#This Row],[High Tol]],"Pass","Fail")))</f>
        <v>Fail</v>
      </c>
      <c r="AH16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0" s="1" t="b">
        <v>0</v>
      </c>
      <c r="AN1640" s="1" t="b">
        <v>0</v>
      </c>
      <c r="AO1640" s="1" t="b">
        <v>0</v>
      </c>
    </row>
    <row r="1641" spans="1:41" x14ac:dyDescent="0.25">
      <c r="A1641" s="10"/>
      <c r="B1641" s="10"/>
      <c r="C1641" s="10"/>
      <c r="D1641" s="10"/>
      <c r="E1641" s="10"/>
      <c r="F1641" s="10"/>
      <c r="G1641" s="10"/>
      <c r="H1641" s="10"/>
      <c r="I1641" s="1" t="str">
        <f t="shared" si="75"/>
        <v/>
      </c>
      <c r="J1641" s="1" t="s">
        <v>35</v>
      </c>
      <c r="K1641" s="1" t="str">
        <f t="shared" si="76"/>
        <v/>
      </c>
      <c r="L1641" s="1" t="str">
        <f t="shared" si="77"/>
        <v/>
      </c>
      <c r="M1641" s="1">
        <f>IF(OR(Table1[[#This Row],[Std Nom]]="",Table1[[#This Row],[Std Read]]=""),0,Table1[[#This Row],[Std Nom]]-Table1[[#This Row],[Std Read]])</f>
        <v>0</v>
      </c>
      <c r="N1641" s="1">
        <f>IF(Calculations!$F$5="ACCREDITED 17025 WITH UNCERTAINTIES",$N$10,0)</f>
        <v>0</v>
      </c>
      <c r="Q1641" s="1">
        <f>Table1[[#This Row],[High Tol]]-Table1[[#This Row],[Low Tol]]</f>
        <v>0</v>
      </c>
      <c r="R1641" s="1">
        <f>2*Table1[[#This Row],[Std Error]]</f>
        <v>0</v>
      </c>
      <c r="S1641" s="1" t="str">
        <f>IF(Table1[[#This Row],[High Tol]]="","N/A",IFERROR(ABS(Table1[[#This Row],[Tol Span]]/Table1[[#This Row],[Error Span]]),"N/A"))</f>
        <v>N/A</v>
      </c>
      <c r="T1641" s="1" t="str">
        <f>IF(OR(Table1[[#This Row],[Low Tol]]="",Table1[[#This Row],[High Tol]]=""),"Needs Analysis",IF(Table1[[#This Row],[Ratio]]&gt;=4,"Not Significant",IF(Table1[[#This Row],[Ratio]]&gt;=2,"Semi-Significant","Significant")))</f>
        <v>Needs Analysis</v>
      </c>
      <c r="W1641" s="1">
        <f>IF(Table1[[#This Row],[Cal Type]]&lt;&gt;"ACCREDITED 17025 WITH UNCERTAINTIES",0,"")</f>
        <v>0</v>
      </c>
      <c r="X1641" s="1" t="str">
        <f>IF(Table1[[#This Row],[DUT Read]]="","N/A",Table1[[#This Row],[Std Error]]+Table1[[#This Row],[DUT Read]]+Table1[[#This Row],[DUT Ucty]])</f>
        <v>N/A</v>
      </c>
      <c r="Y1641" s="1" t="str">
        <f>IF(Table1[[#This Row],[Std Read]]="","N/A",Table1[[#This Row],[Std Read]]+Table1[[#This Row],[Std Ucty]])</f>
        <v>N/A</v>
      </c>
      <c r="Z16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1" s="1" t="str">
        <f>IF(Table1[[#This Row],[Spec Type]]="","N/A",Table1[[#This Row],[Spec Type]])</f>
        <v>±</v>
      </c>
      <c r="AC1641" s="1" t="str">
        <f>IF(Table1[[#This Row],[Spec Type2]]="N/A","N/A",IF(AND(Table1[[#This Row],[DUT Adj Read]]&gt;=Table1[[#This Row],[Low Tol]],Table1[[#This Row],[DUT Adj Read]]&lt;=Table1[[#This Row],[High Tol]]),"Pass","Fail"))</f>
        <v>Fail</v>
      </c>
      <c r="AD1641" s="1" t="str">
        <f>IF(AND(Table1[[#This Row],[Spec Type2]]="N/A",Table1[[#This Row],[DUT Adj Read]]="N/A",Table1[[#This Row],[Std Adj Read]]="N/A"),"N/A",IF(Table1[[#This Row],[DUT Adj Read]]="N/A",IF(Table1[[#This Row],[Std Adj Read]]&gt;Table1[[#This Row],[Low Tol]],"Pass","Fail"),IF(Table1[[#This Row],[DUT Adj Read]]&gt;Table1[[#This Row],[Low Tol]],"Pass","Fail")))</f>
        <v>Pass</v>
      </c>
      <c r="AE1641" s="1" t="str">
        <f>IF(AND(Table1[[#This Row],[Spec Type2]]="N/A",Table1[[#This Row],[DUT Adj Read]]="N/A",Table1[[#This Row],[Std Adj Read]]="N/A"),"N/A",IF(Table1[[#This Row],[DUT Adj Read]]="N/A",IF(Table1[[#This Row],[Std Adj Read]]&lt;Table1[[#This Row],[High Tol]],"Pass","Fail"),IF(Table1[[#This Row],[DUT Adj Read]]&lt;Table1[[#This Row],[High Tol]],"Pass","Fail")))</f>
        <v>Fail</v>
      </c>
      <c r="AF1641" s="1" t="str">
        <f>IF(AND(Table1[[#This Row],[Spec Type2]]="N/A",Table1[[#This Row],[DUT Adj Read]]="N/A",Table1[[#This Row],[Std Adj Read]]="N/A"),"N/A",IF(Table1[[#This Row],[DUT Adj Read]]="N/A",IF(Table1[[#This Row],[Std Adj Read]]&gt;=Table1[[#This Row],[Low Tol]],"Pass","Fail"),IF(Table1[[#This Row],[DUT Adj Read]]&gt;=Table1[[#This Row],[Low Tol]],"Pass","Fail")))</f>
        <v>Pass</v>
      </c>
      <c r="AG1641" s="1" t="str">
        <f>IF(AND(Table1[[#This Row],[Spec Type2]]="N/A",Table1[[#This Row],[DUT Adj Read]]="N/A",Table1[[#This Row],[Std Adj Read]]="N/A"),"N/A",IF(Table1[[#This Row],[DUT Adj Read]]="N/A",IF(Table1[[#This Row],[Std Adj Read]]&lt;=Table1[[#This Row],[High Tol]],"Pass","Fail"),IF(Table1[[#This Row],[DUT Adj Read]]&lt;=Table1[[#This Row],[High Tol]],"Pass","Fail")))</f>
        <v>Fail</v>
      </c>
      <c r="AH16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1" s="1" t="b">
        <v>0</v>
      </c>
      <c r="AN1641" s="1" t="b">
        <v>0</v>
      </c>
      <c r="AO1641" s="1" t="b">
        <v>0</v>
      </c>
    </row>
    <row r="1642" spans="1:41" x14ac:dyDescent="0.25">
      <c r="A1642" s="10"/>
      <c r="B1642" s="10"/>
      <c r="C1642" s="10"/>
      <c r="D1642" s="10"/>
      <c r="E1642" s="10"/>
      <c r="F1642" s="10"/>
      <c r="G1642" s="10"/>
      <c r="H1642" s="10"/>
      <c r="I1642" s="1" t="str">
        <f t="shared" si="75"/>
        <v/>
      </c>
      <c r="J1642" s="1" t="s">
        <v>35</v>
      </c>
      <c r="K1642" s="1" t="str">
        <f t="shared" si="76"/>
        <v/>
      </c>
      <c r="L1642" s="1" t="str">
        <f t="shared" si="77"/>
        <v/>
      </c>
      <c r="M1642" s="1">
        <f>IF(OR(Table1[[#This Row],[Std Nom]]="",Table1[[#This Row],[Std Read]]=""),0,Table1[[#This Row],[Std Nom]]-Table1[[#This Row],[Std Read]])</f>
        <v>0</v>
      </c>
      <c r="N1642" s="1">
        <f>IF(Calculations!$F$5="ACCREDITED 17025 WITH UNCERTAINTIES",$N$10,0)</f>
        <v>0</v>
      </c>
      <c r="Q1642" s="1">
        <f>Table1[[#This Row],[High Tol]]-Table1[[#This Row],[Low Tol]]</f>
        <v>0</v>
      </c>
      <c r="R1642" s="1">
        <f>2*Table1[[#This Row],[Std Error]]</f>
        <v>0</v>
      </c>
      <c r="S1642" s="1" t="str">
        <f>IF(Table1[[#This Row],[High Tol]]="","N/A",IFERROR(ABS(Table1[[#This Row],[Tol Span]]/Table1[[#This Row],[Error Span]]),"N/A"))</f>
        <v>N/A</v>
      </c>
      <c r="T1642" s="1" t="str">
        <f>IF(OR(Table1[[#This Row],[Low Tol]]="",Table1[[#This Row],[High Tol]]=""),"Needs Analysis",IF(Table1[[#This Row],[Ratio]]&gt;=4,"Not Significant",IF(Table1[[#This Row],[Ratio]]&gt;=2,"Semi-Significant","Significant")))</f>
        <v>Needs Analysis</v>
      </c>
      <c r="W1642" s="1">
        <f>IF(Table1[[#This Row],[Cal Type]]&lt;&gt;"ACCREDITED 17025 WITH UNCERTAINTIES",0,"")</f>
        <v>0</v>
      </c>
      <c r="X1642" s="1" t="str">
        <f>IF(Table1[[#This Row],[DUT Read]]="","N/A",Table1[[#This Row],[Std Error]]+Table1[[#This Row],[DUT Read]]+Table1[[#This Row],[DUT Ucty]])</f>
        <v>N/A</v>
      </c>
      <c r="Y1642" s="1" t="str">
        <f>IF(Table1[[#This Row],[Std Read]]="","N/A",Table1[[#This Row],[Std Read]]+Table1[[#This Row],[Std Ucty]])</f>
        <v>N/A</v>
      </c>
      <c r="Z16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2" s="1" t="str">
        <f>IF(Table1[[#This Row],[Spec Type]]="","N/A",Table1[[#This Row],[Spec Type]])</f>
        <v>±</v>
      </c>
      <c r="AC1642" s="1" t="str">
        <f>IF(Table1[[#This Row],[Spec Type2]]="N/A","N/A",IF(AND(Table1[[#This Row],[DUT Adj Read]]&gt;=Table1[[#This Row],[Low Tol]],Table1[[#This Row],[DUT Adj Read]]&lt;=Table1[[#This Row],[High Tol]]),"Pass","Fail"))</f>
        <v>Fail</v>
      </c>
      <c r="AD1642" s="1" t="str">
        <f>IF(AND(Table1[[#This Row],[Spec Type2]]="N/A",Table1[[#This Row],[DUT Adj Read]]="N/A",Table1[[#This Row],[Std Adj Read]]="N/A"),"N/A",IF(Table1[[#This Row],[DUT Adj Read]]="N/A",IF(Table1[[#This Row],[Std Adj Read]]&gt;Table1[[#This Row],[Low Tol]],"Pass","Fail"),IF(Table1[[#This Row],[DUT Adj Read]]&gt;Table1[[#This Row],[Low Tol]],"Pass","Fail")))</f>
        <v>Pass</v>
      </c>
      <c r="AE1642" s="1" t="str">
        <f>IF(AND(Table1[[#This Row],[Spec Type2]]="N/A",Table1[[#This Row],[DUT Adj Read]]="N/A",Table1[[#This Row],[Std Adj Read]]="N/A"),"N/A",IF(Table1[[#This Row],[DUT Adj Read]]="N/A",IF(Table1[[#This Row],[Std Adj Read]]&lt;Table1[[#This Row],[High Tol]],"Pass","Fail"),IF(Table1[[#This Row],[DUT Adj Read]]&lt;Table1[[#This Row],[High Tol]],"Pass","Fail")))</f>
        <v>Fail</v>
      </c>
      <c r="AF1642" s="1" t="str">
        <f>IF(AND(Table1[[#This Row],[Spec Type2]]="N/A",Table1[[#This Row],[DUT Adj Read]]="N/A",Table1[[#This Row],[Std Adj Read]]="N/A"),"N/A",IF(Table1[[#This Row],[DUT Adj Read]]="N/A",IF(Table1[[#This Row],[Std Adj Read]]&gt;=Table1[[#This Row],[Low Tol]],"Pass","Fail"),IF(Table1[[#This Row],[DUT Adj Read]]&gt;=Table1[[#This Row],[Low Tol]],"Pass","Fail")))</f>
        <v>Pass</v>
      </c>
      <c r="AG1642" s="1" t="str">
        <f>IF(AND(Table1[[#This Row],[Spec Type2]]="N/A",Table1[[#This Row],[DUT Adj Read]]="N/A",Table1[[#This Row],[Std Adj Read]]="N/A"),"N/A",IF(Table1[[#This Row],[DUT Adj Read]]="N/A",IF(Table1[[#This Row],[Std Adj Read]]&lt;=Table1[[#This Row],[High Tol]],"Pass","Fail"),IF(Table1[[#This Row],[DUT Adj Read]]&lt;=Table1[[#This Row],[High Tol]],"Pass","Fail")))</f>
        <v>Fail</v>
      </c>
      <c r="AH16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2" s="1" t="b">
        <v>0</v>
      </c>
      <c r="AN1642" s="1" t="b">
        <v>0</v>
      </c>
      <c r="AO1642" s="1" t="b">
        <v>0</v>
      </c>
    </row>
    <row r="1643" spans="1:41" x14ac:dyDescent="0.25">
      <c r="A1643" s="10"/>
      <c r="B1643" s="10"/>
      <c r="C1643" s="10"/>
      <c r="D1643" s="10"/>
      <c r="E1643" s="10"/>
      <c r="F1643" s="10"/>
      <c r="G1643" s="10"/>
      <c r="H1643" s="10"/>
      <c r="I1643" s="1" t="str">
        <f t="shared" si="75"/>
        <v/>
      </c>
      <c r="J1643" s="1" t="s">
        <v>35</v>
      </c>
      <c r="K1643" s="1" t="str">
        <f t="shared" si="76"/>
        <v/>
      </c>
      <c r="L1643" s="1" t="str">
        <f t="shared" si="77"/>
        <v/>
      </c>
      <c r="M1643" s="1">
        <f>IF(OR(Table1[[#This Row],[Std Nom]]="",Table1[[#This Row],[Std Read]]=""),0,Table1[[#This Row],[Std Nom]]-Table1[[#This Row],[Std Read]])</f>
        <v>0</v>
      </c>
      <c r="N1643" s="1">
        <f>IF(Calculations!$F$5="ACCREDITED 17025 WITH UNCERTAINTIES",$N$10,0)</f>
        <v>0</v>
      </c>
      <c r="Q1643" s="1">
        <f>Table1[[#This Row],[High Tol]]-Table1[[#This Row],[Low Tol]]</f>
        <v>0</v>
      </c>
      <c r="R1643" s="1">
        <f>2*Table1[[#This Row],[Std Error]]</f>
        <v>0</v>
      </c>
      <c r="S1643" s="1" t="str">
        <f>IF(Table1[[#This Row],[High Tol]]="","N/A",IFERROR(ABS(Table1[[#This Row],[Tol Span]]/Table1[[#This Row],[Error Span]]),"N/A"))</f>
        <v>N/A</v>
      </c>
      <c r="T1643" s="1" t="str">
        <f>IF(OR(Table1[[#This Row],[Low Tol]]="",Table1[[#This Row],[High Tol]]=""),"Needs Analysis",IF(Table1[[#This Row],[Ratio]]&gt;=4,"Not Significant",IF(Table1[[#This Row],[Ratio]]&gt;=2,"Semi-Significant","Significant")))</f>
        <v>Needs Analysis</v>
      </c>
      <c r="W1643" s="1">
        <f>IF(Table1[[#This Row],[Cal Type]]&lt;&gt;"ACCREDITED 17025 WITH UNCERTAINTIES",0,"")</f>
        <v>0</v>
      </c>
      <c r="X1643" s="1" t="str">
        <f>IF(Table1[[#This Row],[DUT Read]]="","N/A",Table1[[#This Row],[Std Error]]+Table1[[#This Row],[DUT Read]]+Table1[[#This Row],[DUT Ucty]])</f>
        <v>N/A</v>
      </c>
      <c r="Y1643" s="1" t="str">
        <f>IF(Table1[[#This Row],[Std Read]]="","N/A",Table1[[#This Row],[Std Read]]+Table1[[#This Row],[Std Ucty]])</f>
        <v>N/A</v>
      </c>
      <c r="Z16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3" s="1" t="str">
        <f>IF(Table1[[#This Row],[Spec Type]]="","N/A",Table1[[#This Row],[Spec Type]])</f>
        <v>±</v>
      </c>
      <c r="AC1643" s="1" t="str">
        <f>IF(Table1[[#This Row],[Spec Type2]]="N/A","N/A",IF(AND(Table1[[#This Row],[DUT Adj Read]]&gt;=Table1[[#This Row],[Low Tol]],Table1[[#This Row],[DUT Adj Read]]&lt;=Table1[[#This Row],[High Tol]]),"Pass","Fail"))</f>
        <v>Fail</v>
      </c>
      <c r="AD1643" s="1" t="str">
        <f>IF(AND(Table1[[#This Row],[Spec Type2]]="N/A",Table1[[#This Row],[DUT Adj Read]]="N/A",Table1[[#This Row],[Std Adj Read]]="N/A"),"N/A",IF(Table1[[#This Row],[DUT Adj Read]]="N/A",IF(Table1[[#This Row],[Std Adj Read]]&gt;Table1[[#This Row],[Low Tol]],"Pass","Fail"),IF(Table1[[#This Row],[DUT Adj Read]]&gt;Table1[[#This Row],[Low Tol]],"Pass","Fail")))</f>
        <v>Pass</v>
      </c>
      <c r="AE1643" s="1" t="str">
        <f>IF(AND(Table1[[#This Row],[Spec Type2]]="N/A",Table1[[#This Row],[DUT Adj Read]]="N/A",Table1[[#This Row],[Std Adj Read]]="N/A"),"N/A",IF(Table1[[#This Row],[DUT Adj Read]]="N/A",IF(Table1[[#This Row],[Std Adj Read]]&lt;Table1[[#This Row],[High Tol]],"Pass","Fail"),IF(Table1[[#This Row],[DUT Adj Read]]&lt;Table1[[#This Row],[High Tol]],"Pass","Fail")))</f>
        <v>Fail</v>
      </c>
      <c r="AF1643" s="1" t="str">
        <f>IF(AND(Table1[[#This Row],[Spec Type2]]="N/A",Table1[[#This Row],[DUT Adj Read]]="N/A",Table1[[#This Row],[Std Adj Read]]="N/A"),"N/A",IF(Table1[[#This Row],[DUT Adj Read]]="N/A",IF(Table1[[#This Row],[Std Adj Read]]&gt;=Table1[[#This Row],[Low Tol]],"Pass","Fail"),IF(Table1[[#This Row],[DUT Adj Read]]&gt;=Table1[[#This Row],[Low Tol]],"Pass","Fail")))</f>
        <v>Pass</v>
      </c>
      <c r="AG1643" s="1" t="str">
        <f>IF(AND(Table1[[#This Row],[Spec Type2]]="N/A",Table1[[#This Row],[DUT Adj Read]]="N/A",Table1[[#This Row],[Std Adj Read]]="N/A"),"N/A",IF(Table1[[#This Row],[DUT Adj Read]]="N/A",IF(Table1[[#This Row],[Std Adj Read]]&lt;=Table1[[#This Row],[High Tol]],"Pass","Fail"),IF(Table1[[#This Row],[DUT Adj Read]]&lt;=Table1[[#This Row],[High Tol]],"Pass","Fail")))</f>
        <v>Fail</v>
      </c>
      <c r="AH16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3" s="1" t="b">
        <v>0</v>
      </c>
      <c r="AN1643" s="1" t="b">
        <v>0</v>
      </c>
      <c r="AO1643" s="1" t="b">
        <v>0</v>
      </c>
    </row>
    <row r="1644" spans="1:41" x14ac:dyDescent="0.25">
      <c r="A1644" s="10"/>
      <c r="B1644" s="10"/>
      <c r="C1644" s="10"/>
      <c r="D1644" s="10"/>
      <c r="E1644" s="10"/>
      <c r="F1644" s="10"/>
      <c r="G1644" s="10"/>
      <c r="H1644" s="10"/>
      <c r="I1644" s="1" t="str">
        <f t="shared" si="75"/>
        <v/>
      </c>
      <c r="J1644" s="1" t="s">
        <v>35</v>
      </c>
      <c r="K1644" s="1" t="str">
        <f t="shared" si="76"/>
        <v/>
      </c>
      <c r="L1644" s="1" t="str">
        <f t="shared" si="77"/>
        <v/>
      </c>
      <c r="M1644" s="1">
        <f>IF(OR(Table1[[#This Row],[Std Nom]]="",Table1[[#This Row],[Std Read]]=""),0,Table1[[#This Row],[Std Nom]]-Table1[[#This Row],[Std Read]])</f>
        <v>0</v>
      </c>
      <c r="N1644" s="1">
        <f>IF(Calculations!$F$5="ACCREDITED 17025 WITH UNCERTAINTIES",$N$10,0)</f>
        <v>0</v>
      </c>
      <c r="Q1644" s="1">
        <f>Table1[[#This Row],[High Tol]]-Table1[[#This Row],[Low Tol]]</f>
        <v>0</v>
      </c>
      <c r="R1644" s="1">
        <f>2*Table1[[#This Row],[Std Error]]</f>
        <v>0</v>
      </c>
      <c r="S1644" s="1" t="str">
        <f>IF(Table1[[#This Row],[High Tol]]="","N/A",IFERROR(ABS(Table1[[#This Row],[Tol Span]]/Table1[[#This Row],[Error Span]]),"N/A"))</f>
        <v>N/A</v>
      </c>
      <c r="T1644" s="1" t="str">
        <f>IF(OR(Table1[[#This Row],[Low Tol]]="",Table1[[#This Row],[High Tol]]=""),"Needs Analysis",IF(Table1[[#This Row],[Ratio]]&gt;=4,"Not Significant",IF(Table1[[#This Row],[Ratio]]&gt;=2,"Semi-Significant","Significant")))</f>
        <v>Needs Analysis</v>
      </c>
      <c r="W1644" s="1">
        <f>IF(Table1[[#This Row],[Cal Type]]&lt;&gt;"ACCREDITED 17025 WITH UNCERTAINTIES",0,"")</f>
        <v>0</v>
      </c>
      <c r="X1644" s="1" t="str">
        <f>IF(Table1[[#This Row],[DUT Read]]="","N/A",Table1[[#This Row],[Std Error]]+Table1[[#This Row],[DUT Read]]+Table1[[#This Row],[DUT Ucty]])</f>
        <v>N/A</v>
      </c>
      <c r="Y1644" s="1" t="str">
        <f>IF(Table1[[#This Row],[Std Read]]="","N/A",Table1[[#This Row],[Std Read]]+Table1[[#This Row],[Std Ucty]])</f>
        <v>N/A</v>
      </c>
      <c r="Z16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4" s="1" t="str">
        <f>IF(Table1[[#This Row],[Spec Type]]="","N/A",Table1[[#This Row],[Spec Type]])</f>
        <v>±</v>
      </c>
      <c r="AC1644" s="1" t="str">
        <f>IF(Table1[[#This Row],[Spec Type2]]="N/A","N/A",IF(AND(Table1[[#This Row],[DUT Adj Read]]&gt;=Table1[[#This Row],[Low Tol]],Table1[[#This Row],[DUT Adj Read]]&lt;=Table1[[#This Row],[High Tol]]),"Pass","Fail"))</f>
        <v>Fail</v>
      </c>
      <c r="AD1644" s="1" t="str">
        <f>IF(AND(Table1[[#This Row],[Spec Type2]]="N/A",Table1[[#This Row],[DUT Adj Read]]="N/A",Table1[[#This Row],[Std Adj Read]]="N/A"),"N/A",IF(Table1[[#This Row],[DUT Adj Read]]="N/A",IF(Table1[[#This Row],[Std Adj Read]]&gt;Table1[[#This Row],[Low Tol]],"Pass","Fail"),IF(Table1[[#This Row],[DUT Adj Read]]&gt;Table1[[#This Row],[Low Tol]],"Pass","Fail")))</f>
        <v>Pass</v>
      </c>
      <c r="AE1644" s="1" t="str">
        <f>IF(AND(Table1[[#This Row],[Spec Type2]]="N/A",Table1[[#This Row],[DUT Adj Read]]="N/A",Table1[[#This Row],[Std Adj Read]]="N/A"),"N/A",IF(Table1[[#This Row],[DUT Adj Read]]="N/A",IF(Table1[[#This Row],[Std Adj Read]]&lt;Table1[[#This Row],[High Tol]],"Pass","Fail"),IF(Table1[[#This Row],[DUT Adj Read]]&lt;Table1[[#This Row],[High Tol]],"Pass","Fail")))</f>
        <v>Fail</v>
      </c>
      <c r="AF1644" s="1" t="str">
        <f>IF(AND(Table1[[#This Row],[Spec Type2]]="N/A",Table1[[#This Row],[DUT Adj Read]]="N/A",Table1[[#This Row],[Std Adj Read]]="N/A"),"N/A",IF(Table1[[#This Row],[DUT Adj Read]]="N/A",IF(Table1[[#This Row],[Std Adj Read]]&gt;=Table1[[#This Row],[Low Tol]],"Pass","Fail"),IF(Table1[[#This Row],[DUT Adj Read]]&gt;=Table1[[#This Row],[Low Tol]],"Pass","Fail")))</f>
        <v>Pass</v>
      </c>
      <c r="AG1644" s="1" t="str">
        <f>IF(AND(Table1[[#This Row],[Spec Type2]]="N/A",Table1[[#This Row],[DUT Adj Read]]="N/A",Table1[[#This Row],[Std Adj Read]]="N/A"),"N/A",IF(Table1[[#This Row],[DUT Adj Read]]="N/A",IF(Table1[[#This Row],[Std Adj Read]]&lt;=Table1[[#This Row],[High Tol]],"Pass","Fail"),IF(Table1[[#This Row],[DUT Adj Read]]&lt;=Table1[[#This Row],[High Tol]],"Pass","Fail")))</f>
        <v>Fail</v>
      </c>
      <c r="AH16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4" s="1" t="b">
        <v>0</v>
      </c>
      <c r="AN1644" s="1" t="b">
        <v>0</v>
      </c>
      <c r="AO1644" s="1" t="b">
        <v>0</v>
      </c>
    </row>
    <row r="1645" spans="1:41" x14ac:dyDescent="0.25">
      <c r="A1645" s="10"/>
      <c r="B1645" s="10"/>
      <c r="C1645" s="10"/>
      <c r="D1645" s="10"/>
      <c r="E1645" s="10"/>
      <c r="F1645" s="10"/>
      <c r="G1645" s="10"/>
      <c r="H1645" s="10"/>
      <c r="I1645" s="1" t="str">
        <f t="shared" si="75"/>
        <v/>
      </c>
      <c r="J1645" s="1" t="s">
        <v>35</v>
      </c>
      <c r="K1645" s="1" t="str">
        <f t="shared" si="76"/>
        <v/>
      </c>
      <c r="L1645" s="1" t="str">
        <f t="shared" si="77"/>
        <v/>
      </c>
      <c r="M1645" s="1">
        <f>IF(OR(Table1[[#This Row],[Std Nom]]="",Table1[[#This Row],[Std Read]]=""),0,Table1[[#This Row],[Std Nom]]-Table1[[#This Row],[Std Read]])</f>
        <v>0</v>
      </c>
      <c r="N1645" s="1">
        <f>IF(Calculations!$F$5="ACCREDITED 17025 WITH UNCERTAINTIES",$N$10,0)</f>
        <v>0</v>
      </c>
      <c r="Q1645" s="1">
        <f>Table1[[#This Row],[High Tol]]-Table1[[#This Row],[Low Tol]]</f>
        <v>0</v>
      </c>
      <c r="R1645" s="1">
        <f>2*Table1[[#This Row],[Std Error]]</f>
        <v>0</v>
      </c>
      <c r="S1645" s="1" t="str">
        <f>IF(Table1[[#This Row],[High Tol]]="","N/A",IFERROR(ABS(Table1[[#This Row],[Tol Span]]/Table1[[#This Row],[Error Span]]),"N/A"))</f>
        <v>N/A</v>
      </c>
      <c r="T1645" s="1" t="str">
        <f>IF(OR(Table1[[#This Row],[Low Tol]]="",Table1[[#This Row],[High Tol]]=""),"Needs Analysis",IF(Table1[[#This Row],[Ratio]]&gt;=4,"Not Significant",IF(Table1[[#This Row],[Ratio]]&gt;=2,"Semi-Significant","Significant")))</f>
        <v>Needs Analysis</v>
      </c>
      <c r="W1645" s="1">
        <f>IF(Table1[[#This Row],[Cal Type]]&lt;&gt;"ACCREDITED 17025 WITH UNCERTAINTIES",0,"")</f>
        <v>0</v>
      </c>
      <c r="X1645" s="1" t="str">
        <f>IF(Table1[[#This Row],[DUT Read]]="","N/A",Table1[[#This Row],[Std Error]]+Table1[[#This Row],[DUT Read]]+Table1[[#This Row],[DUT Ucty]])</f>
        <v>N/A</v>
      </c>
      <c r="Y1645" s="1" t="str">
        <f>IF(Table1[[#This Row],[Std Read]]="","N/A",Table1[[#This Row],[Std Read]]+Table1[[#This Row],[Std Ucty]])</f>
        <v>N/A</v>
      </c>
      <c r="Z16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5" s="1" t="str">
        <f>IF(Table1[[#This Row],[Spec Type]]="","N/A",Table1[[#This Row],[Spec Type]])</f>
        <v>±</v>
      </c>
      <c r="AC1645" s="1" t="str">
        <f>IF(Table1[[#This Row],[Spec Type2]]="N/A","N/A",IF(AND(Table1[[#This Row],[DUT Adj Read]]&gt;=Table1[[#This Row],[Low Tol]],Table1[[#This Row],[DUT Adj Read]]&lt;=Table1[[#This Row],[High Tol]]),"Pass","Fail"))</f>
        <v>Fail</v>
      </c>
      <c r="AD1645" s="1" t="str">
        <f>IF(AND(Table1[[#This Row],[Spec Type2]]="N/A",Table1[[#This Row],[DUT Adj Read]]="N/A",Table1[[#This Row],[Std Adj Read]]="N/A"),"N/A",IF(Table1[[#This Row],[DUT Adj Read]]="N/A",IF(Table1[[#This Row],[Std Adj Read]]&gt;Table1[[#This Row],[Low Tol]],"Pass","Fail"),IF(Table1[[#This Row],[DUT Adj Read]]&gt;Table1[[#This Row],[Low Tol]],"Pass","Fail")))</f>
        <v>Pass</v>
      </c>
      <c r="AE1645" s="1" t="str">
        <f>IF(AND(Table1[[#This Row],[Spec Type2]]="N/A",Table1[[#This Row],[DUT Adj Read]]="N/A",Table1[[#This Row],[Std Adj Read]]="N/A"),"N/A",IF(Table1[[#This Row],[DUT Adj Read]]="N/A",IF(Table1[[#This Row],[Std Adj Read]]&lt;Table1[[#This Row],[High Tol]],"Pass","Fail"),IF(Table1[[#This Row],[DUT Adj Read]]&lt;Table1[[#This Row],[High Tol]],"Pass","Fail")))</f>
        <v>Fail</v>
      </c>
      <c r="AF1645" s="1" t="str">
        <f>IF(AND(Table1[[#This Row],[Spec Type2]]="N/A",Table1[[#This Row],[DUT Adj Read]]="N/A",Table1[[#This Row],[Std Adj Read]]="N/A"),"N/A",IF(Table1[[#This Row],[DUT Adj Read]]="N/A",IF(Table1[[#This Row],[Std Adj Read]]&gt;=Table1[[#This Row],[Low Tol]],"Pass","Fail"),IF(Table1[[#This Row],[DUT Adj Read]]&gt;=Table1[[#This Row],[Low Tol]],"Pass","Fail")))</f>
        <v>Pass</v>
      </c>
      <c r="AG1645" s="1" t="str">
        <f>IF(AND(Table1[[#This Row],[Spec Type2]]="N/A",Table1[[#This Row],[DUT Adj Read]]="N/A",Table1[[#This Row],[Std Adj Read]]="N/A"),"N/A",IF(Table1[[#This Row],[DUT Adj Read]]="N/A",IF(Table1[[#This Row],[Std Adj Read]]&lt;=Table1[[#This Row],[High Tol]],"Pass","Fail"),IF(Table1[[#This Row],[DUT Adj Read]]&lt;=Table1[[#This Row],[High Tol]],"Pass","Fail")))</f>
        <v>Fail</v>
      </c>
      <c r="AH16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5" s="1" t="b">
        <v>0</v>
      </c>
      <c r="AN1645" s="1" t="b">
        <v>0</v>
      </c>
      <c r="AO1645" s="1" t="b">
        <v>0</v>
      </c>
    </row>
    <row r="1646" spans="1:41" x14ac:dyDescent="0.25">
      <c r="A1646" s="10"/>
      <c r="B1646" s="10"/>
      <c r="C1646" s="10"/>
      <c r="D1646" s="10"/>
      <c r="E1646" s="10"/>
      <c r="F1646" s="10"/>
      <c r="G1646" s="10"/>
      <c r="H1646" s="10"/>
      <c r="I1646" s="1" t="str">
        <f t="shared" si="75"/>
        <v/>
      </c>
      <c r="J1646" s="1" t="s">
        <v>35</v>
      </c>
      <c r="K1646" s="1" t="str">
        <f t="shared" si="76"/>
        <v/>
      </c>
      <c r="L1646" s="1" t="str">
        <f t="shared" si="77"/>
        <v/>
      </c>
      <c r="M1646" s="1">
        <f>IF(OR(Table1[[#This Row],[Std Nom]]="",Table1[[#This Row],[Std Read]]=""),0,Table1[[#This Row],[Std Nom]]-Table1[[#This Row],[Std Read]])</f>
        <v>0</v>
      </c>
      <c r="N1646" s="1">
        <f>IF(Calculations!$F$5="ACCREDITED 17025 WITH UNCERTAINTIES",$N$10,0)</f>
        <v>0</v>
      </c>
      <c r="Q1646" s="1">
        <f>Table1[[#This Row],[High Tol]]-Table1[[#This Row],[Low Tol]]</f>
        <v>0</v>
      </c>
      <c r="R1646" s="1">
        <f>2*Table1[[#This Row],[Std Error]]</f>
        <v>0</v>
      </c>
      <c r="S1646" s="1" t="str">
        <f>IF(Table1[[#This Row],[High Tol]]="","N/A",IFERROR(ABS(Table1[[#This Row],[Tol Span]]/Table1[[#This Row],[Error Span]]),"N/A"))</f>
        <v>N/A</v>
      </c>
      <c r="T1646" s="1" t="str">
        <f>IF(OR(Table1[[#This Row],[Low Tol]]="",Table1[[#This Row],[High Tol]]=""),"Needs Analysis",IF(Table1[[#This Row],[Ratio]]&gt;=4,"Not Significant",IF(Table1[[#This Row],[Ratio]]&gt;=2,"Semi-Significant","Significant")))</f>
        <v>Needs Analysis</v>
      </c>
      <c r="W1646" s="1">
        <f>IF(Table1[[#This Row],[Cal Type]]&lt;&gt;"ACCREDITED 17025 WITH UNCERTAINTIES",0,"")</f>
        <v>0</v>
      </c>
      <c r="X1646" s="1" t="str">
        <f>IF(Table1[[#This Row],[DUT Read]]="","N/A",Table1[[#This Row],[Std Error]]+Table1[[#This Row],[DUT Read]]+Table1[[#This Row],[DUT Ucty]])</f>
        <v>N/A</v>
      </c>
      <c r="Y1646" s="1" t="str">
        <f>IF(Table1[[#This Row],[Std Read]]="","N/A",Table1[[#This Row],[Std Read]]+Table1[[#This Row],[Std Ucty]])</f>
        <v>N/A</v>
      </c>
      <c r="Z16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6" s="1" t="str">
        <f>IF(Table1[[#This Row],[Spec Type]]="","N/A",Table1[[#This Row],[Spec Type]])</f>
        <v>±</v>
      </c>
      <c r="AC1646" s="1" t="str">
        <f>IF(Table1[[#This Row],[Spec Type2]]="N/A","N/A",IF(AND(Table1[[#This Row],[DUT Adj Read]]&gt;=Table1[[#This Row],[Low Tol]],Table1[[#This Row],[DUT Adj Read]]&lt;=Table1[[#This Row],[High Tol]]),"Pass","Fail"))</f>
        <v>Fail</v>
      </c>
      <c r="AD1646" s="1" t="str">
        <f>IF(AND(Table1[[#This Row],[Spec Type2]]="N/A",Table1[[#This Row],[DUT Adj Read]]="N/A",Table1[[#This Row],[Std Adj Read]]="N/A"),"N/A",IF(Table1[[#This Row],[DUT Adj Read]]="N/A",IF(Table1[[#This Row],[Std Adj Read]]&gt;Table1[[#This Row],[Low Tol]],"Pass","Fail"),IF(Table1[[#This Row],[DUT Adj Read]]&gt;Table1[[#This Row],[Low Tol]],"Pass","Fail")))</f>
        <v>Pass</v>
      </c>
      <c r="AE1646" s="1" t="str">
        <f>IF(AND(Table1[[#This Row],[Spec Type2]]="N/A",Table1[[#This Row],[DUT Adj Read]]="N/A",Table1[[#This Row],[Std Adj Read]]="N/A"),"N/A",IF(Table1[[#This Row],[DUT Adj Read]]="N/A",IF(Table1[[#This Row],[Std Adj Read]]&lt;Table1[[#This Row],[High Tol]],"Pass","Fail"),IF(Table1[[#This Row],[DUT Adj Read]]&lt;Table1[[#This Row],[High Tol]],"Pass","Fail")))</f>
        <v>Fail</v>
      </c>
      <c r="AF1646" s="1" t="str">
        <f>IF(AND(Table1[[#This Row],[Spec Type2]]="N/A",Table1[[#This Row],[DUT Adj Read]]="N/A",Table1[[#This Row],[Std Adj Read]]="N/A"),"N/A",IF(Table1[[#This Row],[DUT Adj Read]]="N/A",IF(Table1[[#This Row],[Std Adj Read]]&gt;=Table1[[#This Row],[Low Tol]],"Pass","Fail"),IF(Table1[[#This Row],[DUT Adj Read]]&gt;=Table1[[#This Row],[Low Tol]],"Pass","Fail")))</f>
        <v>Pass</v>
      </c>
      <c r="AG1646" s="1" t="str">
        <f>IF(AND(Table1[[#This Row],[Spec Type2]]="N/A",Table1[[#This Row],[DUT Adj Read]]="N/A",Table1[[#This Row],[Std Adj Read]]="N/A"),"N/A",IF(Table1[[#This Row],[DUT Adj Read]]="N/A",IF(Table1[[#This Row],[Std Adj Read]]&lt;=Table1[[#This Row],[High Tol]],"Pass","Fail"),IF(Table1[[#This Row],[DUT Adj Read]]&lt;=Table1[[#This Row],[High Tol]],"Pass","Fail")))</f>
        <v>Fail</v>
      </c>
      <c r="AH16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6" s="1" t="b">
        <v>0</v>
      </c>
      <c r="AN1646" s="1" t="b">
        <v>0</v>
      </c>
      <c r="AO1646" s="1" t="b">
        <v>0</v>
      </c>
    </row>
    <row r="1647" spans="1:41" x14ac:dyDescent="0.25">
      <c r="A1647" s="10"/>
      <c r="B1647" s="10"/>
      <c r="C1647" s="10"/>
      <c r="D1647" s="10"/>
      <c r="E1647" s="10"/>
      <c r="F1647" s="10"/>
      <c r="G1647" s="10"/>
      <c r="H1647" s="10"/>
      <c r="I1647" s="1" t="str">
        <f t="shared" si="75"/>
        <v/>
      </c>
      <c r="J1647" s="1" t="s">
        <v>35</v>
      </c>
      <c r="K1647" s="1" t="str">
        <f t="shared" si="76"/>
        <v/>
      </c>
      <c r="L1647" s="1" t="str">
        <f t="shared" si="77"/>
        <v/>
      </c>
      <c r="M1647" s="1">
        <f>IF(OR(Table1[[#This Row],[Std Nom]]="",Table1[[#This Row],[Std Read]]=""),0,Table1[[#This Row],[Std Nom]]-Table1[[#This Row],[Std Read]])</f>
        <v>0</v>
      </c>
      <c r="N1647" s="1">
        <f>IF(Calculations!$F$5="ACCREDITED 17025 WITH UNCERTAINTIES",$N$10,0)</f>
        <v>0</v>
      </c>
      <c r="Q1647" s="1">
        <f>Table1[[#This Row],[High Tol]]-Table1[[#This Row],[Low Tol]]</f>
        <v>0</v>
      </c>
      <c r="R1647" s="1">
        <f>2*Table1[[#This Row],[Std Error]]</f>
        <v>0</v>
      </c>
      <c r="S1647" s="1" t="str">
        <f>IF(Table1[[#This Row],[High Tol]]="","N/A",IFERROR(ABS(Table1[[#This Row],[Tol Span]]/Table1[[#This Row],[Error Span]]),"N/A"))</f>
        <v>N/A</v>
      </c>
      <c r="T1647" s="1" t="str">
        <f>IF(OR(Table1[[#This Row],[Low Tol]]="",Table1[[#This Row],[High Tol]]=""),"Needs Analysis",IF(Table1[[#This Row],[Ratio]]&gt;=4,"Not Significant",IF(Table1[[#This Row],[Ratio]]&gt;=2,"Semi-Significant","Significant")))</f>
        <v>Needs Analysis</v>
      </c>
      <c r="W1647" s="1">
        <f>IF(Table1[[#This Row],[Cal Type]]&lt;&gt;"ACCREDITED 17025 WITH UNCERTAINTIES",0,"")</f>
        <v>0</v>
      </c>
      <c r="X1647" s="1" t="str">
        <f>IF(Table1[[#This Row],[DUT Read]]="","N/A",Table1[[#This Row],[Std Error]]+Table1[[#This Row],[DUT Read]]+Table1[[#This Row],[DUT Ucty]])</f>
        <v>N/A</v>
      </c>
      <c r="Y1647" s="1" t="str">
        <f>IF(Table1[[#This Row],[Std Read]]="","N/A",Table1[[#This Row],[Std Read]]+Table1[[#This Row],[Std Ucty]])</f>
        <v>N/A</v>
      </c>
      <c r="Z16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7" s="1" t="str">
        <f>IF(Table1[[#This Row],[Spec Type]]="","N/A",Table1[[#This Row],[Spec Type]])</f>
        <v>±</v>
      </c>
      <c r="AC1647" s="1" t="str">
        <f>IF(Table1[[#This Row],[Spec Type2]]="N/A","N/A",IF(AND(Table1[[#This Row],[DUT Adj Read]]&gt;=Table1[[#This Row],[Low Tol]],Table1[[#This Row],[DUT Adj Read]]&lt;=Table1[[#This Row],[High Tol]]),"Pass","Fail"))</f>
        <v>Fail</v>
      </c>
      <c r="AD1647" s="1" t="str">
        <f>IF(AND(Table1[[#This Row],[Spec Type2]]="N/A",Table1[[#This Row],[DUT Adj Read]]="N/A",Table1[[#This Row],[Std Adj Read]]="N/A"),"N/A",IF(Table1[[#This Row],[DUT Adj Read]]="N/A",IF(Table1[[#This Row],[Std Adj Read]]&gt;Table1[[#This Row],[Low Tol]],"Pass","Fail"),IF(Table1[[#This Row],[DUT Adj Read]]&gt;Table1[[#This Row],[Low Tol]],"Pass","Fail")))</f>
        <v>Pass</v>
      </c>
      <c r="AE1647" s="1" t="str">
        <f>IF(AND(Table1[[#This Row],[Spec Type2]]="N/A",Table1[[#This Row],[DUT Adj Read]]="N/A",Table1[[#This Row],[Std Adj Read]]="N/A"),"N/A",IF(Table1[[#This Row],[DUT Adj Read]]="N/A",IF(Table1[[#This Row],[Std Adj Read]]&lt;Table1[[#This Row],[High Tol]],"Pass","Fail"),IF(Table1[[#This Row],[DUT Adj Read]]&lt;Table1[[#This Row],[High Tol]],"Pass","Fail")))</f>
        <v>Fail</v>
      </c>
      <c r="AF1647" s="1" t="str">
        <f>IF(AND(Table1[[#This Row],[Spec Type2]]="N/A",Table1[[#This Row],[DUT Adj Read]]="N/A",Table1[[#This Row],[Std Adj Read]]="N/A"),"N/A",IF(Table1[[#This Row],[DUT Adj Read]]="N/A",IF(Table1[[#This Row],[Std Adj Read]]&gt;=Table1[[#This Row],[Low Tol]],"Pass","Fail"),IF(Table1[[#This Row],[DUT Adj Read]]&gt;=Table1[[#This Row],[Low Tol]],"Pass","Fail")))</f>
        <v>Pass</v>
      </c>
      <c r="AG1647" s="1" t="str">
        <f>IF(AND(Table1[[#This Row],[Spec Type2]]="N/A",Table1[[#This Row],[DUT Adj Read]]="N/A",Table1[[#This Row],[Std Adj Read]]="N/A"),"N/A",IF(Table1[[#This Row],[DUT Adj Read]]="N/A",IF(Table1[[#This Row],[Std Adj Read]]&lt;=Table1[[#This Row],[High Tol]],"Pass","Fail"),IF(Table1[[#This Row],[DUT Adj Read]]&lt;=Table1[[#This Row],[High Tol]],"Pass","Fail")))</f>
        <v>Fail</v>
      </c>
      <c r="AH16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7" s="1" t="b">
        <v>0</v>
      </c>
      <c r="AN1647" s="1" t="b">
        <v>0</v>
      </c>
      <c r="AO1647" s="1" t="b">
        <v>0</v>
      </c>
    </row>
    <row r="1648" spans="1:41" x14ac:dyDescent="0.25">
      <c r="A1648" s="10"/>
      <c r="B1648" s="10"/>
      <c r="C1648" s="10"/>
      <c r="D1648" s="10"/>
      <c r="E1648" s="10"/>
      <c r="F1648" s="10"/>
      <c r="G1648" s="10"/>
      <c r="H1648" s="10"/>
      <c r="I1648" s="1" t="str">
        <f t="shared" si="75"/>
        <v/>
      </c>
      <c r="J1648" s="1" t="s">
        <v>35</v>
      </c>
      <c r="K1648" s="1" t="str">
        <f t="shared" si="76"/>
        <v/>
      </c>
      <c r="L1648" s="1" t="str">
        <f t="shared" si="77"/>
        <v/>
      </c>
      <c r="M1648" s="1">
        <f>IF(OR(Table1[[#This Row],[Std Nom]]="",Table1[[#This Row],[Std Read]]=""),0,Table1[[#This Row],[Std Nom]]-Table1[[#This Row],[Std Read]])</f>
        <v>0</v>
      </c>
      <c r="N1648" s="1">
        <f>IF(Calculations!$F$5="ACCREDITED 17025 WITH UNCERTAINTIES",$N$10,0)</f>
        <v>0</v>
      </c>
      <c r="Q1648" s="1">
        <f>Table1[[#This Row],[High Tol]]-Table1[[#This Row],[Low Tol]]</f>
        <v>0</v>
      </c>
      <c r="R1648" s="1">
        <f>2*Table1[[#This Row],[Std Error]]</f>
        <v>0</v>
      </c>
      <c r="S1648" s="1" t="str">
        <f>IF(Table1[[#This Row],[High Tol]]="","N/A",IFERROR(ABS(Table1[[#This Row],[Tol Span]]/Table1[[#This Row],[Error Span]]),"N/A"))</f>
        <v>N/A</v>
      </c>
      <c r="T1648" s="1" t="str">
        <f>IF(OR(Table1[[#This Row],[Low Tol]]="",Table1[[#This Row],[High Tol]]=""),"Needs Analysis",IF(Table1[[#This Row],[Ratio]]&gt;=4,"Not Significant",IF(Table1[[#This Row],[Ratio]]&gt;=2,"Semi-Significant","Significant")))</f>
        <v>Needs Analysis</v>
      </c>
      <c r="W1648" s="1">
        <f>IF(Table1[[#This Row],[Cal Type]]&lt;&gt;"ACCREDITED 17025 WITH UNCERTAINTIES",0,"")</f>
        <v>0</v>
      </c>
      <c r="X1648" s="1" t="str">
        <f>IF(Table1[[#This Row],[DUT Read]]="","N/A",Table1[[#This Row],[Std Error]]+Table1[[#This Row],[DUT Read]]+Table1[[#This Row],[DUT Ucty]])</f>
        <v>N/A</v>
      </c>
      <c r="Y1648" s="1" t="str">
        <f>IF(Table1[[#This Row],[Std Read]]="","N/A",Table1[[#This Row],[Std Read]]+Table1[[#This Row],[Std Ucty]])</f>
        <v>N/A</v>
      </c>
      <c r="Z16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8" s="1" t="str">
        <f>IF(Table1[[#This Row],[Spec Type]]="","N/A",Table1[[#This Row],[Spec Type]])</f>
        <v>±</v>
      </c>
      <c r="AC1648" s="1" t="str">
        <f>IF(Table1[[#This Row],[Spec Type2]]="N/A","N/A",IF(AND(Table1[[#This Row],[DUT Adj Read]]&gt;=Table1[[#This Row],[Low Tol]],Table1[[#This Row],[DUT Adj Read]]&lt;=Table1[[#This Row],[High Tol]]),"Pass","Fail"))</f>
        <v>Fail</v>
      </c>
      <c r="AD1648" s="1" t="str">
        <f>IF(AND(Table1[[#This Row],[Spec Type2]]="N/A",Table1[[#This Row],[DUT Adj Read]]="N/A",Table1[[#This Row],[Std Adj Read]]="N/A"),"N/A",IF(Table1[[#This Row],[DUT Adj Read]]="N/A",IF(Table1[[#This Row],[Std Adj Read]]&gt;Table1[[#This Row],[Low Tol]],"Pass","Fail"),IF(Table1[[#This Row],[DUT Adj Read]]&gt;Table1[[#This Row],[Low Tol]],"Pass","Fail")))</f>
        <v>Pass</v>
      </c>
      <c r="AE1648" s="1" t="str">
        <f>IF(AND(Table1[[#This Row],[Spec Type2]]="N/A",Table1[[#This Row],[DUT Adj Read]]="N/A",Table1[[#This Row],[Std Adj Read]]="N/A"),"N/A",IF(Table1[[#This Row],[DUT Adj Read]]="N/A",IF(Table1[[#This Row],[Std Adj Read]]&lt;Table1[[#This Row],[High Tol]],"Pass","Fail"),IF(Table1[[#This Row],[DUT Adj Read]]&lt;Table1[[#This Row],[High Tol]],"Pass","Fail")))</f>
        <v>Fail</v>
      </c>
      <c r="AF1648" s="1" t="str">
        <f>IF(AND(Table1[[#This Row],[Spec Type2]]="N/A",Table1[[#This Row],[DUT Adj Read]]="N/A",Table1[[#This Row],[Std Adj Read]]="N/A"),"N/A",IF(Table1[[#This Row],[DUT Adj Read]]="N/A",IF(Table1[[#This Row],[Std Adj Read]]&gt;=Table1[[#This Row],[Low Tol]],"Pass","Fail"),IF(Table1[[#This Row],[DUT Adj Read]]&gt;=Table1[[#This Row],[Low Tol]],"Pass","Fail")))</f>
        <v>Pass</v>
      </c>
      <c r="AG1648" s="1" t="str">
        <f>IF(AND(Table1[[#This Row],[Spec Type2]]="N/A",Table1[[#This Row],[DUT Adj Read]]="N/A",Table1[[#This Row],[Std Adj Read]]="N/A"),"N/A",IF(Table1[[#This Row],[DUT Adj Read]]="N/A",IF(Table1[[#This Row],[Std Adj Read]]&lt;=Table1[[#This Row],[High Tol]],"Pass","Fail"),IF(Table1[[#This Row],[DUT Adj Read]]&lt;=Table1[[#This Row],[High Tol]],"Pass","Fail")))</f>
        <v>Fail</v>
      </c>
      <c r="AH16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8" s="1" t="b">
        <v>0</v>
      </c>
      <c r="AN1648" s="1" t="b">
        <v>0</v>
      </c>
      <c r="AO1648" s="1" t="b">
        <v>0</v>
      </c>
    </row>
    <row r="1649" spans="1:41" x14ac:dyDescent="0.25">
      <c r="A1649" s="10"/>
      <c r="B1649" s="10"/>
      <c r="C1649" s="10"/>
      <c r="D1649" s="10"/>
      <c r="E1649" s="10"/>
      <c r="F1649" s="10"/>
      <c r="G1649" s="10"/>
      <c r="H1649" s="10"/>
      <c r="I1649" s="1" t="str">
        <f t="shared" si="75"/>
        <v/>
      </c>
      <c r="J1649" s="1" t="s">
        <v>35</v>
      </c>
      <c r="K1649" s="1" t="str">
        <f t="shared" si="76"/>
        <v/>
      </c>
      <c r="L1649" s="1" t="str">
        <f t="shared" si="77"/>
        <v/>
      </c>
      <c r="M1649" s="1">
        <f>IF(OR(Table1[[#This Row],[Std Nom]]="",Table1[[#This Row],[Std Read]]=""),0,Table1[[#This Row],[Std Nom]]-Table1[[#This Row],[Std Read]])</f>
        <v>0</v>
      </c>
      <c r="N1649" s="1">
        <f>IF(Calculations!$F$5="ACCREDITED 17025 WITH UNCERTAINTIES",$N$10,0)</f>
        <v>0</v>
      </c>
      <c r="Q1649" s="1">
        <f>Table1[[#This Row],[High Tol]]-Table1[[#This Row],[Low Tol]]</f>
        <v>0</v>
      </c>
      <c r="R1649" s="1">
        <f>2*Table1[[#This Row],[Std Error]]</f>
        <v>0</v>
      </c>
      <c r="S1649" s="1" t="str">
        <f>IF(Table1[[#This Row],[High Tol]]="","N/A",IFERROR(ABS(Table1[[#This Row],[Tol Span]]/Table1[[#This Row],[Error Span]]),"N/A"))</f>
        <v>N/A</v>
      </c>
      <c r="T1649" s="1" t="str">
        <f>IF(OR(Table1[[#This Row],[Low Tol]]="",Table1[[#This Row],[High Tol]]=""),"Needs Analysis",IF(Table1[[#This Row],[Ratio]]&gt;=4,"Not Significant",IF(Table1[[#This Row],[Ratio]]&gt;=2,"Semi-Significant","Significant")))</f>
        <v>Needs Analysis</v>
      </c>
      <c r="W1649" s="1">
        <f>IF(Table1[[#This Row],[Cal Type]]&lt;&gt;"ACCREDITED 17025 WITH UNCERTAINTIES",0,"")</f>
        <v>0</v>
      </c>
      <c r="X1649" s="1" t="str">
        <f>IF(Table1[[#This Row],[DUT Read]]="","N/A",Table1[[#This Row],[Std Error]]+Table1[[#This Row],[DUT Read]]+Table1[[#This Row],[DUT Ucty]])</f>
        <v>N/A</v>
      </c>
      <c r="Y1649" s="1" t="str">
        <f>IF(Table1[[#This Row],[Std Read]]="","N/A",Table1[[#This Row],[Std Read]]+Table1[[#This Row],[Std Ucty]])</f>
        <v>N/A</v>
      </c>
      <c r="Z16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49" s="1" t="str">
        <f>IF(Table1[[#This Row],[Spec Type]]="","N/A",Table1[[#This Row],[Spec Type]])</f>
        <v>±</v>
      </c>
      <c r="AC1649" s="1" t="str">
        <f>IF(Table1[[#This Row],[Spec Type2]]="N/A","N/A",IF(AND(Table1[[#This Row],[DUT Adj Read]]&gt;=Table1[[#This Row],[Low Tol]],Table1[[#This Row],[DUT Adj Read]]&lt;=Table1[[#This Row],[High Tol]]),"Pass","Fail"))</f>
        <v>Fail</v>
      </c>
      <c r="AD1649" s="1" t="str">
        <f>IF(AND(Table1[[#This Row],[Spec Type2]]="N/A",Table1[[#This Row],[DUT Adj Read]]="N/A",Table1[[#This Row],[Std Adj Read]]="N/A"),"N/A",IF(Table1[[#This Row],[DUT Adj Read]]="N/A",IF(Table1[[#This Row],[Std Adj Read]]&gt;Table1[[#This Row],[Low Tol]],"Pass","Fail"),IF(Table1[[#This Row],[DUT Adj Read]]&gt;Table1[[#This Row],[Low Tol]],"Pass","Fail")))</f>
        <v>Pass</v>
      </c>
      <c r="AE1649" s="1" t="str">
        <f>IF(AND(Table1[[#This Row],[Spec Type2]]="N/A",Table1[[#This Row],[DUT Adj Read]]="N/A",Table1[[#This Row],[Std Adj Read]]="N/A"),"N/A",IF(Table1[[#This Row],[DUT Adj Read]]="N/A",IF(Table1[[#This Row],[Std Adj Read]]&lt;Table1[[#This Row],[High Tol]],"Pass","Fail"),IF(Table1[[#This Row],[DUT Adj Read]]&lt;Table1[[#This Row],[High Tol]],"Pass","Fail")))</f>
        <v>Fail</v>
      </c>
      <c r="AF1649" s="1" t="str">
        <f>IF(AND(Table1[[#This Row],[Spec Type2]]="N/A",Table1[[#This Row],[DUT Adj Read]]="N/A",Table1[[#This Row],[Std Adj Read]]="N/A"),"N/A",IF(Table1[[#This Row],[DUT Adj Read]]="N/A",IF(Table1[[#This Row],[Std Adj Read]]&gt;=Table1[[#This Row],[Low Tol]],"Pass","Fail"),IF(Table1[[#This Row],[DUT Adj Read]]&gt;=Table1[[#This Row],[Low Tol]],"Pass","Fail")))</f>
        <v>Pass</v>
      </c>
      <c r="AG1649" s="1" t="str">
        <f>IF(AND(Table1[[#This Row],[Spec Type2]]="N/A",Table1[[#This Row],[DUT Adj Read]]="N/A",Table1[[#This Row],[Std Adj Read]]="N/A"),"N/A",IF(Table1[[#This Row],[DUT Adj Read]]="N/A",IF(Table1[[#This Row],[Std Adj Read]]&lt;=Table1[[#This Row],[High Tol]],"Pass","Fail"),IF(Table1[[#This Row],[DUT Adj Read]]&lt;=Table1[[#This Row],[High Tol]],"Pass","Fail")))</f>
        <v>Fail</v>
      </c>
      <c r="AH16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49" s="1" t="b">
        <v>0</v>
      </c>
      <c r="AN1649" s="1" t="b">
        <v>0</v>
      </c>
      <c r="AO1649" s="1" t="b">
        <v>0</v>
      </c>
    </row>
    <row r="1650" spans="1:41" x14ac:dyDescent="0.25">
      <c r="A1650" s="10"/>
      <c r="B1650" s="10"/>
      <c r="C1650" s="10"/>
      <c r="D1650" s="10"/>
      <c r="E1650" s="10"/>
      <c r="F1650" s="10"/>
      <c r="G1650" s="10"/>
      <c r="H1650" s="10"/>
      <c r="I1650" s="1" t="str">
        <f t="shared" si="75"/>
        <v/>
      </c>
      <c r="J1650" s="1" t="s">
        <v>35</v>
      </c>
      <c r="K1650" s="1" t="str">
        <f t="shared" si="76"/>
        <v/>
      </c>
      <c r="L1650" s="1" t="str">
        <f t="shared" si="77"/>
        <v/>
      </c>
      <c r="M1650" s="1">
        <f>IF(OR(Table1[[#This Row],[Std Nom]]="",Table1[[#This Row],[Std Read]]=""),0,Table1[[#This Row],[Std Nom]]-Table1[[#This Row],[Std Read]])</f>
        <v>0</v>
      </c>
      <c r="N1650" s="1">
        <f>IF(Calculations!$F$5="ACCREDITED 17025 WITH UNCERTAINTIES",$N$10,0)</f>
        <v>0</v>
      </c>
      <c r="Q1650" s="1">
        <f>Table1[[#This Row],[High Tol]]-Table1[[#This Row],[Low Tol]]</f>
        <v>0</v>
      </c>
      <c r="R1650" s="1">
        <f>2*Table1[[#This Row],[Std Error]]</f>
        <v>0</v>
      </c>
      <c r="S1650" s="1" t="str">
        <f>IF(Table1[[#This Row],[High Tol]]="","N/A",IFERROR(ABS(Table1[[#This Row],[Tol Span]]/Table1[[#This Row],[Error Span]]),"N/A"))</f>
        <v>N/A</v>
      </c>
      <c r="T1650" s="1" t="str">
        <f>IF(OR(Table1[[#This Row],[Low Tol]]="",Table1[[#This Row],[High Tol]]=""),"Needs Analysis",IF(Table1[[#This Row],[Ratio]]&gt;=4,"Not Significant",IF(Table1[[#This Row],[Ratio]]&gt;=2,"Semi-Significant","Significant")))</f>
        <v>Needs Analysis</v>
      </c>
      <c r="W1650" s="1">
        <f>IF(Table1[[#This Row],[Cal Type]]&lt;&gt;"ACCREDITED 17025 WITH UNCERTAINTIES",0,"")</f>
        <v>0</v>
      </c>
      <c r="X1650" s="1" t="str">
        <f>IF(Table1[[#This Row],[DUT Read]]="","N/A",Table1[[#This Row],[Std Error]]+Table1[[#This Row],[DUT Read]]+Table1[[#This Row],[DUT Ucty]])</f>
        <v>N/A</v>
      </c>
      <c r="Y1650" s="1" t="str">
        <f>IF(Table1[[#This Row],[Std Read]]="","N/A",Table1[[#This Row],[Std Read]]+Table1[[#This Row],[Std Ucty]])</f>
        <v>N/A</v>
      </c>
      <c r="Z16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0" s="1" t="str">
        <f>IF(Table1[[#This Row],[Spec Type]]="","N/A",Table1[[#This Row],[Spec Type]])</f>
        <v>±</v>
      </c>
      <c r="AC1650" s="1" t="str">
        <f>IF(Table1[[#This Row],[Spec Type2]]="N/A","N/A",IF(AND(Table1[[#This Row],[DUT Adj Read]]&gt;=Table1[[#This Row],[Low Tol]],Table1[[#This Row],[DUT Adj Read]]&lt;=Table1[[#This Row],[High Tol]]),"Pass","Fail"))</f>
        <v>Fail</v>
      </c>
      <c r="AD1650" s="1" t="str">
        <f>IF(AND(Table1[[#This Row],[Spec Type2]]="N/A",Table1[[#This Row],[DUT Adj Read]]="N/A",Table1[[#This Row],[Std Adj Read]]="N/A"),"N/A",IF(Table1[[#This Row],[DUT Adj Read]]="N/A",IF(Table1[[#This Row],[Std Adj Read]]&gt;Table1[[#This Row],[Low Tol]],"Pass","Fail"),IF(Table1[[#This Row],[DUT Adj Read]]&gt;Table1[[#This Row],[Low Tol]],"Pass","Fail")))</f>
        <v>Pass</v>
      </c>
      <c r="AE1650" s="1" t="str">
        <f>IF(AND(Table1[[#This Row],[Spec Type2]]="N/A",Table1[[#This Row],[DUT Adj Read]]="N/A",Table1[[#This Row],[Std Adj Read]]="N/A"),"N/A",IF(Table1[[#This Row],[DUT Adj Read]]="N/A",IF(Table1[[#This Row],[Std Adj Read]]&lt;Table1[[#This Row],[High Tol]],"Pass","Fail"),IF(Table1[[#This Row],[DUT Adj Read]]&lt;Table1[[#This Row],[High Tol]],"Pass","Fail")))</f>
        <v>Fail</v>
      </c>
      <c r="AF1650" s="1" t="str">
        <f>IF(AND(Table1[[#This Row],[Spec Type2]]="N/A",Table1[[#This Row],[DUT Adj Read]]="N/A",Table1[[#This Row],[Std Adj Read]]="N/A"),"N/A",IF(Table1[[#This Row],[DUT Adj Read]]="N/A",IF(Table1[[#This Row],[Std Adj Read]]&gt;=Table1[[#This Row],[Low Tol]],"Pass","Fail"),IF(Table1[[#This Row],[DUT Adj Read]]&gt;=Table1[[#This Row],[Low Tol]],"Pass","Fail")))</f>
        <v>Pass</v>
      </c>
      <c r="AG1650" s="1" t="str">
        <f>IF(AND(Table1[[#This Row],[Spec Type2]]="N/A",Table1[[#This Row],[DUT Adj Read]]="N/A",Table1[[#This Row],[Std Adj Read]]="N/A"),"N/A",IF(Table1[[#This Row],[DUT Adj Read]]="N/A",IF(Table1[[#This Row],[Std Adj Read]]&lt;=Table1[[#This Row],[High Tol]],"Pass","Fail"),IF(Table1[[#This Row],[DUT Adj Read]]&lt;=Table1[[#This Row],[High Tol]],"Pass","Fail")))</f>
        <v>Fail</v>
      </c>
      <c r="AH16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0" s="1" t="b">
        <v>0</v>
      </c>
      <c r="AN1650" s="1" t="b">
        <v>0</v>
      </c>
      <c r="AO1650" s="1" t="b">
        <v>0</v>
      </c>
    </row>
    <row r="1651" spans="1:41" x14ac:dyDescent="0.25">
      <c r="A1651" s="10"/>
      <c r="B1651" s="10"/>
      <c r="C1651" s="10"/>
      <c r="D1651" s="10"/>
      <c r="E1651" s="10"/>
      <c r="F1651" s="10"/>
      <c r="G1651" s="10"/>
      <c r="H1651" s="10"/>
      <c r="I1651" s="1" t="str">
        <f t="shared" si="75"/>
        <v/>
      </c>
      <c r="J1651" s="1" t="s">
        <v>35</v>
      </c>
      <c r="K1651" s="1" t="str">
        <f t="shared" si="76"/>
        <v/>
      </c>
      <c r="L1651" s="1" t="str">
        <f t="shared" si="77"/>
        <v/>
      </c>
      <c r="M1651" s="1">
        <f>IF(OR(Table1[[#This Row],[Std Nom]]="",Table1[[#This Row],[Std Read]]=""),0,Table1[[#This Row],[Std Nom]]-Table1[[#This Row],[Std Read]])</f>
        <v>0</v>
      </c>
      <c r="N1651" s="1">
        <f>IF(Calculations!$F$5="ACCREDITED 17025 WITH UNCERTAINTIES",$N$10,0)</f>
        <v>0</v>
      </c>
      <c r="Q1651" s="1">
        <f>Table1[[#This Row],[High Tol]]-Table1[[#This Row],[Low Tol]]</f>
        <v>0</v>
      </c>
      <c r="R1651" s="1">
        <f>2*Table1[[#This Row],[Std Error]]</f>
        <v>0</v>
      </c>
      <c r="S1651" s="1" t="str">
        <f>IF(Table1[[#This Row],[High Tol]]="","N/A",IFERROR(ABS(Table1[[#This Row],[Tol Span]]/Table1[[#This Row],[Error Span]]),"N/A"))</f>
        <v>N/A</v>
      </c>
      <c r="T1651" s="1" t="str">
        <f>IF(OR(Table1[[#This Row],[Low Tol]]="",Table1[[#This Row],[High Tol]]=""),"Needs Analysis",IF(Table1[[#This Row],[Ratio]]&gt;=4,"Not Significant",IF(Table1[[#This Row],[Ratio]]&gt;=2,"Semi-Significant","Significant")))</f>
        <v>Needs Analysis</v>
      </c>
      <c r="W1651" s="1">
        <f>IF(Table1[[#This Row],[Cal Type]]&lt;&gt;"ACCREDITED 17025 WITH UNCERTAINTIES",0,"")</f>
        <v>0</v>
      </c>
      <c r="X1651" s="1" t="str">
        <f>IF(Table1[[#This Row],[DUT Read]]="","N/A",Table1[[#This Row],[Std Error]]+Table1[[#This Row],[DUT Read]]+Table1[[#This Row],[DUT Ucty]])</f>
        <v>N/A</v>
      </c>
      <c r="Y1651" s="1" t="str">
        <f>IF(Table1[[#This Row],[Std Read]]="","N/A",Table1[[#This Row],[Std Read]]+Table1[[#This Row],[Std Ucty]])</f>
        <v>N/A</v>
      </c>
      <c r="Z16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1" s="1" t="str">
        <f>IF(Table1[[#This Row],[Spec Type]]="","N/A",Table1[[#This Row],[Spec Type]])</f>
        <v>±</v>
      </c>
      <c r="AC1651" s="1" t="str">
        <f>IF(Table1[[#This Row],[Spec Type2]]="N/A","N/A",IF(AND(Table1[[#This Row],[DUT Adj Read]]&gt;=Table1[[#This Row],[Low Tol]],Table1[[#This Row],[DUT Adj Read]]&lt;=Table1[[#This Row],[High Tol]]),"Pass","Fail"))</f>
        <v>Fail</v>
      </c>
      <c r="AD1651" s="1" t="str">
        <f>IF(AND(Table1[[#This Row],[Spec Type2]]="N/A",Table1[[#This Row],[DUT Adj Read]]="N/A",Table1[[#This Row],[Std Adj Read]]="N/A"),"N/A",IF(Table1[[#This Row],[DUT Adj Read]]="N/A",IF(Table1[[#This Row],[Std Adj Read]]&gt;Table1[[#This Row],[Low Tol]],"Pass","Fail"),IF(Table1[[#This Row],[DUT Adj Read]]&gt;Table1[[#This Row],[Low Tol]],"Pass","Fail")))</f>
        <v>Pass</v>
      </c>
      <c r="AE1651" s="1" t="str">
        <f>IF(AND(Table1[[#This Row],[Spec Type2]]="N/A",Table1[[#This Row],[DUT Adj Read]]="N/A",Table1[[#This Row],[Std Adj Read]]="N/A"),"N/A",IF(Table1[[#This Row],[DUT Adj Read]]="N/A",IF(Table1[[#This Row],[Std Adj Read]]&lt;Table1[[#This Row],[High Tol]],"Pass","Fail"),IF(Table1[[#This Row],[DUT Adj Read]]&lt;Table1[[#This Row],[High Tol]],"Pass","Fail")))</f>
        <v>Fail</v>
      </c>
      <c r="AF1651" s="1" t="str">
        <f>IF(AND(Table1[[#This Row],[Spec Type2]]="N/A",Table1[[#This Row],[DUT Adj Read]]="N/A",Table1[[#This Row],[Std Adj Read]]="N/A"),"N/A",IF(Table1[[#This Row],[DUT Adj Read]]="N/A",IF(Table1[[#This Row],[Std Adj Read]]&gt;=Table1[[#This Row],[Low Tol]],"Pass","Fail"),IF(Table1[[#This Row],[DUT Adj Read]]&gt;=Table1[[#This Row],[Low Tol]],"Pass","Fail")))</f>
        <v>Pass</v>
      </c>
      <c r="AG1651" s="1" t="str">
        <f>IF(AND(Table1[[#This Row],[Spec Type2]]="N/A",Table1[[#This Row],[DUT Adj Read]]="N/A",Table1[[#This Row],[Std Adj Read]]="N/A"),"N/A",IF(Table1[[#This Row],[DUT Adj Read]]="N/A",IF(Table1[[#This Row],[Std Adj Read]]&lt;=Table1[[#This Row],[High Tol]],"Pass","Fail"),IF(Table1[[#This Row],[DUT Adj Read]]&lt;=Table1[[#This Row],[High Tol]],"Pass","Fail")))</f>
        <v>Fail</v>
      </c>
      <c r="AH16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1" s="1" t="b">
        <v>0</v>
      </c>
      <c r="AN1651" s="1" t="b">
        <v>0</v>
      </c>
      <c r="AO1651" s="1" t="b">
        <v>0</v>
      </c>
    </row>
    <row r="1652" spans="1:41" x14ac:dyDescent="0.25">
      <c r="A1652" s="10"/>
      <c r="B1652" s="10"/>
      <c r="C1652" s="10"/>
      <c r="D1652" s="10"/>
      <c r="E1652" s="10"/>
      <c r="F1652" s="10"/>
      <c r="G1652" s="10"/>
      <c r="H1652" s="10"/>
      <c r="I1652" s="1" t="str">
        <f t="shared" si="75"/>
        <v/>
      </c>
      <c r="J1652" s="1" t="s">
        <v>35</v>
      </c>
      <c r="K1652" s="1" t="str">
        <f t="shared" si="76"/>
        <v/>
      </c>
      <c r="L1652" s="1" t="str">
        <f t="shared" si="77"/>
        <v/>
      </c>
      <c r="M1652" s="1">
        <f>IF(OR(Table1[[#This Row],[Std Nom]]="",Table1[[#This Row],[Std Read]]=""),0,Table1[[#This Row],[Std Nom]]-Table1[[#This Row],[Std Read]])</f>
        <v>0</v>
      </c>
      <c r="N1652" s="1">
        <f>IF(Calculations!$F$5="ACCREDITED 17025 WITH UNCERTAINTIES",$N$10,0)</f>
        <v>0</v>
      </c>
      <c r="Q1652" s="1">
        <f>Table1[[#This Row],[High Tol]]-Table1[[#This Row],[Low Tol]]</f>
        <v>0</v>
      </c>
      <c r="R1652" s="1">
        <f>2*Table1[[#This Row],[Std Error]]</f>
        <v>0</v>
      </c>
      <c r="S1652" s="1" t="str">
        <f>IF(Table1[[#This Row],[High Tol]]="","N/A",IFERROR(ABS(Table1[[#This Row],[Tol Span]]/Table1[[#This Row],[Error Span]]),"N/A"))</f>
        <v>N/A</v>
      </c>
      <c r="T1652" s="1" t="str">
        <f>IF(OR(Table1[[#This Row],[Low Tol]]="",Table1[[#This Row],[High Tol]]=""),"Needs Analysis",IF(Table1[[#This Row],[Ratio]]&gt;=4,"Not Significant",IF(Table1[[#This Row],[Ratio]]&gt;=2,"Semi-Significant","Significant")))</f>
        <v>Needs Analysis</v>
      </c>
      <c r="W1652" s="1">
        <f>IF(Table1[[#This Row],[Cal Type]]&lt;&gt;"ACCREDITED 17025 WITH UNCERTAINTIES",0,"")</f>
        <v>0</v>
      </c>
      <c r="X1652" s="1" t="str">
        <f>IF(Table1[[#This Row],[DUT Read]]="","N/A",Table1[[#This Row],[Std Error]]+Table1[[#This Row],[DUT Read]]+Table1[[#This Row],[DUT Ucty]])</f>
        <v>N/A</v>
      </c>
      <c r="Y1652" s="1" t="str">
        <f>IF(Table1[[#This Row],[Std Read]]="","N/A",Table1[[#This Row],[Std Read]]+Table1[[#This Row],[Std Ucty]])</f>
        <v>N/A</v>
      </c>
      <c r="Z16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2" s="1" t="str">
        <f>IF(Table1[[#This Row],[Spec Type]]="","N/A",Table1[[#This Row],[Spec Type]])</f>
        <v>±</v>
      </c>
      <c r="AC1652" s="1" t="str">
        <f>IF(Table1[[#This Row],[Spec Type2]]="N/A","N/A",IF(AND(Table1[[#This Row],[DUT Adj Read]]&gt;=Table1[[#This Row],[Low Tol]],Table1[[#This Row],[DUT Adj Read]]&lt;=Table1[[#This Row],[High Tol]]),"Pass","Fail"))</f>
        <v>Fail</v>
      </c>
      <c r="AD1652" s="1" t="str">
        <f>IF(AND(Table1[[#This Row],[Spec Type2]]="N/A",Table1[[#This Row],[DUT Adj Read]]="N/A",Table1[[#This Row],[Std Adj Read]]="N/A"),"N/A",IF(Table1[[#This Row],[DUT Adj Read]]="N/A",IF(Table1[[#This Row],[Std Adj Read]]&gt;Table1[[#This Row],[Low Tol]],"Pass","Fail"),IF(Table1[[#This Row],[DUT Adj Read]]&gt;Table1[[#This Row],[Low Tol]],"Pass","Fail")))</f>
        <v>Pass</v>
      </c>
      <c r="AE1652" s="1" t="str">
        <f>IF(AND(Table1[[#This Row],[Spec Type2]]="N/A",Table1[[#This Row],[DUT Adj Read]]="N/A",Table1[[#This Row],[Std Adj Read]]="N/A"),"N/A",IF(Table1[[#This Row],[DUT Adj Read]]="N/A",IF(Table1[[#This Row],[Std Adj Read]]&lt;Table1[[#This Row],[High Tol]],"Pass","Fail"),IF(Table1[[#This Row],[DUT Adj Read]]&lt;Table1[[#This Row],[High Tol]],"Pass","Fail")))</f>
        <v>Fail</v>
      </c>
      <c r="AF1652" s="1" t="str">
        <f>IF(AND(Table1[[#This Row],[Spec Type2]]="N/A",Table1[[#This Row],[DUT Adj Read]]="N/A",Table1[[#This Row],[Std Adj Read]]="N/A"),"N/A",IF(Table1[[#This Row],[DUT Adj Read]]="N/A",IF(Table1[[#This Row],[Std Adj Read]]&gt;=Table1[[#This Row],[Low Tol]],"Pass","Fail"),IF(Table1[[#This Row],[DUT Adj Read]]&gt;=Table1[[#This Row],[Low Tol]],"Pass","Fail")))</f>
        <v>Pass</v>
      </c>
      <c r="AG1652" s="1" t="str">
        <f>IF(AND(Table1[[#This Row],[Spec Type2]]="N/A",Table1[[#This Row],[DUT Adj Read]]="N/A",Table1[[#This Row],[Std Adj Read]]="N/A"),"N/A",IF(Table1[[#This Row],[DUT Adj Read]]="N/A",IF(Table1[[#This Row],[Std Adj Read]]&lt;=Table1[[#This Row],[High Tol]],"Pass","Fail"),IF(Table1[[#This Row],[DUT Adj Read]]&lt;=Table1[[#This Row],[High Tol]],"Pass","Fail")))</f>
        <v>Fail</v>
      </c>
      <c r="AH16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2" s="1" t="b">
        <v>0</v>
      </c>
      <c r="AN1652" s="1" t="b">
        <v>0</v>
      </c>
      <c r="AO1652" s="1" t="b">
        <v>0</v>
      </c>
    </row>
    <row r="1653" spans="1:41" x14ac:dyDescent="0.25">
      <c r="A1653" s="10"/>
      <c r="B1653" s="10"/>
      <c r="C1653" s="10"/>
      <c r="D1653" s="10"/>
      <c r="E1653" s="10"/>
      <c r="F1653" s="10"/>
      <c r="G1653" s="10"/>
      <c r="H1653" s="10"/>
      <c r="I1653" s="1" t="str">
        <f t="shared" si="75"/>
        <v/>
      </c>
      <c r="J1653" s="1" t="s">
        <v>35</v>
      </c>
      <c r="K1653" s="1" t="str">
        <f t="shared" si="76"/>
        <v/>
      </c>
      <c r="L1653" s="1" t="str">
        <f t="shared" si="77"/>
        <v/>
      </c>
      <c r="M1653" s="1">
        <f>IF(OR(Table1[[#This Row],[Std Nom]]="",Table1[[#This Row],[Std Read]]=""),0,Table1[[#This Row],[Std Nom]]-Table1[[#This Row],[Std Read]])</f>
        <v>0</v>
      </c>
      <c r="N1653" s="1">
        <f>IF(Calculations!$F$5="ACCREDITED 17025 WITH UNCERTAINTIES",$N$10,0)</f>
        <v>0</v>
      </c>
      <c r="Q1653" s="1">
        <f>Table1[[#This Row],[High Tol]]-Table1[[#This Row],[Low Tol]]</f>
        <v>0</v>
      </c>
      <c r="R1653" s="1">
        <f>2*Table1[[#This Row],[Std Error]]</f>
        <v>0</v>
      </c>
      <c r="S1653" s="1" t="str">
        <f>IF(Table1[[#This Row],[High Tol]]="","N/A",IFERROR(ABS(Table1[[#This Row],[Tol Span]]/Table1[[#This Row],[Error Span]]),"N/A"))</f>
        <v>N/A</v>
      </c>
      <c r="T1653" s="1" t="str">
        <f>IF(OR(Table1[[#This Row],[Low Tol]]="",Table1[[#This Row],[High Tol]]=""),"Needs Analysis",IF(Table1[[#This Row],[Ratio]]&gt;=4,"Not Significant",IF(Table1[[#This Row],[Ratio]]&gt;=2,"Semi-Significant","Significant")))</f>
        <v>Needs Analysis</v>
      </c>
      <c r="W1653" s="1">
        <f>IF(Table1[[#This Row],[Cal Type]]&lt;&gt;"ACCREDITED 17025 WITH UNCERTAINTIES",0,"")</f>
        <v>0</v>
      </c>
      <c r="X1653" s="1" t="str">
        <f>IF(Table1[[#This Row],[DUT Read]]="","N/A",Table1[[#This Row],[Std Error]]+Table1[[#This Row],[DUT Read]]+Table1[[#This Row],[DUT Ucty]])</f>
        <v>N/A</v>
      </c>
      <c r="Y1653" s="1" t="str">
        <f>IF(Table1[[#This Row],[Std Read]]="","N/A",Table1[[#This Row],[Std Read]]+Table1[[#This Row],[Std Ucty]])</f>
        <v>N/A</v>
      </c>
      <c r="Z16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3" s="1" t="str">
        <f>IF(Table1[[#This Row],[Spec Type]]="","N/A",Table1[[#This Row],[Spec Type]])</f>
        <v>±</v>
      </c>
      <c r="AC1653" s="1" t="str">
        <f>IF(Table1[[#This Row],[Spec Type2]]="N/A","N/A",IF(AND(Table1[[#This Row],[DUT Adj Read]]&gt;=Table1[[#This Row],[Low Tol]],Table1[[#This Row],[DUT Adj Read]]&lt;=Table1[[#This Row],[High Tol]]),"Pass","Fail"))</f>
        <v>Fail</v>
      </c>
      <c r="AD1653" s="1" t="str">
        <f>IF(AND(Table1[[#This Row],[Spec Type2]]="N/A",Table1[[#This Row],[DUT Adj Read]]="N/A",Table1[[#This Row],[Std Adj Read]]="N/A"),"N/A",IF(Table1[[#This Row],[DUT Adj Read]]="N/A",IF(Table1[[#This Row],[Std Adj Read]]&gt;Table1[[#This Row],[Low Tol]],"Pass","Fail"),IF(Table1[[#This Row],[DUT Adj Read]]&gt;Table1[[#This Row],[Low Tol]],"Pass","Fail")))</f>
        <v>Pass</v>
      </c>
      <c r="AE1653" s="1" t="str">
        <f>IF(AND(Table1[[#This Row],[Spec Type2]]="N/A",Table1[[#This Row],[DUT Adj Read]]="N/A",Table1[[#This Row],[Std Adj Read]]="N/A"),"N/A",IF(Table1[[#This Row],[DUT Adj Read]]="N/A",IF(Table1[[#This Row],[Std Adj Read]]&lt;Table1[[#This Row],[High Tol]],"Pass","Fail"),IF(Table1[[#This Row],[DUT Adj Read]]&lt;Table1[[#This Row],[High Tol]],"Pass","Fail")))</f>
        <v>Fail</v>
      </c>
      <c r="AF1653" s="1" t="str">
        <f>IF(AND(Table1[[#This Row],[Spec Type2]]="N/A",Table1[[#This Row],[DUT Adj Read]]="N/A",Table1[[#This Row],[Std Adj Read]]="N/A"),"N/A",IF(Table1[[#This Row],[DUT Adj Read]]="N/A",IF(Table1[[#This Row],[Std Adj Read]]&gt;=Table1[[#This Row],[Low Tol]],"Pass","Fail"),IF(Table1[[#This Row],[DUT Adj Read]]&gt;=Table1[[#This Row],[Low Tol]],"Pass","Fail")))</f>
        <v>Pass</v>
      </c>
      <c r="AG1653" s="1" t="str">
        <f>IF(AND(Table1[[#This Row],[Spec Type2]]="N/A",Table1[[#This Row],[DUT Adj Read]]="N/A",Table1[[#This Row],[Std Adj Read]]="N/A"),"N/A",IF(Table1[[#This Row],[DUT Adj Read]]="N/A",IF(Table1[[#This Row],[Std Adj Read]]&lt;=Table1[[#This Row],[High Tol]],"Pass","Fail"),IF(Table1[[#This Row],[DUT Adj Read]]&lt;=Table1[[#This Row],[High Tol]],"Pass","Fail")))</f>
        <v>Fail</v>
      </c>
      <c r="AH16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3" s="1" t="b">
        <v>0</v>
      </c>
      <c r="AN1653" s="1" t="b">
        <v>0</v>
      </c>
      <c r="AO1653" s="1" t="b">
        <v>0</v>
      </c>
    </row>
    <row r="1654" spans="1:41" x14ac:dyDescent="0.25">
      <c r="A1654" s="10"/>
      <c r="B1654" s="10"/>
      <c r="C1654" s="10"/>
      <c r="D1654" s="10"/>
      <c r="E1654" s="10"/>
      <c r="F1654" s="10"/>
      <c r="G1654" s="10"/>
      <c r="H1654" s="10"/>
      <c r="I1654" s="1" t="str">
        <f t="shared" si="75"/>
        <v/>
      </c>
      <c r="J1654" s="1" t="s">
        <v>35</v>
      </c>
      <c r="K1654" s="1" t="str">
        <f t="shared" si="76"/>
        <v/>
      </c>
      <c r="L1654" s="1" t="str">
        <f t="shared" si="77"/>
        <v/>
      </c>
      <c r="M1654" s="1">
        <f>IF(OR(Table1[[#This Row],[Std Nom]]="",Table1[[#This Row],[Std Read]]=""),0,Table1[[#This Row],[Std Nom]]-Table1[[#This Row],[Std Read]])</f>
        <v>0</v>
      </c>
      <c r="N1654" s="1">
        <f>IF(Calculations!$F$5="ACCREDITED 17025 WITH UNCERTAINTIES",$N$10,0)</f>
        <v>0</v>
      </c>
      <c r="Q1654" s="1">
        <f>Table1[[#This Row],[High Tol]]-Table1[[#This Row],[Low Tol]]</f>
        <v>0</v>
      </c>
      <c r="R1654" s="1">
        <f>2*Table1[[#This Row],[Std Error]]</f>
        <v>0</v>
      </c>
      <c r="S1654" s="1" t="str">
        <f>IF(Table1[[#This Row],[High Tol]]="","N/A",IFERROR(ABS(Table1[[#This Row],[Tol Span]]/Table1[[#This Row],[Error Span]]),"N/A"))</f>
        <v>N/A</v>
      </c>
      <c r="T1654" s="1" t="str">
        <f>IF(OR(Table1[[#This Row],[Low Tol]]="",Table1[[#This Row],[High Tol]]=""),"Needs Analysis",IF(Table1[[#This Row],[Ratio]]&gt;=4,"Not Significant",IF(Table1[[#This Row],[Ratio]]&gt;=2,"Semi-Significant","Significant")))</f>
        <v>Needs Analysis</v>
      </c>
      <c r="W1654" s="1">
        <f>IF(Table1[[#This Row],[Cal Type]]&lt;&gt;"ACCREDITED 17025 WITH UNCERTAINTIES",0,"")</f>
        <v>0</v>
      </c>
      <c r="X1654" s="1" t="str">
        <f>IF(Table1[[#This Row],[DUT Read]]="","N/A",Table1[[#This Row],[Std Error]]+Table1[[#This Row],[DUT Read]]+Table1[[#This Row],[DUT Ucty]])</f>
        <v>N/A</v>
      </c>
      <c r="Y1654" s="1" t="str">
        <f>IF(Table1[[#This Row],[Std Read]]="","N/A",Table1[[#This Row],[Std Read]]+Table1[[#This Row],[Std Ucty]])</f>
        <v>N/A</v>
      </c>
      <c r="Z16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4" s="1" t="str">
        <f>IF(Table1[[#This Row],[Spec Type]]="","N/A",Table1[[#This Row],[Spec Type]])</f>
        <v>±</v>
      </c>
      <c r="AC1654" s="1" t="str">
        <f>IF(Table1[[#This Row],[Spec Type2]]="N/A","N/A",IF(AND(Table1[[#This Row],[DUT Adj Read]]&gt;=Table1[[#This Row],[Low Tol]],Table1[[#This Row],[DUT Adj Read]]&lt;=Table1[[#This Row],[High Tol]]),"Pass","Fail"))</f>
        <v>Fail</v>
      </c>
      <c r="AD1654" s="1" t="str">
        <f>IF(AND(Table1[[#This Row],[Spec Type2]]="N/A",Table1[[#This Row],[DUT Adj Read]]="N/A",Table1[[#This Row],[Std Adj Read]]="N/A"),"N/A",IF(Table1[[#This Row],[DUT Adj Read]]="N/A",IF(Table1[[#This Row],[Std Adj Read]]&gt;Table1[[#This Row],[Low Tol]],"Pass","Fail"),IF(Table1[[#This Row],[DUT Adj Read]]&gt;Table1[[#This Row],[Low Tol]],"Pass","Fail")))</f>
        <v>Pass</v>
      </c>
      <c r="AE1654" s="1" t="str">
        <f>IF(AND(Table1[[#This Row],[Spec Type2]]="N/A",Table1[[#This Row],[DUT Adj Read]]="N/A",Table1[[#This Row],[Std Adj Read]]="N/A"),"N/A",IF(Table1[[#This Row],[DUT Adj Read]]="N/A",IF(Table1[[#This Row],[Std Adj Read]]&lt;Table1[[#This Row],[High Tol]],"Pass","Fail"),IF(Table1[[#This Row],[DUT Adj Read]]&lt;Table1[[#This Row],[High Tol]],"Pass","Fail")))</f>
        <v>Fail</v>
      </c>
      <c r="AF1654" s="1" t="str">
        <f>IF(AND(Table1[[#This Row],[Spec Type2]]="N/A",Table1[[#This Row],[DUT Adj Read]]="N/A",Table1[[#This Row],[Std Adj Read]]="N/A"),"N/A",IF(Table1[[#This Row],[DUT Adj Read]]="N/A",IF(Table1[[#This Row],[Std Adj Read]]&gt;=Table1[[#This Row],[Low Tol]],"Pass","Fail"),IF(Table1[[#This Row],[DUT Adj Read]]&gt;=Table1[[#This Row],[Low Tol]],"Pass","Fail")))</f>
        <v>Pass</v>
      </c>
      <c r="AG1654" s="1" t="str">
        <f>IF(AND(Table1[[#This Row],[Spec Type2]]="N/A",Table1[[#This Row],[DUT Adj Read]]="N/A",Table1[[#This Row],[Std Adj Read]]="N/A"),"N/A",IF(Table1[[#This Row],[DUT Adj Read]]="N/A",IF(Table1[[#This Row],[Std Adj Read]]&lt;=Table1[[#This Row],[High Tol]],"Pass","Fail"),IF(Table1[[#This Row],[DUT Adj Read]]&lt;=Table1[[#This Row],[High Tol]],"Pass","Fail")))</f>
        <v>Fail</v>
      </c>
      <c r="AH16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4" s="1" t="b">
        <v>0</v>
      </c>
      <c r="AN1654" s="1" t="b">
        <v>0</v>
      </c>
      <c r="AO1654" s="1" t="b">
        <v>0</v>
      </c>
    </row>
    <row r="1655" spans="1:41" x14ac:dyDescent="0.25">
      <c r="A1655" s="10"/>
      <c r="B1655" s="10"/>
      <c r="C1655" s="10"/>
      <c r="D1655" s="10"/>
      <c r="E1655" s="10"/>
      <c r="F1655" s="10"/>
      <c r="G1655" s="10"/>
      <c r="H1655" s="10"/>
      <c r="I1655" s="1" t="str">
        <f t="shared" si="75"/>
        <v/>
      </c>
      <c r="J1655" s="1" t="s">
        <v>35</v>
      </c>
      <c r="K1655" s="1" t="str">
        <f t="shared" si="76"/>
        <v/>
      </c>
      <c r="L1655" s="1" t="str">
        <f t="shared" si="77"/>
        <v/>
      </c>
      <c r="M1655" s="1">
        <f>IF(OR(Table1[[#This Row],[Std Nom]]="",Table1[[#This Row],[Std Read]]=""),0,Table1[[#This Row],[Std Nom]]-Table1[[#This Row],[Std Read]])</f>
        <v>0</v>
      </c>
      <c r="N1655" s="1">
        <f>IF(Calculations!$F$5="ACCREDITED 17025 WITH UNCERTAINTIES",$N$10,0)</f>
        <v>0</v>
      </c>
      <c r="Q1655" s="1">
        <f>Table1[[#This Row],[High Tol]]-Table1[[#This Row],[Low Tol]]</f>
        <v>0</v>
      </c>
      <c r="R1655" s="1">
        <f>2*Table1[[#This Row],[Std Error]]</f>
        <v>0</v>
      </c>
      <c r="S1655" s="1" t="str">
        <f>IF(Table1[[#This Row],[High Tol]]="","N/A",IFERROR(ABS(Table1[[#This Row],[Tol Span]]/Table1[[#This Row],[Error Span]]),"N/A"))</f>
        <v>N/A</v>
      </c>
      <c r="T1655" s="1" t="str">
        <f>IF(OR(Table1[[#This Row],[Low Tol]]="",Table1[[#This Row],[High Tol]]=""),"Needs Analysis",IF(Table1[[#This Row],[Ratio]]&gt;=4,"Not Significant",IF(Table1[[#This Row],[Ratio]]&gt;=2,"Semi-Significant","Significant")))</f>
        <v>Needs Analysis</v>
      </c>
      <c r="W1655" s="1">
        <f>IF(Table1[[#This Row],[Cal Type]]&lt;&gt;"ACCREDITED 17025 WITH UNCERTAINTIES",0,"")</f>
        <v>0</v>
      </c>
      <c r="X1655" s="1" t="str">
        <f>IF(Table1[[#This Row],[DUT Read]]="","N/A",Table1[[#This Row],[Std Error]]+Table1[[#This Row],[DUT Read]]+Table1[[#This Row],[DUT Ucty]])</f>
        <v>N/A</v>
      </c>
      <c r="Y1655" s="1" t="str">
        <f>IF(Table1[[#This Row],[Std Read]]="","N/A",Table1[[#This Row],[Std Read]]+Table1[[#This Row],[Std Ucty]])</f>
        <v>N/A</v>
      </c>
      <c r="Z16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5" s="1" t="str">
        <f>IF(Table1[[#This Row],[Spec Type]]="","N/A",Table1[[#This Row],[Spec Type]])</f>
        <v>±</v>
      </c>
      <c r="AC1655" s="1" t="str">
        <f>IF(Table1[[#This Row],[Spec Type2]]="N/A","N/A",IF(AND(Table1[[#This Row],[DUT Adj Read]]&gt;=Table1[[#This Row],[Low Tol]],Table1[[#This Row],[DUT Adj Read]]&lt;=Table1[[#This Row],[High Tol]]),"Pass","Fail"))</f>
        <v>Fail</v>
      </c>
      <c r="AD1655" s="1" t="str">
        <f>IF(AND(Table1[[#This Row],[Spec Type2]]="N/A",Table1[[#This Row],[DUT Adj Read]]="N/A",Table1[[#This Row],[Std Adj Read]]="N/A"),"N/A",IF(Table1[[#This Row],[DUT Adj Read]]="N/A",IF(Table1[[#This Row],[Std Adj Read]]&gt;Table1[[#This Row],[Low Tol]],"Pass","Fail"),IF(Table1[[#This Row],[DUT Adj Read]]&gt;Table1[[#This Row],[Low Tol]],"Pass","Fail")))</f>
        <v>Pass</v>
      </c>
      <c r="AE1655" s="1" t="str">
        <f>IF(AND(Table1[[#This Row],[Spec Type2]]="N/A",Table1[[#This Row],[DUT Adj Read]]="N/A",Table1[[#This Row],[Std Adj Read]]="N/A"),"N/A",IF(Table1[[#This Row],[DUT Adj Read]]="N/A",IF(Table1[[#This Row],[Std Adj Read]]&lt;Table1[[#This Row],[High Tol]],"Pass","Fail"),IF(Table1[[#This Row],[DUT Adj Read]]&lt;Table1[[#This Row],[High Tol]],"Pass","Fail")))</f>
        <v>Fail</v>
      </c>
      <c r="AF1655" s="1" t="str">
        <f>IF(AND(Table1[[#This Row],[Spec Type2]]="N/A",Table1[[#This Row],[DUT Adj Read]]="N/A",Table1[[#This Row],[Std Adj Read]]="N/A"),"N/A",IF(Table1[[#This Row],[DUT Adj Read]]="N/A",IF(Table1[[#This Row],[Std Adj Read]]&gt;=Table1[[#This Row],[Low Tol]],"Pass","Fail"),IF(Table1[[#This Row],[DUT Adj Read]]&gt;=Table1[[#This Row],[Low Tol]],"Pass","Fail")))</f>
        <v>Pass</v>
      </c>
      <c r="AG1655" s="1" t="str">
        <f>IF(AND(Table1[[#This Row],[Spec Type2]]="N/A",Table1[[#This Row],[DUT Adj Read]]="N/A",Table1[[#This Row],[Std Adj Read]]="N/A"),"N/A",IF(Table1[[#This Row],[DUT Adj Read]]="N/A",IF(Table1[[#This Row],[Std Adj Read]]&lt;=Table1[[#This Row],[High Tol]],"Pass","Fail"),IF(Table1[[#This Row],[DUT Adj Read]]&lt;=Table1[[#This Row],[High Tol]],"Pass","Fail")))</f>
        <v>Fail</v>
      </c>
      <c r="AH16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5" s="1" t="b">
        <v>0</v>
      </c>
      <c r="AN1655" s="1" t="b">
        <v>0</v>
      </c>
      <c r="AO1655" s="1" t="b">
        <v>0</v>
      </c>
    </row>
    <row r="1656" spans="1:41" x14ac:dyDescent="0.25">
      <c r="A1656" s="10"/>
      <c r="B1656" s="10"/>
      <c r="C1656" s="10"/>
      <c r="D1656" s="10"/>
      <c r="E1656" s="10"/>
      <c r="F1656" s="10"/>
      <c r="G1656" s="10"/>
      <c r="H1656" s="10"/>
      <c r="I1656" s="1" t="str">
        <f t="shared" si="75"/>
        <v/>
      </c>
      <c r="J1656" s="1" t="s">
        <v>35</v>
      </c>
      <c r="K1656" s="1" t="str">
        <f t="shared" si="76"/>
        <v/>
      </c>
      <c r="L1656" s="1" t="str">
        <f t="shared" si="77"/>
        <v/>
      </c>
      <c r="M1656" s="1">
        <f>IF(OR(Table1[[#This Row],[Std Nom]]="",Table1[[#This Row],[Std Read]]=""),0,Table1[[#This Row],[Std Nom]]-Table1[[#This Row],[Std Read]])</f>
        <v>0</v>
      </c>
      <c r="N1656" s="1">
        <f>IF(Calculations!$F$5="ACCREDITED 17025 WITH UNCERTAINTIES",$N$10,0)</f>
        <v>0</v>
      </c>
      <c r="Q1656" s="1">
        <f>Table1[[#This Row],[High Tol]]-Table1[[#This Row],[Low Tol]]</f>
        <v>0</v>
      </c>
      <c r="R1656" s="1">
        <f>2*Table1[[#This Row],[Std Error]]</f>
        <v>0</v>
      </c>
      <c r="S1656" s="1" t="str">
        <f>IF(Table1[[#This Row],[High Tol]]="","N/A",IFERROR(ABS(Table1[[#This Row],[Tol Span]]/Table1[[#This Row],[Error Span]]),"N/A"))</f>
        <v>N/A</v>
      </c>
      <c r="T1656" s="1" t="str">
        <f>IF(OR(Table1[[#This Row],[Low Tol]]="",Table1[[#This Row],[High Tol]]=""),"Needs Analysis",IF(Table1[[#This Row],[Ratio]]&gt;=4,"Not Significant",IF(Table1[[#This Row],[Ratio]]&gt;=2,"Semi-Significant","Significant")))</f>
        <v>Needs Analysis</v>
      </c>
      <c r="W1656" s="1">
        <f>IF(Table1[[#This Row],[Cal Type]]&lt;&gt;"ACCREDITED 17025 WITH UNCERTAINTIES",0,"")</f>
        <v>0</v>
      </c>
      <c r="X1656" s="1" t="str">
        <f>IF(Table1[[#This Row],[DUT Read]]="","N/A",Table1[[#This Row],[Std Error]]+Table1[[#This Row],[DUT Read]]+Table1[[#This Row],[DUT Ucty]])</f>
        <v>N/A</v>
      </c>
      <c r="Y1656" s="1" t="str">
        <f>IF(Table1[[#This Row],[Std Read]]="","N/A",Table1[[#This Row],[Std Read]]+Table1[[#This Row],[Std Ucty]])</f>
        <v>N/A</v>
      </c>
      <c r="Z16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6" s="1" t="str">
        <f>IF(Table1[[#This Row],[Spec Type]]="","N/A",Table1[[#This Row],[Spec Type]])</f>
        <v>±</v>
      </c>
      <c r="AC1656" s="1" t="str">
        <f>IF(Table1[[#This Row],[Spec Type2]]="N/A","N/A",IF(AND(Table1[[#This Row],[DUT Adj Read]]&gt;=Table1[[#This Row],[Low Tol]],Table1[[#This Row],[DUT Adj Read]]&lt;=Table1[[#This Row],[High Tol]]),"Pass","Fail"))</f>
        <v>Fail</v>
      </c>
      <c r="AD1656" s="1" t="str">
        <f>IF(AND(Table1[[#This Row],[Spec Type2]]="N/A",Table1[[#This Row],[DUT Adj Read]]="N/A",Table1[[#This Row],[Std Adj Read]]="N/A"),"N/A",IF(Table1[[#This Row],[DUT Adj Read]]="N/A",IF(Table1[[#This Row],[Std Adj Read]]&gt;Table1[[#This Row],[Low Tol]],"Pass","Fail"),IF(Table1[[#This Row],[DUT Adj Read]]&gt;Table1[[#This Row],[Low Tol]],"Pass","Fail")))</f>
        <v>Pass</v>
      </c>
      <c r="AE1656" s="1" t="str">
        <f>IF(AND(Table1[[#This Row],[Spec Type2]]="N/A",Table1[[#This Row],[DUT Adj Read]]="N/A",Table1[[#This Row],[Std Adj Read]]="N/A"),"N/A",IF(Table1[[#This Row],[DUT Adj Read]]="N/A",IF(Table1[[#This Row],[Std Adj Read]]&lt;Table1[[#This Row],[High Tol]],"Pass","Fail"),IF(Table1[[#This Row],[DUT Adj Read]]&lt;Table1[[#This Row],[High Tol]],"Pass","Fail")))</f>
        <v>Fail</v>
      </c>
      <c r="AF1656" s="1" t="str">
        <f>IF(AND(Table1[[#This Row],[Spec Type2]]="N/A",Table1[[#This Row],[DUT Adj Read]]="N/A",Table1[[#This Row],[Std Adj Read]]="N/A"),"N/A",IF(Table1[[#This Row],[DUT Adj Read]]="N/A",IF(Table1[[#This Row],[Std Adj Read]]&gt;=Table1[[#This Row],[Low Tol]],"Pass","Fail"),IF(Table1[[#This Row],[DUT Adj Read]]&gt;=Table1[[#This Row],[Low Tol]],"Pass","Fail")))</f>
        <v>Pass</v>
      </c>
      <c r="AG1656" s="1" t="str">
        <f>IF(AND(Table1[[#This Row],[Spec Type2]]="N/A",Table1[[#This Row],[DUT Adj Read]]="N/A",Table1[[#This Row],[Std Adj Read]]="N/A"),"N/A",IF(Table1[[#This Row],[DUT Adj Read]]="N/A",IF(Table1[[#This Row],[Std Adj Read]]&lt;=Table1[[#This Row],[High Tol]],"Pass","Fail"),IF(Table1[[#This Row],[DUT Adj Read]]&lt;=Table1[[#This Row],[High Tol]],"Pass","Fail")))</f>
        <v>Fail</v>
      </c>
      <c r="AH16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6" s="1" t="b">
        <v>0</v>
      </c>
      <c r="AN1656" s="1" t="b">
        <v>0</v>
      </c>
      <c r="AO1656" s="1" t="b">
        <v>0</v>
      </c>
    </row>
    <row r="1657" spans="1:41" x14ac:dyDescent="0.25">
      <c r="A1657" s="10"/>
      <c r="B1657" s="10"/>
      <c r="C1657" s="10"/>
      <c r="D1657" s="10"/>
      <c r="E1657" s="10"/>
      <c r="F1657" s="10"/>
      <c r="G1657" s="10"/>
      <c r="H1657" s="10"/>
      <c r="I1657" s="1" t="str">
        <f t="shared" si="75"/>
        <v/>
      </c>
      <c r="J1657" s="1" t="s">
        <v>35</v>
      </c>
      <c r="K1657" s="1" t="str">
        <f t="shared" si="76"/>
        <v/>
      </c>
      <c r="L1657" s="1" t="str">
        <f t="shared" si="77"/>
        <v/>
      </c>
      <c r="M1657" s="1">
        <f>IF(OR(Table1[[#This Row],[Std Nom]]="",Table1[[#This Row],[Std Read]]=""),0,Table1[[#This Row],[Std Nom]]-Table1[[#This Row],[Std Read]])</f>
        <v>0</v>
      </c>
      <c r="N1657" s="1">
        <f>IF(Calculations!$F$5="ACCREDITED 17025 WITH UNCERTAINTIES",$N$10,0)</f>
        <v>0</v>
      </c>
      <c r="Q1657" s="1">
        <f>Table1[[#This Row],[High Tol]]-Table1[[#This Row],[Low Tol]]</f>
        <v>0</v>
      </c>
      <c r="R1657" s="1">
        <f>2*Table1[[#This Row],[Std Error]]</f>
        <v>0</v>
      </c>
      <c r="S1657" s="1" t="str">
        <f>IF(Table1[[#This Row],[High Tol]]="","N/A",IFERROR(ABS(Table1[[#This Row],[Tol Span]]/Table1[[#This Row],[Error Span]]),"N/A"))</f>
        <v>N/A</v>
      </c>
      <c r="T1657" s="1" t="str">
        <f>IF(OR(Table1[[#This Row],[Low Tol]]="",Table1[[#This Row],[High Tol]]=""),"Needs Analysis",IF(Table1[[#This Row],[Ratio]]&gt;=4,"Not Significant",IF(Table1[[#This Row],[Ratio]]&gt;=2,"Semi-Significant","Significant")))</f>
        <v>Needs Analysis</v>
      </c>
      <c r="W1657" s="1">
        <f>IF(Table1[[#This Row],[Cal Type]]&lt;&gt;"ACCREDITED 17025 WITH UNCERTAINTIES",0,"")</f>
        <v>0</v>
      </c>
      <c r="X1657" s="1" t="str">
        <f>IF(Table1[[#This Row],[DUT Read]]="","N/A",Table1[[#This Row],[Std Error]]+Table1[[#This Row],[DUT Read]]+Table1[[#This Row],[DUT Ucty]])</f>
        <v>N/A</v>
      </c>
      <c r="Y1657" s="1" t="str">
        <f>IF(Table1[[#This Row],[Std Read]]="","N/A",Table1[[#This Row],[Std Read]]+Table1[[#This Row],[Std Ucty]])</f>
        <v>N/A</v>
      </c>
      <c r="Z16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7" s="1" t="str">
        <f>IF(Table1[[#This Row],[Spec Type]]="","N/A",Table1[[#This Row],[Spec Type]])</f>
        <v>±</v>
      </c>
      <c r="AC1657" s="1" t="str">
        <f>IF(Table1[[#This Row],[Spec Type2]]="N/A","N/A",IF(AND(Table1[[#This Row],[DUT Adj Read]]&gt;=Table1[[#This Row],[Low Tol]],Table1[[#This Row],[DUT Adj Read]]&lt;=Table1[[#This Row],[High Tol]]),"Pass","Fail"))</f>
        <v>Fail</v>
      </c>
      <c r="AD1657" s="1" t="str">
        <f>IF(AND(Table1[[#This Row],[Spec Type2]]="N/A",Table1[[#This Row],[DUT Adj Read]]="N/A",Table1[[#This Row],[Std Adj Read]]="N/A"),"N/A",IF(Table1[[#This Row],[DUT Adj Read]]="N/A",IF(Table1[[#This Row],[Std Adj Read]]&gt;Table1[[#This Row],[Low Tol]],"Pass","Fail"),IF(Table1[[#This Row],[DUT Adj Read]]&gt;Table1[[#This Row],[Low Tol]],"Pass","Fail")))</f>
        <v>Pass</v>
      </c>
      <c r="AE1657" s="1" t="str">
        <f>IF(AND(Table1[[#This Row],[Spec Type2]]="N/A",Table1[[#This Row],[DUT Adj Read]]="N/A",Table1[[#This Row],[Std Adj Read]]="N/A"),"N/A",IF(Table1[[#This Row],[DUT Adj Read]]="N/A",IF(Table1[[#This Row],[Std Adj Read]]&lt;Table1[[#This Row],[High Tol]],"Pass","Fail"),IF(Table1[[#This Row],[DUT Adj Read]]&lt;Table1[[#This Row],[High Tol]],"Pass","Fail")))</f>
        <v>Fail</v>
      </c>
      <c r="AF1657" s="1" t="str">
        <f>IF(AND(Table1[[#This Row],[Spec Type2]]="N/A",Table1[[#This Row],[DUT Adj Read]]="N/A",Table1[[#This Row],[Std Adj Read]]="N/A"),"N/A",IF(Table1[[#This Row],[DUT Adj Read]]="N/A",IF(Table1[[#This Row],[Std Adj Read]]&gt;=Table1[[#This Row],[Low Tol]],"Pass","Fail"),IF(Table1[[#This Row],[DUT Adj Read]]&gt;=Table1[[#This Row],[Low Tol]],"Pass","Fail")))</f>
        <v>Pass</v>
      </c>
      <c r="AG1657" s="1" t="str">
        <f>IF(AND(Table1[[#This Row],[Spec Type2]]="N/A",Table1[[#This Row],[DUT Adj Read]]="N/A",Table1[[#This Row],[Std Adj Read]]="N/A"),"N/A",IF(Table1[[#This Row],[DUT Adj Read]]="N/A",IF(Table1[[#This Row],[Std Adj Read]]&lt;=Table1[[#This Row],[High Tol]],"Pass","Fail"),IF(Table1[[#This Row],[DUT Adj Read]]&lt;=Table1[[#This Row],[High Tol]],"Pass","Fail")))</f>
        <v>Fail</v>
      </c>
      <c r="AH16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7" s="1" t="b">
        <v>0</v>
      </c>
      <c r="AN1657" s="1" t="b">
        <v>0</v>
      </c>
      <c r="AO1657" s="1" t="b">
        <v>0</v>
      </c>
    </row>
    <row r="1658" spans="1:41" x14ac:dyDescent="0.25">
      <c r="A1658" s="10"/>
      <c r="B1658" s="10"/>
      <c r="C1658" s="10"/>
      <c r="D1658" s="10"/>
      <c r="E1658" s="10"/>
      <c r="F1658" s="10"/>
      <c r="G1658" s="10"/>
      <c r="H1658" s="10"/>
      <c r="I1658" s="1" t="str">
        <f t="shared" si="75"/>
        <v/>
      </c>
      <c r="J1658" s="1" t="s">
        <v>35</v>
      </c>
      <c r="K1658" s="1" t="str">
        <f t="shared" si="76"/>
        <v/>
      </c>
      <c r="L1658" s="1" t="str">
        <f t="shared" si="77"/>
        <v/>
      </c>
      <c r="M1658" s="1">
        <f>IF(OR(Table1[[#This Row],[Std Nom]]="",Table1[[#This Row],[Std Read]]=""),0,Table1[[#This Row],[Std Nom]]-Table1[[#This Row],[Std Read]])</f>
        <v>0</v>
      </c>
      <c r="N1658" s="1">
        <f>IF(Calculations!$F$5="ACCREDITED 17025 WITH UNCERTAINTIES",$N$10,0)</f>
        <v>0</v>
      </c>
      <c r="Q1658" s="1">
        <f>Table1[[#This Row],[High Tol]]-Table1[[#This Row],[Low Tol]]</f>
        <v>0</v>
      </c>
      <c r="R1658" s="1">
        <f>2*Table1[[#This Row],[Std Error]]</f>
        <v>0</v>
      </c>
      <c r="S1658" s="1" t="str">
        <f>IF(Table1[[#This Row],[High Tol]]="","N/A",IFERROR(ABS(Table1[[#This Row],[Tol Span]]/Table1[[#This Row],[Error Span]]),"N/A"))</f>
        <v>N/A</v>
      </c>
      <c r="T1658" s="1" t="str">
        <f>IF(OR(Table1[[#This Row],[Low Tol]]="",Table1[[#This Row],[High Tol]]=""),"Needs Analysis",IF(Table1[[#This Row],[Ratio]]&gt;=4,"Not Significant",IF(Table1[[#This Row],[Ratio]]&gt;=2,"Semi-Significant","Significant")))</f>
        <v>Needs Analysis</v>
      </c>
      <c r="W1658" s="1">
        <f>IF(Table1[[#This Row],[Cal Type]]&lt;&gt;"ACCREDITED 17025 WITH UNCERTAINTIES",0,"")</f>
        <v>0</v>
      </c>
      <c r="X1658" s="1" t="str">
        <f>IF(Table1[[#This Row],[DUT Read]]="","N/A",Table1[[#This Row],[Std Error]]+Table1[[#This Row],[DUT Read]]+Table1[[#This Row],[DUT Ucty]])</f>
        <v>N/A</v>
      </c>
      <c r="Y1658" s="1" t="str">
        <f>IF(Table1[[#This Row],[Std Read]]="","N/A",Table1[[#This Row],[Std Read]]+Table1[[#This Row],[Std Ucty]])</f>
        <v>N/A</v>
      </c>
      <c r="Z16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8" s="1" t="str">
        <f>IF(Table1[[#This Row],[Spec Type]]="","N/A",Table1[[#This Row],[Spec Type]])</f>
        <v>±</v>
      </c>
      <c r="AC1658" s="1" t="str">
        <f>IF(Table1[[#This Row],[Spec Type2]]="N/A","N/A",IF(AND(Table1[[#This Row],[DUT Adj Read]]&gt;=Table1[[#This Row],[Low Tol]],Table1[[#This Row],[DUT Adj Read]]&lt;=Table1[[#This Row],[High Tol]]),"Pass","Fail"))</f>
        <v>Fail</v>
      </c>
      <c r="AD1658" s="1" t="str">
        <f>IF(AND(Table1[[#This Row],[Spec Type2]]="N/A",Table1[[#This Row],[DUT Adj Read]]="N/A",Table1[[#This Row],[Std Adj Read]]="N/A"),"N/A",IF(Table1[[#This Row],[DUT Adj Read]]="N/A",IF(Table1[[#This Row],[Std Adj Read]]&gt;Table1[[#This Row],[Low Tol]],"Pass","Fail"),IF(Table1[[#This Row],[DUT Adj Read]]&gt;Table1[[#This Row],[Low Tol]],"Pass","Fail")))</f>
        <v>Pass</v>
      </c>
      <c r="AE1658" s="1" t="str">
        <f>IF(AND(Table1[[#This Row],[Spec Type2]]="N/A",Table1[[#This Row],[DUT Adj Read]]="N/A",Table1[[#This Row],[Std Adj Read]]="N/A"),"N/A",IF(Table1[[#This Row],[DUT Adj Read]]="N/A",IF(Table1[[#This Row],[Std Adj Read]]&lt;Table1[[#This Row],[High Tol]],"Pass","Fail"),IF(Table1[[#This Row],[DUT Adj Read]]&lt;Table1[[#This Row],[High Tol]],"Pass","Fail")))</f>
        <v>Fail</v>
      </c>
      <c r="AF1658" s="1" t="str">
        <f>IF(AND(Table1[[#This Row],[Spec Type2]]="N/A",Table1[[#This Row],[DUT Adj Read]]="N/A",Table1[[#This Row],[Std Adj Read]]="N/A"),"N/A",IF(Table1[[#This Row],[DUT Adj Read]]="N/A",IF(Table1[[#This Row],[Std Adj Read]]&gt;=Table1[[#This Row],[Low Tol]],"Pass","Fail"),IF(Table1[[#This Row],[DUT Adj Read]]&gt;=Table1[[#This Row],[Low Tol]],"Pass","Fail")))</f>
        <v>Pass</v>
      </c>
      <c r="AG1658" s="1" t="str">
        <f>IF(AND(Table1[[#This Row],[Spec Type2]]="N/A",Table1[[#This Row],[DUT Adj Read]]="N/A",Table1[[#This Row],[Std Adj Read]]="N/A"),"N/A",IF(Table1[[#This Row],[DUT Adj Read]]="N/A",IF(Table1[[#This Row],[Std Adj Read]]&lt;=Table1[[#This Row],[High Tol]],"Pass","Fail"),IF(Table1[[#This Row],[DUT Adj Read]]&lt;=Table1[[#This Row],[High Tol]],"Pass","Fail")))</f>
        <v>Fail</v>
      </c>
      <c r="AH16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8" s="1" t="b">
        <v>0</v>
      </c>
      <c r="AN1658" s="1" t="b">
        <v>0</v>
      </c>
      <c r="AO1658" s="1" t="b">
        <v>0</v>
      </c>
    </row>
    <row r="1659" spans="1:41" x14ac:dyDescent="0.25">
      <c r="A1659" s="10"/>
      <c r="B1659" s="10"/>
      <c r="C1659" s="10"/>
      <c r="D1659" s="10"/>
      <c r="E1659" s="10"/>
      <c r="F1659" s="10"/>
      <c r="G1659" s="10"/>
      <c r="H1659" s="10"/>
      <c r="I1659" s="1" t="str">
        <f t="shared" si="75"/>
        <v/>
      </c>
      <c r="J1659" s="1" t="s">
        <v>35</v>
      </c>
      <c r="K1659" s="1" t="str">
        <f t="shared" si="76"/>
        <v/>
      </c>
      <c r="L1659" s="1" t="str">
        <f t="shared" si="77"/>
        <v/>
      </c>
      <c r="M1659" s="1">
        <f>IF(OR(Table1[[#This Row],[Std Nom]]="",Table1[[#This Row],[Std Read]]=""),0,Table1[[#This Row],[Std Nom]]-Table1[[#This Row],[Std Read]])</f>
        <v>0</v>
      </c>
      <c r="N1659" s="1">
        <f>IF(Calculations!$F$5="ACCREDITED 17025 WITH UNCERTAINTIES",$N$10,0)</f>
        <v>0</v>
      </c>
      <c r="Q1659" s="1">
        <f>Table1[[#This Row],[High Tol]]-Table1[[#This Row],[Low Tol]]</f>
        <v>0</v>
      </c>
      <c r="R1659" s="1">
        <f>2*Table1[[#This Row],[Std Error]]</f>
        <v>0</v>
      </c>
      <c r="S1659" s="1" t="str">
        <f>IF(Table1[[#This Row],[High Tol]]="","N/A",IFERROR(ABS(Table1[[#This Row],[Tol Span]]/Table1[[#This Row],[Error Span]]),"N/A"))</f>
        <v>N/A</v>
      </c>
      <c r="T1659" s="1" t="str">
        <f>IF(OR(Table1[[#This Row],[Low Tol]]="",Table1[[#This Row],[High Tol]]=""),"Needs Analysis",IF(Table1[[#This Row],[Ratio]]&gt;=4,"Not Significant",IF(Table1[[#This Row],[Ratio]]&gt;=2,"Semi-Significant","Significant")))</f>
        <v>Needs Analysis</v>
      </c>
      <c r="W1659" s="1">
        <f>IF(Table1[[#This Row],[Cal Type]]&lt;&gt;"ACCREDITED 17025 WITH UNCERTAINTIES",0,"")</f>
        <v>0</v>
      </c>
      <c r="X1659" s="1" t="str">
        <f>IF(Table1[[#This Row],[DUT Read]]="","N/A",Table1[[#This Row],[Std Error]]+Table1[[#This Row],[DUT Read]]+Table1[[#This Row],[DUT Ucty]])</f>
        <v>N/A</v>
      </c>
      <c r="Y1659" s="1" t="str">
        <f>IF(Table1[[#This Row],[Std Read]]="","N/A",Table1[[#This Row],[Std Read]]+Table1[[#This Row],[Std Ucty]])</f>
        <v>N/A</v>
      </c>
      <c r="Z16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59" s="1" t="str">
        <f>IF(Table1[[#This Row],[Spec Type]]="","N/A",Table1[[#This Row],[Spec Type]])</f>
        <v>±</v>
      </c>
      <c r="AC1659" s="1" t="str">
        <f>IF(Table1[[#This Row],[Spec Type2]]="N/A","N/A",IF(AND(Table1[[#This Row],[DUT Adj Read]]&gt;=Table1[[#This Row],[Low Tol]],Table1[[#This Row],[DUT Adj Read]]&lt;=Table1[[#This Row],[High Tol]]),"Pass","Fail"))</f>
        <v>Fail</v>
      </c>
      <c r="AD1659" s="1" t="str">
        <f>IF(AND(Table1[[#This Row],[Spec Type2]]="N/A",Table1[[#This Row],[DUT Adj Read]]="N/A",Table1[[#This Row],[Std Adj Read]]="N/A"),"N/A",IF(Table1[[#This Row],[DUT Adj Read]]="N/A",IF(Table1[[#This Row],[Std Adj Read]]&gt;Table1[[#This Row],[Low Tol]],"Pass","Fail"),IF(Table1[[#This Row],[DUT Adj Read]]&gt;Table1[[#This Row],[Low Tol]],"Pass","Fail")))</f>
        <v>Pass</v>
      </c>
      <c r="AE1659" s="1" t="str">
        <f>IF(AND(Table1[[#This Row],[Spec Type2]]="N/A",Table1[[#This Row],[DUT Adj Read]]="N/A",Table1[[#This Row],[Std Adj Read]]="N/A"),"N/A",IF(Table1[[#This Row],[DUT Adj Read]]="N/A",IF(Table1[[#This Row],[Std Adj Read]]&lt;Table1[[#This Row],[High Tol]],"Pass","Fail"),IF(Table1[[#This Row],[DUT Adj Read]]&lt;Table1[[#This Row],[High Tol]],"Pass","Fail")))</f>
        <v>Fail</v>
      </c>
      <c r="AF1659" s="1" t="str">
        <f>IF(AND(Table1[[#This Row],[Spec Type2]]="N/A",Table1[[#This Row],[DUT Adj Read]]="N/A",Table1[[#This Row],[Std Adj Read]]="N/A"),"N/A",IF(Table1[[#This Row],[DUT Adj Read]]="N/A",IF(Table1[[#This Row],[Std Adj Read]]&gt;=Table1[[#This Row],[Low Tol]],"Pass","Fail"),IF(Table1[[#This Row],[DUT Adj Read]]&gt;=Table1[[#This Row],[Low Tol]],"Pass","Fail")))</f>
        <v>Pass</v>
      </c>
      <c r="AG1659" s="1" t="str">
        <f>IF(AND(Table1[[#This Row],[Spec Type2]]="N/A",Table1[[#This Row],[DUT Adj Read]]="N/A",Table1[[#This Row],[Std Adj Read]]="N/A"),"N/A",IF(Table1[[#This Row],[DUT Adj Read]]="N/A",IF(Table1[[#This Row],[Std Adj Read]]&lt;=Table1[[#This Row],[High Tol]],"Pass","Fail"),IF(Table1[[#This Row],[DUT Adj Read]]&lt;=Table1[[#This Row],[High Tol]],"Pass","Fail")))</f>
        <v>Fail</v>
      </c>
      <c r="AH16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59" s="1" t="b">
        <v>0</v>
      </c>
      <c r="AN1659" s="1" t="b">
        <v>0</v>
      </c>
      <c r="AO1659" s="1" t="b">
        <v>0</v>
      </c>
    </row>
    <row r="1660" spans="1:41" x14ac:dyDescent="0.25">
      <c r="A1660" s="10"/>
      <c r="B1660" s="10"/>
      <c r="C1660" s="10"/>
      <c r="D1660" s="10"/>
      <c r="E1660" s="10"/>
      <c r="F1660" s="10"/>
      <c r="G1660" s="10"/>
      <c r="H1660" s="10"/>
      <c r="I1660" s="1" t="str">
        <f t="shared" si="75"/>
        <v/>
      </c>
      <c r="J1660" s="1" t="s">
        <v>35</v>
      </c>
      <c r="K1660" s="1" t="str">
        <f t="shared" si="76"/>
        <v/>
      </c>
      <c r="L1660" s="1" t="str">
        <f t="shared" si="77"/>
        <v/>
      </c>
      <c r="M1660" s="1">
        <f>IF(OR(Table1[[#This Row],[Std Nom]]="",Table1[[#This Row],[Std Read]]=""),0,Table1[[#This Row],[Std Nom]]-Table1[[#This Row],[Std Read]])</f>
        <v>0</v>
      </c>
      <c r="N1660" s="1">
        <f>IF(Calculations!$F$5="ACCREDITED 17025 WITH UNCERTAINTIES",$N$10,0)</f>
        <v>0</v>
      </c>
      <c r="Q1660" s="1">
        <f>Table1[[#This Row],[High Tol]]-Table1[[#This Row],[Low Tol]]</f>
        <v>0</v>
      </c>
      <c r="R1660" s="1">
        <f>2*Table1[[#This Row],[Std Error]]</f>
        <v>0</v>
      </c>
      <c r="S1660" s="1" t="str">
        <f>IF(Table1[[#This Row],[High Tol]]="","N/A",IFERROR(ABS(Table1[[#This Row],[Tol Span]]/Table1[[#This Row],[Error Span]]),"N/A"))</f>
        <v>N/A</v>
      </c>
      <c r="T1660" s="1" t="str">
        <f>IF(OR(Table1[[#This Row],[Low Tol]]="",Table1[[#This Row],[High Tol]]=""),"Needs Analysis",IF(Table1[[#This Row],[Ratio]]&gt;=4,"Not Significant",IF(Table1[[#This Row],[Ratio]]&gt;=2,"Semi-Significant","Significant")))</f>
        <v>Needs Analysis</v>
      </c>
      <c r="W1660" s="1">
        <f>IF(Table1[[#This Row],[Cal Type]]&lt;&gt;"ACCREDITED 17025 WITH UNCERTAINTIES",0,"")</f>
        <v>0</v>
      </c>
      <c r="X1660" s="1" t="str">
        <f>IF(Table1[[#This Row],[DUT Read]]="","N/A",Table1[[#This Row],[Std Error]]+Table1[[#This Row],[DUT Read]]+Table1[[#This Row],[DUT Ucty]])</f>
        <v>N/A</v>
      </c>
      <c r="Y1660" s="1" t="str">
        <f>IF(Table1[[#This Row],[Std Read]]="","N/A",Table1[[#This Row],[Std Read]]+Table1[[#This Row],[Std Ucty]])</f>
        <v>N/A</v>
      </c>
      <c r="Z16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0" s="1" t="str">
        <f>IF(Table1[[#This Row],[Spec Type]]="","N/A",Table1[[#This Row],[Spec Type]])</f>
        <v>±</v>
      </c>
      <c r="AC1660" s="1" t="str">
        <f>IF(Table1[[#This Row],[Spec Type2]]="N/A","N/A",IF(AND(Table1[[#This Row],[DUT Adj Read]]&gt;=Table1[[#This Row],[Low Tol]],Table1[[#This Row],[DUT Adj Read]]&lt;=Table1[[#This Row],[High Tol]]),"Pass","Fail"))</f>
        <v>Fail</v>
      </c>
      <c r="AD1660" s="1" t="str">
        <f>IF(AND(Table1[[#This Row],[Spec Type2]]="N/A",Table1[[#This Row],[DUT Adj Read]]="N/A",Table1[[#This Row],[Std Adj Read]]="N/A"),"N/A",IF(Table1[[#This Row],[DUT Adj Read]]="N/A",IF(Table1[[#This Row],[Std Adj Read]]&gt;Table1[[#This Row],[Low Tol]],"Pass","Fail"),IF(Table1[[#This Row],[DUT Adj Read]]&gt;Table1[[#This Row],[Low Tol]],"Pass","Fail")))</f>
        <v>Pass</v>
      </c>
      <c r="AE1660" s="1" t="str">
        <f>IF(AND(Table1[[#This Row],[Spec Type2]]="N/A",Table1[[#This Row],[DUT Adj Read]]="N/A",Table1[[#This Row],[Std Adj Read]]="N/A"),"N/A",IF(Table1[[#This Row],[DUT Adj Read]]="N/A",IF(Table1[[#This Row],[Std Adj Read]]&lt;Table1[[#This Row],[High Tol]],"Pass","Fail"),IF(Table1[[#This Row],[DUT Adj Read]]&lt;Table1[[#This Row],[High Tol]],"Pass","Fail")))</f>
        <v>Fail</v>
      </c>
      <c r="AF1660" s="1" t="str">
        <f>IF(AND(Table1[[#This Row],[Spec Type2]]="N/A",Table1[[#This Row],[DUT Adj Read]]="N/A",Table1[[#This Row],[Std Adj Read]]="N/A"),"N/A",IF(Table1[[#This Row],[DUT Adj Read]]="N/A",IF(Table1[[#This Row],[Std Adj Read]]&gt;=Table1[[#This Row],[Low Tol]],"Pass","Fail"),IF(Table1[[#This Row],[DUT Adj Read]]&gt;=Table1[[#This Row],[Low Tol]],"Pass","Fail")))</f>
        <v>Pass</v>
      </c>
      <c r="AG1660" s="1" t="str">
        <f>IF(AND(Table1[[#This Row],[Spec Type2]]="N/A",Table1[[#This Row],[DUT Adj Read]]="N/A",Table1[[#This Row],[Std Adj Read]]="N/A"),"N/A",IF(Table1[[#This Row],[DUT Adj Read]]="N/A",IF(Table1[[#This Row],[Std Adj Read]]&lt;=Table1[[#This Row],[High Tol]],"Pass","Fail"),IF(Table1[[#This Row],[DUT Adj Read]]&lt;=Table1[[#This Row],[High Tol]],"Pass","Fail")))</f>
        <v>Fail</v>
      </c>
      <c r="AH16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0" s="1" t="b">
        <v>0</v>
      </c>
      <c r="AN1660" s="1" t="b">
        <v>0</v>
      </c>
      <c r="AO1660" s="1" t="b">
        <v>0</v>
      </c>
    </row>
    <row r="1661" spans="1:41" x14ac:dyDescent="0.25">
      <c r="A1661" s="10"/>
      <c r="B1661" s="10"/>
      <c r="C1661" s="10"/>
      <c r="D1661" s="10"/>
      <c r="E1661" s="10"/>
      <c r="F1661" s="10"/>
      <c r="G1661" s="10"/>
      <c r="H1661" s="10"/>
      <c r="I1661" s="1" t="str">
        <f t="shared" si="75"/>
        <v/>
      </c>
      <c r="J1661" s="1" t="s">
        <v>35</v>
      </c>
      <c r="K1661" s="1" t="str">
        <f t="shared" si="76"/>
        <v/>
      </c>
      <c r="L1661" s="1" t="str">
        <f t="shared" si="77"/>
        <v/>
      </c>
      <c r="M1661" s="1">
        <f>IF(OR(Table1[[#This Row],[Std Nom]]="",Table1[[#This Row],[Std Read]]=""),0,Table1[[#This Row],[Std Nom]]-Table1[[#This Row],[Std Read]])</f>
        <v>0</v>
      </c>
      <c r="N1661" s="1">
        <f>IF(Calculations!$F$5="ACCREDITED 17025 WITH UNCERTAINTIES",$N$10,0)</f>
        <v>0</v>
      </c>
      <c r="Q1661" s="1">
        <f>Table1[[#This Row],[High Tol]]-Table1[[#This Row],[Low Tol]]</f>
        <v>0</v>
      </c>
      <c r="R1661" s="1">
        <f>2*Table1[[#This Row],[Std Error]]</f>
        <v>0</v>
      </c>
      <c r="S1661" s="1" t="str">
        <f>IF(Table1[[#This Row],[High Tol]]="","N/A",IFERROR(ABS(Table1[[#This Row],[Tol Span]]/Table1[[#This Row],[Error Span]]),"N/A"))</f>
        <v>N/A</v>
      </c>
      <c r="T1661" s="1" t="str">
        <f>IF(OR(Table1[[#This Row],[Low Tol]]="",Table1[[#This Row],[High Tol]]=""),"Needs Analysis",IF(Table1[[#This Row],[Ratio]]&gt;=4,"Not Significant",IF(Table1[[#This Row],[Ratio]]&gt;=2,"Semi-Significant","Significant")))</f>
        <v>Needs Analysis</v>
      </c>
      <c r="W1661" s="1">
        <f>IF(Table1[[#This Row],[Cal Type]]&lt;&gt;"ACCREDITED 17025 WITH UNCERTAINTIES",0,"")</f>
        <v>0</v>
      </c>
      <c r="X1661" s="1" t="str">
        <f>IF(Table1[[#This Row],[DUT Read]]="","N/A",Table1[[#This Row],[Std Error]]+Table1[[#This Row],[DUT Read]]+Table1[[#This Row],[DUT Ucty]])</f>
        <v>N/A</v>
      </c>
      <c r="Y1661" s="1" t="str">
        <f>IF(Table1[[#This Row],[Std Read]]="","N/A",Table1[[#This Row],[Std Read]]+Table1[[#This Row],[Std Ucty]])</f>
        <v>N/A</v>
      </c>
      <c r="Z16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1" s="1" t="str">
        <f>IF(Table1[[#This Row],[Spec Type]]="","N/A",Table1[[#This Row],[Spec Type]])</f>
        <v>±</v>
      </c>
      <c r="AC1661" s="1" t="str">
        <f>IF(Table1[[#This Row],[Spec Type2]]="N/A","N/A",IF(AND(Table1[[#This Row],[DUT Adj Read]]&gt;=Table1[[#This Row],[Low Tol]],Table1[[#This Row],[DUT Adj Read]]&lt;=Table1[[#This Row],[High Tol]]),"Pass","Fail"))</f>
        <v>Fail</v>
      </c>
      <c r="AD1661" s="1" t="str">
        <f>IF(AND(Table1[[#This Row],[Spec Type2]]="N/A",Table1[[#This Row],[DUT Adj Read]]="N/A",Table1[[#This Row],[Std Adj Read]]="N/A"),"N/A",IF(Table1[[#This Row],[DUT Adj Read]]="N/A",IF(Table1[[#This Row],[Std Adj Read]]&gt;Table1[[#This Row],[Low Tol]],"Pass","Fail"),IF(Table1[[#This Row],[DUT Adj Read]]&gt;Table1[[#This Row],[Low Tol]],"Pass","Fail")))</f>
        <v>Pass</v>
      </c>
      <c r="AE1661" s="1" t="str">
        <f>IF(AND(Table1[[#This Row],[Spec Type2]]="N/A",Table1[[#This Row],[DUT Adj Read]]="N/A",Table1[[#This Row],[Std Adj Read]]="N/A"),"N/A",IF(Table1[[#This Row],[DUT Adj Read]]="N/A",IF(Table1[[#This Row],[Std Adj Read]]&lt;Table1[[#This Row],[High Tol]],"Pass","Fail"),IF(Table1[[#This Row],[DUT Adj Read]]&lt;Table1[[#This Row],[High Tol]],"Pass","Fail")))</f>
        <v>Fail</v>
      </c>
      <c r="AF1661" s="1" t="str">
        <f>IF(AND(Table1[[#This Row],[Spec Type2]]="N/A",Table1[[#This Row],[DUT Adj Read]]="N/A",Table1[[#This Row],[Std Adj Read]]="N/A"),"N/A",IF(Table1[[#This Row],[DUT Adj Read]]="N/A",IF(Table1[[#This Row],[Std Adj Read]]&gt;=Table1[[#This Row],[Low Tol]],"Pass","Fail"),IF(Table1[[#This Row],[DUT Adj Read]]&gt;=Table1[[#This Row],[Low Tol]],"Pass","Fail")))</f>
        <v>Pass</v>
      </c>
      <c r="AG1661" s="1" t="str">
        <f>IF(AND(Table1[[#This Row],[Spec Type2]]="N/A",Table1[[#This Row],[DUT Adj Read]]="N/A",Table1[[#This Row],[Std Adj Read]]="N/A"),"N/A",IF(Table1[[#This Row],[DUT Adj Read]]="N/A",IF(Table1[[#This Row],[Std Adj Read]]&lt;=Table1[[#This Row],[High Tol]],"Pass","Fail"),IF(Table1[[#This Row],[DUT Adj Read]]&lt;=Table1[[#This Row],[High Tol]],"Pass","Fail")))</f>
        <v>Fail</v>
      </c>
      <c r="AH16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1" s="1" t="b">
        <v>0</v>
      </c>
      <c r="AN1661" s="1" t="b">
        <v>0</v>
      </c>
      <c r="AO1661" s="1" t="b">
        <v>0</v>
      </c>
    </row>
    <row r="1662" spans="1:41" x14ac:dyDescent="0.25">
      <c r="A1662" s="10"/>
      <c r="B1662" s="10"/>
      <c r="C1662" s="10"/>
      <c r="D1662" s="10"/>
      <c r="E1662" s="10"/>
      <c r="F1662" s="10"/>
      <c r="G1662" s="10"/>
      <c r="H1662" s="10"/>
      <c r="I1662" s="1" t="str">
        <f t="shared" si="75"/>
        <v/>
      </c>
      <c r="J1662" s="1" t="s">
        <v>35</v>
      </c>
      <c r="K1662" s="1" t="str">
        <f t="shared" si="76"/>
        <v/>
      </c>
      <c r="L1662" s="1" t="str">
        <f t="shared" si="77"/>
        <v/>
      </c>
      <c r="M1662" s="1">
        <f>IF(OR(Table1[[#This Row],[Std Nom]]="",Table1[[#This Row],[Std Read]]=""),0,Table1[[#This Row],[Std Nom]]-Table1[[#This Row],[Std Read]])</f>
        <v>0</v>
      </c>
      <c r="N1662" s="1">
        <f>IF(Calculations!$F$5="ACCREDITED 17025 WITH UNCERTAINTIES",$N$10,0)</f>
        <v>0</v>
      </c>
      <c r="Q1662" s="1">
        <f>Table1[[#This Row],[High Tol]]-Table1[[#This Row],[Low Tol]]</f>
        <v>0</v>
      </c>
      <c r="R1662" s="1">
        <f>2*Table1[[#This Row],[Std Error]]</f>
        <v>0</v>
      </c>
      <c r="S1662" s="1" t="str">
        <f>IF(Table1[[#This Row],[High Tol]]="","N/A",IFERROR(ABS(Table1[[#This Row],[Tol Span]]/Table1[[#This Row],[Error Span]]),"N/A"))</f>
        <v>N/A</v>
      </c>
      <c r="T1662" s="1" t="str">
        <f>IF(OR(Table1[[#This Row],[Low Tol]]="",Table1[[#This Row],[High Tol]]=""),"Needs Analysis",IF(Table1[[#This Row],[Ratio]]&gt;=4,"Not Significant",IF(Table1[[#This Row],[Ratio]]&gt;=2,"Semi-Significant","Significant")))</f>
        <v>Needs Analysis</v>
      </c>
      <c r="W1662" s="1">
        <f>IF(Table1[[#This Row],[Cal Type]]&lt;&gt;"ACCREDITED 17025 WITH UNCERTAINTIES",0,"")</f>
        <v>0</v>
      </c>
      <c r="X1662" s="1" t="str">
        <f>IF(Table1[[#This Row],[DUT Read]]="","N/A",Table1[[#This Row],[Std Error]]+Table1[[#This Row],[DUT Read]]+Table1[[#This Row],[DUT Ucty]])</f>
        <v>N/A</v>
      </c>
      <c r="Y1662" s="1" t="str">
        <f>IF(Table1[[#This Row],[Std Read]]="","N/A",Table1[[#This Row],[Std Read]]+Table1[[#This Row],[Std Ucty]])</f>
        <v>N/A</v>
      </c>
      <c r="Z16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2" s="1" t="str">
        <f>IF(Table1[[#This Row],[Spec Type]]="","N/A",Table1[[#This Row],[Spec Type]])</f>
        <v>±</v>
      </c>
      <c r="AC1662" s="1" t="str">
        <f>IF(Table1[[#This Row],[Spec Type2]]="N/A","N/A",IF(AND(Table1[[#This Row],[DUT Adj Read]]&gt;=Table1[[#This Row],[Low Tol]],Table1[[#This Row],[DUT Adj Read]]&lt;=Table1[[#This Row],[High Tol]]),"Pass","Fail"))</f>
        <v>Fail</v>
      </c>
      <c r="AD1662" s="1" t="str">
        <f>IF(AND(Table1[[#This Row],[Spec Type2]]="N/A",Table1[[#This Row],[DUT Adj Read]]="N/A",Table1[[#This Row],[Std Adj Read]]="N/A"),"N/A",IF(Table1[[#This Row],[DUT Adj Read]]="N/A",IF(Table1[[#This Row],[Std Adj Read]]&gt;Table1[[#This Row],[Low Tol]],"Pass","Fail"),IF(Table1[[#This Row],[DUT Adj Read]]&gt;Table1[[#This Row],[Low Tol]],"Pass","Fail")))</f>
        <v>Pass</v>
      </c>
      <c r="AE1662" s="1" t="str">
        <f>IF(AND(Table1[[#This Row],[Spec Type2]]="N/A",Table1[[#This Row],[DUT Adj Read]]="N/A",Table1[[#This Row],[Std Adj Read]]="N/A"),"N/A",IF(Table1[[#This Row],[DUT Adj Read]]="N/A",IF(Table1[[#This Row],[Std Adj Read]]&lt;Table1[[#This Row],[High Tol]],"Pass","Fail"),IF(Table1[[#This Row],[DUT Adj Read]]&lt;Table1[[#This Row],[High Tol]],"Pass","Fail")))</f>
        <v>Fail</v>
      </c>
      <c r="AF1662" s="1" t="str">
        <f>IF(AND(Table1[[#This Row],[Spec Type2]]="N/A",Table1[[#This Row],[DUT Adj Read]]="N/A",Table1[[#This Row],[Std Adj Read]]="N/A"),"N/A",IF(Table1[[#This Row],[DUT Adj Read]]="N/A",IF(Table1[[#This Row],[Std Adj Read]]&gt;=Table1[[#This Row],[Low Tol]],"Pass","Fail"),IF(Table1[[#This Row],[DUT Adj Read]]&gt;=Table1[[#This Row],[Low Tol]],"Pass","Fail")))</f>
        <v>Pass</v>
      </c>
      <c r="AG1662" s="1" t="str">
        <f>IF(AND(Table1[[#This Row],[Spec Type2]]="N/A",Table1[[#This Row],[DUT Adj Read]]="N/A",Table1[[#This Row],[Std Adj Read]]="N/A"),"N/A",IF(Table1[[#This Row],[DUT Adj Read]]="N/A",IF(Table1[[#This Row],[Std Adj Read]]&lt;=Table1[[#This Row],[High Tol]],"Pass","Fail"),IF(Table1[[#This Row],[DUT Adj Read]]&lt;=Table1[[#This Row],[High Tol]],"Pass","Fail")))</f>
        <v>Fail</v>
      </c>
      <c r="AH16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2" s="1" t="b">
        <v>0</v>
      </c>
      <c r="AN1662" s="1" t="b">
        <v>0</v>
      </c>
      <c r="AO1662" s="1" t="b">
        <v>0</v>
      </c>
    </row>
    <row r="1663" spans="1:41" x14ac:dyDescent="0.25">
      <c r="A1663" s="10"/>
      <c r="B1663" s="10"/>
      <c r="C1663" s="10"/>
      <c r="D1663" s="10"/>
      <c r="E1663" s="10"/>
      <c r="F1663" s="10"/>
      <c r="G1663" s="10"/>
      <c r="H1663" s="10"/>
      <c r="I1663" s="1" t="str">
        <f t="shared" si="75"/>
        <v/>
      </c>
      <c r="J1663" s="1" t="s">
        <v>35</v>
      </c>
      <c r="K1663" s="1" t="str">
        <f t="shared" si="76"/>
        <v/>
      </c>
      <c r="L1663" s="1" t="str">
        <f t="shared" si="77"/>
        <v/>
      </c>
      <c r="M1663" s="1">
        <f>IF(OR(Table1[[#This Row],[Std Nom]]="",Table1[[#This Row],[Std Read]]=""),0,Table1[[#This Row],[Std Nom]]-Table1[[#This Row],[Std Read]])</f>
        <v>0</v>
      </c>
      <c r="N1663" s="1">
        <f>IF(Calculations!$F$5="ACCREDITED 17025 WITH UNCERTAINTIES",$N$10,0)</f>
        <v>0</v>
      </c>
      <c r="Q1663" s="1">
        <f>Table1[[#This Row],[High Tol]]-Table1[[#This Row],[Low Tol]]</f>
        <v>0</v>
      </c>
      <c r="R1663" s="1">
        <f>2*Table1[[#This Row],[Std Error]]</f>
        <v>0</v>
      </c>
      <c r="S1663" s="1" t="str">
        <f>IF(Table1[[#This Row],[High Tol]]="","N/A",IFERROR(ABS(Table1[[#This Row],[Tol Span]]/Table1[[#This Row],[Error Span]]),"N/A"))</f>
        <v>N/A</v>
      </c>
      <c r="T1663" s="1" t="str">
        <f>IF(OR(Table1[[#This Row],[Low Tol]]="",Table1[[#This Row],[High Tol]]=""),"Needs Analysis",IF(Table1[[#This Row],[Ratio]]&gt;=4,"Not Significant",IF(Table1[[#This Row],[Ratio]]&gt;=2,"Semi-Significant","Significant")))</f>
        <v>Needs Analysis</v>
      </c>
      <c r="W1663" s="1">
        <f>IF(Table1[[#This Row],[Cal Type]]&lt;&gt;"ACCREDITED 17025 WITH UNCERTAINTIES",0,"")</f>
        <v>0</v>
      </c>
      <c r="X1663" s="1" t="str">
        <f>IF(Table1[[#This Row],[DUT Read]]="","N/A",Table1[[#This Row],[Std Error]]+Table1[[#This Row],[DUT Read]]+Table1[[#This Row],[DUT Ucty]])</f>
        <v>N/A</v>
      </c>
      <c r="Y1663" s="1" t="str">
        <f>IF(Table1[[#This Row],[Std Read]]="","N/A",Table1[[#This Row],[Std Read]]+Table1[[#This Row],[Std Ucty]])</f>
        <v>N/A</v>
      </c>
      <c r="Z16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3" s="1" t="str">
        <f>IF(Table1[[#This Row],[Spec Type]]="","N/A",Table1[[#This Row],[Spec Type]])</f>
        <v>±</v>
      </c>
      <c r="AC1663" s="1" t="str">
        <f>IF(Table1[[#This Row],[Spec Type2]]="N/A","N/A",IF(AND(Table1[[#This Row],[DUT Adj Read]]&gt;=Table1[[#This Row],[Low Tol]],Table1[[#This Row],[DUT Adj Read]]&lt;=Table1[[#This Row],[High Tol]]),"Pass","Fail"))</f>
        <v>Fail</v>
      </c>
      <c r="AD1663" s="1" t="str">
        <f>IF(AND(Table1[[#This Row],[Spec Type2]]="N/A",Table1[[#This Row],[DUT Adj Read]]="N/A",Table1[[#This Row],[Std Adj Read]]="N/A"),"N/A",IF(Table1[[#This Row],[DUT Adj Read]]="N/A",IF(Table1[[#This Row],[Std Adj Read]]&gt;Table1[[#This Row],[Low Tol]],"Pass","Fail"),IF(Table1[[#This Row],[DUT Adj Read]]&gt;Table1[[#This Row],[Low Tol]],"Pass","Fail")))</f>
        <v>Pass</v>
      </c>
      <c r="AE1663" s="1" t="str">
        <f>IF(AND(Table1[[#This Row],[Spec Type2]]="N/A",Table1[[#This Row],[DUT Adj Read]]="N/A",Table1[[#This Row],[Std Adj Read]]="N/A"),"N/A",IF(Table1[[#This Row],[DUT Adj Read]]="N/A",IF(Table1[[#This Row],[Std Adj Read]]&lt;Table1[[#This Row],[High Tol]],"Pass","Fail"),IF(Table1[[#This Row],[DUT Adj Read]]&lt;Table1[[#This Row],[High Tol]],"Pass","Fail")))</f>
        <v>Fail</v>
      </c>
      <c r="AF1663" s="1" t="str">
        <f>IF(AND(Table1[[#This Row],[Spec Type2]]="N/A",Table1[[#This Row],[DUT Adj Read]]="N/A",Table1[[#This Row],[Std Adj Read]]="N/A"),"N/A",IF(Table1[[#This Row],[DUT Adj Read]]="N/A",IF(Table1[[#This Row],[Std Adj Read]]&gt;=Table1[[#This Row],[Low Tol]],"Pass","Fail"),IF(Table1[[#This Row],[DUT Adj Read]]&gt;=Table1[[#This Row],[Low Tol]],"Pass","Fail")))</f>
        <v>Pass</v>
      </c>
      <c r="AG1663" s="1" t="str">
        <f>IF(AND(Table1[[#This Row],[Spec Type2]]="N/A",Table1[[#This Row],[DUT Adj Read]]="N/A",Table1[[#This Row],[Std Adj Read]]="N/A"),"N/A",IF(Table1[[#This Row],[DUT Adj Read]]="N/A",IF(Table1[[#This Row],[Std Adj Read]]&lt;=Table1[[#This Row],[High Tol]],"Pass","Fail"),IF(Table1[[#This Row],[DUT Adj Read]]&lt;=Table1[[#This Row],[High Tol]],"Pass","Fail")))</f>
        <v>Fail</v>
      </c>
      <c r="AH16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3" s="1" t="b">
        <v>0</v>
      </c>
      <c r="AN1663" s="1" t="b">
        <v>0</v>
      </c>
      <c r="AO1663" s="1" t="b">
        <v>0</v>
      </c>
    </row>
    <row r="1664" spans="1:41" x14ac:dyDescent="0.25">
      <c r="A1664" s="10"/>
      <c r="B1664" s="10"/>
      <c r="C1664" s="10"/>
      <c r="D1664" s="10"/>
      <c r="E1664" s="10"/>
      <c r="F1664" s="10"/>
      <c r="G1664" s="10"/>
      <c r="H1664" s="10"/>
      <c r="I1664" s="1" t="str">
        <f t="shared" si="75"/>
        <v/>
      </c>
      <c r="J1664" s="1" t="s">
        <v>35</v>
      </c>
      <c r="K1664" s="1" t="str">
        <f t="shared" si="76"/>
        <v/>
      </c>
      <c r="L1664" s="1" t="str">
        <f t="shared" si="77"/>
        <v/>
      </c>
      <c r="M1664" s="1">
        <f>IF(OR(Table1[[#This Row],[Std Nom]]="",Table1[[#This Row],[Std Read]]=""),0,Table1[[#This Row],[Std Nom]]-Table1[[#This Row],[Std Read]])</f>
        <v>0</v>
      </c>
      <c r="N1664" s="1">
        <f>IF(Calculations!$F$5="ACCREDITED 17025 WITH UNCERTAINTIES",$N$10,0)</f>
        <v>0</v>
      </c>
      <c r="Q1664" s="1">
        <f>Table1[[#This Row],[High Tol]]-Table1[[#This Row],[Low Tol]]</f>
        <v>0</v>
      </c>
      <c r="R1664" s="1">
        <f>2*Table1[[#This Row],[Std Error]]</f>
        <v>0</v>
      </c>
      <c r="S1664" s="1" t="str">
        <f>IF(Table1[[#This Row],[High Tol]]="","N/A",IFERROR(ABS(Table1[[#This Row],[Tol Span]]/Table1[[#This Row],[Error Span]]),"N/A"))</f>
        <v>N/A</v>
      </c>
      <c r="T1664" s="1" t="str">
        <f>IF(OR(Table1[[#This Row],[Low Tol]]="",Table1[[#This Row],[High Tol]]=""),"Needs Analysis",IF(Table1[[#This Row],[Ratio]]&gt;=4,"Not Significant",IF(Table1[[#This Row],[Ratio]]&gt;=2,"Semi-Significant","Significant")))</f>
        <v>Needs Analysis</v>
      </c>
      <c r="W1664" s="1">
        <f>IF(Table1[[#This Row],[Cal Type]]&lt;&gt;"ACCREDITED 17025 WITH UNCERTAINTIES",0,"")</f>
        <v>0</v>
      </c>
      <c r="X1664" s="1" t="str">
        <f>IF(Table1[[#This Row],[DUT Read]]="","N/A",Table1[[#This Row],[Std Error]]+Table1[[#This Row],[DUT Read]]+Table1[[#This Row],[DUT Ucty]])</f>
        <v>N/A</v>
      </c>
      <c r="Y1664" s="1" t="str">
        <f>IF(Table1[[#This Row],[Std Read]]="","N/A",Table1[[#This Row],[Std Read]]+Table1[[#This Row],[Std Ucty]])</f>
        <v>N/A</v>
      </c>
      <c r="Z16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4" s="1" t="str">
        <f>IF(Table1[[#This Row],[Spec Type]]="","N/A",Table1[[#This Row],[Spec Type]])</f>
        <v>±</v>
      </c>
      <c r="AC1664" s="1" t="str">
        <f>IF(Table1[[#This Row],[Spec Type2]]="N/A","N/A",IF(AND(Table1[[#This Row],[DUT Adj Read]]&gt;=Table1[[#This Row],[Low Tol]],Table1[[#This Row],[DUT Adj Read]]&lt;=Table1[[#This Row],[High Tol]]),"Pass","Fail"))</f>
        <v>Fail</v>
      </c>
      <c r="AD1664" s="1" t="str">
        <f>IF(AND(Table1[[#This Row],[Spec Type2]]="N/A",Table1[[#This Row],[DUT Adj Read]]="N/A",Table1[[#This Row],[Std Adj Read]]="N/A"),"N/A",IF(Table1[[#This Row],[DUT Adj Read]]="N/A",IF(Table1[[#This Row],[Std Adj Read]]&gt;Table1[[#This Row],[Low Tol]],"Pass","Fail"),IF(Table1[[#This Row],[DUT Adj Read]]&gt;Table1[[#This Row],[Low Tol]],"Pass","Fail")))</f>
        <v>Pass</v>
      </c>
      <c r="AE1664" s="1" t="str">
        <f>IF(AND(Table1[[#This Row],[Spec Type2]]="N/A",Table1[[#This Row],[DUT Adj Read]]="N/A",Table1[[#This Row],[Std Adj Read]]="N/A"),"N/A",IF(Table1[[#This Row],[DUT Adj Read]]="N/A",IF(Table1[[#This Row],[Std Adj Read]]&lt;Table1[[#This Row],[High Tol]],"Pass","Fail"),IF(Table1[[#This Row],[DUT Adj Read]]&lt;Table1[[#This Row],[High Tol]],"Pass","Fail")))</f>
        <v>Fail</v>
      </c>
      <c r="AF1664" s="1" t="str">
        <f>IF(AND(Table1[[#This Row],[Spec Type2]]="N/A",Table1[[#This Row],[DUT Adj Read]]="N/A",Table1[[#This Row],[Std Adj Read]]="N/A"),"N/A",IF(Table1[[#This Row],[DUT Adj Read]]="N/A",IF(Table1[[#This Row],[Std Adj Read]]&gt;=Table1[[#This Row],[Low Tol]],"Pass","Fail"),IF(Table1[[#This Row],[DUT Adj Read]]&gt;=Table1[[#This Row],[Low Tol]],"Pass","Fail")))</f>
        <v>Pass</v>
      </c>
      <c r="AG1664" s="1" t="str">
        <f>IF(AND(Table1[[#This Row],[Spec Type2]]="N/A",Table1[[#This Row],[DUT Adj Read]]="N/A",Table1[[#This Row],[Std Adj Read]]="N/A"),"N/A",IF(Table1[[#This Row],[DUT Adj Read]]="N/A",IF(Table1[[#This Row],[Std Adj Read]]&lt;=Table1[[#This Row],[High Tol]],"Pass","Fail"),IF(Table1[[#This Row],[DUT Adj Read]]&lt;=Table1[[#This Row],[High Tol]],"Pass","Fail")))</f>
        <v>Fail</v>
      </c>
      <c r="AH16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4" s="1" t="b">
        <v>0</v>
      </c>
      <c r="AN1664" s="1" t="b">
        <v>0</v>
      </c>
      <c r="AO1664" s="1" t="b">
        <v>0</v>
      </c>
    </row>
    <row r="1665" spans="1:41" x14ac:dyDescent="0.25">
      <c r="A1665" s="10"/>
      <c r="B1665" s="10"/>
      <c r="C1665" s="10"/>
      <c r="D1665" s="10"/>
      <c r="E1665" s="10"/>
      <c r="F1665" s="10"/>
      <c r="G1665" s="10"/>
      <c r="H1665" s="10"/>
      <c r="I1665" s="1" t="str">
        <f t="shared" si="75"/>
        <v/>
      </c>
      <c r="J1665" s="1" t="s">
        <v>35</v>
      </c>
      <c r="K1665" s="1" t="str">
        <f t="shared" si="76"/>
        <v/>
      </c>
      <c r="L1665" s="1" t="str">
        <f t="shared" si="77"/>
        <v/>
      </c>
      <c r="M1665" s="1">
        <f>IF(OR(Table1[[#This Row],[Std Nom]]="",Table1[[#This Row],[Std Read]]=""),0,Table1[[#This Row],[Std Nom]]-Table1[[#This Row],[Std Read]])</f>
        <v>0</v>
      </c>
      <c r="N1665" s="1">
        <f>IF(Calculations!$F$5="ACCREDITED 17025 WITH UNCERTAINTIES",$N$10,0)</f>
        <v>0</v>
      </c>
      <c r="Q1665" s="1">
        <f>Table1[[#This Row],[High Tol]]-Table1[[#This Row],[Low Tol]]</f>
        <v>0</v>
      </c>
      <c r="R1665" s="1">
        <f>2*Table1[[#This Row],[Std Error]]</f>
        <v>0</v>
      </c>
      <c r="S1665" s="1" t="str">
        <f>IF(Table1[[#This Row],[High Tol]]="","N/A",IFERROR(ABS(Table1[[#This Row],[Tol Span]]/Table1[[#This Row],[Error Span]]),"N/A"))</f>
        <v>N/A</v>
      </c>
      <c r="T1665" s="1" t="str">
        <f>IF(OR(Table1[[#This Row],[Low Tol]]="",Table1[[#This Row],[High Tol]]=""),"Needs Analysis",IF(Table1[[#This Row],[Ratio]]&gt;=4,"Not Significant",IF(Table1[[#This Row],[Ratio]]&gt;=2,"Semi-Significant","Significant")))</f>
        <v>Needs Analysis</v>
      </c>
      <c r="W1665" s="1">
        <f>IF(Table1[[#This Row],[Cal Type]]&lt;&gt;"ACCREDITED 17025 WITH UNCERTAINTIES",0,"")</f>
        <v>0</v>
      </c>
      <c r="X1665" s="1" t="str">
        <f>IF(Table1[[#This Row],[DUT Read]]="","N/A",Table1[[#This Row],[Std Error]]+Table1[[#This Row],[DUT Read]]+Table1[[#This Row],[DUT Ucty]])</f>
        <v>N/A</v>
      </c>
      <c r="Y1665" s="1" t="str">
        <f>IF(Table1[[#This Row],[Std Read]]="","N/A",Table1[[#This Row],[Std Read]]+Table1[[#This Row],[Std Ucty]])</f>
        <v>N/A</v>
      </c>
      <c r="Z16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5" s="1" t="str">
        <f>IF(Table1[[#This Row],[Spec Type]]="","N/A",Table1[[#This Row],[Spec Type]])</f>
        <v>±</v>
      </c>
      <c r="AC1665" s="1" t="str">
        <f>IF(Table1[[#This Row],[Spec Type2]]="N/A","N/A",IF(AND(Table1[[#This Row],[DUT Adj Read]]&gt;=Table1[[#This Row],[Low Tol]],Table1[[#This Row],[DUT Adj Read]]&lt;=Table1[[#This Row],[High Tol]]),"Pass","Fail"))</f>
        <v>Fail</v>
      </c>
      <c r="AD1665" s="1" t="str">
        <f>IF(AND(Table1[[#This Row],[Spec Type2]]="N/A",Table1[[#This Row],[DUT Adj Read]]="N/A",Table1[[#This Row],[Std Adj Read]]="N/A"),"N/A",IF(Table1[[#This Row],[DUT Adj Read]]="N/A",IF(Table1[[#This Row],[Std Adj Read]]&gt;Table1[[#This Row],[Low Tol]],"Pass","Fail"),IF(Table1[[#This Row],[DUT Adj Read]]&gt;Table1[[#This Row],[Low Tol]],"Pass","Fail")))</f>
        <v>Pass</v>
      </c>
      <c r="AE1665" s="1" t="str">
        <f>IF(AND(Table1[[#This Row],[Spec Type2]]="N/A",Table1[[#This Row],[DUT Adj Read]]="N/A",Table1[[#This Row],[Std Adj Read]]="N/A"),"N/A",IF(Table1[[#This Row],[DUT Adj Read]]="N/A",IF(Table1[[#This Row],[Std Adj Read]]&lt;Table1[[#This Row],[High Tol]],"Pass","Fail"),IF(Table1[[#This Row],[DUT Adj Read]]&lt;Table1[[#This Row],[High Tol]],"Pass","Fail")))</f>
        <v>Fail</v>
      </c>
      <c r="AF1665" s="1" t="str">
        <f>IF(AND(Table1[[#This Row],[Spec Type2]]="N/A",Table1[[#This Row],[DUT Adj Read]]="N/A",Table1[[#This Row],[Std Adj Read]]="N/A"),"N/A",IF(Table1[[#This Row],[DUT Adj Read]]="N/A",IF(Table1[[#This Row],[Std Adj Read]]&gt;=Table1[[#This Row],[Low Tol]],"Pass","Fail"),IF(Table1[[#This Row],[DUT Adj Read]]&gt;=Table1[[#This Row],[Low Tol]],"Pass","Fail")))</f>
        <v>Pass</v>
      </c>
      <c r="AG1665" s="1" t="str">
        <f>IF(AND(Table1[[#This Row],[Spec Type2]]="N/A",Table1[[#This Row],[DUT Adj Read]]="N/A",Table1[[#This Row],[Std Adj Read]]="N/A"),"N/A",IF(Table1[[#This Row],[DUT Adj Read]]="N/A",IF(Table1[[#This Row],[Std Adj Read]]&lt;=Table1[[#This Row],[High Tol]],"Pass","Fail"),IF(Table1[[#This Row],[DUT Adj Read]]&lt;=Table1[[#This Row],[High Tol]],"Pass","Fail")))</f>
        <v>Fail</v>
      </c>
      <c r="AH16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5" s="1" t="b">
        <v>0</v>
      </c>
      <c r="AN1665" s="1" t="b">
        <v>0</v>
      </c>
      <c r="AO1665" s="1" t="b">
        <v>0</v>
      </c>
    </row>
    <row r="1666" spans="1:41" x14ac:dyDescent="0.25">
      <c r="A1666" s="10"/>
      <c r="B1666" s="10"/>
      <c r="C1666" s="10"/>
      <c r="D1666" s="10"/>
      <c r="E1666" s="10"/>
      <c r="F1666" s="10"/>
      <c r="G1666" s="10"/>
      <c r="H1666" s="10"/>
      <c r="I1666" s="1" t="str">
        <f t="shared" si="75"/>
        <v/>
      </c>
      <c r="J1666" s="1" t="s">
        <v>35</v>
      </c>
      <c r="K1666" s="1" t="str">
        <f t="shared" si="76"/>
        <v/>
      </c>
      <c r="L1666" s="1" t="str">
        <f t="shared" si="77"/>
        <v/>
      </c>
      <c r="M1666" s="1">
        <f>IF(OR(Table1[[#This Row],[Std Nom]]="",Table1[[#This Row],[Std Read]]=""),0,Table1[[#This Row],[Std Nom]]-Table1[[#This Row],[Std Read]])</f>
        <v>0</v>
      </c>
      <c r="N1666" s="1">
        <f>IF(Calculations!$F$5="ACCREDITED 17025 WITH UNCERTAINTIES",$N$10,0)</f>
        <v>0</v>
      </c>
      <c r="Q1666" s="1">
        <f>Table1[[#This Row],[High Tol]]-Table1[[#This Row],[Low Tol]]</f>
        <v>0</v>
      </c>
      <c r="R1666" s="1">
        <f>2*Table1[[#This Row],[Std Error]]</f>
        <v>0</v>
      </c>
      <c r="S1666" s="1" t="str">
        <f>IF(Table1[[#This Row],[High Tol]]="","N/A",IFERROR(ABS(Table1[[#This Row],[Tol Span]]/Table1[[#This Row],[Error Span]]),"N/A"))</f>
        <v>N/A</v>
      </c>
      <c r="T1666" s="1" t="str">
        <f>IF(OR(Table1[[#This Row],[Low Tol]]="",Table1[[#This Row],[High Tol]]=""),"Needs Analysis",IF(Table1[[#This Row],[Ratio]]&gt;=4,"Not Significant",IF(Table1[[#This Row],[Ratio]]&gt;=2,"Semi-Significant","Significant")))</f>
        <v>Needs Analysis</v>
      </c>
      <c r="W1666" s="1">
        <f>IF(Table1[[#This Row],[Cal Type]]&lt;&gt;"ACCREDITED 17025 WITH UNCERTAINTIES",0,"")</f>
        <v>0</v>
      </c>
      <c r="X1666" s="1" t="str">
        <f>IF(Table1[[#This Row],[DUT Read]]="","N/A",Table1[[#This Row],[Std Error]]+Table1[[#This Row],[DUT Read]]+Table1[[#This Row],[DUT Ucty]])</f>
        <v>N/A</v>
      </c>
      <c r="Y1666" s="1" t="str">
        <f>IF(Table1[[#This Row],[Std Read]]="","N/A",Table1[[#This Row],[Std Read]]+Table1[[#This Row],[Std Ucty]])</f>
        <v>N/A</v>
      </c>
      <c r="Z16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6" s="1" t="str">
        <f>IF(Table1[[#This Row],[Spec Type]]="","N/A",Table1[[#This Row],[Spec Type]])</f>
        <v>±</v>
      </c>
      <c r="AC1666" s="1" t="str">
        <f>IF(Table1[[#This Row],[Spec Type2]]="N/A","N/A",IF(AND(Table1[[#This Row],[DUT Adj Read]]&gt;=Table1[[#This Row],[Low Tol]],Table1[[#This Row],[DUT Adj Read]]&lt;=Table1[[#This Row],[High Tol]]),"Pass","Fail"))</f>
        <v>Fail</v>
      </c>
      <c r="AD1666" s="1" t="str">
        <f>IF(AND(Table1[[#This Row],[Spec Type2]]="N/A",Table1[[#This Row],[DUT Adj Read]]="N/A",Table1[[#This Row],[Std Adj Read]]="N/A"),"N/A",IF(Table1[[#This Row],[DUT Adj Read]]="N/A",IF(Table1[[#This Row],[Std Adj Read]]&gt;Table1[[#This Row],[Low Tol]],"Pass","Fail"),IF(Table1[[#This Row],[DUT Adj Read]]&gt;Table1[[#This Row],[Low Tol]],"Pass","Fail")))</f>
        <v>Pass</v>
      </c>
      <c r="AE1666" s="1" t="str">
        <f>IF(AND(Table1[[#This Row],[Spec Type2]]="N/A",Table1[[#This Row],[DUT Adj Read]]="N/A",Table1[[#This Row],[Std Adj Read]]="N/A"),"N/A",IF(Table1[[#This Row],[DUT Adj Read]]="N/A",IF(Table1[[#This Row],[Std Adj Read]]&lt;Table1[[#This Row],[High Tol]],"Pass","Fail"),IF(Table1[[#This Row],[DUT Adj Read]]&lt;Table1[[#This Row],[High Tol]],"Pass","Fail")))</f>
        <v>Fail</v>
      </c>
      <c r="AF1666" s="1" t="str">
        <f>IF(AND(Table1[[#This Row],[Spec Type2]]="N/A",Table1[[#This Row],[DUT Adj Read]]="N/A",Table1[[#This Row],[Std Adj Read]]="N/A"),"N/A",IF(Table1[[#This Row],[DUT Adj Read]]="N/A",IF(Table1[[#This Row],[Std Adj Read]]&gt;=Table1[[#This Row],[Low Tol]],"Pass","Fail"),IF(Table1[[#This Row],[DUT Adj Read]]&gt;=Table1[[#This Row],[Low Tol]],"Pass","Fail")))</f>
        <v>Pass</v>
      </c>
      <c r="AG1666" s="1" t="str">
        <f>IF(AND(Table1[[#This Row],[Spec Type2]]="N/A",Table1[[#This Row],[DUT Adj Read]]="N/A",Table1[[#This Row],[Std Adj Read]]="N/A"),"N/A",IF(Table1[[#This Row],[DUT Adj Read]]="N/A",IF(Table1[[#This Row],[Std Adj Read]]&lt;=Table1[[#This Row],[High Tol]],"Pass","Fail"),IF(Table1[[#This Row],[DUT Adj Read]]&lt;=Table1[[#This Row],[High Tol]],"Pass","Fail")))</f>
        <v>Fail</v>
      </c>
      <c r="AH16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6" s="1" t="b">
        <v>0</v>
      </c>
      <c r="AN1666" s="1" t="b">
        <v>0</v>
      </c>
      <c r="AO1666" s="1" t="b">
        <v>0</v>
      </c>
    </row>
    <row r="1667" spans="1:41" x14ac:dyDescent="0.25">
      <c r="A1667" s="10"/>
      <c r="B1667" s="10"/>
      <c r="C1667" s="10"/>
      <c r="D1667" s="10"/>
      <c r="E1667" s="10"/>
      <c r="F1667" s="10"/>
      <c r="G1667" s="10"/>
      <c r="H1667" s="10"/>
      <c r="I1667" s="1" t="str">
        <f t="shared" si="75"/>
        <v/>
      </c>
      <c r="J1667" s="1" t="s">
        <v>35</v>
      </c>
      <c r="K1667" s="1" t="str">
        <f t="shared" si="76"/>
        <v/>
      </c>
      <c r="L1667" s="1" t="str">
        <f t="shared" si="77"/>
        <v/>
      </c>
      <c r="M1667" s="1">
        <f>IF(OR(Table1[[#This Row],[Std Nom]]="",Table1[[#This Row],[Std Read]]=""),0,Table1[[#This Row],[Std Nom]]-Table1[[#This Row],[Std Read]])</f>
        <v>0</v>
      </c>
      <c r="N1667" s="1">
        <f>IF(Calculations!$F$5="ACCREDITED 17025 WITH UNCERTAINTIES",$N$10,0)</f>
        <v>0</v>
      </c>
      <c r="Q1667" s="1">
        <f>Table1[[#This Row],[High Tol]]-Table1[[#This Row],[Low Tol]]</f>
        <v>0</v>
      </c>
      <c r="R1667" s="1">
        <f>2*Table1[[#This Row],[Std Error]]</f>
        <v>0</v>
      </c>
      <c r="S1667" s="1" t="str">
        <f>IF(Table1[[#This Row],[High Tol]]="","N/A",IFERROR(ABS(Table1[[#This Row],[Tol Span]]/Table1[[#This Row],[Error Span]]),"N/A"))</f>
        <v>N/A</v>
      </c>
      <c r="T1667" s="1" t="str">
        <f>IF(OR(Table1[[#This Row],[Low Tol]]="",Table1[[#This Row],[High Tol]]=""),"Needs Analysis",IF(Table1[[#This Row],[Ratio]]&gt;=4,"Not Significant",IF(Table1[[#This Row],[Ratio]]&gt;=2,"Semi-Significant","Significant")))</f>
        <v>Needs Analysis</v>
      </c>
      <c r="W1667" s="1">
        <f>IF(Table1[[#This Row],[Cal Type]]&lt;&gt;"ACCREDITED 17025 WITH UNCERTAINTIES",0,"")</f>
        <v>0</v>
      </c>
      <c r="X1667" s="1" t="str">
        <f>IF(Table1[[#This Row],[DUT Read]]="","N/A",Table1[[#This Row],[Std Error]]+Table1[[#This Row],[DUT Read]]+Table1[[#This Row],[DUT Ucty]])</f>
        <v>N/A</v>
      </c>
      <c r="Y1667" s="1" t="str">
        <f>IF(Table1[[#This Row],[Std Read]]="","N/A",Table1[[#This Row],[Std Read]]+Table1[[#This Row],[Std Ucty]])</f>
        <v>N/A</v>
      </c>
      <c r="Z16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7" s="1" t="str">
        <f>IF(Table1[[#This Row],[Spec Type]]="","N/A",Table1[[#This Row],[Spec Type]])</f>
        <v>±</v>
      </c>
      <c r="AC1667" s="1" t="str">
        <f>IF(Table1[[#This Row],[Spec Type2]]="N/A","N/A",IF(AND(Table1[[#This Row],[DUT Adj Read]]&gt;=Table1[[#This Row],[Low Tol]],Table1[[#This Row],[DUT Adj Read]]&lt;=Table1[[#This Row],[High Tol]]),"Pass","Fail"))</f>
        <v>Fail</v>
      </c>
      <c r="AD1667" s="1" t="str">
        <f>IF(AND(Table1[[#This Row],[Spec Type2]]="N/A",Table1[[#This Row],[DUT Adj Read]]="N/A",Table1[[#This Row],[Std Adj Read]]="N/A"),"N/A",IF(Table1[[#This Row],[DUT Adj Read]]="N/A",IF(Table1[[#This Row],[Std Adj Read]]&gt;Table1[[#This Row],[Low Tol]],"Pass","Fail"),IF(Table1[[#This Row],[DUT Adj Read]]&gt;Table1[[#This Row],[Low Tol]],"Pass","Fail")))</f>
        <v>Pass</v>
      </c>
      <c r="AE1667" s="1" t="str">
        <f>IF(AND(Table1[[#This Row],[Spec Type2]]="N/A",Table1[[#This Row],[DUT Adj Read]]="N/A",Table1[[#This Row],[Std Adj Read]]="N/A"),"N/A",IF(Table1[[#This Row],[DUT Adj Read]]="N/A",IF(Table1[[#This Row],[Std Adj Read]]&lt;Table1[[#This Row],[High Tol]],"Pass","Fail"),IF(Table1[[#This Row],[DUT Adj Read]]&lt;Table1[[#This Row],[High Tol]],"Pass","Fail")))</f>
        <v>Fail</v>
      </c>
      <c r="AF1667" s="1" t="str">
        <f>IF(AND(Table1[[#This Row],[Spec Type2]]="N/A",Table1[[#This Row],[DUT Adj Read]]="N/A",Table1[[#This Row],[Std Adj Read]]="N/A"),"N/A",IF(Table1[[#This Row],[DUT Adj Read]]="N/A",IF(Table1[[#This Row],[Std Adj Read]]&gt;=Table1[[#This Row],[Low Tol]],"Pass","Fail"),IF(Table1[[#This Row],[DUT Adj Read]]&gt;=Table1[[#This Row],[Low Tol]],"Pass","Fail")))</f>
        <v>Pass</v>
      </c>
      <c r="AG1667" s="1" t="str">
        <f>IF(AND(Table1[[#This Row],[Spec Type2]]="N/A",Table1[[#This Row],[DUT Adj Read]]="N/A",Table1[[#This Row],[Std Adj Read]]="N/A"),"N/A",IF(Table1[[#This Row],[DUT Adj Read]]="N/A",IF(Table1[[#This Row],[Std Adj Read]]&lt;=Table1[[#This Row],[High Tol]],"Pass","Fail"),IF(Table1[[#This Row],[DUT Adj Read]]&lt;=Table1[[#This Row],[High Tol]],"Pass","Fail")))</f>
        <v>Fail</v>
      </c>
      <c r="AH16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7" s="1" t="b">
        <v>0</v>
      </c>
      <c r="AN1667" s="1" t="b">
        <v>0</v>
      </c>
      <c r="AO1667" s="1" t="b">
        <v>0</v>
      </c>
    </row>
    <row r="1668" spans="1:41" x14ac:dyDescent="0.25">
      <c r="A1668" s="10"/>
      <c r="B1668" s="10"/>
      <c r="C1668" s="10"/>
      <c r="D1668" s="10"/>
      <c r="E1668" s="10"/>
      <c r="F1668" s="10"/>
      <c r="G1668" s="10"/>
      <c r="H1668" s="10"/>
      <c r="I1668" s="1" t="str">
        <f t="shared" si="75"/>
        <v/>
      </c>
      <c r="J1668" s="1" t="s">
        <v>35</v>
      </c>
      <c r="K1668" s="1" t="str">
        <f t="shared" si="76"/>
        <v/>
      </c>
      <c r="L1668" s="1" t="str">
        <f t="shared" si="77"/>
        <v/>
      </c>
      <c r="M1668" s="1">
        <f>IF(OR(Table1[[#This Row],[Std Nom]]="",Table1[[#This Row],[Std Read]]=""),0,Table1[[#This Row],[Std Nom]]-Table1[[#This Row],[Std Read]])</f>
        <v>0</v>
      </c>
      <c r="N1668" s="1">
        <f>IF(Calculations!$F$5="ACCREDITED 17025 WITH UNCERTAINTIES",$N$10,0)</f>
        <v>0</v>
      </c>
      <c r="Q1668" s="1">
        <f>Table1[[#This Row],[High Tol]]-Table1[[#This Row],[Low Tol]]</f>
        <v>0</v>
      </c>
      <c r="R1668" s="1">
        <f>2*Table1[[#This Row],[Std Error]]</f>
        <v>0</v>
      </c>
      <c r="S1668" s="1" t="str">
        <f>IF(Table1[[#This Row],[High Tol]]="","N/A",IFERROR(ABS(Table1[[#This Row],[Tol Span]]/Table1[[#This Row],[Error Span]]),"N/A"))</f>
        <v>N/A</v>
      </c>
      <c r="T1668" s="1" t="str">
        <f>IF(OR(Table1[[#This Row],[Low Tol]]="",Table1[[#This Row],[High Tol]]=""),"Needs Analysis",IF(Table1[[#This Row],[Ratio]]&gt;=4,"Not Significant",IF(Table1[[#This Row],[Ratio]]&gt;=2,"Semi-Significant","Significant")))</f>
        <v>Needs Analysis</v>
      </c>
      <c r="W1668" s="1">
        <f>IF(Table1[[#This Row],[Cal Type]]&lt;&gt;"ACCREDITED 17025 WITH UNCERTAINTIES",0,"")</f>
        <v>0</v>
      </c>
      <c r="X1668" s="1" t="str">
        <f>IF(Table1[[#This Row],[DUT Read]]="","N/A",Table1[[#This Row],[Std Error]]+Table1[[#This Row],[DUT Read]]+Table1[[#This Row],[DUT Ucty]])</f>
        <v>N/A</v>
      </c>
      <c r="Y1668" s="1" t="str">
        <f>IF(Table1[[#This Row],[Std Read]]="","N/A",Table1[[#This Row],[Std Read]]+Table1[[#This Row],[Std Ucty]])</f>
        <v>N/A</v>
      </c>
      <c r="Z16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8" s="1" t="str">
        <f>IF(Table1[[#This Row],[Spec Type]]="","N/A",Table1[[#This Row],[Spec Type]])</f>
        <v>±</v>
      </c>
      <c r="AC1668" s="1" t="str">
        <f>IF(Table1[[#This Row],[Spec Type2]]="N/A","N/A",IF(AND(Table1[[#This Row],[DUT Adj Read]]&gt;=Table1[[#This Row],[Low Tol]],Table1[[#This Row],[DUT Adj Read]]&lt;=Table1[[#This Row],[High Tol]]),"Pass","Fail"))</f>
        <v>Fail</v>
      </c>
      <c r="AD1668" s="1" t="str">
        <f>IF(AND(Table1[[#This Row],[Spec Type2]]="N/A",Table1[[#This Row],[DUT Adj Read]]="N/A",Table1[[#This Row],[Std Adj Read]]="N/A"),"N/A",IF(Table1[[#This Row],[DUT Adj Read]]="N/A",IF(Table1[[#This Row],[Std Adj Read]]&gt;Table1[[#This Row],[Low Tol]],"Pass","Fail"),IF(Table1[[#This Row],[DUT Adj Read]]&gt;Table1[[#This Row],[Low Tol]],"Pass","Fail")))</f>
        <v>Pass</v>
      </c>
      <c r="AE1668" s="1" t="str">
        <f>IF(AND(Table1[[#This Row],[Spec Type2]]="N/A",Table1[[#This Row],[DUT Adj Read]]="N/A",Table1[[#This Row],[Std Adj Read]]="N/A"),"N/A",IF(Table1[[#This Row],[DUT Adj Read]]="N/A",IF(Table1[[#This Row],[Std Adj Read]]&lt;Table1[[#This Row],[High Tol]],"Pass","Fail"),IF(Table1[[#This Row],[DUT Adj Read]]&lt;Table1[[#This Row],[High Tol]],"Pass","Fail")))</f>
        <v>Fail</v>
      </c>
      <c r="AF1668" s="1" t="str">
        <f>IF(AND(Table1[[#This Row],[Spec Type2]]="N/A",Table1[[#This Row],[DUT Adj Read]]="N/A",Table1[[#This Row],[Std Adj Read]]="N/A"),"N/A",IF(Table1[[#This Row],[DUT Adj Read]]="N/A",IF(Table1[[#This Row],[Std Adj Read]]&gt;=Table1[[#This Row],[Low Tol]],"Pass","Fail"),IF(Table1[[#This Row],[DUT Adj Read]]&gt;=Table1[[#This Row],[Low Tol]],"Pass","Fail")))</f>
        <v>Pass</v>
      </c>
      <c r="AG1668" s="1" t="str">
        <f>IF(AND(Table1[[#This Row],[Spec Type2]]="N/A",Table1[[#This Row],[DUT Adj Read]]="N/A",Table1[[#This Row],[Std Adj Read]]="N/A"),"N/A",IF(Table1[[#This Row],[DUT Adj Read]]="N/A",IF(Table1[[#This Row],[Std Adj Read]]&lt;=Table1[[#This Row],[High Tol]],"Pass","Fail"),IF(Table1[[#This Row],[DUT Adj Read]]&lt;=Table1[[#This Row],[High Tol]],"Pass","Fail")))</f>
        <v>Fail</v>
      </c>
      <c r="AH16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8" s="1" t="b">
        <v>0</v>
      </c>
      <c r="AN1668" s="1" t="b">
        <v>0</v>
      </c>
      <c r="AO1668" s="1" t="b">
        <v>0</v>
      </c>
    </row>
    <row r="1669" spans="1:41" x14ac:dyDescent="0.25">
      <c r="A1669" s="10"/>
      <c r="B1669" s="10"/>
      <c r="C1669" s="10"/>
      <c r="D1669" s="10"/>
      <c r="E1669" s="10"/>
      <c r="F1669" s="10"/>
      <c r="G1669" s="10"/>
      <c r="H1669" s="10"/>
      <c r="I1669" s="1" t="str">
        <f t="shared" si="75"/>
        <v/>
      </c>
      <c r="J1669" s="1" t="s">
        <v>35</v>
      </c>
      <c r="K1669" s="1" t="str">
        <f t="shared" si="76"/>
        <v/>
      </c>
      <c r="L1669" s="1" t="str">
        <f t="shared" si="77"/>
        <v/>
      </c>
      <c r="M1669" s="1">
        <f>IF(OR(Table1[[#This Row],[Std Nom]]="",Table1[[#This Row],[Std Read]]=""),0,Table1[[#This Row],[Std Nom]]-Table1[[#This Row],[Std Read]])</f>
        <v>0</v>
      </c>
      <c r="N1669" s="1">
        <f>IF(Calculations!$F$5="ACCREDITED 17025 WITH UNCERTAINTIES",$N$10,0)</f>
        <v>0</v>
      </c>
      <c r="Q1669" s="1">
        <f>Table1[[#This Row],[High Tol]]-Table1[[#This Row],[Low Tol]]</f>
        <v>0</v>
      </c>
      <c r="R1669" s="1">
        <f>2*Table1[[#This Row],[Std Error]]</f>
        <v>0</v>
      </c>
      <c r="S1669" s="1" t="str">
        <f>IF(Table1[[#This Row],[High Tol]]="","N/A",IFERROR(ABS(Table1[[#This Row],[Tol Span]]/Table1[[#This Row],[Error Span]]),"N/A"))</f>
        <v>N/A</v>
      </c>
      <c r="T1669" s="1" t="str">
        <f>IF(OR(Table1[[#This Row],[Low Tol]]="",Table1[[#This Row],[High Tol]]=""),"Needs Analysis",IF(Table1[[#This Row],[Ratio]]&gt;=4,"Not Significant",IF(Table1[[#This Row],[Ratio]]&gt;=2,"Semi-Significant","Significant")))</f>
        <v>Needs Analysis</v>
      </c>
      <c r="W1669" s="1">
        <f>IF(Table1[[#This Row],[Cal Type]]&lt;&gt;"ACCREDITED 17025 WITH UNCERTAINTIES",0,"")</f>
        <v>0</v>
      </c>
      <c r="X1669" s="1" t="str">
        <f>IF(Table1[[#This Row],[DUT Read]]="","N/A",Table1[[#This Row],[Std Error]]+Table1[[#This Row],[DUT Read]]+Table1[[#This Row],[DUT Ucty]])</f>
        <v>N/A</v>
      </c>
      <c r="Y1669" s="1" t="str">
        <f>IF(Table1[[#This Row],[Std Read]]="","N/A",Table1[[#This Row],[Std Read]]+Table1[[#This Row],[Std Ucty]])</f>
        <v>N/A</v>
      </c>
      <c r="Z16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69" s="1" t="str">
        <f>IF(Table1[[#This Row],[Spec Type]]="","N/A",Table1[[#This Row],[Spec Type]])</f>
        <v>±</v>
      </c>
      <c r="AC1669" s="1" t="str">
        <f>IF(Table1[[#This Row],[Spec Type2]]="N/A","N/A",IF(AND(Table1[[#This Row],[DUT Adj Read]]&gt;=Table1[[#This Row],[Low Tol]],Table1[[#This Row],[DUT Adj Read]]&lt;=Table1[[#This Row],[High Tol]]),"Pass","Fail"))</f>
        <v>Fail</v>
      </c>
      <c r="AD1669" s="1" t="str">
        <f>IF(AND(Table1[[#This Row],[Spec Type2]]="N/A",Table1[[#This Row],[DUT Adj Read]]="N/A",Table1[[#This Row],[Std Adj Read]]="N/A"),"N/A",IF(Table1[[#This Row],[DUT Adj Read]]="N/A",IF(Table1[[#This Row],[Std Adj Read]]&gt;Table1[[#This Row],[Low Tol]],"Pass","Fail"),IF(Table1[[#This Row],[DUT Adj Read]]&gt;Table1[[#This Row],[Low Tol]],"Pass","Fail")))</f>
        <v>Pass</v>
      </c>
      <c r="AE1669" s="1" t="str">
        <f>IF(AND(Table1[[#This Row],[Spec Type2]]="N/A",Table1[[#This Row],[DUT Adj Read]]="N/A",Table1[[#This Row],[Std Adj Read]]="N/A"),"N/A",IF(Table1[[#This Row],[DUT Adj Read]]="N/A",IF(Table1[[#This Row],[Std Adj Read]]&lt;Table1[[#This Row],[High Tol]],"Pass","Fail"),IF(Table1[[#This Row],[DUT Adj Read]]&lt;Table1[[#This Row],[High Tol]],"Pass","Fail")))</f>
        <v>Fail</v>
      </c>
      <c r="AF1669" s="1" t="str">
        <f>IF(AND(Table1[[#This Row],[Spec Type2]]="N/A",Table1[[#This Row],[DUT Adj Read]]="N/A",Table1[[#This Row],[Std Adj Read]]="N/A"),"N/A",IF(Table1[[#This Row],[DUT Adj Read]]="N/A",IF(Table1[[#This Row],[Std Adj Read]]&gt;=Table1[[#This Row],[Low Tol]],"Pass","Fail"),IF(Table1[[#This Row],[DUT Adj Read]]&gt;=Table1[[#This Row],[Low Tol]],"Pass","Fail")))</f>
        <v>Pass</v>
      </c>
      <c r="AG1669" s="1" t="str">
        <f>IF(AND(Table1[[#This Row],[Spec Type2]]="N/A",Table1[[#This Row],[DUT Adj Read]]="N/A",Table1[[#This Row],[Std Adj Read]]="N/A"),"N/A",IF(Table1[[#This Row],[DUT Adj Read]]="N/A",IF(Table1[[#This Row],[Std Adj Read]]&lt;=Table1[[#This Row],[High Tol]],"Pass","Fail"),IF(Table1[[#This Row],[DUT Adj Read]]&lt;=Table1[[#This Row],[High Tol]],"Pass","Fail")))</f>
        <v>Fail</v>
      </c>
      <c r="AH16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69" s="1" t="b">
        <v>0</v>
      </c>
      <c r="AN1669" s="1" t="b">
        <v>0</v>
      </c>
      <c r="AO1669" s="1" t="b">
        <v>0</v>
      </c>
    </row>
    <row r="1670" spans="1:41" x14ac:dyDescent="0.25">
      <c r="A1670" s="10"/>
      <c r="B1670" s="10"/>
      <c r="C1670" s="10"/>
      <c r="D1670" s="10"/>
      <c r="E1670" s="10"/>
      <c r="F1670" s="10"/>
      <c r="G1670" s="10"/>
      <c r="H1670" s="10"/>
      <c r="I1670" s="1" t="str">
        <f t="shared" si="75"/>
        <v/>
      </c>
      <c r="J1670" s="1" t="s">
        <v>35</v>
      </c>
      <c r="K1670" s="1" t="str">
        <f t="shared" si="76"/>
        <v/>
      </c>
      <c r="L1670" s="1" t="str">
        <f t="shared" si="77"/>
        <v/>
      </c>
      <c r="M1670" s="1">
        <f>IF(OR(Table1[[#This Row],[Std Nom]]="",Table1[[#This Row],[Std Read]]=""),0,Table1[[#This Row],[Std Nom]]-Table1[[#This Row],[Std Read]])</f>
        <v>0</v>
      </c>
      <c r="N1670" s="1">
        <f>IF(Calculations!$F$5="ACCREDITED 17025 WITH UNCERTAINTIES",$N$10,0)</f>
        <v>0</v>
      </c>
      <c r="Q1670" s="1">
        <f>Table1[[#This Row],[High Tol]]-Table1[[#This Row],[Low Tol]]</f>
        <v>0</v>
      </c>
      <c r="R1670" s="1">
        <f>2*Table1[[#This Row],[Std Error]]</f>
        <v>0</v>
      </c>
      <c r="S1670" s="1" t="str">
        <f>IF(Table1[[#This Row],[High Tol]]="","N/A",IFERROR(ABS(Table1[[#This Row],[Tol Span]]/Table1[[#This Row],[Error Span]]),"N/A"))</f>
        <v>N/A</v>
      </c>
      <c r="T1670" s="1" t="str">
        <f>IF(OR(Table1[[#This Row],[Low Tol]]="",Table1[[#This Row],[High Tol]]=""),"Needs Analysis",IF(Table1[[#This Row],[Ratio]]&gt;=4,"Not Significant",IF(Table1[[#This Row],[Ratio]]&gt;=2,"Semi-Significant","Significant")))</f>
        <v>Needs Analysis</v>
      </c>
      <c r="W1670" s="1">
        <f>IF(Table1[[#This Row],[Cal Type]]&lt;&gt;"ACCREDITED 17025 WITH UNCERTAINTIES",0,"")</f>
        <v>0</v>
      </c>
      <c r="X1670" s="1" t="str">
        <f>IF(Table1[[#This Row],[DUT Read]]="","N/A",Table1[[#This Row],[Std Error]]+Table1[[#This Row],[DUT Read]]+Table1[[#This Row],[DUT Ucty]])</f>
        <v>N/A</v>
      </c>
      <c r="Y1670" s="1" t="str">
        <f>IF(Table1[[#This Row],[Std Read]]="","N/A",Table1[[#This Row],[Std Read]]+Table1[[#This Row],[Std Ucty]])</f>
        <v>N/A</v>
      </c>
      <c r="Z16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0" s="1" t="str">
        <f>IF(Table1[[#This Row],[Spec Type]]="","N/A",Table1[[#This Row],[Spec Type]])</f>
        <v>±</v>
      </c>
      <c r="AC1670" s="1" t="str">
        <f>IF(Table1[[#This Row],[Spec Type2]]="N/A","N/A",IF(AND(Table1[[#This Row],[DUT Adj Read]]&gt;=Table1[[#This Row],[Low Tol]],Table1[[#This Row],[DUT Adj Read]]&lt;=Table1[[#This Row],[High Tol]]),"Pass","Fail"))</f>
        <v>Fail</v>
      </c>
      <c r="AD1670" s="1" t="str">
        <f>IF(AND(Table1[[#This Row],[Spec Type2]]="N/A",Table1[[#This Row],[DUT Adj Read]]="N/A",Table1[[#This Row],[Std Adj Read]]="N/A"),"N/A",IF(Table1[[#This Row],[DUT Adj Read]]="N/A",IF(Table1[[#This Row],[Std Adj Read]]&gt;Table1[[#This Row],[Low Tol]],"Pass","Fail"),IF(Table1[[#This Row],[DUT Adj Read]]&gt;Table1[[#This Row],[Low Tol]],"Pass","Fail")))</f>
        <v>Pass</v>
      </c>
      <c r="AE1670" s="1" t="str">
        <f>IF(AND(Table1[[#This Row],[Spec Type2]]="N/A",Table1[[#This Row],[DUT Adj Read]]="N/A",Table1[[#This Row],[Std Adj Read]]="N/A"),"N/A",IF(Table1[[#This Row],[DUT Adj Read]]="N/A",IF(Table1[[#This Row],[Std Adj Read]]&lt;Table1[[#This Row],[High Tol]],"Pass","Fail"),IF(Table1[[#This Row],[DUT Adj Read]]&lt;Table1[[#This Row],[High Tol]],"Pass","Fail")))</f>
        <v>Fail</v>
      </c>
      <c r="AF1670" s="1" t="str">
        <f>IF(AND(Table1[[#This Row],[Spec Type2]]="N/A",Table1[[#This Row],[DUT Adj Read]]="N/A",Table1[[#This Row],[Std Adj Read]]="N/A"),"N/A",IF(Table1[[#This Row],[DUT Adj Read]]="N/A",IF(Table1[[#This Row],[Std Adj Read]]&gt;=Table1[[#This Row],[Low Tol]],"Pass","Fail"),IF(Table1[[#This Row],[DUT Adj Read]]&gt;=Table1[[#This Row],[Low Tol]],"Pass","Fail")))</f>
        <v>Pass</v>
      </c>
      <c r="AG1670" s="1" t="str">
        <f>IF(AND(Table1[[#This Row],[Spec Type2]]="N/A",Table1[[#This Row],[DUT Adj Read]]="N/A",Table1[[#This Row],[Std Adj Read]]="N/A"),"N/A",IF(Table1[[#This Row],[DUT Adj Read]]="N/A",IF(Table1[[#This Row],[Std Adj Read]]&lt;=Table1[[#This Row],[High Tol]],"Pass","Fail"),IF(Table1[[#This Row],[DUT Adj Read]]&lt;=Table1[[#This Row],[High Tol]],"Pass","Fail")))</f>
        <v>Fail</v>
      </c>
      <c r="AH16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0" s="1" t="b">
        <v>0</v>
      </c>
      <c r="AN1670" s="1" t="b">
        <v>0</v>
      </c>
      <c r="AO1670" s="1" t="b">
        <v>0</v>
      </c>
    </row>
    <row r="1671" spans="1:41" x14ac:dyDescent="0.25">
      <c r="A1671" s="10"/>
      <c r="B1671" s="10"/>
      <c r="C1671" s="10"/>
      <c r="D1671" s="10"/>
      <c r="E1671" s="10"/>
      <c r="F1671" s="10"/>
      <c r="G1671" s="10"/>
      <c r="H1671" s="10"/>
      <c r="I1671" s="1" t="str">
        <f t="shared" si="75"/>
        <v/>
      </c>
      <c r="J1671" s="1" t="s">
        <v>35</v>
      </c>
      <c r="K1671" s="1" t="str">
        <f t="shared" si="76"/>
        <v/>
      </c>
      <c r="L1671" s="1" t="str">
        <f t="shared" si="77"/>
        <v/>
      </c>
      <c r="M1671" s="1">
        <f>IF(OR(Table1[[#This Row],[Std Nom]]="",Table1[[#This Row],[Std Read]]=""),0,Table1[[#This Row],[Std Nom]]-Table1[[#This Row],[Std Read]])</f>
        <v>0</v>
      </c>
      <c r="N1671" s="1">
        <f>IF(Calculations!$F$5="ACCREDITED 17025 WITH UNCERTAINTIES",$N$10,0)</f>
        <v>0</v>
      </c>
      <c r="Q1671" s="1">
        <f>Table1[[#This Row],[High Tol]]-Table1[[#This Row],[Low Tol]]</f>
        <v>0</v>
      </c>
      <c r="R1671" s="1">
        <f>2*Table1[[#This Row],[Std Error]]</f>
        <v>0</v>
      </c>
      <c r="S1671" s="1" t="str">
        <f>IF(Table1[[#This Row],[High Tol]]="","N/A",IFERROR(ABS(Table1[[#This Row],[Tol Span]]/Table1[[#This Row],[Error Span]]),"N/A"))</f>
        <v>N/A</v>
      </c>
      <c r="T1671" s="1" t="str">
        <f>IF(OR(Table1[[#This Row],[Low Tol]]="",Table1[[#This Row],[High Tol]]=""),"Needs Analysis",IF(Table1[[#This Row],[Ratio]]&gt;=4,"Not Significant",IF(Table1[[#This Row],[Ratio]]&gt;=2,"Semi-Significant","Significant")))</f>
        <v>Needs Analysis</v>
      </c>
      <c r="W1671" s="1">
        <f>IF(Table1[[#This Row],[Cal Type]]&lt;&gt;"ACCREDITED 17025 WITH UNCERTAINTIES",0,"")</f>
        <v>0</v>
      </c>
      <c r="X1671" s="1" t="str">
        <f>IF(Table1[[#This Row],[DUT Read]]="","N/A",Table1[[#This Row],[Std Error]]+Table1[[#This Row],[DUT Read]]+Table1[[#This Row],[DUT Ucty]])</f>
        <v>N/A</v>
      </c>
      <c r="Y1671" s="1" t="str">
        <f>IF(Table1[[#This Row],[Std Read]]="","N/A",Table1[[#This Row],[Std Read]]+Table1[[#This Row],[Std Ucty]])</f>
        <v>N/A</v>
      </c>
      <c r="Z16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1" s="1" t="str">
        <f>IF(Table1[[#This Row],[Spec Type]]="","N/A",Table1[[#This Row],[Spec Type]])</f>
        <v>±</v>
      </c>
      <c r="AC1671" s="1" t="str">
        <f>IF(Table1[[#This Row],[Spec Type2]]="N/A","N/A",IF(AND(Table1[[#This Row],[DUT Adj Read]]&gt;=Table1[[#This Row],[Low Tol]],Table1[[#This Row],[DUT Adj Read]]&lt;=Table1[[#This Row],[High Tol]]),"Pass","Fail"))</f>
        <v>Fail</v>
      </c>
      <c r="AD1671" s="1" t="str">
        <f>IF(AND(Table1[[#This Row],[Spec Type2]]="N/A",Table1[[#This Row],[DUT Adj Read]]="N/A",Table1[[#This Row],[Std Adj Read]]="N/A"),"N/A",IF(Table1[[#This Row],[DUT Adj Read]]="N/A",IF(Table1[[#This Row],[Std Adj Read]]&gt;Table1[[#This Row],[Low Tol]],"Pass","Fail"),IF(Table1[[#This Row],[DUT Adj Read]]&gt;Table1[[#This Row],[Low Tol]],"Pass","Fail")))</f>
        <v>Pass</v>
      </c>
      <c r="AE1671" s="1" t="str">
        <f>IF(AND(Table1[[#This Row],[Spec Type2]]="N/A",Table1[[#This Row],[DUT Adj Read]]="N/A",Table1[[#This Row],[Std Adj Read]]="N/A"),"N/A",IF(Table1[[#This Row],[DUT Adj Read]]="N/A",IF(Table1[[#This Row],[Std Adj Read]]&lt;Table1[[#This Row],[High Tol]],"Pass","Fail"),IF(Table1[[#This Row],[DUT Adj Read]]&lt;Table1[[#This Row],[High Tol]],"Pass","Fail")))</f>
        <v>Fail</v>
      </c>
      <c r="AF1671" s="1" t="str">
        <f>IF(AND(Table1[[#This Row],[Spec Type2]]="N/A",Table1[[#This Row],[DUT Adj Read]]="N/A",Table1[[#This Row],[Std Adj Read]]="N/A"),"N/A",IF(Table1[[#This Row],[DUT Adj Read]]="N/A",IF(Table1[[#This Row],[Std Adj Read]]&gt;=Table1[[#This Row],[Low Tol]],"Pass","Fail"),IF(Table1[[#This Row],[DUT Adj Read]]&gt;=Table1[[#This Row],[Low Tol]],"Pass","Fail")))</f>
        <v>Pass</v>
      </c>
      <c r="AG1671" s="1" t="str">
        <f>IF(AND(Table1[[#This Row],[Spec Type2]]="N/A",Table1[[#This Row],[DUT Adj Read]]="N/A",Table1[[#This Row],[Std Adj Read]]="N/A"),"N/A",IF(Table1[[#This Row],[DUT Adj Read]]="N/A",IF(Table1[[#This Row],[Std Adj Read]]&lt;=Table1[[#This Row],[High Tol]],"Pass","Fail"),IF(Table1[[#This Row],[DUT Adj Read]]&lt;=Table1[[#This Row],[High Tol]],"Pass","Fail")))</f>
        <v>Fail</v>
      </c>
      <c r="AH16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1" s="1" t="b">
        <v>0</v>
      </c>
      <c r="AN1671" s="1" t="b">
        <v>0</v>
      </c>
      <c r="AO1671" s="1" t="b">
        <v>0</v>
      </c>
    </row>
    <row r="1672" spans="1:41" x14ac:dyDescent="0.25">
      <c r="A1672" s="10"/>
      <c r="B1672" s="10"/>
      <c r="C1672" s="10"/>
      <c r="D1672" s="10"/>
      <c r="E1672" s="10"/>
      <c r="F1672" s="10"/>
      <c r="G1672" s="10"/>
      <c r="H1672" s="10"/>
      <c r="I1672" s="1" t="str">
        <f t="shared" si="75"/>
        <v/>
      </c>
      <c r="J1672" s="1" t="s">
        <v>35</v>
      </c>
      <c r="K1672" s="1" t="str">
        <f t="shared" si="76"/>
        <v/>
      </c>
      <c r="L1672" s="1" t="str">
        <f t="shared" si="77"/>
        <v/>
      </c>
      <c r="M1672" s="1">
        <f>IF(OR(Table1[[#This Row],[Std Nom]]="",Table1[[#This Row],[Std Read]]=""),0,Table1[[#This Row],[Std Nom]]-Table1[[#This Row],[Std Read]])</f>
        <v>0</v>
      </c>
      <c r="N1672" s="1">
        <f>IF(Calculations!$F$5="ACCREDITED 17025 WITH UNCERTAINTIES",$N$10,0)</f>
        <v>0</v>
      </c>
      <c r="Q1672" s="1">
        <f>Table1[[#This Row],[High Tol]]-Table1[[#This Row],[Low Tol]]</f>
        <v>0</v>
      </c>
      <c r="R1672" s="1">
        <f>2*Table1[[#This Row],[Std Error]]</f>
        <v>0</v>
      </c>
      <c r="S1672" s="1" t="str">
        <f>IF(Table1[[#This Row],[High Tol]]="","N/A",IFERROR(ABS(Table1[[#This Row],[Tol Span]]/Table1[[#This Row],[Error Span]]),"N/A"))</f>
        <v>N/A</v>
      </c>
      <c r="T1672" s="1" t="str">
        <f>IF(OR(Table1[[#This Row],[Low Tol]]="",Table1[[#This Row],[High Tol]]=""),"Needs Analysis",IF(Table1[[#This Row],[Ratio]]&gt;=4,"Not Significant",IF(Table1[[#This Row],[Ratio]]&gt;=2,"Semi-Significant","Significant")))</f>
        <v>Needs Analysis</v>
      </c>
      <c r="W1672" s="1">
        <f>IF(Table1[[#This Row],[Cal Type]]&lt;&gt;"ACCREDITED 17025 WITH UNCERTAINTIES",0,"")</f>
        <v>0</v>
      </c>
      <c r="X1672" s="1" t="str">
        <f>IF(Table1[[#This Row],[DUT Read]]="","N/A",Table1[[#This Row],[Std Error]]+Table1[[#This Row],[DUT Read]]+Table1[[#This Row],[DUT Ucty]])</f>
        <v>N/A</v>
      </c>
      <c r="Y1672" s="1" t="str">
        <f>IF(Table1[[#This Row],[Std Read]]="","N/A",Table1[[#This Row],[Std Read]]+Table1[[#This Row],[Std Ucty]])</f>
        <v>N/A</v>
      </c>
      <c r="Z16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2" s="1" t="str">
        <f>IF(Table1[[#This Row],[Spec Type]]="","N/A",Table1[[#This Row],[Spec Type]])</f>
        <v>±</v>
      </c>
      <c r="AC1672" s="1" t="str">
        <f>IF(Table1[[#This Row],[Spec Type2]]="N/A","N/A",IF(AND(Table1[[#This Row],[DUT Adj Read]]&gt;=Table1[[#This Row],[Low Tol]],Table1[[#This Row],[DUT Adj Read]]&lt;=Table1[[#This Row],[High Tol]]),"Pass","Fail"))</f>
        <v>Fail</v>
      </c>
      <c r="AD1672" s="1" t="str">
        <f>IF(AND(Table1[[#This Row],[Spec Type2]]="N/A",Table1[[#This Row],[DUT Adj Read]]="N/A",Table1[[#This Row],[Std Adj Read]]="N/A"),"N/A",IF(Table1[[#This Row],[DUT Adj Read]]="N/A",IF(Table1[[#This Row],[Std Adj Read]]&gt;Table1[[#This Row],[Low Tol]],"Pass","Fail"),IF(Table1[[#This Row],[DUT Adj Read]]&gt;Table1[[#This Row],[Low Tol]],"Pass","Fail")))</f>
        <v>Pass</v>
      </c>
      <c r="AE1672" s="1" t="str">
        <f>IF(AND(Table1[[#This Row],[Spec Type2]]="N/A",Table1[[#This Row],[DUT Adj Read]]="N/A",Table1[[#This Row],[Std Adj Read]]="N/A"),"N/A",IF(Table1[[#This Row],[DUT Adj Read]]="N/A",IF(Table1[[#This Row],[Std Adj Read]]&lt;Table1[[#This Row],[High Tol]],"Pass","Fail"),IF(Table1[[#This Row],[DUT Adj Read]]&lt;Table1[[#This Row],[High Tol]],"Pass","Fail")))</f>
        <v>Fail</v>
      </c>
      <c r="AF1672" s="1" t="str">
        <f>IF(AND(Table1[[#This Row],[Spec Type2]]="N/A",Table1[[#This Row],[DUT Adj Read]]="N/A",Table1[[#This Row],[Std Adj Read]]="N/A"),"N/A",IF(Table1[[#This Row],[DUT Adj Read]]="N/A",IF(Table1[[#This Row],[Std Adj Read]]&gt;=Table1[[#This Row],[Low Tol]],"Pass","Fail"),IF(Table1[[#This Row],[DUT Adj Read]]&gt;=Table1[[#This Row],[Low Tol]],"Pass","Fail")))</f>
        <v>Pass</v>
      </c>
      <c r="AG1672" s="1" t="str">
        <f>IF(AND(Table1[[#This Row],[Spec Type2]]="N/A",Table1[[#This Row],[DUT Adj Read]]="N/A",Table1[[#This Row],[Std Adj Read]]="N/A"),"N/A",IF(Table1[[#This Row],[DUT Adj Read]]="N/A",IF(Table1[[#This Row],[Std Adj Read]]&lt;=Table1[[#This Row],[High Tol]],"Pass","Fail"),IF(Table1[[#This Row],[DUT Adj Read]]&lt;=Table1[[#This Row],[High Tol]],"Pass","Fail")))</f>
        <v>Fail</v>
      </c>
      <c r="AH16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2" s="1" t="b">
        <v>0</v>
      </c>
      <c r="AN1672" s="1" t="b">
        <v>0</v>
      </c>
      <c r="AO1672" s="1" t="b">
        <v>0</v>
      </c>
    </row>
    <row r="1673" spans="1:41" x14ac:dyDescent="0.25">
      <c r="A1673" s="10"/>
      <c r="B1673" s="10"/>
      <c r="C1673" s="10"/>
      <c r="D1673" s="10"/>
      <c r="E1673" s="10"/>
      <c r="F1673" s="10"/>
      <c r="G1673" s="10"/>
      <c r="H1673" s="10"/>
      <c r="I1673" s="1" t="str">
        <f t="shared" si="75"/>
        <v/>
      </c>
      <c r="J1673" s="1" t="s">
        <v>35</v>
      </c>
      <c r="K1673" s="1" t="str">
        <f t="shared" si="76"/>
        <v/>
      </c>
      <c r="L1673" s="1" t="str">
        <f t="shared" si="77"/>
        <v/>
      </c>
      <c r="M1673" s="1">
        <f>IF(OR(Table1[[#This Row],[Std Nom]]="",Table1[[#This Row],[Std Read]]=""),0,Table1[[#This Row],[Std Nom]]-Table1[[#This Row],[Std Read]])</f>
        <v>0</v>
      </c>
      <c r="N1673" s="1">
        <f>IF(Calculations!$F$5="ACCREDITED 17025 WITH UNCERTAINTIES",$N$10,0)</f>
        <v>0</v>
      </c>
      <c r="Q1673" s="1">
        <f>Table1[[#This Row],[High Tol]]-Table1[[#This Row],[Low Tol]]</f>
        <v>0</v>
      </c>
      <c r="R1673" s="1">
        <f>2*Table1[[#This Row],[Std Error]]</f>
        <v>0</v>
      </c>
      <c r="S1673" s="1" t="str">
        <f>IF(Table1[[#This Row],[High Tol]]="","N/A",IFERROR(ABS(Table1[[#This Row],[Tol Span]]/Table1[[#This Row],[Error Span]]),"N/A"))</f>
        <v>N/A</v>
      </c>
      <c r="T1673" s="1" t="str">
        <f>IF(OR(Table1[[#This Row],[Low Tol]]="",Table1[[#This Row],[High Tol]]=""),"Needs Analysis",IF(Table1[[#This Row],[Ratio]]&gt;=4,"Not Significant",IF(Table1[[#This Row],[Ratio]]&gt;=2,"Semi-Significant","Significant")))</f>
        <v>Needs Analysis</v>
      </c>
      <c r="W1673" s="1">
        <f>IF(Table1[[#This Row],[Cal Type]]&lt;&gt;"ACCREDITED 17025 WITH UNCERTAINTIES",0,"")</f>
        <v>0</v>
      </c>
      <c r="X1673" s="1" t="str">
        <f>IF(Table1[[#This Row],[DUT Read]]="","N/A",Table1[[#This Row],[Std Error]]+Table1[[#This Row],[DUT Read]]+Table1[[#This Row],[DUT Ucty]])</f>
        <v>N/A</v>
      </c>
      <c r="Y1673" s="1" t="str">
        <f>IF(Table1[[#This Row],[Std Read]]="","N/A",Table1[[#This Row],[Std Read]]+Table1[[#This Row],[Std Ucty]])</f>
        <v>N/A</v>
      </c>
      <c r="Z16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3" s="1" t="str">
        <f>IF(Table1[[#This Row],[Spec Type]]="","N/A",Table1[[#This Row],[Spec Type]])</f>
        <v>±</v>
      </c>
      <c r="AC1673" s="1" t="str">
        <f>IF(Table1[[#This Row],[Spec Type2]]="N/A","N/A",IF(AND(Table1[[#This Row],[DUT Adj Read]]&gt;=Table1[[#This Row],[Low Tol]],Table1[[#This Row],[DUT Adj Read]]&lt;=Table1[[#This Row],[High Tol]]),"Pass","Fail"))</f>
        <v>Fail</v>
      </c>
      <c r="AD1673" s="1" t="str">
        <f>IF(AND(Table1[[#This Row],[Spec Type2]]="N/A",Table1[[#This Row],[DUT Adj Read]]="N/A",Table1[[#This Row],[Std Adj Read]]="N/A"),"N/A",IF(Table1[[#This Row],[DUT Adj Read]]="N/A",IF(Table1[[#This Row],[Std Adj Read]]&gt;Table1[[#This Row],[Low Tol]],"Pass","Fail"),IF(Table1[[#This Row],[DUT Adj Read]]&gt;Table1[[#This Row],[Low Tol]],"Pass","Fail")))</f>
        <v>Pass</v>
      </c>
      <c r="AE1673" s="1" t="str">
        <f>IF(AND(Table1[[#This Row],[Spec Type2]]="N/A",Table1[[#This Row],[DUT Adj Read]]="N/A",Table1[[#This Row],[Std Adj Read]]="N/A"),"N/A",IF(Table1[[#This Row],[DUT Adj Read]]="N/A",IF(Table1[[#This Row],[Std Adj Read]]&lt;Table1[[#This Row],[High Tol]],"Pass","Fail"),IF(Table1[[#This Row],[DUT Adj Read]]&lt;Table1[[#This Row],[High Tol]],"Pass","Fail")))</f>
        <v>Fail</v>
      </c>
      <c r="AF1673" s="1" t="str">
        <f>IF(AND(Table1[[#This Row],[Spec Type2]]="N/A",Table1[[#This Row],[DUT Adj Read]]="N/A",Table1[[#This Row],[Std Adj Read]]="N/A"),"N/A",IF(Table1[[#This Row],[DUT Adj Read]]="N/A",IF(Table1[[#This Row],[Std Adj Read]]&gt;=Table1[[#This Row],[Low Tol]],"Pass","Fail"),IF(Table1[[#This Row],[DUT Adj Read]]&gt;=Table1[[#This Row],[Low Tol]],"Pass","Fail")))</f>
        <v>Pass</v>
      </c>
      <c r="AG1673" s="1" t="str">
        <f>IF(AND(Table1[[#This Row],[Spec Type2]]="N/A",Table1[[#This Row],[DUT Adj Read]]="N/A",Table1[[#This Row],[Std Adj Read]]="N/A"),"N/A",IF(Table1[[#This Row],[DUT Adj Read]]="N/A",IF(Table1[[#This Row],[Std Adj Read]]&lt;=Table1[[#This Row],[High Tol]],"Pass","Fail"),IF(Table1[[#This Row],[DUT Adj Read]]&lt;=Table1[[#This Row],[High Tol]],"Pass","Fail")))</f>
        <v>Fail</v>
      </c>
      <c r="AH16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3" s="1" t="b">
        <v>0</v>
      </c>
      <c r="AN1673" s="1" t="b">
        <v>0</v>
      </c>
      <c r="AO1673" s="1" t="b">
        <v>0</v>
      </c>
    </row>
    <row r="1674" spans="1:41" x14ac:dyDescent="0.25">
      <c r="A1674" s="10"/>
      <c r="B1674" s="10"/>
      <c r="C1674" s="10"/>
      <c r="D1674" s="10"/>
      <c r="E1674" s="10"/>
      <c r="F1674" s="10"/>
      <c r="G1674" s="10"/>
      <c r="H1674" s="10"/>
      <c r="I1674" s="1" t="str">
        <f t="shared" si="75"/>
        <v/>
      </c>
      <c r="J1674" s="1" t="s">
        <v>35</v>
      </c>
      <c r="K1674" s="1" t="str">
        <f t="shared" si="76"/>
        <v/>
      </c>
      <c r="L1674" s="1" t="str">
        <f t="shared" si="77"/>
        <v/>
      </c>
      <c r="M1674" s="1">
        <f>IF(OR(Table1[[#This Row],[Std Nom]]="",Table1[[#This Row],[Std Read]]=""),0,Table1[[#This Row],[Std Nom]]-Table1[[#This Row],[Std Read]])</f>
        <v>0</v>
      </c>
      <c r="N1674" s="1">
        <f>IF(Calculations!$F$5="ACCREDITED 17025 WITH UNCERTAINTIES",$N$10,0)</f>
        <v>0</v>
      </c>
      <c r="Q1674" s="1">
        <f>Table1[[#This Row],[High Tol]]-Table1[[#This Row],[Low Tol]]</f>
        <v>0</v>
      </c>
      <c r="R1674" s="1">
        <f>2*Table1[[#This Row],[Std Error]]</f>
        <v>0</v>
      </c>
      <c r="S1674" s="1" t="str">
        <f>IF(Table1[[#This Row],[High Tol]]="","N/A",IFERROR(ABS(Table1[[#This Row],[Tol Span]]/Table1[[#This Row],[Error Span]]),"N/A"))</f>
        <v>N/A</v>
      </c>
      <c r="T1674" s="1" t="str">
        <f>IF(OR(Table1[[#This Row],[Low Tol]]="",Table1[[#This Row],[High Tol]]=""),"Needs Analysis",IF(Table1[[#This Row],[Ratio]]&gt;=4,"Not Significant",IF(Table1[[#This Row],[Ratio]]&gt;=2,"Semi-Significant","Significant")))</f>
        <v>Needs Analysis</v>
      </c>
      <c r="W1674" s="1">
        <f>IF(Table1[[#This Row],[Cal Type]]&lt;&gt;"ACCREDITED 17025 WITH UNCERTAINTIES",0,"")</f>
        <v>0</v>
      </c>
      <c r="X1674" s="1" t="str">
        <f>IF(Table1[[#This Row],[DUT Read]]="","N/A",Table1[[#This Row],[Std Error]]+Table1[[#This Row],[DUT Read]]+Table1[[#This Row],[DUT Ucty]])</f>
        <v>N/A</v>
      </c>
      <c r="Y1674" s="1" t="str">
        <f>IF(Table1[[#This Row],[Std Read]]="","N/A",Table1[[#This Row],[Std Read]]+Table1[[#This Row],[Std Ucty]])</f>
        <v>N/A</v>
      </c>
      <c r="Z16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4" s="1" t="str">
        <f>IF(Table1[[#This Row],[Spec Type]]="","N/A",Table1[[#This Row],[Spec Type]])</f>
        <v>±</v>
      </c>
      <c r="AC1674" s="1" t="str">
        <f>IF(Table1[[#This Row],[Spec Type2]]="N/A","N/A",IF(AND(Table1[[#This Row],[DUT Adj Read]]&gt;=Table1[[#This Row],[Low Tol]],Table1[[#This Row],[DUT Adj Read]]&lt;=Table1[[#This Row],[High Tol]]),"Pass","Fail"))</f>
        <v>Fail</v>
      </c>
      <c r="AD1674" s="1" t="str">
        <f>IF(AND(Table1[[#This Row],[Spec Type2]]="N/A",Table1[[#This Row],[DUT Adj Read]]="N/A",Table1[[#This Row],[Std Adj Read]]="N/A"),"N/A",IF(Table1[[#This Row],[DUT Adj Read]]="N/A",IF(Table1[[#This Row],[Std Adj Read]]&gt;Table1[[#This Row],[Low Tol]],"Pass","Fail"),IF(Table1[[#This Row],[DUT Adj Read]]&gt;Table1[[#This Row],[Low Tol]],"Pass","Fail")))</f>
        <v>Pass</v>
      </c>
      <c r="AE1674" s="1" t="str">
        <f>IF(AND(Table1[[#This Row],[Spec Type2]]="N/A",Table1[[#This Row],[DUT Adj Read]]="N/A",Table1[[#This Row],[Std Adj Read]]="N/A"),"N/A",IF(Table1[[#This Row],[DUT Adj Read]]="N/A",IF(Table1[[#This Row],[Std Adj Read]]&lt;Table1[[#This Row],[High Tol]],"Pass","Fail"),IF(Table1[[#This Row],[DUT Adj Read]]&lt;Table1[[#This Row],[High Tol]],"Pass","Fail")))</f>
        <v>Fail</v>
      </c>
      <c r="AF1674" s="1" t="str">
        <f>IF(AND(Table1[[#This Row],[Spec Type2]]="N/A",Table1[[#This Row],[DUT Adj Read]]="N/A",Table1[[#This Row],[Std Adj Read]]="N/A"),"N/A",IF(Table1[[#This Row],[DUT Adj Read]]="N/A",IF(Table1[[#This Row],[Std Adj Read]]&gt;=Table1[[#This Row],[Low Tol]],"Pass","Fail"),IF(Table1[[#This Row],[DUT Adj Read]]&gt;=Table1[[#This Row],[Low Tol]],"Pass","Fail")))</f>
        <v>Pass</v>
      </c>
      <c r="AG1674" s="1" t="str">
        <f>IF(AND(Table1[[#This Row],[Spec Type2]]="N/A",Table1[[#This Row],[DUT Adj Read]]="N/A",Table1[[#This Row],[Std Adj Read]]="N/A"),"N/A",IF(Table1[[#This Row],[DUT Adj Read]]="N/A",IF(Table1[[#This Row],[Std Adj Read]]&lt;=Table1[[#This Row],[High Tol]],"Pass","Fail"),IF(Table1[[#This Row],[DUT Adj Read]]&lt;=Table1[[#This Row],[High Tol]],"Pass","Fail")))</f>
        <v>Fail</v>
      </c>
      <c r="AH16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4" s="1" t="b">
        <v>0</v>
      </c>
      <c r="AN1674" s="1" t="b">
        <v>0</v>
      </c>
      <c r="AO1674" s="1" t="b">
        <v>0</v>
      </c>
    </row>
    <row r="1675" spans="1:41" x14ac:dyDescent="0.25">
      <c r="A1675" s="10"/>
      <c r="B1675" s="10"/>
      <c r="C1675" s="10"/>
      <c r="D1675" s="10"/>
      <c r="E1675" s="10"/>
      <c r="F1675" s="10"/>
      <c r="G1675" s="10"/>
      <c r="H1675" s="10"/>
      <c r="I1675" s="1" t="str">
        <f t="shared" ref="I1675:I1738" si="78">IF($I$10="","",$I$10)</f>
        <v/>
      </c>
      <c r="J1675" s="1" t="s">
        <v>35</v>
      </c>
      <c r="K1675" s="1" t="str">
        <f t="shared" ref="K1675:K1738" si="79">IF($K$10="","",$K$10)</f>
        <v/>
      </c>
      <c r="L1675" s="1" t="str">
        <f t="shared" ref="L1675:L1738" si="80">IF($L$10="","",$L$10)</f>
        <v/>
      </c>
      <c r="M1675" s="1">
        <f>IF(OR(Table1[[#This Row],[Std Nom]]="",Table1[[#This Row],[Std Read]]=""),0,Table1[[#This Row],[Std Nom]]-Table1[[#This Row],[Std Read]])</f>
        <v>0</v>
      </c>
      <c r="N1675" s="1">
        <f>IF(Calculations!$F$5="ACCREDITED 17025 WITH UNCERTAINTIES",$N$10,0)</f>
        <v>0</v>
      </c>
      <c r="Q1675" s="1">
        <f>Table1[[#This Row],[High Tol]]-Table1[[#This Row],[Low Tol]]</f>
        <v>0</v>
      </c>
      <c r="R1675" s="1">
        <f>2*Table1[[#This Row],[Std Error]]</f>
        <v>0</v>
      </c>
      <c r="S1675" s="1" t="str">
        <f>IF(Table1[[#This Row],[High Tol]]="","N/A",IFERROR(ABS(Table1[[#This Row],[Tol Span]]/Table1[[#This Row],[Error Span]]),"N/A"))</f>
        <v>N/A</v>
      </c>
      <c r="T1675" s="1" t="str">
        <f>IF(OR(Table1[[#This Row],[Low Tol]]="",Table1[[#This Row],[High Tol]]=""),"Needs Analysis",IF(Table1[[#This Row],[Ratio]]&gt;=4,"Not Significant",IF(Table1[[#This Row],[Ratio]]&gt;=2,"Semi-Significant","Significant")))</f>
        <v>Needs Analysis</v>
      </c>
      <c r="W1675" s="1">
        <f>IF(Table1[[#This Row],[Cal Type]]&lt;&gt;"ACCREDITED 17025 WITH UNCERTAINTIES",0,"")</f>
        <v>0</v>
      </c>
      <c r="X1675" s="1" t="str">
        <f>IF(Table1[[#This Row],[DUT Read]]="","N/A",Table1[[#This Row],[Std Error]]+Table1[[#This Row],[DUT Read]]+Table1[[#This Row],[DUT Ucty]])</f>
        <v>N/A</v>
      </c>
      <c r="Y1675" s="1" t="str">
        <f>IF(Table1[[#This Row],[Std Read]]="","N/A",Table1[[#This Row],[Std Read]]+Table1[[#This Row],[Std Ucty]])</f>
        <v>N/A</v>
      </c>
      <c r="Z16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5" s="1" t="str">
        <f>IF(Table1[[#This Row],[Spec Type]]="","N/A",Table1[[#This Row],[Spec Type]])</f>
        <v>±</v>
      </c>
      <c r="AC1675" s="1" t="str">
        <f>IF(Table1[[#This Row],[Spec Type2]]="N/A","N/A",IF(AND(Table1[[#This Row],[DUT Adj Read]]&gt;=Table1[[#This Row],[Low Tol]],Table1[[#This Row],[DUT Adj Read]]&lt;=Table1[[#This Row],[High Tol]]),"Pass","Fail"))</f>
        <v>Fail</v>
      </c>
      <c r="AD1675" s="1" t="str">
        <f>IF(AND(Table1[[#This Row],[Spec Type2]]="N/A",Table1[[#This Row],[DUT Adj Read]]="N/A",Table1[[#This Row],[Std Adj Read]]="N/A"),"N/A",IF(Table1[[#This Row],[DUT Adj Read]]="N/A",IF(Table1[[#This Row],[Std Adj Read]]&gt;Table1[[#This Row],[Low Tol]],"Pass","Fail"),IF(Table1[[#This Row],[DUT Adj Read]]&gt;Table1[[#This Row],[Low Tol]],"Pass","Fail")))</f>
        <v>Pass</v>
      </c>
      <c r="AE1675" s="1" t="str">
        <f>IF(AND(Table1[[#This Row],[Spec Type2]]="N/A",Table1[[#This Row],[DUT Adj Read]]="N/A",Table1[[#This Row],[Std Adj Read]]="N/A"),"N/A",IF(Table1[[#This Row],[DUT Adj Read]]="N/A",IF(Table1[[#This Row],[Std Adj Read]]&lt;Table1[[#This Row],[High Tol]],"Pass","Fail"),IF(Table1[[#This Row],[DUT Adj Read]]&lt;Table1[[#This Row],[High Tol]],"Pass","Fail")))</f>
        <v>Fail</v>
      </c>
      <c r="AF1675" s="1" t="str">
        <f>IF(AND(Table1[[#This Row],[Spec Type2]]="N/A",Table1[[#This Row],[DUT Adj Read]]="N/A",Table1[[#This Row],[Std Adj Read]]="N/A"),"N/A",IF(Table1[[#This Row],[DUT Adj Read]]="N/A",IF(Table1[[#This Row],[Std Adj Read]]&gt;=Table1[[#This Row],[Low Tol]],"Pass","Fail"),IF(Table1[[#This Row],[DUT Adj Read]]&gt;=Table1[[#This Row],[Low Tol]],"Pass","Fail")))</f>
        <v>Pass</v>
      </c>
      <c r="AG1675" s="1" t="str">
        <f>IF(AND(Table1[[#This Row],[Spec Type2]]="N/A",Table1[[#This Row],[DUT Adj Read]]="N/A",Table1[[#This Row],[Std Adj Read]]="N/A"),"N/A",IF(Table1[[#This Row],[DUT Adj Read]]="N/A",IF(Table1[[#This Row],[Std Adj Read]]&lt;=Table1[[#This Row],[High Tol]],"Pass","Fail"),IF(Table1[[#This Row],[DUT Adj Read]]&lt;=Table1[[#This Row],[High Tol]],"Pass","Fail")))</f>
        <v>Fail</v>
      </c>
      <c r="AH16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5" s="1" t="b">
        <v>0</v>
      </c>
      <c r="AN1675" s="1" t="b">
        <v>0</v>
      </c>
      <c r="AO1675" s="1" t="b">
        <v>0</v>
      </c>
    </row>
    <row r="1676" spans="1:41" x14ac:dyDescent="0.25">
      <c r="A1676" s="10"/>
      <c r="B1676" s="10"/>
      <c r="C1676" s="10"/>
      <c r="D1676" s="10"/>
      <c r="E1676" s="10"/>
      <c r="F1676" s="10"/>
      <c r="G1676" s="10"/>
      <c r="H1676" s="10"/>
      <c r="I1676" s="1" t="str">
        <f t="shared" si="78"/>
        <v/>
      </c>
      <c r="J1676" s="1" t="s">
        <v>35</v>
      </c>
      <c r="K1676" s="1" t="str">
        <f t="shared" si="79"/>
        <v/>
      </c>
      <c r="L1676" s="1" t="str">
        <f t="shared" si="80"/>
        <v/>
      </c>
      <c r="M1676" s="1">
        <f>IF(OR(Table1[[#This Row],[Std Nom]]="",Table1[[#This Row],[Std Read]]=""),0,Table1[[#This Row],[Std Nom]]-Table1[[#This Row],[Std Read]])</f>
        <v>0</v>
      </c>
      <c r="N1676" s="1">
        <f>IF(Calculations!$F$5="ACCREDITED 17025 WITH UNCERTAINTIES",$N$10,0)</f>
        <v>0</v>
      </c>
      <c r="Q1676" s="1">
        <f>Table1[[#This Row],[High Tol]]-Table1[[#This Row],[Low Tol]]</f>
        <v>0</v>
      </c>
      <c r="R1676" s="1">
        <f>2*Table1[[#This Row],[Std Error]]</f>
        <v>0</v>
      </c>
      <c r="S1676" s="1" t="str">
        <f>IF(Table1[[#This Row],[High Tol]]="","N/A",IFERROR(ABS(Table1[[#This Row],[Tol Span]]/Table1[[#This Row],[Error Span]]),"N/A"))</f>
        <v>N/A</v>
      </c>
      <c r="T1676" s="1" t="str">
        <f>IF(OR(Table1[[#This Row],[Low Tol]]="",Table1[[#This Row],[High Tol]]=""),"Needs Analysis",IF(Table1[[#This Row],[Ratio]]&gt;=4,"Not Significant",IF(Table1[[#This Row],[Ratio]]&gt;=2,"Semi-Significant","Significant")))</f>
        <v>Needs Analysis</v>
      </c>
      <c r="W1676" s="1">
        <f>IF(Table1[[#This Row],[Cal Type]]&lt;&gt;"ACCREDITED 17025 WITH UNCERTAINTIES",0,"")</f>
        <v>0</v>
      </c>
      <c r="X1676" s="1" t="str">
        <f>IF(Table1[[#This Row],[DUT Read]]="","N/A",Table1[[#This Row],[Std Error]]+Table1[[#This Row],[DUT Read]]+Table1[[#This Row],[DUT Ucty]])</f>
        <v>N/A</v>
      </c>
      <c r="Y1676" s="1" t="str">
        <f>IF(Table1[[#This Row],[Std Read]]="","N/A",Table1[[#This Row],[Std Read]]+Table1[[#This Row],[Std Ucty]])</f>
        <v>N/A</v>
      </c>
      <c r="Z16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6" s="1" t="str">
        <f>IF(Table1[[#This Row],[Spec Type]]="","N/A",Table1[[#This Row],[Spec Type]])</f>
        <v>±</v>
      </c>
      <c r="AC1676" s="1" t="str">
        <f>IF(Table1[[#This Row],[Spec Type2]]="N/A","N/A",IF(AND(Table1[[#This Row],[DUT Adj Read]]&gt;=Table1[[#This Row],[Low Tol]],Table1[[#This Row],[DUT Adj Read]]&lt;=Table1[[#This Row],[High Tol]]),"Pass","Fail"))</f>
        <v>Fail</v>
      </c>
      <c r="AD1676" s="1" t="str">
        <f>IF(AND(Table1[[#This Row],[Spec Type2]]="N/A",Table1[[#This Row],[DUT Adj Read]]="N/A",Table1[[#This Row],[Std Adj Read]]="N/A"),"N/A",IF(Table1[[#This Row],[DUT Adj Read]]="N/A",IF(Table1[[#This Row],[Std Adj Read]]&gt;Table1[[#This Row],[Low Tol]],"Pass","Fail"),IF(Table1[[#This Row],[DUT Adj Read]]&gt;Table1[[#This Row],[Low Tol]],"Pass","Fail")))</f>
        <v>Pass</v>
      </c>
      <c r="AE1676" s="1" t="str">
        <f>IF(AND(Table1[[#This Row],[Spec Type2]]="N/A",Table1[[#This Row],[DUT Adj Read]]="N/A",Table1[[#This Row],[Std Adj Read]]="N/A"),"N/A",IF(Table1[[#This Row],[DUT Adj Read]]="N/A",IF(Table1[[#This Row],[Std Adj Read]]&lt;Table1[[#This Row],[High Tol]],"Pass","Fail"),IF(Table1[[#This Row],[DUT Adj Read]]&lt;Table1[[#This Row],[High Tol]],"Pass","Fail")))</f>
        <v>Fail</v>
      </c>
      <c r="AF1676" s="1" t="str">
        <f>IF(AND(Table1[[#This Row],[Spec Type2]]="N/A",Table1[[#This Row],[DUT Adj Read]]="N/A",Table1[[#This Row],[Std Adj Read]]="N/A"),"N/A",IF(Table1[[#This Row],[DUT Adj Read]]="N/A",IF(Table1[[#This Row],[Std Adj Read]]&gt;=Table1[[#This Row],[Low Tol]],"Pass","Fail"),IF(Table1[[#This Row],[DUT Adj Read]]&gt;=Table1[[#This Row],[Low Tol]],"Pass","Fail")))</f>
        <v>Pass</v>
      </c>
      <c r="AG1676" s="1" t="str">
        <f>IF(AND(Table1[[#This Row],[Spec Type2]]="N/A",Table1[[#This Row],[DUT Adj Read]]="N/A",Table1[[#This Row],[Std Adj Read]]="N/A"),"N/A",IF(Table1[[#This Row],[DUT Adj Read]]="N/A",IF(Table1[[#This Row],[Std Adj Read]]&lt;=Table1[[#This Row],[High Tol]],"Pass","Fail"),IF(Table1[[#This Row],[DUT Adj Read]]&lt;=Table1[[#This Row],[High Tol]],"Pass","Fail")))</f>
        <v>Fail</v>
      </c>
      <c r="AH16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6" s="1" t="b">
        <v>0</v>
      </c>
      <c r="AN1676" s="1" t="b">
        <v>0</v>
      </c>
      <c r="AO1676" s="1" t="b">
        <v>0</v>
      </c>
    </row>
    <row r="1677" spans="1:41" x14ac:dyDescent="0.25">
      <c r="A1677" s="10"/>
      <c r="B1677" s="10"/>
      <c r="C1677" s="10"/>
      <c r="D1677" s="10"/>
      <c r="E1677" s="10"/>
      <c r="F1677" s="10"/>
      <c r="G1677" s="10"/>
      <c r="H1677" s="10"/>
      <c r="I1677" s="1" t="str">
        <f t="shared" si="78"/>
        <v/>
      </c>
      <c r="J1677" s="1" t="s">
        <v>35</v>
      </c>
      <c r="K1677" s="1" t="str">
        <f t="shared" si="79"/>
        <v/>
      </c>
      <c r="L1677" s="1" t="str">
        <f t="shared" si="80"/>
        <v/>
      </c>
      <c r="M1677" s="1">
        <f>IF(OR(Table1[[#This Row],[Std Nom]]="",Table1[[#This Row],[Std Read]]=""),0,Table1[[#This Row],[Std Nom]]-Table1[[#This Row],[Std Read]])</f>
        <v>0</v>
      </c>
      <c r="N1677" s="1">
        <f>IF(Calculations!$F$5="ACCREDITED 17025 WITH UNCERTAINTIES",$N$10,0)</f>
        <v>0</v>
      </c>
      <c r="Q1677" s="1">
        <f>Table1[[#This Row],[High Tol]]-Table1[[#This Row],[Low Tol]]</f>
        <v>0</v>
      </c>
      <c r="R1677" s="1">
        <f>2*Table1[[#This Row],[Std Error]]</f>
        <v>0</v>
      </c>
      <c r="S1677" s="1" t="str">
        <f>IF(Table1[[#This Row],[High Tol]]="","N/A",IFERROR(ABS(Table1[[#This Row],[Tol Span]]/Table1[[#This Row],[Error Span]]),"N/A"))</f>
        <v>N/A</v>
      </c>
      <c r="T1677" s="1" t="str">
        <f>IF(OR(Table1[[#This Row],[Low Tol]]="",Table1[[#This Row],[High Tol]]=""),"Needs Analysis",IF(Table1[[#This Row],[Ratio]]&gt;=4,"Not Significant",IF(Table1[[#This Row],[Ratio]]&gt;=2,"Semi-Significant","Significant")))</f>
        <v>Needs Analysis</v>
      </c>
      <c r="W1677" s="1">
        <f>IF(Table1[[#This Row],[Cal Type]]&lt;&gt;"ACCREDITED 17025 WITH UNCERTAINTIES",0,"")</f>
        <v>0</v>
      </c>
      <c r="X1677" s="1" t="str">
        <f>IF(Table1[[#This Row],[DUT Read]]="","N/A",Table1[[#This Row],[Std Error]]+Table1[[#This Row],[DUT Read]]+Table1[[#This Row],[DUT Ucty]])</f>
        <v>N/A</v>
      </c>
      <c r="Y1677" s="1" t="str">
        <f>IF(Table1[[#This Row],[Std Read]]="","N/A",Table1[[#This Row],[Std Read]]+Table1[[#This Row],[Std Ucty]])</f>
        <v>N/A</v>
      </c>
      <c r="Z16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7" s="1" t="str">
        <f>IF(Table1[[#This Row],[Spec Type]]="","N/A",Table1[[#This Row],[Spec Type]])</f>
        <v>±</v>
      </c>
      <c r="AC1677" s="1" t="str">
        <f>IF(Table1[[#This Row],[Spec Type2]]="N/A","N/A",IF(AND(Table1[[#This Row],[DUT Adj Read]]&gt;=Table1[[#This Row],[Low Tol]],Table1[[#This Row],[DUT Adj Read]]&lt;=Table1[[#This Row],[High Tol]]),"Pass","Fail"))</f>
        <v>Fail</v>
      </c>
      <c r="AD1677" s="1" t="str">
        <f>IF(AND(Table1[[#This Row],[Spec Type2]]="N/A",Table1[[#This Row],[DUT Adj Read]]="N/A",Table1[[#This Row],[Std Adj Read]]="N/A"),"N/A",IF(Table1[[#This Row],[DUT Adj Read]]="N/A",IF(Table1[[#This Row],[Std Adj Read]]&gt;Table1[[#This Row],[Low Tol]],"Pass","Fail"),IF(Table1[[#This Row],[DUT Adj Read]]&gt;Table1[[#This Row],[Low Tol]],"Pass","Fail")))</f>
        <v>Pass</v>
      </c>
      <c r="AE1677" s="1" t="str">
        <f>IF(AND(Table1[[#This Row],[Spec Type2]]="N/A",Table1[[#This Row],[DUT Adj Read]]="N/A",Table1[[#This Row],[Std Adj Read]]="N/A"),"N/A",IF(Table1[[#This Row],[DUT Adj Read]]="N/A",IF(Table1[[#This Row],[Std Adj Read]]&lt;Table1[[#This Row],[High Tol]],"Pass","Fail"),IF(Table1[[#This Row],[DUT Adj Read]]&lt;Table1[[#This Row],[High Tol]],"Pass","Fail")))</f>
        <v>Fail</v>
      </c>
      <c r="AF1677" s="1" t="str">
        <f>IF(AND(Table1[[#This Row],[Spec Type2]]="N/A",Table1[[#This Row],[DUT Adj Read]]="N/A",Table1[[#This Row],[Std Adj Read]]="N/A"),"N/A",IF(Table1[[#This Row],[DUT Adj Read]]="N/A",IF(Table1[[#This Row],[Std Adj Read]]&gt;=Table1[[#This Row],[Low Tol]],"Pass","Fail"),IF(Table1[[#This Row],[DUT Adj Read]]&gt;=Table1[[#This Row],[Low Tol]],"Pass","Fail")))</f>
        <v>Pass</v>
      </c>
      <c r="AG1677" s="1" t="str">
        <f>IF(AND(Table1[[#This Row],[Spec Type2]]="N/A",Table1[[#This Row],[DUT Adj Read]]="N/A",Table1[[#This Row],[Std Adj Read]]="N/A"),"N/A",IF(Table1[[#This Row],[DUT Adj Read]]="N/A",IF(Table1[[#This Row],[Std Adj Read]]&lt;=Table1[[#This Row],[High Tol]],"Pass","Fail"),IF(Table1[[#This Row],[DUT Adj Read]]&lt;=Table1[[#This Row],[High Tol]],"Pass","Fail")))</f>
        <v>Fail</v>
      </c>
      <c r="AH16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7" s="1" t="b">
        <v>0</v>
      </c>
      <c r="AN1677" s="1" t="b">
        <v>0</v>
      </c>
      <c r="AO1677" s="1" t="b">
        <v>0</v>
      </c>
    </row>
    <row r="1678" spans="1:41" x14ac:dyDescent="0.25">
      <c r="A1678" s="10"/>
      <c r="B1678" s="10"/>
      <c r="C1678" s="10"/>
      <c r="D1678" s="10"/>
      <c r="E1678" s="10"/>
      <c r="F1678" s="10"/>
      <c r="G1678" s="10"/>
      <c r="H1678" s="10"/>
      <c r="I1678" s="1" t="str">
        <f t="shared" si="78"/>
        <v/>
      </c>
      <c r="J1678" s="1" t="s">
        <v>35</v>
      </c>
      <c r="K1678" s="1" t="str">
        <f t="shared" si="79"/>
        <v/>
      </c>
      <c r="L1678" s="1" t="str">
        <f t="shared" si="80"/>
        <v/>
      </c>
      <c r="M1678" s="1">
        <f>IF(OR(Table1[[#This Row],[Std Nom]]="",Table1[[#This Row],[Std Read]]=""),0,Table1[[#This Row],[Std Nom]]-Table1[[#This Row],[Std Read]])</f>
        <v>0</v>
      </c>
      <c r="N1678" s="1">
        <f>IF(Calculations!$F$5="ACCREDITED 17025 WITH UNCERTAINTIES",$N$10,0)</f>
        <v>0</v>
      </c>
      <c r="Q1678" s="1">
        <f>Table1[[#This Row],[High Tol]]-Table1[[#This Row],[Low Tol]]</f>
        <v>0</v>
      </c>
      <c r="R1678" s="1">
        <f>2*Table1[[#This Row],[Std Error]]</f>
        <v>0</v>
      </c>
      <c r="S1678" s="1" t="str">
        <f>IF(Table1[[#This Row],[High Tol]]="","N/A",IFERROR(ABS(Table1[[#This Row],[Tol Span]]/Table1[[#This Row],[Error Span]]),"N/A"))</f>
        <v>N/A</v>
      </c>
      <c r="T1678" s="1" t="str">
        <f>IF(OR(Table1[[#This Row],[Low Tol]]="",Table1[[#This Row],[High Tol]]=""),"Needs Analysis",IF(Table1[[#This Row],[Ratio]]&gt;=4,"Not Significant",IF(Table1[[#This Row],[Ratio]]&gt;=2,"Semi-Significant","Significant")))</f>
        <v>Needs Analysis</v>
      </c>
      <c r="W1678" s="1">
        <f>IF(Table1[[#This Row],[Cal Type]]&lt;&gt;"ACCREDITED 17025 WITH UNCERTAINTIES",0,"")</f>
        <v>0</v>
      </c>
      <c r="X1678" s="1" t="str">
        <f>IF(Table1[[#This Row],[DUT Read]]="","N/A",Table1[[#This Row],[Std Error]]+Table1[[#This Row],[DUT Read]]+Table1[[#This Row],[DUT Ucty]])</f>
        <v>N/A</v>
      </c>
      <c r="Y1678" s="1" t="str">
        <f>IF(Table1[[#This Row],[Std Read]]="","N/A",Table1[[#This Row],[Std Read]]+Table1[[#This Row],[Std Ucty]])</f>
        <v>N/A</v>
      </c>
      <c r="Z16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8" s="1" t="str">
        <f>IF(Table1[[#This Row],[Spec Type]]="","N/A",Table1[[#This Row],[Spec Type]])</f>
        <v>±</v>
      </c>
      <c r="AC1678" s="1" t="str">
        <f>IF(Table1[[#This Row],[Spec Type2]]="N/A","N/A",IF(AND(Table1[[#This Row],[DUT Adj Read]]&gt;=Table1[[#This Row],[Low Tol]],Table1[[#This Row],[DUT Adj Read]]&lt;=Table1[[#This Row],[High Tol]]),"Pass","Fail"))</f>
        <v>Fail</v>
      </c>
      <c r="AD1678" s="1" t="str">
        <f>IF(AND(Table1[[#This Row],[Spec Type2]]="N/A",Table1[[#This Row],[DUT Adj Read]]="N/A",Table1[[#This Row],[Std Adj Read]]="N/A"),"N/A",IF(Table1[[#This Row],[DUT Adj Read]]="N/A",IF(Table1[[#This Row],[Std Adj Read]]&gt;Table1[[#This Row],[Low Tol]],"Pass","Fail"),IF(Table1[[#This Row],[DUT Adj Read]]&gt;Table1[[#This Row],[Low Tol]],"Pass","Fail")))</f>
        <v>Pass</v>
      </c>
      <c r="AE1678" s="1" t="str">
        <f>IF(AND(Table1[[#This Row],[Spec Type2]]="N/A",Table1[[#This Row],[DUT Adj Read]]="N/A",Table1[[#This Row],[Std Adj Read]]="N/A"),"N/A",IF(Table1[[#This Row],[DUT Adj Read]]="N/A",IF(Table1[[#This Row],[Std Adj Read]]&lt;Table1[[#This Row],[High Tol]],"Pass","Fail"),IF(Table1[[#This Row],[DUT Adj Read]]&lt;Table1[[#This Row],[High Tol]],"Pass","Fail")))</f>
        <v>Fail</v>
      </c>
      <c r="AF1678" s="1" t="str">
        <f>IF(AND(Table1[[#This Row],[Spec Type2]]="N/A",Table1[[#This Row],[DUT Adj Read]]="N/A",Table1[[#This Row],[Std Adj Read]]="N/A"),"N/A",IF(Table1[[#This Row],[DUT Adj Read]]="N/A",IF(Table1[[#This Row],[Std Adj Read]]&gt;=Table1[[#This Row],[Low Tol]],"Pass","Fail"),IF(Table1[[#This Row],[DUT Adj Read]]&gt;=Table1[[#This Row],[Low Tol]],"Pass","Fail")))</f>
        <v>Pass</v>
      </c>
      <c r="AG1678" s="1" t="str">
        <f>IF(AND(Table1[[#This Row],[Spec Type2]]="N/A",Table1[[#This Row],[DUT Adj Read]]="N/A",Table1[[#This Row],[Std Adj Read]]="N/A"),"N/A",IF(Table1[[#This Row],[DUT Adj Read]]="N/A",IF(Table1[[#This Row],[Std Adj Read]]&lt;=Table1[[#This Row],[High Tol]],"Pass","Fail"),IF(Table1[[#This Row],[DUT Adj Read]]&lt;=Table1[[#This Row],[High Tol]],"Pass","Fail")))</f>
        <v>Fail</v>
      </c>
      <c r="AH16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8" s="1" t="b">
        <v>0</v>
      </c>
      <c r="AN1678" s="1" t="b">
        <v>0</v>
      </c>
      <c r="AO1678" s="1" t="b">
        <v>0</v>
      </c>
    </row>
    <row r="1679" spans="1:41" x14ac:dyDescent="0.25">
      <c r="A1679" s="10"/>
      <c r="B1679" s="10"/>
      <c r="C1679" s="10"/>
      <c r="D1679" s="10"/>
      <c r="E1679" s="10"/>
      <c r="F1679" s="10"/>
      <c r="G1679" s="10"/>
      <c r="H1679" s="10"/>
      <c r="I1679" s="1" t="str">
        <f t="shared" si="78"/>
        <v/>
      </c>
      <c r="J1679" s="1" t="s">
        <v>35</v>
      </c>
      <c r="K1679" s="1" t="str">
        <f t="shared" si="79"/>
        <v/>
      </c>
      <c r="L1679" s="1" t="str">
        <f t="shared" si="80"/>
        <v/>
      </c>
      <c r="M1679" s="1">
        <f>IF(OR(Table1[[#This Row],[Std Nom]]="",Table1[[#This Row],[Std Read]]=""),0,Table1[[#This Row],[Std Nom]]-Table1[[#This Row],[Std Read]])</f>
        <v>0</v>
      </c>
      <c r="N1679" s="1">
        <f>IF(Calculations!$F$5="ACCREDITED 17025 WITH UNCERTAINTIES",$N$10,0)</f>
        <v>0</v>
      </c>
      <c r="Q1679" s="1">
        <f>Table1[[#This Row],[High Tol]]-Table1[[#This Row],[Low Tol]]</f>
        <v>0</v>
      </c>
      <c r="R1679" s="1">
        <f>2*Table1[[#This Row],[Std Error]]</f>
        <v>0</v>
      </c>
      <c r="S1679" s="1" t="str">
        <f>IF(Table1[[#This Row],[High Tol]]="","N/A",IFERROR(ABS(Table1[[#This Row],[Tol Span]]/Table1[[#This Row],[Error Span]]),"N/A"))</f>
        <v>N/A</v>
      </c>
      <c r="T1679" s="1" t="str">
        <f>IF(OR(Table1[[#This Row],[Low Tol]]="",Table1[[#This Row],[High Tol]]=""),"Needs Analysis",IF(Table1[[#This Row],[Ratio]]&gt;=4,"Not Significant",IF(Table1[[#This Row],[Ratio]]&gt;=2,"Semi-Significant","Significant")))</f>
        <v>Needs Analysis</v>
      </c>
      <c r="W1679" s="1">
        <f>IF(Table1[[#This Row],[Cal Type]]&lt;&gt;"ACCREDITED 17025 WITH UNCERTAINTIES",0,"")</f>
        <v>0</v>
      </c>
      <c r="X1679" s="1" t="str">
        <f>IF(Table1[[#This Row],[DUT Read]]="","N/A",Table1[[#This Row],[Std Error]]+Table1[[#This Row],[DUT Read]]+Table1[[#This Row],[DUT Ucty]])</f>
        <v>N/A</v>
      </c>
      <c r="Y1679" s="1" t="str">
        <f>IF(Table1[[#This Row],[Std Read]]="","N/A",Table1[[#This Row],[Std Read]]+Table1[[#This Row],[Std Ucty]])</f>
        <v>N/A</v>
      </c>
      <c r="Z16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79" s="1" t="str">
        <f>IF(Table1[[#This Row],[Spec Type]]="","N/A",Table1[[#This Row],[Spec Type]])</f>
        <v>±</v>
      </c>
      <c r="AC1679" s="1" t="str">
        <f>IF(Table1[[#This Row],[Spec Type2]]="N/A","N/A",IF(AND(Table1[[#This Row],[DUT Adj Read]]&gt;=Table1[[#This Row],[Low Tol]],Table1[[#This Row],[DUT Adj Read]]&lt;=Table1[[#This Row],[High Tol]]),"Pass","Fail"))</f>
        <v>Fail</v>
      </c>
      <c r="AD1679" s="1" t="str">
        <f>IF(AND(Table1[[#This Row],[Spec Type2]]="N/A",Table1[[#This Row],[DUT Adj Read]]="N/A",Table1[[#This Row],[Std Adj Read]]="N/A"),"N/A",IF(Table1[[#This Row],[DUT Adj Read]]="N/A",IF(Table1[[#This Row],[Std Adj Read]]&gt;Table1[[#This Row],[Low Tol]],"Pass","Fail"),IF(Table1[[#This Row],[DUT Adj Read]]&gt;Table1[[#This Row],[Low Tol]],"Pass","Fail")))</f>
        <v>Pass</v>
      </c>
      <c r="AE1679" s="1" t="str">
        <f>IF(AND(Table1[[#This Row],[Spec Type2]]="N/A",Table1[[#This Row],[DUT Adj Read]]="N/A",Table1[[#This Row],[Std Adj Read]]="N/A"),"N/A",IF(Table1[[#This Row],[DUT Adj Read]]="N/A",IF(Table1[[#This Row],[Std Adj Read]]&lt;Table1[[#This Row],[High Tol]],"Pass","Fail"),IF(Table1[[#This Row],[DUT Adj Read]]&lt;Table1[[#This Row],[High Tol]],"Pass","Fail")))</f>
        <v>Fail</v>
      </c>
      <c r="AF1679" s="1" t="str">
        <f>IF(AND(Table1[[#This Row],[Spec Type2]]="N/A",Table1[[#This Row],[DUT Adj Read]]="N/A",Table1[[#This Row],[Std Adj Read]]="N/A"),"N/A",IF(Table1[[#This Row],[DUT Adj Read]]="N/A",IF(Table1[[#This Row],[Std Adj Read]]&gt;=Table1[[#This Row],[Low Tol]],"Pass","Fail"),IF(Table1[[#This Row],[DUT Adj Read]]&gt;=Table1[[#This Row],[Low Tol]],"Pass","Fail")))</f>
        <v>Pass</v>
      </c>
      <c r="AG1679" s="1" t="str">
        <f>IF(AND(Table1[[#This Row],[Spec Type2]]="N/A",Table1[[#This Row],[DUT Adj Read]]="N/A",Table1[[#This Row],[Std Adj Read]]="N/A"),"N/A",IF(Table1[[#This Row],[DUT Adj Read]]="N/A",IF(Table1[[#This Row],[Std Adj Read]]&lt;=Table1[[#This Row],[High Tol]],"Pass","Fail"),IF(Table1[[#This Row],[DUT Adj Read]]&lt;=Table1[[#This Row],[High Tol]],"Pass","Fail")))</f>
        <v>Fail</v>
      </c>
      <c r="AH16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79" s="1" t="b">
        <v>0</v>
      </c>
      <c r="AN1679" s="1" t="b">
        <v>0</v>
      </c>
      <c r="AO1679" s="1" t="b">
        <v>0</v>
      </c>
    </row>
    <row r="1680" spans="1:41" x14ac:dyDescent="0.25">
      <c r="A1680" s="10"/>
      <c r="B1680" s="10"/>
      <c r="C1680" s="10"/>
      <c r="D1680" s="10"/>
      <c r="E1680" s="10"/>
      <c r="F1680" s="10"/>
      <c r="G1680" s="10"/>
      <c r="H1680" s="10"/>
      <c r="I1680" s="1" t="str">
        <f t="shared" si="78"/>
        <v/>
      </c>
      <c r="J1680" s="1" t="s">
        <v>35</v>
      </c>
      <c r="K1680" s="1" t="str">
        <f t="shared" si="79"/>
        <v/>
      </c>
      <c r="L1680" s="1" t="str">
        <f t="shared" si="80"/>
        <v/>
      </c>
      <c r="M1680" s="1">
        <f>IF(OR(Table1[[#This Row],[Std Nom]]="",Table1[[#This Row],[Std Read]]=""),0,Table1[[#This Row],[Std Nom]]-Table1[[#This Row],[Std Read]])</f>
        <v>0</v>
      </c>
      <c r="N1680" s="1">
        <f>IF(Calculations!$F$5="ACCREDITED 17025 WITH UNCERTAINTIES",$N$10,0)</f>
        <v>0</v>
      </c>
      <c r="Q1680" s="1">
        <f>Table1[[#This Row],[High Tol]]-Table1[[#This Row],[Low Tol]]</f>
        <v>0</v>
      </c>
      <c r="R1680" s="1">
        <f>2*Table1[[#This Row],[Std Error]]</f>
        <v>0</v>
      </c>
      <c r="S1680" s="1" t="str">
        <f>IF(Table1[[#This Row],[High Tol]]="","N/A",IFERROR(ABS(Table1[[#This Row],[Tol Span]]/Table1[[#This Row],[Error Span]]),"N/A"))</f>
        <v>N/A</v>
      </c>
      <c r="T1680" s="1" t="str">
        <f>IF(OR(Table1[[#This Row],[Low Tol]]="",Table1[[#This Row],[High Tol]]=""),"Needs Analysis",IF(Table1[[#This Row],[Ratio]]&gt;=4,"Not Significant",IF(Table1[[#This Row],[Ratio]]&gt;=2,"Semi-Significant","Significant")))</f>
        <v>Needs Analysis</v>
      </c>
      <c r="W1680" s="1">
        <f>IF(Table1[[#This Row],[Cal Type]]&lt;&gt;"ACCREDITED 17025 WITH UNCERTAINTIES",0,"")</f>
        <v>0</v>
      </c>
      <c r="X1680" s="1" t="str">
        <f>IF(Table1[[#This Row],[DUT Read]]="","N/A",Table1[[#This Row],[Std Error]]+Table1[[#This Row],[DUT Read]]+Table1[[#This Row],[DUT Ucty]])</f>
        <v>N/A</v>
      </c>
      <c r="Y1680" s="1" t="str">
        <f>IF(Table1[[#This Row],[Std Read]]="","N/A",Table1[[#This Row],[Std Read]]+Table1[[#This Row],[Std Ucty]])</f>
        <v>N/A</v>
      </c>
      <c r="Z16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0" s="1" t="str">
        <f>IF(Table1[[#This Row],[Spec Type]]="","N/A",Table1[[#This Row],[Spec Type]])</f>
        <v>±</v>
      </c>
      <c r="AC1680" s="1" t="str">
        <f>IF(Table1[[#This Row],[Spec Type2]]="N/A","N/A",IF(AND(Table1[[#This Row],[DUT Adj Read]]&gt;=Table1[[#This Row],[Low Tol]],Table1[[#This Row],[DUT Adj Read]]&lt;=Table1[[#This Row],[High Tol]]),"Pass","Fail"))</f>
        <v>Fail</v>
      </c>
      <c r="AD1680" s="1" t="str">
        <f>IF(AND(Table1[[#This Row],[Spec Type2]]="N/A",Table1[[#This Row],[DUT Adj Read]]="N/A",Table1[[#This Row],[Std Adj Read]]="N/A"),"N/A",IF(Table1[[#This Row],[DUT Adj Read]]="N/A",IF(Table1[[#This Row],[Std Adj Read]]&gt;Table1[[#This Row],[Low Tol]],"Pass","Fail"),IF(Table1[[#This Row],[DUT Adj Read]]&gt;Table1[[#This Row],[Low Tol]],"Pass","Fail")))</f>
        <v>Pass</v>
      </c>
      <c r="AE1680" s="1" t="str">
        <f>IF(AND(Table1[[#This Row],[Spec Type2]]="N/A",Table1[[#This Row],[DUT Adj Read]]="N/A",Table1[[#This Row],[Std Adj Read]]="N/A"),"N/A",IF(Table1[[#This Row],[DUT Adj Read]]="N/A",IF(Table1[[#This Row],[Std Adj Read]]&lt;Table1[[#This Row],[High Tol]],"Pass","Fail"),IF(Table1[[#This Row],[DUT Adj Read]]&lt;Table1[[#This Row],[High Tol]],"Pass","Fail")))</f>
        <v>Fail</v>
      </c>
      <c r="AF1680" s="1" t="str">
        <f>IF(AND(Table1[[#This Row],[Spec Type2]]="N/A",Table1[[#This Row],[DUT Adj Read]]="N/A",Table1[[#This Row],[Std Adj Read]]="N/A"),"N/A",IF(Table1[[#This Row],[DUT Adj Read]]="N/A",IF(Table1[[#This Row],[Std Adj Read]]&gt;=Table1[[#This Row],[Low Tol]],"Pass","Fail"),IF(Table1[[#This Row],[DUT Adj Read]]&gt;=Table1[[#This Row],[Low Tol]],"Pass","Fail")))</f>
        <v>Pass</v>
      </c>
      <c r="AG1680" s="1" t="str">
        <f>IF(AND(Table1[[#This Row],[Spec Type2]]="N/A",Table1[[#This Row],[DUT Adj Read]]="N/A",Table1[[#This Row],[Std Adj Read]]="N/A"),"N/A",IF(Table1[[#This Row],[DUT Adj Read]]="N/A",IF(Table1[[#This Row],[Std Adj Read]]&lt;=Table1[[#This Row],[High Tol]],"Pass","Fail"),IF(Table1[[#This Row],[DUT Adj Read]]&lt;=Table1[[#This Row],[High Tol]],"Pass","Fail")))</f>
        <v>Fail</v>
      </c>
      <c r="AH16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0" s="1" t="b">
        <v>0</v>
      </c>
      <c r="AN1680" s="1" t="b">
        <v>0</v>
      </c>
      <c r="AO1680" s="1" t="b">
        <v>0</v>
      </c>
    </row>
    <row r="1681" spans="1:41" x14ac:dyDescent="0.25">
      <c r="A1681" s="10"/>
      <c r="B1681" s="10"/>
      <c r="C1681" s="10"/>
      <c r="D1681" s="10"/>
      <c r="E1681" s="10"/>
      <c r="F1681" s="10"/>
      <c r="G1681" s="10"/>
      <c r="H1681" s="10"/>
      <c r="I1681" s="1" t="str">
        <f t="shared" si="78"/>
        <v/>
      </c>
      <c r="J1681" s="1" t="s">
        <v>35</v>
      </c>
      <c r="K1681" s="1" t="str">
        <f t="shared" si="79"/>
        <v/>
      </c>
      <c r="L1681" s="1" t="str">
        <f t="shared" si="80"/>
        <v/>
      </c>
      <c r="M1681" s="1">
        <f>IF(OR(Table1[[#This Row],[Std Nom]]="",Table1[[#This Row],[Std Read]]=""),0,Table1[[#This Row],[Std Nom]]-Table1[[#This Row],[Std Read]])</f>
        <v>0</v>
      </c>
      <c r="N1681" s="1">
        <f>IF(Calculations!$F$5="ACCREDITED 17025 WITH UNCERTAINTIES",$N$10,0)</f>
        <v>0</v>
      </c>
      <c r="Q1681" s="1">
        <f>Table1[[#This Row],[High Tol]]-Table1[[#This Row],[Low Tol]]</f>
        <v>0</v>
      </c>
      <c r="R1681" s="1">
        <f>2*Table1[[#This Row],[Std Error]]</f>
        <v>0</v>
      </c>
      <c r="S1681" s="1" t="str">
        <f>IF(Table1[[#This Row],[High Tol]]="","N/A",IFERROR(ABS(Table1[[#This Row],[Tol Span]]/Table1[[#This Row],[Error Span]]),"N/A"))</f>
        <v>N/A</v>
      </c>
      <c r="T1681" s="1" t="str">
        <f>IF(OR(Table1[[#This Row],[Low Tol]]="",Table1[[#This Row],[High Tol]]=""),"Needs Analysis",IF(Table1[[#This Row],[Ratio]]&gt;=4,"Not Significant",IF(Table1[[#This Row],[Ratio]]&gt;=2,"Semi-Significant","Significant")))</f>
        <v>Needs Analysis</v>
      </c>
      <c r="W1681" s="1">
        <f>IF(Table1[[#This Row],[Cal Type]]&lt;&gt;"ACCREDITED 17025 WITH UNCERTAINTIES",0,"")</f>
        <v>0</v>
      </c>
      <c r="X1681" s="1" t="str">
        <f>IF(Table1[[#This Row],[DUT Read]]="","N/A",Table1[[#This Row],[Std Error]]+Table1[[#This Row],[DUT Read]]+Table1[[#This Row],[DUT Ucty]])</f>
        <v>N/A</v>
      </c>
      <c r="Y1681" s="1" t="str">
        <f>IF(Table1[[#This Row],[Std Read]]="","N/A",Table1[[#This Row],[Std Read]]+Table1[[#This Row],[Std Ucty]])</f>
        <v>N/A</v>
      </c>
      <c r="Z16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1" s="1" t="str">
        <f>IF(Table1[[#This Row],[Spec Type]]="","N/A",Table1[[#This Row],[Spec Type]])</f>
        <v>±</v>
      </c>
      <c r="AC1681" s="1" t="str">
        <f>IF(Table1[[#This Row],[Spec Type2]]="N/A","N/A",IF(AND(Table1[[#This Row],[DUT Adj Read]]&gt;=Table1[[#This Row],[Low Tol]],Table1[[#This Row],[DUT Adj Read]]&lt;=Table1[[#This Row],[High Tol]]),"Pass","Fail"))</f>
        <v>Fail</v>
      </c>
      <c r="AD1681" s="1" t="str">
        <f>IF(AND(Table1[[#This Row],[Spec Type2]]="N/A",Table1[[#This Row],[DUT Adj Read]]="N/A",Table1[[#This Row],[Std Adj Read]]="N/A"),"N/A",IF(Table1[[#This Row],[DUT Adj Read]]="N/A",IF(Table1[[#This Row],[Std Adj Read]]&gt;Table1[[#This Row],[Low Tol]],"Pass","Fail"),IF(Table1[[#This Row],[DUT Adj Read]]&gt;Table1[[#This Row],[Low Tol]],"Pass","Fail")))</f>
        <v>Pass</v>
      </c>
      <c r="AE1681" s="1" t="str">
        <f>IF(AND(Table1[[#This Row],[Spec Type2]]="N/A",Table1[[#This Row],[DUT Adj Read]]="N/A",Table1[[#This Row],[Std Adj Read]]="N/A"),"N/A",IF(Table1[[#This Row],[DUT Adj Read]]="N/A",IF(Table1[[#This Row],[Std Adj Read]]&lt;Table1[[#This Row],[High Tol]],"Pass","Fail"),IF(Table1[[#This Row],[DUT Adj Read]]&lt;Table1[[#This Row],[High Tol]],"Pass","Fail")))</f>
        <v>Fail</v>
      </c>
      <c r="AF1681" s="1" t="str">
        <f>IF(AND(Table1[[#This Row],[Spec Type2]]="N/A",Table1[[#This Row],[DUT Adj Read]]="N/A",Table1[[#This Row],[Std Adj Read]]="N/A"),"N/A",IF(Table1[[#This Row],[DUT Adj Read]]="N/A",IF(Table1[[#This Row],[Std Adj Read]]&gt;=Table1[[#This Row],[Low Tol]],"Pass","Fail"),IF(Table1[[#This Row],[DUT Adj Read]]&gt;=Table1[[#This Row],[Low Tol]],"Pass","Fail")))</f>
        <v>Pass</v>
      </c>
      <c r="AG1681" s="1" t="str">
        <f>IF(AND(Table1[[#This Row],[Spec Type2]]="N/A",Table1[[#This Row],[DUT Adj Read]]="N/A",Table1[[#This Row],[Std Adj Read]]="N/A"),"N/A",IF(Table1[[#This Row],[DUT Adj Read]]="N/A",IF(Table1[[#This Row],[Std Adj Read]]&lt;=Table1[[#This Row],[High Tol]],"Pass","Fail"),IF(Table1[[#This Row],[DUT Adj Read]]&lt;=Table1[[#This Row],[High Tol]],"Pass","Fail")))</f>
        <v>Fail</v>
      </c>
      <c r="AH16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1" s="1" t="b">
        <v>0</v>
      </c>
      <c r="AN1681" s="1" t="b">
        <v>0</v>
      </c>
      <c r="AO1681" s="1" t="b">
        <v>0</v>
      </c>
    </row>
    <row r="1682" spans="1:41" x14ac:dyDescent="0.25">
      <c r="A1682" s="10"/>
      <c r="B1682" s="10"/>
      <c r="C1682" s="10"/>
      <c r="D1682" s="10"/>
      <c r="E1682" s="10"/>
      <c r="F1682" s="10"/>
      <c r="G1682" s="10"/>
      <c r="H1682" s="10"/>
      <c r="I1682" s="1" t="str">
        <f t="shared" si="78"/>
        <v/>
      </c>
      <c r="J1682" s="1" t="s">
        <v>35</v>
      </c>
      <c r="K1682" s="1" t="str">
        <f t="shared" si="79"/>
        <v/>
      </c>
      <c r="L1682" s="1" t="str">
        <f t="shared" si="80"/>
        <v/>
      </c>
      <c r="M1682" s="1">
        <f>IF(OR(Table1[[#This Row],[Std Nom]]="",Table1[[#This Row],[Std Read]]=""),0,Table1[[#This Row],[Std Nom]]-Table1[[#This Row],[Std Read]])</f>
        <v>0</v>
      </c>
      <c r="N1682" s="1">
        <f>IF(Calculations!$F$5="ACCREDITED 17025 WITH UNCERTAINTIES",$N$10,0)</f>
        <v>0</v>
      </c>
      <c r="Q1682" s="1">
        <f>Table1[[#This Row],[High Tol]]-Table1[[#This Row],[Low Tol]]</f>
        <v>0</v>
      </c>
      <c r="R1682" s="1">
        <f>2*Table1[[#This Row],[Std Error]]</f>
        <v>0</v>
      </c>
      <c r="S1682" s="1" t="str">
        <f>IF(Table1[[#This Row],[High Tol]]="","N/A",IFERROR(ABS(Table1[[#This Row],[Tol Span]]/Table1[[#This Row],[Error Span]]),"N/A"))</f>
        <v>N/A</v>
      </c>
      <c r="T1682" s="1" t="str">
        <f>IF(OR(Table1[[#This Row],[Low Tol]]="",Table1[[#This Row],[High Tol]]=""),"Needs Analysis",IF(Table1[[#This Row],[Ratio]]&gt;=4,"Not Significant",IF(Table1[[#This Row],[Ratio]]&gt;=2,"Semi-Significant","Significant")))</f>
        <v>Needs Analysis</v>
      </c>
      <c r="W1682" s="1">
        <f>IF(Table1[[#This Row],[Cal Type]]&lt;&gt;"ACCREDITED 17025 WITH UNCERTAINTIES",0,"")</f>
        <v>0</v>
      </c>
      <c r="X1682" s="1" t="str">
        <f>IF(Table1[[#This Row],[DUT Read]]="","N/A",Table1[[#This Row],[Std Error]]+Table1[[#This Row],[DUT Read]]+Table1[[#This Row],[DUT Ucty]])</f>
        <v>N/A</v>
      </c>
      <c r="Y1682" s="1" t="str">
        <f>IF(Table1[[#This Row],[Std Read]]="","N/A",Table1[[#This Row],[Std Read]]+Table1[[#This Row],[Std Ucty]])</f>
        <v>N/A</v>
      </c>
      <c r="Z16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2" s="1" t="str">
        <f>IF(Table1[[#This Row],[Spec Type]]="","N/A",Table1[[#This Row],[Spec Type]])</f>
        <v>±</v>
      </c>
      <c r="AC1682" s="1" t="str">
        <f>IF(Table1[[#This Row],[Spec Type2]]="N/A","N/A",IF(AND(Table1[[#This Row],[DUT Adj Read]]&gt;=Table1[[#This Row],[Low Tol]],Table1[[#This Row],[DUT Adj Read]]&lt;=Table1[[#This Row],[High Tol]]),"Pass","Fail"))</f>
        <v>Fail</v>
      </c>
      <c r="AD1682" s="1" t="str">
        <f>IF(AND(Table1[[#This Row],[Spec Type2]]="N/A",Table1[[#This Row],[DUT Adj Read]]="N/A",Table1[[#This Row],[Std Adj Read]]="N/A"),"N/A",IF(Table1[[#This Row],[DUT Adj Read]]="N/A",IF(Table1[[#This Row],[Std Adj Read]]&gt;Table1[[#This Row],[Low Tol]],"Pass","Fail"),IF(Table1[[#This Row],[DUT Adj Read]]&gt;Table1[[#This Row],[Low Tol]],"Pass","Fail")))</f>
        <v>Pass</v>
      </c>
      <c r="AE1682" s="1" t="str">
        <f>IF(AND(Table1[[#This Row],[Spec Type2]]="N/A",Table1[[#This Row],[DUT Adj Read]]="N/A",Table1[[#This Row],[Std Adj Read]]="N/A"),"N/A",IF(Table1[[#This Row],[DUT Adj Read]]="N/A",IF(Table1[[#This Row],[Std Adj Read]]&lt;Table1[[#This Row],[High Tol]],"Pass","Fail"),IF(Table1[[#This Row],[DUT Adj Read]]&lt;Table1[[#This Row],[High Tol]],"Pass","Fail")))</f>
        <v>Fail</v>
      </c>
      <c r="AF1682" s="1" t="str">
        <f>IF(AND(Table1[[#This Row],[Spec Type2]]="N/A",Table1[[#This Row],[DUT Adj Read]]="N/A",Table1[[#This Row],[Std Adj Read]]="N/A"),"N/A",IF(Table1[[#This Row],[DUT Adj Read]]="N/A",IF(Table1[[#This Row],[Std Adj Read]]&gt;=Table1[[#This Row],[Low Tol]],"Pass","Fail"),IF(Table1[[#This Row],[DUT Adj Read]]&gt;=Table1[[#This Row],[Low Tol]],"Pass","Fail")))</f>
        <v>Pass</v>
      </c>
      <c r="AG1682" s="1" t="str">
        <f>IF(AND(Table1[[#This Row],[Spec Type2]]="N/A",Table1[[#This Row],[DUT Adj Read]]="N/A",Table1[[#This Row],[Std Adj Read]]="N/A"),"N/A",IF(Table1[[#This Row],[DUT Adj Read]]="N/A",IF(Table1[[#This Row],[Std Adj Read]]&lt;=Table1[[#This Row],[High Tol]],"Pass","Fail"),IF(Table1[[#This Row],[DUT Adj Read]]&lt;=Table1[[#This Row],[High Tol]],"Pass","Fail")))</f>
        <v>Fail</v>
      </c>
      <c r="AH16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2" s="1" t="b">
        <v>0</v>
      </c>
      <c r="AN1682" s="1" t="b">
        <v>0</v>
      </c>
      <c r="AO1682" s="1" t="b">
        <v>0</v>
      </c>
    </row>
    <row r="1683" spans="1:41" x14ac:dyDescent="0.25">
      <c r="A1683" s="10"/>
      <c r="B1683" s="10"/>
      <c r="C1683" s="10"/>
      <c r="D1683" s="10"/>
      <c r="E1683" s="10"/>
      <c r="F1683" s="10"/>
      <c r="G1683" s="10"/>
      <c r="H1683" s="10"/>
      <c r="I1683" s="1" t="str">
        <f t="shared" si="78"/>
        <v/>
      </c>
      <c r="J1683" s="1" t="s">
        <v>35</v>
      </c>
      <c r="K1683" s="1" t="str">
        <f t="shared" si="79"/>
        <v/>
      </c>
      <c r="L1683" s="1" t="str">
        <f t="shared" si="80"/>
        <v/>
      </c>
      <c r="M1683" s="1">
        <f>IF(OR(Table1[[#This Row],[Std Nom]]="",Table1[[#This Row],[Std Read]]=""),0,Table1[[#This Row],[Std Nom]]-Table1[[#This Row],[Std Read]])</f>
        <v>0</v>
      </c>
      <c r="N1683" s="1">
        <f>IF(Calculations!$F$5="ACCREDITED 17025 WITH UNCERTAINTIES",$N$10,0)</f>
        <v>0</v>
      </c>
      <c r="Q1683" s="1">
        <f>Table1[[#This Row],[High Tol]]-Table1[[#This Row],[Low Tol]]</f>
        <v>0</v>
      </c>
      <c r="R1683" s="1">
        <f>2*Table1[[#This Row],[Std Error]]</f>
        <v>0</v>
      </c>
      <c r="S1683" s="1" t="str">
        <f>IF(Table1[[#This Row],[High Tol]]="","N/A",IFERROR(ABS(Table1[[#This Row],[Tol Span]]/Table1[[#This Row],[Error Span]]),"N/A"))</f>
        <v>N/A</v>
      </c>
      <c r="T1683" s="1" t="str">
        <f>IF(OR(Table1[[#This Row],[Low Tol]]="",Table1[[#This Row],[High Tol]]=""),"Needs Analysis",IF(Table1[[#This Row],[Ratio]]&gt;=4,"Not Significant",IF(Table1[[#This Row],[Ratio]]&gt;=2,"Semi-Significant","Significant")))</f>
        <v>Needs Analysis</v>
      </c>
      <c r="W1683" s="1">
        <f>IF(Table1[[#This Row],[Cal Type]]&lt;&gt;"ACCREDITED 17025 WITH UNCERTAINTIES",0,"")</f>
        <v>0</v>
      </c>
      <c r="X1683" s="1" t="str">
        <f>IF(Table1[[#This Row],[DUT Read]]="","N/A",Table1[[#This Row],[Std Error]]+Table1[[#This Row],[DUT Read]]+Table1[[#This Row],[DUT Ucty]])</f>
        <v>N/A</v>
      </c>
      <c r="Y1683" s="1" t="str">
        <f>IF(Table1[[#This Row],[Std Read]]="","N/A",Table1[[#This Row],[Std Read]]+Table1[[#This Row],[Std Ucty]])</f>
        <v>N/A</v>
      </c>
      <c r="Z16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3" s="1" t="str">
        <f>IF(Table1[[#This Row],[Spec Type]]="","N/A",Table1[[#This Row],[Spec Type]])</f>
        <v>±</v>
      </c>
      <c r="AC1683" s="1" t="str">
        <f>IF(Table1[[#This Row],[Spec Type2]]="N/A","N/A",IF(AND(Table1[[#This Row],[DUT Adj Read]]&gt;=Table1[[#This Row],[Low Tol]],Table1[[#This Row],[DUT Adj Read]]&lt;=Table1[[#This Row],[High Tol]]),"Pass","Fail"))</f>
        <v>Fail</v>
      </c>
      <c r="AD1683" s="1" t="str">
        <f>IF(AND(Table1[[#This Row],[Spec Type2]]="N/A",Table1[[#This Row],[DUT Adj Read]]="N/A",Table1[[#This Row],[Std Adj Read]]="N/A"),"N/A",IF(Table1[[#This Row],[DUT Adj Read]]="N/A",IF(Table1[[#This Row],[Std Adj Read]]&gt;Table1[[#This Row],[Low Tol]],"Pass","Fail"),IF(Table1[[#This Row],[DUT Adj Read]]&gt;Table1[[#This Row],[Low Tol]],"Pass","Fail")))</f>
        <v>Pass</v>
      </c>
      <c r="AE1683" s="1" t="str">
        <f>IF(AND(Table1[[#This Row],[Spec Type2]]="N/A",Table1[[#This Row],[DUT Adj Read]]="N/A",Table1[[#This Row],[Std Adj Read]]="N/A"),"N/A",IF(Table1[[#This Row],[DUT Adj Read]]="N/A",IF(Table1[[#This Row],[Std Adj Read]]&lt;Table1[[#This Row],[High Tol]],"Pass","Fail"),IF(Table1[[#This Row],[DUT Adj Read]]&lt;Table1[[#This Row],[High Tol]],"Pass","Fail")))</f>
        <v>Fail</v>
      </c>
      <c r="AF1683" s="1" t="str">
        <f>IF(AND(Table1[[#This Row],[Spec Type2]]="N/A",Table1[[#This Row],[DUT Adj Read]]="N/A",Table1[[#This Row],[Std Adj Read]]="N/A"),"N/A",IF(Table1[[#This Row],[DUT Adj Read]]="N/A",IF(Table1[[#This Row],[Std Adj Read]]&gt;=Table1[[#This Row],[Low Tol]],"Pass","Fail"),IF(Table1[[#This Row],[DUT Adj Read]]&gt;=Table1[[#This Row],[Low Tol]],"Pass","Fail")))</f>
        <v>Pass</v>
      </c>
      <c r="AG1683" s="1" t="str">
        <f>IF(AND(Table1[[#This Row],[Spec Type2]]="N/A",Table1[[#This Row],[DUT Adj Read]]="N/A",Table1[[#This Row],[Std Adj Read]]="N/A"),"N/A",IF(Table1[[#This Row],[DUT Adj Read]]="N/A",IF(Table1[[#This Row],[Std Adj Read]]&lt;=Table1[[#This Row],[High Tol]],"Pass","Fail"),IF(Table1[[#This Row],[DUT Adj Read]]&lt;=Table1[[#This Row],[High Tol]],"Pass","Fail")))</f>
        <v>Fail</v>
      </c>
      <c r="AH16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3" s="1" t="b">
        <v>0</v>
      </c>
      <c r="AN1683" s="1" t="b">
        <v>0</v>
      </c>
      <c r="AO1683" s="1" t="b">
        <v>0</v>
      </c>
    </row>
    <row r="1684" spans="1:41" x14ac:dyDescent="0.25">
      <c r="A1684" s="10"/>
      <c r="B1684" s="10"/>
      <c r="C1684" s="10"/>
      <c r="D1684" s="10"/>
      <c r="E1684" s="10"/>
      <c r="F1684" s="10"/>
      <c r="G1684" s="10"/>
      <c r="H1684" s="10"/>
      <c r="I1684" s="1" t="str">
        <f t="shared" si="78"/>
        <v/>
      </c>
      <c r="J1684" s="1" t="s">
        <v>35</v>
      </c>
      <c r="K1684" s="1" t="str">
        <f t="shared" si="79"/>
        <v/>
      </c>
      <c r="L1684" s="1" t="str">
        <f t="shared" si="80"/>
        <v/>
      </c>
      <c r="M1684" s="1">
        <f>IF(OR(Table1[[#This Row],[Std Nom]]="",Table1[[#This Row],[Std Read]]=""),0,Table1[[#This Row],[Std Nom]]-Table1[[#This Row],[Std Read]])</f>
        <v>0</v>
      </c>
      <c r="N1684" s="1">
        <f>IF(Calculations!$F$5="ACCREDITED 17025 WITH UNCERTAINTIES",$N$10,0)</f>
        <v>0</v>
      </c>
      <c r="Q1684" s="1">
        <f>Table1[[#This Row],[High Tol]]-Table1[[#This Row],[Low Tol]]</f>
        <v>0</v>
      </c>
      <c r="R1684" s="1">
        <f>2*Table1[[#This Row],[Std Error]]</f>
        <v>0</v>
      </c>
      <c r="S1684" s="1" t="str">
        <f>IF(Table1[[#This Row],[High Tol]]="","N/A",IFERROR(ABS(Table1[[#This Row],[Tol Span]]/Table1[[#This Row],[Error Span]]),"N/A"))</f>
        <v>N/A</v>
      </c>
      <c r="T1684" s="1" t="str">
        <f>IF(OR(Table1[[#This Row],[Low Tol]]="",Table1[[#This Row],[High Tol]]=""),"Needs Analysis",IF(Table1[[#This Row],[Ratio]]&gt;=4,"Not Significant",IF(Table1[[#This Row],[Ratio]]&gt;=2,"Semi-Significant","Significant")))</f>
        <v>Needs Analysis</v>
      </c>
      <c r="W1684" s="1">
        <f>IF(Table1[[#This Row],[Cal Type]]&lt;&gt;"ACCREDITED 17025 WITH UNCERTAINTIES",0,"")</f>
        <v>0</v>
      </c>
      <c r="X1684" s="1" t="str">
        <f>IF(Table1[[#This Row],[DUT Read]]="","N/A",Table1[[#This Row],[Std Error]]+Table1[[#This Row],[DUT Read]]+Table1[[#This Row],[DUT Ucty]])</f>
        <v>N/A</v>
      </c>
      <c r="Y1684" s="1" t="str">
        <f>IF(Table1[[#This Row],[Std Read]]="","N/A",Table1[[#This Row],[Std Read]]+Table1[[#This Row],[Std Ucty]])</f>
        <v>N/A</v>
      </c>
      <c r="Z16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4" s="1" t="str">
        <f>IF(Table1[[#This Row],[Spec Type]]="","N/A",Table1[[#This Row],[Spec Type]])</f>
        <v>±</v>
      </c>
      <c r="AC1684" s="1" t="str">
        <f>IF(Table1[[#This Row],[Spec Type2]]="N/A","N/A",IF(AND(Table1[[#This Row],[DUT Adj Read]]&gt;=Table1[[#This Row],[Low Tol]],Table1[[#This Row],[DUT Adj Read]]&lt;=Table1[[#This Row],[High Tol]]),"Pass","Fail"))</f>
        <v>Fail</v>
      </c>
      <c r="AD1684" s="1" t="str">
        <f>IF(AND(Table1[[#This Row],[Spec Type2]]="N/A",Table1[[#This Row],[DUT Adj Read]]="N/A",Table1[[#This Row],[Std Adj Read]]="N/A"),"N/A",IF(Table1[[#This Row],[DUT Adj Read]]="N/A",IF(Table1[[#This Row],[Std Adj Read]]&gt;Table1[[#This Row],[Low Tol]],"Pass","Fail"),IF(Table1[[#This Row],[DUT Adj Read]]&gt;Table1[[#This Row],[Low Tol]],"Pass","Fail")))</f>
        <v>Pass</v>
      </c>
      <c r="AE1684" s="1" t="str">
        <f>IF(AND(Table1[[#This Row],[Spec Type2]]="N/A",Table1[[#This Row],[DUT Adj Read]]="N/A",Table1[[#This Row],[Std Adj Read]]="N/A"),"N/A",IF(Table1[[#This Row],[DUT Adj Read]]="N/A",IF(Table1[[#This Row],[Std Adj Read]]&lt;Table1[[#This Row],[High Tol]],"Pass","Fail"),IF(Table1[[#This Row],[DUT Adj Read]]&lt;Table1[[#This Row],[High Tol]],"Pass","Fail")))</f>
        <v>Fail</v>
      </c>
      <c r="AF1684" s="1" t="str">
        <f>IF(AND(Table1[[#This Row],[Spec Type2]]="N/A",Table1[[#This Row],[DUT Adj Read]]="N/A",Table1[[#This Row],[Std Adj Read]]="N/A"),"N/A",IF(Table1[[#This Row],[DUT Adj Read]]="N/A",IF(Table1[[#This Row],[Std Adj Read]]&gt;=Table1[[#This Row],[Low Tol]],"Pass","Fail"),IF(Table1[[#This Row],[DUT Adj Read]]&gt;=Table1[[#This Row],[Low Tol]],"Pass","Fail")))</f>
        <v>Pass</v>
      </c>
      <c r="AG1684" s="1" t="str">
        <f>IF(AND(Table1[[#This Row],[Spec Type2]]="N/A",Table1[[#This Row],[DUT Adj Read]]="N/A",Table1[[#This Row],[Std Adj Read]]="N/A"),"N/A",IF(Table1[[#This Row],[DUT Adj Read]]="N/A",IF(Table1[[#This Row],[Std Adj Read]]&lt;=Table1[[#This Row],[High Tol]],"Pass","Fail"),IF(Table1[[#This Row],[DUT Adj Read]]&lt;=Table1[[#This Row],[High Tol]],"Pass","Fail")))</f>
        <v>Fail</v>
      </c>
      <c r="AH16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4" s="1" t="b">
        <v>0</v>
      </c>
      <c r="AN1684" s="1" t="b">
        <v>0</v>
      </c>
      <c r="AO1684" s="1" t="b">
        <v>0</v>
      </c>
    </row>
    <row r="1685" spans="1:41" x14ac:dyDescent="0.25">
      <c r="A1685" s="10"/>
      <c r="B1685" s="10"/>
      <c r="C1685" s="10"/>
      <c r="D1685" s="10"/>
      <c r="E1685" s="10"/>
      <c r="F1685" s="10"/>
      <c r="G1685" s="10"/>
      <c r="H1685" s="10"/>
      <c r="I1685" s="1" t="str">
        <f t="shared" si="78"/>
        <v/>
      </c>
      <c r="J1685" s="1" t="s">
        <v>35</v>
      </c>
      <c r="K1685" s="1" t="str">
        <f t="shared" si="79"/>
        <v/>
      </c>
      <c r="L1685" s="1" t="str">
        <f t="shared" si="80"/>
        <v/>
      </c>
      <c r="M1685" s="1">
        <f>IF(OR(Table1[[#This Row],[Std Nom]]="",Table1[[#This Row],[Std Read]]=""),0,Table1[[#This Row],[Std Nom]]-Table1[[#This Row],[Std Read]])</f>
        <v>0</v>
      </c>
      <c r="N1685" s="1">
        <f>IF(Calculations!$F$5="ACCREDITED 17025 WITH UNCERTAINTIES",$N$10,0)</f>
        <v>0</v>
      </c>
      <c r="Q1685" s="1">
        <f>Table1[[#This Row],[High Tol]]-Table1[[#This Row],[Low Tol]]</f>
        <v>0</v>
      </c>
      <c r="R1685" s="1">
        <f>2*Table1[[#This Row],[Std Error]]</f>
        <v>0</v>
      </c>
      <c r="S1685" s="1" t="str">
        <f>IF(Table1[[#This Row],[High Tol]]="","N/A",IFERROR(ABS(Table1[[#This Row],[Tol Span]]/Table1[[#This Row],[Error Span]]),"N/A"))</f>
        <v>N/A</v>
      </c>
      <c r="T1685" s="1" t="str">
        <f>IF(OR(Table1[[#This Row],[Low Tol]]="",Table1[[#This Row],[High Tol]]=""),"Needs Analysis",IF(Table1[[#This Row],[Ratio]]&gt;=4,"Not Significant",IF(Table1[[#This Row],[Ratio]]&gt;=2,"Semi-Significant","Significant")))</f>
        <v>Needs Analysis</v>
      </c>
      <c r="W1685" s="1">
        <f>IF(Table1[[#This Row],[Cal Type]]&lt;&gt;"ACCREDITED 17025 WITH UNCERTAINTIES",0,"")</f>
        <v>0</v>
      </c>
      <c r="X1685" s="1" t="str">
        <f>IF(Table1[[#This Row],[DUT Read]]="","N/A",Table1[[#This Row],[Std Error]]+Table1[[#This Row],[DUT Read]]+Table1[[#This Row],[DUT Ucty]])</f>
        <v>N/A</v>
      </c>
      <c r="Y1685" s="1" t="str">
        <f>IF(Table1[[#This Row],[Std Read]]="","N/A",Table1[[#This Row],[Std Read]]+Table1[[#This Row],[Std Ucty]])</f>
        <v>N/A</v>
      </c>
      <c r="Z16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5" s="1" t="str">
        <f>IF(Table1[[#This Row],[Spec Type]]="","N/A",Table1[[#This Row],[Spec Type]])</f>
        <v>±</v>
      </c>
      <c r="AC1685" s="1" t="str">
        <f>IF(Table1[[#This Row],[Spec Type2]]="N/A","N/A",IF(AND(Table1[[#This Row],[DUT Adj Read]]&gt;=Table1[[#This Row],[Low Tol]],Table1[[#This Row],[DUT Adj Read]]&lt;=Table1[[#This Row],[High Tol]]),"Pass","Fail"))</f>
        <v>Fail</v>
      </c>
      <c r="AD1685" s="1" t="str">
        <f>IF(AND(Table1[[#This Row],[Spec Type2]]="N/A",Table1[[#This Row],[DUT Adj Read]]="N/A",Table1[[#This Row],[Std Adj Read]]="N/A"),"N/A",IF(Table1[[#This Row],[DUT Adj Read]]="N/A",IF(Table1[[#This Row],[Std Adj Read]]&gt;Table1[[#This Row],[Low Tol]],"Pass","Fail"),IF(Table1[[#This Row],[DUT Adj Read]]&gt;Table1[[#This Row],[Low Tol]],"Pass","Fail")))</f>
        <v>Pass</v>
      </c>
      <c r="AE1685" s="1" t="str">
        <f>IF(AND(Table1[[#This Row],[Spec Type2]]="N/A",Table1[[#This Row],[DUT Adj Read]]="N/A",Table1[[#This Row],[Std Adj Read]]="N/A"),"N/A",IF(Table1[[#This Row],[DUT Adj Read]]="N/A",IF(Table1[[#This Row],[Std Adj Read]]&lt;Table1[[#This Row],[High Tol]],"Pass","Fail"),IF(Table1[[#This Row],[DUT Adj Read]]&lt;Table1[[#This Row],[High Tol]],"Pass","Fail")))</f>
        <v>Fail</v>
      </c>
      <c r="AF1685" s="1" t="str">
        <f>IF(AND(Table1[[#This Row],[Spec Type2]]="N/A",Table1[[#This Row],[DUT Adj Read]]="N/A",Table1[[#This Row],[Std Adj Read]]="N/A"),"N/A",IF(Table1[[#This Row],[DUT Adj Read]]="N/A",IF(Table1[[#This Row],[Std Adj Read]]&gt;=Table1[[#This Row],[Low Tol]],"Pass","Fail"),IF(Table1[[#This Row],[DUT Adj Read]]&gt;=Table1[[#This Row],[Low Tol]],"Pass","Fail")))</f>
        <v>Pass</v>
      </c>
      <c r="AG1685" s="1" t="str">
        <f>IF(AND(Table1[[#This Row],[Spec Type2]]="N/A",Table1[[#This Row],[DUT Adj Read]]="N/A",Table1[[#This Row],[Std Adj Read]]="N/A"),"N/A",IF(Table1[[#This Row],[DUT Adj Read]]="N/A",IF(Table1[[#This Row],[Std Adj Read]]&lt;=Table1[[#This Row],[High Tol]],"Pass","Fail"),IF(Table1[[#This Row],[DUT Adj Read]]&lt;=Table1[[#This Row],[High Tol]],"Pass","Fail")))</f>
        <v>Fail</v>
      </c>
      <c r="AH16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5" s="1" t="b">
        <v>0</v>
      </c>
      <c r="AN1685" s="1" t="b">
        <v>0</v>
      </c>
      <c r="AO1685" s="1" t="b">
        <v>0</v>
      </c>
    </row>
    <row r="1686" spans="1:41" x14ac:dyDescent="0.25">
      <c r="A1686" s="10"/>
      <c r="B1686" s="10"/>
      <c r="C1686" s="10"/>
      <c r="D1686" s="10"/>
      <c r="E1686" s="10"/>
      <c r="F1686" s="10"/>
      <c r="G1686" s="10"/>
      <c r="H1686" s="10"/>
      <c r="I1686" s="1" t="str">
        <f t="shared" si="78"/>
        <v/>
      </c>
      <c r="J1686" s="1" t="s">
        <v>35</v>
      </c>
      <c r="K1686" s="1" t="str">
        <f t="shared" si="79"/>
        <v/>
      </c>
      <c r="L1686" s="1" t="str">
        <f t="shared" si="80"/>
        <v/>
      </c>
      <c r="M1686" s="1">
        <f>IF(OR(Table1[[#This Row],[Std Nom]]="",Table1[[#This Row],[Std Read]]=""),0,Table1[[#This Row],[Std Nom]]-Table1[[#This Row],[Std Read]])</f>
        <v>0</v>
      </c>
      <c r="N1686" s="1">
        <f>IF(Calculations!$F$5="ACCREDITED 17025 WITH UNCERTAINTIES",$N$10,0)</f>
        <v>0</v>
      </c>
      <c r="Q1686" s="1">
        <f>Table1[[#This Row],[High Tol]]-Table1[[#This Row],[Low Tol]]</f>
        <v>0</v>
      </c>
      <c r="R1686" s="1">
        <f>2*Table1[[#This Row],[Std Error]]</f>
        <v>0</v>
      </c>
      <c r="S1686" s="1" t="str">
        <f>IF(Table1[[#This Row],[High Tol]]="","N/A",IFERROR(ABS(Table1[[#This Row],[Tol Span]]/Table1[[#This Row],[Error Span]]),"N/A"))</f>
        <v>N/A</v>
      </c>
      <c r="T1686" s="1" t="str">
        <f>IF(OR(Table1[[#This Row],[Low Tol]]="",Table1[[#This Row],[High Tol]]=""),"Needs Analysis",IF(Table1[[#This Row],[Ratio]]&gt;=4,"Not Significant",IF(Table1[[#This Row],[Ratio]]&gt;=2,"Semi-Significant","Significant")))</f>
        <v>Needs Analysis</v>
      </c>
      <c r="W1686" s="1">
        <f>IF(Table1[[#This Row],[Cal Type]]&lt;&gt;"ACCREDITED 17025 WITH UNCERTAINTIES",0,"")</f>
        <v>0</v>
      </c>
      <c r="X1686" s="1" t="str">
        <f>IF(Table1[[#This Row],[DUT Read]]="","N/A",Table1[[#This Row],[Std Error]]+Table1[[#This Row],[DUT Read]]+Table1[[#This Row],[DUT Ucty]])</f>
        <v>N/A</v>
      </c>
      <c r="Y1686" s="1" t="str">
        <f>IF(Table1[[#This Row],[Std Read]]="","N/A",Table1[[#This Row],[Std Read]]+Table1[[#This Row],[Std Ucty]])</f>
        <v>N/A</v>
      </c>
      <c r="Z16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6" s="1" t="str">
        <f>IF(Table1[[#This Row],[Spec Type]]="","N/A",Table1[[#This Row],[Spec Type]])</f>
        <v>±</v>
      </c>
      <c r="AC1686" s="1" t="str">
        <f>IF(Table1[[#This Row],[Spec Type2]]="N/A","N/A",IF(AND(Table1[[#This Row],[DUT Adj Read]]&gt;=Table1[[#This Row],[Low Tol]],Table1[[#This Row],[DUT Adj Read]]&lt;=Table1[[#This Row],[High Tol]]),"Pass","Fail"))</f>
        <v>Fail</v>
      </c>
      <c r="AD1686" s="1" t="str">
        <f>IF(AND(Table1[[#This Row],[Spec Type2]]="N/A",Table1[[#This Row],[DUT Adj Read]]="N/A",Table1[[#This Row],[Std Adj Read]]="N/A"),"N/A",IF(Table1[[#This Row],[DUT Adj Read]]="N/A",IF(Table1[[#This Row],[Std Adj Read]]&gt;Table1[[#This Row],[Low Tol]],"Pass","Fail"),IF(Table1[[#This Row],[DUT Adj Read]]&gt;Table1[[#This Row],[Low Tol]],"Pass","Fail")))</f>
        <v>Pass</v>
      </c>
      <c r="AE1686" s="1" t="str">
        <f>IF(AND(Table1[[#This Row],[Spec Type2]]="N/A",Table1[[#This Row],[DUT Adj Read]]="N/A",Table1[[#This Row],[Std Adj Read]]="N/A"),"N/A",IF(Table1[[#This Row],[DUT Adj Read]]="N/A",IF(Table1[[#This Row],[Std Adj Read]]&lt;Table1[[#This Row],[High Tol]],"Pass","Fail"),IF(Table1[[#This Row],[DUT Adj Read]]&lt;Table1[[#This Row],[High Tol]],"Pass","Fail")))</f>
        <v>Fail</v>
      </c>
      <c r="AF1686" s="1" t="str">
        <f>IF(AND(Table1[[#This Row],[Spec Type2]]="N/A",Table1[[#This Row],[DUT Adj Read]]="N/A",Table1[[#This Row],[Std Adj Read]]="N/A"),"N/A",IF(Table1[[#This Row],[DUT Adj Read]]="N/A",IF(Table1[[#This Row],[Std Adj Read]]&gt;=Table1[[#This Row],[Low Tol]],"Pass","Fail"),IF(Table1[[#This Row],[DUT Adj Read]]&gt;=Table1[[#This Row],[Low Tol]],"Pass","Fail")))</f>
        <v>Pass</v>
      </c>
      <c r="AG1686" s="1" t="str">
        <f>IF(AND(Table1[[#This Row],[Spec Type2]]="N/A",Table1[[#This Row],[DUT Adj Read]]="N/A",Table1[[#This Row],[Std Adj Read]]="N/A"),"N/A",IF(Table1[[#This Row],[DUT Adj Read]]="N/A",IF(Table1[[#This Row],[Std Adj Read]]&lt;=Table1[[#This Row],[High Tol]],"Pass","Fail"),IF(Table1[[#This Row],[DUT Adj Read]]&lt;=Table1[[#This Row],[High Tol]],"Pass","Fail")))</f>
        <v>Fail</v>
      </c>
      <c r="AH16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6" s="1" t="b">
        <v>0</v>
      </c>
      <c r="AN1686" s="1" t="b">
        <v>0</v>
      </c>
      <c r="AO1686" s="1" t="b">
        <v>0</v>
      </c>
    </row>
    <row r="1687" spans="1:41" x14ac:dyDescent="0.25">
      <c r="A1687" s="10"/>
      <c r="B1687" s="10"/>
      <c r="C1687" s="10"/>
      <c r="D1687" s="10"/>
      <c r="E1687" s="10"/>
      <c r="F1687" s="10"/>
      <c r="G1687" s="10"/>
      <c r="H1687" s="10"/>
      <c r="I1687" s="1" t="str">
        <f t="shared" si="78"/>
        <v/>
      </c>
      <c r="J1687" s="1" t="s">
        <v>35</v>
      </c>
      <c r="K1687" s="1" t="str">
        <f t="shared" si="79"/>
        <v/>
      </c>
      <c r="L1687" s="1" t="str">
        <f t="shared" si="80"/>
        <v/>
      </c>
      <c r="M1687" s="1">
        <f>IF(OR(Table1[[#This Row],[Std Nom]]="",Table1[[#This Row],[Std Read]]=""),0,Table1[[#This Row],[Std Nom]]-Table1[[#This Row],[Std Read]])</f>
        <v>0</v>
      </c>
      <c r="N1687" s="1">
        <f>IF(Calculations!$F$5="ACCREDITED 17025 WITH UNCERTAINTIES",$N$10,0)</f>
        <v>0</v>
      </c>
      <c r="Q1687" s="1">
        <f>Table1[[#This Row],[High Tol]]-Table1[[#This Row],[Low Tol]]</f>
        <v>0</v>
      </c>
      <c r="R1687" s="1">
        <f>2*Table1[[#This Row],[Std Error]]</f>
        <v>0</v>
      </c>
      <c r="S1687" s="1" t="str">
        <f>IF(Table1[[#This Row],[High Tol]]="","N/A",IFERROR(ABS(Table1[[#This Row],[Tol Span]]/Table1[[#This Row],[Error Span]]),"N/A"))</f>
        <v>N/A</v>
      </c>
      <c r="T1687" s="1" t="str">
        <f>IF(OR(Table1[[#This Row],[Low Tol]]="",Table1[[#This Row],[High Tol]]=""),"Needs Analysis",IF(Table1[[#This Row],[Ratio]]&gt;=4,"Not Significant",IF(Table1[[#This Row],[Ratio]]&gt;=2,"Semi-Significant","Significant")))</f>
        <v>Needs Analysis</v>
      </c>
      <c r="W1687" s="1">
        <f>IF(Table1[[#This Row],[Cal Type]]&lt;&gt;"ACCREDITED 17025 WITH UNCERTAINTIES",0,"")</f>
        <v>0</v>
      </c>
      <c r="X1687" s="1" t="str">
        <f>IF(Table1[[#This Row],[DUT Read]]="","N/A",Table1[[#This Row],[Std Error]]+Table1[[#This Row],[DUT Read]]+Table1[[#This Row],[DUT Ucty]])</f>
        <v>N/A</v>
      </c>
      <c r="Y1687" s="1" t="str">
        <f>IF(Table1[[#This Row],[Std Read]]="","N/A",Table1[[#This Row],[Std Read]]+Table1[[#This Row],[Std Ucty]])</f>
        <v>N/A</v>
      </c>
      <c r="Z16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7" s="1" t="str">
        <f>IF(Table1[[#This Row],[Spec Type]]="","N/A",Table1[[#This Row],[Spec Type]])</f>
        <v>±</v>
      </c>
      <c r="AC1687" s="1" t="str">
        <f>IF(Table1[[#This Row],[Spec Type2]]="N/A","N/A",IF(AND(Table1[[#This Row],[DUT Adj Read]]&gt;=Table1[[#This Row],[Low Tol]],Table1[[#This Row],[DUT Adj Read]]&lt;=Table1[[#This Row],[High Tol]]),"Pass","Fail"))</f>
        <v>Fail</v>
      </c>
      <c r="AD1687" s="1" t="str">
        <f>IF(AND(Table1[[#This Row],[Spec Type2]]="N/A",Table1[[#This Row],[DUT Adj Read]]="N/A",Table1[[#This Row],[Std Adj Read]]="N/A"),"N/A",IF(Table1[[#This Row],[DUT Adj Read]]="N/A",IF(Table1[[#This Row],[Std Adj Read]]&gt;Table1[[#This Row],[Low Tol]],"Pass","Fail"),IF(Table1[[#This Row],[DUT Adj Read]]&gt;Table1[[#This Row],[Low Tol]],"Pass","Fail")))</f>
        <v>Pass</v>
      </c>
      <c r="AE1687" s="1" t="str">
        <f>IF(AND(Table1[[#This Row],[Spec Type2]]="N/A",Table1[[#This Row],[DUT Adj Read]]="N/A",Table1[[#This Row],[Std Adj Read]]="N/A"),"N/A",IF(Table1[[#This Row],[DUT Adj Read]]="N/A",IF(Table1[[#This Row],[Std Adj Read]]&lt;Table1[[#This Row],[High Tol]],"Pass","Fail"),IF(Table1[[#This Row],[DUT Adj Read]]&lt;Table1[[#This Row],[High Tol]],"Pass","Fail")))</f>
        <v>Fail</v>
      </c>
      <c r="AF1687" s="1" t="str">
        <f>IF(AND(Table1[[#This Row],[Spec Type2]]="N/A",Table1[[#This Row],[DUT Adj Read]]="N/A",Table1[[#This Row],[Std Adj Read]]="N/A"),"N/A",IF(Table1[[#This Row],[DUT Adj Read]]="N/A",IF(Table1[[#This Row],[Std Adj Read]]&gt;=Table1[[#This Row],[Low Tol]],"Pass","Fail"),IF(Table1[[#This Row],[DUT Adj Read]]&gt;=Table1[[#This Row],[Low Tol]],"Pass","Fail")))</f>
        <v>Pass</v>
      </c>
      <c r="AG1687" s="1" t="str">
        <f>IF(AND(Table1[[#This Row],[Spec Type2]]="N/A",Table1[[#This Row],[DUT Adj Read]]="N/A",Table1[[#This Row],[Std Adj Read]]="N/A"),"N/A",IF(Table1[[#This Row],[DUT Adj Read]]="N/A",IF(Table1[[#This Row],[Std Adj Read]]&lt;=Table1[[#This Row],[High Tol]],"Pass","Fail"),IF(Table1[[#This Row],[DUT Adj Read]]&lt;=Table1[[#This Row],[High Tol]],"Pass","Fail")))</f>
        <v>Fail</v>
      </c>
      <c r="AH16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7" s="1" t="b">
        <v>0</v>
      </c>
      <c r="AN1687" s="1" t="b">
        <v>0</v>
      </c>
      <c r="AO1687" s="1" t="b">
        <v>0</v>
      </c>
    </row>
    <row r="1688" spans="1:41" x14ac:dyDescent="0.25">
      <c r="A1688" s="10"/>
      <c r="B1688" s="10"/>
      <c r="C1688" s="10"/>
      <c r="D1688" s="10"/>
      <c r="E1688" s="10"/>
      <c r="F1688" s="10"/>
      <c r="G1688" s="10"/>
      <c r="H1688" s="10"/>
      <c r="I1688" s="1" t="str">
        <f t="shared" si="78"/>
        <v/>
      </c>
      <c r="J1688" s="1" t="s">
        <v>35</v>
      </c>
      <c r="K1688" s="1" t="str">
        <f t="shared" si="79"/>
        <v/>
      </c>
      <c r="L1688" s="1" t="str">
        <f t="shared" si="80"/>
        <v/>
      </c>
      <c r="M1688" s="1">
        <f>IF(OR(Table1[[#This Row],[Std Nom]]="",Table1[[#This Row],[Std Read]]=""),0,Table1[[#This Row],[Std Nom]]-Table1[[#This Row],[Std Read]])</f>
        <v>0</v>
      </c>
      <c r="N1688" s="1">
        <f>IF(Calculations!$F$5="ACCREDITED 17025 WITH UNCERTAINTIES",$N$10,0)</f>
        <v>0</v>
      </c>
      <c r="Q1688" s="1">
        <f>Table1[[#This Row],[High Tol]]-Table1[[#This Row],[Low Tol]]</f>
        <v>0</v>
      </c>
      <c r="R1688" s="1">
        <f>2*Table1[[#This Row],[Std Error]]</f>
        <v>0</v>
      </c>
      <c r="S1688" s="1" t="str">
        <f>IF(Table1[[#This Row],[High Tol]]="","N/A",IFERROR(ABS(Table1[[#This Row],[Tol Span]]/Table1[[#This Row],[Error Span]]),"N/A"))</f>
        <v>N/A</v>
      </c>
      <c r="T1688" s="1" t="str">
        <f>IF(OR(Table1[[#This Row],[Low Tol]]="",Table1[[#This Row],[High Tol]]=""),"Needs Analysis",IF(Table1[[#This Row],[Ratio]]&gt;=4,"Not Significant",IF(Table1[[#This Row],[Ratio]]&gt;=2,"Semi-Significant","Significant")))</f>
        <v>Needs Analysis</v>
      </c>
      <c r="W1688" s="1">
        <f>IF(Table1[[#This Row],[Cal Type]]&lt;&gt;"ACCREDITED 17025 WITH UNCERTAINTIES",0,"")</f>
        <v>0</v>
      </c>
      <c r="X1688" s="1" t="str">
        <f>IF(Table1[[#This Row],[DUT Read]]="","N/A",Table1[[#This Row],[Std Error]]+Table1[[#This Row],[DUT Read]]+Table1[[#This Row],[DUT Ucty]])</f>
        <v>N/A</v>
      </c>
      <c r="Y1688" s="1" t="str">
        <f>IF(Table1[[#This Row],[Std Read]]="","N/A",Table1[[#This Row],[Std Read]]+Table1[[#This Row],[Std Ucty]])</f>
        <v>N/A</v>
      </c>
      <c r="Z16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8" s="1" t="str">
        <f>IF(Table1[[#This Row],[Spec Type]]="","N/A",Table1[[#This Row],[Spec Type]])</f>
        <v>±</v>
      </c>
      <c r="AC1688" s="1" t="str">
        <f>IF(Table1[[#This Row],[Spec Type2]]="N/A","N/A",IF(AND(Table1[[#This Row],[DUT Adj Read]]&gt;=Table1[[#This Row],[Low Tol]],Table1[[#This Row],[DUT Adj Read]]&lt;=Table1[[#This Row],[High Tol]]),"Pass","Fail"))</f>
        <v>Fail</v>
      </c>
      <c r="AD1688" s="1" t="str">
        <f>IF(AND(Table1[[#This Row],[Spec Type2]]="N/A",Table1[[#This Row],[DUT Adj Read]]="N/A",Table1[[#This Row],[Std Adj Read]]="N/A"),"N/A",IF(Table1[[#This Row],[DUT Adj Read]]="N/A",IF(Table1[[#This Row],[Std Adj Read]]&gt;Table1[[#This Row],[Low Tol]],"Pass","Fail"),IF(Table1[[#This Row],[DUT Adj Read]]&gt;Table1[[#This Row],[Low Tol]],"Pass","Fail")))</f>
        <v>Pass</v>
      </c>
      <c r="AE1688" s="1" t="str">
        <f>IF(AND(Table1[[#This Row],[Spec Type2]]="N/A",Table1[[#This Row],[DUT Adj Read]]="N/A",Table1[[#This Row],[Std Adj Read]]="N/A"),"N/A",IF(Table1[[#This Row],[DUT Adj Read]]="N/A",IF(Table1[[#This Row],[Std Adj Read]]&lt;Table1[[#This Row],[High Tol]],"Pass","Fail"),IF(Table1[[#This Row],[DUT Adj Read]]&lt;Table1[[#This Row],[High Tol]],"Pass","Fail")))</f>
        <v>Fail</v>
      </c>
      <c r="AF1688" s="1" t="str">
        <f>IF(AND(Table1[[#This Row],[Spec Type2]]="N/A",Table1[[#This Row],[DUT Adj Read]]="N/A",Table1[[#This Row],[Std Adj Read]]="N/A"),"N/A",IF(Table1[[#This Row],[DUT Adj Read]]="N/A",IF(Table1[[#This Row],[Std Adj Read]]&gt;=Table1[[#This Row],[Low Tol]],"Pass","Fail"),IF(Table1[[#This Row],[DUT Adj Read]]&gt;=Table1[[#This Row],[Low Tol]],"Pass","Fail")))</f>
        <v>Pass</v>
      </c>
      <c r="AG1688" s="1" t="str">
        <f>IF(AND(Table1[[#This Row],[Spec Type2]]="N/A",Table1[[#This Row],[DUT Adj Read]]="N/A",Table1[[#This Row],[Std Adj Read]]="N/A"),"N/A",IF(Table1[[#This Row],[DUT Adj Read]]="N/A",IF(Table1[[#This Row],[Std Adj Read]]&lt;=Table1[[#This Row],[High Tol]],"Pass","Fail"),IF(Table1[[#This Row],[DUT Adj Read]]&lt;=Table1[[#This Row],[High Tol]],"Pass","Fail")))</f>
        <v>Fail</v>
      </c>
      <c r="AH16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8" s="1" t="b">
        <v>0</v>
      </c>
      <c r="AN1688" s="1" t="b">
        <v>0</v>
      </c>
      <c r="AO1688" s="1" t="b">
        <v>0</v>
      </c>
    </row>
    <row r="1689" spans="1:41" x14ac:dyDescent="0.25">
      <c r="A1689" s="10"/>
      <c r="B1689" s="10"/>
      <c r="C1689" s="10"/>
      <c r="D1689" s="10"/>
      <c r="E1689" s="10"/>
      <c r="F1689" s="10"/>
      <c r="G1689" s="10"/>
      <c r="H1689" s="10"/>
      <c r="I1689" s="1" t="str">
        <f t="shared" si="78"/>
        <v/>
      </c>
      <c r="J1689" s="1" t="s">
        <v>35</v>
      </c>
      <c r="K1689" s="1" t="str">
        <f t="shared" si="79"/>
        <v/>
      </c>
      <c r="L1689" s="1" t="str">
        <f t="shared" si="80"/>
        <v/>
      </c>
      <c r="M1689" s="1">
        <f>IF(OR(Table1[[#This Row],[Std Nom]]="",Table1[[#This Row],[Std Read]]=""),0,Table1[[#This Row],[Std Nom]]-Table1[[#This Row],[Std Read]])</f>
        <v>0</v>
      </c>
      <c r="N1689" s="1">
        <f>IF(Calculations!$F$5="ACCREDITED 17025 WITH UNCERTAINTIES",$N$10,0)</f>
        <v>0</v>
      </c>
      <c r="Q1689" s="1">
        <f>Table1[[#This Row],[High Tol]]-Table1[[#This Row],[Low Tol]]</f>
        <v>0</v>
      </c>
      <c r="R1689" s="1">
        <f>2*Table1[[#This Row],[Std Error]]</f>
        <v>0</v>
      </c>
      <c r="S1689" s="1" t="str">
        <f>IF(Table1[[#This Row],[High Tol]]="","N/A",IFERROR(ABS(Table1[[#This Row],[Tol Span]]/Table1[[#This Row],[Error Span]]),"N/A"))</f>
        <v>N/A</v>
      </c>
      <c r="T1689" s="1" t="str">
        <f>IF(OR(Table1[[#This Row],[Low Tol]]="",Table1[[#This Row],[High Tol]]=""),"Needs Analysis",IF(Table1[[#This Row],[Ratio]]&gt;=4,"Not Significant",IF(Table1[[#This Row],[Ratio]]&gt;=2,"Semi-Significant","Significant")))</f>
        <v>Needs Analysis</v>
      </c>
      <c r="W1689" s="1">
        <f>IF(Table1[[#This Row],[Cal Type]]&lt;&gt;"ACCREDITED 17025 WITH UNCERTAINTIES",0,"")</f>
        <v>0</v>
      </c>
      <c r="X1689" s="1" t="str">
        <f>IF(Table1[[#This Row],[DUT Read]]="","N/A",Table1[[#This Row],[Std Error]]+Table1[[#This Row],[DUT Read]]+Table1[[#This Row],[DUT Ucty]])</f>
        <v>N/A</v>
      </c>
      <c r="Y1689" s="1" t="str">
        <f>IF(Table1[[#This Row],[Std Read]]="","N/A",Table1[[#This Row],[Std Read]]+Table1[[#This Row],[Std Ucty]])</f>
        <v>N/A</v>
      </c>
      <c r="Z16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89" s="1" t="str">
        <f>IF(Table1[[#This Row],[Spec Type]]="","N/A",Table1[[#This Row],[Spec Type]])</f>
        <v>±</v>
      </c>
      <c r="AC1689" s="1" t="str">
        <f>IF(Table1[[#This Row],[Spec Type2]]="N/A","N/A",IF(AND(Table1[[#This Row],[DUT Adj Read]]&gt;=Table1[[#This Row],[Low Tol]],Table1[[#This Row],[DUT Adj Read]]&lt;=Table1[[#This Row],[High Tol]]),"Pass","Fail"))</f>
        <v>Fail</v>
      </c>
      <c r="AD1689" s="1" t="str">
        <f>IF(AND(Table1[[#This Row],[Spec Type2]]="N/A",Table1[[#This Row],[DUT Adj Read]]="N/A",Table1[[#This Row],[Std Adj Read]]="N/A"),"N/A",IF(Table1[[#This Row],[DUT Adj Read]]="N/A",IF(Table1[[#This Row],[Std Adj Read]]&gt;Table1[[#This Row],[Low Tol]],"Pass","Fail"),IF(Table1[[#This Row],[DUT Adj Read]]&gt;Table1[[#This Row],[Low Tol]],"Pass","Fail")))</f>
        <v>Pass</v>
      </c>
      <c r="AE1689" s="1" t="str">
        <f>IF(AND(Table1[[#This Row],[Spec Type2]]="N/A",Table1[[#This Row],[DUT Adj Read]]="N/A",Table1[[#This Row],[Std Adj Read]]="N/A"),"N/A",IF(Table1[[#This Row],[DUT Adj Read]]="N/A",IF(Table1[[#This Row],[Std Adj Read]]&lt;Table1[[#This Row],[High Tol]],"Pass","Fail"),IF(Table1[[#This Row],[DUT Adj Read]]&lt;Table1[[#This Row],[High Tol]],"Pass","Fail")))</f>
        <v>Fail</v>
      </c>
      <c r="AF1689" s="1" t="str">
        <f>IF(AND(Table1[[#This Row],[Spec Type2]]="N/A",Table1[[#This Row],[DUT Adj Read]]="N/A",Table1[[#This Row],[Std Adj Read]]="N/A"),"N/A",IF(Table1[[#This Row],[DUT Adj Read]]="N/A",IF(Table1[[#This Row],[Std Adj Read]]&gt;=Table1[[#This Row],[Low Tol]],"Pass","Fail"),IF(Table1[[#This Row],[DUT Adj Read]]&gt;=Table1[[#This Row],[Low Tol]],"Pass","Fail")))</f>
        <v>Pass</v>
      </c>
      <c r="AG1689" s="1" t="str">
        <f>IF(AND(Table1[[#This Row],[Spec Type2]]="N/A",Table1[[#This Row],[DUT Adj Read]]="N/A",Table1[[#This Row],[Std Adj Read]]="N/A"),"N/A",IF(Table1[[#This Row],[DUT Adj Read]]="N/A",IF(Table1[[#This Row],[Std Adj Read]]&lt;=Table1[[#This Row],[High Tol]],"Pass","Fail"),IF(Table1[[#This Row],[DUT Adj Read]]&lt;=Table1[[#This Row],[High Tol]],"Pass","Fail")))</f>
        <v>Fail</v>
      </c>
      <c r="AH16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89" s="1" t="b">
        <v>0</v>
      </c>
      <c r="AN1689" s="1" t="b">
        <v>0</v>
      </c>
      <c r="AO1689" s="1" t="b">
        <v>0</v>
      </c>
    </row>
    <row r="1690" spans="1:41" x14ac:dyDescent="0.25">
      <c r="A1690" s="10"/>
      <c r="B1690" s="10"/>
      <c r="C1690" s="10"/>
      <c r="D1690" s="10"/>
      <c r="E1690" s="10"/>
      <c r="F1690" s="10"/>
      <c r="G1690" s="10"/>
      <c r="H1690" s="10"/>
      <c r="I1690" s="1" t="str">
        <f t="shared" si="78"/>
        <v/>
      </c>
      <c r="J1690" s="1" t="s">
        <v>35</v>
      </c>
      <c r="K1690" s="1" t="str">
        <f t="shared" si="79"/>
        <v/>
      </c>
      <c r="L1690" s="1" t="str">
        <f t="shared" si="80"/>
        <v/>
      </c>
      <c r="M1690" s="1">
        <f>IF(OR(Table1[[#This Row],[Std Nom]]="",Table1[[#This Row],[Std Read]]=""),0,Table1[[#This Row],[Std Nom]]-Table1[[#This Row],[Std Read]])</f>
        <v>0</v>
      </c>
      <c r="N1690" s="1">
        <f>IF(Calculations!$F$5="ACCREDITED 17025 WITH UNCERTAINTIES",$N$10,0)</f>
        <v>0</v>
      </c>
      <c r="Q1690" s="1">
        <f>Table1[[#This Row],[High Tol]]-Table1[[#This Row],[Low Tol]]</f>
        <v>0</v>
      </c>
      <c r="R1690" s="1">
        <f>2*Table1[[#This Row],[Std Error]]</f>
        <v>0</v>
      </c>
      <c r="S1690" s="1" t="str">
        <f>IF(Table1[[#This Row],[High Tol]]="","N/A",IFERROR(ABS(Table1[[#This Row],[Tol Span]]/Table1[[#This Row],[Error Span]]),"N/A"))</f>
        <v>N/A</v>
      </c>
      <c r="T1690" s="1" t="str">
        <f>IF(OR(Table1[[#This Row],[Low Tol]]="",Table1[[#This Row],[High Tol]]=""),"Needs Analysis",IF(Table1[[#This Row],[Ratio]]&gt;=4,"Not Significant",IF(Table1[[#This Row],[Ratio]]&gt;=2,"Semi-Significant","Significant")))</f>
        <v>Needs Analysis</v>
      </c>
      <c r="W1690" s="1">
        <f>IF(Table1[[#This Row],[Cal Type]]&lt;&gt;"ACCREDITED 17025 WITH UNCERTAINTIES",0,"")</f>
        <v>0</v>
      </c>
      <c r="X1690" s="1" t="str">
        <f>IF(Table1[[#This Row],[DUT Read]]="","N/A",Table1[[#This Row],[Std Error]]+Table1[[#This Row],[DUT Read]]+Table1[[#This Row],[DUT Ucty]])</f>
        <v>N/A</v>
      </c>
      <c r="Y1690" s="1" t="str">
        <f>IF(Table1[[#This Row],[Std Read]]="","N/A",Table1[[#This Row],[Std Read]]+Table1[[#This Row],[Std Ucty]])</f>
        <v>N/A</v>
      </c>
      <c r="Z16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0" s="1" t="str">
        <f>IF(Table1[[#This Row],[Spec Type]]="","N/A",Table1[[#This Row],[Spec Type]])</f>
        <v>±</v>
      </c>
      <c r="AC1690" s="1" t="str">
        <f>IF(Table1[[#This Row],[Spec Type2]]="N/A","N/A",IF(AND(Table1[[#This Row],[DUT Adj Read]]&gt;=Table1[[#This Row],[Low Tol]],Table1[[#This Row],[DUT Adj Read]]&lt;=Table1[[#This Row],[High Tol]]),"Pass","Fail"))</f>
        <v>Fail</v>
      </c>
      <c r="AD1690" s="1" t="str">
        <f>IF(AND(Table1[[#This Row],[Spec Type2]]="N/A",Table1[[#This Row],[DUT Adj Read]]="N/A",Table1[[#This Row],[Std Adj Read]]="N/A"),"N/A",IF(Table1[[#This Row],[DUT Adj Read]]="N/A",IF(Table1[[#This Row],[Std Adj Read]]&gt;Table1[[#This Row],[Low Tol]],"Pass","Fail"),IF(Table1[[#This Row],[DUT Adj Read]]&gt;Table1[[#This Row],[Low Tol]],"Pass","Fail")))</f>
        <v>Pass</v>
      </c>
      <c r="AE1690" s="1" t="str">
        <f>IF(AND(Table1[[#This Row],[Spec Type2]]="N/A",Table1[[#This Row],[DUT Adj Read]]="N/A",Table1[[#This Row],[Std Adj Read]]="N/A"),"N/A",IF(Table1[[#This Row],[DUT Adj Read]]="N/A",IF(Table1[[#This Row],[Std Adj Read]]&lt;Table1[[#This Row],[High Tol]],"Pass","Fail"),IF(Table1[[#This Row],[DUT Adj Read]]&lt;Table1[[#This Row],[High Tol]],"Pass","Fail")))</f>
        <v>Fail</v>
      </c>
      <c r="AF1690" s="1" t="str">
        <f>IF(AND(Table1[[#This Row],[Spec Type2]]="N/A",Table1[[#This Row],[DUT Adj Read]]="N/A",Table1[[#This Row],[Std Adj Read]]="N/A"),"N/A",IF(Table1[[#This Row],[DUT Adj Read]]="N/A",IF(Table1[[#This Row],[Std Adj Read]]&gt;=Table1[[#This Row],[Low Tol]],"Pass","Fail"),IF(Table1[[#This Row],[DUT Adj Read]]&gt;=Table1[[#This Row],[Low Tol]],"Pass","Fail")))</f>
        <v>Pass</v>
      </c>
      <c r="AG1690" s="1" t="str">
        <f>IF(AND(Table1[[#This Row],[Spec Type2]]="N/A",Table1[[#This Row],[DUT Adj Read]]="N/A",Table1[[#This Row],[Std Adj Read]]="N/A"),"N/A",IF(Table1[[#This Row],[DUT Adj Read]]="N/A",IF(Table1[[#This Row],[Std Adj Read]]&lt;=Table1[[#This Row],[High Tol]],"Pass","Fail"),IF(Table1[[#This Row],[DUT Adj Read]]&lt;=Table1[[#This Row],[High Tol]],"Pass","Fail")))</f>
        <v>Fail</v>
      </c>
      <c r="AH16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0" s="1" t="b">
        <v>0</v>
      </c>
      <c r="AN1690" s="1" t="b">
        <v>0</v>
      </c>
      <c r="AO1690" s="1" t="b">
        <v>0</v>
      </c>
    </row>
    <row r="1691" spans="1:41" x14ac:dyDescent="0.25">
      <c r="A1691" s="10"/>
      <c r="B1691" s="10"/>
      <c r="C1691" s="10"/>
      <c r="D1691" s="10"/>
      <c r="E1691" s="10"/>
      <c r="F1691" s="10"/>
      <c r="G1691" s="10"/>
      <c r="H1691" s="10"/>
      <c r="I1691" s="1" t="str">
        <f t="shared" si="78"/>
        <v/>
      </c>
      <c r="J1691" s="1" t="s">
        <v>35</v>
      </c>
      <c r="K1691" s="1" t="str">
        <f t="shared" si="79"/>
        <v/>
      </c>
      <c r="L1691" s="1" t="str">
        <f t="shared" si="80"/>
        <v/>
      </c>
      <c r="M1691" s="1">
        <f>IF(OR(Table1[[#This Row],[Std Nom]]="",Table1[[#This Row],[Std Read]]=""),0,Table1[[#This Row],[Std Nom]]-Table1[[#This Row],[Std Read]])</f>
        <v>0</v>
      </c>
      <c r="N1691" s="1">
        <f>IF(Calculations!$F$5="ACCREDITED 17025 WITH UNCERTAINTIES",$N$10,0)</f>
        <v>0</v>
      </c>
      <c r="Q1691" s="1">
        <f>Table1[[#This Row],[High Tol]]-Table1[[#This Row],[Low Tol]]</f>
        <v>0</v>
      </c>
      <c r="R1691" s="1">
        <f>2*Table1[[#This Row],[Std Error]]</f>
        <v>0</v>
      </c>
      <c r="S1691" s="1" t="str">
        <f>IF(Table1[[#This Row],[High Tol]]="","N/A",IFERROR(ABS(Table1[[#This Row],[Tol Span]]/Table1[[#This Row],[Error Span]]),"N/A"))</f>
        <v>N/A</v>
      </c>
      <c r="T1691" s="1" t="str">
        <f>IF(OR(Table1[[#This Row],[Low Tol]]="",Table1[[#This Row],[High Tol]]=""),"Needs Analysis",IF(Table1[[#This Row],[Ratio]]&gt;=4,"Not Significant",IF(Table1[[#This Row],[Ratio]]&gt;=2,"Semi-Significant","Significant")))</f>
        <v>Needs Analysis</v>
      </c>
      <c r="W1691" s="1">
        <f>IF(Table1[[#This Row],[Cal Type]]&lt;&gt;"ACCREDITED 17025 WITH UNCERTAINTIES",0,"")</f>
        <v>0</v>
      </c>
      <c r="X1691" s="1" t="str">
        <f>IF(Table1[[#This Row],[DUT Read]]="","N/A",Table1[[#This Row],[Std Error]]+Table1[[#This Row],[DUT Read]]+Table1[[#This Row],[DUT Ucty]])</f>
        <v>N/A</v>
      </c>
      <c r="Y1691" s="1" t="str">
        <f>IF(Table1[[#This Row],[Std Read]]="","N/A",Table1[[#This Row],[Std Read]]+Table1[[#This Row],[Std Ucty]])</f>
        <v>N/A</v>
      </c>
      <c r="Z16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1" s="1" t="str">
        <f>IF(Table1[[#This Row],[Spec Type]]="","N/A",Table1[[#This Row],[Spec Type]])</f>
        <v>±</v>
      </c>
      <c r="AC1691" s="1" t="str">
        <f>IF(Table1[[#This Row],[Spec Type2]]="N/A","N/A",IF(AND(Table1[[#This Row],[DUT Adj Read]]&gt;=Table1[[#This Row],[Low Tol]],Table1[[#This Row],[DUT Adj Read]]&lt;=Table1[[#This Row],[High Tol]]),"Pass","Fail"))</f>
        <v>Fail</v>
      </c>
      <c r="AD1691" s="1" t="str">
        <f>IF(AND(Table1[[#This Row],[Spec Type2]]="N/A",Table1[[#This Row],[DUT Adj Read]]="N/A",Table1[[#This Row],[Std Adj Read]]="N/A"),"N/A",IF(Table1[[#This Row],[DUT Adj Read]]="N/A",IF(Table1[[#This Row],[Std Adj Read]]&gt;Table1[[#This Row],[Low Tol]],"Pass","Fail"),IF(Table1[[#This Row],[DUT Adj Read]]&gt;Table1[[#This Row],[Low Tol]],"Pass","Fail")))</f>
        <v>Pass</v>
      </c>
      <c r="AE1691" s="1" t="str">
        <f>IF(AND(Table1[[#This Row],[Spec Type2]]="N/A",Table1[[#This Row],[DUT Adj Read]]="N/A",Table1[[#This Row],[Std Adj Read]]="N/A"),"N/A",IF(Table1[[#This Row],[DUT Adj Read]]="N/A",IF(Table1[[#This Row],[Std Adj Read]]&lt;Table1[[#This Row],[High Tol]],"Pass","Fail"),IF(Table1[[#This Row],[DUT Adj Read]]&lt;Table1[[#This Row],[High Tol]],"Pass","Fail")))</f>
        <v>Fail</v>
      </c>
      <c r="AF1691" s="1" t="str">
        <f>IF(AND(Table1[[#This Row],[Spec Type2]]="N/A",Table1[[#This Row],[DUT Adj Read]]="N/A",Table1[[#This Row],[Std Adj Read]]="N/A"),"N/A",IF(Table1[[#This Row],[DUT Adj Read]]="N/A",IF(Table1[[#This Row],[Std Adj Read]]&gt;=Table1[[#This Row],[Low Tol]],"Pass","Fail"),IF(Table1[[#This Row],[DUT Adj Read]]&gt;=Table1[[#This Row],[Low Tol]],"Pass","Fail")))</f>
        <v>Pass</v>
      </c>
      <c r="AG1691" s="1" t="str">
        <f>IF(AND(Table1[[#This Row],[Spec Type2]]="N/A",Table1[[#This Row],[DUT Adj Read]]="N/A",Table1[[#This Row],[Std Adj Read]]="N/A"),"N/A",IF(Table1[[#This Row],[DUT Adj Read]]="N/A",IF(Table1[[#This Row],[Std Adj Read]]&lt;=Table1[[#This Row],[High Tol]],"Pass","Fail"),IF(Table1[[#This Row],[DUT Adj Read]]&lt;=Table1[[#This Row],[High Tol]],"Pass","Fail")))</f>
        <v>Fail</v>
      </c>
      <c r="AH16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1" s="1" t="b">
        <v>0</v>
      </c>
      <c r="AN1691" s="1" t="b">
        <v>0</v>
      </c>
      <c r="AO1691" s="1" t="b">
        <v>0</v>
      </c>
    </row>
    <row r="1692" spans="1:41" x14ac:dyDescent="0.25">
      <c r="A1692" s="10"/>
      <c r="B1692" s="10"/>
      <c r="C1692" s="10"/>
      <c r="D1692" s="10"/>
      <c r="E1692" s="10"/>
      <c r="F1692" s="10"/>
      <c r="G1692" s="10"/>
      <c r="H1692" s="10"/>
      <c r="I1692" s="1" t="str">
        <f t="shared" si="78"/>
        <v/>
      </c>
      <c r="J1692" s="1" t="s">
        <v>35</v>
      </c>
      <c r="K1692" s="1" t="str">
        <f t="shared" si="79"/>
        <v/>
      </c>
      <c r="L1692" s="1" t="str">
        <f t="shared" si="80"/>
        <v/>
      </c>
      <c r="M1692" s="1">
        <f>IF(OR(Table1[[#This Row],[Std Nom]]="",Table1[[#This Row],[Std Read]]=""),0,Table1[[#This Row],[Std Nom]]-Table1[[#This Row],[Std Read]])</f>
        <v>0</v>
      </c>
      <c r="N1692" s="1">
        <f>IF(Calculations!$F$5="ACCREDITED 17025 WITH UNCERTAINTIES",$N$10,0)</f>
        <v>0</v>
      </c>
      <c r="Q1692" s="1">
        <f>Table1[[#This Row],[High Tol]]-Table1[[#This Row],[Low Tol]]</f>
        <v>0</v>
      </c>
      <c r="R1692" s="1">
        <f>2*Table1[[#This Row],[Std Error]]</f>
        <v>0</v>
      </c>
      <c r="S1692" s="1" t="str">
        <f>IF(Table1[[#This Row],[High Tol]]="","N/A",IFERROR(ABS(Table1[[#This Row],[Tol Span]]/Table1[[#This Row],[Error Span]]),"N/A"))</f>
        <v>N/A</v>
      </c>
      <c r="T1692" s="1" t="str">
        <f>IF(OR(Table1[[#This Row],[Low Tol]]="",Table1[[#This Row],[High Tol]]=""),"Needs Analysis",IF(Table1[[#This Row],[Ratio]]&gt;=4,"Not Significant",IF(Table1[[#This Row],[Ratio]]&gt;=2,"Semi-Significant","Significant")))</f>
        <v>Needs Analysis</v>
      </c>
      <c r="W1692" s="1">
        <f>IF(Table1[[#This Row],[Cal Type]]&lt;&gt;"ACCREDITED 17025 WITH UNCERTAINTIES",0,"")</f>
        <v>0</v>
      </c>
      <c r="X1692" s="1" t="str">
        <f>IF(Table1[[#This Row],[DUT Read]]="","N/A",Table1[[#This Row],[Std Error]]+Table1[[#This Row],[DUT Read]]+Table1[[#This Row],[DUT Ucty]])</f>
        <v>N/A</v>
      </c>
      <c r="Y1692" s="1" t="str">
        <f>IF(Table1[[#This Row],[Std Read]]="","N/A",Table1[[#This Row],[Std Read]]+Table1[[#This Row],[Std Ucty]])</f>
        <v>N/A</v>
      </c>
      <c r="Z16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2" s="1" t="str">
        <f>IF(Table1[[#This Row],[Spec Type]]="","N/A",Table1[[#This Row],[Spec Type]])</f>
        <v>±</v>
      </c>
      <c r="AC1692" s="1" t="str">
        <f>IF(Table1[[#This Row],[Spec Type2]]="N/A","N/A",IF(AND(Table1[[#This Row],[DUT Adj Read]]&gt;=Table1[[#This Row],[Low Tol]],Table1[[#This Row],[DUT Adj Read]]&lt;=Table1[[#This Row],[High Tol]]),"Pass","Fail"))</f>
        <v>Fail</v>
      </c>
      <c r="AD1692" s="1" t="str">
        <f>IF(AND(Table1[[#This Row],[Spec Type2]]="N/A",Table1[[#This Row],[DUT Adj Read]]="N/A",Table1[[#This Row],[Std Adj Read]]="N/A"),"N/A",IF(Table1[[#This Row],[DUT Adj Read]]="N/A",IF(Table1[[#This Row],[Std Adj Read]]&gt;Table1[[#This Row],[Low Tol]],"Pass","Fail"),IF(Table1[[#This Row],[DUT Adj Read]]&gt;Table1[[#This Row],[Low Tol]],"Pass","Fail")))</f>
        <v>Pass</v>
      </c>
      <c r="AE1692" s="1" t="str">
        <f>IF(AND(Table1[[#This Row],[Spec Type2]]="N/A",Table1[[#This Row],[DUT Adj Read]]="N/A",Table1[[#This Row],[Std Adj Read]]="N/A"),"N/A",IF(Table1[[#This Row],[DUT Adj Read]]="N/A",IF(Table1[[#This Row],[Std Adj Read]]&lt;Table1[[#This Row],[High Tol]],"Pass","Fail"),IF(Table1[[#This Row],[DUT Adj Read]]&lt;Table1[[#This Row],[High Tol]],"Pass","Fail")))</f>
        <v>Fail</v>
      </c>
      <c r="AF1692" s="1" t="str">
        <f>IF(AND(Table1[[#This Row],[Spec Type2]]="N/A",Table1[[#This Row],[DUT Adj Read]]="N/A",Table1[[#This Row],[Std Adj Read]]="N/A"),"N/A",IF(Table1[[#This Row],[DUT Adj Read]]="N/A",IF(Table1[[#This Row],[Std Adj Read]]&gt;=Table1[[#This Row],[Low Tol]],"Pass","Fail"),IF(Table1[[#This Row],[DUT Adj Read]]&gt;=Table1[[#This Row],[Low Tol]],"Pass","Fail")))</f>
        <v>Pass</v>
      </c>
      <c r="AG1692" s="1" t="str">
        <f>IF(AND(Table1[[#This Row],[Spec Type2]]="N/A",Table1[[#This Row],[DUT Adj Read]]="N/A",Table1[[#This Row],[Std Adj Read]]="N/A"),"N/A",IF(Table1[[#This Row],[DUT Adj Read]]="N/A",IF(Table1[[#This Row],[Std Adj Read]]&lt;=Table1[[#This Row],[High Tol]],"Pass","Fail"),IF(Table1[[#This Row],[DUT Adj Read]]&lt;=Table1[[#This Row],[High Tol]],"Pass","Fail")))</f>
        <v>Fail</v>
      </c>
      <c r="AH16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2" s="1" t="b">
        <v>0</v>
      </c>
      <c r="AN1692" s="1" t="b">
        <v>0</v>
      </c>
      <c r="AO1692" s="1" t="b">
        <v>0</v>
      </c>
    </row>
    <row r="1693" spans="1:41" x14ac:dyDescent="0.25">
      <c r="A1693" s="10"/>
      <c r="B1693" s="10"/>
      <c r="C1693" s="10"/>
      <c r="D1693" s="10"/>
      <c r="E1693" s="10"/>
      <c r="F1693" s="10"/>
      <c r="G1693" s="10"/>
      <c r="H1693" s="10"/>
      <c r="I1693" s="1" t="str">
        <f t="shared" si="78"/>
        <v/>
      </c>
      <c r="J1693" s="1" t="s">
        <v>35</v>
      </c>
      <c r="K1693" s="1" t="str">
        <f t="shared" si="79"/>
        <v/>
      </c>
      <c r="L1693" s="1" t="str">
        <f t="shared" si="80"/>
        <v/>
      </c>
      <c r="M1693" s="1">
        <f>IF(OR(Table1[[#This Row],[Std Nom]]="",Table1[[#This Row],[Std Read]]=""),0,Table1[[#This Row],[Std Nom]]-Table1[[#This Row],[Std Read]])</f>
        <v>0</v>
      </c>
      <c r="N1693" s="1">
        <f>IF(Calculations!$F$5="ACCREDITED 17025 WITH UNCERTAINTIES",$N$10,0)</f>
        <v>0</v>
      </c>
      <c r="Q1693" s="1">
        <f>Table1[[#This Row],[High Tol]]-Table1[[#This Row],[Low Tol]]</f>
        <v>0</v>
      </c>
      <c r="R1693" s="1">
        <f>2*Table1[[#This Row],[Std Error]]</f>
        <v>0</v>
      </c>
      <c r="S1693" s="1" t="str">
        <f>IF(Table1[[#This Row],[High Tol]]="","N/A",IFERROR(ABS(Table1[[#This Row],[Tol Span]]/Table1[[#This Row],[Error Span]]),"N/A"))</f>
        <v>N/A</v>
      </c>
      <c r="T1693" s="1" t="str">
        <f>IF(OR(Table1[[#This Row],[Low Tol]]="",Table1[[#This Row],[High Tol]]=""),"Needs Analysis",IF(Table1[[#This Row],[Ratio]]&gt;=4,"Not Significant",IF(Table1[[#This Row],[Ratio]]&gt;=2,"Semi-Significant","Significant")))</f>
        <v>Needs Analysis</v>
      </c>
      <c r="W1693" s="1">
        <f>IF(Table1[[#This Row],[Cal Type]]&lt;&gt;"ACCREDITED 17025 WITH UNCERTAINTIES",0,"")</f>
        <v>0</v>
      </c>
      <c r="X1693" s="1" t="str">
        <f>IF(Table1[[#This Row],[DUT Read]]="","N/A",Table1[[#This Row],[Std Error]]+Table1[[#This Row],[DUT Read]]+Table1[[#This Row],[DUT Ucty]])</f>
        <v>N/A</v>
      </c>
      <c r="Y1693" s="1" t="str">
        <f>IF(Table1[[#This Row],[Std Read]]="","N/A",Table1[[#This Row],[Std Read]]+Table1[[#This Row],[Std Ucty]])</f>
        <v>N/A</v>
      </c>
      <c r="Z16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3" s="1" t="str">
        <f>IF(Table1[[#This Row],[Spec Type]]="","N/A",Table1[[#This Row],[Spec Type]])</f>
        <v>±</v>
      </c>
      <c r="AC1693" s="1" t="str">
        <f>IF(Table1[[#This Row],[Spec Type2]]="N/A","N/A",IF(AND(Table1[[#This Row],[DUT Adj Read]]&gt;=Table1[[#This Row],[Low Tol]],Table1[[#This Row],[DUT Adj Read]]&lt;=Table1[[#This Row],[High Tol]]),"Pass","Fail"))</f>
        <v>Fail</v>
      </c>
      <c r="AD1693" s="1" t="str">
        <f>IF(AND(Table1[[#This Row],[Spec Type2]]="N/A",Table1[[#This Row],[DUT Adj Read]]="N/A",Table1[[#This Row],[Std Adj Read]]="N/A"),"N/A",IF(Table1[[#This Row],[DUT Adj Read]]="N/A",IF(Table1[[#This Row],[Std Adj Read]]&gt;Table1[[#This Row],[Low Tol]],"Pass","Fail"),IF(Table1[[#This Row],[DUT Adj Read]]&gt;Table1[[#This Row],[Low Tol]],"Pass","Fail")))</f>
        <v>Pass</v>
      </c>
      <c r="AE1693" s="1" t="str">
        <f>IF(AND(Table1[[#This Row],[Spec Type2]]="N/A",Table1[[#This Row],[DUT Adj Read]]="N/A",Table1[[#This Row],[Std Adj Read]]="N/A"),"N/A",IF(Table1[[#This Row],[DUT Adj Read]]="N/A",IF(Table1[[#This Row],[Std Adj Read]]&lt;Table1[[#This Row],[High Tol]],"Pass","Fail"),IF(Table1[[#This Row],[DUT Adj Read]]&lt;Table1[[#This Row],[High Tol]],"Pass","Fail")))</f>
        <v>Fail</v>
      </c>
      <c r="AF1693" s="1" t="str">
        <f>IF(AND(Table1[[#This Row],[Spec Type2]]="N/A",Table1[[#This Row],[DUT Adj Read]]="N/A",Table1[[#This Row],[Std Adj Read]]="N/A"),"N/A",IF(Table1[[#This Row],[DUT Adj Read]]="N/A",IF(Table1[[#This Row],[Std Adj Read]]&gt;=Table1[[#This Row],[Low Tol]],"Pass","Fail"),IF(Table1[[#This Row],[DUT Adj Read]]&gt;=Table1[[#This Row],[Low Tol]],"Pass","Fail")))</f>
        <v>Pass</v>
      </c>
      <c r="AG1693" s="1" t="str">
        <f>IF(AND(Table1[[#This Row],[Spec Type2]]="N/A",Table1[[#This Row],[DUT Adj Read]]="N/A",Table1[[#This Row],[Std Adj Read]]="N/A"),"N/A",IF(Table1[[#This Row],[DUT Adj Read]]="N/A",IF(Table1[[#This Row],[Std Adj Read]]&lt;=Table1[[#This Row],[High Tol]],"Pass","Fail"),IF(Table1[[#This Row],[DUT Adj Read]]&lt;=Table1[[#This Row],[High Tol]],"Pass","Fail")))</f>
        <v>Fail</v>
      </c>
      <c r="AH16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3" s="1" t="b">
        <v>0</v>
      </c>
      <c r="AN1693" s="1" t="b">
        <v>0</v>
      </c>
      <c r="AO1693" s="1" t="b">
        <v>0</v>
      </c>
    </row>
    <row r="1694" spans="1:41" x14ac:dyDescent="0.25">
      <c r="A1694" s="10"/>
      <c r="B1694" s="10"/>
      <c r="C1694" s="10"/>
      <c r="D1694" s="10"/>
      <c r="E1694" s="10"/>
      <c r="F1694" s="10"/>
      <c r="G1694" s="10"/>
      <c r="H1694" s="10"/>
      <c r="I1694" s="1" t="str">
        <f t="shared" si="78"/>
        <v/>
      </c>
      <c r="J1694" s="1" t="s">
        <v>35</v>
      </c>
      <c r="K1694" s="1" t="str">
        <f t="shared" si="79"/>
        <v/>
      </c>
      <c r="L1694" s="1" t="str">
        <f t="shared" si="80"/>
        <v/>
      </c>
      <c r="M1694" s="1">
        <f>IF(OR(Table1[[#This Row],[Std Nom]]="",Table1[[#This Row],[Std Read]]=""),0,Table1[[#This Row],[Std Nom]]-Table1[[#This Row],[Std Read]])</f>
        <v>0</v>
      </c>
      <c r="N1694" s="1">
        <f>IF(Calculations!$F$5="ACCREDITED 17025 WITH UNCERTAINTIES",$N$10,0)</f>
        <v>0</v>
      </c>
      <c r="Q1694" s="1">
        <f>Table1[[#This Row],[High Tol]]-Table1[[#This Row],[Low Tol]]</f>
        <v>0</v>
      </c>
      <c r="R1694" s="1">
        <f>2*Table1[[#This Row],[Std Error]]</f>
        <v>0</v>
      </c>
      <c r="S1694" s="1" t="str">
        <f>IF(Table1[[#This Row],[High Tol]]="","N/A",IFERROR(ABS(Table1[[#This Row],[Tol Span]]/Table1[[#This Row],[Error Span]]),"N/A"))</f>
        <v>N/A</v>
      </c>
      <c r="T1694" s="1" t="str">
        <f>IF(OR(Table1[[#This Row],[Low Tol]]="",Table1[[#This Row],[High Tol]]=""),"Needs Analysis",IF(Table1[[#This Row],[Ratio]]&gt;=4,"Not Significant",IF(Table1[[#This Row],[Ratio]]&gt;=2,"Semi-Significant","Significant")))</f>
        <v>Needs Analysis</v>
      </c>
      <c r="W1694" s="1">
        <f>IF(Table1[[#This Row],[Cal Type]]&lt;&gt;"ACCREDITED 17025 WITH UNCERTAINTIES",0,"")</f>
        <v>0</v>
      </c>
      <c r="X1694" s="1" t="str">
        <f>IF(Table1[[#This Row],[DUT Read]]="","N/A",Table1[[#This Row],[Std Error]]+Table1[[#This Row],[DUT Read]]+Table1[[#This Row],[DUT Ucty]])</f>
        <v>N/A</v>
      </c>
      <c r="Y1694" s="1" t="str">
        <f>IF(Table1[[#This Row],[Std Read]]="","N/A",Table1[[#This Row],[Std Read]]+Table1[[#This Row],[Std Ucty]])</f>
        <v>N/A</v>
      </c>
      <c r="Z16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4" s="1" t="str">
        <f>IF(Table1[[#This Row],[Spec Type]]="","N/A",Table1[[#This Row],[Spec Type]])</f>
        <v>±</v>
      </c>
      <c r="AC1694" s="1" t="str">
        <f>IF(Table1[[#This Row],[Spec Type2]]="N/A","N/A",IF(AND(Table1[[#This Row],[DUT Adj Read]]&gt;=Table1[[#This Row],[Low Tol]],Table1[[#This Row],[DUT Adj Read]]&lt;=Table1[[#This Row],[High Tol]]),"Pass","Fail"))</f>
        <v>Fail</v>
      </c>
      <c r="AD1694" s="1" t="str">
        <f>IF(AND(Table1[[#This Row],[Spec Type2]]="N/A",Table1[[#This Row],[DUT Adj Read]]="N/A",Table1[[#This Row],[Std Adj Read]]="N/A"),"N/A",IF(Table1[[#This Row],[DUT Adj Read]]="N/A",IF(Table1[[#This Row],[Std Adj Read]]&gt;Table1[[#This Row],[Low Tol]],"Pass","Fail"),IF(Table1[[#This Row],[DUT Adj Read]]&gt;Table1[[#This Row],[Low Tol]],"Pass","Fail")))</f>
        <v>Pass</v>
      </c>
      <c r="AE1694" s="1" t="str">
        <f>IF(AND(Table1[[#This Row],[Spec Type2]]="N/A",Table1[[#This Row],[DUT Adj Read]]="N/A",Table1[[#This Row],[Std Adj Read]]="N/A"),"N/A",IF(Table1[[#This Row],[DUT Adj Read]]="N/A",IF(Table1[[#This Row],[Std Adj Read]]&lt;Table1[[#This Row],[High Tol]],"Pass","Fail"),IF(Table1[[#This Row],[DUT Adj Read]]&lt;Table1[[#This Row],[High Tol]],"Pass","Fail")))</f>
        <v>Fail</v>
      </c>
      <c r="AF1694" s="1" t="str">
        <f>IF(AND(Table1[[#This Row],[Spec Type2]]="N/A",Table1[[#This Row],[DUT Adj Read]]="N/A",Table1[[#This Row],[Std Adj Read]]="N/A"),"N/A",IF(Table1[[#This Row],[DUT Adj Read]]="N/A",IF(Table1[[#This Row],[Std Adj Read]]&gt;=Table1[[#This Row],[Low Tol]],"Pass","Fail"),IF(Table1[[#This Row],[DUT Adj Read]]&gt;=Table1[[#This Row],[Low Tol]],"Pass","Fail")))</f>
        <v>Pass</v>
      </c>
      <c r="AG1694" s="1" t="str">
        <f>IF(AND(Table1[[#This Row],[Spec Type2]]="N/A",Table1[[#This Row],[DUT Adj Read]]="N/A",Table1[[#This Row],[Std Adj Read]]="N/A"),"N/A",IF(Table1[[#This Row],[DUT Adj Read]]="N/A",IF(Table1[[#This Row],[Std Adj Read]]&lt;=Table1[[#This Row],[High Tol]],"Pass","Fail"),IF(Table1[[#This Row],[DUT Adj Read]]&lt;=Table1[[#This Row],[High Tol]],"Pass","Fail")))</f>
        <v>Fail</v>
      </c>
      <c r="AH16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4" s="1" t="b">
        <v>0</v>
      </c>
      <c r="AN1694" s="1" t="b">
        <v>0</v>
      </c>
      <c r="AO1694" s="1" t="b">
        <v>0</v>
      </c>
    </row>
    <row r="1695" spans="1:41" x14ac:dyDescent="0.25">
      <c r="A1695" s="10"/>
      <c r="B1695" s="10"/>
      <c r="C1695" s="10"/>
      <c r="D1695" s="10"/>
      <c r="E1695" s="10"/>
      <c r="F1695" s="10"/>
      <c r="G1695" s="10"/>
      <c r="H1695" s="10"/>
      <c r="I1695" s="1" t="str">
        <f t="shared" si="78"/>
        <v/>
      </c>
      <c r="J1695" s="1" t="s">
        <v>35</v>
      </c>
      <c r="K1695" s="1" t="str">
        <f t="shared" si="79"/>
        <v/>
      </c>
      <c r="L1695" s="1" t="str">
        <f t="shared" si="80"/>
        <v/>
      </c>
      <c r="M1695" s="1">
        <f>IF(OR(Table1[[#This Row],[Std Nom]]="",Table1[[#This Row],[Std Read]]=""),0,Table1[[#This Row],[Std Nom]]-Table1[[#This Row],[Std Read]])</f>
        <v>0</v>
      </c>
      <c r="N1695" s="1">
        <f>IF(Calculations!$F$5="ACCREDITED 17025 WITH UNCERTAINTIES",$N$10,0)</f>
        <v>0</v>
      </c>
      <c r="Q1695" s="1">
        <f>Table1[[#This Row],[High Tol]]-Table1[[#This Row],[Low Tol]]</f>
        <v>0</v>
      </c>
      <c r="R1695" s="1">
        <f>2*Table1[[#This Row],[Std Error]]</f>
        <v>0</v>
      </c>
      <c r="S1695" s="1" t="str">
        <f>IF(Table1[[#This Row],[High Tol]]="","N/A",IFERROR(ABS(Table1[[#This Row],[Tol Span]]/Table1[[#This Row],[Error Span]]),"N/A"))</f>
        <v>N/A</v>
      </c>
      <c r="T1695" s="1" t="str">
        <f>IF(OR(Table1[[#This Row],[Low Tol]]="",Table1[[#This Row],[High Tol]]=""),"Needs Analysis",IF(Table1[[#This Row],[Ratio]]&gt;=4,"Not Significant",IF(Table1[[#This Row],[Ratio]]&gt;=2,"Semi-Significant","Significant")))</f>
        <v>Needs Analysis</v>
      </c>
      <c r="W1695" s="1">
        <f>IF(Table1[[#This Row],[Cal Type]]&lt;&gt;"ACCREDITED 17025 WITH UNCERTAINTIES",0,"")</f>
        <v>0</v>
      </c>
      <c r="X1695" s="1" t="str">
        <f>IF(Table1[[#This Row],[DUT Read]]="","N/A",Table1[[#This Row],[Std Error]]+Table1[[#This Row],[DUT Read]]+Table1[[#This Row],[DUT Ucty]])</f>
        <v>N/A</v>
      </c>
      <c r="Y1695" s="1" t="str">
        <f>IF(Table1[[#This Row],[Std Read]]="","N/A",Table1[[#This Row],[Std Read]]+Table1[[#This Row],[Std Ucty]])</f>
        <v>N/A</v>
      </c>
      <c r="Z16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5" s="1" t="str">
        <f>IF(Table1[[#This Row],[Spec Type]]="","N/A",Table1[[#This Row],[Spec Type]])</f>
        <v>±</v>
      </c>
      <c r="AC1695" s="1" t="str">
        <f>IF(Table1[[#This Row],[Spec Type2]]="N/A","N/A",IF(AND(Table1[[#This Row],[DUT Adj Read]]&gt;=Table1[[#This Row],[Low Tol]],Table1[[#This Row],[DUT Adj Read]]&lt;=Table1[[#This Row],[High Tol]]),"Pass","Fail"))</f>
        <v>Fail</v>
      </c>
      <c r="AD1695" s="1" t="str">
        <f>IF(AND(Table1[[#This Row],[Spec Type2]]="N/A",Table1[[#This Row],[DUT Adj Read]]="N/A",Table1[[#This Row],[Std Adj Read]]="N/A"),"N/A",IF(Table1[[#This Row],[DUT Adj Read]]="N/A",IF(Table1[[#This Row],[Std Adj Read]]&gt;Table1[[#This Row],[Low Tol]],"Pass","Fail"),IF(Table1[[#This Row],[DUT Adj Read]]&gt;Table1[[#This Row],[Low Tol]],"Pass","Fail")))</f>
        <v>Pass</v>
      </c>
      <c r="AE1695" s="1" t="str">
        <f>IF(AND(Table1[[#This Row],[Spec Type2]]="N/A",Table1[[#This Row],[DUT Adj Read]]="N/A",Table1[[#This Row],[Std Adj Read]]="N/A"),"N/A",IF(Table1[[#This Row],[DUT Adj Read]]="N/A",IF(Table1[[#This Row],[Std Adj Read]]&lt;Table1[[#This Row],[High Tol]],"Pass","Fail"),IF(Table1[[#This Row],[DUT Adj Read]]&lt;Table1[[#This Row],[High Tol]],"Pass","Fail")))</f>
        <v>Fail</v>
      </c>
      <c r="AF1695" s="1" t="str">
        <f>IF(AND(Table1[[#This Row],[Spec Type2]]="N/A",Table1[[#This Row],[DUT Adj Read]]="N/A",Table1[[#This Row],[Std Adj Read]]="N/A"),"N/A",IF(Table1[[#This Row],[DUT Adj Read]]="N/A",IF(Table1[[#This Row],[Std Adj Read]]&gt;=Table1[[#This Row],[Low Tol]],"Pass","Fail"),IF(Table1[[#This Row],[DUT Adj Read]]&gt;=Table1[[#This Row],[Low Tol]],"Pass","Fail")))</f>
        <v>Pass</v>
      </c>
      <c r="AG1695" s="1" t="str">
        <f>IF(AND(Table1[[#This Row],[Spec Type2]]="N/A",Table1[[#This Row],[DUT Adj Read]]="N/A",Table1[[#This Row],[Std Adj Read]]="N/A"),"N/A",IF(Table1[[#This Row],[DUT Adj Read]]="N/A",IF(Table1[[#This Row],[Std Adj Read]]&lt;=Table1[[#This Row],[High Tol]],"Pass","Fail"),IF(Table1[[#This Row],[DUT Adj Read]]&lt;=Table1[[#This Row],[High Tol]],"Pass","Fail")))</f>
        <v>Fail</v>
      </c>
      <c r="AH16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5" s="1" t="b">
        <v>0</v>
      </c>
      <c r="AN1695" s="1" t="b">
        <v>0</v>
      </c>
      <c r="AO1695" s="1" t="b">
        <v>0</v>
      </c>
    </row>
    <row r="1696" spans="1:41" x14ac:dyDescent="0.25">
      <c r="A1696" s="10"/>
      <c r="B1696" s="10"/>
      <c r="C1696" s="10"/>
      <c r="D1696" s="10"/>
      <c r="E1696" s="10"/>
      <c r="F1696" s="10"/>
      <c r="G1696" s="10"/>
      <c r="H1696" s="10"/>
      <c r="I1696" s="1" t="str">
        <f t="shared" si="78"/>
        <v/>
      </c>
      <c r="J1696" s="1" t="s">
        <v>35</v>
      </c>
      <c r="K1696" s="1" t="str">
        <f t="shared" si="79"/>
        <v/>
      </c>
      <c r="L1696" s="1" t="str">
        <f t="shared" si="80"/>
        <v/>
      </c>
      <c r="M1696" s="1">
        <f>IF(OR(Table1[[#This Row],[Std Nom]]="",Table1[[#This Row],[Std Read]]=""),0,Table1[[#This Row],[Std Nom]]-Table1[[#This Row],[Std Read]])</f>
        <v>0</v>
      </c>
      <c r="N1696" s="1">
        <f>IF(Calculations!$F$5="ACCREDITED 17025 WITH UNCERTAINTIES",$N$10,0)</f>
        <v>0</v>
      </c>
      <c r="Q1696" s="1">
        <f>Table1[[#This Row],[High Tol]]-Table1[[#This Row],[Low Tol]]</f>
        <v>0</v>
      </c>
      <c r="R1696" s="1">
        <f>2*Table1[[#This Row],[Std Error]]</f>
        <v>0</v>
      </c>
      <c r="S1696" s="1" t="str">
        <f>IF(Table1[[#This Row],[High Tol]]="","N/A",IFERROR(ABS(Table1[[#This Row],[Tol Span]]/Table1[[#This Row],[Error Span]]),"N/A"))</f>
        <v>N/A</v>
      </c>
      <c r="T1696" s="1" t="str">
        <f>IF(OR(Table1[[#This Row],[Low Tol]]="",Table1[[#This Row],[High Tol]]=""),"Needs Analysis",IF(Table1[[#This Row],[Ratio]]&gt;=4,"Not Significant",IF(Table1[[#This Row],[Ratio]]&gt;=2,"Semi-Significant","Significant")))</f>
        <v>Needs Analysis</v>
      </c>
      <c r="W1696" s="1">
        <f>IF(Table1[[#This Row],[Cal Type]]&lt;&gt;"ACCREDITED 17025 WITH UNCERTAINTIES",0,"")</f>
        <v>0</v>
      </c>
      <c r="X1696" s="1" t="str">
        <f>IF(Table1[[#This Row],[DUT Read]]="","N/A",Table1[[#This Row],[Std Error]]+Table1[[#This Row],[DUT Read]]+Table1[[#This Row],[DUT Ucty]])</f>
        <v>N/A</v>
      </c>
      <c r="Y1696" s="1" t="str">
        <f>IF(Table1[[#This Row],[Std Read]]="","N/A",Table1[[#This Row],[Std Read]]+Table1[[#This Row],[Std Ucty]])</f>
        <v>N/A</v>
      </c>
      <c r="Z16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6" s="1" t="str">
        <f>IF(Table1[[#This Row],[Spec Type]]="","N/A",Table1[[#This Row],[Spec Type]])</f>
        <v>±</v>
      </c>
      <c r="AC1696" s="1" t="str">
        <f>IF(Table1[[#This Row],[Spec Type2]]="N/A","N/A",IF(AND(Table1[[#This Row],[DUT Adj Read]]&gt;=Table1[[#This Row],[Low Tol]],Table1[[#This Row],[DUT Adj Read]]&lt;=Table1[[#This Row],[High Tol]]),"Pass","Fail"))</f>
        <v>Fail</v>
      </c>
      <c r="AD1696" s="1" t="str">
        <f>IF(AND(Table1[[#This Row],[Spec Type2]]="N/A",Table1[[#This Row],[DUT Adj Read]]="N/A",Table1[[#This Row],[Std Adj Read]]="N/A"),"N/A",IF(Table1[[#This Row],[DUT Adj Read]]="N/A",IF(Table1[[#This Row],[Std Adj Read]]&gt;Table1[[#This Row],[Low Tol]],"Pass","Fail"),IF(Table1[[#This Row],[DUT Adj Read]]&gt;Table1[[#This Row],[Low Tol]],"Pass","Fail")))</f>
        <v>Pass</v>
      </c>
      <c r="AE1696" s="1" t="str">
        <f>IF(AND(Table1[[#This Row],[Spec Type2]]="N/A",Table1[[#This Row],[DUT Adj Read]]="N/A",Table1[[#This Row],[Std Adj Read]]="N/A"),"N/A",IF(Table1[[#This Row],[DUT Adj Read]]="N/A",IF(Table1[[#This Row],[Std Adj Read]]&lt;Table1[[#This Row],[High Tol]],"Pass","Fail"),IF(Table1[[#This Row],[DUT Adj Read]]&lt;Table1[[#This Row],[High Tol]],"Pass","Fail")))</f>
        <v>Fail</v>
      </c>
      <c r="AF1696" s="1" t="str">
        <f>IF(AND(Table1[[#This Row],[Spec Type2]]="N/A",Table1[[#This Row],[DUT Adj Read]]="N/A",Table1[[#This Row],[Std Adj Read]]="N/A"),"N/A",IF(Table1[[#This Row],[DUT Adj Read]]="N/A",IF(Table1[[#This Row],[Std Adj Read]]&gt;=Table1[[#This Row],[Low Tol]],"Pass","Fail"),IF(Table1[[#This Row],[DUT Adj Read]]&gt;=Table1[[#This Row],[Low Tol]],"Pass","Fail")))</f>
        <v>Pass</v>
      </c>
      <c r="AG1696" s="1" t="str">
        <f>IF(AND(Table1[[#This Row],[Spec Type2]]="N/A",Table1[[#This Row],[DUT Adj Read]]="N/A",Table1[[#This Row],[Std Adj Read]]="N/A"),"N/A",IF(Table1[[#This Row],[DUT Adj Read]]="N/A",IF(Table1[[#This Row],[Std Adj Read]]&lt;=Table1[[#This Row],[High Tol]],"Pass","Fail"),IF(Table1[[#This Row],[DUT Adj Read]]&lt;=Table1[[#This Row],[High Tol]],"Pass","Fail")))</f>
        <v>Fail</v>
      </c>
      <c r="AH16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6" s="1" t="b">
        <v>0</v>
      </c>
      <c r="AN1696" s="1" t="b">
        <v>0</v>
      </c>
      <c r="AO1696" s="1" t="b">
        <v>0</v>
      </c>
    </row>
    <row r="1697" spans="1:41" x14ac:dyDescent="0.25">
      <c r="A1697" s="10"/>
      <c r="B1697" s="10"/>
      <c r="C1697" s="10"/>
      <c r="D1697" s="10"/>
      <c r="E1697" s="10"/>
      <c r="F1697" s="10"/>
      <c r="G1697" s="10"/>
      <c r="H1697" s="10"/>
      <c r="I1697" s="1" t="str">
        <f t="shared" si="78"/>
        <v/>
      </c>
      <c r="J1697" s="1" t="s">
        <v>35</v>
      </c>
      <c r="K1697" s="1" t="str">
        <f t="shared" si="79"/>
        <v/>
      </c>
      <c r="L1697" s="1" t="str">
        <f t="shared" si="80"/>
        <v/>
      </c>
      <c r="M1697" s="1">
        <f>IF(OR(Table1[[#This Row],[Std Nom]]="",Table1[[#This Row],[Std Read]]=""),0,Table1[[#This Row],[Std Nom]]-Table1[[#This Row],[Std Read]])</f>
        <v>0</v>
      </c>
      <c r="N1697" s="1">
        <f>IF(Calculations!$F$5="ACCREDITED 17025 WITH UNCERTAINTIES",$N$10,0)</f>
        <v>0</v>
      </c>
      <c r="Q1697" s="1">
        <f>Table1[[#This Row],[High Tol]]-Table1[[#This Row],[Low Tol]]</f>
        <v>0</v>
      </c>
      <c r="R1697" s="1">
        <f>2*Table1[[#This Row],[Std Error]]</f>
        <v>0</v>
      </c>
      <c r="S1697" s="1" t="str">
        <f>IF(Table1[[#This Row],[High Tol]]="","N/A",IFERROR(ABS(Table1[[#This Row],[Tol Span]]/Table1[[#This Row],[Error Span]]),"N/A"))</f>
        <v>N/A</v>
      </c>
      <c r="T1697" s="1" t="str">
        <f>IF(OR(Table1[[#This Row],[Low Tol]]="",Table1[[#This Row],[High Tol]]=""),"Needs Analysis",IF(Table1[[#This Row],[Ratio]]&gt;=4,"Not Significant",IF(Table1[[#This Row],[Ratio]]&gt;=2,"Semi-Significant","Significant")))</f>
        <v>Needs Analysis</v>
      </c>
      <c r="W1697" s="1">
        <f>IF(Table1[[#This Row],[Cal Type]]&lt;&gt;"ACCREDITED 17025 WITH UNCERTAINTIES",0,"")</f>
        <v>0</v>
      </c>
      <c r="X1697" s="1" t="str">
        <f>IF(Table1[[#This Row],[DUT Read]]="","N/A",Table1[[#This Row],[Std Error]]+Table1[[#This Row],[DUT Read]]+Table1[[#This Row],[DUT Ucty]])</f>
        <v>N/A</v>
      </c>
      <c r="Y1697" s="1" t="str">
        <f>IF(Table1[[#This Row],[Std Read]]="","N/A",Table1[[#This Row],[Std Read]]+Table1[[#This Row],[Std Ucty]])</f>
        <v>N/A</v>
      </c>
      <c r="Z16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7" s="1" t="str">
        <f>IF(Table1[[#This Row],[Spec Type]]="","N/A",Table1[[#This Row],[Spec Type]])</f>
        <v>±</v>
      </c>
      <c r="AC1697" s="1" t="str">
        <f>IF(Table1[[#This Row],[Spec Type2]]="N/A","N/A",IF(AND(Table1[[#This Row],[DUT Adj Read]]&gt;=Table1[[#This Row],[Low Tol]],Table1[[#This Row],[DUT Adj Read]]&lt;=Table1[[#This Row],[High Tol]]),"Pass","Fail"))</f>
        <v>Fail</v>
      </c>
      <c r="AD1697" s="1" t="str">
        <f>IF(AND(Table1[[#This Row],[Spec Type2]]="N/A",Table1[[#This Row],[DUT Adj Read]]="N/A",Table1[[#This Row],[Std Adj Read]]="N/A"),"N/A",IF(Table1[[#This Row],[DUT Adj Read]]="N/A",IF(Table1[[#This Row],[Std Adj Read]]&gt;Table1[[#This Row],[Low Tol]],"Pass","Fail"),IF(Table1[[#This Row],[DUT Adj Read]]&gt;Table1[[#This Row],[Low Tol]],"Pass","Fail")))</f>
        <v>Pass</v>
      </c>
      <c r="AE1697" s="1" t="str">
        <f>IF(AND(Table1[[#This Row],[Spec Type2]]="N/A",Table1[[#This Row],[DUT Adj Read]]="N/A",Table1[[#This Row],[Std Adj Read]]="N/A"),"N/A",IF(Table1[[#This Row],[DUT Adj Read]]="N/A",IF(Table1[[#This Row],[Std Adj Read]]&lt;Table1[[#This Row],[High Tol]],"Pass","Fail"),IF(Table1[[#This Row],[DUT Adj Read]]&lt;Table1[[#This Row],[High Tol]],"Pass","Fail")))</f>
        <v>Fail</v>
      </c>
      <c r="AF1697" s="1" t="str">
        <f>IF(AND(Table1[[#This Row],[Spec Type2]]="N/A",Table1[[#This Row],[DUT Adj Read]]="N/A",Table1[[#This Row],[Std Adj Read]]="N/A"),"N/A",IF(Table1[[#This Row],[DUT Adj Read]]="N/A",IF(Table1[[#This Row],[Std Adj Read]]&gt;=Table1[[#This Row],[Low Tol]],"Pass","Fail"),IF(Table1[[#This Row],[DUT Adj Read]]&gt;=Table1[[#This Row],[Low Tol]],"Pass","Fail")))</f>
        <v>Pass</v>
      </c>
      <c r="AG1697" s="1" t="str">
        <f>IF(AND(Table1[[#This Row],[Spec Type2]]="N/A",Table1[[#This Row],[DUT Adj Read]]="N/A",Table1[[#This Row],[Std Adj Read]]="N/A"),"N/A",IF(Table1[[#This Row],[DUT Adj Read]]="N/A",IF(Table1[[#This Row],[Std Adj Read]]&lt;=Table1[[#This Row],[High Tol]],"Pass","Fail"),IF(Table1[[#This Row],[DUT Adj Read]]&lt;=Table1[[#This Row],[High Tol]],"Pass","Fail")))</f>
        <v>Fail</v>
      </c>
      <c r="AH16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7" s="1" t="b">
        <v>0</v>
      </c>
      <c r="AN1697" s="1" t="b">
        <v>0</v>
      </c>
      <c r="AO1697" s="1" t="b">
        <v>0</v>
      </c>
    </row>
    <row r="1698" spans="1:41" x14ac:dyDescent="0.25">
      <c r="A1698" s="10"/>
      <c r="B1698" s="10"/>
      <c r="C1698" s="10"/>
      <c r="D1698" s="10"/>
      <c r="E1698" s="10"/>
      <c r="F1698" s="10"/>
      <c r="G1698" s="10"/>
      <c r="H1698" s="10"/>
      <c r="I1698" s="1" t="str">
        <f t="shared" si="78"/>
        <v/>
      </c>
      <c r="J1698" s="1" t="s">
        <v>35</v>
      </c>
      <c r="K1698" s="1" t="str">
        <f t="shared" si="79"/>
        <v/>
      </c>
      <c r="L1698" s="1" t="str">
        <f t="shared" si="80"/>
        <v/>
      </c>
      <c r="M1698" s="1">
        <f>IF(OR(Table1[[#This Row],[Std Nom]]="",Table1[[#This Row],[Std Read]]=""),0,Table1[[#This Row],[Std Nom]]-Table1[[#This Row],[Std Read]])</f>
        <v>0</v>
      </c>
      <c r="N1698" s="1">
        <f>IF(Calculations!$F$5="ACCREDITED 17025 WITH UNCERTAINTIES",$N$10,0)</f>
        <v>0</v>
      </c>
      <c r="Q1698" s="1">
        <f>Table1[[#This Row],[High Tol]]-Table1[[#This Row],[Low Tol]]</f>
        <v>0</v>
      </c>
      <c r="R1698" s="1">
        <f>2*Table1[[#This Row],[Std Error]]</f>
        <v>0</v>
      </c>
      <c r="S1698" s="1" t="str">
        <f>IF(Table1[[#This Row],[High Tol]]="","N/A",IFERROR(ABS(Table1[[#This Row],[Tol Span]]/Table1[[#This Row],[Error Span]]),"N/A"))</f>
        <v>N/A</v>
      </c>
      <c r="T1698" s="1" t="str">
        <f>IF(OR(Table1[[#This Row],[Low Tol]]="",Table1[[#This Row],[High Tol]]=""),"Needs Analysis",IF(Table1[[#This Row],[Ratio]]&gt;=4,"Not Significant",IF(Table1[[#This Row],[Ratio]]&gt;=2,"Semi-Significant","Significant")))</f>
        <v>Needs Analysis</v>
      </c>
      <c r="W1698" s="1">
        <f>IF(Table1[[#This Row],[Cal Type]]&lt;&gt;"ACCREDITED 17025 WITH UNCERTAINTIES",0,"")</f>
        <v>0</v>
      </c>
      <c r="X1698" s="1" t="str">
        <f>IF(Table1[[#This Row],[DUT Read]]="","N/A",Table1[[#This Row],[Std Error]]+Table1[[#This Row],[DUT Read]]+Table1[[#This Row],[DUT Ucty]])</f>
        <v>N/A</v>
      </c>
      <c r="Y1698" s="1" t="str">
        <f>IF(Table1[[#This Row],[Std Read]]="","N/A",Table1[[#This Row],[Std Read]]+Table1[[#This Row],[Std Ucty]])</f>
        <v>N/A</v>
      </c>
      <c r="Z16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8" s="1" t="str">
        <f>IF(Table1[[#This Row],[Spec Type]]="","N/A",Table1[[#This Row],[Spec Type]])</f>
        <v>±</v>
      </c>
      <c r="AC1698" s="1" t="str">
        <f>IF(Table1[[#This Row],[Spec Type2]]="N/A","N/A",IF(AND(Table1[[#This Row],[DUT Adj Read]]&gt;=Table1[[#This Row],[Low Tol]],Table1[[#This Row],[DUT Adj Read]]&lt;=Table1[[#This Row],[High Tol]]),"Pass","Fail"))</f>
        <v>Fail</v>
      </c>
      <c r="AD1698" s="1" t="str">
        <f>IF(AND(Table1[[#This Row],[Spec Type2]]="N/A",Table1[[#This Row],[DUT Adj Read]]="N/A",Table1[[#This Row],[Std Adj Read]]="N/A"),"N/A",IF(Table1[[#This Row],[DUT Adj Read]]="N/A",IF(Table1[[#This Row],[Std Adj Read]]&gt;Table1[[#This Row],[Low Tol]],"Pass","Fail"),IF(Table1[[#This Row],[DUT Adj Read]]&gt;Table1[[#This Row],[Low Tol]],"Pass","Fail")))</f>
        <v>Pass</v>
      </c>
      <c r="AE1698" s="1" t="str">
        <f>IF(AND(Table1[[#This Row],[Spec Type2]]="N/A",Table1[[#This Row],[DUT Adj Read]]="N/A",Table1[[#This Row],[Std Adj Read]]="N/A"),"N/A",IF(Table1[[#This Row],[DUT Adj Read]]="N/A",IF(Table1[[#This Row],[Std Adj Read]]&lt;Table1[[#This Row],[High Tol]],"Pass","Fail"),IF(Table1[[#This Row],[DUT Adj Read]]&lt;Table1[[#This Row],[High Tol]],"Pass","Fail")))</f>
        <v>Fail</v>
      </c>
      <c r="AF1698" s="1" t="str">
        <f>IF(AND(Table1[[#This Row],[Spec Type2]]="N/A",Table1[[#This Row],[DUT Adj Read]]="N/A",Table1[[#This Row],[Std Adj Read]]="N/A"),"N/A",IF(Table1[[#This Row],[DUT Adj Read]]="N/A",IF(Table1[[#This Row],[Std Adj Read]]&gt;=Table1[[#This Row],[Low Tol]],"Pass","Fail"),IF(Table1[[#This Row],[DUT Adj Read]]&gt;=Table1[[#This Row],[Low Tol]],"Pass","Fail")))</f>
        <v>Pass</v>
      </c>
      <c r="AG1698" s="1" t="str">
        <f>IF(AND(Table1[[#This Row],[Spec Type2]]="N/A",Table1[[#This Row],[DUT Adj Read]]="N/A",Table1[[#This Row],[Std Adj Read]]="N/A"),"N/A",IF(Table1[[#This Row],[DUT Adj Read]]="N/A",IF(Table1[[#This Row],[Std Adj Read]]&lt;=Table1[[#This Row],[High Tol]],"Pass","Fail"),IF(Table1[[#This Row],[DUT Adj Read]]&lt;=Table1[[#This Row],[High Tol]],"Pass","Fail")))</f>
        <v>Fail</v>
      </c>
      <c r="AH16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8" s="1" t="b">
        <v>0</v>
      </c>
      <c r="AN1698" s="1" t="b">
        <v>0</v>
      </c>
      <c r="AO1698" s="1" t="b">
        <v>0</v>
      </c>
    </row>
    <row r="1699" spans="1:41" x14ac:dyDescent="0.25">
      <c r="A1699" s="10"/>
      <c r="B1699" s="10"/>
      <c r="C1699" s="10"/>
      <c r="D1699" s="10"/>
      <c r="E1699" s="10"/>
      <c r="F1699" s="10"/>
      <c r="G1699" s="10"/>
      <c r="H1699" s="10"/>
      <c r="I1699" s="1" t="str">
        <f t="shared" si="78"/>
        <v/>
      </c>
      <c r="J1699" s="1" t="s">
        <v>35</v>
      </c>
      <c r="K1699" s="1" t="str">
        <f t="shared" si="79"/>
        <v/>
      </c>
      <c r="L1699" s="1" t="str">
        <f t="shared" si="80"/>
        <v/>
      </c>
      <c r="M1699" s="1">
        <f>IF(OR(Table1[[#This Row],[Std Nom]]="",Table1[[#This Row],[Std Read]]=""),0,Table1[[#This Row],[Std Nom]]-Table1[[#This Row],[Std Read]])</f>
        <v>0</v>
      </c>
      <c r="N1699" s="1">
        <f>IF(Calculations!$F$5="ACCREDITED 17025 WITH UNCERTAINTIES",$N$10,0)</f>
        <v>0</v>
      </c>
      <c r="Q1699" s="1">
        <f>Table1[[#This Row],[High Tol]]-Table1[[#This Row],[Low Tol]]</f>
        <v>0</v>
      </c>
      <c r="R1699" s="1">
        <f>2*Table1[[#This Row],[Std Error]]</f>
        <v>0</v>
      </c>
      <c r="S1699" s="1" t="str">
        <f>IF(Table1[[#This Row],[High Tol]]="","N/A",IFERROR(ABS(Table1[[#This Row],[Tol Span]]/Table1[[#This Row],[Error Span]]),"N/A"))</f>
        <v>N/A</v>
      </c>
      <c r="T1699" s="1" t="str">
        <f>IF(OR(Table1[[#This Row],[Low Tol]]="",Table1[[#This Row],[High Tol]]=""),"Needs Analysis",IF(Table1[[#This Row],[Ratio]]&gt;=4,"Not Significant",IF(Table1[[#This Row],[Ratio]]&gt;=2,"Semi-Significant","Significant")))</f>
        <v>Needs Analysis</v>
      </c>
      <c r="W1699" s="1">
        <f>IF(Table1[[#This Row],[Cal Type]]&lt;&gt;"ACCREDITED 17025 WITH UNCERTAINTIES",0,"")</f>
        <v>0</v>
      </c>
      <c r="X1699" s="1" t="str">
        <f>IF(Table1[[#This Row],[DUT Read]]="","N/A",Table1[[#This Row],[Std Error]]+Table1[[#This Row],[DUT Read]]+Table1[[#This Row],[DUT Ucty]])</f>
        <v>N/A</v>
      </c>
      <c r="Y1699" s="1" t="str">
        <f>IF(Table1[[#This Row],[Std Read]]="","N/A",Table1[[#This Row],[Std Read]]+Table1[[#This Row],[Std Ucty]])</f>
        <v>N/A</v>
      </c>
      <c r="Z16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699" s="1" t="str">
        <f>IF(Table1[[#This Row],[Spec Type]]="","N/A",Table1[[#This Row],[Spec Type]])</f>
        <v>±</v>
      </c>
      <c r="AC1699" s="1" t="str">
        <f>IF(Table1[[#This Row],[Spec Type2]]="N/A","N/A",IF(AND(Table1[[#This Row],[DUT Adj Read]]&gt;=Table1[[#This Row],[Low Tol]],Table1[[#This Row],[DUT Adj Read]]&lt;=Table1[[#This Row],[High Tol]]),"Pass","Fail"))</f>
        <v>Fail</v>
      </c>
      <c r="AD1699" s="1" t="str">
        <f>IF(AND(Table1[[#This Row],[Spec Type2]]="N/A",Table1[[#This Row],[DUT Adj Read]]="N/A",Table1[[#This Row],[Std Adj Read]]="N/A"),"N/A",IF(Table1[[#This Row],[DUT Adj Read]]="N/A",IF(Table1[[#This Row],[Std Adj Read]]&gt;Table1[[#This Row],[Low Tol]],"Pass","Fail"),IF(Table1[[#This Row],[DUT Adj Read]]&gt;Table1[[#This Row],[Low Tol]],"Pass","Fail")))</f>
        <v>Pass</v>
      </c>
      <c r="AE1699" s="1" t="str">
        <f>IF(AND(Table1[[#This Row],[Spec Type2]]="N/A",Table1[[#This Row],[DUT Adj Read]]="N/A",Table1[[#This Row],[Std Adj Read]]="N/A"),"N/A",IF(Table1[[#This Row],[DUT Adj Read]]="N/A",IF(Table1[[#This Row],[Std Adj Read]]&lt;Table1[[#This Row],[High Tol]],"Pass","Fail"),IF(Table1[[#This Row],[DUT Adj Read]]&lt;Table1[[#This Row],[High Tol]],"Pass","Fail")))</f>
        <v>Fail</v>
      </c>
      <c r="AF1699" s="1" t="str">
        <f>IF(AND(Table1[[#This Row],[Spec Type2]]="N/A",Table1[[#This Row],[DUT Adj Read]]="N/A",Table1[[#This Row],[Std Adj Read]]="N/A"),"N/A",IF(Table1[[#This Row],[DUT Adj Read]]="N/A",IF(Table1[[#This Row],[Std Adj Read]]&gt;=Table1[[#This Row],[Low Tol]],"Pass","Fail"),IF(Table1[[#This Row],[DUT Adj Read]]&gt;=Table1[[#This Row],[Low Tol]],"Pass","Fail")))</f>
        <v>Pass</v>
      </c>
      <c r="AG1699" s="1" t="str">
        <f>IF(AND(Table1[[#This Row],[Spec Type2]]="N/A",Table1[[#This Row],[DUT Adj Read]]="N/A",Table1[[#This Row],[Std Adj Read]]="N/A"),"N/A",IF(Table1[[#This Row],[DUT Adj Read]]="N/A",IF(Table1[[#This Row],[Std Adj Read]]&lt;=Table1[[#This Row],[High Tol]],"Pass","Fail"),IF(Table1[[#This Row],[DUT Adj Read]]&lt;=Table1[[#This Row],[High Tol]],"Pass","Fail")))</f>
        <v>Fail</v>
      </c>
      <c r="AH16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699" s="1" t="b">
        <v>0</v>
      </c>
      <c r="AN1699" s="1" t="b">
        <v>0</v>
      </c>
      <c r="AO1699" s="1" t="b">
        <v>0</v>
      </c>
    </row>
    <row r="1700" spans="1:41" x14ac:dyDescent="0.25">
      <c r="A1700" s="10"/>
      <c r="B1700" s="10"/>
      <c r="C1700" s="10"/>
      <c r="D1700" s="10"/>
      <c r="E1700" s="10"/>
      <c r="F1700" s="10"/>
      <c r="G1700" s="10"/>
      <c r="H1700" s="10"/>
      <c r="I1700" s="1" t="str">
        <f t="shared" si="78"/>
        <v/>
      </c>
      <c r="J1700" s="1" t="s">
        <v>35</v>
      </c>
      <c r="K1700" s="1" t="str">
        <f t="shared" si="79"/>
        <v/>
      </c>
      <c r="L1700" s="1" t="str">
        <f t="shared" si="80"/>
        <v/>
      </c>
      <c r="M1700" s="1">
        <f>IF(OR(Table1[[#This Row],[Std Nom]]="",Table1[[#This Row],[Std Read]]=""),0,Table1[[#This Row],[Std Nom]]-Table1[[#This Row],[Std Read]])</f>
        <v>0</v>
      </c>
      <c r="N1700" s="1">
        <f>IF(Calculations!$F$5="ACCREDITED 17025 WITH UNCERTAINTIES",$N$10,0)</f>
        <v>0</v>
      </c>
      <c r="Q1700" s="1">
        <f>Table1[[#This Row],[High Tol]]-Table1[[#This Row],[Low Tol]]</f>
        <v>0</v>
      </c>
      <c r="R1700" s="1">
        <f>2*Table1[[#This Row],[Std Error]]</f>
        <v>0</v>
      </c>
      <c r="S1700" s="1" t="str">
        <f>IF(Table1[[#This Row],[High Tol]]="","N/A",IFERROR(ABS(Table1[[#This Row],[Tol Span]]/Table1[[#This Row],[Error Span]]),"N/A"))</f>
        <v>N/A</v>
      </c>
      <c r="T1700" s="1" t="str">
        <f>IF(OR(Table1[[#This Row],[Low Tol]]="",Table1[[#This Row],[High Tol]]=""),"Needs Analysis",IF(Table1[[#This Row],[Ratio]]&gt;=4,"Not Significant",IF(Table1[[#This Row],[Ratio]]&gt;=2,"Semi-Significant","Significant")))</f>
        <v>Needs Analysis</v>
      </c>
      <c r="W1700" s="1">
        <f>IF(Table1[[#This Row],[Cal Type]]&lt;&gt;"ACCREDITED 17025 WITH UNCERTAINTIES",0,"")</f>
        <v>0</v>
      </c>
      <c r="X1700" s="1" t="str">
        <f>IF(Table1[[#This Row],[DUT Read]]="","N/A",Table1[[#This Row],[Std Error]]+Table1[[#This Row],[DUT Read]]+Table1[[#This Row],[DUT Ucty]])</f>
        <v>N/A</v>
      </c>
      <c r="Y1700" s="1" t="str">
        <f>IF(Table1[[#This Row],[Std Read]]="","N/A",Table1[[#This Row],[Std Read]]+Table1[[#This Row],[Std Ucty]])</f>
        <v>N/A</v>
      </c>
      <c r="Z17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0" s="1" t="str">
        <f>IF(Table1[[#This Row],[Spec Type]]="","N/A",Table1[[#This Row],[Spec Type]])</f>
        <v>±</v>
      </c>
      <c r="AC1700" s="1" t="str">
        <f>IF(Table1[[#This Row],[Spec Type2]]="N/A","N/A",IF(AND(Table1[[#This Row],[DUT Adj Read]]&gt;=Table1[[#This Row],[Low Tol]],Table1[[#This Row],[DUT Adj Read]]&lt;=Table1[[#This Row],[High Tol]]),"Pass","Fail"))</f>
        <v>Fail</v>
      </c>
      <c r="AD1700" s="1" t="str">
        <f>IF(AND(Table1[[#This Row],[Spec Type2]]="N/A",Table1[[#This Row],[DUT Adj Read]]="N/A",Table1[[#This Row],[Std Adj Read]]="N/A"),"N/A",IF(Table1[[#This Row],[DUT Adj Read]]="N/A",IF(Table1[[#This Row],[Std Adj Read]]&gt;Table1[[#This Row],[Low Tol]],"Pass","Fail"),IF(Table1[[#This Row],[DUT Adj Read]]&gt;Table1[[#This Row],[Low Tol]],"Pass","Fail")))</f>
        <v>Pass</v>
      </c>
      <c r="AE1700" s="1" t="str">
        <f>IF(AND(Table1[[#This Row],[Spec Type2]]="N/A",Table1[[#This Row],[DUT Adj Read]]="N/A",Table1[[#This Row],[Std Adj Read]]="N/A"),"N/A",IF(Table1[[#This Row],[DUT Adj Read]]="N/A",IF(Table1[[#This Row],[Std Adj Read]]&lt;Table1[[#This Row],[High Tol]],"Pass","Fail"),IF(Table1[[#This Row],[DUT Adj Read]]&lt;Table1[[#This Row],[High Tol]],"Pass","Fail")))</f>
        <v>Fail</v>
      </c>
      <c r="AF1700" s="1" t="str">
        <f>IF(AND(Table1[[#This Row],[Spec Type2]]="N/A",Table1[[#This Row],[DUT Adj Read]]="N/A",Table1[[#This Row],[Std Adj Read]]="N/A"),"N/A",IF(Table1[[#This Row],[DUT Adj Read]]="N/A",IF(Table1[[#This Row],[Std Adj Read]]&gt;=Table1[[#This Row],[Low Tol]],"Pass","Fail"),IF(Table1[[#This Row],[DUT Adj Read]]&gt;=Table1[[#This Row],[Low Tol]],"Pass","Fail")))</f>
        <v>Pass</v>
      </c>
      <c r="AG1700" s="1" t="str">
        <f>IF(AND(Table1[[#This Row],[Spec Type2]]="N/A",Table1[[#This Row],[DUT Adj Read]]="N/A",Table1[[#This Row],[Std Adj Read]]="N/A"),"N/A",IF(Table1[[#This Row],[DUT Adj Read]]="N/A",IF(Table1[[#This Row],[Std Adj Read]]&lt;=Table1[[#This Row],[High Tol]],"Pass","Fail"),IF(Table1[[#This Row],[DUT Adj Read]]&lt;=Table1[[#This Row],[High Tol]],"Pass","Fail")))</f>
        <v>Fail</v>
      </c>
      <c r="AH17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0" s="1" t="b">
        <v>0</v>
      </c>
      <c r="AN1700" s="1" t="b">
        <v>0</v>
      </c>
      <c r="AO1700" s="1" t="b">
        <v>0</v>
      </c>
    </row>
    <row r="1701" spans="1:41" x14ac:dyDescent="0.25">
      <c r="A1701" s="10"/>
      <c r="B1701" s="10"/>
      <c r="C1701" s="10"/>
      <c r="D1701" s="10"/>
      <c r="E1701" s="10"/>
      <c r="F1701" s="10"/>
      <c r="G1701" s="10"/>
      <c r="H1701" s="10"/>
      <c r="I1701" s="1" t="str">
        <f t="shared" si="78"/>
        <v/>
      </c>
      <c r="J1701" s="1" t="s">
        <v>35</v>
      </c>
      <c r="K1701" s="1" t="str">
        <f t="shared" si="79"/>
        <v/>
      </c>
      <c r="L1701" s="1" t="str">
        <f t="shared" si="80"/>
        <v/>
      </c>
      <c r="M1701" s="1">
        <f>IF(OR(Table1[[#This Row],[Std Nom]]="",Table1[[#This Row],[Std Read]]=""),0,Table1[[#This Row],[Std Nom]]-Table1[[#This Row],[Std Read]])</f>
        <v>0</v>
      </c>
      <c r="N1701" s="1">
        <f>IF(Calculations!$F$5="ACCREDITED 17025 WITH UNCERTAINTIES",$N$10,0)</f>
        <v>0</v>
      </c>
      <c r="Q1701" s="1">
        <f>Table1[[#This Row],[High Tol]]-Table1[[#This Row],[Low Tol]]</f>
        <v>0</v>
      </c>
      <c r="R1701" s="1">
        <f>2*Table1[[#This Row],[Std Error]]</f>
        <v>0</v>
      </c>
      <c r="S1701" s="1" t="str">
        <f>IF(Table1[[#This Row],[High Tol]]="","N/A",IFERROR(ABS(Table1[[#This Row],[Tol Span]]/Table1[[#This Row],[Error Span]]),"N/A"))</f>
        <v>N/A</v>
      </c>
      <c r="T1701" s="1" t="str">
        <f>IF(OR(Table1[[#This Row],[Low Tol]]="",Table1[[#This Row],[High Tol]]=""),"Needs Analysis",IF(Table1[[#This Row],[Ratio]]&gt;=4,"Not Significant",IF(Table1[[#This Row],[Ratio]]&gt;=2,"Semi-Significant","Significant")))</f>
        <v>Needs Analysis</v>
      </c>
      <c r="W1701" s="1">
        <f>IF(Table1[[#This Row],[Cal Type]]&lt;&gt;"ACCREDITED 17025 WITH UNCERTAINTIES",0,"")</f>
        <v>0</v>
      </c>
      <c r="X1701" s="1" t="str">
        <f>IF(Table1[[#This Row],[DUT Read]]="","N/A",Table1[[#This Row],[Std Error]]+Table1[[#This Row],[DUT Read]]+Table1[[#This Row],[DUT Ucty]])</f>
        <v>N/A</v>
      </c>
      <c r="Y1701" s="1" t="str">
        <f>IF(Table1[[#This Row],[Std Read]]="","N/A",Table1[[#This Row],[Std Read]]+Table1[[#This Row],[Std Ucty]])</f>
        <v>N/A</v>
      </c>
      <c r="Z17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1" s="1" t="str">
        <f>IF(Table1[[#This Row],[Spec Type]]="","N/A",Table1[[#This Row],[Spec Type]])</f>
        <v>±</v>
      </c>
      <c r="AC1701" s="1" t="str">
        <f>IF(Table1[[#This Row],[Spec Type2]]="N/A","N/A",IF(AND(Table1[[#This Row],[DUT Adj Read]]&gt;=Table1[[#This Row],[Low Tol]],Table1[[#This Row],[DUT Adj Read]]&lt;=Table1[[#This Row],[High Tol]]),"Pass","Fail"))</f>
        <v>Fail</v>
      </c>
      <c r="AD1701" s="1" t="str">
        <f>IF(AND(Table1[[#This Row],[Spec Type2]]="N/A",Table1[[#This Row],[DUT Adj Read]]="N/A",Table1[[#This Row],[Std Adj Read]]="N/A"),"N/A",IF(Table1[[#This Row],[DUT Adj Read]]="N/A",IF(Table1[[#This Row],[Std Adj Read]]&gt;Table1[[#This Row],[Low Tol]],"Pass","Fail"),IF(Table1[[#This Row],[DUT Adj Read]]&gt;Table1[[#This Row],[Low Tol]],"Pass","Fail")))</f>
        <v>Pass</v>
      </c>
      <c r="AE1701" s="1" t="str">
        <f>IF(AND(Table1[[#This Row],[Spec Type2]]="N/A",Table1[[#This Row],[DUT Adj Read]]="N/A",Table1[[#This Row],[Std Adj Read]]="N/A"),"N/A",IF(Table1[[#This Row],[DUT Adj Read]]="N/A",IF(Table1[[#This Row],[Std Adj Read]]&lt;Table1[[#This Row],[High Tol]],"Pass","Fail"),IF(Table1[[#This Row],[DUT Adj Read]]&lt;Table1[[#This Row],[High Tol]],"Pass","Fail")))</f>
        <v>Fail</v>
      </c>
      <c r="AF1701" s="1" t="str">
        <f>IF(AND(Table1[[#This Row],[Spec Type2]]="N/A",Table1[[#This Row],[DUT Adj Read]]="N/A",Table1[[#This Row],[Std Adj Read]]="N/A"),"N/A",IF(Table1[[#This Row],[DUT Adj Read]]="N/A",IF(Table1[[#This Row],[Std Adj Read]]&gt;=Table1[[#This Row],[Low Tol]],"Pass","Fail"),IF(Table1[[#This Row],[DUT Adj Read]]&gt;=Table1[[#This Row],[Low Tol]],"Pass","Fail")))</f>
        <v>Pass</v>
      </c>
      <c r="AG1701" s="1" t="str">
        <f>IF(AND(Table1[[#This Row],[Spec Type2]]="N/A",Table1[[#This Row],[DUT Adj Read]]="N/A",Table1[[#This Row],[Std Adj Read]]="N/A"),"N/A",IF(Table1[[#This Row],[DUT Adj Read]]="N/A",IF(Table1[[#This Row],[Std Adj Read]]&lt;=Table1[[#This Row],[High Tol]],"Pass","Fail"),IF(Table1[[#This Row],[DUT Adj Read]]&lt;=Table1[[#This Row],[High Tol]],"Pass","Fail")))</f>
        <v>Fail</v>
      </c>
      <c r="AH17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1" s="1" t="b">
        <v>0</v>
      </c>
      <c r="AN1701" s="1" t="b">
        <v>0</v>
      </c>
      <c r="AO1701" s="1" t="b">
        <v>0</v>
      </c>
    </row>
    <row r="1702" spans="1:41" x14ac:dyDescent="0.25">
      <c r="A1702" s="10"/>
      <c r="B1702" s="10"/>
      <c r="C1702" s="10"/>
      <c r="D1702" s="10"/>
      <c r="E1702" s="10"/>
      <c r="F1702" s="10"/>
      <c r="G1702" s="10"/>
      <c r="H1702" s="10"/>
      <c r="I1702" s="1" t="str">
        <f t="shared" si="78"/>
        <v/>
      </c>
      <c r="J1702" s="1" t="s">
        <v>35</v>
      </c>
      <c r="K1702" s="1" t="str">
        <f t="shared" si="79"/>
        <v/>
      </c>
      <c r="L1702" s="1" t="str">
        <f t="shared" si="80"/>
        <v/>
      </c>
      <c r="M1702" s="1">
        <f>IF(OR(Table1[[#This Row],[Std Nom]]="",Table1[[#This Row],[Std Read]]=""),0,Table1[[#This Row],[Std Nom]]-Table1[[#This Row],[Std Read]])</f>
        <v>0</v>
      </c>
      <c r="N1702" s="1">
        <f>IF(Calculations!$F$5="ACCREDITED 17025 WITH UNCERTAINTIES",$N$10,0)</f>
        <v>0</v>
      </c>
      <c r="Q1702" s="1">
        <f>Table1[[#This Row],[High Tol]]-Table1[[#This Row],[Low Tol]]</f>
        <v>0</v>
      </c>
      <c r="R1702" s="1">
        <f>2*Table1[[#This Row],[Std Error]]</f>
        <v>0</v>
      </c>
      <c r="S1702" s="1" t="str">
        <f>IF(Table1[[#This Row],[High Tol]]="","N/A",IFERROR(ABS(Table1[[#This Row],[Tol Span]]/Table1[[#This Row],[Error Span]]),"N/A"))</f>
        <v>N/A</v>
      </c>
      <c r="T1702" s="1" t="str">
        <f>IF(OR(Table1[[#This Row],[Low Tol]]="",Table1[[#This Row],[High Tol]]=""),"Needs Analysis",IF(Table1[[#This Row],[Ratio]]&gt;=4,"Not Significant",IF(Table1[[#This Row],[Ratio]]&gt;=2,"Semi-Significant","Significant")))</f>
        <v>Needs Analysis</v>
      </c>
      <c r="W1702" s="1">
        <f>IF(Table1[[#This Row],[Cal Type]]&lt;&gt;"ACCREDITED 17025 WITH UNCERTAINTIES",0,"")</f>
        <v>0</v>
      </c>
      <c r="X1702" s="1" t="str">
        <f>IF(Table1[[#This Row],[DUT Read]]="","N/A",Table1[[#This Row],[Std Error]]+Table1[[#This Row],[DUT Read]]+Table1[[#This Row],[DUT Ucty]])</f>
        <v>N/A</v>
      </c>
      <c r="Y1702" s="1" t="str">
        <f>IF(Table1[[#This Row],[Std Read]]="","N/A",Table1[[#This Row],[Std Read]]+Table1[[#This Row],[Std Ucty]])</f>
        <v>N/A</v>
      </c>
      <c r="Z17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2" s="1" t="str">
        <f>IF(Table1[[#This Row],[Spec Type]]="","N/A",Table1[[#This Row],[Spec Type]])</f>
        <v>±</v>
      </c>
      <c r="AC1702" s="1" t="str">
        <f>IF(Table1[[#This Row],[Spec Type2]]="N/A","N/A",IF(AND(Table1[[#This Row],[DUT Adj Read]]&gt;=Table1[[#This Row],[Low Tol]],Table1[[#This Row],[DUT Adj Read]]&lt;=Table1[[#This Row],[High Tol]]),"Pass","Fail"))</f>
        <v>Fail</v>
      </c>
      <c r="AD1702" s="1" t="str">
        <f>IF(AND(Table1[[#This Row],[Spec Type2]]="N/A",Table1[[#This Row],[DUT Adj Read]]="N/A",Table1[[#This Row],[Std Adj Read]]="N/A"),"N/A",IF(Table1[[#This Row],[DUT Adj Read]]="N/A",IF(Table1[[#This Row],[Std Adj Read]]&gt;Table1[[#This Row],[Low Tol]],"Pass","Fail"),IF(Table1[[#This Row],[DUT Adj Read]]&gt;Table1[[#This Row],[Low Tol]],"Pass","Fail")))</f>
        <v>Pass</v>
      </c>
      <c r="AE1702" s="1" t="str">
        <f>IF(AND(Table1[[#This Row],[Spec Type2]]="N/A",Table1[[#This Row],[DUT Adj Read]]="N/A",Table1[[#This Row],[Std Adj Read]]="N/A"),"N/A",IF(Table1[[#This Row],[DUT Adj Read]]="N/A",IF(Table1[[#This Row],[Std Adj Read]]&lt;Table1[[#This Row],[High Tol]],"Pass","Fail"),IF(Table1[[#This Row],[DUT Adj Read]]&lt;Table1[[#This Row],[High Tol]],"Pass","Fail")))</f>
        <v>Fail</v>
      </c>
      <c r="AF1702" s="1" t="str">
        <f>IF(AND(Table1[[#This Row],[Spec Type2]]="N/A",Table1[[#This Row],[DUT Adj Read]]="N/A",Table1[[#This Row],[Std Adj Read]]="N/A"),"N/A",IF(Table1[[#This Row],[DUT Adj Read]]="N/A",IF(Table1[[#This Row],[Std Adj Read]]&gt;=Table1[[#This Row],[Low Tol]],"Pass","Fail"),IF(Table1[[#This Row],[DUT Adj Read]]&gt;=Table1[[#This Row],[Low Tol]],"Pass","Fail")))</f>
        <v>Pass</v>
      </c>
      <c r="AG1702" s="1" t="str">
        <f>IF(AND(Table1[[#This Row],[Spec Type2]]="N/A",Table1[[#This Row],[DUT Adj Read]]="N/A",Table1[[#This Row],[Std Adj Read]]="N/A"),"N/A",IF(Table1[[#This Row],[DUT Adj Read]]="N/A",IF(Table1[[#This Row],[Std Adj Read]]&lt;=Table1[[#This Row],[High Tol]],"Pass","Fail"),IF(Table1[[#This Row],[DUT Adj Read]]&lt;=Table1[[#This Row],[High Tol]],"Pass","Fail")))</f>
        <v>Fail</v>
      </c>
      <c r="AH17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2" s="1" t="b">
        <v>0</v>
      </c>
      <c r="AN1702" s="1" t="b">
        <v>0</v>
      </c>
      <c r="AO1702" s="1" t="b">
        <v>0</v>
      </c>
    </row>
    <row r="1703" spans="1:41" x14ac:dyDescent="0.25">
      <c r="A1703" s="10"/>
      <c r="B1703" s="10"/>
      <c r="C1703" s="10"/>
      <c r="D1703" s="10"/>
      <c r="E1703" s="10"/>
      <c r="F1703" s="10"/>
      <c r="G1703" s="10"/>
      <c r="H1703" s="10"/>
      <c r="I1703" s="1" t="str">
        <f t="shared" si="78"/>
        <v/>
      </c>
      <c r="J1703" s="1" t="s">
        <v>35</v>
      </c>
      <c r="K1703" s="1" t="str">
        <f t="shared" si="79"/>
        <v/>
      </c>
      <c r="L1703" s="1" t="str">
        <f t="shared" si="80"/>
        <v/>
      </c>
      <c r="M1703" s="1">
        <f>IF(OR(Table1[[#This Row],[Std Nom]]="",Table1[[#This Row],[Std Read]]=""),0,Table1[[#This Row],[Std Nom]]-Table1[[#This Row],[Std Read]])</f>
        <v>0</v>
      </c>
      <c r="N1703" s="1">
        <f>IF(Calculations!$F$5="ACCREDITED 17025 WITH UNCERTAINTIES",$N$10,0)</f>
        <v>0</v>
      </c>
      <c r="Q1703" s="1">
        <f>Table1[[#This Row],[High Tol]]-Table1[[#This Row],[Low Tol]]</f>
        <v>0</v>
      </c>
      <c r="R1703" s="1">
        <f>2*Table1[[#This Row],[Std Error]]</f>
        <v>0</v>
      </c>
      <c r="S1703" s="1" t="str">
        <f>IF(Table1[[#This Row],[High Tol]]="","N/A",IFERROR(ABS(Table1[[#This Row],[Tol Span]]/Table1[[#This Row],[Error Span]]),"N/A"))</f>
        <v>N/A</v>
      </c>
      <c r="T1703" s="1" t="str">
        <f>IF(OR(Table1[[#This Row],[Low Tol]]="",Table1[[#This Row],[High Tol]]=""),"Needs Analysis",IF(Table1[[#This Row],[Ratio]]&gt;=4,"Not Significant",IF(Table1[[#This Row],[Ratio]]&gt;=2,"Semi-Significant","Significant")))</f>
        <v>Needs Analysis</v>
      </c>
      <c r="W1703" s="1">
        <f>IF(Table1[[#This Row],[Cal Type]]&lt;&gt;"ACCREDITED 17025 WITH UNCERTAINTIES",0,"")</f>
        <v>0</v>
      </c>
      <c r="X1703" s="1" t="str">
        <f>IF(Table1[[#This Row],[DUT Read]]="","N/A",Table1[[#This Row],[Std Error]]+Table1[[#This Row],[DUT Read]]+Table1[[#This Row],[DUT Ucty]])</f>
        <v>N/A</v>
      </c>
      <c r="Y1703" s="1" t="str">
        <f>IF(Table1[[#This Row],[Std Read]]="","N/A",Table1[[#This Row],[Std Read]]+Table1[[#This Row],[Std Ucty]])</f>
        <v>N/A</v>
      </c>
      <c r="Z17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3" s="1" t="str">
        <f>IF(Table1[[#This Row],[Spec Type]]="","N/A",Table1[[#This Row],[Spec Type]])</f>
        <v>±</v>
      </c>
      <c r="AC1703" s="1" t="str">
        <f>IF(Table1[[#This Row],[Spec Type2]]="N/A","N/A",IF(AND(Table1[[#This Row],[DUT Adj Read]]&gt;=Table1[[#This Row],[Low Tol]],Table1[[#This Row],[DUT Adj Read]]&lt;=Table1[[#This Row],[High Tol]]),"Pass","Fail"))</f>
        <v>Fail</v>
      </c>
      <c r="AD1703" s="1" t="str">
        <f>IF(AND(Table1[[#This Row],[Spec Type2]]="N/A",Table1[[#This Row],[DUT Adj Read]]="N/A",Table1[[#This Row],[Std Adj Read]]="N/A"),"N/A",IF(Table1[[#This Row],[DUT Adj Read]]="N/A",IF(Table1[[#This Row],[Std Adj Read]]&gt;Table1[[#This Row],[Low Tol]],"Pass","Fail"),IF(Table1[[#This Row],[DUT Adj Read]]&gt;Table1[[#This Row],[Low Tol]],"Pass","Fail")))</f>
        <v>Pass</v>
      </c>
      <c r="AE1703" s="1" t="str">
        <f>IF(AND(Table1[[#This Row],[Spec Type2]]="N/A",Table1[[#This Row],[DUT Adj Read]]="N/A",Table1[[#This Row],[Std Adj Read]]="N/A"),"N/A",IF(Table1[[#This Row],[DUT Adj Read]]="N/A",IF(Table1[[#This Row],[Std Adj Read]]&lt;Table1[[#This Row],[High Tol]],"Pass","Fail"),IF(Table1[[#This Row],[DUT Adj Read]]&lt;Table1[[#This Row],[High Tol]],"Pass","Fail")))</f>
        <v>Fail</v>
      </c>
      <c r="AF1703" s="1" t="str">
        <f>IF(AND(Table1[[#This Row],[Spec Type2]]="N/A",Table1[[#This Row],[DUT Adj Read]]="N/A",Table1[[#This Row],[Std Adj Read]]="N/A"),"N/A",IF(Table1[[#This Row],[DUT Adj Read]]="N/A",IF(Table1[[#This Row],[Std Adj Read]]&gt;=Table1[[#This Row],[Low Tol]],"Pass","Fail"),IF(Table1[[#This Row],[DUT Adj Read]]&gt;=Table1[[#This Row],[Low Tol]],"Pass","Fail")))</f>
        <v>Pass</v>
      </c>
      <c r="AG1703" s="1" t="str">
        <f>IF(AND(Table1[[#This Row],[Spec Type2]]="N/A",Table1[[#This Row],[DUT Adj Read]]="N/A",Table1[[#This Row],[Std Adj Read]]="N/A"),"N/A",IF(Table1[[#This Row],[DUT Adj Read]]="N/A",IF(Table1[[#This Row],[Std Adj Read]]&lt;=Table1[[#This Row],[High Tol]],"Pass","Fail"),IF(Table1[[#This Row],[DUT Adj Read]]&lt;=Table1[[#This Row],[High Tol]],"Pass","Fail")))</f>
        <v>Fail</v>
      </c>
      <c r="AH17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3" s="1" t="b">
        <v>0</v>
      </c>
      <c r="AN1703" s="1" t="b">
        <v>0</v>
      </c>
      <c r="AO1703" s="1" t="b">
        <v>0</v>
      </c>
    </row>
    <row r="1704" spans="1:41" x14ac:dyDescent="0.25">
      <c r="A1704" s="10"/>
      <c r="B1704" s="10"/>
      <c r="C1704" s="10"/>
      <c r="D1704" s="10"/>
      <c r="E1704" s="10"/>
      <c r="F1704" s="10"/>
      <c r="G1704" s="10"/>
      <c r="H1704" s="10"/>
      <c r="I1704" s="1" t="str">
        <f t="shared" si="78"/>
        <v/>
      </c>
      <c r="J1704" s="1" t="s">
        <v>35</v>
      </c>
      <c r="K1704" s="1" t="str">
        <f t="shared" si="79"/>
        <v/>
      </c>
      <c r="L1704" s="1" t="str">
        <f t="shared" si="80"/>
        <v/>
      </c>
      <c r="M1704" s="1">
        <f>IF(OR(Table1[[#This Row],[Std Nom]]="",Table1[[#This Row],[Std Read]]=""),0,Table1[[#This Row],[Std Nom]]-Table1[[#This Row],[Std Read]])</f>
        <v>0</v>
      </c>
      <c r="N1704" s="1">
        <f>IF(Calculations!$F$5="ACCREDITED 17025 WITH UNCERTAINTIES",$N$10,0)</f>
        <v>0</v>
      </c>
      <c r="Q1704" s="1">
        <f>Table1[[#This Row],[High Tol]]-Table1[[#This Row],[Low Tol]]</f>
        <v>0</v>
      </c>
      <c r="R1704" s="1">
        <f>2*Table1[[#This Row],[Std Error]]</f>
        <v>0</v>
      </c>
      <c r="S1704" s="1" t="str">
        <f>IF(Table1[[#This Row],[High Tol]]="","N/A",IFERROR(ABS(Table1[[#This Row],[Tol Span]]/Table1[[#This Row],[Error Span]]),"N/A"))</f>
        <v>N/A</v>
      </c>
      <c r="T1704" s="1" t="str">
        <f>IF(OR(Table1[[#This Row],[Low Tol]]="",Table1[[#This Row],[High Tol]]=""),"Needs Analysis",IF(Table1[[#This Row],[Ratio]]&gt;=4,"Not Significant",IF(Table1[[#This Row],[Ratio]]&gt;=2,"Semi-Significant","Significant")))</f>
        <v>Needs Analysis</v>
      </c>
      <c r="W1704" s="1">
        <f>IF(Table1[[#This Row],[Cal Type]]&lt;&gt;"ACCREDITED 17025 WITH UNCERTAINTIES",0,"")</f>
        <v>0</v>
      </c>
      <c r="X1704" s="1" t="str">
        <f>IF(Table1[[#This Row],[DUT Read]]="","N/A",Table1[[#This Row],[Std Error]]+Table1[[#This Row],[DUT Read]]+Table1[[#This Row],[DUT Ucty]])</f>
        <v>N/A</v>
      </c>
      <c r="Y1704" s="1" t="str">
        <f>IF(Table1[[#This Row],[Std Read]]="","N/A",Table1[[#This Row],[Std Read]]+Table1[[#This Row],[Std Ucty]])</f>
        <v>N/A</v>
      </c>
      <c r="Z17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4" s="1" t="str">
        <f>IF(Table1[[#This Row],[Spec Type]]="","N/A",Table1[[#This Row],[Spec Type]])</f>
        <v>±</v>
      </c>
      <c r="AC1704" s="1" t="str">
        <f>IF(Table1[[#This Row],[Spec Type2]]="N/A","N/A",IF(AND(Table1[[#This Row],[DUT Adj Read]]&gt;=Table1[[#This Row],[Low Tol]],Table1[[#This Row],[DUT Adj Read]]&lt;=Table1[[#This Row],[High Tol]]),"Pass","Fail"))</f>
        <v>Fail</v>
      </c>
      <c r="AD1704" s="1" t="str">
        <f>IF(AND(Table1[[#This Row],[Spec Type2]]="N/A",Table1[[#This Row],[DUT Adj Read]]="N/A",Table1[[#This Row],[Std Adj Read]]="N/A"),"N/A",IF(Table1[[#This Row],[DUT Adj Read]]="N/A",IF(Table1[[#This Row],[Std Adj Read]]&gt;Table1[[#This Row],[Low Tol]],"Pass","Fail"),IF(Table1[[#This Row],[DUT Adj Read]]&gt;Table1[[#This Row],[Low Tol]],"Pass","Fail")))</f>
        <v>Pass</v>
      </c>
      <c r="AE1704" s="1" t="str">
        <f>IF(AND(Table1[[#This Row],[Spec Type2]]="N/A",Table1[[#This Row],[DUT Adj Read]]="N/A",Table1[[#This Row],[Std Adj Read]]="N/A"),"N/A",IF(Table1[[#This Row],[DUT Adj Read]]="N/A",IF(Table1[[#This Row],[Std Adj Read]]&lt;Table1[[#This Row],[High Tol]],"Pass","Fail"),IF(Table1[[#This Row],[DUT Adj Read]]&lt;Table1[[#This Row],[High Tol]],"Pass","Fail")))</f>
        <v>Fail</v>
      </c>
      <c r="AF1704" s="1" t="str">
        <f>IF(AND(Table1[[#This Row],[Spec Type2]]="N/A",Table1[[#This Row],[DUT Adj Read]]="N/A",Table1[[#This Row],[Std Adj Read]]="N/A"),"N/A",IF(Table1[[#This Row],[DUT Adj Read]]="N/A",IF(Table1[[#This Row],[Std Adj Read]]&gt;=Table1[[#This Row],[Low Tol]],"Pass","Fail"),IF(Table1[[#This Row],[DUT Adj Read]]&gt;=Table1[[#This Row],[Low Tol]],"Pass","Fail")))</f>
        <v>Pass</v>
      </c>
      <c r="AG1704" s="1" t="str">
        <f>IF(AND(Table1[[#This Row],[Spec Type2]]="N/A",Table1[[#This Row],[DUT Adj Read]]="N/A",Table1[[#This Row],[Std Adj Read]]="N/A"),"N/A",IF(Table1[[#This Row],[DUT Adj Read]]="N/A",IF(Table1[[#This Row],[Std Adj Read]]&lt;=Table1[[#This Row],[High Tol]],"Pass","Fail"),IF(Table1[[#This Row],[DUT Adj Read]]&lt;=Table1[[#This Row],[High Tol]],"Pass","Fail")))</f>
        <v>Fail</v>
      </c>
      <c r="AH17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4" s="1" t="b">
        <v>0</v>
      </c>
      <c r="AN1704" s="1" t="b">
        <v>0</v>
      </c>
      <c r="AO1704" s="1" t="b">
        <v>0</v>
      </c>
    </row>
    <row r="1705" spans="1:41" x14ac:dyDescent="0.25">
      <c r="A1705" s="10"/>
      <c r="B1705" s="10"/>
      <c r="C1705" s="10"/>
      <c r="D1705" s="10"/>
      <c r="E1705" s="10"/>
      <c r="F1705" s="10"/>
      <c r="G1705" s="10"/>
      <c r="H1705" s="10"/>
      <c r="I1705" s="1" t="str">
        <f t="shared" si="78"/>
        <v/>
      </c>
      <c r="J1705" s="1" t="s">
        <v>35</v>
      </c>
      <c r="K1705" s="1" t="str">
        <f t="shared" si="79"/>
        <v/>
      </c>
      <c r="L1705" s="1" t="str">
        <f t="shared" si="80"/>
        <v/>
      </c>
      <c r="M1705" s="1">
        <f>IF(OR(Table1[[#This Row],[Std Nom]]="",Table1[[#This Row],[Std Read]]=""),0,Table1[[#This Row],[Std Nom]]-Table1[[#This Row],[Std Read]])</f>
        <v>0</v>
      </c>
      <c r="N1705" s="1">
        <f>IF(Calculations!$F$5="ACCREDITED 17025 WITH UNCERTAINTIES",$N$10,0)</f>
        <v>0</v>
      </c>
      <c r="Q1705" s="1">
        <f>Table1[[#This Row],[High Tol]]-Table1[[#This Row],[Low Tol]]</f>
        <v>0</v>
      </c>
      <c r="R1705" s="1">
        <f>2*Table1[[#This Row],[Std Error]]</f>
        <v>0</v>
      </c>
      <c r="S1705" s="1" t="str">
        <f>IF(Table1[[#This Row],[High Tol]]="","N/A",IFERROR(ABS(Table1[[#This Row],[Tol Span]]/Table1[[#This Row],[Error Span]]),"N/A"))</f>
        <v>N/A</v>
      </c>
      <c r="T1705" s="1" t="str">
        <f>IF(OR(Table1[[#This Row],[Low Tol]]="",Table1[[#This Row],[High Tol]]=""),"Needs Analysis",IF(Table1[[#This Row],[Ratio]]&gt;=4,"Not Significant",IF(Table1[[#This Row],[Ratio]]&gt;=2,"Semi-Significant","Significant")))</f>
        <v>Needs Analysis</v>
      </c>
      <c r="W1705" s="1">
        <f>IF(Table1[[#This Row],[Cal Type]]&lt;&gt;"ACCREDITED 17025 WITH UNCERTAINTIES",0,"")</f>
        <v>0</v>
      </c>
      <c r="X1705" s="1" t="str">
        <f>IF(Table1[[#This Row],[DUT Read]]="","N/A",Table1[[#This Row],[Std Error]]+Table1[[#This Row],[DUT Read]]+Table1[[#This Row],[DUT Ucty]])</f>
        <v>N/A</v>
      </c>
      <c r="Y1705" s="1" t="str">
        <f>IF(Table1[[#This Row],[Std Read]]="","N/A",Table1[[#This Row],[Std Read]]+Table1[[#This Row],[Std Ucty]])</f>
        <v>N/A</v>
      </c>
      <c r="Z17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5" s="1" t="str">
        <f>IF(Table1[[#This Row],[Spec Type]]="","N/A",Table1[[#This Row],[Spec Type]])</f>
        <v>±</v>
      </c>
      <c r="AC1705" s="1" t="str">
        <f>IF(Table1[[#This Row],[Spec Type2]]="N/A","N/A",IF(AND(Table1[[#This Row],[DUT Adj Read]]&gt;=Table1[[#This Row],[Low Tol]],Table1[[#This Row],[DUT Adj Read]]&lt;=Table1[[#This Row],[High Tol]]),"Pass","Fail"))</f>
        <v>Fail</v>
      </c>
      <c r="AD1705" s="1" t="str">
        <f>IF(AND(Table1[[#This Row],[Spec Type2]]="N/A",Table1[[#This Row],[DUT Adj Read]]="N/A",Table1[[#This Row],[Std Adj Read]]="N/A"),"N/A",IF(Table1[[#This Row],[DUT Adj Read]]="N/A",IF(Table1[[#This Row],[Std Adj Read]]&gt;Table1[[#This Row],[Low Tol]],"Pass","Fail"),IF(Table1[[#This Row],[DUT Adj Read]]&gt;Table1[[#This Row],[Low Tol]],"Pass","Fail")))</f>
        <v>Pass</v>
      </c>
      <c r="AE1705" s="1" t="str">
        <f>IF(AND(Table1[[#This Row],[Spec Type2]]="N/A",Table1[[#This Row],[DUT Adj Read]]="N/A",Table1[[#This Row],[Std Adj Read]]="N/A"),"N/A",IF(Table1[[#This Row],[DUT Adj Read]]="N/A",IF(Table1[[#This Row],[Std Adj Read]]&lt;Table1[[#This Row],[High Tol]],"Pass","Fail"),IF(Table1[[#This Row],[DUT Adj Read]]&lt;Table1[[#This Row],[High Tol]],"Pass","Fail")))</f>
        <v>Fail</v>
      </c>
      <c r="AF1705" s="1" t="str">
        <f>IF(AND(Table1[[#This Row],[Spec Type2]]="N/A",Table1[[#This Row],[DUT Adj Read]]="N/A",Table1[[#This Row],[Std Adj Read]]="N/A"),"N/A",IF(Table1[[#This Row],[DUT Adj Read]]="N/A",IF(Table1[[#This Row],[Std Adj Read]]&gt;=Table1[[#This Row],[Low Tol]],"Pass","Fail"),IF(Table1[[#This Row],[DUT Adj Read]]&gt;=Table1[[#This Row],[Low Tol]],"Pass","Fail")))</f>
        <v>Pass</v>
      </c>
      <c r="AG1705" s="1" t="str">
        <f>IF(AND(Table1[[#This Row],[Spec Type2]]="N/A",Table1[[#This Row],[DUT Adj Read]]="N/A",Table1[[#This Row],[Std Adj Read]]="N/A"),"N/A",IF(Table1[[#This Row],[DUT Adj Read]]="N/A",IF(Table1[[#This Row],[Std Adj Read]]&lt;=Table1[[#This Row],[High Tol]],"Pass","Fail"),IF(Table1[[#This Row],[DUT Adj Read]]&lt;=Table1[[#This Row],[High Tol]],"Pass","Fail")))</f>
        <v>Fail</v>
      </c>
      <c r="AH17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5" s="1" t="b">
        <v>0</v>
      </c>
      <c r="AN1705" s="1" t="b">
        <v>0</v>
      </c>
      <c r="AO1705" s="1" t="b">
        <v>0</v>
      </c>
    </row>
    <row r="1706" spans="1:41" x14ac:dyDescent="0.25">
      <c r="A1706" s="10"/>
      <c r="B1706" s="10"/>
      <c r="C1706" s="10"/>
      <c r="D1706" s="10"/>
      <c r="E1706" s="10"/>
      <c r="F1706" s="10"/>
      <c r="G1706" s="10"/>
      <c r="H1706" s="10"/>
      <c r="I1706" s="1" t="str">
        <f t="shared" si="78"/>
        <v/>
      </c>
      <c r="J1706" s="1" t="s">
        <v>35</v>
      </c>
      <c r="K1706" s="1" t="str">
        <f t="shared" si="79"/>
        <v/>
      </c>
      <c r="L1706" s="1" t="str">
        <f t="shared" si="80"/>
        <v/>
      </c>
      <c r="M1706" s="1">
        <f>IF(OR(Table1[[#This Row],[Std Nom]]="",Table1[[#This Row],[Std Read]]=""),0,Table1[[#This Row],[Std Nom]]-Table1[[#This Row],[Std Read]])</f>
        <v>0</v>
      </c>
      <c r="N1706" s="1">
        <f>IF(Calculations!$F$5="ACCREDITED 17025 WITH UNCERTAINTIES",$N$10,0)</f>
        <v>0</v>
      </c>
      <c r="Q1706" s="1">
        <f>Table1[[#This Row],[High Tol]]-Table1[[#This Row],[Low Tol]]</f>
        <v>0</v>
      </c>
      <c r="R1706" s="1">
        <f>2*Table1[[#This Row],[Std Error]]</f>
        <v>0</v>
      </c>
      <c r="S1706" s="1" t="str">
        <f>IF(Table1[[#This Row],[High Tol]]="","N/A",IFERROR(ABS(Table1[[#This Row],[Tol Span]]/Table1[[#This Row],[Error Span]]),"N/A"))</f>
        <v>N/A</v>
      </c>
      <c r="T1706" s="1" t="str">
        <f>IF(OR(Table1[[#This Row],[Low Tol]]="",Table1[[#This Row],[High Tol]]=""),"Needs Analysis",IF(Table1[[#This Row],[Ratio]]&gt;=4,"Not Significant",IF(Table1[[#This Row],[Ratio]]&gt;=2,"Semi-Significant","Significant")))</f>
        <v>Needs Analysis</v>
      </c>
      <c r="W1706" s="1">
        <f>IF(Table1[[#This Row],[Cal Type]]&lt;&gt;"ACCREDITED 17025 WITH UNCERTAINTIES",0,"")</f>
        <v>0</v>
      </c>
      <c r="X1706" s="1" t="str">
        <f>IF(Table1[[#This Row],[DUT Read]]="","N/A",Table1[[#This Row],[Std Error]]+Table1[[#This Row],[DUT Read]]+Table1[[#This Row],[DUT Ucty]])</f>
        <v>N/A</v>
      </c>
      <c r="Y1706" s="1" t="str">
        <f>IF(Table1[[#This Row],[Std Read]]="","N/A",Table1[[#This Row],[Std Read]]+Table1[[#This Row],[Std Ucty]])</f>
        <v>N/A</v>
      </c>
      <c r="Z17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6" s="1" t="str">
        <f>IF(Table1[[#This Row],[Spec Type]]="","N/A",Table1[[#This Row],[Spec Type]])</f>
        <v>±</v>
      </c>
      <c r="AC1706" s="1" t="str">
        <f>IF(Table1[[#This Row],[Spec Type2]]="N/A","N/A",IF(AND(Table1[[#This Row],[DUT Adj Read]]&gt;=Table1[[#This Row],[Low Tol]],Table1[[#This Row],[DUT Adj Read]]&lt;=Table1[[#This Row],[High Tol]]),"Pass","Fail"))</f>
        <v>Fail</v>
      </c>
      <c r="AD1706" s="1" t="str">
        <f>IF(AND(Table1[[#This Row],[Spec Type2]]="N/A",Table1[[#This Row],[DUT Adj Read]]="N/A",Table1[[#This Row],[Std Adj Read]]="N/A"),"N/A",IF(Table1[[#This Row],[DUT Adj Read]]="N/A",IF(Table1[[#This Row],[Std Adj Read]]&gt;Table1[[#This Row],[Low Tol]],"Pass","Fail"),IF(Table1[[#This Row],[DUT Adj Read]]&gt;Table1[[#This Row],[Low Tol]],"Pass","Fail")))</f>
        <v>Pass</v>
      </c>
      <c r="AE1706" s="1" t="str">
        <f>IF(AND(Table1[[#This Row],[Spec Type2]]="N/A",Table1[[#This Row],[DUT Adj Read]]="N/A",Table1[[#This Row],[Std Adj Read]]="N/A"),"N/A",IF(Table1[[#This Row],[DUT Adj Read]]="N/A",IF(Table1[[#This Row],[Std Adj Read]]&lt;Table1[[#This Row],[High Tol]],"Pass","Fail"),IF(Table1[[#This Row],[DUT Adj Read]]&lt;Table1[[#This Row],[High Tol]],"Pass","Fail")))</f>
        <v>Fail</v>
      </c>
      <c r="AF1706" s="1" t="str">
        <f>IF(AND(Table1[[#This Row],[Spec Type2]]="N/A",Table1[[#This Row],[DUT Adj Read]]="N/A",Table1[[#This Row],[Std Adj Read]]="N/A"),"N/A",IF(Table1[[#This Row],[DUT Adj Read]]="N/A",IF(Table1[[#This Row],[Std Adj Read]]&gt;=Table1[[#This Row],[Low Tol]],"Pass","Fail"),IF(Table1[[#This Row],[DUT Adj Read]]&gt;=Table1[[#This Row],[Low Tol]],"Pass","Fail")))</f>
        <v>Pass</v>
      </c>
      <c r="AG1706" s="1" t="str">
        <f>IF(AND(Table1[[#This Row],[Spec Type2]]="N/A",Table1[[#This Row],[DUT Adj Read]]="N/A",Table1[[#This Row],[Std Adj Read]]="N/A"),"N/A",IF(Table1[[#This Row],[DUT Adj Read]]="N/A",IF(Table1[[#This Row],[Std Adj Read]]&lt;=Table1[[#This Row],[High Tol]],"Pass","Fail"),IF(Table1[[#This Row],[DUT Adj Read]]&lt;=Table1[[#This Row],[High Tol]],"Pass","Fail")))</f>
        <v>Fail</v>
      </c>
      <c r="AH17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6" s="1" t="b">
        <v>0</v>
      </c>
      <c r="AN1706" s="1" t="b">
        <v>0</v>
      </c>
      <c r="AO1706" s="1" t="b">
        <v>0</v>
      </c>
    </row>
    <row r="1707" spans="1:41" x14ac:dyDescent="0.25">
      <c r="A1707" s="10"/>
      <c r="B1707" s="10"/>
      <c r="C1707" s="10"/>
      <c r="D1707" s="10"/>
      <c r="E1707" s="10"/>
      <c r="F1707" s="10"/>
      <c r="G1707" s="10"/>
      <c r="H1707" s="10"/>
      <c r="I1707" s="1" t="str">
        <f t="shared" si="78"/>
        <v/>
      </c>
      <c r="J1707" s="1" t="s">
        <v>35</v>
      </c>
      <c r="K1707" s="1" t="str">
        <f t="shared" si="79"/>
        <v/>
      </c>
      <c r="L1707" s="1" t="str">
        <f t="shared" si="80"/>
        <v/>
      </c>
      <c r="M1707" s="1">
        <f>IF(OR(Table1[[#This Row],[Std Nom]]="",Table1[[#This Row],[Std Read]]=""),0,Table1[[#This Row],[Std Nom]]-Table1[[#This Row],[Std Read]])</f>
        <v>0</v>
      </c>
      <c r="N1707" s="1">
        <f>IF(Calculations!$F$5="ACCREDITED 17025 WITH UNCERTAINTIES",$N$10,0)</f>
        <v>0</v>
      </c>
      <c r="Q1707" s="1">
        <f>Table1[[#This Row],[High Tol]]-Table1[[#This Row],[Low Tol]]</f>
        <v>0</v>
      </c>
      <c r="R1707" s="1">
        <f>2*Table1[[#This Row],[Std Error]]</f>
        <v>0</v>
      </c>
      <c r="S1707" s="1" t="str">
        <f>IF(Table1[[#This Row],[High Tol]]="","N/A",IFERROR(ABS(Table1[[#This Row],[Tol Span]]/Table1[[#This Row],[Error Span]]),"N/A"))</f>
        <v>N/A</v>
      </c>
      <c r="T1707" s="1" t="str">
        <f>IF(OR(Table1[[#This Row],[Low Tol]]="",Table1[[#This Row],[High Tol]]=""),"Needs Analysis",IF(Table1[[#This Row],[Ratio]]&gt;=4,"Not Significant",IF(Table1[[#This Row],[Ratio]]&gt;=2,"Semi-Significant","Significant")))</f>
        <v>Needs Analysis</v>
      </c>
      <c r="W1707" s="1">
        <f>IF(Table1[[#This Row],[Cal Type]]&lt;&gt;"ACCREDITED 17025 WITH UNCERTAINTIES",0,"")</f>
        <v>0</v>
      </c>
      <c r="X1707" s="1" t="str">
        <f>IF(Table1[[#This Row],[DUT Read]]="","N/A",Table1[[#This Row],[Std Error]]+Table1[[#This Row],[DUT Read]]+Table1[[#This Row],[DUT Ucty]])</f>
        <v>N/A</v>
      </c>
      <c r="Y1707" s="1" t="str">
        <f>IF(Table1[[#This Row],[Std Read]]="","N/A",Table1[[#This Row],[Std Read]]+Table1[[#This Row],[Std Ucty]])</f>
        <v>N/A</v>
      </c>
      <c r="Z17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7" s="1" t="str">
        <f>IF(Table1[[#This Row],[Spec Type]]="","N/A",Table1[[#This Row],[Spec Type]])</f>
        <v>±</v>
      </c>
      <c r="AC1707" s="1" t="str">
        <f>IF(Table1[[#This Row],[Spec Type2]]="N/A","N/A",IF(AND(Table1[[#This Row],[DUT Adj Read]]&gt;=Table1[[#This Row],[Low Tol]],Table1[[#This Row],[DUT Adj Read]]&lt;=Table1[[#This Row],[High Tol]]),"Pass","Fail"))</f>
        <v>Fail</v>
      </c>
      <c r="AD1707" s="1" t="str">
        <f>IF(AND(Table1[[#This Row],[Spec Type2]]="N/A",Table1[[#This Row],[DUT Adj Read]]="N/A",Table1[[#This Row],[Std Adj Read]]="N/A"),"N/A",IF(Table1[[#This Row],[DUT Adj Read]]="N/A",IF(Table1[[#This Row],[Std Adj Read]]&gt;Table1[[#This Row],[Low Tol]],"Pass","Fail"),IF(Table1[[#This Row],[DUT Adj Read]]&gt;Table1[[#This Row],[Low Tol]],"Pass","Fail")))</f>
        <v>Pass</v>
      </c>
      <c r="AE1707" s="1" t="str">
        <f>IF(AND(Table1[[#This Row],[Spec Type2]]="N/A",Table1[[#This Row],[DUT Adj Read]]="N/A",Table1[[#This Row],[Std Adj Read]]="N/A"),"N/A",IF(Table1[[#This Row],[DUT Adj Read]]="N/A",IF(Table1[[#This Row],[Std Adj Read]]&lt;Table1[[#This Row],[High Tol]],"Pass","Fail"),IF(Table1[[#This Row],[DUT Adj Read]]&lt;Table1[[#This Row],[High Tol]],"Pass","Fail")))</f>
        <v>Fail</v>
      </c>
      <c r="AF1707" s="1" t="str">
        <f>IF(AND(Table1[[#This Row],[Spec Type2]]="N/A",Table1[[#This Row],[DUT Adj Read]]="N/A",Table1[[#This Row],[Std Adj Read]]="N/A"),"N/A",IF(Table1[[#This Row],[DUT Adj Read]]="N/A",IF(Table1[[#This Row],[Std Adj Read]]&gt;=Table1[[#This Row],[Low Tol]],"Pass","Fail"),IF(Table1[[#This Row],[DUT Adj Read]]&gt;=Table1[[#This Row],[Low Tol]],"Pass","Fail")))</f>
        <v>Pass</v>
      </c>
      <c r="AG1707" s="1" t="str">
        <f>IF(AND(Table1[[#This Row],[Spec Type2]]="N/A",Table1[[#This Row],[DUT Adj Read]]="N/A",Table1[[#This Row],[Std Adj Read]]="N/A"),"N/A",IF(Table1[[#This Row],[DUT Adj Read]]="N/A",IF(Table1[[#This Row],[Std Adj Read]]&lt;=Table1[[#This Row],[High Tol]],"Pass","Fail"),IF(Table1[[#This Row],[DUT Adj Read]]&lt;=Table1[[#This Row],[High Tol]],"Pass","Fail")))</f>
        <v>Fail</v>
      </c>
      <c r="AH17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7" s="1" t="b">
        <v>0</v>
      </c>
      <c r="AN1707" s="1" t="b">
        <v>0</v>
      </c>
      <c r="AO1707" s="1" t="b">
        <v>0</v>
      </c>
    </row>
    <row r="1708" spans="1:41" x14ac:dyDescent="0.25">
      <c r="A1708" s="10"/>
      <c r="B1708" s="10"/>
      <c r="C1708" s="10"/>
      <c r="D1708" s="10"/>
      <c r="E1708" s="10"/>
      <c r="F1708" s="10"/>
      <c r="G1708" s="10"/>
      <c r="H1708" s="10"/>
      <c r="I1708" s="1" t="str">
        <f t="shared" si="78"/>
        <v/>
      </c>
      <c r="J1708" s="1" t="s">
        <v>35</v>
      </c>
      <c r="K1708" s="1" t="str">
        <f t="shared" si="79"/>
        <v/>
      </c>
      <c r="L1708" s="1" t="str">
        <f t="shared" si="80"/>
        <v/>
      </c>
      <c r="M1708" s="1">
        <f>IF(OR(Table1[[#This Row],[Std Nom]]="",Table1[[#This Row],[Std Read]]=""),0,Table1[[#This Row],[Std Nom]]-Table1[[#This Row],[Std Read]])</f>
        <v>0</v>
      </c>
      <c r="N1708" s="1">
        <f>IF(Calculations!$F$5="ACCREDITED 17025 WITH UNCERTAINTIES",$N$10,0)</f>
        <v>0</v>
      </c>
      <c r="Q1708" s="1">
        <f>Table1[[#This Row],[High Tol]]-Table1[[#This Row],[Low Tol]]</f>
        <v>0</v>
      </c>
      <c r="R1708" s="1">
        <f>2*Table1[[#This Row],[Std Error]]</f>
        <v>0</v>
      </c>
      <c r="S1708" s="1" t="str">
        <f>IF(Table1[[#This Row],[High Tol]]="","N/A",IFERROR(ABS(Table1[[#This Row],[Tol Span]]/Table1[[#This Row],[Error Span]]),"N/A"))</f>
        <v>N/A</v>
      </c>
      <c r="T1708" s="1" t="str">
        <f>IF(OR(Table1[[#This Row],[Low Tol]]="",Table1[[#This Row],[High Tol]]=""),"Needs Analysis",IF(Table1[[#This Row],[Ratio]]&gt;=4,"Not Significant",IF(Table1[[#This Row],[Ratio]]&gt;=2,"Semi-Significant","Significant")))</f>
        <v>Needs Analysis</v>
      </c>
      <c r="W1708" s="1">
        <f>IF(Table1[[#This Row],[Cal Type]]&lt;&gt;"ACCREDITED 17025 WITH UNCERTAINTIES",0,"")</f>
        <v>0</v>
      </c>
      <c r="X1708" s="1" t="str">
        <f>IF(Table1[[#This Row],[DUT Read]]="","N/A",Table1[[#This Row],[Std Error]]+Table1[[#This Row],[DUT Read]]+Table1[[#This Row],[DUT Ucty]])</f>
        <v>N/A</v>
      </c>
      <c r="Y1708" s="1" t="str">
        <f>IF(Table1[[#This Row],[Std Read]]="","N/A",Table1[[#This Row],[Std Read]]+Table1[[#This Row],[Std Ucty]])</f>
        <v>N/A</v>
      </c>
      <c r="Z17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8" s="1" t="str">
        <f>IF(Table1[[#This Row],[Spec Type]]="","N/A",Table1[[#This Row],[Spec Type]])</f>
        <v>±</v>
      </c>
      <c r="AC1708" s="1" t="str">
        <f>IF(Table1[[#This Row],[Spec Type2]]="N/A","N/A",IF(AND(Table1[[#This Row],[DUT Adj Read]]&gt;=Table1[[#This Row],[Low Tol]],Table1[[#This Row],[DUT Adj Read]]&lt;=Table1[[#This Row],[High Tol]]),"Pass","Fail"))</f>
        <v>Fail</v>
      </c>
      <c r="AD1708" s="1" t="str">
        <f>IF(AND(Table1[[#This Row],[Spec Type2]]="N/A",Table1[[#This Row],[DUT Adj Read]]="N/A",Table1[[#This Row],[Std Adj Read]]="N/A"),"N/A",IF(Table1[[#This Row],[DUT Adj Read]]="N/A",IF(Table1[[#This Row],[Std Adj Read]]&gt;Table1[[#This Row],[Low Tol]],"Pass","Fail"),IF(Table1[[#This Row],[DUT Adj Read]]&gt;Table1[[#This Row],[Low Tol]],"Pass","Fail")))</f>
        <v>Pass</v>
      </c>
      <c r="AE1708" s="1" t="str">
        <f>IF(AND(Table1[[#This Row],[Spec Type2]]="N/A",Table1[[#This Row],[DUT Adj Read]]="N/A",Table1[[#This Row],[Std Adj Read]]="N/A"),"N/A",IF(Table1[[#This Row],[DUT Adj Read]]="N/A",IF(Table1[[#This Row],[Std Adj Read]]&lt;Table1[[#This Row],[High Tol]],"Pass","Fail"),IF(Table1[[#This Row],[DUT Adj Read]]&lt;Table1[[#This Row],[High Tol]],"Pass","Fail")))</f>
        <v>Fail</v>
      </c>
      <c r="AF1708" s="1" t="str">
        <f>IF(AND(Table1[[#This Row],[Spec Type2]]="N/A",Table1[[#This Row],[DUT Adj Read]]="N/A",Table1[[#This Row],[Std Adj Read]]="N/A"),"N/A",IF(Table1[[#This Row],[DUT Adj Read]]="N/A",IF(Table1[[#This Row],[Std Adj Read]]&gt;=Table1[[#This Row],[Low Tol]],"Pass","Fail"),IF(Table1[[#This Row],[DUT Adj Read]]&gt;=Table1[[#This Row],[Low Tol]],"Pass","Fail")))</f>
        <v>Pass</v>
      </c>
      <c r="AG1708" s="1" t="str">
        <f>IF(AND(Table1[[#This Row],[Spec Type2]]="N/A",Table1[[#This Row],[DUT Adj Read]]="N/A",Table1[[#This Row],[Std Adj Read]]="N/A"),"N/A",IF(Table1[[#This Row],[DUT Adj Read]]="N/A",IF(Table1[[#This Row],[Std Adj Read]]&lt;=Table1[[#This Row],[High Tol]],"Pass","Fail"),IF(Table1[[#This Row],[DUT Adj Read]]&lt;=Table1[[#This Row],[High Tol]],"Pass","Fail")))</f>
        <v>Fail</v>
      </c>
      <c r="AH17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8" s="1" t="b">
        <v>0</v>
      </c>
      <c r="AN1708" s="1" t="b">
        <v>0</v>
      </c>
      <c r="AO1708" s="1" t="b">
        <v>0</v>
      </c>
    </row>
    <row r="1709" spans="1:41" x14ac:dyDescent="0.25">
      <c r="A1709" s="10"/>
      <c r="B1709" s="10"/>
      <c r="C1709" s="10"/>
      <c r="D1709" s="10"/>
      <c r="E1709" s="10"/>
      <c r="F1709" s="10"/>
      <c r="G1709" s="10"/>
      <c r="H1709" s="10"/>
      <c r="I1709" s="1" t="str">
        <f t="shared" si="78"/>
        <v/>
      </c>
      <c r="J1709" s="1" t="s">
        <v>35</v>
      </c>
      <c r="K1709" s="1" t="str">
        <f t="shared" si="79"/>
        <v/>
      </c>
      <c r="L1709" s="1" t="str">
        <f t="shared" si="80"/>
        <v/>
      </c>
      <c r="M1709" s="1">
        <f>IF(OR(Table1[[#This Row],[Std Nom]]="",Table1[[#This Row],[Std Read]]=""),0,Table1[[#This Row],[Std Nom]]-Table1[[#This Row],[Std Read]])</f>
        <v>0</v>
      </c>
      <c r="N1709" s="1">
        <f>IF(Calculations!$F$5="ACCREDITED 17025 WITH UNCERTAINTIES",$N$10,0)</f>
        <v>0</v>
      </c>
      <c r="Q1709" s="1">
        <f>Table1[[#This Row],[High Tol]]-Table1[[#This Row],[Low Tol]]</f>
        <v>0</v>
      </c>
      <c r="R1709" s="1">
        <f>2*Table1[[#This Row],[Std Error]]</f>
        <v>0</v>
      </c>
      <c r="S1709" s="1" t="str">
        <f>IF(Table1[[#This Row],[High Tol]]="","N/A",IFERROR(ABS(Table1[[#This Row],[Tol Span]]/Table1[[#This Row],[Error Span]]),"N/A"))</f>
        <v>N/A</v>
      </c>
      <c r="T1709" s="1" t="str">
        <f>IF(OR(Table1[[#This Row],[Low Tol]]="",Table1[[#This Row],[High Tol]]=""),"Needs Analysis",IF(Table1[[#This Row],[Ratio]]&gt;=4,"Not Significant",IF(Table1[[#This Row],[Ratio]]&gt;=2,"Semi-Significant","Significant")))</f>
        <v>Needs Analysis</v>
      </c>
      <c r="W1709" s="1">
        <f>IF(Table1[[#This Row],[Cal Type]]&lt;&gt;"ACCREDITED 17025 WITH UNCERTAINTIES",0,"")</f>
        <v>0</v>
      </c>
      <c r="X1709" s="1" t="str">
        <f>IF(Table1[[#This Row],[DUT Read]]="","N/A",Table1[[#This Row],[Std Error]]+Table1[[#This Row],[DUT Read]]+Table1[[#This Row],[DUT Ucty]])</f>
        <v>N/A</v>
      </c>
      <c r="Y1709" s="1" t="str">
        <f>IF(Table1[[#This Row],[Std Read]]="","N/A",Table1[[#This Row],[Std Read]]+Table1[[#This Row],[Std Ucty]])</f>
        <v>N/A</v>
      </c>
      <c r="Z17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09" s="1" t="str">
        <f>IF(Table1[[#This Row],[Spec Type]]="","N/A",Table1[[#This Row],[Spec Type]])</f>
        <v>±</v>
      </c>
      <c r="AC1709" s="1" t="str">
        <f>IF(Table1[[#This Row],[Spec Type2]]="N/A","N/A",IF(AND(Table1[[#This Row],[DUT Adj Read]]&gt;=Table1[[#This Row],[Low Tol]],Table1[[#This Row],[DUT Adj Read]]&lt;=Table1[[#This Row],[High Tol]]),"Pass","Fail"))</f>
        <v>Fail</v>
      </c>
      <c r="AD1709" s="1" t="str">
        <f>IF(AND(Table1[[#This Row],[Spec Type2]]="N/A",Table1[[#This Row],[DUT Adj Read]]="N/A",Table1[[#This Row],[Std Adj Read]]="N/A"),"N/A",IF(Table1[[#This Row],[DUT Adj Read]]="N/A",IF(Table1[[#This Row],[Std Adj Read]]&gt;Table1[[#This Row],[Low Tol]],"Pass","Fail"),IF(Table1[[#This Row],[DUT Adj Read]]&gt;Table1[[#This Row],[Low Tol]],"Pass","Fail")))</f>
        <v>Pass</v>
      </c>
      <c r="AE1709" s="1" t="str">
        <f>IF(AND(Table1[[#This Row],[Spec Type2]]="N/A",Table1[[#This Row],[DUT Adj Read]]="N/A",Table1[[#This Row],[Std Adj Read]]="N/A"),"N/A",IF(Table1[[#This Row],[DUT Adj Read]]="N/A",IF(Table1[[#This Row],[Std Adj Read]]&lt;Table1[[#This Row],[High Tol]],"Pass","Fail"),IF(Table1[[#This Row],[DUT Adj Read]]&lt;Table1[[#This Row],[High Tol]],"Pass","Fail")))</f>
        <v>Fail</v>
      </c>
      <c r="AF1709" s="1" t="str">
        <f>IF(AND(Table1[[#This Row],[Spec Type2]]="N/A",Table1[[#This Row],[DUT Adj Read]]="N/A",Table1[[#This Row],[Std Adj Read]]="N/A"),"N/A",IF(Table1[[#This Row],[DUT Adj Read]]="N/A",IF(Table1[[#This Row],[Std Adj Read]]&gt;=Table1[[#This Row],[Low Tol]],"Pass","Fail"),IF(Table1[[#This Row],[DUT Adj Read]]&gt;=Table1[[#This Row],[Low Tol]],"Pass","Fail")))</f>
        <v>Pass</v>
      </c>
      <c r="AG1709" s="1" t="str">
        <f>IF(AND(Table1[[#This Row],[Spec Type2]]="N/A",Table1[[#This Row],[DUT Adj Read]]="N/A",Table1[[#This Row],[Std Adj Read]]="N/A"),"N/A",IF(Table1[[#This Row],[DUT Adj Read]]="N/A",IF(Table1[[#This Row],[Std Adj Read]]&lt;=Table1[[#This Row],[High Tol]],"Pass","Fail"),IF(Table1[[#This Row],[DUT Adj Read]]&lt;=Table1[[#This Row],[High Tol]],"Pass","Fail")))</f>
        <v>Fail</v>
      </c>
      <c r="AH17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09" s="1" t="b">
        <v>0</v>
      </c>
      <c r="AN1709" s="1" t="b">
        <v>0</v>
      </c>
      <c r="AO1709" s="1" t="b">
        <v>0</v>
      </c>
    </row>
    <row r="1710" spans="1:41" x14ac:dyDescent="0.25">
      <c r="A1710" s="10"/>
      <c r="B1710" s="10"/>
      <c r="C1710" s="10"/>
      <c r="D1710" s="10"/>
      <c r="E1710" s="10"/>
      <c r="F1710" s="10"/>
      <c r="G1710" s="10"/>
      <c r="H1710" s="10"/>
      <c r="I1710" s="1" t="str">
        <f t="shared" si="78"/>
        <v/>
      </c>
      <c r="J1710" s="1" t="s">
        <v>35</v>
      </c>
      <c r="K1710" s="1" t="str">
        <f t="shared" si="79"/>
        <v/>
      </c>
      <c r="L1710" s="1" t="str">
        <f t="shared" si="80"/>
        <v/>
      </c>
      <c r="M1710" s="1">
        <f>IF(OR(Table1[[#This Row],[Std Nom]]="",Table1[[#This Row],[Std Read]]=""),0,Table1[[#This Row],[Std Nom]]-Table1[[#This Row],[Std Read]])</f>
        <v>0</v>
      </c>
      <c r="N1710" s="1">
        <f>IF(Calculations!$F$5="ACCREDITED 17025 WITH UNCERTAINTIES",$N$10,0)</f>
        <v>0</v>
      </c>
      <c r="Q1710" s="1">
        <f>Table1[[#This Row],[High Tol]]-Table1[[#This Row],[Low Tol]]</f>
        <v>0</v>
      </c>
      <c r="R1710" s="1">
        <f>2*Table1[[#This Row],[Std Error]]</f>
        <v>0</v>
      </c>
      <c r="S1710" s="1" t="str">
        <f>IF(Table1[[#This Row],[High Tol]]="","N/A",IFERROR(ABS(Table1[[#This Row],[Tol Span]]/Table1[[#This Row],[Error Span]]),"N/A"))</f>
        <v>N/A</v>
      </c>
      <c r="T1710" s="1" t="str">
        <f>IF(OR(Table1[[#This Row],[Low Tol]]="",Table1[[#This Row],[High Tol]]=""),"Needs Analysis",IF(Table1[[#This Row],[Ratio]]&gt;=4,"Not Significant",IF(Table1[[#This Row],[Ratio]]&gt;=2,"Semi-Significant","Significant")))</f>
        <v>Needs Analysis</v>
      </c>
      <c r="W1710" s="1">
        <f>IF(Table1[[#This Row],[Cal Type]]&lt;&gt;"ACCREDITED 17025 WITH UNCERTAINTIES",0,"")</f>
        <v>0</v>
      </c>
      <c r="X1710" s="1" t="str">
        <f>IF(Table1[[#This Row],[DUT Read]]="","N/A",Table1[[#This Row],[Std Error]]+Table1[[#This Row],[DUT Read]]+Table1[[#This Row],[DUT Ucty]])</f>
        <v>N/A</v>
      </c>
      <c r="Y1710" s="1" t="str">
        <f>IF(Table1[[#This Row],[Std Read]]="","N/A",Table1[[#This Row],[Std Read]]+Table1[[#This Row],[Std Ucty]])</f>
        <v>N/A</v>
      </c>
      <c r="Z17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0" s="1" t="str">
        <f>IF(Table1[[#This Row],[Spec Type]]="","N/A",Table1[[#This Row],[Spec Type]])</f>
        <v>±</v>
      </c>
      <c r="AC1710" s="1" t="str">
        <f>IF(Table1[[#This Row],[Spec Type2]]="N/A","N/A",IF(AND(Table1[[#This Row],[DUT Adj Read]]&gt;=Table1[[#This Row],[Low Tol]],Table1[[#This Row],[DUT Adj Read]]&lt;=Table1[[#This Row],[High Tol]]),"Pass","Fail"))</f>
        <v>Fail</v>
      </c>
      <c r="AD1710" s="1" t="str">
        <f>IF(AND(Table1[[#This Row],[Spec Type2]]="N/A",Table1[[#This Row],[DUT Adj Read]]="N/A",Table1[[#This Row],[Std Adj Read]]="N/A"),"N/A",IF(Table1[[#This Row],[DUT Adj Read]]="N/A",IF(Table1[[#This Row],[Std Adj Read]]&gt;Table1[[#This Row],[Low Tol]],"Pass","Fail"),IF(Table1[[#This Row],[DUT Adj Read]]&gt;Table1[[#This Row],[Low Tol]],"Pass","Fail")))</f>
        <v>Pass</v>
      </c>
      <c r="AE1710" s="1" t="str">
        <f>IF(AND(Table1[[#This Row],[Spec Type2]]="N/A",Table1[[#This Row],[DUT Adj Read]]="N/A",Table1[[#This Row],[Std Adj Read]]="N/A"),"N/A",IF(Table1[[#This Row],[DUT Adj Read]]="N/A",IF(Table1[[#This Row],[Std Adj Read]]&lt;Table1[[#This Row],[High Tol]],"Pass","Fail"),IF(Table1[[#This Row],[DUT Adj Read]]&lt;Table1[[#This Row],[High Tol]],"Pass","Fail")))</f>
        <v>Fail</v>
      </c>
      <c r="AF1710" s="1" t="str">
        <f>IF(AND(Table1[[#This Row],[Spec Type2]]="N/A",Table1[[#This Row],[DUT Adj Read]]="N/A",Table1[[#This Row],[Std Adj Read]]="N/A"),"N/A",IF(Table1[[#This Row],[DUT Adj Read]]="N/A",IF(Table1[[#This Row],[Std Adj Read]]&gt;=Table1[[#This Row],[Low Tol]],"Pass","Fail"),IF(Table1[[#This Row],[DUT Adj Read]]&gt;=Table1[[#This Row],[Low Tol]],"Pass","Fail")))</f>
        <v>Pass</v>
      </c>
      <c r="AG1710" s="1" t="str">
        <f>IF(AND(Table1[[#This Row],[Spec Type2]]="N/A",Table1[[#This Row],[DUT Adj Read]]="N/A",Table1[[#This Row],[Std Adj Read]]="N/A"),"N/A",IF(Table1[[#This Row],[DUT Adj Read]]="N/A",IF(Table1[[#This Row],[Std Adj Read]]&lt;=Table1[[#This Row],[High Tol]],"Pass","Fail"),IF(Table1[[#This Row],[DUT Adj Read]]&lt;=Table1[[#This Row],[High Tol]],"Pass","Fail")))</f>
        <v>Fail</v>
      </c>
      <c r="AH17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0" s="1" t="b">
        <v>0</v>
      </c>
      <c r="AN1710" s="1" t="b">
        <v>0</v>
      </c>
      <c r="AO1710" s="1" t="b">
        <v>0</v>
      </c>
    </row>
    <row r="1711" spans="1:41" x14ac:dyDescent="0.25">
      <c r="A1711" s="10"/>
      <c r="B1711" s="10"/>
      <c r="C1711" s="10"/>
      <c r="D1711" s="10"/>
      <c r="E1711" s="10"/>
      <c r="F1711" s="10"/>
      <c r="G1711" s="10"/>
      <c r="H1711" s="10"/>
      <c r="I1711" s="1" t="str">
        <f t="shared" si="78"/>
        <v/>
      </c>
      <c r="J1711" s="1" t="s">
        <v>35</v>
      </c>
      <c r="K1711" s="1" t="str">
        <f t="shared" si="79"/>
        <v/>
      </c>
      <c r="L1711" s="1" t="str">
        <f t="shared" si="80"/>
        <v/>
      </c>
      <c r="M1711" s="1">
        <f>IF(OR(Table1[[#This Row],[Std Nom]]="",Table1[[#This Row],[Std Read]]=""),0,Table1[[#This Row],[Std Nom]]-Table1[[#This Row],[Std Read]])</f>
        <v>0</v>
      </c>
      <c r="N1711" s="1">
        <f>IF(Calculations!$F$5="ACCREDITED 17025 WITH UNCERTAINTIES",$N$10,0)</f>
        <v>0</v>
      </c>
      <c r="Q1711" s="1">
        <f>Table1[[#This Row],[High Tol]]-Table1[[#This Row],[Low Tol]]</f>
        <v>0</v>
      </c>
      <c r="R1711" s="1">
        <f>2*Table1[[#This Row],[Std Error]]</f>
        <v>0</v>
      </c>
      <c r="S1711" s="1" t="str">
        <f>IF(Table1[[#This Row],[High Tol]]="","N/A",IFERROR(ABS(Table1[[#This Row],[Tol Span]]/Table1[[#This Row],[Error Span]]),"N/A"))</f>
        <v>N/A</v>
      </c>
      <c r="T1711" s="1" t="str">
        <f>IF(OR(Table1[[#This Row],[Low Tol]]="",Table1[[#This Row],[High Tol]]=""),"Needs Analysis",IF(Table1[[#This Row],[Ratio]]&gt;=4,"Not Significant",IF(Table1[[#This Row],[Ratio]]&gt;=2,"Semi-Significant","Significant")))</f>
        <v>Needs Analysis</v>
      </c>
      <c r="W1711" s="1">
        <f>IF(Table1[[#This Row],[Cal Type]]&lt;&gt;"ACCREDITED 17025 WITH UNCERTAINTIES",0,"")</f>
        <v>0</v>
      </c>
      <c r="X1711" s="1" t="str">
        <f>IF(Table1[[#This Row],[DUT Read]]="","N/A",Table1[[#This Row],[Std Error]]+Table1[[#This Row],[DUT Read]]+Table1[[#This Row],[DUT Ucty]])</f>
        <v>N/A</v>
      </c>
      <c r="Y1711" s="1" t="str">
        <f>IF(Table1[[#This Row],[Std Read]]="","N/A",Table1[[#This Row],[Std Read]]+Table1[[#This Row],[Std Ucty]])</f>
        <v>N/A</v>
      </c>
      <c r="Z17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1" s="1" t="str">
        <f>IF(Table1[[#This Row],[Spec Type]]="","N/A",Table1[[#This Row],[Spec Type]])</f>
        <v>±</v>
      </c>
      <c r="AC1711" s="1" t="str">
        <f>IF(Table1[[#This Row],[Spec Type2]]="N/A","N/A",IF(AND(Table1[[#This Row],[DUT Adj Read]]&gt;=Table1[[#This Row],[Low Tol]],Table1[[#This Row],[DUT Adj Read]]&lt;=Table1[[#This Row],[High Tol]]),"Pass","Fail"))</f>
        <v>Fail</v>
      </c>
      <c r="AD1711" s="1" t="str">
        <f>IF(AND(Table1[[#This Row],[Spec Type2]]="N/A",Table1[[#This Row],[DUT Adj Read]]="N/A",Table1[[#This Row],[Std Adj Read]]="N/A"),"N/A",IF(Table1[[#This Row],[DUT Adj Read]]="N/A",IF(Table1[[#This Row],[Std Adj Read]]&gt;Table1[[#This Row],[Low Tol]],"Pass","Fail"),IF(Table1[[#This Row],[DUT Adj Read]]&gt;Table1[[#This Row],[Low Tol]],"Pass","Fail")))</f>
        <v>Pass</v>
      </c>
      <c r="AE1711" s="1" t="str">
        <f>IF(AND(Table1[[#This Row],[Spec Type2]]="N/A",Table1[[#This Row],[DUT Adj Read]]="N/A",Table1[[#This Row],[Std Adj Read]]="N/A"),"N/A",IF(Table1[[#This Row],[DUT Adj Read]]="N/A",IF(Table1[[#This Row],[Std Adj Read]]&lt;Table1[[#This Row],[High Tol]],"Pass","Fail"),IF(Table1[[#This Row],[DUT Adj Read]]&lt;Table1[[#This Row],[High Tol]],"Pass","Fail")))</f>
        <v>Fail</v>
      </c>
      <c r="AF1711" s="1" t="str">
        <f>IF(AND(Table1[[#This Row],[Spec Type2]]="N/A",Table1[[#This Row],[DUT Adj Read]]="N/A",Table1[[#This Row],[Std Adj Read]]="N/A"),"N/A",IF(Table1[[#This Row],[DUT Adj Read]]="N/A",IF(Table1[[#This Row],[Std Adj Read]]&gt;=Table1[[#This Row],[Low Tol]],"Pass","Fail"),IF(Table1[[#This Row],[DUT Adj Read]]&gt;=Table1[[#This Row],[Low Tol]],"Pass","Fail")))</f>
        <v>Pass</v>
      </c>
      <c r="AG1711" s="1" t="str">
        <f>IF(AND(Table1[[#This Row],[Spec Type2]]="N/A",Table1[[#This Row],[DUT Adj Read]]="N/A",Table1[[#This Row],[Std Adj Read]]="N/A"),"N/A",IF(Table1[[#This Row],[DUT Adj Read]]="N/A",IF(Table1[[#This Row],[Std Adj Read]]&lt;=Table1[[#This Row],[High Tol]],"Pass","Fail"),IF(Table1[[#This Row],[DUT Adj Read]]&lt;=Table1[[#This Row],[High Tol]],"Pass","Fail")))</f>
        <v>Fail</v>
      </c>
      <c r="AH17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1" s="1" t="b">
        <v>0</v>
      </c>
      <c r="AN1711" s="1" t="b">
        <v>0</v>
      </c>
      <c r="AO1711" s="1" t="b">
        <v>0</v>
      </c>
    </row>
    <row r="1712" spans="1:41" x14ac:dyDescent="0.25">
      <c r="A1712" s="10"/>
      <c r="B1712" s="10"/>
      <c r="C1712" s="10"/>
      <c r="D1712" s="10"/>
      <c r="E1712" s="10"/>
      <c r="F1712" s="10"/>
      <c r="G1712" s="10"/>
      <c r="H1712" s="10"/>
      <c r="I1712" s="1" t="str">
        <f t="shared" si="78"/>
        <v/>
      </c>
      <c r="J1712" s="1" t="s">
        <v>35</v>
      </c>
      <c r="K1712" s="1" t="str">
        <f t="shared" si="79"/>
        <v/>
      </c>
      <c r="L1712" s="1" t="str">
        <f t="shared" si="80"/>
        <v/>
      </c>
      <c r="M1712" s="1">
        <f>IF(OR(Table1[[#This Row],[Std Nom]]="",Table1[[#This Row],[Std Read]]=""),0,Table1[[#This Row],[Std Nom]]-Table1[[#This Row],[Std Read]])</f>
        <v>0</v>
      </c>
      <c r="N1712" s="1">
        <f>IF(Calculations!$F$5="ACCREDITED 17025 WITH UNCERTAINTIES",$N$10,0)</f>
        <v>0</v>
      </c>
      <c r="Q1712" s="1">
        <f>Table1[[#This Row],[High Tol]]-Table1[[#This Row],[Low Tol]]</f>
        <v>0</v>
      </c>
      <c r="R1712" s="1">
        <f>2*Table1[[#This Row],[Std Error]]</f>
        <v>0</v>
      </c>
      <c r="S1712" s="1" t="str">
        <f>IF(Table1[[#This Row],[High Tol]]="","N/A",IFERROR(ABS(Table1[[#This Row],[Tol Span]]/Table1[[#This Row],[Error Span]]),"N/A"))</f>
        <v>N/A</v>
      </c>
      <c r="T1712" s="1" t="str">
        <f>IF(OR(Table1[[#This Row],[Low Tol]]="",Table1[[#This Row],[High Tol]]=""),"Needs Analysis",IF(Table1[[#This Row],[Ratio]]&gt;=4,"Not Significant",IF(Table1[[#This Row],[Ratio]]&gt;=2,"Semi-Significant","Significant")))</f>
        <v>Needs Analysis</v>
      </c>
      <c r="W1712" s="1">
        <f>IF(Table1[[#This Row],[Cal Type]]&lt;&gt;"ACCREDITED 17025 WITH UNCERTAINTIES",0,"")</f>
        <v>0</v>
      </c>
      <c r="X1712" s="1" t="str">
        <f>IF(Table1[[#This Row],[DUT Read]]="","N/A",Table1[[#This Row],[Std Error]]+Table1[[#This Row],[DUT Read]]+Table1[[#This Row],[DUT Ucty]])</f>
        <v>N/A</v>
      </c>
      <c r="Y1712" s="1" t="str">
        <f>IF(Table1[[#This Row],[Std Read]]="","N/A",Table1[[#This Row],[Std Read]]+Table1[[#This Row],[Std Ucty]])</f>
        <v>N/A</v>
      </c>
      <c r="Z17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2" s="1" t="str">
        <f>IF(Table1[[#This Row],[Spec Type]]="","N/A",Table1[[#This Row],[Spec Type]])</f>
        <v>±</v>
      </c>
      <c r="AC1712" s="1" t="str">
        <f>IF(Table1[[#This Row],[Spec Type2]]="N/A","N/A",IF(AND(Table1[[#This Row],[DUT Adj Read]]&gt;=Table1[[#This Row],[Low Tol]],Table1[[#This Row],[DUT Adj Read]]&lt;=Table1[[#This Row],[High Tol]]),"Pass","Fail"))</f>
        <v>Fail</v>
      </c>
      <c r="AD1712" s="1" t="str">
        <f>IF(AND(Table1[[#This Row],[Spec Type2]]="N/A",Table1[[#This Row],[DUT Adj Read]]="N/A",Table1[[#This Row],[Std Adj Read]]="N/A"),"N/A",IF(Table1[[#This Row],[DUT Adj Read]]="N/A",IF(Table1[[#This Row],[Std Adj Read]]&gt;Table1[[#This Row],[Low Tol]],"Pass","Fail"),IF(Table1[[#This Row],[DUT Adj Read]]&gt;Table1[[#This Row],[Low Tol]],"Pass","Fail")))</f>
        <v>Pass</v>
      </c>
      <c r="AE1712" s="1" t="str">
        <f>IF(AND(Table1[[#This Row],[Spec Type2]]="N/A",Table1[[#This Row],[DUT Adj Read]]="N/A",Table1[[#This Row],[Std Adj Read]]="N/A"),"N/A",IF(Table1[[#This Row],[DUT Adj Read]]="N/A",IF(Table1[[#This Row],[Std Adj Read]]&lt;Table1[[#This Row],[High Tol]],"Pass","Fail"),IF(Table1[[#This Row],[DUT Adj Read]]&lt;Table1[[#This Row],[High Tol]],"Pass","Fail")))</f>
        <v>Fail</v>
      </c>
      <c r="AF1712" s="1" t="str">
        <f>IF(AND(Table1[[#This Row],[Spec Type2]]="N/A",Table1[[#This Row],[DUT Adj Read]]="N/A",Table1[[#This Row],[Std Adj Read]]="N/A"),"N/A",IF(Table1[[#This Row],[DUT Adj Read]]="N/A",IF(Table1[[#This Row],[Std Adj Read]]&gt;=Table1[[#This Row],[Low Tol]],"Pass","Fail"),IF(Table1[[#This Row],[DUT Adj Read]]&gt;=Table1[[#This Row],[Low Tol]],"Pass","Fail")))</f>
        <v>Pass</v>
      </c>
      <c r="AG1712" s="1" t="str">
        <f>IF(AND(Table1[[#This Row],[Spec Type2]]="N/A",Table1[[#This Row],[DUT Adj Read]]="N/A",Table1[[#This Row],[Std Adj Read]]="N/A"),"N/A",IF(Table1[[#This Row],[DUT Adj Read]]="N/A",IF(Table1[[#This Row],[Std Adj Read]]&lt;=Table1[[#This Row],[High Tol]],"Pass","Fail"),IF(Table1[[#This Row],[DUT Adj Read]]&lt;=Table1[[#This Row],[High Tol]],"Pass","Fail")))</f>
        <v>Fail</v>
      </c>
      <c r="AH17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2" s="1" t="b">
        <v>0</v>
      </c>
      <c r="AN1712" s="1" t="b">
        <v>0</v>
      </c>
      <c r="AO1712" s="1" t="b">
        <v>0</v>
      </c>
    </row>
    <row r="1713" spans="1:41" x14ac:dyDescent="0.25">
      <c r="A1713" s="10"/>
      <c r="B1713" s="10"/>
      <c r="C1713" s="10"/>
      <c r="D1713" s="10"/>
      <c r="E1713" s="10"/>
      <c r="F1713" s="10"/>
      <c r="G1713" s="10"/>
      <c r="H1713" s="10"/>
      <c r="I1713" s="1" t="str">
        <f t="shared" si="78"/>
        <v/>
      </c>
      <c r="J1713" s="1" t="s">
        <v>35</v>
      </c>
      <c r="K1713" s="1" t="str">
        <f t="shared" si="79"/>
        <v/>
      </c>
      <c r="L1713" s="1" t="str">
        <f t="shared" si="80"/>
        <v/>
      </c>
      <c r="M1713" s="1">
        <f>IF(OR(Table1[[#This Row],[Std Nom]]="",Table1[[#This Row],[Std Read]]=""),0,Table1[[#This Row],[Std Nom]]-Table1[[#This Row],[Std Read]])</f>
        <v>0</v>
      </c>
      <c r="N1713" s="1">
        <f>IF(Calculations!$F$5="ACCREDITED 17025 WITH UNCERTAINTIES",$N$10,0)</f>
        <v>0</v>
      </c>
      <c r="Q1713" s="1">
        <f>Table1[[#This Row],[High Tol]]-Table1[[#This Row],[Low Tol]]</f>
        <v>0</v>
      </c>
      <c r="R1713" s="1">
        <f>2*Table1[[#This Row],[Std Error]]</f>
        <v>0</v>
      </c>
      <c r="S1713" s="1" t="str">
        <f>IF(Table1[[#This Row],[High Tol]]="","N/A",IFERROR(ABS(Table1[[#This Row],[Tol Span]]/Table1[[#This Row],[Error Span]]),"N/A"))</f>
        <v>N/A</v>
      </c>
      <c r="T1713" s="1" t="str">
        <f>IF(OR(Table1[[#This Row],[Low Tol]]="",Table1[[#This Row],[High Tol]]=""),"Needs Analysis",IF(Table1[[#This Row],[Ratio]]&gt;=4,"Not Significant",IF(Table1[[#This Row],[Ratio]]&gt;=2,"Semi-Significant","Significant")))</f>
        <v>Needs Analysis</v>
      </c>
      <c r="W1713" s="1">
        <f>IF(Table1[[#This Row],[Cal Type]]&lt;&gt;"ACCREDITED 17025 WITH UNCERTAINTIES",0,"")</f>
        <v>0</v>
      </c>
      <c r="X1713" s="1" t="str">
        <f>IF(Table1[[#This Row],[DUT Read]]="","N/A",Table1[[#This Row],[Std Error]]+Table1[[#This Row],[DUT Read]]+Table1[[#This Row],[DUT Ucty]])</f>
        <v>N/A</v>
      </c>
      <c r="Y1713" s="1" t="str">
        <f>IF(Table1[[#This Row],[Std Read]]="","N/A",Table1[[#This Row],[Std Read]]+Table1[[#This Row],[Std Ucty]])</f>
        <v>N/A</v>
      </c>
      <c r="Z17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3" s="1" t="str">
        <f>IF(Table1[[#This Row],[Spec Type]]="","N/A",Table1[[#This Row],[Spec Type]])</f>
        <v>±</v>
      </c>
      <c r="AC1713" s="1" t="str">
        <f>IF(Table1[[#This Row],[Spec Type2]]="N/A","N/A",IF(AND(Table1[[#This Row],[DUT Adj Read]]&gt;=Table1[[#This Row],[Low Tol]],Table1[[#This Row],[DUT Adj Read]]&lt;=Table1[[#This Row],[High Tol]]),"Pass","Fail"))</f>
        <v>Fail</v>
      </c>
      <c r="AD1713" s="1" t="str">
        <f>IF(AND(Table1[[#This Row],[Spec Type2]]="N/A",Table1[[#This Row],[DUT Adj Read]]="N/A",Table1[[#This Row],[Std Adj Read]]="N/A"),"N/A",IF(Table1[[#This Row],[DUT Adj Read]]="N/A",IF(Table1[[#This Row],[Std Adj Read]]&gt;Table1[[#This Row],[Low Tol]],"Pass","Fail"),IF(Table1[[#This Row],[DUT Adj Read]]&gt;Table1[[#This Row],[Low Tol]],"Pass","Fail")))</f>
        <v>Pass</v>
      </c>
      <c r="AE1713" s="1" t="str">
        <f>IF(AND(Table1[[#This Row],[Spec Type2]]="N/A",Table1[[#This Row],[DUT Adj Read]]="N/A",Table1[[#This Row],[Std Adj Read]]="N/A"),"N/A",IF(Table1[[#This Row],[DUT Adj Read]]="N/A",IF(Table1[[#This Row],[Std Adj Read]]&lt;Table1[[#This Row],[High Tol]],"Pass","Fail"),IF(Table1[[#This Row],[DUT Adj Read]]&lt;Table1[[#This Row],[High Tol]],"Pass","Fail")))</f>
        <v>Fail</v>
      </c>
      <c r="AF1713" s="1" t="str">
        <f>IF(AND(Table1[[#This Row],[Spec Type2]]="N/A",Table1[[#This Row],[DUT Adj Read]]="N/A",Table1[[#This Row],[Std Adj Read]]="N/A"),"N/A",IF(Table1[[#This Row],[DUT Adj Read]]="N/A",IF(Table1[[#This Row],[Std Adj Read]]&gt;=Table1[[#This Row],[Low Tol]],"Pass","Fail"),IF(Table1[[#This Row],[DUT Adj Read]]&gt;=Table1[[#This Row],[Low Tol]],"Pass","Fail")))</f>
        <v>Pass</v>
      </c>
      <c r="AG1713" s="1" t="str">
        <f>IF(AND(Table1[[#This Row],[Spec Type2]]="N/A",Table1[[#This Row],[DUT Adj Read]]="N/A",Table1[[#This Row],[Std Adj Read]]="N/A"),"N/A",IF(Table1[[#This Row],[DUT Adj Read]]="N/A",IF(Table1[[#This Row],[Std Adj Read]]&lt;=Table1[[#This Row],[High Tol]],"Pass","Fail"),IF(Table1[[#This Row],[DUT Adj Read]]&lt;=Table1[[#This Row],[High Tol]],"Pass","Fail")))</f>
        <v>Fail</v>
      </c>
      <c r="AH17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3" s="1" t="b">
        <v>0</v>
      </c>
      <c r="AN1713" s="1" t="b">
        <v>0</v>
      </c>
      <c r="AO1713" s="1" t="b">
        <v>0</v>
      </c>
    </row>
    <row r="1714" spans="1:41" x14ac:dyDescent="0.25">
      <c r="A1714" s="10"/>
      <c r="B1714" s="10"/>
      <c r="C1714" s="10"/>
      <c r="D1714" s="10"/>
      <c r="E1714" s="10"/>
      <c r="F1714" s="10"/>
      <c r="G1714" s="10"/>
      <c r="H1714" s="10"/>
      <c r="I1714" s="1" t="str">
        <f t="shared" si="78"/>
        <v/>
      </c>
      <c r="J1714" s="1" t="s">
        <v>35</v>
      </c>
      <c r="K1714" s="1" t="str">
        <f t="shared" si="79"/>
        <v/>
      </c>
      <c r="L1714" s="1" t="str">
        <f t="shared" si="80"/>
        <v/>
      </c>
      <c r="M1714" s="1">
        <f>IF(OR(Table1[[#This Row],[Std Nom]]="",Table1[[#This Row],[Std Read]]=""),0,Table1[[#This Row],[Std Nom]]-Table1[[#This Row],[Std Read]])</f>
        <v>0</v>
      </c>
      <c r="N1714" s="1">
        <f>IF(Calculations!$F$5="ACCREDITED 17025 WITH UNCERTAINTIES",$N$10,0)</f>
        <v>0</v>
      </c>
      <c r="Q1714" s="1">
        <f>Table1[[#This Row],[High Tol]]-Table1[[#This Row],[Low Tol]]</f>
        <v>0</v>
      </c>
      <c r="R1714" s="1">
        <f>2*Table1[[#This Row],[Std Error]]</f>
        <v>0</v>
      </c>
      <c r="S1714" s="1" t="str">
        <f>IF(Table1[[#This Row],[High Tol]]="","N/A",IFERROR(ABS(Table1[[#This Row],[Tol Span]]/Table1[[#This Row],[Error Span]]),"N/A"))</f>
        <v>N/A</v>
      </c>
      <c r="T1714" s="1" t="str">
        <f>IF(OR(Table1[[#This Row],[Low Tol]]="",Table1[[#This Row],[High Tol]]=""),"Needs Analysis",IF(Table1[[#This Row],[Ratio]]&gt;=4,"Not Significant",IF(Table1[[#This Row],[Ratio]]&gt;=2,"Semi-Significant","Significant")))</f>
        <v>Needs Analysis</v>
      </c>
      <c r="W1714" s="1">
        <f>IF(Table1[[#This Row],[Cal Type]]&lt;&gt;"ACCREDITED 17025 WITH UNCERTAINTIES",0,"")</f>
        <v>0</v>
      </c>
      <c r="X1714" s="1" t="str">
        <f>IF(Table1[[#This Row],[DUT Read]]="","N/A",Table1[[#This Row],[Std Error]]+Table1[[#This Row],[DUT Read]]+Table1[[#This Row],[DUT Ucty]])</f>
        <v>N/A</v>
      </c>
      <c r="Y1714" s="1" t="str">
        <f>IF(Table1[[#This Row],[Std Read]]="","N/A",Table1[[#This Row],[Std Read]]+Table1[[#This Row],[Std Ucty]])</f>
        <v>N/A</v>
      </c>
      <c r="Z17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4" s="1" t="str">
        <f>IF(Table1[[#This Row],[Spec Type]]="","N/A",Table1[[#This Row],[Spec Type]])</f>
        <v>±</v>
      </c>
      <c r="AC1714" s="1" t="str">
        <f>IF(Table1[[#This Row],[Spec Type2]]="N/A","N/A",IF(AND(Table1[[#This Row],[DUT Adj Read]]&gt;=Table1[[#This Row],[Low Tol]],Table1[[#This Row],[DUT Adj Read]]&lt;=Table1[[#This Row],[High Tol]]),"Pass","Fail"))</f>
        <v>Fail</v>
      </c>
      <c r="AD1714" s="1" t="str">
        <f>IF(AND(Table1[[#This Row],[Spec Type2]]="N/A",Table1[[#This Row],[DUT Adj Read]]="N/A",Table1[[#This Row],[Std Adj Read]]="N/A"),"N/A",IF(Table1[[#This Row],[DUT Adj Read]]="N/A",IF(Table1[[#This Row],[Std Adj Read]]&gt;Table1[[#This Row],[Low Tol]],"Pass","Fail"),IF(Table1[[#This Row],[DUT Adj Read]]&gt;Table1[[#This Row],[Low Tol]],"Pass","Fail")))</f>
        <v>Pass</v>
      </c>
      <c r="AE1714" s="1" t="str">
        <f>IF(AND(Table1[[#This Row],[Spec Type2]]="N/A",Table1[[#This Row],[DUT Adj Read]]="N/A",Table1[[#This Row],[Std Adj Read]]="N/A"),"N/A",IF(Table1[[#This Row],[DUT Adj Read]]="N/A",IF(Table1[[#This Row],[Std Adj Read]]&lt;Table1[[#This Row],[High Tol]],"Pass","Fail"),IF(Table1[[#This Row],[DUT Adj Read]]&lt;Table1[[#This Row],[High Tol]],"Pass","Fail")))</f>
        <v>Fail</v>
      </c>
      <c r="AF1714" s="1" t="str">
        <f>IF(AND(Table1[[#This Row],[Spec Type2]]="N/A",Table1[[#This Row],[DUT Adj Read]]="N/A",Table1[[#This Row],[Std Adj Read]]="N/A"),"N/A",IF(Table1[[#This Row],[DUT Adj Read]]="N/A",IF(Table1[[#This Row],[Std Adj Read]]&gt;=Table1[[#This Row],[Low Tol]],"Pass","Fail"),IF(Table1[[#This Row],[DUT Adj Read]]&gt;=Table1[[#This Row],[Low Tol]],"Pass","Fail")))</f>
        <v>Pass</v>
      </c>
      <c r="AG1714" s="1" t="str">
        <f>IF(AND(Table1[[#This Row],[Spec Type2]]="N/A",Table1[[#This Row],[DUT Adj Read]]="N/A",Table1[[#This Row],[Std Adj Read]]="N/A"),"N/A",IF(Table1[[#This Row],[DUT Adj Read]]="N/A",IF(Table1[[#This Row],[Std Adj Read]]&lt;=Table1[[#This Row],[High Tol]],"Pass","Fail"),IF(Table1[[#This Row],[DUT Adj Read]]&lt;=Table1[[#This Row],[High Tol]],"Pass","Fail")))</f>
        <v>Fail</v>
      </c>
      <c r="AH17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4" s="1" t="b">
        <v>0</v>
      </c>
      <c r="AN1714" s="1" t="b">
        <v>0</v>
      </c>
      <c r="AO1714" s="1" t="b">
        <v>0</v>
      </c>
    </row>
    <row r="1715" spans="1:41" x14ac:dyDescent="0.25">
      <c r="A1715" s="10"/>
      <c r="B1715" s="10"/>
      <c r="C1715" s="10"/>
      <c r="D1715" s="10"/>
      <c r="E1715" s="10"/>
      <c r="F1715" s="10"/>
      <c r="G1715" s="10"/>
      <c r="H1715" s="10"/>
      <c r="I1715" s="1" t="str">
        <f t="shared" si="78"/>
        <v/>
      </c>
      <c r="J1715" s="1" t="s">
        <v>35</v>
      </c>
      <c r="K1715" s="1" t="str">
        <f t="shared" si="79"/>
        <v/>
      </c>
      <c r="L1715" s="1" t="str">
        <f t="shared" si="80"/>
        <v/>
      </c>
      <c r="M1715" s="1">
        <f>IF(OR(Table1[[#This Row],[Std Nom]]="",Table1[[#This Row],[Std Read]]=""),0,Table1[[#This Row],[Std Nom]]-Table1[[#This Row],[Std Read]])</f>
        <v>0</v>
      </c>
      <c r="N1715" s="1">
        <f>IF(Calculations!$F$5="ACCREDITED 17025 WITH UNCERTAINTIES",$N$10,0)</f>
        <v>0</v>
      </c>
      <c r="Q1715" s="1">
        <f>Table1[[#This Row],[High Tol]]-Table1[[#This Row],[Low Tol]]</f>
        <v>0</v>
      </c>
      <c r="R1715" s="1">
        <f>2*Table1[[#This Row],[Std Error]]</f>
        <v>0</v>
      </c>
      <c r="S1715" s="1" t="str">
        <f>IF(Table1[[#This Row],[High Tol]]="","N/A",IFERROR(ABS(Table1[[#This Row],[Tol Span]]/Table1[[#This Row],[Error Span]]),"N/A"))</f>
        <v>N/A</v>
      </c>
      <c r="T1715" s="1" t="str">
        <f>IF(OR(Table1[[#This Row],[Low Tol]]="",Table1[[#This Row],[High Tol]]=""),"Needs Analysis",IF(Table1[[#This Row],[Ratio]]&gt;=4,"Not Significant",IF(Table1[[#This Row],[Ratio]]&gt;=2,"Semi-Significant","Significant")))</f>
        <v>Needs Analysis</v>
      </c>
      <c r="W1715" s="1">
        <f>IF(Table1[[#This Row],[Cal Type]]&lt;&gt;"ACCREDITED 17025 WITH UNCERTAINTIES",0,"")</f>
        <v>0</v>
      </c>
      <c r="X1715" s="1" t="str">
        <f>IF(Table1[[#This Row],[DUT Read]]="","N/A",Table1[[#This Row],[Std Error]]+Table1[[#This Row],[DUT Read]]+Table1[[#This Row],[DUT Ucty]])</f>
        <v>N/A</v>
      </c>
      <c r="Y1715" s="1" t="str">
        <f>IF(Table1[[#This Row],[Std Read]]="","N/A",Table1[[#This Row],[Std Read]]+Table1[[#This Row],[Std Ucty]])</f>
        <v>N/A</v>
      </c>
      <c r="Z17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5" s="1" t="str">
        <f>IF(Table1[[#This Row],[Spec Type]]="","N/A",Table1[[#This Row],[Spec Type]])</f>
        <v>±</v>
      </c>
      <c r="AC1715" s="1" t="str">
        <f>IF(Table1[[#This Row],[Spec Type2]]="N/A","N/A",IF(AND(Table1[[#This Row],[DUT Adj Read]]&gt;=Table1[[#This Row],[Low Tol]],Table1[[#This Row],[DUT Adj Read]]&lt;=Table1[[#This Row],[High Tol]]),"Pass","Fail"))</f>
        <v>Fail</v>
      </c>
      <c r="AD1715" s="1" t="str">
        <f>IF(AND(Table1[[#This Row],[Spec Type2]]="N/A",Table1[[#This Row],[DUT Adj Read]]="N/A",Table1[[#This Row],[Std Adj Read]]="N/A"),"N/A",IF(Table1[[#This Row],[DUT Adj Read]]="N/A",IF(Table1[[#This Row],[Std Adj Read]]&gt;Table1[[#This Row],[Low Tol]],"Pass","Fail"),IF(Table1[[#This Row],[DUT Adj Read]]&gt;Table1[[#This Row],[Low Tol]],"Pass","Fail")))</f>
        <v>Pass</v>
      </c>
      <c r="AE1715" s="1" t="str">
        <f>IF(AND(Table1[[#This Row],[Spec Type2]]="N/A",Table1[[#This Row],[DUT Adj Read]]="N/A",Table1[[#This Row],[Std Adj Read]]="N/A"),"N/A",IF(Table1[[#This Row],[DUT Adj Read]]="N/A",IF(Table1[[#This Row],[Std Adj Read]]&lt;Table1[[#This Row],[High Tol]],"Pass","Fail"),IF(Table1[[#This Row],[DUT Adj Read]]&lt;Table1[[#This Row],[High Tol]],"Pass","Fail")))</f>
        <v>Fail</v>
      </c>
      <c r="AF1715" s="1" t="str">
        <f>IF(AND(Table1[[#This Row],[Spec Type2]]="N/A",Table1[[#This Row],[DUT Adj Read]]="N/A",Table1[[#This Row],[Std Adj Read]]="N/A"),"N/A",IF(Table1[[#This Row],[DUT Adj Read]]="N/A",IF(Table1[[#This Row],[Std Adj Read]]&gt;=Table1[[#This Row],[Low Tol]],"Pass","Fail"),IF(Table1[[#This Row],[DUT Adj Read]]&gt;=Table1[[#This Row],[Low Tol]],"Pass","Fail")))</f>
        <v>Pass</v>
      </c>
      <c r="AG1715" s="1" t="str">
        <f>IF(AND(Table1[[#This Row],[Spec Type2]]="N/A",Table1[[#This Row],[DUT Adj Read]]="N/A",Table1[[#This Row],[Std Adj Read]]="N/A"),"N/A",IF(Table1[[#This Row],[DUT Adj Read]]="N/A",IF(Table1[[#This Row],[Std Adj Read]]&lt;=Table1[[#This Row],[High Tol]],"Pass","Fail"),IF(Table1[[#This Row],[DUT Adj Read]]&lt;=Table1[[#This Row],[High Tol]],"Pass","Fail")))</f>
        <v>Fail</v>
      </c>
      <c r="AH17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5" s="1" t="b">
        <v>0</v>
      </c>
      <c r="AN1715" s="1" t="b">
        <v>0</v>
      </c>
      <c r="AO1715" s="1" t="b">
        <v>0</v>
      </c>
    </row>
    <row r="1716" spans="1:41" x14ac:dyDescent="0.25">
      <c r="A1716" s="10"/>
      <c r="B1716" s="10"/>
      <c r="C1716" s="10"/>
      <c r="D1716" s="10"/>
      <c r="E1716" s="10"/>
      <c r="F1716" s="10"/>
      <c r="G1716" s="10"/>
      <c r="H1716" s="10"/>
      <c r="I1716" s="1" t="str">
        <f t="shared" si="78"/>
        <v/>
      </c>
      <c r="J1716" s="1" t="s">
        <v>35</v>
      </c>
      <c r="K1716" s="1" t="str">
        <f t="shared" si="79"/>
        <v/>
      </c>
      <c r="L1716" s="1" t="str">
        <f t="shared" si="80"/>
        <v/>
      </c>
      <c r="M1716" s="1">
        <f>IF(OR(Table1[[#This Row],[Std Nom]]="",Table1[[#This Row],[Std Read]]=""),0,Table1[[#This Row],[Std Nom]]-Table1[[#This Row],[Std Read]])</f>
        <v>0</v>
      </c>
      <c r="N1716" s="1">
        <f>IF(Calculations!$F$5="ACCREDITED 17025 WITH UNCERTAINTIES",$N$10,0)</f>
        <v>0</v>
      </c>
      <c r="Q1716" s="1">
        <f>Table1[[#This Row],[High Tol]]-Table1[[#This Row],[Low Tol]]</f>
        <v>0</v>
      </c>
      <c r="R1716" s="1">
        <f>2*Table1[[#This Row],[Std Error]]</f>
        <v>0</v>
      </c>
      <c r="S1716" s="1" t="str">
        <f>IF(Table1[[#This Row],[High Tol]]="","N/A",IFERROR(ABS(Table1[[#This Row],[Tol Span]]/Table1[[#This Row],[Error Span]]),"N/A"))</f>
        <v>N/A</v>
      </c>
      <c r="T1716" s="1" t="str">
        <f>IF(OR(Table1[[#This Row],[Low Tol]]="",Table1[[#This Row],[High Tol]]=""),"Needs Analysis",IF(Table1[[#This Row],[Ratio]]&gt;=4,"Not Significant",IF(Table1[[#This Row],[Ratio]]&gt;=2,"Semi-Significant","Significant")))</f>
        <v>Needs Analysis</v>
      </c>
      <c r="W1716" s="1">
        <f>IF(Table1[[#This Row],[Cal Type]]&lt;&gt;"ACCREDITED 17025 WITH UNCERTAINTIES",0,"")</f>
        <v>0</v>
      </c>
      <c r="X1716" s="1" t="str">
        <f>IF(Table1[[#This Row],[DUT Read]]="","N/A",Table1[[#This Row],[Std Error]]+Table1[[#This Row],[DUT Read]]+Table1[[#This Row],[DUT Ucty]])</f>
        <v>N/A</v>
      </c>
      <c r="Y1716" s="1" t="str">
        <f>IF(Table1[[#This Row],[Std Read]]="","N/A",Table1[[#This Row],[Std Read]]+Table1[[#This Row],[Std Ucty]])</f>
        <v>N/A</v>
      </c>
      <c r="Z17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6" s="1" t="str">
        <f>IF(Table1[[#This Row],[Spec Type]]="","N/A",Table1[[#This Row],[Spec Type]])</f>
        <v>±</v>
      </c>
      <c r="AC1716" s="1" t="str">
        <f>IF(Table1[[#This Row],[Spec Type2]]="N/A","N/A",IF(AND(Table1[[#This Row],[DUT Adj Read]]&gt;=Table1[[#This Row],[Low Tol]],Table1[[#This Row],[DUT Adj Read]]&lt;=Table1[[#This Row],[High Tol]]),"Pass","Fail"))</f>
        <v>Fail</v>
      </c>
      <c r="AD1716" s="1" t="str">
        <f>IF(AND(Table1[[#This Row],[Spec Type2]]="N/A",Table1[[#This Row],[DUT Adj Read]]="N/A",Table1[[#This Row],[Std Adj Read]]="N/A"),"N/A",IF(Table1[[#This Row],[DUT Adj Read]]="N/A",IF(Table1[[#This Row],[Std Adj Read]]&gt;Table1[[#This Row],[Low Tol]],"Pass","Fail"),IF(Table1[[#This Row],[DUT Adj Read]]&gt;Table1[[#This Row],[Low Tol]],"Pass","Fail")))</f>
        <v>Pass</v>
      </c>
      <c r="AE1716" s="1" t="str">
        <f>IF(AND(Table1[[#This Row],[Spec Type2]]="N/A",Table1[[#This Row],[DUT Adj Read]]="N/A",Table1[[#This Row],[Std Adj Read]]="N/A"),"N/A",IF(Table1[[#This Row],[DUT Adj Read]]="N/A",IF(Table1[[#This Row],[Std Adj Read]]&lt;Table1[[#This Row],[High Tol]],"Pass","Fail"),IF(Table1[[#This Row],[DUT Adj Read]]&lt;Table1[[#This Row],[High Tol]],"Pass","Fail")))</f>
        <v>Fail</v>
      </c>
      <c r="AF1716" s="1" t="str">
        <f>IF(AND(Table1[[#This Row],[Spec Type2]]="N/A",Table1[[#This Row],[DUT Adj Read]]="N/A",Table1[[#This Row],[Std Adj Read]]="N/A"),"N/A",IF(Table1[[#This Row],[DUT Adj Read]]="N/A",IF(Table1[[#This Row],[Std Adj Read]]&gt;=Table1[[#This Row],[Low Tol]],"Pass","Fail"),IF(Table1[[#This Row],[DUT Adj Read]]&gt;=Table1[[#This Row],[Low Tol]],"Pass","Fail")))</f>
        <v>Pass</v>
      </c>
      <c r="AG1716" s="1" t="str">
        <f>IF(AND(Table1[[#This Row],[Spec Type2]]="N/A",Table1[[#This Row],[DUT Adj Read]]="N/A",Table1[[#This Row],[Std Adj Read]]="N/A"),"N/A",IF(Table1[[#This Row],[DUT Adj Read]]="N/A",IF(Table1[[#This Row],[Std Adj Read]]&lt;=Table1[[#This Row],[High Tol]],"Pass","Fail"),IF(Table1[[#This Row],[DUT Adj Read]]&lt;=Table1[[#This Row],[High Tol]],"Pass","Fail")))</f>
        <v>Fail</v>
      </c>
      <c r="AH17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6" s="1" t="b">
        <v>0</v>
      </c>
      <c r="AN1716" s="1" t="b">
        <v>0</v>
      </c>
      <c r="AO1716" s="1" t="b">
        <v>0</v>
      </c>
    </row>
    <row r="1717" spans="1:41" x14ac:dyDescent="0.25">
      <c r="A1717" s="10"/>
      <c r="B1717" s="10"/>
      <c r="C1717" s="10"/>
      <c r="D1717" s="10"/>
      <c r="E1717" s="10"/>
      <c r="F1717" s="10"/>
      <c r="G1717" s="10"/>
      <c r="H1717" s="10"/>
      <c r="I1717" s="1" t="str">
        <f t="shared" si="78"/>
        <v/>
      </c>
      <c r="J1717" s="1" t="s">
        <v>35</v>
      </c>
      <c r="K1717" s="1" t="str">
        <f t="shared" si="79"/>
        <v/>
      </c>
      <c r="L1717" s="1" t="str">
        <f t="shared" si="80"/>
        <v/>
      </c>
      <c r="M1717" s="1">
        <f>IF(OR(Table1[[#This Row],[Std Nom]]="",Table1[[#This Row],[Std Read]]=""),0,Table1[[#This Row],[Std Nom]]-Table1[[#This Row],[Std Read]])</f>
        <v>0</v>
      </c>
      <c r="N1717" s="1">
        <f>IF(Calculations!$F$5="ACCREDITED 17025 WITH UNCERTAINTIES",$N$10,0)</f>
        <v>0</v>
      </c>
      <c r="Q1717" s="1">
        <f>Table1[[#This Row],[High Tol]]-Table1[[#This Row],[Low Tol]]</f>
        <v>0</v>
      </c>
      <c r="R1717" s="1">
        <f>2*Table1[[#This Row],[Std Error]]</f>
        <v>0</v>
      </c>
      <c r="S1717" s="1" t="str">
        <f>IF(Table1[[#This Row],[High Tol]]="","N/A",IFERROR(ABS(Table1[[#This Row],[Tol Span]]/Table1[[#This Row],[Error Span]]),"N/A"))</f>
        <v>N/A</v>
      </c>
      <c r="T1717" s="1" t="str">
        <f>IF(OR(Table1[[#This Row],[Low Tol]]="",Table1[[#This Row],[High Tol]]=""),"Needs Analysis",IF(Table1[[#This Row],[Ratio]]&gt;=4,"Not Significant",IF(Table1[[#This Row],[Ratio]]&gt;=2,"Semi-Significant","Significant")))</f>
        <v>Needs Analysis</v>
      </c>
      <c r="W1717" s="1">
        <f>IF(Table1[[#This Row],[Cal Type]]&lt;&gt;"ACCREDITED 17025 WITH UNCERTAINTIES",0,"")</f>
        <v>0</v>
      </c>
      <c r="X1717" s="1" t="str">
        <f>IF(Table1[[#This Row],[DUT Read]]="","N/A",Table1[[#This Row],[Std Error]]+Table1[[#This Row],[DUT Read]]+Table1[[#This Row],[DUT Ucty]])</f>
        <v>N/A</v>
      </c>
      <c r="Y1717" s="1" t="str">
        <f>IF(Table1[[#This Row],[Std Read]]="","N/A",Table1[[#This Row],[Std Read]]+Table1[[#This Row],[Std Ucty]])</f>
        <v>N/A</v>
      </c>
      <c r="Z17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7" s="1" t="str">
        <f>IF(Table1[[#This Row],[Spec Type]]="","N/A",Table1[[#This Row],[Spec Type]])</f>
        <v>±</v>
      </c>
      <c r="AC1717" s="1" t="str">
        <f>IF(Table1[[#This Row],[Spec Type2]]="N/A","N/A",IF(AND(Table1[[#This Row],[DUT Adj Read]]&gt;=Table1[[#This Row],[Low Tol]],Table1[[#This Row],[DUT Adj Read]]&lt;=Table1[[#This Row],[High Tol]]),"Pass","Fail"))</f>
        <v>Fail</v>
      </c>
      <c r="AD1717" s="1" t="str">
        <f>IF(AND(Table1[[#This Row],[Spec Type2]]="N/A",Table1[[#This Row],[DUT Adj Read]]="N/A",Table1[[#This Row],[Std Adj Read]]="N/A"),"N/A",IF(Table1[[#This Row],[DUT Adj Read]]="N/A",IF(Table1[[#This Row],[Std Adj Read]]&gt;Table1[[#This Row],[Low Tol]],"Pass","Fail"),IF(Table1[[#This Row],[DUT Adj Read]]&gt;Table1[[#This Row],[Low Tol]],"Pass","Fail")))</f>
        <v>Pass</v>
      </c>
      <c r="AE1717" s="1" t="str">
        <f>IF(AND(Table1[[#This Row],[Spec Type2]]="N/A",Table1[[#This Row],[DUT Adj Read]]="N/A",Table1[[#This Row],[Std Adj Read]]="N/A"),"N/A",IF(Table1[[#This Row],[DUT Adj Read]]="N/A",IF(Table1[[#This Row],[Std Adj Read]]&lt;Table1[[#This Row],[High Tol]],"Pass","Fail"),IF(Table1[[#This Row],[DUT Adj Read]]&lt;Table1[[#This Row],[High Tol]],"Pass","Fail")))</f>
        <v>Fail</v>
      </c>
      <c r="AF1717" s="1" t="str">
        <f>IF(AND(Table1[[#This Row],[Spec Type2]]="N/A",Table1[[#This Row],[DUT Adj Read]]="N/A",Table1[[#This Row],[Std Adj Read]]="N/A"),"N/A",IF(Table1[[#This Row],[DUT Adj Read]]="N/A",IF(Table1[[#This Row],[Std Adj Read]]&gt;=Table1[[#This Row],[Low Tol]],"Pass","Fail"),IF(Table1[[#This Row],[DUT Adj Read]]&gt;=Table1[[#This Row],[Low Tol]],"Pass","Fail")))</f>
        <v>Pass</v>
      </c>
      <c r="AG1717" s="1" t="str">
        <f>IF(AND(Table1[[#This Row],[Spec Type2]]="N/A",Table1[[#This Row],[DUT Adj Read]]="N/A",Table1[[#This Row],[Std Adj Read]]="N/A"),"N/A",IF(Table1[[#This Row],[DUT Adj Read]]="N/A",IF(Table1[[#This Row],[Std Adj Read]]&lt;=Table1[[#This Row],[High Tol]],"Pass","Fail"),IF(Table1[[#This Row],[DUT Adj Read]]&lt;=Table1[[#This Row],[High Tol]],"Pass","Fail")))</f>
        <v>Fail</v>
      </c>
      <c r="AH17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7" s="1" t="b">
        <v>0</v>
      </c>
      <c r="AN1717" s="1" t="b">
        <v>0</v>
      </c>
      <c r="AO1717" s="1" t="b">
        <v>0</v>
      </c>
    </row>
    <row r="1718" spans="1:41" x14ac:dyDescent="0.25">
      <c r="A1718" s="10"/>
      <c r="B1718" s="10"/>
      <c r="C1718" s="10"/>
      <c r="D1718" s="10"/>
      <c r="E1718" s="10"/>
      <c r="F1718" s="10"/>
      <c r="G1718" s="10"/>
      <c r="H1718" s="10"/>
      <c r="I1718" s="1" t="str">
        <f t="shared" si="78"/>
        <v/>
      </c>
      <c r="J1718" s="1" t="s">
        <v>35</v>
      </c>
      <c r="K1718" s="1" t="str">
        <f t="shared" si="79"/>
        <v/>
      </c>
      <c r="L1718" s="1" t="str">
        <f t="shared" si="80"/>
        <v/>
      </c>
      <c r="M1718" s="1">
        <f>IF(OR(Table1[[#This Row],[Std Nom]]="",Table1[[#This Row],[Std Read]]=""),0,Table1[[#This Row],[Std Nom]]-Table1[[#This Row],[Std Read]])</f>
        <v>0</v>
      </c>
      <c r="N1718" s="1">
        <f>IF(Calculations!$F$5="ACCREDITED 17025 WITH UNCERTAINTIES",$N$10,0)</f>
        <v>0</v>
      </c>
      <c r="Q1718" s="1">
        <f>Table1[[#This Row],[High Tol]]-Table1[[#This Row],[Low Tol]]</f>
        <v>0</v>
      </c>
      <c r="R1718" s="1">
        <f>2*Table1[[#This Row],[Std Error]]</f>
        <v>0</v>
      </c>
      <c r="S1718" s="1" t="str">
        <f>IF(Table1[[#This Row],[High Tol]]="","N/A",IFERROR(ABS(Table1[[#This Row],[Tol Span]]/Table1[[#This Row],[Error Span]]),"N/A"))</f>
        <v>N/A</v>
      </c>
      <c r="T1718" s="1" t="str">
        <f>IF(OR(Table1[[#This Row],[Low Tol]]="",Table1[[#This Row],[High Tol]]=""),"Needs Analysis",IF(Table1[[#This Row],[Ratio]]&gt;=4,"Not Significant",IF(Table1[[#This Row],[Ratio]]&gt;=2,"Semi-Significant","Significant")))</f>
        <v>Needs Analysis</v>
      </c>
      <c r="W1718" s="1">
        <f>IF(Table1[[#This Row],[Cal Type]]&lt;&gt;"ACCREDITED 17025 WITH UNCERTAINTIES",0,"")</f>
        <v>0</v>
      </c>
      <c r="X1718" s="1" t="str">
        <f>IF(Table1[[#This Row],[DUT Read]]="","N/A",Table1[[#This Row],[Std Error]]+Table1[[#This Row],[DUT Read]]+Table1[[#This Row],[DUT Ucty]])</f>
        <v>N/A</v>
      </c>
      <c r="Y1718" s="1" t="str">
        <f>IF(Table1[[#This Row],[Std Read]]="","N/A",Table1[[#This Row],[Std Read]]+Table1[[#This Row],[Std Ucty]])</f>
        <v>N/A</v>
      </c>
      <c r="Z17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8" s="1" t="str">
        <f>IF(Table1[[#This Row],[Spec Type]]="","N/A",Table1[[#This Row],[Spec Type]])</f>
        <v>±</v>
      </c>
      <c r="AC1718" s="1" t="str">
        <f>IF(Table1[[#This Row],[Spec Type2]]="N/A","N/A",IF(AND(Table1[[#This Row],[DUT Adj Read]]&gt;=Table1[[#This Row],[Low Tol]],Table1[[#This Row],[DUT Adj Read]]&lt;=Table1[[#This Row],[High Tol]]),"Pass","Fail"))</f>
        <v>Fail</v>
      </c>
      <c r="AD1718" s="1" t="str">
        <f>IF(AND(Table1[[#This Row],[Spec Type2]]="N/A",Table1[[#This Row],[DUT Adj Read]]="N/A",Table1[[#This Row],[Std Adj Read]]="N/A"),"N/A",IF(Table1[[#This Row],[DUT Adj Read]]="N/A",IF(Table1[[#This Row],[Std Adj Read]]&gt;Table1[[#This Row],[Low Tol]],"Pass","Fail"),IF(Table1[[#This Row],[DUT Adj Read]]&gt;Table1[[#This Row],[Low Tol]],"Pass","Fail")))</f>
        <v>Pass</v>
      </c>
      <c r="AE1718" s="1" t="str">
        <f>IF(AND(Table1[[#This Row],[Spec Type2]]="N/A",Table1[[#This Row],[DUT Adj Read]]="N/A",Table1[[#This Row],[Std Adj Read]]="N/A"),"N/A",IF(Table1[[#This Row],[DUT Adj Read]]="N/A",IF(Table1[[#This Row],[Std Adj Read]]&lt;Table1[[#This Row],[High Tol]],"Pass","Fail"),IF(Table1[[#This Row],[DUT Adj Read]]&lt;Table1[[#This Row],[High Tol]],"Pass","Fail")))</f>
        <v>Fail</v>
      </c>
      <c r="AF1718" s="1" t="str">
        <f>IF(AND(Table1[[#This Row],[Spec Type2]]="N/A",Table1[[#This Row],[DUT Adj Read]]="N/A",Table1[[#This Row],[Std Adj Read]]="N/A"),"N/A",IF(Table1[[#This Row],[DUT Adj Read]]="N/A",IF(Table1[[#This Row],[Std Adj Read]]&gt;=Table1[[#This Row],[Low Tol]],"Pass","Fail"),IF(Table1[[#This Row],[DUT Adj Read]]&gt;=Table1[[#This Row],[Low Tol]],"Pass","Fail")))</f>
        <v>Pass</v>
      </c>
      <c r="AG1718" s="1" t="str">
        <f>IF(AND(Table1[[#This Row],[Spec Type2]]="N/A",Table1[[#This Row],[DUT Adj Read]]="N/A",Table1[[#This Row],[Std Adj Read]]="N/A"),"N/A",IF(Table1[[#This Row],[DUT Adj Read]]="N/A",IF(Table1[[#This Row],[Std Adj Read]]&lt;=Table1[[#This Row],[High Tol]],"Pass","Fail"),IF(Table1[[#This Row],[DUT Adj Read]]&lt;=Table1[[#This Row],[High Tol]],"Pass","Fail")))</f>
        <v>Fail</v>
      </c>
      <c r="AH17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8" s="1" t="b">
        <v>0</v>
      </c>
      <c r="AN1718" s="1" t="b">
        <v>0</v>
      </c>
      <c r="AO1718" s="1" t="b">
        <v>0</v>
      </c>
    </row>
    <row r="1719" spans="1:41" x14ac:dyDescent="0.25">
      <c r="A1719" s="10"/>
      <c r="B1719" s="10"/>
      <c r="C1719" s="10"/>
      <c r="D1719" s="10"/>
      <c r="E1719" s="10"/>
      <c r="F1719" s="10"/>
      <c r="G1719" s="10"/>
      <c r="H1719" s="10"/>
      <c r="I1719" s="1" t="str">
        <f t="shared" si="78"/>
        <v/>
      </c>
      <c r="J1719" s="1" t="s">
        <v>35</v>
      </c>
      <c r="K1719" s="1" t="str">
        <f t="shared" si="79"/>
        <v/>
      </c>
      <c r="L1719" s="1" t="str">
        <f t="shared" si="80"/>
        <v/>
      </c>
      <c r="M1719" s="1">
        <f>IF(OR(Table1[[#This Row],[Std Nom]]="",Table1[[#This Row],[Std Read]]=""),0,Table1[[#This Row],[Std Nom]]-Table1[[#This Row],[Std Read]])</f>
        <v>0</v>
      </c>
      <c r="N1719" s="1">
        <f>IF(Calculations!$F$5="ACCREDITED 17025 WITH UNCERTAINTIES",$N$10,0)</f>
        <v>0</v>
      </c>
      <c r="Q1719" s="1">
        <f>Table1[[#This Row],[High Tol]]-Table1[[#This Row],[Low Tol]]</f>
        <v>0</v>
      </c>
      <c r="R1719" s="1">
        <f>2*Table1[[#This Row],[Std Error]]</f>
        <v>0</v>
      </c>
      <c r="S1719" s="1" t="str">
        <f>IF(Table1[[#This Row],[High Tol]]="","N/A",IFERROR(ABS(Table1[[#This Row],[Tol Span]]/Table1[[#This Row],[Error Span]]),"N/A"))</f>
        <v>N/A</v>
      </c>
      <c r="T1719" s="1" t="str">
        <f>IF(OR(Table1[[#This Row],[Low Tol]]="",Table1[[#This Row],[High Tol]]=""),"Needs Analysis",IF(Table1[[#This Row],[Ratio]]&gt;=4,"Not Significant",IF(Table1[[#This Row],[Ratio]]&gt;=2,"Semi-Significant","Significant")))</f>
        <v>Needs Analysis</v>
      </c>
      <c r="W1719" s="1">
        <f>IF(Table1[[#This Row],[Cal Type]]&lt;&gt;"ACCREDITED 17025 WITH UNCERTAINTIES",0,"")</f>
        <v>0</v>
      </c>
      <c r="X1719" s="1" t="str">
        <f>IF(Table1[[#This Row],[DUT Read]]="","N/A",Table1[[#This Row],[Std Error]]+Table1[[#This Row],[DUT Read]]+Table1[[#This Row],[DUT Ucty]])</f>
        <v>N/A</v>
      </c>
      <c r="Y1719" s="1" t="str">
        <f>IF(Table1[[#This Row],[Std Read]]="","N/A",Table1[[#This Row],[Std Read]]+Table1[[#This Row],[Std Ucty]])</f>
        <v>N/A</v>
      </c>
      <c r="Z17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19" s="1" t="str">
        <f>IF(Table1[[#This Row],[Spec Type]]="","N/A",Table1[[#This Row],[Spec Type]])</f>
        <v>±</v>
      </c>
      <c r="AC1719" s="1" t="str">
        <f>IF(Table1[[#This Row],[Spec Type2]]="N/A","N/A",IF(AND(Table1[[#This Row],[DUT Adj Read]]&gt;=Table1[[#This Row],[Low Tol]],Table1[[#This Row],[DUT Adj Read]]&lt;=Table1[[#This Row],[High Tol]]),"Pass","Fail"))</f>
        <v>Fail</v>
      </c>
      <c r="AD1719" s="1" t="str">
        <f>IF(AND(Table1[[#This Row],[Spec Type2]]="N/A",Table1[[#This Row],[DUT Adj Read]]="N/A",Table1[[#This Row],[Std Adj Read]]="N/A"),"N/A",IF(Table1[[#This Row],[DUT Adj Read]]="N/A",IF(Table1[[#This Row],[Std Adj Read]]&gt;Table1[[#This Row],[Low Tol]],"Pass","Fail"),IF(Table1[[#This Row],[DUT Adj Read]]&gt;Table1[[#This Row],[Low Tol]],"Pass","Fail")))</f>
        <v>Pass</v>
      </c>
      <c r="AE1719" s="1" t="str">
        <f>IF(AND(Table1[[#This Row],[Spec Type2]]="N/A",Table1[[#This Row],[DUT Adj Read]]="N/A",Table1[[#This Row],[Std Adj Read]]="N/A"),"N/A",IF(Table1[[#This Row],[DUT Adj Read]]="N/A",IF(Table1[[#This Row],[Std Adj Read]]&lt;Table1[[#This Row],[High Tol]],"Pass","Fail"),IF(Table1[[#This Row],[DUT Adj Read]]&lt;Table1[[#This Row],[High Tol]],"Pass","Fail")))</f>
        <v>Fail</v>
      </c>
      <c r="AF1719" s="1" t="str">
        <f>IF(AND(Table1[[#This Row],[Spec Type2]]="N/A",Table1[[#This Row],[DUT Adj Read]]="N/A",Table1[[#This Row],[Std Adj Read]]="N/A"),"N/A",IF(Table1[[#This Row],[DUT Adj Read]]="N/A",IF(Table1[[#This Row],[Std Adj Read]]&gt;=Table1[[#This Row],[Low Tol]],"Pass","Fail"),IF(Table1[[#This Row],[DUT Adj Read]]&gt;=Table1[[#This Row],[Low Tol]],"Pass","Fail")))</f>
        <v>Pass</v>
      </c>
      <c r="AG1719" s="1" t="str">
        <f>IF(AND(Table1[[#This Row],[Spec Type2]]="N/A",Table1[[#This Row],[DUT Adj Read]]="N/A",Table1[[#This Row],[Std Adj Read]]="N/A"),"N/A",IF(Table1[[#This Row],[DUT Adj Read]]="N/A",IF(Table1[[#This Row],[Std Adj Read]]&lt;=Table1[[#This Row],[High Tol]],"Pass","Fail"),IF(Table1[[#This Row],[DUT Adj Read]]&lt;=Table1[[#This Row],[High Tol]],"Pass","Fail")))</f>
        <v>Fail</v>
      </c>
      <c r="AH17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19" s="1" t="b">
        <v>0</v>
      </c>
      <c r="AN1719" s="1" t="b">
        <v>0</v>
      </c>
      <c r="AO1719" s="1" t="b">
        <v>0</v>
      </c>
    </row>
    <row r="1720" spans="1:41" x14ac:dyDescent="0.25">
      <c r="A1720" s="10"/>
      <c r="B1720" s="10"/>
      <c r="C1720" s="10"/>
      <c r="D1720" s="10"/>
      <c r="E1720" s="10"/>
      <c r="F1720" s="10"/>
      <c r="G1720" s="10"/>
      <c r="H1720" s="10"/>
      <c r="I1720" s="1" t="str">
        <f t="shared" si="78"/>
        <v/>
      </c>
      <c r="J1720" s="1" t="s">
        <v>35</v>
      </c>
      <c r="K1720" s="1" t="str">
        <f t="shared" si="79"/>
        <v/>
      </c>
      <c r="L1720" s="1" t="str">
        <f t="shared" si="80"/>
        <v/>
      </c>
      <c r="M1720" s="1">
        <f>IF(OR(Table1[[#This Row],[Std Nom]]="",Table1[[#This Row],[Std Read]]=""),0,Table1[[#This Row],[Std Nom]]-Table1[[#This Row],[Std Read]])</f>
        <v>0</v>
      </c>
      <c r="N1720" s="1">
        <f>IF(Calculations!$F$5="ACCREDITED 17025 WITH UNCERTAINTIES",$N$10,0)</f>
        <v>0</v>
      </c>
      <c r="Q1720" s="1">
        <f>Table1[[#This Row],[High Tol]]-Table1[[#This Row],[Low Tol]]</f>
        <v>0</v>
      </c>
      <c r="R1720" s="1">
        <f>2*Table1[[#This Row],[Std Error]]</f>
        <v>0</v>
      </c>
      <c r="S1720" s="1" t="str">
        <f>IF(Table1[[#This Row],[High Tol]]="","N/A",IFERROR(ABS(Table1[[#This Row],[Tol Span]]/Table1[[#This Row],[Error Span]]),"N/A"))</f>
        <v>N/A</v>
      </c>
      <c r="T1720" s="1" t="str">
        <f>IF(OR(Table1[[#This Row],[Low Tol]]="",Table1[[#This Row],[High Tol]]=""),"Needs Analysis",IF(Table1[[#This Row],[Ratio]]&gt;=4,"Not Significant",IF(Table1[[#This Row],[Ratio]]&gt;=2,"Semi-Significant","Significant")))</f>
        <v>Needs Analysis</v>
      </c>
      <c r="W1720" s="1">
        <f>IF(Table1[[#This Row],[Cal Type]]&lt;&gt;"ACCREDITED 17025 WITH UNCERTAINTIES",0,"")</f>
        <v>0</v>
      </c>
      <c r="X1720" s="1" t="str">
        <f>IF(Table1[[#This Row],[DUT Read]]="","N/A",Table1[[#This Row],[Std Error]]+Table1[[#This Row],[DUT Read]]+Table1[[#This Row],[DUT Ucty]])</f>
        <v>N/A</v>
      </c>
      <c r="Y1720" s="1" t="str">
        <f>IF(Table1[[#This Row],[Std Read]]="","N/A",Table1[[#This Row],[Std Read]]+Table1[[#This Row],[Std Ucty]])</f>
        <v>N/A</v>
      </c>
      <c r="Z17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0" s="1" t="str">
        <f>IF(Table1[[#This Row],[Spec Type]]="","N/A",Table1[[#This Row],[Spec Type]])</f>
        <v>±</v>
      </c>
      <c r="AC1720" s="1" t="str">
        <f>IF(Table1[[#This Row],[Spec Type2]]="N/A","N/A",IF(AND(Table1[[#This Row],[DUT Adj Read]]&gt;=Table1[[#This Row],[Low Tol]],Table1[[#This Row],[DUT Adj Read]]&lt;=Table1[[#This Row],[High Tol]]),"Pass","Fail"))</f>
        <v>Fail</v>
      </c>
      <c r="AD1720" s="1" t="str">
        <f>IF(AND(Table1[[#This Row],[Spec Type2]]="N/A",Table1[[#This Row],[DUT Adj Read]]="N/A",Table1[[#This Row],[Std Adj Read]]="N/A"),"N/A",IF(Table1[[#This Row],[DUT Adj Read]]="N/A",IF(Table1[[#This Row],[Std Adj Read]]&gt;Table1[[#This Row],[Low Tol]],"Pass","Fail"),IF(Table1[[#This Row],[DUT Adj Read]]&gt;Table1[[#This Row],[Low Tol]],"Pass","Fail")))</f>
        <v>Pass</v>
      </c>
      <c r="AE1720" s="1" t="str">
        <f>IF(AND(Table1[[#This Row],[Spec Type2]]="N/A",Table1[[#This Row],[DUT Adj Read]]="N/A",Table1[[#This Row],[Std Adj Read]]="N/A"),"N/A",IF(Table1[[#This Row],[DUT Adj Read]]="N/A",IF(Table1[[#This Row],[Std Adj Read]]&lt;Table1[[#This Row],[High Tol]],"Pass","Fail"),IF(Table1[[#This Row],[DUT Adj Read]]&lt;Table1[[#This Row],[High Tol]],"Pass","Fail")))</f>
        <v>Fail</v>
      </c>
      <c r="AF1720" s="1" t="str">
        <f>IF(AND(Table1[[#This Row],[Spec Type2]]="N/A",Table1[[#This Row],[DUT Adj Read]]="N/A",Table1[[#This Row],[Std Adj Read]]="N/A"),"N/A",IF(Table1[[#This Row],[DUT Adj Read]]="N/A",IF(Table1[[#This Row],[Std Adj Read]]&gt;=Table1[[#This Row],[Low Tol]],"Pass","Fail"),IF(Table1[[#This Row],[DUT Adj Read]]&gt;=Table1[[#This Row],[Low Tol]],"Pass","Fail")))</f>
        <v>Pass</v>
      </c>
      <c r="AG1720" s="1" t="str">
        <f>IF(AND(Table1[[#This Row],[Spec Type2]]="N/A",Table1[[#This Row],[DUT Adj Read]]="N/A",Table1[[#This Row],[Std Adj Read]]="N/A"),"N/A",IF(Table1[[#This Row],[DUT Adj Read]]="N/A",IF(Table1[[#This Row],[Std Adj Read]]&lt;=Table1[[#This Row],[High Tol]],"Pass","Fail"),IF(Table1[[#This Row],[DUT Adj Read]]&lt;=Table1[[#This Row],[High Tol]],"Pass","Fail")))</f>
        <v>Fail</v>
      </c>
      <c r="AH17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0" s="1" t="b">
        <v>0</v>
      </c>
      <c r="AN1720" s="1" t="b">
        <v>0</v>
      </c>
      <c r="AO1720" s="1" t="b">
        <v>0</v>
      </c>
    </row>
    <row r="1721" spans="1:41" x14ac:dyDescent="0.25">
      <c r="A1721" s="10"/>
      <c r="B1721" s="10"/>
      <c r="C1721" s="10"/>
      <c r="D1721" s="10"/>
      <c r="E1721" s="10"/>
      <c r="F1721" s="10"/>
      <c r="G1721" s="10"/>
      <c r="H1721" s="10"/>
      <c r="I1721" s="1" t="str">
        <f t="shared" si="78"/>
        <v/>
      </c>
      <c r="J1721" s="1" t="s">
        <v>35</v>
      </c>
      <c r="K1721" s="1" t="str">
        <f t="shared" si="79"/>
        <v/>
      </c>
      <c r="L1721" s="1" t="str">
        <f t="shared" si="80"/>
        <v/>
      </c>
      <c r="M1721" s="1">
        <f>IF(OR(Table1[[#This Row],[Std Nom]]="",Table1[[#This Row],[Std Read]]=""),0,Table1[[#This Row],[Std Nom]]-Table1[[#This Row],[Std Read]])</f>
        <v>0</v>
      </c>
      <c r="N1721" s="1">
        <f>IF(Calculations!$F$5="ACCREDITED 17025 WITH UNCERTAINTIES",$N$10,0)</f>
        <v>0</v>
      </c>
      <c r="Q1721" s="1">
        <f>Table1[[#This Row],[High Tol]]-Table1[[#This Row],[Low Tol]]</f>
        <v>0</v>
      </c>
      <c r="R1721" s="1">
        <f>2*Table1[[#This Row],[Std Error]]</f>
        <v>0</v>
      </c>
      <c r="S1721" s="1" t="str">
        <f>IF(Table1[[#This Row],[High Tol]]="","N/A",IFERROR(ABS(Table1[[#This Row],[Tol Span]]/Table1[[#This Row],[Error Span]]),"N/A"))</f>
        <v>N/A</v>
      </c>
      <c r="T1721" s="1" t="str">
        <f>IF(OR(Table1[[#This Row],[Low Tol]]="",Table1[[#This Row],[High Tol]]=""),"Needs Analysis",IF(Table1[[#This Row],[Ratio]]&gt;=4,"Not Significant",IF(Table1[[#This Row],[Ratio]]&gt;=2,"Semi-Significant","Significant")))</f>
        <v>Needs Analysis</v>
      </c>
      <c r="W1721" s="1">
        <f>IF(Table1[[#This Row],[Cal Type]]&lt;&gt;"ACCREDITED 17025 WITH UNCERTAINTIES",0,"")</f>
        <v>0</v>
      </c>
      <c r="X1721" s="1" t="str">
        <f>IF(Table1[[#This Row],[DUT Read]]="","N/A",Table1[[#This Row],[Std Error]]+Table1[[#This Row],[DUT Read]]+Table1[[#This Row],[DUT Ucty]])</f>
        <v>N/A</v>
      </c>
      <c r="Y1721" s="1" t="str">
        <f>IF(Table1[[#This Row],[Std Read]]="","N/A",Table1[[#This Row],[Std Read]]+Table1[[#This Row],[Std Ucty]])</f>
        <v>N/A</v>
      </c>
      <c r="Z17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1" s="1" t="str">
        <f>IF(Table1[[#This Row],[Spec Type]]="","N/A",Table1[[#This Row],[Spec Type]])</f>
        <v>±</v>
      </c>
      <c r="AC1721" s="1" t="str">
        <f>IF(Table1[[#This Row],[Spec Type2]]="N/A","N/A",IF(AND(Table1[[#This Row],[DUT Adj Read]]&gt;=Table1[[#This Row],[Low Tol]],Table1[[#This Row],[DUT Adj Read]]&lt;=Table1[[#This Row],[High Tol]]),"Pass","Fail"))</f>
        <v>Fail</v>
      </c>
      <c r="AD1721" s="1" t="str">
        <f>IF(AND(Table1[[#This Row],[Spec Type2]]="N/A",Table1[[#This Row],[DUT Adj Read]]="N/A",Table1[[#This Row],[Std Adj Read]]="N/A"),"N/A",IF(Table1[[#This Row],[DUT Adj Read]]="N/A",IF(Table1[[#This Row],[Std Adj Read]]&gt;Table1[[#This Row],[Low Tol]],"Pass","Fail"),IF(Table1[[#This Row],[DUT Adj Read]]&gt;Table1[[#This Row],[Low Tol]],"Pass","Fail")))</f>
        <v>Pass</v>
      </c>
      <c r="AE1721" s="1" t="str">
        <f>IF(AND(Table1[[#This Row],[Spec Type2]]="N/A",Table1[[#This Row],[DUT Adj Read]]="N/A",Table1[[#This Row],[Std Adj Read]]="N/A"),"N/A",IF(Table1[[#This Row],[DUT Adj Read]]="N/A",IF(Table1[[#This Row],[Std Adj Read]]&lt;Table1[[#This Row],[High Tol]],"Pass","Fail"),IF(Table1[[#This Row],[DUT Adj Read]]&lt;Table1[[#This Row],[High Tol]],"Pass","Fail")))</f>
        <v>Fail</v>
      </c>
      <c r="AF1721" s="1" t="str">
        <f>IF(AND(Table1[[#This Row],[Spec Type2]]="N/A",Table1[[#This Row],[DUT Adj Read]]="N/A",Table1[[#This Row],[Std Adj Read]]="N/A"),"N/A",IF(Table1[[#This Row],[DUT Adj Read]]="N/A",IF(Table1[[#This Row],[Std Adj Read]]&gt;=Table1[[#This Row],[Low Tol]],"Pass","Fail"),IF(Table1[[#This Row],[DUT Adj Read]]&gt;=Table1[[#This Row],[Low Tol]],"Pass","Fail")))</f>
        <v>Pass</v>
      </c>
      <c r="AG1721" s="1" t="str">
        <f>IF(AND(Table1[[#This Row],[Spec Type2]]="N/A",Table1[[#This Row],[DUT Adj Read]]="N/A",Table1[[#This Row],[Std Adj Read]]="N/A"),"N/A",IF(Table1[[#This Row],[DUT Adj Read]]="N/A",IF(Table1[[#This Row],[Std Adj Read]]&lt;=Table1[[#This Row],[High Tol]],"Pass","Fail"),IF(Table1[[#This Row],[DUT Adj Read]]&lt;=Table1[[#This Row],[High Tol]],"Pass","Fail")))</f>
        <v>Fail</v>
      </c>
      <c r="AH17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1" s="1" t="b">
        <v>0</v>
      </c>
      <c r="AN1721" s="1" t="b">
        <v>0</v>
      </c>
      <c r="AO1721" s="1" t="b">
        <v>0</v>
      </c>
    </row>
    <row r="1722" spans="1:41" x14ac:dyDescent="0.25">
      <c r="A1722" s="10"/>
      <c r="B1722" s="10"/>
      <c r="C1722" s="10"/>
      <c r="D1722" s="10"/>
      <c r="E1722" s="10"/>
      <c r="F1722" s="10"/>
      <c r="G1722" s="10"/>
      <c r="H1722" s="10"/>
      <c r="I1722" s="1" t="str">
        <f t="shared" si="78"/>
        <v/>
      </c>
      <c r="J1722" s="1" t="s">
        <v>35</v>
      </c>
      <c r="K1722" s="1" t="str">
        <f t="shared" si="79"/>
        <v/>
      </c>
      <c r="L1722" s="1" t="str">
        <f t="shared" si="80"/>
        <v/>
      </c>
      <c r="M1722" s="1">
        <f>IF(OR(Table1[[#This Row],[Std Nom]]="",Table1[[#This Row],[Std Read]]=""),0,Table1[[#This Row],[Std Nom]]-Table1[[#This Row],[Std Read]])</f>
        <v>0</v>
      </c>
      <c r="N1722" s="1">
        <f>IF(Calculations!$F$5="ACCREDITED 17025 WITH UNCERTAINTIES",$N$10,0)</f>
        <v>0</v>
      </c>
      <c r="Q1722" s="1">
        <f>Table1[[#This Row],[High Tol]]-Table1[[#This Row],[Low Tol]]</f>
        <v>0</v>
      </c>
      <c r="R1722" s="1">
        <f>2*Table1[[#This Row],[Std Error]]</f>
        <v>0</v>
      </c>
      <c r="S1722" s="1" t="str">
        <f>IF(Table1[[#This Row],[High Tol]]="","N/A",IFERROR(ABS(Table1[[#This Row],[Tol Span]]/Table1[[#This Row],[Error Span]]),"N/A"))</f>
        <v>N/A</v>
      </c>
      <c r="T1722" s="1" t="str">
        <f>IF(OR(Table1[[#This Row],[Low Tol]]="",Table1[[#This Row],[High Tol]]=""),"Needs Analysis",IF(Table1[[#This Row],[Ratio]]&gt;=4,"Not Significant",IF(Table1[[#This Row],[Ratio]]&gt;=2,"Semi-Significant","Significant")))</f>
        <v>Needs Analysis</v>
      </c>
      <c r="W1722" s="1">
        <f>IF(Table1[[#This Row],[Cal Type]]&lt;&gt;"ACCREDITED 17025 WITH UNCERTAINTIES",0,"")</f>
        <v>0</v>
      </c>
      <c r="X1722" s="1" t="str">
        <f>IF(Table1[[#This Row],[DUT Read]]="","N/A",Table1[[#This Row],[Std Error]]+Table1[[#This Row],[DUT Read]]+Table1[[#This Row],[DUT Ucty]])</f>
        <v>N/A</v>
      </c>
      <c r="Y1722" s="1" t="str">
        <f>IF(Table1[[#This Row],[Std Read]]="","N/A",Table1[[#This Row],[Std Read]]+Table1[[#This Row],[Std Ucty]])</f>
        <v>N/A</v>
      </c>
      <c r="Z17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2" s="1" t="str">
        <f>IF(Table1[[#This Row],[Spec Type]]="","N/A",Table1[[#This Row],[Spec Type]])</f>
        <v>±</v>
      </c>
      <c r="AC1722" s="1" t="str">
        <f>IF(Table1[[#This Row],[Spec Type2]]="N/A","N/A",IF(AND(Table1[[#This Row],[DUT Adj Read]]&gt;=Table1[[#This Row],[Low Tol]],Table1[[#This Row],[DUT Adj Read]]&lt;=Table1[[#This Row],[High Tol]]),"Pass","Fail"))</f>
        <v>Fail</v>
      </c>
      <c r="AD1722" s="1" t="str">
        <f>IF(AND(Table1[[#This Row],[Spec Type2]]="N/A",Table1[[#This Row],[DUT Adj Read]]="N/A",Table1[[#This Row],[Std Adj Read]]="N/A"),"N/A",IF(Table1[[#This Row],[DUT Adj Read]]="N/A",IF(Table1[[#This Row],[Std Adj Read]]&gt;Table1[[#This Row],[Low Tol]],"Pass","Fail"),IF(Table1[[#This Row],[DUT Adj Read]]&gt;Table1[[#This Row],[Low Tol]],"Pass","Fail")))</f>
        <v>Pass</v>
      </c>
      <c r="AE1722" s="1" t="str">
        <f>IF(AND(Table1[[#This Row],[Spec Type2]]="N/A",Table1[[#This Row],[DUT Adj Read]]="N/A",Table1[[#This Row],[Std Adj Read]]="N/A"),"N/A",IF(Table1[[#This Row],[DUT Adj Read]]="N/A",IF(Table1[[#This Row],[Std Adj Read]]&lt;Table1[[#This Row],[High Tol]],"Pass","Fail"),IF(Table1[[#This Row],[DUT Adj Read]]&lt;Table1[[#This Row],[High Tol]],"Pass","Fail")))</f>
        <v>Fail</v>
      </c>
      <c r="AF1722" s="1" t="str">
        <f>IF(AND(Table1[[#This Row],[Spec Type2]]="N/A",Table1[[#This Row],[DUT Adj Read]]="N/A",Table1[[#This Row],[Std Adj Read]]="N/A"),"N/A",IF(Table1[[#This Row],[DUT Adj Read]]="N/A",IF(Table1[[#This Row],[Std Adj Read]]&gt;=Table1[[#This Row],[Low Tol]],"Pass","Fail"),IF(Table1[[#This Row],[DUT Adj Read]]&gt;=Table1[[#This Row],[Low Tol]],"Pass","Fail")))</f>
        <v>Pass</v>
      </c>
      <c r="AG1722" s="1" t="str">
        <f>IF(AND(Table1[[#This Row],[Spec Type2]]="N/A",Table1[[#This Row],[DUT Adj Read]]="N/A",Table1[[#This Row],[Std Adj Read]]="N/A"),"N/A",IF(Table1[[#This Row],[DUT Adj Read]]="N/A",IF(Table1[[#This Row],[Std Adj Read]]&lt;=Table1[[#This Row],[High Tol]],"Pass","Fail"),IF(Table1[[#This Row],[DUT Adj Read]]&lt;=Table1[[#This Row],[High Tol]],"Pass","Fail")))</f>
        <v>Fail</v>
      </c>
      <c r="AH17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2" s="1" t="b">
        <v>0</v>
      </c>
      <c r="AN1722" s="1" t="b">
        <v>0</v>
      </c>
      <c r="AO1722" s="1" t="b">
        <v>0</v>
      </c>
    </row>
    <row r="1723" spans="1:41" x14ac:dyDescent="0.25">
      <c r="A1723" s="10"/>
      <c r="B1723" s="10"/>
      <c r="C1723" s="10"/>
      <c r="D1723" s="10"/>
      <c r="E1723" s="10"/>
      <c r="F1723" s="10"/>
      <c r="G1723" s="10"/>
      <c r="H1723" s="10"/>
      <c r="I1723" s="1" t="str">
        <f t="shared" si="78"/>
        <v/>
      </c>
      <c r="J1723" s="1" t="s">
        <v>35</v>
      </c>
      <c r="K1723" s="1" t="str">
        <f t="shared" si="79"/>
        <v/>
      </c>
      <c r="L1723" s="1" t="str">
        <f t="shared" si="80"/>
        <v/>
      </c>
      <c r="M1723" s="1">
        <f>IF(OR(Table1[[#This Row],[Std Nom]]="",Table1[[#This Row],[Std Read]]=""),0,Table1[[#This Row],[Std Nom]]-Table1[[#This Row],[Std Read]])</f>
        <v>0</v>
      </c>
      <c r="N1723" s="1">
        <f>IF(Calculations!$F$5="ACCREDITED 17025 WITH UNCERTAINTIES",$N$10,0)</f>
        <v>0</v>
      </c>
      <c r="Q1723" s="1">
        <f>Table1[[#This Row],[High Tol]]-Table1[[#This Row],[Low Tol]]</f>
        <v>0</v>
      </c>
      <c r="R1723" s="1">
        <f>2*Table1[[#This Row],[Std Error]]</f>
        <v>0</v>
      </c>
      <c r="S1723" s="1" t="str">
        <f>IF(Table1[[#This Row],[High Tol]]="","N/A",IFERROR(ABS(Table1[[#This Row],[Tol Span]]/Table1[[#This Row],[Error Span]]),"N/A"))</f>
        <v>N/A</v>
      </c>
      <c r="T1723" s="1" t="str">
        <f>IF(OR(Table1[[#This Row],[Low Tol]]="",Table1[[#This Row],[High Tol]]=""),"Needs Analysis",IF(Table1[[#This Row],[Ratio]]&gt;=4,"Not Significant",IF(Table1[[#This Row],[Ratio]]&gt;=2,"Semi-Significant","Significant")))</f>
        <v>Needs Analysis</v>
      </c>
      <c r="W1723" s="1">
        <f>IF(Table1[[#This Row],[Cal Type]]&lt;&gt;"ACCREDITED 17025 WITH UNCERTAINTIES",0,"")</f>
        <v>0</v>
      </c>
      <c r="X1723" s="1" t="str">
        <f>IF(Table1[[#This Row],[DUT Read]]="","N/A",Table1[[#This Row],[Std Error]]+Table1[[#This Row],[DUT Read]]+Table1[[#This Row],[DUT Ucty]])</f>
        <v>N/A</v>
      </c>
      <c r="Y1723" s="1" t="str">
        <f>IF(Table1[[#This Row],[Std Read]]="","N/A",Table1[[#This Row],[Std Read]]+Table1[[#This Row],[Std Ucty]])</f>
        <v>N/A</v>
      </c>
      <c r="Z17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3" s="1" t="str">
        <f>IF(Table1[[#This Row],[Spec Type]]="","N/A",Table1[[#This Row],[Spec Type]])</f>
        <v>±</v>
      </c>
      <c r="AC1723" s="1" t="str">
        <f>IF(Table1[[#This Row],[Spec Type2]]="N/A","N/A",IF(AND(Table1[[#This Row],[DUT Adj Read]]&gt;=Table1[[#This Row],[Low Tol]],Table1[[#This Row],[DUT Adj Read]]&lt;=Table1[[#This Row],[High Tol]]),"Pass","Fail"))</f>
        <v>Fail</v>
      </c>
      <c r="AD1723" s="1" t="str">
        <f>IF(AND(Table1[[#This Row],[Spec Type2]]="N/A",Table1[[#This Row],[DUT Adj Read]]="N/A",Table1[[#This Row],[Std Adj Read]]="N/A"),"N/A",IF(Table1[[#This Row],[DUT Adj Read]]="N/A",IF(Table1[[#This Row],[Std Adj Read]]&gt;Table1[[#This Row],[Low Tol]],"Pass","Fail"),IF(Table1[[#This Row],[DUT Adj Read]]&gt;Table1[[#This Row],[Low Tol]],"Pass","Fail")))</f>
        <v>Pass</v>
      </c>
      <c r="AE1723" s="1" t="str">
        <f>IF(AND(Table1[[#This Row],[Spec Type2]]="N/A",Table1[[#This Row],[DUT Adj Read]]="N/A",Table1[[#This Row],[Std Adj Read]]="N/A"),"N/A",IF(Table1[[#This Row],[DUT Adj Read]]="N/A",IF(Table1[[#This Row],[Std Adj Read]]&lt;Table1[[#This Row],[High Tol]],"Pass","Fail"),IF(Table1[[#This Row],[DUT Adj Read]]&lt;Table1[[#This Row],[High Tol]],"Pass","Fail")))</f>
        <v>Fail</v>
      </c>
      <c r="AF1723" s="1" t="str">
        <f>IF(AND(Table1[[#This Row],[Spec Type2]]="N/A",Table1[[#This Row],[DUT Adj Read]]="N/A",Table1[[#This Row],[Std Adj Read]]="N/A"),"N/A",IF(Table1[[#This Row],[DUT Adj Read]]="N/A",IF(Table1[[#This Row],[Std Adj Read]]&gt;=Table1[[#This Row],[Low Tol]],"Pass","Fail"),IF(Table1[[#This Row],[DUT Adj Read]]&gt;=Table1[[#This Row],[Low Tol]],"Pass","Fail")))</f>
        <v>Pass</v>
      </c>
      <c r="AG1723" s="1" t="str">
        <f>IF(AND(Table1[[#This Row],[Spec Type2]]="N/A",Table1[[#This Row],[DUT Adj Read]]="N/A",Table1[[#This Row],[Std Adj Read]]="N/A"),"N/A",IF(Table1[[#This Row],[DUT Adj Read]]="N/A",IF(Table1[[#This Row],[Std Adj Read]]&lt;=Table1[[#This Row],[High Tol]],"Pass","Fail"),IF(Table1[[#This Row],[DUT Adj Read]]&lt;=Table1[[#This Row],[High Tol]],"Pass","Fail")))</f>
        <v>Fail</v>
      </c>
      <c r="AH17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3" s="1" t="b">
        <v>0</v>
      </c>
      <c r="AN1723" s="1" t="b">
        <v>0</v>
      </c>
      <c r="AO1723" s="1" t="b">
        <v>0</v>
      </c>
    </row>
    <row r="1724" spans="1:41" x14ac:dyDescent="0.25">
      <c r="A1724" s="10"/>
      <c r="B1724" s="10"/>
      <c r="C1724" s="10"/>
      <c r="D1724" s="10"/>
      <c r="E1724" s="10"/>
      <c r="F1724" s="10"/>
      <c r="G1724" s="10"/>
      <c r="H1724" s="10"/>
      <c r="I1724" s="1" t="str">
        <f t="shared" si="78"/>
        <v/>
      </c>
      <c r="J1724" s="1" t="s">
        <v>35</v>
      </c>
      <c r="K1724" s="1" t="str">
        <f t="shared" si="79"/>
        <v/>
      </c>
      <c r="L1724" s="1" t="str">
        <f t="shared" si="80"/>
        <v/>
      </c>
      <c r="M1724" s="1">
        <f>IF(OR(Table1[[#This Row],[Std Nom]]="",Table1[[#This Row],[Std Read]]=""),0,Table1[[#This Row],[Std Nom]]-Table1[[#This Row],[Std Read]])</f>
        <v>0</v>
      </c>
      <c r="N1724" s="1">
        <f>IF(Calculations!$F$5="ACCREDITED 17025 WITH UNCERTAINTIES",$N$10,0)</f>
        <v>0</v>
      </c>
      <c r="Q1724" s="1">
        <f>Table1[[#This Row],[High Tol]]-Table1[[#This Row],[Low Tol]]</f>
        <v>0</v>
      </c>
      <c r="R1724" s="1">
        <f>2*Table1[[#This Row],[Std Error]]</f>
        <v>0</v>
      </c>
      <c r="S1724" s="1" t="str">
        <f>IF(Table1[[#This Row],[High Tol]]="","N/A",IFERROR(ABS(Table1[[#This Row],[Tol Span]]/Table1[[#This Row],[Error Span]]),"N/A"))</f>
        <v>N/A</v>
      </c>
      <c r="T1724" s="1" t="str">
        <f>IF(OR(Table1[[#This Row],[Low Tol]]="",Table1[[#This Row],[High Tol]]=""),"Needs Analysis",IF(Table1[[#This Row],[Ratio]]&gt;=4,"Not Significant",IF(Table1[[#This Row],[Ratio]]&gt;=2,"Semi-Significant","Significant")))</f>
        <v>Needs Analysis</v>
      </c>
      <c r="W1724" s="1">
        <f>IF(Table1[[#This Row],[Cal Type]]&lt;&gt;"ACCREDITED 17025 WITH UNCERTAINTIES",0,"")</f>
        <v>0</v>
      </c>
      <c r="X1724" s="1" t="str">
        <f>IF(Table1[[#This Row],[DUT Read]]="","N/A",Table1[[#This Row],[Std Error]]+Table1[[#This Row],[DUT Read]]+Table1[[#This Row],[DUT Ucty]])</f>
        <v>N/A</v>
      </c>
      <c r="Y1724" s="1" t="str">
        <f>IF(Table1[[#This Row],[Std Read]]="","N/A",Table1[[#This Row],[Std Read]]+Table1[[#This Row],[Std Ucty]])</f>
        <v>N/A</v>
      </c>
      <c r="Z17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4" s="1" t="str">
        <f>IF(Table1[[#This Row],[Spec Type]]="","N/A",Table1[[#This Row],[Spec Type]])</f>
        <v>±</v>
      </c>
      <c r="AC1724" s="1" t="str">
        <f>IF(Table1[[#This Row],[Spec Type2]]="N/A","N/A",IF(AND(Table1[[#This Row],[DUT Adj Read]]&gt;=Table1[[#This Row],[Low Tol]],Table1[[#This Row],[DUT Adj Read]]&lt;=Table1[[#This Row],[High Tol]]),"Pass","Fail"))</f>
        <v>Fail</v>
      </c>
      <c r="AD1724" s="1" t="str">
        <f>IF(AND(Table1[[#This Row],[Spec Type2]]="N/A",Table1[[#This Row],[DUT Adj Read]]="N/A",Table1[[#This Row],[Std Adj Read]]="N/A"),"N/A",IF(Table1[[#This Row],[DUT Adj Read]]="N/A",IF(Table1[[#This Row],[Std Adj Read]]&gt;Table1[[#This Row],[Low Tol]],"Pass","Fail"),IF(Table1[[#This Row],[DUT Adj Read]]&gt;Table1[[#This Row],[Low Tol]],"Pass","Fail")))</f>
        <v>Pass</v>
      </c>
      <c r="AE1724" s="1" t="str">
        <f>IF(AND(Table1[[#This Row],[Spec Type2]]="N/A",Table1[[#This Row],[DUT Adj Read]]="N/A",Table1[[#This Row],[Std Adj Read]]="N/A"),"N/A",IF(Table1[[#This Row],[DUT Adj Read]]="N/A",IF(Table1[[#This Row],[Std Adj Read]]&lt;Table1[[#This Row],[High Tol]],"Pass","Fail"),IF(Table1[[#This Row],[DUT Adj Read]]&lt;Table1[[#This Row],[High Tol]],"Pass","Fail")))</f>
        <v>Fail</v>
      </c>
      <c r="AF1724" s="1" t="str">
        <f>IF(AND(Table1[[#This Row],[Spec Type2]]="N/A",Table1[[#This Row],[DUT Adj Read]]="N/A",Table1[[#This Row],[Std Adj Read]]="N/A"),"N/A",IF(Table1[[#This Row],[DUT Adj Read]]="N/A",IF(Table1[[#This Row],[Std Adj Read]]&gt;=Table1[[#This Row],[Low Tol]],"Pass","Fail"),IF(Table1[[#This Row],[DUT Adj Read]]&gt;=Table1[[#This Row],[Low Tol]],"Pass","Fail")))</f>
        <v>Pass</v>
      </c>
      <c r="AG1724" s="1" t="str">
        <f>IF(AND(Table1[[#This Row],[Spec Type2]]="N/A",Table1[[#This Row],[DUT Adj Read]]="N/A",Table1[[#This Row],[Std Adj Read]]="N/A"),"N/A",IF(Table1[[#This Row],[DUT Adj Read]]="N/A",IF(Table1[[#This Row],[Std Adj Read]]&lt;=Table1[[#This Row],[High Tol]],"Pass","Fail"),IF(Table1[[#This Row],[DUT Adj Read]]&lt;=Table1[[#This Row],[High Tol]],"Pass","Fail")))</f>
        <v>Fail</v>
      </c>
      <c r="AH17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4" s="1" t="b">
        <v>0</v>
      </c>
      <c r="AN1724" s="1" t="b">
        <v>0</v>
      </c>
      <c r="AO1724" s="1" t="b">
        <v>0</v>
      </c>
    </row>
    <row r="1725" spans="1:41" x14ac:dyDescent="0.25">
      <c r="A1725" s="10"/>
      <c r="B1725" s="10"/>
      <c r="C1725" s="10"/>
      <c r="D1725" s="10"/>
      <c r="E1725" s="10"/>
      <c r="F1725" s="10"/>
      <c r="G1725" s="10"/>
      <c r="H1725" s="10"/>
      <c r="I1725" s="1" t="str">
        <f t="shared" si="78"/>
        <v/>
      </c>
      <c r="J1725" s="1" t="s">
        <v>35</v>
      </c>
      <c r="K1725" s="1" t="str">
        <f t="shared" si="79"/>
        <v/>
      </c>
      <c r="L1725" s="1" t="str">
        <f t="shared" si="80"/>
        <v/>
      </c>
      <c r="M1725" s="1">
        <f>IF(OR(Table1[[#This Row],[Std Nom]]="",Table1[[#This Row],[Std Read]]=""),0,Table1[[#This Row],[Std Nom]]-Table1[[#This Row],[Std Read]])</f>
        <v>0</v>
      </c>
      <c r="N1725" s="1">
        <f>IF(Calculations!$F$5="ACCREDITED 17025 WITH UNCERTAINTIES",$N$10,0)</f>
        <v>0</v>
      </c>
      <c r="Q1725" s="1">
        <f>Table1[[#This Row],[High Tol]]-Table1[[#This Row],[Low Tol]]</f>
        <v>0</v>
      </c>
      <c r="R1725" s="1">
        <f>2*Table1[[#This Row],[Std Error]]</f>
        <v>0</v>
      </c>
      <c r="S1725" s="1" t="str">
        <f>IF(Table1[[#This Row],[High Tol]]="","N/A",IFERROR(ABS(Table1[[#This Row],[Tol Span]]/Table1[[#This Row],[Error Span]]),"N/A"))</f>
        <v>N/A</v>
      </c>
      <c r="T1725" s="1" t="str">
        <f>IF(OR(Table1[[#This Row],[Low Tol]]="",Table1[[#This Row],[High Tol]]=""),"Needs Analysis",IF(Table1[[#This Row],[Ratio]]&gt;=4,"Not Significant",IF(Table1[[#This Row],[Ratio]]&gt;=2,"Semi-Significant","Significant")))</f>
        <v>Needs Analysis</v>
      </c>
      <c r="W1725" s="1">
        <f>IF(Table1[[#This Row],[Cal Type]]&lt;&gt;"ACCREDITED 17025 WITH UNCERTAINTIES",0,"")</f>
        <v>0</v>
      </c>
      <c r="X1725" s="1" t="str">
        <f>IF(Table1[[#This Row],[DUT Read]]="","N/A",Table1[[#This Row],[Std Error]]+Table1[[#This Row],[DUT Read]]+Table1[[#This Row],[DUT Ucty]])</f>
        <v>N/A</v>
      </c>
      <c r="Y1725" s="1" t="str">
        <f>IF(Table1[[#This Row],[Std Read]]="","N/A",Table1[[#This Row],[Std Read]]+Table1[[#This Row],[Std Ucty]])</f>
        <v>N/A</v>
      </c>
      <c r="Z17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5" s="1" t="str">
        <f>IF(Table1[[#This Row],[Spec Type]]="","N/A",Table1[[#This Row],[Spec Type]])</f>
        <v>±</v>
      </c>
      <c r="AC1725" s="1" t="str">
        <f>IF(Table1[[#This Row],[Spec Type2]]="N/A","N/A",IF(AND(Table1[[#This Row],[DUT Adj Read]]&gt;=Table1[[#This Row],[Low Tol]],Table1[[#This Row],[DUT Adj Read]]&lt;=Table1[[#This Row],[High Tol]]),"Pass","Fail"))</f>
        <v>Fail</v>
      </c>
      <c r="AD1725" s="1" t="str">
        <f>IF(AND(Table1[[#This Row],[Spec Type2]]="N/A",Table1[[#This Row],[DUT Adj Read]]="N/A",Table1[[#This Row],[Std Adj Read]]="N/A"),"N/A",IF(Table1[[#This Row],[DUT Adj Read]]="N/A",IF(Table1[[#This Row],[Std Adj Read]]&gt;Table1[[#This Row],[Low Tol]],"Pass","Fail"),IF(Table1[[#This Row],[DUT Adj Read]]&gt;Table1[[#This Row],[Low Tol]],"Pass","Fail")))</f>
        <v>Pass</v>
      </c>
      <c r="AE1725" s="1" t="str">
        <f>IF(AND(Table1[[#This Row],[Spec Type2]]="N/A",Table1[[#This Row],[DUT Adj Read]]="N/A",Table1[[#This Row],[Std Adj Read]]="N/A"),"N/A",IF(Table1[[#This Row],[DUT Adj Read]]="N/A",IF(Table1[[#This Row],[Std Adj Read]]&lt;Table1[[#This Row],[High Tol]],"Pass","Fail"),IF(Table1[[#This Row],[DUT Adj Read]]&lt;Table1[[#This Row],[High Tol]],"Pass","Fail")))</f>
        <v>Fail</v>
      </c>
      <c r="AF1725" s="1" t="str">
        <f>IF(AND(Table1[[#This Row],[Spec Type2]]="N/A",Table1[[#This Row],[DUT Adj Read]]="N/A",Table1[[#This Row],[Std Adj Read]]="N/A"),"N/A",IF(Table1[[#This Row],[DUT Adj Read]]="N/A",IF(Table1[[#This Row],[Std Adj Read]]&gt;=Table1[[#This Row],[Low Tol]],"Pass","Fail"),IF(Table1[[#This Row],[DUT Adj Read]]&gt;=Table1[[#This Row],[Low Tol]],"Pass","Fail")))</f>
        <v>Pass</v>
      </c>
      <c r="AG1725" s="1" t="str">
        <f>IF(AND(Table1[[#This Row],[Spec Type2]]="N/A",Table1[[#This Row],[DUT Adj Read]]="N/A",Table1[[#This Row],[Std Adj Read]]="N/A"),"N/A",IF(Table1[[#This Row],[DUT Adj Read]]="N/A",IF(Table1[[#This Row],[Std Adj Read]]&lt;=Table1[[#This Row],[High Tol]],"Pass","Fail"),IF(Table1[[#This Row],[DUT Adj Read]]&lt;=Table1[[#This Row],[High Tol]],"Pass","Fail")))</f>
        <v>Fail</v>
      </c>
      <c r="AH17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5" s="1" t="b">
        <v>0</v>
      </c>
      <c r="AN1725" s="1" t="b">
        <v>0</v>
      </c>
      <c r="AO1725" s="1" t="b">
        <v>0</v>
      </c>
    </row>
    <row r="1726" spans="1:41" x14ac:dyDescent="0.25">
      <c r="A1726" s="10"/>
      <c r="B1726" s="10"/>
      <c r="C1726" s="10"/>
      <c r="D1726" s="10"/>
      <c r="E1726" s="10"/>
      <c r="F1726" s="10"/>
      <c r="G1726" s="10"/>
      <c r="H1726" s="10"/>
      <c r="I1726" s="1" t="str">
        <f t="shared" si="78"/>
        <v/>
      </c>
      <c r="J1726" s="1" t="s">
        <v>35</v>
      </c>
      <c r="K1726" s="1" t="str">
        <f t="shared" si="79"/>
        <v/>
      </c>
      <c r="L1726" s="1" t="str">
        <f t="shared" si="80"/>
        <v/>
      </c>
      <c r="M1726" s="1">
        <f>IF(OR(Table1[[#This Row],[Std Nom]]="",Table1[[#This Row],[Std Read]]=""),0,Table1[[#This Row],[Std Nom]]-Table1[[#This Row],[Std Read]])</f>
        <v>0</v>
      </c>
      <c r="N1726" s="1">
        <f>IF(Calculations!$F$5="ACCREDITED 17025 WITH UNCERTAINTIES",$N$10,0)</f>
        <v>0</v>
      </c>
      <c r="Q1726" s="1">
        <f>Table1[[#This Row],[High Tol]]-Table1[[#This Row],[Low Tol]]</f>
        <v>0</v>
      </c>
      <c r="R1726" s="1">
        <f>2*Table1[[#This Row],[Std Error]]</f>
        <v>0</v>
      </c>
      <c r="S1726" s="1" t="str">
        <f>IF(Table1[[#This Row],[High Tol]]="","N/A",IFERROR(ABS(Table1[[#This Row],[Tol Span]]/Table1[[#This Row],[Error Span]]),"N/A"))</f>
        <v>N/A</v>
      </c>
      <c r="T1726" s="1" t="str">
        <f>IF(OR(Table1[[#This Row],[Low Tol]]="",Table1[[#This Row],[High Tol]]=""),"Needs Analysis",IF(Table1[[#This Row],[Ratio]]&gt;=4,"Not Significant",IF(Table1[[#This Row],[Ratio]]&gt;=2,"Semi-Significant","Significant")))</f>
        <v>Needs Analysis</v>
      </c>
      <c r="W1726" s="1">
        <f>IF(Table1[[#This Row],[Cal Type]]&lt;&gt;"ACCREDITED 17025 WITH UNCERTAINTIES",0,"")</f>
        <v>0</v>
      </c>
      <c r="X1726" s="1" t="str">
        <f>IF(Table1[[#This Row],[DUT Read]]="","N/A",Table1[[#This Row],[Std Error]]+Table1[[#This Row],[DUT Read]]+Table1[[#This Row],[DUT Ucty]])</f>
        <v>N/A</v>
      </c>
      <c r="Y1726" s="1" t="str">
        <f>IF(Table1[[#This Row],[Std Read]]="","N/A",Table1[[#This Row],[Std Read]]+Table1[[#This Row],[Std Ucty]])</f>
        <v>N/A</v>
      </c>
      <c r="Z17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6" s="1" t="str">
        <f>IF(Table1[[#This Row],[Spec Type]]="","N/A",Table1[[#This Row],[Spec Type]])</f>
        <v>±</v>
      </c>
      <c r="AC1726" s="1" t="str">
        <f>IF(Table1[[#This Row],[Spec Type2]]="N/A","N/A",IF(AND(Table1[[#This Row],[DUT Adj Read]]&gt;=Table1[[#This Row],[Low Tol]],Table1[[#This Row],[DUT Adj Read]]&lt;=Table1[[#This Row],[High Tol]]),"Pass","Fail"))</f>
        <v>Fail</v>
      </c>
      <c r="AD1726" s="1" t="str">
        <f>IF(AND(Table1[[#This Row],[Spec Type2]]="N/A",Table1[[#This Row],[DUT Adj Read]]="N/A",Table1[[#This Row],[Std Adj Read]]="N/A"),"N/A",IF(Table1[[#This Row],[DUT Adj Read]]="N/A",IF(Table1[[#This Row],[Std Adj Read]]&gt;Table1[[#This Row],[Low Tol]],"Pass","Fail"),IF(Table1[[#This Row],[DUT Adj Read]]&gt;Table1[[#This Row],[Low Tol]],"Pass","Fail")))</f>
        <v>Pass</v>
      </c>
      <c r="AE1726" s="1" t="str">
        <f>IF(AND(Table1[[#This Row],[Spec Type2]]="N/A",Table1[[#This Row],[DUT Adj Read]]="N/A",Table1[[#This Row],[Std Adj Read]]="N/A"),"N/A",IF(Table1[[#This Row],[DUT Adj Read]]="N/A",IF(Table1[[#This Row],[Std Adj Read]]&lt;Table1[[#This Row],[High Tol]],"Pass","Fail"),IF(Table1[[#This Row],[DUT Adj Read]]&lt;Table1[[#This Row],[High Tol]],"Pass","Fail")))</f>
        <v>Fail</v>
      </c>
      <c r="AF1726" s="1" t="str">
        <f>IF(AND(Table1[[#This Row],[Spec Type2]]="N/A",Table1[[#This Row],[DUT Adj Read]]="N/A",Table1[[#This Row],[Std Adj Read]]="N/A"),"N/A",IF(Table1[[#This Row],[DUT Adj Read]]="N/A",IF(Table1[[#This Row],[Std Adj Read]]&gt;=Table1[[#This Row],[Low Tol]],"Pass","Fail"),IF(Table1[[#This Row],[DUT Adj Read]]&gt;=Table1[[#This Row],[Low Tol]],"Pass","Fail")))</f>
        <v>Pass</v>
      </c>
      <c r="AG1726" s="1" t="str">
        <f>IF(AND(Table1[[#This Row],[Spec Type2]]="N/A",Table1[[#This Row],[DUT Adj Read]]="N/A",Table1[[#This Row],[Std Adj Read]]="N/A"),"N/A",IF(Table1[[#This Row],[DUT Adj Read]]="N/A",IF(Table1[[#This Row],[Std Adj Read]]&lt;=Table1[[#This Row],[High Tol]],"Pass","Fail"),IF(Table1[[#This Row],[DUT Adj Read]]&lt;=Table1[[#This Row],[High Tol]],"Pass","Fail")))</f>
        <v>Fail</v>
      </c>
      <c r="AH17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6" s="1" t="b">
        <v>0</v>
      </c>
      <c r="AN1726" s="1" t="b">
        <v>0</v>
      </c>
      <c r="AO1726" s="1" t="b">
        <v>0</v>
      </c>
    </row>
    <row r="1727" spans="1:41" x14ac:dyDescent="0.25">
      <c r="A1727" s="10"/>
      <c r="B1727" s="10"/>
      <c r="C1727" s="10"/>
      <c r="D1727" s="10"/>
      <c r="E1727" s="10"/>
      <c r="F1727" s="10"/>
      <c r="G1727" s="10"/>
      <c r="H1727" s="10"/>
      <c r="I1727" s="1" t="str">
        <f t="shared" si="78"/>
        <v/>
      </c>
      <c r="J1727" s="1" t="s">
        <v>35</v>
      </c>
      <c r="K1727" s="1" t="str">
        <f t="shared" si="79"/>
        <v/>
      </c>
      <c r="L1727" s="1" t="str">
        <f t="shared" si="80"/>
        <v/>
      </c>
      <c r="M1727" s="1">
        <f>IF(OR(Table1[[#This Row],[Std Nom]]="",Table1[[#This Row],[Std Read]]=""),0,Table1[[#This Row],[Std Nom]]-Table1[[#This Row],[Std Read]])</f>
        <v>0</v>
      </c>
      <c r="N1727" s="1">
        <f>IF(Calculations!$F$5="ACCREDITED 17025 WITH UNCERTAINTIES",$N$10,0)</f>
        <v>0</v>
      </c>
      <c r="Q1727" s="1">
        <f>Table1[[#This Row],[High Tol]]-Table1[[#This Row],[Low Tol]]</f>
        <v>0</v>
      </c>
      <c r="R1727" s="1">
        <f>2*Table1[[#This Row],[Std Error]]</f>
        <v>0</v>
      </c>
      <c r="S1727" s="1" t="str">
        <f>IF(Table1[[#This Row],[High Tol]]="","N/A",IFERROR(ABS(Table1[[#This Row],[Tol Span]]/Table1[[#This Row],[Error Span]]),"N/A"))</f>
        <v>N/A</v>
      </c>
      <c r="T1727" s="1" t="str">
        <f>IF(OR(Table1[[#This Row],[Low Tol]]="",Table1[[#This Row],[High Tol]]=""),"Needs Analysis",IF(Table1[[#This Row],[Ratio]]&gt;=4,"Not Significant",IF(Table1[[#This Row],[Ratio]]&gt;=2,"Semi-Significant","Significant")))</f>
        <v>Needs Analysis</v>
      </c>
      <c r="W1727" s="1">
        <f>IF(Table1[[#This Row],[Cal Type]]&lt;&gt;"ACCREDITED 17025 WITH UNCERTAINTIES",0,"")</f>
        <v>0</v>
      </c>
      <c r="X1727" s="1" t="str">
        <f>IF(Table1[[#This Row],[DUT Read]]="","N/A",Table1[[#This Row],[Std Error]]+Table1[[#This Row],[DUT Read]]+Table1[[#This Row],[DUT Ucty]])</f>
        <v>N/A</v>
      </c>
      <c r="Y1727" s="1" t="str">
        <f>IF(Table1[[#This Row],[Std Read]]="","N/A",Table1[[#This Row],[Std Read]]+Table1[[#This Row],[Std Ucty]])</f>
        <v>N/A</v>
      </c>
      <c r="Z17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7" s="1" t="str">
        <f>IF(Table1[[#This Row],[Spec Type]]="","N/A",Table1[[#This Row],[Spec Type]])</f>
        <v>±</v>
      </c>
      <c r="AC1727" s="1" t="str">
        <f>IF(Table1[[#This Row],[Spec Type2]]="N/A","N/A",IF(AND(Table1[[#This Row],[DUT Adj Read]]&gt;=Table1[[#This Row],[Low Tol]],Table1[[#This Row],[DUT Adj Read]]&lt;=Table1[[#This Row],[High Tol]]),"Pass","Fail"))</f>
        <v>Fail</v>
      </c>
      <c r="AD1727" s="1" t="str">
        <f>IF(AND(Table1[[#This Row],[Spec Type2]]="N/A",Table1[[#This Row],[DUT Adj Read]]="N/A",Table1[[#This Row],[Std Adj Read]]="N/A"),"N/A",IF(Table1[[#This Row],[DUT Adj Read]]="N/A",IF(Table1[[#This Row],[Std Adj Read]]&gt;Table1[[#This Row],[Low Tol]],"Pass","Fail"),IF(Table1[[#This Row],[DUT Adj Read]]&gt;Table1[[#This Row],[Low Tol]],"Pass","Fail")))</f>
        <v>Pass</v>
      </c>
      <c r="AE1727" s="1" t="str">
        <f>IF(AND(Table1[[#This Row],[Spec Type2]]="N/A",Table1[[#This Row],[DUT Adj Read]]="N/A",Table1[[#This Row],[Std Adj Read]]="N/A"),"N/A",IF(Table1[[#This Row],[DUT Adj Read]]="N/A",IF(Table1[[#This Row],[Std Adj Read]]&lt;Table1[[#This Row],[High Tol]],"Pass","Fail"),IF(Table1[[#This Row],[DUT Adj Read]]&lt;Table1[[#This Row],[High Tol]],"Pass","Fail")))</f>
        <v>Fail</v>
      </c>
      <c r="AF1727" s="1" t="str">
        <f>IF(AND(Table1[[#This Row],[Spec Type2]]="N/A",Table1[[#This Row],[DUT Adj Read]]="N/A",Table1[[#This Row],[Std Adj Read]]="N/A"),"N/A",IF(Table1[[#This Row],[DUT Adj Read]]="N/A",IF(Table1[[#This Row],[Std Adj Read]]&gt;=Table1[[#This Row],[Low Tol]],"Pass","Fail"),IF(Table1[[#This Row],[DUT Adj Read]]&gt;=Table1[[#This Row],[Low Tol]],"Pass","Fail")))</f>
        <v>Pass</v>
      </c>
      <c r="AG1727" s="1" t="str">
        <f>IF(AND(Table1[[#This Row],[Spec Type2]]="N/A",Table1[[#This Row],[DUT Adj Read]]="N/A",Table1[[#This Row],[Std Adj Read]]="N/A"),"N/A",IF(Table1[[#This Row],[DUT Adj Read]]="N/A",IF(Table1[[#This Row],[Std Adj Read]]&lt;=Table1[[#This Row],[High Tol]],"Pass","Fail"),IF(Table1[[#This Row],[DUT Adj Read]]&lt;=Table1[[#This Row],[High Tol]],"Pass","Fail")))</f>
        <v>Fail</v>
      </c>
      <c r="AH17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7" s="1" t="b">
        <v>0</v>
      </c>
      <c r="AN1727" s="1" t="b">
        <v>0</v>
      </c>
      <c r="AO1727" s="1" t="b">
        <v>0</v>
      </c>
    </row>
    <row r="1728" spans="1:41" x14ac:dyDescent="0.25">
      <c r="A1728" s="10"/>
      <c r="B1728" s="10"/>
      <c r="C1728" s="10"/>
      <c r="D1728" s="10"/>
      <c r="E1728" s="10"/>
      <c r="F1728" s="10"/>
      <c r="G1728" s="10"/>
      <c r="H1728" s="10"/>
      <c r="I1728" s="1" t="str">
        <f t="shared" si="78"/>
        <v/>
      </c>
      <c r="J1728" s="1" t="s">
        <v>35</v>
      </c>
      <c r="K1728" s="1" t="str">
        <f t="shared" si="79"/>
        <v/>
      </c>
      <c r="L1728" s="1" t="str">
        <f t="shared" si="80"/>
        <v/>
      </c>
      <c r="M1728" s="1">
        <f>IF(OR(Table1[[#This Row],[Std Nom]]="",Table1[[#This Row],[Std Read]]=""),0,Table1[[#This Row],[Std Nom]]-Table1[[#This Row],[Std Read]])</f>
        <v>0</v>
      </c>
      <c r="N1728" s="1">
        <f>IF(Calculations!$F$5="ACCREDITED 17025 WITH UNCERTAINTIES",$N$10,0)</f>
        <v>0</v>
      </c>
      <c r="Q1728" s="1">
        <f>Table1[[#This Row],[High Tol]]-Table1[[#This Row],[Low Tol]]</f>
        <v>0</v>
      </c>
      <c r="R1728" s="1">
        <f>2*Table1[[#This Row],[Std Error]]</f>
        <v>0</v>
      </c>
      <c r="S1728" s="1" t="str">
        <f>IF(Table1[[#This Row],[High Tol]]="","N/A",IFERROR(ABS(Table1[[#This Row],[Tol Span]]/Table1[[#This Row],[Error Span]]),"N/A"))</f>
        <v>N/A</v>
      </c>
      <c r="T1728" s="1" t="str">
        <f>IF(OR(Table1[[#This Row],[Low Tol]]="",Table1[[#This Row],[High Tol]]=""),"Needs Analysis",IF(Table1[[#This Row],[Ratio]]&gt;=4,"Not Significant",IF(Table1[[#This Row],[Ratio]]&gt;=2,"Semi-Significant","Significant")))</f>
        <v>Needs Analysis</v>
      </c>
      <c r="W1728" s="1">
        <f>IF(Table1[[#This Row],[Cal Type]]&lt;&gt;"ACCREDITED 17025 WITH UNCERTAINTIES",0,"")</f>
        <v>0</v>
      </c>
      <c r="X1728" s="1" t="str">
        <f>IF(Table1[[#This Row],[DUT Read]]="","N/A",Table1[[#This Row],[Std Error]]+Table1[[#This Row],[DUT Read]]+Table1[[#This Row],[DUT Ucty]])</f>
        <v>N/A</v>
      </c>
      <c r="Y1728" s="1" t="str">
        <f>IF(Table1[[#This Row],[Std Read]]="","N/A",Table1[[#This Row],[Std Read]]+Table1[[#This Row],[Std Ucty]])</f>
        <v>N/A</v>
      </c>
      <c r="Z17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8" s="1" t="str">
        <f>IF(Table1[[#This Row],[Spec Type]]="","N/A",Table1[[#This Row],[Spec Type]])</f>
        <v>±</v>
      </c>
      <c r="AC1728" s="1" t="str">
        <f>IF(Table1[[#This Row],[Spec Type2]]="N/A","N/A",IF(AND(Table1[[#This Row],[DUT Adj Read]]&gt;=Table1[[#This Row],[Low Tol]],Table1[[#This Row],[DUT Adj Read]]&lt;=Table1[[#This Row],[High Tol]]),"Pass","Fail"))</f>
        <v>Fail</v>
      </c>
      <c r="AD1728" s="1" t="str">
        <f>IF(AND(Table1[[#This Row],[Spec Type2]]="N/A",Table1[[#This Row],[DUT Adj Read]]="N/A",Table1[[#This Row],[Std Adj Read]]="N/A"),"N/A",IF(Table1[[#This Row],[DUT Adj Read]]="N/A",IF(Table1[[#This Row],[Std Adj Read]]&gt;Table1[[#This Row],[Low Tol]],"Pass","Fail"),IF(Table1[[#This Row],[DUT Adj Read]]&gt;Table1[[#This Row],[Low Tol]],"Pass","Fail")))</f>
        <v>Pass</v>
      </c>
      <c r="AE1728" s="1" t="str">
        <f>IF(AND(Table1[[#This Row],[Spec Type2]]="N/A",Table1[[#This Row],[DUT Adj Read]]="N/A",Table1[[#This Row],[Std Adj Read]]="N/A"),"N/A",IF(Table1[[#This Row],[DUT Adj Read]]="N/A",IF(Table1[[#This Row],[Std Adj Read]]&lt;Table1[[#This Row],[High Tol]],"Pass","Fail"),IF(Table1[[#This Row],[DUT Adj Read]]&lt;Table1[[#This Row],[High Tol]],"Pass","Fail")))</f>
        <v>Fail</v>
      </c>
      <c r="AF1728" s="1" t="str">
        <f>IF(AND(Table1[[#This Row],[Spec Type2]]="N/A",Table1[[#This Row],[DUT Adj Read]]="N/A",Table1[[#This Row],[Std Adj Read]]="N/A"),"N/A",IF(Table1[[#This Row],[DUT Adj Read]]="N/A",IF(Table1[[#This Row],[Std Adj Read]]&gt;=Table1[[#This Row],[Low Tol]],"Pass","Fail"),IF(Table1[[#This Row],[DUT Adj Read]]&gt;=Table1[[#This Row],[Low Tol]],"Pass","Fail")))</f>
        <v>Pass</v>
      </c>
      <c r="AG1728" s="1" t="str">
        <f>IF(AND(Table1[[#This Row],[Spec Type2]]="N/A",Table1[[#This Row],[DUT Adj Read]]="N/A",Table1[[#This Row],[Std Adj Read]]="N/A"),"N/A",IF(Table1[[#This Row],[DUT Adj Read]]="N/A",IF(Table1[[#This Row],[Std Adj Read]]&lt;=Table1[[#This Row],[High Tol]],"Pass","Fail"),IF(Table1[[#This Row],[DUT Adj Read]]&lt;=Table1[[#This Row],[High Tol]],"Pass","Fail")))</f>
        <v>Fail</v>
      </c>
      <c r="AH17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8" s="1" t="b">
        <v>0</v>
      </c>
      <c r="AN1728" s="1" t="b">
        <v>0</v>
      </c>
      <c r="AO1728" s="1" t="b">
        <v>0</v>
      </c>
    </row>
    <row r="1729" spans="1:41" x14ac:dyDescent="0.25">
      <c r="A1729" s="10"/>
      <c r="B1729" s="10"/>
      <c r="C1729" s="10"/>
      <c r="D1729" s="10"/>
      <c r="E1729" s="10"/>
      <c r="F1729" s="10"/>
      <c r="G1729" s="10"/>
      <c r="H1729" s="10"/>
      <c r="I1729" s="1" t="str">
        <f t="shared" si="78"/>
        <v/>
      </c>
      <c r="J1729" s="1" t="s">
        <v>35</v>
      </c>
      <c r="K1729" s="1" t="str">
        <f t="shared" si="79"/>
        <v/>
      </c>
      <c r="L1729" s="1" t="str">
        <f t="shared" si="80"/>
        <v/>
      </c>
      <c r="M1729" s="1">
        <f>IF(OR(Table1[[#This Row],[Std Nom]]="",Table1[[#This Row],[Std Read]]=""),0,Table1[[#This Row],[Std Nom]]-Table1[[#This Row],[Std Read]])</f>
        <v>0</v>
      </c>
      <c r="N1729" s="1">
        <f>IF(Calculations!$F$5="ACCREDITED 17025 WITH UNCERTAINTIES",$N$10,0)</f>
        <v>0</v>
      </c>
      <c r="Q1729" s="1">
        <f>Table1[[#This Row],[High Tol]]-Table1[[#This Row],[Low Tol]]</f>
        <v>0</v>
      </c>
      <c r="R1729" s="1">
        <f>2*Table1[[#This Row],[Std Error]]</f>
        <v>0</v>
      </c>
      <c r="S1729" s="1" t="str">
        <f>IF(Table1[[#This Row],[High Tol]]="","N/A",IFERROR(ABS(Table1[[#This Row],[Tol Span]]/Table1[[#This Row],[Error Span]]),"N/A"))</f>
        <v>N/A</v>
      </c>
      <c r="T1729" s="1" t="str">
        <f>IF(OR(Table1[[#This Row],[Low Tol]]="",Table1[[#This Row],[High Tol]]=""),"Needs Analysis",IF(Table1[[#This Row],[Ratio]]&gt;=4,"Not Significant",IF(Table1[[#This Row],[Ratio]]&gt;=2,"Semi-Significant","Significant")))</f>
        <v>Needs Analysis</v>
      </c>
      <c r="W1729" s="1">
        <f>IF(Table1[[#This Row],[Cal Type]]&lt;&gt;"ACCREDITED 17025 WITH UNCERTAINTIES",0,"")</f>
        <v>0</v>
      </c>
      <c r="X1729" s="1" t="str">
        <f>IF(Table1[[#This Row],[DUT Read]]="","N/A",Table1[[#This Row],[Std Error]]+Table1[[#This Row],[DUT Read]]+Table1[[#This Row],[DUT Ucty]])</f>
        <v>N/A</v>
      </c>
      <c r="Y1729" s="1" t="str">
        <f>IF(Table1[[#This Row],[Std Read]]="","N/A",Table1[[#This Row],[Std Read]]+Table1[[#This Row],[Std Ucty]])</f>
        <v>N/A</v>
      </c>
      <c r="Z17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29" s="1" t="str">
        <f>IF(Table1[[#This Row],[Spec Type]]="","N/A",Table1[[#This Row],[Spec Type]])</f>
        <v>±</v>
      </c>
      <c r="AC1729" s="1" t="str">
        <f>IF(Table1[[#This Row],[Spec Type2]]="N/A","N/A",IF(AND(Table1[[#This Row],[DUT Adj Read]]&gt;=Table1[[#This Row],[Low Tol]],Table1[[#This Row],[DUT Adj Read]]&lt;=Table1[[#This Row],[High Tol]]),"Pass","Fail"))</f>
        <v>Fail</v>
      </c>
      <c r="AD1729" s="1" t="str">
        <f>IF(AND(Table1[[#This Row],[Spec Type2]]="N/A",Table1[[#This Row],[DUT Adj Read]]="N/A",Table1[[#This Row],[Std Adj Read]]="N/A"),"N/A",IF(Table1[[#This Row],[DUT Adj Read]]="N/A",IF(Table1[[#This Row],[Std Adj Read]]&gt;Table1[[#This Row],[Low Tol]],"Pass","Fail"),IF(Table1[[#This Row],[DUT Adj Read]]&gt;Table1[[#This Row],[Low Tol]],"Pass","Fail")))</f>
        <v>Pass</v>
      </c>
      <c r="AE1729" s="1" t="str">
        <f>IF(AND(Table1[[#This Row],[Spec Type2]]="N/A",Table1[[#This Row],[DUT Adj Read]]="N/A",Table1[[#This Row],[Std Adj Read]]="N/A"),"N/A",IF(Table1[[#This Row],[DUT Adj Read]]="N/A",IF(Table1[[#This Row],[Std Adj Read]]&lt;Table1[[#This Row],[High Tol]],"Pass","Fail"),IF(Table1[[#This Row],[DUT Adj Read]]&lt;Table1[[#This Row],[High Tol]],"Pass","Fail")))</f>
        <v>Fail</v>
      </c>
      <c r="AF1729" s="1" t="str">
        <f>IF(AND(Table1[[#This Row],[Spec Type2]]="N/A",Table1[[#This Row],[DUT Adj Read]]="N/A",Table1[[#This Row],[Std Adj Read]]="N/A"),"N/A",IF(Table1[[#This Row],[DUT Adj Read]]="N/A",IF(Table1[[#This Row],[Std Adj Read]]&gt;=Table1[[#This Row],[Low Tol]],"Pass","Fail"),IF(Table1[[#This Row],[DUT Adj Read]]&gt;=Table1[[#This Row],[Low Tol]],"Pass","Fail")))</f>
        <v>Pass</v>
      </c>
      <c r="AG1729" s="1" t="str">
        <f>IF(AND(Table1[[#This Row],[Spec Type2]]="N/A",Table1[[#This Row],[DUT Adj Read]]="N/A",Table1[[#This Row],[Std Adj Read]]="N/A"),"N/A",IF(Table1[[#This Row],[DUT Adj Read]]="N/A",IF(Table1[[#This Row],[Std Adj Read]]&lt;=Table1[[#This Row],[High Tol]],"Pass","Fail"),IF(Table1[[#This Row],[DUT Adj Read]]&lt;=Table1[[#This Row],[High Tol]],"Pass","Fail")))</f>
        <v>Fail</v>
      </c>
      <c r="AH17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29" s="1" t="b">
        <v>0</v>
      </c>
      <c r="AN1729" s="1" t="b">
        <v>0</v>
      </c>
      <c r="AO1729" s="1" t="b">
        <v>0</v>
      </c>
    </row>
    <row r="1730" spans="1:41" x14ac:dyDescent="0.25">
      <c r="A1730" s="10"/>
      <c r="B1730" s="10"/>
      <c r="C1730" s="10"/>
      <c r="D1730" s="10"/>
      <c r="E1730" s="10"/>
      <c r="F1730" s="10"/>
      <c r="G1730" s="10"/>
      <c r="H1730" s="10"/>
      <c r="I1730" s="1" t="str">
        <f t="shared" si="78"/>
        <v/>
      </c>
      <c r="J1730" s="1" t="s">
        <v>35</v>
      </c>
      <c r="K1730" s="1" t="str">
        <f t="shared" si="79"/>
        <v/>
      </c>
      <c r="L1730" s="1" t="str">
        <f t="shared" si="80"/>
        <v/>
      </c>
      <c r="M1730" s="1">
        <f>IF(OR(Table1[[#This Row],[Std Nom]]="",Table1[[#This Row],[Std Read]]=""),0,Table1[[#This Row],[Std Nom]]-Table1[[#This Row],[Std Read]])</f>
        <v>0</v>
      </c>
      <c r="N1730" s="1">
        <f>IF(Calculations!$F$5="ACCREDITED 17025 WITH UNCERTAINTIES",$N$10,0)</f>
        <v>0</v>
      </c>
      <c r="Q1730" s="1">
        <f>Table1[[#This Row],[High Tol]]-Table1[[#This Row],[Low Tol]]</f>
        <v>0</v>
      </c>
      <c r="R1730" s="1">
        <f>2*Table1[[#This Row],[Std Error]]</f>
        <v>0</v>
      </c>
      <c r="S1730" s="1" t="str">
        <f>IF(Table1[[#This Row],[High Tol]]="","N/A",IFERROR(ABS(Table1[[#This Row],[Tol Span]]/Table1[[#This Row],[Error Span]]),"N/A"))</f>
        <v>N/A</v>
      </c>
      <c r="T1730" s="1" t="str">
        <f>IF(OR(Table1[[#This Row],[Low Tol]]="",Table1[[#This Row],[High Tol]]=""),"Needs Analysis",IF(Table1[[#This Row],[Ratio]]&gt;=4,"Not Significant",IF(Table1[[#This Row],[Ratio]]&gt;=2,"Semi-Significant","Significant")))</f>
        <v>Needs Analysis</v>
      </c>
      <c r="W1730" s="1">
        <f>IF(Table1[[#This Row],[Cal Type]]&lt;&gt;"ACCREDITED 17025 WITH UNCERTAINTIES",0,"")</f>
        <v>0</v>
      </c>
      <c r="X1730" s="1" t="str">
        <f>IF(Table1[[#This Row],[DUT Read]]="","N/A",Table1[[#This Row],[Std Error]]+Table1[[#This Row],[DUT Read]]+Table1[[#This Row],[DUT Ucty]])</f>
        <v>N/A</v>
      </c>
      <c r="Y1730" s="1" t="str">
        <f>IF(Table1[[#This Row],[Std Read]]="","N/A",Table1[[#This Row],[Std Read]]+Table1[[#This Row],[Std Ucty]])</f>
        <v>N/A</v>
      </c>
      <c r="Z17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0" s="1" t="str">
        <f>IF(Table1[[#This Row],[Spec Type]]="","N/A",Table1[[#This Row],[Spec Type]])</f>
        <v>±</v>
      </c>
      <c r="AC1730" s="1" t="str">
        <f>IF(Table1[[#This Row],[Spec Type2]]="N/A","N/A",IF(AND(Table1[[#This Row],[DUT Adj Read]]&gt;=Table1[[#This Row],[Low Tol]],Table1[[#This Row],[DUT Adj Read]]&lt;=Table1[[#This Row],[High Tol]]),"Pass","Fail"))</f>
        <v>Fail</v>
      </c>
      <c r="AD1730" s="1" t="str">
        <f>IF(AND(Table1[[#This Row],[Spec Type2]]="N/A",Table1[[#This Row],[DUT Adj Read]]="N/A",Table1[[#This Row],[Std Adj Read]]="N/A"),"N/A",IF(Table1[[#This Row],[DUT Adj Read]]="N/A",IF(Table1[[#This Row],[Std Adj Read]]&gt;Table1[[#This Row],[Low Tol]],"Pass","Fail"),IF(Table1[[#This Row],[DUT Adj Read]]&gt;Table1[[#This Row],[Low Tol]],"Pass","Fail")))</f>
        <v>Pass</v>
      </c>
      <c r="AE1730" s="1" t="str">
        <f>IF(AND(Table1[[#This Row],[Spec Type2]]="N/A",Table1[[#This Row],[DUT Adj Read]]="N/A",Table1[[#This Row],[Std Adj Read]]="N/A"),"N/A",IF(Table1[[#This Row],[DUT Adj Read]]="N/A",IF(Table1[[#This Row],[Std Adj Read]]&lt;Table1[[#This Row],[High Tol]],"Pass","Fail"),IF(Table1[[#This Row],[DUT Adj Read]]&lt;Table1[[#This Row],[High Tol]],"Pass","Fail")))</f>
        <v>Fail</v>
      </c>
      <c r="AF1730" s="1" t="str">
        <f>IF(AND(Table1[[#This Row],[Spec Type2]]="N/A",Table1[[#This Row],[DUT Adj Read]]="N/A",Table1[[#This Row],[Std Adj Read]]="N/A"),"N/A",IF(Table1[[#This Row],[DUT Adj Read]]="N/A",IF(Table1[[#This Row],[Std Adj Read]]&gt;=Table1[[#This Row],[Low Tol]],"Pass","Fail"),IF(Table1[[#This Row],[DUT Adj Read]]&gt;=Table1[[#This Row],[Low Tol]],"Pass","Fail")))</f>
        <v>Pass</v>
      </c>
      <c r="AG1730" s="1" t="str">
        <f>IF(AND(Table1[[#This Row],[Spec Type2]]="N/A",Table1[[#This Row],[DUT Adj Read]]="N/A",Table1[[#This Row],[Std Adj Read]]="N/A"),"N/A",IF(Table1[[#This Row],[DUT Adj Read]]="N/A",IF(Table1[[#This Row],[Std Adj Read]]&lt;=Table1[[#This Row],[High Tol]],"Pass","Fail"),IF(Table1[[#This Row],[DUT Adj Read]]&lt;=Table1[[#This Row],[High Tol]],"Pass","Fail")))</f>
        <v>Fail</v>
      </c>
      <c r="AH17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0" s="1" t="b">
        <v>0</v>
      </c>
      <c r="AN1730" s="1" t="b">
        <v>0</v>
      </c>
      <c r="AO1730" s="1" t="b">
        <v>0</v>
      </c>
    </row>
    <row r="1731" spans="1:41" x14ac:dyDescent="0.25">
      <c r="A1731" s="10"/>
      <c r="B1731" s="10"/>
      <c r="C1731" s="10"/>
      <c r="D1731" s="10"/>
      <c r="E1731" s="10"/>
      <c r="F1731" s="10"/>
      <c r="G1731" s="10"/>
      <c r="H1731" s="10"/>
      <c r="I1731" s="1" t="str">
        <f t="shared" si="78"/>
        <v/>
      </c>
      <c r="J1731" s="1" t="s">
        <v>35</v>
      </c>
      <c r="K1731" s="1" t="str">
        <f t="shared" si="79"/>
        <v/>
      </c>
      <c r="L1731" s="1" t="str">
        <f t="shared" si="80"/>
        <v/>
      </c>
      <c r="M1731" s="1">
        <f>IF(OR(Table1[[#This Row],[Std Nom]]="",Table1[[#This Row],[Std Read]]=""),0,Table1[[#This Row],[Std Nom]]-Table1[[#This Row],[Std Read]])</f>
        <v>0</v>
      </c>
      <c r="N1731" s="1">
        <f>IF(Calculations!$F$5="ACCREDITED 17025 WITH UNCERTAINTIES",$N$10,0)</f>
        <v>0</v>
      </c>
      <c r="Q1731" s="1">
        <f>Table1[[#This Row],[High Tol]]-Table1[[#This Row],[Low Tol]]</f>
        <v>0</v>
      </c>
      <c r="R1731" s="1">
        <f>2*Table1[[#This Row],[Std Error]]</f>
        <v>0</v>
      </c>
      <c r="S1731" s="1" t="str">
        <f>IF(Table1[[#This Row],[High Tol]]="","N/A",IFERROR(ABS(Table1[[#This Row],[Tol Span]]/Table1[[#This Row],[Error Span]]),"N/A"))</f>
        <v>N/A</v>
      </c>
      <c r="T1731" s="1" t="str">
        <f>IF(OR(Table1[[#This Row],[Low Tol]]="",Table1[[#This Row],[High Tol]]=""),"Needs Analysis",IF(Table1[[#This Row],[Ratio]]&gt;=4,"Not Significant",IF(Table1[[#This Row],[Ratio]]&gt;=2,"Semi-Significant","Significant")))</f>
        <v>Needs Analysis</v>
      </c>
      <c r="W1731" s="1">
        <f>IF(Table1[[#This Row],[Cal Type]]&lt;&gt;"ACCREDITED 17025 WITH UNCERTAINTIES",0,"")</f>
        <v>0</v>
      </c>
      <c r="X1731" s="1" t="str">
        <f>IF(Table1[[#This Row],[DUT Read]]="","N/A",Table1[[#This Row],[Std Error]]+Table1[[#This Row],[DUT Read]]+Table1[[#This Row],[DUT Ucty]])</f>
        <v>N/A</v>
      </c>
      <c r="Y1731" s="1" t="str">
        <f>IF(Table1[[#This Row],[Std Read]]="","N/A",Table1[[#This Row],[Std Read]]+Table1[[#This Row],[Std Ucty]])</f>
        <v>N/A</v>
      </c>
      <c r="Z17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1" s="1" t="str">
        <f>IF(Table1[[#This Row],[Spec Type]]="","N/A",Table1[[#This Row],[Spec Type]])</f>
        <v>±</v>
      </c>
      <c r="AC1731" s="1" t="str">
        <f>IF(Table1[[#This Row],[Spec Type2]]="N/A","N/A",IF(AND(Table1[[#This Row],[DUT Adj Read]]&gt;=Table1[[#This Row],[Low Tol]],Table1[[#This Row],[DUT Adj Read]]&lt;=Table1[[#This Row],[High Tol]]),"Pass","Fail"))</f>
        <v>Fail</v>
      </c>
      <c r="AD1731" s="1" t="str">
        <f>IF(AND(Table1[[#This Row],[Spec Type2]]="N/A",Table1[[#This Row],[DUT Adj Read]]="N/A",Table1[[#This Row],[Std Adj Read]]="N/A"),"N/A",IF(Table1[[#This Row],[DUT Adj Read]]="N/A",IF(Table1[[#This Row],[Std Adj Read]]&gt;Table1[[#This Row],[Low Tol]],"Pass","Fail"),IF(Table1[[#This Row],[DUT Adj Read]]&gt;Table1[[#This Row],[Low Tol]],"Pass","Fail")))</f>
        <v>Pass</v>
      </c>
      <c r="AE1731" s="1" t="str">
        <f>IF(AND(Table1[[#This Row],[Spec Type2]]="N/A",Table1[[#This Row],[DUT Adj Read]]="N/A",Table1[[#This Row],[Std Adj Read]]="N/A"),"N/A",IF(Table1[[#This Row],[DUT Adj Read]]="N/A",IF(Table1[[#This Row],[Std Adj Read]]&lt;Table1[[#This Row],[High Tol]],"Pass","Fail"),IF(Table1[[#This Row],[DUT Adj Read]]&lt;Table1[[#This Row],[High Tol]],"Pass","Fail")))</f>
        <v>Fail</v>
      </c>
      <c r="AF1731" s="1" t="str">
        <f>IF(AND(Table1[[#This Row],[Spec Type2]]="N/A",Table1[[#This Row],[DUT Adj Read]]="N/A",Table1[[#This Row],[Std Adj Read]]="N/A"),"N/A",IF(Table1[[#This Row],[DUT Adj Read]]="N/A",IF(Table1[[#This Row],[Std Adj Read]]&gt;=Table1[[#This Row],[Low Tol]],"Pass","Fail"),IF(Table1[[#This Row],[DUT Adj Read]]&gt;=Table1[[#This Row],[Low Tol]],"Pass","Fail")))</f>
        <v>Pass</v>
      </c>
      <c r="AG1731" s="1" t="str">
        <f>IF(AND(Table1[[#This Row],[Spec Type2]]="N/A",Table1[[#This Row],[DUT Adj Read]]="N/A",Table1[[#This Row],[Std Adj Read]]="N/A"),"N/A",IF(Table1[[#This Row],[DUT Adj Read]]="N/A",IF(Table1[[#This Row],[Std Adj Read]]&lt;=Table1[[#This Row],[High Tol]],"Pass","Fail"),IF(Table1[[#This Row],[DUT Adj Read]]&lt;=Table1[[#This Row],[High Tol]],"Pass","Fail")))</f>
        <v>Fail</v>
      </c>
      <c r="AH17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1" s="1" t="b">
        <v>0</v>
      </c>
      <c r="AN1731" s="1" t="b">
        <v>0</v>
      </c>
      <c r="AO1731" s="1" t="b">
        <v>0</v>
      </c>
    </row>
    <row r="1732" spans="1:41" x14ac:dyDescent="0.25">
      <c r="A1732" s="10"/>
      <c r="B1732" s="10"/>
      <c r="C1732" s="10"/>
      <c r="D1732" s="10"/>
      <c r="E1732" s="10"/>
      <c r="F1732" s="10"/>
      <c r="G1732" s="10"/>
      <c r="H1732" s="10"/>
      <c r="I1732" s="1" t="str">
        <f t="shared" si="78"/>
        <v/>
      </c>
      <c r="J1732" s="1" t="s">
        <v>35</v>
      </c>
      <c r="K1732" s="1" t="str">
        <f t="shared" si="79"/>
        <v/>
      </c>
      <c r="L1732" s="1" t="str">
        <f t="shared" si="80"/>
        <v/>
      </c>
      <c r="M1732" s="1">
        <f>IF(OR(Table1[[#This Row],[Std Nom]]="",Table1[[#This Row],[Std Read]]=""),0,Table1[[#This Row],[Std Nom]]-Table1[[#This Row],[Std Read]])</f>
        <v>0</v>
      </c>
      <c r="N1732" s="1">
        <f>IF(Calculations!$F$5="ACCREDITED 17025 WITH UNCERTAINTIES",$N$10,0)</f>
        <v>0</v>
      </c>
      <c r="Q1732" s="1">
        <f>Table1[[#This Row],[High Tol]]-Table1[[#This Row],[Low Tol]]</f>
        <v>0</v>
      </c>
      <c r="R1732" s="1">
        <f>2*Table1[[#This Row],[Std Error]]</f>
        <v>0</v>
      </c>
      <c r="S1732" s="1" t="str">
        <f>IF(Table1[[#This Row],[High Tol]]="","N/A",IFERROR(ABS(Table1[[#This Row],[Tol Span]]/Table1[[#This Row],[Error Span]]),"N/A"))</f>
        <v>N/A</v>
      </c>
      <c r="T1732" s="1" t="str">
        <f>IF(OR(Table1[[#This Row],[Low Tol]]="",Table1[[#This Row],[High Tol]]=""),"Needs Analysis",IF(Table1[[#This Row],[Ratio]]&gt;=4,"Not Significant",IF(Table1[[#This Row],[Ratio]]&gt;=2,"Semi-Significant","Significant")))</f>
        <v>Needs Analysis</v>
      </c>
      <c r="W1732" s="1">
        <f>IF(Table1[[#This Row],[Cal Type]]&lt;&gt;"ACCREDITED 17025 WITH UNCERTAINTIES",0,"")</f>
        <v>0</v>
      </c>
      <c r="X1732" s="1" t="str">
        <f>IF(Table1[[#This Row],[DUT Read]]="","N/A",Table1[[#This Row],[Std Error]]+Table1[[#This Row],[DUT Read]]+Table1[[#This Row],[DUT Ucty]])</f>
        <v>N/A</v>
      </c>
      <c r="Y1732" s="1" t="str">
        <f>IF(Table1[[#This Row],[Std Read]]="","N/A",Table1[[#This Row],[Std Read]]+Table1[[#This Row],[Std Ucty]])</f>
        <v>N/A</v>
      </c>
      <c r="Z17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2" s="1" t="str">
        <f>IF(Table1[[#This Row],[Spec Type]]="","N/A",Table1[[#This Row],[Spec Type]])</f>
        <v>±</v>
      </c>
      <c r="AC1732" s="1" t="str">
        <f>IF(Table1[[#This Row],[Spec Type2]]="N/A","N/A",IF(AND(Table1[[#This Row],[DUT Adj Read]]&gt;=Table1[[#This Row],[Low Tol]],Table1[[#This Row],[DUT Adj Read]]&lt;=Table1[[#This Row],[High Tol]]),"Pass","Fail"))</f>
        <v>Fail</v>
      </c>
      <c r="AD1732" s="1" t="str">
        <f>IF(AND(Table1[[#This Row],[Spec Type2]]="N/A",Table1[[#This Row],[DUT Adj Read]]="N/A",Table1[[#This Row],[Std Adj Read]]="N/A"),"N/A",IF(Table1[[#This Row],[DUT Adj Read]]="N/A",IF(Table1[[#This Row],[Std Adj Read]]&gt;Table1[[#This Row],[Low Tol]],"Pass","Fail"),IF(Table1[[#This Row],[DUT Adj Read]]&gt;Table1[[#This Row],[Low Tol]],"Pass","Fail")))</f>
        <v>Pass</v>
      </c>
      <c r="AE1732" s="1" t="str">
        <f>IF(AND(Table1[[#This Row],[Spec Type2]]="N/A",Table1[[#This Row],[DUT Adj Read]]="N/A",Table1[[#This Row],[Std Adj Read]]="N/A"),"N/A",IF(Table1[[#This Row],[DUT Adj Read]]="N/A",IF(Table1[[#This Row],[Std Adj Read]]&lt;Table1[[#This Row],[High Tol]],"Pass","Fail"),IF(Table1[[#This Row],[DUT Adj Read]]&lt;Table1[[#This Row],[High Tol]],"Pass","Fail")))</f>
        <v>Fail</v>
      </c>
      <c r="AF1732" s="1" t="str">
        <f>IF(AND(Table1[[#This Row],[Spec Type2]]="N/A",Table1[[#This Row],[DUT Adj Read]]="N/A",Table1[[#This Row],[Std Adj Read]]="N/A"),"N/A",IF(Table1[[#This Row],[DUT Adj Read]]="N/A",IF(Table1[[#This Row],[Std Adj Read]]&gt;=Table1[[#This Row],[Low Tol]],"Pass","Fail"),IF(Table1[[#This Row],[DUT Adj Read]]&gt;=Table1[[#This Row],[Low Tol]],"Pass","Fail")))</f>
        <v>Pass</v>
      </c>
      <c r="AG1732" s="1" t="str">
        <f>IF(AND(Table1[[#This Row],[Spec Type2]]="N/A",Table1[[#This Row],[DUT Adj Read]]="N/A",Table1[[#This Row],[Std Adj Read]]="N/A"),"N/A",IF(Table1[[#This Row],[DUT Adj Read]]="N/A",IF(Table1[[#This Row],[Std Adj Read]]&lt;=Table1[[#This Row],[High Tol]],"Pass","Fail"),IF(Table1[[#This Row],[DUT Adj Read]]&lt;=Table1[[#This Row],[High Tol]],"Pass","Fail")))</f>
        <v>Fail</v>
      </c>
      <c r="AH17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2" s="1" t="b">
        <v>0</v>
      </c>
      <c r="AN1732" s="1" t="b">
        <v>0</v>
      </c>
      <c r="AO1732" s="1" t="b">
        <v>0</v>
      </c>
    </row>
    <row r="1733" spans="1:41" x14ac:dyDescent="0.25">
      <c r="A1733" s="10"/>
      <c r="B1733" s="10"/>
      <c r="C1733" s="10"/>
      <c r="D1733" s="10"/>
      <c r="E1733" s="10"/>
      <c r="F1733" s="10"/>
      <c r="G1733" s="10"/>
      <c r="H1733" s="10"/>
      <c r="I1733" s="1" t="str">
        <f t="shared" si="78"/>
        <v/>
      </c>
      <c r="J1733" s="1" t="s">
        <v>35</v>
      </c>
      <c r="K1733" s="1" t="str">
        <f t="shared" si="79"/>
        <v/>
      </c>
      <c r="L1733" s="1" t="str">
        <f t="shared" si="80"/>
        <v/>
      </c>
      <c r="M1733" s="1">
        <f>IF(OR(Table1[[#This Row],[Std Nom]]="",Table1[[#This Row],[Std Read]]=""),0,Table1[[#This Row],[Std Nom]]-Table1[[#This Row],[Std Read]])</f>
        <v>0</v>
      </c>
      <c r="N1733" s="1">
        <f>IF(Calculations!$F$5="ACCREDITED 17025 WITH UNCERTAINTIES",$N$10,0)</f>
        <v>0</v>
      </c>
      <c r="Q1733" s="1">
        <f>Table1[[#This Row],[High Tol]]-Table1[[#This Row],[Low Tol]]</f>
        <v>0</v>
      </c>
      <c r="R1733" s="1">
        <f>2*Table1[[#This Row],[Std Error]]</f>
        <v>0</v>
      </c>
      <c r="S1733" s="1" t="str">
        <f>IF(Table1[[#This Row],[High Tol]]="","N/A",IFERROR(ABS(Table1[[#This Row],[Tol Span]]/Table1[[#This Row],[Error Span]]),"N/A"))</f>
        <v>N/A</v>
      </c>
      <c r="T1733" s="1" t="str">
        <f>IF(OR(Table1[[#This Row],[Low Tol]]="",Table1[[#This Row],[High Tol]]=""),"Needs Analysis",IF(Table1[[#This Row],[Ratio]]&gt;=4,"Not Significant",IF(Table1[[#This Row],[Ratio]]&gt;=2,"Semi-Significant","Significant")))</f>
        <v>Needs Analysis</v>
      </c>
      <c r="W1733" s="1">
        <f>IF(Table1[[#This Row],[Cal Type]]&lt;&gt;"ACCREDITED 17025 WITH UNCERTAINTIES",0,"")</f>
        <v>0</v>
      </c>
      <c r="X1733" s="1" t="str">
        <f>IF(Table1[[#This Row],[DUT Read]]="","N/A",Table1[[#This Row],[Std Error]]+Table1[[#This Row],[DUT Read]]+Table1[[#This Row],[DUT Ucty]])</f>
        <v>N/A</v>
      </c>
      <c r="Y1733" s="1" t="str">
        <f>IF(Table1[[#This Row],[Std Read]]="","N/A",Table1[[#This Row],[Std Read]]+Table1[[#This Row],[Std Ucty]])</f>
        <v>N/A</v>
      </c>
      <c r="Z17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3" s="1" t="str">
        <f>IF(Table1[[#This Row],[Spec Type]]="","N/A",Table1[[#This Row],[Spec Type]])</f>
        <v>±</v>
      </c>
      <c r="AC1733" s="1" t="str">
        <f>IF(Table1[[#This Row],[Spec Type2]]="N/A","N/A",IF(AND(Table1[[#This Row],[DUT Adj Read]]&gt;=Table1[[#This Row],[Low Tol]],Table1[[#This Row],[DUT Adj Read]]&lt;=Table1[[#This Row],[High Tol]]),"Pass","Fail"))</f>
        <v>Fail</v>
      </c>
      <c r="AD1733" s="1" t="str">
        <f>IF(AND(Table1[[#This Row],[Spec Type2]]="N/A",Table1[[#This Row],[DUT Adj Read]]="N/A",Table1[[#This Row],[Std Adj Read]]="N/A"),"N/A",IF(Table1[[#This Row],[DUT Adj Read]]="N/A",IF(Table1[[#This Row],[Std Adj Read]]&gt;Table1[[#This Row],[Low Tol]],"Pass","Fail"),IF(Table1[[#This Row],[DUT Adj Read]]&gt;Table1[[#This Row],[Low Tol]],"Pass","Fail")))</f>
        <v>Pass</v>
      </c>
      <c r="AE1733" s="1" t="str">
        <f>IF(AND(Table1[[#This Row],[Spec Type2]]="N/A",Table1[[#This Row],[DUT Adj Read]]="N/A",Table1[[#This Row],[Std Adj Read]]="N/A"),"N/A",IF(Table1[[#This Row],[DUT Adj Read]]="N/A",IF(Table1[[#This Row],[Std Adj Read]]&lt;Table1[[#This Row],[High Tol]],"Pass","Fail"),IF(Table1[[#This Row],[DUT Adj Read]]&lt;Table1[[#This Row],[High Tol]],"Pass","Fail")))</f>
        <v>Fail</v>
      </c>
      <c r="AF1733" s="1" t="str">
        <f>IF(AND(Table1[[#This Row],[Spec Type2]]="N/A",Table1[[#This Row],[DUT Adj Read]]="N/A",Table1[[#This Row],[Std Adj Read]]="N/A"),"N/A",IF(Table1[[#This Row],[DUT Adj Read]]="N/A",IF(Table1[[#This Row],[Std Adj Read]]&gt;=Table1[[#This Row],[Low Tol]],"Pass","Fail"),IF(Table1[[#This Row],[DUT Adj Read]]&gt;=Table1[[#This Row],[Low Tol]],"Pass","Fail")))</f>
        <v>Pass</v>
      </c>
      <c r="AG1733" s="1" t="str">
        <f>IF(AND(Table1[[#This Row],[Spec Type2]]="N/A",Table1[[#This Row],[DUT Adj Read]]="N/A",Table1[[#This Row],[Std Adj Read]]="N/A"),"N/A",IF(Table1[[#This Row],[DUT Adj Read]]="N/A",IF(Table1[[#This Row],[Std Adj Read]]&lt;=Table1[[#This Row],[High Tol]],"Pass","Fail"),IF(Table1[[#This Row],[DUT Adj Read]]&lt;=Table1[[#This Row],[High Tol]],"Pass","Fail")))</f>
        <v>Fail</v>
      </c>
      <c r="AH17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3" s="1" t="b">
        <v>0</v>
      </c>
      <c r="AN1733" s="1" t="b">
        <v>0</v>
      </c>
      <c r="AO1733" s="1" t="b">
        <v>0</v>
      </c>
    </row>
    <row r="1734" spans="1:41" x14ac:dyDescent="0.25">
      <c r="A1734" s="10"/>
      <c r="B1734" s="10"/>
      <c r="C1734" s="10"/>
      <c r="D1734" s="10"/>
      <c r="E1734" s="10"/>
      <c r="F1734" s="10"/>
      <c r="G1734" s="10"/>
      <c r="H1734" s="10"/>
      <c r="I1734" s="1" t="str">
        <f t="shared" si="78"/>
        <v/>
      </c>
      <c r="J1734" s="1" t="s">
        <v>35</v>
      </c>
      <c r="K1734" s="1" t="str">
        <f t="shared" si="79"/>
        <v/>
      </c>
      <c r="L1734" s="1" t="str">
        <f t="shared" si="80"/>
        <v/>
      </c>
      <c r="M1734" s="1">
        <f>IF(OR(Table1[[#This Row],[Std Nom]]="",Table1[[#This Row],[Std Read]]=""),0,Table1[[#This Row],[Std Nom]]-Table1[[#This Row],[Std Read]])</f>
        <v>0</v>
      </c>
      <c r="N1734" s="1">
        <f>IF(Calculations!$F$5="ACCREDITED 17025 WITH UNCERTAINTIES",$N$10,0)</f>
        <v>0</v>
      </c>
      <c r="Q1734" s="1">
        <f>Table1[[#This Row],[High Tol]]-Table1[[#This Row],[Low Tol]]</f>
        <v>0</v>
      </c>
      <c r="R1734" s="1">
        <f>2*Table1[[#This Row],[Std Error]]</f>
        <v>0</v>
      </c>
      <c r="S1734" s="1" t="str">
        <f>IF(Table1[[#This Row],[High Tol]]="","N/A",IFERROR(ABS(Table1[[#This Row],[Tol Span]]/Table1[[#This Row],[Error Span]]),"N/A"))</f>
        <v>N/A</v>
      </c>
      <c r="T1734" s="1" t="str">
        <f>IF(OR(Table1[[#This Row],[Low Tol]]="",Table1[[#This Row],[High Tol]]=""),"Needs Analysis",IF(Table1[[#This Row],[Ratio]]&gt;=4,"Not Significant",IF(Table1[[#This Row],[Ratio]]&gt;=2,"Semi-Significant","Significant")))</f>
        <v>Needs Analysis</v>
      </c>
      <c r="W1734" s="1">
        <f>IF(Table1[[#This Row],[Cal Type]]&lt;&gt;"ACCREDITED 17025 WITH UNCERTAINTIES",0,"")</f>
        <v>0</v>
      </c>
      <c r="X1734" s="1" t="str">
        <f>IF(Table1[[#This Row],[DUT Read]]="","N/A",Table1[[#This Row],[Std Error]]+Table1[[#This Row],[DUT Read]]+Table1[[#This Row],[DUT Ucty]])</f>
        <v>N/A</v>
      </c>
      <c r="Y1734" s="1" t="str">
        <f>IF(Table1[[#This Row],[Std Read]]="","N/A",Table1[[#This Row],[Std Read]]+Table1[[#This Row],[Std Ucty]])</f>
        <v>N/A</v>
      </c>
      <c r="Z17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4" s="1" t="str">
        <f>IF(Table1[[#This Row],[Spec Type]]="","N/A",Table1[[#This Row],[Spec Type]])</f>
        <v>±</v>
      </c>
      <c r="AC1734" s="1" t="str">
        <f>IF(Table1[[#This Row],[Spec Type2]]="N/A","N/A",IF(AND(Table1[[#This Row],[DUT Adj Read]]&gt;=Table1[[#This Row],[Low Tol]],Table1[[#This Row],[DUT Adj Read]]&lt;=Table1[[#This Row],[High Tol]]),"Pass","Fail"))</f>
        <v>Fail</v>
      </c>
      <c r="AD1734" s="1" t="str">
        <f>IF(AND(Table1[[#This Row],[Spec Type2]]="N/A",Table1[[#This Row],[DUT Adj Read]]="N/A",Table1[[#This Row],[Std Adj Read]]="N/A"),"N/A",IF(Table1[[#This Row],[DUT Adj Read]]="N/A",IF(Table1[[#This Row],[Std Adj Read]]&gt;Table1[[#This Row],[Low Tol]],"Pass","Fail"),IF(Table1[[#This Row],[DUT Adj Read]]&gt;Table1[[#This Row],[Low Tol]],"Pass","Fail")))</f>
        <v>Pass</v>
      </c>
      <c r="AE1734" s="1" t="str">
        <f>IF(AND(Table1[[#This Row],[Spec Type2]]="N/A",Table1[[#This Row],[DUT Adj Read]]="N/A",Table1[[#This Row],[Std Adj Read]]="N/A"),"N/A",IF(Table1[[#This Row],[DUT Adj Read]]="N/A",IF(Table1[[#This Row],[Std Adj Read]]&lt;Table1[[#This Row],[High Tol]],"Pass","Fail"),IF(Table1[[#This Row],[DUT Adj Read]]&lt;Table1[[#This Row],[High Tol]],"Pass","Fail")))</f>
        <v>Fail</v>
      </c>
      <c r="AF1734" s="1" t="str">
        <f>IF(AND(Table1[[#This Row],[Spec Type2]]="N/A",Table1[[#This Row],[DUT Adj Read]]="N/A",Table1[[#This Row],[Std Adj Read]]="N/A"),"N/A",IF(Table1[[#This Row],[DUT Adj Read]]="N/A",IF(Table1[[#This Row],[Std Adj Read]]&gt;=Table1[[#This Row],[Low Tol]],"Pass","Fail"),IF(Table1[[#This Row],[DUT Adj Read]]&gt;=Table1[[#This Row],[Low Tol]],"Pass","Fail")))</f>
        <v>Pass</v>
      </c>
      <c r="AG1734" s="1" t="str">
        <f>IF(AND(Table1[[#This Row],[Spec Type2]]="N/A",Table1[[#This Row],[DUT Adj Read]]="N/A",Table1[[#This Row],[Std Adj Read]]="N/A"),"N/A",IF(Table1[[#This Row],[DUT Adj Read]]="N/A",IF(Table1[[#This Row],[Std Adj Read]]&lt;=Table1[[#This Row],[High Tol]],"Pass","Fail"),IF(Table1[[#This Row],[DUT Adj Read]]&lt;=Table1[[#This Row],[High Tol]],"Pass","Fail")))</f>
        <v>Fail</v>
      </c>
      <c r="AH17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4" s="1" t="b">
        <v>0</v>
      </c>
      <c r="AN1734" s="1" t="b">
        <v>0</v>
      </c>
      <c r="AO1734" s="1" t="b">
        <v>0</v>
      </c>
    </row>
    <row r="1735" spans="1:41" x14ac:dyDescent="0.25">
      <c r="A1735" s="10"/>
      <c r="B1735" s="10"/>
      <c r="C1735" s="10"/>
      <c r="D1735" s="10"/>
      <c r="E1735" s="10"/>
      <c r="F1735" s="10"/>
      <c r="G1735" s="10"/>
      <c r="H1735" s="10"/>
      <c r="I1735" s="1" t="str">
        <f t="shared" si="78"/>
        <v/>
      </c>
      <c r="J1735" s="1" t="s">
        <v>35</v>
      </c>
      <c r="K1735" s="1" t="str">
        <f t="shared" si="79"/>
        <v/>
      </c>
      <c r="L1735" s="1" t="str">
        <f t="shared" si="80"/>
        <v/>
      </c>
      <c r="M1735" s="1">
        <f>IF(OR(Table1[[#This Row],[Std Nom]]="",Table1[[#This Row],[Std Read]]=""),0,Table1[[#This Row],[Std Nom]]-Table1[[#This Row],[Std Read]])</f>
        <v>0</v>
      </c>
      <c r="N1735" s="1">
        <f>IF(Calculations!$F$5="ACCREDITED 17025 WITH UNCERTAINTIES",$N$10,0)</f>
        <v>0</v>
      </c>
      <c r="Q1735" s="1">
        <f>Table1[[#This Row],[High Tol]]-Table1[[#This Row],[Low Tol]]</f>
        <v>0</v>
      </c>
      <c r="R1735" s="1">
        <f>2*Table1[[#This Row],[Std Error]]</f>
        <v>0</v>
      </c>
      <c r="S1735" s="1" t="str">
        <f>IF(Table1[[#This Row],[High Tol]]="","N/A",IFERROR(ABS(Table1[[#This Row],[Tol Span]]/Table1[[#This Row],[Error Span]]),"N/A"))</f>
        <v>N/A</v>
      </c>
      <c r="T1735" s="1" t="str">
        <f>IF(OR(Table1[[#This Row],[Low Tol]]="",Table1[[#This Row],[High Tol]]=""),"Needs Analysis",IF(Table1[[#This Row],[Ratio]]&gt;=4,"Not Significant",IF(Table1[[#This Row],[Ratio]]&gt;=2,"Semi-Significant","Significant")))</f>
        <v>Needs Analysis</v>
      </c>
      <c r="W1735" s="1">
        <f>IF(Table1[[#This Row],[Cal Type]]&lt;&gt;"ACCREDITED 17025 WITH UNCERTAINTIES",0,"")</f>
        <v>0</v>
      </c>
      <c r="X1735" s="1" t="str">
        <f>IF(Table1[[#This Row],[DUT Read]]="","N/A",Table1[[#This Row],[Std Error]]+Table1[[#This Row],[DUT Read]]+Table1[[#This Row],[DUT Ucty]])</f>
        <v>N/A</v>
      </c>
      <c r="Y1735" s="1" t="str">
        <f>IF(Table1[[#This Row],[Std Read]]="","N/A",Table1[[#This Row],[Std Read]]+Table1[[#This Row],[Std Ucty]])</f>
        <v>N/A</v>
      </c>
      <c r="Z17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5" s="1" t="str">
        <f>IF(Table1[[#This Row],[Spec Type]]="","N/A",Table1[[#This Row],[Spec Type]])</f>
        <v>±</v>
      </c>
      <c r="AC1735" s="1" t="str">
        <f>IF(Table1[[#This Row],[Spec Type2]]="N/A","N/A",IF(AND(Table1[[#This Row],[DUT Adj Read]]&gt;=Table1[[#This Row],[Low Tol]],Table1[[#This Row],[DUT Adj Read]]&lt;=Table1[[#This Row],[High Tol]]),"Pass","Fail"))</f>
        <v>Fail</v>
      </c>
      <c r="AD1735" s="1" t="str">
        <f>IF(AND(Table1[[#This Row],[Spec Type2]]="N/A",Table1[[#This Row],[DUT Adj Read]]="N/A",Table1[[#This Row],[Std Adj Read]]="N/A"),"N/A",IF(Table1[[#This Row],[DUT Adj Read]]="N/A",IF(Table1[[#This Row],[Std Adj Read]]&gt;Table1[[#This Row],[Low Tol]],"Pass","Fail"),IF(Table1[[#This Row],[DUT Adj Read]]&gt;Table1[[#This Row],[Low Tol]],"Pass","Fail")))</f>
        <v>Pass</v>
      </c>
      <c r="AE1735" s="1" t="str">
        <f>IF(AND(Table1[[#This Row],[Spec Type2]]="N/A",Table1[[#This Row],[DUT Adj Read]]="N/A",Table1[[#This Row],[Std Adj Read]]="N/A"),"N/A",IF(Table1[[#This Row],[DUT Adj Read]]="N/A",IF(Table1[[#This Row],[Std Adj Read]]&lt;Table1[[#This Row],[High Tol]],"Pass","Fail"),IF(Table1[[#This Row],[DUT Adj Read]]&lt;Table1[[#This Row],[High Tol]],"Pass","Fail")))</f>
        <v>Fail</v>
      </c>
      <c r="AF1735" s="1" t="str">
        <f>IF(AND(Table1[[#This Row],[Spec Type2]]="N/A",Table1[[#This Row],[DUT Adj Read]]="N/A",Table1[[#This Row],[Std Adj Read]]="N/A"),"N/A",IF(Table1[[#This Row],[DUT Adj Read]]="N/A",IF(Table1[[#This Row],[Std Adj Read]]&gt;=Table1[[#This Row],[Low Tol]],"Pass","Fail"),IF(Table1[[#This Row],[DUT Adj Read]]&gt;=Table1[[#This Row],[Low Tol]],"Pass","Fail")))</f>
        <v>Pass</v>
      </c>
      <c r="AG1735" s="1" t="str">
        <f>IF(AND(Table1[[#This Row],[Spec Type2]]="N/A",Table1[[#This Row],[DUT Adj Read]]="N/A",Table1[[#This Row],[Std Adj Read]]="N/A"),"N/A",IF(Table1[[#This Row],[DUT Adj Read]]="N/A",IF(Table1[[#This Row],[Std Adj Read]]&lt;=Table1[[#This Row],[High Tol]],"Pass","Fail"),IF(Table1[[#This Row],[DUT Adj Read]]&lt;=Table1[[#This Row],[High Tol]],"Pass","Fail")))</f>
        <v>Fail</v>
      </c>
      <c r="AH17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5" s="1" t="b">
        <v>0</v>
      </c>
      <c r="AN1735" s="1" t="b">
        <v>0</v>
      </c>
      <c r="AO1735" s="1" t="b">
        <v>0</v>
      </c>
    </row>
    <row r="1736" spans="1:41" x14ac:dyDescent="0.25">
      <c r="A1736" s="10"/>
      <c r="B1736" s="10"/>
      <c r="C1736" s="10"/>
      <c r="D1736" s="10"/>
      <c r="E1736" s="10"/>
      <c r="F1736" s="10"/>
      <c r="G1736" s="10"/>
      <c r="H1736" s="10"/>
      <c r="I1736" s="1" t="str">
        <f t="shared" si="78"/>
        <v/>
      </c>
      <c r="J1736" s="1" t="s">
        <v>35</v>
      </c>
      <c r="K1736" s="1" t="str">
        <f t="shared" si="79"/>
        <v/>
      </c>
      <c r="L1736" s="1" t="str">
        <f t="shared" si="80"/>
        <v/>
      </c>
      <c r="M1736" s="1">
        <f>IF(OR(Table1[[#This Row],[Std Nom]]="",Table1[[#This Row],[Std Read]]=""),0,Table1[[#This Row],[Std Nom]]-Table1[[#This Row],[Std Read]])</f>
        <v>0</v>
      </c>
      <c r="N1736" s="1">
        <f>IF(Calculations!$F$5="ACCREDITED 17025 WITH UNCERTAINTIES",$N$10,0)</f>
        <v>0</v>
      </c>
      <c r="Q1736" s="1">
        <f>Table1[[#This Row],[High Tol]]-Table1[[#This Row],[Low Tol]]</f>
        <v>0</v>
      </c>
      <c r="R1736" s="1">
        <f>2*Table1[[#This Row],[Std Error]]</f>
        <v>0</v>
      </c>
      <c r="S1736" s="1" t="str">
        <f>IF(Table1[[#This Row],[High Tol]]="","N/A",IFERROR(ABS(Table1[[#This Row],[Tol Span]]/Table1[[#This Row],[Error Span]]),"N/A"))</f>
        <v>N/A</v>
      </c>
      <c r="T1736" s="1" t="str">
        <f>IF(OR(Table1[[#This Row],[Low Tol]]="",Table1[[#This Row],[High Tol]]=""),"Needs Analysis",IF(Table1[[#This Row],[Ratio]]&gt;=4,"Not Significant",IF(Table1[[#This Row],[Ratio]]&gt;=2,"Semi-Significant","Significant")))</f>
        <v>Needs Analysis</v>
      </c>
      <c r="W1736" s="1">
        <f>IF(Table1[[#This Row],[Cal Type]]&lt;&gt;"ACCREDITED 17025 WITH UNCERTAINTIES",0,"")</f>
        <v>0</v>
      </c>
      <c r="X1736" s="1" t="str">
        <f>IF(Table1[[#This Row],[DUT Read]]="","N/A",Table1[[#This Row],[Std Error]]+Table1[[#This Row],[DUT Read]]+Table1[[#This Row],[DUT Ucty]])</f>
        <v>N/A</v>
      </c>
      <c r="Y1736" s="1" t="str">
        <f>IF(Table1[[#This Row],[Std Read]]="","N/A",Table1[[#This Row],[Std Read]]+Table1[[#This Row],[Std Ucty]])</f>
        <v>N/A</v>
      </c>
      <c r="Z17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6" s="1" t="str">
        <f>IF(Table1[[#This Row],[Spec Type]]="","N/A",Table1[[#This Row],[Spec Type]])</f>
        <v>±</v>
      </c>
      <c r="AC1736" s="1" t="str">
        <f>IF(Table1[[#This Row],[Spec Type2]]="N/A","N/A",IF(AND(Table1[[#This Row],[DUT Adj Read]]&gt;=Table1[[#This Row],[Low Tol]],Table1[[#This Row],[DUT Adj Read]]&lt;=Table1[[#This Row],[High Tol]]),"Pass","Fail"))</f>
        <v>Fail</v>
      </c>
      <c r="AD1736" s="1" t="str">
        <f>IF(AND(Table1[[#This Row],[Spec Type2]]="N/A",Table1[[#This Row],[DUT Adj Read]]="N/A",Table1[[#This Row],[Std Adj Read]]="N/A"),"N/A",IF(Table1[[#This Row],[DUT Adj Read]]="N/A",IF(Table1[[#This Row],[Std Adj Read]]&gt;Table1[[#This Row],[Low Tol]],"Pass","Fail"),IF(Table1[[#This Row],[DUT Adj Read]]&gt;Table1[[#This Row],[Low Tol]],"Pass","Fail")))</f>
        <v>Pass</v>
      </c>
      <c r="AE1736" s="1" t="str">
        <f>IF(AND(Table1[[#This Row],[Spec Type2]]="N/A",Table1[[#This Row],[DUT Adj Read]]="N/A",Table1[[#This Row],[Std Adj Read]]="N/A"),"N/A",IF(Table1[[#This Row],[DUT Adj Read]]="N/A",IF(Table1[[#This Row],[Std Adj Read]]&lt;Table1[[#This Row],[High Tol]],"Pass","Fail"),IF(Table1[[#This Row],[DUT Adj Read]]&lt;Table1[[#This Row],[High Tol]],"Pass","Fail")))</f>
        <v>Fail</v>
      </c>
      <c r="AF1736" s="1" t="str">
        <f>IF(AND(Table1[[#This Row],[Spec Type2]]="N/A",Table1[[#This Row],[DUT Adj Read]]="N/A",Table1[[#This Row],[Std Adj Read]]="N/A"),"N/A",IF(Table1[[#This Row],[DUT Adj Read]]="N/A",IF(Table1[[#This Row],[Std Adj Read]]&gt;=Table1[[#This Row],[Low Tol]],"Pass","Fail"),IF(Table1[[#This Row],[DUT Adj Read]]&gt;=Table1[[#This Row],[Low Tol]],"Pass","Fail")))</f>
        <v>Pass</v>
      </c>
      <c r="AG1736" s="1" t="str">
        <f>IF(AND(Table1[[#This Row],[Spec Type2]]="N/A",Table1[[#This Row],[DUT Adj Read]]="N/A",Table1[[#This Row],[Std Adj Read]]="N/A"),"N/A",IF(Table1[[#This Row],[DUT Adj Read]]="N/A",IF(Table1[[#This Row],[Std Adj Read]]&lt;=Table1[[#This Row],[High Tol]],"Pass","Fail"),IF(Table1[[#This Row],[DUT Adj Read]]&lt;=Table1[[#This Row],[High Tol]],"Pass","Fail")))</f>
        <v>Fail</v>
      </c>
      <c r="AH17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6" s="1" t="b">
        <v>0</v>
      </c>
      <c r="AN1736" s="1" t="b">
        <v>0</v>
      </c>
      <c r="AO1736" s="1" t="b">
        <v>0</v>
      </c>
    </row>
    <row r="1737" spans="1:41" x14ac:dyDescent="0.25">
      <c r="A1737" s="10"/>
      <c r="B1737" s="10"/>
      <c r="C1737" s="10"/>
      <c r="D1737" s="10"/>
      <c r="E1737" s="10"/>
      <c r="F1737" s="10"/>
      <c r="G1737" s="10"/>
      <c r="H1737" s="10"/>
      <c r="I1737" s="1" t="str">
        <f t="shared" si="78"/>
        <v/>
      </c>
      <c r="J1737" s="1" t="s">
        <v>35</v>
      </c>
      <c r="K1737" s="1" t="str">
        <f t="shared" si="79"/>
        <v/>
      </c>
      <c r="L1737" s="1" t="str">
        <f t="shared" si="80"/>
        <v/>
      </c>
      <c r="M1737" s="1">
        <f>IF(OR(Table1[[#This Row],[Std Nom]]="",Table1[[#This Row],[Std Read]]=""),0,Table1[[#This Row],[Std Nom]]-Table1[[#This Row],[Std Read]])</f>
        <v>0</v>
      </c>
      <c r="N1737" s="1">
        <f>IF(Calculations!$F$5="ACCREDITED 17025 WITH UNCERTAINTIES",$N$10,0)</f>
        <v>0</v>
      </c>
      <c r="Q1737" s="1">
        <f>Table1[[#This Row],[High Tol]]-Table1[[#This Row],[Low Tol]]</f>
        <v>0</v>
      </c>
      <c r="R1737" s="1">
        <f>2*Table1[[#This Row],[Std Error]]</f>
        <v>0</v>
      </c>
      <c r="S1737" s="1" t="str">
        <f>IF(Table1[[#This Row],[High Tol]]="","N/A",IFERROR(ABS(Table1[[#This Row],[Tol Span]]/Table1[[#This Row],[Error Span]]),"N/A"))</f>
        <v>N/A</v>
      </c>
      <c r="T1737" s="1" t="str">
        <f>IF(OR(Table1[[#This Row],[Low Tol]]="",Table1[[#This Row],[High Tol]]=""),"Needs Analysis",IF(Table1[[#This Row],[Ratio]]&gt;=4,"Not Significant",IF(Table1[[#This Row],[Ratio]]&gt;=2,"Semi-Significant","Significant")))</f>
        <v>Needs Analysis</v>
      </c>
      <c r="W1737" s="1">
        <f>IF(Table1[[#This Row],[Cal Type]]&lt;&gt;"ACCREDITED 17025 WITH UNCERTAINTIES",0,"")</f>
        <v>0</v>
      </c>
      <c r="X1737" s="1" t="str">
        <f>IF(Table1[[#This Row],[DUT Read]]="","N/A",Table1[[#This Row],[Std Error]]+Table1[[#This Row],[DUT Read]]+Table1[[#This Row],[DUT Ucty]])</f>
        <v>N/A</v>
      </c>
      <c r="Y1737" s="1" t="str">
        <f>IF(Table1[[#This Row],[Std Read]]="","N/A",Table1[[#This Row],[Std Read]]+Table1[[#This Row],[Std Ucty]])</f>
        <v>N/A</v>
      </c>
      <c r="Z17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7" s="1" t="str">
        <f>IF(Table1[[#This Row],[Spec Type]]="","N/A",Table1[[#This Row],[Spec Type]])</f>
        <v>±</v>
      </c>
      <c r="AC1737" s="1" t="str">
        <f>IF(Table1[[#This Row],[Spec Type2]]="N/A","N/A",IF(AND(Table1[[#This Row],[DUT Adj Read]]&gt;=Table1[[#This Row],[Low Tol]],Table1[[#This Row],[DUT Adj Read]]&lt;=Table1[[#This Row],[High Tol]]),"Pass","Fail"))</f>
        <v>Fail</v>
      </c>
      <c r="AD1737" s="1" t="str">
        <f>IF(AND(Table1[[#This Row],[Spec Type2]]="N/A",Table1[[#This Row],[DUT Adj Read]]="N/A",Table1[[#This Row],[Std Adj Read]]="N/A"),"N/A",IF(Table1[[#This Row],[DUT Adj Read]]="N/A",IF(Table1[[#This Row],[Std Adj Read]]&gt;Table1[[#This Row],[Low Tol]],"Pass","Fail"),IF(Table1[[#This Row],[DUT Adj Read]]&gt;Table1[[#This Row],[Low Tol]],"Pass","Fail")))</f>
        <v>Pass</v>
      </c>
      <c r="AE1737" s="1" t="str">
        <f>IF(AND(Table1[[#This Row],[Spec Type2]]="N/A",Table1[[#This Row],[DUT Adj Read]]="N/A",Table1[[#This Row],[Std Adj Read]]="N/A"),"N/A",IF(Table1[[#This Row],[DUT Adj Read]]="N/A",IF(Table1[[#This Row],[Std Adj Read]]&lt;Table1[[#This Row],[High Tol]],"Pass","Fail"),IF(Table1[[#This Row],[DUT Adj Read]]&lt;Table1[[#This Row],[High Tol]],"Pass","Fail")))</f>
        <v>Fail</v>
      </c>
      <c r="AF1737" s="1" t="str">
        <f>IF(AND(Table1[[#This Row],[Spec Type2]]="N/A",Table1[[#This Row],[DUT Adj Read]]="N/A",Table1[[#This Row],[Std Adj Read]]="N/A"),"N/A",IF(Table1[[#This Row],[DUT Adj Read]]="N/A",IF(Table1[[#This Row],[Std Adj Read]]&gt;=Table1[[#This Row],[Low Tol]],"Pass","Fail"),IF(Table1[[#This Row],[DUT Adj Read]]&gt;=Table1[[#This Row],[Low Tol]],"Pass","Fail")))</f>
        <v>Pass</v>
      </c>
      <c r="AG1737" s="1" t="str">
        <f>IF(AND(Table1[[#This Row],[Spec Type2]]="N/A",Table1[[#This Row],[DUT Adj Read]]="N/A",Table1[[#This Row],[Std Adj Read]]="N/A"),"N/A",IF(Table1[[#This Row],[DUT Adj Read]]="N/A",IF(Table1[[#This Row],[Std Adj Read]]&lt;=Table1[[#This Row],[High Tol]],"Pass","Fail"),IF(Table1[[#This Row],[DUT Adj Read]]&lt;=Table1[[#This Row],[High Tol]],"Pass","Fail")))</f>
        <v>Fail</v>
      </c>
      <c r="AH17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7" s="1" t="b">
        <v>0</v>
      </c>
      <c r="AN1737" s="1" t="b">
        <v>0</v>
      </c>
      <c r="AO1737" s="1" t="b">
        <v>0</v>
      </c>
    </row>
    <row r="1738" spans="1:41" x14ac:dyDescent="0.25">
      <c r="A1738" s="10"/>
      <c r="B1738" s="10"/>
      <c r="C1738" s="10"/>
      <c r="D1738" s="10"/>
      <c r="E1738" s="10"/>
      <c r="F1738" s="10"/>
      <c r="G1738" s="10"/>
      <c r="H1738" s="10"/>
      <c r="I1738" s="1" t="str">
        <f t="shared" si="78"/>
        <v/>
      </c>
      <c r="J1738" s="1" t="s">
        <v>35</v>
      </c>
      <c r="K1738" s="1" t="str">
        <f t="shared" si="79"/>
        <v/>
      </c>
      <c r="L1738" s="1" t="str">
        <f t="shared" si="80"/>
        <v/>
      </c>
      <c r="M1738" s="1">
        <f>IF(OR(Table1[[#This Row],[Std Nom]]="",Table1[[#This Row],[Std Read]]=""),0,Table1[[#This Row],[Std Nom]]-Table1[[#This Row],[Std Read]])</f>
        <v>0</v>
      </c>
      <c r="N1738" s="1">
        <f>IF(Calculations!$F$5="ACCREDITED 17025 WITH UNCERTAINTIES",$N$10,0)</f>
        <v>0</v>
      </c>
      <c r="Q1738" s="1">
        <f>Table1[[#This Row],[High Tol]]-Table1[[#This Row],[Low Tol]]</f>
        <v>0</v>
      </c>
      <c r="R1738" s="1">
        <f>2*Table1[[#This Row],[Std Error]]</f>
        <v>0</v>
      </c>
      <c r="S1738" s="1" t="str">
        <f>IF(Table1[[#This Row],[High Tol]]="","N/A",IFERROR(ABS(Table1[[#This Row],[Tol Span]]/Table1[[#This Row],[Error Span]]),"N/A"))</f>
        <v>N/A</v>
      </c>
      <c r="T1738" s="1" t="str">
        <f>IF(OR(Table1[[#This Row],[Low Tol]]="",Table1[[#This Row],[High Tol]]=""),"Needs Analysis",IF(Table1[[#This Row],[Ratio]]&gt;=4,"Not Significant",IF(Table1[[#This Row],[Ratio]]&gt;=2,"Semi-Significant","Significant")))</f>
        <v>Needs Analysis</v>
      </c>
      <c r="W1738" s="1">
        <f>IF(Table1[[#This Row],[Cal Type]]&lt;&gt;"ACCREDITED 17025 WITH UNCERTAINTIES",0,"")</f>
        <v>0</v>
      </c>
      <c r="X1738" s="1" t="str">
        <f>IF(Table1[[#This Row],[DUT Read]]="","N/A",Table1[[#This Row],[Std Error]]+Table1[[#This Row],[DUT Read]]+Table1[[#This Row],[DUT Ucty]])</f>
        <v>N/A</v>
      </c>
      <c r="Y1738" s="1" t="str">
        <f>IF(Table1[[#This Row],[Std Read]]="","N/A",Table1[[#This Row],[Std Read]]+Table1[[#This Row],[Std Ucty]])</f>
        <v>N/A</v>
      </c>
      <c r="Z17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8" s="1" t="str">
        <f>IF(Table1[[#This Row],[Spec Type]]="","N/A",Table1[[#This Row],[Spec Type]])</f>
        <v>±</v>
      </c>
      <c r="AC1738" s="1" t="str">
        <f>IF(Table1[[#This Row],[Spec Type2]]="N/A","N/A",IF(AND(Table1[[#This Row],[DUT Adj Read]]&gt;=Table1[[#This Row],[Low Tol]],Table1[[#This Row],[DUT Adj Read]]&lt;=Table1[[#This Row],[High Tol]]),"Pass","Fail"))</f>
        <v>Fail</v>
      </c>
      <c r="AD1738" s="1" t="str">
        <f>IF(AND(Table1[[#This Row],[Spec Type2]]="N/A",Table1[[#This Row],[DUT Adj Read]]="N/A",Table1[[#This Row],[Std Adj Read]]="N/A"),"N/A",IF(Table1[[#This Row],[DUT Adj Read]]="N/A",IF(Table1[[#This Row],[Std Adj Read]]&gt;Table1[[#This Row],[Low Tol]],"Pass","Fail"),IF(Table1[[#This Row],[DUT Adj Read]]&gt;Table1[[#This Row],[Low Tol]],"Pass","Fail")))</f>
        <v>Pass</v>
      </c>
      <c r="AE1738" s="1" t="str">
        <f>IF(AND(Table1[[#This Row],[Spec Type2]]="N/A",Table1[[#This Row],[DUT Adj Read]]="N/A",Table1[[#This Row],[Std Adj Read]]="N/A"),"N/A",IF(Table1[[#This Row],[DUT Adj Read]]="N/A",IF(Table1[[#This Row],[Std Adj Read]]&lt;Table1[[#This Row],[High Tol]],"Pass","Fail"),IF(Table1[[#This Row],[DUT Adj Read]]&lt;Table1[[#This Row],[High Tol]],"Pass","Fail")))</f>
        <v>Fail</v>
      </c>
      <c r="AF1738" s="1" t="str">
        <f>IF(AND(Table1[[#This Row],[Spec Type2]]="N/A",Table1[[#This Row],[DUT Adj Read]]="N/A",Table1[[#This Row],[Std Adj Read]]="N/A"),"N/A",IF(Table1[[#This Row],[DUT Adj Read]]="N/A",IF(Table1[[#This Row],[Std Adj Read]]&gt;=Table1[[#This Row],[Low Tol]],"Pass","Fail"),IF(Table1[[#This Row],[DUT Adj Read]]&gt;=Table1[[#This Row],[Low Tol]],"Pass","Fail")))</f>
        <v>Pass</v>
      </c>
      <c r="AG1738" s="1" t="str">
        <f>IF(AND(Table1[[#This Row],[Spec Type2]]="N/A",Table1[[#This Row],[DUT Adj Read]]="N/A",Table1[[#This Row],[Std Adj Read]]="N/A"),"N/A",IF(Table1[[#This Row],[DUT Adj Read]]="N/A",IF(Table1[[#This Row],[Std Adj Read]]&lt;=Table1[[#This Row],[High Tol]],"Pass","Fail"),IF(Table1[[#This Row],[DUT Adj Read]]&lt;=Table1[[#This Row],[High Tol]],"Pass","Fail")))</f>
        <v>Fail</v>
      </c>
      <c r="AH17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8" s="1" t="b">
        <v>0</v>
      </c>
      <c r="AN1738" s="1" t="b">
        <v>0</v>
      </c>
      <c r="AO1738" s="1" t="b">
        <v>0</v>
      </c>
    </row>
    <row r="1739" spans="1:41" x14ac:dyDescent="0.25">
      <c r="A1739" s="10"/>
      <c r="B1739" s="10"/>
      <c r="C1739" s="10"/>
      <c r="D1739" s="10"/>
      <c r="E1739" s="10"/>
      <c r="F1739" s="10"/>
      <c r="G1739" s="10"/>
      <c r="H1739" s="10"/>
      <c r="I1739" s="1" t="str">
        <f t="shared" ref="I1739:I1802" si="81">IF($I$10="","",$I$10)</f>
        <v/>
      </c>
      <c r="J1739" s="1" t="s">
        <v>35</v>
      </c>
      <c r="K1739" s="1" t="str">
        <f t="shared" ref="K1739:K1802" si="82">IF($K$10="","",$K$10)</f>
        <v/>
      </c>
      <c r="L1739" s="1" t="str">
        <f t="shared" ref="L1739:L1802" si="83">IF($L$10="","",$L$10)</f>
        <v/>
      </c>
      <c r="M1739" s="1">
        <f>IF(OR(Table1[[#This Row],[Std Nom]]="",Table1[[#This Row],[Std Read]]=""),0,Table1[[#This Row],[Std Nom]]-Table1[[#This Row],[Std Read]])</f>
        <v>0</v>
      </c>
      <c r="N1739" s="1">
        <f>IF(Calculations!$F$5="ACCREDITED 17025 WITH UNCERTAINTIES",$N$10,0)</f>
        <v>0</v>
      </c>
      <c r="Q1739" s="1">
        <f>Table1[[#This Row],[High Tol]]-Table1[[#This Row],[Low Tol]]</f>
        <v>0</v>
      </c>
      <c r="R1739" s="1">
        <f>2*Table1[[#This Row],[Std Error]]</f>
        <v>0</v>
      </c>
      <c r="S1739" s="1" t="str">
        <f>IF(Table1[[#This Row],[High Tol]]="","N/A",IFERROR(ABS(Table1[[#This Row],[Tol Span]]/Table1[[#This Row],[Error Span]]),"N/A"))</f>
        <v>N/A</v>
      </c>
      <c r="T1739" s="1" t="str">
        <f>IF(OR(Table1[[#This Row],[Low Tol]]="",Table1[[#This Row],[High Tol]]=""),"Needs Analysis",IF(Table1[[#This Row],[Ratio]]&gt;=4,"Not Significant",IF(Table1[[#This Row],[Ratio]]&gt;=2,"Semi-Significant","Significant")))</f>
        <v>Needs Analysis</v>
      </c>
      <c r="W1739" s="1">
        <f>IF(Table1[[#This Row],[Cal Type]]&lt;&gt;"ACCREDITED 17025 WITH UNCERTAINTIES",0,"")</f>
        <v>0</v>
      </c>
      <c r="X1739" s="1" t="str">
        <f>IF(Table1[[#This Row],[DUT Read]]="","N/A",Table1[[#This Row],[Std Error]]+Table1[[#This Row],[DUT Read]]+Table1[[#This Row],[DUT Ucty]])</f>
        <v>N/A</v>
      </c>
      <c r="Y1739" s="1" t="str">
        <f>IF(Table1[[#This Row],[Std Read]]="","N/A",Table1[[#This Row],[Std Read]]+Table1[[#This Row],[Std Ucty]])</f>
        <v>N/A</v>
      </c>
      <c r="Z17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39" s="1" t="str">
        <f>IF(Table1[[#This Row],[Spec Type]]="","N/A",Table1[[#This Row],[Spec Type]])</f>
        <v>±</v>
      </c>
      <c r="AC1739" s="1" t="str">
        <f>IF(Table1[[#This Row],[Spec Type2]]="N/A","N/A",IF(AND(Table1[[#This Row],[DUT Adj Read]]&gt;=Table1[[#This Row],[Low Tol]],Table1[[#This Row],[DUT Adj Read]]&lt;=Table1[[#This Row],[High Tol]]),"Pass","Fail"))</f>
        <v>Fail</v>
      </c>
      <c r="AD1739" s="1" t="str">
        <f>IF(AND(Table1[[#This Row],[Spec Type2]]="N/A",Table1[[#This Row],[DUT Adj Read]]="N/A",Table1[[#This Row],[Std Adj Read]]="N/A"),"N/A",IF(Table1[[#This Row],[DUT Adj Read]]="N/A",IF(Table1[[#This Row],[Std Adj Read]]&gt;Table1[[#This Row],[Low Tol]],"Pass","Fail"),IF(Table1[[#This Row],[DUT Adj Read]]&gt;Table1[[#This Row],[Low Tol]],"Pass","Fail")))</f>
        <v>Pass</v>
      </c>
      <c r="AE1739" s="1" t="str">
        <f>IF(AND(Table1[[#This Row],[Spec Type2]]="N/A",Table1[[#This Row],[DUT Adj Read]]="N/A",Table1[[#This Row],[Std Adj Read]]="N/A"),"N/A",IF(Table1[[#This Row],[DUT Adj Read]]="N/A",IF(Table1[[#This Row],[Std Adj Read]]&lt;Table1[[#This Row],[High Tol]],"Pass","Fail"),IF(Table1[[#This Row],[DUT Adj Read]]&lt;Table1[[#This Row],[High Tol]],"Pass","Fail")))</f>
        <v>Fail</v>
      </c>
      <c r="AF1739" s="1" t="str">
        <f>IF(AND(Table1[[#This Row],[Spec Type2]]="N/A",Table1[[#This Row],[DUT Adj Read]]="N/A",Table1[[#This Row],[Std Adj Read]]="N/A"),"N/A",IF(Table1[[#This Row],[DUT Adj Read]]="N/A",IF(Table1[[#This Row],[Std Adj Read]]&gt;=Table1[[#This Row],[Low Tol]],"Pass","Fail"),IF(Table1[[#This Row],[DUT Adj Read]]&gt;=Table1[[#This Row],[Low Tol]],"Pass","Fail")))</f>
        <v>Pass</v>
      </c>
      <c r="AG1739" s="1" t="str">
        <f>IF(AND(Table1[[#This Row],[Spec Type2]]="N/A",Table1[[#This Row],[DUT Adj Read]]="N/A",Table1[[#This Row],[Std Adj Read]]="N/A"),"N/A",IF(Table1[[#This Row],[DUT Adj Read]]="N/A",IF(Table1[[#This Row],[Std Adj Read]]&lt;=Table1[[#This Row],[High Tol]],"Pass","Fail"),IF(Table1[[#This Row],[DUT Adj Read]]&lt;=Table1[[#This Row],[High Tol]],"Pass","Fail")))</f>
        <v>Fail</v>
      </c>
      <c r="AH17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39" s="1" t="b">
        <v>0</v>
      </c>
      <c r="AN1739" s="1" t="b">
        <v>0</v>
      </c>
      <c r="AO1739" s="1" t="b">
        <v>0</v>
      </c>
    </row>
    <row r="1740" spans="1:41" x14ac:dyDescent="0.25">
      <c r="A1740" s="10"/>
      <c r="B1740" s="10"/>
      <c r="C1740" s="10"/>
      <c r="D1740" s="10"/>
      <c r="E1740" s="10"/>
      <c r="F1740" s="10"/>
      <c r="G1740" s="10"/>
      <c r="H1740" s="10"/>
      <c r="I1740" s="1" t="str">
        <f t="shared" si="81"/>
        <v/>
      </c>
      <c r="J1740" s="1" t="s">
        <v>35</v>
      </c>
      <c r="K1740" s="1" t="str">
        <f t="shared" si="82"/>
        <v/>
      </c>
      <c r="L1740" s="1" t="str">
        <f t="shared" si="83"/>
        <v/>
      </c>
      <c r="M1740" s="1">
        <f>IF(OR(Table1[[#This Row],[Std Nom]]="",Table1[[#This Row],[Std Read]]=""),0,Table1[[#This Row],[Std Nom]]-Table1[[#This Row],[Std Read]])</f>
        <v>0</v>
      </c>
      <c r="N1740" s="1">
        <f>IF(Calculations!$F$5="ACCREDITED 17025 WITH UNCERTAINTIES",$N$10,0)</f>
        <v>0</v>
      </c>
      <c r="Q1740" s="1">
        <f>Table1[[#This Row],[High Tol]]-Table1[[#This Row],[Low Tol]]</f>
        <v>0</v>
      </c>
      <c r="R1740" s="1">
        <f>2*Table1[[#This Row],[Std Error]]</f>
        <v>0</v>
      </c>
      <c r="S1740" s="1" t="str">
        <f>IF(Table1[[#This Row],[High Tol]]="","N/A",IFERROR(ABS(Table1[[#This Row],[Tol Span]]/Table1[[#This Row],[Error Span]]),"N/A"))</f>
        <v>N/A</v>
      </c>
      <c r="T1740" s="1" t="str">
        <f>IF(OR(Table1[[#This Row],[Low Tol]]="",Table1[[#This Row],[High Tol]]=""),"Needs Analysis",IF(Table1[[#This Row],[Ratio]]&gt;=4,"Not Significant",IF(Table1[[#This Row],[Ratio]]&gt;=2,"Semi-Significant","Significant")))</f>
        <v>Needs Analysis</v>
      </c>
      <c r="W1740" s="1">
        <f>IF(Table1[[#This Row],[Cal Type]]&lt;&gt;"ACCREDITED 17025 WITH UNCERTAINTIES",0,"")</f>
        <v>0</v>
      </c>
      <c r="X1740" s="1" t="str">
        <f>IF(Table1[[#This Row],[DUT Read]]="","N/A",Table1[[#This Row],[Std Error]]+Table1[[#This Row],[DUT Read]]+Table1[[#This Row],[DUT Ucty]])</f>
        <v>N/A</v>
      </c>
      <c r="Y1740" s="1" t="str">
        <f>IF(Table1[[#This Row],[Std Read]]="","N/A",Table1[[#This Row],[Std Read]]+Table1[[#This Row],[Std Ucty]])</f>
        <v>N/A</v>
      </c>
      <c r="Z17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0" s="1" t="str">
        <f>IF(Table1[[#This Row],[Spec Type]]="","N/A",Table1[[#This Row],[Spec Type]])</f>
        <v>±</v>
      </c>
      <c r="AC1740" s="1" t="str">
        <f>IF(Table1[[#This Row],[Spec Type2]]="N/A","N/A",IF(AND(Table1[[#This Row],[DUT Adj Read]]&gt;=Table1[[#This Row],[Low Tol]],Table1[[#This Row],[DUT Adj Read]]&lt;=Table1[[#This Row],[High Tol]]),"Pass","Fail"))</f>
        <v>Fail</v>
      </c>
      <c r="AD1740" s="1" t="str">
        <f>IF(AND(Table1[[#This Row],[Spec Type2]]="N/A",Table1[[#This Row],[DUT Adj Read]]="N/A",Table1[[#This Row],[Std Adj Read]]="N/A"),"N/A",IF(Table1[[#This Row],[DUT Adj Read]]="N/A",IF(Table1[[#This Row],[Std Adj Read]]&gt;Table1[[#This Row],[Low Tol]],"Pass","Fail"),IF(Table1[[#This Row],[DUT Adj Read]]&gt;Table1[[#This Row],[Low Tol]],"Pass","Fail")))</f>
        <v>Pass</v>
      </c>
      <c r="AE1740" s="1" t="str">
        <f>IF(AND(Table1[[#This Row],[Spec Type2]]="N/A",Table1[[#This Row],[DUT Adj Read]]="N/A",Table1[[#This Row],[Std Adj Read]]="N/A"),"N/A",IF(Table1[[#This Row],[DUT Adj Read]]="N/A",IF(Table1[[#This Row],[Std Adj Read]]&lt;Table1[[#This Row],[High Tol]],"Pass","Fail"),IF(Table1[[#This Row],[DUT Adj Read]]&lt;Table1[[#This Row],[High Tol]],"Pass","Fail")))</f>
        <v>Fail</v>
      </c>
      <c r="AF1740" s="1" t="str">
        <f>IF(AND(Table1[[#This Row],[Spec Type2]]="N/A",Table1[[#This Row],[DUT Adj Read]]="N/A",Table1[[#This Row],[Std Adj Read]]="N/A"),"N/A",IF(Table1[[#This Row],[DUT Adj Read]]="N/A",IF(Table1[[#This Row],[Std Adj Read]]&gt;=Table1[[#This Row],[Low Tol]],"Pass","Fail"),IF(Table1[[#This Row],[DUT Adj Read]]&gt;=Table1[[#This Row],[Low Tol]],"Pass","Fail")))</f>
        <v>Pass</v>
      </c>
      <c r="AG1740" s="1" t="str">
        <f>IF(AND(Table1[[#This Row],[Spec Type2]]="N/A",Table1[[#This Row],[DUT Adj Read]]="N/A",Table1[[#This Row],[Std Adj Read]]="N/A"),"N/A",IF(Table1[[#This Row],[DUT Adj Read]]="N/A",IF(Table1[[#This Row],[Std Adj Read]]&lt;=Table1[[#This Row],[High Tol]],"Pass","Fail"),IF(Table1[[#This Row],[DUT Adj Read]]&lt;=Table1[[#This Row],[High Tol]],"Pass","Fail")))</f>
        <v>Fail</v>
      </c>
      <c r="AH17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0" s="1" t="b">
        <v>0</v>
      </c>
      <c r="AN1740" s="1" t="b">
        <v>0</v>
      </c>
      <c r="AO1740" s="1" t="b">
        <v>0</v>
      </c>
    </row>
    <row r="1741" spans="1:41" x14ac:dyDescent="0.25">
      <c r="A1741" s="10"/>
      <c r="B1741" s="10"/>
      <c r="C1741" s="10"/>
      <c r="D1741" s="10"/>
      <c r="E1741" s="10"/>
      <c r="F1741" s="10"/>
      <c r="G1741" s="10"/>
      <c r="H1741" s="10"/>
      <c r="I1741" s="1" t="str">
        <f t="shared" si="81"/>
        <v/>
      </c>
      <c r="J1741" s="1" t="s">
        <v>35</v>
      </c>
      <c r="K1741" s="1" t="str">
        <f t="shared" si="82"/>
        <v/>
      </c>
      <c r="L1741" s="1" t="str">
        <f t="shared" si="83"/>
        <v/>
      </c>
      <c r="M1741" s="1">
        <f>IF(OR(Table1[[#This Row],[Std Nom]]="",Table1[[#This Row],[Std Read]]=""),0,Table1[[#This Row],[Std Nom]]-Table1[[#This Row],[Std Read]])</f>
        <v>0</v>
      </c>
      <c r="N1741" s="1">
        <f>IF(Calculations!$F$5="ACCREDITED 17025 WITH UNCERTAINTIES",$N$10,0)</f>
        <v>0</v>
      </c>
      <c r="Q1741" s="1">
        <f>Table1[[#This Row],[High Tol]]-Table1[[#This Row],[Low Tol]]</f>
        <v>0</v>
      </c>
      <c r="R1741" s="1">
        <f>2*Table1[[#This Row],[Std Error]]</f>
        <v>0</v>
      </c>
      <c r="S1741" s="1" t="str">
        <f>IF(Table1[[#This Row],[High Tol]]="","N/A",IFERROR(ABS(Table1[[#This Row],[Tol Span]]/Table1[[#This Row],[Error Span]]),"N/A"))</f>
        <v>N/A</v>
      </c>
      <c r="T1741" s="1" t="str">
        <f>IF(OR(Table1[[#This Row],[Low Tol]]="",Table1[[#This Row],[High Tol]]=""),"Needs Analysis",IF(Table1[[#This Row],[Ratio]]&gt;=4,"Not Significant",IF(Table1[[#This Row],[Ratio]]&gt;=2,"Semi-Significant","Significant")))</f>
        <v>Needs Analysis</v>
      </c>
      <c r="W1741" s="1">
        <f>IF(Table1[[#This Row],[Cal Type]]&lt;&gt;"ACCREDITED 17025 WITH UNCERTAINTIES",0,"")</f>
        <v>0</v>
      </c>
      <c r="X1741" s="1" t="str">
        <f>IF(Table1[[#This Row],[DUT Read]]="","N/A",Table1[[#This Row],[Std Error]]+Table1[[#This Row],[DUT Read]]+Table1[[#This Row],[DUT Ucty]])</f>
        <v>N/A</v>
      </c>
      <c r="Y1741" s="1" t="str">
        <f>IF(Table1[[#This Row],[Std Read]]="","N/A",Table1[[#This Row],[Std Read]]+Table1[[#This Row],[Std Ucty]])</f>
        <v>N/A</v>
      </c>
      <c r="Z17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1" s="1" t="str">
        <f>IF(Table1[[#This Row],[Spec Type]]="","N/A",Table1[[#This Row],[Spec Type]])</f>
        <v>±</v>
      </c>
      <c r="AC1741" s="1" t="str">
        <f>IF(Table1[[#This Row],[Spec Type2]]="N/A","N/A",IF(AND(Table1[[#This Row],[DUT Adj Read]]&gt;=Table1[[#This Row],[Low Tol]],Table1[[#This Row],[DUT Adj Read]]&lt;=Table1[[#This Row],[High Tol]]),"Pass","Fail"))</f>
        <v>Fail</v>
      </c>
      <c r="AD1741" s="1" t="str">
        <f>IF(AND(Table1[[#This Row],[Spec Type2]]="N/A",Table1[[#This Row],[DUT Adj Read]]="N/A",Table1[[#This Row],[Std Adj Read]]="N/A"),"N/A",IF(Table1[[#This Row],[DUT Adj Read]]="N/A",IF(Table1[[#This Row],[Std Adj Read]]&gt;Table1[[#This Row],[Low Tol]],"Pass","Fail"),IF(Table1[[#This Row],[DUT Adj Read]]&gt;Table1[[#This Row],[Low Tol]],"Pass","Fail")))</f>
        <v>Pass</v>
      </c>
      <c r="AE1741" s="1" t="str">
        <f>IF(AND(Table1[[#This Row],[Spec Type2]]="N/A",Table1[[#This Row],[DUT Adj Read]]="N/A",Table1[[#This Row],[Std Adj Read]]="N/A"),"N/A",IF(Table1[[#This Row],[DUT Adj Read]]="N/A",IF(Table1[[#This Row],[Std Adj Read]]&lt;Table1[[#This Row],[High Tol]],"Pass","Fail"),IF(Table1[[#This Row],[DUT Adj Read]]&lt;Table1[[#This Row],[High Tol]],"Pass","Fail")))</f>
        <v>Fail</v>
      </c>
      <c r="AF1741" s="1" t="str">
        <f>IF(AND(Table1[[#This Row],[Spec Type2]]="N/A",Table1[[#This Row],[DUT Adj Read]]="N/A",Table1[[#This Row],[Std Adj Read]]="N/A"),"N/A",IF(Table1[[#This Row],[DUT Adj Read]]="N/A",IF(Table1[[#This Row],[Std Adj Read]]&gt;=Table1[[#This Row],[Low Tol]],"Pass","Fail"),IF(Table1[[#This Row],[DUT Adj Read]]&gt;=Table1[[#This Row],[Low Tol]],"Pass","Fail")))</f>
        <v>Pass</v>
      </c>
      <c r="AG1741" s="1" t="str">
        <f>IF(AND(Table1[[#This Row],[Spec Type2]]="N/A",Table1[[#This Row],[DUT Adj Read]]="N/A",Table1[[#This Row],[Std Adj Read]]="N/A"),"N/A",IF(Table1[[#This Row],[DUT Adj Read]]="N/A",IF(Table1[[#This Row],[Std Adj Read]]&lt;=Table1[[#This Row],[High Tol]],"Pass","Fail"),IF(Table1[[#This Row],[DUT Adj Read]]&lt;=Table1[[#This Row],[High Tol]],"Pass","Fail")))</f>
        <v>Fail</v>
      </c>
      <c r="AH17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1" s="1" t="b">
        <v>0</v>
      </c>
      <c r="AN1741" s="1" t="b">
        <v>0</v>
      </c>
      <c r="AO1741" s="1" t="b">
        <v>0</v>
      </c>
    </row>
    <row r="1742" spans="1:41" x14ac:dyDescent="0.25">
      <c r="A1742" s="10"/>
      <c r="B1742" s="10"/>
      <c r="C1742" s="10"/>
      <c r="D1742" s="10"/>
      <c r="E1742" s="10"/>
      <c r="F1742" s="10"/>
      <c r="G1742" s="10"/>
      <c r="H1742" s="10"/>
      <c r="I1742" s="1" t="str">
        <f t="shared" si="81"/>
        <v/>
      </c>
      <c r="J1742" s="1" t="s">
        <v>35</v>
      </c>
      <c r="K1742" s="1" t="str">
        <f t="shared" si="82"/>
        <v/>
      </c>
      <c r="L1742" s="1" t="str">
        <f t="shared" si="83"/>
        <v/>
      </c>
      <c r="M1742" s="1">
        <f>IF(OR(Table1[[#This Row],[Std Nom]]="",Table1[[#This Row],[Std Read]]=""),0,Table1[[#This Row],[Std Nom]]-Table1[[#This Row],[Std Read]])</f>
        <v>0</v>
      </c>
      <c r="N1742" s="1">
        <f>IF(Calculations!$F$5="ACCREDITED 17025 WITH UNCERTAINTIES",$N$10,0)</f>
        <v>0</v>
      </c>
      <c r="Q1742" s="1">
        <f>Table1[[#This Row],[High Tol]]-Table1[[#This Row],[Low Tol]]</f>
        <v>0</v>
      </c>
      <c r="R1742" s="1">
        <f>2*Table1[[#This Row],[Std Error]]</f>
        <v>0</v>
      </c>
      <c r="S1742" s="1" t="str">
        <f>IF(Table1[[#This Row],[High Tol]]="","N/A",IFERROR(ABS(Table1[[#This Row],[Tol Span]]/Table1[[#This Row],[Error Span]]),"N/A"))</f>
        <v>N/A</v>
      </c>
      <c r="T1742" s="1" t="str">
        <f>IF(OR(Table1[[#This Row],[Low Tol]]="",Table1[[#This Row],[High Tol]]=""),"Needs Analysis",IF(Table1[[#This Row],[Ratio]]&gt;=4,"Not Significant",IF(Table1[[#This Row],[Ratio]]&gt;=2,"Semi-Significant","Significant")))</f>
        <v>Needs Analysis</v>
      </c>
      <c r="W1742" s="1">
        <f>IF(Table1[[#This Row],[Cal Type]]&lt;&gt;"ACCREDITED 17025 WITH UNCERTAINTIES",0,"")</f>
        <v>0</v>
      </c>
      <c r="X1742" s="1" t="str">
        <f>IF(Table1[[#This Row],[DUT Read]]="","N/A",Table1[[#This Row],[Std Error]]+Table1[[#This Row],[DUT Read]]+Table1[[#This Row],[DUT Ucty]])</f>
        <v>N/A</v>
      </c>
      <c r="Y1742" s="1" t="str">
        <f>IF(Table1[[#This Row],[Std Read]]="","N/A",Table1[[#This Row],[Std Read]]+Table1[[#This Row],[Std Ucty]])</f>
        <v>N/A</v>
      </c>
      <c r="Z17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2" s="1" t="str">
        <f>IF(Table1[[#This Row],[Spec Type]]="","N/A",Table1[[#This Row],[Spec Type]])</f>
        <v>±</v>
      </c>
      <c r="AC1742" s="1" t="str">
        <f>IF(Table1[[#This Row],[Spec Type2]]="N/A","N/A",IF(AND(Table1[[#This Row],[DUT Adj Read]]&gt;=Table1[[#This Row],[Low Tol]],Table1[[#This Row],[DUT Adj Read]]&lt;=Table1[[#This Row],[High Tol]]),"Pass","Fail"))</f>
        <v>Fail</v>
      </c>
      <c r="AD1742" s="1" t="str">
        <f>IF(AND(Table1[[#This Row],[Spec Type2]]="N/A",Table1[[#This Row],[DUT Adj Read]]="N/A",Table1[[#This Row],[Std Adj Read]]="N/A"),"N/A",IF(Table1[[#This Row],[DUT Adj Read]]="N/A",IF(Table1[[#This Row],[Std Adj Read]]&gt;Table1[[#This Row],[Low Tol]],"Pass","Fail"),IF(Table1[[#This Row],[DUT Adj Read]]&gt;Table1[[#This Row],[Low Tol]],"Pass","Fail")))</f>
        <v>Pass</v>
      </c>
      <c r="AE1742" s="1" t="str">
        <f>IF(AND(Table1[[#This Row],[Spec Type2]]="N/A",Table1[[#This Row],[DUT Adj Read]]="N/A",Table1[[#This Row],[Std Adj Read]]="N/A"),"N/A",IF(Table1[[#This Row],[DUT Adj Read]]="N/A",IF(Table1[[#This Row],[Std Adj Read]]&lt;Table1[[#This Row],[High Tol]],"Pass","Fail"),IF(Table1[[#This Row],[DUT Adj Read]]&lt;Table1[[#This Row],[High Tol]],"Pass","Fail")))</f>
        <v>Fail</v>
      </c>
      <c r="AF1742" s="1" t="str">
        <f>IF(AND(Table1[[#This Row],[Spec Type2]]="N/A",Table1[[#This Row],[DUT Adj Read]]="N/A",Table1[[#This Row],[Std Adj Read]]="N/A"),"N/A",IF(Table1[[#This Row],[DUT Adj Read]]="N/A",IF(Table1[[#This Row],[Std Adj Read]]&gt;=Table1[[#This Row],[Low Tol]],"Pass","Fail"),IF(Table1[[#This Row],[DUT Adj Read]]&gt;=Table1[[#This Row],[Low Tol]],"Pass","Fail")))</f>
        <v>Pass</v>
      </c>
      <c r="AG1742" s="1" t="str">
        <f>IF(AND(Table1[[#This Row],[Spec Type2]]="N/A",Table1[[#This Row],[DUT Adj Read]]="N/A",Table1[[#This Row],[Std Adj Read]]="N/A"),"N/A",IF(Table1[[#This Row],[DUT Adj Read]]="N/A",IF(Table1[[#This Row],[Std Adj Read]]&lt;=Table1[[#This Row],[High Tol]],"Pass","Fail"),IF(Table1[[#This Row],[DUT Adj Read]]&lt;=Table1[[#This Row],[High Tol]],"Pass","Fail")))</f>
        <v>Fail</v>
      </c>
      <c r="AH17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2" s="1" t="b">
        <v>0</v>
      </c>
      <c r="AN1742" s="1" t="b">
        <v>0</v>
      </c>
      <c r="AO1742" s="1" t="b">
        <v>0</v>
      </c>
    </row>
    <row r="1743" spans="1:41" x14ac:dyDescent="0.25">
      <c r="A1743" s="10"/>
      <c r="B1743" s="10"/>
      <c r="C1743" s="10"/>
      <c r="D1743" s="10"/>
      <c r="E1743" s="10"/>
      <c r="F1743" s="10"/>
      <c r="G1743" s="10"/>
      <c r="H1743" s="10"/>
      <c r="I1743" s="1" t="str">
        <f t="shared" si="81"/>
        <v/>
      </c>
      <c r="J1743" s="1" t="s">
        <v>35</v>
      </c>
      <c r="K1743" s="1" t="str">
        <f t="shared" si="82"/>
        <v/>
      </c>
      <c r="L1743" s="1" t="str">
        <f t="shared" si="83"/>
        <v/>
      </c>
      <c r="M1743" s="1">
        <f>IF(OR(Table1[[#This Row],[Std Nom]]="",Table1[[#This Row],[Std Read]]=""),0,Table1[[#This Row],[Std Nom]]-Table1[[#This Row],[Std Read]])</f>
        <v>0</v>
      </c>
      <c r="N1743" s="1">
        <f>IF(Calculations!$F$5="ACCREDITED 17025 WITH UNCERTAINTIES",$N$10,0)</f>
        <v>0</v>
      </c>
      <c r="Q1743" s="1">
        <f>Table1[[#This Row],[High Tol]]-Table1[[#This Row],[Low Tol]]</f>
        <v>0</v>
      </c>
      <c r="R1743" s="1">
        <f>2*Table1[[#This Row],[Std Error]]</f>
        <v>0</v>
      </c>
      <c r="S1743" s="1" t="str">
        <f>IF(Table1[[#This Row],[High Tol]]="","N/A",IFERROR(ABS(Table1[[#This Row],[Tol Span]]/Table1[[#This Row],[Error Span]]),"N/A"))</f>
        <v>N/A</v>
      </c>
      <c r="T1743" s="1" t="str">
        <f>IF(OR(Table1[[#This Row],[Low Tol]]="",Table1[[#This Row],[High Tol]]=""),"Needs Analysis",IF(Table1[[#This Row],[Ratio]]&gt;=4,"Not Significant",IF(Table1[[#This Row],[Ratio]]&gt;=2,"Semi-Significant","Significant")))</f>
        <v>Needs Analysis</v>
      </c>
      <c r="W1743" s="1">
        <f>IF(Table1[[#This Row],[Cal Type]]&lt;&gt;"ACCREDITED 17025 WITH UNCERTAINTIES",0,"")</f>
        <v>0</v>
      </c>
      <c r="X1743" s="1" t="str">
        <f>IF(Table1[[#This Row],[DUT Read]]="","N/A",Table1[[#This Row],[Std Error]]+Table1[[#This Row],[DUT Read]]+Table1[[#This Row],[DUT Ucty]])</f>
        <v>N/A</v>
      </c>
      <c r="Y1743" s="1" t="str">
        <f>IF(Table1[[#This Row],[Std Read]]="","N/A",Table1[[#This Row],[Std Read]]+Table1[[#This Row],[Std Ucty]])</f>
        <v>N/A</v>
      </c>
      <c r="Z17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3" s="1" t="str">
        <f>IF(Table1[[#This Row],[Spec Type]]="","N/A",Table1[[#This Row],[Spec Type]])</f>
        <v>±</v>
      </c>
      <c r="AC1743" s="1" t="str">
        <f>IF(Table1[[#This Row],[Spec Type2]]="N/A","N/A",IF(AND(Table1[[#This Row],[DUT Adj Read]]&gt;=Table1[[#This Row],[Low Tol]],Table1[[#This Row],[DUT Adj Read]]&lt;=Table1[[#This Row],[High Tol]]),"Pass","Fail"))</f>
        <v>Fail</v>
      </c>
      <c r="AD1743" s="1" t="str">
        <f>IF(AND(Table1[[#This Row],[Spec Type2]]="N/A",Table1[[#This Row],[DUT Adj Read]]="N/A",Table1[[#This Row],[Std Adj Read]]="N/A"),"N/A",IF(Table1[[#This Row],[DUT Adj Read]]="N/A",IF(Table1[[#This Row],[Std Adj Read]]&gt;Table1[[#This Row],[Low Tol]],"Pass","Fail"),IF(Table1[[#This Row],[DUT Adj Read]]&gt;Table1[[#This Row],[Low Tol]],"Pass","Fail")))</f>
        <v>Pass</v>
      </c>
      <c r="AE1743" s="1" t="str">
        <f>IF(AND(Table1[[#This Row],[Spec Type2]]="N/A",Table1[[#This Row],[DUT Adj Read]]="N/A",Table1[[#This Row],[Std Adj Read]]="N/A"),"N/A",IF(Table1[[#This Row],[DUT Adj Read]]="N/A",IF(Table1[[#This Row],[Std Adj Read]]&lt;Table1[[#This Row],[High Tol]],"Pass","Fail"),IF(Table1[[#This Row],[DUT Adj Read]]&lt;Table1[[#This Row],[High Tol]],"Pass","Fail")))</f>
        <v>Fail</v>
      </c>
      <c r="AF1743" s="1" t="str">
        <f>IF(AND(Table1[[#This Row],[Spec Type2]]="N/A",Table1[[#This Row],[DUT Adj Read]]="N/A",Table1[[#This Row],[Std Adj Read]]="N/A"),"N/A",IF(Table1[[#This Row],[DUT Adj Read]]="N/A",IF(Table1[[#This Row],[Std Adj Read]]&gt;=Table1[[#This Row],[Low Tol]],"Pass","Fail"),IF(Table1[[#This Row],[DUT Adj Read]]&gt;=Table1[[#This Row],[Low Tol]],"Pass","Fail")))</f>
        <v>Pass</v>
      </c>
      <c r="AG1743" s="1" t="str">
        <f>IF(AND(Table1[[#This Row],[Spec Type2]]="N/A",Table1[[#This Row],[DUT Adj Read]]="N/A",Table1[[#This Row],[Std Adj Read]]="N/A"),"N/A",IF(Table1[[#This Row],[DUT Adj Read]]="N/A",IF(Table1[[#This Row],[Std Adj Read]]&lt;=Table1[[#This Row],[High Tol]],"Pass","Fail"),IF(Table1[[#This Row],[DUT Adj Read]]&lt;=Table1[[#This Row],[High Tol]],"Pass","Fail")))</f>
        <v>Fail</v>
      </c>
      <c r="AH17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3" s="1" t="b">
        <v>0</v>
      </c>
      <c r="AN1743" s="1" t="b">
        <v>0</v>
      </c>
      <c r="AO1743" s="1" t="b">
        <v>0</v>
      </c>
    </row>
    <row r="1744" spans="1:41" x14ac:dyDescent="0.25">
      <c r="A1744" s="10"/>
      <c r="B1744" s="10"/>
      <c r="C1744" s="10"/>
      <c r="D1744" s="10"/>
      <c r="E1744" s="10"/>
      <c r="F1744" s="10"/>
      <c r="G1744" s="10"/>
      <c r="H1744" s="10"/>
      <c r="I1744" s="1" t="str">
        <f t="shared" si="81"/>
        <v/>
      </c>
      <c r="J1744" s="1" t="s">
        <v>35</v>
      </c>
      <c r="K1744" s="1" t="str">
        <f t="shared" si="82"/>
        <v/>
      </c>
      <c r="L1744" s="1" t="str">
        <f t="shared" si="83"/>
        <v/>
      </c>
      <c r="M1744" s="1">
        <f>IF(OR(Table1[[#This Row],[Std Nom]]="",Table1[[#This Row],[Std Read]]=""),0,Table1[[#This Row],[Std Nom]]-Table1[[#This Row],[Std Read]])</f>
        <v>0</v>
      </c>
      <c r="N1744" s="1">
        <f>IF(Calculations!$F$5="ACCREDITED 17025 WITH UNCERTAINTIES",$N$10,0)</f>
        <v>0</v>
      </c>
      <c r="Q1744" s="1">
        <f>Table1[[#This Row],[High Tol]]-Table1[[#This Row],[Low Tol]]</f>
        <v>0</v>
      </c>
      <c r="R1744" s="1">
        <f>2*Table1[[#This Row],[Std Error]]</f>
        <v>0</v>
      </c>
      <c r="S1744" s="1" t="str">
        <f>IF(Table1[[#This Row],[High Tol]]="","N/A",IFERROR(ABS(Table1[[#This Row],[Tol Span]]/Table1[[#This Row],[Error Span]]),"N/A"))</f>
        <v>N/A</v>
      </c>
      <c r="T1744" s="1" t="str">
        <f>IF(OR(Table1[[#This Row],[Low Tol]]="",Table1[[#This Row],[High Tol]]=""),"Needs Analysis",IF(Table1[[#This Row],[Ratio]]&gt;=4,"Not Significant",IF(Table1[[#This Row],[Ratio]]&gt;=2,"Semi-Significant","Significant")))</f>
        <v>Needs Analysis</v>
      </c>
      <c r="W1744" s="1">
        <f>IF(Table1[[#This Row],[Cal Type]]&lt;&gt;"ACCREDITED 17025 WITH UNCERTAINTIES",0,"")</f>
        <v>0</v>
      </c>
      <c r="X1744" s="1" t="str">
        <f>IF(Table1[[#This Row],[DUT Read]]="","N/A",Table1[[#This Row],[Std Error]]+Table1[[#This Row],[DUT Read]]+Table1[[#This Row],[DUT Ucty]])</f>
        <v>N/A</v>
      </c>
      <c r="Y1744" s="1" t="str">
        <f>IF(Table1[[#This Row],[Std Read]]="","N/A",Table1[[#This Row],[Std Read]]+Table1[[#This Row],[Std Ucty]])</f>
        <v>N/A</v>
      </c>
      <c r="Z17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4" s="1" t="str">
        <f>IF(Table1[[#This Row],[Spec Type]]="","N/A",Table1[[#This Row],[Spec Type]])</f>
        <v>±</v>
      </c>
      <c r="AC1744" s="1" t="str">
        <f>IF(Table1[[#This Row],[Spec Type2]]="N/A","N/A",IF(AND(Table1[[#This Row],[DUT Adj Read]]&gt;=Table1[[#This Row],[Low Tol]],Table1[[#This Row],[DUT Adj Read]]&lt;=Table1[[#This Row],[High Tol]]),"Pass","Fail"))</f>
        <v>Fail</v>
      </c>
      <c r="AD1744" s="1" t="str">
        <f>IF(AND(Table1[[#This Row],[Spec Type2]]="N/A",Table1[[#This Row],[DUT Adj Read]]="N/A",Table1[[#This Row],[Std Adj Read]]="N/A"),"N/A",IF(Table1[[#This Row],[DUT Adj Read]]="N/A",IF(Table1[[#This Row],[Std Adj Read]]&gt;Table1[[#This Row],[Low Tol]],"Pass","Fail"),IF(Table1[[#This Row],[DUT Adj Read]]&gt;Table1[[#This Row],[Low Tol]],"Pass","Fail")))</f>
        <v>Pass</v>
      </c>
      <c r="AE1744" s="1" t="str">
        <f>IF(AND(Table1[[#This Row],[Spec Type2]]="N/A",Table1[[#This Row],[DUT Adj Read]]="N/A",Table1[[#This Row],[Std Adj Read]]="N/A"),"N/A",IF(Table1[[#This Row],[DUT Adj Read]]="N/A",IF(Table1[[#This Row],[Std Adj Read]]&lt;Table1[[#This Row],[High Tol]],"Pass","Fail"),IF(Table1[[#This Row],[DUT Adj Read]]&lt;Table1[[#This Row],[High Tol]],"Pass","Fail")))</f>
        <v>Fail</v>
      </c>
      <c r="AF1744" s="1" t="str">
        <f>IF(AND(Table1[[#This Row],[Spec Type2]]="N/A",Table1[[#This Row],[DUT Adj Read]]="N/A",Table1[[#This Row],[Std Adj Read]]="N/A"),"N/A",IF(Table1[[#This Row],[DUT Adj Read]]="N/A",IF(Table1[[#This Row],[Std Adj Read]]&gt;=Table1[[#This Row],[Low Tol]],"Pass","Fail"),IF(Table1[[#This Row],[DUT Adj Read]]&gt;=Table1[[#This Row],[Low Tol]],"Pass","Fail")))</f>
        <v>Pass</v>
      </c>
      <c r="AG1744" s="1" t="str">
        <f>IF(AND(Table1[[#This Row],[Spec Type2]]="N/A",Table1[[#This Row],[DUT Adj Read]]="N/A",Table1[[#This Row],[Std Adj Read]]="N/A"),"N/A",IF(Table1[[#This Row],[DUT Adj Read]]="N/A",IF(Table1[[#This Row],[Std Adj Read]]&lt;=Table1[[#This Row],[High Tol]],"Pass","Fail"),IF(Table1[[#This Row],[DUT Adj Read]]&lt;=Table1[[#This Row],[High Tol]],"Pass","Fail")))</f>
        <v>Fail</v>
      </c>
      <c r="AH17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4" s="1" t="b">
        <v>0</v>
      </c>
      <c r="AN1744" s="1" t="b">
        <v>0</v>
      </c>
      <c r="AO1744" s="1" t="b">
        <v>0</v>
      </c>
    </row>
    <row r="1745" spans="1:41" x14ac:dyDescent="0.25">
      <c r="A1745" s="10"/>
      <c r="B1745" s="10"/>
      <c r="C1745" s="10"/>
      <c r="D1745" s="10"/>
      <c r="E1745" s="10"/>
      <c r="F1745" s="10"/>
      <c r="G1745" s="10"/>
      <c r="H1745" s="10"/>
      <c r="I1745" s="1" t="str">
        <f t="shared" si="81"/>
        <v/>
      </c>
      <c r="J1745" s="1" t="s">
        <v>35</v>
      </c>
      <c r="K1745" s="1" t="str">
        <f t="shared" si="82"/>
        <v/>
      </c>
      <c r="L1745" s="1" t="str">
        <f t="shared" si="83"/>
        <v/>
      </c>
      <c r="M1745" s="1">
        <f>IF(OR(Table1[[#This Row],[Std Nom]]="",Table1[[#This Row],[Std Read]]=""),0,Table1[[#This Row],[Std Nom]]-Table1[[#This Row],[Std Read]])</f>
        <v>0</v>
      </c>
      <c r="N1745" s="1">
        <f>IF(Calculations!$F$5="ACCREDITED 17025 WITH UNCERTAINTIES",$N$10,0)</f>
        <v>0</v>
      </c>
      <c r="Q1745" s="1">
        <f>Table1[[#This Row],[High Tol]]-Table1[[#This Row],[Low Tol]]</f>
        <v>0</v>
      </c>
      <c r="R1745" s="1">
        <f>2*Table1[[#This Row],[Std Error]]</f>
        <v>0</v>
      </c>
      <c r="S1745" s="1" t="str">
        <f>IF(Table1[[#This Row],[High Tol]]="","N/A",IFERROR(ABS(Table1[[#This Row],[Tol Span]]/Table1[[#This Row],[Error Span]]),"N/A"))</f>
        <v>N/A</v>
      </c>
      <c r="T1745" s="1" t="str">
        <f>IF(OR(Table1[[#This Row],[Low Tol]]="",Table1[[#This Row],[High Tol]]=""),"Needs Analysis",IF(Table1[[#This Row],[Ratio]]&gt;=4,"Not Significant",IF(Table1[[#This Row],[Ratio]]&gt;=2,"Semi-Significant","Significant")))</f>
        <v>Needs Analysis</v>
      </c>
      <c r="W1745" s="1">
        <f>IF(Table1[[#This Row],[Cal Type]]&lt;&gt;"ACCREDITED 17025 WITH UNCERTAINTIES",0,"")</f>
        <v>0</v>
      </c>
      <c r="X1745" s="1" t="str">
        <f>IF(Table1[[#This Row],[DUT Read]]="","N/A",Table1[[#This Row],[Std Error]]+Table1[[#This Row],[DUT Read]]+Table1[[#This Row],[DUT Ucty]])</f>
        <v>N/A</v>
      </c>
      <c r="Y1745" s="1" t="str">
        <f>IF(Table1[[#This Row],[Std Read]]="","N/A",Table1[[#This Row],[Std Read]]+Table1[[#This Row],[Std Ucty]])</f>
        <v>N/A</v>
      </c>
      <c r="Z17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5" s="1" t="str">
        <f>IF(Table1[[#This Row],[Spec Type]]="","N/A",Table1[[#This Row],[Spec Type]])</f>
        <v>±</v>
      </c>
      <c r="AC1745" s="1" t="str">
        <f>IF(Table1[[#This Row],[Spec Type2]]="N/A","N/A",IF(AND(Table1[[#This Row],[DUT Adj Read]]&gt;=Table1[[#This Row],[Low Tol]],Table1[[#This Row],[DUT Adj Read]]&lt;=Table1[[#This Row],[High Tol]]),"Pass","Fail"))</f>
        <v>Fail</v>
      </c>
      <c r="AD1745" s="1" t="str">
        <f>IF(AND(Table1[[#This Row],[Spec Type2]]="N/A",Table1[[#This Row],[DUT Adj Read]]="N/A",Table1[[#This Row],[Std Adj Read]]="N/A"),"N/A",IF(Table1[[#This Row],[DUT Adj Read]]="N/A",IF(Table1[[#This Row],[Std Adj Read]]&gt;Table1[[#This Row],[Low Tol]],"Pass","Fail"),IF(Table1[[#This Row],[DUT Adj Read]]&gt;Table1[[#This Row],[Low Tol]],"Pass","Fail")))</f>
        <v>Pass</v>
      </c>
      <c r="AE1745" s="1" t="str">
        <f>IF(AND(Table1[[#This Row],[Spec Type2]]="N/A",Table1[[#This Row],[DUT Adj Read]]="N/A",Table1[[#This Row],[Std Adj Read]]="N/A"),"N/A",IF(Table1[[#This Row],[DUT Adj Read]]="N/A",IF(Table1[[#This Row],[Std Adj Read]]&lt;Table1[[#This Row],[High Tol]],"Pass","Fail"),IF(Table1[[#This Row],[DUT Adj Read]]&lt;Table1[[#This Row],[High Tol]],"Pass","Fail")))</f>
        <v>Fail</v>
      </c>
      <c r="AF1745" s="1" t="str">
        <f>IF(AND(Table1[[#This Row],[Spec Type2]]="N/A",Table1[[#This Row],[DUT Adj Read]]="N/A",Table1[[#This Row],[Std Adj Read]]="N/A"),"N/A",IF(Table1[[#This Row],[DUT Adj Read]]="N/A",IF(Table1[[#This Row],[Std Adj Read]]&gt;=Table1[[#This Row],[Low Tol]],"Pass","Fail"),IF(Table1[[#This Row],[DUT Adj Read]]&gt;=Table1[[#This Row],[Low Tol]],"Pass","Fail")))</f>
        <v>Pass</v>
      </c>
      <c r="AG1745" s="1" t="str">
        <f>IF(AND(Table1[[#This Row],[Spec Type2]]="N/A",Table1[[#This Row],[DUT Adj Read]]="N/A",Table1[[#This Row],[Std Adj Read]]="N/A"),"N/A",IF(Table1[[#This Row],[DUT Adj Read]]="N/A",IF(Table1[[#This Row],[Std Adj Read]]&lt;=Table1[[#This Row],[High Tol]],"Pass","Fail"),IF(Table1[[#This Row],[DUT Adj Read]]&lt;=Table1[[#This Row],[High Tol]],"Pass","Fail")))</f>
        <v>Fail</v>
      </c>
      <c r="AH17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5" s="1" t="b">
        <v>0</v>
      </c>
      <c r="AN1745" s="1" t="b">
        <v>0</v>
      </c>
      <c r="AO1745" s="1" t="b">
        <v>0</v>
      </c>
    </row>
    <row r="1746" spans="1:41" x14ac:dyDescent="0.25">
      <c r="A1746" s="10"/>
      <c r="B1746" s="10"/>
      <c r="C1746" s="10"/>
      <c r="D1746" s="10"/>
      <c r="E1746" s="10"/>
      <c r="F1746" s="10"/>
      <c r="G1746" s="10"/>
      <c r="H1746" s="10"/>
      <c r="I1746" s="1" t="str">
        <f t="shared" si="81"/>
        <v/>
      </c>
      <c r="J1746" s="1" t="s">
        <v>35</v>
      </c>
      <c r="K1746" s="1" t="str">
        <f t="shared" si="82"/>
        <v/>
      </c>
      <c r="L1746" s="1" t="str">
        <f t="shared" si="83"/>
        <v/>
      </c>
      <c r="M1746" s="1">
        <f>IF(OR(Table1[[#This Row],[Std Nom]]="",Table1[[#This Row],[Std Read]]=""),0,Table1[[#This Row],[Std Nom]]-Table1[[#This Row],[Std Read]])</f>
        <v>0</v>
      </c>
      <c r="N1746" s="1">
        <f>IF(Calculations!$F$5="ACCREDITED 17025 WITH UNCERTAINTIES",$N$10,0)</f>
        <v>0</v>
      </c>
      <c r="Q1746" s="1">
        <f>Table1[[#This Row],[High Tol]]-Table1[[#This Row],[Low Tol]]</f>
        <v>0</v>
      </c>
      <c r="R1746" s="1">
        <f>2*Table1[[#This Row],[Std Error]]</f>
        <v>0</v>
      </c>
      <c r="S1746" s="1" t="str">
        <f>IF(Table1[[#This Row],[High Tol]]="","N/A",IFERROR(ABS(Table1[[#This Row],[Tol Span]]/Table1[[#This Row],[Error Span]]),"N/A"))</f>
        <v>N/A</v>
      </c>
      <c r="T1746" s="1" t="str">
        <f>IF(OR(Table1[[#This Row],[Low Tol]]="",Table1[[#This Row],[High Tol]]=""),"Needs Analysis",IF(Table1[[#This Row],[Ratio]]&gt;=4,"Not Significant",IF(Table1[[#This Row],[Ratio]]&gt;=2,"Semi-Significant","Significant")))</f>
        <v>Needs Analysis</v>
      </c>
      <c r="W1746" s="1">
        <f>IF(Table1[[#This Row],[Cal Type]]&lt;&gt;"ACCREDITED 17025 WITH UNCERTAINTIES",0,"")</f>
        <v>0</v>
      </c>
      <c r="X1746" s="1" t="str">
        <f>IF(Table1[[#This Row],[DUT Read]]="","N/A",Table1[[#This Row],[Std Error]]+Table1[[#This Row],[DUT Read]]+Table1[[#This Row],[DUT Ucty]])</f>
        <v>N/A</v>
      </c>
      <c r="Y1746" s="1" t="str">
        <f>IF(Table1[[#This Row],[Std Read]]="","N/A",Table1[[#This Row],[Std Read]]+Table1[[#This Row],[Std Ucty]])</f>
        <v>N/A</v>
      </c>
      <c r="Z17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6" s="1" t="str">
        <f>IF(Table1[[#This Row],[Spec Type]]="","N/A",Table1[[#This Row],[Spec Type]])</f>
        <v>±</v>
      </c>
      <c r="AC1746" s="1" t="str">
        <f>IF(Table1[[#This Row],[Spec Type2]]="N/A","N/A",IF(AND(Table1[[#This Row],[DUT Adj Read]]&gt;=Table1[[#This Row],[Low Tol]],Table1[[#This Row],[DUT Adj Read]]&lt;=Table1[[#This Row],[High Tol]]),"Pass","Fail"))</f>
        <v>Fail</v>
      </c>
      <c r="AD1746" s="1" t="str">
        <f>IF(AND(Table1[[#This Row],[Spec Type2]]="N/A",Table1[[#This Row],[DUT Adj Read]]="N/A",Table1[[#This Row],[Std Adj Read]]="N/A"),"N/A",IF(Table1[[#This Row],[DUT Adj Read]]="N/A",IF(Table1[[#This Row],[Std Adj Read]]&gt;Table1[[#This Row],[Low Tol]],"Pass","Fail"),IF(Table1[[#This Row],[DUT Adj Read]]&gt;Table1[[#This Row],[Low Tol]],"Pass","Fail")))</f>
        <v>Pass</v>
      </c>
      <c r="AE1746" s="1" t="str">
        <f>IF(AND(Table1[[#This Row],[Spec Type2]]="N/A",Table1[[#This Row],[DUT Adj Read]]="N/A",Table1[[#This Row],[Std Adj Read]]="N/A"),"N/A",IF(Table1[[#This Row],[DUT Adj Read]]="N/A",IF(Table1[[#This Row],[Std Adj Read]]&lt;Table1[[#This Row],[High Tol]],"Pass","Fail"),IF(Table1[[#This Row],[DUT Adj Read]]&lt;Table1[[#This Row],[High Tol]],"Pass","Fail")))</f>
        <v>Fail</v>
      </c>
      <c r="AF1746" s="1" t="str">
        <f>IF(AND(Table1[[#This Row],[Spec Type2]]="N/A",Table1[[#This Row],[DUT Adj Read]]="N/A",Table1[[#This Row],[Std Adj Read]]="N/A"),"N/A",IF(Table1[[#This Row],[DUT Adj Read]]="N/A",IF(Table1[[#This Row],[Std Adj Read]]&gt;=Table1[[#This Row],[Low Tol]],"Pass","Fail"),IF(Table1[[#This Row],[DUT Adj Read]]&gt;=Table1[[#This Row],[Low Tol]],"Pass","Fail")))</f>
        <v>Pass</v>
      </c>
      <c r="AG1746" s="1" t="str">
        <f>IF(AND(Table1[[#This Row],[Spec Type2]]="N/A",Table1[[#This Row],[DUT Adj Read]]="N/A",Table1[[#This Row],[Std Adj Read]]="N/A"),"N/A",IF(Table1[[#This Row],[DUT Adj Read]]="N/A",IF(Table1[[#This Row],[Std Adj Read]]&lt;=Table1[[#This Row],[High Tol]],"Pass","Fail"),IF(Table1[[#This Row],[DUT Adj Read]]&lt;=Table1[[#This Row],[High Tol]],"Pass","Fail")))</f>
        <v>Fail</v>
      </c>
      <c r="AH17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6" s="1" t="b">
        <v>0</v>
      </c>
      <c r="AN1746" s="1" t="b">
        <v>0</v>
      </c>
      <c r="AO1746" s="1" t="b">
        <v>0</v>
      </c>
    </row>
    <row r="1747" spans="1:41" x14ac:dyDescent="0.25">
      <c r="A1747" s="10"/>
      <c r="B1747" s="10"/>
      <c r="C1747" s="10"/>
      <c r="D1747" s="10"/>
      <c r="E1747" s="10"/>
      <c r="F1747" s="10"/>
      <c r="G1747" s="10"/>
      <c r="H1747" s="10"/>
      <c r="I1747" s="1" t="str">
        <f t="shared" si="81"/>
        <v/>
      </c>
      <c r="J1747" s="1" t="s">
        <v>35</v>
      </c>
      <c r="K1747" s="1" t="str">
        <f t="shared" si="82"/>
        <v/>
      </c>
      <c r="L1747" s="1" t="str">
        <f t="shared" si="83"/>
        <v/>
      </c>
      <c r="M1747" s="1">
        <f>IF(OR(Table1[[#This Row],[Std Nom]]="",Table1[[#This Row],[Std Read]]=""),0,Table1[[#This Row],[Std Nom]]-Table1[[#This Row],[Std Read]])</f>
        <v>0</v>
      </c>
      <c r="N1747" s="1">
        <f>IF(Calculations!$F$5="ACCREDITED 17025 WITH UNCERTAINTIES",$N$10,0)</f>
        <v>0</v>
      </c>
      <c r="Q1747" s="1">
        <f>Table1[[#This Row],[High Tol]]-Table1[[#This Row],[Low Tol]]</f>
        <v>0</v>
      </c>
      <c r="R1747" s="1">
        <f>2*Table1[[#This Row],[Std Error]]</f>
        <v>0</v>
      </c>
      <c r="S1747" s="1" t="str">
        <f>IF(Table1[[#This Row],[High Tol]]="","N/A",IFERROR(ABS(Table1[[#This Row],[Tol Span]]/Table1[[#This Row],[Error Span]]),"N/A"))</f>
        <v>N/A</v>
      </c>
      <c r="T1747" s="1" t="str">
        <f>IF(OR(Table1[[#This Row],[Low Tol]]="",Table1[[#This Row],[High Tol]]=""),"Needs Analysis",IF(Table1[[#This Row],[Ratio]]&gt;=4,"Not Significant",IF(Table1[[#This Row],[Ratio]]&gt;=2,"Semi-Significant","Significant")))</f>
        <v>Needs Analysis</v>
      </c>
      <c r="W1747" s="1">
        <f>IF(Table1[[#This Row],[Cal Type]]&lt;&gt;"ACCREDITED 17025 WITH UNCERTAINTIES",0,"")</f>
        <v>0</v>
      </c>
      <c r="X1747" s="1" t="str">
        <f>IF(Table1[[#This Row],[DUT Read]]="","N/A",Table1[[#This Row],[Std Error]]+Table1[[#This Row],[DUT Read]]+Table1[[#This Row],[DUT Ucty]])</f>
        <v>N/A</v>
      </c>
      <c r="Y1747" s="1" t="str">
        <f>IF(Table1[[#This Row],[Std Read]]="","N/A",Table1[[#This Row],[Std Read]]+Table1[[#This Row],[Std Ucty]])</f>
        <v>N/A</v>
      </c>
      <c r="Z17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7" s="1" t="str">
        <f>IF(Table1[[#This Row],[Spec Type]]="","N/A",Table1[[#This Row],[Spec Type]])</f>
        <v>±</v>
      </c>
      <c r="AC1747" s="1" t="str">
        <f>IF(Table1[[#This Row],[Spec Type2]]="N/A","N/A",IF(AND(Table1[[#This Row],[DUT Adj Read]]&gt;=Table1[[#This Row],[Low Tol]],Table1[[#This Row],[DUT Adj Read]]&lt;=Table1[[#This Row],[High Tol]]),"Pass","Fail"))</f>
        <v>Fail</v>
      </c>
      <c r="AD1747" s="1" t="str">
        <f>IF(AND(Table1[[#This Row],[Spec Type2]]="N/A",Table1[[#This Row],[DUT Adj Read]]="N/A",Table1[[#This Row],[Std Adj Read]]="N/A"),"N/A",IF(Table1[[#This Row],[DUT Adj Read]]="N/A",IF(Table1[[#This Row],[Std Adj Read]]&gt;Table1[[#This Row],[Low Tol]],"Pass","Fail"),IF(Table1[[#This Row],[DUT Adj Read]]&gt;Table1[[#This Row],[Low Tol]],"Pass","Fail")))</f>
        <v>Pass</v>
      </c>
      <c r="AE1747" s="1" t="str">
        <f>IF(AND(Table1[[#This Row],[Spec Type2]]="N/A",Table1[[#This Row],[DUT Adj Read]]="N/A",Table1[[#This Row],[Std Adj Read]]="N/A"),"N/A",IF(Table1[[#This Row],[DUT Adj Read]]="N/A",IF(Table1[[#This Row],[Std Adj Read]]&lt;Table1[[#This Row],[High Tol]],"Pass","Fail"),IF(Table1[[#This Row],[DUT Adj Read]]&lt;Table1[[#This Row],[High Tol]],"Pass","Fail")))</f>
        <v>Fail</v>
      </c>
      <c r="AF1747" s="1" t="str">
        <f>IF(AND(Table1[[#This Row],[Spec Type2]]="N/A",Table1[[#This Row],[DUT Adj Read]]="N/A",Table1[[#This Row],[Std Adj Read]]="N/A"),"N/A",IF(Table1[[#This Row],[DUT Adj Read]]="N/A",IF(Table1[[#This Row],[Std Adj Read]]&gt;=Table1[[#This Row],[Low Tol]],"Pass","Fail"),IF(Table1[[#This Row],[DUT Adj Read]]&gt;=Table1[[#This Row],[Low Tol]],"Pass","Fail")))</f>
        <v>Pass</v>
      </c>
      <c r="AG1747" s="1" t="str">
        <f>IF(AND(Table1[[#This Row],[Spec Type2]]="N/A",Table1[[#This Row],[DUT Adj Read]]="N/A",Table1[[#This Row],[Std Adj Read]]="N/A"),"N/A",IF(Table1[[#This Row],[DUT Adj Read]]="N/A",IF(Table1[[#This Row],[Std Adj Read]]&lt;=Table1[[#This Row],[High Tol]],"Pass","Fail"),IF(Table1[[#This Row],[DUT Adj Read]]&lt;=Table1[[#This Row],[High Tol]],"Pass","Fail")))</f>
        <v>Fail</v>
      </c>
      <c r="AH17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7" s="1" t="b">
        <v>0</v>
      </c>
      <c r="AN1747" s="1" t="b">
        <v>0</v>
      </c>
      <c r="AO1747" s="1" t="b">
        <v>0</v>
      </c>
    </row>
    <row r="1748" spans="1:41" x14ac:dyDescent="0.25">
      <c r="A1748" s="10"/>
      <c r="B1748" s="10"/>
      <c r="C1748" s="10"/>
      <c r="D1748" s="10"/>
      <c r="E1748" s="10"/>
      <c r="F1748" s="10"/>
      <c r="G1748" s="10"/>
      <c r="H1748" s="10"/>
      <c r="I1748" s="1" t="str">
        <f t="shared" si="81"/>
        <v/>
      </c>
      <c r="J1748" s="1" t="s">
        <v>35</v>
      </c>
      <c r="K1748" s="1" t="str">
        <f t="shared" si="82"/>
        <v/>
      </c>
      <c r="L1748" s="1" t="str">
        <f t="shared" si="83"/>
        <v/>
      </c>
      <c r="M1748" s="1">
        <f>IF(OR(Table1[[#This Row],[Std Nom]]="",Table1[[#This Row],[Std Read]]=""),0,Table1[[#This Row],[Std Nom]]-Table1[[#This Row],[Std Read]])</f>
        <v>0</v>
      </c>
      <c r="N1748" s="1">
        <f>IF(Calculations!$F$5="ACCREDITED 17025 WITH UNCERTAINTIES",$N$10,0)</f>
        <v>0</v>
      </c>
      <c r="Q1748" s="1">
        <f>Table1[[#This Row],[High Tol]]-Table1[[#This Row],[Low Tol]]</f>
        <v>0</v>
      </c>
      <c r="R1748" s="1">
        <f>2*Table1[[#This Row],[Std Error]]</f>
        <v>0</v>
      </c>
      <c r="S1748" s="1" t="str">
        <f>IF(Table1[[#This Row],[High Tol]]="","N/A",IFERROR(ABS(Table1[[#This Row],[Tol Span]]/Table1[[#This Row],[Error Span]]),"N/A"))</f>
        <v>N/A</v>
      </c>
      <c r="T1748" s="1" t="str">
        <f>IF(OR(Table1[[#This Row],[Low Tol]]="",Table1[[#This Row],[High Tol]]=""),"Needs Analysis",IF(Table1[[#This Row],[Ratio]]&gt;=4,"Not Significant",IF(Table1[[#This Row],[Ratio]]&gt;=2,"Semi-Significant","Significant")))</f>
        <v>Needs Analysis</v>
      </c>
      <c r="W1748" s="1">
        <f>IF(Table1[[#This Row],[Cal Type]]&lt;&gt;"ACCREDITED 17025 WITH UNCERTAINTIES",0,"")</f>
        <v>0</v>
      </c>
      <c r="X1748" s="1" t="str">
        <f>IF(Table1[[#This Row],[DUT Read]]="","N/A",Table1[[#This Row],[Std Error]]+Table1[[#This Row],[DUT Read]]+Table1[[#This Row],[DUT Ucty]])</f>
        <v>N/A</v>
      </c>
      <c r="Y1748" s="1" t="str">
        <f>IF(Table1[[#This Row],[Std Read]]="","N/A",Table1[[#This Row],[Std Read]]+Table1[[#This Row],[Std Ucty]])</f>
        <v>N/A</v>
      </c>
      <c r="Z17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8" s="1" t="str">
        <f>IF(Table1[[#This Row],[Spec Type]]="","N/A",Table1[[#This Row],[Spec Type]])</f>
        <v>±</v>
      </c>
      <c r="AC1748" s="1" t="str">
        <f>IF(Table1[[#This Row],[Spec Type2]]="N/A","N/A",IF(AND(Table1[[#This Row],[DUT Adj Read]]&gt;=Table1[[#This Row],[Low Tol]],Table1[[#This Row],[DUT Adj Read]]&lt;=Table1[[#This Row],[High Tol]]),"Pass","Fail"))</f>
        <v>Fail</v>
      </c>
      <c r="AD1748" s="1" t="str">
        <f>IF(AND(Table1[[#This Row],[Spec Type2]]="N/A",Table1[[#This Row],[DUT Adj Read]]="N/A",Table1[[#This Row],[Std Adj Read]]="N/A"),"N/A",IF(Table1[[#This Row],[DUT Adj Read]]="N/A",IF(Table1[[#This Row],[Std Adj Read]]&gt;Table1[[#This Row],[Low Tol]],"Pass","Fail"),IF(Table1[[#This Row],[DUT Adj Read]]&gt;Table1[[#This Row],[Low Tol]],"Pass","Fail")))</f>
        <v>Pass</v>
      </c>
      <c r="AE1748" s="1" t="str">
        <f>IF(AND(Table1[[#This Row],[Spec Type2]]="N/A",Table1[[#This Row],[DUT Adj Read]]="N/A",Table1[[#This Row],[Std Adj Read]]="N/A"),"N/A",IF(Table1[[#This Row],[DUT Adj Read]]="N/A",IF(Table1[[#This Row],[Std Adj Read]]&lt;Table1[[#This Row],[High Tol]],"Pass","Fail"),IF(Table1[[#This Row],[DUT Adj Read]]&lt;Table1[[#This Row],[High Tol]],"Pass","Fail")))</f>
        <v>Fail</v>
      </c>
      <c r="AF1748" s="1" t="str">
        <f>IF(AND(Table1[[#This Row],[Spec Type2]]="N/A",Table1[[#This Row],[DUT Adj Read]]="N/A",Table1[[#This Row],[Std Adj Read]]="N/A"),"N/A",IF(Table1[[#This Row],[DUT Adj Read]]="N/A",IF(Table1[[#This Row],[Std Adj Read]]&gt;=Table1[[#This Row],[Low Tol]],"Pass","Fail"),IF(Table1[[#This Row],[DUT Adj Read]]&gt;=Table1[[#This Row],[Low Tol]],"Pass","Fail")))</f>
        <v>Pass</v>
      </c>
      <c r="AG1748" s="1" t="str">
        <f>IF(AND(Table1[[#This Row],[Spec Type2]]="N/A",Table1[[#This Row],[DUT Adj Read]]="N/A",Table1[[#This Row],[Std Adj Read]]="N/A"),"N/A",IF(Table1[[#This Row],[DUT Adj Read]]="N/A",IF(Table1[[#This Row],[Std Adj Read]]&lt;=Table1[[#This Row],[High Tol]],"Pass","Fail"),IF(Table1[[#This Row],[DUT Adj Read]]&lt;=Table1[[#This Row],[High Tol]],"Pass","Fail")))</f>
        <v>Fail</v>
      </c>
      <c r="AH17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8" s="1" t="b">
        <v>0</v>
      </c>
      <c r="AN1748" s="1" t="b">
        <v>0</v>
      </c>
      <c r="AO1748" s="1" t="b">
        <v>0</v>
      </c>
    </row>
    <row r="1749" spans="1:41" x14ac:dyDescent="0.25">
      <c r="A1749" s="10"/>
      <c r="B1749" s="10"/>
      <c r="C1749" s="10"/>
      <c r="D1749" s="10"/>
      <c r="E1749" s="10"/>
      <c r="F1749" s="10"/>
      <c r="G1749" s="10"/>
      <c r="H1749" s="10"/>
      <c r="I1749" s="1" t="str">
        <f t="shared" si="81"/>
        <v/>
      </c>
      <c r="J1749" s="1" t="s">
        <v>35</v>
      </c>
      <c r="K1749" s="1" t="str">
        <f t="shared" si="82"/>
        <v/>
      </c>
      <c r="L1749" s="1" t="str">
        <f t="shared" si="83"/>
        <v/>
      </c>
      <c r="M1749" s="1">
        <f>IF(OR(Table1[[#This Row],[Std Nom]]="",Table1[[#This Row],[Std Read]]=""),0,Table1[[#This Row],[Std Nom]]-Table1[[#This Row],[Std Read]])</f>
        <v>0</v>
      </c>
      <c r="N1749" s="1">
        <f>IF(Calculations!$F$5="ACCREDITED 17025 WITH UNCERTAINTIES",$N$10,0)</f>
        <v>0</v>
      </c>
      <c r="Q1749" s="1">
        <f>Table1[[#This Row],[High Tol]]-Table1[[#This Row],[Low Tol]]</f>
        <v>0</v>
      </c>
      <c r="R1749" s="1">
        <f>2*Table1[[#This Row],[Std Error]]</f>
        <v>0</v>
      </c>
      <c r="S1749" s="1" t="str">
        <f>IF(Table1[[#This Row],[High Tol]]="","N/A",IFERROR(ABS(Table1[[#This Row],[Tol Span]]/Table1[[#This Row],[Error Span]]),"N/A"))</f>
        <v>N/A</v>
      </c>
      <c r="T1749" s="1" t="str">
        <f>IF(OR(Table1[[#This Row],[Low Tol]]="",Table1[[#This Row],[High Tol]]=""),"Needs Analysis",IF(Table1[[#This Row],[Ratio]]&gt;=4,"Not Significant",IF(Table1[[#This Row],[Ratio]]&gt;=2,"Semi-Significant","Significant")))</f>
        <v>Needs Analysis</v>
      </c>
      <c r="W1749" s="1">
        <f>IF(Table1[[#This Row],[Cal Type]]&lt;&gt;"ACCREDITED 17025 WITH UNCERTAINTIES",0,"")</f>
        <v>0</v>
      </c>
      <c r="X1749" s="1" t="str">
        <f>IF(Table1[[#This Row],[DUT Read]]="","N/A",Table1[[#This Row],[Std Error]]+Table1[[#This Row],[DUT Read]]+Table1[[#This Row],[DUT Ucty]])</f>
        <v>N/A</v>
      </c>
      <c r="Y1749" s="1" t="str">
        <f>IF(Table1[[#This Row],[Std Read]]="","N/A",Table1[[#This Row],[Std Read]]+Table1[[#This Row],[Std Ucty]])</f>
        <v>N/A</v>
      </c>
      <c r="Z17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49" s="1" t="str">
        <f>IF(Table1[[#This Row],[Spec Type]]="","N/A",Table1[[#This Row],[Spec Type]])</f>
        <v>±</v>
      </c>
      <c r="AC1749" s="1" t="str">
        <f>IF(Table1[[#This Row],[Spec Type2]]="N/A","N/A",IF(AND(Table1[[#This Row],[DUT Adj Read]]&gt;=Table1[[#This Row],[Low Tol]],Table1[[#This Row],[DUT Adj Read]]&lt;=Table1[[#This Row],[High Tol]]),"Pass","Fail"))</f>
        <v>Fail</v>
      </c>
      <c r="AD1749" s="1" t="str">
        <f>IF(AND(Table1[[#This Row],[Spec Type2]]="N/A",Table1[[#This Row],[DUT Adj Read]]="N/A",Table1[[#This Row],[Std Adj Read]]="N/A"),"N/A",IF(Table1[[#This Row],[DUT Adj Read]]="N/A",IF(Table1[[#This Row],[Std Adj Read]]&gt;Table1[[#This Row],[Low Tol]],"Pass","Fail"),IF(Table1[[#This Row],[DUT Adj Read]]&gt;Table1[[#This Row],[Low Tol]],"Pass","Fail")))</f>
        <v>Pass</v>
      </c>
      <c r="AE1749" s="1" t="str">
        <f>IF(AND(Table1[[#This Row],[Spec Type2]]="N/A",Table1[[#This Row],[DUT Adj Read]]="N/A",Table1[[#This Row],[Std Adj Read]]="N/A"),"N/A",IF(Table1[[#This Row],[DUT Adj Read]]="N/A",IF(Table1[[#This Row],[Std Adj Read]]&lt;Table1[[#This Row],[High Tol]],"Pass","Fail"),IF(Table1[[#This Row],[DUT Adj Read]]&lt;Table1[[#This Row],[High Tol]],"Pass","Fail")))</f>
        <v>Fail</v>
      </c>
      <c r="AF1749" s="1" t="str">
        <f>IF(AND(Table1[[#This Row],[Spec Type2]]="N/A",Table1[[#This Row],[DUT Adj Read]]="N/A",Table1[[#This Row],[Std Adj Read]]="N/A"),"N/A",IF(Table1[[#This Row],[DUT Adj Read]]="N/A",IF(Table1[[#This Row],[Std Adj Read]]&gt;=Table1[[#This Row],[Low Tol]],"Pass","Fail"),IF(Table1[[#This Row],[DUT Adj Read]]&gt;=Table1[[#This Row],[Low Tol]],"Pass","Fail")))</f>
        <v>Pass</v>
      </c>
      <c r="AG1749" s="1" t="str">
        <f>IF(AND(Table1[[#This Row],[Spec Type2]]="N/A",Table1[[#This Row],[DUT Adj Read]]="N/A",Table1[[#This Row],[Std Adj Read]]="N/A"),"N/A",IF(Table1[[#This Row],[DUT Adj Read]]="N/A",IF(Table1[[#This Row],[Std Adj Read]]&lt;=Table1[[#This Row],[High Tol]],"Pass","Fail"),IF(Table1[[#This Row],[DUT Adj Read]]&lt;=Table1[[#This Row],[High Tol]],"Pass","Fail")))</f>
        <v>Fail</v>
      </c>
      <c r="AH17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49" s="1" t="b">
        <v>0</v>
      </c>
      <c r="AN1749" s="1" t="b">
        <v>0</v>
      </c>
      <c r="AO1749" s="1" t="b">
        <v>0</v>
      </c>
    </row>
    <row r="1750" spans="1:41" x14ac:dyDescent="0.25">
      <c r="A1750" s="10"/>
      <c r="B1750" s="10"/>
      <c r="C1750" s="10"/>
      <c r="D1750" s="10"/>
      <c r="E1750" s="10"/>
      <c r="F1750" s="10"/>
      <c r="G1750" s="10"/>
      <c r="H1750" s="10"/>
      <c r="I1750" s="1" t="str">
        <f t="shared" si="81"/>
        <v/>
      </c>
      <c r="J1750" s="1" t="s">
        <v>35</v>
      </c>
      <c r="K1750" s="1" t="str">
        <f t="shared" si="82"/>
        <v/>
      </c>
      <c r="L1750" s="1" t="str">
        <f t="shared" si="83"/>
        <v/>
      </c>
      <c r="M1750" s="1">
        <f>IF(OR(Table1[[#This Row],[Std Nom]]="",Table1[[#This Row],[Std Read]]=""),0,Table1[[#This Row],[Std Nom]]-Table1[[#This Row],[Std Read]])</f>
        <v>0</v>
      </c>
      <c r="N1750" s="1">
        <f>IF(Calculations!$F$5="ACCREDITED 17025 WITH UNCERTAINTIES",$N$10,0)</f>
        <v>0</v>
      </c>
      <c r="Q1750" s="1">
        <f>Table1[[#This Row],[High Tol]]-Table1[[#This Row],[Low Tol]]</f>
        <v>0</v>
      </c>
      <c r="R1750" s="1">
        <f>2*Table1[[#This Row],[Std Error]]</f>
        <v>0</v>
      </c>
      <c r="S1750" s="1" t="str">
        <f>IF(Table1[[#This Row],[High Tol]]="","N/A",IFERROR(ABS(Table1[[#This Row],[Tol Span]]/Table1[[#This Row],[Error Span]]),"N/A"))</f>
        <v>N/A</v>
      </c>
      <c r="T1750" s="1" t="str">
        <f>IF(OR(Table1[[#This Row],[Low Tol]]="",Table1[[#This Row],[High Tol]]=""),"Needs Analysis",IF(Table1[[#This Row],[Ratio]]&gt;=4,"Not Significant",IF(Table1[[#This Row],[Ratio]]&gt;=2,"Semi-Significant","Significant")))</f>
        <v>Needs Analysis</v>
      </c>
      <c r="W1750" s="1">
        <f>IF(Table1[[#This Row],[Cal Type]]&lt;&gt;"ACCREDITED 17025 WITH UNCERTAINTIES",0,"")</f>
        <v>0</v>
      </c>
      <c r="X1750" s="1" t="str">
        <f>IF(Table1[[#This Row],[DUT Read]]="","N/A",Table1[[#This Row],[Std Error]]+Table1[[#This Row],[DUT Read]]+Table1[[#This Row],[DUT Ucty]])</f>
        <v>N/A</v>
      </c>
      <c r="Y1750" s="1" t="str">
        <f>IF(Table1[[#This Row],[Std Read]]="","N/A",Table1[[#This Row],[Std Read]]+Table1[[#This Row],[Std Ucty]])</f>
        <v>N/A</v>
      </c>
      <c r="Z17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0" s="1" t="str">
        <f>IF(Table1[[#This Row],[Spec Type]]="","N/A",Table1[[#This Row],[Spec Type]])</f>
        <v>±</v>
      </c>
      <c r="AC1750" s="1" t="str">
        <f>IF(Table1[[#This Row],[Spec Type2]]="N/A","N/A",IF(AND(Table1[[#This Row],[DUT Adj Read]]&gt;=Table1[[#This Row],[Low Tol]],Table1[[#This Row],[DUT Adj Read]]&lt;=Table1[[#This Row],[High Tol]]),"Pass","Fail"))</f>
        <v>Fail</v>
      </c>
      <c r="AD1750" s="1" t="str">
        <f>IF(AND(Table1[[#This Row],[Spec Type2]]="N/A",Table1[[#This Row],[DUT Adj Read]]="N/A",Table1[[#This Row],[Std Adj Read]]="N/A"),"N/A",IF(Table1[[#This Row],[DUT Adj Read]]="N/A",IF(Table1[[#This Row],[Std Adj Read]]&gt;Table1[[#This Row],[Low Tol]],"Pass","Fail"),IF(Table1[[#This Row],[DUT Adj Read]]&gt;Table1[[#This Row],[Low Tol]],"Pass","Fail")))</f>
        <v>Pass</v>
      </c>
      <c r="AE1750" s="1" t="str">
        <f>IF(AND(Table1[[#This Row],[Spec Type2]]="N/A",Table1[[#This Row],[DUT Adj Read]]="N/A",Table1[[#This Row],[Std Adj Read]]="N/A"),"N/A",IF(Table1[[#This Row],[DUT Adj Read]]="N/A",IF(Table1[[#This Row],[Std Adj Read]]&lt;Table1[[#This Row],[High Tol]],"Pass","Fail"),IF(Table1[[#This Row],[DUT Adj Read]]&lt;Table1[[#This Row],[High Tol]],"Pass","Fail")))</f>
        <v>Fail</v>
      </c>
      <c r="AF1750" s="1" t="str">
        <f>IF(AND(Table1[[#This Row],[Spec Type2]]="N/A",Table1[[#This Row],[DUT Adj Read]]="N/A",Table1[[#This Row],[Std Adj Read]]="N/A"),"N/A",IF(Table1[[#This Row],[DUT Adj Read]]="N/A",IF(Table1[[#This Row],[Std Adj Read]]&gt;=Table1[[#This Row],[Low Tol]],"Pass","Fail"),IF(Table1[[#This Row],[DUT Adj Read]]&gt;=Table1[[#This Row],[Low Tol]],"Pass","Fail")))</f>
        <v>Pass</v>
      </c>
      <c r="AG1750" s="1" t="str">
        <f>IF(AND(Table1[[#This Row],[Spec Type2]]="N/A",Table1[[#This Row],[DUT Adj Read]]="N/A",Table1[[#This Row],[Std Adj Read]]="N/A"),"N/A",IF(Table1[[#This Row],[DUT Adj Read]]="N/A",IF(Table1[[#This Row],[Std Adj Read]]&lt;=Table1[[#This Row],[High Tol]],"Pass","Fail"),IF(Table1[[#This Row],[DUT Adj Read]]&lt;=Table1[[#This Row],[High Tol]],"Pass","Fail")))</f>
        <v>Fail</v>
      </c>
      <c r="AH17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0" s="1" t="b">
        <v>0</v>
      </c>
      <c r="AN1750" s="1" t="b">
        <v>0</v>
      </c>
      <c r="AO1750" s="1" t="b">
        <v>0</v>
      </c>
    </row>
    <row r="1751" spans="1:41" x14ac:dyDescent="0.25">
      <c r="A1751" s="10"/>
      <c r="B1751" s="10"/>
      <c r="C1751" s="10"/>
      <c r="D1751" s="10"/>
      <c r="E1751" s="10"/>
      <c r="F1751" s="10"/>
      <c r="G1751" s="10"/>
      <c r="H1751" s="10"/>
      <c r="I1751" s="1" t="str">
        <f t="shared" si="81"/>
        <v/>
      </c>
      <c r="J1751" s="1" t="s">
        <v>35</v>
      </c>
      <c r="K1751" s="1" t="str">
        <f t="shared" si="82"/>
        <v/>
      </c>
      <c r="L1751" s="1" t="str">
        <f t="shared" si="83"/>
        <v/>
      </c>
      <c r="M1751" s="1">
        <f>IF(OR(Table1[[#This Row],[Std Nom]]="",Table1[[#This Row],[Std Read]]=""),0,Table1[[#This Row],[Std Nom]]-Table1[[#This Row],[Std Read]])</f>
        <v>0</v>
      </c>
      <c r="N1751" s="1">
        <f>IF(Calculations!$F$5="ACCREDITED 17025 WITH UNCERTAINTIES",$N$10,0)</f>
        <v>0</v>
      </c>
      <c r="Q1751" s="1">
        <f>Table1[[#This Row],[High Tol]]-Table1[[#This Row],[Low Tol]]</f>
        <v>0</v>
      </c>
      <c r="R1751" s="1">
        <f>2*Table1[[#This Row],[Std Error]]</f>
        <v>0</v>
      </c>
      <c r="S1751" s="1" t="str">
        <f>IF(Table1[[#This Row],[High Tol]]="","N/A",IFERROR(ABS(Table1[[#This Row],[Tol Span]]/Table1[[#This Row],[Error Span]]),"N/A"))</f>
        <v>N/A</v>
      </c>
      <c r="T1751" s="1" t="str">
        <f>IF(OR(Table1[[#This Row],[Low Tol]]="",Table1[[#This Row],[High Tol]]=""),"Needs Analysis",IF(Table1[[#This Row],[Ratio]]&gt;=4,"Not Significant",IF(Table1[[#This Row],[Ratio]]&gt;=2,"Semi-Significant","Significant")))</f>
        <v>Needs Analysis</v>
      </c>
      <c r="W1751" s="1">
        <f>IF(Table1[[#This Row],[Cal Type]]&lt;&gt;"ACCREDITED 17025 WITH UNCERTAINTIES",0,"")</f>
        <v>0</v>
      </c>
      <c r="X1751" s="1" t="str">
        <f>IF(Table1[[#This Row],[DUT Read]]="","N/A",Table1[[#This Row],[Std Error]]+Table1[[#This Row],[DUT Read]]+Table1[[#This Row],[DUT Ucty]])</f>
        <v>N/A</v>
      </c>
      <c r="Y1751" s="1" t="str">
        <f>IF(Table1[[#This Row],[Std Read]]="","N/A",Table1[[#This Row],[Std Read]]+Table1[[#This Row],[Std Ucty]])</f>
        <v>N/A</v>
      </c>
      <c r="Z17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1" s="1" t="str">
        <f>IF(Table1[[#This Row],[Spec Type]]="","N/A",Table1[[#This Row],[Spec Type]])</f>
        <v>±</v>
      </c>
      <c r="AC1751" s="1" t="str">
        <f>IF(Table1[[#This Row],[Spec Type2]]="N/A","N/A",IF(AND(Table1[[#This Row],[DUT Adj Read]]&gt;=Table1[[#This Row],[Low Tol]],Table1[[#This Row],[DUT Adj Read]]&lt;=Table1[[#This Row],[High Tol]]),"Pass","Fail"))</f>
        <v>Fail</v>
      </c>
      <c r="AD1751" s="1" t="str">
        <f>IF(AND(Table1[[#This Row],[Spec Type2]]="N/A",Table1[[#This Row],[DUT Adj Read]]="N/A",Table1[[#This Row],[Std Adj Read]]="N/A"),"N/A",IF(Table1[[#This Row],[DUT Adj Read]]="N/A",IF(Table1[[#This Row],[Std Adj Read]]&gt;Table1[[#This Row],[Low Tol]],"Pass","Fail"),IF(Table1[[#This Row],[DUT Adj Read]]&gt;Table1[[#This Row],[Low Tol]],"Pass","Fail")))</f>
        <v>Pass</v>
      </c>
      <c r="AE1751" s="1" t="str">
        <f>IF(AND(Table1[[#This Row],[Spec Type2]]="N/A",Table1[[#This Row],[DUT Adj Read]]="N/A",Table1[[#This Row],[Std Adj Read]]="N/A"),"N/A",IF(Table1[[#This Row],[DUT Adj Read]]="N/A",IF(Table1[[#This Row],[Std Adj Read]]&lt;Table1[[#This Row],[High Tol]],"Pass","Fail"),IF(Table1[[#This Row],[DUT Adj Read]]&lt;Table1[[#This Row],[High Tol]],"Pass","Fail")))</f>
        <v>Fail</v>
      </c>
      <c r="AF1751" s="1" t="str">
        <f>IF(AND(Table1[[#This Row],[Spec Type2]]="N/A",Table1[[#This Row],[DUT Adj Read]]="N/A",Table1[[#This Row],[Std Adj Read]]="N/A"),"N/A",IF(Table1[[#This Row],[DUT Adj Read]]="N/A",IF(Table1[[#This Row],[Std Adj Read]]&gt;=Table1[[#This Row],[Low Tol]],"Pass","Fail"),IF(Table1[[#This Row],[DUT Adj Read]]&gt;=Table1[[#This Row],[Low Tol]],"Pass","Fail")))</f>
        <v>Pass</v>
      </c>
      <c r="AG1751" s="1" t="str">
        <f>IF(AND(Table1[[#This Row],[Spec Type2]]="N/A",Table1[[#This Row],[DUT Adj Read]]="N/A",Table1[[#This Row],[Std Adj Read]]="N/A"),"N/A",IF(Table1[[#This Row],[DUT Adj Read]]="N/A",IF(Table1[[#This Row],[Std Adj Read]]&lt;=Table1[[#This Row],[High Tol]],"Pass","Fail"),IF(Table1[[#This Row],[DUT Adj Read]]&lt;=Table1[[#This Row],[High Tol]],"Pass","Fail")))</f>
        <v>Fail</v>
      </c>
      <c r="AH17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1" s="1" t="b">
        <v>0</v>
      </c>
      <c r="AN1751" s="1" t="b">
        <v>0</v>
      </c>
      <c r="AO1751" s="1" t="b">
        <v>0</v>
      </c>
    </row>
    <row r="1752" spans="1:41" x14ac:dyDescent="0.25">
      <c r="A1752" s="10"/>
      <c r="B1752" s="10"/>
      <c r="C1752" s="10"/>
      <c r="D1752" s="10"/>
      <c r="E1752" s="10"/>
      <c r="F1752" s="10"/>
      <c r="G1752" s="10"/>
      <c r="H1752" s="10"/>
      <c r="I1752" s="1" t="str">
        <f t="shared" si="81"/>
        <v/>
      </c>
      <c r="J1752" s="1" t="s">
        <v>35</v>
      </c>
      <c r="K1752" s="1" t="str">
        <f t="shared" si="82"/>
        <v/>
      </c>
      <c r="L1752" s="1" t="str">
        <f t="shared" si="83"/>
        <v/>
      </c>
      <c r="M1752" s="1">
        <f>IF(OR(Table1[[#This Row],[Std Nom]]="",Table1[[#This Row],[Std Read]]=""),0,Table1[[#This Row],[Std Nom]]-Table1[[#This Row],[Std Read]])</f>
        <v>0</v>
      </c>
      <c r="N1752" s="1">
        <f>IF(Calculations!$F$5="ACCREDITED 17025 WITH UNCERTAINTIES",$N$10,0)</f>
        <v>0</v>
      </c>
      <c r="Q1752" s="1">
        <f>Table1[[#This Row],[High Tol]]-Table1[[#This Row],[Low Tol]]</f>
        <v>0</v>
      </c>
      <c r="R1752" s="1">
        <f>2*Table1[[#This Row],[Std Error]]</f>
        <v>0</v>
      </c>
      <c r="S1752" s="1" t="str">
        <f>IF(Table1[[#This Row],[High Tol]]="","N/A",IFERROR(ABS(Table1[[#This Row],[Tol Span]]/Table1[[#This Row],[Error Span]]),"N/A"))</f>
        <v>N/A</v>
      </c>
      <c r="T1752" s="1" t="str">
        <f>IF(OR(Table1[[#This Row],[Low Tol]]="",Table1[[#This Row],[High Tol]]=""),"Needs Analysis",IF(Table1[[#This Row],[Ratio]]&gt;=4,"Not Significant",IF(Table1[[#This Row],[Ratio]]&gt;=2,"Semi-Significant","Significant")))</f>
        <v>Needs Analysis</v>
      </c>
      <c r="W1752" s="1">
        <f>IF(Table1[[#This Row],[Cal Type]]&lt;&gt;"ACCREDITED 17025 WITH UNCERTAINTIES",0,"")</f>
        <v>0</v>
      </c>
      <c r="X1752" s="1" t="str">
        <f>IF(Table1[[#This Row],[DUT Read]]="","N/A",Table1[[#This Row],[Std Error]]+Table1[[#This Row],[DUT Read]]+Table1[[#This Row],[DUT Ucty]])</f>
        <v>N/A</v>
      </c>
      <c r="Y1752" s="1" t="str">
        <f>IF(Table1[[#This Row],[Std Read]]="","N/A",Table1[[#This Row],[Std Read]]+Table1[[#This Row],[Std Ucty]])</f>
        <v>N/A</v>
      </c>
      <c r="Z17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2" s="1" t="str">
        <f>IF(Table1[[#This Row],[Spec Type]]="","N/A",Table1[[#This Row],[Spec Type]])</f>
        <v>±</v>
      </c>
      <c r="AC1752" s="1" t="str">
        <f>IF(Table1[[#This Row],[Spec Type2]]="N/A","N/A",IF(AND(Table1[[#This Row],[DUT Adj Read]]&gt;=Table1[[#This Row],[Low Tol]],Table1[[#This Row],[DUT Adj Read]]&lt;=Table1[[#This Row],[High Tol]]),"Pass","Fail"))</f>
        <v>Fail</v>
      </c>
      <c r="AD1752" s="1" t="str">
        <f>IF(AND(Table1[[#This Row],[Spec Type2]]="N/A",Table1[[#This Row],[DUT Adj Read]]="N/A",Table1[[#This Row],[Std Adj Read]]="N/A"),"N/A",IF(Table1[[#This Row],[DUT Adj Read]]="N/A",IF(Table1[[#This Row],[Std Adj Read]]&gt;Table1[[#This Row],[Low Tol]],"Pass","Fail"),IF(Table1[[#This Row],[DUT Adj Read]]&gt;Table1[[#This Row],[Low Tol]],"Pass","Fail")))</f>
        <v>Pass</v>
      </c>
      <c r="AE1752" s="1" t="str">
        <f>IF(AND(Table1[[#This Row],[Spec Type2]]="N/A",Table1[[#This Row],[DUT Adj Read]]="N/A",Table1[[#This Row],[Std Adj Read]]="N/A"),"N/A",IF(Table1[[#This Row],[DUT Adj Read]]="N/A",IF(Table1[[#This Row],[Std Adj Read]]&lt;Table1[[#This Row],[High Tol]],"Pass","Fail"),IF(Table1[[#This Row],[DUT Adj Read]]&lt;Table1[[#This Row],[High Tol]],"Pass","Fail")))</f>
        <v>Fail</v>
      </c>
      <c r="AF1752" s="1" t="str">
        <f>IF(AND(Table1[[#This Row],[Spec Type2]]="N/A",Table1[[#This Row],[DUT Adj Read]]="N/A",Table1[[#This Row],[Std Adj Read]]="N/A"),"N/A",IF(Table1[[#This Row],[DUT Adj Read]]="N/A",IF(Table1[[#This Row],[Std Adj Read]]&gt;=Table1[[#This Row],[Low Tol]],"Pass","Fail"),IF(Table1[[#This Row],[DUT Adj Read]]&gt;=Table1[[#This Row],[Low Tol]],"Pass","Fail")))</f>
        <v>Pass</v>
      </c>
      <c r="AG1752" s="1" t="str">
        <f>IF(AND(Table1[[#This Row],[Spec Type2]]="N/A",Table1[[#This Row],[DUT Adj Read]]="N/A",Table1[[#This Row],[Std Adj Read]]="N/A"),"N/A",IF(Table1[[#This Row],[DUT Adj Read]]="N/A",IF(Table1[[#This Row],[Std Adj Read]]&lt;=Table1[[#This Row],[High Tol]],"Pass","Fail"),IF(Table1[[#This Row],[DUT Adj Read]]&lt;=Table1[[#This Row],[High Tol]],"Pass","Fail")))</f>
        <v>Fail</v>
      </c>
      <c r="AH17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2" s="1" t="b">
        <v>0</v>
      </c>
      <c r="AN1752" s="1" t="b">
        <v>0</v>
      </c>
      <c r="AO1752" s="1" t="b">
        <v>0</v>
      </c>
    </row>
    <row r="1753" spans="1:41" x14ac:dyDescent="0.25">
      <c r="A1753" s="10"/>
      <c r="B1753" s="10"/>
      <c r="C1753" s="10"/>
      <c r="D1753" s="10"/>
      <c r="E1753" s="10"/>
      <c r="F1753" s="10"/>
      <c r="G1753" s="10"/>
      <c r="H1753" s="10"/>
      <c r="I1753" s="1" t="str">
        <f t="shared" si="81"/>
        <v/>
      </c>
      <c r="J1753" s="1" t="s">
        <v>35</v>
      </c>
      <c r="K1753" s="1" t="str">
        <f t="shared" si="82"/>
        <v/>
      </c>
      <c r="L1753" s="1" t="str">
        <f t="shared" si="83"/>
        <v/>
      </c>
      <c r="M1753" s="1">
        <f>IF(OR(Table1[[#This Row],[Std Nom]]="",Table1[[#This Row],[Std Read]]=""),0,Table1[[#This Row],[Std Nom]]-Table1[[#This Row],[Std Read]])</f>
        <v>0</v>
      </c>
      <c r="N1753" s="1">
        <f>IF(Calculations!$F$5="ACCREDITED 17025 WITH UNCERTAINTIES",$N$10,0)</f>
        <v>0</v>
      </c>
      <c r="Q1753" s="1">
        <f>Table1[[#This Row],[High Tol]]-Table1[[#This Row],[Low Tol]]</f>
        <v>0</v>
      </c>
      <c r="R1753" s="1">
        <f>2*Table1[[#This Row],[Std Error]]</f>
        <v>0</v>
      </c>
      <c r="S1753" s="1" t="str">
        <f>IF(Table1[[#This Row],[High Tol]]="","N/A",IFERROR(ABS(Table1[[#This Row],[Tol Span]]/Table1[[#This Row],[Error Span]]),"N/A"))</f>
        <v>N/A</v>
      </c>
      <c r="T1753" s="1" t="str">
        <f>IF(OR(Table1[[#This Row],[Low Tol]]="",Table1[[#This Row],[High Tol]]=""),"Needs Analysis",IF(Table1[[#This Row],[Ratio]]&gt;=4,"Not Significant",IF(Table1[[#This Row],[Ratio]]&gt;=2,"Semi-Significant","Significant")))</f>
        <v>Needs Analysis</v>
      </c>
      <c r="W1753" s="1">
        <f>IF(Table1[[#This Row],[Cal Type]]&lt;&gt;"ACCREDITED 17025 WITH UNCERTAINTIES",0,"")</f>
        <v>0</v>
      </c>
      <c r="X1753" s="1" t="str">
        <f>IF(Table1[[#This Row],[DUT Read]]="","N/A",Table1[[#This Row],[Std Error]]+Table1[[#This Row],[DUT Read]]+Table1[[#This Row],[DUT Ucty]])</f>
        <v>N/A</v>
      </c>
      <c r="Y1753" s="1" t="str">
        <f>IF(Table1[[#This Row],[Std Read]]="","N/A",Table1[[#This Row],[Std Read]]+Table1[[#This Row],[Std Ucty]])</f>
        <v>N/A</v>
      </c>
      <c r="Z17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3" s="1" t="str">
        <f>IF(Table1[[#This Row],[Spec Type]]="","N/A",Table1[[#This Row],[Spec Type]])</f>
        <v>±</v>
      </c>
      <c r="AC1753" s="1" t="str">
        <f>IF(Table1[[#This Row],[Spec Type2]]="N/A","N/A",IF(AND(Table1[[#This Row],[DUT Adj Read]]&gt;=Table1[[#This Row],[Low Tol]],Table1[[#This Row],[DUT Adj Read]]&lt;=Table1[[#This Row],[High Tol]]),"Pass","Fail"))</f>
        <v>Fail</v>
      </c>
      <c r="AD1753" s="1" t="str">
        <f>IF(AND(Table1[[#This Row],[Spec Type2]]="N/A",Table1[[#This Row],[DUT Adj Read]]="N/A",Table1[[#This Row],[Std Adj Read]]="N/A"),"N/A",IF(Table1[[#This Row],[DUT Adj Read]]="N/A",IF(Table1[[#This Row],[Std Adj Read]]&gt;Table1[[#This Row],[Low Tol]],"Pass","Fail"),IF(Table1[[#This Row],[DUT Adj Read]]&gt;Table1[[#This Row],[Low Tol]],"Pass","Fail")))</f>
        <v>Pass</v>
      </c>
      <c r="AE1753" s="1" t="str">
        <f>IF(AND(Table1[[#This Row],[Spec Type2]]="N/A",Table1[[#This Row],[DUT Adj Read]]="N/A",Table1[[#This Row],[Std Adj Read]]="N/A"),"N/A",IF(Table1[[#This Row],[DUT Adj Read]]="N/A",IF(Table1[[#This Row],[Std Adj Read]]&lt;Table1[[#This Row],[High Tol]],"Pass","Fail"),IF(Table1[[#This Row],[DUT Adj Read]]&lt;Table1[[#This Row],[High Tol]],"Pass","Fail")))</f>
        <v>Fail</v>
      </c>
      <c r="AF1753" s="1" t="str">
        <f>IF(AND(Table1[[#This Row],[Spec Type2]]="N/A",Table1[[#This Row],[DUT Adj Read]]="N/A",Table1[[#This Row],[Std Adj Read]]="N/A"),"N/A",IF(Table1[[#This Row],[DUT Adj Read]]="N/A",IF(Table1[[#This Row],[Std Adj Read]]&gt;=Table1[[#This Row],[Low Tol]],"Pass","Fail"),IF(Table1[[#This Row],[DUT Adj Read]]&gt;=Table1[[#This Row],[Low Tol]],"Pass","Fail")))</f>
        <v>Pass</v>
      </c>
      <c r="AG1753" s="1" t="str">
        <f>IF(AND(Table1[[#This Row],[Spec Type2]]="N/A",Table1[[#This Row],[DUT Adj Read]]="N/A",Table1[[#This Row],[Std Adj Read]]="N/A"),"N/A",IF(Table1[[#This Row],[DUT Adj Read]]="N/A",IF(Table1[[#This Row],[Std Adj Read]]&lt;=Table1[[#This Row],[High Tol]],"Pass","Fail"),IF(Table1[[#This Row],[DUT Adj Read]]&lt;=Table1[[#This Row],[High Tol]],"Pass","Fail")))</f>
        <v>Fail</v>
      </c>
      <c r="AH17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3" s="1" t="b">
        <v>0</v>
      </c>
      <c r="AN1753" s="1" t="b">
        <v>0</v>
      </c>
      <c r="AO1753" s="1" t="b">
        <v>0</v>
      </c>
    </row>
    <row r="1754" spans="1:41" x14ac:dyDescent="0.25">
      <c r="A1754" s="10"/>
      <c r="B1754" s="10"/>
      <c r="C1754" s="10"/>
      <c r="D1754" s="10"/>
      <c r="E1754" s="10"/>
      <c r="F1754" s="10"/>
      <c r="G1754" s="10"/>
      <c r="H1754" s="10"/>
      <c r="I1754" s="1" t="str">
        <f t="shared" si="81"/>
        <v/>
      </c>
      <c r="J1754" s="1" t="s">
        <v>35</v>
      </c>
      <c r="K1754" s="1" t="str">
        <f t="shared" si="82"/>
        <v/>
      </c>
      <c r="L1754" s="1" t="str">
        <f t="shared" si="83"/>
        <v/>
      </c>
      <c r="M1754" s="1">
        <f>IF(OR(Table1[[#This Row],[Std Nom]]="",Table1[[#This Row],[Std Read]]=""),0,Table1[[#This Row],[Std Nom]]-Table1[[#This Row],[Std Read]])</f>
        <v>0</v>
      </c>
      <c r="N1754" s="1">
        <f>IF(Calculations!$F$5="ACCREDITED 17025 WITH UNCERTAINTIES",$N$10,0)</f>
        <v>0</v>
      </c>
      <c r="Q1754" s="1">
        <f>Table1[[#This Row],[High Tol]]-Table1[[#This Row],[Low Tol]]</f>
        <v>0</v>
      </c>
      <c r="R1754" s="1">
        <f>2*Table1[[#This Row],[Std Error]]</f>
        <v>0</v>
      </c>
      <c r="S1754" s="1" t="str">
        <f>IF(Table1[[#This Row],[High Tol]]="","N/A",IFERROR(ABS(Table1[[#This Row],[Tol Span]]/Table1[[#This Row],[Error Span]]),"N/A"))</f>
        <v>N/A</v>
      </c>
      <c r="T1754" s="1" t="str">
        <f>IF(OR(Table1[[#This Row],[Low Tol]]="",Table1[[#This Row],[High Tol]]=""),"Needs Analysis",IF(Table1[[#This Row],[Ratio]]&gt;=4,"Not Significant",IF(Table1[[#This Row],[Ratio]]&gt;=2,"Semi-Significant","Significant")))</f>
        <v>Needs Analysis</v>
      </c>
      <c r="W1754" s="1">
        <f>IF(Table1[[#This Row],[Cal Type]]&lt;&gt;"ACCREDITED 17025 WITH UNCERTAINTIES",0,"")</f>
        <v>0</v>
      </c>
      <c r="X1754" s="1" t="str">
        <f>IF(Table1[[#This Row],[DUT Read]]="","N/A",Table1[[#This Row],[Std Error]]+Table1[[#This Row],[DUT Read]]+Table1[[#This Row],[DUT Ucty]])</f>
        <v>N/A</v>
      </c>
      <c r="Y1754" s="1" t="str">
        <f>IF(Table1[[#This Row],[Std Read]]="","N/A",Table1[[#This Row],[Std Read]]+Table1[[#This Row],[Std Ucty]])</f>
        <v>N/A</v>
      </c>
      <c r="Z17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4" s="1" t="str">
        <f>IF(Table1[[#This Row],[Spec Type]]="","N/A",Table1[[#This Row],[Spec Type]])</f>
        <v>±</v>
      </c>
      <c r="AC1754" s="1" t="str">
        <f>IF(Table1[[#This Row],[Spec Type2]]="N/A","N/A",IF(AND(Table1[[#This Row],[DUT Adj Read]]&gt;=Table1[[#This Row],[Low Tol]],Table1[[#This Row],[DUT Adj Read]]&lt;=Table1[[#This Row],[High Tol]]),"Pass","Fail"))</f>
        <v>Fail</v>
      </c>
      <c r="AD1754" s="1" t="str">
        <f>IF(AND(Table1[[#This Row],[Spec Type2]]="N/A",Table1[[#This Row],[DUT Adj Read]]="N/A",Table1[[#This Row],[Std Adj Read]]="N/A"),"N/A",IF(Table1[[#This Row],[DUT Adj Read]]="N/A",IF(Table1[[#This Row],[Std Adj Read]]&gt;Table1[[#This Row],[Low Tol]],"Pass","Fail"),IF(Table1[[#This Row],[DUT Adj Read]]&gt;Table1[[#This Row],[Low Tol]],"Pass","Fail")))</f>
        <v>Pass</v>
      </c>
      <c r="AE1754" s="1" t="str">
        <f>IF(AND(Table1[[#This Row],[Spec Type2]]="N/A",Table1[[#This Row],[DUT Adj Read]]="N/A",Table1[[#This Row],[Std Adj Read]]="N/A"),"N/A",IF(Table1[[#This Row],[DUT Adj Read]]="N/A",IF(Table1[[#This Row],[Std Adj Read]]&lt;Table1[[#This Row],[High Tol]],"Pass","Fail"),IF(Table1[[#This Row],[DUT Adj Read]]&lt;Table1[[#This Row],[High Tol]],"Pass","Fail")))</f>
        <v>Fail</v>
      </c>
      <c r="AF1754" s="1" t="str">
        <f>IF(AND(Table1[[#This Row],[Spec Type2]]="N/A",Table1[[#This Row],[DUT Adj Read]]="N/A",Table1[[#This Row],[Std Adj Read]]="N/A"),"N/A",IF(Table1[[#This Row],[DUT Adj Read]]="N/A",IF(Table1[[#This Row],[Std Adj Read]]&gt;=Table1[[#This Row],[Low Tol]],"Pass","Fail"),IF(Table1[[#This Row],[DUT Adj Read]]&gt;=Table1[[#This Row],[Low Tol]],"Pass","Fail")))</f>
        <v>Pass</v>
      </c>
      <c r="AG1754" s="1" t="str">
        <f>IF(AND(Table1[[#This Row],[Spec Type2]]="N/A",Table1[[#This Row],[DUT Adj Read]]="N/A",Table1[[#This Row],[Std Adj Read]]="N/A"),"N/A",IF(Table1[[#This Row],[DUT Adj Read]]="N/A",IF(Table1[[#This Row],[Std Adj Read]]&lt;=Table1[[#This Row],[High Tol]],"Pass","Fail"),IF(Table1[[#This Row],[DUT Adj Read]]&lt;=Table1[[#This Row],[High Tol]],"Pass","Fail")))</f>
        <v>Fail</v>
      </c>
      <c r="AH17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4" s="1" t="b">
        <v>0</v>
      </c>
      <c r="AN1754" s="1" t="b">
        <v>0</v>
      </c>
      <c r="AO1754" s="1" t="b">
        <v>0</v>
      </c>
    </row>
    <row r="1755" spans="1:41" x14ac:dyDescent="0.25">
      <c r="A1755" s="10"/>
      <c r="B1755" s="10"/>
      <c r="C1755" s="10"/>
      <c r="D1755" s="10"/>
      <c r="E1755" s="10"/>
      <c r="F1755" s="10"/>
      <c r="G1755" s="10"/>
      <c r="H1755" s="10"/>
      <c r="I1755" s="1" t="str">
        <f t="shared" si="81"/>
        <v/>
      </c>
      <c r="J1755" s="1" t="s">
        <v>35</v>
      </c>
      <c r="K1755" s="1" t="str">
        <f t="shared" si="82"/>
        <v/>
      </c>
      <c r="L1755" s="1" t="str">
        <f t="shared" si="83"/>
        <v/>
      </c>
      <c r="M1755" s="1">
        <f>IF(OR(Table1[[#This Row],[Std Nom]]="",Table1[[#This Row],[Std Read]]=""),0,Table1[[#This Row],[Std Nom]]-Table1[[#This Row],[Std Read]])</f>
        <v>0</v>
      </c>
      <c r="N1755" s="1">
        <f>IF(Calculations!$F$5="ACCREDITED 17025 WITH UNCERTAINTIES",$N$10,0)</f>
        <v>0</v>
      </c>
      <c r="Q1755" s="1">
        <f>Table1[[#This Row],[High Tol]]-Table1[[#This Row],[Low Tol]]</f>
        <v>0</v>
      </c>
      <c r="R1755" s="1">
        <f>2*Table1[[#This Row],[Std Error]]</f>
        <v>0</v>
      </c>
      <c r="S1755" s="1" t="str">
        <f>IF(Table1[[#This Row],[High Tol]]="","N/A",IFERROR(ABS(Table1[[#This Row],[Tol Span]]/Table1[[#This Row],[Error Span]]),"N/A"))</f>
        <v>N/A</v>
      </c>
      <c r="T1755" s="1" t="str">
        <f>IF(OR(Table1[[#This Row],[Low Tol]]="",Table1[[#This Row],[High Tol]]=""),"Needs Analysis",IF(Table1[[#This Row],[Ratio]]&gt;=4,"Not Significant",IF(Table1[[#This Row],[Ratio]]&gt;=2,"Semi-Significant","Significant")))</f>
        <v>Needs Analysis</v>
      </c>
      <c r="W1755" s="1">
        <f>IF(Table1[[#This Row],[Cal Type]]&lt;&gt;"ACCREDITED 17025 WITH UNCERTAINTIES",0,"")</f>
        <v>0</v>
      </c>
      <c r="X1755" s="1" t="str">
        <f>IF(Table1[[#This Row],[DUT Read]]="","N/A",Table1[[#This Row],[Std Error]]+Table1[[#This Row],[DUT Read]]+Table1[[#This Row],[DUT Ucty]])</f>
        <v>N/A</v>
      </c>
      <c r="Y1755" s="1" t="str">
        <f>IF(Table1[[#This Row],[Std Read]]="","N/A",Table1[[#This Row],[Std Read]]+Table1[[#This Row],[Std Ucty]])</f>
        <v>N/A</v>
      </c>
      <c r="Z17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5" s="1" t="str">
        <f>IF(Table1[[#This Row],[Spec Type]]="","N/A",Table1[[#This Row],[Spec Type]])</f>
        <v>±</v>
      </c>
      <c r="AC1755" s="1" t="str">
        <f>IF(Table1[[#This Row],[Spec Type2]]="N/A","N/A",IF(AND(Table1[[#This Row],[DUT Adj Read]]&gt;=Table1[[#This Row],[Low Tol]],Table1[[#This Row],[DUT Adj Read]]&lt;=Table1[[#This Row],[High Tol]]),"Pass","Fail"))</f>
        <v>Fail</v>
      </c>
      <c r="AD1755" s="1" t="str">
        <f>IF(AND(Table1[[#This Row],[Spec Type2]]="N/A",Table1[[#This Row],[DUT Adj Read]]="N/A",Table1[[#This Row],[Std Adj Read]]="N/A"),"N/A",IF(Table1[[#This Row],[DUT Adj Read]]="N/A",IF(Table1[[#This Row],[Std Adj Read]]&gt;Table1[[#This Row],[Low Tol]],"Pass","Fail"),IF(Table1[[#This Row],[DUT Adj Read]]&gt;Table1[[#This Row],[Low Tol]],"Pass","Fail")))</f>
        <v>Pass</v>
      </c>
      <c r="AE1755" s="1" t="str">
        <f>IF(AND(Table1[[#This Row],[Spec Type2]]="N/A",Table1[[#This Row],[DUT Adj Read]]="N/A",Table1[[#This Row],[Std Adj Read]]="N/A"),"N/A",IF(Table1[[#This Row],[DUT Adj Read]]="N/A",IF(Table1[[#This Row],[Std Adj Read]]&lt;Table1[[#This Row],[High Tol]],"Pass","Fail"),IF(Table1[[#This Row],[DUT Adj Read]]&lt;Table1[[#This Row],[High Tol]],"Pass","Fail")))</f>
        <v>Fail</v>
      </c>
      <c r="AF1755" s="1" t="str">
        <f>IF(AND(Table1[[#This Row],[Spec Type2]]="N/A",Table1[[#This Row],[DUT Adj Read]]="N/A",Table1[[#This Row],[Std Adj Read]]="N/A"),"N/A",IF(Table1[[#This Row],[DUT Adj Read]]="N/A",IF(Table1[[#This Row],[Std Adj Read]]&gt;=Table1[[#This Row],[Low Tol]],"Pass","Fail"),IF(Table1[[#This Row],[DUT Adj Read]]&gt;=Table1[[#This Row],[Low Tol]],"Pass","Fail")))</f>
        <v>Pass</v>
      </c>
      <c r="AG1755" s="1" t="str">
        <f>IF(AND(Table1[[#This Row],[Spec Type2]]="N/A",Table1[[#This Row],[DUT Adj Read]]="N/A",Table1[[#This Row],[Std Adj Read]]="N/A"),"N/A",IF(Table1[[#This Row],[DUT Adj Read]]="N/A",IF(Table1[[#This Row],[Std Adj Read]]&lt;=Table1[[#This Row],[High Tol]],"Pass","Fail"),IF(Table1[[#This Row],[DUT Adj Read]]&lt;=Table1[[#This Row],[High Tol]],"Pass","Fail")))</f>
        <v>Fail</v>
      </c>
      <c r="AH17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5" s="1" t="b">
        <v>0</v>
      </c>
      <c r="AN1755" s="1" t="b">
        <v>0</v>
      </c>
      <c r="AO1755" s="1" t="b">
        <v>0</v>
      </c>
    </row>
    <row r="1756" spans="1:41" x14ac:dyDescent="0.25">
      <c r="A1756" s="10"/>
      <c r="B1756" s="10"/>
      <c r="C1756" s="10"/>
      <c r="D1756" s="10"/>
      <c r="E1756" s="10"/>
      <c r="F1756" s="10"/>
      <c r="G1756" s="10"/>
      <c r="H1756" s="10"/>
      <c r="I1756" s="1" t="str">
        <f t="shared" si="81"/>
        <v/>
      </c>
      <c r="J1756" s="1" t="s">
        <v>35</v>
      </c>
      <c r="K1756" s="1" t="str">
        <f t="shared" si="82"/>
        <v/>
      </c>
      <c r="L1756" s="1" t="str">
        <f t="shared" si="83"/>
        <v/>
      </c>
      <c r="M1756" s="1">
        <f>IF(OR(Table1[[#This Row],[Std Nom]]="",Table1[[#This Row],[Std Read]]=""),0,Table1[[#This Row],[Std Nom]]-Table1[[#This Row],[Std Read]])</f>
        <v>0</v>
      </c>
      <c r="N1756" s="1">
        <f>IF(Calculations!$F$5="ACCREDITED 17025 WITH UNCERTAINTIES",$N$10,0)</f>
        <v>0</v>
      </c>
      <c r="Q1756" s="1">
        <f>Table1[[#This Row],[High Tol]]-Table1[[#This Row],[Low Tol]]</f>
        <v>0</v>
      </c>
      <c r="R1756" s="1">
        <f>2*Table1[[#This Row],[Std Error]]</f>
        <v>0</v>
      </c>
      <c r="S1756" s="1" t="str">
        <f>IF(Table1[[#This Row],[High Tol]]="","N/A",IFERROR(ABS(Table1[[#This Row],[Tol Span]]/Table1[[#This Row],[Error Span]]),"N/A"))</f>
        <v>N/A</v>
      </c>
      <c r="T1756" s="1" t="str">
        <f>IF(OR(Table1[[#This Row],[Low Tol]]="",Table1[[#This Row],[High Tol]]=""),"Needs Analysis",IF(Table1[[#This Row],[Ratio]]&gt;=4,"Not Significant",IF(Table1[[#This Row],[Ratio]]&gt;=2,"Semi-Significant","Significant")))</f>
        <v>Needs Analysis</v>
      </c>
      <c r="W1756" s="1">
        <f>IF(Table1[[#This Row],[Cal Type]]&lt;&gt;"ACCREDITED 17025 WITH UNCERTAINTIES",0,"")</f>
        <v>0</v>
      </c>
      <c r="X1756" s="1" t="str">
        <f>IF(Table1[[#This Row],[DUT Read]]="","N/A",Table1[[#This Row],[Std Error]]+Table1[[#This Row],[DUT Read]]+Table1[[#This Row],[DUT Ucty]])</f>
        <v>N/A</v>
      </c>
      <c r="Y1756" s="1" t="str">
        <f>IF(Table1[[#This Row],[Std Read]]="","N/A",Table1[[#This Row],[Std Read]]+Table1[[#This Row],[Std Ucty]])</f>
        <v>N/A</v>
      </c>
      <c r="Z17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6" s="1" t="str">
        <f>IF(Table1[[#This Row],[Spec Type]]="","N/A",Table1[[#This Row],[Spec Type]])</f>
        <v>±</v>
      </c>
      <c r="AC1756" s="1" t="str">
        <f>IF(Table1[[#This Row],[Spec Type2]]="N/A","N/A",IF(AND(Table1[[#This Row],[DUT Adj Read]]&gt;=Table1[[#This Row],[Low Tol]],Table1[[#This Row],[DUT Adj Read]]&lt;=Table1[[#This Row],[High Tol]]),"Pass","Fail"))</f>
        <v>Fail</v>
      </c>
      <c r="AD1756" s="1" t="str">
        <f>IF(AND(Table1[[#This Row],[Spec Type2]]="N/A",Table1[[#This Row],[DUT Adj Read]]="N/A",Table1[[#This Row],[Std Adj Read]]="N/A"),"N/A",IF(Table1[[#This Row],[DUT Adj Read]]="N/A",IF(Table1[[#This Row],[Std Adj Read]]&gt;Table1[[#This Row],[Low Tol]],"Pass","Fail"),IF(Table1[[#This Row],[DUT Adj Read]]&gt;Table1[[#This Row],[Low Tol]],"Pass","Fail")))</f>
        <v>Pass</v>
      </c>
      <c r="AE1756" s="1" t="str">
        <f>IF(AND(Table1[[#This Row],[Spec Type2]]="N/A",Table1[[#This Row],[DUT Adj Read]]="N/A",Table1[[#This Row],[Std Adj Read]]="N/A"),"N/A",IF(Table1[[#This Row],[DUT Adj Read]]="N/A",IF(Table1[[#This Row],[Std Adj Read]]&lt;Table1[[#This Row],[High Tol]],"Pass","Fail"),IF(Table1[[#This Row],[DUT Adj Read]]&lt;Table1[[#This Row],[High Tol]],"Pass","Fail")))</f>
        <v>Fail</v>
      </c>
      <c r="AF1756" s="1" t="str">
        <f>IF(AND(Table1[[#This Row],[Spec Type2]]="N/A",Table1[[#This Row],[DUT Adj Read]]="N/A",Table1[[#This Row],[Std Adj Read]]="N/A"),"N/A",IF(Table1[[#This Row],[DUT Adj Read]]="N/A",IF(Table1[[#This Row],[Std Adj Read]]&gt;=Table1[[#This Row],[Low Tol]],"Pass","Fail"),IF(Table1[[#This Row],[DUT Adj Read]]&gt;=Table1[[#This Row],[Low Tol]],"Pass","Fail")))</f>
        <v>Pass</v>
      </c>
      <c r="AG1756" s="1" t="str">
        <f>IF(AND(Table1[[#This Row],[Spec Type2]]="N/A",Table1[[#This Row],[DUT Adj Read]]="N/A",Table1[[#This Row],[Std Adj Read]]="N/A"),"N/A",IF(Table1[[#This Row],[DUT Adj Read]]="N/A",IF(Table1[[#This Row],[Std Adj Read]]&lt;=Table1[[#This Row],[High Tol]],"Pass","Fail"),IF(Table1[[#This Row],[DUT Adj Read]]&lt;=Table1[[#This Row],[High Tol]],"Pass","Fail")))</f>
        <v>Fail</v>
      </c>
      <c r="AH17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6" s="1" t="b">
        <v>0</v>
      </c>
      <c r="AN1756" s="1" t="b">
        <v>0</v>
      </c>
      <c r="AO1756" s="1" t="b">
        <v>0</v>
      </c>
    </row>
    <row r="1757" spans="1:41" x14ac:dyDescent="0.25">
      <c r="A1757" s="10"/>
      <c r="B1757" s="10"/>
      <c r="C1757" s="10"/>
      <c r="D1757" s="10"/>
      <c r="E1757" s="10"/>
      <c r="F1757" s="10"/>
      <c r="G1757" s="10"/>
      <c r="H1757" s="10"/>
      <c r="I1757" s="1" t="str">
        <f t="shared" si="81"/>
        <v/>
      </c>
      <c r="J1757" s="1" t="s">
        <v>35</v>
      </c>
      <c r="K1757" s="1" t="str">
        <f t="shared" si="82"/>
        <v/>
      </c>
      <c r="L1757" s="1" t="str">
        <f t="shared" si="83"/>
        <v/>
      </c>
      <c r="M1757" s="1">
        <f>IF(OR(Table1[[#This Row],[Std Nom]]="",Table1[[#This Row],[Std Read]]=""),0,Table1[[#This Row],[Std Nom]]-Table1[[#This Row],[Std Read]])</f>
        <v>0</v>
      </c>
      <c r="N1757" s="1">
        <f>IF(Calculations!$F$5="ACCREDITED 17025 WITH UNCERTAINTIES",$N$10,0)</f>
        <v>0</v>
      </c>
      <c r="Q1757" s="1">
        <f>Table1[[#This Row],[High Tol]]-Table1[[#This Row],[Low Tol]]</f>
        <v>0</v>
      </c>
      <c r="R1757" s="1">
        <f>2*Table1[[#This Row],[Std Error]]</f>
        <v>0</v>
      </c>
      <c r="S1757" s="1" t="str">
        <f>IF(Table1[[#This Row],[High Tol]]="","N/A",IFERROR(ABS(Table1[[#This Row],[Tol Span]]/Table1[[#This Row],[Error Span]]),"N/A"))</f>
        <v>N/A</v>
      </c>
      <c r="T1757" s="1" t="str">
        <f>IF(OR(Table1[[#This Row],[Low Tol]]="",Table1[[#This Row],[High Tol]]=""),"Needs Analysis",IF(Table1[[#This Row],[Ratio]]&gt;=4,"Not Significant",IF(Table1[[#This Row],[Ratio]]&gt;=2,"Semi-Significant","Significant")))</f>
        <v>Needs Analysis</v>
      </c>
      <c r="W1757" s="1">
        <f>IF(Table1[[#This Row],[Cal Type]]&lt;&gt;"ACCREDITED 17025 WITH UNCERTAINTIES",0,"")</f>
        <v>0</v>
      </c>
      <c r="X1757" s="1" t="str">
        <f>IF(Table1[[#This Row],[DUT Read]]="","N/A",Table1[[#This Row],[Std Error]]+Table1[[#This Row],[DUT Read]]+Table1[[#This Row],[DUT Ucty]])</f>
        <v>N/A</v>
      </c>
      <c r="Y1757" s="1" t="str">
        <f>IF(Table1[[#This Row],[Std Read]]="","N/A",Table1[[#This Row],[Std Read]]+Table1[[#This Row],[Std Ucty]])</f>
        <v>N/A</v>
      </c>
      <c r="Z17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7" s="1" t="str">
        <f>IF(Table1[[#This Row],[Spec Type]]="","N/A",Table1[[#This Row],[Spec Type]])</f>
        <v>±</v>
      </c>
      <c r="AC1757" s="1" t="str">
        <f>IF(Table1[[#This Row],[Spec Type2]]="N/A","N/A",IF(AND(Table1[[#This Row],[DUT Adj Read]]&gt;=Table1[[#This Row],[Low Tol]],Table1[[#This Row],[DUT Adj Read]]&lt;=Table1[[#This Row],[High Tol]]),"Pass","Fail"))</f>
        <v>Fail</v>
      </c>
      <c r="AD1757" s="1" t="str">
        <f>IF(AND(Table1[[#This Row],[Spec Type2]]="N/A",Table1[[#This Row],[DUT Adj Read]]="N/A",Table1[[#This Row],[Std Adj Read]]="N/A"),"N/A",IF(Table1[[#This Row],[DUT Adj Read]]="N/A",IF(Table1[[#This Row],[Std Adj Read]]&gt;Table1[[#This Row],[Low Tol]],"Pass","Fail"),IF(Table1[[#This Row],[DUT Adj Read]]&gt;Table1[[#This Row],[Low Tol]],"Pass","Fail")))</f>
        <v>Pass</v>
      </c>
      <c r="AE1757" s="1" t="str">
        <f>IF(AND(Table1[[#This Row],[Spec Type2]]="N/A",Table1[[#This Row],[DUT Adj Read]]="N/A",Table1[[#This Row],[Std Adj Read]]="N/A"),"N/A",IF(Table1[[#This Row],[DUT Adj Read]]="N/A",IF(Table1[[#This Row],[Std Adj Read]]&lt;Table1[[#This Row],[High Tol]],"Pass","Fail"),IF(Table1[[#This Row],[DUT Adj Read]]&lt;Table1[[#This Row],[High Tol]],"Pass","Fail")))</f>
        <v>Fail</v>
      </c>
      <c r="AF1757" s="1" t="str">
        <f>IF(AND(Table1[[#This Row],[Spec Type2]]="N/A",Table1[[#This Row],[DUT Adj Read]]="N/A",Table1[[#This Row],[Std Adj Read]]="N/A"),"N/A",IF(Table1[[#This Row],[DUT Adj Read]]="N/A",IF(Table1[[#This Row],[Std Adj Read]]&gt;=Table1[[#This Row],[Low Tol]],"Pass","Fail"),IF(Table1[[#This Row],[DUT Adj Read]]&gt;=Table1[[#This Row],[Low Tol]],"Pass","Fail")))</f>
        <v>Pass</v>
      </c>
      <c r="AG1757" s="1" t="str">
        <f>IF(AND(Table1[[#This Row],[Spec Type2]]="N/A",Table1[[#This Row],[DUT Adj Read]]="N/A",Table1[[#This Row],[Std Adj Read]]="N/A"),"N/A",IF(Table1[[#This Row],[DUT Adj Read]]="N/A",IF(Table1[[#This Row],[Std Adj Read]]&lt;=Table1[[#This Row],[High Tol]],"Pass","Fail"),IF(Table1[[#This Row],[DUT Adj Read]]&lt;=Table1[[#This Row],[High Tol]],"Pass","Fail")))</f>
        <v>Fail</v>
      </c>
      <c r="AH17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7" s="1" t="b">
        <v>0</v>
      </c>
      <c r="AN1757" s="1" t="b">
        <v>0</v>
      </c>
      <c r="AO1757" s="1" t="b">
        <v>0</v>
      </c>
    </row>
    <row r="1758" spans="1:41" x14ac:dyDescent="0.25">
      <c r="A1758" s="10"/>
      <c r="B1758" s="10"/>
      <c r="C1758" s="10"/>
      <c r="D1758" s="10"/>
      <c r="E1758" s="10"/>
      <c r="F1758" s="10"/>
      <c r="G1758" s="10"/>
      <c r="H1758" s="10"/>
      <c r="I1758" s="1" t="str">
        <f t="shared" si="81"/>
        <v/>
      </c>
      <c r="J1758" s="1" t="s">
        <v>35</v>
      </c>
      <c r="K1758" s="1" t="str">
        <f t="shared" si="82"/>
        <v/>
      </c>
      <c r="L1758" s="1" t="str">
        <f t="shared" si="83"/>
        <v/>
      </c>
      <c r="M1758" s="1">
        <f>IF(OR(Table1[[#This Row],[Std Nom]]="",Table1[[#This Row],[Std Read]]=""),0,Table1[[#This Row],[Std Nom]]-Table1[[#This Row],[Std Read]])</f>
        <v>0</v>
      </c>
      <c r="N1758" s="1">
        <f>IF(Calculations!$F$5="ACCREDITED 17025 WITH UNCERTAINTIES",$N$10,0)</f>
        <v>0</v>
      </c>
      <c r="Q1758" s="1">
        <f>Table1[[#This Row],[High Tol]]-Table1[[#This Row],[Low Tol]]</f>
        <v>0</v>
      </c>
      <c r="R1758" s="1">
        <f>2*Table1[[#This Row],[Std Error]]</f>
        <v>0</v>
      </c>
      <c r="S1758" s="1" t="str">
        <f>IF(Table1[[#This Row],[High Tol]]="","N/A",IFERROR(ABS(Table1[[#This Row],[Tol Span]]/Table1[[#This Row],[Error Span]]),"N/A"))</f>
        <v>N/A</v>
      </c>
      <c r="T1758" s="1" t="str">
        <f>IF(OR(Table1[[#This Row],[Low Tol]]="",Table1[[#This Row],[High Tol]]=""),"Needs Analysis",IF(Table1[[#This Row],[Ratio]]&gt;=4,"Not Significant",IF(Table1[[#This Row],[Ratio]]&gt;=2,"Semi-Significant","Significant")))</f>
        <v>Needs Analysis</v>
      </c>
      <c r="W1758" s="1">
        <f>IF(Table1[[#This Row],[Cal Type]]&lt;&gt;"ACCREDITED 17025 WITH UNCERTAINTIES",0,"")</f>
        <v>0</v>
      </c>
      <c r="X1758" s="1" t="str">
        <f>IF(Table1[[#This Row],[DUT Read]]="","N/A",Table1[[#This Row],[Std Error]]+Table1[[#This Row],[DUT Read]]+Table1[[#This Row],[DUT Ucty]])</f>
        <v>N/A</v>
      </c>
      <c r="Y1758" s="1" t="str">
        <f>IF(Table1[[#This Row],[Std Read]]="","N/A",Table1[[#This Row],[Std Read]]+Table1[[#This Row],[Std Ucty]])</f>
        <v>N/A</v>
      </c>
      <c r="Z17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8" s="1" t="str">
        <f>IF(Table1[[#This Row],[Spec Type]]="","N/A",Table1[[#This Row],[Spec Type]])</f>
        <v>±</v>
      </c>
      <c r="AC1758" s="1" t="str">
        <f>IF(Table1[[#This Row],[Spec Type2]]="N/A","N/A",IF(AND(Table1[[#This Row],[DUT Adj Read]]&gt;=Table1[[#This Row],[Low Tol]],Table1[[#This Row],[DUT Adj Read]]&lt;=Table1[[#This Row],[High Tol]]),"Pass","Fail"))</f>
        <v>Fail</v>
      </c>
      <c r="AD1758" s="1" t="str">
        <f>IF(AND(Table1[[#This Row],[Spec Type2]]="N/A",Table1[[#This Row],[DUT Adj Read]]="N/A",Table1[[#This Row],[Std Adj Read]]="N/A"),"N/A",IF(Table1[[#This Row],[DUT Adj Read]]="N/A",IF(Table1[[#This Row],[Std Adj Read]]&gt;Table1[[#This Row],[Low Tol]],"Pass","Fail"),IF(Table1[[#This Row],[DUT Adj Read]]&gt;Table1[[#This Row],[Low Tol]],"Pass","Fail")))</f>
        <v>Pass</v>
      </c>
      <c r="AE1758" s="1" t="str">
        <f>IF(AND(Table1[[#This Row],[Spec Type2]]="N/A",Table1[[#This Row],[DUT Adj Read]]="N/A",Table1[[#This Row],[Std Adj Read]]="N/A"),"N/A",IF(Table1[[#This Row],[DUT Adj Read]]="N/A",IF(Table1[[#This Row],[Std Adj Read]]&lt;Table1[[#This Row],[High Tol]],"Pass","Fail"),IF(Table1[[#This Row],[DUT Adj Read]]&lt;Table1[[#This Row],[High Tol]],"Pass","Fail")))</f>
        <v>Fail</v>
      </c>
      <c r="AF1758" s="1" t="str">
        <f>IF(AND(Table1[[#This Row],[Spec Type2]]="N/A",Table1[[#This Row],[DUT Adj Read]]="N/A",Table1[[#This Row],[Std Adj Read]]="N/A"),"N/A",IF(Table1[[#This Row],[DUT Adj Read]]="N/A",IF(Table1[[#This Row],[Std Adj Read]]&gt;=Table1[[#This Row],[Low Tol]],"Pass","Fail"),IF(Table1[[#This Row],[DUT Adj Read]]&gt;=Table1[[#This Row],[Low Tol]],"Pass","Fail")))</f>
        <v>Pass</v>
      </c>
      <c r="AG1758" s="1" t="str">
        <f>IF(AND(Table1[[#This Row],[Spec Type2]]="N/A",Table1[[#This Row],[DUT Adj Read]]="N/A",Table1[[#This Row],[Std Adj Read]]="N/A"),"N/A",IF(Table1[[#This Row],[DUT Adj Read]]="N/A",IF(Table1[[#This Row],[Std Adj Read]]&lt;=Table1[[#This Row],[High Tol]],"Pass","Fail"),IF(Table1[[#This Row],[DUT Adj Read]]&lt;=Table1[[#This Row],[High Tol]],"Pass","Fail")))</f>
        <v>Fail</v>
      </c>
      <c r="AH17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8" s="1" t="b">
        <v>0</v>
      </c>
      <c r="AN1758" s="1" t="b">
        <v>0</v>
      </c>
      <c r="AO1758" s="1" t="b">
        <v>0</v>
      </c>
    </row>
    <row r="1759" spans="1:41" x14ac:dyDescent="0.25">
      <c r="A1759" s="10"/>
      <c r="B1759" s="10"/>
      <c r="C1759" s="10"/>
      <c r="D1759" s="10"/>
      <c r="E1759" s="10"/>
      <c r="F1759" s="10"/>
      <c r="G1759" s="10"/>
      <c r="H1759" s="10"/>
      <c r="I1759" s="1" t="str">
        <f t="shared" si="81"/>
        <v/>
      </c>
      <c r="J1759" s="1" t="s">
        <v>35</v>
      </c>
      <c r="K1759" s="1" t="str">
        <f t="shared" si="82"/>
        <v/>
      </c>
      <c r="L1759" s="1" t="str">
        <f t="shared" si="83"/>
        <v/>
      </c>
      <c r="M1759" s="1">
        <f>IF(OR(Table1[[#This Row],[Std Nom]]="",Table1[[#This Row],[Std Read]]=""),0,Table1[[#This Row],[Std Nom]]-Table1[[#This Row],[Std Read]])</f>
        <v>0</v>
      </c>
      <c r="N1759" s="1">
        <f>IF(Calculations!$F$5="ACCREDITED 17025 WITH UNCERTAINTIES",$N$10,0)</f>
        <v>0</v>
      </c>
      <c r="Q1759" s="1">
        <f>Table1[[#This Row],[High Tol]]-Table1[[#This Row],[Low Tol]]</f>
        <v>0</v>
      </c>
      <c r="R1759" s="1">
        <f>2*Table1[[#This Row],[Std Error]]</f>
        <v>0</v>
      </c>
      <c r="S1759" s="1" t="str">
        <f>IF(Table1[[#This Row],[High Tol]]="","N/A",IFERROR(ABS(Table1[[#This Row],[Tol Span]]/Table1[[#This Row],[Error Span]]),"N/A"))</f>
        <v>N/A</v>
      </c>
      <c r="T1759" s="1" t="str">
        <f>IF(OR(Table1[[#This Row],[Low Tol]]="",Table1[[#This Row],[High Tol]]=""),"Needs Analysis",IF(Table1[[#This Row],[Ratio]]&gt;=4,"Not Significant",IF(Table1[[#This Row],[Ratio]]&gt;=2,"Semi-Significant","Significant")))</f>
        <v>Needs Analysis</v>
      </c>
      <c r="W1759" s="1">
        <f>IF(Table1[[#This Row],[Cal Type]]&lt;&gt;"ACCREDITED 17025 WITH UNCERTAINTIES",0,"")</f>
        <v>0</v>
      </c>
      <c r="X1759" s="1" t="str">
        <f>IF(Table1[[#This Row],[DUT Read]]="","N/A",Table1[[#This Row],[Std Error]]+Table1[[#This Row],[DUT Read]]+Table1[[#This Row],[DUT Ucty]])</f>
        <v>N/A</v>
      </c>
      <c r="Y1759" s="1" t="str">
        <f>IF(Table1[[#This Row],[Std Read]]="","N/A",Table1[[#This Row],[Std Read]]+Table1[[#This Row],[Std Ucty]])</f>
        <v>N/A</v>
      </c>
      <c r="Z17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59" s="1" t="str">
        <f>IF(Table1[[#This Row],[Spec Type]]="","N/A",Table1[[#This Row],[Spec Type]])</f>
        <v>±</v>
      </c>
      <c r="AC1759" s="1" t="str">
        <f>IF(Table1[[#This Row],[Spec Type2]]="N/A","N/A",IF(AND(Table1[[#This Row],[DUT Adj Read]]&gt;=Table1[[#This Row],[Low Tol]],Table1[[#This Row],[DUT Adj Read]]&lt;=Table1[[#This Row],[High Tol]]),"Pass","Fail"))</f>
        <v>Fail</v>
      </c>
      <c r="AD1759" s="1" t="str">
        <f>IF(AND(Table1[[#This Row],[Spec Type2]]="N/A",Table1[[#This Row],[DUT Adj Read]]="N/A",Table1[[#This Row],[Std Adj Read]]="N/A"),"N/A",IF(Table1[[#This Row],[DUT Adj Read]]="N/A",IF(Table1[[#This Row],[Std Adj Read]]&gt;Table1[[#This Row],[Low Tol]],"Pass","Fail"),IF(Table1[[#This Row],[DUT Adj Read]]&gt;Table1[[#This Row],[Low Tol]],"Pass","Fail")))</f>
        <v>Pass</v>
      </c>
      <c r="AE1759" s="1" t="str">
        <f>IF(AND(Table1[[#This Row],[Spec Type2]]="N/A",Table1[[#This Row],[DUT Adj Read]]="N/A",Table1[[#This Row],[Std Adj Read]]="N/A"),"N/A",IF(Table1[[#This Row],[DUT Adj Read]]="N/A",IF(Table1[[#This Row],[Std Adj Read]]&lt;Table1[[#This Row],[High Tol]],"Pass","Fail"),IF(Table1[[#This Row],[DUT Adj Read]]&lt;Table1[[#This Row],[High Tol]],"Pass","Fail")))</f>
        <v>Fail</v>
      </c>
      <c r="AF1759" s="1" t="str">
        <f>IF(AND(Table1[[#This Row],[Spec Type2]]="N/A",Table1[[#This Row],[DUT Adj Read]]="N/A",Table1[[#This Row],[Std Adj Read]]="N/A"),"N/A",IF(Table1[[#This Row],[DUT Adj Read]]="N/A",IF(Table1[[#This Row],[Std Adj Read]]&gt;=Table1[[#This Row],[Low Tol]],"Pass","Fail"),IF(Table1[[#This Row],[DUT Adj Read]]&gt;=Table1[[#This Row],[Low Tol]],"Pass","Fail")))</f>
        <v>Pass</v>
      </c>
      <c r="AG1759" s="1" t="str">
        <f>IF(AND(Table1[[#This Row],[Spec Type2]]="N/A",Table1[[#This Row],[DUT Adj Read]]="N/A",Table1[[#This Row],[Std Adj Read]]="N/A"),"N/A",IF(Table1[[#This Row],[DUT Adj Read]]="N/A",IF(Table1[[#This Row],[Std Adj Read]]&lt;=Table1[[#This Row],[High Tol]],"Pass","Fail"),IF(Table1[[#This Row],[DUT Adj Read]]&lt;=Table1[[#This Row],[High Tol]],"Pass","Fail")))</f>
        <v>Fail</v>
      </c>
      <c r="AH17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59" s="1" t="b">
        <v>0</v>
      </c>
      <c r="AN1759" s="1" t="b">
        <v>0</v>
      </c>
      <c r="AO1759" s="1" t="b">
        <v>0</v>
      </c>
    </row>
    <row r="1760" spans="1:41" x14ac:dyDescent="0.25">
      <c r="A1760" s="10"/>
      <c r="B1760" s="10"/>
      <c r="C1760" s="10"/>
      <c r="D1760" s="10"/>
      <c r="E1760" s="10"/>
      <c r="F1760" s="10"/>
      <c r="G1760" s="10"/>
      <c r="H1760" s="10"/>
      <c r="I1760" s="1" t="str">
        <f t="shared" si="81"/>
        <v/>
      </c>
      <c r="J1760" s="1" t="s">
        <v>35</v>
      </c>
      <c r="K1760" s="1" t="str">
        <f t="shared" si="82"/>
        <v/>
      </c>
      <c r="L1760" s="1" t="str">
        <f t="shared" si="83"/>
        <v/>
      </c>
      <c r="M1760" s="1">
        <f>IF(OR(Table1[[#This Row],[Std Nom]]="",Table1[[#This Row],[Std Read]]=""),0,Table1[[#This Row],[Std Nom]]-Table1[[#This Row],[Std Read]])</f>
        <v>0</v>
      </c>
      <c r="N1760" s="1">
        <f>IF(Calculations!$F$5="ACCREDITED 17025 WITH UNCERTAINTIES",$N$10,0)</f>
        <v>0</v>
      </c>
      <c r="Q1760" s="1">
        <f>Table1[[#This Row],[High Tol]]-Table1[[#This Row],[Low Tol]]</f>
        <v>0</v>
      </c>
      <c r="R1760" s="1">
        <f>2*Table1[[#This Row],[Std Error]]</f>
        <v>0</v>
      </c>
      <c r="S1760" s="1" t="str">
        <f>IF(Table1[[#This Row],[High Tol]]="","N/A",IFERROR(ABS(Table1[[#This Row],[Tol Span]]/Table1[[#This Row],[Error Span]]),"N/A"))</f>
        <v>N/A</v>
      </c>
      <c r="T1760" s="1" t="str">
        <f>IF(OR(Table1[[#This Row],[Low Tol]]="",Table1[[#This Row],[High Tol]]=""),"Needs Analysis",IF(Table1[[#This Row],[Ratio]]&gt;=4,"Not Significant",IF(Table1[[#This Row],[Ratio]]&gt;=2,"Semi-Significant","Significant")))</f>
        <v>Needs Analysis</v>
      </c>
      <c r="W1760" s="1">
        <f>IF(Table1[[#This Row],[Cal Type]]&lt;&gt;"ACCREDITED 17025 WITH UNCERTAINTIES",0,"")</f>
        <v>0</v>
      </c>
      <c r="X1760" s="1" t="str">
        <f>IF(Table1[[#This Row],[DUT Read]]="","N/A",Table1[[#This Row],[Std Error]]+Table1[[#This Row],[DUT Read]]+Table1[[#This Row],[DUT Ucty]])</f>
        <v>N/A</v>
      </c>
      <c r="Y1760" s="1" t="str">
        <f>IF(Table1[[#This Row],[Std Read]]="","N/A",Table1[[#This Row],[Std Read]]+Table1[[#This Row],[Std Ucty]])</f>
        <v>N/A</v>
      </c>
      <c r="Z17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0" s="1" t="str">
        <f>IF(Table1[[#This Row],[Spec Type]]="","N/A",Table1[[#This Row],[Spec Type]])</f>
        <v>±</v>
      </c>
      <c r="AC1760" s="1" t="str">
        <f>IF(Table1[[#This Row],[Spec Type2]]="N/A","N/A",IF(AND(Table1[[#This Row],[DUT Adj Read]]&gt;=Table1[[#This Row],[Low Tol]],Table1[[#This Row],[DUT Adj Read]]&lt;=Table1[[#This Row],[High Tol]]),"Pass","Fail"))</f>
        <v>Fail</v>
      </c>
      <c r="AD1760" s="1" t="str">
        <f>IF(AND(Table1[[#This Row],[Spec Type2]]="N/A",Table1[[#This Row],[DUT Adj Read]]="N/A",Table1[[#This Row],[Std Adj Read]]="N/A"),"N/A",IF(Table1[[#This Row],[DUT Adj Read]]="N/A",IF(Table1[[#This Row],[Std Adj Read]]&gt;Table1[[#This Row],[Low Tol]],"Pass","Fail"),IF(Table1[[#This Row],[DUT Adj Read]]&gt;Table1[[#This Row],[Low Tol]],"Pass","Fail")))</f>
        <v>Pass</v>
      </c>
      <c r="AE1760" s="1" t="str">
        <f>IF(AND(Table1[[#This Row],[Spec Type2]]="N/A",Table1[[#This Row],[DUT Adj Read]]="N/A",Table1[[#This Row],[Std Adj Read]]="N/A"),"N/A",IF(Table1[[#This Row],[DUT Adj Read]]="N/A",IF(Table1[[#This Row],[Std Adj Read]]&lt;Table1[[#This Row],[High Tol]],"Pass","Fail"),IF(Table1[[#This Row],[DUT Adj Read]]&lt;Table1[[#This Row],[High Tol]],"Pass","Fail")))</f>
        <v>Fail</v>
      </c>
      <c r="AF1760" s="1" t="str">
        <f>IF(AND(Table1[[#This Row],[Spec Type2]]="N/A",Table1[[#This Row],[DUT Adj Read]]="N/A",Table1[[#This Row],[Std Adj Read]]="N/A"),"N/A",IF(Table1[[#This Row],[DUT Adj Read]]="N/A",IF(Table1[[#This Row],[Std Adj Read]]&gt;=Table1[[#This Row],[Low Tol]],"Pass","Fail"),IF(Table1[[#This Row],[DUT Adj Read]]&gt;=Table1[[#This Row],[Low Tol]],"Pass","Fail")))</f>
        <v>Pass</v>
      </c>
      <c r="AG1760" s="1" t="str">
        <f>IF(AND(Table1[[#This Row],[Spec Type2]]="N/A",Table1[[#This Row],[DUT Adj Read]]="N/A",Table1[[#This Row],[Std Adj Read]]="N/A"),"N/A",IF(Table1[[#This Row],[DUT Adj Read]]="N/A",IF(Table1[[#This Row],[Std Adj Read]]&lt;=Table1[[#This Row],[High Tol]],"Pass","Fail"),IF(Table1[[#This Row],[DUT Adj Read]]&lt;=Table1[[#This Row],[High Tol]],"Pass","Fail")))</f>
        <v>Fail</v>
      </c>
      <c r="AH17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0" s="1" t="b">
        <v>0</v>
      </c>
      <c r="AN1760" s="1" t="b">
        <v>0</v>
      </c>
      <c r="AO1760" s="1" t="b">
        <v>0</v>
      </c>
    </row>
    <row r="1761" spans="1:41" x14ac:dyDescent="0.25">
      <c r="A1761" s="10"/>
      <c r="B1761" s="10"/>
      <c r="C1761" s="10"/>
      <c r="D1761" s="10"/>
      <c r="E1761" s="10"/>
      <c r="F1761" s="10"/>
      <c r="G1761" s="10"/>
      <c r="H1761" s="10"/>
      <c r="I1761" s="1" t="str">
        <f t="shared" si="81"/>
        <v/>
      </c>
      <c r="J1761" s="1" t="s">
        <v>35</v>
      </c>
      <c r="K1761" s="1" t="str">
        <f t="shared" si="82"/>
        <v/>
      </c>
      <c r="L1761" s="1" t="str">
        <f t="shared" si="83"/>
        <v/>
      </c>
      <c r="M1761" s="1">
        <f>IF(OR(Table1[[#This Row],[Std Nom]]="",Table1[[#This Row],[Std Read]]=""),0,Table1[[#This Row],[Std Nom]]-Table1[[#This Row],[Std Read]])</f>
        <v>0</v>
      </c>
      <c r="N1761" s="1">
        <f>IF(Calculations!$F$5="ACCREDITED 17025 WITH UNCERTAINTIES",$N$10,0)</f>
        <v>0</v>
      </c>
      <c r="Q1761" s="1">
        <f>Table1[[#This Row],[High Tol]]-Table1[[#This Row],[Low Tol]]</f>
        <v>0</v>
      </c>
      <c r="R1761" s="1">
        <f>2*Table1[[#This Row],[Std Error]]</f>
        <v>0</v>
      </c>
      <c r="S1761" s="1" t="str">
        <f>IF(Table1[[#This Row],[High Tol]]="","N/A",IFERROR(ABS(Table1[[#This Row],[Tol Span]]/Table1[[#This Row],[Error Span]]),"N/A"))</f>
        <v>N/A</v>
      </c>
      <c r="T1761" s="1" t="str">
        <f>IF(OR(Table1[[#This Row],[Low Tol]]="",Table1[[#This Row],[High Tol]]=""),"Needs Analysis",IF(Table1[[#This Row],[Ratio]]&gt;=4,"Not Significant",IF(Table1[[#This Row],[Ratio]]&gt;=2,"Semi-Significant","Significant")))</f>
        <v>Needs Analysis</v>
      </c>
      <c r="W1761" s="1">
        <f>IF(Table1[[#This Row],[Cal Type]]&lt;&gt;"ACCREDITED 17025 WITH UNCERTAINTIES",0,"")</f>
        <v>0</v>
      </c>
      <c r="X1761" s="1" t="str">
        <f>IF(Table1[[#This Row],[DUT Read]]="","N/A",Table1[[#This Row],[Std Error]]+Table1[[#This Row],[DUT Read]]+Table1[[#This Row],[DUT Ucty]])</f>
        <v>N/A</v>
      </c>
      <c r="Y1761" s="1" t="str">
        <f>IF(Table1[[#This Row],[Std Read]]="","N/A",Table1[[#This Row],[Std Read]]+Table1[[#This Row],[Std Ucty]])</f>
        <v>N/A</v>
      </c>
      <c r="Z17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1" s="1" t="str">
        <f>IF(Table1[[#This Row],[Spec Type]]="","N/A",Table1[[#This Row],[Spec Type]])</f>
        <v>±</v>
      </c>
      <c r="AC1761" s="1" t="str">
        <f>IF(Table1[[#This Row],[Spec Type2]]="N/A","N/A",IF(AND(Table1[[#This Row],[DUT Adj Read]]&gt;=Table1[[#This Row],[Low Tol]],Table1[[#This Row],[DUT Adj Read]]&lt;=Table1[[#This Row],[High Tol]]),"Pass","Fail"))</f>
        <v>Fail</v>
      </c>
      <c r="AD1761" s="1" t="str">
        <f>IF(AND(Table1[[#This Row],[Spec Type2]]="N/A",Table1[[#This Row],[DUT Adj Read]]="N/A",Table1[[#This Row],[Std Adj Read]]="N/A"),"N/A",IF(Table1[[#This Row],[DUT Adj Read]]="N/A",IF(Table1[[#This Row],[Std Adj Read]]&gt;Table1[[#This Row],[Low Tol]],"Pass","Fail"),IF(Table1[[#This Row],[DUT Adj Read]]&gt;Table1[[#This Row],[Low Tol]],"Pass","Fail")))</f>
        <v>Pass</v>
      </c>
      <c r="AE1761" s="1" t="str">
        <f>IF(AND(Table1[[#This Row],[Spec Type2]]="N/A",Table1[[#This Row],[DUT Adj Read]]="N/A",Table1[[#This Row],[Std Adj Read]]="N/A"),"N/A",IF(Table1[[#This Row],[DUT Adj Read]]="N/A",IF(Table1[[#This Row],[Std Adj Read]]&lt;Table1[[#This Row],[High Tol]],"Pass","Fail"),IF(Table1[[#This Row],[DUT Adj Read]]&lt;Table1[[#This Row],[High Tol]],"Pass","Fail")))</f>
        <v>Fail</v>
      </c>
      <c r="AF1761" s="1" t="str">
        <f>IF(AND(Table1[[#This Row],[Spec Type2]]="N/A",Table1[[#This Row],[DUT Adj Read]]="N/A",Table1[[#This Row],[Std Adj Read]]="N/A"),"N/A",IF(Table1[[#This Row],[DUT Adj Read]]="N/A",IF(Table1[[#This Row],[Std Adj Read]]&gt;=Table1[[#This Row],[Low Tol]],"Pass","Fail"),IF(Table1[[#This Row],[DUT Adj Read]]&gt;=Table1[[#This Row],[Low Tol]],"Pass","Fail")))</f>
        <v>Pass</v>
      </c>
      <c r="AG1761" s="1" t="str">
        <f>IF(AND(Table1[[#This Row],[Spec Type2]]="N/A",Table1[[#This Row],[DUT Adj Read]]="N/A",Table1[[#This Row],[Std Adj Read]]="N/A"),"N/A",IF(Table1[[#This Row],[DUT Adj Read]]="N/A",IF(Table1[[#This Row],[Std Adj Read]]&lt;=Table1[[#This Row],[High Tol]],"Pass","Fail"),IF(Table1[[#This Row],[DUT Adj Read]]&lt;=Table1[[#This Row],[High Tol]],"Pass","Fail")))</f>
        <v>Fail</v>
      </c>
      <c r="AH17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1" s="1" t="b">
        <v>0</v>
      </c>
      <c r="AN1761" s="1" t="b">
        <v>0</v>
      </c>
      <c r="AO1761" s="1" t="b">
        <v>0</v>
      </c>
    </row>
    <row r="1762" spans="1:41" x14ac:dyDescent="0.25">
      <c r="A1762" s="10"/>
      <c r="B1762" s="10"/>
      <c r="C1762" s="10"/>
      <c r="D1762" s="10"/>
      <c r="E1762" s="10"/>
      <c r="F1762" s="10"/>
      <c r="G1762" s="10"/>
      <c r="H1762" s="10"/>
      <c r="I1762" s="1" t="str">
        <f t="shared" si="81"/>
        <v/>
      </c>
      <c r="J1762" s="1" t="s">
        <v>35</v>
      </c>
      <c r="K1762" s="1" t="str">
        <f t="shared" si="82"/>
        <v/>
      </c>
      <c r="L1762" s="1" t="str">
        <f t="shared" si="83"/>
        <v/>
      </c>
      <c r="M1762" s="1">
        <f>IF(OR(Table1[[#This Row],[Std Nom]]="",Table1[[#This Row],[Std Read]]=""),0,Table1[[#This Row],[Std Nom]]-Table1[[#This Row],[Std Read]])</f>
        <v>0</v>
      </c>
      <c r="N1762" s="1">
        <f>IF(Calculations!$F$5="ACCREDITED 17025 WITH UNCERTAINTIES",$N$10,0)</f>
        <v>0</v>
      </c>
      <c r="Q1762" s="1">
        <f>Table1[[#This Row],[High Tol]]-Table1[[#This Row],[Low Tol]]</f>
        <v>0</v>
      </c>
      <c r="R1762" s="1">
        <f>2*Table1[[#This Row],[Std Error]]</f>
        <v>0</v>
      </c>
      <c r="S1762" s="1" t="str">
        <f>IF(Table1[[#This Row],[High Tol]]="","N/A",IFERROR(ABS(Table1[[#This Row],[Tol Span]]/Table1[[#This Row],[Error Span]]),"N/A"))</f>
        <v>N/A</v>
      </c>
      <c r="T1762" s="1" t="str">
        <f>IF(OR(Table1[[#This Row],[Low Tol]]="",Table1[[#This Row],[High Tol]]=""),"Needs Analysis",IF(Table1[[#This Row],[Ratio]]&gt;=4,"Not Significant",IF(Table1[[#This Row],[Ratio]]&gt;=2,"Semi-Significant","Significant")))</f>
        <v>Needs Analysis</v>
      </c>
      <c r="W1762" s="1">
        <f>IF(Table1[[#This Row],[Cal Type]]&lt;&gt;"ACCREDITED 17025 WITH UNCERTAINTIES",0,"")</f>
        <v>0</v>
      </c>
      <c r="X1762" s="1" t="str">
        <f>IF(Table1[[#This Row],[DUT Read]]="","N/A",Table1[[#This Row],[Std Error]]+Table1[[#This Row],[DUT Read]]+Table1[[#This Row],[DUT Ucty]])</f>
        <v>N/A</v>
      </c>
      <c r="Y1762" s="1" t="str">
        <f>IF(Table1[[#This Row],[Std Read]]="","N/A",Table1[[#This Row],[Std Read]]+Table1[[#This Row],[Std Ucty]])</f>
        <v>N/A</v>
      </c>
      <c r="Z17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2" s="1" t="str">
        <f>IF(Table1[[#This Row],[Spec Type]]="","N/A",Table1[[#This Row],[Spec Type]])</f>
        <v>±</v>
      </c>
      <c r="AC1762" s="1" t="str">
        <f>IF(Table1[[#This Row],[Spec Type2]]="N/A","N/A",IF(AND(Table1[[#This Row],[DUT Adj Read]]&gt;=Table1[[#This Row],[Low Tol]],Table1[[#This Row],[DUT Adj Read]]&lt;=Table1[[#This Row],[High Tol]]),"Pass","Fail"))</f>
        <v>Fail</v>
      </c>
      <c r="AD1762" s="1" t="str">
        <f>IF(AND(Table1[[#This Row],[Spec Type2]]="N/A",Table1[[#This Row],[DUT Adj Read]]="N/A",Table1[[#This Row],[Std Adj Read]]="N/A"),"N/A",IF(Table1[[#This Row],[DUT Adj Read]]="N/A",IF(Table1[[#This Row],[Std Adj Read]]&gt;Table1[[#This Row],[Low Tol]],"Pass","Fail"),IF(Table1[[#This Row],[DUT Adj Read]]&gt;Table1[[#This Row],[Low Tol]],"Pass","Fail")))</f>
        <v>Pass</v>
      </c>
      <c r="AE1762" s="1" t="str">
        <f>IF(AND(Table1[[#This Row],[Spec Type2]]="N/A",Table1[[#This Row],[DUT Adj Read]]="N/A",Table1[[#This Row],[Std Adj Read]]="N/A"),"N/A",IF(Table1[[#This Row],[DUT Adj Read]]="N/A",IF(Table1[[#This Row],[Std Adj Read]]&lt;Table1[[#This Row],[High Tol]],"Pass","Fail"),IF(Table1[[#This Row],[DUT Adj Read]]&lt;Table1[[#This Row],[High Tol]],"Pass","Fail")))</f>
        <v>Fail</v>
      </c>
      <c r="AF1762" s="1" t="str">
        <f>IF(AND(Table1[[#This Row],[Spec Type2]]="N/A",Table1[[#This Row],[DUT Adj Read]]="N/A",Table1[[#This Row],[Std Adj Read]]="N/A"),"N/A",IF(Table1[[#This Row],[DUT Adj Read]]="N/A",IF(Table1[[#This Row],[Std Adj Read]]&gt;=Table1[[#This Row],[Low Tol]],"Pass","Fail"),IF(Table1[[#This Row],[DUT Adj Read]]&gt;=Table1[[#This Row],[Low Tol]],"Pass","Fail")))</f>
        <v>Pass</v>
      </c>
      <c r="AG1762" s="1" t="str">
        <f>IF(AND(Table1[[#This Row],[Spec Type2]]="N/A",Table1[[#This Row],[DUT Adj Read]]="N/A",Table1[[#This Row],[Std Adj Read]]="N/A"),"N/A",IF(Table1[[#This Row],[DUT Adj Read]]="N/A",IF(Table1[[#This Row],[Std Adj Read]]&lt;=Table1[[#This Row],[High Tol]],"Pass","Fail"),IF(Table1[[#This Row],[DUT Adj Read]]&lt;=Table1[[#This Row],[High Tol]],"Pass","Fail")))</f>
        <v>Fail</v>
      </c>
      <c r="AH17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2" s="1" t="b">
        <v>0</v>
      </c>
      <c r="AN1762" s="1" t="b">
        <v>0</v>
      </c>
      <c r="AO1762" s="1" t="b">
        <v>0</v>
      </c>
    </row>
    <row r="1763" spans="1:41" x14ac:dyDescent="0.25">
      <c r="A1763" s="10"/>
      <c r="B1763" s="10"/>
      <c r="C1763" s="10"/>
      <c r="D1763" s="10"/>
      <c r="E1763" s="10"/>
      <c r="F1763" s="10"/>
      <c r="G1763" s="10"/>
      <c r="H1763" s="10"/>
      <c r="I1763" s="1" t="str">
        <f t="shared" si="81"/>
        <v/>
      </c>
      <c r="J1763" s="1" t="s">
        <v>35</v>
      </c>
      <c r="K1763" s="1" t="str">
        <f t="shared" si="82"/>
        <v/>
      </c>
      <c r="L1763" s="1" t="str">
        <f t="shared" si="83"/>
        <v/>
      </c>
      <c r="M1763" s="1">
        <f>IF(OR(Table1[[#This Row],[Std Nom]]="",Table1[[#This Row],[Std Read]]=""),0,Table1[[#This Row],[Std Nom]]-Table1[[#This Row],[Std Read]])</f>
        <v>0</v>
      </c>
      <c r="N1763" s="1">
        <f>IF(Calculations!$F$5="ACCREDITED 17025 WITH UNCERTAINTIES",$N$10,0)</f>
        <v>0</v>
      </c>
      <c r="Q1763" s="1">
        <f>Table1[[#This Row],[High Tol]]-Table1[[#This Row],[Low Tol]]</f>
        <v>0</v>
      </c>
      <c r="R1763" s="1">
        <f>2*Table1[[#This Row],[Std Error]]</f>
        <v>0</v>
      </c>
      <c r="S1763" s="1" t="str">
        <f>IF(Table1[[#This Row],[High Tol]]="","N/A",IFERROR(ABS(Table1[[#This Row],[Tol Span]]/Table1[[#This Row],[Error Span]]),"N/A"))</f>
        <v>N/A</v>
      </c>
      <c r="T1763" s="1" t="str">
        <f>IF(OR(Table1[[#This Row],[Low Tol]]="",Table1[[#This Row],[High Tol]]=""),"Needs Analysis",IF(Table1[[#This Row],[Ratio]]&gt;=4,"Not Significant",IF(Table1[[#This Row],[Ratio]]&gt;=2,"Semi-Significant","Significant")))</f>
        <v>Needs Analysis</v>
      </c>
      <c r="W1763" s="1">
        <f>IF(Table1[[#This Row],[Cal Type]]&lt;&gt;"ACCREDITED 17025 WITH UNCERTAINTIES",0,"")</f>
        <v>0</v>
      </c>
      <c r="X1763" s="1" t="str">
        <f>IF(Table1[[#This Row],[DUT Read]]="","N/A",Table1[[#This Row],[Std Error]]+Table1[[#This Row],[DUT Read]]+Table1[[#This Row],[DUT Ucty]])</f>
        <v>N/A</v>
      </c>
      <c r="Y1763" s="1" t="str">
        <f>IF(Table1[[#This Row],[Std Read]]="","N/A",Table1[[#This Row],[Std Read]]+Table1[[#This Row],[Std Ucty]])</f>
        <v>N/A</v>
      </c>
      <c r="Z17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3" s="1" t="str">
        <f>IF(Table1[[#This Row],[Spec Type]]="","N/A",Table1[[#This Row],[Spec Type]])</f>
        <v>±</v>
      </c>
      <c r="AC1763" s="1" t="str">
        <f>IF(Table1[[#This Row],[Spec Type2]]="N/A","N/A",IF(AND(Table1[[#This Row],[DUT Adj Read]]&gt;=Table1[[#This Row],[Low Tol]],Table1[[#This Row],[DUT Adj Read]]&lt;=Table1[[#This Row],[High Tol]]),"Pass","Fail"))</f>
        <v>Fail</v>
      </c>
      <c r="AD1763" s="1" t="str">
        <f>IF(AND(Table1[[#This Row],[Spec Type2]]="N/A",Table1[[#This Row],[DUT Adj Read]]="N/A",Table1[[#This Row],[Std Adj Read]]="N/A"),"N/A",IF(Table1[[#This Row],[DUT Adj Read]]="N/A",IF(Table1[[#This Row],[Std Adj Read]]&gt;Table1[[#This Row],[Low Tol]],"Pass","Fail"),IF(Table1[[#This Row],[DUT Adj Read]]&gt;Table1[[#This Row],[Low Tol]],"Pass","Fail")))</f>
        <v>Pass</v>
      </c>
      <c r="AE1763" s="1" t="str">
        <f>IF(AND(Table1[[#This Row],[Spec Type2]]="N/A",Table1[[#This Row],[DUT Adj Read]]="N/A",Table1[[#This Row],[Std Adj Read]]="N/A"),"N/A",IF(Table1[[#This Row],[DUT Adj Read]]="N/A",IF(Table1[[#This Row],[Std Adj Read]]&lt;Table1[[#This Row],[High Tol]],"Pass","Fail"),IF(Table1[[#This Row],[DUT Adj Read]]&lt;Table1[[#This Row],[High Tol]],"Pass","Fail")))</f>
        <v>Fail</v>
      </c>
      <c r="AF1763" s="1" t="str">
        <f>IF(AND(Table1[[#This Row],[Spec Type2]]="N/A",Table1[[#This Row],[DUT Adj Read]]="N/A",Table1[[#This Row],[Std Adj Read]]="N/A"),"N/A",IF(Table1[[#This Row],[DUT Adj Read]]="N/A",IF(Table1[[#This Row],[Std Adj Read]]&gt;=Table1[[#This Row],[Low Tol]],"Pass","Fail"),IF(Table1[[#This Row],[DUT Adj Read]]&gt;=Table1[[#This Row],[Low Tol]],"Pass","Fail")))</f>
        <v>Pass</v>
      </c>
      <c r="AG1763" s="1" t="str">
        <f>IF(AND(Table1[[#This Row],[Spec Type2]]="N/A",Table1[[#This Row],[DUT Adj Read]]="N/A",Table1[[#This Row],[Std Adj Read]]="N/A"),"N/A",IF(Table1[[#This Row],[DUT Adj Read]]="N/A",IF(Table1[[#This Row],[Std Adj Read]]&lt;=Table1[[#This Row],[High Tol]],"Pass","Fail"),IF(Table1[[#This Row],[DUT Adj Read]]&lt;=Table1[[#This Row],[High Tol]],"Pass","Fail")))</f>
        <v>Fail</v>
      </c>
      <c r="AH17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3" s="1" t="b">
        <v>0</v>
      </c>
      <c r="AN1763" s="1" t="b">
        <v>0</v>
      </c>
      <c r="AO1763" s="1" t="b">
        <v>0</v>
      </c>
    </row>
    <row r="1764" spans="1:41" x14ac:dyDescent="0.25">
      <c r="A1764" s="10"/>
      <c r="B1764" s="10"/>
      <c r="C1764" s="10"/>
      <c r="D1764" s="10"/>
      <c r="E1764" s="10"/>
      <c r="F1764" s="10"/>
      <c r="G1764" s="10"/>
      <c r="H1764" s="10"/>
      <c r="I1764" s="1" t="str">
        <f t="shared" si="81"/>
        <v/>
      </c>
      <c r="J1764" s="1" t="s">
        <v>35</v>
      </c>
      <c r="K1764" s="1" t="str">
        <f t="shared" si="82"/>
        <v/>
      </c>
      <c r="L1764" s="1" t="str">
        <f t="shared" si="83"/>
        <v/>
      </c>
      <c r="M1764" s="1">
        <f>IF(OR(Table1[[#This Row],[Std Nom]]="",Table1[[#This Row],[Std Read]]=""),0,Table1[[#This Row],[Std Nom]]-Table1[[#This Row],[Std Read]])</f>
        <v>0</v>
      </c>
      <c r="N1764" s="1">
        <f>IF(Calculations!$F$5="ACCREDITED 17025 WITH UNCERTAINTIES",$N$10,0)</f>
        <v>0</v>
      </c>
      <c r="Q1764" s="1">
        <f>Table1[[#This Row],[High Tol]]-Table1[[#This Row],[Low Tol]]</f>
        <v>0</v>
      </c>
      <c r="R1764" s="1">
        <f>2*Table1[[#This Row],[Std Error]]</f>
        <v>0</v>
      </c>
      <c r="S1764" s="1" t="str">
        <f>IF(Table1[[#This Row],[High Tol]]="","N/A",IFERROR(ABS(Table1[[#This Row],[Tol Span]]/Table1[[#This Row],[Error Span]]),"N/A"))</f>
        <v>N/A</v>
      </c>
      <c r="T1764" s="1" t="str">
        <f>IF(OR(Table1[[#This Row],[Low Tol]]="",Table1[[#This Row],[High Tol]]=""),"Needs Analysis",IF(Table1[[#This Row],[Ratio]]&gt;=4,"Not Significant",IF(Table1[[#This Row],[Ratio]]&gt;=2,"Semi-Significant","Significant")))</f>
        <v>Needs Analysis</v>
      </c>
      <c r="W1764" s="1">
        <f>IF(Table1[[#This Row],[Cal Type]]&lt;&gt;"ACCREDITED 17025 WITH UNCERTAINTIES",0,"")</f>
        <v>0</v>
      </c>
      <c r="X1764" s="1" t="str">
        <f>IF(Table1[[#This Row],[DUT Read]]="","N/A",Table1[[#This Row],[Std Error]]+Table1[[#This Row],[DUT Read]]+Table1[[#This Row],[DUT Ucty]])</f>
        <v>N/A</v>
      </c>
      <c r="Y1764" s="1" t="str">
        <f>IF(Table1[[#This Row],[Std Read]]="","N/A",Table1[[#This Row],[Std Read]]+Table1[[#This Row],[Std Ucty]])</f>
        <v>N/A</v>
      </c>
      <c r="Z17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4" s="1" t="str">
        <f>IF(Table1[[#This Row],[Spec Type]]="","N/A",Table1[[#This Row],[Spec Type]])</f>
        <v>±</v>
      </c>
      <c r="AC1764" s="1" t="str">
        <f>IF(Table1[[#This Row],[Spec Type2]]="N/A","N/A",IF(AND(Table1[[#This Row],[DUT Adj Read]]&gt;=Table1[[#This Row],[Low Tol]],Table1[[#This Row],[DUT Adj Read]]&lt;=Table1[[#This Row],[High Tol]]),"Pass","Fail"))</f>
        <v>Fail</v>
      </c>
      <c r="AD1764" s="1" t="str">
        <f>IF(AND(Table1[[#This Row],[Spec Type2]]="N/A",Table1[[#This Row],[DUT Adj Read]]="N/A",Table1[[#This Row],[Std Adj Read]]="N/A"),"N/A",IF(Table1[[#This Row],[DUT Adj Read]]="N/A",IF(Table1[[#This Row],[Std Adj Read]]&gt;Table1[[#This Row],[Low Tol]],"Pass","Fail"),IF(Table1[[#This Row],[DUT Adj Read]]&gt;Table1[[#This Row],[Low Tol]],"Pass","Fail")))</f>
        <v>Pass</v>
      </c>
      <c r="AE1764" s="1" t="str">
        <f>IF(AND(Table1[[#This Row],[Spec Type2]]="N/A",Table1[[#This Row],[DUT Adj Read]]="N/A",Table1[[#This Row],[Std Adj Read]]="N/A"),"N/A",IF(Table1[[#This Row],[DUT Adj Read]]="N/A",IF(Table1[[#This Row],[Std Adj Read]]&lt;Table1[[#This Row],[High Tol]],"Pass","Fail"),IF(Table1[[#This Row],[DUT Adj Read]]&lt;Table1[[#This Row],[High Tol]],"Pass","Fail")))</f>
        <v>Fail</v>
      </c>
      <c r="AF1764" s="1" t="str">
        <f>IF(AND(Table1[[#This Row],[Spec Type2]]="N/A",Table1[[#This Row],[DUT Adj Read]]="N/A",Table1[[#This Row],[Std Adj Read]]="N/A"),"N/A",IF(Table1[[#This Row],[DUT Adj Read]]="N/A",IF(Table1[[#This Row],[Std Adj Read]]&gt;=Table1[[#This Row],[Low Tol]],"Pass","Fail"),IF(Table1[[#This Row],[DUT Adj Read]]&gt;=Table1[[#This Row],[Low Tol]],"Pass","Fail")))</f>
        <v>Pass</v>
      </c>
      <c r="AG1764" s="1" t="str">
        <f>IF(AND(Table1[[#This Row],[Spec Type2]]="N/A",Table1[[#This Row],[DUT Adj Read]]="N/A",Table1[[#This Row],[Std Adj Read]]="N/A"),"N/A",IF(Table1[[#This Row],[DUT Adj Read]]="N/A",IF(Table1[[#This Row],[Std Adj Read]]&lt;=Table1[[#This Row],[High Tol]],"Pass","Fail"),IF(Table1[[#This Row],[DUT Adj Read]]&lt;=Table1[[#This Row],[High Tol]],"Pass","Fail")))</f>
        <v>Fail</v>
      </c>
      <c r="AH17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4" s="1" t="b">
        <v>0</v>
      </c>
      <c r="AN1764" s="1" t="b">
        <v>0</v>
      </c>
      <c r="AO1764" s="1" t="b">
        <v>0</v>
      </c>
    </row>
    <row r="1765" spans="1:41" x14ac:dyDescent="0.25">
      <c r="A1765" s="10"/>
      <c r="B1765" s="10"/>
      <c r="C1765" s="10"/>
      <c r="D1765" s="10"/>
      <c r="E1765" s="10"/>
      <c r="F1765" s="10"/>
      <c r="G1765" s="10"/>
      <c r="H1765" s="10"/>
      <c r="I1765" s="1" t="str">
        <f t="shared" si="81"/>
        <v/>
      </c>
      <c r="J1765" s="1" t="s">
        <v>35</v>
      </c>
      <c r="K1765" s="1" t="str">
        <f t="shared" si="82"/>
        <v/>
      </c>
      <c r="L1765" s="1" t="str">
        <f t="shared" si="83"/>
        <v/>
      </c>
      <c r="M1765" s="1">
        <f>IF(OR(Table1[[#This Row],[Std Nom]]="",Table1[[#This Row],[Std Read]]=""),0,Table1[[#This Row],[Std Nom]]-Table1[[#This Row],[Std Read]])</f>
        <v>0</v>
      </c>
      <c r="N1765" s="1">
        <f>IF(Calculations!$F$5="ACCREDITED 17025 WITH UNCERTAINTIES",$N$10,0)</f>
        <v>0</v>
      </c>
      <c r="Q1765" s="1">
        <f>Table1[[#This Row],[High Tol]]-Table1[[#This Row],[Low Tol]]</f>
        <v>0</v>
      </c>
      <c r="R1765" s="1">
        <f>2*Table1[[#This Row],[Std Error]]</f>
        <v>0</v>
      </c>
      <c r="S1765" s="1" t="str">
        <f>IF(Table1[[#This Row],[High Tol]]="","N/A",IFERROR(ABS(Table1[[#This Row],[Tol Span]]/Table1[[#This Row],[Error Span]]),"N/A"))</f>
        <v>N/A</v>
      </c>
      <c r="T1765" s="1" t="str">
        <f>IF(OR(Table1[[#This Row],[Low Tol]]="",Table1[[#This Row],[High Tol]]=""),"Needs Analysis",IF(Table1[[#This Row],[Ratio]]&gt;=4,"Not Significant",IF(Table1[[#This Row],[Ratio]]&gt;=2,"Semi-Significant","Significant")))</f>
        <v>Needs Analysis</v>
      </c>
      <c r="W1765" s="1">
        <f>IF(Table1[[#This Row],[Cal Type]]&lt;&gt;"ACCREDITED 17025 WITH UNCERTAINTIES",0,"")</f>
        <v>0</v>
      </c>
      <c r="X1765" s="1" t="str">
        <f>IF(Table1[[#This Row],[DUT Read]]="","N/A",Table1[[#This Row],[Std Error]]+Table1[[#This Row],[DUT Read]]+Table1[[#This Row],[DUT Ucty]])</f>
        <v>N/A</v>
      </c>
      <c r="Y1765" s="1" t="str">
        <f>IF(Table1[[#This Row],[Std Read]]="","N/A",Table1[[#This Row],[Std Read]]+Table1[[#This Row],[Std Ucty]])</f>
        <v>N/A</v>
      </c>
      <c r="Z17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5" s="1" t="str">
        <f>IF(Table1[[#This Row],[Spec Type]]="","N/A",Table1[[#This Row],[Spec Type]])</f>
        <v>±</v>
      </c>
      <c r="AC1765" s="1" t="str">
        <f>IF(Table1[[#This Row],[Spec Type2]]="N/A","N/A",IF(AND(Table1[[#This Row],[DUT Adj Read]]&gt;=Table1[[#This Row],[Low Tol]],Table1[[#This Row],[DUT Adj Read]]&lt;=Table1[[#This Row],[High Tol]]),"Pass","Fail"))</f>
        <v>Fail</v>
      </c>
      <c r="AD1765" s="1" t="str">
        <f>IF(AND(Table1[[#This Row],[Spec Type2]]="N/A",Table1[[#This Row],[DUT Adj Read]]="N/A",Table1[[#This Row],[Std Adj Read]]="N/A"),"N/A",IF(Table1[[#This Row],[DUT Adj Read]]="N/A",IF(Table1[[#This Row],[Std Adj Read]]&gt;Table1[[#This Row],[Low Tol]],"Pass","Fail"),IF(Table1[[#This Row],[DUT Adj Read]]&gt;Table1[[#This Row],[Low Tol]],"Pass","Fail")))</f>
        <v>Pass</v>
      </c>
      <c r="AE1765" s="1" t="str">
        <f>IF(AND(Table1[[#This Row],[Spec Type2]]="N/A",Table1[[#This Row],[DUT Adj Read]]="N/A",Table1[[#This Row],[Std Adj Read]]="N/A"),"N/A",IF(Table1[[#This Row],[DUT Adj Read]]="N/A",IF(Table1[[#This Row],[Std Adj Read]]&lt;Table1[[#This Row],[High Tol]],"Pass","Fail"),IF(Table1[[#This Row],[DUT Adj Read]]&lt;Table1[[#This Row],[High Tol]],"Pass","Fail")))</f>
        <v>Fail</v>
      </c>
      <c r="AF1765" s="1" t="str">
        <f>IF(AND(Table1[[#This Row],[Spec Type2]]="N/A",Table1[[#This Row],[DUT Adj Read]]="N/A",Table1[[#This Row],[Std Adj Read]]="N/A"),"N/A",IF(Table1[[#This Row],[DUT Adj Read]]="N/A",IF(Table1[[#This Row],[Std Adj Read]]&gt;=Table1[[#This Row],[Low Tol]],"Pass","Fail"),IF(Table1[[#This Row],[DUT Adj Read]]&gt;=Table1[[#This Row],[Low Tol]],"Pass","Fail")))</f>
        <v>Pass</v>
      </c>
      <c r="AG1765" s="1" t="str">
        <f>IF(AND(Table1[[#This Row],[Spec Type2]]="N/A",Table1[[#This Row],[DUT Adj Read]]="N/A",Table1[[#This Row],[Std Adj Read]]="N/A"),"N/A",IF(Table1[[#This Row],[DUT Adj Read]]="N/A",IF(Table1[[#This Row],[Std Adj Read]]&lt;=Table1[[#This Row],[High Tol]],"Pass","Fail"),IF(Table1[[#This Row],[DUT Adj Read]]&lt;=Table1[[#This Row],[High Tol]],"Pass","Fail")))</f>
        <v>Fail</v>
      </c>
      <c r="AH17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5" s="1" t="b">
        <v>0</v>
      </c>
      <c r="AN1765" s="1" t="b">
        <v>0</v>
      </c>
      <c r="AO1765" s="1" t="b">
        <v>0</v>
      </c>
    </row>
    <row r="1766" spans="1:41" x14ac:dyDescent="0.25">
      <c r="A1766" s="10"/>
      <c r="B1766" s="10"/>
      <c r="C1766" s="10"/>
      <c r="D1766" s="10"/>
      <c r="E1766" s="10"/>
      <c r="F1766" s="10"/>
      <c r="G1766" s="10"/>
      <c r="H1766" s="10"/>
      <c r="I1766" s="1" t="str">
        <f t="shared" si="81"/>
        <v/>
      </c>
      <c r="J1766" s="1" t="s">
        <v>35</v>
      </c>
      <c r="K1766" s="1" t="str">
        <f t="shared" si="82"/>
        <v/>
      </c>
      <c r="L1766" s="1" t="str">
        <f t="shared" si="83"/>
        <v/>
      </c>
      <c r="M1766" s="1">
        <f>IF(OR(Table1[[#This Row],[Std Nom]]="",Table1[[#This Row],[Std Read]]=""),0,Table1[[#This Row],[Std Nom]]-Table1[[#This Row],[Std Read]])</f>
        <v>0</v>
      </c>
      <c r="N1766" s="1">
        <f>IF(Calculations!$F$5="ACCREDITED 17025 WITH UNCERTAINTIES",$N$10,0)</f>
        <v>0</v>
      </c>
      <c r="Q1766" s="1">
        <f>Table1[[#This Row],[High Tol]]-Table1[[#This Row],[Low Tol]]</f>
        <v>0</v>
      </c>
      <c r="R1766" s="1">
        <f>2*Table1[[#This Row],[Std Error]]</f>
        <v>0</v>
      </c>
      <c r="S1766" s="1" t="str">
        <f>IF(Table1[[#This Row],[High Tol]]="","N/A",IFERROR(ABS(Table1[[#This Row],[Tol Span]]/Table1[[#This Row],[Error Span]]),"N/A"))</f>
        <v>N/A</v>
      </c>
      <c r="T1766" s="1" t="str">
        <f>IF(OR(Table1[[#This Row],[Low Tol]]="",Table1[[#This Row],[High Tol]]=""),"Needs Analysis",IF(Table1[[#This Row],[Ratio]]&gt;=4,"Not Significant",IF(Table1[[#This Row],[Ratio]]&gt;=2,"Semi-Significant","Significant")))</f>
        <v>Needs Analysis</v>
      </c>
      <c r="W1766" s="1">
        <f>IF(Table1[[#This Row],[Cal Type]]&lt;&gt;"ACCREDITED 17025 WITH UNCERTAINTIES",0,"")</f>
        <v>0</v>
      </c>
      <c r="X1766" s="1" t="str">
        <f>IF(Table1[[#This Row],[DUT Read]]="","N/A",Table1[[#This Row],[Std Error]]+Table1[[#This Row],[DUT Read]]+Table1[[#This Row],[DUT Ucty]])</f>
        <v>N/A</v>
      </c>
      <c r="Y1766" s="1" t="str">
        <f>IF(Table1[[#This Row],[Std Read]]="","N/A",Table1[[#This Row],[Std Read]]+Table1[[#This Row],[Std Ucty]])</f>
        <v>N/A</v>
      </c>
      <c r="Z17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6" s="1" t="str">
        <f>IF(Table1[[#This Row],[Spec Type]]="","N/A",Table1[[#This Row],[Spec Type]])</f>
        <v>±</v>
      </c>
      <c r="AC1766" s="1" t="str">
        <f>IF(Table1[[#This Row],[Spec Type2]]="N/A","N/A",IF(AND(Table1[[#This Row],[DUT Adj Read]]&gt;=Table1[[#This Row],[Low Tol]],Table1[[#This Row],[DUT Adj Read]]&lt;=Table1[[#This Row],[High Tol]]),"Pass","Fail"))</f>
        <v>Fail</v>
      </c>
      <c r="AD1766" s="1" t="str">
        <f>IF(AND(Table1[[#This Row],[Spec Type2]]="N/A",Table1[[#This Row],[DUT Adj Read]]="N/A",Table1[[#This Row],[Std Adj Read]]="N/A"),"N/A",IF(Table1[[#This Row],[DUT Adj Read]]="N/A",IF(Table1[[#This Row],[Std Adj Read]]&gt;Table1[[#This Row],[Low Tol]],"Pass","Fail"),IF(Table1[[#This Row],[DUT Adj Read]]&gt;Table1[[#This Row],[Low Tol]],"Pass","Fail")))</f>
        <v>Pass</v>
      </c>
      <c r="AE1766" s="1" t="str">
        <f>IF(AND(Table1[[#This Row],[Spec Type2]]="N/A",Table1[[#This Row],[DUT Adj Read]]="N/A",Table1[[#This Row],[Std Adj Read]]="N/A"),"N/A",IF(Table1[[#This Row],[DUT Adj Read]]="N/A",IF(Table1[[#This Row],[Std Adj Read]]&lt;Table1[[#This Row],[High Tol]],"Pass","Fail"),IF(Table1[[#This Row],[DUT Adj Read]]&lt;Table1[[#This Row],[High Tol]],"Pass","Fail")))</f>
        <v>Fail</v>
      </c>
      <c r="AF1766" s="1" t="str">
        <f>IF(AND(Table1[[#This Row],[Spec Type2]]="N/A",Table1[[#This Row],[DUT Adj Read]]="N/A",Table1[[#This Row],[Std Adj Read]]="N/A"),"N/A",IF(Table1[[#This Row],[DUT Adj Read]]="N/A",IF(Table1[[#This Row],[Std Adj Read]]&gt;=Table1[[#This Row],[Low Tol]],"Pass","Fail"),IF(Table1[[#This Row],[DUT Adj Read]]&gt;=Table1[[#This Row],[Low Tol]],"Pass","Fail")))</f>
        <v>Pass</v>
      </c>
      <c r="AG1766" s="1" t="str">
        <f>IF(AND(Table1[[#This Row],[Spec Type2]]="N/A",Table1[[#This Row],[DUT Adj Read]]="N/A",Table1[[#This Row],[Std Adj Read]]="N/A"),"N/A",IF(Table1[[#This Row],[DUT Adj Read]]="N/A",IF(Table1[[#This Row],[Std Adj Read]]&lt;=Table1[[#This Row],[High Tol]],"Pass","Fail"),IF(Table1[[#This Row],[DUT Adj Read]]&lt;=Table1[[#This Row],[High Tol]],"Pass","Fail")))</f>
        <v>Fail</v>
      </c>
      <c r="AH17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6" s="1" t="b">
        <v>0</v>
      </c>
      <c r="AN1766" s="1" t="b">
        <v>0</v>
      </c>
      <c r="AO1766" s="1" t="b">
        <v>0</v>
      </c>
    </row>
    <row r="1767" spans="1:41" x14ac:dyDescent="0.25">
      <c r="A1767" s="10"/>
      <c r="B1767" s="10"/>
      <c r="C1767" s="10"/>
      <c r="D1767" s="10"/>
      <c r="E1767" s="10"/>
      <c r="F1767" s="10"/>
      <c r="G1767" s="10"/>
      <c r="H1767" s="10"/>
      <c r="I1767" s="1" t="str">
        <f t="shared" si="81"/>
        <v/>
      </c>
      <c r="J1767" s="1" t="s">
        <v>35</v>
      </c>
      <c r="K1767" s="1" t="str">
        <f t="shared" si="82"/>
        <v/>
      </c>
      <c r="L1767" s="1" t="str">
        <f t="shared" si="83"/>
        <v/>
      </c>
      <c r="M1767" s="1">
        <f>IF(OR(Table1[[#This Row],[Std Nom]]="",Table1[[#This Row],[Std Read]]=""),0,Table1[[#This Row],[Std Nom]]-Table1[[#This Row],[Std Read]])</f>
        <v>0</v>
      </c>
      <c r="N1767" s="1">
        <f>IF(Calculations!$F$5="ACCREDITED 17025 WITH UNCERTAINTIES",$N$10,0)</f>
        <v>0</v>
      </c>
      <c r="Q1767" s="1">
        <f>Table1[[#This Row],[High Tol]]-Table1[[#This Row],[Low Tol]]</f>
        <v>0</v>
      </c>
      <c r="R1767" s="1">
        <f>2*Table1[[#This Row],[Std Error]]</f>
        <v>0</v>
      </c>
      <c r="S1767" s="1" t="str">
        <f>IF(Table1[[#This Row],[High Tol]]="","N/A",IFERROR(ABS(Table1[[#This Row],[Tol Span]]/Table1[[#This Row],[Error Span]]),"N/A"))</f>
        <v>N/A</v>
      </c>
      <c r="T1767" s="1" t="str">
        <f>IF(OR(Table1[[#This Row],[Low Tol]]="",Table1[[#This Row],[High Tol]]=""),"Needs Analysis",IF(Table1[[#This Row],[Ratio]]&gt;=4,"Not Significant",IF(Table1[[#This Row],[Ratio]]&gt;=2,"Semi-Significant","Significant")))</f>
        <v>Needs Analysis</v>
      </c>
      <c r="W1767" s="1">
        <f>IF(Table1[[#This Row],[Cal Type]]&lt;&gt;"ACCREDITED 17025 WITH UNCERTAINTIES",0,"")</f>
        <v>0</v>
      </c>
      <c r="X1767" s="1" t="str">
        <f>IF(Table1[[#This Row],[DUT Read]]="","N/A",Table1[[#This Row],[Std Error]]+Table1[[#This Row],[DUT Read]]+Table1[[#This Row],[DUT Ucty]])</f>
        <v>N/A</v>
      </c>
      <c r="Y1767" s="1" t="str">
        <f>IF(Table1[[#This Row],[Std Read]]="","N/A",Table1[[#This Row],[Std Read]]+Table1[[#This Row],[Std Ucty]])</f>
        <v>N/A</v>
      </c>
      <c r="Z17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7" s="1" t="str">
        <f>IF(Table1[[#This Row],[Spec Type]]="","N/A",Table1[[#This Row],[Spec Type]])</f>
        <v>±</v>
      </c>
      <c r="AC1767" s="1" t="str">
        <f>IF(Table1[[#This Row],[Spec Type2]]="N/A","N/A",IF(AND(Table1[[#This Row],[DUT Adj Read]]&gt;=Table1[[#This Row],[Low Tol]],Table1[[#This Row],[DUT Adj Read]]&lt;=Table1[[#This Row],[High Tol]]),"Pass","Fail"))</f>
        <v>Fail</v>
      </c>
      <c r="AD1767" s="1" t="str">
        <f>IF(AND(Table1[[#This Row],[Spec Type2]]="N/A",Table1[[#This Row],[DUT Adj Read]]="N/A",Table1[[#This Row],[Std Adj Read]]="N/A"),"N/A",IF(Table1[[#This Row],[DUT Adj Read]]="N/A",IF(Table1[[#This Row],[Std Adj Read]]&gt;Table1[[#This Row],[Low Tol]],"Pass","Fail"),IF(Table1[[#This Row],[DUT Adj Read]]&gt;Table1[[#This Row],[Low Tol]],"Pass","Fail")))</f>
        <v>Pass</v>
      </c>
      <c r="AE1767" s="1" t="str">
        <f>IF(AND(Table1[[#This Row],[Spec Type2]]="N/A",Table1[[#This Row],[DUT Adj Read]]="N/A",Table1[[#This Row],[Std Adj Read]]="N/A"),"N/A",IF(Table1[[#This Row],[DUT Adj Read]]="N/A",IF(Table1[[#This Row],[Std Adj Read]]&lt;Table1[[#This Row],[High Tol]],"Pass","Fail"),IF(Table1[[#This Row],[DUT Adj Read]]&lt;Table1[[#This Row],[High Tol]],"Pass","Fail")))</f>
        <v>Fail</v>
      </c>
      <c r="AF1767" s="1" t="str">
        <f>IF(AND(Table1[[#This Row],[Spec Type2]]="N/A",Table1[[#This Row],[DUT Adj Read]]="N/A",Table1[[#This Row],[Std Adj Read]]="N/A"),"N/A",IF(Table1[[#This Row],[DUT Adj Read]]="N/A",IF(Table1[[#This Row],[Std Adj Read]]&gt;=Table1[[#This Row],[Low Tol]],"Pass","Fail"),IF(Table1[[#This Row],[DUT Adj Read]]&gt;=Table1[[#This Row],[Low Tol]],"Pass","Fail")))</f>
        <v>Pass</v>
      </c>
      <c r="AG1767" s="1" t="str">
        <f>IF(AND(Table1[[#This Row],[Spec Type2]]="N/A",Table1[[#This Row],[DUT Adj Read]]="N/A",Table1[[#This Row],[Std Adj Read]]="N/A"),"N/A",IF(Table1[[#This Row],[DUT Adj Read]]="N/A",IF(Table1[[#This Row],[Std Adj Read]]&lt;=Table1[[#This Row],[High Tol]],"Pass","Fail"),IF(Table1[[#This Row],[DUT Adj Read]]&lt;=Table1[[#This Row],[High Tol]],"Pass","Fail")))</f>
        <v>Fail</v>
      </c>
      <c r="AH17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7" s="1" t="b">
        <v>0</v>
      </c>
      <c r="AN1767" s="1" t="b">
        <v>0</v>
      </c>
      <c r="AO1767" s="1" t="b">
        <v>0</v>
      </c>
    </row>
    <row r="1768" spans="1:41" x14ac:dyDescent="0.25">
      <c r="A1768" s="10"/>
      <c r="B1768" s="10"/>
      <c r="C1768" s="10"/>
      <c r="D1768" s="10"/>
      <c r="E1768" s="10"/>
      <c r="F1768" s="10"/>
      <c r="G1768" s="10"/>
      <c r="H1768" s="10"/>
      <c r="I1768" s="1" t="str">
        <f t="shared" si="81"/>
        <v/>
      </c>
      <c r="J1768" s="1" t="s">
        <v>35</v>
      </c>
      <c r="K1768" s="1" t="str">
        <f t="shared" si="82"/>
        <v/>
      </c>
      <c r="L1768" s="1" t="str">
        <f t="shared" si="83"/>
        <v/>
      </c>
      <c r="M1768" s="1">
        <f>IF(OR(Table1[[#This Row],[Std Nom]]="",Table1[[#This Row],[Std Read]]=""),0,Table1[[#This Row],[Std Nom]]-Table1[[#This Row],[Std Read]])</f>
        <v>0</v>
      </c>
      <c r="N1768" s="1">
        <f>IF(Calculations!$F$5="ACCREDITED 17025 WITH UNCERTAINTIES",$N$10,0)</f>
        <v>0</v>
      </c>
      <c r="Q1768" s="1">
        <f>Table1[[#This Row],[High Tol]]-Table1[[#This Row],[Low Tol]]</f>
        <v>0</v>
      </c>
      <c r="R1768" s="1">
        <f>2*Table1[[#This Row],[Std Error]]</f>
        <v>0</v>
      </c>
      <c r="S1768" s="1" t="str">
        <f>IF(Table1[[#This Row],[High Tol]]="","N/A",IFERROR(ABS(Table1[[#This Row],[Tol Span]]/Table1[[#This Row],[Error Span]]),"N/A"))</f>
        <v>N/A</v>
      </c>
      <c r="T1768" s="1" t="str">
        <f>IF(OR(Table1[[#This Row],[Low Tol]]="",Table1[[#This Row],[High Tol]]=""),"Needs Analysis",IF(Table1[[#This Row],[Ratio]]&gt;=4,"Not Significant",IF(Table1[[#This Row],[Ratio]]&gt;=2,"Semi-Significant","Significant")))</f>
        <v>Needs Analysis</v>
      </c>
      <c r="W1768" s="1">
        <f>IF(Table1[[#This Row],[Cal Type]]&lt;&gt;"ACCREDITED 17025 WITH UNCERTAINTIES",0,"")</f>
        <v>0</v>
      </c>
      <c r="X1768" s="1" t="str">
        <f>IF(Table1[[#This Row],[DUT Read]]="","N/A",Table1[[#This Row],[Std Error]]+Table1[[#This Row],[DUT Read]]+Table1[[#This Row],[DUT Ucty]])</f>
        <v>N/A</v>
      </c>
      <c r="Y1768" s="1" t="str">
        <f>IF(Table1[[#This Row],[Std Read]]="","N/A",Table1[[#This Row],[Std Read]]+Table1[[#This Row],[Std Ucty]])</f>
        <v>N/A</v>
      </c>
      <c r="Z17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8" s="1" t="str">
        <f>IF(Table1[[#This Row],[Spec Type]]="","N/A",Table1[[#This Row],[Spec Type]])</f>
        <v>±</v>
      </c>
      <c r="AC1768" s="1" t="str">
        <f>IF(Table1[[#This Row],[Spec Type2]]="N/A","N/A",IF(AND(Table1[[#This Row],[DUT Adj Read]]&gt;=Table1[[#This Row],[Low Tol]],Table1[[#This Row],[DUT Adj Read]]&lt;=Table1[[#This Row],[High Tol]]),"Pass","Fail"))</f>
        <v>Fail</v>
      </c>
      <c r="AD1768" s="1" t="str">
        <f>IF(AND(Table1[[#This Row],[Spec Type2]]="N/A",Table1[[#This Row],[DUT Adj Read]]="N/A",Table1[[#This Row],[Std Adj Read]]="N/A"),"N/A",IF(Table1[[#This Row],[DUT Adj Read]]="N/A",IF(Table1[[#This Row],[Std Adj Read]]&gt;Table1[[#This Row],[Low Tol]],"Pass","Fail"),IF(Table1[[#This Row],[DUT Adj Read]]&gt;Table1[[#This Row],[Low Tol]],"Pass","Fail")))</f>
        <v>Pass</v>
      </c>
      <c r="AE1768" s="1" t="str">
        <f>IF(AND(Table1[[#This Row],[Spec Type2]]="N/A",Table1[[#This Row],[DUT Adj Read]]="N/A",Table1[[#This Row],[Std Adj Read]]="N/A"),"N/A",IF(Table1[[#This Row],[DUT Adj Read]]="N/A",IF(Table1[[#This Row],[Std Adj Read]]&lt;Table1[[#This Row],[High Tol]],"Pass","Fail"),IF(Table1[[#This Row],[DUT Adj Read]]&lt;Table1[[#This Row],[High Tol]],"Pass","Fail")))</f>
        <v>Fail</v>
      </c>
      <c r="AF1768" s="1" t="str">
        <f>IF(AND(Table1[[#This Row],[Spec Type2]]="N/A",Table1[[#This Row],[DUT Adj Read]]="N/A",Table1[[#This Row],[Std Adj Read]]="N/A"),"N/A",IF(Table1[[#This Row],[DUT Adj Read]]="N/A",IF(Table1[[#This Row],[Std Adj Read]]&gt;=Table1[[#This Row],[Low Tol]],"Pass","Fail"),IF(Table1[[#This Row],[DUT Adj Read]]&gt;=Table1[[#This Row],[Low Tol]],"Pass","Fail")))</f>
        <v>Pass</v>
      </c>
      <c r="AG1768" s="1" t="str">
        <f>IF(AND(Table1[[#This Row],[Spec Type2]]="N/A",Table1[[#This Row],[DUT Adj Read]]="N/A",Table1[[#This Row],[Std Adj Read]]="N/A"),"N/A",IF(Table1[[#This Row],[DUT Adj Read]]="N/A",IF(Table1[[#This Row],[Std Adj Read]]&lt;=Table1[[#This Row],[High Tol]],"Pass","Fail"),IF(Table1[[#This Row],[DUT Adj Read]]&lt;=Table1[[#This Row],[High Tol]],"Pass","Fail")))</f>
        <v>Fail</v>
      </c>
      <c r="AH17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8" s="1" t="b">
        <v>0</v>
      </c>
      <c r="AN1768" s="1" t="b">
        <v>0</v>
      </c>
      <c r="AO1768" s="1" t="b">
        <v>0</v>
      </c>
    </row>
    <row r="1769" spans="1:41" x14ac:dyDescent="0.25">
      <c r="A1769" s="10"/>
      <c r="B1769" s="10"/>
      <c r="C1769" s="10"/>
      <c r="D1769" s="10"/>
      <c r="E1769" s="10"/>
      <c r="F1769" s="10"/>
      <c r="G1769" s="10"/>
      <c r="H1769" s="10"/>
      <c r="I1769" s="1" t="str">
        <f t="shared" si="81"/>
        <v/>
      </c>
      <c r="J1769" s="1" t="s">
        <v>35</v>
      </c>
      <c r="K1769" s="1" t="str">
        <f t="shared" si="82"/>
        <v/>
      </c>
      <c r="L1769" s="1" t="str">
        <f t="shared" si="83"/>
        <v/>
      </c>
      <c r="M1769" s="1">
        <f>IF(OR(Table1[[#This Row],[Std Nom]]="",Table1[[#This Row],[Std Read]]=""),0,Table1[[#This Row],[Std Nom]]-Table1[[#This Row],[Std Read]])</f>
        <v>0</v>
      </c>
      <c r="N1769" s="1">
        <f>IF(Calculations!$F$5="ACCREDITED 17025 WITH UNCERTAINTIES",$N$10,0)</f>
        <v>0</v>
      </c>
      <c r="Q1769" s="1">
        <f>Table1[[#This Row],[High Tol]]-Table1[[#This Row],[Low Tol]]</f>
        <v>0</v>
      </c>
      <c r="R1769" s="1">
        <f>2*Table1[[#This Row],[Std Error]]</f>
        <v>0</v>
      </c>
      <c r="S1769" s="1" t="str">
        <f>IF(Table1[[#This Row],[High Tol]]="","N/A",IFERROR(ABS(Table1[[#This Row],[Tol Span]]/Table1[[#This Row],[Error Span]]),"N/A"))</f>
        <v>N/A</v>
      </c>
      <c r="T1769" s="1" t="str">
        <f>IF(OR(Table1[[#This Row],[Low Tol]]="",Table1[[#This Row],[High Tol]]=""),"Needs Analysis",IF(Table1[[#This Row],[Ratio]]&gt;=4,"Not Significant",IF(Table1[[#This Row],[Ratio]]&gt;=2,"Semi-Significant","Significant")))</f>
        <v>Needs Analysis</v>
      </c>
      <c r="W1769" s="1">
        <f>IF(Table1[[#This Row],[Cal Type]]&lt;&gt;"ACCREDITED 17025 WITH UNCERTAINTIES",0,"")</f>
        <v>0</v>
      </c>
      <c r="X1769" s="1" t="str">
        <f>IF(Table1[[#This Row],[DUT Read]]="","N/A",Table1[[#This Row],[Std Error]]+Table1[[#This Row],[DUT Read]]+Table1[[#This Row],[DUT Ucty]])</f>
        <v>N/A</v>
      </c>
      <c r="Y1769" s="1" t="str">
        <f>IF(Table1[[#This Row],[Std Read]]="","N/A",Table1[[#This Row],[Std Read]]+Table1[[#This Row],[Std Ucty]])</f>
        <v>N/A</v>
      </c>
      <c r="Z17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69" s="1" t="str">
        <f>IF(Table1[[#This Row],[Spec Type]]="","N/A",Table1[[#This Row],[Spec Type]])</f>
        <v>±</v>
      </c>
      <c r="AC1769" s="1" t="str">
        <f>IF(Table1[[#This Row],[Spec Type2]]="N/A","N/A",IF(AND(Table1[[#This Row],[DUT Adj Read]]&gt;=Table1[[#This Row],[Low Tol]],Table1[[#This Row],[DUT Adj Read]]&lt;=Table1[[#This Row],[High Tol]]),"Pass","Fail"))</f>
        <v>Fail</v>
      </c>
      <c r="AD1769" s="1" t="str">
        <f>IF(AND(Table1[[#This Row],[Spec Type2]]="N/A",Table1[[#This Row],[DUT Adj Read]]="N/A",Table1[[#This Row],[Std Adj Read]]="N/A"),"N/A",IF(Table1[[#This Row],[DUT Adj Read]]="N/A",IF(Table1[[#This Row],[Std Adj Read]]&gt;Table1[[#This Row],[Low Tol]],"Pass","Fail"),IF(Table1[[#This Row],[DUT Adj Read]]&gt;Table1[[#This Row],[Low Tol]],"Pass","Fail")))</f>
        <v>Pass</v>
      </c>
      <c r="AE1769" s="1" t="str">
        <f>IF(AND(Table1[[#This Row],[Spec Type2]]="N/A",Table1[[#This Row],[DUT Adj Read]]="N/A",Table1[[#This Row],[Std Adj Read]]="N/A"),"N/A",IF(Table1[[#This Row],[DUT Adj Read]]="N/A",IF(Table1[[#This Row],[Std Adj Read]]&lt;Table1[[#This Row],[High Tol]],"Pass","Fail"),IF(Table1[[#This Row],[DUT Adj Read]]&lt;Table1[[#This Row],[High Tol]],"Pass","Fail")))</f>
        <v>Fail</v>
      </c>
      <c r="AF1769" s="1" t="str">
        <f>IF(AND(Table1[[#This Row],[Spec Type2]]="N/A",Table1[[#This Row],[DUT Adj Read]]="N/A",Table1[[#This Row],[Std Adj Read]]="N/A"),"N/A",IF(Table1[[#This Row],[DUT Adj Read]]="N/A",IF(Table1[[#This Row],[Std Adj Read]]&gt;=Table1[[#This Row],[Low Tol]],"Pass","Fail"),IF(Table1[[#This Row],[DUT Adj Read]]&gt;=Table1[[#This Row],[Low Tol]],"Pass","Fail")))</f>
        <v>Pass</v>
      </c>
      <c r="AG1769" s="1" t="str">
        <f>IF(AND(Table1[[#This Row],[Spec Type2]]="N/A",Table1[[#This Row],[DUT Adj Read]]="N/A",Table1[[#This Row],[Std Adj Read]]="N/A"),"N/A",IF(Table1[[#This Row],[DUT Adj Read]]="N/A",IF(Table1[[#This Row],[Std Adj Read]]&lt;=Table1[[#This Row],[High Tol]],"Pass","Fail"),IF(Table1[[#This Row],[DUT Adj Read]]&lt;=Table1[[#This Row],[High Tol]],"Pass","Fail")))</f>
        <v>Fail</v>
      </c>
      <c r="AH17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69" s="1" t="b">
        <v>0</v>
      </c>
      <c r="AN1769" s="1" t="b">
        <v>0</v>
      </c>
      <c r="AO1769" s="1" t="b">
        <v>0</v>
      </c>
    </row>
    <row r="1770" spans="1:41" x14ac:dyDescent="0.25">
      <c r="A1770" s="10"/>
      <c r="B1770" s="10"/>
      <c r="C1770" s="10"/>
      <c r="D1770" s="10"/>
      <c r="E1770" s="10"/>
      <c r="F1770" s="10"/>
      <c r="G1770" s="10"/>
      <c r="H1770" s="10"/>
      <c r="I1770" s="1" t="str">
        <f t="shared" si="81"/>
        <v/>
      </c>
      <c r="J1770" s="1" t="s">
        <v>35</v>
      </c>
      <c r="K1770" s="1" t="str">
        <f t="shared" si="82"/>
        <v/>
      </c>
      <c r="L1770" s="1" t="str">
        <f t="shared" si="83"/>
        <v/>
      </c>
      <c r="M1770" s="1">
        <f>IF(OR(Table1[[#This Row],[Std Nom]]="",Table1[[#This Row],[Std Read]]=""),0,Table1[[#This Row],[Std Nom]]-Table1[[#This Row],[Std Read]])</f>
        <v>0</v>
      </c>
      <c r="N1770" s="1">
        <f>IF(Calculations!$F$5="ACCREDITED 17025 WITH UNCERTAINTIES",$N$10,0)</f>
        <v>0</v>
      </c>
      <c r="Q1770" s="1">
        <f>Table1[[#This Row],[High Tol]]-Table1[[#This Row],[Low Tol]]</f>
        <v>0</v>
      </c>
      <c r="R1770" s="1">
        <f>2*Table1[[#This Row],[Std Error]]</f>
        <v>0</v>
      </c>
      <c r="S1770" s="1" t="str">
        <f>IF(Table1[[#This Row],[High Tol]]="","N/A",IFERROR(ABS(Table1[[#This Row],[Tol Span]]/Table1[[#This Row],[Error Span]]),"N/A"))</f>
        <v>N/A</v>
      </c>
      <c r="T1770" s="1" t="str">
        <f>IF(OR(Table1[[#This Row],[Low Tol]]="",Table1[[#This Row],[High Tol]]=""),"Needs Analysis",IF(Table1[[#This Row],[Ratio]]&gt;=4,"Not Significant",IF(Table1[[#This Row],[Ratio]]&gt;=2,"Semi-Significant","Significant")))</f>
        <v>Needs Analysis</v>
      </c>
      <c r="W1770" s="1">
        <f>IF(Table1[[#This Row],[Cal Type]]&lt;&gt;"ACCREDITED 17025 WITH UNCERTAINTIES",0,"")</f>
        <v>0</v>
      </c>
      <c r="X1770" s="1" t="str">
        <f>IF(Table1[[#This Row],[DUT Read]]="","N/A",Table1[[#This Row],[Std Error]]+Table1[[#This Row],[DUT Read]]+Table1[[#This Row],[DUT Ucty]])</f>
        <v>N/A</v>
      </c>
      <c r="Y1770" s="1" t="str">
        <f>IF(Table1[[#This Row],[Std Read]]="","N/A",Table1[[#This Row],[Std Read]]+Table1[[#This Row],[Std Ucty]])</f>
        <v>N/A</v>
      </c>
      <c r="Z17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0" s="1" t="str">
        <f>IF(Table1[[#This Row],[Spec Type]]="","N/A",Table1[[#This Row],[Spec Type]])</f>
        <v>±</v>
      </c>
      <c r="AC1770" s="1" t="str">
        <f>IF(Table1[[#This Row],[Spec Type2]]="N/A","N/A",IF(AND(Table1[[#This Row],[DUT Adj Read]]&gt;=Table1[[#This Row],[Low Tol]],Table1[[#This Row],[DUT Adj Read]]&lt;=Table1[[#This Row],[High Tol]]),"Pass","Fail"))</f>
        <v>Fail</v>
      </c>
      <c r="AD1770" s="1" t="str">
        <f>IF(AND(Table1[[#This Row],[Spec Type2]]="N/A",Table1[[#This Row],[DUT Adj Read]]="N/A",Table1[[#This Row],[Std Adj Read]]="N/A"),"N/A",IF(Table1[[#This Row],[DUT Adj Read]]="N/A",IF(Table1[[#This Row],[Std Adj Read]]&gt;Table1[[#This Row],[Low Tol]],"Pass","Fail"),IF(Table1[[#This Row],[DUT Adj Read]]&gt;Table1[[#This Row],[Low Tol]],"Pass","Fail")))</f>
        <v>Pass</v>
      </c>
      <c r="AE1770" s="1" t="str">
        <f>IF(AND(Table1[[#This Row],[Spec Type2]]="N/A",Table1[[#This Row],[DUT Adj Read]]="N/A",Table1[[#This Row],[Std Adj Read]]="N/A"),"N/A",IF(Table1[[#This Row],[DUT Adj Read]]="N/A",IF(Table1[[#This Row],[Std Adj Read]]&lt;Table1[[#This Row],[High Tol]],"Pass","Fail"),IF(Table1[[#This Row],[DUT Adj Read]]&lt;Table1[[#This Row],[High Tol]],"Pass","Fail")))</f>
        <v>Fail</v>
      </c>
      <c r="AF1770" s="1" t="str">
        <f>IF(AND(Table1[[#This Row],[Spec Type2]]="N/A",Table1[[#This Row],[DUT Adj Read]]="N/A",Table1[[#This Row],[Std Adj Read]]="N/A"),"N/A",IF(Table1[[#This Row],[DUT Adj Read]]="N/A",IF(Table1[[#This Row],[Std Adj Read]]&gt;=Table1[[#This Row],[Low Tol]],"Pass","Fail"),IF(Table1[[#This Row],[DUT Adj Read]]&gt;=Table1[[#This Row],[Low Tol]],"Pass","Fail")))</f>
        <v>Pass</v>
      </c>
      <c r="AG1770" s="1" t="str">
        <f>IF(AND(Table1[[#This Row],[Spec Type2]]="N/A",Table1[[#This Row],[DUT Adj Read]]="N/A",Table1[[#This Row],[Std Adj Read]]="N/A"),"N/A",IF(Table1[[#This Row],[DUT Adj Read]]="N/A",IF(Table1[[#This Row],[Std Adj Read]]&lt;=Table1[[#This Row],[High Tol]],"Pass","Fail"),IF(Table1[[#This Row],[DUT Adj Read]]&lt;=Table1[[#This Row],[High Tol]],"Pass","Fail")))</f>
        <v>Fail</v>
      </c>
      <c r="AH17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0" s="1" t="b">
        <v>0</v>
      </c>
      <c r="AN1770" s="1" t="b">
        <v>0</v>
      </c>
      <c r="AO1770" s="1" t="b">
        <v>0</v>
      </c>
    </row>
    <row r="1771" spans="1:41" x14ac:dyDescent="0.25">
      <c r="A1771" s="10"/>
      <c r="B1771" s="10"/>
      <c r="C1771" s="10"/>
      <c r="D1771" s="10"/>
      <c r="E1771" s="10"/>
      <c r="F1771" s="10"/>
      <c r="G1771" s="10"/>
      <c r="H1771" s="10"/>
      <c r="I1771" s="1" t="str">
        <f t="shared" si="81"/>
        <v/>
      </c>
      <c r="J1771" s="1" t="s">
        <v>35</v>
      </c>
      <c r="K1771" s="1" t="str">
        <f t="shared" si="82"/>
        <v/>
      </c>
      <c r="L1771" s="1" t="str">
        <f t="shared" si="83"/>
        <v/>
      </c>
      <c r="M1771" s="1">
        <f>IF(OR(Table1[[#This Row],[Std Nom]]="",Table1[[#This Row],[Std Read]]=""),0,Table1[[#This Row],[Std Nom]]-Table1[[#This Row],[Std Read]])</f>
        <v>0</v>
      </c>
      <c r="N1771" s="1">
        <f>IF(Calculations!$F$5="ACCREDITED 17025 WITH UNCERTAINTIES",$N$10,0)</f>
        <v>0</v>
      </c>
      <c r="Q1771" s="1">
        <f>Table1[[#This Row],[High Tol]]-Table1[[#This Row],[Low Tol]]</f>
        <v>0</v>
      </c>
      <c r="R1771" s="1">
        <f>2*Table1[[#This Row],[Std Error]]</f>
        <v>0</v>
      </c>
      <c r="S1771" s="1" t="str">
        <f>IF(Table1[[#This Row],[High Tol]]="","N/A",IFERROR(ABS(Table1[[#This Row],[Tol Span]]/Table1[[#This Row],[Error Span]]),"N/A"))</f>
        <v>N/A</v>
      </c>
      <c r="T1771" s="1" t="str">
        <f>IF(OR(Table1[[#This Row],[Low Tol]]="",Table1[[#This Row],[High Tol]]=""),"Needs Analysis",IF(Table1[[#This Row],[Ratio]]&gt;=4,"Not Significant",IF(Table1[[#This Row],[Ratio]]&gt;=2,"Semi-Significant","Significant")))</f>
        <v>Needs Analysis</v>
      </c>
      <c r="W1771" s="1">
        <f>IF(Table1[[#This Row],[Cal Type]]&lt;&gt;"ACCREDITED 17025 WITH UNCERTAINTIES",0,"")</f>
        <v>0</v>
      </c>
      <c r="X1771" s="1" t="str">
        <f>IF(Table1[[#This Row],[DUT Read]]="","N/A",Table1[[#This Row],[Std Error]]+Table1[[#This Row],[DUT Read]]+Table1[[#This Row],[DUT Ucty]])</f>
        <v>N/A</v>
      </c>
      <c r="Y1771" s="1" t="str">
        <f>IF(Table1[[#This Row],[Std Read]]="","N/A",Table1[[#This Row],[Std Read]]+Table1[[#This Row],[Std Ucty]])</f>
        <v>N/A</v>
      </c>
      <c r="Z17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1" s="1" t="str">
        <f>IF(Table1[[#This Row],[Spec Type]]="","N/A",Table1[[#This Row],[Spec Type]])</f>
        <v>±</v>
      </c>
      <c r="AC1771" s="1" t="str">
        <f>IF(Table1[[#This Row],[Spec Type2]]="N/A","N/A",IF(AND(Table1[[#This Row],[DUT Adj Read]]&gt;=Table1[[#This Row],[Low Tol]],Table1[[#This Row],[DUT Adj Read]]&lt;=Table1[[#This Row],[High Tol]]),"Pass","Fail"))</f>
        <v>Fail</v>
      </c>
      <c r="AD1771" s="1" t="str">
        <f>IF(AND(Table1[[#This Row],[Spec Type2]]="N/A",Table1[[#This Row],[DUT Adj Read]]="N/A",Table1[[#This Row],[Std Adj Read]]="N/A"),"N/A",IF(Table1[[#This Row],[DUT Adj Read]]="N/A",IF(Table1[[#This Row],[Std Adj Read]]&gt;Table1[[#This Row],[Low Tol]],"Pass","Fail"),IF(Table1[[#This Row],[DUT Adj Read]]&gt;Table1[[#This Row],[Low Tol]],"Pass","Fail")))</f>
        <v>Pass</v>
      </c>
      <c r="AE1771" s="1" t="str">
        <f>IF(AND(Table1[[#This Row],[Spec Type2]]="N/A",Table1[[#This Row],[DUT Adj Read]]="N/A",Table1[[#This Row],[Std Adj Read]]="N/A"),"N/A",IF(Table1[[#This Row],[DUT Adj Read]]="N/A",IF(Table1[[#This Row],[Std Adj Read]]&lt;Table1[[#This Row],[High Tol]],"Pass","Fail"),IF(Table1[[#This Row],[DUT Adj Read]]&lt;Table1[[#This Row],[High Tol]],"Pass","Fail")))</f>
        <v>Fail</v>
      </c>
      <c r="AF1771" s="1" t="str">
        <f>IF(AND(Table1[[#This Row],[Spec Type2]]="N/A",Table1[[#This Row],[DUT Adj Read]]="N/A",Table1[[#This Row],[Std Adj Read]]="N/A"),"N/A",IF(Table1[[#This Row],[DUT Adj Read]]="N/A",IF(Table1[[#This Row],[Std Adj Read]]&gt;=Table1[[#This Row],[Low Tol]],"Pass","Fail"),IF(Table1[[#This Row],[DUT Adj Read]]&gt;=Table1[[#This Row],[Low Tol]],"Pass","Fail")))</f>
        <v>Pass</v>
      </c>
      <c r="AG1771" s="1" t="str">
        <f>IF(AND(Table1[[#This Row],[Spec Type2]]="N/A",Table1[[#This Row],[DUT Adj Read]]="N/A",Table1[[#This Row],[Std Adj Read]]="N/A"),"N/A",IF(Table1[[#This Row],[DUT Adj Read]]="N/A",IF(Table1[[#This Row],[Std Adj Read]]&lt;=Table1[[#This Row],[High Tol]],"Pass","Fail"),IF(Table1[[#This Row],[DUT Adj Read]]&lt;=Table1[[#This Row],[High Tol]],"Pass","Fail")))</f>
        <v>Fail</v>
      </c>
      <c r="AH17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1" s="1" t="b">
        <v>0</v>
      </c>
      <c r="AN1771" s="1" t="b">
        <v>0</v>
      </c>
      <c r="AO1771" s="1" t="b">
        <v>0</v>
      </c>
    </row>
    <row r="1772" spans="1:41" x14ac:dyDescent="0.25">
      <c r="A1772" s="10"/>
      <c r="B1772" s="10"/>
      <c r="C1772" s="10"/>
      <c r="D1772" s="10"/>
      <c r="E1772" s="10"/>
      <c r="F1772" s="10"/>
      <c r="G1772" s="10"/>
      <c r="H1772" s="10"/>
      <c r="I1772" s="1" t="str">
        <f t="shared" si="81"/>
        <v/>
      </c>
      <c r="J1772" s="1" t="s">
        <v>35</v>
      </c>
      <c r="K1772" s="1" t="str">
        <f t="shared" si="82"/>
        <v/>
      </c>
      <c r="L1772" s="1" t="str">
        <f t="shared" si="83"/>
        <v/>
      </c>
      <c r="M1772" s="1">
        <f>IF(OR(Table1[[#This Row],[Std Nom]]="",Table1[[#This Row],[Std Read]]=""),0,Table1[[#This Row],[Std Nom]]-Table1[[#This Row],[Std Read]])</f>
        <v>0</v>
      </c>
      <c r="N1772" s="1">
        <f>IF(Calculations!$F$5="ACCREDITED 17025 WITH UNCERTAINTIES",$N$10,0)</f>
        <v>0</v>
      </c>
      <c r="Q1772" s="1">
        <f>Table1[[#This Row],[High Tol]]-Table1[[#This Row],[Low Tol]]</f>
        <v>0</v>
      </c>
      <c r="R1772" s="1">
        <f>2*Table1[[#This Row],[Std Error]]</f>
        <v>0</v>
      </c>
      <c r="S1772" s="1" t="str">
        <f>IF(Table1[[#This Row],[High Tol]]="","N/A",IFERROR(ABS(Table1[[#This Row],[Tol Span]]/Table1[[#This Row],[Error Span]]),"N/A"))</f>
        <v>N/A</v>
      </c>
      <c r="T1772" s="1" t="str">
        <f>IF(OR(Table1[[#This Row],[Low Tol]]="",Table1[[#This Row],[High Tol]]=""),"Needs Analysis",IF(Table1[[#This Row],[Ratio]]&gt;=4,"Not Significant",IF(Table1[[#This Row],[Ratio]]&gt;=2,"Semi-Significant","Significant")))</f>
        <v>Needs Analysis</v>
      </c>
      <c r="W1772" s="1">
        <f>IF(Table1[[#This Row],[Cal Type]]&lt;&gt;"ACCREDITED 17025 WITH UNCERTAINTIES",0,"")</f>
        <v>0</v>
      </c>
      <c r="X1772" s="1" t="str">
        <f>IF(Table1[[#This Row],[DUT Read]]="","N/A",Table1[[#This Row],[Std Error]]+Table1[[#This Row],[DUT Read]]+Table1[[#This Row],[DUT Ucty]])</f>
        <v>N/A</v>
      </c>
      <c r="Y1772" s="1" t="str">
        <f>IF(Table1[[#This Row],[Std Read]]="","N/A",Table1[[#This Row],[Std Read]]+Table1[[#This Row],[Std Ucty]])</f>
        <v>N/A</v>
      </c>
      <c r="Z17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2" s="1" t="str">
        <f>IF(Table1[[#This Row],[Spec Type]]="","N/A",Table1[[#This Row],[Spec Type]])</f>
        <v>±</v>
      </c>
      <c r="AC1772" s="1" t="str">
        <f>IF(Table1[[#This Row],[Spec Type2]]="N/A","N/A",IF(AND(Table1[[#This Row],[DUT Adj Read]]&gt;=Table1[[#This Row],[Low Tol]],Table1[[#This Row],[DUT Adj Read]]&lt;=Table1[[#This Row],[High Tol]]),"Pass","Fail"))</f>
        <v>Fail</v>
      </c>
      <c r="AD1772" s="1" t="str">
        <f>IF(AND(Table1[[#This Row],[Spec Type2]]="N/A",Table1[[#This Row],[DUT Adj Read]]="N/A",Table1[[#This Row],[Std Adj Read]]="N/A"),"N/A",IF(Table1[[#This Row],[DUT Adj Read]]="N/A",IF(Table1[[#This Row],[Std Adj Read]]&gt;Table1[[#This Row],[Low Tol]],"Pass","Fail"),IF(Table1[[#This Row],[DUT Adj Read]]&gt;Table1[[#This Row],[Low Tol]],"Pass","Fail")))</f>
        <v>Pass</v>
      </c>
      <c r="AE1772" s="1" t="str">
        <f>IF(AND(Table1[[#This Row],[Spec Type2]]="N/A",Table1[[#This Row],[DUT Adj Read]]="N/A",Table1[[#This Row],[Std Adj Read]]="N/A"),"N/A",IF(Table1[[#This Row],[DUT Adj Read]]="N/A",IF(Table1[[#This Row],[Std Adj Read]]&lt;Table1[[#This Row],[High Tol]],"Pass","Fail"),IF(Table1[[#This Row],[DUT Adj Read]]&lt;Table1[[#This Row],[High Tol]],"Pass","Fail")))</f>
        <v>Fail</v>
      </c>
      <c r="AF1772" s="1" t="str">
        <f>IF(AND(Table1[[#This Row],[Spec Type2]]="N/A",Table1[[#This Row],[DUT Adj Read]]="N/A",Table1[[#This Row],[Std Adj Read]]="N/A"),"N/A",IF(Table1[[#This Row],[DUT Adj Read]]="N/A",IF(Table1[[#This Row],[Std Adj Read]]&gt;=Table1[[#This Row],[Low Tol]],"Pass","Fail"),IF(Table1[[#This Row],[DUT Adj Read]]&gt;=Table1[[#This Row],[Low Tol]],"Pass","Fail")))</f>
        <v>Pass</v>
      </c>
      <c r="AG1772" s="1" t="str">
        <f>IF(AND(Table1[[#This Row],[Spec Type2]]="N/A",Table1[[#This Row],[DUT Adj Read]]="N/A",Table1[[#This Row],[Std Adj Read]]="N/A"),"N/A",IF(Table1[[#This Row],[DUT Adj Read]]="N/A",IF(Table1[[#This Row],[Std Adj Read]]&lt;=Table1[[#This Row],[High Tol]],"Pass","Fail"),IF(Table1[[#This Row],[DUT Adj Read]]&lt;=Table1[[#This Row],[High Tol]],"Pass","Fail")))</f>
        <v>Fail</v>
      </c>
      <c r="AH17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2" s="1" t="b">
        <v>0</v>
      </c>
      <c r="AN1772" s="1" t="b">
        <v>0</v>
      </c>
      <c r="AO1772" s="1" t="b">
        <v>0</v>
      </c>
    </row>
    <row r="1773" spans="1:41" x14ac:dyDescent="0.25">
      <c r="A1773" s="10"/>
      <c r="B1773" s="10"/>
      <c r="C1773" s="10"/>
      <c r="D1773" s="10"/>
      <c r="E1773" s="10"/>
      <c r="F1773" s="10"/>
      <c r="G1773" s="10"/>
      <c r="H1773" s="10"/>
      <c r="I1773" s="1" t="str">
        <f t="shared" si="81"/>
        <v/>
      </c>
      <c r="J1773" s="1" t="s">
        <v>35</v>
      </c>
      <c r="K1773" s="1" t="str">
        <f t="shared" si="82"/>
        <v/>
      </c>
      <c r="L1773" s="1" t="str">
        <f t="shared" si="83"/>
        <v/>
      </c>
      <c r="M1773" s="1">
        <f>IF(OR(Table1[[#This Row],[Std Nom]]="",Table1[[#This Row],[Std Read]]=""),0,Table1[[#This Row],[Std Nom]]-Table1[[#This Row],[Std Read]])</f>
        <v>0</v>
      </c>
      <c r="N1773" s="1">
        <f>IF(Calculations!$F$5="ACCREDITED 17025 WITH UNCERTAINTIES",$N$10,0)</f>
        <v>0</v>
      </c>
      <c r="Q1773" s="1">
        <f>Table1[[#This Row],[High Tol]]-Table1[[#This Row],[Low Tol]]</f>
        <v>0</v>
      </c>
      <c r="R1773" s="1">
        <f>2*Table1[[#This Row],[Std Error]]</f>
        <v>0</v>
      </c>
      <c r="S1773" s="1" t="str">
        <f>IF(Table1[[#This Row],[High Tol]]="","N/A",IFERROR(ABS(Table1[[#This Row],[Tol Span]]/Table1[[#This Row],[Error Span]]),"N/A"))</f>
        <v>N/A</v>
      </c>
      <c r="T1773" s="1" t="str">
        <f>IF(OR(Table1[[#This Row],[Low Tol]]="",Table1[[#This Row],[High Tol]]=""),"Needs Analysis",IF(Table1[[#This Row],[Ratio]]&gt;=4,"Not Significant",IF(Table1[[#This Row],[Ratio]]&gt;=2,"Semi-Significant","Significant")))</f>
        <v>Needs Analysis</v>
      </c>
      <c r="W1773" s="1">
        <f>IF(Table1[[#This Row],[Cal Type]]&lt;&gt;"ACCREDITED 17025 WITH UNCERTAINTIES",0,"")</f>
        <v>0</v>
      </c>
      <c r="X1773" s="1" t="str">
        <f>IF(Table1[[#This Row],[DUT Read]]="","N/A",Table1[[#This Row],[Std Error]]+Table1[[#This Row],[DUT Read]]+Table1[[#This Row],[DUT Ucty]])</f>
        <v>N/A</v>
      </c>
      <c r="Y1773" s="1" t="str">
        <f>IF(Table1[[#This Row],[Std Read]]="","N/A",Table1[[#This Row],[Std Read]]+Table1[[#This Row],[Std Ucty]])</f>
        <v>N/A</v>
      </c>
      <c r="Z17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3" s="1" t="str">
        <f>IF(Table1[[#This Row],[Spec Type]]="","N/A",Table1[[#This Row],[Spec Type]])</f>
        <v>±</v>
      </c>
      <c r="AC1773" s="1" t="str">
        <f>IF(Table1[[#This Row],[Spec Type2]]="N/A","N/A",IF(AND(Table1[[#This Row],[DUT Adj Read]]&gt;=Table1[[#This Row],[Low Tol]],Table1[[#This Row],[DUT Adj Read]]&lt;=Table1[[#This Row],[High Tol]]),"Pass","Fail"))</f>
        <v>Fail</v>
      </c>
      <c r="AD1773" s="1" t="str">
        <f>IF(AND(Table1[[#This Row],[Spec Type2]]="N/A",Table1[[#This Row],[DUT Adj Read]]="N/A",Table1[[#This Row],[Std Adj Read]]="N/A"),"N/A",IF(Table1[[#This Row],[DUT Adj Read]]="N/A",IF(Table1[[#This Row],[Std Adj Read]]&gt;Table1[[#This Row],[Low Tol]],"Pass","Fail"),IF(Table1[[#This Row],[DUT Adj Read]]&gt;Table1[[#This Row],[Low Tol]],"Pass","Fail")))</f>
        <v>Pass</v>
      </c>
      <c r="AE1773" s="1" t="str">
        <f>IF(AND(Table1[[#This Row],[Spec Type2]]="N/A",Table1[[#This Row],[DUT Adj Read]]="N/A",Table1[[#This Row],[Std Adj Read]]="N/A"),"N/A",IF(Table1[[#This Row],[DUT Adj Read]]="N/A",IF(Table1[[#This Row],[Std Adj Read]]&lt;Table1[[#This Row],[High Tol]],"Pass","Fail"),IF(Table1[[#This Row],[DUT Adj Read]]&lt;Table1[[#This Row],[High Tol]],"Pass","Fail")))</f>
        <v>Fail</v>
      </c>
      <c r="AF1773" s="1" t="str">
        <f>IF(AND(Table1[[#This Row],[Spec Type2]]="N/A",Table1[[#This Row],[DUT Adj Read]]="N/A",Table1[[#This Row],[Std Adj Read]]="N/A"),"N/A",IF(Table1[[#This Row],[DUT Adj Read]]="N/A",IF(Table1[[#This Row],[Std Adj Read]]&gt;=Table1[[#This Row],[Low Tol]],"Pass","Fail"),IF(Table1[[#This Row],[DUT Adj Read]]&gt;=Table1[[#This Row],[Low Tol]],"Pass","Fail")))</f>
        <v>Pass</v>
      </c>
      <c r="AG1773" s="1" t="str">
        <f>IF(AND(Table1[[#This Row],[Spec Type2]]="N/A",Table1[[#This Row],[DUT Adj Read]]="N/A",Table1[[#This Row],[Std Adj Read]]="N/A"),"N/A",IF(Table1[[#This Row],[DUT Adj Read]]="N/A",IF(Table1[[#This Row],[Std Adj Read]]&lt;=Table1[[#This Row],[High Tol]],"Pass","Fail"),IF(Table1[[#This Row],[DUT Adj Read]]&lt;=Table1[[#This Row],[High Tol]],"Pass","Fail")))</f>
        <v>Fail</v>
      </c>
      <c r="AH17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3" s="1" t="b">
        <v>0</v>
      </c>
      <c r="AN1773" s="1" t="b">
        <v>0</v>
      </c>
      <c r="AO1773" s="1" t="b">
        <v>0</v>
      </c>
    </row>
    <row r="1774" spans="1:41" x14ac:dyDescent="0.25">
      <c r="A1774" s="10"/>
      <c r="B1774" s="10"/>
      <c r="C1774" s="10"/>
      <c r="D1774" s="10"/>
      <c r="E1774" s="10"/>
      <c r="F1774" s="10"/>
      <c r="G1774" s="10"/>
      <c r="H1774" s="10"/>
      <c r="I1774" s="1" t="str">
        <f t="shared" si="81"/>
        <v/>
      </c>
      <c r="J1774" s="1" t="s">
        <v>35</v>
      </c>
      <c r="K1774" s="1" t="str">
        <f t="shared" si="82"/>
        <v/>
      </c>
      <c r="L1774" s="1" t="str">
        <f t="shared" si="83"/>
        <v/>
      </c>
      <c r="M1774" s="1">
        <f>IF(OR(Table1[[#This Row],[Std Nom]]="",Table1[[#This Row],[Std Read]]=""),0,Table1[[#This Row],[Std Nom]]-Table1[[#This Row],[Std Read]])</f>
        <v>0</v>
      </c>
      <c r="N1774" s="1">
        <f>IF(Calculations!$F$5="ACCREDITED 17025 WITH UNCERTAINTIES",$N$10,0)</f>
        <v>0</v>
      </c>
      <c r="Q1774" s="1">
        <f>Table1[[#This Row],[High Tol]]-Table1[[#This Row],[Low Tol]]</f>
        <v>0</v>
      </c>
      <c r="R1774" s="1">
        <f>2*Table1[[#This Row],[Std Error]]</f>
        <v>0</v>
      </c>
      <c r="S1774" s="1" t="str">
        <f>IF(Table1[[#This Row],[High Tol]]="","N/A",IFERROR(ABS(Table1[[#This Row],[Tol Span]]/Table1[[#This Row],[Error Span]]),"N/A"))</f>
        <v>N/A</v>
      </c>
      <c r="T1774" s="1" t="str">
        <f>IF(OR(Table1[[#This Row],[Low Tol]]="",Table1[[#This Row],[High Tol]]=""),"Needs Analysis",IF(Table1[[#This Row],[Ratio]]&gt;=4,"Not Significant",IF(Table1[[#This Row],[Ratio]]&gt;=2,"Semi-Significant","Significant")))</f>
        <v>Needs Analysis</v>
      </c>
      <c r="W1774" s="1">
        <f>IF(Table1[[#This Row],[Cal Type]]&lt;&gt;"ACCREDITED 17025 WITH UNCERTAINTIES",0,"")</f>
        <v>0</v>
      </c>
      <c r="X1774" s="1" t="str">
        <f>IF(Table1[[#This Row],[DUT Read]]="","N/A",Table1[[#This Row],[Std Error]]+Table1[[#This Row],[DUT Read]]+Table1[[#This Row],[DUT Ucty]])</f>
        <v>N/A</v>
      </c>
      <c r="Y1774" s="1" t="str">
        <f>IF(Table1[[#This Row],[Std Read]]="","N/A",Table1[[#This Row],[Std Read]]+Table1[[#This Row],[Std Ucty]])</f>
        <v>N/A</v>
      </c>
      <c r="Z17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4" s="1" t="str">
        <f>IF(Table1[[#This Row],[Spec Type]]="","N/A",Table1[[#This Row],[Spec Type]])</f>
        <v>±</v>
      </c>
      <c r="AC1774" s="1" t="str">
        <f>IF(Table1[[#This Row],[Spec Type2]]="N/A","N/A",IF(AND(Table1[[#This Row],[DUT Adj Read]]&gt;=Table1[[#This Row],[Low Tol]],Table1[[#This Row],[DUT Adj Read]]&lt;=Table1[[#This Row],[High Tol]]),"Pass","Fail"))</f>
        <v>Fail</v>
      </c>
      <c r="AD1774" s="1" t="str">
        <f>IF(AND(Table1[[#This Row],[Spec Type2]]="N/A",Table1[[#This Row],[DUT Adj Read]]="N/A",Table1[[#This Row],[Std Adj Read]]="N/A"),"N/A",IF(Table1[[#This Row],[DUT Adj Read]]="N/A",IF(Table1[[#This Row],[Std Adj Read]]&gt;Table1[[#This Row],[Low Tol]],"Pass","Fail"),IF(Table1[[#This Row],[DUT Adj Read]]&gt;Table1[[#This Row],[Low Tol]],"Pass","Fail")))</f>
        <v>Pass</v>
      </c>
      <c r="AE1774" s="1" t="str">
        <f>IF(AND(Table1[[#This Row],[Spec Type2]]="N/A",Table1[[#This Row],[DUT Adj Read]]="N/A",Table1[[#This Row],[Std Adj Read]]="N/A"),"N/A",IF(Table1[[#This Row],[DUT Adj Read]]="N/A",IF(Table1[[#This Row],[Std Adj Read]]&lt;Table1[[#This Row],[High Tol]],"Pass","Fail"),IF(Table1[[#This Row],[DUT Adj Read]]&lt;Table1[[#This Row],[High Tol]],"Pass","Fail")))</f>
        <v>Fail</v>
      </c>
      <c r="AF1774" s="1" t="str">
        <f>IF(AND(Table1[[#This Row],[Spec Type2]]="N/A",Table1[[#This Row],[DUT Adj Read]]="N/A",Table1[[#This Row],[Std Adj Read]]="N/A"),"N/A",IF(Table1[[#This Row],[DUT Adj Read]]="N/A",IF(Table1[[#This Row],[Std Adj Read]]&gt;=Table1[[#This Row],[Low Tol]],"Pass","Fail"),IF(Table1[[#This Row],[DUT Adj Read]]&gt;=Table1[[#This Row],[Low Tol]],"Pass","Fail")))</f>
        <v>Pass</v>
      </c>
      <c r="AG1774" s="1" t="str">
        <f>IF(AND(Table1[[#This Row],[Spec Type2]]="N/A",Table1[[#This Row],[DUT Adj Read]]="N/A",Table1[[#This Row],[Std Adj Read]]="N/A"),"N/A",IF(Table1[[#This Row],[DUT Adj Read]]="N/A",IF(Table1[[#This Row],[Std Adj Read]]&lt;=Table1[[#This Row],[High Tol]],"Pass","Fail"),IF(Table1[[#This Row],[DUT Adj Read]]&lt;=Table1[[#This Row],[High Tol]],"Pass","Fail")))</f>
        <v>Fail</v>
      </c>
      <c r="AH17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4" s="1" t="b">
        <v>0</v>
      </c>
      <c r="AN1774" s="1" t="b">
        <v>0</v>
      </c>
      <c r="AO1774" s="1" t="b">
        <v>0</v>
      </c>
    </row>
    <row r="1775" spans="1:41" x14ac:dyDescent="0.25">
      <c r="A1775" s="10"/>
      <c r="B1775" s="10"/>
      <c r="C1775" s="10"/>
      <c r="D1775" s="10"/>
      <c r="E1775" s="10"/>
      <c r="F1775" s="10"/>
      <c r="G1775" s="10"/>
      <c r="H1775" s="10"/>
      <c r="I1775" s="1" t="str">
        <f t="shared" si="81"/>
        <v/>
      </c>
      <c r="J1775" s="1" t="s">
        <v>35</v>
      </c>
      <c r="K1775" s="1" t="str">
        <f t="shared" si="82"/>
        <v/>
      </c>
      <c r="L1775" s="1" t="str">
        <f t="shared" si="83"/>
        <v/>
      </c>
      <c r="M1775" s="1">
        <f>IF(OR(Table1[[#This Row],[Std Nom]]="",Table1[[#This Row],[Std Read]]=""),0,Table1[[#This Row],[Std Nom]]-Table1[[#This Row],[Std Read]])</f>
        <v>0</v>
      </c>
      <c r="N1775" s="1">
        <f>IF(Calculations!$F$5="ACCREDITED 17025 WITH UNCERTAINTIES",$N$10,0)</f>
        <v>0</v>
      </c>
      <c r="Q1775" s="1">
        <f>Table1[[#This Row],[High Tol]]-Table1[[#This Row],[Low Tol]]</f>
        <v>0</v>
      </c>
      <c r="R1775" s="1">
        <f>2*Table1[[#This Row],[Std Error]]</f>
        <v>0</v>
      </c>
      <c r="S1775" s="1" t="str">
        <f>IF(Table1[[#This Row],[High Tol]]="","N/A",IFERROR(ABS(Table1[[#This Row],[Tol Span]]/Table1[[#This Row],[Error Span]]),"N/A"))</f>
        <v>N/A</v>
      </c>
      <c r="T1775" s="1" t="str">
        <f>IF(OR(Table1[[#This Row],[Low Tol]]="",Table1[[#This Row],[High Tol]]=""),"Needs Analysis",IF(Table1[[#This Row],[Ratio]]&gt;=4,"Not Significant",IF(Table1[[#This Row],[Ratio]]&gt;=2,"Semi-Significant","Significant")))</f>
        <v>Needs Analysis</v>
      </c>
      <c r="W1775" s="1">
        <f>IF(Table1[[#This Row],[Cal Type]]&lt;&gt;"ACCREDITED 17025 WITH UNCERTAINTIES",0,"")</f>
        <v>0</v>
      </c>
      <c r="X1775" s="1" t="str">
        <f>IF(Table1[[#This Row],[DUT Read]]="","N/A",Table1[[#This Row],[Std Error]]+Table1[[#This Row],[DUT Read]]+Table1[[#This Row],[DUT Ucty]])</f>
        <v>N/A</v>
      </c>
      <c r="Y1775" s="1" t="str">
        <f>IF(Table1[[#This Row],[Std Read]]="","N/A",Table1[[#This Row],[Std Read]]+Table1[[#This Row],[Std Ucty]])</f>
        <v>N/A</v>
      </c>
      <c r="Z17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5" s="1" t="str">
        <f>IF(Table1[[#This Row],[Spec Type]]="","N/A",Table1[[#This Row],[Spec Type]])</f>
        <v>±</v>
      </c>
      <c r="AC1775" s="1" t="str">
        <f>IF(Table1[[#This Row],[Spec Type2]]="N/A","N/A",IF(AND(Table1[[#This Row],[DUT Adj Read]]&gt;=Table1[[#This Row],[Low Tol]],Table1[[#This Row],[DUT Adj Read]]&lt;=Table1[[#This Row],[High Tol]]),"Pass","Fail"))</f>
        <v>Fail</v>
      </c>
      <c r="AD1775" s="1" t="str">
        <f>IF(AND(Table1[[#This Row],[Spec Type2]]="N/A",Table1[[#This Row],[DUT Adj Read]]="N/A",Table1[[#This Row],[Std Adj Read]]="N/A"),"N/A",IF(Table1[[#This Row],[DUT Adj Read]]="N/A",IF(Table1[[#This Row],[Std Adj Read]]&gt;Table1[[#This Row],[Low Tol]],"Pass","Fail"),IF(Table1[[#This Row],[DUT Adj Read]]&gt;Table1[[#This Row],[Low Tol]],"Pass","Fail")))</f>
        <v>Pass</v>
      </c>
      <c r="AE1775" s="1" t="str">
        <f>IF(AND(Table1[[#This Row],[Spec Type2]]="N/A",Table1[[#This Row],[DUT Adj Read]]="N/A",Table1[[#This Row],[Std Adj Read]]="N/A"),"N/A",IF(Table1[[#This Row],[DUT Adj Read]]="N/A",IF(Table1[[#This Row],[Std Adj Read]]&lt;Table1[[#This Row],[High Tol]],"Pass","Fail"),IF(Table1[[#This Row],[DUT Adj Read]]&lt;Table1[[#This Row],[High Tol]],"Pass","Fail")))</f>
        <v>Fail</v>
      </c>
      <c r="AF1775" s="1" t="str">
        <f>IF(AND(Table1[[#This Row],[Spec Type2]]="N/A",Table1[[#This Row],[DUT Adj Read]]="N/A",Table1[[#This Row],[Std Adj Read]]="N/A"),"N/A",IF(Table1[[#This Row],[DUT Adj Read]]="N/A",IF(Table1[[#This Row],[Std Adj Read]]&gt;=Table1[[#This Row],[Low Tol]],"Pass","Fail"),IF(Table1[[#This Row],[DUT Adj Read]]&gt;=Table1[[#This Row],[Low Tol]],"Pass","Fail")))</f>
        <v>Pass</v>
      </c>
      <c r="AG1775" s="1" t="str">
        <f>IF(AND(Table1[[#This Row],[Spec Type2]]="N/A",Table1[[#This Row],[DUT Adj Read]]="N/A",Table1[[#This Row],[Std Adj Read]]="N/A"),"N/A",IF(Table1[[#This Row],[DUT Adj Read]]="N/A",IF(Table1[[#This Row],[Std Adj Read]]&lt;=Table1[[#This Row],[High Tol]],"Pass","Fail"),IF(Table1[[#This Row],[DUT Adj Read]]&lt;=Table1[[#This Row],[High Tol]],"Pass","Fail")))</f>
        <v>Fail</v>
      </c>
      <c r="AH17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5" s="1" t="b">
        <v>0</v>
      </c>
      <c r="AN1775" s="1" t="b">
        <v>0</v>
      </c>
      <c r="AO1775" s="1" t="b">
        <v>0</v>
      </c>
    </row>
    <row r="1776" spans="1:41" x14ac:dyDescent="0.25">
      <c r="A1776" s="10"/>
      <c r="B1776" s="10"/>
      <c r="C1776" s="10"/>
      <c r="D1776" s="10"/>
      <c r="E1776" s="10"/>
      <c r="F1776" s="10"/>
      <c r="G1776" s="10"/>
      <c r="H1776" s="10"/>
      <c r="I1776" s="1" t="str">
        <f t="shared" si="81"/>
        <v/>
      </c>
      <c r="J1776" s="1" t="s">
        <v>35</v>
      </c>
      <c r="K1776" s="1" t="str">
        <f t="shared" si="82"/>
        <v/>
      </c>
      <c r="L1776" s="1" t="str">
        <f t="shared" si="83"/>
        <v/>
      </c>
      <c r="M1776" s="1">
        <f>IF(OR(Table1[[#This Row],[Std Nom]]="",Table1[[#This Row],[Std Read]]=""),0,Table1[[#This Row],[Std Nom]]-Table1[[#This Row],[Std Read]])</f>
        <v>0</v>
      </c>
      <c r="N1776" s="1">
        <f>IF(Calculations!$F$5="ACCREDITED 17025 WITH UNCERTAINTIES",$N$10,0)</f>
        <v>0</v>
      </c>
      <c r="Q1776" s="1">
        <f>Table1[[#This Row],[High Tol]]-Table1[[#This Row],[Low Tol]]</f>
        <v>0</v>
      </c>
      <c r="R1776" s="1">
        <f>2*Table1[[#This Row],[Std Error]]</f>
        <v>0</v>
      </c>
      <c r="S1776" s="1" t="str">
        <f>IF(Table1[[#This Row],[High Tol]]="","N/A",IFERROR(ABS(Table1[[#This Row],[Tol Span]]/Table1[[#This Row],[Error Span]]),"N/A"))</f>
        <v>N/A</v>
      </c>
      <c r="T1776" s="1" t="str">
        <f>IF(OR(Table1[[#This Row],[Low Tol]]="",Table1[[#This Row],[High Tol]]=""),"Needs Analysis",IF(Table1[[#This Row],[Ratio]]&gt;=4,"Not Significant",IF(Table1[[#This Row],[Ratio]]&gt;=2,"Semi-Significant","Significant")))</f>
        <v>Needs Analysis</v>
      </c>
      <c r="W1776" s="1">
        <f>IF(Table1[[#This Row],[Cal Type]]&lt;&gt;"ACCREDITED 17025 WITH UNCERTAINTIES",0,"")</f>
        <v>0</v>
      </c>
      <c r="X1776" s="1" t="str">
        <f>IF(Table1[[#This Row],[DUT Read]]="","N/A",Table1[[#This Row],[Std Error]]+Table1[[#This Row],[DUT Read]]+Table1[[#This Row],[DUT Ucty]])</f>
        <v>N/A</v>
      </c>
      <c r="Y1776" s="1" t="str">
        <f>IF(Table1[[#This Row],[Std Read]]="","N/A",Table1[[#This Row],[Std Read]]+Table1[[#This Row],[Std Ucty]])</f>
        <v>N/A</v>
      </c>
      <c r="Z17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6" s="1" t="str">
        <f>IF(Table1[[#This Row],[Spec Type]]="","N/A",Table1[[#This Row],[Spec Type]])</f>
        <v>±</v>
      </c>
      <c r="AC1776" s="1" t="str">
        <f>IF(Table1[[#This Row],[Spec Type2]]="N/A","N/A",IF(AND(Table1[[#This Row],[DUT Adj Read]]&gt;=Table1[[#This Row],[Low Tol]],Table1[[#This Row],[DUT Adj Read]]&lt;=Table1[[#This Row],[High Tol]]),"Pass","Fail"))</f>
        <v>Fail</v>
      </c>
      <c r="AD1776" s="1" t="str">
        <f>IF(AND(Table1[[#This Row],[Spec Type2]]="N/A",Table1[[#This Row],[DUT Adj Read]]="N/A",Table1[[#This Row],[Std Adj Read]]="N/A"),"N/A",IF(Table1[[#This Row],[DUT Adj Read]]="N/A",IF(Table1[[#This Row],[Std Adj Read]]&gt;Table1[[#This Row],[Low Tol]],"Pass","Fail"),IF(Table1[[#This Row],[DUT Adj Read]]&gt;Table1[[#This Row],[Low Tol]],"Pass","Fail")))</f>
        <v>Pass</v>
      </c>
      <c r="AE1776" s="1" t="str">
        <f>IF(AND(Table1[[#This Row],[Spec Type2]]="N/A",Table1[[#This Row],[DUT Adj Read]]="N/A",Table1[[#This Row],[Std Adj Read]]="N/A"),"N/A",IF(Table1[[#This Row],[DUT Adj Read]]="N/A",IF(Table1[[#This Row],[Std Adj Read]]&lt;Table1[[#This Row],[High Tol]],"Pass","Fail"),IF(Table1[[#This Row],[DUT Adj Read]]&lt;Table1[[#This Row],[High Tol]],"Pass","Fail")))</f>
        <v>Fail</v>
      </c>
      <c r="AF1776" s="1" t="str">
        <f>IF(AND(Table1[[#This Row],[Spec Type2]]="N/A",Table1[[#This Row],[DUT Adj Read]]="N/A",Table1[[#This Row],[Std Adj Read]]="N/A"),"N/A",IF(Table1[[#This Row],[DUT Adj Read]]="N/A",IF(Table1[[#This Row],[Std Adj Read]]&gt;=Table1[[#This Row],[Low Tol]],"Pass","Fail"),IF(Table1[[#This Row],[DUT Adj Read]]&gt;=Table1[[#This Row],[Low Tol]],"Pass","Fail")))</f>
        <v>Pass</v>
      </c>
      <c r="AG1776" s="1" t="str">
        <f>IF(AND(Table1[[#This Row],[Spec Type2]]="N/A",Table1[[#This Row],[DUT Adj Read]]="N/A",Table1[[#This Row],[Std Adj Read]]="N/A"),"N/A",IF(Table1[[#This Row],[DUT Adj Read]]="N/A",IF(Table1[[#This Row],[Std Adj Read]]&lt;=Table1[[#This Row],[High Tol]],"Pass","Fail"),IF(Table1[[#This Row],[DUT Adj Read]]&lt;=Table1[[#This Row],[High Tol]],"Pass","Fail")))</f>
        <v>Fail</v>
      </c>
      <c r="AH17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6" s="1" t="b">
        <v>0</v>
      </c>
      <c r="AN1776" s="1" t="b">
        <v>0</v>
      </c>
      <c r="AO1776" s="1" t="b">
        <v>0</v>
      </c>
    </row>
    <row r="1777" spans="1:41" x14ac:dyDescent="0.25">
      <c r="A1777" s="10"/>
      <c r="B1777" s="10"/>
      <c r="C1777" s="10"/>
      <c r="D1777" s="10"/>
      <c r="E1777" s="10"/>
      <c r="F1777" s="10"/>
      <c r="G1777" s="10"/>
      <c r="H1777" s="10"/>
      <c r="I1777" s="1" t="str">
        <f t="shared" si="81"/>
        <v/>
      </c>
      <c r="J1777" s="1" t="s">
        <v>35</v>
      </c>
      <c r="K1777" s="1" t="str">
        <f t="shared" si="82"/>
        <v/>
      </c>
      <c r="L1777" s="1" t="str">
        <f t="shared" si="83"/>
        <v/>
      </c>
      <c r="M1777" s="1">
        <f>IF(OR(Table1[[#This Row],[Std Nom]]="",Table1[[#This Row],[Std Read]]=""),0,Table1[[#This Row],[Std Nom]]-Table1[[#This Row],[Std Read]])</f>
        <v>0</v>
      </c>
      <c r="N1777" s="1">
        <f>IF(Calculations!$F$5="ACCREDITED 17025 WITH UNCERTAINTIES",$N$10,0)</f>
        <v>0</v>
      </c>
      <c r="Q1777" s="1">
        <f>Table1[[#This Row],[High Tol]]-Table1[[#This Row],[Low Tol]]</f>
        <v>0</v>
      </c>
      <c r="R1777" s="1">
        <f>2*Table1[[#This Row],[Std Error]]</f>
        <v>0</v>
      </c>
      <c r="S1777" s="1" t="str">
        <f>IF(Table1[[#This Row],[High Tol]]="","N/A",IFERROR(ABS(Table1[[#This Row],[Tol Span]]/Table1[[#This Row],[Error Span]]),"N/A"))</f>
        <v>N/A</v>
      </c>
      <c r="T1777" s="1" t="str">
        <f>IF(OR(Table1[[#This Row],[Low Tol]]="",Table1[[#This Row],[High Tol]]=""),"Needs Analysis",IF(Table1[[#This Row],[Ratio]]&gt;=4,"Not Significant",IF(Table1[[#This Row],[Ratio]]&gt;=2,"Semi-Significant","Significant")))</f>
        <v>Needs Analysis</v>
      </c>
      <c r="W1777" s="1">
        <f>IF(Table1[[#This Row],[Cal Type]]&lt;&gt;"ACCREDITED 17025 WITH UNCERTAINTIES",0,"")</f>
        <v>0</v>
      </c>
      <c r="X1777" s="1" t="str">
        <f>IF(Table1[[#This Row],[DUT Read]]="","N/A",Table1[[#This Row],[Std Error]]+Table1[[#This Row],[DUT Read]]+Table1[[#This Row],[DUT Ucty]])</f>
        <v>N/A</v>
      </c>
      <c r="Y1777" s="1" t="str">
        <f>IF(Table1[[#This Row],[Std Read]]="","N/A",Table1[[#This Row],[Std Read]]+Table1[[#This Row],[Std Ucty]])</f>
        <v>N/A</v>
      </c>
      <c r="Z17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7" s="1" t="str">
        <f>IF(Table1[[#This Row],[Spec Type]]="","N/A",Table1[[#This Row],[Spec Type]])</f>
        <v>±</v>
      </c>
      <c r="AC1777" s="1" t="str">
        <f>IF(Table1[[#This Row],[Spec Type2]]="N/A","N/A",IF(AND(Table1[[#This Row],[DUT Adj Read]]&gt;=Table1[[#This Row],[Low Tol]],Table1[[#This Row],[DUT Adj Read]]&lt;=Table1[[#This Row],[High Tol]]),"Pass","Fail"))</f>
        <v>Fail</v>
      </c>
      <c r="AD1777" s="1" t="str">
        <f>IF(AND(Table1[[#This Row],[Spec Type2]]="N/A",Table1[[#This Row],[DUT Adj Read]]="N/A",Table1[[#This Row],[Std Adj Read]]="N/A"),"N/A",IF(Table1[[#This Row],[DUT Adj Read]]="N/A",IF(Table1[[#This Row],[Std Adj Read]]&gt;Table1[[#This Row],[Low Tol]],"Pass","Fail"),IF(Table1[[#This Row],[DUT Adj Read]]&gt;Table1[[#This Row],[Low Tol]],"Pass","Fail")))</f>
        <v>Pass</v>
      </c>
      <c r="AE1777" s="1" t="str">
        <f>IF(AND(Table1[[#This Row],[Spec Type2]]="N/A",Table1[[#This Row],[DUT Adj Read]]="N/A",Table1[[#This Row],[Std Adj Read]]="N/A"),"N/A",IF(Table1[[#This Row],[DUT Adj Read]]="N/A",IF(Table1[[#This Row],[Std Adj Read]]&lt;Table1[[#This Row],[High Tol]],"Pass","Fail"),IF(Table1[[#This Row],[DUT Adj Read]]&lt;Table1[[#This Row],[High Tol]],"Pass","Fail")))</f>
        <v>Fail</v>
      </c>
      <c r="AF1777" s="1" t="str">
        <f>IF(AND(Table1[[#This Row],[Spec Type2]]="N/A",Table1[[#This Row],[DUT Adj Read]]="N/A",Table1[[#This Row],[Std Adj Read]]="N/A"),"N/A",IF(Table1[[#This Row],[DUT Adj Read]]="N/A",IF(Table1[[#This Row],[Std Adj Read]]&gt;=Table1[[#This Row],[Low Tol]],"Pass","Fail"),IF(Table1[[#This Row],[DUT Adj Read]]&gt;=Table1[[#This Row],[Low Tol]],"Pass","Fail")))</f>
        <v>Pass</v>
      </c>
      <c r="AG1777" s="1" t="str">
        <f>IF(AND(Table1[[#This Row],[Spec Type2]]="N/A",Table1[[#This Row],[DUT Adj Read]]="N/A",Table1[[#This Row],[Std Adj Read]]="N/A"),"N/A",IF(Table1[[#This Row],[DUT Adj Read]]="N/A",IF(Table1[[#This Row],[Std Adj Read]]&lt;=Table1[[#This Row],[High Tol]],"Pass","Fail"),IF(Table1[[#This Row],[DUT Adj Read]]&lt;=Table1[[#This Row],[High Tol]],"Pass","Fail")))</f>
        <v>Fail</v>
      </c>
      <c r="AH17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7" s="1" t="b">
        <v>0</v>
      </c>
      <c r="AN1777" s="1" t="b">
        <v>0</v>
      </c>
      <c r="AO1777" s="1" t="b">
        <v>0</v>
      </c>
    </row>
    <row r="1778" spans="1:41" x14ac:dyDescent="0.25">
      <c r="A1778" s="10"/>
      <c r="B1778" s="10"/>
      <c r="C1778" s="10"/>
      <c r="D1778" s="10"/>
      <c r="E1778" s="10"/>
      <c r="F1778" s="10"/>
      <c r="G1778" s="10"/>
      <c r="H1778" s="10"/>
      <c r="I1778" s="1" t="str">
        <f t="shared" si="81"/>
        <v/>
      </c>
      <c r="J1778" s="1" t="s">
        <v>35</v>
      </c>
      <c r="K1778" s="1" t="str">
        <f t="shared" si="82"/>
        <v/>
      </c>
      <c r="L1778" s="1" t="str">
        <f t="shared" si="83"/>
        <v/>
      </c>
      <c r="M1778" s="1">
        <f>IF(OR(Table1[[#This Row],[Std Nom]]="",Table1[[#This Row],[Std Read]]=""),0,Table1[[#This Row],[Std Nom]]-Table1[[#This Row],[Std Read]])</f>
        <v>0</v>
      </c>
      <c r="N1778" s="1">
        <f>IF(Calculations!$F$5="ACCREDITED 17025 WITH UNCERTAINTIES",$N$10,0)</f>
        <v>0</v>
      </c>
      <c r="Q1778" s="1">
        <f>Table1[[#This Row],[High Tol]]-Table1[[#This Row],[Low Tol]]</f>
        <v>0</v>
      </c>
      <c r="R1778" s="1">
        <f>2*Table1[[#This Row],[Std Error]]</f>
        <v>0</v>
      </c>
      <c r="S1778" s="1" t="str">
        <f>IF(Table1[[#This Row],[High Tol]]="","N/A",IFERROR(ABS(Table1[[#This Row],[Tol Span]]/Table1[[#This Row],[Error Span]]),"N/A"))</f>
        <v>N/A</v>
      </c>
      <c r="T1778" s="1" t="str">
        <f>IF(OR(Table1[[#This Row],[Low Tol]]="",Table1[[#This Row],[High Tol]]=""),"Needs Analysis",IF(Table1[[#This Row],[Ratio]]&gt;=4,"Not Significant",IF(Table1[[#This Row],[Ratio]]&gt;=2,"Semi-Significant","Significant")))</f>
        <v>Needs Analysis</v>
      </c>
      <c r="W1778" s="1">
        <f>IF(Table1[[#This Row],[Cal Type]]&lt;&gt;"ACCREDITED 17025 WITH UNCERTAINTIES",0,"")</f>
        <v>0</v>
      </c>
      <c r="X1778" s="1" t="str">
        <f>IF(Table1[[#This Row],[DUT Read]]="","N/A",Table1[[#This Row],[Std Error]]+Table1[[#This Row],[DUT Read]]+Table1[[#This Row],[DUT Ucty]])</f>
        <v>N/A</v>
      </c>
      <c r="Y1778" s="1" t="str">
        <f>IF(Table1[[#This Row],[Std Read]]="","N/A",Table1[[#This Row],[Std Read]]+Table1[[#This Row],[Std Ucty]])</f>
        <v>N/A</v>
      </c>
      <c r="Z17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8" s="1" t="str">
        <f>IF(Table1[[#This Row],[Spec Type]]="","N/A",Table1[[#This Row],[Spec Type]])</f>
        <v>±</v>
      </c>
      <c r="AC1778" s="1" t="str">
        <f>IF(Table1[[#This Row],[Spec Type2]]="N/A","N/A",IF(AND(Table1[[#This Row],[DUT Adj Read]]&gt;=Table1[[#This Row],[Low Tol]],Table1[[#This Row],[DUT Adj Read]]&lt;=Table1[[#This Row],[High Tol]]),"Pass","Fail"))</f>
        <v>Fail</v>
      </c>
      <c r="AD1778" s="1" t="str">
        <f>IF(AND(Table1[[#This Row],[Spec Type2]]="N/A",Table1[[#This Row],[DUT Adj Read]]="N/A",Table1[[#This Row],[Std Adj Read]]="N/A"),"N/A",IF(Table1[[#This Row],[DUT Adj Read]]="N/A",IF(Table1[[#This Row],[Std Adj Read]]&gt;Table1[[#This Row],[Low Tol]],"Pass","Fail"),IF(Table1[[#This Row],[DUT Adj Read]]&gt;Table1[[#This Row],[Low Tol]],"Pass","Fail")))</f>
        <v>Pass</v>
      </c>
      <c r="AE1778" s="1" t="str">
        <f>IF(AND(Table1[[#This Row],[Spec Type2]]="N/A",Table1[[#This Row],[DUT Adj Read]]="N/A",Table1[[#This Row],[Std Adj Read]]="N/A"),"N/A",IF(Table1[[#This Row],[DUT Adj Read]]="N/A",IF(Table1[[#This Row],[Std Adj Read]]&lt;Table1[[#This Row],[High Tol]],"Pass","Fail"),IF(Table1[[#This Row],[DUT Adj Read]]&lt;Table1[[#This Row],[High Tol]],"Pass","Fail")))</f>
        <v>Fail</v>
      </c>
      <c r="AF1778" s="1" t="str">
        <f>IF(AND(Table1[[#This Row],[Spec Type2]]="N/A",Table1[[#This Row],[DUT Adj Read]]="N/A",Table1[[#This Row],[Std Adj Read]]="N/A"),"N/A",IF(Table1[[#This Row],[DUT Adj Read]]="N/A",IF(Table1[[#This Row],[Std Adj Read]]&gt;=Table1[[#This Row],[Low Tol]],"Pass","Fail"),IF(Table1[[#This Row],[DUT Adj Read]]&gt;=Table1[[#This Row],[Low Tol]],"Pass","Fail")))</f>
        <v>Pass</v>
      </c>
      <c r="AG1778" s="1" t="str">
        <f>IF(AND(Table1[[#This Row],[Spec Type2]]="N/A",Table1[[#This Row],[DUT Adj Read]]="N/A",Table1[[#This Row],[Std Adj Read]]="N/A"),"N/A",IF(Table1[[#This Row],[DUT Adj Read]]="N/A",IF(Table1[[#This Row],[Std Adj Read]]&lt;=Table1[[#This Row],[High Tol]],"Pass","Fail"),IF(Table1[[#This Row],[DUT Adj Read]]&lt;=Table1[[#This Row],[High Tol]],"Pass","Fail")))</f>
        <v>Fail</v>
      </c>
      <c r="AH17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8" s="1" t="b">
        <v>0</v>
      </c>
      <c r="AN1778" s="1" t="b">
        <v>0</v>
      </c>
      <c r="AO1778" s="1" t="b">
        <v>0</v>
      </c>
    </row>
    <row r="1779" spans="1:41" x14ac:dyDescent="0.25">
      <c r="A1779" s="10"/>
      <c r="B1779" s="10"/>
      <c r="C1779" s="10"/>
      <c r="D1779" s="10"/>
      <c r="E1779" s="10"/>
      <c r="F1779" s="10"/>
      <c r="G1779" s="10"/>
      <c r="H1779" s="10"/>
      <c r="I1779" s="1" t="str">
        <f t="shared" si="81"/>
        <v/>
      </c>
      <c r="J1779" s="1" t="s">
        <v>35</v>
      </c>
      <c r="K1779" s="1" t="str">
        <f t="shared" si="82"/>
        <v/>
      </c>
      <c r="L1779" s="1" t="str">
        <f t="shared" si="83"/>
        <v/>
      </c>
      <c r="M1779" s="1">
        <f>IF(OR(Table1[[#This Row],[Std Nom]]="",Table1[[#This Row],[Std Read]]=""),0,Table1[[#This Row],[Std Nom]]-Table1[[#This Row],[Std Read]])</f>
        <v>0</v>
      </c>
      <c r="N1779" s="1">
        <f>IF(Calculations!$F$5="ACCREDITED 17025 WITH UNCERTAINTIES",$N$10,0)</f>
        <v>0</v>
      </c>
      <c r="Q1779" s="1">
        <f>Table1[[#This Row],[High Tol]]-Table1[[#This Row],[Low Tol]]</f>
        <v>0</v>
      </c>
      <c r="R1779" s="1">
        <f>2*Table1[[#This Row],[Std Error]]</f>
        <v>0</v>
      </c>
      <c r="S1779" s="1" t="str">
        <f>IF(Table1[[#This Row],[High Tol]]="","N/A",IFERROR(ABS(Table1[[#This Row],[Tol Span]]/Table1[[#This Row],[Error Span]]),"N/A"))</f>
        <v>N/A</v>
      </c>
      <c r="T1779" s="1" t="str">
        <f>IF(OR(Table1[[#This Row],[Low Tol]]="",Table1[[#This Row],[High Tol]]=""),"Needs Analysis",IF(Table1[[#This Row],[Ratio]]&gt;=4,"Not Significant",IF(Table1[[#This Row],[Ratio]]&gt;=2,"Semi-Significant","Significant")))</f>
        <v>Needs Analysis</v>
      </c>
      <c r="W1779" s="1">
        <f>IF(Table1[[#This Row],[Cal Type]]&lt;&gt;"ACCREDITED 17025 WITH UNCERTAINTIES",0,"")</f>
        <v>0</v>
      </c>
      <c r="X1779" s="1" t="str">
        <f>IF(Table1[[#This Row],[DUT Read]]="","N/A",Table1[[#This Row],[Std Error]]+Table1[[#This Row],[DUT Read]]+Table1[[#This Row],[DUT Ucty]])</f>
        <v>N/A</v>
      </c>
      <c r="Y1779" s="1" t="str">
        <f>IF(Table1[[#This Row],[Std Read]]="","N/A",Table1[[#This Row],[Std Read]]+Table1[[#This Row],[Std Ucty]])</f>
        <v>N/A</v>
      </c>
      <c r="Z17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79" s="1" t="str">
        <f>IF(Table1[[#This Row],[Spec Type]]="","N/A",Table1[[#This Row],[Spec Type]])</f>
        <v>±</v>
      </c>
      <c r="AC1779" s="1" t="str">
        <f>IF(Table1[[#This Row],[Spec Type2]]="N/A","N/A",IF(AND(Table1[[#This Row],[DUT Adj Read]]&gt;=Table1[[#This Row],[Low Tol]],Table1[[#This Row],[DUT Adj Read]]&lt;=Table1[[#This Row],[High Tol]]),"Pass","Fail"))</f>
        <v>Fail</v>
      </c>
      <c r="AD1779" s="1" t="str">
        <f>IF(AND(Table1[[#This Row],[Spec Type2]]="N/A",Table1[[#This Row],[DUT Adj Read]]="N/A",Table1[[#This Row],[Std Adj Read]]="N/A"),"N/A",IF(Table1[[#This Row],[DUT Adj Read]]="N/A",IF(Table1[[#This Row],[Std Adj Read]]&gt;Table1[[#This Row],[Low Tol]],"Pass","Fail"),IF(Table1[[#This Row],[DUT Adj Read]]&gt;Table1[[#This Row],[Low Tol]],"Pass","Fail")))</f>
        <v>Pass</v>
      </c>
      <c r="AE1779" s="1" t="str">
        <f>IF(AND(Table1[[#This Row],[Spec Type2]]="N/A",Table1[[#This Row],[DUT Adj Read]]="N/A",Table1[[#This Row],[Std Adj Read]]="N/A"),"N/A",IF(Table1[[#This Row],[DUT Adj Read]]="N/A",IF(Table1[[#This Row],[Std Adj Read]]&lt;Table1[[#This Row],[High Tol]],"Pass","Fail"),IF(Table1[[#This Row],[DUT Adj Read]]&lt;Table1[[#This Row],[High Tol]],"Pass","Fail")))</f>
        <v>Fail</v>
      </c>
      <c r="AF1779" s="1" t="str">
        <f>IF(AND(Table1[[#This Row],[Spec Type2]]="N/A",Table1[[#This Row],[DUT Adj Read]]="N/A",Table1[[#This Row],[Std Adj Read]]="N/A"),"N/A",IF(Table1[[#This Row],[DUT Adj Read]]="N/A",IF(Table1[[#This Row],[Std Adj Read]]&gt;=Table1[[#This Row],[Low Tol]],"Pass","Fail"),IF(Table1[[#This Row],[DUT Adj Read]]&gt;=Table1[[#This Row],[Low Tol]],"Pass","Fail")))</f>
        <v>Pass</v>
      </c>
      <c r="AG1779" s="1" t="str">
        <f>IF(AND(Table1[[#This Row],[Spec Type2]]="N/A",Table1[[#This Row],[DUT Adj Read]]="N/A",Table1[[#This Row],[Std Adj Read]]="N/A"),"N/A",IF(Table1[[#This Row],[DUT Adj Read]]="N/A",IF(Table1[[#This Row],[Std Adj Read]]&lt;=Table1[[#This Row],[High Tol]],"Pass","Fail"),IF(Table1[[#This Row],[DUT Adj Read]]&lt;=Table1[[#This Row],[High Tol]],"Pass","Fail")))</f>
        <v>Fail</v>
      </c>
      <c r="AH17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79" s="1" t="b">
        <v>0</v>
      </c>
      <c r="AN1779" s="1" t="b">
        <v>0</v>
      </c>
      <c r="AO1779" s="1" t="b">
        <v>0</v>
      </c>
    </row>
    <row r="1780" spans="1:41" x14ac:dyDescent="0.25">
      <c r="A1780" s="10"/>
      <c r="B1780" s="10"/>
      <c r="C1780" s="10"/>
      <c r="D1780" s="10"/>
      <c r="E1780" s="10"/>
      <c r="F1780" s="10"/>
      <c r="G1780" s="10"/>
      <c r="H1780" s="10"/>
      <c r="I1780" s="1" t="str">
        <f t="shared" si="81"/>
        <v/>
      </c>
      <c r="J1780" s="1" t="s">
        <v>35</v>
      </c>
      <c r="K1780" s="1" t="str">
        <f t="shared" si="82"/>
        <v/>
      </c>
      <c r="L1780" s="1" t="str">
        <f t="shared" si="83"/>
        <v/>
      </c>
      <c r="M1780" s="1">
        <f>IF(OR(Table1[[#This Row],[Std Nom]]="",Table1[[#This Row],[Std Read]]=""),0,Table1[[#This Row],[Std Nom]]-Table1[[#This Row],[Std Read]])</f>
        <v>0</v>
      </c>
      <c r="N1780" s="1">
        <f>IF(Calculations!$F$5="ACCREDITED 17025 WITH UNCERTAINTIES",$N$10,0)</f>
        <v>0</v>
      </c>
      <c r="Q1780" s="1">
        <f>Table1[[#This Row],[High Tol]]-Table1[[#This Row],[Low Tol]]</f>
        <v>0</v>
      </c>
      <c r="R1780" s="1">
        <f>2*Table1[[#This Row],[Std Error]]</f>
        <v>0</v>
      </c>
      <c r="S1780" s="1" t="str">
        <f>IF(Table1[[#This Row],[High Tol]]="","N/A",IFERROR(ABS(Table1[[#This Row],[Tol Span]]/Table1[[#This Row],[Error Span]]),"N/A"))</f>
        <v>N/A</v>
      </c>
      <c r="T1780" s="1" t="str">
        <f>IF(OR(Table1[[#This Row],[Low Tol]]="",Table1[[#This Row],[High Tol]]=""),"Needs Analysis",IF(Table1[[#This Row],[Ratio]]&gt;=4,"Not Significant",IF(Table1[[#This Row],[Ratio]]&gt;=2,"Semi-Significant","Significant")))</f>
        <v>Needs Analysis</v>
      </c>
      <c r="W1780" s="1">
        <f>IF(Table1[[#This Row],[Cal Type]]&lt;&gt;"ACCREDITED 17025 WITH UNCERTAINTIES",0,"")</f>
        <v>0</v>
      </c>
      <c r="X1780" s="1" t="str">
        <f>IF(Table1[[#This Row],[DUT Read]]="","N/A",Table1[[#This Row],[Std Error]]+Table1[[#This Row],[DUT Read]]+Table1[[#This Row],[DUT Ucty]])</f>
        <v>N/A</v>
      </c>
      <c r="Y1780" s="1" t="str">
        <f>IF(Table1[[#This Row],[Std Read]]="","N/A",Table1[[#This Row],[Std Read]]+Table1[[#This Row],[Std Ucty]])</f>
        <v>N/A</v>
      </c>
      <c r="Z17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0" s="1" t="str">
        <f>IF(Table1[[#This Row],[Spec Type]]="","N/A",Table1[[#This Row],[Spec Type]])</f>
        <v>±</v>
      </c>
      <c r="AC1780" s="1" t="str">
        <f>IF(Table1[[#This Row],[Spec Type2]]="N/A","N/A",IF(AND(Table1[[#This Row],[DUT Adj Read]]&gt;=Table1[[#This Row],[Low Tol]],Table1[[#This Row],[DUT Adj Read]]&lt;=Table1[[#This Row],[High Tol]]),"Pass","Fail"))</f>
        <v>Fail</v>
      </c>
      <c r="AD1780" s="1" t="str">
        <f>IF(AND(Table1[[#This Row],[Spec Type2]]="N/A",Table1[[#This Row],[DUT Adj Read]]="N/A",Table1[[#This Row],[Std Adj Read]]="N/A"),"N/A",IF(Table1[[#This Row],[DUT Adj Read]]="N/A",IF(Table1[[#This Row],[Std Adj Read]]&gt;Table1[[#This Row],[Low Tol]],"Pass","Fail"),IF(Table1[[#This Row],[DUT Adj Read]]&gt;Table1[[#This Row],[Low Tol]],"Pass","Fail")))</f>
        <v>Pass</v>
      </c>
      <c r="AE1780" s="1" t="str">
        <f>IF(AND(Table1[[#This Row],[Spec Type2]]="N/A",Table1[[#This Row],[DUT Adj Read]]="N/A",Table1[[#This Row],[Std Adj Read]]="N/A"),"N/A",IF(Table1[[#This Row],[DUT Adj Read]]="N/A",IF(Table1[[#This Row],[Std Adj Read]]&lt;Table1[[#This Row],[High Tol]],"Pass","Fail"),IF(Table1[[#This Row],[DUT Adj Read]]&lt;Table1[[#This Row],[High Tol]],"Pass","Fail")))</f>
        <v>Fail</v>
      </c>
      <c r="AF1780" s="1" t="str">
        <f>IF(AND(Table1[[#This Row],[Spec Type2]]="N/A",Table1[[#This Row],[DUT Adj Read]]="N/A",Table1[[#This Row],[Std Adj Read]]="N/A"),"N/A",IF(Table1[[#This Row],[DUT Adj Read]]="N/A",IF(Table1[[#This Row],[Std Adj Read]]&gt;=Table1[[#This Row],[Low Tol]],"Pass","Fail"),IF(Table1[[#This Row],[DUT Adj Read]]&gt;=Table1[[#This Row],[Low Tol]],"Pass","Fail")))</f>
        <v>Pass</v>
      </c>
      <c r="AG1780" s="1" t="str">
        <f>IF(AND(Table1[[#This Row],[Spec Type2]]="N/A",Table1[[#This Row],[DUT Adj Read]]="N/A",Table1[[#This Row],[Std Adj Read]]="N/A"),"N/A",IF(Table1[[#This Row],[DUT Adj Read]]="N/A",IF(Table1[[#This Row],[Std Adj Read]]&lt;=Table1[[#This Row],[High Tol]],"Pass","Fail"),IF(Table1[[#This Row],[DUT Adj Read]]&lt;=Table1[[#This Row],[High Tol]],"Pass","Fail")))</f>
        <v>Fail</v>
      </c>
      <c r="AH17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0" s="1" t="b">
        <v>0</v>
      </c>
      <c r="AN1780" s="1" t="b">
        <v>0</v>
      </c>
      <c r="AO1780" s="1" t="b">
        <v>0</v>
      </c>
    </row>
    <row r="1781" spans="1:41" x14ac:dyDescent="0.25">
      <c r="A1781" s="10"/>
      <c r="B1781" s="10"/>
      <c r="C1781" s="10"/>
      <c r="D1781" s="10"/>
      <c r="E1781" s="10"/>
      <c r="F1781" s="10"/>
      <c r="G1781" s="10"/>
      <c r="H1781" s="10"/>
      <c r="I1781" s="1" t="str">
        <f t="shared" si="81"/>
        <v/>
      </c>
      <c r="J1781" s="1" t="s">
        <v>35</v>
      </c>
      <c r="K1781" s="1" t="str">
        <f t="shared" si="82"/>
        <v/>
      </c>
      <c r="L1781" s="1" t="str">
        <f t="shared" si="83"/>
        <v/>
      </c>
      <c r="M1781" s="1">
        <f>IF(OR(Table1[[#This Row],[Std Nom]]="",Table1[[#This Row],[Std Read]]=""),0,Table1[[#This Row],[Std Nom]]-Table1[[#This Row],[Std Read]])</f>
        <v>0</v>
      </c>
      <c r="N1781" s="1">
        <f>IF(Calculations!$F$5="ACCREDITED 17025 WITH UNCERTAINTIES",$N$10,0)</f>
        <v>0</v>
      </c>
      <c r="Q1781" s="1">
        <f>Table1[[#This Row],[High Tol]]-Table1[[#This Row],[Low Tol]]</f>
        <v>0</v>
      </c>
      <c r="R1781" s="1">
        <f>2*Table1[[#This Row],[Std Error]]</f>
        <v>0</v>
      </c>
      <c r="S1781" s="1" t="str">
        <f>IF(Table1[[#This Row],[High Tol]]="","N/A",IFERROR(ABS(Table1[[#This Row],[Tol Span]]/Table1[[#This Row],[Error Span]]),"N/A"))</f>
        <v>N/A</v>
      </c>
      <c r="T1781" s="1" t="str">
        <f>IF(OR(Table1[[#This Row],[Low Tol]]="",Table1[[#This Row],[High Tol]]=""),"Needs Analysis",IF(Table1[[#This Row],[Ratio]]&gt;=4,"Not Significant",IF(Table1[[#This Row],[Ratio]]&gt;=2,"Semi-Significant","Significant")))</f>
        <v>Needs Analysis</v>
      </c>
      <c r="W1781" s="1">
        <f>IF(Table1[[#This Row],[Cal Type]]&lt;&gt;"ACCREDITED 17025 WITH UNCERTAINTIES",0,"")</f>
        <v>0</v>
      </c>
      <c r="X1781" s="1" t="str">
        <f>IF(Table1[[#This Row],[DUT Read]]="","N/A",Table1[[#This Row],[Std Error]]+Table1[[#This Row],[DUT Read]]+Table1[[#This Row],[DUT Ucty]])</f>
        <v>N/A</v>
      </c>
      <c r="Y1781" s="1" t="str">
        <f>IF(Table1[[#This Row],[Std Read]]="","N/A",Table1[[#This Row],[Std Read]]+Table1[[#This Row],[Std Ucty]])</f>
        <v>N/A</v>
      </c>
      <c r="Z17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1" s="1" t="str">
        <f>IF(Table1[[#This Row],[Spec Type]]="","N/A",Table1[[#This Row],[Spec Type]])</f>
        <v>±</v>
      </c>
      <c r="AC1781" s="1" t="str">
        <f>IF(Table1[[#This Row],[Spec Type2]]="N/A","N/A",IF(AND(Table1[[#This Row],[DUT Adj Read]]&gt;=Table1[[#This Row],[Low Tol]],Table1[[#This Row],[DUT Adj Read]]&lt;=Table1[[#This Row],[High Tol]]),"Pass","Fail"))</f>
        <v>Fail</v>
      </c>
      <c r="AD1781" s="1" t="str">
        <f>IF(AND(Table1[[#This Row],[Spec Type2]]="N/A",Table1[[#This Row],[DUT Adj Read]]="N/A",Table1[[#This Row],[Std Adj Read]]="N/A"),"N/A",IF(Table1[[#This Row],[DUT Adj Read]]="N/A",IF(Table1[[#This Row],[Std Adj Read]]&gt;Table1[[#This Row],[Low Tol]],"Pass","Fail"),IF(Table1[[#This Row],[DUT Adj Read]]&gt;Table1[[#This Row],[Low Tol]],"Pass","Fail")))</f>
        <v>Pass</v>
      </c>
      <c r="AE1781" s="1" t="str">
        <f>IF(AND(Table1[[#This Row],[Spec Type2]]="N/A",Table1[[#This Row],[DUT Adj Read]]="N/A",Table1[[#This Row],[Std Adj Read]]="N/A"),"N/A",IF(Table1[[#This Row],[DUT Adj Read]]="N/A",IF(Table1[[#This Row],[Std Adj Read]]&lt;Table1[[#This Row],[High Tol]],"Pass","Fail"),IF(Table1[[#This Row],[DUT Adj Read]]&lt;Table1[[#This Row],[High Tol]],"Pass","Fail")))</f>
        <v>Fail</v>
      </c>
      <c r="AF1781" s="1" t="str">
        <f>IF(AND(Table1[[#This Row],[Spec Type2]]="N/A",Table1[[#This Row],[DUT Adj Read]]="N/A",Table1[[#This Row],[Std Adj Read]]="N/A"),"N/A",IF(Table1[[#This Row],[DUT Adj Read]]="N/A",IF(Table1[[#This Row],[Std Adj Read]]&gt;=Table1[[#This Row],[Low Tol]],"Pass","Fail"),IF(Table1[[#This Row],[DUT Adj Read]]&gt;=Table1[[#This Row],[Low Tol]],"Pass","Fail")))</f>
        <v>Pass</v>
      </c>
      <c r="AG1781" s="1" t="str">
        <f>IF(AND(Table1[[#This Row],[Spec Type2]]="N/A",Table1[[#This Row],[DUT Adj Read]]="N/A",Table1[[#This Row],[Std Adj Read]]="N/A"),"N/A",IF(Table1[[#This Row],[DUT Adj Read]]="N/A",IF(Table1[[#This Row],[Std Adj Read]]&lt;=Table1[[#This Row],[High Tol]],"Pass","Fail"),IF(Table1[[#This Row],[DUT Adj Read]]&lt;=Table1[[#This Row],[High Tol]],"Pass","Fail")))</f>
        <v>Fail</v>
      </c>
      <c r="AH17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1" s="1" t="b">
        <v>0</v>
      </c>
      <c r="AN1781" s="1" t="b">
        <v>0</v>
      </c>
      <c r="AO1781" s="1" t="b">
        <v>0</v>
      </c>
    </row>
    <row r="1782" spans="1:41" x14ac:dyDescent="0.25">
      <c r="A1782" s="10"/>
      <c r="B1782" s="10"/>
      <c r="C1782" s="10"/>
      <c r="D1782" s="10"/>
      <c r="E1782" s="10"/>
      <c r="F1782" s="10"/>
      <c r="G1782" s="10"/>
      <c r="H1782" s="10"/>
      <c r="I1782" s="1" t="str">
        <f t="shared" si="81"/>
        <v/>
      </c>
      <c r="J1782" s="1" t="s">
        <v>35</v>
      </c>
      <c r="K1782" s="1" t="str">
        <f t="shared" si="82"/>
        <v/>
      </c>
      <c r="L1782" s="1" t="str">
        <f t="shared" si="83"/>
        <v/>
      </c>
      <c r="M1782" s="1">
        <f>IF(OR(Table1[[#This Row],[Std Nom]]="",Table1[[#This Row],[Std Read]]=""),0,Table1[[#This Row],[Std Nom]]-Table1[[#This Row],[Std Read]])</f>
        <v>0</v>
      </c>
      <c r="N1782" s="1">
        <f>IF(Calculations!$F$5="ACCREDITED 17025 WITH UNCERTAINTIES",$N$10,0)</f>
        <v>0</v>
      </c>
      <c r="Q1782" s="1">
        <f>Table1[[#This Row],[High Tol]]-Table1[[#This Row],[Low Tol]]</f>
        <v>0</v>
      </c>
      <c r="R1782" s="1">
        <f>2*Table1[[#This Row],[Std Error]]</f>
        <v>0</v>
      </c>
      <c r="S1782" s="1" t="str">
        <f>IF(Table1[[#This Row],[High Tol]]="","N/A",IFERROR(ABS(Table1[[#This Row],[Tol Span]]/Table1[[#This Row],[Error Span]]),"N/A"))</f>
        <v>N/A</v>
      </c>
      <c r="T1782" s="1" t="str">
        <f>IF(OR(Table1[[#This Row],[Low Tol]]="",Table1[[#This Row],[High Tol]]=""),"Needs Analysis",IF(Table1[[#This Row],[Ratio]]&gt;=4,"Not Significant",IF(Table1[[#This Row],[Ratio]]&gt;=2,"Semi-Significant","Significant")))</f>
        <v>Needs Analysis</v>
      </c>
      <c r="W1782" s="1">
        <f>IF(Table1[[#This Row],[Cal Type]]&lt;&gt;"ACCREDITED 17025 WITH UNCERTAINTIES",0,"")</f>
        <v>0</v>
      </c>
      <c r="X1782" s="1" t="str">
        <f>IF(Table1[[#This Row],[DUT Read]]="","N/A",Table1[[#This Row],[Std Error]]+Table1[[#This Row],[DUT Read]]+Table1[[#This Row],[DUT Ucty]])</f>
        <v>N/A</v>
      </c>
      <c r="Y1782" s="1" t="str">
        <f>IF(Table1[[#This Row],[Std Read]]="","N/A",Table1[[#This Row],[Std Read]]+Table1[[#This Row],[Std Ucty]])</f>
        <v>N/A</v>
      </c>
      <c r="Z17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2" s="1" t="str">
        <f>IF(Table1[[#This Row],[Spec Type]]="","N/A",Table1[[#This Row],[Spec Type]])</f>
        <v>±</v>
      </c>
      <c r="AC1782" s="1" t="str">
        <f>IF(Table1[[#This Row],[Spec Type2]]="N/A","N/A",IF(AND(Table1[[#This Row],[DUT Adj Read]]&gt;=Table1[[#This Row],[Low Tol]],Table1[[#This Row],[DUT Adj Read]]&lt;=Table1[[#This Row],[High Tol]]),"Pass","Fail"))</f>
        <v>Fail</v>
      </c>
      <c r="AD1782" s="1" t="str">
        <f>IF(AND(Table1[[#This Row],[Spec Type2]]="N/A",Table1[[#This Row],[DUT Adj Read]]="N/A",Table1[[#This Row],[Std Adj Read]]="N/A"),"N/A",IF(Table1[[#This Row],[DUT Adj Read]]="N/A",IF(Table1[[#This Row],[Std Adj Read]]&gt;Table1[[#This Row],[Low Tol]],"Pass","Fail"),IF(Table1[[#This Row],[DUT Adj Read]]&gt;Table1[[#This Row],[Low Tol]],"Pass","Fail")))</f>
        <v>Pass</v>
      </c>
      <c r="AE1782" s="1" t="str">
        <f>IF(AND(Table1[[#This Row],[Spec Type2]]="N/A",Table1[[#This Row],[DUT Adj Read]]="N/A",Table1[[#This Row],[Std Adj Read]]="N/A"),"N/A",IF(Table1[[#This Row],[DUT Adj Read]]="N/A",IF(Table1[[#This Row],[Std Adj Read]]&lt;Table1[[#This Row],[High Tol]],"Pass","Fail"),IF(Table1[[#This Row],[DUT Adj Read]]&lt;Table1[[#This Row],[High Tol]],"Pass","Fail")))</f>
        <v>Fail</v>
      </c>
      <c r="AF1782" s="1" t="str">
        <f>IF(AND(Table1[[#This Row],[Spec Type2]]="N/A",Table1[[#This Row],[DUT Adj Read]]="N/A",Table1[[#This Row],[Std Adj Read]]="N/A"),"N/A",IF(Table1[[#This Row],[DUT Adj Read]]="N/A",IF(Table1[[#This Row],[Std Adj Read]]&gt;=Table1[[#This Row],[Low Tol]],"Pass","Fail"),IF(Table1[[#This Row],[DUT Adj Read]]&gt;=Table1[[#This Row],[Low Tol]],"Pass","Fail")))</f>
        <v>Pass</v>
      </c>
      <c r="AG1782" s="1" t="str">
        <f>IF(AND(Table1[[#This Row],[Spec Type2]]="N/A",Table1[[#This Row],[DUT Adj Read]]="N/A",Table1[[#This Row],[Std Adj Read]]="N/A"),"N/A",IF(Table1[[#This Row],[DUT Adj Read]]="N/A",IF(Table1[[#This Row],[Std Adj Read]]&lt;=Table1[[#This Row],[High Tol]],"Pass","Fail"),IF(Table1[[#This Row],[DUT Adj Read]]&lt;=Table1[[#This Row],[High Tol]],"Pass","Fail")))</f>
        <v>Fail</v>
      </c>
      <c r="AH17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2" s="1" t="b">
        <v>0</v>
      </c>
      <c r="AN1782" s="1" t="b">
        <v>0</v>
      </c>
      <c r="AO1782" s="1" t="b">
        <v>0</v>
      </c>
    </row>
    <row r="1783" spans="1:41" x14ac:dyDescent="0.25">
      <c r="A1783" s="10"/>
      <c r="B1783" s="10"/>
      <c r="C1783" s="10"/>
      <c r="D1783" s="10"/>
      <c r="E1783" s="10"/>
      <c r="F1783" s="10"/>
      <c r="G1783" s="10"/>
      <c r="H1783" s="10"/>
      <c r="I1783" s="1" t="str">
        <f t="shared" si="81"/>
        <v/>
      </c>
      <c r="J1783" s="1" t="s">
        <v>35</v>
      </c>
      <c r="K1783" s="1" t="str">
        <f t="shared" si="82"/>
        <v/>
      </c>
      <c r="L1783" s="1" t="str">
        <f t="shared" si="83"/>
        <v/>
      </c>
      <c r="M1783" s="1">
        <f>IF(OR(Table1[[#This Row],[Std Nom]]="",Table1[[#This Row],[Std Read]]=""),0,Table1[[#This Row],[Std Nom]]-Table1[[#This Row],[Std Read]])</f>
        <v>0</v>
      </c>
      <c r="N1783" s="1">
        <f>IF(Calculations!$F$5="ACCREDITED 17025 WITH UNCERTAINTIES",$N$10,0)</f>
        <v>0</v>
      </c>
      <c r="Q1783" s="1">
        <f>Table1[[#This Row],[High Tol]]-Table1[[#This Row],[Low Tol]]</f>
        <v>0</v>
      </c>
      <c r="R1783" s="1">
        <f>2*Table1[[#This Row],[Std Error]]</f>
        <v>0</v>
      </c>
      <c r="S1783" s="1" t="str">
        <f>IF(Table1[[#This Row],[High Tol]]="","N/A",IFERROR(ABS(Table1[[#This Row],[Tol Span]]/Table1[[#This Row],[Error Span]]),"N/A"))</f>
        <v>N/A</v>
      </c>
      <c r="T1783" s="1" t="str">
        <f>IF(OR(Table1[[#This Row],[Low Tol]]="",Table1[[#This Row],[High Tol]]=""),"Needs Analysis",IF(Table1[[#This Row],[Ratio]]&gt;=4,"Not Significant",IF(Table1[[#This Row],[Ratio]]&gt;=2,"Semi-Significant","Significant")))</f>
        <v>Needs Analysis</v>
      </c>
      <c r="W1783" s="1">
        <f>IF(Table1[[#This Row],[Cal Type]]&lt;&gt;"ACCREDITED 17025 WITH UNCERTAINTIES",0,"")</f>
        <v>0</v>
      </c>
      <c r="X1783" s="1" t="str">
        <f>IF(Table1[[#This Row],[DUT Read]]="","N/A",Table1[[#This Row],[Std Error]]+Table1[[#This Row],[DUT Read]]+Table1[[#This Row],[DUT Ucty]])</f>
        <v>N/A</v>
      </c>
      <c r="Y1783" s="1" t="str">
        <f>IF(Table1[[#This Row],[Std Read]]="","N/A",Table1[[#This Row],[Std Read]]+Table1[[#This Row],[Std Ucty]])</f>
        <v>N/A</v>
      </c>
      <c r="Z17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3" s="1" t="str">
        <f>IF(Table1[[#This Row],[Spec Type]]="","N/A",Table1[[#This Row],[Spec Type]])</f>
        <v>±</v>
      </c>
      <c r="AC1783" s="1" t="str">
        <f>IF(Table1[[#This Row],[Spec Type2]]="N/A","N/A",IF(AND(Table1[[#This Row],[DUT Adj Read]]&gt;=Table1[[#This Row],[Low Tol]],Table1[[#This Row],[DUT Adj Read]]&lt;=Table1[[#This Row],[High Tol]]),"Pass","Fail"))</f>
        <v>Fail</v>
      </c>
      <c r="AD1783" s="1" t="str">
        <f>IF(AND(Table1[[#This Row],[Spec Type2]]="N/A",Table1[[#This Row],[DUT Adj Read]]="N/A",Table1[[#This Row],[Std Adj Read]]="N/A"),"N/A",IF(Table1[[#This Row],[DUT Adj Read]]="N/A",IF(Table1[[#This Row],[Std Adj Read]]&gt;Table1[[#This Row],[Low Tol]],"Pass","Fail"),IF(Table1[[#This Row],[DUT Adj Read]]&gt;Table1[[#This Row],[Low Tol]],"Pass","Fail")))</f>
        <v>Pass</v>
      </c>
      <c r="AE1783" s="1" t="str">
        <f>IF(AND(Table1[[#This Row],[Spec Type2]]="N/A",Table1[[#This Row],[DUT Adj Read]]="N/A",Table1[[#This Row],[Std Adj Read]]="N/A"),"N/A",IF(Table1[[#This Row],[DUT Adj Read]]="N/A",IF(Table1[[#This Row],[Std Adj Read]]&lt;Table1[[#This Row],[High Tol]],"Pass","Fail"),IF(Table1[[#This Row],[DUT Adj Read]]&lt;Table1[[#This Row],[High Tol]],"Pass","Fail")))</f>
        <v>Fail</v>
      </c>
      <c r="AF1783" s="1" t="str">
        <f>IF(AND(Table1[[#This Row],[Spec Type2]]="N/A",Table1[[#This Row],[DUT Adj Read]]="N/A",Table1[[#This Row],[Std Adj Read]]="N/A"),"N/A",IF(Table1[[#This Row],[DUT Adj Read]]="N/A",IF(Table1[[#This Row],[Std Adj Read]]&gt;=Table1[[#This Row],[Low Tol]],"Pass","Fail"),IF(Table1[[#This Row],[DUT Adj Read]]&gt;=Table1[[#This Row],[Low Tol]],"Pass","Fail")))</f>
        <v>Pass</v>
      </c>
      <c r="AG1783" s="1" t="str">
        <f>IF(AND(Table1[[#This Row],[Spec Type2]]="N/A",Table1[[#This Row],[DUT Adj Read]]="N/A",Table1[[#This Row],[Std Adj Read]]="N/A"),"N/A",IF(Table1[[#This Row],[DUT Adj Read]]="N/A",IF(Table1[[#This Row],[Std Adj Read]]&lt;=Table1[[#This Row],[High Tol]],"Pass","Fail"),IF(Table1[[#This Row],[DUT Adj Read]]&lt;=Table1[[#This Row],[High Tol]],"Pass","Fail")))</f>
        <v>Fail</v>
      </c>
      <c r="AH17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3" s="1" t="b">
        <v>0</v>
      </c>
      <c r="AN1783" s="1" t="b">
        <v>0</v>
      </c>
      <c r="AO1783" s="1" t="b">
        <v>0</v>
      </c>
    </row>
    <row r="1784" spans="1:41" x14ac:dyDescent="0.25">
      <c r="A1784" s="10"/>
      <c r="B1784" s="10"/>
      <c r="C1784" s="10"/>
      <c r="D1784" s="10"/>
      <c r="E1784" s="10"/>
      <c r="F1784" s="10"/>
      <c r="G1784" s="10"/>
      <c r="H1784" s="10"/>
      <c r="I1784" s="1" t="str">
        <f t="shared" si="81"/>
        <v/>
      </c>
      <c r="J1784" s="1" t="s">
        <v>35</v>
      </c>
      <c r="K1784" s="1" t="str">
        <f t="shared" si="82"/>
        <v/>
      </c>
      <c r="L1784" s="1" t="str">
        <f t="shared" si="83"/>
        <v/>
      </c>
      <c r="M1784" s="1">
        <f>IF(OR(Table1[[#This Row],[Std Nom]]="",Table1[[#This Row],[Std Read]]=""),0,Table1[[#This Row],[Std Nom]]-Table1[[#This Row],[Std Read]])</f>
        <v>0</v>
      </c>
      <c r="N1784" s="1">
        <f>IF(Calculations!$F$5="ACCREDITED 17025 WITH UNCERTAINTIES",$N$10,0)</f>
        <v>0</v>
      </c>
      <c r="Q1784" s="1">
        <f>Table1[[#This Row],[High Tol]]-Table1[[#This Row],[Low Tol]]</f>
        <v>0</v>
      </c>
      <c r="R1784" s="1">
        <f>2*Table1[[#This Row],[Std Error]]</f>
        <v>0</v>
      </c>
      <c r="S1784" s="1" t="str">
        <f>IF(Table1[[#This Row],[High Tol]]="","N/A",IFERROR(ABS(Table1[[#This Row],[Tol Span]]/Table1[[#This Row],[Error Span]]),"N/A"))</f>
        <v>N/A</v>
      </c>
      <c r="T1784" s="1" t="str">
        <f>IF(OR(Table1[[#This Row],[Low Tol]]="",Table1[[#This Row],[High Tol]]=""),"Needs Analysis",IF(Table1[[#This Row],[Ratio]]&gt;=4,"Not Significant",IF(Table1[[#This Row],[Ratio]]&gt;=2,"Semi-Significant","Significant")))</f>
        <v>Needs Analysis</v>
      </c>
      <c r="W1784" s="1">
        <f>IF(Table1[[#This Row],[Cal Type]]&lt;&gt;"ACCREDITED 17025 WITH UNCERTAINTIES",0,"")</f>
        <v>0</v>
      </c>
      <c r="X1784" s="1" t="str">
        <f>IF(Table1[[#This Row],[DUT Read]]="","N/A",Table1[[#This Row],[Std Error]]+Table1[[#This Row],[DUT Read]]+Table1[[#This Row],[DUT Ucty]])</f>
        <v>N/A</v>
      </c>
      <c r="Y1784" s="1" t="str">
        <f>IF(Table1[[#This Row],[Std Read]]="","N/A",Table1[[#This Row],[Std Read]]+Table1[[#This Row],[Std Ucty]])</f>
        <v>N/A</v>
      </c>
      <c r="Z17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4" s="1" t="str">
        <f>IF(Table1[[#This Row],[Spec Type]]="","N/A",Table1[[#This Row],[Spec Type]])</f>
        <v>±</v>
      </c>
      <c r="AC1784" s="1" t="str">
        <f>IF(Table1[[#This Row],[Spec Type2]]="N/A","N/A",IF(AND(Table1[[#This Row],[DUT Adj Read]]&gt;=Table1[[#This Row],[Low Tol]],Table1[[#This Row],[DUT Adj Read]]&lt;=Table1[[#This Row],[High Tol]]),"Pass","Fail"))</f>
        <v>Fail</v>
      </c>
      <c r="AD1784" s="1" t="str">
        <f>IF(AND(Table1[[#This Row],[Spec Type2]]="N/A",Table1[[#This Row],[DUT Adj Read]]="N/A",Table1[[#This Row],[Std Adj Read]]="N/A"),"N/A",IF(Table1[[#This Row],[DUT Adj Read]]="N/A",IF(Table1[[#This Row],[Std Adj Read]]&gt;Table1[[#This Row],[Low Tol]],"Pass","Fail"),IF(Table1[[#This Row],[DUT Adj Read]]&gt;Table1[[#This Row],[Low Tol]],"Pass","Fail")))</f>
        <v>Pass</v>
      </c>
      <c r="AE1784" s="1" t="str">
        <f>IF(AND(Table1[[#This Row],[Spec Type2]]="N/A",Table1[[#This Row],[DUT Adj Read]]="N/A",Table1[[#This Row],[Std Adj Read]]="N/A"),"N/A",IF(Table1[[#This Row],[DUT Adj Read]]="N/A",IF(Table1[[#This Row],[Std Adj Read]]&lt;Table1[[#This Row],[High Tol]],"Pass","Fail"),IF(Table1[[#This Row],[DUT Adj Read]]&lt;Table1[[#This Row],[High Tol]],"Pass","Fail")))</f>
        <v>Fail</v>
      </c>
      <c r="AF1784" s="1" t="str">
        <f>IF(AND(Table1[[#This Row],[Spec Type2]]="N/A",Table1[[#This Row],[DUT Adj Read]]="N/A",Table1[[#This Row],[Std Adj Read]]="N/A"),"N/A",IF(Table1[[#This Row],[DUT Adj Read]]="N/A",IF(Table1[[#This Row],[Std Adj Read]]&gt;=Table1[[#This Row],[Low Tol]],"Pass","Fail"),IF(Table1[[#This Row],[DUT Adj Read]]&gt;=Table1[[#This Row],[Low Tol]],"Pass","Fail")))</f>
        <v>Pass</v>
      </c>
      <c r="AG1784" s="1" t="str">
        <f>IF(AND(Table1[[#This Row],[Spec Type2]]="N/A",Table1[[#This Row],[DUT Adj Read]]="N/A",Table1[[#This Row],[Std Adj Read]]="N/A"),"N/A",IF(Table1[[#This Row],[DUT Adj Read]]="N/A",IF(Table1[[#This Row],[Std Adj Read]]&lt;=Table1[[#This Row],[High Tol]],"Pass","Fail"),IF(Table1[[#This Row],[DUT Adj Read]]&lt;=Table1[[#This Row],[High Tol]],"Pass","Fail")))</f>
        <v>Fail</v>
      </c>
      <c r="AH17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4" s="1" t="b">
        <v>0</v>
      </c>
      <c r="AN1784" s="1" t="b">
        <v>0</v>
      </c>
      <c r="AO1784" s="1" t="b">
        <v>0</v>
      </c>
    </row>
    <row r="1785" spans="1:41" x14ac:dyDescent="0.25">
      <c r="A1785" s="10"/>
      <c r="B1785" s="10"/>
      <c r="C1785" s="10"/>
      <c r="D1785" s="10"/>
      <c r="E1785" s="10"/>
      <c r="F1785" s="10"/>
      <c r="G1785" s="10"/>
      <c r="H1785" s="10"/>
      <c r="I1785" s="1" t="str">
        <f t="shared" si="81"/>
        <v/>
      </c>
      <c r="J1785" s="1" t="s">
        <v>35</v>
      </c>
      <c r="K1785" s="1" t="str">
        <f t="shared" si="82"/>
        <v/>
      </c>
      <c r="L1785" s="1" t="str">
        <f t="shared" si="83"/>
        <v/>
      </c>
      <c r="M1785" s="1">
        <f>IF(OR(Table1[[#This Row],[Std Nom]]="",Table1[[#This Row],[Std Read]]=""),0,Table1[[#This Row],[Std Nom]]-Table1[[#This Row],[Std Read]])</f>
        <v>0</v>
      </c>
      <c r="N1785" s="1">
        <f>IF(Calculations!$F$5="ACCREDITED 17025 WITH UNCERTAINTIES",$N$10,0)</f>
        <v>0</v>
      </c>
      <c r="Q1785" s="1">
        <f>Table1[[#This Row],[High Tol]]-Table1[[#This Row],[Low Tol]]</f>
        <v>0</v>
      </c>
      <c r="R1785" s="1">
        <f>2*Table1[[#This Row],[Std Error]]</f>
        <v>0</v>
      </c>
      <c r="S1785" s="1" t="str">
        <f>IF(Table1[[#This Row],[High Tol]]="","N/A",IFERROR(ABS(Table1[[#This Row],[Tol Span]]/Table1[[#This Row],[Error Span]]),"N/A"))</f>
        <v>N/A</v>
      </c>
      <c r="T1785" s="1" t="str">
        <f>IF(OR(Table1[[#This Row],[Low Tol]]="",Table1[[#This Row],[High Tol]]=""),"Needs Analysis",IF(Table1[[#This Row],[Ratio]]&gt;=4,"Not Significant",IF(Table1[[#This Row],[Ratio]]&gt;=2,"Semi-Significant","Significant")))</f>
        <v>Needs Analysis</v>
      </c>
      <c r="W1785" s="1">
        <f>IF(Table1[[#This Row],[Cal Type]]&lt;&gt;"ACCREDITED 17025 WITH UNCERTAINTIES",0,"")</f>
        <v>0</v>
      </c>
      <c r="X1785" s="1" t="str">
        <f>IF(Table1[[#This Row],[DUT Read]]="","N/A",Table1[[#This Row],[Std Error]]+Table1[[#This Row],[DUT Read]]+Table1[[#This Row],[DUT Ucty]])</f>
        <v>N/A</v>
      </c>
      <c r="Y1785" s="1" t="str">
        <f>IF(Table1[[#This Row],[Std Read]]="","N/A",Table1[[#This Row],[Std Read]]+Table1[[#This Row],[Std Ucty]])</f>
        <v>N/A</v>
      </c>
      <c r="Z17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5" s="1" t="str">
        <f>IF(Table1[[#This Row],[Spec Type]]="","N/A",Table1[[#This Row],[Spec Type]])</f>
        <v>±</v>
      </c>
      <c r="AC1785" s="1" t="str">
        <f>IF(Table1[[#This Row],[Spec Type2]]="N/A","N/A",IF(AND(Table1[[#This Row],[DUT Adj Read]]&gt;=Table1[[#This Row],[Low Tol]],Table1[[#This Row],[DUT Adj Read]]&lt;=Table1[[#This Row],[High Tol]]),"Pass","Fail"))</f>
        <v>Fail</v>
      </c>
      <c r="AD1785" s="1" t="str">
        <f>IF(AND(Table1[[#This Row],[Spec Type2]]="N/A",Table1[[#This Row],[DUT Adj Read]]="N/A",Table1[[#This Row],[Std Adj Read]]="N/A"),"N/A",IF(Table1[[#This Row],[DUT Adj Read]]="N/A",IF(Table1[[#This Row],[Std Adj Read]]&gt;Table1[[#This Row],[Low Tol]],"Pass","Fail"),IF(Table1[[#This Row],[DUT Adj Read]]&gt;Table1[[#This Row],[Low Tol]],"Pass","Fail")))</f>
        <v>Pass</v>
      </c>
      <c r="AE1785" s="1" t="str">
        <f>IF(AND(Table1[[#This Row],[Spec Type2]]="N/A",Table1[[#This Row],[DUT Adj Read]]="N/A",Table1[[#This Row],[Std Adj Read]]="N/A"),"N/A",IF(Table1[[#This Row],[DUT Adj Read]]="N/A",IF(Table1[[#This Row],[Std Adj Read]]&lt;Table1[[#This Row],[High Tol]],"Pass","Fail"),IF(Table1[[#This Row],[DUT Adj Read]]&lt;Table1[[#This Row],[High Tol]],"Pass","Fail")))</f>
        <v>Fail</v>
      </c>
      <c r="AF1785" s="1" t="str">
        <f>IF(AND(Table1[[#This Row],[Spec Type2]]="N/A",Table1[[#This Row],[DUT Adj Read]]="N/A",Table1[[#This Row],[Std Adj Read]]="N/A"),"N/A",IF(Table1[[#This Row],[DUT Adj Read]]="N/A",IF(Table1[[#This Row],[Std Adj Read]]&gt;=Table1[[#This Row],[Low Tol]],"Pass","Fail"),IF(Table1[[#This Row],[DUT Adj Read]]&gt;=Table1[[#This Row],[Low Tol]],"Pass","Fail")))</f>
        <v>Pass</v>
      </c>
      <c r="AG1785" s="1" t="str">
        <f>IF(AND(Table1[[#This Row],[Spec Type2]]="N/A",Table1[[#This Row],[DUT Adj Read]]="N/A",Table1[[#This Row],[Std Adj Read]]="N/A"),"N/A",IF(Table1[[#This Row],[DUT Adj Read]]="N/A",IF(Table1[[#This Row],[Std Adj Read]]&lt;=Table1[[#This Row],[High Tol]],"Pass","Fail"),IF(Table1[[#This Row],[DUT Adj Read]]&lt;=Table1[[#This Row],[High Tol]],"Pass","Fail")))</f>
        <v>Fail</v>
      </c>
      <c r="AH17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5" s="1" t="b">
        <v>0</v>
      </c>
      <c r="AN1785" s="1" t="b">
        <v>0</v>
      </c>
      <c r="AO1785" s="1" t="b">
        <v>0</v>
      </c>
    </row>
    <row r="1786" spans="1:41" x14ac:dyDescent="0.25">
      <c r="A1786" s="10"/>
      <c r="B1786" s="10"/>
      <c r="C1786" s="10"/>
      <c r="D1786" s="10"/>
      <c r="E1786" s="10"/>
      <c r="F1786" s="10"/>
      <c r="G1786" s="10"/>
      <c r="H1786" s="10"/>
      <c r="I1786" s="1" t="str">
        <f t="shared" si="81"/>
        <v/>
      </c>
      <c r="J1786" s="1" t="s">
        <v>35</v>
      </c>
      <c r="K1786" s="1" t="str">
        <f t="shared" si="82"/>
        <v/>
      </c>
      <c r="L1786" s="1" t="str">
        <f t="shared" si="83"/>
        <v/>
      </c>
      <c r="M1786" s="1">
        <f>IF(OR(Table1[[#This Row],[Std Nom]]="",Table1[[#This Row],[Std Read]]=""),0,Table1[[#This Row],[Std Nom]]-Table1[[#This Row],[Std Read]])</f>
        <v>0</v>
      </c>
      <c r="N1786" s="1">
        <f>IF(Calculations!$F$5="ACCREDITED 17025 WITH UNCERTAINTIES",$N$10,0)</f>
        <v>0</v>
      </c>
      <c r="Q1786" s="1">
        <f>Table1[[#This Row],[High Tol]]-Table1[[#This Row],[Low Tol]]</f>
        <v>0</v>
      </c>
      <c r="R1786" s="1">
        <f>2*Table1[[#This Row],[Std Error]]</f>
        <v>0</v>
      </c>
      <c r="S1786" s="1" t="str">
        <f>IF(Table1[[#This Row],[High Tol]]="","N/A",IFERROR(ABS(Table1[[#This Row],[Tol Span]]/Table1[[#This Row],[Error Span]]),"N/A"))</f>
        <v>N/A</v>
      </c>
      <c r="T1786" s="1" t="str">
        <f>IF(OR(Table1[[#This Row],[Low Tol]]="",Table1[[#This Row],[High Tol]]=""),"Needs Analysis",IF(Table1[[#This Row],[Ratio]]&gt;=4,"Not Significant",IF(Table1[[#This Row],[Ratio]]&gt;=2,"Semi-Significant","Significant")))</f>
        <v>Needs Analysis</v>
      </c>
      <c r="W1786" s="1">
        <f>IF(Table1[[#This Row],[Cal Type]]&lt;&gt;"ACCREDITED 17025 WITH UNCERTAINTIES",0,"")</f>
        <v>0</v>
      </c>
      <c r="X1786" s="1" t="str">
        <f>IF(Table1[[#This Row],[DUT Read]]="","N/A",Table1[[#This Row],[Std Error]]+Table1[[#This Row],[DUT Read]]+Table1[[#This Row],[DUT Ucty]])</f>
        <v>N/A</v>
      </c>
      <c r="Y1786" s="1" t="str">
        <f>IF(Table1[[#This Row],[Std Read]]="","N/A",Table1[[#This Row],[Std Read]]+Table1[[#This Row],[Std Ucty]])</f>
        <v>N/A</v>
      </c>
      <c r="Z17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6" s="1" t="str">
        <f>IF(Table1[[#This Row],[Spec Type]]="","N/A",Table1[[#This Row],[Spec Type]])</f>
        <v>±</v>
      </c>
      <c r="AC1786" s="1" t="str">
        <f>IF(Table1[[#This Row],[Spec Type2]]="N/A","N/A",IF(AND(Table1[[#This Row],[DUT Adj Read]]&gt;=Table1[[#This Row],[Low Tol]],Table1[[#This Row],[DUT Adj Read]]&lt;=Table1[[#This Row],[High Tol]]),"Pass","Fail"))</f>
        <v>Fail</v>
      </c>
      <c r="AD1786" s="1" t="str">
        <f>IF(AND(Table1[[#This Row],[Spec Type2]]="N/A",Table1[[#This Row],[DUT Adj Read]]="N/A",Table1[[#This Row],[Std Adj Read]]="N/A"),"N/A",IF(Table1[[#This Row],[DUT Adj Read]]="N/A",IF(Table1[[#This Row],[Std Adj Read]]&gt;Table1[[#This Row],[Low Tol]],"Pass","Fail"),IF(Table1[[#This Row],[DUT Adj Read]]&gt;Table1[[#This Row],[Low Tol]],"Pass","Fail")))</f>
        <v>Pass</v>
      </c>
      <c r="AE1786" s="1" t="str">
        <f>IF(AND(Table1[[#This Row],[Spec Type2]]="N/A",Table1[[#This Row],[DUT Adj Read]]="N/A",Table1[[#This Row],[Std Adj Read]]="N/A"),"N/A",IF(Table1[[#This Row],[DUT Adj Read]]="N/A",IF(Table1[[#This Row],[Std Adj Read]]&lt;Table1[[#This Row],[High Tol]],"Pass","Fail"),IF(Table1[[#This Row],[DUT Adj Read]]&lt;Table1[[#This Row],[High Tol]],"Pass","Fail")))</f>
        <v>Fail</v>
      </c>
      <c r="AF1786" s="1" t="str">
        <f>IF(AND(Table1[[#This Row],[Spec Type2]]="N/A",Table1[[#This Row],[DUT Adj Read]]="N/A",Table1[[#This Row],[Std Adj Read]]="N/A"),"N/A",IF(Table1[[#This Row],[DUT Adj Read]]="N/A",IF(Table1[[#This Row],[Std Adj Read]]&gt;=Table1[[#This Row],[Low Tol]],"Pass","Fail"),IF(Table1[[#This Row],[DUT Adj Read]]&gt;=Table1[[#This Row],[Low Tol]],"Pass","Fail")))</f>
        <v>Pass</v>
      </c>
      <c r="AG1786" s="1" t="str">
        <f>IF(AND(Table1[[#This Row],[Spec Type2]]="N/A",Table1[[#This Row],[DUT Adj Read]]="N/A",Table1[[#This Row],[Std Adj Read]]="N/A"),"N/A",IF(Table1[[#This Row],[DUT Adj Read]]="N/A",IF(Table1[[#This Row],[Std Adj Read]]&lt;=Table1[[#This Row],[High Tol]],"Pass","Fail"),IF(Table1[[#This Row],[DUT Adj Read]]&lt;=Table1[[#This Row],[High Tol]],"Pass","Fail")))</f>
        <v>Fail</v>
      </c>
      <c r="AH17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6" s="1" t="b">
        <v>0</v>
      </c>
      <c r="AN1786" s="1" t="b">
        <v>0</v>
      </c>
      <c r="AO1786" s="1" t="b">
        <v>0</v>
      </c>
    </row>
    <row r="1787" spans="1:41" x14ac:dyDescent="0.25">
      <c r="A1787" s="10"/>
      <c r="B1787" s="10"/>
      <c r="C1787" s="10"/>
      <c r="D1787" s="10"/>
      <c r="E1787" s="10"/>
      <c r="F1787" s="10"/>
      <c r="G1787" s="10"/>
      <c r="H1787" s="10"/>
      <c r="I1787" s="1" t="str">
        <f t="shared" si="81"/>
        <v/>
      </c>
      <c r="J1787" s="1" t="s">
        <v>35</v>
      </c>
      <c r="K1787" s="1" t="str">
        <f t="shared" si="82"/>
        <v/>
      </c>
      <c r="L1787" s="1" t="str">
        <f t="shared" si="83"/>
        <v/>
      </c>
      <c r="M1787" s="1">
        <f>IF(OR(Table1[[#This Row],[Std Nom]]="",Table1[[#This Row],[Std Read]]=""),0,Table1[[#This Row],[Std Nom]]-Table1[[#This Row],[Std Read]])</f>
        <v>0</v>
      </c>
      <c r="N1787" s="1">
        <f>IF(Calculations!$F$5="ACCREDITED 17025 WITH UNCERTAINTIES",$N$10,0)</f>
        <v>0</v>
      </c>
      <c r="Q1787" s="1">
        <f>Table1[[#This Row],[High Tol]]-Table1[[#This Row],[Low Tol]]</f>
        <v>0</v>
      </c>
      <c r="R1787" s="1">
        <f>2*Table1[[#This Row],[Std Error]]</f>
        <v>0</v>
      </c>
      <c r="S1787" s="1" t="str">
        <f>IF(Table1[[#This Row],[High Tol]]="","N/A",IFERROR(ABS(Table1[[#This Row],[Tol Span]]/Table1[[#This Row],[Error Span]]),"N/A"))</f>
        <v>N/A</v>
      </c>
      <c r="T1787" s="1" t="str">
        <f>IF(OR(Table1[[#This Row],[Low Tol]]="",Table1[[#This Row],[High Tol]]=""),"Needs Analysis",IF(Table1[[#This Row],[Ratio]]&gt;=4,"Not Significant",IF(Table1[[#This Row],[Ratio]]&gt;=2,"Semi-Significant","Significant")))</f>
        <v>Needs Analysis</v>
      </c>
      <c r="W1787" s="1">
        <f>IF(Table1[[#This Row],[Cal Type]]&lt;&gt;"ACCREDITED 17025 WITH UNCERTAINTIES",0,"")</f>
        <v>0</v>
      </c>
      <c r="X1787" s="1" t="str">
        <f>IF(Table1[[#This Row],[DUT Read]]="","N/A",Table1[[#This Row],[Std Error]]+Table1[[#This Row],[DUT Read]]+Table1[[#This Row],[DUT Ucty]])</f>
        <v>N/A</v>
      </c>
      <c r="Y1787" s="1" t="str">
        <f>IF(Table1[[#This Row],[Std Read]]="","N/A",Table1[[#This Row],[Std Read]]+Table1[[#This Row],[Std Ucty]])</f>
        <v>N/A</v>
      </c>
      <c r="Z17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7" s="1" t="str">
        <f>IF(Table1[[#This Row],[Spec Type]]="","N/A",Table1[[#This Row],[Spec Type]])</f>
        <v>±</v>
      </c>
      <c r="AC1787" s="1" t="str">
        <f>IF(Table1[[#This Row],[Spec Type2]]="N/A","N/A",IF(AND(Table1[[#This Row],[DUT Adj Read]]&gt;=Table1[[#This Row],[Low Tol]],Table1[[#This Row],[DUT Adj Read]]&lt;=Table1[[#This Row],[High Tol]]),"Pass","Fail"))</f>
        <v>Fail</v>
      </c>
      <c r="AD1787" s="1" t="str">
        <f>IF(AND(Table1[[#This Row],[Spec Type2]]="N/A",Table1[[#This Row],[DUT Adj Read]]="N/A",Table1[[#This Row],[Std Adj Read]]="N/A"),"N/A",IF(Table1[[#This Row],[DUT Adj Read]]="N/A",IF(Table1[[#This Row],[Std Adj Read]]&gt;Table1[[#This Row],[Low Tol]],"Pass","Fail"),IF(Table1[[#This Row],[DUT Adj Read]]&gt;Table1[[#This Row],[Low Tol]],"Pass","Fail")))</f>
        <v>Pass</v>
      </c>
      <c r="AE1787" s="1" t="str">
        <f>IF(AND(Table1[[#This Row],[Spec Type2]]="N/A",Table1[[#This Row],[DUT Adj Read]]="N/A",Table1[[#This Row],[Std Adj Read]]="N/A"),"N/A",IF(Table1[[#This Row],[DUT Adj Read]]="N/A",IF(Table1[[#This Row],[Std Adj Read]]&lt;Table1[[#This Row],[High Tol]],"Pass","Fail"),IF(Table1[[#This Row],[DUT Adj Read]]&lt;Table1[[#This Row],[High Tol]],"Pass","Fail")))</f>
        <v>Fail</v>
      </c>
      <c r="AF1787" s="1" t="str">
        <f>IF(AND(Table1[[#This Row],[Spec Type2]]="N/A",Table1[[#This Row],[DUT Adj Read]]="N/A",Table1[[#This Row],[Std Adj Read]]="N/A"),"N/A",IF(Table1[[#This Row],[DUT Adj Read]]="N/A",IF(Table1[[#This Row],[Std Adj Read]]&gt;=Table1[[#This Row],[Low Tol]],"Pass","Fail"),IF(Table1[[#This Row],[DUT Adj Read]]&gt;=Table1[[#This Row],[Low Tol]],"Pass","Fail")))</f>
        <v>Pass</v>
      </c>
      <c r="AG1787" s="1" t="str">
        <f>IF(AND(Table1[[#This Row],[Spec Type2]]="N/A",Table1[[#This Row],[DUT Adj Read]]="N/A",Table1[[#This Row],[Std Adj Read]]="N/A"),"N/A",IF(Table1[[#This Row],[DUT Adj Read]]="N/A",IF(Table1[[#This Row],[Std Adj Read]]&lt;=Table1[[#This Row],[High Tol]],"Pass","Fail"),IF(Table1[[#This Row],[DUT Adj Read]]&lt;=Table1[[#This Row],[High Tol]],"Pass","Fail")))</f>
        <v>Fail</v>
      </c>
      <c r="AH17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7" s="1" t="b">
        <v>0</v>
      </c>
      <c r="AN1787" s="1" t="b">
        <v>0</v>
      </c>
      <c r="AO1787" s="1" t="b">
        <v>0</v>
      </c>
    </row>
    <row r="1788" spans="1:41" x14ac:dyDescent="0.25">
      <c r="A1788" s="10"/>
      <c r="B1788" s="10"/>
      <c r="C1788" s="10"/>
      <c r="D1788" s="10"/>
      <c r="E1788" s="10"/>
      <c r="F1788" s="10"/>
      <c r="G1788" s="10"/>
      <c r="H1788" s="10"/>
      <c r="I1788" s="1" t="str">
        <f t="shared" si="81"/>
        <v/>
      </c>
      <c r="J1788" s="1" t="s">
        <v>35</v>
      </c>
      <c r="K1788" s="1" t="str">
        <f t="shared" si="82"/>
        <v/>
      </c>
      <c r="L1788" s="1" t="str">
        <f t="shared" si="83"/>
        <v/>
      </c>
      <c r="M1788" s="1">
        <f>IF(OR(Table1[[#This Row],[Std Nom]]="",Table1[[#This Row],[Std Read]]=""),0,Table1[[#This Row],[Std Nom]]-Table1[[#This Row],[Std Read]])</f>
        <v>0</v>
      </c>
      <c r="N1788" s="1">
        <f>IF(Calculations!$F$5="ACCREDITED 17025 WITH UNCERTAINTIES",$N$10,0)</f>
        <v>0</v>
      </c>
      <c r="Q1788" s="1">
        <f>Table1[[#This Row],[High Tol]]-Table1[[#This Row],[Low Tol]]</f>
        <v>0</v>
      </c>
      <c r="R1788" s="1">
        <f>2*Table1[[#This Row],[Std Error]]</f>
        <v>0</v>
      </c>
      <c r="S1788" s="1" t="str">
        <f>IF(Table1[[#This Row],[High Tol]]="","N/A",IFERROR(ABS(Table1[[#This Row],[Tol Span]]/Table1[[#This Row],[Error Span]]),"N/A"))</f>
        <v>N/A</v>
      </c>
      <c r="T1788" s="1" t="str">
        <f>IF(OR(Table1[[#This Row],[Low Tol]]="",Table1[[#This Row],[High Tol]]=""),"Needs Analysis",IF(Table1[[#This Row],[Ratio]]&gt;=4,"Not Significant",IF(Table1[[#This Row],[Ratio]]&gt;=2,"Semi-Significant","Significant")))</f>
        <v>Needs Analysis</v>
      </c>
      <c r="W1788" s="1">
        <f>IF(Table1[[#This Row],[Cal Type]]&lt;&gt;"ACCREDITED 17025 WITH UNCERTAINTIES",0,"")</f>
        <v>0</v>
      </c>
      <c r="X1788" s="1" t="str">
        <f>IF(Table1[[#This Row],[DUT Read]]="","N/A",Table1[[#This Row],[Std Error]]+Table1[[#This Row],[DUT Read]]+Table1[[#This Row],[DUT Ucty]])</f>
        <v>N/A</v>
      </c>
      <c r="Y1788" s="1" t="str">
        <f>IF(Table1[[#This Row],[Std Read]]="","N/A",Table1[[#This Row],[Std Read]]+Table1[[#This Row],[Std Ucty]])</f>
        <v>N/A</v>
      </c>
      <c r="Z17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8" s="1" t="str">
        <f>IF(Table1[[#This Row],[Spec Type]]="","N/A",Table1[[#This Row],[Spec Type]])</f>
        <v>±</v>
      </c>
      <c r="AC1788" s="1" t="str">
        <f>IF(Table1[[#This Row],[Spec Type2]]="N/A","N/A",IF(AND(Table1[[#This Row],[DUT Adj Read]]&gt;=Table1[[#This Row],[Low Tol]],Table1[[#This Row],[DUT Adj Read]]&lt;=Table1[[#This Row],[High Tol]]),"Pass","Fail"))</f>
        <v>Fail</v>
      </c>
      <c r="AD1788" s="1" t="str">
        <f>IF(AND(Table1[[#This Row],[Spec Type2]]="N/A",Table1[[#This Row],[DUT Adj Read]]="N/A",Table1[[#This Row],[Std Adj Read]]="N/A"),"N/A",IF(Table1[[#This Row],[DUT Adj Read]]="N/A",IF(Table1[[#This Row],[Std Adj Read]]&gt;Table1[[#This Row],[Low Tol]],"Pass","Fail"),IF(Table1[[#This Row],[DUT Adj Read]]&gt;Table1[[#This Row],[Low Tol]],"Pass","Fail")))</f>
        <v>Pass</v>
      </c>
      <c r="AE1788" s="1" t="str">
        <f>IF(AND(Table1[[#This Row],[Spec Type2]]="N/A",Table1[[#This Row],[DUT Adj Read]]="N/A",Table1[[#This Row],[Std Adj Read]]="N/A"),"N/A",IF(Table1[[#This Row],[DUT Adj Read]]="N/A",IF(Table1[[#This Row],[Std Adj Read]]&lt;Table1[[#This Row],[High Tol]],"Pass","Fail"),IF(Table1[[#This Row],[DUT Adj Read]]&lt;Table1[[#This Row],[High Tol]],"Pass","Fail")))</f>
        <v>Fail</v>
      </c>
      <c r="AF1788" s="1" t="str">
        <f>IF(AND(Table1[[#This Row],[Spec Type2]]="N/A",Table1[[#This Row],[DUT Adj Read]]="N/A",Table1[[#This Row],[Std Adj Read]]="N/A"),"N/A",IF(Table1[[#This Row],[DUT Adj Read]]="N/A",IF(Table1[[#This Row],[Std Adj Read]]&gt;=Table1[[#This Row],[Low Tol]],"Pass","Fail"),IF(Table1[[#This Row],[DUT Adj Read]]&gt;=Table1[[#This Row],[Low Tol]],"Pass","Fail")))</f>
        <v>Pass</v>
      </c>
      <c r="AG1788" s="1" t="str">
        <f>IF(AND(Table1[[#This Row],[Spec Type2]]="N/A",Table1[[#This Row],[DUT Adj Read]]="N/A",Table1[[#This Row],[Std Adj Read]]="N/A"),"N/A",IF(Table1[[#This Row],[DUT Adj Read]]="N/A",IF(Table1[[#This Row],[Std Adj Read]]&lt;=Table1[[#This Row],[High Tol]],"Pass","Fail"),IF(Table1[[#This Row],[DUT Adj Read]]&lt;=Table1[[#This Row],[High Tol]],"Pass","Fail")))</f>
        <v>Fail</v>
      </c>
      <c r="AH17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8" s="1" t="b">
        <v>0</v>
      </c>
      <c r="AN1788" s="1" t="b">
        <v>0</v>
      </c>
      <c r="AO1788" s="1" t="b">
        <v>0</v>
      </c>
    </row>
    <row r="1789" spans="1:41" x14ac:dyDescent="0.25">
      <c r="A1789" s="10"/>
      <c r="B1789" s="10"/>
      <c r="C1789" s="10"/>
      <c r="D1789" s="10"/>
      <c r="E1789" s="10"/>
      <c r="F1789" s="10"/>
      <c r="G1789" s="10"/>
      <c r="H1789" s="10"/>
      <c r="I1789" s="1" t="str">
        <f t="shared" si="81"/>
        <v/>
      </c>
      <c r="J1789" s="1" t="s">
        <v>35</v>
      </c>
      <c r="K1789" s="1" t="str">
        <f t="shared" si="82"/>
        <v/>
      </c>
      <c r="L1789" s="1" t="str">
        <f t="shared" si="83"/>
        <v/>
      </c>
      <c r="M1789" s="1">
        <f>IF(OR(Table1[[#This Row],[Std Nom]]="",Table1[[#This Row],[Std Read]]=""),0,Table1[[#This Row],[Std Nom]]-Table1[[#This Row],[Std Read]])</f>
        <v>0</v>
      </c>
      <c r="N1789" s="1">
        <f>IF(Calculations!$F$5="ACCREDITED 17025 WITH UNCERTAINTIES",$N$10,0)</f>
        <v>0</v>
      </c>
      <c r="Q1789" s="1">
        <f>Table1[[#This Row],[High Tol]]-Table1[[#This Row],[Low Tol]]</f>
        <v>0</v>
      </c>
      <c r="R1789" s="1">
        <f>2*Table1[[#This Row],[Std Error]]</f>
        <v>0</v>
      </c>
      <c r="S1789" s="1" t="str">
        <f>IF(Table1[[#This Row],[High Tol]]="","N/A",IFERROR(ABS(Table1[[#This Row],[Tol Span]]/Table1[[#This Row],[Error Span]]),"N/A"))</f>
        <v>N/A</v>
      </c>
      <c r="T1789" s="1" t="str">
        <f>IF(OR(Table1[[#This Row],[Low Tol]]="",Table1[[#This Row],[High Tol]]=""),"Needs Analysis",IF(Table1[[#This Row],[Ratio]]&gt;=4,"Not Significant",IF(Table1[[#This Row],[Ratio]]&gt;=2,"Semi-Significant","Significant")))</f>
        <v>Needs Analysis</v>
      </c>
      <c r="W1789" s="1">
        <f>IF(Table1[[#This Row],[Cal Type]]&lt;&gt;"ACCREDITED 17025 WITH UNCERTAINTIES",0,"")</f>
        <v>0</v>
      </c>
      <c r="X1789" s="1" t="str">
        <f>IF(Table1[[#This Row],[DUT Read]]="","N/A",Table1[[#This Row],[Std Error]]+Table1[[#This Row],[DUT Read]]+Table1[[#This Row],[DUT Ucty]])</f>
        <v>N/A</v>
      </c>
      <c r="Y1789" s="1" t="str">
        <f>IF(Table1[[#This Row],[Std Read]]="","N/A",Table1[[#This Row],[Std Read]]+Table1[[#This Row],[Std Ucty]])</f>
        <v>N/A</v>
      </c>
      <c r="Z17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89" s="1" t="str">
        <f>IF(Table1[[#This Row],[Spec Type]]="","N/A",Table1[[#This Row],[Spec Type]])</f>
        <v>±</v>
      </c>
      <c r="AC1789" s="1" t="str">
        <f>IF(Table1[[#This Row],[Spec Type2]]="N/A","N/A",IF(AND(Table1[[#This Row],[DUT Adj Read]]&gt;=Table1[[#This Row],[Low Tol]],Table1[[#This Row],[DUT Adj Read]]&lt;=Table1[[#This Row],[High Tol]]),"Pass","Fail"))</f>
        <v>Fail</v>
      </c>
      <c r="AD1789" s="1" t="str">
        <f>IF(AND(Table1[[#This Row],[Spec Type2]]="N/A",Table1[[#This Row],[DUT Adj Read]]="N/A",Table1[[#This Row],[Std Adj Read]]="N/A"),"N/A",IF(Table1[[#This Row],[DUT Adj Read]]="N/A",IF(Table1[[#This Row],[Std Adj Read]]&gt;Table1[[#This Row],[Low Tol]],"Pass","Fail"),IF(Table1[[#This Row],[DUT Adj Read]]&gt;Table1[[#This Row],[Low Tol]],"Pass","Fail")))</f>
        <v>Pass</v>
      </c>
      <c r="AE1789" s="1" t="str">
        <f>IF(AND(Table1[[#This Row],[Spec Type2]]="N/A",Table1[[#This Row],[DUT Adj Read]]="N/A",Table1[[#This Row],[Std Adj Read]]="N/A"),"N/A",IF(Table1[[#This Row],[DUT Adj Read]]="N/A",IF(Table1[[#This Row],[Std Adj Read]]&lt;Table1[[#This Row],[High Tol]],"Pass","Fail"),IF(Table1[[#This Row],[DUT Adj Read]]&lt;Table1[[#This Row],[High Tol]],"Pass","Fail")))</f>
        <v>Fail</v>
      </c>
      <c r="AF1789" s="1" t="str">
        <f>IF(AND(Table1[[#This Row],[Spec Type2]]="N/A",Table1[[#This Row],[DUT Adj Read]]="N/A",Table1[[#This Row],[Std Adj Read]]="N/A"),"N/A",IF(Table1[[#This Row],[DUT Adj Read]]="N/A",IF(Table1[[#This Row],[Std Adj Read]]&gt;=Table1[[#This Row],[Low Tol]],"Pass","Fail"),IF(Table1[[#This Row],[DUT Adj Read]]&gt;=Table1[[#This Row],[Low Tol]],"Pass","Fail")))</f>
        <v>Pass</v>
      </c>
      <c r="AG1789" s="1" t="str">
        <f>IF(AND(Table1[[#This Row],[Spec Type2]]="N/A",Table1[[#This Row],[DUT Adj Read]]="N/A",Table1[[#This Row],[Std Adj Read]]="N/A"),"N/A",IF(Table1[[#This Row],[DUT Adj Read]]="N/A",IF(Table1[[#This Row],[Std Adj Read]]&lt;=Table1[[#This Row],[High Tol]],"Pass","Fail"),IF(Table1[[#This Row],[DUT Adj Read]]&lt;=Table1[[#This Row],[High Tol]],"Pass","Fail")))</f>
        <v>Fail</v>
      </c>
      <c r="AH17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89" s="1" t="b">
        <v>0</v>
      </c>
      <c r="AN1789" s="1" t="b">
        <v>0</v>
      </c>
      <c r="AO1789" s="1" t="b">
        <v>0</v>
      </c>
    </row>
    <row r="1790" spans="1:41" x14ac:dyDescent="0.25">
      <c r="A1790" s="10"/>
      <c r="B1790" s="10"/>
      <c r="C1790" s="10"/>
      <c r="D1790" s="10"/>
      <c r="E1790" s="10"/>
      <c r="F1790" s="10"/>
      <c r="G1790" s="10"/>
      <c r="H1790" s="10"/>
      <c r="I1790" s="1" t="str">
        <f t="shared" si="81"/>
        <v/>
      </c>
      <c r="J1790" s="1" t="s">
        <v>35</v>
      </c>
      <c r="K1790" s="1" t="str">
        <f t="shared" si="82"/>
        <v/>
      </c>
      <c r="L1790" s="1" t="str">
        <f t="shared" si="83"/>
        <v/>
      </c>
      <c r="M1790" s="1">
        <f>IF(OR(Table1[[#This Row],[Std Nom]]="",Table1[[#This Row],[Std Read]]=""),0,Table1[[#This Row],[Std Nom]]-Table1[[#This Row],[Std Read]])</f>
        <v>0</v>
      </c>
      <c r="N1790" s="1">
        <f>IF(Calculations!$F$5="ACCREDITED 17025 WITH UNCERTAINTIES",$N$10,0)</f>
        <v>0</v>
      </c>
      <c r="Q1790" s="1">
        <f>Table1[[#This Row],[High Tol]]-Table1[[#This Row],[Low Tol]]</f>
        <v>0</v>
      </c>
      <c r="R1790" s="1">
        <f>2*Table1[[#This Row],[Std Error]]</f>
        <v>0</v>
      </c>
      <c r="S1790" s="1" t="str">
        <f>IF(Table1[[#This Row],[High Tol]]="","N/A",IFERROR(ABS(Table1[[#This Row],[Tol Span]]/Table1[[#This Row],[Error Span]]),"N/A"))</f>
        <v>N/A</v>
      </c>
      <c r="T1790" s="1" t="str">
        <f>IF(OR(Table1[[#This Row],[Low Tol]]="",Table1[[#This Row],[High Tol]]=""),"Needs Analysis",IF(Table1[[#This Row],[Ratio]]&gt;=4,"Not Significant",IF(Table1[[#This Row],[Ratio]]&gt;=2,"Semi-Significant","Significant")))</f>
        <v>Needs Analysis</v>
      </c>
      <c r="W1790" s="1">
        <f>IF(Table1[[#This Row],[Cal Type]]&lt;&gt;"ACCREDITED 17025 WITH UNCERTAINTIES",0,"")</f>
        <v>0</v>
      </c>
      <c r="X1790" s="1" t="str">
        <f>IF(Table1[[#This Row],[DUT Read]]="","N/A",Table1[[#This Row],[Std Error]]+Table1[[#This Row],[DUT Read]]+Table1[[#This Row],[DUT Ucty]])</f>
        <v>N/A</v>
      </c>
      <c r="Y1790" s="1" t="str">
        <f>IF(Table1[[#This Row],[Std Read]]="","N/A",Table1[[#This Row],[Std Read]]+Table1[[#This Row],[Std Ucty]])</f>
        <v>N/A</v>
      </c>
      <c r="Z17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0" s="1" t="str">
        <f>IF(Table1[[#This Row],[Spec Type]]="","N/A",Table1[[#This Row],[Spec Type]])</f>
        <v>±</v>
      </c>
      <c r="AC1790" s="1" t="str">
        <f>IF(Table1[[#This Row],[Spec Type2]]="N/A","N/A",IF(AND(Table1[[#This Row],[DUT Adj Read]]&gt;=Table1[[#This Row],[Low Tol]],Table1[[#This Row],[DUT Adj Read]]&lt;=Table1[[#This Row],[High Tol]]),"Pass","Fail"))</f>
        <v>Fail</v>
      </c>
      <c r="AD1790" s="1" t="str">
        <f>IF(AND(Table1[[#This Row],[Spec Type2]]="N/A",Table1[[#This Row],[DUT Adj Read]]="N/A",Table1[[#This Row],[Std Adj Read]]="N/A"),"N/A",IF(Table1[[#This Row],[DUT Adj Read]]="N/A",IF(Table1[[#This Row],[Std Adj Read]]&gt;Table1[[#This Row],[Low Tol]],"Pass","Fail"),IF(Table1[[#This Row],[DUT Adj Read]]&gt;Table1[[#This Row],[Low Tol]],"Pass","Fail")))</f>
        <v>Pass</v>
      </c>
      <c r="AE1790" s="1" t="str">
        <f>IF(AND(Table1[[#This Row],[Spec Type2]]="N/A",Table1[[#This Row],[DUT Adj Read]]="N/A",Table1[[#This Row],[Std Adj Read]]="N/A"),"N/A",IF(Table1[[#This Row],[DUT Adj Read]]="N/A",IF(Table1[[#This Row],[Std Adj Read]]&lt;Table1[[#This Row],[High Tol]],"Pass","Fail"),IF(Table1[[#This Row],[DUT Adj Read]]&lt;Table1[[#This Row],[High Tol]],"Pass","Fail")))</f>
        <v>Fail</v>
      </c>
      <c r="AF1790" s="1" t="str">
        <f>IF(AND(Table1[[#This Row],[Spec Type2]]="N/A",Table1[[#This Row],[DUT Adj Read]]="N/A",Table1[[#This Row],[Std Adj Read]]="N/A"),"N/A",IF(Table1[[#This Row],[DUT Adj Read]]="N/A",IF(Table1[[#This Row],[Std Adj Read]]&gt;=Table1[[#This Row],[Low Tol]],"Pass","Fail"),IF(Table1[[#This Row],[DUT Adj Read]]&gt;=Table1[[#This Row],[Low Tol]],"Pass","Fail")))</f>
        <v>Pass</v>
      </c>
      <c r="AG1790" s="1" t="str">
        <f>IF(AND(Table1[[#This Row],[Spec Type2]]="N/A",Table1[[#This Row],[DUT Adj Read]]="N/A",Table1[[#This Row],[Std Adj Read]]="N/A"),"N/A",IF(Table1[[#This Row],[DUT Adj Read]]="N/A",IF(Table1[[#This Row],[Std Adj Read]]&lt;=Table1[[#This Row],[High Tol]],"Pass","Fail"),IF(Table1[[#This Row],[DUT Adj Read]]&lt;=Table1[[#This Row],[High Tol]],"Pass","Fail")))</f>
        <v>Fail</v>
      </c>
      <c r="AH17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0" s="1" t="b">
        <v>0</v>
      </c>
      <c r="AN1790" s="1" t="b">
        <v>0</v>
      </c>
      <c r="AO1790" s="1" t="b">
        <v>0</v>
      </c>
    </row>
    <row r="1791" spans="1:41" x14ac:dyDescent="0.25">
      <c r="A1791" s="10"/>
      <c r="B1791" s="10"/>
      <c r="C1791" s="10"/>
      <c r="D1791" s="10"/>
      <c r="E1791" s="10"/>
      <c r="F1791" s="10"/>
      <c r="G1791" s="10"/>
      <c r="H1791" s="10"/>
      <c r="I1791" s="1" t="str">
        <f t="shared" si="81"/>
        <v/>
      </c>
      <c r="J1791" s="1" t="s">
        <v>35</v>
      </c>
      <c r="K1791" s="1" t="str">
        <f t="shared" si="82"/>
        <v/>
      </c>
      <c r="L1791" s="1" t="str">
        <f t="shared" si="83"/>
        <v/>
      </c>
      <c r="M1791" s="1">
        <f>IF(OR(Table1[[#This Row],[Std Nom]]="",Table1[[#This Row],[Std Read]]=""),0,Table1[[#This Row],[Std Nom]]-Table1[[#This Row],[Std Read]])</f>
        <v>0</v>
      </c>
      <c r="N1791" s="1">
        <f>IF(Calculations!$F$5="ACCREDITED 17025 WITH UNCERTAINTIES",$N$10,0)</f>
        <v>0</v>
      </c>
      <c r="Q1791" s="1">
        <f>Table1[[#This Row],[High Tol]]-Table1[[#This Row],[Low Tol]]</f>
        <v>0</v>
      </c>
      <c r="R1791" s="1">
        <f>2*Table1[[#This Row],[Std Error]]</f>
        <v>0</v>
      </c>
      <c r="S1791" s="1" t="str">
        <f>IF(Table1[[#This Row],[High Tol]]="","N/A",IFERROR(ABS(Table1[[#This Row],[Tol Span]]/Table1[[#This Row],[Error Span]]),"N/A"))</f>
        <v>N/A</v>
      </c>
      <c r="T1791" s="1" t="str">
        <f>IF(OR(Table1[[#This Row],[Low Tol]]="",Table1[[#This Row],[High Tol]]=""),"Needs Analysis",IF(Table1[[#This Row],[Ratio]]&gt;=4,"Not Significant",IF(Table1[[#This Row],[Ratio]]&gt;=2,"Semi-Significant","Significant")))</f>
        <v>Needs Analysis</v>
      </c>
      <c r="W1791" s="1">
        <f>IF(Table1[[#This Row],[Cal Type]]&lt;&gt;"ACCREDITED 17025 WITH UNCERTAINTIES",0,"")</f>
        <v>0</v>
      </c>
      <c r="X1791" s="1" t="str">
        <f>IF(Table1[[#This Row],[DUT Read]]="","N/A",Table1[[#This Row],[Std Error]]+Table1[[#This Row],[DUT Read]]+Table1[[#This Row],[DUT Ucty]])</f>
        <v>N/A</v>
      </c>
      <c r="Y1791" s="1" t="str">
        <f>IF(Table1[[#This Row],[Std Read]]="","N/A",Table1[[#This Row],[Std Read]]+Table1[[#This Row],[Std Ucty]])</f>
        <v>N/A</v>
      </c>
      <c r="Z17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1" s="1" t="str">
        <f>IF(Table1[[#This Row],[Spec Type]]="","N/A",Table1[[#This Row],[Spec Type]])</f>
        <v>±</v>
      </c>
      <c r="AC1791" s="1" t="str">
        <f>IF(Table1[[#This Row],[Spec Type2]]="N/A","N/A",IF(AND(Table1[[#This Row],[DUT Adj Read]]&gt;=Table1[[#This Row],[Low Tol]],Table1[[#This Row],[DUT Adj Read]]&lt;=Table1[[#This Row],[High Tol]]),"Pass","Fail"))</f>
        <v>Fail</v>
      </c>
      <c r="AD1791" s="1" t="str">
        <f>IF(AND(Table1[[#This Row],[Spec Type2]]="N/A",Table1[[#This Row],[DUT Adj Read]]="N/A",Table1[[#This Row],[Std Adj Read]]="N/A"),"N/A",IF(Table1[[#This Row],[DUT Adj Read]]="N/A",IF(Table1[[#This Row],[Std Adj Read]]&gt;Table1[[#This Row],[Low Tol]],"Pass","Fail"),IF(Table1[[#This Row],[DUT Adj Read]]&gt;Table1[[#This Row],[Low Tol]],"Pass","Fail")))</f>
        <v>Pass</v>
      </c>
      <c r="AE1791" s="1" t="str">
        <f>IF(AND(Table1[[#This Row],[Spec Type2]]="N/A",Table1[[#This Row],[DUT Adj Read]]="N/A",Table1[[#This Row],[Std Adj Read]]="N/A"),"N/A",IF(Table1[[#This Row],[DUT Adj Read]]="N/A",IF(Table1[[#This Row],[Std Adj Read]]&lt;Table1[[#This Row],[High Tol]],"Pass","Fail"),IF(Table1[[#This Row],[DUT Adj Read]]&lt;Table1[[#This Row],[High Tol]],"Pass","Fail")))</f>
        <v>Fail</v>
      </c>
      <c r="AF1791" s="1" t="str">
        <f>IF(AND(Table1[[#This Row],[Spec Type2]]="N/A",Table1[[#This Row],[DUT Adj Read]]="N/A",Table1[[#This Row],[Std Adj Read]]="N/A"),"N/A",IF(Table1[[#This Row],[DUT Adj Read]]="N/A",IF(Table1[[#This Row],[Std Adj Read]]&gt;=Table1[[#This Row],[Low Tol]],"Pass","Fail"),IF(Table1[[#This Row],[DUT Adj Read]]&gt;=Table1[[#This Row],[Low Tol]],"Pass","Fail")))</f>
        <v>Pass</v>
      </c>
      <c r="AG1791" s="1" t="str">
        <f>IF(AND(Table1[[#This Row],[Spec Type2]]="N/A",Table1[[#This Row],[DUT Adj Read]]="N/A",Table1[[#This Row],[Std Adj Read]]="N/A"),"N/A",IF(Table1[[#This Row],[DUT Adj Read]]="N/A",IF(Table1[[#This Row],[Std Adj Read]]&lt;=Table1[[#This Row],[High Tol]],"Pass","Fail"),IF(Table1[[#This Row],[DUT Adj Read]]&lt;=Table1[[#This Row],[High Tol]],"Pass","Fail")))</f>
        <v>Fail</v>
      </c>
      <c r="AH17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1" s="1" t="b">
        <v>0</v>
      </c>
      <c r="AN1791" s="1" t="b">
        <v>0</v>
      </c>
      <c r="AO1791" s="1" t="b">
        <v>0</v>
      </c>
    </row>
    <row r="1792" spans="1:41" x14ac:dyDescent="0.25">
      <c r="A1792" s="10"/>
      <c r="B1792" s="10"/>
      <c r="C1792" s="10"/>
      <c r="D1792" s="10"/>
      <c r="E1792" s="10"/>
      <c r="F1792" s="10"/>
      <c r="G1792" s="10"/>
      <c r="H1792" s="10"/>
      <c r="I1792" s="1" t="str">
        <f t="shared" si="81"/>
        <v/>
      </c>
      <c r="J1792" s="1" t="s">
        <v>35</v>
      </c>
      <c r="K1792" s="1" t="str">
        <f t="shared" si="82"/>
        <v/>
      </c>
      <c r="L1792" s="1" t="str">
        <f t="shared" si="83"/>
        <v/>
      </c>
      <c r="M1792" s="1">
        <f>IF(OR(Table1[[#This Row],[Std Nom]]="",Table1[[#This Row],[Std Read]]=""),0,Table1[[#This Row],[Std Nom]]-Table1[[#This Row],[Std Read]])</f>
        <v>0</v>
      </c>
      <c r="N1792" s="1">
        <f>IF(Calculations!$F$5="ACCREDITED 17025 WITH UNCERTAINTIES",$N$10,0)</f>
        <v>0</v>
      </c>
      <c r="Q1792" s="1">
        <f>Table1[[#This Row],[High Tol]]-Table1[[#This Row],[Low Tol]]</f>
        <v>0</v>
      </c>
      <c r="R1792" s="1">
        <f>2*Table1[[#This Row],[Std Error]]</f>
        <v>0</v>
      </c>
      <c r="S1792" s="1" t="str">
        <f>IF(Table1[[#This Row],[High Tol]]="","N/A",IFERROR(ABS(Table1[[#This Row],[Tol Span]]/Table1[[#This Row],[Error Span]]),"N/A"))</f>
        <v>N/A</v>
      </c>
      <c r="T1792" s="1" t="str">
        <f>IF(OR(Table1[[#This Row],[Low Tol]]="",Table1[[#This Row],[High Tol]]=""),"Needs Analysis",IF(Table1[[#This Row],[Ratio]]&gt;=4,"Not Significant",IF(Table1[[#This Row],[Ratio]]&gt;=2,"Semi-Significant","Significant")))</f>
        <v>Needs Analysis</v>
      </c>
      <c r="W1792" s="1">
        <f>IF(Table1[[#This Row],[Cal Type]]&lt;&gt;"ACCREDITED 17025 WITH UNCERTAINTIES",0,"")</f>
        <v>0</v>
      </c>
      <c r="X1792" s="1" t="str">
        <f>IF(Table1[[#This Row],[DUT Read]]="","N/A",Table1[[#This Row],[Std Error]]+Table1[[#This Row],[DUT Read]]+Table1[[#This Row],[DUT Ucty]])</f>
        <v>N/A</v>
      </c>
      <c r="Y1792" s="1" t="str">
        <f>IF(Table1[[#This Row],[Std Read]]="","N/A",Table1[[#This Row],[Std Read]]+Table1[[#This Row],[Std Ucty]])</f>
        <v>N/A</v>
      </c>
      <c r="Z17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2" s="1" t="str">
        <f>IF(Table1[[#This Row],[Spec Type]]="","N/A",Table1[[#This Row],[Spec Type]])</f>
        <v>±</v>
      </c>
      <c r="AC1792" s="1" t="str">
        <f>IF(Table1[[#This Row],[Spec Type2]]="N/A","N/A",IF(AND(Table1[[#This Row],[DUT Adj Read]]&gt;=Table1[[#This Row],[Low Tol]],Table1[[#This Row],[DUT Adj Read]]&lt;=Table1[[#This Row],[High Tol]]),"Pass","Fail"))</f>
        <v>Fail</v>
      </c>
      <c r="AD1792" s="1" t="str">
        <f>IF(AND(Table1[[#This Row],[Spec Type2]]="N/A",Table1[[#This Row],[DUT Adj Read]]="N/A",Table1[[#This Row],[Std Adj Read]]="N/A"),"N/A",IF(Table1[[#This Row],[DUT Adj Read]]="N/A",IF(Table1[[#This Row],[Std Adj Read]]&gt;Table1[[#This Row],[Low Tol]],"Pass","Fail"),IF(Table1[[#This Row],[DUT Adj Read]]&gt;Table1[[#This Row],[Low Tol]],"Pass","Fail")))</f>
        <v>Pass</v>
      </c>
      <c r="AE1792" s="1" t="str">
        <f>IF(AND(Table1[[#This Row],[Spec Type2]]="N/A",Table1[[#This Row],[DUT Adj Read]]="N/A",Table1[[#This Row],[Std Adj Read]]="N/A"),"N/A",IF(Table1[[#This Row],[DUT Adj Read]]="N/A",IF(Table1[[#This Row],[Std Adj Read]]&lt;Table1[[#This Row],[High Tol]],"Pass","Fail"),IF(Table1[[#This Row],[DUT Adj Read]]&lt;Table1[[#This Row],[High Tol]],"Pass","Fail")))</f>
        <v>Fail</v>
      </c>
      <c r="AF1792" s="1" t="str">
        <f>IF(AND(Table1[[#This Row],[Spec Type2]]="N/A",Table1[[#This Row],[DUT Adj Read]]="N/A",Table1[[#This Row],[Std Adj Read]]="N/A"),"N/A",IF(Table1[[#This Row],[DUT Adj Read]]="N/A",IF(Table1[[#This Row],[Std Adj Read]]&gt;=Table1[[#This Row],[Low Tol]],"Pass","Fail"),IF(Table1[[#This Row],[DUT Adj Read]]&gt;=Table1[[#This Row],[Low Tol]],"Pass","Fail")))</f>
        <v>Pass</v>
      </c>
      <c r="AG1792" s="1" t="str">
        <f>IF(AND(Table1[[#This Row],[Spec Type2]]="N/A",Table1[[#This Row],[DUT Adj Read]]="N/A",Table1[[#This Row],[Std Adj Read]]="N/A"),"N/A",IF(Table1[[#This Row],[DUT Adj Read]]="N/A",IF(Table1[[#This Row],[Std Adj Read]]&lt;=Table1[[#This Row],[High Tol]],"Pass","Fail"),IF(Table1[[#This Row],[DUT Adj Read]]&lt;=Table1[[#This Row],[High Tol]],"Pass","Fail")))</f>
        <v>Fail</v>
      </c>
      <c r="AH17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2" s="1" t="b">
        <v>0</v>
      </c>
      <c r="AN1792" s="1" t="b">
        <v>0</v>
      </c>
      <c r="AO1792" s="1" t="b">
        <v>0</v>
      </c>
    </row>
    <row r="1793" spans="1:41" x14ac:dyDescent="0.25">
      <c r="A1793" s="10"/>
      <c r="B1793" s="10"/>
      <c r="C1793" s="10"/>
      <c r="D1793" s="10"/>
      <c r="E1793" s="10"/>
      <c r="F1793" s="10"/>
      <c r="G1793" s="10"/>
      <c r="H1793" s="10"/>
      <c r="I1793" s="1" t="str">
        <f t="shared" si="81"/>
        <v/>
      </c>
      <c r="J1793" s="1" t="s">
        <v>35</v>
      </c>
      <c r="K1793" s="1" t="str">
        <f t="shared" si="82"/>
        <v/>
      </c>
      <c r="L1793" s="1" t="str">
        <f t="shared" si="83"/>
        <v/>
      </c>
      <c r="M1793" s="1">
        <f>IF(OR(Table1[[#This Row],[Std Nom]]="",Table1[[#This Row],[Std Read]]=""),0,Table1[[#This Row],[Std Nom]]-Table1[[#This Row],[Std Read]])</f>
        <v>0</v>
      </c>
      <c r="N1793" s="1">
        <f>IF(Calculations!$F$5="ACCREDITED 17025 WITH UNCERTAINTIES",$N$10,0)</f>
        <v>0</v>
      </c>
      <c r="Q1793" s="1">
        <f>Table1[[#This Row],[High Tol]]-Table1[[#This Row],[Low Tol]]</f>
        <v>0</v>
      </c>
      <c r="R1793" s="1">
        <f>2*Table1[[#This Row],[Std Error]]</f>
        <v>0</v>
      </c>
      <c r="S1793" s="1" t="str">
        <f>IF(Table1[[#This Row],[High Tol]]="","N/A",IFERROR(ABS(Table1[[#This Row],[Tol Span]]/Table1[[#This Row],[Error Span]]),"N/A"))</f>
        <v>N/A</v>
      </c>
      <c r="T1793" s="1" t="str">
        <f>IF(OR(Table1[[#This Row],[Low Tol]]="",Table1[[#This Row],[High Tol]]=""),"Needs Analysis",IF(Table1[[#This Row],[Ratio]]&gt;=4,"Not Significant",IF(Table1[[#This Row],[Ratio]]&gt;=2,"Semi-Significant","Significant")))</f>
        <v>Needs Analysis</v>
      </c>
      <c r="W1793" s="1">
        <f>IF(Table1[[#This Row],[Cal Type]]&lt;&gt;"ACCREDITED 17025 WITH UNCERTAINTIES",0,"")</f>
        <v>0</v>
      </c>
      <c r="X1793" s="1" t="str">
        <f>IF(Table1[[#This Row],[DUT Read]]="","N/A",Table1[[#This Row],[Std Error]]+Table1[[#This Row],[DUT Read]]+Table1[[#This Row],[DUT Ucty]])</f>
        <v>N/A</v>
      </c>
      <c r="Y1793" s="1" t="str">
        <f>IF(Table1[[#This Row],[Std Read]]="","N/A",Table1[[#This Row],[Std Read]]+Table1[[#This Row],[Std Ucty]])</f>
        <v>N/A</v>
      </c>
      <c r="Z17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3" s="1" t="str">
        <f>IF(Table1[[#This Row],[Spec Type]]="","N/A",Table1[[#This Row],[Spec Type]])</f>
        <v>±</v>
      </c>
      <c r="AC1793" s="1" t="str">
        <f>IF(Table1[[#This Row],[Spec Type2]]="N/A","N/A",IF(AND(Table1[[#This Row],[DUT Adj Read]]&gt;=Table1[[#This Row],[Low Tol]],Table1[[#This Row],[DUT Adj Read]]&lt;=Table1[[#This Row],[High Tol]]),"Pass","Fail"))</f>
        <v>Fail</v>
      </c>
      <c r="AD1793" s="1" t="str">
        <f>IF(AND(Table1[[#This Row],[Spec Type2]]="N/A",Table1[[#This Row],[DUT Adj Read]]="N/A",Table1[[#This Row],[Std Adj Read]]="N/A"),"N/A",IF(Table1[[#This Row],[DUT Adj Read]]="N/A",IF(Table1[[#This Row],[Std Adj Read]]&gt;Table1[[#This Row],[Low Tol]],"Pass","Fail"),IF(Table1[[#This Row],[DUT Adj Read]]&gt;Table1[[#This Row],[Low Tol]],"Pass","Fail")))</f>
        <v>Pass</v>
      </c>
      <c r="AE1793" s="1" t="str">
        <f>IF(AND(Table1[[#This Row],[Spec Type2]]="N/A",Table1[[#This Row],[DUT Adj Read]]="N/A",Table1[[#This Row],[Std Adj Read]]="N/A"),"N/A",IF(Table1[[#This Row],[DUT Adj Read]]="N/A",IF(Table1[[#This Row],[Std Adj Read]]&lt;Table1[[#This Row],[High Tol]],"Pass","Fail"),IF(Table1[[#This Row],[DUT Adj Read]]&lt;Table1[[#This Row],[High Tol]],"Pass","Fail")))</f>
        <v>Fail</v>
      </c>
      <c r="AF1793" s="1" t="str">
        <f>IF(AND(Table1[[#This Row],[Spec Type2]]="N/A",Table1[[#This Row],[DUT Adj Read]]="N/A",Table1[[#This Row],[Std Adj Read]]="N/A"),"N/A",IF(Table1[[#This Row],[DUT Adj Read]]="N/A",IF(Table1[[#This Row],[Std Adj Read]]&gt;=Table1[[#This Row],[Low Tol]],"Pass","Fail"),IF(Table1[[#This Row],[DUT Adj Read]]&gt;=Table1[[#This Row],[Low Tol]],"Pass","Fail")))</f>
        <v>Pass</v>
      </c>
      <c r="AG1793" s="1" t="str">
        <f>IF(AND(Table1[[#This Row],[Spec Type2]]="N/A",Table1[[#This Row],[DUT Adj Read]]="N/A",Table1[[#This Row],[Std Adj Read]]="N/A"),"N/A",IF(Table1[[#This Row],[DUT Adj Read]]="N/A",IF(Table1[[#This Row],[Std Adj Read]]&lt;=Table1[[#This Row],[High Tol]],"Pass","Fail"),IF(Table1[[#This Row],[DUT Adj Read]]&lt;=Table1[[#This Row],[High Tol]],"Pass","Fail")))</f>
        <v>Fail</v>
      </c>
      <c r="AH17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3" s="1" t="b">
        <v>0</v>
      </c>
      <c r="AN1793" s="1" t="b">
        <v>0</v>
      </c>
      <c r="AO1793" s="1" t="b">
        <v>0</v>
      </c>
    </row>
    <row r="1794" spans="1:41" x14ac:dyDescent="0.25">
      <c r="A1794" s="10"/>
      <c r="B1794" s="10"/>
      <c r="C1794" s="10"/>
      <c r="D1794" s="10"/>
      <c r="E1794" s="10"/>
      <c r="F1794" s="10"/>
      <c r="G1794" s="10"/>
      <c r="H1794" s="10"/>
      <c r="I1794" s="1" t="str">
        <f t="shared" si="81"/>
        <v/>
      </c>
      <c r="J1794" s="1" t="s">
        <v>35</v>
      </c>
      <c r="K1794" s="1" t="str">
        <f t="shared" si="82"/>
        <v/>
      </c>
      <c r="L1794" s="1" t="str">
        <f t="shared" si="83"/>
        <v/>
      </c>
      <c r="M1794" s="1">
        <f>IF(OR(Table1[[#This Row],[Std Nom]]="",Table1[[#This Row],[Std Read]]=""),0,Table1[[#This Row],[Std Nom]]-Table1[[#This Row],[Std Read]])</f>
        <v>0</v>
      </c>
      <c r="N1794" s="1">
        <f>IF(Calculations!$F$5="ACCREDITED 17025 WITH UNCERTAINTIES",$N$10,0)</f>
        <v>0</v>
      </c>
      <c r="Q1794" s="1">
        <f>Table1[[#This Row],[High Tol]]-Table1[[#This Row],[Low Tol]]</f>
        <v>0</v>
      </c>
      <c r="R1794" s="1">
        <f>2*Table1[[#This Row],[Std Error]]</f>
        <v>0</v>
      </c>
      <c r="S1794" s="1" t="str">
        <f>IF(Table1[[#This Row],[High Tol]]="","N/A",IFERROR(ABS(Table1[[#This Row],[Tol Span]]/Table1[[#This Row],[Error Span]]),"N/A"))</f>
        <v>N/A</v>
      </c>
      <c r="T1794" s="1" t="str">
        <f>IF(OR(Table1[[#This Row],[Low Tol]]="",Table1[[#This Row],[High Tol]]=""),"Needs Analysis",IF(Table1[[#This Row],[Ratio]]&gt;=4,"Not Significant",IF(Table1[[#This Row],[Ratio]]&gt;=2,"Semi-Significant","Significant")))</f>
        <v>Needs Analysis</v>
      </c>
      <c r="W1794" s="1">
        <f>IF(Table1[[#This Row],[Cal Type]]&lt;&gt;"ACCREDITED 17025 WITH UNCERTAINTIES",0,"")</f>
        <v>0</v>
      </c>
      <c r="X1794" s="1" t="str">
        <f>IF(Table1[[#This Row],[DUT Read]]="","N/A",Table1[[#This Row],[Std Error]]+Table1[[#This Row],[DUT Read]]+Table1[[#This Row],[DUT Ucty]])</f>
        <v>N/A</v>
      </c>
      <c r="Y1794" s="1" t="str">
        <f>IF(Table1[[#This Row],[Std Read]]="","N/A",Table1[[#This Row],[Std Read]]+Table1[[#This Row],[Std Ucty]])</f>
        <v>N/A</v>
      </c>
      <c r="Z17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4" s="1" t="str">
        <f>IF(Table1[[#This Row],[Spec Type]]="","N/A",Table1[[#This Row],[Spec Type]])</f>
        <v>±</v>
      </c>
      <c r="AC1794" s="1" t="str">
        <f>IF(Table1[[#This Row],[Spec Type2]]="N/A","N/A",IF(AND(Table1[[#This Row],[DUT Adj Read]]&gt;=Table1[[#This Row],[Low Tol]],Table1[[#This Row],[DUT Adj Read]]&lt;=Table1[[#This Row],[High Tol]]),"Pass","Fail"))</f>
        <v>Fail</v>
      </c>
      <c r="AD1794" s="1" t="str">
        <f>IF(AND(Table1[[#This Row],[Spec Type2]]="N/A",Table1[[#This Row],[DUT Adj Read]]="N/A",Table1[[#This Row],[Std Adj Read]]="N/A"),"N/A",IF(Table1[[#This Row],[DUT Adj Read]]="N/A",IF(Table1[[#This Row],[Std Adj Read]]&gt;Table1[[#This Row],[Low Tol]],"Pass","Fail"),IF(Table1[[#This Row],[DUT Adj Read]]&gt;Table1[[#This Row],[Low Tol]],"Pass","Fail")))</f>
        <v>Pass</v>
      </c>
      <c r="AE1794" s="1" t="str">
        <f>IF(AND(Table1[[#This Row],[Spec Type2]]="N/A",Table1[[#This Row],[DUT Adj Read]]="N/A",Table1[[#This Row],[Std Adj Read]]="N/A"),"N/A",IF(Table1[[#This Row],[DUT Adj Read]]="N/A",IF(Table1[[#This Row],[Std Adj Read]]&lt;Table1[[#This Row],[High Tol]],"Pass","Fail"),IF(Table1[[#This Row],[DUT Adj Read]]&lt;Table1[[#This Row],[High Tol]],"Pass","Fail")))</f>
        <v>Fail</v>
      </c>
      <c r="AF1794" s="1" t="str">
        <f>IF(AND(Table1[[#This Row],[Spec Type2]]="N/A",Table1[[#This Row],[DUT Adj Read]]="N/A",Table1[[#This Row],[Std Adj Read]]="N/A"),"N/A",IF(Table1[[#This Row],[DUT Adj Read]]="N/A",IF(Table1[[#This Row],[Std Adj Read]]&gt;=Table1[[#This Row],[Low Tol]],"Pass","Fail"),IF(Table1[[#This Row],[DUT Adj Read]]&gt;=Table1[[#This Row],[Low Tol]],"Pass","Fail")))</f>
        <v>Pass</v>
      </c>
      <c r="AG1794" s="1" t="str">
        <f>IF(AND(Table1[[#This Row],[Spec Type2]]="N/A",Table1[[#This Row],[DUT Adj Read]]="N/A",Table1[[#This Row],[Std Adj Read]]="N/A"),"N/A",IF(Table1[[#This Row],[DUT Adj Read]]="N/A",IF(Table1[[#This Row],[Std Adj Read]]&lt;=Table1[[#This Row],[High Tol]],"Pass","Fail"),IF(Table1[[#This Row],[DUT Adj Read]]&lt;=Table1[[#This Row],[High Tol]],"Pass","Fail")))</f>
        <v>Fail</v>
      </c>
      <c r="AH17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4" s="1" t="b">
        <v>0</v>
      </c>
      <c r="AN1794" s="1" t="b">
        <v>0</v>
      </c>
      <c r="AO1794" s="1" t="b">
        <v>0</v>
      </c>
    </row>
    <row r="1795" spans="1:41" x14ac:dyDescent="0.25">
      <c r="A1795" s="10"/>
      <c r="B1795" s="10"/>
      <c r="C1795" s="10"/>
      <c r="D1795" s="10"/>
      <c r="E1795" s="10"/>
      <c r="F1795" s="10"/>
      <c r="G1795" s="10"/>
      <c r="H1795" s="10"/>
      <c r="I1795" s="1" t="str">
        <f t="shared" si="81"/>
        <v/>
      </c>
      <c r="J1795" s="1" t="s">
        <v>35</v>
      </c>
      <c r="K1795" s="1" t="str">
        <f t="shared" si="82"/>
        <v/>
      </c>
      <c r="L1795" s="1" t="str">
        <f t="shared" si="83"/>
        <v/>
      </c>
      <c r="M1795" s="1">
        <f>IF(OR(Table1[[#This Row],[Std Nom]]="",Table1[[#This Row],[Std Read]]=""),0,Table1[[#This Row],[Std Nom]]-Table1[[#This Row],[Std Read]])</f>
        <v>0</v>
      </c>
      <c r="N1795" s="1">
        <f>IF(Calculations!$F$5="ACCREDITED 17025 WITH UNCERTAINTIES",$N$10,0)</f>
        <v>0</v>
      </c>
      <c r="Q1795" s="1">
        <f>Table1[[#This Row],[High Tol]]-Table1[[#This Row],[Low Tol]]</f>
        <v>0</v>
      </c>
      <c r="R1795" s="1">
        <f>2*Table1[[#This Row],[Std Error]]</f>
        <v>0</v>
      </c>
      <c r="S1795" s="1" t="str">
        <f>IF(Table1[[#This Row],[High Tol]]="","N/A",IFERROR(ABS(Table1[[#This Row],[Tol Span]]/Table1[[#This Row],[Error Span]]),"N/A"))</f>
        <v>N/A</v>
      </c>
      <c r="T1795" s="1" t="str">
        <f>IF(OR(Table1[[#This Row],[Low Tol]]="",Table1[[#This Row],[High Tol]]=""),"Needs Analysis",IF(Table1[[#This Row],[Ratio]]&gt;=4,"Not Significant",IF(Table1[[#This Row],[Ratio]]&gt;=2,"Semi-Significant","Significant")))</f>
        <v>Needs Analysis</v>
      </c>
      <c r="W1795" s="1">
        <f>IF(Table1[[#This Row],[Cal Type]]&lt;&gt;"ACCREDITED 17025 WITH UNCERTAINTIES",0,"")</f>
        <v>0</v>
      </c>
      <c r="X1795" s="1" t="str">
        <f>IF(Table1[[#This Row],[DUT Read]]="","N/A",Table1[[#This Row],[Std Error]]+Table1[[#This Row],[DUT Read]]+Table1[[#This Row],[DUT Ucty]])</f>
        <v>N/A</v>
      </c>
      <c r="Y1795" s="1" t="str">
        <f>IF(Table1[[#This Row],[Std Read]]="","N/A",Table1[[#This Row],[Std Read]]+Table1[[#This Row],[Std Ucty]])</f>
        <v>N/A</v>
      </c>
      <c r="Z17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5" s="1" t="str">
        <f>IF(Table1[[#This Row],[Spec Type]]="","N/A",Table1[[#This Row],[Spec Type]])</f>
        <v>±</v>
      </c>
      <c r="AC1795" s="1" t="str">
        <f>IF(Table1[[#This Row],[Spec Type2]]="N/A","N/A",IF(AND(Table1[[#This Row],[DUT Adj Read]]&gt;=Table1[[#This Row],[Low Tol]],Table1[[#This Row],[DUT Adj Read]]&lt;=Table1[[#This Row],[High Tol]]),"Pass","Fail"))</f>
        <v>Fail</v>
      </c>
      <c r="AD1795" s="1" t="str">
        <f>IF(AND(Table1[[#This Row],[Spec Type2]]="N/A",Table1[[#This Row],[DUT Adj Read]]="N/A",Table1[[#This Row],[Std Adj Read]]="N/A"),"N/A",IF(Table1[[#This Row],[DUT Adj Read]]="N/A",IF(Table1[[#This Row],[Std Adj Read]]&gt;Table1[[#This Row],[Low Tol]],"Pass","Fail"),IF(Table1[[#This Row],[DUT Adj Read]]&gt;Table1[[#This Row],[Low Tol]],"Pass","Fail")))</f>
        <v>Pass</v>
      </c>
      <c r="AE1795" s="1" t="str">
        <f>IF(AND(Table1[[#This Row],[Spec Type2]]="N/A",Table1[[#This Row],[DUT Adj Read]]="N/A",Table1[[#This Row],[Std Adj Read]]="N/A"),"N/A",IF(Table1[[#This Row],[DUT Adj Read]]="N/A",IF(Table1[[#This Row],[Std Adj Read]]&lt;Table1[[#This Row],[High Tol]],"Pass","Fail"),IF(Table1[[#This Row],[DUT Adj Read]]&lt;Table1[[#This Row],[High Tol]],"Pass","Fail")))</f>
        <v>Fail</v>
      </c>
      <c r="AF1795" s="1" t="str">
        <f>IF(AND(Table1[[#This Row],[Spec Type2]]="N/A",Table1[[#This Row],[DUT Adj Read]]="N/A",Table1[[#This Row],[Std Adj Read]]="N/A"),"N/A",IF(Table1[[#This Row],[DUT Adj Read]]="N/A",IF(Table1[[#This Row],[Std Adj Read]]&gt;=Table1[[#This Row],[Low Tol]],"Pass","Fail"),IF(Table1[[#This Row],[DUT Adj Read]]&gt;=Table1[[#This Row],[Low Tol]],"Pass","Fail")))</f>
        <v>Pass</v>
      </c>
      <c r="AG1795" s="1" t="str">
        <f>IF(AND(Table1[[#This Row],[Spec Type2]]="N/A",Table1[[#This Row],[DUT Adj Read]]="N/A",Table1[[#This Row],[Std Adj Read]]="N/A"),"N/A",IF(Table1[[#This Row],[DUT Adj Read]]="N/A",IF(Table1[[#This Row],[Std Adj Read]]&lt;=Table1[[#This Row],[High Tol]],"Pass","Fail"),IF(Table1[[#This Row],[DUT Adj Read]]&lt;=Table1[[#This Row],[High Tol]],"Pass","Fail")))</f>
        <v>Fail</v>
      </c>
      <c r="AH17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5" s="1" t="b">
        <v>0</v>
      </c>
      <c r="AN1795" s="1" t="b">
        <v>0</v>
      </c>
      <c r="AO1795" s="1" t="b">
        <v>0</v>
      </c>
    </row>
    <row r="1796" spans="1:41" x14ac:dyDescent="0.25">
      <c r="A1796" s="10"/>
      <c r="B1796" s="10"/>
      <c r="C1796" s="10"/>
      <c r="D1796" s="10"/>
      <c r="E1796" s="10"/>
      <c r="F1796" s="10"/>
      <c r="G1796" s="10"/>
      <c r="H1796" s="10"/>
      <c r="I1796" s="1" t="str">
        <f t="shared" si="81"/>
        <v/>
      </c>
      <c r="J1796" s="1" t="s">
        <v>35</v>
      </c>
      <c r="K1796" s="1" t="str">
        <f t="shared" si="82"/>
        <v/>
      </c>
      <c r="L1796" s="1" t="str">
        <f t="shared" si="83"/>
        <v/>
      </c>
      <c r="M1796" s="1">
        <f>IF(OR(Table1[[#This Row],[Std Nom]]="",Table1[[#This Row],[Std Read]]=""),0,Table1[[#This Row],[Std Nom]]-Table1[[#This Row],[Std Read]])</f>
        <v>0</v>
      </c>
      <c r="N1796" s="1">
        <f>IF(Calculations!$F$5="ACCREDITED 17025 WITH UNCERTAINTIES",$N$10,0)</f>
        <v>0</v>
      </c>
      <c r="Q1796" s="1">
        <f>Table1[[#This Row],[High Tol]]-Table1[[#This Row],[Low Tol]]</f>
        <v>0</v>
      </c>
      <c r="R1796" s="1">
        <f>2*Table1[[#This Row],[Std Error]]</f>
        <v>0</v>
      </c>
      <c r="S1796" s="1" t="str">
        <f>IF(Table1[[#This Row],[High Tol]]="","N/A",IFERROR(ABS(Table1[[#This Row],[Tol Span]]/Table1[[#This Row],[Error Span]]),"N/A"))</f>
        <v>N/A</v>
      </c>
      <c r="T1796" s="1" t="str">
        <f>IF(OR(Table1[[#This Row],[Low Tol]]="",Table1[[#This Row],[High Tol]]=""),"Needs Analysis",IF(Table1[[#This Row],[Ratio]]&gt;=4,"Not Significant",IF(Table1[[#This Row],[Ratio]]&gt;=2,"Semi-Significant","Significant")))</f>
        <v>Needs Analysis</v>
      </c>
      <c r="W1796" s="1">
        <f>IF(Table1[[#This Row],[Cal Type]]&lt;&gt;"ACCREDITED 17025 WITH UNCERTAINTIES",0,"")</f>
        <v>0</v>
      </c>
      <c r="X1796" s="1" t="str">
        <f>IF(Table1[[#This Row],[DUT Read]]="","N/A",Table1[[#This Row],[Std Error]]+Table1[[#This Row],[DUT Read]]+Table1[[#This Row],[DUT Ucty]])</f>
        <v>N/A</v>
      </c>
      <c r="Y1796" s="1" t="str">
        <f>IF(Table1[[#This Row],[Std Read]]="","N/A",Table1[[#This Row],[Std Read]]+Table1[[#This Row],[Std Ucty]])</f>
        <v>N/A</v>
      </c>
      <c r="Z17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6" s="1" t="str">
        <f>IF(Table1[[#This Row],[Spec Type]]="","N/A",Table1[[#This Row],[Spec Type]])</f>
        <v>±</v>
      </c>
      <c r="AC1796" s="1" t="str">
        <f>IF(Table1[[#This Row],[Spec Type2]]="N/A","N/A",IF(AND(Table1[[#This Row],[DUT Adj Read]]&gt;=Table1[[#This Row],[Low Tol]],Table1[[#This Row],[DUT Adj Read]]&lt;=Table1[[#This Row],[High Tol]]),"Pass","Fail"))</f>
        <v>Fail</v>
      </c>
      <c r="AD1796" s="1" t="str">
        <f>IF(AND(Table1[[#This Row],[Spec Type2]]="N/A",Table1[[#This Row],[DUT Adj Read]]="N/A",Table1[[#This Row],[Std Adj Read]]="N/A"),"N/A",IF(Table1[[#This Row],[DUT Adj Read]]="N/A",IF(Table1[[#This Row],[Std Adj Read]]&gt;Table1[[#This Row],[Low Tol]],"Pass","Fail"),IF(Table1[[#This Row],[DUT Adj Read]]&gt;Table1[[#This Row],[Low Tol]],"Pass","Fail")))</f>
        <v>Pass</v>
      </c>
      <c r="AE1796" s="1" t="str">
        <f>IF(AND(Table1[[#This Row],[Spec Type2]]="N/A",Table1[[#This Row],[DUT Adj Read]]="N/A",Table1[[#This Row],[Std Adj Read]]="N/A"),"N/A",IF(Table1[[#This Row],[DUT Adj Read]]="N/A",IF(Table1[[#This Row],[Std Adj Read]]&lt;Table1[[#This Row],[High Tol]],"Pass","Fail"),IF(Table1[[#This Row],[DUT Adj Read]]&lt;Table1[[#This Row],[High Tol]],"Pass","Fail")))</f>
        <v>Fail</v>
      </c>
      <c r="AF1796" s="1" t="str">
        <f>IF(AND(Table1[[#This Row],[Spec Type2]]="N/A",Table1[[#This Row],[DUT Adj Read]]="N/A",Table1[[#This Row],[Std Adj Read]]="N/A"),"N/A",IF(Table1[[#This Row],[DUT Adj Read]]="N/A",IF(Table1[[#This Row],[Std Adj Read]]&gt;=Table1[[#This Row],[Low Tol]],"Pass","Fail"),IF(Table1[[#This Row],[DUT Adj Read]]&gt;=Table1[[#This Row],[Low Tol]],"Pass","Fail")))</f>
        <v>Pass</v>
      </c>
      <c r="AG1796" s="1" t="str">
        <f>IF(AND(Table1[[#This Row],[Spec Type2]]="N/A",Table1[[#This Row],[DUT Adj Read]]="N/A",Table1[[#This Row],[Std Adj Read]]="N/A"),"N/A",IF(Table1[[#This Row],[DUT Adj Read]]="N/A",IF(Table1[[#This Row],[Std Adj Read]]&lt;=Table1[[#This Row],[High Tol]],"Pass","Fail"),IF(Table1[[#This Row],[DUT Adj Read]]&lt;=Table1[[#This Row],[High Tol]],"Pass","Fail")))</f>
        <v>Fail</v>
      </c>
      <c r="AH17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6" s="1" t="b">
        <v>0</v>
      </c>
      <c r="AN1796" s="1" t="b">
        <v>0</v>
      </c>
      <c r="AO1796" s="1" t="b">
        <v>0</v>
      </c>
    </row>
    <row r="1797" spans="1:41" x14ac:dyDescent="0.25">
      <c r="A1797" s="10"/>
      <c r="B1797" s="10"/>
      <c r="C1797" s="10"/>
      <c r="D1797" s="10"/>
      <c r="E1797" s="10"/>
      <c r="F1797" s="10"/>
      <c r="G1797" s="10"/>
      <c r="H1797" s="10"/>
      <c r="I1797" s="1" t="str">
        <f t="shared" si="81"/>
        <v/>
      </c>
      <c r="J1797" s="1" t="s">
        <v>35</v>
      </c>
      <c r="K1797" s="1" t="str">
        <f t="shared" si="82"/>
        <v/>
      </c>
      <c r="L1797" s="1" t="str">
        <f t="shared" si="83"/>
        <v/>
      </c>
      <c r="M1797" s="1">
        <f>IF(OR(Table1[[#This Row],[Std Nom]]="",Table1[[#This Row],[Std Read]]=""),0,Table1[[#This Row],[Std Nom]]-Table1[[#This Row],[Std Read]])</f>
        <v>0</v>
      </c>
      <c r="N1797" s="1">
        <f>IF(Calculations!$F$5="ACCREDITED 17025 WITH UNCERTAINTIES",$N$10,0)</f>
        <v>0</v>
      </c>
      <c r="Q1797" s="1">
        <f>Table1[[#This Row],[High Tol]]-Table1[[#This Row],[Low Tol]]</f>
        <v>0</v>
      </c>
      <c r="R1797" s="1">
        <f>2*Table1[[#This Row],[Std Error]]</f>
        <v>0</v>
      </c>
      <c r="S1797" s="1" t="str">
        <f>IF(Table1[[#This Row],[High Tol]]="","N/A",IFERROR(ABS(Table1[[#This Row],[Tol Span]]/Table1[[#This Row],[Error Span]]),"N/A"))</f>
        <v>N/A</v>
      </c>
      <c r="T1797" s="1" t="str">
        <f>IF(OR(Table1[[#This Row],[Low Tol]]="",Table1[[#This Row],[High Tol]]=""),"Needs Analysis",IF(Table1[[#This Row],[Ratio]]&gt;=4,"Not Significant",IF(Table1[[#This Row],[Ratio]]&gt;=2,"Semi-Significant","Significant")))</f>
        <v>Needs Analysis</v>
      </c>
      <c r="W1797" s="1">
        <f>IF(Table1[[#This Row],[Cal Type]]&lt;&gt;"ACCREDITED 17025 WITH UNCERTAINTIES",0,"")</f>
        <v>0</v>
      </c>
      <c r="X1797" s="1" t="str">
        <f>IF(Table1[[#This Row],[DUT Read]]="","N/A",Table1[[#This Row],[Std Error]]+Table1[[#This Row],[DUT Read]]+Table1[[#This Row],[DUT Ucty]])</f>
        <v>N/A</v>
      </c>
      <c r="Y1797" s="1" t="str">
        <f>IF(Table1[[#This Row],[Std Read]]="","N/A",Table1[[#This Row],[Std Read]]+Table1[[#This Row],[Std Ucty]])</f>
        <v>N/A</v>
      </c>
      <c r="Z17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7" s="1" t="str">
        <f>IF(Table1[[#This Row],[Spec Type]]="","N/A",Table1[[#This Row],[Spec Type]])</f>
        <v>±</v>
      </c>
      <c r="AC1797" s="1" t="str">
        <f>IF(Table1[[#This Row],[Spec Type2]]="N/A","N/A",IF(AND(Table1[[#This Row],[DUT Adj Read]]&gt;=Table1[[#This Row],[Low Tol]],Table1[[#This Row],[DUT Adj Read]]&lt;=Table1[[#This Row],[High Tol]]),"Pass","Fail"))</f>
        <v>Fail</v>
      </c>
      <c r="AD1797" s="1" t="str">
        <f>IF(AND(Table1[[#This Row],[Spec Type2]]="N/A",Table1[[#This Row],[DUT Adj Read]]="N/A",Table1[[#This Row],[Std Adj Read]]="N/A"),"N/A",IF(Table1[[#This Row],[DUT Adj Read]]="N/A",IF(Table1[[#This Row],[Std Adj Read]]&gt;Table1[[#This Row],[Low Tol]],"Pass","Fail"),IF(Table1[[#This Row],[DUT Adj Read]]&gt;Table1[[#This Row],[Low Tol]],"Pass","Fail")))</f>
        <v>Pass</v>
      </c>
      <c r="AE1797" s="1" t="str">
        <f>IF(AND(Table1[[#This Row],[Spec Type2]]="N/A",Table1[[#This Row],[DUT Adj Read]]="N/A",Table1[[#This Row],[Std Adj Read]]="N/A"),"N/A",IF(Table1[[#This Row],[DUT Adj Read]]="N/A",IF(Table1[[#This Row],[Std Adj Read]]&lt;Table1[[#This Row],[High Tol]],"Pass","Fail"),IF(Table1[[#This Row],[DUT Adj Read]]&lt;Table1[[#This Row],[High Tol]],"Pass","Fail")))</f>
        <v>Fail</v>
      </c>
      <c r="AF1797" s="1" t="str">
        <f>IF(AND(Table1[[#This Row],[Spec Type2]]="N/A",Table1[[#This Row],[DUT Adj Read]]="N/A",Table1[[#This Row],[Std Adj Read]]="N/A"),"N/A",IF(Table1[[#This Row],[DUT Adj Read]]="N/A",IF(Table1[[#This Row],[Std Adj Read]]&gt;=Table1[[#This Row],[Low Tol]],"Pass","Fail"),IF(Table1[[#This Row],[DUT Adj Read]]&gt;=Table1[[#This Row],[Low Tol]],"Pass","Fail")))</f>
        <v>Pass</v>
      </c>
      <c r="AG1797" s="1" t="str">
        <f>IF(AND(Table1[[#This Row],[Spec Type2]]="N/A",Table1[[#This Row],[DUT Adj Read]]="N/A",Table1[[#This Row],[Std Adj Read]]="N/A"),"N/A",IF(Table1[[#This Row],[DUT Adj Read]]="N/A",IF(Table1[[#This Row],[Std Adj Read]]&lt;=Table1[[#This Row],[High Tol]],"Pass","Fail"),IF(Table1[[#This Row],[DUT Adj Read]]&lt;=Table1[[#This Row],[High Tol]],"Pass","Fail")))</f>
        <v>Fail</v>
      </c>
      <c r="AH17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7" s="1" t="b">
        <v>0</v>
      </c>
      <c r="AN1797" s="1" t="b">
        <v>0</v>
      </c>
      <c r="AO1797" s="1" t="b">
        <v>0</v>
      </c>
    </row>
    <row r="1798" spans="1:41" x14ac:dyDescent="0.25">
      <c r="A1798" s="10"/>
      <c r="B1798" s="10"/>
      <c r="C1798" s="10"/>
      <c r="D1798" s="10"/>
      <c r="E1798" s="10"/>
      <c r="F1798" s="10"/>
      <c r="G1798" s="10"/>
      <c r="H1798" s="10"/>
      <c r="I1798" s="1" t="str">
        <f t="shared" si="81"/>
        <v/>
      </c>
      <c r="J1798" s="1" t="s">
        <v>35</v>
      </c>
      <c r="K1798" s="1" t="str">
        <f t="shared" si="82"/>
        <v/>
      </c>
      <c r="L1798" s="1" t="str">
        <f t="shared" si="83"/>
        <v/>
      </c>
      <c r="M1798" s="1">
        <f>IF(OR(Table1[[#This Row],[Std Nom]]="",Table1[[#This Row],[Std Read]]=""),0,Table1[[#This Row],[Std Nom]]-Table1[[#This Row],[Std Read]])</f>
        <v>0</v>
      </c>
      <c r="N1798" s="1">
        <f>IF(Calculations!$F$5="ACCREDITED 17025 WITH UNCERTAINTIES",$N$10,0)</f>
        <v>0</v>
      </c>
      <c r="Q1798" s="1">
        <f>Table1[[#This Row],[High Tol]]-Table1[[#This Row],[Low Tol]]</f>
        <v>0</v>
      </c>
      <c r="R1798" s="1">
        <f>2*Table1[[#This Row],[Std Error]]</f>
        <v>0</v>
      </c>
      <c r="S1798" s="1" t="str">
        <f>IF(Table1[[#This Row],[High Tol]]="","N/A",IFERROR(ABS(Table1[[#This Row],[Tol Span]]/Table1[[#This Row],[Error Span]]),"N/A"))</f>
        <v>N/A</v>
      </c>
      <c r="T1798" s="1" t="str">
        <f>IF(OR(Table1[[#This Row],[Low Tol]]="",Table1[[#This Row],[High Tol]]=""),"Needs Analysis",IF(Table1[[#This Row],[Ratio]]&gt;=4,"Not Significant",IF(Table1[[#This Row],[Ratio]]&gt;=2,"Semi-Significant","Significant")))</f>
        <v>Needs Analysis</v>
      </c>
      <c r="W1798" s="1">
        <f>IF(Table1[[#This Row],[Cal Type]]&lt;&gt;"ACCREDITED 17025 WITH UNCERTAINTIES",0,"")</f>
        <v>0</v>
      </c>
      <c r="X1798" s="1" t="str">
        <f>IF(Table1[[#This Row],[DUT Read]]="","N/A",Table1[[#This Row],[Std Error]]+Table1[[#This Row],[DUT Read]]+Table1[[#This Row],[DUT Ucty]])</f>
        <v>N/A</v>
      </c>
      <c r="Y1798" s="1" t="str">
        <f>IF(Table1[[#This Row],[Std Read]]="","N/A",Table1[[#This Row],[Std Read]]+Table1[[#This Row],[Std Ucty]])</f>
        <v>N/A</v>
      </c>
      <c r="Z17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8" s="1" t="str">
        <f>IF(Table1[[#This Row],[Spec Type]]="","N/A",Table1[[#This Row],[Spec Type]])</f>
        <v>±</v>
      </c>
      <c r="AC1798" s="1" t="str">
        <f>IF(Table1[[#This Row],[Spec Type2]]="N/A","N/A",IF(AND(Table1[[#This Row],[DUT Adj Read]]&gt;=Table1[[#This Row],[Low Tol]],Table1[[#This Row],[DUT Adj Read]]&lt;=Table1[[#This Row],[High Tol]]),"Pass","Fail"))</f>
        <v>Fail</v>
      </c>
      <c r="AD1798" s="1" t="str">
        <f>IF(AND(Table1[[#This Row],[Spec Type2]]="N/A",Table1[[#This Row],[DUT Adj Read]]="N/A",Table1[[#This Row],[Std Adj Read]]="N/A"),"N/A",IF(Table1[[#This Row],[DUT Adj Read]]="N/A",IF(Table1[[#This Row],[Std Adj Read]]&gt;Table1[[#This Row],[Low Tol]],"Pass","Fail"),IF(Table1[[#This Row],[DUT Adj Read]]&gt;Table1[[#This Row],[Low Tol]],"Pass","Fail")))</f>
        <v>Pass</v>
      </c>
      <c r="AE1798" s="1" t="str">
        <f>IF(AND(Table1[[#This Row],[Spec Type2]]="N/A",Table1[[#This Row],[DUT Adj Read]]="N/A",Table1[[#This Row],[Std Adj Read]]="N/A"),"N/A",IF(Table1[[#This Row],[DUT Adj Read]]="N/A",IF(Table1[[#This Row],[Std Adj Read]]&lt;Table1[[#This Row],[High Tol]],"Pass","Fail"),IF(Table1[[#This Row],[DUT Adj Read]]&lt;Table1[[#This Row],[High Tol]],"Pass","Fail")))</f>
        <v>Fail</v>
      </c>
      <c r="AF1798" s="1" t="str">
        <f>IF(AND(Table1[[#This Row],[Spec Type2]]="N/A",Table1[[#This Row],[DUT Adj Read]]="N/A",Table1[[#This Row],[Std Adj Read]]="N/A"),"N/A",IF(Table1[[#This Row],[DUT Adj Read]]="N/A",IF(Table1[[#This Row],[Std Adj Read]]&gt;=Table1[[#This Row],[Low Tol]],"Pass","Fail"),IF(Table1[[#This Row],[DUT Adj Read]]&gt;=Table1[[#This Row],[Low Tol]],"Pass","Fail")))</f>
        <v>Pass</v>
      </c>
      <c r="AG1798" s="1" t="str">
        <f>IF(AND(Table1[[#This Row],[Spec Type2]]="N/A",Table1[[#This Row],[DUT Adj Read]]="N/A",Table1[[#This Row],[Std Adj Read]]="N/A"),"N/A",IF(Table1[[#This Row],[DUT Adj Read]]="N/A",IF(Table1[[#This Row],[Std Adj Read]]&lt;=Table1[[#This Row],[High Tol]],"Pass","Fail"),IF(Table1[[#This Row],[DUT Adj Read]]&lt;=Table1[[#This Row],[High Tol]],"Pass","Fail")))</f>
        <v>Fail</v>
      </c>
      <c r="AH17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8" s="1" t="b">
        <v>0</v>
      </c>
      <c r="AN1798" s="1" t="b">
        <v>0</v>
      </c>
      <c r="AO1798" s="1" t="b">
        <v>0</v>
      </c>
    </row>
    <row r="1799" spans="1:41" x14ac:dyDescent="0.25">
      <c r="A1799" s="10"/>
      <c r="B1799" s="10"/>
      <c r="C1799" s="10"/>
      <c r="D1799" s="10"/>
      <c r="E1799" s="10"/>
      <c r="F1799" s="10"/>
      <c r="G1799" s="10"/>
      <c r="H1799" s="10"/>
      <c r="I1799" s="1" t="str">
        <f t="shared" si="81"/>
        <v/>
      </c>
      <c r="J1799" s="1" t="s">
        <v>35</v>
      </c>
      <c r="K1799" s="1" t="str">
        <f t="shared" si="82"/>
        <v/>
      </c>
      <c r="L1799" s="1" t="str">
        <f t="shared" si="83"/>
        <v/>
      </c>
      <c r="M1799" s="1">
        <f>IF(OR(Table1[[#This Row],[Std Nom]]="",Table1[[#This Row],[Std Read]]=""),0,Table1[[#This Row],[Std Nom]]-Table1[[#This Row],[Std Read]])</f>
        <v>0</v>
      </c>
      <c r="N1799" s="1">
        <f>IF(Calculations!$F$5="ACCREDITED 17025 WITH UNCERTAINTIES",$N$10,0)</f>
        <v>0</v>
      </c>
      <c r="Q1799" s="1">
        <f>Table1[[#This Row],[High Tol]]-Table1[[#This Row],[Low Tol]]</f>
        <v>0</v>
      </c>
      <c r="R1799" s="1">
        <f>2*Table1[[#This Row],[Std Error]]</f>
        <v>0</v>
      </c>
      <c r="S1799" s="1" t="str">
        <f>IF(Table1[[#This Row],[High Tol]]="","N/A",IFERROR(ABS(Table1[[#This Row],[Tol Span]]/Table1[[#This Row],[Error Span]]),"N/A"))</f>
        <v>N/A</v>
      </c>
      <c r="T1799" s="1" t="str">
        <f>IF(OR(Table1[[#This Row],[Low Tol]]="",Table1[[#This Row],[High Tol]]=""),"Needs Analysis",IF(Table1[[#This Row],[Ratio]]&gt;=4,"Not Significant",IF(Table1[[#This Row],[Ratio]]&gt;=2,"Semi-Significant","Significant")))</f>
        <v>Needs Analysis</v>
      </c>
      <c r="W1799" s="1">
        <f>IF(Table1[[#This Row],[Cal Type]]&lt;&gt;"ACCREDITED 17025 WITH UNCERTAINTIES",0,"")</f>
        <v>0</v>
      </c>
      <c r="X1799" s="1" t="str">
        <f>IF(Table1[[#This Row],[DUT Read]]="","N/A",Table1[[#This Row],[Std Error]]+Table1[[#This Row],[DUT Read]]+Table1[[#This Row],[DUT Ucty]])</f>
        <v>N/A</v>
      </c>
      <c r="Y1799" s="1" t="str">
        <f>IF(Table1[[#This Row],[Std Read]]="","N/A",Table1[[#This Row],[Std Read]]+Table1[[#This Row],[Std Ucty]])</f>
        <v>N/A</v>
      </c>
      <c r="Z17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799" s="1" t="str">
        <f>IF(Table1[[#This Row],[Spec Type]]="","N/A",Table1[[#This Row],[Spec Type]])</f>
        <v>±</v>
      </c>
      <c r="AC1799" s="1" t="str">
        <f>IF(Table1[[#This Row],[Spec Type2]]="N/A","N/A",IF(AND(Table1[[#This Row],[DUT Adj Read]]&gt;=Table1[[#This Row],[Low Tol]],Table1[[#This Row],[DUT Adj Read]]&lt;=Table1[[#This Row],[High Tol]]),"Pass","Fail"))</f>
        <v>Fail</v>
      </c>
      <c r="AD1799" s="1" t="str">
        <f>IF(AND(Table1[[#This Row],[Spec Type2]]="N/A",Table1[[#This Row],[DUT Adj Read]]="N/A",Table1[[#This Row],[Std Adj Read]]="N/A"),"N/A",IF(Table1[[#This Row],[DUT Adj Read]]="N/A",IF(Table1[[#This Row],[Std Adj Read]]&gt;Table1[[#This Row],[Low Tol]],"Pass","Fail"),IF(Table1[[#This Row],[DUT Adj Read]]&gt;Table1[[#This Row],[Low Tol]],"Pass","Fail")))</f>
        <v>Pass</v>
      </c>
      <c r="AE1799" s="1" t="str">
        <f>IF(AND(Table1[[#This Row],[Spec Type2]]="N/A",Table1[[#This Row],[DUT Adj Read]]="N/A",Table1[[#This Row],[Std Adj Read]]="N/A"),"N/A",IF(Table1[[#This Row],[DUT Adj Read]]="N/A",IF(Table1[[#This Row],[Std Adj Read]]&lt;Table1[[#This Row],[High Tol]],"Pass","Fail"),IF(Table1[[#This Row],[DUT Adj Read]]&lt;Table1[[#This Row],[High Tol]],"Pass","Fail")))</f>
        <v>Fail</v>
      </c>
      <c r="AF1799" s="1" t="str">
        <f>IF(AND(Table1[[#This Row],[Spec Type2]]="N/A",Table1[[#This Row],[DUT Adj Read]]="N/A",Table1[[#This Row],[Std Adj Read]]="N/A"),"N/A",IF(Table1[[#This Row],[DUT Adj Read]]="N/A",IF(Table1[[#This Row],[Std Adj Read]]&gt;=Table1[[#This Row],[Low Tol]],"Pass","Fail"),IF(Table1[[#This Row],[DUT Adj Read]]&gt;=Table1[[#This Row],[Low Tol]],"Pass","Fail")))</f>
        <v>Pass</v>
      </c>
      <c r="AG1799" s="1" t="str">
        <f>IF(AND(Table1[[#This Row],[Spec Type2]]="N/A",Table1[[#This Row],[DUT Adj Read]]="N/A",Table1[[#This Row],[Std Adj Read]]="N/A"),"N/A",IF(Table1[[#This Row],[DUT Adj Read]]="N/A",IF(Table1[[#This Row],[Std Adj Read]]&lt;=Table1[[#This Row],[High Tol]],"Pass","Fail"),IF(Table1[[#This Row],[DUT Adj Read]]&lt;=Table1[[#This Row],[High Tol]],"Pass","Fail")))</f>
        <v>Fail</v>
      </c>
      <c r="AH17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799" s="1" t="b">
        <v>0</v>
      </c>
      <c r="AN1799" s="1" t="b">
        <v>0</v>
      </c>
      <c r="AO1799" s="1" t="b">
        <v>0</v>
      </c>
    </row>
    <row r="1800" spans="1:41" x14ac:dyDescent="0.25">
      <c r="A1800" s="10"/>
      <c r="B1800" s="10"/>
      <c r="C1800" s="10"/>
      <c r="D1800" s="10"/>
      <c r="E1800" s="10"/>
      <c r="F1800" s="10"/>
      <c r="G1800" s="10"/>
      <c r="H1800" s="10"/>
      <c r="I1800" s="1" t="str">
        <f t="shared" si="81"/>
        <v/>
      </c>
      <c r="J1800" s="1" t="s">
        <v>35</v>
      </c>
      <c r="K1800" s="1" t="str">
        <f t="shared" si="82"/>
        <v/>
      </c>
      <c r="L1800" s="1" t="str">
        <f t="shared" si="83"/>
        <v/>
      </c>
      <c r="M1800" s="1">
        <f>IF(OR(Table1[[#This Row],[Std Nom]]="",Table1[[#This Row],[Std Read]]=""),0,Table1[[#This Row],[Std Nom]]-Table1[[#This Row],[Std Read]])</f>
        <v>0</v>
      </c>
      <c r="N1800" s="1">
        <f>IF(Calculations!$F$5="ACCREDITED 17025 WITH UNCERTAINTIES",$N$10,0)</f>
        <v>0</v>
      </c>
      <c r="Q1800" s="1">
        <f>Table1[[#This Row],[High Tol]]-Table1[[#This Row],[Low Tol]]</f>
        <v>0</v>
      </c>
      <c r="R1800" s="1">
        <f>2*Table1[[#This Row],[Std Error]]</f>
        <v>0</v>
      </c>
      <c r="S1800" s="1" t="str">
        <f>IF(Table1[[#This Row],[High Tol]]="","N/A",IFERROR(ABS(Table1[[#This Row],[Tol Span]]/Table1[[#This Row],[Error Span]]),"N/A"))</f>
        <v>N/A</v>
      </c>
      <c r="T1800" s="1" t="str">
        <f>IF(OR(Table1[[#This Row],[Low Tol]]="",Table1[[#This Row],[High Tol]]=""),"Needs Analysis",IF(Table1[[#This Row],[Ratio]]&gt;=4,"Not Significant",IF(Table1[[#This Row],[Ratio]]&gt;=2,"Semi-Significant","Significant")))</f>
        <v>Needs Analysis</v>
      </c>
      <c r="W1800" s="1">
        <f>IF(Table1[[#This Row],[Cal Type]]&lt;&gt;"ACCREDITED 17025 WITH UNCERTAINTIES",0,"")</f>
        <v>0</v>
      </c>
      <c r="X1800" s="1" t="str">
        <f>IF(Table1[[#This Row],[DUT Read]]="","N/A",Table1[[#This Row],[Std Error]]+Table1[[#This Row],[DUT Read]]+Table1[[#This Row],[DUT Ucty]])</f>
        <v>N/A</v>
      </c>
      <c r="Y1800" s="1" t="str">
        <f>IF(Table1[[#This Row],[Std Read]]="","N/A",Table1[[#This Row],[Std Read]]+Table1[[#This Row],[Std Ucty]])</f>
        <v>N/A</v>
      </c>
      <c r="Z18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0" s="1" t="str">
        <f>IF(Table1[[#This Row],[Spec Type]]="","N/A",Table1[[#This Row],[Spec Type]])</f>
        <v>±</v>
      </c>
      <c r="AC1800" s="1" t="str">
        <f>IF(Table1[[#This Row],[Spec Type2]]="N/A","N/A",IF(AND(Table1[[#This Row],[DUT Adj Read]]&gt;=Table1[[#This Row],[Low Tol]],Table1[[#This Row],[DUT Adj Read]]&lt;=Table1[[#This Row],[High Tol]]),"Pass","Fail"))</f>
        <v>Fail</v>
      </c>
      <c r="AD1800" s="1" t="str">
        <f>IF(AND(Table1[[#This Row],[Spec Type2]]="N/A",Table1[[#This Row],[DUT Adj Read]]="N/A",Table1[[#This Row],[Std Adj Read]]="N/A"),"N/A",IF(Table1[[#This Row],[DUT Adj Read]]="N/A",IF(Table1[[#This Row],[Std Adj Read]]&gt;Table1[[#This Row],[Low Tol]],"Pass","Fail"),IF(Table1[[#This Row],[DUT Adj Read]]&gt;Table1[[#This Row],[Low Tol]],"Pass","Fail")))</f>
        <v>Pass</v>
      </c>
      <c r="AE1800" s="1" t="str">
        <f>IF(AND(Table1[[#This Row],[Spec Type2]]="N/A",Table1[[#This Row],[DUT Adj Read]]="N/A",Table1[[#This Row],[Std Adj Read]]="N/A"),"N/A",IF(Table1[[#This Row],[DUT Adj Read]]="N/A",IF(Table1[[#This Row],[Std Adj Read]]&lt;Table1[[#This Row],[High Tol]],"Pass","Fail"),IF(Table1[[#This Row],[DUT Adj Read]]&lt;Table1[[#This Row],[High Tol]],"Pass","Fail")))</f>
        <v>Fail</v>
      </c>
      <c r="AF1800" s="1" t="str">
        <f>IF(AND(Table1[[#This Row],[Spec Type2]]="N/A",Table1[[#This Row],[DUT Adj Read]]="N/A",Table1[[#This Row],[Std Adj Read]]="N/A"),"N/A",IF(Table1[[#This Row],[DUT Adj Read]]="N/A",IF(Table1[[#This Row],[Std Adj Read]]&gt;=Table1[[#This Row],[Low Tol]],"Pass","Fail"),IF(Table1[[#This Row],[DUT Adj Read]]&gt;=Table1[[#This Row],[Low Tol]],"Pass","Fail")))</f>
        <v>Pass</v>
      </c>
      <c r="AG1800" s="1" t="str">
        <f>IF(AND(Table1[[#This Row],[Spec Type2]]="N/A",Table1[[#This Row],[DUT Adj Read]]="N/A",Table1[[#This Row],[Std Adj Read]]="N/A"),"N/A",IF(Table1[[#This Row],[DUT Adj Read]]="N/A",IF(Table1[[#This Row],[Std Adj Read]]&lt;=Table1[[#This Row],[High Tol]],"Pass","Fail"),IF(Table1[[#This Row],[DUT Adj Read]]&lt;=Table1[[#This Row],[High Tol]],"Pass","Fail")))</f>
        <v>Fail</v>
      </c>
      <c r="AH18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0" s="1" t="b">
        <v>0</v>
      </c>
      <c r="AN1800" s="1" t="b">
        <v>0</v>
      </c>
      <c r="AO1800" s="1" t="b">
        <v>0</v>
      </c>
    </row>
    <row r="1801" spans="1:41" x14ac:dyDescent="0.25">
      <c r="A1801" s="10"/>
      <c r="B1801" s="10"/>
      <c r="C1801" s="10"/>
      <c r="D1801" s="10"/>
      <c r="E1801" s="10"/>
      <c r="F1801" s="10"/>
      <c r="G1801" s="10"/>
      <c r="H1801" s="10"/>
      <c r="I1801" s="1" t="str">
        <f t="shared" si="81"/>
        <v/>
      </c>
      <c r="J1801" s="1" t="s">
        <v>35</v>
      </c>
      <c r="K1801" s="1" t="str">
        <f t="shared" si="82"/>
        <v/>
      </c>
      <c r="L1801" s="1" t="str">
        <f t="shared" si="83"/>
        <v/>
      </c>
      <c r="M1801" s="1">
        <f>IF(OR(Table1[[#This Row],[Std Nom]]="",Table1[[#This Row],[Std Read]]=""),0,Table1[[#This Row],[Std Nom]]-Table1[[#This Row],[Std Read]])</f>
        <v>0</v>
      </c>
      <c r="N1801" s="1">
        <f>IF(Calculations!$F$5="ACCREDITED 17025 WITH UNCERTAINTIES",$N$10,0)</f>
        <v>0</v>
      </c>
      <c r="Q1801" s="1">
        <f>Table1[[#This Row],[High Tol]]-Table1[[#This Row],[Low Tol]]</f>
        <v>0</v>
      </c>
      <c r="R1801" s="1">
        <f>2*Table1[[#This Row],[Std Error]]</f>
        <v>0</v>
      </c>
      <c r="S1801" s="1" t="str">
        <f>IF(Table1[[#This Row],[High Tol]]="","N/A",IFERROR(ABS(Table1[[#This Row],[Tol Span]]/Table1[[#This Row],[Error Span]]),"N/A"))</f>
        <v>N/A</v>
      </c>
      <c r="T1801" s="1" t="str">
        <f>IF(OR(Table1[[#This Row],[Low Tol]]="",Table1[[#This Row],[High Tol]]=""),"Needs Analysis",IF(Table1[[#This Row],[Ratio]]&gt;=4,"Not Significant",IF(Table1[[#This Row],[Ratio]]&gt;=2,"Semi-Significant","Significant")))</f>
        <v>Needs Analysis</v>
      </c>
      <c r="W1801" s="1">
        <f>IF(Table1[[#This Row],[Cal Type]]&lt;&gt;"ACCREDITED 17025 WITH UNCERTAINTIES",0,"")</f>
        <v>0</v>
      </c>
      <c r="X1801" s="1" t="str">
        <f>IF(Table1[[#This Row],[DUT Read]]="","N/A",Table1[[#This Row],[Std Error]]+Table1[[#This Row],[DUT Read]]+Table1[[#This Row],[DUT Ucty]])</f>
        <v>N/A</v>
      </c>
      <c r="Y1801" s="1" t="str">
        <f>IF(Table1[[#This Row],[Std Read]]="","N/A",Table1[[#This Row],[Std Read]]+Table1[[#This Row],[Std Ucty]])</f>
        <v>N/A</v>
      </c>
      <c r="Z18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1" s="1" t="str">
        <f>IF(Table1[[#This Row],[Spec Type]]="","N/A",Table1[[#This Row],[Spec Type]])</f>
        <v>±</v>
      </c>
      <c r="AC1801" s="1" t="str">
        <f>IF(Table1[[#This Row],[Spec Type2]]="N/A","N/A",IF(AND(Table1[[#This Row],[DUT Adj Read]]&gt;=Table1[[#This Row],[Low Tol]],Table1[[#This Row],[DUT Adj Read]]&lt;=Table1[[#This Row],[High Tol]]),"Pass","Fail"))</f>
        <v>Fail</v>
      </c>
      <c r="AD1801" s="1" t="str">
        <f>IF(AND(Table1[[#This Row],[Spec Type2]]="N/A",Table1[[#This Row],[DUT Adj Read]]="N/A",Table1[[#This Row],[Std Adj Read]]="N/A"),"N/A",IF(Table1[[#This Row],[DUT Adj Read]]="N/A",IF(Table1[[#This Row],[Std Adj Read]]&gt;Table1[[#This Row],[Low Tol]],"Pass","Fail"),IF(Table1[[#This Row],[DUT Adj Read]]&gt;Table1[[#This Row],[Low Tol]],"Pass","Fail")))</f>
        <v>Pass</v>
      </c>
      <c r="AE1801" s="1" t="str">
        <f>IF(AND(Table1[[#This Row],[Spec Type2]]="N/A",Table1[[#This Row],[DUT Adj Read]]="N/A",Table1[[#This Row],[Std Adj Read]]="N/A"),"N/A",IF(Table1[[#This Row],[DUT Adj Read]]="N/A",IF(Table1[[#This Row],[Std Adj Read]]&lt;Table1[[#This Row],[High Tol]],"Pass","Fail"),IF(Table1[[#This Row],[DUT Adj Read]]&lt;Table1[[#This Row],[High Tol]],"Pass","Fail")))</f>
        <v>Fail</v>
      </c>
      <c r="AF1801" s="1" t="str">
        <f>IF(AND(Table1[[#This Row],[Spec Type2]]="N/A",Table1[[#This Row],[DUT Adj Read]]="N/A",Table1[[#This Row],[Std Adj Read]]="N/A"),"N/A",IF(Table1[[#This Row],[DUT Adj Read]]="N/A",IF(Table1[[#This Row],[Std Adj Read]]&gt;=Table1[[#This Row],[Low Tol]],"Pass","Fail"),IF(Table1[[#This Row],[DUT Adj Read]]&gt;=Table1[[#This Row],[Low Tol]],"Pass","Fail")))</f>
        <v>Pass</v>
      </c>
      <c r="AG1801" s="1" t="str">
        <f>IF(AND(Table1[[#This Row],[Spec Type2]]="N/A",Table1[[#This Row],[DUT Adj Read]]="N/A",Table1[[#This Row],[Std Adj Read]]="N/A"),"N/A",IF(Table1[[#This Row],[DUT Adj Read]]="N/A",IF(Table1[[#This Row],[Std Adj Read]]&lt;=Table1[[#This Row],[High Tol]],"Pass","Fail"),IF(Table1[[#This Row],[DUT Adj Read]]&lt;=Table1[[#This Row],[High Tol]],"Pass","Fail")))</f>
        <v>Fail</v>
      </c>
      <c r="AH18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1" s="1" t="b">
        <v>0</v>
      </c>
      <c r="AN1801" s="1" t="b">
        <v>0</v>
      </c>
      <c r="AO1801" s="1" t="b">
        <v>0</v>
      </c>
    </row>
    <row r="1802" spans="1:41" x14ac:dyDescent="0.25">
      <c r="A1802" s="10"/>
      <c r="B1802" s="10"/>
      <c r="C1802" s="10"/>
      <c r="D1802" s="10"/>
      <c r="E1802" s="10"/>
      <c r="F1802" s="10"/>
      <c r="G1802" s="10"/>
      <c r="H1802" s="10"/>
      <c r="I1802" s="1" t="str">
        <f t="shared" si="81"/>
        <v/>
      </c>
      <c r="J1802" s="1" t="s">
        <v>35</v>
      </c>
      <c r="K1802" s="1" t="str">
        <f t="shared" si="82"/>
        <v/>
      </c>
      <c r="L1802" s="1" t="str">
        <f t="shared" si="83"/>
        <v/>
      </c>
      <c r="M1802" s="1">
        <f>IF(OR(Table1[[#This Row],[Std Nom]]="",Table1[[#This Row],[Std Read]]=""),0,Table1[[#This Row],[Std Nom]]-Table1[[#This Row],[Std Read]])</f>
        <v>0</v>
      </c>
      <c r="N1802" s="1">
        <f>IF(Calculations!$F$5="ACCREDITED 17025 WITH UNCERTAINTIES",$N$10,0)</f>
        <v>0</v>
      </c>
      <c r="Q1802" s="1">
        <f>Table1[[#This Row],[High Tol]]-Table1[[#This Row],[Low Tol]]</f>
        <v>0</v>
      </c>
      <c r="R1802" s="1">
        <f>2*Table1[[#This Row],[Std Error]]</f>
        <v>0</v>
      </c>
      <c r="S1802" s="1" t="str">
        <f>IF(Table1[[#This Row],[High Tol]]="","N/A",IFERROR(ABS(Table1[[#This Row],[Tol Span]]/Table1[[#This Row],[Error Span]]),"N/A"))</f>
        <v>N/A</v>
      </c>
      <c r="T1802" s="1" t="str">
        <f>IF(OR(Table1[[#This Row],[Low Tol]]="",Table1[[#This Row],[High Tol]]=""),"Needs Analysis",IF(Table1[[#This Row],[Ratio]]&gt;=4,"Not Significant",IF(Table1[[#This Row],[Ratio]]&gt;=2,"Semi-Significant","Significant")))</f>
        <v>Needs Analysis</v>
      </c>
      <c r="W1802" s="1">
        <f>IF(Table1[[#This Row],[Cal Type]]&lt;&gt;"ACCREDITED 17025 WITH UNCERTAINTIES",0,"")</f>
        <v>0</v>
      </c>
      <c r="X1802" s="1" t="str">
        <f>IF(Table1[[#This Row],[DUT Read]]="","N/A",Table1[[#This Row],[Std Error]]+Table1[[#This Row],[DUT Read]]+Table1[[#This Row],[DUT Ucty]])</f>
        <v>N/A</v>
      </c>
      <c r="Y1802" s="1" t="str">
        <f>IF(Table1[[#This Row],[Std Read]]="","N/A",Table1[[#This Row],[Std Read]]+Table1[[#This Row],[Std Ucty]])</f>
        <v>N/A</v>
      </c>
      <c r="Z18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2" s="1" t="str">
        <f>IF(Table1[[#This Row],[Spec Type]]="","N/A",Table1[[#This Row],[Spec Type]])</f>
        <v>±</v>
      </c>
      <c r="AC1802" s="1" t="str">
        <f>IF(Table1[[#This Row],[Spec Type2]]="N/A","N/A",IF(AND(Table1[[#This Row],[DUT Adj Read]]&gt;=Table1[[#This Row],[Low Tol]],Table1[[#This Row],[DUT Adj Read]]&lt;=Table1[[#This Row],[High Tol]]),"Pass","Fail"))</f>
        <v>Fail</v>
      </c>
      <c r="AD1802" s="1" t="str">
        <f>IF(AND(Table1[[#This Row],[Spec Type2]]="N/A",Table1[[#This Row],[DUT Adj Read]]="N/A",Table1[[#This Row],[Std Adj Read]]="N/A"),"N/A",IF(Table1[[#This Row],[DUT Adj Read]]="N/A",IF(Table1[[#This Row],[Std Adj Read]]&gt;Table1[[#This Row],[Low Tol]],"Pass","Fail"),IF(Table1[[#This Row],[DUT Adj Read]]&gt;Table1[[#This Row],[Low Tol]],"Pass","Fail")))</f>
        <v>Pass</v>
      </c>
      <c r="AE1802" s="1" t="str">
        <f>IF(AND(Table1[[#This Row],[Spec Type2]]="N/A",Table1[[#This Row],[DUT Adj Read]]="N/A",Table1[[#This Row],[Std Adj Read]]="N/A"),"N/A",IF(Table1[[#This Row],[DUT Adj Read]]="N/A",IF(Table1[[#This Row],[Std Adj Read]]&lt;Table1[[#This Row],[High Tol]],"Pass","Fail"),IF(Table1[[#This Row],[DUT Adj Read]]&lt;Table1[[#This Row],[High Tol]],"Pass","Fail")))</f>
        <v>Fail</v>
      </c>
      <c r="AF1802" s="1" t="str">
        <f>IF(AND(Table1[[#This Row],[Spec Type2]]="N/A",Table1[[#This Row],[DUT Adj Read]]="N/A",Table1[[#This Row],[Std Adj Read]]="N/A"),"N/A",IF(Table1[[#This Row],[DUT Adj Read]]="N/A",IF(Table1[[#This Row],[Std Adj Read]]&gt;=Table1[[#This Row],[Low Tol]],"Pass","Fail"),IF(Table1[[#This Row],[DUT Adj Read]]&gt;=Table1[[#This Row],[Low Tol]],"Pass","Fail")))</f>
        <v>Pass</v>
      </c>
      <c r="AG1802" s="1" t="str">
        <f>IF(AND(Table1[[#This Row],[Spec Type2]]="N/A",Table1[[#This Row],[DUT Adj Read]]="N/A",Table1[[#This Row],[Std Adj Read]]="N/A"),"N/A",IF(Table1[[#This Row],[DUT Adj Read]]="N/A",IF(Table1[[#This Row],[Std Adj Read]]&lt;=Table1[[#This Row],[High Tol]],"Pass","Fail"),IF(Table1[[#This Row],[DUT Adj Read]]&lt;=Table1[[#This Row],[High Tol]],"Pass","Fail")))</f>
        <v>Fail</v>
      </c>
      <c r="AH18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2" s="1" t="b">
        <v>0</v>
      </c>
      <c r="AN1802" s="1" t="b">
        <v>0</v>
      </c>
      <c r="AO1802" s="1" t="b">
        <v>0</v>
      </c>
    </row>
    <row r="1803" spans="1:41" x14ac:dyDescent="0.25">
      <c r="A1803" s="10"/>
      <c r="B1803" s="10"/>
      <c r="C1803" s="10"/>
      <c r="D1803" s="10"/>
      <c r="E1803" s="10"/>
      <c r="F1803" s="10"/>
      <c r="G1803" s="10"/>
      <c r="H1803" s="10"/>
      <c r="I1803" s="1" t="str">
        <f t="shared" ref="I1803:I1866" si="84">IF($I$10="","",$I$10)</f>
        <v/>
      </c>
      <c r="J1803" s="1" t="s">
        <v>35</v>
      </c>
      <c r="K1803" s="1" t="str">
        <f t="shared" ref="K1803:K1866" si="85">IF($K$10="","",$K$10)</f>
        <v/>
      </c>
      <c r="L1803" s="1" t="str">
        <f t="shared" ref="L1803:L1866" si="86">IF($L$10="","",$L$10)</f>
        <v/>
      </c>
      <c r="M1803" s="1">
        <f>IF(OR(Table1[[#This Row],[Std Nom]]="",Table1[[#This Row],[Std Read]]=""),0,Table1[[#This Row],[Std Nom]]-Table1[[#This Row],[Std Read]])</f>
        <v>0</v>
      </c>
      <c r="N1803" s="1">
        <f>IF(Calculations!$F$5="ACCREDITED 17025 WITH UNCERTAINTIES",$N$10,0)</f>
        <v>0</v>
      </c>
      <c r="Q1803" s="1">
        <f>Table1[[#This Row],[High Tol]]-Table1[[#This Row],[Low Tol]]</f>
        <v>0</v>
      </c>
      <c r="R1803" s="1">
        <f>2*Table1[[#This Row],[Std Error]]</f>
        <v>0</v>
      </c>
      <c r="S1803" s="1" t="str">
        <f>IF(Table1[[#This Row],[High Tol]]="","N/A",IFERROR(ABS(Table1[[#This Row],[Tol Span]]/Table1[[#This Row],[Error Span]]),"N/A"))</f>
        <v>N/A</v>
      </c>
      <c r="T1803" s="1" t="str">
        <f>IF(OR(Table1[[#This Row],[Low Tol]]="",Table1[[#This Row],[High Tol]]=""),"Needs Analysis",IF(Table1[[#This Row],[Ratio]]&gt;=4,"Not Significant",IF(Table1[[#This Row],[Ratio]]&gt;=2,"Semi-Significant","Significant")))</f>
        <v>Needs Analysis</v>
      </c>
      <c r="W1803" s="1">
        <f>IF(Table1[[#This Row],[Cal Type]]&lt;&gt;"ACCREDITED 17025 WITH UNCERTAINTIES",0,"")</f>
        <v>0</v>
      </c>
      <c r="X1803" s="1" t="str">
        <f>IF(Table1[[#This Row],[DUT Read]]="","N/A",Table1[[#This Row],[Std Error]]+Table1[[#This Row],[DUT Read]]+Table1[[#This Row],[DUT Ucty]])</f>
        <v>N/A</v>
      </c>
      <c r="Y1803" s="1" t="str">
        <f>IF(Table1[[#This Row],[Std Read]]="","N/A",Table1[[#This Row],[Std Read]]+Table1[[#This Row],[Std Ucty]])</f>
        <v>N/A</v>
      </c>
      <c r="Z18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3" s="1" t="str">
        <f>IF(Table1[[#This Row],[Spec Type]]="","N/A",Table1[[#This Row],[Spec Type]])</f>
        <v>±</v>
      </c>
      <c r="AC1803" s="1" t="str">
        <f>IF(Table1[[#This Row],[Spec Type2]]="N/A","N/A",IF(AND(Table1[[#This Row],[DUT Adj Read]]&gt;=Table1[[#This Row],[Low Tol]],Table1[[#This Row],[DUT Adj Read]]&lt;=Table1[[#This Row],[High Tol]]),"Pass","Fail"))</f>
        <v>Fail</v>
      </c>
      <c r="AD1803" s="1" t="str">
        <f>IF(AND(Table1[[#This Row],[Spec Type2]]="N/A",Table1[[#This Row],[DUT Adj Read]]="N/A",Table1[[#This Row],[Std Adj Read]]="N/A"),"N/A",IF(Table1[[#This Row],[DUT Adj Read]]="N/A",IF(Table1[[#This Row],[Std Adj Read]]&gt;Table1[[#This Row],[Low Tol]],"Pass","Fail"),IF(Table1[[#This Row],[DUT Adj Read]]&gt;Table1[[#This Row],[Low Tol]],"Pass","Fail")))</f>
        <v>Pass</v>
      </c>
      <c r="AE1803" s="1" t="str">
        <f>IF(AND(Table1[[#This Row],[Spec Type2]]="N/A",Table1[[#This Row],[DUT Adj Read]]="N/A",Table1[[#This Row],[Std Adj Read]]="N/A"),"N/A",IF(Table1[[#This Row],[DUT Adj Read]]="N/A",IF(Table1[[#This Row],[Std Adj Read]]&lt;Table1[[#This Row],[High Tol]],"Pass","Fail"),IF(Table1[[#This Row],[DUT Adj Read]]&lt;Table1[[#This Row],[High Tol]],"Pass","Fail")))</f>
        <v>Fail</v>
      </c>
      <c r="AF1803" s="1" t="str">
        <f>IF(AND(Table1[[#This Row],[Spec Type2]]="N/A",Table1[[#This Row],[DUT Adj Read]]="N/A",Table1[[#This Row],[Std Adj Read]]="N/A"),"N/A",IF(Table1[[#This Row],[DUT Adj Read]]="N/A",IF(Table1[[#This Row],[Std Adj Read]]&gt;=Table1[[#This Row],[Low Tol]],"Pass","Fail"),IF(Table1[[#This Row],[DUT Adj Read]]&gt;=Table1[[#This Row],[Low Tol]],"Pass","Fail")))</f>
        <v>Pass</v>
      </c>
      <c r="AG1803" s="1" t="str">
        <f>IF(AND(Table1[[#This Row],[Spec Type2]]="N/A",Table1[[#This Row],[DUT Adj Read]]="N/A",Table1[[#This Row],[Std Adj Read]]="N/A"),"N/A",IF(Table1[[#This Row],[DUT Adj Read]]="N/A",IF(Table1[[#This Row],[Std Adj Read]]&lt;=Table1[[#This Row],[High Tol]],"Pass","Fail"),IF(Table1[[#This Row],[DUT Adj Read]]&lt;=Table1[[#This Row],[High Tol]],"Pass","Fail")))</f>
        <v>Fail</v>
      </c>
      <c r="AH18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3" s="1" t="b">
        <v>0</v>
      </c>
      <c r="AN1803" s="1" t="b">
        <v>0</v>
      </c>
      <c r="AO1803" s="1" t="b">
        <v>0</v>
      </c>
    </row>
    <row r="1804" spans="1:41" x14ac:dyDescent="0.25">
      <c r="A1804" s="10"/>
      <c r="B1804" s="10"/>
      <c r="C1804" s="10"/>
      <c r="D1804" s="10"/>
      <c r="E1804" s="10"/>
      <c r="F1804" s="10"/>
      <c r="G1804" s="10"/>
      <c r="H1804" s="10"/>
      <c r="I1804" s="1" t="str">
        <f t="shared" si="84"/>
        <v/>
      </c>
      <c r="J1804" s="1" t="s">
        <v>35</v>
      </c>
      <c r="K1804" s="1" t="str">
        <f t="shared" si="85"/>
        <v/>
      </c>
      <c r="L1804" s="1" t="str">
        <f t="shared" si="86"/>
        <v/>
      </c>
      <c r="M1804" s="1">
        <f>IF(OR(Table1[[#This Row],[Std Nom]]="",Table1[[#This Row],[Std Read]]=""),0,Table1[[#This Row],[Std Nom]]-Table1[[#This Row],[Std Read]])</f>
        <v>0</v>
      </c>
      <c r="N1804" s="1">
        <f>IF(Calculations!$F$5="ACCREDITED 17025 WITH UNCERTAINTIES",$N$10,0)</f>
        <v>0</v>
      </c>
      <c r="Q1804" s="1">
        <f>Table1[[#This Row],[High Tol]]-Table1[[#This Row],[Low Tol]]</f>
        <v>0</v>
      </c>
      <c r="R1804" s="1">
        <f>2*Table1[[#This Row],[Std Error]]</f>
        <v>0</v>
      </c>
      <c r="S1804" s="1" t="str">
        <f>IF(Table1[[#This Row],[High Tol]]="","N/A",IFERROR(ABS(Table1[[#This Row],[Tol Span]]/Table1[[#This Row],[Error Span]]),"N/A"))</f>
        <v>N/A</v>
      </c>
      <c r="T1804" s="1" t="str">
        <f>IF(OR(Table1[[#This Row],[Low Tol]]="",Table1[[#This Row],[High Tol]]=""),"Needs Analysis",IF(Table1[[#This Row],[Ratio]]&gt;=4,"Not Significant",IF(Table1[[#This Row],[Ratio]]&gt;=2,"Semi-Significant","Significant")))</f>
        <v>Needs Analysis</v>
      </c>
      <c r="W1804" s="1">
        <f>IF(Table1[[#This Row],[Cal Type]]&lt;&gt;"ACCREDITED 17025 WITH UNCERTAINTIES",0,"")</f>
        <v>0</v>
      </c>
      <c r="X1804" s="1" t="str">
        <f>IF(Table1[[#This Row],[DUT Read]]="","N/A",Table1[[#This Row],[Std Error]]+Table1[[#This Row],[DUT Read]]+Table1[[#This Row],[DUT Ucty]])</f>
        <v>N/A</v>
      </c>
      <c r="Y1804" s="1" t="str">
        <f>IF(Table1[[#This Row],[Std Read]]="","N/A",Table1[[#This Row],[Std Read]]+Table1[[#This Row],[Std Ucty]])</f>
        <v>N/A</v>
      </c>
      <c r="Z18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4" s="1" t="str">
        <f>IF(Table1[[#This Row],[Spec Type]]="","N/A",Table1[[#This Row],[Spec Type]])</f>
        <v>±</v>
      </c>
      <c r="AC1804" s="1" t="str">
        <f>IF(Table1[[#This Row],[Spec Type2]]="N/A","N/A",IF(AND(Table1[[#This Row],[DUT Adj Read]]&gt;=Table1[[#This Row],[Low Tol]],Table1[[#This Row],[DUT Adj Read]]&lt;=Table1[[#This Row],[High Tol]]),"Pass","Fail"))</f>
        <v>Fail</v>
      </c>
      <c r="AD1804" s="1" t="str">
        <f>IF(AND(Table1[[#This Row],[Spec Type2]]="N/A",Table1[[#This Row],[DUT Adj Read]]="N/A",Table1[[#This Row],[Std Adj Read]]="N/A"),"N/A",IF(Table1[[#This Row],[DUT Adj Read]]="N/A",IF(Table1[[#This Row],[Std Adj Read]]&gt;Table1[[#This Row],[Low Tol]],"Pass","Fail"),IF(Table1[[#This Row],[DUT Adj Read]]&gt;Table1[[#This Row],[Low Tol]],"Pass","Fail")))</f>
        <v>Pass</v>
      </c>
      <c r="AE1804" s="1" t="str">
        <f>IF(AND(Table1[[#This Row],[Spec Type2]]="N/A",Table1[[#This Row],[DUT Adj Read]]="N/A",Table1[[#This Row],[Std Adj Read]]="N/A"),"N/A",IF(Table1[[#This Row],[DUT Adj Read]]="N/A",IF(Table1[[#This Row],[Std Adj Read]]&lt;Table1[[#This Row],[High Tol]],"Pass","Fail"),IF(Table1[[#This Row],[DUT Adj Read]]&lt;Table1[[#This Row],[High Tol]],"Pass","Fail")))</f>
        <v>Fail</v>
      </c>
      <c r="AF1804" s="1" t="str">
        <f>IF(AND(Table1[[#This Row],[Spec Type2]]="N/A",Table1[[#This Row],[DUT Adj Read]]="N/A",Table1[[#This Row],[Std Adj Read]]="N/A"),"N/A",IF(Table1[[#This Row],[DUT Adj Read]]="N/A",IF(Table1[[#This Row],[Std Adj Read]]&gt;=Table1[[#This Row],[Low Tol]],"Pass","Fail"),IF(Table1[[#This Row],[DUT Adj Read]]&gt;=Table1[[#This Row],[Low Tol]],"Pass","Fail")))</f>
        <v>Pass</v>
      </c>
      <c r="AG1804" s="1" t="str">
        <f>IF(AND(Table1[[#This Row],[Spec Type2]]="N/A",Table1[[#This Row],[DUT Adj Read]]="N/A",Table1[[#This Row],[Std Adj Read]]="N/A"),"N/A",IF(Table1[[#This Row],[DUT Adj Read]]="N/A",IF(Table1[[#This Row],[Std Adj Read]]&lt;=Table1[[#This Row],[High Tol]],"Pass","Fail"),IF(Table1[[#This Row],[DUT Adj Read]]&lt;=Table1[[#This Row],[High Tol]],"Pass","Fail")))</f>
        <v>Fail</v>
      </c>
      <c r="AH18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4" s="1" t="b">
        <v>0</v>
      </c>
      <c r="AN1804" s="1" t="b">
        <v>0</v>
      </c>
      <c r="AO1804" s="1" t="b">
        <v>0</v>
      </c>
    </row>
    <row r="1805" spans="1:41" x14ac:dyDescent="0.25">
      <c r="A1805" s="10"/>
      <c r="B1805" s="10"/>
      <c r="C1805" s="10"/>
      <c r="D1805" s="10"/>
      <c r="E1805" s="10"/>
      <c r="F1805" s="10"/>
      <c r="G1805" s="10"/>
      <c r="H1805" s="10"/>
      <c r="I1805" s="1" t="str">
        <f t="shared" si="84"/>
        <v/>
      </c>
      <c r="J1805" s="1" t="s">
        <v>35</v>
      </c>
      <c r="K1805" s="1" t="str">
        <f t="shared" si="85"/>
        <v/>
      </c>
      <c r="L1805" s="1" t="str">
        <f t="shared" si="86"/>
        <v/>
      </c>
      <c r="M1805" s="1">
        <f>IF(OR(Table1[[#This Row],[Std Nom]]="",Table1[[#This Row],[Std Read]]=""),0,Table1[[#This Row],[Std Nom]]-Table1[[#This Row],[Std Read]])</f>
        <v>0</v>
      </c>
      <c r="N1805" s="1">
        <f>IF(Calculations!$F$5="ACCREDITED 17025 WITH UNCERTAINTIES",$N$10,0)</f>
        <v>0</v>
      </c>
      <c r="Q1805" s="1">
        <f>Table1[[#This Row],[High Tol]]-Table1[[#This Row],[Low Tol]]</f>
        <v>0</v>
      </c>
      <c r="R1805" s="1">
        <f>2*Table1[[#This Row],[Std Error]]</f>
        <v>0</v>
      </c>
      <c r="S1805" s="1" t="str">
        <f>IF(Table1[[#This Row],[High Tol]]="","N/A",IFERROR(ABS(Table1[[#This Row],[Tol Span]]/Table1[[#This Row],[Error Span]]),"N/A"))</f>
        <v>N/A</v>
      </c>
      <c r="T1805" s="1" t="str">
        <f>IF(OR(Table1[[#This Row],[Low Tol]]="",Table1[[#This Row],[High Tol]]=""),"Needs Analysis",IF(Table1[[#This Row],[Ratio]]&gt;=4,"Not Significant",IF(Table1[[#This Row],[Ratio]]&gt;=2,"Semi-Significant","Significant")))</f>
        <v>Needs Analysis</v>
      </c>
      <c r="W1805" s="1">
        <f>IF(Table1[[#This Row],[Cal Type]]&lt;&gt;"ACCREDITED 17025 WITH UNCERTAINTIES",0,"")</f>
        <v>0</v>
      </c>
      <c r="X1805" s="1" t="str">
        <f>IF(Table1[[#This Row],[DUT Read]]="","N/A",Table1[[#This Row],[Std Error]]+Table1[[#This Row],[DUT Read]]+Table1[[#This Row],[DUT Ucty]])</f>
        <v>N/A</v>
      </c>
      <c r="Y1805" s="1" t="str">
        <f>IF(Table1[[#This Row],[Std Read]]="","N/A",Table1[[#This Row],[Std Read]]+Table1[[#This Row],[Std Ucty]])</f>
        <v>N/A</v>
      </c>
      <c r="Z18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5" s="1" t="str">
        <f>IF(Table1[[#This Row],[Spec Type]]="","N/A",Table1[[#This Row],[Spec Type]])</f>
        <v>±</v>
      </c>
      <c r="AC1805" s="1" t="str">
        <f>IF(Table1[[#This Row],[Spec Type2]]="N/A","N/A",IF(AND(Table1[[#This Row],[DUT Adj Read]]&gt;=Table1[[#This Row],[Low Tol]],Table1[[#This Row],[DUT Adj Read]]&lt;=Table1[[#This Row],[High Tol]]),"Pass","Fail"))</f>
        <v>Fail</v>
      </c>
      <c r="AD1805" s="1" t="str">
        <f>IF(AND(Table1[[#This Row],[Spec Type2]]="N/A",Table1[[#This Row],[DUT Adj Read]]="N/A",Table1[[#This Row],[Std Adj Read]]="N/A"),"N/A",IF(Table1[[#This Row],[DUT Adj Read]]="N/A",IF(Table1[[#This Row],[Std Adj Read]]&gt;Table1[[#This Row],[Low Tol]],"Pass","Fail"),IF(Table1[[#This Row],[DUT Adj Read]]&gt;Table1[[#This Row],[Low Tol]],"Pass","Fail")))</f>
        <v>Pass</v>
      </c>
      <c r="AE1805" s="1" t="str">
        <f>IF(AND(Table1[[#This Row],[Spec Type2]]="N/A",Table1[[#This Row],[DUT Adj Read]]="N/A",Table1[[#This Row],[Std Adj Read]]="N/A"),"N/A",IF(Table1[[#This Row],[DUT Adj Read]]="N/A",IF(Table1[[#This Row],[Std Adj Read]]&lt;Table1[[#This Row],[High Tol]],"Pass","Fail"),IF(Table1[[#This Row],[DUT Adj Read]]&lt;Table1[[#This Row],[High Tol]],"Pass","Fail")))</f>
        <v>Fail</v>
      </c>
      <c r="AF1805" s="1" t="str">
        <f>IF(AND(Table1[[#This Row],[Spec Type2]]="N/A",Table1[[#This Row],[DUT Adj Read]]="N/A",Table1[[#This Row],[Std Adj Read]]="N/A"),"N/A",IF(Table1[[#This Row],[DUT Adj Read]]="N/A",IF(Table1[[#This Row],[Std Adj Read]]&gt;=Table1[[#This Row],[Low Tol]],"Pass","Fail"),IF(Table1[[#This Row],[DUT Adj Read]]&gt;=Table1[[#This Row],[Low Tol]],"Pass","Fail")))</f>
        <v>Pass</v>
      </c>
      <c r="AG1805" s="1" t="str">
        <f>IF(AND(Table1[[#This Row],[Spec Type2]]="N/A",Table1[[#This Row],[DUT Adj Read]]="N/A",Table1[[#This Row],[Std Adj Read]]="N/A"),"N/A",IF(Table1[[#This Row],[DUT Adj Read]]="N/A",IF(Table1[[#This Row],[Std Adj Read]]&lt;=Table1[[#This Row],[High Tol]],"Pass","Fail"),IF(Table1[[#This Row],[DUT Adj Read]]&lt;=Table1[[#This Row],[High Tol]],"Pass","Fail")))</f>
        <v>Fail</v>
      </c>
      <c r="AH18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5" s="1" t="b">
        <v>0</v>
      </c>
      <c r="AN1805" s="1" t="b">
        <v>0</v>
      </c>
      <c r="AO1805" s="1" t="b">
        <v>0</v>
      </c>
    </row>
    <row r="1806" spans="1:41" x14ac:dyDescent="0.25">
      <c r="A1806" s="10"/>
      <c r="B1806" s="10"/>
      <c r="C1806" s="10"/>
      <c r="D1806" s="10"/>
      <c r="E1806" s="10"/>
      <c r="F1806" s="10"/>
      <c r="G1806" s="10"/>
      <c r="H1806" s="10"/>
      <c r="I1806" s="1" t="str">
        <f t="shared" si="84"/>
        <v/>
      </c>
      <c r="J1806" s="1" t="s">
        <v>35</v>
      </c>
      <c r="K1806" s="1" t="str">
        <f t="shared" si="85"/>
        <v/>
      </c>
      <c r="L1806" s="1" t="str">
        <f t="shared" si="86"/>
        <v/>
      </c>
      <c r="M1806" s="1">
        <f>IF(OR(Table1[[#This Row],[Std Nom]]="",Table1[[#This Row],[Std Read]]=""),0,Table1[[#This Row],[Std Nom]]-Table1[[#This Row],[Std Read]])</f>
        <v>0</v>
      </c>
      <c r="N1806" s="1">
        <f>IF(Calculations!$F$5="ACCREDITED 17025 WITH UNCERTAINTIES",$N$10,0)</f>
        <v>0</v>
      </c>
      <c r="Q1806" s="1">
        <f>Table1[[#This Row],[High Tol]]-Table1[[#This Row],[Low Tol]]</f>
        <v>0</v>
      </c>
      <c r="R1806" s="1">
        <f>2*Table1[[#This Row],[Std Error]]</f>
        <v>0</v>
      </c>
      <c r="S1806" s="1" t="str">
        <f>IF(Table1[[#This Row],[High Tol]]="","N/A",IFERROR(ABS(Table1[[#This Row],[Tol Span]]/Table1[[#This Row],[Error Span]]),"N/A"))</f>
        <v>N/A</v>
      </c>
      <c r="T1806" s="1" t="str">
        <f>IF(OR(Table1[[#This Row],[Low Tol]]="",Table1[[#This Row],[High Tol]]=""),"Needs Analysis",IF(Table1[[#This Row],[Ratio]]&gt;=4,"Not Significant",IF(Table1[[#This Row],[Ratio]]&gt;=2,"Semi-Significant","Significant")))</f>
        <v>Needs Analysis</v>
      </c>
      <c r="W1806" s="1">
        <f>IF(Table1[[#This Row],[Cal Type]]&lt;&gt;"ACCREDITED 17025 WITH UNCERTAINTIES",0,"")</f>
        <v>0</v>
      </c>
      <c r="X1806" s="1" t="str">
        <f>IF(Table1[[#This Row],[DUT Read]]="","N/A",Table1[[#This Row],[Std Error]]+Table1[[#This Row],[DUT Read]]+Table1[[#This Row],[DUT Ucty]])</f>
        <v>N/A</v>
      </c>
      <c r="Y1806" s="1" t="str">
        <f>IF(Table1[[#This Row],[Std Read]]="","N/A",Table1[[#This Row],[Std Read]]+Table1[[#This Row],[Std Ucty]])</f>
        <v>N/A</v>
      </c>
      <c r="Z18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6" s="1" t="str">
        <f>IF(Table1[[#This Row],[Spec Type]]="","N/A",Table1[[#This Row],[Spec Type]])</f>
        <v>±</v>
      </c>
      <c r="AC1806" s="1" t="str">
        <f>IF(Table1[[#This Row],[Spec Type2]]="N/A","N/A",IF(AND(Table1[[#This Row],[DUT Adj Read]]&gt;=Table1[[#This Row],[Low Tol]],Table1[[#This Row],[DUT Adj Read]]&lt;=Table1[[#This Row],[High Tol]]),"Pass","Fail"))</f>
        <v>Fail</v>
      </c>
      <c r="AD1806" s="1" t="str">
        <f>IF(AND(Table1[[#This Row],[Spec Type2]]="N/A",Table1[[#This Row],[DUT Adj Read]]="N/A",Table1[[#This Row],[Std Adj Read]]="N/A"),"N/A",IF(Table1[[#This Row],[DUT Adj Read]]="N/A",IF(Table1[[#This Row],[Std Adj Read]]&gt;Table1[[#This Row],[Low Tol]],"Pass","Fail"),IF(Table1[[#This Row],[DUT Adj Read]]&gt;Table1[[#This Row],[Low Tol]],"Pass","Fail")))</f>
        <v>Pass</v>
      </c>
      <c r="AE1806" s="1" t="str">
        <f>IF(AND(Table1[[#This Row],[Spec Type2]]="N/A",Table1[[#This Row],[DUT Adj Read]]="N/A",Table1[[#This Row],[Std Adj Read]]="N/A"),"N/A",IF(Table1[[#This Row],[DUT Adj Read]]="N/A",IF(Table1[[#This Row],[Std Adj Read]]&lt;Table1[[#This Row],[High Tol]],"Pass","Fail"),IF(Table1[[#This Row],[DUT Adj Read]]&lt;Table1[[#This Row],[High Tol]],"Pass","Fail")))</f>
        <v>Fail</v>
      </c>
      <c r="AF1806" s="1" t="str">
        <f>IF(AND(Table1[[#This Row],[Spec Type2]]="N/A",Table1[[#This Row],[DUT Adj Read]]="N/A",Table1[[#This Row],[Std Adj Read]]="N/A"),"N/A",IF(Table1[[#This Row],[DUT Adj Read]]="N/A",IF(Table1[[#This Row],[Std Adj Read]]&gt;=Table1[[#This Row],[Low Tol]],"Pass","Fail"),IF(Table1[[#This Row],[DUT Adj Read]]&gt;=Table1[[#This Row],[Low Tol]],"Pass","Fail")))</f>
        <v>Pass</v>
      </c>
      <c r="AG1806" s="1" t="str">
        <f>IF(AND(Table1[[#This Row],[Spec Type2]]="N/A",Table1[[#This Row],[DUT Adj Read]]="N/A",Table1[[#This Row],[Std Adj Read]]="N/A"),"N/A",IF(Table1[[#This Row],[DUT Adj Read]]="N/A",IF(Table1[[#This Row],[Std Adj Read]]&lt;=Table1[[#This Row],[High Tol]],"Pass","Fail"),IF(Table1[[#This Row],[DUT Adj Read]]&lt;=Table1[[#This Row],[High Tol]],"Pass","Fail")))</f>
        <v>Fail</v>
      </c>
      <c r="AH18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6" s="1" t="b">
        <v>0</v>
      </c>
      <c r="AN1806" s="1" t="b">
        <v>0</v>
      </c>
      <c r="AO1806" s="1" t="b">
        <v>0</v>
      </c>
    </row>
    <row r="1807" spans="1:41" x14ac:dyDescent="0.25">
      <c r="A1807" s="10"/>
      <c r="B1807" s="10"/>
      <c r="C1807" s="10"/>
      <c r="D1807" s="10"/>
      <c r="E1807" s="10"/>
      <c r="F1807" s="10"/>
      <c r="G1807" s="10"/>
      <c r="H1807" s="10"/>
      <c r="I1807" s="1" t="str">
        <f t="shared" si="84"/>
        <v/>
      </c>
      <c r="J1807" s="1" t="s">
        <v>35</v>
      </c>
      <c r="K1807" s="1" t="str">
        <f t="shared" si="85"/>
        <v/>
      </c>
      <c r="L1807" s="1" t="str">
        <f t="shared" si="86"/>
        <v/>
      </c>
      <c r="M1807" s="1">
        <f>IF(OR(Table1[[#This Row],[Std Nom]]="",Table1[[#This Row],[Std Read]]=""),0,Table1[[#This Row],[Std Nom]]-Table1[[#This Row],[Std Read]])</f>
        <v>0</v>
      </c>
      <c r="N1807" s="1">
        <f>IF(Calculations!$F$5="ACCREDITED 17025 WITH UNCERTAINTIES",$N$10,0)</f>
        <v>0</v>
      </c>
      <c r="Q1807" s="1">
        <f>Table1[[#This Row],[High Tol]]-Table1[[#This Row],[Low Tol]]</f>
        <v>0</v>
      </c>
      <c r="R1807" s="1">
        <f>2*Table1[[#This Row],[Std Error]]</f>
        <v>0</v>
      </c>
      <c r="S1807" s="1" t="str">
        <f>IF(Table1[[#This Row],[High Tol]]="","N/A",IFERROR(ABS(Table1[[#This Row],[Tol Span]]/Table1[[#This Row],[Error Span]]),"N/A"))</f>
        <v>N/A</v>
      </c>
      <c r="T1807" s="1" t="str">
        <f>IF(OR(Table1[[#This Row],[Low Tol]]="",Table1[[#This Row],[High Tol]]=""),"Needs Analysis",IF(Table1[[#This Row],[Ratio]]&gt;=4,"Not Significant",IF(Table1[[#This Row],[Ratio]]&gt;=2,"Semi-Significant","Significant")))</f>
        <v>Needs Analysis</v>
      </c>
      <c r="W1807" s="1">
        <f>IF(Table1[[#This Row],[Cal Type]]&lt;&gt;"ACCREDITED 17025 WITH UNCERTAINTIES",0,"")</f>
        <v>0</v>
      </c>
      <c r="X1807" s="1" t="str">
        <f>IF(Table1[[#This Row],[DUT Read]]="","N/A",Table1[[#This Row],[Std Error]]+Table1[[#This Row],[DUT Read]]+Table1[[#This Row],[DUT Ucty]])</f>
        <v>N/A</v>
      </c>
      <c r="Y1807" s="1" t="str">
        <f>IF(Table1[[#This Row],[Std Read]]="","N/A",Table1[[#This Row],[Std Read]]+Table1[[#This Row],[Std Ucty]])</f>
        <v>N/A</v>
      </c>
      <c r="Z18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7" s="1" t="str">
        <f>IF(Table1[[#This Row],[Spec Type]]="","N/A",Table1[[#This Row],[Spec Type]])</f>
        <v>±</v>
      </c>
      <c r="AC1807" s="1" t="str">
        <f>IF(Table1[[#This Row],[Spec Type2]]="N/A","N/A",IF(AND(Table1[[#This Row],[DUT Adj Read]]&gt;=Table1[[#This Row],[Low Tol]],Table1[[#This Row],[DUT Adj Read]]&lt;=Table1[[#This Row],[High Tol]]),"Pass","Fail"))</f>
        <v>Fail</v>
      </c>
      <c r="AD1807" s="1" t="str">
        <f>IF(AND(Table1[[#This Row],[Spec Type2]]="N/A",Table1[[#This Row],[DUT Adj Read]]="N/A",Table1[[#This Row],[Std Adj Read]]="N/A"),"N/A",IF(Table1[[#This Row],[DUT Adj Read]]="N/A",IF(Table1[[#This Row],[Std Adj Read]]&gt;Table1[[#This Row],[Low Tol]],"Pass","Fail"),IF(Table1[[#This Row],[DUT Adj Read]]&gt;Table1[[#This Row],[Low Tol]],"Pass","Fail")))</f>
        <v>Pass</v>
      </c>
      <c r="AE1807" s="1" t="str">
        <f>IF(AND(Table1[[#This Row],[Spec Type2]]="N/A",Table1[[#This Row],[DUT Adj Read]]="N/A",Table1[[#This Row],[Std Adj Read]]="N/A"),"N/A",IF(Table1[[#This Row],[DUT Adj Read]]="N/A",IF(Table1[[#This Row],[Std Adj Read]]&lt;Table1[[#This Row],[High Tol]],"Pass","Fail"),IF(Table1[[#This Row],[DUT Adj Read]]&lt;Table1[[#This Row],[High Tol]],"Pass","Fail")))</f>
        <v>Fail</v>
      </c>
      <c r="AF1807" s="1" t="str">
        <f>IF(AND(Table1[[#This Row],[Spec Type2]]="N/A",Table1[[#This Row],[DUT Adj Read]]="N/A",Table1[[#This Row],[Std Adj Read]]="N/A"),"N/A",IF(Table1[[#This Row],[DUT Adj Read]]="N/A",IF(Table1[[#This Row],[Std Adj Read]]&gt;=Table1[[#This Row],[Low Tol]],"Pass","Fail"),IF(Table1[[#This Row],[DUT Adj Read]]&gt;=Table1[[#This Row],[Low Tol]],"Pass","Fail")))</f>
        <v>Pass</v>
      </c>
      <c r="AG1807" s="1" t="str">
        <f>IF(AND(Table1[[#This Row],[Spec Type2]]="N/A",Table1[[#This Row],[DUT Adj Read]]="N/A",Table1[[#This Row],[Std Adj Read]]="N/A"),"N/A",IF(Table1[[#This Row],[DUT Adj Read]]="N/A",IF(Table1[[#This Row],[Std Adj Read]]&lt;=Table1[[#This Row],[High Tol]],"Pass","Fail"),IF(Table1[[#This Row],[DUT Adj Read]]&lt;=Table1[[#This Row],[High Tol]],"Pass","Fail")))</f>
        <v>Fail</v>
      </c>
      <c r="AH18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7" s="1" t="b">
        <v>0</v>
      </c>
      <c r="AN1807" s="1" t="b">
        <v>0</v>
      </c>
      <c r="AO1807" s="1" t="b">
        <v>0</v>
      </c>
    </row>
    <row r="1808" spans="1:41" x14ac:dyDescent="0.25">
      <c r="A1808" s="10"/>
      <c r="B1808" s="10"/>
      <c r="C1808" s="10"/>
      <c r="D1808" s="10"/>
      <c r="E1808" s="10"/>
      <c r="F1808" s="10"/>
      <c r="G1808" s="10"/>
      <c r="H1808" s="10"/>
      <c r="I1808" s="1" t="str">
        <f t="shared" si="84"/>
        <v/>
      </c>
      <c r="J1808" s="1" t="s">
        <v>35</v>
      </c>
      <c r="K1808" s="1" t="str">
        <f t="shared" si="85"/>
        <v/>
      </c>
      <c r="L1808" s="1" t="str">
        <f t="shared" si="86"/>
        <v/>
      </c>
      <c r="M1808" s="1">
        <f>IF(OR(Table1[[#This Row],[Std Nom]]="",Table1[[#This Row],[Std Read]]=""),0,Table1[[#This Row],[Std Nom]]-Table1[[#This Row],[Std Read]])</f>
        <v>0</v>
      </c>
      <c r="N1808" s="1">
        <f>IF(Calculations!$F$5="ACCREDITED 17025 WITH UNCERTAINTIES",$N$10,0)</f>
        <v>0</v>
      </c>
      <c r="Q1808" s="1">
        <f>Table1[[#This Row],[High Tol]]-Table1[[#This Row],[Low Tol]]</f>
        <v>0</v>
      </c>
      <c r="R1808" s="1">
        <f>2*Table1[[#This Row],[Std Error]]</f>
        <v>0</v>
      </c>
      <c r="S1808" s="1" t="str">
        <f>IF(Table1[[#This Row],[High Tol]]="","N/A",IFERROR(ABS(Table1[[#This Row],[Tol Span]]/Table1[[#This Row],[Error Span]]),"N/A"))</f>
        <v>N/A</v>
      </c>
      <c r="T1808" s="1" t="str">
        <f>IF(OR(Table1[[#This Row],[Low Tol]]="",Table1[[#This Row],[High Tol]]=""),"Needs Analysis",IF(Table1[[#This Row],[Ratio]]&gt;=4,"Not Significant",IF(Table1[[#This Row],[Ratio]]&gt;=2,"Semi-Significant","Significant")))</f>
        <v>Needs Analysis</v>
      </c>
      <c r="W1808" s="1">
        <f>IF(Table1[[#This Row],[Cal Type]]&lt;&gt;"ACCREDITED 17025 WITH UNCERTAINTIES",0,"")</f>
        <v>0</v>
      </c>
      <c r="X1808" s="1" t="str">
        <f>IF(Table1[[#This Row],[DUT Read]]="","N/A",Table1[[#This Row],[Std Error]]+Table1[[#This Row],[DUT Read]]+Table1[[#This Row],[DUT Ucty]])</f>
        <v>N/A</v>
      </c>
      <c r="Y1808" s="1" t="str">
        <f>IF(Table1[[#This Row],[Std Read]]="","N/A",Table1[[#This Row],[Std Read]]+Table1[[#This Row],[Std Ucty]])</f>
        <v>N/A</v>
      </c>
      <c r="Z18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8" s="1" t="str">
        <f>IF(Table1[[#This Row],[Spec Type]]="","N/A",Table1[[#This Row],[Spec Type]])</f>
        <v>±</v>
      </c>
      <c r="AC1808" s="1" t="str">
        <f>IF(Table1[[#This Row],[Spec Type2]]="N/A","N/A",IF(AND(Table1[[#This Row],[DUT Adj Read]]&gt;=Table1[[#This Row],[Low Tol]],Table1[[#This Row],[DUT Adj Read]]&lt;=Table1[[#This Row],[High Tol]]),"Pass","Fail"))</f>
        <v>Fail</v>
      </c>
      <c r="AD1808" s="1" t="str">
        <f>IF(AND(Table1[[#This Row],[Spec Type2]]="N/A",Table1[[#This Row],[DUT Adj Read]]="N/A",Table1[[#This Row],[Std Adj Read]]="N/A"),"N/A",IF(Table1[[#This Row],[DUT Adj Read]]="N/A",IF(Table1[[#This Row],[Std Adj Read]]&gt;Table1[[#This Row],[Low Tol]],"Pass","Fail"),IF(Table1[[#This Row],[DUT Adj Read]]&gt;Table1[[#This Row],[Low Tol]],"Pass","Fail")))</f>
        <v>Pass</v>
      </c>
      <c r="AE1808" s="1" t="str">
        <f>IF(AND(Table1[[#This Row],[Spec Type2]]="N/A",Table1[[#This Row],[DUT Adj Read]]="N/A",Table1[[#This Row],[Std Adj Read]]="N/A"),"N/A",IF(Table1[[#This Row],[DUT Adj Read]]="N/A",IF(Table1[[#This Row],[Std Adj Read]]&lt;Table1[[#This Row],[High Tol]],"Pass","Fail"),IF(Table1[[#This Row],[DUT Adj Read]]&lt;Table1[[#This Row],[High Tol]],"Pass","Fail")))</f>
        <v>Fail</v>
      </c>
      <c r="AF1808" s="1" t="str">
        <f>IF(AND(Table1[[#This Row],[Spec Type2]]="N/A",Table1[[#This Row],[DUT Adj Read]]="N/A",Table1[[#This Row],[Std Adj Read]]="N/A"),"N/A",IF(Table1[[#This Row],[DUT Adj Read]]="N/A",IF(Table1[[#This Row],[Std Adj Read]]&gt;=Table1[[#This Row],[Low Tol]],"Pass","Fail"),IF(Table1[[#This Row],[DUT Adj Read]]&gt;=Table1[[#This Row],[Low Tol]],"Pass","Fail")))</f>
        <v>Pass</v>
      </c>
      <c r="AG1808" s="1" t="str">
        <f>IF(AND(Table1[[#This Row],[Spec Type2]]="N/A",Table1[[#This Row],[DUT Adj Read]]="N/A",Table1[[#This Row],[Std Adj Read]]="N/A"),"N/A",IF(Table1[[#This Row],[DUT Adj Read]]="N/A",IF(Table1[[#This Row],[Std Adj Read]]&lt;=Table1[[#This Row],[High Tol]],"Pass","Fail"),IF(Table1[[#This Row],[DUT Adj Read]]&lt;=Table1[[#This Row],[High Tol]],"Pass","Fail")))</f>
        <v>Fail</v>
      </c>
      <c r="AH18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8" s="1" t="b">
        <v>0</v>
      </c>
      <c r="AN1808" s="1" t="b">
        <v>0</v>
      </c>
      <c r="AO1808" s="1" t="b">
        <v>0</v>
      </c>
    </row>
    <row r="1809" spans="1:41" x14ac:dyDescent="0.25">
      <c r="A1809" s="10"/>
      <c r="B1809" s="10"/>
      <c r="C1809" s="10"/>
      <c r="D1809" s="10"/>
      <c r="E1809" s="10"/>
      <c r="F1809" s="10"/>
      <c r="G1809" s="10"/>
      <c r="H1809" s="10"/>
      <c r="I1809" s="1" t="str">
        <f t="shared" si="84"/>
        <v/>
      </c>
      <c r="J1809" s="1" t="s">
        <v>35</v>
      </c>
      <c r="K1809" s="1" t="str">
        <f t="shared" si="85"/>
        <v/>
      </c>
      <c r="L1809" s="1" t="str">
        <f t="shared" si="86"/>
        <v/>
      </c>
      <c r="M1809" s="1">
        <f>IF(OR(Table1[[#This Row],[Std Nom]]="",Table1[[#This Row],[Std Read]]=""),0,Table1[[#This Row],[Std Nom]]-Table1[[#This Row],[Std Read]])</f>
        <v>0</v>
      </c>
      <c r="N1809" s="1">
        <f>IF(Calculations!$F$5="ACCREDITED 17025 WITH UNCERTAINTIES",$N$10,0)</f>
        <v>0</v>
      </c>
      <c r="Q1809" s="1">
        <f>Table1[[#This Row],[High Tol]]-Table1[[#This Row],[Low Tol]]</f>
        <v>0</v>
      </c>
      <c r="R1809" s="1">
        <f>2*Table1[[#This Row],[Std Error]]</f>
        <v>0</v>
      </c>
      <c r="S1809" s="1" t="str">
        <f>IF(Table1[[#This Row],[High Tol]]="","N/A",IFERROR(ABS(Table1[[#This Row],[Tol Span]]/Table1[[#This Row],[Error Span]]),"N/A"))</f>
        <v>N/A</v>
      </c>
      <c r="T1809" s="1" t="str">
        <f>IF(OR(Table1[[#This Row],[Low Tol]]="",Table1[[#This Row],[High Tol]]=""),"Needs Analysis",IF(Table1[[#This Row],[Ratio]]&gt;=4,"Not Significant",IF(Table1[[#This Row],[Ratio]]&gt;=2,"Semi-Significant","Significant")))</f>
        <v>Needs Analysis</v>
      </c>
      <c r="W1809" s="1">
        <f>IF(Table1[[#This Row],[Cal Type]]&lt;&gt;"ACCREDITED 17025 WITH UNCERTAINTIES",0,"")</f>
        <v>0</v>
      </c>
      <c r="X1809" s="1" t="str">
        <f>IF(Table1[[#This Row],[DUT Read]]="","N/A",Table1[[#This Row],[Std Error]]+Table1[[#This Row],[DUT Read]]+Table1[[#This Row],[DUT Ucty]])</f>
        <v>N/A</v>
      </c>
      <c r="Y1809" s="1" t="str">
        <f>IF(Table1[[#This Row],[Std Read]]="","N/A",Table1[[#This Row],[Std Read]]+Table1[[#This Row],[Std Ucty]])</f>
        <v>N/A</v>
      </c>
      <c r="Z18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09" s="1" t="str">
        <f>IF(Table1[[#This Row],[Spec Type]]="","N/A",Table1[[#This Row],[Spec Type]])</f>
        <v>±</v>
      </c>
      <c r="AC1809" s="1" t="str">
        <f>IF(Table1[[#This Row],[Spec Type2]]="N/A","N/A",IF(AND(Table1[[#This Row],[DUT Adj Read]]&gt;=Table1[[#This Row],[Low Tol]],Table1[[#This Row],[DUT Adj Read]]&lt;=Table1[[#This Row],[High Tol]]),"Pass","Fail"))</f>
        <v>Fail</v>
      </c>
      <c r="AD1809" s="1" t="str">
        <f>IF(AND(Table1[[#This Row],[Spec Type2]]="N/A",Table1[[#This Row],[DUT Adj Read]]="N/A",Table1[[#This Row],[Std Adj Read]]="N/A"),"N/A",IF(Table1[[#This Row],[DUT Adj Read]]="N/A",IF(Table1[[#This Row],[Std Adj Read]]&gt;Table1[[#This Row],[Low Tol]],"Pass","Fail"),IF(Table1[[#This Row],[DUT Adj Read]]&gt;Table1[[#This Row],[Low Tol]],"Pass","Fail")))</f>
        <v>Pass</v>
      </c>
      <c r="AE1809" s="1" t="str">
        <f>IF(AND(Table1[[#This Row],[Spec Type2]]="N/A",Table1[[#This Row],[DUT Adj Read]]="N/A",Table1[[#This Row],[Std Adj Read]]="N/A"),"N/A",IF(Table1[[#This Row],[DUT Adj Read]]="N/A",IF(Table1[[#This Row],[Std Adj Read]]&lt;Table1[[#This Row],[High Tol]],"Pass","Fail"),IF(Table1[[#This Row],[DUT Adj Read]]&lt;Table1[[#This Row],[High Tol]],"Pass","Fail")))</f>
        <v>Fail</v>
      </c>
      <c r="AF1809" s="1" t="str">
        <f>IF(AND(Table1[[#This Row],[Spec Type2]]="N/A",Table1[[#This Row],[DUT Adj Read]]="N/A",Table1[[#This Row],[Std Adj Read]]="N/A"),"N/A",IF(Table1[[#This Row],[DUT Adj Read]]="N/A",IF(Table1[[#This Row],[Std Adj Read]]&gt;=Table1[[#This Row],[Low Tol]],"Pass","Fail"),IF(Table1[[#This Row],[DUT Adj Read]]&gt;=Table1[[#This Row],[Low Tol]],"Pass","Fail")))</f>
        <v>Pass</v>
      </c>
      <c r="AG1809" s="1" t="str">
        <f>IF(AND(Table1[[#This Row],[Spec Type2]]="N/A",Table1[[#This Row],[DUT Adj Read]]="N/A",Table1[[#This Row],[Std Adj Read]]="N/A"),"N/A",IF(Table1[[#This Row],[DUT Adj Read]]="N/A",IF(Table1[[#This Row],[Std Adj Read]]&lt;=Table1[[#This Row],[High Tol]],"Pass","Fail"),IF(Table1[[#This Row],[DUT Adj Read]]&lt;=Table1[[#This Row],[High Tol]],"Pass","Fail")))</f>
        <v>Fail</v>
      </c>
      <c r="AH18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09" s="1" t="b">
        <v>0</v>
      </c>
      <c r="AN1809" s="1" t="b">
        <v>0</v>
      </c>
      <c r="AO1809" s="1" t="b">
        <v>0</v>
      </c>
    </row>
    <row r="1810" spans="1:41" x14ac:dyDescent="0.25">
      <c r="A1810" s="10"/>
      <c r="B1810" s="10"/>
      <c r="C1810" s="10"/>
      <c r="D1810" s="10"/>
      <c r="E1810" s="10"/>
      <c r="F1810" s="10"/>
      <c r="G1810" s="10"/>
      <c r="H1810" s="10"/>
      <c r="I1810" s="1" t="str">
        <f t="shared" si="84"/>
        <v/>
      </c>
      <c r="J1810" s="1" t="s">
        <v>35</v>
      </c>
      <c r="K1810" s="1" t="str">
        <f t="shared" si="85"/>
        <v/>
      </c>
      <c r="L1810" s="1" t="str">
        <f t="shared" si="86"/>
        <v/>
      </c>
      <c r="M1810" s="1">
        <f>IF(OR(Table1[[#This Row],[Std Nom]]="",Table1[[#This Row],[Std Read]]=""),0,Table1[[#This Row],[Std Nom]]-Table1[[#This Row],[Std Read]])</f>
        <v>0</v>
      </c>
      <c r="N1810" s="1">
        <f>IF(Calculations!$F$5="ACCREDITED 17025 WITH UNCERTAINTIES",$N$10,0)</f>
        <v>0</v>
      </c>
      <c r="Q1810" s="1">
        <f>Table1[[#This Row],[High Tol]]-Table1[[#This Row],[Low Tol]]</f>
        <v>0</v>
      </c>
      <c r="R1810" s="1">
        <f>2*Table1[[#This Row],[Std Error]]</f>
        <v>0</v>
      </c>
      <c r="S1810" s="1" t="str">
        <f>IF(Table1[[#This Row],[High Tol]]="","N/A",IFERROR(ABS(Table1[[#This Row],[Tol Span]]/Table1[[#This Row],[Error Span]]),"N/A"))</f>
        <v>N/A</v>
      </c>
      <c r="T1810" s="1" t="str">
        <f>IF(OR(Table1[[#This Row],[Low Tol]]="",Table1[[#This Row],[High Tol]]=""),"Needs Analysis",IF(Table1[[#This Row],[Ratio]]&gt;=4,"Not Significant",IF(Table1[[#This Row],[Ratio]]&gt;=2,"Semi-Significant","Significant")))</f>
        <v>Needs Analysis</v>
      </c>
      <c r="W1810" s="1">
        <f>IF(Table1[[#This Row],[Cal Type]]&lt;&gt;"ACCREDITED 17025 WITH UNCERTAINTIES",0,"")</f>
        <v>0</v>
      </c>
      <c r="X1810" s="1" t="str">
        <f>IF(Table1[[#This Row],[DUT Read]]="","N/A",Table1[[#This Row],[Std Error]]+Table1[[#This Row],[DUT Read]]+Table1[[#This Row],[DUT Ucty]])</f>
        <v>N/A</v>
      </c>
      <c r="Y1810" s="1" t="str">
        <f>IF(Table1[[#This Row],[Std Read]]="","N/A",Table1[[#This Row],[Std Read]]+Table1[[#This Row],[Std Ucty]])</f>
        <v>N/A</v>
      </c>
      <c r="Z18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0" s="1" t="str">
        <f>IF(Table1[[#This Row],[Spec Type]]="","N/A",Table1[[#This Row],[Spec Type]])</f>
        <v>±</v>
      </c>
      <c r="AC1810" s="1" t="str">
        <f>IF(Table1[[#This Row],[Spec Type2]]="N/A","N/A",IF(AND(Table1[[#This Row],[DUT Adj Read]]&gt;=Table1[[#This Row],[Low Tol]],Table1[[#This Row],[DUT Adj Read]]&lt;=Table1[[#This Row],[High Tol]]),"Pass","Fail"))</f>
        <v>Fail</v>
      </c>
      <c r="AD1810" s="1" t="str">
        <f>IF(AND(Table1[[#This Row],[Spec Type2]]="N/A",Table1[[#This Row],[DUT Adj Read]]="N/A",Table1[[#This Row],[Std Adj Read]]="N/A"),"N/A",IF(Table1[[#This Row],[DUT Adj Read]]="N/A",IF(Table1[[#This Row],[Std Adj Read]]&gt;Table1[[#This Row],[Low Tol]],"Pass","Fail"),IF(Table1[[#This Row],[DUT Adj Read]]&gt;Table1[[#This Row],[Low Tol]],"Pass","Fail")))</f>
        <v>Pass</v>
      </c>
      <c r="AE1810" s="1" t="str">
        <f>IF(AND(Table1[[#This Row],[Spec Type2]]="N/A",Table1[[#This Row],[DUT Adj Read]]="N/A",Table1[[#This Row],[Std Adj Read]]="N/A"),"N/A",IF(Table1[[#This Row],[DUT Adj Read]]="N/A",IF(Table1[[#This Row],[Std Adj Read]]&lt;Table1[[#This Row],[High Tol]],"Pass","Fail"),IF(Table1[[#This Row],[DUT Adj Read]]&lt;Table1[[#This Row],[High Tol]],"Pass","Fail")))</f>
        <v>Fail</v>
      </c>
      <c r="AF1810" s="1" t="str">
        <f>IF(AND(Table1[[#This Row],[Spec Type2]]="N/A",Table1[[#This Row],[DUT Adj Read]]="N/A",Table1[[#This Row],[Std Adj Read]]="N/A"),"N/A",IF(Table1[[#This Row],[DUT Adj Read]]="N/A",IF(Table1[[#This Row],[Std Adj Read]]&gt;=Table1[[#This Row],[Low Tol]],"Pass","Fail"),IF(Table1[[#This Row],[DUT Adj Read]]&gt;=Table1[[#This Row],[Low Tol]],"Pass","Fail")))</f>
        <v>Pass</v>
      </c>
      <c r="AG1810" s="1" t="str">
        <f>IF(AND(Table1[[#This Row],[Spec Type2]]="N/A",Table1[[#This Row],[DUT Adj Read]]="N/A",Table1[[#This Row],[Std Adj Read]]="N/A"),"N/A",IF(Table1[[#This Row],[DUT Adj Read]]="N/A",IF(Table1[[#This Row],[Std Adj Read]]&lt;=Table1[[#This Row],[High Tol]],"Pass","Fail"),IF(Table1[[#This Row],[DUT Adj Read]]&lt;=Table1[[#This Row],[High Tol]],"Pass","Fail")))</f>
        <v>Fail</v>
      </c>
      <c r="AH18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0" s="1" t="b">
        <v>0</v>
      </c>
      <c r="AN1810" s="1" t="b">
        <v>0</v>
      </c>
      <c r="AO1810" s="1" t="b">
        <v>0</v>
      </c>
    </row>
    <row r="1811" spans="1:41" x14ac:dyDescent="0.25">
      <c r="A1811" s="10"/>
      <c r="B1811" s="10"/>
      <c r="C1811" s="10"/>
      <c r="D1811" s="10"/>
      <c r="E1811" s="10"/>
      <c r="F1811" s="10"/>
      <c r="G1811" s="10"/>
      <c r="H1811" s="10"/>
      <c r="I1811" s="1" t="str">
        <f t="shared" si="84"/>
        <v/>
      </c>
      <c r="J1811" s="1" t="s">
        <v>35</v>
      </c>
      <c r="K1811" s="1" t="str">
        <f t="shared" si="85"/>
        <v/>
      </c>
      <c r="L1811" s="1" t="str">
        <f t="shared" si="86"/>
        <v/>
      </c>
      <c r="M1811" s="1">
        <f>IF(OR(Table1[[#This Row],[Std Nom]]="",Table1[[#This Row],[Std Read]]=""),0,Table1[[#This Row],[Std Nom]]-Table1[[#This Row],[Std Read]])</f>
        <v>0</v>
      </c>
      <c r="N1811" s="1">
        <f>IF(Calculations!$F$5="ACCREDITED 17025 WITH UNCERTAINTIES",$N$10,0)</f>
        <v>0</v>
      </c>
      <c r="Q1811" s="1">
        <f>Table1[[#This Row],[High Tol]]-Table1[[#This Row],[Low Tol]]</f>
        <v>0</v>
      </c>
      <c r="R1811" s="1">
        <f>2*Table1[[#This Row],[Std Error]]</f>
        <v>0</v>
      </c>
      <c r="S1811" s="1" t="str">
        <f>IF(Table1[[#This Row],[High Tol]]="","N/A",IFERROR(ABS(Table1[[#This Row],[Tol Span]]/Table1[[#This Row],[Error Span]]),"N/A"))</f>
        <v>N/A</v>
      </c>
      <c r="T1811" s="1" t="str">
        <f>IF(OR(Table1[[#This Row],[Low Tol]]="",Table1[[#This Row],[High Tol]]=""),"Needs Analysis",IF(Table1[[#This Row],[Ratio]]&gt;=4,"Not Significant",IF(Table1[[#This Row],[Ratio]]&gt;=2,"Semi-Significant","Significant")))</f>
        <v>Needs Analysis</v>
      </c>
      <c r="W1811" s="1">
        <f>IF(Table1[[#This Row],[Cal Type]]&lt;&gt;"ACCREDITED 17025 WITH UNCERTAINTIES",0,"")</f>
        <v>0</v>
      </c>
      <c r="X1811" s="1" t="str">
        <f>IF(Table1[[#This Row],[DUT Read]]="","N/A",Table1[[#This Row],[Std Error]]+Table1[[#This Row],[DUT Read]]+Table1[[#This Row],[DUT Ucty]])</f>
        <v>N/A</v>
      </c>
      <c r="Y1811" s="1" t="str">
        <f>IF(Table1[[#This Row],[Std Read]]="","N/A",Table1[[#This Row],[Std Read]]+Table1[[#This Row],[Std Ucty]])</f>
        <v>N/A</v>
      </c>
      <c r="Z18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1" s="1" t="str">
        <f>IF(Table1[[#This Row],[Spec Type]]="","N/A",Table1[[#This Row],[Spec Type]])</f>
        <v>±</v>
      </c>
      <c r="AC1811" s="1" t="str">
        <f>IF(Table1[[#This Row],[Spec Type2]]="N/A","N/A",IF(AND(Table1[[#This Row],[DUT Adj Read]]&gt;=Table1[[#This Row],[Low Tol]],Table1[[#This Row],[DUT Adj Read]]&lt;=Table1[[#This Row],[High Tol]]),"Pass","Fail"))</f>
        <v>Fail</v>
      </c>
      <c r="AD1811" s="1" t="str">
        <f>IF(AND(Table1[[#This Row],[Spec Type2]]="N/A",Table1[[#This Row],[DUT Adj Read]]="N/A",Table1[[#This Row],[Std Adj Read]]="N/A"),"N/A",IF(Table1[[#This Row],[DUT Adj Read]]="N/A",IF(Table1[[#This Row],[Std Adj Read]]&gt;Table1[[#This Row],[Low Tol]],"Pass","Fail"),IF(Table1[[#This Row],[DUT Adj Read]]&gt;Table1[[#This Row],[Low Tol]],"Pass","Fail")))</f>
        <v>Pass</v>
      </c>
      <c r="AE1811" s="1" t="str">
        <f>IF(AND(Table1[[#This Row],[Spec Type2]]="N/A",Table1[[#This Row],[DUT Adj Read]]="N/A",Table1[[#This Row],[Std Adj Read]]="N/A"),"N/A",IF(Table1[[#This Row],[DUT Adj Read]]="N/A",IF(Table1[[#This Row],[Std Adj Read]]&lt;Table1[[#This Row],[High Tol]],"Pass","Fail"),IF(Table1[[#This Row],[DUT Adj Read]]&lt;Table1[[#This Row],[High Tol]],"Pass","Fail")))</f>
        <v>Fail</v>
      </c>
      <c r="AF1811" s="1" t="str">
        <f>IF(AND(Table1[[#This Row],[Spec Type2]]="N/A",Table1[[#This Row],[DUT Adj Read]]="N/A",Table1[[#This Row],[Std Adj Read]]="N/A"),"N/A",IF(Table1[[#This Row],[DUT Adj Read]]="N/A",IF(Table1[[#This Row],[Std Adj Read]]&gt;=Table1[[#This Row],[Low Tol]],"Pass","Fail"),IF(Table1[[#This Row],[DUT Adj Read]]&gt;=Table1[[#This Row],[Low Tol]],"Pass","Fail")))</f>
        <v>Pass</v>
      </c>
      <c r="AG1811" s="1" t="str">
        <f>IF(AND(Table1[[#This Row],[Spec Type2]]="N/A",Table1[[#This Row],[DUT Adj Read]]="N/A",Table1[[#This Row],[Std Adj Read]]="N/A"),"N/A",IF(Table1[[#This Row],[DUT Adj Read]]="N/A",IF(Table1[[#This Row],[Std Adj Read]]&lt;=Table1[[#This Row],[High Tol]],"Pass","Fail"),IF(Table1[[#This Row],[DUT Adj Read]]&lt;=Table1[[#This Row],[High Tol]],"Pass","Fail")))</f>
        <v>Fail</v>
      </c>
      <c r="AH18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1" s="1" t="b">
        <v>0</v>
      </c>
      <c r="AN1811" s="1" t="b">
        <v>0</v>
      </c>
      <c r="AO1811" s="1" t="b">
        <v>0</v>
      </c>
    </row>
    <row r="1812" spans="1:41" x14ac:dyDescent="0.25">
      <c r="A1812" s="10"/>
      <c r="B1812" s="10"/>
      <c r="C1812" s="10"/>
      <c r="D1812" s="10"/>
      <c r="E1812" s="10"/>
      <c r="F1812" s="10"/>
      <c r="G1812" s="10"/>
      <c r="H1812" s="10"/>
      <c r="I1812" s="1" t="str">
        <f t="shared" si="84"/>
        <v/>
      </c>
      <c r="J1812" s="1" t="s">
        <v>35</v>
      </c>
      <c r="K1812" s="1" t="str">
        <f t="shared" si="85"/>
        <v/>
      </c>
      <c r="L1812" s="1" t="str">
        <f t="shared" si="86"/>
        <v/>
      </c>
      <c r="M1812" s="1">
        <f>IF(OR(Table1[[#This Row],[Std Nom]]="",Table1[[#This Row],[Std Read]]=""),0,Table1[[#This Row],[Std Nom]]-Table1[[#This Row],[Std Read]])</f>
        <v>0</v>
      </c>
      <c r="N1812" s="1">
        <f>IF(Calculations!$F$5="ACCREDITED 17025 WITH UNCERTAINTIES",$N$10,0)</f>
        <v>0</v>
      </c>
      <c r="Q1812" s="1">
        <f>Table1[[#This Row],[High Tol]]-Table1[[#This Row],[Low Tol]]</f>
        <v>0</v>
      </c>
      <c r="R1812" s="1">
        <f>2*Table1[[#This Row],[Std Error]]</f>
        <v>0</v>
      </c>
      <c r="S1812" s="1" t="str">
        <f>IF(Table1[[#This Row],[High Tol]]="","N/A",IFERROR(ABS(Table1[[#This Row],[Tol Span]]/Table1[[#This Row],[Error Span]]),"N/A"))</f>
        <v>N/A</v>
      </c>
      <c r="T1812" s="1" t="str">
        <f>IF(OR(Table1[[#This Row],[Low Tol]]="",Table1[[#This Row],[High Tol]]=""),"Needs Analysis",IF(Table1[[#This Row],[Ratio]]&gt;=4,"Not Significant",IF(Table1[[#This Row],[Ratio]]&gt;=2,"Semi-Significant","Significant")))</f>
        <v>Needs Analysis</v>
      </c>
      <c r="W1812" s="1">
        <f>IF(Table1[[#This Row],[Cal Type]]&lt;&gt;"ACCREDITED 17025 WITH UNCERTAINTIES",0,"")</f>
        <v>0</v>
      </c>
      <c r="X1812" s="1" t="str">
        <f>IF(Table1[[#This Row],[DUT Read]]="","N/A",Table1[[#This Row],[Std Error]]+Table1[[#This Row],[DUT Read]]+Table1[[#This Row],[DUT Ucty]])</f>
        <v>N/A</v>
      </c>
      <c r="Y1812" s="1" t="str">
        <f>IF(Table1[[#This Row],[Std Read]]="","N/A",Table1[[#This Row],[Std Read]]+Table1[[#This Row],[Std Ucty]])</f>
        <v>N/A</v>
      </c>
      <c r="Z18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2" s="1" t="str">
        <f>IF(Table1[[#This Row],[Spec Type]]="","N/A",Table1[[#This Row],[Spec Type]])</f>
        <v>±</v>
      </c>
      <c r="AC1812" s="1" t="str">
        <f>IF(Table1[[#This Row],[Spec Type2]]="N/A","N/A",IF(AND(Table1[[#This Row],[DUT Adj Read]]&gt;=Table1[[#This Row],[Low Tol]],Table1[[#This Row],[DUT Adj Read]]&lt;=Table1[[#This Row],[High Tol]]),"Pass","Fail"))</f>
        <v>Fail</v>
      </c>
      <c r="AD1812" s="1" t="str">
        <f>IF(AND(Table1[[#This Row],[Spec Type2]]="N/A",Table1[[#This Row],[DUT Adj Read]]="N/A",Table1[[#This Row],[Std Adj Read]]="N/A"),"N/A",IF(Table1[[#This Row],[DUT Adj Read]]="N/A",IF(Table1[[#This Row],[Std Adj Read]]&gt;Table1[[#This Row],[Low Tol]],"Pass","Fail"),IF(Table1[[#This Row],[DUT Adj Read]]&gt;Table1[[#This Row],[Low Tol]],"Pass","Fail")))</f>
        <v>Pass</v>
      </c>
      <c r="AE1812" s="1" t="str">
        <f>IF(AND(Table1[[#This Row],[Spec Type2]]="N/A",Table1[[#This Row],[DUT Adj Read]]="N/A",Table1[[#This Row],[Std Adj Read]]="N/A"),"N/A",IF(Table1[[#This Row],[DUT Adj Read]]="N/A",IF(Table1[[#This Row],[Std Adj Read]]&lt;Table1[[#This Row],[High Tol]],"Pass","Fail"),IF(Table1[[#This Row],[DUT Adj Read]]&lt;Table1[[#This Row],[High Tol]],"Pass","Fail")))</f>
        <v>Fail</v>
      </c>
      <c r="AF1812" s="1" t="str">
        <f>IF(AND(Table1[[#This Row],[Spec Type2]]="N/A",Table1[[#This Row],[DUT Adj Read]]="N/A",Table1[[#This Row],[Std Adj Read]]="N/A"),"N/A",IF(Table1[[#This Row],[DUT Adj Read]]="N/A",IF(Table1[[#This Row],[Std Adj Read]]&gt;=Table1[[#This Row],[Low Tol]],"Pass","Fail"),IF(Table1[[#This Row],[DUT Adj Read]]&gt;=Table1[[#This Row],[Low Tol]],"Pass","Fail")))</f>
        <v>Pass</v>
      </c>
      <c r="AG1812" s="1" t="str">
        <f>IF(AND(Table1[[#This Row],[Spec Type2]]="N/A",Table1[[#This Row],[DUT Adj Read]]="N/A",Table1[[#This Row],[Std Adj Read]]="N/A"),"N/A",IF(Table1[[#This Row],[DUT Adj Read]]="N/A",IF(Table1[[#This Row],[Std Adj Read]]&lt;=Table1[[#This Row],[High Tol]],"Pass","Fail"),IF(Table1[[#This Row],[DUT Adj Read]]&lt;=Table1[[#This Row],[High Tol]],"Pass","Fail")))</f>
        <v>Fail</v>
      </c>
      <c r="AH18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2" s="1" t="b">
        <v>0</v>
      </c>
      <c r="AN1812" s="1" t="b">
        <v>0</v>
      </c>
      <c r="AO1812" s="1" t="b">
        <v>0</v>
      </c>
    </row>
    <row r="1813" spans="1:41" x14ac:dyDescent="0.25">
      <c r="A1813" s="10"/>
      <c r="B1813" s="10"/>
      <c r="C1813" s="10"/>
      <c r="D1813" s="10"/>
      <c r="E1813" s="10"/>
      <c r="F1813" s="10"/>
      <c r="G1813" s="10"/>
      <c r="H1813" s="10"/>
      <c r="I1813" s="1" t="str">
        <f t="shared" si="84"/>
        <v/>
      </c>
      <c r="J1813" s="1" t="s">
        <v>35</v>
      </c>
      <c r="K1813" s="1" t="str">
        <f t="shared" si="85"/>
        <v/>
      </c>
      <c r="L1813" s="1" t="str">
        <f t="shared" si="86"/>
        <v/>
      </c>
      <c r="M1813" s="1">
        <f>IF(OR(Table1[[#This Row],[Std Nom]]="",Table1[[#This Row],[Std Read]]=""),0,Table1[[#This Row],[Std Nom]]-Table1[[#This Row],[Std Read]])</f>
        <v>0</v>
      </c>
      <c r="N1813" s="1">
        <f>IF(Calculations!$F$5="ACCREDITED 17025 WITH UNCERTAINTIES",$N$10,0)</f>
        <v>0</v>
      </c>
      <c r="Q1813" s="1">
        <f>Table1[[#This Row],[High Tol]]-Table1[[#This Row],[Low Tol]]</f>
        <v>0</v>
      </c>
      <c r="R1813" s="1">
        <f>2*Table1[[#This Row],[Std Error]]</f>
        <v>0</v>
      </c>
      <c r="S1813" s="1" t="str">
        <f>IF(Table1[[#This Row],[High Tol]]="","N/A",IFERROR(ABS(Table1[[#This Row],[Tol Span]]/Table1[[#This Row],[Error Span]]),"N/A"))</f>
        <v>N/A</v>
      </c>
      <c r="T1813" s="1" t="str">
        <f>IF(OR(Table1[[#This Row],[Low Tol]]="",Table1[[#This Row],[High Tol]]=""),"Needs Analysis",IF(Table1[[#This Row],[Ratio]]&gt;=4,"Not Significant",IF(Table1[[#This Row],[Ratio]]&gt;=2,"Semi-Significant","Significant")))</f>
        <v>Needs Analysis</v>
      </c>
      <c r="W1813" s="1">
        <f>IF(Table1[[#This Row],[Cal Type]]&lt;&gt;"ACCREDITED 17025 WITH UNCERTAINTIES",0,"")</f>
        <v>0</v>
      </c>
      <c r="X1813" s="1" t="str">
        <f>IF(Table1[[#This Row],[DUT Read]]="","N/A",Table1[[#This Row],[Std Error]]+Table1[[#This Row],[DUT Read]]+Table1[[#This Row],[DUT Ucty]])</f>
        <v>N/A</v>
      </c>
      <c r="Y1813" s="1" t="str">
        <f>IF(Table1[[#This Row],[Std Read]]="","N/A",Table1[[#This Row],[Std Read]]+Table1[[#This Row],[Std Ucty]])</f>
        <v>N/A</v>
      </c>
      <c r="Z18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3" s="1" t="str">
        <f>IF(Table1[[#This Row],[Spec Type]]="","N/A",Table1[[#This Row],[Spec Type]])</f>
        <v>±</v>
      </c>
      <c r="AC1813" s="1" t="str">
        <f>IF(Table1[[#This Row],[Spec Type2]]="N/A","N/A",IF(AND(Table1[[#This Row],[DUT Adj Read]]&gt;=Table1[[#This Row],[Low Tol]],Table1[[#This Row],[DUT Adj Read]]&lt;=Table1[[#This Row],[High Tol]]),"Pass","Fail"))</f>
        <v>Fail</v>
      </c>
      <c r="AD1813" s="1" t="str">
        <f>IF(AND(Table1[[#This Row],[Spec Type2]]="N/A",Table1[[#This Row],[DUT Adj Read]]="N/A",Table1[[#This Row],[Std Adj Read]]="N/A"),"N/A",IF(Table1[[#This Row],[DUT Adj Read]]="N/A",IF(Table1[[#This Row],[Std Adj Read]]&gt;Table1[[#This Row],[Low Tol]],"Pass","Fail"),IF(Table1[[#This Row],[DUT Adj Read]]&gt;Table1[[#This Row],[Low Tol]],"Pass","Fail")))</f>
        <v>Pass</v>
      </c>
      <c r="AE1813" s="1" t="str">
        <f>IF(AND(Table1[[#This Row],[Spec Type2]]="N/A",Table1[[#This Row],[DUT Adj Read]]="N/A",Table1[[#This Row],[Std Adj Read]]="N/A"),"N/A",IF(Table1[[#This Row],[DUT Adj Read]]="N/A",IF(Table1[[#This Row],[Std Adj Read]]&lt;Table1[[#This Row],[High Tol]],"Pass","Fail"),IF(Table1[[#This Row],[DUT Adj Read]]&lt;Table1[[#This Row],[High Tol]],"Pass","Fail")))</f>
        <v>Fail</v>
      </c>
      <c r="AF1813" s="1" t="str">
        <f>IF(AND(Table1[[#This Row],[Spec Type2]]="N/A",Table1[[#This Row],[DUT Adj Read]]="N/A",Table1[[#This Row],[Std Adj Read]]="N/A"),"N/A",IF(Table1[[#This Row],[DUT Adj Read]]="N/A",IF(Table1[[#This Row],[Std Adj Read]]&gt;=Table1[[#This Row],[Low Tol]],"Pass","Fail"),IF(Table1[[#This Row],[DUT Adj Read]]&gt;=Table1[[#This Row],[Low Tol]],"Pass","Fail")))</f>
        <v>Pass</v>
      </c>
      <c r="AG1813" s="1" t="str">
        <f>IF(AND(Table1[[#This Row],[Spec Type2]]="N/A",Table1[[#This Row],[DUT Adj Read]]="N/A",Table1[[#This Row],[Std Adj Read]]="N/A"),"N/A",IF(Table1[[#This Row],[DUT Adj Read]]="N/A",IF(Table1[[#This Row],[Std Adj Read]]&lt;=Table1[[#This Row],[High Tol]],"Pass","Fail"),IF(Table1[[#This Row],[DUT Adj Read]]&lt;=Table1[[#This Row],[High Tol]],"Pass","Fail")))</f>
        <v>Fail</v>
      </c>
      <c r="AH18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3" s="1" t="b">
        <v>0</v>
      </c>
      <c r="AN1813" s="1" t="b">
        <v>0</v>
      </c>
      <c r="AO1813" s="1" t="b">
        <v>0</v>
      </c>
    </row>
    <row r="1814" spans="1:41" x14ac:dyDescent="0.25">
      <c r="A1814" s="10"/>
      <c r="B1814" s="10"/>
      <c r="C1814" s="10"/>
      <c r="D1814" s="10"/>
      <c r="E1814" s="10"/>
      <c r="F1814" s="10"/>
      <c r="G1814" s="10"/>
      <c r="H1814" s="10"/>
      <c r="I1814" s="1" t="str">
        <f t="shared" si="84"/>
        <v/>
      </c>
      <c r="J1814" s="1" t="s">
        <v>35</v>
      </c>
      <c r="K1814" s="1" t="str">
        <f t="shared" si="85"/>
        <v/>
      </c>
      <c r="L1814" s="1" t="str">
        <f t="shared" si="86"/>
        <v/>
      </c>
      <c r="M1814" s="1">
        <f>IF(OR(Table1[[#This Row],[Std Nom]]="",Table1[[#This Row],[Std Read]]=""),0,Table1[[#This Row],[Std Nom]]-Table1[[#This Row],[Std Read]])</f>
        <v>0</v>
      </c>
      <c r="N1814" s="1">
        <f>IF(Calculations!$F$5="ACCREDITED 17025 WITH UNCERTAINTIES",$N$10,0)</f>
        <v>0</v>
      </c>
      <c r="Q1814" s="1">
        <f>Table1[[#This Row],[High Tol]]-Table1[[#This Row],[Low Tol]]</f>
        <v>0</v>
      </c>
      <c r="R1814" s="1">
        <f>2*Table1[[#This Row],[Std Error]]</f>
        <v>0</v>
      </c>
      <c r="S1814" s="1" t="str">
        <f>IF(Table1[[#This Row],[High Tol]]="","N/A",IFERROR(ABS(Table1[[#This Row],[Tol Span]]/Table1[[#This Row],[Error Span]]),"N/A"))</f>
        <v>N/A</v>
      </c>
      <c r="T1814" s="1" t="str">
        <f>IF(OR(Table1[[#This Row],[Low Tol]]="",Table1[[#This Row],[High Tol]]=""),"Needs Analysis",IF(Table1[[#This Row],[Ratio]]&gt;=4,"Not Significant",IF(Table1[[#This Row],[Ratio]]&gt;=2,"Semi-Significant","Significant")))</f>
        <v>Needs Analysis</v>
      </c>
      <c r="W1814" s="1">
        <f>IF(Table1[[#This Row],[Cal Type]]&lt;&gt;"ACCREDITED 17025 WITH UNCERTAINTIES",0,"")</f>
        <v>0</v>
      </c>
      <c r="X1814" s="1" t="str">
        <f>IF(Table1[[#This Row],[DUT Read]]="","N/A",Table1[[#This Row],[Std Error]]+Table1[[#This Row],[DUT Read]]+Table1[[#This Row],[DUT Ucty]])</f>
        <v>N/A</v>
      </c>
      <c r="Y1814" s="1" t="str">
        <f>IF(Table1[[#This Row],[Std Read]]="","N/A",Table1[[#This Row],[Std Read]]+Table1[[#This Row],[Std Ucty]])</f>
        <v>N/A</v>
      </c>
      <c r="Z18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4" s="1" t="str">
        <f>IF(Table1[[#This Row],[Spec Type]]="","N/A",Table1[[#This Row],[Spec Type]])</f>
        <v>±</v>
      </c>
      <c r="AC1814" s="1" t="str">
        <f>IF(Table1[[#This Row],[Spec Type2]]="N/A","N/A",IF(AND(Table1[[#This Row],[DUT Adj Read]]&gt;=Table1[[#This Row],[Low Tol]],Table1[[#This Row],[DUT Adj Read]]&lt;=Table1[[#This Row],[High Tol]]),"Pass","Fail"))</f>
        <v>Fail</v>
      </c>
      <c r="AD1814" s="1" t="str">
        <f>IF(AND(Table1[[#This Row],[Spec Type2]]="N/A",Table1[[#This Row],[DUT Adj Read]]="N/A",Table1[[#This Row],[Std Adj Read]]="N/A"),"N/A",IF(Table1[[#This Row],[DUT Adj Read]]="N/A",IF(Table1[[#This Row],[Std Adj Read]]&gt;Table1[[#This Row],[Low Tol]],"Pass","Fail"),IF(Table1[[#This Row],[DUT Adj Read]]&gt;Table1[[#This Row],[Low Tol]],"Pass","Fail")))</f>
        <v>Pass</v>
      </c>
      <c r="AE1814" s="1" t="str">
        <f>IF(AND(Table1[[#This Row],[Spec Type2]]="N/A",Table1[[#This Row],[DUT Adj Read]]="N/A",Table1[[#This Row],[Std Adj Read]]="N/A"),"N/A",IF(Table1[[#This Row],[DUT Adj Read]]="N/A",IF(Table1[[#This Row],[Std Adj Read]]&lt;Table1[[#This Row],[High Tol]],"Pass","Fail"),IF(Table1[[#This Row],[DUT Adj Read]]&lt;Table1[[#This Row],[High Tol]],"Pass","Fail")))</f>
        <v>Fail</v>
      </c>
      <c r="AF1814" s="1" t="str">
        <f>IF(AND(Table1[[#This Row],[Spec Type2]]="N/A",Table1[[#This Row],[DUT Adj Read]]="N/A",Table1[[#This Row],[Std Adj Read]]="N/A"),"N/A",IF(Table1[[#This Row],[DUT Adj Read]]="N/A",IF(Table1[[#This Row],[Std Adj Read]]&gt;=Table1[[#This Row],[Low Tol]],"Pass","Fail"),IF(Table1[[#This Row],[DUT Adj Read]]&gt;=Table1[[#This Row],[Low Tol]],"Pass","Fail")))</f>
        <v>Pass</v>
      </c>
      <c r="AG1814" s="1" t="str">
        <f>IF(AND(Table1[[#This Row],[Spec Type2]]="N/A",Table1[[#This Row],[DUT Adj Read]]="N/A",Table1[[#This Row],[Std Adj Read]]="N/A"),"N/A",IF(Table1[[#This Row],[DUT Adj Read]]="N/A",IF(Table1[[#This Row],[Std Adj Read]]&lt;=Table1[[#This Row],[High Tol]],"Pass","Fail"),IF(Table1[[#This Row],[DUT Adj Read]]&lt;=Table1[[#This Row],[High Tol]],"Pass","Fail")))</f>
        <v>Fail</v>
      </c>
      <c r="AH18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4" s="1" t="b">
        <v>0</v>
      </c>
      <c r="AN1814" s="1" t="b">
        <v>0</v>
      </c>
      <c r="AO1814" s="1" t="b">
        <v>0</v>
      </c>
    </row>
    <row r="1815" spans="1:41" x14ac:dyDescent="0.25">
      <c r="A1815" s="10"/>
      <c r="B1815" s="10"/>
      <c r="C1815" s="10"/>
      <c r="D1815" s="10"/>
      <c r="E1815" s="10"/>
      <c r="F1815" s="10"/>
      <c r="G1815" s="10"/>
      <c r="H1815" s="10"/>
      <c r="I1815" s="1" t="str">
        <f t="shared" si="84"/>
        <v/>
      </c>
      <c r="J1815" s="1" t="s">
        <v>35</v>
      </c>
      <c r="K1815" s="1" t="str">
        <f t="shared" si="85"/>
        <v/>
      </c>
      <c r="L1815" s="1" t="str">
        <f t="shared" si="86"/>
        <v/>
      </c>
      <c r="M1815" s="1">
        <f>IF(OR(Table1[[#This Row],[Std Nom]]="",Table1[[#This Row],[Std Read]]=""),0,Table1[[#This Row],[Std Nom]]-Table1[[#This Row],[Std Read]])</f>
        <v>0</v>
      </c>
      <c r="N1815" s="1">
        <f>IF(Calculations!$F$5="ACCREDITED 17025 WITH UNCERTAINTIES",$N$10,0)</f>
        <v>0</v>
      </c>
      <c r="Q1815" s="1">
        <f>Table1[[#This Row],[High Tol]]-Table1[[#This Row],[Low Tol]]</f>
        <v>0</v>
      </c>
      <c r="R1815" s="1">
        <f>2*Table1[[#This Row],[Std Error]]</f>
        <v>0</v>
      </c>
      <c r="S1815" s="1" t="str">
        <f>IF(Table1[[#This Row],[High Tol]]="","N/A",IFERROR(ABS(Table1[[#This Row],[Tol Span]]/Table1[[#This Row],[Error Span]]),"N/A"))</f>
        <v>N/A</v>
      </c>
      <c r="T1815" s="1" t="str">
        <f>IF(OR(Table1[[#This Row],[Low Tol]]="",Table1[[#This Row],[High Tol]]=""),"Needs Analysis",IF(Table1[[#This Row],[Ratio]]&gt;=4,"Not Significant",IF(Table1[[#This Row],[Ratio]]&gt;=2,"Semi-Significant","Significant")))</f>
        <v>Needs Analysis</v>
      </c>
      <c r="W1815" s="1">
        <f>IF(Table1[[#This Row],[Cal Type]]&lt;&gt;"ACCREDITED 17025 WITH UNCERTAINTIES",0,"")</f>
        <v>0</v>
      </c>
      <c r="X1815" s="1" t="str">
        <f>IF(Table1[[#This Row],[DUT Read]]="","N/A",Table1[[#This Row],[Std Error]]+Table1[[#This Row],[DUT Read]]+Table1[[#This Row],[DUT Ucty]])</f>
        <v>N/A</v>
      </c>
      <c r="Y1815" s="1" t="str">
        <f>IF(Table1[[#This Row],[Std Read]]="","N/A",Table1[[#This Row],[Std Read]]+Table1[[#This Row],[Std Ucty]])</f>
        <v>N/A</v>
      </c>
      <c r="Z18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5" s="1" t="str">
        <f>IF(Table1[[#This Row],[Spec Type]]="","N/A",Table1[[#This Row],[Spec Type]])</f>
        <v>±</v>
      </c>
      <c r="AC1815" s="1" t="str">
        <f>IF(Table1[[#This Row],[Spec Type2]]="N/A","N/A",IF(AND(Table1[[#This Row],[DUT Adj Read]]&gt;=Table1[[#This Row],[Low Tol]],Table1[[#This Row],[DUT Adj Read]]&lt;=Table1[[#This Row],[High Tol]]),"Pass","Fail"))</f>
        <v>Fail</v>
      </c>
      <c r="AD1815" s="1" t="str">
        <f>IF(AND(Table1[[#This Row],[Spec Type2]]="N/A",Table1[[#This Row],[DUT Adj Read]]="N/A",Table1[[#This Row],[Std Adj Read]]="N/A"),"N/A",IF(Table1[[#This Row],[DUT Adj Read]]="N/A",IF(Table1[[#This Row],[Std Adj Read]]&gt;Table1[[#This Row],[Low Tol]],"Pass","Fail"),IF(Table1[[#This Row],[DUT Adj Read]]&gt;Table1[[#This Row],[Low Tol]],"Pass","Fail")))</f>
        <v>Pass</v>
      </c>
      <c r="AE1815" s="1" t="str">
        <f>IF(AND(Table1[[#This Row],[Spec Type2]]="N/A",Table1[[#This Row],[DUT Adj Read]]="N/A",Table1[[#This Row],[Std Adj Read]]="N/A"),"N/A",IF(Table1[[#This Row],[DUT Adj Read]]="N/A",IF(Table1[[#This Row],[Std Adj Read]]&lt;Table1[[#This Row],[High Tol]],"Pass","Fail"),IF(Table1[[#This Row],[DUT Adj Read]]&lt;Table1[[#This Row],[High Tol]],"Pass","Fail")))</f>
        <v>Fail</v>
      </c>
      <c r="AF1815" s="1" t="str">
        <f>IF(AND(Table1[[#This Row],[Spec Type2]]="N/A",Table1[[#This Row],[DUT Adj Read]]="N/A",Table1[[#This Row],[Std Adj Read]]="N/A"),"N/A",IF(Table1[[#This Row],[DUT Adj Read]]="N/A",IF(Table1[[#This Row],[Std Adj Read]]&gt;=Table1[[#This Row],[Low Tol]],"Pass","Fail"),IF(Table1[[#This Row],[DUT Adj Read]]&gt;=Table1[[#This Row],[Low Tol]],"Pass","Fail")))</f>
        <v>Pass</v>
      </c>
      <c r="AG1815" s="1" t="str">
        <f>IF(AND(Table1[[#This Row],[Spec Type2]]="N/A",Table1[[#This Row],[DUT Adj Read]]="N/A",Table1[[#This Row],[Std Adj Read]]="N/A"),"N/A",IF(Table1[[#This Row],[DUT Adj Read]]="N/A",IF(Table1[[#This Row],[Std Adj Read]]&lt;=Table1[[#This Row],[High Tol]],"Pass","Fail"),IF(Table1[[#This Row],[DUT Adj Read]]&lt;=Table1[[#This Row],[High Tol]],"Pass","Fail")))</f>
        <v>Fail</v>
      </c>
      <c r="AH18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5" s="1" t="b">
        <v>0</v>
      </c>
      <c r="AN1815" s="1" t="b">
        <v>0</v>
      </c>
      <c r="AO1815" s="1" t="b">
        <v>0</v>
      </c>
    </row>
    <row r="1816" spans="1:41" x14ac:dyDescent="0.25">
      <c r="A1816" s="10"/>
      <c r="B1816" s="10"/>
      <c r="C1816" s="10"/>
      <c r="D1816" s="10"/>
      <c r="E1816" s="10"/>
      <c r="F1816" s="10"/>
      <c r="G1816" s="10"/>
      <c r="H1816" s="10"/>
      <c r="I1816" s="1" t="str">
        <f t="shared" si="84"/>
        <v/>
      </c>
      <c r="J1816" s="1" t="s">
        <v>35</v>
      </c>
      <c r="K1816" s="1" t="str">
        <f t="shared" si="85"/>
        <v/>
      </c>
      <c r="L1816" s="1" t="str">
        <f t="shared" si="86"/>
        <v/>
      </c>
      <c r="M1816" s="1">
        <f>IF(OR(Table1[[#This Row],[Std Nom]]="",Table1[[#This Row],[Std Read]]=""),0,Table1[[#This Row],[Std Nom]]-Table1[[#This Row],[Std Read]])</f>
        <v>0</v>
      </c>
      <c r="N1816" s="1">
        <f>IF(Calculations!$F$5="ACCREDITED 17025 WITH UNCERTAINTIES",$N$10,0)</f>
        <v>0</v>
      </c>
      <c r="Q1816" s="1">
        <f>Table1[[#This Row],[High Tol]]-Table1[[#This Row],[Low Tol]]</f>
        <v>0</v>
      </c>
      <c r="R1816" s="1">
        <f>2*Table1[[#This Row],[Std Error]]</f>
        <v>0</v>
      </c>
      <c r="S1816" s="1" t="str">
        <f>IF(Table1[[#This Row],[High Tol]]="","N/A",IFERROR(ABS(Table1[[#This Row],[Tol Span]]/Table1[[#This Row],[Error Span]]),"N/A"))</f>
        <v>N/A</v>
      </c>
      <c r="T1816" s="1" t="str">
        <f>IF(OR(Table1[[#This Row],[Low Tol]]="",Table1[[#This Row],[High Tol]]=""),"Needs Analysis",IF(Table1[[#This Row],[Ratio]]&gt;=4,"Not Significant",IF(Table1[[#This Row],[Ratio]]&gt;=2,"Semi-Significant","Significant")))</f>
        <v>Needs Analysis</v>
      </c>
      <c r="W1816" s="1">
        <f>IF(Table1[[#This Row],[Cal Type]]&lt;&gt;"ACCREDITED 17025 WITH UNCERTAINTIES",0,"")</f>
        <v>0</v>
      </c>
      <c r="X1816" s="1" t="str">
        <f>IF(Table1[[#This Row],[DUT Read]]="","N/A",Table1[[#This Row],[Std Error]]+Table1[[#This Row],[DUT Read]]+Table1[[#This Row],[DUT Ucty]])</f>
        <v>N/A</v>
      </c>
      <c r="Y1816" s="1" t="str">
        <f>IF(Table1[[#This Row],[Std Read]]="","N/A",Table1[[#This Row],[Std Read]]+Table1[[#This Row],[Std Ucty]])</f>
        <v>N/A</v>
      </c>
      <c r="Z18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6" s="1" t="str">
        <f>IF(Table1[[#This Row],[Spec Type]]="","N/A",Table1[[#This Row],[Spec Type]])</f>
        <v>±</v>
      </c>
      <c r="AC1816" s="1" t="str">
        <f>IF(Table1[[#This Row],[Spec Type2]]="N/A","N/A",IF(AND(Table1[[#This Row],[DUT Adj Read]]&gt;=Table1[[#This Row],[Low Tol]],Table1[[#This Row],[DUT Adj Read]]&lt;=Table1[[#This Row],[High Tol]]),"Pass","Fail"))</f>
        <v>Fail</v>
      </c>
      <c r="AD1816" s="1" t="str">
        <f>IF(AND(Table1[[#This Row],[Spec Type2]]="N/A",Table1[[#This Row],[DUT Adj Read]]="N/A",Table1[[#This Row],[Std Adj Read]]="N/A"),"N/A",IF(Table1[[#This Row],[DUT Adj Read]]="N/A",IF(Table1[[#This Row],[Std Adj Read]]&gt;Table1[[#This Row],[Low Tol]],"Pass","Fail"),IF(Table1[[#This Row],[DUT Adj Read]]&gt;Table1[[#This Row],[Low Tol]],"Pass","Fail")))</f>
        <v>Pass</v>
      </c>
      <c r="AE1816" s="1" t="str">
        <f>IF(AND(Table1[[#This Row],[Spec Type2]]="N/A",Table1[[#This Row],[DUT Adj Read]]="N/A",Table1[[#This Row],[Std Adj Read]]="N/A"),"N/A",IF(Table1[[#This Row],[DUT Adj Read]]="N/A",IF(Table1[[#This Row],[Std Adj Read]]&lt;Table1[[#This Row],[High Tol]],"Pass","Fail"),IF(Table1[[#This Row],[DUT Adj Read]]&lt;Table1[[#This Row],[High Tol]],"Pass","Fail")))</f>
        <v>Fail</v>
      </c>
      <c r="AF1816" s="1" t="str">
        <f>IF(AND(Table1[[#This Row],[Spec Type2]]="N/A",Table1[[#This Row],[DUT Adj Read]]="N/A",Table1[[#This Row],[Std Adj Read]]="N/A"),"N/A",IF(Table1[[#This Row],[DUT Adj Read]]="N/A",IF(Table1[[#This Row],[Std Adj Read]]&gt;=Table1[[#This Row],[Low Tol]],"Pass","Fail"),IF(Table1[[#This Row],[DUT Adj Read]]&gt;=Table1[[#This Row],[Low Tol]],"Pass","Fail")))</f>
        <v>Pass</v>
      </c>
      <c r="AG1816" s="1" t="str">
        <f>IF(AND(Table1[[#This Row],[Spec Type2]]="N/A",Table1[[#This Row],[DUT Adj Read]]="N/A",Table1[[#This Row],[Std Adj Read]]="N/A"),"N/A",IF(Table1[[#This Row],[DUT Adj Read]]="N/A",IF(Table1[[#This Row],[Std Adj Read]]&lt;=Table1[[#This Row],[High Tol]],"Pass","Fail"),IF(Table1[[#This Row],[DUT Adj Read]]&lt;=Table1[[#This Row],[High Tol]],"Pass","Fail")))</f>
        <v>Fail</v>
      </c>
      <c r="AH18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6" s="1" t="b">
        <v>0</v>
      </c>
      <c r="AN1816" s="1" t="b">
        <v>0</v>
      </c>
      <c r="AO1816" s="1" t="b">
        <v>0</v>
      </c>
    </row>
    <row r="1817" spans="1:41" x14ac:dyDescent="0.25">
      <c r="A1817" s="10"/>
      <c r="B1817" s="10"/>
      <c r="C1817" s="10"/>
      <c r="D1817" s="10"/>
      <c r="E1817" s="10"/>
      <c r="F1817" s="10"/>
      <c r="G1817" s="10"/>
      <c r="H1817" s="10"/>
      <c r="I1817" s="1" t="str">
        <f t="shared" si="84"/>
        <v/>
      </c>
      <c r="J1817" s="1" t="s">
        <v>35</v>
      </c>
      <c r="K1817" s="1" t="str">
        <f t="shared" si="85"/>
        <v/>
      </c>
      <c r="L1817" s="1" t="str">
        <f t="shared" si="86"/>
        <v/>
      </c>
      <c r="M1817" s="1">
        <f>IF(OR(Table1[[#This Row],[Std Nom]]="",Table1[[#This Row],[Std Read]]=""),0,Table1[[#This Row],[Std Nom]]-Table1[[#This Row],[Std Read]])</f>
        <v>0</v>
      </c>
      <c r="N1817" s="1">
        <f>IF(Calculations!$F$5="ACCREDITED 17025 WITH UNCERTAINTIES",$N$10,0)</f>
        <v>0</v>
      </c>
      <c r="Q1817" s="1">
        <f>Table1[[#This Row],[High Tol]]-Table1[[#This Row],[Low Tol]]</f>
        <v>0</v>
      </c>
      <c r="R1817" s="1">
        <f>2*Table1[[#This Row],[Std Error]]</f>
        <v>0</v>
      </c>
      <c r="S1817" s="1" t="str">
        <f>IF(Table1[[#This Row],[High Tol]]="","N/A",IFERROR(ABS(Table1[[#This Row],[Tol Span]]/Table1[[#This Row],[Error Span]]),"N/A"))</f>
        <v>N/A</v>
      </c>
      <c r="T1817" s="1" t="str">
        <f>IF(OR(Table1[[#This Row],[Low Tol]]="",Table1[[#This Row],[High Tol]]=""),"Needs Analysis",IF(Table1[[#This Row],[Ratio]]&gt;=4,"Not Significant",IF(Table1[[#This Row],[Ratio]]&gt;=2,"Semi-Significant","Significant")))</f>
        <v>Needs Analysis</v>
      </c>
      <c r="W1817" s="1">
        <f>IF(Table1[[#This Row],[Cal Type]]&lt;&gt;"ACCREDITED 17025 WITH UNCERTAINTIES",0,"")</f>
        <v>0</v>
      </c>
      <c r="X1817" s="1" t="str">
        <f>IF(Table1[[#This Row],[DUT Read]]="","N/A",Table1[[#This Row],[Std Error]]+Table1[[#This Row],[DUT Read]]+Table1[[#This Row],[DUT Ucty]])</f>
        <v>N/A</v>
      </c>
      <c r="Y1817" s="1" t="str">
        <f>IF(Table1[[#This Row],[Std Read]]="","N/A",Table1[[#This Row],[Std Read]]+Table1[[#This Row],[Std Ucty]])</f>
        <v>N/A</v>
      </c>
      <c r="Z18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7" s="1" t="str">
        <f>IF(Table1[[#This Row],[Spec Type]]="","N/A",Table1[[#This Row],[Spec Type]])</f>
        <v>±</v>
      </c>
      <c r="AC1817" s="1" t="str">
        <f>IF(Table1[[#This Row],[Spec Type2]]="N/A","N/A",IF(AND(Table1[[#This Row],[DUT Adj Read]]&gt;=Table1[[#This Row],[Low Tol]],Table1[[#This Row],[DUT Adj Read]]&lt;=Table1[[#This Row],[High Tol]]),"Pass","Fail"))</f>
        <v>Fail</v>
      </c>
      <c r="AD1817" s="1" t="str">
        <f>IF(AND(Table1[[#This Row],[Spec Type2]]="N/A",Table1[[#This Row],[DUT Adj Read]]="N/A",Table1[[#This Row],[Std Adj Read]]="N/A"),"N/A",IF(Table1[[#This Row],[DUT Adj Read]]="N/A",IF(Table1[[#This Row],[Std Adj Read]]&gt;Table1[[#This Row],[Low Tol]],"Pass","Fail"),IF(Table1[[#This Row],[DUT Adj Read]]&gt;Table1[[#This Row],[Low Tol]],"Pass","Fail")))</f>
        <v>Pass</v>
      </c>
      <c r="AE1817" s="1" t="str">
        <f>IF(AND(Table1[[#This Row],[Spec Type2]]="N/A",Table1[[#This Row],[DUT Adj Read]]="N/A",Table1[[#This Row],[Std Adj Read]]="N/A"),"N/A",IF(Table1[[#This Row],[DUT Adj Read]]="N/A",IF(Table1[[#This Row],[Std Adj Read]]&lt;Table1[[#This Row],[High Tol]],"Pass","Fail"),IF(Table1[[#This Row],[DUT Adj Read]]&lt;Table1[[#This Row],[High Tol]],"Pass","Fail")))</f>
        <v>Fail</v>
      </c>
      <c r="AF1817" s="1" t="str">
        <f>IF(AND(Table1[[#This Row],[Spec Type2]]="N/A",Table1[[#This Row],[DUT Adj Read]]="N/A",Table1[[#This Row],[Std Adj Read]]="N/A"),"N/A",IF(Table1[[#This Row],[DUT Adj Read]]="N/A",IF(Table1[[#This Row],[Std Adj Read]]&gt;=Table1[[#This Row],[Low Tol]],"Pass","Fail"),IF(Table1[[#This Row],[DUT Adj Read]]&gt;=Table1[[#This Row],[Low Tol]],"Pass","Fail")))</f>
        <v>Pass</v>
      </c>
      <c r="AG1817" s="1" t="str">
        <f>IF(AND(Table1[[#This Row],[Spec Type2]]="N/A",Table1[[#This Row],[DUT Adj Read]]="N/A",Table1[[#This Row],[Std Adj Read]]="N/A"),"N/A",IF(Table1[[#This Row],[DUT Adj Read]]="N/A",IF(Table1[[#This Row],[Std Adj Read]]&lt;=Table1[[#This Row],[High Tol]],"Pass","Fail"),IF(Table1[[#This Row],[DUT Adj Read]]&lt;=Table1[[#This Row],[High Tol]],"Pass","Fail")))</f>
        <v>Fail</v>
      </c>
      <c r="AH18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7" s="1" t="b">
        <v>0</v>
      </c>
      <c r="AN1817" s="1" t="b">
        <v>0</v>
      </c>
      <c r="AO1817" s="1" t="b">
        <v>0</v>
      </c>
    </row>
    <row r="1818" spans="1:41" x14ac:dyDescent="0.25">
      <c r="A1818" s="10"/>
      <c r="B1818" s="10"/>
      <c r="C1818" s="10"/>
      <c r="D1818" s="10"/>
      <c r="E1818" s="10"/>
      <c r="F1818" s="10"/>
      <c r="G1818" s="10"/>
      <c r="H1818" s="10"/>
      <c r="I1818" s="1" t="str">
        <f t="shared" si="84"/>
        <v/>
      </c>
      <c r="J1818" s="1" t="s">
        <v>35</v>
      </c>
      <c r="K1818" s="1" t="str">
        <f t="shared" si="85"/>
        <v/>
      </c>
      <c r="L1818" s="1" t="str">
        <f t="shared" si="86"/>
        <v/>
      </c>
      <c r="M1818" s="1">
        <f>IF(OR(Table1[[#This Row],[Std Nom]]="",Table1[[#This Row],[Std Read]]=""),0,Table1[[#This Row],[Std Nom]]-Table1[[#This Row],[Std Read]])</f>
        <v>0</v>
      </c>
      <c r="N1818" s="1">
        <f>IF(Calculations!$F$5="ACCREDITED 17025 WITH UNCERTAINTIES",$N$10,0)</f>
        <v>0</v>
      </c>
      <c r="Q1818" s="1">
        <f>Table1[[#This Row],[High Tol]]-Table1[[#This Row],[Low Tol]]</f>
        <v>0</v>
      </c>
      <c r="R1818" s="1">
        <f>2*Table1[[#This Row],[Std Error]]</f>
        <v>0</v>
      </c>
      <c r="S1818" s="1" t="str">
        <f>IF(Table1[[#This Row],[High Tol]]="","N/A",IFERROR(ABS(Table1[[#This Row],[Tol Span]]/Table1[[#This Row],[Error Span]]),"N/A"))</f>
        <v>N/A</v>
      </c>
      <c r="T1818" s="1" t="str">
        <f>IF(OR(Table1[[#This Row],[Low Tol]]="",Table1[[#This Row],[High Tol]]=""),"Needs Analysis",IF(Table1[[#This Row],[Ratio]]&gt;=4,"Not Significant",IF(Table1[[#This Row],[Ratio]]&gt;=2,"Semi-Significant","Significant")))</f>
        <v>Needs Analysis</v>
      </c>
      <c r="W1818" s="1">
        <f>IF(Table1[[#This Row],[Cal Type]]&lt;&gt;"ACCREDITED 17025 WITH UNCERTAINTIES",0,"")</f>
        <v>0</v>
      </c>
      <c r="X1818" s="1" t="str">
        <f>IF(Table1[[#This Row],[DUT Read]]="","N/A",Table1[[#This Row],[Std Error]]+Table1[[#This Row],[DUT Read]]+Table1[[#This Row],[DUT Ucty]])</f>
        <v>N/A</v>
      </c>
      <c r="Y1818" s="1" t="str">
        <f>IF(Table1[[#This Row],[Std Read]]="","N/A",Table1[[#This Row],[Std Read]]+Table1[[#This Row],[Std Ucty]])</f>
        <v>N/A</v>
      </c>
      <c r="Z18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8" s="1" t="str">
        <f>IF(Table1[[#This Row],[Spec Type]]="","N/A",Table1[[#This Row],[Spec Type]])</f>
        <v>±</v>
      </c>
      <c r="AC1818" s="1" t="str">
        <f>IF(Table1[[#This Row],[Spec Type2]]="N/A","N/A",IF(AND(Table1[[#This Row],[DUT Adj Read]]&gt;=Table1[[#This Row],[Low Tol]],Table1[[#This Row],[DUT Adj Read]]&lt;=Table1[[#This Row],[High Tol]]),"Pass","Fail"))</f>
        <v>Fail</v>
      </c>
      <c r="AD1818" s="1" t="str">
        <f>IF(AND(Table1[[#This Row],[Spec Type2]]="N/A",Table1[[#This Row],[DUT Adj Read]]="N/A",Table1[[#This Row],[Std Adj Read]]="N/A"),"N/A",IF(Table1[[#This Row],[DUT Adj Read]]="N/A",IF(Table1[[#This Row],[Std Adj Read]]&gt;Table1[[#This Row],[Low Tol]],"Pass","Fail"),IF(Table1[[#This Row],[DUT Adj Read]]&gt;Table1[[#This Row],[Low Tol]],"Pass","Fail")))</f>
        <v>Pass</v>
      </c>
      <c r="AE1818" s="1" t="str">
        <f>IF(AND(Table1[[#This Row],[Spec Type2]]="N/A",Table1[[#This Row],[DUT Adj Read]]="N/A",Table1[[#This Row],[Std Adj Read]]="N/A"),"N/A",IF(Table1[[#This Row],[DUT Adj Read]]="N/A",IF(Table1[[#This Row],[Std Adj Read]]&lt;Table1[[#This Row],[High Tol]],"Pass","Fail"),IF(Table1[[#This Row],[DUT Adj Read]]&lt;Table1[[#This Row],[High Tol]],"Pass","Fail")))</f>
        <v>Fail</v>
      </c>
      <c r="AF1818" s="1" t="str">
        <f>IF(AND(Table1[[#This Row],[Spec Type2]]="N/A",Table1[[#This Row],[DUT Adj Read]]="N/A",Table1[[#This Row],[Std Adj Read]]="N/A"),"N/A",IF(Table1[[#This Row],[DUT Adj Read]]="N/A",IF(Table1[[#This Row],[Std Adj Read]]&gt;=Table1[[#This Row],[Low Tol]],"Pass","Fail"),IF(Table1[[#This Row],[DUT Adj Read]]&gt;=Table1[[#This Row],[Low Tol]],"Pass","Fail")))</f>
        <v>Pass</v>
      </c>
      <c r="AG1818" s="1" t="str">
        <f>IF(AND(Table1[[#This Row],[Spec Type2]]="N/A",Table1[[#This Row],[DUT Adj Read]]="N/A",Table1[[#This Row],[Std Adj Read]]="N/A"),"N/A",IF(Table1[[#This Row],[DUT Adj Read]]="N/A",IF(Table1[[#This Row],[Std Adj Read]]&lt;=Table1[[#This Row],[High Tol]],"Pass","Fail"),IF(Table1[[#This Row],[DUT Adj Read]]&lt;=Table1[[#This Row],[High Tol]],"Pass","Fail")))</f>
        <v>Fail</v>
      </c>
      <c r="AH18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8" s="1" t="b">
        <v>0</v>
      </c>
      <c r="AN1818" s="1" t="b">
        <v>0</v>
      </c>
      <c r="AO1818" s="1" t="b">
        <v>0</v>
      </c>
    </row>
    <row r="1819" spans="1:41" x14ac:dyDescent="0.25">
      <c r="A1819" s="10"/>
      <c r="B1819" s="10"/>
      <c r="C1819" s="10"/>
      <c r="D1819" s="10"/>
      <c r="E1819" s="10"/>
      <c r="F1819" s="10"/>
      <c r="G1819" s="10"/>
      <c r="H1819" s="10"/>
      <c r="I1819" s="1" t="str">
        <f t="shared" si="84"/>
        <v/>
      </c>
      <c r="J1819" s="1" t="s">
        <v>35</v>
      </c>
      <c r="K1819" s="1" t="str">
        <f t="shared" si="85"/>
        <v/>
      </c>
      <c r="L1819" s="1" t="str">
        <f t="shared" si="86"/>
        <v/>
      </c>
      <c r="M1819" s="1">
        <f>IF(OR(Table1[[#This Row],[Std Nom]]="",Table1[[#This Row],[Std Read]]=""),0,Table1[[#This Row],[Std Nom]]-Table1[[#This Row],[Std Read]])</f>
        <v>0</v>
      </c>
      <c r="N1819" s="1">
        <f>IF(Calculations!$F$5="ACCREDITED 17025 WITH UNCERTAINTIES",$N$10,0)</f>
        <v>0</v>
      </c>
      <c r="Q1819" s="1">
        <f>Table1[[#This Row],[High Tol]]-Table1[[#This Row],[Low Tol]]</f>
        <v>0</v>
      </c>
      <c r="R1819" s="1">
        <f>2*Table1[[#This Row],[Std Error]]</f>
        <v>0</v>
      </c>
      <c r="S1819" s="1" t="str">
        <f>IF(Table1[[#This Row],[High Tol]]="","N/A",IFERROR(ABS(Table1[[#This Row],[Tol Span]]/Table1[[#This Row],[Error Span]]),"N/A"))</f>
        <v>N/A</v>
      </c>
      <c r="T1819" s="1" t="str">
        <f>IF(OR(Table1[[#This Row],[Low Tol]]="",Table1[[#This Row],[High Tol]]=""),"Needs Analysis",IF(Table1[[#This Row],[Ratio]]&gt;=4,"Not Significant",IF(Table1[[#This Row],[Ratio]]&gt;=2,"Semi-Significant","Significant")))</f>
        <v>Needs Analysis</v>
      </c>
      <c r="W1819" s="1">
        <f>IF(Table1[[#This Row],[Cal Type]]&lt;&gt;"ACCREDITED 17025 WITH UNCERTAINTIES",0,"")</f>
        <v>0</v>
      </c>
      <c r="X1819" s="1" t="str">
        <f>IF(Table1[[#This Row],[DUT Read]]="","N/A",Table1[[#This Row],[Std Error]]+Table1[[#This Row],[DUT Read]]+Table1[[#This Row],[DUT Ucty]])</f>
        <v>N/A</v>
      </c>
      <c r="Y1819" s="1" t="str">
        <f>IF(Table1[[#This Row],[Std Read]]="","N/A",Table1[[#This Row],[Std Read]]+Table1[[#This Row],[Std Ucty]])</f>
        <v>N/A</v>
      </c>
      <c r="Z18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19" s="1" t="str">
        <f>IF(Table1[[#This Row],[Spec Type]]="","N/A",Table1[[#This Row],[Spec Type]])</f>
        <v>±</v>
      </c>
      <c r="AC1819" s="1" t="str">
        <f>IF(Table1[[#This Row],[Spec Type2]]="N/A","N/A",IF(AND(Table1[[#This Row],[DUT Adj Read]]&gt;=Table1[[#This Row],[Low Tol]],Table1[[#This Row],[DUT Adj Read]]&lt;=Table1[[#This Row],[High Tol]]),"Pass","Fail"))</f>
        <v>Fail</v>
      </c>
      <c r="AD1819" s="1" t="str">
        <f>IF(AND(Table1[[#This Row],[Spec Type2]]="N/A",Table1[[#This Row],[DUT Adj Read]]="N/A",Table1[[#This Row],[Std Adj Read]]="N/A"),"N/A",IF(Table1[[#This Row],[DUT Adj Read]]="N/A",IF(Table1[[#This Row],[Std Adj Read]]&gt;Table1[[#This Row],[Low Tol]],"Pass","Fail"),IF(Table1[[#This Row],[DUT Adj Read]]&gt;Table1[[#This Row],[Low Tol]],"Pass","Fail")))</f>
        <v>Pass</v>
      </c>
      <c r="AE1819" s="1" t="str">
        <f>IF(AND(Table1[[#This Row],[Spec Type2]]="N/A",Table1[[#This Row],[DUT Adj Read]]="N/A",Table1[[#This Row],[Std Adj Read]]="N/A"),"N/A",IF(Table1[[#This Row],[DUT Adj Read]]="N/A",IF(Table1[[#This Row],[Std Adj Read]]&lt;Table1[[#This Row],[High Tol]],"Pass","Fail"),IF(Table1[[#This Row],[DUT Adj Read]]&lt;Table1[[#This Row],[High Tol]],"Pass","Fail")))</f>
        <v>Fail</v>
      </c>
      <c r="AF1819" s="1" t="str">
        <f>IF(AND(Table1[[#This Row],[Spec Type2]]="N/A",Table1[[#This Row],[DUT Adj Read]]="N/A",Table1[[#This Row],[Std Adj Read]]="N/A"),"N/A",IF(Table1[[#This Row],[DUT Adj Read]]="N/A",IF(Table1[[#This Row],[Std Adj Read]]&gt;=Table1[[#This Row],[Low Tol]],"Pass","Fail"),IF(Table1[[#This Row],[DUT Adj Read]]&gt;=Table1[[#This Row],[Low Tol]],"Pass","Fail")))</f>
        <v>Pass</v>
      </c>
      <c r="AG1819" s="1" t="str">
        <f>IF(AND(Table1[[#This Row],[Spec Type2]]="N/A",Table1[[#This Row],[DUT Adj Read]]="N/A",Table1[[#This Row],[Std Adj Read]]="N/A"),"N/A",IF(Table1[[#This Row],[DUT Adj Read]]="N/A",IF(Table1[[#This Row],[Std Adj Read]]&lt;=Table1[[#This Row],[High Tol]],"Pass","Fail"),IF(Table1[[#This Row],[DUT Adj Read]]&lt;=Table1[[#This Row],[High Tol]],"Pass","Fail")))</f>
        <v>Fail</v>
      </c>
      <c r="AH18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19" s="1" t="b">
        <v>0</v>
      </c>
      <c r="AN1819" s="1" t="b">
        <v>0</v>
      </c>
      <c r="AO1819" s="1" t="b">
        <v>0</v>
      </c>
    </row>
    <row r="1820" spans="1:41" x14ac:dyDescent="0.25">
      <c r="A1820" s="10"/>
      <c r="B1820" s="10"/>
      <c r="C1820" s="10"/>
      <c r="D1820" s="10"/>
      <c r="E1820" s="10"/>
      <c r="F1820" s="10"/>
      <c r="G1820" s="10"/>
      <c r="H1820" s="10"/>
      <c r="I1820" s="1" t="str">
        <f t="shared" si="84"/>
        <v/>
      </c>
      <c r="J1820" s="1" t="s">
        <v>35</v>
      </c>
      <c r="K1820" s="1" t="str">
        <f t="shared" si="85"/>
        <v/>
      </c>
      <c r="L1820" s="1" t="str">
        <f t="shared" si="86"/>
        <v/>
      </c>
      <c r="M1820" s="1">
        <f>IF(OR(Table1[[#This Row],[Std Nom]]="",Table1[[#This Row],[Std Read]]=""),0,Table1[[#This Row],[Std Nom]]-Table1[[#This Row],[Std Read]])</f>
        <v>0</v>
      </c>
      <c r="N1820" s="1">
        <f>IF(Calculations!$F$5="ACCREDITED 17025 WITH UNCERTAINTIES",$N$10,0)</f>
        <v>0</v>
      </c>
      <c r="Q1820" s="1">
        <f>Table1[[#This Row],[High Tol]]-Table1[[#This Row],[Low Tol]]</f>
        <v>0</v>
      </c>
      <c r="R1820" s="1">
        <f>2*Table1[[#This Row],[Std Error]]</f>
        <v>0</v>
      </c>
      <c r="S1820" s="1" t="str">
        <f>IF(Table1[[#This Row],[High Tol]]="","N/A",IFERROR(ABS(Table1[[#This Row],[Tol Span]]/Table1[[#This Row],[Error Span]]),"N/A"))</f>
        <v>N/A</v>
      </c>
      <c r="T1820" s="1" t="str">
        <f>IF(OR(Table1[[#This Row],[Low Tol]]="",Table1[[#This Row],[High Tol]]=""),"Needs Analysis",IF(Table1[[#This Row],[Ratio]]&gt;=4,"Not Significant",IF(Table1[[#This Row],[Ratio]]&gt;=2,"Semi-Significant","Significant")))</f>
        <v>Needs Analysis</v>
      </c>
      <c r="W1820" s="1">
        <f>IF(Table1[[#This Row],[Cal Type]]&lt;&gt;"ACCREDITED 17025 WITH UNCERTAINTIES",0,"")</f>
        <v>0</v>
      </c>
      <c r="X1820" s="1" t="str">
        <f>IF(Table1[[#This Row],[DUT Read]]="","N/A",Table1[[#This Row],[Std Error]]+Table1[[#This Row],[DUT Read]]+Table1[[#This Row],[DUT Ucty]])</f>
        <v>N/A</v>
      </c>
      <c r="Y1820" s="1" t="str">
        <f>IF(Table1[[#This Row],[Std Read]]="","N/A",Table1[[#This Row],[Std Read]]+Table1[[#This Row],[Std Ucty]])</f>
        <v>N/A</v>
      </c>
      <c r="Z18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0" s="1" t="str">
        <f>IF(Table1[[#This Row],[Spec Type]]="","N/A",Table1[[#This Row],[Spec Type]])</f>
        <v>±</v>
      </c>
      <c r="AC1820" s="1" t="str">
        <f>IF(Table1[[#This Row],[Spec Type2]]="N/A","N/A",IF(AND(Table1[[#This Row],[DUT Adj Read]]&gt;=Table1[[#This Row],[Low Tol]],Table1[[#This Row],[DUT Adj Read]]&lt;=Table1[[#This Row],[High Tol]]),"Pass","Fail"))</f>
        <v>Fail</v>
      </c>
      <c r="AD1820" s="1" t="str">
        <f>IF(AND(Table1[[#This Row],[Spec Type2]]="N/A",Table1[[#This Row],[DUT Adj Read]]="N/A",Table1[[#This Row],[Std Adj Read]]="N/A"),"N/A",IF(Table1[[#This Row],[DUT Adj Read]]="N/A",IF(Table1[[#This Row],[Std Adj Read]]&gt;Table1[[#This Row],[Low Tol]],"Pass","Fail"),IF(Table1[[#This Row],[DUT Adj Read]]&gt;Table1[[#This Row],[Low Tol]],"Pass","Fail")))</f>
        <v>Pass</v>
      </c>
      <c r="AE1820" s="1" t="str">
        <f>IF(AND(Table1[[#This Row],[Spec Type2]]="N/A",Table1[[#This Row],[DUT Adj Read]]="N/A",Table1[[#This Row],[Std Adj Read]]="N/A"),"N/A",IF(Table1[[#This Row],[DUT Adj Read]]="N/A",IF(Table1[[#This Row],[Std Adj Read]]&lt;Table1[[#This Row],[High Tol]],"Pass","Fail"),IF(Table1[[#This Row],[DUT Adj Read]]&lt;Table1[[#This Row],[High Tol]],"Pass","Fail")))</f>
        <v>Fail</v>
      </c>
      <c r="AF1820" s="1" t="str">
        <f>IF(AND(Table1[[#This Row],[Spec Type2]]="N/A",Table1[[#This Row],[DUT Adj Read]]="N/A",Table1[[#This Row],[Std Adj Read]]="N/A"),"N/A",IF(Table1[[#This Row],[DUT Adj Read]]="N/A",IF(Table1[[#This Row],[Std Adj Read]]&gt;=Table1[[#This Row],[Low Tol]],"Pass","Fail"),IF(Table1[[#This Row],[DUT Adj Read]]&gt;=Table1[[#This Row],[Low Tol]],"Pass","Fail")))</f>
        <v>Pass</v>
      </c>
      <c r="AG1820" s="1" t="str">
        <f>IF(AND(Table1[[#This Row],[Spec Type2]]="N/A",Table1[[#This Row],[DUT Adj Read]]="N/A",Table1[[#This Row],[Std Adj Read]]="N/A"),"N/A",IF(Table1[[#This Row],[DUT Adj Read]]="N/A",IF(Table1[[#This Row],[Std Adj Read]]&lt;=Table1[[#This Row],[High Tol]],"Pass","Fail"),IF(Table1[[#This Row],[DUT Adj Read]]&lt;=Table1[[#This Row],[High Tol]],"Pass","Fail")))</f>
        <v>Fail</v>
      </c>
      <c r="AH18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0" s="1" t="b">
        <v>0</v>
      </c>
      <c r="AN1820" s="1" t="b">
        <v>0</v>
      </c>
      <c r="AO1820" s="1" t="b">
        <v>0</v>
      </c>
    </row>
    <row r="1821" spans="1:41" x14ac:dyDescent="0.25">
      <c r="A1821" s="10"/>
      <c r="B1821" s="10"/>
      <c r="C1821" s="10"/>
      <c r="D1821" s="10"/>
      <c r="E1821" s="10"/>
      <c r="F1821" s="10"/>
      <c r="G1821" s="10"/>
      <c r="H1821" s="10"/>
      <c r="I1821" s="1" t="str">
        <f t="shared" si="84"/>
        <v/>
      </c>
      <c r="J1821" s="1" t="s">
        <v>35</v>
      </c>
      <c r="K1821" s="1" t="str">
        <f t="shared" si="85"/>
        <v/>
      </c>
      <c r="L1821" s="1" t="str">
        <f t="shared" si="86"/>
        <v/>
      </c>
      <c r="M1821" s="1">
        <f>IF(OR(Table1[[#This Row],[Std Nom]]="",Table1[[#This Row],[Std Read]]=""),0,Table1[[#This Row],[Std Nom]]-Table1[[#This Row],[Std Read]])</f>
        <v>0</v>
      </c>
      <c r="N1821" s="1">
        <f>IF(Calculations!$F$5="ACCREDITED 17025 WITH UNCERTAINTIES",$N$10,0)</f>
        <v>0</v>
      </c>
      <c r="Q1821" s="1">
        <f>Table1[[#This Row],[High Tol]]-Table1[[#This Row],[Low Tol]]</f>
        <v>0</v>
      </c>
      <c r="R1821" s="1">
        <f>2*Table1[[#This Row],[Std Error]]</f>
        <v>0</v>
      </c>
      <c r="S1821" s="1" t="str">
        <f>IF(Table1[[#This Row],[High Tol]]="","N/A",IFERROR(ABS(Table1[[#This Row],[Tol Span]]/Table1[[#This Row],[Error Span]]),"N/A"))</f>
        <v>N/A</v>
      </c>
      <c r="T1821" s="1" t="str">
        <f>IF(OR(Table1[[#This Row],[Low Tol]]="",Table1[[#This Row],[High Tol]]=""),"Needs Analysis",IF(Table1[[#This Row],[Ratio]]&gt;=4,"Not Significant",IF(Table1[[#This Row],[Ratio]]&gt;=2,"Semi-Significant","Significant")))</f>
        <v>Needs Analysis</v>
      </c>
      <c r="W1821" s="1">
        <f>IF(Table1[[#This Row],[Cal Type]]&lt;&gt;"ACCREDITED 17025 WITH UNCERTAINTIES",0,"")</f>
        <v>0</v>
      </c>
      <c r="X1821" s="1" t="str">
        <f>IF(Table1[[#This Row],[DUT Read]]="","N/A",Table1[[#This Row],[Std Error]]+Table1[[#This Row],[DUT Read]]+Table1[[#This Row],[DUT Ucty]])</f>
        <v>N/A</v>
      </c>
      <c r="Y1821" s="1" t="str">
        <f>IF(Table1[[#This Row],[Std Read]]="","N/A",Table1[[#This Row],[Std Read]]+Table1[[#This Row],[Std Ucty]])</f>
        <v>N/A</v>
      </c>
      <c r="Z18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1" s="1" t="str">
        <f>IF(Table1[[#This Row],[Spec Type]]="","N/A",Table1[[#This Row],[Spec Type]])</f>
        <v>±</v>
      </c>
      <c r="AC1821" s="1" t="str">
        <f>IF(Table1[[#This Row],[Spec Type2]]="N/A","N/A",IF(AND(Table1[[#This Row],[DUT Adj Read]]&gt;=Table1[[#This Row],[Low Tol]],Table1[[#This Row],[DUT Adj Read]]&lt;=Table1[[#This Row],[High Tol]]),"Pass","Fail"))</f>
        <v>Fail</v>
      </c>
      <c r="AD1821" s="1" t="str">
        <f>IF(AND(Table1[[#This Row],[Spec Type2]]="N/A",Table1[[#This Row],[DUT Adj Read]]="N/A",Table1[[#This Row],[Std Adj Read]]="N/A"),"N/A",IF(Table1[[#This Row],[DUT Adj Read]]="N/A",IF(Table1[[#This Row],[Std Adj Read]]&gt;Table1[[#This Row],[Low Tol]],"Pass","Fail"),IF(Table1[[#This Row],[DUT Adj Read]]&gt;Table1[[#This Row],[Low Tol]],"Pass","Fail")))</f>
        <v>Pass</v>
      </c>
      <c r="AE1821" s="1" t="str">
        <f>IF(AND(Table1[[#This Row],[Spec Type2]]="N/A",Table1[[#This Row],[DUT Adj Read]]="N/A",Table1[[#This Row],[Std Adj Read]]="N/A"),"N/A",IF(Table1[[#This Row],[DUT Adj Read]]="N/A",IF(Table1[[#This Row],[Std Adj Read]]&lt;Table1[[#This Row],[High Tol]],"Pass","Fail"),IF(Table1[[#This Row],[DUT Adj Read]]&lt;Table1[[#This Row],[High Tol]],"Pass","Fail")))</f>
        <v>Fail</v>
      </c>
      <c r="AF1821" s="1" t="str">
        <f>IF(AND(Table1[[#This Row],[Spec Type2]]="N/A",Table1[[#This Row],[DUT Adj Read]]="N/A",Table1[[#This Row],[Std Adj Read]]="N/A"),"N/A",IF(Table1[[#This Row],[DUT Adj Read]]="N/A",IF(Table1[[#This Row],[Std Adj Read]]&gt;=Table1[[#This Row],[Low Tol]],"Pass","Fail"),IF(Table1[[#This Row],[DUT Adj Read]]&gt;=Table1[[#This Row],[Low Tol]],"Pass","Fail")))</f>
        <v>Pass</v>
      </c>
      <c r="AG1821" s="1" t="str">
        <f>IF(AND(Table1[[#This Row],[Spec Type2]]="N/A",Table1[[#This Row],[DUT Adj Read]]="N/A",Table1[[#This Row],[Std Adj Read]]="N/A"),"N/A",IF(Table1[[#This Row],[DUT Adj Read]]="N/A",IF(Table1[[#This Row],[Std Adj Read]]&lt;=Table1[[#This Row],[High Tol]],"Pass","Fail"),IF(Table1[[#This Row],[DUT Adj Read]]&lt;=Table1[[#This Row],[High Tol]],"Pass","Fail")))</f>
        <v>Fail</v>
      </c>
      <c r="AH18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1" s="1" t="b">
        <v>0</v>
      </c>
      <c r="AN1821" s="1" t="b">
        <v>0</v>
      </c>
      <c r="AO1821" s="1" t="b">
        <v>0</v>
      </c>
    </row>
    <row r="1822" spans="1:41" x14ac:dyDescent="0.25">
      <c r="A1822" s="10"/>
      <c r="B1822" s="10"/>
      <c r="C1822" s="10"/>
      <c r="D1822" s="10"/>
      <c r="E1822" s="10"/>
      <c r="F1822" s="10"/>
      <c r="G1822" s="10"/>
      <c r="H1822" s="10"/>
      <c r="I1822" s="1" t="str">
        <f t="shared" si="84"/>
        <v/>
      </c>
      <c r="J1822" s="1" t="s">
        <v>35</v>
      </c>
      <c r="K1822" s="1" t="str">
        <f t="shared" si="85"/>
        <v/>
      </c>
      <c r="L1822" s="1" t="str">
        <f t="shared" si="86"/>
        <v/>
      </c>
      <c r="M1822" s="1">
        <f>IF(OR(Table1[[#This Row],[Std Nom]]="",Table1[[#This Row],[Std Read]]=""),0,Table1[[#This Row],[Std Nom]]-Table1[[#This Row],[Std Read]])</f>
        <v>0</v>
      </c>
      <c r="N1822" s="1">
        <f>IF(Calculations!$F$5="ACCREDITED 17025 WITH UNCERTAINTIES",$N$10,0)</f>
        <v>0</v>
      </c>
      <c r="Q1822" s="1">
        <f>Table1[[#This Row],[High Tol]]-Table1[[#This Row],[Low Tol]]</f>
        <v>0</v>
      </c>
      <c r="R1822" s="1">
        <f>2*Table1[[#This Row],[Std Error]]</f>
        <v>0</v>
      </c>
      <c r="S1822" s="1" t="str">
        <f>IF(Table1[[#This Row],[High Tol]]="","N/A",IFERROR(ABS(Table1[[#This Row],[Tol Span]]/Table1[[#This Row],[Error Span]]),"N/A"))</f>
        <v>N/A</v>
      </c>
      <c r="T1822" s="1" t="str">
        <f>IF(OR(Table1[[#This Row],[Low Tol]]="",Table1[[#This Row],[High Tol]]=""),"Needs Analysis",IF(Table1[[#This Row],[Ratio]]&gt;=4,"Not Significant",IF(Table1[[#This Row],[Ratio]]&gt;=2,"Semi-Significant","Significant")))</f>
        <v>Needs Analysis</v>
      </c>
      <c r="W1822" s="1">
        <f>IF(Table1[[#This Row],[Cal Type]]&lt;&gt;"ACCREDITED 17025 WITH UNCERTAINTIES",0,"")</f>
        <v>0</v>
      </c>
      <c r="X1822" s="1" t="str">
        <f>IF(Table1[[#This Row],[DUT Read]]="","N/A",Table1[[#This Row],[Std Error]]+Table1[[#This Row],[DUT Read]]+Table1[[#This Row],[DUT Ucty]])</f>
        <v>N/A</v>
      </c>
      <c r="Y1822" s="1" t="str">
        <f>IF(Table1[[#This Row],[Std Read]]="","N/A",Table1[[#This Row],[Std Read]]+Table1[[#This Row],[Std Ucty]])</f>
        <v>N/A</v>
      </c>
      <c r="Z18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2" s="1" t="str">
        <f>IF(Table1[[#This Row],[Spec Type]]="","N/A",Table1[[#This Row],[Spec Type]])</f>
        <v>±</v>
      </c>
      <c r="AC1822" s="1" t="str">
        <f>IF(Table1[[#This Row],[Spec Type2]]="N/A","N/A",IF(AND(Table1[[#This Row],[DUT Adj Read]]&gt;=Table1[[#This Row],[Low Tol]],Table1[[#This Row],[DUT Adj Read]]&lt;=Table1[[#This Row],[High Tol]]),"Pass","Fail"))</f>
        <v>Fail</v>
      </c>
      <c r="AD1822" s="1" t="str">
        <f>IF(AND(Table1[[#This Row],[Spec Type2]]="N/A",Table1[[#This Row],[DUT Adj Read]]="N/A",Table1[[#This Row],[Std Adj Read]]="N/A"),"N/A",IF(Table1[[#This Row],[DUT Adj Read]]="N/A",IF(Table1[[#This Row],[Std Adj Read]]&gt;Table1[[#This Row],[Low Tol]],"Pass","Fail"),IF(Table1[[#This Row],[DUT Adj Read]]&gt;Table1[[#This Row],[Low Tol]],"Pass","Fail")))</f>
        <v>Pass</v>
      </c>
      <c r="AE1822" s="1" t="str">
        <f>IF(AND(Table1[[#This Row],[Spec Type2]]="N/A",Table1[[#This Row],[DUT Adj Read]]="N/A",Table1[[#This Row],[Std Adj Read]]="N/A"),"N/A",IF(Table1[[#This Row],[DUT Adj Read]]="N/A",IF(Table1[[#This Row],[Std Adj Read]]&lt;Table1[[#This Row],[High Tol]],"Pass","Fail"),IF(Table1[[#This Row],[DUT Adj Read]]&lt;Table1[[#This Row],[High Tol]],"Pass","Fail")))</f>
        <v>Fail</v>
      </c>
      <c r="AF1822" s="1" t="str">
        <f>IF(AND(Table1[[#This Row],[Spec Type2]]="N/A",Table1[[#This Row],[DUT Adj Read]]="N/A",Table1[[#This Row],[Std Adj Read]]="N/A"),"N/A",IF(Table1[[#This Row],[DUT Adj Read]]="N/A",IF(Table1[[#This Row],[Std Adj Read]]&gt;=Table1[[#This Row],[Low Tol]],"Pass","Fail"),IF(Table1[[#This Row],[DUT Adj Read]]&gt;=Table1[[#This Row],[Low Tol]],"Pass","Fail")))</f>
        <v>Pass</v>
      </c>
      <c r="AG1822" s="1" t="str">
        <f>IF(AND(Table1[[#This Row],[Spec Type2]]="N/A",Table1[[#This Row],[DUT Adj Read]]="N/A",Table1[[#This Row],[Std Adj Read]]="N/A"),"N/A",IF(Table1[[#This Row],[DUT Adj Read]]="N/A",IF(Table1[[#This Row],[Std Adj Read]]&lt;=Table1[[#This Row],[High Tol]],"Pass","Fail"),IF(Table1[[#This Row],[DUT Adj Read]]&lt;=Table1[[#This Row],[High Tol]],"Pass","Fail")))</f>
        <v>Fail</v>
      </c>
      <c r="AH18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2" s="1" t="b">
        <v>0</v>
      </c>
      <c r="AN1822" s="1" t="b">
        <v>0</v>
      </c>
      <c r="AO1822" s="1" t="b">
        <v>0</v>
      </c>
    </row>
    <row r="1823" spans="1:41" x14ac:dyDescent="0.25">
      <c r="A1823" s="10"/>
      <c r="B1823" s="10"/>
      <c r="C1823" s="10"/>
      <c r="D1823" s="10"/>
      <c r="E1823" s="10"/>
      <c r="F1823" s="10"/>
      <c r="G1823" s="10"/>
      <c r="H1823" s="10"/>
      <c r="I1823" s="1" t="str">
        <f t="shared" si="84"/>
        <v/>
      </c>
      <c r="J1823" s="1" t="s">
        <v>35</v>
      </c>
      <c r="K1823" s="1" t="str">
        <f t="shared" si="85"/>
        <v/>
      </c>
      <c r="L1823" s="1" t="str">
        <f t="shared" si="86"/>
        <v/>
      </c>
      <c r="M1823" s="1">
        <f>IF(OR(Table1[[#This Row],[Std Nom]]="",Table1[[#This Row],[Std Read]]=""),0,Table1[[#This Row],[Std Nom]]-Table1[[#This Row],[Std Read]])</f>
        <v>0</v>
      </c>
      <c r="N1823" s="1">
        <f>IF(Calculations!$F$5="ACCREDITED 17025 WITH UNCERTAINTIES",$N$10,0)</f>
        <v>0</v>
      </c>
      <c r="Q1823" s="1">
        <f>Table1[[#This Row],[High Tol]]-Table1[[#This Row],[Low Tol]]</f>
        <v>0</v>
      </c>
      <c r="R1823" s="1">
        <f>2*Table1[[#This Row],[Std Error]]</f>
        <v>0</v>
      </c>
      <c r="S1823" s="1" t="str">
        <f>IF(Table1[[#This Row],[High Tol]]="","N/A",IFERROR(ABS(Table1[[#This Row],[Tol Span]]/Table1[[#This Row],[Error Span]]),"N/A"))</f>
        <v>N/A</v>
      </c>
      <c r="T1823" s="1" t="str">
        <f>IF(OR(Table1[[#This Row],[Low Tol]]="",Table1[[#This Row],[High Tol]]=""),"Needs Analysis",IF(Table1[[#This Row],[Ratio]]&gt;=4,"Not Significant",IF(Table1[[#This Row],[Ratio]]&gt;=2,"Semi-Significant","Significant")))</f>
        <v>Needs Analysis</v>
      </c>
      <c r="W1823" s="1">
        <f>IF(Table1[[#This Row],[Cal Type]]&lt;&gt;"ACCREDITED 17025 WITH UNCERTAINTIES",0,"")</f>
        <v>0</v>
      </c>
      <c r="X1823" s="1" t="str">
        <f>IF(Table1[[#This Row],[DUT Read]]="","N/A",Table1[[#This Row],[Std Error]]+Table1[[#This Row],[DUT Read]]+Table1[[#This Row],[DUT Ucty]])</f>
        <v>N/A</v>
      </c>
      <c r="Y1823" s="1" t="str">
        <f>IF(Table1[[#This Row],[Std Read]]="","N/A",Table1[[#This Row],[Std Read]]+Table1[[#This Row],[Std Ucty]])</f>
        <v>N/A</v>
      </c>
      <c r="Z18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3" s="1" t="str">
        <f>IF(Table1[[#This Row],[Spec Type]]="","N/A",Table1[[#This Row],[Spec Type]])</f>
        <v>±</v>
      </c>
      <c r="AC1823" s="1" t="str">
        <f>IF(Table1[[#This Row],[Spec Type2]]="N/A","N/A",IF(AND(Table1[[#This Row],[DUT Adj Read]]&gt;=Table1[[#This Row],[Low Tol]],Table1[[#This Row],[DUT Adj Read]]&lt;=Table1[[#This Row],[High Tol]]),"Pass","Fail"))</f>
        <v>Fail</v>
      </c>
      <c r="AD1823" s="1" t="str">
        <f>IF(AND(Table1[[#This Row],[Spec Type2]]="N/A",Table1[[#This Row],[DUT Adj Read]]="N/A",Table1[[#This Row],[Std Adj Read]]="N/A"),"N/A",IF(Table1[[#This Row],[DUT Adj Read]]="N/A",IF(Table1[[#This Row],[Std Adj Read]]&gt;Table1[[#This Row],[Low Tol]],"Pass","Fail"),IF(Table1[[#This Row],[DUT Adj Read]]&gt;Table1[[#This Row],[Low Tol]],"Pass","Fail")))</f>
        <v>Pass</v>
      </c>
      <c r="AE1823" s="1" t="str">
        <f>IF(AND(Table1[[#This Row],[Spec Type2]]="N/A",Table1[[#This Row],[DUT Adj Read]]="N/A",Table1[[#This Row],[Std Adj Read]]="N/A"),"N/A",IF(Table1[[#This Row],[DUT Adj Read]]="N/A",IF(Table1[[#This Row],[Std Adj Read]]&lt;Table1[[#This Row],[High Tol]],"Pass","Fail"),IF(Table1[[#This Row],[DUT Adj Read]]&lt;Table1[[#This Row],[High Tol]],"Pass","Fail")))</f>
        <v>Fail</v>
      </c>
      <c r="AF1823" s="1" t="str">
        <f>IF(AND(Table1[[#This Row],[Spec Type2]]="N/A",Table1[[#This Row],[DUT Adj Read]]="N/A",Table1[[#This Row],[Std Adj Read]]="N/A"),"N/A",IF(Table1[[#This Row],[DUT Adj Read]]="N/A",IF(Table1[[#This Row],[Std Adj Read]]&gt;=Table1[[#This Row],[Low Tol]],"Pass","Fail"),IF(Table1[[#This Row],[DUT Adj Read]]&gt;=Table1[[#This Row],[Low Tol]],"Pass","Fail")))</f>
        <v>Pass</v>
      </c>
      <c r="AG1823" s="1" t="str">
        <f>IF(AND(Table1[[#This Row],[Spec Type2]]="N/A",Table1[[#This Row],[DUT Adj Read]]="N/A",Table1[[#This Row],[Std Adj Read]]="N/A"),"N/A",IF(Table1[[#This Row],[DUT Adj Read]]="N/A",IF(Table1[[#This Row],[Std Adj Read]]&lt;=Table1[[#This Row],[High Tol]],"Pass","Fail"),IF(Table1[[#This Row],[DUT Adj Read]]&lt;=Table1[[#This Row],[High Tol]],"Pass","Fail")))</f>
        <v>Fail</v>
      </c>
      <c r="AH18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3" s="1" t="b">
        <v>0</v>
      </c>
      <c r="AN1823" s="1" t="b">
        <v>0</v>
      </c>
      <c r="AO1823" s="1" t="b">
        <v>0</v>
      </c>
    </row>
    <row r="1824" spans="1:41" x14ac:dyDescent="0.25">
      <c r="A1824" s="10"/>
      <c r="B1824" s="10"/>
      <c r="C1824" s="10"/>
      <c r="D1824" s="10"/>
      <c r="E1824" s="10"/>
      <c r="F1824" s="10"/>
      <c r="G1824" s="10"/>
      <c r="H1824" s="10"/>
      <c r="I1824" s="1" t="str">
        <f t="shared" si="84"/>
        <v/>
      </c>
      <c r="J1824" s="1" t="s">
        <v>35</v>
      </c>
      <c r="K1824" s="1" t="str">
        <f t="shared" si="85"/>
        <v/>
      </c>
      <c r="L1824" s="1" t="str">
        <f t="shared" si="86"/>
        <v/>
      </c>
      <c r="M1824" s="1">
        <f>IF(OR(Table1[[#This Row],[Std Nom]]="",Table1[[#This Row],[Std Read]]=""),0,Table1[[#This Row],[Std Nom]]-Table1[[#This Row],[Std Read]])</f>
        <v>0</v>
      </c>
      <c r="N1824" s="1">
        <f>IF(Calculations!$F$5="ACCREDITED 17025 WITH UNCERTAINTIES",$N$10,0)</f>
        <v>0</v>
      </c>
      <c r="Q1824" s="1">
        <f>Table1[[#This Row],[High Tol]]-Table1[[#This Row],[Low Tol]]</f>
        <v>0</v>
      </c>
      <c r="R1824" s="1">
        <f>2*Table1[[#This Row],[Std Error]]</f>
        <v>0</v>
      </c>
      <c r="S1824" s="1" t="str">
        <f>IF(Table1[[#This Row],[High Tol]]="","N/A",IFERROR(ABS(Table1[[#This Row],[Tol Span]]/Table1[[#This Row],[Error Span]]),"N/A"))</f>
        <v>N/A</v>
      </c>
      <c r="T1824" s="1" t="str">
        <f>IF(OR(Table1[[#This Row],[Low Tol]]="",Table1[[#This Row],[High Tol]]=""),"Needs Analysis",IF(Table1[[#This Row],[Ratio]]&gt;=4,"Not Significant",IF(Table1[[#This Row],[Ratio]]&gt;=2,"Semi-Significant","Significant")))</f>
        <v>Needs Analysis</v>
      </c>
      <c r="W1824" s="1">
        <f>IF(Table1[[#This Row],[Cal Type]]&lt;&gt;"ACCREDITED 17025 WITH UNCERTAINTIES",0,"")</f>
        <v>0</v>
      </c>
      <c r="X1824" s="1" t="str">
        <f>IF(Table1[[#This Row],[DUT Read]]="","N/A",Table1[[#This Row],[Std Error]]+Table1[[#This Row],[DUT Read]]+Table1[[#This Row],[DUT Ucty]])</f>
        <v>N/A</v>
      </c>
      <c r="Y1824" s="1" t="str">
        <f>IF(Table1[[#This Row],[Std Read]]="","N/A",Table1[[#This Row],[Std Read]]+Table1[[#This Row],[Std Ucty]])</f>
        <v>N/A</v>
      </c>
      <c r="Z18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4" s="1" t="str">
        <f>IF(Table1[[#This Row],[Spec Type]]="","N/A",Table1[[#This Row],[Spec Type]])</f>
        <v>±</v>
      </c>
      <c r="AC1824" s="1" t="str">
        <f>IF(Table1[[#This Row],[Spec Type2]]="N/A","N/A",IF(AND(Table1[[#This Row],[DUT Adj Read]]&gt;=Table1[[#This Row],[Low Tol]],Table1[[#This Row],[DUT Adj Read]]&lt;=Table1[[#This Row],[High Tol]]),"Pass","Fail"))</f>
        <v>Fail</v>
      </c>
      <c r="AD1824" s="1" t="str">
        <f>IF(AND(Table1[[#This Row],[Spec Type2]]="N/A",Table1[[#This Row],[DUT Adj Read]]="N/A",Table1[[#This Row],[Std Adj Read]]="N/A"),"N/A",IF(Table1[[#This Row],[DUT Adj Read]]="N/A",IF(Table1[[#This Row],[Std Adj Read]]&gt;Table1[[#This Row],[Low Tol]],"Pass","Fail"),IF(Table1[[#This Row],[DUT Adj Read]]&gt;Table1[[#This Row],[Low Tol]],"Pass","Fail")))</f>
        <v>Pass</v>
      </c>
      <c r="AE1824" s="1" t="str">
        <f>IF(AND(Table1[[#This Row],[Spec Type2]]="N/A",Table1[[#This Row],[DUT Adj Read]]="N/A",Table1[[#This Row],[Std Adj Read]]="N/A"),"N/A",IF(Table1[[#This Row],[DUT Adj Read]]="N/A",IF(Table1[[#This Row],[Std Adj Read]]&lt;Table1[[#This Row],[High Tol]],"Pass","Fail"),IF(Table1[[#This Row],[DUT Adj Read]]&lt;Table1[[#This Row],[High Tol]],"Pass","Fail")))</f>
        <v>Fail</v>
      </c>
      <c r="AF1824" s="1" t="str">
        <f>IF(AND(Table1[[#This Row],[Spec Type2]]="N/A",Table1[[#This Row],[DUT Adj Read]]="N/A",Table1[[#This Row],[Std Adj Read]]="N/A"),"N/A",IF(Table1[[#This Row],[DUT Adj Read]]="N/A",IF(Table1[[#This Row],[Std Adj Read]]&gt;=Table1[[#This Row],[Low Tol]],"Pass","Fail"),IF(Table1[[#This Row],[DUT Adj Read]]&gt;=Table1[[#This Row],[Low Tol]],"Pass","Fail")))</f>
        <v>Pass</v>
      </c>
      <c r="AG1824" s="1" t="str">
        <f>IF(AND(Table1[[#This Row],[Spec Type2]]="N/A",Table1[[#This Row],[DUT Adj Read]]="N/A",Table1[[#This Row],[Std Adj Read]]="N/A"),"N/A",IF(Table1[[#This Row],[DUT Adj Read]]="N/A",IF(Table1[[#This Row],[Std Adj Read]]&lt;=Table1[[#This Row],[High Tol]],"Pass","Fail"),IF(Table1[[#This Row],[DUT Adj Read]]&lt;=Table1[[#This Row],[High Tol]],"Pass","Fail")))</f>
        <v>Fail</v>
      </c>
      <c r="AH18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4" s="1" t="b">
        <v>0</v>
      </c>
      <c r="AN1824" s="1" t="b">
        <v>0</v>
      </c>
      <c r="AO1824" s="1" t="b">
        <v>0</v>
      </c>
    </row>
    <row r="1825" spans="1:41" x14ac:dyDescent="0.25">
      <c r="A1825" s="10"/>
      <c r="B1825" s="10"/>
      <c r="C1825" s="10"/>
      <c r="D1825" s="10"/>
      <c r="E1825" s="10"/>
      <c r="F1825" s="10"/>
      <c r="G1825" s="10"/>
      <c r="H1825" s="10"/>
      <c r="I1825" s="1" t="str">
        <f t="shared" si="84"/>
        <v/>
      </c>
      <c r="J1825" s="1" t="s">
        <v>35</v>
      </c>
      <c r="K1825" s="1" t="str">
        <f t="shared" si="85"/>
        <v/>
      </c>
      <c r="L1825" s="1" t="str">
        <f t="shared" si="86"/>
        <v/>
      </c>
      <c r="M1825" s="1">
        <f>IF(OR(Table1[[#This Row],[Std Nom]]="",Table1[[#This Row],[Std Read]]=""),0,Table1[[#This Row],[Std Nom]]-Table1[[#This Row],[Std Read]])</f>
        <v>0</v>
      </c>
      <c r="N1825" s="1">
        <f>IF(Calculations!$F$5="ACCREDITED 17025 WITH UNCERTAINTIES",$N$10,0)</f>
        <v>0</v>
      </c>
      <c r="Q1825" s="1">
        <f>Table1[[#This Row],[High Tol]]-Table1[[#This Row],[Low Tol]]</f>
        <v>0</v>
      </c>
      <c r="R1825" s="1">
        <f>2*Table1[[#This Row],[Std Error]]</f>
        <v>0</v>
      </c>
      <c r="S1825" s="1" t="str">
        <f>IF(Table1[[#This Row],[High Tol]]="","N/A",IFERROR(ABS(Table1[[#This Row],[Tol Span]]/Table1[[#This Row],[Error Span]]),"N/A"))</f>
        <v>N/A</v>
      </c>
      <c r="T1825" s="1" t="str">
        <f>IF(OR(Table1[[#This Row],[Low Tol]]="",Table1[[#This Row],[High Tol]]=""),"Needs Analysis",IF(Table1[[#This Row],[Ratio]]&gt;=4,"Not Significant",IF(Table1[[#This Row],[Ratio]]&gt;=2,"Semi-Significant","Significant")))</f>
        <v>Needs Analysis</v>
      </c>
      <c r="W1825" s="1">
        <f>IF(Table1[[#This Row],[Cal Type]]&lt;&gt;"ACCREDITED 17025 WITH UNCERTAINTIES",0,"")</f>
        <v>0</v>
      </c>
      <c r="X1825" s="1" t="str">
        <f>IF(Table1[[#This Row],[DUT Read]]="","N/A",Table1[[#This Row],[Std Error]]+Table1[[#This Row],[DUT Read]]+Table1[[#This Row],[DUT Ucty]])</f>
        <v>N/A</v>
      </c>
      <c r="Y1825" s="1" t="str">
        <f>IF(Table1[[#This Row],[Std Read]]="","N/A",Table1[[#This Row],[Std Read]]+Table1[[#This Row],[Std Ucty]])</f>
        <v>N/A</v>
      </c>
      <c r="Z18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5" s="1" t="str">
        <f>IF(Table1[[#This Row],[Spec Type]]="","N/A",Table1[[#This Row],[Spec Type]])</f>
        <v>±</v>
      </c>
      <c r="AC1825" s="1" t="str">
        <f>IF(Table1[[#This Row],[Spec Type2]]="N/A","N/A",IF(AND(Table1[[#This Row],[DUT Adj Read]]&gt;=Table1[[#This Row],[Low Tol]],Table1[[#This Row],[DUT Adj Read]]&lt;=Table1[[#This Row],[High Tol]]),"Pass","Fail"))</f>
        <v>Fail</v>
      </c>
      <c r="AD1825" s="1" t="str">
        <f>IF(AND(Table1[[#This Row],[Spec Type2]]="N/A",Table1[[#This Row],[DUT Adj Read]]="N/A",Table1[[#This Row],[Std Adj Read]]="N/A"),"N/A",IF(Table1[[#This Row],[DUT Adj Read]]="N/A",IF(Table1[[#This Row],[Std Adj Read]]&gt;Table1[[#This Row],[Low Tol]],"Pass","Fail"),IF(Table1[[#This Row],[DUT Adj Read]]&gt;Table1[[#This Row],[Low Tol]],"Pass","Fail")))</f>
        <v>Pass</v>
      </c>
      <c r="AE1825" s="1" t="str">
        <f>IF(AND(Table1[[#This Row],[Spec Type2]]="N/A",Table1[[#This Row],[DUT Adj Read]]="N/A",Table1[[#This Row],[Std Adj Read]]="N/A"),"N/A",IF(Table1[[#This Row],[DUT Adj Read]]="N/A",IF(Table1[[#This Row],[Std Adj Read]]&lt;Table1[[#This Row],[High Tol]],"Pass","Fail"),IF(Table1[[#This Row],[DUT Adj Read]]&lt;Table1[[#This Row],[High Tol]],"Pass","Fail")))</f>
        <v>Fail</v>
      </c>
      <c r="AF1825" s="1" t="str">
        <f>IF(AND(Table1[[#This Row],[Spec Type2]]="N/A",Table1[[#This Row],[DUT Adj Read]]="N/A",Table1[[#This Row],[Std Adj Read]]="N/A"),"N/A",IF(Table1[[#This Row],[DUT Adj Read]]="N/A",IF(Table1[[#This Row],[Std Adj Read]]&gt;=Table1[[#This Row],[Low Tol]],"Pass","Fail"),IF(Table1[[#This Row],[DUT Adj Read]]&gt;=Table1[[#This Row],[Low Tol]],"Pass","Fail")))</f>
        <v>Pass</v>
      </c>
      <c r="AG1825" s="1" t="str">
        <f>IF(AND(Table1[[#This Row],[Spec Type2]]="N/A",Table1[[#This Row],[DUT Adj Read]]="N/A",Table1[[#This Row],[Std Adj Read]]="N/A"),"N/A",IF(Table1[[#This Row],[DUT Adj Read]]="N/A",IF(Table1[[#This Row],[Std Adj Read]]&lt;=Table1[[#This Row],[High Tol]],"Pass","Fail"),IF(Table1[[#This Row],[DUT Adj Read]]&lt;=Table1[[#This Row],[High Tol]],"Pass","Fail")))</f>
        <v>Fail</v>
      </c>
      <c r="AH18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5" s="1" t="b">
        <v>0</v>
      </c>
      <c r="AN1825" s="1" t="b">
        <v>0</v>
      </c>
      <c r="AO1825" s="1" t="b">
        <v>0</v>
      </c>
    </row>
    <row r="1826" spans="1:41" x14ac:dyDescent="0.25">
      <c r="A1826" s="10"/>
      <c r="B1826" s="10"/>
      <c r="C1826" s="10"/>
      <c r="D1826" s="10"/>
      <c r="E1826" s="10"/>
      <c r="F1826" s="10"/>
      <c r="G1826" s="10"/>
      <c r="H1826" s="10"/>
      <c r="I1826" s="1" t="str">
        <f t="shared" si="84"/>
        <v/>
      </c>
      <c r="J1826" s="1" t="s">
        <v>35</v>
      </c>
      <c r="K1826" s="1" t="str">
        <f t="shared" si="85"/>
        <v/>
      </c>
      <c r="L1826" s="1" t="str">
        <f t="shared" si="86"/>
        <v/>
      </c>
      <c r="M1826" s="1">
        <f>IF(OR(Table1[[#This Row],[Std Nom]]="",Table1[[#This Row],[Std Read]]=""),0,Table1[[#This Row],[Std Nom]]-Table1[[#This Row],[Std Read]])</f>
        <v>0</v>
      </c>
      <c r="N1826" s="1">
        <f>IF(Calculations!$F$5="ACCREDITED 17025 WITH UNCERTAINTIES",$N$10,0)</f>
        <v>0</v>
      </c>
      <c r="Q1826" s="1">
        <f>Table1[[#This Row],[High Tol]]-Table1[[#This Row],[Low Tol]]</f>
        <v>0</v>
      </c>
      <c r="R1826" s="1">
        <f>2*Table1[[#This Row],[Std Error]]</f>
        <v>0</v>
      </c>
      <c r="S1826" s="1" t="str">
        <f>IF(Table1[[#This Row],[High Tol]]="","N/A",IFERROR(ABS(Table1[[#This Row],[Tol Span]]/Table1[[#This Row],[Error Span]]),"N/A"))</f>
        <v>N/A</v>
      </c>
      <c r="T1826" s="1" t="str">
        <f>IF(OR(Table1[[#This Row],[Low Tol]]="",Table1[[#This Row],[High Tol]]=""),"Needs Analysis",IF(Table1[[#This Row],[Ratio]]&gt;=4,"Not Significant",IF(Table1[[#This Row],[Ratio]]&gt;=2,"Semi-Significant","Significant")))</f>
        <v>Needs Analysis</v>
      </c>
      <c r="W1826" s="1">
        <f>IF(Table1[[#This Row],[Cal Type]]&lt;&gt;"ACCREDITED 17025 WITH UNCERTAINTIES",0,"")</f>
        <v>0</v>
      </c>
      <c r="X1826" s="1" t="str">
        <f>IF(Table1[[#This Row],[DUT Read]]="","N/A",Table1[[#This Row],[Std Error]]+Table1[[#This Row],[DUT Read]]+Table1[[#This Row],[DUT Ucty]])</f>
        <v>N/A</v>
      </c>
      <c r="Y1826" s="1" t="str">
        <f>IF(Table1[[#This Row],[Std Read]]="","N/A",Table1[[#This Row],[Std Read]]+Table1[[#This Row],[Std Ucty]])</f>
        <v>N/A</v>
      </c>
      <c r="Z18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6" s="1" t="str">
        <f>IF(Table1[[#This Row],[Spec Type]]="","N/A",Table1[[#This Row],[Spec Type]])</f>
        <v>±</v>
      </c>
      <c r="AC1826" s="1" t="str">
        <f>IF(Table1[[#This Row],[Spec Type2]]="N/A","N/A",IF(AND(Table1[[#This Row],[DUT Adj Read]]&gt;=Table1[[#This Row],[Low Tol]],Table1[[#This Row],[DUT Adj Read]]&lt;=Table1[[#This Row],[High Tol]]),"Pass","Fail"))</f>
        <v>Fail</v>
      </c>
      <c r="AD1826" s="1" t="str">
        <f>IF(AND(Table1[[#This Row],[Spec Type2]]="N/A",Table1[[#This Row],[DUT Adj Read]]="N/A",Table1[[#This Row],[Std Adj Read]]="N/A"),"N/A",IF(Table1[[#This Row],[DUT Adj Read]]="N/A",IF(Table1[[#This Row],[Std Adj Read]]&gt;Table1[[#This Row],[Low Tol]],"Pass","Fail"),IF(Table1[[#This Row],[DUT Adj Read]]&gt;Table1[[#This Row],[Low Tol]],"Pass","Fail")))</f>
        <v>Pass</v>
      </c>
      <c r="AE1826" s="1" t="str">
        <f>IF(AND(Table1[[#This Row],[Spec Type2]]="N/A",Table1[[#This Row],[DUT Adj Read]]="N/A",Table1[[#This Row],[Std Adj Read]]="N/A"),"N/A",IF(Table1[[#This Row],[DUT Adj Read]]="N/A",IF(Table1[[#This Row],[Std Adj Read]]&lt;Table1[[#This Row],[High Tol]],"Pass","Fail"),IF(Table1[[#This Row],[DUT Adj Read]]&lt;Table1[[#This Row],[High Tol]],"Pass","Fail")))</f>
        <v>Fail</v>
      </c>
      <c r="AF1826" s="1" t="str">
        <f>IF(AND(Table1[[#This Row],[Spec Type2]]="N/A",Table1[[#This Row],[DUT Adj Read]]="N/A",Table1[[#This Row],[Std Adj Read]]="N/A"),"N/A",IF(Table1[[#This Row],[DUT Adj Read]]="N/A",IF(Table1[[#This Row],[Std Adj Read]]&gt;=Table1[[#This Row],[Low Tol]],"Pass","Fail"),IF(Table1[[#This Row],[DUT Adj Read]]&gt;=Table1[[#This Row],[Low Tol]],"Pass","Fail")))</f>
        <v>Pass</v>
      </c>
      <c r="AG1826" s="1" t="str">
        <f>IF(AND(Table1[[#This Row],[Spec Type2]]="N/A",Table1[[#This Row],[DUT Adj Read]]="N/A",Table1[[#This Row],[Std Adj Read]]="N/A"),"N/A",IF(Table1[[#This Row],[DUT Adj Read]]="N/A",IF(Table1[[#This Row],[Std Adj Read]]&lt;=Table1[[#This Row],[High Tol]],"Pass","Fail"),IF(Table1[[#This Row],[DUT Adj Read]]&lt;=Table1[[#This Row],[High Tol]],"Pass","Fail")))</f>
        <v>Fail</v>
      </c>
      <c r="AH18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6" s="1" t="b">
        <v>0</v>
      </c>
      <c r="AN1826" s="1" t="b">
        <v>0</v>
      </c>
      <c r="AO1826" s="1" t="b">
        <v>0</v>
      </c>
    </row>
    <row r="1827" spans="1:41" x14ac:dyDescent="0.25">
      <c r="A1827" s="10"/>
      <c r="B1827" s="10"/>
      <c r="C1827" s="10"/>
      <c r="D1827" s="10"/>
      <c r="E1827" s="10"/>
      <c r="F1827" s="10"/>
      <c r="G1827" s="10"/>
      <c r="H1827" s="10"/>
      <c r="I1827" s="1" t="str">
        <f t="shared" si="84"/>
        <v/>
      </c>
      <c r="J1827" s="1" t="s">
        <v>35</v>
      </c>
      <c r="K1827" s="1" t="str">
        <f t="shared" si="85"/>
        <v/>
      </c>
      <c r="L1827" s="1" t="str">
        <f t="shared" si="86"/>
        <v/>
      </c>
      <c r="M1827" s="1">
        <f>IF(OR(Table1[[#This Row],[Std Nom]]="",Table1[[#This Row],[Std Read]]=""),0,Table1[[#This Row],[Std Nom]]-Table1[[#This Row],[Std Read]])</f>
        <v>0</v>
      </c>
      <c r="N1827" s="1">
        <f>IF(Calculations!$F$5="ACCREDITED 17025 WITH UNCERTAINTIES",$N$10,0)</f>
        <v>0</v>
      </c>
      <c r="Q1827" s="1">
        <f>Table1[[#This Row],[High Tol]]-Table1[[#This Row],[Low Tol]]</f>
        <v>0</v>
      </c>
      <c r="R1827" s="1">
        <f>2*Table1[[#This Row],[Std Error]]</f>
        <v>0</v>
      </c>
      <c r="S1827" s="1" t="str">
        <f>IF(Table1[[#This Row],[High Tol]]="","N/A",IFERROR(ABS(Table1[[#This Row],[Tol Span]]/Table1[[#This Row],[Error Span]]),"N/A"))</f>
        <v>N/A</v>
      </c>
      <c r="T1827" s="1" t="str">
        <f>IF(OR(Table1[[#This Row],[Low Tol]]="",Table1[[#This Row],[High Tol]]=""),"Needs Analysis",IF(Table1[[#This Row],[Ratio]]&gt;=4,"Not Significant",IF(Table1[[#This Row],[Ratio]]&gt;=2,"Semi-Significant","Significant")))</f>
        <v>Needs Analysis</v>
      </c>
      <c r="W1827" s="1">
        <f>IF(Table1[[#This Row],[Cal Type]]&lt;&gt;"ACCREDITED 17025 WITH UNCERTAINTIES",0,"")</f>
        <v>0</v>
      </c>
      <c r="X1827" s="1" t="str">
        <f>IF(Table1[[#This Row],[DUT Read]]="","N/A",Table1[[#This Row],[Std Error]]+Table1[[#This Row],[DUT Read]]+Table1[[#This Row],[DUT Ucty]])</f>
        <v>N/A</v>
      </c>
      <c r="Y1827" s="1" t="str">
        <f>IF(Table1[[#This Row],[Std Read]]="","N/A",Table1[[#This Row],[Std Read]]+Table1[[#This Row],[Std Ucty]])</f>
        <v>N/A</v>
      </c>
      <c r="Z18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7" s="1" t="str">
        <f>IF(Table1[[#This Row],[Spec Type]]="","N/A",Table1[[#This Row],[Spec Type]])</f>
        <v>±</v>
      </c>
      <c r="AC1827" s="1" t="str">
        <f>IF(Table1[[#This Row],[Spec Type2]]="N/A","N/A",IF(AND(Table1[[#This Row],[DUT Adj Read]]&gt;=Table1[[#This Row],[Low Tol]],Table1[[#This Row],[DUT Adj Read]]&lt;=Table1[[#This Row],[High Tol]]),"Pass","Fail"))</f>
        <v>Fail</v>
      </c>
      <c r="AD1827" s="1" t="str">
        <f>IF(AND(Table1[[#This Row],[Spec Type2]]="N/A",Table1[[#This Row],[DUT Adj Read]]="N/A",Table1[[#This Row],[Std Adj Read]]="N/A"),"N/A",IF(Table1[[#This Row],[DUT Adj Read]]="N/A",IF(Table1[[#This Row],[Std Adj Read]]&gt;Table1[[#This Row],[Low Tol]],"Pass","Fail"),IF(Table1[[#This Row],[DUT Adj Read]]&gt;Table1[[#This Row],[Low Tol]],"Pass","Fail")))</f>
        <v>Pass</v>
      </c>
      <c r="AE1827" s="1" t="str">
        <f>IF(AND(Table1[[#This Row],[Spec Type2]]="N/A",Table1[[#This Row],[DUT Adj Read]]="N/A",Table1[[#This Row],[Std Adj Read]]="N/A"),"N/A",IF(Table1[[#This Row],[DUT Adj Read]]="N/A",IF(Table1[[#This Row],[Std Adj Read]]&lt;Table1[[#This Row],[High Tol]],"Pass","Fail"),IF(Table1[[#This Row],[DUT Adj Read]]&lt;Table1[[#This Row],[High Tol]],"Pass","Fail")))</f>
        <v>Fail</v>
      </c>
      <c r="AF1827" s="1" t="str">
        <f>IF(AND(Table1[[#This Row],[Spec Type2]]="N/A",Table1[[#This Row],[DUT Adj Read]]="N/A",Table1[[#This Row],[Std Adj Read]]="N/A"),"N/A",IF(Table1[[#This Row],[DUT Adj Read]]="N/A",IF(Table1[[#This Row],[Std Adj Read]]&gt;=Table1[[#This Row],[Low Tol]],"Pass","Fail"),IF(Table1[[#This Row],[DUT Adj Read]]&gt;=Table1[[#This Row],[Low Tol]],"Pass","Fail")))</f>
        <v>Pass</v>
      </c>
      <c r="AG1827" s="1" t="str">
        <f>IF(AND(Table1[[#This Row],[Spec Type2]]="N/A",Table1[[#This Row],[DUT Adj Read]]="N/A",Table1[[#This Row],[Std Adj Read]]="N/A"),"N/A",IF(Table1[[#This Row],[DUT Adj Read]]="N/A",IF(Table1[[#This Row],[Std Adj Read]]&lt;=Table1[[#This Row],[High Tol]],"Pass","Fail"),IF(Table1[[#This Row],[DUT Adj Read]]&lt;=Table1[[#This Row],[High Tol]],"Pass","Fail")))</f>
        <v>Fail</v>
      </c>
      <c r="AH18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7" s="1" t="b">
        <v>0</v>
      </c>
      <c r="AN1827" s="1" t="b">
        <v>0</v>
      </c>
      <c r="AO1827" s="1" t="b">
        <v>0</v>
      </c>
    </row>
    <row r="1828" spans="1:41" x14ac:dyDescent="0.25">
      <c r="A1828" s="10"/>
      <c r="B1828" s="10"/>
      <c r="C1828" s="10"/>
      <c r="D1828" s="10"/>
      <c r="E1828" s="10"/>
      <c r="F1828" s="10"/>
      <c r="G1828" s="10"/>
      <c r="H1828" s="10"/>
      <c r="I1828" s="1" t="str">
        <f t="shared" si="84"/>
        <v/>
      </c>
      <c r="J1828" s="1" t="s">
        <v>35</v>
      </c>
      <c r="K1828" s="1" t="str">
        <f t="shared" si="85"/>
        <v/>
      </c>
      <c r="L1828" s="1" t="str">
        <f t="shared" si="86"/>
        <v/>
      </c>
      <c r="M1828" s="1">
        <f>IF(OR(Table1[[#This Row],[Std Nom]]="",Table1[[#This Row],[Std Read]]=""),0,Table1[[#This Row],[Std Nom]]-Table1[[#This Row],[Std Read]])</f>
        <v>0</v>
      </c>
      <c r="N1828" s="1">
        <f>IF(Calculations!$F$5="ACCREDITED 17025 WITH UNCERTAINTIES",$N$10,0)</f>
        <v>0</v>
      </c>
      <c r="Q1828" s="1">
        <f>Table1[[#This Row],[High Tol]]-Table1[[#This Row],[Low Tol]]</f>
        <v>0</v>
      </c>
      <c r="R1828" s="1">
        <f>2*Table1[[#This Row],[Std Error]]</f>
        <v>0</v>
      </c>
      <c r="S1828" s="1" t="str">
        <f>IF(Table1[[#This Row],[High Tol]]="","N/A",IFERROR(ABS(Table1[[#This Row],[Tol Span]]/Table1[[#This Row],[Error Span]]),"N/A"))</f>
        <v>N/A</v>
      </c>
      <c r="T1828" s="1" t="str">
        <f>IF(OR(Table1[[#This Row],[Low Tol]]="",Table1[[#This Row],[High Tol]]=""),"Needs Analysis",IF(Table1[[#This Row],[Ratio]]&gt;=4,"Not Significant",IF(Table1[[#This Row],[Ratio]]&gt;=2,"Semi-Significant","Significant")))</f>
        <v>Needs Analysis</v>
      </c>
      <c r="W1828" s="1">
        <f>IF(Table1[[#This Row],[Cal Type]]&lt;&gt;"ACCREDITED 17025 WITH UNCERTAINTIES",0,"")</f>
        <v>0</v>
      </c>
      <c r="X1828" s="1" t="str">
        <f>IF(Table1[[#This Row],[DUT Read]]="","N/A",Table1[[#This Row],[Std Error]]+Table1[[#This Row],[DUT Read]]+Table1[[#This Row],[DUT Ucty]])</f>
        <v>N/A</v>
      </c>
      <c r="Y1828" s="1" t="str">
        <f>IF(Table1[[#This Row],[Std Read]]="","N/A",Table1[[#This Row],[Std Read]]+Table1[[#This Row],[Std Ucty]])</f>
        <v>N/A</v>
      </c>
      <c r="Z18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8" s="1" t="str">
        <f>IF(Table1[[#This Row],[Spec Type]]="","N/A",Table1[[#This Row],[Spec Type]])</f>
        <v>±</v>
      </c>
      <c r="AC1828" s="1" t="str">
        <f>IF(Table1[[#This Row],[Spec Type2]]="N/A","N/A",IF(AND(Table1[[#This Row],[DUT Adj Read]]&gt;=Table1[[#This Row],[Low Tol]],Table1[[#This Row],[DUT Adj Read]]&lt;=Table1[[#This Row],[High Tol]]),"Pass","Fail"))</f>
        <v>Fail</v>
      </c>
      <c r="AD1828" s="1" t="str">
        <f>IF(AND(Table1[[#This Row],[Spec Type2]]="N/A",Table1[[#This Row],[DUT Adj Read]]="N/A",Table1[[#This Row],[Std Adj Read]]="N/A"),"N/A",IF(Table1[[#This Row],[DUT Adj Read]]="N/A",IF(Table1[[#This Row],[Std Adj Read]]&gt;Table1[[#This Row],[Low Tol]],"Pass","Fail"),IF(Table1[[#This Row],[DUT Adj Read]]&gt;Table1[[#This Row],[Low Tol]],"Pass","Fail")))</f>
        <v>Pass</v>
      </c>
      <c r="AE1828" s="1" t="str">
        <f>IF(AND(Table1[[#This Row],[Spec Type2]]="N/A",Table1[[#This Row],[DUT Adj Read]]="N/A",Table1[[#This Row],[Std Adj Read]]="N/A"),"N/A",IF(Table1[[#This Row],[DUT Adj Read]]="N/A",IF(Table1[[#This Row],[Std Adj Read]]&lt;Table1[[#This Row],[High Tol]],"Pass","Fail"),IF(Table1[[#This Row],[DUT Adj Read]]&lt;Table1[[#This Row],[High Tol]],"Pass","Fail")))</f>
        <v>Fail</v>
      </c>
      <c r="AF1828" s="1" t="str">
        <f>IF(AND(Table1[[#This Row],[Spec Type2]]="N/A",Table1[[#This Row],[DUT Adj Read]]="N/A",Table1[[#This Row],[Std Adj Read]]="N/A"),"N/A",IF(Table1[[#This Row],[DUT Adj Read]]="N/A",IF(Table1[[#This Row],[Std Adj Read]]&gt;=Table1[[#This Row],[Low Tol]],"Pass","Fail"),IF(Table1[[#This Row],[DUT Adj Read]]&gt;=Table1[[#This Row],[Low Tol]],"Pass","Fail")))</f>
        <v>Pass</v>
      </c>
      <c r="AG1828" s="1" t="str">
        <f>IF(AND(Table1[[#This Row],[Spec Type2]]="N/A",Table1[[#This Row],[DUT Adj Read]]="N/A",Table1[[#This Row],[Std Adj Read]]="N/A"),"N/A",IF(Table1[[#This Row],[DUT Adj Read]]="N/A",IF(Table1[[#This Row],[Std Adj Read]]&lt;=Table1[[#This Row],[High Tol]],"Pass","Fail"),IF(Table1[[#This Row],[DUT Adj Read]]&lt;=Table1[[#This Row],[High Tol]],"Pass","Fail")))</f>
        <v>Fail</v>
      </c>
      <c r="AH18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8" s="1" t="b">
        <v>0</v>
      </c>
      <c r="AN1828" s="1" t="b">
        <v>0</v>
      </c>
      <c r="AO1828" s="1" t="b">
        <v>0</v>
      </c>
    </row>
    <row r="1829" spans="1:41" x14ac:dyDescent="0.25">
      <c r="A1829" s="10"/>
      <c r="B1829" s="10"/>
      <c r="C1829" s="10"/>
      <c r="D1829" s="10"/>
      <c r="E1829" s="10"/>
      <c r="F1829" s="10"/>
      <c r="G1829" s="10"/>
      <c r="H1829" s="10"/>
      <c r="I1829" s="1" t="str">
        <f t="shared" si="84"/>
        <v/>
      </c>
      <c r="J1829" s="1" t="s">
        <v>35</v>
      </c>
      <c r="K1829" s="1" t="str">
        <f t="shared" si="85"/>
        <v/>
      </c>
      <c r="L1829" s="1" t="str">
        <f t="shared" si="86"/>
        <v/>
      </c>
      <c r="M1829" s="1">
        <f>IF(OR(Table1[[#This Row],[Std Nom]]="",Table1[[#This Row],[Std Read]]=""),0,Table1[[#This Row],[Std Nom]]-Table1[[#This Row],[Std Read]])</f>
        <v>0</v>
      </c>
      <c r="N1829" s="1">
        <f>IF(Calculations!$F$5="ACCREDITED 17025 WITH UNCERTAINTIES",$N$10,0)</f>
        <v>0</v>
      </c>
      <c r="Q1829" s="1">
        <f>Table1[[#This Row],[High Tol]]-Table1[[#This Row],[Low Tol]]</f>
        <v>0</v>
      </c>
      <c r="R1829" s="1">
        <f>2*Table1[[#This Row],[Std Error]]</f>
        <v>0</v>
      </c>
      <c r="S1829" s="1" t="str">
        <f>IF(Table1[[#This Row],[High Tol]]="","N/A",IFERROR(ABS(Table1[[#This Row],[Tol Span]]/Table1[[#This Row],[Error Span]]),"N/A"))</f>
        <v>N/A</v>
      </c>
      <c r="T1829" s="1" t="str">
        <f>IF(OR(Table1[[#This Row],[Low Tol]]="",Table1[[#This Row],[High Tol]]=""),"Needs Analysis",IF(Table1[[#This Row],[Ratio]]&gt;=4,"Not Significant",IF(Table1[[#This Row],[Ratio]]&gt;=2,"Semi-Significant","Significant")))</f>
        <v>Needs Analysis</v>
      </c>
      <c r="W1829" s="1">
        <f>IF(Table1[[#This Row],[Cal Type]]&lt;&gt;"ACCREDITED 17025 WITH UNCERTAINTIES",0,"")</f>
        <v>0</v>
      </c>
      <c r="X1829" s="1" t="str">
        <f>IF(Table1[[#This Row],[DUT Read]]="","N/A",Table1[[#This Row],[Std Error]]+Table1[[#This Row],[DUT Read]]+Table1[[#This Row],[DUT Ucty]])</f>
        <v>N/A</v>
      </c>
      <c r="Y1829" s="1" t="str">
        <f>IF(Table1[[#This Row],[Std Read]]="","N/A",Table1[[#This Row],[Std Read]]+Table1[[#This Row],[Std Ucty]])</f>
        <v>N/A</v>
      </c>
      <c r="Z18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29" s="1" t="str">
        <f>IF(Table1[[#This Row],[Spec Type]]="","N/A",Table1[[#This Row],[Spec Type]])</f>
        <v>±</v>
      </c>
      <c r="AC1829" s="1" t="str">
        <f>IF(Table1[[#This Row],[Spec Type2]]="N/A","N/A",IF(AND(Table1[[#This Row],[DUT Adj Read]]&gt;=Table1[[#This Row],[Low Tol]],Table1[[#This Row],[DUT Adj Read]]&lt;=Table1[[#This Row],[High Tol]]),"Pass","Fail"))</f>
        <v>Fail</v>
      </c>
      <c r="AD1829" s="1" t="str">
        <f>IF(AND(Table1[[#This Row],[Spec Type2]]="N/A",Table1[[#This Row],[DUT Adj Read]]="N/A",Table1[[#This Row],[Std Adj Read]]="N/A"),"N/A",IF(Table1[[#This Row],[DUT Adj Read]]="N/A",IF(Table1[[#This Row],[Std Adj Read]]&gt;Table1[[#This Row],[Low Tol]],"Pass","Fail"),IF(Table1[[#This Row],[DUT Adj Read]]&gt;Table1[[#This Row],[Low Tol]],"Pass","Fail")))</f>
        <v>Pass</v>
      </c>
      <c r="AE1829" s="1" t="str">
        <f>IF(AND(Table1[[#This Row],[Spec Type2]]="N/A",Table1[[#This Row],[DUT Adj Read]]="N/A",Table1[[#This Row],[Std Adj Read]]="N/A"),"N/A",IF(Table1[[#This Row],[DUT Adj Read]]="N/A",IF(Table1[[#This Row],[Std Adj Read]]&lt;Table1[[#This Row],[High Tol]],"Pass","Fail"),IF(Table1[[#This Row],[DUT Adj Read]]&lt;Table1[[#This Row],[High Tol]],"Pass","Fail")))</f>
        <v>Fail</v>
      </c>
      <c r="AF1829" s="1" t="str">
        <f>IF(AND(Table1[[#This Row],[Spec Type2]]="N/A",Table1[[#This Row],[DUT Adj Read]]="N/A",Table1[[#This Row],[Std Adj Read]]="N/A"),"N/A",IF(Table1[[#This Row],[DUT Adj Read]]="N/A",IF(Table1[[#This Row],[Std Adj Read]]&gt;=Table1[[#This Row],[Low Tol]],"Pass","Fail"),IF(Table1[[#This Row],[DUT Adj Read]]&gt;=Table1[[#This Row],[Low Tol]],"Pass","Fail")))</f>
        <v>Pass</v>
      </c>
      <c r="AG1829" s="1" t="str">
        <f>IF(AND(Table1[[#This Row],[Spec Type2]]="N/A",Table1[[#This Row],[DUT Adj Read]]="N/A",Table1[[#This Row],[Std Adj Read]]="N/A"),"N/A",IF(Table1[[#This Row],[DUT Adj Read]]="N/A",IF(Table1[[#This Row],[Std Adj Read]]&lt;=Table1[[#This Row],[High Tol]],"Pass","Fail"),IF(Table1[[#This Row],[DUT Adj Read]]&lt;=Table1[[#This Row],[High Tol]],"Pass","Fail")))</f>
        <v>Fail</v>
      </c>
      <c r="AH18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29" s="1" t="b">
        <v>0</v>
      </c>
      <c r="AN1829" s="1" t="b">
        <v>0</v>
      </c>
      <c r="AO1829" s="1" t="b">
        <v>0</v>
      </c>
    </row>
    <row r="1830" spans="1:41" x14ac:dyDescent="0.25">
      <c r="A1830" s="10"/>
      <c r="B1830" s="10"/>
      <c r="C1830" s="10"/>
      <c r="D1830" s="10"/>
      <c r="E1830" s="10"/>
      <c r="F1830" s="10"/>
      <c r="G1830" s="10"/>
      <c r="H1830" s="10"/>
      <c r="I1830" s="1" t="str">
        <f t="shared" si="84"/>
        <v/>
      </c>
      <c r="J1830" s="1" t="s">
        <v>35</v>
      </c>
      <c r="K1830" s="1" t="str">
        <f t="shared" si="85"/>
        <v/>
      </c>
      <c r="L1830" s="1" t="str">
        <f t="shared" si="86"/>
        <v/>
      </c>
      <c r="M1830" s="1">
        <f>IF(OR(Table1[[#This Row],[Std Nom]]="",Table1[[#This Row],[Std Read]]=""),0,Table1[[#This Row],[Std Nom]]-Table1[[#This Row],[Std Read]])</f>
        <v>0</v>
      </c>
      <c r="N1830" s="1">
        <f>IF(Calculations!$F$5="ACCREDITED 17025 WITH UNCERTAINTIES",$N$10,0)</f>
        <v>0</v>
      </c>
      <c r="Q1830" s="1">
        <f>Table1[[#This Row],[High Tol]]-Table1[[#This Row],[Low Tol]]</f>
        <v>0</v>
      </c>
      <c r="R1830" s="1">
        <f>2*Table1[[#This Row],[Std Error]]</f>
        <v>0</v>
      </c>
      <c r="S1830" s="1" t="str">
        <f>IF(Table1[[#This Row],[High Tol]]="","N/A",IFERROR(ABS(Table1[[#This Row],[Tol Span]]/Table1[[#This Row],[Error Span]]),"N/A"))</f>
        <v>N/A</v>
      </c>
      <c r="T1830" s="1" t="str">
        <f>IF(OR(Table1[[#This Row],[Low Tol]]="",Table1[[#This Row],[High Tol]]=""),"Needs Analysis",IF(Table1[[#This Row],[Ratio]]&gt;=4,"Not Significant",IF(Table1[[#This Row],[Ratio]]&gt;=2,"Semi-Significant","Significant")))</f>
        <v>Needs Analysis</v>
      </c>
      <c r="W1830" s="1">
        <f>IF(Table1[[#This Row],[Cal Type]]&lt;&gt;"ACCREDITED 17025 WITH UNCERTAINTIES",0,"")</f>
        <v>0</v>
      </c>
      <c r="X1830" s="1" t="str">
        <f>IF(Table1[[#This Row],[DUT Read]]="","N/A",Table1[[#This Row],[Std Error]]+Table1[[#This Row],[DUT Read]]+Table1[[#This Row],[DUT Ucty]])</f>
        <v>N/A</v>
      </c>
      <c r="Y1830" s="1" t="str">
        <f>IF(Table1[[#This Row],[Std Read]]="","N/A",Table1[[#This Row],[Std Read]]+Table1[[#This Row],[Std Ucty]])</f>
        <v>N/A</v>
      </c>
      <c r="Z18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0" s="1" t="str">
        <f>IF(Table1[[#This Row],[Spec Type]]="","N/A",Table1[[#This Row],[Spec Type]])</f>
        <v>±</v>
      </c>
      <c r="AC1830" s="1" t="str">
        <f>IF(Table1[[#This Row],[Spec Type2]]="N/A","N/A",IF(AND(Table1[[#This Row],[DUT Adj Read]]&gt;=Table1[[#This Row],[Low Tol]],Table1[[#This Row],[DUT Adj Read]]&lt;=Table1[[#This Row],[High Tol]]),"Pass","Fail"))</f>
        <v>Fail</v>
      </c>
      <c r="AD1830" s="1" t="str">
        <f>IF(AND(Table1[[#This Row],[Spec Type2]]="N/A",Table1[[#This Row],[DUT Adj Read]]="N/A",Table1[[#This Row],[Std Adj Read]]="N/A"),"N/A",IF(Table1[[#This Row],[DUT Adj Read]]="N/A",IF(Table1[[#This Row],[Std Adj Read]]&gt;Table1[[#This Row],[Low Tol]],"Pass","Fail"),IF(Table1[[#This Row],[DUT Adj Read]]&gt;Table1[[#This Row],[Low Tol]],"Pass","Fail")))</f>
        <v>Pass</v>
      </c>
      <c r="AE1830" s="1" t="str">
        <f>IF(AND(Table1[[#This Row],[Spec Type2]]="N/A",Table1[[#This Row],[DUT Adj Read]]="N/A",Table1[[#This Row],[Std Adj Read]]="N/A"),"N/A",IF(Table1[[#This Row],[DUT Adj Read]]="N/A",IF(Table1[[#This Row],[Std Adj Read]]&lt;Table1[[#This Row],[High Tol]],"Pass","Fail"),IF(Table1[[#This Row],[DUT Adj Read]]&lt;Table1[[#This Row],[High Tol]],"Pass","Fail")))</f>
        <v>Fail</v>
      </c>
      <c r="AF1830" s="1" t="str">
        <f>IF(AND(Table1[[#This Row],[Spec Type2]]="N/A",Table1[[#This Row],[DUT Adj Read]]="N/A",Table1[[#This Row],[Std Adj Read]]="N/A"),"N/A",IF(Table1[[#This Row],[DUT Adj Read]]="N/A",IF(Table1[[#This Row],[Std Adj Read]]&gt;=Table1[[#This Row],[Low Tol]],"Pass","Fail"),IF(Table1[[#This Row],[DUT Adj Read]]&gt;=Table1[[#This Row],[Low Tol]],"Pass","Fail")))</f>
        <v>Pass</v>
      </c>
      <c r="AG1830" s="1" t="str">
        <f>IF(AND(Table1[[#This Row],[Spec Type2]]="N/A",Table1[[#This Row],[DUT Adj Read]]="N/A",Table1[[#This Row],[Std Adj Read]]="N/A"),"N/A",IF(Table1[[#This Row],[DUT Adj Read]]="N/A",IF(Table1[[#This Row],[Std Adj Read]]&lt;=Table1[[#This Row],[High Tol]],"Pass","Fail"),IF(Table1[[#This Row],[DUT Adj Read]]&lt;=Table1[[#This Row],[High Tol]],"Pass","Fail")))</f>
        <v>Fail</v>
      </c>
      <c r="AH18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0" s="1" t="b">
        <v>0</v>
      </c>
      <c r="AN1830" s="1" t="b">
        <v>0</v>
      </c>
      <c r="AO1830" s="1" t="b">
        <v>0</v>
      </c>
    </row>
    <row r="1831" spans="1:41" x14ac:dyDescent="0.25">
      <c r="A1831" s="10"/>
      <c r="B1831" s="10"/>
      <c r="C1831" s="10"/>
      <c r="D1831" s="10"/>
      <c r="E1831" s="10"/>
      <c r="F1831" s="10"/>
      <c r="G1831" s="10"/>
      <c r="H1831" s="10"/>
      <c r="I1831" s="1" t="str">
        <f t="shared" si="84"/>
        <v/>
      </c>
      <c r="J1831" s="1" t="s">
        <v>35</v>
      </c>
      <c r="K1831" s="1" t="str">
        <f t="shared" si="85"/>
        <v/>
      </c>
      <c r="L1831" s="1" t="str">
        <f t="shared" si="86"/>
        <v/>
      </c>
      <c r="M1831" s="1">
        <f>IF(OR(Table1[[#This Row],[Std Nom]]="",Table1[[#This Row],[Std Read]]=""),0,Table1[[#This Row],[Std Nom]]-Table1[[#This Row],[Std Read]])</f>
        <v>0</v>
      </c>
      <c r="N1831" s="1">
        <f>IF(Calculations!$F$5="ACCREDITED 17025 WITH UNCERTAINTIES",$N$10,0)</f>
        <v>0</v>
      </c>
      <c r="Q1831" s="1">
        <f>Table1[[#This Row],[High Tol]]-Table1[[#This Row],[Low Tol]]</f>
        <v>0</v>
      </c>
      <c r="R1831" s="1">
        <f>2*Table1[[#This Row],[Std Error]]</f>
        <v>0</v>
      </c>
      <c r="S1831" s="1" t="str">
        <f>IF(Table1[[#This Row],[High Tol]]="","N/A",IFERROR(ABS(Table1[[#This Row],[Tol Span]]/Table1[[#This Row],[Error Span]]),"N/A"))</f>
        <v>N/A</v>
      </c>
      <c r="T1831" s="1" t="str">
        <f>IF(OR(Table1[[#This Row],[Low Tol]]="",Table1[[#This Row],[High Tol]]=""),"Needs Analysis",IF(Table1[[#This Row],[Ratio]]&gt;=4,"Not Significant",IF(Table1[[#This Row],[Ratio]]&gt;=2,"Semi-Significant","Significant")))</f>
        <v>Needs Analysis</v>
      </c>
      <c r="W1831" s="1">
        <f>IF(Table1[[#This Row],[Cal Type]]&lt;&gt;"ACCREDITED 17025 WITH UNCERTAINTIES",0,"")</f>
        <v>0</v>
      </c>
      <c r="X1831" s="1" t="str">
        <f>IF(Table1[[#This Row],[DUT Read]]="","N/A",Table1[[#This Row],[Std Error]]+Table1[[#This Row],[DUT Read]]+Table1[[#This Row],[DUT Ucty]])</f>
        <v>N/A</v>
      </c>
      <c r="Y1831" s="1" t="str">
        <f>IF(Table1[[#This Row],[Std Read]]="","N/A",Table1[[#This Row],[Std Read]]+Table1[[#This Row],[Std Ucty]])</f>
        <v>N/A</v>
      </c>
      <c r="Z18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1" s="1" t="str">
        <f>IF(Table1[[#This Row],[Spec Type]]="","N/A",Table1[[#This Row],[Spec Type]])</f>
        <v>±</v>
      </c>
      <c r="AC1831" s="1" t="str">
        <f>IF(Table1[[#This Row],[Spec Type2]]="N/A","N/A",IF(AND(Table1[[#This Row],[DUT Adj Read]]&gt;=Table1[[#This Row],[Low Tol]],Table1[[#This Row],[DUT Adj Read]]&lt;=Table1[[#This Row],[High Tol]]),"Pass","Fail"))</f>
        <v>Fail</v>
      </c>
      <c r="AD1831" s="1" t="str">
        <f>IF(AND(Table1[[#This Row],[Spec Type2]]="N/A",Table1[[#This Row],[DUT Adj Read]]="N/A",Table1[[#This Row],[Std Adj Read]]="N/A"),"N/A",IF(Table1[[#This Row],[DUT Adj Read]]="N/A",IF(Table1[[#This Row],[Std Adj Read]]&gt;Table1[[#This Row],[Low Tol]],"Pass","Fail"),IF(Table1[[#This Row],[DUT Adj Read]]&gt;Table1[[#This Row],[Low Tol]],"Pass","Fail")))</f>
        <v>Pass</v>
      </c>
      <c r="AE1831" s="1" t="str">
        <f>IF(AND(Table1[[#This Row],[Spec Type2]]="N/A",Table1[[#This Row],[DUT Adj Read]]="N/A",Table1[[#This Row],[Std Adj Read]]="N/A"),"N/A",IF(Table1[[#This Row],[DUT Adj Read]]="N/A",IF(Table1[[#This Row],[Std Adj Read]]&lt;Table1[[#This Row],[High Tol]],"Pass","Fail"),IF(Table1[[#This Row],[DUT Adj Read]]&lt;Table1[[#This Row],[High Tol]],"Pass","Fail")))</f>
        <v>Fail</v>
      </c>
      <c r="AF1831" s="1" t="str">
        <f>IF(AND(Table1[[#This Row],[Spec Type2]]="N/A",Table1[[#This Row],[DUT Adj Read]]="N/A",Table1[[#This Row],[Std Adj Read]]="N/A"),"N/A",IF(Table1[[#This Row],[DUT Adj Read]]="N/A",IF(Table1[[#This Row],[Std Adj Read]]&gt;=Table1[[#This Row],[Low Tol]],"Pass","Fail"),IF(Table1[[#This Row],[DUT Adj Read]]&gt;=Table1[[#This Row],[Low Tol]],"Pass","Fail")))</f>
        <v>Pass</v>
      </c>
      <c r="AG1831" s="1" t="str">
        <f>IF(AND(Table1[[#This Row],[Spec Type2]]="N/A",Table1[[#This Row],[DUT Adj Read]]="N/A",Table1[[#This Row],[Std Adj Read]]="N/A"),"N/A",IF(Table1[[#This Row],[DUT Adj Read]]="N/A",IF(Table1[[#This Row],[Std Adj Read]]&lt;=Table1[[#This Row],[High Tol]],"Pass","Fail"),IF(Table1[[#This Row],[DUT Adj Read]]&lt;=Table1[[#This Row],[High Tol]],"Pass","Fail")))</f>
        <v>Fail</v>
      </c>
      <c r="AH18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1" s="1" t="b">
        <v>0</v>
      </c>
      <c r="AN1831" s="1" t="b">
        <v>0</v>
      </c>
      <c r="AO1831" s="1" t="b">
        <v>0</v>
      </c>
    </row>
    <row r="1832" spans="1:41" x14ac:dyDescent="0.25">
      <c r="A1832" s="10"/>
      <c r="B1832" s="10"/>
      <c r="C1832" s="10"/>
      <c r="D1832" s="10"/>
      <c r="E1832" s="10"/>
      <c r="F1832" s="10"/>
      <c r="G1832" s="10"/>
      <c r="H1832" s="10"/>
      <c r="I1832" s="1" t="str">
        <f t="shared" si="84"/>
        <v/>
      </c>
      <c r="J1832" s="1" t="s">
        <v>35</v>
      </c>
      <c r="K1832" s="1" t="str">
        <f t="shared" si="85"/>
        <v/>
      </c>
      <c r="L1832" s="1" t="str">
        <f t="shared" si="86"/>
        <v/>
      </c>
      <c r="M1832" s="1">
        <f>IF(OR(Table1[[#This Row],[Std Nom]]="",Table1[[#This Row],[Std Read]]=""),0,Table1[[#This Row],[Std Nom]]-Table1[[#This Row],[Std Read]])</f>
        <v>0</v>
      </c>
      <c r="N1832" s="1">
        <f>IF(Calculations!$F$5="ACCREDITED 17025 WITH UNCERTAINTIES",$N$10,0)</f>
        <v>0</v>
      </c>
      <c r="Q1832" s="1">
        <f>Table1[[#This Row],[High Tol]]-Table1[[#This Row],[Low Tol]]</f>
        <v>0</v>
      </c>
      <c r="R1832" s="1">
        <f>2*Table1[[#This Row],[Std Error]]</f>
        <v>0</v>
      </c>
      <c r="S1832" s="1" t="str">
        <f>IF(Table1[[#This Row],[High Tol]]="","N/A",IFERROR(ABS(Table1[[#This Row],[Tol Span]]/Table1[[#This Row],[Error Span]]),"N/A"))</f>
        <v>N/A</v>
      </c>
      <c r="T1832" s="1" t="str">
        <f>IF(OR(Table1[[#This Row],[Low Tol]]="",Table1[[#This Row],[High Tol]]=""),"Needs Analysis",IF(Table1[[#This Row],[Ratio]]&gt;=4,"Not Significant",IF(Table1[[#This Row],[Ratio]]&gt;=2,"Semi-Significant","Significant")))</f>
        <v>Needs Analysis</v>
      </c>
      <c r="W1832" s="1">
        <f>IF(Table1[[#This Row],[Cal Type]]&lt;&gt;"ACCREDITED 17025 WITH UNCERTAINTIES",0,"")</f>
        <v>0</v>
      </c>
      <c r="X1832" s="1" t="str">
        <f>IF(Table1[[#This Row],[DUT Read]]="","N/A",Table1[[#This Row],[Std Error]]+Table1[[#This Row],[DUT Read]]+Table1[[#This Row],[DUT Ucty]])</f>
        <v>N/A</v>
      </c>
      <c r="Y1832" s="1" t="str">
        <f>IF(Table1[[#This Row],[Std Read]]="","N/A",Table1[[#This Row],[Std Read]]+Table1[[#This Row],[Std Ucty]])</f>
        <v>N/A</v>
      </c>
      <c r="Z18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2" s="1" t="str">
        <f>IF(Table1[[#This Row],[Spec Type]]="","N/A",Table1[[#This Row],[Spec Type]])</f>
        <v>±</v>
      </c>
      <c r="AC1832" s="1" t="str">
        <f>IF(Table1[[#This Row],[Spec Type2]]="N/A","N/A",IF(AND(Table1[[#This Row],[DUT Adj Read]]&gt;=Table1[[#This Row],[Low Tol]],Table1[[#This Row],[DUT Adj Read]]&lt;=Table1[[#This Row],[High Tol]]),"Pass","Fail"))</f>
        <v>Fail</v>
      </c>
      <c r="AD1832" s="1" t="str">
        <f>IF(AND(Table1[[#This Row],[Spec Type2]]="N/A",Table1[[#This Row],[DUT Adj Read]]="N/A",Table1[[#This Row],[Std Adj Read]]="N/A"),"N/A",IF(Table1[[#This Row],[DUT Adj Read]]="N/A",IF(Table1[[#This Row],[Std Adj Read]]&gt;Table1[[#This Row],[Low Tol]],"Pass","Fail"),IF(Table1[[#This Row],[DUT Adj Read]]&gt;Table1[[#This Row],[Low Tol]],"Pass","Fail")))</f>
        <v>Pass</v>
      </c>
      <c r="AE1832" s="1" t="str">
        <f>IF(AND(Table1[[#This Row],[Spec Type2]]="N/A",Table1[[#This Row],[DUT Adj Read]]="N/A",Table1[[#This Row],[Std Adj Read]]="N/A"),"N/A",IF(Table1[[#This Row],[DUT Adj Read]]="N/A",IF(Table1[[#This Row],[Std Adj Read]]&lt;Table1[[#This Row],[High Tol]],"Pass","Fail"),IF(Table1[[#This Row],[DUT Adj Read]]&lt;Table1[[#This Row],[High Tol]],"Pass","Fail")))</f>
        <v>Fail</v>
      </c>
      <c r="AF1832" s="1" t="str">
        <f>IF(AND(Table1[[#This Row],[Spec Type2]]="N/A",Table1[[#This Row],[DUT Adj Read]]="N/A",Table1[[#This Row],[Std Adj Read]]="N/A"),"N/A",IF(Table1[[#This Row],[DUT Adj Read]]="N/A",IF(Table1[[#This Row],[Std Adj Read]]&gt;=Table1[[#This Row],[Low Tol]],"Pass","Fail"),IF(Table1[[#This Row],[DUT Adj Read]]&gt;=Table1[[#This Row],[Low Tol]],"Pass","Fail")))</f>
        <v>Pass</v>
      </c>
      <c r="AG1832" s="1" t="str">
        <f>IF(AND(Table1[[#This Row],[Spec Type2]]="N/A",Table1[[#This Row],[DUT Adj Read]]="N/A",Table1[[#This Row],[Std Adj Read]]="N/A"),"N/A",IF(Table1[[#This Row],[DUT Adj Read]]="N/A",IF(Table1[[#This Row],[Std Adj Read]]&lt;=Table1[[#This Row],[High Tol]],"Pass","Fail"),IF(Table1[[#This Row],[DUT Adj Read]]&lt;=Table1[[#This Row],[High Tol]],"Pass","Fail")))</f>
        <v>Fail</v>
      </c>
      <c r="AH18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2" s="1" t="b">
        <v>0</v>
      </c>
      <c r="AN1832" s="1" t="b">
        <v>0</v>
      </c>
      <c r="AO1832" s="1" t="b">
        <v>0</v>
      </c>
    </row>
    <row r="1833" spans="1:41" x14ac:dyDescent="0.25">
      <c r="A1833" s="10"/>
      <c r="B1833" s="10"/>
      <c r="C1833" s="10"/>
      <c r="D1833" s="10"/>
      <c r="E1833" s="10"/>
      <c r="F1833" s="10"/>
      <c r="G1833" s="10"/>
      <c r="H1833" s="10"/>
      <c r="I1833" s="1" t="str">
        <f t="shared" si="84"/>
        <v/>
      </c>
      <c r="J1833" s="1" t="s">
        <v>35</v>
      </c>
      <c r="K1833" s="1" t="str">
        <f t="shared" si="85"/>
        <v/>
      </c>
      <c r="L1833" s="1" t="str">
        <f t="shared" si="86"/>
        <v/>
      </c>
      <c r="M1833" s="1">
        <f>IF(OR(Table1[[#This Row],[Std Nom]]="",Table1[[#This Row],[Std Read]]=""),0,Table1[[#This Row],[Std Nom]]-Table1[[#This Row],[Std Read]])</f>
        <v>0</v>
      </c>
      <c r="N1833" s="1">
        <f>IF(Calculations!$F$5="ACCREDITED 17025 WITH UNCERTAINTIES",$N$10,0)</f>
        <v>0</v>
      </c>
      <c r="Q1833" s="1">
        <f>Table1[[#This Row],[High Tol]]-Table1[[#This Row],[Low Tol]]</f>
        <v>0</v>
      </c>
      <c r="R1833" s="1">
        <f>2*Table1[[#This Row],[Std Error]]</f>
        <v>0</v>
      </c>
      <c r="S1833" s="1" t="str">
        <f>IF(Table1[[#This Row],[High Tol]]="","N/A",IFERROR(ABS(Table1[[#This Row],[Tol Span]]/Table1[[#This Row],[Error Span]]),"N/A"))</f>
        <v>N/A</v>
      </c>
      <c r="T1833" s="1" t="str">
        <f>IF(OR(Table1[[#This Row],[Low Tol]]="",Table1[[#This Row],[High Tol]]=""),"Needs Analysis",IF(Table1[[#This Row],[Ratio]]&gt;=4,"Not Significant",IF(Table1[[#This Row],[Ratio]]&gt;=2,"Semi-Significant","Significant")))</f>
        <v>Needs Analysis</v>
      </c>
      <c r="W1833" s="1">
        <f>IF(Table1[[#This Row],[Cal Type]]&lt;&gt;"ACCREDITED 17025 WITH UNCERTAINTIES",0,"")</f>
        <v>0</v>
      </c>
      <c r="X1833" s="1" t="str">
        <f>IF(Table1[[#This Row],[DUT Read]]="","N/A",Table1[[#This Row],[Std Error]]+Table1[[#This Row],[DUT Read]]+Table1[[#This Row],[DUT Ucty]])</f>
        <v>N/A</v>
      </c>
      <c r="Y1833" s="1" t="str">
        <f>IF(Table1[[#This Row],[Std Read]]="","N/A",Table1[[#This Row],[Std Read]]+Table1[[#This Row],[Std Ucty]])</f>
        <v>N/A</v>
      </c>
      <c r="Z18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3" s="1" t="str">
        <f>IF(Table1[[#This Row],[Spec Type]]="","N/A",Table1[[#This Row],[Spec Type]])</f>
        <v>±</v>
      </c>
      <c r="AC1833" s="1" t="str">
        <f>IF(Table1[[#This Row],[Spec Type2]]="N/A","N/A",IF(AND(Table1[[#This Row],[DUT Adj Read]]&gt;=Table1[[#This Row],[Low Tol]],Table1[[#This Row],[DUT Adj Read]]&lt;=Table1[[#This Row],[High Tol]]),"Pass","Fail"))</f>
        <v>Fail</v>
      </c>
      <c r="AD1833" s="1" t="str">
        <f>IF(AND(Table1[[#This Row],[Spec Type2]]="N/A",Table1[[#This Row],[DUT Adj Read]]="N/A",Table1[[#This Row],[Std Adj Read]]="N/A"),"N/A",IF(Table1[[#This Row],[DUT Adj Read]]="N/A",IF(Table1[[#This Row],[Std Adj Read]]&gt;Table1[[#This Row],[Low Tol]],"Pass","Fail"),IF(Table1[[#This Row],[DUT Adj Read]]&gt;Table1[[#This Row],[Low Tol]],"Pass","Fail")))</f>
        <v>Pass</v>
      </c>
      <c r="AE1833" s="1" t="str">
        <f>IF(AND(Table1[[#This Row],[Spec Type2]]="N/A",Table1[[#This Row],[DUT Adj Read]]="N/A",Table1[[#This Row],[Std Adj Read]]="N/A"),"N/A",IF(Table1[[#This Row],[DUT Adj Read]]="N/A",IF(Table1[[#This Row],[Std Adj Read]]&lt;Table1[[#This Row],[High Tol]],"Pass","Fail"),IF(Table1[[#This Row],[DUT Adj Read]]&lt;Table1[[#This Row],[High Tol]],"Pass","Fail")))</f>
        <v>Fail</v>
      </c>
      <c r="AF1833" s="1" t="str">
        <f>IF(AND(Table1[[#This Row],[Spec Type2]]="N/A",Table1[[#This Row],[DUT Adj Read]]="N/A",Table1[[#This Row],[Std Adj Read]]="N/A"),"N/A",IF(Table1[[#This Row],[DUT Adj Read]]="N/A",IF(Table1[[#This Row],[Std Adj Read]]&gt;=Table1[[#This Row],[Low Tol]],"Pass","Fail"),IF(Table1[[#This Row],[DUT Adj Read]]&gt;=Table1[[#This Row],[Low Tol]],"Pass","Fail")))</f>
        <v>Pass</v>
      </c>
      <c r="AG1833" s="1" t="str">
        <f>IF(AND(Table1[[#This Row],[Spec Type2]]="N/A",Table1[[#This Row],[DUT Adj Read]]="N/A",Table1[[#This Row],[Std Adj Read]]="N/A"),"N/A",IF(Table1[[#This Row],[DUT Adj Read]]="N/A",IF(Table1[[#This Row],[Std Adj Read]]&lt;=Table1[[#This Row],[High Tol]],"Pass","Fail"),IF(Table1[[#This Row],[DUT Adj Read]]&lt;=Table1[[#This Row],[High Tol]],"Pass","Fail")))</f>
        <v>Fail</v>
      </c>
      <c r="AH18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3" s="1" t="b">
        <v>0</v>
      </c>
      <c r="AN1833" s="1" t="b">
        <v>0</v>
      </c>
      <c r="AO1833" s="1" t="b">
        <v>0</v>
      </c>
    </row>
    <row r="1834" spans="1:41" x14ac:dyDescent="0.25">
      <c r="A1834" s="10"/>
      <c r="B1834" s="10"/>
      <c r="C1834" s="10"/>
      <c r="D1834" s="10"/>
      <c r="E1834" s="10"/>
      <c r="F1834" s="10"/>
      <c r="G1834" s="10"/>
      <c r="H1834" s="10"/>
      <c r="I1834" s="1" t="str">
        <f t="shared" si="84"/>
        <v/>
      </c>
      <c r="J1834" s="1" t="s">
        <v>35</v>
      </c>
      <c r="K1834" s="1" t="str">
        <f t="shared" si="85"/>
        <v/>
      </c>
      <c r="L1834" s="1" t="str">
        <f t="shared" si="86"/>
        <v/>
      </c>
      <c r="M1834" s="1">
        <f>IF(OR(Table1[[#This Row],[Std Nom]]="",Table1[[#This Row],[Std Read]]=""),0,Table1[[#This Row],[Std Nom]]-Table1[[#This Row],[Std Read]])</f>
        <v>0</v>
      </c>
      <c r="N1834" s="1">
        <f>IF(Calculations!$F$5="ACCREDITED 17025 WITH UNCERTAINTIES",$N$10,0)</f>
        <v>0</v>
      </c>
      <c r="Q1834" s="1">
        <f>Table1[[#This Row],[High Tol]]-Table1[[#This Row],[Low Tol]]</f>
        <v>0</v>
      </c>
      <c r="R1834" s="1">
        <f>2*Table1[[#This Row],[Std Error]]</f>
        <v>0</v>
      </c>
      <c r="S1834" s="1" t="str">
        <f>IF(Table1[[#This Row],[High Tol]]="","N/A",IFERROR(ABS(Table1[[#This Row],[Tol Span]]/Table1[[#This Row],[Error Span]]),"N/A"))</f>
        <v>N/A</v>
      </c>
      <c r="T1834" s="1" t="str">
        <f>IF(OR(Table1[[#This Row],[Low Tol]]="",Table1[[#This Row],[High Tol]]=""),"Needs Analysis",IF(Table1[[#This Row],[Ratio]]&gt;=4,"Not Significant",IF(Table1[[#This Row],[Ratio]]&gt;=2,"Semi-Significant","Significant")))</f>
        <v>Needs Analysis</v>
      </c>
      <c r="W1834" s="1">
        <f>IF(Table1[[#This Row],[Cal Type]]&lt;&gt;"ACCREDITED 17025 WITH UNCERTAINTIES",0,"")</f>
        <v>0</v>
      </c>
      <c r="X1834" s="1" t="str">
        <f>IF(Table1[[#This Row],[DUT Read]]="","N/A",Table1[[#This Row],[Std Error]]+Table1[[#This Row],[DUT Read]]+Table1[[#This Row],[DUT Ucty]])</f>
        <v>N/A</v>
      </c>
      <c r="Y1834" s="1" t="str">
        <f>IF(Table1[[#This Row],[Std Read]]="","N/A",Table1[[#This Row],[Std Read]]+Table1[[#This Row],[Std Ucty]])</f>
        <v>N/A</v>
      </c>
      <c r="Z18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4" s="1" t="str">
        <f>IF(Table1[[#This Row],[Spec Type]]="","N/A",Table1[[#This Row],[Spec Type]])</f>
        <v>±</v>
      </c>
      <c r="AC1834" s="1" t="str">
        <f>IF(Table1[[#This Row],[Spec Type2]]="N/A","N/A",IF(AND(Table1[[#This Row],[DUT Adj Read]]&gt;=Table1[[#This Row],[Low Tol]],Table1[[#This Row],[DUT Adj Read]]&lt;=Table1[[#This Row],[High Tol]]),"Pass","Fail"))</f>
        <v>Fail</v>
      </c>
      <c r="AD1834" s="1" t="str">
        <f>IF(AND(Table1[[#This Row],[Spec Type2]]="N/A",Table1[[#This Row],[DUT Adj Read]]="N/A",Table1[[#This Row],[Std Adj Read]]="N/A"),"N/A",IF(Table1[[#This Row],[DUT Adj Read]]="N/A",IF(Table1[[#This Row],[Std Adj Read]]&gt;Table1[[#This Row],[Low Tol]],"Pass","Fail"),IF(Table1[[#This Row],[DUT Adj Read]]&gt;Table1[[#This Row],[Low Tol]],"Pass","Fail")))</f>
        <v>Pass</v>
      </c>
      <c r="AE1834" s="1" t="str">
        <f>IF(AND(Table1[[#This Row],[Spec Type2]]="N/A",Table1[[#This Row],[DUT Adj Read]]="N/A",Table1[[#This Row],[Std Adj Read]]="N/A"),"N/A",IF(Table1[[#This Row],[DUT Adj Read]]="N/A",IF(Table1[[#This Row],[Std Adj Read]]&lt;Table1[[#This Row],[High Tol]],"Pass","Fail"),IF(Table1[[#This Row],[DUT Adj Read]]&lt;Table1[[#This Row],[High Tol]],"Pass","Fail")))</f>
        <v>Fail</v>
      </c>
      <c r="AF1834" s="1" t="str">
        <f>IF(AND(Table1[[#This Row],[Spec Type2]]="N/A",Table1[[#This Row],[DUT Adj Read]]="N/A",Table1[[#This Row],[Std Adj Read]]="N/A"),"N/A",IF(Table1[[#This Row],[DUT Adj Read]]="N/A",IF(Table1[[#This Row],[Std Adj Read]]&gt;=Table1[[#This Row],[Low Tol]],"Pass","Fail"),IF(Table1[[#This Row],[DUT Adj Read]]&gt;=Table1[[#This Row],[Low Tol]],"Pass","Fail")))</f>
        <v>Pass</v>
      </c>
      <c r="AG1834" s="1" t="str">
        <f>IF(AND(Table1[[#This Row],[Spec Type2]]="N/A",Table1[[#This Row],[DUT Adj Read]]="N/A",Table1[[#This Row],[Std Adj Read]]="N/A"),"N/A",IF(Table1[[#This Row],[DUT Adj Read]]="N/A",IF(Table1[[#This Row],[Std Adj Read]]&lt;=Table1[[#This Row],[High Tol]],"Pass","Fail"),IF(Table1[[#This Row],[DUT Adj Read]]&lt;=Table1[[#This Row],[High Tol]],"Pass","Fail")))</f>
        <v>Fail</v>
      </c>
      <c r="AH18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4" s="1" t="b">
        <v>0</v>
      </c>
      <c r="AN1834" s="1" t="b">
        <v>0</v>
      </c>
      <c r="AO1834" s="1" t="b">
        <v>0</v>
      </c>
    </row>
    <row r="1835" spans="1:41" x14ac:dyDescent="0.25">
      <c r="A1835" s="10"/>
      <c r="B1835" s="10"/>
      <c r="C1835" s="10"/>
      <c r="D1835" s="10"/>
      <c r="E1835" s="10"/>
      <c r="F1835" s="10"/>
      <c r="G1835" s="10"/>
      <c r="H1835" s="10"/>
      <c r="I1835" s="1" t="str">
        <f t="shared" si="84"/>
        <v/>
      </c>
      <c r="J1835" s="1" t="s">
        <v>35</v>
      </c>
      <c r="K1835" s="1" t="str">
        <f t="shared" si="85"/>
        <v/>
      </c>
      <c r="L1835" s="1" t="str">
        <f t="shared" si="86"/>
        <v/>
      </c>
      <c r="M1835" s="1">
        <f>IF(OR(Table1[[#This Row],[Std Nom]]="",Table1[[#This Row],[Std Read]]=""),0,Table1[[#This Row],[Std Nom]]-Table1[[#This Row],[Std Read]])</f>
        <v>0</v>
      </c>
      <c r="N1835" s="1">
        <f>IF(Calculations!$F$5="ACCREDITED 17025 WITH UNCERTAINTIES",$N$10,0)</f>
        <v>0</v>
      </c>
      <c r="Q1835" s="1">
        <f>Table1[[#This Row],[High Tol]]-Table1[[#This Row],[Low Tol]]</f>
        <v>0</v>
      </c>
      <c r="R1835" s="1">
        <f>2*Table1[[#This Row],[Std Error]]</f>
        <v>0</v>
      </c>
      <c r="S1835" s="1" t="str">
        <f>IF(Table1[[#This Row],[High Tol]]="","N/A",IFERROR(ABS(Table1[[#This Row],[Tol Span]]/Table1[[#This Row],[Error Span]]),"N/A"))</f>
        <v>N/A</v>
      </c>
      <c r="T1835" s="1" t="str">
        <f>IF(OR(Table1[[#This Row],[Low Tol]]="",Table1[[#This Row],[High Tol]]=""),"Needs Analysis",IF(Table1[[#This Row],[Ratio]]&gt;=4,"Not Significant",IF(Table1[[#This Row],[Ratio]]&gt;=2,"Semi-Significant","Significant")))</f>
        <v>Needs Analysis</v>
      </c>
      <c r="W1835" s="1">
        <f>IF(Table1[[#This Row],[Cal Type]]&lt;&gt;"ACCREDITED 17025 WITH UNCERTAINTIES",0,"")</f>
        <v>0</v>
      </c>
      <c r="X1835" s="1" t="str">
        <f>IF(Table1[[#This Row],[DUT Read]]="","N/A",Table1[[#This Row],[Std Error]]+Table1[[#This Row],[DUT Read]]+Table1[[#This Row],[DUT Ucty]])</f>
        <v>N/A</v>
      </c>
      <c r="Y1835" s="1" t="str">
        <f>IF(Table1[[#This Row],[Std Read]]="","N/A",Table1[[#This Row],[Std Read]]+Table1[[#This Row],[Std Ucty]])</f>
        <v>N/A</v>
      </c>
      <c r="Z18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5" s="1" t="str">
        <f>IF(Table1[[#This Row],[Spec Type]]="","N/A",Table1[[#This Row],[Spec Type]])</f>
        <v>±</v>
      </c>
      <c r="AC1835" s="1" t="str">
        <f>IF(Table1[[#This Row],[Spec Type2]]="N/A","N/A",IF(AND(Table1[[#This Row],[DUT Adj Read]]&gt;=Table1[[#This Row],[Low Tol]],Table1[[#This Row],[DUT Adj Read]]&lt;=Table1[[#This Row],[High Tol]]),"Pass","Fail"))</f>
        <v>Fail</v>
      </c>
      <c r="AD1835" s="1" t="str">
        <f>IF(AND(Table1[[#This Row],[Spec Type2]]="N/A",Table1[[#This Row],[DUT Adj Read]]="N/A",Table1[[#This Row],[Std Adj Read]]="N/A"),"N/A",IF(Table1[[#This Row],[DUT Adj Read]]="N/A",IF(Table1[[#This Row],[Std Adj Read]]&gt;Table1[[#This Row],[Low Tol]],"Pass","Fail"),IF(Table1[[#This Row],[DUT Adj Read]]&gt;Table1[[#This Row],[Low Tol]],"Pass","Fail")))</f>
        <v>Pass</v>
      </c>
      <c r="AE1835" s="1" t="str">
        <f>IF(AND(Table1[[#This Row],[Spec Type2]]="N/A",Table1[[#This Row],[DUT Adj Read]]="N/A",Table1[[#This Row],[Std Adj Read]]="N/A"),"N/A",IF(Table1[[#This Row],[DUT Adj Read]]="N/A",IF(Table1[[#This Row],[Std Adj Read]]&lt;Table1[[#This Row],[High Tol]],"Pass","Fail"),IF(Table1[[#This Row],[DUT Adj Read]]&lt;Table1[[#This Row],[High Tol]],"Pass","Fail")))</f>
        <v>Fail</v>
      </c>
      <c r="AF1835" s="1" t="str">
        <f>IF(AND(Table1[[#This Row],[Spec Type2]]="N/A",Table1[[#This Row],[DUT Adj Read]]="N/A",Table1[[#This Row],[Std Adj Read]]="N/A"),"N/A",IF(Table1[[#This Row],[DUT Adj Read]]="N/A",IF(Table1[[#This Row],[Std Adj Read]]&gt;=Table1[[#This Row],[Low Tol]],"Pass","Fail"),IF(Table1[[#This Row],[DUT Adj Read]]&gt;=Table1[[#This Row],[Low Tol]],"Pass","Fail")))</f>
        <v>Pass</v>
      </c>
      <c r="AG1835" s="1" t="str">
        <f>IF(AND(Table1[[#This Row],[Spec Type2]]="N/A",Table1[[#This Row],[DUT Adj Read]]="N/A",Table1[[#This Row],[Std Adj Read]]="N/A"),"N/A",IF(Table1[[#This Row],[DUT Adj Read]]="N/A",IF(Table1[[#This Row],[Std Adj Read]]&lt;=Table1[[#This Row],[High Tol]],"Pass","Fail"),IF(Table1[[#This Row],[DUT Adj Read]]&lt;=Table1[[#This Row],[High Tol]],"Pass","Fail")))</f>
        <v>Fail</v>
      </c>
      <c r="AH18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5" s="1" t="b">
        <v>0</v>
      </c>
      <c r="AN1835" s="1" t="b">
        <v>0</v>
      </c>
      <c r="AO1835" s="1" t="b">
        <v>0</v>
      </c>
    </row>
    <row r="1836" spans="1:41" x14ac:dyDescent="0.25">
      <c r="A1836" s="10"/>
      <c r="B1836" s="10"/>
      <c r="C1836" s="10"/>
      <c r="D1836" s="10"/>
      <c r="E1836" s="10"/>
      <c r="F1836" s="10"/>
      <c r="G1836" s="10"/>
      <c r="H1836" s="10"/>
      <c r="I1836" s="1" t="str">
        <f t="shared" si="84"/>
        <v/>
      </c>
      <c r="J1836" s="1" t="s">
        <v>35</v>
      </c>
      <c r="K1836" s="1" t="str">
        <f t="shared" si="85"/>
        <v/>
      </c>
      <c r="L1836" s="1" t="str">
        <f t="shared" si="86"/>
        <v/>
      </c>
      <c r="M1836" s="1">
        <f>IF(OR(Table1[[#This Row],[Std Nom]]="",Table1[[#This Row],[Std Read]]=""),0,Table1[[#This Row],[Std Nom]]-Table1[[#This Row],[Std Read]])</f>
        <v>0</v>
      </c>
      <c r="N1836" s="1">
        <f>IF(Calculations!$F$5="ACCREDITED 17025 WITH UNCERTAINTIES",$N$10,0)</f>
        <v>0</v>
      </c>
      <c r="Q1836" s="1">
        <f>Table1[[#This Row],[High Tol]]-Table1[[#This Row],[Low Tol]]</f>
        <v>0</v>
      </c>
      <c r="R1836" s="1">
        <f>2*Table1[[#This Row],[Std Error]]</f>
        <v>0</v>
      </c>
      <c r="S1836" s="1" t="str">
        <f>IF(Table1[[#This Row],[High Tol]]="","N/A",IFERROR(ABS(Table1[[#This Row],[Tol Span]]/Table1[[#This Row],[Error Span]]),"N/A"))</f>
        <v>N/A</v>
      </c>
      <c r="T1836" s="1" t="str">
        <f>IF(OR(Table1[[#This Row],[Low Tol]]="",Table1[[#This Row],[High Tol]]=""),"Needs Analysis",IF(Table1[[#This Row],[Ratio]]&gt;=4,"Not Significant",IF(Table1[[#This Row],[Ratio]]&gt;=2,"Semi-Significant","Significant")))</f>
        <v>Needs Analysis</v>
      </c>
      <c r="W1836" s="1">
        <f>IF(Table1[[#This Row],[Cal Type]]&lt;&gt;"ACCREDITED 17025 WITH UNCERTAINTIES",0,"")</f>
        <v>0</v>
      </c>
      <c r="X1836" s="1" t="str">
        <f>IF(Table1[[#This Row],[DUT Read]]="","N/A",Table1[[#This Row],[Std Error]]+Table1[[#This Row],[DUT Read]]+Table1[[#This Row],[DUT Ucty]])</f>
        <v>N/A</v>
      </c>
      <c r="Y1836" s="1" t="str">
        <f>IF(Table1[[#This Row],[Std Read]]="","N/A",Table1[[#This Row],[Std Read]]+Table1[[#This Row],[Std Ucty]])</f>
        <v>N/A</v>
      </c>
      <c r="Z18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6" s="1" t="str">
        <f>IF(Table1[[#This Row],[Spec Type]]="","N/A",Table1[[#This Row],[Spec Type]])</f>
        <v>±</v>
      </c>
      <c r="AC1836" s="1" t="str">
        <f>IF(Table1[[#This Row],[Spec Type2]]="N/A","N/A",IF(AND(Table1[[#This Row],[DUT Adj Read]]&gt;=Table1[[#This Row],[Low Tol]],Table1[[#This Row],[DUT Adj Read]]&lt;=Table1[[#This Row],[High Tol]]),"Pass","Fail"))</f>
        <v>Fail</v>
      </c>
      <c r="AD1836" s="1" t="str">
        <f>IF(AND(Table1[[#This Row],[Spec Type2]]="N/A",Table1[[#This Row],[DUT Adj Read]]="N/A",Table1[[#This Row],[Std Adj Read]]="N/A"),"N/A",IF(Table1[[#This Row],[DUT Adj Read]]="N/A",IF(Table1[[#This Row],[Std Adj Read]]&gt;Table1[[#This Row],[Low Tol]],"Pass","Fail"),IF(Table1[[#This Row],[DUT Adj Read]]&gt;Table1[[#This Row],[Low Tol]],"Pass","Fail")))</f>
        <v>Pass</v>
      </c>
      <c r="AE1836" s="1" t="str">
        <f>IF(AND(Table1[[#This Row],[Spec Type2]]="N/A",Table1[[#This Row],[DUT Adj Read]]="N/A",Table1[[#This Row],[Std Adj Read]]="N/A"),"N/A",IF(Table1[[#This Row],[DUT Adj Read]]="N/A",IF(Table1[[#This Row],[Std Adj Read]]&lt;Table1[[#This Row],[High Tol]],"Pass","Fail"),IF(Table1[[#This Row],[DUT Adj Read]]&lt;Table1[[#This Row],[High Tol]],"Pass","Fail")))</f>
        <v>Fail</v>
      </c>
      <c r="AF1836" s="1" t="str">
        <f>IF(AND(Table1[[#This Row],[Spec Type2]]="N/A",Table1[[#This Row],[DUT Adj Read]]="N/A",Table1[[#This Row],[Std Adj Read]]="N/A"),"N/A",IF(Table1[[#This Row],[DUT Adj Read]]="N/A",IF(Table1[[#This Row],[Std Adj Read]]&gt;=Table1[[#This Row],[Low Tol]],"Pass","Fail"),IF(Table1[[#This Row],[DUT Adj Read]]&gt;=Table1[[#This Row],[Low Tol]],"Pass","Fail")))</f>
        <v>Pass</v>
      </c>
      <c r="AG1836" s="1" t="str">
        <f>IF(AND(Table1[[#This Row],[Spec Type2]]="N/A",Table1[[#This Row],[DUT Adj Read]]="N/A",Table1[[#This Row],[Std Adj Read]]="N/A"),"N/A",IF(Table1[[#This Row],[DUT Adj Read]]="N/A",IF(Table1[[#This Row],[Std Adj Read]]&lt;=Table1[[#This Row],[High Tol]],"Pass","Fail"),IF(Table1[[#This Row],[DUT Adj Read]]&lt;=Table1[[#This Row],[High Tol]],"Pass","Fail")))</f>
        <v>Fail</v>
      </c>
      <c r="AH18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6" s="1" t="b">
        <v>0</v>
      </c>
      <c r="AN1836" s="1" t="b">
        <v>0</v>
      </c>
      <c r="AO1836" s="1" t="b">
        <v>0</v>
      </c>
    </row>
    <row r="1837" spans="1:41" x14ac:dyDescent="0.25">
      <c r="A1837" s="10"/>
      <c r="B1837" s="10"/>
      <c r="C1837" s="10"/>
      <c r="D1837" s="10"/>
      <c r="E1837" s="10"/>
      <c r="F1837" s="10"/>
      <c r="G1837" s="10"/>
      <c r="H1837" s="10"/>
      <c r="I1837" s="1" t="str">
        <f t="shared" si="84"/>
        <v/>
      </c>
      <c r="J1837" s="1" t="s">
        <v>35</v>
      </c>
      <c r="K1837" s="1" t="str">
        <f t="shared" si="85"/>
        <v/>
      </c>
      <c r="L1837" s="1" t="str">
        <f t="shared" si="86"/>
        <v/>
      </c>
      <c r="M1837" s="1">
        <f>IF(OR(Table1[[#This Row],[Std Nom]]="",Table1[[#This Row],[Std Read]]=""),0,Table1[[#This Row],[Std Nom]]-Table1[[#This Row],[Std Read]])</f>
        <v>0</v>
      </c>
      <c r="N1837" s="1">
        <f>IF(Calculations!$F$5="ACCREDITED 17025 WITH UNCERTAINTIES",$N$10,0)</f>
        <v>0</v>
      </c>
      <c r="Q1837" s="1">
        <f>Table1[[#This Row],[High Tol]]-Table1[[#This Row],[Low Tol]]</f>
        <v>0</v>
      </c>
      <c r="R1837" s="1">
        <f>2*Table1[[#This Row],[Std Error]]</f>
        <v>0</v>
      </c>
      <c r="S1837" s="1" t="str">
        <f>IF(Table1[[#This Row],[High Tol]]="","N/A",IFERROR(ABS(Table1[[#This Row],[Tol Span]]/Table1[[#This Row],[Error Span]]),"N/A"))</f>
        <v>N/A</v>
      </c>
      <c r="T1837" s="1" t="str">
        <f>IF(OR(Table1[[#This Row],[Low Tol]]="",Table1[[#This Row],[High Tol]]=""),"Needs Analysis",IF(Table1[[#This Row],[Ratio]]&gt;=4,"Not Significant",IF(Table1[[#This Row],[Ratio]]&gt;=2,"Semi-Significant","Significant")))</f>
        <v>Needs Analysis</v>
      </c>
      <c r="W1837" s="1">
        <f>IF(Table1[[#This Row],[Cal Type]]&lt;&gt;"ACCREDITED 17025 WITH UNCERTAINTIES",0,"")</f>
        <v>0</v>
      </c>
      <c r="X1837" s="1" t="str">
        <f>IF(Table1[[#This Row],[DUT Read]]="","N/A",Table1[[#This Row],[Std Error]]+Table1[[#This Row],[DUT Read]]+Table1[[#This Row],[DUT Ucty]])</f>
        <v>N/A</v>
      </c>
      <c r="Y1837" s="1" t="str">
        <f>IF(Table1[[#This Row],[Std Read]]="","N/A",Table1[[#This Row],[Std Read]]+Table1[[#This Row],[Std Ucty]])</f>
        <v>N/A</v>
      </c>
      <c r="Z18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7" s="1" t="str">
        <f>IF(Table1[[#This Row],[Spec Type]]="","N/A",Table1[[#This Row],[Spec Type]])</f>
        <v>±</v>
      </c>
      <c r="AC1837" s="1" t="str">
        <f>IF(Table1[[#This Row],[Spec Type2]]="N/A","N/A",IF(AND(Table1[[#This Row],[DUT Adj Read]]&gt;=Table1[[#This Row],[Low Tol]],Table1[[#This Row],[DUT Adj Read]]&lt;=Table1[[#This Row],[High Tol]]),"Pass","Fail"))</f>
        <v>Fail</v>
      </c>
      <c r="AD1837" s="1" t="str">
        <f>IF(AND(Table1[[#This Row],[Spec Type2]]="N/A",Table1[[#This Row],[DUT Adj Read]]="N/A",Table1[[#This Row],[Std Adj Read]]="N/A"),"N/A",IF(Table1[[#This Row],[DUT Adj Read]]="N/A",IF(Table1[[#This Row],[Std Adj Read]]&gt;Table1[[#This Row],[Low Tol]],"Pass","Fail"),IF(Table1[[#This Row],[DUT Adj Read]]&gt;Table1[[#This Row],[Low Tol]],"Pass","Fail")))</f>
        <v>Pass</v>
      </c>
      <c r="AE1837" s="1" t="str">
        <f>IF(AND(Table1[[#This Row],[Spec Type2]]="N/A",Table1[[#This Row],[DUT Adj Read]]="N/A",Table1[[#This Row],[Std Adj Read]]="N/A"),"N/A",IF(Table1[[#This Row],[DUT Adj Read]]="N/A",IF(Table1[[#This Row],[Std Adj Read]]&lt;Table1[[#This Row],[High Tol]],"Pass","Fail"),IF(Table1[[#This Row],[DUT Adj Read]]&lt;Table1[[#This Row],[High Tol]],"Pass","Fail")))</f>
        <v>Fail</v>
      </c>
      <c r="AF1837" s="1" t="str">
        <f>IF(AND(Table1[[#This Row],[Spec Type2]]="N/A",Table1[[#This Row],[DUT Adj Read]]="N/A",Table1[[#This Row],[Std Adj Read]]="N/A"),"N/A",IF(Table1[[#This Row],[DUT Adj Read]]="N/A",IF(Table1[[#This Row],[Std Adj Read]]&gt;=Table1[[#This Row],[Low Tol]],"Pass","Fail"),IF(Table1[[#This Row],[DUT Adj Read]]&gt;=Table1[[#This Row],[Low Tol]],"Pass","Fail")))</f>
        <v>Pass</v>
      </c>
      <c r="AG1837" s="1" t="str">
        <f>IF(AND(Table1[[#This Row],[Spec Type2]]="N/A",Table1[[#This Row],[DUT Adj Read]]="N/A",Table1[[#This Row],[Std Adj Read]]="N/A"),"N/A",IF(Table1[[#This Row],[DUT Adj Read]]="N/A",IF(Table1[[#This Row],[Std Adj Read]]&lt;=Table1[[#This Row],[High Tol]],"Pass","Fail"),IF(Table1[[#This Row],[DUT Adj Read]]&lt;=Table1[[#This Row],[High Tol]],"Pass","Fail")))</f>
        <v>Fail</v>
      </c>
      <c r="AH18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7" s="1" t="b">
        <v>0</v>
      </c>
      <c r="AN1837" s="1" t="b">
        <v>0</v>
      </c>
      <c r="AO1837" s="1" t="b">
        <v>0</v>
      </c>
    </row>
    <row r="1838" spans="1:41" x14ac:dyDescent="0.25">
      <c r="A1838" s="10"/>
      <c r="B1838" s="10"/>
      <c r="C1838" s="10"/>
      <c r="D1838" s="10"/>
      <c r="E1838" s="10"/>
      <c r="F1838" s="10"/>
      <c r="G1838" s="10"/>
      <c r="H1838" s="10"/>
      <c r="I1838" s="1" t="str">
        <f t="shared" si="84"/>
        <v/>
      </c>
      <c r="J1838" s="1" t="s">
        <v>35</v>
      </c>
      <c r="K1838" s="1" t="str">
        <f t="shared" si="85"/>
        <v/>
      </c>
      <c r="L1838" s="1" t="str">
        <f t="shared" si="86"/>
        <v/>
      </c>
      <c r="M1838" s="1">
        <f>IF(OR(Table1[[#This Row],[Std Nom]]="",Table1[[#This Row],[Std Read]]=""),0,Table1[[#This Row],[Std Nom]]-Table1[[#This Row],[Std Read]])</f>
        <v>0</v>
      </c>
      <c r="N1838" s="1">
        <f>IF(Calculations!$F$5="ACCREDITED 17025 WITH UNCERTAINTIES",$N$10,0)</f>
        <v>0</v>
      </c>
      <c r="Q1838" s="1">
        <f>Table1[[#This Row],[High Tol]]-Table1[[#This Row],[Low Tol]]</f>
        <v>0</v>
      </c>
      <c r="R1838" s="1">
        <f>2*Table1[[#This Row],[Std Error]]</f>
        <v>0</v>
      </c>
      <c r="S1838" s="1" t="str">
        <f>IF(Table1[[#This Row],[High Tol]]="","N/A",IFERROR(ABS(Table1[[#This Row],[Tol Span]]/Table1[[#This Row],[Error Span]]),"N/A"))</f>
        <v>N/A</v>
      </c>
      <c r="T1838" s="1" t="str">
        <f>IF(OR(Table1[[#This Row],[Low Tol]]="",Table1[[#This Row],[High Tol]]=""),"Needs Analysis",IF(Table1[[#This Row],[Ratio]]&gt;=4,"Not Significant",IF(Table1[[#This Row],[Ratio]]&gt;=2,"Semi-Significant","Significant")))</f>
        <v>Needs Analysis</v>
      </c>
      <c r="W1838" s="1">
        <f>IF(Table1[[#This Row],[Cal Type]]&lt;&gt;"ACCREDITED 17025 WITH UNCERTAINTIES",0,"")</f>
        <v>0</v>
      </c>
      <c r="X1838" s="1" t="str">
        <f>IF(Table1[[#This Row],[DUT Read]]="","N/A",Table1[[#This Row],[Std Error]]+Table1[[#This Row],[DUT Read]]+Table1[[#This Row],[DUT Ucty]])</f>
        <v>N/A</v>
      </c>
      <c r="Y1838" s="1" t="str">
        <f>IF(Table1[[#This Row],[Std Read]]="","N/A",Table1[[#This Row],[Std Read]]+Table1[[#This Row],[Std Ucty]])</f>
        <v>N/A</v>
      </c>
      <c r="Z18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8" s="1" t="str">
        <f>IF(Table1[[#This Row],[Spec Type]]="","N/A",Table1[[#This Row],[Spec Type]])</f>
        <v>±</v>
      </c>
      <c r="AC1838" s="1" t="str">
        <f>IF(Table1[[#This Row],[Spec Type2]]="N/A","N/A",IF(AND(Table1[[#This Row],[DUT Adj Read]]&gt;=Table1[[#This Row],[Low Tol]],Table1[[#This Row],[DUT Adj Read]]&lt;=Table1[[#This Row],[High Tol]]),"Pass","Fail"))</f>
        <v>Fail</v>
      </c>
      <c r="AD1838" s="1" t="str">
        <f>IF(AND(Table1[[#This Row],[Spec Type2]]="N/A",Table1[[#This Row],[DUT Adj Read]]="N/A",Table1[[#This Row],[Std Adj Read]]="N/A"),"N/A",IF(Table1[[#This Row],[DUT Adj Read]]="N/A",IF(Table1[[#This Row],[Std Adj Read]]&gt;Table1[[#This Row],[Low Tol]],"Pass","Fail"),IF(Table1[[#This Row],[DUT Adj Read]]&gt;Table1[[#This Row],[Low Tol]],"Pass","Fail")))</f>
        <v>Pass</v>
      </c>
      <c r="AE1838" s="1" t="str">
        <f>IF(AND(Table1[[#This Row],[Spec Type2]]="N/A",Table1[[#This Row],[DUT Adj Read]]="N/A",Table1[[#This Row],[Std Adj Read]]="N/A"),"N/A",IF(Table1[[#This Row],[DUT Adj Read]]="N/A",IF(Table1[[#This Row],[Std Adj Read]]&lt;Table1[[#This Row],[High Tol]],"Pass","Fail"),IF(Table1[[#This Row],[DUT Adj Read]]&lt;Table1[[#This Row],[High Tol]],"Pass","Fail")))</f>
        <v>Fail</v>
      </c>
      <c r="AF1838" s="1" t="str">
        <f>IF(AND(Table1[[#This Row],[Spec Type2]]="N/A",Table1[[#This Row],[DUT Adj Read]]="N/A",Table1[[#This Row],[Std Adj Read]]="N/A"),"N/A",IF(Table1[[#This Row],[DUT Adj Read]]="N/A",IF(Table1[[#This Row],[Std Adj Read]]&gt;=Table1[[#This Row],[Low Tol]],"Pass","Fail"),IF(Table1[[#This Row],[DUT Adj Read]]&gt;=Table1[[#This Row],[Low Tol]],"Pass","Fail")))</f>
        <v>Pass</v>
      </c>
      <c r="AG1838" s="1" t="str">
        <f>IF(AND(Table1[[#This Row],[Spec Type2]]="N/A",Table1[[#This Row],[DUT Adj Read]]="N/A",Table1[[#This Row],[Std Adj Read]]="N/A"),"N/A",IF(Table1[[#This Row],[DUT Adj Read]]="N/A",IF(Table1[[#This Row],[Std Adj Read]]&lt;=Table1[[#This Row],[High Tol]],"Pass","Fail"),IF(Table1[[#This Row],[DUT Adj Read]]&lt;=Table1[[#This Row],[High Tol]],"Pass","Fail")))</f>
        <v>Fail</v>
      </c>
      <c r="AH18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8" s="1" t="b">
        <v>0</v>
      </c>
      <c r="AN1838" s="1" t="b">
        <v>0</v>
      </c>
      <c r="AO1838" s="1" t="b">
        <v>0</v>
      </c>
    </row>
    <row r="1839" spans="1:41" x14ac:dyDescent="0.25">
      <c r="A1839" s="10"/>
      <c r="B1839" s="10"/>
      <c r="C1839" s="10"/>
      <c r="D1839" s="10"/>
      <c r="E1839" s="10"/>
      <c r="F1839" s="10"/>
      <c r="G1839" s="10"/>
      <c r="H1839" s="10"/>
      <c r="I1839" s="1" t="str">
        <f t="shared" si="84"/>
        <v/>
      </c>
      <c r="J1839" s="1" t="s">
        <v>35</v>
      </c>
      <c r="K1839" s="1" t="str">
        <f t="shared" si="85"/>
        <v/>
      </c>
      <c r="L1839" s="1" t="str">
        <f t="shared" si="86"/>
        <v/>
      </c>
      <c r="M1839" s="1">
        <f>IF(OR(Table1[[#This Row],[Std Nom]]="",Table1[[#This Row],[Std Read]]=""),0,Table1[[#This Row],[Std Nom]]-Table1[[#This Row],[Std Read]])</f>
        <v>0</v>
      </c>
      <c r="N1839" s="1">
        <f>IF(Calculations!$F$5="ACCREDITED 17025 WITH UNCERTAINTIES",$N$10,0)</f>
        <v>0</v>
      </c>
      <c r="Q1839" s="1">
        <f>Table1[[#This Row],[High Tol]]-Table1[[#This Row],[Low Tol]]</f>
        <v>0</v>
      </c>
      <c r="R1839" s="1">
        <f>2*Table1[[#This Row],[Std Error]]</f>
        <v>0</v>
      </c>
      <c r="S1839" s="1" t="str">
        <f>IF(Table1[[#This Row],[High Tol]]="","N/A",IFERROR(ABS(Table1[[#This Row],[Tol Span]]/Table1[[#This Row],[Error Span]]),"N/A"))</f>
        <v>N/A</v>
      </c>
      <c r="T1839" s="1" t="str">
        <f>IF(OR(Table1[[#This Row],[Low Tol]]="",Table1[[#This Row],[High Tol]]=""),"Needs Analysis",IF(Table1[[#This Row],[Ratio]]&gt;=4,"Not Significant",IF(Table1[[#This Row],[Ratio]]&gt;=2,"Semi-Significant","Significant")))</f>
        <v>Needs Analysis</v>
      </c>
      <c r="W1839" s="1">
        <f>IF(Table1[[#This Row],[Cal Type]]&lt;&gt;"ACCREDITED 17025 WITH UNCERTAINTIES",0,"")</f>
        <v>0</v>
      </c>
      <c r="X1839" s="1" t="str">
        <f>IF(Table1[[#This Row],[DUT Read]]="","N/A",Table1[[#This Row],[Std Error]]+Table1[[#This Row],[DUT Read]]+Table1[[#This Row],[DUT Ucty]])</f>
        <v>N/A</v>
      </c>
      <c r="Y1839" s="1" t="str">
        <f>IF(Table1[[#This Row],[Std Read]]="","N/A",Table1[[#This Row],[Std Read]]+Table1[[#This Row],[Std Ucty]])</f>
        <v>N/A</v>
      </c>
      <c r="Z18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39" s="1" t="str">
        <f>IF(Table1[[#This Row],[Spec Type]]="","N/A",Table1[[#This Row],[Spec Type]])</f>
        <v>±</v>
      </c>
      <c r="AC1839" s="1" t="str">
        <f>IF(Table1[[#This Row],[Spec Type2]]="N/A","N/A",IF(AND(Table1[[#This Row],[DUT Adj Read]]&gt;=Table1[[#This Row],[Low Tol]],Table1[[#This Row],[DUT Adj Read]]&lt;=Table1[[#This Row],[High Tol]]),"Pass","Fail"))</f>
        <v>Fail</v>
      </c>
      <c r="AD1839" s="1" t="str">
        <f>IF(AND(Table1[[#This Row],[Spec Type2]]="N/A",Table1[[#This Row],[DUT Adj Read]]="N/A",Table1[[#This Row],[Std Adj Read]]="N/A"),"N/A",IF(Table1[[#This Row],[DUT Adj Read]]="N/A",IF(Table1[[#This Row],[Std Adj Read]]&gt;Table1[[#This Row],[Low Tol]],"Pass","Fail"),IF(Table1[[#This Row],[DUT Adj Read]]&gt;Table1[[#This Row],[Low Tol]],"Pass","Fail")))</f>
        <v>Pass</v>
      </c>
      <c r="AE1839" s="1" t="str">
        <f>IF(AND(Table1[[#This Row],[Spec Type2]]="N/A",Table1[[#This Row],[DUT Adj Read]]="N/A",Table1[[#This Row],[Std Adj Read]]="N/A"),"N/A",IF(Table1[[#This Row],[DUT Adj Read]]="N/A",IF(Table1[[#This Row],[Std Adj Read]]&lt;Table1[[#This Row],[High Tol]],"Pass","Fail"),IF(Table1[[#This Row],[DUT Adj Read]]&lt;Table1[[#This Row],[High Tol]],"Pass","Fail")))</f>
        <v>Fail</v>
      </c>
      <c r="AF1839" s="1" t="str">
        <f>IF(AND(Table1[[#This Row],[Spec Type2]]="N/A",Table1[[#This Row],[DUT Adj Read]]="N/A",Table1[[#This Row],[Std Adj Read]]="N/A"),"N/A",IF(Table1[[#This Row],[DUT Adj Read]]="N/A",IF(Table1[[#This Row],[Std Adj Read]]&gt;=Table1[[#This Row],[Low Tol]],"Pass","Fail"),IF(Table1[[#This Row],[DUT Adj Read]]&gt;=Table1[[#This Row],[Low Tol]],"Pass","Fail")))</f>
        <v>Pass</v>
      </c>
      <c r="AG1839" s="1" t="str">
        <f>IF(AND(Table1[[#This Row],[Spec Type2]]="N/A",Table1[[#This Row],[DUT Adj Read]]="N/A",Table1[[#This Row],[Std Adj Read]]="N/A"),"N/A",IF(Table1[[#This Row],[DUT Adj Read]]="N/A",IF(Table1[[#This Row],[Std Adj Read]]&lt;=Table1[[#This Row],[High Tol]],"Pass","Fail"),IF(Table1[[#This Row],[DUT Adj Read]]&lt;=Table1[[#This Row],[High Tol]],"Pass","Fail")))</f>
        <v>Fail</v>
      </c>
      <c r="AH18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39" s="1" t="b">
        <v>0</v>
      </c>
      <c r="AN1839" s="1" t="b">
        <v>0</v>
      </c>
      <c r="AO1839" s="1" t="b">
        <v>0</v>
      </c>
    </row>
    <row r="1840" spans="1:41" x14ac:dyDescent="0.25">
      <c r="A1840" s="10"/>
      <c r="B1840" s="10"/>
      <c r="C1840" s="10"/>
      <c r="D1840" s="10"/>
      <c r="E1840" s="10"/>
      <c r="F1840" s="10"/>
      <c r="G1840" s="10"/>
      <c r="H1840" s="10"/>
      <c r="I1840" s="1" t="str">
        <f t="shared" si="84"/>
        <v/>
      </c>
      <c r="J1840" s="1" t="s">
        <v>35</v>
      </c>
      <c r="K1840" s="1" t="str">
        <f t="shared" si="85"/>
        <v/>
      </c>
      <c r="L1840" s="1" t="str">
        <f t="shared" si="86"/>
        <v/>
      </c>
      <c r="M1840" s="1">
        <f>IF(OR(Table1[[#This Row],[Std Nom]]="",Table1[[#This Row],[Std Read]]=""),0,Table1[[#This Row],[Std Nom]]-Table1[[#This Row],[Std Read]])</f>
        <v>0</v>
      </c>
      <c r="N1840" s="1">
        <f>IF(Calculations!$F$5="ACCREDITED 17025 WITH UNCERTAINTIES",$N$10,0)</f>
        <v>0</v>
      </c>
      <c r="Q1840" s="1">
        <f>Table1[[#This Row],[High Tol]]-Table1[[#This Row],[Low Tol]]</f>
        <v>0</v>
      </c>
      <c r="R1840" s="1">
        <f>2*Table1[[#This Row],[Std Error]]</f>
        <v>0</v>
      </c>
      <c r="S1840" s="1" t="str">
        <f>IF(Table1[[#This Row],[High Tol]]="","N/A",IFERROR(ABS(Table1[[#This Row],[Tol Span]]/Table1[[#This Row],[Error Span]]),"N/A"))</f>
        <v>N/A</v>
      </c>
      <c r="T1840" s="1" t="str">
        <f>IF(OR(Table1[[#This Row],[Low Tol]]="",Table1[[#This Row],[High Tol]]=""),"Needs Analysis",IF(Table1[[#This Row],[Ratio]]&gt;=4,"Not Significant",IF(Table1[[#This Row],[Ratio]]&gt;=2,"Semi-Significant","Significant")))</f>
        <v>Needs Analysis</v>
      </c>
      <c r="W1840" s="1">
        <f>IF(Table1[[#This Row],[Cal Type]]&lt;&gt;"ACCREDITED 17025 WITH UNCERTAINTIES",0,"")</f>
        <v>0</v>
      </c>
      <c r="X1840" s="1" t="str">
        <f>IF(Table1[[#This Row],[DUT Read]]="","N/A",Table1[[#This Row],[Std Error]]+Table1[[#This Row],[DUT Read]]+Table1[[#This Row],[DUT Ucty]])</f>
        <v>N/A</v>
      </c>
      <c r="Y1840" s="1" t="str">
        <f>IF(Table1[[#This Row],[Std Read]]="","N/A",Table1[[#This Row],[Std Read]]+Table1[[#This Row],[Std Ucty]])</f>
        <v>N/A</v>
      </c>
      <c r="Z18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0" s="1" t="str">
        <f>IF(Table1[[#This Row],[Spec Type]]="","N/A",Table1[[#This Row],[Spec Type]])</f>
        <v>±</v>
      </c>
      <c r="AC1840" s="1" t="str">
        <f>IF(Table1[[#This Row],[Spec Type2]]="N/A","N/A",IF(AND(Table1[[#This Row],[DUT Adj Read]]&gt;=Table1[[#This Row],[Low Tol]],Table1[[#This Row],[DUT Adj Read]]&lt;=Table1[[#This Row],[High Tol]]),"Pass","Fail"))</f>
        <v>Fail</v>
      </c>
      <c r="AD1840" s="1" t="str">
        <f>IF(AND(Table1[[#This Row],[Spec Type2]]="N/A",Table1[[#This Row],[DUT Adj Read]]="N/A",Table1[[#This Row],[Std Adj Read]]="N/A"),"N/A",IF(Table1[[#This Row],[DUT Adj Read]]="N/A",IF(Table1[[#This Row],[Std Adj Read]]&gt;Table1[[#This Row],[Low Tol]],"Pass","Fail"),IF(Table1[[#This Row],[DUT Adj Read]]&gt;Table1[[#This Row],[Low Tol]],"Pass","Fail")))</f>
        <v>Pass</v>
      </c>
      <c r="AE1840" s="1" t="str">
        <f>IF(AND(Table1[[#This Row],[Spec Type2]]="N/A",Table1[[#This Row],[DUT Adj Read]]="N/A",Table1[[#This Row],[Std Adj Read]]="N/A"),"N/A",IF(Table1[[#This Row],[DUT Adj Read]]="N/A",IF(Table1[[#This Row],[Std Adj Read]]&lt;Table1[[#This Row],[High Tol]],"Pass","Fail"),IF(Table1[[#This Row],[DUT Adj Read]]&lt;Table1[[#This Row],[High Tol]],"Pass","Fail")))</f>
        <v>Fail</v>
      </c>
      <c r="AF1840" s="1" t="str">
        <f>IF(AND(Table1[[#This Row],[Spec Type2]]="N/A",Table1[[#This Row],[DUT Adj Read]]="N/A",Table1[[#This Row],[Std Adj Read]]="N/A"),"N/A",IF(Table1[[#This Row],[DUT Adj Read]]="N/A",IF(Table1[[#This Row],[Std Adj Read]]&gt;=Table1[[#This Row],[Low Tol]],"Pass","Fail"),IF(Table1[[#This Row],[DUT Adj Read]]&gt;=Table1[[#This Row],[Low Tol]],"Pass","Fail")))</f>
        <v>Pass</v>
      </c>
      <c r="AG1840" s="1" t="str">
        <f>IF(AND(Table1[[#This Row],[Spec Type2]]="N/A",Table1[[#This Row],[DUT Adj Read]]="N/A",Table1[[#This Row],[Std Adj Read]]="N/A"),"N/A",IF(Table1[[#This Row],[DUT Adj Read]]="N/A",IF(Table1[[#This Row],[Std Adj Read]]&lt;=Table1[[#This Row],[High Tol]],"Pass","Fail"),IF(Table1[[#This Row],[DUT Adj Read]]&lt;=Table1[[#This Row],[High Tol]],"Pass","Fail")))</f>
        <v>Fail</v>
      </c>
      <c r="AH18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0" s="1" t="b">
        <v>0</v>
      </c>
      <c r="AN1840" s="1" t="b">
        <v>0</v>
      </c>
      <c r="AO1840" s="1" t="b">
        <v>0</v>
      </c>
    </row>
    <row r="1841" spans="1:41" x14ac:dyDescent="0.25">
      <c r="A1841" s="10"/>
      <c r="B1841" s="10"/>
      <c r="C1841" s="10"/>
      <c r="D1841" s="10"/>
      <c r="E1841" s="10"/>
      <c r="F1841" s="10"/>
      <c r="G1841" s="10"/>
      <c r="H1841" s="10"/>
      <c r="I1841" s="1" t="str">
        <f t="shared" si="84"/>
        <v/>
      </c>
      <c r="J1841" s="1" t="s">
        <v>35</v>
      </c>
      <c r="K1841" s="1" t="str">
        <f t="shared" si="85"/>
        <v/>
      </c>
      <c r="L1841" s="1" t="str">
        <f t="shared" si="86"/>
        <v/>
      </c>
      <c r="M1841" s="1">
        <f>IF(OR(Table1[[#This Row],[Std Nom]]="",Table1[[#This Row],[Std Read]]=""),0,Table1[[#This Row],[Std Nom]]-Table1[[#This Row],[Std Read]])</f>
        <v>0</v>
      </c>
      <c r="N1841" s="1">
        <f>IF(Calculations!$F$5="ACCREDITED 17025 WITH UNCERTAINTIES",$N$10,0)</f>
        <v>0</v>
      </c>
      <c r="Q1841" s="1">
        <f>Table1[[#This Row],[High Tol]]-Table1[[#This Row],[Low Tol]]</f>
        <v>0</v>
      </c>
      <c r="R1841" s="1">
        <f>2*Table1[[#This Row],[Std Error]]</f>
        <v>0</v>
      </c>
      <c r="S1841" s="1" t="str">
        <f>IF(Table1[[#This Row],[High Tol]]="","N/A",IFERROR(ABS(Table1[[#This Row],[Tol Span]]/Table1[[#This Row],[Error Span]]),"N/A"))</f>
        <v>N/A</v>
      </c>
      <c r="T1841" s="1" t="str">
        <f>IF(OR(Table1[[#This Row],[Low Tol]]="",Table1[[#This Row],[High Tol]]=""),"Needs Analysis",IF(Table1[[#This Row],[Ratio]]&gt;=4,"Not Significant",IF(Table1[[#This Row],[Ratio]]&gt;=2,"Semi-Significant","Significant")))</f>
        <v>Needs Analysis</v>
      </c>
      <c r="W1841" s="1">
        <f>IF(Table1[[#This Row],[Cal Type]]&lt;&gt;"ACCREDITED 17025 WITH UNCERTAINTIES",0,"")</f>
        <v>0</v>
      </c>
      <c r="X1841" s="1" t="str">
        <f>IF(Table1[[#This Row],[DUT Read]]="","N/A",Table1[[#This Row],[Std Error]]+Table1[[#This Row],[DUT Read]]+Table1[[#This Row],[DUT Ucty]])</f>
        <v>N/A</v>
      </c>
      <c r="Y1841" s="1" t="str">
        <f>IF(Table1[[#This Row],[Std Read]]="","N/A",Table1[[#This Row],[Std Read]]+Table1[[#This Row],[Std Ucty]])</f>
        <v>N/A</v>
      </c>
      <c r="Z18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1" s="1" t="str">
        <f>IF(Table1[[#This Row],[Spec Type]]="","N/A",Table1[[#This Row],[Spec Type]])</f>
        <v>±</v>
      </c>
      <c r="AC1841" s="1" t="str">
        <f>IF(Table1[[#This Row],[Spec Type2]]="N/A","N/A",IF(AND(Table1[[#This Row],[DUT Adj Read]]&gt;=Table1[[#This Row],[Low Tol]],Table1[[#This Row],[DUT Adj Read]]&lt;=Table1[[#This Row],[High Tol]]),"Pass","Fail"))</f>
        <v>Fail</v>
      </c>
      <c r="AD1841" s="1" t="str">
        <f>IF(AND(Table1[[#This Row],[Spec Type2]]="N/A",Table1[[#This Row],[DUT Adj Read]]="N/A",Table1[[#This Row],[Std Adj Read]]="N/A"),"N/A",IF(Table1[[#This Row],[DUT Adj Read]]="N/A",IF(Table1[[#This Row],[Std Adj Read]]&gt;Table1[[#This Row],[Low Tol]],"Pass","Fail"),IF(Table1[[#This Row],[DUT Adj Read]]&gt;Table1[[#This Row],[Low Tol]],"Pass","Fail")))</f>
        <v>Pass</v>
      </c>
      <c r="AE1841" s="1" t="str">
        <f>IF(AND(Table1[[#This Row],[Spec Type2]]="N/A",Table1[[#This Row],[DUT Adj Read]]="N/A",Table1[[#This Row],[Std Adj Read]]="N/A"),"N/A",IF(Table1[[#This Row],[DUT Adj Read]]="N/A",IF(Table1[[#This Row],[Std Adj Read]]&lt;Table1[[#This Row],[High Tol]],"Pass","Fail"),IF(Table1[[#This Row],[DUT Adj Read]]&lt;Table1[[#This Row],[High Tol]],"Pass","Fail")))</f>
        <v>Fail</v>
      </c>
      <c r="AF1841" s="1" t="str">
        <f>IF(AND(Table1[[#This Row],[Spec Type2]]="N/A",Table1[[#This Row],[DUT Adj Read]]="N/A",Table1[[#This Row],[Std Adj Read]]="N/A"),"N/A",IF(Table1[[#This Row],[DUT Adj Read]]="N/A",IF(Table1[[#This Row],[Std Adj Read]]&gt;=Table1[[#This Row],[Low Tol]],"Pass","Fail"),IF(Table1[[#This Row],[DUT Adj Read]]&gt;=Table1[[#This Row],[Low Tol]],"Pass","Fail")))</f>
        <v>Pass</v>
      </c>
      <c r="AG1841" s="1" t="str">
        <f>IF(AND(Table1[[#This Row],[Spec Type2]]="N/A",Table1[[#This Row],[DUT Adj Read]]="N/A",Table1[[#This Row],[Std Adj Read]]="N/A"),"N/A",IF(Table1[[#This Row],[DUT Adj Read]]="N/A",IF(Table1[[#This Row],[Std Adj Read]]&lt;=Table1[[#This Row],[High Tol]],"Pass","Fail"),IF(Table1[[#This Row],[DUT Adj Read]]&lt;=Table1[[#This Row],[High Tol]],"Pass","Fail")))</f>
        <v>Fail</v>
      </c>
      <c r="AH18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1" s="1" t="b">
        <v>0</v>
      </c>
      <c r="AN1841" s="1" t="b">
        <v>0</v>
      </c>
      <c r="AO1841" s="1" t="b">
        <v>0</v>
      </c>
    </row>
    <row r="1842" spans="1:41" x14ac:dyDescent="0.25">
      <c r="A1842" s="10"/>
      <c r="B1842" s="10"/>
      <c r="C1842" s="10"/>
      <c r="D1842" s="10"/>
      <c r="E1842" s="10"/>
      <c r="F1842" s="10"/>
      <c r="G1842" s="10"/>
      <c r="H1842" s="10"/>
      <c r="I1842" s="1" t="str">
        <f t="shared" si="84"/>
        <v/>
      </c>
      <c r="J1842" s="1" t="s">
        <v>35</v>
      </c>
      <c r="K1842" s="1" t="str">
        <f t="shared" si="85"/>
        <v/>
      </c>
      <c r="L1842" s="1" t="str">
        <f t="shared" si="86"/>
        <v/>
      </c>
      <c r="M1842" s="1">
        <f>IF(OR(Table1[[#This Row],[Std Nom]]="",Table1[[#This Row],[Std Read]]=""),0,Table1[[#This Row],[Std Nom]]-Table1[[#This Row],[Std Read]])</f>
        <v>0</v>
      </c>
      <c r="N1842" s="1">
        <f>IF(Calculations!$F$5="ACCREDITED 17025 WITH UNCERTAINTIES",$N$10,0)</f>
        <v>0</v>
      </c>
      <c r="Q1842" s="1">
        <f>Table1[[#This Row],[High Tol]]-Table1[[#This Row],[Low Tol]]</f>
        <v>0</v>
      </c>
      <c r="R1842" s="1">
        <f>2*Table1[[#This Row],[Std Error]]</f>
        <v>0</v>
      </c>
      <c r="S1842" s="1" t="str">
        <f>IF(Table1[[#This Row],[High Tol]]="","N/A",IFERROR(ABS(Table1[[#This Row],[Tol Span]]/Table1[[#This Row],[Error Span]]),"N/A"))</f>
        <v>N/A</v>
      </c>
      <c r="T1842" s="1" t="str">
        <f>IF(OR(Table1[[#This Row],[Low Tol]]="",Table1[[#This Row],[High Tol]]=""),"Needs Analysis",IF(Table1[[#This Row],[Ratio]]&gt;=4,"Not Significant",IF(Table1[[#This Row],[Ratio]]&gt;=2,"Semi-Significant","Significant")))</f>
        <v>Needs Analysis</v>
      </c>
      <c r="W1842" s="1">
        <f>IF(Table1[[#This Row],[Cal Type]]&lt;&gt;"ACCREDITED 17025 WITH UNCERTAINTIES",0,"")</f>
        <v>0</v>
      </c>
      <c r="X1842" s="1" t="str">
        <f>IF(Table1[[#This Row],[DUT Read]]="","N/A",Table1[[#This Row],[Std Error]]+Table1[[#This Row],[DUT Read]]+Table1[[#This Row],[DUT Ucty]])</f>
        <v>N/A</v>
      </c>
      <c r="Y1842" s="1" t="str">
        <f>IF(Table1[[#This Row],[Std Read]]="","N/A",Table1[[#This Row],[Std Read]]+Table1[[#This Row],[Std Ucty]])</f>
        <v>N/A</v>
      </c>
      <c r="Z18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2" s="1" t="str">
        <f>IF(Table1[[#This Row],[Spec Type]]="","N/A",Table1[[#This Row],[Spec Type]])</f>
        <v>±</v>
      </c>
      <c r="AC1842" s="1" t="str">
        <f>IF(Table1[[#This Row],[Spec Type2]]="N/A","N/A",IF(AND(Table1[[#This Row],[DUT Adj Read]]&gt;=Table1[[#This Row],[Low Tol]],Table1[[#This Row],[DUT Adj Read]]&lt;=Table1[[#This Row],[High Tol]]),"Pass","Fail"))</f>
        <v>Fail</v>
      </c>
      <c r="AD1842" s="1" t="str">
        <f>IF(AND(Table1[[#This Row],[Spec Type2]]="N/A",Table1[[#This Row],[DUT Adj Read]]="N/A",Table1[[#This Row],[Std Adj Read]]="N/A"),"N/A",IF(Table1[[#This Row],[DUT Adj Read]]="N/A",IF(Table1[[#This Row],[Std Adj Read]]&gt;Table1[[#This Row],[Low Tol]],"Pass","Fail"),IF(Table1[[#This Row],[DUT Adj Read]]&gt;Table1[[#This Row],[Low Tol]],"Pass","Fail")))</f>
        <v>Pass</v>
      </c>
      <c r="AE1842" s="1" t="str">
        <f>IF(AND(Table1[[#This Row],[Spec Type2]]="N/A",Table1[[#This Row],[DUT Adj Read]]="N/A",Table1[[#This Row],[Std Adj Read]]="N/A"),"N/A",IF(Table1[[#This Row],[DUT Adj Read]]="N/A",IF(Table1[[#This Row],[Std Adj Read]]&lt;Table1[[#This Row],[High Tol]],"Pass","Fail"),IF(Table1[[#This Row],[DUT Adj Read]]&lt;Table1[[#This Row],[High Tol]],"Pass","Fail")))</f>
        <v>Fail</v>
      </c>
      <c r="AF1842" s="1" t="str">
        <f>IF(AND(Table1[[#This Row],[Spec Type2]]="N/A",Table1[[#This Row],[DUT Adj Read]]="N/A",Table1[[#This Row],[Std Adj Read]]="N/A"),"N/A",IF(Table1[[#This Row],[DUT Adj Read]]="N/A",IF(Table1[[#This Row],[Std Adj Read]]&gt;=Table1[[#This Row],[Low Tol]],"Pass","Fail"),IF(Table1[[#This Row],[DUT Adj Read]]&gt;=Table1[[#This Row],[Low Tol]],"Pass","Fail")))</f>
        <v>Pass</v>
      </c>
      <c r="AG1842" s="1" t="str">
        <f>IF(AND(Table1[[#This Row],[Spec Type2]]="N/A",Table1[[#This Row],[DUT Adj Read]]="N/A",Table1[[#This Row],[Std Adj Read]]="N/A"),"N/A",IF(Table1[[#This Row],[DUT Adj Read]]="N/A",IF(Table1[[#This Row],[Std Adj Read]]&lt;=Table1[[#This Row],[High Tol]],"Pass","Fail"),IF(Table1[[#This Row],[DUT Adj Read]]&lt;=Table1[[#This Row],[High Tol]],"Pass","Fail")))</f>
        <v>Fail</v>
      </c>
      <c r="AH18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2" s="1" t="b">
        <v>0</v>
      </c>
      <c r="AN1842" s="1" t="b">
        <v>0</v>
      </c>
      <c r="AO1842" s="1" t="b">
        <v>0</v>
      </c>
    </row>
    <row r="1843" spans="1:41" x14ac:dyDescent="0.25">
      <c r="A1843" s="10"/>
      <c r="B1843" s="10"/>
      <c r="C1843" s="10"/>
      <c r="D1843" s="10"/>
      <c r="E1843" s="10"/>
      <c r="F1843" s="10"/>
      <c r="G1843" s="10"/>
      <c r="H1843" s="10"/>
      <c r="I1843" s="1" t="str">
        <f t="shared" si="84"/>
        <v/>
      </c>
      <c r="J1843" s="1" t="s">
        <v>35</v>
      </c>
      <c r="K1843" s="1" t="str">
        <f t="shared" si="85"/>
        <v/>
      </c>
      <c r="L1843" s="1" t="str">
        <f t="shared" si="86"/>
        <v/>
      </c>
      <c r="M1843" s="1">
        <f>IF(OR(Table1[[#This Row],[Std Nom]]="",Table1[[#This Row],[Std Read]]=""),0,Table1[[#This Row],[Std Nom]]-Table1[[#This Row],[Std Read]])</f>
        <v>0</v>
      </c>
      <c r="N1843" s="1">
        <f>IF(Calculations!$F$5="ACCREDITED 17025 WITH UNCERTAINTIES",$N$10,0)</f>
        <v>0</v>
      </c>
      <c r="Q1843" s="1">
        <f>Table1[[#This Row],[High Tol]]-Table1[[#This Row],[Low Tol]]</f>
        <v>0</v>
      </c>
      <c r="R1843" s="1">
        <f>2*Table1[[#This Row],[Std Error]]</f>
        <v>0</v>
      </c>
      <c r="S1843" s="1" t="str">
        <f>IF(Table1[[#This Row],[High Tol]]="","N/A",IFERROR(ABS(Table1[[#This Row],[Tol Span]]/Table1[[#This Row],[Error Span]]),"N/A"))</f>
        <v>N/A</v>
      </c>
      <c r="T1843" s="1" t="str">
        <f>IF(OR(Table1[[#This Row],[Low Tol]]="",Table1[[#This Row],[High Tol]]=""),"Needs Analysis",IF(Table1[[#This Row],[Ratio]]&gt;=4,"Not Significant",IF(Table1[[#This Row],[Ratio]]&gt;=2,"Semi-Significant","Significant")))</f>
        <v>Needs Analysis</v>
      </c>
      <c r="W1843" s="1">
        <f>IF(Table1[[#This Row],[Cal Type]]&lt;&gt;"ACCREDITED 17025 WITH UNCERTAINTIES",0,"")</f>
        <v>0</v>
      </c>
      <c r="X1843" s="1" t="str">
        <f>IF(Table1[[#This Row],[DUT Read]]="","N/A",Table1[[#This Row],[Std Error]]+Table1[[#This Row],[DUT Read]]+Table1[[#This Row],[DUT Ucty]])</f>
        <v>N/A</v>
      </c>
      <c r="Y1843" s="1" t="str">
        <f>IF(Table1[[#This Row],[Std Read]]="","N/A",Table1[[#This Row],[Std Read]]+Table1[[#This Row],[Std Ucty]])</f>
        <v>N/A</v>
      </c>
      <c r="Z18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3" s="1" t="str">
        <f>IF(Table1[[#This Row],[Spec Type]]="","N/A",Table1[[#This Row],[Spec Type]])</f>
        <v>±</v>
      </c>
      <c r="AC1843" s="1" t="str">
        <f>IF(Table1[[#This Row],[Spec Type2]]="N/A","N/A",IF(AND(Table1[[#This Row],[DUT Adj Read]]&gt;=Table1[[#This Row],[Low Tol]],Table1[[#This Row],[DUT Adj Read]]&lt;=Table1[[#This Row],[High Tol]]),"Pass","Fail"))</f>
        <v>Fail</v>
      </c>
      <c r="AD1843" s="1" t="str">
        <f>IF(AND(Table1[[#This Row],[Spec Type2]]="N/A",Table1[[#This Row],[DUT Adj Read]]="N/A",Table1[[#This Row],[Std Adj Read]]="N/A"),"N/A",IF(Table1[[#This Row],[DUT Adj Read]]="N/A",IF(Table1[[#This Row],[Std Adj Read]]&gt;Table1[[#This Row],[Low Tol]],"Pass","Fail"),IF(Table1[[#This Row],[DUT Adj Read]]&gt;Table1[[#This Row],[Low Tol]],"Pass","Fail")))</f>
        <v>Pass</v>
      </c>
      <c r="AE1843" s="1" t="str">
        <f>IF(AND(Table1[[#This Row],[Spec Type2]]="N/A",Table1[[#This Row],[DUT Adj Read]]="N/A",Table1[[#This Row],[Std Adj Read]]="N/A"),"N/A",IF(Table1[[#This Row],[DUT Adj Read]]="N/A",IF(Table1[[#This Row],[Std Adj Read]]&lt;Table1[[#This Row],[High Tol]],"Pass","Fail"),IF(Table1[[#This Row],[DUT Adj Read]]&lt;Table1[[#This Row],[High Tol]],"Pass","Fail")))</f>
        <v>Fail</v>
      </c>
      <c r="AF1843" s="1" t="str">
        <f>IF(AND(Table1[[#This Row],[Spec Type2]]="N/A",Table1[[#This Row],[DUT Adj Read]]="N/A",Table1[[#This Row],[Std Adj Read]]="N/A"),"N/A",IF(Table1[[#This Row],[DUT Adj Read]]="N/A",IF(Table1[[#This Row],[Std Adj Read]]&gt;=Table1[[#This Row],[Low Tol]],"Pass","Fail"),IF(Table1[[#This Row],[DUT Adj Read]]&gt;=Table1[[#This Row],[Low Tol]],"Pass","Fail")))</f>
        <v>Pass</v>
      </c>
      <c r="AG1843" s="1" t="str">
        <f>IF(AND(Table1[[#This Row],[Spec Type2]]="N/A",Table1[[#This Row],[DUT Adj Read]]="N/A",Table1[[#This Row],[Std Adj Read]]="N/A"),"N/A",IF(Table1[[#This Row],[DUT Adj Read]]="N/A",IF(Table1[[#This Row],[Std Adj Read]]&lt;=Table1[[#This Row],[High Tol]],"Pass","Fail"),IF(Table1[[#This Row],[DUT Adj Read]]&lt;=Table1[[#This Row],[High Tol]],"Pass","Fail")))</f>
        <v>Fail</v>
      </c>
      <c r="AH18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3" s="1" t="b">
        <v>0</v>
      </c>
      <c r="AN1843" s="1" t="b">
        <v>0</v>
      </c>
      <c r="AO1843" s="1" t="b">
        <v>0</v>
      </c>
    </row>
    <row r="1844" spans="1:41" x14ac:dyDescent="0.25">
      <c r="A1844" s="10"/>
      <c r="B1844" s="10"/>
      <c r="C1844" s="10"/>
      <c r="D1844" s="10"/>
      <c r="E1844" s="10"/>
      <c r="F1844" s="10"/>
      <c r="G1844" s="10"/>
      <c r="H1844" s="10"/>
      <c r="I1844" s="1" t="str">
        <f t="shared" si="84"/>
        <v/>
      </c>
      <c r="J1844" s="1" t="s">
        <v>35</v>
      </c>
      <c r="K1844" s="1" t="str">
        <f t="shared" si="85"/>
        <v/>
      </c>
      <c r="L1844" s="1" t="str">
        <f t="shared" si="86"/>
        <v/>
      </c>
      <c r="M1844" s="1">
        <f>IF(OR(Table1[[#This Row],[Std Nom]]="",Table1[[#This Row],[Std Read]]=""),0,Table1[[#This Row],[Std Nom]]-Table1[[#This Row],[Std Read]])</f>
        <v>0</v>
      </c>
      <c r="N1844" s="1">
        <f>IF(Calculations!$F$5="ACCREDITED 17025 WITH UNCERTAINTIES",$N$10,0)</f>
        <v>0</v>
      </c>
      <c r="Q1844" s="1">
        <f>Table1[[#This Row],[High Tol]]-Table1[[#This Row],[Low Tol]]</f>
        <v>0</v>
      </c>
      <c r="R1844" s="1">
        <f>2*Table1[[#This Row],[Std Error]]</f>
        <v>0</v>
      </c>
      <c r="S1844" s="1" t="str">
        <f>IF(Table1[[#This Row],[High Tol]]="","N/A",IFERROR(ABS(Table1[[#This Row],[Tol Span]]/Table1[[#This Row],[Error Span]]),"N/A"))</f>
        <v>N/A</v>
      </c>
      <c r="T1844" s="1" t="str">
        <f>IF(OR(Table1[[#This Row],[Low Tol]]="",Table1[[#This Row],[High Tol]]=""),"Needs Analysis",IF(Table1[[#This Row],[Ratio]]&gt;=4,"Not Significant",IF(Table1[[#This Row],[Ratio]]&gt;=2,"Semi-Significant","Significant")))</f>
        <v>Needs Analysis</v>
      </c>
      <c r="W1844" s="1">
        <f>IF(Table1[[#This Row],[Cal Type]]&lt;&gt;"ACCREDITED 17025 WITH UNCERTAINTIES",0,"")</f>
        <v>0</v>
      </c>
      <c r="X1844" s="1" t="str">
        <f>IF(Table1[[#This Row],[DUT Read]]="","N/A",Table1[[#This Row],[Std Error]]+Table1[[#This Row],[DUT Read]]+Table1[[#This Row],[DUT Ucty]])</f>
        <v>N/A</v>
      </c>
      <c r="Y1844" s="1" t="str">
        <f>IF(Table1[[#This Row],[Std Read]]="","N/A",Table1[[#This Row],[Std Read]]+Table1[[#This Row],[Std Ucty]])</f>
        <v>N/A</v>
      </c>
      <c r="Z18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4" s="1" t="str">
        <f>IF(Table1[[#This Row],[Spec Type]]="","N/A",Table1[[#This Row],[Spec Type]])</f>
        <v>±</v>
      </c>
      <c r="AC1844" s="1" t="str">
        <f>IF(Table1[[#This Row],[Spec Type2]]="N/A","N/A",IF(AND(Table1[[#This Row],[DUT Adj Read]]&gt;=Table1[[#This Row],[Low Tol]],Table1[[#This Row],[DUT Adj Read]]&lt;=Table1[[#This Row],[High Tol]]),"Pass","Fail"))</f>
        <v>Fail</v>
      </c>
      <c r="AD1844" s="1" t="str">
        <f>IF(AND(Table1[[#This Row],[Spec Type2]]="N/A",Table1[[#This Row],[DUT Adj Read]]="N/A",Table1[[#This Row],[Std Adj Read]]="N/A"),"N/A",IF(Table1[[#This Row],[DUT Adj Read]]="N/A",IF(Table1[[#This Row],[Std Adj Read]]&gt;Table1[[#This Row],[Low Tol]],"Pass","Fail"),IF(Table1[[#This Row],[DUT Adj Read]]&gt;Table1[[#This Row],[Low Tol]],"Pass","Fail")))</f>
        <v>Pass</v>
      </c>
      <c r="AE1844" s="1" t="str">
        <f>IF(AND(Table1[[#This Row],[Spec Type2]]="N/A",Table1[[#This Row],[DUT Adj Read]]="N/A",Table1[[#This Row],[Std Adj Read]]="N/A"),"N/A",IF(Table1[[#This Row],[DUT Adj Read]]="N/A",IF(Table1[[#This Row],[Std Adj Read]]&lt;Table1[[#This Row],[High Tol]],"Pass","Fail"),IF(Table1[[#This Row],[DUT Adj Read]]&lt;Table1[[#This Row],[High Tol]],"Pass","Fail")))</f>
        <v>Fail</v>
      </c>
      <c r="AF1844" s="1" t="str">
        <f>IF(AND(Table1[[#This Row],[Spec Type2]]="N/A",Table1[[#This Row],[DUT Adj Read]]="N/A",Table1[[#This Row],[Std Adj Read]]="N/A"),"N/A",IF(Table1[[#This Row],[DUT Adj Read]]="N/A",IF(Table1[[#This Row],[Std Adj Read]]&gt;=Table1[[#This Row],[Low Tol]],"Pass","Fail"),IF(Table1[[#This Row],[DUT Adj Read]]&gt;=Table1[[#This Row],[Low Tol]],"Pass","Fail")))</f>
        <v>Pass</v>
      </c>
      <c r="AG1844" s="1" t="str">
        <f>IF(AND(Table1[[#This Row],[Spec Type2]]="N/A",Table1[[#This Row],[DUT Adj Read]]="N/A",Table1[[#This Row],[Std Adj Read]]="N/A"),"N/A",IF(Table1[[#This Row],[DUT Adj Read]]="N/A",IF(Table1[[#This Row],[Std Adj Read]]&lt;=Table1[[#This Row],[High Tol]],"Pass","Fail"),IF(Table1[[#This Row],[DUT Adj Read]]&lt;=Table1[[#This Row],[High Tol]],"Pass","Fail")))</f>
        <v>Fail</v>
      </c>
      <c r="AH18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4" s="1" t="b">
        <v>0</v>
      </c>
      <c r="AN1844" s="1" t="b">
        <v>0</v>
      </c>
      <c r="AO1844" s="1" t="b">
        <v>0</v>
      </c>
    </row>
    <row r="1845" spans="1:41" x14ac:dyDescent="0.25">
      <c r="A1845" s="10"/>
      <c r="B1845" s="10"/>
      <c r="C1845" s="10"/>
      <c r="D1845" s="10"/>
      <c r="E1845" s="10"/>
      <c r="F1845" s="10"/>
      <c r="G1845" s="10"/>
      <c r="H1845" s="10"/>
      <c r="I1845" s="1" t="str">
        <f t="shared" si="84"/>
        <v/>
      </c>
      <c r="J1845" s="1" t="s">
        <v>35</v>
      </c>
      <c r="K1845" s="1" t="str">
        <f t="shared" si="85"/>
        <v/>
      </c>
      <c r="L1845" s="1" t="str">
        <f t="shared" si="86"/>
        <v/>
      </c>
      <c r="M1845" s="1">
        <f>IF(OR(Table1[[#This Row],[Std Nom]]="",Table1[[#This Row],[Std Read]]=""),0,Table1[[#This Row],[Std Nom]]-Table1[[#This Row],[Std Read]])</f>
        <v>0</v>
      </c>
      <c r="N1845" s="1">
        <f>IF(Calculations!$F$5="ACCREDITED 17025 WITH UNCERTAINTIES",$N$10,0)</f>
        <v>0</v>
      </c>
      <c r="Q1845" s="1">
        <f>Table1[[#This Row],[High Tol]]-Table1[[#This Row],[Low Tol]]</f>
        <v>0</v>
      </c>
      <c r="R1845" s="1">
        <f>2*Table1[[#This Row],[Std Error]]</f>
        <v>0</v>
      </c>
      <c r="S1845" s="1" t="str">
        <f>IF(Table1[[#This Row],[High Tol]]="","N/A",IFERROR(ABS(Table1[[#This Row],[Tol Span]]/Table1[[#This Row],[Error Span]]),"N/A"))</f>
        <v>N/A</v>
      </c>
      <c r="T1845" s="1" t="str">
        <f>IF(OR(Table1[[#This Row],[Low Tol]]="",Table1[[#This Row],[High Tol]]=""),"Needs Analysis",IF(Table1[[#This Row],[Ratio]]&gt;=4,"Not Significant",IF(Table1[[#This Row],[Ratio]]&gt;=2,"Semi-Significant","Significant")))</f>
        <v>Needs Analysis</v>
      </c>
      <c r="W1845" s="1">
        <f>IF(Table1[[#This Row],[Cal Type]]&lt;&gt;"ACCREDITED 17025 WITH UNCERTAINTIES",0,"")</f>
        <v>0</v>
      </c>
      <c r="X1845" s="1" t="str">
        <f>IF(Table1[[#This Row],[DUT Read]]="","N/A",Table1[[#This Row],[Std Error]]+Table1[[#This Row],[DUT Read]]+Table1[[#This Row],[DUT Ucty]])</f>
        <v>N/A</v>
      </c>
      <c r="Y1845" s="1" t="str">
        <f>IF(Table1[[#This Row],[Std Read]]="","N/A",Table1[[#This Row],[Std Read]]+Table1[[#This Row],[Std Ucty]])</f>
        <v>N/A</v>
      </c>
      <c r="Z18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5" s="1" t="str">
        <f>IF(Table1[[#This Row],[Spec Type]]="","N/A",Table1[[#This Row],[Spec Type]])</f>
        <v>±</v>
      </c>
      <c r="AC1845" s="1" t="str">
        <f>IF(Table1[[#This Row],[Spec Type2]]="N/A","N/A",IF(AND(Table1[[#This Row],[DUT Adj Read]]&gt;=Table1[[#This Row],[Low Tol]],Table1[[#This Row],[DUT Adj Read]]&lt;=Table1[[#This Row],[High Tol]]),"Pass","Fail"))</f>
        <v>Fail</v>
      </c>
      <c r="AD1845" s="1" t="str">
        <f>IF(AND(Table1[[#This Row],[Spec Type2]]="N/A",Table1[[#This Row],[DUT Adj Read]]="N/A",Table1[[#This Row],[Std Adj Read]]="N/A"),"N/A",IF(Table1[[#This Row],[DUT Adj Read]]="N/A",IF(Table1[[#This Row],[Std Adj Read]]&gt;Table1[[#This Row],[Low Tol]],"Pass","Fail"),IF(Table1[[#This Row],[DUT Adj Read]]&gt;Table1[[#This Row],[Low Tol]],"Pass","Fail")))</f>
        <v>Pass</v>
      </c>
      <c r="AE1845" s="1" t="str">
        <f>IF(AND(Table1[[#This Row],[Spec Type2]]="N/A",Table1[[#This Row],[DUT Adj Read]]="N/A",Table1[[#This Row],[Std Adj Read]]="N/A"),"N/A",IF(Table1[[#This Row],[DUT Adj Read]]="N/A",IF(Table1[[#This Row],[Std Adj Read]]&lt;Table1[[#This Row],[High Tol]],"Pass","Fail"),IF(Table1[[#This Row],[DUT Adj Read]]&lt;Table1[[#This Row],[High Tol]],"Pass","Fail")))</f>
        <v>Fail</v>
      </c>
      <c r="AF1845" s="1" t="str">
        <f>IF(AND(Table1[[#This Row],[Spec Type2]]="N/A",Table1[[#This Row],[DUT Adj Read]]="N/A",Table1[[#This Row],[Std Adj Read]]="N/A"),"N/A",IF(Table1[[#This Row],[DUT Adj Read]]="N/A",IF(Table1[[#This Row],[Std Adj Read]]&gt;=Table1[[#This Row],[Low Tol]],"Pass","Fail"),IF(Table1[[#This Row],[DUT Adj Read]]&gt;=Table1[[#This Row],[Low Tol]],"Pass","Fail")))</f>
        <v>Pass</v>
      </c>
      <c r="AG1845" s="1" t="str">
        <f>IF(AND(Table1[[#This Row],[Spec Type2]]="N/A",Table1[[#This Row],[DUT Adj Read]]="N/A",Table1[[#This Row],[Std Adj Read]]="N/A"),"N/A",IF(Table1[[#This Row],[DUT Adj Read]]="N/A",IF(Table1[[#This Row],[Std Adj Read]]&lt;=Table1[[#This Row],[High Tol]],"Pass","Fail"),IF(Table1[[#This Row],[DUT Adj Read]]&lt;=Table1[[#This Row],[High Tol]],"Pass","Fail")))</f>
        <v>Fail</v>
      </c>
      <c r="AH18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5" s="1" t="b">
        <v>0</v>
      </c>
      <c r="AN1845" s="1" t="b">
        <v>0</v>
      </c>
      <c r="AO1845" s="1" t="b">
        <v>0</v>
      </c>
    </row>
    <row r="1846" spans="1:41" x14ac:dyDescent="0.25">
      <c r="A1846" s="10"/>
      <c r="B1846" s="10"/>
      <c r="C1846" s="10"/>
      <c r="D1846" s="10"/>
      <c r="E1846" s="10"/>
      <c r="F1846" s="10"/>
      <c r="G1846" s="10"/>
      <c r="H1846" s="10"/>
      <c r="I1846" s="1" t="str">
        <f t="shared" si="84"/>
        <v/>
      </c>
      <c r="J1846" s="1" t="s">
        <v>35</v>
      </c>
      <c r="K1846" s="1" t="str">
        <f t="shared" si="85"/>
        <v/>
      </c>
      <c r="L1846" s="1" t="str">
        <f t="shared" si="86"/>
        <v/>
      </c>
      <c r="M1846" s="1">
        <f>IF(OR(Table1[[#This Row],[Std Nom]]="",Table1[[#This Row],[Std Read]]=""),0,Table1[[#This Row],[Std Nom]]-Table1[[#This Row],[Std Read]])</f>
        <v>0</v>
      </c>
      <c r="N1846" s="1">
        <f>IF(Calculations!$F$5="ACCREDITED 17025 WITH UNCERTAINTIES",$N$10,0)</f>
        <v>0</v>
      </c>
      <c r="Q1846" s="1">
        <f>Table1[[#This Row],[High Tol]]-Table1[[#This Row],[Low Tol]]</f>
        <v>0</v>
      </c>
      <c r="R1846" s="1">
        <f>2*Table1[[#This Row],[Std Error]]</f>
        <v>0</v>
      </c>
      <c r="S1846" s="1" t="str">
        <f>IF(Table1[[#This Row],[High Tol]]="","N/A",IFERROR(ABS(Table1[[#This Row],[Tol Span]]/Table1[[#This Row],[Error Span]]),"N/A"))</f>
        <v>N/A</v>
      </c>
      <c r="T1846" s="1" t="str">
        <f>IF(OR(Table1[[#This Row],[Low Tol]]="",Table1[[#This Row],[High Tol]]=""),"Needs Analysis",IF(Table1[[#This Row],[Ratio]]&gt;=4,"Not Significant",IF(Table1[[#This Row],[Ratio]]&gt;=2,"Semi-Significant","Significant")))</f>
        <v>Needs Analysis</v>
      </c>
      <c r="W1846" s="1">
        <f>IF(Table1[[#This Row],[Cal Type]]&lt;&gt;"ACCREDITED 17025 WITH UNCERTAINTIES",0,"")</f>
        <v>0</v>
      </c>
      <c r="X1846" s="1" t="str">
        <f>IF(Table1[[#This Row],[DUT Read]]="","N/A",Table1[[#This Row],[Std Error]]+Table1[[#This Row],[DUT Read]]+Table1[[#This Row],[DUT Ucty]])</f>
        <v>N/A</v>
      </c>
      <c r="Y1846" s="1" t="str">
        <f>IF(Table1[[#This Row],[Std Read]]="","N/A",Table1[[#This Row],[Std Read]]+Table1[[#This Row],[Std Ucty]])</f>
        <v>N/A</v>
      </c>
      <c r="Z18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6" s="1" t="str">
        <f>IF(Table1[[#This Row],[Spec Type]]="","N/A",Table1[[#This Row],[Spec Type]])</f>
        <v>±</v>
      </c>
      <c r="AC1846" s="1" t="str">
        <f>IF(Table1[[#This Row],[Spec Type2]]="N/A","N/A",IF(AND(Table1[[#This Row],[DUT Adj Read]]&gt;=Table1[[#This Row],[Low Tol]],Table1[[#This Row],[DUT Adj Read]]&lt;=Table1[[#This Row],[High Tol]]),"Pass","Fail"))</f>
        <v>Fail</v>
      </c>
      <c r="AD1846" s="1" t="str">
        <f>IF(AND(Table1[[#This Row],[Spec Type2]]="N/A",Table1[[#This Row],[DUT Adj Read]]="N/A",Table1[[#This Row],[Std Adj Read]]="N/A"),"N/A",IF(Table1[[#This Row],[DUT Adj Read]]="N/A",IF(Table1[[#This Row],[Std Adj Read]]&gt;Table1[[#This Row],[Low Tol]],"Pass","Fail"),IF(Table1[[#This Row],[DUT Adj Read]]&gt;Table1[[#This Row],[Low Tol]],"Pass","Fail")))</f>
        <v>Pass</v>
      </c>
      <c r="AE1846" s="1" t="str">
        <f>IF(AND(Table1[[#This Row],[Spec Type2]]="N/A",Table1[[#This Row],[DUT Adj Read]]="N/A",Table1[[#This Row],[Std Adj Read]]="N/A"),"N/A",IF(Table1[[#This Row],[DUT Adj Read]]="N/A",IF(Table1[[#This Row],[Std Adj Read]]&lt;Table1[[#This Row],[High Tol]],"Pass","Fail"),IF(Table1[[#This Row],[DUT Adj Read]]&lt;Table1[[#This Row],[High Tol]],"Pass","Fail")))</f>
        <v>Fail</v>
      </c>
      <c r="AF1846" s="1" t="str">
        <f>IF(AND(Table1[[#This Row],[Spec Type2]]="N/A",Table1[[#This Row],[DUT Adj Read]]="N/A",Table1[[#This Row],[Std Adj Read]]="N/A"),"N/A",IF(Table1[[#This Row],[DUT Adj Read]]="N/A",IF(Table1[[#This Row],[Std Adj Read]]&gt;=Table1[[#This Row],[Low Tol]],"Pass","Fail"),IF(Table1[[#This Row],[DUT Adj Read]]&gt;=Table1[[#This Row],[Low Tol]],"Pass","Fail")))</f>
        <v>Pass</v>
      </c>
      <c r="AG1846" s="1" t="str">
        <f>IF(AND(Table1[[#This Row],[Spec Type2]]="N/A",Table1[[#This Row],[DUT Adj Read]]="N/A",Table1[[#This Row],[Std Adj Read]]="N/A"),"N/A",IF(Table1[[#This Row],[DUT Adj Read]]="N/A",IF(Table1[[#This Row],[Std Adj Read]]&lt;=Table1[[#This Row],[High Tol]],"Pass","Fail"),IF(Table1[[#This Row],[DUT Adj Read]]&lt;=Table1[[#This Row],[High Tol]],"Pass","Fail")))</f>
        <v>Fail</v>
      </c>
      <c r="AH18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6" s="1" t="b">
        <v>0</v>
      </c>
      <c r="AN1846" s="1" t="b">
        <v>0</v>
      </c>
      <c r="AO1846" s="1" t="b">
        <v>0</v>
      </c>
    </row>
    <row r="1847" spans="1:41" x14ac:dyDescent="0.25">
      <c r="A1847" s="10"/>
      <c r="B1847" s="10"/>
      <c r="C1847" s="10"/>
      <c r="D1847" s="10"/>
      <c r="E1847" s="10"/>
      <c r="F1847" s="10"/>
      <c r="G1847" s="10"/>
      <c r="H1847" s="10"/>
      <c r="I1847" s="1" t="str">
        <f t="shared" si="84"/>
        <v/>
      </c>
      <c r="J1847" s="1" t="s">
        <v>35</v>
      </c>
      <c r="K1847" s="1" t="str">
        <f t="shared" si="85"/>
        <v/>
      </c>
      <c r="L1847" s="1" t="str">
        <f t="shared" si="86"/>
        <v/>
      </c>
      <c r="M1847" s="1">
        <f>IF(OR(Table1[[#This Row],[Std Nom]]="",Table1[[#This Row],[Std Read]]=""),0,Table1[[#This Row],[Std Nom]]-Table1[[#This Row],[Std Read]])</f>
        <v>0</v>
      </c>
      <c r="N1847" s="1">
        <f>IF(Calculations!$F$5="ACCREDITED 17025 WITH UNCERTAINTIES",$N$10,0)</f>
        <v>0</v>
      </c>
      <c r="Q1847" s="1">
        <f>Table1[[#This Row],[High Tol]]-Table1[[#This Row],[Low Tol]]</f>
        <v>0</v>
      </c>
      <c r="R1847" s="1">
        <f>2*Table1[[#This Row],[Std Error]]</f>
        <v>0</v>
      </c>
      <c r="S1847" s="1" t="str">
        <f>IF(Table1[[#This Row],[High Tol]]="","N/A",IFERROR(ABS(Table1[[#This Row],[Tol Span]]/Table1[[#This Row],[Error Span]]),"N/A"))</f>
        <v>N/A</v>
      </c>
      <c r="T1847" s="1" t="str">
        <f>IF(OR(Table1[[#This Row],[Low Tol]]="",Table1[[#This Row],[High Tol]]=""),"Needs Analysis",IF(Table1[[#This Row],[Ratio]]&gt;=4,"Not Significant",IF(Table1[[#This Row],[Ratio]]&gt;=2,"Semi-Significant","Significant")))</f>
        <v>Needs Analysis</v>
      </c>
      <c r="W1847" s="1">
        <f>IF(Table1[[#This Row],[Cal Type]]&lt;&gt;"ACCREDITED 17025 WITH UNCERTAINTIES",0,"")</f>
        <v>0</v>
      </c>
      <c r="X1847" s="1" t="str">
        <f>IF(Table1[[#This Row],[DUT Read]]="","N/A",Table1[[#This Row],[Std Error]]+Table1[[#This Row],[DUT Read]]+Table1[[#This Row],[DUT Ucty]])</f>
        <v>N/A</v>
      </c>
      <c r="Y1847" s="1" t="str">
        <f>IF(Table1[[#This Row],[Std Read]]="","N/A",Table1[[#This Row],[Std Read]]+Table1[[#This Row],[Std Ucty]])</f>
        <v>N/A</v>
      </c>
      <c r="Z18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7" s="1" t="str">
        <f>IF(Table1[[#This Row],[Spec Type]]="","N/A",Table1[[#This Row],[Spec Type]])</f>
        <v>±</v>
      </c>
      <c r="AC1847" s="1" t="str">
        <f>IF(Table1[[#This Row],[Spec Type2]]="N/A","N/A",IF(AND(Table1[[#This Row],[DUT Adj Read]]&gt;=Table1[[#This Row],[Low Tol]],Table1[[#This Row],[DUT Adj Read]]&lt;=Table1[[#This Row],[High Tol]]),"Pass","Fail"))</f>
        <v>Fail</v>
      </c>
      <c r="AD1847" s="1" t="str">
        <f>IF(AND(Table1[[#This Row],[Spec Type2]]="N/A",Table1[[#This Row],[DUT Adj Read]]="N/A",Table1[[#This Row],[Std Adj Read]]="N/A"),"N/A",IF(Table1[[#This Row],[DUT Adj Read]]="N/A",IF(Table1[[#This Row],[Std Adj Read]]&gt;Table1[[#This Row],[Low Tol]],"Pass","Fail"),IF(Table1[[#This Row],[DUT Adj Read]]&gt;Table1[[#This Row],[Low Tol]],"Pass","Fail")))</f>
        <v>Pass</v>
      </c>
      <c r="AE1847" s="1" t="str">
        <f>IF(AND(Table1[[#This Row],[Spec Type2]]="N/A",Table1[[#This Row],[DUT Adj Read]]="N/A",Table1[[#This Row],[Std Adj Read]]="N/A"),"N/A",IF(Table1[[#This Row],[DUT Adj Read]]="N/A",IF(Table1[[#This Row],[Std Adj Read]]&lt;Table1[[#This Row],[High Tol]],"Pass","Fail"),IF(Table1[[#This Row],[DUT Adj Read]]&lt;Table1[[#This Row],[High Tol]],"Pass","Fail")))</f>
        <v>Fail</v>
      </c>
      <c r="AF1847" s="1" t="str">
        <f>IF(AND(Table1[[#This Row],[Spec Type2]]="N/A",Table1[[#This Row],[DUT Adj Read]]="N/A",Table1[[#This Row],[Std Adj Read]]="N/A"),"N/A",IF(Table1[[#This Row],[DUT Adj Read]]="N/A",IF(Table1[[#This Row],[Std Adj Read]]&gt;=Table1[[#This Row],[Low Tol]],"Pass","Fail"),IF(Table1[[#This Row],[DUT Adj Read]]&gt;=Table1[[#This Row],[Low Tol]],"Pass","Fail")))</f>
        <v>Pass</v>
      </c>
      <c r="AG1847" s="1" t="str">
        <f>IF(AND(Table1[[#This Row],[Spec Type2]]="N/A",Table1[[#This Row],[DUT Adj Read]]="N/A",Table1[[#This Row],[Std Adj Read]]="N/A"),"N/A",IF(Table1[[#This Row],[DUT Adj Read]]="N/A",IF(Table1[[#This Row],[Std Adj Read]]&lt;=Table1[[#This Row],[High Tol]],"Pass","Fail"),IF(Table1[[#This Row],[DUT Adj Read]]&lt;=Table1[[#This Row],[High Tol]],"Pass","Fail")))</f>
        <v>Fail</v>
      </c>
      <c r="AH18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7" s="1" t="b">
        <v>0</v>
      </c>
      <c r="AN1847" s="1" t="b">
        <v>0</v>
      </c>
      <c r="AO1847" s="1" t="b">
        <v>0</v>
      </c>
    </row>
    <row r="1848" spans="1:41" x14ac:dyDescent="0.25">
      <c r="A1848" s="10"/>
      <c r="B1848" s="10"/>
      <c r="C1848" s="10"/>
      <c r="D1848" s="10"/>
      <c r="E1848" s="10"/>
      <c r="F1848" s="10"/>
      <c r="G1848" s="10"/>
      <c r="H1848" s="10"/>
      <c r="I1848" s="1" t="str">
        <f t="shared" si="84"/>
        <v/>
      </c>
      <c r="J1848" s="1" t="s">
        <v>35</v>
      </c>
      <c r="K1848" s="1" t="str">
        <f t="shared" si="85"/>
        <v/>
      </c>
      <c r="L1848" s="1" t="str">
        <f t="shared" si="86"/>
        <v/>
      </c>
      <c r="M1848" s="1">
        <f>IF(OR(Table1[[#This Row],[Std Nom]]="",Table1[[#This Row],[Std Read]]=""),0,Table1[[#This Row],[Std Nom]]-Table1[[#This Row],[Std Read]])</f>
        <v>0</v>
      </c>
      <c r="N1848" s="1">
        <f>IF(Calculations!$F$5="ACCREDITED 17025 WITH UNCERTAINTIES",$N$10,0)</f>
        <v>0</v>
      </c>
      <c r="Q1848" s="1">
        <f>Table1[[#This Row],[High Tol]]-Table1[[#This Row],[Low Tol]]</f>
        <v>0</v>
      </c>
      <c r="R1848" s="1">
        <f>2*Table1[[#This Row],[Std Error]]</f>
        <v>0</v>
      </c>
      <c r="S1848" s="1" t="str">
        <f>IF(Table1[[#This Row],[High Tol]]="","N/A",IFERROR(ABS(Table1[[#This Row],[Tol Span]]/Table1[[#This Row],[Error Span]]),"N/A"))</f>
        <v>N/A</v>
      </c>
      <c r="T1848" s="1" t="str">
        <f>IF(OR(Table1[[#This Row],[Low Tol]]="",Table1[[#This Row],[High Tol]]=""),"Needs Analysis",IF(Table1[[#This Row],[Ratio]]&gt;=4,"Not Significant",IF(Table1[[#This Row],[Ratio]]&gt;=2,"Semi-Significant","Significant")))</f>
        <v>Needs Analysis</v>
      </c>
      <c r="W1848" s="1">
        <f>IF(Table1[[#This Row],[Cal Type]]&lt;&gt;"ACCREDITED 17025 WITH UNCERTAINTIES",0,"")</f>
        <v>0</v>
      </c>
      <c r="X1848" s="1" t="str">
        <f>IF(Table1[[#This Row],[DUT Read]]="","N/A",Table1[[#This Row],[Std Error]]+Table1[[#This Row],[DUT Read]]+Table1[[#This Row],[DUT Ucty]])</f>
        <v>N/A</v>
      </c>
      <c r="Y1848" s="1" t="str">
        <f>IF(Table1[[#This Row],[Std Read]]="","N/A",Table1[[#This Row],[Std Read]]+Table1[[#This Row],[Std Ucty]])</f>
        <v>N/A</v>
      </c>
      <c r="Z18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8" s="1" t="str">
        <f>IF(Table1[[#This Row],[Spec Type]]="","N/A",Table1[[#This Row],[Spec Type]])</f>
        <v>±</v>
      </c>
      <c r="AC1848" s="1" t="str">
        <f>IF(Table1[[#This Row],[Spec Type2]]="N/A","N/A",IF(AND(Table1[[#This Row],[DUT Adj Read]]&gt;=Table1[[#This Row],[Low Tol]],Table1[[#This Row],[DUT Adj Read]]&lt;=Table1[[#This Row],[High Tol]]),"Pass","Fail"))</f>
        <v>Fail</v>
      </c>
      <c r="AD1848" s="1" t="str">
        <f>IF(AND(Table1[[#This Row],[Spec Type2]]="N/A",Table1[[#This Row],[DUT Adj Read]]="N/A",Table1[[#This Row],[Std Adj Read]]="N/A"),"N/A",IF(Table1[[#This Row],[DUT Adj Read]]="N/A",IF(Table1[[#This Row],[Std Adj Read]]&gt;Table1[[#This Row],[Low Tol]],"Pass","Fail"),IF(Table1[[#This Row],[DUT Adj Read]]&gt;Table1[[#This Row],[Low Tol]],"Pass","Fail")))</f>
        <v>Pass</v>
      </c>
      <c r="AE1848" s="1" t="str">
        <f>IF(AND(Table1[[#This Row],[Spec Type2]]="N/A",Table1[[#This Row],[DUT Adj Read]]="N/A",Table1[[#This Row],[Std Adj Read]]="N/A"),"N/A",IF(Table1[[#This Row],[DUT Adj Read]]="N/A",IF(Table1[[#This Row],[Std Adj Read]]&lt;Table1[[#This Row],[High Tol]],"Pass","Fail"),IF(Table1[[#This Row],[DUT Adj Read]]&lt;Table1[[#This Row],[High Tol]],"Pass","Fail")))</f>
        <v>Fail</v>
      </c>
      <c r="AF1848" s="1" t="str">
        <f>IF(AND(Table1[[#This Row],[Spec Type2]]="N/A",Table1[[#This Row],[DUT Adj Read]]="N/A",Table1[[#This Row],[Std Adj Read]]="N/A"),"N/A",IF(Table1[[#This Row],[DUT Adj Read]]="N/A",IF(Table1[[#This Row],[Std Adj Read]]&gt;=Table1[[#This Row],[Low Tol]],"Pass","Fail"),IF(Table1[[#This Row],[DUT Adj Read]]&gt;=Table1[[#This Row],[Low Tol]],"Pass","Fail")))</f>
        <v>Pass</v>
      </c>
      <c r="AG1848" s="1" t="str">
        <f>IF(AND(Table1[[#This Row],[Spec Type2]]="N/A",Table1[[#This Row],[DUT Adj Read]]="N/A",Table1[[#This Row],[Std Adj Read]]="N/A"),"N/A",IF(Table1[[#This Row],[DUT Adj Read]]="N/A",IF(Table1[[#This Row],[Std Adj Read]]&lt;=Table1[[#This Row],[High Tol]],"Pass","Fail"),IF(Table1[[#This Row],[DUT Adj Read]]&lt;=Table1[[#This Row],[High Tol]],"Pass","Fail")))</f>
        <v>Fail</v>
      </c>
      <c r="AH18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8" s="1" t="b">
        <v>0</v>
      </c>
      <c r="AN1848" s="1" t="b">
        <v>0</v>
      </c>
      <c r="AO1848" s="1" t="b">
        <v>0</v>
      </c>
    </row>
    <row r="1849" spans="1:41" x14ac:dyDescent="0.25">
      <c r="A1849" s="10"/>
      <c r="B1849" s="10"/>
      <c r="C1849" s="10"/>
      <c r="D1849" s="10"/>
      <c r="E1849" s="10"/>
      <c r="F1849" s="10"/>
      <c r="G1849" s="10"/>
      <c r="H1849" s="10"/>
      <c r="I1849" s="1" t="str">
        <f t="shared" si="84"/>
        <v/>
      </c>
      <c r="J1849" s="1" t="s">
        <v>35</v>
      </c>
      <c r="K1849" s="1" t="str">
        <f t="shared" si="85"/>
        <v/>
      </c>
      <c r="L1849" s="1" t="str">
        <f t="shared" si="86"/>
        <v/>
      </c>
      <c r="M1849" s="1">
        <f>IF(OR(Table1[[#This Row],[Std Nom]]="",Table1[[#This Row],[Std Read]]=""),0,Table1[[#This Row],[Std Nom]]-Table1[[#This Row],[Std Read]])</f>
        <v>0</v>
      </c>
      <c r="N1849" s="1">
        <f>IF(Calculations!$F$5="ACCREDITED 17025 WITH UNCERTAINTIES",$N$10,0)</f>
        <v>0</v>
      </c>
      <c r="Q1849" s="1">
        <f>Table1[[#This Row],[High Tol]]-Table1[[#This Row],[Low Tol]]</f>
        <v>0</v>
      </c>
      <c r="R1849" s="1">
        <f>2*Table1[[#This Row],[Std Error]]</f>
        <v>0</v>
      </c>
      <c r="S1849" s="1" t="str">
        <f>IF(Table1[[#This Row],[High Tol]]="","N/A",IFERROR(ABS(Table1[[#This Row],[Tol Span]]/Table1[[#This Row],[Error Span]]),"N/A"))</f>
        <v>N/A</v>
      </c>
      <c r="T1849" s="1" t="str">
        <f>IF(OR(Table1[[#This Row],[Low Tol]]="",Table1[[#This Row],[High Tol]]=""),"Needs Analysis",IF(Table1[[#This Row],[Ratio]]&gt;=4,"Not Significant",IF(Table1[[#This Row],[Ratio]]&gt;=2,"Semi-Significant","Significant")))</f>
        <v>Needs Analysis</v>
      </c>
      <c r="W1849" s="1">
        <f>IF(Table1[[#This Row],[Cal Type]]&lt;&gt;"ACCREDITED 17025 WITH UNCERTAINTIES",0,"")</f>
        <v>0</v>
      </c>
      <c r="X1849" s="1" t="str">
        <f>IF(Table1[[#This Row],[DUT Read]]="","N/A",Table1[[#This Row],[Std Error]]+Table1[[#This Row],[DUT Read]]+Table1[[#This Row],[DUT Ucty]])</f>
        <v>N/A</v>
      </c>
      <c r="Y1849" s="1" t="str">
        <f>IF(Table1[[#This Row],[Std Read]]="","N/A",Table1[[#This Row],[Std Read]]+Table1[[#This Row],[Std Ucty]])</f>
        <v>N/A</v>
      </c>
      <c r="Z18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49" s="1" t="str">
        <f>IF(Table1[[#This Row],[Spec Type]]="","N/A",Table1[[#This Row],[Spec Type]])</f>
        <v>±</v>
      </c>
      <c r="AC1849" s="1" t="str">
        <f>IF(Table1[[#This Row],[Spec Type2]]="N/A","N/A",IF(AND(Table1[[#This Row],[DUT Adj Read]]&gt;=Table1[[#This Row],[Low Tol]],Table1[[#This Row],[DUT Adj Read]]&lt;=Table1[[#This Row],[High Tol]]),"Pass","Fail"))</f>
        <v>Fail</v>
      </c>
      <c r="AD1849" s="1" t="str">
        <f>IF(AND(Table1[[#This Row],[Spec Type2]]="N/A",Table1[[#This Row],[DUT Adj Read]]="N/A",Table1[[#This Row],[Std Adj Read]]="N/A"),"N/A",IF(Table1[[#This Row],[DUT Adj Read]]="N/A",IF(Table1[[#This Row],[Std Adj Read]]&gt;Table1[[#This Row],[Low Tol]],"Pass","Fail"),IF(Table1[[#This Row],[DUT Adj Read]]&gt;Table1[[#This Row],[Low Tol]],"Pass","Fail")))</f>
        <v>Pass</v>
      </c>
      <c r="AE1849" s="1" t="str">
        <f>IF(AND(Table1[[#This Row],[Spec Type2]]="N/A",Table1[[#This Row],[DUT Adj Read]]="N/A",Table1[[#This Row],[Std Adj Read]]="N/A"),"N/A",IF(Table1[[#This Row],[DUT Adj Read]]="N/A",IF(Table1[[#This Row],[Std Adj Read]]&lt;Table1[[#This Row],[High Tol]],"Pass","Fail"),IF(Table1[[#This Row],[DUT Adj Read]]&lt;Table1[[#This Row],[High Tol]],"Pass","Fail")))</f>
        <v>Fail</v>
      </c>
      <c r="AF1849" s="1" t="str">
        <f>IF(AND(Table1[[#This Row],[Spec Type2]]="N/A",Table1[[#This Row],[DUT Adj Read]]="N/A",Table1[[#This Row],[Std Adj Read]]="N/A"),"N/A",IF(Table1[[#This Row],[DUT Adj Read]]="N/A",IF(Table1[[#This Row],[Std Adj Read]]&gt;=Table1[[#This Row],[Low Tol]],"Pass","Fail"),IF(Table1[[#This Row],[DUT Adj Read]]&gt;=Table1[[#This Row],[Low Tol]],"Pass","Fail")))</f>
        <v>Pass</v>
      </c>
      <c r="AG1849" s="1" t="str">
        <f>IF(AND(Table1[[#This Row],[Spec Type2]]="N/A",Table1[[#This Row],[DUT Adj Read]]="N/A",Table1[[#This Row],[Std Adj Read]]="N/A"),"N/A",IF(Table1[[#This Row],[DUT Adj Read]]="N/A",IF(Table1[[#This Row],[Std Adj Read]]&lt;=Table1[[#This Row],[High Tol]],"Pass","Fail"),IF(Table1[[#This Row],[DUT Adj Read]]&lt;=Table1[[#This Row],[High Tol]],"Pass","Fail")))</f>
        <v>Fail</v>
      </c>
      <c r="AH18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49" s="1" t="b">
        <v>0</v>
      </c>
      <c r="AN1849" s="1" t="b">
        <v>0</v>
      </c>
      <c r="AO1849" s="1" t="b">
        <v>0</v>
      </c>
    </row>
    <row r="1850" spans="1:41" x14ac:dyDescent="0.25">
      <c r="A1850" s="10"/>
      <c r="B1850" s="10"/>
      <c r="C1850" s="10"/>
      <c r="D1850" s="10"/>
      <c r="E1850" s="10"/>
      <c r="F1850" s="10"/>
      <c r="G1850" s="10"/>
      <c r="H1850" s="10"/>
      <c r="I1850" s="1" t="str">
        <f t="shared" si="84"/>
        <v/>
      </c>
      <c r="J1850" s="1" t="s">
        <v>35</v>
      </c>
      <c r="K1850" s="1" t="str">
        <f t="shared" si="85"/>
        <v/>
      </c>
      <c r="L1850" s="1" t="str">
        <f t="shared" si="86"/>
        <v/>
      </c>
      <c r="M1850" s="1">
        <f>IF(OR(Table1[[#This Row],[Std Nom]]="",Table1[[#This Row],[Std Read]]=""),0,Table1[[#This Row],[Std Nom]]-Table1[[#This Row],[Std Read]])</f>
        <v>0</v>
      </c>
      <c r="N1850" s="1">
        <f>IF(Calculations!$F$5="ACCREDITED 17025 WITH UNCERTAINTIES",$N$10,0)</f>
        <v>0</v>
      </c>
      <c r="Q1850" s="1">
        <f>Table1[[#This Row],[High Tol]]-Table1[[#This Row],[Low Tol]]</f>
        <v>0</v>
      </c>
      <c r="R1850" s="1">
        <f>2*Table1[[#This Row],[Std Error]]</f>
        <v>0</v>
      </c>
      <c r="S1850" s="1" t="str">
        <f>IF(Table1[[#This Row],[High Tol]]="","N/A",IFERROR(ABS(Table1[[#This Row],[Tol Span]]/Table1[[#This Row],[Error Span]]),"N/A"))</f>
        <v>N/A</v>
      </c>
      <c r="T1850" s="1" t="str">
        <f>IF(OR(Table1[[#This Row],[Low Tol]]="",Table1[[#This Row],[High Tol]]=""),"Needs Analysis",IF(Table1[[#This Row],[Ratio]]&gt;=4,"Not Significant",IF(Table1[[#This Row],[Ratio]]&gt;=2,"Semi-Significant","Significant")))</f>
        <v>Needs Analysis</v>
      </c>
      <c r="W1850" s="1">
        <f>IF(Table1[[#This Row],[Cal Type]]&lt;&gt;"ACCREDITED 17025 WITH UNCERTAINTIES",0,"")</f>
        <v>0</v>
      </c>
      <c r="X1850" s="1" t="str">
        <f>IF(Table1[[#This Row],[DUT Read]]="","N/A",Table1[[#This Row],[Std Error]]+Table1[[#This Row],[DUT Read]]+Table1[[#This Row],[DUT Ucty]])</f>
        <v>N/A</v>
      </c>
      <c r="Y1850" s="1" t="str">
        <f>IF(Table1[[#This Row],[Std Read]]="","N/A",Table1[[#This Row],[Std Read]]+Table1[[#This Row],[Std Ucty]])</f>
        <v>N/A</v>
      </c>
      <c r="Z18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0" s="1" t="str">
        <f>IF(Table1[[#This Row],[Spec Type]]="","N/A",Table1[[#This Row],[Spec Type]])</f>
        <v>±</v>
      </c>
      <c r="AC1850" s="1" t="str">
        <f>IF(Table1[[#This Row],[Spec Type2]]="N/A","N/A",IF(AND(Table1[[#This Row],[DUT Adj Read]]&gt;=Table1[[#This Row],[Low Tol]],Table1[[#This Row],[DUT Adj Read]]&lt;=Table1[[#This Row],[High Tol]]),"Pass","Fail"))</f>
        <v>Fail</v>
      </c>
      <c r="AD1850" s="1" t="str">
        <f>IF(AND(Table1[[#This Row],[Spec Type2]]="N/A",Table1[[#This Row],[DUT Adj Read]]="N/A",Table1[[#This Row],[Std Adj Read]]="N/A"),"N/A",IF(Table1[[#This Row],[DUT Adj Read]]="N/A",IF(Table1[[#This Row],[Std Adj Read]]&gt;Table1[[#This Row],[Low Tol]],"Pass","Fail"),IF(Table1[[#This Row],[DUT Adj Read]]&gt;Table1[[#This Row],[Low Tol]],"Pass","Fail")))</f>
        <v>Pass</v>
      </c>
      <c r="AE1850" s="1" t="str">
        <f>IF(AND(Table1[[#This Row],[Spec Type2]]="N/A",Table1[[#This Row],[DUT Adj Read]]="N/A",Table1[[#This Row],[Std Adj Read]]="N/A"),"N/A",IF(Table1[[#This Row],[DUT Adj Read]]="N/A",IF(Table1[[#This Row],[Std Adj Read]]&lt;Table1[[#This Row],[High Tol]],"Pass","Fail"),IF(Table1[[#This Row],[DUT Adj Read]]&lt;Table1[[#This Row],[High Tol]],"Pass","Fail")))</f>
        <v>Fail</v>
      </c>
      <c r="AF1850" s="1" t="str">
        <f>IF(AND(Table1[[#This Row],[Spec Type2]]="N/A",Table1[[#This Row],[DUT Adj Read]]="N/A",Table1[[#This Row],[Std Adj Read]]="N/A"),"N/A",IF(Table1[[#This Row],[DUT Adj Read]]="N/A",IF(Table1[[#This Row],[Std Adj Read]]&gt;=Table1[[#This Row],[Low Tol]],"Pass","Fail"),IF(Table1[[#This Row],[DUT Adj Read]]&gt;=Table1[[#This Row],[Low Tol]],"Pass","Fail")))</f>
        <v>Pass</v>
      </c>
      <c r="AG1850" s="1" t="str">
        <f>IF(AND(Table1[[#This Row],[Spec Type2]]="N/A",Table1[[#This Row],[DUT Adj Read]]="N/A",Table1[[#This Row],[Std Adj Read]]="N/A"),"N/A",IF(Table1[[#This Row],[DUT Adj Read]]="N/A",IF(Table1[[#This Row],[Std Adj Read]]&lt;=Table1[[#This Row],[High Tol]],"Pass","Fail"),IF(Table1[[#This Row],[DUT Adj Read]]&lt;=Table1[[#This Row],[High Tol]],"Pass","Fail")))</f>
        <v>Fail</v>
      </c>
      <c r="AH18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0" s="1" t="b">
        <v>0</v>
      </c>
      <c r="AN1850" s="1" t="b">
        <v>0</v>
      </c>
      <c r="AO1850" s="1" t="b">
        <v>0</v>
      </c>
    </row>
    <row r="1851" spans="1:41" x14ac:dyDescent="0.25">
      <c r="A1851" s="10"/>
      <c r="B1851" s="10"/>
      <c r="C1851" s="10"/>
      <c r="D1851" s="10"/>
      <c r="E1851" s="10"/>
      <c r="F1851" s="10"/>
      <c r="G1851" s="10"/>
      <c r="H1851" s="10"/>
      <c r="I1851" s="1" t="str">
        <f t="shared" si="84"/>
        <v/>
      </c>
      <c r="J1851" s="1" t="s">
        <v>35</v>
      </c>
      <c r="K1851" s="1" t="str">
        <f t="shared" si="85"/>
        <v/>
      </c>
      <c r="L1851" s="1" t="str">
        <f t="shared" si="86"/>
        <v/>
      </c>
      <c r="M1851" s="1">
        <f>IF(OR(Table1[[#This Row],[Std Nom]]="",Table1[[#This Row],[Std Read]]=""),0,Table1[[#This Row],[Std Nom]]-Table1[[#This Row],[Std Read]])</f>
        <v>0</v>
      </c>
      <c r="N1851" s="1">
        <f>IF(Calculations!$F$5="ACCREDITED 17025 WITH UNCERTAINTIES",$N$10,0)</f>
        <v>0</v>
      </c>
      <c r="Q1851" s="1">
        <f>Table1[[#This Row],[High Tol]]-Table1[[#This Row],[Low Tol]]</f>
        <v>0</v>
      </c>
      <c r="R1851" s="1">
        <f>2*Table1[[#This Row],[Std Error]]</f>
        <v>0</v>
      </c>
      <c r="S1851" s="1" t="str">
        <f>IF(Table1[[#This Row],[High Tol]]="","N/A",IFERROR(ABS(Table1[[#This Row],[Tol Span]]/Table1[[#This Row],[Error Span]]),"N/A"))</f>
        <v>N/A</v>
      </c>
      <c r="T1851" s="1" t="str">
        <f>IF(OR(Table1[[#This Row],[Low Tol]]="",Table1[[#This Row],[High Tol]]=""),"Needs Analysis",IF(Table1[[#This Row],[Ratio]]&gt;=4,"Not Significant",IF(Table1[[#This Row],[Ratio]]&gt;=2,"Semi-Significant","Significant")))</f>
        <v>Needs Analysis</v>
      </c>
      <c r="W1851" s="1">
        <f>IF(Table1[[#This Row],[Cal Type]]&lt;&gt;"ACCREDITED 17025 WITH UNCERTAINTIES",0,"")</f>
        <v>0</v>
      </c>
      <c r="X1851" s="1" t="str">
        <f>IF(Table1[[#This Row],[DUT Read]]="","N/A",Table1[[#This Row],[Std Error]]+Table1[[#This Row],[DUT Read]]+Table1[[#This Row],[DUT Ucty]])</f>
        <v>N/A</v>
      </c>
      <c r="Y1851" s="1" t="str">
        <f>IF(Table1[[#This Row],[Std Read]]="","N/A",Table1[[#This Row],[Std Read]]+Table1[[#This Row],[Std Ucty]])</f>
        <v>N/A</v>
      </c>
      <c r="Z18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1" s="1" t="str">
        <f>IF(Table1[[#This Row],[Spec Type]]="","N/A",Table1[[#This Row],[Spec Type]])</f>
        <v>±</v>
      </c>
      <c r="AC1851" s="1" t="str">
        <f>IF(Table1[[#This Row],[Spec Type2]]="N/A","N/A",IF(AND(Table1[[#This Row],[DUT Adj Read]]&gt;=Table1[[#This Row],[Low Tol]],Table1[[#This Row],[DUT Adj Read]]&lt;=Table1[[#This Row],[High Tol]]),"Pass","Fail"))</f>
        <v>Fail</v>
      </c>
      <c r="AD1851" s="1" t="str">
        <f>IF(AND(Table1[[#This Row],[Spec Type2]]="N/A",Table1[[#This Row],[DUT Adj Read]]="N/A",Table1[[#This Row],[Std Adj Read]]="N/A"),"N/A",IF(Table1[[#This Row],[DUT Adj Read]]="N/A",IF(Table1[[#This Row],[Std Adj Read]]&gt;Table1[[#This Row],[Low Tol]],"Pass","Fail"),IF(Table1[[#This Row],[DUT Adj Read]]&gt;Table1[[#This Row],[Low Tol]],"Pass","Fail")))</f>
        <v>Pass</v>
      </c>
      <c r="AE1851" s="1" t="str">
        <f>IF(AND(Table1[[#This Row],[Spec Type2]]="N/A",Table1[[#This Row],[DUT Adj Read]]="N/A",Table1[[#This Row],[Std Adj Read]]="N/A"),"N/A",IF(Table1[[#This Row],[DUT Adj Read]]="N/A",IF(Table1[[#This Row],[Std Adj Read]]&lt;Table1[[#This Row],[High Tol]],"Pass","Fail"),IF(Table1[[#This Row],[DUT Adj Read]]&lt;Table1[[#This Row],[High Tol]],"Pass","Fail")))</f>
        <v>Fail</v>
      </c>
      <c r="AF1851" s="1" t="str">
        <f>IF(AND(Table1[[#This Row],[Spec Type2]]="N/A",Table1[[#This Row],[DUT Adj Read]]="N/A",Table1[[#This Row],[Std Adj Read]]="N/A"),"N/A",IF(Table1[[#This Row],[DUT Adj Read]]="N/A",IF(Table1[[#This Row],[Std Adj Read]]&gt;=Table1[[#This Row],[Low Tol]],"Pass","Fail"),IF(Table1[[#This Row],[DUT Adj Read]]&gt;=Table1[[#This Row],[Low Tol]],"Pass","Fail")))</f>
        <v>Pass</v>
      </c>
      <c r="AG1851" s="1" t="str">
        <f>IF(AND(Table1[[#This Row],[Spec Type2]]="N/A",Table1[[#This Row],[DUT Adj Read]]="N/A",Table1[[#This Row],[Std Adj Read]]="N/A"),"N/A",IF(Table1[[#This Row],[DUT Adj Read]]="N/A",IF(Table1[[#This Row],[Std Adj Read]]&lt;=Table1[[#This Row],[High Tol]],"Pass","Fail"),IF(Table1[[#This Row],[DUT Adj Read]]&lt;=Table1[[#This Row],[High Tol]],"Pass","Fail")))</f>
        <v>Fail</v>
      </c>
      <c r="AH18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1" s="1" t="b">
        <v>0</v>
      </c>
      <c r="AN1851" s="1" t="b">
        <v>0</v>
      </c>
      <c r="AO1851" s="1" t="b">
        <v>0</v>
      </c>
    </row>
    <row r="1852" spans="1:41" x14ac:dyDescent="0.25">
      <c r="A1852" s="10"/>
      <c r="B1852" s="10"/>
      <c r="C1852" s="10"/>
      <c r="D1852" s="10"/>
      <c r="E1852" s="10"/>
      <c r="F1852" s="10"/>
      <c r="G1852" s="10"/>
      <c r="H1852" s="10"/>
      <c r="I1852" s="1" t="str">
        <f t="shared" si="84"/>
        <v/>
      </c>
      <c r="J1852" s="1" t="s">
        <v>35</v>
      </c>
      <c r="K1852" s="1" t="str">
        <f t="shared" si="85"/>
        <v/>
      </c>
      <c r="L1852" s="1" t="str">
        <f t="shared" si="86"/>
        <v/>
      </c>
      <c r="M1852" s="1">
        <f>IF(OR(Table1[[#This Row],[Std Nom]]="",Table1[[#This Row],[Std Read]]=""),0,Table1[[#This Row],[Std Nom]]-Table1[[#This Row],[Std Read]])</f>
        <v>0</v>
      </c>
      <c r="N1852" s="1">
        <f>IF(Calculations!$F$5="ACCREDITED 17025 WITH UNCERTAINTIES",$N$10,0)</f>
        <v>0</v>
      </c>
      <c r="Q1852" s="1">
        <f>Table1[[#This Row],[High Tol]]-Table1[[#This Row],[Low Tol]]</f>
        <v>0</v>
      </c>
      <c r="R1852" s="1">
        <f>2*Table1[[#This Row],[Std Error]]</f>
        <v>0</v>
      </c>
      <c r="S1852" s="1" t="str">
        <f>IF(Table1[[#This Row],[High Tol]]="","N/A",IFERROR(ABS(Table1[[#This Row],[Tol Span]]/Table1[[#This Row],[Error Span]]),"N/A"))</f>
        <v>N/A</v>
      </c>
      <c r="T1852" s="1" t="str">
        <f>IF(OR(Table1[[#This Row],[Low Tol]]="",Table1[[#This Row],[High Tol]]=""),"Needs Analysis",IF(Table1[[#This Row],[Ratio]]&gt;=4,"Not Significant",IF(Table1[[#This Row],[Ratio]]&gt;=2,"Semi-Significant","Significant")))</f>
        <v>Needs Analysis</v>
      </c>
      <c r="W1852" s="1">
        <f>IF(Table1[[#This Row],[Cal Type]]&lt;&gt;"ACCREDITED 17025 WITH UNCERTAINTIES",0,"")</f>
        <v>0</v>
      </c>
      <c r="X1852" s="1" t="str">
        <f>IF(Table1[[#This Row],[DUT Read]]="","N/A",Table1[[#This Row],[Std Error]]+Table1[[#This Row],[DUT Read]]+Table1[[#This Row],[DUT Ucty]])</f>
        <v>N/A</v>
      </c>
      <c r="Y1852" s="1" t="str">
        <f>IF(Table1[[#This Row],[Std Read]]="","N/A",Table1[[#This Row],[Std Read]]+Table1[[#This Row],[Std Ucty]])</f>
        <v>N/A</v>
      </c>
      <c r="Z18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2" s="1" t="str">
        <f>IF(Table1[[#This Row],[Spec Type]]="","N/A",Table1[[#This Row],[Spec Type]])</f>
        <v>±</v>
      </c>
      <c r="AC1852" s="1" t="str">
        <f>IF(Table1[[#This Row],[Spec Type2]]="N/A","N/A",IF(AND(Table1[[#This Row],[DUT Adj Read]]&gt;=Table1[[#This Row],[Low Tol]],Table1[[#This Row],[DUT Adj Read]]&lt;=Table1[[#This Row],[High Tol]]),"Pass","Fail"))</f>
        <v>Fail</v>
      </c>
      <c r="AD1852" s="1" t="str">
        <f>IF(AND(Table1[[#This Row],[Spec Type2]]="N/A",Table1[[#This Row],[DUT Adj Read]]="N/A",Table1[[#This Row],[Std Adj Read]]="N/A"),"N/A",IF(Table1[[#This Row],[DUT Adj Read]]="N/A",IF(Table1[[#This Row],[Std Adj Read]]&gt;Table1[[#This Row],[Low Tol]],"Pass","Fail"),IF(Table1[[#This Row],[DUT Adj Read]]&gt;Table1[[#This Row],[Low Tol]],"Pass","Fail")))</f>
        <v>Pass</v>
      </c>
      <c r="AE1852" s="1" t="str">
        <f>IF(AND(Table1[[#This Row],[Spec Type2]]="N/A",Table1[[#This Row],[DUT Adj Read]]="N/A",Table1[[#This Row],[Std Adj Read]]="N/A"),"N/A",IF(Table1[[#This Row],[DUT Adj Read]]="N/A",IF(Table1[[#This Row],[Std Adj Read]]&lt;Table1[[#This Row],[High Tol]],"Pass","Fail"),IF(Table1[[#This Row],[DUT Adj Read]]&lt;Table1[[#This Row],[High Tol]],"Pass","Fail")))</f>
        <v>Fail</v>
      </c>
      <c r="AF1852" s="1" t="str">
        <f>IF(AND(Table1[[#This Row],[Spec Type2]]="N/A",Table1[[#This Row],[DUT Adj Read]]="N/A",Table1[[#This Row],[Std Adj Read]]="N/A"),"N/A",IF(Table1[[#This Row],[DUT Adj Read]]="N/A",IF(Table1[[#This Row],[Std Adj Read]]&gt;=Table1[[#This Row],[Low Tol]],"Pass","Fail"),IF(Table1[[#This Row],[DUT Adj Read]]&gt;=Table1[[#This Row],[Low Tol]],"Pass","Fail")))</f>
        <v>Pass</v>
      </c>
      <c r="AG1852" s="1" t="str">
        <f>IF(AND(Table1[[#This Row],[Spec Type2]]="N/A",Table1[[#This Row],[DUT Adj Read]]="N/A",Table1[[#This Row],[Std Adj Read]]="N/A"),"N/A",IF(Table1[[#This Row],[DUT Adj Read]]="N/A",IF(Table1[[#This Row],[Std Adj Read]]&lt;=Table1[[#This Row],[High Tol]],"Pass","Fail"),IF(Table1[[#This Row],[DUT Adj Read]]&lt;=Table1[[#This Row],[High Tol]],"Pass","Fail")))</f>
        <v>Fail</v>
      </c>
      <c r="AH18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2" s="1" t="b">
        <v>0</v>
      </c>
      <c r="AN1852" s="1" t="b">
        <v>0</v>
      </c>
      <c r="AO1852" s="1" t="b">
        <v>0</v>
      </c>
    </row>
    <row r="1853" spans="1:41" x14ac:dyDescent="0.25">
      <c r="A1853" s="10"/>
      <c r="B1853" s="10"/>
      <c r="C1853" s="10"/>
      <c r="D1853" s="10"/>
      <c r="E1853" s="10"/>
      <c r="F1853" s="10"/>
      <c r="G1853" s="10"/>
      <c r="H1853" s="10"/>
      <c r="I1853" s="1" t="str">
        <f t="shared" si="84"/>
        <v/>
      </c>
      <c r="J1853" s="1" t="s">
        <v>35</v>
      </c>
      <c r="K1853" s="1" t="str">
        <f t="shared" si="85"/>
        <v/>
      </c>
      <c r="L1853" s="1" t="str">
        <f t="shared" si="86"/>
        <v/>
      </c>
      <c r="M1853" s="1">
        <f>IF(OR(Table1[[#This Row],[Std Nom]]="",Table1[[#This Row],[Std Read]]=""),0,Table1[[#This Row],[Std Nom]]-Table1[[#This Row],[Std Read]])</f>
        <v>0</v>
      </c>
      <c r="N1853" s="1">
        <f>IF(Calculations!$F$5="ACCREDITED 17025 WITH UNCERTAINTIES",$N$10,0)</f>
        <v>0</v>
      </c>
      <c r="Q1853" s="1">
        <f>Table1[[#This Row],[High Tol]]-Table1[[#This Row],[Low Tol]]</f>
        <v>0</v>
      </c>
      <c r="R1853" s="1">
        <f>2*Table1[[#This Row],[Std Error]]</f>
        <v>0</v>
      </c>
      <c r="S1853" s="1" t="str">
        <f>IF(Table1[[#This Row],[High Tol]]="","N/A",IFERROR(ABS(Table1[[#This Row],[Tol Span]]/Table1[[#This Row],[Error Span]]),"N/A"))</f>
        <v>N/A</v>
      </c>
      <c r="T1853" s="1" t="str">
        <f>IF(OR(Table1[[#This Row],[Low Tol]]="",Table1[[#This Row],[High Tol]]=""),"Needs Analysis",IF(Table1[[#This Row],[Ratio]]&gt;=4,"Not Significant",IF(Table1[[#This Row],[Ratio]]&gt;=2,"Semi-Significant","Significant")))</f>
        <v>Needs Analysis</v>
      </c>
      <c r="W1853" s="1">
        <f>IF(Table1[[#This Row],[Cal Type]]&lt;&gt;"ACCREDITED 17025 WITH UNCERTAINTIES",0,"")</f>
        <v>0</v>
      </c>
      <c r="X1853" s="1" t="str">
        <f>IF(Table1[[#This Row],[DUT Read]]="","N/A",Table1[[#This Row],[Std Error]]+Table1[[#This Row],[DUT Read]]+Table1[[#This Row],[DUT Ucty]])</f>
        <v>N/A</v>
      </c>
      <c r="Y1853" s="1" t="str">
        <f>IF(Table1[[#This Row],[Std Read]]="","N/A",Table1[[#This Row],[Std Read]]+Table1[[#This Row],[Std Ucty]])</f>
        <v>N/A</v>
      </c>
      <c r="Z18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3" s="1" t="str">
        <f>IF(Table1[[#This Row],[Spec Type]]="","N/A",Table1[[#This Row],[Spec Type]])</f>
        <v>±</v>
      </c>
      <c r="AC1853" s="1" t="str">
        <f>IF(Table1[[#This Row],[Spec Type2]]="N/A","N/A",IF(AND(Table1[[#This Row],[DUT Adj Read]]&gt;=Table1[[#This Row],[Low Tol]],Table1[[#This Row],[DUT Adj Read]]&lt;=Table1[[#This Row],[High Tol]]),"Pass","Fail"))</f>
        <v>Fail</v>
      </c>
      <c r="AD1853" s="1" t="str">
        <f>IF(AND(Table1[[#This Row],[Spec Type2]]="N/A",Table1[[#This Row],[DUT Adj Read]]="N/A",Table1[[#This Row],[Std Adj Read]]="N/A"),"N/A",IF(Table1[[#This Row],[DUT Adj Read]]="N/A",IF(Table1[[#This Row],[Std Adj Read]]&gt;Table1[[#This Row],[Low Tol]],"Pass","Fail"),IF(Table1[[#This Row],[DUT Adj Read]]&gt;Table1[[#This Row],[Low Tol]],"Pass","Fail")))</f>
        <v>Pass</v>
      </c>
      <c r="AE1853" s="1" t="str">
        <f>IF(AND(Table1[[#This Row],[Spec Type2]]="N/A",Table1[[#This Row],[DUT Adj Read]]="N/A",Table1[[#This Row],[Std Adj Read]]="N/A"),"N/A",IF(Table1[[#This Row],[DUT Adj Read]]="N/A",IF(Table1[[#This Row],[Std Adj Read]]&lt;Table1[[#This Row],[High Tol]],"Pass","Fail"),IF(Table1[[#This Row],[DUT Adj Read]]&lt;Table1[[#This Row],[High Tol]],"Pass","Fail")))</f>
        <v>Fail</v>
      </c>
      <c r="AF1853" s="1" t="str">
        <f>IF(AND(Table1[[#This Row],[Spec Type2]]="N/A",Table1[[#This Row],[DUT Adj Read]]="N/A",Table1[[#This Row],[Std Adj Read]]="N/A"),"N/A",IF(Table1[[#This Row],[DUT Adj Read]]="N/A",IF(Table1[[#This Row],[Std Adj Read]]&gt;=Table1[[#This Row],[Low Tol]],"Pass","Fail"),IF(Table1[[#This Row],[DUT Adj Read]]&gt;=Table1[[#This Row],[Low Tol]],"Pass","Fail")))</f>
        <v>Pass</v>
      </c>
      <c r="AG1853" s="1" t="str">
        <f>IF(AND(Table1[[#This Row],[Spec Type2]]="N/A",Table1[[#This Row],[DUT Adj Read]]="N/A",Table1[[#This Row],[Std Adj Read]]="N/A"),"N/A",IF(Table1[[#This Row],[DUT Adj Read]]="N/A",IF(Table1[[#This Row],[Std Adj Read]]&lt;=Table1[[#This Row],[High Tol]],"Pass","Fail"),IF(Table1[[#This Row],[DUT Adj Read]]&lt;=Table1[[#This Row],[High Tol]],"Pass","Fail")))</f>
        <v>Fail</v>
      </c>
      <c r="AH18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3" s="1" t="b">
        <v>0</v>
      </c>
      <c r="AN1853" s="1" t="b">
        <v>0</v>
      </c>
      <c r="AO1853" s="1" t="b">
        <v>0</v>
      </c>
    </row>
    <row r="1854" spans="1:41" x14ac:dyDescent="0.25">
      <c r="A1854" s="10"/>
      <c r="B1854" s="10"/>
      <c r="C1854" s="10"/>
      <c r="D1854" s="10"/>
      <c r="E1854" s="10"/>
      <c r="F1854" s="10"/>
      <c r="G1854" s="10"/>
      <c r="H1854" s="10"/>
      <c r="I1854" s="1" t="str">
        <f t="shared" si="84"/>
        <v/>
      </c>
      <c r="J1854" s="1" t="s">
        <v>35</v>
      </c>
      <c r="K1854" s="1" t="str">
        <f t="shared" si="85"/>
        <v/>
      </c>
      <c r="L1854" s="1" t="str">
        <f t="shared" si="86"/>
        <v/>
      </c>
      <c r="M1854" s="1">
        <f>IF(OR(Table1[[#This Row],[Std Nom]]="",Table1[[#This Row],[Std Read]]=""),0,Table1[[#This Row],[Std Nom]]-Table1[[#This Row],[Std Read]])</f>
        <v>0</v>
      </c>
      <c r="N1854" s="1">
        <f>IF(Calculations!$F$5="ACCREDITED 17025 WITH UNCERTAINTIES",$N$10,0)</f>
        <v>0</v>
      </c>
      <c r="Q1854" s="1">
        <f>Table1[[#This Row],[High Tol]]-Table1[[#This Row],[Low Tol]]</f>
        <v>0</v>
      </c>
      <c r="R1854" s="1">
        <f>2*Table1[[#This Row],[Std Error]]</f>
        <v>0</v>
      </c>
      <c r="S1854" s="1" t="str">
        <f>IF(Table1[[#This Row],[High Tol]]="","N/A",IFERROR(ABS(Table1[[#This Row],[Tol Span]]/Table1[[#This Row],[Error Span]]),"N/A"))</f>
        <v>N/A</v>
      </c>
      <c r="T1854" s="1" t="str">
        <f>IF(OR(Table1[[#This Row],[Low Tol]]="",Table1[[#This Row],[High Tol]]=""),"Needs Analysis",IF(Table1[[#This Row],[Ratio]]&gt;=4,"Not Significant",IF(Table1[[#This Row],[Ratio]]&gt;=2,"Semi-Significant","Significant")))</f>
        <v>Needs Analysis</v>
      </c>
      <c r="W1854" s="1">
        <f>IF(Table1[[#This Row],[Cal Type]]&lt;&gt;"ACCREDITED 17025 WITH UNCERTAINTIES",0,"")</f>
        <v>0</v>
      </c>
      <c r="X1854" s="1" t="str">
        <f>IF(Table1[[#This Row],[DUT Read]]="","N/A",Table1[[#This Row],[Std Error]]+Table1[[#This Row],[DUT Read]]+Table1[[#This Row],[DUT Ucty]])</f>
        <v>N/A</v>
      </c>
      <c r="Y1854" s="1" t="str">
        <f>IF(Table1[[#This Row],[Std Read]]="","N/A",Table1[[#This Row],[Std Read]]+Table1[[#This Row],[Std Ucty]])</f>
        <v>N/A</v>
      </c>
      <c r="Z18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4" s="1" t="str">
        <f>IF(Table1[[#This Row],[Spec Type]]="","N/A",Table1[[#This Row],[Spec Type]])</f>
        <v>±</v>
      </c>
      <c r="AC1854" s="1" t="str">
        <f>IF(Table1[[#This Row],[Spec Type2]]="N/A","N/A",IF(AND(Table1[[#This Row],[DUT Adj Read]]&gt;=Table1[[#This Row],[Low Tol]],Table1[[#This Row],[DUT Adj Read]]&lt;=Table1[[#This Row],[High Tol]]),"Pass","Fail"))</f>
        <v>Fail</v>
      </c>
      <c r="AD1854" s="1" t="str">
        <f>IF(AND(Table1[[#This Row],[Spec Type2]]="N/A",Table1[[#This Row],[DUT Adj Read]]="N/A",Table1[[#This Row],[Std Adj Read]]="N/A"),"N/A",IF(Table1[[#This Row],[DUT Adj Read]]="N/A",IF(Table1[[#This Row],[Std Adj Read]]&gt;Table1[[#This Row],[Low Tol]],"Pass","Fail"),IF(Table1[[#This Row],[DUT Adj Read]]&gt;Table1[[#This Row],[Low Tol]],"Pass","Fail")))</f>
        <v>Pass</v>
      </c>
      <c r="AE1854" s="1" t="str">
        <f>IF(AND(Table1[[#This Row],[Spec Type2]]="N/A",Table1[[#This Row],[DUT Adj Read]]="N/A",Table1[[#This Row],[Std Adj Read]]="N/A"),"N/A",IF(Table1[[#This Row],[DUT Adj Read]]="N/A",IF(Table1[[#This Row],[Std Adj Read]]&lt;Table1[[#This Row],[High Tol]],"Pass","Fail"),IF(Table1[[#This Row],[DUT Adj Read]]&lt;Table1[[#This Row],[High Tol]],"Pass","Fail")))</f>
        <v>Fail</v>
      </c>
      <c r="AF1854" s="1" t="str">
        <f>IF(AND(Table1[[#This Row],[Spec Type2]]="N/A",Table1[[#This Row],[DUT Adj Read]]="N/A",Table1[[#This Row],[Std Adj Read]]="N/A"),"N/A",IF(Table1[[#This Row],[DUT Adj Read]]="N/A",IF(Table1[[#This Row],[Std Adj Read]]&gt;=Table1[[#This Row],[Low Tol]],"Pass","Fail"),IF(Table1[[#This Row],[DUT Adj Read]]&gt;=Table1[[#This Row],[Low Tol]],"Pass","Fail")))</f>
        <v>Pass</v>
      </c>
      <c r="AG1854" s="1" t="str">
        <f>IF(AND(Table1[[#This Row],[Spec Type2]]="N/A",Table1[[#This Row],[DUT Adj Read]]="N/A",Table1[[#This Row],[Std Adj Read]]="N/A"),"N/A",IF(Table1[[#This Row],[DUT Adj Read]]="N/A",IF(Table1[[#This Row],[Std Adj Read]]&lt;=Table1[[#This Row],[High Tol]],"Pass","Fail"),IF(Table1[[#This Row],[DUT Adj Read]]&lt;=Table1[[#This Row],[High Tol]],"Pass","Fail")))</f>
        <v>Fail</v>
      </c>
      <c r="AH18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4" s="1" t="b">
        <v>0</v>
      </c>
      <c r="AN1854" s="1" t="b">
        <v>0</v>
      </c>
      <c r="AO1854" s="1" t="b">
        <v>0</v>
      </c>
    </row>
    <row r="1855" spans="1:41" x14ac:dyDescent="0.25">
      <c r="A1855" s="10"/>
      <c r="B1855" s="10"/>
      <c r="C1855" s="10"/>
      <c r="D1855" s="10"/>
      <c r="E1855" s="10"/>
      <c r="F1855" s="10"/>
      <c r="G1855" s="10"/>
      <c r="H1855" s="10"/>
      <c r="I1855" s="1" t="str">
        <f t="shared" si="84"/>
        <v/>
      </c>
      <c r="J1855" s="1" t="s">
        <v>35</v>
      </c>
      <c r="K1855" s="1" t="str">
        <f t="shared" si="85"/>
        <v/>
      </c>
      <c r="L1855" s="1" t="str">
        <f t="shared" si="86"/>
        <v/>
      </c>
      <c r="M1855" s="1">
        <f>IF(OR(Table1[[#This Row],[Std Nom]]="",Table1[[#This Row],[Std Read]]=""),0,Table1[[#This Row],[Std Nom]]-Table1[[#This Row],[Std Read]])</f>
        <v>0</v>
      </c>
      <c r="N1855" s="1">
        <f>IF(Calculations!$F$5="ACCREDITED 17025 WITH UNCERTAINTIES",$N$10,0)</f>
        <v>0</v>
      </c>
      <c r="Q1855" s="1">
        <f>Table1[[#This Row],[High Tol]]-Table1[[#This Row],[Low Tol]]</f>
        <v>0</v>
      </c>
      <c r="R1855" s="1">
        <f>2*Table1[[#This Row],[Std Error]]</f>
        <v>0</v>
      </c>
      <c r="S1855" s="1" t="str">
        <f>IF(Table1[[#This Row],[High Tol]]="","N/A",IFERROR(ABS(Table1[[#This Row],[Tol Span]]/Table1[[#This Row],[Error Span]]),"N/A"))</f>
        <v>N/A</v>
      </c>
      <c r="T1855" s="1" t="str">
        <f>IF(OR(Table1[[#This Row],[Low Tol]]="",Table1[[#This Row],[High Tol]]=""),"Needs Analysis",IF(Table1[[#This Row],[Ratio]]&gt;=4,"Not Significant",IF(Table1[[#This Row],[Ratio]]&gt;=2,"Semi-Significant","Significant")))</f>
        <v>Needs Analysis</v>
      </c>
      <c r="W1855" s="1">
        <f>IF(Table1[[#This Row],[Cal Type]]&lt;&gt;"ACCREDITED 17025 WITH UNCERTAINTIES",0,"")</f>
        <v>0</v>
      </c>
      <c r="X1855" s="1" t="str">
        <f>IF(Table1[[#This Row],[DUT Read]]="","N/A",Table1[[#This Row],[Std Error]]+Table1[[#This Row],[DUT Read]]+Table1[[#This Row],[DUT Ucty]])</f>
        <v>N/A</v>
      </c>
      <c r="Y1855" s="1" t="str">
        <f>IF(Table1[[#This Row],[Std Read]]="","N/A",Table1[[#This Row],[Std Read]]+Table1[[#This Row],[Std Ucty]])</f>
        <v>N/A</v>
      </c>
      <c r="Z18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5" s="1" t="str">
        <f>IF(Table1[[#This Row],[Spec Type]]="","N/A",Table1[[#This Row],[Spec Type]])</f>
        <v>±</v>
      </c>
      <c r="AC1855" s="1" t="str">
        <f>IF(Table1[[#This Row],[Spec Type2]]="N/A","N/A",IF(AND(Table1[[#This Row],[DUT Adj Read]]&gt;=Table1[[#This Row],[Low Tol]],Table1[[#This Row],[DUT Adj Read]]&lt;=Table1[[#This Row],[High Tol]]),"Pass","Fail"))</f>
        <v>Fail</v>
      </c>
      <c r="AD1855" s="1" t="str">
        <f>IF(AND(Table1[[#This Row],[Spec Type2]]="N/A",Table1[[#This Row],[DUT Adj Read]]="N/A",Table1[[#This Row],[Std Adj Read]]="N/A"),"N/A",IF(Table1[[#This Row],[DUT Adj Read]]="N/A",IF(Table1[[#This Row],[Std Adj Read]]&gt;Table1[[#This Row],[Low Tol]],"Pass","Fail"),IF(Table1[[#This Row],[DUT Adj Read]]&gt;Table1[[#This Row],[Low Tol]],"Pass","Fail")))</f>
        <v>Pass</v>
      </c>
      <c r="AE1855" s="1" t="str">
        <f>IF(AND(Table1[[#This Row],[Spec Type2]]="N/A",Table1[[#This Row],[DUT Adj Read]]="N/A",Table1[[#This Row],[Std Adj Read]]="N/A"),"N/A",IF(Table1[[#This Row],[DUT Adj Read]]="N/A",IF(Table1[[#This Row],[Std Adj Read]]&lt;Table1[[#This Row],[High Tol]],"Pass","Fail"),IF(Table1[[#This Row],[DUT Adj Read]]&lt;Table1[[#This Row],[High Tol]],"Pass","Fail")))</f>
        <v>Fail</v>
      </c>
      <c r="AF1855" s="1" t="str">
        <f>IF(AND(Table1[[#This Row],[Spec Type2]]="N/A",Table1[[#This Row],[DUT Adj Read]]="N/A",Table1[[#This Row],[Std Adj Read]]="N/A"),"N/A",IF(Table1[[#This Row],[DUT Adj Read]]="N/A",IF(Table1[[#This Row],[Std Adj Read]]&gt;=Table1[[#This Row],[Low Tol]],"Pass","Fail"),IF(Table1[[#This Row],[DUT Adj Read]]&gt;=Table1[[#This Row],[Low Tol]],"Pass","Fail")))</f>
        <v>Pass</v>
      </c>
      <c r="AG1855" s="1" t="str">
        <f>IF(AND(Table1[[#This Row],[Spec Type2]]="N/A",Table1[[#This Row],[DUT Adj Read]]="N/A",Table1[[#This Row],[Std Adj Read]]="N/A"),"N/A",IF(Table1[[#This Row],[DUT Adj Read]]="N/A",IF(Table1[[#This Row],[Std Adj Read]]&lt;=Table1[[#This Row],[High Tol]],"Pass","Fail"),IF(Table1[[#This Row],[DUT Adj Read]]&lt;=Table1[[#This Row],[High Tol]],"Pass","Fail")))</f>
        <v>Fail</v>
      </c>
      <c r="AH18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5" s="1" t="b">
        <v>0</v>
      </c>
      <c r="AN1855" s="1" t="b">
        <v>0</v>
      </c>
      <c r="AO1855" s="1" t="b">
        <v>0</v>
      </c>
    </row>
    <row r="1856" spans="1:41" x14ac:dyDescent="0.25">
      <c r="A1856" s="10"/>
      <c r="B1856" s="10"/>
      <c r="C1856" s="10"/>
      <c r="D1856" s="10"/>
      <c r="E1856" s="10"/>
      <c r="F1856" s="10"/>
      <c r="G1856" s="10"/>
      <c r="H1856" s="10"/>
      <c r="I1856" s="1" t="str">
        <f t="shared" si="84"/>
        <v/>
      </c>
      <c r="J1856" s="1" t="s">
        <v>35</v>
      </c>
      <c r="K1856" s="1" t="str">
        <f t="shared" si="85"/>
        <v/>
      </c>
      <c r="L1856" s="1" t="str">
        <f t="shared" si="86"/>
        <v/>
      </c>
      <c r="M1856" s="1">
        <f>IF(OR(Table1[[#This Row],[Std Nom]]="",Table1[[#This Row],[Std Read]]=""),0,Table1[[#This Row],[Std Nom]]-Table1[[#This Row],[Std Read]])</f>
        <v>0</v>
      </c>
      <c r="N1856" s="1">
        <f>IF(Calculations!$F$5="ACCREDITED 17025 WITH UNCERTAINTIES",$N$10,0)</f>
        <v>0</v>
      </c>
      <c r="Q1856" s="1">
        <f>Table1[[#This Row],[High Tol]]-Table1[[#This Row],[Low Tol]]</f>
        <v>0</v>
      </c>
      <c r="R1856" s="1">
        <f>2*Table1[[#This Row],[Std Error]]</f>
        <v>0</v>
      </c>
      <c r="S1856" s="1" t="str">
        <f>IF(Table1[[#This Row],[High Tol]]="","N/A",IFERROR(ABS(Table1[[#This Row],[Tol Span]]/Table1[[#This Row],[Error Span]]),"N/A"))</f>
        <v>N/A</v>
      </c>
      <c r="T1856" s="1" t="str">
        <f>IF(OR(Table1[[#This Row],[Low Tol]]="",Table1[[#This Row],[High Tol]]=""),"Needs Analysis",IF(Table1[[#This Row],[Ratio]]&gt;=4,"Not Significant",IF(Table1[[#This Row],[Ratio]]&gt;=2,"Semi-Significant","Significant")))</f>
        <v>Needs Analysis</v>
      </c>
      <c r="W1856" s="1">
        <f>IF(Table1[[#This Row],[Cal Type]]&lt;&gt;"ACCREDITED 17025 WITH UNCERTAINTIES",0,"")</f>
        <v>0</v>
      </c>
      <c r="X1856" s="1" t="str">
        <f>IF(Table1[[#This Row],[DUT Read]]="","N/A",Table1[[#This Row],[Std Error]]+Table1[[#This Row],[DUT Read]]+Table1[[#This Row],[DUT Ucty]])</f>
        <v>N/A</v>
      </c>
      <c r="Y1856" s="1" t="str">
        <f>IF(Table1[[#This Row],[Std Read]]="","N/A",Table1[[#This Row],[Std Read]]+Table1[[#This Row],[Std Ucty]])</f>
        <v>N/A</v>
      </c>
      <c r="Z18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6" s="1" t="str">
        <f>IF(Table1[[#This Row],[Spec Type]]="","N/A",Table1[[#This Row],[Spec Type]])</f>
        <v>±</v>
      </c>
      <c r="AC1856" s="1" t="str">
        <f>IF(Table1[[#This Row],[Spec Type2]]="N/A","N/A",IF(AND(Table1[[#This Row],[DUT Adj Read]]&gt;=Table1[[#This Row],[Low Tol]],Table1[[#This Row],[DUT Adj Read]]&lt;=Table1[[#This Row],[High Tol]]),"Pass","Fail"))</f>
        <v>Fail</v>
      </c>
      <c r="AD1856" s="1" t="str">
        <f>IF(AND(Table1[[#This Row],[Spec Type2]]="N/A",Table1[[#This Row],[DUT Adj Read]]="N/A",Table1[[#This Row],[Std Adj Read]]="N/A"),"N/A",IF(Table1[[#This Row],[DUT Adj Read]]="N/A",IF(Table1[[#This Row],[Std Adj Read]]&gt;Table1[[#This Row],[Low Tol]],"Pass","Fail"),IF(Table1[[#This Row],[DUT Adj Read]]&gt;Table1[[#This Row],[Low Tol]],"Pass","Fail")))</f>
        <v>Pass</v>
      </c>
      <c r="AE1856" s="1" t="str">
        <f>IF(AND(Table1[[#This Row],[Spec Type2]]="N/A",Table1[[#This Row],[DUT Adj Read]]="N/A",Table1[[#This Row],[Std Adj Read]]="N/A"),"N/A",IF(Table1[[#This Row],[DUT Adj Read]]="N/A",IF(Table1[[#This Row],[Std Adj Read]]&lt;Table1[[#This Row],[High Tol]],"Pass","Fail"),IF(Table1[[#This Row],[DUT Adj Read]]&lt;Table1[[#This Row],[High Tol]],"Pass","Fail")))</f>
        <v>Fail</v>
      </c>
      <c r="AF1856" s="1" t="str">
        <f>IF(AND(Table1[[#This Row],[Spec Type2]]="N/A",Table1[[#This Row],[DUT Adj Read]]="N/A",Table1[[#This Row],[Std Adj Read]]="N/A"),"N/A",IF(Table1[[#This Row],[DUT Adj Read]]="N/A",IF(Table1[[#This Row],[Std Adj Read]]&gt;=Table1[[#This Row],[Low Tol]],"Pass","Fail"),IF(Table1[[#This Row],[DUT Adj Read]]&gt;=Table1[[#This Row],[Low Tol]],"Pass","Fail")))</f>
        <v>Pass</v>
      </c>
      <c r="AG1856" s="1" t="str">
        <f>IF(AND(Table1[[#This Row],[Spec Type2]]="N/A",Table1[[#This Row],[DUT Adj Read]]="N/A",Table1[[#This Row],[Std Adj Read]]="N/A"),"N/A",IF(Table1[[#This Row],[DUT Adj Read]]="N/A",IF(Table1[[#This Row],[Std Adj Read]]&lt;=Table1[[#This Row],[High Tol]],"Pass","Fail"),IF(Table1[[#This Row],[DUT Adj Read]]&lt;=Table1[[#This Row],[High Tol]],"Pass","Fail")))</f>
        <v>Fail</v>
      </c>
      <c r="AH18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6" s="1" t="b">
        <v>0</v>
      </c>
      <c r="AN1856" s="1" t="b">
        <v>0</v>
      </c>
      <c r="AO1856" s="1" t="b">
        <v>0</v>
      </c>
    </row>
    <row r="1857" spans="1:41" x14ac:dyDescent="0.25">
      <c r="A1857" s="10"/>
      <c r="B1857" s="10"/>
      <c r="C1857" s="10"/>
      <c r="D1857" s="10"/>
      <c r="E1857" s="10"/>
      <c r="F1857" s="10"/>
      <c r="G1857" s="10"/>
      <c r="H1857" s="10"/>
      <c r="I1857" s="1" t="str">
        <f t="shared" si="84"/>
        <v/>
      </c>
      <c r="J1857" s="1" t="s">
        <v>35</v>
      </c>
      <c r="K1857" s="1" t="str">
        <f t="shared" si="85"/>
        <v/>
      </c>
      <c r="L1857" s="1" t="str">
        <f t="shared" si="86"/>
        <v/>
      </c>
      <c r="M1857" s="1">
        <f>IF(OR(Table1[[#This Row],[Std Nom]]="",Table1[[#This Row],[Std Read]]=""),0,Table1[[#This Row],[Std Nom]]-Table1[[#This Row],[Std Read]])</f>
        <v>0</v>
      </c>
      <c r="N1857" s="1">
        <f>IF(Calculations!$F$5="ACCREDITED 17025 WITH UNCERTAINTIES",$N$10,0)</f>
        <v>0</v>
      </c>
      <c r="Q1857" s="1">
        <f>Table1[[#This Row],[High Tol]]-Table1[[#This Row],[Low Tol]]</f>
        <v>0</v>
      </c>
      <c r="R1857" s="1">
        <f>2*Table1[[#This Row],[Std Error]]</f>
        <v>0</v>
      </c>
      <c r="S1857" s="1" t="str">
        <f>IF(Table1[[#This Row],[High Tol]]="","N/A",IFERROR(ABS(Table1[[#This Row],[Tol Span]]/Table1[[#This Row],[Error Span]]),"N/A"))</f>
        <v>N/A</v>
      </c>
      <c r="T1857" s="1" t="str">
        <f>IF(OR(Table1[[#This Row],[Low Tol]]="",Table1[[#This Row],[High Tol]]=""),"Needs Analysis",IF(Table1[[#This Row],[Ratio]]&gt;=4,"Not Significant",IF(Table1[[#This Row],[Ratio]]&gt;=2,"Semi-Significant","Significant")))</f>
        <v>Needs Analysis</v>
      </c>
      <c r="W1857" s="1">
        <f>IF(Table1[[#This Row],[Cal Type]]&lt;&gt;"ACCREDITED 17025 WITH UNCERTAINTIES",0,"")</f>
        <v>0</v>
      </c>
      <c r="X1857" s="1" t="str">
        <f>IF(Table1[[#This Row],[DUT Read]]="","N/A",Table1[[#This Row],[Std Error]]+Table1[[#This Row],[DUT Read]]+Table1[[#This Row],[DUT Ucty]])</f>
        <v>N/A</v>
      </c>
      <c r="Y1857" s="1" t="str">
        <f>IF(Table1[[#This Row],[Std Read]]="","N/A",Table1[[#This Row],[Std Read]]+Table1[[#This Row],[Std Ucty]])</f>
        <v>N/A</v>
      </c>
      <c r="Z18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7" s="1" t="str">
        <f>IF(Table1[[#This Row],[Spec Type]]="","N/A",Table1[[#This Row],[Spec Type]])</f>
        <v>±</v>
      </c>
      <c r="AC1857" s="1" t="str">
        <f>IF(Table1[[#This Row],[Spec Type2]]="N/A","N/A",IF(AND(Table1[[#This Row],[DUT Adj Read]]&gt;=Table1[[#This Row],[Low Tol]],Table1[[#This Row],[DUT Adj Read]]&lt;=Table1[[#This Row],[High Tol]]),"Pass","Fail"))</f>
        <v>Fail</v>
      </c>
      <c r="AD1857" s="1" t="str">
        <f>IF(AND(Table1[[#This Row],[Spec Type2]]="N/A",Table1[[#This Row],[DUT Adj Read]]="N/A",Table1[[#This Row],[Std Adj Read]]="N/A"),"N/A",IF(Table1[[#This Row],[DUT Adj Read]]="N/A",IF(Table1[[#This Row],[Std Adj Read]]&gt;Table1[[#This Row],[Low Tol]],"Pass","Fail"),IF(Table1[[#This Row],[DUT Adj Read]]&gt;Table1[[#This Row],[Low Tol]],"Pass","Fail")))</f>
        <v>Pass</v>
      </c>
      <c r="AE1857" s="1" t="str">
        <f>IF(AND(Table1[[#This Row],[Spec Type2]]="N/A",Table1[[#This Row],[DUT Adj Read]]="N/A",Table1[[#This Row],[Std Adj Read]]="N/A"),"N/A",IF(Table1[[#This Row],[DUT Adj Read]]="N/A",IF(Table1[[#This Row],[Std Adj Read]]&lt;Table1[[#This Row],[High Tol]],"Pass","Fail"),IF(Table1[[#This Row],[DUT Adj Read]]&lt;Table1[[#This Row],[High Tol]],"Pass","Fail")))</f>
        <v>Fail</v>
      </c>
      <c r="AF1857" s="1" t="str">
        <f>IF(AND(Table1[[#This Row],[Spec Type2]]="N/A",Table1[[#This Row],[DUT Adj Read]]="N/A",Table1[[#This Row],[Std Adj Read]]="N/A"),"N/A",IF(Table1[[#This Row],[DUT Adj Read]]="N/A",IF(Table1[[#This Row],[Std Adj Read]]&gt;=Table1[[#This Row],[Low Tol]],"Pass","Fail"),IF(Table1[[#This Row],[DUT Adj Read]]&gt;=Table1[[#This Row],[Low Tol]],"Pass","Fail")))</f>
        <v>Pass</v>
      </c>
      <c r="AG1857" s="1" t="str">
        <f>IF(AND(Table1[[#This Row],[Spec Type2]]="N/A",Table1[[#This Row],[DUT Adj Read]]="N/A",Table1[[#This Row],[Std Adj Read]]="N/A"),"N/A",IF(Table1[[#This Row],[DUT Adj Read]]="N/A",IF(Table1[[#This Row],[Std Adj Read]]&lt;=Table1[[#This Row],[High Tol]],"Pass","Fail"),IF(Table1[[#This Row],[DUT Adj Read]]&lt;=Table1[[#This Row],[High Tol]],"Pass","Fail")))</f>
        <v>Fail</v>
      </c>
      <c r="AH18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7" s="1" t="b">
        <v>0</v>
      </c>
      <c r="AN1857" s="1" t="b">
        <v>0</v>
      </c>
      <c r="AO1857" s="1" t="b">
        <v>0</v>
      </c>
    </row>
    <row r="1858" spans="1:41" x14ac:dyDescent="0.25">
      <c r="A1858" s="10"/>
      <c r="B1858" s="10"/>
      <c r="C1858" s="10"/>
      <c r="D1858" s="10"/>
      <c r="E1858" s="10"/>
      <c r="F1858" s="10"/>
      <c r="G1858" s="10"/>
      <c r="H1858" s="10"/>
      <c r="I1858" s="1" t="str">
        <f t="shared" si="84"/>
        <v/>
      </c>
      <c r="J1858" s="1" t="s">
        <v>35</v>
      </c>
      <c r="K1858" s="1" t="str">
        <f t="shared" si="85"/>
        <v/>
      </c>
      <c r="L1858" s="1" t="str">
        <f t="shared" si="86"/>
        <v/>
      </c>
      <c r="M1858" s="1">
        <f>IF(OR(Table1[[#This Row],[Std Nom]]="",Table1[[#This Row],[Std Read]]=""),0,Table1[[#This Row],[Std Nom]]-Table1[[#This Row],[Std Read]])</f>
        <v>0</v>
      </c>
      <c r="N1858" s="1">
        <f>IF(Calculations!$F$5="ACCREDITED 17025 WITH UNCERTAINTIES",$N$10,0)</f>
        <v>0</v>
      </c>
      <c r="Q1858" s="1">
        <f>Table1[[#This Row],[High Tol]]-Table1[[#This Row],[Low Tol]]</f>
        <v>0</v>
      </c>
      <c r="R1858" s="1">
        <f>2*Table1[[#This Row],[Std Error]]</f>
        <v>0</v>
      </c>
      <c r="S1858" s="1" t="str">
        <f>IF(Table1[[#This Row],[High Tol]]="","N/A",IFERROR(ABS(Table1[[#This Row],[Tol Span]]/Table1[[#This Row],[Error Span]]),"N/A"))</f>
        <v>N/A</v>
      </c>
      <c r="T1858" s="1" t="str">
        <f>IF(OR(Table1[[#This Row],[Low Tol]]="",Table1[[#This Row],[High Tol]]=""),"Needs Analysis",IF(Table1[[#This Row],[Ratio]]&gt;=4,"Not Significant",IF(Table1[[#This Row],[Ratio]]&gt;=2,"Semi-Significant","Significant")))</f>
        <v>Needs Analysis</v>
      </c>
      <c r="W1858" s="1">
        <f>IF(Table1[[#This Row],[Cal Type]]&lt;&gt;"ACCREDITED 17025 WITH UNCERTAINTIES",0,"")</f>
        <v>0</v>
      </c>
      <c r="X1858" s="1" t="str">
        <f>IF(Table1[[#This Row],[DUT Read]]="","N/A",Table1[[#This Row],[Std Error]]+Table1[[#This Row],[DUT Read]]+Table1[[#This Row],[DUT Ucty]])</f>
        <v>N/A</v>
      </c>
      <c r="Y1858" s="1" t="str">
        <f>IF(Table1[[#This Row],[Std Read]]="","N/A",Table1[[#This Row],[Std Read]]+Table1[[#This Row],[Std Ucty]])</f>
        <v>N/A</v>
      </c>
      <c r="Z18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8" s="1" t="str">
        <f>IF(Table1[[#This Row],[Spec Type]]="","N/A",Table1[[#This Row],[Spec Type]])</f>
        <v>±</v>
      </c>
      <c r="AC1858" s="1" t="str">
        <f>IF(Table1[[#This Row],[Spec Type2]]="N/A","N/A",IF(AND(Table1[[#This Row],[DUT Adj Read]]&gt;=Table1[[#This Row],[Low Tol]],Table1[[#This Row],[DUT Adj Read]]&lt;=Table1[[#This Row],[High Tol]]),"Pass","Fail"))</f>
        <v>Fail</v>
      </c>
      <c r="AD1858" s="1" t="str">
        <f>IF(AND(Table1[[#This Row],[Spec Type2]]="N/A",Table1[[#This Row],[DUT Adj Read]]="N/A",Table1[[#This Row],[Std Adj Read]]="N/A"),"N/A",IF(Table1[[#This Row],[DUT Adj Read]]="N/A",IF(Table1[[#This Row],[Std Adj Read]]&gt;Table1[[#This Row],[Low Tol]],"Pass","Fail"),IF(Table1[[#This Row],[DUT Adj Read]]&gt;Table1[[#This Row],[Low Tol]],"Pass","Fail")))</f>
        <v>Pass</v>
      </c>
      <c r="AE1858" s="1" t="str">
        <f>IF(AND(Table1[[#This Row],[Spec Type2]]="N/A",Table1[[#This Row],[DUT Adj Read]]="N/A",Table1[[#This Row],[Std Adj Read]]="N/A"),"N/A",IF(Table1[[#This Row],[DUT Adj Read]]="N/A",IF(Table1[[#This Row],[Std Adj Read]]&lt;Table1[[#This Row],[High Tol]],"Pass","Fail"),IF(Table1[[#This Row],[DUT Adj Read]]&lt;Table1[[#This Row],[High Tol]],"Pass","Fail")))</f>
        <v>Fail</v>
      </c>
      <c r="AF1858" s="1" t="str">
        <f>IF(AND(Table1[[#This Row],[Spec Type2]]="N/A",Table1[[#This Row],[DUT Adj Read]]="N/A",Table1[[#This Row],[Std Adj Read]]="N/A"),"N/A",IF(Table1[[#This Row],[DUT Adj Read]]="N/A",IF(Table1[[#This Row],[Std Adj Read]]&gt;=Table1[[#This Row],[Low Tol]],"Pass","Fail"),IF(Table1[[#This Row],[DUT Adj Read]]&gt;=Table1[[#This Row],[Low Tol]],"Pass","Fail")))</f>
        <v>Pass</v>
      </c>
      <c r="AG1858" s="1" t="str">
        <f>IF(AND(Table1[[#This Row],[Spec Type2]]="N/A",Table1[[#This Row],[DUT Adj Read]]="N/A",Table1[[#This Row],[Std Adj Read]]="N/A"),"N/A",IF(Table1[[#This Row],[DUT Adj Read]]="N/A",IF(Table1[[#This Row],[Std Adj Read]]&lt;=Table1[[#This Row],[High Tol]],"Pass","Fail"),IF(Table1[[#This Row],[DUT Adj Read]]&lt;=Table1[[#This Row],[High Tol]],"Pass","Fail")))</f>
        <v>Fail</v>
      </c>
      <c r="AH18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8" s="1" t="b">
        <v>0</v>
      </c>
      <c r="AN1858" s="1" t="b">
        <v>0</v>
      </c>
      <c r="AO1858" s="1" t="b">
        <v>0</v>
      </c>
    </row>
    <row r="1859" spans="1:41" x14ac:dyDescent="0.25">
      <c r="A1859" s="10"/>
      <c r="B1859" s="10"/>
      <c r="C1859" s="10"/>
      <c r="D1859" s="10"/>
      <c r="E1859" s="10"/>
      <c r="F1859" s="10"/>
      <c r="G1859" s="10"/>
      <c r="H1859" s="10"/>
      <c r="I1859" s="1" t="str">
        <f t="shared" si="84"/>
        <v/>
      </c>
      <c r="J1859" s="1" t="s">
        <v>35</v>
      </c>
      <c r="K1859" s="1" t="str">
        <f t="shared" si="85"/>
        <v/>
      </c>
      <c r="L1859" s="1" t="str">
        <f t="shared" si="86"/>
        <v/>
      </c>
      <c r="M1859" s="1">
        <f>IF(OR(Table1[[#This Row],[Std Nom]]="",Table1[[#This Row],[Std Read]]=""),0,Table1[[#This Row],[Std Nom]]-Table1[[#This Row],[Std Read]])</f>
        <v>0</v>
      </c>
      <c r="N1859" s="1">
        <f>IF(Calculations!$F$5="ACCREDITED 17025 WITH UNCERTAINTIES",$N$10,0)</f>
        <v>0</v>
      </c>
      <c r="Q1859" s="1">
        <f>Table1[[#This Row],[High Tol]]-Table1[[#This Row],[Low Tol]]</f>
        <v>0</v>
      </c>
      <c r="R1859" s="1">
        <f>2*Table1[[#This Row],[Std Error]]</f>
        <v>0</v>
      </c>
      <c r="S1859" s="1" t="str">
        <f>IF(Table1[[#This Row],[High Tol]]="","N/A",IFERROR(ABS(Table1[[#This Row],[Tol Span]]/Table1[[#This Row],[Error Span]]),"N/A"))</f>
        <v>N/A</v>
      </c>
      <c r="T1859" s="1" t="str">
        <f>IF(OR(Table1[[#This Row],[Low Tol]]="",Table1[[#This Row],[High Tol]]=""),"Needs Analysis",IF(Table1[[#This Row],[Ratio]]&gt;=4,"Not Significant",IF(Table1[[#This Row],[Ratio]]&gt;=2,"Semi-Significant","Significant")))</f>
        <v>Needs Analysis</v>
      </c>
      <c r="W1859" s="1">
        <f>IF(Table1[[#This Row],[Cal Type]]&lt;&gt;"ACCREDITED 17025 WITH UNCERTAINTIES",0,"")</f>
        <v>0</v>
      </c>
      <c r="X1859" s="1" t="str">
        <f>IF(Table1[[#This Row],[DUT Read]]="","N/A",Table1[[#This Row],[Std Error]]+Table1[[#This Row],[DUT Read]]+Table1[[#This Row],[DUT Ucty]])</f>
        <v>N/A</v>
      </c>
      <c r="Y1859" s="1" t="str">
        <f>IF(Table1[[#This Row],[Std Read]]="","N/A",Table1[[#This Row],[Std Read]]+Table1[[#This Row],[Std Ucty]])</f>
        <v>N/A</v>
      </c>
      <c r="Z18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59" s="1" t="str">
        <f>IF(Table1[[#This Row],[Spec Type]]="","N/A",Table1[[#This Row],[Spec Type]])</f>
        <v>±</v>
      </c>
      <c r="AC1859" s="1" t="str">
        <f>IF(Table1[[#This Row],[Spec Type2]]="N/A","N/A",IF(AND(Table1[[#This Row],[DUT Adj Read]]&gt;=Table1[[#This Row],[Low Tol]],Table1[[#This Row],[DUT Adj Read]]&lt;=Table1[[#This Row],[High Tol]]),"Pass","Fail"))</f>
        <v>Fail</v>
      </c>
      <c r="AD1859" s="1" t="str">
        <f>IF(AND(Table1[[#This Row],[Spec Type2]]="N/A",Table1[[#This Row],[DUT Adj Read]]="N/A",Table1[[#This Row],[Std Adj Read]]="N/A"),"N/A",IF(Table1[[#This Row],[DUT Adj Read]]="N/A",IF(Table1[[#This Row],[Std Adj Read]]&gt;Table1[[#This Row],[Low Tol]],"Pass","Fail"),IF(Table1[[#This Row],[DUT Adj Read]]&gt;Table1[[#This Row],[Low Tol]],"Pass","Fail")))</f>
        <v>Pass</v>
      </c>
      <c r="AE1859" s="1" t="str">
        <f>IF(AND(Table1[[#This Row],[Spec Type2]]="N/A",Table1[[#This Row],[DUT Adj Read]]="N/A",Table1[[#This Row],[Std Adj Read]]="N/A"),"N/A",IF(Table1[[#This Row],[DUT Adj Read]]="N/A",IF(Table1[[#This Row],[Std Adj Read]]&lt;Table1[[#This Row],[High Tol]],"Pass","Fail"),IF(Table1[[#This Row],[DUT Adj Read]]&lt;Table1[[#This Row],[High Tol]],"Pass","Fail")))</f>
        <v>Fail</v>
      </c>
      <c r="AF1859" s="1" t="str">
        <f>IF(AND(Table1[[#This Row],[Spec Type2]]="N/A",Table1[[#This Row],[DUT Adj Read]]="N/A",Table1[[#This Row],[Std Adj Read]]="N/A"),"N/A",IF(Table1[[#This Row],[DUT Adj Read]]="N/A",IF(Table1[[#This Row],[Std Adj Read]]&gt;=Table1[[#This Row],[Low Tol]],"Pass","Fail"),IF(Table1[[#This Row],[DUT Adj Read]]&gt;=Table1[[#This Row],[Low Tol]],"Pass","Fail")))</f>
        <v>Pass</v>
      </c>
      <c r="AG1859" s="1" t="str">
        <f>IF(AND(Table1[[#This Row],[Spec Type2]]="N/A",Table1[[#This Row],[DUT Adj Read]]="N/A",Table1[[#This Row],[Std Adj Read]]="N/A"),"N/A",IF(Table1[[#This Row],[DUT Adj Read]]="N/A",IF(Table1[[#This Row],[Std Adj Read]]&lt;=Table1[[#This Row],[High Tol]],"Pass","Fail"),IF(Table1[[#This Row],[DUT Adj Read]]&lt;=Table1[[#This Row],[High Tol]],"Pass","Fail")))</f>
        <v>Fail</v>
      </c>
      <c r="AH18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59" s="1" t="b">
        <v>0</v>
      </c>
      <c r="AN1859" s="1" t="b">
        <v>0</v>
      </c>
      <c r="AO1859" s="1" t="b">
        <v>0</v>
      </c>
    </row>
    <row r="1860" spans="1:41" x14ac:dyDescent="0.25">
      <c r="A1860" s="10"/>
      <c r="B1860" s="10"/>
      <c r="C1860" s="10"/>
      <c r="D1860" s="10"/>
      <c r="E1860" s="10"/>
      <c r="F1860" s="10"/>
      <c r="G1860" s="10"/>
      <c r="H1860" s="10"/>
      <c r="I1860" s="1" t="str">
        <f t="shared" si="84"/>
        <v/>
      </c>
      <c r="J1860" s="1" t="s">
        <v>35</v>
      </c>
      <c r="K1860" s="1" t="str">
        <f t="shared" si="85"/>
        <v/>
      </c>
      <c r="L1860" s="1" t="str">
        <f t="shared" si="86"/>
        <v/>
      </c>
      <c r="M1860" s="1">
        <f>IF(OR(Table1[[#This Row],[Std Nom]]="",Table1[[#This Row],[Std Read]]=""),0,Table1[[#This Row],[Std Nom]]-Table1[[#This Row],[Std Read]])</f>
        <v>0</v>
      </c>
      <c r="N1860" s="1">
        <f>IF(Calculations!$F$5="ACCREDITED 17025 WITH UNCERTAINTIES",$N$10,0)</f>
        <v>0</v>
      </c>
      <c r="Q1860" s="1">
        <f>Table1[[#This Row],[High Tol]]-Table1[[#This Row],[Low Tol]]</f>
        <v>0</v>
      </c>
      <c r="R1860" s="1">
        <f>2*Table1[[#This Row],[Std Error]]</f>
        <v>0</v>
      </c>
      <c r="S1860" s="1" t="str">
        <f>IF(Table1[[#This Row],[High Tol]]="","N/A",IFERROR(ABS(Table1[[#This Row],[Tol Span]]/Table1[[#This Row],[Error Span]]),"N/A"))</f>
        <v>N/A</v>
      </c>
      <c r="T1860" s="1" t="str">
        <f>IF(OR(Table1[[#This Row],[Low Tol]]="",Table1[[#This Row],[High Tol]]=""),"Needs Analysis",IF(Table1[[#This Row],[Ratio]]&gt;=4,"Not Significant",IF(Table1[[#This Row],[Ratio]]&gt;=2,"Semi-Significant","Significant")))</f>
        <v>Needs Analysis</v>
      </c>
      <c r="W1860" s="1">
        <f>IF(Table1[[#This Row],[Cal Type]]&lt;&gt;"ACCREDITED 17025 WITH UNCERTAINTIES",0,"")</f>
        <v>0</v>
      </c>
      <c r="X1860" s="1" t="str">
        <f>IF(Table1[[#This Row],[DUT Read]]="","N/A",Table1[[#This Row],[Std Error]]+Table1[[#This Row],[DUT Read]]+Table1[[#This Row],[DUT Ucty]])</f>
        <v>N/A</v>
      </c>
      <c r="Y1860" s="1" t="str">
        <f>IF(Table1[[#This Row],[Std Read]]="","N/A",Table1[[#This Row],[Std Read]]+Table1[[#This Row],[Std Ucty]])</f>
        <v>N/A</v>
      </c>
      <c r="Z18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0" s="1" t="str">
        <f>IF(Table1[[#This Row],[Spec Type]]="","N/A",Table1[[#This Row],[Spec Type]])</f>
        <v>±</v>
      </c>
      <c r="AC1860" s="1" t="str">
        <f>IF(Table1[[#This Row],[Spec Type2]]="N/A","N/A",IF(AND(Table1[[#This Row],[DUT Adj Read]]&gt;=Table1[[#This Row],[Low Tol]],Table1[[#This Row],[DUT Adj Read]]&lt;=Table1[[#This Row],[High Tol]]),"Pass","Fail"))</f>
        <v>Fail</v>
      </c>
      <c r="AD1860" s="1" t="str">
        <f>IF(AND(Table1[[#This Row],[Spec Type2]]="N/A",Table1[[#This Row],[DUT Adj Read]]="N/A",Table1[[#This Row],[Std Adj Read]]="N/A"),"N/A",IF(Table1[[#This Row],[DUT Adj Read]]="N/A",IF(Table1[[#This Row],[Std Adj Read]]&gt;Table1[[#This Row],[Low Tol]],"Pass","Fail"),IF(Table1[[#This Row],[DUT Adj Read]]&gt;Table1[[#This Row],[Low Tol]],"Pass","Fail")))</f>
        <v>Pass</v>
      </c>
      <c r="AE1860" s="1" t="str">
        <f>IF(AND(Table1[[#This Row],[Spec Type2]]="N/A",Table1[[#This Row],[DUT Adj Read]]="N/A",Table1[[#This Row],[Std Adj Read]]="N/A"),"N/A",IF(Table1[[#This Row],[DUT Adj Read]]="N/A",IF(Table1[[#This Row],[Std Adj Read]]&lt;Table1[[#This Row],[High Tol]],"Pass","Fail"),IF(Table1[[#This Row],[DUT Adj Read]]&lt;Table1[[#This Row],[High Tol]],"Pass","Fail")))</f>
        <v>Fail</v>
      </c>
      <c r="AF1860" s="1" t="str">
        <f>IF(AND(Table1[[#This Row],[Spec Type2]]="N/A",Table1[[#This Row],[DUT Adj Read]]="N/A",Table1[[#This Row],[Std Adj Read]]="N/A"),"N/A",IF(Table1[[#This Row],[DUT Adj Read]]="N/A",IF(Table1[[#This Row],[Std Adj Read]]&gt;=Table1[[#This Row],[Low Tol]],"Pass","Fail"),IF(Table1[[#This Row],[DUT Adj Read]]&gt;=Table1[[#This Row],[Low Tol]],"Pass","Fail")))</f>
        <v>Pass</v>
      </c>
      <c r="AG1860" s="1" t="str">
        <f>IF(AND(Table1[[#This Row],[Spec Type2]]="N/A",Table1[[#This Row],[DUT Adj Read]]="N/A",Table1[[#This Row],[Std Adj Read]]="N/A"),"N/A",IF(Table1[[#This Row],[DUT Adj Read]]="N/A",IF(Table1[[#This Row],[Std Adj Read]]&lt;=Table1[[#This Row],[High Tol]],"Pass","Fail"),IF(Table1[[#This Row],[DUT Adj Read]]&lt;=Table1[[#This Row],[High Tol]],"Pass","Fail")))</f>
        <v>Fail</v>
      </c>
      <c r="AH18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0" s="1" t="b">
        <v>0</v>
      </c>
      <c r="AN1860" s="1" t="b">
        <v>0</v>
      </c>
      <c r="AO1860" s="1" t="b">
        <v>0</v>
      </c>
    </row>
    <row r="1861" spans="1:41" x14ac:dyDescent="0.25">
      <c r="A1861" s="10"/>
      <c r="B1861" s="10"/>
      <c r="C1861" s="10"/>
      <c r="D1861" s="10"/>
      <c r="E1861" s="10"/>
      <c r="F1861" s="10"/>
      <c r="G1861" s="10"/>
      <c r="H1861" s="10"/>
      <c r="I1861" s="1" t="str">
        <f t="shared" si="84"/>
        <v/>
      </c>
      <c r="J1861" s="1" t="s">
        <v>35</v>
      </c>
      <c r="K1861" s="1" t="str">
        <f t="shared" si="85"/>
        <v/>
      </c>
      <c r="L1861" s="1" t="str">
        <f t="shared" si="86"/>
        <v/>
      </c>
      <c r="M1861" s="1">
        <f>IF(OR(Table1[[#This Row],[Std Nom]]="",Table1[[#This Row],[Std Read]]=""),0,Table1[[#This Row],[Std Nom]]-Table1[[#This Row],[Std Read]])</f>
        <v>0</v>
      </c>
      <c r="N1861" s="1">
        <f>IF(Calculations!$F$5="ACCREDITED 17025 WITH UNCERTAINTIES",$N$10,0)</f>
        <v>0</v>
      </c>
      <c r="Q1861" s="1">
        <f>Table1[[#This Row],[High Tol]]-Table1[[#This Row],[Low Tol]]</f>
        <v>0</v>
      </c>
      <c r="R1861" s="1">
        <f>2*Table1[[#This Row],[Std Error]]</f>
        <v>0</v>
      </c>
      <c r="S1861" s="1" t="str">
        <f>IF(Table1[[#This Row],[High Tol]]="","N/A",IFERROR(ABS(Table1[[#This Row],[Tol Span]]/Table1[[#This Row],[Error Span]]),"N/A"))</f>
        <v>N/A</v>
      </c>
      <c r="T1861" s="1" t="str">
        <f>IF(OR(Table1[[#This Row],[Low Tol]]="",Table1[[#This Row],[High Tol]]=""),"Needs Analysis",IF(Table1[[#This Row],[Ratio]]&gt;=4,"Not Significant",IF(Table1[[#This Row],[Ratio]]&gt;=2,"Semi-Significant","Significant")))</f>
        <v>Needs Analysis</v>
      </c>
      <c r="W1861" s="1">
        <f>IF(Table1[[#This Row],[Cal Type]]&lt;&gt;"ACCREDITED 17025 WITH UNCERTAINTIES",0,"")</f>
        <v>0</v>
      </c>
      <c r="X1861" s="1" t="str">
        <f>IF(Table1[[#This Row],[DUT Read]]="","N/A",Table1[[#This Row],[Std Error]]+Table1[[#This Row],[DUT Read]]+Table1[[#This Row],[DUT Ucty]])</f>
        <v>N/A</v>
      </c>
      <c r="Y1861" s="1" t="str">
        <f>IF(Table1[[#This Row],[Std Read]]="","N/A",Table1[[#This Row],[Std Read]]+Table1[[#This Row],[Std Ucty]])</f>
        <v>N/A</v>
      </c>
      <c r="Z18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1" s="1" t="str">
        <f>IF(Table1[[#This Row],[Spec Type]]="","N/A",Table1[[#This Row],[Spec Type]])</f>
        <v>±</v>
      </c>
      <c r="AC1861" s="1" t="str">
        <f>IF(Table1[[#This Row],[Spec Type2]]="N/A","N/A",IF(AND(Table1[[#This Row],[DUT Adj Read]]&gt;=Table1[[#This Row],[Low Tol]],Table1[[#This Row],[DUT Adj Read]]&lt;=Table1[[#This Row],[High Tol]]),"Pass","Fail"))</f>
        <v>Fail</v>
      </c>
      <c r="AD1861" s="1" t="str">
        <f>IF(AND(Table1[[#This Row],[Spec Type2]]="N/A",Table1[[#This Row],[DUT Adj Read]]="N/A",Table1[[#This Row],[Std Adj Read]]="N/A"),"N/A",IF(Table1[[#This Row],[DUT Adj Read]]="N/A",IF(Table1[[#This Row],[Std Adj Read]]&gt;Table1[[#This Row],[Low Tol]],"Pass","Fail"),IF(Table1[[#This Row],[DUT Adj Read]]&gt;Table1[[#This Row],[Low Tol]],"Pass","Fail")))</f>
        <v>Pass</v>
      </c>
      <c r="AE1861" s="1" t="str">
        <f>IF(AND(Table1[[#This Row],[Spec Type2]]="N/A",Table1[[#This Row],[DUT Adj Read]]="N/A",Table1[[#This Row],[Std Adj Read]]="N/A"),"N/A",IF(Table1[[#This Row],[DUT Adj Read]]="N/A",IF(Table1[[#This Row],[Std Adj Read]]&lt;Table1[[#This Row],[High Tol]],"Pass","Fail"),IF(Table1[[#This Row],[DUT Adj Read]]&lt;Table1[[#This Row],[High Tol]],"Pass","Fail")))</f>
        <v>Fail</v>
      </c>
      <c r="AF1861" s="1" t="str">
        <f>IF(AND(Table1[[#This Row],[Spec Type2]]="N/A",Table1[[#This Row],[DUT Adj Read]]="N/A",Table1[[#This Row],[Std Adj Read]]="N/A"),"N/A",IF(Table1[[#This Row],[DUT Adj Read]]="N/A",IF(Table1[[#This Row],[Std Adj Read]]&gt;=Table1[[#This Row],[Low Tol]],"Pass","Fail"),IF(Table1[[#This Row],[DUT Adj Read]]&gt;=Table1[[#This Row],[Low Tol]],"Pass","Fail")))</f>
        <v>Pass</v>
      </c>
      <c r="AG1861" s="1" t="str">
        <f>IF(AND(Table1[[#This Row],[Spec Type2]]="N/A",Table1[[#This Row],[DUT Adj Read]]="N/A",Table1[[#This Row],[Std Adj Read]]="N/A"),"N/A",IF(Table1[[#This Row],[DUT Adj Read]]="N/A",IF(Table1[[#This Row],[Std Adj Read]]&lt;=Table1[[#This Row],[High Tol]],"Pass","Fail"),IF(Table1[[#This Row],[DUT Adj Read]]&lt;=Table1[[#This Row],[High Tol]],"Pass","Fail")))</f>
        <v>Fail</v>
      </c>
      <c r="AH18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1" s="1" t="b">
        <v>0</v>
      </c>
      <c r="AN1861" s="1" t="b">
        <v>0</v>
      </c>
      <c r="AO1861" s="1" t="b">
        <v>0</v>
      </c>
    </row>
    <row r="1862" spans="1:41" x14ac:dyDescent="0.25">
      <c r="A1862" s="10"/>
      <c r="B1862" s="10"/>
      <c r="C1862" s="10"/>
      <c r="D1862" s="10"/>
      <c r="E1862" s="10"/>
      <c r="F1862" s="10"/>
      <c r="G1862" s="10"/>
      <c r="H1862" s="10"/>
      <c r="I1862" s="1" t="str">
        <f t="shared" si="84"/>
        <v/>
      </c>
      <c r="J1862" s="1" t="s">
        <v>35</v>
      </c>
      <c r="K1862" s="1" t="str">
        <f t="shared" si="85"/>
        <v/>
      </c>
      <c r="L1862" s="1" t="str">
        <f t="shared" si="86"/>
        <v/>
      </c>
      <c r="M1862" s="1">
        <f>IF(OR(Table1[[#This Row],[Std Nom]]="",Table1[[#This Row],[Std Read]]=""),0,Table1[[#This Row],[Std Nom]]-Table1[[#This Row],[Std Read]])</f>
        <v>0</v>
      </c>
      <c r="N1862" s="1">
        <f>IF(Calculations!$F$5="ACCREDITED 17025 WITH UNCERTAINTIES",$N$10,0)</f>
        <v>0</v>
      </c>
      <c r="Q1862" s="1">
        <f>Table1[[#This Row],[High Tol]]-Table1[[#This Row],[Low Tol]]</f>
        <v>0</v>
      </c>
      <c r="R1862" s="1">
        <f>2*Table1[[#This Row],[Std Error]]</f>
        <v>0</v>
      </c>
      <c r="S1862" s="1" t="str">
        <f>IF(Table1[[#This Row],[High Tol]]="","N/A",IFERROR(ABS(Table1[[#This Row],[Tol Span]]/Table1[[#This Row],[Error Span]]),"N/A"))</f>
        <v>N/A</v>
      </c>
      <c r="T1862" s="1" t="str">
        <f>IF(OR(Table1[[#This Row],[Low Tol]]="",Table1[[#This Row],[High Tol]]=""),"Needs Analysis",IF(Table1[[#This Row],[Ratio]]&gt;=4,"Not Significant",IF(Table1[[#This Row],[Ratio]]&gt;=2,"Semi-Significant","Significant")))</f>
        <v>Needs Analysis</v>
      </c>
      <c r="W1862" s="1">
        <f>IF(Table1[[#This Row],[Cal Type]]&lt;&gt;"ACCREDITED 17025 WITH UNCERTAINTIES",0,"")</f>
        <v>0</v>
      </c>
      <c r="X1862" s="1" t="str">
        <f>IF(Table1[[#This Row],[DUT Read]]="","N/A",Table1[[#This Row],[Std Error]]+Table1[[#This Row],[DUT Read]]+Table1[[#This Row],[DUT Ucty]])</f>
        <v>N/A</v>
      </c>
      <c r="Y1862" s="1" t="str">
        <f>IF(Table1[[#This Row],[Std Read]]="","N/A",Table1[[#This Row],[Std Read]]+Table1[[#This Row],[Std Ucty]])</f>
        <v>N/A</v>
      </c>
      <c r="Z18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2" s="1" t="str">
        <f>IF(Table1[[#This Row],[Spec Type]]="","N/A",Table1[[#This Row],[Spec Type]])</f>
        <v>±</v>
      </c>
      <c r="AC1862" s="1" t="str">
        <f>IF(Table1[[#This Row],[Spec Type2]]="N/A","N/A",IF(AND(Table1[[#This Row],[DUT Adj Read]]&gt;=Table1[[#This Row],[Low Tol]],Table1[[#This Row],[DUT Adj Read]]&lt;=Table1[[#This Row],[High Tol]]),"Pass","Fail"))</f>
        <v>Fail</v>
      </c>
      <c r="AD1862" s="1" t="str">
        <f>IF(AND(Table1[[#This Row],[Spec Type2]]="N/A",Table1[[#This Row],[DUT Adj Read]]="N/A",Table1[[#This Row],[Std Adj Read]]="N/A"),"N/A",IF(Table1[[#This Row],[DUT Adj Read]]="N/A",IF(Table1[[#This Row],[Std Adj Read]]&gt;Table1[[#This Row],[Low Tol]],"Pass","Fail"),IF(Table1[[#This Row],[DUT Adj Read]]&gt;Table1[[#This Row],[Low Tol]],"Pass","Fail")))</f>
        <v>Pass</v>
      </c>
      <c r="AE1862" s="1" t="str">
        <f>IF(AND(Table1[[#This Row],[Spec Type2]]="N/A",Table1[[#This Row],[DUT Adj Read]]="N/A",Table1[[#This Row],[Std Adj Read]]="N/A"),"N/A",IF(Table1[[#This Row],[DUT Adj Read]]="N/A",IF(Table1[[#This Row],[Std Adj Read]]&lt;Table1[[#This Row],[High Tol]],"Pass","Fail"),IF(Table1[[#This Row],[DUT Adj Read]]&lt;Table1[[#This Row],[High Tol]],"Pass","Fail")))</f>
        <v>Fail</v>
      </c>
      <c r="AF1862" s="1" t="str">
        <f>IF(AND(Table1[[#This Row],[Spec Type2]]="N/A",Table1[[#This Row],[DUT Adj Read]]="N/A",Table1[[#This Row],[Std Adj Read]]="N/A"),"N/A",IF(Table1[[#This Row],[DUT Adj Read]]="N/A",IF(Table1[[#This Row],[Std Adj Read]]&gt;=Table1[[#This Row],[Low Tol]],"Pass","Fail"),IF(Table1[[#This Row],[DUT Adj Read]]&gt;=Table1[[#This Row],[Low Tol]],"Pass","Fail")))</f>
        <v>Pass</v>
      </c>
      <c r="AG1862" s="1" t="str">
        <f>IF(AND(Table1[[#This Row],[Spec Type2]]="N/A",Table1[[#This Row],[DUT Adj Read]]="N/A",Table1[[#This Row],[Std Adj Read]]="N/A"),"N/A",IF(Table1[[#This Row],[DUT Adj Read]]="N/A",IF(Table1[[#This Row],[Std Adj Read]]&lt;=Table1[[#This Row],[High Tol]],"Pass","Fail"),IF(Table1[[#This Row],[DUT Adj Read]]&lt;=Table1[[#This Row],[High Tol]],"Pass","Fail")))</f>
        <v>Fail</v>
      </c>
      <c r="AH18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2" s="1" t="b">
        <v>0</v>
      </c>
      <c r="AN1862" s="1" t="b">
        <v>0</v>
      </c>
      <c r="AO1862" s="1" t="b">
        <v>0</v>
      </c>
    </row>
    <row r="1863" spans="1:41" x14ac:dyDescent="0.25">
      <c r="A1863" s="10"/>
      <c r="B1863" s="10"/>
      <c r="C1863" s="10"/>
      <c r="D1863" s="10"/>
      <c r="E1863" s="10"/>
      <c r="F1863" s="10"/>
      <c r="G1863" s="10"/>
      <c r="H1863" s="10"/>
      <c r="I1863" s="1" t="str">
        <f t="shared" si="84"/>
        <v/>
      </c>
      <c r="J1863" s="1" t="s">
        <v>35</v>
      </c>
      <c r="K1863" s="1" t="str">
        <f t="shared" si="85"/>
        <v/>
      </c>
      <c r="L1863" s="1" t="str">
        <f t="shared" si="86"/>
        <v/>
      </c>
      <c r="M1863" s="1">
        <f>IF(OR(Table1[[#This Row],[Std Nom]]="",Table1[[#This Row],[Std Read]]=""),0,Table1[[#This Row],[Std Nom]]-Table1[[#This Row],[Std Read]])</f>
        <v>0</v>
      </c>
      <c r="N1863" s="1">
        <f>IF(Calculations!$F$5="ACCREDITED 17025 WITH UNCERTAINTIES",$N$10,0)</f>
        <v>0</v>
      </c>
      <c r="Q1863" s="1">
        <f>Table1[[#This Row],[High Tol]]-Table1[[#This Row],[Low Tol]]</f>
        <v>0</v>
      </c>
      <c r="R1863" s="1">
        <f>2*Table1[[#This Row],[Std Error]]</f>
        <v>0</v>
      </c>
      <c r="S1863" s="1" t="str">
        <f>IF(Table1[[#This Row],[High Tol]]="","N/A",IFERROR(ABS(Table1[[#This Row],[Tol Span]]/Table1[[#This Row],[Error Span]]),"N/A"))</f>
        <v>N/A</v>
      </c>
      <c r="T1863" s="1" t="str">
        <f>IF(OR(Table1[[#This Row],[Low Tol]]="",Table1[[#This Row],[High Tol]]=""),"Needs Analysis",IF(Table1[[#This Row],[Ratio]]&gt;=4,"Not Significant",IF(Table1[[#This Row],[Ratio]]&gt;=2,"Semi-Significant","Significant")))</f>
        <v>Needs Analysis</v>
      </c>
      <c r="W1863" s="1">
        <f>IF(Table1[[#This Row],[Cal Type]]&lt;&gt;"ACCREDITED 17025 WITH UNCERTAINTIES",0,"")</f>
        <v>0</v>
      </c>
      <c r="X1863" s="1" t="str">
        <f>IF(Table1[[#This Row],[DUT Read]]="","N/A",Table1[[#This Row],[Std Error]]+Table1[[#This Row],[DUT Read]]+Table1[[#This Row],[DUT Ucty]])</f>
        <v>N/A</v>
      </c>
      <c r="Y1863" s="1" t="str">
        <f>IF(Table1[[#This Row],[Std Read]]="","N/A",Table1[[#This Row],[Std Read]]+Table1[[#This Row],[Std Ucty]])</f>
        <v>N/A</v>
      </c>
      <c r="Z18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3" s="1" t="str">
        <f>IF(Table1[[#This Row],[Spec Type]]="","N/A",Table1[[#This Row],[Spec Type]])</f>
        <v>±</v>
      </c>
      <c r="AC1863" s="1" t="str">
        <f>IF(Table1[[#This Row],[Spec Type2]]="N/A","N/A",IF(AND(Table1[[#This Row],[DUT Adj Read]]&gt;=Table1[[#This Row],[Low Tol]],Table1[[#This Row],[DUT Adj Read]]&lt;=Table1[[#This Row],[High Tol]]),"Pass","Fail"))</f>
        <v>Fail</v>
      </c>
      <c r="AD1863" s="1" t="str">
        <f>IF(AND(Table1[[#This Row],[Spec Type2]]="N/A",Table1[[#This Row],[DUT Adj Read]]="N/A",Table1[[#This Row],[Std Adj Read]]="N/A"),"N/A",IF(Table1[[#This Row],[DUT Adj Read]]="N/A",IF(Table1[[#This Row],[Std Adj Read]]&gt;Table1[[#This Row],[Low Tol]],"Pass","Fail"),IF(Table1[[#This Row],[DUT Adj Read]]&gt;Table1[[#This Row],[Low Tol]],"Pass","Fail")))</f>
        <v>Pass</v>
      </c>
      <c r="AE1863" s="1" t="str">
        <f>IF(AND(Table1[[#This Row],[Spec Type2]]="N/A",Table1[[#This Row],[DUT Adj Read]]="N/A",Table1[[#This Row],[Std Adj Read]]="N/A"),"N/A",IF(Table1[[#This Row],[DUT Adj Read]]="N/A",IF(Table1[[#This Row],[Std Adj Read]]&lt;Table1[[#This Row],[High Tol]],"Pass","Fail"),IF(Table1[[#This Row],[DUT Adj Read]]&lt;Table1[[#This Row],[High Tol]],"Pass","Fail")))</f>
        <v>Fail</v>
      </c>
      <c r="AF1863" s="1" t="str">
        <f>IF(AND(Table1[[#This Row],[Spec Type2]]="N/A",Table1[[#This Row],[DUT Adj Read]]="N/A",Table1[[#This Row],[Std Adj Read]]="N/A"),"N/A",IF(Table1[[#This Row],[DUT Adj Read]]="N/A",IF(Table1[[#This Row],[Std Adj Read]]&gt;=Table1[[#This Row],[Low Tol]],"Pass","Fail"),IF(Table1[[#This Row],[DUT Adj Read]]&gt;=Table1[[#This Row],[Low Tol]],"Pass","Fail")))</f>
        <v>Pass</v>
      </c>
      <c r="AG1863" s="1" t="str">
        <f>IF(AND(Table1[[#This Row],[Spec Type2]]="N/A",Table1[[#This Row],[DUT Adj Read]]="N/A",Table1[[#This Row],[Std Adj Read]]="N/A"),"N/A",IF(Table1[[#This Row],[DUT Adj Read]]="N/A",IF(Table1[[#This Row],[Std Adj Read]]&lt;=Table1[[#This Row],[High Tol]],"Pass","Fail"),IF(Table1[[#This Row],[DUT Adj Read]]&lt;=Table1[[#This Row],[High Tol]],"Pass","Fail")))</f>
        <v>Fail</v>
      </c>
      <c r="AH18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3" s="1" t="b">
        <v>0</v>
      </c>
      <c r="AN1863" s="1" t="b">
        <v>0</v>
      </c>
      <c r="AO1863" s="1" t="b">
        <v>0</v>
      </c>
    </row>
    <row r="1864" spans="1:41" x14ac:dyDescent="0.25">
      <c r="A1864" s="10"/>
      <c r="B1864" s="10"/>
      <c r="C1864" s="10"/>
      <c r="D1864" s="10"/>
      <c r="E1864" s="10"/>
      <c r="F1864" s="10"/>
      <c r="G1864" s="10"/>
      <c r="H1864" s="10"/>
      <c r="I1864" s="1" t="str">
        <f t="shared" si="84"/>
        <v/>
      </c>
      <c r="J1864" s="1" t="s">
        <v>35</v>
      </c>
      <c r="K1864" s="1" t="str">
        <f t="shared" si="85"/>
        <v/>
      </c>
      <c r="L1864" s="1" t="str">
        <f t="shared" si="86"/>
        <v/>
      </c>
      <c r="M1864" s="1">
        <f>IF(OR(Table1[[#This Row],[Std Nom]]="",Table1[[#This Row],[Std Read]]=""),0,Table1[[#This Row],[Std Nom]]-Table1[[#This Row],[Std Read]])</f>
        <v>0</v>
      </c>
      <c r="N1864" s="1">
        <f>IF(Calculations!$F$5="ACCREDITED 17025 WITH UNCERTAINTIES",$N$10,0)</f>
        <v>0</v>
      </c>
      <c r="Q1864" s="1">
        <f>Table1[[#This Row],[High Tol]]-Table1[[#This Row],[Low Tol]]</f>
        <v>0</v>
      </c>
      <c r="R1864" s="1">
        <f>2*Table1[[#This Row],[Std Error]]</f>
        <v>0</v>
      </c>
      <c r="S1864" s="1" t="str">
        <f>IF(Table1[[#This Row],[High Tol]]="","N/A",IFERROR(ABS(Table1[[#This Row],[Tol Span]]/Table1[[#This Row],[Error Span]]),"N/A"))</f>
        <v>N/A</v>
      </c>
      <c r="T1864" s="1" t="str">
        <f>IF(OR(Table1[[#This Row],[Low Tol]]="",Table1[[#This Row],[High Tol]]=""),"Needs Analysis",IF(Table1[[#This Row],[Ratio]]&gt;=4,"Not Significant",IF(Table1[[#This Row],[Ratio]]&gt;=2,"Semi-Significant","Significant")))</f>
        <v>Needs Analysis</v>
      </c>
      <c r="W1864" s="1">
        <f>IF(Table1[[#This Row],[Cal Type]]&lt;&gt;"ACCREDITED 17025 WITH UNCERTAINTIES",0,"")</f>
        <v>0</v>
      </c>
      <c r="X1864" s="1" t="str">
        <f>IF(Table1[[#This Row],[DUT Read]]="","N/A",Table1[[#This Row],[Std Error]]+Table1[[#This Row],[DUT Read]]+Table1[[#This Row],[DUT Ucty]])</f>
        <v>N/A</v>
      </c>
      <c r="Y1864" s="1" t="str">
        <f>IF(Table1[[#This Row],[Std Read]]="","N/A",Table1[[#This Row],[Std Read]]+Table1[[#This Row],[Std Ucty]])</f>
        <v>N/A</v>
      </c>
      <c r="Z18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4" s="1" t="str">
        <f>IF(Table1[[#This Row],[Spec Type]]="","N/A",Table1[[#This Row],[Spec Type]])</f>
        <v>±</v>
      </c>
      <c r="AC1864" s="1" t="str">
        <f>IF(Table1[[#This Row],[Spec Type2]]="N/A","N/A",IF(AND(Table1[[#This Row],[DUT Adj Read]]&gt;=Table1[[#This Row],[Low Tol]],Table1[[#This Row],[DUT Adj Read]]&lt;=Table1[[#This Row],[High Tol]]),"Pass","Fail"))</f>
        <v>Fail</v>
      </c>
      <c r="AD1864" s="1" t="str">
        <f>IF(AND(Table1[[#This Row],[Spec Type2]]="N/A",Table1[[#This Row],[DUT Adj Read]]="N/A",Table1[[#This Row],[Std Adj Read]]="N/A"),"N/A",IF(Table1[[#This Row],[DUT Adj Read]]="N/A",IF(Table1[[#This Row],[Std Adj Read]]&gt;Table1[[#This Row],[Low Tol]],"Pass","Fail"),IF(Table1[[#This Row],[DUT Adj Read]]&gt;Table1[[#This Row],[Low Tol]],"Pass","Fail")))</f>
        <v>Pass</v>
      </c>
      <c r="AE1864" s="1" t="str">
        <f>IF(AND(Table1[[#This Row],[Spec Type2]]="N/A",Table1[[#This Row],[DUT Adj Read]]="N/A",Table1[[#This Row],[Std Adj Read]]="N/A"),"N/A",IF(Table1[[#This Row],[DUT Adj Read]]="N/A",IF(Table1[[#This Row],[Std Adj Read]]&lt;Table1[[#This Row],[High Tol]],"Pass","Fail"),IF(Table1[[#This Row],[DUT Adj Read]]&lt;Table1[[#This Row],[High Tol]],"Pass","Fail")))</f>
        <v>Fail</v>
      </c>
      <c r="AF1864" s="1" t="str">
        <f>IF(AND(Table1[[#This Row],[Spec Type2]]="N/A",Table1[[#This Row],[DUT Adj Read]]="N/A",Table1[[#This Row],[Std Adj Read]]="N/A"),"N/A",IF(Table1[[#This Row],[DUT Adj Read]]="N/A",IF(Table1[[#This Row],[Std Adj Read]]&gt;=Table1[[#This Row],[Low Tol]],"Pass","Fail"),IF(Table1[[#This Row],[DUT Adj Read]]&gt;=Table1[[#This Row],[Low Tol]],"Pass","Fail")))</f>
        <v>Pass</v>
      </c>
      <c r="AG1864" s="1" t="str">
        <f>IF(AND(Table1[[#This Row],[Spec Type2]]="N/A",Table1[[#This Row],[DUT Adj Read]]="N/A",Table1[[#This Row],[Std Adj Read]]="N/A"),"N/A",IF(Table1[[#This Row],[DUT Adj Read]]="N/A",IF(Table1[[#This Row],[Std Adj Read]]&lt;=Table1[[#This Row],[High Tol]],"Pass","Fail"),IF(Table1[[#This Row],[DUT Adj Read]]&lt;=Table1[[#This Row],[High Tol]],"Pass","Fail")))</f>
        <v>Fail</v>
      </c>
      <c r="AH18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4" s="1" t="b">
        <v>0</v>
      </c>
      <c r="AN1864" s="1" t="b">
        <v>0</v>
      </c>
      <c r="AO1864" s="1" t="b">
        <v>0</v>
      </c>
    </row>
    <row r="1865" spans="1:41" x14ac:dyDescent="0.25">
      <c r="A1865" s="10"/>
      <c r="B1865" s="10"/>
      <c r="C1865" s="10"/>
      <c r="D1865" s="10"/>
      <c r="E1865" s="10"/>
      <c r="F1865" s="10"/>
      <c r="G1865" s="10"/>
      <c r="H1865" s="10"/>
      <c r="I1865" s="1" t="str">
        <f t="shared" si="84"/>
        <v/>
      </c>
      <c r="J1865" s="1" t="s">
        <v>35</v>
      </c>
      <c r="K1865" s="1" t="str">
        <f t="shared" si="85"/>
        <v/>
      </c>
      <c r="L1865" s="1" t="str">
        <f t="shared" si="86"/>
        <v/>
      </c>
      <c r="M1865" s="1">
        <f>IF(OR(Table1[[#This Row],[Std Nom]]="",Table1[[#This Row],[Std Read]]=""),0,Table1[[#This Row],[Std Nom]]-Table1[[#This Row],[Std Read]])</f>
        <v>0</v>
      </c>
      <c r="N1865" s="1">
        <f>IF(Calculations!$F$5="ACCREDITED 17025 WITH UNCERTAINTIES",$N$10,0)</f>
        <v>0</v>
      </c>
      <c r="Q1865" s="1">
        <f>Table1[[#This Row],[High Tol]]-Table1[[#This Row],[Low Tol]]</f>
        <v>0</v>
      </c>
      <c r="R1865" s="1">
        <f>2*Table1[[#This Row],[Std Error]]</f>
        <v>0</v>
      </c>
      <c r="S1865" s="1" t="str">
        <f>IF(Table1[[#This Row],[High Tol]]="","N/A",IFERROR(ABS(Table1[[#This Row],[Tol Span]]/Table1[[#This Row],[Error Span]]),"N/A"))</f>
        <v>N/A</v>
      </c>
      <c r="T1865" s="1" t="str">
        <f>IF(OR(Table1[[#This Row],[Low Tol]]="",Table1[[#This Row],[High Tol]]=""),"Needs Analysis",IF(Table1[[#This Row],[Ratio]]&gt;=4,"Not Significant",IF(Table1[[#This Row],[Ratio]]&gt;=2,"Semi-Significant","Significant")))</f>
        <v>Needs Analysis</v>
      </c>
      <c r="W1865" s="1">
        <f>IF(Table1[[#This Row],[Cal Type]]&lt;&gt;"ACCREDITED 17025 WITH UNCERTAINTIES",0,"")</f>
        <v>0</v>
      </c>
      <c r="X1865" s="1" t="str">
        <f>IF(Table1[[#This Row],[DUT Read]]="","N/A",Table1[[#This Row],[Std Error]]+Table1[[#This Row],[DUT Read]]+Table1[[#This Row],[DUT Ucty]])</f>
        <v>N/A</v>
      </c>
      <c r="Y1865" s="1" t="str">
        <f>IF(Table1[[#This Row],[Std Read]]="","N/A",Table1[[#This Row],[Std Read]]+Table1[[#This Row],[Std Ucty]])</f>
        <v>N/A</v>
      </c>
      <c r="Z18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5" s="1" t="str">
        <f>IF(Table1[[#This Row],[Spec Type]]="","N/A",Table1[[#This Row],[Spec Type]])</f>
        <v>±</v>
      </c>
      <c r="AC1865" s="1" t="str">
        <f>IF(Table1[[#This Row],[Spec Type2]]="N/A","N/A",IF(AND(Table1[[#This Row],[DUT Adj Read]]&gt;=Table1[[#This Row],[Low Tol]],Table1[[#This Row],[DUT Adj Read]]&lt;=Table1[[#This Row],[High Tol]]),"Pass","Fail"))</f>
        <v>Fail</v>
      </c>
      <c r="AD1865" s="1" t="str">
        <f>IF(AND(Table1[[#This Row],[Spec Type2]]="N/A",Table1[[#This Row],[DUT Adj Read]]="N/A",Table1[[#This Row],[Std Adj Read]]="N/A"),"N/A",IF(Table1[[#This Row],[DUT Adj Read]]="N/A",IF(Table1[[#This Row],[Std Adj Read]]&gt;Table1[[#This Row],[Low Tol]],"Pass","Fail"),IF(Table1[[#This Row],[DUT Adj Read]]&gt;Table1[[#This Row],[Low Tol]],"Pass","Fail")))</f>
        <v>Pass</v>
      </c>
      <c r="AE1865" s="1" t="str">
        <f>IF(AND(Table1[[#This Row],[Spec Type2]]="N/A",Table1[[#This Row],[DUT Adj Read]]="N/A",Table1[[#This Row],[Std Adj Read]]="N/A"),"N/A",IF(Table1[[#This Row],[DUT Adj Read]]="N/A",IF(Table1[[#This Row],[Std Adj Read]]&lt;Table1[[#This Row],[High Tol]],"Pass","Fail"),IF(Table1[[#This Row],[DUT Adj Read]]&lt;Table1[[#This Row],[High Tol]],"Pass","Fail")))</f>
        <v>Fail</v>
      </c>
      <c r="AF1865" s="1" t="str">
        <f>IF(AND(Table1[[#This Row],[Spec Type2]]="N/A",Table1[[#This Row],[DUT Adj Read]]="N/A",Table1[[#This Row],[Std Adj Read]]="N/A"),"N/A",IF(Table1[[#This Row],[DUT Adj Read]]="N/A",IF(Table1[[#This Row],[Std Adj Read]]&gt;=Table1[[#This Row],[Low Tol]],"Pass","Fail"),IF(Table1[[#This Row],[DUT Adj Read]]&gt;=Table1[[#This Row],[Low Tol]],"Pass","Fail")))</f>
        <v>Pass</v>
      </c>
      <c r="AG1865" s="1" t="str">
        <f>IF(AND(Table1[[#This Row],[Spec Type2]]="N/A",Table1[[#This Row],[DUT Adj Read]]="N/A",Table1[[#This Row],[Std Adj Read]]="N/A"),"N/A",IF(Table1[[#This Row],[DUT Adj Read]]="N/A",IF(Table1[[#This Row],[Std Adj Read]]&lt;=Table1[[#This Row],[High Tol]],"Pass","Fail"),IF(Table1[[#This Row],[DUT Adj Read]]&lt;=Table1[[#This Row],[High Tol]],"Pass","Fail")))</f>
        <v>Fail</v>
      </c>
      <c r="AH18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5" s="1" t="b">
        <v>0</v>
      </c>
      <c r="AN1865" s="1" t="b">
        <v>0</v>
      </c>
      <c r="AO1865" s="1" t="b">
        <v>0</v>
      </c>
    </row>
    <row r="1866" spans="1:41" x14ac:dyDescent="0.25">
      <c r="A1866" s="10"/>
      <c r="B1866" s="10"/>
      <c r="C1866" s="10"/>
      <c r="D1866" s="10"/>
      <c r="E1866" s="10"/>
      <c r="F1866" s="10"/>
      <c r="G1866" s="10"/>
      <c r="H1866" s="10"/>
      <c r="I1866" s="1" t="str">
        <f t="shared" si="84"/>
        <v/>
      </c>
      <c r="J1866" s="1" t="s">
        <v>35</v>
      </c>
      <c r="K1866" s="1" t="str">
        <f t="shared" si="85"/>
        <v/>
      </c>
      <c r="L1866" s="1" t="str">
        <f t="shared" si="86"/>
        <v/>
      </c>
      <c r="M1866" s="1">
        <f>IF(OR(Table1[[#This Row],[Std Nom]]="",Table1[[#This Row],[Std Read]]=""),0,Table1[[#This Row],[Std Nom]]-Table1[[#This Row],[Std Read]])</f>
        <v>0</v>
      </c>
      <c r="N1866" s="1">
        <f>IF(Calculations!$F$5="ACCREDITED 17025 WITH UNCERTAINTIES",$N$10,0)</f>
        <v>0</v>
      </c>
      <c r="Q1866" s="1">
        <f>Table1[[#This Row],[High Tol]]-Table1[[#This Row],[Low Tol]]</f>
        <v>0</v>
      </c>
      <c r="R1866" s="1">
        <f>2*Table1[[#This Row],[Std Error]]</f>
        <v>0</v>
      </c>
      <c r="S1866" s="1" t="str">
        <f>IF(Table1[[#This Row],[High Tol]]="","N/A",IFERROR(ABS(Table1[[#This Row],[Tol Span]]/Table1[[#This Row],[Error Span]]),"N/A"))</f>
        <v>N/A</v>
      </c>
      <c r="T1866" s="1" t="str">
        <f>IF(OR(Table1[[#This Row],[Low Tol]]="",Table1[[#This Row],[High Tol]]=""),"Needs Analysis",IF(Table1[[#This Row],[Ratio]]&gt;=4,"Not Significant",IF(Table1[[#This Row],[Ratio]]&gt;=2,"Semi-Significant","Significant")))</f>
        <v>Needs Analysis</v>
      </c>
      <c r="W1866" s="1">
        <f>IF(Table1[[#This Row],[Cal Type]]&lt;&gt;"ACCREDITED 17025 WITH UNCERTAINTIES",0,"")</f>
        <v>0</v>
      </c>
      <c r="X1866" s="1" t="str">
        <f>IF(Table1[[#This Row],[DUT Read]]="","N/A",Table1[[#This Row],[Std Error]]+Table1[[#This Row],[DUT Read]]+Table1[[#This Row],[DUT Ucty]])</f>
        <v>N/A</v>
      </c>
      <c r="Y1866" s="1" t="str">
        <f>IF(Table1[[#This Row],[Std Read]]="","N/A",Table1[[#This Row],[Std Read]]+Table1[[#This Row],[Std Ucty]])</f>
        <v>N/A</v>
      </c>
      <c r="Z18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6" s="1" t="str">
        <f>IF(Table1[[#This Row],[Spec Type]]="","N/A",Table1[[#This Row],[Spec Type]])</f>
        <v>±</v>
      </c>
      <c r="AC1866" s="1" t="str">
        <f>IF(Table1[[#This Row],[Spec Type2]]="N/A","N/A",IF(AND(Table1[[#This Row],[DUT Adj Read]]&gt;=Table1[[#This Row],[Low Tol]],Table1[[#This Row],[DUT Adj Read]]&lt;=Table1[[#This Row],[High Tol]]),"Pass","Fail"))</f>
        <v>Fail</v>
      </c>
      <c r="AD1866" s="1" t="str">
        <f>IF(AND(Table1[[#This Row],[Spec Type2]]="N/A",Table1[[#This Row],[DUT Adj Read]]="N/A",Table1[[#This Row],[Std Adj Read]]="N/A"),"N/A",IF(Table1[[#This Row],[DUT Adj Read]]="N/A",IF(Table1[[#This Row],[Std Adj Read]]&gt;Table1[[#This Row],[Low Tol]],"Pass","Fail"),IF(Table1[[#This Row],[DUT Adj Read]]&gt;Table1[[#This Row],[Low Tol]],"Pass","Fail")))</f>
        <v>Pass</v>
      </c>
      <c r="AE1866" s="1" t="str">
        <f>IF(AND(Table1[[#This Row],[Spec Type2]]="N/A",Table1[[#This Row],[DUT Adj Read]]="N/A",Table1[[#This Row],[Std Adj Read]]="N/A"),"N/A",IF(Table1[[#This Row],[DUT Adj Read]]="N/A",IF(Table1[[#This Row],[Std Adj Read]]&lt;Table1[[#This Row],[High Tol]],"Pass","Fail"),IF(Table1[[#This Row],[DUT Adj Read]]&lt;Table1[[#This Row],[High Tol]],"Pass","Fail")))</f>
        <v>Fail</v>
      </c>
      <c r="AF1866" s="1" t="str">
        <f>IF(AND(Table1[[#This Row],[Spec Type2]]="N/A",Table1[[#This Row],[DUT Adj Read]]="N/A",Table1[[#This Row],[Std Adj Read]]="N/A"),"N/A",IF(Table1[[#This Row],[DUT Adj Read]]="N/A",IF(Table1[[#This Row],[Std Adj Read]]&gt;=Table1[[#This Row],[Low Tol]],"Pass","Fail"),IF(Table1[[#This Row],[DUT Adj Read]]&gt;=Table1[[#This Row],[Low Tol]],"Pass","Fail")))</f>
        <v>Pass</v>
      </c>
      <c r="AG1866" s="1" t="str">
        <f>IF(AND(Table1[[#This Row],[Spec Type2]]="N/A",Table1[[#This Row],[DUT Adj Read]]="N/A",Table1[[#This Row],[Std Adj Read]]="N/A"),"N/A",IF(Table1[[#This Row],[DUT Adj Read]]="N/A",IF(Table1[[#This Row],[Std Adj Read]]&lt;=Table1[[#This Row],[High Tol]],"Pass","Fail"),IF(Table1[[#This Row],[DUT Adj Read]]&lt;=Table1[[#This Row],[High Tol]],"Pass","Fail")))</f>
        <v>Fail</v>
      </c>
      <c r="AH18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6" s="1" t="b">
        <v>0</v>
      </c>
      <c r="AN1866" s="1" t="b">
        <v>0</v>
      </c>
      <c r="AO1866" s="1" t="b">
        <v>0</v>
      </c>
    </row>
    <row r="1867" spans="1:41" x14ac:dyDescent="0.25">
      <c r="A1867" s="10"/>
      <c r="B1867" s="10"/>
      <c r="C1867" s="10"/>
      <c r="D1867" s="10"/>
      <c r="E1867" s="10"/>
      <c r="F1867" s="10"/>
      <c r="G1867" s="10"/>
      <c r="H1867" s="10"/>
      <c r="I1867" s="1" t="str">
        <f t="shared" ref="I1867:I1930" si="87">IF($I$10="","",$I$10)</f>
        <v/>
      </c>
      <c r="J1867" s="1" t="s">
        <v>35</v>
      </c>
      <c r="K1867" s="1" t="str">
        <f t="shared" ref="K1867:K1930" si="88">IF($K$10="","",$K$10)</f>
        <v/>
      </c>
      <c r="L1867" s="1" t="str">
        <f t="shared" ref="L1867:L1930" si="89">IF($L$10="","",$L$10)</f>
        <v/>
      </c>
      <c r="M1867" s="1">
        <f>IF(OR(Table1[[#This Row],[Std Nom]]="",Table1[[#This Row],[Std Read]]=""),0,Table1[[#This Row],[Std Nom]]-Table1[[#This Row],[Std Read]])</f>
        <v>0</v>
      </c>
      <c r="N1867" s="1">
        <f>IF(Calculations!$F$5="ACCREDITED 17025 WITH UNCERTAINTIES",$N$10,0)</f>
        <v>0</v>
      </c>
      <c r="Q1867" s="1">
        <f>Table1[[#This Row],[High Tol]]-Table1[[#This Row],[Low Tol]]</f>
        <v>0</v>
      </c>
      <c r="R1867" s="1">
        <f>2*Table1[[#This Row],[Std Error]]</f>
        <v>0</v>
      </c>
      <c r="S1867" s="1" t="str">
        <f>IF(Table1[[#This Row],[High Tol]]="","N/A",IFERROR(ABS(Table1[[#This Row],[Tol Span]]/Table1[[#This Row],[Error Span]]),"N/A"))</f>
        <v>N/A</v>
      </c>
      <c r="T1867" s="1" t="str">
        <f>IF(OR(Table1[[#This Row],[Low Tol]]="",Table1[[#This Row],[High Tol]]=""),"Needs Analysis",IF(Table1[[#This Row],[Ratio]]&gt;=4,"Not Significant",IF(Table1[[#This Row],[Ratio]]&gt;=2,"Semi-Significant","Significant")))</f>
        <v>Needs Analysis</v>
      </c>
      <c r="W1867" s="1">
        <f>IF(Table1[[#This Row],[Cal Type]]&lt;&gt;"ACCREDITED 17025 WITH UNCERTAINTIES",0,"")</f>
        <v>0</v>
      </c>
      <c r="X1867" s="1" t="str">
        <f>IF(Table1[[#This Row],[DUT Read]]="","N/A",Table1[[#This Row],[Std Error]]+Table1[[#This Row],[DUT Read]]+Table1[[#This Row],[DUT Ucty]])</f>
        <v>N/A</v>
      </c>
      <c r="Y1867" s="1" t="str">
        <f>IF(Table1[[#This Row],[Std Read]]="","N/A",Table1[[#This Row],[Std Read]]+Table1[[#This Row],[Std Ucty]])</f>
        <v>N/A</v>
      </c>
      <c r="Z18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7" s="1" t="str">
        <f>IF(Table1[[#This Row],[Spec Type]]="","N/A",Table1[[#This Row],[Spec Type]])</f>
        <v>±</v>
      </c>
      <c r="AC1867" s="1" t="str">
        <f>IF(Table1[[#This Row],[Spec Type2]]="N/A","N/A",IF(AND(Table1[[#This Row],[DUT Adj Read]]&gt;=Table1[[#This Row],[Low Tol]],Table1[[#This Row],[DUT Adj Read]]&lt;=Table1[[#This Row],[High Tol]]),"Pass","Fail"))</f>
        <v>Fail</v>
      </c>
      <c r="AD1867" s="1" t="str">
        <f>IF(AND(Table1[[#This Row],[Spec Type2]]="N/A",Table1[[#This Row],[DUT Adj Read]]="N/A",Table1[[#This Row],[Std Adj Read]]="N/A"),"N/A",IF(Table1[[#This Row],[DUT Adj Read]]="N/A",IF(Table1[[#This Row],[Std Adj Read]]&gt;Table1[[#This Row],[Low Tol]],"Pass","Fail"),IF(Table1[[#This Row],[DUT Adj Read]]&gt;Table1[[#This Row],[Low Tol]],"Pass","Fail")))</f>
        <v>Pass</v>
      </c>
      <c r="AE1867" s="1" t="str">
        <f>IF(AND(Table1[[#This Row],[Spec Type2]]="N/A",Table1[[#This Row],[DUT Adj Read]]="N/A",Table1[[#This Row],[Std Adj Read]]="N/A"),"N/A",IF(Table1[[#This Row],[DUT Adj Read]]="N/A",IF(Table1[[#This Row],[Std Adj Read]]&lt;Table1[[#This Row],[High Tol]],"Pass","Fail"),IF(Table1[[#This Row],[DUT Adj Read]]&lt;Table1[[#This Row],[High Tol]],"Pass","Fail")))</f>
        <v>Fail</v>
      </c>
      <c r="AF1867" s="1" t="str">
        <f>IF(AND(Table1[[#This Row],[Spec Type2]]="N/A",Table1[[#This Row],[DUT Adj Read]]="N/A",Table1[[#This Row],[Std Adj Read]]="N/A"),"N/A",IF(Table1[[#This Row],[DUT Adj Read]]="N/A",IF(Table1[[#This Row],[Std Adj Read]]&gt;=Table1[[#This Row],[Low Tol]],"Pass","Fail"),IF(Table1[[#This Row],[DUT Adj Read]]&gt;=Table1[[#This Row],[Low Tol]],"Pass","Fail")))</f>
        <v>Pass</v>
      </c>
      <c r="AG1867" s="1" t="str">
        <f>IF(AND(Table1[[#This Row],[Spec Type2]]="N/A",Table1[[#This Row],[DUT Adj Read]]="N/A",Table1[[#This Row],[Std Adj Read]]="N/A"),"N/A",IF(Table1[[#This Row],[DUT Adj Read]]="N/A",IF(Table1[[#This Row],[Std Adj Read]]&lt;=Table1[[#This Row],[High Tol]],"Pass","Fail"),IF(Table1[[#This Row],[DUT Adj Read]]&lt;=Table1[[#This Row],[High Tol]],"Pass","Fail")))</f>
        <v>Fail</v>
      </c>
      <c r="AH18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7" s="1" t="b">
        <v>0</v>
      </c>
      <c r="AN1867" s="1" t="b">
        <v>0</v>
      </c>
      <c r="AO1867" s="1" t="b">
        <v>0</v>
      </c>
    </row>
    <row r="1868" spans="1:41" x14ac:dyDescent="0.25">
      <c r="A1868" s="10"/>
      <c r="B1868" s="10"/>
      <c r="C1868" s="10"/>
      <c r="D1868" s="10"/>
      <c r="E1868" s="10"/>
      <c r="F1868" s="10"/>
      <c r="G1868" s="10"/>
      <c r="H1868" s="10"/>
      <c r="I1868" s="1" t="str">
        <f t="shared" si="87"/>
        <v/>
      </c>
      <c r="J1868" s="1" t="s">
        <v>35</v>
      </c>
      <c r="K1868" s="1" t="str">
        <f t="shared" si="88"/>
        <v/>
      </c>
      <c r="L1868" s="1" t="str">
        <f t="shared" si="89"/>
        <v/>
      </c>
      <c r="M1868" s="1">
        <f>IF(OR(Table1[[#This Row],[Std Nom]]="",Table1[[#This Row],[Std Read]]=""),0,Table1[[#This Row],[Std Nom]]-Table1[[#This Row],[Std Read]])</f>
        <v>0</v>
      </c>
      <c r="N1868" s="1">
        <f>IF(Calculations!$F$5="ACCREDITED 17025 WITH UNCERTAINTIES",$N$10,0)</f>
        <v>0</v>
      </c>
      <c r="Q1868" s="1">
        <f>Table1[[#This Row],[High Tol]]-Table1[[#This Row],[Low Tol]]</f>
        <v>0</v>
      </c>
      <c r="R1868" s="1">
        <f>2*Table1[[#This Row],[Std Error]]</f>
        <v>0</v>
      </c>
      <c r="S1868" s="1" t="str">
        <f>IF(Table1[[#This Row],[High Tol]]="","N/A",IFERROR(ABS(Table1[[#This Row],[Tol Span]]/Table1[[#This Row],[Error Span]]),"N/A"))</f>
        <v>N/A</v>
      </c>
      <c r="T1868" s="1" t="str">
        <f>IF(OR(Table1[[#This Row],[Low Tol]]="",Table1[[#This Row],[High Tol]]=""),"Needs Analysis",IF(Table1[[#This Row],[Ratio]]&gt;=4,"Not Significant",IF(Table1[[#This Row],[Ratio]]&gt;=2,"Semi-Significant","Significant")))</f>
        <v>Needs Analysis</v>
      </c>
      <c r="W1868" s="1">
        <f>IF(Table1[[#This Row],[Cal Type]]&lt;&gt;"ACCREDITED 17025 WITH UNCERTAINTIES",0,"")</f>
        <v>0</v>
      </c>
      <c r="X1868" s="1" t="str">
        <f>IF(Table1[[#This Row],[DUT Read]]="","N/A",Table1[[#This Row],[Std Error]]+Table1[[#This Row],[DUT Read]]+Table1[[#This Row],[DUT Ucty]])</f>
        <v>N/A</v>
      </c>
      <c r="Y1868" s="1" t="str">
        <f>IF(Table1[[#This Row],[Std Read]]="","N/A",Table1[[#This Row],[Std Read]]+Table1[[#This Row],[Std Ucty]])</f>
        <v>N/A</v>
      </c>
      <c r="Z18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8" s="1" t="str">
        <f>IF(Table1[[#This Row],[Spec Type]]="","N/A",Table1[[#This Row],[Spec Type]])</f>
        <v>±</v>
      </c>
      <c r="AC1868" s="1" t="str">
        <f>IF(Table1[[#This Row],[Spec Type2]]="N/A","N/A",IF(AND(Table1[[#This Row],[DUT Adj Read]]&gt;=Table1[[#This Row],[Low Tol]],Table1[[#This Row],[DUT Adj Read]]&lt;=Table1[[#This Row],[High Tol]]),"Pass","Fail"))</f>
        <v>Fail</v>
      </c>
      <c r="AD1868" s="1" t="str">
        <f>IF(AND(Table1[[#This Row],[Spec Type2]]="N/A",Table1[[#This Row],[DUT Adj Read]]="N/A",Table1[[#This Row],[Std Adj Read]]="N/A"),"N/A",IF(Table1[[#This Row],[DUT Adj Read]]="N/A",IF(Table1[[#This Row],[Std Adj Read]]&gt;Table1[[#This Row],[Low Tol]],"Pass","Fail"),IF(Table1[[#This Row],[DUT Adj Read]]&gt;Table1[[#This Row],[Low Tol]],"Pass","Fail")))</f>
        <v>Pass</v>
      </c>
      <c r="AE1868" s="1" t="str">
        <f>IF(AND(Table1[[#This Row],[Spec Type2]]="N/A",Table1[[#This Row],[DUT Adj Read]]="N/A",Table1[[#This Row],[Std Adj Read]]="N/A"),"N/A",IF(Table1[[#This Row],[DUT Adj Read]]="N/A",IF(Table1[[#This Row],[Std Adj Read]]&lt;Table1[[#This Row],[High Tol]],"Pass","Fail"),IF(Table1[[#This Row],[DUT Adj Read]]&lt;Table1[[#This Row],[High Tol]],"Pass","Fail")))</f>
        <v>Fail</v>
      </c>
      <c r="AF1868" s="1" t="str">
        <f>IF(AND(Table1[[#This Row],[Spec Type2]]="N/A",Table1[[#This Row],[DUT Adj Read]]="N/A",Table1[[#This Row],[Std Adj Read]]="N/A"),"N/A",IF(Table1[[#This Row],[DUT Adj Read]]="N/A",IF(Table1[[#This Row],[Std Adj Read]]&gt;=Table1[[#This Row],[Low Tol]],"Pass","Fail"),IF(Table1[[#This Row],[DUT Adj Read]]&gt;=Table1[[#This Row],[Low Tol]],"Pass","Fail")))</f>
        <v>Pass</v>
      </c>
      <c r="AG1868" s="1" t="str">
        <f>IF(AND(Table1[[#This Row],[Spec Type2]]="N/A",Table1[[#This Row],[DUT Adj Read]]="N/A",Table1[[#This Row],[Std Adj Read]]="N/A"),"N/A",IF(Table1[[#This Row],[DUT Adj Read]]="N/A",IF(Table1[[#This Row],[Std Adj Read]]&lt;=Table1[[#This Row],[High Tol]],"Pass","Fail"),IF(Table1[[#This Row],[DUT Adj Read]]&lt;=Table1[[#This Row],[High Tol]],"Pass","Fail")))</f>
        <v>Fail</v>
      </c>
      <c r="AH18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8" s="1" t="b">
        <v>0</v>
      </c>
      <c r="AN1868" s="1" t="b">
        <v>0</v>
      </c>
      <c r="AO1868" s="1" t="b">
        <v>0</v>
      </c>
    </row>
    <row r="1869" spans="1:41" x14ac:dyDescent="0.25">
      <c r="A1869" s="10"/>
      <c r="B1869" s="10"/>
      <c r="C1869" s="10"/>
      <c r="D1869" s="10"/>
      <c r="E1869" s="10"/>
      <c r="F1869" s="10"/>
      <c r="G1869" s="10"/>
      <c r="H1869" s="10"/>
      <c r="I1869" s="1" t="str">
        <f t="shared" si="87"/>
        <v/>
      </c>
      <c r="J1869" s="1" t="s">
        <v>35</v>
      </c>
      <c r="K1869" s="1" t="str">
        <f t="shared" si="88"/>
        <v/>
      </c>
      <c r="L1869" s="1" t="str">
        <f t="shared" si="89"/>
        <v/>
      </c>
      <c r="M1869" s="1">
        <f>IF(OR(Table1[[#This Row],[Std Nom]]="",Table1[[#This Row],[Std Read]]=""),0,Table1[[#This Row],[Std Nom]]-Table1[[#This Row],[Std Read]])</f>
        <v>0</v>
      </c>
      <c r="N1869" s="1">
        <f>IF(Calculations!$F$5="ACCREDITED 17025 WITH UNCERTAINTIES",$N$10,0)</f>
        <v>0</v>
      </c>
      <c r="Q1869" s="1">
        <f>Table1[[#This Row],[High Tol]]-Table1[[#This Row],[Low Tol]]</f>
        <v>0</v>
      </c>
      <c r="R1869" s="1">
        <f>2*Table1[[#This Row],[Std Error]]</f>
        <v>0</v>
      </c>
      <c r="S1869" s="1" t="str">
        <f>IF(Table1[[#This Row],[High Tol]]="","N/A",IFERROR(ABS(Table1[[#This Row],[Tol Span]]/Table1[[#This Row],[Error Span]]),"N/A"))</f>
        <v>N/A</v>
      </c>
      <c r="T1869" s="1" t="str">
        <f>IF(OR(Table1[[#This Row],[Low Tol]]="",Table1[[#This Row],[High Tol]]=""),"Needs Analysis",IF(Table1[[#This Row],[Ratio]]&gt;=4,"Not Significant",IF(Table1[[#This Row],[Ratio]]&gt;=2,"Semi-Significant","Significant")))</f>
        <v>Needs Analysis</v>
      </c>
      <c r="W1869" s="1">
        <f>IF(Table1[[#This Row],[Cal Type]]&lt;&gt;"ACCREDITED 17025 WITH UNCERTAINTIES",0,"")</f>
        <v>0</v>
      </c>
      <c r="X1869" s="1" t="str">
        <f>IF(Table1[[#This Row],[DUT Read]]="","N/A",Table1[[#This Row],[Std Error]]+Table1[[#This Row],[DUT Read]]+Table1[[#This Row],[DUT Ucty]])</f>
        <v>N/A</v>
      </c>
      <c r="Y1869" s="1" t="str">
        <f>IF(Table1[[#This Row],[Std Read]]="","N/A",Table1[[#This Row],[Std Read]]+Table1[[#This Row],[Std Ucty]])</f>
        <v>N/A</v>
      </c>
      <c r="Z18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69" s="1" t="str">
        <f>IF(Table1[[#This Row],[Spec Type]]="","N/A",Table1[[#This Row],[Spec Type]])</f>
        <v>±</v>
      </c>
      <c r="AC1869" s="1" t="str">
        <f>IF(Table1[[#This Row],[Spec Type2]]="N/A","N/A",IF(AND(Table1[[#This Row],[DUT Adj Read]]&gt;=Table1[[#This Row],[Low Tol]],Table1[[#This Row],[DUT Adj Read]]&lt;=Table1[[#This Row],[High Tol]]),"Pass","Fail"))</f>
        <v>Fail</v>
      </c>
      <c r="AD1869" s="1" t="str">
        <f>IF(AND(Table1[[#This Row],[Spec Type2]]="N/A",Table1[[#This Row],[DUT Adj Read]]="N/A",Table1[[#This Row],[Std Adj Read]]="N/A"),"N/A",IF(Table1[[#This Row],[DUT Adj Read]]="N/A",IF(Table1[[#This Row],[Std Adj Read]]&gt;Table1[[#This Row],[Low Tol]],"Pass","Fail"),IF(Table1[[#This Row],[DUT Adj Read]]&gt;Table1[[#This Row],[Low Tol]],"Pass","Fail")))</f>
        <v>Pass</v>
      </c>
      <c r="AE1869" s="1" t="str">
        <f>IF(AND(Table1[[#This Row],[Spec Type2]]="N/A",Table1[[#This Row],[DUT Adj Read]]="N/A",Table1[[#This Row],[Std Adj Read]]="N/A"),"N/A",IF(Table1[[#This Row],[DUT Adj Read]]="N/A",IF(Table1[[#This Row],[Std Adj Read]]&lt;Table1[[#This Row],[High Tol]],"Pass","Fail"),IF(Table1[[#This Row],[DUT Adj Read]]&lt;Table1[[#This Row],[High Tol]],"Pass","Fail")))</f>
        <v>Fail</v>
      </c>
      <c r="AF1869" s="1" t="str">
        <f>IF(AND(Table1[[#This Row],[Spec Type2]]="N/A",Table1[[#This Row],[DUT Adj Read]]="N/A",Table1[[#This Row],[Std Adj Read]]="N/A"),"N/A",IF(Table1[[#This Row],[DUT Adj Read]]="N/A",IF(Table1[[#This Row],[Std Adj Read]]&gt;=Table1[[#This Row],[Low Tol]],"Pass","Fail"),IF(Table1[[#This Row],[DUT Adj Read]]&gt;=Table1[[#This Row],[Low Tol]],"Pass","Fail")))</f>
        <v>Pass</v>
      </c>
      <c r="AG1869" s="1" t="str">
        <f>IF(AND(Table1[[#This Row],[Spec Type2]]="N/A",Table1[[#This Row],[DUT Adj Read]]="N/A",Table1[[#This Row],[Std Adj Read]]="N/A"),"N/A",IF(Table1[[#This Row],[DUT Adj Read]]="N/A",IF(Table1[[#This Row],[Std Adj Read]]&lt;=Table1[[#This Row],[High Tol]],"Pass","Fail"),IF(Table1[[#This Row],[DUT Adj Read]]&lt;=Table1[[#This Row],[High Tol]],"Pass","Fail")))</f>
        <v>Fail</v>
      </c>
      <c r="AH18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69" s="1" t="b">
        <v>0</v>
      </c>
      <c r="AN1869" s="1" t="b">
        <v>0</v>
      </c>
      <c r="AO1869" s="1" t="b">
        <v>0</v>
      </c>
    </row>
    <row r="1870" spans="1:41" x14ac:dyDescent="0.25">
      <c r="A1870" s="10"/>
      <c r="B1870" s="10"/>
      <c r="C1870" s="10"/>
      <c r="D1870" s="10"/>
      <c r="E1870" s="10"/>
      <c r="F1870" s="10"/>
      <c r="G1870" s="10"/>
      <c r="H1870" s="10"/>
      <c r="I1870" s="1" t="str">
        <f t="shared" si="87"/>
        <v/>
      </c>
      <c r="J1870" s="1" t="s">
        <v>35</v>
      </c>
      <c r="K1870" s="1" t="str">
        <f t="shared" si="88"/>
        <v/>
      </c>
      <c r="L1870" s="1" t="str">
        <f t="shared" si="89"/>
        <v/>
      </c>
      <c r="M1870" s="1">
        <f>IF(OR(Table1[[#This Row],[Std Nom]]="",Table1[[#This Row],[Std Read]]=""),0,Table1[[#This Row],[Std Nom]]-Table1[[#This Row],[Std Read]])</f>
        <v>0</v>
      </c>
      <c r="N1870" s="1">
        <f>IF(Calculations!$F$5="ACCREDITED 17025 WITH UNCERTAINTIES",$N$10,0)</f>
        <v>0</v>
      </c>
      <c r="Q1870" s="1">
        <f>Table1[[#This Row],[High Tol]]-Table1[[#This Row],[Low Tol]]</f>
        <v>0</v>
      </c>
      <c r="R1870" s="1">
        <f>2*Table1[[#This Row],[Std Error]]</f>
        <v>0</v>
      </c>
      <c r="S1870" s="1" t="str">
        <f>IF(Table1[[#This Row],[High Tol]]="","N/A",IFERROR(ABS(Table1[[#This Row],[Tol Span]]/Table1[[#This Row],[Error Span]]),"N/A"))</f>
        <v>N/A</v>
      </c>
      <c r="T1870" s="1" t="str">
        <f>IF(OR(Table1[[#This Row],[Low Tol]]="",Table1[[#This Row],[High Tol]]=""),"Needs Analysis",IF(Table1[[#This Row],[Ratio]]&gt;=4,"Not Significant",IF(Table1[[#This Row],[Ratio]]&gt;=2,"Semi-Significant","Significant")))</f>
        <v>Needs Analysis</v>
      </c>
      <c r="W1870" s="1">
        <f>IF(Table1[[#This Row],[Cal Type]]&lt;&gt;"ACCREDITED 17025 WITH UNCERTAINTIES",0,"")</f>
        <v>0</v>
      </c>
      <c r="X1870" s="1" t="str">
        <f>IF(Table1[[#This Row],[DUT Read]]="","N/A",Table1[[#This Row],[Std Error]]+Table1[[#This Row],[DUT Read]]+Table1[[#This Row],[DUT Ucty]])</f>
        <v>N/A</v>
      </c>
      <c r="Y1870" s="1" t="str">
        <f>IF(Table1[[#This Row],[Std Read]]="","N/A",Table1[[#This Row],[Std Read]]+Table1[[#This Row],[Std Ucty]])</f>
        <v>N/A</v>
      </c>
      <c r="Z18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0" s="1" t="str">
        <f>IF(Table1[[#This Row],[Spec Type]]="","N/A",Table1[[#This Row],[Spec Type]])</f>
        <v>±</v>
      </c>
      <c r="AC1870" s="1" t="str">
        <f>IF(Table1[[#This Row],[Spec Type2]]="N/A","N/A",IF(AND(Table1[[#This Row],[DUT Adj Read]]&gt;=Table1[[#This Row],[Low Tol]],Table1[[#This Row],[DUT Adj Read]]&lt;=Table1[[#This Row],[High Tol]]),"Pass","Fail"))</f>
        <v>Fail</v>
      </c>
      <c r="AD1870" s="1" t="str">
        <f>IF(AND(Table1[[#This Row],[Spec Type2]]="N/A",Table1[[#This Row],[DUT Adj Read]]="N/A",Table1[[#This Row],[Std Adj Read]]="N/A"),"N/A",IF(Table1[[#This Row],[DUT Adj Read]]="N/A",IF(Table1[[#This Row],[Std Adj Read]]&gt;Table1[[#This Row],[Low Tol]],"Pass","Fail"),IF(Table1[[#This Row],[DUT Adj Read]]&gt;Table1[[#This Row],[Low Tol]],"Pass","Fail")))</f>
        <v>Pass</v>
      </c>
      <c r="AE1870" s="1" t="str">
        <f>IF(AND(Table1[[#This Row],[Spec Type2]]="N/A",Table1[[#This Row],[DUT Adj Read]]="N/A",Table1[[#This Row],[Std Adj Read]]="N/A"),"N/A",IF(Table1[[#This Row],[DUT Adj Read]]="N/A",IF(Table1[[#This Row],[Std Adj Read]]&lt;Table1[[#This Row],[High Tol]],"Pass","Fail"),IF(Table1[[#This Row],[DUT Adj Read]]&lt;Table1[[#This Row],[High Tol]],"Pass","Fail")))</f>
        <v>Fail</v>
      </c>
      <c r="AF1870" s="1" t="str">
        <f>IF(AND(Table1[[#This Row],[Spec Type2]]="N/A",Table1[[#This Row],[DUT Adj Read]]="N/A",Table1[[#This Row],[Std Adj Read]]="N/A"),"N/A",IF(Table1[[#This Row],[DUT Adj Read]]="N/A",IF(Table1[[#This Row],[Std Adj Read]]&gt;=Table1[[#This Row],[Low Tol]],"Pass","Fail"),IF(Table1[[#This Row],[DUT Adj Read]]&gt;=Table1[[#This Row],[Low Tol]],"Pass","Fail")))</f>
        <v>Pass</v>
      </c>
      <c r="AG1870" s="1" t="str">
        <f>IF(AND(Table1[[#This Row],[Spec Type2]]="N/A",Table1[[#This Row],[DUT Adj Read]]="N/A",Table1[[#This Row],[Std Adj Read]]="N/A"),"N/A",IF(Table1[[#This Row],[DUT Adj Read]]="N/A",IF(Table1[[#This Row],[Std Adj Read]]&lt;=Table1[[#This Row],[High Tol]],"Pass","Fail"),IF(Table1[[#This Row],[DUT Adj Read]]&lt;=Table1[[#This Row],[High Tol]],"Pass","Fail")))</f>
        <v>Fail</v>
      </c>
      <c r="AH18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0" s="1" t="b">
        <v>0</v>
      </c>
      <c r="AN1870" s="1" t="b">
        <v>0</v>
      </c>
      <c r="AO1870" s="1" t="b">
        <v>0</v>
      </c>
    </row>
    <row r="1871" spans="1:41" x14ac:dyDescent="0.25">
      <c r="A1871" s="10"/>
      <c r="B1871" s="10"/>
      <c r="C1871" s="10"/>
      <c r="D1871" s="10"/>
      <c r="E1871" s="10"/>
      <c r="F1871" s="10"/>
      <c r="G1871" s="10"/>
      <c r="H1871" s="10"/>
      <c r="I1871" s="1" t="str">
        <f t="shared" si="87"/>
        <v/>
      </c>
      <c r="J1871" s="1" t="s">
        <v>35</v>
      </c>
      <c r="K1871" s="1" t="str">
        <f t="shared" si="88"/>
        <v/>
      </c>
      <c r="L1871" s="1" t="str">
        <f t="shared" si="89"/>
        <v/>
      </c>
      <c r="M1871" s="1">
        <f>IF(OR(Table1[[#This Row],[Std Nom]]="",Table1[[#This Row],[Std Read]]=""),0,Table1[[#This Row],[Std Nom]]-Table1[[#This Row],[Std Read]])</f>
        <v>0</v>
      </c>
      <c r="N1871" s="1">
        <f>IF(Calculations!$F$5="ACCREDITED 17025 WITH UNCERTAINTIES",$N$10,0)</f>
        <v>0</v>
      </c>
      <c r="Q1871" s="1">
        <f>Table1[[#This Row],[High Tol]]-Table1[[#This Row],[Low Tol]]</f>
        <v>0</v>
      </c>
      <c r="R1871" s="1">
        <f>2*Table1[[#This Row],[Std Error]]</f>
        <v>0</v>
      </c>
      <c r="S1871" s="1" t="str">
        <f>IF(Table1[[#This Row],[High Tol]]="","N/A",IFERROR(ABS(Table1[[#This Row],[Tol Span]]/Table1[[#This Row],[Error Span]]),"N/A"))</f>
        <v>N/A</v>
      </c>
      <c r="T1871" s="1" t="str">
        <f>IF(OR(Table1[[#This Row],[Low Tol]]="",Table1[[#This Row],[High Tol]]=""),"Needs Analysis",IF(Table1[[#This Row],[Ratio]]&gt;=4,"Not Significant",IF(Table1[[#This Row],[Ratio]]&gt;=2,"Semi-Significant","Significant")))</f>
        <v>Needs Analysis</v>
      </c>
      <c r="W1871" s="1">
        <f>IF(Table1[[#This Row],[Cal Type]]&lt;&gt;"ACCREDITED 17025 WITH UNCERTAINTIES",0,"")</f>
        <v>0</v>
      </c>
      <c r="X1871" s="1" t="str">
        <f>IF(Table1[[#This Row],[DUT Read]]="","N/A",Table1[[#This Row],[Std Error]]+Table1[[#This Row],[DUT Read]]+Table1[[#This Row],[DUT Ucty]])</f>
        <v>N/A</v>
      </c>
      <c r="Y1871" s="1" t="str">
        <f>IF(Table1[[#This Row],[Std Read]]="","N/A",Table1[[#This Row],[Std Read]]+Table1[[#This Row],[Std Ucty]])</f>
        <v>N/A</v>
      </c>
      <c r="Z18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1" s="1" t="str">
        <f>IF(Table1[[#This Row],[Spec Type]]="","N/A",Table1[[#This Row],[Spec Type]])</f>
        <v>±</v>
      </c>
      <c r="AC1871" s="1" t="str">
        <f>IF(Table1[[#This Row],[Spec Type2]]="N/A","N/A",IF(AND(Table1[[#This Row],[DUT Adj Read]]&gt;=Table1[[#This Row],[Low Tol]],Table1[[#This Row],[DUT Adj Read]]&lt;=Table1[[#This Row],[High Tol]]),"Pass","Fail"))</f>
        <v>Fail</v>
      </c>
      <c r="AD1871" s="1" t="str">
        <f>IF(AND(Table1[[#This Row],[Spec Type2]]="N/A",Table1[[#This Row],[DUT Adj Read]]="N/A",Table1[[#This Row],[Std Adj Read]]="N/A"),"N/A",IF(Table1[[#This Row],[DUT Adj Read]]="N/A",IF(Table1[[#This Row],[Std Adj Read]]&gt;Table1[[#This Row],[Low Tol]],"Pass","Fail"),IF(Table1[[#This Row],[DUT Adj Read]]&gt;Table1[[#This Row],[Low Tol]],"Pass","Fail")))</f>
        <v>Pass</v>
      </c>
      <c r="AE1871" s="1" t="str">
        <f>IF(AND(Table1[[#This Row],[Spec Type2]]="N/A",Table1[[#This Row],[DUT Adj Read]]="N/A",Table1[[#This Row],[Std Adj Read]]="N/A"),"N/A",IF(Table1[[#This Row],[DUT Adj Read]]="N/A",IF(Table1[[#This Row],[Std Adj Read]]&lt;Table1[[#This Row],[High Tol]],"Pass","Fail"),IF(Table1[[#This Row],[DUT Adj Read]]&lt;Table1[[#This Row],[High Tol]],"Pass","Fail")))</f>
        <v>Fail</v>
      </c>
      <c r="AF1871" s="1" t="str">
        <f>IF(AND(Table1[[#This Row],[Spec Type2]]="N/A",Table1[[#This Row],[DUT Adj Read]]="N/A",Table1[[#This Row],[Std Adj Read]]="N/A"),"N/A",IF(Table1[[#This Row],[DUT Adj Read]]="N/A",IF(Table1[[#This Row],[Std Adj Read]]&gt;=Table1[[#This Row],[Low Tol]],"Pass","Fail"),IF(Table1[[#This Row],[DUT Adj Read]]&gt;=Table1[[#This Row],[Low Tol]],"Pass","Fail")))</f>
        <v>Pass</v>
      </c>
      <c r="AG1871" s="1" t="str">
        <f>IF(AND(Table1[[#This Row],[Spec Type2]]="N/A",Table1[[#This Row],[DUT Adj Read]]="N/A",Table1[[#This Row],[Std Adj Read]]="N/A"),"N/A",IF(Table1[[#This Row],[DUT Adj Read]]="N/A",IF(Table1[[#This Row],[Std Adj Read]]&lt;=Table1[[#This Row],[High Tol]],"Pass","Fail"),IF(Table1[[#This Row],[DUT Adj Read]]&lt;=Table1[[#This Row],[High Tol]],"Pass","Fail")))</f>
        <v>Fail</v>
      </c>
      <c r="AH18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1" s="1" t="b">
        <v>0</v>
      </c>
      <c r="AN1871" s="1" t="b">
        <v>0</v>
      </c>
      <c r="AO1871" s="1" t="b">
        <v>0</v>
      </c>
    </row>
    <row r="1872" spans="1:41" x14ac:dyDescent="0.25">
      <c r="A1872" s="10"/>
      <c r="B1872" s="10"/>
      <c r="C1872" s="10"/>
      <c r="D1872" s="10"/>
      <c r="E1872" s="10"/>
      <c r="F1872" s="10"/>
      <c r="G1872" s="10"/>
      <c r="H1872" s="10"/>
      <c r="I1872" s="1" t="str">
        <f t="shared" si="87"/>
        <v/>
      </c>
      <c r="J1872" s="1" t="s">
        <v>35</v>
      </c>
      <c r="K1872" s="1" t="str">
        <f t="shared" si="88"/>
        <v/>
      </c>
      <c r="L1872" s="1" t="str">
        <f t="shared" si="89"/>
        <v/>
      </c>
      <c r="M1872" s="1">
        <f>IF(OR(Table1[[#This Row],[Std Nom]]="",Table1[[#This Row],[Std Read]]=""),0,Table1[[#This Row],[Std Nom]]-Table1[[#This Row],[Std Read]])</f>
        <v>0</v>
      </c>
      <c r="N1872" s="1">
        <f>IF(Calculations!$F$5="ACCREDITED 17025 WITH UNCERTAINTIES",$N$10,0)</f>
        <v>0</v>
      </c>
      <c r="Q1872" s="1">
        <f>Table1[[#This Row],[High Tol]]-Table1[[#This Row],[Low Tol]]</f>
        <v>0</v>
      </c>
      <c r="R1872" s="1">
        <f>2*Table1[[#This Row],[Std Error]]</f>
        <v>0</v>
      </c>
      <c r="S1872" s="1" t="str">
        <f>IF(Table1[[#This Row],[High Tol]]="","N/A",IFERROR(ABS(Table1[[#This Row],[Tol Span]]/Table1[[#This Row],[Error Span]]),"N/A"))</f>
        <v>N/A</v>
      </c>
      <c r="T1872" s="1" t="str">
        <f>IF(OR(Table1[[#This Row],[Low Tol]]="",Table1[[#This Row],[High Tol]]=""),"Needs Analysis",IF(Table1[[#This Row],[Ratio]]&gt;=4,"Not Significant",IF(Table1[[#This Row],[Ratio]]&gt;=2,"Semi-Significant","Significant")))</f>
        <v>Needs Analysis</v>
      </c>
      <c r="W1872" s="1">
        <f>IF(Table1[[#This Row],[Cal Type]]&lt;&gt;"ACCREDITED 17025 WITH UNCERTAINTIES",0,"")</f>
        <v>0</v>
      </c>
      <c r="X1872" s="1" t="str">
        <f>IF(Table1[[#This Row],[DUT Read]]="","N/A",Table1[[#This Row],[Std Error]]+Table1[[#This Row],[DUT Read]]+Table1[[#This Row],[DUT Ucty]])</f>
        <v>N/A</v>
      </c>
      <c r="Y1872" s="1" t="str">
        <f>IF(Table1[[#This Row],[Std Read]]="","N/A",Table1[[#This Row],[Std Read]]+Table1[[#This Row],[Std Ucty]])</f>
        <v>N/A</v>
      </c>
      <c r="Z18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2" s="1" t="str">
        <f>IF(Table1[[#This Row],[Spec Type]]="","N/A",Table1[[#This Row],[Spec Type]])</f>
        <v>±</v>
      </c>
      <c r="AC1872" s="1" t="str">
        <f>IF(Table1[[#This Row],[Spec Type2]]="N/A","N/A",IF(AND(Table1[[#This Row],[DUT Adj Read]]&gt;=Table1[[#This Row],[Low Tol]],Table1[[#This Row],[DUT Adj Read]]&lt;=Table1[[#This Row],[High Tol]]),"Pass","Fail"))</f>
        <v>Fail</v>
      </c>
      <c r="AD1872" s="1" t="str">
        <f>IF(AND(Table1[[#This Row],[Spec Type2]]="N/A",Table1[[#This Row],[DUT Adj Read]]="N/A",Table1[[#This Row],[Std Adj Read]]="N/A"),"N/A",IF(Table1[[#This Row],[DUT Adj Read]]="N/A",IF(Table1[[#This Row],[Std Adj Read]]&gt;Table1[[#This Row],[Low Tol]],"Pass","Fail"),IF(Table1[[#This Row],[DUT Adj Read]]&gt;Table1[[#This Row],[Low Tol]],"Pass","Fail")))</f>
        <v>Pass</v>
      </c>
      <c r="AE1872" s="1" t="str">
        <f>IF(AND(Table1[[#This Row],[Spec Type2]]="N/A",Table1[[#This Row],[DUT Adj Read]]="N/A",Table1[[#This Row],[Std Adj Read]]="N/A"),"N/A",IF(Table1[[#This Row],[DUT Adj Read]]="N/A",IF(Table1[[#This Row],[Std Adj Read]]&lt;Table1[[#This Row],[High Tol]],"Pass","Fail"),IF(Table1[[#This Row],[DUT Adj Read]]&lt;Table1[[#This Row],[High Tol]],"Pass","Fail")))</f>
        <v>Fail</v>
      </c>
      <c r="AF1872" s="1" t="str">
        <f>IF(AND(Table1[[#This Row],[Spec Type2]]="N/A",Table1[[#This Row],[DUT Adj Read]]="N/A",Table1[[#This Row],[Std Adj Read]]="N/A"),"N/A",IF(Table1[[#This Row],[DUT Adj Read]]="N/A",IF(Table1[[#This Row],[Std Adj Read]]&gt;=Table1[[#This Row],[Low Tol]],"Pass","Fail"),IF(Table1[[#This Row],[DUT Adj Read]]&gt;=Table1[[#This Row],[Low Tol]],"Pass","Fail")))</f>
        <v>Pass</v>
      </c>
      <c r="AG1872" s="1" t="str">
        <f>IF(AND(Table1[[#This Row],[Spec Type2]]="N/A",Table1[[#This Row],[DUT Adj Read]]="N/A",Table1[[#This Row],[Std Adj Read]]="N/A"),"N/A",IF(Table1[[#This Row],[DUT Adj Read]]="N/A",IF(Table1[[#This Row],[Std Adj Read]]&lt;=Table1[[#This Row],[High Tol]],"Pass","Fail"),IF(Table1[[#This Row],[DUT Adj Read]]&lt;=Table1[[#This Row],[High Tol]],"Pass","Fail")))</f>
        <v>Fail</v>
      </c>
      <c r="AH18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2" s="1" t="b">
        <v>0</v>
      </c>
      <c r="AN1872" s="1" t="b">
        <v>0</v>
      </c>
      <c r="AO1872" s="1" t="b">
        <v>0</v>
      </c>
    </row>
    <row r="1873" spans="1:41" x14ac:dyDescent="0.25">
      <c r="A1873" s="10"/>
      <c r="B1873" s="10"/>
      <c r="C1873" s="10"/>
      <c r="D1873" s="10"/>
      <c r="E1873" s="10"/>
      <c r="F1873" s="10"/>
      <c r="G1873" s="10"/>
      <c r="H1873" s="10"/>
      <c r="I1873" s="1" t="str">
        <f t="shared" si="87"/>
        <v/>
      </c>
      <c r="J1873" s="1" t="s">
        <v>35</v>
      </c>
      <c r="K1873" s="1" t="str">
        <f t="shared" si="88"/>
        <v/>
      </c>
      <c r="L1873" s="1" t="str">
        <f t="shared" si="89"/>
        <v/>
      </c>
      <c r="M1873" s="1">
        <f>IF(OR(Table1[[#This Row],[Std Nom]]="",Table1[[#This Row],[Std Read]]=""),0,Table1[[#This Row],[Std Nom]]-Table1[[#This Row],[Std Read]])</f>
        <v>0</v>
      </c>
      <c r="N1873" s="1">
        <f>IF(Calculations!$F$5="ACCREDITED 17025 WITH UNCERTAINTIES",$N$10,0)</f>
        <v>0</v>
      </c>
      <c r="Q1873" s="1">
        <f>Table1[[#This Row],[High Tol]]-Table1[[#This Row],[Low Tol]]</f>
        <v>0</v>
      </c>
      <c r="R1873" s="1">
        <f>2*Table1[[#This Row],[Std Error]]</f>
        <v>0</v>
      </c>
      <c r="S1873" s="1" t="str">
        <f>IF(Table1[[#This Row],[High Tol]]="","N/A",IFERROR(ABS(Table1[[#This Row],[Tol Span]]/Table1[[#This Row],[Error Span]]),"N/A"))</f>
        <v>N/A</v>
      </c>
      <c r="T1873" s="1" t="str">
        <f>IF(OR(Table1[[#This Row],[Low Tol]]="",Table1[[#This Row],[High Tol]]=""),"Needs Analysis",IF(Table1[[#This Row],[Ratio]]&gt;=4,"Not Significant",IF(Table1[[#This Row],[Ratio]]&gt;=2,"Semi-Significant","Significant")))</f>
        <v>Needs Analysis</v>
      </c>
      <c r="W1873" s="1">
        <f>IF(Table1[[#This Row],[Cal Type]]&lt;&gt;"ACCREDITED 17025 WITH UNCERTAINTIES",0,"")</f>
        <v>0</v>
      </c>
      <c r="X1873" s="1" t="str">
        <f>IF(Table1[[#This Row],[DUT Read]]="","N/A",Table1[[#This Row],[Std Error]]+Table1[[#This Row],[DUT Read]]+Table1[[#This Row],[DUT Ucty]])</f>
        <v>N/A</v>
      </c>
      <c r="Y1873" s="1" t="str">
        <f>IF(Table1[[#This Row],[Std Read]]="","N/A",Table1[[#This Row],[Std Read]]+Table1[[#This Row],[Std Ucty]])</f>
        <v>N/A</v>
      </c>
      <c r="Z18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3" s="1" t="str">
        <f>IF(Table1[[#This Row],[Spec Type]]="","N/A",Table1[[#This Row],[Spec Type]])</f>
        <v>±</v>
      </c>
      <c r="AC1873" s="1" t="str">
        <f>IF(Table1[[#This Row],[Spec Type2]]="N/A","N/A",IF(AND(Table1[[#This Row],[DUT Adj Read]]&gt;=Table1[[#This Row],[Low Tol]],Table1[[#This Row],[DUT Adj Read]]&lt;=Table1[[#This Row],[High Tol]]),"Pass","Fail"))</f>
        <v>Fail</v>
      </c>
      <c r="AD1873" s="1" t="str">
        <f>IF(AND(Table1[[#This Row],[Spec Type2]]="N/A",Table1[[#This Row],[DUT Adj Read]]="N/A",Table1[[#This Row],[Std Adj Read]]="N/A"),"N/A",IF(Table1[[#This Row],[DUT Adj Read]]="N/A",IF(Table1[[#This Row],[Std Adj Read]]&gt;Table1[[#This Row],[Low Tol]],"Pass","Fail"),IF(Table1[[#This Row],[DUT Adj Read]]&gt;Table1[[#This Row],[Low Tol]],"Pass","Fail")))</f>
        <v>Pass</v>
      </c>
      <c r="AE1873" s="1" t="str">
        <f>IF(AND(Table1[[#This Row],[Spec Type2]]="N/A",Table1[[#This Row],[DUT Adj Read]]="N/A",Table1[[#This Row],[Std Adj Read]]="N/A"),"N/A",IF(Table1[[#This Row],[DUT Adj Read]]="N/A",IF(Table1[[#This Row],[Std Adj Read]]&lt;Table1[[#This Row],[High Tol]],"Pass","Fail"),IF(Table1[[#This Row],[DUT Adj Read]]&lt;Table1[[#This Row],[High Tol]],"Pass","Fail")))</f>
        <v>Fail</v>
      </c>
      <c r="AF1873" s="1" t="str">
        <f>IF(AND(Table1[[#This Row],[Spec Type2]]="N/A",Table1[[#This Row],[DUT Adj Read]]="N/A",Table1[[#This Row],[Std Adj Read]]="N/A"),"N/A",IF(Table1[[#This Row],[DUT Adj Read]]="N/A",IF(Table1[[#This Row],[Std Adj Read]]&gt;=Table1[[#This Row],[Low Tol]],"Pass","Fail"),IF(Table1[[#This Row],[DUT Adj Read]]&gt;=Table1[[#This Row],[Low Tol]],"Pass","Fail")))</f>
        <v>Pass</v>
      </c>
      <c r="AG1873" s="1" t="str">
        <f>IF(AND(Table1[[#This Row],[Spec Type2]]="N/A",Table1[[#This Row],[DUT Adj Read]]="N/A",Table1[[#This Row],[Std Adj Read]]="N/A"),"N/A",IF(Table1[[#This Row],[DUT Adj Read]]="N/A",IF(Table1[[#This Row],[Std Adj Read]]&lt;=Table1[[#This Row],[High Tol]],"Pass","Fail"),IF(Table1[[#This Row],[DUT Adj Read]]&lt;=Table1[[#This Row],[High Tol]],"Pass","Fail")))</f>
        <v>Fail</v>
      </c>
      <c r="AH18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3" s="1" t="b">
        <v>0</v>
      </c>
      <c r="AN1873" s="1" t="b">
        <v>0</v>
      </c>
      <c r="AO1873" s="1" t="b">
        <v>0</v>
      </c>
    </row>
    <row r="1874" spans="1:41" x14ac:dyDescent="0.25">
      <c r="A1874" s="10"/>
      <c r="B1874" s="10"/>
      <c r="C1874" s="10"/>
      <c r="D1874" s="10"/>
      <c r="E1874" s="10"/>
      <c r="F1874" s="10"/>
      <c r="G1874" s="10"/>
      <c r="H1874" s="10"/>
      <c r="I1874" s="1" t="str">
        <f t="shared" si="87"/>
        <v/>
      </c>
      <c r="J1874" s="1" t="s">
        <v>35</v>
      </c>
      <c r="K1874" s="1" t="str">
        <f t="shared" si="88"/>
        <v/>
      </c>
      <c r="L1874" s="1" t="str">
        <f t="shared" si="89"/>
        <v/>
      </c>
      <c r="M1874" s="1">
        <f>IF(OR(Table1[[#This Row],[Std Nom]]="",Table1[[#This Row],[Std Read]]=""),0,Table1[[#This Row],[Std Nom]]-Table1[[#This Row],[Std Read]])</f>
        <v>0</v>
      </c>
      <c r="N1874" s="1">
        <f>IF(Calculations!$F$5="ACCREDITED 17025 WITH UNCERTAINTIES",$N$10,0)</f>
        <v>0</v>
      </c>
      <c r="Q1874" s="1">
        <f>Table1[[#This Row],[High Tol]]-Table1[[#This Row],[Low Tol]]</f>
        <v>0</v>
      </c>
      <c r="R1874" s="1">
        <f>2*Table1[[#This Row],[Std Error]]</f>
        <v>0</v>
      </c>
      <c r="S1874" s="1" t="str">
        <f>IF(Table1[[#This Row],[High Tol]]="","N/A",IFERROR(ABS(Table1[[#This Row],[Tol Span]]/Table1[[#This Row],[Error Span]]),"N/A"))</f>
        <v>N/A</v>
      </c>
      <c r="T1874" s="1" t="str">
        <f>IF(OR(Table1[[#This Row],[Low Tol]]="",Table1[[#This Row],[High Tol]]=""),"Needs Analysis",IF(Table1[[#This Row],[Ratio]]&gt;=4,"Not Significant",IF(Table1[[#This Row],[Ratio]]&gt;=2,"Semi-Significant","Significant")))</f>
        <v>Needs Analysis</v>
      </c>
      <c r="W1874" s="1">
        <f>IF(Table1[[#This Row],[Cal Type]]&lt;&gt;"ACCREDITED 17025 WITH UNCERTAINTIES",0,"")</f>
        <v>0</v>
      </c>
      <c r="X1874" s="1" t="str">
        <f>IF(Table1[[#This Row],[DUT Read]]="","N/A",Table1[[#This Row],[Std Error]]+Table1[[#This Row],[DUT Read]]+Table1[[#This Row],[DUT Ucty]])</f>
        <v>N/A</v>
      </c>
      <c r="Y1874" s="1" t="str">
        <f>IF(Table1[[#This Row],[Std Read]]="","N/A",Table1[[#This Row],[Std Read]]+Table1[[#This Row],[Std Ucty]])</f>
        <v>N/A</v>
      </c>
      <c r="Z18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4" s="1" t="str">
        <f>IF(Table1[[#This Row],[Spec Type]]="","N/A",Table1[[#This Row],[Spec Type]])</f>
        <v>±</v>
      </c>
      <c r="AC1874" s="1" t="str">
        <f>IF(Table1[[#This Row],[Spec Type2]]="N/A","N/A",IF(AND(Table1[[#This Row],[DUT Adj Read]]&gt;=Table1[[#This Row],[Low Tol]],Table1[[#This Row],[DUT Adj Read]]&lt;=Table1[[#This Row],[High Tol]]),"Pass","Fail"))</f>
        <v>Fail</v>
      </c>
      <c r="AD1874" s="1" t="str">
        <f>IF(AND(Table1[[#This Row],[Spec Type2]]="N/A",Table1[[#This Row],[DUT Adj Read]]="N/A",Table1[[#This Row],[Std Adj Read]]="N/A"),"N/A",IF(Table1[[#This Row],[DUT Adj Read]]="N/A",IF(Table1[[#This Row],[Std Adj Read]]&gt;Table1[[#This Row],[Low Tol]],"Pass","Fail"),IF(Table1[[#This Row],[DUT Adj Read]]&gt;Table1[[#This Row],[Low Tol]],"Pass","Fail")))</f>
        <v>Pass</v>
      </c>
      <c r="AE1874" s="1" t="str">
        <f>IF(AND(Table1[[#This Row],[Spec Type2]]="N/A",Table1[[#This Row],[DUT Adj Read]]="N/A",Table1[[#This Row],[Std Adj Read]]="N/A"),"N/A",IF(Table1[[#This Row],[DUT Adj Read]]="N/A",IF(Table1[[#This Row],[Std Adj Read]]&lt;Table1[[#This Row],[High Tol]],"Pass","Fail"),IF(Table1[[#This Row],[DUT Adj Read]]&lt;Table1[[#This Row],[High Tol]],"Pass","Fail")))</f>
        <v>Fail</v>
      </c>
      <c r="AF1874" s="1" t="str">
        <f>IF(AND(Table1[[#This Row],[Spec Type2]]="N/A",Table1[[#This Row],[DUT Adj Read]]="N/A",Table1[[#This Row],[Std Adj Read]]="N/A"),"N/A",IF(Table1[[#This Row],[DUT Adj Read]]="N/A",IF(Table1[[#This Row],[Std Adj Read]]&gt;=Table1[[#This Row],[Low Tol]],"Pass","Fail"),IF(Table1[[#This Row],[DUT Adj Read]]&gt;=Table1[[#This Row],[Low Tol]],"Pass","Fail")))</f>
        <v>Pass</v>
      </c>
      <c r="AG1874" s="1" t="str">
        <f>IF(AND(Table1[[#This Row],[Spec Type2]]="N/A",Table1[[#This Row],[DUT Adj Read]]="N/A",Table1[[#This Row],[Std Adj Read]]="N/A"),"N/A",IF(Table1[[#This Row],[DUT Adj Read]]="N/A",IF(Table1[[#This Row],[Std Adj Read]]&lt;=Table1[[#This Row],[High Tol]],"Pass","Fail"),IF(Table1[[#This Row],[DUT Adj Read]]&lt;=Table1[[#This Row],[High Tol]],"Pass","Fail")))</f>
        <v>Fail</v>
      </c>
      <c r="AH18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4" s="1" t="b">
        <v>0</v>
      </c>
      <c r="AN1874" s="1" t="b">
        <v>0</v>
      </c>
      <c r="AO1874" s="1" t="b">
        <v>0</v>
      </c>
    </row>
    <row r="1875" spans="1:41" x14ac:dyDescent="0.25">
      <c r="A1875" s="10"/>
      <c r="B1875" s="10"/>
      <c r="C1875" s="10"/>
      <c r="D1875" s="10"/>
      <c r="E1875" s="10"/>
      <c r="F1875" s="10"/>
      <c r="G1875" s="10"/>
      <c r="H1875" s="10"/>
      <c r="I1875" s="1" t="str">
        <f t="shared" si="87"/>
        <v/>
      </c>
      <c r="J1875" s="1" t="s">
        <v>35</v>
      </c>
      <c r="K1875" s="1" t="str">
        <f t="shared" si="88"/>
        <v/>
      </c>
      <c r="L1875" s="1" t="str">
        <f t="shared" si="89"/>
        <v/>
      </c>
      <c r="M1875" s="1">
        <f>IF(OR(Table1[[#This Row],[Std Nom]]="",Table1[[#This Row],[Std Read]]=""),0,Table1[[#This Row],[Std Nom]]-Table1[[#This Row],[Std Read]])</f>
        <v>0</v>
      </c>
      <c r="N1875" s="1">
        <f>IF(Calculations!$F$5="ACCREDITED 17025 WITH UNCERTAINTIES",$N$10,0)</f>
        <v>0</v>
      </c>
      <c r="Q1875" s="1">
        <f>Table1[[#This Row],[High Tol]]-Table1[[#This Row],[Low Tol]]</f>
        <v>0</v>
      </c>
      <c r="R1875" s="1">
        <f>2*Table1[[#This Row],[Std Error]]</f>
        <v>0</v>
      </c>
      <c r="S1875" s="1" t="str">
        <f>IF(Table1[[#This Row],[High Tol]]="","N/A",IFERROR(ABS(Table1[[#This Row],[Tol Span]]/Table1[[#This Row],[Error Span]]),"N/A"))</f>
        <v>N/A</v>
      </c>
      <c r="T1875" s="1" t="str">
        <f>IF(OR(Table1[[#This Row],[Low Tol]]="",Table1[[#This Row],[High Tol]]=""),"Needs Analysis",IF(Table1[[#This Row],[Ratio]]&gt;=4,"Not Significant",IF(Table1[[#This Row],[Ratio]]&gt;=2,"Semi-Significant","Significant")))</f>
        <v>Needs Analysis</v>
      </c>
      <c r="W1875" s="1">
        <f>IF(Table1[[#This Row],[Cal Type]]&lt;&gt;"ACCREDITED 17025 WITH UNCERTAINTIES",0,"")</f>
        <v>0</v>
      </c>
      <c r="X1875" s="1" t="str">
        <f>IF(Table1[[#This Row],[DUT Read]]="","N/A",Table1[[#This Row],[Std Error]]+Table1[[#This Row],[DUT Read]]+Table1[[#This Row],[DUT Ucty]])</f>
        <v>N/A</v>
      </c>
      <c r="Y1875" s="1" t="str">
        <f>IF(Table1[[#This Row],[Std Read]]="","N/A",Table1[[#This Row],[Std Read]]+Table1[[#This Row],[Std Ucty]])</f>
        <v>N/A</v>
      </c>
      <c r="Z18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5" s="1" t="str">
        <f>IF(Table1[[#This Row],[Spec Type]]="","N/A",Table1[[#This Row],[Spec Type]])</f>
        <v>±</v>
      </c>
      <c r="AC1875" s="1" t="str">
        <f>IF(Table1[[#This Row],[Spec Type2]]="N/A","N/A",IF(AND(Table1[[#This Row],[DUT Adj Read]]&gt;=Table1[[#This Row],[Low Tol]],Table1[[#This Row],[DUT Adj Read]]&lt;=Table1[[#This Row],[High Tol]]),"Pass","Fail"))</f>
        <v>Fail</v>
      </c>
      <c r="AD1875" s="1" t="str">
        <f>IF(AND(Table1[[#This Row],[Spec Type2]]="N/A",Table1[[#This Row],[DUT Adj Read]]="N/A",Table1[[#This Row],[Std Adj Read]]="N/A"),"N/A",IF(Table1[[#This Row],[DUT Adj Read]]="N/A",IF(Table1[[#This Row],[Std Adj Read]]&gt;Table1[[#This Row],[Low Tol]],"Pass","Fail"),IF(Table1[[#This Row],[DUT Adj Read]]&gt;Table1[[#This Row],[Low Tol]],"Pass","Fail")))</f>
        <v>Pass</v>
      </c>
      <c r="AE1875" s="1" t="str">
        <f>IF(AND(Table1[[#This Row],[Spec Type2]]="N/A",Table1[[#This Row],[DUT Adj Read]]="N/A",Table1[[#This Row],[Std Adj Read]]="N/A"),"N/A",IF(Table1[[#This Row],[DUT Adj Read]]="N/A",IF(Table1[[#This Row],[Std Adj Read]]&lt;Table1[[#This Row],[High Tol]],"Pass","Fail"),IF(Table1[[#This Row],[DUT Adj Read]]&lt;Table1[[#This Row],[High Tol]],"Pass","Fail")))</f>
        <v>Fail</v>
      </c>
      <c r="AF1875" s="1" t="str">
        <f>IF(AND(Table1[[#This Row],[Spec Type2]]="N/A",Table1[[#This Row],[DUT Adj Read]]="N/A",Table1[[#This Row],[Std Adj Read]]="N/A"),"N/A",IF(Table1[[#This Row],[DUT Adj Read]]="N/A",IF(Table1[[#This Row],[Std Adj Read]]&gt;=Table1[[#This Row],[Low Tol]],"Pass","Fail"),IF(Table1[[#This Row],[DUT Adj Read]]&gt;=Table1[[#This Row],[Low Tol]],"Pass","Fail")))</f>
        <v>Pass</v>
      </c>
      <c r="AG1875" s="1" t="str">
        <f>IF(AND(Table1[[#This Row],[Spec Type2]]="N/A",Table1[[#This Row],[DUT Adj Read]]="N/A",Table1[[#This Row],[Std Adj Read]]="N/A"),"N/A",IF(Table1[[#This Row],[DUT Adj Read]]="N/A",IF(Table1[[#This Row],[Std Adj Read]]&lt;=Table1[[#This Row],[High Tol]],"Pass","Fail"),IF(Table1[[#This Row],[DUT Adj Read]]&lt;=Table1[[#This Row],[High Tol]],"Pass","Fail")))</f>
        <v>Fail</v>
      </c>
      <c r="AH18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5" s="1" t="b">
        <v>0</v>
      </c>
      <c r="AN1875" s="1" t="b">
        <v>0</v>
      </c>
      <c r="AO1875" s="1" t="b">
        <v>0</v>
      </c>
    </row>
    <row r="1876" spans="1:41" x14ac:dyDescent="0.25">
      <c r="A1876" s="10"/>
      <c r="B1876" s="10"/>
      <c r="C1876" s="10"/>
      <c r="D1876" s="10"/>
      <c r="E1876" s="10"/>
      <c r="F1876" s="10"/>
      <c r="G1876" s="10"/>
      <c r="H1876" s="10"/>
      <c r="I1876" s="1" t="str">
        <f t="shared" si="87"/>
        <v/>
      </c>
      <c r="J1876" s="1" t="s">
        <v>35</v>
      </c>
      <c r="K1876" s="1" t="str">
        <f t="shared" si="88"/>
        <v/>
      </c>
      <c r="L1876" s="1" t="str">
        <f t="shared" si="89"/>
        <v/>
      </c>
      <c r="M1876" s="1">
        <f>IF(OR(Table1[[#This Row],[Std Nom]]="",Table1[[#This Row],[Std Read]]=""),0,Table1[[#This Row],[Std Nom]]-Table1[[#This Row],[Std Read]])</f>
        <v>0</v>
      </c>
      <c r="N1876" s="1">
        <f>IF(Calculations!$F$5="ACCREDITED 17025 WITH UNCERTAINTIES",$N$10,0)</f>
        <v>0</v>
      </c>
      <c r="Q1876" s="1">
        <f>Table1[[#This Row],[High Tol]]-Table1[[#This Row],[Low Tol]]</f>
        <v>0</v>
      </c>
      <c r="R1876" s="1">
        <f>2*Table1[[#This Row],[Std Error]]</f>
        <v>0</v>
      </c>
      <c r="S1876" s="1" t="str">
        <f>IF(Table1[[#This Row],[High Tol]]="","N/A",IFERROR(ABS(Table1[[#This Row],[Tol Span]]/Table1[[#This Row],[Error Span]]),"N/A"))</f>
        <v>N/A</v>
      </c>
      <c r="T1876" s="1" t="str">
        <f>IF(OR(Table1[[#This Row],[Low Tol]]="",Table1[[#This Row],[High Tol]]=""),"Needs Analysis",IF(Table1[[#This Row],[Ratio]]&gt;=4,"Not Significant",IF(Table1[[#This Row],[Ratio]]&gt;=2,"Semi-Significant","Significant")))</f>
        <v>Needs Analysis</v>
      </c>
      <c r="W1876" s="1">
        <f>IF(Table1[[#This Row],[Cal Type]]&lt;&gt;"ACCREDITED 17025 WITH UNCERTAINTIES",0,"")</f>
        <v>0</v>
      </c>
      <c r="X1876" s="1" t="str">
        <f>IF(Table1[[#This Row],[DUT Read]]="","N/A",Table1[[#This Row],[Std Error]]+Table1[[#This Row],[DUT Read]]+Table1[[#This Row],[DUT Ucty]])</f>
        <v>N/A</v>
      </c>
      <c r="Y1876" s="1" t="str">
        <f>IF(Table1[[#This Row],[Std Read]]="","N/A",Table1[[#This Row],[Std Read]]+Table1[[#This Row],[Std Ucty]])</f>
        <v>N/A</v>
      </c>
      <c r="Z18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6" s="1" t="str">
        <f>IF(Table1[[#This Row],[Spec Type]]="","N/A",Table1[[#This Row],[Spec Type]])</f>
        <v>±</v>
      </c>
      <c r="AC1876" s="1" t="str">
        <f>IF(Table1[[#This Row],[Spec Type2]]="N/A","N/A",IF(AND(Table1[[#This Row],[DUT Adj Read]]&gt;=Table1[[#This Row],[Low Tol]],Table1[[#This Row],[DUT Adj Read]]&lt;=Table1[[#This Row],[High Tol]]),"Pass","Fail"))</f>
        <v>Fail</v>
      </c>
      <c r="AD1876" s="1" t="str">
        <f>IF(AND(Table1[[#This Row],[Spec Type2]]="N/A",Table1[[#This Row],[DUT Adj Read]]="N/A",Table1[[#This Row],[Std Adj Read]]="N/A"),"N/A",IF(Table1[[#This Row],[DUT Adj Read]]="N/A",IF(Table1[[#This Row],[Std Adj Read]]&gt;Table1[[#This Row],[Low Tol]],"Pass","Fail"),IF(Table1[[#This Row],[DUT Adj Read]]&gt;Table1[[#This Row],[Low Tol]],"Pass","Fail")))</f>
        <v>Pass</v>
      </c>
      <c r="AE1876" s="1" t="str">
        <f>IF(AND(Table1[[#This Row],[Spec Type2]]="N/A",Table1[[#This Row],[DUT Adj Read]]="N/A",Table1[[#This Row],[Std Adj Read]]="N/A"),"N/A",IF(Table1[[#This Row],[DUT Adj Read]]="N/A",IF(Table1[[#This Row],[Std Adj Read]]&lt;Table1[[#This Row],[High Tol]],"Pass","Fail"),IF(Table1[[#This Row],[DUT Adj Read]]&lt;Table1[[#This Row],[High Tol]],"Pass","Fail")))</f>
        <v>Fail</v>
      </c>
      <c r="AF1876" s="1" t="str">
        <f>IF(AND(Table1[[#This Row],[Spec Type2]]="N/A",Table1[[#This Row],[DUT Adj Read]]="N/A",Table1[[#This Row],[Std Adj Read]]="N/A"),"N/A",IF(Table1[[#This Row],[DUT Adj Read]]="N/A",IF(Table1[[#This Row],[Std Adj Read]]&gt;=Table1[[#This Row],[Low Tol]],"Pass","Fail"),IF(Table1[[#This Row],[DUT Adj Read]]&gt;=Table1[[#This Row],[Low Tol]],"Pass","Fail")))</f>
        <v>Pass</v>
      </c>
      <c r="AG1876" s="1" t="str">
        <f>IF(AND(Table1[[#This Row],[Spec Type2]]="N/A",Table1[[#This Row],[DUT Adj Read]]="N/A",Table1[[#This Row],[Std Adj Read]]="N/A"),"N/A",IF(Table1[[#This Row],[DUT Adj Read]]="N/A",IF(Table1[[#This Row],[Std Adj Read]]&lt;=Table1[[#This Row],[High Tol]],"Pass","Fail"),IF(Table1[[#This Row],[DUT Adj Read]]&lt;=Table1[[#This Row],[High Tol]],"Pass","Fail")))</f>
        <v>Fail</v>
      </c>
      <c r="AH18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6" s="1" t="b">
        <v>0</v>
      </c>
      <c r="AN1876" s="1" t="b">
        <v>0</v>
      </c>
      <c r="AO1876" s="1" t="b">
        <v>0</v>
      </c>
    </row>
    <row r="1877" spans="1:41" x14ac:dyDescent="0.25">
      <c r="A1877" s="10"/>
      <c r="B1877" s="10"/>
      <c r="C1877" s="10"/>
      <c r="D1877" s="10"/>
      <c r="E1877" s="10"/>
      <c r="F1877" s="10"/>
      <c r="G1877" s="10"/>
      <c r="H1877" s="10"/>
      <c r="I1877" s="1" t="str">
        <f t="shared" si="87"/>
        <v/>
      </c>
      <c r="J1877" s="1" t="s">
        <v>35</v>
      </c>
      <c r="K1877" s="1" t="str">
        <f t="shared" si="88"/>
        <v/>
      </c>
      <c r="L1877" s="1" t="str">
        <f t="shared" si="89"/>
        <v/>
      </c>
      <c r="M1877" s="1">
        <f>IF(OR(Table1[[#This Row],[Std Nom]]="",Table1[[#This Row],[Std Read]]=""),0,Table1[[#This Row],[Std Nom]]-Table1[[#This Row],[Std Read]])</f>
        <v>0</v>
      </c>
      <c r="N1877" s="1">
        <f>IF(Calculations!$F$5="ACCREDITED 17025 WITH UNCERTAINTIES",$N$10,0)</f>
        <v>0</v>
      </c>
      <c r="Q1877" s="1">
        <f>Table1[[#This Row],[High Tol]]-Table1[[#This Row],[Low Tol]]</f>
        <v>0</v>
      </c>
      <c r="R1877" s="1">
        <f>2*Table1[[#This Row],[Std Error]]</f>
        <v>0</v>
      </c>
      <c r="S1877" s="1" t="str">
        <f>IF(Table1[[#This Row],[High Tol]]="","N/A",IFERROR(ABS(Table1[[#This Row],[Tol Span]]/Table1[[#This Row],[Error Span]]),"N/A"))</f>
        <v>N/A</v>
      </c>
      <c r="T1877" s="1" t="str">
        <f>IF(OR(Table1[[#This Row],[Low Tol]]="",Table1[[#This Row],[High Tol]]=""),"Needs Analysis",IF(Table1[[#This Row],[Ratio]]&gt;=4,"Not Significant",IF(Table1[[#This Row],[Ratio]]&gt;=2,"Semi-Significant","Significant")))</f>
        <v>Needs Analysis</v>
      </c>
      <c r="W1877" s="1">
        <f>IF(Table1[[#This Row],[Cal Type]]&lt;&gt;"ACCREDITED 17025 WITH UNCERTAINTIES",0,"")</f>
        <v>0</v>
      </c>
      <c r="X1877" s="1" t="str">
        <f>IF(Table1[[#This Row],[DUT Read]]="","N/A",Table1[[#This Row],[Std Error]]+Table1[[#This Row],[DUT Read]]+Table1[[#This Row],[DUT Ucty]])</f>
        <v>N/A</v>
      </c>
      <c r="Y1877" s="1" t="str">
        <f>IF(Table1[[#This Row],[Std Read]]="","N/A",Table1[[#This Row],[Std Read]]+Table1[[#This Row],[Std Ucty]])</f>
        <v>N/A</v>
      </c>
      <c r="Z18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7" s="1" t="str">
        <f>IF(Table1[[#This Row],[Spec Type]]="","N/A",Table1[[#This Row],[Spec Type]])</f>
        <v>±</v>
      </c>
      <c r="AC1877" s="1" t="str">
        <f>IF(Table1[[#This Row],[Spec Type2]]="N/A","N/A",IF(AND(Table1[[#This Row],[DUT Adj Read]]&gt;=Table1[[#This Row],[Low Tol]],Table1[[#This Row],[DUT Adj Read]]&lt;=Table1[[#This Row],[High Tol]]),"Pass","Fail"))</f>
        <v>Fail</v>
      </c>
      <c r="AD1877" s="1" t="str">
        <f>IF(AND(Table1[[#This Row],[Spec Type2]]="N/A",Table1[[#This Row],[DUT Adj Read]]="N/A",Table1[[#This Row],[Std Adj Read]]="N/A"),"N/A",IF(Table1[[#This Row],[DUT Adj Read]]="N/A",IF(Table1[[#This Row],[Std Adj Read]]&gt;Table1[[#This Row],[Low Tol]],"Pass","Fail"),IF(Table1[[#This Row],[DUT Adj Read]]&gt;Table1[[#This Row],[Low Tol]],"Pass","Fail")))</f>
        <v>Pass</v>
      </c>
      <c r="AE1877" s="1" t="str">
        <f>IF(AND(Table1[[#This Row],[Spec Type2]]="N/A",Table1[[#This Row],[DUT Adj Read]]="N/A",Table1[[#This Row],[Std Adj Read]]="N/A"),"N/A",IF(Table1[[#This Row],[DUT Adj Read]]="N/A",IF(Table1[[#This Row],[Std Adj Read]]&lt;Table1[[#This Row],[High Tol]],"Pass","Fail"),IF(Table1[[#This Row],[DUT Adj Read]]&lt;Table1[[#This Row],[High Tol]],"Pass","Fail")))</f>
        <v>Fail</v>
      </c>
      <c r="AF1877" s="1" t="str">
        <f>IF(AND(Table1[[#This Row],[Spec Type2]]="N/A",Table1[[#This Row],[DUT Adj Read]]="N/A",Table1[[#This Row],[Std Adj Read]]="N/A"),"N/A",IF(Table1[[#This Row],[DUT Adj Read]]="N/A",IF(Table1[[#This Row],[Std Adj Read]]&gt;=Table1[[#This Row],[Low Tol]],"Pass","Fail"),IF(Table1[[#This Row],[DUT Adj Read]]&gt;=Table1[[#This Row],[Low Tol]],"Pass","Fail")))</f>
        <v>Pass</v>
      </c>
      <c r="AG1877" s="1" t="str">
        <f>IF(AND(Table1[[#This Row],[Spec Type2]]="N/A",Table1[[#This Row],[DUT Adj Read]]="N/A",Table1[[#This Row],[Std Adj Read]]="N/A"),"N/A",IF(Table1[[#This Row],[DUT Adj Read]]="N/A",IF(Table1[[#This Row],[Std Adj Read]]&lt;=Table1[[#This Row],[High Tol]],"Pass","Fail"),IF(Table1[[#This Row],[DUT Adj Read]]&lt;=Table1[[#This Row],[High Tol]],"Pass","Fail")))</f>
        <v>Fail</v>
      </c>
      <c r="AH18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7" s="1" t="b">
        <v>0</v>
      </c>
      <c r="AN1877" s="1" t="b">
        <v>0</v>
      </c>
      <c r="AO1877" s="1" t="b">
        <v>0</v>
      </c>
    </row>
    <row r="1878" spans="1:41" x14ac:dyDescent="0.25">
      <c r="A1878" s="10"/>
      <c r="B1878" s="10"/>
      <c r="C1878" s="10"/>
      <c r="D1878" s="10"/>
      <c r="E1878" s="10"/>
      <c r="F1878" s="10"/>
      <c r="G1878" s="10"/>
      <c r="H1878" s="10"/>
      <c r="I1878" s="1" t="str">
        <f t="shared" si="87"/>
        <v/>
      </c>
      <c r="J1878" s="1" t="s">
        <v>35</v>
      </c>
      <c r="K1878" s="1" t="str">
        <f t="shared" si="88"/>
        <v/>
      </c>
      <c r="L1878" s="1" t="str">
        <f t="shared" si="89"/>
        <v/>
      </c>
      <c r="M1878" s="1">
        <f>IF(OR(Table1[[#This Row],[Std Nom]]="",Table1[[#This Row],[Std Read]]=""),0,Table1[[#This Row],[Std Nom]]-Table1[[#This Row],[Std Read]])</f>
        <v>0</v>
      </c>
      <c r="N1878" s="1">
        <f>IF(Calculations!$F$5="ACCREDITED 17025 WITH UNCERTAINTIES",$N$10,0)</f>
        <v>0</v>
      </c>
      <c r="Q1878" s="1">
        <f>Table1[[#This Row],[High Tol]]-Table1[[#This Row],[Low Tol]]</f>
        <v>0</v>
      </c>
      <c r="R1878" s="1">
        <f>2*Table1[[#This Row],[Std Error]]</f>
        <v>0</v>
      </c>
      <c r="S1878" s="1" t="str">
        <f>IF(Table1[[#This Row],[High Tol]]="","N/A",IFERROR(ABS(Table1[[#This Row],[Tol Span]]/Table1[[#This Row],[Error Span]]),"N/A"))</f>
        <v>N/A</v>
      </c>
      <c r="T1878" s="1" t="str">
        <f>IF(OR(Table1[[#This Row],[Low Tol]]="",Table1[[#This Row],[High Tol]]=""),"Needs Analysis",IF(Table1[[#This Row],[Ratio]]&gt;=4,"Not Significant",IF(Table1[[#This Row],[Ratio]]&gt;=2,"Semi-Significant","Significant")))</f>
        <v>Needs Analysis</v>
      </c>
      <c r="W1878" s="1">
        <f>IF(Table1[[#This Row],[Cal Type]]&lt;&gt;"ACCREDITED 17025 WITH UNCERTAINTIES",0,"")</f>
        <v>0</v>
      </c>
      <c r="X1878" s="1" t="str">
        <f>IF(Table1[[#This Row],[DUT Read]]="","N/A",Table1[[#This Row],[Std Error]]+Table1[[#This Row],[DUT Read]]+Table1[[#This Row],[DUT Ucty]])</f>
        <v>N/A</v>
      </c>
      <c r="Y1878" s="1" t="str">
        <f>IF(Table1[[#This Row],[Std Read]]="","N/A",Table1[[#This Row],[Std Read]]+Table1[[#This Row],[Std Ucty]])</f>
        <v>N/A</v>
      </c>
      <c r="Z18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8" s="1" t="str">
        <f>IF(Table1[[#This Row],[Spec Type]]="","N/A",Table1[[#This Row],[Spec Type]])</f>
        <v>±</v>
      </c>
      <c r="AC1878" s="1" t="str">
        <f>IF(Table1[[#This Row],[Spec Type2]]="N/A","N/A",IF(AND(Table1[[#This Row],[DUT Adj Read]]&gt;=Table1[[#This Row],[Low Tol]],Table1[[#This Row],[DUT Adj Read]]&lt;=Table1[[#This Row],[High Tol]]),"Pass","Fail"))</f>
        <v>Fail</v>
      </c>
      <c r="AD1878" s="1" t="str">
        <f>IF(AND(Table1[[#This Row],[Spec Type2]]="N/A",Table1[[#This Row],[DUT Adj Read]]="N/A",Table1[[#This Row],[Std Adj Read]]="N/A"),"N/A",IF(Table1[[#This Row],[DUT Adj Read]]="N/A",IF(Table1[[#This Row],[Std Adj Read]]&gt;Table1[[#This Row],[Low Tol]],"Pass","Fail"),IF(Table1[[#This Row],[DUT Adj Read]]&gt;Table1[[#This Row],[Low Tol]],"Pass","Fail")))</f>
        <v>Pass</v>
      </c>
      <c r="AE1878" s="1" t="str">
        <f>IF(AND(Table1[[#This Row],[Spec Type2]]="N/A",Table1[[#This Row],[DUT Adj Read]]="N/A",Table1[[#This Row],[Std Adj Read]]="N/A"),"N/A",IF(Table1[[#This Row],[DUT Adj Read]]="N/A",IF(Table1[[#This Row],[Std Adj Read]]&lt;Table1[[#This Row],[High Tol]],"Pass","Fail"),IF(Table1[[#This Row],[DUT Adj Read]]&lt;Table1[[#This Row],[High Tol]],"Pass","Fail")))</f>
        <v>Fail</v>
      </c>
      <c r="AF1878" s="1" t="str">
        <f>IF(AND(Table1[[#This Row],[Spec Type2]]="N/A",Table1[[#This Row],[DUT Adj Read]]="N/A",Table1[[#This Row],[Std Adj Read]]="N/A"),"N/A",IF(Table1[[#This Row],[DUT Adj Read]]="N/A",IF(Table1[[#This Row],[Std Adj Read]]&gt;=Table1[[#This Row],[Low Tol]],"Pass","Fail"),IF(Table1[[#This Row],[DUT Adj Read]]&gt;=Table1[[#This Row],[Low Tol]],"Pass","Fail")))</f>
        <v>Pass</v>
      </c>
      <c r="AG1878" s="1" t="str">
        <f>IF(AND(Table1[[#This Row],[Spec Type2]]="N/A",Table1[[#This Row],[DUT Adj Read]]="N/A",Table1[[#This Row],[Std Adj Read]]="N/A"),"N/A",IF(Table1[[#This Row],[DUT Adj Read]]="N/A",IF(Table1[[#This Row],[Std Adj Read]]&lt;=Table1[[#This Row],[High Tol]],"Pass","Fail"),IF(Table1[[#This Row],[DUT Adj Read]]&lt;=Table1[[#This Row],[High Tol]],"Pass","Fail")))</f>
        <v>Fail</v>
      </c>
      <c r="AH18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8" s="1" t="b">
        <v>0</v>
      </c>
      <c r="AN1878" s="1" t="b">
        <v>0</v>
      </c>
      <c r="AO1878" s="1" t="b">
        <v>0</v>
      </c>
    </row>
    <row r="1879" spans="1:41" x14ac:dyDescent="0.25">
      <c r="A1879" s="10"/>
      <c r="B1879" s="10"/>
      <c r="C1879" s="10"/>
      <c r="D1879" s="10"/>
      <c r="E1879" s="10"/>
      <c r="F1879" s="10"/>
      <c r="G1879" s="10"/>
      <c r="H1879" s="10"/>
      <c r="I1879" s="1" t="str">
        <f t="shared" si="87"/>
        <v/>
      </c>
      <c r="J1879" s="1" t="s">
        <v>35</v>
      </c>
      <c r="K1879" s="1" t="str">
        <f t="shared" si="88"/>
        <v/>
      </c>
      <c r="L1879" s="1" t="str">
        <f t="shared" si="89"/>
        <v/>
      </c>
      <c r="M1879" s="1">
        <f>IF(OR(Table1[[#This Row],[Std Nom]]="",Table1[[#This Row],[Std Read]]=""),0,Table1[[#This Row],[Std Nom]]-Table1[[#This Row],[Std Read]])</f>
        <v>0</v>
      </c>
      <c r="N1879" s="1">
        <f>IF(Calculations!$F$5="ACCREDITED 17025 WITH UNCERTAINTIES",$N$10,0)</f>
        <v>0</v>
      </c>
      <c r="Q1879" s="1">
        <f>Table1[[#This Row],[High Tol]]-Table1[[#This Row],[Low Tol]]</f>
        <v>0</v>
      </c>
      <c r="R1879" s="1">
        <f>2*Table1[[#This Row],[Std Error]]</f>
        <v>0</v>
      </c>
      <c r="S1879" s="1" t="str">
        <f>IF(Table1[[#This Row],[High Tol]]="","N/A",IFERROR(ABS(Table1[[#This Row],[Tol Span]]/Table1[[#This Row],[Error Span]]),"N/A"))</f>
        <v>N/A</v>
      </c>
      <c r="T1879" s="1" t="str">
        <f>IF(OR(Table1[[#This Row],[Low Tol]]="",Table1[[#This Row],[High Tol]]=""),"Needs Analysis",IF(Table1[[#This Row],[Ratio]]&gt;=4,"Not Significant",IF(Table1[[#This Row],[Ratio]]&gt;=2,"Semi-Significant","Significant")))</f>
        <v>Needs Analysis</v>
      </c>
      <c r="W1879" s="1">
        <f>IF(Table1[[#This Row],[Cal Type]]&lt;&gt;"ACCREDITED 17025 WITH UNCERTAINTIES",0,"")</f>
        <v>0</v>
      </c>
      <c r="X1879" s="1" t="str">
        <f>IF(Table1[[#This Row],[DUT Read]]="","N/A",Table1[[#This Row],[Std Error]]+Table1[[#This Row],[DUT Read]]+Table1[[#This Row],[DUT Ucty]])</f>
        <v>N/A</v>
      </c>
      <c r="Y1879" s="1" t="str">
        <f>IF(Table1[[#This Row],[Std Read]]="","N/A",Table1[[#This Row],[Std Read]]+Table1[[#This Row],[Std Ucty]])</f>
        <v>N/A</v>
      </c>
      <c r="Z18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79" s="1" t="str">
        <f>IF(Table1[[#This Row],[Spec Type]]="","N/A",Table1[[#This Row],[Spec Type]])</f>
        <v>±</v>
      </c>
      <c r="AC1879" s="1" t="str">
        <f>IF(Table1[[#This Row],[Spec Type2]]="N/A","N/A",IF(AND(Table1[[#This Row],[DUT Adj Read]]&gt;=Table1[[#This Row],[Low Tol]],Table1[[#This Row],[DUT Adj Read]]&lt;=Table1[[#This Row],[High Tol]]),"Pass","Fail"))</f>
        <v>Fail</v>
      </c>
      <c r="AD1879" s="1" t="str">
        <f>IF(AND(Table1[[#This Row],[Spec Type2]]="N/A",Table1[[#This Row],[DUT Adj Read]]="N/A",Table1[[#This Row],[Std Adj Read]]="N/A"),"N/A",IF(Table1[[#This Row],[DUT Adj Read]]="N/A",IF(Table1[[#This Row],[Std Adj Read]]&gt;Table1[[#This Row],[Low Tol]],"Pass","Fail"),IF(Table1[[#This Row],[DUT Adj Read]]&gt;Table1[[#This Row],[Low Tol]],"Pass","Fail")))</f>
        <v>Pass</v>
      </c>
      <c r="AE1879" s="1" t="str">
        <f>IF(AND(Table1[[#This Row],[Spec Type2]]="N/A",Table1[[#This Row],[DUT Adj Read]]="N/A",Table1[[#This Row],[Std Adj Read]]="N/A"),"N/A",IF(Table1[[#This Row],[DUT Adj Read]]="N/A",IF(Table1[[#This Row],[Std Adj Read]]&lt;Table1[[#This Row],[High Tol]],"Pass","Fail"),IF(Table1[[#This Row],[DUT Adj Read]]&lt;Table1[[#This Row],[High Tol]],"Pass","Fail")))</f>
        <v>Fail</v>
      </c>
      <c r="AF1879" s="1" t="str">
        <f>IF(AND(Table1[[#This Row],[Spec Type2]]="N/A",Table1[[#This Row],[DUT Adj Read]]="N/A",Table1[[#This Row],[Std Adj Read]]="N/A"),"N/A",IF(Table1[[#This Row],[DUT Adj Read]]="N/A",IF(Table1[[#This Row],[Std Adj Read]]&gt;=Table1[[#This Row],[Low Tol]],"Pass","Fail"),IF(Table1[[#This Row],[DUT Adj Read]]&gt;=Table1[[#This Row],[Low Tol]],"Pass","Fail")))</f>
        <v>Pass</v>
      </c>
      <c r="AG1879" s="1" t="str">
        <f>IF(AND(Table1[[#This Row],[Spec Type2]]="N/A",Table1[[#This Row],[DUT Adj Read]]="N/A",Table1[[#This Row],[Std Adj Read]]="N/A"),"N/A",IF(Table1[[#This Row],[DUT Adj Read]]="N/A",IF(Table1[[#This Row],[Std Adj Read]]&lt;=Table1[[#This Row],[High Tol]],"Pass","Fail"),IF(Table1[[#This Row],[DUT Adj Read]]&lt;=Table1[[#This Row],[High Tol]],"Pass","Fail")))</f>
        <v>Fail</v>
      </c>
      <c r="AH18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79" s="1" t="b">
        <v>0</v>
      </c>
      <c r="AN1879" s="1" t="b">
        <v>0</v>
      </c>
      <c r="AO1879" s="1" t="b">
        <v>0</v>
      </c>
    </row>
    <row r="1880" spans="1:41" x14ac:dyDescent="0.25">
      <c r="A1880" s="10"/>
      <c r="B1880" s="10"/>
      <c r="C1880" s="10"/>
      <c r="D1880" s="10"/>
      <c r="E1880" s="10"/>
      <c r="F1880" s="10"/>
      <c r="G1880" s="10"/>
      <c r="H1880" s="10"/>
      <c r="I1880" s="1" t="str">
        <f t="shared" si="87"/>
        <v/>
      </c>
      <c r="J1880" s="1" t="s">
        <v>35</v>
      </c>
      <c r="K1880" s="1" t="str">
        <f t="shared" si="88"/>
        <v/>
      </c>
      <c r="L1880" s="1" t="str">
        <f t="shared" si="89"/>
        <v/>
      </c>
      <c r="M1880" s="1">
        <f>IF(OR(Table1[[#This Row],[Std Nom]]="",Table1[[#This Row],[Std Read]]=""),0,Table1[[#This Row],[Std Nom]]-Table1[[#This Row],[Std Read]])</f>
        <v>0</v>
      </c>
      <c r="N1880" s="1">
        <f>IF(Calculations!$F$5="ACCREDITED 17025 WITH UNCERTAINTIES",$N$10,0)</f>
        <v>0</v>
      </c>
      <c r="Q1880" s="1">
        <f>Table1[[#This Row],[High Tol]]-Table1[[#This Row],[Low Tol]]</f>
        <v>0</v>
      </c>
      <c r="R1880" s="1">
        <f>2*Table1[[#This Row],[Std Error]]</f>
        <v>0</v>
      </c>
      <c r="S1880" s="1" t="str">
        <f>IF(Table1[[#This Row],[High Tol]]="","N/A",IFERROR(ABS(Table1[[#This Row],[Tol Span]]/Table1[[#This Row],[Error Span]]),"N/A"))</f>
        <v>N/A</v>
      </c>
      <c r="T1880" s="1" t="str">
        <f>IF(OR(Table1[[#This Row],[Low Tol]]="",Table1[[#This Row],[High Tol]]=""),"Needs Analysis",IF(Table1[[#This Row],[Ratio]]&gt;=4,"Not Significant",IF(Table1[[#This Row],[Ratio]]&gt;=2,"Semi-Significant","Significant")))</f>
        <v>Needs Analysis</v>
      </c>
      <c r="W1880" s="1">
        <f>IF(Table1[[#This Row],[Cal Type]]&lt;&gt;"ACCREDITED 17025 WITH UNCERTAINTIES",0,"")</f>
        <v>0</v>
      </c>
      <c r="X1880" s="1" t="str">
        <f>IF(Table1[[#This Row],[DUT Read]]="","N/A",Table1[[#This Row],[Std Error]]+Table1[[#This Row],[DUT Read]]+Table1[[#This Row],[DUT Ucty]])</f>
        <v>N/A</v>
      </c>
      <c r="Y1880" s="1" t="str">
        <f>IF(Table1[[#This Row],[Std Read]]="","N/A",Table1[[#This Row],[Std Read]]+Table1[[#This Row],[Std Ucty]])</f>
        <v>N/A</v>
      </c>
      <c r="Z18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0" s="1" t="str">
        <f>IF(Table1[[#This Row],[Spec Type]]="","N/A",Table1[[#This Row],[Spec Type]])</f>
        <v>±</v>
      </c>
      <c r="AC1880" s="1" t="str">
        <f>IF(Table1[[#This Row],[Spec Type2]]="N/A","N/A",IF(AND(Table1[[#This Row],[DUT Adj Read]]&gt;=Table1[[#This Row],[Low Tol]],Table1[[#This Row],[DUT Adj Read]]&lt;=Table1[[#This Row],[High Tol]]),"Pass","Fail"))</f>
        <v>Fail</v>
      </c>
      <c r="AD1880" s="1" t="str">
        <f>IF(AND(Table1[[#This Row],[Spec Type2]]="N/A",Table1[[#This Row],[DUT Adj Read]]="N/A",Table1[[#This Row],[Std Adj Read]]="N/A"),"N/A",IF(Table1[[#This Row],[DUT Adj Read]]="N/A",IF(Table1[[#This Row],[Std Adj Read]]&gt;Table1[[#This Row],[Low Tol]],"Pass","Fail"),IF(Table1[[#This Row],[DUT Adj Read]]&gt;Table1[[#This Row],[Low Tol]],"Pass","Fail")))</f>
        <v>Pass</v>
      </c>
      <c r="AE1880" s="1" t="str">
        <f>IF(AND(Table1[[#This Row],[Spec Type2]]="N/A",Table1[[#This Row],[DUT Adj Read]]="N/A",Table1[[#This Row],[Std Adj Read]]="N/A"),"N/A",IF(Table1[[#This Row],[DUT Adj Read]]="N/A",IF(Table1[[#This Row],[Std Adj Read]]&lt;Table1[[#This Row],[High Tol]],"Pass","Fail"),IF(Table1[[#This Row],[DUT Adj Read]]&lt;Table1[[#This Row],[High Tol]],"Pass","Fail")))</f>
        <v>Fail</v>
      </c>
      <c r="AF1880" s="1" t="str">
        <f>IF(AND(Table1[[#This Row],[Spec Type2]]="N/A",Table1[[#This Row],[DUT Adj Read]]="N/A",Table1[[#This Row],[Std Adj Read]]="N/A"),"N/A",IF(Table1[[#This Row],[DUT Adj Read]]="N/A",IF(Table1[[#This Row],[Std Adj Read]]&gt;=Table1[[#This Row],[Low Tol]],"Pass","Fail"),IF(Table1[[#This Row],[DUT Adj Read]]&gt;=Table1[[#This Row],[Low Tol]],"Pass","Fail")))</f>
        <v>Pass</v>
      </c>
      <c r="AG1880" s="1" t="str">
        <f>IF(AND(Table1[[#This Row],[Spec Type2]]="N/A",Table1[[#This Row],[DUT Adj Read]]="N/A",Table1[[#This Row],[Std Adj Read]]="N/A"),"N/A",IF(Table1[[#This Row],[DUT Adj Read]]="N/A",IF(Table1[[#This Row],[Std Adj Read]]&lt;=Table1[[#This Row],[High Tol]],"Pass","Fail"),IF(Table1[[#This Row],[DUT Adj Read]]&lt;=Table1[[#This Row],[High Tol]],"Pass","Fail")))</f>
        <v>Fail</v>
      </c>
      <c r="AH18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0" s="1" t="b">
        <v>0</v>
      </c>
      <c r="AN1880" s="1" t="b">
        <v>0</v>
      </c>
      <c r="AO1880" s="1" t="b">
        <v>0</v>
      </c>
    </row>
    <row r="1881" spans="1:41" x14ac:dyDescent="0.25">
      <c r="A1881" s="10"/>
      <c r="B1881" s="10"/>
      <c r="C1881" s="10"/>
      <c r="D1881" s="10"/>
      <c r="E1881" s="10"/>
      <c r="F1881" s="10"/>
      <c r="G1881" s="10"/>
      <c r="H1881" s="10"/>
      <c r="I1881" s="1" t="str">
        <f t="shared" si="87"/>
        <v/>
      </c>
      <c r="J1881" s="1" t="s">
        <v>35</v>
      </c>
      <c r="K1881" s="1" t="str">
        <f t="shared" si="88"/>
        <v/>
      </c>
      <c r="L1881" s="1" t="str">
        <f t="shared" si="89"/>
        <v/>
      </c>
      <c r="M1881" s="1">
        <f>IF(OR(Table1[[#This Row],[Std Nom]]="",Table1[[#This Row],[Std Read]]=""),0,Table1[[#This Row],[Std Nom]]-Table1[[#This Row],[Std Read]])</f>
        <v>0</v>
      </c>
      <c r="N1881" s="1">
        <f>IF(Calculations!$F$5="ACCREDITED 17025 WITH UNCERTAINTIES",$N$10,0)</f>
        <v>0</v>
      </c>
      <c r="Q1881" s="1">
        <f>Table1[[#This Row],[High Tol]]-Table1[[#This Row],[Low Tol]]</f>
        <v>0</v>
      </c>
      <c r="R1881" s="1">
        <f>2*Table1[[#This Row],[Std Error]]</f>
        <v>0</v>
      </c>
      <c r="S1881" s="1" t="str">
        <f>IF(Table1[[#This Row],[High Tol]]="","N/A",IFERROR(ABS(Table1[[#This Row],[Tol Span]]/Table1[[#This Row],[Error Span]]),"N/A"))</f>
        <v>N/A</v>
      </c>
      <c r="T1881" s="1" t="str">
        <f>IF(OR(Table1[[#This Row],[Low Tol]]="",Table1[[#This Row],[High Tol]]=""),"Needs Analysis",IF(Table1[[#This Row],[Ratio]]&gt;=4,"Not Significant",IF(Table1[[#This Row],[Ratio]]&gt;=2,"Semi-Significant","Significant")))</f>
        <v>Needs Analysis</v>
      </c>
      <c r="W1881" s="1">
        <f>IF(Table1[[#This Row],[Cal Type]]&lt;&gt;"ACCREDITED 17025 WITH UNCERTAINTIES",0,"")</f>
        <v>0</v>
      </c>
      <c r="X1881" s="1" t="str">
        <f>IF(Table1[[#This Row],[DUT Read]]="","N/A",Table1[[#This Row],[Std Error]]+Table1[[#This Row],[DUT Read]]+Table1[[#This Row],[DUT Ucty]])</f>
        <v>N/A</v>
      </c>
      <c r="Y1881" s="1" t="str">
        <f>IF(Table1[[#This Row],[Std Read]]="","N/A",Table1[[#This Row],[Std Read]]+Table1[[#This Row],[Std Ucty]])</f>
        <v>N/A</v>
      </c>
      <c r="Z18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1" s="1" t="str">
        <f>IF(Table1[[#This Row],[Spec Type]]="","N/A",Table1[[#This Row],[Spec Type]])</f>
        <v>±</v>
      </c>
      <c r="AC1881" s="1" t="str">
        <f>IF(Table1[[#This Row],[Spec Type2]]="N/A","N/A",IF(AND(Table1[[#This Row],[DUT Adj Read]]&gt;=Table1[[#This Row],[Low Tol]],Table1[[#This Row],[DUT Adj Read]]&lt;=Table1[[#This Row],[High Tol]]),"Pass","Fail"))</f>
        <v>Fail</v>
      </c>
      <c r="AD1881" s="1" t="str">
        <f>IF(AND(Table1[[#This Row],[Spec Type2]]="N/A",Table1[[#This Row],[DUT Adj Read]]="N/A",Table1[[#This Row],[Std Adj Read]]="N/A"),"N/A",IF(Table1[[#This Row],[DUT Adj Read]]="N/A",IF(Table1[[#This Row],[Std Adj Read]]&gt;Table1[[#This Row],[Low Tol]],"Pass","Fail"),IF(Table1[[#This Row],[DUT Adj Read]]&gt;Table1[[#This Row],[Low Tol]],"Pass","Fail")))</f>
        <v>Pass</v>
      </c>
      <c r="AE1881" s="1" t="str">
        <f>IF(AND(Table1[[#This Row],[Spec Type2]]="N/A",Table1[[#This Row],[DUT Adj Read]]="N/A",Table1[[#This Row],[Std Adj Read]]="N/A"),"N/A",IF(Table1[[#This Row],[DUT Adj Read]]="N/A",IF(Table1[[#This Row],[Std Adj Read]]&lt;Table1[[#This Row],[High Tol]],"Pass","Fail"),IF(Table1[[#This Row],[DUT Adj Read]]&lt;Table1[[#This Row],[High Tol]],"Pass","Fail")))</f>
        <v>Fail</v>
      </c>
      <c r="AF1881" s="1" t="str">
        <f>IF(AND(Table1[[#This Row],[Spec Type2]]="N/A",Table1[[#This Row],[DUT Adj Read]]="N/A",Table1[[#This Row],[Std Adj Read]]="N/A"),"N/A",IF(Table1[[#This Row],[DUT Adj Read]]="N/A",IF(Table1[[#This Row],[Std Adj Read]]&gt;=Table1[[#This Row],[Low Tol]],"Pass","Fail"),IF(Table1[[#This Row],[DUT Adj Read]]&gt;=Table1[[#This Row],[Low Tol]],"Pass","Fail")))</f>
        <v>Pass</v>
      </c>
      <c r="AG1881" s="1" t="str">
        <f>IF(AND(Table1[[#This Row],[Spec Type2]]="N/A",Table1[[#This Row],[DUT Adj Read]]="N/A",Table1[[#This Row],[Std Adj Read]]="N/A"),"N/A",IF(Table1[[#This Row],[DUT Adj Read]]="N/A",IF(Table1[[#This Row],[Std Adj Read]]&lt;=Table1[[#This Row],[High Tol]],"Pass","Fail"),IF(Table1[[#This Row],[DUT Adj Read]]&lt;=Table1[[#This Row],[High Tol]],"Pass","Fail")))</f>
        <v>Fail</v>
      </c>
      <c r="AH18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1" s="1" t="b">
        <v>0</v>
      </c>
      <c r="AN1881" s="1" t="b">
        <v>0</v>
      </c>
      <c r="AO1881" s="1" t="b">
        <v>0</v>
      </c>
    </row>
    <row r="1882" spans="1:41" x14ac:dyDescent="0.25">
      <c r="A1882" s="10"/>
      <c r="B1882" s="10"/>
      <c r="C1882" s="10"/>
      <c r="D1882" s="10"/>
      <c r="E1882" s="10"/>
      <c r="F1882" s="10"/>
      <c r="G1882" s="10"/>
      <c r="H1882" s="10"/>
      <c r="I1882" s="1" t="str">
        <f t="shared" si="87"/>
        <v/>
      </c>
      <c r="J1882" s="1" t="s">
        <v>35</v>
      </c>
      <c r="K1882" s="1" t="str">
        <f t="shared" si="88"/>
        <v/>
      </c>
      <c r="L1882" s="1" t="str">
        <f t="shared" si="89"/>
        <v/>
      </c>
      <c r="M1882" s="1">
        <f>IF(OR(Table1[[#This Row],[Std Nom]]="",Table1[[#This Row],[Std Read]]=""),0,Table1[[#This Row],[Std Nom]]-Table1[[#This Row],[Std Read]])</f>
        <v>0</v>
      </c>
      <c r="N1882" s="1">
        <f>IF(Calculations!$F$5="ACCREDITED 17025 WITH UNCERTAINTIES",$N$10,0)</f>
        <v>0</v>
      </c>
      <c r="Q1882" s="1">
        <f>Table1[[#This Row],[High Tol]]-Table1[[#This Row],[Low Tol]]</f>
        <v>0</v>
      </c>
      <c r="R1882" s="1">
        <f>2*Table1[[#This Row],[Std Error]]</f>
        <v>0</v>
      </c>
      <c r="S1882" s="1" t="str">
        <f>IF(Table1[[#This Row],[High Tol]]="","N/A",IFERROR(ABS(Table1[[#This Row],[Tol Span]]/Table1[[#This Row],[Error Span]]),"N/A"))</f>
        <v>N/A</v>
      </c>
      <c r="T1882" s="1" t="str">
        <f>IF(OR(Table1[[#This Row],[Low Tol]]="",Table1[[#This Row],[High Tol]]=""),"Needs Analysis",IF(Table1[[#This Row],[Ratio]]&gt;=4,"Not Significant",IF(Table1[[#This Row],[Ratio]]&gt;=2,"Semi-Significant","Significant")))</f>
        <v>Needs Analysis</v>
      </c>
      <c r="W1882" s="1">
        <f>IF(Table1[[#This Row],[Cal Type]]&lt;&gt;"ACCREDITED 17025 WITH UNCERTAINTIES",0,"")</f>
        <v>0</v>
      </c>
      <c r="X1882" s="1" t="str">
        <f>IF(Table1[[#This Row],[DUT Read]]="","N/A",Table1[[#This Row],[Std Error]]+Table1[[#This Row],[DUT Read]]+Table1[[#This Row],[DUT Ucty]])</f>
        <v>N/A</v>
      </c>
      <c r="Y1882" s="1" t="str">
        <f>IF(Table1[[#This Row],[Std Read]]="","N/A",Table1[[#This Row],[Std Read]]+Table1[[#This Row],[Std Ucty]])</f>
        <v>N/A</v>
      </c>
      <c r="Z18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2" s="1" t="str">
        <f>IF(Table1[[#This Row],[Spec Type]]="","N/A",Table1[[#This Row],[Spec Type]])</f>
        <v>±</v>
      </c>
      <c r="AC1882" s="1" t="str">
        <f>IF(Table1[[#This Row],[Spec Type2]]="N/A","N/A",IF(AND(Table1[[#This Row],[DUT Adj Read]]&gt;=Table1[[#This Row],[Low Tol]],Table1[[#This Row],[DUT Adj Read]]&lt;=Table1[[#This Row],[High Tol]]),"Pass","Fail"))</f>
        <v>Fail</v>
      </c>
      <c r="AD1882" s="1" t="str">
        <f>IF(AND(Table1[[#This Row],[Spec Type2]]="N/A",Table1[[#This Row],[DUT Adj Read]]="N/A",Table1[[#This Row],[Std Adj Read]]="N/A"),"N/A",IF(Table1[[#This Row],[DUT Adj Read]]="N/A",IF(Table1[[#This Row],[Std Adj Read]]&gt;Table1[[#This Row],[Low Tol]],"Pass","Fail"),IF(Table1[[#This Row],[DUT Adj Read]]&gt;Table1[[#This Row],[Low Tol]],"Pass","Fail")))</f>
        <v>Pass</v>
      </c>
      <c r="AE1882" s="1" t="str">
        <f>IF(AND(Table1[[#This Row],[Spec Type2]]="N/A",Table1[[#This Row],[DUT Adj Read]]="N/A",Table1[[#This Row],[Std Adj Read]]="N/A"),"N/A",IF(Table1[[#This Row],[DUT Adj Read]]="N/A",IF(Table1[[#This Row],[Std Adj Read]]&lt;Table1[[#This Row],[High Tol]],"Pass","Fail"),IF(Table1[[#This Row],[DUT Adj Read]]&lt;Table1[[#This Row],[High Tol]],"Pass","Fail")))</f>
        <v>Fail</v>
      </c>
      <c r="AF1882" s="1" t="str">
        <f>IF(AND(Table1[[#This Row],[Spec Type2]]="N/A",Table1[[#This Row],[DUT Adj Read]]="N/A",Table1[[#This Row],[Std Adj Read]]="N/A"),"N/A",IF(Table1[[#This Row],[DUT Adj Read]]="N/A",IF(Table1[[#This Row],[Std Adj Read]]&gt;=Table1[[#This Row],[Low Tol]],"Pass","Fail"),IF(Table1[[#This Row],[DUT Adj Read]]&gt;=Table1[[#This Row],[Low Tol]],"Pass","Fail")))</f>
        <v>Pass</v>
      </c>
      <c r="AG1882" s="1" t="str">
        <f>IF(AND(Table1[[#This Row],[Spec Type2]]="N/A",Table1[[#This Row],[DUT Adj Read]]="N/A",Table1[[#This Row],[Std Adj Read]]="N/A"),"N/A",IF(Table1[[#This Row],[DUT Adj Read]]="N/A",IF(Table1[[#This Row],[Std Adj Read]]&lt;=Table1[[#This Row],[High Tol]],"Pass","Fail"),IF(Table1[[#This Row],[DUT Adj Read]]&lt;=Table1[[#This Row],[High Tol]],"Pass","Fail")))</f>
        <v>Fail</v>
      </c>
      <c r="AH18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2" s="1" t="b">
        <v>0</v>
      </c>
      <c r="AN1882" s="1" t="b">
        <v>0</v>
      </c>
      <c r="AO1882" s="1" t="b">
        <v>0</v>
      </c>
    </row>
    <row r="1883" spans="1:41" x14ac:dyDescent="0.25">
      <c r="A1883" s="10"/>
      <c r="B1883" s="10"/>
      <c r="C1883" s="10"/>
      <c r="D1883" s="10"/>
      <c r="E1883" s="10"/>
      <c r="F1883" s="10"/>
      <c r="G1883" s="10"/>
      <c r="H1883" s="10"/>
      <c r="I1883" s="1" t="str">
        <f t="shared" si="87"/>
        <v/>
      </c>
      <c r="J1883" s="1" t="s">
        <v>35</v>
      </c>
      <c r="K1883" s="1" t="str">
        <f t="shared" si="88"/>
        <v/>
      </c>
      <c r="L1883" s="1" t="str">
        <f t="shared" si="89"/>
        <v/>
      </c>
      <c r="M1883" s="1">
        <f>IF(OR(Table1[[#This Row],[Std Nom]]="",Table1[[#This Row],[Std Read]]=""),0,Table1[[#This Row],[Std Nom]]-Table1[[#This Row],[Std Read]])</f>
        <v>0</v>
      </c>
      <c r="N1883" s="1">
        <f>IF(Calculations!$F$5="ACCREDITED 17025 WITH UNCERTAINTIES",$N$10,0)</f>
        <v>0</v>
      </c>
      <c r="Q1883" s="1">
        <f>Table1[[#This Row],[High Tol]]-Table1[[#This Row],[Low Tol]]</f>
        <v>0</v>
      </c>
      <c r="R1883" s="1">
        <f>2*Table1[[#This Row],[Std Error]]</f>
        <v>0</v>
      </c>
      <c r="S1883" s="1" t="str">
        <f>IF(Table1[[#This Row],[High Tol]]="","N/A",IFERROR(ABS(Table1[[#This Row],[Tol Span]]/Table1[[#This Row],[Error Span]]),"N/A"))</f>
        <v>N/A</v>
      </c>
      <c r="T1883" s="1" t="str">
        <f>IF(OR(Table1[[#This Row],[Low Tol]]="",Table1[[#This Row],[High Tol]]=""),"Needs Analysis",IF(Table1[[#This Row],[Ratio]]&gt;=4,"Not Significant",IF(Table1[[#This Row],[Ratio]]&gt;=2,"Semi-Significant","Significant")))</f>
        <v>Needs Analysis</v>
      </c>
      <c r="W1883" s="1">
        <f>IF(Table1[[#This Row],[Cal Type]]&lt;&gt;"ACCREDITED 17025 WITH UNCERTAINTIES",0,"")</f>
        <v>0</v>
      </c>
      <c r="X1883" s="1" t="str">
        <f>IF(Table1[[#This Row],[DUT Read]]="","N/A",Table1[[#This Row],[Std Error]]+Table1[[#This Row],[DUT Read]]+Table1[[#This Row],[DUT Ucty]])</f>
        <v>N/A</v>
      </c>
      <c r="Y1883" s="1" t="str">
        <f>IF(Table1[[#This Row],[Std Read]]="","N/A",Table1[[#This Row],[Std Read]]+Table1[[#This Row],[Std Ucty]])</f>
        <v>N/A</v>
      </c>
      <c r="Z18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3" s="1" t="str">
        <f>IF(Table1[[#This Row],[Spec Type]]="","N/A",Table1[[#This Row],[Spec Type]])</f>
        <v>±</v>
      </c>
      <c r="AC1883" s="1" t="str">
        <f>IF(Table1[[#This Row],[Spec Type2]]="N/A","N/A",IF(AND(Table1[[#This Row],[DUT Adj Read]]&gt;=Table1[[#This Row],[Low Tol]],Table1[[#This Row],[DUT Adj Read]]&lt;=Table1[[#This Row],[High Tol]]),"Pass","Fail"))</f>
        <v>Fail</v>
      </c>
      <c r="AD1883" s="1" t="str">
        <f>IF(AND(Table1[[#This Row],[Spec Type2]]="N/A",Table1[[#This Row],[DUT Adj Read]]="N/A",Table1[[#This Row],[Std Adj Read]]="N/A"),"N/A",IF(Table1[[#This Row],[DUT Adj Read]]="N/A",IF(Table1[[#This Row],[Std Adj Read]]&gt;Table1[[#This Row],[Low Tol]],"Pass","Fail"),IF(Table1[[#This Row],[DUT Adj Read]]&gt;Table1[[#This Row],[Low Tol]],"Pass","Fail")))</f>
        <v>Pass</v>
      </c>
      <c r="AE1883" s="1" t="str">
        <f>IF(AND(Table1[[#This Row],[Spec Type2]]="N/A",Table1[[#This Row],[DUT Adj Read]]="N/A",Table1[[#This Row],[Std Adj Read]]="N/A"),"N/A",IF(Table1[[#This Row],[DUT Adj Read]]="N/A",IF(Table1[[#This Row],[Std Adj Read]]&lt;Table1[[#This Row],[High Tol]],"Pass","Fail"),IF(Table1[[#This Row],[DUT Adj Read]]&lt;Table1[[#This Row],[High Tol]],"Pass","Fail")))</f>
        <v>Fail</v>
      </c>
      <c r="AF1883" s="1" t="str">
        <f>IF(AND(Table1[[#This Row],[Spec Type2]]="N/A",Table1[[#This Row],[DUT Adj Read]]="N/A",Table1[[#This Row],[Std Adj Read]]="N/A"),"N/A",IF(Table1[[#This Row],[DUT Adj Read]]="N/A",IF(Table1[[#This Row],[Std Adj Read]]&gt;=Table1[[#This Row],[Low Tol]],"Pass","Fail"),IF(Table1[[#This Row],[DUT Adj Read]]&gt;=Table1[[#This Row],[Low Tol]],"Pass","Fail")))</f>
        <v>Pass</v>
      </c>
      <c r="AG1883" s="1" t="str">
        <f>IF(AND(Table1[[#This Row],[Spec Type2]]="N/A",Table1[[#This Row],[DUT Adj Read]]="N/A",Table1[[#This Row],[Std Adj Read]]="N/A"),"N/A",IF(Table1[[#This Row],[DUT Adj Read]]="N/A",IF(Table1[[#This Row],[Std Adj Read]]&lt;=Table1[[#This Row],[High Tol]],"Pass","Fail"),IF(Table1[[#This Row],[DUT Adj Read]]&lt;=Table1[[#This Row],[High Tol]],"Pass","Fail")))</f>
        <v>Fail</v>
      </c>
      <c r="AH18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3" s="1" t="b">
        <v>0</v>
      </c>
      <c r="AN1883" s="1" t="b">
        <v>0</v>
      </c>
      <c r="AO1883" s="1" t="b">
        <v>0</v>
      </c>
    </row>
    <row r="1884" spans="1:41" x14ac:dyDescent="0.25">
      <c r="A1884" s="10"/>
      <c r="B1884" s="10"/>
      <c r="C1884" s="10"/>
      <c r="D1884" s="10"/>
      <c r="E1884" s="10"/>
      <c r="F1884" s="10"/>
      <c r="G1884" s="10"/>
      <c r="H1884" s="10"/>
      <c r="I1884" s="1" t="str">
        <f t="shared" si="87"/>
        <v/>
      </c>
      <c r="J1884" s="1" t="s">
        <v>35</v>
      </c>
      <c r="K1884" s="1" t="str">
        <f t="shared" si="88"/>
        <v/>
      </c>
      <c r="L1884" s="1" t="str">
        <f t="shared" si="89"/>
        <v/>
      </c>
      <c r="M1884" s="1">
        <f>IF(OR(Table1[[#This Row],[Std Nom]]="",Table1[[#This Row],[Std Read]]=""),0,Table1[[#This Row],[Std Nom]]-Table1[[#This Row],[Std Read]])</f>
        <v>0</v>
      </c>
      <c r="N1884" s="1">
        <f>IF(Calculations!$F$5="ACCREDITED 17025 WITH UNCERTAINTIES",$N$10,0)</f>
        <v>0</v>
      </c>
      <c r="Q1884" s="1">
        <f>Table1[[#This Row],[High Tol]]-Table1[[#This Row],[Low Tol]]</f>
        <v>0</v>
      </c>
      <c r="R1884" s="1">
        <f>2*Table1[[#This Row],[Std Error]]</f>
        <v>0</v>
      </c>
      <c r="S1884" s="1" t="str">
        <f>IF(Table1[[#This Row],[High Tol]]="","N/A",IFERROR(ABS(Table1[[#This Row],[Tol Span]]/Table1[[#This Row],[Error Span]]),"N/A"))</f>
        <v>N/A</v>
      </c>
      <c r="T1884" s="1" t="str">
        <f>IF(OR(Table1[[#This Row],[Low Tol]]="",Table1[[#This Row],[High Tol]]=""),"Needs Analysis",IF(Table1[[#This Row],[Ratio]]&gt;=4,"Not Significant",IF(Table1[[#This Row],[Ratio]]&gt;=2,"Semi-Significant","Significant")))</f>
        <v>Needs Analysis</v>
      </c>
      <c r="W1884" s="1">
        <f>IF(Table1[[#This Row],[Cal Type]]&lt;&gt;"ACCREDITED 17025 WITH UNCERTAINTIES",0,"")</f>
        <v>0</v>
      </c>
      <c r="X1884" s="1" t="str">
        <f>IF(Table1[[#This Row],[DUT Read]]="","N/A",Table1[[#This Row],[Std Error]]+Table1[[#This Row],[DUT Read]]+Table1[[#This Row],[DUT Ucty]])</f>
        <v>N/A</v>
      </c>
      <c r="Y1884" s="1" t="str">
        <f>IF(Table1[[#This Row],[Std Read]]="","N/A",Table1[[#This Row],[Std Read]]+Table1[[#This Row],[Std Ucty]])</f>
        <v>N/A</v>
      </c>
      <c r="Z18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4" s="1" t="str">
        <f>IF(Table1[[#This Row],[Spec Type]]="","N/A",Table1[[#This Row],[Spec Type]])</f>
        <v>±</v>
      </c>
      <c r="AC1884" s="1" t="str">
        <f>IF(Table1[[#This Row],[Spec Type2]]="N/A","N/A",IF(AND(Table1[[#This Row],[DUT Adj Read]]&gt;=Table1[[#This Row],[Low Tol]],Table1[[#This Row],[DUT Adj Read]]&lt;=Table1[[#This Row],[High Tol]]),"Pass","Fail"))</f>
        <v>Fail</v>
      </c>
      <c r="AD1884" s="1" t="str">
        <f>IF(AND(Table1[[#This Row],[Spec Type2]]="N/A",Table1[[#This Row],[DUT Adj Read]]="N/A",Table1[[#This Row],[Std Adj Read]]="N/A"),"N/A",IF(Table1[[#This Row],[DUT Adj Read]]="N/A",IF(Table1[[#This Row],[Std Adj Read]]&gt;Table1[[#This Row],[Low Tol]],"Pass","Fail"),IF(Table1[[#This Row],[DUT Adj Read]]&gt;Table1[[#This Row],[Low Tol]],"Pass","Fail")))</f>
        <v>Pass</v>
      </c>
      <c r="AE1884" s="1" t="str">
        <f>IF(AND(Table1[[#This Row],[Spec Type2]]="N/A",Table1[[#This Row],[DUT Adj Read]]="N/A",Table1[[#This Row],[Std Adj Read]]="N/A"),"N/A",IF(Table1[[#This Row],[DUT Adj Read]]="N/A",IF(Table1[[#This Row],[Std Adj Read]]&lt;Table1[[#This Row],[High Tol]],"Pass","Fail"),IF(Table1[[#This Row],[DUT Adj Read]]&lt;Table1[[#This Row],[High Tol]],"Pass","Fail")))</f>
        <v>Fail</v>
      </c>
      <c r="AF1884" s="1" t="str">
        <f>IF(AND(Table1[[#This Row],[Spec Type2]]="N/A",Table1[[#This Row],[DUT Adj Read]]="N/A",Table1[[#This Row],[Std Adj Read]]="N/A"),"N/A",IF(Table1[[#This Row],[DUT Adj Read]]="N/A",IF(Table1[[#This Row],[Std Adj Read]]&gt;=Table1[[#This Row],[Low Tol]],"Pass","Fail"),IF(Table1[[#This Row],[DUT Adj Read]]&gt;=Table1[[#This Row],[Low Tol]],"Pass","Fail")))</f>
        <v>Pass</v>
      </c>
      <c r="AG1884" s="1" t="str">
        <f>IF(AND(Table1[[#This Row],[Spec Type2]]="N/A",Table1[[#This Row],[DUT Adj Read]]="N/A",Table1[[#This Row],[Std Adj Read]]="N/A"),"N/A",IF(Table1[[#This Row],[DUT Adj Read]]="N/A",IF(Table1[[#This Row],[Std Adj Read]]&lt;=Table1[[#This Row],[High Tol]],"Pass","Fail"),IF(Table1[[#This Row],[DUT Adj Read]]&lt;=Table1[[#This Row],[High Tol]],"Pass","Fail")))</f>
        <v>Fail</v>
      </c>
      <c r="AH18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4" s="1" t="b">
        <v>0</v>
      </c>
      <c r="AN1884" s="1" t="b">
        <v>0</v>
      </c>
      <c r="AO1884" s="1" t="b">
        <v>0</v>
      </c>
    </row>
    <row r="1885" spans="1:41" x14ac:dyDescent="0.25">
      <c r="A1885" s="10"/>
      <c r="B1885" s="10"/>
      <c r="C1885" s="10"/>
      <c r="D1885" s="10"/>
      <c r="E1885" s="10"/>
      <c r="F1885" s="10"/>
      <c r="G1885" s="10"/>
      <c r="H1885" s="10"/>
      <c r="I1885" s="1" t="str">
        <f t="shared" si="87"/>
        <v/>
      </c>
      <c r="J1885" s="1" t="s">
        <v>35</v>
      </c>
      <c r="K1885" s="1" t="str">
        <f t="shared" si="88"/>
        <v/>
      </c>
      <c r="L1885" s="1" t="str">
        <f t="shared" si="89"/>
        <v/>
      </c>
      <c r="M1885" s="1">
        <f>IF(OR(Table1[[#This Row],[Std Nom]]="",Table1[[#This Row],[Std Read]]=""),0,Table1[[#This Row],[Std Nom]]-Table1[[#This Row],[Std Read]])</f>
        <v>0</v>
      </c>
      <c r="N1885" s="1">
        <f>IF(Calculations!$F$5="ACCREDITED 17025 WITH UNCERTAINTIES",$N$10,0)</f>
        <v>0</v>
      </c>
      <c r="Q1885" s="1">
        <f>Table1[[#This Row],[High Tol]]-Table1[[#This Row],[Low Tol]]</f>
        <v>0</v>
      </c>
      <c r="R1885" s="1">
        <f>2*Table1[[#This Row],[Std Error]]</f>
        <v>0</v>
      </c>
      <c r="S1885" s="1" t="str">
        <f>IF(Table1[[#This Row],[High Tol]]="","N/A",IFERROR(ABS(Table1[[#This Row],[Tol Span]]/Table1[[#This Row],[Error Span]]),"N/A"))</f>
        <v>N/A</v>
      </c>
      <c r="T1885" s="1" t="str">
        <f>IF(OR(Table1[[#This Row],[Low Tol]]="",Table1[[#This Row],[High Tol]]=""),"Needs Analysis",IF(Table1[[#This Row],[Ratio]]&gt;=4,"Not Significant",IF(Table1[[#This Row],[Ratio]]&gt;=2,"Semi-Significant","Significant")))</f>
        <v>Needs Analysis</v>
      </c>
      <c r="W1885" s="1">
        <f>IF(Table1[[#This Row],[Cal Type]]&lt;&gt;"ACCREDITED 17025 WITH UNCERTAINTIES",0,"")</f>
        <v>0</v>
      </c>
      <c r="X1885" s="1" t="str">
        <f>IF(Table1[[#This Row],[DUT Read]]="","N/A",Table1[[#This Row],[Std Error]]+Table1[[#This Row],[DUT Read]]+Table1[[#This Row],[DUT Ucty]])</f>
        <v>N/A</v>
      </c>
      <c r="Y1885" s="1" t="str">
        <f>IF(Table1[[#This Row],[Std Read]]="","N/A",Table1[[#This Row],[Std Read]]+Table1[[#This Row],[Std Ucty]])</f>
        <v>N/A</v>
      </c>
      <c r="Z18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5" s="1" t="str">
        <f>IF(Table1[[#This Row],[Spec Type]]="","N/A",Table1[[#This Row],[Spec Type]])</f>
        <v>±</v>
      </c>
      <c r="AC1885" s="1" t="str">
        <f>IF(Table1[[#This Row],[Spec Type2]]="N/A","N/A",IF(AND(Table1[[#This Row],[DUT Adj Read]]&gt;=Table1[[#This Row],[Low Tol]],Table1[[#This Row],[DUT Adj Read]]&lt;=Table1[[#This Row],[High Tol]]),"Pass","Fail"))</f>
        <v>Fail</v>
      </c>
      <c r="AD1885" s="1" t="str">
        <f>IF(AND(Table1[[#This Row],[Spec Type2]]="N/A",Table1[[#This Row],[DUT Adj Read]]="N/A",Table1[[#This Row],[Std Adj Read]]="N/A"),"N/A",IF(Table1[[#This Row],[DUT Adj Read]]="N/A",IF(Table1[[#This Row],[Std Adj Read]]&gt;Table1[[#This Row],[Low Tol]],"Pass","Fail"),IF(Table1[[#This Row],[DUT Adj Read]]&gt;Table1[[#This Row],[Low Tol]],"Pass","Fail")))</f>
        <v>Pass</v>
      </c>
      <c r="AE1885" s="1" t="str">
        <f>IF(AND(Table1[[#This Row],[Spec Type2]]="N/A",Table1[[#This Row],[DUT Adj Read]]="N/A",Table1[[#This Row],[Std Adj Read]]="N/A"),"N/A",IF(Table1[[#This Row],[DUT Adj Read]]="N/A",IF(Table1[[#This Row],[Std Adj Read]]&lt;Table1[[#This Row],[High Tol]],"Pass","Fail"),IF(Table1[[#This Row],[DUT Adj Read]]&lt;Table1[[#This Row],[High Tol]],"Pass","Fail")))</f>
        <v>Fail</v>
      </c>
      <c r="AF1885" s="1" t="str">
        <f>IF(AND(Table1[[#This Row],[Spec Type2]]="N/A",Table1[[#This Row],[DUT Adj Read]]="N/A",Table1[[#This Row],[Std Adj Read]]="N/A"),"N/A",IF(Table1[[#This Row],[DUT Adj Read]]="N/A",IF(Table1[[#This Row],[Std Adj Read]]&gt;=Table1[[#This Row],[Low Tol]],"Pass","Fail"),IF(Table1[[#This Row],[DUT Adj Read]]&gt;=Table1[[#This Row],[Low Tol]],"Pass","Fail")))</f>
        <v>Pass</v>
      </c>
      <c r="AG1885" s="1" t="str">
        <f>IF(AND(Table1[[#This Row],[Spec Type2]]="N/A",Table1[[#This Row],[DUT Adj Read]]="N/A",Table1[[#This Row],[Std Adj Read]]="N/A"),"N/A",IF(Table1[[#This Row],[DUT Adj Read]]="N/A",IF(Table1[[#This Row],[Std Adj Read]]&lt;=Table1[[#This Row],[High Tol]],"Pass","Fail"),IF(Table1[[#This Row],[DUT Adj Read]]&lt;=Table1[[#This Row],[High Tol]],"Pass","Fail")))</f>
        <v>Fail</v>
      </c>
      <c r="AH18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5" s="1" t="b">
        <v>0</v>
      </c>
      <c r="AN1885" s="1" t="b">
        <v>0</v>
      </c>
      <c r="AO1885" s="1" t="b">
        <v>0</v>
      </c>
    </row>
    <row r="1886" spans="1:41" x14ac:dyDescent="0.25">
      <c r="A1886" s="10"/>
      <c r="B1886" s="10"/>
      <c r="C1886" s="10"/>
      <c r="D1886" s="10"/>
      <c r="E1886" s="10"/>
      <c r="F1886" s="10"/>
      <c r="G1886" s="10"/>
      <c r="H1886" s="10"/>
      <c r="I1886" s="1" t="str">
        <f t="shared" si="87"/>
        <v/>
      </c>
      <c r="J1886" s="1" t="s">
        <v>35</v>
      </c>
      <c r="K1886" s="1" t="str">
        <f t="shared" si="88"/>
        <v/>
      </c>
      <c r="L1886" s="1" t="str">
        <f t="shared" si="89"/>
        <v/>
      </c>
      <c r="M1886" s="1">
        <f>IF(OR(Table1[[#This Row],[Std Nom]]="",Table1[[#This Row],[Std Read]]=""),0,Table1[[#This Row],[Std Nom]]-Table1[[#This Row],[Std Read]])</f>
        <v>0</v>
      </c>
      <c r="N1886" s="1">
        <f>IF(Calculations!$F$5="ACCREDITED 17025 WITH UNCERTAINTIES",$N$10,0)</f>
        <v>0</v>
      </c>
      <c r="Q1886" s="1">
        <f>Table1[[#This Row],[High Tol]]-Table1[[#This Row],[Low Tol]]</f>
        <v>0</v>
      </c>
      <c r="R1886" s="1">
        <f>2*Table1[[#This Row],[Std Error]]</f>
        <v>0</v>
      </c>
      <c r="S1886" s="1" t="str">
        <f>IF(Table1[[#This Row],[High Tol]]="","N/A",IFERROR(ABS(Table1[[#This Row],[Tol Span]]/Table1[[#This Row],[Error Span]]),"N/A"))</f>
        <v>N/A</v>
      </c>
      <c r="T1886" s="1" t="str">
        <f>IF(OR(Table1[[#This Row],[Low Tol]]="",Table1[[#This Row],[High Tol]]=""),"Needs Analysis",IF(Table1[[#This Row],[Ratio]]&gt;=4,"Not Significant",IF(Table1[[#This Row],[Ratio]]&gt;=2,"Semi-Significant","Significant")))</f>
        <v>Needs Analysis</v>
      </c>
      <c r="W1886" s="1">
        <f>IF(Table1[[#This Row],[Cal Type]]&lt;&gt;"ACCREDITED 17025 WITH UNCERTAINTIES",0,"")</f>
        <v>0</v>
      </c>
      <c r="X1886" s="1" t="str">
        <f>IF(Table1[[#This Row],[DUT Read]]="","N/A",Table1[[#This Row],[Std Error]]+Table1[[#This Row],[DUT Read]]+Table1[[#This Row],[DUT Ucty]])</f>
        <v>N/A</v>
      </c>
      <c r="Y1886" s="1" t="str">
        <f>IF(Table1[[#This Row],[Std Read]]="","N/A",Table1[[#This Row],[Std Read]]+Table1[[#This Row],[Std Ucty]])</f>
        <v>N/A</v>
      </c>
      <c r="Z18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6" s="1" t="str">
        <f>IF(Table1[[#This Row],[Spec Type]]="","N/A",Table1[[#This Row],[Spec Type]])</f>
        <v>±</v>
      </c>
      <c r="AC1886" s="1" t="str">
        <f>IF(Table1[[#This Row],[Spec Type2]]="N/A","N/A",IF(AND(Table1[[#This Row],[DUT Adj Read]]&gt;=Table1[[#This Row],[Low Tol]],Table1[[#This Row],[DUT Adj Read]]&lt;=Table1[[#This Row],[High Tol]]),"Pass","Fail"))</f>
        <v>Fail</v>
      </c>
      <c r="AD1886" s="1" t="str">
        <f>IF(AND(Table1[[#This Row],[Spec Type2]]="N/A",Table1[[#This Row],[DUT Adj Read]]="N/A",Table1[[#This Row],[Std Adj Read]]="N/A"),"N/A",IF(Table1[[#This Row],[DUT Adj Read]]="N/A",IF(Table1[[#This Row],[Std Adj Read]]&gt;Table1[[#This Row],[Low Tol]],"Pass","Fail"),IF(Table1[[#This Row],[DUT Adj Read]]&gt;Table1[[#This Row],[Low Tol]],"Pass","Fail")))</f>
        <v>Pass</v>
      </c>
      <c r="AE1886" s="1" t="str">
        <f>IF(AND(Table1[[#This Row],[Spec Type2]]="N/A",Table1[[#This Row],[DUT Adj Read]]="N/A",Table1[[#This Row],[Std Adj Read]]="N/A"),"N/A",IF(Table1[[#This Row],[DUT Adj Read]]="N/A",IF(Table1[[#This Row],[Std Adj Read]]&lt;Table1[[#This Row],[High Tol]],"Pass","Fail"),IF(Table1[[#This Row],[DUT Adj Read]]&lt;Table1[[#This Row],[High Tol]],"Pass","Fail")))</f>
        <v>Fail</v>
      </c>
      <c r="AF1886" s="1" t="str">
        <f>IF(AND(Table1[[#This Row],[Spec Type2]]="N/A",Table1[[#This Row],[DUT Adj Read]]="N/A",Table1[[#This Row],[Std Adj Read]]="N/A"),"N/A",IF(Table1[[#This Row],[DUT Adj Read]]="N/A",IF(Table1[[#This Row],[Std Adj Read]]&gt;=Table1[[#This Row],[Low Tol]],"Pass","Fail"),IF(Table1[[#This Row],[DUT Adj Read]]&gt;=Table1[[#This Row],[Low Tol]],"Pass","Fail")))</f>
        <v>Pass</v>
      </c>
      <c r="AG1886" s="1" t="str">
        <f>IF(AND(Table1[[#This Row],[Spec Type2]]="N/A",Table1[[#This Row],[DUT Adj Read]]="N/A",Table1[[#This Row],[Std Adj Read]]="N/A"),"N/A",IF(Table1[[#This Row],[DUT Adj Read]]="N/A",IF(Table1[[#This Row],[Std Adj Read]]&lt;=Table1[[#This Row],[High Tol]],"Pass","Fail"),IF(Table1[[#This Row],[DUT Adj Read]]&lt;=Table1[[#This Row],[High Tol]],"Pass","Fail")))</f>
        <v>Fail</v>
      </c>
      <c r="AH18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6" s="1" t="b">
        <v>0</v>
      </c>
      <c r="AN1886" s="1" t="b">
        <v>0</v>
      </c>
      <c r="AO1886" s="1" t="b">
        <v>0</v>
      </c>
    </row>
    <row r="1887" spans="1:41" x14ac:dyDescent="0.25">
      <c r="A1887" s="10"/>
      <c r="B1887" s="10"/>
      <c r="C1887" s="10"/>
      <c r="D1887" s="10"/>
      <c r="E1887" s="10"/>
      <c r="F1887" s="10"/>
      <c r="G1887" s="10"/>
      <c r="H1887" s="10"/>
      <c r="I1887" s="1" t="str">
        <f t="shared" si="87"/>
        <v/>
      </c>
      <c r="J1887" s="1" t="s">
        <v>35</v>
      </c>
      <c r="K1887" s="1" t="str">
        <f t="shared" si="88"/>
        <v/>
      </c>
      <c r="L1887" s="1" t="str">
        <f t="shared" si="89"/>
        <v/>
      </c>
      <c r="M1887" s="1">
        <f>IF(OR(Table1[[#This Row],[Std Nom]]="",Table1[[#This Row],[Std Read]]=""),0,Table1[[#This Row],[Std Nom]]-Table1[[#This Row],[Std Read]])</f>
        <v>0</v>
      </c>
      <c r="N1887" s="1">
        <f>IF(Calculations!$F$5="ACCREDITED 17025 WITH UNCERTAINTIES",$N$10,0)</f>
        <v>0</v>
      </c>
      <c r="Q1887" s="1">
        <f>Table1[[#This Row],[High Tol]]-Table1[[#This Row],[Low Tol]]</f>
        <v>0</v>
      </c>
      <c r="R1887" s="1">
        <f>2*Table1[[#This Row],[Std Error]]</f>
        <v>0</v>
      </c>
      <c r="S1887" s="1" t="str">
        <f>IF(Table1[[#This Row],[High Tol]]="","N/A",IFERROR(ABS(Table1[[#This Row],[Tol Span]]/Table1[[#This Row],[Error Span]]),"N/A"))</f>
        <v>N/A</v>
      </c>
      <c r="T1887" s="1" t="str">
        <f>IF(OR(Table1[[#This Row],[Low Tol]]="",Table1[[#This Row],[High Tol]]=""),"Needs Analysis",IF(Table1[[#This Row],[Ratio]]&gt;=4,"Not Significant",IF(Table1[[#This Row],[Ratio]]&gt;=2,"Semi-Significant","Significant")))</f>
        <v>Needs Analysis</v>
      </c>
      <c r="W1887" s="1">
        <f>IF(Table1[[#This Row],[Cal Type]]&lt;&gt;"ACCREDITED 17025 WITH UNCERTAINTIES",0,"")</f>
        <v>0</v>
      </c>
      <c r="X1887" s="1" t="str">
        <f>IF(Table1[[#This Row],[DUT Read]]="","N/A",Table1[[#This Row],[Std Error]]+Table1[[#This Row],[DUT Read]]+Table1[[#This Row],[DUT Ucty]])</f>
        <v>N/A</v>
      </c>
      <c r="Y1887" s="1" t="str">
        <f>IF(Table1[[#This Row],[Std Read]]="","N/A",Table1[[#This Row],[Std Read]]+Table1[[#This Row],[Std Ucty]])</f>
        <v>N/A</v>
      </c>
      <c r="Z18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7" s="1" t="str">
        <f>IF(Table1[[#This Row],[Spec Type]]="","N/A",Table1[[#This Row],[Spec Type]])</f>
        <v>±</v>
      </c>
      <c r="AC1887" s="1" t="str">
        <f>IF(Table1[[#This Row],[Spec Type2]]="N/A","N/A",IF(AND(Table1[[#This Row],[DUT Adj Read]]&gt;=Table1[[#This Row],[Low Tol]],Table1[[#This Row],[DUT Adj Read]]&lt;=Table1[[#This Row],[High Tol]]),"Pass","Fail"))</f>
        <v>Fail</v>
      </c>
      <c r="AD1887" s="1" t="str">
        <f>IF(AND(Table1[[#This Row],[Spec Type2]]="N/A",Table1[[#This Row],[DUT Adj Read]]="N/A",Table1[[#This Row],[Std Adj Read]]="N/A"),"N/A",IF(Table1[[#This Row],[DUT Adj Read]]="N/A",IF(Table1[[#This Row],[Std Adj Read]]&gt;Table1[[#This Row],[Low Tol]],"Pass","Fail"),IF(Table1[[#This Row],[DUT Adj Read]]&gt;Table1[[#This Row],[Low Tol]],"Pass","Fail")))</f>
        <v>Pass</v>
      </c>
      <c r="AE1887" s="1" t="str">
        <f>IF(AND(Table1[[#This Row],[Spec Type2]]="N/A",Table1[[#This Row],[DUT Adj Read]]="N/A",Table1[[#This Row],[Std Adj Read]]="N/A"),"N/A",IF(Table1[[#This Row],[DUT Adj Read]]="N/A",IF(Table1[[#This Row],[Std Adj Read]]&lt;Table1[[#This Row],[High Tol]],"Pass","Fail"),IF(Table1[[#This Row],[DUT Adj Read]]&lt;Table1[[#This Row],[High Tol]],"Pass","Fail")))</f>
        <v>Fail</v>
      </c>
      <c r="AF1887" s="1" t="str">
        <f>IF(AND(Table1[[#This Row],[Spec Type2]]="N/A",Table1[[#This Row],[DUT Adj Read]]="N/A",Table1[[#This Row],[Std Adj Read]]="N/A"),"N/A",IF(Table1[[#This Row],[DUT Adj Read]]="N/A",IF(Table1[[#This Row],[Std Adj Read]]&gt;=Table1[[#This Row],[Low Tol]],"Pass","Fail"),IF(Table1[[#This Row],[DUT Adj Read]]&gt;=Table1[[#This Row],[Low Tol]],"Pass","Fail")))</f>
        <v>Pass</v>
      </c>
      <c r="AG1887" s="1" t="str">
        <f>IF(AND(Table1[[#This Row],[Spec Type2]]="N/A",Table1[[#This Row],[DUT Adj Read]]="N/A",Table1[[#This Row],[Std Adj Read]]="N/A"),"N/A",IF(Table1[[#This Row],[DUT Adj Read]]="N/A",IF(Table1[[#This Row],[Std Adj Read]]&lt;=Table1[[#This Row],[High Tol]],"Pass","Fail"),IF(Table1[[#This Row],[DUT Adj Read]]&lt;=Table1[[#This Row],[High Tol]],"Pass","Fail")))</f>
        <v>Fail</v>
      </c>
      <c r="AH18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7" s="1" t="b">
        <v>0</v>
      </c>
      <c r="AN1887" s="1" t="b">
        <v>0</v>
      </c>
      <c r="AO1887" s="1" t="b">
        <v>0</v>
      </c>
    </row>
    <row r="1888" spans="1:41" x14ac:dyDescent="0.25">
      <c r="A1888" s="10"/>
      <c r="B1888" s="10"/>
      <c r="C1888" s="10"/>
      <c r="D1888" s="10"/>
      <c r="E1888" s="10"/>
      <c r="F1888" s="10"/>
      <c r="G1888" s="10"/>
      <c r="H1888" s="10"/>
      <c r="I1888" s="1" t="str">
        <f t="shared" si="87"/>
        <v/>
      </c>
      <c r="J1888" s="1" t="s">
        <v>35</v>
      </c>
      <c r="K1888" s="1" t="str">
        <f t="shared" si="88"/>
        <v/>
      </c>
      <c r="L1888" s="1" t="str">
        <f t="shared" si="89"/>
        <v/>
      </c>
      <c r="M1888" s="1">
        <f>IF(OR(Table1[[#This Row],[Std Nom]]="",Table1[[#This Row],[Std Read]]=""),0,Table1[[#This Row],[Std Nom]]-Table1[[#This Row],[Std Read]])</f>
        <v>0</v>
      </c>
      <c r="N1888" s="1">
        <f>IF(Calculations!$F$5="ACCREDITED 17025 WITH UNCERTAINTIES",$N$10,0)</f>
        <v>0</v>
      </c>
      <c r="Q1888" s="1">
        <f>Table1[[#This Row],[High Tol]]-Table1[[#This Row],[Low Tol]]</f>
        <v>0</v>
      </c>
      <c r="R1888" s="1">
        <f>2*Table1[[#This Row],[Std Error]]</f>
        <v>0</v>
      </c>
      <c r="S1888" s="1" t="str">
        <f>IF(Table1[[#This Row],[High Tol]]="","N/A",IFERROR(ABS(Table1[[#This Row],[Tol Span]]/Table1[[#This Row],[Error Span]]),"N/A"))</f>
        <v>N/A</v>
      </c>
      <c r="T1888" s="1" t="str">
        <f>IF(OR(Table1[[#This Row],[Low Tol]]="",Table1[[#This Row],[High Tol]]=""),"Needs Analysis",IF(Table1[[#This Row],[Ratio]]&gt;=4,"Not Significant",IF(Table1[[#This Row],[Ratio]]&gt;=2,"Semi-Significant","Significant")))</f>
        <v>Needs Analysis</v>
      </c>
      <c r="W1888" s="1">
        <f>IF(Table1[[#This Row],[Cal Type]]&lt;&gt;"ACCREDITED 17025 WITH UNCERTAINTIES",0,"")</f>
        <v>0</v>
      </c>
      <c r="X1888" s="1" t="str">
        <f>IF(Table1[[#This Row],[DUT Read]]="","N/A",Table1[[#This Row],[Std Error]]+Table1[[#This Row],[DUT Read]]+Table1[[#This Row],[DUT Ucty]])</f>
        <v>N/A</v>
      </c>
      <c r="Y1888" s="1" t="str">
        <f>IF(Table1[[#This Row],[Std Read]]="","N/A",Table1[[#This Row],[Std Read]]+Table1[[#This Row],[Std Ucty]])</f>
        <v>N/A</v>
      </c>
      <c r="Z18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8" s="1" t="str">
        <f>IF(Table1[[#This Row],[Spec Type]]="","N/A",Table1[[#This Row],[Spec Type]])</f>
        <v>±</v>
      </c>
      <c r="AC1888" s="1" t="str">
        <f>IF(Table1[[#This Row],[Spec Type2]]="N/A","N/A",IF(AND(Table1[[#This Row],[DUT Adj Read]]&gt;=Table1[[#This Row],[Low Tol]],Table1[[#This Row],[DUT Adj Read]]&lt;=Table1[[#This Row],[High Tol]]),"Pass","Fail"))</f>
        <v>Fail</v>
      </c>
      <c r="AD1888" s="1" t="str">
        <f>IF(AND(Table1[[#This Row],[Spec Type2]]="N/A",Table1[[#This Row],[DUT Adj Read]]="N/A",Table1[[#This Row],[Std Adj Read]]="N/A"),"N/A",IF(Table1[[#This Row],[DUT Adj Read]]="N/A",IF(Table1[[#This Row],[Std Adj Read]]&gt;Table1[[#This Row],[Low Tol]],"Pass","Fail"),IF(Table1[[#This Row],[DUT Adj Read]]&gt;Table1[[#This Row],[Low Tol]],"Pass","Fail")))</f>
        <v>Pass</v>
      </c>
      <c r="AE1888" s="1" t="str">
        <f>IF(AND(Table1[[#This Row],[Spec Type2]]="N/A",Table1[[#This Row],[DUT Adj Read]]="N/A",Table1[[#This Row],[Std Adj Read]]="N/A"),"N/A",IF(Table1[[#This Row],[DUT Adj Read]]="N/A",IF(Table1[[#This Row],[Std Adj Read]]&lt;Table1[[#This Row],[High Tol]],"Pass","Fail"),IF(Table1[[#This Row],[DUT Adj Read]]&lt;Table1[[#This Row],[High Tol]],"Pass","Fail")))</f>
        <v>Fail</v>
      </c>
      <c r="AF1888" s="1" t="str">
        <f>IF(AND(Table1[[#This Row],[Spec Type2]]="N/A",Table1[[#This Row],[DUT Adj Read]]="N/A",Table1[[#This Row],[Std Adj Read]]="N/A"),"N/A",IF(Table1[[#This Row],[DUT Adj Read]]="N/A",IF(Table1[[#This Row],[Std Adj Read]]&gt;=Table1[[#This Row],[Low Tol]],"Pass","Fail"),IF(Table1[[#This Row],[DUT Adj Read]]&gt;=Table1[[#This Row],[Low Tol]],"Pass","Fail")))</f>
        <v>Pass</v>
      </c>
      <c r="AG1888" s="1" t="str">
        <f>IF(AND(Table1[[#This Row],[Spec Type2]]="N/A",Table1[[#This Row],[DUT Adj Read]]="N/A",Table1[[#This Row],[Std Adj Read]]="N/A"),"N/A",IF(Table1[[#This Row],[DUT Adj Read]]="N/A",IF(Table1[[#This Row],[Std Adj Read]]&lt;=Table1[[#This Row],[High Tol]],"Pass","Fail"),IF(Table1[[#This Row],[DUT Adj Read]]&lt;=Table1[[#This Row],[High Tol]],"Pass","Fail")))</f>
        <v>Fail</v>
      </c>
      <c r="AH18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8" s="1" t="b">
        <v>0</v>
      </c>
      <c r="AN1888" s="1" t="b">
        <v>0</v>
      </c>
      <c r="AO1888" s="1" t="b">
        <v>0</v>
      </c>
    </row>
    <row r="1889" spans="1:41" x14ac:dyDescent="0.25">
      <c r="A1889" s="10"/>
      <c r="B1889" s="10"/>
      <c r="C1889" s="10"/>
      <c r="D1889" s="10"/>
      <c r="E1889" s="10"/>
      <c r="F1889" s="10"/>
      <c r="G1889" s="10"/>
      <c r="H1889" s="10"/>
      <c r="I1889" s="1" t="str">
        <f t="shared" si="87"/>
        <v/>
      </c>
      <c r="J1889" s="1" t="s">
        <v>35</v>
      </c>
      <c r="K1889" s="1" t="str">
        <f t="shared" si="88"/>
        <v/>
      </c>
      <c r="L1889" s="1" t="str">
        <f t="shared" si="89"/>
        <v/>
      </c>
      <c r="M1889" s="1">
        <f>IF(OR(Table1[[#This Row],[Std Nom]]="",Table1[[#This Row],[Std Read]]=""),0,Table1[[#This Row],[Std Nom]]-Table1[[#This Row],[Std Read]])</f>
        <v>0</v>
      </c>
      <c r="N1889" s="1">
        <f>IF(Calculations!$F$5="ACCREDITED 17025 WITH UNCERTAINTIES",$N$10,0)</f>
        <v>0</v>
      </c>
      <c r="Q1889" s="1">
        <f>Table1[[#This Row],[High Tol]]-Table1[[#This Row],[Low Tol]]</f>
        <v>0</v>
      </c>
      <c r="R1889" s="1">
        <f>2*Table1[[#This Row],[Std Error]]</f>
        <v>0</v>
      </c>
      <c r="S1889" s="1" t="str">
        <f>IF(Table1[[#This Row],[High Tol]]="","N/A",IFERROR(ABS(Table1[[#This Row],[Tol Span]]/Table1[[#This Row],[Error Span]]),"N/A"))</f>
        <v>N/A</v>
      </c>
      <c r="T1889" s="1" t="str">
        <f>IF(OR(Table1[[#This Row],[Low Tol]]="",Table1[[#This Row],[High Tol]]=""),"Needs Analysis",IF(Table1[[#This Row],[Ratio]]&gt;=4,"Not Significant",IF(Table1[[#This Row],[Ratio]]&gt;=2,"Semi-Significant","Significant")))</f>
        <v>Needs Analysis</v>
      </c>
      <c r="W1889" s="1">
        <f>IF(Table1[[#This Row],[Cal Type]]&lt;&gt;"ACCREDITED 17025 WITH UNCERTAINTIES",0,"")</f>
        <v>0</v>
      </c>
      <c r="X1889" s="1" t="str">
        <f>IF(Table1[[#This Row],[DUT Read]]="","N/A",Table1[[#This Row],[Std Error]]+Table1[[#This Row],[DUT Read]]+Table1[[#This Row],[DUT Ucty]])</f>
        <v>N/A</v>
      </c>
      <c r="Y1889" s="1" t="str">
        <f>IF(Table1[[#This Row],[Std Read]]="","N/A",Table1[[#This Row],[Std Read]]+Table1[[#This Row],[Std Ucty]])</f>
        <v>N/A</v>
      </c>
      <c r="Z18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89" s="1" t="str">
        <f>IF(Table1[[#This Row],[Spec Type]]="","N/A",Table1[[#This Row],[Spec Type]])</f>
        <v>±</v>
      </c>
      <c r="AC1889" s="1" t="str">
        <f>IF(Table1[[#This Row],[Spec Type2]]="N/A","N/A",IF(AND(Table1[[#This Row],[DUT Adj Read]]&gt;=Table1[[#This Row],[Low Tol]],Table1[[#This Row],[DUT Adj Read]]&lt;=Table1[[#This Row],[High Tol]]),"Pass","Fail"))</f>
        <v>Fail</v>
      </c>
      <c r="AD1889" s="1" t="str">
        <f>IF(AND(Table1[[#This Row],[Spec Type2]]="N/A",Table1[[#This Row],[DUT Adj Read]]="N/A",Table1[[#This Row],[Std Adj Read]]="N/A"),"N/A",IF(Table1[[#This Row],[DUT Adj Read]]="N/A",IF(Table1[[#This Row],[Std Adj Read]]&gt;Table1[[#This Row],[Low Tol]],"Pass","Fail"),IF(Table1[[#This Row],[DUT Adj Read]]&gt;Table1[[#This Row],[Low Tol]],"Pass","Fail")))</f>
        <v>Pass</v>
      </c>
      <c r="AE1889" s="1" t="str">
        <f>IF(AND(Table1[[#This Row],[Spec Type2]]="N/A",Table1[[#This Row],[DUT Adj Read]]="N/A",Table1[[#This Row],[Std Adj Read]]="N/A"),"N/A",IF(Table1[[#This Row],[DUT Adj Read]]="N/A",IF(Table1[[#This Row],[Std Adj Read]]&lt;Table1[[#This Row],[High Tol]],"Pass","Fail"),IF(Table1[[#This Row],[DUT Adj Read]]&lt;Table1[[#This Row],[High Tol]],"Pass","Fail")))</f>
        <v>Fail</v>
      </c>
      <c r="AF1889" s="1" t="str">
        <f>IF(AND(Table1[[#This Row],[Spec Type2]]="N/A",Table1[[#This Row],[DUT Adj Read]]="N/A",Table1[[#This Row],[Std Adj Read]]="N/A"),"N/A",IF(Table1[[#This Row],[DUT Adj Read]]="N/A",IF(Table1[[#This Row],[Std Adj Read]]&gt;=Table1[[#This Row],[Low Tol]],"Pass","Fail"),IF(Table1[[#This Row],[DUT Adj Read]]&gt;=Table1[[#This Row],[Low Tol]],"Pass","Fail")))</f>
        <v>Pass</v>
      </c>
      <c r="AG1889" s="1" t="str">
        <f>IF(AND(Table1[[#This Row],[Spec Type2]]="N/A",Table1[[#This Row],[DUT Adj Read]]="N/A",Table1[[#This Row],[Std Adj Read]]="N/A"),"N/A",IF(Table1[[#This Row],[DUT Adj Read]]="N/A",IF(Table1[[#This Row],[Std Adj Read]]&lt;=Table1[[#This Row],[High Tol]],"Pass","Fail"),IF(Table1[[#This Row],[DUT Adj Read]]&lt;=Table1[[#This Row],[High Tol]],"Pass","Fail")))</f>
        <v>Fail</v>
      </c>
      <c r="AH18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89" s="1" t="b">
        <v>0</v>
      </c>
      <c r="AN1889" s="1" t="b">
        <v>0</v>
      </c>
      <c r="AO1889" s="1" t="b">
        <v>0</v>
      </c>
    </row>
    <row r="1890" spans="1:41" x14ac:dyDescent="0.25">
      <c r="A1890" s="10"/>
      <c r="B1890" s="10"/>
      <c r="C1890" s="10"/>
      <c r="D1890" s="10"/>
      <c r="E1890" s="10"/>
      <c r="F1890" s="10"/>
      <c r="G1890" s="10"/>
      <c r="H1890" s="10"/>
      <c r="I1890" s="1" t="str">
        <f t="shared" si="87"/>
        <v/>
      </c>
      <c r="J1890" s="1" t="s">
        <v>35</v>
      </c>
      <c r="K1890" s="1" t="str">
        <f t="shared" si="88"/>
        <v/>
      </c>
      <c r="L1890" s="1" t="str">
        <f t="shared" si="89"/>
        <v/>
      </c>
      <c r="M1890" s="1">
        <f>IF(OR(Table1[[#This Row],[Std Nom]]="",Table1[[#This Row],[Std Read]]=""),0,Table1[[#This Row],[Std Nom]]-Table1[[#This Row],[Std Read]])</f>
        <v>0</v>
      </c>
      <c r="N1890" s="1">
        <f>IF(Calculations!$F$5="ACCREDITED 17025 WITH UNCERTAINTIES",$N$10,0)</f>
        <v>0</v>
      </c>
      <c r="Q1890" s="1">
        <f>Table1[[#This Row],[High Tol]]-Table1[[#This Row],[Low Tol]]</f>
        <v>0</v>
      </c>
      <c r="R1890" s="1">
        <f>2*Table1[[#This Row],[Std Error]]</f>
        <v>0</v>
      </c>
      <c r="S1890" s="1" t="str">
        <f>IF(Table1[[#This Row],[High Tol]]="","N/A",IFERROR(ABS(Table1[[#This Row],[Tol Span]]/Table1[[#This Row],[Error Span]]),"N/A"))</f>
        <v>N/A</v>
      </c>
      <c r="T1890" s="1" t="str">
        <f>IF(OR(Table1[[#This Row],[Low Tol]]="",Table1[[#This Row],[High Tol]]=""),"Needs Analysis",IF(Table1[[#This Row],[Ratio]]&gt;=4,"Not Significant",IF(Table1[[#This Row],[Ratio]]&gt;=2,"Semi-Significant","Significant")))</f>
        <v>Needs Analysis</v>
      </c>
      <c r="W1890" s="1">
        <f>IF(Table1[[#This Row],[Cal Type]]&lt;&gt;"ACCREDITED 17025 WITH UNCERTAINTIES",0,"")</f>
        <v>0</v>
      </c>
      <c r="X1890" s="1" t="str">
        <f>IF(Table1[[#This Row],[DUT Read]]="","N/A",Table1[[#This Row],[Std Error]]+Table1[[#This Row],[DUT Read]]+Table1[[#This Row],[DUT Ucty]])</f>
        <v>N/A</v>
      </c>
      <c r="Y1890" s="1" t="str">
        <f>IF(Table1[[#This Row],[Std Read]]="","N/A",Table1[[#This Row],[Std Read]]+Table1[[#This Row],[Std Ucty]])</f>
        <v>N/A</v>
      </c>
      <c r="Z18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0" s="1" t="str">
        <f>IF(Table1[[#This Row],[Spec Type]]="","N/A",Table1[[#This Row],[Spec Type]])</f>
        <v>±</v>
      </c>
      <c r="AC1890" s="1" t="str">
        <f>IF(Table1[[#This Row],[Spec Type2]]="N/A","N/A",IF(AND(Table1[[#This Row],[DUT Adj Read]]&gt;=Table1[[#This Row],[Low Tol]],Table1[[#This Row],[DUT Adj Read]]&lt;=Table1[[#This Row],[High Tol]]),"Pass","Fail"))</f>
        <v>Fail</v>
      </c>
      <c r="AD1890" s="1" t="str">
        <f>IF(AND(Table1[[#This Row],[Spec Type2]]="N/A",Table1[[#This Row],[DUT Adj Read]]="N/A",Table1[[#This Row],[Std Adj Read]]="N/A"),"N/A",IF(Table1[[#This Row],[DUT Adj Read]]="N/A",IF(Table1[[#This Row],[Std Adj Read]]&gt;Table1[[#This Row],[Low Tol]],"Pass","Fail"),IF(Table1[[#This Row],[DUT Adj Read]]&gt;Table1[[#This Row],[Low Tol]],"Pass","Fail")))</f>
        <v>Pass</v>
      </c>
      <c r="AE1890" s="1" t="str">
        <f>IF(AND(Table1[[#This Row],[Spec Type2]]="N/A",Table1[[#This Row],[DUT Adj Read]]="N/A",Table1[[#This Row],[Std Adj Read]]="N/A"),"N/A",IF(Table1[[#This Row],[DUT Adj Read]]="N/A",IF(Table1[[#This Row],[Std Adj Read]]&lt;Table1[[#This Row],[High Tol]],"Pass","Fail"),IF(Table1[[#This Row],[DUT Adj Read]]&lt;Table1[[#This Row],[High Tol]],"Pass","Fail")))</f>
        <v>Fail</v>
      </c>
      <c r="AF1890" s="1" t="str">
        <f>IF(AND(Table1[[#This Row],[Spec Type2]]="N/A",Table1[[#This Row],[DUT Adj Read]]="N/A",Table1[[#This Row],[Std Adj Read]]="N/A"),"N/A",IF(Table1[[#This Row],[DUT Adj Read]]="N/A",IF(Table1[[#This Row],[Std Adj Read]]&gt;=Table1[[#This Row],[Low Tol]],"Pass","Fail"),IF(Table1[[#This Row],[DUT Adj Read]]&gt;=Table1[[#This Row],[Low Tol]],"Pass","Fail")))</f>
        <v>Pass</v>
      </c>
      <c r="AG1890" s="1" t="str">
        <f>IF(AND(Table1[[#This Row],[Spec Type2]]="N/A",Table1[[#This Row],[DUT Adj Read]]="N/A",Table1[[#This Row],[Std Adj Read]]="N/A"),"N/A",IF(Table1[[#This Row],[DUT Adj Read]]="N/A",IF(Table1[[#This Row],[Std Adj Read]]&lt;=Table1[[#This Row],[High Tol]],"Pass","Fail"),IF(Table1[[#This Row],[DUT Adj Read]]&lt;=Table1[[#This Row],[High Tol]],"Pass","Fail")))</f>
        <v>Fail</v>
      </c>
      <c r="AH18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0" s="1" t="b">
        <v>0</v>
      </c>
      <c r="AN1890" s="1" t="b">
        <v>0</v>
      </c>
      <c r="AO1890" s="1" t="b">
        <v>0</v>
      </c>
    </row>
    <row r="1891" spans="1:41" x14ac:dyDescent="0.25">
      <c r="A1891" s="10"/>
      <c r="B1891" s="10"/>
      <c r="C1891" s="10"/>
      <c r="D1891" s="10"/>
      <c r="E1891" s="10"/>
      <c r="F1891" s="10"/>
      <c r="G1891" s="10"/>
      <c r="H1891" s="10"/>
      <c r="I1891" s="1" t="str">
        <f t="shared" si="87"/>
        <v/>
      </c>
      <c r="J1891" s="1" t="s">
        <v>35</v>
      </c>
      <c r="K1891" s="1" t="str">
        <f t="shared" si="88"/>
        <v/>
      </c>
      <c r="L1891" s="1" t="str">
        <f t="shared" si="89"/>
        <v/>
      </c>
      <c r="M1891" s="1">
        <f>IF(OR(Table1[[#This Row],[Std Nom]]="",Table1[[#This Row],[Std Read]]=""),0,Table1[[#This Row],[Std Nom]]-Table1[[#This Row],[Std Read]])</f>
        <v>0</v>
      </c>
      <c r="N1891" s="1">
        <f>IF(Calculations!$F$5="ACCREDITED 17025 WITH UNCERTAINTIES",$N$10,0)</f>
        <v>0</v>
      </c>
      <c r="Q1891" s="1">
        <f>Table1[[#This Row],[High Tol]]-Table1[[#This Row],[Low Tol]]</f>
        <v>0</v>
      </c>
      <c r="R1891" s="1">
        <f>2*Table1[[#This Row],[Std Error]]</f>
        <v>0</v>
      </c>
      <c r="S1891" s="1" t="str">
        <f>IF(Table1[[#This Row],[High Tol]]="","N/A",IFERROR(ABS(Table1[[#This Row],[Tol Span]]/Table1[[#This Row],[Error Span]]),"N/A"))</f>
        <v>N/A</v>
      </c>
      <c r="T1891" s="1" t="str">
        <f>IF(OR(Table1[[#This Row],[Low Tol]]="",Table1[[#This Row],[High Tol]]=""),"Needs Analysis",IF(Table1[[#This Row],[Ratio]]&gt;=4,"Not Significant",IF(Table1[[#This Row],[Ratio]]&gt;=2,"Semi-Significant","Significant")))</f>
        <v>Needs Analysis</v>
      </c>
      <c r="W1891" s="1">
        <f>IF(Table1[[#This Row],[Cal Type]]&lt;&gt;"ACCREDITED 17025 WITH UNCERTAINTIES",0,"")</f>
        <v>0</v>
      </c>
      <c r="X1891" s="1" t="str">
        <f>IF(Table1[[#This Row],[DUT Read]]="","N/A",Table1[[#This Row],[Std Error]]+Table1[[#This Row],[DUT Read]]+Table1[[#This Row],[DUT Ucty]])</f>
        <v>N/A</v>
      </c>
      <c r="Y1891" s="1" t="str">
        <f>IF(Table1[[#This Row],[Std Read]]="","N/A",Table1[[#This Row],[Std Read]]+Table1[[#This Row],[Std Ucty]])</f>
        <v>N/A</v>
      </c>
      <c r="Z18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1" s="1" t="str">
        <f>IF(Table1[[#This Row],[Spec Type]]="","N/A",Table1[[#This Row],[Spec Type]])</f>
        <v>±</v>
      </c>
      <c r="AC1891" s="1" t="str">
        <f>IF(Table1[[#This Row],[Spec Type2]]="N/A","N/A",IF(AND(Table1[[#This Row],[DUT Adj Read]]&gt;=Table1[[#This Row],[Low Tol]],Table1[[#This Row],[DUT Adj Read]]&lt;=Table1[[#This Row],[High Tol]]),"Pass","Fail"))</f>
        <v>Fail</v>
      </c>
      <c r="AD1891" s="1" t="str">
        <f>IF(AND(Table1[[#This Row],[Spec Type2]]="N/A",Table1[[#This Row],[DUT Adj Read]]="N/A",Table1[[#This Row],[Std Adj Read]]="N/A"),"N/A",IF(Table1[[#This Row],[DUT Adj Read]]="N/A",IF(Table1[[#This Row],[Std Adj Read]]&gt;Table1[[#This Row],[Low Tol]],"Pass","Fail"),IF(Table1[[#This Row],[DUT Adj Read]]&gt;Table1[[#This Row],[Low Tol]],"Pass","Fail")))</f>
        <v>Pass</v>
      </c>
      <c r="AE1891" s="1" t="str">
        <f>IF(AND(Table1[[#This Row],[Spec Type2]]="N/A",Table1[[#This Row],[DUT Adj Read]]="N/A",Table1[[#This Row],[Std Adj Read]]="N/A"),"N/A",IF(Table1[[#This Row],[DUT Adj Read]]="N/A",IF(Table1[[#This Row],[Std Adj Read]]&lt;Table1[[#This Row],[High Tol]],"Pass","Fail"),IF(Table1[[#This Row],[DUT Adj Read]]&lt;Table1[[#This Row],[High Tol]],"Pass","Fail")))</f>
        <v>Fail</v>
      </c>
      <c r="AF1891" s="1" t="str">
        <f>IF(AND(Table1[[#This Row],[Spec Type2]]="N/A",Table1[[#This Row],[DUT Adj Read]]="N/A",Table1[[#This Row],[Std Adj Read]]="N/A"),"N/A",IF(Table1[[#This Row],[DUT Adj Read]]="N/A",IF(Table1[[#This Row],[Std Adj Read]]&gt;=Table1[[#This Row],[Low Tol]],"Pass","Fail"),IF(Table1[[#This Row],[DUT Adj Read]]&gt;=Table1[[#This Row],[Low Tol]],"Pass","Fail")))</f>
        <v>Pass</v>
      </c>
      <c r="AG1891" s="1" t="str">
        <f>IF(AND(Table1[[#This Row],[Spec Type2]]="N/A",Table1[[#This Row],[DUT Adj Read]]="N/A",Table1[[#This Row],[Std Adj Read]]="N/A"),"N/A",IF(Table1[[#This Row],[DUT Adj Read]]="N/A",IF(Table1[[#This Row],[Std Adj Read]]&lt;=Table1[[#This Row],[High Tol]],"Pass","Fail"),IF(Table1[[#This Row],[DUT Adj Read]]&lt;=Table1[[#This Row],[High Tol]],"Pass","Fail")))</f>
        <v>Fail</v>
      </c>
      <c r="AH18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1" s="1" t="b">
        <v>0</v>
      </c>
      <c r="AN1891" s="1" t="b">
        <v>0</v>
      </c>
      <c r="AO1891" s="1" t="b">
        <v>0</v>
      </c>
    </row>
    <row r="1892" spans="1:41" x14ac:dyDescent="0.25">
      <c r="A1892" s="10"/>
      <c r="B1892" s="10"/>
      <c r="C1892" s="10"/>
      <c r="D1892" s="10"/>
      <c r="E1892" s="10"/>
      <c r="F1892" s="10"/>
      <c r="G1892" s="10"/>
      <c r="H1892" s="10"/>
      <c r="I1892" s="1" t="str">
        <f t="shared" si="87"/>
        <v/>
      </c>
      <c r="J1892" s="1" t="s">
        <v>35</v>
      </c>
      <c r="K1892" s="1" t="str">
        <f t="shared" si="88"/>
        <v/>
      </c>
      <c r="L1892" s="1" t="str">
        <f t="shared" si="89"/>
        <v/>
      </c>
      <c r="M1892" s="1">
        <f>IF(OR(Table1[[#This Row],[Std Nom]]="",Table1[[#This Row],[Std Read]]=""),0,Table1[[#This Row],[Std Nom]]-Table1[[#This Row],[Std Read]])</f>
        <v>0</v>
      </c>
      <c r="N1892" s="1">
        <f>IF(Calculations!$F$5="ACCREDITED 17025 WITH UNCERTAINTIES",$N$10,0)</f>
        <v>0</v>
      </c>
      <c r="Q1892" s="1">
        <f>Table1[[#This Row],[High Tol]]-Table1[[#This Row],[Low Tol]]</f>
        <v>0</v>
      </c>
      <c r="R1892" s="1">
        <f>2*Table1[[#This Row],[Std Error]]</f>
        <v>0</v>
      </c>
      <c r="S1892" s="1" t="str">
        <f>IF(Table1[[#This Row],[High Tol]]="","N/A",IFERROR(ABS(Table1[[#This Row],[Tol Span]]/Table1[[#This Row],[Error Span]]),"N/A"))</f>
        <v>N/A</v>
      </c>
      <c r="T1892" s="1" t="str">
        <f>IF(OR(Table1[[#This Row],[Low Tol]]="",Table1[[#This Row],[High Tol]]=""),"Needs Analysis",IF(Table1[[#This Row],[Ratio]]&gt;=4,"Not Significant",IF(Table1[[#This Row],[Ratio]]&gt;=2,"Semi-Significant","Significant")))</f>
        <v>Needs Analysis</v>
      </c>
      <c r="W1892" s="1">
        <f>IF(Table1[[#This Row],[Cal Type]]&lt;&gt;"ACCREDITED 17025 WITH UNCERTAINTIES",0,"")</f>
        <v>0</v>
      </c>
      <c r="X1892" s="1" t="str">
        <f>IF(Table1[[#This Row],[DUT Read]]="","N/A",Table1[[#This Row],[Std Error]]+Table1[[#This Row],[DUT Read]]+Table1[[#This Row],[DUT Ucty]])</f>
        <v>N/A</v>
      </c>
      <c r="Y1892" s="1" t="str">
        <f>IF(Table1[[#This Row],[Std Read]]="","N/A",Table1[[#This Row],[Std Read]]+Table1[[#This Row],[Std Ucty]])</f>
        <v>N/A</v>
      </c>
      <c r="Z18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2" s="1" t="str">
        <f>IF(Table1[[#This Row],[Spec Type]]="","N/A",Table1[[#This Row],[Spec Type]])</f>
        <v>±</v>
      </c>
      <c r="AC1892" s="1" t="str">
        <f>IF(Table1[[#This Row],[Spec Type2]]="N/A","N/A",IF(AND(Table1[[#This Row],[DUT Adj Read]]&gt;=Table1[[#This Row],[Low Tol]],Table1[[#This Row],[DUT Adj Read]]&lt;=Table1[[#This Row],[High Tol]]),"Pass","Fail"))</f>
        <v>Fail</v>
      </c>
      <c r="AD1892" s="1" t="str">
        <f>IF(AND(Table1[[#This Row],[Spec Type2]]="N/A",Table1[[#This Row],[DUT Adj Read]]="N/A",Table1[[#This Row],[Std Adj Read]]="N/A"),"N/A",IF(Table1[[#This Row],[DUT Adj Read]]="N/A",IF(Table1[[#This Row],[Std Adj Read]]&gt;Table1[[#This Row],[Low Tol]],"Pass","Fail"),IF(Table1[[#This Row],[DUT Adj Read]]&gt;Table1[[#This Row],[Low Tol]],"Pass","Fail")))</f>
        <v>Pass</v>
      </c>
      <c r="AE1892" s="1" t="str">
        <f>IF(AND(Table1[[#This Row],[Spec Type2]]="N/A",Table1[[#This Row],[DUT Adj Read]]="N/A",Table1[[#This Row],[Std Adj Read]]="N/A"),"N/A",IF(Table1[[#This Row],[DUT Adj Read]]="N/A",IF(Table1[[#This Row],[Std Adj Read]]&lt;Table1[[#This Row],[High Tol]],"Pass","Fail"),IF(Table1[[#This Row],[DUT Adj Read]]&lt;Table1[[#This Row],[High Tol]],"Pass","Fail")))</f>
        <v>Fail</v>
      </c>
      <c r="AF1892" s="1" t="str">
        <f>IF(AND(Table1[[#This Row],[Spec Type2]]="N/A",Table1[[#This Row],[DUT Adj Read]]="N/A",Table1[[#This Row],[Std Adj Read]]="N/A"),"N/A",IF(Table1[[#This Row],[DUT Adj Read]]="N/A",IF(Table1[[#This Row],[Std Adj Read]]&gt;=Table1[[#This Row],[Low Tol]],"Pass","Fail"),IF(Table1[[#This Row],[DUT Adj Read]]&gt;=Table1[[#This Row],[Low Tol]],"Pass","Fail")))</f>
        <v>Pass</v>
      </c>
      <c r="AG1892" s="1" t="str">
        <f>IF(AND(Table1[[#This Row],[Spec Type2]]="N/A",Table1[[#This Row],[DUT Adj Read]]="N/A",Table1[[#This Row],[Std Adj Read]]="N/A"),"N/A",IF(Table1[[#This Row],[DUT Adj Read]]="N/A",IF(Table1[[#This Row],[Std Adj Read]]&lt;=Table1[[#This Row],[High Tol]],"Pass","Fail"),IF(Table1[[#This Row],[DUT Adj Read]]&lt;=Table1[[#This Row],[High Tol]],"Pass","Fail")))</f>
        <v>Fail</v>
      </c>
      <c r="AH18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2" s="1" t="b">
        <v>0</v>
      </c>
      <c r="AN1892" s="1" t="b">
        <v>0</v>
      </c>
      <c r="AO1892" s="1" t="b">
        <v>0</v>
      </c>
    </row>
    <row r="1893" spans="1:41" x14ac:dyDescent="0.25">
      <c r="A1893" s="10"/>
      <c r="B1893" s="10"/>
      <c r="C1893" s="10"/>
      <c r="D1893" s="10"/>
      <c r="E1893" s="10"/>
      <c r="F1893" s="10"/>
      <c r="G1893" s="10"/>
      <c r="H1893" s="10"/>
      <c r="I1893" s="1" t="str">
        <f t="shared" si="87"/>
        <v/>
      </c>
      <c r="J1893" s="1" t="s">
        <v>35</v>
      </c>
      <c r="K1893" s="1" t="str">
        <f t="shared" si="88"/>
        <v/>
      </c>
      <c r="L1893" s="1" t="str">
        <f t="shared" si="89"/>
        <v/>
      </c>
      <c r="M1893" s="1">
        <f>IF(OR(Table1[[#This Row],[Std Nom]]="",Table1[[#This Row],[Std Read]]=""),0,Table1[[#This Row],[Std Nom]]-Table1[[#This Row],[Std Read]])</f>
        <v>0</v>
      </c>
      <c r="N1893" s="1">
        <f>IF(Calculations!$F$5="ACCREDITED 17025 WITH UNCERTAINTIES",$N$10,0)</f>
        <v>0</v>
      </c>
      <c r="Q1893" s="1">
        <f>Table1[[#This Row],[High Tol]]-Table1[[#This Row],[Low Tol]]</f>
        <v>0</v>
      </c>
      <c r="R1893" s="1">
        <f>2*Table1[[#This Row],[Std Error]]</f>
        <v>0</v>
      </c>
      <c r="S1893" s="1" t="str">
        <f>IF(Table1[[#This Row],[High Tol]]="","N/A",IFERROR(ABS(Table1[[#This Row],[Tol Span]]/Table1[[#This Row],[Error Span]]),"N/A"))</f>
        <v>N/A</v>
      </c>
      <c r="T1893" s="1" t="str">
        <f>IF(OR(Table1[[#This Row],[Low Tol]]="",Table1[[#This Row],[High Tol]]=""),"Needs Analysis",IF(Table1[[#This Row],[Ratio]]&gt;=4,"Not Significant",IF(Table1[[#This Row],[Ratio]]&gt;=2,"Semi-Significant","Significant")))</f>
        <v>Needs Analysis</v>
      </c>
      <c r="W1893" s="1">
        <f>IF(Table1[[#This Row],[Cal Type]]&lt;&gt;"ACCREDITED 17025 WITH UNCERTAINTIES",0,"")</f>
        <v>0</v>
      </c>
      <c r="X1893" s="1" t="str">
        <f>IF(Table1[[#This Row],[DUT Read]]="","N/A",Table1[[#This Row],[Std Error]]+Table1[[#This Row],[DUT Read]]+Table1[[#This Row],[DUT Ucty]])</f>
        <v>N/A</v>
      </c>
      <c r="Y1893" s="1" t="str">
        <f>IF(Table1[[#This Row],[Std Read]]="","N/A",Table1[[#This Row],[Std Read]]+Table1[[#This Row],[Std Ucty]])</f>
        <v>N/A</v>
      </c>
      <c r="Z18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3" s="1" t="str">
        <f>IF(Table1[[#This Row],[Spec Type]]="","N/A",Table1[[#This Row],[Spec Type]])</f>
        <v>±</v>
      </c>
      <c r="AC1893" s="1" t="str">
        <f>IF(Table1[[#This Row],[Spec Type2]]="N/A","N/A",IF(AND(Table1[[#This Row],[DUT Adj Read]]&gt;=Table1[[#This Row],[Low Tol]],Table1[[#This Row],[DUT Adj Read]]&lt;=Table1[[#This Row],[High Tol]]),"Pass","Fail"))</f>
        <v>Fail</v>
      </c>
      <c r="AD1893" s="1" t="str">
        <f>IF(AND(Table1[[#This Row],[Spec Type2]]="N/A",Table1[[#This Row],[DUT Adj Read]]="N/A",Table1[[#This Row],[Std Adj Read]]="N/A"),"N/A",IF(Table1[[#This Row],[DUT Adj Read]]="N/A",IF(Table1[[#This Row],[Std Adj Read]]&gt;Table1[[#This Row],[Low Tol]],"Pass","Fail"),IF(Table1[[#This Row],[DUT Adj Read]]&gt;Table1[[#This Row],[Low Tol]],"Pass","Fail")))</f>
        <v>Pass</v>
      </c>
      <c r="AE1893" s="1" t="str">
        <f>IF(AND(Table1[[#This Row],[Spec Type2]]="N/A",Table1[[#This Row],[DUT Adj Read]]="N/A",Table1[[#This Row],[Std Adj Read]]="N/A"),"N/A",IF(Table1[[#This Row],[DUT Adj Read]]="N/A",IF(Table1[[#This Row],[Std Adj Read]]&lt;Table1[[#This Row],[High Tol]],"Pass","Fail"),IF(Table1[[#This Row],[DUT Adj Read]]&lt;Table1[[#This Row],[High Tol]],"Pass","Fail")))</f>
        <v>Fail</v>
      </c>
      <c r="AF1893" s="1" t="str">
        <f>IF(AND(Table1[[#This Row],[Spec Type2]]="N/A",Table1[[#This Row],[DUT Adj Read]]="N/A",Table1[[#This Row],[Std Adj Read]]="N/A"),"N/A",IF(Table1[[#This Row],[DUT Adj Read]]="N/A",IF(Table1[[#This Row],[Std Adj Read]]&gt;=Table1[[#This Row],[Low Tol]],"Pass","Fail"),IF(Table1[[#This Row],[DUT Adj Read]]&gt;=Table1[[#This Row],[Low Tol]],"Pass","Fail")))</f>
        <v>Pass</v>
      </c>
      <c r="AG1893" s="1" t="str">
        <f>IF(AND(Table1[[#This Row],[Spec Type2]]="N/A",Table1[[#This Row],[DUT Adj Read]]="N/A",Table1[[#This Row],[Std Adj Read]]="N/A"),"N/A",IF(Table1[[#This Row],[DUT Adj Read]]="N/A",IF(Table1[[#This Row],[Std Adj Read]]&lt;=Table1[[#This Row],[High Tol]],"Pass","Fail"),IF(Table1[[#This Row],[DUT Adj Read]]&lt;=Table1[[#This Row],[High Tol]],"Pass","Fail")))</f>
        <v>Fail</v>
      </c>
      <c r="AH18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3" s="1" t="b">
        <v>0</v>
      </c>
      <c r="AN1893" s="1" t="b">
        <v>0</v>
      </c>
      <c r="AO1893" s="1" t="b">
        <v>0</v>
      </c>
    </row>
    <row r="1894" spans="1:41" x14ac:dyDescent="0.25">
      <c r="A1894" s="10"/>
      <c r="B1894" s="10"/>
      <c r="C1894" s="10"/>
      <c r="D1894" s="10"/>
      <c r="E1894" s="10"/>
      <c r="F1894" s="10"/>
      <c r="G1894" s="10"/>
      <c r="H1894" s="10"/>
      <c r="I1894" s="1" t="str">
        <f t="shared" si="87"/>
        <v/>
      </c>
      <c r="J1894" s="1" t="s">
        <v>35</v>
      </c>
      <c r="K1894" s="1" t="str">
        <f t="shared" si="88"/>
        <v/>
      </c>
      <c r="L1894" s="1" t="str">
        <f t="shared" si="89"/>
        <v/>
      </c>
      <c r="M1894" s="1">
        <f>IF(OR(Table1[[#This Row],[Std Nom]]="",Table1[[#This Row],[Std Read]]=""),0,Table1[[#This Row],[Std Nom]]-Table1[[#This Row],[Std Read]])</f>
        <v>0</v>
      </c>
      <c r="N1894" s="1">
        <f>IF(Calculations!$F$5="ACCREDITED 17025 WITH UNCERTAINTIES",$N$10,0)</f>
        <v>0</v>
      </c>
      <c r="Q1894" s="1">
        <f>Table1[[#This Row],[High Tol]]-Table1[[#This Row],[Low Tol]]</f>
        <v>0</v>
      </c>
      <c r="R1894" s="1">
        <f>2*Table1[[#This Row],[Std Error]]</f>
        <v>0</v>
      </c>
      <c r="S1894" s="1" t="str">
        <f>IF(Table1[[#This Row],[High Tol]]="","N/A",IFERROR(ABS(Table1[[#This Row],[Tol Span]]/Table1[[#This Row],[Error Span]]),"N/A"))</f>
        <v>N/A</v>
      </c>
      <c r="T1894" s="1" t="str">
        <f>IF(OR(Table1[[#This Row],[Low Tol]]="",Table1[[#This Row],[High Tol]]=""),"Needs Analysis",IF(Table1[[#This Row],[Ratio]]&gt;=4,"Not Significant",IF(Table1[[#This Row],[Ratio]]&gt;=2,"Semi-Significant","Significant")))</f>
        <v>Needs Analysis</v>
      </c>
      <c r="W1894" s="1">
        <f>IF(Table1[[#This Row],[Cal Type]]&lt;&gt;"ACCREDITED 17025 WITH UNCERTAINTIES",0,"")</f>
        <v>0</v>
      </c>
      <c r="X1894" s="1" t="str">
        <f>IF(Table1[[#This Row],[DUT Read]]="","N/A",Table1[[#This Row],[Std Error]]+Table1[[#This Row],[DUT Read]]+Table1[[#This Row],[DUT Ucty]])</f>
        <v>N/A</v>
      </c>
      <c r="Y1894" s="1" t="str">
        <f>IF(Table1[[#This Row],[Std Read]]="","N/A",Table1[[#This Row],[Std Read]]+Table1[[#This Row],[Std Ucty]])</f>
        <v>N/A</v>
      </c>
      <c r="Z18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4" s="1" t="str">
        <f>IF(Table1[[#This Row],[Spec Type]]="","N/A",Table1[[#This Row],[Spec Type]])</f>
        <v>±</v>
      </c>
      <c r="AC1894" s="1" t="str">
        <f>IF(Table1[[#This Row],[Spec Type2]]="N/A","N/A",IF(AND(Table1[[#This Row],[DUT Adj Read]]&gt;=Table1[[#This Row],[Low Tol]],Table1[[#This Row],[DUT Adj Read]]&lt;=Table1[[#This Row],[High Tol]]),"Pass","Fail"))</f>
        <v>Fail</v>
      </c>
      <c r="AD1894" s="1" t="str">
        <f>IF(AND(Table1[[#This Row],[Spec Type2]]="N/A",Table1[[#This Row],[DUT Adj Read]]="N/A",Table1[[#This Row],[Std Adj Read]]="N/A"),"N/A",IF(Table1[[#This Row],[DUT Adj Read]]="N/A",IF(Table1[[#This Row],[Std Adj Read]]&gt;Table1[[#This Row],[Low Tol]],"Pass","Fail"),IF(Table1[[#This Row],[DUT Adj Read]]&gt;Table1[[#This Row],[Low Tol]],"Pass","Fail")))</f>
        <v>Pass</v>
      </c>
      <c r="AE1894" s="1" t="str">
        <f>IF(AND(Table1[[#This Row],[Spec Type2]]="N/A",Table1[[#This Row],[DUT Adj Read]]="N/A",Table1[[#This Row],[Std Adj Read]]="N/A"),"N/A",IF(Table1[[#This Row],[DUT Adj Read]]="N/A",IF(Table1[[#This Row],[Std Adj Read]]&lt;Table1[[#This Row],[High Tol]],"Pass","Fail"),IF(Table1[[#This Row],[DUT Adj Read]]&lt;Table1[[#This Row],[High Tol]],"Pass","Fail")))</f>
        <v>Fail</v>
      </c>
      <c r="AF1894" s="1" t="str">
        <f>IF(AND(Table1[[#This Row],[Spec Type2]]="N/A",Table1[[#This Row],[DUT Adj Read]]="N/A",Table1[[#This Row],[Std Adj Read]]="N/A"),"N/A",IF(Table1[[#This Row],[DUT Adj Read]]="N/A",IF(Table1[[#This Row],[Std Adj Read]]&gt;=Table1[[#This Row],[Low Tol]],"Pass","Fail"),IF(Table1[[#This Row],[DUT Adj Read]]&gt;=Table1[[#This Row],[Low Tol]],"Pass","Fail")))</f>
        <v>Pass</v>
      </c>
      <c r="AG1894" s="1" t="str">
        <f>IF(AND(Table1[[#This Row],[Spec Type2]]="N/A",Table1[[#This Row],[DUT Adj Read]]="N/A",Table1[[#This Row],[Std Adj Read]]="N/A"),"N/A",IF(Table1[[#This Row],[DUT Adj Read]]="N/A",IF(Table1[[#This Row],[Std Adj Read]]&lt;=Table1[[#This Row],[High Tol]],"Pass","Fail"),IF(Table1[[#This Row],[DUT Adj Read]]&lt;=Table1[[#This Row],[High Tol]],"Pass","Fail")))</f>
        <v>Fail</v>
      </c>
      <c r="AH18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4" s="1" t="b">
        <v>0</v>
      </c>
      <c r="AN1894" s="1" t="b">
        <v>0</v>
      </c>
      <c r="AO1894" s="1" t="b">
        <v>0</v>
      </c>
    </row>
    <row r="1895" spans="1:41" x14ac:dyDescent="0.25">
      <c r="A1895" s="10"/>
      <c r="B1895" s="10"/>
      <c r="C1895" s="10"/>
      <c r="D1895" s="10"/>
      <c r="E1895" s="10"/>
      <c r="F1895" s="10"/>
      <c r="G1895" s="10"/>
      <c r="H1895" s="10"/>
      <c r="I1895" s="1" t="str">
        <f t="shared" si="87"/>
        <v/>
      </c>
      <c r="J1895" s="1" t="s">
        <v>35</v>
      </c>
      <c r="K1895" s="1" t="str">
        <f t="shared" si="88"/>
        <v/>
      </c>
      <c r="L1895" s="1" t="str">
        <f t="shared" si="89"/>
        <v/>
      </c>
      <c r="M1895" s="1">
        <f>IF(OR(Table1[[#This Row],[Std Nom]]="",Table1[[#This Row],[Std Read]]=""),0,Table1[[#This Row],[Std Nom]]-Table1[[#This Row],[Std Read]])</f>
        <v>0</v>
      </c>
      <c r="N1895" s="1">
        <f>IF(Calculations!$F$5="ACCREDITED 17025 WITH UNCERTAINTIES",$N$10,0)</f>
        <v>0</v>
      </c>
      <c r="Q1895" s="1">
        <f>Table1[[#This Row],[High Tol]]-Table1[[#This Row],[Low Tol]]</f>
        <v>0</v>
      </c>
      <c r="R1895" s="1">
        <f>2*Table1[[#This Row],[Std Error]]</f>
        <v>0</v>
      </c>
      <c r="S1895" s="1" t="str">
        <f>IF(Table1[[#This Row],[High Tol]]="","N/A",IFERROR(ABS(Table1[[#This Row],[Tol Span]]/Table1[[#This Row],[Error Span]]),"N/A"))</f>
        <v>N/A</v>
      </c>
      <c r="T1895" s="1" t="str">
        <f>IF(OR(Table1[[#This Row],[Low Tol]]="",Table1[[#This Row],[High Tol]]=""),"Needs Analysis",IF(Table1[[#This Row],[Ratio]]&gt;=4,"Not Significant",IF(Table1[[#This Row],[Ratio]]&gt;=2,"Semi-Significant","Significant")))</f>
        <v>Needs Analysis</v>
      </c>
      <c r="W1895" s="1">
        <f>IF(Table1[[#This Row],[Cal Type]]&lt;&gt;"ACCREDITED 17025 WITH UNCERTAINTIES",0,"")</f>
        <v>0</v>
      </c>
      <c r="X1895" s="1" t="str">
        <f>IF(Table1[[#This Row],[DUT Read]]="","N/A",Table1[[#This Row],[Std Error]]+Table1[[#This Row],[DUT Read]]+Table1[[#This Row],[DUT Ucty]])</f>
        <v>N/A</v>
      </c>
      <c r="Y1895" s="1" t="str">
        <f>IF(Table1[[#This Row],[Std Read]]="","N/A",Table1[[#This Row],[Std Read]]+Table1[[#This Row],[Std Ucty]])</f>
        <v>N/A</v>
      </c>
      <c r="Z18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5" s="1" t="str">
        <f>IF(Table1[[#This Row],[Spec Type]]="","N/A",Table1[[#This Row],[Spec Type]])</f>
        <v>±</v>
      </c>
      <c r="AC1895" s="1" t="str">
        <f>IF(Table1[[#This Row],[Spec Type2]]="N/A","N/A",IF(AND(Table1[[#This Row],[DUT Adj Read]]&gt;=Table1[[#This Row],[Low Tol]],Table1[[#This Row],[DUT Adj Read]]&lt;=Table1[[#This Row],[High Tol]]),"Pass","Fail"))</f>
        <v>Fail</v>
      </c>
      <c r="AD1895" s="1" t="str">
        <f>IF(AND(Table1[[#This Row],[Spec Type2]]="N/A",Table1[[#This Row],[DUT Adj Read]]="N/A",Table1[[#This Row],[Std Adj Read]]="N/A"),"N/A",IF(Table1[[#This Row],[DUT Adj Read]]="N/A",IF(Table1[[#This Row],[Std Adj Read]]&gt;Table1[[#This Row],[Low Tol]],"Pass","Fail"),IF(Table1[[#This Row],[DUT Adj Read]]&gt;Table1[[#This Row],[Low Tol]],"Pass","Fail")))</f>
        <v>Pass</v>
      </c>
      <c r="AE1895" s="1" t="str">
        <f>IF(AND(Table1[[#This Row],[Spec Type2]]="N/A",Table1[[#This Row],[DUT Adj Read]]="N/A",Table1[[#This Row],[Std Adj Read]]="N/A"),"N/A",IF(Table1[[#This Row],[DUT Adj Read]]="N/A",IF(Table1[[#This Row],[Std Adj Read]]&lt;Table1[[#This Row],[High Tol]],"Pass","Fail"),IF(Table1[[#This Row],[DUT Adj Read]]&lt;Table1[[#This Row],[High Tol]],"Pass","Fail")))</f>
        <v>Fail</v>
      </c>
      <c r="AF1895" s="1" t="str">
        <f>IF(AND(Table1[[#This Row],[Spec Type2]]="N/A",Table1[[#This Row],[DUT Adj Read]]="N/A",Table1[[#This Row],[Std Adj Read]]="N/A"),"N/A",IF(Table1[[#This Row],[DUT Adj Read]]="N/A",IF(Table1[[#This Row],[Std Adj Read]]&gt;=Table1[[#This Row],[Low Tol]],"Pass","Fail"),IF(Table1[[#This Row],[DUT Adj Read]]&gt;=Table1[[#This Row],[Low Tol]],"Pass","Fail")))</f>
        <v>Pass</v>
      </c>
      <c r="AG1895" s="1" t="str">
        <f>IF(AND(Table1[[#This Row],[Spec Type2]]="N/A",Table1[[#This Row],[DUT Adj Read]]="N/A",Table1[[#This Row],[Std Adj Read]]="N/A"),"N/A",IF(Table1[[#This Row],[DUT Adj Read]]="N/A",IF(Table1[[#This Row],[Std Adj Read]]&lt;=Table1[[#This Row],[High Tol]],"Pass","Fail"),IF(Table1[[#This Row],[DUT Adj Read]]&lt;=Table1[[#This Row],[High Tol]],"Pass","Fail")))</f>
        <v>Fail</v>
      </c>
      <c r="AH18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5" s="1" t="b">
        <v>0</v>
      </c>
      <c r="AN1895" s="1" t="b">
        <v>0</v>
      </c>
      <c r="AO1895" s="1" t="b">
        <v>0</v>
      </c>
    </row>
    <row r="1896" spans="1:41" x14ac:dyDescent="0.25">
      <c r="A1896" s="10"/>
      <c r="B1896" s="10"/>
      <c r="C1896" s="10"/>
      <c r="D1896" s="10"/>
      <c r="E1896" s="10"/>
      <c r="F1896" s="10"/>
      <c r="G1896" s="10"/>
      <c r="H1896" s="10"/>
      <c r="I1896" s="1" t="str">
        <f t="shared" si="87"/>
        <v/>
      </c>
      <c r="J1896" s="1" t="s">
        <v>35</v>
      </c>
      <c r="K1896" s="1" t="str">
        <f t="shared" si="88"/>
        <v/>
      </c>
      <c r="L1896" s="1" t="str">
        <f t="shared" si="89"/>
        <v/>
      </c>
      <c r="M1896" s="1">
        <f>IF(OR(Table1[[#This Row],[Std Nom]]="",Table1[[#This Row],[Std Read]]=""),0,Table1[[#This Row],[Std Nom]]-Table1[[#This Row],[Std Read]])</f>
        <v>0</v>
      </c>
      <c r="N1896" s="1">
        <f>IF(Calculations!$F$5="ACCREDITED 17025 WITH UNCERTAINTIES",$N$10,0)</f>
        <v>0</v>
      </c>
      <c r="Q1896" s="1">
        <f>Table1[[#This Row],[High Tol]]-Table1[[#This Row],[Low Tol]]</f>
        <v>0</v>
      </c>
      <c r="R1896" s="1">
        <f>2*Table1[[#This Row],[Std Error]]</f>
        <v>0</v>
      </c>
      <c r="S1896" s="1" t="str">
        <f>IF(Table1[[#This Row],[High Tol]]="","N/A",IFERROR(ABS(Table1[[#This Row],[Tol Span]]/Table1[[#This Row],[Error Span]]),"N/A"))</f>
        <v>N/A</v>
      </c>
      <c r="T1896" s="1" t="str">
        <f>IF(OR(Table1[[#This Row],[Low Tol]]="",Table1[[#This Row],[High Tol]]=""),"Needs Analysis",IF(Table1[[#This Row],[Ratio]]&gt;=4,"Not Significant",IF(Table1[[#This Row],[Ratio]]&gt;=2,"Semi-Significant","Significant")))</f>
        <v>Needs Analysis</v>
      </c>
      <c r="W1896" s="1">
        <f>IF(Table1[[#This Row],[Cal Type]]&lt;&gt;"ACCREDITED 17025 WITH UNCERTAINTIES",0,"")</f>
        <v>0</v>
      </c>
      <c r="X1896" s="1" t="str">
        <f>IF(Table1[[#This Row],[DUT Read]]="","N/A",Table1[[#This Row],[Std Error]]+Table1[[#This Row],[DUT Read]]+Table1[[#This Row],[DUT Ucty]])</f>
        <v>N/A</v>
      </c>
      <c r="Y1896" s="1" t="str">
        <f>IF(Table1[[#This Row],[Std Read]]="","N/A",Table1[[#This Row],[Std Read]]+Table1[[#This Row],[Std Ucty]])</f>
        <v>N/A</v>
      </c>
      <c r="Z18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6" s="1" t="str">
        <f>IF(Table1[[#This Row],[Spec Type]]="","N/A",Table1[[#This Row],[Spec Type]])</f>
        <v>±</v>
      </c>
      <c r="AC1896" s="1" t="str">
        <f>IF(Table1[[#This Row],[Spec Type2]]="N/A","N/A",IF(AND(Table1[[#This Row],[DUT Adj Read]]&gt;=Table1[[#This Row],[Low Tol]],Table1[[#This Row],[DUT Adj Read]]&lt;=Table1[[#This Row],[High Tol]]),"Pass","Fail"))</f>
        <v>Fail</v>
      </c>
      <c r="AD1896" s="1" t="str">
        <f>IF(AND(Table1[[#This Row],[Spec Type2]]="N/A",Table1[[#This Row],[DUT Adj Read]]="N/A",Table1[[#This Row],[Std Adj Read]]="N/A"),"N/A",IF(Table1[[#This Row],[DUT Adj Read]]="N/A",IF(Table1[[#This Row],[Std Adj Read]]&gt;Table1[[#This Row],[Low Tol]],"Pass","Fail"),IF(Table1[[#This Row],[DUT Adj Read]]&gt;Table1[[#This Row],[Low Tol]],"Pass","Fail")))</f>
        <v>Pass</v>
      </c>
      <c r="AE1896" s="1" t="str">
        <f>IF(AND(Table1[[#This Row],[Spec Type2]]="N/A",Table1[[#This Row],[DUT Adj Read]]="N/A",Table1[[#This Row],[Std Adj Read]]="N/A"),"N/A",IF(Table1[[#This Row],[DUT Adj Read]]="N/A",IF(Table1[[#This Row],[Std Adj Read]]&lt;Table1[[#This Row],[High Tol]],"Pass","Fail"),IF(Table1[[#This Row],[DUT Adj Read]]&lt;Table1[[#This Row],[High Tol]],"Pass","Fail")))</f>
        <v>Fail</v>
      </c>
      <c r="AF1896" s="1" t="str">
        <f>IF(AND(Table1[[#This Row],[Spec Type2]]="N/A",Table1[[#This Row],[DUT Adj Read]]="N/A",Table1[[#This Row],[Std Adj Read]]="N/A"),"N/A",IF(Table1[[#This Row],[DUT Adj Read]]="N/A",IF(Table1[[#This Row],[Std Adj Read]]&gt;=Table1[[#This Row],[Low Tol]],"Pass","Fail"),IF(Table1[[#This Row],[DUT Adj Read]]&gt;=Table1[[#This Row],[Low Tol]],"Pass","Fail")))</f>
        <v>Pass</v>
      </c>
      <c r="AG1896" s="1" t="str">
        <f>IF(AND(Table1[[#This Row],[Spec Type2]]="N/A",Table1[[#This Row],[DUT Adj Read]]="N/A",Table1[[#This Row],[Std Adj Read]]="N/A"),"N/A",IF(Table1[[#This Row],[DUT Adj Read]]="N/A",IF(Table1[[#This Row],[Std Adj Read]]&lt;=Table1[[#This Row],[High Tol]],"Pass","Fail"),IF(Table1[[#This Row],[DUT Adj Read]]&lt;=Table1[[#This Row],[High Tol]],"Pass","Fail")))</f>
        <v>Fail</v>
      </c>
      <c r="AH18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6" s="1" t="b">
        <v>0</v>
      </c>
      <c r="AN1896" s="1" t="b">
        <v>0</v>
      </c>
      <c r="AO1896" s="1" t="b">
        <v>0</v>
      </c>
    </row>
    <row r="1897" spans="1:41" x14ac:dyDescent="0.25">
      <c r="A1897" s="10"/>
      <c r="B1897" s="10"/>
      <c r="C1897" s="10"/>
      <c r="D1897" s="10"/>
      <c r="E1897" s="10"/>
      <c r="F1897" s="10"/>
      <c r="G1897" s="10"/>
      <c r="H1897" s="10"/>
      <c r="I1897" s="1" t="str">
        <f t="shared" si="87"/>
        <v/>
      </c>
      <c r="J1897" s="1" t="s">
        <v>35</v>
      </c>
      <c r="K1897" s="1" t="str">
        <f t="shared" si="88"/>
        <v/>
      </c>
      <c r="L1897" s="1" t="str">
        <f t="shared" si="89"/>
        <v/>
      </c>
      <c r="M1897" s="1">
        <f>IF(OR(Table1[[#This Row],[Std Nom]]="",Table1[[#This Row],[Std Read]]=""),0,Table1[[#This Row],[Std Nom]]-Table1[[#This Row],[Std Read]])</f>
        <v>0</v>
      </c>
      <c r="N1897" s="1">
        <f>IF(Calculations!$F$5="ACCREDITED 17025 WITH UNCERTAINTIES",$N$10,0)</f>
        <v>0</v>
      </c>
      <c r="Q1897" s="1">
        <f>Table1[[#This Row],[High Tol]]-Table1[[#This Row],[Low Tol]]</f>
        <v>0</v>
      </c>
      <c r="R1897" s="1">
        <f>2*Table1[[#This Row],[Std Error]]</f>
        <v>0</v>
      </c>
      <c r="S1897" s="1" t="str">
        <f>IF(Table1[[#This Row],[High Tol]]="","N/A",IFERROR(ABS(Table1[[#This Row],[Tol Span]]/Table1[[#This Row],[Error Span]]),"N/A"))</f>
        <v>N/A</v>
      </c>
      <c r="T1897" s="1" t="str">
        <f>IF(OR(Table1[[#This Row],[Low Tol]]="",Table1[[#This Row],[High Tol]]=""),"Needs Analysis",IF(Table1[[#This Row],[Ratio]]&gt;=4,"Not Significant",IF(Table1[[#This Row],[Ratio]]&gt;=2,"Semi-Significant","Significant")))</f>
        <v>Needs Analysis</v>
      </c>
      <c r="W1897" s="1">
        <f>IF(Table1[[#This Row],[Cal Type]]&lt;&gt;"ACCREDITED 17025 WITH UNCERTAINTIES",0,"")</f>
        <v>0</v>
      </c>
      <c r="X1897" s="1" t="str">
        <f>IF(Table1[[#This Row],[DUT Read]]="","N/A",Table1[[#This Row],[Std Error]]+Table1[[#This Row],[DUT Read]]+Table1[[#This Row],[DUT Ucty]])</f>
        <v>N/A</v>
      </c>
      <c r="Y1897" s="1" t="str">
        <f>IF(Table1[[#This Row],[Std Read]]="","N/A",Table1[[#This Row],[Std Read]]+Table1[[#This Row],[Std Ucty]])</f>
        <v>N/A</v>
      </c>
      <c r="Z18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7" s="1" t="str">
        <f>IF(Table1[[#This Row],[Spec Type]]="","N/A",Table1[[#This Row],[Spec Type]])</f>
        <v>±</v>
      </c>
      <c r="AC1897" s="1" t="str">
        <f>IF(Table1[[#This Row],[Spec Type2]]="N/A","N/A",IF(AND(Table1[[#This Row],[DUT Adj Read]]&gt;=Table1[[#This Row],[Low Tol]],Table1[[#This Row],[DUT Adj Read]]&lt;=Table1[[#This Row],[High Tol]]),"Pass","Fail"))</f>
        <v>Fail</v>
      </c>
      <c r="AD1897" s="1" t="str">
        <f>IF(AND(Table1[[#This Row],[Spec Type2]]="N/A",Table1[[#This Row],[DUT Adj Read]]="N/A",Table1[[#This Row],[Std Adj Read]]="N/A"),"N/A",IF(Table1[[#This Row],[DUT Adj Read]]="N/A",IF(Table1[[#This Row],[Std Adj Read]]&gt;Table1[[#This Row],[Low Tol]],"Pass","Fail"),IF(Table1[[#This Row],[DUT Adj Read]]&gt;Table1[[#This Row],[Low Tol]],"Pass","Fail")))</f>
        <v>Pass</v>
      </c>
      <c r="AE1897" s="1" t="str">
        <f>IF(AND(Table1[[#This Row],[Spec Type2]]="N/A",Table1[[#This Row],[DUT Adj Read]]="N/A",Table1[[#This Row],[Std Adj Read]]="N/A"),"N/A",IF(Table1[[#This Row],[DUT Adj Read]]="N/A",IF(Table1[[#This Row],[Std Adj Read]]&lt;Table1[[#This Row],[High Tol]],"Pass","Fail"),IF(Table1[[#This Row],[DUT Adj Read]]&lt;Table1[[#This Row],[High Tol]],"Pass","Fail")))</f>
        <v>Fail</v>
      </c>
      <c r="AF1897" s="1" t="str">
        <f>IF(AND(Table1[[#This Row],[Spec Type2]]="N/A",Table1[[#This Row],[DUT Adj Read]]="N/A",Table1[[#This Row],[Std Adj Read]]="N/A"),"N/A",IF(Table1[[#This Row],[DUT Adj Read]]="N/A",IF(Table1[[#This Row],[Std Adj Read]]&gt;=Table1[[#This Row],[Low Tol]],"Pass","Fail"),IF(Table1[[#This Row],[DUT Adj Read]]&gt;=Table1[[#This Row],[Low Tol]],"Pass","Fail")))</f>
        <v>Pass</v>
      </c>
      <c r="AG1897" s="1" t="str">
        <f>IF(AND(Table1[[#This Row],[Spec Type2]]="N/A",Table1[[#This Row],[DUT Adj Read]]="N/A",Table1[[#This Row],[Std Adj Read]]="N/A"),"N/A",IF(Table1[[#This Row],[DUT Adj Read]]="N/A",IF(Table1[[#This Row],[Std Adj Read]]&lt;=Table1[[#This Row],[High Tol]],"Pass","Fail"),IF(Table1[[#This Row],[DUT Adj Read]]&lt;=Table1[[#This Row],[High Tol]],"Pass","Fail")))</f>
        <v>Fail</v>
      </c>
      <c r="AH18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7" s="1" t="b">
        <v>0</v>
      </c>
      <c r="AN1897" s="1" t="b">
        <v>0</v>
      </c>
      <c r="AO1897" s="1" t="b">
        <v>0</v>
      </c>
    </row>
    <row r="1898" spans="1:41" x14ac:dyDescent="0.25">
      <c r="A1898" s="10"/>
      <c r="B1898" s="10"/>
      <c r="C1898" s="10"/>
      <c r="D1898" s="10"/>
      <c r="E1898" s="10"/>
      <c r="F1898" s="10"/>
      <c r="G1898" s="10"/>
      <c r="H1898" s="10"/>
      <c r="I1898" s="1" t="str">
        <f t="shared" si="87"/>
        <v/>
      </c>
      <c r="J1898" s="1" t="s">
        <v>35</v>
      </c>
      <c r="K1898" s="1" t="str">
        <f t="shared" si="88"/>
        <v/>
      </c>
      <c r="L1898" s="1" t="str">
        <f t="shared" si="89"/>
        <v/>
      </c>
      <c r="M1898" s="1">
        <f>IF(OR(Table1[[#This Row],[Std Nom]]="",Table1[[#This Row],[Std Read]]=""),0,Table1[[#This Row],[Std Nom]]-Table1[[#This Row],[Std Read]])</f>
        <v>0</v>
      </c>
      <c r="N1898" s="1">
        <f>IF(Calculations!$F$5="ACCREDITED 17025 WITH UNCERTAINTIES",$N$10,0)</f>
        <v>0</v>
      </c>
      <c r="Q1898" s="1">
        <f>Table1[[#This Row],[High Tol]]-Table1[[#This Row],[Low Tol]]</f>
        <v>0</v>
      </c>
      <c r="R1898" s="1">
        <f>2*Table1[[#This Row],[Std Error]]</f>
        <v>0</v>
      </c>
      <c r="S1898" s="1" t="str">
        <f>IF(Table1[[#This Row],[High Tol]]="","N/A",IFERROR(ABS(Table1[[#This Row],[Tol Span]]/Table1[[#This Row],[Error Span]]),"N/A"))</f>
        <v>N/A</v>
      </c>
      <c r="T1898" s="1" t="str">
        <f>IF(OR(Table1[[#This Row],[Low Tol]]="",Table1[[#This Row],[High Tol]]=""),"Needs Analysis",IF(Table1[[#This Row],[Ratio]]&gt;=4,"Not Significant",IF(Table1[[#This Row],[Ratio]]&gt;=2,"Semi-Significant","Significant")))</f>
        <v>Needs Analysis</v>
      </c>
      <c r="W1898" s="1">
        <f>IF(Table1[[#This Row],[Cal Type]]&lt;&gt;"ACCREDITED 17025 WITH UNCERTAINTIES",0,"")</f>
        <v>0</v>
      </c>
      <c r="X1898" s="1" t="str">
        <f>IF(Table1[[#This Row],[DUT Read]]="","N/A",Table1[[#This Row],[Std Error]]+Table1[[#This Row],[DUT Read]]+Table1[[#This Row],[DUT Ucty]])</f>
        <v>N/A</v>
      </c>
      <c r="Y1898" s="1" t="str">
        <f>IF(Table1[[#This Row],[Std Read]]="","N/A",Table1[[#This Row],[Std Read]]+Table1[[#This Row],[Std Ucty]])</f>
        <v>N/A</v>
      </c>
      <c r="Z18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8" s="1" t="str">
        <f>IF(Table1[[#This Row],[Spec Type]]="","N/A",Table1[[#This Row],[Spec Type]])</f>
        <v>±</v>
      </c>
      <c r="AC1898" s="1" t="str">
        <f>IF(Table1[[#This Row],[Spec Type2]]="N/A","N/A",IF(AND(Table1[[#This Row],[DUT Adj Read]]&gt;=Table1[[#This Row],[Low Tol]],Table1[[#This Row],[DUT Adj Read]]&lt;=Table1[[#This Row],[High Tol]]),"Pass","Fail"))</f>
        <v>Fail</v>
      </c>
      <c r="AD1898" s="1" t="str">
        <f>IF(AND(Table1[[#This Row],[Spec Type2]]="N/A",Table1[[#This Row],[DUT Adj Read]]="N/A",Table1[[#This Row],[Std Adj Read]]="N/A"),"N/A",IF(Table1[[#This Row],[DUT Adj Read]]="N/A",IF(Table1[[#This Row],[Std Adj Read]]&gt;Table1[[#This Row],[Low Tol]],"Pass","Fail"),IF(Table1[[#This Row],[DUT Adj Read]]&gt;Table1[[#This Row],[Low Tol]],"Pass","Fail")))</f>
        <v>Pass</v>
      </c>
      <c r="AE1898" s="1" t="str">
        <f>IF(AND(Table1[[#This Row],[Spec Type2]]="N/A",Table1[[#This Row],[DUT Adj Read]]="N/A",Table1[[#This Row],[Std Adj Read]]="N/A"),"N/A",IF(Table1[[#This Row],[DUT Adj Read]]="N/A",IF(Table1[[#This Row],[Std Adj Read]]&lt;Table1[[#This Row],[High Tol]],"Pass","Fail"),IF(Table1[[#This Row],[DUT Adj Read]]&lt;Table1[[#This Row],[High Tol]],"Pass","Fail")))</f>
        <v>Fail</v>
      </c>
      <c r="AF1898" s="1" t="str">
        <f>IF(AND(Table1[[#This Row],[Spec Type2]]="N/A",Table1[[#This Row],[DUT Adj Read]]="N/A",Table1[[#This Row],[Std Adj Read]]="N/A"),"N/A",IF(Table1[[#This Row],[DUT Adj Read]]="N/A",IF(Table1[[#This Row],[Std Adj Read]]&gt;=Table1[[#This Row],[Low Tol]],"Pass","Fail"),IF(Table1[[#This Row],[DUT Adj Read]]&gt;=Table1[[#This Row],[Low Tol]],"Pass","Fail")))</f>
        <v>Pass</v>
      </c>
      <c r="AG1898" s="1" t="str">
        <f>IF(AND(Table1[[#This Row],[Spec Type2]]="N/A",Table1[[#This Row],[DUT Adj Read]]="N/A",Table1[[#This Row],[Std Adj Read]]="N/A"),"N/A",IF(Table1[[#This Row],[DUT Adj Read]]="N/A",IF(Table1[[#This Row],[Std Adj Read]]&lt;=Table1[[#This Row],[High Tol]],"Pass","Fail"),IF(Table1[[#This Row],[DUT Adj Read]]&lt;=Table1[[#This Row],[High Tol]],"Pass","Fail")))</f>
        <v>Fail</v>
      </c>
      <c r="AH18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8" s="1" t="b">
        <v>0</v>
      </c>
      <c r="AN1898" s="1" t="b">
        <v>0</v>
      </c>
      <c r="AO1898" s="1" t="b">
        <v>0</v>
      </c>
    </row>
    <row r="1899" spans="1:41" x14ac:dyDescent="0.25">
      <c r="A1899" s="10"/>
      <c r="B1899" s="10"/>
      <c r="C1899" s="10"/>
      <c r="D1899" s="10"/>
      <c r="E1899" s="10"/>
      <c r="F1899" s="10"/>
      <c r="G1899" s="10"/>
      <c r="H1899" s="10"/>
      <c r="I1899" s="1" t="str">
        <f t="shared" si="87"/>
        <v/>
      </c>
      <c r="J1899" s="1" t="s">
        <v>35</v>
      </c>
      <c r="K1899" s="1" t="str">
        <f t="shared" si="88"/>
        <v/>
      </c>
      <c r="L1899" s="1" t="str">
        <f t="shared" si="89"/>
        <v/>
      </c>
      <c r="M1899" s="1">
        <f>IF(OR(Table1[[#This Row],[Std Nom]]="",Table1[[#This Row],[Std Read]]=""),0,Table1[[#This Row],[Std Nom]]-Table1[[#This Row],[Std Read]])</f>
        <v>0</v>
      </c>
      <c r="N1899" s="1">
        <f>IF(Calculations!$F$5="ACCREDITED 17025 WITH UNCERTAINTIES",$N$10,0)</f>
        <v>0</v>
      </c>
      <c r="Q1899" s="1">
        <f>Table1[[#This Row],[High Tol]]-Table1[[#This Row],[Low Tol]]</f>
        <v>0</v>
      </c>
      <c r="R1899" s="1">
        <f>2*Table1[[#This Row],[Std Error]]</f>
        <v>0</v>
      </c>
      <c r="S1899" s="1" t="str">
        <f>IF(Table1[[#This Row],[High Tol]]="","N/A",IFERROR(ABS(Table1[[#This Row],[Tol Span]]/Table1[[#This Row],[Error Span]]),"N/A"))</f>
        <v>N/A</v>
      </c>
      <c r="T1899" s="1" t="str">
        <f>IF(OR(Table1[[#This Row],[Low Tol]]="",Table1[[#This Row],[High Tol]]=""),"Needs Analysis",IF(Table1[[#This Row],[Ratio]]&gt;=4,"Not Significant",IF(Table1[[#This Row],[Ratio]]&gt;=2,"Semi-Significant","Significant")))</f>
        <v>Needs Analysis</v>
      </c>
      <c r="W1899" s="1">
        <f>IF(Table1[[#This Row],[Cal Type]]&lt;&gt;"ACCREDITED 17025 WITH UNCERTAINTIES",0,"")</f>
        <v>0</v>
      </c>
      <c r="X1899" s="1" t="str">
        <f>IF(Table1[[#This Row],[DUT Read]]="","N/A",Table1[[#This Row],[Std Error]]+Table1[[#This Row],[DUT Read]]+Table1[[#This Row],[DUT Ucty]])</f>
        <v>N/A</v>
      </c>
      <c r="Y1899" s="1" t="str">
        <f>IF(Table1[[#This Row],[Std Read]]="","N/A",Table1[[#This Row],[Std Read]]+Table1[[#This Row],[Std Ucty]])</f>
        <v>N/A</v>
      </c>
      <c r="Z18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899" s="1" t="str">
        <f>IF(Table1[[#This Row],[Spec Type]]="","N/A",Table1[[#This Row],[Spec Type]])</f>
        <v>±</v>
      </c>
      <c r="AC1899" s="1" t="str">
        <f>IF(Table1[[#This Row],[Spec Type2]]="N/A","N/A",IF(AND(Table1[[#This Row],[DUT Adj Read]]&gt;=Table1[[#This Row],[Low Tol]],Table1[[#This Row],[DUT Adj Read]]&lt;=Table1[[#This Row],[High Tol]]),"Pass","Fail"))</f>
        <v>Fail</v>
      </c>
      <c r="AD1899" s="1" t="str">
        <f>IF(AND(Table1[[#This Row],[Spec Type2]]="N/A",Table1[[#This Row],[DUT Adj Read]]="N/A",Table1[[#This Row],[Std Adj Read]]="N/A"),"N/A",IF(Table1[[#This Row],[DUT Adj Read]]="N/A",IF(Table1[[#This Row],[Std Adj Read]]&gt;Table1[[#This Row],[Low Tol]],"Pass","Fail"),IF(Table1[[#This Row],[DUT Adj Read]]&gt;Table1[[#This Row],[Low Tol]],"Pass","Fail")))</f>
        <v>Pass</v>
      </c>
      <c r="AE1899" s="1" t="str">
        <f>IF(AND(Table1[[#This Row],[Spec Type2]]="N/A",Table1[[#This Row],[DUT Adj Read]]="N/A",Table1[[#This Row],[Std Adj Read]]="N/A"),"N/A",IF(Table1[[#This Row],[DUT Adj Read]]="N/A",IF(Table1[[#This Row],[Std Adj Read]]&lt;Table1[[#This Row],[High Tol]],"Pass","Fail"),IF(Table1[[#This Row],[DUT Adj Read]]&lt;Table1[[#This Row],[High Tol]],"Pass","Fail")))</f>
        <v>Fail</v>
      </c>
      <c r="AF1899" s="1" t="str">
        <f>IF(AND(Table1[[#This Row],[Spec Type2]]="N/A",Table1[[#This Row],[DUT Adj Read]]="N/A",Table1[[#This Row],[Std Adj Read]]="N/A"),"N/A",IF(Table1[[#This Row],[DUT Adj Read]]="N/A",IF(Table1[[#This Row],[Std Adj Read]]&gt;=Table1[[#This Row],[Low Tol]],"Pass","Fail"),IF(Table1[[#This Row],[DUT Adj Read]]&gt;=Table1[[#This Row],[Low Tol]],"Pass","Fail")))</f>
        <v>Pass</v>
      </c>
      <c r="AG1899" s="1" t="str">
        <f>IF(AND(Table1[[#This Row],[Spec Type2]]="N/A",Table1[[#This Row],[DUT Adj Read]]="N/A",Table1[[#This Row],[Std Adj Read]]="N/A"),"N/A",IF(Table1[[#This Row],[DUT Adj Read]]="N/A",IF(Table1[[#This Row],[Std Adj Read]]&lt;=Table1[[#This Row],[High Tol]],"Pass","Fail"),IF(Table1[[#This Row],[DUT Adj Read]]&lt;=Table1[[#This Row],[High Tol]],"Pass","Fail")))</f>
        <v>Fail</v>
      </c>
      <c r="AH18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899" s="1" t="b">
        <v>0</v>
      </c>
      <c r="AN1899" s="1" t="b">
        <v>0</v>
      </c>
      <c r="AO1899" s="1" t="b">
        <v>0</v>
      </c>
    </row>
    <row r="1900" spans="1:41" x14ac:dyDescent="0.25">
      <c r="A1900" s="10"/>
      <c r="B1900" s="10"/>
      <c r="C1900" s="10"/>
      <c r="D1900" s="10"/>
      <c r="E1900" s="10"/>
      <c r="F1900" s="10"/>
      <c r="G1900" s="10"/>
      <c r="H1900" s="10"/>
      <c r="I1900" s="1" t="str">
        <f t="shared" si="87"/>
        <v/>
      </c>
      <c r="J1900" s="1" t="s">
        <v>35</v>
      </c>
      <c r="K1900" s="1" t="str">
        <f t="shared" si="88"/>
        <v/>
      </c>
      <c r="L1900" s="1" t="str">
        <f t="shared" si="89"/>
        <v/>
      </c>
      <c r="M1900" s="1">
        <f>IF(OR(Table1[[#This Row],[Std Nom]]="",Table1[[#This Row],[Std Read]]=""),0,Table1[[#This Row],[Std Nom]]-Table1[[#This Row],[Std Read]])</f>
        <v>0</v>
      </c>
      <c r="N1900" s="1">
        <f>IF(Calculations!$F$5="ACCREDITED 17025 WITH UNCERTAINTIES",$N$10,0)</f>
        <v>0</v>
      </c>
      <c r="Q1900" s="1">
        <f>Table1[[#This Row],[High Tol]]-Table1[[#This Row],[Low Tol]]</f>
        <v>0</v>
      </c>
      <c r="R1900" s="1">
        <f>2*Table1[[#This Row],[Std Error]]</f>
        <v>0</v>
      </c>
      <c r="S1900" s="1" t="str">
        <f>IF(Table1[[#This Row],[High Tol]]="","N/A",IFERROR(ABS(Table1[[#This Row],[Tol Span]]/Table1[[#This Row],[Error Span]]),"N/A"))</f>
        <v>N/A</v>
      </c>
      <c r="T1900" s="1" t="str">
        <f>IF(OR(Table1[[#This Row],[Low Tol]]="",Table1[[#This Row],[High Tol]]=""),"Needs Analysis",IF(Table1[[#This Row],[Ratio]]&gt;=4,"Not Significant",IF(Table1[[#This Row],[Ratio]]&gt;=2,"Semi-Significant","Significant")))</f>
        <v>Needs Analysis</v>
      </c>
      <c r="W1900" s="1">
        <f>IF(Table1[[#This Row],[Cal Type]]&lt;&gt;"ACCREDITED 17025 WITH UNCERTAINTIES",0,"")</f>
        <v>0</v>
      </c>
      <c r="X1900" s="1" t="str">
        <f>IF(Table1[[#This Row],[DUT Read]]="","N/A",Table1[[#This Row],[Std Error]]+Table1[[#This Row],[DUT Read]]+Table1[[#This Row],[DUT Ucty]])</f>
        <v>N/A</v>
      </c>
      <c r="Y1900" s="1" t="str">
        <f>IF(Table1[[#This Row],[Std Read]]="","N/A",Table1[[#This Row],[Std Read]]+Table1[[#This Row],[Std Ucty]])</f>
        <v>N/A</v>
      </c>
      <c r="Z19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0" s="1" t="str">
        <f>IF(Table1[[#This Row],[Spec Type]]="","N/A",Table1[[#This Row],[Spec Type]])</f>
        <v>±</v>
      </c>
      <c r="AC1900" s="1" t="str">
        <f>IF(Table1[[#This Row],[Spec Type2]]="N/A","N/A",IF(AND(Table1[[#This Row],[DUT Adj Read]]&gt;=Table1[[#This Row],[Low Tol]],Table1[[#This Row],[DUT Adj Read]]&lt;=Table1[[#This Row],[High Tol]]),"Pass","Fail"))</f>
        <v>Fail</v>
      </c>
      <c r="AD1900" s="1" t="str">
        <f>IF(AND(Table1[[#This Row],[Spec Type2]]="N/A",Table1[[#This Row],[DUT Adj Read]]="N/A",Table1[[#This Row],[Std Adj Read]]="N/A"),"N/A",IF(Table1[[#This Row],[DUT Adj Read]]="N/A",IF(Table1[[#This Row],[Std Adj Read]]&gt;Table1[[#This Row],[Low Tol]],"Pass","Fail"),IF(Table1[[#This Row],[DUT Adj Read]]&gt;Table1[[#This Row],[Low Tol]],"Pass","Fail")))</f>
        <v>Pass</v>
      </c>
      <c r="AE1900" s="1" t="str">
        <f>IF(AND(Table1[[#This Row],[Spec Type2]]="N/A",Table1[[#This Row],[DUT Adj Read]]="N/A",Table1[[#This Row],[Std Adj Read]]="N/A"),"N/A",IF(Table1[[#This Row],[DUT Adj Read]]="N/A",IF(Table1[[#This Row],[Std Adj Read]]&lt;Table1[[#This Row],[High Tol]],"Pass","Fail"),IF(Table1[[#This Row],[DUT Adj Read]]&lt;Table1[[#This Row],[High Tol]],"Pass","Fail")))</f>
        <v>Fail</v>
      </c>
      <c r="AF1900" s="1" t="str">
        <f>IF(AND(Table1[[#This Row],[Spec Type2]]="N/A",Table1[[#This Row],[DUT Adj Read]]="N/A",Table1[[#This Row],[Std Adj Read]]="N/A"),"N/A",IF(Table1[[#This Row],[DUT Adj Read]]="N/A",IF(Table1[[#This Row],[Std Adj Read]]&gt;=Table1[[#This Row],[Low Tol]],"Pass","Fail"),IF(Table1[[#This Row],[DUT Adj Read]]&gt;=Table1[[#This Row],[Low Tol]],"Pass","Fail")))</f>
        <v>Pass</v>
      </c>
      <c r="AG1900" s="1" t="str">
        <f>IF(AND(Table1[[#This Row],[Spec Type2]]="N/A",Table1[[#This Row],[DUT Adj Read]]="N/A",Table1[[#This Row],[Std Adj Read]]="N/A"),"N/A",IF(Table1[[#This Row],[DUT Adj Read]]="N/A",IF(Table1[[#This Row],[Std Adj Read]]&lt;=Table1[[#This Row],[High Tol]],"Pass","Fail"),IF(Table1[[#This Row],[DUT Adj Read]]&lt;=Table1[[#This Row],[High Tol]],"Pass","Fail")))</f>
        <v>Fail</v>
      </c>
      <c r="AH19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0" s="1" t="b">
        <v>0</v>
      </c>
      <c r="AN1900" s="1" t="b">
        <v>0</v>
      </c>
      <c r="AO1900" s="1" t="b">
        <v>0</v>
      </c>
    </row>
    <row r="1901" spans="1:41" x14ac:dyDescent="0.25">
      <c r="A1901" s="10"/>
      <c r="B1901" s="10"/>
      <c r="C1901" s="10"/>
      <c r="D1901" s="10"/>
      <c r="E1901" s="10"/>
      <c r="F1901" s="10"/>
      <c r="G1901" s="10"/>
      <c r="H1901" s="10"/>
      <c r="I1901" s="1" t="str">
        <f t="shared" si="87"/>
        <v/>
      </c>
      <c r="J1901" s="1" t="s">
        <v>35</v>
      </c>
      <c r="K1901" s="1" t="str">
        <f t="shared" si="88"/>
        <v/>
      </c>
      <c r="L1901" s="1" t="str">
        <f t="shared" si="89"/>
        <v/>
      </c>
      <c r="M1901" s="1">
        <f>IF(OR(Table1[[#This Row],[Std Nom]]="",Table1[[#This Row],[Std Read]]=""),0,Table1[[#This Row],[Std Nom]]-Table1[[#This Row],[Std Read]])</f>
        <v>0</v>
      </c>
      <c r="N1901" s="1">
        <f>IF(Calculations!$F$5="ACCREDITED 17025 WITH UNCERTAINTIES",$N$10,0)</f>
        <v>0</v>
      </c>
      <c r="Q1901" s="1">
        <f>Table1[[#This Row],[High Tol]]-Table1[[#This Row],[Low Tol]]</f>
        <v>0</v>
      </c>
      <c r="R1901" s="1">
        <f>2*Table1[[#This Row],[Std Error]]</f>
        <v>0</v>
      </c>
      <c r="S1901" s="1" t="str">
        <f>IF(Table1[[#This Row],[High Tol]]="","N/A",IFERROR(ABS(Table1[[#This Row],[Tol Span]]/Table1[[#This Row],[Error Span]]),"N/A"))</f>
        <v>N/A</v>
      </c>
      <c r="T1901" s="1" t="str">
        <f>IF(OR(Table1[[#This Row],[Low Tol]]="",Table1[[#This Row],[High Tol]]=""),"Needs Analysis",IF(Table1[[#This Row],[Ratio]]&gt;=4,"Not Significant",IF(Table1[[#This Row],[Ratio]]&gt;=2,"Semi-Significant","Significant")))</f>
        <v>Needs Analysis</v>
      </c>
      <c r="W1901" s="1">
        <f>IF(Table1[[#This Row],[Cal Type]]&lt;&gt;"ACCREDITED 17025 WITH UNCERTAINTIES",0,"")</f>
        <v>0</v>
      </c>
      <c r="X1901" s="1" t="str">
        <f>IF(Table1[[#This Row],[DUT Read]]="","N/A",Table1[[#This Row],[Std Error]]+Table1[[#This Row],[DUT Read]]+Table1[[#This Row],[DUT Ucty]])</f>
        <v>N/A</v>
      </c>
      <c r="Y1901" s="1" t="str">
        <f>IF(Table1[[#This Row],[Std Read]]="","N/A",Table1[[#This Row],[Std Read]]+Table1[[#This Row],[Std Ucty]])</f>
        <v>N/A</v>
      </c>
      <c r="Z19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1" s="1" t="str">
        <f>IF(Table1[[#This Row],[Spec Type]]="","N/A",Table1[[#This Row],[Spec Type]])</f>
        <v>±</v>
      </c>
      <c r="AC1901" s="1" t="str">
        <f>IF(Table1[[#This Row],[Spec Type2]]="N/A","N/A",IF(AND(Table1[[#This Row],[DUT Adj Read]]&gt;=Table1[[#This Row],[Low Tol]],Table1[[#This Row],[DUT Adj Read]]&lt;=Table1[[#This Row],[High Tol]]),"Pass","Fail"))</f>
        <v>Fail</v>
      </c>
      <c r="AD1901" s="1" t="str">
        <f>IF(AND(Table1[[#This Row],[Spec Type2]]="N/A",Table1[[#This Row],[DUT Adj Read]]="N/A",Table1[[#This Row],[Std Adj Read]]="N/A"),"N/A",IF(Table1[[#This Row],[DUT Adj Read]]="N/A",IF(Table1[[#This Row],[Std Adj Read]]&gt;Table1[[#This Row],[Low Tol]],"Pass","Fail"),IF(Table1[[#This Row],[DUT Adj Read]]&gt;Table1[[#This Row],[Low Tol]],"Pass","Fail")))</f>
        <v>Pass</v>
      </c>
      <c r="AE1901" s="1" t="str">
        <f>IF(AND(Table1[[#This Row],[Spec Type2]]="N/A",Table1[[#This Row],[DUT Adj Read]]="N/A",Table1[[#This Row],[Std Adj Read]]="N/A"),"N/A",IF(Table1[[#This Row],[DUT Adj Read]]="N/A",IF(Table1[[#This Row],[Std Adj Read]]&lt;Table1[[#This Row],[High Tol]],"Pass","Fail"),IF(Table1[[#This Row],[DUT Adj Read]]&lt;Table1[[#This Row],[High Tol]],"Pass","Fail")))</f>
        <v>Fail</v>
      </c>
      <c r="AF1901" s="1" t="str">
        <f>IF(AND(Table1[[#This Row],[Spec Type2]]="N/A",Table1[[#This Row],[DUT Adj Read]]="N/A",Table1[[#This Row],[Std Adj Read]]="N/A"),"N/A",IF(Table1[[#This Row],[DUT Adj Read]]="N/A",IF(Table1[[#This Row],[Std Adj Read]]&gt;=Table1[[#This Row],[Low Tol]],"Pass","Fail"),IF(Table1[[#This Row],[DUT Adj Read]]&gt;=Table1[[#This Row],[Low Tol]],"Pass","Fail")))</f>
        <v>Pass</v>
      </c>
      <c r="AG1901" s="1" t="str">
        <f>IF(AND(Table1[[#This Row],[Spec Type2]]="N/A",Table1[[#This Row],[DUT Adj Read]]="N/A",Table1[[#This Row],[Std Adj Read]]="N/A"),"N/A",IF(Table1[[#This Row],[DUT Adj Read]]="N/A",IF(Table1[[#This Row],[Std Adj Read]]&lt;=Table1[[#This Row],[High Tol]],"Pass","Fail"),IF(Table1[[#This Row],[DUT Adj Read]]&lt;=Table1[[#This Row],[High Tol]],"Pass","Fail")))</f>
        <v>Fail</v>
      </c>
      <c r="AH19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1" s="1" t="b">
        <v>0</v>
      </c>
      <c r="AN1901" s="1" t="b">
        <v>0</v>
      </c>
      <c r="AO1901" s="1" t="b">
        <v>0</v>
      </c>
    </row>
    <row r="1902" spans="1:41" x14ac:dyDescent="0.25">
      <c r="A1902" s="10"/>
      <c r="B1902" s="10"/>
      <c r="C1902" s="10"/>
      <c r="D1902" s="10"/>
      <c r="E1902" s="10"/>
      <c r="F1902" s="10"/>
      <c r="G1902" s="10"/>
      <c r="H1902" s="10"/>
      <c r="I1902" s="1" t="str">
        <f t="shared" si="87"/>
        <v/>
      </c>
      <c r="J1902" s="1" t="s">
        <v>35</v>
      </c>
      <c r="K1902" s="1" t="str">
        <f t="shared" si="88"/>
        <v/>
      </c>
      <c r="L1902" s="1" t="str">
        <f t="shared" si="89"/>
        <v/>
      </c>
      <c r="M1902" s="1">
        <f>IF(OR(Table1[[#This Row],[Std Nom]]="",Table1[[#This Row],[Std Read]]=""),0,Table1[[#This Row],[Std Nom]]-Table1[[#This Row],[Std Read]])</f>
        <v>0</v>
      </c>
      <c r="N1902" s="1">
        <f>IF(Calculations!$F$5="ACCREDITED 17025 WITH UNCERTAINTIES",$N$10,0)</f>
        <v>0</v>
      </c>
      <c r="Q1902" s="1">
        <f>Table1[[#This Row],[High Tol]]-Table1[[#This Row],[Low Tol]]</f>
        <v>0</v>
      </c>
      <c r="R1902" s="1">
        <f>2*Table1[[#This Row],[Std Error]]</f>
        <v>0</v>
      </c>
      <c r="S1902" s="1" t="str">
        <f>IF(Table1[[#This Row],[High Tol]]="","N/A",IFERROR(ABS(Table1[[#This Row],[Tol Span]]/Table1[[#This Row],[Error Span]]),"N/A"))</f>
        <v>N/A</v>
      </c>
      <c r="T1902" s="1" t="str">
        <f>IF(OR(Table1[[#This Row],[Low Tol]]="",Table1[[#This Row],[High Tol]]=""),"Needs Analysis",IF(Table1[[#This Row],[Ratio]]&gt;=4,"Not Significant",IF(Table1[[#This Row],[Ratio]]&gt;=2,"Semi-Significant","Significant")))</f>
        <v>Needs Analysis</v>
      </c>
      <c r="W1902" s="1">
        <f>IF(Table1[[#This Row],[Cal Type]]&lt;&gt;"ACCREDITED 17025 WITH UNCERTAINTIES",0,"")</f>
        <v>0</v>
      </c>
      <c r="X1902" s="1" t="str">
        <f>IF(Table1[[#This Row],[DUT Read]]="","N/A",Table1[[#This Row],[Std Error]]+Table1[[#This Row],[DUT Read]]+Table1[[#This Row],[DUT Ucty]])</f>
        <v>N/A</v>
      </c>
      <c r="Y1902" s="1" t="str">
        <f>IF(Table1[[#This Row],[Std Read]]="","N/A",Table1[[#This Row],[Std Read]]+Table1[[#This Row],[Std Ucty]])</f>
        <v>N/A</v>
      </c>
      <c r="Z19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2" s="1" t="str">
        <f>IF(Table1[[#This Row],[Spec Type]]="","N/A",Table1[[#This Row],[Spec Type]])</f>
        <v>±</v>
      </c>
      <c r="AC1902" s="1" t="str">
        <f>IF(Table1[[#This Row],[Spec Type2]]="N/A","N/A",IF(AND(Table1[[#This Row],[DUT Adj Read]]&gt;=Table1[[#This Row],[Low Tol]],Table1[[#This Row],[DUT Adj Read]]&lt;=Table1[[#This Row],[High Tol]]),"Pass","Fail"))</f>
        <v>Fail</v>
      </c>
      <c r="AD1902" s="1" t="str">
        <f>IF(AND(Table1[[#This Row],[Spec Type2]]="N/A",Table1[[#This Row],[DUT Adj Read]]="N/A",Table1[[#This Row],[Std Adj Read]]="N/A"),"N/A",IF(Table1[[#This Row],[DUT Adj Read]]="N/A",IF(Table1[[#This Row],[Std Adj Read]]&gt;Table1[[#This Row],[Low Tol]],"Pass","Fail"),IF(Table1[[#This Row],[DUT Adj Read]]&gt;Table1[[#This Row],[Low Tol]],"Pass","Fail")))</f>
        <v>Pass</v>
      </c>
      <c r="AE1902" s="1" t="str">
        <f>IF(AND(Table1[[#This Row],[Spec Type2]]="N/A",Table1[[#This Row],[DUT Adj Read]]="N/A",Table1[[#This Row],[Std Adj Read]]="N/A"),"N/A",IF(Table1[[#This Row],[DUT Adj Read]]="N/A",IF(Table1[[#This Row],[Std Adj Read]]&lt;Table1[[#This Row],[High Tol]],"Pass","Fail"),IF(Table1[[#This Row],[DUT Adj Read]]&lt;Table1[[#This Row],[High Tol]],"Pass","Fail")))</f>
        <v>Fail</v>
      </c>
      <c r="AF1902" s="1" t="str">
        <f>IF(AND(Table1[[#This Row],[Spec Type2]]="N/A",Table1[[#This Row],[DUT Adj Read]]="N/A",Table1[[#This Row],[Std Adj Read]]="N/A"),"N/A",IF(Table1[[#This Row],[DUT Adj Read]]="N/A",IF(Table1[[#This Row],[Std Adj Read]]&gt;=Table1[[#This Row],[Low Tol]],"Pass","Fail"),IF(Table1[[#This Row],[DUT Adj Read]]&gt;=Table1[[#This Row],[Low Tol]],"Pass","Fail")))</f>
        <v>Pass</v>
      </c>
      <c r="AG1902" s="1" t="str">
        <f>IF(AND(Table1[[#This Row],[Spec Type2]]="N/A",Table1[[#This Row],[DUT Adj Read]]="N/A",Table1[[#This Row],[Std Adj Read]]="N/A"),"N/A",IF(Table1[[#This Row],[DUT Adj Read]]="N/A",IF(Table1[[#This Row],[Std Adj Read]]&lt;=Table1[[#This Row],[High Tol]],"Pass","Fail"),IF(Table1[[#This Row],[DUT Adj Read]]&lt;=Table1[[#This Row],[High Tol]],"Pass","Fail")))</f>
        <v>Fail</v>
      </c>
      <c r="AH19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2" s="1" t="b">
        <v>0</v>
      </c>
      <c r="AN1902" s="1" t="b">
        <v>0</v>
      </c>
      <c r="AO1902" s="1" t="b">
        <v>0</v>
      </c>
    </row>
    <row r="1903" spans="1:41" x14ac:dyDescent="0.25">
      <c r="A1903" s="10"/>
      <c r="B1903" s="10"/>
      <c r="C1903" s="10"/>
      <c r="D1903" s="10"/>
      <c r="E1903" s="10"/>
      <c r="F1903" s="10"/>
      <c r="G1903" s="10"/>
      <c r="H1903" s="10"/>
      <c r="I1903" s="1" t="str">
        <f t="shared" si="87"/>
        <v/>
      </c>
      <c r="J1903" s="1" t="s">
        <v>35</v>
      </c>
      <c r="K1903" s="1" t="str">
        <f t="shared" si="88"/>
        <v/>
      </c>
      <c r="L1903" s="1" t="str">
        <f t="shared" si="89"/>
        <v/>
      </c>
      <c r="M1903" s="1">
        <f>IF(OR(Table1[[#This Row],[Std Nom]]="",Table1[[#This Row],[Std Read]]=""),0,Table1[[#This Row],[Std Nom]]-Table1[[#This Row],[Std Read]])</f>
        <v>0</v>
      </c>
      <c r="N1903" s="1">
        <f>IF(Calculations!$F$5="ACCREDITED 17025 WITH UNCERTAINTIES",$N$10,0)</f>
        <v>0</v>
      </c>
      <c r="Q1903" s="1">
        <f>Table1[[#This Row],[High Tol]]-Table1[[#This Row],[Low Tol]]</f>
        <v>0</v>
      </c>
      <c r="R1903" s="1">
        <f>2*Table1[[#This Row],[Std Error]]</f>
        <v>0</v>
      </c>
      <c r="S1903" s="1" t="str">
        <f>IF(Table1[[#This Row],[High Tol]]="","N/A",IFERROR(ABS(Table1[[#This Row],[Tol Span]]/Table1[[#This Row],[Error Span]]),"N/A"))</f>
        <v>N/A</v>
      </c>
      <c r="T1903" s="1" t="str">
        <f>IF(OR(Table1[[#This Row],[Low Tol]]="",Table1[[#This Row],[High Tol]]=""),"Needs Analysis",IF(Table1[[#This Row],[Ratio]]&gt;=4,"Not Significant",IF(Table1[[#This Row],[Ratio]]&gt;=2,"Semi-Significant","Significant")))</f>
        <v>Needs Analysis</v>
      </c>
      <c r="W1903" s="1">
        <f>IF(Table1[[#This Row],[Cal Type]]&lt;&gt;"ACCREDITED 17025 WITH UNCERTAINTIES",0,"")</f>
        <v>0</v>
      </c>
      <c r="X1903" s="1" t="str">
        <f>IF(Table1[[#This Row],[DUT Read]]="","N/A",Table1[[#This Row],[Std Error]]+Table1[[#This Row],[DUT Read]]+Table1[[#This Row],[DUT Ucty]])</f>
        <v>N/A</v>
      </c>
      <c r="Y1903" s="1" t="str">
        <f>IF(Table1[[#This Row],[Std Read]]="","N/A",Table1[[#This Row],[Std Read]]+Table1[[#This Row],[Std Ucty]])</f>
        <v>N/A</v>
      </c>
      <c r="Z19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3" s="1" t="str">
        <f>IF(Table1[[#This Row],[Spec Type]]="","N/A",Table1[[#This Row],[Spec Type]])</f>
        <v>±</v>
      </c>
      <c r="AC1903" s="1" t="str">
        <f>IF(Table1[[#This Row],[Spec Type2]]="N/A","N/A",IF(AND(Table1[[#This Row],[DUT Adj Read]]&gt;=Table1[[#This Row],[Low Tol]],Table1[[#This Row],[DUT Adj Read]]&lt;=Table1[[#This Row],[High Tol]]),"Pass","Fail"))</f>
        <v>Fail</v>
      </c>
      <c r="AD1903" s="1" t="str">
        <f>IF(AND(Table1[[#This Row],[Spec Type2]]="N/A",Table1[[#This Row],[DUT Adj Read]]="N/A",Table1[[#This Row],[Std Adj Read]]="N/A"),"N/A",IF(Table1[[#This Row],[DUT Adj Read]]="N/A",IF(Table1[[#This Row],[Std Adj Read]]&gt;Table1[[#This Row],[Low Tol]],"Pass","Fail"),IF(Table1[[#This Row],[DUT Adj Read]]&gt;Table1[[#This Row],[Low Tol]],"Pass","Fail")))</f>
        <v>Pass</v>
      </c>
      <c r="AE1903" s="1" t="str">
        <f>IF(AND(Table1[[#This Row],[Spec Type2]]="N/A",Table1[[#This Row],[DUT Adj Read]]="N/A",Table1[[#This Row],[Std Adj Read]]="N/A"),"N/A",IF(Table1[[#This Row],[DUT Adj Read]]="N/A",IF(Table1[[#This Row],[Std Adj Read]]&lt;Table1[[#This Row],[High Tol]],"Pass","Fail"),IF(Table1[[#This Row],[DUT Adj Read]]&lt;Table1[[#This Row],[High Tol]],"Pass","Fail")))</f>
        <v>Fail</v>
      </c>
      <c r="AF1903" s="1" t="str">
        <f>IF(AND(Table1[[#This Row],[Spec Type2]]="N/A",Table1[[#This Row],[DUT Adj Read]]="N/A",Table1[[#This Row],[Std Adj Read]]="N/A"),"N/A",IF(Table1[[#This Row],[DUT Adj Read]]="N/A",IF(Table1[[#This Row],[Std Adj Read]]&gt;=Table1[[#This Row],[Low Tol]],"Pass","Fail"),IF(Table1[[#This Row],[DUT Adj Read]]&gt;=Table1[[#This Row],[Low Tol]],"Pass","Fail")))</f>
        <v>Pass</v>
      </c>
      <c r="AG1903" s="1" t="str">
        <f>IF(AND(Table1[[#This Row],[Spec Type2]]="N/A",Table1[[#This Row],[DUT Adj Read]]="N/A",Table1[[#This Row],[Std Adj Read]]="N/A"),"N/A",IF(Table1[[#This Row],[DUT Adj Read]]="N/A",IF(Table1[[#This Row],[Std Adj Read]]&lt;=Table1[[#This Row],[High Tol]],"Pass","Fail"),IF(Table1[[#This Row],[DUT Adj Read]]&lt;=Table1[[#This Row],[High Tol]],"Pass","Fail")))</f>
        <v>Fail</v>
      </c>
      <c r="AH19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3" s="1" t="b">
        <v>0</v>
      </c>
      <c r="AN1903" s="1" t="b">
        <v>0</v>
      </c>
      <c r="AO1903" s="1" t="b">
        <v>0</v>
      </c>
    </row>
    <row r="1904" spans="1:41" x14ac:dyDescent="0.25">
      <c r="A1904" s="10"/>
      <c r="B1904" s="10"/>
      <c r="C1904" s="10"/>
      <c r="D1904" s="10"/>
      <c r="E1904" s="10"/>
      <c r="F1904" s="10"/>
      <c r="G1904" s="10"/>
      <c r="H1904" s="10"/>
      <c r="I1904" s="1" t="str">
        <f t="shared" si="87"/>
        <v/>
      </c>
      <c r="J1904" s="1" t="s">
        <v>35</v>
      </c>
      <c r="K1904" s="1" t="str">
        <f t="shared" si="88"/>
        <v/>
      </c>
      <c r="L1904" s="1" t="str">
        <f t="shared" si="89"/>
        <v/>
      </c>
      <c r="M1904" s="1">
        <f>IF(OR(Table1[[#This Row],[Std Nom]]="",Table1[[#This Row],[Std Read]]=""),0,Table1[[#This Row],[Std Nom]]-Table1[[#This Row],[Std Read]])</f>
        <v>0</v>
      </c>
      <c r="N1904" s="1">
        <f>IF(Calculations!$F$5="ACCREDITED 17025 WITH UNCERTAINTIES",$N$10,0)</f>
        <v>0</v>
      </c>
      <c r="Q1904" s="1">
        <f>Table1[[#This Row],[High Tol]]-Table1[[#This Row],[Low Tol]]</f>
        <v>0</v>
      </c>
      <c r="R1904" s="1">
        <f>2*Table1[[#This Row],[Std Error]]</f>
        <v>0</v>
      </c>
      <c r="S1904" s="1" t="str">
        <f>IF(Table1[[#This Row],[High Tol]]="","N/A",IFERROR(ABS(Table1[[#This Row],[Tol Span]]/Table1[[#This Row],[Error Span]]),"N/A"))</f>
        <v>N/A</v>
      </c>
      <c r="T1904" s="1" t="str">
        <f>IF(OR(Table1[[#This Row],[Low Tol]]="",Table1[[#This Row],[High Tol]]=""),"Needs Analysis",IF(Table1[[#This Row],[Ratio]]&gt;=4,"Not Significant",IF(Table1[[#This Row],[Ratio]]&gt;=2,"Semi-Significant","Significant")))</f>
        <v>Needs Analysis</v>
      </c>
      <c r="W1904" s="1">
        <f>IF(Table1[[#This Row],[Cal Type]]&lt;&gt;"ACCREDITED 17025 WITH UNCERTAINTIES",0,"")</f>
        <v>0</v>
      </c>
      <c r="X1904" s="1" t="str">
        <f>IF(Table1[[#This Row],[DUT Read]]="","N/A",Table1[[#This Row],[Std Error]]+Table1[[#This Row],[DUT Read]]+Table1[[#This Row],[DUT Ucty]])</f>
        <v>N/A</v>
      </c>
      <c r="Y1904" s="1" t="str">
        <f>IF(Table1[[#This Row],[Std Read]]="","N/A",Table1[[#This Row],[Std Read]]+Table1[[#This Row],[Std Ucty]])</f>
        <v>N/A</v>
      </c>
      <c r="Z19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4" s="1" t="str">
        <f>IF(Table1[[#This Row],[Spec Type]]="","N/A",Table1[[#This Row],[Spec Type]])</f>
        <v>±</v>
      </c>
      <c r="AC1904" s="1" t="str">
        <f>IF(Table1[[#This Row],[Spec Type2]]="N/A","N/A",IF(AND(Table1[[#This Row],[DUT Adj Read]]&gt;=Table1[[#This Row],[Low Tol]],Table1[[#This Row],[DUT Adj Read]]&lt;=Table1[[#This Row],[High Tol]]),"Pass","Fail"))</f>
        <v>Fail</v>
      </c>
      <c r="AD1904" s="1" t="str">
        <f>IF(AND(Table1[[#This Row],[Spec Type2]]="N/A",Table1[[#This Row],[DUT Adj Read]]="N/A",Table1[[#This Row],[Std Adj Read]]="N/A"),"N/A",IF(Table1[[#This Row],[DUT Adj Read]]="N/A",IF(Table1[[#This Row],[Std Adj Read]]&gt;Table1[[#This Row],[Low Tol]],"Pass","Fail"),IF(Table1[[#This Row],[DUT Adj Read]]&gt;Table1[[#This Row],[Low Tol]],"Pass","Fail")))</f>
        <v>Pass</v>
      </c>
      <c r="AE1904" s="1" t="str">
        <f>IF(AND(Table1[[#This Row],[Spec Type2]]="N/A",Table1[[#This Row],[DUT Adj Read]]="N/A",Table1[[#This Row],[Std Adj Read]]="N/A"),"N/A",IF(Table1[[#This Row],[DUT Adj Read]]="N/A",IF(Table1[[#This Row],[Std Adj Read]]&lt;Table1[[#This Row],[High Tol]],"Pass","Fail"),IF(Table1[[#This Row],[DUT Adj Read]]&lt;Table1[[#This Row],[High Tol]],"Pass","Fail")))</f>
        <v>Fail</v>
      </c>
      <c r="AF1904" s="1" t="str">
        <f>IF(AND(Table1[[#This Row],[Spec Type2]]="N/A",Table1[[#This Row],[DUT Adj Read]]="N/A",Table1[[#This Row],[Std Adj Read]]="N/A"),"N/A",IF(Table1[[#This Row],[DUT Adj Read]]="N/A",IF(Table1[[#This Row],[Std Adj Read]]&gt;=Table1[[#This Row],[Low Tol]],"Pass","Fail"),IF(Table1[[#This Row],[DUT Adj Read]]&gt;=Table1[[#This Row],[Low Tol]],"Pass","Fail")))</f>
        <v>Pass</v>
      </c>
      <c r="AG1904" s="1" t="str">
        <f>IF(AND(Table1[[#This Row],[Spec Type2]]="N/A",Table1[[#This Row],[DUT Adj Read]]="N/A",Table1[[#This Row],[Std Adj Read]]="N/A"),"N/A",IF(Table1[[#This Row],[DUT Adj Read]]="N/A",IF(Table1[[#This Row],[Std Adj Read]]&lt;=Table1[[#This Row],[High Tol]],"Pass","Fail"),IF(Table1[[#This Row],[DUT Adj Read]]&lt;=Table1[[#This Row],[High Tol]],"Pass","Fail")))</f>
        <v>Fail</v>
      </c>
      <c r="AH19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4" s="1" t="b">
        <v>0</v>
      </c>
      <c r="AN1904" s="1" t="b">
        <v>0</v>
      </c>
      <c r="AO1904" s="1" t="b">
        <v>0</v>
      </c>
    </row>
    <row r="1905" spans="1:41" x14ac:dyDescent="0.25">
      <c r="A1905" s="10"/>
      <c r="B1905" s="10"/>
      <c r="C1905" s="10"/>
      <c r="D1905" s="10"/>
      <c r="E1905" s="10"/>
      <c r="F1905" s="10"/>
      <c r="G1905" s="10"/>
      <c r="H1905" s="10"/>
      <c r="I1905" s="1" t="str">
        <f t="shared" si="87"/>
        <v/>
      </c>
      <c r="J1905" s="1" t="s">
        <v>35</v>
      </c>
      <c r="K1905" s="1" t="str">
        <f t="shared" si="88"/>
        <v/>
      </c>
      <c r="L1905" s="1" t="str">
        <f t="shared" si="89"/>
        <v/>
      </c>
      <c r="M1905" s="1">
        <f>IF(OR(Table1[[#This Row],[Std Nom]]="",Table1[[#This Row],[Std Read]]=""),0,Table1[[#This Row],[Std Nom]]-Table1[[#This Row],[Std Read]])</f>
        <v>0</v>
      </c>
      <c r="N1905" s="1">
        <f>IF(Calculations!$F$5="ACCREDITED 17025 WITH UNCERTAINTIES",$N$10,0)</f>
        <v>0</v>
      </c>
      <c r="Q1905" s="1">
        <f>Table1[[#This Row],[High Tol]]-Table1[[#This Row],[Low Tol]]</f>
        <v>0</v>
      </c>
      <c r="R1905" s="1">
        <f>2*Table1[[#This Row],[Std Error]]</f>
        <v>0</v>
      </c>
      <c r="S1905" s="1" t="str">
        <f>IF(Table1[[#This Row],[High Tol]]="","N/A",IFERROR(ABS(Table1[[#This Row],[Tol Span]]/Table1[[#This Row],[Error Span]]),"N/A"))</f>
        <v>N/A</v>
      </c>
      <c r="T1905" s="1" t="str">
        <f>IF(OR(Table1[[#This Row],[Low Tol]]="",Table1[[#This Row],[High Tol]]=""),"Needs Analysis",IF(Table1[[#This Row],[Ratio]]&gt;=4,"Not Significant",IF(Table1[[#This Row],[Ratio]]&gt;=2,"Semi-Significant","Significant")))</f>
        <v>Needs Analysis</v>
      </c>
      <c r="W1905" s="1">
        <f>IF(Table1[[#This Row],[Cal Type]]&lt;&gt;"ACCREDITED 17025 WITH UNCERTAINTIES",0,"")</f>
        <v>0</v>
      </c>
      <c r="X1905" s="1" t="str">
        <f>IF(Table1[[#This Row],[DUT Read]]="","N/A",Table1[[#This Row],[Std Error]]+Table1[[#This Row],[DUT Read]]+Table1[[#This Row],[DUT Ucty]])</f>
        <v>N/A</v>
      </c>
      <c r="Y1905" s="1" t="str">
        <f>IF(Table1[[#This Row],[Std Read]]="","N/A",Table1[[#This Row],[Std Read]]+Table1[[#This Row],[Std Ucty]])</f>
        <v>N/A</v>
      </c>
      <c r="Z19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5" s="1" t="str">
        <f>IF(Table1[[#This Row],[Spec Type]]="","N/A",Table1[[#This Row],[Spec Type]])</f>
        <v>±</v>
      </c>
      <c r="AC1905" s="1" t="str">
        <f>IF(Table1[[#This Row],[Spec Type2]]="N/A","N/A",IF(AND(Table1[[#This Row],[DUT Adj Read]]&gt;=Table1[[#This Row],[Low Tol]],Table1[[#This Row],[DUT Adj Read]]&lt;=Table1[[#This Row],[High Tol]]),"Pass","Fail"))</f>
        <v>Fail</v>
      </c>
      <c r="AD1905" s="1" t="str">
        <f>IF(AND(Table1[[#This Row],[Spec Type2]]="N/A",Table1[[#This Row],[DUT Adj Read]]="N/A",Table1[[#This Row],[Std Adj Read]]="N/A"),"N/A",IF(Table1[[#This Row],[DUT Adj Read]]="N/A",IF(Table1[[#This Row],[Std Adj Read]]&gt;Table1[[#This Row],[Low Tol]],"Pass","Fail"),IF(Table1[[#This Row],[DUT Adj Read]]&gt;Table1[[#This Row],[Low Tol]],"Pass","Fail")))</f>
        <v>Pass</v>
      </c>
      <c r="AE1905" s="1" t="str">
        <f>IF(AND(Table1[[#This Row],[Spec Type2]]="N/A",Table1[[#This Row],[DUT Adj Read]]="N/A",Table1[[#This Row],[Std Adj Read]]="N/A"),"N/A",IF(Table1[[#This Row],[DUT Adj Read]]="N/A",IF(Table1[[#This Row],[Std Adj Read]]&lt;Table1[[#This Row],[High Tol]],"Pass","Fail"),IF(Table1[[#This Row],[DUT Adj Read]]&lt;Table1[[#This Row],[High Tol]],"Pass","Fail")))</f>
        <v>Fail</v>
      </c>
      <c r="AF1905" s="1" t="str">
        <f>IF(AND(Table1[[#This Row],[Spec Type2]]="N/A",Table1[[#This Row],[DUT Adj Read]]="N/A",Table1[[#This Row],[Std Adj Read]]="N/A"),"N/A",IF(Table1[[#This Row],[DUT Adj Read]]="N/A",IF(Table1[[#This Row],[Std Adj Read]]&gt;=Table1[[#This Row],[Low Tol]],"Pass","Fail"),IF(Table1[[#This Row],[DUT Adj Read]]&gt;=Table1[[#This Row],[Low Tol]],"Pass","Fail")))</f>
        <v>Pass</v>
      </c>
      <c r="AG1905" s="1" t="str">
        <f>IF(AND(Table1[[#This Row],[Spec Type2]]="N/A",Table1[[#This Row],[DUT Adj Read]]="N/A",Table1[[#This Row],[Std Adj Read]]="N/A"),"N/A",IF(Table1[[#This Row],[DUT Adj Read]]="N/A",IF(Table1[[#This Row],[Std Adj Read]]&lt;=Table1[[#This Row],[High Tol]],"Pass","Fail"),IF(Table1[[#This Row],[DUT Adj Read]]&lt;=Table1[[#This Row],[High Tol]],"Pass","Fail")))</f>
        <v>Fail</v>
      </c>
      <c r="AH19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5" s="1" t="b">
        <v>0</v>
      </c>
      <c r="AN1905" s="1" t="b">
        <v>0</v>
      </c>
      <c r="AO1905" s="1" t="b">
        <v>0</v>
      </c>
    </row>
    <row r="1906" spans="1:41" x14ac:dyDescent="0.25">
      <c r="A1906" s="10"/>
      <c r="B1906" s="10"/>
      <c r="C1906" s="10"/>
      <c r="D1906" s="10"/>
      <c r="E1906" s="10"/>
      <c r="F1906" s="10"/>
      <c r="G1906" s="10"/>
      <c r="H1906" s="10"/>
      <c r="I1906" s="1" t="str">
        <f t="shared" si="87"/>
        <v/>
      </c>
      <c r="J1906" s="1" t="s">
        <v>35</v>
      </c>
      <c r="K1906" s="1" t="str">
        <f t="shared" si="88"/>
        <v/>
      </c>
      <c r="L1906" s="1" t="str">
        <f t="shared" si="89"/>
        <v/>
      </c>
      <c r="M1906" s="1">
        <f>IF(OR(Table1[[#This Row],[Std Nom]]="",Table1[[#This Row],[Std Read]]=""),0,Table1[[#This Row],[Std Nom]]-Table1[[#This Row],[Std Read]])</f>
        <v>0</v>
      </c>
      <c r="N1906" s="1">
        <f>IF(Calculations!$F$5="ACCREDITED 17025 WITH UNCERTAINTIES",$N$10,0)</f>
        <v>0</v>
      </c>
      <c r="Q1906" s="1">
        <f>Table1[[#This Row],[High Tol]]-Table1[[#This Row],[Low Tol]]</f>
        <v>0</v>
      </c>
      <c r="R1906" s="1">
        <f>2*Table1[[#This Row],[Std Error]]</f>
        <v>0</v>
      </c>
      <c r="S1906" s="1" t="str">
        <f>IF(Table1[[#This Row],[High Tol]]="","N/A",IFERROR(ABS(Table1[[#This Row],[Tol Span]]/Table1[[#This Row],[Error Span]]),"N/A"))</f>
        <v>N/A</v>
      </c>
      <c r="T1906" s="1" t="str">
        <f>IF(OR(Table1[[#This Row],[Low Tol]]="",Table1[[#This Row],[High Tol]]=""),"Needs Analysis",IF(Table1[[#This Row],[Ratio]]&gt;=4,"Not Significant",IF(Table1[[#This Row],[Ratio]]&gt;=2,"Semi-Significant","Significant")))</f>
        <v>Needs Analysis</v>
      </c>
      <c r="W1906" s="1">
        <f>IF(Table1[[#This Row],[Cal Type]]&lt;&gt;"ACCREDITED 17025 WITH UNCERTAINTIES",0,"")</f>
        <v>0</v>
      </c>
      <c r="X1906" s="1" t="str">
        <f>IF(Table1[[#This Row],[DUT Read]]="","N/A",Table1[[#This Row],[Std Error]]+Table1[[#This Row],[DUT Read]]+Table1[[#This Row],[DUT Ucty]])</f>
        <v>N/A</v>
      </c>
      <c r="Y1906" s="1" t="str">
        <f>IF(Table1[[#This Row],[Std Read]]="","N/A",Table1[[#This Row],[Std Read]]+Table1[[#This Row],[Std Ucty]])</f>
        <v>N/A</v>
      </c>
      <c r="Z19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6" s="1" t="str">
        <f>IF(Table1[[#This Row],[Spec Type]]="","N/A",Table1[[#This Row],[Spec Type]])</f>
        <v>±</v>
      </c>
      <c r="AC1906" s="1" t="str">
        <f>IF(Table1[[#This Row],[Spec Type2]]="N/A","N/A",IF(AND(Table1[[#This Row],[DUT Adj Read]]&gt;=Table1[[#This Row],[Low Tol]],Table1[[#This Row],[DUT Adj Read]]&lt;=Table1[[#This Row],[High Tol]]),"Pass","Fail"))</f>
        <v>Fail</v>
      </c>
      <c r="AD1906" s="1" t="str">
        <f>IF(AND(Table1[[#This Row],[Spec Type2]]="N/A",Table1[[#This Row],[DUT Adj Read]]="N/A",Table1[[#This Row],[Std Adj Read]]="N/A"),"N/A",IF(Table1[[#This Row],[DUT Adj Read]]="N/A",IF(Table1[[#This Row],[Std Adj Read]]&gt;Table1[[#This Row],[Low Tol]],"Pass","Fail"),IF(Table1[[#This Row],[DUT Adj Read]]&gt;Table1[[#This Row],[Low Tol]],"Pass","Fail")))</f>
        <v>Pass</v>
      </c>
      <c r="AE1906" s="1" t="str">
        <f>IF(AND(Table1[[#This Row],[Spec Type2]]="N/A",Table1[[#This Row],[DUT Adj Read]]="N/A",Table1[[#This Row],[Std Adj Read]]="N/A"),"N/A",IF(Table1[[#This Row],[DUT Adj Read]]="N/A",IF(Table1[[#This Row],[Std Adj Read]]&lt;Table1[[#This Row],[High Tol]],"Pass","Fail"),IF(Table1[[#This Row],[DUT Adj Read]]&lt;Table1[[#This Row],[High Tol]],"Pass","Fail")))</f>
        <v>Fail</v>
      </c>
      <c r="AF1906" s="1" t="str">
        <f>IF(AND(Table1[[#This Row],[Spec Type2]]="N/A",Table1[[#This Row],[DUT Adj Read]]="N/A",Table1[[#This Row],[Std Adj Read]]="N/A"),"N/A",IF(Table1[[#This Row],[DUT Adj Read]]="N/A",IF(Table1[[#This Row],[Std Adj Read]]&gt;=Table1[[#This Row],[Low Tol]],"Pass","Fail"),IF(Table1[[#This Row],[DUT Adj Read]]&gt;=Table1[[#This Row],[Low Tol]],"Pass","Fail")))</f>
        <v>Pass</v>
      </c>
      <c r="AG1906" s="1" t="str">
        <f>IF(AND(Table1[[#This Row],[Spec Type2]]="N/A",Table1[[#This Row],[DUT Adj Read]]="N/A",Table1[[#This Row],[Std Adj Read]]="N/A"),"N/A",IF(Table1[[#This Row],[DUT Adj Read]]="N/A",IF(Table1[[#This Row],[Std Adj Read]]&lt;=Table1[[#This Row],[High Tol]],"Pass","Fail"),IF(Table1[[#This Row],[DUT Adj Read]]&lt;=Table1[[#This Row],[High Tol]],"Pass","Fail")))</f>
        <v>Fail</v>
      </c>
      <c r="AH19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6" s="1" t="b">
        <v>0</v>
      </c>
      <c r="AN1906" s="1" t="b">
        <v>0</v>
      </c>
      <c r="AO1906" s="1" t="b">
        <v>0</v>
      </c>
    </row>
    <row r="1907" spans="1:41" x14ac:dyDescent="0.25">
      <c r="A1907" s="10"/>
      <c r="B1907" s="10"/>
      <c r="C1907" s="10"/>
      <c r="D1907" s="10"/>
      <c r="E1907" s="10"/>
      <c r="F1907" s="10"/>
      <c r="G1907" s="10"/>
      <c r="H1907" s="10"/>
      <c r="I1907" s="1" t="str">
        <f t="shared" si="87"/>
        <v/>
      </c>
      <c r="J1907" s="1" t="s">
        <v>35</v>
      </c>
      <c r="K1907" s="1" t="str">
        <f t="shared" si="88"/>
        <v/>
      </c>
      <c r="L1907" s="1" t="str">
        <f t="shared" si="89"/>
        <v/>
      </c>
      <c r="M1907" s="1">
        <f>IF(OR(Table1[[#This Row],[Std Nom]]="",Table1[[#This Row],[Std Read]]=""),0,Table1[[#This Row],[Std Nom]]-Table1[[#This Row],[Std Read]])</f>
        <v>0</v>
      </c>
      <c r="N1907" s="1">
        <f>IF(Calculations!$F$5="ACCREDITED 17025 WITH UNCERTAINTIES",$N$10,0)</f>
        <v>0</v>
      </c>
      <c r="Q1907" s="1">
        <f>Table1[[#This Row],[High Tol]]-Table1[[#This Row],[Low Tol]]</f>
        <v>0</v>
      </c>
      <c r="R1907" s="1">
        <f>2*Table1[[#This Row],[Std Error]]</f>
        <v>0</v>
      </c>
      <c r="S1907" s="1" t="str">
        <f>IF(Table1[[#This Row],[High Tol]]="","N/A",IFERROR(ABS(Table1[[#This Row],[Tol Span]]/Table1[[#This Row],[Error Span]]),"N/A"))</f>
        <v>N/A</v>
      </c>
      <c r="T1907" s="1" t="str">
        <f>IF(OR(Table1[[#This Row],[Low Tol]]="",Table1[[#This Row],[High Tol]]=""),"Needs Analysis",IF(Table1[[#This Row],[Ratio]]&gt;=4,"Not Significant",IF(Table1[[#This Row],[Ratio]]&gt;=2,"Semi-Significant","Significant")))</f>
        <v>Needs Analysis</v>
      </c>
      <c r="W1907" s="1">
        <f>IF(Table1[[#This Row],[Cal Type]]&lt;&gt;"ACCREDITED 17025 WITH UNCERTAINTIES",0,"")</f>
        <v>0</v>
      </c>
      <c r="X1907" s="1" t="str">
        <f>IF(Table1[[#This Row],[DUT Read]]="","N/A",Table1[[#This Row],[Std Error]]+Table1[[#This Row],[DUT Read]]+Table1[[#This Row],[DUT Ucty]])</f>
        <v>N/A</v>
      </c>
      <c r="Y1907" s="1" t="str">
        <f>IF(Table1[[#This Row],[Std Read]]="","N/A",Table1[[#This Row],[Std Read]]+Table1[[#This Row],[Std Ucty]])</f>
        <v>N/A</v>
      </c>
      <c r="Z19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7" s="1" t="str">
        <f>IF(Table1[[#This Row],[Spec Type]]="","N/A",Table1[[#This Row],[Spec Type]])</f>
        <v>±</v>
      </c>
      <c r="AC1907" s="1" t="str">
        <f>IF(Table1[[#This Row],[Spec Type2]]="N/A","N/A",IF(AND(Table1[[#This Row],[DUT Adj Read]]&gt;=Table1[[#This Row],[Low Tol]],Table1[[#This Row],[DUT Adj Read]]&lt;=Table1[[#This Row],[High Tol]]),"Pass","Fail"))</f>
        <v>Fail</v>
      </c>
      <c r="AD1907" s="1" t="str">
        <f>IF(AND(Table1[[#This Row],[Spec Type2]]="N/A",Table1[[#This Row],[DUT Adj Read]]="N/A",Table1[[#This Row],[Std Adj Read]]="N/A"),"N/A",IF(Table1[[#This Row],[DUT Adj Read]]="N/A",IF(Table1[[#This Row],[Std Adj Read]]&gt;Table1[[#This Row],[Low Tol]],"Pass","Fail"),IF(Table1[[#This Row],[DUT Adj Read]]&gt;Table1[[#This Row],[Low Tol]],"Pass","Fail")))</f>
        <v>Pass</v>
      </c>
      <c r="AE1907" s="1" t="str">
        <f>IF(AND(Table1[[#This Row],[Spec Type2]]="N/A",Table1[[#This Row],[DUT Adj Read]]="N/A",Table1[[#This Row],[Std Adj Read]]="N/A"),"N/A",IF(Table1[[#This Row],[DUT Adj Read]]="N/A",IF(Table1[[#This Row],[Std Adj Read]]&lt;Table1[[#This Row],[High Tol]],"Pass","Fail"),IF(Table1[[#This Row],[DUT Adj Read]]&lt;Table1[[#This Row],[High Tol]],"Pass","Fail")))</f>
        <v>Fail</v>
      </c>
      <c r="AF1907" s="1" t="str">
        <f>IF(AND(Table1[[#This Row],[Spec Type2]]="N/A",Table1[[#This Row],[DUT Adj Read]]="N/A",Table1[[#This Row],[Std Adj Read]]="N/A"),"N/A",IF(Table1[[#This Row],[DUT Adj Read]]="N/A",IF(Table1[[#This Row],[Std Adj Read]]&gt;=Table1[[#This Row],[Low Tol]],"Pass","Fail"),IF(Table1[[#This Row],[DUT Adj Read]]&gt;=Table1[[#This Row],[Low Tol]],"Pass","Fail")))</f>
        <v>Pass</v>
      </c>
      <c r="AG1907" s="1" t="str">
        <f>IF(AND(Table1[[#This Row],[Spec Type2]]="N/A",Table1[[#This Row],[DUT Adj Read]]="N/A",Table1[[#This Row],[Std Adj Read]]="N/A"),"N/A",IF(Table1[[#This Row],[DUT Adj Read]]="N/A",IF(Table1[[#This Row],[Std Adj Read]]&lt;=Table1[[#This Row],[High Tol]],"Pass","Fail"),IF(Table1[[#This Row],[DUT Adj Read]]&lt;=Table1[[#This Row],[High Tol]],"Pass","Fail")))</f>
        <v>Fail</v>
      </c>
      <c r="AH19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7" s="1" t="b">
        <v>0</v>
      </c>
      <c r="AN1907" s="1" t="b">
        <v>0</v>
      </c>
      <c r="AO1907" s="1" t="b">
        <v>0</v>
      </c>
    </row>
    <row r="1908" spans="1:41" x14ac:dyDescent="0.25">
      <c r="A1908" s="10"/>
      <c r="B1908" s="10"/>
      <c r="C1908" s="10"/>
      <c r="D1908" s="10"/>
      <c r="E1908" s="10"/>
      <c r="F1908" s="10"/>
      <c r="G1908" s="10"/>
      <c r="H1908" s="10"/>
      <c r="I1908" s="1" t="str">
        <f t="shared" si="87"/>
        <v/>
      </c>
      <c r="J1908" s="1" t="s">
        <v>35</v>
      </c>
      <c r="K1908" s="1" t="str">
        <f t="shared" si="88"/>
        <v/>
      </c>
      <c r="L1908" s="1" t="str">
        <f t="shared" si="89"/>
        <v/>
      </c>
      <c r="M1908" s="1">
        <f>IF(OR(Table1[[#This Row],[Std Nom]]="",Table1[[#This Row],[Std Read]]=""),0,Table1[[#This Row],[Std Nom]]-Table1[[#This Row],[Std Read]])</f>
        <v>0</v>
      </c>
      <c r="N1908" s="1">
        <f>IF(Calculations!$F$5="ACCREDITED 17025 WITH UNCERTAINTIES",$N$10,0)</f>
        <v>0</v>
      </c>
      <c r="Q1908" s="1">
        <f>Table1[[#This Row],[High Tol]]-Table1[[#This Row],[Low Tol]]</f>
        <v>0</v>
      </c>
      <c r="R1908" s="1">
        <f>2*Table1[[#This Row],[Std Error]]</f>
        <v>0</v>
      </c>
      <c r="S1908" s="1" t="str">
        <f>IF(Table1[[#This Row],[High Tol]]="","N/A",IFERROR(ABS(Table1[[#This Row],[Tol Span]]/Table1[[#This Row],[Error Span]]),"N/A"))</f>
        <v>N/A</v>
      </c>
      <c r="T1908" s="1" t="str">
        <f>IF(OR(Table1[[#This Row],[Low Tol]]="",Table1[[#This Row],[High Tol]]=""),"Needs Analysis",IF(Table1[[#This Row],[Ratio]]&gt;=4,"Not Significant",IF(Table1[[#This Row],[Ratio]]&gt;=2,"Semi-Significant","Significant")))</f>
        <v>Needs Analysis</v>
      </c>
      <c r="W1908" s="1">
        <f>IF(Table1[[#This Row],[Cal Type]]&lt;&gt;"ACCREDITED 17025 WITH UNCERTAINTIES",0,"")</f>
        <v>0</v>
      </c>
      <c r="X1908" s="1" t="str">
        <f>IF(Table1[[#This Row],[DUT Read]]="","N/A",Table1[[#This Row],[Std Error]]+Table1[[#This Row],[DUT Read]]+Table1[[#This Row],[DUT Ucty]])</f>
        <v>N/A</v>
      </c>
      <c r="Y1908" s="1" t="str">
        <f>IF(Table1[[#This Row],[Std Read]]="","N/A",Table1[[#This Row],[Std Read]]+Table1[[#This Row],[Std Ucty]])</f>
        <v>N/A</v>
      </c>
      <c r="Z19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8" s="1" t="str">
        <f>IF(Table1[[#This Row],[Spec Type]]="","N/A",Table1[[#This Row],[Spec Type]])</f>
        <v>±</v>
      </c>
      <c r="AC1908" s="1" t="str">
        <f>IF(Table1[[#This Row],[Spec Type2]]="N/A","N/A",IF(AND(Table1[[#This Row],[DUT Adj Read]]&gt;=Table1[[#This Row],[Low Tol]],Table1[[#This Row],[DUT Adj Read]]&lt;=Table1[[#This Row],[High Tol]]),"Pass","Fail"))</f>
        <v>Fail</v>
      </c>
      <c r="AD1908" s="1" t="str">
        <f>IF(AND(Table1[[#This Row],[Spec Type2]]="N/A",Table1[[#This Row],[DUT Adj Read]]="N/A",Table1[[#This Row],[Std Adj Read]]="N/A"),"N/A",IF(Table1[[#This Row],[DUT Adj Read]]="N/A",IF(Table1[[#This Row],[Std Adj Read]]&gt;Table1[[#This Row],[Low Tol]],"Pass","Fail"),IF(Table1[[#This Row],[DUT Adj Read]]&gt;Table1[[#This Row],[Low Tol]],"Pass","Fail")))</f>
        <v>Pass</v>
      </c>
      <c r="AE1908" s="1" t="str">
        <f>IF(AND(Table1[[#This Row],[Spec Type2]]="N/A",Table1[[#This Row],[DUT Adj Read]]="N/A",Table1[[#This Row],[Std Adj Read]]="N/A"),"N/A",IF(Table1[[#This Row],[DUT Adj Read]]="N/A",IF(Table1[[#This Row],[Std Adj Read]]&lt;Table1[[#This Row],[High Tol]],"Pass","Fail"),IF(Table1[[#This Row],[DUT Adj Read]]&lt;Table1[[#This Row],[High Tol]],"Pass","Fail")))</f>
        <v>Fail</v>
      </c>
      <c r="AF1908" s="1" t="str">
        <f>IF(AND(Table1[[#This Row],[Spec Type2]]="N/A",Table1[[#This Row],[DUT Adj Read]]="N/A",Table1[[#This Row],[Std Adj Read]]="N/A"),"N/A",IF(Table1[[#This Row],[DUT Adj Read]]="N/A",IF(Table1[[#This Row],[Std Adj Read]]&gt;=Table1[[#This Row],[Low Tol]],"Pass","Fail"),IF(Table1[[#This Row],[DUT Adj Read]]&gt;=Table1[[#This Row],[Low Tol]],"Pass","Fail")))</f>
        <v>Pass</v>
      </c>
      <c r="AG1908" s="1" t="str">
        <f>IF(AND(Table1[[#This Row],[Spec Type2]]="N/A",Table1[[#This Row],[DUT Adj Read]]="N/A",Table1[[#This Row],[Std Adj Read]]="N/A"),"N/A",IF(Table1[[#This Row],[DUT Adj Read]]="N/A",IF(Table1[[#This Row],[Std Adj Read]]&lt;=Table1[[#This Row],[High Tol]],"Pass","Fail"),IF(Table1[[#This Row],[DUT Adj Read]]&lt;=Table1[[#This Row],[High Tol]],"Pass","Fail")))</f>
        <v>Fail</v>
      </c>
      <c r="AH19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8" s="1" t="b">
        <v>0</v>
      </c>
      <c r="AN1908" s="1" t="b">
        <v>0</v>
      </c>
      <c r="AO1908" s="1" t="b">
        <v>0</v>
      </c>
    </row>
    <row r="1909" spans="1:41" x14ac:dyDescent="0.25">
      <c r="A1909" s="10"/>
      <c r="B1909" s="10"/>
      <c r="C1909" s="10"/>
      <c r="D1909" s="10"/>
      <c r="E1909" s="10"/>
      <c r="F1909" s="10"/>
      <c r="G1909" s="10"/>
      <c r="H1909" s="10"/>
      <c r="I1909" s="1" t="str">
        <f t="shared" si="87"/>
        <v/>
      </c>
      <c r="J1909" s="1" t="s">
        <v>35</v>
      </c>
      <c r="K1909" s="1" t="str">
        <f t="shared" si="88"/>
        <v/>
      </c>
      <c r="L1909" s="1" t="str">
        <f t="shared" si="89"/>
        <v/>
      </c>
      <c r="M1909" s="1">
        <f>IF(OR(Table1[[#This Row],[Std Nom]]="",Table1[[#This Row],[Std Read]]=""),0,Table1[[#This Row],[Std Nom]]-Table1[[#This Row],[Std Read]])</f>
        <v>0</v>
      </c>
      <c r="N1909" s="1">
        <f>IF(Calculations!$F$5="ACCREDITED 17025 WITH UNCERTAINTIES",$N$10,0)</f>
        <v>0</v>
      </c>
      <c r="Q1909" s="1">
        <f>Table1[[#This Row],[High Tol]]-Table1[[#This Row],[Low Tol]]</f>
        <v>0</v>
      </c>
      <c r="R1909" s="1">
        <f>2*Table1[[#This Row],[Std Error]]</f>
        <v>0</v>
      </c>
      <c r="S1909" s="1" t="str">
        <f>IF(Table1[[#This Row],[High Tol]]="","N/A",IFERROR(ABS(Table1[[#This Row],[Tol Span]]/Table1[[#This Row],[Error Span]]),"N/A"))</f>
        <v>N/A</v>
      </c>
      <c r="T1909" s="1" t="str">
        <f>IF(OR(Table1[[#This Row],[Low Tol]]="",Table1[[#This Row],[High Tol]]=""),"Needs Analysis",IF(Table1[[#This Row],[Ratio]]&gt;=4,"Not Significant",IF(Table1[[#This Row],[Ratio]]&gt;=2,"Semi-Significant","Significant")))</f>
        <v>Needs Analysis</v>
      </c>
      <c r="W1909" s="1">
        <f>IF(Table1[[#This Row],[Cal Type]]&lt;&gt;"ACCREDITED 17025 WITH UNCERTAINTIES",0,"")</f>
        <v>0</v>
      </c>
      <c r="X1909" s="1" t="str">
        <f>IF(Table1[[#This Row],[DUT Read]]="","N/A",Table1[[#This Row],[Std Error]]+Table1[[#This Row],[DUT Read]]+Table1[[#This Row],[DUT Ucty]])</f>
        <v>N/A</v>
      </c>
      <c r="Y1909" s="1" t="str">
        <f>IF(Table1[[#This Row],[Std Read]]="","N/A",Table1[[#This Row],[Std Read]]+Table1[[#This Row],[Std Ucty]])</f>
        <v>N/A</v>
      </c>
      <c r="Z19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09" s="1" t="str">
        <f>IF(Table1[[#This Row],[Spec Type]]="","N/A",Table1[[#This Row],[Spec Type]])</f>
        <v>±</v>
      </c>
      <c r="AC1909" s="1" t="str">
        <f>IF(Table1[[#This Row],[Spec Type2]]="N/A","N/A",IF(AND(Table1[[#This Row],[DUT Adj Read]]&gt;=Table1[[#This Row],[Low Tol]],Table1[[#This Row],[DUT Adj Read]]&lt;=Table1[[#This Row],[High Tol]]),"Pass","Fail"))</f>
        <v>Fail</v>
      </c>
      <c r="AD1909" s="1" t="str">
        <f>IF(AND(Table1[[#This Row],[Spec Type2]]="N/A",Table1[[#This Row],[DUT Adj Read]]="N/A",Table1[[#This Row],[Std Adj Read]]="N/A"),"N/A",IF(Table1[[#This Row],[DUT Adj Read]]="N/A",IF(Table1[[#This Row],[Std Adj Read]]&gt;Table1[[#This Row],[Low Tol]],"Pass","Fail"),IF(Table1[[#This Row],[DUT Adj Read]]&gt;Table1[[#This Row],[Low Tol]],"Pass","Fail")))</f>
        <v>Pass</v>
      </c>
      <c r="AE1909" s="1" t="str">
        <f>IF(AND(Table1[[#This Row],[Spec Type2]]="N/A",Table1[[#This Row],[DUT Adj Read]]="N/A",Table1[[#This Row],[Std Adj Read]]="N/A"),"N/A",IF(Table1[[#This Row],[DUT Adj Read]]="N/A",IF(Table1[[#This Row],[Std Adj Read]]&lt;Table1[[#This Row],[High Tol]],"Pass","Fail"),IF(Table1[[#This Row],[DUT Adj Read]]&lt;Table1[[#This Row],[High Tol]],"Pass","Fail")))</f>
        <v>Fail</v>
      </c>
      <c r="AF1909" s="1" t="str">
        <f>IF(AND(Table1[[#This Row],[Spec Type2]]="N/A",Table1[[#This Row],[DUT Adj Read]]="N/A",Table1[[#This Row],[Std Adj Read]]="N/A"),"N/A",IF(Table1[[#This Row],[DUT Adj Read]]="N/A",IF(Table1[[#This Row],[Std Adj Read]]&gt;=Table1[[#This Row],[Low Tol]],"Pass","Fail"),IF(Table1[[#This Row],[DUT Adj Read]]&gt;=Table1[[#This Row],[Low Tol]],"Pass","Fail")))</f>
        <v>Pass</v>
      </c>
      <c r="AG1909" s="1" t="str">
        <f>IF(AND(Table1[[#This Row],[Spec Type2]]="N/A",Table1[[#This Row],[DUT Adj Read]]="N/A",Table1[[#This Row],[Std Adj Read]]="N/A"),"N/A",IF(Table1[[#This Row],[DUT Adj Read]]="N/A",IF(Table1[[#This Row],[Std Adj Read]]&lt;=Table1[[#This Row],[High Tol]],"Pass","Fail"),IF(Table1[[#This Row],[DUT Adj Read]]&lt;=Table1[[#This Row],[High Tol]],"Pass","Fail")))</f>
        <v>Fail</v>
      </c>
      <c r="AH19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09" s="1" t="b">
        <v>0</v>
      </c>
      <c r="AN1909" s="1" t="b">
        <v>0</v>
      </c>
      <c r="AO1909" s="1" t="b">
        <v>0</v>
      </c>
    </row>
    <row r="1910" spans="1:41" x14ac:dyDescent="0.25">
      <c r="A1910" s="10"/>
      <c r="B1910" s="10"/>
      <c r="C1910" s="10"/>
      <c r="D1910" s="10"/>
      <c r="E1910" s="10"/>
      <c r="F1910" s="10"/>
      <c r="G1910" s="10"/>
      <c r="H1910" s="10"/>
      <c r="I1910" s="1" t="str">
        <f t="shared" si="87"/>
        <v/>
      </c>
      <c r="J1910" s="1" t="s">
        <v>35</v>
      </c>
      <c r="K1910" s="1" t="str">
        <f t="shared" si="88"/>
        <v/>
      </c>
      <c r="L1910" s="1" t="str">
        <f t="shared" si="89"/>
        <v/>
      </c>
      <c r="M1910" s="1">
        <f>IF(OR(Table1[[#This Row],[Std Nom]]="",Table1[[#This Row],[Std Read]]=""),0,Table1[[#This Row],[Std Nom]]-Table1[[#This Row],[Std Read]])</f>
        <v>0</v>
      </c>
      <c r="N1910" s="1">
        <f>IF(Calculations!$F$5="ACCREDITED 17025 WITH UNCERTAINTIES",$N$10,0)</f>
        <v>0</v>
      </c>
      <c r="Q1910" s="1">
        <f>Table1[[#This Row],[High Tol]]-Table1[[#This Row],[Low Tol]]</f>
        <v>0</v>
      </c>
      <c r="R1910" s="1">
        <f>2*Table1[[#This Row],[Std Error]]</f>
        <v>0</v>
      </c>
      <c r="S1910" s="1" t="str">
        <f>IF(Table1[[#This Row],[High Tol]]="","N/A",IFERROR(ABS(Table1[[#This Row],[Tol Span]]/Table1[[#This Row],[Error Span]]),"N/A"))</f>
        <v>N/A</v>
      </c>
      <c r="T1910" s="1" t="str">
        <f>IF(OR(Table1[[#This Row],[Low Tol]]="",Table1[[#This Row],[High Tol]]=""),"Needs Analysis",IF(Table1[[#This Row],[Ratio]]&gt;=4,"Not Significant",IF(Table1[[#This Row],[Ratio]]&gt;=2,"Semi-Significant","Significant")))</f>
        <v>Needs Analysis</v>
      </c>
      <c r="W1910" s="1">
        <f>IF(Table1[[#This Row],[Cal Type]]&lt;&gt;"ACCREDITED 17025 WITH UNCERTAINTIES",0,"")</f>
        <v>0</v>
      </c>
      <c r="X1910" s="1" t="str">
        <f>IF(Table1[[#This Row],[DUT Read]]="","N/A",Table1[[#This Row],[Std Error]]+Table1[[#This Row],[DUT Read]]+Table1[[#This Row],[DUT Ucty]])</f>
        <v>N/A</v>
      </c>
      <c r="Y1910" s="1" t="str">
        <f>IF(Table1[[#This Row],[Std Read]]="","N/A",Table1[[#This Row],[Std Read]]+Table1[[#This Row],[Std Ucty]])</f>
        <v>N/A</v>
      </c>
      <c r="Z19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0" s="1" t="str">
        <f>IF(Table1[[#This Row],[Spec Type]]="","N/A",Table1[[#This Row],[Spec Type]])</f>
        <v>±</v>
      </c>
      <c r="AC1910" s="1" t="str">
        <f>IF(Table1[[#This Row],[Spec Type2]]="N/A","N/A",IF(AND(Table1[[#This Row],[DUT Adj Read]]&gt;=Table1[[#This Row],[Low Tol]],Table1[[#This Row],[DUT Adj Read]]&lt;=Table1[[#This Row],[High Tol]]),"Pass","Fail"))</f>
        <v>Fail</v>
      </c>
      <c r="AD1910" s="1" t="str">
        <f>IF(AND(Table1[[#This Row],[Spec Type2]]="N/A",Table1[[#This Row],[DUT Adj Read]]="N/A",Table1[[#This Row],[Std Adj Read]]="N/A"),"N/A",IF(Table1[[#This Row],[DUT Adj Read]]="N/A",IF(Table1[[#This Row],[Std Adj Read]]&gt;Table1[[#This Row],[Low Tol]],"Pass","Fail"),IF(Table1[[#This Row],[DUT Adj Read]]&gt;Table1[[#This Row],[Low Tol]],"Pass","Fail")))</f>
        <v>Pass</v>
      </c>
      <c r="AE1910" s="1" t="str">
        <f>IF(AND(Table1[[#This Row],[Spec Type2]]="N/A",Table1[[#This Row],[DUT Adj Read]]="N/A",Table1[[#This Row],[Std Adj Read]]="N/A"),"N/A",IF(Table1[[#This Row],[DUT Adj Read]]="N/A",IF(Table1[[#This Row],[Std Adj Read]]&lt;Table1[[#This Row],[High Tol]],"Pass","Fail"),IF(Table1[[#This Row],[DUT Adj Read]]&lt;Table1[[#This Row],[High Tol]],"Pass","Fail")))</f>
        <v>Fail</v>
      </c>
      <c r="AF1910" s="1" t="str">
        <f>IF(AND(Table1[[#This Row],[Spec Type2]]="N/A",Table1[[#This Row],[DUT Adj Read]]="N/A",Table1[[#This Row],[Std Adj Read]]="N/A"),"N/A",IF(Table1[[#This Row],[DUT Adj Read]]="N/A",IF(Table1[[#This Row],[Std Adj Read]]&gt;=Table1[[#This Row],[Low Tol]],"Pass","Fail"),IF(Table1[[#This Row],[DUT Adj Read]]&gt;=Table1[[#This Row],[Low Tol]],"Pass","Fail")))</f>
        <v>Pass</v>
      </c>
      <c r="AG1910" s="1" t="str">
        <f>IF(AND(Table1[[#This Row],[Spec Type2]]="N/A",Table1[[#This Row],[DUT Adj Read]]="N/A",Table1[[#This Row],[Std Adj Read]]="N/A"),"N/A",IF(Table1[[#This Row],[DUT Adj Read]]="N/A",IF(Table1[[#This Row],[Std Adj Read]]&lt;=Table1[[#This Row],[High Tol]],"Pass","Fail"),IF(Table1[[#This Row],[DUT Adj Read]]&lt;=Table1[[#This Row],[High Tol]],"Pass","Fail")))</f>
        <v>Fail</v>
      </c>
      <c r="AH19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0" s="1" t="b">
        <v>0</v>
      </c>
      <c r="AN1910" s="1" t="b">
        <v>0</v>
      </c>
      <c r="AO1910" s="1" t="b">
        <v>0</v>
      </c>
    </row>
    <row r="1911" spans="1:41" x14ac:dyDescent="0.25">
      <c r="A1911" s="10"/>
      <c r="B1911" s="10"/>
      <c r="C1911" s="10"/>
      <c r="D1911" s="10"/>
      <c r="E1911" s="10"/>
      <c r="F1911" s="10"/>
      <c r="G1911" s="10"/>
      <c r="H1911" s="10"/>
      <c r="I1911" s="1" t="str">
        <f t="shared" si="87"/>
        <v/>
      </c>
      <c r="J1911" s="1" t="s">
        <v>35</v>
      </c>
      <c r="K1911" s="1" t="str">
        <f t="shared" si="88"/>
        <v/>
      </c>
      <c r="L1911" s="1" t="str">
        <f t="shared" si="89"/>
        <v/>
      </c>
      <c r="M1911" s="1">
        <f>IF(OR(Table1[[#This Row],[Std Nom]]="",Table1[[#This Row],[Std Read]]=""),0,Table1[[#This Row],[Std Nom]]-Table1[[#This Row],[Std Read]])</f>
        <v>0</v>
      </c>
      <c r="N1911" s="1">
        <f>IF(Calculations!$F$5="ACCREDITED 17025 WITH UNCERTAINTIES",$N$10,0)</f>
        <v>0</v>
      </c>
      <c r="Q1911" s="1">
        <f>Table1[[#This Row],[High Tol]]-Table1[[#This Row],[Low Tol]]</f>
        <v>0</v>
      </c>
      <c r="R1911" s="1">
        <f>2*Table1[[#This Row],[Std Error]]</f>
        <v>0</v>
      </c>
      <c r="S1911" s="1" t="str">
        <f>IF(Table1[[#This Row],[High Tol]]="","N/A",IFERROR(ABS(Table1[[#This Row],[Tol Span]]/Table1[[#This Row],[Error Span]]),"N/A"))</f>
        <v>N/A</v>
      </c>
      <c r="T1911" s="1" t="str">
        <f>IF(OR(Table1[[#This Row],[Low Tol]]="",Table1[[#This Row],[High Tol]]=""),"Needs Analysis",IF(Table1[[#This Row],[Ratio]]&gt;=4,"Not Significant",IF(Table1[[#This Row],[Ratio]]&gt;=2,"Semi-Significant","Significant")))</f>
        <v>Needs Analysis</v>
      </c>
      <c r="W1911" s="1">
        <f>IF(Table1[[#This Row],[Cal Type]]&lt;&gt;"ACCREDITED 17025 WITH UNCERTAINTIES",0,"")</f>
        <v>0</v>
      </c>
      <c r="X1911" s="1" t="str">
        <f>IF(Table1[[#This Row],[DUT Read]]="","N/A",Table1[[#This Row],[Std Error]]+Table1[[#This Row],[DUT Read]]+Table1[[#This Row],[DUT Ucty]])</f>
        <v>N/A</v>
      </c>
      <c r="Y1911" s="1" t="str">
        <f>IF(Table1[[#This Row],[Std Read]]="","N/A",Table1[[#This Row],[Std Read]]+Table1[[#This Row],[Std Ucty]])</f>
        <v>N/A</v>
      </c>
      <c r="Z19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1" s="1" t="str">
        <f>IF(Table1[[#This Row],[Spec Type]]="","N/A",Table1[[#This Row],[Spec Type]])</f>
        <v>±</v>
      </c>
      <c r="AC1911" s="1" t="str">
        <f>IF(Table1[[#This Row],[Spec Type2]]="N/A","N/A",IF(AND(Table1[[#This Row],[DUT Adj Read]]&gt;=Table1[[#This Row],[Low Tol]],Table1[[#This Row],[DUT Adj Read]]&lt;=Table1[[#This Row],[High Tol]]),"Pass","Fail"))</f>
        <v>Fail</v>
      </c>
      <c r="AD1911" s="1" t="str">
        <f>IF(AND(Table1[[#This Row],[Spec Type2]]="N/A",Table1[[#This Row],[DUT Adj Read]]="N/A",Table1[[#This Row],[Std Adj Read]]="N/A"),"N/A",IF(Table1[[#This Row],[DUT Adj Read]]="N/A",IF(Table1[[#This Row],[Std Adj Read]]&gt;Table1[[#This Row],[Low Tol]],"Pass","Fail"),IF(Table1[[#This Row],[DUT Adj Read]]&gt;Table1[[#This Row],[Low Tol]],"Pass","Fail")))</f>
        <v>Pass</v>
      </c>
      <c r="AE1911" s="1" t="str">
        <f>IF(AND(Table1[[#This Row],[Spec Type2]]="N/A",Table1[[#This Row],[DUT Adj Read]]="N/A",Table1[[#This Row],[Std Adj Read]]="N/A"),"N/A",IF(Table1[[#This Row],[DUT Adj Read]]="N/A",IF(Table1[[#This Row],[Std Adj Read]]&lt;Table1[[#This Row],[High Tol]],"Pass","Fail"),IF(Table1[[#This Row],[DUT Adj Read]]&lt;Table1[[#This Row],[High Tol]],"Pass","Fail")))</f>
        <v>Fail</v>
      </c>
      <c r="AF1911" s="1" t="str">
        <f>IF(AND(Table1[[#This Row],[Spec Type2]]="N/A",Table1[[#This Row],[DUT Adj Read]]="N/A",Table1[[#This Row],[Std Adj Read]]="N/A"),"N/A",IF(Table1[[#This Row],[DUT Adj Read]]="N/A",IF(Table1[[#This Row],[Std Adj Read]]&gt;=Table1[[#This Row],[Low Tol]],"Pass","Fail"),IF(Table1[[#This Row],[DUT Adj Read]]&gt;=Table1[[#This Row],[Low Tol]],"Pass","Fail")))</f>
        <v>Pass</v>
      </c>
      <c r="AG1911" s="1" t="str">
        <f>IF(AND(Table1[[#This Row],[Spec Type2]]="N/A",Table1[[#This Row],[DUT Adj Read]]="N/A",Table1[[#This Row],[Std Adj Read]]="N/A"),"N/A",IF(Table1[[#This Row],[DUT Adj Read]]="N/A",IF(Table1[[#This Row],[Std Adj Read]]&lt;=Table1[[#This Row],[High Tol]],"Pass","Fail"),IF(Table1[[#This Row],[DUT Adj Read]]&lt;=Table1[[#This Row],[High Tol]],"Pass","Fail")))</f>
        <v>Fail</v>
      </c>
      <c r="AH19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1" s="1" t="b">
        <v>0</v>
      </c>
      <c r="AN1911" s="1" t="b">
        <v>0</v>
      </c>
      <c r="AO1911" s="1" t="b">
        <v>0</v>
      </c>
    </row>
    <row r="1912" spans="1:41" x14ac:dyDescent="0.25">
      <c r="A1912" s="10"/>
      <c r="B1912" s="10"/>
      <c r="C1912" s="10"/>
      <c r="D1912" s="10"/>
      <c r="E1912" s="10"/>
      <c r="F1912" s="10"/>
      <c r="G1912" s="10"/>
      <c r="H1912" s="10"/>
      <c r="I1912" s="1" t="str">
        <f t="shared" si="87"/>
        <v/>
      </c>
      <c r="J1912" s="1" t="s">
        <v>35</v>
      </c>
      <c r="K1912" s="1" t="str">
        <f t="shared" si="88"/>
        <v/>
      </c>
      <c r="L1912" s="1" t="str">
        <f t="shared" si="89"/>
        <v/>
      </c>
      <c r="M1912" s="1">
        <f>IF(OR(Table1[[#This Row],[Std Nom]]="",Table1[[#This Row],[Std Read]]=""),0,Table1[[#This Row],[Std Nom]]-Table1[[#This Row],[Std Read]])</f>
        <v>0</v>
      </c>
      <c r="N1912" s="1">
        <f>IF(Calculations!$F$5="ACCREDITED 17025 WITH UNCERTAINTIES",$N$10,0)</f>
        <v>0</v>
      </c>
      <c r="Q1912" s="1">
        <f>Table1[[#This Row],[High Tol]]-Table1[[#This Row],[Low Tol]]</f>
        <v>0</v>
      </c>
      <c r="R1912" s="1">
        <f>2*Table1[[#This Row],[Std Error]]</f>
        <v>0</v>
      </c>
      <c r="S1912" s="1" t="str">
        <f>IF(Table1[[#This Row],[High Tol]]="","N/A",IFERROR(ABS(Table1[[#This Row],[Tol Span]]/Table1[[#This Row],[Error Span]]),"N/A"))</f>
        <v>N/A</v>
      </c>
      <c r="T1912" s="1" t="str">
        <f>IF(OR(Table1[[#This Row],[Low Tol]]="",Table1[[#This Row],[High Tol]]=""),"Needs Analysis",IF(Table1[[#This Row],[Ratio]]&gt;=4,"Not Significant",IF(Table1[[#This Row],[Ratio]]&gt;=2,"Semi-Significant","Significant")))</f>
        <v>Needs Analysis</v>
      </c>
      <c r="W1912" s="1">
        <f>IF(Table1[[#This Row],[Cal Type]]&lt;&gt;"ACCREDITED 17025 WITH UNCERTAINTIES",0,"")</f>
        <v>0</v>
      </c>
      <c r="X1912" s="1" t="str">
        <f>IF(Table1[[#This Row],[DUT Read]]="","N/A",Table1[[#This Row],[Std Error]]+Table1[[#This Row],[DUT Read]]+Table1[[#This Row],[DUT Ucty]])</f>
        <v>N/A</v>
      </c>
      <c r="Y1912" s="1" t="str">
        <f>IF(Table1[[#This Row],[Std Read]]="","N/A",Table1[[#This Row],[Std Read]]+Table1[[#This Row],[Std Ucty]])</f>
        <v>N/A</v>
      </c>
      <c r="Z19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2" s="1" t="str">
        <f>IF(Table1[[#This Row],[Spec Type]]="","N/A",Table1[[#This Row],[Spec Type]])</f>
        <v>±</v>
      </c>
      <c r="AC1912" s="1" t="str">
        <f>IF(Table1[[#This Row],[Spec Type2]]="N/A","N/A",IF(AND(Table1[[#This Row],[DUT Adj Read]]&gt;=Table1[[#This Row],[Low Tol]],Table1[[#This Row],[DUT Adj Read]]&lt;=Table1[[#This Row],[High Tol]]),"Pass","Fail"))</f>
        <v>Fail</v>
      </c>
      <c r="AD1912" s="1" t="str">
        <f>IF(AND(Table1[[#This Row],[Spec Type2]]="N/A",Table1[[#This Row],[DUT Adj Read]]="N/A",Table1[[#This Row],[Std Adj Read]]="N/A"),"N/A",IF(Table1[[#This Row],[DUT Adj Read]]="N/A",IF(Table1[[#This Row],[Std Adj Read]]&gt;Table1[[#This Row],[Low Tol]],"Pass","Fail"),IF(Table1[[#This Row],[DUT Adj Read]]&gt;Table1[[#This Row],[Low Tol]],"Pass","Fail")))</f>
        <v>Pass</v>
      </c>
      <c r="AE1912" s="1" t="str">
        <f>IF(AND(Table1[[#This Row],[Spec Type2]]="N/A",Table1[[#This Row],[DUT Adj Read]]="N/A",Table1[[#This Row],[Std Adj Read]]="N/A"),"N/A",IF(Table1[[#This Row],[DUT Adj Read]]="N/A",IF(Table1[[#This Row],[Std Adj Read]]&lt;Table1[[#This Row],[High Tol]],"Pass","Fail"),IF(Table1[[#This Row],[DUT Adj Read]]&lt;Table1[[#This Row],[High Tol]],"Pass","Fail")))</f>
        <v>Fail</v>
      </c>
      <c r="AF1912" s="1" t="str">
        <f>IF(AND(Table1[[#This Row],[Spec Type2]]="N/A",Table1[[#This Row],[DUT Adj Read]]="N/A",Table1[[#This Row],[Std Adj Read]]="N/A"),"N/A",IF(Table1[[#This Row],[DUT Adj Read]]="N/A",IF(Table1[[#This Row],[Std Adj Read]]&gt;=Table1[[#This Row],[Low Tol]],"Pass","Fail"),IF(Table1[[#This Row],[DUT Adj Read]]&gt;=Table1[[#This Row],[Low Tol]],"Pass","Fail")))</f>
        <v>Pass</v>
      </c>
      <c r="AG1912" s="1" t="str">
        <f>IF(AND(Table1[[#This Row],[Spec Type2]]="N/A",Table1[[#This Row],[DUT Adj Read]]="N/A",Table1[[#This Row],[Std Adj Read]]="N/A"),"N/A",IF(Table1[[#This Row],[DUT Adj Read]]="N/A",IF(Table1[[#This Row],[Std Adj Read]]&lt;=Table1[[#This Row],[High Tol]],"Pass","Fail"),IF(Table1[[#This Row],[DUT Adj Read]]&lt;=Table1[[#This Row],[High Tol]],"Pass","Fail")))</f>
        <v>Fail</v>
      </c>
      <c r="AH19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2" s="1" t="b">
        <v>0</v>
      </c>
      <c r="AN1912" s="1" t="b">
        <v>0</v>
      </c>
      <c r="AO1912" s="1" t="b">
        <v>0</v>
      </c>
    </row>
    <row r="1913" spans="1:41" x14ac:dyDescent="0.25">
      <c r="A1913" s="10"/>
      <c r="B1913" s="10"/>
      <c r="C1913" s="10"/>
      <c r="D1913" s="10"/>
      <c r="E1913" s="10"/>
      <c r="F1913" s="10"/>
      <c r="G1913" s="10"/>
      <c r="H1913" s="10"/>
      <c r="I1913" s="1" t="str">
        <f t="shared" si="87"/>
        <v/>
      </c>
      <c r="J1913" s="1" t="s">
        <v>35</v>
      </c>
      <c r="K1913" s="1" t="str">
        <f t="shared" si="88"/>
        <v/>
      </c>
      <c r="L1913" s="1" t="str">
        <f t="shared" si="89"/>
        <v/>
      </c>
      <c r="M1913" s="1">
        <f>IF(OR(Table1[[#This Row],[Std Nom]]="",Table1[[#This Row],[Std Read]]=""),0,Table1[[#This Row],[Std Nom]]-Table1[[#This Row],[Std Read]])</f>
        <v>0</v>
      </c>
      <c r="N1913" s="1">
        <f>IF(Calculations!$F$5="ACCREDITED 17025 WITH UNCERTAINTIES",$N$10,0)</f>
        <v>0</v>
      </c>
      <c r="Q1913" s="1">
        <f>Table1[[#This Row],[High Tol]]-Table1[[#This Row],[Low Tol]]</f>
        <v>0</v>
      </c>
      <c r="R1913" s="1">
        <f>2*Table1[[#This Row],[Std Error]]</f>
        <v>0</v>
      </c>
      <c r="S1913" s="1" t="str">
        <f>IF(Table1[[#This Row],[High Tol]]="","N/A",IFERROR(ABS(Table1[[#This Row],[Tol Span]]/Table1[[#This Row],[Error Span]]),"N/A"))</f>
        <v>N/A</v>
      </c>
      <c r="T1913" s="1" t="str">
        <f>IF(OR(Table1[[#This Row],[Low Tol]]="",Table1[[#This Row],[High Tol]]=""),"Needs Analysis",IF(Table1[[#This Row],[Ratio]]&gt;=4,"Not Significant",IF(Table1[[#This Row],[Ratio]]&gt;=2,"Semi-Significant","Significant")))</f>
        <v>Needs Analysis</v>
      </c>
      <c r="W1913" s="1">
        <f>IF(Table1[[#This Row],[Cal Type]]&lt;&gt;"ACCREDITED 17025 WITH UNCERTAINTIES",0,"")</f>
        <v>0</v>
      </c>
      <c r="X1913" s="1" t="str">
        <f>IF(Table1[[#This Row],[DUT Read]]="","N/A",Table1[[#This Row],[Std Error]]+Table1[[#This Row],[DUT Read]]+Table1[[#This Row],[DUT Ucty]])</f>
        <v>N/A</v>
      </c>
      <c r="Y1913" s="1" t="str">
        <f>IF(Table1[[#This Row],[Std Read]]="","N/A",Table1[[#This Row],[Std Read]]+Table1[[#This Row],[Std Ucty]])</f>
        <v>N/A</v>
      </c>
      <c r="Z19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3" s="1" t="str">
        <f>IF(Table1[[#This Row],[Spec Type]]="","N/A",Table1[[#This Row],[Spec Type]])</f>
        <v>±</v>
      </c>
      <c r="AC1913" s="1" t="str">
        <f>IF(Table1[[#This Row],[Spec Type2]]="N/A","N/A",IF(AND(Table1[[#This Row],[DUT Adj Read]]&gt;=Table1[[#This Row],[Low Tol]],Table1[[#This Row],[DUT Adj Read]]&lt;=Table1[[#This Row],[High Tol]]),"Pass","Fail"))</f>
        <v>Fail</v>
      </c>
      <c r="AD1913" s="1" t="str">
        <f>IF(AND(Table1[[#This Row],[Spec Type2]]="N/A",Table1[[#This Row],[DUT Adj Read]]="N/A",Table1[[#This Row],[Std Adj Read]]="N/A"),"N/A",IF(Table1[[#This Row],[DUT Adj Read]]="N/A",IF(Table1[[#This Row],[Std Adj Read]]&gt;Table1[[#This Row],[Low Tol]],"Pass","Fail"),IF(Table1[[#This Row],[DUT Adj Read]]&gt;Table1[[#This Row],[Low Tol]],"Pass","Fail")))</f>
        <v>Pass</v>
      </c>
      <c r="AE1913" s="1" t="str">
        <f>IF(AND(Table1[[#This Row],[Spec Type2]]="N/A",Table1[[#This Row],[DUT Adj Read]]="N/A",Table1[[#This Row],[Std Adj Read]]="N/A"),"N/A",IF(Table1[[#This Row],[DUT Adj Read]]="N/A",IF(Table1[[#This Row],[Std Adj Read]]&lt;Table1[[#This Row],[High Tol]],"Pass","Fail"),IF(Table1[[#This Row],[DUT Adj Read]]&lt;Table1[[#This Row],[High Tol]],"Pass","Fail")))</f>
        <v>Fail</v>
      </c>
      <c r="AF1913" s="1" t="str">
        <f>IF(AND(Table1[[#This Row],[Spec Type2]]="N/A",Table1[[#This Row],[DUT Adj Read]]="N/A",Table1[[#This Row],[Std Adj Read]]="N/A"),"N/A",IF(Table1[[#This Row],[DUT Adj Read]]="N/A",IF(Table1[[#This Row],[Std Adj Read]]&gt;=Table1[[#This Row],[Low Tol]],"Pass","Fail"),IF(Table1[[#This Row],[DUT Adj Read]]&gt;=Table1[[#This Row],[Low Tol]],"Pass","Fail")))</f>
        <v>Pass</v>
      </c>
      <c r="AG1913" s="1" t="str">
        <f>IF(AND(Table1[[#This Row],[Spec Type2]]="N/A",Table1[[#This Row],[DUT Adj Read]]="N/A",Table1[[#This Row],[Std Adj Read]]="N/A"),"N/A",IF(Table1[[#This Row],[DUT Adj Read]]="N/A",IF(Table1[[#This Row],[Std Adj Read]]&lt;=Table1[[#This Row],[High Tol]],"Pass","Fail"),IF(Table1[[#This Row],[DUT Adj Read]]&lt;=Table1[[#This Row],[High Tol]],"Pass","Fail")))</f>
        <v>Fail</v>
      </c>
      <c r="AH19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3" s="1" t="b">
        <v>0</v>
      </c>
      <c r="AN1913" s="1" t="b">
        <v>0</v>
      </c>
      <c r="AO1913" s="1" t="b">
        <v>0</v>
      </c>
    </row>
    <row r="1914" spans="1:41" x14ac:dyDescent="0.25">
      <c r="A1914" s="10"/>
      <c r="B1914" s="10"/>
      <c r="C1914" s="10"/>
      <c r="D1914" s="10"/>
      <c r="E1914" s="10"/>
      <c r="F1914" s="10"/>
      <c r="G1914" s="10"/>
      <c r="H1914" s="10"/>
      <c r="I1914" s="1" t="str">
        <f t="shared" si="87"/>
        <v/>
      </c>
      <c r="J1914" s="1" t="s">
        <v>35</v>
      </c>
      <c r="K1914" s="1" t="str">
        <f t="shared" si="88"/>
        <v/>
      </c>
      <c r="L1914" s="1" t="str">
        <f t="shared" si="89"/>
        <v/>
      </c>
      <c r="M1914" s="1">
        <f>IF(OR(Table1[[#This Row],[Std Nom]]="",Table1[[#This Row],[Std Read]]=""),0,Table1[[#This Row],[Std Nom]]-Table1[[#This Row],[Std Read]])</f>
        <v>0</v>
      </c>
      <c r="N1914" s="1">
        <f>IF(Calculations!$F$5="ACCREDITED 17025 WITH UNCERTAINTIES",$N$10,0)</f>
        <v>0</v>
      </c>
      <c r="Q1914" s="1">
        <f>Table1[[#This Row],[High Tol]]-Table1[[#This Row],[Low Tol]]</f>
        <v>0</v>
      </c>
      <c r="R1914" s="1">
        <f>2*Table1[[#This Row],[Std Error]]</f>
        <v>0</v>
      </c>
      <c r="S1914" s="1" t="str">
        <f>IF(Table1[[#This Row],[High Tol]]="","N/A",IFERROR(ABS(Table1[[#This Row],[Tol Span]]/Table1[[#This Row],[Error Span]]),"N/A"))</f>
        <v>N/A</v>
      </c>
      <c r="T1914" s="1" t="str">
        <f>IF(OR(Table1[[#This Row],[Low Tol]]="",Table1[[#This Row],[High Tol]]=""),"Needs Analysis",IF(Table1[[#This Row],[Ratio]]&gt;=4,"Not Significant",IF(Table1[[#This Row],[Ratio]]&gt;=2,"Semi-Significant","Significant")))</f>
        <v>Needs Analysis</v>
      </c>
      <c r="W1914" s="1">
        <f>IF(Table1[[#This Row],[Cal Type]]&lt;&gt;"ACCREDITED 17025 WITH UNCERTAINTIES",0,"")</f>
        <v>0</v>
      </c>
      <c r="X1914" s="1" t="str">
        <f>IF(Table1[[#This Row],[DUT Read]]="","N/A",Table1[[#This Row],[Std Error]]+Table1[[#This Row],[DUT Read]]+Table1[[#This Row],[DUT Ucty]])</f>
        <v>N/A</v>
      </c>
      <c r="Y1914" s="1" t="str">
        <f>IF(Table1[[#This Row],[Std Read]]="","N/A",Table1[[#This Row],[Std Read]]+Table1[[#This Row],[Std Ucty]])</f>
        <v>N/A</v>
      </c>
      <c r="Z19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4" s="1" t="str">
        <f>IF(Table1[[#This Row],[Spec Type]]="","N/A",Table1[[#This Row],[Spec Type]])</f>
        <v>±</v>
      </c>
      <c r="AC1914" s="1" t="str">
        <f>IF(Table1[[#This Row],[Spec Type2]]="N/A","N/A",IF(AND(Table1[[#This Row],[DUT Adj Read]]&gt;=Table1[[#This Row],[Low Tol]],Table1[[#This Row],[DUT Adj Read]]&lt;=Table1[[#This Row],[High Tol]]),"Pass","Fail"))</f>
        <v>Fail</v>
      </c>
      <c r="AD1914" s="1" t="str">
        <f>IF(AND(Table1[[#This Row],[Spec Type2]]="N/A",Table1[[#This Row],[DUT Adj Read]]="N/A",Table1[[#This Row],[Std Adj Read]]="N/A"),"N/A",IF(Table1[[#This Row],[DUT Adj Read]]="N/A",IF(Table1[[#This Row],[Std Adj Read]]&gt;Table1[[#This Row],[Low Tol]],"Pass","Fail"),IF(Table1[[#This Row],[DUT Adj Read]]&gt;Table1[[#This Row],[Low Tol]],"Pass","Fail")))</f>
        <v>Pass</v>
      </c>
      <c r="AE1914" s="1" t="str">
        <f>IF(AND(Table1[[#This Row],[Spec Type2]]="N/A",Table1[[#This Row],[DUT Adj Read]]="N/A",Table1[[#This Row],[Std Adj Read]]="N/A"),"N/A",IF(Table1[[#This Row],[DUT Adj Read]]="N/A",IF(Table1[[#This Row],[Std Adj Read]]&lt;Table1[[#This Row],[High Tol]],"Pass","Fail"),IF(Table1[[#This Row],[DUT Adj Read]]&lt;Table1[[#This Row],[High Tol]],"Pass","Fail")))</f>
        <v>Fail</v>
      </c>
      <c r="AF1914" s="1" t="str">
        <f>IF(AND(Table1[[#This Row],[Spec Type2]]="N/A",Table1[[#This Row],[DUT Adj Read]]="N/A",Table1[[#This Row],[Std Adj Read]]="N/A"),"N/A",IF(Table1[[#This Row],[DUT Adj Read]]="N/A",IF(Table1[[#This Row],[Std Adj Read]]&gt;=Table1[[#This Row],[Low Tol]],"Pass","Fail"),IF(Table1[[#This Row],[DUT Adj Read]]&gt;=Table1[[#This Row],[Low Tol]],"Pass","Fail")))</f>
        <v>Pass</v>
      </c>
      <c r="AG1914" s="1" t="str">
        <f>IF(AND(Table1[[#This Row],[Spec Type2]]="N/A",Table1[[#This Row],[DUT Adj Read]]="N/A",Table1[[#This Row],[Std Adj Read]]="N/A"),"N/A",IF(Table1[[#This Row],[DUT Adj Read]]="N/A",IF(Table1[[#This Row],[Std Adj Read]]&lt;=Table1[[#This Row],[High Tol]],"Pass","Fail"),IF(Table1[[#This Row],[DUT Adj Read]]&lt;=Table1[[#This Row],[High Tol]],"Pass","Fail")))</f>
        <v>Fail</v>
      </c>
      <c r="AH19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4" s="1" t="b">
        <v>0</v>
      </c>
      <c r="AN1914" s="1" t="b">
        <v>0</v>
      </c>
      <c r="AO1914" s="1" t="b">
        <v>0</v>
      </c>
    </row>
    <row r="1915" spans="1:41" x14ac:dyDescent="0.25">
      <c r="A1915" s="10"/>
      <c r="B1915" s="10"/>
      <c r="C1915" s="10"/>
      <c r="D1915" s="10"/>
      <c r="E1915" s="10"/>
      <c r="F1915" s="10"/>
      <c r="G1915" s="10"/>
      <c r="H1915" s="10"/>
      <c r="I1915" s="1" t="str">
        <f t="shared" si="87"/>
        <v/>
      </c>
      <c r="J1915" s="1" t="s">
        <v>35</v>
      </c>
      <c r="K1915" s="1" t="str">
        <f t="shared" si="88"/>
        <v/>
      </c>
      <c r="L1915" s="1" t="str">
        <f t="shared" si="89"/>
        <v/>
      </c>
      <c r="M1915" s="1">
        <f>IF(OR(Table1[[#This Row],[Std Nom]]="",Table1[[#This Row],[Std Read]]=""),0,Table1[[#This Row],[Std Nom]]-Table1[[#This Row],[Std Read]])</f>
        <v>0</v>
      </c>
      <c r="N1915" s="1">
        <f>IF(Calculations!$F$5="ACCREDITED 17025 WITH UNCERTAINTIES",$N$10,0)</f>
        <v>0</v>
      </c>
      <c r="Q1915" s="1">
        <f>Table1[[#This Row],[High Tol]]-Table1[[#This Row],[Low Tol]]</f>
        <v>0</v>
      </c>
      <c r="R1915" s="1">
        <f>2*Table1[[#This Row],[Std Error]]</f>
        <v>0</v>
      </c>
      <c r="S1915" s="1" t="str">
        <f>IF(Table1[[#This Row],[High Tol]]="","N/A",IFERROR(ABS(Table1[[#This Row],[Tol Span]]/Table1[[#This Row],[Error Span]]),"N/A"))</f>
        <v>N/A</v>
      </c>
      <c r="T1915" s="1" t="str">
        <f>IF(OR(Table1[[#This Row],[Low Tol]]="",Table1[[#This Row],[High Tol]]=""),"Needs Analysis",IF(Table1[[#This Row],[Ratio]]&gt;=4,"Not Significant",IF(Table1[[#This Row],[Ratio]]&gt;=2,"Semi-Significant","Significant")))</f>
        <v>Needs Analysis</v>
      </c>
      <c r="W1915" s="1">
        <f>IF(Table1[[#This Row],[Cal Type]]&lt;&gt;"ACCREDITED 17025 WITH UNCERTAINTIES",0,"")</f>
        <v>0</v>
      </c>
      <c r="X1915" s="1" t="str">
        <f>IF(Table1[[#This Row],[DUT Read]]="","N/A",Table1[[#This Row],[Std Error]]+Table1[[#This Row],[DUT Read]]+Table1[[#This Row],[DUT Ucty]])</f>
        <v>N/A</v>
      </c>
      <c r="Y1915" s="1" t="str">
        <f>IF(Table1[[#This Row],[Std Read]]="","N/A",Table1[[#This Row],[Std Read]]+Table1[[#This Row],[Std Ucty]])</f>
        <v>N/A</v>
      </c>
      <c r="Z19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5" s="1" t="str">
        <f>IF(Table1[[#This Row],[Spec Type]]="","N/A",Table1[[#This Row],[Spec Type]])</f>
        <v>±</v>
      </c>
      <c r="AC1915" s="1" t="str">
        <f>IF(Table1[[#This Row],[Spec Type2]]="N/A","N/A",IF(AND(Table1[[#This Row],[DUT Adj Read]]&gt;=Table1[[#This Row],[Low Tol]],Table1[[#This Row],[DUT Adj Read]]&lt;=Table1[[#This Row],[High Tol]]),"Pass","Fail"))</f>
        <v>Fail</v>
      </c>
      <c r="AD1915" s="1" t="str">
        <f>IF(AND(Table1[[#This Row],[Spec Type2]]="N/A",Table1[[#This Row],[DUT Adj Read]]="N/A",Table1[[#This Row],[Std Adj Read]]="N/A"),"N/A",IF(Table1[[#This Row],[DUT Adj Read]]="N/A",IF(Table1[[#This Row],[Std Adj Read]]&gt;Table1[[#This Row],[Low Tol]],"Pass","Fail"),IF(Table1[[#This Row],[DUT Adj Read]]&gt;Table1[[#This Row],[Low Tol]],"Pass","Fail")))</f>
        <v>Pass</v>
      </c>
      <c r="AE1915" s="1" t="str">
        <f>IF(AND(Table1[[#This Row],[Spec Type2]]="N/A",Table1[[#This Row],[DUT Adj Read]]="N/A",Table1[[#This Row],[Std Adj Read]]="N/A"),"N/A",IF(Table1[[#This Row],[DUT Adj Read]]="N/A",IF(Table1[[#This Row],[Std Adj Read]]&lt;Table1[[#This Row],[High Tol]],"Pass","Fail"),IF(Table1[[#This Row],[DUT Adj Read]]&lt;Table1[[#This Row],[High Tol]],"Pass","Fail")))</f>
        <v>Fail</v>
      </c>
      <c r="AF1915" s="1" t="str">
        <f>IF(AND(Table1[[#This Row],[Spec Type2]]="N/A",Table1[[#This Row],[DUT Adj Read]]="N/A",Table1[[#This Row],[Std Adj Read]]="N/A"),"N/A",IF(Table1[[#This Row],[DUT Adj Read]]="N/A",IF(Table1[[#This Row],[Std Adj Read]]&gt;=Table1[[#This Row],[Low Tol]],"Pass","Fail"),IF(Table1[[#This Row],[DUT Adj Read]]&gt;=Table1[[#This Row],[Low Tol]],"Pass","Fail")))</f>
        <v>Pass</v>
      </c>
      <c r="AG1915" s="1" t="str">
        <f>IF(AND(Table1[[#This Row],[Spec Type2]]="N/A",Table1[[#This Row],[DUT Adj Read]]="N/A",Table1[[#This Row],[Std Adj Read]]="N/A"),"N/A",IF(Table1[[#This Row],[DUT Adj Read]]="N/A",IF(Table1[[#This Row],[Std Adj Read]]&lt;=Table1[[#This Row],[High Tol]],"Pass","Fail"),IF(Table1[[#This Row],[DUT Adj Read]]&lt;=Table1[[#This Row],[High Tol]],"Pass","Fail")))</f>
        <v>Fail</v>
      </c>
      <c r="AH19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5" s="1" t="b">
        <v>0</v>
      </c>
      <c r="AN1915" s="1" t="b">
        <v>0</v>
      </c>
      <c r="AO1915" s="1" t="b">
        <v>0</v>
      </c>
    </row>
    <row r="1916" spans="1:41" x14ac:dyDescent="0.25">
      <c r="A1916" s="10"/>
      <c r="B1916" s="10"/>
      <c r="C1916" s="10"/>
      <c r="D1916" s="10"/>
      <c r="E1916" s="10"/>
      <c r="F1916" s="10"/>
      <c r="G1916" s="10"/>
      <c r="H1916" s="10"/>
      <c r="I1916" s="1" t="str">
        <f t="shared" si="87"/>
        <v/>
      </c>
      <c r="J1916" s="1" t="s">
        <v>35</v>
      </c>
      <c r="K1916" s="1" t="str">
        <f t="shared" si="88"/>
        <v/>
      </c>
      <c r="L1916" s="1" t="str">
        <f t="shared" si="89"/>
        <v/>
      </c>
      <c r="M1916" s="1">
        <f>IF(OR(Table1[[#This Row],[Std Nom]]="",Table1[[#This Row],[Std Read]]=""),0,Table1[[#This Row],[Std Nom]]-Table1[[#This Row],[Std Read]])</f>
        <v>0</v>
      </c>
      <c r="N1916" s="1">
        <f>IF(Calculations!$F$5="ACCREDITED 17025 WITH UNCERTAINTIES",$N$10,0)</f>
        <v>0</v>
      </c>
      <c r="Q1916" s="1">
        <f>Table1[[#This Row],[High Tol]]-Table1[[#This Row],[Low Tol]]</f>
        <v>0</v>
      </c>
      <c r="R1916" s="1">
        <f>2*Table1[[#This Row],[Std Error]]</f>
        <v>0</v>
      </c>
      <c r="S1916" s="1" t="str">
        <f>IF(Table1[[#This Row],[High Tol]]="","N/A",IFERROR(ABS(Table1[[#This Row],[Tol Span]]/Table1[[#This Row],[Error Span]]),"N/A"))</f>
        <v>N/A</v>
      </c>
      <c r="T1916" s="1" t="str">
        <f>IF(OR(Table1[[#This Row],[Low Tol]]="",Table1[[#This Row],[High Tol]]=""),"Needs Analysis",IF(Table1[[#This Row],[Ratio]]&gt;=4,"Not Significant",IF(Table1[[#This Row],[Ratio]]&gt;=2,"Semi-Significant","Significant")))</f>
        <v>Needs Analysis</v>
      </c>
      <c r="W1916" s="1">
        <f>IF(Table1[[#This Row],[Cal Type]]&lt;&gt;"ACCREDITED 17025 WITH UNCERTAINTIES",0,"")</f>
        <v>0</v>
      </c>
      <c r="X1916" s="1" t="str">
        <f>IF(Table1[[#This Row],[DUT Read]]="","N/A",Table1[[#This Row],[Std Error]]+Table1[[#This Row],[DUT Read]]+Table1[[#This Row],[DUT Ucty]])</f>
        <v>N/A</v>
      </c>
      <c r="Y1916" s="1" t="str">
        <f>IF(Table1[[#This Row],[Std Read]]="","N/A",Table1[[#This Row],[Std Read]]+Table1[[#This Row],[Std Ucty]])</f>
        <v>N/A</v>
      </c>
      <c r="Z19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6" s="1" t="str">
        <f>IF(Table1[[#This Row],[Spec Type]]="","N/A",Table1[[#This Row],[Spec Type]])</f>
        <v>±</v>
      </c>
      <c r="AC1916" s="1" t="str">
        <f>IF(Table1[[#This Row],[Spec Type2]]="N/A","N/A",IF(AND(Table1[[#This Row],[DUT Adj Read]]&gt;=Table1[[#This Row],[Low Tol]],Table1[[#This Row],[DUT Adj Read]]&lt;=Table1[[#This Row],[High Tol]]),"Pass","Fail"))</f>
        <v>Fail</v>
      </c>
      <c r="AD1916" s="1" t="str">
        <f>IF(AND(Table1[[#This Row],[Spec Type2]]="N/A",Table1[[#This Row],[DUT Adj Read]]="N/A",Table1[[#This Row],[Std Adj Read]]="N/A"),"N/A",IF(Table1[[#This Row],[DUT Adj Read]]="N/A",IF(Table1[[#This Row],[Std Adj Read]]&gt;Table1[[#This Row],[Low Tol]],"Pass","Fail"),IF(Table1[[#This Row],[DUT Adj Read]]&gt;Table1[[#This Row],[Low Tol]],"Pass","Fail")))</f>
        <v>Pass</v>
      </c>
      <c r="AE1916" s="1" t="str">
        <f>IF(AND(Table1[[#This Row],[Spec Type2]]="N/A",Table1[[#This Row],[DUT Adj Read]]="N/A",Table1[[#This Row],[Std Adj Read]]="N/A"),"N/A",IF(Table1[[#This Row],[DUT Adj Read]]="N/A",IF(Table1[[#This Row],[Std Adj Read]]&lt;Table1[[#This Row],[High Tol]],"Pass","Fail"),IF(Table1[[#This Row],[DUT Adj Read]]&lt;Table1[[#This Row],[High Tol]],"Pass","Fail")))</f>
        <v>Fail</v>
      </c>
      <c r="AF1916" s="1" t="str">
        <f>IF(AND(Table1[[#This Row],[Spec Type2]]="N/A",Table1[[#This Row],[DUT Adj Read]]="N/A",Table1[[#This Row],[Std Adj Read]]="N/A"),"N/A",IF(Table1[[#This Row],[DUT Adj Read]]="N/A",IF(Table1[[#This Row],[Std Adj Read]]&gt;=Table1[[#This Row],[Low Tol]],"Pass","Fail"),IF(Table1[[#This Row],[DUT Adj Read]]&gt;=Table1[[#This Row],[Low Tol]],"Pass","Fail")))</f>
        <v>Pass</v>
      </c>
      <c r="AG1916" s="1" t="str">
        <f>IF(AND(Table1[[#This Row],[Spec Type2]]="N/A",Table1[[#This Row],[DUT Adj Read]]="N/A",Table1[[#This Row],[Std Adj Read]]="N/A"),"N/A",IF(Table1[[#This Row],[DUT Adj Read]]="N/A",IF(Table1[[#This Row],[Std Adj Read]]&lt;=Table1[[#This Row],[High Tol]],"Pass","Fail"),IF(Table1[[#This Row],[DUT Adj Read]]&lt;=Table1[[#This Row],[High Tol]],"Pass","Fail")))</f>
        <v>Fail</v>
      </c>
      <c r="AH19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6" s="1" t="b">
        <v>0</v>
      </c>
      <c r="AN1916" s="1" t="b">
        <v>0</v>
      </c>
      <c r="AO1916" s="1" t="b">
        <v>0</v>
      </c>
    </row>
    <row r="1917" spans="1:41" x14ac:dyDescent="0.25">
      <c r="A1917" s="10"/>
      <c r="B1917" s="10"/>
      <c r="C1917" s="10"/>
      <c r="D1917" s="10"/>
      <c r="E1917" s="10"/>
      <c r="F1917" s="10"/>
      <c r="G1917" s="10"/>
      <c r="H1917" s="10"/>
      <c r="I1917" s="1" t="str">
        <f t="shared" si="87"/>
        <v/>
      </c>
      <c r="J1917" s="1" t="s">
        <v>35</v>
      </c>
      <c r="K1917" s="1" t="str">
        <f t="shared" si="88"/>
        <v/>
      </c>
      <c r="L1917" s="1" t="str">
        <f t="shared" si="89"/>
        <v/>
      </c>
      <c r="M1917" s="1">
        <f>IF(OR(Table1[[#This Row],[Std Nom]]="",Table1[[#This Row],[Std Read]]=""),0,Table1[[#This Row],[Std Nom]]-Table1[[#This Row],[Std Read]])</f>
        <v>0</v>
      </c>
      <c r="N1917" s="1">
        <f>IF(Calculations!$F$5="ACCREDITED 17025 WITH UNCERTAINTIES",$N$10,0)</f>
        <v>0</v>
      </c>
      <c r="Q1917" s="1">
        <f>Table1[[#This Row],[High Tol]]-Table1[[#This Row],[Low Tol]]</f>
        <v>0</v>
      </c>
      <c r="R1917" s="1">
        <f>2*Table1[[#This Row],[Std Error]]</f>
        <v>0</v>
      </c>
      <c r="S1917" s="1" t="str">
        <f>IF(Table1[[#This Row],[High Tol]]="","N/A",IFERROR(ABS(Table1[[#This Row],[Tol Span]]/Table1[[#This Row],[Error Span]]),"N/A"))</f>
        <v>N/A</v>
      </c>
      <c r="T1917" s="1" t="str">
        <f>IF(OR(Table1[[#This Row],[Low Tol]]="",Table1[[#This Row],[High Tol]]=""),"Needs Analysis",IF(Table1[[#This Row],[Ratio]]&gt;=4,"Not Significant",IF(Table1[[#This Row],[Ratio]]&gt;=2,"Semi-Significant","Significant")))</f>
        <v>Needs Analysis</v>
      </c>
      <c r="W1917" s="1">
        <f>IF(Table1[[#This Row],[Cal Type]]&lt;&gt;"ACCREDITED 17025 WITH UNCERTAINTIES",0,"")</f>
        <v>0</v>
      </c>
      <c r="X1917" s="1" t="str">
        <f>IF(Table1[[#This Row],[DUT Read]]="","N/A",Table1[[#This Row],[Std Error]]+Table1[[#This Row],[DUT Read]]+Table1[[#This Row],[DUT Ucty]])</f>
        <v>N/A</v>
      </c>
      <c r="Y1917" s="1" t="str">
        <f>IF(Table1[[#This Row],[Std Read]]="","N/A",Table1[[#This Row],[Std Read]]+Table1[[#This Row],[Std Ucty]])</f>
        <v>N/A</v>
      </c>
      <c r="Z19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7" s="1" t="str">
        <f>IF(Table1[[#This Row],[Spec Type]]="","N/A",Table1[[#This Row],[Spec Type]])</f>
        <v>±</v>
      </c>
      <c r="AC1917" s="1" t="str">
        <f>IF(Table1[[#This Row],[Spec Type2]]="N/A","N/A",IF(AND(Table1[[#This Row],[DUT Adj Read]]&gt;=Table1[[#This Row],[Low Tol]],Table1[[#This Row],[DUT Adj Read]]&lt;=Table1[[#This Row],[High Tol]]),"Pass","Fail"))</f>
        <v>Fail</v>
      </c>
      <c r="AD1917" s="1" t="str">
        <f>IF(AND(Table1[[#This Row],[Spec Type2]]="N/A",Table1[[#This Row],[DUT Adj Read]]="N/A",Table1[[#This Row],[Std Adj Read]]="N/A"),"N/A",IF(Table1[[#This Row],[DUT Adj Read]]="N/A",IF(Table1[[#This Row],[Std Adj Read]]&gt;Table1[[#This Row],[Low Tol]],"Pass","Fail"),IF(Table1[[#This Row],[DUT Adj Read]]&gt;Table1[[#This Row],[Low Tol]],"Pass","Fail")))</f>
        <v>Pass</v>
      </c>
      <c r="AE1917" s="1" t="str">
        <f>IF(AND(Table1[[#This Row],[Spec Type2]]="N/A",Table1[[#This Row],[DUT Adj Read]]="N/A",Table1[[#This Row],[Std Adj Read]]="N/A"),"N/A",IF(Table1[[#This Row],[DUT Adj Read]]="N/A",IF(Table1[[#This Row],[Std Adj Read]]&lt;Table1[[#This Row],[High Tol]],"Pass","Fail"),IF(Table1[[#This Row],[DUT Adj Read]]&lt;Table1[[#This Row],[High Tol]],"Pass","Fail")))</f>
        <v>Fail</v>
      </c>
      <c r="AF1917" s="1" t="str">
        <f>IF(AND(Table1[[#This Row],[Spec Type2]]="N/A",Table1[[#This Row],[DUT Adj Read]]="N/A",Table1[[#This Row],[Std Adj Read]]="N/A"),"N/A",IF(Table1[[#This Row],[DUT Adj Read]]="N/A",IF(Table1[[#This Row],[Std Adj Read]]&gt;=Table1[[#This Row],[Low Tol]],"Pass","Fail"),IF(Table1[[#This Row],[DUT Adj Read]]&gt;=Table1[[#This Row],[Low Tol]],"Pass","Fail")))</f>
        <v>Pass</v>
      </c>
      <c r="AG1917" s="1" t="str">
        <f>IF(AND(Table1[[#This Row],[Spec Type2]]="N/A",Table1[[#This Row],[DUT Adj Read]]="N/A",Table1[[#This Row],[Std Adj Read]]="N/A"),"N/A",IF(Table1[[#This Row],[DUT Adj Read]]="N/A",IF(Table1[[#This Row],[Std Adj Read]]&lt;=Table1[[#This Row],[High Tol]],"Pass","Fail"),IF(Table1[[#This Row],[DUT Adj Read]]&lt;=Table1[[#This Row],[High Tol]],"Pass","Fail")))</f>
        <v>Fail</v>
      </c>
      <c r="AH19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7" s="1" t="b">
        <v>0</v>
      </c>
      <c r="AN1917" s="1" t="b">
        <v>0</v>
      </c>
      <c r="AO1917" s="1" t="b">
        <v>0</v>
      </c>
    </row>
    <row r="1918" spans="1:41" x14ac:dyDescent="0.25">
      <c r="A1918" s="10"/>
      <c r="B1918" s="10"/>
      <c r="C1918" s="10"/>
      <c r="D1918" s="10"/>
      <c r="E1918" s="10"/>
      <c r="F1918" s="10"/>
      <c r="G1918" s="10"/>
      <c r="H1918" s="10"/>
      <c r="I1918" s="1" t="str">
        <f t="shared" si="87"/>
        <v/>
      </c>
      <c r="J1918" s="1" t="s">
        <v>35</v>
      </c>
      <c r="K1918" s="1" t="str">
        <f t="shared" si="88"/>
        <v/>
      </c>
      <c r="L1918" s="1" t="str">
        <f t="shared" si="89"/>
        <v/>
      </c>
      <c r="M1918" s="1">
        <f>IF(OR(Table1[[#This Row],[Std Nom]]="",Table1[[#This Row],[Std Read]]=""),0,Table1[[#This Row],[Std Nom]]-Table1[[#This Row],[Std Read]])</f>
        <v>0</v>
      </c>
      <c r="N1918" s="1">
        <f>IF(Calculations!$F$5="ACCREDITED 17025 WITH UNCERTAINTIES",$N$10,0)</f>
        <v>0</v>
      </c>
      <c r="Q1918" s="1">
        <f>Table1[[#This Row],[High Tol]]-Table1[[#This Row],[Low Tol]]</f>
        <v>0</v>
      </c>
      <c r="R1918" s="1">
        <f>2*Table1[[#This Row],[Std Error]]</f>
        <v>0</v>
      </c>
      <c r="S1918" s="1" t="str">
        <f>IF(Table1[[#This Row],[High Tol]]="","N/A",IFERROR(ABS(Table1[[#This Row],[Tol Span]]/Table1[[#This Row],[Error Span]]),"N/A"))</f>
        <v>N/A</v>
      </c>
      <c r="T1918" s="1" t="str">
        <f>IF(OR(Table1[[#This Row],[Low Tol]]="",Table1[[#This Row],[High Tol]]=""),"Needs Analysis",IF(Table1[[#This Row],[Ratio]]&gt;=4,"Not Significant",IF(Table1[[#This Row],[Ratio]]&gt;=2,"Semi-Significant","Significant")))</f>
        <v>Needs Analysis</v>
      </c>
      <c r="W1918" s="1">
        <f>IF(Table1[[#This Row],[Cal Type]]&lt;&gt;"ACCREDITED 17025 WITH UNCERTAINTIES",0,"")</f>
        <v>0</v>
      </c>
      <c r="X1918" s="1" t="str">
        <f>IF(Table1[[#This Row],[DUT Read]]="","N/A",Table1[[#This Row],[Std Error]]+Table1[[#This Row],[DUT Read]]+Table1[[#This Row],[DUT Ucty]])</f>
        <v>N/A</v>
      </c>
      <c r="Y1918" s="1" t="str">
        <f>IF(Table1[[#This Row],[Std Read]]="","N/A",Table1[[#This Row],[Std Read]]+Table1[[#This Row],[Std Ucty]])</f>
        <v>N/A</v>
      </c>
      <c r="Z19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8" s="1" t="str">
        <f>IF(Table1[[#This Row],[Spec Type]]="","N/A",Table1[[#This Row],[Spec Type]])</f>
        <v>±</v>
      </c>
      <c r="AC1918" s="1" t="str">
        <f>IF(Table1[[#This Row],[Spec Type2]]="N/A","N/A",IF(AND(Table1[[#This Row],[DUT Adj Read]]&gt;=Table1[[#This Row],[Low Tol]],Table1[[#This Row],[DUT Adj Read]]&lt;=Table1[[#This Row],[High Tol]]),"Pass","Fail"))</f>
        <v>Fail</v>
      </c>
      <c r="AD1918" s="1" t="str">
        <f>IF(AND(Table1[[#This Row],[Spec Type2]]="N/A",Table1[[#This Row],[DUT Adj Read]]="N/A",Table1[[#This Row],[Std Adj Read]]="N/A"),"N/A",IF(Table1[[#This Row],[DUT Adj Read]]="N/A",IF(Table1[[#This Row],[Std Adj Read]]&gt;Table1[[#This Row],[Low Tol]],"Pass","Fail"),IF(Table1[[#This Row],[DUT Adj Read]]&gt;Table1[[#This Row],[Low Tol]],"Pass","Fail")))</f>
        <v>Pass</v>
      </c>
      <c r="AE1918" s="1" t="str">
        <f>IF(AND(Table1[[#This Row],[Spec Type2]]="N/A",Table1[[#This Row],[DUT Adj Read]]="N/A",Table1[[#This Row],[Std Adj Read]]="N/A"),"N/A",IF(Table1[[#This Row],[DUT Adj Read]]="N/A",IF(Table1[[#This Row],[Std Adj Read]]&lt;Table1[[#This Row],[High Tol]],"Pass","Fail"),IF(Table1[[#This Row],[DUT Adj Read]]&lt;Table1[[#This Row],[High Tol]],"Pass","Fail")))</f>
        <v>Fail</v>
      </c>
      <c r="AF1918" s="1" t="str">
        <f>IF(AND(Table1[[#This Row],[Spec Type2]]="N/A",Table1[[#This Row],[DUT Adj Read]]="N/A",Table1[[#This Row],[Std Adj Read]]="N/A"),"N/A",IF(Table1[[#This Row],[DUT Adj Read]]="N/A",IF(Table1[[#This Row],[Std Adj Read]]&gt;=Table1[[#This Row],[Low Tol]],"Pass","Fail"),IF(Table1[[#This Row],[DUT Adj Read]]&gt;=Table1[[#This Row],[Low Tol]],"Pass","Fail")))</f>
        <v>Pass</v>
      </c>
      <c r="AG1918" s="1" t="str">
        <f>IF(AND(Table1[[#This Row],[Spec Type2]]="N/A",Table1[[#This Row],[DUT Adj Read]]="N/A",Table1[[#This Row],[Std Adj Read]]="N/A"),"N/A",IF(Table1[[#This Row],[DUT Adj Read]]="N/A",IF(Table1[[#This Row],[Std Adj Read]]&lt;=Table1[[#This Row],[High Tol]],"Pass","Fail"),IF(Table1[[#This Row],[DUT Adj Read]]&lt;=Table1[[#This Row],[High Tol]],"Pass","Fail")))</f>
        <v>Fail</v>
      </c>
      <c r="AH19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8" s="1" t="b">
        <v>0</v>
      </c>
      <c r="AN1918" s="1" t="b">
        <v>0</v>
      </c>
      <c r="AO1918" s="1" t="b">
        <v>0</v>
      </c>
    </row>
    <row r="1919" spans="1:41" x14ac:dyDescent="0.25">
      <c r="A1919" s="10"/>
      <c r="B1919" s="10"/>
      <c r="C1919" s="10"/>
      <c r="D1919" s="10"/>
      <c r="E1919" s="10"/>
      <c r="F1919" s="10"/>
      <c r="G1919" s="10"/>
      <c r="H1919" s="10"/>
      <c r="I1919" s="1" t="str">
        <f t="shared" si="87"/>
        <v/>
      </c>
      <c r="J1919" s="1" t="s">
        <v>35</v>
      </c>
      <c r="K1919" s="1" t="str">
        <f t="shared" si="88"/>
        <v/>
      </c>
      <c r="L1919" s="1" t="str">
        <f t="shared" si="89"/>
        <v/>
      </c>
      <c r="M1919" s="1">
        <f>IF(OR(Table1[[#This Row],[Std Nom]]="",Table1[[#This Row],[Std Read]]=""),0,Table1[[#This Row],[Std Nom]]-Table1[[#This Row],[Std Read]])</f>
        <v>0</v>
      </c>
      <c r="N1919" s="1">
        <f>IF(Calculations!$F$5="ACCREDITED 17025 WITH UNCERTAINTIES",$N$10,0)</f>
        <v>0</v>
      </c>
      <c r="Q1919" s="1">
        <f>Table1[[#This Row],[High Tol]]-Table1[[#This Row],[Low Tol]]</f>
        <v>0</v>
      </c>
      <c r="R1919" s="1">
        <f>2*Table1[[#This Row],[Std Error]]</f>
        <v>0</v>
      </c>
      <c r="S1919" s="1" t="str">
        <f>IF(Table1[[#This Row],[High Tol]]="","N/A",IFERROR(ABS(Table1[[#This Row],[Tol Span]]/Table1[[#This Row],[Error Span]]),"N/A"))</f>
        <v>N/A</v>
      </c>
      <c r="T1919" s="1" t="str">
        <f>IF(OR(Table1[[#This Row],[Low Tol]]="",Table1[[#This Row],[High Tol]]=""),"Needs Analysis",IF(Table1[[#This Row],[Ratio]]&gt;=4,"Not Significant",IF(Table1[[#This Row],[Ratio]]&gt;=2,"Semi-Significant","Significant")))</f>
        <v>Needs Analysis</v>
      </c>
      <c r="W1919" s="1">
        <f>IF(Table1[[#This Row],[Cal Type]]&lt;&gt;"ACCREDITED 17025 WITH UNCERTAINTIES",0,"")</f>
        <v>0</v>
      </c>
      <c r="X1919" s="1" t="str">
        <f>IF(Table1[[#This Row],[DUT Read]]="","N/A",Table1[[#This Row],[Std Error]]+Table1[[#This Row],[DUT Read]]+Table1[[#This Row],[DUT Ucty]])</f>
        <v>N/A</v>
      </c>
      <c r="Y1919" s="1" t="str">
        <f>IF(Table1[[#This Row],[Std Read]]="","N/A",Table1[[#This Row],[Std Read]]+Table1[[#This Row],[Std Ucty]])</f>
        <v>N/A</v>
      </c>
      <c r="Z19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19" s="1" t="str">
        <f>IF(Table1[[#This Row],[Spec Type]]="","N/A",Table1[[#This Row],[Spec Type]])</f>
        <v>±</v>
      </c>
      <c r="AC1919" s="1" t="str">
        <f>IF(Table1[[#This Row],[Spec Type2]]="N/A","N/A",IF(AND(Table1[[#This Row],[DUT Adj Read]]&gt;=Table1[[#This Row],[Low Tol]],Table1[[#This Row],[DUT Adj Read]]&lt;=Table1[[#This Row],[High Tol]]),"Pass","Fail"))</f>
        <v>Fail</v>
      </c>
      <c r="AD1919" s="1" t="str">
        <f>IF(AND(Table1[[#This Row],[Spec Type2]]="N/A",Table1[[#This Row],[DUT Adj Read]]="N/A",Table1[[#This Row],[Std Adj Read]]="N/A"),"N/A",IF(Table1[[#This Row],[DUT Adj Read]]="N/A",IF(Table1[[#This Row],[Std Adj Read]]&gt;Table1[[#This Row],[Low Tol]],"Pass","Fail"),IF(Table1[[#This Row],[DUT Adj Read]]&gt;Table1[[#This Row],[Low Tol]],"Pass","Fail")))</f>
        <v>Pass</v>
      </c>
      <c r="AE1919" s="1" t="str">
        <f>IF(AND(Table1[[#This Row],[Spec Type2]]="N/A",Table1[[#This Row],[DUT Adj Read]]="N/A",Table1[[#This Row],[Std Adj Read]]="N/A"),"N/A",IF(Table1[[#This Row],[DUT Adj Read]]="N/A",IF(Table1[[#This Row],[Std Adj Read]]&lt;Table1[[#This Row],[High Tol]],"Pass","Fail"),IF(Table1[[#This Row],[DUT Adj Read]]&lt;Table1[[#This Row],[High Tol]],"Pass","Fail")))</f>
        <v>Fail</v>
      </c>
      <c r="AF1919" s="1" t="str">
        <f>IF(AND(Table1[[#This Row],[Spec Type2]]="N/A",Table1[[#This Row],[DUT Adj Read]]="N/A",Table1[[#This Row],[Std Adj Read]]="N/A"),"N/A",IF(Table1[[#This Row],[DUT Adj Read]]="N/A",IF(Table1[[#This Row],[Std Adj Read]]&gt;=Table1[[#This Row],[Low Tol]],"Pass","Fail"),IF(Table1[[#This Row],[DUT Adj Read]]&gt;=Table1[[#This Row],[Low Tol]],"Pass","Fail")))</f>
        <v>Pass</v>
      </c>
      <c r="AG1919" s="1" t="str">
        <f>IF(AND(Table1[[#This Row],[Spec Type2]]="N/A",Table1[[#This Row],[DUT Adj Read]]="N/A",Table1[[#This Row],[Std Adj Read]]="N/A"),"N/A",IF(Table1[[#This Row],[DUT Adj Read]]="N/A",IF(Table1[[#This Row],[Std Adj Read]]&lt;=Table1[[#This Row],[High Tol]],"Pass","Fail"),IF(Table1[[#This Row],[DUT Adj Read]]&lt;=Table1[[#This Row],[High Tol]],"Pass","Fail")))</f>
        <v>Fail</v>
      </c>
      <c r="AH19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19" s="1" t="b">
        <v>0</v>
      </c>
      <c r="AN1919" s="1" t="b">
        <v>0</v>
      </c>
      <c r="AO1919" s="1" t="b">
        <v>0</v>
      </c>
    </row>
    <row r="1920" spans="1:41" x14ac:dyDescent="0.25">
      <c r="A1920" s="10"/>
      <c r="B1920" s="10"/>
      <c r="C1920" s="10"/>
      <c r="D1920" s="10"/>
      <c r="E1920" s="10"/>
      <c r="F1920" s="10"/>
      <c r="G1920" s="10"/>
      <c r="H1920" s="10"/>
      <c r="I1920" s="1" t="str">
        <f t="shared" si="87"/>
        <v/>
      </c>
      <c r="J1920" s="1" t="s">
        <v>35</v>
      </c>
      <c r="K1920" s="1" t="str">
        <f t="shared" si="88"/>
        <v/>
      </c>
      <c r="L1920" s="1" t="str">
        <f t="shared" si="89"/>
        <v/>
      </c>
      <c r="M1920" s="1">
        <f>IF(OR(Table1[[#This Row],[Std Nom]]="",Table1[[#This Row],[Std Read]]=""),0,Table1[[#This Row],[Std Nom]]-Table1[[#This Row],[Std Read]])</f>
        <v>0</v>
      </c>
      <c r="N1920" s="1">
        <f>IF(Calculations!$F$5="ACCREDITED 17025 WITH UNCERTAINTIES",$N$10,0)</f>
        <v>0</v>
      </c>
      <c r="Q1920" s="1">
        <f>Table1[[#This Row],[High Tol]]-Table1[[#This Row],[Low Tol]]</f>
        <v>0</v>
      </c>
      <c r="R1920" s="1">
        <f>2*Table1[[#This Row],[Std Error]]</f>
        <v>0</v>
      </c>
      <c r="S1920" s="1" t="str">
        <f>IF(Table1[[#This Row],[High Tol]]="","N/A",IFERROR(ABS(Table1[[#This Row],[Tol Span]]/Table1[[#This Row],[Error Span]]),"N/A"))</f>
        <v>N/A</v>
      </c>
      <c r="T1920" s="1" t="str">
        <f>IF(OR(Table1[[#This Row],[Low Tol]]="",Table1[[#This Row],[High Tol]]=""),"Needs Analysis",IF(Table1[[#This Row],[Ratio]]&gt;=4,"Not Significant",IF(Table1[[#This Row],[Ratio]]&gt;=2,"Semi-Significant","Significant")))</f>
        <v>Needs Analysis</v>
      </c>
      <c r="W1920" s="1">
        <f>IF(Table1[[#This Row],[Cal Type]]&lt;&gt;"ACCREDITED 17025 WITH UNCERTAINTIES",0,"")</f>
        <v>0</v>
      </c>
      <c r="X1920" s="1" t="str">
        <f>IF(Table1[[#This Row],[DUT Read]]="","N/A",Table1[[#This Row],[Std Error]]+Table1[[#This Row],[DUT Read]]+Table1[[#This Row],[DUT Ucty]])</f>
        <v>N/A</v>
      </c>
      <c r="Y1920" s="1" t="str">
        <f>IF(Table1[[#This Row],[Std Read]]="","N/A",Table1[[#This Row],[Std Read]]+Table1[[#This Row],[Std Ucty]])</f>
        <v>N/A</v>
      </c>
      <c r="Z19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0" s="1" t="str">
        <f>IF(Table1[[#This Row],[Spec Type]]="","N/A",Table1[[#This Row],[Spec Type]])</f>
        <v>±</v>
      </c>
      <c r="AC1920" s="1" t="str">
        <f>IF(Table1[[#This Row],[Spec Type2]]="N/A","N/A",IF(AND(Table1[[#This Row],[DUT Adj Read]]&gt;=Table1[[#This Row],[Low Tol]],Table1[[#This Row],[DUT Adj Read]]&lt;=Table1[[#This Row],[High Tol]]),"Pass","Fail"))</f>
        <v>Fail</v>
      </c>
      <c r="AD1920" s="1" t="str">
        <f>IF(AND(Table1[[#This Row],[Spec Type2]]="N/A",Table1[[#This Row],[DUT Adj Read]]="N/A",Table1[[#This Row],[Std Adj Read]]="N/A"),"N/A",IF(Table1[[#This Row],[DUT Adj Read]]="N/A",IF(Table1[[#This Row],[Std Adj Read]]&gt;Table1[[#This Row],[Low Tol]],"Pass","Fail"),IF(Table1[[#This Row],[DUT Adj Read]]&gt;Table1[[#This Row],[Low Tol]],"Pass","Fail")))</f>
        <v>Pass</v>
      </c>
      <c r="AE1920" s="1" t="str">
        <f>IF(AND(Table1[[#This Row],[Spec Type2]]="N/A",Table1[[#This Row],[DUT Adj Read]]="N/A",Table1[[#This Row],[Std Adj Read]]="N/A"),"N/A",IF(Table1[[#This Row],[DUT Adj Read]]="N/A",IF(Table1[[#This Row],[Std Adj Read]]&lt;Table1[[#This Row],[High Tol]],"Pass","Fail"),IF(Table1[[#This Row],[DUT Adj Read]]&lt;Table1[[#This Row],[High Tol]],"Pass","Fail")))</f>
        <v>Fail</v>
      </c>
      <c r="AF1920" s="1" t="str">
        <f>IF(AND(Table1[[#This Row],[Spec Type2]]="N/A",Table1[[#This Row],[DUT Adj Read]]="N/A",Table1[[#This Row],[Std Adj Read]]="N/A"),"N/A",IF(Table1[[#This Row],[DUT Adj Read]]="N/A",IF(Table1[[#This Row],[Std Adj Read]]&gt;=Table1[[#This Row],[Low Tol]],"Pass","Fail"),IF(Table1[[#This Row],[DUT Adj Read]]&gt;=Table1[[#This Row],[Low Tol]],"Pass","Fail")))</f>
        <v>Pass</v>
      </c>
      <c r="AG1920" s="1" t="str">
        <f>IF(AND(Table1[[#This Row],[Spec Type2]]="N/A",Table1[[#This Row],[DUT Adj Read]]="N/A",Table1[[#This Row],[Std Adj Read]]="N/A"),"N/A",IF(Table1[[#This Row],[DUT Adj Read]]="N/A",IF(Table1[[#This Row],[Std Adj Read]]&lt;=Table1[[#This Row],[High Tol]],"Pass","Fail"),IF(Table1[[#This Row],[DUT Adj Read]]&lt;=Table1[[#This Row],[High Tol]],"Pass","Fail")))</f>
        <v>Fail</v>
      </c>
      <c r="AH19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0" s="1" t="b">
        <v>0</v>
      </c>
      <c r="AN1920" s="1" t="b">
        <v>0</v>
      </c>
      <c r="AO1920" s="1" t="b">
        <v>0</v>
      </c>
    </row>
    <row r="1921" spans="1:41" x14ac:dyDescent="0.25">
      <c r="A1921" s="10"/>
      <c r="B1921" s="10"/>
      <c r="C1921" s="10"/>
      <c r="D1921" s="10"/>
      <c r="E1921" s="10"/>
      <c r="F1921" s="10"/>
      <c r="G1921" s="10"/>
      <c r="H1921" s="10"/>
      <c r="I1921" s="1" t="str">
        <f t="shared" si="87"/>
        <v/>
      </c>
      <c r="J1921" s="1" t="s">
        <v>35</v>
      </c>
      <c r="K1921" s="1" t="str">
        <f t="shared" si="88"/>
        <v/>
      </c>
      <c r="L1921" s="1" t="str">
        <f t="shared" si="89"/>
        <v/>
      </c>
      <c r="M1921" s="1">
        <f>IF(OR(Table1[[#This Row],[Std Nom]]="",Table1[[#This Row],[Std Read]]=""),0,Table1[[#This Row],[Std Nom]]-Table1[[#This Row],[Std Read]])</f>
        <v>0</v>
      </c>
      <c r="N1921" s="1">
        <f>IF(Calculations!$F$5="ACCREDITED 17025 WITH UNCERTAINTIES",$N$10,0)</f>
        <v>0</v>
      </c>
      <c r="Q1921" s="1">
        <f>Table1[[#This Row],[High Tol]]-Table1[[#This Row],[Low Tol]]</f>
        <v>0</v>
      </c>
      <c r="R1921" s="1">
        <f>2*Table1[[#This Row],[Std Error]]</f>
        <v>0</v>
      </c>
      <c r="S1921" s="1" t="str">
        <f>IF(Table1[[#This Row],[High Tol]]="","N/A",IFERROR(ABS(Table1[[#This Row],[Tol Span]]/Table1[[#This Row],[Error Span]]),"N/A"))</f>
        <v>N/A</v>
      </c>
      <c r="T1921" s="1" t="str">
        <f>IF(OR(Table1[[#This Row],[Low Tol]]="",Table1[[#This Row],[High Tol]]=""),"Needs Analysis",IF(Table1[[#This Row],[Ratio]]&gt;=4,"Not Significant",IF(Table1[[#This Row],[Ratio]]&gt;=2,"Semi-Significant","Significant")))</f>
        <v>Needs Analysis</v>
      </c>
      <c r="W1921" s="1">
        <f>IF(Table1[[#This Row],[Cal Type]]&lt;&gt;"ACCREDITED 17025 WITH UNCERTAINTIES",0,"")</f>
        <v>0</v>
      </c>
      <c r="X1921" s="1" t="str">
        <f>IF(Table1[[#This Row],[DUT Read]]="","N/A",Table1[[#This Row],[Std Error]]+Table1[[#This Row],[DUT Read]]+Table1[[#This Row],[DUT Ucty]])</f>
        <v>N/A</v>
      </c>
      <c r="Y1921" s="1" t="str">
        <f>IF(Table1[[#This Row],[Std Read]]="","N/A",Table1[[#This Row],[Std Read]]+Table1[[#This Row],[Std Ucty]])</f>
        <v>N/A</v>
      </c>
      <c r="Z19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1" s="1" t="str">
        <f>IF(Table1[[#This Row],[Spec Type]]="","N/A",Table1[[#This Row],[Spec Type]])</f>
        <v>±</v>
      </c>
      <c r="AC1921" s="1" t="str">
        <f>IF(Table1[[#This Row],[Spec Type2]]="N/A","N/A",IF(AND(Table1[[#This Row],[DUT Adj Read]]&gt;=Table1[[#This Row],[Low Tol]],Table1[[#This Row],[DUT Adj Read]]&lt;=Table1[[#This Row],[High Tol]]),"Pass","Fail"))</f>
        <v>Fail</v>
      </c>
      <c r="AD1921" s="1" t="str">
        <f>IF(AND(Table1[[#This Row],[Spec Type2]]="N/A",Table1[[#This Row],[DUT Adj Read]]="N/A",Table1[[#This Row],[Std Adj Read]]="N/A"),"N/A",IF(Table1[[#This Row],[DUT Adj Read]]="N/A",IF(Table1[[#This Row],[Std Adj Read]]&gt;Table1[[#This Row],[Low Tol]],"Pass","Fail"),IF(Table1[[#This Row],[DUT Adj Read]]&gt;Table1[[#This Row],[Low Tol]],"Pass","Fail")))</f>
        <v>Pass</v>
      </c>
      <c r="AE1921" s="1" t="str">
        <f>IF(AND(Table1[[#This Row],[Spec Type2]]="N/A",Table1[[#This Row],[DUT Adj Read]]="N/A",Table1[[#This Row],[Std Adj Read]]="N/A"),"N/A",IF(Table1[[#This Row],[DUT Adj Read]]="N/A",IF(Table1[[#This Row],[Std Adj Read]]&lt;Table1[[#This Row],[High Tol]],"Pass","Fail"),IF(Table1[[#This Row],[DUT Adj Read]]&lt;Table1[[#This Row],[High Tol]],"Pass","Fail")))</f>
        <v>Fail</v>
      </c>
      <c r="AF1921" s="1" t="str">
        <f>IF(AND(Table1[[#This Row],[Spec Type2]]="N/A",Table1[[#This Row],[DUT Adj Read]]="N/A",Table1[[#This Row],[Std Adj Read]]="N/A"),"N/A",IF(Table1[[#This Row],[DUT Adj Read]]="N/A",IF(Table1[[#This Row],[Std Adj Read]]&gt;=Table1[[#This Row],[Low Tol]],"Pass","Fail"),IF(Table1[[#This Row],[DUT Adj Read]]&gt;=Table1[[#This Row],[Low Tol]],"Pass","Fail")))</f>
        <v>Pass</v>
      </c>
      <c r="AG1921" s="1" t="str">
        <f>IF(AND(Table1[[#This Row],[Spec Type2]]="N/A",Table1[[#This Row],[DUT Adj Read]]="N/A",Table1[[#This Row],[Std Adj Read]]="N/A"),"N/A",IF(Table1[[#This Row],[DUT Adj Read]]="N/A",IF(Table1[[#This Row],[Std Adj Read]]&lt;=Table1[[#This Row],[High Tol]],"Pass","Fail"),IF(Table1[[#This Row],[DUT Adj Read]]&lt;=Table1[[#This Row],[High Tol]],"Pass","Fail")))</f>
        <v>Fail</v>
      </c>
      <c r="AH19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1" s="1" t="b">
        <v>0</v>
      </c>
      <c r="AN1921" s="1" t="b">
        <v>0</v>
      </c>
      <c r="AO1921" s="1" t="b">
        <v>0</v>
      </c>
    </row>
    <row r="1922" spans="1:41" x14ac:dyDescent="0.25">
      <c r="A1922" s="10"/>
      <c r="B1922" s="10"/>
      <c r="C1922" s="10"/>
      <c r="D1922" s="10"/>
      <c r="E1922" s="10"/>
      <c r="F1922" s="10"/>
      <c r="G1922" s="10"/>
      <c r="H1922" s="10"/>
      <c r="I1922" s="1" t="str">
        <f t="shared" si="87"/>
        <v/>
      </c>
      <c r="J1922" s="1" t="s">
        <v>35</v>
      </c>
      <c r="K1922" s="1" t="str">
        <f t="shared" si="88"/>
        <v/>
      </c>
      <c r="L1922" s="1" t="str">
        <f t="shared" si="89"/>
        <v/>
      </c>
      <c r="M1922" s="1">
        <f>IF(OR(Table1[[#This Row],[Std Nom]]="",Table1[[#This Row],[Std Read]]=""),0,Table1[[#This Row],[Std Nom]]-Table1[[#This Row],[Std Read]])</f>
        <v>0</v>
      </c>
      <c r="N1922" s="1">
        <f>IF(Calculations!$F$5="ACCREDITED 17025 WITH UNCERTAINTIES",$N$10,0)</f>
        <v>0</v>
      </c>
      <c r="Q1922" s="1">
        <f>Table1[[#This Row],[High Tol]]-Table1[[#This Row],[Low Tol]]</f>
        <v>0</v>
      </c>
      <c r="R1922" s="1">
        <f>2*Table1[[#This Row],[Std Error]]</f>
        <v>0</v>
      </c>
      <c r="S1922" s="1" t="str">
        <f>IF(Table1[[#This Row],[High Tol]]="","N/A",IFERROR(ABS(Table1[[#This Row],[Tol Span]]/Table1[[#This Row],[Error Span]]),"N/A"))</f>
        <v>N/A</v>
      </c>
      <c r="T1922" s="1" t="str">
        <f>IF(OR(Table1[[#This Row],[Low Tol]]="",Table1[[#This Row],[High Tol]]=""),"Needs Analysis",IF(Table1[[#This Row],[Ratio]]&gt;=4,"Not Significant",IF(Table1[[#This Row],[Ratio]]&gt;=2,"Semi-Significant","Significant")))</f>
        <v>Needs Analysis</v>
      </c>
      <c r="W1922" s="1">
        <f>IF(Table1[[#This Row],[Cal Type]]&lt;&gt;"ACCREDITED 17025 WITH UNCERTAINTIES",0,"")</f>
        <v>0</v>
      </c>
      <c r="X1922" s="1" t="str">
        <f>IF(Table1[[#This Row],[DUT Read]]="","N/A",Table1[[#This Row],[Std Error]]+Table1[[#This Row],[DUT Read]]+Table1[[#This Row],[DUT Ucty]])</f>
        <v>N/A</v>
      </c>
      <c r="Y1922" s="1" t="str">
        <f>IF(Table1[[#This Row],[Std Read]]="","N/A",Table1[[#This Row],[Std Read]]+Table1[[#This Row],[Std Ucty]])</f>
        <v>N/A</v>
      </c>
      <c r="Z19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2" s="1" t="str">
        <f>IF(Table1[[#This Row],[Spec Type]]="","N/A",Table1[[#This Row],[Spec Type]])</f>
        <v>±</v>
      </c>
      <c r="AC1922" s="1" t="str">
        <f>IF(Table1[[#This Row],[Spec Type2]]="N/A","N/A",IF(AND(Table1[[#This Row],[DUT Adj Read]]&gt;=Table1[[#This Row],[Low Tol]],Table1[[#This Row],[DUT Adj Read]]&lt;=Table1[[#This Row],[High Tol]]),"Pass","Fail"))</f>
        <v>Fail</v>
      </c>
      <c r="AD1922" s="1" t="str">
        <f>IF(AND(Table1[[#This Row],[Spec Type2]]="N/A",Table1[[#This Row],[DUT Adj Read]]="N/A",Table1[[#This Row],[Std Adj Read]]="N/A"),"N/A",IF(Table1[[#This Row],[DUT Adj Read]]="N/A",IF(Table1[[#This Row],[Std Adj Read]]&gt;Table1[[#This Row],[Low Tol]],"Pass","Fail"),IF(Table1[[#This Row],[DUT Adj Read]]&gt;Table1[[#This Row],[Low Tol]],"Pass","Fail")))</f>
        <v>Pass</v>
      </c>
      <c r="AE1922" s="1" t="str">
        <f>IF(AND(Table1[[#This Row],[Spec Type2]]="N/A",Table1[[#This Row],[DUT Adj Read]]="N/A",Table1[[#This Row],[Std Adj Read]]="N/A"),"N/A",IF(Table1[[#This Row],[DUT Adj Read]]="N/A",IF(Table1[[#This Row],[Std Adj Read]]&lt;Table1[[#This Row],[High Tol]],"Pass","Fail"),IF(Table1[[#This Row],[DUT Adj Read]]&lt;Table1[[#This Row],[High Tol]],"Pass","Fail")))</f>
        <v>Fail</v>
      </c>
      <c r="AF1922" s="1" t="str">
        <f>IF(AND(Table1[[#This Row],[Spec Type2]]="N/A",Table1[[#This Row],[DUT Adj Read]]="N/A",Table1[[#This Row],[Std Adj Read]]="N/A"),"N/A",IF(Table1[[#This Row],[DUT Adj Read]]="N/A",IF(Table1[[#This Row],[Std Adj Read]]&gt;=Table1[[#This Row],[Low Tol]],"Pass","Fail"),IF(Table1[[#This Row],[DUT Adj Read]]&gt;=Table1[[#This Row],[Low Tol]],"Pass","Fail")))</f>
        <v>Pass</v>
      </c>
      <c r="AG1922" s="1" t="str">
        <f>IF(AND(Table1[[#This Row],[Spec Type2]]="N/A",Table1[[#This Row],[DUT Adj Read]]="N/A",Table1[[#This Row],[Std Adj Read]]="N/A"),"N/A",IF(Table1[[#This Row],[DUT Adj Read]]="N/A",IF(Table1[[#This Row],[Std Adj Read]]&lt;=Table1[[#This Row],[High Tol]],"Pass","Fail"),IF(Table1[[#This Row],[DUT Adj Read]]&lt;=Table1[[#This Row],[High Tol]],"Pass","Fail")))</f>
        <v>Fail</v>
      </c>
      <c r="AH19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2" s="1" t="b">
        <v>0</v>
      </c>
      <c r="AN1922" s="1" t="b">
        <v>0</v>
      </c>
      <c r="AO1922" s="1" t="b">
        <v>0</v>
      </c>
    </row>
    <row r="1923" spans="1:41" x14ac:dyDescent="0.25">
      <c r="A1923" s="10"/>
      <c r="B1923" s="10"/>
      <c r="C1923" s="10"/>
      <c r="D1923" s="10"/>
      <c r="E1923" s="10"/>
      <c r="F1923" s="10"/>
      <c r="G1923" s="10"/>
      <c r="H1923" s="10"/>
      <c r="I1923" s="1" t="str">
        <f t="shared" si="87"/>
        <v/>
      </c>
      <c r="J1923" s="1" t="s">
        <v>35</v>
      </c>
      <c r="K1923" s="1" t="str">
        <f t="shared" si="88"/>
        <v/>
      </c>
      <c r="L1923" s="1" t="str">
        <f t="shared" si="89"/>
        <v/>
      </c>
      <c r="M1923" s="1">
        <f>IF(OR(Table1[[#This Row],[Std Nom]]="",Table1[[#This Row],[Std Read]]=""),0,Table1[[#This Row],[Std Nom]]-Table1[[#This Row],[Std Read]])</f>
        <v>0</v>
      </c>
      <c r="N1923" s="1">
        <f>IF(Calculations!$F$5="ACCREDITED 17025 WITH UNCERTAINTIES",$N$10,0)</f>
        <v>0</v>
      </c>
      <c r="Q1923" s="1">
        <f>Table1[[#This Row],[High Tol]]-Table1[[#This Row],[Low Tol]]</f>
        <v>0</v>
      </c>
      <c r="R1923" s="1">
        <f>2*Table1[[#This Row],[Std Error]]</f>
        <v>0</v>
      </c>
      <c r="S1923" s="1" t="str">
        <f>IF(Table1[[#This Row],[High Tol]]="","N/A",IFERROR(ABS(Table1[[#This Row],[Tol Span]]/Table1[[#This Row],[Error Span]]),"N/A"))</f>
        <v>N/A</v>
      </c>
      <c r="T1923" s="1" t="str">
        <f>IF(OR(Table1[[#This Row],[Low Tol]]="",Table1[[#This Row],[High Tol]]=""),"Needs Analysis",IF(Table1[[#This Row],[Ratio]]&gt;=4,"Not Significant",IF(Table1[[#This Row],[Ratio]]&gt;=2,"Semi-Significant","Significant")))</f>
        <v>Needs Analysis</v>
      </c>
      <c r="W1923" s="1">
        <f>IF(Table1[[#This Row],[Cal Type]]&lt;&gt;"ACCREDITED 17025 WITH UNCERTAINTIES",0,"")</f>
        <v>0</v>
      </c>
      <c r="X1923" s="1" t="str">
        <f>IF(Table1[[#This Row],[DUT Read]]="","N/A",Table1[[#This Row],[Std Error]]+Table1[[#This Row],[DUT Read]]+Table1[[#This Row],[DUT Ucty]])</f>
        <v>N/A</v>
      </c>
      <c r="Y1923" s="1" t="str">
        <f>IF(Table1[[#This Row],[Std Read]]="","N/A",Table1[[#This Row],[Std Read]]+Table1[[#This Row],[Std Ucty]])</f>
        <v>N/A</v>
      </c>
      <c r="Z19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3" s="1" t="str">
        <f>IF(Table1[[#This Row],[Spec Type]]="","N/A",Table1[[#This Row],[Spec Type]])</f>
        <v>±</v>
      </c>
      <c r="AC1923" s="1" t="str">
        <f>IF(Table1[[#This Row],[Spec Type2]]="N/A","N/A",IF(AND(Table1[[#This Row],[DUT Adj Read]]&gt;=Table1[[#This Row],[Low Tol]],Table1[[#This Row],[DUT Adj Read]]&lt;=Table1[[#This Row],[High Tol]]),"Pass","Fail"))</f>
        <v>Fail</v>
      </c>
      <c r="AD1923" s="1" t="str">
        <f>IF(AND(Table1[[#This Row],[Spec Type2]]="N/A",Table1[[#This Row],[DUT Adj Read]]="N/A",Table1[[#This Row],[Std Adj Read]]="N/A"),"N/A",IF(Table1[[#This Row],[DUT Adj Read]]="N/A",IF(Table1[[#This Row],[Std Adj Read]]&gt;Table1[[#This Row],[Low Tol]],"Pass","Fail"),IF(Table1[[#This Row],[DUT Adj Read]]&gt;Table1[[#This Row],[Low Tol]],"Pass","Fail")))</f>
        <v>Pass</v>
      </c>
      <c r="AE1923" s="1" t="str">
        <f>IF(AND(Table1[[#This Row],[Spec Type2]]="N/A",Table1[[#This Row],[DUT Adj Read]]="N/A",Table1[[#This Row],[Std Adj Read]]="N/A"),"N/A",IF(Table1[[#This Row],[DUT Adj Read]]="N/A",IF(Table1[[#This Row],[Std Adj Read]]&lt;Table1[[#This Row],[High Tol]],"Pass","Fail"),IF(Table1[[#This Row],[DUT Adj Read]]&lt;Table1[[#This Row],[High Tol]],"Pass","Fail")))</f>
        <v>Fail</v>
      </c>
      <c r="AF1923" s="1" t="str">
        <f>IF(AND(Table1[[#This Row],[Spec Type2]]="N/A",Table1[[#This Row],[DUT Adj Read]]="N/A",Table1[[#This Row],[Std Adj Read]]="N/A"),"N/A",IF(Table1[[#This Row],[DUT Adj Read]]="N/A",IF(Table1[[#This Row],[Std Adj Read]]&gt;=Table1[[#This Row],[Low Tol]],"Pass","Fail"),IF(Table1[[#This Row],[DUT Adj Read]]&gt;=Table1[[#This Row],[Low Tol]],"Pass","Fail")))</f>
        <v>Pass</v>
      </c>
      <c r="AG1923" s="1" t="str">
        <f>IF(AND(Table1[[#This Row],[Spec Type2]]="N/A",Table1[[#This Row],[DUT Adj Read]]="N/A",Table1[[#This Row],[Std Adj Read]]="N/A"),"N/A",IF(Table1[[#This Row],[DUT Adj Read]]="N/A",IF(Table1[[#This Row],[Std Adj Read]]&lt;=Table1[[#This Row],[High Tol]],"Pass","Fail"),IF(Table1[[#This Row],[DUT Adj Read]]&lt;=Table1[[#This Row],[High Tol]],"Pass","Fail")))</f>
        <v>Fail</v>
      </c>
      <c r="AH19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3" s="1" t="b">
        <v>0</v>
      </c>
      <c r="AN1923" s="1" t="b">
        <v>0</v>
      </c>
      <c r="AO1923" s="1" t="b">
        <v>0</v>
      </c>
    </row>
    <row r="1924" spans="1:41" x14ac:dyDescent="0.25">
      <c r="A1924" s="10"/>
      <c r="B1924" s="10"/>
      <c r="C1924" s="10"/>
      <c r="D1924" s="10"/>
      <c r="E1924" s="10"/>
      <c r="F1924" s="10"/>
      <c r="G1924" s="10"/>
      <c r="H1924" s="10"/>
      <c r="I1924" s="1" t="str">
        <f t="shared" si="87"/>
        <v/>
      </c>
      <c r="J1924" s="1" t="s">
        <v>35</v>
      </c>
      <c r="K1924" s="1" t="str">
        <f t="shared" si="88"/>
        <v/>
      </c>
      <c r="L1924" s="1" t="str">
        <f t="shared" si="89"/>
        <v/>
      </c>
      <c r="M1924" s="1">
        <f>IF(OR(Table1[[#This Row],[Std Nom]]="",Table1[[#This Row],[Std Read]]=""),0,Table1[[#This Row],[Std Nom]]-Table1[[#This Row],[Std Read]])</f>
        <v>0</v>
      </c>
      <c r="N1924" s="1">
        <f>IF(Calculations!$F$5="ACCREDITED 17025 WITH UNCERTAINTIES",$N$10,0)</f>
        <v>0</v>
      </c>
      <c r="Q1924" s="1">
        <f>Table1[[#This Row],[High Tol]]-Table1[[#This Row],[Low Tol]]</f>
        <v>0</v>
      </c>
      <c r="R1924" s="1">
        <f>2*Table1[[#This Row],[Std Error]]</f>
        <v>0</v>
      </c>
      <c r="S1924" s="1" t="str">
        <f>IF(Table1[[#This Row],[High Tol]]="","N/A",IFERROR(ABS(Table1[[#This Row],[Tol Span]]/Table1[[#This Row],[Error Span]]),"N/A"))</f>
        <v>N/A</v>
      </c>
      <c r="T1924" s="1" t="str">
        <f>IF(OR(Table1[[#This Row],[Low Tol]]="",Table1[[#This Row],[High Tol]]=""),"Needs Analysis",IF(Table1[[#This Row],[Ratio]]&gt;=4,"Not Significant",IF(Table1[[#This Row],[Ratio]]&gt;=2,"Semi-Significant","Significant")))</f>
        <v>Needs Analysis</v>
      </c>
      <c r="W1924" s="1">
        <f>IF(Table1[[#This Row],[Cal Type]]&lt;&gt;"ACCREDITED 17025 WITH UNCERTAINTIES",0,"")</f>
        <v>0</v>
      </c>
      <c r="X1924" s="1" t="str">
        <f>IF(Table1[[#This Row],[DUT Read]]="","N/A",Table1[[#This Row],[Std Error]]+Table1[[#This Row],[DUT Read]]+Table1[[#This Row],[DUT Ucty]])</f>
        <v>N/A</v>
      </c>
      <c r="Y1924" s="1" t="str">
        <f>IF(Table1[[#This Row],[Std Read]]="","N/A",Table1[[#This Row],[Std Read]]+Table1[[#This Row],[Std Ucty]])</f>
        <v>N/A</v>
      </c>
      <c r="Z19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4" s="1" t="str">
        <f>IF(Table1[[#This Row],[Spec Type]]="","N/A",Table1[[#This Row],[Spec Type]])</f>
        <v>±</v>
      </c>
      <c r="AC1924" s="1" t="str">
        <f>IF(Table1[[#This Row],[Spec Type2]]="N/A","N/A",IF(AND(Table1[[#This Row],[DUT Adj Read]]&gt;=Table1[[#This Row],[Low Tol]],Table1[[#This Row],[DUT Adj Read]]&lt;=Table1[[#This Row],[High Tol]]),"Pass","Fail"))</f>
        <v>Fail</v>
      </c>
      <c r="AD1924" s="1" t="str">
        <f>IF(AND(Table1[[#This Row],[Spec Type2]]="N/A",Table1[[#This Row],[DUT Adj Read]]="N/A",Table1[[#This Row],[Std Adj Read]]="N/A"),"N/A",IF(Table1[[#This Row],[DUT Adj Read]]="N/A",IF(Table1[[#This Row],[Std Adj Read]]&gt;Table1[[#This Row],[Low Tol]],"Pass","Fail"),IF(Table1[[#This Row],[DUT Adj Read]]&gt;Table1[[#This Row],[Low Tol]],"Pass","Fail")))</f>
        <v>Pass</v>
      </c>
      <c r="AE1924" s="1" t="str">
        <f>IF(AND(Table1[[#This Row],[Spec Type2]]="N/A",Table1[[#This Row],[DUT Adj Read]]="N/A",Table1[[#This Row],[Std Adj Read]]="N/A"),"N/A",IF(Table1[[#This Row],[DUT Adj Read]]="N/A",IF(Table1[[#This Row],[Std Adj Read]]&lt;Table1[[#This Row],[High Tol]],"Pass","Fail"),IF(Table1[[#This Row],[DUT Adj Read]]&lt;Table1[[#This Row],[High Tol]],"Pass","Fail")))</f>
        <v>Fail</v>
      </c>
      <c r="AF1924" s="1" t="str">
        <f>IF(AND(Table1[[#This Row],[Spec Type2]]="N/A",Table1[[#This Row],[DUT Adj Read]]="N/A",Table1[[#This Row],[Std Adj Read]]="N/A"),"N/A",IF(Table1[[#This Row],[DUT Adj Read]]="N/A",IF(Table1[[#This Row],[Std Adj Read]]&gt;=Table1[[#This Row],[Low Tol]],"Pass","Fail"),IF(Table1[[#This Row],[DUT Adj Read]]&gt;=Table1[[#This Row],[Low Tol]],"Pass","Fail")))</f>
        <v>Pass</v>
      </c>
      <c r="AG1924" s="1" t="str">
        <f>IF(AND(Table1[[#This Row],[Spec Type2]]="N/A",Table1[[#This Row],[DUT Adj Read]]="N/A",Table1[[#This Row],[Std Adj Read]]="N/A"),"N/A",IF(Table1[[#This Row],[DUT Adj Read]]="N/A",IF(Table1[[#This Row],[Std Adj Read]]&lt;=Table1[[#This Row],[High Tol]],"Pass","Fail"),IF(Table1[[#This Row],[DUT Adj Read]]&lt;=Table1[[#This Row],[High Tol]],"Pass","Fail")))</f>
        <v>Fail</v>
      </c>
      <c r="AH19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4" s="1" t="b">
        <v>0</v>
      </c>
      <c r="AN1924" s="1" t="b">
        <v>0</v>
      </c>
      <c r="AO1924" s="1" t="b">
        <v>0</v>
      </c>
    </row>
    <row r="1925" spans="1:41" x14ac:dyDescent="0.25">
      <c r="A1925" s="10"/>
      <c r="B1925" s="10"/>
      <c r="C1925" s="10"/>
      <c r="D1925" s="10"/>
      <c r="E1925" s="10"/>
      <c r="F1925" s="10"/>
      <c r="G1925" s="10"/>
      <c r="H1925" s="10"/>
      <c r="I1925" s="1" t="str">
        <f t="shared" si="87"/>
        <v/>
      </c>
      <c r="J1925" s="1" t="s">
        <v>35</v>
      </c>
      <c r="K1925" s="1" t="str">
        <f t="shared" si="88"/>
        <v/>
      </c>
      <c r="L1925" s="1" t="str">
        <f t="shared" si="89"/>
        <v/>
      </c>
      <c r="M1925" s="1">
        <f>IF(OR(Table1[[#This Row],[Std Nom]]="",Table1[[#This Row],[Std Read]]=""),0,Table1[[#This Row],[Std Nom]]-Table1[[#This Row],[Std Read]])</f>
        <v>0</v>
      </c>
      <c r="N1925" s="1">
        <f>IF(Calculations!$F$5="ACCREDITED 17025 WITH UNCERTAINTIES",$N$10,0)</f>
        <v>0</v>
      </c>
      <c r="Q1925" s="1">
        <f>Table1[[#This Row],[High Tol]]-Table1[[#This Row],[Low Tol]]</f>
        <v>0</v>
      </c>
      <c r="R1925" s="1">
        <f>2*Table1[[#This Row],[Std Error]]</f>
        <v>0</v>
      </c>
      <c r="S1925" s="1" t="str">
        <f>IF(Table1[[#This Row],[High Tol]]="","N/A",IFERROR(ABS(Table1[[#This Row],[Tol Span]]/Table1[[#This Row],[Error Span]]),"N/A"))</f>
        <v>N/A</v>
      </c>
      <c r="T1925" s="1" t="str">
        <f>IF(OR(Table1[[#This Row],[Low Tol]]="",Table1[[#This Row],[High Tol]]=""),"Needs Analysis",IF(Table1[[#This Row],[Ratio]]&gt;=4,"Not Significant",IF(Table1[[#This Row],[Ratio]]&gt;=2,"Semi-Significant","Significant")))</f>
        <v>Needs Analysis</v>
      </c>
      <c r="W1925" s="1">
        <f>IF(Table1[[#This Row],[Cal Type]]&lt;&gt;"ACCREDITED 17025 WITH UNCERTAINTIES",0,"")</f>
        <v>0</v>
      </c>
      <c r="X1925" s="1" t="str">
        <f>IF(Table1[[#This Row],[DUT Read]]="","N/A",Table1[[#This Row],[Std Error]]+Table1[[#This Row],[DUT Read]]+Table1[[#This Row],[DUT Ucty]])</f>
        <v>N/A</v>
      </c>
      <c r="Y1925" s="1" t="str">
        <f>IF(Table1[[#This Row],[Std Read]]="","N/A",Table1[[#This Row],[Std Read]]+Table1[[#This Row],[Std Ucty]])</f>
        <v>N/A</v>
      </c>
      <c r="Z19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5" s="1" t="str">
        <f>IF(Table1[[#This Row],[Spec Type]]="","N/A",Table1[[#This Row],[Spec Type]])</f>
        <v>±</v>
      </c>
      <c r="AC1925" s="1" t="str">
        <f>IF(Table1[[#This Row],[Spec Type2]]="N/A","N/A",IF(AND(Table1[[#This Row],[DUT Adj Read]]&gt;=Table1[[#This Row],[Low Tol]],Table1[[#This Row],[DUT Adj Read]]&lt;=Table1[[#This Row],[High Tol]]),"Pass","Fail"))</f>
        <v>Fail</v>
      </c>
      <c r="AD1925" s="1" t="str">
        <f>IF(AND(Table1[[#This Row],[Spec Type2]]="N/A",Table1[[#This Row],[DUT Adj Read]]="N/A",Table1[[#This Row],[Std Adj Read]]="N/A"),"N/A",IF(Table1[[#This Row],[DUT Adj Read]]="N/A",IF(Table1[[#This Row],[Std Adj Read]]&gt;Table1[[#This Row],[Low Tol]],"Pass","Fail"),IF(Table1[[#This Row],[DUT Adj Read]]&gt;Table1[[#This Row],[Low Tol]],"Pass","Fail")))</f>
        <v>Pass</v>
      </c>
      <c r="AE1925" s="1" t="str">
        <f>IF(AND(Table1[[#This Row],[Spec Type2]]="N/A",Table1[[#This Row],[DUT Adj Read]]="N/A",Table1[[#This Row],[Std Adj Read]]="N/A"),"N/A",IF(Table1[[#This Row],[DUT Adj Read]]="N/A",IF(Table1[[#This Row],[Std Adj Read]]&lt;Table1[[#This Row],[High Tol]],"Pass","Fail"),IF(Table1[[#This Row],[DUT Adj Read]]&lt;Table1[[#This Row],[High Tol]],"Pass","Fail")))</f>
        <v>Fail</v>
      </c>
      <c r="AF1925" s="1" t="str">
        <f>IF(AND(Table1[[#This Row],[Spec Type2]]="N/A",Table1[[#This Row],[DUT Adj Read]]="N/A",Table1[[#This Row],[Std Adj Read]]="N/A"),"N/A",IF(Table1[[#This Row],[DUT Adj Read]]="N/A",IF(Table1[[#This Row],[Std Adj Read]]&gt;=Table1[[#This Row],[Low Tol]],"Pass","Fail"),IF(Table1[[#This Row],[DUT Adj Read]]&gt;=Table1[[#This Row],[Low Tol]],"Pass","Fail")))</f>
        <v>Pass</v>
      </c>
      <c r="AG1925" s="1" t="str">
        <f>IF(AND(Table1[[#This Row],[Spec Type2]]="N/A",Table1[[#This Row],[DUT Adj Read]]="N/A",Table1[[#This Row],[Std Adj Read]]="N/A"),"N/A",IF(Table1[[#This Row],[DUT Adj Read]]="N/A",IF(Table1[[#This Row],[Std Adj Read]]&lt;=Table1[[#This Row],[High Tol]],"Pass","Fail"),IF(Table1[[#This Row],[DUT Adj Read]]&lt;=Table1[[#This Row],[High Tol]],"Pass","Fail")))</f>
        <v>Fail</v>
      </c>
      <c r="AH19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5" s="1" t="b">
        <v>0</v>
      </c>
      <c r="AN1925" s="1" t="b">
        <v>0</v>
      </c>
      <c r="AO1925" s="1" t="b">
        <v>0</v>
      </c>
    </row>
    <row r="1926" spans="1:41" x14ac:dyDescent="0.25">
      <c r="A1926" s="10"/>
      <c r="B1926" s="10"/>
      <c r="C1926" s="10"/>
      <c r="D1926" s="10"/>
      <c r="E1926" s="10"/>
      <c r="F1926" s="10"/>
      <c r="G1926" s="10"/>
      <c r="H1926" s="10"/>
      <c r="I1926" s="1" t="str">
        <f t="shared" si="87"/>
        <v/>
      </c>
      <c r="J1926" s="1" t="s">
        <v>35</v>
      </c>
      <c r="K1926" s="1" t="str">
        <f t="shared" si="88"/>
        <v/>
      </c>
      <c r="L1926" s="1" t="str">
        <f t="shared" si="89"/>
        <v/>
      </c>
      <c r="M1926" s="1">
        <f>IF(OR(Table1[[#This Row],[Std Nom]]="",Table1[[#This Row],[Std Read]]=""),0,Table1[[#This Row],[Std Nom]]-Table1[[#This Row],[Std Read]])</f>
        <v>0</v>
      </c>
      <c r="N1926" s="1">
        <f>IF(Calculations!$F$5="ACCREDITED 17025 WITH UNCERTAINTIES",$N$10,0)</f>
        <v>0</v>
      </c>
      <c r="Q1926" s="1">
        <f>Table1[[#This Row],[High Tol]]-Table1[[#This Row],[Low Tol]]</f>
        <v>0</v>
      </c>
      <c r="R1926" s="1">
        <f>2*Table1[[#This Row],[Std Error]]</f>
        <v>0</v>
      </c>
      <c r="S1926" s="1" t="str">
        <f>IF(Table1[[#This Row],[High Tol]]="","N/A",IFERROR(ABS(Table1[[#This Row],[Tol Span]]/Table1[[#This Row],[Error Span]]),"N/A"))</f>
        <v>N/A</v>
      </c>
      <c r="T1926" s="1" t="str">
        <f>IF(OR(Table1[[#This Row],[Low Tol]]="",Table1[[#This Row],[High Tol]]=""),"Needs Analysis",IF(Table1[[#This Row],[Ratio]]&gt;=4,"Not Significant",IF(Table1[[#This Row],[Ratio]]&gt;=2,"Semi-Significant","Significant")))</f>
        <v>Needs Analysis</v>
      </c>
      <c r="W1926" s="1">
        <f>IF(Table1[[#This Row],[Cal Type]]&lt;&gt;"ACCREDITED 17025 WITH UNCERTAINTIES",0,"")</f>
        <v>0</v>
      </c>
      <c r="X1926" s="1" t="str">
        <f>IF(Table1[[#This Row],[DUT Read]]="","N/A",Table1[[#This Row],[Std Error]]+Table1[[#This Row],[DUT Read]]+Table1[[#This Row],[DUT Ucty]])</f>
        <v>N/A</v>
      </c>
      <c r="Y1926" s="1" t="str">
        <f>IF(Table1[[#This Row],[Std Read]]="","N/A",Table1[[#This Row],[Std Read]]+Table1[[#This Row],[Std Ucty]])</f>
        <v>N/A</v>
      </c>
      <c r="Z19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6" s="1" t="str">
        <f>IF(Table1[[#This Row],[Spec Type]]="","N/A",Table1[[#This Row],[Spec Type]])</f>
        <v>±</v>
      </c>
      <c r="AC1926" s="1" t="str">
        <f>IF(Table1[[#This Row],[Spec Type2]]="N/A","N/A",IF(AND(Table1[[#This Row],[DUT Adj Read]]&gt;=Table1[[#This Row],[Low Tol]],Table1[[#This Row],[DUT Adj Read]]&lt;=Table1[[#This Row],[High Tol]]),"Pass","Fail"))</f>
        <v>Fail</v>
      </c>
      <c r="AD1926" s="1" t="str">
        <f>IF(AND(Table1[[#This Row],[Spec Type2]]="N/A",Table1[[#This Row],[DUT Adj Read]]="N/A",Table1[[#This Row],[Std Adj Read]]="N/A"),"N/A",IF(Table1[[#This Row],[DUT Adj Read]]="N/A",IF(Table1[[#This Row],[Std Adj Read]]&gt;Table1[[#This Row],[Low Tol]],"Pass","Fail"),IF(Table1[[#This Row],[DUT Adj Read]]&gt;Table1[[#This Row],[Low Tol]],"Pass","Fail")))</f>
        <v>Pass</v>
      </c>
      <c r="AE1926" s="1" t="str">
        <f>IF(AND(Table1[[#This Row],[Spec Type2]]="N/A",Table1[[#This Row],[DUT Adj Read]]="N/A",Table1[[#This Row],[Std Adj Read]]="N/A"),"N/A",IF(Table1[[#This Row],[DUT Adj Read]]="N/A",IF(Table1[[#This Row],[Std Adj Read]]&lt;Table1[[#This Row],[High Tol]],"Pass","Fail"),IF(Table1[[#This Row],[DUT Adj Read]]&lt;Table1[[#This Row],[High Tol]],"Pass","Fail")))</f>
        <v>Fail</v>
      </c>
      <c r="AF1926" s="1" t="str">
        <f>IF(AND(Table1[[#This Row],[Spec Type2]]="N/A",Table1[[#This Row],[DUT Adj Read]]="N/A",Table1[[#This Row],[Std Adj Read]]="N/A"),"N/A",IF(Table1[[#This Row],[DUT Adj Read]]="N/A",IF(Table1[[#This Row],[Std Adj Read]]&gt;=Table1[[#This Row],[Low Tol]],"Pass","Fail"),IF(Table1[[#This Row],[DUT Adj Read]]&gt;=Table1[[#This Row],[Low Tol]],"Pass","Fail")))</f>
        <v>Pass</v>
      </c>
      <c r="AG1926" s="1" t="str">
        <f>IF(AND(Table1[[#This Row],[Spec Type2]]="N/A",Table1[[#This Row],[DUT Adj Read]]="N/A",Table1[[#This Row],[Std Adj Read]]="N/A"),"N/A",IF(Table1[[#This Row],[DUT Adj Read]]="N/A",IF(Table1[[#This Row],[Std Adj Read]]&lt;=Table1[[#This Row],[High Tol]],"Pass","Fail"),IF(Table1[[#This Row],[DUT Adj Read]]&lt;=Table1[[#This Row],[High Tol]],"Pass","Fail")))</f>
        <v>Fail</v>
      </c>
      <c r="AH19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6" s="1" t="b">
        <v>0</v>
      </c>
      <c r="AN1926" s="1" t="b">
        <v>0</v>
      </c>
      <c r="AO1926" s="1" t="b">
        <v>0</v>
      </c>
    </row>
    <row r="1927" spans="1:41" x14ac:dyDescent="0.25">
      <c r="A1927" s="10"/>
      <c r="B1927" s="10"/>
      <c r="C1927" s="10"/>
      <c r="D1927" s="10"/>
      <c r="E1927" s="10"/>
      <c r="F1927" s="10"/>
      <c r="G1927" s="10"/>
      <c r="H1927" s="10"/>
      <c r="I1927" s="1" t="str">
        <f t="shared" si="87"/>
        <v/>
      </c>
      <c r="J1927" s="1" t="s">
        <v>35</v>
      </c>
      <c r="K1927" s="1" t="str">
        <f t="shared" si="88"/>
        <v/>
      </c>
      <c r="L1927" s="1" t="str">
        <f t="shared" si="89"/>
        <v/>
      </c>
      <c r="M1927" s="1">
        <f>IF(OR(Table1[[#This Row],[Std Nom]]="",Table1[[#This Row],[Std Read]]=""),0,Table1[[#This Row],[Std Nom]]-Table1[[#This Row],[Std Read]])</f>
        <v>0</v>
      </c>
      <c r="N1927" s="1">
        <f>IF(Calculations!$F$5="ACCREDITED 17025 WITH UNCERTAINTIES",$N$10,0)</f>
        <v>0</v>
      </c>
      <c r="Q1927" s="1">
        <f>Table1[[#This Row],[High Tol]]-Table1[[#This Row],[Low Tol]]</f>
        <v>0</v>
      </c>
      <c r="R1927" s="1">
        <f>2*Table1[[#This Row],[Std Error]]</f>
        <v>0</v>
      </c>
      <c r="S1927" s="1" t="str">
        <f>IF(Table1[[#This Row],[High Tol]]="","N/A",IFERROR(ABS(Table1[[#This Row],[Tol Span]]/Table1[[#This Row],[Error Span]]),"N/A"))</f>
        <v>N/A</v>
      </c>
      <c r="T1927" s="1" t="str">
        <f>IF(OR(Table1[[#This Row],[Low Tol]]="",Table1[[#This Row],[High Tol]]=""),"Needs Analysis",IF(Table1[[#This Row],[Ratio]]&gt;=4,"Not Significant",IF(Table1[[#This Row],[Ratio]]&gt;=2,"Semi-Significant","Significant")))</f>
        <v>Needs Analysis</v>
      </c>
      <c r="W1927" s="1">
        <f>IF(Table1[[#This Row],[Cal Type]]&lt;&gt;"ACCREDITED 17025 WITH UNCERTAINTIES",0,"")</f>
        <v>0</v>
      </c>
      <c r="X1927" s="1" t="str">
        <f>IF(Table1[[#This Row],[DUT Read]]="","N/A",Table1[[#This Row],[Std Error]]+Table1[[#This Row],[DUT Read]]+Table1[[#This Row],[DUT Ucty]])</f>
        <v>N/A</v>
      </c>
      <c r="Y1927" s="1" t="str">
        <f>IF(Table1[[#This Row],[Std Read]]="","N/A",Table1[[#This Row],[Std Read]]+Table1[[#This Row],[Std Ucty]])</f>
        <v>N/A</v>
      </c>
      <c r="Z19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7" s="1" t="str">
        <f>IF(Table1[[#This Row],[Spec Type]]="","N/A",Table1[[#This Row],[Spec Type]])</f>
        <v>±</v>
      </c>
      <c r="AC1927" s="1" t="str">
        <f>IF(Table1[[#This Row],[Spec Type2]]="N/A","N/A",IF(AND(Table1[[#This Row],[DUT Adj Read]]&gt;=Table1[[#This Row],[Low Tol]],Table1[[#This Row],[DUT Adj Read]]&lt;=Table1[[#This Row],[High Tol]]),"Pass","Fail"))</f>
        <v>Fail</v>
      </c>
      <c r="AD1927" s="1" t="str">
        <f>IF(AND(Table1[[#This Row],[Spec Type2]]="N/A",Table1[[#This Row],[DUT Adj Read]]="N/A",Table1[[#This Row],[Std Adj Read]]="N/A"),"N/A",IF(Table1[[#This Row],[DUT Adj Read]]="N/A",IF(Table1[[#This Row],[Std Adj Read]]&gt;Table1[[#This Row],[Low Tol]],"Pass","Fail"),IF(Table1[[#This Row],[DUT Adj Read]]&gt;Table1[[#This Row],[Low Tol]],"Pass","Fail")))</f>
        <v>Pass</v>
      </c>
      <c r="AE1927" s="1" t="str">
        <f>IF(AND(Table1[[#This Row],[Spec Type2]]="N/A",Table1[[#This Row],[DUT Adj Read]]="N/A",Table1[[#This Row],[Std Adj Read]]="N/A"),"N/A",IF(Table1[[#This Row],[DUT Adj Read]]="N/A",IF(Table1[[#This Row],[Std Adj Read]]&lt;Table1[[#This Row],[High Tol]],"Pass","Fail"),IF(Table1[[#This Row],[DUT Adj Read]]&lt;Table1[[#This Row],[High Tol]],"Pass","Fail")))</f>
        <v>Fail</v>
      </c>
      <c r="AF1927" s="1" t="str">
        <f>IF(AND(Table1[[#This Row],[Spec Type2]]="N/A",Table1[[#This Row],[DUT Adj Read]]="N/A",Table1[[#This Row],[Std Adj Read]]="N/A"),"N/A",IF(Table1[[#This Row],[DUT Adj Read]]="N/A",IF(Table1[[#This Row],[Std Adj Read]]&gt;=Table1[[#This Row],[Low Tol]],"Pass","Fail"),IF(Table1[[#This Row],[DUT Adj Read]]&gt;=Table1[[#This Row],[Low Tol]],"Pass","Fail")))</f>
        <v>Pass</v>
      </c>
      <c r="AG1927" s="1" t="str">
        <f>IF(AND(Table1[[#This Row],[Spec Type2]]="N/A",Table1[[#This Row],[DUT Adj Read]]="N/A",Table1[[#This Row],[Std Adj Read]]="N/A"),"N/A",IF(Table1[[#This Row],[DUT Adj Read]]="N/A",IF(Table1[[#This Row],[Std Adj Read]]&lt;=Table1[[#This Row],[High Tol]],"Pass","Fail"),IF(Table1[[#This Row],[DUT Adj Read]]&lt;=Table1[[#This Row],[High Tol]],"Pass","Fail")))</f>
        <v>Fail</v>
      </c>
      <c r="AH19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7" s="1" t="b">
        <v>0</v>
      </c>
      <c r="AN1927" s="1" t="b">
        <v>0</v>
      </c>
      <c r="AO1927" s="1" t="b">
        <v>0</v>
      </c>
    </row>
    <row r="1928" spans="1:41" x14ac:dyDescent="0.25">
      <c r="A1928" s="10"/>
      <c r="B1928" s="10"/>
      <c r="C1928" s="10"/>
      <c r="D1928" s="10"/>
      <c r="E1928" s="10"/>
      <c r="F1928" s="10"/>
      <c r="G1928" s="10"/>
      <c r="H1928" s="10"/>
      <c r="I1928" s="1" t="str">
        <f t="shared" si="87"/>
        <v/>
      </c>
      <c r="J1928" s="1" t="s">
        <v>35</v>
      </c>
      <c r="K1928" s="1" t="str">
        <f t="shared" si="88"/>
        <v/>
      </c>
      <c r="L1928" s="1" t="str">
        <f t="shared" si="89"/>
        <v/>
      </c>
      <c r="M1928" s="1">
        <f>IF(OR(Table1[[#This Row],[Std Nom]]="",Table1[[#This Row],[Std Read]]=""),0,Table1[[#This Row],[Std Nom]]-Table1[[#This Row],[Std Read]])</f>
        <v>0</v>
      </c>
      <c r="N1928" s="1">
        <f>IF(Calculations!$F$5="ACCREDITED 17025 WITH UNCERTAINTIES",$N$10,0)</f>
        <v>0</v>
      </c>
      <c r="Q1928" s="1">
        <f>Table1[[#This Row],[High Tol]]-Table1[[#This Row],[Low Tol]]</f>
        <v>0</v>
      </c>
      <c r="R1928" s="1">
        <f>2*Table1[[#This Row],[Std Error]]</f>
        <v>0</v>
      </c>
      <c r="S1928" s="1" t="str">
        <f>IF(Table1[[#This Row],[High Tol]]="","N/A",IFERROR(ABS(Table1[[#This Row],[Tol Span]]/Table1[[#This Row],[Error Span]]),"N/A"))</f>
        <v>N/A</v>
      </c>
      <c r="T1928" s="1" t="str">
        <f>IF(OR(Table1[[#This Row],[Low Tol]]="",Table1[[#This Row],[High Tol]]=""),"Needs Analysis",IF(Table1[[#This Row],[Ratio]]&gt;=4,"Not Significant",IF(Table1[[#This Row],[Ratio]]&gt;=2,"Semi-Significant","Significant")))</f>
        <v>Needs Analysis</v>
      </c>
      <c r="W1928" s="1">
        <f>IF(Table1[[#This Row],[Cal Type]]&lt;&gt;"ACCREDITED 17025 WITH UNCERTAINTIES",0,"")</f>
        <v>0</v>
      </c>
      <c r="X1928" s="1" t="str">
        <f>IF(Table1[[#This Row],[DUT Read]]="","N/A",Table1[[#This Row],[Std Error]]+Table1[[#This Row],[DUT Read]]+Table1[[#This Row],[DUT Ucty]])</f>
        <v>N/A</v>
      </c>
      <c r="Y1928" s="1" t="str">
        <f>IF(Table1[[#This Row],[Std Read]]="","N/A",Table1[[#This Row],[Std Read]]+Table1[[#This Row],[Std Ucty]])</f>
        <v>N/A</v>
      </c>
      <c r="Z19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8" s="1" t="str">
        <f>IF(Table1[[#This Row],[Spec Type]]="","N/A",Table1[[#This Row],[Spec Type]])</f>
        <v>±</v>
      </c>
      <c r="AC1928" s="1" t="str">
        <f>IF(Table1[[#This Row],[Spec Type2]]="N/A","N/A",IF(AND(Table1[[#This Row],[DUT Adj Read]]&gt;=Table1[[#This Row],[Low Tol]],Table1[[#This Row],[DUT Adj Read]]&lt;=Table1[[#This Row],[High Tol]]),"Pass","Fail"))</f>
        <v>Fail</v>
      </c>
      <c r="AD1928" s="1" t="str">
        <f>IF(AND(Table1[[#This Row],[Spec Type2]]="N/A",Table1[[#This Row],[DUT Adj Read]]="N/A",Table1[[#This Row],[Std Adj Read]]="N/A"),"N/A",IF(Table1[[#This Row],[DUT Adj Read]]="N/A",IF(Table1[[#This Row],[Std Adj Read]]&gt;Table1[[#This Row],[Low Tol]],"Pass","Fail"),IF(Table1[[#This Row],[DUT Adj Read]]&gt;Table1[[#This Row],[Low Tol]],"Pass","Fail")))</f>
        <v>Pass</v>
      </c>
      <c r="AE1928" s="1" t="str">
        <f>IF(AND(Table1[[#This Row],[Spec Type2]]="N/A",Table1[[#This Row],[DUT Adj Read]]="N/A",Table1[[#This Row],[Std Adj Read]]="N/A"),"N/A",IF(Table1[[#This Row],[DUT Adj Read]]="N/A",IF(Table1[[#This Row],[Std Adj Read]]&lt;Table1[[#This Row],[High Tol]],"Pass","Fail"),IF(Table1[[#This Row],[DUT Adj Read]]&lt;Table1[[#This Row],[High Tol]],"Pass","Fail")))</f>
        <v>Fail</v>
      </c>
      <c r="AF1928" s="1" t="str">
        <f>IF(AND(Table1[[#This Row],[Spec Type2]]="N/A",Table1[[#This Row],[DUT Adj Read]]="N/A",Table1[[#This Row],[Std Adj Read]]="N/A"),"N/A",IF(Table1[[#This Row],[DUT Adj Read]]="N/A",IF(Table1[[#This Row],[Std Adj Read]]&gt;=Table1[[#This Row],[Low Tol]],"Pass","Fail"),IF(Table1[[#This Row],[DUT Adj Read]]&gt;=Table1[[#This Row],[Low Tol]],"Pass","Fail")))</f>
        <v>Pass</v>
      </c>
      <c r="AG1928" s="1" t="str">
        <f>IF(AND(Table1[[#This Row],[Spec Type2]]="N/A",Table1[[#This Row],[DUT Adj Read]]="N/A",Table1[[#This Row],[Std Adj Read]]="N/A"),"N/A",IF(Table1[[#This Row],[DUT Adj Read]]="N/A",IF(Table1[[#This Row],[Std Adj Read]]&lt;=Table1[[#This Row],[High Tol]],"Pass","Fail"),IF(Table1[[#This Row],[DUT Adj Read]]&lt;=Table1[[#This Row],[High Tol]],"Pass","Fail")))</f>
        <v>Fail</v>
      </c>
      <c r="AH19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8" s="1" t="b">
        <v>0</v>
      </c>
      <c r="AN1928" s="1" t="b">
        <v>0</v>
      </c>
      <c r="AO1928" s="1" t="b">
        <v>0</v>
      </c>
    </row>
    <row r="1929" spans="1:41" x14ac:dyDescent="0.25">
      <c r="A1929" s="10"/>
      <c r="B1929" s="10"/>
      <c r="C1929" s="10"/>
      <c r="D1929" s="10"/>
      <c r="E1929" s="10"/>
      <c r="F1929" s="10"/>
      <c r="G1929" s="10"/>
      <c r="H1929" s="10"/>
      <c r="I1929" s="1" t="str">
        <f t="shared" si="87"/>
        <v/>
      </c>
      <c r="J1929" s="1" t="s">
        <v>35</v>
      </c>
      <c r="K1929" s="1" t="str">
        <f t="shared" si="88"/>
        <v/>
      </c>
      <c r="L1929" s="1" t="str">
        <f t="shared" si="89"/>
        <v/>
      </c>
      <c r="M1929" s="1">
        <f>IF(OR(Table1[[#This Row],[Std Nom]]="",Table1[[#This Row],[Std Read]]=""),0,Table1[[#This Row],[Std Nom]]-Table1[[#This Row],[Std Read]])</f>
        <v>0</v>
      </c>
      <c r="N1929" s="1">
        <f>IF(Calculations!$F$5="ACCREDITED 17025 WITH UNCERTAINTIES",$N$10,0)</f>
        <v>0</v>
      </c>
      <c r="Q1929" s="1">
        <f>Table1[[#This Row],[High Tol]]-Table1[[#This Row],[Low Tol]]</f>
        <v>0</v>
      </c>
      <c r="R1929" s="1">
        <f>2*Table1[[#This Row],[Std Error]]</f>
        <v>0</v>
      </c>
      <c r="S1929" s="1" t="str">
        <f>IF(Table1[[#This Row],[High Tol]]="","N/A",IFERROR(ABS(Table1[[#This Row],[Tol Span]]/Table1[[#This Row],[Error Span]]),"N/A"))</f>
        <v>N/A</v>
      </c>
      <c r="T1929" s="1" t="str">
        <f>IF(OR(Table1[[#This Row],[Low Tol]]="",Table1[[#This Row],[High Tol]]=""),"Needs Analysis",IF(Table1[[#This Row],[Ratio]]&gt;=4,"Not Significant",IF(Table1[[#This Row],[Ratio]]&gt;=2,"Semi-Significant","Significant")))</f>
        <v>Needs Analysis</v>
      </c>
      <c r="W1929" s="1">
        <f>IF(Table1[[#This Row],[Cal Type]]&lt;&gt;"ACCREDITED 17025 WITH UNCERTAINTIES",0,"")</f>
        <v>0</v>
      </c>
      <c r="X1929" s="1" t="str">
        <f>IF(Table1[[#This Row],[DUT Read]]="","N/A",Table1[[#This Row],[Std Error]]+Table1[[#This Row],[DUT Read]]+Table1[[#This Row],[DUT Ucty]])</f>
        <v>N/A</v>
      </c>
      <c r="Y1929" s="1" t="str">
        <f>IF(Table1[[#This Row],[Std Read]]="","N/A",Table1[[#This Row],[Std Read]]+Table1[[#This Row],[Std Ucty]])</f>
        <v>N/A</v>
      </c>
      <c r="Z19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29" s="1" t="str">
        <f>IF(Table1[[#This Row],[Spec Type]]="","N/A",Table1[[#This Row],[Spec Type]])</f>
        <v>±</v>
      </c>
      <c r="AC1929" s="1" t="str">
        <f>IF(Table1[[#This Row],[Spec Type2]]="N/A","N/A",IF(AND(Table1[[#This Row],[DUT Adj Read]]&gt;=Table1[[#This Row],[Low Tol]],Table1[[#This Row],[DUT Adj Read]]&lt;=Table1[[#This Row],[High Tol]]),"Pass","Fail"))</f>
        <v>Fail</v>
      </c>
      <c r="AD1929" s="1" t="str">
        <f>IF(AND(Table1[[#This Row],[Spec Type2]]="N/A",Table1[[#This Row],[DUT Adj Read]]="N/A",Table1[[#This Row],[Std Adj Read]]="N/A"),"N/A",IF(Table1[[#This Row],[DUT Adj Read]]="N/A",IF(Table1[[#This Row],[Std Adj Read]]&gt;Table1[[#This Row],[Low Tol]],"Pass","Fail"),IF(Table1[[#This Row],[DUT Adj Read]]&gt;Table1[[#This Row],[Low Tol]],"Pass","Fail")))</f>
        <v>Pass</v>
      </c>
      <c r="AE1929" s="1" t="str">
        <f>IF(AND(Table1[[#This Row],[Spec Type2]]="N/A",Table1[[#This Row],[DUT Adj Read]]="N/A",Table1[[#This Row],[Std Adj Read]]="N/A"),"N/A",IF(Table1[[#This Row],[DUT Adj Read]]="N/A",IF(Table1[[#This Row],[Std Adj Read]]&lt;Table1[[#This Row],[High Tol]],"Pass","Fail"),IF(Table1[[#This Row],[DUT Adj Read]]&lt;Table1[[#This Row],[High Tol]],"Pass","Fail")))</f>
        <v>Fail</v>
      </c>
      <c r="AF1929" s="1" t="str">
        <f>IF(AND(Table1[[#This Row],[Spec Type2]]="N/A",Table1[[#This Row],[DUT Adj Read]]="N/A",Table1[[#This Row],[Std Adj Read]]="N/A"),"N/A",IF(Table1[[#This Row],[DUT Adj Read]]="N/A",IF(Table1[[#This Row],[Std Adj Read]]&gt;=Table1[[#This Row],[Low Tol]],"Pass","Fail"),IF(Table1[[#This Row],[DUT Adj Read]]&gt;=Table1[[#This Row],[Low Tol]],"Pass","Fail")))</f>
        <v>Pass</v>
      </c>
      <c r="AG1929" s="1" t="str">
        <f>IF(AND(Table1[[#This Row],[Spec Type2]]="N/A",Table1[[#This Row],[DUT Adj Read]]="N/A",Table1[[#This Row],[Std Adj Read]]="N/A"),"N/A",IF(Table1[[#This Row],[DUT Adj Read]]="N/A",IF(Table1[[#This Row],[Std Adj Read]]&lt;=Table1[[#This Row],[High Tol]],"Pass","Fail"),IF(Table1[[#This Row],[DUT Adj Read]]&lt;=Table1[[#This Row],[High Tol]],"Pass","Fail")))</f>
        <v>Fail</v>
      </c>
      <c r="AH19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29" s="1" t="b">
        <v>0</v>
      </c>
      <c r="AN1929" s="1" t="b">
        <v>0</v>
      </c>
      <c r="AO1929" s="1" t="b">
        <v>0</v>
      </c>
    </row>
    <row r="1930" spans="1:41" x14ac:dyDescent="0.25">
      <c r="A1930" s="10"/>
      <c r="B1930" s="10"/>
      <c r="C1930" s="10"/>
      <c r="D1930" s="10"/>
      <c r="E1930" s="10"/>
      <c r="F1930" s="10"/>
      <c r="G1930" s="10"/>
      <c r="H1930" s="10"/>
      <c r="I1930" s="1" t="str">
        <f t="shared" si="87"/>
        <v/>
      </c>
      <c r="J1930" s="1" t="s">
        <v>35</v>
      </c>
      <c r="K1930" s="1" t="str">
        <f t="shared" si="88"/>
        <v/>
      </c>
      <c r="L1930" s="1" t="str">
        <f t="shared" si="89"/>
        <v/>
      </c>
      <c r="M1930" s="1">
        <f>IF(OR(Table1[[#This Row],[Std Nom]]="",Table1[[#This Row],[Std Read]]=""),0,Table1[[#This Row],[Std Nom]]-Table1[[#This Row],[Std Read]])</f>
        <v>0</v>
      </c>
      <c r="N1930" s="1">
        <f>IF(Calculations!$F$5="ACCREDITED 17025 WITH UNCERTAINTIES",$N$10,0)</f>
        <v>0</v>
      </c>
      <c r="Q1930" s="1">
        <f>Table1[[#This Row],[High Tol]]-Table1[[#This Row],[Low Tol]]</f>
        <v>0</v>
      </c>
      <c r="R1930" s="1">
        <f>2*Table1[[#This Row],[Std Error]]</f>
        <v>0</v>
      </c>
      <c r="S1930" s="1" t="str">
        <f>IF(Table1[[#This Row],[High Tol]]="","N/A",IFERROR(ABS(Table1[[#This Row],[Tol Span]]/Table1[[#This Row],[Error Span]]),"N/A"))</f>
        <v>N/A</v>
      </c>
      <c r="T1930" s="1" t="str">
        <f>IF(OR(Table1[[#This Row],[Low Tol]]="",Table1[[#This Row],[High Tol]]=""),"Needs Analysis",IF(Table1[[#This Row],[Ratio]]&gt;=4,"Not Significant",IF(Table1[[#This Row],[Ratio]]&gt;=2,"Semi-Significant","Significant")))</f>
        <v>Needs Analysis</v>
      </c>
      <c r="W1930" s="1">
        <f>IF(Table1[[#This Row],[Cal Type]]&lt;&gt;"ACCREDITED 17025 WITH UNCERTAINTIES",0,"")</f>
        <v>0</v>
      </c>
      <c r="X1930" s="1" t="str">
        <f>IF(Table1[[#This Row],[DUT Read]]="","N/A",Table1[[#This Row],[Std Error]]+Table1[[#This Row],[DUT Read]]+Table1[[#This Row],[DUT Ucty]])</f>
        <v>N/A</v>
      </c>
      <c r="Y1930" s="1" t="str">
        <f>IF(Table1[[#This Row],[Std Read]]="","N/A",Table1[[#This Row],[Std Read]]+Table1[[#This Row],[Std Ucty]])</f>
        <v>N/A</v>
      </c>
      <c r="Z19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0" s="1" t="str">
        <f>IF(Table1[[#This Row],[Spec Type]]="","N/A",Table1[[#This Row],[Spec Type]])</f>
        <v>±</v>
      </c>
      <c r="AC1930" s="1" t="str">
        <f>IF(Table1[[#This Row],[Spec Type2]]="N/A","N/A",IF(AND(Table1[[#This Row],[DUT Adj Read]]&gt;=Table1[[#This Row],[Low Tol]],Table1[[#This Row],[DUT Adj Read]]&lt;=Table1[[#This Row],[High Tol]]),"Pass","Fail"))</f>
        <v>Fail</v>
      </c>
      <c r="AD1930" s="1" t="str">
        <f>IF(AND(Table1[[#This Row],[Spec Type2]]="N/A",Table1[[#This Row],[DUT Adj Read]]="N/A",Table1[[#This Row],[Std Adj Read]]="N/A"),"N/A",IF(Table1[[#This Row],[DUT Adj Read]]="N/A",IF(Table1[[#This Row],[Std Adj Read]]&gt;Table1[[#This Row],[Low Tol]],"Pass","Fail"),IF(Table1[[#This Row],[DUT Adj Read]]&gt;Table1[[#This Row],[Low Tol]],"Pass","Fail")))</f>
        <v>Pass</v>
      </c>
      <c r="AE1930" s="1" t="str">
        <f>IF(AND(Table1[[#This Row],[Spec Type2]]="N/A",Table1[[#This Row],[DUT Adj Read]]="N/A",Table1[[#This Row],[Std Adj Read]]="N/A"),"N/A",IF(Table1[[#This Row],[DUT Adj Read]]="N/A",IF(Table1[[#This Row],[Std Adj Read]]&lt;Table1[[#This Row],[High Tol]],"Pass","Fail"),IF(Table1[[#This Row],[DUT Adj Read]]&lt;Table1[[#This Row],[High Tol]],"Pass","Fail")))</f>
        <v>Fail</v>
      </c>
      <c r="AF1930" s="1" t="str">
        <f>IF(AND(Table1[[#This Row],[Spec Type2]]="N/A",Table1[[#This Row],[DUT Adj Read]]="N/A",Table1[[#This Row],[Std Adj Read]]="N/A"),"N/A",IF(Table1[[#This Row],[DUT Adj Read]]="N/A",IF(Table1[[#This Row],[Std Adj Read]]&gt;=Table1[[#This Row],[Low Tol]],"Pass","Fail"),IF(Table1[[#This Row],[DUT Adj Read]]&gt;=Table1[[#This Row],[Low Tol]],"Pass","Fail")))</f>
        <v>Pass</v>
      </c>
      <c r="AG1930" s="1" t="str">
        <f>IF(AND(Table1[[#This Row],[Spec Type2]]="N/A",Table1[[#This Row],[DUT Adj Read]]="N/A",Table1[[#This Row],[Std Adj Read]]="N/A"),"N/A",IF(Table1[[#This Row],[DUT Adj Read]]="N/A",IF(Table1[[#This Row],[Std Adj Read]]&lt;=Table1[[#This Row],[High Tol]],"Pass","Fail"),IF(Table1[[#This Row],[DUT Adj Read]]&lt;=Table1[[#This Row],[High Tol]],"Pass","Fail")))</f>
        <v>Fail</v>
      </c>
      <c r="AH19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0" s="1" t="b">
        <v>0</v>
      </c>
      <c r="AN1930" s="1" t="b">
        <v>0</v>
      </c>
      <c r="AO1930" s="1" t="b">
        <v>0</v>
      </c>
    </row>
    <row r="1931" spans="1:41" x14ac:dyDescent="0.25">
      <c r="A1931" s="10"/>
      <c r="B1931" s="10"/>
      <c r="C1931" s="10"/>
      <c r="D1931" s="10"/>
      <c r="E1931" s="10"/>
      <c r="F1931" s="10"/>
      <c r="G1931" s="10"/>
      <c r="H1931" s="10"/>
      <c r="I1931" s="1" t="str">
        <f t="shared" ref="I1931:I1994" si="90">IF($I$10="","",$I$10)</f>
        <v/>
      </c>
      <c r="J1931" s="1" t="s">
        <v>35</v>
      </c>
      <c r="K1931" s="1" t="str">
        <f t="shared" ref="K1931:K1994" si="91">IF($K$10="","",$K$10)</f>
        <v/>
      </c>
      <c r="L1931" s="1" t="str">
        <f t="shared" ref="L1931:L1994" si="92">IF($L$10="","",$L$10)</f>
        <v/>
      </c>
      <c r="M1931" s="1">
        <f>IF(OR(Table1[[#This Row],[Std Nom]]="",Table1[[#This Row],[Std Read]]=""),0,Table1[[#This Row],[Std Nom]]-Table1[[#This Row],[Std Read]])</f>
        <v>0</v>
      </c>
      <c r="N1931" s="1">
        <f>IF(Calculations!$F$5="ACCREDITED 17025 WITH UNCERTAINTIES",$N$10,0)</f>
        <v>0</v>
      </c>
      <c r="Q1931" s="1">
        <f>Table1[[#This Row],[High Tol]]-Table1[[#This Row],[Low Tol]]</f>
        <v>0</v>
      </c>
      <c r="R1931" s="1">
        <f>2*Table1[[#This Row],[Std Error]]</f>
        <v>0</v>
      </c>
      <c r="S1931" s="1" t="str">
        <f>IF(Table1[[#This Row],[High Tol]]="","N/A",IFERROR(ABS(Table1[[#This Row],[Tol Span]]/Table1[[#This Row],[Error Span]]),"N/A"))</f>
        <v>N/A</v>
      </c>
      <c r="T1931" s="1" t="str">
        <f>IF(OR(Table1[[#This Row],[Low Tol]]="",Table1[[#This Row],[High Tol]]=""),"Needs Analysis",IF(Table1[[#This Row],[Ratio]]&gt;=4,"Not Significant",IF(Table1[[#This Row],[Ratio]]&gt;=2,"Semi-Significant","Significant")))</f>
        <v>Needs Analysis</v>
      </c>
      <c r="W1931" s="1">
        <f>IF(Table1[[#This Row],[Cal Type]]&lt;&gt;"ACCREDITED 17025 WITH UNCERTAINTIES",0,"")</f>
        <v>0</v>
      </c>
      <c r="X1931" s="1" t="str">
        <f>IF(Table1[[#This Row],[DUT Read]]="","N/A",Table1[[#This Row],[Std Error]]+Table1[[#This Row],[DUT Read]]+Table1[[#This Row],[DUT Ucty]])</f>
        <v>N/A</v>
      </c>
      <c r="Y1931" s="1" t="str">
        <f>IF(Table1[[#This Row],[Std Read]]="","N/A",Table1[[#This Row],[Std Read]]+Table1[[#This Row],[Std Ucty]])</f>
        <v>N/A</v>
      </c>
      <c r="Z19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1" s="1" t="str">
        <f>IF(Table1[[#This Row],[Spec Type]]="","N/A",Table1[[#This Row],[Spec Type]])</f>
        <v>±</v>
      </c>
      <c r="AC1931" s="1" t="str">
        <f>IF(Table1[[#This Row],[Spec Type2]]="N/A","N/A",IF(AND(Table1[[#This Row],[DUT Adj Read]]&gt;=Table1[[#This Row],[Low Tol]],Table1[[#This Row],[DUT Adj Read]]&lt;=Table1[[#This Row],[High Tol]]),"Pass","Fail"))</f>
        <v>Fail</v>
      </c>
      <c r="AD1931" s="1" t="str">
        <f>IF(AND(Table1[[#This Row],[Spec Type2]]="N/A",Table1[[#This Row],[DUT Adj Read]]="N/A",Table1[[#This Row],[Std Adj Read]]="N/A"),"N/A",IF(Table1[[#This Row],[DUT Adj Read]]="N/A",IF(Table1[[#This Row],[Std Adj Read]]&gt;Table1[[#This Row],[Low Tol]],"Pass","Fail"),IF(Table1[[#This Row],[DUT Adj Read]]&gt;Table1[[#This Row],[Low Tol]],"Pass","Fail")))</f>
        <v>Pass</v>
      </c>
      <c r="AE1931" s="1" t="str">
        <f>IF(AND(Table1[[#This Row],[Spec Type2]]="N/A",Table1[[#This Row],[DUT Adj Read]]="N/A",Table1[[#This Row],[Std Adj Read]]="N/A"),"N/A",IF(Table1[[#This Row],[DUT Adj Read]]="N/A",IF(Table1[[#This Row],[Std Adj Read]]&lt;Table1[[#This Row],[High Tol]],"Pass","Fail"),IF(Table1[[#This Row],[DUT Adj Read]]&lt;Table1[[#This Row],[High Tol]],"Pass","Fail")))</f>
        <v>Fail</v>
      </c>
      <c r="AF1931" s="1" t="str">
        <f>IF(AND(Table1[[#This Row],[Spec Type2]]="N/A",Table1[[#This Row],[DUT Adj Read]]="N/A",Table1[[#This Row],[Std Adj Read]]="N/A"),"N/A",IF(Table1[[#This Row],[DUT Adj Read]]="N/A",IF(Table1[[#This Row],[Std Adj Read]]&gt;=Table1[[#This Row],[Low Tol]],"Pass","Fail"),IF(Table1[[#This Row],[DUT Adj Read]]&gt;=Table1[[#This Row],[Low Tol]],"Pass","Fail")))</f>
        <v>Pass</v>
      </c>
      <c r="AG1931" s="1" t="str">
        <f>IF(AND(Table1[[#This Row],[Spec Type2]]="N/A",Table1[[#This Row],[DUT Adj Read]]="N/A",Table1[[#This Row],[Std Adj Read]]="N/A"),"N/A",IF(Table1[[#This Row],[DUT Adj Read]]="N/A",IF(Table1[[#This Row],[Std Adj Read]]&lt;=Table1[[#This Row],[High Tol]],"Pass","Fail"),IF(Table1[[#This Row],[DUT Adj Read]]&lt;=Table1[[#This Row],[High Tol]],"Pass","Fail")))</f>
        <v>Fail</v>
      </c>
      <c r="AH19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1" s="1" t="b">
        <v>0</v>
      </c>
      <c r="AN1931" s="1" t="b">
        <v>0</v>
      </c>
      <c r="AO1931" s="1" t="b">
        <v>0</v>
      </c>
    </row>
    <row r="1932" spans="1:41" x14ac:dyDescent="0.25">
      <c r="A1932" s="10"/>
      <c r="B1932" s="10"/>
      <c r="C1932" s="10"/>
      <c r="D1932" s="10"/>
      <c r="E1932" s="10"/>
      <c r="F1932" s="10"/>
      <c r="G1932" s="10"/>
      <c r="H1932" s="10"/>
      <c r="I1932" s="1" t="str">
        <f t="shared" si="90"/>
        <v/>
      </c>
      <c r="J1932" s="1" t="s">
        <v>35</v>
      </c>
      <c r="K1932" s="1" t="str">
        <f t="shared" si="91"/>
        <v/>
      </c>
      <c r="L1932" s="1" t="str">
        <f t="shared" si="92"/>
        <v/>
      </c>
      <c r="M1932" s="1">
        <f>IF(OR(Table1[[#This Row],[Std Nom]]="",Table1[[#This Row],[Std Read]]=""),0,Table1[[#This Row],[Std Nom]]-Table1[[#This Row],[Std Read]])</f>
        <v>0</v>
      </c>
      <c r="N1932" s="1">
        <f>IF(Calculations!$F$5="ACCREDITED 17025 WITH UNCERTAINTIES",$N$10,0)</f>
        <v>0</v>
      </c>
      <c r="Q1932" s="1">
        <f>Table1[[#This Row],[High Tol]]-Table1[[#This Row],[Low Tol]]</f>
        <v>0</v>
      </c>
      <c r="R1932" s="1">
        <f>2*Table1[[#This Row],[Std Error]]</f>
        <v>0</v>
      </c>
      <c r="S1932" s="1" t="str">
        <f>IF(Table1[[#This Row],[High Tol]]="","N/A",IFERROR(ABS(Table1[[#This Row],[Tol Span]]/Table1[[#This Row],[Error Span]]),"N/A"))</f>
        <v>N/A</v>
      </c>
      <c r="T1932" s="1" t="str">
        <f>IF(OR(Table1[[#This Row],[Low Tol]]="",Table1[[#This Row],[High Tol]]=""),"Needs Analysis",IF(Table1[[#This Row],[Ratio]]&gt;=4,"Not Significant",IF(Table1[[#This Row],[Ratio]]&gt;=2,"Semi-Significant","Significant")))</f>
        <v>Needs Analysis</v>
      </c>
      <c r="W1932" s="1">
        <f>IF(Table1[[#This Row],[Cal Type]]&lt;&gt;"ACCREDITED 17025 WITH UNCERTAINTIES",0,"")</f>
        <v>0</v>
      </c>
      <c r="X1932" s="1" t="str">
        <f>IF(Table1[[#This Row],[DUT Read]]="","N/A",Table1[[#This Row],[Std Error]]+Table1[[#This Row],[DUT Read]]+Table1[[#This Row],[DUT Ucty]])</f>
        <v>N/A</v>
      </c>
      <c r="Y1932" s="1" t="str">
        <f>IF(Table1[[#This Row],[Std Read]]="","N/A",Table1[[#This Row],[Std Read]]+Table1[[#This Row],[Std Ucty]])</f>
        <v>N/A</v>
      </c>
      <c r="Z19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2" s="1" t="str">
        <f>IF(Table1[[#This Row],[Spec Type]]="","N/A",Table1[[#This Row],[Spec Type]])</f>
        <v>±</v>
      </c>
      <c r="AC1932" s="1" t="str">
        <f>IF(Table1[[#This Row],[Spec Type2]]="N/A","N/A",IF(AND(Table1[[#This Row],[DUT Adj Read]]&gt;=Table1[[#This Row],[Low Tol]],Table1[[#This Row],[DUT Adj Read]]&lt;=Table1[[#This Row],[High Tol]]),"Pass","Fail"))</f>
        <v>Fail</v>
      </c>
      <c r="AD1932" s="1" t="str">
        <f>IF(AND(Table1[[#This Row],[Spec Type2]]="N/A",Table1[[#This Row],[DUT Adj Read]]="N/A",Table1[[#This Row],[Std Adj Read]]="N/A"),"N/A",IF(Table1[[#This Row],[DUT Adj Read]]="N/A",IF(Table1[[#This Row],[Std Adj Read]]&gt;Table1[[#This Row],[Low Tol]],"Pass","Fail"),IF(Table1[[#This Row],[DUT Adj Read]]&gt;Table1[[#This Row],[Low Tol]],"Pass","Fail")))</f>
        <v>Pass</v>
      </c>
      <c r="AE1932" s="1" t="str">
        <f>IF(AND(Table1[[#This Row],[Spec Type2]]="N/A",Table1[[#This Row],[DUT Adj Read]]="N/A",Table1[[#This Row],[Std Adj Read]]="N/A"),"N/A",IF(Table1[[#This Row],[DUT Adj Read]]="N/A",IF(Table1[[#This Row],[Std Adj Read]]&lt;Table1[[#This Row],[High Tol]],"Pass","Fail"),IF(Table1[[#This Row],[DUT Adj Read]]&lt;Table1[[#This Row],[High Tol]],"Pass","Fail")))</f>
        <v>Fail</v>
      </c>
      <c r="AF1932" s="1" t="str">
        <f>IF(AND(Table1[[#This Row],[Spec Type2]]="N/A",Table1[[#This Row],[DUT Adj Read]]="N/A",Table1[[#This Row],[Std Adj Read]]="N/A"),"N/A",IF(Table1[[#This Row],[DUT Adj Read]]="N/A",IF(Table1[[#This Row],[Std Adj Read]]&gt;=Table1[[#This Row],[Low Tol]],"Pass","Fail"),IF(Table1[[#This Row],[DUT Adj Read]]&gt;=Table1[[#This Row],[Low Tol]],"Pass","Fail")))</f>
        <v>Pass</v>
      </c>
      <c r="AG1932" s="1" t="str">
        <f>IF(AND(Table1[[#This Row],[Spec Type2]]="N/A",Table1[[#This Row],[DUT Adj Read]]="N/A",Table1[[#This Row],[Std Adj Read]]="N/A"),"N/A",IF(Table1[[#This Row],[DUT Adj Read]]="N/A",IF(Table1[[#This Row],[Std Adj Read]]&lt;=Table1[[#This Row],[High Tol]],"Pass","Fail"),IF(Table1[[#This Row],[DUT Adj Read]]&lt;=Table1[[#This Row],[High Tol]],"Pass","Fail")))</f>
        <v>Fail</v>
      </c>
      <c r="AH19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2" s="1" t="b">
        <v>0</v>
      </c>
      <c r="AN1932" s="1" t="b">
        <v>0</v>
      </c>
      <c r="AO1932" s="1" t="b">
        <v>0</v>
      </c>
    </row>
    <row r="1933" spans="1:41" x14ac:dyDescent="0.25">
      <c r="A1933" s="10"/>
      <c r="B1933" s="10"/>
      <c r="C1933" s="10"/>
      <c r="D1933" s="10"/>
      <c r="E1933" s="10"/>
      <c r="F1933" s="10"/>
      <c r="G1933" s="10"/>
      <c r="H1933" s="10"/>
      <c r="I1933" s="1" t="str">
        <f t="shared" si="90"/>
        <v/>
      </c>
      <c r="J1933" s="1" t="s">
        <v>35</v>
      </c>
      <c r="K1933" s="1" t="str">
        <f t="shared" si="91"/>
        <v/>
      </c>
      <c r="L1933" s="1" t="str">
        <f t="shared" si="92"/>
        <v/>
      </c>
      <c r="M1933" s="1">
        <f>IF(OR(Table1[[#This Row],[Std Nom]]="",Table1[[#This Row],[Std Read]]=""),0,Table1[[#This Row],[Std Nom]]-Table1[[#This Row],[Std Read]])</f>
        <v>0</v>
      </c>
      <c r="N1933" s="1">
        <f>IF(Calculations!$F$5="ACCREDITED 17025 WITH UNCERTAINTIES",$N$10,0)</f>
        <v>0</v>
      </c>
      <c r="Q1933" s="1">
        <f>Table1[[#This Row],[High Tol]]-Table1[[#This Row],[Low Tol]]</f>
        <v>0</v>
      </c>
      <c r="R1933" s="1">
        <f>2*Table1[[#This Row],[Std Error]]</f>
        <v>0</v>
      </c>
      <c r="S1933" s="1" t="str">
        <f>IF(Table1[[#This Row],[High Tol]]="","N/A",IFERROR(ABS(Table1[[#This Row],[Tol Span]]/Table1[[#This Row],[Error Span]]),"N/A"))</f>
        <v>N/A</v>
      </c>
      <c r="T1933" s="1" t="str">
        <f>IF(OR(Table1[[#This Row],[Low Tol]]="",Table1[[#This Row],[High Tol]]=""),"Needs Analysis",IF(Table1[[#This Row],[Ratio]]&gt;=4,"Not Significant",IF(Table1[[#This Row],[Ratio]]&gt;=2,"Semi-Significant","Significant")))</f>
        <v>Needs Analysis</v>
      </c>
      <c r="W1933" s="1">
        <f>IF(Table1[[#This Row],[Cal Type]]&lt;&gt;"ACCREDITED 17025 WITH UNCERTAINTIES",0,"")</f>
        <v>0</v>
      </c>
      <c r="X1933" s="1" t="str">
        <f>IF(Table1[[#This Row],[DUT Read]]="","N/A",Table1[[#This Row],[Std Error]]+Table1[[#This Row],[DUT Read]]+Table1[[#This Row],[DUT Ucty]])</f>
        <v>N/A</v>
      </c>
      <c r="Y1933" s="1" t="str">
        <f>IF(Table1[[#This Row],[Std Read]]="","N/A",Table1[[#This Row],[Std Read]]+Table1[[#This Row],[Std Ucty]])</f>
        <v>N/A</v>
      </c>
      <c r="Z19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3" s="1" t="str">
        <f>IF(Table1[[#This Row],[Spec Type]]="","N/A",Table1[[#This Row],[Spec Type]])</f>
        <v>±</v>
      </c>
      <c r="AC1933" s="1" t="str">
        <f>IF(Table1[[#This Row],[Spec Type2]]="N/A","N/A",IF(AND(Table1[[#This Row],[DUT Adj Read]]&gt;=Table1[[#This Row],[Low Tol]],Table1[[#This Row],[DUT Adj Read]]&lt;=Table1[[#This Row],[High Tol]]),"Pass","Fail"))</f>
        <v>Fail</v>
      </c>
      <c r="AD1933" s="1" t="str">
        <f>IF(AND(Table1[[#This Row],[Spec Type2]]="N/A",Table1[[#This Row],[DUT Adj Read]]="N/A",Table1[[#This Row],[Std Adj Read]]="N/A"),"N/A",IF(Table1[[#This Row],[DUT Adj Read]]="N/A",IF(Table1[[#This Row],[Std Adj Read]]&gt;Table1[[#This Row],[Low Tol]],"Pass","Fail"),IF(Table1[[#This Row],[DUT Adj Read]]&gt;Table1[[#This Row],[Low Tol]],"Pass","Fail")))</f>
        <v>Pass</v>
      </c>
      <c r="AE1933" s="1" t="str">
        <f>IF(AND(Table1[[#This Row],[Spec Type2]]="N/A",Table1[[#This Row],[DUT Adj Read]]="N/A",Table1[[#This Row],[Std Adj Read]]="N/A"),"N/A",IF(Table1[[#This Row],[DUT Adj Read]]="N/A",IF(Table1[[#This Row],[Std Adj Read]]&lt;Table1[[#This Row],[High Tol]],"Pass","Fail"),IF(Table1[[#This Row],[DUT Adj Read]]&lt;Table1[[#This Row],[High Tol]],"Pass","Fail")))</f>
        <v>Fail</v>
      </c>
      <c r="AF1933" s="1" t="str">
        <f>IF(AND(Table1[[#This Row],[Spec Type2]]="N/A",Table1[[#This Row],[DUT Adj Read]]="N/A",Table1[[#This Row],[Std Adj Read]]="N/A"),"N/A",IF(Table1[[#This Row],[DUT Adj Read]]="N/A",IF(Table1[[#This Row],[Std Adj Read]]&gt;=Table1[[#This Row],[Low Tol]],"Pass","Fail"),IF(Table1[[#This Row],[DUT Adj Read]]&gt;=Table1[[#This Row],[Low Tol]],"Pass","Fail")))</f>
        <v>Pass</v>
      </c>
      <c r="AG1933" s="1" t="str">
        <f>IF(AND(Table1[[#This Row],[Spec Type2]]="N/A",Table1[[#This Row],[DUT Adj Read]]="N/A",Table1[[#This Row],[Std Adj Read]]="N/A"),"N/A",IF(Table1[[#This Row],[DUT Adj Read]]="N/A",IF(Table1[[#This Row],[Std Adj Read]]&lt;=Table1[[#This Row],[High Tol]],"Pass","Fail"),IF(Table1[[#This Row],[DUT Adj Read]]&lt;=Table1[[#This Row],[High Tol]],"Pass","Fail")))</f>
        <v>Fail</v>
      </c>
      <c r="AH19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3" s="1" t="b">
        <v>0</v>
      </c>
      <c r="AN1933" s="1" t="b">
        <v>0</v>
      </c>
      <c r="AO1933" s="1" t="b">
        <v>0</v>
      </c>
    </row>
    <row r="1934" spans="1:41" x14ac:dyDescent="0.25">
      <c r="A1934" s="10"/>
      <c r="B1934" s="10"/>
      <c r="C1934" s="10"/>
      <c r="D1934" s="10"/>
      <c r="E1934" s="10"/>
      <c r="F1934" s="10"/>
      <c r="G1934" s="10"/>
      <c r="H1934" s="10"/>
      <c r="I1934" s="1" t="str">
        <f t="shared" si="90"/>
        <v/>
      </c>
      <c r="J1934" s="1" t="s">
        <v>35</v>
      </c>
      <c r="K1934" s="1" t="str">
        <f t="shared" si="91"/>
        <v/>
      </c>
      <c r="L1934" s="1" t="str">
        <f t="shared" si="92"/>
        <v/>
      </c>
      <c r="M1934" s="1">
        <f>IF(OR(Table1[[#This Row],[Std Nom]]="",Table1[[#This Row],[Std Read]]=""),0,Table1[[#This Row],[Std Nom]]-Table1[[#This Row],[Std Read]])</f>
        <v>0</v>
      </c>
      <c r="N1934" s="1">
        <f>IF(Calculations!$F$5="ACCREDITED 17025 WITH UNCERTAINTIES",$N$10,0)</f>
        <v>0</v>
      </c>
      <c r="Q1934" s="1">
        <f>Table1[[#This Row],[High Tol]]-Table1[[#This Row],[Low Tol]]</f>
        <v>0</v>
      </c>
      <c r="R1934" s="1">
        <f>2*Table1[[#This Row],[Std Error]]</f>
        <v>0</v>
      </c>
      <c r="S1934" s="1" t="str">
        <f>IF(Table1[[#This Row],[High Tol]]="","N/A",IFERROR(ABS(Table1[[#This Row],[Tol Span]]/Table1[[#This Row],[Error Span]]),"N/A"))</f>
        <v>N/A</v>
      </c>
      <c r="T1934" s="1" t="str">
        <f>IF(OR(Table1[[#This Row],[Low Tol]]="",Table1[[#This Row],[High Tol]]=""),"Needs Analysis",IF(Table1[[#This Row],[Ratio]]&gt;=4,"Not Significant",IF(Table1[[#This Row],[Ratio]]&gt;=2,"Semi-Significant","Significant")))</f>
        <v>Needs Analysis</v>
      </c>
      <c r="W1934" s="1">
        <f>IF(Table1[[#This Row],[Cal Type]]&lt;&gt;"ACCREDITED 17025 WITH UNCERTAINTIES",0,"")</f>
        <v>0</v>
      </c>
      <c r="X1934" s="1" t="str">
        <f>IF(Table1[[#This Row],[DUT Read]]="","N/A",Table1[[#This Row],[Std Error]]+Table1[[#This Row],[DUT Read]]+Table1[[#This Row],[DUT Ucty]])</f>
        <v>N/A</v>
      </c>
      <c r="Y1934" s="1" t="str">
        <f>IF(Table1[[#This Row],[Std Read]]="","N/A",Table1[[#This Row],[Std Read]]+Table1[[#This Row],[Std Ucty]])</f>
        <v>N/A</v>
      </c>
      <c r="Z19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4" s="1" t="str">
        <f>IF(Table1[[#This Row],[Spec Type]]="","N/A",Table1[[#This Row],[Spec Type]])</f>
        <v>±</v>
      </c>
      <c r="AC1934" s="1" t="str">
        <f>IF(Table1[[#This Row],[Spec Type2]]="N/A","N/A",IF(AND(Table1[[#This Row],[DUT Adj Read]]&gt;=Table1[[#This Row],[Low Tol]],Table1[[#This Row],[DUT Adj Read]]&lt;=Table1[[#This Row],[High Tol]]),"Pass","Fail"))</f>
        <v>Fail</v>
      </c>
      <c r="AD1934" s="1" t="str">
        <f>IF(AND(Table1[[#This Row],[Spec Type2]]="N/A",Table1[[#This Row],[DUT Adj Read]]="N/A",Table1[[#This Row],[Std Adj Read]]="N/A"),"N/A",IF(Table1[[#This Row],[DUT Adj Read]]="N/A",IF(Table1[[#This Row],[Std Adj Read]]&gt;Table1[[#This Row],[Low Tol]],"Pass","Fail"),IF(Table1[[#This Row],[DUT Adj Read]]&gt;Table1[[#This Row],[Low Tol]],"Pass","Fail")))</f>
        <v>Pass</v>
      </c>
      <c r="AE1934" s="1" t="str">
        <f>IF(AND(Table1[[#This Row],[Spec Type2]]="N/A",Table1[[#This Row],[DUT Adj Read]]="N/A",Table1[[#This Row],[Std Adj Read]]="N/A"),"N/A",IF(Table1[[#This Row],[DUT Adj Read]]="N/A",IF(Table1[[#This Row],[Std Adj Read]]&lt;Table1[[#This Row],[High Tol]],"Pass","Fail"),IF(Table1[[#This Row],[DUT Adj Read]]&lt;Table1[[#This Row],[High Tol]],"Pass","Fail")))</f>
        <v>Fail</v>
      </c>
      <c r="AF1934" s="1" t="str">
        <f>IF(AND(Table1[[#This Row],[Spec Type2]]="N/A",Table1[[#This Row],[DUT Adj Read]]="N/A",Table1[[#This Row],[Std Adj Read]]="N/A"),"N/A",IF(Table1[[#This Row],[DUT Adj Read]]="N/A",IF(Table1[[#This Row],[Std Adj Read]]&gt;=Table1[[#This Row],[Low Tol]],"Pass","Fail"),IF(Table1[[#This Row],[DUT Adj Read]]&gt;=Table1[[#This Row],[Low Tol]],"Pass","Fail")))</f>
        <v>Pass</v>
      </c>
      <c r="AG1934" s="1" t="str">
        <f>IF(AND(Table1[[#This Row],[Spec Type2]]="N/A",Table1[[#This Row],[DUT Adj Read]]="N/A",Table1[[#This Row],[Std Adj Read]]="N/A"),"N/A",IF(Table1[[#This Row],[DUT Adj Read]]="N/A",IF(Table1[[#This Row],[Std Adj Read]]&lt;=Table1[[#This Row],[High Tol]],"Pass","Fail"),IF(Table1[[#This Row],[DUT Adj Read]]&lt;=Table1[[#This Row],[High Tol]],"Pass","Fail")))</f>
        <v>Fail</v>
      </c>
      <c r="AH19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4" s="1" t="b">
        <v>0</v>
      </c>
      <c r="AN1934" s="1" t="b">
        <v>0</v>
      </c>
      <c r="AO1934" s="1" t="b">
        <v>0</v>
      </c>
    </row>
    <row r="1935" spans="1:41" x14ac:dyDescent="0.25">
      <c r="A1935" s="10"/>
      <c r="B1935" s="10"/>
      <c r="C1935" s="10"/>
      <c r="D1935" s="10"/>
      <c r="E1935" s="10"/>
      <c r="F1935" s="10"/>
      <c r="G1935" s="10"/>
      <c r="H1935" s="10"/>
      <c r="I1935" s="1" t="str">
        <f t="shared" si="90"/>
        <v/>
      </c>
      <c r="J1935" s="1" t="s">
        <v>35</v>
      </c>
      <c r="K1935" s="1" t="str">
        <f t="shared" si="91"/>
        <v/>
      </c>
      <c r="L1935" s="1" t="str">
        <f t="shared" si="92"/>
        <v/>
      </c>
      <c r="M1935" s="1">
        <f>IF(OR(Table1[[#This Row],[Std Nom]]="",Table1[[#This Row],[Std Read]]=""),0,Table1[[#This Row],[Std Nom]]-Table1[[#This Row],[Std Read]])</f>
        <v>0</v>
      </c>
      <c r="N1935" s="1">
        <f>IF(Calculations!$F$5="ACCREDITED 17025 WITH UNCERTAINTIES",$N$10,0)</f>
        <v>0</v>
      </c>
      <c r="Q1935" s="1">
        <f>Table1[[#This Row],[High Tol]]-Table1[[#This Row],[Low Tol]]</f>
        <v>0</v>
      </c>
      <c r="R1935" s="1">
        <f>2*Table1[[#This Row],[Std Error]]</f>
        <v>0</v>
      </c>
      <c r="S1935" s="1" t="str">
        <f>IF(Table1[[#This Row],[High Tol]]="","N/A",IFERROR(ABS(Table1[[#This Row],[Tol Span]]/Table1[[#This Row],[Error Span]]),"N/A"))</f>
        <v>N/A</v>
      </c>
      <c r="T1935" s="1" t="str">
        <f>IF(OR(Table1[[#This Row],[Low Tol]]="",Table1[[#This Row],[High Tol]]=""),"Needs Analysis",IF(Table1[[#This Row],[Ratio]]&gt;=4,"Not Significant",IF(Table1[[#This Row],[Ratio]]&gt;=2,"Semi-Significant","Significant")))</f>
        <v>Needs Analysis</v>
      </c>
      <c r="W1935" s="1">
        <f>IF(Table1[[#This Row],[Cal Type]]&lt;&gt;"ACCREDITED 17025 WITH UNCERTAINTIES",0,"")</f>
        <v>0</v>
      </c>
      <c r="X1935" s="1" t="str">
        <f>IF(Table1[[#This Row],[DUT Read]]="","N/A",Table1[[#This Row],[Std Error]]+Table1[[#This Row],[DUT Read]]+Table1[[#This Row],[DUT Ucty]])</f>
        <v>N/A</v>
      </c>
      <c r="Y1935" s="1" t="str">
        <f>IF(Table1[[#This Row],[Std Read]]="","N/A",Table1[[#This Row],[Std Read]]+Table1[[#This Row],[Std Ucty]])</f>
        <v>N/A</v>
      </c>
      <c r="Z19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5" s="1" t="str">
        <f>IF(Table1[[#This Row],[Spec Type]]="","N/A",Table1[[#This Row],[Spec Type]])</f>
        <v>±</v>
      </c>
      <c r="AC1935" s="1" t="str">
        <f>IF(Table1[[#This Row],[Spec Type2]]="N/A","N/A",IF(AND(Table1[[#This Row],[DUT Adj Read]]&gt;=Table1[[#This Row],[Low Tol]],Table1[[#This Row],[DUT Adj Read]]&lt;=Table1[[#This Row],[High Tol]]),"Pass","Fail"))</f>
        <v>Fail</v>
      </c>
      <c r="AD1935" s="1" t="str">
        <f>IF(AND(Table1[[#This Row],[Spec Type2]]="N/A",Table1[[#This Row],[DUT Adj Read]]="N/A",Table1[[#This Row],[Std Adj Read]]="N/A"),"N/A",IF(Table1[[#This Row],[DUT Adj Read]]="N/A",IF(Table1[[#This Row],[Std Adj Read]]&gt;Table1[[#This Row],[Low Tol]],"Pass","Fail"),IF(Table1[[#This Row],[DUT Adj Read]]&gt;Table1[[#This Row],[Low Tol]],"Pass","Fail")))</f>
        <v>Pass</v>
      </c>
      <c r="AE1935" s="1" t="str">
        <f>IF(AND(Table1[[#This Row],[Spec Type2]]="N/A",Table1[[#This Row],[DUT Adj Read]]="N/A",Table1[[#This Row],[Std Adj Read]]="N/A"),"N/A",IF(Table1[[#This Row],[DUT Adj Read]]="N/A",IF(Table1[[#This Row],[Std Adj Read]]&lt;Table1[[#This Row],[High Tol]],"Pass","Fail"),IF(Table1[[#This Row],[DUT Adj Read]]&lt;Table1[[#This Row],[High Tol]],"Pass","Fail")))</f>
        <v>Fail</v>
      </c>
      <c r="AF1935" s="1" t="str">
        <f>IF(AND(Table1[[#This Row],[Spec Type2]]="N/A",Table1[[#This Row],[DUT Adj Read]]="N/A",Table1[[#This Row],[Std Adj Read]]="N/A"),"N/A",IF(Table1[[#This Row],[DUT Adj Read]]="N/A",IF(Table1[[#This Row],[Std Adj Read]]&gt;=Table1[[#This Row],[Low Tol]],"Pass","Fail"),IF(Table1[[#This Row],[DUT Adj Read]]&gt;=Table1[[#This Row],[Low Tol]],"Pass","Fail")))</f>
        <v>Pass</v>
      </c>
      <c r="AG1935" s="1" t="str">
        <f>IF(AND(Table1[[#This Row],[Spec Type2]]="N/A",Table1[[#This Row],[DUT Adj Read]]="N/A",Table1[[#This Row],[Std Adj Read]]="N/A"),"N/A",IF(Table1[[#This Row],[DUT Adj Read]]="N/A",IF(Table1[[#This Row],[Std Adj Read]]&lt;=Table1[[#This Row],[High Tol]],"Pass","Fail"),IF(Table1[[#This Row],[DUT Adj Read]]&lt;=Table1[[#This Row],[High Tol]],"Pass","Fail")))</f>
        <v>Fail</v>
      </c>
      <c r="AH19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5" s="1" t="b">
        <v>0</v>
      </c>
      <c r="AN1935" s="1" t="b">
        <v>0</v>
      </c>
      <c r="AO1935" s="1" t="b">
        <v>0</v>
      </c>
    </row>
    <row r="1936" spans="1:41" x14ac:dyDescent="0.25">
      <c r="A1936" s="10"/>
      <c r="B1936" s="10"/>
      <c r="C1936" s="10"/>
      <c r="D1936" s="10"/>
      <c r="E1936" s="10"/>
      <c r="F1936" s="10"/>
      <c r="G1936" s="10"/>
      <c r="H1936" s="10"/>
      <c r="I1936" s="1" t="str">
        <f t="shared" si="90"/>
        <v/>
      </c>
      <c r="J1936" s="1" t="s">
        <v>35</v>
      </c>
      <c r="K1936" s="1" t="str">
        <f t="shared" si="91"/>
        <v/>
      </c>
      <c r="L1936" s="1" t="str">
        <f t="shared" si="92"/>
        <v/>
      </c>
      <c r="M1936" s="1">
        <f>IF(OR(Table1[[#This Row],[Std Nom]]="",Table1[[#This Row],[Std Read]]=""),0,Table1[[#This Row],[Std Nom]]-Table1[[#This Row],[Std Read]])</f>
        <v>0</v>
      </c>
      <c r="N1936" s="1">
        <f>IF(Calculations!$F$5="ACCREDITED 17025 WITH UNCERTAINTIES",$N$10,0)</f>
        <v>0</v>
      </c>
      <c r="Q1936" s="1">
        <f>Table1[[#This Row],[High Tol]]-Table1[[#This Row],[Low Tol]]</f>
        <v>0</v>
      </c>
      <c r="R1936" s="1">
        <f>2*Table1[[#This Row],[Std Error]]</f>
        <v>0</v>
      </c>
      <c r="S1936" s="1" t="str">
        <f>IF(Table1[[#This Row],[High Tol]]="","N/A",IFERROR(ABS(Table1[[#This Row],[Tol Span]]/Table1[[#This Row],[Error Span]]),"N/A"))</f>
        <v>N/A</v>
      </c>
      <c r="T1936" s="1" t="str">
        <f>IF(OR(Table1[[#This Row],[Low Tol]]="",Table1[[#This Row],[High Tol]]=""),"Needs Analysis",IF(Table1[[#This Row],[Ratio]]&gt;=4,"Not Significant",IF(Table1[[#This Row],[Ratio]]&gt;=2,"Semi-Significant","Significant")))</f>
        <v>Needs Analysis</v>
      </c>
      <c r="W1936" s="1">
        <f>IF(Table1[[#This Row],[Cal Type]]&lt;&gt;"ACCREDITED 17025 WITH UNCERTAINTIES",0,"")</f>
        <v>0</v>
      </c>
      <c r="X1936" s="1" t="str">
        <f>IF(Table1[[#This Row],[DUT Read]]="","N/A",Table1[[#This Row],[Std Error]]+Table1[[#This Row],[DUT Read]]+Table1[[#This Row],[DUT Ucty]])</f>
        <v>N/A</v>
      </c>
      <c r="Y1936" s="1" t="str">
        <f>IF(Table1[[#This Row],[Std Read]]="","N/A",Table1[[#This Row],[Std Read]]+Table1[[#This Row],[Std Ucty]])</f>
        <v>N/A</v>
      </c>
      <c r="Z19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6" s="1" t="str">
        <f>IF(Table1[[#This Row],[Spec Type]]="","N/A",Table1[[#This Row],[Spec Type]])</f>
        <v>±</v>
      </c>
      <c r="AC1936" s="1" t="str">
        <f>IF(Table1[[#This Row],[Spec Type2]]="N/A","N/A",IF(AND(Table1[[#This Row],[DUT Adj Read]]&gt;=Table1[[#This Row],[Low Tol]],Table1[[#This Row],[DUT Adj Read]]&lt;=Table1[[#This Row],[High Tol]]),"Pass","Fail"))</f>
        <v>Fail</v>
      </c>
      <c r="AD1936" s="1" t="str">
        <f>IF(AND(Table1[[#This Row],[Spec Type2]]="N/A",Table1[[#This Row],[DUT Adj Read]]="N/A",Table1[[#This Row],[Std Adj Read]]="N/A"),"N/A",IF(Table1[[#This Row],[DUT Adj Read]]="N/A",IF(Table1[[#This Row],[Std Adj Read]]&gt;Table1[[#This Row],[Low Tol]],"Pass","Fail"),IF(Table1[[#This Row],[DUT Adj Read]]&gt;Table1[[#This Row],[Low Tol]],"Pass","Fail")))</f>
        <v>Pass</v>
      </c>
      <c r="AE1936" s="1" t="str">
        <f>IF(AND(Table1[[#This Row],[Spec Type2]]="N/A",Table1[[#This Row],[DUT Adj Read]]="N/A",Table1[[#This Row],[Std Adj Read]]="N/A"),"N/A",IF(Table1[[#This Row],[DUT Adj Read]]="N/A",IF(Table1[[#This Row],[Std Adj Read]]&lt;Table1[[#This Row],[High Tol]],"Pass","Fail"),IF(Table1[[#This Row],[DUT Adj Read]]&lt;Table1[[#This Row],[High Tol]],"Pass","Fail")))</f>
        <v>Fail</v>
      </c>
      <c r="AF1936" s="1" t="str">
        <f>IF(AND(Table1[[#This Row],[Spec Type2]]="N/A",Table1[[#This Row],[DUT Adj Read]]="N/A",Table1[[#This Row],[Std Adj Read]]="N/A"),"N/A",IF(Table1[[#This Row],[DUT Adj Read]]="N/A",IF(Table1[[#This Row],[Std Adj Read]]&gt;=Table1[[#This Row],[Low Tol]],"Pass","Fail"),IF(Table1[[#This Row],[DUT Adj Read]]&gt;=Table1[[#This Row],[Low Tol]],"Pass","Fail")))</f>
        <v>Pass</v>
      </c>
      <c r="AG1936" s="1" t="str">
        <f>IF(AND(Table1[[#This Row],[Spec Type2]]="N/A",Table1[[#This Row],[DUT Adj Read]]="N/A",Table1[[#This Row],[Std Adj Read]]="N/A"),"N/A",IF(Table1[[#This Row],[DUT Adj Read]]="N/A",IF(Table1[[#This Row],[Std Adj Read]]&lt;=Table1[[#This Row],[High Tol]],"Pass","Fail"),IF(Table1[[#This Row],[DUT Adj Read]]&lt;=Table1[[#This Row],[High Tol]],"Pass","Fail")))</f>
        <v>Fail</v>
      </c>
      <c r="AH19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6" s="1" t="b">
        <v>0</v>
      </c>
      <c r="AN1936" s="1" t="b">
        <v>0</v>
      </c>
      <c r="AO1936" s="1" t="b">
        <v>0</v>
      </c>
    </row>
    <row r="1937" spans="1:41" x14ac:dyDescent="0.25">
      <c r="A1937" s="10"/>
      <c r="B1937" s="10"/>
      <c r="C1937" s="10"/>
      <c r="D1937" s="10"/>
      <c r="E1937" s="10"/>
      <c r="F1937" s="10"/>
      <c r="G1937" s="10"/>
      <c r="H1937" s="10"/>
      <c r="I1937" s="1" t="str">
        <f t="shared" si="90"/>
        <v/>
      </c>
      <c r="J1937" s="1" t="s">
        <v>35</v>
      </c>
      <c r="K1937" s="1" t="str">
        <f t="shared" si="91"/>
        <v/>
      </c>
      <c r="L1937" s="1" t="str">
        <f t="shared" si="92"/>
        <v/>
      </c>
      <c r="M1937" s="1">
        <f>IF(OR(Table1[[#This Row],[Std Nom]]="",Table1[[#This Row],[Std Read]]=""),0,Table1[[#This Row],[Std Nom]]-Table1[[#This Row],[Std Read]])</f>
        <v>0</v>
      </c>
      <c r="N1937" s="1">
        <f>IF(Calculations!$F$5="ACCREDITED 17025 WITH UNCERTAINTIES",$N$10,0)</f>
        <v>0</v>
      </c>
      <c r="Q1937" s="1">
        <f>Table1[[#This Row],[High Tol]]-Table1[[#This Row],[Low Tol]]</f>
        <v>0</v>
      </c>
      <c r="R1937" s="1">
        <f>2*Table1[[#This Row],[Std Error]]</f>
        <v>0</v>
      </c>
      <c r="S1937" s="1" t="str">
        <f>IF(Table1[[#This Row],[High Tol]]="","N/A",IFERROR(ABS(Table1[[#This Row],[Tol Span]]/Table1[[#This Row],[Error Span]]),"N/A"))</f>
        <v>N/A</v>
      </c>
      <c r="T1937" s="1" t="str">
        <f>IF(OR(Table1[[#This Row],[Low Tol]]="",Table1[[#This Row],[High Tol]]=""),"Needs Analysis",IF(Table1[[#This Row],[Ratio]]&gt;=4,"Not Significant",IF(Table1[[#This Row],[Ratio]]&gt;=2,"Semi-Significant","Significant")))</f>
        <v>Needs Analysis</v>
      </c>
      <c r="W1937" s="1">
        <f>IF(Table1[[#This Row],[Cal Type]]&lt;&gt;"ACCREDITED 17025 WITH UNCERTAINTIES",0,"")</f>
        <v>0</v>
      </c>
      <c r="X1937" s="1" t="str">
        <f>IF(Table1[[#This Row],[DUT Read]]="","N/A",Table1[[#This Row],[Std Error]]+Table1[[#This Row],[DUT Read]]+Table1[[#This Row],[DUT Ucty]])</f>
        <v>N/A</v>
      </c>
      <c r="Y1937" s="1" t="str">
        <f>IF(Table1[[#This Row],[Std Read]]="","N/A",Table1[[#This Row],[Std Read]]+Table1[[#This Row],[Std Ucty]])</f>
        <v>N/A</v>
      </c>
      <c r="Z19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7" s="1" t="str">
        <f>IF(Table1[[#This Row],[Spec Type]]="","N/A",Table1[[#This Row],[Spec Type]])</f>
        <v>±</v>
      </c>
      <c r="AC1937" s="1" t="str">
        <f>IF(Table1[[#This Row],[Spec Type2]]="N/A","N/A",IF(AND(Table1[[#This Row],[DUT Adj Read]]&gt;=Table1[[#This Row],[Low Tol]],Table1[[#This Row],[DUT Adj Read]]&lt;=Table1[[#This Row],[High Tol]]),"Pass","Fail"))</f>
        <v>Fail</v>
      </c>
      <c r="AD1937" s="1" t="str">
        <f>IF(AND(Table1[[#This Row],[Spec Type2]]="N/A",Table1[[#This Row],[DUT Adj Read]]="N/A",Table1[[#This Row],[Std Adj Read]]="N/A"),"N/A",IF(Table1[[#This Row],[DUT Adj Read]]="N/A",IF(Table1[[#This Row],[Std Adj Read]]&gt;Table1[[#This Row],[Low Tol]],"Pass","Fail"),IF(Table1[[#This Row],[DUT Adj Read]]&gt;Table1[[#This Row],[Low Tol]],"Pass","Fail")))</f>
        <v>Pass</v>
      </c>
      <c r="AE1937" s="1" t="str">
        <f>IF(AND(Table1[[#This Row],[Spec Type2]]="N/A",Table1[[#This Row],[DUT Adj Read]]="N/A",Table1[[#This Row],[Std Adj Read]]="N/A"),"N/A",IF(Table1[[#This Row],[DUT Adj Read]]="N/A",IF(Table1[[#This Row],[Std Adj Read]]&lt;Table1[[#This Row],[High Tol]],"Pass","Fail"),IF(Table1[[#This Row],[DUT Adj Read]]&lt;Table1[[#This Row],[High Tol]],"Pass","Fail")))</f>
        <v>Fail</v>
      </c>
      <c r="AF1937" s="1" t="str">
        <f>IF(AND(Table1[[#This Row],[Spec Type2]]="N/A",Table1[[#This Row],[DUT Adj Read]]="N/A",Table1[[#This Row],[Std Adj Read]]="N/A"),"N/A",IF(Table1[[#This Row],[DUT Adj Read]]="N/A",IF(Table1[[#This Row],[Std Adj Read]]&gt;=Table1[[#This Row],[Low Tol]],"Pass","Fail"),IF(Table1[[#This Row],[DUT Adj Read]]&gt;=Table1[[#This Row],[Low Tol]],"Pass","Fail")))</f>
        <v>Pass</v>
      </c>
      <c r="AG1937" s="1" t="str">
        <f>IF(AND(Table1[[#This Row],[Spec Type2]]="N/A",Table1[[#This Row],[DUT Adj Read]]="N/A",Table1[[#This Row],[Std Adj Read]]="N/A"),"N/A",IF(Table1[[#This Row],[DUT Adj Read]]="N/A",IF(Table1[[#This Row],[Std Adj Read]]&lt;=Table1[[#This Row],[High Tol]],"Pass","Fail"),IF(Table1[[#This Row],[DUT Adj Read]]&lt;=Table1[[#This Row],[High Tol]],"Pass","Fail")))</f>
        <v>Fail</v>
      </c>
      <c r="AH19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7" s="1" t="b">
        <v>0</v>
      </c>
      <c r="AN1937" s="1" t="b">
        <v>0</v>
      </c>
      <c r="AO1937" s="1" t="b">
        <v>0</v>
      </c>
    </row>
    <row r="1938" spans="1:41" x14ac:dyDescent="0.25">
      <c r="A1938" s="10"/>
      <c r="B1938" s="10"/>
      <c r="C1938" s="10"/>
      <c r="D1938" s="10"/>
      <c r="E1938" s="10"/>
      <c r="F1938" s="10"/>
      <c r="G1938" s="10"/>
      <c r="H1938" s="10"/>
      <c r="I1938" s="1" t="str">
        <f t="shared" si="90"/>
        <v/>
      </c>
      <c r="J1938" s="1" t="s">
        <v>35</v>
      </c>
      <c r="K1938" s="1" t="str">
        <f t="shared" si="91"/>
        <v/>
      </c>
      <c r="L1938" s="1" t="str">
        <f t="shared" si="92"/>
        <v/>
      </c>
      <c r="M1938" s="1">
        <f>IF(OR(Table1[[#This Row],[Std Nom]]="",Table1[[#This Row],[Std Read]]=""),0,Table1[[#This Row],[Std Nom]]-Table1[[#This Row],[Std Read]])</f>
        <v>0</v>
      </c>
      <c r="N1938" s="1">
        <f>IF(Calculations!$F$5="ACCREDITED 17025 WITH UNCERTAINTIES",$N$10,0)</f>
        <v>0</v>
      </c>
      <c r="Q1938" s="1">
        <f>Table1[[#This Row],[High Tol]]-Table1[[#This Row],[Low Tol]]</f>
        <v>0</v>
      </c>
      <c r="R1938" s="1">
        <f>2*Table1[[#This Row],[Std Error]]</f>
        <v>0</v>
      </c>
      <c r="S1938" s="1" t="str">
        <f>IF(Table1[[#This Row],[High Tol]]="","N/A",IFERROR(ABS(Table1[[#This Row],[Tol Span]]/Table1[[#This Row],[Error Span]]),"N/A"))</f>
        <v>N/A</v>
      </c>
      <c r="T1938" s="1" t="str">
        <f>IF(OR(Table1[[#This Row],[Low Tol]]="",Table1[[#This Row],[High Tol]]=""),"Needs Analysis",IF(Table1[[#This Row],[Ratio]]&gt;=4,"Not Significant",IF(Table1[[#This Row],[Ratio]]&gt;=2,"Semi-Significant","Significant")))</f>
        <v>Needs Analysis</v>
      </c>
      <c r="W1938" s="1">
        <f>IF(Table1[[#This Row],[Cal Type]]&lt;&gt;"ACCREDITED 17025 WITH UNCERTAINTIES",0,"")</f>
        <v>0</v>
      </c>
      <c r="X1938" s="1" t="str">
        <f>IF(Table1[[#This Row],[DUT Read]]="","N/A",Table1[[#This Row],[Std Error]]+Table1[[#This Row],[DUT Read]]+Table1[[#This Row],[DUT Ucty]])</f>
        <v>N/A</v>
      </c>
      <c r="Y1938" s="1" t="str">
        <f>IF(Table1[[#This Row],[Std Read]]="","N/A",Table1[[#This Row],[Std Read]]+Table1[[#This Row],[Std Ucty]])</f>
        <v>N/A</v>
      </c>
      <c r="Z19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8" s="1" t="str">
        <f>IF(Table1[[#This Row],[Spec Type]]="","N/A",Table1[[#This Row],[Spec Type]])</f>
        <v>±</v>
      </c>
      <c r="AC1938" s="1" t="str">
        <f>IF(Table1[[#This Row],[Spec Type2]]="N/A","N/A",IF(AND(Table1[[#This Row],[DUT Adj Read]]&gt;=Table1[[#This Row],[Low Tol]],Table1[[#This Row],[DUT Adj Read]]&lt;=Table1[[#This Row],[High Tol]]),"Pass","Fail"))</f>
        <v>Fail</v>
      </c>
      <c r="AD1938" s="1" t="str">
        <f>IF(AND(Table1[[#This Row],[Spec Type2]]="N/A",Table1[[#This Row],[DUT Adj Read]]="N/A",Table1[[#This Row],[Std Adj Read]]="N/A"),"N/A",IF(Table1[[#This Row],[DUT Adj Read]]="N/A",IF(Table1[[#This Row],[Std Adj Read]]&gt;Table1[[#This Row],[Low Tol]],"Pass","Fail"),IF(Table1[[#This Row],[DUT Adj Read]]&gt;Table1[[#This Row],[Low Tol]],"Pass","Fail")))</f>
        <v>Pass</v>
      </c>
      <c r="AE1938" s="1" t="str">
        <f>IF(AND(Table1[[#This Row],[Spec Type2]]="N/A",Table1[[#This Row],[DUT Adj Read]]="N/A",Table1[[#This Row],[Std Adj Read]]="N/A"),"N/A",IF(Table1[[#This Row],[DUT Adj Read]]="N/A",IF(Table1[[#This Row],[Std Adj Read]]&lt;Table1[[#This Row],[High Tol]],"Pass","Fail"),IF(Table1[[#This Row],[DUT Adj Read]]&lt;Table1[[#This Row],[High Tol]],"Pass","Fail")))</f>
        <v>Fail</v>
      </c>
      <c r="AF1938" s="1" t="str">
        <f>IF(AND(Table1[[#This Row],[Spec Type2]]="N/A",Table1[[#This Row],[DUT Adj Read]]="N/A",Table1[[#This Row],[Std Adj Read]]="N/A"),"N/A",IF(Table1[[#This Row],[DUT Adj Read]]="N/A",IF(Table1[[#This Row],[Std Adj Read]]&gt;=Table1[[#This Row],[Low Tol]],"Pass","Fail"),IF(Table1[[#This Row],[DUT Adj Read]]&gt;=Table1[[#This Row],[Low Tol]],"Pass","Fail")))</f>
        <v>Pass</v>
      </c>
      <c r="AG1938" s="1" t="str">
        <f>IF(AND(Table1[[#This Row],[Spec Type2]]="N/A",Table1[[#This Row],[DUT Adj Read]]="N/A",Table1[[#This Row],[Std Adj Read]]="N/A"),"N/A",IF(Table1[[#This Row],[DUT Adj Read]]="N/A",IF(Table1[[#This Row],[Std Adj Read]]&lt;=Table1[[#This Row],[High Tol]],"Pass","Fail"),IF(Table1[[#This Row],[DUT Adj Read]]&lt;=Table1[[#This Row],[High Tol]],"Pass","Fail")))</f>
        <v>Fail</v>
      </c>
      <c r="AH19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8" s="1" t="b">
        <v>0</v>
      </c>
      <c r="AN1938" s="1" t="b">
        <v>0</v>
      </c>
      <c r="AO1938" s="1" t="b">
        <v>0</v>
      </c>
    </row>
    <row r="1939" spans="1:41" x14ac:dyDescent="0.25">
      <c r="A1939" s="10"/>
      <c r="B1939" s="10"/>
      <c r="C1939" s="10"/>
      <c r="D1939" s="10"/>
      <c r="E1939" s="10"/>
      <c r="F1939" s="10"/>
      <c r="G1939" s="10"/>
      <c r="H1939" s="10"/>
      <c r="I1939" s="1" t="str">
        <f t="shared" si="90"/>
        <v/>
      </c>
      <c r="J1939" s="1" t="s">
        <v>35</v>
      </c>
      <c r="K1939" s="1" t="str">
        <f t="shared" si="91"/>
        <v/>
      </c>
      <c r="L1939" s="1" t="str">
        <f t="shared" si="92"/>
        <v/>
      </c>
      <c r="M1939" s="1">
        <f>IF(OR(Table1[[#This Row],[Std Nom]]="",Table1[[#This Row],[Std Read]]=""),0,Table1[[#This Row],[Std Nom]]-Table1[[#This Row],[Std Read]])</f>
        <v>0</v>
      </c>
      <c r="N1939" s="1">
        <f>IF(Calculations!$F$5="ACCREDITED 17025 WITH UNCERTAINTIES",$N$10,0)</f>
        <v>0</v>
      </c>
      <c r="Q1939" s="1">
        <f>Table1[[#This Row],[High Tol]]-Table1[[#This Row],[Low Tol]]</f>
        <v>0</v>
      </c>
      <c r="R1939" s="1">
        <f>2*Table1[[#This Row],[Std Error]]</f>
        <v>0</v>
      </c>
      <c r="S1939" s="1" t="str">
        <f>IF(Table1[[#This Row],[High Tol]]="","N/A",IFERROR(ABS(Table1[[#This Row],[Tol Span]]/Table1[[#This Row],[Error Span]]),"N/A"))</f>
        <v>N/A</v>
      </c>
      <c r="T1939" s="1" t="str">
        <f>IF(OR(Table1[[#This Row],[Low Tol]]="",Table1[[#This Row],[High Tol]]=""),"Needs Analysis",IF(Table1[[#This Row],[Ratio]]&gt;=4,"Not Significant",IF(Table1[[#This Row],[Ratio]]&gt;=2,"Semi-Significant","Significant")))</f>
        <v>Needs Analysis</v>
      </c>
      <c r="W1939" s="1">
        <f>IF(Table1[[#This Row],[Cal Type]]&lt;&gt;"ACCREDITED 17025 WITH UNCERTAINTIES",0,"")</f>
        <v>0</v>
      </c>
      <c r="X1939" s="1" t="str">
        <f>IF(Table1[[#This Row],[DUT Read]]="","N/A",Table1[[#This Row],[Std Error]]+Table1[[#This Row],[DUT Read]]+Table1[[#This Row],[DUT Ucty]])</f>
        <v>N/A</v>
      </c>
      <c r="Y1939" s="1" t="str">
        <f>IF(Table1[[#This Row],[Std Read]]="","N/A",Table1[[#This Row],[Std Read]]+Table1[[#This Row],[Std Ucty]])</f>
        <v>N/A</v>
      </c>
      <c r="Z19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39" s="1" t="str">
        <f>IF(Table1[[#This Row],[Spec Type]]="","N/A",Table1[[#This Row],[Spec Type]])</f>
        <v>±</v>
      </c>
      <c r="AC1939" s="1" t="str">
        <f>IF(Table1[[#This Row],[Spec Type2]]="N/A","N/A",IF(AND(Table1[[#This Row],[DUT Adj Read]]&gt;=Table1[[#This Row],[Low Tol]],Table1[[#This Row],[DUT Adj Read]]&lt;=Table1[[#This Row],[High Tol]]),"Pass","Fail"))</f>
        <v>Fail</v>
      </c>
      <c r="AD1939" s="1" t="str">
        <f>IF(AND(Table1[[#This Row],[Spec Type2]]="N/A",Table1[[#This Row],[DUT Adj Read]]="N/A",Table1[[#This Row],[Std Adj Read]]="N/A"),"N/A",IF(Table1[[#This Row],[DUT Adj Read]]="N/A",IF(Table1[[#This Row],[Std Adj Read]]&gt;Table1[[#This Row],[Low Tol]],"Pass","Fail"),IF(Table1[[#This Row],[DUT Adj Read]]&gt;Table1[[#This Row],[Low Tol]],"Pass","Fail")))</f>
        <v>Pass</v>
      </c>
      <c r="AE1939" s="1" t="str">
        <f>IF(AND(Table1[[#This Row],[Spec Type2]]="N/A",Table1[[#This Row],[DUT Adj Read]]="N/A",Table1[[#This Row],[Std Adj Read]]="N/A"),"N/A",IF(Table1[[#This Row],[DUT Adj Read]]="N/A",IF(Table1[[#This Row],[Std Adj Read]]&lt;Table1[[#This Row],[High Tol]],"Pass","Fail"),IF(Table1[[#This Row],[DUT Adj Read]]&lt;Table1[[#This Row],[High Tol]],"Pass","Fail")))</f>
        <v>Fail</v>
      </c>
      <c r="AF1939" s="1" t="str">
        <f>IF(AND(Table1[[#This Row],[Spec Type2]]="N/A",Table1[[#This Row],[DUT Adj Read]]="N/A",Table1[[#This Row],[Std Adj Read]]="N/A"),"N/A",IF(Table1[[#This Row],[DUT Adj Read]]="N/A",IF(Table1[[#This Row],[Std Adj Read]]&gt;=Table1[[#This Row],[Low Tol]],"Pass","Fail"),IF(Table1[[#This Row],[DUT Adj Read]]&gt;=Table1[[#This Row],[Low Tol]],"Pass","Fail")))</f>
        <v>Pass</v>
      </c>
      <c r="AG1939" s="1" t="str">
        <f>IF(AND(Table1[[#This Row],[Spec Type2]]="N/A",Table1[[#This Row],[DUT Adj Read]]="N/A",Table1[[#This Row],[Std Adj Read]]="N/A"),"N/A",IF(Table1[[#This Row],[DUT Adj Read]]="N/A",IF(Table1[[#This Row],[Std Adj Read]]&lt;=Table1[[#This Row],[High Tol]],"Pass","Fail"),IF(Table1[[#This Row],[DUT Adj Read]]&lt;=Table1[[#This Row],[High Tol]],"Pass","Fail")))</f>
        <v>Fail</v>
      </c>
      <c r="AH19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39" s="1" t="b">
        <v>0</v>
      </c>
      <c r="AN1939" s="1" t="b">
        <v>0</v>
      </c>
      <c r="AO1939" s="1" t="b">
        <v>0</v>
      </c>
    </row>
    <row r="1940" spans="1:41" x14ac:dyDescent="0.25">
      <c r="A1940" s="10"/>
      <c r="B1940" s="10"/>
      <c r="C1940" s="10"/>
      <c r="D1940" s="10"/>
      <c r="E1940" s="10"/>
      <c r="F1940" s="10"/>
      <c r="G1940" s="10"/>
      <c r="H1940" s="10"/>
      <c r="I1940" s="1" t="str">
        <f t="shared" si="90"/>
        <v/>
      </c>
      <c r="J1940" s="1" t="s">
        <v>35</v>
      </c>
      <c r="K1940" s="1" t="str">
        <f t="shared" si="91"/>
        <v/>
      </c>
      <c r="L1940" s="1" t="str">
        <f t="shared" si="92"/>
        <v/>
      </c>
      <c r="M1940" s="1">
        <f>IF(OR(Table1[[#This Row],[Std Nom]]="",Table1[[#This Row],[Std Read]]=""),0,Table1[[#This Row],[Std Nom]]-Table1[[#This Row],[Std Read]])</f>
        <v>0</v>
      </c>
      <c r="N1940" s="1">
        <f>IF(Calculations!$F$5="ACCREDITED 17025 WITH UNCERTAINTIES",$N$10,0)</f>
        <v>0</v>
      </c>
      <c r="Q1940" s="1">
        <f>Table1[[#This Row],[High Tol]]-Table1[[#This Row],[Low Tol]]</f>
        <v>0</v>
      </c>
      <c r="R1940" s="1">
        <f>2*Table1[[#This Row],[Std Error]]</f>
        <v>0</v>
      </c>
      <c r="S1940" s="1" t="str">
        <f>IF(Table1[[#This Row],[High Tol]]="","N/A",IFERROR(ABS(Table1[[#This Row],[Tol Span]]/Table1[[#This Row],[Error Span]]),"N/A"))</f>
        <v>N/A</v>
      </c>
      <c r="T1940" s="1" t="str">
        <f>IF(OR(Table1[[#This Row],[Low Tol]]="",Table1[[#This Row],[High Tol]]=""),"Needs Analysis",IF(Table1[[#This Row],[Ratio]]&gt;=4,"Not Significant",IF(Table1[[#This Row],[Ratio]]&gt;=2,"Semi-Significant","Significant")))</f>
        <v>Needs Analysis</v>
      </c>
      <c r="W1940" s="1">
        <f>IF(Table1[[#This Row],[Cal Type]]&lt;&gt;"ACCREDITED 17025 WITH UNCERTAINTIES",0,"")</f>
        <v>0</v>
      </c>
      <c r="X1940" s="1" t="str">
        <f>IF(Table1[[#This Row],[DUT Read]]="","N/A",Table1[[#This Row],[Std Error]]+Table1[[#This Row],[DUT Read]]+Table1[[#This Row],[DUT Ucty]])</f>
        <v>N/A</v>
      </c>
      <c r="Y1940" s="1" t="str">
        <f>IF(Table1[[#This Row],[Std Read]]="","N/A",Table1[[#This Row],[Std Read]]+Table1[[#This Row],[Std Ucty]])</f>
        <v>N/A</v>
      </c>
      <c r="Z19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0" s="1" t="str">
        <f>IF(Table1[[#This Row],[Spec Type]]="","N/A",Table1[[#This Row],[Spec Type]])</f>
        <v>±</v>
      </c>
      <c r="AC1940" s="1" t="str">
        <f>IF(Table1[[#This Row],[Spec Type2]]="N/A","N/A",IF(AND(Table1[[#This Row],[DUT Adj Read]]&gt;=Table1[[#This Row],[Low Tol]],Table1[[#This Row],[DUT Adj Read]]&lt;=Table1[[#This Row],[High Tol]]),"Pass","Fail"))</f>
        <v>Fail</v>
      </c>
      <c r="AD1940" s="1" t="str">
        <f>IF(AND(Table1[[#This Row],[Spec Type2]]="N/A",Table1[[#This Row],[DUT Adj Read]]="N/A",Table1[[#This Row],[Std Adj Read]]="N/A"),"N/A",IF(Table1[[#This Row],[DUT Adj Read]]="N/A",IF(Table1[[#This Row],[Std Adj Read]]&gt;Table1[[#This Row],[Low Tol]],"Pass","Fail"),IF(Table1[[#This Row],[DUT Adj Read]]&gt;Table1[[#This Row],[Low Tol]],"Pass","Fail")))</f>
        <v>Pass</v>
      </c>
      <c r="AE1940" s="1" t="str">
        <f>IF(AND(Table1[[#This Row],[Spec Type2]]="N/A",Table1[[#This Row],[DUT Adj Read]]="N/A",Table1[[#This Row],[Std Adj Read]]="N/A"),"N/A",IF(Table1[[#This Row],[DUT Adj Read]]="N/A",IF(Table1[[#This Row],[Std Adj Read]]&lt;Table1[[#This Row],[High Tol]],"Pass","Fail"),IF(Table1[[#This Row],[DUT Adj Read]]&lt;Table1[[#This Row],[High Tol]],"Pass","Fail")))</f>
        <v>Fail</v>
      </c>
      <c r="AF1940" s="1" t="str">
        <f>IF(AND(Table1[[#This Row],[Spec Type2]]="N/A",Table1[[#This Row],[DUT Adj Read]]="N/A",Table1[[#This Row],[Std Adj Read]]="N/A"),"N/A",IF(Table1[[#This Row],[DUT Adj Read]]="N/A",IF(Table1[[#This Row],[Std Adj Read]]&gt;=Table1[[#This Row],[Low Tol]],"Pass","Fail"),IF(Table1[[#This Row],[DUT Adj Read]]&gt;=Table1[[#This Row],[Low Tol]],"Pass","Fail")))</f>
        <v>Pass</v>
      </c>
      <c r="AG1940" s="1" t="str">
        <f>IF(AND(Table1[[#This Row],[Spec Type2]]="N/A",Table1[[#This Row],[DUT Adj Read]]="N/A",Table1[[#This Row],[Std Adj Read]]="N/A"),"N/A",IF(Table1[[#This Row],[DUT Adj Read]]="N/A",IF(Table1[[#This Row],[Std Adj Read]]&lt;=Table1[[#This Row],[High Tol]],"Pass","Fail"),IF(Table1[[#This Row],[DUT Adj Read]]&lt;=Table1[[#This Row],[High Tol]],"Pass","Fail")))</f>
        <v>Fail</v>
      </c>
      <c r="AH19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0" s="1" t="b">
        <v>0</v>
      </c>
      <c r="AN1940" s="1" t="b">
        <v>0</v>
      </c>
      <c r="AO1940" s="1" t="b">
        <v>0</v>
      </c>
    </row>
    <row r="1941" spans="1:41" x14ac:dyDescent="0.25">
      <c r="A1941" s="10"/>
      <c r="B1941" s="10"/>
      <c r="C1941" s="10"/>
      <c r="D1941" s="10"/>
      <c r="E1941" s="10"/>
      <c r="F1941" s="10"/>
      <c r="G1941" s="10"/>
      <c r="H1941" s="10"/>
      <c r="I1941" s="1" t="str">
        <f t="shared" si="90"/>
        <v/>
      </c>
      <c r="J1941" s="1" t="s">
        <v>35</v>
      </c>
      <c r="K1941" s="1" t="str">
        <f t="shared" si="91"/>
        <v/>
      </c>
      <c r="L1941" s="1" t="str">
        <f t="shared" si="92"/>
        <v/>
      </c>
      <c r="M1941" s="1">
        <f>IF(OR(Table1[[#This Row],[Std Nom]]="",Table1[[#This Row],[Std Read]]=""),0,Table1[[#This Row],[Std Nom]]-Table1[[#This Row],[Std Read]])</f>
        <v>0</v>
      </c>
      <c r="N1941" s="1">
        <f>IF(Calculations!$F$5="ACCREDITED 17025 WITH UNCERTAINTIES",$N$10,0)</f>
        <v>0</v>
      </c>
      <c r="Q1941" s="1">
        <f>Table1[[#This Row],[High Tol]]-Table1[[#This Row],[Low Tol]]</f>
        <v>0</v>
      </c>
      <c r="R1941" s="1">
        <f>2*Table1[[#This Row],[Std Error]]</f>
        <v>0</v>
      </c>
      <c r="S1941" s="1" t="str">
        <f>IF(Table1[[#This Row],[High Tol]]="","N/A",IFERROR(ABS(Table1[[#This Row],[Tol Span]]/Table1[[#This Row],[Error Span]]),"N/A"))</f>
        <v>N/A</v>
      </c>
      <c r="T1941" s="1" t="str">
        <f>IF(OR(Table1[[#This Row],[Low Tol]]="",Table1[[#This Row],[High Tol]]=""),"Needs Analysis",IF(Table1[[#This Row],[Ratio]]&gt;=4,"Not Significant",IF(Table1[[#This Row],[Ratio]]&gt;=2,"Semi-Significant","Significant")))</f>
        <v>Needs Analysis</v>
      </c>
      <c r="W1941" s="1">
        <f>IF(Table1[[#This Row],[Cal Type]]&lt;&gt;"ACCREDITED 17025 WITH UNCERTAINTIES",0,"")</f>
        <v>0</v>
      </c>
      <c r="X1941" s="1" t="str">
        <f>IF(Table1[[#This Row],[DUT Read]]="","N/A",Table1[[#This Row],[Std Error]]+Table1[[#This Row],[DUT Read]]+Table1[[#This Row],[DUT Ucty]])</f>
        <v>N/A</v>
      </c>
      <c r="Y1941" s="1" t="str">
        <f>IF(Table1[[#This Row],[Std Read]]="","N/A",Table1[[#This Row],[Std Read]]+Table1[[#This Row],[Std Ucty]])</f>
        <v>N/A</v>
      </c>
      <c r="Z19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1" s="1" t="str">
        <f>IF(Table1[[#This Row],[Spec Type]]="","N/A",Table1[[#This Row],[Spec Type]])</f>
        <v>±</v>
      </c>
      <c r="AC1941" s="1" t="str">
        <f>IF(Table1[[#This Row],[Spec Type2]]="N/A","N/A",IF(AND(Table1[[#This Row],[DUT Adj Read]]&gt;=Table1[[#This Row],[Low Tol]],Table1[[#This Row],[DUT Adj Read]]&lt;=Table1[[#This Row],[High Tol]]),"Pass","Fail"))</f>
        <v>Fail</v>
      </c>
      <c r="AD1941" s="1" t="str">
        <f>IF(AND(Table1[[#This Row],[Spec Type2]]="N/A",Table1[[#This Row],[DUT Adj Read]]="N/A",Table1[[#This Row],[Std Adj Read]]="N/A"),"N/A",IF(Table1[[#This Row],[DUT Adj Read]]="N/A",IF(Table1[[#This Row],[Std Adj Read]]&gt;Table1[[#This Row],[Low Tol]],"Pass","Fail"),IF(Table1[[#This Row],[DUT Adj Read]]&gt;Table1[[#This Row],[Low Tol]],"Pass","Fail")))</f>
        <v>Pass</v>
      </c>
      <c r="AE1941" s="1" t="str">
        <f>IF(AND(Table1[[#This Row],[Spec Type2]]="N/A",Table1[[#This Row],[DUT Adj Read]]="N/A",Table1[[#This Row],[Std Adj Read]]="N/A"),"N/A",IF(Table1[[#This Row],[DUT Adj Read]]="N/A",IF(Table1[[#This Row],[Std Adj Read]]&lt;Table1[[#This Row],[High Tol]],"Pass","Fail"),IF(Table1[[#This Row],[DUT Adj Read]]&lt;Table1[[#This Row],[High Tol]],"Pass","Fail")))</f>
        <v>Fail</v>
      </c>
      <c r="AF1941" s="1" t="str">
        <f>IF(AND(Table1[[#This Row],[Spec Type2]]="N/A",Table1[[#This Row],[DUT Adj Read]]="N/A",Table1[[#This Row],[Std Adj Read]]="N/A"),"N/A",IF(Table1[[#This Row],[DUT Adj Read]]="N/A",IF(Table1[[#This Row],[Std Adj Read]]&gt;=Table1[[#This Row],[Low Tol]],"Pass","Fail"),IF(Table1[[#This Row],[DUT Adj Read]]&gt;=Table1[[#This Row],[Low Tol]],"Pass","Fail")))</f>
        <v>Pass</v>
      </c>
      <c r="AG1941" s="1" t="str">
        <f>IF(AND(Table1[[#This Row],[Spec Type2]]="N/A",Table1[[#This Row],[DUT Adj Read]]="N/A",Table1[[#This Row],[Std Adj Read]]="N/A"),"N/A",IF(Table1[[#This Row],[DUT Adj Read]]="N/A",IF(Table1[[#This Row],[Std Adj Read]]&lt;=Table1[[#This Row],[High Tol]],"Pass","Fail"),IF(Table1[[#This Row],[DUT Adj Read]]&lt;=Table1[[#This Row],[High Tol]],"Pass","Fail")))</f>
        <v>Fail</v>
      </c>
      <c r="AH19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1" s="1" t="b">
        <v>0</v>
      </c>
      <c r="AN1941" s="1" t="b">
        <v>0</v>
      </c>
      <c r="AO1941" s="1" t="b">
        <v>0</v>
      </c>
    </row>
    <row r="1942" spans="1:41" x14ac:dyDescent="0.25">
      <c r="A1942" s="10"/>
      <c r="B1942" s="10"/>
      <c r="C1942" s="10"/>
      <c r="D1942" s="10"/>
      <c r="E1942" s="10"/>
      <c r="F1942" s="10"/>
      <c r="G1942" s="10"/>
      <c r="H1942" s="10"/>
      <c r="I1942" s="1" t="str">
        <f t="shared" si="90"/>
        <v/>
      </c>
      <c r="J1942" s="1" t="s">
        <v>35</v>
      </c>
      <c r="K1942" s="1" t="str">
        <f t="shared" si="91"/>
        <v/>
      </c>
      <c r="L1942" s="1" t="str">
        <f t="shared" si="92"/>
        <v/>
      </c>
      <c r="M1942" s="1">
        <f>IF(OR(Table1[[#This Row],[Std Nom]]="",Table1[[#This Row],[Std Read]]=""),0,Table1[[#This Row],[Std Nom]]-Table1[[#This Row],[Std Read]])</f>
        <v>0</v>
      </c>
      <c r="N1942" s="1">
        <f>IF(Calculations!$F$5="ACCREDITED 17025 WITH UNCERTAINTIES",$N$10,0)</f>
        <v>0</v>
      </c>
      <c r="Q1942" s="1">
        <f>Table1[[#This Row],[High Tol]]-Table1[[#This Row],[Low Tol]]</f>
        <v>0</v>
      </c>
      <c r="R1942" s="1">
        <f>2*Table1[[#This Row],[Std Error]]</f>
        <v>0</v>
      </c>
      <c r="S1942" s="1" t="str">
        <f>IF(Table1[[#This Row],[High Tol]]="","N/A",IFERROR(ABS(Table1[[#This Row],[Tol Span]]/Table1[[#This Row],[Error Span]]),"N/A"))</f>
        <v>N/A</v>
      </c>
      <c r="T1942" s="1" t="str">
        <f>IF(OR(Table1[[#This Row],[Low Tol]]="",Table1[[#This Row],[High Tol]]=""),"Needs Analysis",IF(Table1[[#This Row],[Ratio]]&gt;=4,"Not Significant",IF(Table1[[#This Row],[Ratio]]&gt;=2,"Semi-Significant","Significant")))</f>
        <v>Needs Analysis</v>
      </c>
      <c r="W1942" s="1">
        <f>IF(Table1[[#This Row],[Cal Type]]&lt;&gt;"ACCREDITED 17025 WITH UNCERTAINTIES",0,"")</f>
        <v>0</v>
      </c>
      <c r="X1942" s="1" t="str">
        <f>IF(Table1[[#This Row],[DUT Read]]="","N/A",Table1[[#This Row],[Std Error]]+Table1[[#This Row],[DUT Read]]+Table1[[#This Row],[DUT Ucty]])</f>
        <v>N/A</v>
      </c>
      <c r="Y1942" s="1" t="str">
        <f>IF(Table1[[#This Row],[Std Read]]="","N/A",Table1[[#This Row],[Std Read]]+Table1[[#This Row],[Std Ucty]])</f>
        <v>N/A</v>
      </c>
      <c r="Z19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2" s="1" t="str">
        <f>IF(Table1[[#This Row],[Spec Type]]="","N/A",Table1[[#This Row],[Spec Type]])</f>
        <v>±</v>
      </c>
      <c r="AC1942" s="1" t="str">
        <f>IF(Table1[[#This Row],[Spec Type2]]="N/A","N/A",IF(AND(Table1[[#This Row],[DUT Adj Read]]&gt;=Table1[[#This Row],[Low Tol]],Table1[[#This Row],[DUT Adj Read]]&lt;=Table1[[#This Row],[High Tol]]),"Pass","Fail"))</f>
        <v>Fail</v>
      </c>
      <c r="AD1942" s="1" t="str">
        <f>IF(AND(Table1[[#This Row],[Spec Type2]]="N/A",Table1[[#This Row],[DUT Adj Read]]="N/A",Table1[[#This Row],[Std Adj Read]]="N/A"),"N/A",IF(Table1[[#This Row],[DUT Adj Read]]="N/A",IF(Table1[[#This Row],[Std Adj Read]]&gt;Table1[[#This Row],[Low Tol]],"Pass","Fail"),IF(Table1[[#This Row],[DUT Adj Read]]&gt;Table1[[#This Row],[Low Tol]],"Pass","Fail")))</f>
        <v>Pass</v>
      </c>
      <c r="AE1942" s="1" t="str">
        <f>IF(AND(Table1[[#This Row],[Spec Type2]]="N/A",Table1[[#This Row],[DUT Adj Read]]="N/A",Table1[[#This Row],[Std Adj Read]]="N/A"),"N/A",IF(Table1[[#This Row],[DUT Adj Read]]="N/A",IF(Table1[[#This Row],[Std Adj Read]]&lt;Table1[[#This Row],[High Tol]],"Pass","Fail"),IF(Table1[[#This Row],[DUT Adj Read]]&lt;Table1[[#This Row],[High Tol]],"Pass","Fail")))</f>
        <v>Fail</v>
      </c>
      <c r="AF1942" s="1" t="str">
        <f>IF(AND(Table1[[#This Row],[Spec Type2]]="N/A",Table1[[#This Row],[DUT Adj Read]]="N/A",Table1[[#This Row],[Std Adj Read]]="N/A"),"N/A",IF(Table1[[#This Row],[DUT Adj Read]]="N/A",IF(Table1[[#This Row],[Std Adj Read]]&gt;=Table1[[#This Row],[Low Tol]],"Pass","Fail"),IF(Table1[[#This Row],[DUT Adj Read]]&gt;=Table1[[#This Row],[Low Tol]],"Pass","Fail")))</f>
        <v>Pass</v>
      </c>
      <c r="AG1942" s="1" t="str">
        <f>IF(AND(Table1[[#This Row],[Spec Type2]]="N/A",Table1[[#This Row],[DUT Adj Read]]="N/A",Table1[[#This Row],[Std Adj Read]]="N/A"),"N/A",IF(Table1[[#This Row],[DUT Adj Read]]="N/A",IF(Table1[[#This Row],[Std Adj Read]]&lt;=Table1[[#This Row],[High Tol]],"Pass","Fail"),IF(Table1[[#This Row],[DUT Adj Read]]&lt;=Table1[[#This Row],[High Tol]],"Pass","Fail")))</f>
        <v>Fail</v>
      </c>
      <c r="AH19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2" s="1" t="b">
        <v>0</v>
      </c>
      <c r="AN1942" s="1" t="b">
        <v>0</v>
      </c>
      <c r="AO1942" s="1" t="b">
        <v>0</v>
      </c>
    </row>
    <row r="1943" spans="1:41" x14ac:dyDescent="0.25">
      <c r="A1943" s="10"/>
      <c r="B1943" s="10"/>
      <c r="C1943" s="10"/>
      <c r="D1943" s="10"/>
      <c r="E1943" s="10"/>
      <c r="F1943" s="10"/>
      <c r="G1943" s="10"/>
      <c r="H1943" s="10"/>
      <c r="I1943" s="1" t="str">
        <f t="shared" si="90"/>
        <v/>
      </c>
      <c r="J1943" s="1" t="s">
        <v>35</v>
      </c>
      <c r="K1943" s="1" t="str">
        <f t="shared" si="91"/>
        <v/>
      </c>
      <c r="L1943" s="1" t="str">
        <f t="shared" si="92"/>
        <v/>
      </c>
      <c r="M1943" s="1">
        <f>IF(OR(Table1[[#This Row],[Std Nom]]="",Table1[[#This Row],[Std Read]]=""),0,Table1[[#This Row],[Std Nom]]-Table1[[#This Row],[Std Read]])</f>
        <v>0</v>
      </c>
      <c r="N1943" s="1">
        <f>IF(Calculations!$F$5="ACCREDITED 17025 WITH UNCERTAINTIES",$N$10,0)</f>
        <v>0</v>
      </c>
      <c r="Q1943" s="1">
        <f>Table1[[#This Row],[High Tol]]-Table1[[#This Row],[Low Tol]]</f>
        <v>0</v>
      </c>
      <c r="R1943" s="1">
        <f>2*Table1[[#This Row],[Std Error]]</f>
        <v>0</v>
      </c>
      <c r="S1943" s="1" t="str">
        <f>IF(Table1[[#This Row],[High Tol]]="","N/A",IFERROR(ABS(Table1[[#This Row],[Tol Span]]/Table1[[#This Row],[Error Span]]),"N/A"))</f>
        <v>N/A</v>
      </c>
      <c r="T1943" s="1" t="str">
        <f>IF(OR(Table1[[#This Row],[Low Tol]]="",Table1[[#This Row],[High Tol]]=""),"Needs Analysis",IF(Table1[[#This Row],[Ratio]]&gt;=4,"Not Significant",IF(Table1[[#This Row],[Ratio]]&gt;=2,"Semi-Significant","Significant")))</f>
        <v>Needs Analysis</v>
      </c>
      <c r="W1943" s="1">
        <f>IF(Table1[[#This Row],[Cal Type]]&lt;&gt;"ACCREDITED 17025 WITH UNCERTAINTIES",0,"")</f>
        <v>0</v>
      </c>
      <c r="X1943" s="1" t="str">
        <f>IF(Table1[[#This Row],[DUT Read]]="","N/A",Table1[[#This Row],[Std Error]]+Table1[[#This Row],[DUT Read]]+Table1[[#This Row],[DUT Ucty]])</f>
        <v>N/A</v>
      </c>
      <c r="Y1943" s="1" t="str">
        <f>IF(Table1[[#This Row],[Std Read]]="","N/A",Table1[[#This Row],[Std Read]]+Table1[[#This Row],[Std Ucty]])</f>
        <v>N/A</v>
      </c>
      <c r="Z19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3" s="1" t="str">
        <f>IF(Table1[[#This Row],[Spec Type]]="","N/A",Table1[[#This Row],[Spec Type]])</f>
        <v>±</v>
      </c>
      <c r="AC1943" s="1" t="str">
        <f>IF(Table1[[#This Row],[Spec Type2]]="N/A","N/A",IF(AND(Table1[[#This Row],[DUT Adj Read]]&gt;=Table1[[#This Row],[Low Tol]],Table1[[#This Row],[DUT Adj Read]]&lt;=Table1[[#This Row],[High Tol]]),"Pass","Fail"))</f>
        <v>Fail</v>
      </c>
      <c r="AD1943" s="1" t="str">
        <f>IF(AND(Table1[[#This Row],[Spec Type2]]="N/A",Table1[[#This Row],[DUT Adj Read]]="N/A",Table1[[#This Row],[Std Adj Read]]="N/A"),"N/A",IF(Table1[[#This Row],[DUT Adj Read]]="N/A",IF(Table1[[#This Row],[Std Adj Read]]&gt;Table1[[#This Row],[Low Tol]],"Pass","Fail"),IF(Table1[[#This Row],[DUT Adj Read]]&gt;Table1[[#This Row],[Low Tol]],"Pass","Fail")))</f>
        <v>Pass</v>
      </c>
      <c r="AE1943" s="1" t="str">
        <f>IF(AND(Table1[[#This Row],[Spec Type2]]="N/A",Table1[[#This Row],[DUT Adj Read]]="N/A",Table1[[#This Row],[Std Adj Read]]="N/A"),"N/A",IF(Table1[[#This Row],[DUT Adj Read]]="N/A",IF(Table1[[#This Row],[Std Adj Read]]&lt;Table1[[#This Row],[High Tol]],"Pass","Fail"),IF(Table1[[#This Row],[DUT Adj Read]]&lt;Table1[[#This Row],[High Tol]],"Pass","Fail")))</f>
        <v>Fail</v>
      </c>
      <c r="AF1943" s="1" t="str">
        <f>IF(AND(Table1[[#This Row],[Spec Type2]]="N/A",Table1[[#This Row],[DUT Adj Read]]="N/A",Table1[[#This Row],[Std Adj Read]]="N/A"),"N/A",IF(Table1[[#This Row],[DUT Adj Read]]="N/A",IF(Table1[[#This Row],[Std Adj Read]]&gt;=Table1[[#This Row],[Low Tol]],"Pass","Fail"),IF(Table1[[#This Row],[DUT Adj Read]]&gt;=Table1[[#This Row],[Low Tol]],"Pass","Fail")))</f>
        <v>Pass</v>
      </c>
      <c r="AG1943" s="1" t="str">
        <f>IF(AND(Table1[[#This Row],[Spec Type2]]="N/A",Table1[[#This Row],[DUT Adj Read]]="N/A",Table1[[#This Row],[Std Adj Read]]="N/A"),"N/A",IF(Table1[[#This Row],[DUT Adj Read]]="N/A",IF(Table1[[#This Row],[Std Adj Read]]&lt;=Table1[[#This Row],[High Tol]],"Pass","Fail"),IF(Table1[[#This Row],[DUT Adj Read]]&lt;=Table1[[#This Row],[High Tol]],"Pass","Fail")))</f>
        <v>Fail</v>
      </c>
      <c r="AH19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3" s="1" t="b">
        <v>0</v>
      </c>
      <c r="AN1943" s="1" t="b">
        <v>0</v>
      </c>
      <c r="AO1943" s="1" t="b">
        <v>0</v>
      </c>
    </row>
    <row r="1944" spans="1:41" x14ac:dyDescent="0.25">
      <c r="A1944" s="10"/>
      <c r="B1944" s="10"/>
      <c r="C1944" s="10"/>
      <c r="D1944" s="10"/>
      <c r="E1944" s="10"/>
      <c r="F1944" s="10"/>
      <c r="G1944" s="10"/>
      <c r="H1944" s="10"/>
      <c r="I1944" s="1" t="str">
        <f t="shared" si="90"/>
        <v/>
      </c>
      <c r="J1944" s="1" t="s">
        <v>35</v>
      </c>
      <c r="K1944" s="1" t="str">
        <f t="shared" si="91"/>
        <v/>
      </c>
      <c r="L1944" s="1" t="str">
        <f t="shared" si="92"/>
        <v/>
      </c>
      <c r="M1944" s="1">
        <f>IF(OR(Table1[[#This Row],[Std Nom]]="",Table1[[#This Row],[Std Read]]=""),0,Table1[[#This Row],[Std Nom]]-Table1[[#This Row],[Std Read]])</f>
        <v>0</v>
      </c>
      <c r="N1944" s="1">
        <f>IF(Calculations!$F$5="ACCREDITED 17025 WITH UNCERTAINTIES",$N$10,0)</f>
        <v>0</v>
      </c>
      <c r="Q1944" s="1">
        <f>Table1[[#This Row],[High Tol]]-Table1[[#This Row],[Low Tol]]</f>
        <v>0</v>
      </c>
      <c r="R1944" s="1">
        <f>2*Table1[[#This Row],[Std Error]]</f>
        <v>0</v>
      </c>
      <c r="S1944" s="1" t="str">
        <f>IF(Table1[[#This Row],[High Tol]]="","N/A",IFERROR(ABS(Table1[[#This Row],[Tol Span]]/Table1[[#This Row],[Error Span]]),"N/A"))</f>
        <v>N/A</v>
      </c>
      <c r="T1944" s="1" t="str">
        <f>IF(OR(Table1[[#This Row],[Low Tol]]="",Table1[[#This Row],[High Tol]]=""),"Needs Analysis",IF(Table1[[#This Row],[Ratio]]&gt;=4,"Not Significant",IF(Table1[[#This Row],[Ratio]]&gt;=2,"Semi-Significant","Significant")))</f>
        <v>Needs Analysis</v>
      </c>
      <c r="W1944" s="1">
        <f>IF(Table1[[#This Row],[Cal Type]]&lt;&gt;"ACCREDITED 17025 WITH UNCERTAINTIES",0,"")</f>
        <v>0</v>
      </c>
      <c r="X1944" s="1" t="str">
        <f>IF(Table1[[#This Row],[DUT Read]]="","N/A",Table1[[#This Row],[Std Error]]+Table1[[#This Row],[DUT Read]]+Table1[[#This Row],[DUT Ucty]])</f>
        <v>N/A</v>
      </c>
      <c r="Y1944" s="1" t="str">
        <f>IF(Table1[[#This Row],[Std Read]]="","N/A",Table1[[#This Row],[Std Read]]+Table1[[#This Row],[Std Ucty]])</f>
        <v>N/A</v>
      </c>
      <c r="Z19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4" s="1" t="str">
        <f>IF(Table1[[#This Row],[Spec Type]]="","N/A",Table1[[#This Row],[Spec Type]])</f>
        <v>±</v>
      </c>
      <c r="AC1944" s="1" t="str">
        <f>IF(Table1[[#This Row],[Spec Type2]]="N/A","N/A",IF(AND(Table1[[#This Row],[DUT Adj Read]]&gt;=Table1[[#This Row],[Low Tol]],Table1[[#This Row],[DUT Adj Read]]&lt;=Table1[[#This Row],[High Tol]]),"Pass","Fail"))</f>
        <v>Fail</v>
      </c>
      <c r="AD1944" s="1" t="str">
        <f>IF(AND(Table1[[#This Row],[Spec Type2]]="N/A",Table1[[#This Row],[DUT Adj Read]]="N/A",Table1[[#This Row],[Std Adj Read]]="N/A"),"N/A",IF(Table1[[#This Row],[DUT Adj Read]]="N/A",IF(Table1[[#This Row],[Std Adj Read]]&gt;Table1[[#This Row],[Low Tol]],"Pass","Fail"),IF(Table1[[#This Row],[DUT Adj Read]]&gt;Table1[[#This Row],[Low Tol]],"Pass","Fail")))</f>
        <v>Pass</v>
      </c>
      <c r="AE1944" s="1" t="str">
        <f>IF(AND(Table1[[#This Row],[Spec Type2]]="N/A",Table1[[#This Row],[DUT Adj Read]]="N/A",Table1[[#This Row],[Std Adj Read]]="N/A"),"N/A",IF(Table1[[#This Row],[DUT Adj Read]]="N/A",IF(Table1[[#This Row],[Std Adj Read]]&lt;Table1[[#This Row],[High Tol]],"Pass","Fail"),IF(Table1[[#This Row],[DUT Adj Read]]&lt;Table1[[#This Row],[High Tol]],"Pass","Fail")))</f>
        <v>Fail</v>
      </c>
      <c r="AF1944" s="1" t="str">
        <f>IF(AND(Table1[[#This Row],[Spec Type2]]="N/A",Table1[[#This Row],[DUT Adj Read]]="N/A",Table1[[#This Row],[Std Adj Read]]="N/A"),"N/A",IF(Table1[[#This Row],[DUT Adj Read]]="N/A",IF(Table1[[#This Row],[Std Adj Read]]&gt;=Table1[[#This Row],[Low Tol]],"Pass","Fail"),IF(Table1[[#This Row],[DUT Adj Read]]&gt;=Table1[[#This Row],[Low Tol]],"Pass","Fail")))</f>
        <v>Pass</v>
      </c>
      <c r="AG1944" s="1" t="str">
        <f>IF(AND(Table1[[#This Row],[Spec Type2]]="N/A",Table1[[#This Row],[DUT Adj Read]]="N/A",Table1[[#This Row],[Std Adj Read]]="N/A"),"N/A",IF(Table1[[#This Row],[DUT Adj Read]]="N/A",IF(Table1[[#This Row],[Std Adj Read]]&lt;=Table1[[#This Row],[High Tol]],"Pass","Fail"),IF(Table1[[#This Row],[DUT Adj Read]]&lt;=Table1[[#This Row],[High Tol]],"Pass","Fail")))</f>
        <v>Fail</v>
      </c>
      <c r="AH19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4" s="1" t="b">
        <v>0</v>
      </c>
      <c r="AN1944" s="1" t="b">
        <v>0</v>
      </c>
      <c r="AO1944" s="1" t="b">
        <v>0</v>
      </c>
    </row>
    <row r="1945" spans="1:41" x14ac:dyDescent="0.25">
      <c r="A1945" s="10"/>
      <c r="B1945" s="10"/>
      <c r="C1945" s="10"/>
      <c r="D1945" s="10"/>
      <c r="E1945" s="10"/>
      <c r="F1945" s="10"/>
      <c r="G1945" s="10"/>
      <c r="H1945" s="10"/>
      <c r="I1945" s="1" t="str">
        <f t="shared" si="90"/>
        <v/>
      </c>
      <c r="J1945" s="1" t="s">
        <v>35</v>
      </c>
      <c r="K1945" s="1" t="str">
        <f t="shared" si="91"/>
        <v/>
      </c>
      <c r="L1945" s="1" t="str">
        <f t="shared" si="92"/>
        <v/>
      </c>
      <c r="M1945" s="1">
        <f>IF(OR(Table1[[#This Row],[Std Nom]]="",Table1[[#This Row],[Std Read]]=""),0,Table1[[#This Row],[Std Nom]]-Table1[[#This Row],[Std Read]])</f>
        <v>0</v>
      </c>
      <c r="N1945" s="1">
        <f>IF(Calculations!$F$5="ACCREDITED 17025 WITH UNCERTAINTIES",$N$10,0)</f>
        <v>0</v>
      </c>
      <c r="Q1945" s="1">
        <f>Table1[[#This Row],[High Tol]]-Table1[[#This Row],[Low Tol]]</f>
        <v>0</v>
      </c>
      <c r="R1945" s="1">
        <f>2*Table1[[#This Row],[Std Error]]</f>
        <v>0</v>
      </c>
      <c r="S1945" s="1" t="str">
        <f>IF(Table1[[#This Row],[High Tol]]="","N/A",IFERROR(ABS(Table1[[#This Row],[Tol Span]]/Table1[[#This Row],[Error Span]]),"N/A"))</f>
        <v>N/A</v>
      </c>
      <c r="T1945" s="1" t="str">
        <f>IF(OR(Table1[[#This Row],[Low Tol]]="",Table1[[#This Row],[High Tol]]=""),"Needs Analysis",IF(Table1[[#This Row],[Ratio]]&gt;=4,"Not Significant",IF(Table1[[#This Row],[Ratio]]&gt;=2,"Semi-Significant","Significant")))</f>
        <v>Needs Analysis</v>
      </c>
      <c r="W1945" s="1">
        <f>IF(Table1[[#This Row],[Cal Type]]&lt;&gt;"ACCREDITED 17025 WITH UNCERTAINTIES",0,"")</f>
        <v>0</v>
      </c>
      <c r="X1945" s="1" t="str">
        <f>IF(Table1[[#This Row],[DUT Read]]="","N/A",Table1[[#This Row],[Std Error]]+Table1[[#This Row],[DUT Read]]+Table1[[#This Row],[DUT Ucty]])</f>
        <v>N/A</v>
      </c>
      <c r="Y1945" s="1" t="str">
        <f>IF(Table1[[#This Row],[Std Read]]="","N/A",Table1[[#This Row],[Std Read]]+Table1[[#This Row],[Std Ucty]])</f>
        <v>N/A</v>
      </c>
      <c r="Z19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5" s="1" t="str">
        <f>IF(Table1[[#This Row],[Spec Type]]="","N/A",Table1[[#This Row],[Spec Type]])</f>
        <v>±</v>
      </c>
      <c r="AC1945" s="1" t="str">
        <f>IF(Table1[[#This Row],[Spec Type2]]="N/A","N/A",IF(AND(Table1[[#This Row],[DUT Adj Read]]&gt;=Table1[[#This Row],[Low Tol]],Table1[[#This Row],[DUT Adj Read]]&lt;=Table1[[#This Row],[High Tol]]),"Pass","Fail"))</f>
        <v>Fail</v>
      </c>
      <c r="AD1945" s="1" t="str">
        <f>IF(AND(Table1[[#This Row],[Spec Type2]]="N/A",Table1[[#This Row],[DUT Adj Read]]="N/A",Table1[[#This Row],[Std Adj Read]]="N/A"),"N/A",IF(Table1[[#This Row],[DUT Adj Read]]="N/A",IF(Table1[[#This Row],[Std Adj Read]]&gt;Table1[[#This Row],[Low Tol]],"Pass","Fail"),IF(Table1[[#This Row],[DUT Adj Read]]&gt;Table1[[#This Row],[Low Tol]],"Pass","Fail")))</f>
        <v>Pass</v>
      </c>
      <c r="AE1945" s="1" t="str">
        <f>IF(AND(Table1[[#This Row],[Spec Type2]]="N/A",Table1[[#This Row],[DUT Adj Read]]="N/A",Table1[[#This Row],[Std Adj Read]]="N/A"),"N/A",IF(Table1[[#This Row],[DUT Adj Read]]="N/A",IF(Table1[[#This Row],[Std Adj Read]]&lt;Table1[[#This Row],[High Tol]],"Pass","Fail"),IF(Table1[[#This Row],[DUT Adj Read]]&lt;Table1[[#This Row],[High Tol]],"Pass","Fail")))</f>
        <v>Fail</v>
      </c>
      <c r="AF1945" s="1" t="str">
        <f>IF(AND(Table1[[#This Row],[Spec Type2]]="N/A",Table1[[#This Row],[DUT Adj Read]]="N/A",Table1[[#This Row],[Std Adj Read]]="N/A"),"N/A",IF(Table1[[#This Row],[DUT Adj Read]]="N/A",IF(Table1[[#This Row],[Std Adj Read]]&gt;=Table1[[#This Row],[Low Tol]],"Pass","Fail"),IF(Table1[[#This Row],[DUT Adj Read]]&gt;=Table1[[#This Row],[Low Tol]],"Pass","Fail")))</f>
        <v>Pass</v>
      </c>
      <c r="AG1945" s="1" t="str">
        <f>IF(AND(Table1[[#This Row],[Spec Type2]]="N/A",Table1[[#This Row],[DUT Adj Read]]="N/A",Table1[[#This Row],[Std Adj Read]]="N/A"),"N/A",IF(Table1[[#This Row],[DUT Adj Read]]="N/A",IF(Table1[[#This Row],[Std Adj Read]]&lt;=Table1[[#This Row],[High Tol]],"Pass","Fail"),IF(Table1[[#This Row],[DUT Adj Read]]&lt;=Table1[[#This Row],[High Tol]],"Pass","Fail")))</f>
        <v>Fail</v>
      </c>
      <c r="AH19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5" s="1" t="b">
        <v>0</v>
      </c>
      <c r="AN1945" s="1" t="b">
        <v>0</v>
      </c>
      <c r="AO1945" s="1" t="b">
        <v>0</v>
      </c>
    </row>
    <row r="1946" spans="1:41" x14ac:dyDescent="0.25">
      <c r="A1946" s="10"/>
      <c r="B1946" s="10"/>
      <c r="C1946" s="10"/>
      <c r="D1946" s="10"/>
      <c r="E1946" s="10"/>
      <c r="F1946" s="10"/>
      <c r="G1946" s="10"/>
      <c r="H1946" s="10"/>
      <c r="I1946" s="1" t="str">
        <f t="shared" si="90"/>
        <v/>
      </c>
      <c r="J1946" s="1" t="s">
        <v>35</v>
      </c>
      <c r="K1946" s="1" t="str">
        <f t="shared" si="91"/>
        <v/>
      </c>
      <c r="L1946" s="1" t="str">
        <f t="shared" si="92"/>
        <v/>
      </c>
      <c r="M1946" s="1">
        <f>IF(OR(Table1[[#This Row],[Std Nom]]="",Table1[[#This Row],[Std Read]]=""),0,Table1[[#This Row],[Std Nom]]-Table1[[#This Row],[Std Read]])</f>
        <v>0</v>
      </c>
      <c r="N1946" s="1">
        <f>IF(Calculations!$F$5="ACCREDITED 17025 WITH UNCERTAINTIES",$N$10,0)</f>
        <v>0</v>
      </c>
      <c r="Q1946" s="1">
        <f>Table1[[#This Row],[High Tol]]-Table1[[#This Row],[Low Tol]]</f>
        <v>0</v>
      </c>
      <c r="R1946" s="1">
        <f>2*Table1[[#This Row],[Std Error]]</f>
        <v>0</v>
      </c>
      <c r="S1946" s="1" t="str">
        <f>IF(Table1[[#This Row],[High Tol]]="","N/A",IFERROR(ABS(Table1[[#This Row],[Tol Span]]/Table1[[#This Row],[Error Span]]),"N/A"))</f>
        <v>N/A</v>
      </c>
      <c r="T1946" s="1" t="str">
        <f>IF(OR(Table1[[#This Row],[Low Tol]]="",Table1[[#This Row],[High Tol]]=""),"Needs Analysis",IF(Table1[[#This Row],[Ratio]]&gt;=4,"Not Significant",IF(Table1[[#This Row],[Ratio]]&gt;=2,"Semi-Significant","Significant")))</f>
        <v>Needs Analysis</v>
      </c>
      <c r="W1946" s="1">
        <f>IF(Table1[[#This Row],[Cal Type]]&lt;&gt;"ACCREDITED 17025 WITH UNCERTAINTIES",0,"")</f>
        <v>0</v>
      </c>
      <c r="X1946" s="1" t="str">
        <f>IF(Table1[[#This Row],[DUT Read]]="","N/A",Table1[[#This Row],[Std Error]]+Table1[[#This Row],[DUT Read]]+Table1[[#This Row],[DUT Ucty]])</f>
        <v>N/A</v>
      </c>
      <c r="Y1946" s="1" t="str">
        <f>IF(Table1[[#This Row],[Std Read]]="","N/A",Table1[[#This Row],[Std Read]]+Table1[[#This Row],[Std Ucty]])</f>
        <v>N/A</v>
      </c>
      <c r="Z19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6" s="1" t="str">
        <f>IF(Table1[[#This Row],[Spec Type]]="","N/A",Table1[[#This Row],[Spec Type]])</f>
        <v>±</v>
      </c>
      <c r="AC1946" s="1" t="str">
        <f>IF(Table1[[#This Row],[Spec Type2]]="N/A","N/A",IF(AND(Table1[[#This Row],[DUT Adj Read]]&gt;=Table1[[#This Row],[Low Tol]],Table1[[#This Row],[DUT Adj Read]]&lt;=Table1[[#This Row],[High Tol]]),"Pass","Fail"))</f>
        <v>Fail</v>
      </c>
      <c r="AD1946" s="1" t="str">
        <f>IF(AND(Table1[[#This Row],[Spec Type2]]="N/A",Table1[[#This Row],[DUT Adj Read]]="N/A",Table1[[#This Row],[Std Adj Read]]="N/A"),"N/A",IF(Table1[[#This Row],[DUT Adj Read]]="N/A",IF(Table1[[#This Row],[Std Adj Read]]&gt;Table1[[#This Row],[Low Tol]],"Pass","Fail"),IF(Table1[[#This Row],[DUT Adj Read]]&gt;Table1[[#This Row],[Low Tol]],"Pass","Fail")))</f>
        <v>Pass</v>
      </c>
      <c r="AE1946" s="1" t="str">
        <f>IF(AND(Table1[[#This Row],[Spec Type2]]="N/A",Table1[[#This Row],[DUT Adj Read]]="N/A",Table1[[#This Row],[Std Adj Read]]="N/A"),"N/A",IF(Table1[[#This Row],[DUT Adj Read]]="N/A",IF(Table1[[#This Row],[Std Adj Read]]&lt;Table1[[#This Row],[High Tol]],"Pass","Fail"),IF(Table1[[#This Row],[DUT Adj Read]]&lt;Table1[[#This Row],[High Tol]],"Pass","Fail")))</f>
        <v>Fail</v>
      </c>
      <c r="AF1946" s="1" t="str">
        <f>IF(AND(Table1[[#This Row],[Spec Type2]]="N/A",Table1[[#This Row],[DUT Adj Read]]="N/A",Table1[[#This Row],[Std Adj Read]]="N/A"),"N/A",IF(Table1[[#This Row],[DUT Adj Read]]="N/A",IF(Table1[[#This Row],[Std Adj Read]]&gt;=Table1[[#This Row],[Low Tol]],"Pass","Fail"),IF(Table1[[#This Row],[DUT Adj Read]]&gt;=Table1[[#This Row],[Low Tol]],"Pass","Fail")))</f>
        <v>Pass</v>
      </c>
      <c r="AG1946" s="1" t="str">
        <f>IF(AND(Table1[[#This Row],[Spec Type2]]="N/A",Table1[[#This Row],[DUT Adj Read]]="N/A",Table1[[#This Row],[Std Adj Read]]="N/A"),"N/A",IF(Table1[[#This Row],[DUT Adj Read]]="N/A",IF(Table1[[#This Row],[Std Adj Read]]&lt;=Table1[[#This Row],[High Tol]],"Pass","Fail"),IF(Table1[[#This Row],[DUT Adj Read]]&lt;=Table1[[#This Row],[High Tol]],"Pass","Fail")))</f>
        <v>Fail</v>
      </c>
      <c r="AH19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6" s="1" t="b">
        <v>0</v>
      </c>
      <c r="AN1946" s="1" t="b">
        <v>0</v>
      </c>
      <c r="AO1946" s="1" t="b">
        <v>0</v>
      </c>
    </row>
    <row r="1947" spans="1:41" x14ac:dyDescent="0.25">
      <c r="A1947" s="10"/>
      <c r="B1947" s="10"/>
      <c r="C1947" s="10"/>
      <c r="D1947" s="10"/>
      <c r="E1947" s="10"/>
      <c r="F1947" s="10"/>
      <c r="G1947" s="10"/>
      <c r="H1947" s="10"/>
      <c r="I1947" s="1" t="str">
        <f t="shared" si="90"/>
        <v/>
      </c>
      <c r="J1947" s="1" t="s">
        <v>35</v>
      </c>
      <c r="K1947" s="1" t="str">
        <f t="shared" si="91"/>
        <v/>
      </c>
      <c r="L1947" s="1" t="str">
        <f t="shared" si="92"/>
        <v/>
      </c>
      <c r="M1947" s="1">
        <f>IF(OR(Table1[[#This Row],[Std Nom]]="",Table1[[#This Row],[Std Read]]=""),0,Table1[[#This Row],[Std Nom]]-Table1[[#This Row],[Std Read]])</f>
        <v>0</v>
      </c>
      <c r="N1947" s="1">
        <f>IF(Calculations!$F$5="ACCREDITED 17025 WITH UNCERTAINTIES",$N$10,0)</f>
        <v>0</v>
      </c>
      <c r="Q1947" s="1">
        <f>Table1[[#This Row],[High Tol]]-Table1[[#This Row],[Low Tol]]</f>
        <v>0</v>
      </c>
      <c r="R1947" s="1">
        <f>2*Table1[[#This Row],[Std Error]]</f>
        <v>0</v>
      </c>
      <c r="S1947" s="1" t="str">
        <f>IF(Table1[[#This Row],[High Tol]]="","N/A",IFERROR(ABS(Table1[[#This Row],[Tol Span]]/Table1[[#This Row],[Error Span]]),"N/A"))</f>
        <v>N/A</v>
      </c>
      <c r="T1947" s="1" t="str">
        <f>IF(OR(Table1[[#This Row],[Low Tol]]="",Table1[[#This Row],[High Tol]]=""),"Needs Analysis",IF(Table1[[#This Row],[Ratio]]&gt;=4,"Not Significant",IF(Table1[[#This Row],[Ratio]]&gt;=2,"Semi-Significant","Significant")))</f>
        <v>Needs Analysis</v>
      </c>
      <c r="W1947" s="1">
        <f>IF(Table1[[#This Row],[Cal Type]]&lt;&gt;"ACCREDITED 17025 WITH UNCERTAINTIES",0,"")</f>
        <v>0</v>
      </c>
      <c r="X1947" s="1" t="str">
        <f>IF(Table1[[#This Row],[DUT Read]]="","N/A",Table1[[#This Row],[Std Error]]+Table1[[#This Row],[DUT Read]]+Table1[[#This Row],[DUT Ucty]])</f>
        <v>N/A</v>
      </c>
      <c r="Y1947" s="1" t="str">
        <f>IF(Table1[[#This Row],[Std Read]]="","N/A",Table1[[#This Row],[Std Read]]+Table1[[#This Row],[Std Ucty]])</f>
        <v>N/A</v>
      </c>
      <c r="Z19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7" s="1" t="str">
        <f>IF(Table1[[#This Row],[Spec Type]]="","N/A",Table1[[#This Row],[Spec Type]])</f>
        <v>±</v>
      </c>
      <c r="AC1947" s="1" t="str">
        <f>IF(Table1[[#This Row],[Spec Type2]]="N/A","N/A",IF(AND(Table1[[#This Row],[DUT Adj Read]]&gt;=Table1[[#This Row],[Low Tol]],Table1[[#This Row],[DUT Adj Read]]&lt;=Table1[[#This Row],[High Tol]]),"Pass","Fail"))</f>
        <v>Fail</v>
      </c>
      <c r="AD1947" s="1" t="str">
        <f>IF(AND(Table1[[#This Row],[Spec Type2]]="N/A",Table1[[#This Row],[DUT Adj Read]]="N/A",Table1[[#This Row],[Std Adj Read]]="N/A"),"N/A",IF(Table1[[#This Row],[DUT Adj Read]]="N/A",IF(Table1[[#This Row],[Std Adj Read]]&gt;Table1[[#This Row],[Low Tol]],"Pass","Fail"),IF(Table1[[#This Row],[DUT Adj Read]]&gt;Table1[[#This Row],[Low Tol]],"Pass","Fail")))</f>
        <v>Pass</v>
      </c>
      <c r="AE1947" s="1" t="str">
        <f>IF(AND(Table1[[#This Row],[Spec Type2]]="N/A",Table1[[#This Row],[DUT Adj Read]]="N/A",Table1[[#This Row],[Std Adj Read]]="N/A"),"N/A",IF(Table1[[#This Row],[DUT Adj Read]]="N/A",IF(Table1[[#This Row],[Std Adj Read]]&lt;Table1[[#This Row],[High Tol]],"Pass","Fail"),IF(Table1[[#This Row],[DUT Adj Read]]&lt;Table1[[#This Row],[High Tol]],"Pass","Fail")))</f>
        <v>Fail</v>
      </c>
      <c r="AF1947" s="1" t="str">
        <f>IF(AND(Table1[[#This Row],[Spec Type2]]="N/A",Table1[[#This Row],[DUT Adj Read]]="N/A",Table1[[#This Row],[Std Adj Read]]="N/A"),"N/A",IF(Table1[[#This Row],[DUT Adj Read]]="N/A",IF(Table1[[#This Row],[Std Adj Read]]&gt;=Table1[[#This Row],[Low Tol]],"Pass","Fail"),IF(Table1[[#This Row],[DUT Adj Read]]&gt;=Table1[[#This Row],[Low Tol]],"Pass","Fail")))</f>
        <v>Pass</v>
      </c>
      <c r="AG1947" s="1" t="str">
        <f>IF(AND(Table1[[#This Row],[Spec Type2]]="N/A",Table1[[#This Row],[DUT Adj Read]]="N/A",Table1[[#This Row],[Std Adj Read]]="N/A"),"N/A",IF(Table1[[#This Row],[DUT Adj Read]]="N/A",IF(Table1[[#This Row],[Std Adj Read]]&lt;=Table1[[#This Row],[High Tol]],"Pass","Fail"),IF(Table1[[#This Row],[DUT Adj Read]]&lt;=Table1[[#This Row],[High Tol]],"Pass","Fail")))</f>
        <v>Fail</v>
      </c>
      <c r="AH19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7" s="1" t="b">
        <v>0</v>
      </c>
      <c r="AN1947" s="1" t="b">
        <v>0</v>
      </c>
      <c r="AO1947" s="1" t="b">
        <v>0</v>
      </c>
    </row>
    <row r="1948" spans="1:41" x14ac:dyDescent="0.25">
      <c r="A1948" s="10"/>
      <c r="B1948" s="10"/>
      <c r="C1948" s="10"/>
      <c r="D1948" s="10"/>
      <c r="E1948" s="10"/>
      <c r="F1948" s="10"/>
      <c r="G1948" s="10"/>
      <c r="H1948" s="10"/>
      <c r="I1948" s="1" t="str">
        <f t="shared" si="90"/>
        <v/>
      </c>
      <c r="J1948" s="1" t="s">
        <v>35</v>
      </c>
      <c r="K1948" s="1" t="str">
        <f t="shared" si="91"/>
        <v/>
      </c>
      <c r="L1948" s="1" t="str">
        <f t="shared" si="92"/>
        <v/>
      </c>
      <c r="M1948" s="1">
        <f>IF(OR(Table1[[#This Row],[Std Nom]]="",Table1[[#This Row],[Std Read]]=""),0,Table1[[#This Row],[Std Nom]]-Table1[[#This Row],[Std Read]])</f>
        <v>0</v>
      </c>
      <c r="N1948" s="1">
        <f>IF(Calculations!$F$5="ACCREDITED 17025 WITH UNCERTAINTIES",$N$10,0)</f>
        <v>0</v>
      </c>
      <c r="Q1948" s="1">
        <f>Table1[[#This Row],[High Tol]]-Table1[[#This Row],[Low Tol]]</f>
        <v>0</v>
      </c>
      <c r="R1948" s="1">
        <f>2*Table1[[#This Row],[Std Error]]</f>
        <v>0</v>
      </c>
      <c r="S1948" s="1" t="str">
        <f>IF(Table1[[#This Row],[High Tol]]="","N/A",IFERROR(ABS(Table1[[#This Row],[Tol Span]]/Table1[[#This Row],[Error Span]]),"N/A"))</f>
        <v>N/A</v>
      </c>
      <c r="T1948" s="1" t="str">
        <f>IF(OR(Table1[[#This Row],[Low Tol]]="",Table1[[#This Row],[High Tol]]=""),"Needs Analysis",IF(Table1[[#This Row],[Ratio]]&gt;=4,"Not Significant",IF(Table1[[#This Row],[Ratio]]&gt;=2,"Semi-Significant","Significant")))</f>
        <v>Needs Analysis</v>
      </c>
      <c r="W1948" s="1">
        <f>IF(Table1[[#This Row],[Cal Type]]&lt;&gt;"ACCREDITED 17025 WITH UNCERTAINTIES",0,"")</f>
        <v>0</v>
      </c>
      <c r="X1948" s="1" t="str">
        <f>IF(Table1[[#This Row],[DUT Read]]="","N/A",Table1[[#This Row],[Std Error]]+Table1[[#This Row],[DUT Read]]+Table1[[#This Row],[DUT Ucty]])</f>
        <v>N/A</v>
      </c>
      <c r="Y1948" s="1" t="str">
        <f>IF(Table1[[#This Row],[Std Read]]="","N/A",Table1[[#This Row],[Std Read]]+Table1[[#This Row],[Std Ucty]])</f>
        <v>N/A</v>
      </c>
      <c r="Z19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8" s="1" t="str">
        <f>IF(Table1[[#This Row],[Spec Type]]="","N/A",Table1[[#This Row],[Spec Type]])</f>
        <v>±</v>
      </c>
      <c r="AC1948" s="1" t="str">
        <f>IF(Table1[[#This Row],[Spec Type2]]="N/A","N/A",IF(AND(Table1[[#This Row],[DUT Adj Read]]&gt;=Table1[[#This Row],[Low Tol]],Table1[[#This Row],[DUT Adj Read]]&lt;=Table1[[#This Row],[High Tol]]),"Pass","Fail"))</f>
        <v>Fail</v>
      </c>
      <c r="AD1948" s="1" t="str">
        <f>IF(AND(Table1[[#This Row],[Spec Type2]]="N/A",Table1[[#This Row],[DUT Adj Read]]="N/A",Table1[[#This Row],[Std Adj Read]]="N/A"),"N/A",IF(Table1[[#This Row],[DUT Adj Read]]="N/A",IF(Table1[[#This Row],[Std Adj Read]]&gt;Table1[[#This Row],[Low Tol]],"Pass","Fail"),IF(Table1[[#This Row],[DUT Adj Read]]&gt;Table1[[#This Row],[Low Tol]],"Pass","Fail")))</f>
        <v>Pass</v>
      </c>
      <c r="AE1948" s="1" t="str">
        <f>IF(AND(Table1[[#This Row],[Spec Type2]]="N/A",Table1[[#This Row],[DUT Adj Read]]="N/A",Table1[[#This Row],[Std Adj Read]]="N/A"),"N/A",IF(Table1[[#This Row],[DUT Adj Read]]="N/A",IF(Table1[[#This Row],[Std Adj Read]]&lt;Table1[[#This Row],[High Tol]],"Pass","Fail"),IF(Table1[[#This Row],[DUT Adj Read]]&lt;Table1[[#This Row],[High Tol]],"Pass","Fail")))</f>
        <v>Fail</v>
      </c>
      <c r="AF1948" s="1" t="str">
        <f>IF(AND(Table1[[#This Row],[Spec Type2]]="N/A",Table1[[#This Row],[DUT Adj Read]]="N/A",Table1[[#This Row],[Std Adj Read]]="N/A"),"N/A",IF(Table1[[#This Row],[DUT Adj Read]]="N/A",IF(Table1[[#This Row],[Std Adj Read]]&gt;=Table1[[#This Row],[Low Tol]],"Pass","Fail"),IF(Table1[[#This Row],[DUT Adj Read]]&gt;=Table1[[#This Row],[Low Tol]],"Pass","Fail")))</f>
        <v>Pass</v>
      </c>
      <c r="AG1948" s="1" t="str">
        <f>IF(AND(Table1[[#This Row],[Spec Type2]]="N/A",Table1[[#This Row],[DUT Adj Read]]="N/A",Table1[[#This Row],[Std Adj Read]]="N/A"),"N/A",IF(Table1[[#This Row],[DUT Adj Read]]="N/A",IF(Table1[[#This Row],[Std Adj Read]]&lt;=Table1[[#This Row],[High Tol]],"Pass","Fail"),IF(Table1[[#This Row],[DUT Adj Read]]&lt;=Table1[[#This Row],[High Tol]],"Pass","Fail")))</f>
        <v>Fail</v>
      </c>
      <c r="AH19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8" s="1" t="b">
        <v>0</v>
      </c>
      <c r="AN1948" s="1" t="b">
        <v>0</v>
      </c>
      <c r="AO1948" s="1" t="b">
        <v>0</v>
      </c>
    </row>
    <row r="1949" spans="1:41" x14ac:dyDescent="0.25">
      <c r="A1949" s="10"/>
      <c r="B1949" s="10"/>
      <c r="C1949" s="10"/>
      <c r="D1949" s="10"/>
      <c r="E1949" s="10"/>
      <c r="F1949" s="10"/>
      <c r="G1949" s="10"/>
      <c r="H1949" s="10"/>
      <c r="I1949" s="1" t="str">
        <f t="shared" si="90"/>
        <v/>
      </c>
      <c r="J1949" s="1" t="s">
        <v>35</v>
      </c>
      <c r="K1949" s="1" t="str">
        <f t="shared" si="91"/>
        <v/>
      </c>
      <c r="L1949" s="1" t="str">
        <f t="shared" si="92"/>
        <v/>
      </c>
      <c r="M1949" s="1">
        <f>IF(OR(Table1[[#This Row],[Std Nom]]="",Table1[[#This Row],[Std Read]]=""),0,Table1[[#This Row],[Std Nom]]-Table1[[#This Row],[Std Read]])</f>
        <v>0</v>
      </c>
      <c r="N1949" s="1">
        <f>IF(Calculations!$F$5="ACCREDITED 17025 WITH UNCERTAINTIES",$N$10,0)</f>
        <v>0</v>
      </c>
      <c r="Q1949" s="1">
        <f>Table1[[#This Row],[High Tol]]-Table1[[#This Row],[Low Tol]]</f>
        <v>0</v>
      </c>
      <c r="R1949" s="1">
        <f>2*Table1[[#This Row],[Std Error]]</f>
        <v>0</v>
      </c>
      <c r="S1949" s="1" t="str">
        <f>IF(Table1[[#This Row],[High Tol]]="","N/A",IFERROR(ABS(Table1[[#This Row],[Tol Span]]/Table1[[#This Row],[Error Span]]),"N/A"))</f>
        <v>N/A</v>
      </c>
      <c r="T1949" s="1" t="str">
        <f>IF(OR(Table1[[#This Row],[Low Tol]]="",Table1[[#This Row],[High Tol]]=""),"Needs Analysis",IF(Table1[[#This Row],[Ratio]]&gt;=4,"Not Significant",IF(Table1[[#This Row],[Ratio]]&gt;=2,"Semi-Significant","Significant")))</f>
        <v>Needs Analysis</v>
      </c>
      <c r="W1949" s="1">
        <f>IF(Table1[[#This Row],[Cal Type]]&lt;&gt;"ACCREDITED 17025 WITH UNCERTAINTIES",0,"")</f>
        <v>0</v>
      </c>
      <c r="X1949" s="1" t="str">
        <f>IF(Table1[[#This Row],[DUT Read]]="","N/A",Table1[[#This Row],[Std Error]]+Table1[[#This Row],[DUT Read]]+Table1[[#This Row],[DUT Ucty]])</f>
        <v>N/A</v>
      </c>
      <c r="Y1949" s="1" t="str">
        <f>IF(Table1[[#This Row],[Std Read]]="","N/A",Table1[[#This Row],[Std Read]]+Table1[[#This Row],[Std Ucty]])</f>
        <v>N/A</v>
      </c>
      <c r="Z19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49" s="1" t="str">
        <f>IF(Table1[[#This Row],[Spec Type]]="","N/A",Table1[[#This Row],[Spec Type]])</f>
        <v>±</v>
      </c>
      <c r="AC1949" s="1" t="str">
        <f>IF(Table1[[#This Row],[Spec Type2]]="N/A","N/A",IF(AND(Table1[[#This Row],[DUT Adj Read]]&gt;=Table1[[#This Row],[Low Tol]],Table1[[#This Row],[DUT Adj Read]]&lt;=Table1[[#This Row],[High Tol]]),"Pass","Fail"))</f>
        <v>Fail</v>
      </c>
      <c r="AD1949" s="1" t="str">
        <f>IF(AND(Table1[[#This Row],[Spec Type2]]="N/A",Table1[[#This Row],[DUT Adj Read]]="N/A",Table1[[#This Row],[Std Adj Read]]="N/A"),"N/A",IF(Table1[[#This Row],[DUT Adj Read]]="N/A",IF(Table1[[#This Row],[Std Adj Read]]&gt;Table1[[#This Row],[Low Tol]],"Pass","Fail"),IF(Table1[[#This Row],[DUT Adj Read]]&gt;Table1[[#This Row],[Low Tol]],"Pass","Fail")))</f>
        <v>Pass</v>
      </c>
      <c r="AE1949" s="1" t="str">
        <f>IF(AND(Table1[[#This Row],[Spec Type2]]="N/A",Table1[[#This Row],[DUT Adj Read]]="N/A",Table1[[#This Row],[Std Adj Read]]="N/A"),"N/A",IF(Table1[[#This Row],[DUT Adj Read]]="N/A",IF(Table1[[#This Row],[Std Adj Read]]&lt;Table1[[#This Row],[High Tol]],"Pass","Fail"),IF(Table1[[#This Row],[DUT Adj Read]]&lt;Table1[[#This Row],[High Tol]],"Pass","Fail")))</f>
        <v>Fail</v>
      </c>
      <c r="AF1949" s="1" t="str">
        <f>IF(AND(Table1[[#This Row],[Spec Type2]]="N/A",Table1[[#This Row],[DUT Adj Read]]="N/A",Table1[[#This Row],[Std Adj Read]]="N/A"),"N/A",IF(Table1[[#This Row],[DUT Adj Read]]="N/A",IF(Table1[[#This Row],[Std Adj Read]]&gt;=Table1[[#This Row],[Low Tol]],"Pass","Fail"),IF(Table1[[#This Row],[DUT Adj Read]]&gt;=Table1[[#This Row],[Low Tol]],"Pass","Fail")))</f>
        <v>Pass</v>
      </c>
      <c r="AG1949" s="1" t="str">
        <f>IF(AND(Table1[[#This Row],[Spec Type2]]="N/A",Table1[[#This Row],[DUT Adj Read]]="N/A",Table1[[#This Row],[Std Adj Read]]="N/A"),"N/A",IF(Table1[[#This Row],[DUT Adj Read]]="N/A",IF(Table1[[#This Row],[Std Adj Read]]&lt;=Table1[[#This Row],[High Tol]],"Pass","Fail"),IF(Table1[[#This Row],[DUT Adj Read]]&lt;=Table1[[#This Row],[High Tol]],"Pass","Fail")))</f>
        <v>Fail</v>
      </c>
      <c r="AH19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49" s="1" t="b">
        <v>0</v>
      </c>
      <c r="AN1949" s="1" t="b">
        <v>0</v>
      </c>
      <c r="AO1949" s="1" t="b">
        <v>0</v>
      </c>
    </row>
    <row r="1950" spans="1:41" x14ac:dyDescent="0.25">
      <c r="A1950" s="10"/>
      <c r="B1950" s="10"/>
      <c r="C1950" s="10"/>
      <c r="D1950" s="10"/>
      <c r="E1950" s="10"/>
      <c r="F1950" s="10"/>
      <c r="G1950" s="10"/>
      <c r="H1950" s="10"/>
      <c r="I1950" s="1" t="str">
        <f t="shared" si="90"/>
        <v/>
      </c>
      <c r="J1950" s="1" t="s">
        <v>35</v>
      </c>
      <c r="K1950" s="1" t="str">
        <f t="shared" si="91"/>
        <v/>
      </c>
      <c r="L1950" s="1" t="str">
        <f t="shared" si="92"/>
        <v/>
      </c>
      <c r="M1950" s="1">
        <f>IF(OR(Table1[[#This Row],[Std Nom]]="",Table1[[#This Row],[Std Read]]=""),0,Table1[[#This Row],[Std Nom]]-Table1[[#This Row],[Std Read]])</f>
        <v>0</v>
      </c>
      <c r="N1950" s="1">
        <f>IF(Calculations!$F$5="ACCREDITED 17025 WITH UNCERTAINTIES",$N$10,0)</f>
        <v>0</v>
      </c>
      <c r="Q1950" s="1">
        <f>Table1[[#This Row],[High Tol]]-Table1[[#This Row],[Low Tol]]</f>
        <v>0</v>
      </c>
      <c r="R1950" s="1">
        <f>2*Table1[[#This Row],[Std Error]]</f>
        <v>0</v>
      </c>
      <c r="S1950" s="1" t="str">
        <f>IF(Table1[[#This Row],[High Tol]]="","N/A",IFERROR(ABS(Table1[[#This Row],[Tol Span]]/Table1[[#This Row],[Error Span]]),"N/A"))</f>
        <v>N/A</v>
      </c>
      <c r="T1950" s="1" t="str">
        <f>IF(OR(Table1[[#This Row],[Low Tol]]="",Table1[[#This Row],[High Tol]]=""),"Needs Analysis",IF(Table1[[#This Row],[Ratio]]&gt;=4,"Not Significant",IF(Table1[[#This Row],[Ratio]]&gt;=2,"Semi-Significant","Significant")))</f>
        <v>Needs Analysis</v>
      </c>
      <c r="W1950" s="1">
        <f>IF(Table1[[#This Row],[Cal Type]]&lt;&gt;"ACCREDITED 17025 WITH UNCERTAINTIES",0,"")</f>
        <v>0</v>
      </c>
      <c r="X1950" s="1" t="str">
        <f>IF(Table1[[#This Row],[DUT Read]]="","N/A",Table1[[#This Row],[Std Error]]+Table1[[#This Row],[DUT Read]]+Table1[[#This Row],[DUT Ucty]])</f>
        <v>N/A</v>
      </c>
      <c r="Y1950" s="1" t="str">
        <f>IF(Table1[[#This Row],[Std Read]]="","N/A",Table1[[#This Row],[Std Read]]+Table1[[#This Row],[Std Ucty]])</f>
        <v>N/A</v>
      </c>
      <c r="Z19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0" s="1" t="str">
        <f>IF(Table1[[#This Row],[Spec Type]]="","N/A",Table1[[#This Row],[Spec Type]])</f>
        <v>±</v>
      </c>
      <c r="AC1950" s="1" t="str">
        <f>IF(Table1[[#This Row],[Spec Type2]]="N/A","N/A",IF(AND(Table1[[#This Row],[DUT Adj Read]]&gt;=Table1[[#This Row],[Low Tol]],Table1[[#This Row],[DUT Adj Read]]&lt;=Table1[[#This Row],[High Tol]]),"Pass","Fail"))</f>
        <v>Fail</v>
      </c>
      <c r="AD1950" s="1" t="str">
        <f>IF(AND(Table1[[#This Row],[Spec Type2]]="N/A",Table1[[#This Row],[DUT Adj Read]]="N/A",Table1[[#This Row],[Std Adj Read]]="N/A"),"N/A",IF(Table1[[#This Row],[DUT Adj Read]]="N/A",IF(Table1[[#This Row],[Std Adj Read]]&gt;Table1[[#This Row],[Low Tol]],"Pass","Fail"),IF(Table1[[#This Row],[DUT Adj Read]]&gt;Table1[[#This Row],[Low Tol]],"Pass","Fail")))</f>
        <v>Pass</v>
      </c>
      <c r="AE1950" s="1" t="str">
        <f>IF(AND(Table1[[#This Row],[Spec Type2]]="N/A",Table1[[#This Row],[DUT Adj Read]]="N/A",Table1[[#This Row],[Std Adj Read]]="N/A"),"N/A",IF(Table1[[#This Row],[DUT Adj Read]]="N/A",IF(Table1[[#This Row],[Std Adj Read]]&lt;Table1[[#This Row],[High Tol]],"Pass","Fail"),IF(Table1[[#This Row],[DUT Adj Read]]&lt;Table1[[#This Row],[High Tol]],"Pass","Fail")))</f>
        <v>Fail</v>
      </c>
      <c r="AF1950" s="1" t="str">
        <f>IF(AND(Table1[[#This Row],[Spec Type2]]="N/A",Table1[[#This Row],[DUT Adj Read]]="N/A",Table1[[#This Row],[Std Adj Read]]="N/A"),"N/A",IF(Table1[[#This Row],[DUT Adj Read]]="N/A",IF(Table1[[#This Row],[Std Adj Read]]&gt;=Table1[[#This Row],[Low Tol]],"Pass","Fail"),IF(Table1[[#This Row],[DUT Adj Read]]&gt;=Table1[[#This Row],[Low Tol]],"Pass","Fail")))</f>
        <v>Pass</v>
      </c>
      <c r="AG1950" s="1" t="str">
        <f>IF(AND(Table1[[#This Row],[Spec Type2]]="N/A",Table1[[#This Row],[DUT Adj Read]]="N/A",Table1[[#This Row],[Std Adj Read]]="N/A"),"N/A",IF(Table1[[#This Row],[DUT Adj Read]]="N/A",IF(Table1[[#This Row],[Std Adj Read]]&lt;=Table1[[#This Row],[High Tol]],"Pass","Fail"),IF(Table1[[#This Row],[DUT Adj Read]]&lt;=Table1[[#This Row],[High Tol]],"Pass","Fail")))</f>
        <v>Fail</v>
      </c>
      <c r="AH19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0" s="1" t="b">
        <v>0</v>
      </c>
      <c r="AN1950" s="1" t="b">
        <v>0</v>
      </c>
      <c r="AO1950" s="1" t="b">
        <v>0</v>
      </c>
    </row>
    <row r="1951" spans="1:41" x14ac:dyDescent="0.25">
      <c r="A1951" s="10"/>
      <c r="B1951" s="10"/>
      <c r="C1951" s="10"/>
      <c r="D1951" s="10"/>
      <c r="E1951" s="10"/>
      <c r="F1951" s="10"/>
      <c r="G1951" s="10"/>
      <c r="H1951" s="10"/>
      <c r="I1951" s="1" t="str">
        <f t="shared" si="90"/>
        <v/>
      </c>
      <c r="J1951" s="1" t="s">
        <v>35</v>
      </c>
      <c r="K1951" s="1" t="str">
        <f t="shared" si="91"/>
        <v/>
      </c>
      <c r="L1951" s="1" t="str">
        <f t="shared" si="92"/>
        <v/>
      </c>
      <c r="M1951" s="1">
        <f>IF(OR(Table1[[#This Row],[Std Nom]]="",Table1[[#This Row],[Std Read]]=""),0,Table1[[#This Row],[Std Nom]]-Table1[[#This Row],[Std Read]])</f>
        <v>0</v>
      </c>
      <c r="N1951" s="1">
        <f>IF(Calculations!$F$5="ACCREDITED 17025 WITH UNCERTAINTIES",$N$10,0)</f>
        <v>0</v>
      </c>
      <c r="Q1951" s="1">
        <f>Table1[[#This Row],[High Tol]]-Table1[[#This Row],[Low Tol]]</f>
        <v>0</v>
      </c>
      <c r="R1951" s="1">
        <f>2*Table1[[#This Row],[Std Error]]</f>
        <v>0</v>
      </c>
      <c r="S1951" s="1" t="str">
        <f>IF(Table1[[#This Row],[High Tol]]="","N/A",IFERROR(ABS(Table1[[#This Row],[Tol Span]]/Table1[[#This Row],[Error Span]]),"N/A"))</f>
        <v>N/A</v>
      </c>
      <c r="T1951" s="1" t="str">
        <f>IF(OR(Table1[[#This Row],[Low Tol]]="",Table1[[#This Row],[High Tol]]=""),"Needs Analysis",IF(Table1[[#This Row],[Ratio]]&gt;=4,"Not Significant",IF(Table1[[#This Row],[Ratio]]&gt;=2,"Semi-Significant","Significant")))</f>
        <v>Needs Analysis</v>
      </c>
      <c r="W1951" s="1">
        <f>IF(Table1[[#This Row],[Cal Type]]&lt;&gt;"ACCREDITED 17025 WITH UNCERTAINTIES",0,"")</f>
        <v>0</v>
      </c>
      <c r="X1951" s="1" t="str">
        <f>IF(Table1[[#This Row],[DUT Read]]="","N/A",Table1[[#This Row],[Std Error]]+Table1[[#This Row],[DUT Read]]+Table1[[#This Row],[DUT Ucty]])</f>
        <v>N/A</v>
      </c>
      <c r="Y1951" s="1" t="str">
        <f>IF(Table1[[#This Row],[Std Read]]="","N/A",Table1[[#This Row],[Std Read]]+Table1[[#This Row],[Std Ucty]])</f>
        <v>N/A</v>
      </c>
      <c r="Z19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1" s="1" t="str">
        <f>IF(Table1[[#This Row],[Spec Type]]="","N/A",Table1[[#This Row],[Spec Type]])</f>
        <v>±</v>
      </c>
      <c r="AC1951" s="1" t="str">
        <f>IF(Table1[[#This Row],[Spec Type2]]="N/A","N/A",IF(AND(Table1[[#This Row],[DUT Adj Read]]&gt;=Table1[[#This Row],[Low Tol]],Table1[[#This Row],[DUT Adj Read]]&lt;=Table1[[#This Row],[High Tol]]),"Pass","Fail"))</f>
        <v>Fail</v>
      </c>
      <c r="AD1951" s="1" t="str">
        <f>IF(AND(Table1[[#This Row],[Spec Type2]]="N/A",Table1[[#This Row],[DUT Adj Read]]="N/A",Table1[[#This Row],[Std Adj Read]]="N/A"),"N/A",IF(Table1[[#This Row],[DUT Adj Read]]="N/A",IF(Table1[[#This Row],[Std Adj Read]]&gt;Table1[[#This Row],[Low Tol]],"Pass","Fail"),IF(Table1[[#This Row],[DUT Adj Read]]&gt;Table1[[#This Row],[Low Tol]],"Pass","Fail")))</f>
        <v>Pass</v>
      </c>
      <c r="AE1951" s="1" t="str">
        <f>IF(AND(Table1[[#This Row],[Spec Type2]]="N/A",Table1[[#This Row],[DUT Adj Read]]="N/A",Table1[[#This Row],[Std Adj Read]]="N/A"),"N/A",IF(Table1[[#This Row],[DUT Adj Read]]="N/A",IF(Table1[[#This Row],[Std Adj Read]]&lt;Table1[[#This Row],[High Tol]],"Pass","Fail"),IF(Table1[[#This Row],[DUT Adj Read]]&lt;Table1[[#This Row],[High Tol]],"Pass","Fail")))</f>
        <v>Fail</v>
      </c>
      <c r="AF1951" s="1" t="str">
        <f>IF(AND(Table1[[#This Row],[Spec Type2]]="N/A",Table1[[#This Row],[DUT Adj Read]]="N/A",Table1[[#This Row],[Std Adj Read]]="N/A"),"N/A",IF(Table1[[#This Row],[DUT Adj Read]]="N/A",IF(Table1[[#This Row],[Std Adj Read]]&gt;=Table1[[#This Row],[Low Tol]],"Pass","Fail"),IF(Table1[[#This Row],[DUT Adj Read]]&gt;=Table1[[#This Row],[Low Tol]],"Pass","Fail")))</f>
        <v>Pass</v>
      </c>
      <c r="AG1951" s="1" t="str">
        <f>IF(AND(Table1[[#This Row],[Spec Type2]]="N/A",Table1[[#This Row],[DUT Adj Read]]="N/A",Table1[[#This Row],[Std Adj Read]]="N/A"),"N/A",IF(Table1[[#This Row],[DUT Adj Read]]="N/A",IF(Table1[[#This Row],[Std Adj Read]]&lt;=Table1[[#This Row],[High Tol]],"Pass","Fail"),IF(Table1[[#This Row],[DUT Adj Read]]&lt;=Table1[[#This Row],[High Tol]],"Pass","Fail")))</f>
        <v>Fail</v>
      </c>
      <c r="AH19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1" s="1" t="b">
        <v>0</v>
      </c>
      <c r="AN1951" s="1" t="b">
        <v>0</v>
      </c>
      <c r="AO1951" s="1" t="b">
        <v>0</v>
      </c>
    </row>
    <row r="1952" spans="1:41" x14ac:dyDescent="0.25">
      <c r="A1952" s="10"/>
      <c r="B1952" s="10"/>
      <c r="C1952" s="10"/>
      <c r="D1952" s="10"/>
      <c r="E1952" s="10"/>
      <c r="F1952" s="10"/>
      <c r="G1952" s="10"/>
      <c r="H1952" s="10"/>
      <c r="I1952" s="1" t="str">
        <f t="shared" si="90"/>
        <v/>
      </c>
      <c r="J1952" s="1" t="s">
        <v>35</v>
      </c>
      <c r="K1952" s="1" t="str">
        <f t="shared" si="91"/>
        <v/>
      </c>
      <c r="L1952" s="1" t="str">
        <f t="shared" si="92"/>
        <v/>
      </c>
      <c r="M1952" s="1">
        <f>IF(OR(Table1[[#This Row],[Std Nom]]="",Table1[[#This Row],[Std Read]]=""),0,Table1[[#This Row],[Std Nom]]-Table1[[#This Row],[Std Read]])</f>
        <v>0</v>
      </c>
      <c r="N1952" s="1">
        <f>IF(Calculations!$F$5="ACCREDITED 17025 WITH UNCERTAINTIES",$N$10,0)</f>
        <v>0</v>
      </c>
      <c r="Q1952" s="1">
        <f>Table1[[#This Row],[High Tol]]-Table1[[#This Row],[Low Tol]]</f>
        <v>0</v>
      </c>
      <c r="R1952" s="1">
        <f>2*Table1[[#This Row],[Std Error]]</f>
        <v>0</v>
      </c>
      <c r="S1952" s="1" t="str">
        <f>IF(Table1[[#This Row],[High Tol]]="","N/A",IFERROR(ABS(Table1[[#This Row],[Tol Span]]/Table1[[#This Row],[Error Span]]),"N/A"))</f>
        <v>N/A</v>
      </c>
      <c r="T1952" s="1" t="str">
        <f>IF(OR(Table1[[#This Row],[Low Tol]]="",Table1[[#This Row],[High Tol]]=""),"Needs Analysis",IF(Table1[[#This Row],[Ratio]]&gt;=4,"Not Significant",IF(Table1[[#This Row],[Ratio]]&gt;=2,"Semi-Significant","Significant")))</f>
        <v>Needs Analysis</v>
      </c>
      <c r="W1952" s="1">
        <f>IF(Table1[[#This Row],[Cal Type]]&lt;&gt;"ACCREDITED 17025 WITH UNCERTAINTIES",0,"")</f>
        <v>0</v>
      </c>
      <c r="X1952" s="1" t="str">
        <f>IF(Table1[[#This Row],[DUT Read]]="","N/A",Table1[[#This Row],[Std Error]]+Table1[[#This Row],[DUT Read]]+Table1[[#This Row],[DUT Ucty]])</f>
        <v>N/A</v>
      </c>
      <c r="Y1952" s="1" t="str">
        <f>IF(Table1[[#This Row],[Std Read]]="","N/A",Table1[[#This Row],[Std Read]]+Table1[[#This Row],[Std Ucty]])</f>
        <v>N/A</v>
      </c>
      <c r="Z19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2" s="1" t="str">
        <f>IF(Table1[[#This Row],[Spec Type]]="","N/A",Table1[[#This Row],[Spec Type]])</f>
        <v>±</v>
      </c>
      <c r="AC1952" s="1" t="str">
        <f>IF(Table1[[#This Row],[Spec Type2]]="N/A","N/A",IF(AND(Table1[[#This Row],[DUT Adj Read]]&gt;=Table1[[#This Row],[Low Tol]],Table1[[#This Row],[DUT Adj Read]]&lt;=Table1[[#This Row],[High Tol]]),"Pass","Fail"))</f>
        <v>Fail</v>
      </c>
      <c r="AD1952" s="1" t="str">
        <f>IF(AND(Table1[[#This Row],[Spec Type2]]="N/A",Table1[[#This Row],[DUT Adj Read]]="N/A",Table1[[#This Row],[Std Adj Read]]="N/A"),"N/A",IF(Table1[[#This Row],[DUT Adj Read]]="N/A",IF(Table1[[#This Row],[Std Adj Read]]&gt;Table1[[#This Row],[Low Tol]],"Pass","Fail"),IF(Table1[[#This Row],[DUT Adj Read]]&gt;Table1[[#This Row],[Low Tol]],"Pass","Fail")))</f>
        <v>Pass</v>
      </c>
      <c r="AE1952" s="1" t="str">
        <f>IF(AND(Table1[[#This Row],[Spec Type2]]="N/A",Table1[[#This Row],[DUT Adj Read]]="N/A",Table1[[#This Row],[Std Adj Read]]="N/A"),"N/A",IF(Table1[[#This Row],[DUT Adj Read]]="N/A",IF(Table1[[#This Row],[Std Adj Read]]&lt;Table1[[#This Row],[High Tol]],"Pass","Fail"),IF(Table1[[#This Row],[DUT Adj Read]]&lt;Table1[[#This Row],[High Tol]],"Pass","Fail")))</f>
        <v>Fail</v>
      </c>
      <c r="AF1952" s="1" t="str">
        <f>IF(AND(Table1[[#This Row],[Spec Type2]]="N/A",Table1[[#This Row],[DUT Adj Read]]="N/A",Table1[[#This Row],[Std Adj Read]]="N/A"),"N/A",IF(Table1[[#This Row],[DUT Adj Read]]="N/A",IF(Table1[[#This Row],[Std Adj Read]]&gt;=Table1[[#This Row],[Low Tol]],"Pass","Fail"),IF(Table1[[#This Row],[DUT Adj Read]]&gt;=Table1[[#This Row],[Low Tol]],"Pass","Fail")))</f>
        <v>Pass</v>
      </c>
      <c r="AG1952" s="1" t="str">
        <f>IF(AND(Table1[[#This Row],[Spec Type2]]="N/A",Table1[[#This Row],[DUT Adj Read]]="N/A",Table1[[#This Row],[Std Adj Read]]="N/A"),"N/A",IF(Table1[[#This Row],[DUT Adj Read]]="N/A",IF(Table1[[#This Row],[Std Adj Read]]&lt;=Table1[[#This Row],[High Tol]],"Pass","Fail"),IF(Table1[[#This Row],[DUT Adj Read]]&lt;=Table1[[#This Row],[High Tol]],"Pass","Fail")))</f>
        <v>Fail</v>
      </c>
      <c r="AH19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2" s="1" t="b">
        <v>0</v>
      </c>
      <c r="AN1952" s="1" t="b">
        <v>0</v>
      </c>
      <c r="AO1952" s="1" t="b">
        <v>0</v>
      </c>
    </row>
    <row r="1953" spans="1:41" x14ac:dyDescent="0.25">
      <c r="A1953" s="10"/>
      <c r="B1953" s="10"/>
      <c r="C1953" s="10"/>
      <c r="D1953" s="10"/>
      <c r="E1953" s="10"/>
      <c r="F1953" s="10"/>
      <c r="G1953" s="10"/>
      <c r="H1953" s="10"/>
      <c r="I1953" s="1" t="str">
        <f t="shared" si="90"/>
        <v/>
      </c>
      <c r="J1953" s="1" t="s">
        <v>35</v>
      </c>
      <c r="K1953" s="1" t="str">
        <f t="shared" si="91"/>
        <v/>
      </c>
      <c r="L1953" s="1" t="str">
        <f t="shared" si="92"/>
        <v/>
      </c>
      <c r="M1953" s="1">
        <f>IF(OR(Table1[[#This Row],[Std Nom]]="",Table1[[#This Row],[Std Read]]=""),0,Table1[[#This Row],[Std Nom]]-Table1[[#This Row],[Std Read]])</f>
        <v>0</v>
      </c>
      <c r="N1953" s="1">
        <f>IF(Calculations!$F$5="ACCREDITED 17025 WITH UNCERTAINTIES",$N$10,0)</f>
        <v>0</v>
      </c>
      <c r="Q1953" s="1">
        <f>Table1[[#This Row],[High Tol]]-Table1[[#This Row],[Low Tol]]</f>
        <v>0</v>
      </c>
      <c r="R1953" s="1">
        <f>2*Table1[[#This Row],[Std Error]]</f>
        <v>0</v>
      </c>
      <c r="S1953" s="1" t="str">
        <f>IF(Table1[[#This Row],[High Tol]]="","N/A",IFERROR(ABS(Table1[[#This Row],[Tol Span]]/Table1[[#This Row],[Error Span]]),"N/A"))</f>
        <v>N/A</v>
      </c>
      <c r="T1953" s="1" t="str">
        <f>IF(OR(Table1[[#This Row],[Low Tol]]="",Table1[[#This Row],[High Tol]]=""),"Needs Analysis",IF(Table1[[#This Row],[Ratio]]&gt;=4,"Not Significant",IF(Table1[[#This Row],[Ratio]]&gt;=2,"Semi-Significant","Significant")))</f>
        <v>Needs Analysis</v>
      </c>
      <c r="W1953" s="1">
        <f>IF(Table1[[#This Row],[Cal Type]]&lt;&gt;"ACCREDITED 17025 WITH UNCERTAINTIES",0,"")</f>
        <v>0</v>
      </c>
      <c r="X1953" s="1" t="str">
        <f>IF(Table1[[#This Row],[DUT Read]]="","N/A",Table1[[#This Row],[Std Error]]+Table1[[#This Row],[DUT Read]]+Table1[[#This Row],[DUT Ucty]])</f>
        <v>N/A</v>
      </c>
      <c r="Y1953" s="1" t="str">
        <f>IF(Table1[[#This Row],[Std Read]]="","N/A",Table1[[#This Row],[Std Read]]+Table1[[#This Row],[Std Ucty]])</f>
        <v>N/A</v>
      </c>
      <c r="Z19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3" s="1" t="str">
        <f>IF(Table1[[#This Row],[Spec Type]]="","N/A",Table1[[#This Row],[Spec Type]])</f>
        <v>±</v>
      </c>
      <c r="AC1953" s="1" t="str">
        <f>IF(Table1[[#This Row],[Spec Type2]]="N/A","N/A",IF(AND(Table1[[#This Row],[DUT Adj Read]]&gt;=Table1[[#This Row],[Low Tol]],Table1[[#This Row],[DUT Adj Read]]&lt;=Table1[[#This Row],[High Tol]]),"Pass","Fail"))</f>
        <v>Fail</v>
      </c>
      <c r="AD1953" s="1" t="str">
        <f>IF(AND(Table1[[#This Row],[Spec Type2]]="N/A",Table1[[#This Row],[DUT Adj Read]]="N/A",Table1[[#This Row],[Std Adj Read]]="N/A"),"N/A",IF(Table1[[#This Row],[DUT Adj Read]]="N/A",IF(Table1[[#This Row],[Std Adj Read]]&gt;Table1[[#This Row],[Low Tol]],"Pass","Fail"),IF(Table1[[#This Row],[DUT Adj Read]]&gt;Table1[[#This Row],[Low Tol]],"Pass","Fail")))</f>
        <v>Pass</v>
      </c>
      <c r="AE1953" s="1" t="str">
        <f>IF(AND(Table1[[#This Row],[Spec Type2]]="N/A",Table1[[#This Row],[DUT Adj Read]]="N/A",Table1[[#This Row],[Std Adj Read]]="N/A"),"N/A",IF(Table1[[#This Row],[DUT Adj Read]]="N/A",IF(Table1[[#This Row],[Std Adj Read]]&lt;Table1[[#This Row],[High Tol]],"Pass","Fail"),IF(Table1[[#This Row],[DUT Adj Read]]&lt;Table1[[#This Row],[High Tol]],"Pass","Fail")))</f>
        <v>Fail</v>
      </c>
      <c r="AF1953" s="1" t="str">
        <f>IF(AND(Table1[[#This Row],[Spec Type2]]="N/A",Table1[[#This Row],[DUT Adj Read]]="N/A",Table1[[#This Row],[Std Adj Read]]="N/A"),"N/A",IF(Table1[[#This Row],[DUT Adj Read]]="N/A",IF(Table1[[#This Row],[Std Adj Read]]&gt;=Table1[[#This Row],[Low Tol]],"Pass","Fail"),IF(Table1[[#This Row],[DUT Adj Read]]&gt;=Table1[[#This Row],[Low Tol]],"Pass","Fail")))</f>
        <v>Pass</v>
      </c>
      <c r="AG1953" s="1" t="str">
        <f>IF(AND(Table1[[#This Row],[Spec Type2]]="N/A",Table1[[#This Row],[DUT Adj Read]]="N/A",Table1[[#This Row],[Std Adj Read]]="N/A"),"N/A",IF(Table1[[#This Row],[DUT Adj Read]]="N/A",IF(Table1[[#This Row],[Std Adj Read]]&lt;=Table1[[#This Row],[High Tol]],"Pass","Fail"),IF(Table1[[#This Row],[DUT Adj Read]]&lt;=Table1[[#This Row],[High Tol]],"Pass","Fail")))</f>
        <v>Fail</v>
      </c>
      <c r="AH19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3" s="1" t="b">
        <v>0</v>
      </c>
      <c r="AN1953" s="1" t="b">
        <v>0</v>
      </c>
      <c r="AO1953" s="1" t="b">
        <v>0</v>
      </c>
    </row>
    <row r="1954" spans="1:41" x14ac:dyDescent="0.25">
      <c r="A1954" s="10"/>
      <c r="B1954" s="10"/>
      <c r="C1954" s="10"/>
      <c r="D1954" s="10"/>
      <c r="E1954" s="10"/>
      <c r="F1954" s="10"/>
      <c r="G1954" s="10"/>
      <c r="H1954" s="10"/>
      <c r="I1954" s="1" t="str">
        <f t="shared" si="90"/>
        <v/>
      </c>
      <c r="J1954" s="1" t="s">
        <v>35</v>
      </c>
      <c r="K1954" s="1" t="str">
        <f t="shared" si="91"/>
        <v/>
      </c>
      <c r="L1954" s="1" t="str">
        <f t="shared" si="92"/>
        <v/>
      </c>
      <c r="M1954" s="1">
        <f>IF(OR(Table1[[#This Row],[Std Nom]]="",Table1[[#This Row],[Std Read]]=""),0,Table1[[#This Row],[Std Nom]]-Table1[[#This Row],[Std Read]])</f>
        <v>0</v>
      </c>
      <c r="N1954" s="1">
        <f>IF(Calculations!$F$5="ACCREDITED 17025 WITH UNCERTAINTIES",$N$10,0)</f>
        <v>0</v>
      </c>
      <c r="Q1954" s="1">
        <f>Table1[[#This Row],[High Tol]]-Table1[[#This Row],[Low Tol]]</f>
        <v>0</v>
      </c>
      <c r="R1954" s="1">
        <f>2*Table1[[#This Row],[Std Error]]</f>
        <v>0</v>
      </c>
      <c r="S1954" s="1" t="str">
        <f>IF(Table1[[#This Row],[High Tol]]="","N/A",IFERROR(ABS(Table1[[#This Row],[Tol Span]]/Table1[[#This Row],[Error Span]]),"N/A"))</f>
        <v>N/A</v>
      </c>
      <c r="T1954" s="1" t="str">
        <f>IF(OR(Table1[[#This Row],[Low Tol]]="",Table1[[#This Row],[High Tol]]=""),"Needs Analysis",IF(Table1[[#This Row],[Ratio]]&gt;=4,"Not Significant",IF(Table1[[#This Row],[Ratio]]&gt;=2,"Semi-Significant","Significant")))</f>
        <v>Needs Analysis</v>
      </c>
      <c r="W1954" s="1">
        <f>IF(Table1[[#This Row],[Cal Type]]&lt;&gt;"ACCREDITED 17025 WITH UNCERTAINTIES",0,"")</f>
        <v>0</v>
      </c>
      <c r="X1954" s="1" t="str">
        <f>IF(Table1[[#This Row],[DUT Read]]="","N/A",Table1[[#This Row],[Std Error]]+Table1[[#This Row],[DUT Read]]+Table1[[#This Row],[DUT Ucty]])</f>
        <v>N/A</v>
      </c>
      <c r="Y1954" s="1" t="str">
        <f>IF(Table1[[#This Row],[Std Read]]="","N/A",Table1[[#This Row],[Std Read]]+Table1[[#This Row],[Std Ucty]])</f>
        <v>N/A</v>
      </c>
      <c r="Z19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4" s="1" t="str">
        <f>IF(Table1[[#This Row],[Spec Type]]="","N/A",Table1[[#This Row],[Spec Type]])</f>
        <v>±</v>
      </c>
      <c r="AC1954" s="1" t="str">
        <f>IF(Table1[[#This Row],[Spec Type2]]="N/A","N/A",IF(AND(Table1[[#This Row],[DUT Adj Read]]&gt;=Table1[[#This Row],[Low Tol]],Table1[[#This Row],[DUT Adj Read]]&lt;=Table1[[#This Row],[High Tol]]),"Pass","Fail"))</f>
        <v>Fail</v>
      </c>
      <c r="AD1954" s="1" t="str">
        <f>IF(AND(Table1[[#This Row],[Spec Type2]]="N/A",Table1[[#This Row],[DUT Adj Read]]="N/A",Table1[[#This Row],[Std Adj Read]]="N/A"),"N/A",IF(Table1[[#This Row],[DUT Adj Read]]="N/A",IF(Table1[[#This Row],[Std Adj Read]]&gt;Table1[[#This Row],[Low Tol]],"Pass","Fail"),IF(Table1[[#This Row],[DUT Adj Read]]&gt;Table1[[#This Row],[Low Tol]],"Pass","Fail")))</f>
        <v>Pass</v>
      </c>
      <c r="AE1954" s="1" t="str">
        <f>IF(AND(Table1[[#This Row],[Spec Type2]]="N/A",Table1[[#This Row],[DUT Adj Read]]="N/A",Table1[[#This Row],[Std Adj Read]]="N/A"),"N/A",IF(Table1[[#This Row],[DUT Adj Read]]="N/A",IF(Table1[[#This Row],[Std Adj Read]]&lt;Table1[[#This Row],[High Tol]],"Pass","Fail"),IF(Table1[[#This Row],[DUT Adj Read]]&lt;Table1[[#This Row],[High Tol]],"Pass","Fail")))</f>
        <v>Fail</v>
      </c>
      <c r="AF1954" s="1" t="str">
        <f>IF(AND(Table1[[#This Row],[Spec Type2]]="N/A",Table1[[#This Row],[DUT Adj Read]]="N/A",Table1[[#This Row],[Std Adj Read]]="N/A"),"N/A",IF(Table1[[#This Row],[DUT Adj Read]]="N/A",IF(Table1[[#This Row],[Std Adj Read]]&gt;=Table1[[#This Row],[Low Tol]],"Pass","Fail"),IF(Table1[[#This Row],[DUT Adj Read]]&gt;=Table1[[#This Row],[Low Tol]],"Pass","Fail")))</f>
        <v>Pass</v>
      </c>
      <c r="AG1954" s="1" t="str">
        <f>IF(AND(Table1[[#This Row],[Spec Type2]]="N/A",Table1[[#This Row],[DUT Adj Read]]="N/A",Table1[[#This Row],[Std Adj Read]]="N/A"),"N/A",IF(Table1[[#This Row],[DUT Adj Read]]="N/A",IF(Table1[[#This Row],[Std Adj Read]]&lt;=Table1[[#This Row],[High Tol]],"Pass","Fail"),IF(Table1[[#This Row],[DUT Adj Read]]&lt;=Table1[[#This Row],[High Tol]],"Pass","Fail")))</f>
        <v>Fail</v>
      </c>
      <c r="AH19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4" s="1" t="b">
        <v>0</v>
      </c>
      <c r="AN1954" s="1" t="b">
        <v>0</v>
      </c>
      <c r="AO1954" s="1" t="b">
        <v>0</v>
      </c>
    </row>
    <row r="1955" spans="1:41" x14ac:dyDescent="0.25">
      <c r="A1955" s="10"/>
      <c r="B1955" s="10"/>
      <c r="C1955" s="10"/>
      <c r="D1955" s="10"/>
      <c r="E1955" s="10"/>
      <c r="F1955" s="10"/>
      <c r="G1955" s="10"/>
      <c r="H1955" s="10"/>
      <c r="I1955" s="1" t="str">
        <f t="shared" si="90"/>
        <v/>
      </c>
      <c r="J1955" s="1" t="s">
        <v>35</v>
      </c>
      <c r="K1955" s="1" t="str">
        <f t="shared" si="91"/>
        <v/>
      </c>
      <c r="L1955" s="1" t="str">
        <f t="shared" si="92"/>
        <v/>
      </c>
      <c r="M1955" s="1">
        <f>IF(OR(Table1[[#This Row],[Std Nom]]="",Table1[[#This Row],[Std Read]]=""),0,Table1[[#This Row],[Std Nom]]-Table1[[#This Row],[Std Read]])</f>
        <v>0</v>
      </c>
      <c r="N1955" s="1">
        <f>IF(Calculations!$F$5="ACCREDITED 17025 WITH UNCERTAINTIES",$N$10,0)</f>
        <v>0</v>
      </c>
      <c r="Q1955" s="1">
        <f>Table1[[#This Row],[High Tol]]-Table1[[#This Row],[Low Tol]]</f>
        <v>0</v>
      </c>
      <c r="R1955" s="1">
        <f>2*Table1[[#This Row],[Std Error]]</f>
        <v>0</v>
      </c>
      <c r="S1955" s="1" t="str">
        <f>IF(Table1[[#This Row],[High Tol]]="","N/A",IFERROR(ABS(Table1[[#This Row],[Tol Span]]/Table1[[#This Row],[Error Span]]),"N/A"))</f>
        <v>N/A</v>
      </c>
      <c r="T1955" s="1" t="str">
        <f>IF(OR(Table1[[#This Row],[Low Tol]]="",Table1[[#This Row],[High Tol]]=""),"Needs Analysis",IF(Table1[[#This Row],[Ratio]]&gt;=4,"Not Significant",IF(Table1[[#This Row],[Ratio]]&gt;=2,"Semi-Significant","Significant")))</f>
        <v>Needs Analysis</v>
      </c>
      <c r="W1955" s="1">
        <f>IF(Table1[[#This Row],[Cal Type]]&lt;&gt;"ACCREDITED 17025 WITH UNCERTAINTIES",0,"")</f>
        <v>0</v>
      </c>
      <c r="X1955" s="1" t="str">
        <f>IF(Table1[[#This Row],[DUT Read]]="","N/A",Table1[[#This Row],[Std Error]]+Table1[[#This Row],[DUT Read]]+Table1[[#This Row],[DUT Ucty]])</f>
        <v>N/A</v>
      </c>
      <c r="Y1955" s="1" t="str">
        <f>IF(Table1[[#This Row],[Std Read]]="","N/A",Table1[[#This Row],[Std Read]]+Table1[[#This Row],[Std Ucty]])</f>
        <v>N/A</v>
      </c>
      <c r="Z19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5" s="1" t="str">
        <f>IF(Table1[[#This Row],[Spec Type]]="","N/A",Table1[[#This Row],[Spec Type]])</f>
        <v>±</v>
      </c>
      <c r="AC1955" s="1" t="str">
        <f>IF(Table1[[#This Row],[Spec Type2]]="N/A","N/A",IF(AND(Table1[[#This Row],[DUT Adj Read]]&gt;=Table1[[#This Row],[Low Tol]],Table1[[#This Row],[DUT Adj Read]]&lt;=Table1[[#This Row],[High Tol]]),"Pass","Fail"))</f>
        <v>Fail</v>
      </c>
      <c r="AD1955" s="1" t="str">
        <f>IF(AND(Table1[[#This Row],[Spec Type2]]="N/A",Table1[[#This Row],[DUT Adj Read]]="N/A",Table1[[#This Row],[Std Adj Read]]="N/A"),"N/A",IF(Table1[[#This Row],[DUT Adj Read]]="N/A",IF(Table1[[#This Row],[Std Adj Read]]&gt;Table1[[#This Row],[Low Tol]],"Pass","Fail"),IF(Table1[[#This Row],[DUT Adj Read]]&gt;Table1[[#This Row],[Low Tol]],"Pass","Fail")))</f>
        <v>Pass</v>
      </c>
      <c r="AE1955" s="1" t="str">
        <f>IF(AND(Table1[[#This Row],[Spec Type2]]="N/A",Table1[[#This Row],[DUT Adj Read]]="N/A",Table1[[#This Row],[Std Adj Read]]="N/A"),"N/A",IF(Table1[[#This Row],[DUT Adj Read]]="N/A",IF(Table1[[#This Row],[Std Adj Read]]&lt;Table1[[#This Row],[High Tol]],"Pass","Fail"),IF(Table1[[#This Row],[DUT Adj Read]]&lt;Table1[[#This Row],[High Tol]],"Pass","Fail")))</f>
        <v>Fail</v>
      </c>
      <c r="AF1955" s="1" t="str">
        <f>IF(AND(Table1[[#This Row],[Spec Type2]]="N/A",Table1[[#This Row],[DUT Adj Read]]="N/A",Table1[[#This Row],[Std Adj Read]]="N/A"),"N/A",IF(Table1[[#This Row],[DUT Adj Read]]="N/A",IF(Table1[[#This Row],[Std Adj Read]]&gt;=Table1[[#This Row],[Low Tol]],"Pass","Fail"),IF(Table1[[#This Row],[DUT Adj Read]]&gt;=Table1[[#This Row],[Low Tol]],"Pass","Fail")))</f>
        <v>Pass</v>
      </c>
      <c r="AG1955" s="1" t="str">
        <f>IF(AND(Table1[[#This Row],[Spec Type2]]="N/A",Table1[[#This Row],[DUT Adj Read]]="N/A",Table1[[#This Row],[Std Adj Read]]="N/A"),"N/A",IF(Table1[[#This Row],[DUT Adj Read]]="N/A",IF(Table1[[#This Row],[Std Adj Read]]&lt;=Table1[[#This Row],[High Tol]],"Pass","Fail"),IF(Table1[[#This Row],[DUT Adj Read]]&lt;=Table1[[#This Row],[High Tol]],"Pass","Fail")))</f>
        <v>Fail</v>
      </c>
      <c r="AH19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5" s="1" t="b">
        <v>0</v>
      </c>
      <c r="AN1955" s="1" t="b">
        <v>0</v>
      </c>
      <c r="AO1955" s="1" t="b">
        <v>0</v>
      </c>
    </row>
    <row r="1956" spans="1:41" x14ac:dyDescent="0.25">
      <c r="A1956" s="10"/>
      <c r="B1956" s="10"/>
      <c r="C1956" s="10"/>
      <c r="D1956" s="10"/>
      <c r="E1956" s="10"/>
      <c r="F1956" s="10"/>
      <c r="G1956" s="10"/>
      <c r="H1956" s="10"/>
      <c r="I1956" s="1" t="str">
        <f t="shared" si="90"/>
        <v/>
      </c>
      <c r="J1956" s="1" t="s">
        <v>35</v>
      </c>
      <c r="K1956" s="1" t="str">
        <f t="shared" si="91"/>
        <v/>
      </c>
      <c r="L1956" s="1" t="str">
        <f t="shared" si="92"/>
        <v/>
      </c>
      <c r="M1956" s="1">
        <f>IF(OR(Table1[[#This Row],[Std Nom]]="",Table1[[#This Row],[Std Read]]=""),0,Table1[[#This Row],[Std Nom]]-Table1[[#This Row],[Std Read]])</f>
        <v>0</v>
      </c>
      <c r="N1956" s="1">
        <f>IF(Calculations!$F$5="ACCREDITED 17025 WITH UNCERTAINTIES",$N$10,0)</f>
        <v>0</v>
      </c>
      <c r="Q1956" s="1">
        <f>Table1[[#This Row],[High Tol]]-Table1[[#This Row],[Low Tol]]</f>
        <v>0</v>
      </c>
      <c r="R1956" s="1">
        <f>2*Table1[[#This Row],[Std Error]]</f>
        <v>0</v>
      </c>
      <c r="S1956" s="1" t="str">
        <f>IF(Table1[[#This Row],[High Tol]]="","N/A",IFERROR(ABS(Table1[[#This Row],[Tol Span]]/Table1[[#This Row],[Error Span]]),"N/A"))</f>
        <v>N/A</v>
      </c>
      <c r="T1956" s="1" t="str">
        <f>IF(OR(Table1[[#This Row],[Low Tol]]="",Table1[[#This Row],[High Tol]]=""),"Needs Analysis",IF(Table1[[#This Row],[Ratio]]&gt;=4,"Not Significant",IF(Table1[[#This Row],[Ratio]]&gt;=2,"Semi-Significant","Significant")))</f>
        <v>Needs Analysis</v>
      </c>
      <c r="W1956" s="1">
        <f>IF(Table1[[#This Row],[Cal Type]]&lt;&gt;"ACCREDITED 17025 WITH UNCERTAINTIES",0,"")</f>
        <v>0</v>
      </c>
      <c r="X1956" s="1" t="str">
        <f>IF(Table1[[#This Row],[DUT Read]]="","N/A",Table1[[#This Row],[Std Error]]+Table1[[#This Row],[DUT Read]]+Table1[[#This Row],[DUT Ucty]])</f>
        <v>N/A</v>
      </c>
      <c r="Y1956" s="1" t="str">
        <f>IF(Table1[[#This Row],[Std Read]]="","N/A",Table1[[#This Row],[Std Read]]+Table1[[#This Row],[Std Ucty]])</f>
        <v>N/A</v>
      </c>
      <c r="Z19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6" s="1" t="str">
        <f>IF(Table1[[#This Row],[Spec Type]]="","N/A",Table1[[#This Row],[Spec Type]])</f>
        <v>±</v>
      </c>
      <c r="AC1956" s="1" t="str">
        <f>IF(Table1[[#This Row],[Spec Type2]]="N/A","N/A",IF(AND(Table1[[#This Row],[DUT Adj Read]]&gt;=Table1[[#This Row],[Low Tol]],Table1[[#This Row],[DUT Adj Read]]&lt;=Table1[[#This Row],[High Tol]]),"Pass","Fail"))</f>
        <v>Fail</v>
      </c>
      <c r="AD1956" s="1" t="str">
        <f>IF(AND(Table1[[#This Row],[Spec Type2]]="N/A",Table1[[#This Row],[DUT Adj Read]]="N/A",Table1[[#This Row],[Std Adj Read]]="N/A"),"N/A",IF(Table1[[#This Row],[DUT Adj Read]]="N/A",IF(Table1[[#This Row],[Std Adj Read]]&gt;Table1[[#This Row],[Low Tol]],"Pass","Fail"),IF(Table1[[#This Row],[DUT Adj Read]]&gt;Table1[[#This Row],[Low Tol]],"Pass","Fail")))</f>
        <v>Pass</v>
      </c>
      <c r="AE1956" s="1" t="str">
        <f>IF(AND(Table1[[#This Row],[Spec Type2]]="N/A",Table1[[#This Row],[DUT Adj Read]]="N/A",Table1[[#This Row],[Std Adj Read]]="N/A"),"N/A",IF(Table1[[#This Row],[DUT Adj Read]]="N/A",IF(Table1[[#This Row],[Std Adj Read]]&lt;Table1[[#This Row],[High Tol]],"Pass","Fail"),IF(Table1[[#This Row],[DUT Adj Read]]&lt;Table1[[#This Row],[High Tol]],"Pass","Fail")))</f>
        <v>Fail</v>
      </c>
      <c r="AF1956" s="1" t="str">
        <f>IF(AND(Table1[[#This Row],[Spec Type2]]="N/A",Table1[[#This Row],[DUT Adj Read]]="N/A",Table1[[#This Row],[Std Adj Read]]="N/A"),"N/A",IF(Table1[[#This Row],[DUT Adj Read]]="N/A",IF(Table1[[#This Row],[Std Adj Read]]&gt;=Table1[[#This Row],[Low Tol]],"Pass","Fail"),IF(Table1[[#This Row],[DUT Adj Read]]&gt;=Table1[[#This Row],[Low Tol]],"Pass","Fail")))</f>
        <v>Pass</v>
      </c>
      <c r="AG1956" s="1" t="str">
        <f>IF(AND(Table1[[#This Row],[Spec Type2]]="N/A",Table1[[#This Row],[DUT Adj Read]]="N/A",Table1[[#This Row],[Std Adj Read]]="N/A"),"N/A",IF(Table1[[#This Row],[DUT Adj Read]]="N/A",IF(Table1[[#This Row],[Std Adj Read]]&lt;=Table1[[#This Row],[High Tol]],"Pass","Fail"),IF(Table1[[#This Row],[DUT Adj Read]]&lt;=Table1[[#This Row],[High Tol]],"Pass","Fail")))</f>
        <v>Fail</v>
      </c>
      <c r="AH19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6" s="1" t="b">
        <v>0</v>
      </c>
      <c r="AN1956" s="1" t="b">
        <v>0</v>
      </c>
      <c r="AO1956" s="1" t="b">
        <v>0</v>
      </c>
    </row>
    <row r="1957" spans="1:41" x14ac:dyDescent="0.25">
      <c r="A1957" s="10"/>
      <c r="B1957" s="10"/>
      <c r="C1957" s="10"/>
      <c r="D1957" s="10"/>
      <c r="E1957" s="10"/>
      <c r="F1957" s="10"/>
      <c r="G1957" s="10"/>
      <c r="H1957" s="10"/>
      <c r="I1957" s="1" t="str">
        <f t="shared" si="90"/>
        <v/>
      </c>
      <c r="J1957" s="1" t="s">
        <v>35</v>
      </c>
      <c r="K1957" s="1" t="str">
        <f t="shared" si="91"/>
        <v/>
      </c>
      <c r="L1957" s="1" t="str">
        <f t="shared" si="92"/>
        <v/>
      </c>
      <c r="M1957" s="1">
        <f>IF(OR(Table1[[#This Row],[Std Nom]]="",Table1[[#This Row],[Std Read]]=""),0,Table1[[#This Row],[Std Nom]]-Table1[[#This Row],[Std Read]])</f>
        <v>0</v>
      </c>
      <c r="N1957" s="1">
        <f>IF(Calculations!$F$5="ACCREDITED 17025 WITH UNCERTAINTIES",$N$10,0)</f>
        <v>0</v>
      </c>
      <c r="Q1957" s="1">
        <f>Table1[[#This Row],[High Tol]]-Table1[[#This Row],[Low Tol]]</f>
        <v>0</v>
      </c>
      <c r="R1957" s="1">
        <f>2*Table1[[#This Row],[Std Error]]</f>
        <v>0</v>
      </c>
      <c r="S1957" s="1" t="str">
        <f>IF(Table1[[#This Row],[High Tol]]="","N/A",IFERROR(ABS(Table1[[#This Row],[Tol Span]]/Table1[[#This Row],[Error Span]]),"N/A"))</f>
        <v>N/A</v>
      </c>
      <c r="T1957" s="1" t="str">
        <f>IF(OR(Table1[[#This Row],[Low Tol]]="",Table1[[#This Row],[High Tol]]=""),"Needs Analysis",IF(Table1[[#This Row],[Ratio]]&gt;=4,"Not Significant",IF(Table1[[#This Row],[Ratio]]&gt;=2,"Semi-Significant","Significant")))</f>
        <v>Needs Analysis</v>
      </c>
      <c r="W1957" s="1">
        <f>IF(Table1[[#This Row],[Cal Type]]&lt;&gt;"ACCREDITED 17025 WITH UNCERTAINTIES",0,"")</f>
        <v>0</v>
      </c>
      <c r="X1957" s="1" t="str">
        <f>IF(Table1[[#This Row],[DUT Read]]="","N/A",Table1[[#This Row],[Std Error]]+Table1[[#This Row],[DUT Read]]+Table1[[#This Row],[DUT Ucty]])</f>
        <v>N/A</v>
      </c>
      <c r="Y1957" s="1" t="str">
        <f>IF(Table1[[#This Row],[Std Read]]="","N/A",Table1[[#This Row],[Std Read]]+Table1[[#This Row],[Std Ucty]])</f>
        <v>N/A</v>
      </c>
      <c r="Z19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7" s="1" t="str">
        <f>IF(Table1[[#This Row],[Spec Type]]="","N/A",Table1[[#This Row],[Spec Type]])</f>
        <v>±</v>
      </c>
      <c r="AC1957" s="1" t="str">
        <f>IF(Table1[[#This Row],[Spec Type2]]="N/A","N/A",IF(AND(Table1[[#This Row],[DUT Adj Read]]&gt;=Table1[[#This Row],[Low Tol]],Table1[[#This Row],[DUT Adj Read]]&lt;=Table1[[#This Row],[High Tol]]),"Pass","Fail"))</f>
        <v>Fail</v>
      </c>
      <c r="AD1957" s="1" t="str">
        <f>IF(AND(Table1[[#This Row],[Spec Type2]]="N/A",Table1[[#This Row],[DUT Adj Read]]="N/A",Table1[[#This Row],[Std Adj Read]]="N/A"),"N/A",IF(Table1[[#This Row],[DUT Adj Read]]="N/A",IF(Table1[[#This Row],[Std Adj Read]]&gt;Table1[[#This Row],[Low Tol]],"Pass","Fail"),IF(Table1[[#This Row],[DUT Adj Read]]&gt;Table1[[#This Row],[Low Tol]],"Pass","Fail")))</f>
        <v>Pass</v>
      </c>
      <c r="AE1957" s="1" t="str">
        <f>IF(AND(Table1[[#This Row],[Spec Type2]]="N/A",Table1[[#This Row],[DUT Adj Read]]="N/A",Table1[[#This Row],[Std Adj Read]]="N/A"),"N/A",IF(Table1[[#This Row],[DUT Adj Read]]="N/A",IF(Table1[[#This Row],[Std Adj Read]]&lt;Table1[[#This Row],[High Tol]],"Pass","Fail"),IF(Table1[[#This Row],[DUT Adj Read]]&lt;Table1[[#This Row],[High Tol]],"Pass","Fail")))</f>
        <v>Fail</v>
      </c>
      <c r="AF1957" s="1" t="str">
        <f>IF(AND(Table1[[#This Row],[Spec Type2]]="N/A",Table1[[#This Row],[DUT Adj Read]]="N/A",Table1[[#This Row],[Std Adj Read]]="N/A"),"N/A",IF(Table1[[#This Row],[DUT Adj Read]]="N/A",IF(Table1[[#This Row],[Std Adj Read]]&gt;=Table1[[#This Row],[Low Tol]],"Pass","Fail"),IF(Table1[[#This Row],[DUT Adj Read]]&gt;=Table1[[#This Row],[Low Tol]],"Pass","Fail")))</f>
        <v>Pass</v>
      </c>
      <c r="AG1957" s="1" t="str">
        <f>IF(AND(Table1[[#This Row],[Spec Type2]]="N/A",Table1[[#This Row],[DUT Adj Read]]="N/A",Table1[[#This Row],[Std Adj Read]]="N/A"),"N/A",IF(Table1[[#This Row],[DUT Adj Read]]="N/A",IF(Table1[[#This Row],[Std Adj Read]]&lt;=Table1[[#This Row],[High Tol]],"Pass","Fail"),IF(Table1[[#This Row],[DUT Adj Read]]&lt;=Table1[[#This Row],[High Tol]],"Pass","Fail")))</f>
        <v>Fail</v>
      </c>
      <c r="AH19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7" s="1" t="b">
        <v>0</v>
      </c>
      <c r="AN1957" s="1" t="b">
        <v>0</v>
      </c>
      <c r="AO1957" s="1" t="b">
        <v>0</v>
      </c>
    </row>
    <row r="1958" spans="1:41" x14ac:dyDescent="0.25">
      <c r="A1958" s="10"/>
      <c r="B1958" s="10"/>
      <c r="C1958" s="10"/>
      <c r="D1958" s="10"/>
      <c r="E1958" s="10"/>
      <c r="F1958" s="10"/>
      <c r="G1958" s="10"/>
      <c r="H1958" s="10"/>
      <c r="I1958" s="1" t="str">
        <f t="shared" si="90"/>
        <v/>
      </c>
      <c r="J1958" s="1" t="s">
        <v>35</v>
      </c>
      <c r="K1958" s="1" t="str">
        <f t="shared" si="91"/>
        <v/>
      </c>
      <c r="L1958" s="1" t="str">
        <f t="shared" si="92"/>
        <v/>
      </c>
      <c r="M1958" s="1">
        <f>IF(OR(Table1[[#This Row],[Std Nom]]="",Table1[[#This Row],[Std Read]]=""),0,Table1[[#This Row],[Std Nom]]-Table1[[#This Row],[Std Read]])</f>
        <v>0</v>
      </c>
      <c r="N1958" s="1">
        <f>IF(Calculations!$F$5="ACCREDITED 17025 WITH UNCERTAINTIES",$N$10,0)</f>
        <v>0</v>
      </c>
      <c r="Q1958" s="1">
        <f>Table1[[#This Row],[High Tol]]-Table1[[#This Row],[Low Tol]]</f>
        <v>0</v>
      </c>
      <c r="R1958" s="1">
        <f>2*Table1[[#This Row],[Std Error]]</f>
        <v>0</v>
      </c>
      <c r="S1958" s="1" t="str">
        <f>IF(Table1[[#This Row],[High Tol]]="","N/A",IFERROR(ABS(Table1[[#This Row],[Tol Span]]/Table1[[#This Row],[Error Span]]),"N/A"))</f>
        <v>N/A</v>
      </c>
      <c r="T1958" s="1" t="str">
        <f>IF(OR(Table1[[#This Row],[Low Tol]]="",Table1[[#This Row],[High Tol]]=""),"Needs Analysis",IF(Table1[[#This Row],[Ratio]]&gt;=4,"Not Significant",IF(Table1[[#This Row],[Ratio]]&gt;=2,"Semi-Significant","Significant")))</f>
        <v>Needs Analysis</v>
      </c>
      <c r="W1958" s="1">
        <f>IF(Table1[[#This Row],[Cal Type]]&lt;&gt;"ACCREDITED 17025 WITH UNCERTAINTIES",0,"")</f>
        <v>0</v>
      </c>
      <c r="X1958" s="1" t="str">
        <f>IF(Table1[[#This Row],[DUT Read]]="","N/A",Table1[[#This Row],[Std Error]]+Table1[[#This Row],[DUT Read]]+Table1[[#This Row],[DUT Ucty]])</f>
        <v>N/A</v>
      </c>
      <c r="Y1958" s="1" t="str">
        <f>IF(Table1[[#This Row],[Std Read]]="","N/A",Table1[[#This Row],[Std Read]]+Table1[[#This Row],[Std Ucty]])</f>
        <v>N/A</v>
      </c>
      <c r="Z19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8" s="1" t="str">
        <f>IF(Table1[[#This Row],[Spec Type]]="","N/A",Table1[[#This Row],[Spec Type]])</f>
        <v>±</v>
      </c>
      <c r="AC1958" s="1" t="str">
        <f>IF(Table1[[#This Row],[Spec Type2]]="N/A","N/A",IF(AND(Table1[[#This Row],[DUT Adj Read]]&gt;=Table1[[#This Row],[Low Tol]],Table1[[#This Row],[DUT Adj Read]]&lt;=Table1[[#This Row],[High Tol]]),"Pass","Fail"))</f>
        <v>Fail</v>
      </c>
      <c r="AD1958" s="1" t="str">
        <f>IF(AND(Table1[[#This Row],[Spec Type2]]="N/A",Table1[[#This Row],[DUT Adj Read]]="N/A",Table1[[#This Row],[Std Adj Read]]="N/A"),"N/A",IF(Table1[[#This Row],[DUT Adj Read]]="N/A",IF(Table1[[#This Row],[Std Adj Read]]&gt;Table1[[#This Row],[Low Tol]],"Pass","Fail"),IF(Table1[[#This Row],[DUT Adj Read]]&gt;Table1[[#This Row],[Low Tol]],"Pass","Fail")))</f>
        <v>Pass</v>
      </c>
      <c r="AE1958" s="1" t="str">
        <f>IF(AND(Table1[[#This Row],[Spec Type2]]="N/A",Table1[[#This Row],[DUT Adj Read]]="N/A",Table1[[#This Row],[Std Adj Read]]="N/A"),"N/A",IF(Table1[[#This Row],[DUT Adj Read]]="N/A",IF(Table1[[#This Row],[Std Adj Read]]&lt;Table1[[#This Row],[High Tol]],"Pass","Fail"),IF(Table1[[#This Row],[DUT Adj Read]]&lt;Table1[[#This Row],[High Tol]],"Pass","Fail")))</f>
        <v>Fail</v>
      </c>
      <c r="AF1958" s="1" t="str">
        <f>IF(AND(Table1[[#This Row],[Spec Type2]]="N/A",Table1[[#This Row],[DUT Adj Read]]="N/A",Table1[[#This Row],[Std Adj Read]]="N/A"),"N/A",IF(Table1[[#This Row],[DUT Adj Read]]="N/A",IF(Table1[[#This Row],[Std Adj Read]]&gt;=Table1[[#This Row],[Low Tol]],"Pass","Fail"),IF(Table1[[#This Row],[DUT Adj Read]]&gt;=Table1[[#This Row],[Low Tol]],"Pass","Fail")))</f>
        <v>Pass</v>
      </c>
      <c r="AG1958" s="1" t="str">
        <f>IF(AND(Table1[[#This Row],[Spec Type2]]="N/A",Table1[[#This Row],[DUT Adj Read]]="N/A",Table1[[#This Row],[Std Adj Read]]="N/A"),"N/A",IF(Table1[[#This Row],[DUT Adj Read]]="N/A",IF(Table1[[#This Row],[Std Adj Read]]&lt;=Table1[[#This Row],[High Tol]],"Pass","Fail"),IF(Table1[[#This Row],[DUT Adj Read]]&lt;=Table1[[#This Row],[High Tol]],"Pass","Fail")))</f>
        <v>Fail</v>
      </c>
      <c r="AH19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8" s="1" t="b">
        <v>0</v>
      </c>
      <c r="AN1958" s="1" t="b">
        <v>0</v>
      </c>
      <c r="AO1958" s="1" t="b">
        <v>0</v>
      </c>
    </row>
    <row r="1959" spans="1:41" x14ac:dyDescent="0.25">
      <c r="A1959" s="10"/>
      <c r="B1959" s="10"/>
      <c r="C1959" s="10"/>
      <c r="D1959" s="10"/>
      <c r="E1959" s="10"/>
      <c r="F1959" s="10"/>
      <c r="G1959" s="10"/>
      <c r="H1959" s="10"/>
      <c r="I1959" s="1" t="str">
        <f t="shared" si="90"/>
        <v/>
      </c>
      <c r="J1959" s="1" t="s">
        <v>35</v>
      </c>
      <c r="K1959" s="1" t="str">
        <f t="shared" si="91"/>
        <v/>
      </c>
      <c r="L1959" s="1" t="str">
        <f t="shared" si="92"/>
        <v/>
      </c>
      <c r="M1959" s="1">
        <f>IF(OR(Table1[[#This Row],[Std Nom]]="",Table1[[#This Row],[Std Read]]=""),0,Table1[[#This Row],[Std Nom]]-Table1[[#This Row],[Std Read]])</f>
        <v>0</v>
      </c>
      <c r="N1959" s="1">
        <f>IF(Calculations!$F$5="ACCREDITED 17025 WITH UNCERTAINTIES",$N$10,0)</f>
        <v>0</v>
      </c>
      <c r="Q1959" s="1">
        <f>Table1[[#This Row],[High Tol]]-Table1[[#This Row],[Low Tol]]</f>
        <v>0</v>
      </c>
      <c r="R1959" s="1">
        <f>2*Table1[[#This Row],[Std Error]]</f>
        <v>0</v>
      </c>
      <c r="S1959" s="1" t="str">
        <f>IF(Table1[[#This Row],[High Tol]]="","N/A",IFERROR(ABS(Table1[[#This Row],[Tol Span]]/Table1[[#This Row],[Error Span]]),"N/A"))</f>
        <v>N/A</v>
      </c>
      <c r="T1959" s="1" t="str">
        <f>IF(OR(Table1[[#This Row],[Low Tol]]="",Table1[[#This Row],[High Tol]]=""),"Needs Analysis",IF(Table1[[#This Row],[Ratio]]&gt;=4,"Not Significant",IF(Table1[[#This Row],[Ratio]]&gt;=2,"Semi-Significant","Significant")))</f>
        <v>Needs Analysis</v>
      </c>
      <c r="W1959" s="1">
        <f>IF(Table1[[#This Row],[Cal Type]]&lt;&gt;"ACCREDITED 17025 WITH UNCERTAINTIES",0,"")</f>
        <v>0</v>
      </c>
      <c r="X1959" s="1" t="str">
        <f>IF(Table1[[#This Row],[DUT Read]]="","N/A",Table1[[#This Row],[Std Error]]+Table1[[#This Row],[DUT Read]]+Table1[[#This Row],[DUT Ucty]])</f>
        <v>N/A</v>
      </c>
      <c r="Y1959" s="1" t="str">
        <f>IF(Table1[[#This Row],[Std Read]]="","N/A",Table1[[#This Row],[Std Read]]+Table1[[#This Row],[Std Ucty]])</f>
        <v>N/A</v>
      </c>
      <c r="Z19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59" s="1" t="str">
        <f>IF(Table1[[#This Row],[Spec Type]]="","N/A",Table1[[#This Row],[Spec Type]])</f>
        <v>±</v>
      </c>
      <c r="AC1959" s="1" t="str">
        <f>IF(Table1[[#This Row],[Spec Type2]]="N/A","N/A",IF(AND(Table1[[#This Row],[DUT Adj Read]]&gt;=Table1[[#This Row],[Low Tol]],Table1[[#This Row],[DUT Adj Read]]&lt;=Table1[[#This Row],[High Tol]]),"Pass","Fail"))</f>
        <v>Fail</v>
      </c>
      <c r="AD1959" s="1" t="str">
        <f>IF(AND(Table1[[#This Row],[Spec Type2]]="N/A",Table1[[#This Row],[DUT Adj Read]]="N/A",Table1[[#This Row],[Std Adj Read]]="N/A"),"N/A",IF(Table1[[#This Row],[DUT Adj Read]]="N/A",IF(Table1[[#This Row],[Std Adj Read]]&gt;Table1[[#This Row],[Low Tol]],"Pass","Fail"),IF(Table1[[#This Row],[DUT Adj Read]]&gt;Table1[[#This Row],[Low Tol]],"Pass","Fail")))</f>
        <v>Pass</v>
      </c>
      <c r="AE1959" s="1" t="str">
        <f>IF(AND(Table1[[#This Row],[Spec Type2]]="N/A",Table1[[#This Row],[DUT Adj Read]]="N/A",Table1[[#This Row],[Std Adj Read]]="N/A"),"N/A",IF(Table1[[#This Row],[DUT Adj Read]]="N/A",IF(Table1[[#This Row],[Std Adj Read]]&lt;Table1[[#This Row],[High Tol]],"Pass","Fail"),IF(Table1[[#This Row],[DUT Adj Read]]&lt;Table1[[#This Row],[High Tol]],"Pass","Fail")))</f>
        <v>Fail</v>
      </c>
      <c r="AF1959" s="1" t="str">
        <f>IF(AND(Table1[[#This Row],[Spec Type2]]="N/A",Table1[[#This Row],[DUT Adj Read]]="N/A",Table1[[#This Row],[Std Adj Read]]="N/A"),"N/A",IF(Table1[[#This Row],[DUT Adj Read]]="N/A",IF(Table1[[#This Row],[Std Adj Read]]&gt;=Table1[[#This Row],[Low Tol]],"Pass","Fail"),IF(Table1[[#This Row],[DUT Adj Read]]&gt;=Table1[[#This Row],[Low Tol]],"Pass","Fail")))</f>
        <v>Pass</v>
      </c>
      <c r="AG1959" s="1" t="str">
        <f>IF(AND(Table1[[#This Row],[Spec Type2]]="N/A",Table1[[#This Row],[DUT Adj Read]]="N/A",Table1[[#This Row],[Std Adj Read]]="N/A"),"N/A",IF(Table1[[#This Row],[DUT Adj Read]]="N/A",IF(Table1[[#This Row],[Std Adj Read]]&lt;=Table1[[#This Row],[High Tol]],"Pass","Fail"),IF(Table1[[#This Row],[DUT Adj Read]]&lt;=Table1[[#This Row],[High Tol]],"Pass","Fail")))</f>
        <v>Fail</v>
      </c>
      <c r="AH19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59" s="1" t="b">
        <v>0</v>
      </c>
      <c r="AN1959" s="1" t="b">
        <v>0</v>
      </c>
      <c r="AO1959" s="1" t="b">
        <v>0</v>
      </c>
    </row>
    <row r="1960" spans="1:41" x14ac:dyDescent="0.25">
      <c r="A1960" s="10"/>
      <c r="B1960" s="10"/>
      <c r="C1960" s="10"/>
      <c r="D1960" s="10"/>
      <c r="E1960" s="10"/>
      <c r="F1960" s="10"/>
      <c r="G1960" s="10"/>
      <c r="H1960" s="10"/>
      <c r="I1960" s="1" t="str">
        <f t="shared" si="90"/>
        <v/>
      </c>
      <c r="J1960" s="1" t="s">
        <v>35</v>
      </c>
      <c r="K1960" s="1" t="str">
        <f t="shared" si="91"/>
        <v/>
      </c>
      <c r="L1960" s="1" t="str">
        <f t="shared" si="92"/>
        <v/>
      </c>
      <c r="M1960" s="1">
        <f>IF(OR(Table1[[#This Row],[Std Nom]]="",Table1[[#This Row],[Std Read]]=""),0,Table1[[#This Row],[Std Nom]]-Table1[[#This Row],[Std Read]])</f>
        <v>0</v>
      </c>
      <c r="N1960" s="1">
        <f>IF(Calculations!$F$5="ACCREDITED 17025 WITH UNCERTAINTIES",$N$10,0)</f>
        <v>0</v>
      </c>
      <c r="Q1960" s="1">
        <f>Table1[[#This Row],[High Tol]]-Table1[[#This Row],[Low Tol]]</f>
        <v>0</v>
      </c>
      <c r="R1960" s="1">
        <f>2*Table1[[#This Row],[Std Error]]</f>
        <v>0</v>
      </c>
      <c r="S1960" s="1" t="str">
        <f>IF(Table1[[#This Row],[High Tol]]="","N/A",IFERROR(ABS(Table1[[#This Row],[Tol Span]]/Table1[[#This Row],[Error Span]]),"N/A"))</f>
        <v>N/A</v>
      </c>
      <c r="T1960" s="1" t="str">
        <f>IF(OR(Table1[[#This Row],[Low Tol]]="",Table1[[#This Row],[High Tol]]=""),"Needs Analysis",IF(Table1[[#This Row],[Ratio]]&gt;=4,"Not Significant",IF(Table1[[#This Row],[Ratio]]&gt;=2,"Semi-Significant","Significant")))</f>
        <v>Needs Analysis</v>
      </c>
      <c r="W1960" s="1">
        <f>IF(Table1[[#This Row],[Cal Type]]&lt;&gt;"ACCREDITED 17025 WITH UNCERTAINTIES",0,"")</f>
        <v>0</v>
      </c>
      <c r="X1960" s="1" t="str">
        <f>IF(Table1[[#This Row],[DUT Read]]="","N/A",Table1[[#This Row],[Std Error]]+Table1[[#This Row],[DUT Read]]+Table1[[#This Row],[DUT Ucty]])</f>
        <v>N/A</v>
      </c>
      <c r="Y1960" s="1" t="str">
        <f>IF(Table1[[#This Row],[Std Read]]="","N/A",Table1[[#This Row],[Std Read]]+Table1[[#This Row],[Std Ucty]])</f>
        <v>N/A</v>
      </c>
      <c r="Z19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0" s="1" t="str">
        <f>IF(Table1[[#This Row],[Spec Type]]="","N/A",Table1[[#This Row],[Spec Type]])</f>
        <v>±</v>
      </c>
      <c r="AC1960" s="1" t="str">
        <f>IF(Table1[[#This Row],[Spec Type2]]="N/A","N/A",IF(AND(Table1[[#This Row],[DUT Adj Read]]&gt;=Table1[[#This Row],[Low Tol]],Table1[[#This Row],[DUT Adj Read]]&lt;=Table1[[#This Row],[High Tol]]),"Pass","Fail"))</f>
        <v>Fail</v>
      </c>
      <c r="AD1960" s="1" t="str">
        <f>IF(AND(Table1[[#This Row],[Spec Type2]]="N/A",Table1[[#This Row],[DUT Adj Read]]="N/A",Table1[[#This Row],[Std Adj Read]]="N/A"),"N/A",IF(Table1[[#This Row],[DUT Adj Read]]="N/A",IF(Table1[[#This Row],[Std Adj Read]]&gt;Table1[[#This Row],[Low Tol]],"Pass","Fail"),IF(Table1[[#This Row],[DUT Adj Read]]&gt;Table1[[#This Row],[Low Tol]],"Pass","Fail")))</f>
        <v>Pass</v>
      </c>
      <c r="AE1960" s="1" t="str">
        <f>IF(AND(Table1[[#This Row],[Spec Type2]]="N/A",Table1[[#This Row],[DUT Adj Read]]="N/A",Table1[[#This Row],[Std Adj Read]]="N/A"),"N/A",IF(Table1[[#This Row],[DUT Adj Read]]="N/A",IF(Table1[[#This Row],[Std Adj Read]]&lt;Table1[[#This Row],[High Tol]],"Pass","Fail"),IF(Table1[[#This Row],[DUT Adj Read]]&lt;Table1[[#This Row],[High Tol]],"Pass","Fail")))</f>
        <v>Fail</v>
      </c>
      <c r="AF1960" s="1" t="str">
        <f>IF(AND(Table1[[#This Row],[Spec Type2]]="N/A",Table1[[#This Row],[DUT Adj Read]]="N/A",Table1[[#This Row],[Std Adj Read]]="N/A"),"N/A",IF(Table1[[#This Row],[DUT Adj Read]]="N/A",IF(Table1[[#This Row],[Std Adj Read]]&gt;=Table1[[#This Row],[Low Tol]],"Pass","Fail"),IF(Table1[[#This Row],[DUT Adj Read]]&gt;=Table1[[#This Row],[Low Tol]],"Pass","Fail")))</f>
        <v>Pass</v>
      </c>
      <c r="AG1960" s="1" t="str">
        <f>IF(AND(Table1[[#This Row],[Spec Type2]]="N/A",Table1[[#This Row],[DUT Adj Read]]="N/A",Table1[[#This Row],[Std Adj Read]]="N/A"),"N/A",IF(Table1[[#This Row],[DUT Adj Read]]="N/A",IF(Table1[[#This Row],[Std Adj Read]]&lt;=Table1[[#This Row],[High Tol]],"Pass","Fail"),IF(Table1[[#This Row],[DUT Adj Read]]&lt;=Table1[[#This Row],[High Tol]],"Pass","Fail")))</f>
        <v>Fail</v>
      </c>
      <c r="AH19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0" s="1" t="b">
        <v>0</v>
      </c>
      <c r="AN1960" s="1" t="b">
        <v>0</v>
      </c>
      <c r="AO1960" s="1" t="b">
        <v>0</v>
      </c>
    </row>
    <row r="1961" spans="1:41" x14ac:dyDescent="0.25">
      <c r="A1961" s="10"/>
      <c r="B1961" s="10"/>
      <c r="C1961" s="10"/>
      <c r="D1961" s="10"/>
      <c r="E1961" s="10"/>
      <c r="F1961" s="10"/>
      <c r="G1961" s="10"/>
      <c r="H1961" s="10"/>
      <c r="I1961" s="1" t="str">
        <f t="shared" si="90"/>
        <v/>
      </c>
      <c r="J1961" s="1" t="s">
        <v>35</v>
      </c>
      <c r="K1961" s="1" t="str">
        <f t="shared" si="91"/>
        <v/>
      </c>
      <c r="L1961" s="1" t="str">
        <f t="shared" si="92"/>
        <v/>
      </c>
      <c r="M1961" s="1">
        <f>IF(OR(Table1[[#This Row],[Std Nom]]="",Table1[[#This Row],[Std Read]]=""),0,Table1[[#This Row],[Std Nom]]-Table1[[#This Row],[Std Read]])</f>
        <v>0</v>
      </c>
      <c r="N1961" s="1">
        <f>IF(Calculations!$F$5="ACCREDITED 17025 WITH UNCERTAINTIES",$N$10,0)</f>
        <v>0</v>
      </c>
      <c r="Q1961" s="1">
        <f>Table1[[#This Row],[High Tol]]-Table1[[#This Row],[Low Tol]]</f>
        <v>0</v>
      </c>
      <c r="R1961" s="1">
        <f>2*Table1[[#This Row],[Std Error]]</f>
        <v>0</v>
      </c>
      <c r="S1961" s="1" t="str">
        <f>IF(Table1[[#This Row],[High Tol]]="","N/A",IFERROR(ABS(Table1[[#This Row],[Tol Span]]/Table1[[#This Row],[Error Span]]),"N/A"))</f>
        <v>N/A</v>
      </c>
      <c r="T1961" s="1" t="str">
        <f>IF(OR(Table1[[#This Row],[Low Tol]]="",Table1[[#This Row],[High Tol]]=""),"Needs Analysis",IF(Table1[[#This Row],[Ratio]]&gt;=4,"Not Significant",IF(Table1[[#This Row],[Ratio]]&gt;=2,"Semi-Significant","Significant")))</f>
        <v>Needs Analysis</v>
      </c>
      <c r="W1961" s="1">
        <f>IF(Table1[[#This Row],[Cal Type]]&lt;&gt;"ACCREDITED 17025 WITH UNCERTAINTIES",0,"")</f>
        <v>0</v>
      </c>
      <c r="X1961" s="1" t="str">
        <f>IF(Table1[[#This Row],[DUT Read]]="","N/A",Table1[[#This Row],[Std Error]]+Table1[[#This Row],[DUT Read]]+Table1[[#This Row],[DUT Ucty]])</f>
        <v>N/A</v>
      </c>
      <c r="Y1961" s="1" t="str">
        <f>IF(Table1[[#This Row],[Std Read]]="","N/A",Table1[[#This Row],[Std Read]]+Table1[[#This Row],[Std Ucty]])</f>
        <v>N/A</v>
      </c>
      <c r="Z19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1" s="1" t="str">
        <f>IF(Table1[[#This Row],[Spec Type]]="","N/A",Table1[[#This Row],[Spec Type]])</f>
        <v>±</v>
      </c>
      <c r="AC1961" s="1" t="str">
        <f>IF(Table1[[#This Row],[Spec Type2]]="N/A","N/A",IF(AND(Table1[[#This Row],[DUT Adj Read]]&gt;=Table1[[#This Row],[Low Tol]],Table1[[#This Row],[DUT Adj Read]]&lt;=Table1[[#This Row],[High Tol]]),"Pass","Fail"))</f>
        <v>Fail</v>
      </c>
      <c r="AD1961" s="1" t="str">
        <f>IF(AND(Table1[[#This Row],[Spec Type2]]="N/A",Table1[[#This Row],[DUT Adj Read]]="N/A",Table1[[#This Row],[Std Adj Read]]="N/A"),"N/A",IF(Table1[[#This Row],[DUT Adj Read]]="N/A",IF(Table1[[#This Row],[Std Adj Read]]&gt;Table1[[#This Row],[Low Tol]],"Pass","Fail"),IF(Table1[[#This Row],[DUT Adj Read]]&gt;Table1[[#This Row],[Low Tol]],"Pass","Fail")))</f>
        <v>Pass</v>
      </c>
      <c r="AE1961" s="1" t="str">
        <f>IF(AND(Table1[[#This Row],[Spec Type2]]="N/A",Table1[[#This Row],[DUT Adj Read]]="N/A",Table1[[#This Row],[Std Adj Read]]="N/A"),"N/A",IF(Table1[[#This Row],[DUT Adj Read]]="N/A",IF(Table1[[#This Row],[Std Adj Read]]&lt;Table1[[#This Row],[High Tol]],"Pass","Fail"),IF(Table1[[#This Row],[DUT Adj Read]]&lt;Table1[[#This Row],[High Tol]],"Pass","Fail")))</f>
        <v>Fail</v>
      </c>
      <c r="AF1961" s="1" t="str">
        <f>IF(AND(Table1[[#This Row],[Spec Type2]]="N/A",Table1[[#This Row],[DUT Adj Read]]="N/A",Table1[[#This Row],[Std Adj Read]]="N/A"),"N/A",IF(Table1[[#This Row],[DUT Adj Read]]="N/A",IF(Table1[[#This Row],[Std Adj Read]]&gt;=Table1[[#This Row],[Low Tol]],"Pass","Fail"),IF(Table1[[#This Row],[DUT Adj Read]]&gt;=Table1[[#This Row],[Low Tol]],"Pass","Fail")))</f>
        <v>Pass</v>
      </c>
      <c r="AG1961" s="1" t="str">
        <f>IF(AND(Table1[[#This Row],[Spec Type2]]="N/A",Table1[[#This Row],[DUT Adj Read]]="N/A",Table1[[#This Row],[Std Adj Read]]="N/A"),"N/A",IF(Table1[[#This Row],[DUT Adj Read]]="N/A",IF(Table1[[#This Row],[Std Adj Read]]&lt;=Table1[[#This Row],[High Tol]],"Pass","Fail"),IF(Table1[[#This Row],[DUT Adj Read]]&lt;=Table1[[#This Row],[High Tol]],"Pass","Fail")))</f>
        <v>Fail</v>
      </c>
      <c r="AH19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1" s="1" t="b">
        <v>0</v>
      </c>
      <c r="AN1961" s="1" t="b">
        <v>0</v>
      </c>
      <c r="AO1961" s="1" t="b">
        <v>0</v>
      </c>
    </row>
    <row r="1962" spans="1:41" x14ac:dyDescent="0.25">
      <c r="A1962" s="10"/>
      <c r="B1962" s="10"/>
      <c r="C1962" s="10"/>
      <c r="D1962" s="10"/>
      <c r="E1962" s="10"/>
      <c r="F1962" s="10"/>
      <c r="G1962" s="10"/>
      <c r="H1962" s="10"/>
      <c r="I1962" s="1" t="str">
        <f t="shared" si="90"/>
        <v/>
      </c>
      <c r="J1962" s="1" t="s">
        <v>35</v>
      </c>
      <c r="K1962" s="1" t="str">
        <f t="shared" si="91"/>
        <v/>
      </c>
      <c r="L1962" s="1" t="str">
        <f t="shared" si="92"/>
        <v/>
      </c>
      <c r="M1962" s="1">
        <f>IF(OR(Table1[[#This Row],[Std Nom]]="",Table1[[#This Row],[Std Read]]=""),0,Table1[[#This Row],[Std Nom]]-Table1[[#This Row],[Std Read]])</f>
        <v>0</v>
      </c>
      <c r="N1962" s="1">
        <f>IF(Calculations!$F$5="ACCREDITED 17025 WITH UNCERTAINTIES",$N$10,0)</f>
        <v>0</v>
      </c>
      <c r="Q1962" s="1">
        <f>Table1[[#This Row],[High Tol]]-Table1[[#This Row],[Low Tol]]</f>
        <v>0</v>
      </c>
      <c r="R1962" s="1">
        <f>2*Table1[[#This Row],[Std Error]]</f>
        <v>0</v>
      </c>
      <c r="S1962" s="1" t="str">
        <f>IF(Table1[[#This Row],[High Tol]]="","N/A",IFERROR(ABS(Table1[[#This Row],[Tol Span]]/Table1[[#This Row],[Error Span]]),"N/A"))</f>
        <v>N/A</v>
      </c>
      <c r="T1962" s="1" t="str">
        <f>IF(OR(Table1[[#This Row],[Low Tol]]="",Table1[[#This Row],[High Tol]]=""),"Needs Analysis",IF(Table1[[#This Row],[Ratio]]&gt;=4,"Not Significant",IF(Table1[[#This Row],[Ratio]]&gt;=2,"Semi-Significant","Significant")))</f>
        <v>Needs Analysis</v>
      </c>
      <c r="W1962" s="1">
        <f>IF(Table1[[#This Row],[Cal Type]]&lt;&gt;"ACCREDITED 17025 WITH UNCERTAINTIES",0,"")</f>
        <v>0</v>
      </c>
      <c r="X1962" s="1" t="str">
        <f>IF(Table1[[#This Row],[DUT Read]]="","N/A",Table1[[#This Row],[Std Error]]+Table1[[#This Row],[DUT Read]]+Table1[[#This Row],[DUT Ucty]])</f>
        <v>N/A</v>
      </c>
      <c r="Y1962" s="1" t="str">
        <f>IF(Table1[[#This Row],[Std Read]]="","N/A",Table1[[#This Row],[Std Read]]+Table1[[#This Row],[Std Ucty]])</f>
        <v>N/A</v>
      </c>
      <c r="Z19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2" s="1" t="str">
        <f>IF(Table1[[#This Row],[Spec Type]]="","N/A",Table1[[#This Row],[Spec Type]])</f>
        <v>±</v>
      </c>
      <c r="AC1962" s="1" t="str">
        <f>IF(Table1[[#This Row],[Spec Type2]]="N/A","N/A",IF(AND(Table1[[#This Row],[DUT Adj Read]]&gt;=Table1[[#This Row],[Low Tol]],Table1[[#This Row],[DUT Adj Read]]&lt;=Table1[[#This Row],[High Tol]]),"Pass","Fail"))</f>
        <v>Fail</v>
      </c>
      <c r="AD1962" s="1" t="str">
        <f>IF(AND(Table1[[#This Row],[Spec Type2]]="N/A",Table1[[#This Row],[DUT Adj Read]]="N/A",Table1[[#This Row],[Std Adj Read]]="N/A"),"N/A",IF(Table1[[#This Row],[DUT Adj Read]]="N/A",IF(Table1[[#This Row],[Std Adj Read]]&gt;Table1[[#This Row],[Low Tol]],"Pass","Fail"),IF(Table1[[#This Row],[DUT Adj Read]]&gt;Table1[[#This Row],[Low Tol]],"Pass","Fail")))</f>
        <v>Pass</v>
      </c>
      <c r="AE1962" s="1" t="str">
        <f>IF(AND(Table1[[#This Row],[Spec Type2]]="N/A",Table1[[#This Row],[DUT Adj Read]]="N/A",Table1[[#This Row],[Std Adj Read]]="N/A"),"N/A",IF(Table1[[#This Row],[DUT Adj Read]]="N/A",IF(Table1[[#This Row],[Std Adj Read]]&lt;Table1[[#This Row],[High Tol]],"Pass","Fail"),IF(Table1[[#This Row],[DUT Adj Read]]&lt;Table1[[#This Row],[High Tol]],"Pass","Fail")))</f>
        <v>Fail</v>
      </c>
      <c r="AF1962" s="1" t="str">
        <f>IF(AND(Table1[[#This Row],[Spec Type2]]="N/A",Table1[[#This Row],[DUT Adj Read]]="N/A",Table1[[#This Row],[Std Adj Read]]="N/A"),"N/A",IF(Table1[[#This Row],[DUT Adj Read]]="N/A",IF(Table1[[#This Row],[Std Adj Read]]&gt;=Table1[[#This Row],[Low Tol]],"Pass","Fail"),IF(Table1[[#This Row],[DUT Adj Read]]&gt;=Table1[[#This Row],[Low Tol]],"Pass","Fail")))</f>
        <v>Pass</v>
      </c>
      <c r="AG1962" s="1" t="str">
        <f>IF(AND(Table1[[#This Row],[Spec Type2]]="N/A",Table1[[#This Row],[DUT Adj Read]]="N/A",Table1[[#This Row],[Std Adj Read]]="N/A"),"N/A",IF(Table1[[#This Row],[DUT Adj Read]]="N/A",IF(Table1[[#This Row],[Std Adj Read]]&lt;=Table1[[#This Row],[High Tol]],"Pass","Fail"),IF(Table1[[#This Row],[DUT Adj Read]]&lt;=Table1[[#This Row],[High Tol]],"Pass","Fail")))</f>
        <v>Fail</v>
      </c>
      <c r="AH19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2" s="1" t="b">
        <v>0</v>
      </c>
      <c r="AN1962" s="1" t="b">
        <v>0</v>
      </c>
      <c r="AO1962" s="1" t="b">
        <v>0</v>
      </c>
    </row>
    <row r="1963" spans="1:41" x14ac:dyDescent="0.25">
      <c r="A1963" s="10"/>
      <c r="B1963" s="10"/>
      <c r="C1963" s="10"/>
      <c r="D1963" s="10"/>
      <c r="E1963" s="10"/>
      <c r="F1963" s="10"/>
      <c r="G1963" s="10"/>
      <c r="H1963" s="10"/>
      <c r="I1963" s="1" t="str">
        <f t="shared" si="90"/>
        <v/>
      </c>
      <c r="J1963" s="1" t="s">
        <v>35</v>
      </c>
      <c r="K1963" s="1" t="str">
        <f t="shared" si="91"/>
        <v/>
      </c>
      <c r="L1963" s="1" t="str">
        <f t="shared" si="92"/>
        <v/>
      </c>
      <c r="M1963" s="1">
        <f>IF(OR(Table1[[#This Row],[Std Nom]]="",Table1[[#This Row],[Std Read]]=""),0,Table1[[#This Row],[Std Nom]]-Table1[[#This Row],[Std Read]])</f>
        <v>0</v>
      </c>
      <c r="N1963" s="1">
        <f>IF(Calculations!$F$5="ACCREDITED 17025 WITH UNCERTAINTIES",$N$10,0)</f>
        <v>0</v>
      </c>
      <c r="Q1963" s="1">
        <f>Table1[[#This Row],[High Tol]]-Table1[[#This Row],[Low Tol]]</f>
        <v>0</v>
      </c>
      <c r="R1963" s="1">
        <f>2*Table1[[#This Row],[Std Error]]</f>
        <v>0</v>
      </c>
      <c r="S1963" s="1" t="str">
        <f>IF(Table1[[#This Row],[High Tol]]="","N/A",IFERROR(ABS(Table1[[#This Row],[Tol Span]]/Table1[[#This Row],[Error Span]]),"N/A"))</f>
        <v>N/A</v>
      </c>
      <c r="T1963" s="1" t="str">
        <f>IF(OR(Table1[[#This Row],[Low Tol]]="",Table1[[#This Row],[High Tol]]=""),"Needs Analysis",IF(Table1[[#This Row],[Ratio]]&gt;=4,"Not Significant",IF(Table1[[#This Row],[Ratio]]&gt;=2,"Semi-Significant","Significant")))</f>
        <v>Needs Analysis</v>
      </c>
      <c r="W1963" s="1">
        <f>IF(Table1[[#This Row],[Cal Type]]&lt;&gt;"ACCREDITED 17025 WITH UNCERTAINTIES",0,"")</f>
        <v>0</v>
      </c>
      <c r="X1963" s="1" t="str">
        <f>IF(Table1[[#This Row],[DUT Read]]="","N/A",Table1[[#This Row],[Std Error]]+Table1[[#This Row],[DUT Read]]+Table1[[#This Row],[DUT Ucty]])</f>
        <v>N/A</v>
      </c>
      <c r="Y1963" s="1" t="str">
        <f>IF(Table1[[#This Row],[Std Read]]="","N/A",Table1[[#This Row],[Std Read]]+Table1[[#This Row],[Std Ucty]])</f>
        <v>N/A</v>
      </c>
      <c r="Z19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3" s="1" t="str">
        <f>IF(Table1[[#This Row],[Spec Type]]="","N/A",Table1[[#This Row],[Spec Type]])</f>
        <v>±</v>
      </c>
      <c r="AC1963" s="1" t="str">
        <f>IF(Table1[[#This Row],[Spec Type2]]="N/A","N/A",IF(AND(Table1[[#This Row],[DUT Adj Read]]&gt;=Table1[[#This Row],[Low Tol]],Table1[[#This Row],[DUT Adj Read]]&lt;=Table1[[#This Row],[High Tol]]),"Pass","Fail"))</f>
        <v>Fail</v>
      </c>
      <c r="AD1963" s="1" t="str">
        <f>IF(AND(Table1[[#This Row],[Spec Type2]]="N/A",Table1[[#This Row],[DUT Adj Read]]="N/A",Table1[[#This Row],[Std Adj Read]]="N/A"),"N/A",IF(Table1[[#This Row],[DUT Adj Read]]="N/A",IF(Table1[[#This Row],[Std Adj Read]]&gt;Table1[[#This Row],[Low Tol]],"Pass","Fail"),IF(Table1[[#This Row],[DUT Adj Read]]&gt;Table1[[#This Row],[Low Tol]],"Pass","Fail")))</f>
        <v>Pass</v>
      </c>
      <c r="AE1963" s="1" t="str">
        <f>IF(AND(Table1[[#This Row],[Spec Type2]]="N/A",Table1[[#This Row],[DUT Adj Read]]="N/A",Table1[[#This Row],[Std Adj Read]]="N/A"),"N/A",IF(Table1[[#This Row],[DUT Adj Read]]="N/A",IF(Table1[[#This Row],[Std Adj Read]]&lt;Table1[[#This Row],[High Tol]],"Pass","Fail"),IF(Table1[[#This Row],[DUT Adj Read]]&lt;Table1[[#This Row],[High Tol]],"Pass","Fail")))</f>
        <v>Fail</v>
      </c>
      <c r="AF1963" s="1" t="str">
        <f>IF(AND(Table1[[#This Row],[Spec Type2]]="N/A",Table1[[#This Row],[DUT Adj Read]]="N/A",Table1[[#This Row],[Std Adj Read]]="N/A"),"N/A",IF(Table1[[#This Row],[DUT Adj Read]]="N/A",IF(Table1[[#This Row],[Std Adj Read]]&gt;=Table1[[#This Row],[Low Tol]],"Pass","Fail"),IF(Table1[[#This Row],[DUT Adj Read]]&gt;=Table1[[#This Row],[Low Tol]],"Pass","Fail")))</f>
        <v>Pass</v>
      </c>
      <c r="AG1963" s="1" t="str">
        <f>IF(AND(Table1[[#This Row],[Spec Type2]]="N/A",Table1[[#This Row],[DUT Adj Read]]="N/A",Table1[[#This Row],[Std Adj Read]]="N/A"),"N/A",IF(Table1[[#This Row],[DUT Adj Read]]="N/A",IF(Table1[[#This Row],[Std Adj Read]]&lt;=Table1[[#This Row],[High Tol]],"Pass","Fail"),IF(Table1[[#This Row],[DUT Adj Read]]&lt;=Table1[[#This Row],[High Tol]],"Pass","Fail")))</f>
        <v>Fail</v>
      </c>
      <c r="AH19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3" s="1" t="b">
        <v>0</v>
      </c>
      <c r="AN1963" s="1" t="b">
        <v>0</v>
      </c>
      <c r="AO1963" s="1" t="b">
        <v>0</v>
      </c>
    </row>
    <row r="1964" spans="1:41" x14ac:dyDescent="0.25">
      <c r="A1964" s="10"/>
      <c r="B1964" s="10"/>
      <c r="C1964" s="10"/>
      <c r="D1964" s="10"/>
      <c r="E1964" s="10"/>
      <c r="F1964" s="10"/>
      <c r="G1964" s="10"/>
      <c r="H1964" s="10"/>
      <c r="I1964" s="1" t="str">
        <f t="shared" si="90"/>
        <v/>
      </c>
      <c r="J1964" s="1" t="s">
        <v>35</v>
      </c>
      <c r="K1964" s="1" t="str">
        <f t="shared" si="91"/>
        <v/>
      </c>
      <c r="L1964" s="1" t="str">
        <f t="shared" si="92"/>
        <v/>
      </c>
      <c r="M1964" s="1">
        <f>IF(OR(Table1[[#This Row],[Std Nom]]="",Table1[[#This Row],[Std Read]]=""),0,Table1[[#This Row],[Std Nom]]-Table1[[#This Row],[Std Read]])</f>
        <v>0</v>
      </c>
      <c r="N1964" s="1">
        <f>IF(Calculations!$F$5="ACCREDITED 17025 WITH UNCERTAINTIES",$N$10,0)</f>
        <v>0</v>
      </c>
      <c r="Q1964" s="1">
        <f>Table1[[#This Row],[High Tol]]-Table1[[#This Row],[Low Tol]]</f>
        <v>0</v>
      </c>
      <c r="R1964" s="1">
        <f>2*Table1[[#This Row],[Std Error]]</f>
        <v>0</v>
      </c>
      <c r="S1964" s="1" t="str">
        <f>IF(Table1[[#This Row],[High Tol]]="","N/A",IFERROR(ABS(Table1[[#This Row],[Tol Span]]/Table1[[#This Row],[Error Span]]),"N/A"))</f>
        <v>N/A</v>
      </c>
      <c r="T1964" s="1" t="str">
        <f>IF(OR(Table1[[#This Row],[Low Tol]]="",Table1[[#This Row],[High Tol]]=""),"Needs Analysis",IF(Table1[[#This Row],[Ratio]]&gt;=4,"Not Significant",IF(Table1[[#This Row],[Ratio]]&gt;=2,"Semi-Significant","Significant")))</f>
        <v>Needs Analysis</v>
      </c>
      <c r="W1964" s="1">
        <f>IF(Table1[[#This Row],[Cal Type]]&lt;&gt;"ACCREDITED 17025 WITH UNCERTAINTIES",0,"")</f>
        <v>0</v>
      </c>
      <c r="X1964" s="1" t="str">
        <f>IF(Table1[[#This Row],[DUT Read]]="","N/A",Table1[[#This Row],[Std Error]]+Table1[[#This Row],[DUT Read]]+Table1[[#This Row],[DUT Ucty]])</f>
        <v>N/A</v>
      </c>
      <c r="Y1964" s="1" t="str">
        <f>IF(Table1[[#This Row],[Std Read]]="","N/A",Table1[[#This Row],[Std Read]]+Table1[[#This Row],[Std Ucty]])</f>
        <v>N/A</v>
      </c>
      <c r="Z19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4" s="1" t="str">
        <f>IF(Table1[[#This Row],[Spec Type]]="","N/A",Table1[[#This Row],[Spec Type]])</f>
        <v>±</v>
      </c>
      <c r="AC1964" s="1" t="str">
        <f>IF(Table1[[#This Row],[Spec Type2]]="N/A","N/A",IF(AND(Table1[[#This Row],[DUT Adj Read]]&gt;=Table1[[#This Row],[Low Tol]],Table1[[#This Row],[DUT Adj Read]]&lt;=Table1[[#This Row],[High Tol]]),"Pass","Fail"))</f>
        <v>Fail</v>
      </c>
      <c r="AD1964" s="1" t="str">
        <f>IF(AND(Table1[[#This Row],[Spec Type2]]="N/A",Table1[[#This Row],[DUT Adj Read]]="N/A",Table1[[#This Row],[Std Adj Read]]="N/A"),"N/A",IF(Table1[[#This Row],[DUT Adj Read]]="N/A",IF(Table1[[#This Row],[Std Adj Read]]&gt;Table1[[#This Row],[Low Tol]],"Pass","Fail"),IF(Table1[[#This Row],[DUT Adj Read]]&gt;Table1[[#This Row],[Low Tol]],"Pass","Fail")))</f>
        <v>Pass</v>
      </c>
      <c r="AE1964" s="1" t="str">
        <f>IF(AND(Table1[[#This Row],[Spec Type2]]="N/A",Table1[[#This Row],[DUT Adj Read]]="N/A",Table1[[#This Row],[Std Adj Read]]="N/A"),"N/A",IF(Table1[[#This Row],[DUT Adj Read]]="N/A",IF(Table1[[#This Row],[Std Adj Read]]&lt;Table1[[#This Row],[High Tol]],"Pass","Fail"),IF(Table1[[#This Row],[DUT Adj Read]]&lt;Table1[[#This Row],[High Tol]],"Pass","Fail")))</f>
        <v>Fail</v>
      </c>
      <c r="AF1964" s="1" t="str">
        <f>IF(AND(Table1[[#This Row],[Spec Type2]]="N/A",Table1[[#This Row],[DUT Adj Read]]="N/A",Table1[[#This Row],[Std Adj Read]]="N/A"),"N/A",IF(Table1[[#This Row],[DUT Adj Read]]="N/A",IF(Table1[[#This Row],[Std Adj Read]]&gt;=Table1[[#This Row],[Low Tol]],"Pass","Fail"),IF(Table1[[#This Row],[DUT Adj Read]]&gt;=Table1[[#This Row],[Low Tol]],"Pass","Fail")))</f>
        <v>Pass</v>
      </c>
      <c r="AG1964" s="1" t="str">
        <f>IF(AND(Table1[[#This Row],[Spec Type2]]="N/A",Table1[[#This Row],[DUT Adj Read]]="N/A",Table1[[#This Row],[Std Adj Read]]="N/A"),"N/A",IF(Table1[[#This Row],[DUT Adj Read]]="N/A",IF(Table1[[#This Row],[Std Adj Read]]&lt;=Table1[[#This Row],[High Tol]],"Pass","Fail"),IF(Table1[[#This Row],[DUT Adj Read]]&lt;=Table1[[#This Row],[High Tol]],"Pass","Fail")))</f>
        <v>Fail</v>
      </c>
      <c r="AH19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4" s="1" t="b">
        <v>0</v>
      </c>
      <c r="AN1964" s="1" t="b">
        <v>0</v>
      </c>
      <c r="AO1964" s="1" t="b">
        <v>0</v>
      </c>
    </row>
    <row r="1965" spans="1:41" x14ac:dyDescent="0.25">
      <c r="A1965" s="10"/>
      <c r="B1965" s="10"/>
      <c r="C1965" s="10"/>
      <c r="D1965" s="10"/>
      <c r="E1965" s="10"/>
      <c r="F1965" s="10"/>
      <c r="G1965" s="10"/>
      <c r="H1965" s="10"/>
      <c r="I1965" s="1" t="str">
        <f t="shared" si="90"/>
        <v/>
      </c>
      <c r="J1965" s="1" t="s">
        <v>35</v>
      </c>
      <c r="K1965" s="1" t="str">
        <f t="shared" si="91"/>
        <v/>
      </c>
      <c r="L1965" s="1" t="str">
        <f t="shared" si="92"/>
        <v/>
      </c>
      <c r="M1965" s="1">
        <f>IF(OR(Table1[[#This Row],[Std Nom]]="",Table1[[#This Row],[Std Read]]=""),0,Table1[[#This Row],[Std Nom]]-Table1[[#This Row],[Std Read]])</f>
        <v>0</v>
      </c>
      <c r="N1965" s="1">
        <f>IF(Calculations!$F$5="ACCREDITED 17025 WITH UNCERTAINTIES",$N$10,0)</f>
        <v>0</v>
      </c>
      <c r="Q1965" s="1">
        <f>Table1[[#This Row],[High Tol]]-Table1[[#This Row],[Low Tol]]</f>
        <v>0</v>
      </c>
      <c r="R1965" s="1">
        <f>2*Table1[[#This Row],[Std Error]]</f>
        <v>0</v>
      </c>
      <c r="S1965" s="1" t="str">
        <f>IF(Table1[[#This Row],[High Tol]]="","N/A",IFERROR(ABS(Table1[[#This Row],[Tol Span]]/Table1[[#This Row],[Error Span]]),"N/A"))</f>
        <v>N/A</v>
      </c>
      <c r="T1965" s="1" t="str">
        <f>IF(OR(Table1[[#This Row],[Low Tol]]="",Table1[[#This Row],[High Tol]]=""),"Needs Analysis",IF(Table1[[#This Row],[Ratio]]&gt;=4,"Not Significant",IF(Table1[[#This Row],[Ratio]]&gt;=2,"Semi-Significant","Significant")))</f>
        <v>Needs Analysis</v>
      </c>
      <c r="W1965" s="1">
        <f>IF(Table1[[#This Row],[Cal Type]]&lt;&gt;"ACCREDITED 17025 WITH UNCERTAINTIES",0,"")</f>
        <v>0</v>
      </c>
      <c r="X1965" s="1" t="str">
        <f>IF(Table1[[#This Row],[DUT Read]]="","N/A",Table1[[#This Row],[Std Error]]+Table1[[#This Row],[DUT Read]]+Table1[[#This Row],[DUT Ucty]])</f>
        <v>N/A</v>
      </c>
      <c r="Y1965" s="1" t="str">
        <f>IF(Table1[[#This Row],[Std Read]]="","N/A",Table1[[#This Row],[Std Read]]+Table1[[#This Row],[Std Ucty]])</f>
        <v>N/A</v>
      </c>
      <c r="Z19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5" s="1" t="str">
        <f>IF(Table1[[#This Row],[Spec Type]]="","N/A",Table1[[#This Row],[Spec Type]])</f>
        <v>±</v>
      </c>
      <c r="AC1965" s="1" t="str">
        <f>IF(Table1[[#This Row],[Spec Type2]]="N/A","N/A",IF(AND(Table1[[#This Row],[DUT Adj Read]]&gt;=Table1[[#This Row],[Low Tol]],Table1[[#This Row],[DUT Adj Read]]&lt;=Table1[[#This Row],[High Tol]]),"Pass","Fail"))</f>
        <v>Fail</v>
      </c>
      <c r="AD1965" s="1" t="str">
        <f>IF(AND(Table1[[#This Row],[Spec Type2]]="N/A",Table1[[#This Row],[DUT Adj Read]]="N/A",Table1[[#This Row],[Std Adj Read]]="N/A"),"N/A",IF(Table1[[#This Row],[DUT Adj Read]]="N/A",IF(Table1[[#This Row],[Std Adj Read]]&gt;Table1[[#This Row],[Low Tol]],"Pass","Fail"),IF(Table1[[#This Row],[DUT Adj Read]]&gt;Table1[[#This Row],[Low Tol]],"Pass","Fail")))</f>
        <v>Pass</v>
      </c>
      <c r="AE1965" s="1" t="str">
        <f>IF(AND(Table1[[#This Row],[Spec Type2]]="N/A",Table1[[#This Row],[DUT Adj Read]]="N/A",Table1[[#This Row],[Std Adj Read]]="N/A"),"N/A",IF(Table1[[#This Row],[DUT Adj Read]]="N/A",IF(Table1[[#This Row],[Std Adj Read]]&lt;Table1[[#This Row],[High Tol]],"Pass","Fail"),IF(Table1[[#This Row],[DUT Adj Read]]&lt;Table1[[#This Row],[High Tol]],"Pass","Fail")))</f>
        <v>Fail</v>
      </c>
      <c r="AF1965" s="1" t="str">
        <f>IF(AND(Table1[[#This Row],[Spec Type2]]="N/A",Table1[[#This Row],[DUT Adj Read]]="N/A",Table1[[#This Row],[Std Adj Read]]="N/A"),"N/A",IF(Table1[[#This Row],[DUT Adj Read]]="N/A",IF(Table1[[#This Row],[Std Adj Read]]&gt;=Table1[[#This Row],[Low Tol]],"Pass","Fail"),IF(Table1[[#This Row],[DUT Adj Read]]&gt;=Table1[[#This Row],[Low Tol]],"Pass","Fail")))</f>
        <v>Pass</v>
      </c>
      <c r="AG1965" s="1" t="str">
        <f>IF(AND(Table1[[#This Row],[Spec Type2]]="N/A",Table1[[#This Row],[DUT Adj Read]]="N/A",Table1[[#This Row],[Std Adj Read]]="N/A"),"N/A",IF(Table1[[#This Row],[DUT Adj Read]]="N/A",IF(Table1[[#This Row],[Std Adj Read]]&lt;=Table1[[#This Row],[High Tol]],"Pass","Fail"),IF(Table1[[#This Row],[DUT Adj Read]]&lt;=Table1[[#This Row],[High Tol]],"Pass","Fail")))</f>
        <v>Fail</v>
      </c>
      <c r="AH19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5" s="1" t="b">
        <v>0</v>
      </c>
      <c r="AN1965" s="1" t="b">
        <v>0</v>
      </c>
      <c r="AO1965" s="1" t="b">
        <v>0</v>
      </c>
    </row>
    <row r="1966" spans="1:41" x14ac:dyDescent="0.25">
      <c r="A1966" s="10"/>
      <c r="B1966" s="10"/>
      <c r="C1966" s="10"/>
      <c r="D1966" s="10"/>
      <c r="E1966" s="10"/>
      <c r="F1966" s="10"/>
      <c r="G1966" s="10"/>
      <c r="H1966" s="10"/>
      <c r="I1966" s="1" t="str">
        <f t="shared" si="90"/>
        <v/>
      </c>
      <c r="J1966" s="1" t="s">
        <v>35</v>
      </c>
      <c r="K1966" s="1" t="str">
        <f t="shared" si="91"/>
        <v/>
      </c>
      <c r="L1966" s="1" t="str">
        <f t="shared" si="92"/>
        <v/>
      </c>
      <c r="M1966" s="1">
        <f>IF(OR(Table1[[#This Row],[Std Nom]]="",Table1[[#This Row],[Std Read]]=""),0,Table1[[#This Row],[Std Nom]]-Table1[[#This Row],[Std Read]])</f>
        <v>0</v>
      </c>
      <c r="N1966" s="1">
        <f>IF(Calculations!$F$5="ACCREDITED 17025 WITH UNCERTAINTIES",$N$10,0)</f>
        <v>0</v>
      </c>
      <c r="Q1966" s="1">
        <f>Table1[[#This Row],[High Tol]]-Table1[[#This Row],[Low Tol]]</f>
        <v>0</v>
      </c>
      <c r="R1966" s="1">
        <f>2*Table1[[#This Row],[Std Error]]</f>
        <v>0</v>
      </c>
      <c r="S1966" s="1" t="str">
        <f>IF(Table1[[#This Row],[High Tol]]="","N/A",IFERROR(ABS(Table1[[#This Row],[Tol Span]]/Table1[[#This Row],[Error Span]]),"N/A"))</f>
        <v>N/A</v>
      </c>
      <c r="T1966" s="1" t="str">
        <f>IF(OR(Table1[[#This Row],[Low Tol]]="",Table1[[#This Row],[High Tol]]=""),"Needs Analysis",IF(Table1[[#This Row],[Ratio]]&gt;=4,"Not Significant",IF(Table1[[#This Row],[Ratio]]&gt;=2,"Semi-Significant","Significant")))</f>
        <v>Needs Analysis</v>
      </c>
      <c r="W1966" s="1">
        <f>IF(Table1[[#This Row],[Cal Type]]&lt;&gt;"ACCREDITED 17025 WITH UNCERTAINTIES",0,"")</f>
        <v>0</v>
      </c>
      <c r="X1966" s="1" t="str">
        <f>IF(Table1[[#This Row],[DUT Read]]="","N/A",Table1[[#This Row],[Std Error]]+Table1[[#This Row],[DUT Read]]+Table1[[#This Row],[DUT Ucty]])</f>
        <v>N/A</v>
      </c>
      <c r="Y1966" s="1" t="str">
        <f>IF(Table1[[#This Row],[Std Read]]="","N/A",Table1[[#This Row],[Std Read]]+Table1[[#This Row],[Std Ucty]])</f>
        <v>N/A</v>
      </c>
      <c r="Z19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6" s="1" t="str">
        <f>IF(Table1[[#This Row],[Spec Type]]="","N/A",Table1[[#This Row],[Spec Type]])</f>
        <v>±</v>
      </c>
      <c r="AC1966" s="1" t="str">
        <f>IF(Table1[[#This Row],[Spec Type2]]="N/A","N/A",IF(AND(Table1[[#This Row],[DUT Adj Read]]&gt;=Table1[[#This Row],[Low Tol]],Table1[[#This Row],[DUT Adj Read]]&lt;=Table1[[#This Row],[High Tol]]),"Pass","Fail"))</f>
        <v>Fail</v>
      </c>
      <c r="AD1966" s="1" t="str">
        <f>IF(AND(Table1[[#This Row],[Spec Type2]]="N/A",Table1[[#This Row],[DUT Adj Read]]="N/A",Table1[[#This Row],[Std Adj Read]]="N/A"),"N/A",IF(Table1[[#This Row],[DUT Adj Read]]="N/A",IF(Table1[[#This Row],[Std Adj Read]]&gt;Table1[[#This Row],[Low Tol]],"Pass","Fail"),IF(Table1[[#This Row],[DUT Adj Read]]&gt;Table1[[#This Row],[Low Tol]],"Pass","Fail")))</f>
        <v>Pass</v>
      </c>
      <c r="AE1966" s="1" t="str">
        <f>IF(AND(Table1[[#This Row],[Spec Type2]]="N/A",Table1[[#This Row],[DUT Adj Read]]="N/A",Table1[[#This Row],[Std Adj Read]]="N/A"),"N/A",IF(Table1[[#This Row],[DUT Adj Read]]="N/A",IF(Table1[[#This Row],[Std Adj Read]]&lt;Table1[[#This Row],[High Tol]],"Pass","Fail"),IF(Table1[[#This Row],[DUT Adj Read]]&lt;Table1[[#This Row],[High Tol]],"Pass","Fail")))</f>
        <v>Fail</v>
      </c>
      <c r="AF1966" s="1" t="str">
        <f>IF(AND(Table1[[#This Row],[Spec Type2]]="N/A",Table1[[#This Row],[DUT Adj Read]]="N/A",Table1[[#This Row],[Std Adj Read]]="N/A"),"N/A",IF(Table1[[#This Row],[DUT Adj Read]]="N/A",IF(Table1[[#This Row],[Std Adj Read]]&gt;=Table1[[#This Row],[Low Tol]],"Pass","Fail"),IF(Table1[[#This Row],[DUT Adj Read]]&gt;=Table1[[#This Row],[Low Tol]],"Pass","Fail")))</f>
        <v>Pass</v>
      </c>
      <c r="AG1966" s="1" t="str">
        <f>IF(AND(Table1[[#This Row],[Spec Type2]]="N/A",Table1[[#This Row],[DUT Adj Read]]="N/A",Table1[[#This Row],[Std Adj Read]]="N/A"),"N/A",IF(Table1[[#This Row],[DUT Adj Read]]="N/A",IF(Table1[[#This Row],[Std Adj Read]]&lt;=Table1[[#This Row],[High Tol]],"Pass","Fail"),IF(Table1[[#This Row],[DUT Adj Read]]&lt;=Table1[[#This Row],[High Tol]],"Pass","Fail")))</f>
        <v>Fail</v>
      </c>
      <c r="AH19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6" s="1" t="b">
        <v>0</v>
      </c>
      <c r="AN1966" s="1" t="b">
        <v>0</v>
      </c>
      <c r="AO1966" s="1" t="b">
        <v>0</v>
      </c>
    </row>
    <row r="1967" spans="1:41" x14ac:dyDescent="0.25">
      <c r="A1967" s="10"/>
      <c r="B1967" s="10"/>
      <c r="C1967" s="10"/>
      <c r="D1967" s="10"/>
      <c r="E1967" s="10"/>
      <c r="F1967" s="10"/>
      <c r="G1967" s="10"/>
      <c r="H1967" s="10"/>
      <c r="I1967" s="1" t="str">
        <f t="shared" si="90"/>
        <v/>
      </c>
      <c r="J1967" s="1" t="s">
        <v>35</v>
      </c>
      <c r="K1967" s="1" t="str">
        <f t="shared" si="91"/>
        <v/>
      </c>
      <c r="L1967" s="1" t="str">
        <f t="shared" si="92"/>
        <v/>
      </c>
      <c r="M1967" s="1">
        <f>IF(OR(Table1[[#This Row],[Std Nom]]="",Table1[[#This Row],[Std Read]]=""),0,Table1[[#This Row],[Std Nom]]-Table1[[#This Row],[Std Read]])</f>
        <v>0</v>
      </c>
      <c r="N1967" s="1">
        <f>IF(Calculations!$F$5="ACCREDITED 17025 WITH UNCERTAINTIES",$N$10,0)</f>
        <v>0</v>
      </c>
      <c r="Q1967" s="1">
        <f>Table1[[#This Row],[High Tol]]-Table1[[#This Row],[Low Tol]]</f>
        <v>0</v>
      </c>
      <c r="R1967" s="1">
        <f>2*Table1[[#This Row],[Std Error]]</f>
        <v>0</v>
      </c>
      <c r="S1967" s="1" t="str">
        <f>IF(Table1[[#This Row],[High Tol]]="","N/A",IFERROR(ABS(Table1[[#This Row],[Tol Span]]/Table1[[#This Row],[Error Span]]),"N/A"))</f>
        <v>N/A</v>
      </c>
      <c r="T1967" s="1" t="str">
        <f>IF(OR(Table1[[#This Row],[Low Tol]]="",Table1[[#This Row],[High Tol]]=""),"Needs Analysis",IF(Table1[[#This Row],[Ratio]]&gt;=4,"Not Significant",IF(Table1[[#This Row],[Ratio]]&gt;=2,"Semi-Significant","Significant")))</f>
        <v>Needs Analysis</v>
      </c>
      <c r="W1967" s="1">
        <f>IF(Table1[[#This Row],[Cal Type]]&lt;&gt;"ACCREDITED 17025 WITH UNCERTAINTIES",0,"")</f>
        <v>0</v>
      </c>
      <c r="X1967" s="1" t="str">
        <f>IF(Table1[[#This Row],[DUT Read]]="","N/A",Table1[[#This Row],[Std Error]]+Table1[[#This Row],[DUT Read]]+Table1[[#This Row],[DUT Ucty]])</f>
        <v>N/A</v>
      </c>
      <c r="Y1967" s="1" t="str">
        <f>IF(Table1[[#This Row],[Std Read]]="","N/A",Table1[[#This Row],[Std Read]]+Table1[[#This Row],[Std Ucty]])</f>
        <v>N/A</v>
      </c>
      <c r="Z19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7" s="1" t="str">
        <f>IF(Table1[[#This Row],[Spec Type]]="","N/A",Table1[[#This Row],[Spec Type]])</f>
        <v>±</v>
      </c>
      <c r="AC1967" s="1" t="str">
        <f>IF(Table1[[#This Row],[Spec Type2]]="N/A","N/A",IF(AND(Table1[[#This Row],[DUT Adj Read]]&gt;=Table1[[#This Row],[Low Tol]],Table1[[#This Row],[DUT Adj Read]]&lt;=Table1[[#This Row],[High Tol]]),"Pass","Fail"))</f>
        <v>Fail</v>
      </c>
      <c r="AD1967" s="1" t="str">
        <f>IF(AND(Table1[[#This Row],[Spec Type2]]="N/A",Table1[[#This Row],[DUT Adj Read]]="N/A",Table1[[#This Row],[Std Adj Read]]="N/A"),"N/A",IF(Table1[[#This Row],[DUT Adj Read]]="N/A",IF(Table1[[#This Row],[Std Adj Read]]&gt;Table1[[#This Row],[Low Tol]],"Pass","Fail"),IF(Table1[[#This Row],[DUT Adj Read]]&gt;Table1[[#This Row],[Low Tol]],"Pass","Fail")))</f>
        <v>Pass</v>
      </c>
      <c r="AE1967" s="1" t="str">
        <f>IF(AND(Table1[[#This Row],[Spec Type2]]="N/A",Table1[[#This Row],[DUT Adj Read]]="N/A",Table1[[#This Row],[Std Adj Read]]="N/A"),"N/A",IF(Table1[[#This Row],[DUT Adj Read]]="N/A",IF(Table1[[#This Row],[Std Adj Read]]&lt;Table1[[#This Row],[High Tol]],"Pass","Fail"),IF(Table1[[#This Row],[DUT Adj Read]]&lt;Table1[[#This Row],[High Tol]],"Pass","Fail")))</f>
        <v>Fail</v>
      </c>
      <c r="AF1967" s="1" t="str">
        <f>IF(AND(Table1[[#This Row],[Spec Type2]]="N/A",Table1[[#This Row],[DUT Adj Read]]="N/A",Table1[[#This Row],[Std Adj Read]]="N/A"),"N/A",IF(Table1[[#This Row],[DUT Adj Read]]="N/A",IF(Table1[[#This Row],[Std Adj Read]]&gt;=Table1[[#This Row],[Low Tol]],"Pass","Fail"),IF(Table1[[#This Row],[DUT Adj Read]]&gt;=Table1[[#This Row],[Low Tol]],"Pass","Fail")))</f>
        <v>Pass</v>
      </c>
      <c r="AG1967" s="1" t="str">
        <f>IF(AND(Table1[[#This Row],[Spec Type2]]="N/A",Table1[[#This Row],[DUT Adj Read]]="N/A",Table1[[#This Row],[Std Adj Read]]="N/A"),"N/A",IF(Table1[[#This Row],[DUT Adj Read]]="N/A",IF(Table1[[#This Row],[Std Adj Read]]&lt;=Table1[[#This Row],[High Tol]],"Pass","Fail"),IF(Table1[[#This Row],[DUT Adj Read]]&lt;=Table1[[#This Row],[High Tol]],"Pass","Fail")))</f>
        <v>Fail</v>
      </c>
      <c r="AH19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7" s="1" t="b">
        <v>0</v>
      </c>
      <c r="AN1967" s="1" t="b">
        <v>0</v>
      </c>
      <c r="AO1967" s="1" t="b">
        <v>0</v>
      </c>
    </row>
    <row r="1968" spans="1:41" x14ac:dyDescent="0.25">
      <c r="A1968" s="10"/>
      <c r="B1968" s="10"/>
      <c r="C1968" s="10"/>
      <c r="D1968" s="10"/>
      <c r="E1968" s="10"/>
      <c r="F1968" s="10"/>
      <c r="G1968" s="10"/>
      <c r="H1968" s="10"/>
      <c r="I1968" s="1" t="str">
        <f t="shared" si="90"/>
        <v/>
      </c>
      <c r="J1968" s="1" t="s">
        <v>35</v>
      </c>
      <c r="K1968" s="1" t="str">
        <f t="shared" si="91"/>
        <v/>
      </c>
      <c r="L1968" s="1" t="str">
        <f t="shared" si="92"/>
        <v/>
      </c>
      <c r="M1968" s="1">
        <f>IF(OR(Table1[[#This Row],[Std Nom]]="",Table1[[#This Row],[Std Read]]=""),0,Table1[[#This Row],[Std Nom]]-Table1[[#This Row],[Std Read]])</f>
        <v>0</v>
      </c>
      <c r="N1968" s="1">
        <f>IF(Calculations!$F$5="ACCREDITED 17025 WITH UNCERTAINTIES",$N$10,0)</f>
        <v>0</v>
      </c>
      <c r="Q1968" s="1">
        <f>Table1[[#This Row],[High Tol]]-Table1[[#This Row],[Low Tol]]</f>
        <v>0</v>
      </c>
      <c r="R1968" s="1">
        <f>2*Table1[[#This Row],[Std Error]]</f>
        <v>0</v>
      </c>
      <c r="S1968" s="1" t="str">
        <f>IF(Table1[[#This Row],[High Tol]]="","N/A",IFERROR(ABS(Table1[[#This Row],[Tol Span]]/Table1[[#This Row],[Error Span]]),"N/A"))</f>
        <v>N/A</v>
      </c>
      <c r="T1968" s="1" t="str">
        <f>IF(OR(Table1[[#This Row],[Low Tol]]="",Table1[[#This Row],[High Tol]]=""),"Needs Analysis",IF(Table1[[#This Row],[Ratio]]&gt;=4,"Not Significant",IF(Table1[[#This Row],[Ratio]]&gt;=2,"Semi-Significant","Significant")))</f>
        <v>Needs Analysis</v>
      </c>
      <c r="W1968" s="1">
        <f>IF(Table1[[#This Row],[Cal Type]]&lt;&gt;"ACCREDITED 17025 WITH UNCERTAINTIES",0,"")</f>
        <v>0</v>
      </c>
      <c r="X1968" s="1" t="str">
        <f>IF(Table1[[#This Row],[DUT Read]]="","N/A",Table1[[#This Row],[Std Error]]+Table1[[#This Row],[DUT Read]]+Table1[[#This Row],[DUT Ucty]])</f>
        <v>N/A</v>
      </c>
      <c r="Y1968" s="1" t="str">
        <f>IF(Table1[[#This Row],[Std Read]]="","N/A",Table1[[#This Row],[Std Read]]+Table1[[#This Row],[Std Ucty]])</f>
        <v>N/A</v>
      </c>
      <c r="Z19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8" s="1" t="str">
        <f>IF(Table1[[#This Row],[Spec Type]]="","N/A",Table1[[#This Row],[Spec Type]])</f>
        <v>±</v>
      </c>
      <c r="AC1968" s="1" t="str">
        <f>IF(Table1[[#This Row],[Spec Type2]]="N/A","N/A",IF(AND(Table1[[#This Row],[DUT Adj Read]]&gt;=Table1[[#This Row],[Low Tol]],Table1[[#This Row],[DUT Adj Read]]&lt;=Table1[[#This Row],[High Tol]]),"Pass","Fail"))</f>
        <v>Fail</v>
      </c>
      <c r="AD1968" s="1" t="str">
        <f>IF(AND(Table1[[#This Row],[Spec Type2]]="N/A",Table1[[#This Row],[DUT Adj Read]]="N/A",Table1[[#This Row],[Std Adj Read]]="N/A"),"N/A",IF(Table1[[#This Row],[DUT Adj Read]]="N/A",IF(Table1[[#This Row],[Std Adj Read]]&gt;Table1[[#This Row],[Low Tol]],"Pass","Fail"),IF(Table1[[#This Row],[DUT Adj Read]]&gt;Table1[[#This Row],[Low Tol]],"Pass","Fail")))</f>
        <v>Pass</v>
      </c>
      <c r="AE1968" s="1" t="str">
        <f>IF(AND(Table1[[#This Row],[Spec Type2]]="N/A",Table1[[#This Row],[DUT Adj Read]]="N/A",Table1[[#This Row],[Std Adj Read]]="N/A"),"N/A",IF(Table1[[#This Row],[DUT Adj Read]]="N/A",IF(Table1[[#This Row],[Std Adj Read]]&lt;Table1[[#This Row],[High Tol]],"Pass","Fail"),IF(Table1[[#This Row],[DUT Adj Read]]&lt;Table1[[#This Row],[High Tol]],"Pass","Fail")))</f>
        <v>Fail</v>
      </c>
      <c r="AF1968" s="1" t="str">
        <f>IF(AND(Table1[[#This Row],[Spec Type2]]="N/A",Table1[[#This Row],[DUT Adj Read]]="N/A",Table1[[#This Row],[Std Adj Read]]="N/A"),"N/A",IF(Table1[[#This Row],[DUT Adj Read]]="N/A",IF(Table1[[#This Row],[Std Adj Read]]&gt;=Table1[[#This Row],[Low Tol]],"Pass","Fail"),IF(Table1[[#This Row],[DUT Adj Read]]&gt;=Table1[[#This Row],[Low Tol]],"Pass","Fail")))</f>
        <v>Pass</v>
      </c>
      <c r="AG1968" s="1" t="str">
        <f>IF(AND(Table1[[#This Row],[Spec Type2]]="N/A",Table1[[#This Row],[DUT Adj Read]]="N/A",Table1[[#This Row],[Std Adj Read]]="N/A"),"N/A",IF(Table1[[#This Row],[DUT Adj Read]]="N/A",IF(Table1[[#This Row],[Std Adj Read]]&lt;=Table1[[#This Row],[High Tol]],"Pass","Fail"),IF(Table1[[#This Row],[DUT Adj Read]]&lt;=Table1[[#This Row],[High Tol]],"Pass","Fail")))</f>
        <v>Fail</v>
      </c>
      <c r="AH19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8" s="1" t="b">
        <v>0</v>
      </c>
      <c r="AN1968" s="1" t="b">
        <v>0</v>
      </c>
      <c r="AO1968" s="1" t="b">
        <v>0</v>
      </c>
    </row>
    <row r="1969" spans="1:41" x14ac:dyDescent="0.25">
      <c r="A1969" s="10"/>
      <c r="B1969" s="10"/>
      <c r="C1969" s="10"/>
      <c r="D1969" s="10"/>
      <c r="E1969" s="10"/>
      <c r="F1969" s="10"/>
      <c r="G1969" s="10"/>
      <c r="H1969" s="10"/>
      <c r="I1969" s="1" t="str">
        <f t="shared" si="90"/>
        <v/>
      </c>
      <c r="J1969" s="1" t="s">
        <v>35</v>
      </c>
      <c r="K1969" s="1" t="str">
        <f t="shared" si="91"/>
        <v/>
      </c>
      <c r="L1969" s="1" t="str">
        <f t="shared" si="92"/>
        <v/>
      </c>
      <c r="M1969" s="1">
        <f>IF(OR(Table1[[#This Row],[Std Nom]]="",Table1[[#This Row],[Std Read]]=""),0,Table1[[#This Row],[Std Nom]]-Table1[[#This Row],[Std Read]])</f>
        <v>0</v>
      </c>
      <c r="N1969" s="1">
        <f>IF(Calculations!$F$5="ACCREDITED 17025 WITH UNCERTAINTIES",$N$10,0)</f>
        <v>0</v>
      </c>
      <c r="Q1969" s="1">
        <f>Table1[[#This Row],[High Tol]]-Table1[[#This Row],[Low Tol]]</f>
        <v>0</v>
      </c>
      <c r="R1969" s="1">
        <f>2*Table1[[#This Row],[Std Error]]</f>
        <v>0</v>
      </c>
      <c r="S1969" s="1" t="str">
        <f>IF(Table1[[#This Row],[High Tol]]="","N/A",IFERROR(ABS(Table1[[#This Row],[Tol Span]]/Table1[[#This Row],[Error Span]]),"N/A"))</f>
        <v>N/A</v>
      </c>
      <c r="T1969" s="1" t="str">
        <f>IF(OR(Table1[[#This Row],[Low Tol]]="",Table1[[#This Row],[High Tol]]=""),"Needs Analysis",IF(Table1[[#This Row],[Ratio]]&gt;=4,"Not Significant",IF(Table1[[#This Row],[Ratio]]&gt;=2,"Semi-Significant","Significant")))</f>
        <v>Needs Analysis</v>
      </c>
      <c r="W1969" s="1">
        <f>IF(Table1[[#This Row],[Cal Type]]&lt;&gt;"ACCREDITED 17025 WITH UNCERTAINTIES",0,"")</f>
        <v>0</v>
      </c>
      <c r="X1969" s="1" t="str">
        <f>IF(Table1[[#This Row],[DUT Read]]="","N/A",Table1[[#This Row],[Std Error]]+Table1[[#This Row],[DUT Read]]+Table1[[#This Row],[DUT Ucty]])</f>
        <v>N/A</v>
      </c>
      <c r="Y1969" s="1" t="str">
        <f>IF(Table1[[#This Row],[Std Read]]="","N/A",Table1[[#This Row],[Std Read]]+Table1[[#This Row],[Std Ucty]])</f>
        <v>N/A</v>
      </c>
      <c r="Z19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69" s="1" t="str">
        <f>IF(Table1[[#This Row],[Spec Type]]="","N/A",Table1[[#This Row],[Spec Type]])</f>
        <v>±</v>
      </c>
      <c r="AC1969" s="1" t="str">
        <f>IF(Table1[[#This Row],[Spec Type2]]="N/A","N/A",IF(AND(Table1[[#This Row],[DUT Adj Read]]&gt;=Table1[[#This Row],[Low Tol]],Table1[[#This Row],[DUT Adj Read]]&lt;=Table1[[#This Row],[High Tol]]),"Pass","Fail"))</f>
        <v>Fail</v>
      </c>
      <c r="AD1969" s="1" t="str">
        <f>IF(AND(Table1[[#This Row],[Spec Type2]]="N/A",Table1[[#This Row],[DUT Adj Read]]="N/A",Table1[[#This Row],[Std Adj Read]]="N/A"),"N/A",IF(Table1[[#This Row],[DUT Adj Read]]="N/A",IF(Table1[[#This Row],[Std Adj Read]]&gt;Table1[[#This Row],[Low Tol]],"Pass","Fail"),IF(Table1[[#This Row],[DUT Adj Read]]&gt;Table1[[#This Row],[Low Tol]],"Pass","Fail")))</f>
        <v>Pass</v>
      </c>
      <c r="AE1969" s="1" t="str">
        <f>IF(AND(Table1[[#This Row],[Spec Type2]]="N/A",Table1[[#This Row],[DUT Adj Read]]="N/A",Table1[[#This Row],[Std Adj Read]]="N/A"),"N/A",IF(Table1[[#This Row],[DUT Adj Read]]="N/A",IF(Table1[[#This Row],[Std Adj Read]]&lt;Table1[[#This Row],[High Tol]],"Pass","Fail"),IF(Table1[[#This Row],[DUT Adj Read]]&lt;Table1[[#This Row],[High Tol]],"Pass","Fail")))</f>
        <v>Fail</v>
      </c>
      <c r="AF1969" s="1" t="str">
        <f>IF(AND(Table1[[#This Row],[Spec Type2]]="N/A",Table1[[#This Row],[DUT Adj Read]]="N/A",Table1[[#This Row],[Std Adj Read]]="N/A"),"N/A",IF(Table1[[#This Row],[DUT Adj Read]]="N/A",IF(Table1[[#This Row],[Std Adj Read]]&gt;=Table1[[#This Row],[Low Tol]],"Pass","Fail"),IF(Table1[[#This Row],[DUT Adj Read]]&gt;=Table1[[#This Row],[Low Tol]],"Pass","Fail")))</f>
        <v>Pass</v>
      </c>
      <c r="AG1969" s="1" t="str">
        <f>IF(AND(Table1[[#This Row],[Spec Type2]]="N/A",Table1[[#This Row],[DUT Adj Read]]="N/A",Table1[[#This Row],[Std Adj Read]]="N/A"),"N/A",IF(Table1[[#This Row],[DUT Adj Read]]="N/A",IF(Table1[[#This Row],[Std Adj Read]]&lt;=Table1[[#This Row],[High Tol]],"Pass","Fail"),IF(Table1[[#This Row],[DUT Adj Read]]&lt;=Table1[[#This Row],[High Tol]],"Pass","Fail")))</f>
        <v>Fail</v>
      </c>
      <c r="AH19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69" s="1" t="b">
        <v>0</v>
      </c>
      <c r="AN1969" s="1" t="b">
        <v>0</v>
      </c>
      <c r="AO1969" s="1" t="b">
        <v>0</v>
      </c>
    </row>
    <row r="1970" spans="1:41" x14ac:dyDescent="0.25">
      <c r="A1970" s="10"/>
      <c r="B1970" s="10"/>
      <c r="C1970" s="10"/>
      <c r="D1970" s="10"/>
      <c r="E1970" s="10"/>
      <c r="F1970" s="10"/>
      <c r="G1970" s="10"/>
      <c r="H1970" s="10"/>
      <c r="I1970" s="1" t="str">
        <f t="shared" si="90"/>
        <v/>
      </c>
      <c r="J1970" s="1" t="s">
        <v>35</v>
      </c>
      <c r="K1970" s="1" t="str">
        <f t="shared" si="91"/>
        <v/>
      </c>
      <c r="L1970" s="1" t="str">
        <f t="shared" si="92"/>
        <v/>
      </c>
      <c r="M1970" s="1">
        <f>IF(OR(Table1[[#This Row],[Std Nom]]="",Table1[[#This Row],[Std Read]]=""),0,Table1[[#This Row],[Std Nom]]-Table1[[#This Row],[Std Read]])</f>
        <v>0</v>
      </c>
      <c r="N1970" s="1">
        <f>IF(Calculations!$F$5="ACCREDITED 17025 WITH UNCERTAINTIES",$N$10,0)</f>
        <v>0</v>
      </c>
      <c r="Q1970" s="1">
        <f>Table1[[#This Row],[High Tol]]-Table1[[#This Row],[Low Tol]]</f>
        <v>0</v>
      </c>
      <c r="R1970" s="1">
        <f>2*Table1[[#This Row],[Std Error]]</f>
        <v>0</v>
      </c>
      <c r="S1970" s="1" t="str">
        <f>IF(Table1[[#This Row],[High Tol]]="","N/A",IFERROR(ABS(Table1[[#This Row],[Tol Span]]/Table1[[#This Row],[Error Span]]),"N/A"))</f>
        <v>N/A</v>
      </c>
      <c r="T1970" s="1" t="str">
        <f>IF(OR(Table1[[#This Row],[Low Tol]]="",Table1[[#This Row],[High Tol]]=""),"Needs Analysis",IF(Table1[[#This Row],[Ratio]]&gt;=4,"Not Significant",IF(Table1[[#This Row],[Ratio]]&gt;=2,"Semi-Significant","Significant")))</f>
        <v>Needs Analysis</v>
      </c>
      <c r="W1970" s="1">
        <f>IF(Table1[[#This Row],[Cal Type]]&lt;&gt;"ACCREDITED 17025 WITH UNCERTAINTIES",0,"")</f>
        <v>0</v>
      </c>
      <c r="X1970" s="1" t="str">
        <f>IF(Table1[[#This Row],[DUT Read]]="","N/A",Table1[[#This Row],[Std Error]]+Table1[[#This Row],[DUT Read]]+Table1[[#This Row],[DUT Ucty]])</f>
        <v>N/A</v>
      </c>
      <c r="Y1970" s="1" t="str">
        <f>IF(Table1[[#This Row],[Std Read]]="","N/A",Table1[[#This Row],[Std Read]]+Table1[[#This Row],[Std Ucty]])</f>
        <v>N/A</v>
      </c>
      <c r="Z19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0" s="1" t="str">
        <f>IF(Table1[[#This Row],[Spec Type]]="","N/A",Table1[[#This Row],[Spec Type]])</f>
        <v>±</v>
      </c>
      <c r="AC1970" s="1" t="str">
        <f>IF(Table1[[#This Row],[Spec Type2]]="N/A","N/A",IF(AND(Table1[[#This Row],[DUT Adj Read]]&gt;=Table1[[#This Row],[Low Tol]],Table1[[#This Row],[DUT Adj Read]]&lt;=Table1[[#This Row],[High Tol]]),"Pass","Fail"))</f>
        <v>Fail</v>
      </c>
      <c r="AD1970" s="1" t="str">
        <f>IF(AND(Table1[[#This Row],[Spec Type2]]="N/A",Table1[[#This Row],[DUT Adj Read]]="N/A",Table1[[#This Row],[Std Adj Read]]="N/A"),"N/A",IF(Table1[[#This Row],[DUT Adj Read]]="N/A",IF(Table1[[#This Row],[Std Adj Read]]&gt;Table1[[#This Row],[Low Tol]],"Pass","Fail"),IF(Table1[[#This Row],[DUT Adj Read]]&gt;Table1[[#This Row],[Low Tol]],"Pass","Fail")))</f>
        <v>Pass</v>
      </c>
      <c r="AE1970" s="1" t="str">
        <f>IF(AND(Table1[[#This Row],[Spec Type2]]="N/A",Table1[[#This Row],[DUT Adj Read]]="N/A",Table1[[#This Row],[Std Adj Read]]="N/A"),"N/A",IF(Table1[[#This Row],[DUT Adj Read]]="N/A",IF(Table1[[#This Row],[Std Adj Read]]&lt;Table1[[#This Row],[High Tol]],"Pass","Fail"),IF(Table1[[#This Row],[DUT Adj Read]]&lt;Table1[[#This Row],[High Tol]],"Pass","Fail")))</f>
        <v>Fail</v>
      </c>
      <c r="AF1970" s="1" t="str">
        <f>IF(AND(Table1[[#This Row],[Spec Type2]]="N/A",Table1[[#This Row],[DUT Adj Read]]="N/A",Table1[[#This Row],[Std Adj Read]]="N/A"),"N/A",IF(Table1[[#This Row],[DUT Adj Read]]="N/A",IF(Table1[[#This Row],[Std Adj Read]]&gt;=Table1[[#This Row],[Low Tol]],"Pass","Fail"),IF(Table1[[#This Row],[DUT Adj Read]]&gt;=Table1[[#This Row],[Low Tol]],"Pass","Fail")))</f>
        <v>Pass</v>
      </c>
      <c r="AG1970" s="1" t="str">
        <f>IF(AND(Table1[[#This Row],[Spec Type2]]="N/A",Table1[[#This Row],[DUT Adj Read]]="N/A",Table1[[#This Row],[Std Adj Read]]="N/A"),"N/A",IF(Table1[[#This Row],[DUT Adj Read]]="N/A",IF(Table1[[#This Row],[Std Adj Read]]&lt;=Table1[[#This Row],[High Tol]],"Pass","Fail"),IF(Table1[[#This Row],[DUT Adj Read]]&lt;=Table1[[#This Row],[High Tol]],"Pass","Fail")))</f>
        <v>Fail</v>
      </c>
      <c r="AH19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0" s="1" t="b">
        <v>0</v>
      </c>
      <c r="AN1970" s="1" t="b">
        <v>0</v>
      </c>
      <c r="AO1970" s="1" t="b">
        <v>0</v>
      </c>
    </row>
    <row r="1971" spans="1:41" x14ac:dyDescent="0.25">
      <c r="A1971" s="10"/>
      <c r="B1971" s="10"/>
      <c r="C1971" s="10"/>
      <c r="D1971" s="10"/>
      <c r="E1971" s="10"/>
      <c r="F1971" s="10"/>
      <c r="G1971" s="10"/>
      <c r="H1971" s="10"/>
      <c r="I1971" s="1" t="str">
        <f t="shared" si="90"/>
        <v/>
      </c>
      <c r="J1971" s="1" t="s">
        <v>35</v>
      </c>
      <c r="K1971" s="1" t="str">
        <f t="shared" si="91"/>
        <v/>
      </c>
      <c r="L1971" s="1" t="str">
        <f t="shared" si="92"/>
        <v/>
      </c>
      <c r="M1971" s="1">
        <f>IF(OR(Table1[[#This Row],[Std Nom]]="",Table1[[#This Row],[Std Read]]=""),0,Table1[[#This Row],[Std Nom]]-Table1[[#This Row],[Std Read]])</f>
        <v>0</v>
      </c>
      <c r="N1971" s="1">
        <f>IF(Calculations!$F$5="ACCREDITED 17025 WITH UNCERTAINTIES",$N$10,0)</f>
        <v>0</v>
      </c>
      <c r="Q1971" s="1">
        <f>Table1[[#This Row],[High Tol]]-Table1[[#This Row],[Low Tol]]</f>
        <v>0</v>
      </c>
      <c r="R1971" s="1">
        <f>2*Table1[[#This Row],[Std Error]]</f>
        <v>0</v>
      </c>
      <c r="S1971" s="1" t="str">
        <f>IF(Table1[[#This Row],[High Tol]]="","N/A",IFERROR(ABS(Table1[[#This Row],[Tol Span]]/Table1[[#This Row],[Error Span]]),"N/A"))</f>
        <v>N/A</v>
      </c>
      <c r="T1971" s="1" t="str">
        <f>IF(OR(Table1[[#This Row],[Low Tol]]="",Table1[[#This Row],[High Tol]]=""),"Needs Analysis",IF(Table1[[#This Row],[Ratio]]&gt;=4,"Not Significant",IF(Table1[[#This Row],[Ratio]]&gt;=2,"Semi-Significant","Significant")))</f>
        <v>Needs Analysis</v>
      </c>
      <c r="W1971" s="1">
        <f>IF(Table1[[#This Row],[Cal Type]]&lt;&gt;"ACCREDITED 17025 WITH UNCERTAINTIES",0,"")</f>
        <v>0</v>
      </c>
      <c r="X1971" s="1" t="str">
        <f>IF(Table1[[#This Row],[DUT Read]]="","N/A",Table1[[#This Row],[Std Error]]+Table1[[#This Row],[DUT Read]]+Table1[[#This Row],[DUT Ucty]])</f>
        <v>N/A</v>
      </c>
      <c r="Y1971" s="1" t="str">
        <f>IF(Table1[[#This Row],[Std Read]]="","N/A",Table1[[#This Row],[Std Read]]+Table1[[#This Row],[Std Ucty]])</f>
        <v>N/A</v>
      </c>
      <c r="Z19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1" s="1" t="str">
        <f>IF(Table1[[#This Row],[Spec Type]]="","N/A",Table1[[#This Row],[Spec Type]])</f>
        <v>±</v>
      </c>
      <c r="AC1971" s="1" t="str">
        <f>IF(Table1[[#This Row],[Spec Type2]]="N/A","N/A",IF(AND(Table1[[#This Row],[DUT Adj Read]]&gt;=Table1[[#This Row],[Low Tol]],Table1[[#This Row],[DUT Adj Read]]&lt;=Table1[[#This Row],[High Tol]]),"Pass","Fail"))</f>
        <v>Fail</v>
      </c>
      <c r="AD1971" s="1" t="str">
        <f>IF(AND(Table1[[#This Row],[Spec Type2]]="N/A",Table1[[#This Row],[DUT Adj Read]]="N/A",Table1[[#This Row],[Std Adj Read]]="N/A"),"N/A",IF(Table1[[#This Row],[DUT Adj Read]]="N/A",IF(Table1[[#This Row],[Std Adj Read]]&gt;Table1[[#This Row],[Low Tol]],"Pass","Fail"),IF(Table1[[#This Row],[DUT Adj Read]]&gt;Table1[[#This Row],[Low Tol]],"Pass","Fail")))</f>
        <v>Pass</v>
      </c>
      <c r="AE1971" s="1" t="str">
        <f>IF(AND(Table1[[#This Row],[Spec Type2]]="N/A",Table1[[#This Row],[DUT Adj Read]]="N/A",Table1[[#This Row],[Std Adj Read]]="N/A"),"N/A",IF(Table1[[#This Row],[DUT Adj Read]]="N/A",IF(Table1[[#This Row],[Std Adj Read]]&lt;Table1[[#This Row],[High Tol]],"Pass","Fail"),IF(Table1[[#This Row],[DUT Adj Read]]&lt;Table1[[#This Row],[High Tol]],"Pass","Fail")))</f>
        <v>Fail</v>
      </c>
      <c r="AF1971" s="1" t="str">
        <f>IF(AND(Table1[[#This Row],[Spec Type2]]="N/A",Table1[[#This Row],[DUT Adj Read]]="N/A",Table1[[#This Row],[Std Adj Read]]="N/A"),"N/A",IF(Table1[[#This Row],[DUT Adj Read]]="N/A",IF(Table1[[#This Row],[Std Adj Read]]&gt;=Table1[[#This Row],[Low Tol]],"Pass","Fail"),IF(Table1[[#This Row],[DUT Adj Read]]&gt;=Table1[[#This Row],[Low Tol]],"Pass","Fail")))</f>
        <v>Pass</v>
      </c>
      <c r="AG1971" s="1" t="str">
        <f>IF(AND(Table1[[#This Row],[Spec Type2]]="N/A",Table1[[#This Row],[DUT Adj Read]]="N/A",Table1[[#This Row],[Std Adj Read]]="N/A"),"N/A",IF(Table1[[#This Row],[DUT Adj Read]]="N/A",IF(Table1[[#This Row],[Std Adj Read]]&lt;=Table1[[#This Row],[High Tol]],"Pass","Fail"),IF(Table1[[#This Row],[DUT Adj Read]]&lt;=Table1[[#This Row],[High Tol]],"Pass","Fail")))</f>
        <v>Fail</v>
      </c>
      <c r="AH19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1" s="1" t="b">
        <v>0</v>
      </c>
      <c r="AN1971" s="1" t="b">
        <v>0</v>
      </c>
      <c r="AO1971" s="1" t="b">
        <v>0</v>
      </c>
    </row>
    <row r="1972" spans="1:41" x14ac:dyDescent="0.25">
      <c r="A1972" s="10"/>
      <c r="B1972" s="10"/>
      <c r="C1972" s="10"/>
      <c r="D1972" s="10"/>
      <c r="E1972" s="10"/>
      <c r="F1972" s="10"/>
      <c r="G1972" s="10"/>
      <c r="H1972" s="10"/>
      <c r="I1972" s="1" t="str">
        <f t="shared" si="90"/>
        <v/>
      </c>
      <c r="J1972" s="1" t="s">
        <v>35</v>
      </c>
      <c r="K1972" s="1" t="str">
        <f t="shared" si="91"/>
        <v/>
      </c>
      <c r="L1972" s="1" t="str">
        <f t="shared" si="92"/>
        <v/>
      </c>
      <c r="M1972" s="1">
        <f>IF(OR(Table1[[#This Row],[Std Nom]]="",Table1[[#This Row],[Std Read]]=""),0,Table1[[#This Row],[Std Nom]]-Table1[[#This Row],[Std Read]])</f>
        <v>0</v>
      </c>
      <c r="N1972" s="1">
        <f>IF(Calculations!$F$5="ACCREDITED 17025 WITH UNCERTAINTIES",$N$10,0)</f>
        <v>0</v>
      </c>
      <c r="Q1972" s="1">
        <f>Table1[[#This Row],[High Tol]]-Table1[[#This Row],[Low Tol]]</f>
        <v>0</v>
      </c>
      <c r="R1972" s="1">
        <f>2*Table1[[#This Row],[Std Error]]</f>
        <v>0</v>
      </c>
      <c r="S1972" s="1" t="str">
        <f>IF(Table1[[#This Row],[High Tol]]="","N/A",IFERROR(ABS(Table1[[#This Row],[Tol Span]]/Table1[[#This Row],[Error Span]]),"N/A"))</f>
        <v>N/A</v>
      </c>
      <c r="T1972" s="1" t="str">
        <f>IF(OR(Table1[[#This Row],[Low Tol]]="",Table1[[#This Row],[High Tol]]=""),"Needs Analysis",IF(Table1[[#This Row],[Ratio]]&gt;=4,"Not Significant",IF(Table1[[#This Row],[Ratio]]&gt;=2,"Semi-Significant","Significant")))</f>
        <v>Needs Analysis</v>
      </c>
      <c r="W1972" s="1">
        <f>IF(Table1[[#This Row],[Cal Type]]&lt;&gt;"ACCREDITED 17025 WITH UNCERTAINTIES",0,"")</f>
        <v>0</v>
      </c>
      <c r="X1972" s="1" t="str">
        <f>IF(Table1[[#This Row],[DUT Read]]="","N/A",Table1[[#This Row],[Std Error]]+Table1[[#This Row],[DUT Read]]+Table1[[#This Row],[DUT Ucty]])</f>
        <v>N/A</v>
      </c>
      <c r="Y1972" s="1" t="str">
        <f>IF(Table1[[#This Row],[Std Read]]="","N/A",Table1[[#This Row],[Std Read]]+Table1[[#This Row],[Std Ucty]])</f>
        <v>N/A</v>
      </c>
      <c r="Z19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2" s="1" t="str">
        <f>IF(Table1[[#This Row],[Spec Type]]="","N/A",Table1[[#This Row],[Spec Type]])</f>
        <v>±</v>
      </c>
      <c r="AC1972" s="1" t="str">
        <f>IF(Table1[[#This Row],[Spec Type2]]="N/A","N/A",IF(AND(Table1[[#This Row],[DUT Adj Read]]&gt;=Table1[[#This Row],[Low Tol]],Table1[[#This Row],[DUT Adj Read]]&lt;=Table1[[#This Row],[High Tol]]),"Pass","Fail"))</f>
        <v>Fail</v>
      </c>
      <c r="AD1972" s="1" t="str">
        <f>IF(AND(Table1[[#This Row],[Spec Type2]]="N/A",Table1[[#This Row],[DUT Adj Read]]="N/A",Table1[[#This Row],[Std Adj Read]]="N/A"),"N/A",IF(Table1[[#This Row],[DUT Adj Read]]="N/A",IF(Table1[[#This Row],[Std Adj Read]]&gt;Table1[[#This Row],[Low Tol]],"Pass","Fail"),IF(Table1[[#This Row],[DUT Adj Read]]&gt;Table1[[#This Row],[Low Tol]],"Pass","Fail")))</f>
        <v>Pass</v>
      </c>
      <c r="AE1972" s="1" t="str">
        <f>IF(AND(Table1[[#This Row],[Spec Type2]]="N/A",Table1[[#This Row],[DUT Adj Read]]="N/A",Table1[[#This Row],[Std Adj Read]]="N/A"),"N/A",IF(Table1[[#This Row],[DUT Adj Read]]="N/A",IF(Table1[[#This Row],[Std Adj Read]]&lt;Table1[[#This Row],[High Tol]],"Pass","Fail"),IF(Table1[[#This Row],[DUT Adj Read]]&lt;Table1[[#This Row],[High Tol]],"Pass","Fail")))</f>
        <v>Fail</v>
      </c>
      <c r="AF1972" s="1" t="str">
        <f>IF(AND(Table1[[#This Row],[Spec Type2]]="N/A",Table1[[#This Row],[DUT Adj Read]]="N/A",Table1[[#This Row],[Std Adj Read]]="N/A"),"N/A",IF(Table1[[#This Row],[DUT Adj Read]]="N/A",IF(Table1[[#This Row],[Std Adj Read]]&gt;=Table1[[#This Row],[Low Tol]],"Pass","Fail"),IF(Table1[[#This Row],[DUT Adj Read]]&gt;=Table1[[#This Row],[Low Tol]],"Pass","Fail")))</f>
        <v>Pass</v>
      </c>
      <c r="AG1972" s="1" t="str">
        <f>IF(AND(Table1[[#This Row],[Spec Type2]]="N/A",Table1[[#This Row],[DUT Adj Read]]="N/A",Table1[[#This Row],[Std Adj Read]]="N/A"),"N/A",IF(Table1[[#This Row],[DUT Adj Read]]="N/A",IF(Table1[[#This Row],[Std Adj Read]]&lt;=Table1[[#This Row],[High Tol]],"Pass","Fail"),IF(Table1[[#This Row],[DUT Adj Read]]&lt;=Table1[[#This Row],[High Tol]],"Pass","Fail")))</f>
        <v>Fail</v>
      </c>
      <c r="AH19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2" s="1" t="b">
        <v>0</v>
      </c>
      <c r="AN1972" s="1" t="b">
        <v>0</v>
      </c>
      <c r="AO1972" s="1" t="b">
        <v>0</v>
      </c>
    </row>
    <row r="1973" spans="1:41" x14ac:dyDescent="0.25">
      <c r="A1973" s="10"/>
      <c r="B1973" s="10"/>
      <c r="C1973" s="10"/>
      <c r="D1973" s="10"/>
      <c r="E1973" s="10"/>
      <c r="F1973" s="10"/>
      <c r="G1973" s="10"/>
      <c r="H1973" s="10"/>
      <c r="I1973" s="1" t="str">
        <f t="shared" si="90"/>
        <v/>
      </c>
      <c r="J1973" s="1" t="s">
        <v>35</v>
      </c>
      <c r="K1973" s="1" t="str">
        <f t="shared" si="91"/>
        <v/>
      </c>
      <c r="L1973" s="1" t="str">
        <f t="shared" si="92"/>
        <v/>
      </c>
      <c r="M1973" s="1">
        <f>IF(OR(Table1[[#This Row],[Std Nom]]="",Table1[[#This Row],[Std Read]]=""),0,Table1[[#This Row],[Std Nom]]-Table1[[#This Row],[Std Read]])</f>
        <v>0</v>
      </c>
      <c r="N1973" s="1">
        <f>IF(Calculations!$F$5="ACCREDITED 17025 WITH UNCERTAINTIES",$N$10,0)</f>
        <v>0</v>
      </c>
      <c r="Q1973" s="1">
        <f>Table1[[#This Row],[High Tol]]-Table1[[#This Row],[Low Tol]]</f>
        <v>0</v>
      </c>
      <c r="R1973" s="1">
        <f>2*Table1[[#This Row],[Std Error]]</f>
        <v>0</v>
      </c>
      <c r="S1973" s="1" t="str">
        <f>IF(Table1[[#This Row],[High Tol]]="","N/A",IFERROR(ABS(Table1[[#This Row],[Tol Span]]/Table1[[#This Row],[Error Span]]),"N/A"))</f>
        <v>N/A</v>
      </c>
      <c r="T1973" s="1" t="str">
        <f>IF(OR(Table1[[#This Row],[Low Tol]]="",Table1[[#This Row],[High Tol]]=""),"Needs Analysis",IF(Table1[[#This Row],[Ratio]]&gt;=4,"Not Significant",IF(Table1[[#This Row],[Ratio]]&gt;=2,"Semi-Significant","Significant")))</f>
        <v>Needs Analysis</v>
      </c>
      <c r="W1973" s="1">
        <f>IF(Table1[[#This Row],[Cal Type]]&lt;&gt;"ACCREDITED 17025 WITH UNCERTAINTIES",0,"")</f>
        <v>0</v>
      </c>
      <c r="X1973" s="1" t="str">
        <f>IF(Table1[[#This Row],[DUT Read]]="","N/A",Table1[[#This Row],[Std Error]]+Table1[[#This Row],[DUT Read]]+Table1[[#This Row],[DUT Ucty]])</f>
        <v>N/A</v>
      </c>
      <c r="Y1973" s="1" t="str">
        <f>IF(Table1[[#This Row],[Std Read]]="","N/A",Table1[[#This Row],[Std Read]]+Table1[[#This Row],[Std Ucty]])</f>
        <v>N/A</v>
      </c>
      <c r="Z19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3" s="1" t="str">
        <f>IF(Table1[[#This Row],[Spec Type]]="","N/A",Table1[[#This Row],[Spec Type]])</f>
        <v>±</v>
      </c>
      <c r="AC1973" s="1" t="str">
        <f>IF(Table1[[#This Row],[Spec Type2]]="N/A","N/A",IF(AND(Table1[[#This Row],[DUT Adj Read]]&gt;=Table1[[#This Row],[Low Tol]],Table1[[#This Row],[DUT Adj Read]]&lt;=Table1[[#This Row],[High Tol]]),"Pass","Fail"))</f>
        <v>Fail</v>
      </c>
      <c r="AD1973" s="1" t="str">
        <f>IF(AND(Table1[[#This Row],[Spec Type2]]="N/A",Table1[[#This Row],[DUT Adj Read]]="N/A",Table1[[#This Row],[Std Adj Read]]="N/A"),"N/A",IF(Table1[[#This Row],[DUT Adj Read]]="N/A",IF(Table1[[#This Row],[Std Adj Read]]&gt;Table1[[#This Row],[Low Tol]],"Pass","Fail"),IF(Table1[[#This Row],[DUT Adj Read]]&gt;Table1[[#This Row],[Low Tol]],"Pass","Fail")))</f>
        <v>Pass</v>
      </c>
      <c r="AE1973" s="1" t="str">
        <f>IF(AND(Table1[[#This Row],[Spec Type2]]="N/A",Table1[[#This Row],[DUT Adj Read]]="N/A",Table1[[#This Row],[Std Adj Read]]="N/A"),"N/A",IF(Table1[[#This Row],[DUT Adj Read]]="N/A",IF(Table1[[#This Row],[Std Adj Read]]&lt;Table1[[#This Row],[High Tol]],"Pass","Fail"),IF(Table1[[#This Row],[DUT Adj Read]]&lt;Table1[[#This Row],[High Tol]],"Pass","Fail")))</f>
        <v>Fail</v>
      </c>
      <c r="AF1973" s="1" t="str">
        <f>IF(AND(Table1[[#This Row],[Spec Type2]]="N/A",Table1[[#This Row],[DUT Adj Read]]="N/A",Table1[[#This Row],[Std Adj Read]]="N/A"),"N/A",IF(Table1[[#This Row],[DUT Adj Read]]="N/A",IF(Table1[[#This Row],[Std Adj Read]]&gt;=Table1[[#This Row],[Low Tol]],"Pass","Fail"),IF(Table1[[#This Row],[DUT Adj Read]]&gt;=Table1[[#This Row],[Low Tol]],"Pass","Fail")))</f>
        <v>Pass</v>
      </c>
      <c r="AG1973" s="1" t="str">
        <f>IF(AND(Table1[[#This Row],[Spec Type2]]="N/A",Table1[[#This Row],[DUT Adj Read]]="N/A",Table1[[#This Row],[Std Adj Read]]="N/A"),"N/A",IF(Table1[[#This Row],[DUT Adj Read]]="N/A",IF(Table1[[#This Row],[Std Adj Read]]&lt;=Table1[[#This Row],[High Tol]],"Pass","Fail"),IF(Table1[[#This Row],[DUT Adj Read]]&lt;=Table1[[#This Row],[High Tol]],"Pass","Fail")))</f>
        <v>Fail</v>
      </c>
      <c r="AH19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3" s="1" t="b">
        <v>0</v>
      </c>
      <c r="AN1973" s="1" t="b">
        <v>0</v>
      </c>
      <c r="AO1973" s="1" t="b">
        <v>0</v>
      </c>
    </row>
    <row r="1974" spans="1:41" x14ac:dyDescent="0.25">
      <c r="A1974" s="10"/>
      <c r="B1974" s="10"/>
      <c r="C1974" s="10"/>
      <c r="D1974" s="10"/>
      <c r="E1974" s="10"/>
      <c r="F1974" s="10"/>
      <c r="G1974" s="10"/>
      <c r="H1974" s="10"/>
      <c r="I1974" s="1" t="str">
        <f t="shared" si="90"/>
        <v/>
      </c>
      <c r="J1974" s="1" t="s">
        <v>35</v>
      </c>
      <c r="K1974" s="1" t="str">
        <f t="shared" si="91"/>
        <v/>
      </c>
      <c r="L1974" s="1" t="str">
        <f t="shared" si="92"/>
        <v/>
      </c>
      <c r="M1974" s="1">
        <f>IF(OR(Table1[[#This Row],[Std Nom]]="",Table1[[#This Row],[Std Read]]=""),0,Table1[[#This Row],[Std Nom]]-Table1[[#This Row],[Std Read]])</f>
        <v>0</v>
      </c>
      <c r="N1974" s="1">
        <f>IF(Calculations!$F$5="ACCREDITED 17025 WITH UNCERTAINTIES",$N$10,0)</f>
        <v>0</v>
      </c>
      <c r="Q1974" s="1">
        <f>Table1[[#This Row],[High Tol]]-Table1[[#This Row],[Low Tol]]</f>
        <v>0</v>
      </c>
      <c r="R1974" s="1">
        <f>2*Table1[[#This Row],[Std Error]]</f>
        <v>0</v>
      </c>
      <c r="S1974" s="1" t="str">
        <f>IF(Table1[[#This Row],[High Tol]]="","N/A",IFERROR(ABS(Table1[[#This Row],[Tol Span]]/Table1[[#This Row],[Error Span]]),"N/A"))</f>
        <v>N/A</v>
      </c>
      <c r="T1974" s="1" t="str">
        <f>IF(OR(Table1[[#This Row],[Low Tol]]="",Table1[[#This Row],[High Tol]]=""),"Needs Analysis",IF(Table1[[#This Row],[Ratio]]&gt;=4,"Not Significant",IF(Table1[[#This Row],[Ratio]]&gt;=2,"Semi-Significant","Significant")))</f>
        <v>Needs Analysis</v>
      </c>
      <c r="W1974" s="1">
        <f>IF(Table1[[#This Row],[Cal Type]]&lt;&gt;"ACCREDITED 17025 WITH UNCERTAINTIES",0,"")</f>
        <v>0</v>
      </c>
      <c r="X1974" s="1" t="str">
        <f>IF(Table1[[#This Row],[DUT Read]]="","N/A",Table1[[#This Row],[Std Error]]+Table1[[#This Row],[DUT Read]]+Table1[[#This Row],[DUT Ucty]])</f>
        <v>N/A</v>
      </c>
      <c r="Y1974" s="1" t="str">
        <f>IF(Table1[[#This Row],[Std Read]]="","N/A",Table1[[#This Row],[Std Read]]+Table1[[#This Row],[Std Ucty]])</f>
        <v>N/A</v>
      </c>
      <c r="Z19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4" s="1" t="str">
        <f>IF(Table1[[#This Row],[Spec Type]]="","N/A",Table1[[#This Row],[Spec Type]])</f>
        <v>±</v>
      </c>
      <c r="AC1974" s="1" t="str">
        <f>IF(Table1[[#This Row],[Spec Type2]]="N/A","N/A",IF(AND(Table1[[#This Row],[DUT Adj Read]]&gt;=Table1[[#This Row],[Low Tol]],Table1[[#This Row],[DUT Adj Read]]&lt;=Table1[[#This Row],[High Tol]]),"Pass","Fail"))</f>
        <v>Fail</v>
      </c>
      <c r="AD1974" s="1" t="str">
        <f>IF(AND(Table1[[#This Row],[Spec Type2]]="N/A",Table1[[#This Row],[DUT Adj Read]]="N/A",Table1[[#This Row],[Std Adj Read]]="N/A"),"N/A",IF(Table1[[#This Row],[DUT Adj Read]]="N/A",IF(Table1[[#This Row],[Std Adj Read]]&gt;Table1[[#This Row],[Low Tol]],"Pass","Fail"),IF(Table1[[#This Row],[DUT Adj Read]]&gt;Table1[[#This Row],[Low Tol]],"Pass","Fail")))</f>
        <v>Pass</v>
      </c>
      <c r="AE1974" s="1" t="str">
        <f>IF(AND(Table1[[#This Row],[Spec Type2]]="N/A",Table1[[#This Row],[DUT Adj Read]]="N/A",Table1[[#This Row],[Std Adj Read]]="N/A"),"N/A",IF(Table1[[#This Row],[DUT Adj Read]]="N/A",IF(Table1[[#This Row],[Std Adj Read]]&lt;Table1[[#This Row],[High Tol]],"Pass","Fail"),IF(Table1[[#This Row],[DUT Adj Read]]&lt;Table1[[#This Row],[High Tol]],"Pass","Fail")))</f>
        <v>Fail</v>
      </c>
      <c r="AF1974" s="1" t="str">
        <f>IF(AND(Table1[[#This Row],[Spec Type2]]="N/A",Table1[[#This Row],[DUT Adj Read]]="N/A",Table1[[#This Row],[Std Adj Read]]="N/A"),"N/A",IF(Table1[[#This Row],[DUT Adj Read]]="N/A",IF(Table1[[#This Row],[Std Adj Read]]&gt;=Table1[[#This Row],[Low Tol]],"Pass","Fail"),IF(Table1[[#This Row],[DUT Adj Read]]&gt;=Table1[[#This Row],[Low Tol]],"Pass","Fail")))</f>
        <v>Pass</v>
      </c>
      <c r="AG1974" s="1" t="str">
        <f>IF(AND(Table1[[#This Row],[Spec Type2]]="N/A",Table1[[#This Row],[DUT Adj Read]]="N/A",Table1[[#This Row],[Std Adj Read]]="N/A"),"N/A",IF(Table1[[#This Row],[DUT Adj Read]]="N/A",IF(Table1[[#This Row],[Std Adj Read]]&lt;=Table1[[#This Row],[High Tol]],"Pass","Fail"),IF(Table1[[#This Row],[DUT Adj Read]]&lt;=Table1[[#This Row],[High Tol]],"Pass","Fail")))</f>
        <v>Fail</v>
      </c>
      <c r="AH19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4" s="1" t="b">
        <v>0</v>
      </c>
      <c r="AN1974" s="1" t="b">
        <v>0</v>
      </c>
      <c r="AO1974" s="1" t="b">
        <v>0</v>
      </c>
    </row>
    <row r="1975" spans="1:41" x14ac:dyDescent="0.25">
      <c r="A1975" s="10"/>
      <c r="B1975" s="10"/>
      <c r="C1975" s="10"/>
      <c r="D1975" s="10"/>
      <c r="E1975" s="10"/>
      <c r="F1975" s="10"/>
      <c r="G1975" s="10"/>
      <c r="H1975" s="10"/>
      <c r="I1975" s="1" t="str">
        <f t="shared" si="90"/>
        <v/>
      </c>
      <c r="J1975" s="1" t="s">
        <v>35</v>
      </c>
      <c r="K1975" s="1" t="str">
        <f t="shared" si="91"/>
        <v/>
      </c>
      <c r="L1975" s="1" t="str">
        <f t="shared" si="92"/>
        <v/>
      </c>
      <c r="M1975" s="1">
        <f>IF(OR(Table1[[#This Row],[Std Nom]]="",Table1[[#This Row],[Std Read]]=""),0,Table1[[#This Row],[Std Nom]]-Table1[[#This Row],[Std Read]])</f>
        <v>0</v>
      </c>
      <c r="N1975" s="1">
        <f>IF(Calculations!$F$5="ACCREDITED 17025 WITH UNCERTAINTIES",$N$10,0)</f>
        <v>0</v>
      </c>
      <c r="Q1975" s="1">
        <f>Table1[[#This Row],[High Tol]]-Table1[[#This Row],[Low Tol]]</f>
        <v>0</v>
      </c>
      <c r="R1975" s="1">
        <f>2*Table1[[#This Row],[Std Error]]</f>
        <v>0</v>
      </c>
      <c r="S1975" s="1" t="str">
        <f>IF(Table1[[#This Row],[High Tol]]="","N/A",IFERROR(ABS(Table1[[#This Row],[Tol Span]]/Table1[[#This Row],[Error Span]]),"N/A"))</f>
        <v>N/A</v>
      </c>
      <c r="T1975" s="1" t="str">
        <f>IF(OR(Table1[[#This Row],[Low Tol]]="",Table1[[#This Row],[High Tol]]=""),"Needs Analysis",IF(Table1[[#This Row],[Ratio]]&gt;=4,"Not Significant",IF(Table1[[#This Row],[Ratio]]&gt;=2,"Semi-Significant","Significant")))</f>
        <v>Needs Analysis</v>
      </c>
      <c r="W1975" s="1">
        <f>IF(Table1[[#This Row],[Cal Type]]&lt;&gt;"ACCREDITED 17025 WITH UNCERTAINTIES",0,"")</f>
        <v>0</v>
      </c>
      <c r="X1975" s="1" t="str">
        <f>IF(Table1[[#This Row],[DUT Read]]="","N/A",Table1[[#This Row],[Std Error]]+Table1[[#This Row],[DUT Read]]+Table1[[#This Row],[DUT Ucty]])</f>
        <v>N/A</v>
      </c>
      <c r="Y1975" s="1" t="str">
        <f>IF(Table1[[#This Row],[Std Read]]="","N/A",Table1[[#This Row],[Std Read]]+Table1[[#This Row],[Std Ucty]])</f>
        <v>N/A</v>
      </c>
      <c r="Z19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5" s="1" t="str">
        <f>IF(Table1[[#This Row],[Spec Type]]="","N/A",Table1[[#This Row],[Spec Type]])</f>
        <v>±</v>
      </c>
      <c r="AC1975" s="1" t="str">
        <f>IF(Table1[[#This Row],[Spec Type2]]="N/A","N/A",IF(AND(Table1[[#This Row],[DUT Adj Read]]&gt;=Table1[[#This Row],[Low Tol]],Table1[[#This Row],[DUT Adj Read]]&lt;=Table1[[#This Row],[High Tol]]),"Pass","Fail"))</f>
        <v>Fail</v>
      </c>
      <c r="AD1975" s="1" t="str">
        <f>IF(AND(Table1[[#This Row],[Spec Type2]]="N/A",Table1[[#This Row],[DUT Adj Read]]="N/A",Table1[[#This Row],[Std Adj Read]]="N/A"),"N/A",IF(Table1[[#This Row],[DUT Adj Read]]="N/A",IF(Table1[[#This Row],[Std Adj Read]]&gt;Table1[[#This Row],[Low Tol]],"Pass","Fail"),IF(Table1[[#This Row],[DUT Adj Read]]&gt;Table1[[#This Row],[Low Tol]],"Pass","Fail")))</f>
        <v>Pass</v>
      </c>
      <c r="AE1975" s="1" t="str">
        <f>IF(AND(Table1[[#This Row],[Spec Type2]]="N/A",Table1[[#This Row],[DUT Adj Read]]="N/A",Table1[[#This Row],[Std Adj Read]]="N/A"),"N/A",IF(Table1[[#This Row],[DUT Adj Read]]="N/A",IF(Table1[[#This Row],[Std Adj Read]]&lt;Table1[[#This Row],[High Tol]],"Pass","Fail"),IF(Table1[[#This Row],[DUT Adj Read]]&lt;Table1[[#This Row],[High Tol]],"Pass","Fail")))</f>
        <v>Fail</v>
      </c>
      <c r="AF1975" s="1" t="str">
        <f>IF(AND(Table1[[#This Row],[Spec Type2]]="N/A",Table1[[#This Row],[DUT Adj Read]]="N/A",Table1[[#This Row],[Std Adj Read]]="N/A"),"N/A",IF(Table1[[#This Row],[DUT Adj Read]]="N/A",IF(Table1[[#This Row],[Std Adj Read]]&gt;=Table1[[#This Row],[Low Tol]],"Pass","Fail"),IF(Table1[[#This Row],[DUT Adj Read]]&gt;=Table1[[#This Row],[Low Tol]],"Pass","Fail")))</f>
        <v>Pass</v>
      </c>
      <c r="AG1975" s="1" t="str">
        <f>IF(AND(Table1[[#This Row],[Spec Type2]]="N/A",Table1[[#This Row],[DUT Adj Read]]="N/A",Table1[[#This Row],[Std Adj Read]]="N/A"),"N/A",IF(Table1[[#This Row],[DUT Adj Read]]="N/A",IF(Table1[[#This Row],[Std Adj Read]]&lt;=Table1[[#This Row],[High Tol]],"Pass","Fail"),IF(Table1[[#This Row],[DUT Adj Read]]&lt;=Table1[[#This Row],[High Tol]],"Pass","Fail")))</f>
        <v>Fail</v>
      </c>
      <c r="AH19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5" s="1" t="b">
        <v>0</v>
      </c>
      <c r="AN1975" s="1" t="b">
        <v>0</v>
      </c>
      <c r="AO1975" s="1" t="b">
        <v>0</v>
      </c>
    </row>
    <row r="1976" spans="1:41" x14ac:dyDescent="0.25">
      <c r="A1976" s="10"/>
      <c r="B1976" s="10"/>
      <c r="C1976" s="10"/>
      <c r="D1976" s="10"/>
      <c r="E1976" s="10"/>
      <c r="F1976" s="10"/>
      <c r="G1976" s="10"/>
      <c r="H1976" s="10"/>
      <c r="I1976" s="1" t="str">
        <f t="shared" si="90"/>
        <v/>
      </c>
      <c r="J1976" s="1" t="s">
        <v>35</v>
      </c>
      <c r="K1976" s="1" t="str">
        <f t="shared" si="91"/>
        <v/>
      </c>
      <c r="L1976" s="1" t="str">
        <f t="shared" si="92"/>
        <v/>
      </c>
      <c r="M1976" s="1">
        <f>IF(OR(Table1[[#This Row],[Std Nom]]="",Table1[[#This Row],[Std Read]]=""),0,Table1[[#This Row],[Std Nom]]-Table1[[#This Row],[Std Read]])</f>
        <v>0</v>
      </c>
      <c r="N1976" s="1">
        <f>IF(Calculations!$F$5="ACCREDITED 17025 WITH UNCERTAINTIES",$N$10,0)</f>
        <v>0</v>
      </c>
      <c r="Q1976" s="1">
        <f>Table1[[#This Row],[High Tol]]-Table1[[#This Row],[Low Tol]]</f>
        <v>0</v>
      </c>
      <c r="R1976" s="1">
        <f>2*Table1[[#This Row],[Std Error]]</f>
        <v>0</v>
      </c>
      <c r="S1976" s="1" t="str">
        <f>IF(Table1[[#This Row],[High Tol]]="","N/A",IFERROR(ABS(Table1[[#This Row],[Tol Span]]/Table1[[#This Row],[Error Span]]),"N/A"))</f>
        <v>N/A</v>
      </c>
      <c r="T1976" s="1" t="str">
        <f>IF(OR(Table1[[#This Row],[Low Tol]]="",Table1[[#This Row],[High Tol]]=""),"Needs Analysis",IF(Table1[[#This Row],[Ratio]]&gt;=4,"Not Significant",IF(Table1[[#This Row],[Ratio]]&gt;=2,"Semi-Significant","Significant")))</f>
        <v>Needs Analysis</v>
      </c>
      <c r="W1976" s="1">
        <f>IF(Table1[[#This Row],[Cal Type]]&lt;&gt;"ACCREDITED 17025 WITH UNCERTAINTIES",0,"")</f>
        <v>0</v>
      </c>
      <c r="X1976" s="1" t="str">
        <f>IF(Table1[[#This Row],[DUT Read]]="","N/A",Table1[[#This Row],[Std Error]]+Table1[[#This Row],[DUT Read]]+Table1[[#This Row],[DUT Ucty]])</f>
        <v>N/A</v>
      </c>
      <c r="Y1976" s="1" t="str">
        <f>IF(Table1[[#This Row],[Std Read]]="","N/A",Table1[[#This Row],[Std Read]]+Table1[[#This Row],[Std Ucty]])</f>
        <v>N/A</v>
      </c>
      <c r="Z19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6" s="1" t="str">
        <f>IF(Table1[[#This Row],[Spec Type]]="","N/A",Table1[[#This Row],[Spec Type]])</f>
        <v>±</v>
      </c>
      <c r="AC1976" s="1" t="str">
        <f>IF(Table1[[#This Row],[Spec Type2]]="N/A","N/A",IF(AND(Table1[[#This Row],[DUT Adj Read]]&gt;=Table1[[#This Row],[Low Tol]],Table1[[#This Row],[DUT Adj Read]]&lt;=Table1[[#This Row],[High Tol]]),"Pass","Fail"))</f>
        <v>Fail</v>
      </c>
      <c r="AD1976" s="1" t="str">
        <f>IF(AND(Table1[[#This Row],[Spec Type2]]="N/A",Table1[[#This Row],[DUT Adj Read]]="N/A",Table1[[#This Row],[Std Adj Read]]="N/A"),"N/A",IF(Table1[[#This Row],[DUT Adj Read]]="N/A",IF(Table1[[#This Row],[Std Adj Read]]&gt;Table1[[#This Row],[Low Tol]],"Pass","Fail"),IF(Table1[[#This Row],[DUT Adj Read]]&gt;Table1[[#This Row],[Low Tol]],"Pass","Fail")))</f>
        <v>Pass</v>
      </c>
      <c r="AE1976" s="1" t="str">
        <f>IF(AND(Table1[[#This Row],[Spec Type2]]="N/A",Table1[[#This Row],[DUT Adj Read]]="N/A",Table1[[#This Row],[Std Adj Read]]="N/A"),"N/A",IF(Table1[[#This Row],[DUT Adj Read]]="N/A",IF(Table1[[#This Row],[Std Adj Read]]&lt;Table1[[#This Row],[High Tol]],"Pass","Fail"),IF(Table1[[#This Row],[DUT Adj Read]]&lt;Table1[[#This Row],[High Tol]],"Pass","Fail")))</f>
        <v>Fail</v>
      </c>
      <c r="AF1976" s="1" t="str">
        <f>IF(AND(Table1[[#This Row],[Spec Type2]]="N/A",Table1[[#This Row],[DUT Adj Read]]="N/A",Table1[[#This Row],[Std Adj Read]]="N/A"),"N/A",IF(Table1[[#This Row],[DUT Adj Read]]="N/A",IF(Table1[[#This Row],[Std Adj Read]]&gt;=Table1[[#This Row],[Low Tol]],"Pass","Fail"),IF(Table1[[#This Row],[DUT Adj Read]]&gt;=Table1[[#This Row],[Low Tol]],"Pass","Fail")))</f>
        <v>Pass</v>
      </c>
      <c r="AG1976" s="1" t="str">
        <f>IF(AND(Table1[[#This Row],[Spec Type2]]="N/A",Table1[[#This Row],[DUT Adj Read]]="N/A",Table1[[#This Row],[Std Adj Read]]="N/A"),"N/A",IF(Table1[[#This Row],[DUT Adj Read]]="N/A",IF(Table1[[#This Row],[Std Adj Read]]&lt;=Table1[[#This Row],[High Tol]],"Pass","Fail"),IF(Table1[[#This Row],[DUT Adj Read]]&lt;=Table1[[#This Row],[High Tol]],"Pass","Fail")))</f>
        <v>Fail</v>
      </c>
      <c r="AH19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6" s="1" t="b">
        <v>0</v>
      </c>
      <c r="AN1976" s="1" t="b">
        <v>0</v>
      </c>
      <c r="AO1976" s="1" t="b">
        <v>0</v>
      </c>
    </row>
    <row r="1977" spans="1:41" x14ac:dyDescent="0.25">
      <c r="A1977" s="10"/>
      <c r="B1977" s="10"/>
      <c r="C1977" s="10"/>
      <c r="D1977" s="10"/>
      <c r="E1977" s="10"/>
      <c r="F1977" s="10"/>
      <c r="G1977" s="10"/>
      <c r="H1977" s="10"/>
      <c r="I1977" s="1" t="str">
        <f t="shared" si="90"/>
        <v/>
      </c>
      <c r="J1977" s="1" t="s">
        <v>35</v>
      </c>
      <c r="K1977" s="1" t="str">
        <f t="shared" si="91"/>
        <v/>
      </c>
      <c r="L1977" s="1" t="str">
        <f t="shared" si="92"/>
        <v/>
      </c>
      <c r="M1977" s="1">
        <f>IF(OR(Table1[[#This Row],[Std Nom]]="",Table1[[#This Row],[Std Read]]=""),0,Table1[[#This Row],[Std Nom]]-Table1[[#This Row],[Std Read]])</f>
        <v>0</v>
      </c>
      <c r="N1977" s="1">
        <f>IF(Calculations!$F$5="ACCREDITED 17025 WITH UNCERTAINTIES",$N$10,0)</f>
        <v>0</v>
      </c>
      <c r="Q1977" s="1">
        <f>Table1[[#This Row],[High Tol]]-Table1[[#This Row],[Low Tol]]</f>
        <v>0</v>
      </c>
      <c r="R1977" s="1">
        <f>2*Table1[[#This Row],[Std Error]]</f>
        <v>0</v>
      </c>
      <c r="S1977" s="1" t="str">
        <f>IF(Table1[[#This Row],[High Tol]]="","N/A",IFERROR(ABS(Table1[[#This Row],[Tol Span]]/Table1[[#This Row],[Error Span]]),"N/A"))</f>
        <v>N/A</v>
      </c>
      <c r="T1977" s="1" t="str">
        <f>IF(OR(Table1[[#This Row],[Low Tol]]="",Table1[[#This Row],[High Tol]]=""),"Needs Analysis",IF(Table1[[#This Row],[Ratio]]&gt;=4,"Not Significant",IF(Table1[[#This Row],[Ratio]]&gt;=2,"Semi-Significant","Significant")))</f>
        <v>Needs Analysis</v>
      </c>
      <c r="W1977" s="1">
        <f>IF(Table1[[#This Row],[Cal Type]]&lt;&gt;"ACCREDITED 17025 WITH UNCERTAINTIES",0,"")</f>
        <v>0</v>
      </c>
      <c r="X1977" s="1" t="str">
        <f>IF(Table1[[#This Row],[DUT Read]]="","N/A",Table1[[#This Row],[Std Error]]+Table1[[#This Row],[DUT Read]]+Table1[[#This Row],[DUT Ucty]])</f>
        <v>N/A</v>
      </c>
      <c r="Y1977" s="1" t="str">
        <f>IF(Table1[[#This Row],[Std Read]]="","N/A",Table1[[#This Row],[Std Read]]+Table1[[#This Row],[Std Ucty]])</f>
        <v>N/A</v>
      </c>
      <c r="Z19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7" s="1" t="str">
        <f>IF(Table1[[#This Row],[Spec Type]]="","N/A",Table1[[#This Row],[Spec Type]])</f>
        <v>±</v>
      </c>
      <c r="AC1977" s="1" t="str">
        <f>IF(Table1[[#This Row],[Spec Type2]]="N/A","N/A",IF(AND(Table1[[#This Row],[DUT Adj Read]]&gt;=Table1[[#This Row],[Low Tol]],Table1[[#This Row],[DUT Adj Read]]&lt;=Table1[[#This Row],[High Tol]]),"Pass","Fail"))</f>
        <v>Fail</v>
      </c>
      <c r="AD1977" s="1" t="str">
        <f>IF(AND(Table1[[#This Row],[Spec Type2]]="N/A",Table1[[#This Row],[DUT Adj Read]]="N/A",Table1[[#This Row],[Std Adj Read]]="N/A"),"N/A",IF(Table1[[#This Row],[DUT Adj Read]]="N/A",IF(Table1[[#This Row],[Std Adj Read]]&gt;Table1[[#This Row],[Low Tol]],"Pass","Fail"),IF(Table1[[#This Row],[DUT Adj Read]]&gt;Table1[[#This Row],[Low Tol]],"Pass","Fail")))</f>
        <v>Pass</v>
      </c>
      <c r="AE1977" s="1" t="str">
        <f>IF(AND(Table1[[#This Row],[Spec Type2]]="N/A",Table1[[#This Row],[DUT Adj Read]]="N/A",Table1[[#This Row],[Std Adj Read]]="N/A"),"N/A",IF(Table1[[#This Row],[DUT Adj Read]]="N/A",IF(Table1[[#This Row],[Std Adj Read]]&lt;Table1[[#This Row],[High Tol]],"Pass","Fail"),IF(Table1[[#This Row],[DUT Adj Read]]&lt;Table1[[#This Row],[High Tol]],"Pass","Fail")))</f>
        <v>Fail</v>
      </c>
      <c r="AF1977" s="1" t="str">
        <f>IF(AND(Table1[[#This Row],[Spec Type2]]="N/A",Table1[[#This Row],[DUT Adj Read]]="N/A",Table1[[#This Row],[Std Adj Read]]="N/A"),"N/A",IF(Table1[[#This Row],[DUT Adj Read]]="N/A",IF(Table1[[#This Row],[Std Adj Read]]&gt;=Table1[[#This Row],[Low Tol]],"Pass","Fail"),IF(Table1[[#This Row],[DUT Adj Read]]&gt;=Table1[[#This Row],[Low Tol]],"Pass","Fail")))</f>
        <v>Pass</v>
      </c>
      <c r="AG1977" s="1" t="str">
        <f>IF(AND(Table1[[#This Row],[Spec Type2]]="N/A",Table1[[#This Row],[DUT Adj Read]]="N/A",Table1[[#This Row],[Std Adj Read]]="N/A"),"N/A",IF(Table1[[#This Row],[DUT Adj Read]]="N/A",IF(Table1[[#This Row],[Std Adj Read]]&lt;=Table1[[#This Row],[High Tol]],"Pass","Fail"),IF(Table1[[#This Row],[DUT Adj Read]]&lt;=Table1[[#This Row],[High Tol]],"Pass","Fail")))</f>
        <v>Fail</v>
      </c>
      <c r="AH19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7" s="1" t="b">
        <v>0</v>
      </c>
      <c r="AN1977" s="1" t="b">
        <v>0</v>
      </c>
      <c r="AO1977" s="1" t="b">
        <v>0</v>
      </c>
    </row>
    <row r="1978" spans="1:41" x14ac:dyDescent="0.25">
      <c r="A1978" s="10"/>
      <c r="B1978" s="10"/>
      <c r="C1978" s="10"/>
      <c r="D1978" s="10"/>
      <c r="E1978" s="10"/>
      <c r="F1978" s="10"/>
      <c r="G1978" s="10"/>
      <c r="H1978" s="10"/>
      <c r="I1978" s="1" t="str">
        <f t="shared" si="90"/>
        <v/>
      </c>
      <c r="J1978" s="1" t="s">
        <v>35</v>
      </c>
      <c r="K1978" s="1" t="str">
        <f t="shared" si="91"/>
        <v/>
      </c>
      <c r="L1978" s="1" t="str">
        <f t="shared" si="92"/>
        <v/>
      </c>
      <c r="M1978" s="1">
        <f>IF(OR(Table1[[#This Row],[Std Nom]]="",Table1[[#This Row],[Std Read]]=""),0,Table1[[#This Row],[Std Nom]]-Table1[[#This Row],[Std Read]])</f>
        <v>0</v>
      </c>
      <c r="N1978" s="1">
        <f>IF(Calculations!$F$5="ACCREDITED 17025 WITH UNCERTAINTIES",$N$10,0)</f>
        <v>0</v>
      </c>
      <c r="Q1978" s="1">
        <f>Table1[[#This Row],[High Tol]]-Table1[[#This Row],[Low Tol]]</f>
        <v>0</v>
      </c>
      <c r="R1978" s="1">
        <f>2*Table1[[#This Row],[Std Error]]</f>
        <v>0</v>
      </c>
      <c r="S1978" s="1" t="str">
        <f>IF(Table1[[#This Row],[High Tol]]="","N/A",IFERROR(ABS(Table1[[#This Row],[Tol Span]]/Table1[[#This Row],[Error Span]]),"N/A"))</f>
        <v>N/A</v>
      </c>
      <c r="T1978" s="1" t="str">
        <f>IF(OR(Table1[[#This Row],[Low Tol]]="",Table1[[#This Row],[High Tol]]=""),"Needs Analysis",IF(Table1[[#This Row],[Ratio]]&gt;=4,"Not Significant",IF(Table1[[#This Row],[Ratio]]&gt;=2,"Semi-Significant","Significant")))</f>
        <v>Needs Analysis</v>
      </c>
      <c r="W1978" s="1">
        <f>IF(Table1[[#This Row],[Cal Type]]&lt;&gt;"ACCREDITED 17025 WITH UNCERTAINTIES",0,"")</f>
        <v>0</v>
      </c>
      <c r="X1978" s="1" t="str">
        <f>IF(Table1[[#This Row],[DUT Read]]="","N/A",Table1[[#This Row],[Std Error]]+Table1[[#This Row],[DUT Read]]+Table1[[#This Row],[DUT Ucty]])</f>
        <v>N/A</v>
      </c>
      <c r="Y1978" s="1" t="str">
        <f>IF(Table1[[#This Row],[Std Read]]="","N/A",Table1[[#This Row],[Std Read]]+Table1[[#This Row],[Std Ucty]])</f>
        <v>N/A</v>
      </c>
      <c r="Z19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8" s="1" t="str">
        <f>IF(Table1[[#This Row],[Spec Type]]="","N/A",Table1[[#This Row],[Spec Type]])</f>
        <v>±</v>
      </c>
      <c r="AC1978" s="1" t="str">
        <f>IF(Table1[[#This Row],[Spec Type2]]="N/A","N/A",IF(AND(Table1[[#This Row],[DUT Adj Read]]&gt;=Table1[[#This Row],[Low Tol]],Table1[[#This Row],[DUT Adj Read]]&lt;=Table1[[#This Row],[High Tol]]),"Pass","Fail"))</f>
        <v>Fail</v>
      </c>
      <c r="AD1978" s="1" t="str">
        <f>IF(AND(Table1[[#This Row],[Spec Type2]]="N/A",Table1[[#This Row],[DUT Adj Read]]="N/A",Table1[[#This Row],[Std Adj Read]]="N/A"),"N/A",IF(Table1[[#This Row],[DUT Adj Read]]="N/A",IF(Table1[[#This Row],[Std Adj Read]]&gt;Table1[[#This Row],[Low Tol]],"Pass","Fail"),IF(Table1[[#This Row],[DUT Adj Read]]&gt;Table1[[#This Row],[Low Tol]],"Pass","Fail")))</f>
        <v>Pass</v>
      </c>
      <c r="AE1978" s="1" t="str">
        <f>IF(AND(Table1[[#This Row],[Spec Type2]]="N/A",Table1[[#This Row],[DUT Adj Read]]="N/A",Table1[[#This Row],[Std Adj Read]]="N/A"),"N/A",IF(Table1[[#This Row],[DUT Adj Read]]="N/A",IF(Table1[[#This Row],[Std Adj Read]]&lt;Table1[[#This Row],[High Tol]],"Pass","Fail"),IF(Table1[[#This Row],[DUT Adj Read]]&lt;Table1[[#This Row],[High Tol]],"Pass","Fail")))</f>
        <v>Fail</v>
      </c>
      <c r="AF1978" s="1" t="str">
        <f>IF(AND(Table1[[#This Row],[Spec Type2]]="N/A",Table1[[#This Row],[DUT Adj Read]]="N/A",Table1[[#This Row],[Std Adj Read]]="N/A"),"N/A",IF(Table1[[#This Row],[DUT Adj Read]]="N/A",IF(Table1[[#This Row],[Std Adj Read]]&gt;=Table1[[#This Row],[Low Tol]],"Pass","Fail"),IF(Table1[[#This Row],[DUT Adj Read]]&gt;=Table1[[#This Row],[Low Tol]],"Pass","Fail")))</f>
        <v>Pass</v>
      </c>
      <c r="AG1978" s="1" t="str">
        <f>IF(AND(Table1[[#This Row],[Spec Type2]]="N/A",Table1[[#This Row],[DUT Adj Read]]="N/A",Table1[[#This Row],[Std Adj Read]]="N/A"),"N/A",IF(Table1[[#This Row],[DUT Adj Read]]="N/A",IF(Table1[[#This Row],[Std Adj Read]]&lt;=Table1[[#This Row],[High Tol]],"Pass","Fail"),IF(Table1[[#This Row],[DUT Adj Read]]&lt;=Table1[[#This Row],[High Tol]],"Pass","Fail")))</f>
        <v>Fail</v>
      </c>
      <c r="AH19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8" s="1" t="b">
        <v>0</v>
      </c>
      <c r="AN1978" s="1" t="b">
        <v>0</v>
      </c>
      <c r="AO1978" s="1" t="b">
        <v>0</v>
      </c>
    </row>
    <row r="1979" spans="1:41" x14ac:dyDescent="0.25">
      <c r="A1979" s="10"/>
      <c r="B1979" s="10"/>
      <c r="C1979" s="10"/>
      <c r="D1979" s="10"/>
      <c r="E1979" s="10"/>
      <c r="F1979" s="10"/>
      <c r="G1979" s="10"/>
      <c r="H1979" s="10"/>
      <c r="I1979" s="1" t="str">
        <f t="shared" si="90"/>
        <v/>
      </c>
      <c r="J1979" s="1" t="s">
        <v>35</v>
      </c>
      <c r="K1979" s="1" t="str">
        <f t="shared" si="91"/>
        <v/>
      </c>
      <c r="L1979" s="1" t="str">
        <f t="shared" si="92"/>
        <v/>
      </c>
      <c r="M1979" s="1">
        <f>IF(OR(Table1[[#This Row],[Std Nom]]="",Table1[[#This Row],[Std Read]]=""),0,Table1[[#This Row],[Std Nom]]-Table1[[#This Row],[Std Read]])</f>
        <v>0</v>
      </c>
      <c r="N1979" s="1">
        <f>IF(Calculations!$F$5="ACCREDITED 17025 WITH UNCERTAINTIES",$N$10,0)</f>
        <v>0</v>
      </c>
      <c r="Q1979" s="1">
        <f>Table1[[#This Row],[High Tol]]-Table1[[#This Row],[Low Tol]]</f>
        <v>0</v>
      </c>
      <c r="R1979" s="1">
        <f>2*Table1[[#This Row],[Std Error]]</f>
        <v>0</v>
      </c>
      <c r="S1979" s="1" t="str">
        <f>IF(Table1[[#This Row],[High Tol]]="","N/A",IFERROR(ABS(Table1[[#This Row],[Tol Span]]/Table1[[#This Row],[Error Span]]),"N/A"))</f>
        <v>N/A</v>
      </c>
      <c r="T1979" s="1" t="str">
        <f>IF(OR(Table1[[#This Row],[Low Tol]]="",Table1[[#This Row],[High Tol]]=""),"Needs Analysis",IF(Table1[[#This Row],[Ratio]]&gt;=4,"Not Significant",IF(Table1[[#This Row],[Ratio]]&gt;=2,"Semi-Significant","Significant")))</f>
        <v>Needs Analysis</v>
      </c>
      <c r="W1979" s="1">
        <f>IF(Table1[[#This Row],[Cal Type]]&lt;&gt;"ACCREDITED 17025 WITH UNCERTAINTIES",0,"")</f>
        <v>0</v>
      </c>
      <c r="X1979" s="1" t="str">
        <f>IF(Table1[[#This Row],[DUT Read]]="","N/A",Table1[[#This Row],[Std Error]]+Table1[[#This Row],[DUT Read]]+Table1[[#This Row],[DUT Ucty]])</f>
        <v>N/A</v>
      </c>
      <c r="Y1979" s="1" t="str">
        <f>IF(Table1[[#This Row],[Std Read]]="","N/A",Table1[[#This Row],[Std Read]]+Table1[[#This Row],[Std Ucty]])</f>
        <v>N/A</v>
      </c>
      <c r="Z19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79" s="1" t="str">
        <f>IF(Table1[[#This Row],[Spec Type]]="","N/A",Table1[[#This Row],[Spec Type]])</f>
        <v>±</v>
      </c>
      <c r="AC1979" s="1" t="str">
        <f>IF(Table1[[#This Row],[Spec Type2]]="N/A","N/A",IF(AND(Table1[[#This Row],[DUT Adj Read]]&gt;=Table1[[#This Row],[Low Tol]],Table1[[#This Row],[DUT Adj Read]]&lt;=Table1[[#This Row],[High Tol]]),"Pass","Fail"))</f>
        <v>Fail</v>
      </c>
      <c r="AD1979" s="1" t="str">
        <f>IF(AND(Table1[[#This Row],[Spec Type2]]="N/A",Table1[[#This Row],[DUT Adj Read]]="N/A",Table1[[#This Row],[Std Adj Read]]="N/A"),"N/A",IF(Table1[[#This Row],[DUT Adj Read]]="N/A",IF(Table1[[#This Row],[Std Adj Read]]&gt;Table1[[#This Row],[Low Tol]],"Pass","Fail"),IF(Table1[[#This Row],[DUT Adj Read]]&gt;Table1[[#This Row],[Low Tol]],"Pass","Fail")))</f>
        <v>Pass</v>
      </c>
      <c r="AE1979" s="1" t="str">
        <f>IF(AND(Table1[[#This Row],[Spec Type2]]="N/A",Table1[[#This Row],[DUT Adj Read]]="N/A",Table1[[#This Row],[Std Adj Read]]="N/A"),"N/A",IF(Table1[[#This Row],[DUT Adj Read]]="N/A",IF(Table1[[#This Row],[Std Adj Read]]&lt;Table1[[#This Row],[High Tol]],"Pass","Fail"),IF(Table1[[#This Row],[DUT Adj Read]]&lt;Table1[[#This Row],[High Tol]],"Pass","Fail")))</f>
        <v>Fail</v>
      </c>
      <c r="AF1979" s="1" t="str">
        <f>IF(AND(Table1[[#This Row],[Spec Type2]]="N/A",Table1[[#This Row],[DUT Adj Read]]="N/A",Table1[[#This Row],[Std Adj Read]]="N/A"),"N/A",IF(Table1[[#This Row],[DUT Adj Read]]="N/A",IF(Table1[[#This Row],[Std Adj Read]]&gt;=Table1[[#This Row],[Low Tol]],"Pass","Fail"),IF(Table1[[#This Row],[DUT Adj Read]]&gt;=Table1[[#This Row],[Low Tol]],"Pass","Fail")))</f>
        <v>Pass</v>
      </c>
      <c r="AG1979" s="1" t="str">
        <f>IF(AND(Table1[[#This Row],[Spec Type2]]="N/A",Table1[[#This Row],[DUT Adj Read]]="N/A",Table1[[#This Row],[Std Adj Read]]="N/A"),"N/A",IF(Table1[[#This Row],[DUT Adj Read]]="N/A",IF(Table1[[#This Row],[Std Adj Read]]&lt;=Table1[[#This Row],[High Tol]],"Pass","Fail"),IF(Table1[[#This Row],[DUT Adj Read]]&lt;=Table1[[#This Row],[High Tol]],"Pass","Fail")))</f>
        <v>Fail</v>
      </c>
      <c r="AH19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79" s="1" t="b">
        <v>0</v>
      </c>
      <c r="AN1979" s="1" t="b">
        <v>0</v>
      </c>
      <c r="AO1979" s="1" t="b">
        <v>0</v>
      </c>
    </row>
    <row r="1980" spans="1:41" x14ac:dyDescent="0.25">
      <c r="A1980" s="10"/>
      <c r="B1980" s="10"/>
      <c r="C1980" s="10"/>
      <c r="D1980" s="10"/>
      <c r="E1980" s="10"/>
      <c r="F1980" s="10"/>
      <c r="G1980" s="10"/>
      <c r="H1980" s="10"/>
      <c r="I1980" s="1" t="str">
        <f t="shared" si="90"/>
        <v/>
      </c>
      <c r="J1980" s="1" t="s">
        <v>35</v>
      </c>
      <c r="K1980" s="1" t="str">
        <f t="shared" si="91"/>
        <v/>
      </c>
      <c r="L1980" s="1" t="str">
        <f t="shared" si="92"/>
        <v/>
      </c>
      <c r="M1980" s="1">
        <f>IF(OR(Table1[[#This Row],[Std Nom]]="",Table1[[#This Row],[Std Read]]=""),0,Table1[[#This Row],[Std Nom]]-Table1[[#This Row],[Std Read]])</f>
        <v>0</v>
      </c>
      <c r="N1980" s="1">
        <f>IF(Calculations!$F$5="ACCREDITED 17025 WITH UNCERTAINTIES",$N$10,0)</f>
        <v>0</v>
      </c>
      <c r="Q1980" s="1">
        <f>Table1[[#This Row],[High Tol]]-Table1[[#This Row],[Low Tol]]</f>
        <v>0</v>
      </c>
      <c r="R1980" s="1">
        <f>2*Table1[[#This Row],[Std Error]]</f>
        <v>0</v>
      </c>
      <c r="S1980" s="1" t="str">
        <f>IF(Table1[[#This Row],[High Tol]]="","N/A",IFERROR(ABS(Table1[[#This Row],[Tol Span]]/Table1[[#This Row],[Error Span]]),"N/A"))</f>
        <v>N/A</v>
      </c>
      <c r="T1980" s="1" t="str">
        <f>IF(OR(Table1[[#This Row],[Low Tol]]="",Table1[[#This Row],[High Tol]]=""),"Needs Analysis",IF(Table1[[#This Row],[Ratio]]&gt;=4,"Not Significant",IF(Table1[[#This Row],[Ratio]]&gt;=2,"Semi-Significant","Significant")))</f>
        <v>Needs Analysis</v>
      </c>
      <c r="W1980" s="1">
        <f>IF(Table1[[#This Row],[Cal Type]]&lt;&gt;"ACCREDITED 17025 WITH UNCERTAINTIES",0,"")</f>
        <v>0</v>
      </c>
      <c r="X1980" s="1" t="str">
        <f>IF(Table1[[#This Row],[DUT Read]]="","N/A",Table1[[#This Row],[Std Error]]+Table1[[#This Row],[DUT Read]]+Table1[[#This Row],[DUT Ucty]])</f>
        <v>N/A</v>
      </c>
      <c r="Y1980" s="1" t="str">
        <f>IF(Table1[[#This Row],[Std Read]]="","N/A",Table1[[#This Row],[Std Read]]+Table1[[#This Row],[Std Ucty]])</f>
        <v>N/A</v>
      </c>
      <c r="Z19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0" s="1" t="str">
        <f>IF(Table1[[#This Row],[Spec Type]]="","N/A",Table1[[#This Row],[Spec Type]])</f>
        <v>±</v>
      </c>
      <c r="AC1980" s="1" t="str">
        <f>IF(Table1[[#This Row],[Spec Type2]]="N/A","N/A",IF(AND(Table1[[#This Row],[DUT Adj Read]]&gt;=Table1[[#This Row],[Low Tol]],Table1[[#This Row],[DUT Adj Read]]&lt;=Table1[[#This Row],[High Tol]]),"Pass","Fail"))</f>
        <v>Fail</v>
      </c>
      <c r="AD1980" s="1" t="str">
        <f>IF(AND(Table1[[#This Row],[Spec Type2]]="N/A",Table1[[#This Row],[DUT Adj Read]]="N/A",Table1[[#This Row],[Std Adj Read]]="N/A"),"N/A",IF(Table1[[#This Row],[DUT Adj Read]]="N/A",IF(Table1[[#This Row],[Std Adj Read]]&gt;Table1[[#This Row],[Low Tol]],"Pass","Fail"),IF(Table1[[#This Row],[DUT Adj Read]]&gt;Table1[[#This Row],[Low Tol]],"Pass","Fail")))</f>
        <v>Pass</v>
      </c>
      <c r="AE1980" s="1" t="str">
        <f>IF(AND(Table1[[#This Row],[Spec Type2]]="N/A",Table1[[#This Row],[DUT Adj Read]]="N/A",Table1[[#This Row],[Std Adj Read]]="N/A"),"N/A",IF(Table1[[#This Row],[DUT Adj Read]]="N/A",IF(Table1[[#This Row],[Std Adj Read]]&lt;Table1[[#This Row],[High Tol]],"Pass","Fail"),IF(Table1[[#This Row],[DUT Adj Read]]&lt;Table1[[#This Row],[High Tol]],"Pass","Fail")))</f>
        <v>Fail</v>
      </c>
      <c r="AF1980" s="1" t="str">
        <f>IF(AND(Table1[[#This Row],[Spec Type2]]="N/A",Table1[[#This Row],[DUT Adj Read]]="N/A",Table1[[#This Row],[Std Adj Read]]="N/A"),"N/A",IF(Table1[[#This Row],[DUT Adj Read]]="N/A",IF(Table1[[#This Row],[Std Adj Read]]&gt;=Table1[[#This Row],[Low Tol]],"Pass","Fail"),IF(Table1[[#This Row],[DUT Adj Read]]&gt;=Table1[[#This Row],[Low Tol]],"Pass","Fail")))</f>
        <v>Pass</v>
      </c>
      <c r="AG1980" s="1" t="str">
        <f>IF(AND(Table1[[#This Row],[Spec Type2]]="N/A",Table1[[#This Row],[DUT Adj Read]]="N/A",Table1[[#This Row],[Std Adj Read]]="N/A"),"N/A",IF(Table1[[#This Row],[DUT Adj Read]]="N/A",IF(Table1[[#This Row],[Std Adj Read]]&lt;=Table1[[#This Row],[High Tol]],"Pass","Fail"),IF(Table1[[#This Row],[DUT Adj Read]]&lt;=Table1[[#This Row],[High Tol]],"Pass","Fail")))</f>
        <v>Fail</v>
      </c>
      <c r="AH19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0" s="1" t="b">
        <v>0</v>
      </c>
      <c r="AN1980" s="1" t="b">
        <v>0</v>
      </c>
      <c r="AO1980" s="1" t="b">
        <v>0</v>
      </c>
    </row>
    <row r="1981" spans="1:41" x14ac:dyDescent="0.25">
      <c r="A1981" s="10"/>
      <c r="B1981" s="10"/>
      <c r="C1981" s="10"/>
      <c r="D1981" s="10"/>
      <c r="E1981" s="10"/>
      <c r="F1981" s="10"/>
      <c r="G1981" s="10"/>
      <c r="H1981" s="10"/>
      <c r="I1981" s="1" t="str">
        <f t="shared" si="90"/>
        <v/>
      </c>
      <c r="J1981" s="1" t="s">
        <v>35</v>
      </c>
      <c r="K1981" s="1" t="str">
        <f t="shared" si="91"/>
        <v/>
      </c>
      <c r="L1981" s="1" t="str">
        <f t="shared" si="92"/>
        <v/>
      </c>
      <c r="M1981" s="1">
        <f>IF(OR(Table1[[#This Row],[Std Nom]]="",Table1[[#This Row],[Std Read]]=""),0,Table1[[#This Row],[Std Nom]]-Table1[[#This Row],[Std Read]])</f>
        <v>0</v>
      </c>
      <c r="N1981" s="1">
        <f>IF(Calculations!$F$5="ACCREDITED 17025 WITH UNCERTAINTIES",$N$10,0)</f>
        <v>0</v>
      </c>
      <c r="Q1981" s="1">
        <f>Table1[[#This Row],[High Tol]]-Table1[[#This Row],[Low Tol]]</f>
        <v>0</v>
      </c>
      <c r="R1981" s="1">
        <f>2*Table1[[#This Row],[Std Error]]</f>
        <v>0</v>
      </c>
      <c r="S1981" s="1" t="str">
        <f>IF(Table1[[#This Row],[High Tol]]="","N/A",IFERROR(ABS(Table1[[#This Row],[Tol Span]]/Table1[[#This Row],[Error Span]]),"N/A"))</f>
        <v>N/A</v>
      </c>
      <c r="T1981" s="1" t="str">
        <f>IF(OR(Table1[[#This Row],[Low Tol]]="",Table1[[#This Row],[High Tol]]=""),"Needs Analysis",IF(Table1[[#This Row],[Ratio]]&gt;=4,"Not Significant",IF(Table1[[#This Row],[Ratio]]&gt;=2,"Semi-Significant","Significant")))</f>
        <v>Needs Analysis</v>
      </c>
      <c r="W1981" s="1">
        <f>IF(Table1[[#This Row],[Cal Type]]&lt;&gt;"ACCREDITED 17025 WITH UNCERTAINTIES",0,"")</f>
        <v>0</v>
      </c>
      <c r="X1981" s="1" t="str">
        <f>IF(Table1[[#This Row],[DUT Read]]="","N/A",Table1[[#This Row],[Std Error]]+Table1[[#This Row],[DUT Read]]+Table1[[#This Row],[DUT Ucty]])</f>
        <v>N/A</v>
      </c>
      <c r="Y1981" s="1" t="str">
        <f>IF(Table1[[#This Row],[Std Read]]="","N/A",Table1[[#This Row],[Std Read]]+Table1[[#This Row],[Std Ucty]])</f>
        <v>N/A</v>
      </c>
      <c r="Z19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1" s="1" t="str">
        <f>IF(Table1[[#This Row],[Spec Type]]="","N/A",Table1[[#This Row],[Spec Type]])</f>
        <v>±</v>
      </c>
      <c r="AC1981" s="1" t="str">
        <f>IF(Table1[[#This Row],[Spec Type2]]="N/A","N/A",IF(AND(Table1[[#This Row],[DUT Adj Read]]&gt;=Table1[[#This Row],[Low Tol]],Table1[[#This Row],[DUT Adj Read]]&lt;=Table1[[#This Row],[High Tol]]),"Pass","Fail"))</f>
        <v>Fail</v>
      </c>
      <c r="AD1981" s="1" t="str">
        <f>IF(AND(Table1[[#This Row],[Spec Type2]]="N/A",Table1[[#This Row],[DUT Adj Read]]="N/A",Table1[[#This Row],[Std Adj Read]]="N/A"),"N/A",IF(Table1[[#This Row],[DUT Adj Read]]="N/A",IF(Table1[[#This Row],[Std Adj Read]]&gt;Table1[[#This Row],[Low Tol]],"Pass","Fail"),IF(Table1[[#This Row],[DUT Adj Read]]&gt;Table1[[#This Row],[Low Tol]],"Pass","Fail")))</f>
        <v>Pass</v>
      </c>
      <c r="AE1981" s="1" t="str">
        <f>IF(AND(Table1[[#This Row],[Spec Type2]]="N/A",Table1[[#This Row],[DUT Adj Read]]="N/A",Table1[[#This Row],[Std Adj Read]]="N/A"),"N/A",IF(Table1[[#This Row],[DUT Adj Read]]="N/A",IF(Table1[[#This Row],[Std Adj Read]]&lt;Table1[[#This Row],[High Tol]],"Pass","Fail"),IF(Table1[[#This Row],[DUT Adj Read]]&lt;Table1[[#This Row],[High Tol]],"Pass","Fail")))</f>
        <v>Fail</v>
      </c>
      <c r="AF1981" s="1" t="str">
        <f>IF(AND(Table1[[#This Row],[Spec Type2]]="N/A",Table1[[#This Row],[DUT Adj Read]]="N/A",Table1[[#This Row],[Std Adj Read]]="N/A"),"N/A",IF(Table1[[#This Row],[DUT Adj Read]]="N/A",IF(Table1[[#This Row],[Std Adj Read]]&gt;=Table1[[#This Row],[Low Tol]],"Pass","Fail"),IF(Table1[[#This Row],[DUT Adj Read]]&gt;=Table1[[#This Row],[Low Tol]],"Pass","Fail")))</f>
        <v>Pass</v>
      </c>
      <c r="AG1981" s="1" t="str">
        <f>IF(AND(Table1[[#This Row],[Spec Type2]]="N/A",Table1[[#This Row],[DUT Adj Read]]="N/A",Table1[[#This Row],[Std Adj Read]]="N/A"),"N/A",IF(Table1[[#This Row],[DUT Adj Read]]="N/A",IF(Table1[[#This Row],[Std Adj Read]]&lt;=Table1[[#This Row],[High Tol]],"Pass","Fail"),IF(Table1[[#This Row],[DUT Adj Read]]&lt;=Table1[[#This Row],[High Tol]],"Pass","Fail")))</f>
        <v>Fail</v>
      </c>
      <c r="AH19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1" s="1" t="b">
        <v>0</v>
      </c>
      <c r="AN1981" s="1" t="b">
        <v>0</v>
      </c>
      <c r="AO1981" s="1" t="b">
        <v>0</v>
      </c>
    </row>
    <row r="1982" spans="1:41" x14ac:dyDescent="0.25">
      <c r="A1982" s="10"/>
      <c r="B1982" s="10"/>
      <c r="C1982" s="10"/>
      <c r="D1982" s="10"/>
      <c r="E1982" s="10"/>
      <c r="F1982" s="10"/>
      <c r="G1982" s="10"/>
      <c r="H1982" s="10"/>
      <c r="I1982" s="1" t="str">
        <f t="shared" si="90"/>
        <v/>
      </c>
      <c r="J1982" s="1" t="s">
        <v>35</v>
      </c>
      <c r="K1982" s="1" t="str">
        <f t="shared" si="91"/>
        <v/>
      </c>
      <c r="L1982" s="1" t="str">
        <f t="shared" si="92"/>
        <v/>
      </c>
      <c r="M1982" s="1">
        <f>IF(OR(Table1[[#This Row],[Std Nom]]="",Table1[[#This Row],[Std Read]]=""),0,Table1[[#This Row],[Std Nom]]-Table1[[#This Row],[Std Read]])</f>
        <v>0</v>
      </c>
      <c r="N1982" s="1">
        <f>IF(Calculations!$F$5="ACCREDITED 17025 WITH UNCERTAINTIES",$N$10,0)</f>
        <v>0</v>
      </c>
      <c r="Q1982" s="1">
        <f>Table1[[#This Row],[High Tol]]-Table1[[#This Row],[Low Tol]]</f>
        <v>0</v>
      </c>
      <c r="R1982" s="1">
        <f>2*Table1[[#This Row],[Std Error]]</f>
        <v>0</v>
      </c>
      <c r="S1982" s="1" t="str">
        <f>IF(Table1[[#This Row],[High Tol]]="","N/A",IFERROR(ABS(Table1[[#This Row],[Tol Span]]/Table1[[#This Row],[Error Span]]),"N/A"))</f>
        <v>N/A</v>
      </c>
      <c r="T1982" s="1" t="str">
        <f>IF(OR(Table1[[#This Row],[Low Tol]]="",Table1[[#This Row],[High Tol]]=""),"Needs Analysis",IF(Table1[[#This Row],[Ratio]]&gt;=4,"Not Significant",IF(Table1[[#This Row],[Ratio]]&gt;=2,"Semi-Significant","Significant")))</f>
        <v>Needs Analysis</v>
      </c>
      <c r="W1982" s="1">
        <f>IF(Table1[[#This Row],[Cal Type]]&lt;&gt;"ACCREDITED 17025 WITH UNCERTAINTIES",0,"")</f>
        <v>0</v>
      </c>
      <c r="X1982" s="1" t="str">
        <f>IF(Table1[[#This Row],[DUT Read]]="","N/A",Table1[[#This Row],[Std Error]]+Table1[[#This Row],[DUT Read]]+Table1[[#This Row],[DUT Ucty]])</f>
        <v>N/A</v>
      </c>
      <c r="Y1982" s="1" t="str">
        <f>IF(Table1[[#This Row],[Std Read]]="","N/A",Table1[[#This Row],[Std Read]]+Table1[[#This Row],[Std Ucty]])</f>
        <v>N/A</v>
      </c>
      <c r="Z19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2" s="1" t="str">
        <f>IF(Table1[[#This Row],[Spec Type]]="","N/A",Table1[[#This Row],[Spec Type]])</f>
        <v>±</v>
      </c>
      <c r="AC1982" s="1" t="str">
        <f>IF(Table1[[#This Row],[Spec Type2]]="N/A","N/A",IF(AND(Table1[[#This Row],[DUT Adj Read]]&gt;=Table1[[#This Row],[Low Tol]],Table1[[#This Row],[DUT Adj Read]]&lt;=Table1[[#This Row],[High Tol]]),"Pass","Fail"))</f>
        <v>Fail</v>
      </c>
      <c r="AD1982" s="1" t="str">
        <f>IF(AND(Table1[[#This Row],[Spec Type2]]="N/A",Table1[[#This Row],[DUT Adj Read]]="N/A",Table1[[#This Row],[Std Adj Read]]="N/A"),"N/A",IF(Table1[[#This Row],[DUT Adj Read]]="N/A",IF(Table1[[#This Row],[Std Adj Read]]&gt;Table1[[#This Row],[Low Tol]],"Pass","Fail"),IF(Table1[[#This Row],[DUT Adj Read]]&gt;Table1[[#This Row],[Low Tol]],"Pass","Fail")))</f>
        <v>Pass</v>
      </c>
      <c r="AE1982" s="1" t="str">
        <f>IF(AND(Table1[[#This Row],[Spec Type2]]="N/A",Table1[[#This Row],[DUT Adj Read]]="N/A",Table1[[#This Row],[Std Adj Read]]="N/A"),"N/A",IF(Table1[[#This Row],[DUT Adj Read]]="N/A",IF(Table1[[#This Row],[Std Adj Read]]&lt;Table1[[#This Row],[High Tol]],"Pass","Fail"),IF(Table1[[#This Row],[DUT Adj Read]]&lt;Table1[[#This Row],[High Tol]],"Pass","Fail")))</f>
        <v>Fail</v>
      </c>
      <c r="AF1982" s="1" t="str">
        <f>IF(AND(Table1[[#This Row],[Spec Type2]]="N/A",Table1[[#This Row],[DUT Adj Read]]="N/A",Table1[[#This Row],[Std Adj Read]]="N/A"),"N/A",IF(Table1[[#This Row],[DUT Adj Read]]="N/A",IF(Table1[[#This Row],[Std Adj Read]]&gt;=Table1[[#This Row],[Low Tol]],"Pass","Fail"),IF(Table1[[#This Row],[DUT Adj Read]]&gt;=Table1[[#This Row],[Low Tol]],"Pass","Fail")))</f>
        <v>Pass</v>
      </c>
      <c r="AG1982" s="1" t="str">
        <f>IF(AND(Table1[[#This Row],[Spec Type2]]="N/A",Table1[[#This Row],[DUT Adj Read]]="N/A",Table1[[#This Row],[Std Adj Read]]="N/A"),"N/A",IF(Table1[[#This Row],[DUT Adj Read]]="N/A",IF(Table1[[#This Row],[Std Adj Read]]&lt;=Table1[[#This Row],[High Tol]],"Pass","Fail"),IF(Table1[[#This Row],[DUT Adj Read]]&lt;=Table1[[#This Row],[High Tol]],"Pass","Fail")))</f>
        <v>Fail</v>
      </c>
      <c r="AH19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2" s="1" t="b">
        <v>0</v>
      </c>
      <c r="AN1982" s="1" t="b">
        <v>0</v>
      </c>
      <c r="AO1982" s="1" t="b">
        <v>0</v>
      </c>
    </row>
    <row r="1983" spans="1:41" x14ac:dyDescent="0.25">
      <c r="A1983" s="10"/>
      <c r="B1983" s="10"/>
      <c r="C1983" s="10"/>
      <c r="D1983" s="10"/>
      <c r="E1983" s="10"/>
      <c r="F1983" s="10"/>
      <c r="G1983" s="10"/>
      <c r="H1983" s="10"/>
      <c r="I1983" s="1" t="str">
        <f t="shared" si="90"/>
        <v/>
      </c>
      <c r="J1983" s="1" t="s">
        <v>35</v>
      </c>
      <c r="K1983" s="1" t="str">
        <f t="shared" si="91"/>
        <v/>
      </c>
      <c r="L1983" s="1" t="str">
        <f t="shared" si="92"/>
        <v/>
      </c>
      <c r="M1983" s="1">
        <f>IF(OR(Table1[[#This Row],[Std Nom]]="",Table1[[#This Row],[Std Read]]=""),0,Table1[[#This Row],[Std Nom]]-Table1[[#This Row],[Std Read]])</f>
        <v>0</v>
      </c>
      <c r="N1983" s="1">
        <f>IF(Calculations!$F$5="ACCREDITED 17025 WITH UNCERTAINTIES",$N$10,0)</f>
        <v>0</v>
      </c>
      <c r="Q1983" s="1">
        <f>Table1[[#This Row],[High Tol]]-Table1[[#This Row],[Low Tol]]</f>
        <v>0</v>
      </c>
      <c r="R1983" s="1">
        <f>2*Table1[[#This Row],[Std Error]]</f>
        <v>0</v>
      </c>
      <c r="S1983" s="1" t="str">
        <f>IF(Table1[[#This Row],[High Tol]]="","N/A",IFERROR(ABS(Table1[[#This Row],[Tol Span]]/Table1[[#This Row],[Error Span]]),"N/A"))</f>
        <v>N/A</v>
      </c>
      <c r="T1983" s="1" t="str">
        <f>IF(OR(Table1[[#This Row],[Low Tol]]="",Table1[[#This Row],[High Tol]]=""),"Needs Analysis",IF(Table1[[#This Row],[Ratio]]&gt;=4,"Not Significant",IF(Table1[[#This Row],[Ratio]]&gt;=2,"Semi-Significant","Significant")))</f>
        <v>Needs Analysis</v>
      </c>
      <c r="W1983" s="1">
        <f>IF(Table1[[#This Row],[Cal Type]]&lt;&gt;"ACCREDITED 17025 WITH UNCERTAINTIES",0,"")</f>
        <v>0</v>
      </c>
      <c r="X1983" s="1" t="str">
        <f>IF(Table1[[#This Row],[DUT Read]]="","N/A",Table1[[#This Row],[Std Error]]+Table1[[#This Row],[DUT Read]]+Table1[[#This Row],[DUT Ucty]])</f>
        <v>N/A</v>
      </c>
      <c r="Y1983" s="1" t="str">
        <f>IF(Table1[[#This Row],[Std Read]]="","N/A",Table1[[#This Row],[Std Read]]+Table1[[#This Row],[Std Ucty]])</f>
        <v>N/A</v>
      </c>
      <c r="Z19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3" s="1" t="str">
        <f>IF(Table1[[#This Row],[Spec Type]]="","N/A",Table1[[#This Row],[Spec Type]])</f>
        <v>±</v>
      </c>
      <c r="AC1983" s="1" t="str">
        <f>IF(Table1[[#This Row],[Spec Type2]]="N/A","N/A",IF(AND(Table1[[#This Row],[DUT Adj Read]]&gt;=Table1[[#This Row],[Low Tol]],Table1[[#This Row],[DUT Adj Read]]&lt;=Table1[[#This Row],[High Tol]]),"Pass","Fail"))</f>
        <v>Fail</v>
      </c>
      <c r="AD1983" s="1" t="str">
        <f>IF(AND(Table1[[#This Row],[Spec Type2]]="N/A",Table1[[#This Row],[DUT Adj Read]]="N/A",Table1[[#This Row],[Std Adj Read]]="N/A"),"N/A",IF(Table1[[#This Row],[DUT Adj Read]]="N/A",IF(Table1[[#This Row],[Std Adj Read]]&gt;Table1[[#This Row],[Low Tol]],"Pass","Fail"),IF(Table1[[#This Row],[DUT Adj Read]]&gt;Table1[[#This Row],[Low Tol]],"Pass","Fail")))</f>
        <v>Pass</v>
      </c>
      <c r="AE1983" s="1" t="str">
        <f>IF(AND(Table1[[#This Row],[Spec Type2]]="N/A",Table1[[#This Row],[DUT Adj Read]]="N/A",Table1[[#This Row],[Std Adj Read]]="N/A"),"N/A",IF(Table1[[#This Row],[DUT Adj Read]]="N/A",IF(Table1[[#This Row],[Std Adj Read]]&lt;Table1[[#This Row],[High Tol]],"Pass","Fail"),IF(Table1[[#This Row],[DUT Adj Read]]&lt;Table1[[#This Row],[High Tol]],"Pass","Fail")))</f>
        <v>Fail</v>
      </c>
      <c r="AF1983" s="1" t="str">
        <f>IF(AND(Table1[[#This Row],[Spec Type2]]="N/A",Table1[[#This Row],[DUT Adj Read]]="N/A",Table1[[#This Row],[Std Adj Read]]="N/A"),"N/A",IF(Table1[[#This Row],[DUT Adj Read]]="N/A",IF(Table1[[#This Row],[Std Adj Read]]&gt;=Table1[[#This Row],[Low Tol]],"Pass","Fail"),IF(Table1[[#This Row],[DUT Adj Read]]&gt;=Table1[[#This Row],[Low Tol]],"Pass","Fail")))</f>
        <v>Pass</v>
      </c>
      <c r="AG1983" s="1" t="str">
        <f>IF(AND(Table1[[#This Row],[Spec Type2]]="N/A",Table1[[#This Row],[DUT Adj Read]]="N/A",Table1[[#This Row],[Std Adj Read]]="N/A"),"N/A",IF(Table1[[#This Row],[DUT Adj Read]]="N/A",IF(Table1[[#This Row],[Std Adj Read]]&lt;=Table1[[#This Row],[High Tol]],"Pass","Fail"),IF(Table1[[#This Row],[DUT Adj Read]]&lt;=Table1[[#This Row],[High Tol]],"Pass","Fail")))</f>
        <v>Fail</v>
      </c>
      <c r="AH19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3" s="1" t="b">
        <v>0</v>
      </c>
      <c r="AN1983" s="1" t="b">
        <v>0</v>
      </c>
      <c r="AO1983" s="1" t="b">
        <v>0</v>
      </c>
    </row>
    <row r="1984" spans="1:41" x14ac:dyDescent="0.25">
      <c r="A1984" s="10"/>
      <c r="B1984" s="10"/>
      <c r="C1984" s="10"/>
      <c r="D1984" s="10"/>
      <c r="E1984" s="10"/>
      <c r="F1984" s="10"/>
      <c r="G1984" s="10"/>
      <c r="H1984" s="10"/>
      <c r="I1984" s="1" t="str">
        <f t="shared" si="90"/>
        <v/>
      </c>
      <c r="J1984" s="1" t="s">
        <v>35</v>
      </c>
      <c r="K1984" s="1" t="str">
        <f t="shared" si="91"/>
        <v/>
      </c>
      <c r="L1984" s="1" t="str">
        <f t="shared" si="92"/>
        <v/>
      </c>
      <c r="M1984" s="1">
        <f>IF(OR(Table1[[#This Row],[Std Nom]]="",Table1[[#This Row],[Std Read]]=""),0,Table1[[#This Row],[Std Nom]]-Table1[[#This Row],[Std Read]])</f>
        <v>0</v>
      </c>
      <c r="N1984" s="1">
        <f>IF(Calculations!$F$5="ACCREDITED 17025 WITH UNCERTAINTIES",$N$10,0)</f>
        <v>0</v>
      </c>
      <c r="Q1984" s="1">
        <f>Table1[[#This Row],[High Tol]]-Table1[[#This Row],[Low Tol]]</f>
        <v>0</v>
      </c>
      <c r="R1984" s="1">
        <f>2*Table1[[#This Row],[Std Error]]</f>
        <v>0</v>
      </c>
      <c r="S1984" s="1" t="str">
        <f>IF(Table1[[#This Row],[High Tol]]="","N/A",IFERROR(ABS(Table1[[#This Row],[Tol Span]]/Table1[[#This Row],[Error Span]]),"N/A"))</f>
        <v>N/A</v>
      </c>
      <c r="T1984" s="1" t="str">
        <f>IF(OR(Table1[[#This Row],[Low Tol]]="",Table1[[#This Row],[High Tol]]=""),"Needs Analysis",IF(Table1[[#This Row],[Ratio]]&gt;=4,"Not Significant",IF(Table1[[#This Row],[Ratio]]&gt;=2,"Semi-Significant","Significant")))</f>
        <v>Needs Analysis</v>
      </c>
      <c r="W1984" s="1">
        <f>IF(Table1[[#This Row],[Cal Type]]&lt;&gt;"ACCREDITED 17025 WITH UNCERTAINTIES",0,"")</f>
        <v>0</v>
      </c>
      <c r="X1984" s="1" t="str">
        <f>IF(Table1[[#This Row],[DUT Read]]="","N/A",Table1[[#This Row],[Std Error]]+Table1[[#This Row],[DUT Read]]+Table1[[#This Row],[DUT Ucty]])</f>
        <v>N/A</v>
      </c>
      <c r="Y1984" s="1" t="str">
        <f>IF(Table1[[#This Row],[Std Read]]="","N/A",Table1[[#This Row],[Std Read]]+Table1[[#This Row],[Std Ucty]])</f>
        <v>N/A</v>
      </c>
      <c r="Z19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4" s="1" t="str">
        <f>IF(Table1[[#This Row],[Spec Type]]="","N/A",Table1[[#This Row],[Spec Type]])</f>
        <v>±</v>
      </c>
      <c r="AC1984" s="1" t="str">
        <f>IF(Table1[[#This Row],[Spec Type2]]="N/A","N/A",IF(AND(Table1[[#This Row],[DUT Adj Read]]&gt;=Table1[[#This Row],[Low Tol]],Table1[[#This Row],[DUT Adj Read]]&lt;=Table1[[#This Row],[High Tol]]),"Pass","Fail"))</f>
        <v>Fail</v>
      </c>
      <c r="AD1984" s="1" t="str">
        <f>IF(AND(Table1[[#This Row],[Spec Type2]]="N/A",Table1[[#This Row],[DUT Adj Read]]="N/A",Table1[[#This Row],[Std Adj Read]]="N/A"),"N/A",IF(Table1[[#This Row],[DUT Adj Read]]="N/A",IF(Table1[[#This Row],[Std Adj Read]]&gt;Table1[[#This Row],[Low Tol]],"Pass","Fail"),IF(Table1[[#This Row],[DUT Adj Read]]&gt;Table1[[#This Row],[Low Tol]],"Pass","Fail")))</f>
        <v>Pass</v>
      </c>
      <c r="AE1984" s="1" t="str">
        <f>IF(AND(Table1[[#This Row],[Spec Type2]]="N/A",Table1[[#This Row],[DUT Adj Read]]="N/A",Table1[[#This Row],[Std Adj Read]]="N/A"),"N/A",IF(Table1[[#This Row],[DUT Adj Read]]="N/A",IF(Table1[[#This Row],[Std Adj Read]]&lt;Table1[[#This Row],[High Tol]],"Pass","Fail"),IF(Table1[[#This Row],[DUT Adj Read]]&lt;Table1[[#This Row],[High Tol]],"Pass","Fail")))</f>
        <v>Fail</v>
      </c>
      <c r="AF1984" s="1" t="str">
        <f>IF(AND(Table1[[#This Row],[Spec Type2]]="N/A",Table1[[#This Row],[DUT Adj Read]]="N/A",Table1[[#This Row],[Std Adj Read]]="N/A"),"N/A",IF(Table1[[#This Row],[DUT Adj Read]]="N/A",IF(Table1[[#This Row],[Std Adj Read]]&gt;=Table1[[#This Row],[Low Tol]],"Pass","Fail"),IF(Table1[[#This Row],[DUT Adj Read]]&gt;=Table1[[#This Row],[Low Tol]],"Pass","Fail")))</f>
        <v>Pass</v>
      </c>
      <c r="AG1984" s="1" t="str">
        <f>IF(AND(Table1[[#This Row],[Spec Type2]]="N/A",Table1[[#This Row],[DUT Adj Read]]="N/A",Table1[[#This Row],[Std Adj Read]]="N/A"),"N/A",IF(Table1[[#This Row],[DUT Adj Read]]="N/A",IF(Table1[[#This Row],[Std Adj Read]]&lt;=Table1[[#This Row],[High Tol]],"Pass","Fail"),IF(Table1[[#This Row],[DUT Adj Read]]&lt;=Table1[[#This Row],[High Tol]],"Pass","Fail")))</f>
        <v>Fail</v>
      </c>
      <c r="AH19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4" s="1" t="b">
        <v>0</v>
      </c>
      <c r="AN1984" s="1" t="b">
        <v>0</v>
      </c>
      <c r="AO1984" s="1" t="b">
        <v>0</v>
      </c>
    </row>
    <row r="1985" spans="1:41" x14ac:dyDescent="0.25">
      <c r="A1985" s="10"/>
      <c r="B1985" s="10"/>
      <c r="C1985" s="10"/>
      <c r="D1985" s="10"/>
      <c r="E1985" s="10"/>
      <c r="F1985" s="10"/>
      <c r="G1985" s="10"/>
      <c r="H1985" s="10"/>
      <c r="I1985" s="1" t="str">
        <f t="shared" si="90"/>
        <v/>
      </c>
      <c r="J1985" s="1" t="s">
        <v>35</v>
      </c>
      <c r="K1985" s="1" t="str">
        <f t="shared" si="91"/>
        <v/>
      </c>
      <c r="L1985" s="1" t="str">
        <f t="shared" si="92"/>
        <v/>
      </c>
      <c r="M1985" s="1">
        <f>IF(OR(Table1[[#This Row],[Std Nom]]="",Table1[[#This Row],[Std Read]]=""),0,Table1[[#This Row],[Std Nom]]-Table1[[#This Row],[Std Read]])</f>
        <v>0</v>
      </c>
      <c r="N1985" s="1">
        <f>IF(Calculations!$F$5="ACCREDITED 17025 WITH UNCERTAINTIES",$N$10,0)</f>
        <v>0</v>
      </c>
      <c r="Q1985" s="1">
        <f>Table1[[#This Row],[High Tol]]-Table1[[#This Row],[Low Tol]]</f>
        <v>0</v>
      </c>
      <c r="R1985" s="1">
        <f>2*Table1[[#This Row],[Std Error]]</f>
        <v>0</v>
      </c>
      <c r="S1985" s="1" t="str">
        <f>IF(Table1[[#This Row],[High Tol]]="","N/A",IFERROR(ABS(Table1[[#This Row],[Tol Span]]/Table1[[#This Row],[Error Span]]),"N/A"))</f>
        <v>N/A</v>
      </c>
      <c r="T1985" s="1" t="str">
        <f>IF(OR(Table1[[#This Row],[Low Tol]]="",Table1[[#This Row],[High Tol]]=""),"Needs Analysis",IF(Table1[[#This Row],[Ratio]]&gt;=4,"Not Significant",IF(Table1[[#This Row],[Ratio]]&gt;=2,"Semi-Significant","Significant")))</f>
        <v>Needs Analysis</v>
      </c>
      <c r="W1985" s="1">
        <f>IF(Table1[[#This Row],[Cal Type]]&lt;&gt;"ACCREDITED 17025 WITH UNCERTAINTIES",0,"")</f>
        <v>0</v>
      </c>
      <c r="X1985" s="1" t="str">
        <f>IF(Table1[[#This Row],[DUT Read]]="","N/A",Table1[[#This Row],[Std Error]]+Table1[[#This Row],[DUT Read]]+Table1[[#This Row],[DUT Ucty]])</f>
        <v>N/A</v>
      </c>
      <c r="Y1985" s="1" t="str">
        <f>IF(Table1[[#This Row],[Std Read]]="","N/A",Table1[[#This Row],[Std Read]]+Table1[[#This Row],[Std Ucty]])</f>
        <v>N/A</v>
      </c>
      <c r="Z19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5" s="1" t="str">
        <f>IF(Table1[[#This Row],[Spec Type]]="","N/A",Table1[[#This Row],[Spec Type]])</f>
        <v>±</v>
      </c>
      <c r="AC1985" s="1" t="str">
        <f>IF(Table1[[#This Row],[Spec Type2]]="N/A","N/A",IF(AND(Table1[[#This Row],[DUT Adj Read]]&gt;=Table1[[#This Row],[Low Tol]],Table1[[#This Row],[DUT Adj Read]]&lt;=Table1[[#This Row],[High Tol]]),"Pass","Fail"))</f>
        <v>Fail</v>
      </c>
      <c r="AD1985" s="1" t="str">
        <f>IF(AND(Table1[[#This Row],[Spec Type2]]="N/A",Table1[[#This Row],[DUT Adj Read]]="N/A",Table1[[#This Row],[Std Adj Read]]="N/A"),"N/A",IF(Table1[[#This Row],[DUT Adj Read]]="N/A",IF(Table1[[#This Row],[Std Adj Read]]&gt;Table1[[#This Row],[Low Tol]],"Pass","Fail"),IF(Table1[[#This Row],[DUT Adj Read]]&gt;Table1[[#This Row],[Low Tol]],"Pass","Fail")))</f>
        <v>Pass</v>
      </c>
      <c r="AE1985" s="1" t="str">
        <f>IF(AND(Table1[[#This Row],[Spec Type2]]="N/A",Table1[[#This Row],[DUT Adj Read]]="N/A",Table1[[#This Row],[Std Adj Read]]="N/A"),"N/A",IF(Table1[[#This Row],[DUT Adj Read]]="N/A",IF(Table1[[#This Row],[Std Adj Read]]&lt;Table1[[#This Row],[High Tol]],"Pass","Fail"),IF(Table1[[#This Row],[DUT Adj Read]]&lt;Table1[[#This Row],[High Tol]],"Pass","Fail")))</f>
        <v>Fail</v>
      </c>
      <c r="AF1985" s="1" t="str">
        <f>IF(AND(Table1[[#This Row],[Spec Type2]]="N/A",Table1[[#This Row],[DUT Adj Read]]="N/A",Table1[[#This Row],[Std Adj Read]]="N/A"),"N/A",IF(Table1[[#This Row],[DUT Adj Read]]="N/A",IF(Table1[[#This Row],[Std Adj Read]]&gt;=Table1[[#This Row],[Low Tol]],"Pass","Fail"),IF(Table1[[#This Row],[DUT Adj Read]]&gt;=Table1[[#This Row],[Low Tol]],"Pass","Fail")))</f>
        <v>Pass</v>
      </c>
      <c r="AG1985" s="1" t="str">
        <f>IF(AND(Table1[[#This Row],[Spec Type2]]="N/A",Table1[[#This Row],[DUT Adj Read]]="N/A",Table1[[#This Row],[Std Adj Read]]="N/A"),"N/A",IF(Table1[[#This Row],[DUT Adj Read]]="N/A",IF(Table1[[#This Row],[Std Adj Read]]&lt;=Table1[[#This Row],[High Tol]],"Pass","Fail"),IF(Table1[[#This Row],[DUT Adj Read]]&lt;=Table1[[#This Row],[High Tol]],"Pass","Fail")))</f>
        <v>Fail</v>
      </c>
      <c r="AH19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5" s="1" t="b">
        <v>0</v>
      </c>
      <c r="AN1985" s="1" t="b">
        <v>0</v>
      </c>
      <c r="AO1985" s="1" t="b">
        <v>0</v>
      </c>
    </row>
    <row r="1986" spans="1:41" x14ac:dyDescent="0.25">
      <c r="A1986" s="10"/>
      <c r="B1986" s="10"/>
      <c r="C1986" s="10"/>
      <c r="D1986" s="10"/>
      <c r="E1986" s="10"/>
      <c r="F1986" s="10"/>
      <c r="G1986" s="10"/>
      <c r="H1986" s="10"/>
      <c r="I1986" s="1" t="str">
        <f t="shared" si="90"/>
        <v/>
      </c>
      <c r="J1986" s="1" t="s">
        <v>35</v>
      </c>
      <c r="K1986" s="1" t="str">
        <f t="shared" si="91"/>
        <v/>
      </c>
      <c r="L1986" s="1" t="str">
        <f t="shared" si="92"/>
        <v/>
      </c>
      <c r="M1986" s="1">
        <f>IF(OR(Table1[[#This Row],[Std Nom]]="",Table1[[#This Row],[Std Read]]=""),0,Table1[[#This Row],[Std Nom]]-Table1[[#This Row],[Std Read]])</f>
        <v>0</v>
      </c>
      <c r="N1986" s="1">
        <f>IF(Calculations!$F$5="ACCREDITED 17025 WITH UNCERTAINTIES",$N$10,0)</f>
        <v>0</v>
      </c>
      <c r="Q1986" s="1">
        <f>Table1[[#This Row],[High Tol]]-Table1[[#This Row],[Low Tol]]</f>
        <v>0</v>
      </c>
      <c r="R1986" s="1">
        <f>2*Table1[[#This Row],[Std Error]]</f>
        <v>0</v>
      </c>
      <c r="S1986" s="1" t="str">
        <f>IF(Table1[[#This Row],[High Tol]]="","N/A",IFERROR(ABS(Table1[[#This Row],[Tol Span]]/Table1[[#This Row],[Error Span]]),"N/A"))</f>
        <v>N/A</v>
      </c>
      <c r="T1986" s="1" t="str">
        <f>IF(OR(Table1[[#This Row],[Low Tol]]="",Table1[[#This Row],[High Tol]]=""),"Needs Analysis",IF(Table1[[#This Row],[Ratio]]&gt;=4,"Not Significant",IF(Table1[[#This Row],[Ratio]]&gt;=2,"Semi-Significant","Significant")))</f>
        <v>Needs Analysis</v>
      </c>
      <c r="W1986" s="1">
        <f>IF(Table1[[#This Row],[Cal Type]]&lt;&gt;"ACCREDITED 17025 WITH UNCERTAINTIES",0,"")</f>
        <v>0</v>
      </c>
      <c r="X1986" s="1" t="str">
        <f>IF(Table1[[#This Row],[DUT Read]]="","N/A",Table1[[#This Row],[Std Error]]+Table1[[#This Row],[DUT Read]]+Table1[[#This Row],[DUT Ucty]])</f>
        <v>N/A</v>
      </c>
      <c r="Y1986" s="1" t="str">
        <f>IF(Table1[[#This Row],[Std Read]]="","N/A",Table1[[#This Row],[Std Read]]+Table1[[#This Row],[Std Ucty]])</f>
        <v>N/A</v>
      </c>
      <c r="Z19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6" s="1" t="str">
        <f>IF(Table1[[#This Row],[Spec Type]]="","N/A",Table1[[#This Row],[Spec Type]])</f>
        <v>±</v>
      </c>
      <c r="AC1986" s="1" t="str">
        <f>IF(Table1[[#This Row],[Spec Type2]]="N/A","N/A",IF(AND(Table1[[#This Row],[DUT Adj Read]]&gt;=Table1[[#This Row],[Low Tol]],Table1[[#This Row],[DUT Adj Read]]&lt;=Table1[[#This Row],[High Tol]]),"Pass","Fail"))</f>
        <v>Fail</v>
      </c>
      <c r="AD1986" s="1" t="str">
        <f>IF(AND(Table1[[#This Row],[Spec Type2]]="N/A",Table1[[#This Row],[DUT Adj Read]]="N/A",Table1[[#This Row],[Std Adj Read]]="N/A"),"N/A",IF(Table1[[#This Row],[DUT Adj Read]]="N/A",IF(Table1[[#This Row],[Std Adj Read]]&gt;Table1[[#This Row],[Low Tol]],"Pass","Fail"),IF(Table1[[#This Row],[DUT Adj Read]]&gt;Table1[[#This Row],[Low Tol]],"Pass","Fail")))</f>
        <v>Pass</v>
      </c>
      <c r="AE1986" s="1" t="str">
        <f>IF(AND(Table1[[#This Row],[Spec Type2]]="N/A",Table1[[#This Row],[DUT Adj Read]]="N/A",Table1[[#This Row],[Std Adj Read]]="N/A"),"N/A",IF(Table1[[#This Row],[DUT Adj Read]]="N/A",IF(Table1[[#This Row],[Std Adj Read]]&lt;Table1[[#This Row],[High Tol]],"Pass","Fail"),IF(Table1[[#This Row],[DUT Adj Read]]&lt;Table1[[#This Row],[High Tol]],"Pass","Fail")))</f>
        <v>Fail</v>
      </c>
      <c r="AF1986" s="1" t="str">
        <f>IF(AND(Table1[[#This Row],[Spec Type2]]="N/A",Table1[[#This Row],[DUT Adj Read]]="N/A",Table1[[#This Row],[Std Adj Read]]="N/A"),"N/A",IF(Table1[[#This Row],[DUT Adj Read]]="N/A",IF(Table1[[#This Row],[Std Adj Read]]&gt;=Table1[[#This Row],[Low Tol]],"Pass","Fail"),IF(Table1[[#This Row],[DUT Adj Read]]&gt;=Table1[[#This Row],[Low Tol]],"Pass","Fail")))</f>
        <v>Pass</v>
      </c>
      <c r="AG1986" s="1" t="str">
        <f>IF(AND(Table1[[#This Row],[Spec Type2]]="N/A",Table1[[#This Row],[DUT Adj Read]]="N/A",Table1[[#This Row],[Std Adj Read]]="N/A"),"N/A",IF(Table1[[#This Row],[DUT Adj Read]]="N/A",IF(Table1[[#This Row],[Std Adj Read]]&lt;=Table1[[#This Row],[High Tol]],"Pass","Fail"),IF(Table1[[#This Row],[DUT Adj Read]]&lt;=Table1[[#This Row],[High Tol]],"Pass","Fail")))</f>
        <v>Fail</v>
      </c>
      <c r="AH19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6" s="1" t="b">
        <v>0</v>
      </c>
      <c r="AN1986" s="1" t="b">
        <v>0</v>
      </c>
      <c r="AO1986" s="1" t="b">
        <v>0</v>
      </c>
    </row>
    <row r="1987" spans="1:41" x14ac:dyDescent="0.25">
      <c r="A1987" s="10"/>
      <c r="B1987" s="10"/>
      <c r="C1987" s="10"/>
      <c r="D1987" s="10"/>
      <c r="E1987" s="10"/>
      <c r="F1987" s="10"/>
      <c r="G1987" s="10"/>
      <c r="H1987" s="10"/>
      <c r="I1987" s="1" t="str">
        <f t="shared" si="90"/>
        <v/>
      </c>
      <c r="J1987" s="1" t="s">
        <v>35</v>
      </c>
      <c r="K1987" s="1" t="str">
        <f t="shared" si="91"/>
        <v/>
      </c>
      <c r="L1987" s="1" t="str">
        <f t="shared" si="92"/>
        <v/>
      </c>
      <c r="M1987" s="1">
        <f>IF(OR(Table1[[#This Row],[Std Nom]]="",Table1[[#This Row],[Std Read]]=""),0,Table1[[#This Row],[Std Nom]]-Table1[[#This Row],[Std Read]])</f>
        <v>0</v>
      </c>
      <c r="N1987" s="1">
        <f>IF(Calculations!$F$5="ACCREDITED 17025 WITH UNCERTAINTIES",$N$10,0)</f>
        <v>0</v>
      </c>
      <c r="Q1987" s="1">
        <f>Table1[[#This Row],[High Tol]]-Table1[[#This Row],[Low Tol]]</f>
        <v>0</v>
      </c>
      <c r="R1987" s="1">
        <f>2*Table1[[#This Row],[Std Error]]</f>
        <v>0</v>
      </c>
      <c r="S1987" s="1" t="str">
        <f>IF(Table1[[#This Row],[High Tol]]="","N/A",IFERROR(ABS(Table1[[#This Row],[Tol Span]]/Table1[[#This Row],[Error Span]]),"N/A"))</f>
        <v>N/A</v>
      </c>
      <c r="T1987" s="1" t="str">
        <f>IF(OR(Table1[[#This Row],[Low Tol]]="",Table1[[#This Row],[High Tol]]=""),"Needs Analysis",IF(Table1[[#This Row],[Ratio]]&gt;=4,"Not Significant",IF(Table1[[#This Row],[Ratio]]&gt;=2,"Semi-Significant","Significant")))</f>
        <v>Needs Analysis</v>
      </c>
      <c r="W1987" s="1">
        <f>IF(Table1[[#This Row],[Cal Type]]&lt;&gt;"ACCREDITED 17025 WITH UNCERTAINTIES",0,"")</f>
        <v>0</v>
      </c>
      <c r="X1987" s="1" t="str">
        <f>IF(Table1[[#This Row],[DUT Read]]="","N/A",Table1[[#This Row],[Std Error]]+Table1[[#This Row],[DUT Read]]+Table1[[#This Row],[DUT Ucty]])</f>
        <v>N/A</v>
      </c>
      <c r="Y1987" s="1" t="str">
        <f>IF(Table1[[#This Row],[Std Read]]="","N/A",Table1[[#This Row],[Std Read]]+Table1[[#This Row],[Std Ucty]])</f>
        <v>N/A</v>
      </c>
      <c r="Z19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7" s="1" t="str">
        <f>IF(Table1[[#This Row],[Spec Type]]="","N/A",Table1[[#This Row],[Spec Type]])</f>
        <v>±</v>
      </c>
      <c r="AC1987" s="1" t="str">
        <f>IF(Table1[[#This Row],[Spec Type2]]="N/A","N/A",IF(AND(Table1[[#This Row],[DUT Adj Read]]&gt;=Table1[[#This Row],[Low Tol]],Table1[[#This Row],[DUT Adj Read]]&lt;=Table1[[#This Row],[High Tol]]),"Pass","Fail"))</f>
        <v>Fail</v>
      </c>
      <c r="AD1987" s="1" t="str">
        <f>IF(AND(Table1[[#This Row],[Spec Type2]]="N/A",Table1[[#This Row],[DUT Adj Read]]="N/A",Table1[[#This Row],[Std Adj Read]]="N/A"),"N/A",IF(Table1[[#This Row],[DUT Adj Read]]="N/A",IF(Table1[[#This Row],[Std Adj Read]]&gt;Table1[[#This Row],[Low Tol]],"Pass","Fail"),IF(Table1[[#This Row],[DUT Adj Read]]&gt;Table1[[#This Row],[Low Tol]],"Pass","Fail")))</f>
        <v>Pass</v>
      </c>
      <c r="AE1987" s="1" t="str">
        <f>IF(AND(Table1[[#This Row],[Spec Type2]]="N/A",Table1[[#This Row],[DUT Adj Read]]="N/A",Table1[[#This Row],[Std Adj Read]]="N/A"),"N/A",IF(Table1[[#This Row],[DUT Adj Read]]="N/A",IF(Table1[[#This Row],[Std Adj Read]]&lt;Table1[[#This Row],[High Tol]],"Pass","Fail"),IF(Table1[[#This Row],[DUT Adj Read]]&lt;Table1[[#This Row],[High Tol]],"Pass","Fail")))</f>
        <v>Fail</v>
      </c>
      <c r="AF1987" s="1" t="str">
        <f>IF(AND(Table1[[#This Row],[Spec Type2]]="N/A",Table1[[#This Row],[DUT Adj Read]]="N/A",Table1[[#This Row],[Std Adj Read]]="N/A"),"N/A",IF(Table1[[#This Row],[DUT Adj Read]]="N/A",IF(Table1[[#This Row],[Std Adj Read]]&gt;=Table1[[#This Row],[Low Tol]],"Pass","Fail"),IF(Table1[[#This Row],[DUT Adj Read]]&gt;=Table1[[#This Row],[Low Tol]],"Pass","Fail")))</f>
        <v>Pass</v>
      </c>
      <c r="AG1987" s="1" t="str">
        <f>IF(AND(Table1[[#This Row],[Spec Type2]]="N/A",Table1[[#This Row],[DUT Adj Read]]="N/A",Table1[[#This Row],[Std Adj Read]]="N/A"),"N/A",IF(Table1[[#This Row],[DUT Adj Read]]="N/A",IF(Table1[[#This Row],[Std Adj Read]]&lt;=Table1[[#This Row],[High Tol]],"Pass","Fail"),IF(Table1[[#This Row],[DUT Adj Read]]&lt;=Table1[[#This Row],[High Tol]],"Pass","Fail")))</f>
        <v>Fail</v>
      </c>
      <c r="AH19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7" s="1" t="b">
        <v>0</v>
      </c>
      <c r="AN1987" s="1" t="b">
        <v>0</v>
      </c>
      <c r="AO1987" s="1" t="b">
        <v>0</v>
      </c>
    </row>
    <row r="1988" spans="1:41" x14ac:dyDescent="0.25">
      <c r="A1988" s="10"/>
      <c r="B1988" s="10"/>
      <c r="C1988" s="10"/>
      <c r="D1988" s="10"/>
      <c r="E1988" s="10"/>
      <c r="F1988" s="10"/>
      <c r="G1988" s="10"/>
      <c r="H1988" s="10"/>
      <c r="I1988" s="1" t="str">
        <f t="shared" si="90"/>
        <v/>
      </c>
      <c r="J1988" s="1" t="s">
        <v>35</v>
      </c>
      <c r="K1988" s="1" t="str">
        <f t="shared" si="91"/>
        <v/>
      </c>
      <c r="L1988" s="1" t="str">
        <f t="shared" si="92"/>
        <v/>
      </c>
      <c r="M1988" s="1">
        <f>IF(OR(Table1[[#This Row],[Std Nom]]="",Table1[[#This Row],[Std Read]]=""),0,Table1[[#This Row],[Std Nom]]-Table1[[#This Row],[Std Read]])</f>
        <v>0</v>
      </c>
      <c r="N1988" s="1">
        <f>IF(Calculations!$F$5="ACCREDITED 17025 WITH UNCERTAINTIES",$N$10,0)</f>
        <v>0</v>
      </c>
      <c r="Q1988" s="1">
        <f>Table1[[#This Row],[High Tol]]-Table1[[#This Row],[Low Tol]]</f>
        <v>0</v>
      </c>
      <c r="R1988" s="1">
        <f>2*Table1[[#This Row],[Std Error]]</f>
        <v>0</v>
      </c>
      <c r="S1988" s="1" t="str">
        <f>IF(Table1[[#This Row],[High Tol]]="","N/A",IFERROR(ABS(Table1[[#This Row],[Tol Span]]/Table1[[#This Row],[Error Span]]),"N/A"))</f>
        <v>N/A</v>
      </c>
      <c r="T1988" s="1" t="str">
        <f>IF(OR(Table1[[#This Row],[Low Tol]]="",Table1[[#This Row],[High Tol]]=""),"Needs Analysis",IF(Table1[[#This Row],[Ratio]]&gt;=4,"Not Significant",IF(Table1[[#This Row],[Ratio]]&gt;=2,"Semi-Significant","Significant")))</f>
        <v>Needs Analysis</v>
      </c>
      <c r="W1988" s="1">
        <f>IF(Table1[[#This Row],[Cal Type]]&lt;&gt;"ACCREDITED 17025 WITH UNCERTAINTIES",0,"")</f>
        <v>0</v>
      </c>
      <c r="X1988" s="1" t="str">
        <f>IF(Table1[[#This Row],[DUT Read]]="","N/A",Table1[[#This Row],[Std Error]]+Table1[[#This Row],[DUT Read]]+Table1[[#This Row],[DUT Ucty]])</f>
        <v>N/A</v>
      </c>
      <c r="Y1988" s="1" t="str">
        <f>IF(Table1[[#This Row],[Std Read]]="","N/A",Table1[[#This Row],[Std Read]]+Table1[[#This Row],[Std Ucty]])</f>
        <v>N/A</v>
      </c>
      <c r="Z19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8" s="1" t="str">
        <f>IF(Table1[[#This Row],[Spec Type]]="","N/A",Table1[[#This Row],[Spec Type]])</f>
        <v>±</v>
      </c>
      <c r="AC1988" s="1" t="str">
        <f>IF(Table1[[#This Row],[Spec Type2]]="N/A","N/A",IF(AND(Table1[[#This Row],[DUT Adj Read]]&gt;=Table1[[#This Row],[Low Tol]],Table1[[#This Row],[DUT Adj Read]]&lt;=Table1[[#This Row],[High Tol]]),"Pass","Fail"))</f>
        <v>Fail</v>
      </c>
      <c r="AD1988" s="1" t="str">
        <f>IF(AND(Table1[[#This Row],[Spec Type2]]="N/A",Table1[[#This Row],[DUT Adj Read]]="N/A",Table1[[#This Row],[Std Adj Read]]="N/A"),"N/A",IF(Table1[[#This Row],[DUT Adj Read]]="N/A",IF(Table1[[#This Row],[Std Adj Read]]&gt;Table1[[#This Row],[Low Tol]],"Pass","Fail"),IF(Table1[[#This Row],[DUT Adj Read]]&gt;Table1[[#This Row],[Low Tol]],"Pass","Fail")))</f>
        <v>Pass</v>
      </c>
      <c r="AE1988" s="1" t="str">
        <f>IF(AND(Table1[[#This Row],[Spec Type2]]="N/A",Table1[[#This Row],[DUT Adj Read]]="N/A",Table1[[#This Row],[Std Adj Read]]="N/A"),"N/A",IF(Table1[[#This Row],[DUT Adj Read]]="N/A",IF(Table1[[#This Row],[Std Adj Read]]&lt;Table1[[#This Row],[High Tol]],"Pass","Fail"),IF(Table1[[#This Row],[DUT Adj Read]]&lt;Table1[[#This Row],[High Tol]],"Pass","Fail")))</f>
        <v>Fail</v>
      </c>
      <c r="AF1988" s="1" t="str">
        <f>IF(AND(Table1[[#This Row],[Spec Type2]]="N/A",Table1[[#This Row],[DUT Adj Read]]="N/A",Table1[[#This Row],[Std Adj Read]]="N/A"),"N/A",IF(Table1[[#This Row],[DUT Adj Read]]="N/A",IF(Table1[[#This Row],[Std Adj Read]]&gt;=Table1[[#This Row],[Low Tol]],"Pass","Fail"),IF(Table1[[#This Row],[DUT Adj Read]]&gt;=Table1[[#This Row],[Low Tol]],"Pass","Fail")))</f>
        <v>Pass</v>
      </c>
      <c r="AG1988" s="1" t="str">
        <f>IF(AND(Table1[[#This Row],[Spec Type2]]="N/A",Table1[[#This Row],[DUT Adj Read]]="N/A",Table1[[#This Row],[Std Adj Read]]="N/A"),"N/A",IF(Table1[[#This Row],[DUT Adj Read]]="N/A",IF(Table1[[#This Row],[Std Adj Read]]&lt;=Table1[[#This Row],[High Tol]],"Pass","Fail"),IF(Table1[[#This Row],[DUT Adj Read]]&lt;=Table1[[#This Row],[High Tol]],"Pass","Fail")))</f>
        <v>Fail</v>
      </c>
      <c r="AH19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8" s="1" t="b">
        <v>0</v>
      </c>
      <c r="AN1988" s="1" t="b">
        <v>0</v>
      </c>
      <c r="AO1988" s="1" t="b">
        <v>0</v>
      </c>
    </row>
    <row r="1989" spans="1:41" x14ac:dyDescent="0.25">
      <c r="A1989" s="10"/>
      <c r="B1989" s="10"/>
      <c r="C1989" s="10"/>
      <c r="D1989" s="10"/>
      <c r="E1989" s="10"/>
      <c r="F1989" s="10"/>
      <c r="G1989" s="10"/>
      <c r="H1989" s="10"/>
      <c r="I1989" s="1" t="str">
        <f t="shared" si="90"/>
        <v/>
      </c>
      <c r="J1989" s="1" t="s">
        <v>35</v>
      </c>
      <c r="K1989" s="1" t="str">
        <f t="shared" si="91"/>
        <v/>
      </c>
      <c r="L1989" s="1" t="str">
        <f t="shared" si="92"/>
        <v/>
      </c>
      <c r="M1989" s="1">
        <f>IF(OR(Table1[[#This Row],[Std Nom]]="",Table1[[#This Row],[Std Read]]=""),0,Table1[[#This Row],[Std Nom]]-Table1[[#This Row],[Std Read]])</f>
        <v>0</v>
      </c>
      <c r="N1989" s="1">
        <f>IF(Calculations!$F$5="ACCREDITED 17025 WITH UNCERTAINTIES",$N$10,0)</f>
        <v>0</v>
      </c>
      <c r="Q1989" s="1">
        <f>Table1[[#This Row],[High Tol]]-Table1[[#This Row],[Low Tol]]</f>
        <v>0</v>
      </c>
      <c r="R1989" s="1">
        <f>2*Table1[[#This Row],[Std Error]]</f>
        <v>0</v>
      </c>
      <c r="S1989" s="1" t="str">
        <f>IF(Table1[[#This Row],[High Tol]]="","N/A",IFERROR(ABS(Table1[[#This Row],[Tol Span]]/Table1[[#This Row],[Error Span]]),"N/A"))</f>
        <v>N/A</v>
      </c>
      <c r="T1989" s="1" t="str">
        <f>IF(OR(Table1[[#This Row],[Low Tol]]="",Table1[[#This Row],[High Tol]]=""),"Needs Analysis",IF(Table1[[#This Row],[Ratio]]&gt;=4,"Not Significant",IF(Table1[[#This Row],[Ratio]]&gt;=2,"Semi-Significant","Significant")))</f>
        <v>Needs Analysis</v>
      </c>
      <c r="W1989" s="1">
        <f>IF(Table1[[#This Row],[Cal Type]]&lt;&gt;"ACCREDITED 17025 WITH UNCERTAINTIES",0,"")</f>
        <v>0</v>
      </c>
      <c r="X1989" s="1" t="str">
        <f>IF(Table1[[#This Row],[DUT Read]]="","N/A",Table1[[#This Row],[Std Error]]+Table1[[#This Row],[DUT Read]]+Table1[[#This Row],[DUT Ucty]])</f>
        <v>N/A</v>
      </c>
      <c r="Y1989" s="1" t="str">
        <f>IF(Table1[[#This Row],[Std Read]]="","N/A",Table1[[#This Row],[Std Read]]+Table1[[#This Row],[Std Ucty]])</f>
        <v>N/A</v>
      </c>
      <c r="Z19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89" s="1" t="str">
        <f>IF(Table1[[#This Row],[Spec Type]]="","N/A",Table1[[#This Row],[Spec Type]])</f>
        <v>±</v>
      </c>
      <c r="AC1989" s="1" t="str">
        <f>IF(Table1[[#This Row],[Spec Type2]]="N/A","N/A",IF(AND(Table1[[#This Row],[DUT Adj Read]]&gt;=Table1[[#This Row],[Low Tol]],Table1[[#This Row],[DUT Adj Read]]&lt;=Table1[[#This Row],[High Tol]]),"Pass","Fail"))</f>
        <v>Fail</v>
      </c>
      <c r="AD1989" s="1" t="str">
        <f>IF(AND(Table1[[#This Row],[Spec Type2]]="N/A",Table1[[#This Row],[DUT Adj Read]]="N/A",Table1[[#This Row],[Std Adj Read]]="N/A"),"N/A",IF(Table1[[#This Row],[DUT Adj Read]]="N/A",IF(Table1[[#This Row],[Std Adj Read]]&gt;Table1[[#This Row],[Low Tol]],"Pass","Fail"),IF(Table1[[#This Row],[DUT Adj Read]]&gt;Table1[[#This Row],[Low Tol]],"Pass","Fail")))</f>
        <v>Pass</v>
      </c>
      <c r="AE1989" s="1" t="str">
        <f>IF(AND(Table1[[#This Row],[Spec Type2]]="N/A",Table1[[#This Row],[DUT Adj Read]]="N/A",Table1[[#This Row],[Std Adj Read]]="N/A"),"N/A",IF(Table1[[#This Row],[DUT Adj Read]]="N/A",IF(Table1[[#This Row],[Std Adj Read]]&lt;Table1[[#This Row],[High Tol]],"Pass","Fail"),IF(Table1[[#This Row],[DUT Adj Read]]&lt;Table1[[#This Row],[High Tol]],"Pass","Fail")))</f>
        <v>Fail</v>
      </c>
      <c r="AF1989" s="1" t="str">
        <f>IF(AND(Table1[[#This Row],[Spec Type2]]="N/A",Table1[[#This Row],[DUT Adj Read]]="N/A",Table1[[#This Row],[Std Adj Read]]="N/A"),"N/A",IF(Table1[[#This Row],[DUT Adj Read]]="N/A",IF(Table1[[#This Row],[Std Adj Read]]&gt;=Table1[[#This Row],[Low Tol]],"Pass","Fail"),IF(Table1[[#This Row],[DUT Adj Read]]&gt;=Table1[[#This Row],[Low Tol]],"Pass","Fail")))</f>
        <v>Pass</v>
      </c>
      <c r="AG1989" s="1" t="str">
        <f>IF(AND(Table1[[#This Row],[Spec Type2]]="N/A",Table1[[#This Row],[DUT Adj Read]]="N/A",Table1[[#This Row],[Std Adj Read]]="N/A"),"N/A",IF(Table1[[#This Row],[DUT Adj Read]]="N/A",IF(Table1[[#This Row],[Std Adj Read]]&lt;=Table1[[#This Row],[High Tol]],"Pass","Fail"),IF(Table1[[#This Row],[DUT Adj Read]]&lt;=Table1[[#This Row],[High Tol]],"Pass","Fail")))</f>
        <v>Fail</v>
      </c>
      <c r="AH19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89" s="1" t="b">
        <v>0</v>
      </c>
      <c r="AN1989" s="1" t="b">
        <v>0</v>
      </c>
      <c r="AO1989" s="1" t="b">
        <v>0</v>
      </c>
    </row>
    <row r="1990" spans="1:41" x14ac:dyDescent="0.25">
      <c r="A1990" s="10"/>
      <c r="B1990" s="10"/>
      <c r="C1990" s="10"/>
      <c r="D1990" s="10"/>
      <c r="E1990" s="10"/>
      <c r="F1990" s="10"/>
      <c r="G1990" s="10"/>
      <c r="H1990" s="10"/>
      <c r="I1990" s="1" t="str">
        <f t="shared" si="90"/>
        <v/>
      </c>
      <c r="J1990" s="1" t="s">
        <v>35</v>
      </c>
      <c r="K1990" s="1" t="str">
        <f t="shared" si="91"/>
        <v/>
      </c>
      <c r="L1990" s="1" t="str">
        <f t="shared" si="92"/>
        <v/>
      </c>
      <c r="M1990" s="1">
        <f>IF(OR(Table1[[#This Row],[Std Nom]]="",Table1[[#This Row],[Std Read]]=""),0,Table1[[#This Row],[Std Nom]]-Table1[[#This Row],[Std Read]])</f>
        <v>0</v>
      </c>
      <c r="N1990" s="1">
        <f>IF(Calculations!$F$5="ACCREDITED 17025 WITH UNCERTAINTIES",$N$10,0)</f>
        <v>0</v>
      </c>
      <c r="Q1990" s="1">
        <f>Table1[[#This Row],[High Tol]]-Table1[[#This Row],[Low Tol]]</f>
        <v>0</v>
      </c>
      <c r="R1990" s="1">
        <f>2*Table1[[#This Row],[Std Error]]</f>
        <v>0</v>
      </c>
      <c r="S1990" s="1" t="str">
        <f>IF(Table1[[#This Row],[High Tol]]="","N/A",IFERROR(ABS(Table1[[#This Row],[Tol Span]]/Table1[[#This Row],[Error Span]]),"N/A"))</f>
        <v>N/A</v>
      </c>
      <c r="T1990" s="1" t="str">
        <f>IF(OR(Table1[[#This Row],[Low Tol]]="",Table1[[#This Row],[High Tol]]=""),"Needs Analysis",IF(Table1[[#This Row],[Ratio]]&gt;=4,"Not Significant",IF(Table1[[#This Row],[Ratio]]&gt;=2,"Semi-Significant","Significant")))</f>
        <v>Needs Analysis</v>
      </c>
      <c r="W1990" s="1">
        <f>IF(Table1[[#This Row],[Cal Type]]&lt;&gt;"ACCREDITED 17025 WITH UNCERTAINTIES",0,"")</f>
        <v>0</v>
      </c>
      <c r="X1990" s="1" t="str">
        <f>IF(Table1[[#This Row],[DUT Read]]="","N/A",Table1[[#This Row],[Std Error]]+Table1[[#This Row],[DUT Read]]+Table1[[#This Row],[DUT Ucty]])</f>
        <v>N/A</v>
      </c>
      <c r="Y1990" s="1" t="str">
        <f>IF(Table1[[#This Row],[Std Read]]="","N/A",Table1[[#This Row],[Std Read]]+Table1[[#This Row],[Std Ucty]])</f>
        <v>N/A</v>
      </c>
      <c r="Z19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0" s="1" t="str">
        <f>IF(Table1[[#This Row],[Spec Type]]="","N/A",Table1[[#This Row],[Spec Type]])</f>
        <v>±</v>
      </c>
      <c r="AC1990" s="1" t="str">
        <f>IF(Table1[[#This Row],[Spec Type2]]="N/A","N/A",IF(AND(Table1[[#This Row],[DUT Adj Read]]&gt;=Table1[[#This Row],[Low Tol]],Table1[[#This Row],[DUT Adj Read]]&lt;=Table1[[#This Row],[High Tol]]),"Pass","Fail"))</f>
        <v>Fail</v>
      </c>
      <c r="AD1990" s="1" t="str">
        <f>IF(AND(Table1[[#This Row],[Spec Type2]]="N/A",Table1[[#This Row],[DUT Adj Read]]="N/A",Table1[[#This Row],[Std Adj Read]]="N/A"),"N/A",IF(Table1[[#This Row],[DUT Adj Read]]="N/A",IF(Table1[[#This Row],[Std Adj Read]]&gt;Table1[[#This Row],[Low Tol]],"Pass","Fail"),IF(Table1[[#This Row],[DUT Adj Read]]&gt;Table1[[#This Row],[Low Tol]],"Pass","Fail")))</f>
        <v>Pass</v>
      </c>
      <c r="AE1990" s="1" t="str">
        <f>IF(AND(Table1[[#This Row],[Spec Type2]]="N/A",Table1[[#This Row],[DUT Adj Read]]="N/A",Table1[[#This Row],[Std Adj Read]]="N/A"),"N/A",IF(Table1[[#This Row],[DUT Adj Read]]="N/A",IF(Table1[[#This Row],[Std Adj Read]]&lt;Table1[[#This Row],[High Tol]],"Pass","Fail"),IF(Table1[[#This Row],[DUT Adj Read]]&lt;Table1[[#This Row],[High Tol]],"Pass","Fail")))</f>
        <v>Fail</v>
      </c>
      <c r="AF1990" s="1" t="str">
        <f>IF(AND(Table1[[#This Row],[Spec Type2]]="N/A",Table1[[#This Row],[DUT Adj Read]]="N/A",Table1[[#This Row],[Std Adj Read]]="N/A"),"N/A",IF(Table1[[#This Row],[DUT Adj Read]]="N/A",IF(Table1[[#This Row],[Std Adj Read]]&gt;=Table1[[#This Row],[Low Tol]],"Pass","Fail"),IF(Table1[[#This Row],[DUT Adj Read]]&gt;=Table1[[#This Row],[Low Tol]],"Pass","Fail")))</f>
        <v>Pass</v>
      </c>
      <c r="AG1990" s="1" t="str">
        <f>IF(AND(Table1[[#This Row],[Spec Type2]]="N/A",Table1[[#This Row],[DUT Adj Read]]="N/A",Table1[[#This Row],[Std Adj Read]]="N/A"),"N/A",IF(Table1[[#This Row],[DUT Adj Read]]="N/A",IF(Table1[[#This Row],[Std Adj Read]]&lt;=Table1[[#This Row],[High Tol]],"Pass","Fail"),IF(Table1[[#This Row],[DUT Adj Read]]&lt;=Table1[[#This Row],[High Tol]],"Pass","Fail")))</f>
        <v>Fail</v>
      </c>
      <c r="AH19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0" s="1" t="b">
        <v>0</v>
      </c>
      <c r="AN1990" s="1" t="b">
        <v>0</v>
      </c>
      <c r="AO1990" s="1" t="b">
        <v>0</v>
      </c>
    </row>
    <row r="1991" spans="1:41" x14ac:dyDescent="0.25">
      <c r="A1991" s="10"/>
      <c r="B1991" s="10"/>
      <c r="C1991" s="10"/>
      <c r="D1991" s="10"/>
      <c r="E1991" s="10"/>
      <c r="F1991" s="10"/>
      <c r="G1991" s="10"/>
      <c r="H1991" s="10"/>
      <c r="I1991" s="1" t="str">
        <f t="shared" si="90"/>
        <v/>
      </c>
      <c r="J1991" s="1" t="s">
        <v>35</v>
      </c>
      <c r="K1991" s="1" t="str">
        <f t="shared" si="91"/>
        <v/>
      </c>
      <c r="L1991" s="1" t="str">
        <f t="shared" si="92"/>
        <v/>
      </c>
      <c r="M1991" s="1">
        <f>IF(OR(Table1[[#This Row],[Std Nom]]="",Table1[[#This Row],[Std Read]]=""),0,Table1[[#This Row],[Std Nom]]-Table1[[#This Row],[Std Read]])</f>
        <v>0</v>
      </c>
      <c r="N1991" s="1">
        <f>IF(Calculations!$F$5="ACCREDITED 17025 WITH UNCERTAINTIES",$N$10,0)</f>
        <v>0</v>
      </c>
      <c r="Q1991" s="1">
        <f>Table1[[#This Row],[High Tol]]-Table1[[#This Row],[Low Tol]]</f>
        <v>0</v>
      </c>
      <c r="R1991" s="1">
        <f>2*Table1[[#This Row],[Std Error]]</f>
        <v>0</v>
      </c>
      <c r="S1991" s="1" t="str">
        <f>IF(Table1[[#This Row],[High Tol]]="","N/A",IFERROR(ABS(Table1[[#This Row],[Tol Span]]/Table1[[#This Row],[Error Span]]),"N/A"))</f>
        <v>N/A</v>
      </c>
      <c r="T1991" s="1" t="str">
        <f>IF(OR(Table1[[#This Row],[Low Tol]]="",Table1[[#This Row],[High Tol]]=""),"Needs Analysis",IF(Table1[[#This Row],[Ratio]]&gt;=4,"Not Significant",IF(Table1[[#This Row],[Ratio]]&gt;=2,"Semi-Significant","Significant")))</f>
        <v>Needs Analysis</v>
      </c>
      <c r="W1991" s="1">
        <f>IF(Table1[[#This Row],[Cal Type]]&lt;&gt;"ACCREDITED 17025 WITH UNCERTAINTIES",0,"")</f>
        <v>0</v>
      </c>
      <c r="X1991" s="1" t="str">
        <f>IF(Table1[[#This Row],[DUT Read]]="","N/A",Table1[[#This Row],[Std Error]]+Table1[[#This Row],[DUT Read]]+Table1[[#This Row],[DUT Ucty]])</f>
        <v>N/A</v>
      </c>
      <c r="Y1991" s="1" t="str">
        <f>IF(Table1[[#This Row],[Std Read]]="","N/A",Table1[[#This Row],[Std Read]]+Table1[[#This Row],[Std Ucty]])</f>
        <v>N/A</v>
      </c>
      <c r="Z19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1" s="1" t="str">
        <f>IF(Table1[[#This Row],[Spec Type]]="","N/A",Table1[[#This Row],[Spec Type]])</f>
        <v>±</v>
      </c>
      <c r="AC1991" s="1" t="str">
        <f>IF(Table1[[#This Row],[Spec Type2]]="N/A","N/A",IF(AND(Table1[[#This Row],[DUT Adj Read]]&gt;=Table1[[#This Row],[Low Tol]],Table1[[#This Row],[DUT Adj Read]]&lt;=Table1[[#This Row],[High Tol]]),"Pass","Fail"))</f>
        <v>Fail</v>
      </c>
      <c r="AD1991" s="1" t="str">
        <f>IF(AND(Table1[[#This Row],[Spec Type2]]="N/A",Table1[[#This Row],[DUT Adj Read]]="N/A",Table1[[#This Row],[Std Adj Read]]="N/A"),"N/A",IF(Table1[[#This Row],[DUT Adj Read]]="N/A",IF(Table1[[#This Row],[Std Adj Read]]&gt;Table1[[#This Row],[Low Tol]],"Pass","Fail"),IF(Table1[[#This Row],[DUT Adj Read]]&gt;Table1[[#This Row],[Low Tol]],"Pass","Fail")))</f>
        <v>Pass</v>
      </c>
      <c r="AE1991" s="1" t="str">
        <f>IF(AND(Table1[[#This Row],[Spec Type2]]="N/A",Table1[[#This Row],[DUT Adj Read]]="N/A",Table1[[#This Row],[Std Adj Read]]="N/A"),"N/A",IF(Table1[[#This Row],[DUT Adj Read]]="N/A",IF(Table1[[#This Row],[Std Adj Read]]&lt;Table1[[#This Row],[High Tol]],"Pass","Fail"),IF(Table1[[#This Row],[DUT Adj Read]]&lt;Table1[[#This Row],[High Tol]],"Pass","Fail")))</f>
        <v>Fail</v>
      </c>
      <c r="AF1991" s="1" t="str">
        <f>IF(AND(Table1[[#This Row],[Spec Type2]]="N/A",Table1[[#This Row],[DUT Adj Read]]="N/A",Table1[[#This Row],[Std Adj Read]]="N/A"),"N/A",IF(Table1[[#This Row],[DUT Adj Read]]="N/A",IF(Table1[[#This Row],[Std Adj Read]]&gt;=Table1[[#This Row],[Low Tol]],"Pass","Fail"),IF(Table1[[#This Row],[DUT Adj Read]]&gt;=Table1[[#This Row],[Low Tol]],"Pass","Fail")))</f>
        <v>Pass</v>
      </c>
      <c r="AG1991" s="1" t="str">
        <f>IF(AND(Table1[[#This Row],[Spec Type2]]="N/A",Table1[[#This Row],[DUT Adj Read]]="N/A",Table1[[#This Row],[Std Adj Read]]="N/A"),"N/A",IF(Table1[[#This Row],[DUT Adj Read]]="N/A",IF(Table1[[#This Row],[Std Adj Read]]&lt;=Table1[[#This Row],[High Tol]],"Pass","Fail"),IF(Table1[[#This Row],[DUT Adj Read]]&lt;=Table1[[#This Row],[High Tol]],"Pass","Fail")))</f>
        <v>Fail</v>
      </c>
      <c r="AH19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1" s="1" t="b">
        <v>0</v>
      </c>
      <c r="AN1991" s="1" t="b">
        <v>0</v>
      </c>
      <c r="AO1991" s="1" t="b">
        <v>0</v>
      </c>
    </row>
    <row r="1992" spans="1:41" x14ac:dyDescent="0.25">
      <c r="A1992" s="10"/>
      <c r="B1992" s="10"/>
      <c r="C1992" s="10"/>
      <c r="D1992" s="10"/>
      <c r="E1992" s="10"/>
      <c r="F1992" s="10"/>
      <c r="G1992" s="10"/>
      <c r="H1992" s="10"/>
      <c r="I1992" s="1" t="str">
        <f t="shared" si="90"/>
        <v/>
      </c>
      <c r="J1992" s="1" t="s">
        <v>35</v>
      </c>
      <c r="K1992" s="1" t="str">
        <f t="shared" si="91"/>
        <v/>
      </c>
      <c r="L1992" s="1" t="str">
        <f t="shared" si="92"/>
        <v/>
      </c>
      <c r="M1992" s="1">
        <f>IF(OR(Table1[[#This Row],[Std Nom]]="",Table1[[#This Row],[Std Read]]=""),0,Table1[[#This Row],[Std Nom]]-Table1[[#This Row],[Std Read]])</f>
        <v>0</v>
      </c>
      <c r="N1992" s="1">
        <f>IF(Calculations!$F$5="ACCREDITED 17025 WITH UNCERTAINTIES",$N$10,0)</f>
        <v>0</v>
      </c>
      <c r="Q1992" s="1">
        <f>Table1[[#This Row],[High Tol]]-Table1[[#This Row],[Low Tol]]</f>
        <v>0</v>
      </c>
      <c r="R1992" s="1">
        <f>2*Table1[[#This Row],[Std Error]]</f>
        <v>0</v>
      </c>
      <c r="S1992" s="1" t="str">
        <f>IF(Table1[[#This Row],[High Tol]]="","N/A",IFERROR(ABS(Table1[[#This Row],[Tol Span]]/Table1[[#This Row],[Error Span]]),"N/A"))</f>
        <v>N/A</v>
      </c>
      <c r="T1992" s="1" t="str">
        <f>IF(OR(Table1[[#This Row],[Low Tol]]="",Table1[[#This Row],[High Tol]]=""),"Needs Analysis",IF(Table1[[#This Row],[Ratio]]&gt;=4,"Not Significant",IF(Table1[[#This Row],[Ratio]]&gt;=2,"Semi-Significant","Significant")))</f>
        <v>Needs Analysis</v>
      </c>
      <c r="W1992" s="1">
        <f>IF(Table1[[#This Row],[Cal Type]]&lt;&gt;"ACCREDITED 17025 WITH UNCERTAINTIES",0,"")</f>
        <v>0</v>
      </c>
      <c r="X1992" s="1" t="str">
        <f>IF(Table1[[#This Row],[DUT Read]]="","N/A",Table1[[#This Row],[Std Error]]+Table1[[#This Row],[DUT Read]]+Table1[[#This Row],[DUT Ucty]])</f>
        <v>N/A</v>
      </c>
      <c r="Y1992" s="1" t="str">
        <f>IF(Table1[[#This Row],[Std Read]]="","N/A",Table1[[#This Row],[Std Read]]+Table1[[#This Row],[Std Ucty]])</f>
        <v>N/A</v>
      </c>
      <c r="Z19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2" s="1" t="str">
        <f>IF(Table1[[#This Row],[Spec Type]]="","N/A",Table1[[#This Row],[Spec Type]])</f>
        <v>±</v>
      </c>
      <c r="AC1992" s="1" t="str">
        <f>IF(Table1[[#This Row],[Spec Type2]]="N/A","N/A",IF(AND(Table1[[#This Row],[DUT Adj Read]]&gt;=Table1[[#This Row],[Low Tol]],Table1[[#This Row],[DUT Adj Read]]&lt;=Table1[[#This Row],[High Tol]]),"Pass","Fail"))</f>
        <v>Fail</v>
      </c>
      <c r="AD1992" s="1" t="str">
        <f>IF(AND(Table1[[#This Row],[Spec Type2]]="N/A",Table1[[#This Row],[DUT Adj Read]]="N/A",Table1[[#This Row],[Std Adj Read]]="N/A"),"N/A",IF(Table1[[#This Row],[DUT Adj Read]]="N/A",IF(Table1[[#This Row],[Std Adj Read]]&gt;Table1[[#This Row],[Low Tol]],"Pass","Fail"),IF(Table1[[#This Row],[DUT Adj Read]]&gt;Table1[[#This Row],[Low Tol]],"Pass","Fail")))</f>
        <v>Pass</v>
      </c>
      <c r="AE1992" s="1" t="str">
        <f>IF(AND(Table1[[#This Row],[Spec Type2]]="N/A",Table1[[#This Row],[DUT Adj Read]]="N/A",Table1[[#This Row],[Std Adj Read]]="N/A"),"N/A",IF(Table1[[#This Row],[DUT Adj Read]]="N/A",IF(Table1[[#This Row],[Std Adj Read]]&lt;Table1[[#This Row],[High Tol]],"Pass","Fail"),IF(Table1[[#This Row],[DUT Adj Read]]&lt;Table1[[#This Row],[High Tol]],"Pass","Fail")))</f>
        <v>Fail</v>
      </c>
      <c r="AF1992" s="1" t="str">
        <f>IF(AND(Table1[[#This Row],[Spec Type2]]="N/A",Table1[[#This Row],[DUT Adj Read]]="N/A",Table1[[#This Row],[Std Adj Read]]="N/A"),"N/A",IF(Table1[[#This Row],[DUT Adj Read]]="N/A",IF(Table1[[#This Row],[Std Adj Read]]&gt;=Table1[[#This Row],[Low Tol]],"Pass","Fail"),IF(Table1[[#This Row],[DUT Adj Read]]&gt;=Table1[[#This Row],[Low Tol]],"Pass","Fail")))</f>
        <v>Pass</v>
      </c>
      <c r="AG1992" s="1" t="str">
        <f>IF(AND(Table1[[#This Row],[Spec Type2]]="N/A",Table1[[#This Row],[DUT Adj Read]]="N/A",Table1[[#This Row],[Std Adj Read]]="N/A"),"N/A",IF(Table1[[#This Row],[DUT Adj Read]]="N/A",IF(Table1[[#This Row],[Std Adj Read]]&lt;=Table1[[#This Row],[High Tol]],"Pass","Fail"),IF(Table1[[#This Row],[DUT Adj Read]]&lt;=Table1[[#This Row],[High Tol]],"Pass","Fail")))</f>
        <v>Fail</v>
      </c>
      <c r="AH19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2" s="1" t="b">
        <v>0</v>
      </c>
      <c r="AN1992" s="1" t="b">
        <v>0</v>
      </c>
      <c r="AO1992" s="1" t="b">
        <v>0</v>
      </c>
    </row>
    <row r="1993" spans="1:41" x14ac:dyDescent="0.25">
      <c r="A1993" s="10"/>
      <c r="B1993" s="10"/>
      <c r="C1993" s="10"/>
      <c r="D1993" s="10"/>
      <c r="E1993" s="10"/>
      <c r="F1993" s="10"/>
      <c r="G1993" s="10"/>
      <c r="H1993" s="10"/>
      <c r="I1993" s="1" t="str">
        <f t="shared" si="90"/>
        <v/>
      </c>
      <c r="J1993" s="1" t="s">
        <v>35</v>
      </c>
      <c r="K1993" s="1" t="str">
        <f t="shared" si="91"/>
        <v/>
      </c>
      <c r="L1993" s="1" t="str">
        <f t="shared" si="92"/>
        <v/>
      </c>
      <c r="M1993" s="1">
        <f>IF(OR(Table1[[#This Row],[Std Nom]]="",Table1[[#This Row],[Std Read]]=""),0,Table1[[#This Row],[Std Nom]]-Table1[[#This Row],[Std Read]])</f>
        <v>0</v>
      </c>
      <c r="N1993" s="1">
        <f>IF(Calculations!$F$5="ACCREDITED 17025 WITH UNCERTAINTIES",$N$10,0)</f>
        <v>0</v>
      </c>
      <c r="Q1993" s="1">
        <f>Table1[[#This Row],[High Tol]]-Table1[[#This Row],[Low Tol]]</f>
        <v>0</v>
      </c>
      <c r="R1993" s="1">
        <f>2*Table1[[#This Row],[Std Error]]</f>
        <v>0</v>
      </c>
      <c r="S1993" s="1" t="str">
        <f>IF(Table1[[#This Row],[High Tol]]="","N/A",IFERROR(ABS(Table1[[#This Row],[Tol Span]]/Table1[[#This Row],[Error Span]]),"N/A"))</f>
        <v>N/A</v>
      </c>
      <c r="T1993" s="1" t="str">
        <f>IF(OR(Table1[[#This Row],[Low Tol]]="",Table1[[#This Row],[High Tol]]=""),"Needs Analysis",IF(Table1[[#This Row],[Ratio]]&gt;=4,"Not Significant",IF(Table1[[#This Row],[Ratio]]&gt;=2,"Semi-Significant","Significant")))</f>
        <v>Needs Analysis</v>
      </c>
      <c r="W1993" s="1">
        <f>IF(Table1[[#This Row],[Cal Type]]&lt;&gt;"ACCREDITED 17025 WITH UNCERTAINTIES",0,"")</f>
        <v>0</v>
      </c>
      <c r="X1993" s="1" t="str">
        <f>IF(Table1[[#This Row],[DUT Read]]="","N/A",Table1[[#This Row],[Std Error]]+Table1[[#This Row],[DUT Read]]+Table1[[#This Row],[DUT Ucty]])</f>
        <v>N/A</v>
      </c>
      <c r="Y1993" s="1" t="str">
        <f>IF(Table1[[#This Row],[Std Read]]="","N/A",Table1[[#This Row],[Std Read]]+Table1[[#This Row],[Std Ucty]])</f>
        <v>N/A</v>
      </c>
      <c r="Z19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3" s="1" t="str">
        <f>IF(Table1[[#This Row],[Spec Type]]="","N/A",Table1[[#This Row],[Spec Type]])</f>
        <v>±</v>
      </c>
      <c r="AC1993" s="1" t="str">
        <f>IF(Table1[[#This Row],[Spec Type2]]="N/A","N/A",IF(AND(Table1[[#This Row],[DUT Adj Read]]&gt;=Table1[[#This Row],[Low Tol]],Table1[[#This Row],[DUT Adj Read]]&lt;=Table1[[#This Row],[High Tol]]),"Pass","Fail"))</f>
        <v>Fail</v>
      </c>
      <c r="AD1993" s="1" t="str">
        <f>IF(AND(Table1[[#This Row],[Spec Type2]]="N/A",Table1[[#This Row],[DUT Adj Read]]="N/A",Table1[[#This Row],[Std Adj Read]]="N/A"),"N/A",IF(Table1[[#This Row],[DUT Adj Read]]="N/A",IF(Table1[[#This Row],[Std Adj Read]]&gt;Table1[[#This Row],[Low Tol]],"Pass","Fail"),IF(Table1[[#This Row],[DUT Adj Read]]&gt;Table1[[#This Row],[Low Tol]],"Pass","Fail")))</f>
        <v>Pass</v>
      </c>
      <c r="AE1993" s="1" t="str">
        <f>IF(AND(Table1[[#This Row],[Spec Type2]]="N/A",Table1[[#This Row],[DUT Adj Read]]="N/A",Table1[[#This Row],[Std Adj Read]]="N/A"),"N/A",IF(Table1[[#This Row],[DUT Adj Read]]="N/A",IF(Table1[[#This Row],[Std Adj Read]]&lt;Table1[[#This Row],[High Tol]],"Pass","Fail"),IF(Table1[[#This Row],[DUT Adj Read]]&lt;Table1[[#This Row],[High Tol]],"Pass","Fail")))</f>
        <v>Fail</v>
      </c>
      <c r="AF1993" s="1" t="str">
        <f>IF(AND(Table1[[#This Row],[Spec Type2]]="N/A",Table1[[#This Row],[DUT Adj Read]]="N/A",Table1[[#This Row],[Std Adj Read]]="N/A"),"N/A",IF(Table1[[#This Row],[DUT Adj Read]]="N/A",IF(Table1[[#This Row],[Std Adj Read]]&gt;=Table1[[#This Row],[Low Tol]],"Pass","Fail"),IF(Table1[[#This Row],[DUT Adj Read]]&gt;=Table1[[#This Row],[Low Tol]],"Pass","Fail")))</f>
        <v>Pass</v>
      </c>
      <c r="AG1993" s="1" t="str">
        <f>IF(AND(Table1[[#This Row],[Spec Type2]]="N/A",Table1[[#This Row],[DUT Adj Read]]="N/A",Table1[[#This Row],[Std Adj Read]]="N/A"),"N/A",IF(Table1[[#This Row],[DUT Adj Read]]="N/A",IF(Table1[[#This Row],[Std Adj Read]]&lt;=Table1[[#This Row],[High Tol]],"Pass","Fail"),IF(Table1[[#This Row],[DUT Adj Read]]&lt;=Table1[[#This Row],[High Tol]],"Pass","Fail")))</f>
        <v>Fail</v>
      </c>
      <c r="AH19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3" s="1" t="b">
        <v>0</v>
      </c>
      <c r="AN1993" s="1" t="b">
        <v>0</v>
      </c>
      <c r="AO1993" s="1" t="b">
        <v>0</v>
      </c>
    </row>
    <row r="1994" spans="1:41" x14ac:dyDescent="0.25">
      <c r="A1994" s="10"/>
      <c r="B1994" s="10"/>
      <c r="C1994" s="10"/>
      <c r="D1994" s="10"/>
      <c r="E1994" s="10"/>
      <c r="F1994" s="10"/>
      <c r="G1994" s="10"/>
      <c r="H1994" s="10"/>
      <c r="I1994" s="1" t="str">
        <f t="shared" si="90"/>
        <v/>
      </c>
      <c r="J1994" s="1" t="s">
        <v>35</v>
      </c>
      <c r="K1994" s="1" t="str">
        <f t="shared" si="91"/>
        <v/>
      </c>
      <c r="L1994" s="1" t="str">
        <f t="shared" si="92"/>
        <v/>
      </c>
      <c r="M1994" s="1">
        <f>IF(OR(Table1[[#This Row],[Std Nom]]="",Table1[[#This Row],[Std Read]]=""),0,Table1[[#This Row],[Std Nom]]-Table1[[#This Row],[Std Read]])</f>
        <v>0</v>
      </c>
      <c r="N1994" s="1">
        <f>IF(Calculations!$F$5="ACCREDITED 17025 WITH UNCERTAINTIES",$N$10,0)</f>
        <v>0</v>
      </c>
      <c r="Q1994" s="1">
        <f>Table1[[#This Row],[High Tol]]-Table1[[#This Row],[Low Tol]]</f>
        <v>0</v>
      </c>
      <c r="R1994" s="1">
        <f>2*Table1[[#This Row],[Std Error]]</f>
        <v>0</v>
      </c>
      <c r="S1994" s="1" t="str">
        <f>IF(Table1[[#This Row],[High Tol]]="","N/A",IFERROR(ABS(Table1[[#This Row],[Tol Span]]/Table1[[#This Row],[Error Span]]),"N/A"))</f>
        <v>N/A</v>
      </c>
      <c r="T1994" s="1" t="str">
        <f>IF(OR(Table1[[#This Row],[Low Tol]]="",Table1[[#This Row],[High Tol]]=""),"Needs Analysis",IF(Table1[[#This Row],[Ratio]]&gt;=4,"Not Significant",IF(Table1[[#This Row],[Ratio]]&gt;=2,"Semi-Significant","Significant")))</f>
        <v>Needs Analysis</v>
      </c>
      <c r="W1994" s="1">
        <f>IF(Table1[[#This Row],[Cal Type]]&lt;&gt;"ACCREDITED 17025 WITH UNCERTAINTIES",0,"")</f>
        <v>0</v>
      </c>
      <c r="X1994" s="1" t="str">
        <f>IF(Table1[[#This Row],[DUT Read]]="","N/A",Table1[[#This Row],[Std Error]]+Table1[[#This Row],[DUT Read]]+Table1[[#This Row],[DUT Ucty]])</f>
        <v>N/A</v>
      </c>
      <c r="Y1994" s="1" t="str">
        <f>IF(Table1[[#This Row],[Std Read]]="","N/A",Table1[[#This Row],[Std Read]]+Table1[[#This Row],[Std Ucty]])</f>
        <v>N/A</v>
      </c>
      <c r="Z19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4" s="1" t="str">
        <f>IF(Table1[[#This Row],[Spec Type]]="","N/A",Table1[[#This Row],[Spec Type]])</f>
        <v>±</v>
      </c>
      <c r="AC1994" s="1" t="str">
        <f>IF(Table1[[#This Row],[Spec Type2]]="N/A","N/A",IF(AND(Table1[[#This Row],[DUT Adj Read]]&gt;=Table1[[#This Row],[Low Tol]],Table1[[#This Row],[DUT Adj Read]]&lt;=Table1[[#This Row],[High Tol]]),"Pass","Fail"))</f>
        <v>Fail</v>
      </c>
      <c r="AD1994" s="1" t="str">
        <f>IF(AND(Table1[[#This Row],[Spec Type2]]="N/A",Table1[[#This Row],[DUT Adj Read]]="N/A",Table1[[#This Row],[Std Adj Read]]="N/A"),"N/A",IF(Table1[[#This Row],[DUT Adj Read]]="N/A",IF(Table1[[#This Row],[Std Adj Read]]&gt;Table1[[#This Row],[Low Tol]],"Pass","Fail"),IF(Table1[[#This Row],[DUT Adj Read]]&gt;Table1[[#This Row],[Low Tol]],"Pass","Fail")))</f>
        <v>Pass</v>
      </c>
      <c r="AE1994" s="1" t="str">
        <f>IF(AND(Table1[[#This Row],[Spec Type2]]="N/A",Table1[[#This Row],[DUT Adj Read]]="N/A",Table1[[#This Row],[Std Adj Read]]="N/A"),"N/A",IF(Table1[[#This Row],[DUT Adj Read]]="N/A",IF(Table1[[#This Row],[Std Adj Read]]&lt;Table1[[#This Row],[High Tol]],"Pass","Fail"),IF(Table1[[#This Row],[DUT Adj Read]]&lt;Table1[[#This Row],[High Tol]],"Pass","Fail")))</f>
        <v>Fail</v>
      </c>
      <c r="AF1994" s="1" t="str">
        <f>IF(AND(Table1[[#This Row],[Spec Type2]]="N/A",Table1[[#This Row],[DUT Adj Read]]="N/A",Table1[[#This Row],[Std Adj Read]]="N/A"),"N/A",IF(Table1[[#This Row],[DUT Adj Read]]="N/A",IF(Table1[[#This Row],[Std Adj Read]]&gt;=Table1[[#This Row],[Low Tol]],"Pass","Fail"),IF(Table1[[#This Row],[DUT Adj Read]]&gt;=Table1[[#This Row],[Low Tol]],"Pass","Fail")))</f>
        <v>Pass</v>
      </c>
      <c r="AG1994" s="1" t="str">
        <f>IF(AND(Table1[[#This Row],[Spec Type2]]="N/A",Table1[[#This Row],[DUT Adj Read]]="N/A",Table1[[#This Row],[Std Adj Read]]="N/A"),"N/A",IF(Table1[[#This Row],[DUT Adj Read]]="N/A",IF(Table1[[#This Row],[Std Adj Read]]&lt;=Table1[[#This Row],[High Tol]],"Pass","Fail"),IF(Table1[[#This Row],[DUT Adj Read]]&lt;=Table1[[#This Row],[High Tol]],"Pass","Fail")))</f>
        <v>Fail</v>
      </c>
      <c r="AH19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4" s="1" t="b">
        <v>0</v>
      </c>
      <c r="AN1994" s="1" t="b">
        <v>0</v>
      </c>
      <c r="AO1994" s="1" t="b">
        <v>0</v>
      </c>
    </row>
    <row r="1995" spans="1:41" x14ac:dyDescent="0.25">
      <c r="A1995" s="10"/>
      <c r="B1995" s="10"/>
      <c r="C1995" s="10"/>
      <c r="D1995" s="10"/>
      <c r="E1995" s="10"/>
      <c r="F1995" s="10"/>
      <c r="G1995" s="10"/>
      <c r="H1995" s="10"/>
      <c r="I1995" s="1" t="str">
        <f t="shared" ref="I1995:I2058" si="93">IF($I$10="","",$I$10)</f>
        <v/>
      </c>
      <c r="J1995" s="1" t="s">
        <v>35</v>
      </c>
      <c r="K1995" s="1" t="str">
        <f t="shared" ref="K1995:K2058" si="94">IF($K$10="","",$K$10)</f>
        <v/>
      </c>
      <c r="L1995" s="1" t="str">
        <f t="shared" ref="L1995:L2058" si="95">IF($L$10="","",$L$10)</f>
        <v/>
      </c>
      <c r="M1995" s="1">
        <f>IF(OR(Table1[[#This Row],[Std Nom]]="",Table1[[#This Row],[Std Read]]=""),0,Table1[[#This Row],[Std Nom]]-Table1[[#This Row],[Std Read]])</f>
        <v>0</v>
      </c>
      <c r="N1995" s="1">
        <f>IF(Calculations!$F$5="ACCREDITED 17025 WITH UNCERTAINTIES",$N$10,0)</f>
        <v>0</v>
      </c>
      <c r="Q1995" s="1">
        <f>Table1[[#This Row],[High Tol]]-Table1[[#This Row],[Low Tol]]</f>
        <v>0</v>
      </c>
      <c r="R1995" s="1">
        <f>2*Table1[[#This Row],[Std Error]]</f>
        <v>0</v>
      </c>
      <c r="S1995" s="1" t="str">
        <f>IF(Table1[[#This Row],[High Tol]]="","N/A",IFERROR(ABS(Table1[[#This Row],[Tol Span]]/Table1[[#This Row],[Error Span]]),"N/A"))</f>
        <v>N/A</v>
      </c>
      <c r="T1995" s="1" t="str">
        <f>IF(OR(Table1[[#This Row],[Low Tol]]="",Table1[[#This Row],[High Tol]]=""),"Needs Analysis",IF(Table1[[#This Row],[Ratio]]&gt;=4,"Not Significant",IF(Table1[[#This Row],[Ratio]]&gt;=2,"Semi-Significant","Significant")))</f>
        <v>Needs Analysis</v>
      </c>
      <c r="W1995" s="1">
        <f>IF(Table1[[#This Row],[Cal Type]]&lt;&gt;"ACCREDITED 17025 WITH UNCERTAINTIES",0,"")</f>
        <v>0</v>
      </c>
      <c r="X1995" s="1" t="str">
        <f>IF(Table1[[#This Row],[DUT Read]]="","N/A",Table1[[#This Row],[Std Error]]+Table1[[#This Row],[DUT Read]]+Table1[[#This Row],[DUT Ucty]])</f>
        <v>N/A</v>
      </c>
      <c r="Y1995" s="1" t="str">
        <f>IF(Table1[[#This Row],[Std Read]]="","N/A",Table1[[#This Row],[Std Read]]+Table1[[#This Row],[Std Ucty]])</f>
        <v>N/A</v>
      </c>
      <c r="Z19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5" s="1" t="str">
        <f>IF(Table1[[#This Row],[Spec Type]]="","N/A",Table1[[#This Row],[Spec Type]])</f>
        <v>±</v>
      </c>
      <c r="AC1995" s="1" t="str">
        <f>IF(Table1[[#This Row],[Spec Type2]]="N/A","N/A",IF(AND(Table1[[#This Row],[DUT Adj Read]]&gt;=Table1[[#This Row],[Low Tol]],Table1[[#This Row],[DUT Adj Read]]&lt;=Table1[[#This Row],[High Tol]]),"Pass","Fail"))</f>
        <v>Fail</v>
      </c>
      <c r="AD1995" s="1" t="str">
        <f>IF(AND(Table1[[#This Row],[Spec Type2]]="N/A",Table1[[#This Row],[DUT Adj Read]]="N/A",Table1[[#This Row],[Std Adj Read]]="N/A"),"N/A",IF(Table1[[#This Row],[DUT Adj Read]]="N/A",IF(Table1[[#This Row],[Std Adj Read]]&gt;Table1[[#This Row],[Low Tol]],"Pass","Fail"),IF(Table1[[#This Row],[DUT Adj Read]]&gt;Table1[[#This Row],[Low Tol]],"Pass","Fail")))</f>
        <v>Pass</v>
      </c>
      <c r="AE1995" s="1" t="str">
        <f>IF(AND(Table1[[#This Row],[Spec Type2]]="N/A",Table1[[#This Row],[DUT Adj Read]]="N/A",Table1[[#This Row],[Std Adj Read]]="N/A"),"N/A",IF(Table1[[#This Row],[DUT Adj Read]]="N/A",IF(Table1[[#This Row],[Std Adj Read]]&lt;Table1[[#This Row],[High Tol]],"Pass","Fail"),IF(Table1[[#This Row],[DUT Adj Read]]&lt;Table1[[#This Row],[High Tol]],"Pass","Fail")))</f>
        <v>Fail</v>
      </c>
      <c r="AF1995" s="1" t="str">
        <f>IF(AND(Table1[[#This Row],[Spec Type2]]="N/A",Table1[[#This Row],[DUT Adj Read]]="N/A",Table1[[#This Row],[Std Adj Read]]="N/A"),"N/A",IF(Table1[[#This Row],[DUT Adj Read]]="N/A",IF(Table1[[#This Row],[Std Adj Read]]&gt;=Table1[[#This Row],[Low Tol]],"Pass","Fail"),IF(Table1[[#This Row],[DUT Adj Read]]&gt;=Table1[[#This Row],[Low Tol]],"Pass","Fail")))</f>
        <v>Pass</v>
      </c>
      <c r="AG1995" s="1" t="str">
        <f>IF(AND(Table1[[#This Row],[Spec Type2]]="N/A",Table1[[#This Row],[DUT Adj Read]]="N/A",Table1[[#This Row],[Std Adj Read]]="N/A"),"N/A",IF(Table1[[#This Row],[DUT Adj Read]]="N/A",IF(Table1[[#This Row],[Std Adj Read]]&lt;=Table1[[#This Row],[High Tol]],"Pass","Fail"),IF(Table1[[#This Row],[DUT Adj Read]]&lt;=Table1[[#This Row],[High Tol]],"Pass","Fail")))</f>
        <v>Fail</v>
      </c>
      <c r="AH19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5" s="1" t="b">
        <v>0</v>
      </c>
      <c r="AN1995" s="1" t="b">
        <v>0</v>
      </c>
      <c r="AO1995" s="1" t="b">
        <v>0</v>
      </c>
    </row>
    <row r="1996" spans="1:41" x14ac:dyDescent="0.25">
      <c r="A1996" s="10"/>
      <c r="B1996" s="10"/>
      <c r="C1996" s="10"/>
      <c r="D1996" s="10"/>
      <c r="E1996" s="10"/>
      <c r="F1996" s="10"/>
      <c r="G1996" s="10"/>
      <c r="H1996" s="10"/>
      <c r="I1996" s="1" t="str">
        <f t="shared" si="93"/>
        <v/>
      </c>
      <c r="J1996" s="1" t="s">
        <v>35</v>
      </c>
      <c r="K1996" s="1" t="str">
        <f t="shared" si="94"/>
        <v/>
      </c>
      <c r="L1996" s="1" t="str">
        <f t="shared" si="95"/>
        <v/>
      </c>
      <c r="M1996" s="1">
        <f>IF(OR(Table1[[#This Row],[Std Nom]]="",Table1[[#This Row],[Std Read]]=""),0,Table1[[#This Row],[Std Nom]]-Table1[[#This Row],[Std Read]])</f>
        <v>0</v>
      </c>
      <c r="N1996" s="1">
        <f>IF(Calculations!$F$5="ACCREDITED 17025 WITH UNCERTAINTIES",$N$10,0)</f>
        <v>0</v>
      </c>
      <c r="Q1996" s="1">
        <f>Table1[[#This Row],[High Tol]]-Table1[[#This Row],[Low Tol]]</f>
        <v>0</v>
      </c>
      <c r="R1996" s="1">
        <f>2*Table1[[#This Row],[Std Error]]</f>
        <v>0</v>
      </c>
      <c r="S1996" s="1" t="str">
        <f>IF(Table1[[#This Row],[High Tol]]="","N/A",IFERROR(ABS(Table1[[#This Row],[Tol Span]]/Table1[[#This Row],[Error Span]]),"N/A"))</f>
        <v>N/A</v>
      </c>
      <c r="T1996" s="1" t="str">
        <f>IF(OR(Table1[[#This Row],[Low Tol]]="",Table1[[#This Row],[High Tol]]=""),"Needs Analysis",IF(Table1[[#This Row],[Ratio]]&gt;=4,"Not Significant",IF(Table1[[#This Row],[Ratio]]&gt;=2,"Semi-Significant","Significant")))</f>
        <v>Needs Analysis</v>
      </c>
      <c r="W1996" s="1">
        <f>IF(Table1[[#This Row],[Cal Type]]&lt;&gt;"ACCREDITED 17025 WITH UNCERTAINTIES",0,"")</f>
        <v>0</v>
      </c>
      <c r="X1996" s="1" t="str">
        <f>IF(Table1[[#This Row],[DUT Read]]="","N/A",Table1[[#This Row],[Std Error]]+Table1[[#This Row],[DUT Read]]+Table1[[#This Row],[DUT Ucty]])</f>
        <v>N/A</v>
      </c>
      <c r="Y1996" s="1" t="str">
        <f>IF(Table1[[#This Row],[Std Read]]="","N/A",Table1[[#This Row],[Std Read]]+Table1[[#This Row],[Std Ucty]])</f>
        <v>N/A</v>
      </c>
      <c r="Z19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6" s="1" t="str">
        <f>IF(Table1[[#This Row],[Spec Type]]="","N/A",Table1[[#This Row],[Spec Type]])</f>
        <v>±</v>
      </c>
      <c r="AC1996" s="1" t="str">
        <f>IF(Table1[[#This Row],[Spec Type2]]="N/A","N/A",IF(AND(Table1[[#This Row],[DUT Adj Read]]&gt;=Table1[[#This Row],[Low Tol]],Table1[[#This Row],[DUT Adj Read]]&lt;=Table1[[#This Row],[High Tol]]),"Pass","Fail"))</f>
        <v>Fail</v>
      </c>
      <c r="AD1996" s="1" t="str">
        <f>IF(AND(Table1[[#This Row],[Spec Type2]]="N/A",Table1[[#This Row],[DUT Adj Read]]="N/A",Table1[[#This Row],[Std Adj Read]]="N/A"),"N/A",IF(Table1[[#This Row],[DUT Adj Read]]="N/A",IF(Table1[[#This Row],[Std Adj Read]]&gt;Table1[[#This Row],[Low Tol]],"Pass","Fail"),IF(Table1[[#This Row],[DUT Adj Read]]&gt;Table1[[#This Row],[Low Tol]],"Pass","Fail")))</f>
        <v>Pass</v>
      </c>
      <c r="AE1996" s="1" t="str">
        <f>IF(AND(Table1[[#This Row],[Spec Type2]]="N/A",Table1[[#This Row],[DUT Adj Read]]="N/A",Table1[[#This Row],[Std Adj Read]]="N/A"),"N/A",IF(Table1[[#This Row],[DUT Adj Read]]="N/A",IF(Table1[[#This Row],[Std Adj Read]]&lt;Table1[[#This Row],[High Tol]],"Pass","Fail"),IF(Table1[[#This Row],[DUT Adj Read]]&lt;Table1[[#This Row],[High Tol]],"Pass","Fail")))</f>
        <v>Fail</v>
      </c>
      <c r="AF1996" s="1" t="str">
        <f>IF(AND(Table1[[#This Row],[Spec Type2]]="N/A",Table1[[#This Row],[DUT Adj Read]]="N/A",Table1[[#This Row],[Std Adj Read]]="N/A"),"N/A",IF(Table1[[#This Row],[DUT Adj Read]]="N/A",IF(Table1[[#This Row],[Std Adj Read]]&gt;=Table1[[#This Row],[Low Tol]],"Pass","Fail"),IF(Table1[[#This Row],[DUT Adj Read]]&gt;=Table1[[#This Row],[Low Tol]],"Pass","Fail")))</f>
        <v>Pass</v>
      </c>
      <c r="AG1996" s="1" t="str">
        <f>IF(AND(Table1[[#This Row],[Spec Type2]]="N/A",Table1[[#This Row],[DUT Adj Read]]="N/A",Table1[[#This Row],[Std Adj Read]]="N/A"),"N/A",IF(Table1[[#This Row],[DUT Adj Read]]="N/A",IF(Table1[[#This Row],[Std Adj Read]]&lt;=Table1[[#This Row],[High Tol]],"Pass","Fail"),IF(Table1[[#This Row],[DUT Adj Read]]&lt;=Table1[[#This Row],[High Tol]],"Pass","Fail")))</f>
        <v>Fail</v>
      </c>
      <c r="AH19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6" s="1" t="b">
        <v>0</v>
      </c>
      <c r="AN1996" s="1" t="b">
        <v>0</v>
      </c>
      <c r="AO1996" s="1" t="b">
        <v>0</v>
      </c>
    </row>
    <row r="1997" spans="1:41" x14ac:dyDescent="0.25">
      <c r="A1997" s="10"/>
      <c r="B1997" s="10"/>
      <c r="C1997" s="10"/>
      <c r="D1997" s="10"/>
      <c r="E1997" s="10"/>
      <c r="F1997" s="10"/>
      <c r="G1997" s="10"/>
      <c r="H1997" s="10"/>
      <c r="I1997" s="1" t="str">
        <f t="shared" si="93"/>
        <v/>
      </c>
      <c r="J1997" s="1" t="s">
        <v>35</v>
      </c>
      <c r="K1997" s="1" t="str">
        <f t="shared" si="94"/>
        <v/>
      </c>
      <c r="L1997" s="1" t="str">
        <f t="shared" si="95"/>
        <v/>
      </c>
      <c r="M1997" s="1">
        <f>IF(OR(Table1[[#This Row],[Std Nom]]="",Table1[[#This Row],[Std Read]]=""),0,Table1[[#This Row],[Std Nom]]-Table1[[#This Row],[Std Read]])</f>
        <v>0</v>
      </c>
      <c r="N1997" s="1">
        <f>IF(Calculations!$F$5="ACCREDITED 17025 WITH UNCERTAINTIES",$N$10,0)</f>
        <v>0</v>
      </c>
      <c r="Q1997" s="1">
        <f>Table1[[#This Row],[High Tol]]-Table1[[#This Row],[Low Tol]]</f>
        <v>0</v>
      </c>
      <c r="R1997" s="1">
        <f>2*Table1[[#This Row],[Std Error]]</f>
        <v>0</v>
      </c>
      <c r="S1997" s="1" t="str">
        <f>IF(Table1[[#This Row],[High Tol]]="","N/A",IFERROR(ABS(Table1[[#This Row],[Tol Span]]/Table1[[#This Row],[Error Span]]),"N/A"))</f>
        <v>N/A</v>
      </c>
      <c r="T1997" s="1" t="str">
        <f>IF(OR(Table1[[#This Row],[Low Tol]]="",Table1[[#This Row],[High Tol]]=""),"Needs Analysis",IF(Table1[[#This Row],[Ratio]]&gt;=4,"Not Significant",IF(Table1[[#This Row],[Ratio]]&gt;=2,"Semi-Significant","Significant")))</f>
        <v>Needs Analysis</v>
      </c>
      <c r="W1997" s="1">
        <f>IF(Table1[[#This Row],[Cal Type]]&lt;&gt;"ACCREDITED 17025 WITH UNCERTAINTIES",0,"")</f>
        <v>0</v>
      </c>
      <c r="X1997" s="1" t="str">
        <f>IF(Table1[[#This Row],[DUT Read]]="","N/A",Table1[[#This Row],[Std Error]]+Table1[[#This Row],[DUT Read]]+Table1[[#This Row],[DUT Ucty]])</f>
        <v>N/A</v>
      </c>
      <c r="Y1997" s="1" t="str">
        <f>IF(Table1[[#This Row],[Std Read]]="","N/A",Table1[[#This Row],[Std Read]]+Table1[[#This Row],[Std Ucty]])</f>
        <v>N/A</v>
      </c>
      <c r="Z19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7" s="1" t="str">
        <f>IF(Table1[[#This Row],[Spec Type]]="","N/A",Table1[[#This Row],[Spec Type]])</f>
        <v>±</v>
      </c>
      <c r="AC1997" s="1" t="str">
        <f>IF(Table1[[#This Row],[Spec Type2]]="N/A","N/A",IF(AND(Table1[[#This Row],[DUT Adj Read]]&gt;=Table1[[#This Row],[Low Tol]],Table1[[#This Row],[DUT Adj Read]]&lt;=Table1[[#This Row],[High Tol]]),"Pass","Fail"))</f>
        <v>Fail</v>
      </c>
      <c r="AD1997" s="1" t="str">
        <f>IF(AND(Table1[[#This Row],[Spec Type2]]="N/A",Table1[[#This Row],[DUT Adj Read]]="N/A",Table1[[#This Row],[Std Adj Read]]="N/A"),"N/A",IF(Table1[[#This Row],[DUT Adj Read]]="N/A",IF(Table1[[#This Row],[Std Adj Read]]&gt;Table1[[#This Row],[Low Tol]],"Pass","Fail"),IF(Table1[[#This Row],[DUT Adj Read]]&gt;Table1[[#This Row],[Low Tol]],"Pass","Fail")))</f>
        <v>Pass</v>
      </c>
      <c r="AE1997" s="1" t="str">
        <f>IF(AND(Table1[[#This Row],[Spec Type2]]="N/A",Table1[[#This Row],[DUT Adj Read]]="N/A",Table1[[#This Row],[Std Adj Read]]="N/A"),"N/A",IF(Table1[[#This Row],[DUT Adj Read]]="N/A",IF(Table1[[#This Row],[Std Adj Read]]&lt;Table1[[#This Row],[High Tol]],"Pass","Fail"),IF(Table1[[#This Row],[DUT Adj Read]]&lt;Table1[[#This Row],[High Tol]],"Pass","Fail")))</f>
        <v>Fail</v>
      </c>
      <c r="AF1997" s="1" t="str">
        <f>IF(AND(Table1[[#This Row],[Spec Type2]]="N/A",Table1[[#This Row],[DUT Adj Read]]="N/A",Table1[[#This Row],[Std Adj Read]]="N/A"),"N/A",IF(Table1[[#This Row],[DUT Adj Read]]="N/A",IF(Table1[[#This Row],[Std Adj Read]]&gt;=Table1[[#This Row],[Low Tol]],"Pass","Fail"),IF(Table1[[#This Row],[DUT Adj Read]]&gt;=Table1[[#This Row],[Low Tol]],"Pass","Fail")))</f>
        <v>Pass</v>
      </c>
      <c r="AG1997" s="1" t="str">
        <f>IF(AND(Table1[[#This Row],[Spec Type2]]="N/A",Table1[[#This Row],[DUT Adj Read]]="N/A",Table1[[#This Row],[Std Adj Read]]="N/A"),"N/A",IF(Table1[[#This Row],[DUT Adj Read]]="N/A",IF(Table1[[#This Row],[Std Adj Read]]&lt;=Table1[[#This Row],[High Tol]],"Pass","Fail"),IF(Table1[[#This Row],[DUT Adj Read]]&lt;=Table1[[#This Row],[High Tol]],"Pass","Fail")))</f>
        <v>Fail</v>
      </c>
      <c r="AH19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7" s="1" t="b">
        <v>0</v>
      </c>
      <c r="AN1997" s="1" t="b">
        <v>0</v>
      </c>
      <c r="AO1997" s="1" t="b">
        <v>0</v>
      </c>
    </row>
    <row r="1998" spans="1:41" x14ac:dyDescent="0.25">
      <c r="A1998" s="10"/>
      <c r="B1998" s="10"/>
      <c r="C1998" s="10"/>
      <c r="D1998" s="10"/>
      <c r="E1998" s="10"/>
      <c r="F1998" s="10"/>
      <c r="G1998" s="10"/>
      <c r="H1998" s="10"/>
      <c r="I1998" s="1" t="str">
        <f t="shared" si="93"/>
        <v/>
      </c>
      <c r="J1998" s="1" t="s">
        <v>35</v>
      </c>
      <c r="K1998" s="1" t="str">
        <f t="shared" si="94"/>
        <v/>
      </c>
      <c r="L1998" s="1" t="str">
        <f t="shared" si="95"/>
        <v/>
      </c>
      <c r="M1998" s="1">
        <f>IF(OR(Table1[[#This Row],[Std Nom]]="",Table1[[#This Row],[Std Read]]=""),0,Table1[[#This Row],[Std Nom]]-Table1[[#This Row],[Std Read]])</f>
        <v>0</v>
      </c>
      <c r="N1998" s="1">
        <f>IF(Calculations!$F$5="ACCREDITED 17025 WITH UNCERTAINTIES",$N$10,0)</f>
        <v>0</v>
      </c>
      <c r="Q1998" s="1">
        <f>Table1[[#This Row],[High Tol]]-Table1[[#This Row],[Low Tol]]</f>
        <v>0</v>
      </c>
      <c r="R1998" s="1">
        <f>2*Table1[[#This Row],[Std Error]]</f>
        <v>0</v>
      </c>
      <c r="S1998" s="1" t="str">
        <f>IF(Table1[[#This Row],[High Tol]]="","N/A",IFERROR(ABS(Table1[[#This Row],[Tol Span]]/Table1[[#This Row],[Error Span]]),"N/A"))</f>
        <v>N/A</v>
      </c>
      <c r="T1998" s="1" t="str">
        <f>IF(OR(Table1[[#This Row],[Low Tol]]="",Table1[[#This Row],[High Tol]]=""),"Needs Analysis",IF(Table1[[#This Row],[Ratio]]&gt;=4,"Not Significant",IF(Table1[[#This Row],[Ratio]]&gt;=2,"Semi-Significant","Significant")))</f>
        <v>Needs Analysis</v>
      </c>
      <c r="W1998" s="1">
        <f>IF(Table1[[#This Row],[Cal Type]]&lt;&gt;"ACCREDITED 17025 WITH UNCERTAINTIES",0,"")</f>
        <v>0</v>
      </c>
      <c r="X1998" s="1" t="str">
        <f>IF(Table1[[#This Row],[DUT Read]]="","N/A",Table1[[#This Row],[Std Error]]+Table1[[#This Row],[DUT Read]]+Table1[[#This Row],[DUT Ucty]])</f>
        <v>N/A</v>
      </c>
      <c r="Y1998" s="1" t="str">
        <f>IF(Table1[[#This Row],[Std Read]]="","N/A",Table1[[#This Row],[Std Read]]+Table1[[#This Row],[Std Ucty]])</f>
        <v>N/A</v>
      </c>
      <c r="Z19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8" s="1" t="str">
        <f>IF(Table1[[#This Row],[Spec Type]]="","N/A",Table1[[#This Row],[Spec Type]])</f>
        <v>±</v>
      </c>
      <c r="AC1998" s="1" t="str">
        <f>IF(Table1[[#This Row],[Spec Type2]]="N/A","N/A",IF(AND(Table1[[#This Row],[DUT Adj Read]]&gt;=Table1[[#This Row],[Low Tol]],Table1[[#This Row],[DUT Adj Read]]&lt;=Table1[[#This Row],[High Tol]]),"Pass","Fail"))</f>
        <v>Fail</v>
      </c>
      <c r="AD1998" s="1" t="str">
        <f>IF(AND(Table1[[#This Row],[Spec Type2]]="N/A",Table1[[#This Row],[DUT Adj Read]]="N/A",Table1[[#This Row],[Std Adj Read]]="N/A"),"N/A",IF(Table1[[#This Row],[DUT Adj Read]]="N/A",IF(Table1[[#This Row],[Std Adj Read]]&gt;Table1[[#This Row],[Low Tol]],"Pass","Fail"),IF(Table1[[#This Row],[DUT Adj Read]]&gt;Table1[[#This Row],[Low Tol]],"Pass","Fail")))</f>
        <v>Pass</v>
      </c>
      <c r="AE1998" s="1" t="str">
        <f>IF(AND(Table1[[#This Row],[Spec Type2]]="N/A",Table1[[#This Row],[DUT Adj Read]]="N/A",Table1[[#This Row],[Std Adj Read]]="N/A"),"N/A",IF(Table1[[#This Row],[DUT Adj Read]]="N/A",IF(Table1[[#This Row],[Std Adj Read]]&lt;Table1[[#This Row],[High Tol]],"Pass","Fail"),IF(Table1[[#This Row],[DUT Adj Read]]&lt;Table1[[#This Row],[High Tol]],"Pass","Fail")))</f>
        <v>Fail</v>
      </c>
      <c r="AF1998" s="1" t="str">
        <f>IF(AND(Table1[[#This Row],[Spec Type2]]="N/A",Table1[[#This Row],[DUT Adj Read]]="N/A",Table1[[#This Row],[Std Adj Read]]="N/A"),"N/A",IF(Table1[[#This Row],[DUT Adj Read]]="N/A",IF(Table1[[#This Row],[Std Adj Read]]&gt;=Table1[[#This Row],[Low Tol]],"Pass","Fail"),IF(Table1[[#This Row],[DUT Adj Read]]&gt;=Table1[[#This Row],[Low Tol]],"Pass","Fail")))</f>
        <v>Pass</v>
      </c>
      <c r="AG1998" s="1" t="str">
        <f>IF(AND(Table1[[#This Row],[Spec Type2]]="N/A",Table1[[#This Row],[DUT Adj Read]]="N/A",Table1[[#This Row],[Std Adj Read]]="N/A"),"N/A",IF(Table1[[#This Row],[DUT Adj Read]]="N/A",IF(Table1[[#This Row],[Std Adj Read]]&lt;=Table1[[#This Row],[High Tol]],"Pass","Fail"),IF(Table1[[#This Row],[DUT Adj Read]]&lt;=Table1[[#This Row],[High Tol]],"Pass","Fail")))</f>
        <v>Fail</v>
      </c>
      <c r="AH19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8" s="1" t="b">
        <v>0</v>
      </c>
      <c r="AN1998" s="1" t="b">
        <v>0</v>
      </c>
      <c r="AO1998" s="1" t="b">
        <v>0</v>
      </c>
    </row>
    <row r="1999" spans="1:41" x14ac:dyDescent="0.25">
      <c r="A1999" s="10"/>
      <c r="B1999" s="10"/>
      <c r="C1999" s="10"/>
      <c r="D1999" s="10"/>
      <c r="E1999" s="10"/>
      <c r="F1999" s="10"/>
      <c r="G1999" s="10"/>
      <c r="H1999" s="10"/>
      <c r="I1999" s="1" t="str">
        <f t="shared" si="93"/>
        <v/>
      </c>
      <c r="J1999" s="1" t="s">
        <v>35</v>
      </c>
      <c r="K1999" s="1" t="str">
        <f t="shared" si="94"/>
        <v/>
      </c>
      <c r="L1999" s="1" t="str">
        <f t="shared" si="95"/>
        <v/>
      </c>
      <c r="M1999" s="1">
        <f>IF(OR(Table1[[#This Row],[Std Nom]]="",Table1[[#This Row],[Std Read]]=""),0,Table1[[#This Row],[Std Nom]]-Table1[[#This Row],[Std Read]])</f>
        <v>0</v>
      </c>
      <c r="N1999" s="1">
        <f>IF(Calculations!$F$5="ACCREDITED 17025 WITH UNCERTAINTIES",$N$10,0)</f>
        <v>0</v>
      </c>
      <c r="Q1999" s="1">
        <f>Table1[[#This Row],[High Tol]]-Table1[[#This Row],[Low Tol]]</f>
        <v>0</v>
      </c>
      <c r="R1999" s="1">
        <f>2*Table1[[#This Row],[Std Error]]</f>
        <v>0</v>
      </c>
      <c r="S1999" s="1" t="str">
        <f>IF(Table1[[#This Row],[High Tol]]="","N/A",IFERROR(ABS(Table1[[#This Row],[Tol Span]]/Table1[[#This Row],[Error Span]]),"N/A"))</f>
        <v>N/A</v>
      </c>
      <c r="T1999" s="1" t="str">
        <f>IF(OR(Table1[[#This Row],[Low Tol]]="",Table1[[#This Row],[High Tol]]=""),"Needs Analysis",IF(Table1[[#This Row],[Ratio]]&gt;=4,"Not Significant",IF(Table1[[#This Row],[Ratio]]&gt;=2,"Semi-Significant","Significant")))</f>
        <v>Needs Analysis</v>
      </c>
      <c r="W1999" s="1">
        <f>IF(Table1[[#This Row],[Cal Type]]&lt;&gt;"ACCREDITED 17025 WITH UNCERTAINTIES",0,"")</f>
        <v>0</v>
      </c>
      <c r="X1999" s="1" t="str">
        <f>IF(Table1[[#This Row],[DUT Read]]="","N/A",Table1[[#This Row],[Std Error]]+Table1[[#This Row],[DUT Read]]+Table1[[#This Row],[DUT Ucty]])</f>
        <v>N/A</v>
      </c>
      <c r="Y1999" s="1" t="str">
        <f>IF(Table1[[#This Row],[Std Read]]="","N/A",Table1[[#This Row],[Std Read]]+Table1[[#This Row],[Std Ucty]])</f>
        <v>N/A</v>
      </c>
      <c r="Z19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1999" s="1" t="str">
        <f>IF(Table1[[#This Row],[Spec Type]]="","N/A",Table1[[#This Row],[Spec Type]])</f>
        <v>±</v>
      </c>
      <c r="AC1999" s="1" t="str">
        <f>IF(Table1[[#This Row],[Spec Type2]]="N/A","N/A",IF(AND(Table1[[#This Row],[DUT Adj Read]]&gt;=Table1[[#This Row],[Low Tol]],Table1[[#This Row],[DUT Adj Read]]&lt;=Table1[[#This Row],[High Tol]]),"Pass","Fail"))</f>
        <v>Fail</v>
      </c>
      <c r="AD1999" s="1" t="str">
        <f>IF(AND(Table1[[#This Row],[Spec Type2]]="N/A",Table1[[#This Row],[DUT Adj Read]]="N/A",Table1[[#This Row],[Std Adj Read]]="N/A"),"N/A",IF(Table1[[#This Row],[DUT Adj Read]]="N/A",IF(Table1[[#This Row],[Std Adj Read]]&gt;Table1[[#This Row],[Low Tol]],"Pass","Fail"),IF(Table1[[#This Row],[DUT Adj Read]]&gt;Table1[[#This Row],[Low Tol]],"Pass","Fail")))</f>
        <v>Pass</v>
      </c>
      <c r="AE1999" s="1" t="str">
        <f>IF(AND(Table1[[#This Row],[Spec Type2]]="N/A",Table1[[#This Row],[DUT Adj Read]]="N/A",Table1[[#This Row],[Std Adj Read]]="N/A"),"N/A",IF(Table1[[#This Row],[DUT Adj Read]]="N/A",IF(Table1[[#This Row],[Std Adj Read]]&lt;Table1[[#This Row],[High Tol]],"Pass","Fail"),IF(Table1[[#This Row],[DUT Adj Read]]&lt;Table1[[#This Row],[High Tol]],"Pass","Fail")))</f>
        <v>Fail</v>
      </c>
      <c r="AF1999" s="1" t="str">
        <f>IF(AND(Table1[[#This Row],[Spec Type2]]="N/A",Table1[[#This Row],[DUT Adj Read]]="N/A",Table1[[#This Row],[Std Adj Read]]="N/A"),"N/A",IF(Table1[[#This Row],[DUT Adj Read]]="N/A",IF(Table1[[#This Row],[Std Adj Read]]&gt;=Table1[[#This Row],[Low Tol]],"Pass","Fail"),IF(Table1[[#This Row],[DUT Adj Read]]&gt;=Table1[[#This Row],[Low Tol]],"Pass","Fail")))</f>
        <v>Pass</v>
      </c>
      <c r="AG1999" s="1" t="str">
        <f>IF(AND(Table1[[#This Row],[Spec Type2]]="N/A",Table1[[#This Row],[DUT Adj Read]]="N/A",Table1[[#This Row],[Std Adj Read]]="N/A"),"N/A",IF(Table1[[#This Row],[DUT Adj Read]]="N/A",IF(Table1[[#This Row],[Std Adj Read]]&lt;=Table1[[#This Row],[High Tol]],"Pass","Fail"),IF(Table1[[#This Row],[DUT Adj Read]]&lt;=Table1[[#This Row],[High Tol]],"Pass","Fail")))</f>
        <v>Fail</v>
      </c>
      <c r="AH19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1999" s="1" t="b">
        <v>0</v>
      </c>
      <c r="AN1999" s="1" t="b">
        <v>0</v>
      </c>
      <c r="AO1999" s="1" t="b">
        <v>0</v>
      </c>
    </row>
    <row r="2000" spans="1:41" x14ac:dyDescent="0.25">
      <c r="A2000" s="10"/>
      <c r="B2000" s="10"/>
      <c r="C2000" s="10"/>
      <c r="D2000" s="10"/>
      <c r="E2000" s="10"/>
      <c r="F2000" s="10"/>
      <c r="G2000" s="10"/>
      <c r="H2000" s="10"/>
      <c r="I2000" s="1" t="str">
        <f t="shared" si="93"/>
        <v/>
      </c>
      <c r="J2000" s="1" t="s">
        <v>35</v>
      </c>
      <c r="K2000" s="1" t="str">
        <f t="shared" si="94"/>
        <v/>
      </c>
      <c r="L2000" s="1" t="str">
        <f t="shared" si="95"/>
        <v/>
      </c>
      <c r="M2000" s="1">
        <f>IF(OR(Table1[[#This Row],[Std Nom]]="",Table1[[#This Row],[Std Read]]=""),0,Table1[[#This Row],[Std Nom]]-Table1[[#This Row],[Std Read]])</f>
        <v>0</v>
      </c>
      <c r="N2000" s="1">
        <f>IF(Calculations!$F$5="ACCREDITED 17025 WITH UNCERTAINTIES",$N$10,0)</f>
        <v>0</v>
      </c>
      <c r="Q2000" s="1">
        <f>Table1[[#This Row],[High Tol]]-Table1[[#This Row],[Low Tol]]</f>
        <v>0</v>
      </c>
      <c r="R2000" s="1">
        <f>2*Table1[[#This Row],[Std Error]]</f>
        <v>0</v>
      </c>
      <c r="S2000" s="1" t="str">
        <f>IF(Table1[[#This Row],[High Tol]]="","N/A",IFERROR(ABS(Table1[[#This Row],[Tol Span]]/Table1[[#This Row],[Error Span]]),"N/A"))</f>
        <v>N/A</v>
      </c>
      <c r="T2000" s="1" t="str">
        <f>IF(OR(Table1[[#This Row],[Low Tol]]="",Table1[[#This Row],[High Tol]]=""),"Needs Analysis",IF(Table1[[#This Row],[Ratio]]&gt;=4,"Not Significant",IF(Table1[[#This Row],[Ratio]]&gt;=2,"Semi-Significant","Significant")))</f>
        <v>Needs Analysis</v>
      </c>
      <c r="W2000" s="1">
        <f>IF(Table1[[#This Row],[Cal Type]]&lt;&gt;"ACCREDITED 17025 WITH UNCERTAINTIES",0,"")</f>
        <v>0</v>
      </c>
      <c r="X2000" s="1" t="str">
        <f>IF(Table1[[#This Row],[DUT Read]]="","N/A",Table1[[#This Row],[Std Error]]+Table1[[#This Row],[DUT Read]]+Table1[[#This Row],[DUT Ucty]])</f>
        <v>N/A</v>
      </c>
      <c r="Y2000" s="1" t="str">
        <f>IF(Table1[[#This Row],[Std Read]]="","N/A",Table1[[#This Row],[Std Read]]+Table1[[#This Row],[Std Ucty]])</f>
        <v>N/A</v>
      </c>
      <c r="Z20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0" s="1" t="str">
        <f>IF(Table1[[#This Row],[Spec Type]]="","N/A",Table1[[#This Row],[Spec Type]])</f>
        <v>±</v>
      </c>
      <c r="AC2000" s="1" t="str">
        <f>IF(Table1[[#This Row],[Spec Type2]]="N/A","N/A",IF(AND(Table1[[#This Row],[DUT Adj Read]]&gt;=Table1[[#This Row],[Low Tol]],Table1[[#This Row],[DUT Adj Read]]&lt;=Table1[[#This Row],[High Tol]]),"Pass","Fail"))</f>
        <v>Fail</v>
      </c>
      <c r="AD2000" s="1" t="str">
        <f>IF(AND(Table1[[#This Row],[Spec Type2]]="N/A",Table1[[#This Row],[DUT Adj Read]]="N/A",Table1[[#This Row],[Std Adj Read]]="N/A"),"N/A",IF(Table1[[#This Row],[DUT Adj Read]]="N/A",IF(Table1[[#This Row],[Std Adj Read]]&gt;Table1[[#This Row],[Low Tol]],"Pass","Fail"),IF(Table1[[#This Row],[DUT Adj Read]]&gt;Table1[[#This Row],[Low Tol]],"Pass","Fail")))</f>
        <v>Pass</v>
      </c>
      <c r="AE2000" s="1" t="str">
        <f>IF(AND(Table1[[#This Row],[Spec Type2]]="N/A",Table1[[#This Row],[DUT Adj Read]]="N/A",Table1[[#This Row],[Std Adj Read]]="N/A"),"N/A",IF(Table1[[#This Row],[DUT Adj Read]]="N/A",IF(Table1[[#This Row],[Std Adj Read]]&lt;Table1[[#This Row],[High Tol]],"Pass","Fail"),IF(Table1[[#This Row],[DUT Adj Read]]&lt;Table1[[#This Row],[High Tol]],"Pass","Fail")))</f>
        <v>Fail</v>
      </c>
      <c r="AF2000" s="1" t="str">
        <f>IF(AND(Table1[[#This Row],[Spec Type2]]="N/A",Table1[[#This Row],[DUT Adj Read]]="N/A",Table1[[#This Row],[Std Adj Read]]="N/A"),"N/A",IF(Table1[[#This Row],[DUT Adj Read]]="N/A",IF(Table1[[#This Row],[Std Adj Read]]&gt;=Table1[[#This Row],[Low Tol]],"Pass","Fail"),IF(Table1[[#This Row],[DUT Adj Read]]&gt;=Table1[[#This Row],[Low Tol]],"Pass","Fail")))</f>
        <v>Pass</v>
      </c>
      <c r="AG2000" s="1" t="str">
        <f>IF(AND(Table1[[#This Row],[Spec Type2]]="N/A",Table1[[#This Row],[DUT Adj Read]]="N/A",Table1[[#This Row],[Std Adj Read]]="N/A"),"N/A",IF(Table1[[#This Row],[DUT Adj Read]]="N/A",IF(Table1[[#This Row],[Std Adj Read]]&lt;=Table1[[#This Row],[High Tol]],"Pass","Fail"),IF(Table1[[#This Row],[DUT Adj Read]]&lt;=Table1[[#This Row],[High Tol]],"Pass","Fail")))</f>
        <v>Fail</v>
      </c>
      <c r="AH20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0" s="1" t="b">
        <v>0</v>
      </c>
      <c r="AN2000" s="1" t="b">
        <v>0</v>
      </c>
      <c r="AO2000" s="1" t="b">
        <v>0</v>
      </c>
    </row>
    <row r="2001" spans="1:41" x14ac:dyDescent="0.25">
      <c r="A2001" s="10"/>
      <c r="B2001" s="10"/>
      <c r="C2001" s="10"/>
      <c r="D2001" s="10"/>
      <c r="E2001" s="10"/>
      <c r="F2001" s="10"/>
      <c r="G2001" s="10"/>
      <c r="H2001" s="10"/>
      <c r="I2001" s="1" t="str">
        <f t="shared" si="93"/>
        <v/>
      </c>
      <c r="J2001" s="1" t="s">
        <v>35</v>
      </c>
      <c r="K2001" s="1" t="str">
        <f t="shared" si="94"/>
        <v/>
      </c>
      <c r="L2001" s="1" t="str">
        <f t="shared" si="95"/>
        <v/>
      </c>
      <c r="M2001" s="1">
        <f>IF(OR(Table1[[#This Row],[Std Nom]]="",Table1[[#This Row],[Std Read]]=""),0,Table1[[#This Row],[Std Nom]]-Table1[[#This Row],[Std Read]])</f>
        <v>0</v>
      </c>
      <c r="N2001" s="1">
        <f>IF(Calculations!$F$5="ACCREDITED 17025 WITH UNCERTAINTIES",$N$10,0)</f>
        <v>0</v>
      </c>
      <c r="Q2001" s="1">
        <f>Table1[[#This Row],[High Tol]]-Table1[[#This Row],[Low Tol]]</f>
        <v>0</v>
      </c>
      <c r="R2001" s="1">
        <f>2*Table1[[#This Row],[Std Error]]</f>
        <v>0</v>
      </c>
      <c r="S2001" s="1" t="str">
        <f>IF(Table1[[#This Row],[High Tol]]="","N/A",IFERROR(ABS(Table1[[#This Row],[Tol Span]]/Table1[[#This Row],[Error Span]]),"N/A"))</f>
        <v>N/A</v>
      </c>
      <c r="T2001" s="1" t="str">
        <f>IF(OR(Table1[[#This Row],[Low Tol]]="",Table1[[#This Row],[High Tol]]=""),"Needs Analysis",IF(Table1[[#This Row],[Ratio]]&gt;=4,"Not Significant",IF(Table1[[#This Row],[Ratio]]&gt;=2,"Semi-Significant","Significant")))</f>
        <v>Needs Analysis</v>
      </c>
      <c r="W2001" s="1">
        <f>IF(Table1[[#This Row],[Cal Type]]&lt;&gt;"ACCREDITED 17025 WITH UNCERTAINTIES",0,"")</f>
        <v>0</v>
      </c>
      <c r="X2001" s="1" t="str">
        <f>IF(Table1[[#This Row],[DUT Read]]="","N/A",Table1[[#This Row],[Std Error]]+Table1[[#This Row],[DUT Read]]+Table1[[#This Row],[DUT Ucty]])</f>
        <v>N/A</v>
      </c>
      <c r="Y2001" s="1" t="str">
        <f>IF(Table1[[#This Row],[Std Read]]="","N/A",Table1[[#This Row],[Std Read]]+Table1[[#This Row],[Std Ucty]])</f>
        <v>N/A</v>
      </c>
      <c r="Z20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1" s="1" t="str">
        <f>IF(Table1[[#This Row],[Spec Type]]="","N/A",Table1[[#This Row],[Spec Type]])</f>
        <v>±</v>
      </c>
      <c r="AC2001" s="1" t="str">
        <f>IF(Table1[[#This Row],[Spec Type2]]="N/A","N/A",IF(AND(Table1[[#This Row],[DUT Adj Read]]&gt;=Table1[[#This Row],[Low Tol]],Table1[[#This Row],[DUT Adj Read]]&lt;=Table1[[#This Row],[High Tol]]),"Pass","Fail"))</f>
        <v>Fail</v>
      </c>
      <c r="AD2001" s="1" t="str">
        <f>IF(AND(Table1[[#This Row],[Spec Type2]]="N/A",Table1[[#This Row],[DUT Adj Read]]="N/A",Table1[[#This Row],[Std Adj Read]]="N/A"),"N/A",IF(Table1[[#This Row],[DUT Adj Read]]="N/A",IF(Table1[[#This Row],[Std Adj Read]]&gt;Table1[[#This Row],[Low Tol]],"Pass","Fail"),IF(Table1[[#This Row],[DUT Adj Read]]&gt;Table1[[#This Row],[Low Tol]],"Pass","Fail")))</f>
        <v>Pass</v>
      </c>
      <c r="AE2001" s="1" t="str">
        <f>IF(AND(Table1[[#This Row],[Spec Type2]]="N/A",Table1[[#This Row],[DUT Adj Read]]="N/A",Table1[[#This Row],[Std Adj Read]]="N/A"),"N/A",IF(Table1[[#This Row],[DUT Adj Read]]="N/A",IF(Table1[[#This Row],[Std Adj Read]]&lt;Table1[[#This Row],[High Tol]],"Pass","Fail"),IF(Table1[[#This Row],[DUT Adj Read]]&lt;Table1[[#This Row],[High Tol]],"Pass","Fail")))</f>
        <v>Fail</v>
      </c>
      <c r="AF2001" s="1" t="str">
        <f>IF(AND(Table1[[#This Row],[Spec Type2]]="N/A",Table1[[#This Row],[DUT Adj Read]]="N/A",Table1[[#This Row],[Std Adj Read]]="N/A"),"N/A",IF(Table1[[#This Row],[DUT Adj Read]]="N/A",IF(Table1[[#This Row],[Std Adj Read]]&gt;=Table1[[#This Row],[Low Tol]],"Pass","Fail"),IF(Table1[[#This Row],[DUT Adj Read]]&gt;=Table1[[#This Row],[Low Tol]],"Pass","Fail")))</f>
        <v>Pass</v>
      </c>
      <c r="AG2001" s="1" t="str">
        <f>IF(AND(Table1[[#This Row],[Spec Type2]]="N/A",Table1[[#This Row],[DUT Adj Read]]="N/A",Table1[[#This Row],[Std Adj Read]]="N/A"),"N/A",IF(Table1[[#This Row],[DUT Adj Read]]="N/A",IF(Table1[[#This Row],[Std Adj Read]]&lt;=Table1[[#This Row],[High Tol]],"Pass","Fail"),IF(Table1[[#This Row],[DUT Adj Read]]&lt;=Table1[[#This Row],[High Tol]],"Pass","Fail")))</f>
        <v>Fail</v>
      </c>
      <c r="AH20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1" s="1" t="b">
        <v>0</v>
      </c>
      <c r="AN2001" s="1" t="b">
        <v>0</v>
      </c>
      <c r="AO2001" s="1" t="b">
        <v>0</v>
      </c>
    </row>
    <row r="2002" spans="1:41" x14ac:dyDescent="0.25">
      <c r="A2002" s="10"/>
      <c r="B2002" s="10"/>
      <c r="C2002" s="10"/>
      <c r="D2002" s="10"/>
      <c r="E2002" s="10"/>
      <c r="F2002" s="10"/>
      <c r="G2002" s="10"/>
      <c r="H2002" s="10"/>
      <c r="I2002" s="1" t="str">
        <f t="shared" si="93"/>
        <v/>
      </c>
      <c r="J2002" s="1" t="s">
        <v>35</v>
      </c>
      <c r="K2002" s="1" t="str">
        <f t="shared" si="94"/>
        <v/>
      </c>
      <c r="L2002" s="1" t="str">
        <f t="shared" si="95"/>
        <v/>
      </c>
      <c r="M2002" s="1">
        <f>IF(OR(Table1[[#This Row],[Std Nom]]="",Table1[[#This Row],[Std Read]]=""),0,Table1[[#This Row],[Std Nom]]-Table1[[#This Row],[Std Read]])</f>
        <v>0</v>
      </c>
      <c r="N2002" s="1">
        <f>IF(Calculations!$F$5="ACCREDITED 17025 WITH UNCERTAINTIES",$N$10,0)</f>
        <v>0</v>
      </c>
      <c r="Q2002" s="1">
        <f>Table1[[#This Row],[High Tol]]-Table1[[#This Row],[Low Tol]]</f>
        <v>0</v>
      </c>
      <c r="R2002" s="1">
        <f>2*Table1[[#This Row],[Std Error]]</f>
        <v>0</v>
      </c>
      <c r="S2002" s="1" t="str">
        <f>IF(Table1[[#This Row],[High Tol]]="","N/A",IFERROR(ABS(Table1[[#This Row],[Tol Span]]/Table1[[#This Row],[Error Span]]),"N/A"))</f>
        <v>N/A</v>
      </c>
      <c r="T2002" s="1" t="str">
        <f>IF(OR(Table1[[#This Row],[Low Tol]]="",Table1[[#This Row],[High Tol]]=""),"Needs Analysis",IF(Table1[[#This Row],[Ratio]]&gt;=4,"Not Significant",IF(Table1[[#This Row],[Ratio]]&gt;=2,"Semi-Significant","Significant")))</f>
        <v>Needs Analysis</v>
      </c>
      <c r="W2002" s="1">
        <f>IF(Table1[[#This Row],[Cal Type]]&lt;&gt;"ACCREDITED 17025 WITH UNCERTAINTIES",0,"")</f>
        <v>0</v>
      </c>
      <c r="X2002" s="1" t="str">
        <f>IF(Table1[[#This Row],[DUT Read]]="","N/A",Table1[[#This Row],[Std Error]]+Table1[[#This Row],[DUT Read]]+Table1[[#This Row],[DUT Ucty]])</f>
        <v>N/A</v>
      </c>
      <c r="Y2002" s="1" t="str">
        <f>IF(Table1[[#This Row],[Std Read]]="","N/A",Table1[[#This Row],[Std Read]]+Table1[[#This Row],[Std Ucty]])</f>
        <v>N/A</v>
      </c>
      <c r="Z20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2" s="1" t="str">
        <f>IF(Table1[[#This Row],[Spec Type]]="","N/A",Table1[[#This Row],[Spec Type]])</f>
        <v>±</v>
      </c>
      <c r="AC2002" s="1" t="str">
        <f>IF(Table1[[#This Row],[Spec Type2]]="N/A","N/A",IF(AND(Table1[[#This Row],[DUT Adj Read]]&gt;=Table1[[#This Row],[Low Tol]],Table1[[#This Row],[DUT Adj Read]]&lt;=Table1[[#This Row],[High Tol]]),"Pass","Fail"))</f>
        <v>Fail</v>
      </c>
      <c r="AD2002" s="1" t="str">
        <f>IF(AND(Table1[[#This Row],[Spec Type2]]="N/A",Table1[[#This Row],[DUT Adj Read]]="N/A",Table1[[#This Row],[Std Adj Read]]="N/A"),"N/A",IF(Table1[[#This Row],[DUT Adj Read]]="N/A",IF(Table1[[#This Row],[Std Adj Read]]&gt;Table1[[#This Row],[Low Tol]],"Pass","Fail"),IF(Table1[[#This Row],[DUT Adj Read]]&gt;Table1[[#This Row],[Low Tol]],"Pass","Fail")))</f>
        <v>Pass</v>
      </c>
      <c r="AE2002" s="1" t="str">
        <f>IF(AND(Table1[[#This Row],[Spec Type2]]="N/A",Table1[[#This Row],[DUT Adj Read]]="N/A",Table1[[#This Row],[Std Adj Read]]="N/A"),"N/A",IF(Table1[[#This Row],[DUT Adj Read]]="N/A",IF(Table1[[#This Row],[Std Adj Read]]&lt;Table1[[#This Row],[High Tol]],"Pass","Fail"),IF(Table1[[#This Row],[DUT Adj Read]]&lt;Table1[[#This Row],[High Tol]],"Pass","Fail")))</f>
        <v>Fail</v>
      </c>
      <c r="AF2002" s="1" t="str">
        <f>IF(AND(Table1[[#This Row],[Spec Type2]]="N/A",Table1[[#This Row],[DUT Adj Read]]="N/A",Table1[[#This Row],[Std Adj Read]]="N/A"),"N/A",IF(Table1[[#This Row],[DUT Adj Read]]="N/A",IF(Table1[[#This Row],[Std Adj Read]]&gt;=Table1[[#This Row],[Low Tol]],"Pass","Fail"),IF(Table1[[#This Row],[DUT Adj Read]]&gt;=Table1[[#This Row],[Low Tol]],"Pass","Fail")))</f>
        <v>Pass</v>
      </c>
      <c r="AG2002" s="1" t="str">
        <f>IF(AND(Table1[[#This Row],[Spec Type2]]="N/A",Table1[[#This Row],[DUT Adj Read]]="N/A",Table1[[#This Row],[Std Adj Read]]="N/A"),"N/A",IF(Table1[[#This Row],[DUT Adj Read]]="N/A",IF(Table1[[#This Row],[Std Adj Read]]&lt;=Table1[[#This Row],[High Tol]],"Pass","Fail"),IF(Table1[[#This Row],[DUT Adj Read]]&lt;=Table1[[#This Row],[High Tol]],"Pass","Fail")))</f>
        <v>Fail</v>
      </c>
      <c r="AH20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2" s="1" t="b">
        <v>0</v>
      </c>
      <c r="AN2002" s="1" t="b">
        <v>0</v>
      </c>
      <c r="AO2002" s="1" t="b">
        <v>0</v>
      </c>
    </row>
    <row r="2003" spans="1:41" x14ac:dyDescent="0.25">
      <c r="A2003" s="10"/>
      <c r="B2003" s="10"/>
      <c r="C2003" s="10"/>
      <c r="D2003" s="10"/>
      <c r="E2003" s="10"/>
      <c r="F2003" s="10"/>
      <c r="G2003" s="10"/>
      <c r="H2003" s="10"/>
      <c r="I2003" s="1" t="str">
        <f t="shared" si="93"/>
        <v/>
      </c>
      <c r="J2003" s="1" t="s">
        <v>35</v>
      </c>
      <c r="K2003" s="1" t="str">
        <f t="shared" si="94"/>
        <v/>
      </c>
      <c r="L2003" s="1" t="str">
        <f t="shared" si="95"/>
        <v/>
      </c>
      <c r="M2003" s="1">
        <f>IF(OR(Table1[[#This Row],[Std Nom]]="",Table1[[#This Row],[Std Read]]=""),0,Table1[[#This Row],[Std Nom]]-Table1[[#This Row],[Std Read]])</f>
        <v>0</v>
      </c>
      <c r="N2003" s="1">
        <f>IF(Calculations!$F$5="ACCREDITED 17025 WITH UNCERTAINTIES",$N$10,0)</f>
        <v>0</v>
      </c>
      <c r="Q2003" s="1">
        <f>Table1[[#This Row],[High Tol]]-Table1[[#This Row],[Low Tol]]</f>
        <v>0</v>
      </c>
      <c r="R2003" s="1">
        <f>2*Table1[[#This Row],[Std Error]]</f>
        <v>0</v>
      </c>
      <c r="S2003" s="1" t="str">
        <f>IF(Table1[[#This Row],[High Tol]]="","N/A",IFERROR(ABS(Table1[[#This Row],[Tol Span]]/Table1[[#This Row],[Error Span]]),"N/A"))</f>
        <v>N/A</v>
      </c>
      <c r="T2003" s="1" t="str">
        <f>IF(OR(Table1[[#This Row],[Low Tol]]="",Table1[[#This Row],[High Tol]]=""),"Needs Analysis",IF(Table1[[#This Row],[Ratio]]&gt;=4,"Not Significant",IF(Table1[[#This Row],[Ratio]]&gt;=2,"Semi-Significant","Significant")))</f>
        <v>Needs Analysis</v>
      </c>
      <c r="W2003" s="1">
        <f>IF(Table1[[#This Row],[Cal Type]]&lt;&gt;"ACCREDITED 17025 WITH UNCERTAINTIES",0,"")</f>
        <v>0</v>
      </c>
      <c r="X2003" s="1" t="str">
        <f>IF(Table1[[#This Row],[DUT Read]]="","N/A",Table1[[#This Row],[Std Error]]+Table1[[#This Row],[DUT Read]]+Table1[[#This Row],[DUT Ucty]])</f>
        <v>N/A</v>
      </c>
      <c r="Y2003" s="1" t="str">
        <f>IF(Table1[[#This Row],[Std Read]]="","N/A",Table1[[#This Row],[Std Read]]+Table1[[#This Row],[Std Ucty]])</f>
        <v>N/A</v>
      </c>
      <c r="Z20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3" s="1" t="str">
        <f>IF(Table1[[#This Row],[Spec Type]]="","N/A",Table1[[#This Row],[Spec Type]])</f>
        <v>±</v>
      </c>
      <c r="AC2003" s="1" t="str">
        <f>IF(Table1[[#This Row],[Spec Type2]]="N/A","N/A",IF(AND(Table1[[#This Row],[DUT Adj Read]]&gt;=Table1[[#This Row],[Low Tol]],Table1[[#This Row],[DUT Adj Read]]&lt;=Table1[[#This Row],[High Tol]]),"Pass","Fail"))</f>
        <v>Fail</v>
      </c>
      <c r="AD2003" s="1" t="str">
        <f>IF(AND(Table1[[#This Row],[Spec Type2]]="N/A",Table1[[#This Row],[DUT Adj Read]]="N/A",Table1[[#This Row],[Std Adj Read]]="N/A"),"N/A",IF(Table1[[#This Row],[DUT Adj Read]]="N/A",IF(Table1[[#This Row],[Std Adj Read]]&gt;Table1[[#This Row],[Low Tol]],"Pass","Fail"),IF(Table1[[#This Row],[DUT Adj Read]]&gt;Table1[[#This Row],[Low Tol]],"Pass","Fail")))</f>
        <v>Pass</v>
      </c>
      <c r="AE2003" s="1" t="str">
        <f>IF(AND(Table1[[#This Row],[Spec Type2]]="N/A",Table1[[#This Row],[DUT Adj Read]]="N/A",Table1[[#This Row],[Std Adj Read]]="N/A"),"N/A",IF(Table1[[#This Row],[DUT Adj Read]]="N/A",IF(Table1[[#This Row],[Std Adj Read]]&lt;Table1[[#This Row],[High Tol]],"Pass","Fail"),IF(Table1[[#This Row],[DUT Adj Read]]&lt;Table1[[#This Row],[High Tol]],"Pass","Fail")))</f>
        <v>Fail</v>
      </c>
      <c r="AF2003" s="1" t="str">
        <f>IF(AND(Table1[[#This Row],[Spec Type2]]="N/A",Table1[[#This Row],[DUT Adj Read]]="N/A",Table1[[#This Row],[Std Adj Read]]="N/A"),"N/A",IF(Table1[[#This Row],[DUT Adj Read]]="N/A",IF(Table1[[#This Row],[Std Adj Read]]&gt;=Table1[[#This Row],[Low Tol]],"Pass","Fail"),IF(Table1[[#This Row],[DUT Adj Read]]&gt;=Table1[[#This Row],[Low Tol]],"Pass","Fail")))</f>
        <v>Pass</v>
      </c>
      <c r="AG2003" s="1" t="str">
        <f>IF(AND(Table1[[#This Row],[Spec Type2]]="N/A",Table1[[#This Row],[DUT Adj Read]]="N/A",Table1[[#This Row],[Std Adj Read]]="N/A"),"N/A",IF(Table1[[#This Row],[DUT Adj Read]]="N/A",IF(Table1[[#This Row],[Std Adj Read]]&lt;=Table1[[#This Row],[High Tol]],"Pass","Fail"),IF(Table1[[#This Row],[DUT Adj Read]]&lt;=Table1[[#This Row],[High Tol]],"Pass","Fail")))</f>
        <v>Fail</v>
      </c>
      <c r="AH20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3" s="1" t="b">
        <v>0</v>
      </c>
      <c r="AN2003" s="1" t="b">
        <v>0</v>
      </c>
      <c r="AO2003" s="1" t="b">
        <v>0</v>
      </c>
    </row>
    <row r="2004" spans="1:41" x14ac:dyDescent="0.25">
      <c r="A2004" s="10"/>
      <c r="B2004" s="10"/>
      <c r="C2004" s="10"/>
      <c r="D2004" s="10"/>
      <c r="E2004" s="10"/>
      <c r="F2004" s="10"/>
      <c r="G2004" s="10"/>
      <c r="H2004" s="10"/>
      <c r="I2004" s="1" t="str">
        <f t="shared" si="93"/>
        <v/>
      </c>
      <c r="J2004" s="1" t="s">
        <v>35</v>
      </c>
      <c r="K2004" s="1" t="str">
        <f t="shared" si="94"/>
        <v/>
      </c>
      <c r="L2004" s="1" t="str">
        <f t="shared" si="95"/>
        <v/>
      </c>
      <c r="M2004" s="1">
        <f>IF(OR(Table1[[#This Row],[Std Nom]]="",Table1[[#This Row],[Std Read]]=""),0,Table1[[#This Row],[Std Nom]]-Table1[[#This Row],[Std Read]])</f>
        <v>0</v>
      </c>
      <c r="N2004" s="1">
        <f>IF(Calculations!$F$5="ACCREDITED 17025 WITH UNCERTAINTIES",$N$10,0)</f>
        <v>0</v>
      </c>
      <c r="Q2004" s="1">
        <f>Table1[[#This Row],[High Tol]]-Table1[[#This Row],[Low Tol]]</f>
        <v>0</v>
      </c>
      <c r="R2004" s="1">
        <f>2*Table1[[#This Row],[Std Error]]</f>
        <v>0</v>
      </c>
      <c r="S2004" s="1" t="str">
        <f>IF(Table1[[#This Row],[High Tol]]="","N/A",IFERROR(ABS(Table1[[#This Row],[Tol Span]]/Table1[[#This Row],[Error Span]]),"N/A"))</f>
        <v>N/A</v>
      </c>
      <c r="T2004" s="1" t="str">
        <f>IF(OR(Table1[[#This Row],[Low Tol]]="",Table1[[#This Row],[High Tol]]=""),"Needs Analysis",IF(Table1[[#This Row],[Ratio]]&gt;=4,"Not Significant",IF(Table1[[#This Row],[Ratio]]&gt;=2,"Semi-Significant","Significant")))</f>
        <v>Needs Analysis</v>
      </c>
      <c r="W2004" s="1">
        <f>IF(Table1[[#This Row],[Cal Type]]&lt;&gt;"ACCREDITED 17025 WITH UNCERTAINTIES",0,"")</f>
        <v>0</v>
      </c>
      <c r="X2004" s="1" t="str">
        <f>IF(Table1[[#This Row],[DUT Read]]="","N/A",Table1[[#This Row],[Std Error]]+Table1[[#This Row],[DUT Read]]+Table1[[#This Row],[DUT Ucty]])</f>
        <v>N/A</v>
      </c>
      <c r="Y2004" s="1" t="str">
        <f>IF(Table1[[#This Row],[Std Read]]="","N/A",Table1[[#This Row],[Std Read]]+Table1[[#This Row],[Std Ucty]])</f>
        <v>N/A</v>
      </c>
      <c r="Z20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4" s="1" t="str">
        <f>IF(Table1[[#This Row],[Spec Type]]="","N/A",Table1[[#This Row],[Spec Type]])</f>
        <v>±</v>
      </c>
      <c r="AC2004" s="1" t="str">
        <f>IF(Table1[[#This Row],[Spec Type2]]="N/A","N/A",IF(AND(Table1[[#This Row],[DUT Adj Read]]&gt;=Table1[[#This Row],[Low Tol]],Table1[[#This Row],[DUT Adj Read]]&lt;=Table1[[#This Row],[High Tol]]),"Pass","Fail"))</f>
        <v>Fail</v>
      </c>
      <c r="AD2004" s="1" t="str">
        <f>IF(AND(Table1[[#This Row],[Spec Type2]]="N/A",Table1[[#This Row],[DUT Adj Read]]="N/A",Table1[[#This Row],[Std Adj Read]]="N/A"),"N/A",IF(Table1[[#This Row],[DUT Adj Read]]="N/A",IF(Table1[[#This Row],[Std Adj Read]]&gt;Table1[[#This Row],[Low Tol]],"Pass","Fail"),IF(Table1[[#This Row],[DUT Adj Read]]&gt;Table1[[#This Row],[Low Tol]],"Pass","Fail")))</f>
        <v>Pass</v>
      </c>
      <c r="AE2004" s="1" t="str">
        <f>IF(AND(Table1[[#This Row],[Spec Type2]]="N/A",Table1[[#This Row],[DUT Adj Read]]="N/A",Table1[[#This Row],[Std Adj Read]]="N/A"),"N/A",IF(Table1[[#This Row],[DUT Adj Read]]="N/A",IF(Table1[[#This Row],[Std Adj Read]]&lt;Table1[[#This Row],[High Tol]],"Pass","Fail"),IF(Table1[[#This Row],[DUT Adj Read]]&lt;Table1[[#This Row],[High Tol]],"Pass","Fail")))</f>
        <v>Fail</v>
      </c>
      <c r="AF2004" s="1" t="str">
        <f>IF(AND(Table1[[#This Row],[Spec Type2]]="N/A",Table1[[#This Row],[DUT Adj Read]]="N/A",Table1[[#This Row],[Std Adj Read]]="N/A"),"N/A",IF(Table1[[#This Row],[DUT Adj Read]]="N/A",IF(Table1[[#This Row],[Std Adj Read]]&gt;=Table1[[#This Row],[Low Tol]],"Pass","Fail"),IF(Table1[[#This Row],[DUT Adj Read]]&gt;=Table1[[#This Row],[Low Tol]],"Pass","Fail")))</f>
        <v>Pass</v>
      </c>
      <c r="AG2004" s="1" t="str">
        <f>IF(AND(Table1[[#This Row],[Spec Type2]]="N/A",Table1[[#This Row],[DUT Adj Read]]="N/A",Table1[[#This Row],[Std Adj Read]]="N/A"),"N/A",IF(Table1[[#This Row],[DUT Adj Read]]="N/A",IF(Table1[[#This Row],[Std Adj Read]]&lt;=Table1[[#This Row],[High Tol]],"Pass","Fail"),IF(Table1[[#This Row],[DUT Adj Read]]&lt;=Table1[[#This Row],[High Tol]],"Pass","Fail")))</f>
        <v>Fail</v>
      </c>
      <c r="AH20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4" s="1" t="b">
        <v>0</v>
      </c>
      <c r="AN2004" s="1" t="b">
        <v>0</v>
      </c>
      <c r="AO2004" s="1" t="b">
        <v>0</v>
      </c>
    </row>
    <row r="2005" spans="1:41" x14ac:dyDescent="0.25">
      <c r="A2005" s="10"/>
      <c r="B2005" s="10"/>
      <c r="C2005" s="10"/>
      <c r="D2005" s="10"/>
      <c r="E2005" s="10"/>
      <c r="F2005" s="10"/>
      <c r="G2005" s="10"/>
      <c r="H2005" s="10"/>
      <c r="I2005" s="1" t="str">
        <f t="shared" si="93"/>
        <v/>
      </c>
      <c r="J2005" s="1" t="s">
        <v>35</v>
      </c>
      <c r="K2005" s="1" t="str">
        <f t="shared" si="94"/>
        <v/>
      </c>
      <c r="L2005" s="1" t="str">
        <f t="shared" si="95"/>
        <v/>
      </c>
      <c r="M2005" s="1">
        <f>IF(OR(Table1[[#This Row],[Std Nom]]="",Table1[[#This Row],[Std Read]]=""),0,Table1[[#This Row],[Std Nom]]-Table1[[#This Row],[Std Read]])</f>
        <v>0</v>
      </c>
      <c r="N2005" s="1">
        <f>IF(Calculations!$F$5="ACCREDITED 17025 WITH UNCERTAINTIES",$N$10,0)</f>
        <v>0</v>
      </c>
      <c r="Q2005" s="1">
        <f>Table1[[#This Row],[High Tol]]-Table1[[#This Row],[Low Tol]]</f>
        <v>0</v>
      </c>
      <c r="R2005" s="1">
        <f>2*Table1[[#This Row],[Std Error]]</f>
        <v>0</v>
      </c>
      <c r="S2005" s="1" t="str">
        <f>IF(Table1[[#This Row],[High Tol]]="","N/A",IFERROR(ABS(Table1[[#This Row],[Tol Span]]/Table1[[#This Row],[Error Span]]),"N/A"))</f>
        <v>N/A</v>
      </c>
      <c r="T2005" s="1" t="str">
        <f>IF(OR(Table1[[#This Row],[Low Tol]]="",Table1[[#This Row],[High Tol]]=""),"Needs Analysis",IF(Table1[[#This Row],[Ratio]]&gt;=4,"Not Significant",IF(Table1[[#This Row],[Ratio]]&gt;=2,"Semi-Significant","Significant")))</f>
        <v>Needs Analysis</v>
      </c>
      <c r="W2005" s="1">
        <f>IF(Table1[[#This Row],[Cal Type]]&lt;&gt;"ACCREDITED 17025 WITH UNCERTAINTIES",0,"")</f>
        <v>0</v>
      </c>
      <c r="X2005" s="1" t="str">
        <f>IF(Table1[[#This Row],[DUT Read]]="","N/A",Table1[[#This Row],[Std Error]]+Table1[[#This Row],[DUT Read]]+Table1[[#This Row],[DUT Ucty]])</f>
        <v>N/A</v>
      </c>
      <c r="Y2005" s="1" t="str">
        <f>IF(Table1[[#This Row],[Std Read]]="","N/A",Table1[[#This Row],[Std Read]]+Table1[[#This Row],[Std Ucty]])</f>
        <v>N/A</v>
      </c>
      <c r="Z20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5" s="1" t="str">
        <f>IF(Table1[[#This Row],[Spec Type]]="","N/A",Table1[[#This Row],[Spec Type]])</f>
        <v>±</v>
      </c>
      <c r="AC2005" s="1" t="str">
        <f>IF(Table1[[#This Row],[Spec Type2]]="N/A","N/A",IF(AND(Table1[[#This Row],[DUT Adj Read]]&gt;=Table1[[#This Row],[Low Tol]],Table1[[#This Row],[DUT Adj Read]]&lt;=Table1[[#This Row],[High Tol]]),"Pass","Fail"))</f>
        <v>Fail</v>
      </c>
      <c r="AD2005" s="1" t="str">
        <f>IF(AND(Table1[[#This Row],[Spec Type2]]="N/A",Table1[[#This Row],[DUT Adj Read]]="N/A",Table1[[#This Row],[Std Adj Read]]="N/A"),"N/A",IF(Table1[[#This Row],[DUT Adj Read]]="N/A",IF(Table1[[#This Row],[Std Adj Read]]&gt;Table1[[#This Row],[Low Tol]],"Pass","Fail"),IF(Table1[[#This Row],[DUT Adj Read]]&gt;Table1[[#This Row],[Low Tol]],"Pass","Fail")))</f>
        <v>Pass</v>
      </c>
      <c r="AE2005" s="1" t="str">
        <f>IF(AND(Table1[[#This Row],[Spec Type2]]="N/A",Table1[[#This Row],[DUT Adj Read]]="N/A",Table1[[#This Row],[Std Adj Read]]="N/A"),"N/A",IF(Table1[[#This Row],[DUT Adj Read]]="N/A",IF(Table1[[#This Row],[Std Adj Read]]&lt;Table1[[#This Row],[High Tol]],"Pass","Fail"),IF(Table1[[#This Row],[DUT Adj Read]]&lt;Table1[[#This Row],[High Tol]],"Pass","Fail")))</f>
        <v>Fail</v>
      </c>
      <c r="AF2005" s="1" t="str">
        <f>IF(AND(Table1[[#This Row],[Spec Type2]]="N/A",Table1[[#This Row],[DUT Adj Read]]="N/A",Table1[[#This Row],[Std Adj Read]]="N/A"),"N/A",IF(Table1[[#This Row],[DUT Adj Read]]="N/A",IF(Table1[[#This Row],[Std Adj Read]]&gt;=Table1[[#This Row],[Low Tol]],"Pass","Fail"),IF(Table1[[#This Row],[DUT Adj Read]]&gt;=Table1[[#This Row],[Low Tol]],"Pass","Fail")))</f>
        <v>Pass</v>
      </c>
      <c r="AG2005" s="1" t="str">
        <f>IF(AND(Table1[[#This Row],[Spec Type2]]="N/A",Table1[[#This Row],[DUT Adj Read]]="N/A",Table1[[#This Row],[Std Adj Read]]="N/A"),"N/A",IF(Table1[[#This Row],[DUT Adj Read]]="N/A",IF(Table1[[#This Row],[Std Adj Read]]&lt;=Table1[[#This Row],[High Tol]],"Pass","Fail"),IF(Table1[[#This Row],[DUT Adj Read]]&lt;=Table1[[#This Row],[High Tol]],"Pass","Fail")))</f>
        <v>Fail</v>
      </c>
      <c r="AH20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5" s="1" t="b">
        <v>0</v>
      </c>
      <c r="AN2005" s="1" t="b">
        <v>0</v>
      </c>
      <c r="AO2005" s="1" t="b">
        <v>0</v>
      </c>
    </row>
    <row r="2006" spans="1:41" x14ac:dyDescent="0.25">
      <c r="A2006" s="10"/>
      <c r="B2006" s="10"/>
      <c r="C2006" s="10"/>
      <c r="D2006" s="10"/>
      <c r="E2006" s="10"/>
      <c r="F2006" s="10"/>
      <c r="G2006" s="10"/>
      <c r="H2006" s="10"/>
      <c r="I2006" s="1" t="str">
        <f t="shared" si="93"/>
        <v/>
      </c>
      <c r="J2006" s="1" t="s">
        <v>35</v>
      </c>
      <c r="K2006" s="1" t="str">
        <f t="shared" si="94"/>
        <v/>
      </c>
      <c r="L2006" s="1" t="str">
        <f t="shared" si="95"/>
        <v/>
      </c>
      <c r="M2006" s="1">
        <f>IF(OR(Table1[[#This Row],[Std Nom]]="",Table1[[#This Row],[Std Read]]=""),0,Table1[[#This Row],[Std Nom]]-Table1[[#This Row],[Std Read]])</f>
        <v>0</v>
      </c>
      <c r="N2006" s="1">
        <f>IF(Calculations!$F$5="ACCREDITED 17025 WITH UNCERTAINTIES",$N$10,0)</f>
        <v>0</v>
      </c>
      <c r="Q2006" s="1">
        <f>Table1[[#This Row],[High Tol]]-Table1[[#This Row],[Low Tol]]</f>
        <v>0</v>
      </c>
      <c r="R2006" s="1">
        <f>2*Table1[[#This Row],[Std Error]]</f>
        <v>0</v>
      </c>
      <c r="S2006" s="1" t="str">
        <f>IF(Table1[[#This Row],[High Tol]]="","N/A",IFERROR(ABS(Table1[[#This Row],[Tol Span]]/Table1[[#This Row],[Error Span]]),"N/A"))</f>
        <v>N/A</v>
      </c>
      <c r="T2006" s="1" t="str">
        <f>IF(OR(Table1[[#This Row],[Low Tol]]="",Table1[[#This Row],[High Tol]]=""),"Needs Analysis",IF(Table1[[#This Row],[Ratio]]&gt;=4,"Not Significant",IF(Table1[[#This Row],[Ratio]]&gt;=2,"Semi-Significant","Significant")))</f>
        <v>Needs Analysis</v>
      </c>
      <c r="W2006" s="1">
        <f>IF(Table1[[#This Row],[Cal Type]]&lt;&gt;"ACCREDITED 17025 WITH UNCERTAINTIES",0,"")</f>
        <v>0</v>
      </c>
      <c r="X2006" s="1" t="str">
        <f>IF(Table1[[#This Row],[DUT Read]]="","N/A",Table1[[#This Row],[Std Error]]+Table1[[#This Row],[DUT Read]]+Table1[[#This Row],[DUT Ucty]])</f>
        <v>N/A</v>
      </c>
      <c r="Y2006" s="1" t="str">
        <f>IF(Table1[[#This Row],[Std Read]]="","N/A",Table1[[#This Row],[Std Read]]+Table1[[#This Row],[Std Ucty]])</f>
        <v>N/A</v>
      </c>
      <c r="Z20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6" s="1" t="str">
        <f>IF(Table1[[#This Row],[Spec Type]]="","N/A",Table1[[#This Row],[Spec Type]])</f>
        <v>±</v>
      </c>
      <c r="AC2006" s="1" t="str">
        <f>IF(Table1[[#This Row],[Spec Type2]]="N/A","N/A",IF(AND(Table1[[#This Row],[DUT Adj Read]]&gt;=Table1[[#This Row],[Low Tol]],Table1[[#This Row],[DUT Adj Read]]&lt;=Table1[[#This Row],[High Tol]]),"Pass","Fail"))</f>
        <v>Fail</v>
      </c>
      <c r="AD2006" s="1" t="str">
        <f>IF(AND(Table1[[#This Row],[Spec Type2]]="N/A",Table1[[#This Row],[DUT Adj Read]]="N/A",Table1[[#This Row],[Std Adj Read]]="N/A"),"N/A",IF(Table1[[#This Row],[DUT Adj Read]]="N/A",IF(Table1[[#This Row],[Std Adj Read]]&gt;Table1[[#This Row],[Low Tol]],"Pass","Fail"),IF(Table1[[#This Row],[DUT Adj Read]]&gt;Table1[[#This Row],[Low Tol]],"Pass","Fail")))</f>
        <v>Pass</v>
      </c>
      <c r="AE2006" s="1" t="str">
        <f>IF(AND(Table1[[#This Row],[Spec Type2]]="N/A",Table1[[#This Row],[DUT Adj Read]]="N/A",Table1[[#This Row],[Std Adj Read]]="N/A"),"N/A",IF(Table1[[#This Row],[DUT Adj Read]]="N/A",IF(Table1[[#This Row],[Std Adj Read]]&lt;Table1[[#This Row],[High Tol]],"Pass","Fail"),IF(Table1[[#This Row],[DUT Adj Read]]&lt;Table1[[#This Row],[High Tol]],"Pass","Fail")))</f>
        <v>Fail</v>
      </c>
      <c r="AF2006" s="1" t="str">
        <f>IF(AND(Table1[[#This Row],[Spec Type2]]="N/A",Table1[[#This Row],[DUT Adj Read]]="N/A",Table1[[#This Row],[Std Adj Read]]="N/A"),"N/A",IF(Table1[[#This Row],[DUT Adj Read]]="N/A",IF(Table1[[#This Row],[Std Adj Read]]&gt;=Table1[[#This Row],[Low Tol]],"Pass","Fail"),IF(Table1[[#This Row],[DUT Adj Read]]&gt;=Table1[[#This Row],[Low Tol]],"Pass","Fail")))</f>
        <v>Pass</v>
      </c>
      <c r="AG2006" s="1" t="str">
        <f>IF(AND(Table1[[#This Row],[Spec Type2]]="N/A",Table1[[#This Row],[DUT Adj Read]]="N/A",Table1[[#This Row],[Std Adj Read]]="N/A"),"N/A",IF(Table1[[#This Row],[DUT Adj Read]]="N/A",IF(Table1[[#This Row],[Std Adj Read]]&lt;=Table1[[#This Row],[High Tol]],"Pass","Fail"),IF(Table1[[#This Row],[DUT Adj Read]]&lt;=Table1[[#This Row],[High Tol]],"Pass","Fail")))</f>
        <v>Fail</v>
      </c>
      <c r="AH20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6" s="1" t="b">
        <v>0</v>
      </c>
      <c r="AN2006" s="1" t="b">
        <v>0</v>
      </c>
      <c r="AO2006" s="1" t="b">
        <v>0</v>
      </c>
    </row>
    <row r="2007" spans="1:41" x14ac:dyDescent="0.25">
      <c r="A2007" s="10"/>
      <c r="B2007" s="10"/>
      <c r="C2007" s="10"/>
      <c r="D2007" s="10"/>
      <c r="E2007" s="10"/>
      <c r="F2007" s="10"/>
      <c r="G2007" s="10"/>
      <c r="H2007" s="10"/>
      <c r="I2007" s="1" t="str">
        <f t="shared" si="93"/>
        <v/>
      </c>
      <c r="J2007" s="1" t="s">
        <v>35</v>
      </c>
      <c r="K2007" s="1" t="str">
        <f t="shared" si="94"/>
        <v/>
      </c>
      <c r="L2007" s="1" t="str">
        <f t="shared" si="95"/>
        <v/>
      </c>
      <c r="M2007" s="1">
        <f>IF(OR(Table1[[#This Row],[Std Nom]]="",Table1[[#This Row],[Std Read]]=""),0,Table1[[#This Row],[Std Nom]]-Table1[[#This Row],[Std Read]])</f>
        <v>0</v>
      </c>
      <c r="N2007" s="1">
        <f>IF(Calculations!$F$5="ACCREDITED 17025 WITH UNCERTAINTIES",$N$10,0)</f>
        <v>0</v>
      </c>
      <c r="Q2007" s="1">
        <f>Table1[[#This Row],[High Tol]]-Table1[[#This Row],[Low Tol]]</f>
        <v>0</v>
      </c>
      <c r="R2007" s="1">
        <f>2*Table1[[#This Row],[Std Error]]</f>
        <v>0</v>
      </c>
      <c r="S2007" s="1" t="str">
        <f>IF(Table1[[#This Row],[High Tol]]="","N/A",IFERROR(ABS(Table1[[#This Row],[Tol Span]]/Table1[[#This Row],[Error Span]]),"N/A"))</f>
        <v>N/A</v>
      </c>
      <c r="T2007" s="1" t="str">
        <f>IF(OR(Table1[[#This Row],[Low Tol]]="",Table1[[#This Row],[High Tol]]=""),"Needs Analysis",IF(Table1[[#This Row],[Ratio]]&gt;=4,"Not Significant",IF(Table1[[#This Row],[Ratio]]&gt;=2,"Semi-Significant","Significant")))</f>
        <v>Needs Analysis</v>
      </c>
      <c r="W2007" s="1">
        <f>IF(Table1[[#This Row],[Cal Type]]&lt;&gt;"ACCREDITED 17025 WITH UNCERTAINTIES",0,"")</f>
        <v>0</v>
      </c>
      <c r="X2007" s="1" t="str">
        <f>IF(Table1[[#This Row],[DUT Read]]="","N/A",Table1[[#This Row],[Std Error]]+Table1[[#This Row],[DUT Read]]+Table1[[#This Row],[DUT Ucty]])</f>
        <v>N/A</v>
      </c>
      <c r="Y2007" s="1" t="str">
        <f>IF(Table1[[#This Row],[Std Read]]="","N/A",Table1[[#This Row],[Std Read]]+Table1[[#This Row],[Std Ucty]])</f>
        <v>N/A</v>
      </c>
      <c r="Z20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7" s="1" t="str">
        <f>IF(Table1[[#This Row],[Spec Type]]="","N/A",Table1[[#This Row],[Spec Type]])</f>
        <v>±</v>
      </c>
      <c r="AC2007" s="1" t="str">
        <f>IF(Table1[[#This Row],[Spec Type2]]="N/A","N/A",IF(AND(Table1[[#This Row],[DUT Adj Read]]&gt;=Table1[[#This Row],[Low Tol]],Table1[[#This Row],[DUT Adj Read]]&lt;=Table1[[#This Row],[High Tol]]),"Pass","Fail"))</f>
        <v>Fail</v>
      </c>
      <c r="AD2007" s="1" t="str">
        <f>IF(AND(Table1[[#This Row],[Spec Type2]]="N/A",Table1[[#This Row],[DUT Adj Read]]="N/A",Table1[[#This Row],[Std Adj Read]]="N/A"),"N/A",IF(Table1[[#This Row],[DUT Adj Read]]="N/A",IF(Table1[[#This Row],[Std Adj Read]]&gt;Table1[[#This Row],[Low Tol]],"Pass","Fail"),IF(Table1[[#This Row],[DUT Adj Read]]&gt;Table1[[#This Row],[Low Tol]],"Pass","Fail")))</f>
        <v>Pass</v>
      </c>
      <c r="AE2007" s="1" t="str">
        <f>IF(AND(Table1[[#This Row],[Spec Type2]]="N/A",Table1[[#This Row],[DUT Adj Read]]="N/A",Table1[[#This Row],[Std Adj Read]]="N/A"),"N/A",IF(Table1[[#This Row],[DUT Adj Read]]="N/A",IF(Table1[[#This Row],[Std Adj Read]]&lt;Table1[[#This Row],[High Tol]],"Pass","Fail"),IF(Table1[[#This Row],[DUT Adj Read]]&lt;Table1[[#This Row],[High Tol]],"Pass","Fail")))</f>
        <v>Fail</v>
      </c>
      <c r="AF2007" s="1" t="str">
        <f>IF(AND(Table1[[#This Row],[Spec Type2]]="N/A",Table1[[#This Row],[DUT Adj Read]]="N/A",Table1[[#This Row],[Std Adj Read]]="N/A"),"N/A",IF(Table1[[#This Row],[DUT Adj Read]]="N/A",IF(Table1[[#This Row],[Std Adj Read]]&gt;=Table1[[#This Row],[Low Tol]],"Pass","Fail"),IF(Table1[[#This Row],[DUT Adj Read]]&gt;=Table1[[#This Row],[Low Tol]],"Pass","Fail")))</f>
        <v>Pass</v>
      </c>
      <c r="AG2007" s="1" t="str">
        <f>IF(AND(Table1[[#This Row],[Spec Type2]]="N/A",Table1[[#This Row],[DUT Adj Read]]="N/A",Table1[[#This Row],[Std Adj Read]]="N/A"),"N/A",IF(Table1[[#This Row],[DUT Adj Read]]="N/A",IF(Table1[[#This Row],[Std Adj Read]]&lt;=Table1[[#This Row],[High Tol]],"Pass","Fail"),IF(Table1[[#This Row],[DUT Adj Read]]&lt;=Table1[[#This Row],[High Tol]],"Pass","Fail")))</f>
        <v>Fail</v>
      </c>
      <c r="AH20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7" s="1" t="b">
        <v>0</v>
      </c>
      <c r="AN2007" s="1" t="b">
        <v>0</v>
      </c>
      <c r="AO2007" s="1" t="b">
        <v>0</v>
      </c>
    </row>
    <row r="2008" spans="1:41" x14ac:dyDescent="0.25">
      <c r="A2008" s="10"/>
      <c r="B2008" s="10"/>
      <c r="C2008" s="10"/>
      <c r="D2008" s="10"/>
      <c r="E2008" s="10"/>
      <c r="F2008" s="10"/>
      <c r="G2008" s="10"/>
      <c r="H2008" s="10"/>
      <c r="I2008" s="1" t="str">
        <f t="shared" si="93"/>
        <v/>
      </c>
      <c r="J2008" s="1" t="s">
        <v>35</v>
      </c>
      <c r="K2008" s="1" t="str">
        <f t="shared" si="94"/>
        <v/>
      </c>
      <c r="L2008" s="1" t="str">
        <f t="shared" si="95"/>
        <v/>
      </c>
      <c r="M2008" s="1">
        <f>IF(OR(Table1[[#This Row],[Std Nom]]="",Table1[[#This Row],[Std Read]]=""),0,Table1[[#This Row],[Std Nom]]-Table1[[#This Row],[Std Read]])</f>
        <v>0</v>
      </c>
      <c r="N2008" s="1">
        <f>IF(Calculations!$F$5="ACCREDITED 17025 WITH UNCERTAINTIES",$N$10,0)</f>
        <v>0</v>
      </c>
      <c r="Q2008" s="1">
        <f>Table1[[#This Row],[High Tol]]-Table1[[#This Row],[Low Tol]]</f>
        <v>0</v>
      </c>
      <c r="R2008" s="1">
        <f>2*Table1[[#This Row],[Std Error]]</f>
        <v>0</v>
      </c>
      <c r="S2008" s="1" t="str">
        <f>IF(Table1[[#This Row],[High Tol]]="","N/A",IFERROR(ABS(Table1[[#This Row],[Tol Span]]/Table1[[#This Row],[Error Span]]),"N/A"))</f>
        <v>N/A</v>
      </c>
      <c r="T2008" s="1" t="str">
        <f>IF(OR(Table1[[#This Row],[Low Tol]]="",Table1[[#This Row],[High Tol]]=""),"Needs Analysis",IF(Table1[[#This Row],[Ratio]]&gt;=4,"Not Significant",IF(Table1[[#This Row],[Ratio]]&gt;=2,"Semi-Significant","Significant")))</f>
        <v>Needs Analysis</v>
      </c>
      <c r="W2008" s="1">
        <f>IF(Table1[[#This Row],[Cal Type]]&lt;&gt;"ACCREDITED 17025 WITH UNCERTAINTIES",0,"")</f>
        <v>0</v>
      </c>
      <c r="X2008" s="1" t="str">
        <f>IF(Table1[[#This Row],[DUT Read]]="","N/A",Table1[[#This Row],[Std Error]]+Table1[[#This Row],[DUT Read]]+Table1[[#This Row],[DUT Ucty]])</f>
        <v>N/A</v>
      </c>
      <c r="Y2008" s="1" t="str">
        <f>IF(Table1[[#This Row],[Std Read]]="","N/A",Table1[[#This Row],[Std Read]]+Table1[[#This Row],[Std Ucty]])</f>
        <v>N/A</v>
      </c>
      <c r="Z20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8" s="1" t="str">
        <f>IF(Table1[[#This Row],[Spec Type]]="","N/A",Table1[[#This Row],[Spec Type]])</f>
        <v>±</v>
      </c>
      <c r="AC2008" s="1" t="str">
        <f>IF(Table1[[#This Row],[Spec Type2]]="N/A","N/A",IF(AND(Table1[[#This Row],[DUT Adj Read]]&gt;=Table1[[#This Row],[Low Tol]],Table1[[#This Row],[DUT Adj Read]]&lt;=Table1[[#This Row],[High Tol]]),"Pass","Fail"))</f>
        <v>Fail</v>
      </c>
      <c r="AD2008" s="1" t="str">
        <f>IF(AND(Table1[[#This Row],[Spec Type2]]="N/A",Table1[[#This Row],[DUT Adj Read]]="N/A",Table1[[#This Row],[Std Adj Read]]="N/A"),"N/A",IF(Table1[[#This Row],[DUT Adj Read]]="N/A",IF(Table1[[#This Row],[Std Adj Read]]&gt;Table1[[#This Row],[Low Tol]],"Pass","Fail"),IF(Table1[[#This Row],[DUT Adj Read]]&gt;Table1[[#This Row],[Low Tol]],"Pass","Fail")))</f>
        <v>Pass</v>
      </c>
      <c r="AE2008" s="1" t="str">
        <f>IF(AND(Table1[[#This Row],[Spec Type2]]="N/A",Table1[[#This Row],[DUT Adj Read]]="N/A",Table1[[#This Row],[Std Adj Read]]="N/A"),"N/A",IF(Table1[[#This Row],[DUT Adj Read]]="N/A",IF(Table1[[#This Row],[Std Adj Read]]&lt;Table1[[#This Row],[High Tol]],"Pass","Fail"),IF(Table1[[#This Row],[DUT Adj Read]]&lt;Table1[[#This Row],[High Tol]],"Pass","Fail")))</f>
        <v>Fail</v>
      </c>
      <c r="AF2008" s="1" t="str">
        <f>IF(AND(Table1[[#This Row],[Spec Type2]]="N/A",Table1[[#This Row],[DUT Adj Read]]="N/A",Table1[[#This Row],[Std Adj Read]]="N/A"),"N/A",IF(Table1[[#This Row],[DUT Adj Read]]="N/A",IF(Table1[[#This Row],[Std Adj Read]]&gt;=Table1[[#This Row],[Low Tol]],"Pass","Fail"),IF(Table1[[#This Row],[DUT Adj Read]]&gt;=Table1[[#This Row],[Low Tol]],"Pass","Fail")))</f>
        <v>Pass</v>
      </c>
      <c r="AG2008" s="1" t="str">
        <f>IF(AND(Table1[[#This Row],[Spec Type2]]="N/A",Table1[[#This Row],[DUT Adj Read]]="N/A",Table1[[#This Row],[Std Adj Read]]="N/A"),"N/A",IF(Table1[[#This Row],[DUT Adj Read]]="N/A",IF(Table1[[#This Row],[Std Adj Read]]&lt;=Table1[[#This Row],[High Tol]],"Pass","Fail"),IF(Table1[[#This Row],[DUT Adj Read]]&lt;=Table1[[#This Row],[High Tol]],"Pass","Fail")))</f>
        <v>Fail</v>
      </c>
      <c r="AH20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8" s="1" t="b">
        <v>0</v>
      </c>
      <c r="AN2008" s="1" t="b">
        <v>0</v>
      </c>
      <c r="AO2008" s="1" t="b">
        <v>0</v>
      </c>
    </row>
    <row r="2009" spans="1:41" x14ac:dyDescent="0.25">
      <c r="A2009" s="10"/>
      <c r="B2009" s="10"/>
      <c r="C2009" s="10"/>
      <c r="D2009" s="10"/>
      <c r="E2009" s="10"/>
      <c r="F2009" s="10"/>
      <c r="G2009" s="10"/>
      <c r="H2009" s="10"/>
      <c r="I2009" s="1" t="str">
        <f t="shared" si="93"/>
        <v/>
      </c>
      <c r="J2009" s="1" t="s">
        <v>35</v>
      </c>
      <c r="K2009" s="1" t="str">
        <f t="shared" si="94"/>
        <v/>
      </c>
      <c r="L2009" s="1" t="str">
        <f t="shared" si="95"/>
        <v/>
      </c>
      <c r="M2009" s="1">
        <f>IF(OR(Table1[[#This Row],[Std Nom]]="",Table1[[#This Row],[Std Read]]=""),0,Table1[[#This Row],[Std Nom]]-Table1[[#This Row],[Std Read]])</f>
        <v>0</v>
      </c>
      <c r="N2009" s="1">
        <f>IF(Calculations!$F$5="ACCREDITED 17025 WITH UNCERTAINTIES",$N$10,0)</f>
        <v>0</v>
      </c>
      <c r="Q2009" s="1">
        <f>Table1[[#This Row],[High Tol]]-Table1[[#This Row],[Low Tol]]</f>
        <v>0</v>
      </c>
      <c r="R2009" s="1">
        <f>2*Table1[[#This Row],[Std Error]]</f>
        <v>0</v>
      </c>
      <c r="S2009" s="1" t="str">
        <f>IF(Table1[[#This Row],[High Tol]]="","N/A",IFERROR(ABS(Table1[[#This Row],[Tol Span]]/Table1[[#This Row],[Error Span]]),"N/A"))</f>
        <v>N/A</v>
      </c>
      <c r="T2009" s="1" t="str">
        <f>IF(OR(Table1[[#This Row],[Low Tol]]="",Table1[[#This Row],[High Tol]]=""),"Needs Analysis",IF(Table1[[#This Row],[Ratio]]&gt;=4,"Not Significant",IF(Table1[[#This Row],[Ratio]]&gt;=2,"Semi-Significant","Significant")))</f>
        <v>Needs Analysis</v>
      </c>
      <c r="W2009" s="1">
        <f>IF(Table1[[#This Row],[Cal Type]]&lt;&gt;"ACCREDITED 17025 WITH UNCERTAINTIES",0,"")</f>
        <v>0</v>
      </c>
      <c r="X2009" s="1" t="str">
        <f>IF(Table1[[#This Row],[DUT Read]]="","N/A",Table1[[#This Row],[Std Error]]+Table1[[#This Row],[DUT Read]]+Table1[[#This Row],[DUT Ucty]])</f>
        <v>N/A</v>
      </c>
      <c r="Y2009" s="1" t="str">
        <f>IF(Table1[[#This Row],[Std Read]]="","N/A",Table1[[#This Row],[Std Read]]+Table1[[#This Row],[Std Ucty]])</f>
        <v>N/A</v>
      </c>
      <c r="Z20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09" s="1" t="str">
        <f>IF(Table1[[#This Row],[Spec Type]]="","N/A",Table1[[#This Row],[Spec Type]])</f>
        <v>±</v>
      </c>
      <c r="AC2009" s="1" t="str">
        <f>IF(Table1[[#This Row],[Spec Type2]]="N/A","N/A",IF(AND(Table1[[#This Row],[DUT Adj Read]]&gt;=Table1[[#This Row],[Low Tol]],Table1[[#This Row],[DUT Adj Read]]&lt;=Table1[[#This Row],[High Tol]]),"Pass","Fail"))</f>
        <v>Fail</v>
      </c>
      <c r="AD2009" s="1" t="str">
        <f>IF(AND(Table1[[#This Row],[Spec Type2]]="N/A",Table1[[#This Row],[DUT Adj Read]]="N/A",Table1[[#This Row],[Std Adj Read]]="N/A"),"N/A",IF(Table1[[#This Row],[DUT Adj Read]]="N/A",IF(Table1[[#This Row],[Std Adj Read]]&gt;Table1[[#This Row],[Low Tol]],"Pass","Fail"),IF(Table1[[#This Row],[DUT Adj Read]]&gt;Table1[[#This Row],[Low Tol]],"Pass","Fail")))</f>
        <v>Pass</v>
      </c>
      <c r="AE2009" s="1" t="str">
        <f>IF(AND(Table1[[#This Row],[Spec Type2]]="N/A",Table1[[#This Row],[DUT Adj Read]]="N/A",Table1[[#This Row],[Std Adj Read]]="N/A"),"N/A",IF(Table1[[#This Row],[DUT Adj Read]]="N/A",IF(Table1[[#This Row],[Std Adj Read]]&lt;Table1[[#This Row],[High Tol]],"Pass","Fail"),IF(Table1[[#This Row],[DUT Adj Read]]&lt;Table1[[#This Row],[High Tol]],"Pass","Fail")))</f>
        <v>Fail</v>
      </c>
      <c r="AF2009" s="1" t="str">
        <f>IF(AND(Table1[[#This Row],[Spec Type2]]="N/A",Table1[[#This Row],[DUT Adj Read]]="N/A",Table1[[#This Row],[Std Adj Read]]="N/A"),"N/A",IF(Table1[[#This Row],[DUT Adj Read]]="N/A",IF(Table1[[#This Row],[Std Adj Read]]&gt;=Table1[[#This Row],[Low Tol]],"Pass","Fail"),IF(Table1[[#This Row],[DUT Adj Read]]&gt;=Table1[[#This Row],[Low Tol]],"Pass","Fail")))</f>
        <v>Pass</v>
      </c>
      <c r="AG2009" s="1" t="str">
        <f>IF(AND(Table1[[#This Row],[Spec Type2]]="N/A",Table1[[#This Row],[DUT Adj Read]]="N/A",Table1[[#This Row],[Std Adj Read]]="N/A"),"N/A",IF(Table1[[#This Row],[DUT Adj Read]]="N/A",IF(Table1[[#This Row],[Std Adj Read]]&lt;=Table1[[#This Row],[High Tol]],"Pass","Fail"),IF(Table1[[#This Row],[DUT Adj Read]]&lt;=Table1[[#This Row],[High Tol]],"Pass","Fail")))</f>
        <v>Fail</v>
      </c>
      <c r="AH20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09" s="1" t="b">
        <v>0</v>
      </c>
      <c r="AN2009" s="1" t="b">
        <v>0</v>
      </c>
      <c r="AO2009" s="1" t="b">
        <v>0</v>
      </c>
    </row>
    <row r="2010" spans="1:41" x14ac:dyDescent="0.25">
      <c r="A2010" s="10"/>
      <c r="B2010" s="10"/>
      <c r="C2010" s="10"/>
      <c r="D2010" s="10"/>
      <c r="E2010" s="10"/>
      <c r="F2010" s="10"/>
      <c r="G2010" s="10"/>
      <c r="H2010" s="10"/>
      <c r="I2010" s="1" t="str">
        <f t="shared" si="93"/>
        <v/>
      </c>
      <c r="J2010" s="1" t="s">
        <v>35</v>
      </c>
      <c r="K2010" s="1" t="str">
        <f t="shared" si="94"/>
        <v/>
      </c>
      <c r="L2010" s="1" t="str">
        <f t="shared" si="95"/>
        <v/>
      </c>
      <c r="M2010" s="1">
        <f>IF(OR(Table1[[#This Row],[Std Nom]]="",Table1[[#This Row],[Std Read]]=""),0,Table1[[#This Row],[Std Nom]]-Table1[[#This Row],[Std Read]])</f>
        <v>0</v>
      </c>
      <c r="N2010" s="1">
        <f>IF(Calculations!$F$5="ACCREDITED 17025 WITH UNCERTAINTIES",$N$10,0)</f>
        <v>0</v>
      </c>
      <c r="Q2010" s="1">
        <f>Table1[[#This Row],[High Tol]]-Table1[[#This Row],[Low Tol]]</f>
        <v>0</v>
      </c>
      <c r="R2010" s="1">
        <f>2*Table1[[#This Row],[Std Error]]</f>
        <v>0</v>
      </c>
      <c r="S2010" s="1" t="str">
        <f>IF(Table1[[#This Row],[High Tol]]="","N/A",IFERROR(ABS(Table1[[#This Row],[Tol Span]]/Table1[[#This Row],[Error Span]]),"N/A"))</f>
        <v>N/A</v>
      </c>
      <c r="T2010" s="1" t="str">
        <f>IF(OR(Table1[[#This Row],[Low Tol]]="",Table1[[#This Row],[High Tol]]=""),"Needs Analysis",IF(Table1[[#This Row],[Ratio]]&gt;=4,"Not Significant",IF(Table1[[#This Row],[Ratio]]&gt;=2,"Semi-Significant","Significant")))</f>
        <v>Needs Analysis</v>
      </c>
      <c r="W2010" s="1">
        <f>IF(Table1[[#This Row],[Cal Type]]&lt;&gt;"ACCREDITED 17025 WITH UNCERTAINTIES",0,"")</f>
        <v>0</v>
      </c>
      <c r="X2010" s="1" t="str">
        <f>IF(Table1[[#This Row],[DUT Read]]="","N/A",Table1[[#This Row],[Std Error]]+Table1[[#This Row],[DUT Read]]+Table1[[#This Row],[DUT Ucty]])</f>
        <v>N/A</v>
      </c>
      <c r="Y2010" s="1" t="str">
        <f>IF(Table1[[#This Row],[Std Read]]="","N/A",Table1[[#This Row],[Std Read]]+Table1[[#This Row],[Std Ucty]])</f>
        <v>N/A</v>
      </c>
      <c r="Z20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0" s="1" t="str">
        <f>IF(Table1[[#This Row],[Spec Type]]="","N/A",Table1[[#This Row],[Spec Type]])</f>
        <v>±</v>
      </c>
      <c r="AC2010" s="1" t="str">
        <f>IF(Table1[[#This Row],[Spec Type2]]="N/A","N/A",IF(AND(Table1[[#This Row],[DUT Adj Read]]&gt;=Table1[[#This Row],[Low Tol]],Table1[[#This Row],[DUT Adj Read]]&lt;=Table1[[#This Row],[High Tol]]),"Pass","Fail"))</f>
        <v>Fail</v>
      </c>
      <c r="AD2010" s="1" t="str">
        <f>IF(AND(Table1[[#This Row],[Spec Type2]]="N/A",Table1[[#This Row],[DUT Adj Read]]="N/A",Table1[[#This Row],[Std Adj Read]]="N/A"),"N/A",IF(Table1[[#This Row],[DUT Adj Read]]="N/A",IF(Table1[[#This Row],[Std Adj Read]]&gt;Table1[[#This Row],[Low Tol]],"Pass","Fail"),IF(Table1[[#This Row],[DUT Adj Read]]&gt;Table1[[#This Row],[Low Tol]],"Pass","Fail")))</f>
        <v>Pass</v>
      </c>
      <c r="AE2010" s="1" t="str">
        <f>IF(AND(Table1[[#This Row],[Spec Type2]]="N/A",Table1[[#This Row],[DUT Adj Read]]="N/A",Table1[[#This Row],[Std Adj Read]]="N/A"),"N/A",IF(Table1[[#This Row],[DUT Adj Read]]="N/A",IF(Table1[[#This Row],[Std Adj Read]]&lt;Table1[[#This Row],[High Tol]],"Pass","Fail"),IF(Table1[[#This Row],[DUT Adj Read]]&lt;Table1[[#This Row],[High Tol]],"Pass","Fail")))</f>
        <v>Fail</v>
      </c>
      <c r="AF2010" s="1" t="str">
        <f>IF(AND(Table1[[#This Row],[Spec Type2]]="N/A",Table1[[#This Row],[DUT Adj Read]]="N/A",Table1[[#This Row],[Std Adj Read]]="N/A"),"N/A",IF(Table1[[#This Row],[DUT Adj Read]]="N/A",IF(Table1[[#This Row],[Std Adj Read]]&gt;=Table1[[#This Row],[Low Tol]],"Pass","Fail"),IF(Table1[[#This Row],[DUT Adj Read]]&gt;=Table1[[#This Row],[Low Tol]],"Pass","Fail")))</f>
        <v>Pass</v>
      </c>
      <c r="AG2010" s="1" t="str">
        <f>IF(AND(Table1[[#This Row],[Spec Type2]]="N/A",Table1[[#This Row],[DUT Adj Read]]="N/A",Table1[[#This Row],[Std Adj Read]]="N/A"),"N/A",IF(Table1[[#This Row],[DUT Adj Read]]="N/A",IF(Table1[[#This Row],[Std Adj Read]]&lt;=Table1[[#This Row],[High Tol]],"Pass","Fail"),IF(Table1[[#This Row],[DUT Adj Read]]&lt;=Table1[[#This Row],[High Tol]],"Pass","Fail")))</f>
        <v>Fail</v>
      </c>
      <c r="AH20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0" s="1" t="b">
        <v>0</v>
      </c>
      <c r="AN2010" s="1" t="b">
        <v>0</v>
      </c>
      <c r="AO2010" s="1" t="b">
        <v>0</v>
      </c>
    </row>
    <row r="2011" spans="1:41" x14ac:dyDescent="0.25">
      <c r="A2011" s="10"/>
      <c r="B2011" s="10"/>
      <c r="C2011" s="10"/>
      <c r="D2011" s="10"/>
      <c r="E2011" s="10"/>
      <c r="F2011" s="10"/>
      <c r="G2011" s="10"/>
      <c r="H2011" s="10"/>
      <c r="I2011" s="1" t="str">
        <f t="shared" si="93"/>
        <v/>
      </c>
      <c r="J2011" s="1" t="s">
        <v>35</v>
      </c>
      <c r="K2011" s="1" t="str">
        <f t="shared" si="94"/>
        <v/>
      </c>
      <c r="L2011" s="1" t="str">
        <f t="shared" si="95"/>
        <v/>
      </c>
      <c r="M2011" s="1">
        <f>IF(OR(Table1[[#This Row],[Std Nom]]="",Table1[[#This Row],[Std Read]]=""),0,Table1[[#This Row],[Std Nom]]-Table1[[#This Row],[Std Read]])</f>
        <v>0</v>
      </c>
      <c r="N2011" s="1">
        <f>IF(Calculations!$F$5="ACCREDITED 17025 WITH UNCERTAINTIES",$N$10,0)</f>
        <v>0</v>
      </c>
      <c r="Q2011" s="1">
        <f>Table1[[#This Row],[High Tol]]-Table1[[#This Row],[Low Tol]]</f>
        <v>0</v>
      </c>
      <c r="R2011" s="1">
        <f>2*Table1[[#This Row],[Std Error]]</f>
        <v>0</v>
      </c>
      <c r="S2011" s="1" t="str">
        <f>IF(Table1[[#This Row],[High Tol]]="","N/A",IFERROR(ABS(Table1[[#This Row],[Tol Span]]/Table1[[#This Row],[Error Span]]),"N/A"))</f>
        <v>N/A</v>
      </c>
      <c r="T2011" s="1" t="str">
        <f>IF(OR(Table1[[#This Row],[Low Tol]]="",Table1[[#This Row],[High Tol]]=""),"Needs Analysis",IF(Table1[[#This Row],[Ratio]]&gt;=4,"Not Significant",IF(Table1[[#This Row],[Ratio]]&gt;=2,"Semi-Significant","Significant")))</f>
        <v>Needs Analysis</v>
      </c>
      <c r="W2011" s="1">
        <f>IF(Table1[[#This Row],[Cal Type]]&lt;&gt;"ACCREDITED 17025 WITH UNCERTAINTIES",0,"")</f>
        <v>0</v>
      </c>
      <c r="X2011" s="1" t="str">
        <f>IF(Table1[[#This Row],[DUT Read]]="","N/A",Table1[[#This Row],[Std Error]]+Table1[[#This Row],[DUT Read]]+Table1[[#This Row],[DUT Ucty]])</f>
        <v>N/A</v>
      </c>
      <c r="Y2011" s="1" t="str">
        <f>IF(Table1[[#This Row],[Std Read]]="","N/A",Table1[[#This Row],[Std Read]]+Table1[[#This Row],[Std Ucty]])</f>
        <v>N/A</v>
      </c>
      <c r="Z20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1" s="1" t="str">
        <f>IF(Table1[[#This Row],[Spec Type]]="","N/A",Table1[[#This Row],[Spec Type]])</f>
        <v>±</v>
      </c>
      <c r="AC2011" s="1" t="str">
        <f>IF(Table1[[#This Row],[Spec Type2]]="N/A","N/A",IF(AND(Table1[[#This Row],[DUT Adj Read]]&gt;=Table1[[#This Row],[Low Tol]],Table1[[#This Row],[DUT Adj Read]]&lt;=Table1[[#This Row],[High Tol]]),"Pass","Fail"))</f>
        <v>Fail</v>
      </c>
      <c r="AD2011" s="1" t="str">
        <f>IF(AND(Table1[[#This Row],[Spec Type2]]="N/A",Table1[[#This Row],[DUT Adj Read]]="N/A",Table1[[#This Row],[Std Adj Read]]="N/A"),"N/A",IF(Table1[[#This Row],[DUT Adj Read]]="N/A",IF(Table1[[#This Row],[Std Adj Read]]&gt;Table1[[#This Row],[Low Tol]],"Pass","Fail"),IF(Table1[[#This Row],[DUT Adj Read]]&gt;Table1[[#This Row],[Low Tol]],"Pass","Fail")))</f>
        <v>Pass</v>
      </c>
      <c r="AE2011" s="1" t="str">
        <f>IF(AND(Table1[[#This Row],[Spec Type2]]="N/A",Table1[[#This Row],[DUT Adj Read]]="N/A",Table1[[#This Row],[Std Adj Read]]="N/A"),"N/A",IF(Table1[[#This Row],[DUT Adj Read]]="N/A",IF(Table1[[#This Row],[Std Adj Read]]&lt;Table1[[#This Row],[High Tol]],"Pass","Fail"),IF(Table1[[#This Row],[DUT Adj Read]]&lt;Table1[[#This Row],[High Tol]],"Pass","Fail")))</f>
        <v>Fail</v>
      </c>
      <c r="AF2011" s="1" t="str">
        <f>IF(AND(Table1[[#This Row],[Spec Type2]]="N/A",Table1[[#This Row],[DUT Adj Read]]="N/A",Table1[[#This Row],[Std Adj Read]]="N/A"),"N/A",IF(Table1[[#This Row],[DUT Adj Read]]="N/A",IF(Table1[[#This Row],[Std Adj Read]]&gt;=Table1[[#This Row],[Low Tol]],"Pass","Fail"),IF(Table1[[#This Row],[DUT Adj Read]]&gt;=Table1[[#This Row],[Low Tol]],"Pass","Fail")))</f>
        <v>Pass</v>
      </c>
      <c r="AG2011" s="1" t="str">
        <f>IF(AND(Table1[[#This Row],[Spec Type2]]="N/A",Table1[[#This Row],[DUT Adj Read]]="N/A",Table1[[#This Row],[Std Adj Read]]="N/A"),"N/A",IF(Table1[[#This Row],[DUT Adj Read]]="N/A",IF(Table1[[#This Row],[Std Adj Read]]&lt;=Table1[[#This Row],[High Tol]],"Pass","Fail"),IF(Table1[[#This Row],[DUT Adj Read]]&lt;=Table1[[#This Row],[High Tol]],"Pass","Fail")))</f>
        <v>Fail</v>
      </c>
      <c r="AH20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1" s="1" t="b">
        <v>0</v>
      </c>
      <c r="AN2011" s="1" t="b">
        <v>0</v>
      </c>
      <c r="AO2011" s="1" t="b">
        <v>0</v>
      </c>
    </row>
    <row r="2012" spans="1:41" x14ac:dyDescent="0.25">
      <c r="A2012" s="10"/>
      <c r="B2012" s="10"/>
      <c r="C2012" s="10"/>
      <c r="D2012" s="10"/>
      <c r="E2012" s="10"/>
      <c r="F2012" s="10"/>
      <c r="G2012" s="10"/>
      <c r="H2012" s="10"/>
      <c r="I2012" s="1" t="str">
        <f t="shared" si="93"/>
        <v/>
      </c>
      <c r="J2012" s="1" t="s">
        <v>35</v>
      </c>
      <c r="K2012" s="1" t="str">
        <f t="shared" si="94"/>
        <v/>
      </c>
      <c r="L2012" s="1" t="str">
        <f t="shared" si="95"/>
        <v/>
      </c>
      <c r="M2012" s="1">
        <f>IF(OR(Table1[[#This Row],[Std Nom]]="",Table1[[#This Row],[Std Read]]=""),0,Table1[[#This Row],[Std Nom]]-Table1[[#This Row],[Std Read]])</f>
        <v>0</v>
      </c>
      <c r="N2012" s="1">
        <f>IF(Calculations!$F$5="ACCREDITED 17025 WITH UNCERTAINTIES",$N$10,0)</f>
        <v>0</v>
      </c>
      <c r="Q2012" s="1">
        <f>Table1[[#This Row],[High Tol]]-Table1[[#This Row],[Low Tol]]</f>
        <v>0</v>
      </c>
      <c r="R2012" s="1">
        <f>2*Table1[[#This Row],[Std Error]]</f>
        <v>0</v>
      </c>
      <c r="S2012" s="1" t="str">
        <f>IF(Table1[[#This Row],[High Tol]]="","N/A",IFERROR(ABS(Table1[[#This Row],[Tol Span]]/Table1[[#This Row],[Error Span]]),"N/A"))</f>
        <v>N/A</v>
      </c>
      <c r="T2012" s="1" t="str">
        <f>IF(OR(Table1[[#This Row],[Low Tol]]="",Table1[[#This Row],[High Tol]]=""),"Needs Analysis",IF(Table1[[#This Row],[Ratio]]&gt;=4,"Not Significant",IF(Table1[[#This Row],[Ratio]]&gt;=2,"Semi-Significant","Significant")))</f>
        <v>Needs Analysis</v>
      </c>
      <c r="W2012" s="1">
        <f>IF(Table1[[#This Row],[Cal Type]]&lt;&gt;"ACCREDITED 17025 WITH UNCERTAINTIES",0,"")</f>
        <v>0</v>
      </c>
      <c r="X2012" s="1" t="str">
        <f>IF(Table1[[#This Row],[DUT Read]]="","N/A",Table1[[#This Row],[Std Error]]+Table1[[#This Row],[DUT Read]]+Table1[[#This Row],[DUT Ucty]])</f>
        <v>N/A</v>
      </c>
      <c r="Y2012" s="1" t="str">
        <f>IF(Table1[[#This Row],[Std Read]]="","N/A",Table1[[#This Row],[Std Read]]+Table1[[#This Row],[Std Ucty]])</f>
        <v>N/A</v>
      </c>
      <c r="Z20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2" s="1" t="str">
        <f>IF(Table1[[#This Row],[Spec Type]]="","N/A",Table1[[#This Row],[Spec Type]])</f>
        <v>±</v>
      </c>
      <c r="AC2012" s="1" t="str">
        <f>IF(Table1[[#This Row],[Spec Type2]]="N/A","N/A",IF(AND(Table1[[#This Row],[DUT Adj Read]]&gt;=Table1[[#This Row],[Low Tol]],Table1[[#This Row],[DUT Adj Read]]&lt;=Table1[[#This Row],[High Tol]]),"Pass","Fail"))</f>
        <v>Fail</v>
      </c>
      <c r="AD2012" s="1" t="str">
        <f>IF(AND(Table1[[#This Row],[Spec Type2]]="N/A",Table1[[#This Row],[DUT Adj Read]]="N/A",Table1[[#This Row],[Std Adj Read]]="N/A"),"N/A",IF(Table1[[#This Row],[DUT Adj Read]]="N/A",IF(Table1[[#This Row],[Std Adj Read]]&gt;Table1[[#This Row],[Low Tol]],"Pass","Fail"),IF(Table1[[#This Row],[DUT Adj Read]]&gt;Table1[[#This Row],[Low Tol]],"Pass","Fail")))</f>
        <v>Pass</v>
      </c>
      <c r="AE2012" s="1" t="str">
        <f>IF(AND(Table1[[#This Row],[Spec Type2]]="N/A",Table1[[#This Row],[DUT Adj Read]]="N/A",Table1[[#This Row],[Std Adj Read]]="N/A"),"N/A",IF(Table1[[#This Row],[DUT Adj Read]]="N/A",IF(Table1[[#This Row],[Std Adj Read]]&lt;Table1[[#This Row],[High Tol]],"Pass","Fail"),IF(Table1[[#This Row],[DUT Adj Read]]&lt;Table1[[#This Row],[High Tol]],"Pass","Fail")))</f>
        <v>Fail</v>
      </c>
      <c r="AF2012" s="1" t="str">
        <f>IF(AND(Table1[[#This Row],[Spec Type2]]="N/A",Table1[[#This Row],[DUT Adj Read]]="N/A",Table1[[#This Row],[Std Adj Read]]="N/A"),"N/A",IF(Table1[[#This Row],[DUT Adj Read]]="N/A",IF(Table1[[#This Row],[Std Adj Read]]&gt;=Table1[[#This Row],[Low Tol]],"Pass","Fail"),IF(Table1[[#This Row],[DUT Adj Read]]&gt;=Table1[[#This Row],[Low Tol]],"Pass","Fail")))</f>
        <v>Pass</v>
      </c>
      <c r="AG2012" s="1" t="str">
        <f>IF(AND(Table1[[#This Row],[Spec Type2]]="N/A",Table1[[#This Row],[DUT Adj Read]]="N/A",Table1[[#This Row],[Std Adj Read]]="N/A"),"N/A",IF(Table1[[#This Row],[DUT Adj Read]]="N/A",IF(Table1[[#This Row],[Std Adj Read]]&lt;=Table1[[#This Row],[High Tol]],"Pass","Fail"),IF(Table1[[#This Row],[DUT Adj Read]]&lt;=Table1[[#This Row],[High Tol]],"Pass","Fail")))</f>
        <v>Fail</v>
      </c>
      <c r="AH20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2" s="1" t="b">
        <v>0</v>
      </c>
      <c r="AN2012" s="1" t="b">
        <v>0</v>
      </c>
      <c r="AO2012" s="1" t="b">
        <v>0</v>
      </c>
    </row>
    <row r="2013" spans="1:41" x14ac:dyDescent="0.25">
      <c r="A2013" s="10"/>
      <c r="B2013" s="10"/>
      <c r="C2013" s="10"/>
      <c r="D2013" s="10"/>
      <c r="E2013" s="10"/>
      <c r="F2013" s="10"/>
      <c r="G2013" s="10"/>
      <c r="H2013" s="10"/>
      <c r="I2013" s="1" t="str">
        <f t="shared" si="93"/>
        <v/>
      </c>
      <c r="J2013" s="1" t="s">
        <v>35</v>
      </c>
      <c r="K2013" s="1" t="str">
        <f t="shared" si="94"/>
        <v/>
      </c>
      <c r="L2013" s="1" t="str">
        <f t="shared" si="95"/>
        <v/>
      </c>
      <c r="M2013" s="1">
        <f>IF(OR(Table1[[#This Row],[Std Nom]]="",Table1[[#This Row],[Std Read]]=""),0,Table1[[#This Row],[Std Nom]]-Table1[[#This Row],[Std Read]])</f>
        <v>0</v>
      </c>
      <c r="N2013" s="1">
        <f>IF(Calculations!$F$5="ACCREDITED 17025 WITH UNCERTAINTIES",$N$10,0)</f>
        <v>0</v>
      </c>
      <c r="Q2013" s="1">
        <f>Table1[[#This Row],[High Tol]]-Table1[[#This Row],[Low Tol]]</f>
        <v>0</v>
      </c>
      <c r="R2013" s="1">
        <f>2*Table1[[#This Row],[Std Error]]</f>
        <v>0</v>
      </c>
      <c r="S2013" s="1" t="str">
        <f>IF(Table1[[#This Row],[High Tol]]="","N/A",IFERROR(ABS(Table1[[#This Row],[Tol Span]]/Table1[[#This Row],[Error Span]]),"N/A"))</f>
        <v>N/A</v>
      </c>
      <c r="T2013" s="1" t="str">
        <f>IF(OR(Table1[[#This Row],[Low Tol]]="",Table1[[#This Row],[High Tol]]=""),"Needs Analysis",IF(Table1[[#This Row],[Ratio]]&gt;=4,"Not Significant",IF(Table1[[#This Row],[Ratio]]&gt;=2,"Semi-Significant","Significant")))</f>
        <v>Needs Analysis</v>
      </c>
      <c r="W2013" s="1">
        <f>IF(Table1[[#This Row],[Cal Type]]&lt;&gt;"ACCREDITED 17025 WITH UNCERTAINTIES",0,"")</f>
        <v>0</v>
      </c>
      <c r="X2013" s="1" t="str">
        <f>IF(Table1[[#This Row],[DUT Read]]="","N/A",Table1[[#This Row],[Std Error]]+Table1[[#This Row],[DUT Read]]+Table1[[#This Row],[DUT Ucty]])</f>
        <v>N/A</v>
      </c>
      <c r="Y2013" s="1" t="str">
        <f>IF(Table1[[#This Row],[Std Read]]="","N/A",Table1[[#This Row],[Std Read]]+Table1[[#This Row],[Std Ucty]])</f>
        <v>N/A</v>
      </c>
      <c r="Z20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3" s="1" t="str">
        <f>IF(Table1[[#This Row],[Spec Type]]="","N/A",Table1[[#This Row],[Spec Type]])</f>
        <v>±</v>
      </c>
      <c r="AC2013" s="1" t="str">
        <f>IF(Table1[[#This Row],[Spec Type2]]="N/A","N/A",IF(AND(Table1[[#This Row],[DUT Adj Read]]&gt;=Table1[[#This Row],[Low Tol]],Table1[[#This Row],[DUT Adj Read]]&lt;=Table1[[#This Row],[High Tol]]),"Pass","Fail"))</f>
        <v>Fail</v>
      </c>
      <c r="AD2013" s="1" t="str">
        <f>IF(AND(Table1[[#This Row],[Spec Type2]]="N/A",Table1[[#This Row],[DUT Adj Read]]="N/A",Table1[[#This Row],[Std Adj Read]]="N/A"),"N/A",IF(Table1[[#This Row],[DUT Adj Read]]="N/A",IF(Table1[[#This Row],[Std Adj Read]]&gt;Table1[[#This Row],[Low Tol]],"Pass","Fail"),IF(Table1[[#This Row],[DUT Adj Read]]&gt;Table1[[#This Row],[Low Tol]],"Pass","Fail")))</f>
        <v>Pass</v>
      </c>
      <c r="AE2013" s="1" t="str">
        <f>IF(AND(Table1[[#This Row],[Spec Type2]]="N/A",Table1[[#This Row],[DUT Adj Read]]="N/A",Table1[[#This Row],[Std Adj Read]]="N/A"),"N/A",IF(Table1[[#This Row],[DUT Adj Read]]="N/A",IF(Table1[[#This Row],[Std Adj Read]]&lt;Table1[[#This Row],[High Tol]],"Pass","Fail"),IF(Table1[[#This Row],[DUT Adj Read]]&lt;Table1[[#This Row],[High Tol]],"Pass","Fail")))</f>
        <v>Fail</v>
      </c>
      <c r="AF2013" s="1" t="str">
        <f>IF(AND(Table1[[#This Row],[Spec Type2]]="N/A",Table1[[#This Row],[DUT Adj Read]]="N/A",Table1[[#This Row],[Std Adj Read]]="N/A"),"N/A",IF(Table1[[#This Row],[DUT Adj Read]]="N/A",IF(Table1[[#This Row],[Std Adj Read]]&gt;=Table1[[#This Row],[Low Tol]],"Pass","Fail"),IF(Table1[[#This Row],[DUT Adj Read]]&gt;=Table1[[#This Row],[Low Tol]],"Pass","Fail")))</f>
        <v>Pass</v>
      </c>
      <c r="AG2013" s="1" t="str">
        <f>IF(AND(Table1[[#This Row],[Spec Type2]]="N/A",Table1[[#This Row],[DUT Adj Read]]="N/A",Table1[[#This Row],[Std Adj Read]]="N/A"),"N/A",IF(Table1[[#This Row],[DUT Adj Read]]="N/A",IF(Table1[[#This Row],[Std Adj Read]]&lt;=Table1[[#This Row],[High Tol]],"Pass","Fail"),IF(Table1[[#This Row],[DUT Adj Read]]&lt;=Table1[[#This Row],[High Tol]],"Pass","Fail")))</f>
        <v>Fail</v>
      </c>
      <c r="AH20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3" s="1" t="b">
        <v>0</v>
      </c>
      <c r="AN2013" s="1" t="b">
        <v>0</v>
      </c>
      <c r="AO2013" s="1" t="b">
        <v>0</v>
      </c>
    </row>
    <row r="2014" spans="1:41" x14ac:dyDescent="0.25">
      <c r="A2014" s="10"/>
      <c r="B2014" s="10"/>
      <c r="C2014" s="10"/>
      <c r="D2014" s="10"/>
      <c r="E2014" s="10"/>
      <c r="F2014" s="10"/>
      <c r="G2014" s="10"/>
      <c r="H2014" s="10"/>
      <c r="I2014" s="1" t="str">
        <f t="shared" si="93"/>
        <v/>
      </c>
      <c r="J2014" s="1" t="s">
        <v>35</v>
      </c>
      <c r="K2014" s="1" t="str">
        <f t="shared" si="94"/>
        <v/>
      </c>
      <c r="L2014" s="1" t="str">
        <f t="shared" si="95"/>
        <v/>
      </c>
      <c r="M2014" s="1">
        <f>IF(OR(Table1[[#This Row],[Std Nom]]="",Table1[[#This Row],[Std Read]]=""),0,Table1[[#This Row],[Std Nom]]-Table1[[#This Row],[Std Read]])</f>
        <v>0</v>
      </c>
      <c r="N2014" s="1">
        <f>IF(Calculations!$F$5="ACCREDITED 17025 WITH UNCERTAINTIES",$N$10,0)</f>
        <v>0</v>
      </c>
      <c r="Q2014" s="1">
        <f>Table1[[#This Row],[High Tol]]-Table1[[#This Row],[Low Tol]]</f>
        <v>0</v>
      </c>
      <c r="R2014" s="1">
        <f>2*Table1[[#This Row],[Std Error]]</f>
        <v>0</v>
      </c>
      <c r="S2014" s="1" t="str">
        <f>IF(Table1[[#This Row],[High Tol]]="","N/A",IFERROR(ABS(Table1[[#This Row],[Tol Span]]/Table1[[#This Row],[Error Span]]),"N/A"))</f>
        <v>N/A</v>
      </c>
      <c r="T2014" s="1" t="str">
        <f>IF(OR(Table1[[#This Row],[Low Tol]]="",Table1[[#This Row],[High Tol]]=""),"Needs Analysis",IF(Table1[[#This Row],[Ratio]]&gt;=4,"Not Significant",IF(Table1[[#This Row],[Ratio]]&gt;=2,"Semi-Significant","Significant")))</f>
        <v>Needs Analysis</v>
      </c>
      <c r="W2014" s="1">
        <f>IF(Table1[[#This Row],[Cal Type]]&lt;&gt;"ACCREDITED 17025 WITH UNCERTAINTIES",0,"")</f>
        <v>0</v>
      </c>
      <c r="X2014" s="1" t="str">
        <f>IF(Table1[[#This Row],[DUT Read]]="","N/A",Table1[[#This Row],[Std Error]]+Table1[[#This Row],[DUT Read]]+Table1[[#This Row],[DUT Ucty]])</f>
        <v>N/A</v>
      </c>
      <c r="Y2014" s="1" t="str">
        <f>IF(Table1[[#This Row],[Std Read]]="","N/A",Table1[[#This Row],[Std Read]]+Table1[[#This Row],[Std Ucty]])</f>
        <v>N/A</v>
      </c>
      <c r="Z20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4" s="1" t="str">
        <f>IF(Table1[[#This Row],[Spec Type]]="","N/A",Table1[[#This Row],[Spec Type]])</f>
        <v>±</v>
      </c>
      <c r="AC2014" s="1" t="str">
        <f>IF(Table1[[#This Row],[Spec Type2]]="N/A","N/A",IF(AND(Table1[[#This Row],[DUT Adj Read]]&gt;=Table1[[#This Row],[Low Tol]],Table1[[#This Row],[DUT Adj Read]]&lt;=Table1[[#This Row],[High Tol]]),"Pass","Fail"))</f>
        <v>Fail</v>
      </c>
      <c r="AD2014" s="1" t="str">
        <f>IF(AND(Table1[[#This Row],[Spec Type2]]="N/A",Table1[[#This Row],[DUT Adj Read]]="N/A",Table1[[#This Row],[Std Adj Read]]="N/A"),"N/A",IF(Table1[[#This Row],[DUT Adj Read]]="N/A",IF(Table1[[#This Row],[Std Adj Read]]&gt;Table1[[#This Row],[Low Tol]],"Pass","Fail"),IF(Table1[[#This Row],[DUT Adj Read]]&gt;Table1[[#This Row],[Low Tol]],"Pass","Fail")))</f>
        <v>Pass</v>
      </c>
      <c r="AE2014" s="1" t="str">
        <f>IF(AND(Table1[[#This Row],[Spec Type2]]="N/A",Table1[[#This Row],[DUT Adj Read]]="N/A",Table1[[#This Row],[Std Adj Read]]="N/A"),"N/A",IF(Table1[[#This Row],[DUT Adj Read]]="N/A",IF(Table1[[#This Row],[Std Adj Read]]&lt;Table1[[#This Row],[High Tol]],"Pass","Fail"),IF(Table1[[#This Row],[DUT Adj Read]]&lt;Table1[[#This Row],[High Tol]],"Pass","Fail")))</f>
        <v>Fail</v>
      </c>
      <c r="AF2014" s="1" t="str">
        <f>IF(AND(Table1[[#This Row],[Spec Type2]]="N/A",Table1[[#This Row],[DUT Adj Read]]="N/A",Table1[[#This Row],[Std Adj Read]]="N/A"),"N/A",IF(Table1[[#This Row],[DUT Adj Read]]="N/A",IF(Table1[[#This Row],[Std Adj Read]]&gt;=Table1[[#This Row],[Low Tol]],"Pass","Fail"),IF(Table1[[#This Row],[DUT Adj Read]]&gt;=Table1[[#This Row],[Low Tol]],"Pass","Fail")))</f>
        <v>Pass</v>
      </c>
      <c r="AG2014" s="1" t="str">
        <f>IF(AND(Table1[[#This Row],[Spec Type2]]="N/A",Table1[[#This Row],[DUT Adj Read]]="N/A",Table1[[#This Row],[Std Adj Read]]="N/A"),"N/A",IF(Table1[[#This Row],[DUT Adj Read]]="N/A",IF(Table1[[#This Row],[Std Adj Read]]&lt;=Table1[[#This Row],[High Tol]],"Pass","Fail"),IF(Table1[[#This Row],[DUT Adj Read]]&lt;=Table1[[#This Row],[High Tol]],"Pass","Fail")))</f>
        <v>Fail</v>
      </c>
      <c r="AH20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4" s="1" t="b">
        <v>0</v>
      </c>
      <c r="AN2014" s="1" t="b">
        <v>0</v>
      </c>
      <c r="AO2014" s="1" t="b">
        <v>0</v>
      </c>
    </row>
    <row r="2015" spans="1:41" x14ac:dyDescent="0.25">
      <c r="A2015" s="10"/>
      <c r="B2015" s="10"/>
      <c r="C2015" s="10"/>
      <c r="D2015" s="10"/>
      <c r="E2015" s="10"/>
      <c r="F2015" s="10"/>
      <c r="G2015" s="10"/>
      <c r="H2015" s="10"/>
      <c r="I2015" s="1" t="str">
        <f t="shared" si="93"/>
        <v/>
      </c>
      <c r="J2015" s="1" t="s">
        <v>35</v>
      </c>
      <c r="K2015" s="1" t="str">
        <f t="shared" si="94"/>
        <v/>
      </c>
      <c r="L2015" s="1" t="str">
        <f t="shared" si="95"/>
        <v/>
      </c>
      <c r="M2015" s="1">
        <f>IF(OR(Table1[[#This Row],[Std Nom]]="",Table1[[#This Row],[Std Read]]=""),0,Table1[[#This Row],[Std Nom]]-Table1[[#This Row],[Std Read]])</f>
        <v>0</v>
      </c>
      <c r="N2015" s="1">
        <f>IF(Calculations!$F$5="ACCREDITED 17025 WITH UNCERTAINTIES",$N$10,0)</f>
        <v>0</v>
      </c>
      <c r="Q2015" s="1">
        <f>Table1[[#This Row],[High Tol]]-Table1[[#This Row],[Low Tol]]</f>
        <v>0</v>
      </c>
      <c r="R2015" s="1">
        <f>2*Table1[[#This Row],[Std Error]]</f>
        <v>0</v>
      </c>
      <c r="S2015" s="1" t="str">
        <f>IF(Table1[[#This Row],[High Tol]]="","N/A",IFERROR(ABS(Table1[[#This Row],[Tol Span]]/Table1[[#This Row],[Error Span]]),"N/A"))</f>
        <v>N/A</v>
      </c>
      <c r="T2015" s="1" t="str">
        <f>IF(OR(Table1[[#This Row],[Low Tol]]="",Table1[[#This Row],[High Tol]]=""),"Needs Analysis",IF(Table1[[#This Row],[Ratio]]&gt;=4,"Not Significant",IF(Table1[[#This Row],[Ratio]]&gt;=2,"Semi-Significant","Significant")))</f>
        <v>Needs Analysis</v>
      </c>
      <c r="W2015" s="1">
        <f>IF(Table1[[#This Row],[Cal Type]]&lt;&gt;"ACCREDITED 17025 WITH UNCERTAINTIES",0,"")</f>
        <v>0</v>
      </c>
      <c r="X2015" s="1" t="str">
        <f>IF(Table1[[#This Row],[DUT Read]]="","N/A",Table1[[#This Row],[Std Error]]+Table1[[#This Row],[DUT Read]]+Table1[[#This Row],[DUT Ucty]])</f>
        <v>N/A</v>
      </c>
      <c r="Y2015" s="1" t="str">
        <f>IF(Table1[[#This Row],[Std Read]]="","N/A",Table1[[#This Row],[Std Read]]+Table1[[#This Row],[Std Ucty]])</f>
        <v>N/A</v>
      </c>
      <c r="Z20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5" s="1" t="str">
        <f>IF(Table1[[#This Row],[Spec Type]]="","N/A",Table1[[#This Row],[Spec Type]])</f>
        <v>±</v>
      </c>
      <c r="AC2015" s="1" t="str">
        <f>IF(Table1[[#This Row],[Spec Type2]]="N/A","N/A",IF(AND(Table1[[#This Row],[DUT Adj Read]]&gt;=Table1[[#This Row],[Low Tol]],Table1[[#This Row],[DUT Adj Read]]&lt;=Table1[[#This Row],[High Tol]]),"Pass","Fail"))</f>
        <v>Fail</v>
      </c>
      <c r="AD2015" s="1" t="str">
        <f>IF(AND(Table1[[#This Row],[Spec Type2]]="N/A",Table1[[#This Row],[DUT Adj Read]]="N/A",Table1[[#This Row],[Std Adj Read]]="N/A"),"N/A",IF(Table1[[#This Row],[DUT Adj Read]]="N/A",IF(Table1[[#This Row],[Std Adj Read]]&gt;Table1[[#This Row],[Low Tol]],"Pass","Fail"),IF(Table1[[#This Row],[DUT Adj Read]]&gt;Table1[[#This Row],[Low Tol]],"Pass","Fail")))</f>
        <v>Pass</v>
      </c>
      <c r="AE2015" s="1" t="str">
        <f>IF(AND(Table1[[#This Row],[Spec Type2]]="N/A",Table1[[#This Row],[DUT Adj Read]]="N/A",Table1[[#This Row],[Std Adj Read]]="N/A"),"N/A",IF(Table1[[#This Row],[DUT Adj Read]]="N/A",IF(Table1[[#This Row],[Std Adj Read]]&lt;Table1[[#This Row],[High Tol]],"Pass","Fail"),IF(Table1[[#This Row],[DUT Adj Read]]&lt;Table1[[#This Row],[High Tol]],"Pass","Fail")))</f>
        <v>Fail</v>
      </c>
      <c r="AF2015" s="1" t="str">
        <f>IF(AND(Table1[[#This Row],[Spec Type2]]="N/A",Table1[[#This Row],[DUT Adj Read]]="N/A",Table1[[#This Row],[Std Adj Read]]="N/A"),"N/A",IF(Table1[[#This Row],[DUT Adj Read]]="N/A",IF(Table1[[#This Row],[Std Adj Read]]&gt;=Table1[[#This Row],[Low Tol]],"Pass","Fail"),IF(Table1[[#This Row],[DUT Adj Read]]&gt;=Table1[[#This Row],[Low Tol]],"Pass","Fail")))</f>
        <v>Pass</v>
      </c>
      <c r="AG2015" s="1" t="str">
        <f>IF(AND(Table1[[#This Row],[Spec Type2]]="N/A",Table1[[#This Row],[DUT Adj Read]]="N/A",Table1[[#This Row],[Std Adj Read]]="N/A"),"N/A",IF(Table1[[#This Row],[DUT Adj Read]]="N/A",IF(Table1[[#This Row],[Std Adj Read]]&lt;=Table1[[#This Row],[High Tol]],"Pass","Fail"),IF(Table1[[#This Row],[DUT Adj Read]]&lt;=Table1[[#This Row],[High Tol]],"Pass","Fail")))</f>
        <v>Fail</v>
      </c>
      <c r="AH20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5" s="1" t="b">
        <v>0</v>
      </c>
      <c r="AN2015" s="1" t="b">
        <v>0</v>
      </c>
      <c r="AO2015" s="1" t="b">
        <v>0</v>
      </c>
    </row>
    <row r="2016" spans="1:41" x14ac:dyDescent="0.25">
      <c r="A2016" s="10"/>
      <c r="B2016" s="10"/>
      <c r="C2016" s="10"/>
      <c r="D2016" s="10"/>
      <c r="E2016" s="10"/>
      <c r="F2016" s="10"/>
      <c r="G2016" s="10"/>
      <c r="H2016" s="10"/>
      <c r="I2016" s="1" t="str">
        <f t="shared" si="93"/>
        <v/>
      </c>
      <c r="J2016" s="1" t="s">
        <v>35</v>
      </c>
      <c r="K2016" s="1" t="str">
        <f t="shared" si="94"/>
        <v/>
      </c>
      <c r="L2016" s="1" t="str">
        <f t="shared" si="95"/>
        <v/>
      </c>
      <c r="M2016" s="1">
        <f>IF(OR(Table1[[#This Row],[Std Nom]]="",Table1[[#This Row],[Std Read]]=""),0,Table1[[#This Row],[Std Nom]]-Table1[[#This Row],[Std Read]])</f>
        <v>0</v>
      </c>
      <c r="N2016" s="1">
        <f>IF(Calculations!$F$5="ACCREDITED 17025 WITH UNCERTAINTIES",$N$10,0)</f>
        <v>0</v>
      </c>
      <c r="Q2016" s="1">
        <f>Table1[[#This Row],[High Tol]]-Table1[[#This Row],[Low Tol]]</f>
        <v>0</v>
      </c>
      <c r="R2016" s="1">
        <f>2*Table1[[#This Row],[Std Error]]</f>
        <v>0</v>
      </c>
      <c r="S2016" s="1" t="str">
        <f>IF(Table1[[#This Row],[High Tol]]="","N/A",IFERROR(ABS(Table1[[#This Row],[Tol Span]]/Table1[[#This Row],[Error Span]]),"N/A"))</f>
        <v>N/A</v>
      </c>
      <c r="T2016" s="1" t="str">
        <f>IF(OR(Table1[[#This Row],[Low Tol]]="",Table1[[#This Row],[High Tol]]=""),"Needs Analysis",IF(Table1[[#This Row],[Ratio]]&gt;=4,"Not Significant",IF(Table1[[#This Row],[Ratio]]&gt;=2,"Semi-Significant","Significant")))</f>
        <v>Needs Analysis</v>
      </c>
      <c r="W2016" s="1">
        <f>IF(Table1[[#This Row],[Cal Type]]&lt;&gt;"ACCREDITED 17025 WITH UNCERTAINTIES",0,"")</f>
        <v>0</v>
      </c>
      <c r="X2016" s="1" t="str">
        <f>IF(Table1[[#This Row],[DUT Read]]="","N/A",Table1[[#This Row],[Std Error]]+Table1[[#This Row],[DUT Read]]+Table1[[#This Row],[DUT Ucty]])</f>
        <v>N/A</v>
      </c>
      <c r="Y2016" s="1" t="str">
        <f>IF(Table1[[#This Row],[Std Read]]="","N/A",Table1[[#This Row],[Std Read]]+Table1[[#This Row],[Std Ucty]])</f>
        <v>N/A</v>
      </c>
      <c r="Z20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6" s="1" t="str">
        <f>IF(Table1[[#This Row],[Spec Type]]="","N/A",Table1[[#This Row],[Spec Type]])</f>
        <v>±</v>
      </c>
      <c r="AC2016" s="1" t="str">
        <f>IF(Table1[[#This Row],[Spec Type2]]="N/A","N/A",IF(AND(Table1[[#This Row],[DUT Adj Read]]&gt;=Table1[[#This Row],[Low Tol]],Table1[[#This Row],[DUT Adj Read]]&lt;=Table1[[#This Row],[High Tol]]),"Pass","Fail"))</f>
        <v>Fail</v>
      </c>
      <c r="AD2016" s="1" t="str">
        <f>IF(AND(Table1[[#This Row],[Spec Type2]]="N/A",Table1[[#This Row],[DUT Adj Read]]="N/A",Table1[[#This Row],[Std Adj Read]]="N/A"),"N/A",IF(Table1[[#This Row],[DUT Adj Read]]="N/A",IF(Table1[[#This Row],[Std Adj Read]]&gt;Table1[[#This Row],[Low Tol]],"Pass","Fail"),IF(Table1[[#This Row],[DUT Adj Read]]&gt;Table1[[#This Row],[Low Tol]],"Pass","Fail")))</f>
        <v>Pass</v>
      </c>
      <c r="AE2016" s="1" t="str">
        <f>IF(AND(Table1[[#This Row],[Spec Type2]]="N/A",Table1[[#This Row],[DUT Adj Read]]="N/A",Table1[[#This Row],[Std Adj Read]]="N/A"),"N/A",IF(Table1[[#This Row],[DUT Adj Read]]="N/A",IF(Table1[[#This Row],[Std Adj Read]]&lt;Table1[[#This Row],[High Tol]],"Pass","Fail"),IF(Table1[[#This Row],[DUT Adj Read]]&lt;Table1[[#This Row],[High Tol]],"Pass","Fail")))</f>
        <v>Fail</v>
      </c>
      <c r="AF2016" s="1" t="str">
        <f>IF(AND(Table1[[#This Row],[Spec Type2]]="N/A",Table1[[#This Row],[DUT Adj Read]]="N/A",Table1[[#This Row],[Std Adj Read]]="N/A"),"N/A",IF(Table1[[#This Row],[DUT Adj Read]]="N/A",IF(Table1[[#This Row],[Std Adj Read]]&gt;=Table1[[#This Row],[Low Tol]],"Pass","Fail"),IF(Table1[[#This Row],[DUT Adj Read]]&gt;=Table1[[#This Row],[Low Tol]],"Pass","Fail")))</f>
        <v>Pass</v>
      </c>
      <c r="AG2016" s="1" t="str">
        <f>IF(AND(Table1[[#This Row],[Spec Type2]]="N/A",Table1[[#This Row],[DUT Adj Read]]="N/A",Table1[[#This Row],[Std Adj Read]]="N/A"),"N/A",IF(Table1[[#This Row],[DUT Adj Read]]="N/A",IF(Table1[[#This Row],[Std Adj Read]]&lt;=Table1[[#This Row],[High Tol]],"Pass","Fail"),IF(Table1[[#This Row],[DUT Adj Read]]&lt;=Table1[[#This Row],[High Tol]],"Pass","Fail")))</f>
        <v>Fail</v>
      </c>
      <c r="AH20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6" s="1" t="b">
        <v>0</v>
      </c>
      <c r="AN2016" s="1" t="b">
        <v>0</v>
      </c>
      <c r="AO2016" s="1" t="b">
        <v>0</v>
      </c>
    </row>
    <row r="2017" spans="1:41" x14ac:dyDescent="0.25">
      <c r="A2017" s="10"/>
      <c r="B2017" s="10"/>
      <c r="C2017" s="10"/>
      <c r="D2017" s="10"/>
      <c r="E2017" s="10"/>
      <c r="F2017" s="10"/>
      <c r="G2017" s="10"/>
      <c r="H2017" s="10"/>
      <c r="I2017" s="1" t="str">
        <f t="shared" si="93"/>
        <v/>
      </c>
      <c r="J2017" s="1" t="s">
        <v>35</v>
      </c>
      <c r="K2017" s="1" t="str">
        <f t="shared" si="94"/>
        <v/>
      </c>
      <c r="L2017" s="1" t="str">
        <f t="shared" si="95"/>
        <v/>
      </c>
      <c r="M2017" s="1">
        <f>IF(OR(Table1[[#This Row],[Std Nom]]="",Table1[[#This Row],[Std Read]]=""),0,Table1[[#This Row],[Std Nom]]-Table1[[#This Row],[Std Read]])</f>
        <v>0</v>
      </c>
      <c r="N2017" s="1">
        <f>IF(Calculations!$F$5="ACCREDITED 17025 WITH UNCERTAINTIES",$N$10,0)</f>
        <v>0</v>
      </c>
      <c r="Q2017" s="1">
        <f>Table1[[#This Row],[High Tol]]-Table1[[#This Row],[Low Tol]]</f>
        <v>0</v>
      </c>
      <c r="R2017" s="1">
        <f>2*Table1[[#This Row],[Std Error]]</f>
        <v>0</v>
      </c>
      <c r="S2017" s="1" t="str">
        <f>IF(Table1[[#This Row],[High Tol]]="","N/A",IFERROR(ABS(Table1[[#This Row],[Tol Span]]/Table1[[#This Row],[Error Span]]),"N/A"))</f>
        <v>N/A</v>
      </c>
      <c r="T2017" s="1" t="str">
        <f>IF(OR(Table1[[#This Row],[Low Tol]]="",Table1[[#This Row],[High Tol]]=""),"Needs Analysis",IF(Table1[[#This Row],[Ratio]]&gt;=4,"Not Significant",IF(Table1[[#This Row],[Ratio]]&gt;=2,"Semi-Significant","Significant")))</f>
        <v>Needs Analysis</v>
      </c>
      <c r="W2017" s="1">
        <f>IF(Table1[[#This Row],[Cal Type]]&lt;&gt;"ACCREDITED 17025 WITH UNCERTAINTIES",0,"")</f>
        <v>0</v>
      </c>
      <c r="X2017" s="1" t="str">
        <f>IF(Table1[[#This Row],[DUT Read]]="","N/A",Table1[[#This Row],[Std Error]]+Table1[[#This Row],[DUT Read]]+Table1[[#This Row],[DUT Ucty]])</f>
        <v>N/A</v>
      </c>
      <c r="Y2017" s="1" t="str">
        <f>IF(Table1[[#This Row],[Std Read]]="","N/A",Table1[[#This Row],[Std Read]]+Table1[[#This Row],[Std Ucty]])</f>
        <v>N/A</v>
      </c>
      <c r="Z20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7" s="1" t="str">
        <f>IF(Table1[[#This Row],[Spec Type]]="","N/A",Table1[[#This Row],[Spec Type]])</f>
        <v>±</v>
      </c>
      <c r="AC2017" s="1" t="str">
        <f>IF(Table1[[#This Row],[Spec Type2]]="N/A","N/A",IF(AND(Table1[[#This Row],[DUT Adj Read]]&gt;=Table1[[#This Row],[Low Tol]],Table1[[#This Row],[DUT Adj Read]]&lt;=Table1[[#This Row],[High Tol]]),"Pass","Fail"))</f>
        <v>Fail</v>
      </c>
      <c r="AD2017" s="1" t="str">
        <f>IF(AND(Table1[[#This Row],[Spec Type2]]="N/A",Table1[[#This Row],[DUT Adj Read]]="N/A",Table1[[#This Row],[Std Adj Read]]="N/A"),"N/A",IF(Table1[[#This Row],[DUT Adj Read]]="N/A",IF(Table1[[#This Row],[Std Adj Read]]&gt;Table1[[#This Row],[Low Tol]],"Pass","Fail"),IF(Table1[[#This Row],[DUT Adj Read]]&gt;Table1[[#This Row],[Low Tol]],"Pass","Fail")))</f>
        <v>Pass</v>
      </c>
      <c r="AE2017" s="1" t="str">
        <f>IF(AND(Table1[[#This Row],[Spec Type2]]="N/A",Table1[[#This Row],[DUT Adj Read]]="N/A",Table1[[#This Row],[Std Adj Read]]="N/A"),"N/A",IF(Table1[[#This Row],[DUT Adj Read]]="N/A",IF(Table1[[#This Row],[Std Adj Read]]&lt;Table1[[#This Row],[High Tol]],"Pass","Fail"),IF(Table1[[#This Row],[DUT Adj Read]]&lt;Table1[[#This Row],[High Tol]],"Pass","Fail")))</f>
        <v>Fail</v>
      </c>
      <c r="AF2017" s="1" t="str">
        <f>IF(AND(Table1[[#This Row],[Spec Type2]]="N/A",Table1[[#This Row],[DUT Adj Read]]="N/A",Table1[[#This Row],[Std Adj Read]]="N/A"),"N/A",IF(Table1[[#This Row],[DUT Adj Read]]="N/A",IF(Table1[[#This Row],[Std Adj Read]]&gt;=Table1[[#This Row],[Low Tol]],"Pass","Fail"),IF(Table1[[#This Row],[DUT Adj Read]]&gt;=Table1[[#This Row],[Low Tol]],"Pass","Fail")))</f>
        <v>Pass</v>
      </c>
      <c r="AG2017" s="1" t="str">
        <f>IF(AND(Table1[[#This Row],[Spec Type2]]="N/A",Table1[[#This Row],[DUT Adj Read]]="N/A",Table1[[#This Row],[Std Adj Read]]="N/A"),"N/A",IF(Table1[[#This Row],[DUT Adj Read]]="N/A",IF(Table1[[#This Row],[Std Adj Read]]&lt;=Table1[[#This Row],[High Tol]],"Pass","Fail"),IF(Table1[[#This Row],[DUT Adj Read]]&lt;=Table1[[#This Row],[High Tol]],"Pass","Fail")))</f>
        <v>Fail</v>
      </c>
      <c r="AH20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7" s="1" t="b">
        <v>0</v>
      </c>
      <c r="AN2017" s="1" t="b">
        <v>0</v>
      </c>
      <c r="AO2017" s="1" t="b">
        <v>0</v>
      </c>
    </row>
    <row r="2018" spans="1:41" x14ac:dyDescent="0.25">
      <c r="A2018" s="10"/>
      <c r="B2018" s="10"/>
      <c r="C2018" s="10"/>
      <c r="D2018" s="10"/>
      <c r="E2018" s="10"/>
      <c r="F2018" s="10"/>
      <c r="G2018" s="10"/>
      <c r="H2018" s="10"/>
      <c r="I2018" s="1" t="str">
        <f t="shared" si="93"/>
        <v/>
      </c>
      <c r="J2018" s="1" t="s">
        <v>35</v>
      </c>
      <c r="K2018" s="1" t="str">
        <f t="shared" si="94"/>
        <v/>
      </c>
      <c r="L2018" s="1" t="str">
        <f t="shared" si="95"/>
        <v/>
      </c>
      <c r="M2018" s="1">
        <f>IF(OR(Table1[[#This Row],[Std Nom]]="",Table1[[#This Row],[Std Read]]=""),0,Table1[[#This Row],[Std Nom]]-Table1[[#This Row],[Std Read]])</f>
        <v>0</v>
      </c>
      <c r="N2018" s="1">
        <f>IF(Calculations!$F$5="ACCREDITED 17025 WITH UNCERTAINTIES",$N$10,0)</f>
        <v>0</v>
      </c>
      <c r="Q2018" s="1">
        <f>Table1[[#This Row],[High Tol]]-Table1[[#This Row],[Low Tol]]</f>
        <v>0</v>
      </c>
      <c r="R2018" s="1">
        <f>2*Table1[[#This Row],[Std Error]]</f>
        <v>0</v>
      </c>
      <c r="S2018" s="1" t="str">
        <f>IF(Table1[[#This Row],[High Tol]]="","N/A",IFERROR(ABS(Table1[[#This Row],[Tol Span]]/Table1[[#This Row],[Error Span]]),"N/A"))</f>
        <v>N/A</v>
      </c>
      <c r="T2018" s="1" t="str">
        <f>IF(OR(Table1[[#This Row],[Low Tol]]="",Table1[[#This Row],[High Tol]]=""),"Needs Analysis",IF(Table1[[#This Row],[Ratio]]&gt;=4,"Not Significant",IF(Table1[[#This Row],[Ratio]]&gt;=2,"Semi-Significant","Significant")))</f>
        <v>Needs Analysis</v>
      </c>
      <c r="W2018" s="1">
        <f>IF(Table1[[#This Row],[Cal Type]]&lt;&gt;"ACCREDITED 17025 WITH UNCERTAINTIES",0,"")</f>
        <v>0</v>
      </c>
      <c r="X2018" s="1" t="str">
        <f>IF(Table1[[#This Row],[DUT Read]]="","N/A",Table1[[#This Row],[Std Error]]+Table1[[#This Row],[DUT Read]]+Table1[[#This Row],[DUT Ucty]])</f>
        <v>N/A</v>
      </c>
      <c r="Y2018" s="1" t="str">
        <f>IF(Table1[[#This Row],[Std Read]]="","N/A",Table1[[#This Row],[Std Read]]+Table1[[#This Row],[Std Ucty]])</f>
        <v>N/A</v>
      </c>
      <c r="Z20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8" s="1" t="str">
        <f>IF(Table1[[#This Row],[Spec Type]]="","N/A",Table1[[#This Row],[Spec Type]])</f>
        <v>±</v>
      </c>
      <c r="AC2018" s="1" t="str">
        <f>IF(Table1[[#This Row],[Spec Type2]]="N/A","N/A",IF(AND(Table1[[#This Row],[DUT Adj Read]]&gt;=Table1[[#This Row],[Low Tol]],Table1[[#This Row],[DUT Adj Read]]&lt;=Table1[[#This Row],[High Tol]]),"Pass","Fail"))</f>
        <v>Fail</v>
      </c>
      <c r="AD2018" s="1" t="str">
        <f>IF(AND(Table1[[#This Row],[Spec Type2]]="N/A",Table1[[#This Row],[DUT Adj Read]]="N/A",Table1[[#This Row],[Std Adj Read]]="N/A"),"N/A",IF(Table1[[#This Row],[DUT Adj Read]]="N/A",IF(Table1[[#This Row],[Std Adj Read]]&gt;Table1[[#This Row],[Low Tol]],"Pass","Fail"),IF(Table1[[#This Row],[DUT Adj Read]]&gt;Table1[[#This Row],[Low Tol]],"Pass","Fail")))</f>
        <v>Pass</v>
      </c>
      <c r="AE2018" s="1" t="str">
        <f>IF(AND(Table1[[#This Row],[Spec Type2]]="N/A",Table1[[#This Row],[DUT Adj Read]]="N/A",Table1[[#This Row],[Std Adj Read]]="N/A"),"N/A",IF(Table1[[#This Row],[DUT Adj Read]]="N/A",IF(Table1[[#This Row],[Std Adj Read]]&lt;Table1[[#This Row],[High Tol]],"Pass","Fail"),IF(Table1[[#This Row],[DUT Adj Read]]&lt;Table1[[#This Row],[High Tol]],"Pass","Fail")))</f>
        <v>Fail</v>
      </c>
      <c r="AF2018" s="1" t="str">
        <f>IF(AND(Table1[[#This Row],[Spec Type2]]="N/A",Table1[[#This Row],[DUT Adj Read]]="N/A",Table1[[#This Row],[Std Adj Read]]="N/A"),"N/A",IF(Table1[[#This Row],[DUT Adj Read]]="N/A",IF(Table1[[#This Row],[Std Adj Read]]&gt;=Table1[[#This Row],[Low Tol]],"Pass","Fail"),IF(Table1[[#This Row],[DUT Adj Read]]&gt;=Table1[[#This Row],[Low Tol]],"Pass","Fail")))</f>
        <v>Pass</v>
      </c>
      <c r="AG2018" s="1" t="str">
        <f>IF(AND(Table1[[#This Row],[Spec Type2]]="N/A",Table1[[#This Row],[DUT Adj Read]]="N/A",Table1[[#This Row],[Std Adj Read]]="N/A"),"N/A",IF(Table1[[#This Row],[DUT Adj Read]]="N/A",IF(Table1[[#This Row],[Std Adj Read]]&lt;=Table1[[#This Row],[High Tol]],"Pass","Fail"),IF(Table1[[#This Row],[DUT Adj Read]]&lt;=Table1[[#This Row],[High Tol]],"Pass","Fail")))</f>
        <v>Fail</v>
      </c>
      <c r="AH20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8" s="1" t="b">
        <v>0</v>
      </c>
      <c r="AN2018" s="1" t="b">
        <v>0</v>
      </c>
      <c r="AO2018" s="1" t="b">
        <v>0</v>
      </c>
    </row>
    <row r="2019" spans="1:41" x14ac:dyDescent="0.25">
      <c r="A2019" s="10"/>
      <c r="B2019" s="10"/>
      <c r="C2019" s="10"/>
      <c r="D2019" s="10"/>
      <c r="E2019" s="10"/>
      <c r="F2019" s="10"/>
      <c r="G2019" s="10"/>
      <c r="H2019" s="10"/>
      <c r="I2019" s="1" t="str">
        <f t="shared" si="93"/>
        <v/>
      </c>
      <c r="J2019" s="1" t="s">
        <v>35</v>
      </c>
      <c r="K2019" s="1" t="str">
        <f t="shared" si="94"/>
        <v/>
      </c>
      <c r="L2019" s="1" t="str">
        <f t="shared" si="95"/>
        <v/>
      </c>
      <c r="M2019" s="1">
        <f>IF(OR(Table1[[#This Row],[Std Nom]]="",Table1[[#This Row],[Std Read]]=""),0,Table1[[#This Row],[Std Nom]]-Table1[[#This Row],[Std Read]])</f>
        <v>0</v>
      </c>
      <c r="N2019" s="1">
        <f>IF(Calculations!$F$5="ACCREDITED 17025 WITH UNCERTAINTIES",$N$10,0)</f>
        <v>0</v>
      </c>
      <c r="Q2019" s="1">
        <f>Table1[[#This Row],[High Tol]]-Table1[[#This Row],[Low Tol]]</f>
        <v>0</v>
      </c>
      <c r="R2019" s="1">
        <f>2*Table1[[#This Row],[Std Error]]</f>
        <v>0</v>
      </c>
      <c r="S2019" s="1" t="str">
        <f>IF(Table1[[#This Row],[High Tol]]="","N/A",IFERROR(ABS(Table1[[#This Row],[Tol Span]]/Table1[[#This Row],[Error Span]]),"N/A"))</f>
        <v>N/A</v>
      </c>
      <c r="T2019" s="1" t="str">
        <f>IF(OR(Table1[[#This Row],[Low Tol]]="",Table1[[#This Row],[High Tol]]=""),"Needs Analysis",IF(Table1[[#This Row],[Ratio]]&gt;=4,"Not Significant",IF(Table1[[#This Row],[Ratio]]&gt;=2,"Semi-Significant","Significant")))</f>
        <v>Needs Analysis</v>
      </c>
      <c r="W2019" s="1">
        <f>IF(Table1[[#This Row],[Cal Type]]&lt;&gt;"ACCREDITED 17025 WITH UNCERTAINTIES",0,"")</f>
        <v>0</v>
      </c>
      <c r="X2019" s="1" t="str">
        <f>IF(Table1[[#This Row],[DUT Read]]="","N/A",Table1[[#This Row],[Std Error]]+Table1[[#This Row],[DUT Read]]+Table1[[#This Row],[DUT Ucty]])</f>
        <v>N/A</v>
      </c>
      <c r="Y2019" s="1" t="str">
        <f>IF(Table1[[#This Row],[Std Read]]="","N/A",Table1[[#This Row],[Std Read]]+Table1[[#This Row],[Std Ucty]])</f>
        <v>N/A</v>
      </c>
      <c r="Z20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19" s="1" t="str">
        <f>IF(Table1[[#This Row],[Spec Type]]="","N/A",Table1[[#This Row],[Spec Type]])</f>
        <v>±</v>
      </c>
      <c r="AC2019" s="1" t="str">
        <f>IF(Table1[[#This Row],[Spec Type2]]="N/A","N/A",IF(AND(Table1[[#This Row],[DUT Adj Read]]&gt;=Table1[[#This Row],[Low Tol]],Table1[[#This Row],[DUT Adj Read]]&lt;=Table1[[#This Row],[High Tol]]),"Pass","Fail"))</f>
        <v>Fail</v>
      </c>
      <c r="AD2019" s="1" t="str">
        <f>IF(AND(Table1[[#This Row],[Spec Type2]]="N/A",Table1[[#This Row],[DUT Adj Read]]="N/A",Table1[[#This Row],[Std Adj Read]]="N/A"),"N/A",IF(Table1[[#This Row],[DUT Adj Read]]="N/A",IF(Table1[[#This Row],[Std Adj Read]]&gt;Table1[[#This Row],[Low Tol]],"Pass","Fail"),IF(Table1[[#This Row],[DUT Adj Read]]&gt;Table1[[#This Row],[Low Tol]],"Pass","Fail")))</f>
        <v>Pass</v>
      </c>
      <c r="AE2019" s="1" t="str">
        <f>IF(AND(Table1[[#This Row],[Spec Type2]]="N/A",Table1[[#This Row],[DUT Adj Read]]="N/A",Table1[[#This Row],[Std Adj Read]]="N/A"),"N/A",IF(Table1[[#This Row],[DUT Adj Read]]="N/A",IF(Table1[[#This Row],[Std Adj Read]]&lt;Table1[[#This Row],[High Tol]],"Pass","Fail"),IF(Table1[[#This Row],[DUT Adj Read]]&lt;Table1[[#This Row],[High Tol]],"Pass","Fail")))</f>
        <v>Fail</v>
      </c>
      <c r="AF2019" s="1" t="str">
        <f>IF(AND(Table1[[#This Row],[Spec Type2]]="N/A",Table1[[#This Row],[DUT Adj Read]]="N/A",Table1[[#This Row],[Std Adj Read]]="N/A"),"N/A",IF(Table1[[#This Row],[DUT Adj Read]]="N/A",IF(Table1[[#This Row],[Std Adj Read]]&gt;=Table1[[#This Row],[Low Tol]],"Pass","Fail"),IF(Table1[[#This Row],[DUT Adj Read]]&gt;=Table1[[#This Row],[Low Tol]],"Pass","Fail")))</f>
        <v>Pass</v>
      </c>
      <c r="AG2019" s="1" t="str">
        <f>IF(AND(Table1[[#This Row],[Spec Type2]]="N/A",Table1[[#This Row],[DUT Adj Read]]="N/A",Table1[[#This Row],[Std Adj Read]]="N/A"),"N/A",IF(Table1[[#This Row],[DUT Adj Read]]="N/A",IF(Table1[[#This Row],[Std Adj Read]]&lt;=Table1[[#This Row],[High Tol]],"Pass","Fail"),IF(Table1[[#This Row],[DUT Adj Read]]&lt;=Table1[[#This Row],[High Tol]],"Pass","Fail")))</f>
        <v>Fail</v>
      </c>
      <c r="AH20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19" s="1" t="b">
        <v>0</v>
      </c>
      <c r="AN2019" s="1" t="b">
        <v>0</v>
      </c>
      <c r="AO2019" s="1" t="b">
        <v>0</v>
      </c>
    </row>
    <row r="2020" spans="1:41" x14ac:dyDescent="0.25">
      <c r="A2020" s="10"/>
      <c r="B2020" s="10"/>
      <c r="C2020" s="10"/>
      <c r="D2020" s="10"/>
      <c r="E2020" s="10"/>
      <c r="F2020" s="10"/>
      <c r="G2020" s="10"/>
      <c r="H2020" s="10"/>
      <c r="I2020" s="1" t="str">
        <f t="shared" si="93"/>
        <v/>
      </c>
      <c r="J2020" s="1" t="s">
        <v>35</v>
      </c>
      <c r="K2020" s="1" t="str">
        <f t="shared" si="94"/>
        <v/>
      </c>
      <c r="L2020" s="1" t="str">
        <f t="shared" si="95"/>
        <v/>
      </c>
      <c r="M2020" s="1">
        <f>IF(OR(Table1[[#This Row],[Std Nom]]="",Table1[[#This Row],[Std Read]]=""),0,Table1[[#This Row],[Std Nom]]-Table1[[#This Row],[Std Read]])</f>
        <v>0</v>
      </c>
      <c r="N2020" s="1">
        <f>IF(Calculations!$F$5="ACCREDITED 17025 WITH UNCERTAINTIES",$N$10,0)</f>
        <v>0</v>
      </c>
      <c r="Q2020" s="1">
        <f>Table1[[#This Row],[High Tol]]-Table1[[#This Row],[Low Tol]]</f>
        <v>0</v>
      </c>
      <c r="R2020" s="1">
        <f>2*Table1[[#This Row],[Std Error]]</f>
        <v>0</v>
      </c>
      <c r="S2020" s="1" t="str">
        <f>IF(Table1[[#This Row],[High Tol]]="","N/A",IFERROR(ABS(Table1[[#This Row],[Tol Span]]/Table1[[#This Row],[Error Span]]),"N/A"))</f>
        <v>N/A</v>
      </c>
      <c r="T2020" s="1" t="str">
        <f>IF(OR(Table1[[#This Row],[Low Tol]]="",Table1[[#This Row],[High Tol]]=""),"Needs Analysis",IF(Table1[[#This Row],[Ratio]]&gt;=4,"Not Significant",IF(Table1[[#This Row],[Ratio]]&gt;=2,"Semi-Significant","Significant")))</f>
        <v>Needs Analysis</v>
      </c>
      <c r="W2020" s="1">
        <f>IF(Table1[[#This Row],[Cal Type]]&lt;&gt;"ACCREDITED 17025 WITH UNCERTAINTIES",0,"")</f>
        <v>0</v>
      </c>
      <c r="X2020" s="1" t="str">
        <f>IF(Table1[[#This Row],[DUT Read]]="","N/A",Table1[[#This Row],[Std Error]]+Table1[[#This Row],[DUT Read]]+Table1[[#This Row],[DUT Ucty]])</f>
        <v>N/A</v>
      </c>
      <c r="Y2020" s="1" t="str">
        <f>IF(Table1[[#This Row],[Std Read]]="","N/A",Table1[[#This Row],[Std Read]]+Table1[[#This Row],[Std Ucty]])</f>
        <v>N/A</v>
      </c>
      <c r="Z20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0" s="1" t="str">
        <f>IF(Table1[[#This Row],[Spec Type]]="","N/A",Table1[[#This Row],[Spec Type]])</f>
        <v>±</v>
      </c>
      <c r="AC2020" s="1" t="str">
        <f>IF(Table1[[#This Row],[Spec Type2]]="N/A","N/A",IF(AND(Table1[[#This Row],[DUT Adj Read]]&gt;=Table1[[#This Row],[Low Tol]],Table1[[#This Row],[DUT Adj Read]]&lt;=Table1[[#This Row],[High Tol]]),"Pass","Fail"))</f>
        <v>Fail</v>
      </c>
      <c r="AD2020" s="1" t="str">
        <f>IF(AND(Table1[[#This Row],[Spec Type2]]="N/A",Table1[[#This Row],[DUT Adj Read]]="N/A",Table1[[#This Row],[Std Adj Read]]="N/A"),"N/A",IF(Table1[[#This Row],[DUT Adj Read]]="N/A",IF(Table1[[#This Row],[Std Adj Read]]&gt;Table1[[#This Row],[Low Tol]],"Pass","Fail"),IF(Table1[[#This Row],[DUT Adj Read]]&gt;Table1[[#This Row],[Low Tol]],"Pass","Fail")))</f>
        <v>Pass</v>
      </c>
      <c r="AE2020" s="1" t="str">
        <f>IF(AND(Table1[[#This Row],[Spec Type2]]="N/A",Table1[[#This Row],[DUT Adj Read]]="N/A",Table1[[#This Row],[Std Adj Read]]="N/A"),"N/A",IF(Table1[[#This Row],[DUT Adj Read]]="N/A",IF(Table1[[#This Row],[Std Adj Read]]&lt;Table1[[#This Row],[High Tol]],"Pass","Fail"),IF(Table1[[#This Row],[DUT Adj Read]]&lt;Table1[[#This Row],[High Tol]],"Pass","Fail")))</f>
        <v>Fail</v>
      </c>
      <c r="AF2020" s="1" t="str">
        <f>IF(AND(Table1[[#This Row],[Spec Type2]]="N/A",Table1[[#This Row],[DUT Adj Read]]="N/A",Table1[[#This Row],[Std Adj Read]]="N/A"),"N/A",IF(Table1[[#This Row],[DUT Adj Read]]="N/A",IF(Table1[[#This Row],[Std Adj Read]]&gt;=Table1[[#This Row],[Low Tol]],"Pass","Fail"),IF(Table1[[#This Row],[DUT Adj Read]]&gt;=Table1[[#This Row],[Low Tol]],"Pass","Fail")))</f>
        <v>Pass</v>
      </c>
      <c r="AG2020" s="1" t="str">
        <f>IF(AND(Table1[[#This Row],[Spec Type2]]="N/A",Table1[[#This Row],[DUT Adj Read]]="N/A",Table1[[#This Row],[Std Adj Read]]="N/A"),"N/A",IF(Table1[[#This Row],[DUT Adj Read]]="N/A",IF(Table1[[#This Row],[Std Adj Read]]&lt;=Table1[[#This Row],[High Tol]],"Pass","Fail"),IF(Table1[[#This Row],[DUT Adj Read]]&lt;=Table1[[#This Row],[High Tol]],"Pass","Fail")))</f>
        <v>Fail</v>
      </c>
      <c r="AH20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0" s="1" t="b">
        <v>0</v>
      </c>
      <c r="AN2020" s="1" t="b">
        <v>0</v>
      </c>
      <c r="AO2020" s="1" t="b">
        <v>0</v>
      </c>
    </row>
    <row r="2021" spans="1:41" x14ac:dyDescent="0.25">
      <c r="A2021" s="10"/>
      <c r="B2021" s="10"/>
      <c r="C2021" s="10"/>
      <c r="D2021" s="10"/>
      <c r="E2021" s="10"/>
      <c r="F2021" s="10"/>
      <c r="G2021" s="10"/>
      <c r="H2021" s="10"/>
      <c r="I2021" s="1" t="str">
        <f t="shared" si="93"/>
        <v/>
      </c>
      <c r="J2021" s="1" t="s">
        <v>35</v>
      </c>
      <c r="K2021" s="1" t="str">
        <f t="shared" si="94"/>
        <v/>
      </c>
      <c r="L2021" s="1" t="str">
        <f t="shared" si="95"/>
        <v/>
      </c>
      <c r="M2021" s="1">
        <f>IF(OR(Table1[[#This Row],[Std Nom]]="",Table1[[#This Row],[Std Read]]=""),0,Table1[[#This Row],[Std Nom]]-Table1[[#This Row],[Std Read]])</f>
        <v>0</v>
      </c>
      <c r="N2021" s="1">
        <f>IF(Calculations!$F$5="ACCREDITED 17025 WITH UNCERTAINTIES",$N$10,0)</f>
        <v>0</v>
      </c>
      <c r="Q2021" s="1">
        <f>Table1[[#This Row],[High Tol]]-Table1[[#This Row],[Low Tol]]</f>
        <v>0</v>
      </c>
      <c r="R2021" s="1">
        <f>2*Table1[[#This Row],[Std Error]]</f>
        <v>0</v>
      </c>
      <c r="S2021" s="1" t="str">
        <f>IF(Table1[[#This Row],[High Tol]]="","N/A",IFERROR(ABS(Table1[[#This Row],[Tol Span]]/Table1[[#This Row],[Error Span]]),"N/A"))</f>
        <v>N/A</v>
      </c>
      <c r="T2021" s="1" t="str">
        <f>IF(OR(Table1[[#This Row],[Low Tol]]="",Table1[[#This Row],[High Tol]]=""),"Needs Analysis",IF(Table1[[#This Row],[Ratio]]&gt;=4,"Not Significant",IF(Table1[[#This Row],[Ratio]]&gt;=2,"Semi-Significant","Significant")))</f>
        <v>Needs Analysis</v>
      </c>
      <c r="W2021" s="1">
        <f>IF(Table1[[#This Row],[Cal Type]]&lt;&gt;"ACCREDITED 17025 WITH UNCERTAINTIES",0,"")</f>
        <v>0</v>
      </c>
      <c r="X2021" s="1" t="str">
        <f>IF(Table1[[#This Row],[DUT Read]]="","N/A",Table1[[#This Row],[Std Error]]+Table1[[#This Row],[DUT Read]]+Table1[[#This Row],[DUT Ucty]])</f>
        <v>N/A</v>
      </c>
      <c r="Y2021" s="1" t="str">
        <f>IF(Table1[[#This Row],[Std Read]]="","N/A",Table1[[#This Row],[Std Read]]+Table1[[#This Row],[Std Ucty]])</f>
        <v>N/A</v>
      </c>
      <c r="Z20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1" s="1" t="str">
        <f>IF(Table1[[#This Row],[Spec Type]]="","N/A",Table1[[#This Row],[Spec Type]])</f>
        <v>±</v>
      </c>
      <c r="AC2021" s="1" t="str">
        <f>IF(Table1[[#This Row],[Spec Type2]]="N/A","N/A",IF(AND(Table1[[#This Row],[DUT Adj Read]]&gt;=Table1[[#This Row],[Low Tol]],Table1[[#This Row],[DUT Adj Read]]&lt;=Table1[[#This Row],[High Tol]]),"Pass","Fail"))</f>
        <v>Fail</v>
      </c>
      <c r="AD2021" s="1" t="str">
        <f>IF(AND(Table1[[#This Row],[Spec Type2]]="N/A",Table1[[#This Row],[DUT Adj Read]]="N/A",Table1[[#This Row],[Std Adj Read]]="N/A"),"N/A",IF(Table1[[#This Row],[DUT Adj Read]]="N/A",IF(Table1[[#This Row],[Std Adj Read]]&gt;Table1[[#This Row],[Low Tol]],"Pass","Fail"),IF(Table1[[#This Row],[DUT Adj Read]]&gt;Table1[[#This Row],[Low Tol]],"Pass","Fail")))</f>
        <v>Pass</v>
      </c>
      <c r="AE2021" s="1" t="str">
        <f>IF(AND(Table1[[#This Row],[Spec Type2]]="N/A",Table1[[#This Row],[DUT Adj Read]]="N/A",Table1[[#This Row],[Std Adj Read]]="N/A"),"N/A",IF(Table1[[#This Row],[DUT Adj Read]]="N/A",IF(Table1[[#This Row],[Std Adj Read]]&lt;Table1[[#This Row],[High Tol]],"Pass","Fail"),IF(Table1[[#This Row],[DUT Adj Read]]&lt;Table1[[#This Row],[High Tol]],"Pass","Fail")))</f>
        <v>Fail</v>
      </c>
      <c r="AF2021" s="1" t="str">
        <f>IF(AND(Table1[[#This Row],[Spec Type2]]="N/A",Table1[[#This Row],[DUT Adj Read]]="N/A",Table1[[#This Row],[Std Adj Read]]="N/A"),"N/A",IF(Table1[[#This Row],[DUT Adj Read]]="N/A",IF(Table1[[#This Row],[Std Adj Read]]&gt;=Table1[[#This Row],[Low Tol]],"Pass","Fail"),IF(Table1[[#This Row],[DUT Adj Read]]&gt;=Table1[[#This Row],[Low Tol]],"Pass","Fail")))</f>
        <v>Pass</v>
      </c>
      <c r="AG2021" s="1" t="str">
        <f>IF(AND(Table1[[#This Row],[Spec Type2]]="N/A",Table1[[#This Row],[DUT Adj Read]]="N/A",Table1[[#This Row],[Std Adj Read]]="N/A"),"N/A",IF(Table1[[#This Row],[DUT Adj Read]]="N/A",IF(Table1[[#This Row],[Std Adj Read]]&lt;=Table1[[#This Row],[High Tol]],"Pass","Fail"),IF(Table1[[#This Row],[DUT Adj Read]]&lt;=Table1[[#This Row],[High Tol]],"Pass","Fail")))</f>
        <v>Fail</v>
      </c>
      <c r="AH20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1" s="1" t="b">
        <v>0</v>
      </c>
      <c r="AN2021" s="1" t="b">
        <v>0</v>
      </c>
      <c r="AO2021" s="1" t="b">
        <v>0</v>
      </c>
    </row>
    <row r="2022" spans="1:41" x14ac:dyDescent="0.25">
      <c r="A2022" s="10"/>
      <c r="B2022" s="10"/>
      <c r="C2022" s="10"/>
      <c r="D2022" s="10"/>
      <c r="E2022" s="10"/>
      <c r="F2022" s="10"/>
      <c r="G2022" s="10"/>
      <c r="H2022" s="10"/>
      <c r="I2022" s="1" t="str">
        <f t="shared" si="93"/>
        <v/>
      </c>
      <c r="J2022" s="1" t="s">
        <v>35</v>
      </c>
      <c r="K2022" s="1" t="str">
        <f t="shared" si="94"/>
        <v/>
      </c>
      <c r="L2022" s="1" t="str">
        <f t="shared" si="95"/>
        <v/>
      </c>
      <c r="M2022" s="1">
        <f>IF(OR(Table1[[#This Row],[Std Nom]]="",Table1[[#This Row],[Std Read]]=""),0,Table1[[#This Row],[Std Nom]]-Table1[[#This Row],[Std Read]])</f>
        <v>0</v>
      </c>
      <c r="N2022" s="1">
        <f>IF(Calculations!$F$5="ACCREDITED 17025 WITH UNCERTAINTIES",$N$10,0)</f>
        <v>0</v>
      </c>
      <c r="Q2022" s="1">
        <f>Table1[[#This Row],[High Tol]]-Table1[[#This Row],[Low Tol]]</f>
        <v>0</v>
      </c>
      <c r="R2022" s="1">
        <f>2*Table1[[#This Row],[Std Error]]</f>
        <v>0</v>
      </c>
      <c r="S2022" s="1" t="str">
        <f>IF(Table1[[#This Row],[High Tol]]="","N/A",IFERROR(ABS(Table1[[#This Row],[Tol Span]]/Table1[[#This Row],[Error Span]]),"N/A"))</f>
        <v>N/A</v>
      </c>
      <c r="T2022" s="1" t="str">
        <f>IF(OR(Table1[[#This Row],[Low Tol]]="",Table1[[#This Row],[High Tol]]=""),"Needs Analysis",IF(Table1[[#This Row],[Ratio]]&gt;=4,"Not Significant",IF(Table1[[#This Row],[Ratio]]&gt;=2,"Semi-Significant","Significant")))</f>
        <v>Needs Analysis</v>
      </c>
      <c r="W2022" s="1">
        <f>IF(Table1[[#This Row],[Cal Type]]&lt;&gt;"ACCREDITED 17025 WITH UNCERTAINTIES",0,"")</f>
        <v>0</v>
      </c>
      <c r="X2022" s="1" t="str">
        <f>IF(Table1[[#This Row],[DUT Read]]="","N/A",Table1[[#This Row],[Std Error]]+Table1[[#This Row],[DUT Read]]+Table1[[#This Row],[DUT Ucty]])</f>
        <v>N/A</v>
      </c>
      <c r="Y2022" s="1" t="str">
        <f>IF(Table1[[#This Row],[Std Read]]="","N/A",Table1[[#This Row],[Std Read]]+Table1[[#This Row],[Std Ucty]])</f>
        <v>N/A</v>
      </c>
      <c r="Z20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2" s="1" t="str">
        <f>IF(Table1[[#This Row],[Spec Type]]="","N/A",Table1[[#This Row],[Spec Type]])</f>
        <v>±</v>
      </c>
      <c r="AC2022" s="1" t="str">
        <f>IF(Table1[[#This Row],[Spec Type2]]="N/A","N/A",IF(AND(Table1[[#This Row],[DUT Adj Read]]&gt;=Table1[[#This Row],[Low Tol]],Table1[[#This Row],[DUT Adj Read]]&lt;=Table1[[#This Row],[High Tol]]),"Pass","Fail"))</f>
        <v>Fail</v>
      </c>
      <c r="AD2022" s="1" t="str">
        <f>IF(AND(Table1[[#This Row],[Spec Type2]]="N/A",Table1[[#This Row],[DUT Adj Read]]="N/A",Table1[[#This Row],[Std Adj Read]]="N/A"),"N/A",IF(Table1[[#This Row],[DUT Adj Read]]="N/A",IF(Table1[[#This Row],[Std Adj Read]]&gt;Table1[[#This Row],[Low Tol]],"Pass","Fail"),IF(Table1[[#This Row],[DUT Adj Read]]&gt;Table1[[#This Row],[Low Tol]],"Pass","Fail")))</f>
        <v>Pass</v>
      </c>
      <c r="AE2022" s="1" t="str">
        <f>IF(AND(Table1[[#This Row],[Spec Type2]]="N/A",Table1[[#This Row],[DUT Adj Read]]="N/A",Table1[[#This Row],[Std Adj Read]]="N/A"),"N/A",IF(Table1[[#This Row],[DUT Adj Read]]="N/A",IF(Table1[[#This Row],[Std Adj Read]]&lt;Table1[[#This Row],[High Tol]],"Pass","Fail"),IF(Table1[[#This Row],[DUT Adj Read]]&lt;Table1[[#This Row],[High Tol]],"Pass","Fail")))</f>
        <v>Fail</v>
      </c>
      <c r="AF2022" s="1" t="str">
        <f>IF(AND(Table1[[#This Row],[Spec Type2]]="N/A",Table1[[#This Row],[DUT Adj Read]]="N/A",Table1[[#This Row],[Std Adj Read]]="N/A"),"N/A",IF(Table1[[#This Row],[DUT Adj Read]]="N/A",IF(Table1[[#This Row],[Std Adj Read]]&gt;=Table1[[#This Row],[Low Tol]],"Pass","Fail"),IF(Table1[[#This Row],[DUT Adj Read]]&gt;=Table1[[#This Row],[Low Tol]],"Pass","Fail")))</f>
        <v>Pass</v>
      </c>
      <c r="AG2022" s="1" t="str">
        <f>IF(AND(Table1[[#This Row],[Spec Type2]]="N/A",Table1[[#This Row],[DUT Adj Read]]="N/A",Table1[[#This Row],[Std Adj Read]]="N/A"),"N/A",IF(Table1[[#This Row],[DUT Adj Read]]="N/A",IF(Table1[[#This Row],[Std Adj Read]]&lt;=Table1[[#This Row],[High Tol]],"Pass","Fail"),IF(Table1[[#This Row],[DUT Adj Read]]&lt;=Table1[[#This Row],[High Tol]],"Pass","Fail")))</f>
        <v>Fail</v>
      </c>
      <c r="AH20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2" s="1" t="b">
        <v>0</v>
      </c>
      <c r="AN2022" s="1" t="b">
        <v>0</v>
      </c>
      <c r="AO2022" s="1" t="b">
        <v>0</v>
      </c>
    </row>
    <row r="2023" spans="1:41" x14ac:dyDescent="0.25">
      <c r="A2023" s="10"/>
      <c r="B2023" s="10"/>
      <c r="C2023" s="10"/>
      <c r="D2023" s="10"/>
      <c r="E2023" s="10"/>
      <c r="F2023" s="10"/>
      <c r="G2023" s="10"/>
      <c r="H2023" s="10"/>
      <c r="I2023" s="1" t="str">
        <f t="shared" si="93"/>
        <v/>
      </c>
      <c r="J2023" s="1" t="s">
        <v>35</v>
      </c>
      <c r="K2023" s="1" t="str">
        <f t="shared" si="94"/>
        <v/>
      </c>
      <c r="L2023" s="1" t="str">
        <f t="shared" si="95"/>
        <v/>
      </c>
      <c r="M2023" s="1">
        <f>IF(OR(Table1[[#This Row],[Std Nom]]="",Table1[[#This Row],[Std Read]]=""),0,Table1[[#This Row],[Std Nom]]-Table1[[#This Row],[Std Read]])</f>
        <v>0</v>
      </c>
      <c r="N2023" s="1">
        <f>IF(Calculations!$F$5="ACCREDITED 17025 WITH UNCERTAINTIES",$N$10,0)</f>
        <v>0</v>
      </c>
      <c r="Q2023" s="1">
        <f>Table1[[#This Row],[High Tol]]-Table1[[#This Row],[Low Tol]]</f>
        <v>0</v>
      </c>
      <c r="R2023" s="1">
        <f>2*Table1[[#This Row],[Std Error]]</f>
        <v>0</v>
      </c>
      <c r="S2023" s="1" t="str">
        <f>IF(Table1[[#This Row],[High Tol]]="","N/A",IFERROR(ABS(Table1[[#This Row],[Tol Span]]/Table1[[#This Row],[Error Span]]),"N/A"))</f>
        <v>N/A</v>
      </c>
      <c r="T2023" s="1" t="str">
        <f>IF(OR(Table1[[#This Row],[Low Tol]]="",Table1[[#This Row],[High Tol]]=""),"Needs Analysis",IF(Table1[[#This Row],[Ratio]]&gt;=4,"Not Significant",IF(Table1[[#This Row],[Ratio]]&gt;=2,"Semi-Significant","Significant")))</f>
        <v>Needs Analysis</v>
      </c>
      <c r="W2023" s="1">
        <f>IF(Table1[[#This Row],[Cal Type]]&lt;&gt;"ACCREDITED 17025 WITH UNCERTAINTIES",0,"")</f>
        <v>0</v>
      </c>
      <c r="X2023" s="1" t="str">
        <f>IF(Table1[[#This Row],[DUT Read]]="","N/A",Table1[[#This Row],[Std Error]]+Table1[[#This Row],[DUT Read]]+Table1[[#This Row],[DUT Ucty]])</f>
        <v>N/A</v>
      </c>
      <c r="Y2023" s="1" t="str">
        <f>IF(Table1[[#This Row],[Std Read]]="","N/A",Table1[[#This Row],[Std Read]]+Table1[[#This Row],[Std Ucty]])</f>
        <v>N/A</v>
      </c>
      <c r="Z20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3" s="1" t="str">
        <f>IF(Table1[[#This Row],[Spec Type]]="","N/A",Table1[[#This Row],[Spec Type]])</f>
        <v>±</v>
      </c>
      <c r="AC2023" s="1" t="str">
        <f>IF(Table1[[#This Row],[Spec Type2]]="N/A","N/A",IF(AND(Table1[[#This Row],[DUT Adj Read]]&gt;=Table1[[#This Row],[Low Tol]],Table1[[#This Row],[DUT Adj Read]]&lt;=Table1[[#This Row],[High Tol]]),"Pass","Fail"))</f>
        <v>Fail</v>
      </c>
      <c r="AD2023" s="1" t="str">
        <f>IF(AND(Table1[[#This Row],[Spec Type2]]="N/A",Table1[[#This Row],[DUT Adj Read]]="N/A",Table1[[#This Row],[Std Adj Read]]="N/A"),"N/A",IF(Table1[[#This Row],[DUT Adj Read]]="N/A",IF(Table1[[#This Row],[Std Adj Read]]&gt;Table1[[#This Row],[Low Tol]],"Pass","Fail"),IF(Table1[[#This Row],[DUT Adj Read]]&gt;Table1[[#This Row],[Low Tol]],"Pass","Fail")))</f>
        <v>Pass</v>
      </c>
      <c r="AE2023" s="1" t="str">
        <f>IF(AND(Table1[[#This Row],[Spec Type2]]="N/A",Table1[[#This Row],[DUT Adj Read]]="N/A",Table1[[#This Row],[Std Adj Read]]="N/A"),"N/A",IF(Table1[[#This Row],[DUT Adj Read]]="N/A",IF(Table1[[#This Row],[Std Adj Read]]&lt;Table1[[#This Row],[High Tol]],"Pass","Fail"),IF(Table1[[#This Row],[DUT Adj Read]]&lt;Table1[[#This Row],[High Tol]],"Pass","Fail")))</f>
        <v>Fail</v>
      </c>
      <c r="AF2023" s="1" t="str">
        <f>IF(AND(Table1[[#This Row],[Spec Type2]]="N/A",Table1[[#This Row],[DUT Adj Read]]="N/A",Table1[[#This Row],[Std Adj Read]]="N/A"),"N/A",IF(Table1[[#This Row],[DUT Adj Read]]="N/A",IF(Table1[[#This Row],[Std Adj Read]]&gt;=Table1[[#This Row],[Low Tol]],"Pass","Fail"),IF(Table1[[#This Row],[DUT Adj Read]]&gt;=Table1[[#This Row],[Low Tol]],"Pass","Fail")))</f>
        <v>Pass</v>
      </c>
      <c r="AG2023" s="1" t="str">
        <f>IF(AND(Table1[[#This Row],[Spec Type2]]="N/A",Table1[[#This Row],[DUT Adj Read]]="N/A",Table1[[#This Row],[Std Adj Read]]="N/A"),"N/A",IF(Table1[[#This Row],[DUT Adj Read]]="N/A",IF(Table1[[#This Row],[Std Adj Read]]&lt;=Table1[[#This Row],[High Tol]],"Pass","Fail"),IF(Table1[[#This Row],[DUT Adj Read]]&lt;=Table1[[#This Row],[High Tol]],"Pass","Fail")))</f>
        <v>Fail</v>
      </c>
      <c r="AH20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3" s="1" t="b">
        <v>0</v>
      </c>
      <c r="AN2023" s="1" t="b">
        <v>0</v>
      </c>
      <c r="AO2023" s="1" t="b">
        <v>0</v>
      </c>
    </row>
    <row r="2024" spans="1:41" x14ac:dyDescent="0.25">
      <c r="A2024" s="10"/>
      <c r="B2024" s="10"/>
      <c r="C2024" s="10"/>
      <c r="D2024" s="10"/>
      <c r="E2024" s="10"/>
      <c r="F2024" s="10"/>
      <c r="G2024" s="10"/>
      <c r="H2024" s="10"/>
      <c r="I2024" s="1" t="str">
        <f t="shared" si="93"/>
        <v/>
      </c>
      <c r="J2024" s="1" t="s">
        <v>35</v>
      </c>
      <c r="K2024" s="1" t="str">
        <f t="shared" si="94"/>
        <v/>
      </c>
      <c r="L2024" s="1" t="str">
        <f t="shared" si="95"/>
        <v/>
      </c>
      <c r="M2024" s="1">
        <f>IF(OR(Table1[[#This Row],[Std Nom]]="",Table1[[#This Row],[Std Read]]=""),0,Table1[[#This Row],[Std Nom]]-Table1[[#This Row],[Std Read]])</f>
        <v>0</v>
      </c>
      <c r="N2024" s="1">
        <f>IF(Calculations!$F$5="ACCREDITED 17025 WITH UNCERTAINTIES",$N$10,0)</f>
        <v>0</v>
      </c>
      <c r="Q2024" s="1">
        <f>Table1[[#This Row],[High Tol]]-Table1[[#This Row],[Low Tol]]</f>
        <v>0</v>
      </c>
      <c r="R2024" s="1">
        <f>2*Table1[[#This Row],[Std Error]]</f>
        <v>0</v>
      </c>
      <c r="S2024" s="1" t="str">
        <f>IF(Table1[[#This Row],[High Tol]]="","N/A",IFERROR(ABS(Table1[[#This Row],[Tol Span]]/Table1[[#This Row],[Error Span]]),"N/A"))</f>
        <v>N/A</v>
      </c>
      <c r="T2024" s="1" t="str">
        <f>IF(OR(Table1[[#This Row],[Low Tol]]="",Table1[[#This Row],[High Tol]]=""),"Needs Analysis",IF(Table1[[#This Row],[Ratio]]&gt;=4,"Not Significant",IF(Table1[[#This Row],[Ratio]]&gt;=2,"Semi-Significant","Significant")))</f>
        <v>Needs Analysis</v>
      </c>
      <c r="W2024" s="1">
        <f>IF(Table1[[#This Row],[Cal Type]]&lt;&gt;"ACCREDITED 17025 WITH UNCERTAINTIES",0,"")</f>
        <v>0</v>
      </c>
      <c r="X2024" s="1" t="str">
        <f>IF(Table1[[#This Row],[DUT Read]]="","N/A",Table1[[#This Row],[Std Error]]+Table1[[#This Row],[DUT Read]]+Table1[[#This Row],[DUT Ucty]])</f>
        <v>N/A</v>
      </c>
      <c r="Y2024" s="1" t="str">
        <f>IF(Table1[[#This Row],[Std Read]]="","N/A",Table1[[#This Row],[Std Read]]+Table1[[#This Row],[Std Ucty]])</f>
        <v>N/A</v>
      </c>
      <c r="Z20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4" s="1" t="str">
        <f>IF(Table1[[#This Row],[Spec Type]]="","N/A",Table1[[#This Row],[Spec Type]])</f>
        <v>±</v>
      </c>
      <c r="AC2024" s="1" t="str">
        <f>IF(Table1[[#This Row],[Spec Type2]]="N/A","N/A",IF(AND(Table1[[#This Row],[DUT Adj Read]]&gt;=Table1[[#This Row],[Low Tol]],Table1[[#This Row],[DUT Adj Read]]&lt;=Table1[[#This Row],[High Tol]]),"Pass","Fail"))</f>
        <v>Fail</v>
      </c>
      <c r="AD2024" s="1" t="str">
        <f>IF(AND(Table1[[#This Row],[Spec Type2]]="N/A",Table1[[#This Row],[DUT Adj Read]]="N/A",Table1[[#This Row],[Std Adj Read]]="N/A"),"N/A",IF(Table1[[#This Row],[DUT Adj Read]]="N/A",IF(Table1[[#This Row],[Std Adj Read]]&gt;Table1[[#This Row],[Low Tol]],"Pass","Fail"),IF(Table1[[#This Row],[DUT Adj Read]]&gt;Table1[[#This Row],[Low Tol]],"Pass","Fail")))</f>
        <v>Pass</v>
      </c>
      <c r="AE2024" s="1" t="str">
        <f>IF(AND(Table1[[#This Row],[Spec Type2]]="N/A",Table1[[#This Row],[DUT Adj Read]]="N/A",Table1[[#This Row],[Std Adj Read]]="N/A"),"N/A",IF(Table1[[#This Row],[DUT Adj Read]]="N/A",IF(Table1[[#This Row],[Std Adj Read]]&lt;Table1[[#This Row],[High Tol]],"Pass","Fail"),IF(Table1[[#This Row],[DUT Adj Read]]&lt;Table1[[#This Row],[High Tol]],"Pass","Fail")))</f>
        <v>Fail</v>
      </c>
      <c r="AF2024" s="1" t="str">
        <f>IF(AND(Table1[[#This Row],[Spec Type2]]="N/A",Table1[[#This Row],[DUT Adj Read]]="N/A",Table1[[#This Row],[Std Adj Read]]="N/A"),"N/A",IF(Table1[[#This Row],[DUT Adj Read]]="N/A",IF(Table1[[#This Row],[Std Adj Read]]&gt;=Table1[[#This Row],[Low Tol]],"Pass","Fail"),IF(Table1[[#This Row],[DUT Adj Read]]&gt;=Table1[[#This Row],[Low Tol]],"Pass","Fail")))</f>
        <v>Pass</v>
      </c>
      <c r="AG2024" s="1" t="str">
        <f>IF(AND(Table1[[#This Row],[Spec Type2]]="N/A",Table1[[#This Row],[DUT Adj Read]]="N/A",Table1[[#This Row],[Std Adj Read]]="N/A"),"N/A",IF(Table1[[#This Row],[DUT Adj Read]]="N/A",IF(Table1[[#This Row],[Std Adj Read]]&lt;=Table1[[#This Row],[High Tol]],"Pass","Fail"),IF(Table1[[#This Row],[DUT Adj Read]]&lt;=Table1[[#This Row],[High Tol]],"Pass","Fail")))</f>
        <v>Fail</v>
      </c>
      <c r="AH20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4" s="1" t="b">
        <v>0</v>
      </c>
      <c r="AN2024" s="1" t="b">
        <v>0</v>
      </c>
      <c r="AO2024" s="1" t="b">
        <v>0</v>
      </c>
    </row>
    <row r="2025" spans="1:41" x14ac:dyDescent="0.25">
      <c r="A2025" s="10"/>
      <c r="B2025" s="10"/>
      <c r="C2025" s="10"/>
      <c r="D2025" s="10"/>
      <c r="E2025" s="10"/>
      <c r="F2025" s="10"/>
      <c r="G2025" s="10"/>
      <c r="H2025" s="10"/>
      <c r="I2025" s="1" t="str">
        <f t="shared" si="93"/>
        <v/>
      </c>
      <c r="J2025" s="1" t="s">
        <v>35</v>
      </c>
      <c r="K2025" s="1" t="str">
        <f t="shared" si="94"/>
        <v/>
      </c>
      <c r="L2025" s="1" t="str">
        <f t="shared" si="95"/>
        <v/>
      </c>
      <c r="M2025" s="1">
        <f>IF(OR(Table1[[#This Row],[Std Nom]]="",Table1[[#This Row],[Std Read]]=""),0,Table1[[#This Row],[Std Nom]]-Table1[[#This Row],[Std Read]])</f>
        <v>0</v>
      </c>
      <c r="N2025" s="1">
        <f>IF(Calculations!$F$5="ACCREDITED 17025 WITH UNCERTAINTIES",$N$10,0)</f>
        <v>0</v>
      </c>
      <c r="Q2025" s="1">
        <f>Table1[[#This Row],[High Tol]]-Table1[[#This Row],[Low Tol]]</f>
        <v>0</v>
      </c>
      <c r="R2025" s="1">
        <f>2*Table1[[#This Row],[Std Error]]</f>
        <v>0</v>
      </c>
      <c r="S2025" s="1" t="str">
        <f>IF(Table1[[#This Row],[High Tol]]="","N/A",IFERROR(ABS(Table1[[#This Row],[Tol Span]]/Table1[[#This Row],[Error Span]]),"N/A"))</f>
        <v>N/A</v>
      </c>
      <c r="T2025" s="1" t="str">
        <f>IF(OR(Table1[[#This Row],[Low Tol]]="",Table1[[#This Row],[High Tol]]=""),"Needs Analysis",IF(Table1[[#This Row],[Ratio]]&gt;=4,"Not Significant",IF(Table1[[#This Row],[Ratio]]&gt;=2,"Semi-Significant","Significant")))</f>
        <v>Needs Analysis</v>
      </c>
      <c r="W2025" s="1">
        <f>IF(Table1[[#This Row],[Cal Type]]&lt;&gt;"ACCREDITED 17025 WITH UNCERTAINTIES",0,"")</f>
        <v>0</v>
      </c>
      <c r="X2025" s="1" t="str">
        <f>IF(Table1[[#This Row],[DUT Read]]="","N/A",Table1[[#This Row],[Std Error]]+Table1[[#This Row],[DUT Read]]+Table1[[#This Row],[DUT Ucty]])</f>
        <v>N/A</v>
      </c>
      <c r="Y2025" s="1" t="str">
        <f>IF(Table1[[#This Row],[Std Read]]="","N/A",Table1[[#This Row],[Std Read]]+Table1[[#This Row],[Std Ucty]])</f>
        <v>N/A</v>
      </c>
      <c r="Z20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5" s="1" t="str">
        <f>IF(Table1[[#This Row],[Spec Type]]="","N/A",Table1[[#This Row],[Spec Type]])</f>
        <v>±</v>
      </c>
      <c r="AC2025" s="1" t="str">
        <f>IF(Table1[[#This Row],[Spec Type2]]="N/A","N/A",IF(AND(Table1[[#This Row],[DUT Adj Read]]&gt;=Table1[[#This Row],[Low Tol]],Table1[[#This Row],[DUT Adj Read]]&lt;=Table1[[#This Row],[High Tol]]),"Pass","Fail"))</f>
        <v>Fail</v>
      </c>
      <c r="AD2025" s="1" t="str">
        <f>IF(AND(Table1[[#This Row],[Spec Type2]]="N/A",Table1[[#This Row],[DUT Adj Read]]="N/A",Table1[[#This Row],[Std Adj Read]]="N/A"),"N/A",IF(Table1[[#This Row],[DUT Adj Read]]="N/A",IF(Table1[[#This Row],[Std Adj Read]]&gt;Table1[[#This Row],[Low Tol]],"Pass","Fail"),IF(Table1[[#This Row],[DUT Adj Read]]&gt;Table1[[#This Row],[Low Tol]],"Pass","Fail")))</f>
        <v>Pass</v>
      </c>
      <c r="AE2025" s="1" t="str">
        <f>IF(AND(Table1[[#This Row],[Spec Type2]]="N/A",Table1[[#This Row],[DUT Adj Read]]="N/A",Table1[[#This Row],[Std Adj Read]]="N/A"),"N/A",IF(Table1[[#This Row],[DUT Adj Read]]="N/A",IF(Table1[[#This Row],[Std Adj Read]]&lt;Table1[[#This Row],[High Tol]],"Pass","Fail"),IF(Table1[[#This Row],[DUT Adj Read]]&lt;Table1[[#This Row],[High Tol]],"Pass","Fail")))</f>
        <v>Fail</v>
      </c>
      <c r="AF2025" s="1" t="str">
        <f>IF(AND(Table1[[#This Row],[Spec Type2]]="N/A",Table1[[#This Row],[DUT Adj Read]]="N/A",Table1[[#This Row],[Std Adj Read]]="N/A"),"N/A",IF(Table1[[#This Row],[DUT Adj Read]]="N/A",IF(Table1[[#This Row],[Std Adj Read]]&gt;=Table1[[#This Row],[Low Tol]],"Pass","Fail"),IF(Table1[[#This Row],[DUT Adj Read]]&gt;=Table1[[#This Row],[Low Tol]],"Pass","Fail")))</f>
        <v>Pass</v>
      </c>
      <c r="AG2025" s="1" t="str">
        <f>IF(AND(Table1[[#This Row],[Spec Type2]]="N/A",Table1[[#This Row],[DUT Adj Read]]="N/A",Table1[[#This Row],[Std Adj Read]]="N/A"),"N/A",IF(Table1[[#This Row],[DUT Adj Read]]="N/A",IF(Table1[[#This Row],[Std Adj Read]]&lt;=Table1[[#This Row],[High Tol]],"Pass","Fail"),IF(Table1[[#This Row],[DUT Adj Read]]&lt;=Table1[[#This Row],[High Tol]],"Pass","Fail")))</f>
        <v>Fail</v>
      </c>
      <c r="AH20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5" s="1" t="b">
        <v>0</v>
      </c>
      <c r="AN2025" s="1" t="b">
        <v>0</v>
      </c>
      <c r="AO2025" s="1" t="b">
        <v>0</v>
      </c>
    </row>
    <row r="2026" spans="1:41" x14ac:dyDescent="0.25">
      <c r="A2026" s="10"/>
      <c r="B2026" s="10"/>
      <c r="C2026" s="10"/>
      <c r="D2026" s="10"/>
      <c r="E2026" s="10"/>
      <c r="F2026" s="10"/>
      <c r="G2026" s="10"/>
      <c r="H2026" s="10"/>
      <c r="I2026" s="1" t="str">
        <f t="shared" si="93"/>
        <v/>
      </c>
      <c r="J2026" s="1" t="s">
        <v>35</v>
      </c>
      <c r="K2026" s="1" t="str">
        <f t="shared" si="94"/>
        <v/>
      </c>
      <c r="L2026" s="1" t="str">
        <f t="shared" si="95"/>
        <v/>
      </c>
      <c r="M2026" s="1">
        <f>IF(OR(Table1[[#This Row],[Std Nom]]="",Table1[[#This Row],[Std Read]]=""),0,Table1[[#This Row],[Std Nom]]-Table1[[#This Row],[Std Read]])</f>
        <v>0</v>
      </c>
      <c r="N2026" s="1">
        <f>IF(Calculations!$F$5="ACCREDITED 17025 WITH UNCERTAINTIES",$N$10,0)</f>
        <v>0</v>
      </c>
      <c r="Q2026" s="1">
        <f>Table1[[#This Row],[High Tol]]-Table1[[#This Row],[Low Tol]]</f>
        <v>0</v>
      </c>
      <c r="R2026" s="1">
        <f>2*Table1[[#This Row],[Std Error]]</f>
        <v>0</v>
      </c>
      <c r="S2026" s="1" t="str">
        <f>IF(Table1[[#This Row],[High Tol]]="","N/A",IFERROR(ABS(Table1[[#This Row],[Tol Span]]/Table1[[#This Row],[Error Span]]),"N/A"))</f>
        <v>N/A</v>
      </c>
      <c r="T2026" s="1" t="str">
        <f>IF(OR(Table1[[#This Row],[Low Tol]]="",Table1[[#This Row],[High Tol]]=""),"Needs Analysis",IF(Table1[[#This Row],[Ratio]]&gt;=4,"Not Significant",IF(Table1[[#This Row],[Ratio]]&gt;=2,"Semi-Significant","Significant")))</f>
        <v>Needs Analysis</v>
      </c>
      <c r="W2026" s="1">
        <f>IF(Table1[[#This Row],[Cal Type]]&lt;&gt;"ACCREDITED 17025 WITH UNCERTAINTIES",0,"")</f>
        <v>0</v>
      </c>
      <c r="X2026" s="1" t="str">
        <f>IF(Table1[[#This Row],[DUT Read]]="","N/A",Table1[[#This Row],[Std Error]]+Table1[[#This Row],[DUT Read]]+Table1[[#This Row],[DUT Ucty]])</f>
        <v>N/A</v>
      </c>
      <c r="Y2026" s="1" t="str">
        <f>IF(Table1[[#This Row],[Std Read]]="","N/A",Table1[[#This Row],[Std Read]]+Table1[[#This Row],[Std Ucty]])</f>
        <v>N/A</v>
      </c>
      <c r="Z20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6" s="1" t="str">
        <f>IF(Table1[[#This Row],[Spec Type]]="","N/A",Table1[[#This Row],[Spec Type]])</f>
        <v>±</v>
      </c>
      <c r="AC2026" s="1" t="str">
        <f>IF(Table1[[#This Row],[Spec Type2]]="N/A","N/A",IF(AND(Table1[[#This Row],[DUT Adj Read]]&gt;=Table1[[#This Row],[Low Tol]],Table1[[#This Row],[DUT Adj Read]]&lt;=Table1[[#This Row],[High Tol]]),"Pass","Fail"))</f>
        <v>Fail</v>
      </c>
      <c r="AD2026" s="1" t="str">
        <f>IF(AND(Table1[[#This Row],[Spec Type2]]="N/A",Table1[[#This Row],[DUT Adj Read]]="N/A",Table1[[#This Row],[Std Adj Read]]="N/A"),"N/A",IF(Table1[[#This Row],[DUT Adj Read]]="N/A",IF(Table1[[#This Row],[Std Adj Read]]&gt;Table1[[#This Row],[Low Tol]],"Pass","Fail"),IF(Table1[[#This Row],[DUT Adj Read]]&gt;Table1[[#This Row],[Low Tol]],"Pass","Fail")))</f>
        <v>Pass</v>
      </c>
      <c r="AE2026" s="1" t="str">
        <f>IF(AND(Table1[[#This Row],[Spec Type2]]="N/A",Table1[[#This Row],[DUT Adj Read]]="N/A",Table1[[#This Row],[Std Adj Read]]="N/A"),"N/A",IF(Table1[[#This Row],[DUT Adj Read]]="N/A",IF(Table1[[#This Row],[Std Adj Read]]&lt;Table1[[#This Row],[High Tol]],"Pass","Fail"),IF(Table1[[#This Row],[DUT Adj Read]]&lt;Table1[[#This Row],[High Tol]],"Pass","Fail")))</f>
        <v>Fail</v>
      </c>
      <c r="AF2026" s="1" t="str">
        <f>IF(AND(Table1[[#This Row],[Spec Type2]]="N/A",Table1[[#This Row],[DUT Adj Read]]="N/A",Table1[[#This Row],[Std Adj Read]]="N/A"),"N/A",IF(Table1[[#This Row],[DUT Adj Read]]="N/A",IF(Table1[[#This Row],[Std Adj Read]]&gt;=Table1[[#This Row],[Low Tol]],"Pass","Fail"),IF(Table1[[#This Row],[DUT Adj Read]]&gt;=Table1[[#This Row],[Low Tol]],"Pass","Fail")))</f>
        <v>Pass</v>
      </c>
      <c r="AG2026" s="1" t="str">
        <f>IF(AND(Table1[[#This Row],[Spec Type2]]="N/A",Table1[[#This Row],[DUT Adj Read]]="N/A",Table1[[#This Row],[Std Adj Read]]="N/A"),"N/A",IF(Table1[[#This Row],[DUT Adj Read]]="N/A",IF(Table1[[#This Row],[Std Adj Read]]&lt;=Table1[[#This Row],[High Tol]],"Pass","Fail"),IF(Table1[[#This Row],[DUT Adj Read]]&lt;=Table1[[#This Row],[High Tol]],"Pass","Fail")))</f>
        <v>Fail</v>
      </c>
      <c r="AH20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6" s="1" t="b">
        <v>0</v>
      </c>
      <c r="AN2026" s="1" t="b">
        <v>0</v>
      </c>
      <c r="AO2026" s="1" t="b">
        <v>0</v>
      </c>
    </row>
    <row r="2027" spans="1:41" x14ac:dyDescent="0.25">
      <c r="A2027" s="10"/>
      <c r="B2027" s="10"/>
      <c r="C2027" s="10"/>
      <c r="D2027" s="10"/>
      <c r="E2027" s="10"/>
      <c r="F2027" s="10"/>
      <c r="G2027" s="10"/>
      <c r="H2027" s="10"/>
      <c r="I2027" s="1" t="str">
        <f t="shared" si="93"/>
        <v/>
      </c>
      <c r="J2027" s="1" t="s">
        <v>35</v>
      </c>
      <c r="K2027" s="1" t="str">
        <f t="shared" si="94"/>
        <v/>
      </c>
      <c r="L2027" s="1" t="str">
        <f t="shared" si="95"/>
        <v/>
      </c>
      <c r="M2027" s="1">
        <f>IF(OR(Table1[[#This Row],[Std Nom]]="",Table1[[#This Row],[Std Read]]=""),0,Table1[[#This Row],[Std Nom]]-Table1[[#This Row],[Std Read]])</f>
        <v>0</v>
      </c>
      <c r="N2027" s="1">
        <f>IF(Calculations!$F$5="ACCREDITED 17025 WITH UNCERTAINTIES",$N$10,0)</f>
        <v>0</v>
      </c>
      <c r="Q2027" s="1">
        <f>Table1[[#This Row],[High Tol]]-Table1[[#This Row],[Low Tol]]</f>
        <v>0</v>
      </c>
      <c r="R2027" s="1">
        <f>2*Table1[[#This Row],[Std Error]]</f>
        <v>0</v>
      </c>
      <c r="S2027" s="1" t="str">
        <f>IF(Table1[[#This Row],[High Tol]]="","N/A",IFERROR(ABS(Table1[[#This Row],[Tol Span]]/Table1[[#This Row],[Error Span]]),"N/A"))</f>
        <v>N/A</v>
      </c>
      <c r="T2027" s="1" t="str">
        <f>IF(OR(Table1[[#This Row],[Low Tol]]="",Table1[[#This Row],[High Tol]]=""),"Needs Analysis",IF(Table1[[#This Row],[Ratio]]&gt;=4,"Not Significant",IF(Table1[[#This Row],[Ratio]]&gt;=2,"Semi-Significant","Significant")))</f>
        <v>Needs Analysis</v>
      </c>
      <c r="W2027" s="1">
        <f>IF(Table1[[#This Row],[Cal Type]]&lt;&gt;"ACCREDITED 17025 WITH UNCERTAINTIES",0,"")</f>
        <v>0</v>
      </c>
      <c r="X2027" s="1" t="str">
        <f>IF(Table1[[#This Row],[DUT Read]]="","N/A",Table1[[#This Row],[Std Error]]+Table1[[#This Row],[DUT Read]]+Table1[[#This Row],[DUT Ucty]])</f>
        <v>N/A</v>
      </c>
      <c r="Y2027" s="1" t="str">
        <f>IF(Table1[[#This Row],[Std Read]]="","N/A",Table1[[#This Row],[Std Read]]+Table1[[#This Row],[Std Ucty]])</f>
        <v>N/A</v>
      </c>
      <c r="Z20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7" s="1" t="str">
        <f>IF(Table1[[#This Row],[Spec Type]]="","N/A",Table1[[#This Row],[Spec Type]])</f>
        <v>±</v>
      </c>
      <c r="AC2027" s="1" t="str">
        <f>IF(Table1[[#This Row],[Spec Type2]]="N/A","N/A",IF(AND(Table1[[#This Row],[DUT Adj Read]]&gt;=Table1[[#This Row],[Low Tol]],Table1[[#This Row],[DUT Adj Read]]&lt;=Table1[[#This Row],[High Tol]]),"Pass","Fail"))</f>
        <v>Fail</v>
      </c>
      <c r="AD2027" s="1" t="str">
        <f>IF(AND(Table1[[#This Row],[Spec Type2]]="N/A",Table1[[#This Row],[DUT Adj Read]]="N/A",Table1[[#This Row],[Std Adj Read]]="N/A"),"N/A",IF(Table1[[#This Row],[DUT Adj Read]]="N/A",IF(Table1[[#This Row],[Std Adj Read]]&gt;Table1[[#This Row],[Low Tol]],"Pass","Fail"),IF(Table1[[#This Row],[DUT Adj Read]]&gt;Table1[[#This Row],[Low Tol]],"Pass","Fail")))</f>
        <v>Pass</v>
      </c>
      <c r="AE2027" s="1" t="str">
        <f>IF(AND(Table1[[#This Row],[Spec Type2]]="N/A",Table1[[#This Row],[DUT Adj Read]]="N/A",Table1[[#This Row],[Std Adj Read]]="N/A"),"N/A",IF(Table1[[#This Row],[DUT Adj Read]]="N/A",IF(Table1[[#This Row],[Std Adj Read]]&lt;Table1[[#This Row],[High Tol]],"Pass","Fail"),IF(Table1[[#This Row],[DUT Adj Read]]&lt;Table1[[#This Row],[High Tol]],"Pass","Fail")))</f>
        <v>Fail</v>
      </c>
      <c r="AF2027" s="1" t="str">
        <f>IF(AND(Table1[[#This Row],[Spec Type2]]="N/A",Table1[[#This Row],[DUT Adj Read]]="N/A",Table1[[#This Row],[Std Adj Read]]="N/A"),"N/A",IF(Table1[[#This Row],[DUT Adj Read]]="N/A",IF(Table1[[#This Row],[Std Adj Read]]&gt;=Table1[[#This Row],[Low Tol]],"Pass","Fail"),IF(Table1[[#This Row],[DUT Adj Read]]&gt;=Table1[[#This Row],[Low Tol]],"Pass","Fail")))</f>
        <v>Pass</v>
      </c>
      <c r="AG2027" s="1" t="str">
        <f>IF(AND(Table1[[#This Row],[Spec Type2]]="N/A",Table1[[#This Row],[DUT Adj Read]]="N/A",Table1[[#This Row],[Std Adj Read]]="N/A"),"N/A",IF(Table1[[#This Row],[DUT Adj Read]]="N/A",IF(Table1[[#This Row],[Std Adj Read]]&lt;=Table1[[#This Row],[High Tol]],"Pass","Fail"),IF(Table1[[#This Row],[DUT Adj Read]]&lt;=Table1[[#This Row],[High Tol]],"Pass","Fail")))</f>
        <v>Fail</v>
      </c>
      <c r="AH20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7" s="1" t="b">
        <v>0</v>
      </c>
      <c r="AN2027" s="1" t="b">
        <v>0</v>
      </c>
      <c r="AO2027" s="1" t="b">
        <v>0</v>
      </c>
    </row>
    <row r="2028" spans="1:41" x14ac:dyDescent="0.25">
      <c r="A2028" s="10"/>
      <c r="B2028" s="10"/>
      <c r="C2028" s="10"/>
      <c r="D2028" s="10"/>
      <c r="E2028" s="10"/>
      <c r="F2028" s="10"/>
      <c r="G2028" s="10"/>
      <c r="H2028" s="10"/>
      <c r="I2028" s="1" t="str">
        <f t="shared" si="93"/>
        <v/>
      </c>
      <c r="J2028" s="1" t="s">
        <v>35</v>
      </c>
      <c r="K2028" s="1" t="str">
        <f t="shared" si="94"/>
        <v/>
      </c>
      <c r="L2028" s="1" t="str">
        <f t="shared" si="95"/>
        <v/>
      </c>
      <c r="M2028" s="1">
        <f>IF(OR(Table1[[#This Row],[Std Nom]]="",Table1[[#This Row],[Std Read]]=""),0,Table1[[#This Row],[Std Nom]]-Table1[[#This Row],[Std Read]])</f>
        <v>0</v>
      </c>
      <c r="N2028" s="1">
        <f>IF(Calculations!$F$5="ACCREDITED 17025 WITH UNCERTAINTIES",$N$10,0)</f>
        <v>0</v>
      </c>
      <c r="Q2028" s="1">
        <f>Table1[[#This Row],[High Tol]]-Table1[[#This Row],[Low Tol]]</f>
        <v>0</v>
      </c>
      <c r="R2028" s="1">
        <f>2*Table1[[#This Row],[Std Error]]</f>
        <v>0</v>
      </c>
      <c r="S2028" s="1" t="str">
        <f>IF(Table1[[#This Row],[High Tol]]="","N/A",IFERROR(ABS(Table1[[#This Row],[Tol Span]]/Table1[[#This Row],[Error Span]]),"N/A"))</f>
        <v>N/A</v>
      </c>
      <c r="T2028" s="1" t="str">
        <f>IF(OR(Table1[[#This Row],[Low Tol]]="",Table1[[#This Row],[High Tol]]=""),"Needs Analysis",IF(Table1[[#This Row],[Ratio]]&gt;=4,"Not Significant",IF(Table1[[#This Row],[Ratio]]&gt;=2,"Semi-Significant","Significant")))</f>
        <v>Needs Analysis</v>
      </c>
      <c r="W2028" s="1">
        <f>IF(Table1[[#This Row],[Cal Type]]&lt;&gt;"ACCREDITED 17025 WITH UNCERTAINTIES",0,"")</f>
        <v>0</v>
      </c>
      <c r="X2028" s="1" t="str">
        <f>IF(Table1[[#This Row],[DUT Read]]="","N/A",Table1[[#This Row],[Std Error]]+Table1[[#This Row],[DUT Read]]+Table1[[#This Row],[DUT Ucty]])</f>
        <v>N/A</v>
      </c>
      <c r="Y2028" s="1" t="str">
        <f>IF(Table1[[#This Row],[Std Read]]="","N/A",Table1[[#This Row],[Std Read]]+Table1[[#This Row],[Std Ucty]])</f>
        <v>N/A</v>
      </c>
      <c r="Z20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8" s="1" t="str">
        <f>IF(Table1[[#This Row],[Spec Type]]="","N/A",Table1[[#This Row],[Spec Type]])</f>
        <v>±</v>
      </c>
      <c r="AC2028" s="1" t="str">
        <f>IF(Table1[[#This Row],[Spec Type2]]="N/A","N/A",IF(AND(Table1[[#This Row],[DUT Adj Read]]&gt;=Table1[[#This Row],[Low Tol]],Table1[[#This Row],[DUT Adj Read]]&lt;=Table1[[#This Row],[High Tol]]),"Pass","Fail"))</f>
        <v>Fail</v>
      </c>
      <c r="AD2028" s="1" t="str">
        <f>IF(AND(Table1[[#This Row],[Spec Type2]]="N/A",Table1[[#This Row],[DUT Adj Read]]="N/A",Table1[[#This Row],[Std Adj Read]]="N/A"),"N/A",IF(Table1[[#This Row],[DUT Adj Read]]="N/A",IF(Table1[[#This Row],[Std Adj Read]]&gt;Table1[[#This Row],[Low Tol]],"Pass","Fail"),IF(Table1[[#This Row],[DUT Adj Read]]&gt;Table1[[#This Row],[Low Tol]],"Pass","Fail")))</f>
        <v>Pass</v>
      </c>
      <c r="AE2028" s="1" t="str">
        <f>IF(AND(Table1[[#This Row],[Spec Type2]]="N/A",Table1[[#This Row],[DUT Adj Read]]="N/A",Table1[[#This Row],[Std Adj Read]]="N/A"),"N/A",IF(Table1[[#This Row],[DUT Adj Read]]="N/A",IF(Table1[[#This Row],[Std Adj Read]]&lt;Table1[[#This Row],[High Tol]],"Pass","Fail"),IF(Table1[[#This Row],[DUT Adj Read]]&lt;Table1[[#This Row],[High Tol]],"Pass","Fail")))</f>
        <v>Fail</v>
      </c>
      <c r="AF2028" s="1" t="str">
        <f>IF(AND(Table1[[#This Row],[Spec Type2]]="N/A",Table1[[#This Row],[DUT Adj Read]]="N/A",Table1[[#This Row],[Std Adj Read]]="N/A"),"N/A",IF(Table1[[#This Row],[DUT Adj Read]]="N/A",IF(Table1[[#This Row],[Std Adj Read]]&gt;=Table1[[#This Row],[Low Tol]],"Pass","Fail"),IF(Table1[[#This Row],[DUT Adj Read]]&gt;=Table1[[#This Row],[Low Tol]],"Pass","Fail")))</f>
        <v>Pass</v>
      </c>
      <c r="AG2028" s="1" t="str">
        <f>IF(AND(Table1[[#This Row],[Spec Type2]]="N/A",Table1[[#This Row],[DUT Adj Read]]="N/A",Table1[[#This Row],[Std Adj Read]]="N/A"),"N/A",IF(Table1[[#This Row],[DUT Adj Read]]="N/A",IF(Table1[[#This Row],[Std Adj Read]]&lt;=Table1[[#This Row],[High Tol]],"Pass","Fail"),IF(Table1[[#This Row],[DUT Adj Read]]&lt;=Table1[[#This Row],[High Tol]],"Pass","Fail")))</f>
        <v>Fail</v>
      </c>
      <c r="AH20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8" s="1" t="b">
        <v>0</v>
      </c>
      <c r="AN2028" s="1" t="b">
        <v>0</v>
      </c>
      <c r="AO2028" s="1" t="b">
        <v>0</v>
      </c>
    </row>
    <row r="2029" spans="1:41" x14ac:dyDescent="0.25">
      <c r="A2029" s="10"/>
      <c r="B2029" s="10"/>
      <c r="C2029" s="10"/>
      <c r="D2029" s="10"/>
      <c r="E2029" s="10"/>
      <c r="F2029" s="10"/>
      <c r="G2029" s="10"/>
      <c r="H2029" s="10"/>
      <c r="I2029" s="1" t="str">
        <f t="shared" si="93"/>
        <v/>
      </c>
      <c r="J2029" s="1" t="s">
        <v>35</v>
      </c>
      <c r="K2029" s="1" t="str">
        <f t="shared" si="94"/>
        <v/>
      </c>
      <c r="L2029" s="1" t="str">
        <f t="shared" si="95"/>
        <v/>
      </c>
      <c r="M2029" s="1">
        <f>IF(OR(Table1[[#This Row],[Std Nom]]="",Table1[[#This Row],[Std Read]]=""),0,Table1[[#This Row],[Std Nom]]-Table1[[#This Row],[Std Read]])</f>
        <v>0</v>
      </c>
      <c r="N2029" s="1">
        <f>IF(Calculations!$F$5="ACCREDITED 17025 WITH UNCERTAINTIES",$N$10,0)</f>
        <v>0</v>
      </c>
      <c r="Q2029" s="1">
        <f>Table1[[#This Row],[High Tol]]-Table1[[#This Row],[Low Tol]]</f>
        <v>0</v>
      </c>
      <c r="R2029" s="1">
        <f>2*Table1[[#This Row],[Std Error]]</f>
        <v>0</v>
      </c>
      <c r="S2029" s="1" t="str">
        <f>IF(Table1[[#This Row],[High Tol]]="","N/A",IFERROR(ABS(Table1[[#This Row],[Tol Span]]/Table1[[#This Row],[Error Span]]),"N/A"))</f>
        <v>N/A</v>
      </c>
      <c r="T2029" s="1" t="str">
        <f>IF(OR(Table1[[#This Row],[Low Tol]]="",Table1[[#This Row],[High Tol]]=""),"Needs Analysis",IF(Table1[[#This Row],[Ratio]]&gt;=4,"Not Significant",IF(Table1[[#This Row],[Ratio]]&gt;=2,"Semi-Significant","Significant")))</f>
        <v>Needs Analysis</v>
      </c>
      <c r="W2029" s="1">
        <f>IF(Table1[[#This Row],[Cal Type]]&lt;&gt;"ACCREDITED 17025 WITH UNCERTAINTIES",0,"")</f>
        <v>0</v>
      </c>
      <c r="X2029" s="1" t="str">
        <f>IF(Table1[[#This Row],[DUT Read]]="","N/A",Table1[[#This Row],[Std Error]]+Table1[[#This Row],[DUT Read]]+Table1[[#This Row],[DUT Ucty]])</f>
        <v>N/A</v>
      </c>
      <c r="Y2029" s="1" t="str">
        <f>IF(Table1[[#This Row],[Std Read]]="","N/A",Table1[[#This Row],[Std Read]]+Table1[[#This Row],[Std Ucty]])</f>
        <v>N/A</v>
      </c>
      <c r="Z20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29" s="1" t="str">
        <f>IF(Table1[[#This Row],[Spec Type]]="","N/A",Table1[[#This Row],[Spec Type]])</f>
        <v>±</v>
      </c>
      <c r="AC2029" s="1" t="str">
        <f>IF(Table1[[#This Row],[Spec Type2]]="N/A","N/A",IF(AND(Table1[[#This Row],[DUT Adj Read]]&gt;=Table1[[#This Row],[Low Tol]],Table1[[#This Row],[DUT Adj Read]]&lt;=Table1[[#This Row],[High Tol]]),"Pass","Fail"))</f>
        <v>Fail</v>
      </c>
      <c r="AD2029" s="1" t="str">
        <f>IF(AND(Table1[[#This Row],[Spec Type2]]="N/A",Table1[[#This Row],[DUT Adj Read]]="N/A",Table1[[#This Row],[Std Adj Read]]="N/A"),"N/A",IF(Table1[[#This Row],[DUT Adj Read]]="N/A",IF(Table1[[#This Row],[Std Adj Read]]&gt;Table1[[#This Row],[Low Tol]],"Pass","Fail"),IF(Table1[[#This Row],[DUT Adj Read]]&gt;Table1[[#This Row],[Low Tol]],"Pass","Fail")))</f>
        <v>Pass</v>
      </c>
      <c r="AE2029" s="1" t="str">
        <f>IF(AND(Table1[[#This Row],[Spec Type2]]="N/A",Table1[[#This Row],[DUT Adj Read]]="N/A",Table1[[#This Row],[Std Adj Read]]="N/A"),"N/A",IF(Table1[[#This Row],[DUT Adj Read]]="N/A",IF(Table1[[#This Row],[Std Adj Read]]&lt;Table1[[#This Row],[High Tol]],"Pass","Fail"),IF(Table1[[#This Row],[DUT Adj Read]]&lt;Table1[[#This Row],[High Tol]],"Pass","Fail")))</f>
        <v>Fail</v>
      </c>
      <c r="AF2029" s="1" t="str">
        <f>IF(AND(Table1[[#This Row],[Spec Type2]]="N/A",Table1[[#This Row],[DUT Adj Read]]="N/A",Table1[[#This Row],[Std Adj Read]]="N/A"),"N/A",IF(Table1[[#This Row],[DUT Adj Read]]="N/A",IF(Table1[[#This Row],[Std Adj Read]]&gt;=Table1[[#This Row],[Low Tol]],"Pass","Fail"),IF(Table1[[#This Row],[DUT Adj Read]]&gt;=Table1[[#This Row],[Low Tol]],"Pass","Fail")))</f>
        <v>Pass</v>
      </c>
      <c r="AG2029" s="1" t="str">
        <f>IF(AND(Table1[[#This Row],[Spec Type2]]="N/A",Table1[[#This Row],[DUT Adj Read]]="N/A",Table1[[#This Row],[Std Adj Read]]="N/A"),"N/A",IF(Table1[[#This Row],[DUT Adj Read]]="N/A",IF(Table1[[#This Row],[Std Adj Read]]&lt;=Table1[[#This Row],[High Tol]],"Pass","Fail"),IF(Table1[[#This Row],[DUT Adj Read]]&lt;=Table1[[#This Row],[High Tol]],"Pass","Fail")))</f>
        <v>Fail</v>
      </c>
      <c r="AH20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29" s="1" t="b">
        <v>0</v>
      </c>
      <c r="AN2029" s="1" t="b">
        <v>0</v>
      </c>
      <c r="AO2029" s="1" t="b">
        <v>0</v>
      </c>
    </row>
    <row r="2030" spans="1:41" x14ac:dyDescent="0.25">
      <c r="A2030" s="10"/>
      <c r="B2030" s="10"/>
      <c r="C2030" s="10"/>
      <c r="D2030" s="10"/>
      <c r="E2030" s="10"/>
      <c r="F2030" s="10"/>
      <c r="G2030" s="10"/>
      <c r="H2030" s="10"/>
      <c r="I2030" s="1" t="str">
        <f t="shared" si="93"/>
        <v/>
      </c>
      <c r="J2030" s="1" t="s">
        <v>35</v>
      </c>
      <c r="K2030" s="1" t="str">
        <f t="shared" si="94"/>
        <v/>
      </c>
      <c r="L2030" s="1" t="str">
        <f t="shared" si="95"/>
        <v/>
      </c>
      <c r="M2030" s="1">
        <f>IF(OR(Table1[[#This Row],[Std Nom]]="",Table1[[#This Row],[Std Read]]=""),0,Table1[[#This Row],[Std Nom]]-Table1[[#This Row],[Std Read]])</f>
        <v>0</v>
      </c>
      <c r="N2030" s="1">
        <f>IF(Calculations!$F$5="ACCREDITED 17025 WITH UNCERTAINTIES",$N$10,0)</f>
        <v>0</v>
      </c>
      <c r="Q2030" s="1">
        <f>Table1[[#This Row],[High Tol]]-Table1[[#This Row],[Low Tol]]</f>
        <v>0</v>
      </c>
      <c r="R2030" s="1">
        <f>2*Table1[[#This Row],[Std Error]]</f>
        <v>0</v>
      </c>
      <c r="S2030" s="1" t="str">
        <f>IF(Table1[[#This Row],[High Tol]]="","N/A",IFERROR(ABS(Table1[[#This Row],[Tol Span]]/Table1[[#This Row],[Error Span]]),"N/A"))</f>
        <v>N/A</v>
      </c>
      <c r="T2030" s="1" t="str">
        <f>IF(OR(Table1[[#This Row],[Low Tol]]="",Table1[[#This Row],[High Tol]]=""),"Needs Analysis",IF(Table1[[#This Row],[Ratio]]&gt;=4,"Not Significant",IF(Table1[[#This Row],[Ratio]]&gt;=2,"Semi-Significant","Significant")))</f>
        <v>Needs Analysis</v>
      </c>
      <c r="W2030" s="1">
        <f>IF(Table1[[#This Row],[Cal Type]]&lt;&gt;"ACCREDITED 17025 WITH UNCERTAINTIES",0,"")</f>
        <v>0</v>
      </c>
      <c r="X2030" s="1" t="str">
        <f>IF(Table1[[#This Row],[DUT Read]]="","N/A",Table1[[#This Row],[Std Error]]+Table1[[#This Row],[DUT Read]]+Table1[[#This Row],[DUT Ucty]])</f>
        <v>N/A</v>
      </c>
      <c r="Y2030" s="1" t="str">
        <f>IF(Table1[[#This Row],[Std Read]]="","N/A",Table1[[#This Row],[Std Read]]+Table1[[#This Row],[Std Ucty]])</f>
        <v>N/A</v>
      </c>
      <c r="Z20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0" s="1" t="str">
        <f>IF(Table1[[#This Row],[Spec Type]]="","N/A",Table1[[#This Row],[Spec Type]])</f>
        <v>±</v>
      </c>
      <c r="AC2030" s="1" t="str">
        <f>IF(Table1[[#This Row],[Spec Type2]]="N/A","N/A",IF(AND(Table1[[#This Row],[DUT Adj Read]]&gt;=Table1[[#This Row],[Low Tol]],Table1[[#This Row],[DUT Adj Read]]&lt;=Table1[[#This Row],[High Tol]]),"Pass","Fail"))</f>
        <v>Fail</v>
      </c>
      <c r="AD2030" s="1" t="str">
        <f>IF(AND(Table1[[#This Row],[Spec Type2]]="N/A",Table1[[#This Row],[DUT Adj Read]]="N/A",Table1[[#This Row],[Std Adj Read]]="N/A"),"N/A",IF(Table1[[#This Row],[DUT Adj Read]]="N/A",IF(Table1[[#This Row],[Std Adj Read]]&gt;Table1[[#This Row],[Low Tol]],"Pass","Fail"),IF(Table1[[#This Row],[DUT Adj Read]]&gt;Table1[[#This Row],[Low Tol]],"Pass","Fail")))</f>
        <v>Pass</v>
      </c>
      <c r="AE2030" s="1" t="str">
        <f>IF(AND(Table1[[#This Row],[Spec Type2]]="N/A",Table1[[#This Row],[DUT Adj Read]]="N/A",Table1[[#This Row],[Std Adj Read]]="N/A"),"N/A",IF(Table1[[#This Row],[DUT Adj Read]]="N/A",IF(Table1[[#This Row],[Std Adj Read]]&lt;Table1[[#This Row],[High Tol]],"Pass","Fail"),IF(Table1[[#This Row],[DUT Adj Read]]&lt;Table1[[#This Row],[High Tol]],"Pass","Fail")))</f>
        <v>Fail</v>
      </c>
      <c r="AF2030" s="1" t="str">
        <f>IF(AND(Table1[[#This Row],[Spec Type2]]="N/A",Table1[[#This Row],[DUT Adj Read]]="N/A",Table1[[#This Row],[Std Adj Read]]="N/A"),"N/A",IF(Table1[[#This Row],[DUT Adj Read]]="N/A",IF(Table1[[#This Row],[Std Adj Read]]&gt;=Table1[[#This Row],[Low Tol]],"Pass","Fail"),IF(Table1[[#This Row],[DUT Adj Read]]&gt;=Table1[[#This Row],[Low Tol]],"Pass","Fail")))</f>
        <v>Pass</v>
      </c>
      <c r="AG2030" s="1" t="str">
        <f>IF(AND(Table1[[#This Row],[Spec Type2]]="N/A",Table1[[#This Row],[DUT Adj Read]]="N/A",Table1[[#This Row],[Std Adj Read]]="N/A"),"N/A",IF(Table1[[#This Row],[DUT Adj Read]]="N/A",IF(Table1[[#This Row],[Std Adj Read]]&lt;=Table1[[#This Row],[High Tol]],"Pass","Fail"),IF(Table1[[#This Row],[DUT Adj Read]]&lt;=Table1[[#This Row],[High Tol]],"Pass","Fail")))</f>
        <v>Fail</v>
      </c>
      <c r="AH20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0" s="1" t="b">
        <v>0</v>
      </c>
      <c r="AN2030" s="1" t="b">
        <v>0</v>
      </c>
      <c r="AO2030" s="1" t="b">
        <v>0</v>
      </c>
    </row>
    <row r="2031" spans="1:41" x14ac:dyDescent="0.25">
      <c r="A2031" s="10"/>
      <c r="B2031" s="10"/>
      <c r="C2031" s="10"/>
      <c r="D2031" s="10"/>
      <c r="E2031" s="10"/>
      <c r="F2031" s="10"/>
      <c r="G2031" s="10"/>
      <c r="H2031" s="10"/>
      <c r="I2031" s="1" t="str">
        <f t="shared" si="93"/>
        <v/>
      </c>
      <c r="J2031" s="1" t="s">
        <v>35</v>
      </c>
      <c r="K2031" s="1" t="str">
        <f t="shared" si="94"/>
        <v/>
      </c>
      <c r="L2031" s="1" t="str">
        <f t="shared" si="95"/>
        <v/>
      </c>
      <c r="M2031" s="1">
        <f>IF(OR(Table1[[#This Row],[Std Nom]]="",Table1[[#This Row],[Std Read]]=""),0,Table1[[#This Row],[Std Nom]]-Table1[[#This Row],[Std Read]])</f>
        <v>0</v>
      </c>
      <c r="N2031" s="1">
        <f>IF(Calculations!$F$5="ACCREDITED 17025 WITH UNCERTAINTIES",$N$10,0)</f>
        <v>0</v>
      </c>
      <c r="Q2031" s="1">
        <f>Table1[[#This Row],[High Tol]]-Table1[[#This Row],[Low Tol]]</f>
        <v>0</v>
      </c>
      <c r="R2031" s="1">
        <f>2*Table1[[#This Row],[Std Error]]</f>
        <v>0</v>
      </c>
      <c r="S2031" s="1" t="str">
        <f>IF(Table1[[#This Row],[High Tol]]="","N/A",IFERROR(ABS(Table1[[#This Row],[Tol Span]]/Table1[[#This Row],[Error Span]]),"N/A"))</f>
        <v>N/A</v>
      </c>
      <c r="T2031" s="1" t="str">
        <f>IF(OR(Table1[[#This Row],[Low Tol]]="",Table1[[#This Row],[High Tol]]=""),"Needs Analysis",IF(Table1[[#This Row],[Ratio]]&gt;=4,"Not Significant",IF(Table1[[#This Row],[Ratio]]&gt;=2,"Semi-Significant","Significant")))</f>
        <v>Needs Analysis</v>
      </c>
      <c r="W2031" s="1">
        <f>IF(Table1[[#This Row],[Cal Type]]&lt;&gt;"ACCREDITED 17025 WITH UNCERTAINTIES",0,"")</f>
        <v>0</v>
      </c>
      <c r="X2031" s="1" t="str">
        <f>IF(Table1[[#This Row],[DUT Read]]="","N/A",Table1[[#This Row],[Std Error]]+Table1[[#This Row],[DUT Read]]+Table1[[#This Row],[DUT Ucty]])</f>
        <v>N/A</v>
      </c>
      <c r="Y2031" s="1" t="str">
        <f>IF(Table1[[#This Row],[Std Read]]="","N/A",Table1[[#This Row],[Std Read]]+Table1[[#This Row],[Std Ucty]])</f>
        <v>N/A</v>
      </c>
      <c r="Z20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1" s="1" t="str">
        <f>IF(Table1[[#This Row],[Spec Type]]="","N/A",Table1[[#This Row],[Spec Type]])</f>
        <v>±</v>
      </c>
      <c r="AC2031" s="1" t="str">
        <f>IF(Table1[[#This Row],[Spec Type2]]="N/A","N/A",IF(AND(Table1[[#This Row],[DUT Adj Read]]&gt;=Table1[[#This Row],[Low Tol]],Table1[[#This Row],[DUT Adj Read]]&lt;=Table1[[#This Row],[High Tol]]),"Pass","Fail"))</f>
        <v>Fail</v>
      </c>
      <c r="AD2031" s="1" t="str">
        <f>IF(AND(Table1[[#This Row],[Spec Type2]]="N/A",Table1[[#This Row],[DUT Adj Read]]="N/A",Table1[[#This Row],[Std Adj Read]]="N/A"),"N/A",IF(Table1[[#This Row],[DUT Adj Read]]="N/A",IF(Table1[[#This Row],[Std Adj Read]]&gt;Table1[[#This Row],[Low Tol]],"Pass","Fail"),IF(Table1[[#This Row],[DUT Adj Read]]&gt;Table1[[#This Row],[Low Tol]],"Pass","Fail")))</f>
        <v>Pass</v>
      </c>
      <c r="AE2031" s="1" t="str">
        <f>IF(AND(Table1[[#This Row],[Spec Type2]]="N/A",Table1[[#This Row],[DUT Adj Read]]="N/A",Table1[[#This Row],[Std Adj Read]]="N/A"),"N/A",IF(Table1[[#This Row],[DUT Adj Read]]="N/A",IF(Table1[[#This Row],[Std Adj Read]]&lt;Table1[[#This Row],[High Tol]],"Pass","Fail"),IF(Table1[[#This Row],[DUT Adj Read]]&lt;Table1[[#This Row],[High Tol]],"Pass","Fail")))</f>
        <v>Fail</v>
      </c>
      <c r="AF2031" s="1" t="str">
        <f>IF(AND(Table1[[#This Row],[Spec Type2]]="N/A",Table1[[#This Row],[DUT Adj Read]]="N/A",Table1[[#This Row],[Std Adj Read]]="N/A"),"N/A",IF(Table1[[#This Row],[DUT Adj Read]]="N/A",IF(Table1[[#This Row],[Std Adj Read]]&gt;=Table1[[#This Row],[Low Tol]],"Pass","Fail"),IF(Table1[[#This Row],[DUT Adj Read]]&gt;=Table1[[#This Row],[Low Tol]],"Pass","Fail")))</f>
        <v>Pass</v>
      </c>
      <c r="AG2031" s="1" t="str">
        <f>IF(AND(Table1[[#This Row],[Spec Type2]]="N/A",Table1[[#This Row],[DUT Adj Read]]="N/A",Table1[[#This Row],[Std Adj Read]]="N/A"),"N/A",IF(Table1[[#This Row],[DUT Adj Read]]="N/A",IF(Table1[[#This Row],[Std Adj Read]]&lt;=Table1[[#This Row],[High Tol]],"Pass","Fail"),IF(Table1[[#This Row],[DUT Adj Read]]&lt;=Table1[[#This Row],[High Tol]],"Pass","Fail")))</f>
        <v>Fail</v>
      </c>
      <c r="AH20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1" s="1" t="b">
        <v>0</v>
      </c>
      <c r="AN2031" s="1" t="b">
        <v>0</v>
      </c>
      <c r="AO2031" s="1" t="b">
        <v>0</v>
      </c>
    </row>
    <row r="2032" spans="1:41" x14ac:dyDescent="0.25">
      <c r="A2032" s="10"/>
      <c r="B2032" s="10"/>
      <c r="C2032" s="10"/>
      <c r="D2032" s="10"/>
      <c r="E2032" s="10"/>
      <c r="F2032" s="10"/>
      <c r="G2032" s="10"/>
      <c r="H2032" s="10"/>
      <c r="I2032" s="1" t="str">
        <f t="shared" si="93"/>
        <v/>
      </c>
      <c r="J2032" s="1" t="s">
        <v>35</v>
      </c>
      <c r="K2032" s="1" t="str">
        <f t="shared" si="94"/>
        <v/>
      </c>
      <c r="L2032" s="1" t="str">
        <f t="shared" si="95"/>
        <v/>
      </c>
      <c r="M2032" s="1">
        <f>IF(OR(Table1[[#This Row],[Std Nom]]="",Table1[[#This Row],[Std Read]]=""),0,Table1[[#This Row],[Std Nom]]-Table1[[#This Row],[Std Read]])</f>
        <v>0</v>
      </c>
      <c r="N2032" s="1">
        <f>IF(Calculations!$F$5="ACCREDITED 17025 WITH UNCERTAINTIES",$N$10,0)</f>
        <v>0</v>
      </c>
      <c r="Q2032" s="1">
        <f>Table1[[#This Row],[High Tol]]-Table1[[#This Row],[Low Tol]]</f>
        <v>0</v>
      </c>
      <c r="R2032" s="1">
        <f>2*Table1[[#This Row],[Std Error]]</f>
        <v>0</v>
      </c>
      <c r="S2032" s="1" t="str">
        <f>IF(Table1[[#This Row],[High Tol]]="","N/A",IFERROR(ABS(Table1[[#This Row],[Tol Span]]/Table1[[#This Row],[Error Span]]),"N/A"))</f>
        <v>N/A</v>
      </c>
      <c r="T2032" s="1" t="str">
        <f>IF(OR(Table1[[#This Row],[Low Tol]]="",Table1[[#This Row],[High Tol]]=""),"Needs Analysis",IF(Table1[[#This Row],[Ratio]]&gt;=4,"Not Significant",IF(Table1[[#This Row],[Ratio]]&gt;=2,"Semi-Significant","Significant")))</f>
        <v>Needs Analysis</v>
      </c>
      <c r="W2032" s="1">
        <f>IF(Table1[[#This Row],[Cal Type]]&lt;&gt;"ACCREDITED 17025 WITH UNCERTAINTIES",0,"")</f>
        <v>0</v>
      </c>
      <c r="X2032" s="1" t="str">
        <f>IF(Table1[[#This Row],[DUT Read]]="","N/A",Table1[[#This Row],[Std Error]]+Table1[[#This Row],[DUT Read]]+Table1[[#This Row],[DUT Ucty]])</f>
        <v>N/A</v>
      </c>
      <c r="Y2032" s="1" t="str">
        <f>IF(Table1[[#This Row],[Std Read]]="","N/A",Table1[[#This Row],[Std Read]]+Table1[[#This Row],[Std Ucty]])</f>
        <v>N/A</v>
      </c>
      <c r="Z20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2" s="1" t="str">
        <f>IF(Table1[[#This Row],[Spec Type]]="","N/A",Table1[[#This Row],[Spec Type]])</f>
        <v>±</v>
      </c>
      <c r="AC2032" s="1" t="str">
        <f>IF(Table1[[#This Row],[Spec Type2]]="N/A","N/A",IF(AND(Table1[[#This Row],[DUT Adj Read]]&gt;=Table1[[#This Row],[Low Tol]],Table1[[#This Row],[DUT Adj Read]]&lt;=Table1[[#This Row],[High Tol]]),"Pass","Fail"))</f>
        <v>Fail</v>
      </c>
      <c r="AD2032" s="1" t="str">
        <f>IF(AND(Table1[[#This Row],[Spec Type2]]="N/A",Table1[[#This Row],[DUT Adj Read]]="N/A",Table1[[#This Row],[Std Adj Read]]="N/A"),"N/A",IF(Table1[[#This Row],[DUT Adj Read]]="N/A",IF(Table1[[#This Row],[Std Adj Read]]&gt;Table1[[#This Row],[Low Tol]],"Pass","Fail"),IF(Table1[[#This Row],[DUT Adj Read]]&gt;Table1[[#This Row],[Low Tol]],"Pass","Fail")))</f>
        <v>Pass</v>
      </c>
      <c r="AE2032" s="1" t="str">
        <f>IF(AND(Table1[[#This Row],[Spec Type2]]="N/A",Table1[[#This Row],[DUT Adj Read]]="N/A",Table1[[#This Row],[Std Adj Read]]="N/A"),"N/A",IF(Table1[[#This Row],[DUT Adj Read]]="N/A",IF(Table1[[#This Row],[Std Adj Read]]&lt;Table1[[#This Row],[High Tol]],"Pass","Fail"),IF(Table1[[#This Row],[DUT Adj Read]]&lt;Table1[[#This Row],[High Tol]],"Pass","Fail")))</f>
        <v>Fail</v>
      </c>
      <c r="AF2032" s="1" t="str">
        <f>IF(AND(Table1[[#This Row],[Spec Type2]]="N/A",Table1[[#This Row],[DUT Adj Read]]="N/A",Table1[[#This Row],[Std Adj Read]]="N/A"),"N/A",IF(Table1[[#This Row],[DUT Adj Read]]="N/A",IF(Table1[[#This Row],[Std Adj Read]]&gt;=Table1[[#This Row],[Low Tol]],"Pass","Fail"),IF(Table1[[#This Row],[DUT Adj Read]]&gt;=Table1[[#This Row],[Low Tol]],"Pass","Fail")))</f>
        <v>Pass</v>
      </c>
      <c r="AG2032" s="1" t="str">
        <f>IF(AND(Table1[[#This Row],[Spec Type2]]="N/A",Table1[[#This Row],[DUT Adj Read]]="N/A",Table1[[#This Row],[Std Adj Read]]="N/A"),"N/A",IF(Table1[[#This Row],[DUT Adj Read]]="N/A",IF(Table1[[#This Row],[Std Adj Read]]&lt;=Table1[[#This Row],[High Tol]],"Pass","Fail"),IF(Table1[[#This Row],[DUT Adj Read]]&lt;=Table1[[#This Row],[High Tol]],"Pass","Fail")))</f>
        <v>Fail</v>
      </c>
      <c r="AH20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2" s="1" t="b">
        <v>0</v>
      </c>
      <c r="AN2032" s="1" t="b">
        <v>0</v>
      </c>
      <c r="AO2032" s="1" t="b">
        <v>0</v>
      </c>
    </row>
    <row r="2033" spans="1:41" x14ac:dyDescent="0.25">
      <c r="A2033" s="10"/>
      <c r="B2033" s="10"/>
      <c r="C2033" s="10"/>
      <c r="D2033" s="10"/>
      <c r="E2033" s="10"/>
      <c r="F2033" s="10"/>
      <c r="G2033" s="10"/>
      <c r="H2033" s="10"/>
      <c r="I2033" s="1" t="str">
        <f t="shared" si="93"/>
        <v/>
      </c>
      <c r="J2033" s="1" t="s">
        <v>35</v>
      </c>
      <c r="K2033" s="1" t="str">
        <f t="shared" si="94"/>
        <v/>
      </c>
      <c r="L2033" s="1" t="str">
        <f t="shared" si="95"/>
        <v/>
      </c>
      <c r="M2033" s="1">
        <f>IF(OR(Table1[[#This Row],[Std Nom]]="",Table1[[#This Row],[Std Read]]=""),0,Table1[[#This Row],[Std Nom]]-Table1[[#This Row],[Std Read]])</f>
        <v>0</v>
      </c>
      <c r="N2033" s="1">
        <f>IF(Calculations!$F$5="ACCREDITED 17025 WITH UNCERTAINTIES",$N$10,0)</f>
        <v>0</v>
      </c>
      <c r="Q2033" s="1">
        <f>Table1[[#This Row],[High Tol]]-Table1[[#This Row],[Low Tol]]</f>
        <v>0</v>
      </c>
      <c r="R2033" s="1">
        <f>2*Table1[[#This Row],[Std Error]]</f>
        <v>0</v>
      </c>
      <c r="S2033" s="1" t="str">
        <f>IF(Table1[[#This Row],[High Tol]]="","N/A",IFERROR(ABS(Table1[[#This Row],[Tol Span]]/Table1[[#This Row],[Error Span]]),"N/A"))</f>
        <v>N/A</v>
      </c>
      <c r="T2033" s="1" t="str">
        <f>IF(OR(Table1[[#This Row],[Low Tol]]="",Table1[[#This Row],[High Tol]]=""),"Needs Analysis",IF(Table1[[#This Row],[Ratio]]&gt;=4,"Not Significant",IF(Table1[[#This Row],[Ratio]]&gt;=2,"Semi-Significant","Significant")))</f>
        <v>Needs Analysis</v>
      </c>
      <c r="W2033" s="1">
        <f>IF(Table1[[#This Row],[Cal Type]]&lt;&gt;"ACCREDITED 17025 WITH UNCERTAINTIES",0,"")</f>
        <v>0</v>
      </c>
      <c r="X2033" s="1" t="str">
        <f>IF(Table1[[#This Row],[DUT Read]]="","N/A",Table1[[#This Row],[Std Error]]+Table1[[#This Row],[DUT Read]]+Table1[[#This Row],[DUT Ucty]])</f>
        <v>N/A</v>
      </c>
      <c r="Y2033" s="1" t="str">
        <f>IF(Table1[[#This Row],[Std Read]]="","N/A",Table1[[#This Row],[Std Read]]+Table1[[#This Row],[Std Ucty]])</f>
        <v>N/A</v>
      </c>
      <c r="Z20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3" s="1" t="str">
        <f>IF(Table1[[#This Row],[Spec Type]]="","N/A",Table1[[#This Row],[Spec Type]])</f>
        <v>±</v>
      </c>
      <c r="AC2033" s="1" t="str">
        <f>IF(Table1[[#This Row],[Spec Type2]]="N/A","N/A",IF(AND(Table1[[#This Row],[DUT Adj Read]]&gt;=Table1[[#This Row],[Low Tol]],Table1[[#This Row],[DUT Adj Read]]&lt;=Table1[[#This Row],[High Tol]]),"Pass","Fail"))</f>
        <v>Fail</v>
      </c>
      <c r="AD2033" s="1" t="str">
        <f>IF(AND(Table1[[#This Row],[Spec Type2]]="N/A",Table1[[#This Row],[DUT Adj Read]]="N/A",Table1[[#This Row],[Std Adj Read]]="N/A"),"N/A",IF(Table1[[#This Row],[DUT Adj Read]]="N/A",IF(Table1[[#This Row],[Std Adj Read]]&gt;Table1[[#This Row],[Low Tol]],"Pass","Fail"),IF(Table1[[#This Row],[DUT Adj Read]]&gt;Table1[[#This Row],[Low Tol]],"Pass","Fail")))</f>
        <v>Pass</v>
      </c>
      <c r="AE2033" s="1" t="str">
        <f>IF(AND(Table1[[#This Row],[Spec Type2]]="N/A",Table1[[#This Row],[DUT Adj Read]]="N/A",Table1[[#This Row],[Std Adj Read]]="N/A"),"N/A",IF(Table1[[#This Row],[DUT Adj Read]]="N/A",IF(Table1[[#This Row],[Std Adj Read]]&lt;Table1[[#This Row],[High Tol]],"Pass","Fail"),IF(Table1[[#This Row],[DUT Adj Read]]&lt;Table1[[#This Row],[High Tol]],"Pass","Fail")))</f>
        <v>Fail</v>
      </c>
      <c r="AF2033" s="1" t="str">
        <f>IF(AND(Table1[[#This Row],[Spec Type2]]="N/A",Table1[[#This Row],[DUT Adj Read]]="N/A",Table1[[#This Row],[Std Adj Read]]="N/A"),"N/A",IF(Table1[[#This Row],[DUT Adj Read]]="N/A",IF(Table1[[#This Row],[Std Adj Read]]&gt;=Table1[[#This Row],[Low Tol]],"Pass","Fail"),IF(Table1[[#This Row],[DUT Adj Read]]&gt;=Table1[[#This Row],[Low Tol]],"Pass","Fail")))</f>
        <v>Pass</v>
      </c>
      <c r="AG2033" s="1" t="str">
        <f>IF(AND(Table1[[#This Row],[Spec Type2]]="N/A",Table1[[#This Row],[DUT Adj Read]]="N/A",Table1[[#This Row],[Std Adj Read]]="N/A"),"N/A",IF(Table1[[#This Row],[DUT Adj Read]]="N/A",IF(Table1[[#This Row],[Std Adj Read]]&lt;=Table1[[#This Row],[High Tol]],"Pass","Fail"),IF(Table1[[#This Row],[DUT Adj Read]]&lt;=Table1[[#This Row],[High Tol]],"Pass","Fail")))</f>
        <v>Fail</v>
      </c>
      <c r="AH20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3" s="1" t="b">
        <v>0</v>
      </c>
      <c r="AN2033" s="1" t="b">
        <v>0</v>
      </c>
      <c r="AO2033" s="1" t="b">
        <v>0</v>
      </c>
    </row>
    <row r="2034" spans="1:41" x14ac:dyDescent="0.25">
      <c r="A2034" s="10"/>
      <c r="B2034" s="10"/>
      <c r="C2034" s="10"/>
      <c r="D2034" s="10"/>
      <c r="E2034" s="10"/>
      <c r="F2034" s="10"/>
      <c r="G2034" s="10"/>
      <c r="H2034" s="10"/>
      <c r="I2034" s="1" t="str">
        <f t="shared" si="93"/>
        <v/>
      </c>
      <c r="J2034" s="1" t="s">
        <v>35</v>
      </c>
      <c r="K2034" s="1" t="str">
        <f t="shared" si="94"/>
        <v/>
      </c>
      <c r="L2034" s="1" t="str">
        <f t="shared" si="95"/>
        <v/>
      </c>
      <c r="M2034" s="1">
        <f>IF(OR(Table1[[#This Row],[Std Nom]]="",Table1[[#This Row],[Std Read]]=""),0,Table1[[#This Row],[Std Nom]]-Table1[[#This Row],[Std Read]])</f>
        <v>0</v>
      </c>
      <c r="N2034" s="1">
        <f>IF(Calculations!$F$5="ACCREDITED 17025 WITH UNCERTAINTIES",$N$10,0)</f>
        <v>0</v>
      </c>
      <c r="Q2034" s="1">
        <f>Table1[[#This Row],[High Tol]]-Table1[[#This Row],[Low Tol]]</f>
        <v>0</v>
      </c>
      <c r="R2034" s="1">
        <f>2*Table1[[#This Row],[Std Error]]</f>
        <v>0</v>
      </c>
      <c r="S2034" s="1" t="str">
        <f>IF(Table1[[#This Row],[High Tol]]="","N/A",IFERROR(ABS(Table1[[#This Row],[Tol Span]]/Table1[[#This Row],[Error Span]]),"N/A"))</f>
        <v>N/A</v>
      </c>
      <c r="T2034" s="1" t="str">
        <f>IF(OR(Table1[[#This Row],[Low Tol]]="",Table1[[#This Row],[High Tol]]=""),"Needs Analysis",IF(Table1[[#This Row],[Ratio]]&gt;=4,"Not Significant",IF(Table1[[#This Row],[Ratio]]&gt;=2,"Semi-Significant","Significant")))</f>
        <v>Needs Analysis</v>
      </c>
      <c r="W2034" s="1">
        <f>IF(Table1[[#This Row],[Cal Type]]&lt;&gt;"ACCREDITED 17025 WITH UNCERTAINTIES",0,"")</f>
        <v>0</v>
      </c>
      <c r="X2034" s="1" t="str">
        <f>IF(Table1[[#This Row],[DUT Read]]="","N/A",Table1[[#This Row],[Std Error]]+Table1[[#This Row],[DUT Read]]+Table1[[#This Row],[DUT Ucty]])</f>
        <v>N/A</v>
      </c>
      <c r="Y2034" s="1" t="str">
        <f>IF(Table1[[#This Row],[Std Read]]="","N/A",Table1[[#This Row],[Std Read]]+Table1[[#This Row],[Std Ucty]])</f>
        <v>N/A</v>
      </c>
      <c r="Z20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4" s="1" t="str">
        <f>IF(Table1[[#This Row],[Spec Type]]="","N/A",Table1[[#This Row],[Spec Type]])</f>
        <v>±</v>
      </c>
      <c r="AC2034" s="1" t="str">
        <f>IF(Table1[[#This Row],[Spec Type2]]="N/A","N/A",IF(AND(Table1[[#This Row],[DUT Adj Read]]&gt;=Table1[[#This Row],[Low Tol]],Table1[[#This Row],[DUT Adj Read]]&lt;=Table1[[#This Row],[High Tol]]),"Pass","Fail"))</f>
        <v>Fail</v>
      </c>
      <c r="AD2034" s="1" t="str">
        <f>IF(AND(Table1[[#This Row],[Spec Type2]]="N/A",Table1[[#This Row],[DUT Adj Read]]="N/A",Table1[[#This Row],[Std Adj Read]]="N/A"),"N/A",IF(Table1[[#This Row],[DUT Adj Read]]="N/A",IF(Table1[[#This Row],[Std Adj Read]]&gt;Table1[[#This Row],[Low Tol]],"Pass","Fail"),IF(Table1[[#This Row],[DUT Adj Read]]&gt;Table1[[#This Row],[Low Tol]],"Pass","Fail")))</f>
        <v>Pass</v>
      </c>
      <c r="AE2034" s="1" t="str">
        <f>IF(AND(Table1[[#This Row],[Spec Type2]]="N/A",Table1[[#This Row],[DUT Adj Read]]="N/A",Table1[[#This Row],[Std Adj Read]]="N/A"),"N/A",IF(Table1[[#This Row],[DUT Adj Read]]="N/A",IF(Table1[[#This Row],[Std Adj Read]]&lt;Table1[[#This Row],[High Tol]],"Pass","Fail"),IF(Table1[[#This Row],[DUT Adj Read]]&lt;Table1[[#This Row],[High Tol]],"Pass","Fail")))</f>
        <v>Fail</v>
      </c>
      <c r="AF2034" s="1" t="str">
        <f>IF(AND(Table1[[#This Row],[Spec Type2]]="N/A",Table1[[#This Row],[DUT Adj Read]]="N/A",Table1[[#This Row],[Std Adj Read]]="N/A"),"N/A",IF(Table1[[#This Row],[DUT Adj Read]]="N/A",IF(Table1[[#This Row],[Std Adj Read]]&gt;=Table1[[#This Row],[Low Tol]],"Pass","Fail"),IF(Table1[[#This Row],[DUT Adj Read]]&gt;=Table1[[#This Row],[Low Tol]],"Pass","Fail")))</f>
        <v>Pass</v>
      </c>
      <c r="AG2034" s="1" t="str">
        <f>IF(AND(Table1[[#This Row],[Spec Type2]]="N/A",Table1[[#This Row],[DUT Adj Read]]="N/A",Table1[[#This Row],[Std Adj Read]]="N/A"),"N/A",IF(Table1[[#This Row],[DUT Adj Read]]="N/A",IF(Table1[[#This Row],[Std Adj Read]]&lt;=Table1[[#This Row],[High Tol]],"Pass","Fail"),IF(Table1[[#This Row],[DUT Adj Read]]&lt;=Table1[[#This Row],[High Tol]],"Pass","Fail")))</f>
        <v>Fail</v>
      </c>
      <c r="AH20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4" s="1" t="b">
        <v>0</v>
      </c>
      <c r="AN2034" s="1" t="b">
        <v>0</v>
      </c>
      <c r="AO2034" s="1" t="b">
        <v>0</v>
      </c>
    </row>
    <row r="2035" spans="1:41" x14ac:dyDescent="0.25">
      <c r="A2035" s="10"/>
      <c r="B2035" s="10"/>
      <c r="C2035" s="10"/>
      <c r="D2035" s="10"/>
      <c r="E2035" s="10"/>
      <c r="F2035" s="10"/>
      <c r="G2035" s="10"/>
      <c r="H2035" s="10"/>
      <c r="I2035" s="1" t="str">
        <f t="shared" si="93"/>
        <v/>
      </c>
      <c r="J2035" s="1" t="s">
        <v>35</v>
      </c>
      <c r="K2035" s="1" t="str">
        <f t="shared" si="94"/>
        <v/>
      </c>
      <c r="L2035" s="1" t="str">
        <f t="shared" si="95"/>
        <v/>
      </c>
      <c r="M2035" s="1">
        <f>IF(OR(Table1[[#This Row],[Std Nom]]="",Table1[[#This Row],[Std Read]]=""),0,Table1[[#This Row],[Std Nom]]-Table1[[#This Row],[Std Read]])</f>
        <v>0</v>
      </c>
      <c r="N2035" s="1">
        <f>IF(Calculations!$F$5="ACCREDITED 17025 WITH UNCERTAINTIES",$N$10,0)</f>
        <v>0</v>
      </c>
      <c r="Q2035" s="1">
        <f>Table1[[#This Row],[High Tol]]-Table1[[#This Row],[Low Tol]]</f>
        <v>0</v>
      </c>
      <c r="R2035" s="1">
        <f>2*Table1[[#This Row],[Std Error]]</f>
        <v>0</v>
      </c>
      <c r="S2035" s="1" t="str">
        <f>IF(Table1[[#This Row],[High Tol]]="","N/A",IFERROR(ABS(Table1[[#This Row],[Tol Span]]/Table1[[#This Row],[Error Span]]),"N/A"))</f>
        <v>N/A</v>
      </c>
      <c r="T2035" s="1" t="str">
        <f>IF(OR(Table1[[#This Row],[Low Tol]]="",Table1[[#This Row],[High Tol]]=""),"Needs Analysis",IF(Table1[[#This Row],[Ratio]]&gt;=4,"Not Significant",IF(Table1[[#This Row],[Ratio]]&gt;=2,"Semi-Significant","Significant")))</f>
        <v>Needs Analysis</v>
      </c>
      <c r="W2035" s="1">
        <f>IF(Table1[[#This Row],[Cal Type]]&lt;&gt;"ACCREDITED 17025 WITH UNCERTAINTIES",0,"")</f>
        <v>0</v>
      </c>
      <c r="X2035" s="1" t="str">
        <f>IF(Table1[[#This Row],[DUT Read]]="","N/A",Table1[[#This Row],[Std Error]]+Table1[[#This Row],[DUT Read]]+Table1[[#This Row],[DUT Ucty]])</f>
        <v>N/A</v>
      </c>
      <c r="Y2035" s="1" t="str">
        <f>IF(Table1[[#This Row],[Std Read]]="","N/A",Table1[[#This Row],[Std Read]]+Table1[[#This Row],[Std Ucty]])</f>
        <v>N/A</v>
      </c>
      <c r="Z20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5" s="1" t="str">
        <f>IF(Table1[[#This Row],[Spec Type]]="","N/A",Table1[[#This Row],[Spec Type]])</f>
        <v>±</v>
      </c>
      <c r="AC2035" s="1" t="str">
        <f>IF(Table1[[#This Row],[Spec Type2]]="N/A","N/A",IF(AND(Table1[[#This Row],[DUT Adj Read]]&gt;=Table1[[#This Row],[Low Tol]],Table1[[#This Row],[DUT Adj Read]]&lt;=Table1[[#This Row],[High Tol]]),"Pass","Fail"))</f>
        <v>Fail</v>
      </c>
      <c r="AD2035" s="1" t="str">
        <f>IF(AND(Table1[[#This Row],[Spec Type2]]="N/A",Table1[[#This Row],[DUT Adj Read]]="N/A",Table1[[#This Row],[Std Adj Read]]="N/A"),"N/A",IF(Table1[[#This Row],[DUT Adj Read]]="N/A",IF(Table1[[#This Row],[Std Adj Read]]&gt;Table1[[#This Row],[Low Tol]],"Pass","Fail"),IF(Table1[[#This Row],[DUT Adj Read]]&gt;Table1[[#This Row],[Low Tol]],"Pass","Fail")))</f>
        <v>Pass</v>
      </c>
      <c r="AE2035" s="1" t="str">
        <f>IF(AND(Table1[[#This Row],[Spec Type2]]="N/A",Table1[[#This Row],[DUT Adj Read]]="N/A",Table1[[#This Row],[Std Adj Read]]="N/A"),"N/A",IF(Table1[[#This Row],[DUT Adj Read]]="N/A",IF(Table1[[#This Row],[Std Adj Read]]&lt;Table1[[#This Row],[High Tol]],"Pass","Fail"),IF(Table1[[#This Row],[DUT Adj Read]]&lt;Table1[[#This Row],[High Tol]],"Pass","Fail")))</f>
        <v>Fail</v>
      </c>
      <c r="AF2035" s="1" t="str">
        <f>IF(AND(Table1[[#This Row],[Spec Type2]]="N/A",Table1[[#This Row],[DUT Adj Read]]="N/A",Table1[[#This Row],[Std Adj Read]]="N/A"),"N/A",IF(Table1[[#This Row],[DUT Adj Read]]="N/A",IF(Table1[[#This Row],[Std Adj Read]]&gt;=Table1[[#This Row],[Low Tol]],"Pass","Fail"),IF(Table1[[#This Row],[DUT Adj Read]]&gt;=Table1[[#This Row],[Low Tol]],"Pass","Fail")))</f>
        <v>Pass</v>
      </c>
      <c r="AG2035" s="1" t="str">
        <f>IF(AND(Table1[[#This Row],[Spec Type2]]="N/A",Table1[[#This Row],[DUT Adj Read]]="N/A",Table1[[#This Row],[Std Adj Read]]="N/A"),"N/A",IF(Table1[[#This Row],[DUT Adj Read]]="N/A",IF(Table1[[#This Row],[Std Adj Read]]&lt;=Table1[[#This Row],[High Tol]],"Pass","Fail"),IF(Table1[[#This Row],[DUT Adj Read]]&lt;=Table1[[#This Row],[High Tol]],"Pass","Fail")))</f>
        <v>Fail</v>
      </c>
      <c r="AH20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5" s="1" t="b">
        <v>0</v>
      </c>
      <c r="AN2035" s="1" t="b">
        <v>0</v>
      </c>
      <c r="AO2035" s="1" t="b">
        <v>0</v>
      </c>
    </row>
    <row r="2036" spans="1:41" x14ac:dyDescent="0.25">
      <c r="A2036" s="10"/>
      <c r="B2036" s="10"/>
      <c r="C2036" s="10"/>
      <c r="D2036" s="10"/>
      <c r="E2036" s="10"/>
      <c r="F2036" s="10"/>
      <c r="G2036" s="10"/>
      <c r="H2036" s="10"/>
      <c r="I2036" s="1" t="str">
        <f t="shared" si="93"/>
        <v/>
      </c>
      <c r="J2036" s="1" t="s">
        <v>35</v>
      </c>
      <c r="K2036" s="1" t="str">
        <f t="shared" si="94"/>
        <v/>
      </c>
      <c r="L2036" s="1" t="str">
        <f t="shared" si="95"/>
        <v/>
      </c>
      <c r="M2036" s="1">
        <f>IF(OR(Table1[[#This Row],[Std Nom]]="",Table1[[#This Row],[Std Read]]=""),0,Table1[[#This Row],[Std Nom]]-Table1[[#This Row],[Std Read]])</f>
        <v>0</v>
      </c>
      <c r="N2036" s="1">
        <f>IF(Calculations!$F$5="ACCREDITED 17025 WITH UNCERTAINTIES",$N$10,0)</f>
        <v>0</v>
      </c>
      <c r="Q2036" s="1">
        <f>Table1[[#This Row],[High Tol]]-Table1[[#This Row],[Low Tol]]</f>
        <v>0</v>
      </c>
      <c r="R2036" s="1">
        <f>2*Table1[[#This Row],[Std Error]]</f>
        <v>0</v>
      </c>
      <c r="S2036" s="1" t="str">
        <f>IF(Table1[[#This Row],[High Tol]]="","N/A",IFERROR(ABS(Table1[[#This Row],[Tol Span]]/Table1[[#This Row],[Error Span]]),"N/A"))</f>
        <v>N/A</v>
      </c>
      <c r="T2036" s="1" t="str">
        <f>IF(OR(Table1[[#This Row],[Low Tol]]="",Table1[[#This Row],[High Tol]]=""),"Needs Analysis",IF(Table1[[#This Row],[Ratio]]&gt;=4,"Not Significant",IF(Table1[[#This Row],[Ratio]]&gt;=2,"Semi-Significant","Significant")))</f>
        <v>Needs Analysis</v>
      </c>
      <c r="W2036" s="1">
        <f>IF(Table1[[#This Row],[Cal Type]]&lt;&gt;"ACCREDITED 17025 WITH UNCERTAINTIES",0,"")</f>
        <v>0</v>
      </c>
      <c r="X2036" s="1" t="str">
        <f>IF(Table1[[#This Row],[DUT Read]]="","N/A",Table1[[#This Row],[Std Error]]+Table1[[#This Row],[DUT Read]]+Table1[[#This Row],[DUT Ucty]])</f>
        <v>N/A</v>
      </c>
      <c r="Y2036" s="1" t="str">
        <f>IF(Table1[[#This Row],[Std Read]]="","N/A",Table1[[#This Row],[Std Read]]+Table1[[#This Row],[Std Ucty]])</f>
        <v>N/A</v>
      </c>
      <c r="Z20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6" s="1" t="str">
        <f>IF(Table1[[#This Row],[Spec Type]]="","N/A",Table1[[#This Row],[Spec Type]])</f>
        <v>±</v>
      </c>
      <c r="AC2036" s="1" t="str">
        <f>IF(Table1[[#This Row],[Spec Type2]]="N/A","N/A",IF(AND(Table1[[#This Row],[DUT Adj Read]]&gt;=Table1[[#This Row],[Low Tol]],Table1[[#This Row],[DUT Adj Read]]&lt;=Table1[[#This Row],[High Tol]]),"Pass","Fail"))</f>
        <v>Fail</v>
      </c>
      <c r="AD2036" s="1" t="str">
        <f>IF(AND(Table1[[#This Row],[Spec Type2]]="N/A",Table1[[#This Row],[DUT Adj Read]]="N/A",Table1[[#This Row],[Std Adj Read]]="N/A"),"N/A",IF(Table1[[#This Row],[DUT Adj Read]]="N/A",IF(Table1[[#This Row],[Std Adj Read]]&gt;Table1[[#This Row],[Low Tol]],"Pass","Fail"),IF(Table1[[#This Row],[DUT Adj Read]]&gt;Table1[[#This Row],[Low Tol]],"Pass","Fail")))</f>
        <v>Pass</v>
      </c>
      <c r="AE2036" s="1" t="str">
        <f>IF(AND(Table1[[#This Row],[Spec Type2]]="N/A",Table1[[#This Row],[DUT Adj Read]]="N/A",Table1[[#This Row],[Std Adj Read]]="N/A"),"N/A",IF(Table1[[#This Row],[DUT Adj Read]]="N/A",IF(Table1[[#This Row],[Std Adj Read]]&lt;Table1[[#This Row],[High Tol]],"Pass","Fail"),IF(Table1[[#This Row],[DUT Adj Read]]&lt;Table1[[#This Row],[High Tol]],"Pass","Fail")))</f>
        <v>Fail</v>
      </c>
      <c r="AF2036" s="1" t="str">
        <f>IF(AND(Table1[[#This Row],[Spec Type2]]="N/A",Table1[[#This Row],[DUT Adj Read]]="N/A",Table1[[#This Row],[Std Adj Read]]="N/A"),"N/A",IF(Table1[[#This Row],[DUT Adj Read]]="N/A",IF(Table1[[#This Row],[Std Adj Read]]&gt;=Table1[[#This Row],[Low Tol]],"Pass","Fail"),IF(Table1[[#This Row],[DUT Adj Read]]&gt;=Table1[[#This Row],[Low Tol]],"Pass","Fail")))</f>
        <v>Pass</v>
      </c>
      <c r="AG2036" s="1" t="str">
        <f>IF(AND(Table1[[#This Row],[Spec Type2]]="N/A",Table1[[#This Row],[DUT Adj Read]]="N/A",Table1[[#This Row],[Std Adj Read]]="N/A"),"N/A",IF(Table1[[#This Row],[DUT Adj Read]]="N/A",IF(Table1[[#This Row],[Std Adj Read]]&lt;=Table1[[#This Row],[High Tol]],"Pass","Fail"),IF(Table1[[#This Row],[DUT Adj Read]]&lt;=Table1[[#This Row],[High Tol]],"Pass","Fail")))</f>
        <v>Fail</v>
      </c>
      <c r="AH20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6" s="1" t="b">
        <v>0</v>
      </c>
      <c r="AN2036" s="1" t="b">
        <v>0</v>
      </c>
      <c r="AO2036" s="1" t="b">
        <v>0</v>
      </c>
    </row>
    <row r="2037" spans="1:41" x14ac:dyDescent="0.25">
      <c r="A2037" s="10"/>
      <c r="B2037" s="10"/>
      <c r="C2037" s="10"/>
      <c r="D2037" s="10"/>
      <c r="E2037" s="10"/>
      <c r="F2037" s="10"/>
      <c r="G2037" s="10"/>
      <c r="H2037" s="10"/>
      <c r="I2037" s="1" t="str">
        <f t="shared" si="93"/>
        <v/>
      </c>
      <c r="J2037" s="1" t="s">
        <v>35</v>
      </c>
      <c r="K2037" s="1" t="str">
        <f t="shared" si="94"/>
        <v/>
      </c>
      <c r="L2037" s="1" t="str">
        <f t="shared" si="95"/>
        <v/>
      </c>
      <c r="M2037" s="1">
        <f>IF(OR(Table1[[#This Row],[Std Nom]]="",Table1[[#This Row],[Std Read]]=""),0,Table1[[#This Row],[Std Nom]]-Table1[[#This Row],[Std Read]])</f>
        <v>0</v>
      </c>
      <c r="N2037" s="1">
        <f>IF(Calculations!$F$5="ACCREDITED 17025 WITH UNCERTAINTIES",$N$10,0)</f>
        <v>0</v>
      </c>
      <c r="Q2037" s="1">
        <f>Table1[[#This Row],[High Tol]]-Table1[[#This Row],[Low Tol]]</f>
        <v>0</v>
      </c>
      <c r="R2037" s="1">
        <f>2*Table1[[#This Row],[Std Error]]</f>
        <v>0</v>
      </c>
      <c r="S2037" s="1" t="str">
        <f>IF(Table1[[#This Row],[High Tol]]="","N/A",IFERROR(ABS(Table1[[#This Row],[Tol Span]]/Table1[[#This Row],[Error Span]]),"N/A"))</f>
        <v>N/A</v>
      </c>
      <c r="T2037" s="1" t="str">
        <f>IF(OR(Table1[[#This Row],[Low Tol]]="",Table1[[#This Row],[High Tol]]=""),"Needs Analysis",IF(Table1[[#This Row],[Ratio]]&gt;=4,"Not Significant",IF(Table1[[#This Row],[Ratio]]&gt;=2,"Semi-Significant","Significant")))</f>
        <v>Needs Analysis</v>
      </c>
      <c r="W2037" s="1">
        <f>IF(Table1[[#This Row],[Cal Type]]&lt;&gt;"ACCREDITED 17025 WITH UNCERTAINTIES",0,"")</f>
        <v>0</v>
      </c>
      <c r="X2037" s="1" t="str">
        <f>IF(Table1[[#This Row],[DUT Read]]="","N/A",Table1[[#This Row],[Std Error]]+Table1[[#This Row],[DUT Read]]+Table1[[#This Row],[DUT Ucty]])</f>
        <v>N/A</v>
      </c>
      <c r="Y2037" s="1" t="str">
        <f>IF(Table1[[#This Row],[Std Read]]="","N/A",Table1[[#This Row],[Std Read]]+Table1[[#This Row],[Std Ucty]])</f>
        <v>N/A</v>
      </c>
      <c r="Z20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7" s="1" t="str">
        <f>IF(Table1[[#This Row],[Spec Type]]="","N/A",Table1[[#This Row],[Spec Type]])</f>
        <v>±</v>
      </c>
      <c r="AC2037" s="1" t="str">
        <f>IF(Table1[[#This Row],[Spec Type2]]="N/A","N/A",IF(AND(Table1[[#This Row],[DUT Adj Read]]&gt;=Table1[[#This Row],[Low Tol]],Table1[[#This Row],[DUT Adj Read]]&lt;=Table1[[#This Row],[High Tol]]),"Pass","Fail"))</f>
        <v>Fail</v>
      </c>
      <c r="AD2037" s="1" t="str">
        <f>IF(AND(Table1[[#This Row],[Spec Type2]]="N/A",Table1[[#This Row],[DUT Adj Read]]="N/A",Table1[[#This Row],[Std Adj Read]]="N/A"),"N/A",IF(Table1[[#This Row],[DUT Adj Read]]="N/A",IF(Table1[[#This Row],[Std Adj Read]]&gt;Table1[[#This Row],[Low Tol]],"Pass","Fail"),IF(Table1[[#This Row],[DUT Adj Read]]&gt;Table1[[#This Row],[Low Tol]],"Pass","Fail")))</f>
        <v>Pass</v>
      </c>
      <c r="AE2037" s="1" t="str">
        <f>IF(AND(Table1[[#This Row],[Spec Type2]]="N/A",Table1[[#This Row],[DUT Adj Read]]="N/A",Table1[[#This Row],[Std Adj Read]]="N/A"),"N/A",IF(Table1[[#This Row],[DUT Adj Read]]="N/A",IF(Table1[[#This Row],[Std Adj Read]]&lt;Table1[[#This Row],[High Tol]],"Pass","Fail"),IF(Table1[[#This Row],[DUT Adj Read]]&lt;Table1[[#This Row],[High Tol]],"Pass","Fail")))</f>
        <v>Fail</v>
      </c>
      <c r="AF2037" s="1" t="str">
        <f>IF(AND(Table1[[#This Row],[Spec Type2]]="N/A",Table1[[#This Row],[DUT Adj Read]]="N/A",Table1[[#This Row],[Std Adj Read]]="N/A"),"N/A",IF(Table1[[#This Row],[DUT Adj Read]]="N/A",IF(Table1[[#This Row],[Std Adj Read]]&gt;=Table1[[#This Row],[Low Tol]],"Pass","Fail"),IF(Table1[[#This Row],[DUT Adj Read]]&gt;=Table1[[#This Row],[Low Tol]],"Pass","Fail")))</f>
        <v>Pass</v>
      </c>
      <c r="AG2037" s="1" t="str">
        <f>IF(AND(Table1[[#This Row],[Spec Type2]]="N/A",Table1[[#This Row],[DUT Adj Read]]="N/A",Table1[[#This Row],[Std Adj Read]]="N/A"),"N/A",IF(Table1[[#This Row],[DUT Adj Read]]="N/A",IF(Table1[[#This Row],[Std Adj Read]]&lt;=Table1[[#This Row],[High Tol]],"Pass","Fail"),IF(Table1[[#This Row],[DUT Adj Read]]&lt;=Table1[[#This Row],[High Tol]],"Pass","Fail")))</f>
        <v>Fail</v>
      </c>
      <c r="AH20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7" s="1" t="b">
        <v>0</v>
      </c>
      <c r="AN2037" s="1" t="b">
        <v>0</v>
      </c>
      <c r="AO2037" s="1" t="b">
        <v>0</v>
      </c>
    </row>
    <row r="2038" spans="1:41" x14ac:dyDescent="0.25">
      <c r="A2038" s="10"/>
      <c r="B2038" s="10"/>
      <c r="C2038" s="10"/>
      <c r="D2038" s="10"/>
      <c r="E2038" s="10"/>
      <c r="F2038" s="10"/>
      <c r="G2038" s="10"/>
      <c r="H2038" s="10"/>
      <c r="I2038" s="1" t="str">
        <f t="shared" si="93"/>
        <v/>
      </c>
      <c r="J2038" s="1" t="s">
        <v>35</v>
      </c>
      <c r="K2038" s="1" t="str">
        <f t="shared" si="94"/>
        <v/>
      </c>
      <c r="L2038" s="1" t="str">
        <f t="shared" si="95"/>
        <v/>
      </c>
      <c r="M2038" s="1">
        <f>IF(OR(Table1[[#This Row],[Std Nom]]="",Table1[[#This Row],[Std Read]]=""),0,Table1[[#This Row],[Std Nom]]-Table1[[#This Row],[Std Read]])</f>
        <v>0</v>
      </c>
      <c r="N2038" s="1">
        <f>IF(Calculations!$F$5="ACCREDITED 17025 WITH UNCERTAINTIES",$N$10,0)</f>
        <v>0</v>
      </c>
      <c r="Q2038" s="1">
        <f>Table1[[#This Row],[High Tol]]-Table1[[#This Row],[Low Tol]]</f>
        <v>0</v>
      </c>
      <c r="R2038" s="1">
        <f>2*Table1[[#This Row],[Std Error]]</f>
        <v>0</v>
      </c>
      <c r="S2038" s="1" t="str">
        <f>IF(Table1[[#This Row],[High Tol]]="","N/A",IFERROR(ABS(Table1[[#This Row],[Tol Span]]/Table1[[#This Row],[Error Span]]),"N/A"))</f>
        <v>N/A</v>
      </c>
      <c r="T2038" s="1" t="str">
        <f>IF(OR(Table1[[#This Row],[Low Tol]]="",Table1[[#This Row],[High Tol]]=""),"Needs Analysis",IF(Table1[[#This Row],[Ratio]]&gt;=4,"Not Significant",IF(Table1[[#This Row],[Ratio]]&gt;=2,"Semi-Significant","Significant")))</f>
        <v>Needs Analysis</v>
      </c>
      <c r="W2038" s="1">
        <f>IF(Table1[[#This Row],[Cal Type]]&lt;&gt;"ACCREDITED 17025 WITH UNCERTAINTIES",0,"")</f>
        <v>0</v>
      </c>
      <c r="X2038" s="1" t="str">
        <f>IF(Table1[[#This Row],[DUT Read]]="","N/A",Table1[[#This Row],[Std Error]]+Table1[[#This Row],[DUT Read]]+Table1[[#This Row],[DUT Ucty]])</f>
        <v>N/A</v>
      </c>
      <c r="Y2038" s="1" t="str">
        <f>IF(Table1[[#This Row],[Std Read]]="","N/A",Table1[[#This Row],[Std Read]]+Table1[[#This Row],[Std Ucty]])</f>
        <v>N/A</v>
      </c>
      <c r="Z20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8" s="1" t="str">
        <f>IF(Table1[[#This Row],[Spec Type]]="","N/A",Table1[[#This Row],[Spec Type]])</f>
        <v>±</v>
      </c>
      <c r="AC2038" s="1" t="str">
        <f>IF(Table1[[#This Row],[Spec Type2]]="N/A","N/A",IF(AND(Table1[[#This Row],[DUT Adj Read]]&gt;=Table1[[#This Row],[Low Tol]],Table1[[#This Row],[DUT Adj Read]]&lt;=Table1[[#This Row],[High Tol]]),"Pass","Fail"))</f>
        <v>Fail</v>
      </c>
      <c r="AD2038" s="1" t="str">
        <f>IF(AND(Table1[[#This Row],[Spec Type2]]="N/A",Table1[[#This Row],[DUT Adj Read]]="N/A",Table1[[#This Row],[Std Adj Read]]="N/A"),"N/A",IF(Table1[[#This Row],[DUT Adj Read]]="N/A",IF(Table1[[#This Row],[Std Adj Read]]&gt;Table1[[#This Row],[Low Tol]],"Pass","Fail"),IF(Table1[[#This Row],[DUT Adj Read]]&gt;Table1[[#This Row],[Low Tol]],"Pass","Fail")))</f>
        <v>Pass</v>
      </c>
      <c r="AE2038" s="1" t="str">
        <f>IF(AND(Table1[[#This Row],[Spec Type2]]="N/A",Table1[[#This Row],[DUT Adj Read]]="N/A",Table1[[#This Row],[Std Adj Read]]="N/A"),"N/A",IF(Table1[[#This Row],[DUT Adj Read]]="N/A",IF(Table1[[#This Row],[Std Adj Read]]&lt;Table1[[#This Row],[High Tol]],"Pass","Fail"),IF(Table1[[#This Row],[DUT Adj Read]]&lt;Table1[[#This Row],[High Tol]],"Pass","Fail")))</f>
        <v>Fail</v>
      </c>
      <c r="AF2038" s="1" t="str">
        <f>IF(AND(Table1[[#This Row],[Spec Type2]]="N/A",Table1[[#This Row],[DUT Adj Read]]="N/A",Table1[[#This Row],[Std Adj Read]]="N/A"),"N/A",IF(Table1[[#This Row],[DUT Adj Read]]="N/A",IF(Table1[[#This Row],[Std Adj Read]]&gt;=Table1[[#This Row],[Low Tol]],"Pass","Fail"),IF(Table1[[#This Row],[DUT Adj Read]]&gt;=Table1[[#This Row],[Low Tol]],"Pass","Fail")))</f>
        <v>Pass</v>
      </c>
      <c r="AG2038" s="1" t="str">
        <f>IF(AND(Table1[[#This Row],[Spec Type2]]="N/A",Table1[[#This Row],[DUT Adj Read]]="N/A",Table1[[#This Row],[Std Adj Read]]="N/A"),"N/A",IF(Table1[[#This Row],[DUT Adj Read]]="N/A",IF(Table1[[#This Row],[Std Adj Read]]&lt;=Table1[[#This Row],[High Tol]],"Pass","Fail"),IF(Table1[[#This Row],[DUT Adj Read]]&lt;=Table1[[#This Row],[High Tol]],"Pass","Fail")))</f>
        <v>Fail</v>
      </c>
      <c r="AH20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8" s="1" t="b">
        <v>0</v>
      </c>
      <c r="AN2038" s="1" t="b">
        <v>0</v>
      </c>
      <c r="AO2038" s="1" t="b">
        <v>0</v>
      </c>
    </row>
    <row r="2039" spans="1:41" x14ac:dyDescent="0.25">
      <c r="A2039" s="10"/>
      <c r="B2039" s="10"/>
      <c r="C2039" s="10"/>
      <c r="D2039" s="10"/>
      <c r="E2039" s="10"/>
      <c r="F2039" s="10"/>
      <c r="G2039" s="10"/>
      <c r="H2039" s="10"/>
      <c r="I2039" s="1" t="str">
        <f t="shared" si="93"/>
        <v/>
      </c>
      <c r="J2039" s="1" t="s">
        <v>35</v>
      </c>
      <c r="K2039" s="1" t="str">
        <f t="shared" si="94"/>
        <v/>
      </c>
      <c r="L2039" s="1" t="str">
        <f t="shared" si="95"/>
        <v/>
      </c>
      <c r="M2039" s="1">
        <f>IF(OR(Table1[[#This Row],[Std Nom]]="",Table1[[#This Row],[Std Read]]=""),0,Table1[[#This Row],[Std Nom]]-Table1[[#This Row],[Std Read]])</f>
        <v>0</v>
      </c>
      <c r="N2039" s="1">
        <f>IF(Calculations!$F$5="ACCREDITED 17025 WITH UNCERTAINTIES",$N$10,0)</f>
        <v>0</v>
      </c>
      <c r="Q2039" s="1">
        <f>Table1[[#This Row],[High Tol]]-Table1[[#This Row],[Low Tol]]</f>
        <v>0</v>
      </c>
      <c r="R2039" s="1">
        <f>2*Table1[[#This Row],[Std Error]]</f>
        <v>0</v>
      </c>
      <c r="S2039" s="1" t="str">
        <f>IF(Table1[[#This Row],[High Tol]]="","N/A",IFERROR(ABS(Table1[[#This Row],[Tol Span]]/Table1[[#This Row],[Error Span]]),"N/A"))</f>
        <v>N/A</v>
      </c>
      <c r="T2039" s="1" t="str">
        <f>IF(OR(Table1[[#This Row],[Low Tol]]="",Table1[[#This Row],[High Tol]]=""),"Needs Analysis",IF(Table1[[#This Row],[Ratio]]&gt;=4,"Not Significant",IF(Table1[[#This Row],[Ratio]]&gt;=2,"Semi-Significant","Significant")))</f>
        <v>Needs Analysis</v>
      </c>
      <c r="W2039" s="1">
        <f>IF(Table1[[#This Row],[Cal Type]]&lt;&gt;"ACCREDITED 17025 WITH UNCERTAINTIES",0,"")</f>
        <v>0</v>
      </c>
      <c r="X2039" s="1" t="str">
        <f>IF(Table1[[#This Row],[DUT Read]]="","N/A",Table1[[#This Row],[Std Error]]+Table1[[#This Row],[DUT Read]]+Table1[[#This Row],[DUT Ucty]])</f>
        <v>N/A</v>
      </c>
      <c r="Y2039" s="1" t="str">
        <f>IF(Table1[[#This Row],[Std Read]]="","N/A",Table1[[#This Row],[Std Read]]+Table1[[#This Row],[Std Ucty]])</f>
        <v>N/A</v>
      </c>
      <c r="Z20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39" s="1" t="str">
        <f>IF(Table1[[#This Row],[Spec Type]]="","N/A",Table1[[#This Row],[Spec Type]])</f>
        <v>±</v>
      </c>
      <c r="AC2039" s="1" t="str">
        <f>IF(Table1[[#This Row],[Spec Type2]]="N/A","N/A",IF(AND(Table1[[#This Row],[DUT Adj Read]]&gt;=Table1[[#This Row],[Low Tol]],Table1[[#This Row],[DUT Adj Read]]&lt;=Table1[[#This Row],[High Tol]]),"Pass","Fail"))</f>
        <v>Fail</v>
      </c>
      <c r="AD2039" s="1" t="str">
        <f>IF(AND(Table1[[#This Row],[Spec Type2]]="N/A",Table1[[#This Row],[DUT Adj Read]]="N/A",Table1[[#This Row],[Std Adj Read]]="N/A"),"N/A",IF(Table1[[#This Row],[DUT Adj Read]]="N/A",IF(Table1[[#This Row],[Std Adj Read]]&gt;Table1[[#This Row],[Low Tol]],"Pass","Fail"),IF(Table1[[#This Row],[DUT Adj Read]]&gt;Table1[[#This Row],[Low Tol]],"Pass","Fail")))</f>
        <v>Pass</v>
      </c>
      <c r="AE2039" s="1" t="str">
        <f>IF(AND(Table1[[#This Row],[Spec Type2]]="N/A",Table1[[#This Row],[DUT Adj Read]]="N/A",Table1[[#This Row],[Std Adj Read]]="N/A"),"N/A",IF(Table1[[#This Row],[DUT Adj Read]]="N/A",IF(Table1[[#This Row],[Std Adj Read]]&lt;Table1[[#This Row],[High Tol]],"Pass","Fail"),IF(Table1[[#This Row],[DUT Adj Read]]&lt;Table1[[#This Row],[High Tol]],"Pass","Fail")))</f>
        <v>Fail</v>
      </c>
      <c r="AF2039" s="1" t="str">
        <f>IF(AND(Table1[[#This Row],[Spec Type2]]="N/A",Table1[[#This Row],[DUT Adj Read]]="N/A",Table1[[#This Row],[Std Adj Read]]="N/A"),"N/A",IF(Table1[[#This Row],[DUT Adj Read]]="N/A",IF(Table1[[#This Row],[Std Adj Read]]&gt;=Table1[[#This Row],[Low Tol]],"Pass","Fail"),IF(Table1[[#This Row],[DUT Adj Read]]&gt;=Table1[[#This Row],[Low Tol]],"Pass","Fail")))</f>
        <v>Pass</v>
      </c>
      <c r="AG2039" s="1" t="str">
        <f>IF(AND(Table1[[#This Row],[Spec Type2]]="N/A",Table1[[#This Row],[DUT Adj Read]]="N/A",Table1[[#This Row],[Std Adj Read]]="N/A"),"N/A",IF(Table1[[#This Row],[DUT Adj Read]]="N/A",IF(Table1[[#This Row],[Std Adj Read]]&lt;=Table1[[#This Row],[High Tol]],"Pass","Fail"),IF(Table1[[#This Row],[DUT Adj Read]]&lt;=Table1[[#This Row],[High Tol]],"Pass","Fail")))</f>
        <v>Fail</v>
      </c>
      <c r="AH20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39" s="1" t="b">
        <v>0</v>
      </c>
      <c r="AN2039" s="1" t="b">
        <v>0</v>
      </c>
      <c r="AO2039" s="1" t="b">
        <v>0</v>
      </c>
    </row>
    <row r="2040" spans="1:41" x14ac:dyDescent="0.25">
      <c r="A2040" s="10"/>
      <c r="B2040" s="10"/>
      <c r="C2040" s="10"/>
      <c r="D2040" s="10"/>
      <c r="E2040" s="10"/>
      <c r="F2040" s="10"/>
      <c r="G2040" s="10"/>
      <c r="H2040" s="10"/>
      <c r="I2040" s="1" t="str">
        <f t="shared" si="93"/>
        <v/>
      </c>
      <c r="J2040" s="1" t="s">
        <v>35</v>
      </c>
      <c r="K2040" s="1" t="str">
        <f t="shared" si="94"/>
        <v/>
      </c>
      <c r="L2040" s="1" t="str">
        <f t="shared" si="95"/>
        <v/>
      </c>
      <c r="M2040" s="1">
        <f>IF(OR(Table1[[#This Row],[Std Nom]]="",Table1[[#This Row],[Std Read]]=""),0,Table1[[#This Row],[Std Nom]]-Table1[[#This Row],[Std Read]])</f>
        <v>0</v>
      </c>
      <c r="N2040" s="1">
        <f>IF(Calculations!$F$5="ACCREDITED 17025 WITH UNCERTAINTIES",$N$10,0)</f>
        <v>0</v>
      </c>
      <c r="Q2040" s="1">
        <f>Table1[[#This Row],[High Tol]]-Table1[[#This Row],[Low Tol]]</f>
        <v>0</v>
      </c>
      <c r="R2040" s="1">
        <f>2*Table1[[#This Row],[Std Error]]</f>
        <v>0</v>
      </c>
      <c r="S2040" s="1" t="str">
        <f>IF(Table1[[#This Row],[High Tol]]="","N/A",IFERROR(ABS(Table1[[#This Row],[Tol Span]]/Table1[[#This Row],[Error Span]]),"N/A"))</f>
        <v>N/A</v>
      </c>
      <c r="T2040" s="1" t="str">
        <f>IF(OR(Table1[[#This Row],[Low Tol]]="",Table1[[#This Row],[High Tol]]=""),"Needs Analysis",IF(Table1[[#This Row],[Ratio]]&gt;=4,"Not Significant",IF(Table1[[#This Row],[Ratio]]&gt;=2,"Semi-Significant","Significant")))</f>
        <v>Needs Analysis</v>
      </c>
      <c r="W2040" s="1">
        <f>IF(Table1[[#This Row],[Cal Type]]&lt;&gt;"ACCREDITED 17025 WITH UNCERTAINTIES",0,"")</f>
        <v>0</v>
      </c>
      <c r="X2040" s="1" t="str">
        <f>IF(Table1[[#This Row],[DUT Read]]="","N/A",Table1[[#This Row],[Std Error]]+Table1[[#This Row],[DUT Read]]+Table1[[#This Row],[DUT Ucty]])</f>
        <v>N/A</v>
      </c>
      <c r="Y2040" s="1" t="str">
        <f>IF(Table1[[#This Row],[Std Read]]="","N/A",Table1[[#This Row],[Std Read]]+Table1[[#This Row],[Std Ucty]])</f>
        <v>N/A</v>
      </c>
      <c r="Z20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0" s="1" t="str">
        <f>IF(Table1[[#This Row],[Spec Type]]="","N/A",Table1[[#This Row],[Spec Type]])</f>
        <v>±</v>
      </c>
      <c r="AC2040" s="1" t="str">
        <f>IF(Table1[[#This Row],[Spec Type2]]="N/A","N/A",IF(AND(Table1[[#This Row],[DUT Adj Read]]&gt;=Table1[[#This Row],[Low Tol]],Table1[[#This Row],[DUT Adj Read]]&lt;=Table1[[#This Row],[High Tol]]),"Pass","Fail"))</f>
        <v>Fail</v>
      </c>
      <c r="AD2040" s="1" t="str">
        <f>IF(AND(Table1[[#This Row],[Spec Type2]]="N/A",Table1[[#This Row],[DUT Adj Read]]="N/A",Table1[[#This Row],[Std Adj Read]]="N/A"),"N/A",IF(Table1[[#This Row],[DUT Adj Read]]="N/A",IF(Table1[[#This Row],[Std Adj Read]]&gt;Table1[[#This Row],[Low Tol]],"Pass","Fail"),IF(Table1[[#This Row],[DUT Adj Read]]&gt;Table1[[#This Row],[Low Tol]],"Pass","Fail")))</f>
        <v>Pass</v>
      </c>
      <c r="AE2040" s="1" t="str">
        <f>IF(AND(Table1[[#This Row],[Spec Type2]]="N/A",Table1[[#This Row],[DUT Adj Read]]="N/A",Table1[[#This Row],[Std Adj Read]]="N/A"),"N/A",IF(Table1[[#This Row],[DUT Adj Read]]="N/A",IF(Table1[[#This Row],[Std Adj Read]]&lt;Table1[[#This Row],[High Tol]],"Pass","Fail"),IF(Table1[[#This Row],[DUT Adj Read]]&lt;Table1[[#This Row],[High Tol]],"Pass","Fail")))</f>
        <v>Fail</v>
      </c>
      <c r="AF2040" s="1" t="str">
        <f>IF(AND(Table1[[#This Row],[Spec Type2]]="N/A",Table1[[#This Row],[DUT Adj Read]]="N/A",Table1[[#This Row],[Std Adj Read]]="N/A"),"N/A",IF(Table1[[#This Row],[DUT Adj Read]]="N/A",IF(Table1[[#This Row],[Std Adj Read]]&gt;=Table1[[#This Row],[Low Tol]],"Pass","Fail"),IF(Table1[[#This Row],[DUT Adj Read]]&gt;=Table1[[#This Row],[Low Tol]],"Pass","Fail")))</f>
        <v>Pass</v>
      </c>
      <c r="AG2040" s="1" t="str">
        <f>IF(AND(Table1[[#This Row],[Spec Type2]]="N/A",Table1[[#This Row],[DUT Adj Read]]="N/A",Table1[[#This Row],[Std Adj Read]]="N/A"),"N/A",IF(Table1[[#This Row],[DUT Adj Read]]="N/A",IF(Table1[[#This Row],[Std Adj Read]]&lt;=Table1[[#This Row],[High Tol]],"Pass","Fail"),IF(Table1[[#This Row],[DUT Adj Read]]&lt;=Table1[[#This Row],[High Tol]],"Pass","Fail")))</f>
        <v>Fail</v>
      </c>
      <c r="AH20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0" s="1" t="b">
        <v>0</v>
      </c>
      <c r="AN2040" s="1" t="b">
        <v>0</v>
      </c>
      <c r="AO2040" s="1" t="b">
        <v>0</v>
      </c>
    </row>
    <row r="2041" spans="1:41" x14ac:dyDescent="0.25">
      <c r="A2041" s="10"/>
      <c r="B2041" s="10"/>
      <c r="C2041" s="10"/>
      <c r="D2041" s="10"/>
      <c r="E2041" s="10"/>
      <c r="F2041" s="10"/>
      <c r="G2041" s="10"/>
      <c r="H2041" s="10"/>
      <c r="I2041" s="1" t="str">
        <f t="shared" si="93"/>
        <v/>
      </c>
      <c r="J2041" s="1" t="s">
        <v>35</v>
      </c>
      <c r="K2041" s="1" t="str">
        <f t="shared" si="94"/>
        <v/>
      </c>
      <c r="L2041" s="1" t="str">
        <f t="shared" si="95"/>
        <v/>
      </c>
      <c r="M2041" s="1">
        <f>IF(OR(Table1[[#This Row],[Std Nom]]="",Table1[[#This Row],[Std Read]]=""),0,Table1[[#This Row],[Std Nom]]-Table1[[#This Row],[Std Read]])</f>
        <v>0</v>
      </c>
      <c r="N2041" s="1">
        <f>IF(Calculations!$F$5="ACCREDITED 17025 WITH UNCERTAINTIES",$N$10,0)</f>
        <v>0</v>
      </c>
      <c r="Q2041" s="1">
        <f>Table1[[#This Row],[High Tol]]-Table1[[#This Row],[Low Tol]]</f>
        <v>0</v>
      </c>
      <c r="R2041" s="1">
        <f>2*Table1[[#This Row],[Std Error]]</f>
        <v>0</v>
      </c>
      <c r="S2041" s="1" t="str">
        <f>IF(Table1[[#This Row],[High Tol]]="","N/A",IFERROR(ABS(Table1[[#This Row],[Tol Span]]/Table1[[#This Row],[Error Span]]),"N/A"))</f>
        <v>N/A</v>
      </c>
      <c r="T2041" s="1" t="str">
        <f>IF(OR(Table1[[#This Row],[Low Tol]]="",Table1[[#This Row],[High Tol]]=""),"Needs Analysis",IF(Table1[[#This Row],[Ratio]]&gt;=4,"Not Significant",IF(Table1[[#This Row],[Ratio]]&gt;=2,"Semi-Significant","Significant")))</f>
        <v>Needs Analysis</v>
      </c>
      <c r="W2041" s="1">
        <f>IF(Table1[[#This Row],[Cal Type]]&lt;&gt;"ACCREDITED 17025 WITH UNCERTAINTIES",0,"")</f>
        <v>0</v>
      </c>
      <c r="X2041" s="1" t="str">
        <f>IF(Table1[[#This Row],[DUT Read]]="","N/A",Table1[[#This Row],[Std Error]]+Table1[[#This Row],[DUT Read]]+Table1[[#This Row],[DUT Ucty]])</f>
        <v>N/A</v>
      </c>
      <c r="Y2041" s="1" t="str">
        <f>IF(Table1[[#This Row],[Std Read]]="","N/A",Table1[[#This Row],[Std Read]]+Table1[[#This Row],[Std Ucty]])</f>
        <v>N/A</v>
      </c>
      <c r="Z20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1" s="1" t="str">
        <f>IF(Table1[[#This Row],[Spec Type]]="","N/A",Table1[[#This Row],[Spec Type]])</f>
        <v>±</v>
      </c>
      <c r="AC2041" s="1" t="str">
        <f>IF(Table1[[#This Row],[Spec Type2]]="N/A","N/A",IF(AND(Table1[[#This Row],[DUT Adj Read]]&gt;=Table1[[#This Row],[Low Tol]],Table1[[#This Row],[DUT Adj Read]]&lt;=Table1[[#This Row],[High Tol]]),"Pass","Fail"))</f>
        <v>Fail</v>
      </c>
      <c r="AD2041" s="1" t="str">
        <f>IF(AND(Table1[[#This Row],[Spec Type2]]="N/A",Table1[[#This Row],[DUT Adj Read]]="N/A",Table1[[#This Row],[Std Adj Read]]="N/A"),"N/A",IF(Table1[[#This Row],[DUT Adj Read]]="N/A",IF(Table1[[#This Row],[Std Adj Read]]&gt;Table1[[#This Row],[Low Tol]],"Pass","Fail"),IF(Table1[[#This Row],[DUT Adj Read]]&gt;Table1[[#This Row],[Low Tol]],"Pass","Fail")))</f>
        <v>Pass</v>
      </c>
      <c r="AE2041" s="1" t="str">
        <f>IF(AND(Table1[[#This Row],[Spec Type2]]="N/A",Table1[[#This Row],[DUT Adj Read]]="N/A",Table1[[#This Row],[Std Adj Read]]="N/A"),"N/A",IF(Table1[[#This Row],[DUT Adj Read]]="N/A",IF(Table1[[#This Row],[Std Adj Read]]&lt;Table1[[#This Row],[High Tol]],"Pass","Fail"),IF(Table1[[#This Row],[DUT Adj Read]]&lt;Table1[[#This Row],[High Tol]],"Pass","Fail")))</f>
        <v>Fail</v>
      </c>
      <c r="AF2041" s="1" t="str">
        <f>IF(AND(Table1[[#This Row],[Spec Type2]]="N/A",Table1[[#This Row],[DUT Adj Read]]="N/A",Table1[[#This Row],[Std Adj Read]]="N/A"),"N/A",IF(Table1[[#This Row],[DUT Adj Read]]="N/A",IF(Table1[[#This Row],[Std Adj Read]]&gt;=Table1[[#This Row],[Low Tol]],"Pass","Fail"),IF(Table1[[#This Row],[DUT Adj Read]]&gt;=Table1[[#This Row],[Low Tol]],"Pass","Fail")))</f>
        <v>Pass</v>
      </c>
      <c r="AG2041" s="1" t="str">
        <f>IF(AND(Table1[[#This Row],[Spec Type2]]="N/A",Table1[[#This Row],[DUT Adj Read]]="N/A",Table1[[#This Row],[Std Adj Read]]="N/A"),"N/A",IF(Table1[[#This Row],[DUT Adj Read]]="N/A",IF(Table1[[#This Row],[Std Adj Read]]&lt;=Table1[[#This Row],[High Tol]],"Pass","Fail"),IF(Table1[[#This Row],[DUT Adj Read]]&lt;=Table1[[#This Row],[High Tol]],"Pass","Fail")))</f>
        <v>Fail</v>
      </c>
      <c r="AH20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1" s="1" t="b">
        <v>0</v>
      </c>
      <c r="AN2041" s="1" t="b">
        <v>0</v>
      </c>
      <c r="AO2041" s="1" t="b">
        <v>0</v>
      </c>
    </row>
    <row r="2042" spans="1:41" x14ac:dyDescent="0.25">
      <c r="A2042" s="10"/>
      <c r="B2042" s="10"/>
      <c r="C2042" s="10"/>
      <c r="D2042" s="10"/>
      <c r="E2042" s="10"/>
      <c r="F2042" s="10"/>
      <c r="G2042" s="10"/>
      <c r="H2042" s="10"/>
      <c r="I2042" s="1" t="str">
        <f t="shared" si="93"/>
        <v/>
      </c>
      <c r="J2042" s="1" t="s">
        <v>35</v>
      </c>
      <c r="K2042" s="1" t="str">
        <f t="shared" si="94"/>
        <v/>
      </c>
      <c r="L2042" s="1" t="str">
        <f t="shared" si="95"/>
        <v/>
      </c>
      <c r="M2042" s="1">
        <f>IF(OR(Table1[[#This Row],[Std Nom]]="",Table1[[#This Row],[Std Read]]=""),0,Table1[[#This Row],[Std Nom]]-Table1[[#This Row],[Std Read]])</f>
        <v>0</v>
      </c>
      <c r="N2042" s="1">
        <f>IF(Calculations!$F$5="ACCREDITED 17025 WITH UNCERTAINTIES",$N$10,0)</f>
        <v>0</v>
      </c>
      <c r="Q2042" s="1">
        <f>Table1[[#This Row],[High Tol]]-Table1[[#This Row],[Low Tol]]</f>
        <v>0</v>
      </c>
      <c r="R2042" s="1">
        <f>2*Table1[[#This Row],[Std Error]]</f>
        <v>0</v>
      </c>
      <c r="S2042" s="1" t="str">
        <f>IF(Table1[[#This Row],[High Tol]]="","N/A",IFERROR(ABS(Table1[[#This Row],[Tol Span]]/Table1[[#This Row],[Error Span]]),"N/A"))</f>
        <v>N/A</v>
      </c>
      <c r="T2042" s="1" t="str">
        <f>IF(OR(Table1[[#This Row],[Low Tol]]="",Table1[[#This Row],[High Tol]]=""),"Needs Analysis",IF(Table1[[#This Row],[Ratio]]&gt;=4,"Not Significant",IF(Table1[[#This Row],[Ratio]]&gt;=2,"Semi-Significant","Significant")))</f>
        <v>Needs Analysis</v>
      </c>
      <c r="W2042" s="1">
        <f>IF(Table1[[#This Row],[Cal Type]]&lt;&gt;"ACCREDITED 17025 WITH UNCERTAINTIES",0,"")</f>
        <v>0</v>
      </c>
      <c r="X2042" s="1" t="str">
        <f>IF(Table1[[#This Row],[DUT Read]]="","N/A",Table1[[#This Row],[Std Error]]+Table1[[#This Row],[DUT Read]]+Table1[[#This Row],[DUT Ucty]])</f>
        <v>N/A</v>
      </c>
      <c r="Y2042" s="1" t="str">
        <f>IF(Table1[[#This Row],[Std Read]]="","N/A",Table1[[#This Row],[Std Read]]+Table1[[#This Row],[Std Ucty]])</f>
        <v>N/A</v>
      </c>
      <c r="Z20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2" s="1" t="str">
        <f>IF(Table1[[#This Row],[Spec Type]]="","N/A",Table1[[#This Row],[Spec Type]])</f>
        <v>±</v>
      </c>
      <c r="AC2042" s="1" t="str">
        <f>IF(Table1[[#This Row],[Spec Type2]]="N/A","N/A",IF(AND(Table1[[#This Row],[DUT Adj Read]]&gt;=Table1[[#This Row],[Low Tol]],Table1[[#This Row],[DUT Adj Read]]&lt;=Table1[[#This Row],[High Tol]]),"Pass","Fail"))</f>
        <v>Fail</v>
      </c>
      <c r="AD2042" s="1" t="str">
        <f>IF(AND(Table1[[#This Row],[Spec Type2]]="N/A",Table1[[#This Row],[DUT Adj Read]]="N/A",Table1[[#This Row],[Std Adj Read]]="N/A"),"N/A",IF(Table1[[#This Row],[DUT Adj Read]]="N/A",IF(Table1[[#This Row],[Std Adj Read]]&gt;Table1[[#This Row],[Low Tol]],"Pass","Fail"),IF(Table1[[#This Row],[DUT Adj Read]]&gt;Table1[[#This Row],[Low Tol]],"Pass","Fail")))</f>
        <v>Pass</v>
      </c>
      <c r="AE2042" s="1" t="str">
        <f>IF(AND(Table1[[#This Row],[Spec Type2]]="N/A",Table1[[#This Row],[DUT Adj Read]]="N/A",Table1[[#This Row],[Std Adj Read]]="N/A"),"N/A",IF(Table1[[#This Row],[DUT Adj Read]]="N/A",IF(Table1[[#This Row],[Std Adj Read]]&lt;Table1[[#This Row],[High Tol]],"Pass","Fail"),IF(Table1[[#This Row],[DUT Adj Read]]&lt;Table1[[#This Row],[High Tol]],"Pass","Fail")))</f>
        <v>Fail</v>
      </c>
      <c r="AF2042" s="1" t="str">
        <f>IF(AND(Table1[[#This Row],[Spec Type2]]="N/A",Table1[[#This Row],[DUT Adj Read]]="N/A",Table1[[#This Row],[Std Adj Read]]="N/A"),"N/A",IF(Table1[[#This Row],[DUT Adj Read]]="N/A",IF(Table1[[#This Row],[Std Adj Read]]&gt;=Table1[[#This Row],[Low Tol]],"Pass","Fail"),IF(Table1[[#This Row],[DUT Adj Read]]&gt;=Table1[[#This Row],[Low Tol]],"Pass","Fail")))</f>
        <v>Pass</v>
      </c>
      <c r="AG2042" s="1" t="str">
        <f>IF(AND(Table1[[#This Row],[Spec Type2]]="N/A",Table1[[#This Row],[DUT Adj Read]]="N/A",Table1[[#This Row],[Std Adj Read]]="N/A"),"N/A",IF(Table1[[#This Row],[DUT Adj Read]]="N/A",IF(Table1[[#This Row],[Std Adj Read]]&lt;=Table1[[#This Row],[High Tol]],"Pass","Fail"),IF(Table1[[#This Row],[DUT Adj Read]]&lt;=Table1[[#This Row],[High Tol]],"Pass","Fail")))</f>
        <v>Fail</v>
      </c>
      <c r="AH20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2" s="1" t="b">
        <v>0</v>
      </c>
      <c r="AN2042" s="1" t="b">
        <v>0</v>
      </c>
      <c r="AO2042" s="1" t="b">
        <v>0</v>
      </c>
    </row>
    <row r="2043" spans="1:41" x14ac:dyDescent="0.25">
      <c r="A2043" s="10"/>
      <c r="B2043" s="10"/>
      <c r="C2043" s="10"/>
      <c r="D2043" s="10"/>
      <c r="E2043" s="10"/>
      <c r="F2043" s="10"/>
      <c r="G2043" s="10"/>
      <c r="H2043" s="10"/>
      <c r="I2043" s="1" t="str">
        <f t="shared" si="93"/>
        <v/>
      </c>
      <c r="J2043" s="1" t="s">
        <v>35</v>
      </c>
      <c r="K2043" s="1" t="str">
        <f t="shared" si="94"/>
        <v/>
      </c>
      <c r="L2043" s="1" t="str">
        <f t="shared" si="95"/>
        <v/>
      </c>
      <c r="M2043" s="1">
        <f>IF(OR(Table1[[#This Row],[Std Nom]]="",Table1[[#This Row],[Std Read]]=""),0,Table1[[#This Row],[Std Nom]]-Table1[[#This Row],[Std Read]])</f>
        <v>0</v>
      </c>
      <c r="N2043" s="1">
        <f>IF(Calculations!$F$5="ACCREDITED 17025 WITH UNCERTAINTIES",$N$10,0)</f>
        <v>0</v>
      </c>
      <c r="Q2043" s="1">
        <f>Table1[[#This Row],[High Tol]]-Table1[[#This Row],[Low Tol]]</f>
        <v>0</v>
      </c>
      <c r="R2043" s="1">
        <f>2*Table1[[#This Row],[Std Error]]</f>
        <v>0</v>
      </c>
      <c r="S2043" s="1" t="str">
        <f>IF(Table1[[#This Row],[High Tol]]="","N/A",IFERROR(ABS(Table1[[#This Row],[Tol Span]]/Table1[[#This Row],[Error Span]]),"N/A"))</f>
        <v>N/A</v>
      </c>
      <c r="T2043" s="1" t="str">
        <f>IF(OR(Table1[[#This Row],[Low Tol]]="",Table1[[#This Row],[High Tol]]=""),"Needs Analysis",IF(Table1[[#This Row],[Ratio]]&gt;=4,"Not Significant",IF(Table1[[#This Row],[Ratio]]&gt;=2,"Semi-Significant","Significant")))</f>
        <v>Needs Analysis</v>
      </c>
      <c r="W2043" s="1">
        <f>IF(Table1[[#This Row],[Cal Type]]&lt;&gt;"ACCREDITED 17025 WITH UNCERTAINTIES",0,"")</f>
        <v>0</v>
      </c>
      <c r="X2043" s="1" t="str">
        <f>IF(Table1[[#This Row],[DUT Read]]="","N/A",Table1[[#This Row],[Std Error]]+Table1[[#This Row],[DUT Read]]+Table1[[#This Row],[DUT Ucty]])</f>
        <v>N/A</v>
      </c>
      <c r="Y2043" s="1" t="str">
        <f>IF(Table1[[#This Row],[Std Read]]="","N/A",Table1[[#This Row],[Std Read]]+Table1[[#This Row],[Std Ucty]])</f>
        <v>N/A</v>
      </c>
      <c r="Z20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3" s="1" t="str">
        <f>IF(Table1[[#This Row],[Spec Type]]="","N/A",Table1[[#This Row],[Spec Type]])</f>
        <v>±</v>
      </c>
      <c r="AC2043" s="1" t="str">
        <f>IF(Table1[[#This Row],[Spec Type2]]="N/A","N/A",IF(AND(Table1[[#This Row],[DUT Adj Read]]&gt;=Table1[[#This Row],[Low Tol]],Table1[[#This Row],[DUT Adj Read]]&lt;=Table1[[#This Row],[High Tol]]),"Pass","Fail"))</f>
        <v>Fail</v>
      </c>
      <c r="AD2043" s="1" t="str">
        <f>IF(AND(Table1[[#This Row],[Spec Type2]]="N/A",Table1[[#This Row],[DUT Adj Read]]="N/A",Table1[[#This Row],[Std Adj Read]]="N/A"),"N/A",IF(Table1[[#This Row],[DUT Adj Read]]="N/A",IF(Table1[[#This Row],[Std Adj Read]]&gt;Table1[[#This Row],[Low Tol]],"Pass","Fail"),IF(Table1[[#This Row],[DUT Adj Read]]&gt;Table1[[#This Row],[Low Tol]],"Pass","Fail")))</f>
        <v>Pass</v>
      </c>
      <c r="AE2043" s="1" t="str">
        <f>IF(AND(Table1[[#This Row],[Spec Type2]]="N/A",Table1[[#This Row],[DUT Adj Read]]="N/A",Table1[[#This Row],[Std Adj Read]]="N/A"),"N/A",IF(Table1[[#This Row],[DUT Adj Read]]="N/A",IF(Table1[[#This Row],[Std Adj Read]]&lt;Table1[[#This Row],[High Tol]],"Pass","Fail"),IF(Table1[[#This Row],[DUT Adj Read]]&lt;Table1[[#This Row],[High Tol]],"Pass","Fail")))</f>
        <v>Fail</v>
      </c>
      <c r="AF2043" s="1" t="str">
        <f>IF(AND(Table1[[#This Row],[Spec Type2]]="N/A",Table1[[#This Row],[DUT Adj Read]]="N/A",Table1[[#This Row],[Std Adj Read]]="N/A"),"N/A",IF(Table1[[#This Row],[DUT Adj Read]]="N/A",IF(Table1[[#This Row],[Std Adj Read]]&gt;=Table1[[#This Row],[Low Tol]],"Pass","Fail"),IF(Table1[[#This Row],[DUT Adj Read]]&gt;=Table1[[#This Row],[Low Tol]],"Pass","Fail")))</f>
        <v>Pass</v>
      </c>
      <c r="AG2043" s="1" t="str">
        <f>IF(AND(Table1[[#This Row],[Spec Type2]]="N/A",Table1[[#This Row],[DUT Adj Read]]="N/A",Table1[[#This Row],[Std Adj Read]]="N/A"),"N/A",IF(Table1[[#This Row],[DUT Adj Read]]="N/A",IF(Table1[[#This Row],[Std Adj Read]]&lt;=Table1[[#This Row],[High Tol]],"Pass","Fail"),IF(Table1[[#This Row],[DUT Adj Read]]&lt;=Table1[[#This Row],[High Tol]],"Pass","Fail")))</f>
        <v>Fail</v>
      </c>
      <c r="AH20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3" s="1" t="b">
        <v>0</v>
      </c>
      <c r="AN2043" s="1" t="b">
        <v>0</v>
      </c>
      <c r="AO2043" s="1" t="b">
        <v>0</v>
      </c>
    </row>
    <row r="2044" spans="1:41" x14ac:dyDescent="0.25">
      <c r="A2044" s="10"/>
      <c r="B2044" s="10"/>
      <c r="C2044" s="10"/>
      <c r="D2044" s="10"/>
      <c r="E2044" s="10"/>
      <c r="F2044" s="10"/>
      <c r="G2044" s="10"/>
      <c r="H2044" s="10"/>
      <c r="I2044" s="1" t="str">
        <f t="shared" si="93"/>
        <v/>
      </c>
      <c r="J2044" s="1" t="s">
        <v>35</v>
      </c>
      <c r="K2044" s="1" t="str">
        <f t="shared" si="94"/>
        <v/>
      </c>
      <c r="L2044" s="1" t="str">
        <f t="shared" si="95"/>
        <v/>
      </c>
      <c r="M2044" s="1">
        <f>IF(OR(Table1[[#This Row],[Std Nom]]="",Table1[[#This Row],[Std Read]]=""),0,Table1[[#This Row],[Std Nom]]-Table1[[#This Row],[Std Read]])</f>
        <v>0</v>
      </c>
      <c r="N2044" s="1">
        <f>IF(Calculations!$F$5="ACCREDITED 17025 WITH UNCERTAINTIES",$N$10,0)</f>
        <v>0</v>
      </c>
      <c r="Q2044" s="1">
        <f>Table1[[#This Row],[High Tol]]-Table1[[#This Row],[Low Tol]]</f>
        <v>0</v>
      </c>
      <c r="R2044" s="1">
        <f>2*Table1[[#This Row],[Std Error]]</f>
        <v>0</v>
      </c>
      <c r="S2044" s="1" t="str">
        <f>IF(Table1[[#This Row],[High Tol]]="","N/A",IFERROR(ABS(Table1[[#This Row],[Tol Span]]/Table1[[#This Row],[Error Span]]),"N/A"))</f>
        <v>N/A</v>
      </c>
      <c r="T2044" s="1" t="str">
        <f>IF(OR(Table1[[#This Row],[Low Tol]]="",Table1[[#This Row],[High Tol]]=""),"Needs Analysis",IF(Table1[[#This Row],[Ratio]]&gt;=4,"Not Significant",IF(Table1[[#This Row],[Ratio]]&gt;=2,"Semi-Significant","Significant")))</f>
        <v>Needs Analysis</v>
      </c>
      <c r="W2044" s="1">
        <f>IF(Table1[[#This Row],[Cal Type]]&lt;&gt;"ACCREDITED 17025 WITH UNCERTAINTIES",0,"")</f>
        <v>0</v>
      </c>
      <c r="X2044" s="1" t="str">
        <f>IF(Table1[[#This Row],[DUT Read]]="","N/A",Table1[[#This Row],[Std Error]]+Table1[[#This Row],[DUT Read]]+Table1[[#This Row],[DUT Ucty]])</f>
        <v>N/A</v>
      </c>
      <c r="Y2044" s="1" t="str">
        <f>IF(Table1[[#This Row],[Std Read]]="","N/A",Table1[[#This Row],[Std Read]]+Table1[[#This Row],[Std Ucty]])</f>
        <v>N/A</v>
      </c>
      <c r="Z20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4" s="1" t="str">
        <f>IF(Table1[[#This Row],[Spec Type]]="","N/A",Table1[[#This Row],[Spec Type]])</f>
        <v>±</v>
      </c>
      <c r="AC2044" s="1" t="str">
        <f>IF(Table1[[#This Row],[Spec Type2]]="N/A","N/A",IF(AND(Table1[[#This Row],[DUT Adj Read]]&gt;=Table1[[#This Row],[Low Tol]],Table1[[#This Row],[DUT Adj Read]]&lt;=Table1[[#This Row],[High Tol]]),"Pass","Fail"))</f>
        <v>Fail</v>
      </c>
      <c r="AD2044" s="1" t="str">
        <f>IF(AND(Table1[[#This Row],[Spec Type2]]="N/A",Table1[[#This Row],[DUT Adj Read]]="N/A",Table1[[#This Row],[Std Adj Read]]="N/A"),"N/A",IF(Table1[[#This Row],[DUT Adj Read]]="N/A",IF(Table1[[#This Row],[Std Adj Read]]&gt;Table1[[#This Row],[Low Tol]],"Pass","Fail"),IF(Table1[[#This Row],[DUT Adj Read]]&gt;Table1[[#This Row],[Low Tol]],"Pass","Fail")))</f>
        <v>Pass</v>
      </c>
      <c r="AE2044" s="1" t="str">
        <f>IF(AND(Table1[[#This Row],[Spec Type2]]="N/A",Table1[[#This Row],[DUT Adj Read]]="N/A",Table1[[#This Row],[Std Adj Read]]="N/A"),"N/A",IF(Table1[[#This Row],[DUT Adj Read]]="N/A",IF(Table1[[#This Row],[Std Adj Read]]&lt;Table1[[#This Row],[High Tol]],"Pass","Fail"),IF(Table1[[#This Row],[DUT Adj Read]]&lt;Table1[[#This Row],[High Tol]],"Pass","Fail")))</f>
        <v>Fail</v>
      </c>
      <c r="AF2044" s="1" t="str">
        <f>IF(AND(Table1[[#This Row],[Spec Type2]]="N/A",Table1[[#This Row],[DUT Adj Read]]="N/A",Table1[[#This Row],[Std Adj Read]]="N/A"),"N/A",IF(Table1[[#This Row],[DUT Adj Read]]="N/A",IF(Table1[[#This Row],[Std Adj Read]]&gt;=Table1[[#This Row],[Low Tol]],"Pass","Fail"),IF(Table1[[#This Row],[DUT Adj Read]]&gt;=Table1[[#This Row],[Low Tol]],"Pass","Fail")))</f>
        <v>Pass</v>
      </c>
      <c r="AG2044" s="1" t="str">
        <f>IF(AND(Table1[[#This Row],[Spec Type2]]="N/A",Table1[[#This Row],[DUT Adj Read]]="N/A",Table1[[#This Row],[Std Adj Read]]="N/A"),"N/A",IF(Table1[[#This Row],[DUT Adj Read]]="N/A",IF(Table1[[#This Row],[Std Adj Read]]&lt;=Table1[[#This Row],[High Tol]],"Pass","Fail"),IF(Table1[[#This Row],[DUT Adj Read]]&lt;=Table1[[#This Row],[High Tol]],"Pass","Fail")))</f>
        <v>Fail</v>
      </c>
      <c r="AH20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4" s="1" t="b">
        <v>0</v>
      </c>
      <c r="AN2044" s="1" t="b">
        <v>0</v>
      </c>
      <c r="AO2044" s="1" t="b">
        <v>0</v>
      </c>
    </row>
    <row r="2045" spans="1:41" x14ac:dyDescent="0.25">
      <c r="A2045" s="10"/>
      <c r="B2045" s="10"/>
      <c r="C2045" s="10"/>
      <c r="D2045" s="10"/>
      <c r="E2045" s="10"/>
      <c r="F2045" s="10"/>
      <c r="G2045" s="10"/>
      <c r="H2045" s="10"/>
      <c r="I2045" s="1" t="str">
        <f t="shared" si="93"/>
        <v/>
      </c>
      <c r="J2045" s="1" t="s">
        <v>35</v>
      </c>
      <c r="K2045" s="1" t="str">
        <f t="shared" si="94"/>
        <v/>
      </c>
      <c r="L2045" s="1" t="str">
        <f t="shared" si="95"/>
        <v/>
      </c>
      <c r="M2045" s="1">
        <f>IF(OR(Table1[[#This Row],[Std Nom]]="",Table1[[#This Row],[Std Read]]=""),0,Table1[[#This Row],[Std Nom]]-Table1[[#This Row],[Std Read]])</f>
        <v>0</v>
      </c>
      <c r="N2045" s="1">
        <f>IF(Calculations!$F$5="ACCREDITED 17025 WITH UNCERTAINTIES",$N$10,0)</f>
        <v>0</v>
      </c>
      <c r="Q2045" s="1">
        <f>Table1[[#This Row],[High Tol]]-Table1[[#This Row],[Low Tol]]</f>
        <v>0</v>
      </c>
      <c r="R2045" s="1">
        <f>2*Table1[[#This Row],[Std Error]]</f>
        <v>0</v>
      </c>
      <c r="S2045" s="1" t="str">
        <f>IF(Table1[[#This Row],[High Tol]]="","N/A",IFERROR(ABS(Table1[[#This Row],[Tol Span]]/Table1[[#This Row],[Error Span]]),"N/A"))</f>
        <v>N/A</v>
      </c>
      <c r="T2045" s="1" t="str">
        <f>IF(OR(Table1[[#This Row],[Low Tol]]="",Table1[[#This Row],[High Tol]]=""),"Needs Analysis",IF(Table1[[#This Row],[Ratio]]&gt;=4,"Not Significant",IF(Table1[[#This Row],[Ratio]]&gt;=2,"Semi-Significant","Significant")))</f>
        <v>Needs Analysis</v>
      </c>
      <c r="W2045" s="1">
        <f>IF(Table1[[#This Row],[Cal Type]]&lt;&gt;"ACCREDITED 17025 WITH UNCERTAINTIES",0,"")</f>
        <v>0</v>
      </c>
      <c r="X2045" s="1" t="str">
        <f>IF(Table1[[#This Row],[DUT Read]]="","N/A",Table1[[#This Row],[Std Error]]+Table1[[#This Row],[DUT Read]]+Table1[[#This Row],[DUT Ucty]])</f>
        <v>N/A</v>
      </c>
      <c r="Y2045" s="1" t="str">
        <f>IF(Table1[[#This Row],[Std Read]]="","N/A",Table1[[#This Row],[Std Read]]+Table1[[#This Row],[Std Ucty]])</f>
        <v>N/A</v>
      </c>
      <c r="Z20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5" s="1" t="str">
        <f>IF(Table1[[#This Row],[Spec Type]]="","N/A",Table1[[#This Row],[Spec Type]])</f>
        <v>±</v>
      </c>
      <c r="AC2045" s="1" t="str">
        <f>IF(Table1[[#This Row],[Spec Type2]]="N/A","N/A",IF(AND(Table1[[#This Row],[DUT Adj Read]]&gt;=Table1[[#This Row],[Low Tol]],Table1[[#This Row],[DUT Adj Read]]&lt;=Table1[[#This Row],[High Tol]]),"Pass","Fail"))</f>
        <v>Fail</v>
      </c>
      <c r="AD2045" s="1" t="str">
        <f>IF(AND(Table1[[#This Row],[Spec Type2]]="N/A",Table1[[#This Row],[DUT Adj Read]]="N/A",Table1[[#This Row],[Std Adj Read]]="N/A"),"N/A",IF(Table1[[#This Row],[DUT Adj Read]]="N/A",IF(Table1[[#This Row],[Std Adj Read]]&gt;Table1[[#This Row],[Low Tol]],"Pass","Fail"),IF(Table1[[#This Row],[DUT Adj Read]]&gt;Table1[[#This Row],[Low Tol]],"Pass","Fail")))</f>
        <v>Pass</v>
      </c>
      <c r="AE2045" s="1" t="str">
        <f>IF(AND(Table1[[#This Row],[Spec Type2]]="N/A",Table1[[#This Row],[DUT Adj Read]]="N/A",Table1[[#This Row],[Std Adj Read]]="N/A"),"N/A",IF(Table1[[#This Row],[DUT Adj Read]]="N/A",IF(Table1[[#This Row],[Std Adj Read]]&lt;Table1[[#This Row],[High Tol]],"Pass","Fail"),IF(Table1[[#This Row],[DUT Adj Read]]&lt;Table1[[#This Row],[High Tol]],"Pass","Fail")))</f>
        <v>Fail</v>
      </c>
      <c r="AF2045" s="1" t="str">
        <f>IF(AND(Table1[[#This Row],[Spec Type2]]="N/A",Table1[[#This Row],[DUT Adj Read]]="N/A",Table1[[#This Row],[Std Adj Read]]="N/A"),"N/A",IF(Table1[[#This Row],[DUT Adj Read]]="N/A",IF(Table1[[#This Row],[Std Adj Read]]&gt;=Table1[[#This Row],[Low Tol]],"Pass","Fail"),IF(Table1[[#This Row],[DUT Adj Read]]&gt;=Table1[[#This Row],[Low Tol]],"Pass","Fail")))</f>
        <v>Pass</v>
      </c>
      <c r="AG2045" s="1" t="str">
        <f>IF(AND(Table1[[#This Row],[Spec Type2]]="N/A",Table1[[#This Row],[DUT Adj Read]]="N/A",Table1[[#This Row],[Std Adj Read]]="N/A"),"N/A",IF(Table1[[#This Row],[DUT Adj Read]]="N/A",IF(Table1[[#This Row],[Std Adj Read]]&lt;=Table1[[#This Row],[High Tol]],"Pass","Fail"),IF(Table1[[#This Row],[DUT Adj Read]]&lt;=Table1[[#This Row],[High Tol]],"Pass","Fail")))</f>
        <v>Fail</v>
      </c>
      <c r="AH20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5" s="1" t="b">
        <v>0</v>
      </c>
      <c r="AN2045" s="1" t="b">
        <v>0</v>
      </c>
      <c r="AO2045" s="1" t="b">
        <v>0</v>
      </c>
    </row>
    <row r="2046" spans="1:41" x14ac:dyDescent="0.25">
      <c r="A2046" s="10"/>
      <c r="B2046" s="10"/>
      <c r="C2046" s="10"/>
      <c r="D2046" s="10"/>
      <c r="E2046" s="10"/>
      <c r="F2046" s="10"/>
      <c r="G2046" s="10"/>
      <c r="H2046" s="10"/>
      <c r="I2046" s="1" t="str">
        <f t="shared" si="93"/>
        <v/>
      </c>
      <c r="J2046" s="1" t="s">
        <v>35</v>
      </c>
      <c r="K2046" s="1" t="str">
        <f t="shared" si="94"/>
        <v/>
      </c>
      <c r="L2046" s="1" t="str">
        <f t="shared" si="95"/>
        <v/>
      </c>
      <c r="M2046" s="1">
        <f>IF(OR(Table1[[#This Row],[Std Nom]]="",Table1[[#This Row],[Std Read]]=""),0,Table1[[#This Row],[Std Nom]]-Table1[[#This Row],[Std Read]])</f>
        <v>0</v>
      </c>
      <c r="N2046" s="1">
        <f>IF(Calculations!$F$5="ACCREDITED 17025 WITH UNCERTAINTIES",$N$10,0)</f>
        <v>0</v>
      </c>
      <c r="Q2046" s="1">
        <f>Table1[[#This Row],[High Tol]]-Table1[[#This Row],[Low Tol]]</f>
        <v>0</v>
      </c>
      <c r="R2046" s="1">
        <f>2*Table1[[#This Row],[Std Error]]</f>
        <v>0</v>
      </c>
      <c r="S2046" s="1" t="str">
        <f>IF(Table1[[#This Row],[High Tol]]="","N/A",IFERROR(ABS(Table1[[#This Row],[Tol Span]]/Table1[[#This Row],[Error Span]]),"N/A"))</f>
        <v>N/A</v>
      </c>
      <c r="T2046" s="1" t="str">
        <f>IF(OR(Table1[[#This Row],[Low Tol]]="",Table1[[#This Row],[High Tol]]=""),"Needs Analysis",IF(Table1[[#This Row],[Ratio]]&gt;=4,"Not Significant",IF(Table1[[#This Row],[Ratio]]&gt;=2,"Semi-Significant","Significant")))</f>
        <v>Needs Analysis</v>
      </c>
      <c r="W2046" s="1">
        <f>IF(Table1[[#This Row],[Cal Type]]&lt;&gt;"ACCREDITED 17025 WITH UNCERTAINTIES",0,"")</f>
        <v>0</v>
      </c>
      <c r="X2046" s="1" t="str">
        <f>IF(Table1[[#This Row],[DUT Read]]="","N/A",Table1[[#This Row],[Std Error]]+Table1[[#This Row],[DUT Read]]+Table1[[#This Row],[DUT Ucty]])</f>
        <v>N/A</v>
      </c>
      <c r="Y2046" s="1" t="str">
        <f>IF(Table1[[#This Row],[Std Read]]="","N/A",Table1[[#This Row],[Std Read]]+Table1[[#This Row],[Std Ucty]])</f>
        <v>N/A</v>
      </c>
      <c r="Z20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6" s="1" t="str">
        <f>IF(Table1[[#This Row],[Spec Type]]="","N/A",Table1[[#This Row],[Spec Type]])</f>
        <v>±</v>
      </c>
      <c r="AC2046" s="1" t="str">
        <f>IF(Table1[[#This Row],[Spec Type2]]="N/A","N/A",IF(AND(Table1[[#This Row],[DUT Adj Read]]&gt;=Table1[[#This Row],[Low Tol]],Table1[[#This Row],[DUT Adj Read]]&lt;=Table1[[#This Row],[High Tol]]),"Pass","Fail"))</f>
        <v>Fail</v>
      </c>
      <c r="AD2046" s="1" t="str">
        <f>IF(AND(Table1[[#This Row],[Spec Type2]]="N/A",Table1[[#This Row],[DUT Adj Read]]="N/A",Table1[[#This Row],[Std Adj Read]]="N/A"),"N/A",IF(Table1[[#This Row],[DUT Adj Read]]="N/A",IF(Table1[[#This Row],[Std Adj Read]]&gt;Table1[[#This Row],[Low Tol]],"Pass","Fail"),IF(Table1[[#This Row],[DUT Adj Read]]&gt;Table1[[#This Row],[Low Tol]],"Pass","Fail")))</f>
        <v>Pass</v>
      </c>
      <c r="AE2046" s="1" t="str">
        <f>IF(AND(Table1[[#This Row],[Spec Type2]]="N/A",Table1[[#This Row],[DUT Adj Read]]="N/A",Table1[[#This Row],[Std Adj Read]]="N/A"),"N/A",IF(Table1[[#This Row],[DUT Adj Read]]="N/A",IF(Table1[[#This Row],[Std Adj Read]]&lt;Table1[[#This Row],[High Tol]],"Pass","Fail"),IF(Table1[[#This Row],[DUT Adj Read]]&lt;Table1[[#This Row],[High Tol]],"Pass","Fail")))</f>
        <v>Fail</v>
      </c>
      <c r="AF2046" s="1" t="str">
        <f>IF(AND(Table1[[#This Row],[Spec Type2]]="N/A",Table1[[#This Row],[DUT Adj Read]]="N/A",Table1[[#This Row],[Std Adj Read]]="N/A"),"N/A",IF(Table1[[#This Row],[DUT Adj Read]]="N/A",IF(Table1[[#This Row],[Std Adj Read]]&gt;=Table1[[#This Row],[Low Tol]],"Pass","Fail"),IF(Table1[[#This Row],[DUT Adj Read]]&gt;=Table1[[#This Row],[Low Tol]],"Pass","Fail")))</f>
        <v>Pass</v>
      </c>
      <c r="AG2046" s="1" t="str">
        <f>IF(AND(Table1[[#This Row],[Spec Type2]]="N/A",Table1[[#This Row],[DUT Adj Read]]="N/A",Table1[[#This Row],[Std Adj Read]]="N/A"),"N/A",IF(Table1[[#This Row],[DUT Adj Read]]="N/A",IF(Table1[[#This Row],[Std Adj Read]]&lt;=Table1[[#This Row],[High Tol]],"Pass","Fail"),IF(Table1[[#This Row],[DUT Adj Read]]&lt;=Table1[[#This Row],[High Tol]],"Pass","Fail")))</f>
        <v>Fail</v>
      </c>
      <c r="AH20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6" s="1" t="b">
        <v>0</v>
      </c>
      <c r="AN2046" s="1" t="b">
        <v>0</v>
      </c>
      <c r="AO2046" s="1" t="b">
        <v>0</v>
      </c>
    </row>
    <row r="2047" spans="1:41" x14ac:dyDescent="0.25">
      <c r="A2047" s="10"/>
      <c r="B2047" s="10"/>
      <c r="C2047" s="10"/>
      <c r="D2047" s="10"/>
      <c r="E2047" s="10"/>
      <c r="F2047" s="10"/>
      <c r="G2047" s="10"/>
      <c r="H2047" s="10"/>
      <c r="I2047" s="1" t="str">
        <f t="shared" si="93"/>
        <v/>
      </c>
      <c r="J2047" s="1" t="s">
        <v>35</v>
      </c>
      <c r="K2047" s="1" t="str">
        <f t="shared" si="94"/>
        <v/>
      </c>
      <c r="L2047" s="1" t="str">
        <f t="shared" si="95"/>
        <v/>
      </c>
      <c r="M2047" s="1">
        <f>IF(OR(Table1[[#This Row],[Std Nom]]="",Table1[[#This Row],[Std Read]]=""),0,Table1[[#This Row],[Std Nom]]-Table1[[#This Row],[Std Read]])</f>
        <v>0</v>
      </c>
      <c r="N2047" s="1">
        <f>IF(Calculations!$F$5="ACCREDITED 17025 WITH UNCERTAINTIES",$N$10,0)</f>
        <v>0</v>
      </c>
      <c r="Q2047" s="1">
        <f>Table1[[#This Row],[High Tol]]-Table1[[#This Row],[Low Tol]]</f>
        <v>0</v>
      </c>
      <c r="R2047" s="1">
        <f>2*Table1[[#This Row],[Std Error]]</f>
        <v>0</v>
      </c>
      <c r="S2047" s="1" t="str">
        <f>IF(Table1[[#This Row],[High Tol]]="","N/A",IFERROR(ABS(Table1[[#This Row],[Tol Span]]/Table1[[#This Row],[Error Span]]),"N/A"))</f>
        <v>N/A</v>
      </c>
      <c r="T2047" s="1" t="str">
        <f>IF(OR(Table1[[#This Row],[Low Tol]]="",Table1[[#This Row],[High Tol]]=""),"Needs Analysis",IF(Table1[[#This Row],[Ratio]]&gt;=4,"Not Significant",IF(Table1[[#This Row],[Ratio]]&gt;=2,"Semi-Significant","Significant")))</f>
        <v>Needs Analysis</v>
      </c>
      <c r="W2047" s="1">
        <f>IF(Table1[[#This Row],[Cal Type]]&lt;&gt;"ACCREDITED 17025 WITH UNCERTAINTIES",0,"")</f>
        <v>0</v>
      </c>
      <c r="X2047" s="1" t="str">
        <f>IF(Table1[[#This Row],[DUT Read]]="","N/A",Table1[[#This Row],[Std Error]]+Table1[[#This Row],[DUT Read]]+Table1[[#This Row],[DUT Ucty]])</f>
        <v>N/A</v>
      </c>
      <c r="Y2047" s="1" t="str">
        <f>IF(Table1[[#This Row],[Std Read]]="","N/A",Table1[[#This Row],[Std Read]]+Table1[[#This Row],[Std Ucty]])</f>
        <v>N/A</v>
      </c>
      <c r="Z20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7" s="1" t="str">
        <f>IF(Table1[[#This Row],[Spec Type]]="","N/A",Table1[[#This Row],[Spec Type]])</f>
        <v>±</v>
      </c>
      <c r="AC2047" s="1" t="str">
        <f>IF(Table1[[#This Row],[Spec Type2]]="N/A","N/A",IF(AND(Table1[[#This Row],[DUT Adj Read]]&gt;=Table1[[#This Row],[Low Tol]],Table1[[#This Row],[DUT Adj Read]]&lt;=Table1[[#This Row],[High Tol]]),"Pass","Fail"))</f>
        <v>Fail</v>
      </c>
      <c r="AD2047" s="1" t="str">
        <f>IF(AND(Table1[[#This Row],[Spec Type2]]="N/A",Table1[[#This Row],[DUT Adj Read]]="N/A",Table1[[#This Row],[Std Adj Read]]="N/A"),"N/A",IF(Table1[[#This Row],[DUT Adj Read]]="N/A",IF(Table1[[#This Row],[Std Adj Read]]&gt;Table1[[#This Row],[Low Tol]],"Pass","Fail"),IF(Table1[[#This Row],[DUT Adj Read]]&gt;Table1[[#This Row],[Low Tol]],"Pass","Fail")))</f>
        <v>Pass</v>
      </c>
      <c r="AE2047" s="1" t="str">
        <f>IF(AND(Table1[[#This Row],[Spec Type2]]="N/A",Table1[[#This Row],[DUT Adj Read]]="N/A",Table1[[#This Row],[Std Adj Read]]="N/A"),"N/A",IF(Table1[[#This Row],[DUT Adj Read]]="N/A",IF(Table1[[#This Row],[Std Adj Read]]&lt;Table1[[#This Row],[High Tol]],"Pass","Fail"),IF(Table1[[#This Row],[DUT Adj Read]]&lt;Table1[[#This Row],[High Tol]],"Pass","Fail")))</f>
        <v>Fail</v>
      </c>
      <c r="AF2047" s="1" t="str">
        <f>IF(AND(Table1[[#This Row],[Spec Type2]]="N/A",Table1[[#This Row],[DUT Adj Read]]="N/A",Table1[[#This Row],[Std Adj Read]]="N/A"),"N/A",IF(Table1[[#This Row],[DUT Adj Read]]="N/A",IF(Table1[[#This Row],[Std Adj Read]]&gt;=Table1[[#This Row],[Low Tol]],"Pass","Fail"),IF(Table1[[#This Row],[DUT Adj Read]]&gt;=Table1[[#This Row],[Low Tol]],"Pass","Fail")))</f>
        <v>Pass</v>
      </c>
      <c r="AG2047" s="1" t="str">
        <f>IF(AND(Table1[[#This Row],[Spec Type2]]="N/A",Table1[[#This Row],[DUT Adj Read]]="N/A",Table1[[#This Row],[Std Adj Read]]="N/A"),"N/A",IF(Table1[[#This Row],[DUT Adj Read]]="N/A",IF(Table1[[#This Row],[Std Adj Read]]&lt;=Table1[[#This Row],[High Tol]],"Pass","Fail"),IF(Table1[[#This Row],[DUT Adj Read]]&lt;=Table1[[#This Row],[High Tol]],"Pass","Fail")))</f>
        <v>Fail</v>
      </c>
      <c r="AH20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7" s="1" t="b">
        <v>0</v>
      </c>
      <c r="AN2047" s="1" t="b">
        <v>0</v>
      </c>
      <c r="AO2047" s="1" t="b">
        <v>0</v>
      </c>
    </row>
    <row r="2048" spans="1:41" x14ac:dyDescent="0.25">
      <c r="A2048" s="10"/>
      <c r="B2048" s="10"/>
      <c r="C2048" s="10"/>
      <c r="D2048" s="10"/>
      <c r="E2048" s="10"/>
      <c r="F2048" s="10"/>
      <c r="G2048" s="10"/>
      <c r="H2048" s="10"/>
      <c r="I2048" s="1" t="str">
        <f t="shared" si="93"/>
        <v/>
      </c>
      <c r="J2048" s="1" t="s">
        <v>35</v>
      </c>
      <c r="K2048" s="1" t="str">
        <f t="shared" si="94"/>
        <v/>
      </c>
      <c r="L2048" s="1" t="str">
        <f t="shared" si="95"/>
        <v/>
      </c>
      <c r="M2048" s="1">
        <f>IF(OR(Table1[[#This Row],[Std Nom]]="",Table1[[#This Row],[Std Read]]=""),0,Table1[[#This Row],[Std Nom]]-Table1[[#This Row],[Std Read]])</f>
        <v>0</v>
      </c>
      <c r="N2048" s="1">
        <f>IF(Calculations!$F$5="ACCREDITED 17025 WITH UNCERTAINTIES",$N$10,0)</f>
        <v>0</v>
      </c>
      <c r="Q2048" s="1">
        <f>Table1[[#This Row],[High Tol]]-Table1[[#This Row],[Low Tol]]</f>
        <v>0</v>
      </c>
      <c r="R2048" s="1">
        <f>2*Table1[[#This Row],[Std Error]]</f>
        <v>0</v>
      </c>
      <c r="S2048" s="1" t="str">
        <f>IF(Table1[[#This Row],[High Tol]]="","N/A",IFERROR(ABS(Table1[[#This Row],[Tol Span]]/Table1[[#This Row],[Error Span]]),"N/A"))</f>
        <v>N/A</v>
      </c>
      <c r="T2048" s="1" t="str">
        <f>IF(OR(Table1[[#This Row],[Low Tol]]="",Table1[[#This Row],[High Tol]]=""),"Needs Analysis",IF(Table1[[#This Row],[Ratio]]&gt;=4,"Not Significant",IF(Table1[[#This Row],[Ratio]]&gt;=2,"Semi-Significant","Significant")))</f>
        <v>Needs Analysis</v>
      </c>
      <c r="W2048" s="1">
        <f>IF(Table1[[#This Row],[Cal Type]]&lt;&gt;"ACCREDITED 17025 WITH UNCERTAINTIES",0,"")</f>
        <v>0</v>
      </c>
      <c r="X2048" s="1" t="str">
        <f>IF(Table1[[#This Row],[DUT Read]]="","N/A",Table1[[#This Row],[Std Error]]+Table1[[#This Row],[DUT Read]]+Table1[[#This Row],[DUT Ucty]])</f>
        <v>N/A</v>
      </c>
      <c r="Y2048" s="1" t="str">
        <f>IF(Table1[[#This Row],[Std Read]]="","N/A",Table1[[#This Row],[Std Read]]+Table1[[#This Row],[Std Ucty]])</f>
        <v>N/A</v>
      </c>
      <c r="Z20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8" s="1" t="str">
        <f>IF(Table1[[#This Row],[Spec Type]]="","N/A",Table1[[#This Row],[Spec Type]])</f>
        <v>±</v>
      </c>
      <c r="AC2048" s="1" t="str">
        <f>IF(Table1[[#This Row],[Spec Type2]]="N/A","N/A",IF(AND(Table1[[#This Row],[DUT Adj Read]]&gt;=Table1[[#This Row],[Low Tol]],Table1[[#This Row],[DUT Adj Read]]&lt;=Table1[[#This Row],[High Tol]]),"Pass","Fail"))</f>
        <v>Fail</v>
      </c>
      <c r="AD2048" s="1" t="str">
        <f>IF(AND(Table1[[#This Row],[Spec Type2]]="N/A",Table1[[#This Row],[DUT Adj Read]]="N/A",Table1[[#This Row],[Std Adj Read]]="N/A"),"N/A",IF(Table1[[#This Row],[DUT Adj Read]]="N/A",IF(Table1[[#This Row],[Std Adj Read]]&gt;Table1[[#This Row],[Low Tol]],"Pass","Fail"),IF(Table1[[#This Row],[DUT Adj Read]]&gt;Table1[[#This Row],[Low Tol]],"Pass","Fail")))</f>
        <v>Pass</v>
      </c>
      <c r="AE2048" s="1" t="str">
        <f>IF(AND(Table1[[#This Row],[Spec Type2]]="N/A",Table1[[#This Row],[DUT Adj Read]]="N/A",Table1[[#This Row],[Std Adj Read]]="N/A"),"N/A",IF(Table1[[#This Row],[DUT Adj Read]]="N/A",IF(Table1[[#This Row],[Std Adj Read]]&lt;Table1[[#This Row],[High Tol]],"Pass","Fail"),IF(Table1[[#This Row],[DUT Adj Read]]&lt;Table1[[#This Row],[High Tol]],"Pass","Fail")))</f>
        <v>Fail</v>
      </c>
      <c r="AF2048" s="1" t="str">
        <f>IF(AND(Table1[[#This Row],[Spec Type2]]="N/A",Table1[[#This Row],[DUT Adj Read]]="N/A",Table1[[#This Row],[Std Adj Read]]="N/A"),"N/A",IF(Table1[[#This Row],[DUT Adj Read]]="N/A",IF(Table1[[#This Row],[Std Adj Read]]&gt;=Table1[[#This Row],[Low Tol]],"Pass","Fail"),IF(Table1[[#This Row],[DUT Adj Read]]&gt;=Table1[[#This Row],[Low Tol]],"Pass","Fail")))</f>
        <v>Pass</v>
      </c>
      <c r="AG2048" s="1" t="str">
        <f>IF(AND(Table1[[#This Row],[Spec Type2]]="N/A",Table1[[#This Row],[DUT Adj Read]]="N/A",Table1[[#This Row],[Std Adj Read]]="N/A"),"N/A",IF(Table1[[#This Row],[DUT Adj Read]]="N/A",IF(Table1[[#This Row],[Std Adj Read]]&lt;=Table1[[#This Row],[High Tol]],"Pass","Fail"),IF(Table1[[#This Row],[DUT Adj Read]]&lt;=Table1[[#This Row],[High Tol]],"Pass","Fail")))</f>
        <v>Fail</v>
      </c>
      <c r="AH20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8" s="1" t="b">
        <v>0</v>
      </c>
      <c r="AN2048" s="1" t="b">
        <v>0</v>
      </c>
      <c r="AO2048" s="1" t="b">
        <v>0</v>
      </c>
    </row>
    <row r="2049" spans="1:41" x14ac:dyDescent="0.25">
      <c r="A2049" s="10"/>
      <c r="B2049" s="10"/>
      <c r="C2049" s="10"/>
      <c r="D2049" s="10"/>
      <c r="E2049" s="10"/>
      <c r="F2049" s="10"/>
      <c r="G2049" s="10"/>
      <c r="H2049" s="10"/>
      <c r="I2049" s="1" t="str">
        <f t="shared" si="93"/>
        <v/>
      </c>
      <c r="J2049" s="1" t="s">
        <v>35</v>
      </c>
      <c r="K2049" s="1" t="str">
        <f t="shared" si="94"/>
        <v/>
      </c>
      <c r="L2049" s="1" t="str">
        <f t="shared" si="95"/>
        <v/>
      </c>
      <c r="M2049" s="1">
        <f>IF(OR(Table1[[#This Row],[Std Nom]]="",Table1[[#This Row],[Std Read]]=""),0,Table1[[#This Row],[Std Nom]]-Table1[[#This Row],[Std Read]])</f>
        <v>0</v>
      </c>
      <c r="N2049" s="1">
        <f>IF(Calculations!$F$5="ACCREDITED 17025 WITH UNCERTAINTIES",$N$10,0)</f>
        <v>0</v>
      </c>
      <c r="Q2049" s="1">
        <f>Table1[[#This Row],[High Tol]]-Table1[[#This Row],[Low Tol]]</f>
        <v>0</v>
      </c>
      <c r="R2049" s="1">
        <f>2*Table1[[#This Row],[Std Error]]</f>
        <v>0</v>
      </c>
      <c r="S2049" s="1" t="str">
        <f>IF(Table1[[#This Row],[High Tol]]="","N/A",IFERROR(ABS(Table1[[#This Row],[Tol Span]]/Table1[[#This Row],[Error Span]]),"N/A"))</f>
        <v>N/A</v>
      </c>
      <c r="T2049" s="1" t="str">
        <f>IF(OR(Table1[[#This Row],[Low Tol]]="",Table1[[#This Row],[High Tol]]=""),"Needs Analysis",IF(Table1[[#This Row],[Ratio]]&gt;=4,"Not Significant",IF(Table1[[#This Row],[Ratio]]&gt;=2,"Semi-Significant","Significant")))</f>
        <v>Needs Analysis</v>
      </c>
      <c r="W2049" s="1">
        <f>IF(Table1[[#This Row],[Cal Type]]&lt;&gt;"ACCREDITED 17025 WITH UNCERTAINTIES",0,"")</f>
        <v>0</v>
      </c>
      <c r="X2049" s="1" t="str">
        <f>IF(Table1[[#This Row],[DUT Read]]="","N/A",Table1[[#This Row],[Std Error]]+Table1[[#This Row],[DUT Read]]+Table1[[#This Row],[DUT Ucty]])</f>
        <v>N/A</v>
      </c>
      <c r="Y2049" s="1" t="str">
        <f>IF(Table1[[#This Row],[Std Read]]="","N/A",Table1[[#This Row],[Std Read]]+Table1[[#This Row],[Std Ucty]])</f>
        <v>N/A</v>
      </c>
      <c r="Z20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49" s="1" t="str">
        <f>IF(Table1[[#This Row],[Spec Type]]="","N/A",Table1[[#This Row],[Spec Type]])</f>
        <v>±</v>
      </c>
      <c r="AC2049" s="1" t="str">
        <f>IF(Table1[[#This Row],[Spec Type2]]="N/A","N/A",IF(AND(Table1[[#This Row],[DUT Adj Read]]&gt;=Table1[[#This Row],[Low Tol]],Table1[[#This Row],[DUT Adj Read]]&lt;=Table1[[#This Row],[High Tol]]),"Pass","Fail"))</f>
        <v>Fail</v>
      </c>
      <c r="AD2049" s="1" t="str">
        <f>IF(AND(Table1[[#This Row],[Spec Type2]]="N/A",Table1[[#This Row],[DUT Adj Read]]="N/A",Table1[[#This Row],[Std Adj Read]]="N/A"),"N/A",IF(Table1[[#This Row],[DUT Adj Read]]="N/A",IF(Table1[[#This Row],[Std Adj Read]]&gt;Table1[[#This Row],[Low Tol]],"Pass","Fail"),IF(Table1[[#This Row],[DUT Adj Read]]&gt;Table1[[#This Row],[Low Tol]],"Pass","Fail")))</f>
        <v>Pass</v>
      </c>
      <c r="AE2049" s="1" t="str">
        <f>IF(AND(Table1[[#This Row],[Spec Type2]]="N/A",Table1[[#This Row],[DUT Adj Read]]="N/A",Table1[[#This Row],[Std Adj Read]]="N/A"),"N/A",IF(Table1[[#This Row],[DUT Adj Read]]="N/A",IF(Table1[[#This Row],[Std Adj Read]]&lt;Table1[[#This Row],[High Tol]],"Pass","Fail"),IF(Table1[[#This Row],[DUT Adj Read]]&lt;Table1[[#This Row],[High Tol]],"Pass","Fail")))</f>
        <v>Fail</v>
      </c>
      <c r="AF2049" s="1" t="str">
        <f>IF(AND(Table1[[#This Row],[Spec Type2]]="N/A",Table1[[#This Row],[DUT Adj Read]]="N/A",Table1[[#This Row],[Std Adj Read]]="N/A"),"N/A",IF(Table1[[#This Row],[DUT Adj Read]]="N/A",IF(Table1[[#This Row],[Std Adj Read]]&gt;=Table1[[#This Row],[Low Tol]],"Pass","Fail"),IF(Table1[[#This Row],[DUT Adj Read]]&gt;=Table1[[#This Row],[Low Tol]],"Pass","Fail")))</f>
        <v>Pass</v>
      </c>
      <c r="AG2049" s="1" t="str">
        <f>IF(AND(Table1[[#This Row],[Spec Type2]]="N/A",Table1[[#This Row],[DUT Adj Read]]="N/A",Table1[[#This Row],[Std Adj Read]]="N/A"),"N/A",IF(Table1[[#This Row],[DUT Adj Read]]="N/A",IF(Table1[[#This Row],[Std Adj Read]]&lt;=Table1[[#This Row],[High Tol]],"Pass","Fail"),IF(Table1[[#This Row],[DUT Adj Read]]&lt;=Table1[[#This Row],[High Tol]],"Pass","Fail")))</f>
        <v>Fail</v>
      </c>
      <c r="AH20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49" s="1" t="b">
        <v>0</v>
      </c>
      <c r="AN2049" s="1" t="b">
        <v>0</v>
      </c>
      <c r="AO2049" s="1" t="b">
        <v>0</v>
      </c>
    </row>
    <row r="2050" spans="1:41" x14ac:dyDescent="0.25">
      <c r="A2050" s="10"/>
      <c r="B2050" s="10"/>
      <c r="C2050" s="10"/>
      <c r="D2050" s="10"/>
      <c r="E2050" s="10"/>
      <c r="F2050" s="10"/>
      <c r="G2050" s="10"/>
      <c r="H2050" s="10"/>
      <c r="I2050" s="1" t="str">
        <f t="shared" si="93"/>
        <v/>
      </c>
      <c r="J2050" s="1" t="s">
        <v>35</v>
      </c>
      <c r="K2050" s="1" t="str">
        <f t="shared" si="94"/>
        <v/>
      </c>
      <c r="L2050" s="1" t="str">
        <f t="shared" si="95"/>
        <v/>
      </c>
      <c r="M2050" s="1">
        <f>IF(OR(Table1[[#This Row],[Std Nom]]="",Table1[[#This Row],[Std Read]]=""),0,Table1[[#This Row],[Std Nom]]-Table1[[#This Row],[Std Read]])</f>
        <v>0</v>
      </c>
      <c r="N2050" s="1">
        <f>IF(Calculations!$F$5="ACCREDITED 17025 WITH UNCERTAINTIES",$N$10,0)</f>
        <v>0</v>
      </c>
      <c r="Q2050" s="1">
        <f>Table1[[#This Row],[High Tol]]-Table1[[#This Row],[Low Tol]]</f>
        <v>0</v>
      </c>
      <c r="R2050" s="1">
        <f>2*Table1[[#This Row],[Std Error]]</f>
        <v>0</v>
      </c>
      <c r="S2050" s="1" t="str">
        <f>IF(Table1[[#This Row],[High Tol]]="","N/A",IFERROR(ABS(Table1[[#This Row],[Tol Span]]/Table1[[#This Row],[Error Span]]),"N/A"))</f>
        <v>N/A</v>
      </c>
      <c r="T2050" s="1" t="str">
        <f>IF(OR(Table1[[#This Row],[Low Tol]]="",Table1[[#This Row],[High Tol]]=""),"Needs Analysis",IF(Table1[[#This Row],[Ratio]]&gt;=4,"Not Significant",IF(Table1[[#This Row],[Ratio]]&gt;=2,"Semi-Significant","Significant")))</f>
        <v>Needs Analysis</v>
      </c>
      <c r="W2050" s="1">
        <f>IF(Table1[[#This Row],[Cal Type]]&lt;&gt;"ACCREDITED 17025 WITH UNCERTAINTIES",0,"")</f>
        <v>0</v>
      </c>
      <c r="X2050" s="1" t="str">
        <f>IF(Table1[[#This Row],[DUT Read]]="","N/A",Table1[[#This Row],[Std Error]]+Table1[[#This Row],[DUT Read]]+Table1[[#This Row],[DUT Ucty]])</f>
        <v>N/A</v>
      </c>
      <c r="Y2050" s="1" t="str">
        <f>IF(Table1[[#This Row],[Std Read]]="","N/A",Table1[[#This Row],[Std Read]]+Table1[[#This Row],[Std Ucty]])</f>
        <v>N/A</v>
      </c>
      <c r="Z20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0" s="1" t="str">
        <f>IF(Table1[[#This Row],[Spec Type]]="","N/A",Table1[[#This Row],[Spec Type]])</f>
        <v>±</v>
      </c>
      <c r="AC2050" s="1" t="str">
        <f>IF(Table1[[#This Row],[Spec Type2]]="N/A","N/A",IF(AND(Table1[[#This Row],[DUT Adj Read]]&gt;=Table1[[#This Row],[Low Tol]],Table1[[#This Row],[DUT Adj Read]]&lt;=Table1[[#This Row],[High Tol]]),"Pass","Fail"))</f>
        <v>Fail</v>
      </c>
      <c r="AD2050" s="1" t="str">
        <f>IF(AND(Table1[[#This Row],[Spec Type2]]="N/A",Table1[[#This Row],[DUT Adj Read]]="N/A",Table1[[#This Row],[Std Adj Read]]="N/A"),"N/A",IF(Table1[[#This Row],[DUT Adj Read]]="N/A",IF(Table1[[#This Row],[Std Adj Read]]&gt;Table1[[#This Row],[Low Tol]],"Pass","Fail"),IF(Table1[[#This Row],[DUT Adj Read]]&gt;Table1[[#This Row],[Low Tol]],"Pass","Fail")))</f>
        <v>Pass</v>
      </c>
      <c r="AE2050" s="1" t="str">
        <f>IF(AND(Table1[[#This Row],[Spec Type2]]="N/A",Table1[[#This Row],[DUT Adj Read]]="N/A",Table1[[#This Row],[Std Adj Read]]="N/A"),"N/A",IF(Table1[[#This Row],[DUT Adj Read]]="N/A",IF(Table1[[#This Row],[Std Adj Read]]&lt;Table1[[#This Row],[High Tol]],"Pass","Fail"),IF(Table1[[#This Row],[DUT Adj Read]]&lt;Table1[[#This Row],[High Tol]],"Pass","Fail")))</f>
        <v>Fail</v>
      </c>
      <c r="AF2050" s="1" t="str">
        <f>IF(AND(Table1[[#This Row],[Spec Type2]]="N/A",Table1[[#This Row],[DUT Adj Read]]="N/A",Table1[[#This Row],[Std Adj Read]]="N/A"),"N/A",IF(Table1[[#This Row],[DUT Adj Read]]="N/A",IF(Table1[[#This Row],[Std Adj Read]]&gt;=Table1[[#This Row],[Low Tol]],"Pass","Fail"),IF(Table1[[#This Row],[DUT Adj Read]]&gt;=Table1[[#This Row],[Low Tol]],"Pass","Fail")))</f>
        <v>Pass</v>
      </c>
      <c r="AG2050" s="1" t="str">
        <f>IF(AND(Table1[[#This Row],[Spec Type2]]="N/A",Table1[[#This Row],[DUT Adj Read]]="N/A",Table1[[#This Row],[Std Adj Read]]="N/A"),"N/A",IF(Table1[[#This Row],[DUT Adj Read]]="N/A",IF(Table1[[#This Row],[Std Adj Read]]&lt;=Table1[[#This Row],[High Tol]],"Pass","Fail"),IF(Table1[[#This Row],[DUT Adj Read]]&lt;=Table1[[#This Row],[High Tol]],"Pass","Fail")))</f>
        <v>Fail</v>
      </c>
      <c r="AH20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0" s="1" t="b">
        <v>0</v>
      </c>
      <c r="AN2050" s="1" t="b">
        <v>0</v>
      </c>
      <c r="AO2050" s="1" t="b">
        <v>0</v>
      </c>
    </row>
    <row r="2051" spans="1:41" x14ac:dyDescent="0.25">
      <c r="A2051" s="10"/>
      <c r="B2051" s="10"/>
      <c r="C2051" s="10"/>
      <c r="D2051" s="10"/>
      <c r="E2051" s="10"/>
      <c r="F2051" s="10"/>
      <c r="G2051" s="10"/>
      <c r="H2051" s="10"/>
      <c r="I2051" s="1" t="str">
        <f t="shared" si="93"/>
        <v/>
      </c>
      <c r="J2051" s="1" t="s">
        <v>35</v>
      </c>
      <c r="K2051" s="1" t="str">
        <f t="shared" si="94"/>
        <v/>
      </c>
      <c r="L2051" s="1" t="str">
        <f t="shared" si="95"/>
        <v/>
      </c>
      <c r="M2051" s="1">
        <f>IF(OR(Table1[[#This Row],[Std Nom]]="",Table1[[#This Row],[Std Read]]=""),0,Table1[[#This Row],[Std Nom]]-Table1[[#This Row],[Std Read]])</f>
        <v>0</v>
      </c>
      <c r="N2051" s="1">
        <f>IF(Calculations!$F$5="ACCREDITED 17025 WITH UNCERTAINTIES",$N$10,0)</f>
        <v>0</v>
      </c>
      <c r="Q2051" s="1">
        <f>Table1[[#This Row],[High Tol]]-Table1[[#This Row],[Low Tol]]</f>
        <v>0</v>
      </c>
      <c r="R2051" s="1">
        <f>2*Table1[[#This Row],[Std Error]]</f>
        <v>0</v>
      </c>
      <c r="S2051" s="1" t="str">
        <f>IF(Table1[[#This Row],[High Tol]]="","N/A",IFERROR(ABS(Table1[[#This Row],[Tol Span]]/Table1[[#This Row],[Error Span]]),"N/A"))</f>
        <v>N/A</v>
      </c>
      <c r="T2051" s="1" t="str">
        <f>IF(OR(Table1[[#This Row],[Low Tol]]="",Table1[[#This Row],[High Tol]]=""),"Needs Analysis",IF(Table1[[#This Row],[Ratio]]&gt;=4,"Not Significant",IF(Table1[[#This Row],[Ratio]]&gt;=2,"Semi-Significant","Significant")))</f>
        <v>Needs Analysis</v>
      </c>
      <c r="W2051" s="1">
        <f>IF(Table1[[#This Row],[Cal Type]]&lt;&gt;"ACCREDITED 17025 WITH UNCERTAINTIES",0,"")</f>
        <v>0</v>
      </c>
      <c r="X2051" s="1" t="str">
        <f>IF(Table1[[#This Row],[DUT Read]]="","N/A",Table1[[#This Row],[Std Error]]+Table1[[#This Row],[DUT Read]]+Table1[[#This Row],[DUT Ucty]])</f>
        <v>N/A</v>
      </c>
      <c r="Y2051" s="1" t="str">
        <f>IF(Table1[[#This Row],[Std Read]]="","N/A",Table1[[#This Row],[Std Read]]+Table1[[#This Row],[Std Ucty]])</f>
        <v>N/A</v>
      </c>
      <c r="Z20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1" s="1" t="str">
        <f>IF(Table1[[#This Row],[Spec Type]]="","N/A",Table1[[#This Row],[Spec Type]])</f>
        <v>±</v>
      </c>
      <c r="AC2051" s="1" t="str">
        <f>IF(Table1[[#This Row],[Spec Type2]]="N/A","N/A",IF(AND(Table1[[#This Row],[DUT Adj Read]]&gt;=Table1[[#This Row],[Low Tol]],Table1[[#This Row],[DUT Adj Read]]&lt;=Table1[[#This Row],[High Tol]]),"Pass","Fail"))</f>
        <v>Fail</v>
      </c>
      <c r="AD2051" s="1" t="str">
        <f>IF(AND(Table1[[#This Row],[Spec Type2]]="N/A",Table1[[#This Row],[DUT Adj Read]]="N/A",Table1[[#This Row],[Std Adj Read]]="N/A"),"N/A",IF(Table1[[#This Row],[DUT Adj Read]]="N/A",IF(Table1[[#This Row],[Std Adj Read]]&gt;Table1[[#This Row],[Low Tol]],"Pass","Fail"),IF(Table1[[#This Row],[DUT Adj Read]]&gt;Table1[[#This Row],[Low Tol]],"Pass","Fail")))</f>
        <v>Pass</v>
      </c>
      <c r="AE2051" s="1" t="str">
        <f>IF(AND(Table1[[#This Row],[Spec Type2]]="N/A",Table1[[#This Row],[DUT Adj Read]]="N/A",Table1[[#This Row],[Std Adj Read]]="N/A"),"N/A",IF(Table1[[#This Row],[DUT Adj Read]]="N/A",IF(Table1[[#This Row],[Std Adj Read]]&lt;Table1[[#This Row],[High Tol]],"Pass","Fail"),IF(Table1[[#This Row],[DUT Adj Read]]&lt;Table1[[#This Row],[High Tol]],"Pass","Fail")))</f>
        <v>Fail</v>
      </c>
      <c r="AF2051" s="1" t="str">
        <f>IF(AND(Table1[[#This Row],[Spec Type2]]="N/A",Table1[[#This Row],[DUT Adj Read]]="N/A",Table1[[#This Row],[Std Adj Read]]="N/A"),"N/A",IF(Table1[[#This Row],[DUT Adj Read]]="N/A",IF(Table1[[#This Row],[Std Adj Read]]&gt;=Table1[[#This Row],[Low Tol]],"Pass","Fail"),IF(Table1[[#This Row],[DUT Adj Read]]&gt;=Table1[[#This Row],[Low Tol]],"Pass","Fail")))</f>
        <v>Pass</v>
      </c>
      <c r="AG2051" s="1" t="str">
        <f>IF(AND(Table1[[#This Row],[Spec Type2]]="N/A",Table1[[#This Row],[DUT Adj Read]]="N/A",Table1[[#This Row],[Std Adj Read]]="N/A"),"N/A",IF(Table1[[#This Row],[DUT Adj Read]]="N/A",IF(Table1[[#This Row],[Std Adj Read]]&lt;=Table1[[#This Row],[High Tol]],"Pass","Fail"),IF(Table1[[#This Row],[DUT Adj Read]]&lt;=Table1[[#This Row],[High Tol]],"Pass","Fail")))</f>
        <v>Fail</v>
      </c>
      <c r="AH20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1" s="1" t="b">
        <v>0</v>
      </c>
      <c r="AN2051" s="1" t="b">
        <v>0</v>
      </c>
      <c r="AO2051" s="1" t="b">
        <v>0</v>
      </c>
    </row>
    <row r="2052" spans="1:41" x14ac:dyDescent="0.25">
      <c r="A2052" s="10"/>
      <c r="B2052" s="10"/>
      <c r="C2052" s="10"/>
      <c r="D2052" s="10"/>
      <c r="E2052" s="10"/>
      <c r="F2052" s="10"/>
      <c r="G2052" s="10"/>
      <c r="H2052" s="10"/>
      <c r="I2052" s="1" t="str">
        <f t="shared" si="93"/>
        <v/>
      </c>
      <c r="J2052" s="1" t="s">
        <v>35</v>
      </c>
      <c r="K2052" s="1" t="str">
        <f t="shared" si="94"/>
        <v/>
      </c>
      <c r="L2052" s="1" t="str">
        <f t="shared" si="95"/>
        <v/>
      </c>
      <c r="M2052" s="1">
        <f>IF(OR(Table1[[#This Row],[Std Nom]]="",Table1[[#This Row],[Std Read]]=""),0,Table1[[#This Row],[Std Nom]]-Table1[[#This Row],[Std Read]])</f>
        <v>0</v>
      </c>
      <c r="N2052" s="1">
        <f>IF(Calculations!$F$5="ACCREDITED 17025 WITH UNCERTAINTIES",$N$10,0)</f>
        <v>0</v>
      </c>
      <c r="Q2052" s="1">
        <f>Table1[[#This Row],[High Tol]]-Table1[[#This Row],[Low Tol]]</f>
        <v>0</v>
      </c>
      <c r="R2052" s="1">
        <f>2*Table1[[#This Row],[Std Error]]</f>
        <v>0</v>
      </c>
      <c r="S2052" s="1" t="str">
        <f>IF(Table1[[#This Row],[High Tol]]="","N/A",IFERROR(ABS(Table1[[#This Row],[Tol Span]]/Table1[[#This Row],[Error Span]]),"N/A"))</f>
        <v>N/A</v>
      </c>
      <c r="T2052" s="1" t="str">
        <f>IF(OR(Table1[[#This Row],[Low Tol]]="",Table1[[#This Row],[High Tol]]=""),"Needs Analysis",IF(Table1[[#This Row],[Ratio]]&gt;=4,"Not Significant",IF(Table1[[#This Row],[Ratio]]&gt;=2,"Semi-Significant","Significant")))</f>
        <v>Needs Analysis</v>
      </c>
      <c r="W2052" s="1">
        <f>IF(Table1[[#This Row],[Cal Type]]&lt;&gt;"ACCREDITED 17025 WITH UNCERTAINTIES",0,"")</f>
        <v>0</v>
      </c>
      <c r="X2052" s="1" t="str">
        <f>IF(Table1[[#This Row],[DUT Read]]="","N/A",Table1[[#This Row],[Std Error]]+Table1[[#This Row],[DUT Read]]+Table1[[#This Row],[DUT Ucty]])</f>
        <v>N/A</v>
      </c>
      <c r="Y2052" s="1" t="str">
        <f>IF(Table1[[#This Row],[Std Read]]="","N/A",Table1[[#This Row],[Std Read]]+Table1[[#This Row],[Std Ucty]])</f>
        <v>N/A</v>
      </c>
      <c r="Z20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2" s="1" t="str">
        <f>IF(Table1[[#This Row],[Spec Type]]="","N/A",Table1[[#This Row],[Spec Type]])</f>
        <v>±</v>
      </c>
      <c r="AC2052" s="1" t="str">
        <f>IF(Table1[[#This Row],[Spec Type2]]="N/A","N/A",IF(AND(Table1[[#This Row],[DUT Adj Read]]&gt;=Table1[[#This Row],[Low Tol]],Table1[[#This Row],[DUT Adj Read]]&lt;=Table1[[#This Row],[High Tol]]),"Pass","Fail"))</f>
        <v>Fail</v>
      </c>
      <c r="AD2052" s="1" t="str">
        <f>IF(AND(Table1[[#This Row],[Spec Type2]]="N/A",Table1[[#This Row],[DUT Adj Read]]="N/A",Table1[[#This Row],[Std Adj Read]]="N/A"),"N/A",IF(Table1[[#This Row],[DUT Adj Read]]="N/A",IF(Table1[[#This Row],[Std Adj Read]]&gt;Table1[[#This Row],[Low Tol]],"Pass","Fail"),IF(Table1[[#This Row],[DUT Adj Read]]&gt;Table1[[#This Row],[Low Tol]],"Pass","Fail")))</f>
        <v>Pass</v>
      </c>
      <c r="AE2052" s="1" t="str">
        <f>IF(AND(Table1[[#This Row],[Spec Type2]]="N/A",Table1[[#This Row],[DUT Adj Read]]="N/A",Table1[[#This Row],[Std Adj Read]]="N/A"),"N/A",IF(Table1[[#This Row],[DUT Adj Read]]="N/A",IF(Table1[[#This Row],[Std Adj Read]]&lt;Table1[[#This Row],[High Tol]],"Pass","Fail"),IF(Table1[[#This Row],[DUT Adj Read]]&lt;Table1[[#This Row],[High Tol]],"Pass","Fail")))</f>
        <v>Fail</v>
      </c>
      <c r="AF2052" s="1" t="str">
        <f>IF(AND(Table1[[#This Row],[Spec Type2]]="N/A",Table1[[#This Row],[DUT Adj Read]]="N/A",Table1[[#This Row],[Std Adj Read]]="N/A"),"N/A",IF(Table1[[#This Row],[DUT Adj Read]]="N/A",IF(Table1[[#This Row],[Std Adj Read]]&gt;=Table1[[#This Row],[Low Tol]],"Pass","Fail"),IF(Table1[[#This Row],[DUT Adj Read]]&gt;=Table1[[#This Row],[Low Tol]],"Pass","Fail")))</f>
        <v>Pass</v>
      </c>
      <c r="AG2052" s="1" t="str">
        <f>IF(AND(Table1[[#This Row],[Spec Type2]]="N/A",Table1[[#This Row],[DUT Adj Read]]="N/A",Table1[[#This Row],[Std Adj Read]]="N/A"),"N/A",IF(Table1[[#This Row],[DUT Adj Read]]="N/A",IF(Table1[[#This Row],[Std Adj Read]]&lt;=Table1[[#This Row],[High Tol]],"Pass","Fail"),IF(Table1[[#This Row],[DUT Adj Read]]&lt;=Table1[[#This Row],[High Tol]],"Pass","Fail")))</f>
        <v>Fail</v>
      </c>
      <c r="AH20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2" s="1" t="b">
        <v>0</v>
      </c>
      <c r="AN2052" s="1" t="b">
        <v>0</v>
      </c>
      <c r="AO2052" s="1" t="b">
        <v>0</v>
      </c>
    </row>
    <row r="2053" spans="1:41" x14ac:dyDescent="0.25">
      <c r="A2053" s="10"/>
      <c r="B2053" s="10"/>
      <c r="C2053" s="10"/>
      <c r="D2053" s="10"/>
      <c r="E2053" s="10"/>
      <c r="F2053" s="10"/>
      <c r="G2053" s="10"/>
      <c r="H2053" s="10"/>
      <c r="I2053" s="1" t="str">
        <f t="shared" si="93"/>
        <v/>
      </c>
      <c r="J2053" s="1" t="s">
        <v>35</v>
      </c>
      <c r="K2053" s="1" t="str">
        <f t="shared" si="94"/>
        <v/>
      </c>
      <c r="L2053" s="1" t="str">
        <f t="shared" si="95"/>
        <v/>
      </c>
      <c r="M2053" s="1">
        <f>IF(OR(Table1[[#This Row],[Std Nom]]="",Table1[[#This Row],[Std Read]]=""),0,Table1[[#This Row],[Std Nom]]-Table1[[#This Row],[Std Read]])</f>
        <v>0</v>
      </c>
      <c r="N2053" s="1">
        <f>IF(Calculations!$F$5="ACCREDITED 17025 WITH UNCERTAINTIES",$N$10,0)</f>
        <v>0</v>
      </c>
      <c r="Q2053" s="1">
        <f>Table1[[#This Row],[High Tol]]-Table1[[#This Row],[Low Tol]]</f>
        <v>0</v>
      </c>
      <c r="R2053" s="1">
        <f>2*Table1[[#This Row],[Std Error]]</f>
        <v>0</v>
      </c>
      <c r="S2053" s="1" t="str">
        <f>IF(Table1[[#This Row],[High Tol]]="","N/A",IFERROR(ABS(Table1[[#This Row],[Tol Span]]/Table1[[#This Row],[Error Span]]),"N/A"))</f>
        <v>N/A</v>
      </c>
      <c r="T2053" s="1" t="str">
        <f>IF(OR(Table1[[#This Row],[Low Tol]]="",Table1[[#This Row],[High Tol]]=""),"Needs Analysis",IF(Table1[[#This Row],[Ratio]]&gt;=4,"Not Significant",IF(Table1[[#This Row],[Ratio]]&gt;=2,"Semi-Significant","Significant")))</f>
        <v>Needs Analysis</v>
      </c>
      <c r="W2053" s="1">
        <f>IF(Table1[[#This Row],[Cal Type]]&lt;&gt;"ACCREDITED 17025 WITH UNCERTAINTIES",0,"")</f>
        <v>0</v>
      </c>
      <c r="X2053" s="1" t="str">
        <f>IF(Table1[[#This Row],[DUT Read]]="","N/A",Table1[[#This Row],[Std Error]]+Table1[[#This Row],[DUT Read]]+Table1[[#This Row],[DUT Ucty]])</f>
        <v>N/A</v>
      </c>
      <c r="Y2053" s="1" t="str">
        <f>IF(Table1[[#This Row],[Std Read]]="","N/A",Table1[[#This Row],[Std Read]]+Table1[[#This Row],[Std Ucty]])</f>
        <v>N/A</v>
      </c>
      <c r="Z20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3" s="1" t="str">
        <f>IF(Table1[[#This Row],[Spec Type]]="","N/A",Table1[[#This Row],[Spec Type]])</f>
        <v>±</v>
      </c>
      <c r="AC2053" s="1" t="str">
        <f>IF(Table1[[#This Row],[Spec Type2]]="N/A","N/A",IF(AND(Table1[[#This Row],[DUT Adj Read]]&gt;=Table1[[#This Row],[Low Tol]],Table1[[#This Row],[DUT Adj Read]]&lt;=Table1[[#This Row],[High Tol]]),"Pass","Fail"))</f>
        <v>Fail</v>
      </c>
      <c r="AD2053" s="1" t="str">
        <f>IF(AND(Table1[[#This Row],[Spec Type2]]="N/A",Table1[[#This Row],[DUT Adj Read]]="N/A",Table1[[#This Row],[Std Adj Read]]="N/A"),"N/A",IF(Table1[[#This Row],[DUT Adj Read]]="N/A",IF(Table1[[#This Row],[Std Adj Read]]&gt;Table1[[#This Row],[Low Tol]],"Pass","Fail"),IF(Table1[[#This Row],[DUT Adj Read]]&gt;Table1[[#This Row],[Low Tol]],"Pass","Fail")))</f>
        <v>Pass</v>
      </c>
      <c r="AE2053" s="1" t="str">
        <f>IF(AND(Table1[[#This Row],[Spec Type2]]="N/A",Table1[[#This Row],[DUT Adj Read]]="N/A",Table1[[#This Row],[Std Adj Read]]="N/A"),"N/A",IF(Table1[[#This Row],[DUT Adj Read]]="N/A",IF(Table1[[#This Row],[Std Adj Read]]&lt;Table1[[#This Row],[High Tol]],"Pass","Fail"),IF(Table1[[#This Row],[DUT Adj Read]]&lt;Table1[[#This Row],[High Tol]],"Pass","Fail")))</f>
        <v>Fail</v>
      </c>
      <c r="AF2053" s="1" t="str">
        <f>IF(AND(Table1[[#This Row],[Spec Type2]]="N/A",Table1[[#This Row],[DUT Adj Read]]="N/A",Table1[[#This Row],[Std Adj Read]]="N/A"),"N/A",IF(Table1[[#This Row],[DUT Adj Read]]="N/A",IF(Table1[[#This Row],[Std Adj Read]]&gt;=Table1[[#This Row],[Low Tol]],"Pass","Fail"),IF(Table1[[#This Row],[DUT Adj Read]]&gt;=Table1[[#This Row],[Low Tol]],"Pass","Fail")))</f>
        <v>Pass</v>
      </c>
      <c r="AG2053" s="1" t="str">
        <f>IF(AND(Table1[[#This Row],[Spec Type2]]="N/A",Table1[[#This Row],[DUT Adj Read]]="N/A",Table1[[#This Row],[Std Adj Read]]="N/A"),"N/A",IF(Table1[[#This Row],[DUT Adj Read]]="N/A",IF(Table1[[#This Row],[Std Adj Read]]&lt;=Table1[[#This Row],[High Tol]],"Pass","Fail"),IF(Table1[[#This Row],[DUT Adj Read]]&lt;=Table1[[#This Row],[High Tol]],"Pass","Fail")))</f>
        <v>Fail</v>
      </c>
      <c r="AH20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3" s="1" t="b">
        <v>0</v>
      </c>
      <c r="AN2053" s="1" t="b">
        <v>0</v>
      </c>
      <c r="AO2053" s="1" t="b">
        <v>0</v>
      </c>
    </row>
    <row r="2054" spans="1:41" x14ac:dyDescent="0.25">
      <c r="A2054" s="10"/>
      <c r="B2054" s="10"/>
      <c r="C2054" s="10"/>
      <c r="D2054" s="10"/>
      <c r="E2054" s="10"/>
      <c r="F2054" s="10"/>
      <c r="G2054" s="10"/>
      <c r="H2054" s="10"/>
      <c r="I2054" s="1" t="str">
        <f t="shared" si="93"/>
        <v/>
      </c>
      <c r="J2054" s="1" t="s">
        <v>35</v>
      </c>
      <c r="K2054" s="1" t="str">
        <f t="shared" si="94"/>
        <v/>
      </c>
      <c r="L2054" s="1" t="str">
        <f t="shared" si="95"/>
        <v/>
      </c>
      <c r="M2054" s="1">
        <f>IF(OR(Table1[[#This Row],[Std Nom]]="",Table1[[#This Row],[Std Read]]=""),0,Table1[[#This Row],[Std Nom]]-Table1[[#This Row],[Std Read]])</f>
        <v>0</v>
      </c>
      <c r="N2054" s="1">
        <f>IF(Calculations!$F$5="ACCREDITED 17025 WITH UNCERTAINTIES",$N$10,0)</f>
        <v>0</v>
      </c>
      <c r="Q2054" s="1">
        <f>Table1[[#This Row],[High Tol]]-Table1[[#This Row],[Low Tol]]</f>
        <v>0</v>
      </c>
      <c r="R2054" s="1">
        <f>2*Table1[[#This Row],[Std Error]]</f>
        <v>0</v>
      </c>
      <c r="S2054" s="1" t="str">
        <f>IF(Table1[[#This Row],[High Tol]]="","N/A",IFERROR(ABS(Table1[[#This Row],[Tol Span]]/Table1[[#This Row],[Error Span]]),"N/A"))</f>
        <v>N/A</v>
      </c>
      <c r="T2054" s="1" t="str">
        <f>IF(OR(Table1[[#This Row],[Low Tol]]="",Table1[[#This Row],[High Tol]]=""),"Needs Analysis",IF(Table1[[#This Row],[Ratio]]&gt;=4,"Not Significant",IF(Table1[[#This Row],[Ratio]]&gt;=2,"Semi-Significant","Significant")))</f>
        <v>Needs Analysis</v>
      </c>
      <c r="W2054" s="1">
        <f>IF(Table1[[#This Row],[Cal Type]]&lt;&gt;"ACCREDITED 17025 WITH UNCERTAINTIES",0,"")</f>
        <v>0</v>
      </c>
      <c r="X2054" s="1" t="str">
        <f>IF(Table1[[#This Row],[DUT Read]]="","N/A",Table1[[#This Row],[Std Error]]+Table1[[#This Row],[DUT Read]]+Table1[[#This Row],[DUT Ucty]])</f>
        <v>N/A</v>
      </c>
      <c r="Y2054" s="1" t="str">
        <f>IF(Table1[[#This Row],[Std Read]]="","N/A",Table1[[#This Row],[Std Read]]+Table1[[#This Row],[Std Ucty]])</f>
        <v>N/A</v>
      </c>
      <c r="Z20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4" s="1" t="str">
        <f>IF(Table1[[#This Row],[Spec Type]]="","N/A",Table1[[#This Row],[Spec Type]])</f>
        <v>±</v>
      </c>
      <c r="AC2054" s="1" t="str">
        <f>IF(Table1[[#This Row],[Spec Type2]]="N/A","N/A",IF(AND(Table1[[#This Row],[DUT Adj Read]]&gt;=Table1[[#This Row],[Low Tol]],Table1[[#This Row],[DUT Adj Read]]&lt;=Table1[[#This Row],[High Tol]]),"Pass","Fail"))</f>
        <v>Fail</v>
      </c>
      <c r="AD2054" s="1" t="str">
        <f>IF(AND(Table1[[#This Row],[Spec Type2]]="N/A",Table1[[#This Row],[DUT Adj Read]]="N/A",Table1[[#This Row],[Std Adj Read]]="N/A"),"N/A",IF(Table1[[#This Row],[DUT Adj Read]]="N/A",IF(Table1[[#This Row],[Std Adj Read]]&gt;Table1[[#This Row],[Low Tol]],"Pass","Fail"),IF(Table1[[#This Row],[DUT Adj Read]]&gt;Table1[[#This Row],[Low Tol]],"Pass","Fail")))</f>
        <v>Pass</v>
      </c>
      <c r="AE2054" s="1" t="str">
        <f>IF(AND(Table1[[#This Row],[Spec Type2]]="N/A",Table1[[#This Row],[DUT Adj Read]]="N/A",Table1[[#This Row],[Std Adj Read]]="N/A"),"N/A",IF(Table1[[#This Row],[DUT Adj Read]]="N/A",IF(Table1[[#This Row],[Std Adj Read]]&lt;Table1[[#This Row],[High Tol]],"Pass","Fail"),IF(Table1[[#This Row],[DUT Adj Read]]&lt;Table1[[#This Row],[High Tol]],"Pass","Fail")))</f>
        <v>Fail</v>
      </c>
      <c r="AF2054" s="1" t="str">
        <f>IF(AND(Table1[[#This Row],[Spec Type2]]="N/A",Table1[[#This Row],[DUT Adj Read]]="N/A",Table1[[#This Row],[Std Adj Read]]="N/A"),"N/A",IF(Table1[[#This Row],[DUT Adj Read]]="N/A",IF(Table1[[#This Row],[Std Adj Read]]&gt;=Table1[[#This Row],[Low Tol]],"Pass","Fail"),IF(Table1[[#This Row],[DUT Adj Read]]&gt;=Table1[[#This Row],[Low Tol]],"Pass","Fail")))</f>
        <v>Pass</v>
      </c>
      <c r="AG2054" s="1" t="str">
        <f>IF(AND(Table1[[#This Row],[Spec Type2]]="N/A",Table1[[#This Row],[DUT Adj Read]]="N/A",Table1[[#This Row],[Std Adj Read]]="N/A"),"N/A",IF(Table1[[#This Row],[DUT Adj Read]]="N/A",IF(Table1[[#This Row],[Std Adj Read]]&lt;=Table1[[#This Row],[High Tol]],"Pass","Fail"),IF(Table1[[#This Row],[DUT Adj Read]]&lt;=Table1[[#This Row],[High Tol]],"Pass","Fail")))</f>
        <v>Fail</v>
      </c>
      <c r="AH20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4" s="1" t="b">
        <v>0</v>
      </c>
      <c r="AN2054" s="1" t="b">
        <v>0</v>
      </c>
      <c r="AO2054" s="1" t="b">
        <v>0</v>
      </c>
    </row>
    <row r="2055" spans="1:41" x14ac:dyDescent="0.25">
      <c r="A2055" s="10"/>
      <c r="B2055" s="10"/>
      <c r="C2055" s="10"/>
      <c r="D2055" s="10"/>
      <c r="E2055" s="10"/>
      <c r="F2055" s="10"/>
      <c r="G2055" s="10"/>
      <c r="H2055" s="10"/>
      <c r="I2055" s="1" t="str">
        <f t="shared" si="93"/>
        <v/>
      </c>
      <c r="J2055" s="1" t="s">
        <v>35</v>
      </c>
      <c r="K2055" s="1" t="str">
        <f t="shared" si="94"/>
        <v/>
      </c>
      <c r="L2055" s="1" t="str">
        <f t="shared" si="95"/>
        <v/>
      </c>
      <c r="M2055" s="1">
        <f>IF(OR(Table1[[#This Row],[Std Nom]]="",Table1[[#This Row],[Std Read]]=""),0,Table1[[#This Row],[Std Nom]]-Table1[[#This Row],[Std Read]])</f>
        <v>0</v>
      </c>
      <c r="N2055" s="1">
        <f>IF(Calculations!$F$5="ACCREDITED 17025 WITH UNCERTAINTIES",$N$10,0)</f>
        <v>0</v>
      </c>
      <c r="Q2055" s="1">
        <f>Table1[[#This Row],[High Tol]]-Table1[[#This Row],[Low Tol]]</f>
        <v>0</v>
      </c>
      <c r="R2055" s="1">
        <f>2*Table1[[#This Row],[Std Error]]</f>
        <v>0</v>
      </c>
      <c r="S2055" s="1" t="str">
        <f>IF(Table1[[#This Row],[High Tol]]="","N/A",IFERROR(ABS(Table1[[#This Row],[Tol Span]]/Table1[[#This Row],[Error Span]]),"N/A"))</f>
        <v>N/A</v>
      </c>
      <c r="T2055" s="1" t="str">
        <f>IF(OR(Table1[[#This Row],[Low Tol]]="",Table1[[#This Row],[High Tol]]=""),"Needs Analysis",IF(Table1[[#This Row],[Ratio]]&gt;=4,"Not Significant",IF(Table1[[#This Row],[Ratio]]&gt;=2,"Semi-Significant","Significant")))</f>
        <v>Needs Analysis</v>
      </c>
      <c r="W2055" s="1">
        <f>IF(Table1[[#This Row],[Cal Type]]&lt;&gt;"ACCREDITED 17025 WITH UNCERTAINTIES",0,"")</f>
        <v>0</v>
      </c>
      <c r="X2055" s="1" t="str">
        <f>IF(Table1[[#This Row],[DUT Read]]="","N/A",Table1[[#This Row],[Std Error]]+Table1[[#This Row],[DUT Read]]+Table1[[#This Row],[DUT Ucty]])</f>
        <v>N/A</v>
      </c>
      <c r="Y2055" s="1" t="str">
        <f>IF(Table1[[#This Row],[Std Read]]="","N/A",Table1[[#This Row],[Std Read]]+Table1[[#This Row],[Std Ucty]])</f>
        <v>N/A</v>
      </c>
      <c r="Z20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5" s="1" t="str">
        <f>IF(Table1[[#This Row],[Spec Type]]="","N/A",Table1[[#This Row],[Spec Type]])</f>
        <v>±</v>
      </c>
      <c r="AC2055" s="1" t="str">
        <f>IF(Table1[[#This Row],[Spec Type2]]="N/A","N/A",IF(AND(Table1[[#This Row],[DUT Adj Read]]&gt;=Table1[[#This Row],[Low Tol]],Table1[[#This Row],[DUT Adj Read]]&lt;=Table1[[#This Row],[High Tol]]),"Pass","Fail"))</f>
        <v>Fail</v>
      </c>
      <c r="AD2055" s="1" t="str">
        <f>IF(AND(Table1[[#This Row],[Spec Type2]]="N/A",Table1[[#This Row],[DUT Adj Read]]="N/A",Table1[[#This Row],[Std Adj Read]]="N/A"),"N/A",IF(Table1[[#This Row],[DUT Adj Read]]="N/A",IF(Table1[[#This Row],[Std Adj Read]]&gt;Table1[[#This Row],[Low Tol]],"Pass","Fail"),IF(Table1[[#This Row],[DUT Adj Read]]&gt;Table1[[#This Row],[Low Tol]],"Pass","Fail")))</f>
        <v>Pass</v>
      </c>
      <c r="AE2055" s="1" t="str">
        <f>IF(AND(Table1[[#This Row],[Spec Type2]]="N/A",Table1[[#This Row],[DUT Adj Read]]="N/A",Table1[[#This Row],[Std Adj Read]]="N/A"),"N/A",IF(Table1[[#This Row],[DUT Adj Read]]="N/A",IF(Table1[[#This Row],[Std Adj Read]]&lt;Table1[[#This Row],[High Tol]],"Pass","Fail"),IF(Table1[[#This Row],[DUT Adj Read]]&lt;Table1[[#This Row],[High Tol]],"Pass","Fail")))</f>
        <v>Fail</v>
      </c>
      <c r="AF2055" s="1" t="str">
        <f>IF(AND(Table1[[#This Row],[Spec Type2]]="N/A",Table1[[#This Row],[DUT Adj Read]]="N/A",Table1[[#This Row],[Std Adj Read]]="N/A"),"N/A",IF(Table1[[#This Row],[DUT Adj Read]]="N/A",IF(Table1[[#This Row],[Std Adj Read]]&gt;=Table1[[#This Row],[Low Tol]],"Pass","Fail"),IF(Table1[[#This Row],[DUT Adj Read]]&gt;=Table1[[#This Row],[Low Tol]],"Pass","Fail")))</f>
        <v>Pass</v>
      </c>
      <c r="AG2055" s="1" t="str">
        <f>IF(AND(Table1[[#This Row],[Spec Type2]]="N/A",Table1[[#This Row],[DUT Adj Read]]="N/A",Table1[[#This Row],[Std Adj Read]]="N/A"),"N/A",IF(Table1[[#This Row],[DUT Adj Read]]="N/A",IF(Table1[[#This Row],[Std Adj Read]]&lt;=Table1[[#This Row],[High Tol]],"Pass","Fail"),IF(Table1[[#This Row],[DUT Adj Read]]&lt;=Table1[[#This Row],[High Tol]],"Pass","Fail")))</f>
        <v>Fail</v>
      </c>
      <c r="AH20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5" s="1" t="b">
        <v>0</v>
      </c>
      <c r="AN2055" s="1" t="b">
        <v>0</v>
      </c>
      <c r="AO2055" s="1" t="b">
        <v>0</v>
      </c>
    </row>
    <row r="2056" spans="1:41" x14ac:dyDescent="0.25">
      <c r="A2056" s="10"/>
      <c r="B2056" s="10"/>
      <c r="C2056" s="10"/>
      <c r="D2056" s="10"/>
      <c r="E2056" s="10"/>
      <c r="F2056" s="10"/>
      <c r="G2056" s="10"/>
      <c r="H2056" s="10"/>
      <c r="I2056" s="1" t="str">
        <f t="shared" si="93"/>
        <v/>
      </c>
      <c r="J2056" s="1" t="s">
        <v>35</v>
      </c>
      <c r="K2056" s="1" t="str">
        <f t="shared" si="94"/>
        <v/>
      </c>
      <c r="L2056" s="1" t="str">
        <f t="shared" si="95"/>
        <v/>
      </c>
      <c r="M2056" s="1">
        <f>IF(OR(Table1[[#This Row],[Std Nom]]="",Table1[[#This Row],[Std Read]]=""),0,Table1[[#This Row],[Std Nom]]-Table1[[#This Row],[Std Read]])</f>
        <v>0</v>
      </c>
      <c r="N2056" s="1">
        <f>IF(Calculations!$F$5="ACCREDITED 17025 WITH UNCERTAINTIES",$N$10,0)</f>
        <v>0</v>
      </c>
      <c r="Q2056" s="1">
        <f>Table1[[#This Row],[High Tol]]-Table1[[#This Row],[Low Tol]]</f>
        <v>0</v>
      </c>
      <c r="R2056" s="1">
        <f>2*Table1[[#This Row],[Std Error]]</f>
        <v>0</v>
      </c>
      <c r="S2056" s="1" t="str">
        <f>IF(Table1[[#This Row],[High Tol]]="","N/A",IFERROR(ABS(Table1[[#This Row],[Tol Span]]/Table1[[#This Row],[Error Span]]),"N/A"))</f>
        <v>N/A</v>
      </c>
      <c r="T2056" s="1" t="str">
        <f>IF(OR(Table1[[#This Row],[Low Tol]]="",Table1[[#This Row],[High Tol]]=""),"Needs Analysis",IF(Table1[[#This Row],[Ratio]]&gt;=4,"Not Significant",IF(Table1[[#This Row],[Ratio]]&gt;=2,"Semi-Significant","Significant")))</f>
        <v>Needs Analysis</v>
      </c>
      <c r="W2056" s="1">
        <f>IF(Table1[[#This Row],[Cal Type]]&lt;&gt;"ACCREDITED 17025 WITH UNCERTAINTIES",0,"")</f>
        <v>0</v>
      </c>
      <c r="X2056" s="1" t="str">
        <f>IF(Table1[[#This Row],[DUT Read]]="","N/A",Table1[[#This Row],[Std Error]]+Table1[[#This Row],[DUT Read]]+Table1[[#This Row],[DUT Ucty]])</f>
        <v>N/A</v>
      </c>
      <c r="Y2056" s="1" t="str">
        <f>IF(Table1[[#This Row],[Std Read]]="","N/A",Table1[[#This Row],[Std Read]]+Table1[[#This Row],[Std Ucty]])</f>
        <v>N/A</v>
      </c>
      <c r="Z20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6" s="1" t="str">
        <f>IF(Table1[[#This Row],[Spec Type]]="","N/A",Table1[[#This Row],[Spec Type]])</f>
        <v>±</v>
      </c>
      <c r="AC2056" s="1" t="str">
        <f>IF(Table1[[#This Row],[Spec Type2]]="N/A","N/A",IF(AND(Table1[[#This Row],[DUT Adj Read]]&gt;=Table1[[#This Row],[Low Tol]],Table1[[#This Row],[DUT Adj Read]]&lt;=Table1[[#This Row],[High Tol]]),"Pass","Fail"))</f>
        <v>Fail</v>
      </c>
      <c r="AD2056" s="1" t="str">
        <f>IF(AND(Table1[[#This Row],[Spec Type2]]="N/A",Table1[[#This Row],[DUT Adj Read]]="N/A",Table1[[#This Row],[Std Adj Read]]="N/A"),"N/A",IF(Table1[[#This Row],[DUT Adj Read]]="N/A",IF(Table1[[#This Row],[Std Adj Read]]&gt;Table1[[#This Row],[Low Tol]],"Pass","Fail"),IF(Table1[[#This Row],[DUT Adj Read]]&gt;Table1[[#This Row],[Low Tol]],"Pass","Fail")))</f>
        <v>Pass</v>
      </c>
      <c r="AE2056" s="1" t="str">
        <f>IF(AND(Table1[[#This Row],[Spec Type2]]="N/A",Table1[[#This Row],[DUT Adj Read]]="N/A",Table1[[#This Row],[Std Adj Read]]="N/A"),"N/A",IF(Table1[[#This Row],[DUT Adj Read]]="N/A",IF(Table1[[#This Row],[Std Adj Read]]&lt;Table1[[#This Row],[High Tol]],"Pass","Fail"),IF(Table1[[#This Row],[DUT Adj Read]]&lt;Table1[[#This Row],[High Tol]],"Pass","Fail")))</f>
        <v>Fail</v>
      </c>
      <c r="AF2056" s="1" t="str">
        <f>IF(AND(Table1[[#This Row],[Spec Type2]]="N/A",Table1[[#This Row],[DUT Adj Read]]="N/A",Table1[[#This Row],[Std Adj Read]]="N/A"),"N/A",IF(Table1[[#This Row],[DUT Adj Read]]="N/A",IF(Table1[[#This Row],[Std Adj Read]]&gt;=Table1[[#This Row],[Low Tol]],"Pass","Fail"),IF(Table1[[#This Row],[DUT Adj Read]]&gt;=Table1[[#This Row],[Low Tol]],"Pass","Fail")))</f>
        <v>Pass</v>
      </c>
      <c r="AG2056" s="1" t="str">
        <f>IF(AND(Table1[[#This Row],[Spec Type2]]="N/A",Table1[[#This Row],[DUT Adj Read]]="N/A",Table1[[#This Row],[Std Adj Read]]="N/A"),"N/A",IF(Table1[[#This Row],[DUT Adj Read]]="N/A",IF(Table1[[#This Row],[Std Adj Read]]&lt;=Table1[[#This Row],[High Tol]],"Pass","Fail"),IF(Table1[[#This Row],[DUT Adj Read]]&lt;=Table1[[#This Row],[High Tol]],"Pass","Fail")))</f>
        <v>Fail</v>
      </c>
      <c r="AH20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6" s="1" t="b">
        <v>0</v>
      </c>
      <c r="AN2056" s="1" t="b">
        <v>0</v>
      </c>
      <c r="AO2056" s="1" t="b">
        <v>0</v>
      </c>
    </row>
    <row r="2057" spans="1:41" x14ac:dyDescent="0.25">
      <c r="A2057" s="10"/>
      <c r="B2057" s="10"/>
      <c r="C2057" s="10"/>
      <c r="D2057" s="10"/>
      <c r="E2057" s="10"/>
      <c r="F2057" s="10"/>
      <c r="G2057" s="10"/>
      <c r="H2057" s="10"/>
      <c r="I2057" s="1" t="str">
        <f t="shared" si="93"/>
        <v/>
      </c>
      <c r="J2057" s="1" t="s">
        <v>35</v>
      </c>
      <c r="K2057" s="1" t="str">
        <f t="shared" si="94"/>
        <v/>
      </c>
      <c r="L2057" s="1" t="str">
        <f t="shared" si="95"/>
        <v/>
      </c>
      <c r="M2057" s="1">
        <f>IF(OR(Table1[[#This Row],[Std Nom]]="",Table1[[#This Row],[Std Read]]=""),0,Table1[[#This Row],[Std Nom]]-Table1[[#This Row],[Std Read]])</f>
        <v>0</v>
      </c>
      <c r="N2057" s="1">
        <f>IF(Calculations!$F$5="ACCREDITED 17025 WITH UNCERTAINTIES",$N$10,0)</f>
        <v>0</v>
      </c>
      <c r="Q2057" s="1">
        <f>Table1[[#This Row],[High Tol]]-Table1[[#This Row],[Low Tol]]</f>
        <v>0</v>
      </c>
      <c r="R2057" s="1">
        <f>2*Table1[[#This Row],[Std Error]]</f>
        <v>0</v>
      </c>
      <c r="S2057" s="1" t="str">
        <f>IF(Table1[[#This Row],[High Tol]]="","N/A",IFERROR(ABS(Table1[[#This Row],[Tol Span]]/Table1[[#This Row],[Error Span]]),"N/A"))</f>
        <v>N/A</v>
      </c>
      <c r="T2057" s="1" t="str">
        <f>IF(OR(Table1[[#This Row],[Low Tol]]="",Table1[[#This Row],[High Tol]]=""),"Needs Analysis",IF(Table1[[#This Row],[Ratio]]&gt;=4,"Not Significant",IF(Table1[[#This Row],[Ratio]]&gt;=2,"Semi-Significant","Significant")))</f>
        <v>Needs Analysis</v>
      </c>
      <c r="W2057" s="1">
        <f>IF(Table1[[#This Row],[Cal Type]]&lt;&gt;"ACCREDITED 17025 WITH UNCERTAINTIES",0,"")</f>
        <v>0</v>
      </c>
      <c r="X2057" s="1" t="str">
        <f>IF(Table1[[#This Row],[DUT Read]]="","N/A",Table1[[#This Row],[Std Error]]+Table1[[#This Row],[DUT Read]]+Table1[[#This Row],[DUT Ucty]])</f>
        <v>N/A</v>
      </c>
      <c r="Y2057" s="1" t="str">
        <f>IF(Table1[[#This Row],[Std Read]]="","N/A",Table1[[#This Row],[Std Read]]+Table1[[#This Row],[Std Ucty]])</f>
        <v>N/A</v>
      </c>
      <c r="Z20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7" s="1" t="str">
        <f>IF(Table1[[#This Row],[Spec Type]]="","N/A",Table1[[#This Row],[Spec Type]])</f>
        <v>±</v>
      </c>
      <c r="AC2057" s="1" t="str">
        <f>IF(Table1[[#This Row],[Spec Type2]]="N/A","N/A",IF(AND(Table1[[#This Row],[DUT Adj Read]]&gt;=Table1[[#This Row],[Low Tol]],Table1[[#This Row],[DUT Adj Read]]&lt;=Table1[[#This Row],[High Tol]]),"Pass","Fail"))</f>
        <v>Fail</v>
      </c>
      <c r="AD2057" s="1" t="str">
        <f>IF(AND(Table1[[#This Row],[Spec Type2]]="N/A",Table1[[#This Row],[DUT Adj Read]]="N/A",Table1[[#This Row],[Std Adj Read]]="N/A"),"N/A",IF(Table1[[#This Row],[DUT Adj Read]]="N/A",IF(Table1[[#This Row],[Std Adj Read]]&gt;Table1[[#This Row],[Low Tol]],"Pass","Fail"),IF(Table1[[#This Row],[DUT Adj Read]]&gt;Table1[[#This Row],[Low Tol]],"Pass","Fail")))</f>
        <v>Pass</v>
      </c>
      <c r="AE2057" s="1" t="str">
        <f>IF(AND(Table1[[#This Row],[Spec Type2]]="N/A",Table1[[#This Row],[DUT Adj Read]]="N/A",Table1[[#This Row],[Std Adj Read]]="N/A"),"N/A",IF(Table1[[#This Row],[DUT Adj Read]]="N/A",IF(Table1[[#This Row],[Std Adj Read]]&lt;Table1[[#This Row],[High Tol]],"Pass","Fail"),IF(Table1[[#This Row],[DUT Adj Read]]&lt;Table1[[#This Row],[High Tol]],"Pass","Fail")))</f>
        <v>Fail</v>
      </c>
      <c r="AF2057" s="1" t="str">
        <f>IF(AND(Table1[[#This Row],[Spec Type2]]="N/A",Table1[[#This Row],[DUT Adj Read]]="N/A",Table1[[#This Row],[Std Adj Read]]="N/A"),"N/A",IF(Table1[[#This Row],[DUT Adj Read]]="N/A",IF(Table1[[#This Row],[Std Adj Read]]&gt;=Table1[[#This Row],[Low Tol]],"Pass","Fail"),IF(Table1[[#This Row],[DUT Adj Read]]&gt;=Table1[[#This Row],[Low Tol]],"Pass","Fail")))</f>
        <v>Pass</v>
      </c>
      <c r="AG2057" s="1" t="str">
        <f>IF(AND(Table1[[#This Row],[Spec Type2]]="N/A",Table1[[#This Row],[DUT Adj Read]]="N/A",Table1[[#This Row],[Std Adj Read]]="N/A"),"N/A",IF(Table1[[#This Row],[DUT Adj Read]]="N/A",IF(Table1[[#This Row],[Std Adj Read]]&lt;=Table1[[#This Row],[High Tol]],"Pass","Fail"),IF(Table1[[#This Row],[DUT Adj Read]]&lt;=Table1[[#This Row],[High Tol]],"Pass","Fail")))</f>
        <v>Fail</v>
      </c>
      <c r="AH20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7" s="1" t="b">
        <v>0</v>
      </c>
      <c r="AN2057" s="1" t="b">
        <v>0</v>
      </c>
      <c r="AO2057" s="1" t="b">
        <v>0</v>
      </c>
    </row>
    <row r="2058" spans="1:41" x14ac:dyDescent="0.25">
      <c r="A2058" s="10"/>
      <c r="B2058" s="10"/>
      <c r="C2058" s="10"/>
      <c r="D2058" s="10"/>
      <c r="E2058" s="10"/>
      <c r="F2058" s="10"/>
      <c r="G2058" s="10"/>
      <c r="H2058" s="10"/>
      <c r="I2058" s="1" t="str">
        <f t="shared" si="93"/>
        <v/>
      </c>
      <c r="J2058" s="1" t="s">
        <v>35</v>
      </c>
      <c r="K2058" s="1" t="str">
        <f t="shared" si="94"/>
        <v/>
      </c>
      <c r="L2058" s="1" t="str">
        <f t="shared" si="95"/>
        <v/>
      </c>
      <c r="M2058" s="1">
        <f>IF(OR(Table1[[#This Row],[Std Nom]]="",Table1[[#This Row],[Std Read]]=""),0,Table1[[#This Row],[Std Nom]]-Table1[[#This Row],[Std Read]])</f>
        <v>0</v>
      </c>
      <c r="N2058" s="1">
        <f>IF(Calculations!$F$5="ACCREDITED 17025 WITH UNCERTAINTIES",$N$10,0)</f>
        <v>0</v>
      </c>
      <c r="Q2058" s="1">
        <f>Table1[[#This Row],[High Tol]]-Table1[[#This Row],[Low Tol]]</f>
        <v>0</v>
      </c>
      <c r="R2058" s="1">
        <f>2*Table1[[#This Row],[Std Error]]</f>
        <v>0</v>
      </c>
      <c r="S2058" s="1" t="str">
        <f>IF(Table1[[#This Row],[High Tol]]="","N/A",IFERROR(ABS(Table1[[#This Row],[Tol Span]]/Table1[[#This Row],[Error Span]]),"N/A"))</f>
        <v>N/A</v>
      </c>
      <c r="T2058" s="1" t="str">
        <f>IF(OR(Table1[[#This Row],[Low Tol]]="",Table1[[#This Row],[High Tol]]=""),"Needs Analysis",IF(Table1[[#This Row],[Ratio]]&gt;=4,"Not Significant",IF(Table1[[#This Row],[Ratio]]&gt;=2,"Semi-Significant","Significant")))</f>
        <v>Needs Analysis</v>
      </c>
      <c r="W2058" s="1">
        <f>IF(Table1[[#This Row],[Cal Type]]&lt;&gt;"ACCREDITED 17025 WITH UNCERTAINTIES",0,"")</f>
        <v>0</v>
      </c>
      <c r="X2058" s="1" t="str">
        <f>IF(Table1[[#This Row],[DUT Read]]="","N/A",Table1[[#This Row],[Std Error]]+Table1[[#This Row],[DUT Read]]+Table1[[#This Row],[DUT Ucty]])</f>
        <v>N/A</v>
      </c>
      <c r="Y2058" s="1" t="str">
        <f>IF(Table1[[#This Row],[Std Read]]="","N/A",Table1[[#This Row],[Std Read]]+Table1[[#This Row],[Std Ucty]])</f>
        <v>N/A</v>
      </c>
      <c r="Z20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8" s="1" t="str">
        <f>IF(Table1[[#This Row],[Spec Type]]="","N/A",Table1[[#This Row],[Spec Type]])</f>
        <v>±</v>
      </c>
      <c r="AC2058" s="1" t="str">
        <f>IF(Table1[[#This Row],[Spec Type2]]="N/A","N/A",IF(AND(Table1[[#This Row],[DUT Adj Read]]&gt;=Table1[[#This Row],[Low Tol]],Table1[[#This Row],[DUT Adj Read]]&lt;=Table1[[#This Row],[High Tol]]),"Pass","Fail"))</f>
        <v>Fail</v>
      </c>
      <c r="AD2058" s="1" t="str">
        <f>IF(AND(Table1[[#This Row],[Spec Type2]]="N/A",Table1[[#This Row],[DUT Adj Read]]="N/A",Table1[[#This Row],[Std Adj Read]]="N/A"),"N/A",IF(Table1[[#This Row],[DUT Adj Read]]="N/A",IF(Table1[[#This Row],[Std Adj Read]]&gt;Table1[[#This Row],[Low Tol]],"Pass","Fail"),IF(Table1[[#This Row],[DUT Adj Read]]&gt;Table1[[#This Row],[Low Tol]],"Pass","Fail")))</f>
        <v>Pass</v>
      </c>
      <c r="AE2058" s="1" t="str">
        <f>IF(AND(Table1[[#This Row],[Spec Type2]]="N/A",Table1[[#This Row],[DUT Adj Read]]="N/A",Table1[[#This Row],[Std Adj Read]]="N/A"),"N/A",IF(Table1[[#This Row],[DUT Adj Read]]="N/A",IF(Table1[[#This Row],[Std Adj Read]]&lt;Table1[[#This Row],[High Tol]],"Pass","Fail"),IF(Table1[[#This Row],[DUT Adj Read]]&lt;Table1[[#This Row],[High Tol]],"Pass","Fail")))</f>
        <v>Fail</v>
      </c>
      <c r="AF2058" s="1" t="str">
        <f>IF(AND(Table1[[#This Row],[Spec Type2]]="N/A",Table1[[#This Row],[DUT Adj Read]]="N/A",Table1[[#This Row],[Std Adj Read]]="N/A"),"N/A",IF(Table1[[#This Row],[DUT Adj Read]]="N/A",IF(Table1[[#This Row],[Std Adj Read]]&gt;=Table1[[#This Row],[Low Tol]],"Pass","Fail"),IF(Table1[[#This Row],[DUT Adj Read]]&gt;=Table1[[#This Row],[Low Tol]],"Pass","Fail")))</f>
        <v>Pass</v>
      </c>
      <c r="AG2058" s="1" t="str">
        <f>IF(AND(Table1[[#This Row],[Spec Type2]]="N/A",Table1[[#This Row],[DUT Adj Read]]="N/A",Table1[[#This Row],[Std Adj Read]]="N/A"),"N/A",IF(Table1[[#This Row],[DUT Adj Read]]="N/A",IF(Table1[[#This Row],[Std Adj Read]]&lt;=Table1[[#This Row],[High Tol]],"Pass","Fail"),IF(Table1[[#This Row],[DUT Adj Read]]&lt;=Table1[[#This Row],[High Tol]],"Pass","Fail")))</f>
        <v>Fail</v>
      </c>
      <c r="AH20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8" s="1" t="b">
        <v>0</v>
      </c>
      <c r="AN2058" s="1" t="b">
        <v>0</v>
      </c>
      <c r="AO2058" s="1" t="b">
        <v>0</v>
      </c>
    </row>
    <row r="2059" spans="1:41" x14ac:dyDescent="0.25">
      <c r="A2059" s="10"/>
      <c r="B2059" s="10"/>
      <c r="C2059" s="10"/>
      <c r="D2059" s="10"/>
      <c r="E2059" s="10"/>
      <c r="F2059" s="10"/>
      <c r="G2059" s="10"/>
      <c r="H2059" s="10"/>
      <c r="I2059" s="1" t="str">
        <f t="shared" ref="I2059:I2122" si="96">IF($I$10="","",$I$10)</f>
        <v/>
      </c>
      <c r="J2059" s="1" t="s">
        <v>35</v>
      </c>
      <c r="K2059" s="1" t="str">
        <f t="shared" ref="K2059:K2122" si="97">IF($K$10="","",$K$10)</f>
        <v/>
      </c>
      <c r="L2059" s="1" t="str">
        <f t="shared" ref="L2059:L2122" si="98">IF($L$10="","",$L$10)</f>
        <v/>
      </c>
      <c r="M2059" s="1">
        <f>IF(OR(Table1[[#This Row],[Std Nom]]="",Table1[[#This Row],[Std Read]]=""),0,Table1[[#This Row],[Std Nom]]-Table1[[#This Row],[Std Read]])</f>
        <v>0</v>
      </c>
      <c r="N2059" s="1">
        <f>IF(Calculations!$F$5="ACCREDITED 17025 WITH UNCERTAINTIES",$N$10,0)</f>
        <v>0</v>
      </c>
      <c r="Q2059" s="1">
        <f>Table1[[#This Row],[High Tol]]-Table1[[#This Row],[Low Tol]]</f>
        <v>0</v>
      </c>
      <c r="R2059" s="1">
        <f>2*Table1[[#This Row],[Std Error]]</f>
        <v>0</v>
      </c>
      <c r="S2059" s="1" t="str">
        <f>IF(Table1[[#This Row],[High Tol]]="","N/A",IFERROR(ABS(Table1[[#This Row],[Tol Span]]/Table1[[#This Row],[Error Span]]),"N/A"))</f>
        <v>N/A</v>
      </c>
      <c r="T2059" s="1" t="str">
        <f>IF(OR(Table1[[#This Row],[Low Tol]]="",Table1[[#This Row],[High Tol]]=""),"Needs Analysis",IF(Table1[[#This Row],[Ratio]]&gt;=4,"Not Significant",IF(Table1[[#This Row],[Ratio]]&gt;=2,"Semi-Significant","Significant")))</f>
        <v>Needs Analysis</v>
      </c>
      <c r="W2059" s="1">
        <f>IF(Table1[[#This Row],[Cal Type]]&lt;&gt;"ACCREDITED 17025 WITH UNCERTAINTIES",0,"")</f>
        <v>0</v>
      </c>
      <c r="X2059" s="1" t="str">
        <f>IF(Table1[[#This Row],[DUT Read]]="","N/A",Table1[[#This Row],[Std Error]]+Table1[[#This Row],[DUT Read]]+Table1[[#This Row],[DUT Ucty]])</f>
        <v>N/A</v>
      </c>
      <c r="Y2059" s="1" t="str">
        <f>IF(Table1[[#This Row],[Std Read]]="","N/A",Table1[[#This Row],[Std Read]]+Table1[[#This Row],[Std Ucty]])</f>
        <v>N/A</v>
      </c>
      <c r="Z20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59" s="1" t="str">
        <f>IF(Table1[[#This Row],[Spec Type]]="","N/A",Table1[[#This Row],[Spec Type]])</f>
        <v>±</v>
      </c>
      <c r="AC2059" s="1" t="str">
        <f>IF(Table1[[#This Row],[Spec Type2]]="N/A","N/A",IF(AND(Table1[[#This Row],[DUT Adj Read]]&gt;=Table1[[#This Row],[Low Tol]],Table1[[#This Row],[DUT Adj Read]]&lt;=Table1[[#This Row],[High Tol]]),"Pass","Fail"))</f>
        <v>Fail</v>
      </c>
      <c r="AD2059" s="1" t="str">
        <f>IF(AND(Table1[[#This Row],[Spec Type2]]="N/A",Table1[[#This Row],[DUT Adj Read]]="N/A",Table1[[#This Row],[Std Adj Read]]="N/A"),"N/A",IF(Table1[[#This Row],[DUT Adj Read]]="N/A",IF(Table1[[#This Row],[Std Adj Read]]&gt;Table1[[#This Row],[Low Tol]],"Pass","Fail"),IF(Table1[[#This Row],[DUT Adj Read]]&gt;Table1[[#This Row],[Low Tol]],"Pass","Fail")))</f>
        <v>Pass</v>
      </c>
      <c r="AE2059" s="1" t="str">
        <f>IF(AND(Table1[[#This Row],[Spec Type2]]="N/A",Table1[[#This Row],[DUT Adj Read]]="N/A",Table1[[#This Row],[Std Adj Read]]="N/A"),"N/A",IF(Table1[[#This Row],[DUT Adj Read]]="N/A",IF(Table1[[#This Row],[Std Adj Read]]&lt;Table1[[#This Row],[High Tol]],"Pass","Fail"),IF(Table1[[#This Row],[DUT Adj Read]]&lt;Table1[[#This Row],[High Tol]],"Pass","Fail")))</f>
        <v>Fail</v>
      </c>
      <c r="AF2059" s="1" t="str">
        <f>IF(AND(Table1[[#This Row],[Spec Type2]]="N/A",Table1[[#This Row],[DUT Adj Read]]="N/A",Table1[[#This Row],[Std Adj Read]]="N/A"),"N/A",IF(Table1[[#This Row],[DUT Adj Read]]="N/A",IF(Table1[[#This Row],[Std Adj Read]]&gt;=Table1[[#This Row],[Low Tol]],"Pass","Fail"),IF(Table1[[#This Row],[DUT Adj Read]]&gt;=Table1[[#This Row],[Low Tol]],"Pass","Fail")))</f>
        <v>Pass</v>
      </c>
      <c r="AG2059" s="1" t="str">
        <f>IF(AND(Table1[[#This Row],[Spec Type2]]="N/A",Table1[[#This Row],[DUT Adj Read]]="N/A",Table1[[#This Row],[Std Adj Read]]="N/A"),"N/A",IF(Table1[[#This Row],[DUT Adj Read]]="N/A",IF(Table1[[#This Row],[Std Adj Read]]&lt;=Table1[[#This Row],[High Tol]],"Pass","Fail"),IF(Table1[[#This Row],[DUT Adj Read]]&lt;=Table1[[#This Row],[High Tol]],"Pass","Fail")))</f>
        <v>Fail</v>
      </c>
      <c r="AH20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59" s="1" t="b">
        <v>0</v>
      </c>
      <c r="AN2059" s="1" t="b">
        <v>0</v>
      </c>
      <c r="AO2059" s="1" t="b">
        <v>0</v>
      </c>
    </row>
    <row r="2060" spans="1:41" x14ac:dyDescent="0.25">
      <c r="A2060" s="10"/>
      <c r="B2060" s="10"/>
      <c r="C2060" s="10"/>
      <c r="D2060" s="10"/>
      <c r="E2060" s="10"/>
      <c r="F2060" s="10"/>
      <c r="G2060" s="10"/>
      <c r="H2060" s="10"/>
      <c r="I2060" s="1" t="str">
        <f t="shared" si="96"/>
        <v/>
      </c>
      <c r="J2060" s="1" t="s">
        <v>35</v>
      </c>
      <c r="K2060" s="1" t="str">
        <f t="shared" si="97"/>
        <v/>
      </c>
      <c r="L2060" s="1" t="str">
        <f t="shared" si="98"/>
        <v/>
      </c>
      <c r="M2060" s="1">
        <f>IF(OR(Table1[[#This Row],[Std Nom]]="",Table1[[#This Row],[Std Read]]=""),0,Table1[[#This Row],[Std Nom]]-Table1[[#This Row],[Std Read]])</f>
        <v>0</v>
      </c>
      <c r="N2060" s="1">
        <f>IF(Calculations!$F$5="ACCREDITED 17025 WITH UNCERTAINTIES",$N$10,0)</f>
        <v>0</v>
      </c>
      <c r="Q2060" s="1">
        <f>Table1[[#This Row],[High Tol]]-Table1[[#This Row],[Low Tol]]</f>
        <v>0</v>
      </c>
      <c r="R2060" s="1">
        <f>2*Table1[[#This Row],[Std Error]]</f>
        <v>0</v>
      </c>
      <c r="S2060" s="1" t="str">
        <f>IF(Table1[[#This Row],[High Tol]]="","N/A",IFERROR(ABS(Table1[[#This Row],[Tol Span]]/Table1[[#This Row],[Error Span]]),"N/A"))</f>
        <v>N/A</v>
      </c>
      <c r="T2060" s="1" t="str">
        <f>IF(OR(Table1[[#This Row],[Low Tol]]="",Table1[[#This Row],[High Tol]]=""),"Needs Analysis",IF(Table1[[#This Row],[Ratio]]&gt;=4,"Not Significant",IF(Table1[[#This Row],[Ratio]]&gt;=2,"Semi-Significant","Significant")))</f>
        <v>Needs Analysis</v>
      </c>
      <c r="W2060" s="1">
        <f>IF(Table1[[#This Row],[Cal Type]]&lt;&gt;"ACCREDITED 17025 WITH UNCERTAINTIES",0,"")</f>
        <v>0</v>
      </c>
      <c r="X2060" s="1" t="str">
        <f>IF(Table1[[#This Row],[DUT Read]]="","N/A",Table1[[#This Row],[Std Error]]+Table1[[#This Row],[DUT Read]]+Table1[[#This Row],[DUT Ucty]])</f>
        <v>N/A</v>
      </c>
      <c r="Y2060" s="1" t="str">
        <f>IF(Table1[[#This Row],[Std Read]]="","N/A",Table1[[#This Row],[Std Read]]+Table1[[#This Row],[Std Ucty]])</f>
        <v>N/A</v>
      </c>
      <c r="Z20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0" s="1" t="str">
        <f>IF(Table1[[#This Row],[Spec Type]]="","N/A",Table1[[#This Row],[Spec Type]])</f>
        <v>±</v>
      </c>
      <c r="AC2060" s="1" t="str">
        <f>IF(Table1[[#This Row],[Spec Type2]]="N/A","N/A",IF(AND(Table1[[#This Row],[DUT Adj Read]]&gt;=Table1[[#This Row],[Low Tol]],Table1[[#This Row],[DUT Adj Read]]&lt;=Table1[[#This Row],[High Tol]]),"Pass","Fail"))</f>
        <v>Fail</v>
      </c>
      <c r="AD2060" s="1" t="str">
        <f>IF(AND(Table1[[#This Row],[Spec Type2]]="N/A",Table1[[#This Row],[DUT Adj Read]]="N/A",Table1[[#This Row],[Std Adj Read]]="N/A"),"N/A",IF(Table1[[#This Row],[DUT Adj Read]]="N/A",IF(Table1[[#This Row],[Std Adj Read]]&gt;Table1[[#This Row],[Low Tol]],"Pass","Fail"),IF(Table1[[#This Row],[DUT Adj Read]]&gt;Table1[[#This Row],[Low Tol]],"Pass","Fail")))</f>
        <v>Pass</v>
      </c>
      <c r="AE2060" s="1" t="str">
        <f>IF(AND(Table1[[#This Row],[Spec Type2]]="N/A",Table1[[#This Row],[DUT Adj Read]]="N/A",Table1[[#This Row],[Std Adj Read]]="N/A"),"N/A",IF(Table1[[#This Row],[DUT Adj Read]]="N/A",IF(Table1[[#This Row],[Std Adj Read]]&lt;Table1[[#This Row],[High Tol]],"Pass","Fail"),IF(Table1[[#This Row],[DUT Adj Read]]&lt;Table1[[#This Row],[High Tol]],"Pass","Fail")))</f>
        <v>Fail</v>
      </c>
      <c r="AF2060" s="1" t="str">
        <f>IF(AND(Table1[[#This Row],[Spec Type2]]="N/A",Table1[[#This Row],[DUT Adj Read]]="N/A",Table1[[#This Row],[Std Adj Read]]="N/A"),"N/A",IF(Table1[[#This Row],[DUT Adj Read]]="N/A",IF(Table1[[#This Row],[Std Adj Read]]&gt;=Table1[[#This Row],[Low Tol]],"Pass","Fail"),IF(Table1[[#This Row],[DUT Adj Read]]&gt;=Table1[[#This Row],[Low Tol]],"Pass","Fail")))</f>
        <v>Pass</v>
      </c>
      <c r="AG2060" s="1" t="str">
        <f>IF(AND(Table1[[#This Row],[Spec Type2]]="N/A",Table1[[#This Row],[DUT Adj Read]]="N/A",Table1[[#This Row],[Std Adj Read]]="N/A"),"N/A",IF(Table1[[#This Row],[DUT Adj Read]]="N/A",IF(Table1[[#This Row],[Std Adj Read]]&lt;=Table1[[#This Row],[High Tol]],"Pass","Fail"),IF(Table1[[#This Row],[DUT Adj Read]]&lt;=Table1[[#This Row],[High Tol]],"Pass","Fail")))</f>
        <v>Fail</v>
      </c>
      <c r="AH20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0" s="1" t="b">
        <v>0</v>
      </c>
      <c r="AN2060" s="1" t="b">
        <v>0</v>
      </c>
      <c r="AO2060" s="1" t="b">
        <v>0</v>
      </c>
    </row>
    <row r="2061" spans="1:41" x14ac:dyDescent="0.25">
      <c r="A2061" s="10"/>
      <c r="B2061" s="10"/>
      <c r="C2061" s="10"/>
      <c r="D2061" s="10"/>
      <c r="E2061" s="10"/>
      <c r="F2061" s="10"/>
      <c r="G2061" s="10"/>
      <c r="H2061" s="10"/>
      <c r="I2061" s="1" t="str">
        <f t="shared" si="96"/>
        <v/>
      </c>
      <c r="J2061" s="1" t="s">
        <v>35</v>
      </c>
      <c r="K2061" s="1" t="str">
        <f t="shared" si="97"/>
        <v/>
      </c>
      <c r="L2061" s="1" t="str">
        <f t="shared" si="98"/>
        <v/>
      </c>
      <c r="M2061" s="1">
        <f>IF(OR(Table1[[#This Row],[Std Nom]]="",Table1[[#This Row],[Std Read]]=""),0,Table1[[#This Row],[Std Nom]]-Table1[[#This Row],[Std Read]])</f>
        <v>0</v>
      </c>
      <c r="N2061" s="1">
        <f>IF(Calculations!$F$5="ACCREDITED 17025 WITH UNCERTAINTIES",$N$10,0)</f>
        <v>0</v>
      </c>
      <c r="Q2061" s="1">
        <f>Table1[[#This Row],[High Tol]]-Table1[[#This Row],[Low Tol]]</f>
        <v>0</v>
      </c>
      <c r="R2061" s="1">
        <f>2*Table1[[#This Row],[Std Error]]</f>
        <v>0</v>
      </c>
      <c r="S2061" s="1" t="str">
        <f>IF(Table1[[#This Row],[High Tol]]="","N/A",IFERROR(ABS(Table1[[#This Row],[Tol Span]]/Table1[[#This Row],[Error Span]]),"N/A"))</f>
        <v>N/A</v>
      </c>
      <c r="T2061" s="1" t="str">
        <f>IF(OR(Table1[[#This Row],[Low Tol]]="",Table1[[#This Row],[High Tol]]=""),"Needs Analysis",IF(Table1[[#This Row],[Ratio]]&gt;=4,"Not Significant",IF(Table1[[#This Row],[Ratio]]&gt;=2,"Semi-Significant","Significant")))</f>
        <v>Needs Analysis</v>
      </c>
      <c r="W2061" s="1">
        <f>IF(Table1[[#This Row],[Cal Type]]&lt;&gt;"ACCREDITED 17025 WITH UNCERTAINTIES",0,"")</f>
        <v>0</v>
      </c>
      <c r="X2061" s="1" t="str">
        <f>IF(Table1[[#This Row],[DUT Read]]="","N/A",Table1[[#This Row],[Std Error]]+Table1[[#This Row],[DUT Read]]+Table1[[#This Row],[DUT Ucty]])</f>
        <v>N/A</v>
      </c>
      <c r="Y2061" s="1" t="str">
        <f>IF(Table1[[#This Row],[Std Read]]="","N/A",Table1[[#This Row],[Std Read]]+Table1[[#This Row],[Std Ucty]])</f>
        <v>N/A</v>
      </c>
      <c r="Z20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1" s="1" t="str">
        <f>IF(Table1[[#This Row],[Spec Type]]="","N/A",Table1[[#This Row],[Spec Type]])</f>
        <v>±</v>
      </c>
      <c r="AC2061" s="1" t="str">
        <f>IF(Table1[[#This Row],[Spec Type2]]="N/A","N/A",IF(AND(Table1[[#This Row],[DUT Adj Read]]&gt;=Table1[[#This Row],[Low Tol]],Table1[[#This Row],[DUT Adj Read]]&lt;=Table1[[#This Row],[High Tol]]),"Pass","Fail"))</f>
        <v>Fail</v>
      </c>
      <c r="AD2061" s="1" t="str">
        <f>IF(AND(Table1[[#This Row],[Spec Type2]]="N/A",Table1[[#This Row],[DUT Adj Read]]="N/A",Table1[[#This Row],[Std Adj Read]]="N/A"),"N/A",IF(Table1[[#This Row],[DUT Adj Read]]="N/A",IF(Table1[[#This Row],[Std Adj Read]]&gt;Table1[[#This Row],[Low Tol]],"Pass","Fail"),IF(Table1[[#This Row],[DUT Adj Read]]&gt;Table1[[#This Row],[Low Tol]],"Pass","Fail")))</f>
        <v>Pass</v>
      </c>
      <c r="AE2061" s="1" t="str">
        <f>IF(AND(Table1[[#This Row],[Spec Type2]]="N/A",Table1[[#This Row],[DUT Adj Read]]="N/A",Table1[[#This Row],[Std Adj Read]]="N/A"),"N/A",IF(Table1[[#This Row],[DUT Adj Read]]="N/A",IF(Table1[[#This Row],[Std Adj Read]]&lt;Table1[[#This Row],[High Tol]],"Pass","Fail"),IF(Table1[[#This Row],[DUT Adj Read]]&lt;Table1[[#This Row],[High Tol]],"Pass","Fail")))</f>
        <v>Fail</v>
      </c>
      <c r="AF2061" s="1" t="str">
        <f>IF(AND(Table1[[#This Row],[Spec Type2]]="N/A",Table1[[#This Row],[DUT Adj Read]]="N/A",Table1[[#This Row],[Std Adj Read]]="N/A"),"N/A",IF(Table1[[#This Row],[DUT Adj Read]]="N/A",IF(Table1[[#This Row],[Std Adj Read]]&gt;=Table1[[#This Row],[Low Tol]],"Pass","Fail"),IF(Table1[[#This Row],[DUT Adj Read]]&gt;=Table1[[#This Row],[Low Tol]],"Pass","Fail")))</f>
        <v>Pass</v>
      </c>
      <c r="AG2061" s="1" t="str">
        <f>IF(AND(Table1[[#This Row],[Spec Type2]]="N/A",Table1[[#This Row],[DUT Adj Read]]="N/A",Table1[[#This Row],[Std Adj Read]]="N/A"),"N/A",IF(Table1[[#This Row],[DUT Adj Read]]="N/A",IF(Table1[[#This Row],[Std Adj Read]]&lt;=Table1[[#This Row],[High Tol]],"Pass","Fail"),IF(Table1[[#This Row],[DUT Adj Read]]&lt;=Table1[[#This Row],[High Tol]],"Pass","Fail")))</f>
        <v>Fail</v>
      </c>
      <c r="AH20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1" s="1" t="b">
        <v>0</v>
      </c>
      <c r="AN2061" s="1" t="b">
        <v>0</v>
      </c>
      <c r="AO2061" s="1" t="b">
        <v>0</v>
      </c>
    </row>
    <row r="2062" spans="1:41" x14ac:dyDescent="0.25">
      <c r="A2062" s="10"/>
      <c r="B2062" s="10"/>
      <c r="C2062" s="10"/>
      <c r="D2062" s="10"/>
      <c r="E2062" s="10"/>
      <c r="F2062" s="10"/>
      <c r="G2062" s="10"/>
      <c r="H2062" s="10"/>
      <c r="I2062" s="1" t="str">
        <f t="shared" si="96"/>
        <v/>
      </c>
      <c r="J2062" s="1" t="s">
        <v>35</v>
      </c>
      <c r="K2062" s="1" t="str">
        <f t="shared" si="97"/>
        <v/>
      </c>
      <c r="L2062" s="1" t="str">
        <f t="shared" si="98"/>
        <v/>
      </c>
      <c r="M2062" s="1">
        <f>IF(OR(Table1[[#This Row],[Std Nom]]="",Table1[[#This Row],[Std Read]]=""),0,Table1[[#This Row],[Std Nom]]-Table1[[#This Row],[Std Read]])</f>
        <v>0</v>
      </c>
      <c r="N2062" s="1">
        <f>IF(Calculations!$F$5="ACCREDITED 17025 WITH UNCERTAINTIES",$N$10,0)</f>
        <v>0</v>
      </c>
      <c r="Q2062" s="1">
        <f>Table1[[#This Row],[High Tol]]-Table1[[#This Row],[Low Tol]]</f>
        <v>0</v>
      </c>
      <c r="R2062" s="1">
        <f>2*Table1[[#This Row],[Std Error]]</f>
        <v>0</v>
      </c>
      <c r="S2062" s="1" t="str">
        <f>IF(Table1[[#This Row],[High Tol]]="","N/A",IFERROR(ABS(Table1[[#This Row],[Tol Span]]/Table1[[#This Row],[Error Span]]),"N/A"))</f>
        <v>N/A</v>
      </c>
      <c r="T2062" s="1" t="str">
        <f>IF(OR(Table1[[#This Row],[Low Tol]]="",Table1[[#This Row],[High Tol]]=""),"Needs Analysis",IF(Table1[[#This Row],[Ratio]]&gt;=4,"Not Significant",IF(Table1[[#This Row],[Ratio]]&gt;=2,"Semi-Significant","Significant")))</f>
        <v>Needs Analysis</v>
      </c>
      <c r="W2062" s="1">
        <f>IF(Table1[[#This Row],[Cal Type]]&lt;&gt;"ACCREDITED 17025 WITH UNCERTAINTIES",0,"")</f>
        <v>0</v>
      </c>
      <c r="X2062" s="1" t="str">
        <f>IF(Table1[[#This Row],[DUT Read]]="","N/A",Table1[[#This Row],[Std Error]]+Table1[[#This Row],[DUT Read]]+Table1[[#This Row],[DUT Ucty]])</f>
        <v>N/A</v>
      </c>
      <c r="Y2062" s="1" t="str">
        <f>IF(Table1[[#This Row],[Std Read]]="","N/A",Table1[[#This Row],[Std Read]]+Table1[[#This Row],[Std Ucty]])</f>
        <v>N/A</v>
      </c>
      <c r="Z20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2" s="1" t="str">
        <f>IF(Table1[[#This Row],[Spec Type]]="","N/A",Table1[[#This Row],[Spec Type]])</f>
        <v>±</v>
      </c>
      <c r="AC2062" s="1" t="str">
        <f>IF(Table1[[#This Row],[Spec Type2]]="N/A","N/A",IF(AND(Table1[[#This Row],[DUT Adj Read]]&gt;=Table1[[#This Row],[Low Tol]],Table1[[#This Row],[DUT Adj Read]]&lt;=Table1[[#This Row],[High Tol]]),"Pass","Fail"))</f>
        <v>Fail</v>
      </c>
      <c r="AD2062" s="1" t="str">
        <f>IF(AND(Table1[[#This Row],[Spec Type2]]="N/A",Table1[[#This Row],[DUT Adj Read]]="N/A",Table1[[#This Row],[Std Adj Read]]="N/A"),"N/A",IF(Table1[[#This Row],[DUT Adj Read]]="N/A",IF(Table1[[#This Row],[Std Adj Read]]&gt;Table1[[#This Row],[Low Tol]],"Pass","Fail"),IF(Table1[[#This Row],[DUT Adj Read]]&gt;Table1[[#This Row],[Low Tol]],"Pass","Fail")))</f>
        <v>Pass</v>
      </c>
      <c r="AE2062" s="1" t="str">
        <f>IF(AND(Table1[[#This Row],[Spec Type2]]="N/A",Table1[[#This Row],[DUT Adj Read]]="N/A",Table1[[#This Row],[Std Adj Read]]="N/A"),"N/A",IF(Table1[[#This Row],[DUT Adj Read]]="N/A",IF(Table1[[#This Row],[Std Adj Read]]&lt;Table1[[#This Row],[High Tol]],"Pass","Fail"),IF(Table1[[#This Row],[DUT Adj Read]]&lt;Table1[[#This Row],[High Tol]],"Pass","Fail")))</f>
        <v>Fail</v>
      </c>
      <c r="AF2062" s="1" t="str">
        <f>IF(AND(Table1[[#This Row],[Spec Type2]]="N/A",Table1[[#This Row],[DUT Adj Read]]="N/A",Table1[[#This Row],[Std Adj Read]]="N/A"),"N/A",IF(Table1[[#This Row],[DUT Adj Read]]="N/A",IF(Table1[[#This Row],[Std Adj Read]]&gt;=Table1[[#This Row],[Low Tol]],"Pass","Fail"),IF(Table1[[#This Row],[DUT Adj Read]]&gt;=Table1[[#This Row],[Low Tol]],"Pass","Fail")))</f>
        <v>Pass</v>
      </c>
      <c r="AG2062" s="1" t="str">
        <f>IF(AND(Table1[[#This Row],[Spec Type2]]="N/A",Table1[[#This Row],[DUT Adj Read]]="N/A",Table1[[#This Row],[Std Adj Read]]="N/A"),"N/A",IF(Table1[[#This Row],[DUT Adj Read]]="N/A",IF(Table1[[#This Row],[Std Adj Read]]&lt;=Table1[[#This Row],[High Tol]],"Pass","Fail"),IF(Table1[[#This Row],[DUT Adj Read]]&lt;=Table1[[#This Row],[High Tol]],"Pass","Fail")))</f>
        <v>Fail</v>
      </c>
      <c r="AH20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2" s="1" t="b">
        <v>0</v>
      </c>
      <c r="AN2062" s="1" t="b">
        <v>0</v>
      </c>
      <c r="AO2062" s="1" t="b">
        <v>0</v>
      </c>
    </row>
    <row r="2063" spans="1:41" x14ac:dyDescent="0.25">
      <c r="A2063" s="10"/>
      <c r="B2063" s="10"/>
      <c r="C2063" s="10"/>
      <c r="D2063" s="10"/>
      <c r="E2063" s="10"/>
      <c r="F2063" s="10"/>
      <c r="G2063" s="10"/>
      <c r="H2063" s="10"/>
      <c r="I2063" s="1" t="str">
        <f t="shared" si="96"/>
        <v/>
      </c>
      <c r="J2063" s="1" t="s">
        <v>35</v>
      </c>
      <c r="K2063" s="1" t="str">
        <f t="shared" si="97"/>
        <v/>
      </c>
      <c r="L2063" s="1" t="str">
        <f t="shared" si="98"/>
        <v/>
      </c>
      <c r="M2063" s="1">
        <f>IF(OR(Table1[[#This Row],[Std Nom]]="",Table1[[#This Row],[Std Read]]=""),0,Table1[[#This Row],[Std Nom]]-Table1[[#This Row],[Std Read]])</f>
        <v>0</v>
      </c>
      <c r="N2063" s="1">
        <f>IF(Calculations!$F$5="ACCREDITED 17025 WITH UNCERTAINTIES",$N$10,0)</f>
        <v>0</v>
      </c>
      <c r="Q2063" s="1">
        <f>Table1[[#This Row],[High Tol]]-Table1[[#This Row],[Low Tol]]</f>
        <v>0</v>
      </c>
      <c r="R2063" s="1">
        <f>2*Table1[[#This Row],[Std Error]]</f>
        <v>0</v>
      </c>
      <c r="S2063" s="1" t="str">
        <f>IF(Table1[[#This Row],[High Tol]]="","N/A",IFERROR(ABS(Table1[[#This Row],[Tol Span]]/Table1[[#This Row],[Error Span]]),"N/A"))</f>
        <v>N/A</v>
      </c>
      <c r="T2063" s="1" t="str">
        <f>IF(OR(Table1[[#This Row],[Low Tol]]="",Table1[[#This Row],[High Tol]]=""),"Needs Analysis",IF(Table1[[#This Row],[Ratio]]&gt;=4,"Not Significant",IF(Table1[[#This Row],[Ratio]]&gt;=2,"Semi-Significant","Significant")))</f>
        <v>Needs Analysis</v>
      </c>
      <c r="W2063" s="1">
        <f>IF(Table1[[#This Row],[Cal Type]]&lt;&gt;"ACCREDITED 17025 WITH UNCERTAINTIES",0,"")</f>
        <v>0</v>
      </c>
      <c r="X2063" s="1" t="str">
        <f>IF(Table1[[#This Row],[DUT Read]]="","N/A",Table1[[#This Row],[Std Error]]+Table1[[#This Row],[DUT Read]]+Table1[[#This Row],[DUT Ucty]])</f>
        <v>N/A</v>
      </c>
      <c r="Y2063" s="1" t="str">
        <f>IF(Table1[[#This Row],[Std Read]]="","N/A",Table1[[#This Row],[Std Read]]+Table1[[#This Row],[Std Ucty]])</f>
        <v>N/A</v>
      </c>
      <c r="Z20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3" s="1" t="str">
        <f>IF(Table1[[#This Row],[Spec Type]]="","N/A",Table1[[#This Row],[Spec Type]])</f>
        <v>±</v>
      </c>
      <c r="AC2063" s="1" t="str">
        <f>IF(Table1[[#This Row],[Spec Type2]]="N/A","N/A",IF(AND(Table1[[#This Row],[DUT Adj Read]]&gt;=Table1[[#This Row],[Low Tol]],Table1[[#This Row],[DUT Adj Read]]&lt;=Table1[[#This Row],[High Tol]]),"Pass","Fail"))</f>
        <v>Fail</v>
      </c>
      <c r="AD2063" s="1" t="str">
        <f>IF(AND(Table1[[#This Row],[Spec Type2]]="N/A",Table1[[#This Row],[DUT Adj Read]]="N/A",Table1[[#This Row],[Std Adj Read]]="N/A"),"N/A",IF(Table1[[#This Row],[DUT Adj Read]]="N/A",IF(Table1[[#This Row],[Std Adj Read]]&gt;Table1[[#This Row],[Low Tol]],"Pass","Fail"),IF(Table1[[#This Row],[DUT Adj Read]]&gt;Table1[[#This Row],[Low Tol]],"Pass","Fail")))</f>
        <v>Pass</v>
      </c>
      <c r="AE2063" s="1" t="str">
        <f>IF(AND(Table1[[#This Row],[Spec Type2]]="N/A",Table1[[#This Row],[DUT Adj Read]]="N/A",Table1[[#This Row],[Std Adj Read]]="N/A"),"N/A",IF(Table1[[#This Row],[DUT Adj Read]]="N/A",IF(Table1[[#This Row],[Std Adj Read]]&lt;Table1[[#This Row],[High Tol]],"Pass","Fail"),IF(Table1[[#This Row],[DUT Adj Read]]&lt;Table1[[#This Row],[High Tol]],"Pass","Fail")))</f>
        <v>Fail</v>
      </c>
      <c r="AF2063" s="1" t="str">
        <f>IF(AND(Table1[[#This Row],[Spec Type2]]="N/A",Table1[[#This Row],[DUT Adj Read]]="N/A",Table1[[#This Row],[Std Adj Read]]="N/A"),"N/A",IF(Table1[[#This Row],[DUT Adj Read]]="N/A",IF(Table1[[#This Row],[Std Adj Read]]&gt;=Table1[[#This Row],[Low Tol]],"Pass","Fail"),IF(Table1[[#This Row],[DUT Adj Read]]&gt;=Table1[[#This Row],[Low Tol]],"Pass","Fail")))</f>
        <v>Pass</v>
      </c>
      <c r="AG2063" s="1" t="str">
        <f>IF(AND(Table1[[#This Row],[Spec Type2]]="N/A",Table1[[#This Row],[DUT Adj Read]]="N/A",Table1[[#This Row],[Std Adj Read]]="N/A"),"N/A",IF(Table1[[#This Row],[DUT Adj Read]]="N/A",IF(Table1[[#This Row],[Std Adj Read]]&lt;=Table1[[#This Row],[High Tol]],"Pass","Fail"),IF(Table1[[#This Row],[DUT Adj Read]]&lt;=Table1[[#This Row],[High Tol]],"Pass","Fail")))</f>
        <v>Fail</v>
      </c>
      <c r="AH20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3" s="1" t="b">
        <v>0</v>
      </c>
      <c r="AN2063" s="1" t="b">
        <v>0</v>
      </c>
      <c r="AO2063" s="1" t="b">
        <v>0</v>
      </c>
    </row>
    <row r="2064" spans="1:41" x14ac:dyDescent="0.25">
      <c r="A2064" s="10"/>
      <c r="B2064" s="10"/>
      <c r="C2064" s="10"/>
      <c r="D2064" s="10"/>
      <c r="E2064" s="10"/>
      <c r="F2064" s="10"/>
      <c r="G2064" s="10"/>
      <c r="H2064" s="10"/>
      <c r="I2064" s="1" t="str">
        <f t="shared" si="96"/>
        <v/>
      </c>
      <c r="J2064" s="1" t="s">
        <v>35</v>
      </c>
      <c r="K2064" s="1" t="str">
        <f t="shared" si="97"/>
        <v/>
      </c>
      <c r="L2064" s="1" t="str">
        <f t="shared" si="98"/>
        <v/>
      </c>
      <c r="M2064" s="1">
        <f>IF(OR(Table1[[#This Row],[Std Nom]]="",Table1[[#This Row],[Std Read]]=""),0,Table1[[#This Row],[Std Nom]]-Table1[[#This Row],[Std Read]])</f>
        <v>0</v>
      </c>
      <c r="N2064" s="1">
        <f>IF(Calculations!$F$5="ACCREDITED 17025 WITH UNCERTAINTIES",$N$10,0)</f>
        <v>0</v>
      </c>
      <c r="Q2064" s="1">
        <f>Table1[[#This Row],[High Tol]]-Table1[[#This Row],[Low Tol]]</f>
        <v>0</v>
      </c>
      <c r="R2064" s="1">
        <f>2*Table1[[#This Row],[Std Error]]</f>
        <v>0</v>
      </c>
      <c r="S2064" s="1" t="str">
        <f>IF(Table1[[#This Row],[High Tol]]="","N/A",IFERROR(ABS(Table1[[#This Row],[Tol Span]]/Table1[[#This Row],[Error Span]]),"N/A"))</f>
        <v>N/A</v>
      </c>
      <c r="T2064" s="1" t="str">
        <f>IF(OR(Table1[[#This Row],[Low Tol]]="",Table1[[#This Row],[High Tol]]=""),"Needs Analysis",IF(Table1[[#This Row],[Ratio]]&gt;=4,"Not Significant",IF(Table1[[#This Row],[Ratio]]&gt;=2,"Semi-Significant","Significant")))</f>
        <v>Needs Analysis</v>
      </c>
      <c r="W2064" s="1">
        <f>IF(Table1[[#This Row],[Cal Type]]&lt;&gt;"ACCREDITED 17025 WITH UNCERTAINTIES",0,"")</f>
        <v>0</v>
      </c>
      <c r="X2064" s="1" t="str">
        <f>IF(Table1[[#This Row],[DUT Read]]="","N/A",Table1[[#This Row],[Std Error]]+Table1[[#This Row],[DUT Read]]+Table1[[#This Row],[DUT Ucty]])</f>
        <v>N/A</v>
      </c>
      <c r="Y2064" s="1" t="str">
        <f>IF(Table1[[#This Row],[Std Read]]="","N/A",Table1[[#This Row],[Std Read]]+Table1[[#This Row],[Std Ucty]])</f>
        <v>N/A</v>
      </c>
      <c r="Z20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4" s="1" t="str">
        <f>IF(Table1[[#This Row],[Spec Type]]="","N/A",Table1[[#This Row],[Spec Type]])</f>
        <v>±</v>
      </c>
      <c r="AC2064" s="1" t="str">
        <f>IF(Table1[[#This Row],[Spec Type2]]="N/A","N/A",IF(AND(Table1[[#This Row],[DUT Adj Read]]&gt;=Table1[[#This Row],[Low Tol]],Table1[[#This Row],[DUT Adj Read]]&lt;=Table1[[#This Row],[High Tol]]),"Pass","Fail"))</f>
        <v>Fail</v>
      </c>
      <c r="AD2064" s="1" t="str">
        <f>IF(AND(Table1[[#This Row],[Spec Type2]]="N/A",Table1[[#This Row],[DUT Adj Read]]="N/A",Table1[[#This Row],[Std Adj Read]]="N/A"),"N/A",IF(Table1[[#This Row],[DUT Adj Read]]="N/A",IF(Table1[[#This Row],[Std Adj Read]]&gt;Table1[[#This Row],[Low Tol]],"Pass","Fail"),IF(Table1[[#This Row],[DUT Adj Read]]&gt;Table1[[#This Row],[Low Tol]],"Pass","Fail")))</f>
        <v>Pass</v>
      </c>
      <c r="AE2064" s="1" t="str">
        <f>IF(AND(Table1[[#This Row],[Spec Type2]]="N/A",Table1[[#This Row],[DUT Adj Read]]="N/A",Table1[[#This Row],[Std Adj Read]]="N/A"),"N/A",IF(Table1[[#This Row],[DUT Adj Read]]="N/A",IF(Table1[[#This Row],[Std Adj Read]]&lt;Table1[[#This Row],[High Tol]],"Pass","Fail"),IF(Table1[[#This Row],[DUT Adj Read]]&lt;Table1[[#This Row],[High Tol]],"Pass","Fail")))</f>
        <v>Fail</v>
      </c>
      <c r="AF2064" s="1" t="str">
        <f>IF(AND(Table1[[#This Row],[Spec Type2]]="N/A",Table1[[#This Row],[DUT Adj Read]]="N/A",Table1[[#This Row],[Std Adj Read]]="N/A"),"N/A",IF(Table1[[#This Row],[DUT Adj Read]]="N/A",IF(Table1[[#This Row],[Std Adj Read]]&gt;=Table1[[#This Row],[Low Tol]],"Pass","Fail"),IF(Table1[[#This Row],[DUT Adj Read]]&gt;=Table1[[#This Row],[Low Tol]],"Pass","Fail")))</f>
        <v>Pass</v>
      </c>
      <c r="AG2064" s="1" t="str">
        <f>IF(AND(Table1[[#This Row],[Spec Type2]]="N/A",Table1[[#This Row],[DUT Adj Read]]="N/A",Table1[[#This Row],[Std Adj Read]]="N/A"),"N/A",IF(Table1[[#This Row],[DUT Adj Read]]="N/A",IF(Table1[[#This Row],[Std Adj Read]]&lt;=Table1[[#This Row],[High Tol]],"Pass","Fail"),IF(Table1[[#This Row],[DUT Adj Read]]&lt;=Table1[[#This Row],[High Tol]],"Pass","Fail")))</f>
        <v>Fail</v>
      </c>
      <c r="AH20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4" s="1" t="b">
        <v>0</v>
      </c>
      <c r="AN2064" s="1" t="b">
        <v>0</v>
      </c>
      <c r="AO2064" s="1" t="b">
        <v>0</v>
      </c>
    </row>
    <row r="2065" spans="1:41" x14ac:dyDescent="0.25">
      <c r="A2065" s="10"/>
      <c r="B2065" s="10"/>
      <c r="C2065" s="10"/>
      <c r="D2065" s="10"/>
      <c r="E2065" s="10"/>
      <c r="F2065" s="10"/>
      <c r="G2065" s="10"/>
      <c r="H2065" s="10"/>
      <c r="I2065" s="1" t="str">
        <f t="shared" si="96"/>
        <v/>
      </c>
      <c r="J2065" s="1" t="s">
        <v>35</v>
      </c>
      <c r="K2065" s="1" t="str">
        <f t="shared" si="97"/>
        <v/>
      </c>
      <c r="L2065" s="1" t="str">
        <f t="shared" si="98"/>
        <v/>
      </c>
      <c r="M2065" s="1">
        <f>IF(OR(Table1[[#This Row],[Std Nom]]="",Table1[[#This Row],[Std Read]]=""),0,Table1[[#This Row],[Std Nom]]-Table1[[#This Row],[Std Read]])</f>
        <v>0</v>
      </c>
      <c r="N2065" s="1">
        <f>IF(Calculations!$F$5="ACCREDITED 17025 WITH UNCERTAINTIES",$N$10,0)</f>
        <v>0</v>
      </c>
      <c r="Q2065" s="1">
        <f>Table1[[#This Row],[High Tol]]-Table1[[#This Row],[Low Tol]]</f>
        <v>0</v>
      </c>
      <c r="R2065" s="1">
        <f>2*Table1[[#This Row],[Std Error]]</f>
        <v>0</v>
      </c>
      <c r="S2065" s="1" t="str">
        <f>IF(Table1[[#This Row],[High Tol]]="","N/A",IFERROR(ABS(Table1[[#This Row],[Tol Span]]/Table1[[#This Row],[Error Span]]),"N/A"))</f>
        <v>N/A</v>
      </c>
      <c r="T2065" s="1" t="str">
        <f>IF(OR(Table1[[#This Row],[Low Tol]]="",Table1[[#This Row],[High Tol]]=""),"Needs Analysis",IF(Table1[[#This Row],[Ratio]]&gt;=4,"Not Significant",IF(Table1[[#This Row],[Ratio]]&gt;=2,"Semi-Significant","Significant")))</f>
        <v>Needs Analysis</v>
      </c>
      <c r="W2065" s="1">
        <f>IF(Table1[[#This Row],[Cal Type]]&lt;&gt;"ACCREDITED 17025 WITH UNCERTAINTIES",0,"")</f>
        <v>0</v>
      </c>
      <c r="X2065" s="1" t="str">
        <f>IF(Table1[[#This Row],[DUT Read]]="","N/A",Table1[[#This Row],[Std Error]]+Table1[[#This Row],[DUT Read]]+Table1[[#This Row],[DUT Ucty]])</f>
        <v>N/A</v>
      </c>
      <c r="Y2065" s="1" t="str">
        <f>IF(Table1[[#This Row],[Std Read]]="","N/A",Table1[[#This Row],[Std Read]]+Table1[[#This Row],[Std Ucty]])</f>
        <v>N/A</v>
      </c>
      <c r="Z20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5" s="1" t="str">
        <f>IF(Table1[[#This Row],[Spec Type]]="","N/A",Table1[[#This Row],[Spec Type]])</f>
        <v>±</v>
      </c>
      <c r="AC2065" s="1" t="str">
        <f>IF(Table1[[#This Row],[Spec Type2]]="N/A","N/A",IF(AND(Table1[[#This Row],[DUT Adj Read]]&gt;=Table1[[#This Row],[Low Tol]],Table1[[#This Row],[DUT Adj Read]]&lt;=Table1[[#This Row],[High Tol]]),"Pass","Fail"))</f>
        <v>Fail</v>
      </c>
      <c r="AD2065" s="1" t="str">
        <f>IF(AND(Table1[[#This Row],[Spec Type2]]="N/A",Table1[[#This Row],[DUT Adj Read]]="N/A",Table1[[#This Row],[Std Adj Read]]="N/A"),"N/A",IF(Table1[[#This Row],[DUT Adj Read]]="N/A",IF(Table1[[#This Row],[Std Adj Read]]&gt;Table1[[#This Row],[Low Tol]],"Pass","Fail"),IF(Table1[[#This Row],[DUT Adj Read]]&gt;Table1[[#This Row],[Low Tol]],"Pass","Fail")))</f>
        <v>Pass</v>
      </c>
      <c r="AE2065" s="1" t="str">
        <f>IF(AND(Table1[[#This Row],[Spec Type2]]="N/A",Table1[[#This Row],[DUT Adj Read]]="N/A",Table1[[#This Row],[Std Adj Read]]="N/A"),"N/A",IF(Table1[[#This Row],[DUT Adj Read]]="N/A",IF(Table1[[#This Row],[Std Adj Read]]&lt;Table1[[#This Row],[High Tol]],"Pass","Fail"),IF(Table1[[#This Row],[DUT Adj Read]]&lt;Table1[[#This Row],[High Tol]],"Pass","Fail")))</f>
        <v>Fail</v>
      </c>
      <c r="AF2065" s="1" t="str">
        <f>IF(AND(Table1[[#This Row],[Spec Type2]]="N/A",Table1[[#This Row],[DUT Adj Read]]="N/A",Table1[[#This Row],[Std Adj Read]]="N/A"),"N/A",IF(Table1[[#This Row],[DUT Adj Read]]="N/A",IF(Table1[[#This Row],[Std Adj Read]]&gt;=Table1[[#This Row],[Low Tol]],"Pass","Fail"),IF(Table1[[#This Row],[DUT Adj Read]]&gt;=Table1[[#This Row],[Low Tol]],"Pass","Fail")))</f>
        <v>Pass</v>
      </c>
      <c r="AG2065" s="1" t="str">
        <f>IF(AND(Table1[[#This Row],[Spec Type2]]="N/A",Table1[[#This Row],[DUT Adj Read]]="N/A",Table1[[#This Row],[Std Adj Read]]="N/A"),"N/A",IF(Table1[[#This Row],[DUT Adj Read]]="N/A",IF(Table1[[#This Row],[Std Adj Read]]&lt;=Table1[[#This Row],[High Tol]],"Pass","Fail"),IF(Table1[[#This Row],[DUT Adj Read]]&lt;=Table1[[#This Row],[High Tol]],"Pass","Fail")))</f>
        <v>Fail</v>
      </c>
      <c r="AH20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5" s="1" t="b">
        <v>0</v>
      </c>
      <c r="AN2065" s="1" t="b">
        <v>0</v>
      </c>
      <c r="AO2065" s="1" t="b">
        <v>0</v>
      </c>
    </row>
    <row r="2066" spans="1:41" x14ac:dyDescent="0.25">
      <c r="A2066" s="10"/>
      <c r="B2066" s="10"/>
      <c r="C2066" s="10"/>
      <c r="D2066" s="10"/>
      <c r="E2066" s="10"/>
      <c r="F2066" s="10"/>
      <c r="G2066" s="10"/>
      <c r="H2066" s="10"/>
      <c r="I2066" s="1" t="str">
        <f t="shared" si="96"/>
        <v/>
      </c>
      <c r="J2066" s="1" t="s">
        <v>35</v>
      </c>
      <c r="K2066" s="1" t="str">
        <f t="shared" si="97"/>
        <v/>
      </c>
      <c r="L2066" s="1" t="str">
        <f t="shared" si="98"/>
        <v/>
      </c>
      <c r="M2066" s="1">
        <f>IF(OR(Table1[[#This Row],[Std Nom]]="",Table1[[#This Row],[Std Read]]=""),0,Table1[[#This Row],[Std Nom]]-Table1[[#This Row],[Std Read]])</f>
        <v>0</v>
      </c>
      <c r="N2066" s="1">
        <f>IF(Calculations!$F$5="ACCREDITED 17025 WITH UNCERTAINTIES",$N$10,0)</f>
        <v>0</v>
      </c>
      <c r="Q2066" s="1">
        <f>Table1[[#This Row],[High Tol]]-Table1[[#This Row],[Low Tol]]</f>
        <v>0</v>
      </c>
      <c r="R2066" s="1">
        <f>2*Table1[[#This Row],[Std Error]]</f>
        <v>0</v>
      </c>
      <c r="S2066" s="1" t="str">
        <f>IF(Table1[[#This Row],[High Tol]]="","N/A",IFERROR(ABS(Table1[[#This Row],[Tol Span]]/Table1[[#This Row],[Error Span]]),"N/A"))</f>
        <v>N/A</v>
      </c>
      <c r="T2066" s="1" t="str">
        <f>IF(OR(Table1[[#This Row],[Low Tol]]="",Table1[[#This Row],[High Tol]]=""),"Needs Analysis",IF(Table1[[#This Row],[Ratio]]&gt;=4,"Not Significant",IF(Table1[[#This Row],[Ratio]]&gt;=2,"Semi-Significant","Significant")))</f>
        <v>Needs Analysis</v>
      </c>
      <c r="W2066" s="1">
        <f>IF(Table1[[#This Row],[Cal Type]]&lt;&gt;"ACCREDITED 17025 WITH UNCERTAINTIES",0,"")</f>
        <v>0</v>
      </c>
      <c r="X2066" s="1" t="str">
        <f>IF(Table1[[#This Row],[DUT Read]]="","N/A",Table1[[#This Row],[Std Error]]+Table1[[#This Row],[DUT Read]]+Table1[[#This Row],[DUT Ucty]])</f>
        <v>N/A</v>
      </c>
      <c r="Y2066" s="1" t="str">
        <f>IF(Table1[[#This Row],[Std Read]]="","N/A",Table1[[#This Row],[Std Read]]+Table1[[#This Row],[Std Ucty]])</f>
        <v>N/A</v>
      </c>
      <c r="Z20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6" s="1" t="str">
        <f>IF(Table1[[#This Row],[Spec Type]]="","N/A",Table1[[#This Row],[Spec Type]])</f>
        <v>±</v>
      </c>
      <c r="AC2066" s="1" t="str">
        <f>IF(Table1[[#This Row],[Spec Type2]]="N/A","N/A",IF(AND(Table1[[#This Row],[DUT Adj Read]]&gt;=Table1[[#This Row],[Low Tol]],Table1[[#This Row],[DUT Adj Read]]&lt;=Table1[[#This Row],[High Tol]]),"Pass","Fail"))</f>
        <v>Fail</v>
      </c>
      <c r="AD2066" s="1" t="str">
        <f>IF(AND(Table1[[#This Row],[Spec Type2]]="N/A",Table1[[#This Row],[DUT Adj Read]]="N/A",Table1[[#This Row],[Std Adj Read]]="N/A"),"N/A",IF(Table1[[#This Row],[DUT Adj Read]]="N/A",IF(Table1[[#This Row],[Std Adj Read]]&gt;Table1[[#This Row],[Low Tol]],"Pass","Fail"),IF(Table1[[#This Row],[DUT Adj Read]]&gt;Table1[[#This Row],[Low Tol]],"Pass","Fail")))</f>
        <v>Pass</v>
      </c>
      <c r="AE2066" s="1" t="str">
        <f>IF(AND(Table1[[#This Row],[Spec Type2]]="N/A",Table1[[#This Row],[DUT Adj Read]]="N/A",Table1[[#This Row],[Std Adj Read]]="N/A"),"N/A",IF(Table1[[#This Row],[DUT Adj Read]]="N/A",IF(Table1[[#This Row],[Std Adj Read]]&lt;Table1[[#This Row],[High Tol]],"Pass","Fail"),IF(Table1[[#This Row],[DUT Adj Read]]&lt;Table1[[#This Row],[High Tol]],"Pass","Fail")))</f>
        <v>Fail</v>
      </c>
      <c r="AF2066" s="1" t="str">
        <f>IF(AND(Table1[[#This Row],[Spec Type2]]="N/A",Table1[[#This Row],[DUT Adj Read]]="N/A",Table1[[#This Row],[Std Adj Read]]="N/A"),"N/A",IF(Table1[[#This Row],[DUT Adj Read]]="N/A",IF(Table1[[#This Row],[Std Adj Read]]&gt;=Table1[[#This Row],[Low Tol]],"Pass","Fail"),IF(Table1[[#This Row],[DUT Adj Read]]&gt;=Table1[[#This Row],[Low Tol]],"Pass","Fail")))</f>
        <v>Pass</v>
      </c>
      <c r="AG2066" s="1" t="str">
        <f>IF(AND(Table1[[#This Row],[Spec Type2]]="N/A",Table1[[#This Row],[DUT Adj Read]]="N/A",Table1[[#This Row],[Std Adj Read]]="N/A"),"N/A",IF(Table1[[#This Row],[DUT Adj Read]]="N/A",IF(Table1[[#This Row],[Std Adj Read]]&lt;=Table1[[#This Row],[High Tol]],"Pass","Fail"),IF(Table1[[#This Row],[DUT Adj Read]]&lt;=Table1[[#This Row],[High Tol]],"Pass","Fail")))</f>
        <v>Fail</v>
      </c>
      <c r="AH20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6" s="1" t="b">
        <v>0</v>
      </c>
      <c r="AN2066" s="1" t="b">
        <v>0</v>
      </c>
      <c r="AO2066" s="1" t="b">
        <v>0</v>
      </c>
    </row>
    <row r="2067" spans="1:41" x14ac:dyDescent="0.25">
      <c r="A2067" s="10"/>
      <c r="B2067" s="10"/>
      <c r="C2067" s="10"/>
      <c r="D2067" s="10"/>
      <c r="E2067" s="10"/>
      <c r="F2067" s="10"/>
      <c r="G2067" s="10"/>
      <c r="H2067" s="10"/>
      <c r="I2067" s="1" t="str">
        <f t="shared" si="96"/>
        <v/>
      </c>
      <c r="J2067" s="1" t="s">
        <v>35</v>
      </c>
      <c r="K2067" s="1" t="str">
        <f t="shared" si="97"/>
        <v/>
      </c>
      <c r="L2067" s="1" t="str">
        <f t="shared" si="98"/>
        <v/>
      </c>
      <c r="M2067" s="1">
        <f>IF(OR(Table1[[#This Row],[Std Nom]]="",Table1[[#This Row],[Std Read]]=""),0,Table1[[#This Row],[Std Nom]]-Table1[[#This Row],[Std Read]])</f>
        <v>0</v>
      </c>
      <c r="N2067" s="1">
        <f>IF(Calculations!$F$5="ACCREDITED 17025 WITH UNCERTAINTIES",$N$10,0)</f>
        <v>0</v>
      </c>
      <c r="Q2067" s="1">
        <f>Table1[[#This Row],[High Tol]]-Table1[[#This Row],[Low Tol]]</f>
        <v>0</v>
      </c>
      <c r="R2067" s="1">
        <f>2*Table1[[#This Row],[Std Error]]</f>
        <v>0</v>
      </c>
      <c r="S2067" s="1" t="str">
        <f>IF(Table1[[#This Row],[High Tol]]="","N/A",IFERROR(ABS(Table1[[#This Row],[Tol Span]]/Table1[[#This Row],[Error Span]]),"N/A"))</f>
        <v>N/A</v>
      </c>
      <c r="T2067" s="1" t="str">
        <f>IF(OR(Table1[[#This Row],[Low Tol]]="",Table1[[#This Row],[High Tol]]=""),"Needs Analysis",IF(Table1[[#This Row],[Ratio]]&gt;=4,"Not Significant",IF(Table1[[#This Row],[Ratio]]&gt;=2,"Semi-Significant","Significant")))</f>
        <v>Needs Analysis</v>
      </c>
      <c r="W2067" s="1">
        <f>IF(Table1[[#This Row],[Cal Type]]&lt;&gt;"ACCREDITED 17025 WITH UNCERTAINTIES",0,"")</f>
        <v>0</v>
      </c>
      <c r="X2067" s="1" t="str">
        <f>IF(Table1[[#This Row],[DUT Read]]="","N/A",Table1[[#This Row],[Std Error]]+Table1[[#This Row],[DUT Read]]+Table1[[#This Row],[DUT Ucty]])</f>
        <v>N/A</v>
      </c>
      <c r="Y2067" s="1" t="str">
        <f>IF(Table1[[#This Row],[Std Read]]="","N/A",Table1[[#This Row],[Std Read]]+Table1[[#This Row],[Std Ucty]])</f>
        <v>N/A</v>
      </c>
      <c r="Z20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7" s="1" t="str">
        <f>IF(Table1[[#This Row],[Spec Type]]="","N/A",Table1[[#This Row],[Spec Type]])</f>
        <v>±</v>
      </c>
      <c r="AC2067" s="1" t="str">
        <f>IF(Table1[[#This Row],[Spec Type2]]="N/A","N/A",IF(AND(Table1[[#This Row],[DUT Adj Read]]&gt;=Table1[[#This Row],[Low Tol]],Table1[[#This Row],[DUT Adj Read]]&lt;=Table1[[#This Row],[High Tol]]),"Pass","Fail"))</f>
        <v>Fail</v>
      </c>
      <c r="AD2067" s="1" t="str">
        <f>IF(AND(Table1[[#This Row],[Spec Type2]]="N/A",Table1[[#This Row],[DUT Adj Read]]="N/A",Table1[[#This Row],[Std Adj Read]]="N/A"),"N/A",IF(Table1[[#This Row],[DUT Adj Read]]="N/A",IF(Table1[[#This Row],[Std Adj Read]]&gt;Table1[[#This Row],[Low Tol]],"Pass","Fail"),IF(Table1[[#This Row],[DUT Adj Read]]&gt;Table1[[#This Row],[Low Tol]],"Pass","Fail")))</f>
        <v>Pass</v>
      </c>
      <c r="AE2067" s="1" t="str">
        <f>IF(AND(Table1[[#This Row],[Spec Type2]]="N/A",Table1[[#This Row],[DUT Adj Read]]="N/A",Table1[[#This Row],[Std Adj Read]]="N/A"),"N/A",IF(Table1[[#This Row],[DUT Adj Read]]="N/A",IF(Table1[[#This Row],[Std Adj Read]]&lt;Table1[[#This Row],[High Tol]],"Pass","Fail"),IF(Table1[[#This Row],[DUT Adj Read]]&lt;Table1[[#This Row],[High Tol]],"Pass","Fail")))</f>
        <v>Fail</v>
      </c>
      <c r="AF2067" s="1" t="str">
        <f>IF(AND(Table1[[#This Row],[Spec Type2]]="N/A",Table1[[#This Row],[DUT Adj Read]]="N/A",Table1[[#This Row],[Std Adj Read]]="N/A"),"N/A",IF(Table1[[#This Row],[DUT Adj Read]]="N/A",IF(Table1[[#This Row],[Std Adj Read]]&gt;=Table1[[#This Row],[Low Tol]],"Pass","Fail"),IF(Table1[[#This Row],[DUT Adj Read]]&gt;=Table1[[#This Row],[Low Tol]],"Pass","Fail")))</f>
        <v>Pass</v>
      </c>
      <c r="AG2067" s="1" t="str">
        <f>IF(AND(Table1[[#This Row],[Spec Type2]]="N/A",Table1[[#This Row],[DUT Adj Read]]="N/A",Table1[[#This Row],[Std Adj Read]]="N/A"),"N/A",IF(Table1[[#This Row],[DUT Adj Read]]="N/A",IF(Table1[[#This Row],[Std Adj Read]]&lt;=Table1[[#This Row],[High Tol]],"Pass","Fail"),IF(Table1[[#This Row],[DUT Adj Read]]&lt;=Table1[[#This Row],[High Tol]],"Pass","Fail")))</f>
        <v>Fail</v>
      </c>
      <c r="AH20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7" s="1" t="b">
        <v>0</v>
      </c>
      <c r="AN2067" s="1" t="b">
        <v>0</v>
      </c>
      <c r="AO2067" s="1" t="b">
        <v>0</v>
      </c>
    </row>
    <row r="2068" spans="1:41" x14ac:dyDescent="0.25">
      <c r="A2068" s="10"/>
      <c r="B2068" s="10"/>
      <c r="C2068" s="10"/>
      <c r="D2068" s="10"/>
      <c r="E2068" s="10"/>
      <c r="F2068" s="10"/>
      <c r="G2068" s="10"/>
      <c r="H2068" s="10"/>
      <c r="I2068" s="1" t="str">
        <f t="shared" si="96"/>
        <v/>
      </c>
      <c r="J2068" s="1" t="s">
        <v>35</v>
      </c>
      <c r="K2068" s="1" t="str">
        <f t="shared" si="97"/>
        <v/>
      </c>
      <c r="L2068" s="1" t="str">
        <f t="shared" si="98"/>
        <v/>
      </c>
      <c r="M2068" s="1">
        <f>IF(OR(Table1[[#This Row],[Std Nom]]="",Table1[[#This Row],[Std Read]]=""),0,Table1[[#This Row],[Std Nom]]-Table1[[#This Row],[Std Read]])</f>
        <v>0</v>
      </c>
      <c r="N2068" s="1">
        <f>IF(Calculations!$F$5="ACCREDITED 17025 WITH UNCERTAINTIES",$N$10,0)</f>
        <v>0</v>
      </c>
      <c r="Q2068" s="1">
        <f>Table1[[#This Row],[High Tol]]-Table1[[#This Row],[Low Tol]]</f>
        <v>0</v>
      </c>
      <c r="R2068" s="1">
        <f>2*Table1[[#This Row],[Std Error]]</f>
        <v>0</v>
      </c>
      <c r="S2068" s="1" t="str">
        <f>IF(Table1[[#This Row],[High Tol]]="","N/A",IFERROR(ABS(Table1[[#This Row],[Tol Span]]/Table1[[#This Row],[Error Span]]),"N/A"))</f>
        <v>N/A</v>
      </c>
      <c r="T2068" s="1" t="str">
        <f>IF(OR(Table1[[#This Row],[Low Tol]]="",Table1[[#This Row],[High Tol]]=""),"Needs Analysis",IF(Table1[[#This Row],[Ratio]]&gt;=4,"Not Significant",IF(Table1[[#This Row],[Ratio]]&gt;=2,"Semi-Significant","Significant")))</f>
        <v>Needs Analysis</v>
      </c>
      <c r="W2068" s="1">
        <f>IF(Table1[[#This Row],[Cal Type]]&lt;&gt;"ACCREDITED 17025 WITH UNCERTAINTIES",0,"")</f>
        <v>0</v>
      </c>
      <c r="X2068" s="1" t="str">
        <f>IF(Table1[[#This Row],[DUT Read]]="","N/A",Table1[[#This Row],[Std Error]]+Table1[[#This Row],[DUT Read]]+Table1[[#This Row],[DUT Ucty]])</f>
        <v>N/A</v>
      </c>
      <c r="Y2068" s="1" t="str">
        <f>IF(Table1[[#This Row],[Std Read]]="","N/A",Table1[[#This Row],[Std Read]]+Table1[[#This Row],[Std Ucty]])</f>
        <v>N/A</v>
      </c>
      <c r="Z20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8" s="1" t="str">
        <f>IF(Table1[[#This Row],[Spec Type]]="","N/A",Table1[[#This Row],[Spec Type]])</f>
        <v>±</v>
      </c>
      <c r="AC2068" s="1" t="str">
        <f>IF(Table1[[#This Row],[Spec Type2]]="N/A","N/A",IF(AND(Table1[[#This Row],[DUT Adj Read]]&gt;=Table1[[#This Row],[Low Tol]],Table1[[#This Row],[DUT Adj Read]]&lt;=Table1[[#This Row],[High Tol]]),"Pass","Fail"))</f>
        <v>Fail</v>
      </c>
      <c r="AD2068" s="1" t="str">
        <f>IF(AND(Table1[[#This Row],[Spec Type2]]="N/A",Table1[[#This Row],[DUT Adj Read]]="N/A",Table1[[#This Row],[Std Adj Read]]="N/A"),"N/A",IF(Table1[[#This Row],[DUT Adj Read]]="N/A",IF(Table1[[#This Row],[Std Adj Read]]&gt;Table1[[#This Row],[Low Tol]],"Pass","Fail"),IF(Table1[[#This Row],[DUT Adj Read]]&gt;Table1[[#This Row],[Low Tol]],"Pass","Fail")))</f>
        <v>Pass</v>
      </c>
      <c r="AE2068" s="1" t="str">
        <f>IF(AND(Table1[[#This Row],[Spec Type2]]="N/A",Table1[[#This Row],[DUT Adj Read]]="N/A",Table1[[#This Row],[Std Adj Read]]="N/A"),"N/A",IF(Table1[[#This Row],[DUT Adj Read]]="N/A",IF(Table1[[#This Row],[Std Adj Read]]&lt;Table1[[#This Row],[High Tol]],"Pass","Fail"),IF(Table1[[#This Row],[DUT Adj Read]]&lt;Table1[[#This Row],[High Tol]],"Pass","Fail")))</f>
        <v>Fail</v>
      </c>
      <c r="AF2068" s="1" t="str">
        <f>IF(AND(Table1[[#This Row],[Spec Type2]]="N/A",Table1[[#This Row],[DUT Adj Read]]="N/A",Table1[[#This Row],[Std Adj Read]]="N/A"),"N/A",IF(Table1[[#This Row],[DUT Adj Read]]="N/A",IF(Table1[[#This Row],[Std Adj Read]]&gt;=Table1[[#This Row],[Low Tol]],"Pass","Fail"),IF(Table1[[#This Row],[DUT Adj Read]]&gt;=Table1[[#This Row],[Low Tol]],"Pass","Fail")))</f>
        <v>Pass</v>
      </c>
      <c r="AG2068" s="1" t="str">
        <f>IF(AND(Table1[[#This Row],[Spec Type2]]="N/A",Table1[[#This Row],[DUT Adj Read]]="N/A",Table1[[#This Row],[Std Adj Read]]="N/A"),"N/A",IF(Table1[[#This Row],[DUT Adj Read]]="N/A",IF(Table1[[#This Row],[Std Adj Read]]&lt;=Table1[[#This Row],[High Tol]],"Pass","Fail"),IF(Table1[[#This Row],[DUT Adj Read]]&lt;=Table1[[#This Row],[High Tol]],"Pass","Fail")))</f>
        <v>Fail</v>
      </c>
      <c r="AH20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8" s="1" t="b">
        <v>0</v>
      </c>
      <c r="AN2068" s="1" t="b">
        <v>0</v>
      </c>
      <c r="AO2068" s="1" t="b">
        <v>0</v>
      </c>
    </row>
    <row r="2069" spans="1:41" x14ac:dyDescent="0.25">
      <c r="A2069" s="10"/>
      <c r="B2069" s="10"/>
      <c r="C2069" s="10"/>
      <c r="D2069" s="10"/>
      <c r="E2069" s="10"/>
      <c r="F2069" s="10"/>
      <c r="G2069" s="10"/>
      <c r="H2069" s="10"/>
      <c r="I2069" s="1" t="str">
        <f t="shared" si="96"/>
        <v/>
      </c>
      <c r="J2069" s="1" t="s">
        <v>35</v>
      </c>
      <c r="K2069" s="1" t="str">
        <f t="shared" si="97"/>
        <v/>
      </c>
      <c r="L2069" s="1" t="str">
        <f t="shared" si="98"/>
        <v/>
      </c>
      <c r="M2069" s="1">
        <f>IF(OR(Table1[[#This Row],[Std Nom]]="",Table1[[#This Row],[Std Read]]=""),0,Table1[[#This Row],[Std Nom]]-Table1[[#This Row],[Std Read]])</f>
        <v>0</v>
      </c>
      <c r="N2069" s="1">
        <f>IF(Calculations!$F$5="ACCREDITED 17025 WITH UNCERTAINTIES",$N$10,0)</f>
        <v>0</v>
      </c>
      <c r="Q2069" s="1">
        <f>Table1[[#This Row],[High Tol]]-Table1[[#This Row],[Low Tol]]</f>
        <v>0</v>
      </c>
      <c r="R2069" s="1">
        <f>2*Table1[[#This Row],[Std Error]]</f>
        <v>0</v>
      </c>
      <c r="S2069" s="1" t="str">
        <f>IF(Table1[[#This Row],[High Tol]]="","N/A",IFERROR(ABS(Table1[[#This Row],[Tol Span]]/Table1[[#This Row],[Error Span]]),"N/A"))</f>
        <v>N/A</v>
      </c>
      <c r="T2069" s="1" t="str">
        <f>IF(OR(Table1[[#This Row],[Low Tol]]="",Table1[[#This Row],[High Tol]]=""),"Needs Analysis",IF(Table1[[#This Row],[Ratio]]&gt;=4,"Not Significant",IF(Table1[[#This Row],[Ratio]]&gt;=2,"Semi-Significant","Significant")))</f>
        <v>Needs Analysis</v>
      </c>
      <c r="W2069" s="1">
        <f>IF(Table1[[#This Row],[Cal Type]]&lt;&gt;"ACCREDITED 17025 WITH UNCERTAINTIES",0,"")</f>
        <v>0</v>
      </c>
      <c r="X2069" s="1" t="str">
        <f>IF(Table1[[#This Row],[DUT Read]]="","N/A",Table1[[#This Row],[Std Error]]+Table1[[#This Row],[DUT Read]]+Table1[[#This Row],[DUT Ucty]])</f>
        <v>N/A</v>
      </c>
      <c r="Y2069" s="1" t="str">
        <f>IF(Table1[[#This Row],[Std Read]]="","N/A",Table1[[#This Row],[Std Read]]+Table1[[#This Row],[Std Ucty]])</f>
        <v>N/A</v>
      </c>
      <c r="Z20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69" s="1" t="str">
        <f>IF(Table1[[#This Row],[Spec Type]]="","N/A",Table1[[#This Row],[Spec Type]])</f>
        <v>±</v>
      </c>
      <c r="AC2069" s="1" t="str">
        <f>IF(Table1[[#This Row],[Spec Type2]]="N/A","N/A",IF(AND(Table1[[#This Row],[DUT Adj Read]]&gt;=Table1[[#This Row],[Low Tol]],Table1[[#This Row],[DUT Adj Read]]&lt;=Table1[[#This Row],[High Tol]]),"Pass","Fail"))</f>
        <v>Fail</v>
      </c>
      <c r="AD2069" s="1" t="str">
        <f>IF(AND(Table1[[#This Row],[Spec Type2]]="N/A",Table1[[#This Row],[DUT Adj Read]]="N/A",Table1[[#This Row],[Std Adj Read]]="N/A"),"N/A",IF(Table1[[#This Row],[DUT Adj Read]]="N/A",IF(Table1[[#This Row],[Std Adj Read]]&gt;Table1[[#This Row],[Low Tol]],"Pass","Fail"),IF(Table1[[#This Row],[DUT Adj Read]]&gt;Table1[[#This Row],[Low Tol]],"Pass","Fail")))</f>
        <v>Pass</v>
      </c>
      <c r="AE2069" s="1" t="str">
        <f>IF(AND(Table1[[#This Row],[Spec Type2]]="N/A",Table1[[#This Row],[DUT Adj Read]]="N/A",Table1[[#This Row],[Std Adj Read]]="N/A"),"N/A",IF(Table1[[#This Row],[DUT Adj Read]]="N/A",IF(Table1[[#This Row],[Std Adj Read]]&lt;Table1[[#This Row],[High Tol]],"Pass","Fail"),IF(Table1[[#This Row],[DUT Adj Read]]&lt;Table1[[#This Row],[High Tol]],"Pass","Fail")))</f>
        <v>Fail</v>
      </c>
      <c r="AF2069" s="1" t="str">
        <f>IF(AND(Table1[[#This Row],[Spec Type2]]="N/A",Table1[[#This Row],[DUT Adj Read]]="N/A",Table1[[#This Row],[Std Adj Read]]="N/A"),"N/A",IF(Table1[[#This Row],[DUT Adj Read]]="N/A",IF(Table1[[#This Row],[Std Adj Read]]&gt;=Table1[[#This Row],[Low Tol]],"Pass","Fail"),IF(Table1[[#This Row],[DUT Adj Read]]&gt;=Table1[[#This Row],[Low Tol]],"Pass","Fail")))</f>
        <v>Pass</v>
      </c>
      <c r="AG2069" s="1" t="str">
        <f>IF(AND(Table1[[#This Row],[Spec Type2]]="N/A",Table1[[#This Row],[DUT Adj Read]]="N/A",Table1[[#This Row],[Std Adj Read]]="N/A"),"N/A",IF(Table1[[#This Row],[DUT Adj Read]]="N/A",IF(Table1[[#This Row],[Std Adj Read]]&lt;=Table1[[#This Row],[High Tol]],"Pass","Fail"),IF(Table1[[#This Row],[DUT Adj Read]]&lt;=Table1[[#This Row],[High Tol]],"Pass","Fail")))</f>
        <v>Fail</v>
      </c>
      <c r="AH20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69" s="1" t="b">
        <v>0</v>
      </c>
      <c r="AN2069" s="1" t="b">
        <v>0</v>
      </c>
      <c r="AO2069" s="1" t="b">
        <v>0</v>
      </c>
    </row>
    <row r="2070" spans="1:41" x14ac:dyDescent="0.25">
      <c r="A2070" s="10"/>
      <c r="B2070" s="10"/>
      <c r="C2070" s="10"/>
      <c r="D2070" s="10"/>
      <c r="E2070" s="10"/>
      <c r="F2070" s="10"/>
      <c r="G2070" s="10"/>
      <c r="H2070" s="10"/>
      <c r="I2070" s="1" t="str">
        <f t="shared" si="96"/>
        <v/>
      </c>
      <c r="J2070" s="1" t="s">
        <v>35</v>
      </c>
      <c r="K2070" s="1" t="str">
        <f t="shared" si="97"/>
        <v/>
      </c>
      <c r="L2070" s="1" t="str">
        <f t="shared" si="98"/>
        <v/>
      </c>
      <c r="M2070" s="1">
        <f>IF(OR(Table1[[#This Row],[Std Nom]]="",Table1[[#This Row],[Std Read]]=""),0,Table1[[#This Row],[Std Nom]]-Table1[[#This Row],[Std Read]])</f>
        <v>0</v>
      </c>
      <c r="N2070" s="1">
        <f>IF(Calculations!$F$5="ACCREDITED 17025 WITH UNCERTAINTIES",$N$10,0)</f>
        <v>0</v>
      </c>
      <c r="Q2070" s="1">
        <f>Table1[[#This Row],[High Tol]]-Table1[[#This Row],[Low Tol]]</f>
        <v>0</v>
      </c>
      <c r="R2070" s="1">
        <f>2*Table1[[#This Row],[Std Error]]</f>
        <v>0</v>
      </c>
      <c r="S2070" s="1" t="str">
        <f>IF(Table1[[#This Row],[High Tol]]="","N/A",IFERROR(ABS(Table1[[#This Row],[Tol Span]]/Table1[[#This Row],[Error Span]]),"N/A"))</f>
        <v>N/A</v>
      </c>
      <c r="T2070" s="1" t="str">
        <f>IF(OR(Table1[[#This Row],[Low Tol]]="",Table1[[#This Row],[High Tol]]=""),"Needs Analysis",IF(Table1[[#This Row],[Ratio]]&gt;=4,"Not Significant",IF(Table1[[#This Row],[Ratio]]&gt;=2,"Semi-Significant","Significant")))</f>
        <v>Needs Analysis</v>
      </c>
      <c r="W2070" s="1">
        <f>IF(Table1[[#This Row],[Cal Type]]&lt;&gt;"ACCREDITED 17025 WITH UNCERTAINTIES",0,"")</f>
        <v>0</v>
      </c>
      <c r="X2070" s="1" t="str">
        <f>IF(Table1[[#This Row],[DUT Read]]="","N/A",Table1[[#This Row],[Std Error]]+Table1[[#This Row],[DUT Read]]+Table1[[#This Row],[DUT Ucty]])</f>
        <v>N/A</v>
      </c>
      <c r="Y2070" s="1" t="str">
        <f>IF(Table1[[#This Row],[Std Read]]="","N/A",Table1[[#This Row],[Std Read]]+Table1[[#This Row],[Std Ucty]])</f>
        <v>N/A</v>
      </c>
      <c r="Z20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0" s="1" t="str">
        <f>IF(Table1[[#This Row],[Spec Type]]="","N/A",Table1[[#This Row],[Spec Type]])</f>
        <v>±</v>
      </c>
      <c r="AC2070" s="1" t="str">
        <f>IF(Table1[[#This Row],[Spec Type2]]="N/A","N/A",IF(AND(Table1[[#This Row],[DUT Adj Read]]&gt;=Table1[[#This Row],[Low Tol]],Table1[[#This Row],[DUT Adj Read]]&lt;=Table1[[#This Row],[High Tol]]),"Pass","Fail"))</f>
        <v>Fail</v>
      </c>
      <c r="AD2070" s="1" t="str">
        <f>IF(AND(Table1[[#This Row],[Spec Type2]]="N/A",Table1[[#This Row],[DUT Adj Read]]="N/A",Table1[[#This Row],[Std Adj Read]]="N/A"),"N/A",IF(Table1[[#This Row],[DUT Adj Read]]="N/A",IF(Table1[[#This Row],[Std Adj Read]]&gt;Table1[[#This Row],[Low Tol]],"Pass","Fail"),IF(Table1[[#This Row],[DUT Adj Read]]&gt;Table1[[#This Row],[Low Tol]],"Pass","Fail")))</f>
        <v>Pass</v>
      </c>
      <c r="AE2070" s="1" t="str">
        <f>IF(AND(Table1[[#This Row],[Spec Type2]]="N/A",Table1[[#This Row],[DUT Adj Read]]="N/A",Table1[[#This Row],[Std Adj Read]]="N/A"),"N/A",IF(Table1[[#This Row],[DUT Adj Read]]="N/A",IF(Table1[[#This Row],[Std Adj Read]]&lt;Table1[[#This Row],[High Tol]],"Pass","Fail"),IF(Table1[[#This Row],[DUT Adj Read]]&lt;Table1[[#This Row],[High Tol]],"Pass","Fail")))</f>
        <v>Fail</v>
      </c>
      <c r="AF2070" s="1" t="str">
        <f>IF(AND(Table1[[#This Row],[Spec Type2]]="N/A",Table1[[#This Row],[DUT Adj Read]]="N/A",Table1[[#This Row],[Std Adj Read]]="N/A"),"N/A",IF(Table1[[#This Row],[DUT Adj Read]]="N/A",IF(Table1[[#This Row],[Std Adj Read]]&gt;=Table1[[#This Row],[Low Tol]],"Pass","Fail"),IF(Table1[[#This Row],[DUT Adj Read]]&gt;=Table1[[#This Row],[Low Tol]],"Pass","Fail")))</f>
        <v>Pass</v>
      </c>
      <c r="AG2070" s="1" t="str">
        <f>IF(AND(Table1[[#This Row],[Spec Type2]]="N/A",Table1[[#This Row],[DUT Adj Read]]="N/A",Table1[[#This Row],[Std Adj Read]]="N/A"),"N/A",IF(Table1[[#This Row],[DUT Adj Read]]="N/A",IF(Table1[[#This Row],[Std Adj Read]]&lt;=Table1[[#This Row],[High Tol]],"Pass","Fail"),IF(Table1[[#This Row],[DUT Adj Read]]&lt;=Table1[[#This Row],[High Tol]],"Pass","Fail")))</f>
        <v>Fail</v>
      </c>
      <c r="AH20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0" s="1" t="b">
        <v>0</v>
      </c>
      <c r="AN2070" s="1" t="b">
        <v>0</v>
      </c>
      <c r="AO2070" s="1" t="b">
        <v>0</v>
      </c>
    </row>
    <row r="2071" spans="1:41" x14ac:dyDescent="0.25">
      <c r="A2071" s="10"/>
      <c r="B2071" s="10"/>
      <c r="C2071" s="10"/>
      <c r="D2071" s="10"/>
      <c r="E2071" s="10"/>
      <c r="F2071" s="10"/>
      <c r="G2071" s="10"/>
      <c r="H2071" s="10"/>
      <c r="I2071" s="1" t="str">
        <f t="shared" si="96"/>
        <v/>
      </c>
      <c r="J2071" s="1" t="s">
        <v>35</v>
      </c>
      <c r="K2071" s="1" t="str">
        <f t="shared" si="97"/>
        <v/>
      </c>
      <c r="L2071" s="1" t="str">
        <f t="shared" si="98"/>
        <v/>
      </c>
      <c r="M2071" s="1">
        <f>IF(OR(Table1[[#This Row],[Std Nom]]="",Table1[[#This Row],[Std Read]]=""),0,Table1[[#This Row],[Std Nom]]-Table1[[#This Row],[Std Read]])</f>
        <v>0</v>
      </c>
      <c r="N2071" s="1">
        <f>IF(Calculations!$F$5="ACCREDITED 17025 WITH UNCERTAINTIES",$N$10,0)</f>
        <v>0</v>
      </c>
      <c r="Q2071" s="1">
        <f>Table1[[#This Row],[High Tol]]-Table1[[#This Row],[Low Tol]]</f>
        <v>0</v>
      </c>
      <c r="R2071" s="1">
        <f>2*Table1[[#This Row],[Std Error]]</f>
        <v>0</v>
      </c>
      <c r="S2071" s="1" t="str">
        <f>IF(Table1[[#This Row],[High Tol]]="","N/A",IFERROR(ABS(Table1[[#This Row],[Tol Span]]/Table1[[#This Row],[Error Span]]),"N/A"))</f>
        <v>N/A</v>
      </c>
      <c r="T2071" s="1" t="str">
        <f>IF(OR(Table1[[#This Row],[Low Tol]]="",Table1[[#This Row],[High Tol]]=""),"Needs Analysis",IF(Table1[[#This Row],[Ratio]]&gt;=4,"Not Significant",IF(Table1[[#This Row],[Ratio]]&gt;=2,"Semi-Significant","Significant")))</f>
        <v>Needs Analysis</v>
      </c>
      <c r="W2071" s="1">
        <f>IF(Table1[[#This Row],[Cal Type]]&lt;&gt;"ACCREDITED 17025 WITH UNCERTAINTIES",0,"")</f>
        <v>0</v>
      </c>
      <c r="X2071" s="1" t="str">
        <f>IF(Table1[[#This Row],[DUT Read]]="","N/A",Table1[[#This Row],[Std Error]]+Table1[[#This Row],[DUT Read]]+Table1[[#This Row],[DUT Ucty]])</f>
        <v>N/A</v>
      </c>
      <c r="Y2071" s="1" t="str">
        <f>IF(Table1[[#This Row],[Std Read]]="","N/A",Table1[[#This Row],[Std Read]]+Table1[[#This Row],[Std Ucty]])</f>
        <v>N/A</v>
      </c>
      <c r="Z20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1" s="1" t="str">
        <f>IF(Table1[[#This Row],[Spec Type]]="","N/A",Table1[[#This Row],[Spec Type]])</f>
        <v>±</v>
      </c>
      <c r="AC2071" s="1" t="str">
        <f>IF(Table1[[#This Row],[Spec Type2]]="N/A","N/A",IF(AND(Table1[[#This Row],[DUT Adj Read]]&gt;=Table1[[#This Row],[Low Tol]],Table1[[#This Row],[DUT Adj Read]]&lt;=Table1[[#This Row],[High Tol]]),"Pass","Fail"))</f>
        <v>Fail</v>
      </c>
      <c r="AD2071" s="1" t="str">
        <f>IF(AND(Table1[[#This Row],[Spec Type2]]="N/A",Table1[[#This Row],[DUT Adj Read]]="N/A",Table1[[#This Row],[Std Adj Read]]="N/A"),"N/A",IF(Table1[[#This Row],[DUT Adj Read]]="N/A",IF(Table1[[#This Row],[Std Adj Read]]&gt;Table1[[#This Row],[Low Tol]],"Pass","Fail"),IF(Table1[[#This Row],[DUT Adj Read]]&gt;Table1[[#This Row],[Low Tol]],"Pass","Fail")))</f>
        <v>Pass</v>
      </c>
      <c r="AE2071" s="1" t="str">
        <f>IF(AND(Table1[[#This Row],[Spec Type2]]="N/A",Table1[[#This Row],[DUT Adj Read]]="N/A",Table1[[#This Row],[Std Adj Read]]="N/A"),"N/A",IF(Table1[[#This Row],[DUT Adj Read]]="N/A",IF(Table1[[#This Row],[Std Adj Read]]&lt;Table1[[#This Row],[High Tol]],"Pass","Fail"),IF(Table1[[#This Row],[DUT Adj Read]]&lt;Table1[[#This Row],[High Tol]],"Pass","Fail")))</f>
        <v>Fail</v>
      </c>
      <c r="AF2071" s="1" t="str">
        <f>IF(AND(Table1[[#This Row],[Spec Type2]]="N/A",Table1[[#This Row],[DUT Adj Read]]="N/A",Table1[[#This Row],[Std Adj Read]]="N/A"),"N/A",IF(Table1[[#This Row],[DUT Adj Read]]="N/A",IF(Table1[[#This Row],[Std Adj Read]]&gt;=Table1[[#This Row],[Low Tol]],"Pass","Fail"),IF(Table1[[#This Row],[DUT Adj Read]]&gt;=Table1[[#This Row],[Low Tol]],"Pass","Fail")))</f>
        <v>Pass</v>
      </c>
      <c r="AG2071" s="1" t="str">
        <f>IF(AND(Table1[[#This Row],[Spec Type2]]="N/A",Table1[[#This Row],[DUT Adj Read]]="N/A",Table1[[#This Row],[Std Adj Read]]="N/A"),"N/A",IF(Table1[[#This Row],[DUT Adj Read]]="N/A",IF(Table1[[#This Row],[Std Adj Read]]&lt;=Table1[[#This Row],[High Tol]],"Pass","Fail"),IF(Table1[[#This Row],[DUT Adj Read]]&lt;=Table1[[#This Row],[High Tol]],"Pass","Fail")))</f>
        <v>Fail</v>
      </c>
      <c r="AH20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1" s="1" t="b">
        <v>0</v>
      </c>
      <c r="AN2071" s="1" t="b">
        <v>0</v>
      </c>
      <c r="AO2071" s="1" t="b">
        <v>0</v>
      </c>
    </row>
    <row r="2072" spans="1:41" x14ac:dyDescent="0.25">
      <c r="A2072" s="10"/>
      <c r="B2072" s="10"/>
      <c r="C2072" s="10"/>
      <c r="D2072" s="10"/>
      <c r="E2072" s="10"/>
      <c r="F2072" s="10"/>
      <c r="G2072" s="10"/>
      <c r="H2072" s="10"/>
      <c r="I2072" s="1" t="str">
        <f t="shared" si="96"/>
        <v/>
      </c>
      <c r="J2072" s="1" t="s">
        <v>35</v>
      </c>
      <c r="K2072" s="1" t="str">
        <f t="shared" si="97"/>
        <v/>
      </c>
      <c r="L2072" s="1" t="str">
        <f t="shared" si="98"/>
        <v/>
      </c>
      <c r="M2072" s="1">
        <f>IF(OR(Table1[[#This Row],[Std Nom]]="",Table1[[#This Row],[Std Read]]=""),0,Table1[[#This Row],[Std Nom]]-Table1[[#This Row],[Std Read]])</f>
        <v>0</v>
      </c>
      <c r="N2072" s="1">
        <f>IF(Calculations!$F$5="ACCREDITED 17025 WITH UNCERTAINTIES",$N$10,0)</f>
        <v>0</v>
      </c>
      <c r="Q2072" s="1">
        <f>Table1[[#This Row],[High Tol]]-Table1[[#This Row],[Low Tol]]</f>
        <v>0</v>
      </c>
      <c r="R2072" s="1">
        <f>2*Table1[[#This Row],[Std Error]]</f>
        <v>0</v>
      </c>
      <c r="S2072" s="1" t="str">
        <f>IF(Table1[[#This Row],[High Tol]]="","N/A",IFERROR(ABS(Table1[[#This Row],[Tol Span]]/Table1[[#This Row],[Error Span]]),"N/A"))</f>
        <v>N/A</v>
      </c>
      <c r="T2072" s="1" t="str">
        <f>IF(OR(Table1[[#This Row],[Low Tol]]="",Table1[[#This Row],[High Tol]]=""),"Needs Analysis",IF(Table1[[#This Row],[Ratio]]&gt;=4,"Not Significant",IF(Table1[[#This Row],[Ratio]]&gt;=2,"Semi-Significant","Significant")))</f>
        <v>Needs Analysis</v>
      </c>
      <c r="W2072" s="1">
        <f>IF(Table1[[#This Row],[Cal Type]]&lt;&gt;"ACCREDITED 17025 WITH UNCERTAINTIES",0,"")</f>
        <v>0</v>
      </c>
      <c r="X2072" s="1" t="str">
        <f>IF(Table1[[#This Row],[DUT Read]]="","N/A",Table1[[#This Row],[Std Error]]+Table1[[#This Row],[DUT Read]]+Table1[[#This Row],[DUT Ucty]])</f>
        <v>N/A</v>
      </c>
      <c r="Y2072" s="1" t="str">
        <f>IF(Table1[[#This Row],[Std Read]]="","N/A",Table1[[#This Row],[Std Read]]+Table1[[#This Row],[Std Ucty]])</f>
        <v>N/A</v>
      </c>
      <c r="Z20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2" s="1" t="str">
        <f>IF(Table1[[#This Row],[Spec Type]]="","N/A",Table1[[#This Row],[Spec Type]])</f>
        <v>±</v>
      </c>
      <c r="AC2072" s="1" t="str">
        <f>IF(Table1[[#This Row],[Spec Type2]]="N/A","N/A",IF(AND(Table1[[#This Row],[DUT Adj Read]]&gt;=Table1[[#This Row],[Low Tol]],Table1[[#This Row],[DUT Adj Read]]&lt;=Table1[[#This Row],[High Tol]]),"Pass","Fail"))</f>
        <v>Fail</v>
      </c>
      <c r="AD2072" s="1" t="str">
        <f>IF(AND(Table1[[#This Row],[Spec Type2]]="N/A",Table1[[#This Row],[DUT Adj Read]]="N/A",Table1[[#This Row],[Std Adj Read]]="N/A"),"N/A",IF(Table1[[#This Row],[DUT Adj Read]]="N/A",IF(Table1[[#This Row],[Std Adj Read]]&gt;Table1[[#This Row],[Low Tol]],"Pass","Fail"),IF(Table1[[#This Row],[DUT Adj Read]]&gt;Table1[[#This Row],[Low Tol]],"Pass","Fail")))</f>
        <v>Pass</v>
      </c>
      <c r="AE2072" s="1" t="str">
        <f>IF(AND(Table1[[#This Row],[Spec Type2]]="N/A",Table1[[#This Row],[DUT Adj Read]]="N/A",Table1[[#This Row],[Std Adj Read]]="N/A"),"N/A",IF(Table1[[#This Row],[DUT Adj Read]]="N/A",IF(Table1[[#This Row],[Std Adj Read]]&lt;Table1[[#This Row],[High Tol]],"Pass","Fail"),IF(Table1[[#This Row],[DUT Adj Read]]&lt;Table1[[#This Row],[High Tol]],"Pass","Fail")))</f>
        <v>Fail</v>
      </c>
      <c r="AF2072" s="1" t="str">
        <f>IF(AND(Table1[[#This Row],[Spec Type2]]="N/A",Table1[[#This Row],[DUT Adj Read]]="N/A",Table1[[#This Row],[Std Adj Read]]="N/A"),"N/A",IF(Table1[[#This Row],[DUT Adj Read]]="N/A",IF(Table1[[#This Row],[Std Adj Read]]&gt;=Table1[[#This Row],[Low Tol]],"Pass","Fail"),IF(Table1[[#This Row],[DUT Adj Read]]&gt;=Table1[[#This Row],[Low Tol]],"Pass","Fail")))</f>
        <v>Pass</v>
      </c>
      <c r="AG2072" s="1" t="str">
        <f>IF(AND(Table1[[#This Row],[Spec Type2]]="N/A",Table1[[#This Row],[DUT Adj Read]]="N/A",Table1[[#This Row],[Std Adj Read]]="N/A"),"N/A",IF(Table1[[#This Row],[DUT Adj Read]]="N/A",IF(Table1[[#This Row],[Std Adj Read]]&lt;=Table1[[#This Row],[High Tol]],"Pass","Fail"),IF(Table1[[#This Row],[DUT Adj Read]]&lt;=Table1[[#This Row],[High Tol]],"Pass","Fail")))</f>
        <v>Fail</v>
      </c>
      <c r="AH20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2" s="1" t="b">
        <v>0</v>
      </c>
      <c r="AN2072" s="1" t="b">
        <v>0</v>
      </c>
      <c r="AO2072" s="1" t="b">
        <v>0</v>
      </c>
    </row>
    <row r="2073" spans="1:41" x14ac:dyDescent="0.25">
      <c r="A2073" s="10"/>
      <c r="B2073" s="10"/>
      <c r="C2073" s="10"/>
      <c r="D2073" s="10"/>
      <c r="E2073" s="10"/>
      <c r="F2073" s="10"/>
      <c r="G2073" s="10"/>
      <c r="H2073" s="10"/>
      <c r="I2073" s="1" t="str">
        <f t="shared" si="96"/>
        <v/>
      </c>
      <c r="J2073" s="1" t="s">
        <v>35</v>
      </c>
      <c r="K2073" s="1" t="str">
        <f t="shared" si="97"/>
        <v/>
      </c>
      <c r="L2073" s="1" t="str">
        <f t="shared" si="98"/>
        <v/>
      </c>
      <c r="M2073" s="1">
        <f>IF(OR(Table1[[#This Row],[Std Nom]]="",Table1[[#This Row],[Std Read]]=""),0,Table1[[#This Row],[Std Nom]]-Table1[[#This Row],[Std Read]])</f>
        <v>0</v>
      </c>
      <c r="N2073" s="1">
        <f>IF(Calculations!$F$5="ACCREDITED 17025 WITH UNCERTAINTIES",$N$10,0)</f>
        <v>0</v>
      </c>
      <c r="Q2073" s="1">
        <f>Table1[[#This Row],[High Tol]]-Table1[[#This Row],[Low Tol]]</f>
        <v>0</v>
      </c>
      <c r="R2073" s="1">
        <f>2*Table1[[#This Row],[Std Error]]</f>
        <v>0</v>
      </c>
      <c r="S2073" s="1" t="str">
        <f>IF(Table1[[#This Row],[High Tol]]="","N/A",IFERROR(ABS(Table1[[#This Row],[Tol Span]]/Table1[[#This Row],[Error Span]]),"N/A"))</f>
        <v>N/A</v>
      </c>
      <c r="T2073" s="1" t="str">
        <f>IF(OR(Table1[[#This Row],[Low Tol]]="",Table1[[#This Row],[High Tol]]=""),"Needs Analysis",IF(Table1[[#This Row],[Ratio]]&gt;=4,"Not Significant",IF(Table1[[#This Row],[Ratio]]&gt;=2,"Semi-Significant","Significant")))</f>
        <v>Needs Analysis</v>
      </c>
      <c r="W2073" s="1">
        <f>IF(Table1[[#This Row],[Cal Type]]&lt;&gt;"ACCREDITED 17025 WITH UNCERTAINTIES",0,"")</f>
        <v>0</v>
      </c>
      <c r="X2073" s="1" t="str">
        <f>IF(Table1[[#This Row],[DUT Read]]="","N/A",Table1[[#This Row],[Std Error]]+Table1[[#This Row],[DUT Read]]+Table1[[#This Row],[DUT Ucty]])</f>
        <v>N/A</v>
      </c>
      <c r="Y2073" s="1" t="str">
        <f>IF(Table1[[#This Row],[Std Read]]="","N/A",Table1[[#This Row],[Std Read]]+Table1[[#This Row],[Std Ucty]])</f>
        <v>N/A</v>
      </c>
      <c r="Z20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3" s="1" t="str">
        <f>IF(Table1[[#This Row],[Spec Type]]="","N/A",Table1[[#This Row],[Spec Type]])</f>
        <v>±</v>
      </c>
      <c r="AC2073" s="1" t="str">
        <f>IF(Table1[[#This Row],[Spec Type2]]="N/A","N/A",IF(AND(Table1[[#This Row],[DUT Adj Read]]&gt;=Table1[[#This Row],[Low Tol]],Table1[[#This Row],[DUT Adj Read]]&lt;=Table1[[#This Row],[High Tol]]),"Pass","Fail"))</f>
        <v>Fail</v>
      </c>
      <c r="AD2073" s="1" t="str">
        <f>IF(AND(Table1[[#This Row],[Spec Type2]]="N/A",Table1[[#This Row],[DUT Adj Read]]="N/A",Table1[[#This Row],[Std Adj Read]]="N/A"),"N/A",IF(Table1[[#This Row],[DUT Adj Read]]="N/A",IF(Table1[[#This Row],[Std Adj Read]]&gt;Table1[[#This Row],[Low Tol]],"Pass","Fail"),IF(Table1[[#This Row],[DUT Adj Read]]&gt;Table1[[#This Row],[Low Tol]],"Pass","Fail")))</f>
        <v>Pass</v>
      </c>
      <c r="AE2073" s="1" t="str">
        <f>IF(AND(Table1[[#This Row],[Spec Type2]]="N/A",Table1[[#This Row],[DUT Adj Read]]="N/A",Table1[[#This Row],[Std Adj Read]]="N/A"),"N/A",IF(Table1[[#This Row],[DUT Adj Read]]="N/A",IF(Table1[[#This Row],[Std Adj Read]]&lt;Table1[[#This Row],[High Tol]],"Pass","Fail"),IF(Table1[[#This Row],[DUT Adj Read]]&lt;Table1[[#This Row],[High Tol]],"Pass","Fail")))</f>
        <v>Fail</v>
      </c>
      <c r="AF2073" s="1" t="str">
        <f>IF(AND(Table1[[#This Row],[Spec Type2]]="N/A",Table1[[#This Row],[DUT Adj Read]]="N/A",Table1[[#This Row],[Std Adj Read]]="N/A"),"N/A",IF(Table1[[#This Row],[DUT Adj Read]]="N/A",IF(Table1[[#This Row],[Std Adj Read]]&gt;=Table1[[#This Row],[Low Tol]],"Pass","Fail"),IF(Table1[[#This Row],[DUT Adj Read]]&gt;=Table1[[#This Row],[Low Tol]],"Pass","Fail")))</f>
        <v>Pass</v>
      </c>
      <c r="AG2073" s="1" t="str">
        <f>IF(AND(Table1[[#This Row],[Spec Type2]]="N/A",Table1[[#This Row],[DUT Adj Read]]="N/A",Table1[[#This Row],[Std Adj Read]]="N/A"),"N/A",IF(Table1[[#This Row],[DUT Adj Read]]="N/A",IF(Table1[[#This Row],[Std Adj Read]]&lt;=Table1[[#This Row],[High Tol]],"Pass","Fail"),IF(Table1[[#This Row],[DUT Adj Read]]&lt;=Table1[[#This Row],[High Tol]],"Pass","Fail")))</f>
        <v>Fail</v>
      </c>
      <c r="AH20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3" s="1" t="b">
        <v>0</v>
      </c>
      <c r="AN2073" s="1" t="b">
        <v>0</v>
      </c>
      <c r="AO2073" s="1" t="b">
        <v>0</v>
      </c>
    </row>
    <row r="2074" spans="1:41" x14ac:dyDescent="0.25">
      <c r="A2074" s="10"/>
      <c r="B2074" s="10"/>
      <c r="C2074" s="10"/>
      <c r="D2074" s="10"/>
      <c r="E2074" s="10"/>
      <c r="F2074" s="10"/>
      <c r="G2074" s="10"/>
      <c r="H2074" s="10"/>
      <c r="I2074" s="1" t="str">
        <f t="shared" si="96"/>
        <v/>
      </c>
      <c r="J2074" s="1" t="s">
        <v>35</v>
      </c>
      <c r="K2074" s="1" t="str">
        <f t="shared" si="97"/>
        <v/>
      </c>
      <c r="L2074" s="1" t="str">
        <f t="shared" si="98"/>
        <v/>
      </c>
      <c r="M2074" s="1">
        <f>IF(OR(Table1[[#This Row],[Std Nom]]="",Table1[[#This Row],[Std Read]]=""),0,Table1[[#This Row],[Std Nom]]-Table1[[#This Row],[Std Read]])</f>
        <v>0</v>
      </c>
      <c r="N2074" s="1">
        <f>IF(Calculations!$F$5="ACCREDITED 17025 WITH UNCERTAINTIES",$N$10,0)</f>
        <v>0</v>
      </c>
      <c r="Q2074" s="1">
        <f>Table1[[#This Row],[High Tol]]-Table1[[#This Row],[Low Tol]]</f>
        <v>0</v>
      </c>
      <c r="R2074" s="1">
        <f>2*Table1[[#This Row],[Std Error]]</f>
        <v>0</v>
      </c>
      <c r="S2074" s="1" t="str">
        <f>IF(Table1[[#This Row],[High Tol]]="","N/A",IFERROR(ABS(Table1[[#This Row],[Tol Span]]/Table1[[#This Row],[Error Span]]),"N/A"))</f>
        <v>N/A</v>
      </c>
      <c r="T2074" s="1" t="str">
        <f>IF(OR(Table1[[#This Row],[Low Tol]]="",Table1[[#This Row],[High Tol]]=""),"Needs Analysis",IF(Table1[[#This Row],[Ratio]]&gt;=4,"Not Significant",IF(Table1[[#This Row],[Ratio]]&gt;=2,"Semi-Significant","Significant")))</f>
        <v>Needs Analysis</v>
      </c>
      <c r="W2074" s="1">
        <f>IF(Table1[[#This Row],[Cal Type]]&lt;&gt;"ACCREDITED 17025 WITH UNCERTAINTIES",0,"")</f>
        <v>0</v>
      </c>
      <c r="X2074" s="1" t="str">
        <f>IF(Table1[[#This Row],[DUT Read]]="","N/A",Table1[[#This Row],[Std Error]]+Table1[[#This Row],[DUT Read]]+Table1[[#This Row],[DUT Ucty]])</f>
        <v>N/A</v>
      </c>
      <c r="Y2074" s="1" t="str">
        <f>IF(Table1[[#This Row],[Std Read]]="","N/A",Table1[[#This Row],[Std Read]]+Table1[[#This Row],[Std Ucty]])</f>
        <v>N/A</v>
      </c>
      <c r="Z20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4" s="1" t="str">
        <f>IF(Table1[[#This Row],[Spec Type]]="","N/A",Table1[[#This Row],[Spec Type]])</f>
        <v>±</v>
      </c>
      <c r="AC2074" s="1" t="str">
        <f>IF(Table1[[#This Row],[Spec Type2]]="N/A","N/A",IF(AND(Table1[[#This Row],[DUT Adj Read]]&gt;=Table1[[#This Row],[Low Tol]],Table1[[#This Row],[DUT Adj Read]]&lt;=Table1[[#This Row],[High Tol]]),"Pass","Fail"))</f>
        <v>Fail</v>
      </c>
      <c r="AD2074" s="1" t="str">
        <f>IF(AND(Table1[[#This Row],[Spec Type2]]="N/A",Table1[[#This Row],[DUT Adj Read]]="N/A",Table1[[#This Row],[Std Adj Read]]="N/A"),"N/A",IF(Table1[[#This Row],[DUT Adj Read]]="N/A",IF(Table1[[#This Row],[Std Adj Read]]&gt;Table1[[#This Row],[Low Tol]],"Pass","Fail"),IF(Table1[[#This Row],[DUT Adj Read]]&gt;Table1[[#This Row],[Low Tol]],"Pass","Fail")))</f>
        <v>Pass</v>
      </c>
      <c r="AE2074" s="1" t="str">
        <f>IF(AND(Table1[[#This Row],[Spec Type2]]="N/A",Table1[[#This Row],[DUT Adj Read]]="N/A",Table1[[#This Row],[Std Adj Read]]="N/A"),"N/A",IF(Table1[[#This Row],[DUT Adj Read]]="N/A",IF(Table1[[#This Row],[Std Adj Read]]&lt;Table1[[#This Row],[High Tol]],"Pass","Fail"),IF(Table1[[#This Row],[DUT Adj Read]]&lt;Table1[[#This Row],[High Tol]],"Pass","Fail")))</f>
        <v>Fail</v>
      </c>
      <c r="AF2074" s="1" t="str">
        <f>IF(AND(Table1[[#This Row],[Spec Type2]]="N/A",Table1[[#This Row],[DUT Adj Read]]="N/A",Table1[[#This Row],[Std Adj Read]]="N/A"),"N/A",IF(Table1[[#This Row],[DUT Adj Read]]="N/A",IF(Table1[[#This Row],[Std Adj Read]]&gt;=Table1[[#This Row],[Low Tol]],"Pass","Fail"),IF(Table1[[#This Row],[DUT Adj Read]]&gt;=Table1[[#This Row],[Low Tol]],"Pass","Fail")))</f>
        <v>Pass</v>
      </c>
      <c r="AG2074" s="1" t="str">
        <f>IF(AND(Table1[[#This Row],[Spec Type2]]="N/A",Table1[[#This Row],[DUT Adj Read]]="N/A",Table1[[#This Row],[Std Adj Read]]="N/A"),"N/A",IF(Table1[[#This Row],[DUT Adj Read]]="N/A",IF(Table1[[#This Row],[Std Adj Read]]&lt;=Table1[[#This Row],[High Tol]],"Pass","Fail"),IF(Table1[[#This Row],[DUT Adj Read]]&lt;=Table1[[#This Row],[High Tol]],"Pass","Fail")))</f>
        <v>Fail</v>
      </c>
      <c r="AH20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4" s="1" t="b">
        <v>0</v>
      </c>
      <c r="AN2074" s="1" t="b">
        <v>0</v>
      </c>
      <c r="AO2074" s="1" t="b">
        <v>0</v>
      </c>
    </row>
    <row r="2075" spans="1:41" x14ac:dyDescent="0.25">
      <c r="A2075" s="10"/>
      <c r="B2075" s="10"/>
      <c r="C2075" s="10"/>
      <c r="D2075" s="10"/>
      <c r="E2075" s="10"/>
      <c r="F2075" s="10"/>
      <c r="G2075" s="10"/>
      <c r="H2075" s="10"/>
      <c r="I2075" s="1" t="str">
        <f t="shared" si="96"/>
        <v/>
      </c>
      <c r="J2075" s="1" t="s">
        <v>35</v>
      </c>
      <c r="K2075" s="1" t="str">
        <f t="shared" si="97"/>
        <v/>
      </c>
      <c r="L2075" s="1" t="str">
        <f t="shared" si="98"/>
        <v/>
      </c>
      <c r="M2075" s="1">
        <f>IF(OR(Table1[[#This Row],[Std Nom]]="",Table1[[#This Row],[Std Read]]=""),0,Table1[[#This Row],[Std Nom]]-Table1[[#This Row],[Std Read]])</f>
        <v>0</v>
      </c>
      <c r="N2075" s="1">
        <f>IF(Calculations!$F$5="ACCREDITED 17025 WITH UNCERTAINTIES",$N$10,0)</f>
        <v>0</v>
      </c>
      <c r="Q2075" s="1">
        <f>Table1[[#This Row],[High Tol]]-Table1[[#This Row],[Low Tol]]</f>
        <v>0</v>
      </c>
      <c r="R2075" s="1">
        <f>2*Table1[[#This Row],[Std Error]]</f>
        <v>0</v>
      </c>
      <c r="S2075" s="1" t="str">
        <f>IF(Table1[[#This Row],[High Tol]]="","N/A",IFERROR(ABS(Table1[[#This Row],[Tol Span]]/Table1[[#This Row],[Error Span]]),"N/A"))</f>
        <v>N/A</v>
      </c>
      <c r="T2075" s="1" t="str">
        <f>IF(OR(Table1[[#This Row],[Low Tol]]="",Table1[[#This Row],[High Tol]]=""),"Needs Analysis",IF(Table1[[#This Row],[Ratio]]&gt;=4,"Not Significant",IF(Table1[[#This Row],[Ratio]]&gt;=2,"Semi-Significant","Significant")))</f>
        <v>Needs Analysis</v>
      </c>
      <c r="W2075" s="1">
        <f>IF(Table1[[#This Row],[Cal Type]]&lt;&gt;"ACCREDITED 17025 WITH UNCERTAINTIES",0,"")</f>
        <v>0</v>
      </c>
      <c r="X2075" s="1" t="str">
        <f>IF(Table1[[#This Row],[DUT Read]]="","N/A",Table1[[#This Row],[Std Error]]+Table1[[#This Row],[DUT Read]]+Table1[[#This Row],[DUT Ucty]])</f>
        <v>N/A</v>
      </c>
      <c r="Y2075" s="1" t="str">
        <f>IF(Table1[[#This Row],[Std Read]]="","N/A",Table1[[#This Row],[Std Read]]+Table1[[#This Row],[Std Ucty]])</f>
        <v>N/A</v>
      </c>
      <c r="Z20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5" s="1" t="str">
        <f>IF(Table1[[#This Row],[Spec Type]]="","N/A",Table1[[#This Row],[Spec Type]])</f>
        <v>±</v>
      </c>
      <c r="AC2075" s="1" t="str">
        <f>IF(Table1[[#This Row],[Spec Type2]]="N/A","N/A",IF(AND(Table1[[#This Row],[DUT Adj Read]]&gt;=Table1[[#This Row],[Low Tol]],Table1[[#This Row],[DUT Adj Read]]&lt;=Table1[[#This Row],[High Tol]]),"Pass","Fail"))</f>
        <v>Fail</v>
      </c>
      <c r="AD2075" s="1" t="str">
        <f>IF(AND(Table1[[#This Row],[Spec Type2]]="N/A",Table1[[#This Row],[DUT Adj Read]]="N/A",Table1[[#This Row],[Std Adj Read]]="N/A"),"N/A",IF(Table1[[#This Row],[DUT Adj Read]]="N/A",IF(Table1[[#This Row],[Std Adj Read]]&gt;Table1[[#This Row],[Low Tol]],"Pass","Fail"),IF(Table1[[#This Row],[DUT Adj Read]]&gt;Table1[[#This Row],[Low Tol]],"Pass","Fail")))</f>
        <v>Pass</v>
      </c>
      <c r="AE2075" s="1" t="str">
        <f>IF(AND(Table1[[#This Row],[Spec Type2]]="N/A",Table1[[#This Row],[DUT Adj Read]]="N/A",Table1[[#This Row],[Std Adj Read]]="N/A"),"N/A",IF(Table1[[#This Row],[DUT Adj Read]]="N/A",IF(Table1[[#This Row],[Std Adj Read]]&lt;Table1[[#This Row],[High Tol]],"Pass","Fail"),IF(Table1[[#This Row],[DUT Adj Read]]&lt;Table1[[#This Row],[High Tol]],"Pass","Fail")))</f>
        <v>Fail</v>
      </c>
      <c r="AF2075" s="1" t="str">
        <f>IF(AND(Table1[[#This Row],[Spec Type2]]="N/A",Table1[[#This Row],[DUT Adj Read]]="N/A",Table1[[#This Row],[Std Adj Read]]="N/A"),"N/A",IF(Table1[[#This Row],[DUT Adj Read]]="N/A",IF(Table1[[#This Row],[Std Adj Read]]&gt;=Table1[[#This Row],[Low Tol]],"Pass","Fail"),IF(Table1[[#This Row],[DUT Adj Read]]&gt;=Table1[[#This Row],[Low Tol]],"Pass","Fail")))</f>
        <v>Pass</v>
      </c>
      <c r="AG2075" s="1" t="str">
        <f>IF(AND(Table1[[#This Row],[Spec Type2]]="N/A",Table1[[#This Row],[DUT Adj Read]]="N/A",Table1[[#This Row],[Std Adj Read]]="N/A"),"N/A",IF(Table1[[#This Row],[DUT Adj Read]]="N/A",IF(Table1[[#This Row],[Std Adj Read]]&lt;=Table1[[#This Row],[High Tol]],"Pass","Fail"),IF(Table1[[#This Row],[DUT Adj Read]]&lt;=Table1[[#This Row],[High Tol]],"Pass","Fail")))</f>
        <v>Fail</v>
      </c>
      <c r="AH20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5" s="1" t="b">
        <v>0</v>
      </c>
      <c r="AN2075" s="1" t="b">
        <v>0</v>
      </c>
      <c r="AO2075" s="1" t="b">
        <v>0</v>
      </c>
    </row>
    <row r="2076" spans="1:41" x14ac:dyDescent="0.25">
      <c r="A2076" s="10"/>
      <c r="B2076" s="10"/>
      <c r="C2076" s="10"/>
      <c r="D2076" s="10"/>
      <c r="E2076" s="10"/>
      <c r="F2076" s="10"/>
      <c r="G2076" s="10"/>
      <c r="H2076" s="10"/>
      <c r="I2076" s="1" t="str">
        <f t="shared" si="96"/>
        <v/>
      </c>
      <c r="J2076" s="1" t="s">
        <v>35</v>
      </c>
      <c r="K2076" s="1" t="str">
        <f t="shared" si="97"/>
        <v/>
      </c>
      <c r="L2076" s="1" t="str">
        <f t="shared" si="98"/>
        <v/>
      </c>
      <c r="M2076" s="1">
        <f>IF(OR(Table1[[#This Row],[Std Nom]]="",Table1[[#This Row],[Std Read]]=""),0,Table1[[#This Row],[Std Nom]]-Table1[[#This Row],[Std Read]])</f>
        <v>0</v>
      </c>
      <c r="N2076" s="1">
        <f>IF(Calculations!$F$5="ACCREDITED 17025 WITH UNCERTAINTIES",$N$10,0)</f>
        <v>0</v>
      </c>
      <c r="Q2076" s="1">
        <f>Table1[[#This Row],[High Tol]]-Table1[[#This Row],[Low Tol]]</f>
        <v>0</v>
      </c>
      <c r="R2076" s="1">
        <f>2*Table1[[#This Row],[Std Error]]</f>
        <v>0</v>
      </c>
      <c r="S2076" s="1" t="str">
        <f>IF(Table1[[#This Row],[High Tol]]="","N/A",IFERROR(ABS(Table1[[#This Row],[Tol Span]]/Table1[[#This Row],[Error Span]]),"N/A"))</f>
        <v>N/A</v>
      </c>
      <c r="T2076" s="1" t="str">
        <f>IF(OR(Table1[[#This Row],[Low Tol]]="",Table1[[#This Row],[High Tol]]=""),"Needs Analysis",IF(Table1[[#This Row],[Ratio]]&gt;=4,"Not Significant",IF(Table1[[#This Row],[Ratio]]&gt;=2,"Semi-Significant","Significant")))</f>
        <v>Needs Analysis</v>
      </c>
      <c r="W2076" s="1">
        <f>IF(Table1[[#This Row],[Cal Type]]&lt;&gt;"ACCREDITED 17025 WITH UNCERTAINTIES",0,"")</f>
        <v>0</v>
      </c>
      <c r="X2076" s="1" t="str">
        <f>IF(Table1[[#This Row],[DUT Read]]="","N/A",Table1[[#This Row],[Std Error]]+Table1[[#This Row],[DUT Read]]+Table1[[#This Row],[DUT Ucty]])</f>
        <v>N/A</v>
      </c>
      <c r="Y2076" s="1" t="str">
        <f>IF(Table1[[#This Row],[Std Read]]="","N/A",Table1[[#This Row],[Std Read]]+Table1[[#This Row],[Std Ucty]])</f>
        <v>N/A</v>
      </c>
      <c r="Z20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6" s="1" t="str">
        <f>IF(Table1[[#This Row],[Spec Type]]="","N/A",Table1[[#This Row],[Spec Type]])</f>
        <v>±</v>
      </c>
      <c r="AC2076" s="1" t="str">
        <f>IF(Table1[[#This Row],[Spec Type2]]="N/A","N/A",IF(AND(Table1[[#This Row],[DUT Adj Read]]&gt;=Table1[[#This Row],[Low Tol]],Table1[[#This Row],[DUT Adj Read]]&lt;=Table1[[#This Row],[High Tol]]),"Pass","Fail"))</f>
        <v>Fail</v>
      </c>
      <c r="AD2076" s="1" t="str">
        <f>IF(AND(Table1[[#This Row],[Spec Type2]]="N/A",Table1[[#This Row],[DUT Adj Read]]="N/A",Table1[[#This Row],[Std Adj Read]]="N/A"),"N/A",IF(Table1[[#This Row],[DUT Adj Read]]="N/A",IF(Table1[[#This Row],[Std Adj Read]]&gt;Table1[[#This Row],[Low Tol]],"Pass","Fail"),IF(Table1[[#This Row],[DUT Adj Read]]&gt;Table1[[#This Row],[Low Tol]],"Pass","Fail")))</f>
        <v>Pass</v>
      </c>
      <c r="AE2076" s="1" t="str">
        <f>IF(AND(Table1[[#This Row],[Spec Type2]]="N/A",Table1[[#This Row],[DUT Adj Read]]="N/A",Table1[[#This Row],[Std Adj Read]]="N/A"),"N/A",IF(Table1[[#This Row],[DUT Adj Read]]="N/A",IF(Table1[[#This Row],[Std Adj Read]]&lt;Table1[[#This Row],[High Tol]],"Pass","Fail"),IF(Table1[[#This Row],[DUT Adj Read]]&lt;Table1[[#This Row],[High Tol]],"Pass","Fail")))</f>
        <v>Fail</v>
      </c>
      <c r="AF2076" s="1" t="str">
        <f>IF(AND(Table1[[#This Row],[Spec Type2]]="N/A",Table1[[#This Row],[DUT Adj Read]]="N/A",Table1[[#This Row],[Std Adj Read]]="N/A"),"N/A",IF(Table1[[#This Row],[DUT Adj Read]]="N/A",IF(Table1[[#This Row],[Std Adj Read]]&gt;=Table1[[#This Row],[Low Tol]],"Pass","Fail"),IF(Table1[[#This Row],[DUT Adj Read]]&gt;=Table1[[#This Row],[Low Tol]],"Pass","Fail")))</f>
        <v>Pass</v>
      </c>
      <c r="AG2076" s="1" t="str">
        <f>IF(AND(Table1[[#This Row],[Spec Type2]]="N/A",Table1[[#This Row],[DUT Adj Read]]="N/A",Table1[[#This Row],[Std Adj Read]]="N/A"),"N/A",IF(Table1[[#This Row],[DUT Adj Read]]="N/A",IF(Table1[[#This Row],[Std Adj Read]]&lt;=Table1[[#This Row],[High Tol]],"Pass","Fail"),IF(Table1[[#This Row],[DUT Adj Read]]&lt;=Table1[[#This Row],[High Tol]],"Pass","Fail")))</f>
        <v>Fail</v>
      </c>
      <c r="AH20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6" s="1" t="b">
        <v>0</v>
      </c>
      <c r="AN2076" s="1" t="b">
        <v>0</v>
      </c>
      <c r="AO2076" s="1" t="b">
        <v>0</v>
      </c>
    </row>
    <row r="2077" spans="1:41" x14ac:dyDescent="0.25">
      <c r="A2077" s="10"/>
      <c r="B2077" s="10"/>
      <c r="C2077" s="10"/>
      <c r="D2077" s="10"/>
      <c r="E2077" s="10"/>
      <c r="F2077" s="10"/>
      <c r="G2077" s="10"/>
      <c r="H2077" s="10"/>
      <c r="I2077" s="1" t="str">
        <f t="shared" si="96"/>
        <v/>
      </c>
      <c r="J2077" s="1" t="s">
        <v>35</v>
      </c>
      <c r="K2077" s="1" t="str">
        <f t="shared" si="97"/>
        <v/>
      </c>
      <c r="L2077" s="1" t="str">
        <f t="shared" si="98"/>
        <v/>
      </c>
      <c r="M2077" s="1">
        <f>IF(OR(Table1[[#This Row],[Std Nom]]="",Table1[[#This Row],[Std Read]]=""),0,Table1[[#This Row],[Std Nom]]-Table1[[#This Row],[Std Read]])</f>
        <v>0</v>
      </c>
      <c r="N2077" s="1">
        <f>IF(Calculations!$F$5="ACCREDITED 17025 WITH UNCERTAINTIES",$N$10,0)</f>
        <v>0</v>
      </c>
      <c r="Q2077" s="1">
        <f>Table1[[#This Row],[High Tol]]-Table1[[#This Row],[Low Tol]]</f>
        <v>0</v>
      </c>
      <c r="R2077" s="1">
        <f>2*Table1[[#This Row],[Std Error]]</f>
        <v>0</v>
      </c>
      <c r="S2077" s="1" t="str">
        <f>IF(Table1[[#This Row],[High Tol]]="","N/A",IFERROR(ABS(Table1[[#This Row],[Tol Span]]/Table1[[#This Row],[Error Span]]),"N/A"))</f>
        <v>N/A</v>
      </c>
      <c r="T2077" s="1" t="str">
        <f>IF(OR(Table1[[#This Row],[Low Tol]]="",Table1[[#This Row],[High Tol]]=""),"Needs Analysis",IF(Table1[[#This Row],[Ratio]]&gt;=4,"Not Significant",IF(Table1[[#This Row],[Ratio]]&gt;=2,"Semi-Significant","Significant")))</f>
        <v>Needs Analysis</v>
      </c>
      <c r="W2077" s="1">
        <f>IF(Table1[[#This Row],[Cal Type]]&lt;&gt;"ACCREDITED 17025 WITH UNCERTAINTIES",0,"")</f>
        <v>0</v>
      </c>
      <c r="X2077" s="1" t="str">
        <f>IF(Table1[[#This Row],[DUT Read]]="","N/A",Table1[[#This Row],[Std Error]]+Table1[[#This Row],[DUT Read]]+Table1[[#This Row],[DUT Ucty]])</f>
        <v>N/A</v>
      </c>
      <c r="Y2077" s="1" t="str">
        <f>IF(Table1[[#This Row],[Std Read]]="","N/A",Table1[[#This Row],[Std Read]]+Table1[[#This Row],[Std Ucty]])</f>
        <v>N/A</v>
      </c>
      <c r="Z20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7" s="1" t="str">
        <f>IF(Table1[[#This Row],[Spec Type]]="","N/A",Table1[[#This Row],[Spec Type]])</f>
        <v>±</v>
      </c>
      <c r="AC2077" s="1" t="str">
        <f>IF(Table1[[#This Row],[Spec Type2]]="N/A","N/A",IF(AND(Table1[[#This Row],[DUT Adj Read]]&gt;=Table1[[#This Row],[Low Tol]],Table1[[#This Row],[DUT Adj Read]]&lt;=Table1[[#This Row],[High Tol]]),"Pass","Fail"))</f>
        <v>Fail</v>
      </c>
      <c r="AD2077" s="1" t="str">
        <f>IF(AND(Table1[[#This Row],[Spec Type2]]="N/A",Table1[[#This Row],[DUT Adj Read]]="N/A",Table1[[#This Row],[Std Adj Read]]="N/A"),"N/A",IF(Table1[[#This Row],[DUT Adj Read]]="N/A",IF(Table1[[#This Row],[Std Adj Read]]&gt;Table1[[#This Row],[Low Tol]],"Pass","Fail"),IF(Table1[[#This Row],[DUT Adj Read]]&gt;Table1[[#This Row],[Low Tol]],"Pass","Fail")))</f>
        <v>Pass</v>
      </c>
      <c r="AE2077" s="1" t="str">
        <f>IF(AND(Table1[[#This Row],[Spec Type2]]="N/A",Table1[[#This Row],[DUT Adj Read]]="N/A",Table1[[#This Row],[Std Adj Read]]="N/A"),"N/A",IF(Table1[[#This Row],[DUT Adj Read]]="N/A",IF(Table1[[#This Row],[Std Adj Read]]&lt;Table1[[#This Row],[High Tol]],"Pass","Fail"),IF(Table1[[#This Row],[DUT Adj Read]]&lt;Table1[[#This Row],[High Tol]],"Pass","Fail")))</f>
        <v>Fail</v>
      </c>
      <c r="AF2077" s="1" t="str">
        <f>IF(AND(Table1[[#This Row],[Spec Type2]]="N/A",Table1[[#This Row],[DUT Adj Read]]="N/A",Table1[[#This Row],[Std Adj Read]]="N/A"),"N/A",IF(Table1[[#This Row],[DUT Adj Read]]="N/A",IF(Table1[[#This Row],[Std Adj Read]]&gt;=Table1[[#This Row],[Low Tol]],"Pass","Fail"),IF(Table1[[#This Row],[DUT Adj Read]]&gt;=Table1[[#This Row],[Low Tol]],"Pass","Fail")))</f>
        <v>Pass</v>
      </c>
      <c r="AG2077" s="1" t="str">
        <f>IF(AND(Table1[[#This Row],[Spec Type2]]="N/A",Table1[[#This Row],[DUT Adj Read]]="N/A",Table1[[#This Row],[Std Adj Read]]="N/A"),"N/A",IF(Table1[[#This Row],[DUT Adj Read]]="N/A",IF(Table1[[#This Row],[Std Adj Read]]&lt;=Table1[[#This Row],[High Tol]],"Pass","Fail"),IF(Table1[[#This Row],[DUT Adj Read]]&lt;=Table1[[#This Row],[High Tol]],"Pass","Fail")))</f>
        <v>Fail</v>
      </c>
      <c r="AH20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7" s="1" t="b">
        <v>0</v>
      </c>
      <c r="AN2077" s="1" t="b">
        <v>0</v>
      </c>
      <c r="AO2077" s="1" t="b">
        <v>0</v>
      </c>
    </row>
    <row r="2078" spans="1:41" x14ac:dyDescent="0.25">
      <c r="A2078" s="10"/>
      <c r="B2078" s="10"/>
      <c r="C2078" s="10"/>
      <c r="D2078" s="10"/>
      <c r="E2078" s="10"/>
      <c r="F2078" s="10"/>
      <c r="G2078" s="10"/>
      <c r="H2078" s="10"/>
      <c r="I2078" s="1" t="str">
        <f t="shared" si="96"/>
        <v/>
      </c>
      <c r="J2078" s="1" t="s">
        <v>35</v>
      </c>
      <c r="K2078" s="1" t="str">
        <f t="shared" si="97"/>
        <v/>
      </c>
      <c r="L2078" s="1" t="str">
        <f t="shared" si="98"/>
        <v/>
      </c>
      <c r="M2078" s="1">
        <f>IF(OR(Table1[[#This Row],[Std Nom]]="",Table1[[#This Row],[Std Read]]=""),0,Table1[[#This Row],[Std Nom]]-Table1[[#This Row],[Std Read]])</f>
        <v>0</v>
      </c>
      <c r="N2078" s="1">
        <f>IF(Calculations!$F$5="ACCREDITED 17025 WITH UNCERTAINTIES",$N$10,0)</f>
        <v>0</v>
      </c>
      <c r="Q2078" s="1">
        <f>Table1[[#This Row],[High Tol]]-Table1[[#This Row],[Low Tol]]</f>
        <v>0</v>
      </c>
      <c r="R2078" s="1">
        <f>2*Table1[[#This Row],[Std Error]]</f>
        <v>0</v>
      </c>
      <c r="S2078" s="1" t="str">
        <f>IF(Table1[[#This Row],[High Tol]]="","N/A",IFERROR(ABS(Table1[[#This Row],[Tol Span]]/Table1[[#This Row],[Error Span]]),"N/A"))</f>
        <v>N/A</v>
      </c>
      <c r="T2078" s="1" t="str">
        <f>IF(OR(Table1[[#This Row],[Low Tol]]="",Table1[[#This Row],[High Tol]]=""),"Needs Analysis",IF(Table1[[#This Row],[Ratio]]&gt;=4,"Not Significant",IF(Table1[[#This Row],[Ratio]]&gt;=2,"Semi-Significant","Significant")))</f>
        <v>Needs Analysis</v>
      </c>
      <c r="W2078" s="1">
        <f>IF(Table1[[#This Row],[Cal Type]]&lt;&gt;"ACCREDITED 17025 WITH UNCERTAINTIES",0,"")</f>
        <v>0</v>
      </c>
      <c r="X2078" s="1" t="str">
        <f>IF(Table1[[#This Row],[DUT Read]]="","N/A",Table1[[#This Row],[Std Error]]+Table1[[#This Row],[DUT Read]]+Table1[[#This Row],[DUT Ucty]])</f>
        <v>N/A</v>
      </c>
      <c r="Y2078" s="1" t="str">
        <f>IF(Table1[[#This Row],[Std Read]]="","N/A",Table1[[#This Row],[Std Read]]+Table1[[#This Row],[Std Ucty]])</f>
        <v>N/A</v>
      </c>
      <c r="Z20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8" s="1" t="str">
        <f>IF(Table1[[#This Row],[Spec Type]]="","N/A",Table1[[#This Row],[Spec Type]])</f>
        <v>±</v>
      </c>
      <c r="AC2078" s="1" t="str">
        <f>IF(Table1[[#This Row],[Spec Type2]]="N/A","N/A",IF(AND(Table1[[#This Row],[DUT Adj Read]]&gt;=Table1[[#This Row],[Low Tol]],Table1[[#This Row],[DUT Adj Read]]&lt;=Table1[[#This Row],[High Tol]]),"Pass","Fail"))</f>
        <v>Fail</v>
      </c>
      <c r="AD2078" s="1" t="str">
        <f>IF(AND(Table1[[#This Row],[Spec Type2]]="N/A",Table1[[#This Row],[DUT Adj Read]]="N/A",Table1[[#This Row],[Std Adj Read]]="N/A"),"N/A",IF(Table1[[#This Row],[DUT Adj Read]]="N/A",IF(Table1[[#This Row],[Std Adj Read]]&gt;Table1[[#This Row],[Low Tol]],"Pass","Fail"),IF(Table1[[#This Row],[DUT Adj Read]]&gt;Table1[[#This Row],[Low Tol]],"Pass","Fail")))</f>
        <v>Pass</v>
      </c>
      <c r="AE2078" s="1" t="str">
        <f>IF(AND(Table1[[#This Row],[Spec Type2]]="N/A",Table1[[#This Row],[DUT Adj Read]]="N/A",Table1[[#This Row],[Std Adj Read]]="N/A"),"N/A",IF(Table1[[#This Row],[DUT Adj Read]]="N/A",IF(Table1[[#This Row],[Std Adj Read]]&lt;Table1[[#This Row],[High Tol]],"Pass","Fail"),IF(Table1[[#This Row],[DUT Adj Read]]&lt;Table1[[#This Row],[High Tol]],"Pass","Fail")))</f>
        <v>Fail</v>
      </c>
      <c r="AF2078" s="1" t="str">
        <f>IF(AND(Table1[[#This Row],[Spec Type2]]="N/A",Table1[[#This Row],[DUT Adj Read]]="N/A",Table1[[#This Row],[Std Adj Read]]="N/A"),"N/A",IF(Table1[[#This Row],[DUT Adj Read]]="N/A",IF(Table1[[#This Row],[Std Adj Read]]&gt;=Table1[[#This Row],[Low Tol]],"Pass","Fail"),IF(Table1[[#This Row],[DUT Adj Read]]&gt;=Table1[[#This Row],[Low Tol]],"Pass","Fail")))</f>
        <v>Pass</v>
      </c>
      <c r="AG2078" s="1" t="str">
        <f>IF(AND(Table1[[#This Row],[Spec Type2]]="N/A",Table1[[#This Row],[DUT Adj Read]]="N/A",Table1[[#This Row],[Std Adj Read]]="N/A"),"N/A",IF(Table1[[#This Row],[DUT Adj Read]]="N/A",IF(Table1[[#This Row],[Std Adj Read]]&lt;=Table1[[#This Row],[High Tol]],"Pass","Fail"),IF(Table1[[#This Row],[DUT Adj Read]]&lt;=Table1[[#This Row],[High Tol]],"Pass","Fail")))</f>
        <v>Fail</v>
      </c>
      <c r="AH20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8" s="1" t="b">
        <v>0</v>
      </c>
      <c r="AN2078" s="1" t="b">
        <v>0</v>
      </c>
      <c r="AO2078" s="1" t="b">
        <v>0</v>
      </c>
    </row>
    <row r="2079" spans="1:41" x14ac:dyDescent="0.25">
      <c r="A2079" s="10"/>
      <c r="B2079" s="10"/>
      <c r="C2079" s="10"/>
      <c r="D2079" s="10"/>
      <c r="E2079" s="10"/>
      <c r="F2079" s="10"/>
      <c r="G2079" s="10"/>
      <c r="H2079" s="10"/>
      <c r="I2079" s="1" t="str">
        <f t="shared" si="96"/>
        <v/>
      </c>
      <c r="J2079" s="1" t="s">
        <v>35</v>
      </c>
      <c r="K2079" s="1" t="str">
        <f t="shared" si="97"/>
        <v/>
      </c>
      <c r="L2079" s="1" t="str">
        <f t="shared" si="98"/>
        <v/>
      </c>
      <c r="M2079" s="1">
        <f>IF(OR(Table1[[#This Row],[Std Nom]]="",Table1[[#This Row],[Std Read]]=""),0,Table1[[#This Row],[Std Nom]]-Table1[[#This Row],[Std Read]])</f>
        <v>0</v>
      </c>
      <c r="N2079" s="1">
        <f>IF(Calculations!$F$5="ACCREDITED 17025 WITH UNCERTAINTIES",$N$10,0)</f>
        <v>0</v>
      </c>
      <c r="Q2079" s="1">
        <f>Table1[[#This Row],[High Tol]]-Table1[[#This Row],[Low Tol]]</f>
        <v>0</v>
      </c>
      <c r="R2079" s="1">
        <f>2*Table1[[#This Row],[Std Error]]</f>
        <v>0</v>
      </c>
      <c r="S2079" s="1" t="str">
        <f>IF(Table1[[#This Row],[High Tol]]="","N/A",IFERROR(ABS(Table1[[#This Row],[Tol Span]]/Table1[[#This Row],[Error Span]]),"N/A"))</f>
        <v>N/A</v>
      </c>
      <c r="T2079" s="1" t="str">
        <f>IF(OR(Table1[[#This Row],[Low Tol]]="",Table1[[#This Row],[High Tol]]=""),"Needs Analysis",IF(Table1[[#This Row],[Ratio]]&gt;=4,"Not Significant",IF(Table1[[#This Row],[Ratio]]&gt;=2,"Semi-Significant","Significant")))</f>
        <v>Needs Analysis</v>
      </c>
      <c r="W2079" s="1">
        <f>IF(Table1[[#This Row],[Cal Type]]&lt;&gt;"ACCREDITED 17025 WITH UNCERTAINTIES",0,"")</f>
        <v>0</v>
      </c>
      <c r="X2079" s="1" t="str">
        <f>IF(Table1[[#This Row],[DUT Read]]="","N/A",Table1[[#This Row],[Std Error]]+Table1[[#This Row],[DUT Read]]+Table1[[#This Row],[DUT Ucty]])</f>
        <v>N/A</v>
      </c>
      <c r="Y2079" s="1" t="str">
        <f>IF(Table1[[#This Row],[Std Read]]="","N/A",Table1[[#This Row],[Std Read]]+Table1[[#This Row],[Std Ucty]])</f>
        <v>N/A</v>
      </c>
      <c r="Z20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79" s="1" t="str">
        <f>IF(Table1[[#This Row],[Spec Type]]="","N/A",Table1[[#This Row],[Spec Type]])</f>
        <v>±</v>
      </c>
      <c r="AC2079" s="1" t="str">
        <f>IF(Table1[[#This Row],[Spec Type2]]="N/A","N/A",IF(AND(Table1[[#This Row],[DUT Adj Read]]&gt;=Table1[[#This Row],[Low Tol]],Table1[[#This Row],[DUT Adj Read]]&lt;=Table1[[#This Row],[High Tol]]),"Pass","Fail"))</f>
        <v>Fail</v>
      </c>
      <c r="AD2079" s="1" t="str">
        <f>IF(AND(Table1[[#This Row],[Spec Type2]]="N/A",Table1[[#This Row],[DUT Adj Read]]="N/A",Table1[[#This Row],[Std Adj Read]]="N/A"),"N/A",IF(Table1[[#This Row],[DUT Adj Read]]="N/A",IF(Table1[[#This Row],[Std Adj Read]]&gt;Table1[[#This Row],[Low Tol]],"Pass","Fail"),IF(Table1[[#This Row],[DUT Adj Read]]&gt;Table1[[#This Row],[Low Tol]],"Pass","Fail")))</f>
        <v>Pass</v>
      </c>
      <c r="AE2079" s="1" t="str">
        <f>IF(AND(Table1[[#This Row],[Spec Type2]]="N/A",Table1[[#This Row],[DUT Adj Read]]="N/A",Table1[[#This Row],[Std Adj Read]]="N/A"),"N/A",IF(Table1[[#This Row],[DUT Adj Read]]="N/A",IF(Table1[[#This Row],[Std Adj Read]]&lt;Table1[[#This Row],[High Tol]],"Pass","Fail"),IF(Table1[[#This Row],[DUT Adj Read]]&lt;Table1[[#This Row],[High Tol]],"Pass","Fail")))</f>
        <v>Fail</v>
      </c>
      <c r="AF2079" s="1" t="str">
        <f>IF(AND(Table1[[#This Row],[Spec Type2]]="N/A",Table1[[#This Row],[DUT Adj Read]]="N/A",Table1[[#This Row],[Std Adj Read]]="N/A"),"N/A",IF(Table1[[#This Row],[DUT Adj Read]]="N/A",IF(Table1[[#This Row],[Std Adj Read]]&gt;=Table1[[#This Row],[Low Tol]],"Pass","Fail"),IF(Table1[[#This Row],[DUT Adj Read]]&gt;=Table1[[#This Row],[Low Tol]],"Pass","Fail")))</f>
        <v>Pass</v>
      </c>
      <c r="AG2079" s="1" t="str">
        <f>IF(AND(Table1[[#This Row],[Spec Type2]]="N/A",Table1[[#This Row],[DUT Adj Read]]="N/A",Table1[[#This Row],[Std Adj Read]]="N/A"),"N/A",IF(Table1[[#This Row],[DUT Adj Read]]="N/A",IF(Table1[[#This Row],[Std Adj Read]]&lt;=Table1[[#This Row],[High Tol]],"Pass","Fail"),IF(Table1[[#This Row],[DUT Adj Read]]&lt;=Table1[[#This Row],[High Tol]],"Pass","Fail")))</f>
        <v>Fail</v>
      </c>
      <c r="AH20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79" s="1" t="b">
        <v>0</v>
      </c>
      <c r="AN2079" s="1" t="b">
        <v>0</v>
      </c>
      <c r="AO2079" s="1" t="b">
        <v>0</v>
      </c>
    </row>
    <row r="2080" spans="1:41" x14ac:dyDescent="0.25">
      <c r="A2080" s="10"/>
      <c r="B2080" s="10"/>
      <c r="C2080" s="10"/>
      <c r="D2080" s="10"/>
      <c r="E2080" s="10"/>
      <c r="F2080" s="10"/>
      <c r="G2080" s="10"/>
      <c r="H2080" s="10"/>
      <c r="I2080" s="1" t="str">
        <f t="shared" si="96"/>
        <v/>
      </c>
      <c r="J2080" s="1" t="s">
        <v>35</v>
      </c>
      <c r="K2080" s="1" t="str">
        <f t="shared" si="97"/>
        <v/>
      </c>
      <c r="L2080" s="1" t="str">
        <f t="shared" si="98"/>
        <v/>
      </c>
      <c r="M2080" s="1">
        <f>IF(OR(Table1[[#This Row],[Std Nom]]="",Table1[[#This Row],[Std Read]]=""),0,Table1[[#This Row],[Std Nom]]-Table1[[#This Row],[Std Read]])</f>
        <v>0</v>
      </c>
      <c r="N2080" s="1">
        <f>IF(Calculations!$F$5="ACCREDITED 17025 WITH UNCERTAINTIES",$N$10,0)</f>
        <v>0</v>
      </c>
      <c r="Q2080" s="1">
        <f>Table1[[#This Row],[High Tol]]-Table1[[#This Row],[Low Tol]]</f>
        <v>0</v>
      </c>
      <c r="R2080" s="1">
        <f>2*Table1[[#This Row],[Std Error]]</f>
        <v>0</v>
      </c>
      <c r="S2080" s="1" t="str">
        <f>IF(Table1[[#This Row],[High Tol]]="","N/A",IFERROR(ABS(Table1[[#This Row],[Tol Span]]/Table1[[#This Row],[Error Span]]),"N/A"))</f>
        <v>N/A</v>
      </c>
      <c r="T2080" s="1" t="str">
        <f>IF(OR(Table1[[#This Row],[Low Tol]]="",Table1[[#This Row],[High Tol]]=""),"Needs Analysis",IF(Table1[[#This Row],[Ratio]]&gt;=4,"Not Significant",IF(Table1[[#This Row],[Ratio]]&gt;=2,"Semi-Significant","Significant")))</f>
        <v>Needs Analysis</v>
      </c>
      <c r="W2080" s="1">
        <f>IF(Table1[[#This Row],[Cal Type]]&lt;&gt;"ACCREDITED 17025 WITH UNCERTAINTIES",0,"")</f>
        <v>0</v>
      </c>
      <c r="X2080" s="1" t="str">
        <f>IF(Table1[[#This Row],[DUT Read]]="","N/A",Table1[[#This Row],[Std Error]]+Table1[[#This Row],[DUT Read]]+Table1[[#This Row],[DUT Ucty]])</f>
        <v>N/A</v>
      </c>
      <c r="Y2080" s="1" t="str">
        <f>IF(Table1[[#This Row],[Std Read]]="","N/A",Table1[[#This Row],[Std Read]]+Table1[[#This Row],[Std Ucty]])</f>
        <v>N/A</v>
      </c>
      <c r="Z20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0" s="1" t="str">
        <f>IF(Table1[[#This Row],[Spec Type]]="","N/A",Table1[[#This Row],[Spec Type]])</f>
        <v>±</v>
      </c>
      <c r="AC2080" s="1" t="str">
        <f>IF(Table1[[#This Row],[Spec Type2]]="N/A","N/A",IF(AND(Table1[[#This Row],[DUT Adj Read]]&gt;=Table1[[#This Row],[Low Tol]],Table1[[#This Row],[DUT Adj Read]]&lt;=Table1[[#This Row],[High Tol]]),"Pass","Fail"))</f>
        <v>Fail</v>
      </c>
      <c r="AD2080" s="1" t="str">
        <f>IF(AND(Table1[[#This Row],[Spec Type2]]="N/A",Table1[[#This Row],[DUT Adj Read]]="N/A",Table1[[#This Row],[Std Adj Read]]="N/A"),"N/A",IF(Table1[[#This Row],[DUT Adj Read]]="N/A",IF(Table1[[#This Row],[Std Adj Read]]&gt;Table1[[#This Row],[Low Tol]],"Pass","Fail"),IF(Table1[[#This Row],[DUT Adj Read]]&gt;Table1[[#This Row],[Low Tol]],"Pass","Fail")))</f>
        <v>Pass</v>
      </c>
      <c r="AE2080" s="1" t="str">
        <f>IF(AND(Table1[[#This Row],[Spec Type2]]="N/A",Table1[[#This Row],[DUT Adj Read]]="N/A",Table1[[#This Row],[Std Adj Read]]="N/A"),"N/A",IF(Table1[[#This Row],[DUT Adj Read]]="N/A",IF(Table1[[#This Row],[Std Adj Read]]&lt;Table1[[#This Row],[High Tol]],"Pass","Fail"),IF(Table1[[#This Row],[DUT Adj Read]]&lt;Table1[[#This Row],[High Tol]],"Pass","Fail")))</f>
        <v>Fail</v>
      </c>
      <c r="AF2080" s="1" t="str">
        <f>IF(AND(Table1[[#This Row],[Spec Type2]]="N/A",Table1[[#This Row],[DUT Adj Read]]="N/A",Table1[[#This Row],[Std Adj Read]]="N/A"),"N/A",IF(Table1[[#This Row],[DUT Adj Read]]="N/A",IF(Table1[[#This Row],[Std Adj Read]]&gt;=Table1[[#This Row],[Low Tol]],"Pass","Fail"),IF(Table1[[#This Row],[DUT Adj Read]]&gt;=Table1[[#This Row],[Low Tol]],"Pass","Fail")))</f>
        <v>Pass</v>
      </c>
      <c r="AG2080" s="1" t="str">
        <f>IF(AND(Table1[[#This Row],[Spec Type2]]="N/A",Table1[[#This Row],[DUT Adj Read]]="N/A",Table1[[#This Row],[Std Adj Read]]="N/A"),"N/A",IF(Table1[[#This Row],[DUT Adj Read]]="N/A",IF(Table1[[#This Row],[Std Adj Read]]&lt;=Table1[[#This Row],[High Tol]],"Pass","Fail"),IF(Table1[[#This Row],[DUT Adj Read]]&lt;=Table1[[#This Row],[High Tol]],"Pass","Fail")))</f>
        <v>Fail</v>
      </c>
      <c r="AH20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0" s="1" t="b">
        <v>0</v>
      </c>
      <c r="AN2080" s="1" t="b">
        <v>0</v>
      </c>
      <c r="AO2080" s="1" t="b">
        <v>0</v>
      </c>
    </row>
    <row r="2081" spans="1:41" x14ac:dyDescent="0.25">
      <c r="A2081" s="10"/>
      <c r="B2081" s="10"/>
      <c r="C2081" s="10"/>
      <c r="D2081" s="10"/>
      <c r="E2081" s="10"/>
      <c r="F2081" s="10"/>
      <c r="G2081" s="10"/>
      <c r="H2081" s="10"/>
      <c r="I2081" s="1" t="str">
        <f t="shared" si="96"/>
        <v/>
      </c>
      <c r="J2081" s="1" t="s">
        <v>35</v>
      </c>
      <c r="K2081" s="1" t="str">
        <f t="shared" si="97"/>
        <v/>
      </c>
      <c r="L2081" s="1" t="str">
        <f t="shared" si="98"/>
        <v/>
      </c>
      <c r="M2081" s="1">
        <f>IF(OR(Table1[[#This Row],[Std Nom]]="",Table1[[#This Row],[Std Read]]=""),0,Table1[[#This Row],[Std Nom]]-Table1[[#This Row],[Std Read]])</f>
        <v>0</v>
      </c>
      <c r="N2081" s="1">
        <f>IF(Calculations!$F$5="ACCREDITED 17025 WITH UNCERTAINTIES",$N$10,0)</f>
        <v>0</v>
      </c>
      <c r="Q2081" s="1">
        <f>Table1[[#This Row],[High Tol]]-Table1[[#This Row],[Low Tol]]</f>
        <v>0</v>
      </c>
      <c r="R2081" s="1">
        <f>2*Table1[[#This Row],[Std Error]]</f>
        <v>0</v>
      </c>
      <c r="S2081" s="1" t="str">
        <f>IF(Table1[[#This Row],[High Tol]]="","N/A",IFERROR(ABS(Table1[[#This Row],[Tol Span]]/Table1[[#This Row],[Error Span]]),"N/A"))</f>
        <v>N/A</v>
      </c>
      <c r="T2081" s="1" t="str">
        <f>IF(OR(Table1[[#This Row],[Low Tol]]="",Table1[[#This Row],[High Tol]]=""),"Needs Analysis",IF(Table1[[#This Row],[Ratio]]&gt;=4,"Not Significant",IF(Table1[[#This Row],[Ratio]]&gt;=2,"Semi-Significant","Significant")))</f>
        <v>Needs Analysis</v>
      </c>
      <c r="W2081" s="1">
        <f>IF(Table1[[#This Row],[Cal Type]]&lt;&gt;"ACCREDITED 17025 WITH UNCERTAINTIES",0,"")</f>
        <v>0</v>
      </c>
      <c r="X2081" s="1" t="str">
        <f>IF(Table1[[#This Row],[DUT Read]]="","N/A",Table1[[#This Row],[Std Error]]+Table1[[#This Row],[DUT Read]]+Table1[[#This Row],[DUT Ucty]])</f>
        <v>N/A</v>
      </c>
      <c r="Y2081" s="1" t="str">
        <f>IF(Table1[[#This Row],[Std Read]]="","N/A",Table1[[#This Row],[Std Read]]+Table1[[#This Row],[Std Ucty]])</f>
        <v>N/A</v>
      </c>
      <c r="Z20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1" s="1" t="str">
        <f>IF(Table1[[#This Row],[Spec Type]]="","N/A",Table1[[#This Row],[Spec Type]])</f>
        <v>±</v>
      </c>
      <c r="AC2081" s="1" t="str">
        <f>IF(Table1[[#This Row],[Spec Type2]]="N/A","N/A",IF(AND(Table1[[#This Row],[DUT Adj Read]]&gt;=Table1[[#This Row],[Low Tol]],Table1[[#This Row],[DUT Adj Read]]&lt;=Table1[[#This Row],[High Tol]]),"Pass","Fail"))</f>
        <v>Fail</v>
      </c>
      <c r="AD2081" s="1" t="str">
        <f>IF(AND(Table1[[#This Row],[Spec Type2]]="N/A",Table1[[#This Row],[DUT Adj Read]]="N/A",Table1[[#This Row],[Std Adj Read]]="N/A"),"N/A",IF(Table1[[#This Row],[DUT Adj Read]]="N/A",IF(Table1[[#This Row],[Std Adj Read]]&gt;Table1[[#This Row],[Low Tol]],"Pass","Fail"),IF(Table1[[#This Row],[DUT Adj Read]]&gt;Table1[[#This Row],[Low Tol]],"Pass","Fail")))</f>
        <v>Pass</v>
      </c>
      <c r="AE2081" s="1" t="str">
        <f>IF(AND(Table1[[#This Row],[Spec Type2]]="N/A",Table1[[#This Row],[DUT Adj Read]]="N/A",Table1[[#This Row],[Std Adj Read]]="N/A"),"N/A",IF(Table1[[#This Row],[DUT Adj Read]]="N/A",IF(Table1[[#This Row],[Std Adj Read]]&lt;Table1[[#This Row],[High Tol]],"Pass","Fail"),IF(Table1[[#This Row],[DUT Adj Read]]&lt;Table1[[#This Row],[High Tol]],"Pass","Fail")))</f>
        <v>Fail</v>
      </c>
      <c r="AF2081" s="1" t="str">
        <f>IF(AND(Table1[[#This Row],[Spec Type2]]="N/A",Table1[[#This Row],[DUT Adj Read]]="N/A",Table1[[#This Row],[Std Adj Read]]="N/A"),"N/A",IF(Table1[[#This Row],[DUT Adj Read]]="N/A",IF(Table1[[#This Row],[Std Adj Read]]&gt;=Table1[[#This Row],[Low Tol]],"Pass","Fail"),IF(Table1[[#This Row],[DUT Adj Read]]&gt;=Table1[[#This Row],[Low Tol]],"Pass","Fail")))</f>
        <v>Pass</v>
      </c>
      <c r="AG2081" s="1" t="str">
        <f>IF(AND(Table1[[#This Row],[Spec Type2]]="N/A",Table1[[#This Row],[DUT Adj Read]]="N/A",Table1[[#This Row],[Std Adj Read]]="N/A"),"N/A",IF(Table1[[#This Row],[DUT Adj Read]]="N/A",IF(Table1[[#This Row],[Std Adj Read]]&lt;=Table1[[#This Row],[High Tol]],"Pass","Fail"),IF(Table1[[#This Row],[DUT Adj Read]]&lt;=Table1[[#This Row],[High Tol]],"Pass","Fail")))</f>
        <v>Fail</v>
      </c>
      <c r="AH20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1" s="1" t="b">
        <v>0</v>
      </c>
      <c r="AN2081" s="1" t="b">
        <v>0</v>
      </c>
      <c r="AO2081" s="1" t="b">
        <v>0</v>
      </c>
    </row>
    <row r="2082" spans="1:41" x14ac:dyDescent="0.25">
      <c r="A2082" s="10"/>
      <c r="B2082" s="10"/>
      <c r="C2082" s="10"/>
      <c r="D2082" s="10"/>
      <c r="E2082" s="10"/>
      <c r="F2082" s="10"/>
      <c r="G2082" s="10"/>
      <c r="H2082" s="10"/>
      <c r="I2082" s="1" t="str">
        <f t="shared" si="96"/>
        <v/>
      </c>
      <c r="J2082" s="1" t="s">
        <v>35</v>
      </c>
      <c r="K2082" s="1" t="str">
        <f t="shared" si="97"/>
        <v/>
      </c>
      <c r="L2082" s="1" t="str">
        <f t="shared" si="98"/>
        <v/>
      </c>
      <c r="M2082" s="1">
        <f>IF(OR(Table1[[#This Row],[Std Nom]]="",Table1[[#This Row],[Std Read]]=""),0,Table1[[#This Row],[Std Nom]]-Table1[[#This Row],[Std Read]])</f>
        <v>0</v>
      </c>
      <c r="N2082" s="1">
        <f>IF(Calculations!$F$5="ACCREDITED 17025 WITH UNCERTAINTIES",$N$10,0)</f>
        <v>0</v>
      </c>
      <c r="Q2082" s="1">
        <f>Table1[[#This Row],[High Tol]]-Table1[[#This Row],[Low Tol]]</f>
        <v>0</v>
      </c>
      <c r="R2082" s="1">
        <f>2*Table1[[#This Row],[Std Error]]</f>
        <v>0</v>
      </c>
      <c r="S2082" s="1" t="str">
        <f>IF(Table1[[#This Row],[High Tol]]="","N/A",IFERROR(ABS(Table1[[#This Row],[Tol Span]]/Table1[[#This Row],[Error Span]]),"N/A"))</f>
        <v>N/A</v>
      </c>
      <c r="T2082" s="1" t="str">
        <f>IF(OR(Table1[[#This Row],[Low Tol]]="",Table1[[#This Row],[High Tol]]=""),"Needs Analysis",IF(Table1[[#This Row],[Ratio]]&gt;=4,"Not Significant",IF(Table1[[#This Row],[Ratio]]&gt;=2,"Semi-Significant","Significant")))</f>
        <v>Needs Analysis</v>
      </c>
      <c r="W2082" s="1">
        <f>IF(Table1[[#This Row],[Cal Type]]&lt;&gt;"ACCREDITED 17025 WITH UNCERTAINTIES",0,"")</f>
        <v>0</v>
      </c>
      <c r="X2082" s="1" t="str">
        <f>IF(Table1[[#This Row],[DUT Read]]="","N/A",Table1[[#This Row],[Std Error]]+Table1[[#This Row],[DUT Read]]+Table1[[#This Row],[DUT Ucty]])</f>
        <v>N/A</v>
      </c>
      <c r="Y2082" s="1" t="str">
        <f>IF(Table1[[#This Row],[Std Read]]="","N/A",Table1[[#This Row],[Std Read]]+Table1[[#This Row],[Std Ucty]])</f>
        <v>N/A</v>
      </c>
      <c r="Z20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2" s="1" t="str">
        <f>IF(Table1[[#This Row],[Spec Type]]="","N/A",Table1[[#This Row],[Spec Type]])</f>
        <v>±</v>
      </c>
      <c r="AC2082" s="1" t="str">
        <f>IF(Table1[[#This Row],[Spec Type2]]="N/A","N/A",IF(AND(Table1[[#This Row],[DUT Adj Read]]&gt;=Table1[[#This Row],[Low Tol]],Table1[[#This Row],[DUT Adj Read]]&lt;=Table1[[#This Row],[High Tol]]),"Pass","Fail"))</f>
        <v>Fail</v>
      </c>
      <c r="AD2082" s="1" t="str">
        <f>IF(AND(Table1[[#This Row],[Spec Type2]]="N/A",Table1[[#This Row],[DUT Adj Read]]="N/A",Table1[[#This Row],[Std Adj Read]]="N/A"),"N/A",IF(Table1[[#This Row],[DUT Adj Read]]="N/A",IF(Table1[[#This Row],[Std Adj Read]]&gt;Table1[[#This Row],[Low Tol]],"Pass","Fail"),IF(Table1[[#This Row],[DUT Adj Read]]&gt;Table1[[#This Row],[Low Tol]],"Pass","Fail")))</f>
        <v>Pass</v>
      </c>
      <c r="AE2082" s="1" t="str">
        <f>IF(AND(Table1[[#This Row],[Spec Type2]]="N/A",Table1[[#This Row],[DUT Adj Read]]="N/A",Table1[[#This Row],[Std Adj Read]]="N/A"),"N/A",IF(Table1[[#This Row],[DUT Adj Read]]="N/A",IF(Table1[[#This Row],[Std Adj Read]]&lt;Table1[[#This Row],[High Tol]],"Pass","Fail"),IF(Table1[[#This Row],[DUT Adj Read]]&lt;Table1[[#This Row],[High Tol]],"Pass","Fail")))</f>
        <v>Fail</v>
      </c>
      <c r="AF2082" s="1" t="str">
        <f>IF(AND(Table1[[#This Row],[Spec Type2]]="N/A",Table1[[#This Row],[DUT Adj Read]]="N/A",Table1[[#This Row],[Std Adj Read]]="N/A"),"N/A",IF(Table1[[#This Row],[DUT Adj Read]]="N/A",IF(Table1[[#This Row],[Std Adj Read]]&gt;=Table1[[#This Row],[Low Tol]],"Pass","Fail"),IF(Table1[[#This Row],[DUT Adj Read]]&gt;=Table1[[#This Row],[Low Tol]],"Pass","Fail")))</f>
        <v>Pass</v>
      </c>
      <c r="AG2082" s="1" t="str">
        <f>IF(AND(Table1[[#This Row],[Spec Type2]]="N/A",Table1[[#This Row],[DUT Adj Read]]="N/A",Table1[[#This Row],[Std Adj Read]]="N/A"),"N/A",IF(Table1[[#This Row],[DUT Adj Read]]="N/A",IF(Table1[[#This Row],[Std Adj Read]]&lt;=Table1[[#This Row],[High Tol]],"Pass","Fail"),IF(Table1[[#This Row],[DUT Adj Read]]&lt;=Table1[[#This Row],[High Tol]],"Pass","Fail")))</f>
        <v>Fail</v>
      </c>
      <c r="AH20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2" s="1" t="b">
        <v>0</v>
      </c>
      <c r="AN2082" s="1" t="b">
        <v>0</v>
      </c>
      <c r="AO2082" s="1" t="b">
        <v>0</v>
      </c>
    </row>
    <row r="2083" spans="1:41" x14ac:dyDescent="0.25">
      <c r="A2083" s="10"/>
      <c r="B2083" s="10"/>
      <c r="C2083" s="10"/>
      <c r="D2083" s="10"/>
      <c r="E2083" s="10"/>
      <c r="F2083" s="10"/>
      <c r="G2083" s="10"/>
      <c r="H2083" s="10"/>
      <c r="I2083" s="1" t="str">
        <f t="shared" si="96"/>
        <v/>
      </c>
      <c r="J2083" s="1" t="s">
        <v>35</v>
      </c>
      <c r="K2083" s="1" t="str">
        <f t="shared" si="97"/>
        <v/>
      </c>
      <c r="L2083" s="1" t="str">
        <f t="shared" si="98"/>
        <v/>
      </c>
      <c r="M2083" s="1">
        <f>IF(OR(Table1[[#This Row],[Std Nom]]="",Table1[[#This Row],[Std Read]]=""),0,Table1[[#This Row],[Std Nom]]-Table1[[#This Row],[Std Read]])</f>
        <v>0</v>
      </c>
      <c r="N2083" s="1">
        <f>IF(Calculations!$F$5="ACCREDITED 17025 WITH UNCERTAINTIES",$N$10,0)</f>
        <v>0</v>
      </c>
      <c r="Q2083" s="1">
        <f>Table1[[#This Row],[High Tol]]-Table1[[#This Row],[Low Tol]]</f>
        <v>0</v>
      </c>
      <c r="R2083" s="1">
        <f>2*Table1[[#This Row],[Std Error]]</f>
        <v>0</v>
      </c>
      <c r="S2083" s="1" t="str">
        <f>IF(Table1[[#This Row],[High Tol]]="","N/A",IFERROR(ABS(Table1[[#This Row],[Tol Span]]/Table1[[#This Row],[Error Span]]),"N/A"))</f>
        <v>N/A</v>
      </c>
      <c r="T2083" s="1" t="str">
        <f>IF(OR(Table1[[#This Row],[Low Tol]]="",Table1[[#This Row],[High Tol]]=""),"Needs Analysis",IF(Table1[[#This Row],[Ratio]]&gt;=4,"Not Significant",IF(Table1[[#This Row],[Ratio]]&gt;=2,"Semi-Significant","Significant")))</f>
        <v>Needs Analysis</v>
      </c>
      <c r="W2083" s="1">
        <f>IF(Table1[[#This Row],[Cal Type]]&lt;&gt;"ACCREDITED 17025 WITH UNCERTAINTIES",0,"")</f>
        <v>0</v>
      </c>
      <c r="X2083" s="1" t="str">
        <f>IF(Table1[[#This Row],[DUT Read]]="","N/A",Table1[[#This Row],[Std Error]]+Table1[[#This Row],[DUT Read]]+Table1[[#This Row],[DUT Ucty]])</f>
        <v>N/A</v>
      </c>
      <c r="Y2083" s="1" t="str">
        <f>IF(Table1[[#This Row],[Std Read]]="","N/A",Table1[[#This Row],[Std Read]]+Table1[[#This Row],[Std Ucty]])</f>
        <v>N/A</v>
      </c>
      <c r="Z20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3" s="1" t="str">
        <f>IF(Table1[[#This Row],[Spec Type]]="","N/A",Table1[[#This Row],[Spec Type]])</f>
        <v>±</v>
      </c>
      <c r="AC2083" s="1" t="str">
        <f>IF(Table1[[#This Row],[Spec Type2]]="N/A","N/A",IF(AND(Table1[[#This Row],[DUT Adj Read]]&gt;=Table1[[#This Row],[Low Tol]],Table1[[#This Row],[DUT Adj Read]]&lt;=Table1[[#This Row],[High Tol]]),"Pass","Fail"))</f>
        <v>Fail</v>
      </c>
      <c r="AD2083" s="1" t="str">
        <f>IF(AND(Table1[[#This Row],[Spec Type2]]="N/A",Table1[[#This Row],[DUT Adj Read]]="N/A",Table1[[#This Row],[Std Adj Read]]="N/A"),"N/A",IF(Table1[[#This Row],[DUT Adj Read]]="N/A",IF(Table1[[#This Row],[Std Adj Read]]&gt;Table1[[#This Row],[Low Tol]],"Pass","Fail"),IF(Table1[[#This Row],[DUT Adj Read]]&gt;Table1[[#This Row],[Low Tol]],"Pass","Fail")))</f>
        <v>Pass</v>
      </c>
      <c r="AE2083" s="1" t="str">
        <f>IF(AND(Table1[[#This Row],[Spec Type2]]="N/A",Table1[[#This Row],[DUT Adj Read]]="N/A",Table1[[#This Row],[Std Adj Read]]="N/A"),"N/A",IF(Table1[[#This Row],[DUT Adj Read]]="N/A",IF(Table1[[#This Row],[Std Adj Read]]&lt;Table1[[#This Row],[High Tol]],"Pass","Fail"),IF(Table1[[#This Row],[DUT Adj Read]]&lt;Table1[[#This Row],[High Tol]],"Pass","Fail")))</f>
        <v>Fail</v>
      </c>
      <c r="AF2083" s="1" t="str">
        <f>IF(AND(Table1[[#This Row],[Spec Type2]]="N/A",Table1[[#This Row],[DUT Adj Read]]="N/A",Table1[[#This Row],[Std Adj Read]]="N/A"),"N/A",IF(Table1[[#This Row],[DUT Adj Read]]="N/A",IF(Table1[[#This Row],[Std Adj Read]]&gt;=Table1[[#This Row],[Low Tol]],"Pass","Fail"),IF(Table1[[#This Row],[DUT Adj Read]]&gt;=Table1[[#This Row],[Low Tol]],"Pass","Fail")))</f>
        <v>Pass</v>
      </c>
      <c r="AG2083" s="1" t="str">
        <f>IF(AND(Table1[[#This Row],[Spec Type2]]="N/A",Table1[[#This Row],[DUT Adj Read]]="N/A",Table1[[#This Row],[Std Adj Read]]="N/A"),"N/A",IF(Table1[[#This Row],[DUT Adj Read]]="N/A",IF(Table1[[#This Row],[Std Adj Read]]&lt;=Table1[[#This Row],[High Tol]],"Pass","Fail"),IF(Table1[[#This Row],[DUT Adj Read]]&lt;=Table1[[#This Row],[High Tol]],"Pass","Fail")))</f>
        <v>Fail</v>
      </c>
      <c r="AH20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3" s="1" t="b">
        <v>0</v>
      </c>
      <c r="AN2083" s="1" t="b">
        <v>0</v>
      </c>
      <c r="AO2083" s="1" t="b">
        <v>0</v>
      </c>
    </row>
    <row r="2084" spans="1:41" x14ac:dyDescent="0.25">
      <c r="A2084" s="10"/>
      <c r="B2084" s="10"/>
      <c r="C2084" s="10"/>
      <c r="D2084" s="10"/>
      <c r="E2084" s="10"/>
      <c r="F2084" s="10"/>
      <c r="G2084" s="10"/>
      <c r="H2084" s="10"/>
      <c r="I2084" s="1" t="str">
        <f t="shared" si="96"/>
        <v/>
      </c>
      <c r="J2084" s="1" t="s">
        <v>35</v>
      </c>
      <c r="K2084" s="1" t="str">
        <f t="shared" si="97"/>
        <v/>
      </c>
      <c r="L2084" s="1" t="str">
        <f t="shared" si="98"/>
        <v/>
      </c>
      <c r="M2084" s="1">
        <f>IF(OR(Table1[[#This Row],[Std Nom]]="",Table1[[#This Row],[Std Read]]=""),0,Table1[[#This Row],[Std Nom]]-Table1[[#This Row],[Std Read]])</f>
        <v>0</v>
      </c>
      <c r="N2084" s="1">
        <f>IF(Calculations!$F$5="ACCREDITED 17025 WITH UNCERTAINTIES",$N$10,0)</f>
        <v>0</v>
      </c>
      <c r="Q2084" s="1">
        <f>Table1[[#This Row],[High Tol]]-Table1[[#This Row],[Low Tol]]</f>
        <v>0</v>
      </c>
      <c r="R2084" s="1">
        <f>2*Table1[[#This Row],[Std Error]]</f>
        <v>0</v>
      </c>
      <c r="S2084" s="1" t="str">
        <f>IF(Table1[[#This Row],[High Tol]]="","N/A",IFERROR(ABS(Table1[[#This Row],[Tol Span]]/Table1[[#This Row],[Error Span]]),"N/A"))</f>
        <v>N/A</v>
      </c>
      <c r="T2084" s="1" t="str">
        <f>IF(OR(Table1[[#This Row],[Low Tol]]="",Table1[[#This Row],[High Tol]]=""),"Needs Analysis",IF(Table1[[#This Row],[Ratio]]&gt;=4,"Not Significant",IF(Table1[[#This Row],[Ratio]]&gt;=2,"Semi-Significant","Significant")))</f>
        <v>Needs Analysis</v>
      </c>
      <c r="W2084" s="1">
        <f>IF(Table1[[#This Row],[Cal Type]]&lt;&gt;"ACCREDITED 17025 WITH UNCERTAINTIES",0,"")</f>
        <v>0</v>
      </c>
      <c r="X2084" s="1" t="str">
        <f>IF(Table1[[#This Row],[DUT Read]]="","N/A",Table1[[#This Row],[Std Error]]+Table1[[#This Row],[DUT Read]]+Table1[[#This Row],[DUT Ucty]])</f>
        <v>N/A</v>
      </c>
      <c r="Y2084" s="1" t="str">
        <f>IF(Table1[[#This Row],[Std Read]]="","N/A",Table1[[#This Row],[Std Read]]+Table1[[#This Row],[Std Ucty]])</f>
        <v>N/A</v>
      </c>
      <c r="Z20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4" s="1" t="str">
        <f>IF(Table1[[#This Row],[Spec Type]]="","N/A",Table1[[#This Row],[Spec Type]])</f>
        <v>±</v>
      </c>
      <c r="AC2084" s="1" t="str">
        <f>IF(Table1[[#This Row],[Spec Type2]]="N/A","N/A",IF(AND(Table1[[#This Row],[DUT Adj Read]]&gt;=Table1[[#This Row],[Low Tol]],Table1[[#This Row],[DUT Adj Read]]&lt;=Table1[[#This Row],[High Tol]]),"Pass","Fail"))</f>
        <v>Fail</v>
      </c>
      <c r="AD2084" s="1" t="str">
        <f>IF(AND(Table1[[#This Row],[Spec Type2]]="N/A",Table1[[#This Row],[DUT Adj Read]]="N/A",Table1[[#This Row],[Std Adj Read]]="N/A"),"N/A",IF(Table1[[#This Row],[DUT Adj Read]]="N/A",IF(Table1[[#This Row],[Std Adj Read]]&gt;Table1[[#This Row],[Low Tol]],"Pass","Fail"),IF(Table1[[#This Row],[DUT Adj Read]]&gt;Table1[[#This Row],[Low Tol]],"Pass","Fail")))</f>
        <v>Pass</v>
      </c>
      <c r="AE2084" s="1" t="str">
        <f>IF(AND(Table1[[#This Row],[Spec Type2]]="N/A",Table1[[#This Row],[DUT Adj Read]]="N/A",Table1[[#This Row],[Std Adj Read]]="N/A"),"N/A",IF(Table1[[#This Row],[DUT Adj Read]]="N/A",IF(Table1[[#This Row],[Std Adj Read]]&lt;Table1[[#This Row],[High Tol]],"Pass","Fail"),IF(Table1[[#This Row],[DUT Adj Read]]&lt;Table1[[#This Row],[High Tol]],"Pass","Fail")))</f>
        <v>Fail</v>
      </c>
      <c r="AF2084" s="1" t="str">
        <f>IF(AND(Table1[[#This Row],[Spec Type2]]="N/A",Table1[[#This Row],[DUT Adj Read]]="N/A",Table1[[#This Row],[Std Adj Read]]="N/A"),"N/A",IF(Table1[[#This Row],[DUT Adj Read]]="N/A",IF(Table1[[#This Row],[Std Adj Read]]&gt;=Table1[[#This Row],[Low Tol]],"Pass","Fail"),IF(Table1[[#This Row],[DUT Adj Read]]&gt;=Table1[[#This Row],[Low Tol]],"Pass","Fail")))</f>
        <v>Pass</v>
      </c>
      <c r="AG2084" s="1" t="str">
        <f>IF(AND(Table1[[#This Row],[Spec Type2]]="N/A",Table1[[#This Row],[DUT Adj Read]]="N/A",Table1[[#This Row],[Std Adj Read]]="N/A"),"N/A",IF(Table1[[#This Row],[DUT Adj Read]]="N/A",IF(Table1[[#This Row],[Std Adj Read]]&lt;=Table1[[#This Row],[High Tol]],"Pass","Fail"),IF(Table1[[#This Row],[DUT Adj Read]]&lt;=Table1[[#This Row],[High Tol]],"Pass","Fail")))</f>
        <v>Fail</v>
      </c>
      <c r="AH20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4" s="1" t="b">
        <v>0</v>
      </c>
      <c r="AN2084" s="1" t="b">
        <v>0</v>
      </c>
      <c r="AO2084" s="1" t="b">
        <v>0</v>
      </c>
    </row>
    <row r="2085" spans="1:41" x14ac:dyDescent="0.25">
      <c r="A2085" s="10"/>
      <c r="B2085" s="10"/>
      <c r="C2085" s="10"/>
      <c r="D2085" s="10"/>
      <c r="E2085" s="10"/>
      <c r="F2085" s="10"/>
      <c r="G2085" s="10"/>
      <c r="H2085" s="10"/>
      <c r="I2085" s="1" t="str">
        <f t="shared" si="96"/>
        <v/>
      </c>
      <c r="J2085" s="1" t="s">
        <v>35</v>
      </c>
      <c r="K2085" s="1" t="str">
        <f t="shared" si="97"/>
        <v/>
      </c>
      <c r="L2085" s="1" t="str">
        <f t="shared" si="98"/>
        <v/>
      </c>
      <c r="M2085" s="1">
        <f>IF(OR(Table1[[#This Row],[Std Nom]]="",Table1[[#This Row],[Std Read]]=""),0,Table1[[#This Row],[Std Nom]]-Table1[[#This Row],[Std Read]])</f>
        <v>0</v>
      </c>
      <c r="N2085" s="1">
        <f>IF(Calculations!$F$5="ACCREDITED 17025 WITH UNCERTAINTIES",$N$10,0)</f>
        <v>0</v>
      </c>
      <c r="Q2085" s="1">
        <f>Table1[[#This Row],[High Tol]]-Table1[[#This Row],[Low Tol]]</f>
        <v>0</v>
      </c>
      <c r="R2085" s="1">
        <f>2*Table1[[#This Row],[Std Error]]</f>
        <v>0</v>
      </c>
      <c r="S2085" s="1" t="str">
        <f>IF(Table1[[#This Row],[High Tol]]="","N/A",IFERROR(ABS(Table1[[#This Row],[Tol Span]]/Table1[[#This Row],[Error Span]]),"N/A"))</f>
        <v>N/A</v>
      </c>
      <c r="T2085" s="1" t="str">
        <f>IF(OR(Table1[[#This Row],[Low Tol]]="",Table1[[#This Row],[High Tol]]=""),"Needs Analysis",IF(Table1[[#This Row],[Ratio]]&gt;=4,"Not Significant",IF(Table1[[#This Row],[Ratio]]&gt;=2,"Semi-Significant","Significant")))</f>
        <v>Needs Analysis</v>
      </c>
      <c r="W2085" s="1">
        <f>IF(Table1[[#This Row],[Cal Type]]&lt;&gt;"ACCREDITED 17025 WITH UNCERTAINTIES",0,"")</f>
        <v>0</v>
      </c>
      <c r="X2085" s="1" t="str">
        <f>IF(Table1[[#This Row],[DUT Read]]="","N/A",Table1[[#This Row],[Std Error]]+Table1[[#This Row],[DUT Read]]+Table1[[#This Row],[DUT Ucty]])</f>
        <v>N/A</v>
      </c>
      <c r="Y2085" s="1" t="str">
        <f>IF(Table1[[#This Row],[Std Read]]="","N/A",Table1[[#This Row],[Std Read]]+Table1[[#This Row],[Std Ucty]])</f>
        <v>N/A</v>
      </c>
      <c r="Z20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5" s="1" t="str">
        <f>IF(Table1[[#This Row],[Spec Type]]="","N/A",Table1[[#This Row],[Spec Type]])</f>
        <v>±</v>
      </c>
      <c r="AC2085" s="1" t="str">
        <f>IF(Table1[[#This Row],[Spec Type2]]="N/A","N/A",IF(AND(Table1[[#This Row],[DUT Adj Read]]&gt;=Table1[[#This Row],[Low Tol]],Table1[[#This Row],[DUT Adj Read]]&lt;=Table1[[#This Row],[High Tol]]),"Pass","Fail"))</f>
        <v>Fail</v>
      </c>
      <c r="AD2085" s="1" t="str">
        <f>IF(AND(Table1[[#This Row],[Spec Type2]]="N/A",Table1[[#This Row],[DUT Adj Read]]="N/A",Table1[[#This Row],[Std Adj Read]]="N/A"),"N/A",IF(Table1[[#This Row],[DUT Adj Read]]="N/A",IF(Table1[[#This Row],[Std Adj Read]]&gt;Table1[[#This Row],[Low Tol]],"Pass","Fail"),IF(Table1[[#This Row],[DUT Adj Read]]&gt;Table1[[#This Row],[Low Tol]],"Pass","Fail")))</f>
        <v>Pass</v>
      </c>
      <c r="AE2085" s="1" t="str">
        <f>IF(AND(Table1[[#This Row],[Spec Type2]]="N/A",Table1[[#This Row],[DUT Adj Read]]="N/A",Table1[[#This Row],[Std Adj Read]]="N/A"),"N/A",IF(Table1[[#This Row],[DUT Adj Read]]="N/A",IF(Table1[[#This Row],[Std Adj Read]]&lt;Table1[[#This Row],[High Tol]],"Pass","Fail"),IF(Table1[[#This Row],[DUT Adj Read]]&lt;Table1[[#This Row],[High Tol]],"Pass","Fail")))</f>
        <v>Fail</v>
      </c>
      <c r="AF2085" s="1" t="str">
        <f>IF(AND(Table1[[#This Row],[Spec Type2]]="N/A",Table1[[#This Row],[DUT Adj Read]]="N/A",Table1[[#This Row],[Std Adj Read]]="N/A"),"N/A",IF(Table1[[#This Row],[DUT Adj Read]]="N/A",IF(Table1[[#This Row],[Std Adj Read]]&gt;=Table1[[#This Row],[Low Tol]],"Pass","Fail"),IF(Table1[[#This Row],[DUT Adj Read]]&gt;=Table1[[#This Row],[Low Tol]],"Pass","Fail")))</f>
        <v>Pass</v>
      </c>
      <c r="AG2085" s="1" t="str">
        <f>IF(AND(Table1[[#This Row],[Spec Type2]]="N/A",Table1[[#This Row],[DUT Adj Read]]="N/A",Table1[[#This Row],[Std Adj Read]]="N/A"),"N/A",IF(Table1[[#This Row],[DUT Adj Read]]="N/A",IF(Table1[[#This Row],[Std Adj Read]]&lt;=Table1[[#This Row],[High Tol]],"Pass","Fail"),IF(Table1[[#This Row],[DUT Adj Read]]&lt;=Table1[[#This Row],[High Tol]],"Pass","Fail")))</f>
        <v>Fail</v>
      </c>
      <c r="AH20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5" s="1" t="b">
        <v>0</v>
      </c>
      <c r="AN2085" s="1" t="b">
        <v>0</v>
      </c>
      <c r="AO2085" s="1" t="b">
        <v>0</v>
      </c>
    </row>
    <row r="2086" spans="1:41" x14ac:dyDescent="0.25">
      <c r="A2086" s="10"/>
      <c r="B2086" s="10"/>
      <c r="C2086" s="10"/>
      <c r="D2086" s="10"/>
      <c r="E2086" s="10"/>
      <c r="F2086" s="10"/>
      <c r="G2086" s="10"/>
      <c r="H2086" s="10"/>
      <c r="I2086" s="1" t="str">
        <f t="shared" si="96"/>
        <v/>
      </c>
      <c r="J2086" s="1" t="s">
        <v>35</v>
      </c>
      <c r="K2086" s="1" t="str">
        <f t="shared" si="97"/>
        <v/>
      </c>
      <c r="L2086" s="1" t="str">
        <f t="shared" si="98"/>
        <v/>
      </c>
      <c r="M2086" s="1">
        <f>IF(OR(Table1[[#This Row],[Std Nom]]="",Table1[[#This Row],[Std Read]]=""),0,Table1[[#This Row],[Std Nom]]-Table1[[#This Row],[Std Read]])</f>
        <v>0</v>
      </c>
      <c r="N2086" s="1">
        <f>IF(Calculations!$F$5="ACCREDITED 17025 WITH UNCERTAINTIES",$N$10,0)</f>
        <v>0</v>
      </c>
      <c r="Q2086" s="1">
        <f>Table1[[#This Row],[High Tol]]-Table1[[#This Row],[Low Tol]]</f>
        <v>0</v>
      </c>
      <c r="R2086" s="1">
        <f>2*Table1[[#This Row],[Std Error]]</f>
        <v>0</v>
      </c>
      <c r="S2086" s="1" t="str">
        <f>IF(Table1[[#This Row],[High Tol]]="","N/A",IFERROR(ABS(Table1[[#This Row],[Tol Span]]/Table1[[#This Row],[Error Span]]),"N/A"))</f>
        <v>N/A</v>
      </c>
      <c r="T2086" s="1" t="str">
        <f>IF(OR(Table1[[#This Row],[Low Tol]]="",Table1[[#This Row],[High Tol]]=""),"Needs Analysis",IF(Table1[[#This Row],[Ratio]]&gt;=4,"Not Significant",IF(Table1[[#This Row],[Ratio]]&gt;=2,"Semi-Significant","Significant")))</f>
        <v>Needs Analysis</v>
      </c>
      <c r="W2086" s="1">
        <f>IF(Table1[[#This Row],[Cal Type]]&lt;&gt;"ACCREDITED 17025 WITH UNCERTAINTIES",0,"")</f>
        <v>0</v>
      </c>
      <c r="X2086" s="1" t="str">
        <f>IF(Table1[[#This Row],[DUT Read]]="","N/A",Table1[[#This Row],[Std Error]]+Table1[[#This Row],[DUT Read]]+Table1[[#This Row],[DUT Ucty]])</f>
        <v>N/A</v>
      </c>
      <c r="Y2086" s="1" t="str">
        <f>IF(Table1[[#This Row],[Std Read]]="","N/A",Table1[[#This Row],[Std Read]]+Table1[[#This Row],[Std Ucty]])</f>
        <v>N/A</v>
      </c>
      <c r="Z20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6" s="1" t="str">
        <f>IF(Table1[[#This Row],[Spec Type]]="","N/A",Table1[[#This Row],[Spec Type]])</f>
        <v>±</v>
      </c>
      <c r="AC2086" s="1" t="str">
        <f>IF(Table1[[#This Row],[Spec Type2]]="N/A","N/A",IF(AND(Table1[[#This Row],[DUT Adj Read]]&gt;=Table1[[#This Row],[Low Tol]],Table1[[#This Row],[DUT Adj Read]]&lt;=Table1[[#This Row],[High Tol]]),"Pass","Fail"))</f>
        <v>Fail</v>
      </c>
      <c r="AD2086" s="1" t="str">
        <f>IF(AND(Table1[[#This Row],[Spec Type2]]="N/A",Table1[[#This Row],[DUT Adj Read]]="N/A",Table1[[#This Row],[Std Adj Read]]="N/A"),"N/A",IF(Table1[[#This Row],[DUT Adj Read]]="N/A",IF(Table1[[#This Row],[Std Adj Read]]&gt;Table1[[#This Row],[Low Tol]],"Pass","Fail"),IF(Table1[[#This Row],[DUT Adj Read]]&gt;Table1[[#This Row],[Low Tol]],"Pass","Fail")))</f>
        <v>Pass</v>
      </c>
      <c r="AE2086" s="1" t="str">
        <f>IF(AND(Table1[[#This Row],[Spec Type2]]="N/A",Table1[[#This Row],[DUT Adj Read]]="N/A",Table1[[#This Row],[Std Adj Read]]="N/A"),"N/A",IF(Table1[[#This Row],[DUT Adj Read]]="N/A",IF(Table1[[#This Row],[Std Adj Read]]&lt;Table1[[#This Row],[High Tol]],"Pass","Fail"),IF(Table1[[#This Row],[DUT Adj Read]]&lt;Table1[[#This Row],[High Tol]],"Pass","Fail")))</f>
        <v>Fail</v>
      </c>
      <c r="AF2086" s="1" t="str">
        <f>IF(AND(Table1[[#This Row],[Spec Type2]]="N/A",Table1[[#This Row],[DUT Adj Read]]="N/A",Table1[[#This Row],[Std Adj Read]]="N/A"),"N/A",IF(Table1[[#This Row],[DUT Adj Read]]="N/A",IF(Table1[[#This Row],[Std Adj Read]]&gt;=Table1[[#This Row],[Low Tol]],"Pass","Fail"),IF(Table1[[#This Row],[DUT Adj Read]]&gt;=Table1[[#This Row],[Low Tol]],"Pass","Fail")))</f>
        <v>Pass</v>
      </c>
      <c r="AG2086" s="1" t="str">
        <f>IF(AND(Table1[[#This Row],[Spec Type2]]="N/A",Table1[[#This Row],[DUT Adj Read]]="N/A",Table1[[#This Row],[Std Adj Read]]="N/A"),"N/A",IF(Table1[[#This Row],[DUT Adj Read]]="N/A",IF(Table1[[#This Row],[Std Adj Read]]&lt;=Table1[[#This Row],[High Tol]],"Pass","Fail"),IF(Table1[[#This Row],[DUT Adj Read]]&lt;=Table1[[#This Row],[High Tol]],"Pass","Fail")))</f>
        <v>Fail</v>
      </c>
      <c r="AH20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6" s="1" t="b">
        <v>0</v>
      </c>
      <c r="AN2086" s="1" t="b">
        <v>0</v>
      </c>
      <c r="AO2086" s="1" t="b">
        <v>0</v>
      </c>
    </row>
    <row r="2087" spans="1:41" x14ac:dyDescent="0.25">
      <c r="A2087" s="10"/>
      <c r="B2087" s="10"/>
      <c r="C2087" s="10"/>
      <c r="D2087" s="10"/>
      <c r="E2087" s="10"/>
      <c r="F2087" s="10"/>
      <c r="G2087" s="10"/>
      <c r="H2087" s="10"/>
      <c r="I2087" s="1" t="str">
        <f t="shared" si="96"/>
        <v/>
      </c>
      <c r="J2087" s="1" t="s">
        <v>35</v>
      </c>
      <c r="K2087" s="1" t="str">
        <f t="shared" si="97"/>
        <v/>
      </c>
      <c r="L2087" s="1" t="str">
        <f t="shared" si="98"/>
        <v/>
      </c>
      <c r="M2087" s="1">
        <f>IF(OR(Table1[[#This Row],[Std Nom]]="",Table1[[#This Row],[Std Read]]=""),0,Table1[[#This Row],[Std Nom]]-Table1[[#This Row],[Std Read]])</f>
        <v>0</v>
      </c>
      <c r="N2087" s="1">
        <f>IF(Calculations!$F$5="ACCREDITED 17025 WITH UNCERTAINTIES",$N$10,0)</f>
        <v>0</v>
      </c>
      <c r="Q2087" s="1">
        <f>Table1[[#This Row],[High Tol]]-Table1[[#This Row],[Low Tol]]</f>
        <v>0</v>
      </c>
      <c r="R2087" s="1">
        <f>2*Table1[[#This Row],[Std Error]]</f>
        <v>0</v>
      </c>
      <c r="S2087" s="1" t="str">
        <f>IF(Table1[[#This Row],[High Tol]]="","N/A",IFERROR(ABS(Table1[[#This Row],[Tol Span]]/Table1[[#This Row],[Error Span]]),"N/A"))</f>
        <v>N/A</v>
      </c>
      <c r="T2087" s="1" t="str">
        <f>IF(OR(Table1[[#This Row],[Low Tol]]="",Table1[[#This Row],[High Tol]]=""),"Needs Analysis",IF(Table1[[#This Row],[Ratio]]&gt;=4,"Not Significant",IF(Table1[[#This Row],[Ratio]]&gt;=2,"Semi-Significant","Significant")))</f>
        <v>Needs Analysis</v>
      </c>
      <c r="W2087" s="1">
        <f>IF(Table1[[#This Row],[Cal Type]]&lt;&gt;"ACCREDITED 17025 WITH UNCERTAINTIES",0,"")</f>
        <v>0</v>
      </c>
      <c r="X2087" s="1" t="str">
        <f>IF(Table1[[#This Row],[DUT Read]]="","N/A",Table1[[#This Row],[Std Error]]+Table1[[#This Row],[DUT Read]]+Table1[[#This Row],[DUT Ucty]])</f>
        <v>N/A</v>
      </c>
      <c r="Y2087" s="1" t="str">
        <f>IF(Table1[[#This Row],[Std Read]]="","N/A",Table1[[#This Row],[Std Read]]+Table1[[#This Row],[Std Ucty]])</f>
        <v>N/A</v>
      </c>
      <c r="Z20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7" s="1" t="str">
        <f>IF(Table1[[#This Row],[Spec Type]]="","N/A",Table1[[#This Row],[Spec Type]])</f>
        <v>±</v>
      </c>
      <c r="AC2087" s="1" t="str">
        <f>IF(Table1[[#This Row],[Spec Type2]]="N/A","N/A",IF(AND(Table1[[#This Row],[DUT Adj Read]]&gt;=Table1[[#This Row],[Low Tol]],Table1[[#This Row],[DUT Adj Read]]&lt;=Table1[[#This Row],[High Tol]]),"Pass","Fail"))</f>
        <v>Fail</v>
      </c>
      <c r="AD2087" s="1" t="str">
        <f>IF(AND(Table1[[#This Row],[Spec Type2]]="N/A",Table1[[#This Row],[DUT Adj Read]]="N/A",Table1[[#This Row],[Std Adj Read]]="N/A"),"N/A",IF(Table1[[#This Row],[DUT Adj Read]]="N/A",IF(Table1[[#This Row],[Std Adj Read]]&gt;Table1[[#This Row],[Low Tol]],"Pass","Fail"),IF(Table1[[#This Row],[DUT Adj Read]]&gt;Table1[[#This Row],[Low Tol]],"Pass","Fail")))</f>
        <v>Pass</v>
      </c>
      <c r="AE2087" s="1" t="str">
        <f>IF(AND(Table1[[#This Row],[Spec Type2]]="N/A",Table1[[#This Row],[DUT Adj Read]]="N/A",Table1[[#This Row],[Std Adj Read]]="N/A"),"N/A",IF(Table1[[#This Row],[DUT Adj Read]]="N/A",IF(Table1[[#This Row],[Std Adj Read]]&lt;Table1[[#This Row],[High Tol]],"Pass","Fail"),IF(Table1[[#This Row],[DUT Adj Read]]&lt;Table1[[#This Row],[High Tol]],"Pass","Fail")))</f>
        <v>Fail</v>
      </c>
      <c r="AF2087" s="1" t="str">
        <f>IF(AND(Table1[[#This Row],[Spec Type2]]="N/A",Table1[[#This Row],[DUT Adj Read]]="N/A",Table1[[#This Row],[Std Adj Read]]="N/A"),"N/A",IF(Table1[[#This Row],[DUT Adj Read]]="N/A",IF(Table1[[#This Row],[Std Adj Read]]&gt;=Table1[[#This Row],[Low Tol]],"Pass","Fail"),IF(Table1[[#This Row],[DUT Adj Read]]&gt;=Table1[[#This Row],[Low Tol]],"Pass","Fail")))</f>
        <v>Pass</v>
      </c>
      <c r="AG2087" s="1" t="str">
        <f>IF(AND(Table1[[#This Row],[Spec Type2]]="N/A",Table1[[#This Row],[DUT Adj Read]]="N/A",Table1[[#This Row],[Std Adj Read]]="N/A"),"N/A",IF(Table1[[#This Row],[DUT Adj Read]]="N/A",IF(Table1[[#This Row],[Std Adj Read]]&lt;=Table1[[#This Row],[High Tol]],"Pass","Fail"),IF(Table1[[#This Row],[DUT Adj Read]]&lt;=Table1[[#This Row],[High Tol]],"Pass","Fail")))</f>
        <v>Fail</v>
      </c>
      <c r="AH20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7" s="1" t="b">
        <v>0</v>
      </c>
      <c r="AN2087" s="1" t="b">
        <v>0</v>
      </c>
      <c r="AO2087" s="1" t="b">
        <v>0</v>
      </c>
    </row>
    <row r="2088" spans="1:41" x14ac:dyDescent="0.25">
      <c r="A2088" s="10"/>
      <c r="B2088" s="10"/>
      <c r="C2088" s="10"/>
      <c r="D2088" s="10"/>
      <c r="E2088" s="10"/>
      <c r="F2088" s="10"/>
      <c r="G2088" s="10"/>
      <c r="H2088" s="10"/>
      <c r="I2088" s="1" t="str">
        <f t="shared" si="96"/>
        <v/>
      </c>
      <c r="J2088" s="1" t="s">
        <v>35</v>
      </c>
      <c r="K2088" s="1" t="str">
        <f t="shared" si="97"/>
        <v/>
      </c>
      <c r="L2088" s="1" t="str">
        <f t="shared" si="98"/>
        <v/>
      </c>
      <c r="M2088" s="1">
        <f>IF(OR(Table1[[#This Row],[Std Nom]]="",Table1[[#This Row],[Std Read]]=""),0,Table1[[#This Row],[Std Nom]]-Table1[[#This Row],[Std Read]])</f>
        <v>0</v>
      </c>
      <c r="N2088" s="1">
        <f>IF(Calculations!$F$5="ACCREDITED 17025 WITH UNCERTAINTIES",$N$10,0)</f>
        <v>0</v>
      </c>
      <c r="Q2088" s="1">
        <f>Table1[[#This Row],[High Tol]]-Table1[[#This Row],[Low Tol]]</f>
        <v>0</v>
      </c>
      <c r="R2088" s="1">
        <f>2*Table1[[#This Row],[Std Error]]</f>
        <v>0</v>
      </c>
      <c r="S2088" s="1" t="str">
        <f>IF(Table1[[#This Row],[High Tol]]="","N/A",IFERROR(ABS(Table1[[#This Row],[Tol Span]]/Table1[[#This Row],[Error Span]]),"N/A"))</f>
        <v>N/A</v>
      </c>
      <c r="T2088" s="1" t="str">
        <f>IF(OR(Table1[[#This Row],[Low Tol]]="",Table1[[#This Row],[High Tol]]=""),"Needs Analysis",IF(Table1[[#This Row],[Ratio]]&gt;=4,"Not Significant",IF(Table1[[#This Row],[Ratio]]&gt;=2,"Semi-Significant","Significant")))</f>
        <v>Needs Analysis</v>
      </c>
      <c r="W2088" s="1">
        <f>IF(Table1[[#This Row],[Cal Type]]&lt;&gt;"ACCREDITED 17025 WITH UNCERTAINTIES",0,"")</f>
        <v>0</v>
      </c>
      <c r="X2088" s="1" t="str">
        <f>IF(Table1[[#This Row],[DUT Read]]="","N/A",Table1[[#This Row],[Std Error]]+Table1[[#This Row],[DUT Read]]+Table1[[#This Row],[DUT Ucty]])</f>
        <v>N/A</v>
      </c>
      <c r="Y2088" s="1" t="str">
        <f>IF(Table1[[#This Row],[Std Read]]="","N/A",Table1[[#This Row],[Std Read]]+Table1[[#This Row],[Std Ucty]])</f>
        <v>N/A</v>
      </c>
      <c r="Z20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8" s="1" t="str">
        <f>IF(Table1[[#This Row],[Spec Type]]="","N/A",Table1[[#This Row],[Spec Type]])</f>
        <v>±</v>
      </c>
      <c r="AC2088" s="1" t="str">
        <f>IF(Table1[[#This Row],[Spec Type2]]="N/A","N/A",IF(AND(Table1[[#This Row],[DUT Adj Read]]&gt;=Table1[[#This Row],[Low Tol]],Table1[[#This Row],[DUT Adj Read]]&lt;=Table1[[#This Row],[High Tol]]),"Pass","Fail"))</f>
        <v>Fail</v>
      </c>
      <c r="AD2088" s="1" t="str">
        <f>IF(AND(Table1[[#This Row],[Spec Type2]]="N/A",Table1[[#This Row],[DUT Adj Read]]="N/A",Table1[[#This Row],[Std Adj Read]]="N/A"),"N/A",IF(Table1[[#This Row],[DUT Adj Read]]="N/A",IF(Table1[[#This Row],[Std Adj Read]]&gt;Table1[[#This Row],[Low Tol]],"Pass","Fail"),IF(Table1[[#This Row],[DUT Adj Read]]&gt;Table1[[#This Row],[Low Tol]],"Pass","Fail")))</f>
        <v>Pass</v>
      </c>
      <c r="AE2088" s="1" t="str">
        <f>IF(AND(Table1[[#This Row],[Spec Type2]]="N/A",Table1[[#This Row],[DUT Adj Read]]="N/A",Table1[[#This Row],[Std Adj Read]]="N/A"),"N/A",IF(Table1[[#This Row],[DUT Adj Read]]="N/A",IF(Table1[[#This Row],[Std Adj Read]]&lt;Table1[[#This Row],[High Tol]],"Pass","Fail"),IF(Table1[[#This Row],[DUT Adj Read]]&lt;Table1[[#This Row],[High Tol]],"Pass","Fail")))</f>
        <v>Fail</v>
      </c>
      <c r="AF2088" s="1" t="str">
        <f>IF(AND(Table1[[#This Row],[Spec Type2]]="N/A",Table1[[#This Row],[DUT Adj Read]]="N/A",Table1[[#This Row],[Std Adj Read]]="N/A"),"N/A",IF(Table1[[#This Row],[DUT Adj Read]]="N/A",IF(Table1[[#This Row],[Std Adj Read]]&gt;=Table1[[#This Row],[Low Tol]],"Pass","Fail"),IF(Table1[[#This Row],[DUT Adj Read]]&gt;=Table1[[#This Row],[Low Tol]],"Pass","Fail")))</f>
        <v>Pass</v>
      </c>
      <c r="AG2088" s="1" t="str">
        <f>IF(AND(Table1[[#This Row],[Spec Type2]]="N/A",Table1[[#This Row],[DUT Adj Read]]="N/A",Table1[[#This Row],[Std Adj Read]]="N/A"),"N/A",IF(Table1[[#This Row],[DUT Adj Read]]="N/A",IF(Table1[[#This Row],[Std Adj Read]]&lt;=Table1[[#This Row],[High Tol]],"Pass","Fail"),IF(Table1[[#This Row],[DUT Adj Read]]&lt;=Table1[[#This Row],[High Tol]],"Pass","Fail")))</f>
        <v>Fail</v>
      </c>
      <c r="AH20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8" s="1" t="b">
        <v>0</v>
      </c>
      <c r="AN2088" s="1" t="b">
        <v>0</v>
      </c>
      <c r="AO2088" s="1" t="b">
        <v>0</v>
      </c>
    </row>
    <row r="2089" spans="1:41" x14ac:dyDescent="0.25">
      <c r="A2089" s="10"/>
      <c r="B2089" s="10"/>
      <c r="C2089" s="10"/>
      <c r="D2089" s="10"/>
      <c r="E2089" s="10"/>
      <c r="F2089" s="10"/>
      <c r="G2089" s="10"/>
      <c r="H2089" s="10"/>
      <c r="I2089" s="1" t="str">
        <f t="shared" si="96"/>
        <v/>
      </c>
      <c r="J2089" s="1" t="s">
        <v>35</v>
      </c>
      <c r="K2089" s="1" t="str">
        <f t="shared" si="97"/>
        <v/>
      </c>
      <c r="L2089" s="1" t="str">
        <f t="shared" si="98"/>
        <v/>
      </c>
      <c r="M2089" s="1">
        <f>IF(OR(Table1[[#This Row],[Std Nom]]="",Table1[[#This Row],[Std Read]]=""),0,Table1[[#This Row],[Std Nom]]-Table1[[#This Row],[Std Read]])</f>
        <v>0</v>
      </c>
      <c r="N2089" s="1">
        <f>IF(Calculations!$F$5="ACCREDITED 17025 WITH UNCERTAINTIES",$N$10,0)</f>
        <v>0</v>
      </c>
      <c r="Q2089" s="1">
        <f>Table1[[#This Row],[High Tol]]-Table1[[#This Row],[Low Tol]]</f>
        <v>0</v>
      </c>
      <c r="R2089" s="1">
        <f>2*Table1[[#This Row],[Std Error]]</f>
        <v>0</v>
      </c>
      <c r="S2089" s="1" t="str">
        <f>IF(Table1[[#This Row],[High Tol]]="","N/A",IFERROR(ABS(Table1[[#This Row],[Tol Span]]/Table1[[#This Row],[Error Span]]),"N/A"))</f>
        <v>N/A</v>
      </c>
      <c r="T2089" s="1" t="str">
        <f>IF(OR(Table1[[#This Row],[Low Tol]]="",Table1[[#This Row],[High Tol]]=""),"Needs Analysis",IF(Table1[[#This Row],[Ratio]]&gt;=4,"Not Significant",IF(Table1[[#This Row],[Ratio]]&gt;=2,"Semi-Significant","Significant")))</f>
        <v>Needs Analysis</v>
      </c>
      <c r="W2089" s="1">
        <f>IF(Table1[[#This Row],[Cal Type]]&lt;&gt;"ACCREDITED 17025 WITH UNCERTAINTIES",0,"")</f>
        <v>0</v>
      </c>
      <c r="X2089" s="1" t="str">
        <f>IF(Table1[[#This Row],[DUT Read]]="","N/A",Table1[[#This Row],[Std Error]]+Table1[[#This Row],[DUT Read]]+Table1[[#This Row],[DUT Ucty]])</f>
        <v>N/A</v>
      </c>
      <c r="Y2089" s="1" t="str">
        <f>IF(Table1[[#This Row],[Std Read]]="","N/A",Table1[[#This Row],[Std Read]]+Table1[[#This Row],[Std Ucty]])</f>
        <v>N/A</v>
      </c>
      <c r="Z20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89" s="1" t="str">
        <f>IF(Table1[[#This Row],[Spec Type]]="","N/A",Table1[[#This Row],[Spec Type]])</f>
        <v>±</v>
      </c>
      <c r="AC2089" s="1" t="str">
        <f>IF(Table1[[#This Row],[Spec Type2]]="N/A","N/A",IF(AND(Table1[[#This Row],[DUT Adj Read]]&gt;=Table1[[#This Row],[Low Tol]],Table1[[#This Row],[DUT Adj Read]]&lt;=Table1[[#This Row],[High Tol]]),"Pass","Fail"))</f>
        <v>Fail</v>
      </c>
      <c r="AD2089" s="1" t="str">
        <f>IF(AND(Table1[[#This Row],[Spec Type2]]="N/A",Table1[[#This Row],[DUT Adj Read]]="N/A",Table1[[#This Row],[Std Adj Read]]="N/A"),"N/A",IF(Table1[[#This Row],[DUT Adj Read]]="N/A",IF(Table1[[#This Row],[Std Adj Read]]&gt;Table1[[#This Row],[Low Tol]],"Pass","Fail"),IF(Table1[[#This Row],[DUT Adj Read]]&gt;Table1[[#This Row],[Low Tol]],"Pass","Fail")))</f>
        <v>Pass</v>
      </c>
      <c r="AE2089" s="1" t="str">
        <f>IF(AND(Table1[[#This Row],[Spec Type2]]="N/A",Table1[[#This Row],[DUT Adj Read]]="N/A",Table1[[#This Row],[Std Adj Read]]="N/A"),"N/A",IF(Table1[[#This Row],[DUT Adj Read]]="N/A",IF(Table1[[#This Row],[Std Adj Read]]&lt;Table1[[#This Row],[High Tol]],"Pass","Fail"),IF(Table1[[#This Row],[DUT Adj Read]]&lt;Table1[[#This Row],[High Tol]],"Pass","Fail")))</f>
        <v>Fail</v>
      </c>
      <c r="AF2089" s="1" t="str">
        <f>IF(AND(Table1[[#This Row],[Spec Type2]]="N/A",Table1[[#This Row],[DUT Adj Read]]="N/A",Table1[[#This Row],[Std Adj Read]]="N/A"),"N/A",IF(Table1[[#This Row],[DUT Adj Read]]="N/A",IF(Table1[[#This Row],[Std Adj Read]]&gt;=Table1[[#This Row],[Low Tol]],"Pass","Fail"),IF(Table1[[#This Row],[DUT Adj Read]]&gt;=Table1[[#This Row],[Low Tol]],"Pass","Fail")))</f>
        <v>Pass</v>
      </c>
      <c r="AG2089" s="1" t="str">
        <f>IF(AND(Table1[[#This Row],[Spec Type2]]="N/A",Table1[[#This Row],[DUT Adj Read]]="N/A",Table1[[#This Row],[Std Adj Read]]="N/A"),"N/A",IF(Table1[[#This Row],[DUT Adj Read]]="N/A",IF(Table1[[#This Row],[Std Adj Read]]&lt;=Table1[[#This Row],[High Tol]],"Pass","Fail"),IF(Table1[[#This Row],[DUT Adj Read]]&lt;=Table1[[#This Row],[High Tol]],"Pass","Fail")))</f>
        <v>Fail</v>
      </c>
      <c r="AH20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89" s="1" t="b">
        <v>0</v>
      </c>
      <c r="AN2089" s="1" t="b">
        <v>0</v>
      </c>
      <c r="AO2089" s="1" t="b">
        <v>0</v>
      </c>
    </row>
    <row r="2090" spans="1:41" x14ac:dyDescent="0.25">
      <c r="A2090" s="10"/>
      <c r="B2090" s="10"/>
      <c r="C2090" s="10"/>
      <c r="D2090" s="10"/>
      <c r="E2090" s="10"/>
      <c r="F2090" s="10"/>
      <c r="G2090" s="10"/>
      <c r="H2090" s="10"/>
      <c r="I2090" s="1" t="str">
        <f t="shared" si="96"/>
        <v/>
      </c>
      <c r="J2090" s="1" t="s">
        <v>35</v>
      </c>
      <c r="K2090" s="1" t="str">
        <f t="shared" si="97"/>
        <v/>
      </c>
      <c r="L2090" s="1" t="str">
        <f t="shared" si="98"/>
        <v/>
      </c>
      <c r="M2090" s="1">
        <f>IF(OR(Table1[[#This Row],[Std Nom]]="",Table1[[#This Row],[Std Read]]=""),0,Table1[[#This Row],[Std Nom]]-Table1[[#This Row],[Std Read]])</f>
        <v>0</v>
      </c>
      <c r="N2090" s="1">
        <f>IF(Calculations!$F$5="ACCREDITED 17025 WITH UNCERTAINTIES",$N$10,0)</f>
        <v>0</v>
      </c>
      <c r="Q2090" s="1">
        <f>Table1[[#This Row],[High Tol]]-Table1[[#This Row],[Low Tol]]</f>
        <v>0</v>
      </c>
      <c r="R2090" s="1">
        <f>2*Table1[[#This Row],[Std Error]]</f>
        <v>0</v>
      </c>
      <c r="S2090" s="1" t="str">
        <f>IF(Table1[[#This Row],[High Tol]]="","N/A",IFERROR(ABS(Table1[[#This Row],[Tol Span]]/Table1[[#This Row],[Error Span]]),"N/A"))</f>
        <v>N/A</v>
      </c>
      <c r="T2090" s="1" t="str">
        <f>IF(OR(Table1[[#This Row],[Low Tol]]="",Table1[[#This Row],[High Tol]]=""),"Needs Analysis",IF(Table1[[#This Row],[Ratio]]&gt;=4,"Not Significant",IF(Table1[[#This Row],[Ratio]]&gt;=2,"Semi-Significant","Significant")))</f>
        <v>Needs Analysis</v>
      </c>
      <c r="W2090" s="1">
        <f>IF(Table1[[#This Row],[Cal Type]]&lt;&gt;"ACCREDITED 17025 WITH UNCERTAINTIES",0,"")</f>
        <v>0</v>
      </c>
      <c r="X2090" s="1" t="str">
        <f>IF(Table1[[#This Row],[DUT Read]]="","N/A",Table1[[#This Row],[Std Error]]+Table1[[#This Row],[DUT Read]]+Table1[[#This Row],[DUT Ucty]])</f>
        <v>N/A</v>
      </c>
      <c r="Y2090" s="1" t="str">
        <f>IF(Table1[[#This Row],[Std Read]]="","N/A",Table1[[#This Row],[Std Read]]+Table1[[#This Row],[Std Ucty]])</f>
        <v>N/A</v>
      </c>
      <c r="Z20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0" s="1" t="str">
        <f>IF(Table1[[#This Row],[Spec Type]]="","N/A",Table1[[#This Row],[Spec Type]])</f>
        <v>±</v>
      </c>
      <c r="AC2090" s="1" t="str">
        <f>IF(Table1[[#This Row],[Spec Type2]]="N/A","N/A",IF(AND(Table1[[#This Row],[DUT Adj Read]]&gt;=Table1[[#This Row],[Low Tol]],Table1[[#This Row],[DUT Adj Read]]&lt;=Table1[[#This Row],[High Tol]]),"Pass","Fail"))</f>
        <v>Fail</v>
      </c>
      <c r="AD2090" s="1" t="str">
        <f>IF(AND(Table1[[#This Row],[Spec Type2]]="N/A",Table1[[#This Row],[DUT Adj Read]]="N/A",Table1[[#This Row],[Std Adj Read]]="N/A"),"N/A",IF(Table1[[#This Row],[DUT Adj Read]]="N/A",IF(Table1[[#This Row],[Std Adj Read]]&gt;Table1[[#This Row],[Low Tol]],"Pass","Fail"),IF(Table1[[#This Row],[DUT Adj Read]]&gt;Table1[[#This Row],[Low Tol]],"Pass","Fail")))</f>
        <v>Pass</v>
      </c>
      <c r="AE2090" s="1" t="str">
        <f>IF(AND(Table1[[#This Row],[Spec Type2]]="N/A",Table1[[#This Row],[DUT Adj Read]]="N/A",Table1[[#This Row],[Std Adj Read]]="N/A"),"N/A",IF(Table1[[#This Row],[DUT Adj Read]]="N/A",IF(Table1[[#This Row],[Std Adj Read]]&lt;Table1[[#This Row],[High Tol]],"Pass","Fail"),IF(Table1[[#This Row],[DUT Adj Read]]&lt;Table1[[#This Row],[High Tol]],"Pass","Fail")))</f>
        <v>Fail</v>
      </c>
      <c r="AF2090" s="1" t="str">
        <f>IF(AND(Table1[[#This Row],[Spec Type2]]="N/A",Table1[[#This Row],[DUT Adj Read]]="N/A",Table1[[#This Row],[Std Adj Read]]="N/A"),"N/A",IF(Table1[[#This Row],[DUT Adj Read]]="N/A",IF(Table1[[#This Row],[Std Adj Read]]&gt;=Table1[[#This Row],[Low Tol]],"Pass","Fail"),IF(Table1[[#This Row],[DUT Adj Read]]&gt;=Table1[[#This Row],[Low Tol]],"Pass","Fail")))</f>
        <v>Pass</v>
      </c>
      <c r="AG2090" s="1" t="str">
        <f>IF(AND(Table1[[#This Row],[Spec Type2]]="N/A",Table1[[#This Row],[DUT Adj Read]]="N/A",Table1[[#This Row],[Std Adj Read]]="N/A"),"N/A",IF(Table1[[#This Row],[DUT Adj Read]]="N/A",IF(Table1[[#This Row],[Std Adj Read]]&lt;=Table1[[#This Row],[High Tol]],"Pass","Fail"),IF(Table1[[#This Row],[DUT Adj Read]]&lt;=Table1[[#This Row],[High Tol]],"Pass","Fail")))</f>
        <v>Fail</v>
      </c>
      <c r="AH20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0" s="1" t="b">
        <v>0</v>
      </c>
      <c r="AN2090" s="1" t="b">
        <v>0</v>
      </c>
      <c r="AO2090" s="1" t="b">
        <v>0</v>
      </c>
    </row>
    <row r="2091" spans="1:41" x14ac:dyDescent="0.25">
      <c r="A2091" s="10"/>
      <c r="B2091" s="10"/>
      <c r="C2091" s="10"/>
      <c r="D2091" s="10"/>
      <c r="E2091" s="10"/>
      <c r="F2091" s="10"/>
      <c r="G2091" s="10"/>
      <c r="H2091" s="10"/>
      <c r="I2091" s="1" t="str">
        <f t="shared" si="96"/>
        <v/>
      </c>
      <c r="J2091" s="1" t="s">
        <v>35</v>
      </c>
      <c r="K2091" s="1" t="str">
        <f t="shared" si="97"/>
        <v/>
      </c>
      <c r="L2091" s="1" t="str">
        <f t="shared" si="98"/>
        <v/>
      </c>
      <c r="M2091" s="1">
        <f>IF(OR(Table1[[#This Row],[Std Nom]]="",Table1[[#This Row],[Std Read]]=""),0,Table1[[#This Row],[Std Nom]]-Table1[[#This Row],[Std Read]])</f>
        <v>0</v>
      </c>
      <c r="N2091" s="1">
        <f>IF(Calculations!$F$5="ACCREDITED 17025 WITH UNCERTAINTIES",$N$10,0)</f>
        <v>0</v>
      </c>
      <c r="Q2091" s="1">
        <f>Table1[[#This Row],[High Tol]]-Table1[[#This Row],[Low Tol]]</f>
        <v>0</v>
      </c>
      <c r="R2091" s="1">
        <f>2*Table1[[#This Row],[Std Error]]</f>
        <v>0</v>
      </c>
      <c r="S2091" s="1" t="str">
        <f>IF(Table1[[#This Row],[High Tol]]="","N/A",IFERROR(ABS(Table1[[#This Row],[Tol Span]]/Table1[[#This Row],[Error Span]]),"N/A"))</f>
        <v>N/A</v>
      </c>
      <c r="T2091" s="1" t="str">
        <f>IF(OR(Table1[[#This Row],[Low Tol]]="",Table1[[#This Row],[High Tol]]=""),"Needs Analysis",IF(Table1[[#This Row],[Ratio]]&gt;=4,"Not Significant",IF(Table1[[#This Row],[Ratio]]&gt;=2,"Semi-Significant","Significant")))</f>
        <v>Needs Analysis</v>
      </c>
      <c r="W2091" s="1">
        <f>IF(Table1[[#This Row],[Cal Type]]&lt;&gt;"ACCREDITED 17025 WITH UNCERTAINTIES",0,"")</f>
        <v>0</v>
      </c>
      <c r="X2091" s="1" t="str">
        <f>IF(Table1[[#This Row],[DUT Read]]="","N/A",Table1[[#This Row],[Std Error]]+Table1[[#This Row],[DUT Read]]+Table1[[#This Row],[DUT Ucty]])</f>
        <v>N/A</v>
      </c>
      <c r="Y2091" s="1" t="str">
        <f>IF(Table1[[#This Row],[Std Read]]="","N/A",Table1[[#This Row],[Std Read]]+Table1[[#This Row],[Std Ucty]])</f>
        <v>N/A</v>
      </c>
      <c r="Z20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1" s="1" t="str">
        <f>IF(Table1[[#This Row],[Spec Type]]="","N/A",Table1[[#This Row],[Spec Type]])</f>
        <v>±</v>
      </c>
      <c r="AC2091" s="1" t="str">
        <f>IF(Table1[[#This Row],[Spec Type2]]="N/A","N/A",IF(AND(Table1[[#This Row],[DUT Adj Read]]&gt;=Table1[[#This Row],[Low Tol]],Table1[[#This Row],[DUT Adj Read]]&lt;=Table1[[#This Row],[High Tol]]),"Pass","Fail"))</f>
        <v>Fail</v>
      </c>
      <c r="AD2091" s="1" t="str">
        <f>IF(AND(Table1[[#This Row],[Spec Type2]]="N/A",Table1[[#This Row],[DUT Adj Read]]="N/A",Table1[[#This Row],[Std Adj Read]]="N/A"),"N/A",IF(Table1[[#This Row],[DUT Adj Read]]="N/A",IF(Table1[[#This Row],[Std Adj Read]]&gt;Table1[[#This Row],[Low Tol]],"Pass","Fail"),IF(Table1[[#This Row],[DUT Adj Read]]&gt;Table1[[#This Row],[Low Tol]],"Pass","Fail")))</f>
        <v>Pass</v>
      </c>
      <c r="AE2091" s="1" t="str">
        <f>IF(AND(Table1[[#This Row],[Spec Type2]]="N/A",Table1[[#This Row],[DUT Adj Read]]="N/A",Table1[[#This Row],[Std Adj Read]]="N/A"),"N/A",IF(Table1[[#This Row],[DUT Adj Read]]="N/A",IF(Table1[[#This Row],[Std Adj Read]]&lt;Table1[[#This Row],[High Tol]],"Pass","Fail"),IF(Table1[[#This Row],[DUT Adj Read]]&lt;Table1[[#This Row],[High Tol]],"Pass","Fail")))</f>
        <v>Fail</v>
      </c>
      <c r="AF2091" s="1" t="str">
        <f>IF(AND(Table1[[#This Row],[Spec Type2]]="N/A",Table1[[#This Row],[DUT Adj Read]]="N/A",Table1[[#This Row],[Std Adj Read]]="N/A"),"N/A",IF(Table1[[#This Row],[DUT Adj Read]]="N/A",IF(Table1[[#This Row],[Std Adj Read]]&gt;=Table1[[#This Row],[Low Tol]],"Pass","Fail"),IF(Table1[[#This Row],[DUT Adj Read]]&gt;=Table1[[#This Row],[Low Tol]],"Pass","Fail")))</f>
        <v>Pass</v>
      </c>
      <c r="AG2091" s="1" t="str">
        <f>IF(AND(Table1[[#This Row],[Spec Type2]]="N/A",Table1[[#This Row],[DUT Adj Read]]="N/A",Table1[[#This Row],[Std Adj Read]]="N/A"),"N/A",IF(Table1[[#This Row],[DUT Adj Read]]="N/A",IF(Table1[[#This Row],[Std Adj Read]]&lt;=Table1[[#This Row],[High Tol]],"Pass","Fail"),IF(Table1[[#This Row],[DUT Adj Read]]&lt;=Table1[[#This Row],[High Tol]],"Pass","Fail")))</f>
        <v>Fail</v>
      </c>
      <c r="AH20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1" s="1" t="b">
        <v>0</v>
      </c>
      <c r="AN2091" s="1" t="b">
        <v>0</v>
      </c>
      <c r="AO2091" s="1" t="b">
        <v>0</v>
      </c>
    </row>
    <row r="2092" spans="1:41" x14ac:dyDescent="0.25">
      <c r="A2092" s="10"/>
      <c r="B2092" s="10"/>
      <c r="C2092" s="10"/>
      <c r="D2092" s="10"/>
      <c r="E2092" s="10"/>
      <c r="F2092" s="10"/>
      <c r="G2092" s="10"/>
      <c r="H2092" s="10"/>
      <c r="I2092" s="1" t="str">
        <f t="shared" si="96"/>
        <v/>
      </c>
      <c r="J2092" s="1" t="s">
        <v>35</v>
      </c>
      <c r="K2092" s="1" t="str">
        <f t="shared" si="97"/>
        <v/>
      </c>
      <c r="L2092" s="1" t="str">
        <f t="shared" si="98"/>
        <v/>
      </c>
      <c r="M2092" s="1">
        <f>IF(OR(Table1[[#This Row],[Std Nom]]="",Table1[[#This Row],[Std Read]]=""),0,Table1[[#This Row],[Std Nom]]-Table1[[#This Row],[Std Read]])</f>
        <v>0</v>
      </c>
      <c r="N2092" s="1">
        <f>IF(Calculations!$F$5="ACCREDITED 17025 WITH UNCERTAINTIES",$N$10,0)</f>
        <v>0</v>
      </c>
      <c r="Q2092" s="1">
        <f>Table1[[#This Row],[High Tol]]-Table1[[#This Row],[Low Tol]]</f>
        <v>0</v>
      </c>
      <c r="R2092" s="1">
        <f>2*Table1[[#This Row],[Std Error]]</f>
        <v>0</v>
      </c>
      <c r="S2092" s="1" t="str">
        <f>IF(Table1[[#This Row],[High Tol]]="","N/A",IFERROR(ABS(Table1[[#This Row],[Tol Span]]/Table1[[#This Row],[Error Span]]),"N/A"))</f>
        <v>N/A</v>
      </c>
      <c r="T2092" s="1" t="str">
        <f>IF(OR(Table1[[#This Row],[Low Tol]]="",Table1[[#This Row],[High Tol]]=""),"Needs Analysis",IF(Table1[[#This Row],[Ratio]]&gt;=4,"Not Significant",IF(Table1[[#This Row],[Ratio]]&gt;=2,"Semi-Significant","Significant")))</f>
        <v>Needs Analysis</v>
      </c>
      <c r="W2092" s="1">
        <f>IF(Table1[[#This Row],[Cal Type]]&lt;&gt;"ACCREDITED 17025 WITH UNCERTAINTIES",0,"")</f>
        <v>0</v>
      </c>
      <c r="X2092" s="1" t="str">
        <f>IF(Table1[[#This Row],[DUT Read]]="","N/A",Table1[[#This Row],[Std Error]]+Table1[[#This Row],[DUT Read]]+Table1[[#This Row],[DUT Ucty]])</f>
        <v>N/A</v>
      </c>
      <c r="Y2092" s="1" t="str">
        <f>IF(Table1[[#This Row],[Std Read]]="","N/A",Table1[[#This Row],[Std Read]]+Table1[[#This Row],[Std Ucty]])</f>
        <v>N/A</v>
      </c>
      <c r="Z20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2" s="1" t="str">
        <f>IF(Table1[[#This Row],[Spec Type]]="","N/A",Table1[[#This Row],[Spec Type]])</f>
        <v>±</v>
      </c>
      <c r="AC2092" s="1" t="str">
        <f>IF(Table1[[#This Row],[Spec Type2]]="N/A","N/A",IF(AND(Table1[[#This Row],[DUT Adj Read]]&gt;=Table1[[#This Row],[Low Tol]],Table1[[#This Row],[DUT Adj Read]]&lt;=Table1[[#This Row],[High Tol]]),"Pass","Fail"))</f>
        <v>Fail</v>
      </c>
      <c r="AD2092" s="1" t="str">
        <f>IF(AND(Table1[[#This Row],[Spec Type2]]="N/A",Table1[[#This Row],[DUT Adj Read]]="N/A",Table1[[#This Row],[Std Adj Read]]="N/A"),"N/A",IF(Table1[[#This Row],[DUT Adj Read]]="N/A",IF(Table1[[#This Row],[Std Adj Read]]&gt;Table1[[#This Row],[Low Tol]],"Pass","Fail"),IF(Table1[[#This Row],[DUT Adj Read]]&gt;Table1[[#This Row],[Low Tol]],"Pass","Fail")))</f>
        <v>Pass</v>
      </c>
      <c r="AE2092" s="1" t="str">
        <f>IF(AND(Table1[[#This Row],[Spec Type2]]="N/A",Table1[[#This Row],[DUT Adj Read]]="N/A",Table1[[#This Row],[Std Adj Read]]="N/A"),"N/A",IF(Table1[[#This Row],[DUT Adj Read]]="N/A",IF(Table1[[#This Row],[Std Adj Read]]&lt;Table1[[#This Row],[High Tol]],"Pass","Fail"),IF(Table1[[#This Row],[DUT Adj Read]]&lt;Table1[[#This Row],[High Tol]],"Pass","Fail")))</f>
        <v>Fail</v>
      </c>
      <c r="AF2092" s="1" t="str">
        <f>IF(AND(Table1[[#This Row],[Spec Type2]]="N/A",Table1[[#This Row],[DUT Adj Read]]="N/A",Table1[[#This Row],[Std Adj Read]]="N/A"),"N/A",IF(Table1[[#This Row],[DUT Adj Read]]="N/A",IF(Table1[[#This Row],[Std Adj Read]]&gt;=Table1[[#This Row],[Low Tol]],"Pass","Fail"),IF(Table1[[#This Row],[DUT Adj Read]]&gt;=Table1[[#This Row],[Low Tol]],"Pass","Fail")))</f>
        <v>Pass</v>
      </c>
      <c r="AG2092" s="1" t="str">
        <f>IF(AND(Table1[[#This Row],[Spec Type2]]="N/A",Table1[[#This Row],[DUT Adj Read]]="N/A",Table1[[#This Row],[Std Adj Read]]="N/A"),"N/A",IF(Table1[[#This Row],[DUT Adj Read]]="N/A",IF(Table1[[#This Row],[Std Adj Read]]&lt;=Table1[[#This Row],[High Tol]],"Pass","Fail"),IF(Table1[[#This Row],[DUT Adj Read]]&lt;=Table1[[#This Row],[High Tol]],"Pass","Fail")))</f>
        <v>Fail</v>
      </c>
      <c r="AH20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2" s="1" t="b">
        <v>0</v>
      </c>
      <c r="AN2092" s="1" t="b">
        <v>0</v>
      </c>
      <c r="AO2092" s="1" t="b">
        <v>0</v>
      </c>
    </row>
    <row r="2093" spans="1:41" x14ac:dyDescent="0.25">
      <c r="A2093" s="10"/>
      <c r="B2093" s="10"/>
      <c r="C2093" s="10"/>
      <c r="D2093" s="10"/>
      <c r="E2093" s="10"/>
      <c r="F2093" s="10"/>
      <c r="G2093" s="10"/>
      <c r="H2093" s="10"/>
      <c r="I2093" s="1" t="str">
        <f t="shared" si="96"/>
        <v/>
      </c>
      <c r="J2093" s="1" t="s">
        <v>35</v>
      </c>
      <c r="K2093" s="1" t="str">
        <f t="shared" si="97"/>
        <v/>
      </c>
      <c r="L2093" s="1" t="str">
        <f t="shared" si="98"/>
        <v/>
      </c>
      <c r="M2093" s="1">
        <f>IF(OR(Table1[[#This Row],[Std Nom]]="",Table1[[#This Row],[Std Read]]=""),0,Table1[[#This Row],[Std Nom]]-Table1[[#This Row],[Std Read]])</f>
        <v>0</v>
      </c>
      <c r="N2093" s="1">
        <f>IF(Calculations!$F$5="ACCREDITED 17025 WITH UNCERTAINTIES",$N$10,0)</f>
        <v>0</v>
      </c>
      <c r="Q2093" s="1">
        <f>Table1[[#This Row],[High Tol]]-Table1[[#This Row],[Low Tol]]</f>
        <v>0</v>
      </c>
      <c r="R2093" s="1">
        <f>2*Table1[[#This Row],[Std Error]]</f>
        <v>0</v>
      </c>
      <c r="S2093" s="1" t="str">
        <f>IF(Table1[[#This Row],[High Tol]]="","N/A",IFERROR(ABS(Table1[[#This Row],[Tol Span]]/Table1[[#This Row],[Error Span]]),"N/A"))</f>
        <v>N/A</v>
      </c>
      <c r="T2093" s="1" t="str">
        <f>IF(OR(Table1[[#This Row],[Low Tol]]="",Table1[[#This Row],[High Tol]]=""),"Needs Analysis",IF(Table1[[#This Row],[Ratio]]&gt;=4,"Not Significant",IF(Table1[[#This Row],[Ratio]]&gt;=2,"Semi-Significant","Significant")))</f>
        <v>Needs Analysis</v>
      </c>
      <c r="W2093" s="1">
        <f>IF(Table1[[#This Row],[Cal Type]]&lt;&gt;"ACCREDITED 17025 WITH UNCERTAINTIES",0,"")</f>
        <v>0</v>
      </c>
      <c r="X2093" s="1" t="str">
        <f>IF(Table1[[#This Row],[DUT Read]]="","N/A",Table1[[#This Row],[Std Error]]+Table1[[#This Row],[DUT Read]]+Table1[[#This Row],[DUT Ucty]])</f>
        <v>N/A</v>
      </c>
      <c r="Y2093" s="1" t="str">
        <f>IF(Table1[[#This Row],[Std Read]]="","N/A",Table1[[#This Row],[Std Read]]+Table1[[#This Row],[Std Ucty]])</f>
        <v>N/A</v>
      </c>
      <c r="Z20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3" s="1" t="str">
        <f>IF(Table1[[#This Row],[Spec Type]]="","N/A",Table1[[#This Row],[Spec Type]])</f>
        <v>±</v>
      </c>
      <c r="AC2093" s="1" t="str">
        <f>IF(Table1[[#This Row],[Spec Type2]]="N/A","N/A",IF(AND(Table1[[#This Row],[DUT Adj Read]]&gt;=Table1[[#This Row],[Low Tol]],Table1[[#This Row],[DUT Adj Read]]&lt;=Table1[[#This Row],[High Tol]]),"Pass","Fail"))</f>
        <v>Fail</v>
      </c>
      <c r="AD2093" s="1" t="str">
        <f>IF(AND(Table1[[#This Row],[Spec Type2]]="N/A",Table1[[#This Row],[DUT Adj Read]]="N/A",Table1[[#This Row],[Std Adj Read]]="N/A"),"N/A",IF(Table1[[#This Row],[DUT Adj Read]]="N/A",IF(Table1[[#This Row],[Std Adj Read]]&gt;Table1[[#This Row],[Low Tol]],"Pass","Fail"),IF(Table1[[#This Row],[DUT Adj Read]]&gt;Table1[[#This Row],[Low Tol]],"Pass","Fail")))</f>
        <v>Pass</v>
      </c>
      <c r="AE2093" s="1" t="str">
        <f>IF(AND(Table1[[#This Row],[Spec Type2]]="N/A",Table1[[#This Row],[DUT Adj Read]]="N/A",Table1[[#This Row],[Std Adj Read]]="N/A"),"N/A",IF(Table1[[#This Row],[DUT Adj Read]]="N/A",IF(Table1[[#This Row],[Std Adj Read]]&lt;Table1[[#This Row],[High Tol]],"Pass","Fail"),IF(Table1[[#This Row],[DUT Adj Read]]&lt;Table1[[#This Row],[High Tol]],"Pass","Fail")))</f>
        <v>Fail</v>
      </c>
      <c r="AF2093" s="1" t="str">
        <f>IF(AND(Table1[[#This Row],[Spec Type2]]="N/A",Table1[[#This Row],[DUT Adj Read]]="N/A",Table1[[#This Row],[Std Adj Read]]="N/A"),"N/A",IF(Table1[[#This Row],[DUT Adj Read]]="N/A",IF(Table1[[#This Row],[Std Adj Read]]&gt;=Table1[[#This Row],[Low Tol]],"Pass","Fail"),IF(Table1[[#This Row],[DUT Adj Read]]&gt;=Table1[[#This Row],[Low Tol]],"Pass","Fail")))</f>
        <v>Pass</v>
      </c>
      <c r="AG2093" s="1" t="str">
        <f>IF(AND(Table1[[#This Row],[Spec Type2]]="N/A",Table1[[#This Row],[DUT Adj Read]]="N/A",Table1[[#This Row],[Std Adj Read]]="N/A"),"N/A",IF(Table1[[#This Row],[DUT Adj Read]]="N/A",IF(Table1[[#This Row],[Std Adj Read]]&lt;=Table1[[#This Row],[High Tol]],"Pass","Fail"),IF(Table1[[#This Row],[DUT Adj Read]]&lt;=Table1[[#This Row],[High Tol]],"Pass","Fail")))</f>
        <v>Fail</v>
      </c>
      <c r="AH20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3" s="1" t="b">
        <v>0</v>
      </c>
      <c r="AN2093" s="1" t="b">
        <v>0</v>
      </c>
      <c r="AO2093" s="1" t="b">
        <v>0</v>
      </c>
    </row>
    <row r="2094" spans="1:41" x14ac:dyDescent="0.25">
      <c r="A2094" s="10"/>
      <c r="B2094" s="10"/>
      <c r="C2094" s="10"/>
      <c r="D2094" s="10"/>
      <c r="E2094" s="10"/>
      <c r="F2094" s="10"/>
      <c r="G2094" s="10"/>
      <c r="H2094" s="10"/>
      <c r="I2094" s="1" t="str">
        <f t="shared" si="96"/>
        <v/>
      </c>
      <c r="J2094" s="1" t="s">
        <v>35</v>
      </c>
      <c r="K2094" s="1" t="str">
        <f t="shared" si="97"/>
        <v/>
      </c>
      <c r="L2094" s="1" t="str">
        <f t="shared" si="98"/>
        <v/>
      </c>
      <c r="M2094" s="1">
        <f>IF(OR(Table1[[#This Row],[Std Nom]]="",Table1[[#This Row],[Std Read]]=""),0,Table1[[#This Row],[Std Nom]]-Table1[[#This Row],[Std Read]])</f>
        <v>0</v>
      </c>
      <c r="N2094" s="1">
        <f>IF(Calculations!$F$5="ACCREDITED 17025 WITH UNCERTAINTIES",$N$10,0)</f>
        <v>0</v>
      </c>
      <c r="Q2094" s="1">
        <f>Table1[[#This Row],[High Tol]]-Table1[[#This Row],[Low Tol]]</f>
        <v>0</v>
      </c>
      <c r="R2094" s="1">
        <f>2*Table1[[#This Row],[Std Error]]</f>
        <v>0</v>
      </c>
      <c r="S2094" s="1" t="str">
        <f>IF(Table1[[#This Row],[High Tol]]="","N/A",IFERROR(ABS(Table1[[#This Row],[Tol Span]]/Table1[[#This Row],[Error Span]]),"N/A"))</f>
        <v>N/A</v>
      </c>
      <c r="T2094" s="1" t="str">
        <f>IF(OR(Table1[[#This Row],[Low Tol]]="",Table1[[#This Row],[High Tol]]=""),"Needs Analysis",IF(Table1[[#This Row],[Ratio]]&gt;=4,"Not Significant",IF(Table1[[#This Row],[Ratio]]&gt;=2,"Semi-Significant","Significant")))</f>
        <v>Needs Analysis</v>
      </c>
      <c r="W2094" s="1">
        <f>IF(Table1[[#This Row],[Cal Type]]&lt;&gt;"ACCREDITED 17025 WITH UNCERTAINTIES",0,"")</f>
        <v>0</v>
      </c>
      <c r="X2094" s="1" t="str">
        <f>IF(Table1[[#This Row],[DUT Read]]="","N/A",Table1[[#This Row],[Std Error]]+Table1[[#This Row],[DUT Read]]+Table1[[#This Row],[DUT Ucty]])</f>
        <v>N/A</v>
      </c>
      <c r="Y2094" s="1" t="str">
        <f>IF(Table1[[#This Row],[Std Read]]="","N/A",Table1[[#This Row],[Std Read]]+Table1[[#This Row],[Std Ucty]])</f>
        <v>N/A</v>
      </c>
      <c r="Z20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4" s="1" t="str">
        <f>IF(Table1[[#This Row],[Spec Type]]="","N/A",Table1[[#This Row],[Spec Type]])</f>
        <v>±</v>
      </c>
      <c r="AC2094" s="1" t="str">
        <f>IF(Table1[[#This Row],[Spec Type2]]="N/A","N/A",IF(AND(Table1[[#This Row],[DUT Adj Read]]&gt;=Table1[[#This Row],[Low Tol]],Table1[[#This Row],[DUT Adj Read]]&lt;=Table1[[#This Row],[High Tol]]),"Pass","Fail"))</f>
        <v>Fail</v>
      </c>
      <c r="AD2094" s="1" t="str">
        <f>IF(AND(Table1[[#This Row],[Spec Type2]]="N/A",Table1[[#This Row],[DUT Adj Read]]="N/A",Table1[[#This Row],[Std Adj Read]]="N/A"),"N/A",IF(Table1[[#This Row],[DUT Adj Read]]="N/A",IF(Table1[[#This Row],[Std Adj Read]]&gt;Table1[[#This Row],[Low Tol]],"Pass","Fail"),IF(Table1[[#This Row],[DUT Adj Read]]&gt;Table1[[#This Row],[Low Tol]],"Pass","Fail")))</f>
        <v>Pass</v>
      </c>
      <c r="AE2094" s="1" t="str">
        <f>IF(AND(Table1[[#This Row],[Spec Type2]]="N/A",Table1[[#This Row],[DUT Adj Read]]="N/A",Table1[[#This Row],[Std Adj Read]]="N/A"),"N/A",IF(Table1[[#This Row],[DUT Adj Read]]="N/A",IF(Table1[[#This Row],[Std Adj Read]]&lt;Table1[[#This Row],[High Tol]],"Pass","Fail"),IF(Table1[[#This Row],[DUT Adj Read]]&lt;Table1[[#This Row],[High Tol]],"Pass","Fail")))</f>
        <v>Fail</v>
      </c>
      <c r="AF2094" s="1" t="str">
        <f>IF(AND(Table1[[#This Row],[Spec Type2]]="N/A",Table1[[#This Row],[DUT Adj Read]]="N/A",Table1[[#This Row],[Std Adj Read]]="N/A"),"N/A",IF(Table1[[#This Row],[DUT Adj Read]]="N/A",IF(Table1[[#This Row],[Std Adj Read]]&gt;=Table1[[#This Row],[Low Tol]],"Pass","Fail"),IF(Table1[[#This Row],[DUT Adj Read]]&gt;=Table1[[#This Row],[Low Tol]],"Pass","Fail")))</f>
        <v>Pass</v>
      </c>
      <c r="AG2094" s="1" t="str">
        <f>IF(AND(Table1[[#This Row],[Spec Type2]]="N/A",Table1[[#This Row],[DUT Adj Read]]="N/A",Table1[[#This Row],[Std Adj Read]]="N/A"),"N/A",IF(Table1[[#This Row],[DUT Adj Read]]="N/A",IF(Table1[[#This Row],[Std Adj Read]]&lt;=Table1[[#This Row],[High Tol]],"Pass","Fail"),IF(Table1[[#This Row],[DUT Adj Read]]&lt;=Table1[[#This Row],[High Tol]],"Pass","Fail")))</f>
        <v>Fail</v>
      </c>
      <c r="AH20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4" s="1" t="b">
        <v>0</v>
      </c>
      <c r="AN2094" s="1" t="b">
        <v>0</v>
      </c>
      <c r="AO2094" s="1" t="b">
        <v>0</v>
      </c>
    </row>
    <row r="2095" spans="1:41" x14ac:dyDescent="0.25">
      <c r="A2095" s="10"/>
      <c r="B2095" s="10"/>
      <c r="C2095" s="10"/>
      <c r="D2095" s="10"/>
      <c r="E2095" s="10"/>
      <c r="F2095" s="10"/>
      <c r="G2095" s="10"/>
      <c r="H2095" s="10"/>
      <c r="I2095" s="1" t="str">
        <f t="shared" si="96"/>
        <v/>
      </c>
      <c r="J2095" s="1" t="s">
        <v>35</v>
      </c>
      <c r="K2095" s="1" t="str">
        <f t="shared" si="97"/>
        <v/>
      </c>
      <c r="L2095" s="1" t="str">
        <f t="shared" si="98"/>
        <v/>
      </c>
      <c r="M2095" s="1">
        <f>IF(OR(Table1[[#This Row],[Std Nom]]="",Table1[[#This Row],[Std Read]]=""),0,Table1[[#This Row],[Std Nom]]-Table1[[#This Row],[Std Read]])</f>
        <v>0</v>
      </c>
      <c r="N2095" s="1">
        <f>IF(Calculations!$F$5="ACCREDITED 17025 WITH UNCERTAINTIES",$N$10,0)</f>
        <v>0</v>
      </c>
      <c r="Q2095" s="1">
        <f>Table1[[#This Row],[High Tol]]-Table1[[#This Row],[Low Tol]]</f>
        <v>0</v>
      </c>
      <c r="R2095" s="1">
        <f>2*Table1[[#This Row],[Std Error]]</f>
        <v>0</v>
      </c>
      <c r="S2095" s="1" t="str">
        <f>IF(Table1[[#This Row],[High Tol]]="","N/A",IFERROR(ABS(Table1[[#This Row],[Tol Span]]/Table1[[#This Row],[Error Span]]),"N/A"))</f>
        <v>N/A</v>
      </c>
      <c r="T2095" s="1" t="str">
        <f>IF(OR(Table1[[#This Row],[Low Tol]]="",Table1[[#This Row],[High Tol]]=""),"Needs Analysis",IF(Table1[[#This Row],[Ratio]]&gt;=4,"Not Significant",IF(Table1[[#This Row],[Ratio]]&gt;=2,"Semi-Significant","Significant")))</f>
        <v>Needs Analysis</v>
      </c>
      <c r="W2095" s="1">
        <f>IF(Table1[[#This Row],[Cal Type]]&lt;&gt;"ACCREDITED 17025 WITH UNCERTAINTIES",0,"")</f>
        <v>0</v>
      </c>
      <c r="X2095" s="1" t="str">
        <f>IF(Table1[[#This Row],[DUT Read]]="","N/A",Table1[[#This Row],[Std Error]]+Table1[[#This Row],[DUT Read]]+Table1[[#This Row],[DUT Ucty]])</f>
        <v>N/A</v>
      </c>
      <c r="Y2095" s="1" t="str">
        <f>IF(Table1[[#This Row],[Std Read]]="","N/A",Table1[[#This Row],[Std Read]]+Table1[[#This Row],[Std Ucty]])</f>
        <v>N/A</v>
      </c>
      <c r="Z20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5" s="1" t="str">
        <f>IF(Table1[[#This Row],[Spec Type]]="","N/A",Table1[[#This Row],[Spec Type]])</f>
        <v>±</v>
      </c>
      <c r="AC2095" s="1" t="str">
        <f>IF(Table1[[#This Row],[Spec Type2]]="N/A","N/A",IF(AND(Table1[[#This Row],[DUT Adj Read]]&gt;=Table1[[#This Row],[Low Tol]],Table1[[#This Row],[DUT Adj Read]]&lt;=Table1[[#This Row],[High Tol]]),"Pass","Fail"))</f>
        <v>Fail</v>
      </c>
      <c r="AD2095" s="1" t="str">
        <f>IF(AND(Table1[[#This Row],[Spec Type2]]="N/A",Table1[[#This Row],[DUT Adj Read]]="N/A",Table1[[#This Row],[Std Adj Read]]="N/A"),"N/A",IF(Table1[[#This Row],[DUT Adj Read]]="N/A",IF(Table1[[#This Row],[Std Adj Read]]&gt;Table1[[#This Row],[Low Tol]],"Pass","Fail"),IF(Table1[[#This Row],[DUT Adj Read]]&gt;Table1[[#This Row],[Low Tol]],"Pass","Fail")))</f>
        <v>Pass</v>
      </c>
      <c r="AE2095" s="1" t="str">
        <f>IF(AND(Table1[[#This Row],[Spec Type2]]="N/A",Table1[[#This Row],[DUT Adj Read]]="N/A",Table1[[#This Row],[Std Adj Read]]="N/A"),"N/A",IF(Table1[[#This Row],[DUT Adj Read]]="N/A",IF(Table1[[#This Row],[Std Adj Read]]&lt;Table1[[#This Row],[High Tol]],"Pass","Fail"),IF(Table1[[#This Row],[DUT Adj Read]]&lt;Table1[[#This Row],[High Tol]],"Pass","Fail")))</f>
        <v>Fail</v>
      </c>
      <c r="AF2095" s="1" t="str">
        <f>IF(AND(Table1[[#This Row],[Spec Type2]]="N/A",Table1[[#This Row],[DUT Adj Read]]="N/A",Table1[[#This Row],[Std Adj Read]]="N/A"),"N/A",IF(Table1[[#This Row],[DUT Adj Read]]="N/A",IF(Table1[[#This Row],[Std Adj Read]]&gt;=Table1[[#This Row],[Low Tol]],"Pass","Fail"),IF(Table1[[#This Row],[DUT Adj Read]]&gt;=Table1[[#This Row],[Low Tol]],"Pass","Fail")))</f>
        <v>Pass</v>
      </c>
      <c r="AG2095" s="1" t="str">
        <f>IF(AND(Table1[[#This Row],[Spec Type2]]="N/A",Table1[[#This Row],[DUT Adj Read]]="N/A",Table1[[#This Row],[Std Adj Read]]="N/A"),"N/A",IF(Table1[[#This Row],[DUT Adj Read]]="N/A",IF(Table1[[#This Row],[Std Adj Read]]&lt;=Table1[[#This Row],[High Tol]],"Pass","Fail"),IF(Table1[[#This Row],[DUT Adj Read]]&lt;=Table1[[#This Row],[High Tol]],"Pass","Fail")))</f>
        <v>Fail</v>
      </c>
      <c r="AH20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5" s="1" t="b">
        <v>0</v>
      </c>
      <c r="AN2095" s="1" t="b">
        <v>0</v>
      </c>
      <c r="AO2095" s="1" t="b">
        <v>0</v>
      </c>
    </row>
    <row r="2096" spans="1:41" x14ac:dyDescent="0.25">
      <c r="A2096" s="10"/>
      <c r="B2096" s="10"/>
      <c r="C2096" s="10"/>
      <c r="D2096" s="10"/>
      <c r="E2096" s="10"/>
      <c r="F2096" s="10"/>
      <c r="G2096" s="10"/>
      <c r="H2096" s="10"/>
      <c r="I2096" s="1" t="str">
        <f t="shared" si="96"/>
        <v/>
      </c>
      <c r="J2096" s="1" t="s">
        <v>35</v>
      </c>
      <c r="K2096" s="1" t="str">
        <f t="shared" si="97"/>
        <v/>
      </c>
      <c r="L2096" s="1" t="str">
        <f t="shared" si="98"/>
        <v/>
      </c>
      <c r="M2096" s="1">
        <f>IF(OR(Table1[[#This Row],[Std Nom]]="",Table1[[#This Row],[Std Read]]=""),0,Table1[[#This Row],[Std Nom]]-Table1[[#This Row],[Std Read]])</f>
        <v>0</v>
      </c>
      <c r="N2096" s="1">
        <f>IF(Calculations!$F$5="ACCREDITED 17025 WITH UNCERTAINTIES",$N$10,0)</f>
        <v>0</v>
      </c>
      <c r="Q2096" s="1">
        <f>Table1[[#This Row],[High Tol]]-Table1[[#This Row],[Low Tol]]</f>
        <v>0</v>
      </c>
      <c r="R2096" s="1">
        <f>2*Table1[[#This Row],[Std Error]]</f>
        <v>0</v>
      </c>
      <c r="S2096" s="1" t="str">
        <f>IF(Table1[[#This Row],[High Tol]]="","N/A",IFERROR(ABS(Table1[[#This Row],[Tol Span]]/Table1[[#This Row],[Error Span]]),"N/A"))</f>
        <v>N/A</v>
      </c>
      <c r="T2096" s="1" t="str">
        <f>IF(OR(Table1[[#This Row],[Low Tol]]="",Table1[[#This Row],[High Tol]]=""),"Needs Analysis",IF(Table1[[#This Row],[Ratio]]&gt;=4,"Not Significant",IF(Table1[[#This Row],[Ratio]]&gt;=2,"Semi-Significant","Significant")))</f>
        <v>Needs Analysis</v>
      </c>
      <c r="W2096" s="1">
        <f>IF(Table1[[#This Row],[Cal Type]]&lt;&gt;"ACCREDITED 17025 WITH UNCERTAINTIES",0,"")</f>
        <v>0</v>
      </c>
      <c r="X2096" s="1" t="str">
        <f>IF(Table1[[#This Row],[DUT Read]]="","N/A",Table1[[#This Row],[Std Error]]+Table1[[#This Row],[DUT Read]]+Table1[[#This Row],[DUT Ucty]])</f>
        <v>N/A</v>
      </c>
      <c r="Y2096" s="1" t="str">
        <f>IF(Table1[[#This Row],[Std Read]]="","N/A",Table1[[#This Row],[Std Read]]+Table1[[#This Row],[Std Ucty]])</f>
        <v>N/A</v>
      </c>
      <c r="Z20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6" s="1" t="str">
        <f>IF(Table1[[#This Row],[Spec Type]]="","N/A",Table1[[#This Row],[Spec Type]])</f>
        <v>±</v>
      </c>
      <c r="AC2096" s="1" t="str">
        <f>IF(Table1[[#This Row],[Spec Type2]]="N/A","N/A",IF(AND(Table1[[#This Row],[DUT Adj Read]]&gt;=Table1[[#This Row],[Low Tol]],Table1[[#This Row],[DUT Adj Read]]&lt;=Table1[[#This Row],[High Tol]]),"Pass","Fail"))</f>
        <v>Fail</v>
      </c>
      <c r="AD2096" s="1" t="str">
        <f>IF(AND(Table1[[#This Row],[Spec Type2]]="N/A",Table1[[#This Row],[DUT Adj Read]]="N/A",Table1[[#This Row],[Std Adj Read]]="N/A"),"N/A",IF(Table1[[#This Row],[DUT Adj Read]]="N/A",IF(Table1[[#This Row],[Std Adj Read]]&gt;Table1[[#This Row],[Low Tol]],"Pass","Fail"),IF(Table1[[#This Row],[DUT Adj Read]]&gt;Table1[[#This Row],[Low Tol]],"Pass","Fail")))</f>
        <v>Pass</v>
      </c>
      <c r="AE2096" s="1" t="str">
        <f>IF(AND(Table1[[#This Row],[Spec Type2]]="N/A",Table1[[#This Row],[DUT Adj Read]]="N/A",Table1[[#This Row],[Std Adj Read]]="N/A"),"N/A",IF(Table1[[#This Row],[DUT Adj Read]]="N/A",IF(Table1[[#This Row],[Std Adj Read]]&lt;Table1[[#This Row],[High Tol]],"Pass","Fail"),IF(Table1[[#This Row],[DUT Adj Read]]&lt;Table1[[#This Row],[High Tol]],"Pass","Fail")))</f>
        <v>Fail</v>
      </c>
      <c r="AF2096" s="1" t="str">
        <f>IF(AND(Table1[[#This Row],[Spec Type2]]="N/A",Table1[[#This Row],[DUT Adj Read]]="N/A",Table1[[#This Row],[Std Adj Read]]="N/A"),"N/A",IF(Table1[[#This Row],[DUT Adj Read]]="N/A",IF(Table1[[#This Row],[Std Adj Read]]&gt;=Table1[[#This Row],[Low Tol]],"Pass","Fail"),IF(Table1[[#This Row],[DUT Adj Read]]&gt;=Table1[[#This Row],[Low Tol]],"Pass","Fail")))</f>
        <v>Pass</v>
      </c>
      <c r="AG2096" s="1" t="str">
        <f>IF(AND(Table1[[#This Row],[Spec Type2]]="N/A",Table1[[#This Row],[DUT Adj Read]]="N/A",Table1[[#This Row],[Std Adj Read]]="N/A"),"N/A",IF(Table1[[#This Row],[DUT Adj Read]]="N/A",IF(Table1[[#This Row],[Std Adj Read]]&lt;=Table1[[#This Row],[High Tol]],"Pass","Fail"),IF(Table1[[#This Row],[DUT Adj Read]]&lt;=Table1[[#This Row],[High Tol]],"Pass","Fail")))</f>
        <v>Fail</v>
      </c>
      <c r="AH20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6" s="1" t="b">
        <v>0</v>
      </c>
      <c r="AN2096" s="1" t="b">
        <v>0</v>
      </c>
      <c r="AO2096" s="1" t="b">
        <v>0</v>
      </c>
    </row>
    <row r="2097" spans="1:41" x14ac:dyDescent="0.25">
      <c r="A2097" s="10"/>
      <c r="B2097" s="10"/>
      <c r="C2097" s="10"/>
      <c r="D2097" s="10"/>
      <c r="E2097" s="10"/>
      <c r="F2097" s="10"/>
      <c r="G2097" s="10"/>
      <c r="H2097" s="10"/>
      <c r="I2097" s="1" t="str">
        <f t="shared" si="96"/>
        <v/>
      </c>
      <c r="J2097" s="1" t="s">
        <v>35</v>
      </c>
      <c r="K2097" s="1" t="str">
        <f t="shared" si="97"/>
        <v/>
      </c>
      <c r="L2097" s="1" t="str">
        <f t="shared" si="98"/>
        <v/>
      </c>
      <c r="M2097" s="1">
        <f>IF(OR(Table1[[#This Row],[Std Nom]]="",Table1[[#This Row],[Std Read]]=""),0,Table1[[#This Row],[Std Nom]]-Table1[[#This Row],[Std Read]])</f>
        <v>0</v>
      </c>
      <c r="N2097" s="1">
        <f>IF(Calculations!$F$5="ACCREDITED 17025 WITH UNCERTAINTIES",$N$10,0)</f>
        <v>0</v>
      </c>
      <c r="Q2097" s="1">
        <f>Table1[[#This Row],[High Tol]]-Table1[[#This Row],[Low Tol]]</f>
        <v>0</v>
      </c>
      <c r="R2097" s="1">
        <f>2*Table1[[#This Row],[Std Error]]</f>
        <v>0</v>
      </c>
      <c r="S2097" s="1" t="str">
        <f>IF(Table1[[#This Row],[High Tol]]="","N/A",IFERROR(ABS(Table1[[#This Row],[Tol Span]]/Table1[[#This Row],[Error Span]]),"N/A"))</f>
        <v>N/A</v>
      </c>
      <c r="T2097" s="1" t="str">
        <f>IF(OR(Table1[[#This Row],[Low Tol]]="",Table1[[#This Row],[High Tol]]=""),"Needs Analysis",IF(Table1[[#This Row],[Ratio]]&gt;=4,"Not Significant",IF(Table1[[#This Row],[Ratio]]&gt;=2,"Semi-Significant","Significant")))</f>
        <v>Needs Analysis</v>
      </c>
      <c r="W2097" s="1">
        <f>IF(Table1[[#This Row],[Cal Type]]&lt;&gt;"ACCREDITED 17025 WITH UNCERTAINTIES",0,"")</f>
        <v>0</v>
      </c>
      <c r="X2097" s="1" t="str">
        <f>IF(Table1[[#This Row],[DUT Read]]="","N/A",Table1[[#This Row],[Std Error]]+Table1[[#This Row],[DUT Read]]+Table1[[#This Row],[DUT Ucty]])</f>
        <v>N/A</v>
      </c>
      <c r="Y2097" s="1" t="str">
        <f>IF(Table1[[#This Row],[Std Read]]="","N/A",Table1[[#This Row],[Std Read]]+Table1[[#This Row],[Std Ucty]])</f>
        <v>N/A</v>
      </c>
      <c r="Z20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7" s="1" t="str">
        <f>IF(Table1[[#This Row],[Spec Type]]="","N/A",Table1[[#This Row],[Spec Type]])</f>
        <v>±</v>
      </c>
      <c r="AC2097" s="1" t="str">
        <f>IF(Table1[[#This Row],[Spec Type2]]="N/A","N/A",IF(AND(Table1[[#This Row],[DUT Adj Read]]&gt;=Table1[[#This Row],[Low Tol]],Table1[[#This Row],[DUT Adj Read]]&lt;=Table1[[#This Row],[High Tol]]),"Pass","Fail"))</f>
        <v>Fail</v>
      </c>
      <c r="AD2097" s="1" t="str">
        <f>IF(AND(Table1[[#This Row],[Spec Type2]]="N/A",Table1[[#This Row],[DUT Adj Read]]="N/A",Table1[[#This Row],[Std Adj Read]]="N/A"),"N/A",IF(Table1[[#This Row],[DUT Adj Read]]="N/A",IF(Table1[[#This Row],[Std Adj Read]]&gt;Table1[[#This Row],[Low Tol]],"Pass","Fail"),IF(Table1[[#This Row],[DUT Adj Read]]&gt;Table1[[#This Row],[Low Tol]],"Pass","Fail")))</f>
        <v>Pass</v>
      </c>
      <c r="AE2097" s="1" t="str">
        <f>IF(AND(Table1[[#This Row],[Spec Type2]]="N/A",Table1[[#This Row],[DUT Adj Read]]="N/A",Table1[[#This Row],[Std Adj Read]]="N/A"),"N/A",IF(Table1[[#This Row],[DUT Adj Read]]="N/A",IF(Table1[[#This Row],[Std Adj Read]]&lt;Table1[[#This Row],[High Tol]],"Pass","Fail"),IF(Table1[[#This Row],[DUT Adj Read]]&lt;Table1[[#This Row],[High Tol]],"Pass","Fail")))</f>
        <v>Fail</v>
      </c>
      <c r="AF2097" s="1" t="str">
        <f>IF(AND(Table1[[#This Row],[Spec Type2]]="N/A",Table1[[#This Row],[DUT Adj Read]]="N/A",Table1[[#This Row],[Std Adj Read]]="N/A"),"N/A",IF(Table1[[#This Row],[DUT Adj Read]]="N/A",IF(Table1[[#This Row],[Std Adj Read]]&gt;=Table1[[#This Row],[Low Tol]],"Pass","Fail"),IF(Table1[[#This Row],[DUT Adj Read]]&gt;=Table1[[#This Row],[Low Tol]],"Pass","Fail")))</f>
        <v>Pass</v>
      </c>
      <c r="AG2097" s="1" t="str">
        <f>IF(AND(Table1[[#This Row],[Spec Type2]]="N/A",Table1[[#This Row],[DUT Adj Read]]="N/A",Table1[[#This Row],[Std Adj Read]]="N/A"),"N/A",IF(Table1[[#This Row],[DUT Adj Read]]="N/A",IF(Table1[[#This Row],[Std Adj Read]]&lt;=Table1[[#This Row],[High Tol]],"Pass","Fail"),IF(Table1[[#This Row],[DUT Adj Read]]&lt;=Table1[[#This Row],[High Tol]],"Pass","Fail")))</f>
        <v>Fail</v>
      </c>
      <c r="AH20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7" s="1" t="b">
        <v>0</v>
      </c>
      <c r="AN2097" s="1" t="b">
        <v>0</v>
      </c>
      <c r="AO2097" s="1" t="b">
        <v>0</v>
      </c>
    </row>
    <row r="2098" spans="1:41" x14ac:dyDescent="0.25">
      <c r="A2098" s="10"/>
      <c r="B2098" s="10"/>
      <c r="C2098" s="10"/>
      <c r="D2098" s="10"/>
      <c r="E2098" s="10"/>
      <c r="F2098" s="10"/>
      <c r="G2098" s="10"/>
      <c r="H2098" s="10"/>
      <c r="I2098" s="1" t="str">
        <f t="shared" si="96"/>
        <v/>
      </c>
      <c r="J2098" s="1" t="s">
        <v>35</v>
      </c>
      <c r="K2098" s="1" t="str">
        <f t="shared" si="97"/>
        <v/>
      </c>
      <c r="L2098" s="1" t="str">
        <f t="shared" si="98"/>
        <v/>
      </c>
      <c r="M2098" s="1">
        <f>IF(OR(Table1[[#This Row],[Std Nom]]="",Table1[[#This Row],[Std Read]]=""),0,Table1[[#This Row],[Std Nom]]-Table1[[#This Row],[Std Read]])</f>
        <v>0</v>
      </c>
      <c r="N2098" s="1">
        <f>IF(Calculations!$F$5="ACCREDITED 17025 WITH UNCERTAINTIES",$N$10,0)</f>
        <v>0</v>
      </c>
      <c r="Q2098" s="1">
        <f>Table1[[#This Row],[High Tol]]-Table1[[#This Row],[Low Tol]]</f>
        <v>0</v>
      </c>
      <c r="R2098" s="1">
        <f>2*Table1[[#This Row],[Std Error]]</f>
        <v>0</v>
      </c>
      <c r="S2098" s="1" t="str">
        <f>IF(Table1[[#This Row],[High Tol]]="","N/A",IFERROR(ABS(Table1[[#This Row],[Tol Span]]/Table1[[#This Row],[Error Span]]),"N/A"))</f>
        <v>N/A</v>
      </c>
      <c r="T2098" s="1" t="str">
        <f>IF(OR(Table1[[#This Row],[Low Tol]]="",Table1[[#This Row],[High Tol]]=""),"Needs Analysis",IF(Table1[[#This Row],[Ratio]]&gt;=4,"Not Significant",IF(Table1[[#This Row],[Ratio]]&gt;=2,"Semi-Significant","Significant")))</f>
        <v>Needs Analysis</v>
      </c>
      <c r="W2098" s="1">
        <f>IF(Table1[[#This Row],[Cal Type]]&lt;&gt;"ACCREDITED 17025 WITH UNCERTAINTIES",0,"")</f>
        <v>0</v>
      </c>
      <c r="X2098" s="1" t="str">
        <f>IF(Table1[[#This Row],[DUT Read]]="","N/A",Table1[[#This Row],[Std Error]]+Table1[[#This Row],[DUT Read]]+Table1[[#This Row],[DUT Ucty]])</f>
        <v>N/A</v>
      </c>
      <c r="Y2098" s="1" t="str">
        <f>IF(Table1[[#This Row],[Std Read]]="","N/A",Table1[[#This Row],[Std Read]]+Table1[[#This Row],[Std Ucty]])</f>
        <v>N/A</v>
      </c>
      <c r="Z20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8" s="1" t="str">
        <f>IF(Table1[[#This Row],[Spec Type]]="","N/A",Table1[[#This Row],[Spec Type]])</f>
        <v>±</v>
      </c>
      <c r="AC2098" s="1" t="str">
        <f>IF(Table1[[#This Row],[Spec Type2]]="N/A","N/A",IF(AND(Table1[[#This Row],[DUT Adj Read]]&gt;=Table1[[#This Row],[Low Tol]],Table1[[#This Row],[DUT Adj Read]]&lt;=Table1[[#This Row],[High Tol]]),"Pass","Fail"))</f>
        <v>Fail</v>
      </c>
      <c r="AD2098" s="1" t="str">
        <f>IF(AND(Table1[[#This Row],[Spec Type2]]="N/A",Table1[[#This Row],[DUT Adj Read]]="N/A",Table1[[#This Row],[Std Adj Read]]="N/A"),"N/A",IF(Table1[[#This Row],[DUT Adj Read]]="N/A",IF(Table1[[#This Row],[Std Adj Read]]&gt;Table1[[#This Row],[Low Tol]],"Pass","Fail"),IF(Table1[[#This Row],[DUT Adj Read]]&gt;Table1[[#This Row],[Low Tol]],"Pass","Fail")))</f>
        <v>Pass</v>
      </c>
      <c r="AE2098" s="1" t="str">
        <f>IF(AND(Table1[[#This Row],[Spec Type2]]="N/A",Table1[[#This Row],[DUT Adj Read]]="N/A",Table1[[#This Row],[Std Adj Read]]="N/A"),"N/A",IF(Table1[[#This Row],[DUT Adj Read]]="N/A",IF(Table1[[#This Row],[Std Adj Read]]&lt;Table1[[#This Row],[High Tol]],"Pass","Fail"),IF(Table1[[#This Row],[DUT Adj Read]]&lt;Table1[[#This Row],[High Tol]],"Pass","Fail")))</f>
        <v>Fail</v>
      </c>
      <c r="AF2098" s="1" t="str">
        <f>IF(AND(Table1[[#This Row],[Spec Type2]]="N/A",Table1[[#This Row],[DUT Adj Read]]="N/A",Table1[[#This Row],[Std Adj Read]]="N/A"),"N/A",IF(Table1[[#This Row],[DUT Adj Read]]="N/A",IF(Table1[[#This Row],[Std Adj Read]]&gt;=Table1[[#This Row],[Low Tol]],"Pass","Fail"),IF(Table1[[#This Row],[DUT Adj Read]]&gt;=Table1[[#This Row],[Low Tol]],"Pass","Fail")))</f>
        <v>Pass</v>
      </c>
      <c r="AG2098" s="1" t="str">
        <f>IF(AND(Table1[[#This Row],[Spec Type2]]="N/A",Table1[[#This Row],[DUT Adj Read]]="N/A",Table1[[#This Row],[Std Adj Read]]="N/A"),"N/A",IF(Table1[[#This Row],[DUT Adj Read]]="N/A",IF(Table1[[#This Row],[Std Adj Read]]&lt;=Table1[[#This Row],[High Tol]],"Pass","Fail"),IF(Table1[[#This Row],[DUT Adj Read]]&lt;=Table1[[#This Row],[High Tol]],"Pass","Fail")))</f>
        <v>Fail</v>
      </c>
      <c r="AH20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8" s="1" t="b">
        <v>0</v>
      </c>
      <c r="AN2098" s="1" t="b">
        <v>0</v>
      </c>
      <c r="AO2098" s="1" t="b">
        <v>0</v>
      </c>
    </row>
    <row r="2099" spans="1:41" x14ac:dyDescent="0.25">
      <c r="A2099" s="10"/>
      <c r="B2099" s="10"/>
      <c r="C2099" s="10"/>
      <c r="D2099" s="10"/>
      <c r="E2099" s="10"/>
      <c r="F2099" s="10"/>
      <c r="G2099" s="10"/>
      <c r="H2099" s="10"/>
      <c r="I2099" s="1" t="str">
        <f t="shared" si="96"/>
        <v/>
      </c>
      <c r="J2099" s="1" t="s">
        <v>35</v>
      </c>
      <c r="K2099" s="1" t="str">
        <f t="shared" si="97"/>
        <v/>
      </c>
      <c r="L2099" s="1" t="str">
        <f t="shared" si="98"/>
        <v/>
      </c>
      <c r="M2099" s="1">
        <f>IF(OR(Table1[[#This Row],[Std Nom]]="",Table1[[#This Row],[Std Read]]=""),0,Table1[[#This Row],[Std Nom]]-Table1[[#This Row],[Std Read]])</f>
        <v>0</v>
      </c>
      <c r="N2099" s="1">
        <f>IF(Calculations!$F$5="ACCREDITED 17025 WITH UNCERTAINTIES",$N$10,0)</f>
        <v>0</v>
      </c>
      <c r="Q2099" s="1">
        <f>Table1[[#This Row],[High Tol]]-Table1[[#This Row],[Low Tol]]</f>
        <v>0</v>
      </c>
      <c r="R2099" s="1">
        <f>2*Table1[[#This Row],[Std Error]]</f>
        <v>0</v>
      </c>
      <c r="S2099" s="1" t="str">
        <f>IF(Table1[[#This Row],[High Tol]]="","N/A",IFERROR(ABS(Table1[[#This Row],[Tol Span]]/Table1[[#This Row],[Error Span]]),"N/A"))</f>
        <v>N/A</v>
      </c>
      <c r="T2099" s="1" t="str">
        <f>IF(OR(Table1[[#This Row],[Low Tol]]="",Table1[[#This Row],[High Tol]]=""),"Needs Analysis",IF(Table1[[#This Row],[Ratio]]&gt;=4,"Not Significant",IF(Table1[[#This Row],[Ratio]]&gt;=2,"Semi-Significant","Significant")))</f>
        <v>Needs Analysis</v>
      </c>
      <c r="W2099" s="1">
        <f>IF(Table1[[#This Row],[Cal Type]]&lt;&gt;"ACCREDITED 17025 WITH UNCERTAINTIES",0,"")</f>
        <v>0</v>
      </c>
      <c r="X2099" s="1" t="str">
        <f>IF(Table1[[#This Row],[DUT Read]]="","N/A",Table1[[#This Row],[Std Error]]+Table1[[#This Row],[DUT Read]]+Table1[[#This Row],[DUT Ucty]])</f>
        <v>N/A</v>
      </c>
      <c r="Y2099" s="1" t="str">
        <f>IF(Table1[[#This Row],[Std Read]]="","N/A",Table1[[#This Row],[Std Read]]+Table1[[#This Row],[Std Ucty]])</f>
        <v>N/A</v>
      </c>
      <c r="Z20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099" s="1" t="str">
        <f>IF(Table1[[#This Row],[Spec Type]]="","N/A",Table1[[#This Row],[Spec Type]])</f>
        <v>±</v>
      </c>
      <c r="AC2099" s="1" t="str">
        <f>IF(Table1[[#This Row],[Spec Type2]]="N/A","N/A",IF(AND(Table1[[#This Row],[DUT Adj Read]]&gt;=Table1[[#This Row],[Low Tol]],Table1[[#This Row],[DUT Adj Read]]&lt;=Table1[[#This Row],[High Tol]]),"Pass","Fail"))</f>
        <v>Fail</v>
      </c>
      <c r="AD2099" s="1" t="str">
        <f>IF(AND(Table1[[#This Row],[Spec Type2]]="N/A",Table1[[#This Row],[DUT Adj Read]]="N/A",Table1[[#This Row],[Std Adj Read]]="N/A"),"N/A",IF(Table1[[#This Row],[DUT Adj Read]]="N/A",IF(Table1[[#This Row],[Std Adj Read]]&gt;Table1[[#This Row],[Low Tol]],"Pass","Fail"),IF(Table1[[#This Row],[DUT Adj Read]]&gt;Table1[[#This Row],[Low Tol]],"Pass","Fail")))</f>
        <v>Pass</v>
      </c>
      <c r="AE2099" s="1" t="str">
        <f>IF(AND(Table1[[#This Row],[Spec Type2]]="N/A",Table1[[#This Row],[DUT Adj Read]]="N/A",Table1[[#This Row],[Std Adj Read]]="N/A"),"N/A",IF(Table1[[#This Row],[DUT Adj Read]]="N/A",IF(Table1[[#This Row],[Std Adj Read]]&lt;Table1[[#This Row],[High Tol]],"Pass","Fail"),IF(Table1[[#This Row],[DUT Adj Read]]&lt;Table1[[#This Row],[High Tol]],"Pass","Fail")))</f>
        <v>Fail</v>
      </c>
      <c r="AF2099" s="1" t="str">
        <f>IF(AND(Table1[[#This Row],[Spec Type2]]="N/A",Table1[[#This Row],[DUT Adj Read]]="N/A",Table1[[#This Row],[Std Adj Read]]="N/A"),"N/A",IF(Table1[[#This Row],[DUT Adj Read]]="N/A",IF(Table1[[#This Row],[Std Adj Read]]&gt;=Table1[[#This Row],[Low Tol]],"Pass","Fail"),IF(Table1[[#This Row],[DUT Adj Read]]&gt;=Table1[[#This Row],[Low Tol]],"Pass","Fail")))</f>
        <v>Pass</v>
      </c>
      <c r="AG2099" s="1" t="str">
        <f>IF(AND(Table1[[#This Row],[Spec Type2]]="N/A",Table1[[#This Row],[DUT Adj Read]]="N/A",Table1[[#This Row],[Std Adj Read]]="N/A"),"N/A",IF(Table1[[#This Row],[DUT Adj Read]]="N/A",IF(Table1[[#This Row],[Std Adj Read]]&lt;=Table1[[#This Row],[High Tol]],"Pass","Fail"),IF(Table1[[#This Row],[DUT Adj Read]]&lt;=Table1[[#This Row],[High Tol]],"Pass","Fail")))</f>
        <v>Fail</v>
      </c>
      <c r="AH20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099" s="1" t="b">
        <v>0</v>
      </c>
      <c r="AN2099" s="1" t="b">
        <v>0</v>
      </c>
      <c r="AO2099" s="1" t="b">
        <v>0</v>
      </c>
    </row>
    <row r="2100" spans="1:41" x14ac:dyDescent="0.25">
      <c r="A2100" s="10"/>
      <c r="B2100" s="10"/>
      <c r="C2100" s="10"/>
      <c r="D2100" s="10"/>
      <c r="E2100" s="10"/>
      <c r="F2100" s="10"/>
      <c r="G2100" s="10"/>
      <c r="H2100" s="10"/>
      <c r="I2100" s="1" t="str">
        <f t="shared" si="96"/>
        <v/>
      </c>
      <c r="J2100" s="1" t="s">
        <v>35</v>
      </c>
      <c r="K2100" s="1" t="str">
        <f t="shared" si="97"/>
        <v/>
      </c>
      <c r="L2100" s="1" t="str">
        <f t="shared" si="98"/>
        <v/>
      </c>
      <c r="M2100" s="1">
        <f>IF(OR(Table1[[#This Row],[Std Nom]]="",Table1[[#This Row],[Std Read]]=""),0,Table1[[#This Row],[Std Nom]]-Table1[[#This Row],[Std Read]])</f>
        <v>0</v>
      </c>
      <c r="N2100" s="1">
        <f>IF(Calculations!$F$5="ACCREDITED 17025 WITH UNCERTAINTIES",$N$10,0)</f>
        <v>0</v>
      </c>
      <c r="Q2100" s="1">
        <f>Table1[[#This Row],[High Tol]]-Table1[[#This Row],[Low Tol]]</f>
        <v>0</v>
      </c>
      <c r="R2100" s="1">
        <f>2*Table1[[#This Row],[Std Error]]</f>
        <v>0</v>
      </c>
      <c r="S2100" s="1" t="str">
        <f>IF(Table1[[#This Row],[High Tol]]="","N/A",IFERROR(ABS(Table1[[#This Row],[Tol Span]]/Table1[[#This Row],[Error Span]]),"N/A"))</f>
        <v>N/A</v>
      </c>
      <c r="T2100" s="1" t="str">
        <f>IF(OR(Table1[[#This Row],[Low Tol]]="",Table1[[#This Row],[High Tol]]=""),"Needs Analysis",IF(Table1[[#This Row],[Ratio]]&gt;=4,"Not Significant",IF(Table1[[#This Row],[Ratio]]&gt;=2,"Semi-Significant","Significant")))</f>
        <v>Needs Analysis</v>
      </c>
      <c r="W2100" s="1">
        <f>IF(Table1[[#This Row],[Cal Type]]&lt;&gt;"ACCREDITED 17025 WITH UNCERTAINTIES",0,"")</f>
        <v>0</v>
      </c>
      <c r="X2100" s="1" t="str">
        <f>IF(Table1[[#This Row],[DUT Read]]="","N/A",Table1[[#This Row],[Std Error]]+Table1[[#This Row],[DUT Read]]+Table1[[#This Row],[DUT Ucty]])</f>
        <v>N/A</v>
      </c>
      <c r="Y2100" s="1" t="str">
        <f>IF(Table1[[#This Row],[Std Read]]="","N/A",Table1[[#This Row],[Std Read]]+Table1[[#This Row],[Std Ucty]])</f>
        <v>N/A</v>
      </c>
      <c r="Z21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0" s="1" t="str">
        <f>IF(Table1[[#This Row],[Spec Type]]="","N/A",Table1[[#This Row],[Spec Type]])</f>
        <v>±</v>
      </c>
      <c r="AC2100" s="1" t="str">
        <f>IF(Table1[[#This Row],[Spec Type2]]="N/A","N/A",IF(AND(Table1[[#This Row],[DUT Adj Read]]&gt;=Table1[[#This Row],[Low Tol]],Table1[[#This Row],[DUT Adj Read]]&lt;=Table1[[#This Row],[High Tol]]),"Pass","Fail"))</f>
        <v>Fail</v>
      </c>
      <c r="AD2100" s="1" t="str">
        <f>IF(AND(Table1[[#This Row],[Spec Type2]]="N/A",Table1[[#This Row],[DUT Adj Read]]="N/A",Table1[[#This Row],[Std Adj Read]]="N/A"),"N/A",IF(Table1[[#This Row],[DUT Adj Read]]="N/A",IF(Table1[[#This Row],[Std Adj Read]]&gt;Table1[[#This Row],[Low Tol]],"Pass","Fail"),IF(Table1[[#This Row],[DUT Adj Read]]&gt;Table1[[#This Row],[Low Tol]],"Pass","Fail")))</f>
        <v>Pass</v>
      </c>
      <c r="AE2100" s="1" t="str">
        <f>IF(AND(Table1[[#This Row],[Spec Type2]]="N/A",Table1[[#This Row],[DUT Adj Read]]="N/A",Table1[[#This Row],[Std Adj Read]]="N/A"),"N/A",IF(Table1[[#This Row],[DUT Adj Read]]="N/A",IF(Table1[[#This Row],[Std Adj Read]]&lt;Table1[[#This Row],[High Tol]],"Pass","Fail"),IF(Table1[[#This Row],[DUT Adj Read]]&lt;Table1[[#This Row],[High Tol]],"Pass","Fail")))</f>
        <v>Fail</v>
      </c>
      <c r="AF2100" s="1" t="str">
        <f>IF(AND(Table1[[#This Row],[Spec Type2]]="N/A",Table1[[#This Row],[DUT Adj Read]]="N/A",Table1[[#This Row],[Std Adj Read]]="N/A"),"N/A",IF(Table1[[#This Row],[DUT Adj Read]]="N/A",IF(Table1[[#This Row],[Std Adj Read]]&gt;=Table1[[#This Row],[Low Tol]],"Pass","Fail"),IF(Table1[[#This Row],[DUT Adj Read]]&gt;=Table1[[#This Row],[Low Tol]],"Pass","Fail")))</f>
        <v>Pass</v>
      </c>
      <c r="AG2100" s="1" t="str">
        <f>IF(AND(Table1[[#This Row],[Spec Type2]]="N/A",Table1[[#This Row],[DUT Adj Read]]="N/A",Table1[[#This Row],[Std Adj Read]]="N/A"),"N/A",IF(Table1[[#This Row],[DUT Adj Read]]="N/A",IF(Table1[[#This Row],[Std Adj Read]]&lt;=Table1[[#This Row],[High Tol]],"Pass","Fail"),IF(Table1[[#This Row],[DUT Adj Read]]&lt;=Table1[[#This Row],[High Tol]],"Pass","Fail")))</f>
        <v>Fail</v>
      </c>
      <c r="AH21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0" s="1" t="b">
        <v>0</v>
      </c>
      <c r="AN2100" s="1" t="b">
        <v>0</v>
      </c>
      <c r="AO2100" s="1" t="b">
        <v>0</v>
      </c>
    </row>
    <row r="2101" spans="1:41" x14ac:dyDescent="0.25">
      <c r="A2101" s="10"/>
      <c r="B2101" s="10"/>
      <c r="C2101" s="10"/>
      <c r="D2101" s="10"/>
      <c r="E2101" s="10"/>
      <c r="F2101" s="10"/>
      <c r="G2101" s="10"/>
      <c r="H2101" s="10"/>
      <c r="I2101" s="1" t="str">
        <f t="shared" si="96"/>
        <v/>
      </c>
      <c r="J2101" s="1" t="s">
        <v>35</v>
      </c>
      <c r="K2101" s="1" t="str">
        <f t="shared" si="97"/>
        <v/>
      </c>
      <c r="L2101" s="1" t="str">
        <f t="shared" si="98"/>
        <v/>
      </c>
      <c r="M2101" s="1">
        <f>IF(OR(Table1[[#This Row],[Std Nom]]="",Table1[[#This Row],[Std Read]]=""),0,Table1[[#This Row],[Std Nom]]-Table1[[#This Row],[Std Read]])</f>
        <v>0</v>
      </c>
      <c r="N2101" s="1">
        <f>IF(Calculations!$F$5="ACCREDITED 17025 WITH UNCERTAINTIES",$N$10,0)</f>
        <v>0</v>
      </c>
      <c r="Q2101" s="1">
        <f>Table1[[#This Row],[High Tol]]-Table1[[#This Row],[Low Tol]]</f>
        <v>0</v>
      </c>
      <c r="R2101" s="1">
        <f>2*Table1[[#This Row],[Std Error]]</f>
        <v>0</v>
      </c>
      <c r="S2101" s="1" t="str">
        <f>IF(Table1[[#This Row],[High Tol]]="","N/A",IFERROR(ABS(Table1[[#This Row],[Tol Span]]/Table1[[#This Row],[Error Span]]),"N/A"))</f>
        <v>N/A</v>
      </c>
      <c r="T2101" s="1" t="str">
        <f>IF(OR(Table1[[#This Row],[Low Tol]]="",Table1[[#This Row],[High Tol]]=""),"Needs Analysis",IF(Table1[[#This Row],[Ratio]]&gt;=4,"Not Significant",IF(Table1[[#This Row],[Ratio]]&gt;=2,"Semi-Significant","Significant")))</f>
        <v>Needs Analysis</v>
      </c>
      <c r="W2101" s="1">
        <f>IF(Table1[[#This Row],[Cal Type]]&lt;&gt;"ACCREDITED 17025 WITH UNCERTAINTIES",0,"")</f>
        <v>0</v>
      </c>
      <c r="X2101" s="1" t="str">
        <f>IF(Table1[[#This Row],[DUT Read]]="","N/A",Table1[[#This Row],[Std Error]]+Table1[[#This Row],[DUT Read]]+Table1[[#This Row],[DUT Ucty]])</f>
        <v>N/A</v>
      </c>
      <c r="Y2101" s="1" t="str">
        <f>IF(Table1[[#This Row],[Std Read]]="","N/A",Table1[[#This Row],[Std Read]]+Table1[[#This Row],[Std Ucty]])</f>
        <v>N/A</v>
      </c>
      <c r="Z21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1" s="1" t="str">
        <f>IF(Table1[[#This Row],[Spec Type]]="","N/A",Table1[[#This Row],[Spec Type]])</f>
        <v>±</v>
      </c>
      <c r="AC2101" s="1" t="str">
        <f>IF(Table1[[#This Row],[Spec Type2]]="N/A","N/A",IF(AND(Table1[[#This Row],[DUT Adj Read]]&gt;=Table1[[#This Row],[Low Tol]],Table1[[#This Row],[DUT Adj Read]]&lt;=Table1[[#This Row],[High Tol]]),"Pass","Fail"))</f>
        <v>Fail</v>
      </c>
      <c r="AD2101" s="1" t="str">
        <f>IF(AND(Table1[[#This Row],[Spec Type2]]="N/A",Table1[[#This Row],[DUT Adj Read]]="N/A",Table1[[#This Row],[Std Adj Read]]="N/A"),"N/A",IF(Table1[[#This Row],[DUT Adj Read]]="N/A",IF(Table1[[#This Row],[Std Adj Read]]&gt;Table1[[#This Row],[Low Tol]],"Pass","Fail"),IF(Table1[[#This Row],[DUT Adj Read]]&gt;Table1[[#This Row],[Low Tol]],"Pass","Fail")))</f>
        <v>Pass</v>
      </c>
      <c r="AE2101" s="1" t="str">
        <f>IF(AND(Table1[[#This Row],[Spec Type2]]="N/A",Table1[[#This Row],[DUT Adj Read]]="N/A",Table1[[#This Row],[Std Adj Read]]="N/A"),"N/A",IF(Table1[[#This Row],[DUT Adj Read]]="N/A",IF(Table1[[#This Row],[Std Adj Read]]&lt;Table1[[#This Row],[High Tol]],"Pass","Fail"),IF(Table1[[#This Row],[DUT Adj Read]]&lt;Table1[[#This Row],[High Tol]],"Pass","Fail")))</f>
        <v>Fail</v>
      </c>
      <c r="AF2101" s="1" t="str">
        <f>IF(AND(Table1[[#This Row],[Spec Type2]]="N/A",Table1[[#This Row],[DUT Adj Read]]="N/A",Table1[[#This Row],[Std Adj Read]]="N/A"),"N/A",IF(Table1[[#This Row],[DUT Adj Read]]="N/A",IF(Table1[[#This Row],[Std Adj Read]]&gt;=Table1[[#This Row],[Low Tol]],"Pass","Fail"),IF(Table1[[#This Row],[DUT Adj Read]]&gt;=Table1[[#This Row],[Low Tol]],"Pass","Fail")))</f>
        <v>Pass</v>
      </c>
      <c r="AG2101" s="1" t="str">
        <f>IF(AND(Table1[[#This Row],[Spec Type2]]="N/A",Table1[[#This Row],[DUT Adj Read]]="N/A",Table1[[#This Row],[Std Adj Read]]="N/A"),"N/A",IF(Table1[[#This Row],[DUT Adj Read]]="N/A",IF(Table1[[#This Row],[Std Adj Read]]&lt;=Table1[[#This Row],[High Tol]],"Pass","Fail"),IF(Table1[[#This Row],[DUT Adj Read]]&lt;=Table1[[#This Row],[High Tol]],"Pass","Fail")))</f>
        <v>Fail</v>
      </c>
      <c r="AH21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1" s="1" t="b">
        <v>0</v>
      </c>
      <c r="AN2101" s="1" t="b">
        <v>0</v>
      </c>
      <c r="AO2101" s="1" t="b">
        <v>0</v>
      </c>
    </row>
    <row r="2102" spans="1:41" x14ac:dyDescent="0.25">
      <c r="A2102" s="10"/>
      <c r="B2102" s="10"/>
      <c r="C2102" s="10"/>
      <c r="D2102" s="10"/>
      <c r="E2102" s="10"/>
      <c r="F2102" s="10"/>
      <c r="G2102" s="10"/>
      <c r="H2102" s="10"/>
      <c r="I2102" s="1" t="str">
        <f t="shared" si="96"/>
        <v/>
      </c>
      <c r="J2102" s="1" t="s">
        <v>35</v>
      </c>
      <c r="K2102" s="1" t="str">
        <f t="shared" si="97"/>
        <v/>
      </c>
      <c r="L2102" s="1" t="str">
        <f t="shared" si="98"/>
        <v/>
      </c>
      <c r="M2102" s="1">
        <f>IF(OR(Table1[[#This Row],[Std Nom]]="",Table1[[#This Row],[Std Read]]=""),0,Table1[[#This Row],[Std Nom]]-Table1[[#This Row],[Std Read]])</f>
        <v>0</v>
      </c>
      <c r="N2102" s="1">
        <f>IF(Calculations!$F$5="ACCREDITED 17025 WITH UNCERTAINTIES",$N$10,0)</f>
        <v>0</v>
      </c>
      <c r="Q2102" s="1">
        <f>Table1[[#This Row],[High Tol]]-Table1[[#This Row],[Low Tol]]</f>
        <v>0</v>
      </c>
      <c r="R2102" s="1">
        <f>2*Table1[[#This Row],[Std Error]]</f>
        <v>0</v>
      </c>
      <c r="S2102" s="1" t="str">
        <f>IF(Table1[[#This Row],[High Tol]]="","N/A",IFERROR(ABS(Table1[[#This Row],[Tol Span]]/Table1[[#This Row],[Error Span]]),"N/A"))</f>
        <v>N/A</v>
      </c>
      <c r="T2102" s="1" t="str">
        <f>IF(OR(Table1[[#This Row],[Low Tol]]="",Table1[[#This Row],[High Tol]]=""),"Needs Analysis",IF(Table1[[#This Row],[Ratio]]&gt;=4,"Not Significant",IF(Table1[[#This Row],[Ratio]]&gt;=2,"Semi-Significant","Significant")))</f>
        <v>Needs Analysis</v>
      </c>
      <c r="W2102" s="1">
        <f>IF(Table1[[#This Row],[Cal Type]]&lt;&gt;"ACCREDITED 17025 WITH UNCERTAINTIES",0,"")</f>
        <v>0</v>
      </c>
      <c r="X2102" s="1" t="str">
        <f>IF(Table1[[#This Row],[DUT Read]]="","N/A",Table1[[#This Row],[Std Error]]+Table1[[#This Row],[DUT Read]]+Table1[[#This Row],[DUT Ucty]])</f>
        <v>N/A</v>
      </c>
      <c r="Y2102" s="1" t="str">
        <f>IF(Table1[[#This Row],[Std Read]]="","N/A",Table1[[#This Row],[Std Read]]+Table1[[#This Row],[Std Ucty]])</f>
        <v>N/A</v>
      </c>
      <c r="Z21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2" s="1" t="str">
        <f>IF(Table1[[#This Row],[Spec Type]]="","N/A",Table1[[#This Row],[Spec Type]])</f>
        <v>±</v>
      </c>
      <c r="AC2102" s="1" t="str">
        <f>IF(Table1[[#This Row],[Spec Type2]]="N/A","N/A",IF(AND(Table1[[#This Row],[DUT Adj Read]]&gt;=Table1[[#This Row],[Low Tol]],Table1[[#This Row],[DUT Adj Read]]&lt;=Table1[[#This Row],[High Tol]]),"Pass","Fail"))</f>
        <v>Fail</v>
      </c>
      <c r="AD2102" s="1" t="str">
        <f>IF(AND(Table1[[#This Row],[Spec Type2]]="N/A",Table1[[#This Row],[DUT Adj Read]]="N/A",Table1[[#This Row],[Std Adj Read]]="N/A"),"N/A",IF(Table1[[#This Row],[DUT Adj Read]]="N/A",IF(Table1[[#This Row],[Std Adj Read]]&gt;Table1[[#This Row],[Low Tol]],"Pass","Fail"),IF(Table1[[#This Row],[DUT Adj Read]]&gt;Table1[[#This Row],[Low Tol]],"Pass","Fail")))</f>
        <v>Pass</v>
      </c>
      <c r="AE2102" s="1" t="str">
        <f>IF(AND(Table1[[#This Row],[Spec Type2]]="N/A",Table1[[#This Row],[DUT Adj Read]]="N/A",Table1[[#This Row],[Std Adj Read]]="N/A"),"N/A",IF(Table1[[#This Row],[DUT Adj Read]]="N/A",IF(Table1[[#This Row],[Std Adj Read]]&lt;Table1[[#This Row],[High Tol]],"Pass","Fail"),IF(Table1[[#This Row],[DUT Adj Read]]&lt;Table1[[#This Row],[High Tol]],"Pass","Fail")))</f>
        <v>Fail</v>
      </c>
      <c r="AF2102" s="1" t="str">
        <f>IF(AND(Table1[[#This Row],[Spec Type2]]="N/A",Table1[[#This Row],[DUT Adj Read]]="N/A",Table1[[#This Row],[Std Adj Read]]="N/A"),"N/A",IF(Table1[[#This Row],[DUT Adj Read]]="N/A",IF(Table1[[#This Row],[Std Adj Read]]&gt;=Table1[[#This Row],[Low Tol]],"Pass","Fail"),IF(Table1[[#This Row],[DUT Adj Read]]&gt;=Table1[[#This Row],[Low Tol]],"Pass","Fail")))</f>
        <v>Pass</v>
      </c>
      <c r="AG2102" s="1" t="str">
        <f>IF(AND(Table1[[#This Row],[Spec Type2]]="N/A",Table1[[#This Row],[DUT Adj Read]]="N/A",Table1[[#This Row],[Std Adj Read]]="N/A"),"N/A",IF(Table1[[#This Row],[DUT Adj Read]]="N/A",IF(Table1[[#This Row],[Std Adj Read]]&lt;=Table1[[#This Row],[High Tol]],"Pass","Fail"),IF(Table1[[#This Row],[DUT Adj Read]]&lt;=Table1[[#This Row],[High Tol]],"Pass","Fail")))</f>
        <v>Fail</v>
      </c>
      <c r="AH21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2" s="1" t="b">
        <v>0</v>
      </c>
      <c r="AN2102" s="1" t="b">
        <v>0</v>
      </c>
      <c r="AO2102" s="1" t="b">
        <v>0</v>
      </c>
    </row>
    <row r="2103" spans="1:41" x14ac:dyDescent="0.25">
      <c r="A2103" s="10"/>
      <c r="B2103" s="10"/>
      <c r="C2103" s="10"/>
      <c r="D2103" s="10"/>
      <c r="E2103" s="10"/>
      <c r="F2103" s="10"/>
      <c r="G2103" s="10"/>
      <c r="H2103" s="10"/>
      <c r="I2103" s="1" t="str">
        <f t="shared" si="96"/>
        <v/>
      </c>
      <c r="J2103" s="1" t="s">
        <v>35</v>
      </c>
      <c r="K2103" s="1" t="str">
        <f t="shared" si="97"/>
        <v/>
      </c>
      <c r="L2103" s="1" t="str">
        <f t="shared" si="98"/>
        <v/>
      </c>
      <c r="M2103" s="1">
        <f>IF(OR(Table1[[#This Row],[Std Nom]]="",Table1[[#This Row],[Std Read]]=""),0,Table1[[#This Row],[Std Nom]]-Table1[[#This Row],[Std Read]])</f>
        <v>0</v>
      </c>
      <c r="N2103" s="1">
        <f>IF(Calculations!$F$5="ACCREDITED 17025 WITH UNCERTAINTIES",$N$10,0)</f>
        <v>0</v>
      </c>
      <c r="Q2103" s="1">
        <f>Table1[[#This Row],[High Tol]]-Table1[[#This Row],[Low Tol]]</f>
        <v>0</v>
      </c>
      <c r="R2103" s="1">
        <f>2*Table1[[#This Row],[Std Error]]</f>
        <v>0</v>
      </c>
      <c r="S2103" s="1" t="str">
        <f>IF(Table1[[#This Row],[High Tol]]="","N/A",IFERROR(ABS(Table1[[#This Row],[Tol Span]]/Table1[[#This Row],[Error Span]]),"N/A"))</f>
        <v>N/A</v>
      </c>
      <c r="T2103" s="1" t="str">
        <f>IF(OR(Table1[[#This Row],[Low Tol]]="",Table1[[#This Row],[High Tol]]=""),"Needs Analysis",IF(Table1[[#This Row],[Ratio]]&gt;=4,"Not Significant",IF(Table1[[#This Row],[Ratio]]&gt;=2,"Semi-Significant","Significant")))</f>
        <v>Needs Analysis</v>
      </c>
      <c r="W2103" s="1">
        <f>IF(Table1[[#This Row],[Cal Type]]&lt;&gt;"ACCREDITED 17025 WITH UNCERTAINTIES",0,"")</f>
        <v>0</v>
      </c>
      <c r="X2103" s="1" t="str">
        <f>IF(Table1[[#This Row],[DUT Read]]="","N/A",Table1[[#This Row],[Std Error]]+Table1[[#This Row],[DUT Read]]+Table1[[#This Row],[DUT Ucty]])</f>
        <v>N/A</v>
      </c>
      <c r="Y2103" s="1" t="str">
        <f>IF(Table1[[#This Row],[Std Read]]="","N/A",Table1[[#This Row],[Std Read]]+Table1[[#This Row],[Std Ucty]])</f>
        <v>N/A</v>
      </c>
      <c r="Z21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3" s="1" t="str">
        <f>IF(Table1[[#This Row],[Spec Type]]="","N/A",Table1[[#This Row],[Spec Type]])</f>
        <v>±</v>
      </c>
      <c r="AC2103" s="1" t="str">
        <f>IF(Table1[[#This Row],[Spec Type2]]="N/A","N/A",IF(AND(Table1[[#This Row],[DUT Adj Read]]&gt;=Table1[[#This Row],[Low Tol]],Table1[[#This Row],[DUT Adj Read]]&lt;=Table1[[#This Row],[High Tol]]),"Pass","Fail"))</f>
        <v>Fail</v>
      </c>
      <c r="AD2103" s="1" t="str">
        <f>IF(AND(Table1[[#This Row],[Spec Type2]]="N/A",Table1[[#This Row],[DUT Adj Read]]="N/A",Table1[[#This Row],[Std Adj Read]]="N/A"),"N/A",IF(Table1[[#This Row],[DUT Adj Read]]="N/A",IF(Table1[[#This Row],[Std Adj Read]]&gt;Table1[[#This Row],[Low Tol]],"Pass","Fail"),IF(Table1[[#This Row],[DUT Adj Read]]&gt;Table1[[#This Row],[Low Tol]],"Pass","Fail")))</f>
        <v>Pass</v>
      </c>
      <c r="AE2103" s="1" t="str">
        <f>IF(AND(Table1[[#This Row],[Spec Type2]]="N/A",Table1[[#This Row],[DUT Adj Read]]="N/A",Table1[[#This Row],[Std Adj Read]]="N/A"),"N/A",IF(Table1[[#This Row],[DUT Adj Read]]="N/A",IF(Table1[[#This Row],[Std Adj Read]]&lt;Table1[[#This Row],[High Tol]],"Pass","Fail"),IF(Table1[[#This Row],[DUT Adj Read]]&lt;Table1[[#This Row],[High Tol]],"Pass","Fail")))</f>
        <v>Fail</v>
      </c>
      <c r="AF2103" s="1" t="str">
        <f>IF(AND(Table1[[#This Row],[Spec Type2]]="N/A",Table1[[#This Row],[DUT Adj Read]]="N/A",Table1[[#This Row],[Std Adj Read]]="N/A"),"N/A",IF(Table1[[#This Row],[DUT Adj Read]]="N/A",IF(Table1[[#This Row],[Std Adj Read]]&gt;=Table1[[#This Row],[Low Tol]],"Pass","Fail"),IF(Table1[[#This Row],[DUT Adj Read]]&gt;=Table1[[#This Row],[Low Tol]],"Pass","Fail")))</f>
        <v>Pass</v>
      </c>
      <c r="AG2103" s="1" t="str">
        <f>IF(AND(Table1[[#This Row],[Spec Type2]]="N/A",Table1[[#This Row],[DUT Adj Read]]="N/A",Table1[[#This Row],[Std Adj Read]]="N/A"),"N/A",IF(Table1[[#This Row],[DUT Adj Read]]="N/A",IF(Table1[[#This Row],[Std Adj Read]]&lt;=Table1[[#This Row],[High Tol]],"Pass","Fail"),IF(Table1[[#This Row],[DUT Adj Read]]&lt;=Table1[[#This Row],[High Tol]],"Pass","Fail")))</f>
        <v>Fail</v>
      </c>
      <c r="AH21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3" s="1" t="b">
        <v>0</v>
      </c>
      <c r="AN2103" s="1" t="b">
        <v>0</v>
      </c>
      <c r="AO2103" s="1" t="b">
        <v>0</v>
      </c>
    </row>
    <row r="2104" spans="1:41" x14ac:dyDescent="0.25">
      <c r="A2104" s="10"/>
      <c r="B2104" s="10"/>
      <c r="C2104" s="10"/>
      <c r="D2104" s="10"/>
      <c r="E2104" s="10"/>
      <c r="F2104" s="10"/>
      <c r="G2104" s="10"/>
      <c r="H2104" s="10"/>
      <c r="I2104" s="1" t="str">
        <f t="shared" si="96"/>
        <v/>
      </c>
      <c r="J2104" s="1" t="s">
        <v>35</v>
      </c>
      <c r="K2104" s="1" t="str">
        <f t="shared" si="97"/>
        <v/>
      </c>
      <c r="L2104" s="1" t="str">
        <f t="shared" si="98"/>
        <v/>
      </c>
      <c r="M2104" s="1">
        <f>IF(OR(Table1[[#This Row],[Std Nom]]="",Table1[[#This Row],[Std Read]]=""),0,Table1[[#This Row],[Std Nom]]-Table1[[#This Row],[Std Read]])</f>
        <v>0</v>
      </c>
      <c r="N2104" s="1">
        <f>IF(Calculations!$F$5="ACCREDITED 17025 WITH UNCERTAINTIES",$N$10,0)</f>
        <v>0</v>
      </c>
      <c r="Q2104" s="1">
        <f>Table1[[#This Row],[High Tol]]-Table1[[#This Row],[Low Tol]]</f>
        <v>0</v>
      </c>
      <c r="R2104" s="1">
        <f>2*Table1[[#This Row],[Std Error]]</f>
        <v>0</v>
      </c>
      <c r="S2104" s="1" t="str">
        <f>IF(Table1[[#This Row],[High Tol]]="","N/A",IFERROR(ABS(Table1[[#This Row],[Tol Span]]/Table1[[#This Row],[Error Span]]),"N/A"))</f>
        <v>N/A</v>
      </c>
      <c r="T2104" s="1" t="str">
        <f>IF(OR(Table1[[#This Row],[Low Tol]]="",Table1[[#This Row],[High Tol]]=""),"Needs Analysis",IF(Table1[[#This Row],[Ratio]]&gt;=4,"Not Significant",IF(Table1[[#This Row],[Ratio]]&gt;=2,"Semi-Significant","Significant")))</f>
        <v>Needs Analysis</v>
      </c>
      <c r="W2104" s="1">
        <f>IF(Table1[[#This Row],[Cal Type]]&lt;&gt;"ACCREDITED 17025 WITH UNCERTAINTIES",0,"")</f>
        <v>0</v>
      </c>
      <c r="X2104" s="1" t="str">
        <f>IF(Table1[[#This Row],[DUT Read]]="","N/A",Table1[[#This Row],[Std Error]]+Table1[[#This Row],[DUT Read]]+Table1[[#This Row],[DUT Ucty]])</f>
        <v>N/A</v>
      </c>
      <c r="Y2104" s="1" t="str">
        <f>IF(Table1[[#This Row],[Std Read]]="","N/A",Table1[[#This Row],[Std Read]]+Table1[[#This Row],[Std Ucty]])</f>
        <v>N/A</v>
      </c>
      <c r="Z21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4" s="1" t="str">
        <f>IF(Table1[[#This Row],[Spec Type]]="","N/A",Table1[[#This Row],[Spec Type]])</f>
        <v>±</v>
      </c>
      <c r="AC2104" s="1" t="str">
        <f>IF(Table1[[#This Row],[Spec Type2]]="N/A","N/A",IF(AND(Table1[[#This Row],[DUT Adj Read]]&gt;=Table1[[#This Row],[Low Tol]],Table1[[#This Row],[DUT Adj Read]]&lt;=Table1[[#This Row],[High Tol]]),"Pass","Fail"))</f>
        <v>Fail</v>
      </c>
      <c r="AD2104" s="1" t="str">
        <f>IF(AND(Table1[[#This Row],[Spec Type2]]="N/A",Table1[[#This Row],[DUT Adj Read]]="N/A",Table1[[#This Row],[Std Adj Read]]="N/A"),"N/A",IF(Table1[[#This Row],[DUT Adj Read]]="N/A",IF(Table1[[#This Row],[Std Adj Read]]&gt;Table1[[#This Row],[Low Tol]],"Pass","Fail"),IF(Table1[[#This Row],[DUT Adj Read]]&gt;Table1[[#This Row],[Low Tol]],"Pass","Fail")))</f>
        <v>Pass</v>
      </c>
      <c r="AE2104" s="1" t="str">
        <f>IF(AND(Table1[[#This Row],[Spec Type2]]="N/A",Table1[[#This Row],[DUT Adj Read]]="N/A",Table1[[#This Row],[Std Adj Read]]="N/A"),"N/A",IF(Table1[[#This Row],[DUT Adj Read]]="N/A",IF(Table1[[#This Row],[Std Adj Read]]&lt;Table1[[#This Row],[High Tol]],"Pass","Fail"),IF(Table1[[#This Row],[DUT Adj Read]]&lt;Table1[[#This Row],[High Tol]],"Pass","Fail")))</f>
        <v>Fail</v>
      </c>
      <c r="AF2104" s="1" t="str">
        <f>IF(AND(Table1[[#This Row],[Spec Type2]]="N/A",Table1[[#This Row],[DUT Adj Read]]="N/A",Table1[[#This Row],[Std Adj Read]]="N/A"),"N/A",IF(Table1[[#This Row],[DUT Adj Read]]="N/A",IF(Table1[[#This Row],[Std Adj Read]]&gt;=Table1[[#This Row],[Low Tol]],"Pass","Fail"),IF(Table1[[#This Row],[DUT Adj Read]]&gt;=Table1[[#This Row],[Low Tol]],"Pass","Fail")))</f>
        <v>Pass</v>
      </c>
      <c r="AG2104" s="1" t="str">
        <f>IF(AND(Table1[[#This Row],[Spec Type2]]="N/A",Table1[[#This Row],[DUT Adj Read]]="N/A",Table1[[#This Row],[Std Adj Read]]="N/A"),"N/A",IF(Table1[[#This Row],[DUT Adj Read]]="N/A",IF(Table1[[#This Row],[Std Adj Read]]&lt;=Table1[[#This Row],[High Tol]],"Pass","Fail"),IF(Table1[[#This Row],[DUT Adj Read]]&lt;=Table1[[#This Row],[High Tol]],"Pass","Fail")))</f>
        <v>Fail</v>
      </c>
      <c r="AH21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4" s="1" t="b">
        <v>0</v>
      </c>
      <c r="AN2104" s="1" t="b">
        <v>0</v>
      </c>
      <c r="AO2104" s="1" t="b">
        <v>0</v>
      </c>
    </row>
    <row r="2105" spans="1:41" x14ac:dyDescent="0.25">
      <c r="A2105" s="10"/>
      <c r="B2105" s="10"/>
      <c r="C2105" s="10"/>
      <c r="D2105" s="10"/>
      <c r="E2105" s="10"/>
      <c r="F2105" s="10"/>
      <c r="G2105" s="10"/>
      <c r="H2105" s="10"/>
      <c r="I2105" s="1" t="str">
        <f t="shared" si="96"/>
        <v/>
      </c>
      <c r="J2105" s="1" t="s">
        <v>35</v>
      </c>
      <c r="K2105" s="1" t="str">
        <f t="shared" si="97"/>
        <v/>
      </c>
      <c r="L2105" s="1" t="str">
        <f t="shared" si="98"/>
        <v/>
      </c>
      <c r="M2105" s="1">
        <f>IF(OR(Table1[[#This Row],[Std Nom]]="",Table1[[#This Row],[Std Read]]=""),0,Table1[[#This Row],[Std Nom]]-Table1[[#This Row],[Std Read]])</f>
        <v>0</v>
      </c>
      <c r="N2105" s="1">
        <f>IF(Calculations!$F$5="ACCREDITED 17025 WITH UNCERTAINTIES",$N$10,0)</f>
        <v>0</v>
      </c>
      <c r="Q2105" s="1">
        <f>Table1[[#This Row],[High Tol]]-Table1[[#This Row],[Low Tol]]</f>
        <v>0</v>
      </c>
      <c r="R2105" s="1">
        <f>2*Table1[[#This Row],[Std Error]]</f>
        <v>0</v>
      </c>
      <c r="S2105" s="1" t="str">
        <f>IF(Table1[[#This Row],[High Tol]]="","N/A",IFERROR(ABS(Table1[[#This Row],[Tol Span]]/Table1[[#This Row],[Error Span]]),"N/A"))</f>
        <v>N/A</v>
      </c>
      <c r="T2105" s="1" t="str">
        <f>IF(OR(Table1[[#This Row],[Low Tol]]="",Table1[[#This Row],[High Tol]]=""),"Needs Analysis",IF(Table1[[#This Row],[Ratio]]&gt;=4,"Not Significant",IF(Table1[[#This Row],[Ratio]]&gt;=2,"Semi-Significant","Significant")))</f>
        <v>Needs Analysis</v>
      </c>
      <c r="W2105" s="1">
        <f>IF(Table1[[#This Row],[Cal Type]]&lt;&gt;"ACCREDITED 17025 WITH UNCERTAINTIES",0,"")</f>
        <v>0</v>
      </c>
      <c r="X2105" s="1" t="str">
        <f>IF(Table1[[#This Row],[DUT Read]]="","N/A",Table1[[#This Row],[Std Error]]+Table1[[#This Row],[DUT Read]]+Table1[[#This Row],[DUT Ucty]])</f>
        <v>N/A</v>
      </c>
      <c r="Y2105" s="1" t="str">
        <f>IF(Table1[[#This Row],[Std Read]]="","N/A",Table1[[#This Row],[Std Read]]+Table1[[#This Row],[Std Ucty]])</f>
        <v>N/A</v>
      </c>
      <c r="Z21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5" s="1" t="str">
        <f>IF(Table1[[#This Row],[Spec Type]]="","N/A",Table1[[#This Row],[Spec Type]])</f>
        <v>±</v>
      </c>
      <c r="AC2105" s="1" t="str">
        <f>IF(Table1[[#This Row],[Spec Type2]]="N/A","N/A",IF(AND(Table1[[#This Row],[DUT Adj Read]]&gt;=Table1[[#This Row],[Low Tol]],Table1[[#This Row],[DUT Adj Read]]&lt;=Table1[[#This Row],[High Tol]]),"Pass","Fail"))</f>
        <v>Fail</v>
      </c>
      <c r="AD2105" s="1" t="str">
        <f>IF(AND(Table1[[#This Row],[Spec Type2]]="N/A",Table1[[#This Row],[DUT Adj Read]]="N/A",Table1[[#This Row],[Std Adj Read]]="N/A"),"N/A",IF(Table1[[#This Row],[DUT Adj Read]]="N/A",IF(Table1[[#This Row],[Std Adj Read]]&gt;Table1[[#This Row],[Low Tol]],"Pass","Fail"),IF(Table1[[#This Row],[DUT Adj Read]]&gt;Table1[[#This Row],[Low Tol]],"Pass","Fail")))</f>
        <v>Pass</v>
      </c>
      <c r="AE2105" s="1" t="str">
        <f>IF(AND(Table1[[#This Row],[Spec Type2]]="N/A",Table1[[#This Row],[DUT Adj Read]]="N/A",Table1[[#This Row],[Std Adj Read]]="N/A"),"N/A",IF(Table1[[#This Row],[DUT Adj Read]]="N/A",IF(Table1[[#This Row],[Std Adj Read]]&lt;Table1[[#This Row],[High Tol]],"Pass","Fail"),IF(Table1[[#This Row],[DUT Adj Read]]&lt;Table1[[#This Row],[High Tol]],"Pass","Fail")))</f>
        <v>Fail</v>
      </c>
      <c r="AF2105" s="1" t="str">
        <f>IF(AND(Table1[[#This Row],[Spec Type2]]="N/A",Table1[[#This Row],[DUT Adj Read]]="N/A",Table1[[#This Row],[Std Adj Read]]="N/A"),"N/A",IF(Table1[[#This Row],[DUT Adj Read]]="N/A",IF(Table1[[#This Row],[Std Adj Read]]&gt;=Table1[[#This Row],[Low Tol]],"Pass","Fail"),IF(Table1[[#This Row],[DUT Adj Read]]&gt;=Table1[[#This Row],[Low Tol]],"Pass","Fail")))</f>
        <v>Pass</v>
      </c>
      <c r="AG2105" s="1" t="str">
        <f>IF(AND(Table1[[#This Row],[Spec Type2]]="N/A",Table1[[#This Row],[DUT Adj Read]]="N/A",Table1[[#This Row],[Std Adj Read]]="N/A"),"N/A",IF(Table1[[#This Row],[DUT Adj Read]]="N/A",IF(Table1[[#This Row],[Std Adj Read]]&lt;=Table1[[#This Row],[High Tol]],"Pass","Fail"),IF(Table1[[#This Row],[DUT Adj Read]]&lt;=Table1[[#This Row],[High Tol]],"Pass","Fail")))</f>
        <v>Fail</v>
      </c>
      <c r="AH21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5" s="1" t="b">
        <v>0</v>
      </c>
      <c r="AN2105" s="1" t="b">
        <v>0</v>
      </c>
      <c r="AO2105" s="1" t="b">
        <v>0</v>
      </c>
    </row>
    <row r="2106" spans="1:41" x14ac:dyDescent="0.25">
      <c r="A2106" s="10"/>
      <c r="B2106" s="10"/>
      <c r="C2106" s="10"/>
      <c r="D2106" s="10"/>
      <c r="E2106" s="10"/>
      <c r="F2106" s="10"/>
      <c r="G2106" s="10"/>
      <c r="H2106" s="10"/>
      <c r="I2106" s="1" t="str">
        <f t="shared" si="96"/>
        <v/>
      </c>
      <c r="J2106" s="1" t="s">
        <v>35</v>
      </c>
      <c r="K2106" s="1" t="str">
        <f t="shared" si="97"/>
        <v/>
      </c>
      <c r="L2106" s="1" t="str">
        <f t="shared" si="98"/>
        <v/>
      </c>
      <c r="M2106" s="1">
        <f>IF(OR(Table1[[#This Row],[Std Nom]]="",Table1[[#This Row],[Std Read]]=""),0,Table1[[#This Row],[Std Nom]]-Table1[[#This Row],[Std Read]])</f>
        <v>0</v>
      </c>
      <c r="N2106" s="1">
        <f>IF(Calculations!$F$5="ACCREDITED 17025 WITH UNCERTAINTIES",$N$10,0)</f>
        <v>0</v>
      </c>
      <c r="Q2106" s="1">
        <f>Table1[[#This Row],[High Tol]]-Table1[[#This Row],[Low Tol]]</f>
        <v>0</v>
      </c>
      <c r="R2106" s="1">
        <f>2*Table1[[#This Row],[Std Error]]</f>
        <v>0</v>
      </c>
      <c r="S2106" s="1" t="str">
        <f>IF(Table1[[#This Row],[High Tol]]="","N/A",IFERROR(ABS(Table1[[#This Row],[Tol Span]]/Table1[[#This Row],[Error Span]]),"N/A"))</f>
        <v>N/A</v>
      </c>
      <c r="T2106" s="1" t="str">
        <f>IF(OR(Table1[[#This Row],[Low Tol]]="",Table1[[#This Row],[High Tol]]=""),"Needs Analysis",IF(Table1[[#This Row],[Ratio]]&gt;=4,"Not Significant",IF(Table1[[#This Row],[Ratio]]&gt;=2,"Semi-Significant","Significant")))</f>
        <v>Needs Analysis</v>
      </c>
      <c r="W2106" s="1">
        <f>IF(Table1[[#This Row],[Cal Type]]&lt;&gt;"ACCREDITED 17025 WITH UNCERTAINTIES",0,"")</f>
        <v>0</v>
      </c>
      <c r="X2106" s="1" t="str">
        <f>IF(Table1[[#This Row],[DUT Read]]="","N/A",Table1[[#This Row],[Std Error]]+Table1[[#This Row],[DUT Read]]+Table1[[#This Row],[DUT Ucty]])</f>
        <v>N/A</v>
      </c>
      <c r="Y2106" s="1" t="str">
        <f>IF(Table1[[#This Row],[Std Read]]="","N/A",Table1[[#This Row],[Std Read]]+Table1[[#This Row],[Std Ucty]])</f>
        <v>N/A</v>
      </c>
      <c r="Z21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6" s="1" t="str">
        <f>IF(Table1[[#This Row],[Spec Type]]="","N/A",Table1[[#This Row],[Spec Type]])</f>
        <v>±</v>
      </c>
      <c r="AC2106" s="1" t="str">
        <f>IF(Table1[[#This Row],[Spec Type2]]="N/A","N/A",IF(AND(Table1[[#This Row],[DUT Adj Read]]&gt;=Table1[[#This Row],[Low Tol]],Table1[[#This Row],[DUT Adj Read]]&lt;=Table1[[#This Row],[High Tol]]),"Pass","Fail"))</f>
        <v>Fail</v>
      </c>
      <c r="AD2106" s="1" t="str">
        <f>IF(AND(Table1[[#This Row],[Spec Type2]]="N/A",Table1[[#This Row],[DUT Adj Read]]="N/A",Table1[[#This Row],[Std Adj Read]]="N/A"),"N/A",IF(Table1[[#This Row],[DUT Adj Read]]="N/A",IF(Table1[[#This Row],[Std Adj Read]]&gt;Table1[[#This Row],[Low Tol]],"Pass","Fail"),IF(Table1[[#This Row],[DUT Adj Read]]&gt;Table1[[#This Row],[Low Tol]],"Pass","Fail")))</f>
        <v>Pass</v>
      </c>
      <c r="AE2106" s="1" t="str">
        <f>IF(AND(Table1[[#This Row],[Spec Type2]]="N/A",Table1[[#This Row],[DUT Adj Read]]="N/A",Table1[[#This Row],[Std Adj Read]]="N/A"),"N/A",IF(Table1[[#This Row],[DUT Adj Read]]="N/A",IF(Table1[[#This Row],[Std Adj Read]]&lt;Table1[[#This Row],[High Tol]],"Pass","Fail"),IF(Table1[[#This Row],[DUT Adj Read]]&lt;Table1[[#This Row],[High Tol]],"Pass","Fail")))</f>
        <v>Fail</v>
      </c>
      <c r="AF2106" s="1" t="str">
        <f>IF(AND(Table1[[#This Row],[Spec Type2]]="N/A",Table1[[#This Row],[DUT Adj Read]]="N/A",Table1[[#This Row],[Std Adj Read]]="N/A"),"N/A",IF(Table1[[#This Row],[DUT Adj Read]]="N/A",IF(Table1[[#This Row],[Std Adj Read]]&gt;=Table1[[#This Row],[Low Tol]],"Pass","Fail"),IF(Table1[[#This Row],[DUT Adj Read]]&gt;=Table1[[#This Row],[Low Tol]],"Pass","Fail")))</f>
        <v>Pass</v>
      </c>
      <c r="AG2106" s="1" t="str">
        <f>IF(AND(Table1[[#This Row],[Spec Type2]]="N/A",Table1[[#This Row],[DUT Adj Read]]="N/A",Table1[[#This Row],[Std Adj Read]]="N/A"),"N/A",IF(Table1[[#This Row],[DUT Adj Read]]="N/A",IF(Table1[[#This Row],[Std Adj Read]]&lt;=Table1[[#This Row],[High Tol]],"Pass","Fail"),IF(Table1[[#This Row],[DUT Adj Read]]&lt;=Table1[[#This Row],[High Tol]],"Pass","Fail")))</f>
        <v>Fail</v>
      </c>
      <c r="AH21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6" s="1" t="b">
        <v>0</v>
      </c>
      <c r="AN2106" s="1" t="b">
        <v>0</v>
      </c>
      <c r="AO2106" s="1" t="b">
        <v>0</v>
      </c>
    </row>
    <row r="2107" spans="1:41" x14ac:dyDescent="0.25">
      <c r="A2107" s="10"/>
      <c r="B2107" s="10"/>
      <c r="C2107" s="10"/>
      <c r="D2107" s="10"/>
      <c r="E2107" s="10"/>
      <c r="F2107" s="10"/>
      <c r="G2107" s="10"/>
      <c r="H2107" s="10"/>
      <c r="I2107" s="1" t="str">
        <f t="shared" si="96"/>
        <v/>
      </c>
      <c r="J2107" s="1" t="s">
        <v>35</v>
      </c>
      <c r="K2107" s="1" t="str">
        <f t="shared" si="97"/>
        <v/>
      </c>
      <c r="L2107" s="1" t="str">
        <f t="shared" si="98"/>
        <v/>
      </c>
      <c r="M2107" s="1">
        <f>IF(OR(Table1[[#This Row],[Std Nom]]="",Table1[[#This Row],[Std Read]]=""),0,Table1[[#This Row],[Std Nom]]-Table1[[#This Row],[Std Read]])</f>
        <v>0</v>
      </c>
      <c r="N2107" s="1">
        <f>IF(Calculations!$F$5="ACCREDITED 17025 WITH UNCERTAINTIES",$N$10,0)</f>
        <v>0</v>
      </c>
      <c r="Q2107" s="1">
        <f>Table1[[#This Row],[High Tol]]-Table1[[#This Row],[Low Tol]]</f>
        <v>0</v>
      </c>
      <c r="R2107" s="1">
        <f>2*Table1[[#This Row],[Std Error]]</f>
        <v>0</v>
      </c>
      <c r="S2107" s="1" t="str">
        <f>IF(Table1[[#This Row],[High Tol]]="","N/A",IFERROR(ABS(Table1[[#This Row],[Tol Span]]/Table1[[#This Row],[Error Span]]),"N/A"))</f>
        <v>N/A</v>
      </c>
      <c r="T2107" s="1" t="str">
        <f>IF(OR(Table1[[#This Row],[Low Tol]]="",Table1[[#This Row],[High Tol]]=""),"Needs Analysis",IF(Table1[[#This Row],[Ratio]]&gt;=4,"Not Significant",IF(Table1[[#This Row],[Ratio]]&gt;=2,"Semi-Significant","Significant")))</f>
        <v>Needs Analysis</v>
      </c>
      <c r="W2107" s="1">
        <f>IF(Table1[[#This Row],[Cal Type]]&lt;&gt;"ACCREDITED 17025 WITH UNCERTAINTIES",0,"")</f>
        <v>0</v>
      </c>
      <c r="X2107" s="1" t="str">
        <f>IF(Table1[[#This Row],[DUT Read]]="","N/A",Table1[[#This Row],[Std Error]]+Table1[[#This Row],[DUT Read]]+Table1[[#This Row],[DUT Ucty]])</f>
        <v>N/A</v>
      </c>
      <c r="Y2107" s="1" t="str">
        <f>IF(Table1[[#This Row],[Std Read]]="","N/A",Table1[[#This Row],[Std Read]]+Table1[[#This Row],[Std Ucty]])</f>
        <v>N/A</v>
      </c>
      <c r="Z21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7" s="1" t="str">
        <f>IF(Table1[[#This Row],[Spec Type]]="","N/A",Table1[[#This Row],[Spec Type]])</f>
        <v>±</v>
      </c>
      <c r="AC2107" s="1" t="str">
        <f>IF(Table1[[#This Row],[Spec Type2]]="N/A","N/A",IF(AND(Table1[[#This Row],[DUT Adj Read]]&gt;=Table1[[#This Row],[Low Tol]],Table1[[#This Row],[DUT Adj Read]]&lt;=Table1[[#This Row],[High Tol]]),"Pass","Fail"))</f>
        <v>Fail</v>
      </c>
      <c r="AD2107" s="1" t="str">
        <f>IF(AND(Table1[[#This Row],[Spec Type2]]="N/A",Table1[[#This Row],[DUT Adj Read]]="N/A",Table1[[#This Row],[Std Adj Read]]="N/A"),"N/A",IF(Table1[[#This Row],[DUT Adj Read]]="N/A",IF(Table1[[#This Row],[Std Adj Read]]&gt;Table1[[#This Row],[Low Tol]],"Pass","Fail"),IF(Table1[[#This Row],[DUT Adj Read]]&gt;Table1[[#This Row],[Low Tol]],"Pass","Fail")))</f>
        <v>Pass</v>
      </c>
      <c r="AE2107" s="1" t="str">
        <f>IF(AND(Table1[[#This Row],[Spec Type2]]="N/A",Table1[[#This Row],[DUT Adj Read]]="N/A",Table1[[#This Row],[Std Adj Read]]="N/A"),"N/A",IF(Table1[[#This Row],[DUT Adj Read]]="N/A",IF(Table1[[#This Row],[Std Adj Read]]&lt;Table1[[#This Row],[High Tol]],"Pass","Fail"),IF(Table1[[#This Row],[DUT Adj Read]]&lt;Table1[[#This Row],[High Tol]],"Pass","Fail")))</f>
        <v>Fail</v>
      </c>
      <c r="AF2107" s="1" t="str">
        <f>IF(AND(Table1[[#This Row],[Spec Type2]]="N/A",Table1[[#This Row],[DUT Adj Read]]="N/A",Table1[[#This Row],[Std Adj Read]]="N/A"),"N/A",IF(Table1[[#This Row],[DUT Adj Read]]="N/A",IF(Table1[[#This Row],[Std Adj Read]]&gt;=Table1[[#This Row],[Low Tol]],"Pass","Fail"),IF(Table1[[#This Row],[DUT Adj Read]]&gt;=Table1[[#This Row],[Low Tol]],"Pass","Fail")))</f>
        <v>Pass</v>
      </c>
      <c r="AG2107" s="1" t="str">
        <f>IF(AND(Table1[[#This Row],[Spec Type2]]="N/A",Table1[[#This Row],[DUT Adj Read]]="N/A",Table1[[#This Row],[Std Adj Read]]="N/A"),"N/A",IF(Table1[[#This Row],[DUT Adj Read]]="N/A",IF(Table1[[#This Row],[Std Adj Read]]&lt;=Table1[[#This Row],[High Tol]],"Pass","Fail"),IF(Table1[[#This Row],[DUT Adj Read]]&lt;=Table1[[#This Row],[High Tol]],"Pass","Fail")))</f>
        <v>Fail</v>
      </c>
      <c r="AH21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7" s="1" t="b">
        <v>0</v>
      </c>
      <c r="AN2107" s="1" t="b">
        <v>0</v>
      </c>
      <c r="AO2107" s="1" t="b">
        <v>0</v>
      </c>
    </row>
    <row r="2108" spans="1:41" x14ac:dyDescent="0.25">
      <c r="A2108" s="10"/>
      <c r="B2108" s="10"/>
      <c r="C2108" s="10"/>
      <c r="D2108" s="10"/>
      <c r="E2108" s="10"/>
      <c r="F2108" s="10"/>
      <c r="G2108" s="10"/>
      <c r="H2108" s="10"/>
      <c r="I2108" s="1" t="str">
        <f t="shared" si="96"/>
        <v/>
      </c>
      <c r="J2108" s="1" t="s">
        <v>35</v>
      </c>
      <c r="K2108" s="1" t="str">
        <f t="shared" si="97"/>
        <v/>
      </c>
      <c r="L2108" s="1" t="str">
        <f t="shared" si="98"/>
        <v/>
      </c>
      <c r="M2108" s="1">
        <f>IF(OR(Table1[[#This Row],[Std Nom]]="",Table1[[#This Row],[Std Read]]=""),0,Table1[[#This Row],[Std Nom]]-Table1[[#This Row],[Std Read]])</f>
        <v>0</v>
      </c>
      <c r="N2108" s="1">
        <f>IF(Calculations!$F$5="ACCREDITED 17025 WITH UNCERTAINTIES",$N$10,0)</f>
        <v>0</v>
      </c>
      <c r="Q2108" s="1">
        <f>Table1[[#This Row],[High Tol]]-Table1[[#This Row],[Low Tol]]</f>
        <v>0</v>
      </c>
      <c r="R2108" s="1">
        <f>2*Table1[[#This Row],[Std Error]]</f>
        <v>0</v>
      </c>
      <c r="S2108" s="1" t="str">
        <f>IF(Table1[[#This Row],[High Tol]]="","N/A",IFERROR(ABS(Table1[[#This Row],[Tol Span]]/Table1[[#This Row],[Error Span]]),"N/A"))</f>
        <v>N/A</v>
      </c>
      <c r="T2108" s="1" t="str">
        <f>IF(OR(Table1[[#This Row],[Low Tol]]="",Table1[[#This Row],[High Tol]]=""),"Needs Analysis",IF(Table1[[#This Row],[Ratio]]&gt;=4,"Not Significant",IF(Table1[[#This Row],[Ratio]]&gt;=2,"Semi-Significant","Significant")))</f>
        <v>Needs Analysis</v>
      </c>
      <c r="W2108" s="1">
        <f>IF(Table1[[#This Row],[Cal Type]]&lt;&gt;"ACCREDITED 17025 WITH UNCERTAINTIES",0,"")</f>
        <v>0</v>
      </c>
      <c r="X2108" s="1" t="str">
        <f>IF(Table1[[#This Row],[DUT Read]]="","N/A",Table1[[#This Row],[Std Error]]+Table1[[#This Row],[DUT Read]]+Table1[[#This Row],[DUT Ucty]])</f>
        <v>N/A</v>
      </c>
      <c r="Y2108" s="1" t="str">
        <f>IF(Table1[[#This Row],[Std Read]]="","N/A",Table1[[#This Row],[Std Read]]+Table1[[#This Row],[Std Ucty]])</f>
        <v>N/A</v>
      </c>
      <c r="Z21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8" s="1" t="str">
        <f>IF(Table1[[#This Row],[Spec Type]]="","N/A",Table1[[#This Row],[Spec Type]])</f>
        <v>±</v>
      </c>
      <c r="AC2108" s="1" t="str">
        <f>IF(Table1[[#This Row],[Spec Type2]]="N/A","N/A",IF(AND(Table1[[#This Row],[DUT Adj Read]]&gt;=Table1[[#This Row],[Low Tol]],Table1[[#This Row],[DUT Adj Read]]&lt;=Table1[[#This Row],[High Tol]]),"Pass","Fail"))</f>
        <v>Fail</v>
      </c>
      <c r="AD2108" s="1" t="str">
        <f>IF(AND(Table1[[#This Row],[Spec Type2]]="N/A",Table1[[#This Row],[DUT Adj Read]]="N/A",Table1[[#This Row],[Std Adj Read]]="N/A"),"N/A",IF(Table1[[#This Row],[DUT Adj Read]]="N/A",IF(Table1[[#This Row],[Std Adj Read]]&gt;Table1[[#This Row],[Low Tol]],"Pass","Fail"),IF(Table1[[#This Row],[DUT Adj Read]]&gt;Table1[[#This Row],[Low Tol]],"Pass","Fail")))</f>
        <v>Pass</v>
      </c>
      <c r="AE2108" s="1" t="str">
        <f>IF(AND(Table1[[#This Row],[Spec Type2]]="N/A",Table1[[#This Row],[DUT Adj Read]]="N/A",Table1[[#This Row],[Std Adj Read]]="N/A"),"N/A",IF(Table1[[#This Row],[DUT Adj Read]]="N/A",IF(Table1[[#This Row],[Std Adj Read]]&lt;Table1[[#This Row],[High Tol]],"Pass","Fail"),IF(Table1[[#This Row],[DUT Adj Read]]&lt;Table1[[#This Row],[High Tol]],"Pass","Fail")))</f>
        <v>Fail</v>
      </c>
      <c r="AF2108" s="1" t="str">
        <f>IF(AND(Table1[[#This Row],[Spec Type2]]="N/A",Table1[[#This Row],[DUT Adj Read]]="N/A",Table1[[#This Row],[Std Adj Read]]="N/A"),"N/A",IF(Table1[[#This Row],[DUT Adj Read]]="N/A",IF(Table1[[#This Row],[Std Adj Read]]&gt;=Table1[[#This Row],[Low Tol]],"Pass","Fail"),IF(Table1[[#This Row],[DUT Adj Read]]&gt;=Table1[[#This Row],[Low Tol]],"Pass","Fail")))</f>
        <v>Pass</v>
      </c>
      <c r="AG2108" s="1" t="str">
        <f>IF(AND(Table1[[#This Row],[Spec Type2]]="N/A",Table1[[#This Row],[DUT Adj Read]]="N/A",Table1[[#This Row],[Std Adj Read]]="N/A"),"N/A",IF(Table1[[#This Row],[DUT Adj Read]]="N/A",IF(Table1[[#This Row],[Std Adj Read]]&lt;=Table1[[#This Row],[High Tol]],"Pass","Fail"),IF(Table1[[#This Row],[DUT Adj Read]]&lt;=Table1[[#This Row],[High Tol]],"Pass","Fail")))</f>
        <v>Fail</v>
      </c>
      <c r="AH21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8" s="1" t="b">
        <v>0</v>
      </c>
      <c r="AN2108" s="1" t="b">
        <v>0</v>
      </c>
      <c r="AO2108" s="1" t="b">
        <v>0</v>
      </c>
    </row>
    <row r="2109" spans="1:41" x14ac:dyDescent="0.25">
      <c r="A2109" s="10"/>
      <c r="B2109" s="10"/>
      <c r="C2109" s="10"/>
      <c r="D2109" s="10"/>
      <c r="E2109" s="10"/>
      <c r="F2109" s="10"/>
      <c r="G2109" s="10"/>
      <c r="H2109" s="10"/>
      <c r="I2109" s="1" t="str">
        <f t="shared" si="96"/>
        <v/>
      </c>
      <c r="J2109" s="1" t="s">
        <v>35</v>
      </c>
      <c r="K2109" s="1" t="str">
        <f t="shared" si="97"/>
        <v/>
      </c>
      <c r="L2109" s="1" t="str">
        <f t="shared" si="98"/>
        <v/>
      </c>
      <c r="M2109" s="1">
        <f>IF(OR(Table1[[#This Row],[Std Nom]]="",Table1[[#This Row],[Std Read]]=""),0,Table1[[#This Row],[Std Nom]]-Table1[[#This Row],[Std Read]])</f>
        <v>0</v>
      </c>
      <c r="N2109" s="1">
        <f>IF(Calculations!$F$5="ACCREDITED 17025 WITH UNCERTAINTIES",$N$10,0)</f>
        <v>0</v>
      </c>
      <c r="Q2109" s="1">
        <f>Table1[[#This Row],[High Tol]]-Table1[[#This Row],[Low Tol]]</f>
        <v>0</v>
      </c>
      <c r="R2109" s="1">
        <f>2*Table1[[#This Row],[Std Error]]</f>
        <v>0</v>
      </c>
      <c r="S2109" s="1" t="str">
        <f>IF(Table1[[#This Row],[High Tol]]="","N/A",IFERROR(ABS(Table1[[#This Row],[Tol Span]]/Table1[[#This Row],[Error Span]]),"N/A"))</f>
        <v>N/A</v>
      </c>
      <c r="T2109" s="1" t="str">
        <f>IF(OR(Table1[[#This Row],[Low Tol]]="",Table1[[#This Row],[High Tol]]=""),"Needs Analysis",IF(Table1[[#This Row],[Ratio]]&gt;=4,"Not Significant",IF(Table1[[#This Row],[Ratio]]&gt;=2,"Semi-Significant","Significant")))</f>
        <v>Needs Analysis</v>
      </c>
      <c r="W2109" s="1">
        <f>IF(Table1[[#This Row],[Cal Type]]&lt;&gt;"ACCREDITED 17025 WITH UNCERTAINTIES",0,"")</f>
        <v>0</v>
      </c>
      <c r="X2109" s="1" t="str">
        <f>IF(Table1[[#This Row],[DUT Read]]="","N/A",Table1[[#This Row],[Std Error]]+Table1[[#This Row],[DUT Read]]+Table1[[#This Row],[DUT Ucty]])</f>
        <v>N/A</v>
      </c>
      <c r="Y2109" s="1" t="str">
        <f>IF(Table1[[#This Row],[Std Read]]="","N/A",Table1[[#This Row],[Std Read]]+Table1[[#This Row],[Std Ucty]])</f>
        <v>N/A</v>
      </c>
      <c r="Z21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09" s="1" t="str">
        <f>IF(Table1[[#This Row],[Spec Type]]="","N/A",Table1[[#This Row],[Spec Type]])</f>
        <v>±</v>
      </c>
      <c r="AC2109" s="1" t="str">
        <f>IF(Table1[[#This Row],[Spec Type2]]="N/A","N/A",IF(AND(Table1[[#This Row],[DUT Adj Read]]&gt;=Table1[[#This Row],[Low Tol]],Table1[[#This Row],[DUT Adj Read]]&lt;=Table1[[#This Row],[High Tol]]),"Pass","Fail"))</f>
        <v>Fail</v>
      </c>
      <c r="AD2109" s="1" t="str">
        <f>IF(AND(Table1[[#This Row],[Spec Type2]]="N/A",Table1[[#This Row],[DUT Adj Read]]="N/A",Table1[[#This Row],[Std Adj Read]]="N/A"),"N/A",IF(Table1[[#This Row],[DUT Adj Read]]="N/A",IF(Table1[[#This Row],[Std Adj Read]]&gt;Table1[[#This Row],[Low Tol]],"Pass","Fail"),IF(Table1[[#This Row],[DUT Adj Read]]&gt;Table1[[#This Row],[Low Tol]],"Pass","Fail")))</f>
        <v>Pass</v>
      </c>
      <c r="AE2109" s="1" t="str">
        <f>IF(AND(Table1[[#This Row],[Spec Type2]]="N/A",Table1[[#This Row],[DUT Adj Read]]="N/A",Table1[[#This Row],[Std Adj Read]]="N/A"),"N/A",IF(Table1[[#This Row],[DUT Adj Read]]="N/A",IF(Table1[[#This Row],[Std Adj Read]]&lt;Table1[[#This Row],[High Tol]],"Pass","Fail"),IF(Table1[[#This Row],[DUT Adj Read]]&lt;Table1[[#This Row],[High Tol]],"Pass","Fail")))</f>
        <v>Fail</v>
      </c>
      <c r="AF2109" s="1" t="str">
        <f>IF(AND(Table1[[#This Row],[Spec Type2]]="N/A",Table1[[#This Row],[DUT Adj Read]]="N/A",Table1[[#This Row],[Std Adj Read]]="N/A"),"N/A",IF(Table1[[#This Row],[DUT Adj Read]]="N/A",IF(Table1[[#This Row],[Std Adj Read]]&gt;=Table1[[#This Row],[Low Tol]],"Pass","Fail"),IF(Table1[[#This Row],[DUT Adj Read]]&gt;=Table1[[#This Row],[Low Tol]],"Pass","Fail")))</f>
        <v>Pass</v>
      </c>
      <c r="AG2109" s="1" t="str">
        <f>IF(AND(Table1[[#This Row],[Spec Type2]]="N/A",Table1[[#This Row],[DUT Adj Read]]="N/A",Table1[[#This Row],[Std Adj Read]]="N/A"),"N/A",IF(Table1[[#This Row],[DUT Adj Read]]="N/A",IF(Table1[[#This Row],[Std Adj Read]]&lt;=Table1[[#This Row],[High Tol]],"Pass","Fail"),IF(Table1[[#This Row],[DUT Adj Read]]&lt;=Table1[[#This Row],[High Tol]],"Pass","Fail")))</f>
        <v>Fail</v>
      </c>
      <c r="AH21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09" s="1" t="b">
        <v>0</v>
      </c>
      <c r="AN2109" s="1" t="b">
        <v>0</v>
      </c>
      <c r="AO2109" s="1" t="b">
        <v>0</v>
      </c>
    </row>
    <row r="2110" spans="1:41" x14ac:dyDescent="0.25">
      <c r="A2110" s="10"/>
      <c r="B2110" s="10"/>
      <c r="C2110" s="10"/>
      <c r="D2110" s="10"/>
      <c r="E2110" s="10"/>
      <c r="F2110" s="10"/>
      <c r="G2110" s="10"/>
      <c r="H2110" s="10"/>
      <c r="I2110" s="1" t="str">
        <f t="shared" si="96"/>
        <v/>
      </c>
      <c r="J2110" s="1" t="s">
        <v>35</v>
      </c>
      <c r="K2110" s="1" t="str">
        <f t="shared" si="97"/>
        <v/>
      </c>
      <c r="L2110" s="1" t="str">
        <f t="shared" si="98"/>
        <v/>
      </c>
      <c r="M2110" s="1">
        <f>IF(OR(Table1[[#This Row],[Std Nom]]="",Table1[[#This Row],[Std Read]]=""),0,Table1[[#This Row],[Std Nom]]-Table1[[#This Row],[Std Read]])</f>
        <v>0</v>
      </c>
      <c r="N2110" s="1">
        <f>IF(Calculations!$F$5="ACCREDITED 17025 WITH UNCERTAINTIES",$N$10,0)</f>
        <v>0</v>
      </c>
      <c r="Q2110" s="1">
        <f>Table1[[#This Row],[High Tol]]-Table1[[#This Row],[Low Tol]]</f>
        <v>0</v>
      </c>
      <c r="R2110" s="1">
        <f>2*Table1[[#This Row],[Std Error]]</f>
        <v>0</v>
      </c>
      <c r="S2110" s="1" t="str">
        <f>IF(Table1[[#This Row],[High Tol]]="","N/A",IFERROR(ABS(Table1[[#This Row],[Tol Span]]/Table1[[#This Row],[Error Span]]),"N/A"))</f>
        <v>N/A</v>
      </c>
      <c r="T2110" s="1" t="str">
        <f>IF(OR(Table1[[#This Row],[Low Tol]]="",Table1[[#This Row],[High Tol]]=""),"Needs Analysis",IF(Table1[[#This Row],[Ratio]]&gt;=4,"Not Significant",IF(Table1[[#This Row],[Ratio]]&gt;=2,"Semi-Significant","Significant")))</f>
        <v>Needs Analysis</v>
      </c>
      <c r="W2110" s="1">
        <f>IF(Table1[[#This Row],[Cal Type]]&lt;&gt;"ACCREDITED 17025 WITH UNCERTAINTIES",0,"")</f>
        <v>0</v>
      </c>
      <c r="X2110" s="1" t="str">
        <f>IF(Table1[[#This Row],[DUT Read]]="","N/A",Table1[[#This Row],[Std Error]]+Table1[[#This Row],[DUT Read]]+Table1[[#This Row],[DUT Ucty]])</f>
        <v>N/A</v>
      </c>
      <c r="Y2110" s="1" t="str">
        <f>IF(Table1[[#This Row],[Std Read]]="","N/A",Table1[[#This Row],[Std Read]]+Table1[[#This Row],[Std Ucty]])</f>
        <v>N/A</v>
      </c>
      <c r="Z21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0" s="1" t="str">
        <f>IF(Table1[[#This Row],[Spec Type]]="","N/A",Table1[[#This Row],[Spec Type]])</f>
        <v>±</v>
      </c>
      <c r="AC2110" s="1" t="str">
        <f>IF(Table1[[#This Row],[Spec Type2]]="N/A","N/A",IF(AND(Table1[[#This Row],[DUT Adj Read]]&gt;=Table1[[#This Row],[Low Tol]],Table1[[#This Row],[DUT Adj Read]]&lt;=Table1[[#This Row],[High Tol]]),"Pass","Fail"))</f>
        <v>Fail</v>
      </c>
      <c r="AD2110" s="1" t="str">
        <f>IF(AND(Table1[[#This Row],[Spec Type2]]="N/A",Table1[[#This Row],[DUT Adj Read]]="N/A",Table1[[#This Row],[Std Adj Read]]="N/A"),"N/A",IF(Table1[[#This Row],[DUT Adj Read]]="N/A",IF(Table1[[#This Row],[Std Adj Read]]&gt;Table1[[#This Row],[Low Tol]],"Pass","Fail"),IF(Table1[[#This Row],[DUT Adj Read]]&gt;Table1[[#This Row],[Low Tol]],"Pass","Fail")))</f>
        <v>Pass</v>
      </c>
      <c r="AE2110" s="1" t="str">
        <f>IF(AND(Table1[[#This Row],[Spec Type2]]="N/A",Table1[[#This Row],[DUT Adj Read]]="N/A",Table1[[#This Row],[Std Adj Read]]="N/A"),"N/A",IF(Table1[[#This Row],[DUT Adj Read]]="N/A",IF(Table1[[#This Row],[Std Adj Read]]&lt;Table1[[#This Row],[High Tol]],"Pass","Fail"),IF(Table1[[#This Row],[DUT Adj Read]]&lt;Table1[[#This Row],[High Tol]],"Pass","Fail")))</f>
        <v>Fail</v>
      </c>
      <c r="AF2110" s="1" t="str">
        <f>IF(AND(Table1[[#This Row],[Spec Type2]]="N/A",Table1[[#This Row],[DUT Adj Read]]="N/A",Table1[[#This Row],[Std Adj Read]]="N/A"),"N/A",IF(Table1[[#This Row],[DUT Adj Read]]="N/A",IF(Table1[[#This Row],[Std Adj Read]]&gt;=Table1[[#This Row],[Low Tol]],"Pass","Fail"),IF(Table1[[#This Row],[DUT Adj Read]]&gt;=Table1[[#This Row],[Low Tol]],"Pass","Fail")))</f>
        <v>Pass</v>
      </c>
      <c r="AG2110" s="1" t="str">
        <f>IF(AND(Table1[[#This Row],[Spec Type2]]="N/A",Table1[[#This Row],[DUT Adj Read]]="N/A",Table1[[#This Row],[Std Adj Read]]="N/A"),"N/A",IF(Table1[[#This Row],[DUT Adj Read]]="N/A",IF(Table1[[#This Row],[Std Adj Read]]&lt;=Table1[[#This Row],[High Tol]],"Pass","Fail"),IF(Table1[[#This Row],[DUT Adj Read]]&lt;=Table1[[#This Row],[High Tol]],"Pass","Fail")))</f>
        <v>Fail</v>
      </c>
      <c r="AH21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0" s="1" t="b">
        <v>0</v>
      </c>
      <c r="AN2110" s="1" t="b">
        <v>0</v>
      </c>
      <c r="AO2110" s="1" t="b">
        <v>0</v>
      </c>
    </row>
    <row r="2111" spans="1:41" x14ac:dyDescent="0.25">
      <c r="A2111" s="10"/>
      <c r="B2111" s="10"/>
      <c r="C2111" s="10"/>
      <c r="D2111" s="10"/>
      <c r="E2111" s="10"/>
      <c r="F2111" s="10"/>
      <c r="G2111" s="10"/>
      <c r="H2111" s="10"/>
      <c r="I2111" s="1" t="str">
        <f t="shared" si="96"/>
        <v/>
      </c>
      <c r="J2111" s="1" t="s">
        <v>35</v>
      </c>
      <c r="K2111" s="1" t="str">
        <f t="shared" si="97"/>
        <v/>
      </c>
      <c r="L2111" s="1" t="str">
        <f t="shared" si="98"/>
        <v/>
      </c>
      <c r="M2111" s="1">
        <f>IF(OR(Table1[[#This Row],[Std Nom]]="",Table1[[#This Row],[Std Read]]=""),0,Table1[[#This Row],[Std Nom]]-Table1[[#This Row],[Std Read]])</f>
        <v>0</v>
      </c>
      <c r="N2111" s="1">
        <f>IF(Calculations!$F$5="ACCREDITED 17025 WITH UNCERTAINTIES",$N$10,0)</f>
        <v>0</v>
      </c>
      <c r="Q2111" s="1">
        <f>Table1[[#This Row],[High Tol]]-Table1[[#This Row],[Low Tol]]</f>
        <v>0</v>
      </c>
      <c r="R2111" s="1">
        <f>2*Table1[[#This Row],[Std Error]]</f>
        <v>0</v>
      </c>
      <c r="S2111" s="1" t="str">
        <f>IF(Table1[[#This Row],[High Tol]]="","N/A",IFERROR(ABS(Table1[[#This Row],[Tol Span]]/Table1[[#This Row],[Error Span]]),"N/A"))</f>
        <v>N/A</v>
      </c>
      <c r="T2111" s="1" t="str">
        <f>IF(OR(Table1[[#This Row],[Low Tol]]="",Table1[[#This Row],[High Tol]]=""),"Needs Analysis",IF(Table1[[#This Row],[Ratio]]&gt;=4,"Not Significant",IF(Table1[[#This Row],[Ratio]]&gt;=2,"Semi-Significant","Significant")))</f>
        <v>Needs Analysis</v>
      </c>
      <c r="W2111" s="1">
        <f>IF(Table1[[#This Row],[Cal Type]]&lt;&gt;"ACCREDITED 17025 WITH UNCERTAINTIES",0,"")</f>
        <v>0</v>
      </c>
      <c r="X2111" s="1" t="str">
        <f>IF(Table1[[#This Row],[DUT Read]]="","N/A",Table1[[#This Row],[Std Error]]+Table1[[#This Row],[DUT Read]]+Table1[[#This Row],[DUT Ucty]])</f>
        <v>N/A</v>
      </c>
      <c r="Y2111" s="1" t="str">
        <f>IF(Table1[[#This Row],[Std Read]]="","N/A",Table1[[#This Row],[Std Read]]+Table1[[#This Row],[Std Ucty]])</f>
        <v>N/A</v>
      </c>
      <c r="Z21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1" s="1" t="str">
        <f>IF(Table1[[#This Row],[Spec Type]]="","N/A",Table1[[#This Row],[Spec Type]])</f>
        <v>±</v>
      </c>
      <c r="AC2111" s="1" t="str">
        <f>IF(Table1[[#This Row],[Spec Type2]]="N/A","N/A",IF(AND(Table1[[#This Row],[DUT Adj Read]]&gt;=Table1[[#This Row],[Low Tol]],Table1[[#This Row],[DUT Adj Read]]&lt;=Table1[[#This Row],[High Tol]]),"Pass","Fail"))</f>
        <v>Fail</v>
      </c>
      <c r="AD2111" s="1" t="str">
        <f>IF(AND(Table1[[#This Row],[Spec Type2]]="N/A",Table1[[#This Row],[DUT Adj Read]]="N/A",Table1[[#This Row],[Std Adj Read]]="N/A"),"N/A",IF(Table1[[#This Row],[DUT Adj Read]]="N/A",IF(Table1[[#This Row],[Std Adj Read]]&gt;Table1[[#This Row],[Low Tol]],"Pass","Fail"),IF(Table1[[#This Row],[DUT Adj Read]]&gt;Table1[[#This Row],[Low Tol]],"Pass","Fail")))</f>
        <v>Pass</v>
      </c>
      <c r="AE2111" s="1" t="str">
        <f>IF(AND(Table1[[#This Row],[Spec Type2]]="N/A",Table1[[#This Row],[DUT Adj Read]]="N/A",Table1[[#This Row],[Std Adj Read]]="N/A"),"N/A",IF(Table1[[#This Row],[DUT Adj Read]]="N/A",IF(Table1[[#This Row],[Std Adj Read]]&lt;Table1[[#This Row],[High Tol]],"Pass","Fail"),IF(Table1[[#This Row],[DUT Adj Read]]&lt;Table1[[#This Row],[High Tol]],"Pass","Fail")))</f>
        <v>Fail</v>
      </c>
      <c r="AF2111" s="1" t="str">
        <f>IF(AND(Table1[[#This Row],[Spec Type2]]="N/A",Table1[[#This Row],[DUT Adj Read]]="N/A",Table1[[#This Row],[Std Adj Read]]="N/A"),"N/A",IF(Table1[[#This Row],[DUT Adj Read]]="N/A",IF(Table1[[#This Row],[Std Adj Read]]&gt;=Table1[[#This Row],[Low Tol]],"Pass","Fail"),IF(Table1[[#This Row],[DUT Adj Read]]&gt;=Table1[[#This Row],[Low Tol]],"Pass","Fail")))</f>
        <v>Pass</v>
      </c>
      <c r="AG2111" s="1" t="str">
        <f>IF(AND(Table1[[#This Row],[Spec Type2]]="N/A",Table1[[#This Row],[DUT Adj Read]]="N/A",Table1[[#This Row],[Std Adj Read]]="N/A"),"N/A",IF(Table1[[#This Row],[DUT Adj Read]]="N/A",IF(Table1[[#This Row],[Std Adj Read]]&lt;=Table1[[#This Row],[High Tol]],"Pass","Fail"),IF(Table1[[#This Row],[DUT Adj Read]]&lt;=Table1[[#This Row],[High Tol]],"Pass","Fail")))</f>
        <v>Fail</v>
      </c>
      <c r="AH21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1" s="1" t="b">
        <v>0</v>
      </c>
      <c r="AN2111" s="1" t="b">
        <v>0</v>
      </c>
      <c r="AO2111" s="1" t="b">
        <v>0</v>
      </c>
    </row>
    <row r="2112" spans="1:41" x14ac:dyDescent="0.25">
      <c r="A2112" s="10"/>
      <c r="B2112" s="10"/>
      <c r="C2112" s="10"/>
      <c r="D2112" s="10"/>
      <c r="E2112" s="10"/>
      <c r="F2112" s="10"/>
      <c r="G2112" s="10"/>
      <c r="H2112" s="10"/>
      <c r="I2112" s="1" t="str">
        <f t="shared" si="96"/>
        <v/>
      </c>
      <c r="J2112" s="1" t="s">
        <v>35</v>
      </c>
      <c r="K2112" s="1" t="str">
        <f t="shared" si="97"/>
        <v/>
      </c>
      <c r="L2112" s="1" t="str">
        <f t="shared" si="98"/>
        <v/>
      </c>
      <c r="M2112" s="1">
        <f>IF(OR(Table1[[#This Row],[Std Nom]]="",Table1[[#This Row],[Std Read]]=""),0,Table1[[#This Row],[Std Nom]]-Table1[[#This Row],[Std Read]])</f>
        <v>0</v>
      </c>
      <c r="N2112" s="1">
        <f>IF(Calculations!$F$5="ACCREDITED 17025 WITH UNCERTAINTIES",$N$10,0)</f>
        <v>0</v>
      </c>
      <c r="Q2112" s="1">
        <f>Table1[[#This Row],[High Tol]]-Table1[[#This Row],[Low Tol]]</f>
        <v>0</v>
      </c>
      <c r="R2112" s="1">
        <f>2*Table1[[#This Row],[Std Error]]</f>
        <v>0</v>
      </c>
      <c r="S2112" s="1" t="str">
        <f>IF(Table1[[#This Row],[High Tol]]="","N/A",IFERROR(ABS(Table1[[#This Row],[Tol Span]]/Table1[[#This Row],[Error Span]]),"N/A"))</f>
        <v>N/A</v>
      </c>
      <c r="T2112" s="1" t="str">
        <f>IF(OR(Table1[[#This Row],[Low Tol]]="",Table1[[#This Row],[High Tol]]=""),"Needs Analysis",IF(Table1[[#This Row],[Ratio]]&gt;=4,"Not Significant",IF(Table1[[#This Row],[Ratio]]&gt;=2,"Semi-Significant","Significant")))</f>
        <v>Needs Analysis</v>
      </c>
      <c r="W2112" s="1">
        <f>IF(Table1[[#This Row],[Cal Type]]&lt;&gt;"ACCREDITED 17025 WITH UNCERTAINTIES",0,"")</f>
        <v>0</v>
      </c>
      <c r="X2112" s="1" t="str">
        <f>IF(Table1[[#This Row],[DUT Read]]="","N/A",Table1[[#This Row],[Std Error]]+Table1[[#This Row],[DUT Read]]+Table1[[#This Row],[DUT Ucty]])</f>
        <v>N/A</v>
      </c>
      <c r="Y2112" s="1" t="str">
        <f>IF(Table1[[#This Row],[Std Read]]="","N/A",Table1[[#This Row],[Std Read]]+Table1[[#This Row],[Std Ucty]])</f>
        <v>N/A</v>
      </c>
      <c r="Z21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2" s="1" t="str">
        <f>IF(Table1[[#This Row],[Spec Type]]="","N/A",Table1[[#This Row],[Spec Type]])</f>
        <v>±</v>
      </c>
      <c r="AC2112" s="1" t="str">
        <f>IF(Table1[[#This Row],[Spec Type2]]="N/A","N/A",IF(AND(Table1[[#This Row],[DUT Adj Read]]&gt;=Table1[[#This Row],[Low Tol]],Table1[[#This Row],[DUT Adj Read]]&lt;=Table1[[#This Row],[High Tol]]),"Pass","Fail"))</f>
        <v>Fail</v>
      </c>
      <c r="AD2112" s="1" t="str">
        <f>IF(AND(Table1[[#This Row],[Spec Type2]]="N/A",Table1[[#This Row],[DUT Adj Read]]="N/A",Table1[[#This Row],[Std Adj Read]]="N/A"),"N/A",IF(Table1[[#This Row],[DUT Adj Read]]="N/A",IF(Table1[[#This Row],[Std Adj Read]]&gt;Table1[[#This Row],[Low Tol]],"Pass","Fail"),IF(Table1[[#This Row],[DUT Adj Read]]&gt;Table1[[#This Row],[Low Tol]],"Pass","Fail")))</f>
        <v>Pass</v>
      </c>
      <c r="AE2112" s="1" t="str">
        <f>IF(AND(Table1[[#This Row],[Spec Type2]]="N/A",Table1[[#This Row],[DUT Adj Read]]="N/A",Table1[[#This Row],[Std Adj Read]]="N/A"),"N/A",IF(Table1[[#This Row],[DUT Adj Read]]="N/A",IF(Table1[[#This Row],[Std Adj Read]]&lt;Table1[[#This Row],[High Tol]],"Pass","Fail"),IF(Table1[[#This Row],[DUT Adj Read]]&lt;Table1[[#This Row],[High Tol]],"Pass","Fail")))</f>
        <v>Fail</v>
      </c>
      <c r="AF2112" s="1" t="str">
        <f>IF(AND(Table1[[#This Row],[Spec Type2]]="N/A",Table1[[#This Row],[DUT Adj Read]]="N/A",Table1[[#This Row],[Std Adj Read]]="N/A"),"N/A",IF(Table1[[#This Row],[DUT Adj Read]]="N/A",IF(Table1[[#This Row],[Std Adj Read]]&gt;=Table1[[#This Row],[Low Tol]],"Pass","Fail"),IF(Table1[[#This Row],[DUT Adj Read]]&gt;=Table1[[#This Row],[Low Tol]],"Pass","Fail")))</f>
        <v>Pass</v>
      </c>
      <c r="AG2112" s="1" t="str">
        <f>IF(AND(Table1[[#This Row],[Spec Type2]]="N/A",Table1[[#This Row],[DUT Adj Read]]="N/A",Table1[[#This Row],[Std Adj Read]]="N/A"),"N/A",IF(Table1[[#This Row],[DUT Adj Read]]="N/A",IF(Table1[[#This Row],[Std Adj Read]]&lt;=Table1[[#This Row],[High Tol]],"Pass","Fail"),IF(Table1[[#This Row],[DUT Adj Read]]&lt;=Table1[[#This Row],[High Tol]],"Pass","Fail")))</f>
        <v>Fail</v>
      </c>
      <c r="AH21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2" s="1" t="b">
        <v>0</v>
      </c>
      <c r="AN2112" s="1" t="b">
        <v>0</v>
      </c>
      <c r="AO2112" s="1" t="b">
        <v>0</v>
      </c>
    </row>
    <row r="2113" spans="1:41" x14ac:dyDescent="0.25">
      <c r="A2113" s="10"/>
      <c r="B2113" s="10"/>
      <c r="C2113" s="10"/>
      <c r="D2113" s="10"/>
      <c r="E2113" s="10"/>
      <c r="F2113" s="10"/>
      <c r="G2113" s="10"/>
      <c r="H2113" s="10"/>
      <c r="I2113" s="1" t="str">
        <f t="shared" si="96"/>
        <v/>
      </c>
      <c r="J2113" s="1" t="s">
        <v>35</v>
      </c>
      <c r="K2113" s="1" t="str">
        <f t="shared" si="97"/>
        <v/>
      </c>
      <c r="L2113" s="1" t="str">
        <f t="shared" si="98"/>
        <v/>
      </c>
      <c r="M2113" s="1">
        <f>IF(OR(Table1[[#This Row],[Std Nom]]="",Table1[[#This Row],[Std Read]]=""),0,Table1[[#This Row],[Std Nom]]-Table1[[#This Row],[Std Read]])</f>
        <v>0</v>
      </c>
      <c r="N2113" s="1">
        <f>IF(Calculations!$F$5="ACCREDITED 17025 WITH UNCERTAINTIES",$N$10,0)</f>
        <v>0</v>
      </c>
      <c r="Q2113" s="1">
        <f>Table1[[#This Row],[High Tol]]-Table1[[#This Row],[Low Tol]]</f>
        <v>0</v>
      </c>
      <c r="R2113" s="1">
        <f>2*Table1[[#This Row],[Std Error]]</f>
        <v>0</v>
      </c>
      <c r="S2113" s="1" t="str">
        <f>IF(Table1[[#This Row],[High Tol]]="","N/A",IFERROR(ABS(Table1[[#This Row],[Tol Span]]/Table1[[#This Row],[Error Span]]),"N/A"))</f>
        <v>N/A</v>
      </c>
      <c r="T2113" s="1" t="str">
        <f>IF(OR(Table1[[#This Row],[Low Tol]]="",Table1[[#This Row],[High Tol]]=""),"Needs Analysis",IF(Table1[[#This Row],[Ratio]]&gt;=4,"Not Significant",IF(Table1[[#This Row],[Ratio]]&gt;=2,"Semi-Significant","Significant")))</f>
        <v>Needs Analysis</v>
      </c>
      <c r="W2113" s="1">
        <f>IF(Table1[[#This Row],[Cal Type]]&lt;&gt;"ACCREDITED 17025 WITH UNCERTAINTIES",0,"")</f>
        <v>0</v>
      </c>
      <c r="X2113" s="1" t="str">
        <f>IF(Table1[[#This Row],[DUT Read]]="","N/A",Table1[[#This Row],[Std Error]]+Table1[[#This Row],[DUT Read]]+Table1[[#This Row],[DUT Ucty]])</f>
        <v>N/A</v>
      </c>
      <c r="Y2113" s="1" t="str">
        <f>IF(Table1[[#This Row],[Std Read]]="","N/A",Table1[[#This Row],[Std Read]]+Table1[[#This Row],[Std Ucty]])</f>
        <v>N/A</v>
      </c>
      <c r="Z21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3" s="1" t="str">
        <f>IF(Table1[[#This Row],[Spec Type]]="","N/A",Table1[[#This Row],[Spec Type]])</f>
        <v>±</v>
      </c>
      <c r="AC2113" s="1" t="str">
        <f>IF(Table1[[#This Row],[Spec Type2]]="N/A","N/A",IF(AND(Table1[[#This Row],[DUT Adj Read]]&gt;=Table1[[#This Row],[Low Tol]],Table1[[#This Row],[DUT Adj Read]]&lt;=Table1[[#This Row],[High Tol]]),"Pass","Fail"))</f>
        <v>Fail</v>
      </c>
      <c r="AD2113" s="1" t="str">
        <f>IF(AND(Table1[[#This Row],[Spec Type2]]="N/A",Table1[[#This Row],[DUT Adj Read]]="N/A",Table1[[#This Row],[Std Adj Read]]="N/A"),"N/A",IF(Table1[[#This Row],[DUT Adj Read]]="N/A",IF(Table1[[#This Row],[Std Adj Read]]&gt;Table1[[#This Row],[Low Tol]],"Pass","Fail"),IF(Table1[[#This Row],[DUT Adj Read]]&gt;Table1[[#This Row],[Low Tol]],"Pass","Fail")))</f>
        <v>Pass</v>
      </c>
      <c r="AE2113" s="1" t="str">
        <f>IF(AND(Table1[[#This Row],[Spec Type2]]="N/A",Table1[[#This Row],[DUT Adj Read]]="N/A",Table1[[#This Row],[Std Adj Read]]="N/A"),"N/A",IF(Table1[[#This Row],[DUT Adj Read]]="N/A",IF(Table1[[#This Row],[Std Adj Read]]&lt;Table1[[#This Row],[High Tol]],"Pass","Fail"),IF(Table1[[#This Row],[DUT Adj Read]]&lt;Table1[[#This Row],[High Tol]],"Pass","Fail")))</f>
        <v>Fail</v>
      </c>
      <c r="AF2113" s="1" t="str">
        <f>IF(AND(Table1[[#This Row],[Spec Type2]]="N/A",Table1[[#This Row],[DUT Adj Read]]="N/A",Table1[[#This Row],[Std Adj Read]]="N/A"),"N/A",IF(Table1[[#This Row],[DUT Adj Read]]="N/A",IF(Table1[[#This Row],[Std Adj Read]]&gt;=Table1[[#This Row],[Low Tol]],"Pass","Fail"),IF(Table1[[#This Row],[DUT Adj Read]]&gt;=Table1[[#This Row],[Low Tol]],"Pass","Fail")))</f>
        <v>Pass</v>
      </c>
      <c r="AG2113" s="1" t="str">
        <f>IF(AND(Table1[[#This Row],[Spec Type2]]="N/A",Table1[[#This Row],[DUT Adj Read]]="N/A",Table1[[#This Row],[Std Adj Read]]="N/A"),"N/A",IF(Table1[[#This Row],[DUT Adj Read]]="N/A",IF(Table1[[#This Row],[Std Adj Read]]&lt;=Table1[[#This Row],[High Tol]],"Pass","Fail"),IF(Table1[[#This Row],[DUT Adj Read]]&lt;=Table1[[#This Row],[High Tol]],"Pass","Fail")))</f>
        <v>Fail</v>
      </c>
      <c r="AH21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3" s="1" t="b">
        <v>0</v>
      </c>
      <c r="AN2113" s="1" t="b">
        <v>0</v>
      </c>
      <c r="AO2113" s="1" t="b">
        <v>0</v>
      </c>
    </row>
    <row r="2114" spans="1:41" x14ac:dyDescent="0.25">
      <c r="A2114" s="10"/>
      <c r="B2114" s="10"/>
      <c r="C2114" s="10"/>
      <c r="D2114" s="10"/>
      <c r="E2114" s="10"/>
      <c r="F2114" s="10"/>
      <c r="G2114" s="10"/>
      <c r="H2114" s="10"/>
      <c r="I2114" s="1" t="str">
        <f t="shared" si="96"/>
        <v/>
      </c>
      <c r="J2114" s="1" t="s">
        <v>35</v>
      </c>
      <c r="K2114" s="1" t="str">
        <f t="shared" si="97"/>
        <v/>
      </c>
      <c r="L2114" s="1" t="str">
        <f t="shared" si="98"/>
        <v/>
      </c>
      <c r="M2114" s="1">
        <f>IF(OR(Table1[[#This Row],[Std Nom]]="",Table1[[#This Row],[Std Read]]=""),0,Table1[[#This Row],[Std Nom]]-Table1[[#This Row],[Std Read]])</f>
        <v>0</v>
      </c>
      <c r="N2114" s="1">
        <f>IF(Calculations!$F$5="ACCREDITED 17025 WITH UNCERTAINTIES",$N$10,0)</f>
        <v>0</v>
      </c>
      <c r="Q2114" s="1">
        <f>Table1[[#This Row],[High Tol]]-Table1[[#This Row],[Low Tol]]</f>
        <v>0</v>
      </c>
      <c r="R2114" s="1">
        <f>2*Table1[[#This Row],[Std Error]]</f>
        <v>0</v>
      </c>
      <c r="S2114" s="1" t="str">
        <f>IF(Table1[[#This Row],[High Tol]]="","N/A",IFERROR(ABS(Table1[[#This Row],[Tol Span]]/Table1[[#This Row],[Error Span]]),"N/A"))</f>
        <v>N/A</v>
      </c>
      <c r="T2114" s="1" t="str">
        <f>IF(OR(Table1[[#This Row],[Low Tol]]="",Table1[[#This Row],[High Tol]]=""),"Needs Analysis",IF(Table1[[#This Row],[Ratio]]&gt;=4,"Not Significant",IF(Table1[[#This Row],[Ratio]]&gt;=2,"Semi-Significant","Significant")))</f>
        <v>Needs Analysis</v>
      </c>
      <c r="W2114" s="1">
        <f>IF(Table1[[#This Row],[Cal Type]]&lt;&gt;"ACCREDITED 17025 WITH UNCERTAINTIES",0,"")</f>
        <v>0</v>
      </c>
      <c r="X2114" s="1" t="str">
        <f>IF(Table1[[#This Row],[DUT Read]]="","N/A",Table1[[#This Row],[Std Error]]+Table1[[#This Row],[DUT Read]]+Table1[[#This Row],[DUT Ucty]])</f>
        <v>N/A</v>
      </c>
      <c r="Y2114" s="1" t="str">
        <f>IF(Table1[[#This Row],[Std Read]]="","N/A",Table1[[#This Row],[Std Read]]+Table1[[#This Row],[Std Ucty]])</f>
        <v>N/A</v>
      </c>
      <c r="Z21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4" s="1" t="str">
        <f>IF(Table1[[#This Row],[Spec Type]]="","N/A",Table1[[#This Row],[Spec Type]])</f>
        <v>±</v>
      </c>
      <c r="AC2114" s="1" t="str">
        <f>IF(Table1[[#This Row],[Spec Type2]]="N/A","N/A",IF(AND(Table1[[#This Row],[DUT Adj Read]]&gt;=Table1[[#This Row],[Low Tol]],Table1[[#This Row],[DUT Adj Read]]&lt;=Table1[[#This Row],[High Tol]]),"Pass","Fail"))</f>
        <v>Fail</v>
      </c>
      <c r="AD2114" s="1" t="str">
        <f>IF(AND(Table1[[#This Row],[Spec Type2]]="N/A",Table1[[#This Row],[DUT Adj Read]]="N/A",Table1[[#This Row],[Std Adj Read]]="N/A"),"N/A",IF(Table1[[#This Row],[DUT Adj Read]]="N/A",IF(Table1[[#This Row],[Std Adj Read]]&gt;Table1[[#This Row],[Low Tol]],"Pass","Fail"),IF(Table1[[#This Row],[DUT Adj Read]]&gt;Table1[[#This Row],[Low Tol]],"Pass","Fail")))</f>
        <v>Pass</v>
      </c>
      <c r="AE2114" s="1" t="str">
        <f>IF(AND(Table1[[#This Row],[Spec Type2]]="N/A",Table1[[#This Row],[DUT Adj Read]]="N/A",Table1[[#This Row],[Std Adj Read]]="N/A"),"N/A",IF(Table1[[#This Row],[DUT Adj Read]]="N/A",IF(Table1[[#This Row],[Std Adj Read]]&lt;Table1[[#This Row],[High Tol]],"Pass","Fail"),IF(Table1[[#This Row],[DUT Adj Read]]&lt;Table1[[#This Row],[High Tol]],"Pass","Fail")))</f>
        <v>Fail</v>
      </c>
      <c r="AF2114" s="1" t="str">
        <f>IF(AND(Table1[[#This Row],[Spec Type2]]="N/A",Table1[[#This Row],[DUT Adj Read]]="N/A",Table1[[#This Row],[Std Adj Read]]="N/A"),"N/A",IF(Table1[[#This Row],[DUT Adj Read]]="N/A",IF(Table1[[#This Row],[Std Adj Read]]&gt;=Table1[[#This Row],[Low Tol]],"Pass","Fail"),IF(Table1[[#This Row],[DUT Adj Read]]&gt;=Table1[[#This Row],[Low Tol]],"Pass","Fail")))</f>
        <v>Pass</v>
      </c>
      <c r="AG2114" s="1" t="str">
        <f>IF(AND(Table1[[#This Row],[Spec Type2]]="N/A",Table1[[#This Row],[DUT Adj Read]]="N/A",Table1[[#This Row],[Std Adj Read]]="N/A"),"N/A",IF(Table1[[#This Row],[DUT Adj Read]]="N/A",IF(Table1[[#This Row],[Std Adj Read]]&lt;=Table1[[#This Row],[High Tol]],"Pass","Fail"),IF(Table1[[#This Row],[DUT Adj Read]]&lt;=Table1[[#This Row],[High Tol]],"Pass","Fail")))</f>
        <v>Fail</v>
      </c>
      <c r="AH21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4" s="1" t="b">
        <v>0</v>
      </c>
      <c r="AN2114" s="1" t="b">
        <v>0</v>
      </c>
      <c r="AO2114" s="1" t="b">
        <v>0</v>
      </c>
    </row>
    <row r="2115" spans="1:41" x14ac:dyDescent="0.25">
      <c r="A2115" s="10"/>
      <c r="B2115" s="10"/>
      <c r="C2115" s="10"/>
      <c r="D2115" s="10"/>
      <c r="E2115" s="10"/>
      <c r="F2115" s="10"/>
      <c r="G2115" s="10"/>
      <c r="H2115" s="10"/>
      <c r="I2115" s="1" t="str">
        <f t="shared" si="96"/>
        <v/>
      </c>
      <c r="J2115" s="1" t="s">
        <v>35</v>
      </c>
      <c r="K2115" s="1" t="str">
        <f t="shared" si="97"/>
        <v/>
      </c>
      <c r="L2115" s="1" t="str">
        <f t="shared" si="98"/>
        <v/>
      </c>
      <c r="M2115" s="1">
        <f>IF(OR(Table1[[#This Row],[Std Nom]]="",Table1[[#This Row],[Std Read]]=""),0,Table1[[#This Row],[Std Nom]]-Table1[[#This Row],[Std Read]])</f>
        <v>0</v>
      </c>
      <c r="N2115" s="1">
        <f>IF(Calculations!$F$5="ACCREDITED 17025 WITH UNCERTAINTIES",$N$10,0)</f>
        <v>0</v>
      </c>
      <c r="Q2115" s="1">
        <f>Table1[[#This Row],[High Tol]]-Table1[[#This Row],[Low Tol]]</f>
        <v>0</v>
      </c>
      <c r="R2115" s="1">
        <f>2*Table1[[#This Row],[Std Error]]</f>
        <v>0</v>
      </c>
      <c r="S2115" s="1" t="str">
        <f>IF(Table1[[#This Row],[High Tol]]="","N/A",IFERROR(ABS(Table1[[#This Row],[Tol Span]]/Table1[[#This Row],[Error Span]]),"N/A"))</f>
        <v>N/A</v>
      </c>
      <c r="T2115" s="1" t="str">
        <f>IF(OR(Table1[[#This Row],[Low Tol]]="",Table1[[#This Row],[High Tol]]=""),"Needs Analysis",IF(Table1[[#This Row],[Ratio]]&gt;=4,"Not Significant",IF(Table1[[#This Row],[Ratio]]&gt;=2,"Semi-Significant","Significant")))</f>
        <v>Needs Analysis</v>
      </c>
      <c r="W2115" s="1">
        <f>IF(Table1[[#This Row],[Cal Type]]&lt;&gt;"ACCREDITED 17025 WITH UNCERTAINTIES",0,"")</f>
        <v>0</v>
      </c>
      <c r="X2115" s="1" t="str">
        <f>IF(Table1[[#This Row],[DUT Read]]="","N/A",Table1[[#This Row],[Std Error]]+Table1[[#This Row],[DUT Read]]+Table1[[#This Row],[DUT Ucty]])</f>
        <v>N/A</v>
      </c>
      <c r="Y2115" s="1" t="str">
        <f>IF(Table1[[#This Row],[Std Read]]="","N/A",Table1[[#This Row],[Std Read]]+Table1[[#This Row],[Std Ucty]])</f>
        <v>N/A</v>
      </c>
      <c r="Z21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5" s="1" t="str">
        <f>IF(Table1[[#This Row],[Spec Type]]="","N/A",Table1[[#This Row],[Spec Type]])</f>
        <v>±</v>
      </c>
      <c r="AC2115" s="1" t="str">
        <f>IF(Table1[[#This Row],[Spec Type2]]="N/A","N/A",IF(AND(Table1[[#This Row],[DUT Adj Read]]&gt;=Table1[[#This Row],[Low Tol]],Table1[[#This Row],[DUT Adj Read]]&lt;=Table1[[#This Row],[High Tol]]),"Pass","Fail"))</f>
        <v>Fail</v>
      </c>
      <c r="AD2115" s="1" t="str">
        <f>IF(AND(Table1[[#This Row],[Spec Type2]]="N/A",Table1[[#This Row],[DUT Adj Read]]="N/A",Table1[[#This Row],[Std Adj Read]]="N/A"),"N/A",IF(Table1[[#This Row],[DUT Adj Read]]="N/A",IF(Table1[[#This Row],[Std Adj Read]]&gt;Table1[[#This Row],[Low Tol]],"Pass","Fail"),IF(Table1[[#This Row],[DUT Adj Read]]&gt;Table1[[#This Row],[Low Tol]],"Pass","Fail")))</f>
        <v>Pass</v>
      </c>
      <c r="AE2115" s="1" t="str">
        <f>IF(AND(Table1[[#This Row],[Spec Type2]]="N/A",Table1[[#This Row],[DUT Adj Read]]="N/A",Table1[[#This Row],[Std Adj Read]]="N/A"),"N/A",IF(Table1[[#This Row],[DUT Adj Read]]="N/A",IF(Table1[[#This Row],[Std Adj Read]]&lt;Table1[[#This Row],[High Tol]],"Pass","Fail"),IF(Table1[[#This Row],[DUT Adj Read]]&lt;Table1[[#This Row],[High Tol]],"Pass","Fail")))</f>
        <v>Fail</v>
      </c>
      <c r="AF2115" s="1" t="str">
        <f>IF(AND(Table1[[#This Row],[Spec Type2]]="N/A",Table1[[#This Row],[DUT Adj Read]]="N/A",Table1[[#This Row],[Std Adj Read]]="N/A"),"N/A",IF(Table1[[#This Row],[DUT Adj Read]]="N/A",IF(Table1[[#This Row],[Std Adj Read]]&gt;=Table1[[#This Row],[Low Tol]],"Pass","Fail"),IF(Table1[[#This Row],[DUT Adj Read]]&gt;=Table1[[#This Row],[Low Tol]],"Pass","Fail")))</f>
        <v>Pass</v>
      </c>
      <c r="AG2115" s="1" t="str">
        <f>IF(AND(Table1[[#This Row],[Spec Type2]]="N/A",Table1[[#This Row],[DUT Adj Read]]="N/A",Table1[[#This Row],[Std Adj Read]]="N/A"),"N/A",IF(Table1[[#This Row],[DUT Adj Read]]="N/A",IF(Table1[[#This Row],[Std Adj Read]]&lt;=Table1[[#This Row],[High Tol]],"Pass","Fail"),IF(Table1[[#This Row],[DUT Adj Read]]&lt;=Table1[[#This Row],[High Tol]],"Pass","Fail")))</f>
        <v>Fail</v>
      </c>
      <c r="AH21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5" s="1" t="b">
        <v>0</v>
      </c>
      <c r="AN2115" s="1" t="b">
        <v>0</v>
      </c>
      <c r="AO2115" s="1" t="b">
        <v>0</v>
      </c>
    </row>
    <row r="2116" spans="1:41" x14ac:dyDescent="0.25">
      <c r="A2116" s="10"/>
      <c r="B2116" s="10"/>
      <c r="C2116" s="10"/>
      <c r="D2116" s="10"/>
      <c r="E2116" s="10"/>
      <c r="F2116" s="10"/>
      <c r="G2116" s="10"/>
      <c r="H2116" s="10"/>
      <c r="I2116" s="1" t="str">
        <f t="shared" si="96"/>
        <v/>
      </c>
      <c r="J2116" s="1" t="s">
        <v>35</v>
      </c>
      <c r="K2116" s="1" t="str">
        <f t="shared" si="97"/>
        <v/>
      </c>
      <c r="L2116" s="1" t="str">
        <f t="shared" si="98"/>
        <v/>
      </c>
      <c r="M2116" s="1">
        <f>IF(OR(Table1[[#This Row],[Std Nom]]="",Table1[[#This Row],[Std Read]]=""),0,Table1[[#This Row],[Std Nom]]-Table1[[#This Row],[Std Read]])</f>
        <v>0</v>
      </c>
      <c r="N2116" s="1">
        <f>IF(Calculations!$F$5="ACCREDITED 17025 WITH UNCERTAINTIES",$N$10,0)</f>
        <v>0</v>
      </c>
      <c r="Q2116" s="1">
        <f>Table1[[#This Row],[High Tol]]-Table1[[#This Row],[Low Tol]]</f>
        <v>0</v>
      </c>
      <c r="R2116" s="1">
        <f>2*Table1[[#This Row],[Std Error]]</f>
        <v>0</v>
      </c>
      <c r="S2116" s="1" t="str">
        <f>IF(Table1[[#This Row],[High Tol]]="","N/A",IFERROR(ABS(Table1[[#This Row],[Tol Span]]/Table1[[#This Row],[Error Span]]),"N/A"))</f>
        <v>N/A</v>
      </c>
      <c r="T2116" s="1" t="str">
        <f>IF(OR(Table1[[#This Row],[Low Tol]]="",Table1[[#This Row],[High Tol]]=""),"Needs Analysis",IF(Table1[[#This Row],[Ratio]]&gt;=4,"Not Significant",IF(Table1[[#This Row],[Ratio]]&gt;=2,"Semi-Significant","Significant")))</f>
        <v>Needs Analysis</v>
      </c>
      <c r="W2116" s="1">
        <f>IF(Table1[[#This Row],[Cal Type]]&lt;&gt;"ACCREDITED 17025 WITH UNCERTAINTIES",0,"")</f>
        <v>0</v>
      </c>
      <c r="X2116" s="1" t="str">
        <f>IF(Table1[[#This Row],[DUT Read]]="","N/A",Table1[[#This Row],[Std Error]]+Table1[[#This Row],[DUT Read]]+Table1[[#This Row],[DUT Ucty]])</f>
        <v>N/A</v>
      </c>
      <c r="Y2116" s="1" t="str">
        <f>IF(Table1[[#This Row],[Std Read]]="","N/A",Table1[[#This Row],[Std Read]]+Table1[[#This Row],[Std Ucty]])</f>
        <v>N/A</v>
      </c>
      <c r="Z21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6" s="1" t="str">
        <f>IF(Table1[[#This Row],[Spec Type]]="","N/A",Table1[[#This Row],[Spec Type]])</f>
        <v>±</v>
      </c>
      <c r="AC2116" s="1" t="str">
        <f>IF(Table1[[#This Row],[Spec Type2]]="N/A","N/A",IF(AND(Table1[[#This Row],[DUT Adj Read]]&gt;=Table1[[#This Row],[Low Tol]],Table1[[#This Row],[DUT Adj Read]]&lt;=Table1[[#This Row],[High Tol]]),"Pass","Fail"))</f>
        <v>Fail</v>
      </c>
      <c r="AD2116" s="1" t="str">
        <f>IF(AND(Table1[[#This Row],[Spec Type2]]="N/A",Table1[[#This Row],[DUT Adj Read]]="N/A",Table1[[#This Row],[Std Adj Read]]="N/A"),"N/A",IF(Table1[[#This Row],[DUT Adj Read]]="N/A",IF(Table1[[#This Row],[Std Adj Read]]&gt;Table1[[#This Row],[Low Tol]],"Pass","Fail"),IF(Table1[[#This Row],[DUT Adj Read]]&gt;Table1[[#This Row],[Low Tol]],"Pass","Fail")))</f>
        <v>Pass</v>
      </c>
      <c r="AE2116" s="1" t="str">
        <f>IF(AND(Table1[[#This Row],[Spec Type2]]="N/A",Table1[[#This Row],[DUT Adj Read]]="N/A",Table1[[#This Row],[Std Adj Read]]="N/A"),"N/A",IF(Table1[[#This Row],[DUT Adj Read]]="N/A",IF(Table1[[#This Row],[Std Adj Read]]&lt;Table1[[#This Row],[High Tol]],"Pass","Fail"),IF(Table1[[#This Row],[DUT Adj Read]]&lt;Table1[[#This Row],[High Tol]],"Pass","Fail")))</f>
        <v>Fail</v>
      </c>
      <c r="AF2116" s="1" t="str">
        <f>IF(AND(Table1[[#This Row],[Spec Type2]]="N/A",Table1[[#This Row],[DUT Adj Read]]="N/A",Table1[[#This Row],[Std Adj Read]]="N/A"),"N/A",IF(Table1[[#This Row],[DUT Adj Read]]="N/A",IF(Table1[[#This Row],[Std Adj Read]]&gt;=Table1[[#This Row],[Low Tol]],"Pass","Fail"),IF(Table1[[#This Row],[DUT Adj Read]]&gt;=Table1[[#This Row],[Low Tol]],"Pass","Fail")))</f>
        <v>Pass</v>
      </c>
      <c r="AG2116" s="1" t="str">
        <f>IF(AND(Table1[[#This Row],[Spec Type2]]="N/A",Table1[[#This Row],[DUT Adj Read]]="N/A",Table1[[#This Row],[Std Adj Read]]="N/A"),"N/A",IF(Table1[[#This Row],[DUT Adj Read]]="N/A",IF(Table1[[#This Row],[Std Adj Read]]&lt;=Table1[[#This Row],[High Tol]],"Pass","Fail"),IF(Table1[[#This Row],[DUT Adj Read]]&lt;=Table1[[#This Row],[High Tol]],"Pass","Fail")))</f>
        <v>Fail</v>
      </c>
      <c r="AH21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6" s="1" t="b">
        <v>0</v>
      </c>
      <c r="AN2116" s="1" t="b">
        <v>0</v>
      </c>
      <c r="AO2116" s="1" t="b">
        <v>0</v>
      </c>
    </row>
    <row r="2117" spans="1:41" x14ac:dyDescent="0.25">
      <c r="A2117" s="10"/>
      <c r="B2117" s="10"/>
      <c r="C2117" s="10"/>
      <c r="D2117" s="10"/>
      <c r="E2117" s="10"/>
      <c r="F2117" s="10"/>
      <c r="G2117" s="10"/>
      <c r="H2117" s="10"/>
      <c r="I2117" s="1" t="str">
        <f t="shared" si="96"/>
        <v/>
      </c>
      <c r="J2117" s="1" t="s">
        <v>35</v>
      </c>
      <c r="K2117" s="1" t="str">
        <f t="shared" si="97"/>
        <v/>
      </c>
      <c r="L2117" s="1" t="str">
        <f t="shared" si="98"/>
        <v/>
      </c>
      <c r="M2117" s="1">
        <f>IF(OR(Table1[[#This Row],[Std Nom]]="",Table1[[#This Row],[Std Read]]=""),0,Table1[[#This Row],[Std Nom]]-Table1[[#This Row],[Std Read]])</f>
        <v>0</v>
      </c>
      <c r="N2117" s="1">
        <f>IF(Calculations!$F$5="ACCREDITED 17025 WITH UNCERTAINTIES",$N$10,0)</f>
        <v>0</v>
      </c>
      <c r="Q2117" s="1">
        <f>Table1[[#This Row],[High Tol]]-Table1[[#This Row],[Low Tol]]</f>
        <v>0</v>
      </c>
      <c r="R2117" s="1">
        <f>2*Table1[[#This Row],[Std Error]]</f>
        <v>0</v>
      </c>
      <c r="S2117" s="1" t="str">
        <f>IF(Table1[[#This Row],[High Tol]]="","N/A",IFERROR(ABS(Table1[[#This Row],[Tol Span]]/Table1[[#This Row],[Error Span]]),"N/A"))</f>
        <v>N/A</v>
      </c>
      <c r="T2117" s="1" t="str">
        <f>IF(OR(Table1[[#This Row],[Low Tol]]="",Table1[[#This Row],[High Tol]]=""),"Needs Analysis",IF(Table1[[#This Row],[Ratio]]&gt;=4,"Not Significant",IF(Table1[[#This Row],[Ratio]]&gt;=2,"Semi-Significant","Significant")))</f>
        <v>Needs Analysis</v>
      </c>
      <c r="W2117" s="1">
        <f>IF(Table1[[#This Row],[Cal Type]]&lt;&gt;"ACCREDITED 17025 WITH UNCERTAINTIES",0,"")</f>
        <v>0</v>
      </c>
      <c r="X2117" s="1" t="str">
        <f>IF(Table1[[#This Row],[DUT Read]]="","N/A",Table1[[#This Row],[Std Error]]+Table1[[#This Row],[DUT Read]]+Table1[[#This Row],[DUT Ucty]])</f>
        <v>N/A</v>
      </c>
      <c r="Y2117" s="1" t="str">
        <f>IF(Table1[[#This Row],[Std Read]]="","N/A",Table1[[#This Row],[Std Read]]+Table1[[#This Row],[Std Ucty]])</f>
        <v>N/A</v>
      </c>
      <c r="Z21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7" s="1" t="str">
        <f>IF(Table1[[#This Row],[Spec Type]]="","N/A",Table1[[#This Row],[Spec Type]])</f>
        <v>±</v>
      </c>
      <c r="AC2117" s="1" t="str">
        <f>IF(Table1[[#This Row],[Spec Type2]]="N/A","N/A",IF(AND(Table1[[#This Row],[DUT Adj Read]]&gt;=Table1[[#This Row],[Low Tol]],Table1[[#This Row],[DUT Adj Read]]&lt;=Table1[[#This Row],[High Tol]]),"Pass","Fail"))</f>
        <v>Fail</v>
      </c>
      <c r="AD2117" s="1" t="str">
        <f>IF(AND(Table1[[#This Row],[Spec Type2]]="N/A",Table1[[#This Row],[DUT Adj Read]]="N/A",Table1[[#This Row],[Std Adj Read]]="N/A"),"N/A",IF(Table1[[#This Row],[DUT Adj Read]]="N/A",IF(Table1[[#This Row],[Std Adj Read]]&gt;Table1[[#This Row],[Low Tol]],"Pass","Fail"),IF(Table1[[#This Row],[DUT Adj Read]]&gt;Table1[[#This Row],[Low Tol]],"Pass","Fail")))</f>
        <v>Pass</v>
      </c>
      <c r="AE2117" s="1" t="str">
        <f>IF(AND(Table1[[#This Row],[Spec Type2]]="N/A",Table1[[#This Row],[DUT Adj Read]]="N/A",Table1[[#This Row],[Std Adj Read]]="N/A"),"N/A",IF(Table1[[#This Row],[DUT Adj Read]]="N/A",IF(Table1[[#This Row],[Std Adj Read]]&lt;Table1[[#This Row],[High Tol]],"Pass","Fail"),IF(Table1[[#This Row],[DUT Adj Read]]&lt;Table1[[#This Row],[High Tol]],"Pass","Fail")))</f>
        <v>Fail</v>
      </c>
      <c r="AF2117" s="1" t="str">
        <f>IF(AND(Table1[[#This Row],[Spec Type2]]="N/A",Table1[[#This Row],[DUT Adj Read]]="N/A",Table1[[#This Row],[Std Adj Read]]="N/A"),"N/A",IF(Table1[[#This Row],[DUT Adj Read]]="N/A",IF(Table1[[#This Row],[Std Adj Read]]&gt;=Table1[[#This Row],[Low Tol]],"Pass","Fail"),IF(Table1[[#This Row],[DUT Adj Read]]&gt;=Table1[[#This Row],[Low Tol]],"Pass","Fail")))</f>
        <v>Pass</v>
      </c>
      <c r="AG2117" s="1" t="str">
        <f>IF(AND(Table1[[#This Row],[Spec Type2]]="N/A",Table1[[#This Row],[DUT Adj Read]]="N/A",Table1[[#This Row],[Std Adj Read]]="N/A"),"N/A",IF(Table1[[#This Row],[DUT Adj Read]]="N/A",IF(Table1[[#This Row],[Std Adj Read]]&lt;=Table1[[#This Row],[High Tol]],"Pass","Fail"),IF(Table1[[#This Row],[DUT Adj Read]]&lt;=Table1[[#This Row],[High Tol]],"Pass","Fail")))</f>
        <v>Fail</v>
      </c>
      <c r="AH21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7" s="1" t="b">
        <v>0</v>
      </c>
      <c r="AN2117" s="1" t="b">
        <v>0</v>
      </c>
      <c r="AO2117" s="1" t="b">
        <v>0</v>
      </c>
    </row>
    <row r="2118" spans="1:41" x14ac:dyDescent="0.25">
      <c r="A2118" s="10"/>
      <c r="B2118" s="10"/>
      <c r="C2118" s="10"/>
      <c r="D2118" s="10"/>
      <c r="E2118" s="10"/>
      <c r="F2118" s="10"/>
      <c r="G2118" s="10"/>
      <c r="H2118" s="10"/>
      <c r="I2118" s="1" t="str">
        <f t="shared" si="96"/>
        <v/>
      </c>
      <c r="J2118" s="1" t="s">
        <v>35</v>
      </c>
      <c r="K2118" s="1" t="str">
        <f t="shared" si="97"/>
        <v/>
      </c>
      <c r="L2118" s="1" t="str">
        <f t="shared" si="98"/>
        <v/>
      </c>
      <c r="M2118" s="1">
        <f>IF(OR(Table1[[#This Row],[Std Nom]]="",Table1[[#This Row],[Std Read]]=""),0,Table1[[#This Row],[Std Nom]]-Table1[[#This Row],[Std Read]])</f>
        <v>0</v>
      </c>
      <c r="N2118" s="1">
        <f>IF(Calculations!$F$5="ACCREDITED 17025 WITH UNCERTAINTIES",$N$10,0)</f>
        <v>0</v>
      </c>
      <c r="Q2118" s="1">
        <f>Table1[[#This Row],[High Tol]]-Table1[[#This Row],[Low Tol]]</f>
        <v>0</v>
      </c>
      <c r="R2118" s="1">
        <f>2*Table1[[#This Row],[Std Error]]</f>
        <v>0</v>
      </c>
      <c r="S2118" s="1" t="str">
        <f>IF(Table1[[#This Row],[High Tol]]="","N/A",IFERROR(ABS(Table1[[#This Row],[Tol Span]]/Table1[[#This Row],[Error Span]]),"N/A"))</f>
        <v>N/A</v>
      </c>
      <c r="T2118" s="1" t="str">
        <f>IF(OR(Table1[[#This Row],[Low Tol]]="",Table1[[#This Row],[High Tol]]=""),"Needs Analysis",IF(Table1[[#This Row],[Ratio]]&gt;=4,"Not Significant",IF(Table1[[#This Row],[Ratio]]&gt;=2,"Semi-Significant","Significant")))</f>
        <v>Needs Analysis</v>
      </c>
      <c r="W2118" s="1">
        <f>IF(Table1[[#This Row],[Cal Type]]&lt;&gt;"ACCREDITED 17025 WITH UNCERTAINTIES",0,"")</f>
        <v>0</v>
      </c>
      <c r="X2118" s="1" t="str">
        <f>IF(Table1[[#This Row],[DUT Read]]="","N/A",Table1[[#This Row],[Std Error]]+Table1[[#This Row],[DUT Read]]+Table1[[#This Row],[DUT Ucty]])</f>
        <v>N/A</v>
      </c>
      <c r="Y2118" s="1" t="str">
        <f>IF(Table1[[#This Row],[Std Read]]="","N/A",Table1[[#This Row],[Std Read]]+Table1[[#This Row],[Std Ucty]])</f>
        <v>N/A</v>
      </c>
      <c r="Z21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8" s="1" t="str">
        <f>IF(Table1[[#This Row],[Spec Type]]="","N/A",Table1[[#This Row],[Spec Type]])</f>
        <v>±</v>
      </c>
      <c r="AC2118" s="1" t="str">
        <f>IF(Table1[[#This Row],[Spec Type2]]="N/A","N/A",IF(AND(Table1[[#This Row],[DUT Adj Read]]&gt;=Table1[[#This Row],[Low Tol]],Table1[[#This Row],[DUT Adj Read]]&lt;=Table1[[#This Row],[High Tol]]),"Pass","Fail"))</f>
        <v>Fail</v>
      </c>
      <c r="AD2118" s="1" t="str">
        <f>IF(AND(Table1[[#This Row],[Spec Type2]]="N/A",Table1[[#This Row],[DUT Adj Read]]="N/A",Table1[[#This Row],[Std Adj Read]]="N/A"),"N/A",IF(Table1[[#This Row],[DUT Adj Read]]="N/A",IF(Table1[[#This Row],[Std Adj Read]]&gt;Table1[[#This Row],[Low Tol]],"Pass","Fail"),IF(Table1[[#This Row],[DUT Adj Read]]&gt;Table1[[#This Row],[Low Tol]],"Pass","Fail")))</f>
        <v>Pass</v>
      </c>
      <c r="AE2118" s="1" t="str">
        <f>IF(AND(Table1[[#This Row],[Spec Type2]]="N/A",Table1[[#This Row],[DUT Adj Read]]="N/A",Table1[[#This Row],[Std Adj Read]]="N/A"),"N/A",IF(Table1[[#This Row],[DUT Adj Read]]="N/A",IF(Table1[[#This Row],[Std Adj Read]]&lt;Table1[[#This Row],[High Tol]],"Pass","Fail"),IF(Table1[[#This Row],[DUT Adj Read]]&lt;Table1[[#This Row],[High Tol]],"Pass","Fail")))</f>
        <v>Fail</v>
      </c>
      <c r="AF2118" s="1" t="str">
        <f>IF(AND(Table1[[#This Row],[Spec Type2]]="N/A",Table1[[#This Row],[DUT Adj Read]]="N/A",Table1[[#This Row],[Std Adj Read]]="N/A"),"N/A",IF(Table1[[#This Row],[DUT Adj Read]]="N/A",IF(Table1[[#This Row],[Std Adj Read]]&gt;=Table1[[#This Row],[Low Tol]],"Pass","Fail"),IF(Table1[[#This Row],[DUT Adj Read]]&gt;=Table1[[#This Row],[Low Tol]],"Pass","Fail")))</f>
        <v>Pass</v>
      </c>
      <c r="AG2118" s="1" t="str">
        <f>IF(AND(Table1[[#This Row],[Spec Type2]]="N/A",Table1[[#This Row],[DUT Adj Read]]="N/A",Table1[[#This Row],[Std Adj Read]]="N/A"),"N/A",IF(Table1[[#This Row],[DUT Adj Read]]="N/A",IF(Table1[[#This Row],[Std Adj Read]]&lt;=Table1[[#This Row],[High Tol]],"Pass","Fail"),IF(Table1[[#This Row],[DUT Adj Read]]&lt;=Table1[[#This Row],[High Tol]],"Pass","Fail")))</f>
        <v>Fail</v>
      </c>
      <c r="AH21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8" s="1" t="b">
        <v>0</v>
      </c>
      <c r="AN2118" s="1" t="b">
        <v>0</v>
      </c>
      <c r="AO2118" s="1" t="b">
        <v>0</v>
      </c>
    </row>
    <row r="2119" spans="1:41" x14ac:dyDescent="0.25">
      <c r="A2119" s="10"/>
      <c r="B2119" s="10"/>
      <c r="C2119" s="10"/>
      <c r="D2119" s="10"/>
      <c r="E2119" s="10"/>
      <c r="F2119" s="10"/>
      <c r="G2119" s="10"/>
      <c r="H2119" s="10"/>
      <c r="I2119" s="1" t="str">
        <f t="shared" si="96"/>
        <v/>
      </c>
      <c r="J2119" s="1" t="s">
        <v>35</v>
      </c>
      <c r="K2119" s="1" t="str">
        <f t="shared" si="97"/>
        <v/>
      </c>
      <c r="L2119" s="1" t="str">
        <f t="shared" si="98"/>
        <v/>
      </c>
      <c r="M2119" s="1">
        <f>IF(OR(Table1[[#This Row],[Std Nom]]="",Table1[[#This Row],[Std Read]]=""),0,Table1[[#This Row],[Std Nom]]-Table1[[#This Row],[Std Read]])</f>
        <v>0</v>
      </c>
      <c r="N2119" s="1">
        <f>IF(Calculations!$F$5="ACCREDITED 17025 WITH UNCERTAINTIES",$N$10,0)</f>
        <v>0</v>
      </c>
      <c r="Q2119" s="1">
        <f>Table1[[#This Row],[High Tol]]-Table1[[#This Row],[Low Tol]]</f>
        <v>0</v>
      </c>
      <c r="R2119" s="1">
        <f>2*Table1[[#This Row],[Std Error]]</f>
        <v>0</v>
      </c>
      <c r="S2119" s="1" t="str">
        <f>IF(Table1[[#This Row],[High Tol]]="","N/A",IFERROR(ABS(Table1[[#This Row],[Tol Span]]/Table1[[#This Row],[Error Span]]),"N/A"))</f>
        <v>N/A</v>
      </c>
      <c r="T2119" s="1" t="str">
        <f>IF(OR(Table1[[#This Row],[Low Tol]]="",Table1[[#This Row],[High Tol]]=""),"Needs Analysis",IF(Table1[[#This Row],[Ratio]]&gt;=4,"Not Significant",IF(Table1[[#This Row],[Ratio]]&gt;=2,"Semi-Significant","Significant")))</f>
        <v>Needs Analysis</v>
      </c>
      <c r="W2119" s="1">
        <f>IF(Table1[[#This Row],[Cal Type]]&lt;&gt;"ACCREDITED 17025 WITH UNCERTAINTIES",0,"")</f>
        <v>0</v>
      </c>
      <c r="X2119" s="1" t="str">
        <f>IF(Table1[[#This Row],[DUT Read]]="","N/A",Table1[[#This Row],[Std Error]]+Table1[[#This Row],[DUT Read]]+Table1[[#This Row],[DUT Ucty]])</f>
        <v>N/A</v>
      </c>
      <c r="Y2119" s="1" t="str">
        <f>IF(Table1[[#This Row],[Std Read]]="","N/A",Table1[[#This Row],[Std Read]]+Table1[[#This Row],[Std Ucty]])</f>
        <v>N/A</v>
      </c>
      <c r="Z21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19" s="1" t="str">
        <f>IF(Table1[[#This Row],[Spec Type]]="","N/A",Table1[[#This Row],[Spec Type]])</f>
        <v>±</v>
      </c>
      <c r="AC2119" s="1" t="str">
        <f>IF(Table1[[#This Row],[Spec Type2]]="N/A","N/A",IF(AND(Table1[[#This Row],[DUT Adj Read]]&gt;=Table1[[#This Row],[Low Tol]],Table1[[#This Row],[DUT Adj Read]]&lt;=Table1[[#This Row],[High Tol]]),"Pass","Fail"))</f>
        <v>Fail</v>
      </c>
      <c r="AD2119" s="1" t="str">
        <f>IF(AND(Table1[[#This Row],[Spec Type2]]="N/A",Table1[[#This Row],[DUT Adj Read]]="N/A",Table1[[#This Row],[Std Adj Read]]="N/A"),"N/A",IF(Table1[[#This Row],[DUT Adj Read]]="N/A",IF(Table1[[#This Row],[Std Adj Read]]&gt;Table1[[#This Row],[Low Tol]],"Pass","Fail"),IF(Table1[[#This Row],[DUT Adj Read]]&gt;Table1[[#This Row],[Low Tol]],"Pass","Fail")))</f>
        <v>Pass</v>
      </c>
      <c r="AE2119" s="1" t="str">
        <f>IF(AND(Table1[[#This Row],[Spec Type2]]="N/A",Table1[[#This Row],[DUT Adj Read]]="N/A",Table1[[#This Row],[Std Adj Read]]="N/A"),"N/A",IF(Table1[[#This Row],[DUT Adj Read]]="N/A",IF(Table1[[#This Row],[Std Adj Read]]&lt;Table1[[#This Row],[High Tol]],"Pass","Fail"),IF(Table1[[#This Row],[DUT Adj Read]]&lt;Table1[[#This Row],[High Tol]],"Pass","Fail")))</f>
        <v>Fail</v>
      </c>
      <c r="AF2119" s="1" t="str">
        <f>IF(AND(Table1[[#This Row],[Spec Type2]]="N/A",Table1[[#This Row],[DUT Adj Read]]="N/A",Table1[[#This Row],[Std Adj Read]]="N/A"),"N/A",IF(Table1[[#This Row],[DUT Adj Read]]="N/A",IF(Table1[[#This Row],[Std Adj Read]]&gt;=Table1[[#This Row],[Low Tol]],"Pass","Fail"),IF(Table1[[#This Row],[DUT Adj Read]]&gt;=Table1[[#This Row],[Low Tol]],"Pass","Fail")))</f>
        <v>Pass</v>
      </c>
      <c r="AG2119" s="1" t="str">
        <f>IF(AND(Table1[[#This Row],[Spec Type2]]="N/A",Table1[[#This Row],[DUT Adj Read]]="N/A",Table1[[#This Row],[Std Adj Read]]="N/A"),"N/A",IF(Table1[[#This Row],[DUT Adj Read]]="N/A",IF(Table1[[#This Row],[Std Adj Read]]&lt;=Table1[[#This Row],[High Tol]],"Pass","Fail"),IF(Table1[[#This Row],[DUT Adj Read]]&lt;=Table1[[#This Row],[High Tol]],"Pass","Fail")))</f>
        <v>Fail</v>
      </c>
      <c r="AH21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19" s="1" t="b">
        <v>0</v>
      </c>
      <c r="AN2119" s="1" t="b">
        <v>0</v>
      </c>
      <c r="AO2119" s="1" t="b">
        <v>0</v>
      </c>
    </row>
    <row r="2120" spans="1:41" x14ac:dyDescent="0.25">
      <c r="A2120" s="10"/>
      <c r="B2120" s="10"/>
      <c r="C2120" s="10"/>
      <c r="D2120" s="10"/>
      <c r="E2120" s="10"/>
      <c r="F2120" s="10"/>
      <c r="G2120" s="10"/>
      <c r="H2120" s="10"/>
      <c r="I2120" s="1" t="str">
        <f t="shared" si="96"/>
        <v/>
      </c>
      <c r="J2120" s="1" t="s">
        <v>35</v>
      </c>
      <c r="K2120" s="1" t="str">
        <f t="shared" si="97"/>
        <v/>
      </c>
      <c r="L2120" s="1" t="str">
        <f t="shared" si="98"/>
        <v/>
      </c>
      <c r="M2120" s="1">
        <f>IF(OR(Table1[[#This Row],[Std Nom]]="",Table1[[#This Row],[Std Read]]=""),0,Table1[[#This Row],[Std Nom]]-Table1[[#This Row],[Std Read]])</f>
        <v>0</v>
      </c>
      <c r="N2120" s="1">
        <f>IF(Calculations!$F$5="ACCREDITED 17025 WITH UNCERTAINTIES",$N$10,0)</f>
        <v>0</v>
      </c>
      <c r="Q2120" s="1">
        <f>Table1[[#This Row],[High Tol]]-Table1[[#This Row],[Low Tol]]</f>
        <v>0</v>
      </c>
      <c r="R2120" s="1">
        <f>2*Table1[[#This Row],[Std Error]]</f>
        <v>0</v>
      </c>
      <c r="S2120" s="1" t="str">
        <f>IF(Table1[[#This Row],[High Tol]]="","N/A",IFERROR(ABS(Table1[[#This Row],[Tol Span]]/Table1[[#This Row],[Error Span]]),"N/A"))</f>
        <v>N/A</v>
      </c>
      <c r="T2120" s="1" t="str">
        <f>IF(OR(Table1[[#This Row],[Low Tol]]="",Table1[[#This Row],[High Tol]]=""),"Needs Analysis",IF(Table1[[#This Row],[Ratio]]&gt;=4,"Not Significant",IF(Table1[[#This Row],[Ratio]]&gt;=2,"Semi-Significant","Significant")))</f>
        <v>Needs Analysis</v>
      </c>
      <c r="W2120" s="1">
        <f>IF(Table1[[#This Row],[Cal Type]]&lt;&gt;"ACCREDITED 17025 WITH UNCERTAINTIES",0,"")</f>
        <v>0</v>
      </c>
      <c r="X2120" s="1" t="str">
        <f>IF(Table1[[#This Row],[DUT Read]]="","N/A",Table1[[#This Row],[Std Error]]+Table1[[#This Row],[DUT Read]]+Table1[[#This Row],[DUT Ucty]])</f>
        <v>N/A</v>
      </c>
      <c r="Y2120" s="1" t="str">
        <f>IF(Table1[[#This Row],[Std Read]]="","N/A",Table1[[#This Row],[Std Read]]+Table1[[#This Row],[Std Ucty]])</f>
        <v>N/A</v>
      </c>
      <c r="Z21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0" s="1" t="str">
        <f>IF(Table1[[#This Row],[Spec Type]]="","N/A",Table1[[#This Row],[Spec Type]])</f>
        <v>±</v>
      </c>
      <c r="AC2120" s="1" t="str">
        <f>IF(Table1[[#This Row],[Spec Type2]]="N/A","N/A",IF(AND(Table1[[#This Row],[DUT Adj Read]]&gt;=Table1[[#This Row],[Low Tol]],Table1[[#This Row],[DUT Adj Read]]&lt;=Table1[[#This Row],[High Tol]]),"Pass","Fail"))</f>
        <v>Fail</v>
      </c>
      <c r="AD2120" s="1" t="str">
        <f>IF(AND(Table1[[#This Row],[Spec Type2]]="N/A",Table1[[#This Row],[DUT Adj Read]]="N/A",Table1[[#This Row],[Std Adj Read]]="N/A"),"N/A",IF(Table1[[#This Row],[DUT Adj Read]]="N/A",IF(Table1[[#This Row],[Std Adj Read]]&gt;Table1[[#This Row],[Low Tol]],"Pass","Fail"),IF(Table1[[#This Row],[DUT Adj Read]]&gt;Table1[[#This Row],[Low Tol]],"Pass","Fail")))</f>
        <v>Pass</v>
      </c>
      <c r="AE2120" s="1" t="str">
        <f>IF(AND(Table1[[#This Row],[Spec Type2]]="N/A",Table1[[#This Row],[DUT Adj Read]]="N/A",Table1[[#This Row],[Std Adj Read]]="N/A"),"N/A",IF(Table1[[#This Row],[DUT Adj Read]]="N/A",IF(Table1[[#This Row],[Std Adj Read]]&lt;Table1[[#This Row],[High Tol]],"Pass","Fail"),IF(Table1[[#This Row],[DUT Adj Read]]&lt;Table1[[#This Row],[High Tol]],"Pass","Fail")))</f>
        <v>Fail</v>
      </c>
      <c r="AF2120" s="1" t="str">
        <f>IF(AND(Table1[[#This Row],[Spec Type2]]="N/A",Table1[[#This Row],[DUT Adj Read]]="N/A",Table1[[#This Row],[Std Adj Read]]="N/A"),"N/A",IF(Table1[[#This Row],[DUT Adj Read]]="N/A",IF(Table1[[#This Row],[Std Adj Read]]&gt;=Table1[[#This Row],[Low Tol]],"Pass","Fail"),IF(Table1[[#This Row],[DUT Adj Read]]&gt;=Table1[[#This Row],[Low Tol]],"Pass","Fail")))</f>
        <v>Pass</v>
      </c>
      <c r="AG2120" s="1" t="str">
        <f>IF(AND(Table1[[#This Row],[Spec Type2]]="N/A",Table1[[#This Row],[DUT Adj Read]]="N/A",Table1[[#This Row],[Std Adj Read]]="N/A"),"N/A",IF(Table1[[#This Row],[DUT Adj Read]]="N/A",IF(Table1[[#This Row],[Std Adj Read]]&lt;=Table1[[#This Row],[High Tol]],"Pass","Fail"),IF(Table1[[#This Row],[DUT Adj Read]]&lt;=Table1[[#This Row],[High Tol]],"Pass","Fail")))</f>
        <v>Fail</v>
      </c>
      <c r="AH21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0" s="1" t="b">
        <v>0</v>
      </c>
      <c r="AN2120" s="1" t="b">
        <v>0</v>
      </c>
      <c r="AO2120" s="1" t="b">
        <v>0</v>
      </c>
    </row>
    <row r="2121" spans="1:41" x14ac:dyDescent="0.25">
      <c r="A2121" s="10"/>
      <c r="B2121" s="10"/>
      <c r="C2121" s="10"/>
      <c r="D2121" s="10"/>
      <c r="E2121" s="10"/>
      <c r="F2121" s="10"/>
      <c r="G2121" s="10"/>
      <c r="H2121" s="10"/>
      <c r="I2121" s="1" t="str">
        <f t="shared" si="96"/>
        <v/>
      </c>
      <c r="J2121" s="1" t="s">
        <v>35</v>
      </c>
      <c r="K2121" s="1" t="str">
        <f t="shared" si="97"/>
        <v/>
      </c>
      <c r="L2121" s="1" t="str">
        <f t="shared" si="98"/>
        <v/>
      </c>
      <c r="M2121" s="1">
        <f>IF(OR(Table1[[#This Row],[Std Nom]]="",Table1[[#This Row],[Std Read]]=""),0,Table1[[#This Row],[Std Nom]]-Table1[[#This Row],[Std Read]])</f>
        <v>0</v>
      </c>
      <c r="N2121" s="1">
        <f>IF(Calculations!$F$5="ACCREDITED 17025 WITH UNCERTAINTIES",$N$10,0)</f>
        <v>0</v>
      </c>
      <c r="Q2121" s="1">
        <f>Table1[[#This Row],[High Tol]]-Table1[[#This Row],[Low Tol]]</f>
        <v>0</v>
      </c>
      <c r="R2121" s="1">
        <f>2*Table1[[#This Row],[Std Error]]</f>
        <v>0</v>
      </c>
      <c r="S2121" s="1" t="str">
        <f>IF(Table1[[#This Row],[High Tol]]="","N/A",IFERROR(ABS(Table1[[#This Row],[Tol Span]]/Table1[[#This Row],[Error Span]]),"N/A"))</f>
        <v>N/A</v>
      </c>
      <c r="T2121" s="1" t="str">
        <f>IF(OR(Table1[[#This Row],[Low Tol]]="",Table1[[#This Row],[High Tol]]=""),"Needs Analysis",IF(Table1[[#This Row],[Ratio]]&gt;=4,"Not Significant",IF(Table1[[#This Row],[Ratio]]&gt;=2,"Semi-Significant","Significant")))</f>
        <v>Needs Analysis</v>
      </c>
      <c r="W2121" s="1">
        <f>IF(Table1[[#This Row],[Cal Type]]&lt;&gt;"ACCREDITED 17025 WITH UNCERTAINTIES",0,"")</f>
        <v>0</v>
      </c>
      <c r="X2121" s="1" t="str">
        <f>IF(Table1[[#This Row],[DUT Read]]="","N/A",Table1[[#This Row],[Std Error]]+Table1[[#This Row],[DUT Read]]+Table1[[#This Row],[DUT Ucty]])</f>
        <v>N/A</v>
      </c>
      <c r="Y2121" s="1" t="str">
        <f>IF(Table1[[#This Row],[Std Read]]="","N/A",Table1[[#This Row],[Std Read]]+Table1[[#This Row],[Std Ucty]])</f>
        <v>N/A</v>
      </c>
      <c r="Z21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1" s="1" t="str">
        <f>IF(Table1[[#This Row],[Spec Type]]="","N/A",Table1[[#This Row],[Spec Type]])</f>
        <v>±</v>
      </c>
      <c r="AC2121" s="1" t="str">
        <f>IF(Table1[[#This Row],[Spec Type2]]="N/A","N/A",IF(AND(Table1[[#This Row],[DUT Adj Read]]&gt;=Table1[[#This Row],[Low Tol]],Table1[[#This Row],[DUT Adj Read]]&lt;=Table1[[#This Row],[High Tol]]),"Pass","Fail"))</f>
        <v>Fail</v>
      </c>
      <c r="AD2121" s="1" t="str">
        <f>IF(AND(Table1[[#This Row],[Spec Type2]]="N/A",Table1[[#This Row],[DUT Adj Read]]="N/A",Table1[[#This Row],[Std Adj Read]]="N/A"),"N/A",IF(Table1[[#This Row],[DUT Adj Read]]="N/A",IF(Table1[[#This Row],[Std Adj Read]]&gt;Table1[[#This Row],[Low Tol]],"Pass","Fail"),IF(Table1[[#This Row],[DUT Adj Read]]&gt;Table1[[#This Row],[Low Tol]],"Pass","Fail")))</f>
        <v>Pass</v>
      </c>
      <c r="AE2121" s="1" t="str">
        <f>IF(AND(Table1[[#This Row],[Spec Type2]]="N/A",Table1[[#This Row],[DUT Adj Read]]="N/A",Table1[[#This Row],[Std Adj Read]]="N/A"),"N/A",IF(Table1[[#This Row],[DUT Adj Read]]="N/A",IF(Table1[[#This Row],[Std Adj Read]]&lt;Table1[[#This Row],[High Tol]],"Pass","Fail"),IF(Table1[[#This Row],[DUT Adj Read]]&lt;Table1[[#This Row],[High Tol]],"Pass","Fail")))</f>
        <v>Fail</v>
      </c>
      <c r="AF2121" s="1" t="str">
        <f>IF(AND(Table1[[#This Row],[Spec Type2]]="N/A",Table1[[#This Row],[DUT Adj Read]]="N/A",Table1[[#This Row],[Std Adj Read]]="N/A"),"N/A",IF(Table1[[#This Row],[DUT Adj Read]]="N/A",IF(Table1[[#This Row],[Std Adj Read]]&gt;=Table1[[#This Row],[Low Tol]],"Pass","Fail"),IF(Table1[[#This Row],[DUT Adj Read]]&gt;=Table1[[#This Row],[Low Tol]],"Pass","Fail")))</f>
        <v>Pass</v>
      </c>
      <c r="AG2121" s="1" t="str">
        <f>IF(AND(Table1[[#This Row],[Spec Type2]]="N/A",Table1[[#This Row],[DUT Adj Read]]="N/A",Table1[[#This Row],[Std Adj Read]]="N/A"),"N/A",IF(Table1[[#This Row],[DUT Adj Read]]="N/A",IF(Table1[[#This Row],[Std Adj Read]]&lt;=Table1[[#This Row],[High Tol]],"Pass","Fail"),IF(Table1[[#This Row],[DUT Adj Read]]&lt;=Table1[[#This Row],[High Tol]],"Pass","Fail")))</f>
        <v>Fail</v>
      </c>
      <c r="AH21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1" s="1" t="b">
        <v>0</v>
      </c>
      <c r="AN2121" s="1" t="b">
        <v>0</v>
      </c>
      <c r="AO2121" s="1" t="b">
        <v>0</v>
      </c>
    </row>
    <row r="2122" spans="1:41" x14ac:dyDescent="0.25">
      <c r="A2122" s="10"/>
      <c r="B2122" s="10"/>
      <c r="C2122" s="10"/>
      <c r="D2122" s="10"/>
      <c r="E2122" s="10"/>
      <c r="F2122" s="10"/>
      <c r="G2122" s="10"/>
      <c r="H2122" s="10"/>
      <c r="I2122" s="1" t="str">
        <f t="shared" si="96"/>
        <v/>
      </c>
      <c r="J2122" s="1" t="s">
        <v>35</v>
      </c>
      <c r="K2122" s="1" t="str">
        <f t="shared" si="97"/>
        <v/>
      </c>
      <c r="L2122" s="1" t="str">
        <f t="shared" si="98"/>
        <v/>
      </c>
      <c r="M2122" s="1">
        <f>IF(OR(Table1[[#This Row],[Std Nom]]="",Table1[[#This Row],[Std Read]]=""),0,Table1[[#This Row],[Std Nom]]-Table1[[#This Row],[Std Read]])</f>
        <v>0</v>
      </c>
      <c r="N2122" s="1">
        <f>IF(Calculations!$F$5="ACCREDITED 17025 WITH UNCERTAINTIES",$N$10,0)</f>
        <v>0</v>
      </c>
      <c r="Q2122" s="1">
        <f>Table1[[#This Row],[High Tol]]-Table1[[#This Row],[Low Tol]]</f>
        <v>0</v>
      </c>
      <c r="R2122" s="1">
        <f>2*Table1[[#This Row],[Std Error]]</f>
        <v>0</v>
      </c>
      <c r="S2122" s="1" t="str">
        <f>IF(Table1[[#This Row],[High Tol]]="","N/A",IFERROR(ABS(Table1[[#This Row],[Tol Span]]/Table1[[#This Row],[Error Span]]),"N/A"))</f>
        <v>N/A</v>
      </c>
      <c r="T2122" s="1" t="str">
        <f>IF(OR(Table1[[#This Row],[Low Tol]]="",Table1[[#This Row],[High Tol]]=""),"Needs Analysis",IF(Table1[[#This Row],[Ratio]]&gt;=4,"Not Significant",IF(Table1[[#This Row],[Ratio]]&gt;=2,"Semi-Significant","Significant")))</f>
        <v>Needs Analysis</v>
      </c>
      <c r="W2122" s="1">
        <f>IF(Table1[[#This Row],[Cal Type]]&lt;&gt;"ACCREDITED 17025 WITH UNCERTAINTIES",0,"")</f>
        <v>0</v>
      </c>
      <c r="X2122" s="1" t="str">
        <f>IF(Table1[[#This Row],[DUT Read]]="","N/A",Table1[[#This Row],[Std Error]]+Table1[[#This Row],[DUT Read]]+Table1[[#This Row],[DUT Ucty]])</f>
        <v>N/A</v>
      </c>
      <c r="Y2122" s="1" t="str">
        <f>IF(Table1[[#This Row],[Std Read]]="","N/A",Table1[[#This Row],[Std Read]]+Table1[[#This Row],[Std Ucty]])</f>
        <v>N/A</v>
      </c>
      <c r="Z21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2" s="1" t="str">
        <f>IF(Table1[[#This Row],[Spec Type]]="","N/A",Table1[[#This Row],[Spec Type]])</f>
        <v>±</v>
      </c>
      <c r="AC2122" s="1" t="str">
        <f>IF(Table1[[#This Row],[Spec Type2]]="N/A","N/A",IF(AND(Table1[[#This Row],[DUT Adj Read]]&gt;=Table1[[#This Row],[Low Tol]],Table1[[#This Row],[DUT Adj Read]]&lt;=Table1[[#This Row],[High Tol]]),"Pass","Fail"))</f>
        <v>Fail</v>
      </c>
      <c r="AD2122" s="1" t="str">
        <f>IF(AND(Table1[[#This Row],[Spec Type2]]="N/A",Table1[[#This Row],[DUT Adj Read]]="N/A",Table1[[#This Row],[Std Adj Read]]="N/A"),"N/A",IF(Table1[[#This Row],[DUT Adj Read]]="N/A",IF(Table1[[#This Row],[Std Adj Read]]&gt;Table1[[#This Row],[Low Tol]],"Pass","Fail"),IF(Table1[[#This Row],[DUT Adj Read]]&gt;Table1[[#This Row],[Low Tol]],"Pass","Fail")))</f>
        <v>Pass</v>
      </c>
      <c r="AE2122" s="1" t="str">
        <f>IF(AND(Table1[[#This Row],[Spec Type2]]="N/A",Table1[[#This Row],[DUT Adj Read]]="N/A",Table1[[#This Row],[Std Adj Read]]="N/A"),"N/A",IF(Table1[[#This Row],[DUT Adj Read]]="N/A",IF(Table1[[#This Row],[Std Adj Read]]&lt;Table1[[#This Row],[High Tol]],"Pass","Fail"),IF(Table1[[#This Row],[DUT Adj Read]]&lt;Table1[[#This Row],[High Tol]],"Pass","Fail")))</f>
        <v>Fail</v>
      </c>
      <c r="AF2122" s="1" t="str">
        <f>IF(AND(Table1[[#This Row],[Spec Type2]]="N/A",Table1[[#This Row],[DUT Adj Read]]="N/A",Table1[[#This Row],[Std Adj Read]]="N/A"),"N/A",IF(Table1[[#This Row],[DUT Adj Read]]="N/A",IF(Table1[[#This Row],[Std Adj Read]]&gt;=Table1[[#This Row],[Low Tol]],"Pass","Fail"),IF(Table1[[#This Row],[DUT Adj Read]]&gt;=Table1[[#This Row],[Low Tol]],"Pass","Fail")))</f>
        <v>Pass</v>
      </c>
      <c r="AG2122" s="1" t="str">
        <f>IF(AND(Table1[[#This Row],[Spec Type2]]="N/A",Table1[[#This Row],[DUT Adj Read]]="N/A",Table1[[#This Row],[Std Adj Read]]="N/A"),"N/A",IF(Table1[[#This Row],[DUT Adj Read]]="N/A",IF(Table1[[#This Row],[Std Adj Read]]&lt;=Table1[[#This Row],[High Tol]],"Pass","Fail"),IF(Table1[[#This Row],[DUT Adj Read]]&lt;=Table1[[#This Row],[High Tol]],"Pass","Fail")))</f>
        <v>Fail</v>
      </c>
      <c r="AH21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2" s="1" t="b">
        <v>0</v>
      </c>
      <c r="AN2122" s="1" t="b">
        <v>0</v>
      </c>
      <c r="AO2122" s="1" t="b">
        <v>0</v>
      </c>
    </row>
    <row r="2123" spans="1:41" x14ac:dyDescent="0.25">
      <c r="A2123" s="10"/>
      <c r="B2123" s="10"/>
      <c r="C2123" s="10"/>
      <c r="D2123" s="10"/>
      <c r="E2123" s="10"/>
      <c r="F2123" s="10"/>
      <c r="G2123" s="10"/>
      <c r="H2123" s="10"/>
      <c r="I2123" s="1" t="str">
        <f t="shared" ref="I2123:I2186" si="99">IF($I$10="","",$I$10)</f>
        <v/>
      </c>
      <c r="J2123" s="1" t="s">
        <v>35</v>
      </c>
      <c r="K2123" s="1" t="str">
        <f t="shared" ref="K2123:K2186" si="100">IF($K$10="","",$K$10)</f>
        <v/>
      </c>
      <c r="L2123" s="1" t="str">
        <f t="shared" ref="L2123:L2186" si="101">IF($L$10="","",$L$10)</f>
        <v/>
      </c>
      <c r="M2123" s="1">
        <f>IF(OR(Table1[[#This Row],[Std Nom]]="",Table1[[#This Row],[Std Read]]=""),0,Table1[[#This Row],[Std Nom]]-Table1[[#This Row],[Std Read]])</f>
        <v>0</v>
      </c>
      <c r="N2123" s="1">
        <f>IF(Calculations!$F$5="ACCREDITED 17025 WITH UNCERTAINTIES",$N$10,0)</f>
        <v>0</v>
      </c>
      <c r="Q2123" s="1">
        <f>Table1[[#This Row],[High Tol]]-Table1[[#This Row],[Low Tol]]</f>
        <v>0</v>
      </c>
      <c r="R2123" s="1">
        <f>2*Table1[[#This Row],[Std Error]]</f>
        <v>0</v>
      </c>
      <c r="S2123" s="1" t="str">
        <f>IF(Table1[[#This Row],[High Tol]]="","N/A",IFERROR(ABS(Table1[[#This Row],[Tol Span]]/Table1[[#This Row],[Error Span]]),"N/A"))</f>
        <v>N/A</v>
      </c>
      <c r="T2123" s="1" t="str">
        <f>IF(OR(Table1[[#This Row],[Low Tol]]="",Table1[[#This Row],[High Tol]]=""),"Needs Analysis",IF(Table1[[#This Row],[Ratio]]&gt;=4,"Not Significant",IF(Table1[[#This Row],[Ratio]]&gt;=2,"Semi-Significant","Significant")))</f>
        <v>Needs Analysis</v>
      </c>
      <c r="W2123" s="1">
        <f>IF(Table1[[#This Row],[Cal Type]]&lt;&gt;"ACCREDITED 17025 WITH UNCERTAINTIES",0,"")</f>
        <v>0</v>
      </c>
      <c r="X2123" s="1" t="str">
        <f>IF(Table1[[#This Row],[DUT Read]]="","N/A",Table1[[#This Row],[Std Error]]+Table1[[#This Row],[DUT Read]]+Table1[[#This Row],[DUT Ucty]])</f>
        <v>N/A</v>
      </c>
      <c r="Y2123" s="1" t="str">
        <f>IF(Table1[[#This Row],[Std Read]]="","N/A",Table1[[#This Row],[Std Read]]+Table1[[#This Row],[Std Ucty]])</f>
        <v>N/A</v>
      </c>
      <c r="Z21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3" s="1" t="str">
        <f>IF(Table1[[#This Row],[Spec Type]]="","N/A",Table1[[#This Row],[Spec Type]])</f>
        <v>±</v>
      </c>
      <c r="AC2123" s="1" t="str">
        <f>IF(Table1[[#This Row],[Spec Type2]]="N/A","N/A",IF(AND(Table1[[#This Row],[DUT Adj Read]]&gt;=Table1[[#This Row],[Low Tol]],Table1[[#This Row],[DUT Adj Read]]&lt;=Table1[[#This Row],[High Tol]]),"Pass","Fail"))</f>
        <v>Fail</v>
      </c>
      <c r="AD2123" s="1" t="str">
        <f>IF(AND(Table1[[#This Row],[Spec Type2]]="N/A",Table1[[#This Row],[DUT Adj Read]]="N/A",Table1[[#This Row],[Std Adj Read]]="N/A"),"N/A",IF(Table1[[#This Row],[DUT Adj Read]]="N/A",IF(Table1[[#This Row],[Std Adj Read]]&gt;Table1[[#This Row],[Low Tol]],"Pass","Fail"),IF(Table1[[#This Row],[DUT Adj Read]]&gt;Table1[[#This Row],[Low Tol]],"Pass","Fail")))</f>
        <v>Pass</v>
      </c>
      <c r="AE2123" s="1" t="str">
        <f>IF(AND(Table1[[#This Row],[Spec Type2]]="N/A",Table1[[#This Row],[DUT Adj Read]]="N/A",Table1[[#This Row],[Std Adj Read]]="N/A"),"N/A",IF(Table1[[#This Row],[DUT Adj Read]]="N/A",IF(Table1[[#This Row],[Std Adj Read]]&lt;Table1[[#This Row],[High Tol]],"Pass","Fail"),IF(Table1[[#This Row],[DUT Adj Read]]&lt;Table1[[#This Row],[High Tol]],"Pass","Fail")))</f>
        <v>Fail</v>
      </c>
      <c r="AF2123" s="1" t="str">
        <f>IF(AND(Table1[[#This Row],[Spec Type2]]="N/A",Table1[[#This Row],[DUT Adj Read]]="N/A",Table1[[#This Row],[Std Adj Read]]="N/A"),"N/A",IF(Table1[[#This Row],[DUT Adj Read]]="N/A",IF(Table1[[#This Row],[Std Adj Read]]&gt;=Table1[[#This Row],[Low Tol]],"Pass","Fail"),IF(Table1[[#This Row],[DUT Adj Read]]&gt;=Table1[[#This Row],[Low Tol]],"Pass","Fail")))</f>
        <v>Pass</v>
      </c>
      <c r="AG2123" s="1" t="str">
        <f>IF(AND(Table1[[#This Row],[Spec Type2]]="N/A",Table1[[#This Row],[DUT Adj Read]]="N/A",Table1[[#This Row],[Std Adj Read]]="N/A"),"N/A",IF(Table1[[#This Row],[DUT Adj Read]]="N/A",IF(Table1[[#This Row],[Std Adj Read]]&lt;=Table1[[#This Row],[High Tol]],"Pass","Fail"),IF(Table1[[#This Row],[DUT Adj Read]]&lt;=Table1[[#This Row],[High Tol]],"Pass","Fail")))</f>
        <v>Fail</v>
      </c>
      <c r="AH21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3" s="1" t="b">
        <v>0</v>
      </c>
      <c r="AN2123" s="1" t="b">
        <v>0</v>
      </c>
      <c r="AO2123" s="1" t="b">
        <v>0</v>
      </c>
    </row>
    <row r="2124" spans="1:41" x14ac:dyDescent="0.25">
      <c r="A2124" s="10"/>
      <c r="B2124" s="10"/>
      <c r="C2124" s="10"/>
      <c r="D2124" s="10"/>
      <c r="E2124" s="10"/>
      <c r="F2124" s="10"/>
      <c r="G2124" s="10"/>
      <c r="H2124" s="10"/>
      <c r="I2124" s="1" t="str">
        <f t="shared" si="99"/>
        <v/>
      </c>
      <c r="J2124" s="1" t="s">
        <v>35</v>
      </c>
      <c r="K2124" s="1" t="str">
        <f t="shared" si="100"/>
        <v/>
      </c>
      <c r="L2124" s="1" t="str">
        <f t="shared" si="101"/>
        <v/>
      </c>
      <c r="M2124" s="1">
        <f>IF(OR(Table1[[#This Row],[Std Nom]]="",Table1[[#This Row],[Std Read]]=""),0,Table1[[#This Row],[Std Nom]]-Table1[[#This Row],[Std Read]])</f>
        <v>0</v>
      </c>
      <c r="N2124" s="1">
        <f>IF(Calculations!$F$5="ACCREDITED 17025 WITH UNCERTAINTIES",$N$10,0)</f>
        <v>0</v>
      </c>
      <c r="Q2124" s="1">
        <f>Table1[[#This Row],[High Tol]]-Table1[[#This Row],[Low Tol]]</f>
        <v>0</v>
      </c>
      <c r="R2124" s="1">
        <f>2*Table1[[#This Row],[Std Error]]</f>
        <v>0</v>
      </c>
      <c r="S2124" s="1" t="str">
        <f>IF(Table1[[#This Row],[High Tol]]="","N/A",IFERROR(ABS(Table1[[#This Row],[Tol Span]]/Table1[[#This Row],[Error Span]]),"N/A"))</f>
        <v>N/A</v>
      </c>
      <c r="T2124" s="1" t="str">
        <f>IF(OR(Table1[[#This Row],[Low Tol]]="",Table1[[#This Row],[High Tol]]=""),"Needs Analysis",IF(Table1[[#This Row],[Ratio]]&gt;=4,"Not Significant",IF(Table1[[#This Row],[Ratio]]&gt;=2,"Semi-Significant","Significant")))</f>
        <v>Needs Analysis</v>
      </c>
      <c r="W2124" s="1">
        <f>IF(Table1[[#This Row],[Cal Type]]&lt;&gt;"ACCREDITED 17025 WITH UNCERTAINTIES",0,"")</f>
        <v>0</v>
      </c>
      <c r="X2124" s="1" t="str">
        <f>IF(Table1[[#This Row],[DUT Read]]="","N/A",Table1[[#This Row],[Std Error]]+Table1[[#This Row],[DUT Read]]+Table1[[#This Row],[DUT Ucty]])</f>
        <v>N/A</v>
      </c>
      <c r="Y2124" s="1" t="str">
        <f>IF(Table1[[#This Row],[Std Read]]="","N/A",Table1[[#This Row],[Std Read]]+Table1[[#This Row],[Std Ucty]])</f>
        <v>N/A</v>
      </c>
      <c r="Z21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4" s="1" t="str">
        <f>IF(Table1[[#This Row],[Spec Type]]="","N/A",Table1[[#This Row],[Spec Type]])</f>
        <v>±</v>
      </c>
      <c r="AC2124" s="1" t="str">
        <f>IF(Table1[[#This Row],[Spec Type2]]="N/A","N/A",IF(AND(Table1[[#This Row],[DUT Adj Read]]&gt;=Table1[[#This Row],[Low Tol]],Table1[[#This Row],[DUT Adj Read]]&lt;=Table1[[#This Row],[High Tol]]),"Pass","Fail"))</f>
        <v>Fail</v>
      </c>
      <c r="AD2124" s="1" t="str">
        <f>IF(AND(Table1[[#This Row],[Spec Type2]]="N/A",Table1[[#This Row],[DUT Adj Read]]="N/A",Table1[[#This Row],[Std Adj Read]]="N/A"),"N/A",IF(Table1[[#This Row],[DUT Adj Read]]="N/A",IF(Table1[[#This Row],[Std Adj Read]]&gt;Table1[[#This Row],[Low Tol]],"Pass","Fail"),IF(Table1[[#This Row],[DUT Adj Read]]&gt;Table1[[#This Row],[Low Tol]],"Pass","Fail")))</f>
        <v>Pass</v>
      </c>
      <c r="AE2124" s="1" t="str">
        <f>IF(AND(Table1[[#This Row],[Spec Type2]]="N/A",Table1[[#This Row],[DUT Adj Read]]="N/A",Table1[[#This Row],[Std Adj Read]]="N/A"),"N/A",IF(Table1[[#This Row],[DUT Adj Read]]="N/A",IF(Table1[[#This Row],[Std Adj Read]]&lt;Table1[[#This Row],[High Tol]],"Pass","Fail"),IF(Table1[[#This Row],[DUT Adj Read]]&lt;Table1[[#This Row],[High Tol]],"Pass","Fail")))</f>
        <v>Fail</v>
      </c>
      <c r="AF2124" s="1" t="str">
        <f>IF(AND(Table1[[#This Row],[Spec Type2]]="N/A",Table1[[#This Row],[DUT Adj Read]]="N/A",Table1[[#This Row],[Std Adj Read]]="N/A"),"N/A",IF(Table1[[#This Row],[DUT Adj Read]]="N/A",IF(Table1[[#This Row],[Std Adj Read]]&gt;=Table1[[#This Row],[Low Tol]],"Pass","Fail"),IF(Table1[[#This Row],[DUT Adj Read]]&gt;=Table1[[#This Row],[Low Tol]],"Pass","Fail")))</f>
        <v>Pass</v>
      </c>
      <c r="AG2124" s="1" t="str">
        <f>IF(AND(Table1[[#This Row],[Spec Type2]]="N/A",Table1[[#This Row],[DUT Adj Read]]="N/A",Table1[[#This Row],[Std Adj Read]]="N/A"),"N/A",IF(Table1[[#This Row],[DUT Adj Read]]="N/A",IF(Table1[[#This Row],[Std Adj Read]]&lt;=Table1[[#This Row],[High Tol]],"Pass","Fail"),IF(Table1[[#This Row],[DUT Adj Read]]&lt;=Table1[[#This Row],[High Tol]],"Pass","Fail")))</f>
        <v>Fail</v>
      </c>
      <c r="AH21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4" s="1" t="b">
        <v>0</v>
      </c>
      <c r="AN2124" s="1" t="b">
        <v>0</v>
      </c>
      <c r="AO2124" s="1" t="b">
        <v>0</v>
      </c>
    </row>
    <row r="2125" spans="1:41" x14ac:dyDescent="0.25">
      <c r="A2125" s="10"/>
      <c r="B2125" s="10"/>
      <c r="C2125" s="10"/>
      <c r="D2125" s="10"/>
      <c r="E2125" s="10"/>
      <c r="F2125" s="10"/>
      <c r="G2125" s="10"/>
      <c r="H2125" s="10"/>
      <c r="I2125" s="1" t="str">
        <f t="shared" si="99"/>
        <v/>
      </c>
      <c r="J2125" s="1" t="s">
        <v>35</v>
      </c>
      <c r="K2125" s="1" t="str">
        <f t="shared" si="100"/>
        <v/>
      </c>
      <c r="L2125" s="1" t="str">
        <f t="shared" si="101"/>
        <v/>
      </c>
      <c r="M2125" s="1">
        <f>IF(OR(Table1[[#This Row],[Std Nom]]="",Table1[[#This Row],[Std Read]]=""),0,Table1[[#This Row],[Std Nom]]-Table1[[#This Row],[Std Read]])</f>
        <v>0</v>
      </c>
      <c r="N2125" s="1">
        <f>IF(Calculations!$F$5="ACCREDITED 17025 WITH UNCERTAINTIES",$N$10,0)</f>
        <v>0</v>
      </c>
      <c r="Q2125" s="1">
        <f>Table1[[#This Row],[High Tol]]-Table1[[#This Row],[Low Tol]]</f>
        <v>0</v>
      </c>
      <c r="R2125" s="1">
        <f>2*Table1[[#This Row],[Std Error]]</f>
        <v>0</v>
      </c>
      <c r="S2125" s="1" t="str">
        <f>IF(Table1[[#This Row],[High Tol]]="","N/A",IFERROR(ABS(Table1[[#This Row],[Tol Span]]/Table1[[#This Row],[Error Span]]),"N/A"))</f>
        <v>N/A</v>
      </c>
      <c r="T2125" s="1" t="str">
        <f>IF(OR(Table1[[#This Row],[Low Tol]]="",Table1[[#This Row],[High Tol]]=""),"Needs Analysis",IF(Table1[[#This Row],[Ratio]]&gt;=4,"Not Significant",IF(Table1[[#This Row],[Ratio]]&gt;=2,"Semi-Significant","Significant")))</f>
        <v>Needs Analysis</v>
      </c>
      <c r="W2125" s="1">
        <f>IF(Table1[[#This Row],[Cal Type]]&lt;&gt;"ACCREDITED 17025 WITH UNCERTAINTIES",0,"")</f>
        <v>0</v>
      </c>
      <c r="X2125" s="1" t="str">
        <f>IF(Table1[[#This Row],[DUT Read]]="","N/A",Table1[[#This Row],[Std Error]]+Table1[[#This Row],[DUT Read]]+Table1[[#This Row],[DUT Ucty]])</f>
        <v>N/A</v>
      </c>
      <c r="Y2125" s="1" t="str">
        <f>IF(Table1[[#This Row],[Std Read]]="","N/A",Table1[[#This Row],[Std Read]]+Table1[[#This Row],[Std Ucty]])</f>
        <v>N/A</v>
      </c>
      <c r="Z21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5" s="1" t="str">
        <f>IF(Table1[[#This Row],[Spec Type]]="","N/A",Table1[[#This Row],[Spec Type]])</f>
        <v>±</v>
      </c>
      <c r="AC2125" s="1" t="str">
        <f>IF(Table1[[#This Row],[Spec Type2]]="N/A","N/A",IF(AND(Table1[[#This Row],[DUT Adj Read]]&gt;=Table1[[#This Row],[Low Tol]],Table1[[#This Row],[DUT Adj Read]]&lt;=Table1[[#This Row],[High Tol]]),"Pass","Fail"))</f>
        <v>Fail</v>
      </c>
      <c r="AD2125" s="1" t="str">
        <f>IF(AND(Table1[[#This Row],[Spec Type2]]="N/A",Table1[[#This Row],[DUT Adj Read]]="N/A",Table1[[#This Row],[Std Adj Read]]="N/A"),"N/A",IF(Table1[[#This Row],[DUT Adj Read]]="N/A",IF(Table1[[#This Row],[Std Adj Read]]&gt;Table1[[#This Row],[Low Tol]],"Pass","Fail"),IF(Table1[[#This Row],[DUT Adj Read]]&gt;Table1[[#This Row],[Low Tol]],"Pass","Fail")))</f>
        <v>Pass</v>
      </c>
      <c r="AE2125" s="1" t="str">
        <f>IF(AND(Table1[[#This Row],[Spec Type2]]="N/A",Table1[[#This Row],[DUT Adj Read]]="N/A",Table1[[#This Row],[Std Adj Read]]="N/A"),"N/A",IF(Table1[[#This Row],[DUT Adj Read]]="N/A",IF(Table1[[#This Row],[Std Adj Read]]&lt;Table1[[#This Row],[High Tol]],"Pass","Fail"),IF(Table1[[#This Row],[DUT Adj Read]]&lt;Table1[[#This Row],[High Tol]],"Pass","Fail")))</f>
        <v>Fail</v>
      </c>
      <c r="AF2125" s="1" t="str">
        <f>IF(AND(Table1[[#This Row],[Spec Type2]]="N/A",Table1[[#This Row],[DUT Adj Read]]="N/A",Table1[[#This Row],[Std Adj Read]]="N/A"),"N/A",IF(Table1[[#This Row],[DUT Adj Read]]="N/A",IF(Table1[[#This Row],[Std Adj Read]]&gt;=Table1[[#This Row],[Low Tol]],"Pass","Fail"),IF(Table1[[#This Row],[DUT Adj Read]]&gt;=Table1[[#This Row],[Low Tol]],"Pass","Fail")))</f>
        <v>Pass</v>
      </c>
      <c r="AG2125" s="1" t="str">
        <f>IF(AND(Table1[[#This Row],[Spec Type2]]="N/A",Table1[[#This Row],[DUT Adj Read]]="N/A",Table1[[#This Row],[Std Adj Read]]="N/A"),"N/A",IF(Table1[[#This Row],[DUT Adj Read]]="N/A",IF(Table1[[#This Row],[Std Adj Read]]&lt;=Table1[[#This Row],[High Tol]],"Pass","Fail"),IF(Table1[[#This Row],[DUT Adj Read]]&lt;=Table1[[#This Row],[High Tol]],"Pass","Fail")))</f>
        <v>Fail</v>
      </c>
      <c r="AH21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5" s="1" t="b">
        <v>0</v>
      </c>
      <c r="AN2125" s="1" t="b">
        <v>0</v>
      </c>
      <c r="AO2125" s="1" t="b">
        <v>0</v>
      </c>
    </row>
    <row r="2126" spans="1:41" x14ac:dyDescent="0.25">
      <c r="A2126" s="10"/>
      <c r="B2126" s="10"/>
      <c r="C2126" s="10"/>
      <c r="D2126" s="10"/>
      <c r="E2126" s="10"/>
      <c r="F2126" s="10"/>
      <c r="G2126" s="10"/>
      <c r="H2126" s="10"/>
      <c r="I2126" s="1" t="str">
        <f t="shared" si="99"/>
        <v/>
      </c>
      <c r="J2126" s="1" t="s">
        <v>35</v>
      </c>
      <c r="K2126" s="1" t="str">
        <f t="shared" si="100"/>
        <v/>
      </c>
      <c r="L2126" s="1" t="str">
        <f t="shared" si="101"/>
        <v/>
      </c>
      <c r="M2126" s="1">
        <f>IF(OR(Table1[[#This Row],[Std Nom]]="",Table1[[#This Row],[Std Read]]=""),0,Table1[[#This Row],[Std Nom]]-Table1[[#This Row],[Std Read]])</f>
        <v>0</v>
      </c>
      <c r="N2126" s="1">
        <f>IF(Calculations!$F$5="ACCREDITED 17025 WITH UNCERTAINTIES",$N$10,0)</f>
        <v>0</v>
      </c>
      <c r="Q2126" s="1">
        <f>Table1[[#This Row],[High Tol]]-Table1[[#This Row],[Low Tol]]</f>
        <v>0</v>
      </c>
      <c r="R2126" s="1">
        <f>2*Table1[[#This Row],[Std Error]]</f>
        <v>0</v>
      </c>
      <c r="S2126" s="1" t="str">
        <f>IF(Table1[[#This Row],[High Tol]]="","N/A",IFERROR(ABS(Table1[[#This Row],[Tol Span]]/Table1[[#This Row],[Error Span]]),"N/A"))</f>
        <v>N/A</v>
      </c>
      <c r="T2126" s="1" t="str">
        <f>IF(OR(Table1[[#This Row],[Low Tol]]="",Table1[[#This Row],[High Tol]]=""),"Needs Analysis",IF(Table1[[#This Row],[Ratio]]&gt;=4,"Not Significant",IF(Table1[[#This Row],[Ratio]]&gt;=2,"Semi-Significant","Significant")))</f>
        <v>Needs Analysis</v>
      </c>
      <c r="W2126" s="1">
        <f>IF(Table1[[#This Row],[Cal Type]]&lt;&gt;"ACCREDITED 17025 WITH UNCERTAINTIES",0,"")</f>
        <v>0</v>
      </c>
      <c r="X2126" s="1" t="str">
        <f>IF(Table1[[#This Row],[DUT Read]]="","N/A",Table1[[#This Row],[Std Error]]+Table1[[#This Row],[DUT Read]]+Table1[[#This Row],[DUT Ucty]])</f>
        <v>N/A</v>
      </c>
      <c r="Y2126" s="1" t="str">
        <f>IF(Table1[[#This Row],[Std Read]]="","N/A",Table1[[#This Row],[Std Read]]+Table1[[#This Row],[Std Ucty]])</f>
        <v>N/A</v>
      </c>
      <c r="Z21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6" s="1" t="str">
        <f>IF(Table1[[#This Row],[Spec Type]]="","N/A",Table1[[#This Row],[Spec Type]])</f>
        <v>±</v>
      </c>
      <c r="AC2126" s="1" t="str">
        <f>IF(Table1[[#This Row],[Spec Type2]]="N/A","N/A",IF(AND(Table1[[#This Row],[DUT Adj Read]]&gt;=Table1[[#This Row],[Low Tol]],Table1[[#This Row],[DUT Adj Read]]&lt;=Table1[[#This Row],[High Tol]]),"Pass","Fail"))</f>
        <v>Fail</v>
      </c>
      <c r="AD2126" s="1" t="str">
        <f>IF(AND(Table1[[#This Row],[Spec Type2]]="N/A",Table1[[#This Row],[DUT Adj Read]]="N/A",Table1[[#This Row],[Std Adj Read]]="N/A"),"N/A",IF(Table1[[#This Row],[DUT Adj Read]]="N/A",IF(Table1[[#This Row],[Std Adj Read]]&gt;Table1[[#This Row],[Low Tol]],"Pass","Fail"),IF(Table1[[#This Row],[DUT Adj Read]]&gt;Table1[[#This Row],[Low Tol]],"Pass","Fail")))</f>
        <v>Pass</v>
      </c>
      <c r="AE2126" s="1" t="str">
        <f>IF(AND(Table1[[#This Row],[Spec Type2]]="N/A",Table1[[#This Row],[DUT Adj Read]]="N/A",Table1[[#This Row],[Std Adj Read]]="N/A"),"N/A",IF(Table1[[#This Row],[DUT Adj Read]]="N/A",IF(Table1[[#This Row],[Std Adj Read]]&lt;Table1[[#This Row],[High Tol]],"Pass","Fail"),IF(Table1[[#This Row],[DUT Adj Read]]&lt;Table1[[#This Row],[High Tol]],"Pass","Fail")))</f>
        <v>Fail</v>
      </c>
      <c r="AF2126" s="1" t="str">
        <f>IF(AND(Table1[[#This Row],[Spec Type2]]="N/A",Table1[[#This Row],[DUT Adj Read]]="N/A",Table1[[#This Row],[Std Adj Read]]="N/A"),"N/A",IF(Table1[[#This Row],[DUT Adj Read]]="N/A",IF(Table1[[#This Row],[Std Adj Read]]&gt;=Table1[[#This Row],[Low Tol]],"Pass","Fail"),IF(Table1[[#This Row],[DUT Adj Read]]&gt;=Table1[[#This Row],[Low Tol]],"Pass","Fail")))</f>
        <v>Pass</v>
      </c>
      <c r="AG2126" s="1" t="str">
        <f>IF(AND(Table1[[#This Row],[Spec Type2]]="N/A",Table1[[#This Row],[DUT Adj Read]]="N/A",Table1[[#This Row],[Std Adj Read]]="N/A"),"N/A",IF(Table1[[#This Row],[DUT Adj Read]]="N/A",IF(Table1[[#This Row],[Std Adj Read]]&lt;=Table1[[#This Row],[High Tol]],"Pass","Fail"),IF(Table1[[#This Row],[DUT Adj Read]]&lt;=Table1[[#This Row],[High Tol]],"Pass","Fail")))</f>
        <v>Fail</v>
      </c>
      <c r="AH21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6" s="1" t="b">
        <v>0</v>
      </c>
      <c r="AN2126" s="1" t="b">
        <v>0</v>
      </c>
      <c r="AO2126" s="1" t="b">
        <v>0</v>
      </c>
    </row>
    <row r="2127" spans="1:41" x14ac:dyDescent="0.25">
      <c r="A2127" s="10"/>
      <c r="B2127" s="10"/>
      <c r="C2127" s="10"/>
      <c r="D2127" s="10"/>
      <c r="E2127" s="10"/>
      <c r="F2127" s="10"/>
      <c r="G2127" s="10"/>
      <c r="H2127" s="10"/>
      <c r="I2127" s="1" t="str">
        <f t="shared" si="99"/>
        <v/>
      </c>
      <c r="J2127" s="1" t="s">
        <v>35</v>
      </c>
      <c r="K2127" s="1" t="str">
        <f t="shared" si="100"/>
        <v/>
      </c>
      <c r="L2127" s="1" t="str">
        <f t="shared" si="101"/>
        <v/>
      </c>
      <c r="M2127" s="1">
        <f>IF(OR(Table1[[#This Row],[Std Nom]]="",Table1[[#This Row],[Std Read]]=""),0,Table1[[#This Row],[Std Nom]]-Table1[[#This Row],[Std Read]])</f>
        <v>0</v>
      </c>
      <c r="N2127" s="1">
        <f>IF(Calculations!$F$5="ACCREDITED 17025 WITH UNCERTAINTIES",$N$10,0)</f>
        <v>0</v>
      </c>
      <c r="Q2127" s="1">
        <f>Table1[[#This Row],[High Tol]]-Table1[[#This Row],[Low Tol]]</f>
        <v>0</v>
      </c>
      <c r="R2127" s="1">
        <f>2*Table1[[#This Row],[Std Error]]</f>
        <v>0</v>
      </c>
      <c r="S2127" s="1" t="str">
        <f>IF(Table1[[#This Row],[High Tol]]="","N/A",IFERROR(ABS(Table1[[#This Row],[Tol Span]]/Table1[[#This Row],[Error Span]]),"N/A"))</f>
        <v>N/A</v>
      </c>
      <c r="T2127" s="1" t="str">
        <f>IF(OR(Table1[[#This Row],[Low Tol]]="",Table1[[#This Row],[High Tol]]=""),"Needs Analysis",IF(Table1[[#This Row],[Ratio]]&gt;=4,"Not Significant",IF(Table1[[#This Row],[Ratio]]&gt;=2,"Semi-Significant","Significant")))</f>
        <v>Needs Analysis</v>
      </c>
      <c r="W2127" s="1">
        <f>IF(Table1[[#This Row],[Cal Type]]&lt;&gt;"ACCREDITED 17025 WITH UNCERTAINTIES",0,"")</f>
        <v>0</v>
      </c>
      <c r="X2127" s="1" t="str">
        <f>IF(Table1[[#This Row],[DUT Read]]="","N/A",Table1[[#This Row],[Std Error]]+Table1[[#This Row],[DUT Read]]+Table1[[#This Row],[DUT Ucty]])</f>
        <v>N/A</v>
      </c>
      <c r="Y2127" s="1" t="str">
        <f>IF(Table1[[#This Row],[Std Read]]="","N/A",Table1[[#This Row],[Std Read]]+Table1[[#This Row],[Std Ucty]])</f>
        <v>N/A</v>
      </c>
      <c r="Z21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7" s="1" t="str">
        <f>IF(Table1[[#This Row],[Spec Type]]="","N/A",Table1[[#This Row],[Spec Type]])</f>
        <v>±</v>
      </c>
      <c r="AC2127" s="1" t="str">
        <f>IF(Table1[[#This Row],[Spec Type2]]="N/A","N/A",IF(AND(Table1[[#This Row],[DUT Adj Read]]&gt;=Table1[[#This Row],[Low Tol]],Table1[[#This Row],[DUT Adj Read]]&lt;=Table1[[#This Row],[High Tol]]),"Pass","Fail"))</f>
        <v>Fail</v>
      </c>
      <c r="AD2127" s="1" t="str">
        <f>IF(AND(Table1[[#This Row],[Spec Type2]]="N/A",Table1[[#This Row],[DUT Adj Read]]="N/A",Table1[[#This Row],[Std Adj Read]]="N/A"),"N/A",IF(Table1[[#This Row],[DUT Adj Read]]="N/A",IF(Table1[[#This Row],[Std Adj Read]]&gt;Table1[[#This Row],[Low Tol]],"Pass","Fail"),IF(Table1[[#This Row],[DUT Adj Read]]&gt;Table1[[#This Row],[Low Tol]],"Pass","Fail")))</f>
        <v>Pass</v>
      </c>
      <c r="AE2127" s="1" t="str">
        <f>IF(AND(Table1[[#This Row],[Spec Type2]]="N/A",Table1[[#This Row],[DUT Adj Read]]="N/A",Table1[[#This Row],[Std Adj Read]]="N/A"),"N/A",IF(Table1[[#This Row],[DUT Adj Read]]="N/A",IF(Table1[[#This Row],[Std Adj Read]]&lt;Table1[[#This Row],[High Tol]],"Pass","Fail"),IF(Table1[[#This Row],[DUT Adj Read]]&lt;Table1[[#This Row],[High Tol]],"Pass","Fail")))</f>
        <v>Fail</v>
      </c>
      <c r="AF2127" s="1" t="str">
        <f>IF(AND(Table1[[#This Row],[Spec Type2]]="N/A",Table1[[#This Row],[DUT Adj Read]]="N/A",Table1[[#This Row],[Std Adj Read]]="N/A"),"N/A",IF(Table1[[#This Row],[DUT Adj Read]]="N/A",IF(Table1[[#This Row],[Std Adj Read]]&gt;=Table1[[#This Row],[Low Tol]],"Pass","Fail"),IF(Table1[[#This Row],[DUT Adj Read]]&gt;=Table1[[#This Row],[Low Tol]],"Pass","Fail")))</f>
        <v>Pass</v>
      </c>
      <c r="AG2127" s="1" t="str">
        <f>IF(AND(Table1[[#This Row],[Spec Type2]]="N/A",Table1[[#This Row],[DUT Adj Read]]="N/A",Table1[[#This Row],[Std Adj Read]]="N/A"),"N/A",IF(Table1[[#This Row],[DUT Adj Read]]="N/A",IF(Table1[[#This Row],[Std Adj Read]]&lt;=Table1[[#This Row],[High Tol]],"Pass","Fail"),IF(Table1[[#This Row],[DUT Adj Read]]&lt;=Table1[[#This Row],[High Tol]],"Pass","Fail")))</f>
        <v>Fail</v>
      </c>
      <c r="AH21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7" s="1" t="b">
        <v>0</v>
      </c>
      <c r="AN2127" s="1" t="b">
        <v>0</v>
      </c>
      <c r="AO2127" s="1" t="b">
        <v>0</v>
      </c>
    </row>
    <row r="2128" spans="1:41" x14ac:dyDescent="0.25">
      <c r="A2128" s="10"/>
      <c r="B2128" s="10"/>
      <c r="C2128" s="10"/>
      <c r="D2128" s="10"/>
      <c r="E2128" s="10"/>
      <c r="F2128" s="10"/>
      <c r="G2128" s="10"/>
      <c r="H2128" s="10"/>
      <c r="I2128" s="1" t="str">
        <f t="shared" si="99"/>
        <v/>
      </c>
      <c r="J2128" s="1" t="s">
        <v>35</v>
      </c>
      <c r="K2128" s="1" t="str">
        <f t="shared" si="100"/>
        <v/>
      </c>
      <c r="L2128" s="1" t="str">
        <f t="shared" si="101"/>
        <v/>
      </c>
      <c r="M2128" s="1">
        <f>IF(OR(Table1[[#This Row],[Std Nom]]="",Table1[[#This Row],[Std Read]]=""),0,Table1[[#This Row],[Std Nom]]-Table1[[#This Row],[Std Read]])</f>
        <v>0</v>
      </c>
      <c r="N2128" s="1">
        <f>IF(Calculations!$F$5="ACCREDITED 17025 WITH UNCERTAINTIES",$N$10,0)</f>
        <v>0</v>
      </c>
      <c r="Q2128" s="1">
        <f>Table1[[#This Row],[High Tol]]-Table1[[#This Row],[Low Tol]]</f>
        <v>0</v>
      </c>
      <c r="R2128" s="1">
        <f>2*Table1[[#This Row],[Std Error]]</f>
        <v>0</v>
      </c>
      <c r="S2128" s="1" t="str">
        <f>IF(Table1[[#This Row],[High Tol]]="","N/A",IFERROR(ABS(Table1[[#This Row],[Tol Span]]/Table1[[#This Row],[Error Span]]),"N/A"))</f>
        <v>N/A</v>
      </c>
      <c r="T2128" s="1" t="str">
        <f>IF(OR(Table1[[#This Row],[Low Tol]]="",Table1[[#This Row],[High Tol]]=""),"Needs Analysis",IF(Table1[[#This Row],[Ratio]]&gt;=4,"Not Significant",IF(Table1[[#This Row],[Ratio]]&gt;=2,"Semi-Significant","Significant")))</f>
        <v>Needs Analysis</v>
      </c>
      <c r="W2128" s="1">
        <f>IF(Table1[[#This Row],[Cal Type]]&lt;&gt;"ACCREDITED 17025 WITH UNCERTAINTIES",0,"")</f>
        <v>0</v>
      </c>
      <c r="X2128" s="1" t="str">
        <f>IF(Table1[[#This Row],[DUT Read]]="","N/A",Table1[[#This Row],[Std Error]]+Table1[[#This Row],[DUT Read]]+Table1[[#This Row],[DUT Ucty]])</f>
        <v>N/A</v>
      </c>
      <c r="Y2128" s="1" t="str">
        <f>IF(Table1[[#This Row],[Std Read]]="","N/A",Table1[[#This Row],[Std Read]]+Table1[[#This Row],[Std Ucty]])</f>
        <v>N/A</v>
      </c>
      <c r="Z21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8" s="1" t="str">
        <f>IF(Table1[[#This Row],[Spec Type]]="","N/A",Table1[[#This Row],[Spec Type]])</f>
        <v>±</v>
      </c>
      <c r="AC2128" s="1" t="str">
        <f>IF(Table1[[#This Row],[Spec Type2]]="N/A","N/A",IF(AND(Table1[[#This Row],[DUT Adj Read]]&gt;=Table1[[#This Row],[Low Tol]],Table1[[#This Row],[DUT Adj Read]]&lt;=Table1[[#This Row],[High Tol]]),"Pass","Fail"))</f>
        <v>Fail</v>
      </c>
      <c r="AD2128" s="1" t="str">
        <f>IF(AND(Table1[[#This Row],[Spec Type2]]="N/A",Table1[[#This Row],[DUT Adj Read]]="N/A",Table1[[#This Row],[Std Adj Read]]="N/A"),"N/A",IF(Table1[[#This Row],[DUT Adj Read]]="N/A",IF(Table1[[#This Row],[Std Adj Read]]&gt;Table1[[#This Row],[Low Tol]],"Pass","Fail"),IF(Table1[[#This Row],[DUT Adj Read]]&gt;Table1[[#This Row],[Low Tol]],"Pass","Fail")))</f>
        <v>Pass</v>
      </c>
      <c r="AE2128" s="1" t="str">
        <f>IF(AND(Table1[[#This Row],[Spec Type2]]="N/A",Table1[[#This Row],[DUT Adj Read]]="N/A",Table1[[#This Row],[Std Adj Read]]="N/A"),"N/A",IF(Table1[[#This Row],[DUT Adj Read]]="N/A",IF(Table1[[#This Row],[Std Adj Read]]&lt;Table1[[#This Row],[High Tol]],"Pass","Fail"),IF(Table1[[#This Row],[DUT Adj Read]]&lt;Table1[[#This Row],[High Tol]],"Pass","Fail")))</f>
        <v>Fail</v>
      </c>
      <c r="AF2128" s="1" t="str">
        <f>IF(AND(Table1[[#This Row],[Spec Type2]]="N/A",Table1[[#This Row],[DUT Adj Read]]="N/A",Table1[[#This Row],[Std Adj Read]]="N/A"),"N/A",IF(Table1[[#This Row],[DUT Adj Read]]="N/A",IF(Table1[[#This Row],[Std Adj Read]]&gt;=Table1[[#This Row],[Low Tol]],"Pass","Fail"),IF(Table1[[#This Row],[DUT Adj Read]]&gt;=Table1[[#This Row],[Low Tol]],"Pass","Fail")))</f>
        <v>Pass</v>
      </c>
      <c r="AG2128" s="1" t="str">
        <f>IF(AND(Table1[[#This Row],[Spec Type2]]="N/A",Table1[[#This Row],[DUT Adj Read]]="N/A",Table1[[#This Row],[Std Adj Read]]="N/A"),"N/A",IF(Table1[[#This Row],[DUT Adj Read]]="N/A",IF(Table1[[#This Row],[Std Adj Read]]&lt;=Table1[[#This Row],[High Tol]],"Pass","Fail"),IF(Table1[[#This Row],[DUT Adj Read]]&lt;=Table1[[#This Row],[High Tol]],"Pass","Fail")))</f>
        <v>Fail</v>
      </c>
      <c r="AH21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8" s="1" t="b">
        <v>0</v>
      </c>
      <c r="AN2128" s="1" t="b">
        <v>0</v>
      </c>
      <c r="AO2128" s="1" t="b">
        <v>0</v>
      </c>
    </row>
    <row r="2129" spans="1:41" x14ac:dyDescent="0.25">
      <c r="A2129" s="10"/>
      <c r="B2129" s="10"/>
      <c r="C2129" s="10"/>
      <c r="D2129" s="10"/>
      <c r="E2129" s="10"/>
      <c r="F2129" s="10"/>
      <c r="G2129" s="10"/>
      <c r="H2129" s="10"/>
      <c r="I2129" s="1" t="str">
        <f t="shared" si="99"/>
        <v/>
      </c>
      <c r="J2129" s="1" t="s">
        <v>35</v>
      </c>
      <c r="K2129" s="1" t="str">
        <f t="shared" si="100"/>
        <v/>
      </c>
      <c r="L2129" s="1" t="str">
        <f t="shared" si="101"/>
        <v/>
      </c>
      <c r="M2129" s="1">
        <f>IF(OR(Table1[[#This Row],[Std Nom]]="",Table1[[#This Row],[Std Read]]=""),0,Table1[[#This Row],[Std Nom]]-Table1[[#This Row],[Std Read]])</f>
        <v>0</v>
      </c>
      <c r="N2129" s="1">
        <f>IF(Calculations!$F$5="ACCREDITED 17025 WITH UNCERTAINTIES",$N$10,0)</f>
        <v>0</v>
      </c>
      <c r="Q2129" s="1">
        <f>Table1[[#This Row],[High Tol]]-Table1[[#This Row],[Low Tol]]</f>
        <v>0</v>
      </c>
      <c r="R2129" s="1">
        <f>2*Table1[[#This Row],[Std Error]]</f>
        <v>0</v>
      </c>
      <c r="S2129" s="1" t="str">
        <f>IF(Table1[[#This Row],[High Tol]]="","N/A",IFERROR(ABS(Table1[[#This Row],[Tol Span]]/Table1[[#This Row],[Error Span]]),"N/A"))</f>
        <v>N/A</v>
      </c>
      <c r="T2129" s="1" t="str">
        <f>IF(OR(Table1[[#This Row],[Low Tol]]="",Table1[[#This Row],[High Tol]]=""),"Needs Analysis",IF(Table1[[#This Row],[Ratio]]&gt;=4,"Not Significant",IF(Table1[[#This Row],[Ratio]]&gt;=2,"Semi-Significant","Significant")))</f>
        <v>Needs Analysis</v>
      </c>
      <c r="W2129" s="1">
        <f>IF(Table1[[#This Row],[Cal Type]]&lt;&gt;"ACCREDITED 17025 WITH UNCERTAINTIES",0,"")</f>
        <v>0</v>
      </c>
      <c r="X2129" s="1" t="str">
        <f>IF(Table1[[#This Row],[DUT Read]]="","N/A",Table1[[#This Row],[Std Error]]+Table1[[#This Row],[DUT Read]]+Table1[[#This Row],[DUT Ucty]])</f>
        <v>N/A</v>
      </c>
      <c r="Y2129" s="1" t="str">
        <f>IF(Table1[[#This Row],[Std Read]]="","N/A",Table1[[#This Row],[Std Read]]+Table1[[#This Row],[Std Ucty]])</f>
        <v>N/A</v>
      </c>
      <c r="Z21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29" s="1" t="str">
        <f>IF(Table1[[#This Row],[Spec Type]]="","N/A",Table1[[#This Row],[Spec Type]])</f>
        <v>±</v>
      </c>
      <c r="AC2129" s="1" t="str">
        <f>IF(Table1[[#This Row],[Spec Type2]]="N/A","N/A",IF(AND(Table1[[#This Row],[DUT Adj Read]]&gt;=Table1[[#This Row],[Low Tol]],Table1[[#This Row],[DUT Adj Read]]&lt;=Table1[[#This Row],[High Tol]]),"Pass","Fail"))</f>
        <v>Fail</v>
      </c>
      <c r="AD2129" s="1" t="str">
        <f>IF(AND(Table1[[#This Row],[Spec Type2]]="N/A",Table1[[#This Row],[DUT Adj Read]]="N/A",Table1[[#This Row],[Std Adj Read]]="N/A"),"N/A",IF(Table1[[#This Row],[DUT Adj Read]]="N/A",IF(Table1[[#This Row],[Std Adj Read]]&gt;Table1[[#This Row],[Low Tol]],"Pass","Fail"),IF(Table1[[#This Row],[DUT Adj Read]]&gt;Table1[[#This Row],[Low Tol]],"Pass","Fail")))</f>
        <v>Pass</v>
      </c>
      <c r="AE2129" s="1" t="str">
        <f>IF(AND(Table1[[#This Row],[Spec Type2]]="N/A",Table1[[#This Row],[DUT Adj Read]]="N/A",Table1[[#This Row],[Std Adj Read]]="N/A"),"N/A",IF(Table1[[#This Row],[DUT Adj Read]]="N/A",IF(Table1[[#This Row],[Std Adj Read]]&lt;Table1[[#This Row],[High Tol]],"Pass","Fail"),IF(Table1[[#This Row],[DUT Adj Read]]&lt;Table1[[#This Row],[High Tol]],"Pass","Fail")))</f>
        <v>Fail</v>
      </c>
      <c r="AF2129" s="1" t="str">
        <f>IF(AND(Table1[[#This Row],[Spec Type2]]="N/A",Table1[[#This Row],[DUT Adj Read]]="N/A",Table1[[#This Row],[Std Adj Read]]="N/A"),"N/A",IF(Table1[[#This Row],[DUT Adj Read]]="N/A",IF(Table1[[#This Row],[Std Adj Read]]&gt;=Table1[[#This Row],[Low Tol]],"Pass","Fail"),IF(Table1[[#This Row],[DUT Adj Read]]&gt;=Table1[[#This Row],[Low Tol]],"Pass","Fail")))</f>
        <v>Pass</v>
      </c>
      <c r="AG2129" s="1" t="str">
        <f>IF(AND(Table1[[#This Row],[Spec Type2]]="N/A",Table1[[#This Row],[DUT Adj Read]]="N/A",Table1[[#This Row],[Std Adj Read]]="N/A"),"N/A",IF(Table1[[#This Row],[DUT Adj Read]]="N/A",IF(Table1[[#This Row],[Std Adj Read]]&lt;=Table1[[#This Row],[High Tol]],"Pass","Fail"),IF(Table1[[#This Row],[DUT Adj Read]]&lt;=Table1[[#This Row],[High Tol]],"Pass","Fail")))</f>
        <v>Fail</v>
      </c>
      <c r="AH21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29" s="1" t="b">
        <v>0</v>
      </c>
      <c r="AN2129" s="1" t="b">
        <v>0</v>
      </c>
      <c r="AO2129" s="1" t="b">
        <v>0</v>
      </c>
    </row>
    <row r="2130" spans="1:41" x14ac:dyDescent="0.25">
      <c r="A2130" s="10"/>
      <c r="B2130" s="10"/>
      <c r="C2130" s="10"/>
      <c r="D2130" s="10"/>
      <c r="E2130" s="10"/>
      <c r="F2130" s="10"/>
      <c r="G2130" s="10"/>
      <c r="H2130" s="10"/>
      <c r="I2130" s="1" t="str">
        <f t="shared" si="99"/>
        <v/>
      </c>
      <c r="J2130" s="1" t="s">
        <v>35</v>
      </c>
      <c r="K2130" s="1" t="str">
        <f t="shared" si="100"/>
        <v/>
      </c>
      <c r="L2130" s="1" t="str">
        <f t="shared" si="101"/>
        <v/>
      </c>
      <c r="M2130" s="1">
        <f>IF(OR(Table1[[#This Row],[Std Nom]]="",Table1[[#This Row],[Std Read]]=""),0,Table1[[#This Row],[Std Nom]]-Table1[[#This Row],[Std Read]])</f>
        <v>0</v>
      </c>
      <c r="N2130" s="1">
        <f>IF(Calculations!$F$5="ACCREDITED 17025 WITH UNCERTAINTIES",$N$10,0)</f>
        <v>0</v>
      </c>
      <c r="Q2130" s="1">
        <f>Table1[[#This Row],[High Tol]]-Table1[[#This Row],[Low Tol]]</f>
        <v>0</v>
      </c>
      <c r="R2130" s="1">
        <f>2*Table1[[#This Row],[Std Error]]</f>
        <v>0</v>
      </c>
      <c r="S2130" s="1" t="str">
        <f>IF(Table1[[#This Row],[High Tol]]="","N/A",IFERROR(ABS(Table1[[#This Row],[Tol Span]]/Table1[[#This Row],[Error Span]]),"N/A"))</f>
        <v>N/A</v>
      </c>
      <c r="T2130" s="1" t="str">
        <f>IF(OR(Table1[[#This Row],[Low Tol]]="",Table1[[#This Row],[High Tol]]=""),"Needs Analysis",IF(Table1[[#This Row],[Ratio]]&gt;=4,"Not Significant",IF(Table1[[#This Row],[Ratio]]&gt;=2,"Semi-Significant","Significant")))</f>
        <v>Needs Analysis</v>
      </c>
      <c r="W2130" s="1">
        <f>IF(Table1[[#This Row],[Cal Type]]&lt;&gt;"ACCREDITED 17025 WITH UNCERTAINTIES",0,"")</f>
        <v>0</v>
      </c>
      <c r="X2130" s="1" t="str">
        <f>IF(Table1[[#This Row],[DUT Read]]="","N/A",Table1[[#This Row],[Std Error]]+Table1[[#This Row],[DUT Read]]+Table1[[#This Row],[DUT Ucty]])</f>
        <v>N/A</v>
      </c>
      <c r="Y2130" s="1" t="str">
        <f>IF(Table1[[#This Row],[Std Read]]="","N/A",Table1[[#This Row],[Std Read]]+Table1[[#This Row],[Std Ucty]])</f>
        <v>N/A</v>
      </c>
      <c r="Z21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0" s="1" t="str">
        <f>IF(Table1[[#This Row],[Spec Type]]="","N/A",Table1[[#This Row],[Spec Type]])</f>
        <v>±</v>
      </c>
      <c r="AC2130" s="1" t="str">
        <f>IF(Table1[[#This Row],[Spec Type2]]="N/A","N/A",IF(AND(Table1[[#This Row],[DUT Adj Read]]&gt;=Table1[[#This Row],[Low Tol]],Table1[[#This Row],[DUT Adj Read]]&lt;=Table1[[#This Row],[High Tol]]),"Pass","Fail"))</f>
        <v>Fail</v>
      </c>
      <c r="AD2130" s="1" t="str">
        <f>IF(AND(Table1[[#This Row],[Spec Type2]]="N/A",Table1[[#This Row],[DUT Adj Read]]="N/A",Table1[[#This Row],[Std Adj Read]]="N/A"),"N/A",IF(Table1[[#This Row],[DUT Adj Read]]="N/A",IF(Table1[[#This Row],[Std Adj Read]]&gt;Table1[[#This Row],[Low Tol]],"Pass","Fail"),IF(Table1[[#This Row],[DUT Adj Read]]&gt;Table1[[#This Row],[Low Tol]],"Pass","Fail")))</f>
        <v>Pass</v>
      </c>
      <c r="AE2130" s="1" t="str">
        <f>IF(AND(Table1[[#This Row],[Spec Type2]]="N/A",Table1[[#This Row],[DUT Adj Read]]="N/A",Table1[[#This Row],[Std Adj Read]]="N/A"),"N/A",IF(Table1[[#This Row],[DUT Adj Read]]="N/A",IF(Table1[[#This Row],[Std Adj Read]]&lt;Table1[[#This Row],[High Tol]],"Pass","Fail"),IF(Table1[[#This Row],[DUT Adj Read]]&lt;Table1[[#This Row],[High Tol]],"Pass","Fail")))</f>
        <v>Fail</v>
      </c>
      <c r="AF2130" s="1" t="str">
        <f>IF(AND(Table1[[#This Row],[Spec Type2]]="N/A",Table1[[#This Row],[DUT Adj Read]]="N/A",Table1[[#This Row],[Std Adj Read]]="N/A"),"N/A",IF(Table1[[#This Row],[DUT Adj Read]]="N/A",IF(Table1[[#This Row],[Std Adj Read]]&gt;=Table1[[#This Row],[Low Tol]],"Pass","Fail"),IF(Table1[[#This Row],[DUT Adj Read]]&gt;=Table1[[#This Row],[Low Tol]],"Pass","Fail")))</f>
        <v>Pass</v>
      </c>
      <c r="AG2130" s="1" t="str">
        <f>IF(AND(Table1[[#This Row],[Spec Type2]]="N/A",Table1[[#This Row],[DUT Adj Read]]="N/A",Table1[[#This Row],[Std Adj Read]]="N/A"),"N/A",IF(Table1[[#This Row],[DUT Adj Read]]="N/A",IF(Table1[[#This Row],[Std Adj Read]]&lt;=Table1[[#This Row],[High Tol]],"Pass","Fail"),IF(Table1[[#This Row],[DUT Adj Read]]&lt;=Table1[[#This Row],[High Tol]],"Pass","Fail")))</f>
        <v>Fail</v>
      </c>
      <c r="AH21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0" s="1" t="b">
        <v>0</v>
      </c>
      <c r="AN2130" s="1" t="b">
        <v>0</v>
      </c>
      <c r="AO2130" s="1" t="b">
        <v>0</v>
      </c>
    </row>
    <row r="2131" spans="1:41" x14ac:dyDescent="0.25">
      <c r="A2131" s="10"/>
      <c r="B2131" s="10"/>
      <c r="C2131" s="10"/>
      <c r="D2131" s="10"/>
      <c r="E2131" s="10"/>
      <c r="F2131" s="10"/>
      <c r="G2131" s="10"/>
      <c r="H2131" s="10"/>
      <c r="I2131" s="1" t="str">
        <f t="shared" si="99"/>
        <v/>
      </c>
      <c r="J2131" s="1" t="s">
        <v>35</v>
      </c>
      <c r="K2131" s="1" t="str">
        <f t="shared" si="100"/>
        <v/>
      </c>
      <c r="L2131" s="1" t="str">
        <f t="shared" si="101"/>
        <v/>
      </c>
      <c r="M2131" s="1">
        <f>IF(OR(Table1[[#This Row],[Std Nom]]="",Table1[[#This Row],[Std Read]]=""),0,Table1[[#This Row],[Std Nom]]-Table1[[#This Row],[Std Read]])</f>
        <v>0</v>
      </c>
      <c r="N2131" s="1">
        <f>IF(Calculations!$F$5="ACCREDITED 17025 WITH UNCERTAINTIES",$N$10,0)</f>
        <v>0</v>
      </c>
      <c r="Q2131" s="1">
        <f>Table1[[#This Row],[High Tol]]-Table1[[#This Row],[Low Tol]]</f>
        <v>0</v>
      </c>
      <c r="R2131" s="1">
        <f>2*Table1[[#This Row],[Std Error]]</f>
        <v>0</v>
      </c>
      <c r="S2131" s="1" t="str">
        <f>IF(Table1[[#This Row],[High Tol]]="","N/A",IFERROR(ABS(Table1[[#This Row],[Tol Span]]/Table1[[#This Row],[Error Span]]),"N/A"))</f>
        <v>N/A</v>
      </c>
      <c r="T2131" s="1" t="str">
        <f>IF(OR(Table1[[#This Row],[Low Tol]]="",Table1[[#This Row],[High Tol]]=""),"Needs Analysis",IF(Table1[[#This Row],[Ratio]]&gt;=4,"Not Significant",IF(Table1[[#This Row],[Ratio]]&gt;=2,"Semi-Significant","Significant")))</f>
        <v>Needs Analysis</v>
      </c>
      <c r="W2131" s="1">
        <f>IF(Table1[[#This Row],[Cal Type]]&lt;&gt;"ACCREDITED 17025 WITH UNCERTAINTIES",0,"")</f>
        <v>0</v>
      </c>
      <c r="X2131" s="1" t="str">
        <f>IF(Table1[[#This Row],[DUT Read]]="","N/A",Table1[[#This Row],[Std Error]]+Table1[[#This Row],[DUT Read]]+Table1[[#This Row],[DUT Ucty]])</f>
        <v>N/A</v>
      </c>
      <c r="Y2131" s="1" t="str">
        <f>IF(Table1[[#This Row],[Std Read]]="","N/A",Table1[[#This Row],[Std Read]]+Table1[[#This Row],[Std Ucty]])</f>
        <v>N/A</v>
      </c>
      <c r="Z21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1" s="1" t="str">
        <f>IF(Table1[[#This Row],[Spec Type]]="","N/A",Table1[[#This Row],[Spec Type]])</f>
        <v>±</v>
      </c>
      <c r="AC2131" s="1" t="str">
        <f>IF(Table1[[#This Row],[Spec Type2]]="N/A","N/A",IF(AND(Table1[[#This Row],[DUT Adj Read]]&gt;=Table1[[#This Row],[Low Tol]],Table1[[#This Row],[DUT Adj Read]]&lt;=Table1[[#This Row],[High Tol]]),"Pass","Fail"))</f>
        <v>Fail</v>
      </c>
      <c r="AD2131" s="1" t="str">
        <f>IF(AND(Table1[[#This Row],[Spec Type2]]="N/A",Table1[[#This Row],[DUT Adj Read]]="N/A",Table1[[#This Row],[Std Adj Read]]="N/A"),"N/A",IF(Table1[[#This Row],[DUT Adj Read]]="N/A",IF(Table1[[#This Row],[Std Adj Read]]&gt;Table1[[#This Row],[Low Tol]],"Pass","Fail"),IF(Table1[[#This Row],[DUT Adj Read]]&gt;Table1[[#This Row],[Low Tol]],"Pass","Fail")))</f>
        <v>Pass</v>
      </c>
      <c r="AE2131" s="1" t="str">
        <f>IF(AND(Table1[[#This Row],[Spec Type2]]="N/A",Table1[[#This Row],[DUT Adj Read]]="N/A",Table1[[#This Row],[Std Adj Read]]="N/A"),"N/A",IF(Table1[[#This Row],[DUT Adj Read]]="N/A",IF(Table1[[#This Row],[Std Adj Read]]&lt;Table1[[#This Row],[High Tol]],"Pass","Fail"),IF(Table1[[#This Row],[DUT Adj Read]]&lt;Table1[[#This Row],[High Tol]],"Pass","Fail")))</f>
        <v>Fail</v>
      </c>
      <c r="AF2131" s="1" t="str">
        <f>IF(AND(Table1[[#This Row],[Spec Type2]]="N/A",Table1[[#This Row],[DUT Adj Read]]="N/A",Table1[[#This Row],[Std Adj Read]]="N/A"),"N/A",IF(Table1[[#This Row],[DUT Adj Read]]="N/A",IF(Table1[[#This Row],[Std Adj Read]]&gt;=Table1[[#This Row],[Low Tol]],"Pass","Fail"),IF(Table1[[#This Row],[DUT Adj Read]]&gt;=Table1[[#This Row],[Low Tol]],"Pass","Fail")))</f>
        <v>Pass</v>
      </c>
      <c r="AG2131" s="1" t="str">
        <f>IF(AND(Table1[[#This Row],[Spec Type2]]="N/A",Table1[[#This Row],[DUT Adj Read]]="N/A",Table1[[#This Row],[Std Adj Read]]="N/A"),"N/A",IF(Table1[[#This Row],[DUT Adj Read]]="N/A",IF(Table1[[#This Row],[Std Adj Read]]&lt;=Table1[[#This Row],[High Tol]],"Pass","Fail"),IF(Table1[[#This Row],[DUT Adj Read]]&lt;=Table1[[#This Row],[High Tol]],"Pass","Fail")))</f>
        <v>Fail</v>
      </c>
      <c r="AH21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1" s="1" t="b">
        <v>0</v>
      </c>
      <c r="AN2131" s="1" t="b">
        <v>0</v>
      </c>
      <c r="AO2131" s="1" t="b">
        <v>0</v>
      </c>
    </row>
    <row r="2132" spans="1:41" x14ac:dyDescent="0.25">
      <c r="A2132" s="10"/>
      <c r="B2132" s="10"/>
      <c r="C2132" s="10"/>
      <c r="D2132" s="10"/>
      <c r="E2132" s="10"/>
      <c r="F2132" s="10"/>
      <c r="G2132" s="10"/>
      <c r="H2132" s="10"/>
      <c r="I2132" s="1" t="str">
        <f t="shared" si="99"/>
        <v/>
      </c>
      <c r="J2132" s="1" t="s">
        <v>35</v>
      </c>
      <c r="K2132" s="1" t="str">
        <f t="shared" si="100"/>
        <v/>
      </c>
      <c r="L2132" s="1" t="str">
        <f t="shared" si="101"/>
        <v/>
      </c>
      <c r="M2132" s="1">
        <f>IF(OR(Table1[[#This Row],[Std Nom]]="",Table1[[#This Row],[Std Read]]=""),0,Table1[[#This Row],[Std Nom]]-Table1[[#This Row],[Std Read]])</f>
        <v>0</v>
      </c>
      <c r="N2132" s="1">
        <f>IF(Calculations!$F$5="ACCREDITED 17025 WITH UNCERTAINTIES",$N$10,0)</f>
        <v>0</v>
      </c>
      <c r="Q2132" s="1">
        <f>Table1[[#This Row],[High Tol]]-Table1[[#This Row],[Low Tol]]</f>
        <v>0</v>
      </c>
      <c r="R2132" s="1">
        <f>2*Table1[[#This Row],[Std Error]]</f>
        <v>0</v>
      </c>
      <c r="S2132" s="1" t="str">
        <f>IF(Table1[[#This Row],[High Tol]]="","N/A",IFERROR(ABS(Table1[[#This Row],[Tol Span]]/Table1[[#This Row],[Error Span]]),"N/A"))</f>
        <v>N/A</v>
      </c>
      <c r="T2132" s="1" t="str">
        <f>IF(OR(Table1[[#This Row],[Low Tol]]="",Table1[[#This Row],[High Tol]]=""),"Needs Analysis",IF(Table1[[#This Row],[Ratio]]&gt;=4,"Not Significant",IF(Table1[[#This Row],[Ratio]]&gt;=2,"Semi-Significant","Significant")))</f>
        <v>Needs Analysis</v>
      </c>
      <c r="W2132" s="1">
        <f>IF(Table1[[#This Row],[Cal Type]]&lt;&gt;"ACCREDITED 17025 WITH UNCERTAINTIES",0,"")</f>
        <v>0</v>
      </c>
      <c r="X2132" s="1" t="str">
        <f>IF(Table1[[#This Row],[DUT Read]]="","N/A",Table1[[#This Row],[Std Error]]+Table1[[#This Row],[DUT Read]]+Table1[[#This Row],[DUT Ucty]])</f>
        <v>N/A</v>
      </c>
      <c r="Y2132" s="1" t="str">
        <f>IF(Table1[[#This Row],[Std Read]]="","N/A",Table1[[#This Row],[Std Read]]+Table1[[#This Row],[Std Ucty]])</f>
        <v>N/A</v>
      </c>
      <c r="Z21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2" s="1" t="str">
        <f>IF(Table1[[#This Row],[Spec Type]]="","N/A",Table1[[#This Row],[Spec Type]])</f>
        <v>±</v>
      </c>
      <c r="AC2132" s="1" t="str">
        <f>IF(Table1[[#This Row],[Spec Type2]]="N/A","N/A",IF(AND(Table1[[#This Row],[DUT Adj Read]]&gt;=Table1[[#This Row],[Low Tol]],Table1[[#This Row],[DUT Adj Read]]&lt;=Table1[[#This Row],[High Tol]]),"Pass","Fail"))</f>
        <v>Fail</v>
      </c>
      <c r="AD2132" s="1" t="str">
        <f>IF(AND(Table1[[#This Row],[Spec Type2]]="N/A",Table1[[#This Row],[DUT Adj Read]]="N/A",Table1[[#This Row],[Std Adj Read]]="N/A"),"N/A",IF(Table1[[#This Row],[DUT Adj Read]]="N/A",IF(Table1[[#This Row],[Std Adj Read]]&gt;Table1[[#This Row],[Low Tol]],"Pass","Fail"),IF(Table1[[#This Row],[DUT Adj Read]]&gt;Table1[[#This Row],[Low Tol]],"Pass","Fail")))</f>
        <v>Pass</v>
      </c>
      <c r="AE2132" s="1" t="str">
        <f>IF(AND(Table1[[#This Row],[Spec Type2]]="N/A",Table1[[#This Row],[DUT Adj Read]]="N/A",Table1[[#This Row],[Std Adj Read]]="N/A"),"N/A",IF(Table1[[#This Row],[DUT Adj Read]]="N/A",IF(Table1[[#This Row],[Std Adj Read]]&lt;Table1[[#This Row],[High Tol]],"Pass","Fail"),IF(Table1[[#This Row],[DUT Adj Read]]&lt;Table1[[#This Row],[High Tol]],"Pass","Fail")))</f>
        <v>Fail</v>
      </c>
      <c r="AF2132" s="1" t="str">
        <f>IF(AND(Table1[[#This Row],[Spec Type2]]="N/A",Table1[[#This Row],[DUT Adj Read]]="N/A",Table1[[#This Row],[Std Adj Read]]="N/A"),"N/A",IF(Table1[[#This Row],[DUT Adj Read]]="N/A",IF(Table1[[#This Row],[Std Adj Read]]&gt;=Table1[[#This Row],[Low Tol]],"Pass","Fail"),IF(Table1[[#This Row],[DUT Adj Read]]&gt;=Table1[[#This Row],[Low Tol]],"Pass","Fail")))</f>
        <v>Pass</v>
      </c>
      <c r="AG2132" s="1" t="str">
        <f>IF(AND(Table1[[#This Row],[Spec Type2]]="N/A",Table1[[#This Row],[DUT Adj Read]]="N/A",Table1[[#This Row],[Std Adj Read]]="N/A"),"N/A",IF(Table1[[#This Row],[DUT Adj Read]]="N/A",IF(Table1[[#This Row],[Std Adj Read]]&lt;=Table1[[#This Row],[High Tol]],"Pass","Fail"),IF(Table1[[#This Row],[DUT Adj Read]]&lt;=Table1[[#This Row],[High Tol]],"Pass","Fail")))</f>
        <v>Fail</v>
      </c>
      <c r="AH21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2" s="1" t="b">
        <v>0</v>
      </c>
      <c r="AN2132" s="1" t="b">
        <v>0</v>
      </c>
      <c r="AO2132" s="1" t="b">
        <v>0</v>
      </c>
    </row>
    <row r="2133" spans="1:41" x14ac:dyDescent="0.25">
      <c r="A2133" s="10"/>
      <c r="B2133" s="10"/>
      <c r="C2133" s="10"/>
      <c r="D2133" s="10"/>
      <c r="E2133" s="10"/>
      <c r="F2133" s="10"/>
      <c r="G2133" s="10"/>
      <c r="H2133" s="10"/>
      <c r="I2133" s="1" t="str">
        <f t="shared" si="99"/>
        <v/>
      </c>
      <c r="J2133" s="1" t="s">
        <v>35</v>
      </c>
      <c r="K2133" s="1" t="str">
        <f t="shared" si="100"/>
        <v/>
      </c>
      <c r="L2133" s="1" t="str">
        <f t="shared" si="101"/>
        <v/>
      </c>
      <c r="M2133" s="1">
        <f>IF(OR(Table1[[#This Row],[Std Nom]]="",Table1[[#This Row],[Std Read]]=""),0,Table1[[#This Row],[Std Nom]]-Table1[[#This Row],[Std Read]])</f>
        <v>0</v>
      </c>
      <c r="N2133" s="1">
        <f>IF(Calculations!$F$5="ACCREDITED 17025 WITH UNCERTAINTIES",$N$10,0)</f>
        <v>0</v>
      </c>
      <c r="Q2133" s="1">
        <f>Table1[[#This Row],[High Tol]]-Table1[[#This Row],[Low Tol]]</f>
        <v>0</v>
      </c>
      <c r="R2133" s="1">
        <f>2*Table1[[#This Row],[Std Error]]</f>
        <v>0</v>
      </c>
      <c r="S2133" s="1" t="str">
        <f>IF(Table1[[#This Row],[High Tol]]="","N/A",IFERROR(ABS(Table1[[#This Row],[Tol Span]]/Table1[[#This Row],[Error Span]]),"N/A"))</f>
        <v>N/A</v>
      </c>
      <c r="T2133" s="1" t="str">
        <f>IF(OR(Table1[[#This Row],[Low Tol]]="",Table1[[#This Row],[High Tol]]=""),"Needs Analysis",IF(Table1[[#This Row],[Ratio]]&gt;=4,"Not Significant",IF(Table1[[#This Row],[Ratio]]&gt;=2,"Semi-Significant","Significant")))</f>
        <v>Needs Analysis</v>
      </c>
      <c r="W2133" s="1">
        <f>IF(Table1[[#This Row],[Cal Type]]&lt;&gt;"ACCREDITED 17025 WITH UNCERTAINTIES",0,"")</f>
        <v>0</v>
      </c>
      <c r="X2133" s="1" t="str">
        <f>IF(Table1[[#This Row],[DUT Read]]="","N/A",Table1[[#This Row],[Std Error]]+Table1[[#This Row],[DUT Read]]+Table1[[#This Row],[DUT Ucty]])</f>
        <v>N/A</v>
      </c>
      <c r="Y2133" s="1" t="str">
        <f>IF(Table1[[#This Row],[Std Read]]="","N/A",Table1[[#This Row],[Std Read]]+Table1[[#This Row],[Std Ucty]])</f>
        <v>N/A</v>
      </c>
      <c r="Z21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3" s="1" t="str">
        <f>IF(Table1[[#This Row],[Spec Type]]="","N/A",Table1[[#This Row],[Spec Type]])</f>
        <v>±</v>
      </c>
      <c r="AC2133" s="1" t="str">
        <f>IF(Table1[[#This Row],[Spec Type2]]="N/A","N/A",IF(AND(Table1[[#This Row],[DUT Adj Read]]&gt;=Table1[[#This Row],[Low Tol]],Table1[[#This Row],[DUT Adj Read]]&lt;=Table1[[#This Row],[High Tol]]),"Pass","Fail"))</f>
        <v>Fail</v>
      </c>
      <c r="AD2133" s="1" t="str">
        <f>IF(AND(Table1[[#This Row],[Spec Type2]]="N/A",Table1[[#This Row],[DUT Adj Read]]="N/A",Table1[[#This Row],[Std Adj Read]]="N/A"),"N/A",IF(Table1[[#This Row],[DUT Adj Read]]="N/A",IF(Table1[[#This Row],[Std Adj Read]]&gt;Table1[[#This Row],[Low Tol]],"Pass","Fail"),IF(Table1[[#This Row],[DUT Adj Read]]&gt;Table1[[#This Row],[Low Tol]],"Pass","Fail")))</f>
        <v>Pass</v>
      </c>
      <c r="AE2133" s="1" t="str">
        <f>IF(AND(Table1[[#This Row],[Spec Type2]]="N/A",Table1[[#This Row],[DUT Adj Read]]="N/A",Table1[[#This Row],[Std Adj Read]]="N/A"),"N/A",IF(Table1[[#This Row],[DUT Adj Read]]="N/A",IF(Table1[[#This Row],[Std Adj Read]]&lt;Table1[[#This Row],[High Tol]],"Pass","Fail"),IF(Table1[[#This Row],[DUT Adj Read]]&lt;Table1[[#This Row],[High Tol]],"Pass","Fail")))</f>
        <v>Fail</v>
      </c>
      <c r="AF2133" s="1" t="str">
        <f>IF(AND(Table1[[#This Row],[Spec Type2]]="N/A",Table1[[#This Row],[DUT Adj Read]]="N/A",Table1[[#This Row],[Std Adj Read]]="N/A"),"N/A",IF(Table1[[#This Row],[DUT Adj Read]]="N/A",IF(Table1[[#This Row],[Std Adj Read]]&gt;=Table1[[#This Row],[Low Tol]],"Pass","Fail"),IF(Table1[[#This Row],[DUT Adj Read]]&gt;=Table1[[#This Row],[Low Tol]],"Pass","Fail")))</f>
        <v>Pass</v>
      </c>
      <c r="AG2133" s="1" t="str">
        <f>IF(AND(Table1[[#This Row],[Spec Type2]]="N/A",Table1[[#This Row],[DUT Adj Read]]="N/A",Table1[[#This Row],[Std Adj Read]]="N/A"),"N/A",IF(Table1[[#This Row],[DUT Adj Read]]="N/A",IF(Table1[[#This Row],[Std Adj Read]]&lt;=Table1[[#This Row],[High Tol]],"Pass","Fail"),IF(Table1[[#This Row],[DUT Adj Read]]&lt;=Table1[[#This Row],[High Tol]],"Pass","Fail")))</f>
        <v>Fail</v>
      </c>
      <c r="AH21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3" s="1" t="b">
        <v>0</v>
      </c>
      <c r="AN2133" s="1" t="b">
        <v>0</v>
      </c>
      <c r="AO2133" s="1" t="b">
        <v>0</v>
      </c>
    </row>
    <row r="2134" spans="1:41" x14ac:dyDescent="0.25">
      <c r="A2134" s="10"/>
      <c r="B2134" s="10"/>
      <c r="C2134" s="10"/>
      <c r="D2134" s="10"/>
      <c r="E2134" s="10"/>
      <c r="F2134" s="10"/>
      <c r="G2134" s="10"/>
      <c r="H2134" s="10"/>
      <c r="I2134" s="1" t="str">
        <f t="shared" si="99"/>
        <v/>
      </c>
      <c r="J2134" s="1" t="s">
        <v>35</v>
      </c>
      <c r="K2134" s="1" t="str">
        <f t="shared" si="100"/>
        <v/>
      </c>
      <c r="L2134" s="1" t="str">
        <f t="shared" si="101"/>
        <v/>
      </c>
      <c r="M2134" s="1">
        <f>IF(OR(Table1[[#This Row],[Std Nom]]="",Table1[[#This Row],[Std Read]]=""),0,Table1[[#This Row],[Std Nom]]-Table1[[#This Row],[Std Read]])</f>
        <v>0</v>
      </c>
      <c r="N2134" s="1">
        <f>IF(Calculations!$F$5="ACCREDITED 17025 WITH UNCERTAINTIES",$N$10,0)</f>
        <v>0</v>
      </c>
      <c r="Q2134" s="1">
        <f>Table1[[#This Row],[High Tol]]-Table1[[#This Row],[Low Tol]]</f>
        <v>0</v>
      </c>
      <c r="R2134" s="1">
        <f>2*Table1[[#This Row],[Std Error]]</f>
        <v>0</v>
      </c>
      <c r="S2134" s="1" t="str">
        <f>IF(Table1[[#This Row],[High Tol]]="","N/A",IFERROR(ABS(Table1[[#This Row],[Tol Span]]/Table1[[#This Row],[Error Span]]),"N/A"))</f>
        <v>N/A</v>
      </c>
      <c r="T2134" s="1" t="str">
        <f>IF(OR(Table1[[#This Row],[Low Tol]]="",Table1[[#This Row],[High Tol]]=""),"Needs Analysis",IF(Table1[[#This Row],[Ratio]]&gt;=4,"Not Significant",IF(Table1[[#This Row],[Ratio]]&gt;=2,"Semi-Significant","Significant")))</f>
        <v>Needs Analysis</v>
      </c>
      <c r="W2134" s="1">
        <f>IF(Table1[[#This Row],[Cal Type]]&lt;&gt;"ACCREDITED 17025 WITH UNCERTAINTIES",0,"")</f>
        <v>0</v>
      </c>
      <c r="X2134" s="1" t="str">
        <f>IF(Table1[[#This Row],[DUT Read]]="","N/A",Table1[[#This Row],[Std Error]]+Table1[[#This Row],[DUT Read]]+Table1[[#This Row],[DUT Ucty]])</f>
        <v>N/A</v>
      </c>
      <c r="Y2134" s="1" t="str">
        <f>IF(Table1[[#This Row],[Std Read]]="","N/A",Table1[[#This Row],[Std Read]]+Table1[[#This Row],[Std Ucty]])</f>
        <v>N/A</v>
      </c>
      <c r="Z21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4" s="1" t="str">
        <f>IF(Table1[[#This Row],[Spec Type]]="","N/A",Table1[[#This Row],[Spec Type]])</f>
        <v>±</v>
      </c>
      <c r="AC2134" s="1" t="str">
        <f>IF(Table1[[#This Row],[Spec Type2]]="N/A","N/A",IF(AND(Table1[[#This Row],[DUT Adj Read]]&gt;=Table1[[#This Row],[Low Tol]],Table1[[#This Row],[DUT Adj Read]]&lt;=Table1[[#This Row],[High Tol]]),"Pass","Fail"))</f>
        <v>Fail</v>
      </c>
      <c r="AD2134" s="1" t="str">
        <f>IF(AND(Table1[[#This Row],[Spec Type2]]="N/A",Table1[[#This Row],[DUT Adj Read]]="N/A",Table1[[#This Row],[Std Adj Read]]="N/A"),"N/A",IF(Table1[[#This Row],[DUT Adj Read]]="N/A",IF(Table1[[#This Row],[Std Adj Read]]&gt;Table1[[#This Row],[Low Tol]],"Pass","Fail"),IF(Table1[[#This Row],[DUT Adj Read]]&gt;Table1[[#This Row],[Low Tol]],"Pass","Fail")))</f>
        <v>Pass</v>
      </c>
      <c r="AE2134" s="1" t="str">
        <f>IF(AND(Table1[[#This Row],[Spec Type2]]="N/A",Table1[[#This Row],[DUT Adj Read]]="N/A",Table1[[#This Row],[Std Adj Read]]="N/A"),"N/A",IF(Table1[[#This Row],[DUT Adj Read]]="N/A",IF(Table1[[#This Row],[Std Adj Read]]&lt;Table1[[#This Row],[High Tol]],"Pass","Fail"),IF(Table1[[#This Row],[DUT Adj Read]]&lt;Table1[[#This Row],[High Tol]],"Pass","Fail")))</f>
        <v>Fail</v>
      </c>
      <c r="AF2134" s="1" t="str">
        <f>IF(AND(Table1[[#This Row],[Spec Type2]]="N/A",Table1[[#This Row],[DUT Adj Read]]="N/A",Table1[[#This Row],[Std Adj Read]]="N/A"),"N/A",IF(Table1[[#This Row],[DUT Adj Read]]="N/A",IF(Table1[[#This Row],[Std Adj Read]]&gt;=Table1[[#This Row],[Low Tol]],"Pass","Fail"),IF(Table1[[#This Row],[DUT Adj Read]]&gt;=Table1[[#This Row],[Low Tol]],"Pass","Fail")))</f>
        <v>Pass</v>
      </c>
      <c r="AG2134" s="1" t="str">
        <f>IF(AND(Table1[[#This Row],[Spec Type2]]="N/A",Table1[[#This Row],[DUT Adj Read]]="N/A",Table1[[#This Row],[Std Adj Read]]="N/A"),"N/A",IF(Table1[[#This Row],[DUT Adj Read]]="N/A",IF(Table1[[#This Row],[Std Adj Read]]&lt;=Table1[[#This Row],[High Tol]],"Pass","Fail"),IF(Table1[[#This Row],[DUT Adj Read]]&lt;=Table1[[#This Row],[High Tol]],"Pass","Fail")))</f>
        <v>Fail</v>
      </c>
      <c r="AH21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4" s="1" t="b">
        <v>0</v>
      </c>
      <c r="AN2134" s="1" t="b">
        <v>0</v>
      </c>
      <c r="AO2134" s="1" t="b">
        <v>0</v>
      </c>
    </row>
    <row r="2135" spans="1:41" x14ac:dyDescent="0.25">
      <c r="A2135" s="10"/>
      <c r="B2135" s="10"/>
      <c r="C2135" s="10"/>
      <c r="D2135" s="10"/>
      <c r="E2135" s="10"/>
      <c r="F2135" s="10"/>
      <c r="G2135" s="10"/>
      <c r="H2135" s="10"/>
      <c r="I2135" s="1" t="str">
        <f t="shared" si="99"/>
        <v/>
      </c>
      <c r="J2135" s="1" t="s">
        <v>35</v>
      </c>
      <c r="K2135" s="1" t="str">
        <f t="shared" si="100"/>
        <v/>
      </c>
      <c r="L2135" s="1" t="str">
        <f t="shared" si="101"/>
        <v/>
      </c>
      <c r="M2135" s="1">
        <f>IF(OR(Table1[[#This Row],[Std Nom]]="",Table1[[#This Row],[Std Read]]=""),0,Table1[[#This Row],[Std Nom]]-Table1[[#This Row],[Std Read]])</f>
        <v>0</v>
      </c>
      <c r="N2135" s="1">
        <f>IF(Calculations!$F$5="ACCREDITED 17025 WITH UNCERTAINTIES",$N$10,0)</f>
        <v>0</v>
      </c>
      <c r="Q2135" s="1">
        <f>Table1[[#This Row],[High Tol]]-Table1[[#This Row],[Low Tol]]</f>
        <v>0</v>
      </c>
      <c r="R2135" s="1">
        <f>2*Table1[[#This Row],[Std Error]]</f>
        <v>0</v>
      </c>
      <c r="S2135" s="1" t="str">
        <f>IF(Table1[[#This Row],[High Tol]]="","N/A",IFERROR(ABS(Table1[[#This Row],[Tol Span]]/Table1[[#This Row],[Error Span]]),"N/A"))</f>
        <v>N/A</v>
      </c>
      <c r="T2135" s="1" t="str">
        <f>IF(OR(Table1[[#This Row],[Low Tol]]="",Table1[[#This Row],[High Tol]]=""),"Needs Analysis",IF(Table1[[#This Row],[Ratio]]&gt;=4,"Not Significant",IF(Table1[[#This Row],[Ratio]]&gt;=2,"Semi-Significant","Significant")))</f>
        <v>Needs Analysis</v>
      </c>
      <c r="W2135" s="1">
        <f>IF(Table1[[#This Row],[Cal Type]]&lt;&gt;"ACCREDITED 17025 WITH UNCERTAINTIES",0,"")</f>
        <v>0</v>
      </c>
      <c r="X2135" s="1" t="str">
        <f>IF(Table1[[#This Row],[DUT Read]]="","N/A",Table1[[#This Row],[Std Error]]+Table1[[#This Row],[DUT Read]]+Table1[[#This Row],[DUT Ucty]])</f>
        <v>N/A</v>
      </c>
      <c r="Y2135" s="1" t="str">
        <f>IF(Table1[[#This Row],[Std Read]]="","N/A",Table1[[#This Row],[Std Read]]+Table1[[#This Row],[Std Ucty]])</f>
        <v>N/A</v>
      </c>
      <c r="Z21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5" s="1" t="str">
        <f>IF(Table1[[#This Row],[Spec Type]]="","N/A",Table1[[#This Row],[Spec Type]])</f>
        <v>±</v>
      </c>
      <c r="AC2135" s="1" t="str">
        <f>IF(Table1[[#This Row],[Spec Type2]]="N/A","N/A",IF(AND(Table1[[#This Row],[DUT Adj Read]]&gt;=Table1[[#This Row],[Low Tol]],Table1[[#This Row],[DUT Adj Read]]&lt;=Table1[[#This Row],[High Tol]]),"Pass","Fail"))</f>
        <v>Fail</v>
      </c>
      <c r="AD2135" s="1" t="str">
        <f>IF(AND(Table1[[#This Row],[Spec Type2]]="N/A",Table1[[#This Row],[DUT Adj Read]]="N/A",Table1[[#This Row],[Std Adj Read]]="N/A"),"N/A",IF(Table1[[#This Row],[DUT Adj Read]]="N/A",IF(Table1[[#This Row],[Std Adj Read]]&gt;Table1[[#This Row],[Low Tol]],"Pass","Fail"),IF(Table1[[#This Row],[DUT Adj Read]]&gt;Table1[[#This Row],[Low Tol]],"Pass","Fail")))</f>
        <v>Pass</v>
      </c>
      <c r="AE2135" s="1" t="str">
        <f>IF(AND(Table1[[#This Row],[Spec Type2]]="N/A",Table1[[#This Row],[DUT Adj Read]]="N/A",Table1[[#This Row],[Std Adj Read]]="N/A"),"N/A",IF(Table1[[#This Row],[DUT Adj Read]]="N/A",IF(Table1[[#This Row],[Std Adj Read]]&lt;Table1[[#This Row],[High Tol]],"Pass","Fail"),IF(Table1[[#This Row],[DUT Adj Read]]&lt;Table1[[#This Row],[High Tol]],"Pass","Fail")))</f>
        <v>Fail</v>
      </c>
      <c r="AF2135" s="1" t="str">
        <f>IF(AND(Table1[[#This Row],[Spec Type2]]="N/A",Table1[[#This Row],[DUT Adj Read]]="N/A",Table1[[#This Row],[Std Adj Read]]="N/A"),"N/A",IF(Table1[[#This Row],[DUT Adj Read]]="N/A",IF(Table1[[#This Row],[Std Adj Read]]&gt;=Table1[[#This Row],[Low Tol]],"Pass","Fail"),IF(Table1[[#This Row],[DUT Adj Read]]&gt;=Table1[[#This Row],[Low Tol]],"Pass","Fail")))</f>
        <v>Pass</v>
      </c>
      <c r="AG2135" s="1" t="str">
        <f>IF(AND(Table1[[#This Row],[Spec Type2]]="N/A",Table1[[#This Row],[DUT Adj Read]]="N/A",Table1[[#This Row],[Std Adj Read]]="N/A"),"N/A",IF(Table1[[#This Row],[DUT Adj Read]]="N/A",IF(Table1[[#This Row],[Std Adj Read]]&lt;=Table1[[#This Row],[High Tol]],"Pass","Fail"),IF(Table1[[#This Row],[DUT Adj Read]]&lt;=Table1[[#This Row],[High Tol]],"Pass","Fail")))</f>
        <v>Fail</v>
      </c>
      <c r="AH21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5" s="1" t="b">
        <v>0</v>
      </c>
      <c r="AN2135" s="1" t="b">
        <v>0</v>
      </c>
      <c r="AO2135" s="1" t="b">
        <v>0</v>
      </c>
    </row>
    <row r="2136" spans="1:41" x14ac:dyDescent="0.25">
      <c r="A2136" s="10"/>
      <c r="B2136" s="10"/>
      <c r="C2136" s="10"/>
      <c r="D2136" s="10"/>
      <c r="E2136" s="10"/>
      <c r="F2136" s="10"/>
      <c r="G2136" s="10"/>
      <c r="H2136" s="10"/>
      <c r="I2136" s="1" t="str">
        <f t="shared" si="99"/>
        <v/>
      </c>
      <c r="J2136" s="1" t="s">
        <v>35</v>
      </c>
      <c r="K2136" s="1" t="str">
        <f t="shared" si="100"/>
        <v/>
      </c>
      <c r="L2136" s="1" t="str">
        <f t="shared" si="101"/>
        <v/>
      </c>
      <c r="M2136" s="1">
        <f>IF(OR(Table1[[#This Row],[Std Nom]]="",Table1[[#This Row],[Std Read]]=""),0,Table1[[#This Row],[Std Nom]]-Table1[[#This Row],[Std Read]])</f>
        <v>0</v>
      </c>
      <c r="N2136" s="1">
        <f>IF(Calculations!$F$5="ACCREDITED 17025 WITH UNCERTAINTIES",$N$10,0)</f>
        <v>0</v>
      </c>
      <c r="Q2136" s="1">
        <f>Table1[[#This Row],[High Tol]]-Table1[[#This Row],[Low Tol]]</f>
        <v>0</v>
      </c>
      <c r="R2136" s="1">
        <f>2*Table1[[#This Row],[Std Error]]</f>
        <v>0</v>
      </c>
      <c r="S2136" s="1" t="str">
        <f>IF(Table1[[#This Row],[High Tol]]="","N/A",IFERROR(ABS(Table1[[#This Row],[Tol Span]]/Table1[[#This Row],[Error Span]]),"N/A"))</f>
        <v>N/A</v>
      </c>
      <c r="T2136" s="1" t="str">
        <f>IF(OR(Table1[[#This Row],[Low Tol]]="",Table1[[#This Row],[High Tol]]=""),"Needs Analysis",IF(Table1[[#This Row],[Ratio]]&gt;=4,"Not Significant",IF(Table1[[#This Row],[Ratio]]&gt;=2,"Semi-Significant","Significant")))</f>
        <v>Needs Analysis</v>
      </c>
      <c r="W2136" s="1">
        <f>IF(Table1[[#This Row],[Cal Type]]&lt;&gt;"ACCREDITED 17025 WITH UNCERTAINTIES",0,"")</f>
        <v>0</v>
      </c>
      <c r="X2136" s="1" t="str">
        <f>IF(Table1[[#This Row],[DUT Read]]="","N/A",Table1[[#This Row],[Std Error]]+Table1[[#This Row],[DUT Read]]+Table1[[#This Row],[DUT Ucty]])</f>
        <v>N/A</v>
      </c>
      <c r="Y2136" s="1" t="str">
        <f>IF(Table1[[#This Row],[Std Read]]="","N/A",Table1[[#This Row],[Std Read]]+Table1[[#This Row],[Std Ucty]])</f>
        <v>N/A</v>
      </c>
      <c r="Z21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6" s="1" t="str">
        <f>IF(Table1[[#This Row],[Spec Type]]="","N/A",Table1[[#This Row],[Spec Type]])</f>
        <v>±</v>
      </c>
      <c r="AC2136" s="1" t="str">
        <f>IF(Table1[[#This Row],[Spec Type2]]="N/A","N/A",IF(AND(Table1[[#This Row],[DUT Adj Read]]&gt;=Table1[[#This Row],[Low Tol]],Table1[[#This Row],[DUT Adj Read]]&lt;=Table1[[#This Row],[High Tol]]),"Pass","Fail"))</f>
        <v>Fail</v>
      </c>
      <c r="AD2136" s="1" t="str">
        <f>IF(AND(Table1[[#This Row],[Spec Type2]]="N/A",Table1[[#This Row],[DUT Adj Read]]="N/A",Table1[[#This Row],[Std Adj Read]]="N/A"),"N/A",IF(Table1[[#This Row],[DUT Adj Read]]="N/A",IF(Table1[[#This Row],[Std Adj Read]]&gt;Table1[[#This Row],[Low Tol]],"Pass","Fail"),IF(Table1[[#This Row],[DUT Adj Read]]&gt;Table1[[#This Row],[Low Tol]],"Pass","Fail")))</f>
        <v>Pass</v>
      </c>
      <c r="AE2136" s="1" t="str">
        <f>IF(AND(Table1[[#This Row],[Spec Type2]]="N/A",Table1[[#This Row],[DUT Adj Read]]="N/A",Table1[[#This Row],[Std Adj Read]]="N/A"),"N/A",IF(Table1[[#This Row],[DUT Adj Read]]="N/A",IF(Table1[[#This Row],[Std Adj Read]]&lt;Table1[[#This Row],[High Tol]],"Pass","Fail"),IF(Table1[[#This Row],[DUT Adj Read]]&lt;Table1[[#This Row],[High Tol]],"Pass","Fail")))</f>
        <v>Fail</v>
      </c>
      <c r="AF2136" s="1" t="str">
        <f>IF(AND(Table1[[#This Row],[Spec Type2]]="N/A",Table1[[#This Row],[DUT Adj Read]]="N/A",Table1[[#This Row],[Std Adj Read]]="N/A"),"N/A",IF(Table1[[#This Row],[DUT Adj Read]]="N/A",IF(Table1[[#This Row],[Std Adj Read]]&gt;=Table1[[#This Row],[Low Tol]],"Pass","Fail"),IF(Table1[[#This Row],[DUT Adj Read]]&gt;=Table1[[#This Row],[Low Tol]],"Pass","Fail")))</f>
        <v>Pass</v>
      </c>
      <c r="AG2136" s="1" t="str">
        <f>IF(AND(Table1[[#This Row],[Spec Type2]]="N/A",Table1[[#This Row],[DUT Adj Read]]="N/A",Table1[[#This Row],[Std Adj Read]]="N/A"),"N/A",IF(Table1[[#This Row],[DUT Adj Read]]="N/A",IF(Table1[[#This Row],[Std Adj Read]]&lt;=Table1[[#This Row],[High Tol]],"Pass","Fail"),IF(Table1[[#This Row],[DUT Adj Read]]&lt;=Table1[[#This Row],[High Tol]],"Pass","Fail")))</f>
        <v>Fail</v>
      </c>
      <c r="AH21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6" s="1" t="b">
        <v>0</v>
      </c>
      <c r="AN2136" s="1" t="b">
        <v>0</v>
      </c>
      <c r="AO2136" s="1" t="b">
        <v>0</v>
      </c>
    </row>
    <row r="2137" spans="1:41" x14ac:dyDescent="0.25">
      <c r="A2137" s="10"/>
      <c r="B2137" s="10"/>
      <c r="C2137" s="10"/>
      <c r="D2137" s="10"/>
      <c r="E2137" s="10"/>
      <c r="F2137" s="10"/>
      <c r="G2137" s="10"/>
      <c r="H2137" s="10"/>
      <c r="I2137" s="1" t="str">
        <f t="shared" si="99"/>
        <v/>
      </c>
      <c r="J2137" s="1" t="s">
        <v>35</v>
      </c>
      <c r="K2137" s="1" t="str">
        <f t="shared" si="100"/>
        <v/>
      </c>
      <c r="L2137" s="1" t="str">
        <f t="shared" si="101"/>
        <v/>
      </c>
      <c r="M2137" s="1">
        <f>IF(OR(Table1[[#This Row],[Std Nom]]="",Table1[[#This Row],[Std Read]]=""),0,Table1[[#This Row],[Std Nom]]-Table1[[#This Row],[Std Read]])</f>
        <v>0</v>
      </c>
      <c r="N2137" s="1">
        <f>IF(Calculations!$F$5="ACCREDITED 17025 WITH UNCERTAINTIES",$N$10,0)</f>
        <v>0</v>
      </c>
      <c r="Q2137" s="1">
        <f>Table1[[#This Row],[High Tol]]-Table1[[#This Row],[Low Tol]]</f>
        <v>0</v>
      </c>
      <c r="R2137" s="1">
        <f>2*Table1[[#This Row],[Std Error]]</f>
        <v>0</v>
      </c>
      <c r="S2137" s="1" t="str">
        <f>IF(Table1[[#This Row],[High Tol]]="","N/A",IFERROR(ABS(Table1[[#This Row],[Tol Span]]/Table1[[#This Row],[Error Span]]),"N/A"))</f>
        <v>N/A</v>
      </c>
      <c r="T2137" s="1" t="str">
        <f>IF(OR(Table1[[#This Row],[Low Tol]]="",Table1[[#This Row],[High Tol]]=""),"Needs Analysis",IF(Table1[[#This Row],[Ratio]]&gt;=4,"Not Significant",IF(Table1[[#This Row],[Ratio]]&gt;=2,"Semi-Significant","Significant")))</f>
        <v>Needs Analysis</v>
      </c>
      <c r="W2137" s="1">
        <f>IF(Table1[[#This Row],[Cal Type]]&lt;&gt;"ACCREDITED 17025 WITH UNCERTAINTIES",0,"")</f>
        <v>0</v>
      </c>
      <c r="X2137" s="1" t="str">
        <f>IF(Table1[[#This Row],[DUT Read]]="","N/A",Table1[[#This Row],[Std Error]]+Table1[[#This Row],[DUT Read]]+Table1[[#This Row],[DUT Ucty]])</f>
        <v>N/A</v>
      </c>
      <c r="Y2137" s="1" t="str">
        <f>IF(Table1[[#This Row],[Std Read]]="","N/A",Table1[[#This Row],[Std Read]]+Table1[[#This Row],[Std Ucty]])</f>
        <v>N/A</v>
      </c>
      <c r="Z21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7" s="1" t="str">
        <f>IF(Table1[[#This Row],[Spec Type]]="","N/A",Table1[[#This Row],[Spec Type]])</f>
        <v>±</v>
      </c>
      <c r="AC2137" s="1" t="str">
        <f>IF(Table1[[#This Row],[Spec Type2]]="N/A","N/A",IF(AND(Table1[[#This Row],[DUT Adj Read]]&gt;=Table1[[#This Row],[Low Tol]],Table1[[#This Row],[DUT Adj Read]]&lt;=Table1[[#This Row],[High Tol]]),"Pass","Fail"))</f>
        <v>Fail</v>
      </c>
      <c r="AD2137" s="1" t="str">
        <f>IF(AND(Table1[[#This Row],[Spec Type2]]="N/A",Table1[[#This Row],[DUT Adj Read]]="N/A",Table1[[#This Row],[Std Adj Read]]="N/A"),"N/A",IF(Table1[[#This Row],[DUT Adj Read]]="N/A",IF(Table1[[#This Row],[Std Adj Read]]&gt;Table1[[#This Row],[Low Tol]],"Pass","Fail"),IF(Table1[[#This Row],[DUT Adj Read]]&gt;Table1[[#This Row],[Low Tol]],"Pass","Fail")))</f>
        <v>Pass</v>
      </c>
      <c r="AE2137" s="1" t="str">
        <f>IF(AND(Table1[[#This Row],[Spec Type2]]="N/A",Table1[[#This Row],[DUT Adj Read]]="N/A",Table1[[#This Row],[Std Adj Read]]="N/A"),"N/A",IF(Table1[[#This Row],[DUT Adj Read]]="N/A",IF(Table1[[#This Row],[Std Adj Read]]&lt;Table1[[#This Row],[High Tol]],"Pass","Fail"),IF(Table1[[#This Row],[DUT Adj Read]]&lt;Table1[[#This Row],[High Tol]],"Pass","Fail")))</f>
        <v>Fail</v>
      </c>
      <c r="AF2137" s="1" t="str">
        <f>IF(AND(Table1[[#This Row],[Spec Type2]]="N/A",Table1[[#This Row],[DUT Adj Read]]="N/A",Table1[[#This Row],[Std Adj Read]]="N/A"),"N/A",IF(Table1[[#This Row],[DUT Adj Read]]="N/A",IF(Table1[[#This Row],[Std Adj Read]]&gt;=Table1[[#This Row],[Low Tol]],"Pass","Fail"),IF(Table1[[#This Row],[DUT Adj Read]]&gt;=Table1[[#This Row],[Low Tol]],"Pass","Fail")))</f>
        <v>Pass</v>
      </c>
      <c r="AG2137" s="1" t="str">
        <f>IF(AND(Table1[[#This Row],[Spec Type2]]="N/A",Table1[[#This Row],[DUT Adj Read]]="N/A",Table1[[#This Row],[Std Adj Read]]="N/A"),"N/A",IF(Table1[[#This Row],[DUT Adj Read]]="N/A",IF(Table1[[#This Row],[Std Adj Read]]&lt;=Table1[[#This Row],[High Tol]],"Pass","Fail"),IF(Table1[[#This Row],[DUT Adj Read]]&lt;=Table1[[#This Row],[High Tol]],"Pass","Fail")))</f>
        <v>Fail</v>
      </c>
      <c r="AH21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7" s="1" t="b">
        <v>0</v>
      </c>
      <c r="AN2137" s="1" t="b">
        <v>0</v>
      </c>
      <c r="AO2137" s="1" t="b">
        <v>0</v>
      </c>
    </row>
    <row r="2138" spans="1:41" x14ac:dyDescent="0.25">
      <c r="A2138" s="10"/>
      <c r="B2138" s="10"/>
      <c r="C2138" s="10"/>
      <c r="D2138" s="10"/>
      <c r="E2138" s="10"/>
      <c r="F2138" s="10"/>
      <c r="G2138" s="10"/>
      <c r="H2138" s="10"/>
      <c r="I2138" s="1" t="str">
        <f t="shared" si="99"/>
        <v/>
      </c>
      <c r="J2138" s="1" t="s">
        <v>35</v>
      </c>
      <c r="K2138" s="1" t="str">
        <f t="shared" si="100"/>
        <v/>
      </c>
      <c r="L2138" s="1" t="str">
        <f t="shared" si="101"/>
        <v/>
      </c>
      <c r="M2138" s="1">
        <f>IF(OR(Table1[[#This Row],[Std Nom]]="",Table1[[#This Row],[Std Read]]=""),0,Table1[[#This Row],[Std Nom]]-Table1[[#This Row],[Std Read]])</f>
        <v>0</v>
      </c>
      <c r="N2138" s="1">
        <f>IF(Calculations!$F$5="ACCREDITED 17025 WITH UNCERTAINTIES",$N$10,0)</f>
        <v>0</v>
      </c>
      <c r="Q2138" s="1">
        <f>Table1[[#This Row],[High Tol]]-Table1[[#This Row],[Low Tol]]</f>
        <v>0</v>
      </c>
      <c r="R2138" s="1">
        <f>2*Table1[[#This Row],[Std Error]]</f>
        <v>0</v>
      </c>
      <c r="S2138" s="1" t="str">
        <f>IF(Table1[[#This Row],[High Tol]]="","N/A",IFERROR(ABS(Table1[[#This Row],[Tol Span]]/Table1[[#This Row],[Error Span]]),"N/A"))</f>
        <v>N/A</v>
      </c>
      <c r="T2138" s="1" t="str">
        <f>IF(OR(Table1[[#This Row],[Low Tol]]="",Table1[[#This Row],[High Tol]]=""),"Needs Analysis",IF(Table1[[#This Row],[Ratio]]&gt;=4,"Not Significant",IF(Table1[[#This Row],[Ratio]]&gt;=2,"Semi-Significant","Significant")))</f>
        <v>Needs Analysis</v>
      </c>
      <c r="W2138" s="1">
        <f>IF(Table1[[#This Row],[Cal Type]]&lt;&gt;"ACCREDITED 17025 WITH UNCERTAINTIES",0,"")</f>
        <v>0</v>
      </c>
      <c r="X2138" s="1" t="str">
        <f>IF(Table1[[#This Row],[DUT Read]]="","N/A",Table1[[#This Row],[Std Error]]+Table1[[#This Row],[DUT Read]]+Table1[[#This Row],[DUT Ucty]])</f>
        <v>N/A</v>
      </c>
      <c r="Y2138" s="1" t="str">
        <f>IF(Table1[[#This Row],[Std Read]]="","N/A",Table1[[#This Row],[Std Read]]+Table1[[#This Row],[Std Ucty]])</f>
        <v>N/A</v>
      </c>
      <c r="Z21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8" s="1" t="str">
        <f>IF(Table1[[#This Row],[Spec Type]]="","N/A",Table1[[#This Row],[Spec Type]])</f>
        <v>±</v>
      </c>
      <c r="AC2138" s="1" t="str">
        <f>IF(Table1[[#This Row],[Spec Type2]]="N/A","N/A",IF(AND(Table1[[#This Row],[DUT Adj Read]]&gt;=Table1[[#This Row],[Low Tol]],Table1[[#This Row],[DUT Adj Read]]&lt;=Table1[[#This Row],[High Tol]]),"Pass","Fail"))</f>
        <v>Fail</v>
      </c>
      <c r="AD2138" s="1" t="str">
        <f>IF(AND(Table1[[#This Row],[Spec Type2]]="N/A",Table1[[#This Row],[DUT Adj Read]]="N/A",Table1[[#This Row],[Std Adj Read]]="N/A"),"N/A",IF(Table1[[#This Row],[DUT Adj Read]]="N/A",IF(Table1[[#This Row],[Std Adj Read]]&gt;Table1[[#This Row],[Low Tol]],"Pass","Fail"),IF(Table1[[#This Row],[DUT Adj Read]]&gt;Table1[[#This Row],[Low Tol]],"Pass","Fail")))</f>
        <v>Pass</v>
      </c>
      <c r="AE2138" s="1" t="str">
        <f>IF(AND(Table1[[#This Row],[Spec Type2]]="N/A",Table1[[#This Row],[DUT Adj Read]]="N/A",Table1[[#This Row],[Std Adj Read]]="N/A"),"N/A",IF(Table1[[#This Row],[DUT Adj Read]]="N/A",IF(Table1[[#This Row],[Std Adj Read]]&lt;Table1[[#This Row],[High Tol]],"Pass","Fail"),IF(Table1[[#This Row],[DUT Adj Read]]&lt;Table1[[#This Row],[High Tol]],"Pass","Fail")))</f>
        <v>Fail</v>
      </c>
      <c r="AF2138" s="1" t="str">
        <f>IF(AND(Table1[[#This Row],[Spec Type2]]="N/A",Table1[[#This Row],[DUT Adj Read]]="N/A",Table1[[#This Row],[Std Adj Read]]="N/A"),"N/A",IF(Table1[[#This Row],[DUT Adj Read]]="N/A",IF(Table1[[#This Row],[Std Adj Read]]&gt;=Table1[[#This Row],[Low Tol]],"Pass","Fail"),IF(Table1[[#This Row],[DUT Adj Read]]&gt;=Table1[[#This Row],[Low Tol]],"Pass","Fail")))</f>
        <v>Pass</v>
      </c>
      <c r="AG2138" s="1" t="str">
        <f>IF(AND(Table1[[#This Row],[Spec Type2]]="N/A",Table1[[#This Row],[DUT Adj Read]]="N/A",Table1[[#This Row],[Std Adj Read]]="N/A"),"N/A",IF(Table1[[#This Row],[DUT Adj Read]]="N/A",IF(Table1[[#This Row],[Std Adj Read]]&lt;=Table1[[#This Row],[High Tol]],"Pass","Fail"),IF(Table1[[#This Row],[DUT Adj Read]]&lt;=Table1[[#This Row],[High Tol]],"Pass","Fail")))</f>
        <v>Fail</v>
      </c>
      <c r="AH21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8" s="1" t="b">
        <v>0</v>
      </c>
      <c r="AN2138" s="1" t="b">
        <v>0</v>
      </c>
      <c r="AO2138" s="1" t="b">
        <v>0</v>
      </c>
    </row>
    <row r="2139" spans="1:41" x14ac:dyDescent="0.25">
      <c r="A2139" s="10"/>
      <c r="B2139" s="10"/>
      <c r="C2139" s="10"/>
      <c r="D2139" s="10"/>
      <c r="E2139" s="10"/>
      <c r="F2139" s="10"/>
      <c r="G2139" s="10"/>
      <c r="H2139" s="10"/>
      <c r="I2139" s="1" t="str">
        <f t="shared" si="99"/>
        <v/>
      </c>
      <c r="J2139" s="1" t="s">
        <v>35</v>
      </c>
      <c r="K2139" s="1" t="str">
        <f t="shared" si="100"/>
        <v/>
      </c>
      <c r="L2139" s="1" t="str">
        <f t="shared" si="101"/>
        <v/>
      </c>
      <c r="M2139" s="1">
        <f>IF(OR(Table1[[#This Row],[Std Nom]]="",Table1[[#This Row],[Std Read]]=""),0,Table1[[#This Row],[Std Nom]]-Table1[[#This Row],[Std Read]])</f>
        <v>0</v>
      </c>
      <c r="N2139" s="1">
        <f>IF(Calculations!$F$5="ACCREDITED 17025 WITH UNCERTAINTIES",$N$10,0)</f>
        <v>0</v>
      </c>
      <c r="Q2139" s="1">
        <f>Table1[[#This Row],[High Tol]]-Table1[[#This Row],[Low Tol]]</f>
        <v>0</v>
      </c>
      <c r="R2139" s="1">
        <f>2*Table1[[#This Row],[Std Error]]</f>
        <v>0</v>
      </c>
      <c r="S2139" s="1" t="str">
        <f>IF(Table1[[#This Row],[High Tol]]="","N/A",IFERROR(ABS(Table1[[#This Row],[Tol Span]]/Table1[[#This Row],[Error Span]]),"N/A"))</f>
        <v>N/A</v>
      </c>
      <c r="T2139" s="1" t="str">
        <f>IF(OR(Table1[[#This Row],[Low Tol]]="",Table1[[#This Row],[High Tol]]=""),"Needs Analysis",IF(Table1[[#This Row],[Ratio]]&gt;=4,"Not Significant",IF(Table1[[#This Row],[Ratio]]&gt;=2,"Semi-Significant","Significant")))</f>
        <v>Needs Analysis</v>
      </c>
      <c r="W2139" s="1">
        <f>IF(Table1[[#This Row],[Cal Type]]&lt;&gt;"ACCREDITED 17025 WITH UNCERTAINTIES",0,"")</f>
        <v>0</v>
      </c>
      <c r="X2139" s="1" t="str">
        <f>IF(Table1[[#This Row],[DUT Read]]="","N/A",Table1[[#This Row],[Std Error]]+Table1[[#This Row],[DUT Read]]+Table1[[#This Row],[DUT Ucty]])</f>
        <v>N/A</v>
      </c>
      <c r="Y2139" s="1" t="str">
        <f>IF(Table1[[#This Row],[Std Read]]="","N/A",Table1[[#This Row],[Std Read]]+Table1[[#This Row],[Std Ucty]])</f>
        <v>N/A</v>
      </c>
      <c r="Z21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39" s="1" t="str">
        <f>IF(Table1[[#This Row],[Spec Type]]="","N/A",Table1[[#This Row],[Spec Type]])</f>
        <v>±</v>
      </c>
      <c r="AC2139" s="1" t="str">
        <f>IF(Table1[[#This Row],[Spec Type2]]="N/A","N/A",IF(AND(Table1[[#This Row],[DUT Adj Read]]&gt;=Table1[[#This Row],[Low Tol]],Table1[[#This Row],[DUT Adj Read]]&lt;=Table1[[#This Row],[High Tol]]),"Pass","Fail"))</f>
        <v>Fail</v>
      </c>
      <c r="AD2139" s="1" t="str">
        <f>IF(AND(Table1[[#This Row],[Spec Type2]]="N/A",Table1[[#This Row],[DUT Adj Read]]="N/A",Table1[[#This Row],[Std Adj Read]]="N/A"),"N/A",IF(Table1[[#This Row],[DUT Adj Read]]="N/A",IF(Table1[[#This Row],[Std Adj Read]]&gt;Table1[[#This Row],[Low Tol]],"Pass","Fail"),IF(Table1[[#This Row],[DUT Adj Read]]&gt;Table1[[#This Row],[Low Tol]],"Pass","Fail")))</f>
        <v>Pass</v>
      </c>
      <c r="AE2139" s="1" t="str">
        <f>IF(AND(Table1[[#This Row],[Spec Type2]]="N/A",Table1[[#This Row],[DUT Adj Read]]="N/A",Table1[[#This Row],[Std Adj Read]]="N/A"),"N/A",IF(Table1[[#This Row],[DUT Adj Read]]="N/A",IF(Table1[[#This Row],[Std Adj Read]]&lt;Table1[[#This Row],[High Tol]],"Pass","Fail"),IF(Table1[[#This Row],[DUT Adj Read]]&lt;Table1[[#This Row],[High Tol]],"Pass","Fail")))</f>
        <v>Fail</v>
      </c>
      <c r="AF2139" s="1" t="str">
        <f>IF(AND(Table1[[#This Row],[Spec Type2]]="N/A",Table1[[#This Row],[DUT Adj Read]]="N/A",Table1[[#This Row],[Std Adj Read]]="N/A"),"N/A",IF(Table1[[#This Row],[DUT Adj Read]]="N/A",IF(Table1[[#This Row],[Std Adj Read]]&gt;=Table1[[#This Row],[Low Tol]],"Pass","Fail"),IF(Table1[[#This Row],[DUT Adj Read]]&gt;=Table1[[#This Row],[Low Tol]],"Pass","Fail")))</f>
        <v>Pass</v>
      </c>
      <c r="AG2139" s="1" t="str">
        <f>IF(AND(Table1[[#This Row],[Spec Type2]]="N/A",Table1[[#This Row],[DUT Adj Read]]="N/A",Table1[[#This Row],[Std Adj Read]]="N/A"),"N/A",IF(Table1[[#This Row],[DUT Adj Read]]="N/A",IF(Table1[[#This Row],[Std Adj Read]]&lt;=Table1[[#This Row],[High Tol]],"Pass","Fail"),IF(Table1[[#This Row],[DUT Adj Read]]&lt;=Table1[[#This Row],[High Tol]],"Pass","Fail")))</f>
        <v>Fail</v>
      </c>
      <c r="AH21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39" s="1" t="b">
        <v>0</v>
      </c>
      <c r="AN2139" s="1" t="b">
        <v>0</v>
      </c>
      <c r="AO2139" s="1" t="b">
        <v>0</v>
      </c>
    </row>
    <row r="2140" spans="1:41" x14ac:dyDescent="0.25">
      <c r="A2140" s="10"/>
      <c r="B2140" s="10"/>
      <c r="C2140" s="10"/>
      <c r="D2140" s="10"/>
      <c r="E2140" s="10"/>
      <c r="F2140" s="10"/>
      <c r="G2140" s="10"/>
      <c r="H2140" s="10"/>
      <c r="I2140" s="1" t="str">
        <f t="shared" si="99"/>
        <v/>
      </c>
      <c r="J2140" s="1" t="s">
        <v>35</v>
      </c>
      <c r="K2140" s="1" t="str">
        <f t="shared" si="100"/>
        <v/>
      </c>
      <c r="L2140" s="1" t="str">
        <f t="shared" si="101"/>
        <v/>
      </c>
      <c r="M2140" s="1">
        <f>IF(OR(Table1[[#This Row],[Std Nom]]="",Table1[[#This Row],[Std Read]]=""),0,Table1[[#This Row],[Std Nom]]-Table1[[#This Row],[Std Read]])</f>
        <v>0</v>
      </c>
      <c r="N2140" s="1">
        <f>IF(Calculations!$F$5="ACCREDITED 17025 WITH UNCERTAINTIES",$N$10,0)</f>
        <v>0</v>
      </c>
      <c r="Q2140" s="1">
        <f>Table1[[#This Row],[High Tol]]-Table1[[#This Row],[Low Tol]]</f>
        <v>0</v>
      </c>
      <c r="R2140" s="1">
        <f>2*Table1[[#This Row],[Std Error]]</f>
        <v>0</v>
      </c>
      <c r="S2140" s="1" t="str">
        <f>IF(Table1[[#This Row],[High Tol]]="","N/A",IFERROR(ABS(Table1[[#This Row],[Tol Span]]/Table1[[#This Row],[Error Span]]),"N/A"))</f>
        <v>N/A</v>
      </c>
      <c r="T2140" s="1" t="str">
        <f>IF(OR(Table1[[#This Row],[Low Tol]]="",Table1[[#This Row],[High Tol]]=""),"Needs Analysis",IF(Table1[[#This Row],[Ratio]]&gt;=4,"Not Significant",IF(Table1[[#This Row],[Ratio]]&gt;=2,"Semi-Significant","Significant")))</f>
        <v>Needs Analysis</v>
      </c>
      <c r="W2140" s="1">
        <f>IF(Table1[[#This Row],[Cal Type]]&lt;&gt;"ACCREDITED 17025 WITH UNCERTAINTIES",0,"")</f>
        <v>0</v>
      </c>
      <c r="X2140" s="1" t="str">
        <f>IF(Table1[[#This Row],[DUT Read]]="","N/A",Table1[[#This Row],[Std Error]]+Table1[[#This Row],[DUT Read]]+Table1[[#This Row],[DUT Ucty]])</f>
        <v>N/A</v>
      </c>
      <c r="Y2140" s="1" t="str">
        <f>IF(Table1[[#This Row],[Std Read]]="","N/A",Table1[[#This Row],[Std Read]]+Table1[[#This Row],[Std Ucty]])</f>
        <v>N/A</v>
      </c>
      <c r="Z21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0" s="1" t="str">
        <f>IF(Table1[[#This Row],[Spec Type]]="","N/A",Table1[[#This Row],[Spec Type]])</f>
        <v>±</v>
      </c>
      <c r="AC2140" s="1" t="str">
        <f>IF(Table1[[#This Row],[Spec Type2]]="N/A","N/A",IF(AND(Table1[[#This Row],[DUT Adj Read]]&gt;=Table1[[#This Row],[Low Tol]],Table1[[#This Row],[DUT Adj Read]]&lt;=Table1[[#This Row],[High Tol]]),"Pass","Fail"))</f>
        <v>Fail</v>
      </c>
      <c r="AD2140" s="1" t="str">
        <f>IF(AND(Table1[[#This Row],[Spec Type2]]="N/A",Table1[[#This Row],[DUT Adj Read]]="N/A",Table1[[#This Row],[Std Adj Read]]="N/A"),"N/A",IF(Table1[[#This Row],[DUT Adj Read]]="N/A",IF(Table1[[#This Row],[Std Adj Read]]&gt;Table1[[#This Row],[Low Tol]],"Pass","Fail"),IF(Table1[[#This Row],[DUT Adj Read]]&gt;Table1[[#This Row],[Low Tol]],"Pass","Fail")))</f>
        <v>Pass</v>
      </c>
      <c r="AE2140" s="1" t="str">
        <f>IF(AND(Table1[[#This Row],[Spec Type2]]="N/A",Table1[[#This Row],[DUT Adj Read]]="N/A",Table1[[#This Row],[Std Adj Read]]="N/A"),"N/A",IF(Table1[[#This Row],[DUT Adj Read]]="N/A",IF(Table1[[#This Row],[Std Adj Read]]&lt;Table1[[#This Row],[High Tol]],"Pass","Fail"),IF(Table1[[#This Row],[DUT Adj Read]]&lt;Table1[[#This Row],[High Tol]],"Pass","Fail")))</f>
        <v>Fail</v>
      </c>
      <c r="AF2140" s="1" t="str">
        <f>IF(AND(Table1[[#This Row],[Spec Type2]]="N/A",Table1[[#This Row],[DUT Adj Read]]="N/A",Table1[[#This Row],[Std Adj Read]]="N/A"),"N/A",IF(Table1[[#This Row],[DUT Adj Read]]="N/A",IF(Table1[[#This Row],[Std Adj Read]]&gt;=Table1[[#This Row],[Low Tol]],"Pass","Fail"),IF(Table1[[#This Row],[DUT Adj Read]]&gt;=Table1[[#This Row],[Low Tol]],"Pass","Fail")))</f>
        <v>Pass</v>
      </c>
      <c r="AG2140" s="1" t="str">
        <f>IF(AND(Table1[[#This Row],[Spec Type2]]="N/A",Table1[[#This Row],[DUT Adj Read]]="N/A",Table1[[#This Row],[Std Adj Read]]="N/A"),"N/A",IF(Table1[[#This Row],[DUT Adj Read]]="N/A",IF(Table1[[#This Row],[Std Adj Read]]&lt;=Table1[[#This Row],[High Tol]],"Pass","Fail"),IF(Table1[[#This Row],[DUT Adj Read]]&lt;=Table1[[#This Row],[High Tol]],"Pass","Fail")))</f>
        <v>Fail</v>
      </c>
      <c r="AH21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0" s="1" t="b">
        <v>0</v>
      </c>
      <c r="AN2140" s="1" t="b">
        <v>0</v>
      </c>
      <c r="AO2140" s="1" t="b">
        <v>0</v>
      </c>
    </row>
    <row r="2141" spans="1:41" x14ac:dyDescent="0.25">
      <c r="A2141" s="10"/>
      <c r="B2141" s="10"/>
      <c r="C2141" s="10"/>
      <c r="D2141" s="10"/>
      <c r="E2141" s="10"/>
      <c r="F2141" s="10"/>
      <c r="G2141" s="10"/>
      <c r="H2141" s="10"/>
      <c r="I2141" s="1" t="str">
        <f t="shared" si="99"/>
        <v/>
      </c>
      <c r="J2141" s="1" t="s">
        <v>35</v>
      </c>
      <c r="K2141" s="1" t="str">
        <f t="shared" si="100"/>
        <v/>
      </c>
      <c r="L2141" s="1" t="str">
        <f t="shared" si="101"/>
        <v/>
      </c>
      <c r="M2141" s="1">
        <f>IF(OR(Table1[[#This Row],[Std Nom]]="",Table1[[#This Row],[Std Read]]=""),0,Table1[[#This Row],[Std Nom]]-Table1[[#This Row],[Std Read]])</f>
        <v>0</v>
      </c>
      <c r="N2141" s="1">
        <f>IF(Calculations!$F$5="ACCREDITED 17025 WITH UNCERTAINTIES",$N$10,0)</f>
        <v>0</v>
      </c>
      <c r="Q2141" s="1">
        <f>Table1[[#This Row],[High Tol]]-Table1[[#This Row],[Low Tol]]</f>
        <v>0</v>
      </c>
      <c r="R2141" s="1">
        <f>2*Table1[[#This Row],[Std Error]]</f>
        <v>0</v>
      </c>
      <c r="S2141" s="1" t="str">
        <f>IF(Table1[[#This Row],[High Tol]]="","N/A",IFERROR(ABS(Table1[[#This Row],[Tol Span]]/Table1[[#This Row],[Error Span]]),"N/A"))</f>
        <v>N/A</v>
      </c>
      <c r="T2141" s="1" t="str">
        <f>IF(OR(Table1[[#This Row],[Low Tol]]="",Table1[[#This Row],[High Tol]]=""),"Needs Analysis",IF(Table1[[#This Row],[Ratio]]&gt;=4,"Not Significant",IF(Table1[[#This Row],[Ratio]]&gt;=2,"Semi-Significant","Significant")))</f>
        <v>Needs Analysis</v>
      </c>
      <c r="W2141" s="1">
        <f>IF(Table1[[#This Row],[Cal Type]]&lt;&gt;"ACCREDITED 17025 WITH UNCERTAINTIES",0,"")</f>
        <v>0</v>
      </c>
      <c r="X2141" s="1" t="str">
        <f>IF(Table1[[#This Row],[DUT Read]]="","N/A",Table1[[#This Row],[Std Error]]+Table1[[#This Row],[DUT Read]]+Table1[[#This Row],[DUT Ucty]])</f>
        <v>N/A</v>
      </c>
      <c r="Y2141" s="1" t="str">
        <f>IF(Table1[[#This Row],[Std Read]]="","N/A",Table1[[#This Row],[Std Read]]+Table1[[#This Row],[Std Ucty]])</f>
        <v>N/A</v>
      </c>
      <c r="Z21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1" s="1" t="str">
        <f>IF(Table1[[#This Row],[Spec Type]]="","N/A",Table1[[#This Row],[Spec Type]])</f>
        <v>±</v>
      </c>
      <c r="AC2141" s="1" t="str">
        <f>IF(Table1[[#This Row],[Spec Type2]]="N/A","N/A",IF(AND(Table1[[#This Row],[DUT Adj Read]]&gt;=Table1[[#This Row],[Low Tol]],Table1[[#This Row],[DUT Adj Read]]&lt;=Table1[[#This Row],[High Tol]]),"Pass","Fail"))</f>
        <v>Fail</v>
      </c>
      <c r="AD2141" s="1" t="str">
        <f>IF(AND(Table1[[#This Row],[Spec Type2]]="N/A",Table1[[#This Row],[DUT Adj Read]]="N/A",Table1[[#This Row],[Std Adj Read]]="N/A"),"N/A",IF(Table1[[#This Row],[DUT Adj Read]]="N/A",IF(Table1[[#This Row],[Std Adj Read]]&gt;Table1[[#This Row],[Low Tol]],"Pass","Fail"),IF(Table1[[#This Row],[DUT Adj Read]]&gt;Table1[[#This Row],[Low Tol]],"Pass","Fail")))</f>
        <v>Pass</v>
      </c>
      <c r="AE2141" s="1" t="str">
        <f>IF(AND(Table1[[#This Row],[Spec Type2]]="N/A",Table1[[#This Row],[DUT Adj Read]]="N/A",Table1[[#This Row],[Std Adj Read]]="N/A"),"N/A",IF(Table1[[#This Row],[DUT Adj Read]]="N/A",IF(Table1[[#This Row],[Std Adj Read]]&lt;Table1[[#This Row],[High Tol]],"Pass","Fail"),IF(Table1[[#This Row],[DUT Adj Read]]&lt;Table1[[#This Row],[High Tol]],"Pass","Fail")))</f>
        <v>Fail</v>
      </c>
      <c r="AF2141" s="1" t="str">
        <f>IF(AND(Table1[[#This Row],[Spec Type2]]="N/A",Table1[[#This Row],[DUT Adj Read]]="N/A",Table1[[#This Row],[Std Adj Read]]="N/A"),"N/A",IF(Table1[[#This Row],[DUT Adj Read]]="N/A",IF(Table1[[#This Row],[Std Adj Read]]&gt;=Table1[[#This Row],[Low Tol]],"Pass","Fail"),IF(Table1[[#This Row],[DUT Adj Read]]&gt;=Table1[[#This Row],[Low Tol]],"Pass","Fail")))</f>
        <v>Pass</v>
      </c>
      <c r="AG2141" s="1" t="str">
        <f>IF(AND(Table1[[#This Row],[Spec Type2]]="N/A",Table1[[#This Row],[DUT Adj Read]]="N/A",Table1[[#This Row],[Std Adj Read]]="N/A"),"N/A",IF(Table1[[#This Row],[DUT Adj Read]]="N/A",IF(Table1[[#This Row],[Std Adj Read]]&lt;=Table1[[#This Row],[High Tol]],"Pass","Fail"),IF(Table1[[#This Row],[DUT Adj Read]]&lt;=Table1[[#This Row],[High Tol]],"Pass","Fail")))</f>
        <v>Fail</v>
      </c>
      <c r="AH21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1" s="1" t="b">
        <v>0</v>
      </c>
      <c r="AN2141" s="1" t="b">
        <v>0</v>
      </c>
      <c r="AO2141" s="1" t="b">
        <v>0</v>
      </c>
    </row>
    <row r="2142" spans="1:41" x14ac:dyDescent="0.25">
      <c r="A2142" s="10"/>
      <c r="B2142" s="10"/>
      <c r="C2142" s="10"/>
      <c r="D2142" s="10"/>
      <c r="E2142" s="10"/>
      <c r="F2142" s="10"/>
      <c r="G2142" s="10"/>
      <c r="H2142" s="10"/>
      <c r="I2142" s="1" t="str">
        <f t="shared" si="99"/>
        <v/>
      </c>
      <c r="J2142" s="1" t="s">
        <v>35</v>
      </c>
      <c r="K2142" s="1" t="str">
        <f t="shared" si="100"/>
        <v/>
      </c>
      <c r="L2142" s="1" t="str">
        <f t="shared" si="101"/>
        <v/>
      </c>
      <c r="M2142" s="1">
        <f>IF(OR(Table1[[#This Row],[Std Nom]]="",Table1[[#This Row],[Std Read]]=""),0,Table1[[#This Row],[Std Nom]]-Table1[[#This Row],[Std Read]])</f>
        <v>0</v>
      </c>
      <c r="N2142" s="1">
        <f>IF(Calculations!$F$5="ACCREDITED 17025 WITH UNCERTAINTIES",$N$10,0)</f>
        <v>0</v>
      </c>
      <c r="Q2142" s="1">
        <f>Table1[[#This Row],[High Tol]]-Table1[[#This Row],[Low Tol]]</f>
        <v>0</v>
      </c>
      <c r="R2142" s="1">
        <f>2*Table1[[#This Row],[Std Error]]</f>
        <v>0</v>
      </c>
      <c r="S2142" s="1" t="str">
        <f>IF(Table1[[#This Row],[High Tol]]="","N/A",IFERROR(ABS(Table1[[#This Row],[Tol Span]]/Table1[[#This Row],[Error Span]]),"N/A"))</f>
        <v>N/A</v>
      </c>
      <c r="T2142" s="1" t="str">
        <f>IF(OR(Table1[[#This Row],[Low Tol]]="",Table1[[#This Row],[High Tol]]=""),"Needs Analysis",IF(Table1[[#This Row],[Ratio]]&gt;=4,"Not Significant",IF(Table1[[#This Row],[Ratio]]&gt;=2,"Semi-Significant","Significant")))</f>
        <v>Needs Analysis</v>
      </c>
      <c r="W2142" s="1">
        <f>IF(Table1[[#This Row],[Cal Type]]&lt;&gt;"ACCREDITED 17025 WITH UNCERTAINTIES",0,"")</f>
        <v>0</v>
      </c>
      <c r="X2142" s="1" t="str">
        <f>IF(Table1[[#This Row],[DUT Read]]="","N/A",Table1[[#This Row],[Std Error]]+Table1[[#This Row],[DUT Read]]+Table1[[#This Row],[DUT Ucty]])</f>
        <v>N/A</v>
      </c>
      <c r="Y2142" s="1" t="str">
        <f>IF(Table1[[#This Row],[Std Read]]="","N/A",Table1[[#This Row],[Std Read]]+Table1[[#This Row],[Std Ucty]])</f>
        <v>N/A</v>
      </c>
      <c r="Z21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2" s="1" t="str">
        <f>IF(Table1[[#This Row],[Spec Type]]="","N/A",Table1[[#This Row],[Spec Type]])</f>
        <v>±</v>
      </c>
      <c r="AC2142" s="1" t="str">
        <f>IF(Table1[[#This Row],[Spec Type2]]="N/A","N/A",IF(AND(Table1[[#This Row],[DUT Adj Read]]&gt;=Table1[[#This Row],[Low Tol]],Table1[[#This Row],[DUT Adj Read]]&lt;=Table1[[#This Row],[High Tol]]),"Pass","Fail"))</f>
        <v>Fail</v>
      </c>
      <c r="AD2142" s="1" t="str">
        <f>IF(AND(Table1[[#This Row],[Spec Type2]]="N/A",Table1[[#This Row],[DUT Adj Read]]="N/A",Table1[[#This Row],[Std Adj Read]]="N/A"),"N/A",IF(Table1[[#This Row],[DUT Adj Read]]="N/A",IF(Table1[[#This Row],[Std Adj Read]]&gt;Table1[[#This Row],[Low Tol]],"Pass","Fail"),IF(Table1[[#This Row],[DUT Adj Read]]&gt;Table1[[#This Row],[Low Tol]],"Pass","Fail")))</f>
        <v>Pass</v>
      </c>
      <c r="AE2142" s="1" t="str">
        <f>IF(AND(Table1[[#This Row],[Spec Type2]]="N/A",Table1[[#This Row],[DUT Adj Read]]="N/A",Table1[[#This Row],[Std Adj Read]]="N/A"),"N/A",IF(Table1[[#This Row],[DUT Adj Read]]="N/A",IF(Table1[[#This Row],[Std Adj Read]]&lt;Table1[[#This Row],[High Tol]],"Pass","Fail"),IF(Table1[[#This Row],[DUT Adj Read]]&lt;Table1[[#This Row],[High Tol]],"Pass","Fail")))</f>
        <v>Fail</v>
      </c>
      <c r="AF2142" s="1" t="str">
        <f>IF(AND(Table1[[#This Row],[Spec Type2]]="N/A",Table1[[#This Row],[DUT Adj Read]]="N/A",Table1[[#This Row],[Std Adj Read]]="N/A"),"N/A",IF(Table1[[#This Row],[DUT Adj Read]]="N/A",IF(Table1[[#This Row],[Std Adj Read]]&gt;=Table1[[#This Row],[Low Tol]],"Pass","Fail"),IF(Table1[[#This Row],[DUT Adj Read]]&gt;=Table1[[#This Row],[Low Tol]],"Pass","Fail")))</f>
        <v>Pass</v>
      </c>
      <c r="AG2142" s="1" t="str">
        <f>IF(AND(Table1[[#This Row],[Spec Type2]]="N/A",Table1[[#This Row],[DUT Adj Read]]="N/A",Table1[[#This Row],[Std Adj Read]]="N/A"),"N/A",IF(Table1[[#This Row],[DUT Adj Read]]="N/A",IF(Table1[[#This Row],[Std Adj Read]]&lt;=Table1[[#This Row],[High Tol]],"Pass","Fail"),IF(Table1[[#This Row],[DUT Adj Read]]&lt;=Table1[[#This Row],[High Tol]],"Pass","Fail")))</f>
        <v>Fail</v>
      </c>
      <c r="AH21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2" s="1" t="b">
        <v>0</v>
      </c>
      <c r="AN2142" s="1" t="b">
        <v>0</v>
      </c>
      <c r="AO2142" s="1" t="b">
        <v>0</v>
      </c>
    </row>
    <row r="2143" spans="1:41" x14ac:dyDescent="0.25">
      <c r="A2143" s="10"/>
      <c r="B2143" s="10"/>
      <c r="C2143" s="10"/>
      <c r="D2143" s="10"/>
      <c r="E2143" s="10"/>
      <c r="F2143" s="10"/>
      <c r="G2143" s="10"/>
      <c r="H2143" s="10"/>
      <c r="I2143" s="1" t="str">
        <f t="shared" si="99"/>
        <v/>
      </c>
      <c r="J2143" s="1" t="s">
        <v>35</v>
      </c>
      <c r="K2143" s="1" t="str">
        <f t="shared" si="100"/>
        <v/>
      </c>
      <c r="L2143" s="1" t="str">
        <f t="shared" si="101"/>
        <v/>
      </c>
      <c r="M2143" s="1">
        <f>IF(OR(Table1[[#This Row],[Std Nom]]="",Table1[[#This Row],[Std Read]]=""),0,Table1[[#This Row],[Std Nom]]-Table1[[#This Row],[Std Read]])</f>
        <v>0</v>
      </c>
      <c r="N2143" s="1">
        <f>IF(Calculations!$F$5="ACCREDITED 17025 WITH UNCERTAINTIES",$N$10,0)</f>
        <v>0</v>
      </c>
      <c r="Q2143" s="1">
        <f>Table1[[#This Row],[High Tol]]-Table1[[#This Row],[Low Tol]]</f>
        <v>0</v>
      </c>
      <c r="R2143" s="1">
        <f>2*Table1[[#This Row],[Std Error]]</f>
        <v>0</v>
      </c>
      <c r="S2143" s="1" t="str">
        <f>IF(Table1[[#This Row],[High Tol]]="","N/A",IFERROR(ABS(Table1[[#This Row],[Tol Span]]/Table1[[#This Row],[Error Span]]),"N/A"))</f>
        <v>N/A</v>
      </c>
      <c r="T2143" s="1" t="str">
        <f>IF(OR(Table1[[#This Row],[Low Tol]]="",Table1[[#This Row],[High Tol]]=""),"Needs Analysis",IF(Table1[[#This Row],[Ratio]]&gt;=4,"Not Significant",IF(Table1[[#This Row],[Ratio]]&gt;=2,"Semi-Significant","Significant")))</f>
        <v>Needs Analysis</v>
      </c>
      <c r="W2143" s="1">
        <f>IF(Table1[[#This Row],[Cal Type]]&lt;&gt;"ACCREDITED 17025 WITH UNCERTAINTIES",0,"")</f>
        <v>0</v>
      </c>
      <c r="X2143" s="1" t="str">
        <f>IF(Table1[[#This Row],[DUT Read]]="","N/A",Table1[[#This Row],[Std Error]]+Table1[[#This Row],[DUT Read]]+Table1[[#This Row],[DUT Ucty]])</f>
        <v>N/A</v>
      </c>
      <c r="Y2143" s="1" t="str">
        <f>IF(Table1[[#This Row],[Std Read]]="","N/A",Table1[[#This Row],[Std Read]]+Table1[[#This Row],[Std Ucty]])</f>
        <v>N/A</v>
      </c>
      <c r="Z21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3" s="1" t="str">
        <f>IF(Table1[[#This Row],[Spec Type]]="","N/A",Table1[[#This Row],[Spec Type]])</f>
        <v>±</v>
      </c>
      <c r="AC2143" s="1" t="str">
        <f>IF(Table1[[#This Row],[Spec Type2]]="N/A","N/A",IF(AND(Table1[[#This Row],[DUT Adj Read]]&gt;=Table1[[#This Row],[Low Tol]],Table1[[#This Row],[DUT Adj Read]]&lt;=Table1[[#This Row],[High Tol]]),"Pass","Fail"))</f>
        <v>Fail</v>
      </c>
      <c r="AD2143" s="1" t="str">
        <f>IF(AND(Table1[[#This Row],[Spec Type2]]="N/A",Table1[[#This Row],[DUT Adj Read]]="N/A",Table1[[#This Row],[Std Adj Read]]="N/A"),"N/A",IF(Table1[[#This Row],[DUT Adj Read]]="N/A",IF(Table1[[#This Row],[Std Adj Read]]&gt;Table1[[#This Row],[Low Tol]],"Pass","Fail"),IF(Table1[[#This Row],[DUT Adj Read]]&gt;Table1[[#This Row],[Low Tol]],"Pass","Fail")))</f>
        <v>Pass</v>
      </c>
      <c r="AE2143" s="1" t="str">
        <f>IF(AND(Table1[[#This Row],[Spec Type2]]="N/A",Table1[[#This Row],[DUT Adj Read]]="N/A",Table1[[#This Row],[Std Adj Read]]="N/A"),"N/A",IF(Table1[[#This Row],[DUT Adj Read]]="N/A",IF(Table1[[#This Row],[Std Adj Read]]&lt;Table1[[#This Row],[High Tol]],"Pass","Fail"),IF(Table1[[#This Row],[DUT Adj Read]]&lt;Table1[[#This Row],[High Tol]],"Pass","Fail")))</f>
        <v>Fail</v>
      </c>
      <c r="AF2143" s="1" t="str">
        <f>IF(AND(Table1[[#This Row],[Spec Type2]]="N/A",Table1[[#This Row],[DUT Adj Read]]="N/A",Table1[[#This Row],[Std Adj Read]]="N/A"),"N/A",IF(Table1[[#This Row],[DUT Adj Read]]="N/A",IF(Table1[[#This Row],[Std Adj Read]]&gt;=Table1[[#This Row],[Low Tol]],"Pass","Fail"),IF(Table1[[#This Row],[DUT Adj Read]]&gt;=Table1[[#This Row],[Low Tol]],"Pass","Fail")))</f>
        <v>Pass</v>
      </c>
      <c r="AG2143" s="1" t="str">
        <f>IF(AND(Table1[[#This Row],[Spec Type2]]="N/A",Table1[[#This Row],[DUT Adj Read]]="N/A",Table1[[#This Row],[Std Adj Read]]="N/A"),"N/A",IF(Table1[[#This Row],[DUT Adj Read]]="N/A",IF(Table1[[#This Row],[Std Adj Read]]&lt;=Table1[[#This Row],[High Tol]],"Pass","Fail"),IF(Table1[[#This Row],[DUT Adj Read]]&lt;=Table1[[#This Row],[High Tol]],"Pass","Fail")))</f>
        <v>Fail</v>
      </c>
      <c r="AH21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3" s="1" t="b">
        <v>0</v>
      </c>
      <c r="AN2143" s="1" t="b">
        <v>0</v>
      </c>
      <c r="AO2143" s="1" t="b">
        <v>0</v>
      </c>
    </row>
    <row r="2144" spans="1:41" x14ac:dyDescent="0.25">
      <c r="A2144" s="10"/>
      <c r="B2144" s="10"/>
      <c r="C2144" s="10"/>
      <c r="D2144" s="10"/>
      <c r="E2144" s="10"/>
      <c r="F2144" s="10"/>
      <c r="G2144" s="10"/>
      <c r="H2144" s="10"/>
      <c r="I2144" s="1" t="str">
        <f t="shared" si="99"/>
        <v/>
      </c>
      <c r="J2144" s="1" t="s">
        <v>35</v>
      </c>
      <c r="K2144" s="1" t="str">
        <f t="shared" si="100"/>
        <v/>
      </c>
      <c r="L2144" s="1" t="str">
        <f t="shared" si="101"/>
        <v/>
      </c>
      <c r="M2144" s="1">
        <f>IF(OR(Table1[[#This Row],[Std Nom]]="",Table1[[#This Row],[Std Read]]=""),0,Table1[[#This Row],[Std Nom]]-Table1[[#This Row],[Std Read]])</f>
        <v>0</v>
      </c>
      <c r="N2144" s="1">
        <f>IF(Calculations!$F$5="ACCREDITED 17025 WITH UNCERTAINTIES",$N$10,0)</f>
        <v>0</v>
      </c>
      <c r="Q2144" s="1">
        <f>Table1[[#This Row],[High Tol]]-Table1[[#This Row],[Low Tol]]</f>
        <v>0</v>
      </c>
      <c r="R2144" s="1">
        <f>2*Table1[[#This Row],[Std Error]]</f>
        <v>0</v>
      </c>
      <c r="S2144" s="1" t="str">
        <f>IF(Table1[[#This Row],[High Tol]]="","N/A",IFERROR(ABS(Table1[[#This Row],[Tol Span]]/Table1[[#This Row],[Error Span]]),"N/A"))</f>
        <v>N/A</v>
      </c>
      <c r="T2144" s="1" t="str">
        <f>IF(OR(Table1[[#This Row],[Low Tol]]="",Table1[[#This Row],[High Tol]]=""),"Needs Analysis",IF(Table1[[#This Row],[Ratio]]&gt;=4,"Not Significant",IF(Table1[[#This Row],[Ratio]]&gt;=2,"Semi-Significant","Significant")))</f>
        <v>Needs Analysis</v>
      </c>
      <c r="W2144" s="1">
        <f>IF(Table1[[#This Row],[Cal Type]]&lt;&gt;"ACCREDITED 17025 WITH UNCERTAINTIES",0,"")</f>
        <v>0</v>
      </c>
      <c r="X2144" s="1" t="str">
        <f>IF(Table1[[#This Row],[DUT Read]]="","N/A",Table1[[#This Row],[Std Error]]+Table1[[#This Row],[DUT Read]]+Table1[[#This Row],[DUT Ucty]])</f>
        <v>N/A</v>
      </c>
      <c r="Y2144" s="1" t="str">
        <f>IF(Table1[[#This Row],[Std Read]]="","N/A",Table1[[#This Row],[Std Read]]+Table1[[#This Row],[Std Ucty]])</f>
        <v>N/A</v>
      </c>
      <c r="Z21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4" s="1" t="str">
        <f>IF(Table1[[#This Row],[Spec Type]]="","N/A",Table1[[#This Row],[Spec Type]])</f>
        <v>±</v>
      </c>
      <c r="AC2144" s="1" t="str">
        <f>IF(Table1[[#This Row],[Spec Type2]]="N/A","N/A",IF(AND(Table1[[#This Row],[DUT Adj Read]]&gt;=Table1[[#This Row],[Low Tol]],Table1[[#This Row],[DUT Adj Read]]&lt;=Table1[[#This Row],[High Tol]]),"Pass","Fail"))</f>
        <v>Fail</v>
      </c>
      <c r="AD2144" s="1" t="str">
        <f>IF(AND(Table1[[#This Row],[Spec Type2]]="N/A",Table1[[#This Row],[DUT Adj Read]]="N/A",Table1[[#This Row],[Std Adj Read]]="N/A"),"N/A",IF(Table1[[#This Row],[DUT Adj Read]]="N/A",IF(Table1[[#This Row],[Std Adj Read]]&gt;Table1[[#This Row],[Low Tol]],"Pass","Fail"),IF(Table1[[#This Row],[DUT Adj Read]]&gt;Table1[[#This Row],[Low Tol]],"Pass","Fail")))</f>
        <v>Pass</v>
      </c>
      <c r="AE2144" s="1" t="str">
        <f>IF(AND(Table1[[#This Row],[Spec Type2]]="N/A",Table1[[#This Row],[DUT Adj Read]]="N/A",Table1[[#This Row],[Std Adj Read]]="N/A"),"N/A",IF(Table1[[#This Row],[DUT Adj Read]]="N/A",IF(Table1[[#This Row],[Std Adj Read]]&lt;Table1[[#This Row],[High Tol]],"Pass","Fail"),IF(Table1[[#This Row],[DUT Adj Read]]&lt;Table1[[#This Row],[High Tol]],"Pass","Fail")))</f>
        <v>Fail</v>
      </c>
      <c r="AF2144" s="1" t="str">
        <f>IF(AND(Table1[[#This Row],[Spec Type2]]="N/A",Table1[[#This Row],[DUT Adj Read]]="N/A",Table1[[#This Row],[Std Adj Read]]="N/A"),"N/A",IF(Table1[[#This Row],[DUT Adj Read]]="N/A",IF(Table1[[#This Row],[Std Adj Read]]&gt;=Table1[[#This Row],[Low Tol]],"Pass","Fail"),IF(Table1[[#This Row],[DUT Adj Read]]&gt;=Table1[[#This Row],[Low Tol]],"Pass","Fail")))</f>
        <v>Pass</v>
      </c>
      <c r="AG2144" s="1" t="str">
        <f>IF(AND(Table1[[#This Row],[Spec Type2]]="N/A",Table1[[#This Row],[DUT Adj Read]]="N/A",Table1[[#This Row],[Std Adj Read]]="N/A"),"N/A",IF(Table1[[#This Row],[DUT Adj Read]]="N/A",IF(Table1[[#This Row],[Std Adj Read]]&lt;=Table1[[#This Row],[High Tol]],"Pass","Fail"),IF(Table1[[#This Row],[DUT Adj Read]]&lt;=Table1[[#This Row],[High Tol]],"Pass","Fail")))</f>
        <v>Fail</v>
      </c>
      <c r="AH21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4" s="1" t="b">
        <v>0</v>
      </c>
      <c r="AN2144" s="1" t="b">
        <v>0</v>
      </c>
      <c r="AO2144" s="1" t="b">
        <v>0</v>
      </c>
    </row>
    <row r="2145" spans="1:41" x14ac:dyDescent="0.25">
      <c r="A2145" s="10"/>
      <c r="B2145" s="10"/>
      <c r="C2145" s="10"/>
      <c r="D2145" s="10"/>
      <c r="E2145" s="10"/>
      <c r="F2145" s="10"/>
      <c r="G2145" s="10"/>
      <c r="H2145" s="10"/>
      <c r="I2145" s="1" t="str">
        <f t="shared" si="99"/>
        <v/>
      </c>
      <c r="J2145" s="1" t="s">
        <v>35</v>
      </c>
      <c r="K2145" s="1" t="str">
        <f t="shared" si="100"/>
        <v/>
      </c>
      <c r="L2145" s="1" t="str">
        <f t="shared" si="101"/>
        <v/>
      </c>
      <c r="M2145" s="1">
        <f>IF(OR(Table1[[#This Row],[Std Nom]]="",Table1[[#This Row],[Std Read]]=""),0,Table1[[#This Row],[Std Nom]]-Table1[[#This Row],[Std Read]])</f>
        <v>0</v>
      </c>
      <c r="N2145" s="1">
        <f>IF(Calculations!$F$5="ACCREDITED 17025 WITH UNCERTAINTIES",$N$10,0)</f>
        <v>0</v>
      </c>
      <c r="Q2145" s="1">
        <f>Table1[[#This Row],[High Tol]]-Table1[[#This Row],[Low Tol]]</f>
        <v>0</v>
      </c>
      <c r="R2145" s="1">
        <f>2*Table1[[#This Row],[Std Error]]</f>
        <v>0</v>
      </c>
      <c r="S2145" s="1" t="str">
        <f>IF(Table1[[#This Row],[High Tol]]="","N/A",IFERROR(ABS(Table1[[#This Row],[Tol Span]]/Table1[[#This Row],[Error Span]]),"N/A"))</f>
        <v>N/A</v>
      </c>
      <c r="T2145" s="1" t="str">
        <f>IF(OR(Table1[[#This Row],[Low Tol]]="",Table1[[#This Row],[High Tol]]=""),"Needs Analysis",IF(Table1[[#This Row],[Ratio]]&gt;=4,"Not Significant",IF(Table1[[#This Row],[Ratio]]&gt;=2,"Semi-Significant","Significant")))</f>
        <v>Needs Analysis</v>
      </c>
      <c r="W2145" s="1">
        <f>IF(Table1[[#This Row],[Cal Type]]&lt;&gt;"ACCREDITED 17025 WITH UNCERTAINTIES",0,"")</f>
        <v>0</v>
      </c>
      <c r="X2145" s="1" t="str">
        <f>IF(Table1[[#This Row],[DUT Read]]="","N/A",Table1[[#This Row],[Std Error]]+Table1[[#This Row],[DUT Read]]+Table1[[#This Row],[DUT Ucty]])</f>
        <v>N/A</v>
      </c>
      <c r="Y2145" s="1" t="str">
        <f>IF(Table1[[#This Row],[Std Read]]="","N/A",Table1[[#This Row],[Std Read]]+Table1[[#This Row],[Std Ucty]])</f>
        <v>N/A</v>
      </c>
      <c r="Z21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5" s="1" t="str">
        <f>IF(Table1[[#This Row],[Spec Type]]="","N/A",Table1[[#This Row],[Spec Type]])</f>
        <v>±</v>
      </c>
      <c r="AC2145" s="1" t="str">
        <f>IF(Table1[[#This Row],[Spec Type2]]="N/A","N/A",IF(AND(Table1[[#This Row],[DUT Adj Read]]&gt;=Table1[[#This Row],[Low Tol]],Table1[[#This Row],[DUT Adj Read]]&lt;=Table1[[#This Row],[High Tol]]),"Pass","Fail"))</f>
        <v>Fail</v>
      </c>
      <c r="AD2145" s="1" t="str">
        <f>IF(AND(Table1[[#This Row],[Spec Type2]]="N/A",Table1[[#This Row],[DUT Adj Read]]="N/A",Table1[[#This Row],[Std Adj Read]]="N/A"),"N/A",IF(Table1[[#This Row],[DUT Adj Read]]="N/A",IF(Table1[[#This Row],[Std Adj Read]]&gt;Table1[[#This Row],[Low Tol]],"Pass","Fail"),IF(Table1[[#This Row],[DUT Adj Read]]&gt;Table1[[#This Row],[Low Tol]],"Pass","Fail")))</f>
        <v>Pass</v>
      </c>
      <c r="AE2145" s="1" t="str">
        <f>IF(AND(Table1[[#This Row],[Spec Type2]]="N/A",Table1[[#This Row],[DUT Adj Read]]="N/A",Table1[[#This Row],[Std Adj Read]]="N/A"),"N/A",IF(Table1[[#This Row],[DUT Adj Read]]="N/A",IF(Table1[[#This Row],[Std Adj Read]]&lt;Table1[[#This Row],[High Tol]],"Pass","Fail"),IF(Table1[[#This Row],[DUT Adj Read]]&lt;Table1[[#This Row],[High Tol]],"Pass","Fail")))</f>
        <v>Fail</v>
      </c>
      <c r="AF2145" s="1" t="str">
        <f>IF(AND(Table1[[#This Row],[Spec Type2]]="N/A",Table1[[#This Row],[DUT Adj Read]]="N/A",Table1[[#This Row],[Std Adj Read]]="N/A"),"N/A",IF(Table1[[#This Row],[DUT Adj Read]]="N/A",IF(Table1[[#This Row],[Std Adj Read]]&gt;=Table1[[#This Row],[Low Tol]],"Pass","Fail"),IF(Table1[[#This Row],[DUT Adj Read]]&gt;=Table1[[#This Row],[Low Tol]],"Pass","Fail")))</f>
        <v>Pass</v>
      </c>
      <c r="AG2145" s="1" t="str">
        <f>IF(AND(Table1[[#This Row],[Spec Type2]]="N/A",Table1[[#This Row],[DUT Adj Read]]="N/A",Table1[[#This Row],[Std Adj Read]]="N/A"),"N/A",IF(Table1[[#This Row],[DUT Adj Read]]="N/A",IF(Table1[[#This Row],[Std Adj Read]]&lt;=Table1[[#This Row],[High Tol]],"Pass","Fail"),IF(Table1[[#This Row],[DUT Adj Read]]&lt;=Table1[[#This Row],[High Tol]],"Pass","Fail")))</f>
        <v>Fail</v>
      </c>
      <c r="AH21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5" s="1" t="b">
        <v>0</v>
      </c>
      <c r="AN2145" s="1" t="b">
        <v>0</v>
      </c>
      <c r="AO2145" s="1" t="b">
        <v>0</v>
      </c>
    </row>
    <row r="2146" spans="1:41" x14ac:dyDescent="0.25">
      <c r="A2146" s="10"/>
      <c r="B2146" s="10"/>
      <c r="C2146" s="10"/>
      <c r="D2146" s="10"/>
      <c r="E2146" s="10"/>
      <c r="F2146" s="10"/>
      <c r="G2146" s="10"/>
      <c r="H2146" s="10"/>
      <c r="I2146" s="1" t="str">
        <f t="shared" si="99"/>
        <v/>
      </c>
      <c r="J2146" s="1" t="s">
        <v>35</v>
      </c>
      <c r="K2146" s="1" t="str">
        <f t="shared" si="100"/>
        <v/>
      </c>
      <c r="L2146" s="1" t="str">
        <f t="shared" si="101"/>
        <v/>
      </c>
      <c r="M2146" s="1">
        <f>IF(OR(Table1[[#This Row],[Std Nom]]="",Table1[[#This Row],[Std Read]]=""),0,Table1[[#This Row],[Std Nom]]-Table1[[#This Row],[Std Read]])</f>
        <v>0</v>
      </c>
      <c r="N2146" s="1">
        <f>IF(Calculations!$F$5="ACCREDITED 17025 WITH UNCERTAINTIES",$N$10,0)</f>
        <v>0</v>
      </c>
      <c r="Q2146" s="1">
        <f>Table1[[#This Row],[High Tol]]-Table1[[#This Row],[Low Tol]]</f>
        <v>0</v>
      </c>
      <c r="R2146" s="1">
        <f>2*Table1[[#This Row],[Std Error]]</f>
        <v>0</v>
      </c>
      <c r="S2146" s="1" t="str">
        <f>IF(Table1[[#This Row],[High Tol]]="","N/A",IFERROR(ABS(Table1[[#This Row],[Tol Span]]/Table1[[#This Row],[Error Span]]),"N/A"))</f>
        <v>N/A</v>
      </c>
      <c r="T2146" s="1" t="str">
        <f>IF(OR(Table1[[#This Row],[Low Tol]]="",Table1[[#This Row],[High Tol]]=""),"Needs Analysis",IF(Table1[[#This Row],[Ratio]]&gt;=4,"Not Significant",IF(Table1[[#This Row],[Ratio]]&gt;=2,"Semi-Significant","Significant")))</f>
        <v>Needs Analysis</v>
      </c>
      <c r="W2146" s="1">
        <f>IF(Table1[[#This Row],[Cal Type]]&lt;&gt;"ACCREDITED 17025 WITH UNCERTAINTIES",0,"")</f>
        <v>0</v>
      </c>
      <c r="X2146" s="1" t="str">
        <f>IF(Table1[[#This Row],[DUT Read]]="","N/A",Table1[[#This Row],[Std Error]]+Table1[[#This Row],[DUT Read]]+Table1[[#This Row],[DUT Ucty]])</f>
        <v>N/A</v>
      </c>
      <c r="Y2146" s="1" t="str">
        <f>IF(Table1[[#This Row],[Std Read]]="","N/A",Table1[[#This Row],[Std Read]]+Table1[[#This Row],[Std Ucty]])</f>
        <v>N/A</v>
      </c>
      <c r="Z21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6" s="1" t="str">
        <f>IF(Table1[[#This Row],[Spec Type]]="","N/A",Table1[[#This Row],[Spec Type]])</f>
        <v>±</v>
      </c>
      <c r="AC2146" s="1" t="str">
        <f>IF(Table1[[#This Row],[Spec Type2]]="N/A","N/A",IF(AND(Table1[[#This Row],[DUT Adj Read]]&gt;=Table1[[#This Row],[Low Tol]],Table1[[#This Row],[DUT Adj Read]]&lt;=Table1[[#This Row],[High Tol]]),"Pass","Fail"))</f>
        <v>Fail</v>
      </c>
      <c r="AD2146" s="1" t="str">
        <f>IF(AND(Table1[[#This Row],[Spec Type2]]="N/A",Table1[[#This Row],[DUT Adj Read]]="N/A",Table1[[#This Row],[Std Adj Read]]="N/A"),"N/A",IF(Table1[[#This Row],[DUT Adj Read]]="N/A",IF(Table1[[#This Row],[Std Adj Read]]&gt;Table1[[#This Row],[Low Tol]],"Pass","Fail"),IF(Table1[[#This Row],[DUT Adj Read]]&gt;Table1[[#This Row],[Low Tol]],"Pass","Fail")))</f>
        <v>Pass</v>
      </c>
      <c r="AE2146" s="1" t="str">
        <f>IF(AND(Table1[[#This Row],[Spec Type2]]="N/A",Table1[[#This Row],[DUT Adj Read]]="N/A",Table1[[#This Row],[Std Adj Read]]="N/A"),"N/A",IF(Table1[[#This Row],[DUT Adj Read]]="N/A",IF(Table1[[#This Row],[Std Adj Read]]&lt;Table1[[#This Row],[High Tol]],"Pass","Fail"),IF(Table1[[#This Row],[DUT Adj Read]]&lt;Table1[[#This Row],[High Tol]],"Pass","Fail")))</f>
        <v>Fail</v>
      </c>
      <c r="AF2146" s="1" t="str">
        <f>IF(AND(Table1[[#This Row],[Spec Type2]]="N/A",Table1[[#This Row],[DUT Adj Read]]="N/A",Table1[[#This Row],[Std Adj Read]]="N/A"),"N/A",IF(Table1[[#This Row],[DUT Adj Read]]="N/A",IF(Table1[[#This Row],[Std Adj Read]]&gt;=Table1[[#This Row],[Low Tol]],"Pass","Fail"),IF(Table1[[#This Row],[DUT Adj Read]]&gt;=Table1[[#This Row],[Low Tol]],"Pass","Fail")))</f>
        <v>Pass</v>
      </c>
      <c r="AG2146" s="1" t="str">
        <f>IF(AND(Table1[[#This Row],[Spec Type2]]="N/A",Table1[[#This Row],[DUT Adj Read]]="N/A",Table1[[#This Row],[Std Adj Read]]="N/A"),"N/A",IF(Table1[[#This Row],[DUT Adj Read]]="N/A",IF(Table1[[#This Row],[Std Adj Read]]&lt;=Table1[[#This Row],[High Tol]],"Pass","Fail"),IF(Table1[[#This Row],[DUT Adj Read]]&lt;=Table1[[#This Row],[High Tol]],"Pass","Fail")))</f>
        <v>Fail</v>
      </c>
      <c r="AH21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6" s="1" t="b">
        <v>0</v>
      </c>
      <c r="AN2146" s="1" t="b">
        <v>0</v>
      </c>
      <c r="AO2146" s="1" t="b">
        <v>0</v>
      </c>
    </row>
    <row r="2147" spans="1:41" x14ac:dyDescent="0.25">
      <c r="A2147" s="10"/>
      <c r="B2147" s="10"/>
      <c r="C2147" s="10"/>
      <c r="D2147" s="10"/>
      <c r="E2147" s="10"/>
      <c r="F2147" s="10"/>
      <c r="G2147" s="10"/>
      <c r="H2147" s="10"/>
      <c r="I2147" s="1" t="str">
        <f t="shared" si="99"/>
        <v/>
      </c>
      <c r="J2147" s="1" t="s">
        <v>35</v>
      </c>
      <c r="K2147" s="1" t="str">
        <f t="shared" si="100"/>
        <v/>
      </c>
      <c r="L2147" s="1" t="str">
        <f t="shared" si="101"/>
        <v/>
      </c>
      <c r="M2147" s="1">
        <f>IF(OR(Table1[[#This Row],[Std Nom]]="",Table1[[#This Row],[Std Read]]=""),0,Table1[[#This Row],[Std Nom]]-Table1[[#This Row],[Std Read]])</f>
        <v>0</v>
      </c>
      <c r="N2147" s="1">
        <f>IF(Calculations!$F$5="ACCREDITED 17025 WITH UNCERTAINTIES",$N$10,0)</f>
        <v>0</v>
      </c>
      <c r="Q2147" s="1">
        <f>Table1[[#This Row],[High Tol]]-Table1[[#This Row],[Low Tol]]</f>
        <v>0</v>
      </c>
      <c r="R2147" s="1">
        <f>2*Table1[[#This Row],[Std Error]]</f>
        <v>0</v>
      </c>
      <c r="S2147" s="1" t="str">
        <f>IF(Table1[[#This Row],[High Tol]]="","N/A",IFERROR(ABS(Table1[[#This Row],[Tol Span]]/Table1[[#This Row],[Error Span]]),"N/A"))</f>
        <v>N/A</v>
      </c>
      <c r="T2147" s="1" t="str">
        <f>IF(OR(Table1[[#This Row],[Low Tol]]="",Table1[[#This Row],[High Tol]]=""),"Needs Analysis",IF(Table1[[#This Row],[Ratio]]&gt;=4,"Not Significant",IF(Table1[[#This Row],[Ratio]]&gt;=2,"Semi-Significant","Significant")))</f>
        <v>Needs Analysis</v>
      </c>
      <c r="W2147" s="1">
        <f>IF(Table1[[#This Row],[Cal Type]]&lt;&gt;"ACCREDITED 17025 WITH UNCERTAINTIES",0,"")</f>
        <v>0</v>
      </c>
      <c r="X2147" s="1" t="str">
        <f>IF(Table1[[#This Row],[DUT Read]]="","N/A",Table1[[#This Row],[Std Error]]+Table1[[#This Row],[DUT Read]]+Table1[[#This Row],[DUT Ucty]])</f>
        <v>N/A</v>
      </c>
      <c r="Y2147" s="1" t="str">
        <f>IF(Table1[[#This Row],[Std Read]]="","N/A",Table1[[#This Row],[Std Read]]+Table1[[#This Row],[Std Ucty]])</f>
        <v>N/A</v>
      </c>
      <c r="Z21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7" s="1" t="str">
        <f>IF(Table1[[#This Row],[Spec Type]]="","N/A",Table1[[#This Row],[Spec Type]])</f>
        <v>±</v>
      </c>
      <c r="AC2147" s="1" t="str">
        <f>IF(Table1[[#This Row],[Spec Type2]]="N/A","N/A",IF(AND(Table1[[#This Row],[DUT Adj Read]]&gt;=Table1[[#This Row],[Low Tol]],Table1[[#This Row],[DUT Adj Read]]&lt;=Table1[[#This Row],[High Tol]]),"Pass","Fail"))</f>
        <v>Fail</v>
      </c>
      <c r="AD2147" s="1" t="str">
        <f>IF(AND(Table1[[#This Row],[Spec Type2]]="N/A",Table1[[#This Row],[DUT Adj Read]]="N/A",Table1[[#This Row],[Std Adj Read]]="N/A"),"N/A",IF(Table1[[#This Row],[DUT Adj Read]]="N/A",IF(Table1[[#This Row],[Std Adj Read]]&gt;Table1[[#This Row],[Low Tol]],"Pass","Fail"),IF(Table1[[#This Row],[DUT Adj Read]]&gt;Table1[[#This Row],[Low Tol]],"Pass","Fail")))</f>
        <v>Pass</v>
      </c>
      <c r="AE2147" s="1" t="str">
        <f>IF(AND(Table1[[#This Row],[Spec Type2]]="N/A",Table1[[#This Row],[DUT Adj Read]]="N/A",Table1[[#This Row],[Std Adj Read]]="N/A"),"N/A",IF(Table1[[#This Row],[DUT Adj Read]]="N/A",IF(Table1[[#This Row],[Std Adj Read]]&lt;Table1[[#This Row],[High Tol]],"Pass","Fail"),IF(Table1[[#This Row],[DUT Adj Read]]&lt;Table1[[#This Row],[High Tol]],"Pass","Fail")))</f>
        <v>Fail</v>
      </c>
      <c r="AF2147" s="1" t="str">
        <f>IF(AND(Table1[[#This Row],[Spec Type2]]="N/A",Table1[[#This Row],[DUT Adj Read]]="N/A",Table1[[#This Row],[Std Adj Read]]="N/A"),"N/A",IF(Table1[[#This Row],[DUT Adj Read]]="N/A",IF(Table1[[#This Row],[Std Adj Read]]&gt;=Table1[[#This Row],[Low Tol]],"Pass","Fail"),IF(Table1[[#This Row],[DUT Adj Read]]&gt;=Table1[[#This Row],[Low Tol]],"Pass","Fail")))</f>
        <v>Pass</v>
      </c>
      <c r="AG2147" s="1" t="str">
        <f>IF(AND(Table1[[#This Row],[Spec Type2]]="N/A",Table1[[#This Row],[DUT Adj Read]]="N/A",Table1[[#This Row],[Std Adj Read]]="N/A"),"N/A",IF(Table1[[#This Row],[DUT Adj Read]]="N/A",IF(Table1[[#This Row],[Std Adj Read]]&lt;=Table1[[#This Row],[High Tol]],"Pass","Fail"),IF(Table1[[#This Row],[DUT Adj Read]]&lt;=Table1[[#This Row],[High Tol]],"Pass","Fail")))</f>
        <v>Fail</v>
      </c>
      <c r="AH21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7" s="1" t="b">
        <v>0</v>
      </c>
      <c r="AN2147" s="1" t="b">
        <v>0</v>
      </c>
      <c r="AO2147" s="1" t="b">
        <v>0</v>
      </c>
    </row>
    <row r="2148" spans="1:41" x14ac:dyDescent="0.25">
      <c r="A2148" s="10"/>
      <c r="B2148" s="10"/>
      <c r="C2148" s="10"/>
      <c r="D2148" s="10"/>
      <c r="E2148" s="10"/>
      <c r="F2148" s="10"/>
      <c r="G2148" s="10"/>
      <c r="H2148" s="10"/>
      <c r="I2148" s="1" t="str">
        <f t="shared" si="99"/>
        <v/>
      </c>
      <c r="J2148" s="1" t="s">
        <v>35</v>
      </c>
      <c r="K2148" s="1" t="str">
        <f t="shared" si="100"/>
        <v/>
      </c>
      <c r="L2148" s="1" t="str">
        <f t="shared" si="101"/>
        <v/>
      </c>
      <c r="M2148" s="1">
        <f>IF(OR(Table1[[#This Row],[Std Nom]]="",Table1[[#This Row],[Std Read]]=""),0,Table1[[#This Row],[Std Nom]]-Table1[[#This Row],[Std Read]])</f>
        <v>0</v>
      </c>
      <c r="N2148" s="1">
        <f>IF(Calculations!$F$5="ACCREDITED 17025 WITH UNCERTAINTIES",$N$10,0)</f>
        <v>0</v>
      </c>
      <c r="Q2148" s="1">
        <f>Table1[[#This Row],[High Tol]]-Table1[[#This Row],[Low Tol]]</f>
        <v>0</v>
      </c>
      <c r="R2148" s="1">
        <f>2*Table1[[#This Row],[Std Error]]</f>
        <v>0</v>
      </c>
      <c r="S2148" s="1" t="str">
        <f>IF(Table1[[#This Row],[High Tol]]="","N/A",IFERROR(ABS(Table1[[#This Row],[Tol Span]]/Table1[[#This Row],[Error Span]]),"N/A"))</f>
        <v>N/A</v>
      </c>
      <c r="T2148" s="1" t="str">
        <f>IF(OR(Table1[[#This Row],[Low Tol]]="",Table1[[#This Row],[High Tol]]=""),"Needs Analysis",IF(Table1[[#This Row],[Ratio]]&gt;=4,"Not Significant",IF(Table1[[#This Row],[Ratio]]&gt;=2,"Semi-Significant","Significant")))</f>
        <v>Needs Analysis</v>
      </c>
      <c r="W2148" s="1">
        <f>IF(Table1[[#This Row],[Cal Type]]&lt;&gt;"ACCREDITED 17025 WITH UNCERTAINTIES",0,"")</f>
        <v>0</v>
      </c>
      <c r="X2148" s="1" t="str">
        <f>IF(Table1[[#This Row],[DUT Read]]="","N/A",Table1[[#This Row],[Std Error]]+Table1[[#This Row],[DUT Read]]+Table1[[#This Row],[DUT Ucty]])</f>
        <v>N/A</v>
      </c>
      <c r="Y2148" s="1" t="str">
        <f>IF(Table1[[#This Row],[Std Read]]="","N/A",Table1[[#This Row],[Std Read]]+Table1[[#This Row],[Std Ucty]])</f>
        <v>N/A</v>
      </c>
      <c r="Z21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8" s="1" t="str">
        <f>IF(Table1[[#This Row],[Spec Type]]="","N/A",Table1[[#This Row],[Spec Type]])</f>
        <v>±</v>
      </c>
      <c r="AC2148" s="1" t="str">
        <f>IF(Table1[[#This Row],[Spec Type2]]="N/A","N/A",IF(AND(Table1[[#This Row],[DUT Adj Read]]&gt;=Table1[[#This Row],[Low Tol]],Table1[[#This Row],[DUT Adj Read]]&lt;=Table1[[#This Row],[High Tol]]),"Pass","Fail"))</f>
        <v>Fail</v>
      </c>
      <c r="AD2148" s="1" t="str">
        <f>IF(AND(Table1[[#This Row],[Spec Type2]]="N/A",Table1[[#This Row],[DUT Adj Read]]="N/A",Table1[[#This Row],[Std Adj Read]]="N/A"),"N/A",IF(Table1[[#This Row],[DUT Adj Read]]="N/A",IF(Table1[[#This Row],[Std Adj Read]]&gt;Table1[[#This Row],[Low Tol]],"Pass","Fail"),IF(Table1[[#This Row],[DUT Adj Read]]&gt;Table1[[#This Row],[Low Tol]],"Pass","Fail")))</f>
        <v>Pass</v>
      </c>
      <c r="AE2148" s="1" t="str">
        <f>IF(AND(Table1[[#This Row],[Spec Type2]]="N/A",Table1[[#This Row],[DUT Adj Read]]="N/A",Table1[[#This Row],[Std Adj Read]]="N/A"),"N/A",IF(Table1[[#This Row],[DUT Adj Read]]="N/A",IF(Table1[[#This Row],[Std Adj Read]]&lt;Table1[[#This Row],[High Tol]],"Pass","Fail"),IF(Table1[[#This Row],[DUT Adj Read]]&lt;Table1[[#This Row],[High Tol]],"Pass","Fail")))</f>
        <v>Fail</v>
      </c>
      <c r="AF2148" s="1" t="str">
        <f>IF(AND(Table1[[#This Row],[Spec Type2]]="N/A",Table1[[#This Row],[DUT Adj Read]]="N/A",Table1[[#This Row],[Std Adj Read]]="N/A"),"N/A",IF(Table1[[#This Row],[DUT Adj Read]]="N/A",IF(Table1[[#This Row],[Std Adj Read]]&gt;=Table1[[#This Row],[Low Tol]],"Pass","Fail"),IF(Table1[[#This Row],[DUT Adj Read]]&gt;=Table1[[#This Row],[Low Tol]],"Pass","Fail")))</f>
        <v>Pass</v>
      </c>
      <c r="AG2148" s="1" t="str">
        <f>IF(AND(Table1[[#This Row],[Spec Type2]]="N/A",Table1[[#This Row],[DUT Adj Read]]="N/A",Table1[[#This Row],[Std Adj Read]]="N/A"),"N/A",IF(Table1[[#This Row],[DUT Adj Read]]="N/A",IF(Table1[[#This Row],[Std Adj Read]]&lt;=Table1[[#This Row],[High Tol]],"Pass","Fail"),IF(Table1[[#This Row],[DUT Adj Read]]&lt;=Table1[[#This Row],[High Tol]],"Pass","Fail")))</f>
        <v>Fail</v>
      </c>
      <c r="AH21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8" s="1" t="b">
        <v>0</v>
      </c>
      <c r="AN2148" s="1" t="b">
        <v>0</v>
      </c>
      <c r="AO2148" s="1" t="b">
        <v>0</v>
      </c>
    </row>
    <row r="2149" spans="1:41" x14ac:dyDescent="0.25">
      <c r="A2149" s="10"/>
      <c r="B2149" s="10"/>
      <c r="C2149" s="10"/>
      <c r="D2149" s="10"/>
      <c r="E2149" s="10"/>
      <c r="F2149" s="10"/>
      <c r="G2149" s="10"/>
      <c r="H2149" s="10"/>
      <c r="I2149" s="1" t="str">
        <f t="shared" si="99"/>
        <v/>
      </c>
      <c r="J2149" s="1" t="s">
        <v>35</v>
      </c>
      <c r="K2149" s="1" t="str">
        <f t="shared" si="100"/>
        <v/>
      </c>
      <c r="L2149" s="1" t="str">
        <f t="shared" si="101"/>
        <v/>
      </c>
      <c r="M2149" s="1">
        <f>IF(OR(Table1[[#This Row],[Std Nom]]="",Table1[[#This Row],[Std Read]]=""),0,Table1[[#This Row],[Std Nom]]-Table1[[#This Row],[Std Read]])</f>
        <v>0</v>
      </c>
      <c r="N2149" s="1">
        <f>IF(Calculations!$F$5="ACCREDITED 17025 WITH UNCERTAINTIES",$N$10,0)</f>
        <v>0</v>
      </c>
      <c r="Q2149" s="1">
        <f>Table1[[#This Row],[High Tol]]-Table1[[#This Row],[Low Tol]]</f>
        <v>0</v>
      </c>
      <c r="R2149" s="1">
        <f>2*Table1[[#This Row],[Std Error]]</f>
        <v>0</v>
      </c>
      <c r="S2149" s="1" t="str">
        <f>IF(Table1[[#This Row],[High Tol]]="","N/A",IFERROR(ABS(Table1[[#This Row],[Tol Span]]/Table1[[#This Row],[Error Span]]),"N/A"))</f>
        <v>N/A</v>
      </c>
      <c r="T2149" s="1" t="str">
        <f>IF(OR(Table1[[#This Row],[Low Tol]]="",Table1[[#This Row],[High Tol]]=""),"Needs Analysis",IF(Table1[[#This Row],[Ratio]]&gt;=4,"Not Significant",IF(Table1[[#This Row],[Ratio]]&gt;=2,"Semi-Significant","Significant")))</f>
        <v>Needs Analysis</v>
      </c>
      <c r="W2149" s="1">
        <f>IF(Table1[[#This Row],[Cal Type]]&lt;&gt;"ACCREDITED 17025 WITH UNCERTAINTIES",0,"")</f>
        <v>0</v>
      </c>
      <c r="X2149" s="1" t="str">
        <f>IF(Table1[[#This Row],[DUT Read]]="","N/A",Table1[[#This Row],[Std Error]]+Table1[[#This Row],[DUT Read]]+Table1[[#This Row],[DUT Ucty]])</f>
        <v>N/A</v>
      </c>
      <c r="Y2149" s="1" t="str">
        <f>IF(Table1[[#This Row],[Std Read]]="","N/A",Table1[[#This Row],[Std Read]]+Table1[[#This Row],[Std Ucty]])</f>
        <v>N/A</v>
      </c>
      <c r="Z21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49" s="1" t="str">
        <f>IF(Table1[[#This Row],[Spec Type]]="","N/A",Table1[[#This Row],[Spec Type]])</f>
        <v>±</v>
      </c>
      <c r="AC2149" s="1" t="str">
        <f>IF(Table1[[#This Row],[Spec Type2]]="N/A","N/A",IF(AND(Table1[[#This Row],[DUT Adj Read]]&gt;=Table1[[#This Row],[Low Tol]],Table1[[#This Row],[DUT Adj Read]]&lt;=Table1[[#This Row],[High Tol]]),"Pass","Fail"))</f>
        <v>Fail</v>
      </c>
      <c r="AD2149" s="1" t="str">
        <f>IF(AND(Table1[[#This Row],[Spec Type2]]="N/A",Table1[[#This Row],[DUT Adj Read]]="N/A",Table1[[#This Row],[Std Adj Read]]="N/A"),"N/A",IF(Table1[[#This Row],[DUT Adj Read]]="N/A",IF(Table1[[#This Row],[Std Adj Read]]&gt;Table1[[#This Row],[Low Tol]],"Pass","Fail"),IF(Table1[[#This Row],[DUT Adj Read]]&gt;Table1[[#This Row],[Low Tol]],"Pass","Fail")))</f>
        <v>Pass</v>
      </c>
      <c r="AE2149" s="1" t="str">
        <f>IF(AND(Table1[[#This Row],[Spec Type2]]="N/A",Table1[[#This Row],[DUT Adj Read]]="N/A",Table1[[#This Row],[Std Adj Read]]="N/A"),"N/A",IF(Table1[[#This Row],[DUT Adj Read]]="N/A",IF(Table1[[#This Row],[Std Adj Read]]&lt;Table1[[#This Row],[High Tol]],"Pass","Fail"),IF(Table1[[#This Row],[DUT Adj Read]]&lt;Table1[[#This Row],[High Tol]],"Pass","Fail")))</f>
        <v>Fail</v>
      </c>
      <c r="AF2149" s="1" t="str">
        <f>IF(AND(Table1[[#This Row],[Spec Type2]]="N/A",Table1[[#This Row],[DUT Adj Read]]="N/A",Table1[[#This Row],[Std Adj Read]]="N/A"),"N/A",IF(Table1[[#This Row],[DUT Adj Read]]="N/A",IF(Table1[[#This Row],[Std Adj Read]]&gt;=Table1[[#This Row],[Low Tol]],"Pass","Fail"),IF(Table1[[#This Row],[DUT Adj Read]]&gt;=Table1[[#This Row],[Low Tol]],"Pass","Fail")))</f>
        <v>Pass</v>
      </c>
      <c r="AG2149" s="1" t="str">
        <f>IF(AND(Table1[[#This Row],[Spec Type2]]="N/A",Table1[[#This Row],[DUT Adj Read]]="N/A",Table1[[#This Row],[Std Adj Read]]="N/A"),"N/A",IF(Table1[[#This Row],[DUT Adj Read]]="N/A",IF(Table1[[#This Row],[Std Adj Read]]&lt;=Table1[[#This Row],[High Tol]],"Pass","Fail"),IF(Table1[[#This Row],[DUT Adj Read]]&lt;=Table1[[#This Row],[High Tol]],"Pass","Fail")))</f>
        <v>Fail</v>
      </c>
      <c r="AH21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49" s="1" t="b">
        <v>0</v>
      </c>
      <c r="AN2149" s="1" t="b">
        <v>0</v>
      </c>
      <c r="AO2149" s="1" t="b">
        <v>0</v>
      </c>
    </row>
    <row r="2150" spans="1:41" x14ac:dyDescent="0.25">
      <c r="A2150" s="10"/>
      <c r="B2150" s="10"/>
      <c r="C2150" s="10"/>
      <c r="D2150" s="10"/>
      <c r="E2150" s="10"/>
      <c r="F2150" s="10"/>
      <c r="G2150" s="10"/>
      <c r="H2150" s="10"/>
      <c r="I2150" s="1" t="str">
        <f t="shared" si="99"/>
        <v/>
      </c>
      <c r="J2150" s="1" t="s">
        <v>35</v>
      </c>
      <c r="K2150" s="1" t="str">
        <f t="shared" si="100"/>
        <v/>
      </c>
      <c r="L2150" s="1" t="str">
        <f t="shared" si="101"/>
        <v/>
      </c>
      <c r="M2150" s="1">
        <f>IF(OR(Table1[[#This Row],[Std Nom]]="",Table1[[#This Row],[Std Read]]=""),0,Table1[[#This Row],[Std Nom]]-Table1[[#This Row],[Std Read]])</f>
        <v>0</v>
      </c>
      <c r="N2150" s="1">
        <f>IF(Calculations!$F$5="ACCREDITED 17025 WITH UNCERTAINTIES",$N$10,0)</f>
        <v>0</v>
      </c>
      <c r="Q2150" s="1">
        <f>Table1[[#This Row],[High Tol]]-Table1[[#This Row],[Low Tol]]</f>
        <v>0</v>
      </c>
      <c r="R2150" s="1">
        <f>2*Table1[[#This Row],[Std Error]]</f>
        <v>0</v>
      </c>
      <c r="S2150" s="1" t="str">
        <f>IF(Table1[[#This Row],[High Tol]]="","N/A",IFERROR(ABS(Table1[[#This Row],[Tol Span]]/Table1[[#This Row],[Error Span]]),"N/A"))</f>
        <v>N/A</v>
      </c>
      <c r="T2150" s="1" t="str">
        <f>IF(OR(Table1[[#This Row],[Low Tol]]="",Table1[[#This Row],[High Tol]]=""),"Needs Analysis",IF(Table1[[#This Row],[Ratio]]&gt;=4,"Not Significant",IF(Table1[[#This Row],[Ratio]]&gt;=2,"Semi-Significant","Significant")))</f>
        <v>Needs Analysis</v>
      </c>
      <c r="W2150" s="1">
        <f>IF(Table1[[#This Row],[Cal Type]]&lt;&gt;"ACCREDITED 17025 WITH UNCERTAINTIES",0,"")</f>
        <v>0</v>
      </c>
      <c r="X2150" s="1" t="str">
        <f>IF(Table1[[#This Row],[DUT Read]]="","N/A",Table1[[#This Row],[Std Error]]+Table1[[#This Row],[DUT Read]]+Table1[[#This Row],[DUT Ucty]])</f>
        <v>N/A</v>
      </c>
      <c r="Y2150" s="1" t="str">
        <f>IF(Table1[[#This Row],[Std Read]]="","N/A",Table1[[#This Row],[Std Read]]+Table1[[#This Row],[Std Ucty]])</f>
        <v>N/A</v>
      </c>
      <c r="Z21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0" s="1" t="str">
        <f>IF(Table1[[#This Row],[Spec Type]]="","N/A",Table1[[#This Row],[Spec Type]])</f>
        <v>±</v>
      </c>
      <c r="AC2150" s="1" t="str">
        <f>IF(Table1[[#This Row],[Spec Type2]]="N/A","N/A",IF(AND(Table1[[#This Row],[DUT Adj Read]]&gt;=Table1[[#This Row],[Low Tol]],Table1[[#This Row],[DUT Adj Read]]&lt;=Table1[[#This Row],[High Tol]]),"Pass","Fail"))</f>
        <v>Fail</v>
      </c>
      <c r="AD2150" s="1" t="str">
        <f>IF(AND(Table1[[#This Row],[Spec Type2]]="N/A",Table1[[#This Row],[DUT Adj Read]]="N/A",Table1[[#This Row],[Std Adj Read]]="N/A"),"N/A",IF(Table1[[#This Row],[DUT Adj Read]]="N/A",IF(Table1[[#This Row],[Std Adj Read]]&gt;Table1[[#This Row],[Low Tol]],"Pass","Fail"),IF(Table1[[#This Row],[DUT Adj Read]]&gt;Table1[[#This Row],[Low Tol]],"Pass","Fail")))</f>
        <v>Pass</v>
      </c>
      <c r="AE2150" s="1" t="str">
        <f>IF(AND(Table1[[#This Row],[Spec Type2]]="N/A",Table1[[#This Row],[DUT Adj Read]]="N/A",Table1[[#This Row],[Std Adj Read]]="N/A"),"N/A",IF(Table1[[#This Row],[DUT Adj Read]]="N/A",IF(Table1[[#This Row],[Std Adj Read]]&lt;Table1[[#This Row],[High Tol]],"Pass","Fail"),IF(Table1[[#This Row],[DUT Adj Read]]&lt;Table1[[#This Row],[High Tol]],"Pass","Fail")))</f>
        <v>Fail</v>
      </c>
      <c r="AF2150" s="1" t="str">
        <f>IF(AND(Table1[[#This Row],[Spec Type2]]="N/A",Table1[[#This Row],[DUT Adj Read]]="N/A",Table1[[#This Row],[Std Adj Read]]="N/A"),"N/A",IF(Table1[[#This Row],[DUT Adj Read]]="N/A",IF(Table1[[#This Row],[Std Adj Read]]&gt;=Table1[[#This Row],[Low Tol]],"Pass","Fail"),IF(Table1[[#This Row],[DUT Adj Read]]&gt;=Table1[[#This Row],[Low Tol]],"Pass","Fail")))</f>
        <v>Pass</v>
      </c>
      <c r="AG2150" s="1" t="str">
        <f>IF(AND(Table1[[#This Row],[Spec Type2]]="N/A",Table1[[#This Row],[DUT Adj Read]]="N/A",Table1[[#This Row],[Std Adj Read]]="N/A"),"N/A",IF(Table1[[#This Row],[DUT Adj Read]]="N/A",IF(Table1[[#This Row],[Std Adj Read]]&lt;=Table1[[#This Row],[High Tol]],"Pass","Fail"),IF(Table1[[#This Row],[DUT Adj Read]]&lt;=Table1[[#This Row],[High Tol]],"Pass","Fail")))</f>
        <v>Fail</v>
      </c>
      <c r="AH21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0" s="1" t="b">
        <v>0</v>
      </c>
      <c r="AN2150" s="1" t="b">
        <v>0</v>
      </c>
      <c r="AO2150" s="1" t="b">
        <v>0</v>
      </c>
    </row>
    <row r="2151" spans="1:41" x14ac:dyDescent="0.25">
      <c r="A2151" s="10"/>
      <c r="B2151" s="10"/>
      <c r="C2151" s="10"/>
      <c r="D2151" s="10"/>
      <c r="E2151" s="10"/>
      <c r="F2151" s="10"/>
      <c r="G2151" s="10"/>
      <c r="H2151" s="10"/>
      <c r="I2151" s="1" t="str">
        <f t="shared" si="99"/>
        <v/>
      </c>
      <c r="J2151" s="1" t="s">
        <v>35</v>
      </c>
      <c r="K2151" s="1" t="str">
        <f t="shared" si="100"/>
        <v/>
      </c>
      <c r="L2151" s="1" t="str">
        <f t="shared" si="101"/>
        <v/>
      </c>
      <c r="M2151" s="1">
        <f>IF(OR(Table1[[#This Row],[Std Nom]]="",Table1[[#This Row],[Std Read]]=""),0,Table1[[#This Row],[Std Nom]]-Table1[[#This Row],[Std Read]])</f>
        <v>0</v>
      </c>
      <c r="N2151" s="1">
        <f>IF(Calculations!$F$5="ACCREDITED 17025 WITH UNCERTAINTIES",$N$10,0)</f>
        <v>0</v>
      </c>
      <c r="Q2151" s="1">
        <f>Table1[[#This Row],[High Tol]]-Table1[[#This Row],[Low Tol]]</f>
        <v>0</v>
      </c>
      <c r="R2151" s="1">
        <f>2*Table1[[#This Row],[Std Error]]</f>
        <v>0</v>
      </c>
      <c r="S2151" s="1" t="str">
        <f>IF(Table1[[#This Row],[High Tol]]="","N/A",IFERROR(ABS(Table1[[#This Row],[Tol Span]]/Table1[[#This Row],[Error Span]]),"N/A"))</f>
        <v>N/A</v>
      </c>
      <c r="T2151" s="1" t="str">
        <f>IF(OR(Table1[[#This Row],[Low Tol]]="",Table1[[#This Row],[High Tol]]=""),"Needs Analysis",IF(Table1[[#This Row],[Ratio]]&gt;=4,"Not Significant",IF(Table1[[#This Row],[Ratio]]&gt;=2,"Semi-Significant","Significant")))</f>
        <v>Needs Analysis</v>
      </c>
      <c r="W2151" s="1">
        <f>IF(Table1[[#This Row],[Cal Type]]&lt;&gt;"ACCREDITED 17025 WITH UNCERTAINTIES",0,"")</f>
        <v>0</v>
      </c>
      <c r="X2151" s="1" t="str">
        <f>IF(Table1[[#This Row],[DUT Read]]="","N/A",Table1[[#This Row],[Std Error]]+Table1[[#This Row],[DUT Read]]+Table1[[#This Row],[DUT Ucty]])</f>
        <v>N/A</v>
      </c>
      <c r="Y2151" s="1" t="str">
        <f>IF(Table1[[#This Row],[Std Read]]="","N/A",Table1[[#This Row],[Std Read]]+Table1[[#This Row],[Std Ucty]])</f>
        <v>N/A</v>
      </c>
      <c r="Z21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1" s="1" t="str">
        <f>IF(Table1[[#This Row],[Spec Type]]="","N/A",Table1[[#This Row],[Spec Type]])</f>
        <v>±</v>
      </c>
      <c r="AC2151" s="1" t="str">
        <f>IF(Table1[[#This Row],[Spec Type2]]="N/A","N/A",IF(AND(Table1[[#This Row],[DUT Adj Read]]&gt;=Table1[[#This Row],[Low Tol]],Table1[[#This Row],[DUT Adj Read]]&lt;=Table1[[#This Row],[High Tol]]),"Pass","Fail"))</f>
        <v>Fail</v>
      </c>
      <c r="AD2151" s="1" t="str">
        <f>IF(AND(Table1[[#This Row],[Spec Type2]]="N/A",Table1[[#This Row],[DUT Adj Read]]="N/A",Table1[[#This Row],[Std Adj Read]]="N/A"),"N/A",IF(Table1[[#This Row],[DUT Adj Read]]="N/A",IF(Table1[[#This Row],[Std Adj Read]]&gt;Table1[[#This Row],[Low Tol]],"Pass","Fail"),IF(Table1[[#This Row],[DUT Adj Read]]&gt;Table1[[#This Row],[Low Tol]],"Pass","Fail")))</f>
        <v>Pass</v>
      </c>
      <c r="AE2151" s="1" t="str">
        <f>IF(AND(Table1[[#This Row],[Spec Type2]]="N/A",Table1[[#This Row],[DUT Adj Read]]="N/A",Table1[[#This Row],[Std Adj Read]]="N/A"),"N/A",IF(Table1[[#This Row],[DUT Adj Read]]="N/A",IF(Table1[[#This Row],[Std Adj Read]]&lt;Table1[[#This Row],[High Tol]],"Pass","Fail"),IF(Table1[[#This Row],[DUT Adj Read]]&lt;Table1[[#This Row],[High Tol]],"Pass","Fail")))</f>
        <v>Fail</v>
      </c>
      <c r="AF2151" s="1" t="str">
        <f>IF(AND(Table1[[#This Row],[Spec Type2]]="N/A",Table1[[#This Row],[DUT Adj Read]]="N/A",Table1[[#This Row],[Std Adj Read]]="N/A"),"N/A",IF(Table1[[#This Row],[DUT Adj Read]]="N/A",IF(Table1[[#This Row],[Std Adj Read]]&gt;=Table1[[#This Row],[Low Tol]],"Pass","Fail"),IF(Table1[[#This Row],[DUT Adj Read]]&gt;=Table1[[#This Row],[Low Tol]],"Pass","Fail")))</f>
        <v>Pass</v>
      </c>
      <c r="AG2151" s="1" t="str">
        <f>IF(AND(Table1[[#This Row],[Spec Type2]]="N/A",Table1[[#This Row],[DUT Adj Read]]="N/A",Table1[[#This Row],[Std Adj Read]]="N/A"),"N/A",IF(Table1[[#This Row],[DUT Adj Read]]="N/A",IF(Table1[[#This Row],[Std Adj Read]]&lt;=Table1[[#This Row],[High Tol]],"Pass","Fail"),IF(Table1[[#This Row],[DUT Adj Read]]&lt;=Table1[[#This Row],[High Tol]],"Pass","Fail")))</f>
        <v>Fail</v>
      </c>
      <c r="AH21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1" s="1" t="b">
        <v>0</v>
      </c>
      <c r="AN2151" s="1" t="b">
        <v>0</v>
      </c>
      <c r="AO2151" s="1" t="b">
        <v>0</v>
      </c>
    </row>
    <row r="2152" spans="1:41" x14ac:dyDescent="0.25">
      <c r="A2152" s="10"/>
      <c r="B2152" s="10"/>
      <c r="C2152" s="10"/>
      <c r="D2152" s="10"/>
      <c r="E2152" s="10"/>
      <c r="F2152" s="10"/>
      <c r="G2152" s="10"/>
      <c r="H2152" s="10"/>
      <c r="I2152" s="1" t="str">
        <f t="shared" si="99"/>
        <v/>
      </c>
      <c r="J2152" s="1" t="s">
        <v>35</v>
      </c>
      <c r="K2152" s="1" t="str">
        <f t="shared" si="100"/>
        <v/>
      </c>
      <c r="L2152" s="1" t="str">
        <f t="shared" si="101"/>
        <v/>
      </c>
      <c r="M2152" s="1">
        <f>IF(OR(Table1[[#This Row],[Std Nom]]="",Table1[[#This Row],[Std Read]]=""),0,Table1[[#This Row],[Std Nom]]-Table1[[#This Row],[Std Read]])</f>
        <v>0</v>
      </c>
      <c r="N2152" s="1">
        <f>IF(Calculations!$F$5="ACCREDITED 17025 WITH UNCERTAINTIES",$N$10,0)</f>
        <v>0</v>
      </c>
      <c r="Q2152" s="1">
        <f>Table1[[#This Row],[High Tol]]-Table1[[#This Row],[Low Tol]]</f>
        <v>0</v>
      </c>
      <c r="R2152" s="1">
        <f>2*Table1[[#This Row],[Std Error]]</f>
        <v>0</v>
      </c>
      <c r="S2152" s="1" t="str">
        <f>IF(Table1[[#This Row],[High Tol]]="","N/A",IFERROR(ABS(Table1[[#This Row],[Tol Span]]/Table1[[#This Row],[Error Span]]),"N/A"))</f>
        <v>N/A</v>
      </c>
      <c r="T2152" s="1" t="str">
        <f>IF(OR(Table1[[#This Row],[Low Tol]]="",Table1[[#This Row],[High Tol]]=""),"Needs Analysis",IF(Table1[[#This Row],[Ratio]]&gt;=4,"Not Significant",IF(Table1[[#This Row],[Ratio]]&gt;=2,"Semi-Significant","Significant")))</f>
        <v>Needs Analysis</v>
      </c>
      <c r="W2152" s="1">
        <f>IF(Table1[[#This Row],[Cal Type]]&lt;&gt;"ACCREDITED 17025 WITH UNCERTAINTIES",0,"")</f>
        <v>0</v>
      </c>
      <c r="X2152" s="1" t="str">
        <f>IF(Table1[[#This Row],[DUT Read]]="","N/A",Table1[[#This Row],[Std Error]]+Table1[[#This Row],[DUT Read]]+Table1[[#This Row],[DUT Ucty]])</f>
        <v>N/A</v>
      </c>
      <c r="Y2152" s="1" t="str">
        <f>IF(Table1[[#This Row],[Std Read]]="","N/A",Table1[[#This Row],[Std Read]]+Table1[[#This Row],[Std Ucty]])</f>
        <v>N/A</v>
      </c>
      <c r="Z21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2" s="1" t="str">
        <f>IF(Table1[[#This Row],[Spec Type]]="","N/A",Table1[[#This Row],[Spec Type]])</f>
        <v>±</v>
      </c>
      <c r="AC2152" s="1" t="str">
        <f>IF(Table1[[#This Row],[Spec Type2]]="N/A","N/A",IF(AND(Table1[[#This Row],[DUT Adj Read]]&gt;=Table1[[#This Row],[Low Tol]],Table1[[#This Row],[DUT Adj Read]]&lt;=Table1[[#This Row],[High Tol]]),"Pass","Fail"))</f>
        <v>Fail</v>
      </c>
      <c r="AD2152" s="1" t="str">
        <f>IF(AND(Table1[[#This Row],[Spec Type2]]="N/A",Table1[[#This Row],[DUT Adj Read]]="N/A",Table1[[#This Row],[Std Adj Read]]="N/A"),"N/A",IF(Table1[[#This Row],[DUT Adj Read]]="N/A",IF(Table1[[#This Row],[Std Adj Read]]&gt;Table1[[#This Row],[Low Tol]],"Pass","Fail"),IF(Table1[[#This Row],[DUT Adj Read]]&gt;Table1[[#This Row],[Low Tol]],"Pass","Fail")))</f>
        <v>Pass</v>
      </c>
      <c r="AE2152" s="1" t="str">
        <f>IF(AND(Table1[[#This Row],[Spec Type2]]="N/A",Table1[[#This Row],[DUT Adj Read]]="N/A",Table1[[#This Row],[Std Adj Read]]="N/A"),"N/A",IF(Table1[[#This Row],[DUT Adj Read]]="N/A",IF(Table1[[#This Row],[Std Adj Read]]&lt;Table1[[#This Row],[High Tol]],"Pass","Fail"),IF(Table1[[#This Row],[DUT Adj Read]]&lt;Table1[[#This Row],[High Tol]],"Pass","Fail")))</f>
        <v>Fail</v>
      </c>
      <c r="AF2152" s="1" t="str">
        <f>IF(AND(Table1[[#This Row],[Spec Type2]]="N/A",Table1[[#This Row],[DUT Adj Read]]="N/A",Table1[[#This Row],[Std Adj Read]]="N/A"),"N/A",IF(Table1[[#This Row],[DUT Adj Read]]="N/A",IF(Table1[[#This Row],[Std Adj Read]]&gt;=Table1[[#This Row],[Low Tol]],"Pass","Fail"),IF(Table1[[#This Row],[DUT Adj Read]]&gt;=Table1[[#This Row],[Low Tol]],"Pass","Fail")))</f>
        <v>Pass</v>
      </c>
      <c r="AG2152" s="1" t="str">
        <f>IF(AND(Table1[[#This Row],[Spec Type2]]="N/A",Table1[[#This Row],[DUT Adj Read]]="N/A",Table1[[#This Row],[Std Adj Read]]="N/A"),"N/A",IF(Table1[[#This Row],[DUT Adj Read]]="N/A",IF(Table1[[#This Row],[Std Adj Read]]&lt;=Table1[[#This Row],[High Tol]],"Pass","Fail"),IF(Table1[[#This Row],[DUT Adj Read]]&lt;=Table1[[#This Row],[High Tol]],"Pass","Fail")))</f>
        <v>Fail</v>
      </c>
      <c r="AH21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2" s="1" t="b">
        <v>0</v>
      </c>
      <c r="AN2152" s="1" t="b">
        <v>0</v>
      </c>
      <c r="AO2152" s="1" t="b">
        <v>0</v>
      </c>
    </row>
    <row r="2153" spans="1:41" x14ac:dyDescent="0.25">
      <c r="A2153" s="10"/>
      <c r="B2153" s="10"/>
      <c r="C2153" s="10"/>
      <c r="D2153" s="10"/>
      <c r="E2153" s="10"/>
      <c r="F2153" s="10"/>
      <c r="G2153" s="10"/>
      <c r="H2153" s="10"/>
      <c r="I2153" s="1" t="str">
        <f t="shared" si="99"/>
        <v/>
      </c>
      <c r="J2153" s="1" t="s">
        <v>35</v>
      </c>
      <c r="K2153" s="1" t="str">
        <f t="shared" si="100"/>
        <v/>
      </c>
      <c r="L2153" s="1" t="str">
        <f t="shared" si="101"/>
        <v/>
      </c>
      <c r="M2153" s="1">
        <f>IF(OR(Table1[[#This Row],[Std Nom]]="",Table1[[#This Row],[Std Read]]=""),0,Table1[[#This Row],[Std Nom]]-Table1[[#This Row],[Std Read]])</f>
        <v>0</v>
      </c>
      <c r="N2153" s="1">
        <f>IF(Calculations!$F$5="ACCREDITED 17025 WITH UNCERTAINTIES",$N$10,0)</f>
        <v>0</v>
      </c>
      <c r="Q2153" s="1">
        <f>Table1[[#This Row],[High Tol]]-Table1[[#This Row],[Low Tol]]</f>
        <v>0</v>
      </c>
      <c r="R2153" s="1">
        <f>2*Table1[[#This Row],[Std Error]]</f>
        <v>0</v>
      </c>
      <c r="S2153" s="1" t="str">
        <f>IF(Table1[[#This Row],[High Tol]]="","N/A",IFERROR(ABS(Table1[[#This Row],[Tol Span]]/Table1[[#This Row],[Error Span]]),"N/A"))</f>
        <v>N/A</v>
      </c>
      <c r="T2153" s="1" t="str">
        <f>IF(OR(Table1[[#This Row],[Low Tol]]="",Table1[[#This Row],[High Tol]]=""),"Needs Analysis",IF(Table1[[#This Row],[Ratio]]&gt;=4,"Not Significant",IF(Table1[[#This Row],[Ratio]]&gt;=2,"Semi-Significant","Significant")))</f>
        <v>Needs Analysis</v>
      </c>
      <c r="W2153" s="1">
        <f>IF(Table1[[#This Row],[Cal Type]]&lt;&gt;"ACCREDITED 17025 WITH UNCERTAINTIES",0,"")</f>
        <v>0</v>
      </c>
      <c r="X2153" s="1" t="str">
        <f>IF(Table1[[#This Row],[DUT Read]]="","N/A",Table1[[#This Row],[Std Error]]+Table1[[#This Row],[DUT Read]]+Table1[[#This Row],[DUT Ucty]])</f>
        <v>N/A</v>
      </c>
      <c r="Y2153" s="1" t="str">
        <f>IF(Table1[[#This Row],[Std Read]]="","N/A",Table1[[#This Row],[Std Read]]+Table1[[#This Row],[Std Ucty]])</f>
        <v>N/A</v>
      </c>
      <c r="Z21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3" s="1" t="str">
        <f>IF(Table1[[#This Row],[Spec Type]]="","N/A",Table1[[#This Row],[Spec Type]])</f>
        <v>±</v>
      </c>
      <c r="AC2153" s="1" t="str">
        <f>IF(Table1[[#This Row],[Spec Type2]]="N/A","N/A",IF(AND(Table1[[#This Row],[DUT Adj Read]]&gt;=Table1[[#This Row],[Low Tol]],Table1[[#This Row],[DUT Adj Read]]&lt;=Table1[[#This Row],[High Tol]]),"Pass","Fail"))</f>
        <v>Fail</v>
      </c>
      <c r="AD2153" s="1" t="str">
        <f>IF(AND(Table1[[#This Row],[Spec Type2]]="N/A",Table1[[#This Row],[DUT Adj Read]]="N/A",Table1[[#This Row],[Std Adj Read]]="N/A"),"N/A",IF(Table1[[#This Row],[DUT Adj Read]]="N/A",IF(Table1[[#This Row],[Std Adj Read]]&gt;Table1[[#This Row],[Low Tol]],"Pass","Fail"),IF(Table1[[#This Row],[DUT Adj Read]]&gt;Table1[[#This Row],[Low Tol]],"Pass","Fail")))</f>
        <v>Pass</v>
      </c>
      <c r="AE2153" s="1" t="str">
        <f>IF(AND(Table1[[#This Row],[Spec Type2]]="N/A",Table1[[#This Row],[DUT Adj Read]]="N/A",Table1[[#This Row],[Std Adj Read]]="N/A"),"N/A",IF(Table1[[#This Row],[DUT Adj Read]]="N/A",IF(Table1[[#This Row],[Std Adj Read]]&lt;Table1[[#This Row],[High Tol]],"Pass","Fail"),IF(Table1[[#This Row],[DUT Adj Read]]&lt;Table1[[#This Row],[High Tol]],"Pass","Fail")))</f>
        <v>Fail</v>
      </c>
      <c r="AF2153" s="1" t="str">
        <f>IF(AND(Table1[[#This Row],[Spec Type2]]="N/A",Table1[[#This Row],[DUT Adj Read]]="N/A",Table1[[#This Row],[Std Adj Read]]="N/A"),"N/A",IF(Table1[[#This Row],[DUT Adj Read]]="N/A",IF(Table1[[#This Row],[Std Adj Read]]&gt;=Table1[[#This Row],[Low Tol]],"Pass","Fail"),IF(Table1[[#This Row],[DUT Adj Read]]&gt;=Table1[[#This Row],[Low Tol]],"Pass","Fail")))</f>
        <v>Pass</v>
      </c>
      <c r="AG2153" s="1" t="str">
        <f>IF(AND(Table1[[#This Row],[Spec Type2]]="N/A",Table1[[#This Row],[DUT Adj Read]]="N/A",Table1[[#This Row],[Std Adj Read]]="N/A"),"N/A",IF(Table1[[#This Row],[DUT Adj Read]]="N/A",IF(Table1[[#This Row],[Std Adj Read]]&lt;=Table1[[#This Row],[High Tol]],"Pass","Fail"),IF(Table1[[#This Row],[DUT Adj Read]]&lt;=Table1[[#This Row],[High Tol]],"Pass","Fail")))</f>
        <v>Fail</v>
      </c>
      <c r="AH21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3" s="1" t="b">
        <v>0</v>
      </c>
      <c r="AN2153" s="1" t="b">
        <v>0</v>
      </c>
      <c r="AO2153" s="1" t="b">
        <v>0</v>
      </c>
    </row>
    <row r="2154" spans="1:41" x14ac:dyDescent="0.25">
      <c r="A2154" s="10"/>
      <c r="B2154" s="10"/>
      <c r="C2154" s="10"/>
      <c r="D2154" s="10"/>
      <c r="E2154" s="10"/>
      <c r="F2154" s="10"/>
      <c r="G2154" s="10"/>
      <c r="H2154" s="10"/>
      <c r="I2154" s="1" t="str">
        <f t="shared" si="99"/>
        <v/>
      </c>
      <c r="J2154" s="1" t="s">
        <v>35</v>
      </c>
      <c r="K2154" s="1" t="str">
        <f t="shared" si="100"/>
        <v/>
      </c>
      <c r="L2154" s="1" t="str">
        <f t="shared" si="101"/>
        <v/>
      </c>
      <c r="M2154" s="1">
        <f>IF(OR(Table1[[#This Row],[Std Nom]]="",Table1[[#This Row],[Std Read]]=""),0,Table1[[#This Row],[Std Nom]]-Table1[[#This Row],[Std Read]])</f>
        <v>0</v>
      </c>
      <c r="N2154" s="1">
        <f>IF(Calculations!$F$5="ACCREDITED 17025 WITH UNCERTAINTIES",$N$10,0)</f>
        <v>0</v>
      </c>
      <c r="Q2154" s="1">
        <f>Table1[[#This Row],[High Tol]]-Table1[[#This Row],[Low Tol]]</f>
        <v>0</v>
      </c>
      <c r="R2154" s="1">
        <f>2*Table1[[#This Row],[Std Error]]</f>
        <v>0</v>
      </c>
      <c r="S2154" s="1" t="str">
        <f>IF(Table1[[#This Row],[High Tol]]="","N/A",IFERROR(ABS(Table1[[#This Row],[Tol Span]]/Table1[[#This Row],[Error Span]]),"N/A"))</f>
        <v>N/A</v>
      </c>
      <c r="T2154" s="1" t="str">
        <f>IF(OR(Table1[[#This Row],[Low Tol]]="",Table1[[#This Row],[High Tol]]=""),"Needs Analysis",IF(Table1[[#This Row],[Ratio]]&gt;=4,"Not Significant",IF(Table1[[#This Row],[Ratio]]&gt;=2,"Semi-Significant","Significant")))</f>
        <v>Needs Analysis</v>
      </c>
      <c r="W2154" s="1">
        <f>IF(Table1[[#This Row],[Cal Type]]&lt;&gt;"ACCREDITED 17025 WITH UNCERTAINTIES",0,"")</f>
        <v>0</v>
      </c>
      <c r="X2154" s="1" t="str">
        <f>IF(Table1[[#This Row],[DUT Read]]="","N/A",Table1[[#This Row],[Std Error]]+Table1[[#This Row],[DUT Read]]+Table1[[#This Row],[DUT Ucty]])</f>
        <v>N/A</v>
      </c>
      <c r="Y2154" s="1" t="str">
        <f>IF(Table1[[#This Row],[Std Read]]="","N/A",Table1[[#This Row],[Std Read]]+Table1[[#This Row],[Std Ucty]])</f>
        <v>N/A</v>
      </c>
      <c r="Z21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4" s="1" t="str">
        <f>IF(Table1[[#This Row],[Spec Type]]="","N/A",Table1[[#This Row],[Spec Type]])</f>
        <v>±</v>
      </c>
      <c r="AC2154" s="1" t="str">
        <f>IF(Table1[[#This Row],[Spec Type2]]="N/A","N/A",IF(AND(Table1[[#This Row],[DUT Adj Read]]&gt;=Table1[[#This Row],[Low Tol]],Table1[[#This Row],[DUT Adj Read]]&lt;=Table1[[#This Row],[High Tol]]),"Pass","Fail"))</f>
        <v>Fail</v>
      </c>
      <c r="AD2154" s="1" t="str">
        <f>IF(AND(Table1[[#This Row],[Spec Type2]]="N/A",Table1[[#This Row],[DUT Adj Read]]="N/A",Table1[[#This Row],[Std Adj Read]]="N/A"),"N/A",IF(Table1[[#This Row],[DUT Adj Read]]="N/A",IF(Table1[[#This Row],[Std Adj Read]]&gt;Table1[[#This Row],[Low Tol]],"Pass","Fail"),IF(Table1[[#This Row],[DUT Adj Read]]&gt;Table1[[#This Row],[Low Tol]],"Pass","Fail")))</f>
        <v>Pass</v>
      </c>
      <c r="AE2154" s="1" t="str">
        <f>IF(AND(Table1[[#This Row],[Spec Type2]]="N/A",Table1[[#This Row],[DUT Adj Read]]="N/A",Table1[[#This Row],[Std Adj Read]]="N/A"),"N/A",IF(Table1[[#This Row],[DUT Adj Read]]="N/A",IF(Table1[[#This Row],[Std Adj Read]]&lt;Table1[[#This Row],[High Tol]],"Pass","Fail"),IF(Table1[[#This Row],[DUT Adj Read]]&lt;Table1[[#This Row],[High Tol]],"Pass","Fail")))</f>
        <v>Fail</v>
      </c>
      <c r="AF2154" s="1" t="str">
        <f>IF(AND(Table1[[#This Row],[Spec Type2]]="N/A",Table1[[#This Row],[DUT Adj Read]]="N/A",Table1[[#This Row],[Std Adj Read]]="N/A"),"N/A",IF(Table1[[#This Row],[DUT Adj Read]]="N/A",IF(Table1[[#This Row],[Std Adj Read]]&gt;=Table1[[#This Row],[Low Tol]],"Pass","Fail"),IF(Table1[[#This Row],[DUT Adj Read]]&gt;=Table1[[#This Row],[Low Tol]],"Pass","Fail")))</f>
        <v>Pass</v>
      </c>
      <c r="AG2154" s="1" t="str">
        <f>IF(AND(Table1[[#This Row],[Spec Type2]]="N/A",Table1[[#This Row],[DUT Adj Read]]="N/A",Table1[[#This Row],[Std Adj Read]]="N/A"),"N/A",IF(Table1[[#This Row],[DUT Adj Read]]="N/A",IF(Table1[[#This Row],[Std Adj Read]]&lt;=Table1[[#This Row],[High Tol]],"Pass","Fail"),IF(Table1[[#This Row],[DUT Adj Read]]&lt;=Table1[[#This Row],[High Tol]],"Pass","Fail")))</f>
        <v>Fail</v>
      </c>
      <c r="AH21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4" s="1" t="b">
        <v>0</v>
      </c>
      <c r="AN2154" s="1" t="b">
        <v>0</v>
      </c>
      <c r="AO2154" s="1" t="b">
        <v>0</v>
      </c>
    </row>
    <row r="2155" spans="1:41" x14ac:dyDescent="0.25">
      <c r="A2155" s="10"/>
      <c r="B2155" s="10"/>
      <c r="C2155" s="10"/>
      <c r="D2155" s="10"/>
      <c r="E2155" s="10"/>
      <c r="F2155" s="10"/>
      <c r="G2155" s="10"/>
      <c r="H2155" s="10"/>
      <c r="I2155" s="1" t="str">
        <f t="shared" si="99"/>
        <v/>
      </c>
      <c r="J2155" s="1" t="s">
        <v>35</v>
      </c>
      <c r="K2155" s="1" t="str">
        <f t="shared" si="100"/>
        <v/>
      </c>
      <c r="L2155" s="1" t="str">
        <f t="shared" si="101"/>
        <v/>
      </c>
      <c r="M2155" s="1">
        <f>IF(OR(Table1[[#This Row],[Std Nom]]="",Table1[[#This Row],[Std Read]]=""),0,Table1[[#This Row],[Std Nom]]-Table1[[#This Row],[Std Read]])</f>
        <v>0</v>
      </c>
      <c r="N2155" s="1">
        <f>IF(Calculations!$F$5="ACCREDITED 17025 WITH UNCERTAINTIES",$N$10,0)</f>
        <v>0</v>
      </c>
      <c r="Q2155" s="1">
        <f>Table1[[#This Row],[High Tol]]-Table1[[#This Row],[Low Tol]]</f>
        <v>0</v>
      </c>
      <c r="R2155" s="1">
        <f>2*Table1[[#This Row],[Std Error]]</f>
        <v>0</v>
      </c>
      <c r="S2155" s="1" t="str">
        <f>IF(Table1[[#This Row],[High Tol]]="","N/A",IFERROR(ABS(Table1[[#This Row],[Tol Span]]/Table1[[#This Row],[Error Span]]),"N/A"))</f>
        <v>N/A</v>
      </c>
      <c r="T2155" s="1" t="str">
        <f>IF(OR(Table1[[#This Row],[Low Tol]]="",Table1[[#This Row],[High Tol]]=""),"Needs Analysis",IF(Table1[[#This Row],[Ratio]]&gt;=4,"Not Significant",IF(Table1[[#This Row],[Ratio]]&gt;=2,"Semi-Significant","Significant")))</f>
        <v>Needs Analysis</v>
      </c>
      <c r="W2155" s="1">
        <f>IF(Table1[[#This Row],[Cal Type]]&lt;&gt;"ACCREDITED 17025 WITH UNCERTAINTIES",0,"")</f>
        <v>0</v>
      </c>
      <c r="X2155" s="1" t="str">
        <f>IF(Table1[[#This Row],[DUT Read]]="","N/A",Table1[[#This Row],[Std Error]]+Table1[[#This Row],[DUT Read]]+Table1[[#This Row],[DUT Ucty]])</f>
        <v>N/A</v>
      </c>
      <c r="Y2155" s="1" t="str">
        <f>IF(Table1[[#This Row],[Std Read]]="","N/A",Table1[[#This Row],[Std Read]]+Table1[[#This Row],[Std Ucty]])</f>
        <v>N/A</v>
      </c>
      <c r="Z21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5" s="1" t="str">
        <f>IF(Table1[[#This Row],[Spec Type]]="","N/A",Table1[[#This Row],[Spec Type]])</f>
        <v>±</v>
      </c>
      <c r="AC2155" s="1" t="str">
        <f>IF(Table1[[#This Row],[Spec Type2]]="N/A","N/A",IF(AND(Table1[[#This Row],[DUT Adj Read]]&gt;=Table1[[#This Row],[Low Tol]],Table1[[#This Row],[DUT Adj Read]]&lt;=Table1[[#This Row],[High Tol]]),"Pass","Fail"))</f>
        <v>Fail</v>
      </c>
      <c r="AD2155" s="1" t="str">
        <f>IF(AND(Table1[[#This Row],[Spec Type2]]="N/A",Table1[[#This Row],[DUT Adj Read]]="N/A",Table1[[#This Row],[Std Adj Read]]="N/A"),"N/A",IF(Table1[[#This Row],[DUT Adj Read]]="N/A",IF(Table1[[#This Row],[Std Adj Read]]&gt;Table1[[#This Row],[Low Tol]],"Pass","Fail"),IF(Table1[[#This Row],[DUT Adj Read]]&gt;Table1[[#This Row],[Low Tol]],"Pass","Fail")))</f>
        <v>Pass</v>
      </c>
      <c r="AE2155" s="1" t="str">
        <f>IF(AND(Table1[[#This Row],[Spec Type2]]="N/A",Table1[[#This Row],[DUT Adj Read]]="N/A",Table1[[#This Row],[Std Adj Read]]="N/A"),"N/A",IF(Table1[[#This Row],[DUT Adj Read]]="N/A",IF(Table1[[#This Row],[Std Adj Read]]&lt;Table1[[#This Row],[High Tol]],"Pass","Fail"),IF(Table1[[#This Row],[DUT Adj Read]]&lt;Table1[[#This Row],[High Tol]],"Pass","Fail")))</f>
        <v>Fail</v>
      </c>
      <c r="AF2155" s="1" t="str">
        <f>IF(AND(Table1[[#This Row],[Spec Type2]]="N/A",Table1[[#This Row],[DUT Adj Read]]="N/A",Table1[[#This Row],[Std Adj Read]]="N/A"),"N/A",IF(Table1[[#This Row],[DUT Adj Read]]="N/A",IF(Table1[[#This Row],[Std Adj Read]]&gt;=Table1[[#This Row],[Low Tol]],"Pass","Fail"),IF(Table1[[#This Row],[DUT Adj Read]]&gt;=Table1[[#This Row],[Low Tol]],"Pass","Fail")))</f>
        <v>Pass</v>
      </c>
      <c r="AG2155" s="1" t="str">
        <f>IF(AND(Table1[[#This Row],[Spec Type2]]="N/A",Table1[[#This Row],[DUT Adj Read]]="N/A",Table1[[#This Row],[Std Adj Read]]="N/A"),"N/A",IF(Table1[[#This Row],[DUT Adj Read]]="N/A",IF(Table1[[#This Row],[Std Adj Read]]&lt;=Table1[[#This Row],[High Tol]],"Pass","Fail"),IF(Table1[[#This Row],[DUT Adj Read]]&lt;=Table1[[#This Row],[High Tol]],"Pass","Fail")))</f>
        <v>Fail</v>
      </c>
      <c r="AH21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5" s="1" t="b">
        <v>0</v>
      </c>
      <c r="AN2155" s="1" t="b">
        <v>0</v>
      </c>
      <c r="AO2155" s="1" t="b">
        <v>0</v>
      </c>
    </row>
    <row r="2156" spans="1:41" x14ac:dyDescent="0.25">
      <c r="A2156" s="10"/>
      <c r="B2156" s="10"/>
      <c r="C2156" s="10"/>
      <c r="D2156" s="10"/>
      <c r="E2156" s="10"/>
      <c r="F2156" s="10"/>
      <c r="G2156" s="10"/>
      <c r="H2156" s="10"/>
      <c r="I2156" s="1" t="str">
        <f t="shared" si="99"/>
        <v/>
      </c>
      <c r="J2156" s="1" t="s">
        <v>35</v>
      </c>
      <c r="K2156" s="1" t="str">
        <f t="shared" si="100"/>
        <v/>
      </c>
      <c r="L2156" s="1" t="str">
        <f t="shared" si="101"/>
        <v/>
      </c>
      <c r="M2156" s="1">
        <f>IF(OR(Table1[[#This Row],[Std Nom]]="",Table1[[#This Row],[Std Read]]=""),0,Table1[[#This Row],[Std Nom]]-Table1[[#This Row],[Std Read]])</f>
        <v>0</v>
      </c>
      <c r="N2156" s="1">
        <f>IF(Calculations!$F$5="ACCREDITED 17025 WITH UNCERTAINTIES",$N$10,0)</f>
        <v>0</v>
      </c>
      <c r="Q2156" s="1">
        <f>Table1[[#This Row],[High Tol]]-Table1[[#This Row],[Low Tol]]</f>
        <v>0</v>
      </c>
      <c r="R2156" s="1">
        <f>2*Table1[[#This Row],[Std Error]]</f>
        <v>0</v>
      </c>
      <c r="S2156" s="1" t="str">
        <f>IF(Table1[[#This Row],[High Tol]]="","N/A",IFERROR(ABS(Table1[[#This Row],[Tol Span]]/Table1[[#This Row],[Error Span]]),"N/A"))</f>
        <v>N/A</v>
      </c>
      <c r="T2156" s="1" t="str">
        <f>IF(OR(Table1[[#This Row],[Low Tol]]="",Table1[[#This Row],[High Tol]]=""),"Needs Analysis",IF(Table1[[#This Row],[Ratio]]&gt;=4,"Not Significant",IF(Table1[[#This Row],[Ratio]]&gt;=2,"Semi-Significant","Significant")))</f>
        <v>Needs Analysis</v>
      </c>
      <c r="W2156" s="1">
        <f>IF(Table1[[#This Row],[Cal Type]]&lt;&gt;"ACCREDITED 17025 WITH UNCERTAINTIES",0,"")</f>
        <v>0</v>
      </c>
      <c r="X2156" s="1" t="str">
        <f>IF(Table1[[#This Row],[DUT Read]]="","N/A",Table1[[#This Row],[Std Error]]+Table1[[#This Row],[DUT Read]]+Table1[[#This Row],[DUT Ucty]])</f>
        <v>N/A</v>
      </c>
      <c r="Y2156" s="1" t="str">
        <f>IF(Table1[[#This Row],[Std Read]]="","N/A",Table1[[#This Row],[Std Read]]+Table1[[#This Row],[Std Ucty]])</f>
        <v>N/A</v>
      </c>
      <c r="Z21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6" s="1" t="str">
        <f>IF(Table1[[#This Row],[Spec Type]]="","N/A",Table1[[#This Row],[Spec Type]])</f>
        <v>±</v>
      </c>
      <c r="AC2156" s="1" t="str">
        <f>IF(Table1[[#This Row],[Spec Type2]]="N/A","N/A",IF(AND(Table1[[#This Row],[DUT Adj Read]]&gt;=Table1[[#This Row],[Low Tol]],Table1[[#This Row],[DUT Adj Read]]&lt;=Table1[[#This Row],[High Tol]]),"Pass","Fail"))</f>
        <v>Fail</v>
      </c>
      <c r="AD2156" s="1" t="str">
        <f>IF(AND(Table1[[#This Row],[Spec Type2]]="N/A",Table1[[#This Row],[DUT Adj Read]]="N/A",Table1[[#This Row],[Std Adj Read]]="N/A"),"N/A",IF(Table1[[#This Row],[DUT Adj Read]]="N/A",IF(Table1[[#This Row],[Std Adj Read]]&gt;Table1[[#This Row],[Low Tol]],"Pass","Fail"),IF(Table1[[#This Row],[DUT Adj Read]]&gt;Table1[[#This Row],[Low Tol]],"Pass","Fail")))</f>
        <v>Pass</v>
      </c>
      <c r="AE2156" s="1" t="str">
        <f>IF(AND(Table1[[#This Row],[Spec Type2]]="N/A",Table1[[#This Row],[DUT Adj Read]]="N/A",Table1[[#This Row],[Std Adj Read]]="N/A"),"N/A",IF(Table1[[#This Row],[DUT Adj Read]]="N/A",IF(Table1[[#This Row],[Std Adj Read]]&lt;Table1[[#This Row],[High Tol]],"Pass","Fail"),IF(Table1[[#This Row],[DUT Adj Read]]&lt;Table1[[#This Row],[High Tol]],"Pass","Fail")))</f>
        <v>Fail</v>
      </c>
      <c r="AF2156" s="1" t="str">
        <f>IF(AND(Table1[[#This Row],[Spec Type2]]="N/A",Table1[[#This Row],[DUT Adj Read]]="N/A",Table1[[#This Row],[Std Adj Read]]="N/A"),"N/A",IF(Table1[[#This Row],[DUT Adj Read]]="N/A",IF(Table1[[#This Row],[Std Adj Read]]&gt;=Table1[[#This Row],[Low Tol]],"Pass","Fail"),IF(Table1[[#This Row],[DUT Adj Read]]&gt;=Table1[[#This Row],[Low Tol]],"Pass","Fail")))</f>
        <v>Pass</v>
      </c>
      <c r="AG2156" s="1" t="str">
        <f>IF(AND(Table1[[#This Row],[Spec Type2]]="N/A",Table1[[#This Row],[DUT Adj Read]]="N/A",Table1[[#This Row],[Std Adj Read]]="N/A"),"N/A",IF(Table1[[#This Row],[DUT Adj Read]]="N/A",IF(Table1[[#This Row],[Std Adj Read]]&lt;=Table1[[#This Row],[High Tol]],"Pass","Fail"),IF(Table1[[#This Row],[DUT Adj Read]]&lt;=Table1[[#This Row],[High Tol]],"Pass","Fail")))</f>
        <v>Fail</v>
      </c>
      <c r="AH21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6" s="1" t="b">
        <v>0</v>
      </c>
      <c r="AN2156" s="1" t="b">
        <v>0</v>
      </c>
      <c r="AO2156" s="1" t="b">
        <v>0</v>
      </c>
    </row>
    <row r="2157" spans="1:41" x14ac:dyDescent="0.25">
      <c r="A2157" s="10"/>
      <c r="B2157" s="10"/>
      <c r="C2157" s="10"/>
      <c r="D2157" s="10"/>
      <c r="E2157" s="10"/>
      <c r="F2157" s="10"/>
      <c r="G2157" s="10"/>
      <c r="H2157" s="10"/>
      <c r="I2157" s="1" t="str">
        <f t="shared" si="99"/>
        <v/>
      </c>
      <c r="J2157" s="1" t="s">
        <v>35</v>
      </c>
      <c r="K2157" s="1" t="str">
        <f t="shared" si="100"/>
        <v/>
      </c>
      <c r="L2157" s="1" t="str">
        <f t="shared" si="101"/>
        <v/>
      </c>
      <c r="M2157" s="1">
        <f>IF(OR(Table1[[#This Row],[Std Nom]]="",Table1[[#This Row],[Std Read]]=""),0,Table1[[#This Row],[Std Nom]]-Table1[[#This Row],[Std Read]])</f>
        <v>0</v>
      </c>
      <c r="N2157" s="1">
        <f>IF(Calculations!$F$5="ACCREDITED 17025 WITH UNCERTAINTIES",$N$10,0)</f>
        <v>0</v>
      </c>
      <c r="Q2157" s="1">
        <f>Table1[[#This Row],[High Tol]]-Table1[[#This Row],[Low Tol]]</f>
        <v>0</v>
      </c>
      <c r="R2157" s="1">
        <f>2*Table1[[#This Row],[Std Error]]</f>
        <v>0</v>
      </c>
      <c r="S2157" s="1" t="str">
        <f>IF(Table1[[#This Row],[High Tol]]="","N/A",IFERROR(ABS(Table1[[#This Row],[Tol Span]]/Table1[[#This Row],[Error Span]]),"N/A"))</f>
        <v>N/A</v>
      </c>
      <c r="T2157" s="1" t="str">
        <f>IF(OR(Table1[[#This Row],[Low Tol]]="",Table1[[#This Row],[High Tol]]=""),"Needs Analysis",IF(Table1[[#This Row],[Ratio]]&gt;=4,"Not Significant",IF(Table1[[#This Row],[Ratio]]&gt;=2,"Semi-Significant","Significant")))</f>
        <v>Needs Analysis</v>
      </c>
      <c r="W2157" s="1">
        <f>IF(Table1[[#This Row],[Cal Type]]&lt;&gt;"ACCREDITED 17025 WITH UNCERTAINTIES",0,"")</f>
        <v>0</v>
      </c>
      <c r="X2157" s="1" t="str">
        <f>IF(Table1[[#This Row],[DUT Read]]="","N/A",Table1[[#This Row],[Std Error]]+Table1[[#This Row],[DUT Read]]+Table1[[#This Row],[DUT Ucty]])</f>
        <v>N/A</v>
      </c>
      <c r="Y2157" s="1" t="str">
        <f>IF(Table1[[#This Row],[Std Read]]="","N/A",Table1[[#This Row],[Std Read]]+Table1[[#This Row],[Std Ucty]])</f>
        <v>N/A</v>
      </c>
      <c r="Z21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7" s="1" t="str">
        <f>IF(Table1[[#This Row],[Spec Type]]="","N/A",Table1[[#This Row],[Spec Type]])</f>
        <v>±</v>
      </c>
      <c r="AC2157" s="1" t="str">
        <f>IF(Table1[[#This Row],[Spec Type2]]="N/A","N/A",IF(AND(Table1[[#This Row],[DUT Adj Read]]&gt;=Table1[[#This Row],[Low Tol]],Table1[[#This Row],[DUT Adj Read]]&lt;=Table1[[#This Row],[High Tol]]),"Pass","Fail"))</f>
        <v>Fail</v>
      </c>
      <c r="AD2157" s="1" t="str">
        <f>IF(AND(Table1[[#This Row],[Spec Type2]]="N/A",Table1[[#This Row],[DUT Adj Read]]="N/A",Table1[[#This Row],[Std Adj Read]]="N/A"),"N/A",IF(Table1[[#This Row],[DUT Adj Read]]="N/A",IF(Table1[[#This Row],[Std Adj Read]]&gt;Table1[[#This Row],[Low Tol]],"Pass","Fail"),IF(Table1[[#This Row],[DUT Adj Read]]&gt;Table1[[#This Row],[Low Tol]],"Pass","Fail")))</f>
        <v>Pass</v>
      </c>
      <c r="AE2157" s="1" t="str">
        <f>IF(AND(Table1[[#This Row],[Spec Type2]]="N/A",Table1[[#This Row],[DUT Adj Read]]="N/A",Table1[[#This Row],[Std Adj Read]]="N/A"),"N/A",IF(Table1[[#This Row],[DUT Adj Read]]="N/A",IF(Table1[[#This Row],[Std Adj Read]]&lt;Table1[[#This Row],[High Tol]],"Pass","Fail"),IF(Table1[[#This Row],[DUT Adj Read]]&lt;Table1[[#This Row],[High Tol]],"Pass","Fail")))</f>
        <v>Fail</v>
      </c>
      <c r="AF2157" s="1" t="str">
        <f>IF(AND(Table1[[#This Row],[Spec Type2]]="N/A",Table1[[#This Row],[DUT Adj Read]]="N/A",Table1[[#This Row],[Std Adj Read]]="N/A"),"N/A",IF(Table1[[#This Row],[DUT Adj Read]]="N/A",IF(Table1[[#This Row],[Std Adj Read]]&gt;=Table1[[#This Row],[Low Tol]],"Pass","Fail"),IF(Table1[[#This Row],[DUT Adj Read]]&gt;=Table1[[#This Row],[Low Tol]],"Pass","Fail")))</f>
        <v>Pass</v>
      </c>
      <c r="AG2157" s="1" t="str">
        <f>IF(AND(Table1[[#This Row],[Spec Type2]]="N/A",Table1[[#This Row],[DUT Adj Read]]="N/A",Table1[[#This Row],[Std Adj Read]]="N/A"),"N/A",IF(Table1[[#This Row],[DUT Adj Read]]="N/A",IF(Table1[[#This Row],[Std Adj Read]]&lt;=Table1[[#This Row],[High Tol]],"Pass","Fail"),IF(Table1[[#This Row],[DUT Adj Read]]&lt;=Table1[[#This Row],[High Tol]],"Pass","Fail")))</f>
        <v>Fail</v>
      </c>
      <c r="AH21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7" s="1" t="b">
        <v>0</v>
      </c>
      <c r="AN2157" s="1" t="b">
        <v>0</v>
      </c>
      <c r="AO2157" s="1" t="b">
        <v>0</v>
      </c>
    </row>
    <row r="2158" spans="1:41" x14ac:dyDescent="0.25">
      <c r="A2158" s="10"/>
      <c r="B2158" s="10"/>
      <c r="C2158" s="10"/>
      <c r="D2158" s="10"/>
      <c r="E2158" s="10"/>
      <c r="F2158" s="10"/>
      <c r="G2158" s="10"/>
      <c r="H2158" s="10"/>
      <c r="I2158" s="1" t="str">
        <f t="shared" si="99"/>
        <v/>
      </c>
      <c r="J2158" s="1" t="s">
        <v>35</v>
      </c>
      <c r="K2158" s="1" t="str">
        <f t="shared" si="100"/>
        <v/>
      </c>
      <c r="L2158" s="1" t="str">
        <f t="shared" si="101"/>
        <v/>
      </c>
      <c r="M2158" s="1">
        <f>IF(OR(Table1[[#This Row],[Std Nom]]="",Table1[[#This Row],[Std Read]]=""),0,Table1[[#This Row],[Std Nom]]-Table1[[#This Row],[Std Read]])</f>
        <v>0</v>
      </c>
      <c r="N2158" s="1">
        <f>IF(Calculations!$F$5="ACCREDITED 17025 WITH UNCERTAINTIES",$N$10,0)</f>
        <v>0</v>
      </c>
      <c r="Q2158" s="1">
        <f>Table1[[#This Row],[High Tol]]-Table1[[#This Row],[Low Tol]]</f>
        <v>0</v>
      </c>
      <c r="R2158" s="1">
        <f>2*Table1[[#This Row],[Std Error]]</f>
        <v>0</v>
      </c>
      <c r="S2158" s="1" t="str">
        <f>IF(Table1[[#This Row],[High Tol]]="","N/A",IFERROR(ABS(Table1[[#This Row],[Tol Span]]/Table1[[#This Row],[Error Span]]),"N/A"))</f>
        <v>N/A</v>
      </c>
      <c r="T2158" s="1" t="str">
        <f>IF(OR(Table1[[#This Row],[Low Tol]]="",Table1[[#This Row],[High Tol]]=""),"Needs Analysis",IF(Table1[[#This Row],[Ratio]]&gt;=4,"Not Significant",IF(Table1[[#This Row],[Ratio]]&gt;=2,"Semi-Significant","Significant")))</f>
        <v>Needs Analysis</v>
      </c>
      <c r="W2158" s="1">
        <f>IF(Table1[[#This Row],[Cal Type]]&lt;&gt;"ACCREDITED 17025 WITH UNCERTAINTIES",0,"")</f>
        <v>0</v>
      </c>
      <c r="X2158" s="1" t="str">
        <f>IF(Table1[[#This Row],[DUT Read]]="","N/A",Table1[[#This Row],[Std Error]]+Table1[[#This Row],[DUT Read]]+Table1[[#This Row],[DUT Ucty]])</f>
        <v>N/A</v>
      </c>
      <c r="Y2158" s="1" t="str">
        <f>IF(Table1[[#This Row],[Std Read]]="","N/A",Table1[[#This Row],[Std Read]]+Table1[[#This Row],[Std Ucty]])</f>
        <v>N/A</v>
      </c>
      <c r="Z21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8" s="1" t="str">
        <f>IF(Table1[[#This Row],[Spec Type]]="","N/A",Table1[[#This Row],[Spec Type]])</f>
        <v>±</v>
      </c>
      <c r="AC2158" s="1" t="str">
        <f>IF(Table1[[#This Row],[Spec Type2]]="N/A","N/A",IF(AND(Table1[[#This Row],[DUT Adj Read]]&gt;=Table1[[#This Row],[Low Tol]],Table1[[#This Row],[DUT Adj Read]]&lt;=Table1[[#This Row],[High Tol]]),"Pass","Fail"))</f>
        <v>Fail</v>
      </c>
      <c r="AD2158" s="1" t="str">
        <f>IF(AND(Table1[[#This Row],[Spec Type2]]="N/A",Table1[[#This Row],[DUT Adj Read]]="N/A",Table1[[#This Row],[Std Adj Read]]="N/A"),"N/A",IF(Table1[[#This Row],[DUT Adj Read]]="N/A",IF(Table1[[#This Row],[Std Adj Read]]&gt;Table1[[#This Row],[Low Tol]],"Pass","Fail"),IF(Table1[[#This Row],[DUT Adj Read]]&gt;Table1[[#This Row],[Low Tol]],"Pass","Fail")))</f>
        <v>Pass</v>
      </c>
      <c r="AE2158" s="1" t="str">
        <f>IF(AND(Table1[[#This Row],[Spec Type2]]="N/A",Table1[[#This Row],[DUT Adj Read]]="N/A",Table1[[#This Row],[Std Adj Read]]="N/A"),"N/A",IF(Table1[[#This Row],[DUT Adj Read]]="N/A",IF(Table1[[#This Row],[Std Adj Read]]&lt;Table1[[#This Row],[High Tol]],"Pass","Fail"),IF(Table1[[#This Row],[DUT Adj Read]]&lt;Table1[[#This Row],[High Tol]],"Pass","Fail")))</f>
        <v>Fail</v>
      </c>
      <c r="AF2158" s="1" t="str">
        <f>IF(AND(Table1[[#This Row],[Spec Type2]]="N/A",Table1[[#This Row],[DUT Adj Read]]="N/A",Table1[[#This Row],[Std Adj Read]]="N/A"),"N/A",IF(Table1[[#This Row],[DUT Adj Read]]="N/A",IF(Table1[[#This Row],[Std Adj Read]]&gt;=Table1[[#This Row],[Low Tol]],"Pass","Fail"),IF(Table1[[#This Row],[DUT Adj Read]]&gt;=Table1[[#This Row],[Low Tol]],"Pass","Fail")))</f>
        <v>Pass</v>
      </c>
      <c r="AG2158" s="1" t="str">
        <f>IF(AND(Table1[[#This Row],[Spec Type2]]="N/A",Table1[[#This Row],[DUT Adj Read]]="N/A",Table1[[#This Row],[Std Adj Read]]="N/A"),"N/A",IF(Table1[[#This Row],[DUT Adj Read]]="N/A",IF(Table1[[#This Row],[Std Adj Read]]&lt;=Table1[[#This Row],[High Tol]],"Pass","Fail"),IF(Table1[[#This Row],[DUT Adj Read]]&lt;=Table1[[#This Row],[High Tol]],"Pass","Fail")))</f>
        <v>Fail</v>
      </c>
      <c r="AH21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8" s="1" t="b">
        <v>0</v>
      </c>
      <c r="AN2158" s="1" t="b">
        <v>0</v>
      </c>
      <c r="AO2158" s="1" t="b">
        <v>0</v>
      </c>
    </row>
    <row r="2159" spans="1:41" x14ac:dyDescent="0.25">
      <c r="A2159" s="10"/>
      <c r="B2159" s="10"/>
      <c r="C2159" s="10"/>
      <c r="D2159" s="10"/>
      <c r="E2159" s="10"/>
      <c r="F2159" s="10"/>
      <c r="G2159" s="10"/>
      <c r="H2159" s="10"/>
      <c r="I2159" s="1" t="str">
        <f t="shared" si="99"/>
        <v/>
      </c>
      <c r="J2159" s="1" t="s">
        <v>35</v>
      </c>
      <c r="K2159" s="1" t="str">
        <f t="shared" si="100"/>
        <v/>
      </c>
      <c r="L2159" s="1" t="str">
        <f t="shared" si="101"/>
        <v/>
      </c>
      <c r="M2159" s="1">
        <f>IF(OR(Table1[[#This Row],[Std Nom]]="",Table1[[#This Row],[Std Read]]=""),0,Table1[[#This Row],[Std Nom]]-Table1[[#This Row],[Std Read]])</f>
        <v>0</v>
      </c>
      <c r="N2159" s="1">
        <f>IF(Calculations!$F$5="ACCREDITED 17025 WITH UNCERTAINTIES",$N$10,0)</f>
        <v>0</v>
      </c>
      <c r="Q2159" s="1">
        <f>Table1[[#This Row],[High Tol]]-Table1[[#This Row],[Low Tol]]</f>
        <v>0</v>
      </c>
      <c r="R2159" s="1">
        <f>2*Table1[[#This Row],[Std Error]]</f>
        <v>0</v>
      </c>
      <c r="S2159" s="1" t="str">
        <f>IF(Table1[[#This Row],[High Tol]]="","N/A",IFERROR(ABS(Table1[[#This Row],[Tol Span]]/Table1[[#This Row],[Error Span]]),"N/A"))</f>
        <v>N/A</v>
      </c>
      <c r="T2159" s="1" t="str">
        <f>IF(OR(Table1[[#This Row],[Low Tol]]="",Table1[[#This Row],[High Tol]]=""),"Needs Analysis",IF(Table1[[#This Row],[Ratio]]&gt;=4,"Not Significant",IF(Table1[[#This Row],[Ratio]]&gt;=2,"Semi-Significant","Significant")))</f>
        <v>Needs Analysis</v>
      </c>
      <c r="W2159" s="1">
        <f>IF(Table1[[#This Row],[Cal Type]]&lt;&gt;"ACCREDITED 17025 WITH UNCERTAINTIES",0,"")</f>
        <v>0</v>
      </c>
      <c r="X2159" s="1" t="str">
        <f>IF(Table1[[#This Row],[DUT Read]]="","N/A",Table1[[#This Row],[Std Error]]+Table1[[#This Row],[DUT Read]]+Table1[[#This Row],[DUT Ucty]])</f>
        <v>N/A</v>
      </c>
      <c r="Y2159" s="1" t="str">
        <f>IF(Table1[[#This Row],[Std Read]]="","N/A",Table1[[#This Row],[Std Read]]+Table1[[#This Row],[Std Ucty]])</f>
        <v>N/A</v>
      </c>
      <c r="Z21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59" s="1" t="str">
        <f>IF(Table1[[#This Row],[Spec Type]]="","N/A",Table1[[#This Row],[Spec Type]])</f>
        <v>±</v>
      </c>
      <c r="AC2159" s="1" t="str">
        <f>IF(Table1[[#This Row],[Spec Type2]]="N/A","N/A",IF(AND(Table1[[#This Row],[DUT Adj Read]]&gt;=Table1[[#This Row],[Low Tol]],Table1[[#This Row],[DUT Adj Read]]&lt;=Table1[[#This Row],[High Tol]]),"Pass","Fail"))</f>
        <v>Fail</v>
      </c>
      <c r="AD2159" s="1" t="str">
        <f>IF(AND(Table1[[#This Row],[Spec Type2]]="N/A",Table1[[#This Row],[DUT Adj Read]]="N/A",Table1[[#This Row],[Std Adj Read]]="N/A"),"N/A",IF(Table1[[#This Row],[DUT Adj Read]]="N/A",IF(Table1[[#This Row],[Std Adj Read]]&gt;Table1[[#This Row],[Low Tol]],"Pass","Fail"),IF(Table1[[#This Row],[DUT Adj Read]]&gt;Table1[[#This Row],[Low Tol]],"Pass","Fail")))</f>
        <v>Pass</v>
      </c>
      <c r="AE2159" s="1" t="str">
        <f>IF(AND(Table1[[#This Row],[Spec Type2]]="N/A",Table1[[#This Row],[DUT Adj Read]]="N/A",Table1[[#This Row],[Std Adj Read]]="N/A"),"N/A",IF(Table1[[#This Row],[DUT Adj Read]]="N/A",IF(Table1[[#This Row],[Std Adj Read]]&lt;Table1[[#This Row],[High Tol]],"Pass","Fail"),IF(Table1[[#This Row],[DUT Adj Read]]&lt;Table1[[#This Row],[High Tol]],"Pass","Fail")))</f>
        <v>Fail</v>
      </c>
      <c r="AF2159" s="1" t="str">
        <f>IF(AND(Table1[[#This Row],[Spec Type2]]="N/A",Table1[[#This Row],[DUT Adj Read]]="N/A",Table1[[#This Row],[Std Adj Read]]="N/A"),"N/A",IF(Table1[[#This Row],[DUT Adj Read]]="N/A",IF(Table1[[#This Row],[Std Adj Read]]&gt;=Table1[[#This Row],[Low Tol]],"Pass","Fail"),IF(Table1[[#This Row],[DUT Adj Read]]&gt;=Table1[[#This Row],[Low Tol]],"Pass","Fail")))</f>
        <v>Pass</v>
      </c>
      <c r="AG2159" s="1" t="str">
        <f>IF(AND(Table1[[#This Row],[Spec Type2]]="N/A",Table1[[#This Row],[DUT Adj Read]]="N/A",Table1[[#This Row],[Std Adj Read]]="N/A"),"N/A",IF(Table1[[#This Row],[DUT Adj Read]]="N/A",IF(Table1[[#This Row],[Std Adj Read]]&lt;=Table1[[#This Row],[High Tol]],"Pass","Fail"),IF(Table1[[#This Row],[DUT Adj Read]]&lt;=Table1[[#This Row],[High Tol]],"Pass","Fail")))</f>
        <v>Fail</v>
      </c>
      <c r="AH21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59" s="1" t="b">
        <v>0</v>
      </c>
      <c r="AN2159" s="1" t="b">
        <v>0</v>
      </c>
      <c r="AO2159" s="1" t="b">
        <v>0</v>
      </c>
    </row>
    <row r="2160" spans="1:41" x14ac:dyDescent="0.25">
      <c r="A2160" s="10"/>
      <c r="B2160" s="10"/>
      <c r="C2160" s="10"/>
      <c r="D2160" s="10"/>
      <c r="E2160" s="10"/>
      <c r="F2160" s="10"/>
      <c r="G2160" s="10"/>
      <c r="H2160" s="10"/>
      <c r="I2160" s="1" t="str">
        <f t="shared" si="99"/>
        <v/>
      </c>
      <c r="J2160" s="1" t="s">
        <v>35</v>
      </c>
      <c r="K2160" s="1" t="str">
        <f t="shared" si="100"/>
        <v/>
      </c>
      <c r="L2160" s="1" t="str">
        <f t="shared" si="101"/>
        <v/>
      </c>
      <c r="M2160" s="1">
        <f>IF(OR(Table1[[#This Row],[Std Nom]]="",Table1[[#This Row],[Std Read]]=""),0,Table1[[#This Row],[Std Nom]]-Table1[[#This Row],[Std Read]])</f>
        <v>0</v>
      </c>
      <c r="N2160" s="1">
        <f>IF(Calculations!$F$5="ACCREDITED 17025 WITH UNCERTAINTIES",$N$10,0)</f>
        <v>0</v>
      </c>
      <c r="Q2160" s="1">
        <f>Table1[[#This Row],[High Tol]]-Table1[[#This Row],[Low Tol]]</f>
        <v>0</v>
      </c>
      <c r="R2160" s="1">
        <f>2*Table1[[#This Row],[Std Error]]</f>
        <v>0</v>
      </c>
      <c r="S2160" s="1" t="str">
        <f>IF(Table1[[#This Row],[High Tol]]="","N/A",IFERROR(ABS(Table1[[#This Row],[Tol Span]]/Table1[[#This Row],[Error Span]]),"N/A"))</f>
        <v>N/A</v>
      </c>
      <c r="T2160" s="1" t="str">
        <f>IF(OR(Table1[[#This Row],[Low Tol]]="",Table1[[#This Row],[High Tol]]=""),"Needs Analysis",IF(Table1[[#This Row],[Ratio]]&gt;=4,"Not Significant",IF(Table1[[#This Row],[Ratio]]&gt;=2,"Semi-Significant","Significant")))</f>
        <v>Needs Analysis</v>
      </c>
      <c r="W2160" s="1">
        <f>IF(Table1[[#This Row],[Cal Type]]&lt;&gt;"ACCREDITED 17025 WITH UNCERTAINTIES",0,"")</f>
        <v>0</v>
      </c>
      <c r="X2160" s="1" t="str">
        <f>IF(Table1[[#This Row],[DUT Read]]="","N/A",Table1[[#This Row],[Std Error]]+Table1[[#This Row],[DUT Read]]+Table1[[#This Row],[DUT Ucty]])</f>
        <v>N/A</v>
      </c>
      <c r="Y2160" s="1" t="str">
        <f>IF(Table1[[#This Row],[Std Read]]="","N/A",Table1[[#This Row],[Std Read]]+Table1[[#This Row],[Std Ucty]])</f>
        <v>N/A</v>
      </c>
      <c r="Z21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0" s="1" t="str">
        <f>IF(Table1[[#This Row],[Spec Type]]="","N/A",Table1[[#This Row],[Spec Type]])</f>
        <v>±</v>
      </c>
      <c r="AC2160" s="1" t="str">
        <f>IF(Table1[[#This Row],[Spec Type2]]="N/A","N/A",IF(AND(Table1[[#This Row],[DUT Adj Read]]&gt;=Table1[[#This Row],[Low Tol]],Table1[[#This Row],[DUT Adj Read]]&lt;=Table1[[#This Row],[High Tol]]),"Pass","Fail"))</f>
        <v>Fail</v>
      </c>
      <c r="AD2160" s="1" t="str">
        <f>IF(AND(Table1[[#This Row],[Spec Type2]]="N/A",Table1[[#This Row],[DUT Adj Read]]="N/A",Table1[[#This Row],[Std Adj Read]]="N/A"),"N/A",IF(Table1[[#This Row],[DUT Adj Read]]="N/A",IF(Table1[[#This Row],[Std Adj Read]]&gt;Table1[[#This Row],[Low Tol]],"Pass","Fail"),IF(Table1[[#This Row],[DUT Adj Read]]&gt;Table1[[#This Row],[Low Tol]],"Pass","Fail")))</f>
        <v>Pass</v>
      </c>
      <c r="AE2160" s="1" t="str">
        <f>IF(AND(Table1[[#This Row],[Spec Type2]]="N/A",Table1[[#This Row],[DUT Adj Read]]="N/A",Table1[[#This Row],[Std Adj Read]]="N/A"),"N/A",IF(Table1[[#This Row],[DUT Adj Read]]="N/A",IF(Table1[[#This Row],[Std Adj Read]]&lt;Table1[[#This Row],[High Tol]],"Pass","Fail"),IF(Table1[[#This Row],[DUT Adj Read]]&lt;Table1[[#This Row],[High Tol]],"Pass","Fail")))</f>
        <v>Fail</v>
      </c>
      <c r="AF2160" s="1" t="str">
        <f>IF(AND(Table1[[#This Row],[Spec Type2]]="N/A",Table1[[#This Row],[DUT Adj Read]]="N/A",Table1[[#This Row],[Std Adj Read]]="N/A"),"N/A",IF(Table1[[#This Row],[DUT Adj Read]]="N/A",IF(Table1[[#This Row],[Std Adj Read]]&gt;=Table1[[#This Row],[Low Tol]],"Pass","Fail"),IF(Table1[[#This Row],[DUT Adj Read]]&gt;=Table1[[#This Row],[Low Tol]],"Pass","Fail")))</f>
        <v>Pass</v>
      </c>
      <c r="AG2160" s="1" t="str">
        <f>IF(AND(Table1[[#This Row],[Spec Type2]]="N/A",Table1[[#This Row],[DUT Adj Read]]="N/A",Table1[[#This Row],[Std Adj Read]]="N/A"),"N/A",IF(Table1[[#This Row],[DUT Adj Read]]="N/A",IF(Table1[[#This Row],[Std Adj Read]]&lt;=Table1[[#This Row],[High Tol]],"Pass","Fail"),IF(Table1[[#This Row],[DUT Adj Read]]&lt;=Table1[[#This Row],[High Tol]],"Pass","Fail")))</f>
        <v>Fail</v>
      </c>
      <c r="AH21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0" s="1" t="b">
        <v>0</v>
      </c>
      <c r="AN2160" s="1" t="b">
        <v>0</v>
      </c>
      <c r="AO2160" s="1" t="b">
        <v>0</v>
      </c>
    </row>
    <row r="2161" spans="1:41" x14ac:dyDescent="0.25">
      <c r="A2161" s="10"/>
      <c r="B2161" s="10"/>
      <c r="C2161" s="10"/>
      <c r="D2161" s="10"/>
      <c r="E2161" s="10"/>
      <c r="F2161" s="10"/>
      <c r="G2161" s="10"/>
      <c r="H2161" s="10"/>
      <c r="I2161" s="1" t="str">
        <f t="shared" si="99"/>
        <v/>
      </c>
      <c r="J2161" s="1" t="s">
        <v>35</v>
      </c>
      <c r="K2161" s="1" t="str">
        <f t="shared" si="100"/>
        <v/>
      </c>
      <c r="L2161" s="1" t="str">
        <f t="shared" si="101"/>
        <v/>
      </c>
      <c r="M2161" s="1">
        <f>IF(OR(Table1[[#This Row],[Std Nom]]="",Table1[[#This Row],[Std Read]]=""),0,Table1[[#This Row],[Std Nom]]-Table1[[#This Row],[Std Read]])</f>
        <v>0</v>
      </c>
      <c r="N2161" s="1">
        <f>IF(Calculations!$F$5="ACCREDITED 17025 WITH UNCERTAINTIES",$N$10,0)</f>
        <v>0</v>
      </c>
      <c r="Q2161" s="1">
        <f>Table1[[#This Row],[High Tol]]-Table1[[#This Row],[Low Tol]]</f>
        <v>0</v>
      </c>
      <c r="R2161" s="1">
        <f>2*Table1[[#This Row],[Std Error]]</f>
        <v>0</v>
      </c>
      <c r="S2161" s="1" t="str">
        <f>IF(Table1[[#This Row],[High Tol]]="","N/A",IFERROR(ABS(Table1[[#This Row],[Tol Span]]/Table1[[#This Row],[Error Span]]),"N/A"))</f>
        <v>N/A</v>
      </c>
      <c r="T2161" s="1" t="str">
        <f>IF(OR(Table1[[#This Row],[Low Tol]]="",Table1[[#This Row],[High Tol]]=""),"Needs Analysis",IF(Table1[[#This Row],[Ratio]]&gt;=4,"Not Significant",IF(Table1[[#This Row],[Ratio]]&gt;=2,"Semi-Significant","Significant")))</f>
        <v>Needs Analysis</v>
      </c>
      <c r="W2161" s="1">
        <f>IF(Table1[[#This Row],[Cal Type]]&lt;&gt;"ACCREDITED 17025 WITH UNCERTAINTIES",0,"")</f>
        <v>0</v>
      </c>
      <c r="X2161" s="1" t="str">
        <f>IF(Table1[[#This Row],[DUT Read]]="","N/A",Table1[[#This Row],[Std Error]]+Table1[[#This Row],[DUT Read]]+Table1[[#This Row],[DUT Ucty]])</f>
        <v>N/A</v>
      </c>
      <c r="Y2161" s="1" t="str">
        <f>IF(Table1[[#This Row],[Std Read]]="","N/A",Table1[[#This Row],[Std Read]]+Table1[[#This Row],[Std Ucty]])</f>
        <v>N/A</v>
      </c>
      <c r="Z21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1" s="1" t="str">
        <f>IF(Table1[[#This Row],[Spec Type]]="","N/A",Table1[[#This Row],[Spec Type]])</f>
        <v>±</v>
      </c>
      <c r="AC2161" s="1" t="str">
        <f>IF(Table1[[#This Row],[Spec Type2]]="N/A","N/A",IF(AND(Table1[[#This Row],[DUT Adj Read]]&gt;=Table1[[#This Row],[Low Tol]],Table1[[#This Row],[DUT Adj Read]]&lt;=Table1[[#This Row],[High Tol]]),"Pass","Fail"))</f>
        <v>Fail</v>
      </c>
      <c r="AD2161" s="1" t="str">
        <f>IF(AND(Table1[[#This Row],[Spec Type2]]="N/A",Table1[[#This Row],[DUT Adj Read]]="N/A",Table1[[#This Row],[Std Adj Read]]="N/A"),"N/A",IF(Table1[[#This Row],[DUT Adj Read]]="N/A",IF(Table1[[#This Row],[Std Adj Read]]&gt;Table1[[#This Row],[Low Tol]],"Pass","Fail"),IF(Table1[[#This Row],[DUT Adj Read]]&gt;Table1[[#This Row],[Low Tol]],"Pass","Fail")))</f>
        <v>Pass</v>
      </c>
      <c r="AE2161" s="1" t="str">
        <f>IF(AND(Table1[[#This Row],[Spec Type2]]="N/A",Table1[[#This Row],[DUT Adj Read]]="N/A",Table1[[#This Row],[Std Adj Read]]="N/A"),"N/A",IF(Table1[[#This Row],[DUT Adj Read]]="N/A",IF(Table1[[#This Row],[Std Adj Read]]&lt;Table1[[#This Row],[High Tol]],"Pass","Fail"),IF(Table1[[#This Row],[DUT Adj Read]]&lt;Table1[[#This Row],[High Tol]],"Pass","Fail")))</f>
        <v>Fail</v>
      </c>
      <c r="AF2161" s="1" t="str">
        <f>IF(AND(Table1[[#This Row],[Spec Type2]]="N/A",Table1[[#This Row],[DUT Adj Read]]="N/A",Table1[[#This Row],[Std Adj Read]]="N/A"),"N/A",IF(Table1[[#This Row],[DUT Adj Read]]="N/A",IF(Table1[[#This Row],[Std Adj Read]]&gt;=Table1[[#This Row],[Low Tol]],"Pass","Fail"),IF(Table1[[#This Row],[DUT Adj Read]]&gt;=Table1[[#This Row],[Low Tol]],"Pass","Fail")))</f>
        <v>Pass</v>
      </c>
      <c r="AG2161" s="1" t="str">
        <f>IF(AND(Table1[[#This Row],[Spec Type2]]="N/A",Table1[[#This Row],[DUT Adj Read]]="N/A",Table1[[#This Row],[Std Adj Read]]="N/A"),"N/A",IF(Table1[[#This Row],[DUT Adj Read]]="N/A",IF(Table1[[#This Row],[Std Adj Read]]&lt;=Table1[[#This Row],[High Tol]],"Pass","Fail"),IF(Table1[[#This Row],[DUT Adj Read]]&lt;=Table1[[#This Row],[High Tol]],"Pass","Fail")))</f>
        <v>Fail</v>
      </c>
      <c r="AH21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1" s="1" t="b">
        <v>0</v>
      </c>
      <c r="AN2161" s="1" t="b">
        <v>0</v>
      </c>
      <c r="AO2161" s="1" t="b">
        <v>0</v>
      </c>
    </row>
    <row r="2162" spans="1:41" x14ac:dyDescent="0.25">
      <c r="A2162" s="10"/>
      <c r="B2162" s="10"/>
      <c r="C2162" s="10"/>
      <c r="D2162" s="10"/>
      <c r="E2162" s="10"/>
      <c r="F2162" s="10"/>
      <c r="G2162" s="10"/>
      <c r="H2162" s="10"/>
      <c r="I2162" s="1" t="str">
        <f t="shared" si="99"/>
        <v/>
      </c>
      <c r="J2162" s="1" t="s">
        <v>35</v>
      </c>
      <c r="K2162" s="1" t="str">
        <f t="shared" si="100"/>
        <v/>
      </c>
      <c r="L2162" s="1" t="str">
        <f t="shared" si="101"/>
        <v/>
      </c>
      <c r="M2162" s="1">
        <f>IF(OR(Table1[[#This Row],[Std Nom]]="",Table1[[#This Row],[Std Read]]=""),0,Table1[[#This Row],[Std Nom]]-Table1[[#This Row],[Std Read]])</f>
        <v>0</v>
      </c>
      <c r="N2162" s="1">
        <f>IF(Calculations!$F$5="ACCREDITED 17025 WITH UNCERTAINTIES",$N$10,0)</f>
        <v>0</v>
      </c>
      <c r="Q2162" s="1">
        <f>Table1[[#This Row],[High Tol]]-Table1[[#This Row],[Low Tol]]</f>
        <v>0</v>
      </c>
      <c r="R2162" s="1">
        <f>2*Table1[[#This Row],[Std Error]]</f>
        <v>0</v>
      </c>
      <c r="S2162" s="1" t="str">
        <f>IF(Table1[[#This Row],[High Tol]]="","N/A",IFERROR(ABS(Table1[[#This Row],[Tol Span]]/Table1[[#This Row],[Error Span]]),"N/A"))</f>
        <v>N/A</v>
      </c>
      <c r="T2162" s="1" t="str">
        <f>IF(OR(Table1[[#This Row],[Low Tol]]="",Table1[[#This Row],[High Tol]]=""),"Needs Analysis",IF(Table1[[#This Row],[Ratio]]&gt;=4,"Not Significant",IF(Table1[[#This Row],[Ratio]]&gt;=2,"Semi-Significant","Significant")))</f>
        <v>Needs Analysis</v>
      </c>
      <c r="W2162" s="1">
        <f>IF(Table1[[#This Row],[Cal Type]]&lt;&gt;"ACCREDITED 17025 WITH UNCERTAINTIES",0,"")</f>
        <v>0</v>
      </c>
      <c r="X2162" s="1" t="str">
        <f>IF(Table1[[#This Row],[DUT Read]]="","N/A",Table1[[#This Row],[Std Error]]+Table1[[#This Row],[DUT Read]]+Table1[[#This Row],[DUT Ucty]])</f>
        <v>N/A</v>
      </c>
      <c r="Y2162" s="1" t="str">
        <f>IF(Table1[[#This Row],[Std Read]]="","N/A",Table1[[#This Row],[Std Read]]+Table1[[#This Row],[Std Ucty]])</f>
        <v>N/A</v>
      </c>
      <c r="Z21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2" s="1" t="str">
        <f>IF(Table1[[#This Row],[Spec Type]]="","N/A",Table1[[#This Row],[Spec Type]])</f>
        <v>±</v>
      </c>
      <c r="AC2162" s="1" t="str">
        <f>IF(Table1[[#This Row],[Spec Type2]]="N/A","N/A",IF(AND(Table1[[#This Row],[DUT Adj Read]]&gt;=Table1[[#This Row],[Low Tol]],Table1[[#This Row],[DUT Adj Read]]&lt;=Table1[[#This Row],[High Tol]]),"Pass","Fail"))</f>
        <v>Fail</v>
      </c>
      <c r="AD2162" s="1" t="str">
        <f>IF(AND(Table1[[#This Row],[Spec Type2]]="N/A",Table1[[#This Row],[DUT Adj Read]]="N/A",Table1[[#This Row],[Std Adj Read]]="N/A"),"N/A",IF(Table1[[#This Row],[DUT Adj Read]]="N/A",IF(Table1[[#This Row],[Std Adj Read]]&gt;Table1[[#This Row],[Low Tol]],"Pass","Fail"),IF(Table1[[#This Row],[DUT Adj Read]]&gt;Table1[[#This Row],[Low Tol]],"Pass","Fail")))</f>
        <v>Pass</v>
      </c>
      <c r="AE2162" s="1" t="str">
        <f>IF(AND(Table1[[#This Row],[Spec Type2]]="N/A",Table1[[#This Row],[DUT Adj Read]]="N/A",Table1[[#This Row],[Std Adj Read]]="N/A"),"N/A",IF(Table1[[#This Row],[DUT Adj Read]]="N/A",IF(Table1[[#This Row],[Std Adj Read]]&lt;Table1[[#This Row],[High Tol]],"Pass","Fail"),IF(Table1[[#This Row],[DUT Adj Read]]&lt;Table1[[#This Row],[High Tol]],"Pass","Fail")))</f>
        <v>Fail</v>
      </c>
      <c r="AF2162" s="1" t="str">
        <f>IF(AND(Table1[[#This Row],[Spec Type2]]="N/A",Table1[[#This Row],[DUT Adj Read]]="N/A",Table1[[#This Row],[Std Adj Read]]="N/A"),"N/A",IF(Table1[[#This Row],[DUT Adj Read]]="N/A",IF(Table1[[#This Row],[Std Adj Read]]&gt;=Table1[[#This Row],[Low Tol]],"Pass","Fail"),IF(Table1[[#This Row],[DUT Adj Read]]&gt;=Table1[[#This Row],[Low Tol]],"Pass","Fail")))</f>
        <v>Pass</v>
      </c>
      <c r="AG2162" s="1" t="str">
        <f>IF(AND(Table1[[#This Row],[Spec Type2]]="N/A",Table1[[#This Row],[DUT Adj Read]]="N/A",Table1[[#This Row],[Std Adj Read]]="N/A"),"N/A",IF(Table1[[#This Row],[DUT Adj Read]]="N/A",IF(Table1[[#This Row],[Std Adj Read]]&lt;=Table1[[#This Row],[High Tol]],"Pass","Fail"),IF(Table1[[#This Row],[DUT Adj Read]]&lt;=Table1[[#This Row],[High Tol]],"Pass","Fail")))</f>
        <v>Fail</v>
      </c>
      <c r="AH21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2" s="1" t="b">
        <v>0</v>
      </c>
      <c r="AN2162" s="1" t="b">
        <v>0</v>
      </c>
      <c r="AO2162" s="1" t="b">
        <v>0</v>
      </c>
    </row>
    <row r="2163" spans="1:41" x14ac:dyDescent="0.25">
      <c r="A2163" s="10"/>
      <c r="B2163" s="10"/>
      <c r="C2163" s="10"/>
      <c r="D2163" s="10"/>
      <c r="E2163" s="10"/>
      <c r="F2163" s="10"/>
      <c r="G2163" s="10"/>
      <c r="H2163" s="10"/>
      <c r="I2163" s="1" t="str">
        <f t="shared" si="99"/>
        <v/>
      </c>
      <c r="J2163" s="1" t="s">
        <v>35</v>
      </c>
      <c r="K2163" s="1" t="str">
        <f t="shared" si="100"/>
        <v/>
      </c>
      <c r="L2163" s="1" t="str">
        <f t="shared" si="101"/>
        <v/>
      </c>
      <c r="M2163" s="1">
        <f>IF(OR(Table1[[#This Row],[Std Nom]]="",Table1[[#This Row],[Std Read]]=""),0,Table1[[#This Row],[Std Nom]]-Table1[[#This Row],[Std Read]])</f>
        <v>0</v>
      </c>
      <c r="N2163" s="1">
        <f>IF(Calculations!$F$5="ACCREDITED 17025 WITH UNCERTAINTIES",$N$10,0)</f>
        <v>0</v>
      </c>
      <c r="Q2163" s="1">
        <f>Table1[[#This Row],[High Tol]]-Table1[[#This Row],[Low Tol]]</f>
        <v>0</v>
      </c>
      <c r="R2163" s="1">
        <f>2*Table1[[#This Row],[Std Error]]</f>
        <v>0</v>
      </c>
      <c r="S2163" s="1" t="str">
        <f>IF(Table1[[#This Row],[High Tol]]="","N/A",IFERROR(ABS(Table1[[#This Row],[Tol Span]]/Table1[[#This Row],[Error Span]]),"N/A"))</f>
        <v>N/A</v>
      </c>
      <c r="T2163" s="1" t="str">
        <f>IF(OR(Table1[[#This Row],[Low Tol]]="",Table1[[#This Row],[High Tol]]=""),"Needs Analysis",IF(Table1[[#This Row],[Ratio]]&gt;=4,"Not Significant",IF(Table1[[#This Row],[Ratio]]&gt;=2,"Semi-Significant","Significant")))</f>
        <v>Needs Analysis</v>
      </c>
      <c r="W2163" s="1">
        <f>IF(Table1[[#This Row],[Cal Type]]&lt;&gt;"ACCREDITED 17025 WITH UNCERTAINTIES",0,"")</f>
        <v>0</v>
      </c>
      <c r="X2163" s="1" t="str">
        <f>IF(Table1[[#This Row],[DUT Read]]="","N/A",Table1[[#This Row],[Std Error]]+Table1[[#This Row],[DUT Read]]+Table1[[#This Row],[DUT Ucty]])</f>
        <v>N/A</v>
      </c>
      <c r="Y2163" s="1" t="str">
        <f>IF(Table1[[#This Row],[Std Read]]="","N/A",Table1[[#This Row],[Std Read]]+Table1[[#This Row],[Std Ucty]])</f>
        <v>N/A</v>
      </c>
      <c r="Z21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3" s="1" t="str">
        <f>IF(Table1[[#This Row],[Spec Type]]="","N/A",Table1[[#This Row],[Spec Type]])</f>
        <v>±</v>
      </c>
      <c r="AC2163" s="1" t="str">
        <f>IF(Table1[[#This Row],[Spec Type2]]="N/A","N/A",IF(AND(Table1[[#This Row],[DUT Adj Read]]&gt;=Table1[[#This Row],[Low Tol]],Table1[[#This Row],[DUT Adj Read]]&lt;=Table1[[#This Row],[High Tol]]),"Pass","Fail"))</f>
        <v>Fail</v>
      </c>
      <c r="AD2163" s="1" t="str">
        <f>IF(AND(Table1[[#This Row],[Spec Type2]]="N/A",Table1[[#This Row],[DUT Adj Read]]="N/A",Table1[[#This Row],[Std Adj Read]]="N/A"),"N/A",IF(Table1[[#This Row],[DUT Adj Read]]="N/A",IF(Table1[[#This Row],[Std Adj Read]]&gt;Table1[[#This Row],[Low Tol]],"Pass","Fail"),IF(Table1[[#This Row],[DUT Adj Read]]&gt;Table1[[#This Row],[Low Tol]],"Pass","Fail")))</f>
        <v>Pass</v>
      </c>
      <c r="AE2163" s="1" t="str">
        <f>IF(AND(Table1[[#This Row],[Spec Type2]]="N/A",Table1[[#This Row],[DUT Adj Read]]="N/A",Table1[[#This Row],[Std Adj Read]]="N/A"),"N/A",IF(Table1[[#This Row],[DUT Adj Read]]="N/A",IF(Table1[[#This Row],[Std Adj Read]]&lt;Table1[[#This Row],[High Tol]],"Pass","Fail"),IF(Table1[[#This Row],[DUT Adj Read]]&lt;Table1[[#This Row],[High Tol]],"Pass","Fail")))</f>
        <v>Fail</v>
      </c>
      <c r="AF2163" s="1" t="str">
        <f>IF(AND(Table1[[#This Row],[Spec Type2]]="N/A",Table1[[#This Row],[DUT Adj Read]]="N/A",Table1[[#This Row],[Std Adj Read]]="N/A"),"N/A",IF(Table1[[#This Row],[DUT Adj Read]]="N/A",IF(Table1[[#This Row],[Std Adj Read]]&gt;=Table1[[#This Row],[Low Tol]],"Pass","Fail"),IF(Table1[[#This Row],[DUT Adj Read]]&gt;=Table1[[#This Row],[Low Tol]],"Pass","Fail")))</f>
        <v>Pass</v>
      </c>
      <c r="AG2163" s="1" t="str">
        <f>IF(AND(Table1[[#This Row],[Spec Type2]]="N/A",Table1[[#This Row],[DUT Adj Read]]="N/A",Table1[[#This Row],[Std Adj Read]]="N/A"),"N/A",IF(Table1[[#This Row],[DUT Adj Read]]="N/A",IF(Table1[[#This Row],[Std Adj Read]]&lt;=Table1[[#This Row],[High Tol]],"Pass","Fail"),IF(Table1[[#This Row],[DUT Adj Read]]&lt;=Table1[[#This Row],[High Tol]],"Pass","Fail")))</f>
        <v>Fail</v>
      </c>
      <c r="AH21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3" s="1" t="b">
        <v>0</v>
      </c>
      <c r="AN2163" s="1" t="b">
        <v>0</v>
      </c>
      <c r="AO2163" s="1" t="b">
        <v>0</v>
      </c>
    </row>
    <row r="2164" spans="1:41" x14ac:dyDescent="0.25">
      <c r="A2164" s="10"/>
      <c r="B2164" s="10"/>
      <c r="C2164" s="10"/>
      <c r="D2164" s="10"/>
      <c r="E2164" s="10"/>
      <c r="F2164" s="10"/>
      <c r="G2164" s="10"/>
      <c r="H2164" s="10"/>
      <c r="I2164" s="1" t="str">
        <f t="shared" si="99"/>
        <v/>
      </c>
      <c r="J2164" s="1" t="s">
        <v>35</v>
      </c>
      <c r="K2164" s="1" t="str">
        <f t="shared" si="100"/>
        <v/>
      </c>
      <c r="L2164" s="1" t="str">
        <f t="shared" si="101"/>
        <v/>
      </c>
      <c r="M2164" s="1">
        <f>IF(OR(Table1[[#This Row],[Std Nom]]="",Table1[[#This Row],[Std Read]]=""),0,Table1[[#This Row],[Std Nom]]-Table1[[#This Row],[Std Read]])</f>
        <v>0</v>
      </c>
      <c r="N2164" s="1">
        <f>IF(Calculations!$F$5="ACCREDITED 17025 WITH UNCERTAINTIES",$N$10,0)</f>
        <v>0</v>
      </c>
      <c r="Q2164" s="1">
        <f>Table1[[#This Row],[High Tol]]-Table1[[#This Row],[Low Tol]]</f>
        <v>0</v>
      </c>
      <c r="R2164" s="1">
        <f>2*Table1[[#This Row],[Std Error]]</f>
        <v>0</v>
      </c>
      <c r="S2164" s="1" t="str">
        <f>IF(Table1[[#This Row],[High Tol]]="","N/A",IFERROR(ABS(Table1[[#This Row],[Tol Span]]/Table1[[#This Row],[Error Span]]),"N/A"))</f>
        <v>N/A</v>
      </c>
      <c r="T2164" s="1" t="str">
        <f>IF(OR(Table1[[#This Row],[Low Tol]]="",Table1[[#This Row],[High Tol]]=""),"Needs Analysis",IF(Table1[[#This Row],[Ratio]]&gt;=4,"Not Significant",IF(Table1[[#This Row],[Ratio]]&gt;=2,"Semi-Significant","Significant")))</f>
        <v>Needs Analysis</v>
      </c>
      <c r="W2164" s="1">
        <f>IF(Table1[[#This Row],[Cal Type]]&lt;&gt;"ACCREDITED 17025 WITH UNCERTAINTIES",0,"")</f>
        <v>0</v>
      </c>
      <c r="X2164" s="1" t="str">
        <f>IF(Table1[[#This Row],[DUT Read]]="","N/A",Table1[[#This Row],[Std Error]]+Table1[[#This Row],[DUT Read]]+Table1[[#This Row],[DUT Ucty]])</f>
        <v>N/A</v>
      </c>
      <c r="Y2164" s="1" t="str">
        <f>IF(Table1[[#This Row],[Std Read]]="","N/A",Table1[[#This Row],[Std Read]]+Table1[[#This Row],[Std Ucty]])</f>
        <v>N/A</v>
      </c>
      <c r="Z21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4" s="1" t="str">
        <f>IF(Table1[[#This Row],[Spec Type]]="","N/A",Table1[[#This Row],[Spec Type]])</f>
        <v>±</v>
      </c>
      <c r="AC2164" s="1" t="str">
        <f>IF(Table1[[#This Row],[Spec Type2]]="N/A","N/A",IF(AND(Table1[[#This Row],[DUT Adj Read]]&gt;=Table1[[#This Row],[Low Tol]],Table1[[#This Row],[DUT Adj Read]]&lt;=Table1[[#This Row],[High Tol]]),"Pass","Fail"))</f>
        <v>Fail</v>
      </c>
      <c r="AD2164" s="1" t="str">
        <f>IF(AND(Table1[[#This Row],[Spec Type2]]="N/A",Table1[[#This Row],[DUT Adj Read]]="N/A",Table1[[#This Row],[Std Adj Read]]="N/A"),"N/A",IF(Table1[[#This Row],[DUT Adj Read]]="N/A",IF(Table1[[#This Row],[Std Adj Read]]&gt;Table1[[#This Row],[Low Tol]],"Pass","Fail"),IF(Table1[[#This Row],[DUT Adj Read]]&gt;Table1[[#This Row],[Low Tol]],"Pass","Fail")))</f>
        <v>Pass</v>
      </c>
      <c r="AE2164" s="1" t="str">
        <f>IF(AND(Table1[[#This Row],[Spec Type2]]="N/A",Table1[[#This Row],[DUT Adj Read]]="N/A",Table1[[#This Row],[Std Adj Read]]="N/A"),"N/A",IF(Table1[[#This Row],[DUT Adj Read]]="N/A",IF(Table1[[#This Row],[Std Adj Read]]&lt;Table1[[#This Row],[High Tol]],"Pass","Fail"),IF(Table1[[#This Row],[DUT Adj Read]]&lt;Table1[[#This Row],[High Tol]],"Pass","Fail")))</f>
        <v>Fail</v>
      </c>
      <c r="AF2164" s="1" t="str">
        <f>IF(AND(Table1[[#This Row],[Spec Type2]]="N/A",Table1[[#This Row],[DUT Adj Read]]="N/A",Table1[[#This Row],[Std Adj Read]]="N/A"),"N/A",IF(Table1[[#This Row],[DUT Adj Read]]="N/A",IF(Table1[[#This Row],[Std Adj Read]]&gt;=Table1[[#This Row],[Low Tol]],"Pass","Fail"),IF(Table1[[#This Row],[DUT Adj Read]]&gt;=Table1[[#This Row],[Low Tol]],"Pass","Fail")))</f>
        <v>Pass</v>
      </c>
      <c r="AG2164" s="1" t="str">
        <f>IF(AND(Table1[[#This Row],[Spec Type2]]="N/A",Table1[[#This Row],[DUT Adj Read]]="N/A",Table1[[#This Row],[Std Adj Read]]="N/A"),"N/A",IF(Table1[[#This Row],[DUT Adj Read]]="N/A",IF(Table1[[#This Row],[Std Adj Read]]&lt;=Table1[[#This Row],[High Tol]],"Pass","Fail"),IF(Table1[[#This Row],[DUT Adj Read]]&lt;=Table1[[#This Row],[High Tol]],"Pass","Fail")))</f>
        <v>Fail</v>
      </c>
      <c r="AH21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4" s="1" t="b">
        <v>0</v>
      </c>
      <c r="AN2164" s="1" t="b">
        <v>0</v>
      </c>
      <c r="AO2164" s="1" t="b">
        <v>0</v>
      </c>
    </row>
    <row r="2165" spans="1:41" x14ac:dyDescent="0.25">
      <c r="A2165" s="10"/>
      <c r="B2165" s="10"/>
      <c r="C2165" s="10"/>
      <c r="D2165" s="10"/>
      <c r="E2165" s="10"/>
      <c r="F2165" s="10"/>
      <c r="G2165" s="10"/>
      <c r="H2165" s="10"/>
      <c r="I2165" s="1" t="str">
        <f t="shared" si="99"/>
        <v/>
      </c>
      <c r="J2165" s="1" t="s">
        <v>35</v>
      </c>
      <c r="K2165" s="1" t="str">
        <f t="shared" si="100"/>
        <v/>
      </c>
      <c r="L2165" s="1" t="str">
        <f t="shared" si="101"/>
        <v/>
      </c>
      <c r="M2165" s="1">
        <f>IF(OR(Table1[[#This Row],[Std Nom]]="",Table1[[#This Row],[Std Read]]=""),0,Table1[[#This Row],[Std Nom]]-Table1[[#This Row],[Std Read]])</f>
        <v>0</v>
      </c>
      <c r="N2165" s="1">
        <f>IF(Calculations!$F$5="ACCREDITED 17025 WITH UNCERTAINTIES",$N$10,0)</f>
        <v>0</v>
      </c>
      <c r="Q2165" s="1">
        <f>Table1[[#This Row],[High Tol]]-Table1[[#This Row],[Low Tol]]</f>
        <v>0</v>
      </c>
      <c r="R2165" s="1">
        <f>2*Table1[[#This Row],[Std Error]]</f>
        <v>0</v>
      </c>
      <c r="S2165" s="1" t="str">
        <f>IF(Table1[[#This Row],[High Tol]]="","N/A",IFERROR(ABS(Table1[[#This Row],[Tol Span]]/Table1[[#This Row],[Error Span]]),"N/A"))</f>
        <v>N/A</v>
      </c>
      <c r="T2165" s="1" t="str">
        <f>IF(OR(Table1[[#This Row],[Low Tol]]="",Table1[[#This Row],[High Tol]]=""),"Needs Analysis",IF(Table1[[#This Row],[Ratio]]&gt;=4,"Not Significant",IF(Table1[[#This Row],[Ratio]]&gt;=2,"Semi-Significant","Significant")))</f>
        <v>Needs Analysis</v>
      </c>
      <c r="W2165" s="1">
        <f>IF(Table1[[#This Row],[Cal Type]]&lt;&gt;"ACCREDITED 17025 WITH UNCERTAINTIES",0,"")</f>
        <v>0</v>
      </c>
      <c r="X2165" s="1" t="str">
        <f>IF(Table1[[#This Row],[DUT Read]]="","N/A",Table1[[#This Row],[Std Error]]+Table1[[#This Row],[DUT Read]]+Table1[[#This Row],[DUT Ucty]])</f>
        <v>N/A</v>
      </c>
      <c r="Y2165" s="1" t="str">
        <f>IF(Table1[[#This Row],[Std Read]]="","N/A",Table1[[#This Row],[Std Read]]+Table1[[#This Row],[Std Ucty]])</f>
        <v>N/A</v>
      </c>
      <c r="Z21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5" s="1" t="str">
        <f>IF(Table1[[#This Row],[Spec Type]]="","N/A",Table1[[#This Row],[Spec Type]])</f>
        <v>±</v>
      </c>
      <c r="AC2165" s="1" t="str">
        <f>IF(Table1[[#This Row],[Spec Type2]]="N/A","N/A",IF(AND(Table1[[#This Row],[DUT Adj Read]]&gt;=Table1[[#This Row],[Low Tol]],Table1[[#This Row],[DUT Adj Read]]&lt;=Table1[[#This Row],[High Tol]]),"Pass","Fail"))</f>
        <v>Fail</v>
      </c>
      <c r="AD2165" s="1" t="str">
        <f>IF(AND(Table1[[#This Row],[Spec Type2]]="N/A",Table1[[#This Row],[DUT Adj Read]]="N/A",Table1[[#This Row],[Std Adj Read]]="N/A"),"N/A",IF(Table1[[#This Row],[DUT Adj Read]]="N/A",IF(Table1[[#This Row],[Std Adj Read]]&gt;Table1[[#This Row],[Low Tol]],"Pass","Fail"),IF(Table1[[#This Row],[DUT Adj Read]]&gt;Table1[[#This Row],[Low Tol]],"Pass","Fail")))</f>
        <v>Pass</v>
      </c>
      <c r="AE2165" s="1" t="str">
        <f>IF(AND(Table1[[#This Row],[Spec Type2]]="N/A",Table1[[#This Row],[DUT Adj Read]]="N/A",Table1[[#This Row],[Std Adj Read]]="N/A"),"N/A",IF(Table1[[#This Row],[DUT Adj Read]]="N/A",IF(Table1[[#This Row],[Std Adj Read]]&lt;Table1[[#This Row],[High Tol]],"Pass","Fail"),IF(Table1[[#This Row],[DUT Adj Read]]&lt;Table1[[#This Row],[High Tol]],"Pass","Fail")))</f>
        <v>Fail</v>
      </c>
      <c r="AF2165" s="1" t="str">
        <f>IF(AND(Table1[[#This Row],[Spec Type2]]="N/A",Table1[[#This Row],[DUT Adj Read]]="N/A",Table1[[#This Row],[Std Adj Read]]="N/A"),"N/A",IF(Table1[[#This Row],[DUT Adj Read]]="N/A",IF(Table1[[#This Row],[Std Adj Read]]&gt;=Table1[[#This Row],[Low Tol]],"Pass","Fail"),IF(Table1[[#This Row],[DUT Adj Read]]&gt;=Table1[[#This Row],[Low Tol]],"Pass","Fail")))</f>
        <v>Pass</v>
      </c>
      <c r="AG2165" s="1" t="str">
        <f>IF(AND(Table1[[#This Row],[Spec Type2]]="N/A",Table1[[#This Row],[DUT Adj Read]]="N/A",Table1[[#This Row],[Std Adj Read]]="N/A"),"N/A",IF(Table1[[#This Row],[DUT Adj Read]]="N/A",IF(Table1[[#This Row],[Std Adj Read]]&lt;=Table1[[#This Row],[High Tol]],"Pass","Fail"),IF(Table1[[#This Row],[DUT Adj Read]]&lt;=Table1[[#This Row],[High Tol]],"Pass","Fail")))</f>
        <v>Fail</v>
      </c>
      <c r="AH21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5" s="1" t="b">
        <v>0</v>
      </c>
      <c r="AN2165" s="1" t="b">
        <v>0</v>
      </c>
      <c r="AO2165" s="1" t="b">
        <v>0</v>
      </c>
    </row>
    <row r="2166" spans="1:41" x14ac:dyDescent="0.25">
      <c r="A2166" s="10"/>
      <c r="B2166" s="10"/>
      <c r="C2166" s="10"/>
      <c r="D2166" s="10"/>
      <c r="E2166" s="10"/>
      <c r="F2166" s="10"/>
      <c r="G2166" s="10"/>
      <c r="H2166" s="10"/>
      <c r="I2166" s="1" t="str">
        <f t="shared" si="99"/>
        <v/>
      </c>
      <c r="J2166" s="1" t="s">
        <v>35</v>
      </c>
      <c r="K2166" s="1" t="str">
        <f t="shared" si="100"/>
        <v/>
      </c>
      <c r="L2166" s="1" t="str">
        <f t="shared" si="101"/>
        <v/>
      </c>
      <c r="M2166" s="1">
        <f>IF(OR(Table1[[#This Row],[Std Nom]]="",Table1[[#This Row],[Std Read]]=""),0,Table1[[#This Row],[Std Nom]]-Table1[[#This Row],[Std Read]])</f>
        <v>0</v>
      </c>
      <c r="N2166" s="1">
        <f>IF(Calculations!$F$5="ACCREDITED 17025 WITH UNCERTAINTIES",$N$10,0)</f>
        <v>0</v>
      </c>
      <c r="Q2166" s="1">
        <f>Table1[[#This Row],[High Tol]]-Table1[[#This Row],[Low Tol]]</f>
        <v>0</v>
      </c>
      <c r="R2166" s="1">
        <f>2*Table1[[#This Row],[Std Error]]</f>
        <v>0</v>
      </c>
      <c r="S2166" s="1" t="str">
        <f>IF(Table1[[#This Row],[High Tol]]="","N/A",IFERROR(ABS(Table1[[#This Row],[Tol Span]]/Table1[[#This Row],[Error Span]]),"N/A"))</f>
        <v>N/A</v>
      </c>
      <c r="T2166" s="1" t="str">
        <f>IF(OR(Table1[[#This Row],[Low Tol]]="",Table1[[#This Row],[High Tol]]=""),"Needs Analysis",IF(Table1[[#This Row],[Ratio]]&gt;=4,"Not Significant",IF(Table1[[#This Row],[Ratio]]&gt;=2,"Semi-Significant","Significant")))</f>
        <v>Needs Analysis</v>
      </c>
      <c r="W2166" s="1">
        <f>IF(Table1[[#This Row],[Cal Type]]&lt;&gt;"ACCREDITED 17025 WITH UNCERTAINTIES",0,"")</f>
        <v>0</v>
      </c>
      <c r="X2166" s="1" t="str">
        <f>IF(Table1[[#This Row],[DUT Read]]="","N/A",Table1[[#This Row],[Std Error]]+Table1[[#This Row],[DUT Read]]+Table1[[#This Row],[DUT Ucty]])</f>
        <v>N/A</v>
      </c>
      <c r="Y2166" s="1" t="str">
        <f>IF(Table1[[#This Row],[Std Read]]="","N/A",Table1[[#This Row],[Std Read]]+Table1[[#This Row],[Std Ucty]])</f>
        <v>N/A</v>
      </c>
      <c r="Z21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6" s="1" t="str">
        <f>IF(Table1[[#This Row],[Spec Type]]="","N/A",Table1[[#This Row],[Spec Type]])</f>
        <v>±</v>
      </c>
      <c r="AC2166" s="1" t="str">
        <f>IF(Table1[[#This Row],[Spec Type2]]="N/A","N/A",IF(AND(Table1[[#This Row],[DUT Adj Read]]&gt;=Table1[[#This Row],[Low Tol]],Table1[[#This Row],[DUT Adj Read]]&lt;=Table1[[#This Row],[High Tol]]),"Pass","Fail"))</f>
        <v>Fail</v>
      </c>
      <c r="AD2166" s="1" t="str">
        <f>IF(AND(Table1[[#This Row],[Spec Type2]]="N/A",Table1[[#This Row],[DUT Adj Read]]="N/A",Table1[[#This Row],[Std Adj Read]]="N/A"),"N/A",IF(Table1[[#This Row],[DUT Adj Read]]="N/A",IF(Table1[[#This Row],[Std Adj Read]]&gt;Table1[[#This Row],[Low Tol]],"Pass","Fail"),IF(Table1[[#This Row],[DUT Adj Read]]&gt;Table1[[#This Row],[Low Tol]],"Pass","Fail")))</f>
        <v>Pass</v>
      </c>
      <c r="AE2166" s="1" t="str">
        <f>IF(AND(Table1[[#This Row],[Spec Type2]]="N/A",Table1[[#This Row],[DUT Adj Read]]="N/A",Table1[[#This Row],[Std Adj Read]]="N/A"),"N/A",IF(Table1[[#This Row],[DUT Adj Read]]="N/A",IF(Table1[[#This Row],[Std Adj Read]]&lt;Table1[[#This Row],[High Tol]],"Pass","Fail"),IF(Table1[[#This Row],[DUT Adj Read]]&lt;Table1[[#This Row],[High Tol]],"Pass","Fail")))</f>
        <v>Fail</v>
      </c>
      <c r="AF2166" s="1" t="str">
        <f>IF(AND(Table1[[#This Row],[Spec Type2]]="N/A",Table1[[#This Row],[DUT Adj Read]]="N/A",Table1[[#This Row],[Std Adj Read]]="N/A"),"N/A",IF(Table1[[#This Row],[DUT Adj Read]]="N/A",IF(Table1[[#This Row],[Std Adj Read]]&gt;=Table1[[#This Row],[Low Tol]],"Pass","Fail"),IF(Table1[[#This Row],[DUT Adj Read]]&gt;=Table1[[#This Row],[Low Tol]],"Pass","Fail")))</f>
        <v>Pass</v>
      </c>
      <c r="AG2166" s="1" t="str">
        <f>IF(AND(Table1[[#This Row],[Spec Type2]]="N/A",Table1[[#This Row],[DUT Adj Read]]="N/A",Table1[[#This Row],[Std Adj Read]]="N/A"),"N/A",IF(Table1[[#This Row],[DUT Adj Read]]="N/A",IF(Table1[[#This Row],[Std Adj Read]]&lt;=Table1[[#This Row],[High Tol]],"Pass","Fail"),IF(Table1[[#This Row],[DUT Adj Read]]&lt;=Table1[[#This Row],[High Tol]],"Pass","Fail")))</f>
        <v>Fail</v>
      </c>
      <c r="AH21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6" s="1" t="b">
        <v>0</v>
      </c>
      <c r="AN2166" s="1" t="b">
        <v>0</v>
      </c>
      <c r="AO2166" s="1" t="b">
        <v>0</v>
      </c>
    </row>
    <row r="2167" spans="1:41" x14ac:dyDescent="0.25">
      <c r="A2167" s="10"/>
      <c r="B2167" s="10"/>
      <c r="C2167" s="10"/>
      <c r="D2167" s="10"/>
      <c r="E2167" s="10"/>
      <c r="F2167" s="10"/>
      <c r="G2167" s="10"/>
      <c r="H2167" s="10"/>
      <c r="I2167" s="1" t="str">
        <f t="shared" si="99"/>
        <v/>
      </c>
      <c r="J2167" s="1" t="s">
        <v>35</v>
      </c>
      <c r="K2167" s="1" t="str">
        <f t="shared" si="100"/>
        <v/>
      </c>
      <c r="L2167" s="1" t="str">
        <f t="shared" si="101"/>
        <v/>
      </c>
      <c r="M2167" s="1">
        <f>IF(OR(Table1[[#This Row],[Std Nom]]="",Table1[[#This Row],[Std Read]]=""),0,Table1[[#This Row],[Std Nom]]-Table1[[#This Row],[Std Read]])</f>
        <v>0</v>
      </c>
      <c r="N2167" s="1">
        <f>IF(Calculations!$F$5="ACCREDITED 17025 WITH UNCERTAINTIES",$N$10,0)</f>
        <v>0</v>
      </c>
      <c r="Q2167" s="1">
        <f>Table1[[#This Row],[High Tol]]-Table1[[#This Row],[Low Tol]]</f>
        <v>0</v>
      </c>
      <c r="R2167" s="1">
        <f>2*Table1[[#This Row],[Std Error]]</f>
        <v>0</v>
      </c>
      <c r="S2167" s="1" t="str">
        <f>IF(Table1[[#This Row],[High Tol]]="","N/A",IFERROR(ABS(Table1[[#This Row],[Tol Span]]/Table1[[#This Row],[Error Span]]),"N/A"))</f>
        <v>N/A</v>
      </c>
      <c r="T2167" s="1" t="str">
        <f>IF(OR(Table1[[#This Row],[Low Tol]]="",Table1[[#This Row],[High Tol]]=""),"Needs Analysis",IF(Table1[[#This Row],[Ratio]]&gt;=4,"Not Significant",IF(Table1[[#This Row],[Ratio]]&gt;=2,"Semi-Significant","Significant")))</f>
        <v>Needs Analysis</v>
      </c>
      <c r="W2167" s="1">
        <f>IF(Table1[[#This Row],[Cal Type]]&lt;&gt;"ACCREDITED 17025 WITH UNCERTAINTIES",0,"")</f>
        <v>0</v>
      </c>
      <c r="X2167" s="1" t="str">
        <f>IF(Table1[[#This Row],[DUT Read]]="","N/A",Table1[[#This Row],[Std Error]]+Table1[[#This Row],[DUT Read]]+Table1[[#This Row],[DUT Ucty]])</f>
        <v>N/A</v>
      </c>
      <c r="Y2167" s="1" t="str">
        <f>IF(Table1[[#This Row],[Std Read]]="","N/A",Table1[[#This Row],[Std Read]]+Table1[[#This Row],[Std Ucty]])</f>
        <v>N/A</v>
      </c>
      <c r="Z21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7" s="1" t="str">
        <f>IF(Table1[[#This Row],[Spec Type]]="","N/A",Table1[[#This Row],[Spec Type]])</f>
        <v>±</v>
      </c>
      <c r="AC2167" s="1" t="str">
        <f>IF(Table1[[#This Row],[Spec Type2]]="N/A","N/A",IF(AND(Table1[[#This Row],[DUT Adj Read]]&gt;=Table1[[#This Row],[Low Tol]],Table1[[#This Row],[DUT Adj Read]]&lt;=Table1[[#This Row],[High Tol]]),"Pass","Fail"))</f>
        <v>Fail</v>
      </c>
      <c r="AD2167" s="1" t="str">
        <f>IF(AND(Table1[[#This Row],[Spec Type2]]="N/A",Table1[[#This Row],[DUT Adj Read]]="N/A",Table1[[#This Row],[Std Adj Read]]="N/A"),"N/A",IF(Table1[[#This Row],[DUT Adj Read]]="N/A",IF(Table1[[#This Row],[Std Adj Read]]&gt;Table1[[#This Row],[Low Tol]],"Pass","Fail"),IF(Table1[[#This Row],[DUT Adj Read]]&gt;Table1[[#This Row],[Low Tol]],"Pass","Fail")))</f>
        <v>Pass</v>
      </c>
      <c r="AE2167" s="1" t="str">
        <f>IF(AND(Table1[[#This Row],[Spec Type2]]="N/A",Table1[[#This Row],[DUT Adj Read]]="N/A",Table1[[#This Row],[Std Adj Read]]="N/A"),"N/A",IF(Table1[[#This Row],[DUT Adj Read]]="N/A",IF(Table1[[#This Row],[Std Adj Read]]&lt;Table1[[#This Row],[High Tol]],"Pass","Fail"),IF(Table1[[#This Row],[DUT Adj Read]]&lt;Table1[[#This Row],[High Tol]],"Pass","Fail")))</f>
        <v>Fail</v>
      </c>
      <c r="AF2167" s="1" t="str">
        <f>IF(AND(Table1[[#This Row],[Spec Type2]]="N/A",Table1[[#This Row],[DUT Adj Read]]="N/A",Table1[[#This Row],[Std Adj Read]]="N/A"),"N/A",IF(Table1[[#This Row],[DUT Adj Read]]="N/A",IF(Table1[[#This Row],[Std Adj Read]]&gt;=Table1[[#This Row],[Low Tol]],"Pass","Fail"),IF(Table1[[#This Row],[DUT Adj Read]]&gt;=Table1[[#This Row],[Low Tol]],"Pass","Fail")))</f>
        <v>Pass</v>
      </c>
      <c r="AG2167" s="1" t="str">
        <f>IF(AND(Table1[[#This Row],[Spec Type2]]="N/A",Table1[[#This Row],[DUT Adj Read]]="N/A",Table1[[#This Row],[Std Adj Read]]="N/A"),"N/A",IF(Table1[[#This Row],[DUT Adj Read]]="N/A",IF(Table1[[#This Row],[Std Adj Read]]&lt;=Table1[[#This Row],[High Tol]],"Pass","Fail"),IF(Table1[[#This Row],[DUT Adj Read]]&lt;=Table1[[#This Row],[High Tol]],"Pass","Fail")))</f>
        <v>Fail</v>
      </c>
      <c r="AH21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7" s="1" t="b">
        <v>0</v>
      </c>
      <c r="AN2167" s="1" t="b">
        <v>0</v>
      </c>
      <c r="AO2167" s="1" t="b">
        <v>0</v>
      </c>
    </row>
    <row r="2168" spans="1:41" x14ac:dyDescent="0.25">
      <c r="A2168" s="10"/>
      <c r="B2168" s="10"/>
      <c r="C2168" s="10"/>
      <c r="D2168" s="10"/>
      <c r="E2168" s="10"/>
      <c r="F2168" s="10"/>
      <c r="G2168" s="10"/>
      <c r="H2168" s="10"/>
      <c r="I2168" s="1" t="str">
        <f t="shared" si="99"/>
        <v/>
      </c>
      <c r="J2168" s="1" t="s">
        <v>35</v>
      </c>
      <c r="K2168" s="1" t="str">
        <f t="shared" si="100"/>
        <v/>
      </c>
      <c r="L2168" s="1" t="str">
        <f t="shared" si="101"/>
        <v/>
      </c>
      <c r="M2168" s="1">
        <f>IF(OR(Table1[[#This Row],[Std Nom]]="",Table1[[#This Row],[Std Read]]=""),0,Table1[[#This Row],[Std Nom]]-Table1[[#This Row],[Std Read]])</f>
        <v>0</v>
      </c>
      <c r="N2168" s="1">
        <f>IF(Calculations!$F$5="ACCREDITED 17025 WITH UNCERTAINTIES",$N$10,0)</f>
        <v>0</v>
      </c>
      <c r="Q2168" s="1">
        <f>Table1[[#This Row],[High Tol]]-Table1[[#This Row],[Low Tol]]</f>
        <v>0</v>
      </c>
      <c r="R2168" s="1">
        <f>2*Table1[[#This Row],[Std Error]]</f>
        <v>0</v>
      </c>
      <c r="S2168" s="1" t="str">
        <f>IF(Table1[[#This Row],[High Tol]]="","N/A",IFERROR(ABS(Table1[[#This Row],[Tol Span]]/Table1[[#This Row],[Error Span]]),"N/A"))</f>
        <v>N/A</v>
      </c>
      <c r="T2168" s="1" t="str">
        <f>IF(OR(Table1[[#This Row],[Low Tol]]="",Table1[[#This Row],[High Tol]]=""),"Needs Analysis",IF(Table1[[#This Row],[Ratio]]&gt;=4,"Not Significant",IF(Table1[[#This Row],[Ratio]]&gt;=2,"Semi-Significant","Significant")))</f>
        <v>Needs Analysis</v>
      </c>
      <c r="W2168" s="1">
        <f>IF(Table1[[#This Row],[Cal Type]]&lt;&gt;"ACCREDITED 17025 WITH UNCERTAINTIES",0,"")</f>
        <v>0</v>
      </c>
      <c r="X2168" s="1" t="str">
        <f>IF(Table1[[#This Row],[DUT Read]]="","N/A",Table1[[#This Row],[Std Error]]+Table1[[#This Row],[DUT Read]]+Table1[[#This Row],[DUT Ucty]])</f>
        <v>N/A</v>
      </c>
      <c r="Y2168" s="1" t="str">
        <f>IF(Table1[[#This Row],[Std Read]]="","N/A",Table1[[#This Row],[Std Read]]+Table1[[#This Row],[Std Ucty]])</f>
        <v>N/A</v>
      </c>
      <c r="Z21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8" s="1" t="str">
        <f>IF(Table1[[#This Row],[Spec Type]]="","N/A",Table1[[#This Row],[Spec Type]])</f>
        <v>±</v>
      </c>
      <c r="AC2168" s="1" t="str">
        <f>IF(Table1[[#This Row],[Spec Type2]]="N/A","N/A",IF(AND(Table1[[#This Row],[DUT Adj Read]]&gt;=Table1[[#This Row],[Low Tol]],Table1[[#This Row],[DUT Adj Read]]&lt;=Table1[[#This Row],[High Tol]]),"Pass","Fail"))</f>
        <v>Fail</v>
      </c>
      <c r="AD2168" s="1" t="str">
        <f>IF(AND(Table1[[#This Row],[Spec Type2]]="N/A",Table1[[#This Row],[DUT Adj Read]]="N/A",Table1[[#This Row],[Std Adj Read]]="N/A"),"N/A",IF(Table1[[#This Row],[DUT Adj Read]]="N/A",IF(Table1[[#This Row],[Std Adj Read]]&gt;Table1[[#This Row],[Low Tol]],"Pass","Fail"),IF(Table1[[#This Row],[DUT Adj Read]]&gt;Table1[[#This Row],[Low Tol]],"Pass","Fail")))</f>
        <v>Pass</v>
      </c>
      <c r="AE2168" s="1" t="str">
        <f>IF(AND(Table1[[#This Row],[Spec Type2]]="N/A",Table1[[#This Row],[DUT Adj Read]]="N/A",Table1[[#This Row],[Std Adj Read]]="N/A"),"N/A",IF(Table1[[#This Row],[DUT Adj Read]]="N/A",IF(Table1[[#This Row],[Std Adj Read]]&lt;Table1[[#This Row],[High Tol]],"Pass","Fail"),IF(Table1[[#This Row],[DUT Adj Read]]&lt;Table1[[#This Row],[High Tol]],"Pass","Fail")))</f>
        <v>Fail</v>
      </c>
      <c r="AF2168" s="1" t="str">
        <f>IF(AND(Table1[[#This Row],[Spec Type2]]="N/A",Table1[[#This Row],[DUT Adj Read]]="N/A",Table1[[#This Row],[Std Adj Read]]="N/A"),"N/A",IF(Table1[[#This Row],[DUT Adj Read]]="N/A",IF(Table1[[#This Row],[Std Adj Read]]&gt;=Table1[[#This Row],[Low Tol]],"Pass","Fail"),IF(Table1[[#This Row],[DUT Adj Read]]&gt;=Table1[[#This Row],[Low Tol]],"Pass","Fail")))</f>
        <v>Pass</v>
      </c>
      <c r="AG2168" s="1" t="str">
        <f>IF(AND(Table1[[#This Row],[Spec Type2]]="N/A",Table1[[#This Row],[DUT Adj Read]]="N/A",Table1[[#This Row],[Std Adj Read]]="N/A"),"N/A",IF(Table1[[#This Row],[DUT Adj Read]]="N/A",IF(Table1[[#This Row],[Std Adj Read]]&lt;=Table1[[#This Row],[High Tol]],"Pass","Fail"),IF(Table1[[#This Row],[DUT Adj Read]]&lt;=Table1[[#This Row],[High Tol]],"Pass","Fail")))</f>
        <v>Fail</v>
      </c>
      <c r="AH21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8" s="1" t="b">
        <v>0</v>
      </c>
      <c r="AN2168" s="1" t="b">
        <v>0</v>
      </c>
      <c r="AO2168" s="1" t="b">
        <v>0</v>
      </c>
    </row>
    <row r="2169" spans="1:41" x14ac:dyDescent="0.25">
      <c r="A2169" s="10"/>
      <c r="B2169" s="10"/>
      <c r="C2169" s="10"/>
      <c r="D2169" s="10"/>
      <c r="E2169" s="10"/>
      <c r="F2169" s="10"/>
      <c r="G2169" s="10"/>
      <c r="H2169" s="10"/>
      <c r="I2169" s="1" t="str">
        <f t="shared" si="99"/>
        <v/>
      </c>
      <c r="J2169" s="1" t="s">
        <v>35</v>
      </c>
      <c r="K2169" s="1" t="str">
        <f t="shared" si="100"/>
        <v/>
      </c>
      <c r="L2169" s="1" t="str">
        <f t="shared" si="101"/>
        <v/>
      </c>
      <c r="M2169" s="1">
        <f>IF(OR(Table1[[#This Row],[Std Nom]]="",Table1[[#This Row],[Std Read]]=""),0,Table1[[#This Row],[Std Nom]]-Table1[[#This Row],[Std Read]])</f>
        <v>0</v>
      </c>
      <c r="N2169" s="1">
        <f>IF(Calculations!$F$5="ACCREDITED 17025 WITH UNCERTAINTIES",$N$10,0)</f>
        <v>0</v>
      </c>
      <c r="Q2169" s="1">
        <f>Table1[[#This Row],[High Tol]]-Table1[[#This Row],[Low Tol]]</f>
        <v>0</v>
      </c>
      <c r="R2169" s="1">
        <f>2*Table1[[#This Row],[Std Error]]</f>
        <v>0</v>
      </c>
      <c r="S2169" s="1" t="str">
        <f>IF(Table1[[#This Row],[High Tol]]="","N/A",IFERROR(ABS(Table1[[#This Row],[Tol Span]]/Table1[[#This Row],[Error Span]]),"N/A"))</f>
        <v>N/A</v>
      </c>
      <c r="T2169" s="1" t="str">
        <f>IF(OR(Table1[[#This Row],[Low Tol]]="",Table1[[#This Row],[High Tol]]=""),"Needs Analysis",IF(Table1[[#This Row],[Ratio]]&gt;=4,"Not Significant",IF(Table1[[#This Row],[Ratio]]&gt;=2,"Semi-Significant","Significant")))</f>
        <v>Needs Analysis</v>
      </c>
      <c r="W2169" s="1">
        <f>IF(Table1[[#This Row],[Cal Type]]&lt;&gt;"ACCREDITED 17025 WITH UNCERTAINTIES",0,"")</f>
        <v>0</v>
      </c>
      <c r="X2169" s="1" t="str">
        <f>IF(Table1[[#This Row],[DUT Read]]="","N/A",Table1[[#This Row],[Std Error]]+Table1[[#This Row],[DUT Read]]+Table1[[#This Row],[DUT Ucty]])</f>
        <v>N/A</v>
      </c>
      <c r="Y2169" s="1" t="str">
        <f>IF(Table1[[#This Row],[Std Read]]="","N/A",Table1[[#This Row],[Std Read]]+Table1[[#This Row],[Std Ucty]])</f>
        <v>N/A</v>
      </c>
      <c r="Z21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69" s="1" t="str">
        <f>IF(Table1[[#This Row],[Spec Type]]="","N/A",Table1[[#This Row],[Spec Type]])</f>
        <v>±</v>
      </c>
      <c r="AC2169" s="1" t="str">
        <f>IF(Table1[[#This Row],[Spec Type2]]="N/A","N/A",IF(AND(Table1[[#This Row],[DUT Adj Read]]&gt;=Table1[[#This Row],[Low Tol]],Table1[[#This Row],[DUT Adj Read]]&lt;=Table1[[#This Row],[High Tol]]),"Pass","Fail"))</f>
        <v>Fail</v>
      </c>
      <c r="AD2169" s="1" t="str">
        <f>IF(AND(Table1[[#This Row],[Spec Type2]]="N/A",Table1[[#This Row],[DUT Adj Read]]="N/A",Table1[[#This Row],[Std Adj Read]]="N/A"),"N/A",IF(Table1[[#This Row],[DUT Adj Read]]="N/A",IF(Table1[[#This Row],[Std Adj Read]]&gt;Table1[[#This Row],[Low Tol]],"Pass","Fail"),IF(Table1[[#This Row],[DUT Adj Read]]&gt;Table1[[#This Row],[Low Tol]],"Pass","Fail")))</f>
        <v>Pass</v>
      </c>
      <c r="AE2169" s="1" t="str">
        <f>IF(AND(Table1[[#This Row],[Spec Type2]]="N/A",Table1[[#This Row],[DUT Adj Read]]="N/A",Table1[[#This Row],[Std Adj Read]]="N/A"),"N/A",IF(Table1[[#This Row],[DUT Adj Read]]="N/A",IF(Table1[[#This Row],[Std Adj Read]]&lt;Table1[[#This Row],[High Tol]],"Pass","Fail"),IF(Table1[[#This Row],[DUT Adj Read]]&lt;Table1[[#This Row],[High Tol]],"Pass","Fail")))</f>
        <v>Fail</v>
      </c>
      <c r="AF2169" s="1" t="str">
        <f>IF(AND(Table1[[#This Row],[Spec Type2]]="N/A",Table1[[#This Row],[DUT Adj Read]]="N/A",Table1[[#This Row],[Std Adj Read]]="N/A"),"N/A",IF(Table1[[#This Row],[DUT Adj Read]]="N/A",IF(Table1[[#This Row],[Std Adj Read]]&gt;=Table1[[#This Row],[Low Tol]],"Pass","Fail"),IF(Table1[[#This Row],[DUT Adj Read]]&gt;=Table1[[#This Row],[Low Tol]],"Pass","Fail")))</f>
        <v>Pass</v>
      </c>
      <c r="AG2169" s="1" t="str">
        <f>IF(AND(Table1[[#This Row],[Spec Type2]]="N/A",Table1[[#This Row],[DUT Adj Read]]="N/A",Table1[[#This Row],[Std Adj Read]]="N/A"),"N/A",IF(Table1[[#This Row],[DUT Adj Read]]="N/A",IF(Table1[[#This Row],[Std Adj Read]]&lt;=Table1[[#This Row],[High Tol]],"Pass","Fail"),IF(Table1[[#This Row],[DUT Adj Read]]&lt;=Table1[[#This Row],[High Tol]],"Pass","Fail")))</f>
        <v>Fail</v>
      </c>
      <c r="AH21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69" s="1" t="b">
        <v>0</v>
      </c>
      <c r="AN2169" s="1" t="b">
        <v>0</v>
      </c>
      <c r="AO2169" s="1" t="b">
        <v>0</v>
      </c>
    </row>
    <row r="2170" spans="1:41" x14ac:dyDescent="0.25">
      <c r="A2170" s="10"/>
      <c r="B2170" s="10"/>
      <c r="C2170" s="10"/>
      <c r="D2170" s="10"/>
      <c r="E2170" s="10"/>
      <c r="F2170" s="10"/>
      <c r="G2170" s="10"/>
      <c r="H2170" s="10"/>
      <c r="I2170" s="1" t="str">
        <f t="shared" si="99"/>
        <v/>
      </c>
      <c r="J2170" s="1" t="s">
        <v>35</v>
      </c>
      <c r="K2170" s="1" t="str">
        <f t="shared" si="100"/>
        <v/>
      </c>
      <c r="L2170" s="1" t="str">
        <f t="shared" si="101"/>
        <v/>
      </c>
      <c r="M2170" s="1">
        <f>IF(OR(Table1[[#This Row],[Std Nom]]="",Table1[[#This Row],[Std Read]]=""),0,Table1[[#This Row],[Std Nom]]-Table1[[#This Row],[Std Read]])</f>
        <v>0</v>
      </c>
      <c r="N2170" s="1">
        <f>IF(Calculations!$F$5="ACCREDITED 17025 WITH UNCERTAINTIES",$N$10,0)</f>
        <v>0</v>
      </c>
      <c r="Q2170" s="1">
        <f>Table1[[#This Row],[High Tol]]-Table1[[#This Row],[Low Tol]]</f>
        <v>0</v>
      </c>
      <c r="R2170" s="1">
        <f>2*Table1[[#This Row],[Std Error]]</f>
        <v>0</v>
      </c>
      <c r="S2170" s="1" t="str">
        <f>IF(Table1[[#This Row],[High Tol]]="","N/A",IFERROR(ABS(Table1[[#This Row],[Tol Span]]/Table1[[#This Row],[Error Span]]),"N/A"))</f>
        <v>N/A</v>
      </c>
      <c r="T2170" s="1" t="str">
        <f>IF(OR(Table1[[#This Row],[Low Tol]]="",Table1[[#This Row],[High Tol]]=""),"Needs Analysis",IF(Table1[[#This Row],[Ratio]]&gt;=4,"Not Significant",IF(Table1[[#This Row],[Ratio]]&gt;=2,"Semi-Significant","Significant")))</f>
        <v>Needs Analysis</v>
      </c>
      <c r="W2170" s="1">
        <f>IF(Table1[[#This Row],[Cal Type]]&lt;&gt;"ACCREDITED 17025 WITH UNCERTAINTIES",0,"")</f>
        <v>0</v>
      </c>
      <c r="X2170" s="1" t="str">
        <f>IF(Table1[[#This Row],[DUT Read]]="","N/A",Table1[[#This Row],[Std Error]]+Table1[[#This Row],[DUT Read]]+Table1[[#This Row],[DUT Ucty]])</f>
        <v>N/A</v>
      </c>
      <c r="Y2170" s="1" t="str">
        <f>IF(Table1[[#This Row],[Std Read]]="","N/A",Table1[[#This Row],[Std Read]]+Table1[[#This Row],[Std Ucty]])</f>
        <v>N/A</v>
      </c>
      <c r="Z21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0" s="1" t="str">
        <f>IF(Table1[[#This Row],[Spec Type]]="","N/A",Table1[[#This Row],[Spec Type]])</f>
        <v>±</v>
      </c>
      <c r="AC2170" s="1" t="str">
        <f>IF(Table1[[#This Row],[Spec Type2]]="N/A","N/A",IF(AND(Table1[[#This Row],[DUT Adj Read]]&gt;=Table1[[#This Row],[Low Tol]],Table1[[#This Row],[DUT Adj Read]]&lt;=Table1[[#This Row],[High Tol]]),"Pass","Fail"))</f>
        <v>Fail</v>
      </c>
      <c r="AD2170" s="1" t="str">
        <f>IF(AND(Table1[[#This Row],[Spec Type2]]="N/A",Table1[[#This Row],[DUT Adj Read]]="N/A",Table1[[#This Row],[Std Adj Read]]="N/A"),"N/A",IF(Table1[[#This Row],[DUT Adj Read]]="N/A",IF(Table1[[#This Row],[Std Adj Read]]&gt;Table1[[#This Row],[Low Tol]],"Pass","Fail"),IF(Table1[[#This Row],[DUT Adj Read]]&gt;Table1[[#This Row],[Low Tol]],"Pass","Fail")))</f>
        <v>Pass</v>
      </c>
      <c r="AE2170" s="1" t="str">
        <f>IF(AND(Table1[[#This Row],[Spec Type2]]="N/A",Table1[[#This Row],[DUT Adj Read]]="N/A",Table1[[#This Row],[Std Adj Read]]="N/A"),"N/A",IF(Table1[[#This Row],[DUT Adj Read]]="N/A",IF(Table1[[#This Row],[Std Adj Read]]&lt;Table1[[#This Row],[High Tol]],"Pass","Fail"),IF(Table1[[#This Row],[DUT Adj Read]]&lt;Table1[[#This Row],[High Tol]],"Pass","Fail")))</f>
        <v>Fail</v>
      </c>
      <c r="AF2170" s="1" t="str">
        <f>IF(AND(Table1[[#This Row],[Spec Type2]]="N/A",Table1[[#This Row],[DUT Adj Read]]="N/A",Table1[[#This Row],[Std Adj Read]]="N/A"),"N/A",IF(Table1[[#This Row],[DUT Adj Read]]="N/A",IF(Table1[[#This Row],[Std Adj Read]]&gt;=Table1[[#This Row],[Low Tol]],"Pass","Fail"),IF(Table1[[#This Row],[DUT Adj Read]]&gt;=Table1[[#This Row],[Low Tol]],"Pass","Fail")))</f>
        <v>Pass</v>
      </c>
      <c r="AG2170" s="1" t="str">
        <f>IF(AND(Table1[[#This Row],[Spec Type2]]="N/A",Table1[[#This Row],[DUT Adj Read]]="N/A",Table1[[#This Row],[Std Adj Read]]="N/A"),"N/A",IF(Table1[[#This Row],[DUT Adj Read]]="N/A",IF(Table1[[#This Row],[Std Adj Read]]&lt;=Table1[[#This Row],[High Tol]],"Pass","Fail"),IF(Table1[[#This Row],[DUT Adj Read]]&lt;=Table1[[#This Row],[High Tol]],"Pass","Fail")))</f>
        <v>Fail</v>
      </c>
      <c r="AH21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0" s="1" t="b">
        <v>0</v>
      </c>
      <c r="AN2170" s="1" t="b">
        <v>0</v>
      </c>
      <c r="AO2170" s="1" t="b">
        <v>0</v>
      </c>
    </row>
    <row r="2171" spans="1:41" x14ac:dyDescent="0.25">
      <c r="A2171" s="10"/>
      <c r="B2171" s="10"/>
      <c r="C2171" s="10"/>
      <c r="D2171" s="10"/>
      <c r="E2171" s="10"/>
      <c r="F2171" s="10"/>
      <c r="G2171" s="10"/>
      <c r="H2171" s="10"/>
      <c r="I2171" s="1" t="str">
        <f t="shared" si="99"/>
        <v/>
      </c>
      <c r="J2171" s="1" t="s">
        <v>35</v>
      </c>
      <c r="K2171" s="1" t="str">
        <f t="shared" si="100"/>
        <v/>
      </c>
      <c r="L2171" s="1" t="str">
        <f t="shared" si="101"/>
        <v/>
      </c>
      <c r="M2171" s="1">
        <f>IF(OR(Table1[[#This Row],[Std Nom]]="",Table1[[#This Row],[Std Read]]=""),0,Table1[[#This Row],[Std Nom]]-Table1[[#This Row],[Std Read]])</f>
        <v>0</v>
      </c>
      <c r="N2171" s="1">
        <f>IF(Calculations!$F$5="ACCREDITED 17025 WITH UNCERTAINTIES",$N$10,0)</f>
        <v>0</v>
      </c>
      <c r="Q2171" s="1">
        <f>Table1[[#This Row],[High Tol]]-Table1[[#This Row],[Low Tol]]</f>
        <v>0</v>
      </c>
      <c r="R2171" s="1">
        <f>2*Table1[[#This Row],[Std Error]]</f>
        <v>0</v>
      </c>
      <c r="S2171" s="1" t="str">
        <f>IF(Table1[[#This Row],[High Tol]]="","N/A",IFERROR(ABS(Table1[[#This Row],[Tol Span]]/Table1[[#This Row],[Error Span]]),"N/A"))</f>
        <v>N/A</v>
      </c>
      <c r="T2171" s="1" t="str">
        <f>IF(OR(Table1[[#This Row],[Low Tol]]="",Table1[[#This Row],[High Tol]]=""),"Needs Analysis",IF(Table1[[#This Row],[Ratio]]&gt;=4,"Not Significant",IF(Table1[[#This Row],[Ratio]]&gt;=2,"Semi-Significant","Significant")))</f>
        <v>Needs Analysis</v>
      </c>
      <c r="W2171" s="1">
        <f>IF(Table1[[#This Row],[Cal Type]]&lt;&gt;"ACCREDITED 17025 WITH UNCERTAINTIES",0,"")</f>
        <v>0</v>
      </c>
      <c r="X2171" s="1" t="str">
        <f>IF(Table1[[#This Row],[DUT Read]]="","N/A",Table1[[#This Row],[Std Error]]+Table1[[#This Row],[DUT Read]]+Table1[[#This Row],[DUT Ucty]])</f>
        <v>N/A</v>
      </c>
      <c r="Y2171" s="1" t="str">
        <f>IF(Table1[[#This Row],[Std Read]]="","N/A",Table1[[#This Row],[Std Read]]+Table1[[#This Row],[Std Ucty]])</f>
        <v>N/A</v>
      </c>
      <c r="Z21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1" s="1" t="str">
        <f>IF(Table1[[#This Row],[Spec Type]]="","N/A",Table1[[#This Row],[Spec Type]])</f>
        <v>±</v>
      </c>
      <c r="AC2171" s="1" t="str">
        <f>IF(Table1[[#This Row],[Spec Type2]]="N/A","N/A",IF(AND(Table1[[#This Row],[DUT Adj Read]]&gt;=Table1[[#This Row],[Low Tol]],Table1[[#This Row],[DUT Adj Read]]&lt;=Table1[[#This Row],[High Tol]]),"Pass","Fail"))</f>
        <v>Fail</v>
      </c>
      <c r="AD2171" s="1" t="str">
        <f>IF(AND(Table1[[#This Row],[Spec Type2]]="N/A",Table1[[#This Row],[DUT Adj Read]]="N/A",Table1[[#This Row],[Std Adj Read]]="N/A"),"N/A",IF(Table1[[#This Row],[DUT Adj Read]]="N/A",IF(Table1[[#This Row],[Std Adj Read]]&gt;Table1[[#This Row],[Low Tol]],"Pass","Fail"),IF(Table1[[#This Row],[DUT Adj Read]]&gt;Table1[[#This Row],[Low Tol]],"Pass","Fail")))</f>
        <v>Pass</v>
      </c>
      <c r="AE2171" s="1" t="str">
        <f>IF(AND(Table1[[#This Row],[Spec Type2]]="N/A",Table1[[#This Row],[DUT Adj Read]]="N/A",Table1[[#This Row],[Std Adj Read]]="N/A"),"N/A",IF(Table1[[#This Row],[DUT Adj Read]]="N/A",IF(Table1[[#This Row],[Std Adj Read]]&lt;Table1[[#This Row],[High Tol]],"Pass","Fail"),IF(Table1[[#This Row],[DUT Adj Read]]&lt;Table1[[#This Row],[High Tol]],"Pass","Fail")))</f>
        <v>Fail</v>
      </c>
      <c r="AF2171" s="1" t="str">
        <f>IF(AND(Table1[[#This Row],[Spec Type2]]="N/A",Table1[[#This Row],[DUT Adj Read]]="N/A",Table1[[#This Row],[Std Adj Read]]="N/A"),"N/A",IF(Table1[[#This Row],[DUT Adj Read]]="N/A",IF(Table1[[#This Row],[Std Adj Read]]&gt;=Table1[[#This Row],[Low Tol]],"Pass","Fail"),IF(Table1[[#This Row],[DUT Adj Read]]&gt;=Table1[[#This Row],[Low Tol]],"Pass","Fail")))</f>
        <v>Pass</v>
      </c>
      <c r="AG2171" s="1" t="str">
        <f>IF(AND(Table1[[#This Row],[Spec Type2]]="N/A",Table1[[#This Row],[DUT Adj Read]]="N/A",Table1[[#This Row],[Std Adj Read]]="N/A"),"N/A",IF(Table1[[#This Row],[DUT Adj Read]]="N/A",IF(Table1[[#This Row],[Std Adj Read]]&lt;=Table1[[#This Row],[High Tol]],"Pass","Fail"),IF(Table1[[#This Row],[DUT Adj Read]]&lt;=Table1[[#This Row],[High Tol]],"Pass","Fail")))</f>
        <v>Fail</v>
      </c>
      <c r="AH21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1" s="1" t="b">
        <v>0</v>
      </c>
      <c r="AN2171" s="1" t="b">
        <v>0</v>
      </c>
      <c r="AO2171" s="1" t="b">
        <v>0</v>
      </c>
    </row>
    <row r="2172" spans="1:41" x14ac:dyDescent="0.25">
      <c r="A2172" s="10"/>
      <c r="B2172" s="10"/>
      <c r="C2172" s="10"/>
      <c r="D2172" s="10"/>
      <c r="E2172" s="10"/>
      <c r="F2172" s="10"/>
      <c r="G2172" s="10"/>
      <c r="H2172" s="10"/>
      <c r="I2172" s="1" t="str">
        <f t="shared" si="99"/>
        <v/>
      </c>
      <c r="J2172" s="1" t="s">
        <v>35</v>
      </c>
      <c r="K2172" s="1" t="str">
        <f t="shared" si="100"/>
        <v/>
      </c>
      <c r="L2172" s="1" t="str">
        <f t="shared" si="101"/>
        <v/>
      </c>
      <c r="M2172" s="1">
        <f>IF(OR(Table1[[#This Row],[Std Nom]]="",Table1[[#This Row],[Std Read]]=""),0,Table1[[#This Row],[Std Nom]]-Table1[[#This Row],[Std Read]])</f>
        <v>0</v>
      </c>
      <c r="N2172" s="1">
        <f>IF(Calculations!$F$5="ACCREDITED 17025 WITH UNCERTAINTIES",$N$10,0)</f>
        <v>0</v>
      </c>
      <c r="Q2172" s="1">
        <f>Table1[[#This Row],[High Tol]]-Table1[[#This Row],[Low Tol]]</f>
        <v>0</v>
      </c>
      <c r="R2172" s="1">
        <f>2*Table1[[#This Row],[Std Error]]</f>
        <v>0</v>
      </c>
      <c r="S2172" s="1" t="str">
        <f>IF(Table1[[#This Row],[High Tol]]="","N/A",IFERROR(ABS(Table1[[#This Row],[Tol Span]]/Table1[[#This Row],[Error Span]]),"N/A"))</f>
        <v>N/A</v>
      </c>
      <c r="T2172" s="1" t="str">
        <f>IF(OR(Table1[[#This Row],[Low Tol]]="",Table1[[#This Row],[High Tol]]=""),"Needs Analysis",IF(Table1[[#This Row],[Ratio]]&gt;=4,"Not Significant",IF(Table1[[#This Row],[Ratio]]&gt;=2,"Semi-Significant","Significant")))</f>
        <v>Needs Analysis</v>
      </c>
      <c r="W2172" s="1">
        <f>IF(Table1[[#This Row],[Cal Type]]&lt;&gt;"ACCREDITED 17025 WITH UNCERTAINTIES",0,"")</f>
        <v>0</v>
      </c>
      <c r="X2172" s="1" t="str">
        <f>IF(Table1[[#This Row],[DUT Read]]="","N/A",Table1[[#This Row],[Std Error]]+Table1[[#This Row],[DUT Read]]+Table1[[#This Row],[DUT Ucty]])</f>
        <v>N/A</v>
      </c>
      <c r="Y2172" s="1" t="str">
        <f>IF(Table1[[#This Row],[Std Read]]="","N/A",Table1[[#This Row],[Std Read]]+Table1[[#This Row],[Std Ucty]])</f>
        <v>N/A</v>
      </c>
      <c r="Z21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2" s="1" t="str">
        <f>IF(Table1[[#This Row],[Spec Type]]="","N/A",Table1[[#This Row],[Spec Type]])</f>
        <v>±</v>
      </c>
      <c r="AC2172" s="1" t="str">
        <f>IF(Table1[[#This Row],[Spec Type2]]="N/A","N/A",IF(AND(Table1[[#This Row],[DUT Adj Read]]&gt;=Table1[[#This Row],[Low Tol]],Table1[[#This Row],[DUT Adj Read]]&lt;=Table1[[#This Row],[High Tol]]),"Pass","Fail"))</f>
        <v>Fail</v>
      </c>
      <c r="AD2172" s="1" t="str">
        <f>IF(AND(Table1[[#This Row],[Spec Type2]]="N/A",Table1[[#This Row],[DUT Adj Read]]="N/A",Table1[[#This Row],[Std Adj Read]]="N/A"),"N/A",IF(Table1[[#This Row],[DUT Adj Read]]="N/A",IF(Table1[[#This Row],[Std Adj Read]]&gt;Table1[[#This Row],[Low Tol]],"Pass","Fail"),IF(Table1[[#This Row],[DUT Adj Read]]&gt;Table1[[#This Row],[Low Tol]],"Pass","Fail")))</f>
        <v>Pass</v>
      </c>
      <c r="AE2172" s="1" t="str">
        <f>IF(AND(Table1[[#This Row],[Spec Type2]]="N/A",Table1[[#This Row],[DUT Adj Read]]="N/A",Table1[[#This Row],[Std Adj Read]]="N/A"),"N/A",IF(Table1[[#This Row],[DUT Adj Read]]="N/A",IF(Table1[[#This Row],[Std Adj Read]]&lt;Table1[[#This Row],[High Tol]],"Pass","Fail"),IF(Table1[[#This Row],[DUT Adj Read]]&lt;Table1[[#This Row],[High Tol]],"Pass","Fail")))</f>
        <v>Fail</v>
      </c>
      <c r="AF2172" s="1" t="str">
        <f>IF(AND(Table1[[#This Row],[Spec Type2]]="N/A",Table1[[#This Row],[DUT Adj Read]]="N/A",Table1[[#This Row],[Std Adj Read]]="N/A"),"N/A",IF(Table1[[#This Row],[DUT Adj Read]]="N/A",IF(Table1[[#This Row],[Std Adj Read]]&gt;=Table1[[#This Row],[Low Tol]],"Pass","Fail"),IF(Table1[[#This Row],[DUT Adj Read]]&gt;=Table1[[#This Row],[Low Tol]],"Pass","Fail")))</f>
        <v>Pass</v>
      </c>
      <c r="AG2172" s="1" t="str">
        <f>IF(AND(Table1[[#This Row],[Spec Type2]]="N/A",Table1[[#This Row],[DUT Adj Read]]="N/A",Table1[[#This Row],[Std Adj Read]]="N/A"),"N/A",IF(Table1[[#This Row],[DUT Adj Read]]="N/A",IF(Table1[[#This Row],[Std Adj Read]]&lt;=Table1[[#This Row],[High Tol]],"Pass","Fail"),IF(Table1[[#This Row],[DUT Adj Read]]&lt;=Table1[[#This Row],[High Tol]],"Pass","Fail")))</f>
        <v>Fail</v>
      </c>
      <c r="AH21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2" s="1" t="b">
        <v>0</v>
      </c>
      <c r="AN2172" s="1" t="b">
        <v>0</v>
      </c>
      <c r="AO2172" s="1" t="b">
        <v>0</v>
      </c>
    </row>
    <row r="2173" spans="1:41" x14ac:dyDescent="0.25">
      <c r="A2173" s="10"/>
      <c r="B2173" s="10"/>
      <c r="C2173" s="10"/>
      <c r="D2173" s="10"/>
      <c r="E2173" s="10"/>
      <c r="F2173" s="10"/>
      <c r="G2173" s="10"/>
      <c r="H2173" s="10"/>
      <c r="I2173" s="1" t="str">
        <f t="shared" si="99"/>
        <v/>
      </c>
      <c r="J2173" s="1" t="s">
        <v>35</v>
      </c>
      <c r="K2173" s="1" t="str">
        <f t="shared" si="100"/>
        <v/>
      </c>
      <c r="L2173" s="1" t="str">
        <f t="shared" si="101"/>
        <v/>
      </c>
      <c r="M2173" s="1">
        <f>IF(OR(Table1[[#This Row],[Std Nom]]="",Table1[[#This Row],[Std Read]]=""),0,Table1[[#This Row],[Std Nom]]-Table1[[#This Row],[Std Read]])</f>
        <v>0</v>
      </c>
      <c r="N2173" s="1">
        <f>IF(Calculations!$F$5="ACCREDITED 17025 WITH UNCERTAINTIES",$N$10,0)</f>
        <v>0</v>
      </c>
      <c r="Q2173" s="1">
        <f>Table1[[#This Row],[High Tol]]-Table1[[#This Row],[Low Tol]]</f>
        <v>0</v>
      </c>
      <c r="R2173" s="1">
        <f>2*Table1[[#This Row],[Std Error]]</f>
        <v>0</v>
      </c>
      <c r="S2173" s="1" t="str">
        <f>IF(Table1[[#This Row],[High Tol]]="","N/A",IFERROR(ABS(Table1[[#This Row],[Tol Span]]/Table1[[#This Row],[Error Span]]),"N/A"))</f>
        <v>N/A</v>
      </c>
      <c r="T2173" s="1" t="str">
        <f>IF(OR(Table1[[#This Row],[Low Tol]]="",Table1[[#This Row],[High Tol]]=""),"Needs Analysis",IF(Table1[[#This Row],[Ratio]]&gt;=4,"Not Significant",IF(Table1[[#This Row],[Ratio]]&gt;=2,"Semi-Significant","Significant")))</f>
        <v>Needs Analysis</v>
      </c>
      <c r="W2173" s="1">
        <f>IF(Table1[[#This Row],[Cal Type]]&lt;&gt;"ACCREDITED 17025 WITH UNCERTAINTIES",0,"")</f>
        <v>0</v>
      </c>
      <c r="X2173" s="1" t="str">
        <f>IF(Table1[[#This Row],[DUT Read]]="","N/A",Table1[[#This Row],[Std Error]]+Table1[[#This Row],[DUT Read]]+Table1[[#This Row],[DUT Ucty]])</f>
        <v>N/A</v>
      </c>
      <c r="Y2173" s="1" t="str">
        <f>IF(Table1[[#This Row],[Std Read]]="","N/A",Table1[[#This Row],[Std Read]]+Table1[[#This Row],[Std Ucty]])</f>
        <v>N/A</v>
      </c>
      <c r="Z21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3" s="1" t="str">
        <f>IF(Table1[[#This Row],[Spec Type]]="","N/A",Table1[[#This Row],[Spec Type]])</f>
        <v>±</v>
      </c>
      <c r="AC2173" s="1" t="str">
        <f>IF(Table1[[#This Row],[Spec Type2]]="N/A","N/A",IF(AND(Table1[[#This Row],[DUT Adj Read]]&gt;=Table1[[#This Row],[Low Tol]],Table1[[#This Row],[DUT Adj Read]]&lt;=Table1[[#This Row],[High Tol]]),"Pass","Fail"))</f>
        <v>Fail</v>
      </c>
      <c r="AD2173" s="1" t="str">
        <f>IF(AND(Table1[[#This Row],[Spec Type2]]="N/A",Table1[[#This Row],[DUT Adj Read]]="N/A",Table1[[#This Row],[Std Adj Read]]="N/A"),"N/A",IF(Table1[[#This Row],[DUT Adj Read]]="N/A",IF(Table1[[#This Row],[Std Adj Read]]&gt;Table1[[#This Row],[Low Tol]],"Pass","Fail"),IF(Table1[[#This Row],[DUT Adj Read]]&gt;Table1[[#This Row],[Low Tol]],"Pass","Fail")))</f>
        <v>Pass</v>
      </c>
      <c r="AE2173" s="1" t="str">
        <f>IF(AND(Table1[[#This Row],[Spec Type2]]="N/A",Table1[[#This Row],[DUT Adj Read]]="N/A",Table1[[#This Row],[Std Adj Read]]="N/A"),"N/A",IF(Table1[[#This Row],[DUT Adj Read]]="N/A",IF(Table1[[#This Row],[Std Adj Read]]&lt;Table1[[#This Row],[High Tol]],"Pass","Fail"),IF(Table1[[#This Row],[DUT Adj Read]]&lt;Table1[[#This Row],[High Tol]],"Pass","Fail")))</f>
        <v>Fail</v>
      </c>
      <c r="AF2173" s="1" t="str">
        <f>IF(AND(Table1[[#This Row],[Spec Type2]]="N/A",Table1[[#This Row],[DUT Adj Read]]="N/A",Table1[[#This Row],[Std Adj Read]]="N/A"),"N/A",IF(Table1[[#This Row],[DUT Adj Read]]="N/A",IF(Table1[[#This Row],[Std Adj Read]]&gt;=Table1[[#This Row],[Low Tol]],"Pass","Fail"),IF(Table1[[#This Row],[DUT Adj Read]]&gt;=Table1[[#This Row],[Low Tol]],"Pass","Fail")))</f>
        <v>Pass</v>
      </c>
      <c r="AG2173" s="1" t="str">
        <f>IF(AND(Table1[[#This Row],[Spec Type2]]="N/A",Table1[[#This Row],[DUT Adj Read]]="N/A",Table1[[#This Row],[Std Adj Read]]="N/A"),"N/A",IF(Table1[[#This Row],[DUT Adj Read]]="N/A",IF(Table1[[#This Row],[Std Adj Read]]&lt;=Table1[[#This Row],[High Tol]],"Pass","Fail"),IF(Table1[[#This Row],[DUT Adj Read]]&lt;=Table1[[#This Row],[High Tol]],"Pass","Fail")))</f>
        <v>Fail</v>
      </c>
      <c r="AH21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3" s="1" t="b">
        <v>0</v>
      </c>
      <c r="AN2173" s="1" t="b">
        <v>0</v>
      </c>
      <c r="AO2173" s="1" t="b">
        <v>0</v>
      </c>
    </row>
    <row r="2174" spans="1:41" x14ac:dyDescent="0.25">
      <c r="A2174" s="10"/>
      <c r="B2174" s="10"/>
      <c r="C2174" s="10"/>
      <c r="D2174" s="10"/>
      <c r="E2174" s="10"/>
      <c r="F2174" s="10"/>
      <c r="G2174" s="10"/>
      <c r="H2174" s="10"/>
      <c r="I2174" s="1" t="str">
        <f t="shared" si="99"/>
        <v/>
      </c>
      <c r="J2174" s="1" t="s">
        <v>35</v>
      </c>
      <c r="K2174" s="1" t="str">
        <f t="shared" si="100"/>
        <v/>
      </c>
      <c r="L2174" s="1" t="str">
        <f t="shared" si="101"/>
        <v/>
      </c>
      <c r="M2174" s="1">
        <f>IF(OR(Table1[[#This Row],[Std Nom]]="",Table1[[#This Row],[Std Read]]=""),0,Table1[[#This Row],[Std Nom]]-Table1[[#This Row],[Std Read]])</f>
        <v>0</v>
      </c>
      <c r="N2174" s="1">
        <f>IF(Calculations!$F$5="ACCREDITED 17025 WITH UNCERTAINTIES",$N$10,0)</f>
        <v>0</v>
      </c>
      <c r="Q2174" s="1">
        <f>Table1[[#This Row],[High Tol]]-Table1[[#This Row],[Low Tol]]</f>
        <v>0</v>
      </c>
      <c r="R2174" s="1">
        <f>2*Table1[[#This Row],[Std Error]]</f>
        <v>0</v>
      </c>
      <c r="S2174" s="1" t="str">
        <f>IF(Table1[[#This Row],[High Tol]]="","N/A",IFERROR(ABS(Table1[[#This Row],[Tol Span]]/Table1[[#This Row],[Error Span]]),"N/A"))</f>
        <v>N/A</v>
      </c>
      <c r="T2174" s="1" t="str">
        <f>IF(OR(Table1[[#This Row],[Low Tol]]="",Table1[[#This Row],[High Tol]]=""),"Needs Analysis",IF(Table1[[#This Row],[Ratio]]&gt;=4,"Not Significant",IF(Table1[[#This Row],[Ratio]]&gt;=2,"Semi-Significant","Significant")))</f>
        <v>Needs Analysis</v>
      </c>
      <c r="W2174" s="1">
        <f>IF(Table1[[#This Row],[Cal Type]]&lt;&gt;"ACCREDITED 17025 WITH UNCERTAINTIES",0,"")</f>
        <v>0</v>
      </c>
      <c r="X2174" s="1" t="str">
        <f>IF(Table1[[#This Row],[DUT Read]]="","N/A",Table1[[#This Row],[Std Error]]+Table1[[#This Row],[DUT Read]]+Table1[[#This Row],[DUT Ucty]])</f>
        <v>N/A</v>
      </c>
      <c r="Y2174" s="1" t="str">
        <f>IF(Table1[[#This Row],[Std Read]]="","N/A",Table1[[#This Row],[Std Read]]+Table1[[#This Row],[Std Ucty]])</f>
        <v>N/A</v>
      </c>
      <c r="Z21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4" s="1" t="str">
        <f>IF(Table1[[#This Row],[Spec Type]]="","N/A",Table1[[#This Row],[Spec Type]])</f>
        <v>±</v>
      </c>
      <c r="AC2174" s="1" t="str">
        <f>IF(Table1[[#This Row],[Spec Type2]]="N/A","N/A",IF(AND(Table1[[#This Row],[DUT Adj Read]]&gt;=Table1[[#This Row],[Low Tol]],Table1[[#This Row],[DUT Adj Read]]&lt;=Table1[[#This Row],[High Tol]]),"Pass","Fail"))</f>
        <v>Fail</v>
      </c>
      <c r="AD2174" s="1" t="str">
        <f>IF(AND(Table1[[#This Row],[Spec Type2]]="N/A",Table1[[#This Row],[DUT Adj Read]]="N/A",Table1[[#This Row],[Std Adj Read]]="N/A"),"N/A",IF(Table1[[#This Row],[DUT Adj Read]]="N/A",IF(Table1[[#This Row],[Std Adj Read]]&gt;Table1[[#This Row],[Low Tol]],"Pass","Fail"),IF(Table1[[#This Row],[DUT Adj Read]]&gt;Table1[[#This Row],[Low Tol]],"Pass","Fail")))</f>
        <v>Pass</v>
      </c>
      <c r="AE2174" s="1" t="str">
        <f>IF(AND(Table1[[#This Row],[Spec Type2]]="N/A",Table1[[#This Row],[DUT Adj Read]]="N/A",Table1[[#This Row],[Std Adj Read]]="N/A"),"N/A",IF(Table1[[#This Row],[DUT Adj Read]]="N/A",IF(Table1[[#This Row],[Std Adj Read]]&lt;Table1[[#This Row],[High Tol]],"Pass","Fail"),IF(Table1[[#This Row],[DUT Adj Read]]&lt;Table1[[#This Row],[High Tol]],"Pass","Fail")))</f>
        <v>Fail</v>
      </c>
      <c r="AF2174" s="1" t="str">
        <f>IF(AND(Table1[[#This Row],[Spec Type2]]="N/A",Table1[[#This Row],[DUT Adj Read]]="N/A",Table1[[#This Row],[Std Adj Read]]="N/A"),"N/A",IF(Table1[[#This Row],[DUT Adj Read]]="N/A",IF(Table1[[#This Row],[Std Adj Read]]&gt;=Table1[[#This Row],[Low Tol]],"Pass","Fail"),IF(Table1[[#This Row],[DUT Adj Read]]&gt;=Table1[[#This Row],[Low Tol]],"Pass","Fail")))</f>
        <v>Pass</v>
      </c>
      <c r="AG2174" s="1" t="str">
        <f>IF(AND(Table1[[#This Row],[Spec Type2]]="N/A",Table1[[#This Row],[DUT Adj Read]]="N/A",Table1[[#This Row],[Std Adj Read]]="N/A"),"N/A",IF(Table1[[#This Row],[DUT Adj Read]]="N/A",IF(Table1[[#This Row],[Std Adj Read]]&lt;=Table1[[#This Row],[High Tol]],"Pass","Fail"),IF(Table1[[#This Row],[DUT Adj Read]]&lt;=Table1[[#This Row],[High Tol]],"Pass","Fail")))</f>
        <v>Fail</v>
      </c>
      <c r="AH21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4" s="1" t="b">
        <v>0</v>
      </c>
      <c r="AN2174" s="1" t="b">
        <v>0</v>
      </c>
      <c r="AO2174" s="1" t="b">
        <v>0</v>
      </c>
    </row>
    <row r="2175" spans="1:41" x14ac:dyDescent="0.25">
      <c r="A2175" s="10"/>
      <c r="B2175" s="10"/>
      <c r="C2175" s="10"/>
      <c r="D2175" s="10"/>
      <c r="E2175" s="10"/>
      <c r="F2175" s="10"/>
      <c r="G2175" s="10"/>
      <c r="H2175" s="10"/>
      <c r="I2175" s="1" t="str">
        <f t="shared" si="99"/>
        <v/>
      </c>
      <c r="J2175" s="1" t="s">
        <v>35</v>
      </c>
      <c r="K2175" s="1" t="str">
        <f t="shared" si="100"/>
        <v/>
      </c>
      <c r="L2175" s="1" t="str">
        <f t="shared" si="101"/>
        <v/>
      </c>
      <c r="M2175" s="1">
        <f>IF(OR(Table1[[#This Row],[Std Nom]]="",Table1[[#This Row],[Std Read]]=""),0,Table1[[#This Row],[Std Nom]]-Table1[[#This Row],[Std Read]])</f>
        <v>0</v>
      </c>
      <c r="N2175" s="1">
        <f>IF(Calculations!$F$5="ACCREDITED 17025 WITH UNCERTAINTIES",$N$10,0)</f>
        <v>0</v>
      </c>
      <c r="Q2175" s="1">
        <f>Table1[[#This Row],[High Tol]]-Table1[[#This Row],[Low Tol]]</f>
        <v>0</v>
      </c>
      <c r="R2175" s="1">
        <f>2*Table1[[#This Row],[Std Error]]</f>
        <v>0</v>
      </c>
      <c r="S2175" s="1" t="str">
        <f>IF(Table1[[#This Row],[High Tol]]="","N/A",IFERROR(ABS(Table1[[#This Row],[Tol Span]]/Table1[[#This Row],[Error Span]]),"N/A"))</f>
        <v>N/A</v>
      </c>
      <c r="T2175" s="1" t="str">
        <f>IF(OR(Table1[[#This Row],[Low Tol]]="",Table1[[#This Row],[High Tol]]=""),"Needs Analysis",IF(Table1[[#This Row],[Ratio]]&gt;=4,"Not Significant",IF(Table1[[#This Row],[Ratio]]&gt;=2,"Semi-Significant","Significant")))</f>
        <v>Needs Analysis</v>
      </c>
      <c r="W2175" s="1">
        <f>IF(Table1[[#This Row],[Cal Type]]&lt;&gt;"ACCREDITED 17025 WITH UNCERTAINTIES",0,"")</f>
        <v>0</v>
      </c>
      <c r="X2175" s="1" t="str">
        <f>IF(Table1[[#This Row],[DUT Read]]="","N/A",Table1[[#This Row],[Std Error]]+Table1[[#This Row],[DUT Read]]+Table1[[#This Row],[DUT Ucty]])</f>
        <v>N/A</v>
      </c>
      <c r="Y2175" s="1" t="str">
        <f>IF(Table1[[#This Row],[Std Read]]="","N/A",Table1[[#This Row],[Std Read]]+Table1[[#This Row],[Std Ucty]])</f>
        <v>N/A</v>
      </c>
      <c r="Z21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5" s="1" t="str">
        <f>IF(Table1[[#This Row],[Spec Type]]="","N/A",Table1[[#This Row],[Spec Type]])</f>
        <v>±</v>
      </c>
      <c r="AC2175" s="1" t="str">
        <f>IF(Table1[[#This Row],[Spec Type2]]="N/A","N/A",IF(AND(Table1[[#This Row],[DUT Adj Read]]&gt;=Table1[[#This Row],[Low Tol]],Table1[[#This Row],[DUT Adj Read]]&lt;=Table1[[#This Row],[High Tol]]),"Pass","Fail"))</f>
        <v>Fail</v>
      </c>
      <c r="AD2175" s="1" t="str">
        <f>IF(AND(Table1[[#This Row],[Spec Type2]]="N/A",Table1[[#This Row],[DUT Adj Read]]="N/A",Table1[[#This Row],[Std Adj Read]]="N/A"),"N/A",IF(Table1[[#This Row],[DUT Adj Read]]="N/A",IF(Table1[[#This Row],[Std Adj Read]]&gt;Table1[[#This Row],[Low Tol]],"Pass","Fail"),IF(Table1[[#This Row],[DUT Adj Read]]&gt;Table1[[#This Row],[Low Tol]],"Pass","Fail")))</f>
        <v>Pass</v>
      </c>
      <c r="AE2175" s="1" t="str">
        <f>IF(AND(Table1[[#This Row],[Spec Type2]]="N/A",Table1[[#This Row],[DUT Adj Read]]="N/A",Table1[[#This Row],[Std Adj Read]]="N/A"),"N/A",IF(Table1[[#This Row],[DUT Adj Read]]="N/A",IF(Table1[[#This Row],[Std Adj Read]]&lt;Table1[[#This Row],[High Tol]],"Pass","Fail"),IF(Table1[[#This Row],[DUT Adj Read]]&lt;Table1[[#This Row],[High Tol]],"Pass","Fail")))</f>
        <v>Fail</v>
      </c>
      <c r="AF2175" s="1" t="str">
        <f>IF(AND(Table1[[#This Row],[Spec Type2]]="N/A",Table1[[#This Row],[DUT Adj Read]]="N/A",Table1[[#This Row],[Std Adj Read]]="N/A"),"N/A",IF(Table1[[#This Row],[DUT Adj Read]]="N/A",IF(Table1[[#This Row],[Std Adj Read]]&gt;=Table1[[#This Row],[Low Tol]],"Pass","Fail"),IF(Table1[[#This Row],[DUT Adj Read]]&gt;=Table1[[#This Row],[Low Tol]],"Pass","Fail")))</f>
        <v>Pass</v>
      </c>
      <c r="AG2175" s="1" t="str">
        <f>IF(AND(Table1[[#This Row],[Spec Type2]]="N/A",Table1[[#This Row],[DUT Adj Read]]="N/A",Table1[[#This Row],[Std Adj Read]]="N/A"),"N/A",IF(Table1[[#This Row],[DUT Adj Read]]="N/A",IF(Table1[[#This Row],[Std Adj Read]]&lt;=Table1[[#This Row],[High Tol]],"Pass","Fail"),IF(Table1[[#This Row],[DUT Adj Read]]&lt;=Table1[[#This Row],[High Tol]],"Pass","Fail")))</f>
        <v>Fail</v>
      </c>
      <c r="AH21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5" s="1" t="b">
        <v>0</v>
      </c>
      <c r="AN2175" s="1" t="b">
        <v>0</v>
      </c>
      <c r="AO2175" s="1" t="b">
        <v>0</v>
      </c>
    </row>
    <row r="2176" spans="1:41" x14ac:dyDescent="0.25">
      <c r="A2176" s="10"/>
      <c r="B2176" s="10"/>
      <c r="C2176" s="10"/>
      <c r="D2176" s="10"/>
      <c r="E2176" s="10"/>
      <c r="F2176" s="10"/>
      <c r="G2176" s="10"/>
      <c r="H2176" s="10"/>
      <c r="I2176" s="1" t="str">
        <f t="shared" si="99"/>
        <v/>
      </c>
      <c r="J2176" s="1" t="s">
        <v>35</v>
      </c>
      <c r="K2176" s="1" t="str">
        <f t="shared" si="100"/>
        <v/>
      </c>
      <c r="L2176" s="1" t="str">
        <f t="shared" si="101"/>
        <v/>
      </c>
      <c r="M2176" s="1">
        <f>IF(OR(Table1[[#This Row],[Std Nom]]="",Table1[[#This Row],[Std Read]]=""),0,Table1[[#This Row],[Std Nom]]-Table1[[#This Row],[Std Read]])</f>
        <v>0</v>
      </c>
      <c r="N2176" s="1">
        <f>IF(Calculations!$F$5="ACCREDITED 17025 WITH UNCERTAINTIES",$N$10,0)</f>
        <v>0</v>
      </c>
      <c r="Q2176" s="1">
        <f>Table1[[#This Row],[High Tol]]-Table1[[#This Row],[Low Tol]]</f>
        <v>0</v>
      </c>
      <c r="R2176" s="1">
        <f>2*Table1[[#This Row],[Std Error]]</f>
        <v>0</v>
      </c>
      <c r="S2176" s="1" t="str">
        <f>IF(Table1[[#This Row],[High Tol]]="","N/A",IFERROR(ABS(Table1[[#This Row],[Tol Span]]/Table1[[#This Row],[Error Span]]),"N/A"))</f>
        <v>N/A</v>
      </c>
      <c r="T2176" s="1" t="str">
        <f>IF(OR(Table1[[#This Row],[Low Tol]]="",Table1[[#This Row],[High Tol]]=""),"Needs Analysis",IF(Table1[[#This Row],[Ratio]]&gt;=4,"Not Significant",IF(Table1[[#This Row],[Ratio]]&gt;=2,"Semi-Significant","Significant")))</f>
        <v>Needs Analysis</v>
      </c>
      <c r="W2176" s="1">
        <f>IF(Table1[[#This Row],[Cal Type]]&lt;&gt;"ACCREDITED 17025 WITH UNCERTAINTIES",0,"")</f>
        <v>0</v>
      </c>
      <c r="X2176" s="1" t="str">
        <f>IF(Table1[[#This Row],[DUT Read]]="","N/A",Table1[[#This Row],[Std Error]]+Table1[[#This Row],[DUT Read]]+Table1[[#This Row],[DUT Ucty]])</f>
        <v>N/A</v>
      </c>
      <c r="Y2176" s="1" t="str">
        <f>IF(Table1[[#This Row],[Std Read]]="","N/A",Table1[[#This Row],[Std Read]]+Table1[[#This Row],[Std Ucty]])</f>
        <v>N/A</v>
      </c>
      <c r="Z21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6" s="1" t="str">
        <f>IF(Table1[[#This Row],[Spec Type]]="","N/A",Table1[[#This Row],[Spec Type]])</f>
        <v>±</v>
      </c>
      <c r="AC2176" s="1" t="str">
        <f>IF(Table1[[#This Row],[Spec Type2]]="N/A","N/A",IF(AND(Table1[[#This Row],[DUT Adj Read]]&gt;=Table1[[#This Row],[Low Tol]],Table1[[#This Row],[DUT Adj Read]]&lt;=Table1[[#This Row],[High Tol]]),"Pass","Fail"))</f>
        <v>Fail</v>
      </c>
      <c r="AD2176" s="1" t="str">
        <f>IF(AND(Table1[[#This Row],[Spec Type2]]="N/A",Table1[[#This Row],[DUT Adj Read]]="N/A",Table1[[#This Row],[Std Adj Read]]="N/A"),"N/A",IF(Table1[[#This Row],[DUT Adj Read]]="N/A",IF(Table1[[#This Row],[Std Adj Read]]&gt;Table1[[#This Row],[Low Tol]],"Pass","Fail"),IF(Table1[[#This Row],[DUT Adj Read]]&gt;Table1[[#This Row],[Low Tol]],"Pass","Fail")))</f>
        <v>Pass</v>
      </c>
      <c r="AE2176" s="1" t="str">
        <f>IF(AND(Table1[[#This Row],[Spec Type2]]="N/A",Table1[[#This Row],[DUT Adj Read]]="N/A",Table1[[#This Row],[Std Adj Read]]="N/A"),"N/A",IF(Table1[[#This Row],[DUT Adj Read]]="N/A",IF(Table1[[#This Row],[Std Adj Read]]&lt;Table1[[#This Row],[High Tol]],"Pass","Fail"),IF(Table1[[#This Row],[DUT Adj Read]]&lt;Table1[[#This Row],[High Tol]],"Pass","Fail")))</f>
        <v>Fail</v>
      </c>
      <c r="AF2176" s="1" t="str">
        <f>IF(AND(Table1[[#This Row],[Spec Type2]]="N/A",Table1[[#This Row],[DUT Adj Read]]="N/A",Table1[[#This Row],[Std Adj Read]]="N/A"),"N/A",IF(Table1[[#This Row],[DUT Adj Read]]="N/A",IF(Table1[[#This Row],[Std Adj Read]]&gt;=Table1[[#This Row],[Low Tol]],"Pass","Fail"),IF(Table1[[#This Row],[DUT Adj Read]]&gt;=Table1[[#This Row],[Low Tol]],"Pass","Fail")))</f>
        <v>Pass</v>
      </c>
      <c r="AG2176" s="1" t="str">
        <f>IF(AND(Table1[[#This Row],[Spec Type2]]="N/A",Table1[[#This Row],[DUT Adj Read]]="N/A",Table1[[#This Row],[Std Adj Read]]="N/A"),"N/A",IF(Table1[[#This Row],[DUT Adj Read]]="N/A",IF(Table1[[#This Row],[Std Adj Read]]&lt;=Table1[[#This Row],[High Tol]],"Pass","Fail"),IF(Table1[[#This Row],[DUT Adj Read]]&lt;=Table1[[#This Row],[High Tol]],"Pass","Fail")))</f>
        <v>Fail</v>
      </c>
      <c r="AH21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6" s="1" t="b">
        <v>0</v>
      </c>
      <c r="AN2176" s="1" t="b">
        <v>0</v>
      </c>
      <c r="AO2176" s="1" t="b">
        <v>0</v>
      </c>
    </row>
    <row r="2177" spans="1:41" x14ac:dyDescent="0.25">
      <c r="A2177" s="10"/>
      <c r="B2177" s="10"/>
      <c r="C2177" s="10"/>
      <c r="D2177" s="10"/>
      <c r="E2177" s="10"/>
      <c r="F2177" s="10"/>
      <c r="G2177" s="10"/>
      <c r="H2177" s="10"/>
      <c r="I2177" s="1" t="str">
        <f t="shared" si="99"/>
        <v/>
      </c>
      <c r="J2177" s="1" t="s">
        <v>35</v>
      </c>
      <c r="K2177" s="1" t="str">
        <f t="shared" si="100"/>
        <v/>
      </c>
      <c r="L2177" s="1" t="str">
        <f t="shared" si="101"/>
        <v/>
      </c>
      <c r="M2177" s="1">
        <f>IF(OR(Table1[[#This Row],[Std Nom]]="",Table1[[#This Row],[Std Read]]=""),0,Table1[[#This Row],[Std Nom]]-Table1[[#This Row],[Std Read]])</f>
        <v>0</v>
      </c>
      <c r="N2177" s="1">
        <f>IF(Calculations!$F$5="ACCREDITED 17025 WITH UNCERTAINTIES",$N$10,0)</f>
        <v>0</v>
      </c>
      <c r="Q2177" s="1">
        <f>Table1[[#This Row],[High Tol]]-Table1[[#This Row],[Low Tol]]</f>
        <v>0</v>
      </c>
      <c r="R2177" s="1">
        <f>2*Table1[[#This Row],[Std Error]]</f>
        <v>0</v>
      </c>
      <c r="S2177" s="1" t="str">
        <f>IF(Table1[[#This Row],[High Tol]]="","N/A",IFERROR(ABS(Table1[[#This Row],[Tol Span]]/Table1[[#This Row],[Error Span]]),"N/A"))</f>
        <v>N/A</v>
      </c>
      <c r="T2177" s="1" t="str">
        <f>IF(OR(Table1[[#This Row],[Low Tol]]="",Table1[[#This Row],[High Tol]]=""),"Needs Analysis",IF(Table1[[#This Row],[Ratio]]&gt;=4,"Not Significant",IF(Table1[[#This Row],[Ratio]]&gt;=2,"Semi-Significant","Significant")))</f>
        <v>Needs Analysis</v>
      </c>
      <c r="W2177" s="1">
        <f>IF(Table1[[#This Row],[Cal Type]]&lt;&gt;"ACCREDITED 17025 WITH UNCERTAINTIES",0,"")</f>
        <v>0</v>
      </c>
      <c r="X2177" s="1" t="str">
        <f>IF(Table1[[#This Row],[DUT Read]]="","N/A",Table1[[#This Row],[Std Error]]+Table1[[#This Row],[DUT Read]]+Table1[[#This Row],[DUT Ucty]])</f>
        <v>N/A</v>
      </c>
      <c r="Y2177" s="1" t="str">
        <f>IF(Table1[[#This Row],[Std Read]]="","N/A",Table1[[#This Row],[Std Read]]+Table1[[#This Row],[Std Ucty]])</f>
        <v>N/A</v>
      </c>
      <c r="Z21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7" s="1" t="str">
        <f>IF(Table1[[#This Row],[Spec Type]]="","N/A",Table1[[#This Row],[Spec Type]])</f>
        <v>±</v>
      </c>
      <c r="AC2177" s="1" t="str">
        <f>IF(Table1[[#This Row],[Spec Type2]]="N/A","N/A",IF(AND(Table1[[#This Row],[DUT Adj Read]]&gt;=Table1[[#This Row],[Low Tol]],Table1[[#This Row],[DUT Adj Read]]&lt;=Table1[[#This Row],[High Tol]]),"Pass","Fail"))</f>
        <v>Fail</v>
      </c>
      <c r="AD2177" s="1" t="str">
        <f>IF(AND(Table1[[#This Row],[Spec Type2]]="N/A",Table1[[#This Row],[DUT Adj Read]]="N/A",Table1[[#This Row],[Std Adj Read]]="N/A"),"N/A",IF(Table1[[#This Row],[DUT Adj Read]]="N/A",IF(Table1[[#This Row],[Std Adj Read]]&gt;Table1[[#This Row],[Low Tol]],"Pass","Fail"),IF(Table1[[#This Row],[DUT Adj Read]]&gt;Table1[[#This Row],[Low Tol]],"Pass","Fail")))</f>
        <v>Pass</v>
      </c>
      <c r="AE2177" s="1" t="str">
        <f>IF(AND(Table1[[#This Row],[Spec Type2]]="N/A",Table1[[#This Row],[DUT Adj Read]]="N/A",Table1[[#This Row],[Std Adj Read]]="N/A"),"N/A",IF(Table1[[#This Row],[DUT Adj Read]]="N/A",IF(Table1[[#This Row],[Std Adj Read]]&lt;Table1[[#This Row],[High Tol]],"Pass","Fail"),IF(Table1[[#This Row],[DUT Adj Read]]&lt;Table1[[#This Row],[High Tol]],"Pass","Fail")))</f>
        <v>Fail</v>
      </c>
      <c r="AF2177" s="1" t="str">
        <f>IF(AND(Table1[[#This Row],[Spec Type2]]="N/A",Table1[[#This Row],[DUT Adj Read]]="N/A",Table1[[#This Row],[Std Adj Read]]="N/A"),"N/A",IF(Table1[[#This Row],[DUT Adj Read]]="N/A",IF(Table1[[#This Row],[Std Adj Read]]&gt;=Table1[[#This Row],[Low Tol]],"Pass","Fail"),IF(Table1[[#This Row],[DUT Adj Read]]&gt;=Table1[[#This Row],[Low Tol]],"Pass","Fail")))</f>
        <v>Pass</v>
      </c>
      <c r="AG2177" s="1" t="str">
        <f>IF(AND(Table1[[#This Row],[Spec Type2]]="N/A",Table1[[#This Row],[DUT Adj Read]]="N/A",Table1[[#This Row],[Std Adj Read]]="N/A"),"N/A",IF(Table1[[#This Row],[DUT Adj Read]]="N/A",IF(Table1[[#This Row],[Std Adj Read]]&lt;=Table1[[#This Row],[High Tol]],"Pass","Fail"),IF(Table1[[#This Row],[DUT Adj Read]]&lt;=Table1[[#This Row],[High Tol]],"Pass","Fail")))</f>
        <v>Fail</v>
      </c>
      <c r="AH21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7" s="1" t="b">
        <v>0</v>
      </c>
      <c r="AN2177" s="1" t="b">
        <v>0</v>
      </c>
      <c r="AO2177" s="1" t="b">
        <v>0</v>
      </c>
    </row>
    <row r="2178" spans="1:41" x14ac:dyDescent="0.25">
      <c r="A2178" s="10"/>
      <c r="B2178" s="10"/>
      <c r="C2178" s="10"/>
      <c r="D2178" s="10"/>
      <c r="E2178" s="10"/>
      <c r="F2178" s="10"/>
      <c r="G2178" s="10"/>
      <c r="H2178" s="10"/>
      <c r="I2178" s="1" t="str">
        <f t="shared" si="99"/>
        <v/>
      </c>
      <c r="J2178" s="1" t="s">
        <v>35</v>
      </c>
      <c r="K2178" s="1" t="str">
        <f t="shared" si="100"/>
        <v/>
      </c>
      <c r="L2178" s="1" t="str">
        <f t="shared" si="101"/>
        <v/>
      </c>
      <c r="M2178" s="1">
        <f>IF(OR(Table1[[#This Row],[Std Nom]]="",Table1[[#This Row],[Std Read]]=""),0,Table1[[#This Row],[Std Nom]]-Table1[[#This Row],[Std Read]])</f>
        <v>0</v>
      </c>
      <c r="N2178" s="1">
        <f>IF(Calculations!$F$5="ACCREDITED 17025 WITH UNCERTAINTIES",$N$10,0)</f>
        <v>0</v>
      </c>
      <c r="Q2178" s="1">
        <f>Table1[[#This Row],[High Tol]]-Table1[[#This Row],[Low Tol]]</f>
        <v>0</v>
      </c>
      <c r="R2178" s="1">
        <f>2*Table1[[#This Row],[Std Error]]</f>
        <v>0</v>
      </c>
      <c r="S2178" s="1" t="str">
        <f>IF(Table1[[#This Row],[High Tol]]="","N/A",IFERROR(ABS(Table1[[#This Row],[Tol Span]]/Table1[[#This Row],[Error Span]]),"N/A"))</f>
        <v>N/A</v>
      </c>
      <c r="T2178" s="1" t="str">
        <f>IF(OR(Table1[[#This Row],[Low Tol]]="",Table1[[#This Row],[High Tol]]=""),"Needs Analysis",IF(Table1[[#This Row],[Ratio]]&gt;=4,"Not Significant",IF(Table1[[#This Row],[Ratio]]&gt;=2,"Semi-Significant","Significant")))</f>
        <v>Needs Analysis</v>
      </c>
      <c r="W2178" s="1">
        <f>IF(Table1[[#This Row],[Cal Type]]&lt;&gt;"ACCREDITED 17025 WITH UNCERTAINTIES",0,"")</f>
        <v>0</v>
      </c>
      <c r="X2178" s="1" t="str">
        <f>IF(Table1[[#This Row],[DUT Read]]="","N/A",Table1[[#This Row],[Std Error]]+Table1[[#This Row],[DUT Read]]+Table1[[#This Row],[DUT Ucty]])</f>
        <v>N/A</v>
      </c>
      <c r="Y2178" s="1" t="str">
        <f>IF(Table1[[#This Row],[Std Read]]="","N/A",Table1[[#This Row],[Std Read]]+Table1[[#This Row],[Std Ucty]])</f>
        <v>N/A</v>
      </c>
      <c r="Z21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8" s="1" t="str">
        <f>IF(Table1[[#This Row],[Spec Type]]="","N/A",Table1[[#This Row],[Spec Type]])</f>
        <v>±</v>
      </c>
      <c r="AC2178" s="1" t="str">
        <f>IF(Table1[[#This Row],[Spec Type2]]="N/A","N/A",IF(AND(Table1[[#This Row],[DUT Adj Read]]&gt;=Table1[[#This Row],[Low Tol]],Table1[[#This Row],[DUT Adj Read]]&lt;=Table1[[#This Row],[High Tol]]),"Pass","Fail"))</f>
        <v>Fail</v>
      </c>
      <c r="AD2178" s="1" t="str">
        <f>IF(AND(Table1[[#This Row],[Spec Type2]]="N/A",Table1[[#This Row],[DUT Adj Read]]="N/A",Table1[[#This Row],[Std Adj Read]]="N/A"),"N/A",IF(Table1[[#This Row],[DUT Adj Read]]="N/A",IF(Table1[[#This Row],[Std Adj Read]]&gt;Table1[[#This Row],[Low Tol]],"Pass","Fail"),IF(Table1[[#This Row],[DUT Adj Read]]&gt;Table1[[#This Row],[Low Tol]],"Pass","Fail")))</f>
        <v>Pass</v>
      </c>
      <c r="AE2178" s="1" t="str">
        <f>IF(AND(Table1[[#This Row],[Spec Type2]]="N/A",Table1[[#This Row],[DUT Adj Read]]="N/A",Table1[[#This Row],[Std Adj Read]]="N/A"),"N/A",IF(Table1[[#This Row],[DUT Adj Read]]="N/A",IF(Table1[[#This Row],[Std Adj Read]]&lt;Table1[[#This Row],[High Tol]],"Pass","Fail"),IF(Table1[[#This Row],[DUT Adj Read]]&lt;Table1[[#This Row],[High Tol]],"Pass","Fail")))</f>
        <v>Fail</v>
      </c>
      <c r="AF2178" s="1" t="str">
        <f>IF(AND(Table1[[#This Row],[Spec Type2]]="N/A",Table1[[#This Row],[DUT Adj Read]]="N/A",Table1[[#This Row],[Std Adj Read]]="N/A"),"N/A",IF(Table1[[#This Row],[DUT Adj Read]]="N/A",IF(Table1[[#This Row],[Std Adj Read]]&gt;=Table1[[#This Row],[Low Tol]],"Pass","Fail"),IF(Table1[[#This Row],[DUT Adj Read]]&gt;=Table1[[#This Row],[Low Tol]],"Pass","Fail")))</f>
        <v>Pass</v>
      </c>
      <c r="AG2178" s="1" t="str">
        <f>IF(AND(Table1[[#This Row],[Spec Type2]]="N/A",Table1[[#This Row],[DUT Adj Read]]="N/A",Table1[[#This Row],[Std Adj Read]]="N/A"),"N/A",IF(Table1[[#This Row],[DUT Adj Read]]="N/A",IF(Table1[[#This Row],[Std Adj Read]]&lt;=Table1[[#This Row],[High Tol]],"Pass","Fail"),IF(Table1[[#This Row],[DUT Adj Read]]&lt;=Table1[[#This Row],[High Tol]],"Pass","Fail")))</f>
        <v>Fail</v>
      </c>
      <c r="AH21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8" s="1" t="b">
        <v>0</v>
      </c>
      <c r="AN2178" s="1" t="b">
        <v>0</v>
      </c>
      <c r="AO2178" s="1" t="b">
        <v>0</v>
      </c>
    </row>
    <row r="2179" spans="1:41" x14ac:dyDescent="0.25">
      <c r="A2179" s="10"/>
      <c r="B2179" s="10"/>
      <c r="C2179" s="10"/>
      <c r="D2179" s="10"/>
      <c r="E2179" s="10"/>
      <c r="F2179" s="10"/>
      <c r="G2179" s="10"/>
      <c r="H2179" s="10"/>
      <c r="I2179" s="1" t="str">
        <f t="shared" si="99"/>
        <v/>
      </c>
      <c r="J2179" s="1" t="s">
        <v>35</v>
      </c>
      <c r="K2179" s="1" t="str">
        <f t="shared" si="100"/>
        <v/>
      </c>
      <c r="L2179" s="1" t="str">
        <f t="shared" si="101"/>
        <v/>
      </c>
      <c r="M2179" s="1">
        <f>IF(OR(Table1[[#This Row],[Std Nom]]="",Table1[[#This Row],[Std Read]]=""),0,Table1[[#This Row],[Std Nom]]-Table1[[#This Row],[Std Read]])</f>
        <v>0</v>
      </c>
      <c r="N2179" s="1">
        <f>IF(Calculations!$F$5="ACCREDITED 17025 WITH UNCERTAINTIES",$N$10,0)</f>
        <v>0</v>
      </c>
      <c r="Q2179" s="1">
        <f>Table1[[#This Row],[High Tol]]-Table1[[#This Row],[Low Tol]]</f>
        <v>0</v>
      </c>
      <c r="R2179" s="1">
        <f>2*Table1[[#This Row],[Std Error]]</f>
        <v>0</v>
      </c>
      <c r="S2179" s="1" t="str">
        <f>IF(Table1[[#This Row],[High Tol]]="","N/A",IFERROR(ABS(Table1[[#This Row],[Tol Span]]/Table1[[#This Row],[Error Span]]),"N/A"))</f>
        <v>N/A</v>
      </c>
      <c r="T2179" s="1" t="str">
        <f>IF(OR(Table1[[#This Row],[Low Tol]]="",Table1[[#This Row],[High Tol]]=""),"Needs Analysis",IF(Table1[[#This Row],[Ratio]]&gt;=4,"Not Significant",IF(Table1[[#This Row],[Ratio]]&gt;=2,"Semi-Significant","Significant")))</f>
        <v>Needs Analysis</v>
      </c>
      <c r="W2179" s="1">
        <f>IF(Table1[[#This Row],[Cal Type]]&lt;&gt;"ACCREDITED 17025 WITH UNCERTAINTIES",0,"")</f>
        <v>0</v>
      </c>
      <c r="X2179" s="1" t="str">
        <f>IF(Table1[[#This Row],[DUT Read]]="","N/A",Table1[[#This Row],[Std Error]]+Table1[[#This Row],[DUT Read]]+Table1[[#This Row],[DUT Ucty]])</f>
        <v>N/A</v>
      </c>
      <c r="Y2179" s="1" t="str">
        <f>IF(Table1[[#This Row],[Std Read]]="","N/A",Table1[[#This Row],[Std Read]]+Table1[[#This Row],[Std Ucty]])</f>
        <v>N/A</v>
      </c>
      <c r="Z21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79" s="1" t="str">
        <f>IF(Table1[[#This Row],[Spec Type]]="","N/A",Table1[[#This Row],[Spec Type]])</f>
        <v>±</v>
      </c>
      <c r="AC2179" s="1" t="str">
        <f>IF(Table1[[#This Row],[Spec Type2]]="N/A","N/A",IF(AND(Table1[[#This Row],[DUT Adj Read]]&gt;=Table1[[#This Row],[Low Tol]],Table1[[#This Row],[DUT Adj Read]]&lt;=Table1[[#This Row],[High Tol]]),"Pass","Fail"))</f>
        <v>Fail</v>
      </c>
      <c r="AD2179" s="1" t="str">
        <f>IF(AND(Table1[[#This Row],[Spec Type2]]="N/A",Table1[[#This Row],[DUT Adj Read]]="N/A",Table1[[#This Row],[Std Adj Read]]="N/A"),"N/A",IF(Table1[[#This Row],[DUT Adj Read]]="N/A",IF(Table1[[#This Row],[Std Adj Read]]&gt;Table1[[#This Row],[Low Tol]],"Pass","Fail"),IF(Table1[[#This Row],[DUT Adj Read]]&gt;Table1[[#This Row],[Low Tol]],"Pass","Fail")))</f>
        <v>Pass</v>
      </c>
      <c r="AE2179" s="1" t="str">
        <f>IF(AND(Table1[[#This Row],[Spec Type2]]="N/A",Table1[[#This Row],[DUT Adj Read]]="N/A",Table1[[#This Row],[Std Adj Read]]="N/A"),"N/A",IF(Table1[[#This Row],[DUT Adj Read]]="N/A",IF(Table1[[#This Row],[Std Adj Read]]&lt;Table1[[#This Row],[High Tol]],"Pass","Fail"),IF(Table1[[#This Row],[DUT Adj Read]]&lt;Table1[[#This Row],[High Tol]],"Pass","Fail")))</f>
        <v>Fail</v>
      </c>
      <c r="AF2179" s="1" t="str">
        <f>IF(AND(Table1[[#This Row],[Spec Type2]]="N/A",Table1[[#This Row],[DUT Adj Read]]="N/A",Table1[[#This Row],[Std Adj Read]]="N/A"),"N/A",IF(Table1[[#This Row],[DUT Adj Read]]="N/A",IF(Table1[[#This Row],[Std Adj Read]]&gt;=Table1[[#This Row],[Low Tol]],"Pass","Fail"),IF(Table1[[#This Row],[DUT Adj Read]]&gt;=Table1[[#This Row],[Low Tol]],"Pass","Fail")))</f>
        <v>Pass</v>
      </c>
      <c r="AG2179" s="1" t="str">
        <f>IF(AND(Table1[[#This Row],[Spec Type2]]="N/A",Table1[[#This Row],[DUT Adj Read]]="N/A",Table1[[#This Row],[Std Adj Read]]="N/A"),"N/A",IF(Table1[[#This Row],[DUT Adj Read]]="N/A",IF(Table1[[#This Row],[Std Adj Read]]&lt;=Table1[[#This Row],[High Tol]],"Pass","Fail"),IF(Table1[[#This Row],[DUT Adj Read]]&lt;=Table1[[#This Row],[High Tol]],"Pass","Fail")))</f>
        <v>Fail</v>
      </c>
      <c r="AH21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79" s="1" t="b">
        <v>0</v>
      </c>
      <c r="AN2179" s="1" t="b">
        <v>0</v>
      </c>
      <c r="AO2179" s="1" t="b">
        <v>0</v>
      </c>
    </row>
    <row r="2180" spans="1:41" x14ac:dyDescent="0.25">
      <c r="A2180" s="10"/>
      <c r="B2180" s="10"/>
      <c r="C2180" s="10"/>
      <c r="D2180" s="10"/>
      <c r="E2180" s="10"/>
      <c r="F2180" s="10"/>
      <c r="G2180" s="10"/>
      <c r="H2180" s="10"/>
      <c r="I2180" s="1" t="str">
        <f t="shared" si="99"/>
        <v/>
      </c>
      <c r="J2180" s="1" t="s">
        <v>35</v>
      </c>
      <c r="K2180" s="1" t="str">
        <f t="shared" si="100"/>
        <v/>
      </c>
      <c r="L2180" s="1" t="str">
        <f t="shared" si="101"/>
        <v/>
      </c>
      <c r="M2180" s="1">
        <f>IF(OR(Table1[[#This Row],[Std Nom]]="",Table1[[#This Row],[Std Read]]=""),0,Table1[[#This Row],[Std Nom]]-Table1[[#This Row],[Std Read]])</f>
        <v>0</v>
      </c>
      <c r="N2180" s="1">
        <f>IF(Calculations!$F$5="ACCREDITED 17025 WITH UNCERTAINTIES",$N$10,0)</f>
        <v>0</v>
      </c>
      <c r="Q2180" s="1">
        <f>Table1[[#This Row],[High Tol]]-Table1[[#This Row],[Low Tol]]</f>
        <v>0</v>
      </c>
      <c r="R2180" s="1">
        <f>2*Table1[[#This Row],[Std Error]]</f>
        <v>0</v>
      </c>
      <c r="S2180" s="1" t="str">
        <f>IF(Table1[[#This Row],[High Tol]]="","N/A",IFERROR(ABS(Table1[[#This Row],[Tol Span]]/Table1[[#This Row],[Error Span]]),"N/A"))</f>
        <v>N/A</v>
      </c>
      <c r="T2180" s="1" t="str">
        <f>IF(OR(Table1[[#This Row],[Low Tol]]="",Table1[[#This Row],[High Tol]]=""),"Needs Analysis",IF(Table1[[#This Row],[Ratio]]&gt;=4,"Not Significant",IF(Table1[[#This Row],[Ratio]]&gt;=2,"Semi-Significant","Significant")))</f>
        <v>Needs Analysis</v>
      </c>
      <c r="W2180" s="1">
        <f>IF(Table1[[#This Row],[Cal Type]]&lt;&gt;"ACCREDITED 17025 WITH UNCERTAINTIES",0,"")</f>
        <v>0</v>
      </c>
      <c r="X2180" s="1" t="str">
        <f>IF(Table1[[#This Row],[DUT Read]]="","N/A",Table1[[#This Row],[Std Error]]+Table1[[#This Row],[DUT Read]]+Table1[[#This Row],[DUT Ucty]])</f>
        <v>N/A</v>
      </c>
      <c r="Y2180" s="1" t="str">
        <f>IF(Table1[[#This Row],[Std Read]]="","N/A",Table1[[#This Row],[Std Read]]+Table1[[#This Row],[Std Ucty]])</f>
        <v>N/A</v>
      </c>
      <c r="Z21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0" s="1" t="str">
        <f>IF(Table1[[#This Row],[Spec Type]]="","N/A",Table1[[#This Row],[Spec Type]])</f>
        <v>±</v>
      </c>
      <c r="AC2180" s="1" t="str">
        <f>IF(Table1[[#This Row],[Spec Type2]]="N/A","N/A",IF(AND(Table1[[#This Row],[DUT Adj Read]]&gt;=Table1[[#This Row],[Low Tol]],Table1[[#This Row],[DUT Adj Read]]&lt;=Table1[[#This Row],[High Tol]]),"Pass","Fail"))</f>
        <v>Fail</v>
      </c>
      <c r="AD2180" s="1" t="str">
        <f>IF(AND(Table1[[#This Row],[Spec Type2]]="N/A",Table1[[#This Row],[DUT Adj Read]]="N/A",Table1[[#This Row],[Std Adj Read]]="N/A"),"N/A",IF(Table1[[#This Row],[DUT Adj Read]]="N/A",IF(Table1[[#This Row],[Std Adj Read]]&gt;Table1[[#This Row],[Low Tol]],"Pass","Fail"),IF(Table1[[#This Row],[DUT Adj Read]]&gt;Table1[[#This Row],[Low Tol]],"Pass","Fail")))</f>
        <v>Pass</v>
      </c>
      <c r="AE2180" s="1" t="str">
        <f>IF(AND(Table1[[#This Row],[Spec Type2]]="N/A",Table1[[#This Row],[DUT Adj Read]]="N/A",Table1[[#This Row],[Std Adj Read]]="N/A"),"N/A",IF(Table1[[#This Row],[DUT Adj Read]]="N/A",IF(Table1[[#This Row],[Std Adj Read]]&lt;Table1[[#This Row],[High Tol]],"Pass","Fail"),IF(Table1[[#This Row],[DUT Adj Read]]&lt;Table1[[#This Row],[High Tol]],"Pass","Fail")))</f>
        <v>Fail</v>
      </c>
      <c r="AF2180" s="1" t="str">
        <f>IF(AND(Table1[[#This Row],[Spec Type2]]="N/A",Table1[[#This Row],[DUT Adj Read]]="N/A",Table1[[#This Row],[Std Adj Read]]="N/A"),"N/A",IF(Table1[[#This Row],[DUT Adj Read]]="N/A",IF(Table1[[#This Row],[Std Adj Read]]&gt;=Table1[[#This Row],[Low Tol]],"Pass","Fail"),IF(Table1[[#This Row],[DUT Adj Read]]&gt;=Table1[[#This Row],[Low Tol]],"Pass","Fail")))</f>
        <v>Pass</v>
      </c>
      <c r="AG2180" s="1" t="str">
        <f>IF(AND(Table1[[#This Row],[Spec Type2]]="N/A",Table1[[#This Row],[DUT Adj Read]]="N/A",Table1[[#This Row],[Std Adj Read]]="N/A"),"N/A",IF(Table1[[#This Row],[DUT Adj Read]]="N/A",IF(Table1[[#This Row],[Std Adj Read]]&lt;=Table1[[#This Row],[High Tol]],"Pass","Fail"),IF(Table1[[#This Row],[DUT Adj Read]]&lt;=Table1[[#This Row],[High Tol]],"Pass","Fail")))</f>
        <v>Fail</v>
      </c>
      <c r="AH21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0" s="1" t="b">
        <v>0</v>
      </c>
      <c r="AN2180" s="1" t="b">
        <v>0</v>
      </c>
      <c r="AO2180" s="1" t="b">
        <v>0</v>
      </c>
    </row>
    <row r="2181" spans="1:41" x14ac:dyDescent="0.25">
      <c r="A2181" s="10"/>
      <c r="B2181" s="10"/>
      <c r="C2181" s="10"/>
      <c r="D2181" s="10"/>
      <c r="E2181" s="10"/>
      <c r="F2181" s="10"/>
      <c r="G2181" s="10"/>
      <c r="H2181" s="10"/>
      <c r="I2181" s="1" t="str">
        <f t="shared" si="99"/>
        <v/>
      </c>
      <c r="J2181" s="1" t="s">
        <v>35</v>
      </c>
      <c r="K2181" s="1" t="str">
        <f t="shared" si="100"/>
        <v/>
      </c>
      <c r="L2181" s="1" t="str">
        <f t="shared" si="101"/>
        <v/>
      </c>
      <c r="M2181" s="1">
        <f>IF(OR(Table1[[#This Row],[Std Nom]]="",Table1[[#This Row],[Std Read]]=""),0,Table1[[#This Row],[Std Nom]]-Table1[[#This Row],[Std Read]])</f>
        <v>0</v>
      </c>
      <c r="N2181" s="1">
        <f>IF(Calculations!$F$5="ACCREDITED 17025 WITH UNCERTAINTIES",$N$10,0)</f>
        <v>0</v>
      </c>
      <c r="Q2181" s="1">
        <f>Table1[[#This Row],[High Tol]]-Table1[[#This Row],[Low Tol]]</f>
        <v>0</v>
      </c>
      <c r="R2181" s="1">
        <f>2*Table1[[#This Row],[Std Error]]</f>
        <v>0</v>
      </c>
      <c r="S2181" s="1" t="str">
        <f>IF(Table1[[#This Row],[High Tol]]="","N/A",IFERROR(ABS(Table1[[#This Row],[Tol Span]]/Table1[[#This Row],[Error Span]]),"N/A"))</f>
        <v>N/A</v>
      </c>
      <c r="T2181" s="1" t="str">
        <f>IF(OR(Table1[[#This Row],[Low Tol]]="",Table1[[#This Row],[High Tol]]=""),"Needs Analysis",IF(Table1[[#This Row],[Ratio]]&gt;=4,"Not Significant",IF(Table1[[#This Row],[Ratio]]&gt;=2,"Semi-Significant","Significant")))</f>
        <v>Needs Analysis</v>
      </c>
      <c r="W2181" s="1">
        <f>IF(Table1[[#This Row],[Cal Type]]&lt;&gt;"ACCREDITED 17025 WITH UNCERTAINTIES",0,"")</f>
        <v>0</v>
      </c>
      <c r="X2181" s="1" t="str">
        <f>IF(Table1[[#This Row],[DUT Read]]="","N/A",Table1[[#This Row],[Std Error]]+Table1[[#This Row],[DUT Read]]+Table1[[#This Row],[DUT Ucty]])</f>
        <v>N/A</v>
      </c>
      <c r="Y2181" s="1" t="str">
        <f>IF(Table1[[#This Row],[Std Read]]="","N/A",Table1[[#This Row],[Std Read]]+Table1[[#This Row],[Std Ucty]])</f>
        <v>N/A</v>
      </c>
      <c r="Z21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1" s="1" t="str">
        <f>IF(Table1[[#This Row],[Spec Type]]="","N/A",Table1[[#This Row],[Spec Type]])</f>
        <v>±</v>
      </c>
      <c r="AC2181" s="1" t="str">
        <f>IF(Table1[[#This Row],[Spec Type2]]="N/A","N/A",IF(AND(Table1[[#This Row],[DUT Adj Read]]&gt;=Table1[[#This Row],[Low Tol]],Table1[[#This Row],[DUT Adj Read]]&lt;=Table1[[#This Row],[High Tol]]),"Pass","Fail"))</f>
        <v>Fail</v>
      </c>
      <c r="AD2181" s="1" t="str">
        <f>IF(AND(Table1[[#This Row],[Spec Type2]]="N/A",Table1[[#This Row],[DUT Adj Read]]="N/A",Table1[[#This Row],[Std Adj Read]]="N/A"),"N/A",IF(Table1[[#This Row],[DUT Adj Read]]="N/A",IF(Table1[[#This Row],[Std Adj Read]]&gt;Table1[[#This Row],[Low Tol]],"Pass","Fail"),IF(Table1[[#This Row],[DUT Adj Read]]&gt;Table1[[#This Row],[Low Tol]],"Pass","Fail")))</f>
        <v>Pass</v>
      </c>
      <c r="AE2181" s="1" t="str">
        <f>IF(AND(Table1[[#This Row],[Spec Type2]]="N/A",Table1[[#This Row],[DUT Adj Read]]="N/A",Table1[[#This Row],[Std Adj Read]]="N/A"),"N/A",IF(Table1[[#This Row],[DUT Adj Read]]="N/A",IF(Table1[[#This Row],[Std Adj Read]]&lt;Table1[[#This Row],[High Tol]],"Pass","Fail"),IF(Table1[[#This Row],[DUT Adj Read]]&lt;Table1[[#This Row],[High Tol]],"Pass","Fail")))</f>
        <v>Fail</v>
      </c>
      <c r="AF2181" s="1" t="str">
        <f>IF(AND(Table1[[#This Row],[Spec Type2]]="N/A",Table1[[#This Row],[DUT Adj Read]]="N/A",Table1[[#This Row],[Std Adj Read]]="N/A"),"N/A",IF(Table1[[#This Row],[DUT Adj Read]]="N/A",IF(Table1[[#This Row],[Std Adj Read]]&gt;=Table1[[#This Row],[Low Tol]],"Pass","Fail"),IF(Table1[[#This Row],[DUT Adj Read]]&gt;=Table1[[#This Row],[Low Tol]],"Pass","Fail")))</f>
        <v>Pass</v>
      </c>
      <c r="AG2181" s="1" t="str">
        <f>IF(AND(Table1[[#This Row],[Spec Type2]]="N/A",Table1[[#This Row],[DUT Adj Read]]="N/A",Table1[[#This Row],[Std Adj Read]]="N/A"),"N/A",IF(Table1[[#This Row],[DUT Adj Read]]="N/A",IF(Table1[[#This Row],[Std Adj Read]]&lt;=Table1[[#This Row],[High Tol]],"Pass","Fail"),IF(Table1[[#This Row],[DUT Adj Read]]&lt;=Table1[[#This Row],[High Tol]],"Pass","Fail")))</f>
        <v>Fail</v>
      </c>
      <c r="AH21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1" s="1" t="b">
        <v>0</v>
      </c>
      <c r="AN2181" s="1" t="b">
        <v>0</v>
      </c>
      <c r="AO2181" s="1" t="b">
        <v>0</v>
      </c>
    </row>
    <row r="2182" spans="1:41" x14ac:dyDescent="0.25">
      <c r="A2182" s="10"/>
      <c r="B2182" s="10"/>
      <c r="C2182" s="10"/>
      <c r="D2182" s="10"/>
      <c r="E2182" s="10"/>
      <c r="F2182" s="10"/>
      <c r="G2182" s="10"/>
      <c r="H2182" s="10"/>
      <c r="I2182" s="1" t="str">
        <f t="shared" si="99"/>
        <v/>
      </c>
      <c r="J2182" s="1" t="s">
        <v>35</v>
      </c>
      <c r="K2182" s="1" t="str">
        <f t="shared" si="100"/>
        <v/>
      </c>
      <c r="L2182" s="1" t="str">
        <f t="shared" si="101"/>
        <v/>
      </c>
      <c r="M2182" s="1">
        <f>IF(OR(Table1[[#This Row],[Std Nom]]="",Table1[[#This Row],[Std Read]]=""),0,Table1[[#This Row],[Std Nom]]-Table1[[#This Row],[Std Read]])</f>
        <v>0</v>
      </c>
      <c r="N2182" s="1">
        <f>IF(Calculations!$F$5="ACCREDITED 17025 WITH UNCERTAINTIES",$N$10,0)</f>
        <v>0</v>
      </c>
      <c r="Q2182" s="1">
        <f>Table1[[#This Row],[High Tol]]-Table1[[#This Row],[Low Tol]]</f>
        <v>0</v>
      </c>
      <c r="R2182" s="1">
        <f>2*Table1[[#This Row],[Std Error]]</f>
        <v>0</v>
      </c>
      <c r="S2182" s="1" t="str">
        <f>IF(Table1[[#This Row],[High Tol]]="","N/A",IFERROR(ABS(Table1[[#This Row],[Tol Span]]/Table1[[#This Row],[Error Span]]),"N/A"))</f>
        <v>N/A</v>
      </c>
      <c r="T2182" s="1" t="str">
        <f>IF(OR(Table1[[#This Row],[Low Tol]]="",Table1[[#This Row],[High Tol]]=""),"Needs Analysis",IF(Table1[[#This Row],[Ratio]]&gt;=4,"Not Significant",IF(Table1[[#This Row],[Ratio]]&gt;=2,"Semi-Significant","Significant")))</f>
        <v>Needs Analysis</v>
      </c>
      <c r="W2182" s="1">
        <f>IF(Table1[[#This Row],[Cal Type]]&lt;&gt;"ACCREDITED 17025 WITH UNCERTAINTIES",0,"")</f>
        <v>0</v>
      </c>
      <c r="X2182" s="1" t="str">
        <f>IF(Table1[[#This Row],[DUT Read]]="","N/A",Table1[[#This Row],[Std Error]]+Table1[[#This Row],[DUT Read]]+Table1[[#This Row],[DUT Ucty]])</f>
        <v>N/A</v>
      </c>
      <c r="Y2182" s="1" t="str">
        <f>IF(Table1[[#This Row],[Std Read]]="","N/A",Table1[[#This Row],[Std Read]]+Table1[[#This Row],[Std Ucty]])</f>
        <v>N/A</v>
      </c>
      <c r="Z21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2" s="1" t="str">
        <f>IF(Table1[[#This Row],[Spec Type]]="","N/A",Table1[[#This Row],[Spec Type]])</f>
        <v>±</v>
      </c>
      <c r="AC2182" s="1" t="str">
        <f>IF(Table1[[#This Row],[Spec Type2]]="N/A","N/A",IF(AND(Table1[[#This Row],[DUT Adj Read]]&gt;=Table1[[#This Row],[Low Tol]],Table1[[#This Row],[DUT Adj Read]]&lt;=Table1[[#This Row],[High Tol]]),"Pass","Fail"))</f>
        <v>Fail</v>
      </c>
      <c r="AD2182" s="1" t="str">
        <f>IF(AND(Table1[[#This Row],[Spec Type2]]="N/A",Table1[[#This Row],[DUT Adj Read]]="N/A",Table1[[#This Row],[Std Adj Read]]="N/A"),"N/A",IF(Table1[[#This Row],[DUT Adj Read]]="N/A",IF(Table1[[#This Row],[Std Adj Read]]&gt;Table1[[#This Row],[Low Tol]],"Pass","Fail"),IF(Table1[[#This Row],[DUT Adj Read]]&gt;Table1[[#This Row],[Low Tol]],"Pass","Fail")))</f>
        <v>Pass</v>
      </c>
      <c r="AE2182" s="1" t="str">
        <f>IF(AND(Table1[[#This Row],[Spec Type2]]="N/A",Table1[[#This Row],[DUT Adj Read]]="N/A",Table1[[#This Row],[Std Adj Read]]="N/A"),"N/A",IF(Table1[[#This Row],[DUT Adj Read]]="N/A",IF(Table1[[#This Row],[Std Adj Read]]&lt;Table1[[#This Row],[High Tol]],"Pass","Fail"),IF(Table1[[#This Row],[DUT Adj Read]]&lt;Table1[[#This Row],[High Tol]],"Pass","Fail")))</f>
        <v>Fail</v>
      </c>
      <c r="AF2182" s="1" t="str">
        <f>IF(AND(Table1[[#This Row],[Spec Type2]]="N/A",Table1[[#This Row],[DUT Adj Read]]="N/A",Table1[[#This Row],[Std Adj Read]]="N/A"),"N/A",IF(Table1[[#This Row],[DUT Adj Read]]="N/A",IF(Table1[[#This Row],[Std Adj Read]]&gt;=Table1[[#This Row],[Low Tol]],"Pass","Fail"),IF(Table1[[#This Row],[DUT Adj Read]]&gt;=Table1[[#This Row],[Low Tol]],"Pass","Fail")))</f>
        <v>Pass</v>
      </c>
      <c r="AG2182" s="1" t="str">
        <f>IF(AND(Table1[[#This Row],[Spec Type2]]="N/A",Table1[[#This Row],[DUT Adj Read]]="N/A",Table1[[#This Row],[Std Adj Read]]="N/A"),"N/A",IF(Table1[[#This Row],[DUT Adj Read]]="N/A",IF(Table1[[#This Row],[Std Adj Read]]&lt;=Table1[[#This Row],[High Tol]],"Pass","Fail"),IF(Table1[[#This Row],[DUT Adj Read]]&lt;=Table1[[#This Row],[High Tol]],"Pass","Fail")))</f>
        <v>Fail</v>
      </c>
      <c r="AH21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2" s="1" t="b">
        <v>0</v>
      </c>
      <c r="AN2182" s="1" t="b">
        <v>0</v>
      </c>
      <c r="AO2182" s="1" t="b">
        <v>0</v>
      </c>
    </row>
    <row r="2183" spans="1:41" x14ac:dyDescent="0.25">
      <c r="A2183" s="10"/>
      <c r="B2183" s="10"/>
      <c r="C2183" s="10"/>
      <c r="D2183" s="10"/>
      <c r="E2183" s="10"/>
      <c r="F2183" s="10"/>
      <c r="G2183" s="10"/>
      <c r="H2183" s="10"/>
      <c r="I2183" s="1" t="str">
        <f t="shared" si="99"/>
        <v/>
      </c>
      <c r="J2183" s="1" t="s">
        <v>35</v>
      </c>
      <c r="K2183" s="1" t="str">
        <f t="shared" si="100"/>
        <v/>
      </c>
      <c r="L2183" s="1" t="str">
        <f t="shared" si="101"/>
        <v/>
      </c>
      <c r="M2183" s="1">
        <f>IF(OR(Table1[[#This Row],[Std Nom]]="",Table1[[#This Row],[Std Read]]=""),0,Table1[[#This Row],[Std Nom]]-Table1[[#This Row],[Std Read]])</f>
        <v>0</v>
      </c>
      <c r="N2183" s="1">
        <f>IF(Calculations!$F$5="ACCREDITED 17025 WITH UNCERTAINTIES",$N$10,0)</f>
        <v>0</v>
      </c>
      <c r="Q2183" s="1">
        <f>Table1[[#This Row],[High Tol]]-Table1[[#This Row],[Low Tol]]</f>
        <v>0</v>
      </c>
      <c r="R2183" s="1">
        <f>2*Table1[[#This Row],[Std Error]]</f>
        <v>0</v>
      </c>
      <c r="S2183" s="1" t="str">
        <f>IF(Table1[[#This Row],[High Tol]]="","N/A",IFERROR(ABS(Table1[[#This Row],[Tol Span]]/Table1[[#This Row],[Error Span]]),"N/A"))</f>
        <v>N/A</v>
      </c>
      <c r="T2183" s="1" t="str">
        <f>IF(OR(Table1[[#This Row],[Low Tol]]="",Table1[[#This Row],[High Tol]]=""),"Needs Analysis",IF(Table1[[#This Row],[Ratio]]&gt;=4,"Not Significant",IF(Table1[[#This Row],[Ratio]]&gt;=2,"Semi-Significant","Significant")))</f>
        <v>Needs Analysis</v>
      </c>
      <c r="W2183" s="1">
        <f>IF(Table1[[#This Row],[Cal Type]]&lt;&gt;"ACCREDITED 17025 WITH UNCERTAINTIES",0,"")</f>
        <v>0</v>
      </c>
      <c r="X2183" s="1" t="str">
        <f>IF(Table1[[#This Row],[DUT Read]]="","N/A",Table1[[#This Row],[Std Error]]+Table1[[#This Row],[DUT Read]]+Table1[[#This Row],[DUT Ucty]])</f>
        <v>N/A</v>
      </c>
      <c r="Y2183" s="1" t="str">
        <f>IF(Table1[[#This Row],[Std Read]]="","N/A",Table1[[#This Row],[Std Read]]+Table1[[#This Row],[Std Ucty]])</f>
        <v>N/A</v>
      </c>
      <c r="Z21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3" s="1" t="str">
        <f>IF(Table1[[#This Row],[Spec Type]]="","N/A",Table1[[#This Row],[Spec Type]])</f>
        <v>±</v>
      </c>
      <c r="AC2183" s="1" t="str">
        <f>IF(Table1[[#This Row],[Spec Type2]]="N/A","N/A",IF(AND(Table1[[#This Row],[DUT Adj Read]]&gt;=Table1[[#This Row],[Low Tol]],Table1[[#This Row],[DUT Adj Read]]&lt;=Table1[[#This Row],[High Tol]]),"Pass","Fail"))</f>
        <v>Fail</v>
      </c>
      <c r="AD2183" s="1" t="str">
        <f>IF(AND(Table1[[#This Row],[Spec Type2]]="N/A",Table1[[#This Row],[DUT Adj Read]]="N/A",Table1[[#This Row],[Std Adj Read]]="N/A"),"N/A",IF(Table1[[#This Row],[DUT Adj Read]]="N/A",IF(Table1[[#This Row],[Std Adj Read]]&gt;Table1[[#This Row],[Low Tol]],"Pass","Fail"),IF(Table1[[#This Row],[DUT Adj Read]]&gt;Table1[[#This Row],[Low Tol]],"Pass","Fail")))</f>
        <v>Pass</v>
      </c>
      <c r="AE2183" s="1" t="str">
        <f>IF(AND(Table1[[#This Row],[Spec Type2]]="N/A",Table1[[#This Row],[DUT Adj Read]]="N/A",Table1[[#This Row],[Std Adj Read]]="N/A"),"N/A",IF(Table1[[#This Row],[DUT Adj Read]]="N/A",IF(Table1[[#This Row],[Std Adj Read]]&lt;Table1[[#This Row],[High Tol]],"Pass","Fail"),IF(Table1[[#This Row],[DUT Adj Read]]&lt;Table1[[#This Row],[High Tol]],"Pass","Fail")))</f>
        <v>Fail</v>
      </c>
      <c r="AF2183" s="1" t="str">
        <f>IF(AND(Table1[[#This Row],[Spec Type2]]="N/A",Table1[[#This Row],[DUT Adj Read]]="N/A",Table1[[#This Row],[Std Adj Read]]="N/A"),"N/A",IF(Table1[[#This Row],[DUT Adj Read]]="N/A",IF(Table1[[#This Row],[Std Adj Read]]&gt;=Table1[[#This Row],[Low Tol]],"Pass","Fail"),IF(Table1[[#This Row],[DUT Adj Read]]&gt;=Table1[[#This Row],[Low Tol]],"Pass","Fail")))</f>
        <v>Pass</v>
      </c>
      <c r="AG2183" s="1" t="str">
        <f>IF(AND(Table1[[#This Row],[Spec Type2]]="N/A",Table1[[#This Row],[DUT Adj Read]]="N/A",Table1[[#This Row],[Std Adj Read]]="N/A"),"N/A",IF(Table1[[#This Row],[DUT Adj Read]]="N/A",IF(Table1[[#This Row],[Std Adj Read]]&lt;=Table1[[#This Row],[High Tol]],"Pass","Fail"),IF(Table1[[#This Row],[DUT Adj Read]]&lt;=Table1[[#This Row],[High Tol]],"Pass","Fail")))</f>
        <v>Fail</v>
      </c>
      <c r="AH21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3" s="1" t="b">
        <v>0</v>
      </c>
      <c r="AN2183" s="1" t="b">
        <v>0</v>
      </c>
      <c r="AO2183" s="1" t="b">
        <v>0</v>
      </c>
    </row>
    <row r="2184" spans="1:41" x14ac:dyDescent="0.25">
      <c r="A2184" s="10"/>
      <c r="B2184" s="10"/>
      <c r="C2184" s="10"/>
      <c r="D2184" s="10"/>
      <c r="E2184" s="10"/>
      <c r="F2184" s="10"/>
      <c r="G2184" s="10"/>
      <c r="H2184" s="10"/>
      <c r="I2184" s="1" t="str">
        <f t="shared" si="99"/>
        <v/>
      </c>
      <c r="J2184" s="1" t="s">
        <v>35</v>
      </c>
      <c r="K2184" s="1" t="str">
        <f t="shared" si="100"/>
        <v/>
      </c>
      <c r="L2184" s="1" t="str">
        <f t="shared" si="101"/>
        <v/>
      </c>
      <c r="M2184" s="1">
        <f>IF(OR(Table1[[#This Row],[Std Nom]]="",Table1[[#This Row],[Std Read]]=""),0,Table1[[#This Row],[Std Nom]]-Table1[[#This Row],[Std Read]])</f>
        <v>0</v>
      </c>
      <c r="N2184" s="1">
        <f>IF(Calculations!$F$5="ACCREDITED 17025 WITH UNCERTAINTIES",$N$10,0)</f>
        <v>0</v>
      </c>
      <c r="Q2184" s="1">
        <f>Table1[[#This Row],[High Tol]]-Table1[[#This Row],[Low Tol]]</f>
        <v>0</v>
      </c>
      <c r="R2184" s="1">
        <f>2*Table1[[#This Row],[Std Error]]</f>
        <v>0</v>
      </c>
      <c r="S2184" s="1" t="str">
        <f>IF(Table1[[#This Row],[High Tol]]="","N/A",IFERROR(ABS(Table1[[#This Row],[Tol Span]]/Table1[[#This Row],[Error Span]]),"N/A"))</f>
        <v>N/A</v>
      </c>
      <c r="T2184" s="1" t="str">
        <f>IF(OR(Table1[[#This Row],[Low Tol]]="",Table1[[#This Row],[High Tol]]=""),"Needs Analysis",IF(Table1[[#This Row],[Ratio]]&gt;=4,"Not Significant",IF(Table1[[#This Row],[Ratio]]&gt;=2,"Semi-Significant","Significant")))</f>
        <v>Needs Analysis</v>
      </c>
      <c r="W2184" s="1">
        <f>IF(Table1[[#This Row],[Cal Type]]&lt;&gt;"ACCREDITED 17025 WITH UNCERTAINTIES",0,"")</f>
        <v>0</v>
      </c>
      <c r="X2184" s="1" t="str">
        <f>IF(Table1[[#This Row],[DUT Read]]="","N/A",Table1[[#This Row],[Std Error]]+Table1[[#This Row],[DUT Read]]+Table1[[#This Row],[DUT Ucty]])</f>
        <v>N/A</v>
      </c>
      <c r="Y2184" s="1" t="str">
        <f>IF(Table1[[#This Row],[Std Read]]="","N/A",Table1[[#This Row],[Std Read]]+Table1[[#This Row],[Std Ucty]])</f>
        <v>N/A</v>
      </c>
      <c r="Z21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4" s="1" t="str">
        <f>IF(Table1[[#This Row],[Spec Type]]="","N/A",Table1[[#This Row],[Spec Type]])</f>
        <v>±</v>
      </c>
      <c r="AC2184" s="1" t="str">
        <f>IF(Table1[[#This Row],[Spec Type2]]="N/A","N/A",IF(AND(Table1[[#This Row],[DUT Adj Read]]&gt;=Table1[[#This Row],[Low Tol]],Table1[[#This Row],[DUT Adj Read]]&lt;=Table1[[#This Row],[High Tol]]),"Pass","Fail"))</f>
        <v>Fail</v>
      </c>
      <c r="AD2184" s="1" t="str">
        <f>IF(AND(Table1[[#This Row],[Spec Type2]]="N/A",Table1[[#This Row],[DUT Adj Read]]="N/A",Table1[[#This Row],[Std Adj Read]]="N/A"),"N/A",IF(Table1[[#This Row],[DUT Adj Read]]="N/A",IF(Table1[[#This Row],[Std Adj Read]]&gt;Table1[[#This Row],[Low Tol]],"Pass","Fail"),IF(Table1[[#This Row],[DUT Adj Read]]&gt;Table1[[#This Row],[Low Tol]],"Pass","Fail")))</f>
        <v>Pass</v>
      </c>
      <c r="AE2184" s="1" t="str">
        <f>IF(AND(Table1[[#This Row],[Spec Type2]]="N/A",Table1[[#This Row],[DUT Adj Read]]="N/A",Table1[[#This Row],[Std Adj Read]]="N/A"),"N/A",IF(Table1[[#This Row],[DUT Adj Read]]="N/A",IF(Table1[[#This Row],[Std Adj Read]]&lt;Table1[[#This Row],[High Tol]],"Pass","Fail"),IF(Table1[[#This Row],[DUT Adj Read]]&lt;Table1[[#This Row],[High Tol]],"Pass","Fail")))</f>
        <v>Fail</v>
      </c>
      <c r="AF2184" s="1" t="str">
        <f>IF(AND(Table1[[#This Row],[Spec Type2]]="N/A",Table1[[#This Row],[DUT Adj Read]]="N/A",Table1[[#This Row],[Std Adj Read]]="N/A"),"N/A",IF(Table1[[#This Row],[DUT Adj Read]]="N/A",IF(Table1[[#This Row],[Std Adj Read]]&gt;=Table1[[#This Row],[Low Tol]],"Pass","Fail"),IF(Table1[[#This Row],[DUT Adj Read]]&gt;=Table1[[#This Row],[Low Tol]],"Pass","Fail")))</f>
        <v>Pass</v>
      </c>
      <c r="AG2184" s="1" t="str">
        <f>IF(AND(Table1[[#This Row],[Spec Type2]]="N/A",Table1[[#This Row],[DUT Adj Read]]="N/A",Table1[[#This Row],[Std Adj Read]]="N/A"),"N/A",IF(Table1[[#This Row],[DUT Adj Read]]="N/A",IF(Table1[[#This Row],[Std Adj Read]]&lt;=Table1[[#This Row],[High Tol]],"Pass","Fail"),IF(Table1[[#This Row],[DUT Adj Read]]&lt;=Table1[[#This Row],[High Tol]],"Pass","Fail")))</f>
        <v>Fail</v>
      </c>
      <c r="AH21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4" s="1" t="b">
        <v>0</v>
      </c>
      <c r="AN2184" s="1" t="b">
        <v>0</v>
      </c>
      <c r="AO2184" s="1" t="b">
        <v>0</v>
      </c>
    </row>
    <row r="2185" spans="1:41" x14ac:dyDescent="0.25">
      <c r="A2185" s="10"/>
      <c r="B2185" s="10"/>
      <c r="C2185" s="10"/>
      <c r="D2185" s="10"/>
      <c r="E2185" s="10"/>
      <c r="F2185" s="10"/>
      <c r="G2185" s="10"/>
      <c r="H2185" s="10"/>
      <c r="I2185" s="1" t="str">
        <f t="shared" si="99"/>
        <v/>
      </c>
      <c r="J2185" s="1" t="s">
        <v>35</v>
      </c>
      <c r="K2185" s="1" t="str">
        <f t="shared" si="100"/>
        <v/>
      </c>
      <c r="L2185" s="1" t="str">
        <f t="shared" si="101"/>
        <v/>
      </c>
      <c r="M2185" s="1">
        <f>IF(OR(Table1[[#This Row],[Std Nom]]="",Table1[[#This Row],[Std Read]]=""),0,Table1[[#This Row],[Std Nom]]-Table1[[#This Row],[Std Read]])</f>
        <v>0</v>
      </c>
      <c r="N2185" s="1">
        <f>IF(Calculations!$F$5="ACCREDITED 17025 WITH UNCERTAINTIES",$N$10,0)</f>
        <v>0</v>
      </c>
      <c r="Q2185" s="1">
        <f>Table1[[#This Row],[High Tol]]-Table1[[#This Row],[Low Tol]]</f>
        <v>0</v>
      </c>
      <c r="R2185" s="1">
        <f>2*Table1[[#This Row],[Std Error]]</f>
        <v>0</v>
      </c>
      <c r="S2185" s="1" t="str">
        <f>IF(Table1[[#This Row],[High Tol]]="","N/A",IFERROR(ABS(Table1[[#This Row],[Tol Span]]/Table1[[#This Row],[Error Span]]),"N/A"))</f>
        <v>N/A</v>
      </c>
      <c r="T2185" s="1" t="str">
        <f>IF(OR(Table1[[#This Row],[Low Tol]]="",Table1[[#This Row],[High Tol]]=""),"Needs Analysis",IF(Table1[[#This Row],[Ratio]]&gt;=4,"Not Significant",IF(Table1[[#This Row],[Ratio]]&gt;=2,"Semi-Significant","Significant")))</f>
        <v>Needs Analysis</v>
      </c>
      <c r="W2185" s="1">
        <f>IF(Table1[[#This Row],[Cal Type]]&lt;&gt;"ACCREDITED 17025 WITH UNCERTAINTIES",0,"")</f>
        <v>0</v>
      </c>
      <c r="X2185" s="1" t="str">
        <f>IF(Table1[[#This Row],[DUT Read]]="","N/A",Table1[[#This Row],[Std Error]]+Table1[[#This Row],[DUT Read]]+Table1[[#This Row],[DUT Ucty]])</f>
        <v>N/A</v>
      </c>
      <c r="Y2185" s="1" t="str">
        <f>IF(Table1[[#This Row],[Std Read]]="","N/A",Table1[[#This Row],[Std Read]]+Table1[[#This Row],[Std Ucty]])</f>
        <v>N/A</v>
      </c>
      <c r="Z21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5" s="1" t="str">
        <f>IF(Table1[[#This Row],[Spec Type]]="","N/A",Table1[[#This Row],[Spec Type]])</f>
        <v>±</v>
      </c>
      <c r="AC2185" s="1" t="str">
        <f>IF(Table1[[#This Row],[Spec Type2]]="N/A","N/A",IF(AND(Table1[[#This Row],[DUT Adj Read]]&gt;=Table1[[#This Row],[Low Tol]],Table1[[#This Row],[DUT Adj Read]]&lt;=Table1[[#This Row],[High Tol]]),"Pass","Fail"))</f>
        <v>Fail</v>
      </c>
      <c r="AD2185" s="1" t="str">
        <f>IF(AND(Table1[[#This Row],[Spec Type2]]="N/A",Table1[[#This Row],[DUT Adj Read]]="N/A",Table1[[#This Row],[Std Adj Read]]="N/A"),"N/A",IF(Table1[[#This Row],[DUT Adj Read]]="N/A",IF(Table1[[#This Row],[Std Adj Read]]&gt;Table1[[#This Row],[Low Tol]],"Pass","Fail"),IF(Table1[[#This Row],[DUT Adj Read]]&gt;Table1[[#This Row],[Low Tol]],"Pass","Fail")))</f>
        <v>Pass</v>
      </c>
      <c r="AE2185" s="1" t="str">
        <f>IF(AND(Table1[[#This Row],[Spec Type2]]="N/A",Table1[[#This Row],[DUT Adj Read]]="N/A",Table1[[#This Row],[Std Adj Read]]="N/A"),"N/A",IF(Table1[[#This Row],[DUT Adj Read]]="N/A",IF(Table1[[#This Row],[Std Adj Read]]&lt;Table1[[#This Row],[High Tol]],"Pass","Fail"),IF(Table1[[#This Row],[DUT Adj Read]]&lt;Table1[[#This Row],[High Tol]],"Pass","Fail")))</f>
        <v>Fail</v>
      </c>
      <c r="AF2185" s="1" t="str">
        <f>IF(AND(Table1[[#This Row],[Spec Type2]]="N/A",Table1[[#This Row],[DUT Adj Read]]="N/A",Table1[[#This Row],[Std Adj Read]]="N/A"),"N/A",IF(Table1[[#This Row],[DUT Adj Read]]="N/A",IF(Table1[[#This Row],[Std Adj Read]]&gt;=Table1[[#This Row],[Low Tol]],"Pass","Fail"),IF(Table1[[#This Row],[DUT Adj Read]]&gt;=Table1[[#This Row],[Low Tol]],"Pass","Fail")))</f>
        <v>Pass</v>
      </c>
      <c r="AG2185" s="1" t="str">
        <f>IF(AND(Table1[[#This Row],[Spec Type2]]="N/A",Table1[[#This Row],[DUT Adj Read]]="N/A",Table1[[#This Row],[Std Adj Read]]="N/A"),"N/A",IF(Table1[[#This Row],[DUT Adj Read]]="N/A",IF(Table1[[#This Row],[Std Adj Read]]&lt;=Table1[[#This Row],[High Tol]],"Pass","Fail"),IF(Table1[[#This Row],[DUT Adj Read]]&lt;=Table1[[#This Row],[High Tol]],"Pass","Fail")))</f>
        <v>Fail</v>
      </c>
      <c r="AH21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5" s="1" t="b">
        <v>0</v>
      </c>
      <c r="AN2185" s="1" t="b">
        <v>0</v>
      </c>
      <c r="AO2185" s="1" t="b">
        <v>0</v>
      </c>
    </row>
    <row r="2186" spans="1:41" x14ac:dyDescent="0.25">
      <c r="A2186" s="10"/>
      <c r="B2186" s="10"/>
      <c r="C2186" s="10"/>
      <c r="D2186" s="10"/>
      <c r="E2186" s="10"/>
      <c r="F2186" s="10"/>
      <c r="G2186" s="10"/>
      <c r="H2186" s="10"/>
      <c r="I2186" s="1" t="str">
        <f t="shared" si="99"/>
        <v/>
      </c>
      <c r="J2186" s="1" t="s">
        <v>35</v>
      </c>
      <c r="K2186" s="1" t="str">
        <f t="shared" si="100"/>
        <v/>
      </c>
      <c r="L2186" s="1" t="str">
        <f t="shared" si="101"/>
        <v/>
      </c>
      <c r="M2186" s="1">
        <f>IF(OR(Table1[[#This Row],[Std Nom]]="",Table1[[#This Row],[Std Read]]=""),0,Table1[[#This Row],[Std Nom]]-Table1[[#This Row],[Std Read]])</f>
        <v>0</v>
      </c>
      <c r="N2186" s="1">
        <f>IF(Calculations!$F$5="ACCREDITED 17025 WITH UNCERTAINTIES",$N$10,0)</f>
        <v>0</v>
      </c>
      <c r="Q2186" s="1">
        <f>Table1[[#This Row],[High Tol]]-Table1[[#This Row],[Low Tol]]</f>
        <v>0</v>
      </c>
      <c r="R2186" s="1">
        <f>2*Table1[[#This Row],[Std Error]]</f>
        <v>0</v>
      </c>
      <c r="S2186" s="1" t="str">
        <f>IF(Table1[[#This Row],[High Tol]]="","N/A",IFERROR(ABS(Table1[[#This Row],[Tol Span]]/Table1[[#This Row],[Error Span]]),"N/A"))</f>
        <v>N/A</v>
      </c>
      <c r="T2186" s="1" t="str">
        <f>IF(OR(Table1[[#This Row],[Low Tol]]="",Table1[[#This Row],[High Tol]]=""),"Needs Analysis",IF(Table1[[#This Row],[Ratio]]&gt;=4,"Not Significant",IF(Table1[[#This Row],[Ratio]]&gt;=2,"Semi-Significant","Significant")))</f>
        <v>Needs Analysis</v>
      </c>
      <c r="W2186" s="1">
        <f>IF(Table1[[#This Row],[Cal Type]]&lt;&gt;"ACCREDITED 17025 WITH UNCERTAINTIES",0,"")</f>
        <v>0</v>
      </c>
      <c r="X2186" s="1" t="str">
        <f>IF(Table1[[#This Row],[DUT Read]]="","N/A",Table1[[#This Row],[Std Error]]+Table1[[#This Row],[DUT Read]]+Table1[[#This Row],[DUT Ucty]])</f>
        <v>N/A</v>
      </c>
      <c r="Y2186" s="1" t="str">
        <f>IF(Table1[[#This Row],[Std Read]]="","N/A",Table1[[#This Row],[Std Read]]+Table1[[#This Row],[Std Ucty]])</f>
        <v>N/A</v>
      </c>
      <c r="Z21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6" s="1" t="str">
        <f>IF(Table1[[#This Row],[Spec Type]]="","N/A",Table1[[#This Row],[Spec Type]])</f>
        <v>±</v>
      </c>
      <c r="AC2186" s="1" t="str">
        <f>IF(Table1[[#This Row],[Spec Type2]]="N/A","N/A",IF(AND(Table1[[#This Row],[DUT Adj Read]]&gt;=Table1[[#This Row],[Low Tol]],Table1[[#This Row],[DUT Adj Read]]&lt;=Table1[[#This Row],[High Tol]]),"Pass","Fail"))</f>
        <v>Fail</v>
      </c>
      <c r="AD2186" s="1" t="str">
        <f>IF(AND(Table1[[#This Row],[Spec Type2]]="N/A",Table1[[#This Row],[DUT Adj Read]]="N/A",Table1[[#This Row],[Std Adj Read]]="N/A"),"N/A",IF(Table1[[#This Row],[DUT Adj Read]]="N/A",IF(Table1[[#This Row],[Std Adj Read]]&gt;Table1[[#This Row],[Low Tol]],"Pass","Fail"),IF(Table1[[#This Row],[DUT Adj Read]]&gt;Table1[[#This Row],[Low Tol]],"Pass","Fail")))</f>
        <v>Pass</v>
      </c>
      <c r="AE2186" s="1" t="str">
        <f>IF(AND(Table1[[#This Row],[Spec Type2]]="N/A",Table1[[#This Row],[DUT Adj Read]]="N/A",Table1[[#This Row],[Std Adj Read]]="N/A"),"N/A",IF(Table1[[#This Row],[DUT Adj Read]]="N/A",IF(Table1[[#This Row],[Std Adj Read]]&lt;Table1[[#This Row],[High Tol]],"Pass","Fail"),IF(Table1[[#This Row],[DUT Adj Read]]&lt;Table1[[#This Row],[High Tol]],"Pass","Fail")))</f>
        <v>Fail</v>
      </c>
      <c r="AF2186" s="1" t="str">
        <f>IF(AND(Table1[[#This Row],[Spec Type2]]="N/A",Table1[[#This Row],[DUT Adj Read]]="N/A",Table1[[#This Row],[Std Adj Read]]="N/A"),"N/A",IF(Table1[[#This Row],[DUT Adj Read]]="N/A",IF(Table1[[#This Row],[Std Adj Read]]&gt;=Table1[[#This Row],[Low Tol]],"Pass","Fail"),IF(Table1[[#This Row],[DUT Adj Read]]&gt;=Table1[[#This Row],[Low Tol]],"Pass","Fail")))</f>
        <v>Pass</v>
      </c>
      <c r="AG2186" s="1" t="str">
        <f>IF(AND(Table1[[#This Row],[Spec Type2]]="N/A",Table1[[#This Row],[DUT Adj Read]]="N/A",Table1[[#This Row],[Std Adj Read]]="N/A"),"N/A",IF(Table1[[#This Row],[DUT Adj Read]]="N/A",IF(Table1[[#This Row],[Std Adj Read]]&lt;=Table1[[#This Row],[High Tol]],"Pass","Fail"),IF(Table1[[#This Row],[DUT Adj Read]]&lt;=Table1[[#This Row],[High Tol]],"Pass","Fail")))</f>
        <v>Fail</v>
      </c>
      <c r="AH21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6" s="1" t="b">
        <v>0</v>
      </c>
      <c r="AN2186" s="1" t="b">
        <v>0</v>
      </c>
      <c r="AO2186" s="1" t="b">
        <v>0</v>
      </c>
    </row>
    <row r="2187" spans="1:41" x14ac:dyDescent="0.25">
      <c r="A2187" s="10"/>
      <c r="B2187" s="10"/>
      <c r="C2187" s="10"/>
      <c r="D2187" s="10"/>
      <c r="E2187" s="10"/>
      <c r="F2187" s="10"/>
      <c r="G2187" s="10"/>
      <c r="H2187" s="10"/>
      <c r="I2187" s="1" t="str">
        <f t="shared" ref="I2187:I2250" si="102">IF($I$10="","",$I$10)</f>
        <v/>
      </c>
      <c r="J2187" s="1" t="s">
        <v>35</v>
      </c>
      <c r="K2187" s="1" t="str">
        <f t="shared" ref="K2187:K2250" si="103">IF($K$10="","",$K$10)</f>
        <v/>
      </c>
      <c r="L2187" s="1" t="str">
        <f t="shared" ref="L2187:L2250" si="104">IF($L$10="","",$L$10)</f>
        <v/>
      </c>
      <c r="M2187" s="1">
        <f>IF(OR(Table1[[#This Row],[Std Nom]]="",Table1[[#This Row],[Std Read]]=""),0,Table1[[#This Row],[Std Nom]]-Table1[[#This Row],[Std Read]])</f>
        <v>0</v>
      </c>
      <c r="N2187" s="1">
        <f>IF(Calculations!$F$5="ACCREDITED 17025 WITH UNCERTAINTIES",$N$10,0)</f>
        <v>0</v>
      </c>
      <c r="Q2187" s="1">
        <f>Table1[[#This Row],[High Tol]]-Table1[[#This Row],[Low Tol]]</f>
        <v>0</v>
      </c>
      <c r="R2187" s="1">
        <f>2*Table1[[#This Row],[Std Error]]</f>
        <v>0</v>
      </c>
      <c r="S2187" s="1" t="str">
        <f>IF(Table1[[#This Row],[High Tol]]="","N/A",IFERROR(ABS(Table1[[#This Row],[Tol Span]]/Table1[[#This Row],[Error Span]]),"N/A"))</f>
        <v>N/A</v>
      </c>
      <c r="T2187" s="1" t="str">
        <f>IF(OR(Table1[[#This Row],[Low Tol]]="",Table1[[#This Row],[High Tol]]=""),"Needs Analysis",IF(Table1[[#This Row],[Ratio]]&gt;=4,"Not Significant",IF(Table1[[#This Row],[Ratio]]&gt;=2,"Semi-Significant","Significant")))</f>
        <v>Needs Analysis</v>
      </c>
      <c r="W2187" s="1">
        <f>IF(Table1[[#This Row],[Cal Type]]&lt;&gt;"ACCREDITED 17025 WITH UNCERTAINTIES",0,"")</f>
        <v>0</v>
      </c>
      <c r="X2187" s="1" t="str">
        <f>IF(Table1[[#This Row],[DUT Read]]="","N/A",Table1[[#This Row],[Std Error]]+Table1[[#This Row],[DUT Read]]+Table1[[#This Row],[DUT Ucty]])</f>
        <v>N/A</v>
      </c>
      <c r="Y2187" s="1" t="str">
        <f>IF(Table1[[#This Row],[Std Read]]="","N/A",Table1[[#This Row],[Std Read]]+Table1[[#This Row],[Std Ucty]])</f>
        <v>N/A</v>
      </c>
      <c r="Z21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7" s="1" t="str">
        <f>IF(Table1[[#This Row],[Spec Type]]="","N/A",Table1[[#This Row],[Spec Type]])</f>
        <v>±</v>
      </c>
      <c r="AC2187" s="1" t="str">
        <f>IF(Table1[[#This Row],[Spec Type2]]="N/A","N/A",IF(AND(Table1[[#This Row],[DUT Adj Read]]&gt;=Table1[[#This Row],[Low Tol]],Table1[[#This Row],[DUT Adj Read]]&lt;=Table1[[#This Row],[High Tol]]),"Pass","Fail"))</f>
        <v>Fail</v>
      </c>
      <c r="AD2187" s="1" t="str">
        <f>IF(AND(Table1[[#This Row],[Spec Type2]]="N/A",Table1[[#This Row],[DUT Adj Read]]="N/A",Table1[[#This Row],[Std Adj Read]]="N/A"),"N/A",IF(Table1[[#This Row],[DUT Adj Read]]="N/A",IF(Table1[[#This Row],[Std Adj Read]]&gt;Table1[[#This Row],[Low Tol]],"Pass","Fail"),IF(Table1[[#This Row],[DUT Adj Read]]&gt;Table1[[#This Row],[Low Tol]],"Pass","Fail")))</f>
        <v>Pass</v>
      </c>
      <c r="AE2187" s="1" t="str">
        <f>IF(AND(Table1[[#This Row],[Spec Type2]]="N/A",Table1[[#This Row],[DUT Adj Read]]="N/A",Table1[[#This Row],[Std Adj Read]]="N/A"),"N/A",IF(Table1[[#This Row],[DUT Adj Read]]="N/A",IF(Table1[[#This Row],[Std Adj Read]]&lt;Table1[[#This Row],[High Tol]],"Pass","Fail"),IF(Table1[[#This Row],[DUT Adj Read]]&lt;Table1[[#This Row],[High Tol]],"Pass","Fail")))</f>
        <v>Fail</v>
      </c>
      <c r="AF2187" s="1" t="str">
        <f>IF(AND(Table1[[#This Row],[Spec Type2]]="N/A",Table1[[#This Row],[DUT Adj Read]]="N/A",Table1[[#This Row],[Std Adj Read]]="N/A"),"N/A",IF(Table1[[#This Row],[DUT Adj Read]]="N/A",IF(Table1[[#This Row],[Std Adj Read]]&gt;=Table1[[#This Row],[Low Tol]],"Pass","Fail"),IF(Table1[[#This Row],[DUT Adj Read]]&gt;=Table1[[#This Row],[Low Tol]],"Pass","Fail")))</f>
        <v>Pass</v>
      </c>
      <c r="AG2187" s="1" t="str">
        <f>IF(AND(Table1[[#This Row],[Spec Type2]]="N/A",Table1[[#This Row],[DUT Adj Read]]="N/A",Table1[[#This Row],[Std Adj Read]]="N/A"),"N/A",IF(Table1[[#This Row],[DUT Adj Read]]="N/A",IF(Table1[[#This Row],[Std Adj Read]]&lt;=Table1[[#This Row],[High Tol]],"Pass","Fail"),IF(Table1[[#This Row],[DUT Adj Read]]&lt;=Table1[[#This Row],[High Tol]],"Pass","Fail")))</f>
        <v>Fail</v>
      </c>
      <c r="AH21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7" s="1" t="b">
        <v>0</v>
      </c>
      <c r="AN2187" s="1" t="b">
        <v>0</v>
      </c>
      <c r="AO2187" s="1" t="b">
        <v>0</v>
      </c>
    </row>
    <row r="2188" spans="1:41" x14ac:dyDescent="0.25">
      <c r="A2188" s="10"/>
      <c r="B2188" s="10"/>
      <c r="C2188" s="10"/>
      <c r="D2188" s="10"/>
      <c r="E2188" s="10"/>
      <c r="F2188" s="10"/>
      <c r="G2188" s="10"/>
      <c r="H2188" s="10"/>
      <c r="I2188" s="1" t="str">
        <f t="shared" si="102"/>
        <v/>
      </c>
      <c r="J2188" s="1" t="s">
        <v>35</v>
      </c>
      <c r="K2188" s="1" t="str">
        <f t="shared" si="103"/>
        <v/>
      </c>
      <c r="L2188" s="1" t="str">
        <f t="shared" si="104"/>
        <v/>
      </c>
      <c r="M2188" s="1">
        <f>IF(OR(Table1[[#This Row],[Std Nom]]="",Table1[[#This Row],[Std Read]]=""),0,Table1[[#This Row],[Std Nom]]-Table1[[#This Row],[Std Read]])</f>
        <v>0</v>
      </c>
      <c r="N2188" s="1">
        <f>IF(Calculations!$F$5="ACCREDITED 17025 WITH UNCERTAINTIES",$N$10,0)</f>
        <v>0</v>
      </c>
      <c r="Q2188" s="1">
        <f>Table1[[#This Row],[High Tol]]-Table1[[#This Row],[Low Tol]]</f>
        <v>0</v>
      </c>
      <c r="R2188" s="1">
        <f>2*Table1[[#This Row],[Std Error]]</f>
        <v>0</v>
      </c>
      <c r="S2188" s="1" t="str">
        <f>IF(Table1[[#This Row],[High Tol]]="","N/A",IFERROR(ABS(Table1[[#This Row],[Tol Span]]/Table1[[#This Row],[Error Span]]),"N/A"))</f>
        <v>N/A</v>
      </c>
      <c r="T2188" s="1" t="str">
        <f>IF(OR(Table1[[#This Row],[Low Tol]]="",Table1[[#This Row],[High Tol]]=""),"Needs Analysis",IF(Table1[[#This Row],[Ratio]]&gt;=4,"Not Significant",IF(Table1[[#This Row],[Ratio]]&gt;=2,"Semi-Significant","Significant")))</f>
        <v>Needs Analysis</v>
      </c>
      <c r="W2188" s="1">
        <f>IF(Table1[[#This Row],[Cal Type]]&lt;&gt;"ACCREDITED 17025 WITH UNCERTAINTIES",0,"")</f>
        <v>0</v>
      </c>
      <c r="X2188" s="1" t="str">
        <f>IF(Table1[[#This Row],[DUT Read]]="","N/A",Table1[[#This Row],[Std Error]]+Table1[[#This Row],[DUT Read]]+Table1[[#This Row],[DUT Ucty]])</f>
        <v>N/A</v>
      </c>
      <c r="Y2188" s="1" t="str">
        <f>IF(Table1[[#This Row],[Std Read]]="","N/A",Table1[[#This Row],[Std Read]]+Table1[[#This Row],[Std Ucty]])</f>
        <v>N/A</v>
      </c>
      <c r="Z21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8" s="1" t="str">
        <f>IF(Table1[[#This Row],[Spec Type]]="","N/A",Table1[[#This Row],[Spec Type]])</f>
        <v>±</v>
      </c>
      <c r="AC2188" s="1" t="str">
        <f>IF(Table1[[#This Row],[Spec Type2]]="N/A","N/A",IF(AND(Table1[[#This Row],[DUT Adj Read]]&gt;=Table1[[#This Row],[Low Tol]],Table1[[#This Row],[DUT Adj Read]]&lt;=Table1[[#This Row],[High Tol]]),"Pass","Fail"))</f>
        <v>Fail</v>
      </c>
      <c r="AD2188" s="1" t="str">
        <f>IF(AND(Table1[[#This Row],[Spec Type2]]="N/A",Table1[[#This Row],[DUT Adj Read]]="N/A",Table1[[#This Row],[Std Adj Read]]="N/A"),"N/A",IF(Table1[[#This Row],[DUT Adj Read]]="N/A",IF(Table1[[#This Row],[Std Adj Read]]&gt;Table1[[#This Row],[Low Tol]],"Pass","Fail"),IF(Table1[[#This Row],[DUT Adj Read]]&gt;Table1[[#This Row],[Low Tol]],"Pass","Fail")))</f>
        <v>Pass</v>
      </c>
      <c r="AE2188" s="1" t="str">
        <f>IF(AND(Table1[[#This Row],[Spec Type2]]="N/A",Table1[[#This Row],[DUT Adj Read]]="N/A",Table1[[#This Row],[Std Adj Read]]="N/A"),"N/A",IF(Table1[[#This Row],[DUT Adj Read]]="N/A",IF(Table1[[#This Row],[Std Adj Read]]&lt;Table1[[#This Row],[High Tol]],"Pass","Fail"),IF(Table1[[#This Row],[DUT Adj Read]]&lt;Table1[[#This Row],[High Tol]],"Pass","Fail")))</f>
        <v>Fail</v>
      </c>
      <c r="AF2188" s="1" t="str">
        <f>IF(AND(Table1[[#This Row],[Spec Type2]]="N/A",Table1[[#This Row],[DUT Adj Read]]="N/A",Table1[[#This Row],[Std Adj Read]]="N/A"),"N/A",IF(Table1[[#This Row],[DUT Adj Read]]="N/A",IF(Table1[[#This Row],[Std Adj Read]]&gt;=Table1[[#This Row],[Low Tol]],"Pass","Fail"),IF(Table1[[#This Row],[DUT Adj Read]]&gt;=Table1[[#This Row],[Low Tol]],"Pass","Fail")))</f>
        <v>Pass</v>
      </c>
      <c r="AG2188" s="1" t="str">
        <f>IF(AND(Table1[[#This Row],[Spec Type2]]="N/A",Table1[[#This Row],[DUT Adj Read]]="N/A",Table1[[#This Row],[Std Adj Read]]="N/A"),"N/A",IF(Table1[[#This Row],[DUT Adj Read]]="N/A",IF(Table1[[#This Row],[Std Adj Read]]&lt;=Table1[[#This Row],[High Tol]],"Pass","Fail"),IF(Table1[[#This Row],[DUT Adj Read]]&lt;=Table1[[#This Row],[High Tol]],"Pass","Fail")))</f>
        <v>Fail</v>
      </c>
      <c r="AH21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8" s="1" t="b">
        <v>0</v>
      </c>
      <c r="AN2188" s="1" t="b">
        <v>0</v>
      </c>
      <c r="AO2188" s="1" t="b">
        <v>0</v>
      </c>
    </row>
    <row r="2189" spans="1:41" x14ac:dyDescent="0.25">
      <c r="A2189" s="10"/>
      <c r="B2189" s="10"/>
      <c r="C2189" s="10"/>
      <c r="D2189" s="10"/>
      <c r="E2189" s="10"/>
      <c r="F2189" s="10"/>
      <c r="G2189" s="10"/>
      <c r="H2189" s="10"/>
      <c r="I2189" s="1" t="str">
        <f t="shared" si="102"/>
        <v/>
      </c>
      <c r="J2189" s="1" t="s">
        <v>35</v>
      </c>
      <c r="K2189" s="1" t="str">
        <f t="shared" si="103"/>
        <v/>
      </c>
      <c r="L2189" s="1" t="str">
        <f t="shared" si="104"/>
        <v/>
      </c>
      <c r="M2189" s="1">
        <f>IF(OR(Table1[[#This Row],[Std Nom]]="",Table1[[#This Row],[Std Read]]=""),0,Table1[[#This Row],[Std Nom]]-Table1[[#This Row],[Std Read]])</f>
        <v>0</v>
      </c>
      <c r="N2189" s="1">
        <f>IF(Calculations!$F$5="ACCREDITED 17025 WITH UNCERTAINTIES",$N$10,0)</f>
        <v>0</v>
      </c>
      <c r="Q2189" s="1">
        <f>Table1[[#This Row],[High Tol]]-Table1[[#This Row],[Low Tol]]</f>
        <v>0</v>
      </c>
      <c r="R2189" s="1">
        <f>2*Table1[[#This Row],[Std Error]]</f>
        <v>0</v>
      </c>
      <c r="S2189" s="1" t="str">
        <f>IF(Table1[[#This Row],[High Tol]]="","N/A",IFERROR(ABS(Table1[[#This Row],[Tol Span]]/Table1[[#This Row],[Error Span]]),"N/A"))</f>
        <v>N/A</v>
      </c>
      <c r="T2189" s="1" t="str">
        <f>IF(OR(Table1[[#This Row],[Low Tol]]="",Table1[[#This Row],[High Tol]]=""),"Needs Analysis",IF(Table1[[#This Row],[Ratio]]&gt;=4,"Not Significant",IF(Table1[[#This Row],[Ratio]]&gt;=2,"Semi-Significant","Significant")))</f>
        <v>Needs Analysis</v>
      </c>
      <c r="W2189" s="1">
        <f>IF(Table1[[#This Row],[Cal Type]]&lt;&gt;"ACCREDITED 17025 WITH UNCERTAINTIES",0,"")</f>
        <v>0</v>
      </c>
      <c r="X2189" s="1" t="str">
        <f>IF(Table1[[#This Row],[DUT Read]]="","N/A",Table1[[#This Row],[Std Error]]+Table1[[#This Row],[DUT Read]]+Table1[[#This Row],[DUT Ucty]])</f>
        <v>N/A</v>
      </c>
      <c r="Y2189" s="1" t="str">
        <f>IF(Table1[[#This Row],[Std Read]]="","N/A",Table1[[#This Row],[Std Read]]+Table1[[#This Row],[Std Ucty]])</f>
        <v>N/A</v>
      </c>
      <c r="Z21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89" s="1" t="str">
        <f>IF(Table1[[#This Row],[Spec Type]]="","N/A",Table1[[#This Row],[Spec Type]])</f>
        <v>±</v>
      </c>
      <c r="AC2189" s="1" t="str">
        <f>IF(Table1[[#This Row],[Spec Type2]]="N/A","N/A",IF(AND(Table1[[#This Row],[DUT Adj Read]]&gt;=Table1[[#This Row],[Low Tol]],Table1[[#This Row],[DUT Adj Read]]&lt;=Table1[[#This Row],[High Tol]]),"Pass","Fail"))</f>
        <v>Fail</v>
      </c>
      <c r="AD2189" s="1" t="str">
        <f>IF(AND(Table1[[#This Row],[Spec Type2]]="N/A",Table1[[#This Row],[DUT Adj Read]]="N/A",Table1[[#This Row],[Std Adj Read]]="N/A"),"N/A",IF(Table1[[#This Row],[DUT Adj Read]]="N/A",IF(Table1[[#This Row],[Std Adj Read]]&gt;Table1[[#This Row],[Low Tol]],"Pass","Fail"),IF(Table1[[#This Row],[DUT Adj Read]]&gt;Table1[[#This Row],[Low Tol]],"Pass","Fail")))</f>
        <v>Pass</v>
      </c>
      <c r="AE2189" s="1" t="str">
        <f>IF(AND(Table1[[#This Row],[Spec Type2]]="N/A",Table1[[#This Row],[DUT Adj Read]]="N/A",Table1[[#This Row],[Std Adj Read]]="N/A"),"N/A",IF(Table1[[#This Row],[DUT Adj Read]]="N/A",IF(Table1[[#This Row],[Std Adj Read]]&lt;Table1[[#This Row],[High Tol]],"Pass","Fail"),IF(Table1[[#This Row],[DUT Adj Read]]&lt;Table1[[#This Row],[High Tol]],"Pass","Fail")))</f>
        <v>Fail</v>
      </c>
      <c r="AF2189" s="1" t="str">
        <f>IF(AND(Table1[[#This Row],[Spec Type2]]="N/A",Table1[[#This Row],[DUT Adj Read]]="N/A",Table1[[#This Row],[Std Adj Read]]="N/A"),"N/A",IF(Table1[[#This Row],[DUT Adj Read]]="N/A",IF(Table1[[#This Row],[Std Adj Read]]&gt;=Table1[[#This Row],[Low Tol]],"Pass","Fail"),IF(Table1[[#This Row],[DUT Adj Read]]&gt;=Table1[[#This Row],[Low Tol]],"Pass","Fail")))</f>
        <v>Pass</v>
      </c>
      <c r="AG2189" s="1" t="str">
        <f>IF(AND(Table1[[#This Row],[Spec Type2]]="N/A",Table1[[#This Row],[DUT Adj Read]]="N/A",Table1[[#This Row],[Std Adj Read]]="N/A"),"N/A",IF(Table1[[#This Row],[DUT Adj Read]]="N/A",IF(Table1[[#This Row],[Std Adj Read]]&lt;=Table1[[#This Row],[High Tol]],"Pass","Fail"),IF(Table1[[#This Row],[DUT Adj Read]]&lt;=Table1[[#This Row],[High Tol]],"Pass","Fail")))</f>
        <v>Fail</v>
      </c>
      <c r="AH21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89" s="1" t="b">
        <v>0</v>
      </c>
      <c r="AN2189" s="1" t="b">
        <v>0</v>
      </c>
      <c r="AO2189" s="1" t="b">
        <v>0</v>
      </c>
    </row>
    <row r="2190" spans="1:41" x14ac:dyDescent="0.25">
      <c r="A2190" s="10"/>
      <c r="B2190" s="10"/>
      <c r="C2190" s="10"/>
      <c r="D2190" s="10"/>
      <c r="E2190" s="10"/>
      <c r="F2190" s="10"/>
      <c r="G2190" s="10"/>
      <c r="H2190" s="10"/>
      <c r="I2190" s="1" t="str">
        <f t="shared" si="102"/>
        <v/>
      </c>
      <c r="J2190" s="1" t="s">
        <v>35</v>
      </c>
      <c r="K2190" s="1" t="str">
        <f t="shared" si="103"/>
        <v/>
      </c>
      <c r="L2190" s="1" t="str">
        <f t="shared" si="104"/>
        <v/>
      </c>
      <c r="M2190" s="1">
        <f>IF(OR(Table1[[#This Row],[Std Nom]]="",Table1[[#This Row],[Std Read]]=""),0,Table1[[#This Row],[Std Nom]]-Table1[[#This Row],[Std Read]])</f>
        <v>0</v>
      </c>
      <c r="N2190" s="1">
        <f>IF(Calculations!$F$5="ACCREDITED 17025 WITH UNCERTAINTIES",$N$10,0)</f>
        <v>0</v>
      </c>
      <c r="Q2190" s="1">
        <f>Table1[[#This Row],[High Tol]]-Table1[[#This Row],[Low Tol]]</f>
        <v>0</v>
      </c>
      <c r="R2190" s="1">
        <f>2*Table1[[#This Row],[Std Error]]</f>
        <v>0</v>
      </c>
      <c r="S2190" s="1" t="str">
        <f>IF(Table1[[#This Row],[High Tol]]="","N/A",IFERROR(ABS(Table1[[#This Row],[Tol Span]]/Table1[[#This Row],[Error Span]]),"N/A"))</f>
        <v>N/A</v>
      </c>
      <c r="T2190" s="1" t="str">
        <f>IF(OR(Table1[[#This Row],[Low Tol]]="",Table1[[#This Row],[High Tol]]=""),"Needs Analysis",IF(Table1[[#This Row],[Ratio]]&gt;=4,"Not Significant",IF(Table1[[#This Row],[Ratio]]&gt;=2,"Semi-Significant","Significant")))</f>
        <v>Needs Analysis</v>
      </c>
      <c r="W2190" s="1">
        <f>IF(Table1[[#This Row],[Cal Type]]&lt;&gt;"ACCREDITED 17025 WITH UNCERTAINTIES",0,"")</f>
        <v>0</v>
      </c>
      <c r="X2190" s="1" t="str">
        <f>IF(Table1[[#This Row],[DUT Read]]="","N/A",Table1[[#This Row],[Std Error]]+Table1[[#This Row],[DUT Read]]+Table1[[#This Row],[DUT Ucty]])</f>
        <v>N/A</v>
      </c>
      <c r="Y2190" s="1" t="str">
        <f>IF(Table1[[#This Row],[Std Read]]="","N/A",Table1[[#This Row],[Std Read]]+Table1[[#This Row],[Std Ucty]])</f>
        <v>N/A</v>
      </c>
      <c r="Z21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0" s="1" t="str">
        <f>IF(Table1[[#This Row],[Spec Type]]="","N/A",Table1[[#This Row],[Spec Type]])</f>
        <v>±</v>
      </c>
      <c r="AC2190" s="1" t="str">
        <f>IF(Table1[[#This Row],[Spec Type2]]="N/A","N/A",IF(AND(Table1[[#This Row],[DUT Adj Read]]&gt;=Table1[[#This Row],[Low Tol]],Table1[[#This Row],[DUT Adj Read]]&lt;=Table1[[#This Row],[High Tol]]),"Pass","Fail"))</f>
        <v>Fail</v>
      </c>
      <c r="AD2190" s="1" t="str">
        <f>IF(AND(Table1[[#This Row],[Spec Type2]]="N/A",Table1[[#This Row],[DUT Adj Read]]="N/A",Table1[[#This Row],[Std Adj Read]]="N/A"),"N/A",IF(Table1[[#This Row],[DUT Adj Read]]="N/A",IF(Table1[[#This Row],[Std Adj Read]]&gt;Table1[[#This Row],[Low Tol]],"Pass","Fail"),IF(Table1[[#This Row],[DUT Adj Read]]&gt;Table1[[#This Row],[Low Tol]],"Pass","Fail")))</f>
        <v>Pass</v>
      </c>
      <c r="AE2190" s="1" t="str">
        <f>IF(AND(Table1[[#This Row],[Spec Type2]]="N/A",Table1[[#This Row],[DUT Adj Read]]="N/A",Table1[[#This Row],[Std Adj Read]]="N/A"),"N/A",IF(Table1[[#This Row],[DUT Adj Read]]="N/A",IF(Table1[[#This Row],[Std Adj Read]]&lt;Table1[[#This Row],[High Tol]],"Pass","Fail"),IF(Table1[[#This Row],[DUT Adj Read]]&lt;Table1[[#This Row],[High Tol]],"Pass","Fail")))</f>
        <v>Fail</v>
      </c>
      <c r="AF2190" s="1" t="str">
        <f>IF(AND(Table1[[#This Row],[Spec Type2]]="N/A",Table1[[#This Row],[DUT Adj Read]]="N/A",Table1[[#This Row],[Std Adj Read]]="N/A"),"N/A",IF(Table1[[#This Row],[DUT Adj Read]]="N/A",IF(Table1[[#This Row],[Std Adj Read]]&gt;=Table1[[#This Row],[Low Tol]],"Pass","Fail"),IF(Table1[[#This Row],[DUT Adj Read]]&gt;=Table1[[#This Row],[Low Tol]],"Pass","Fail")))</f>
        <v>Pass</v>
      </c>
      <c r="AG2190" s="1" t="str">
        <f>IF(AND(Table1[[#This Row],[Spec Type2]]="N/A",Table1[[#This Row],[DUT Adj Read]]="N/A",Table1[[#This Row],[Std Adj Read]]="N/A"),"N/A",IF(Table1[[#This Row],[DUT Adj Read]]="N/A",IF(Table1[[#This Row],[Std Adj Read]]&lt;=Table1[[#This Row],[High Tol]],"Pass","Fail"),IF(Table1[[#This Row],[DUT Adj Read]]&lt;=Table1[[#This Row],[High Tol]],"Pass","Fail")))</f>
        <v>Fail</v>
      </c>
      <c r="AH21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0" s="1" t="b">
        <v>0</v>
      </c>
      <c r="AN2190" s="1" t="b">
        <v>0</v>
      </c>
      <c r="AO2190" s="1" t="b">
        <v>0</v>
      </c>
    </row>
    <row r="2191" spans="1:41" x14ac:dyDescent="0.25">
      <c r="A2191" s="10"/>
      <c r="B2191" s="10"/>
      <c r="C2191" s="10"/>
      <c r="D2191" s="10"/>
      <c r="E2191" s="10"/>
      <c r="F2191" s="10"/>
      <c r="G2191" s="10"/>
      <c r="H2191" s="10"/>
      <c r="I2191" s="1" t="str">
        <f t="shared" si="102"/>
        <v/>
      </c>
      <c r="J2191" s="1" t="s">
        <v>35</v>
      </c>
      <c r="K2191" s="1" t="str">
        <f t="shared" si="103"/>
        <v/>
      </c>
      <c r="L2191" s="1" t="str">
        <f t="shared" si="104"/>
        <v/>
      </c>
      <c r="M2191" s="1">
        <f>IF(OR(Table1[[#This Row],[Std Nom]]="",Table1[[#This Row],[Std Read]]=""),0,Table1[[#This Row],[Std Nom]]-Table1[[#This Row],[Std Read]])</f>
        <v>0</v>
      </c>
      <c r="N2191" s="1">
        <f>IF(Calculations!$F$5="ACCREDITED 17025 WITH UNCERTAINTIES",$N$10,0)</f>
        <v>0</v>
      </c>
      <c r="Q2191" s="1">
        <f>Table1[[#This Row],[High Tol]]-Table1[[#This Row],[Low Tol]]</f>
        <v>0</v>
      </c>
      <c r="R2191" s="1">
        <f>2*Table1[[#This Row],[Std Error]]</f>
        <v>0</v>
      </c>
      <c r="S2191" s="1" t="str">
        <f>IF(Table1[[#This Row],[High Tol]]="","N/A",IFERROR(ABS(Table1[[#This Row],[Tol Span]]/Table1[[#This Row],[Error Span]]),"N/A"))</f>
        <v>N/A</v>
      </c>
      <c r="T2191" s="1" t="str">
        <f>IF(OR(Table1[[#This Row],[Low Tol]]="",Table1[[#This Row],[High Tol]]=""),"Needs Analysis",IF(Table1[[#This Row],[Ratio]]&gt;=4,"Not Significant",IF(Table1[[#This Row],[Ratio]]&gt;=2,"Semi-Significant","Significant")))</f>
        <v>Needs Analysis</v>
      </c>
      <c r="W2191" s="1">
        <f>IF(Table1[[#This Row],[Cal Type]]&lt;&gt;"ACCREDITED 17025 WITH UNCERTAINTIES",0,"")</f>
        <v>0</v>
      </c>
      <c r="X2191" s="1" t="str">
        <f>IF(Table1[[#This Row],[DUT Read]]="","N/A",Table1[[#This Row],[Std Error]]+Table1[[#This Row],[DUT Read]]+Table1[[#This Row],[DUT Ucty]])</f>
        <v>N/A</v>
      </c>
      <c r="Y2191" s="1" t="str">
        <f>IF(Table1[[#This Row],[Std Read]]="","N/A",Table1[[#This Row],[Std Read]]+Table1[[#This Row],[Std Ucty]])</f>
        <v>N/A</v>
      </c>
      <c r="Z21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1" s="1" t="str">
        <f>IF(Table1[[#This Row],[Spec Type]]="","N/A",Table1[[#This Row],[Spec Type]])</f>
        <v>±</v>
      </c>
      <c r="AC2191" s="1" t="str">
        <f>IF(Table1[[#This Row],[Spec Type2]]="N/A","N/A",IF(AND(Table1[[#This Row],[DUT Adj Read]]&gt;=Table1[[#This Row],[Low Tol]],Table1[[#This Row],[DUT Adj Read]]&lt;=Table1[[#This Row],[High Tol]]),"Pass","Fail"))</f>
        <v>Fail</v>
      </c>
      <c r="AD2191" s="1" t="str">
        <f>IF(AND(Table1[[#This Row],[Spec Type2]]="N/A",Table1[[#This Row],[DUT Adj Read]]="N/A",Table1[[#This Row],[Std Adj Read]]="N/A"),"N/A",IF(Table1[[#This Row],[DUT Adj Read]]="N/A",IF(Table1[[#This Row],[Std Adj Read]]&gt;Table1[[#This Row],[Low Tol]],"Pass","Fail"),IF(Table1[[#This Row],[DUT Adj Read]]&gt;Table1[[#This Row],[Low Tol]],"Pass","Fail")))</f>
        <v>Pass</v>
      </c>
      <c r="AE2191" s="1" t="str">
        <f>IF(AND(Table1[[#This Row],[Spec Type2]]="N/A",Table1[[#This Row],[DUT Adj Read]]="N/A",Table1[[#This Row],[Std Adj Read]]="N/A"),"N/A",IF(Table1[[#This Row],[DUT Adj Read]]="N/A",IF(Table1[[#This Row],[Std Adj Read]]&lt;Table1[[#This Row],[High Tol]],"Pass","Fail"),IF(Table1[[#This Row],[DUT Adj Read]]&lt;Table1[[#This Row],[High Tol]],"Pass","Fail")))</f>
        <v>Fail</v>
      </c>
      <c r="AF2191" s="1" t="str">
        <f>IF(AND(Table1[[#This Row],[Spec Type2]]="N/A",Table1[[#This Row],[DUT Adj Read]]="N/A",Table1[[#This Row],[Std Adj Read]]="N/A"),"N/A",IF(Table1[[#This Row],[DUT Adj Read]]="N/A",IF(Table1[[#This Row],[Std Adj Read]]&gt;=Table1[[#This Row],[Low Tol]],"Pass","Fail"),IF(Table1[[#This Row],[DUT Adj Read]]&gt;=Table1[[#This Row],[Low Tol]],"Pass","Fail")))</f>
        <v>Pass</v>
      </c>
      <c r="AG2191" s="1" t="str">
        <f>IF(AND(Table1[[#This Row],[Spec Type2]]="N/A",Table1[[#This Row],[DUT Adj Read]]="N/A",Table1[[#This Row],[Std Adj Read]]="N/A"),"N/A",IF(Table1[[#This Row],[DUT Adj Read]]="N/A",IF(Table1[[#This Row],[Std Adj Read]]&lt;=Table1[[#This Row],[High Tol]],"Pass","Fail"),IF(Table1[[#This Row],[DUT Adj Read]]&lt;=Table1[[#This Row],[High Tol]],"Pass","Fail")))</f>
        <v>Fail</v>
      </c>
      <c r="AH21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1" s="1" t="b">
        <v>0</v>
      </c>
      <c r="AN2191" s="1" t="b">
        <v>0</v>
      </c>
      <c r="AO2191" s="1" t="b">
        <v>0</v>
      </c>
    </row>
    <row r="2192" spans="1:41" x14ac:dyDescent="0.25">
      <c r="A2192" s="10"/>
      <c r="B2192" s="10"/>
      <c r="C2192" s="10"/>
      <c r="D2192" s="10"/>
      <c r="E2192" s="10"/>
      <c r="F2192" s="10"/>
      <c r="G2192" s="10"/>
      <c r="H2192" s="10"/>
      <c r="I2192" s="1" t="str">
        <f t="shared" si="102"/>
        <v/>
      </c>
      <c r="J2192" s="1" t="s">
        <v>35</v>
      </c>
      <c r="K2192" s="1" t="str">
        <f t="shared" si="103"/>
        <v/>
      </c>
      <c r="L2192" s="1" t="str">
        <f t="shared" si="104"/>
        <v/>
      </c>
      <c r="M2192" s="1">
        <f>IF(OR(Table1[[#This Row],[Std Nom]]="",Table1[[#This Row],[Std Read]]=""),0,Table1[[#This Row],[Std Nom]]-Table1[[#This Row],[Std Read]])</f>
        <v>0</v>
      </c>
      <c r="N2192" s="1">
        <f>IF(Calculations!$F$5="ACCREDITED 17025 WITH UNCERTAINTIES",$N$10,0)</f>
        <v>0</v>
      </c>
      <c r="Q2192" s="1">
        <f>Table1[[#This Row],[High Tol]]-Table1[[#This Row],[Low Tol]]</f>
        <v>0</v>
      </c>
      <c r="R2192" s="1">
        <f>2*Table1[[#This Row],[Std Error]]</f>
        <v>0</v>
      </c>
      <c r="S2192" s="1" t="str">
        <f>IF(Table1[[#This Row],[High Tol]]="","N/A",IFERROR(ABS(Table1[[#This Row],[Tol Span]]/Table1[[#This Row],[Error Span]]),"N/A"))</f>
        <v>N/A</v>
      </c>
      <c r="T2192" s="1" t="str">
        <f>IF(OR(Table1[[#This Row],[Low Tol]]="",Table1[[#This Row],[High Tol]]=""),"Needs Analysis",IF(Table1[[#This Row],[Ratio]]&gt;=4,"Not Significant",IF(Table1[[#This Row],[Ratio]]&gt;=2,"Semi-Significant","Significant")))</f>
        <v>Needs Analysis</v>
      </c>
      <c r="W2192" s="1">
        <f>IF(Table1[[#This Row],[Cal Type]]&lt;&gt;"ACCREDITED 17025 WITH UNCERTAINTIES",0,"")</f>
        <v>0</v>
      </c>
      <c r="X2192" s="1" t="str">
        <f>IF(Table1[[#This Row],[DUT Read]]="","N/A",Table1[[#This Row],[Std Error]]+Table1[[#This Row],[DUT Read]]+Table1[[#This Row],[DUT Ucty]])</f>
        <v>N/A</v>
      </c>
      <c r="Y2192" s="1" t="str">
        <f>IF(Table1[[#This Row],[Std Read]]="","N/A",Table1[[#This Row],[Std Read]]+Table1[[#This Row],[Std Ucty]])</f>
        <v>N/A</v>
      </c>
      <c r="Z21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2" s="1" t="str">
        <f>IF(Table1[[#This Row],[Spec Type]]="","N/A",Table1[[#This Row],[Spec Type]])</f>
        <v>±</v>
      </c>
      <c r="AC2192" s="1" t="str">
        <f>IF(Table1[[#This Row],[Spec Type2]]="N/A","N/A",IF(AND(Table1[[#This Row],[DUT Adj Read]]&gt;=Table1[[#This Row],[Low Tol]],Table1[[#This Row],[DUT Adj Read]]&lt;=Table1[[#This Row],[High Tol]]),"Pass","Fail"))</f>
        <v>Fail</v>
      </c>
      <c r="AD2192" s="1" t="str">
        <f>IF(AND(Table1[[#This Row],[Spec Type2]]="N/A",Table1[[#This Row],[DUT Adj Read]]="N/A",Table1[[#This Row],[Std Adj Read]]="N/A"),"N/A",IF(Table1[[#This Row],[DUT Adj Read]]="N/A",IF(Table1[[#This Row],[Std Adj Read]]&gt;Table1[[#This Row],[Low Tol]],"Pass","Fail"),IF(Table1[[#This Row],[DUT Adj Read]]&gt;Table1[[#This Row],[Low Tol]],"Pass","Fail")))</f>
        <v>Pass</v>
      </c>
      <c r="AE2192" s="1" t="str">
        <f>IF(AND(Table1[[#This Row],[Spec Type2]]="N/A",Table1[[#This Row],[DUT Adj Read]]="N/A",Table1[[#This Row],[Std Adj Read]]="N/A"),"N/A",IF(Table1[[#This Row],[DUT Adj Read]]="N/A",IF(Table1[[#This Row],[Std Adj Read]]&lt;Table1[[#This Row],[High Tol]],"Pass","Fail"),IF(Table1[[#This Row],[DUT Adj Read]]&lt;Table1[[#This Row],[High Tol]],"Pass","Fail")))</f>
        <v>Fail</v>
      </c>
      <c r="AF2192" s="1" t="str">
        <f>IF(AND(Table1[[#This Row],[Spec Type2]]="N/A",Table1[[#This Row],[DUT Adj Read]]="N/A",Table1[[#This Row],[Std Adj Read]]="N/A"),"N/A",IF(Table1[[#This Row],[DUT Adj Read]]="N/A",IF(Table1[[#This Row],[Std Adj Read]]&gt;=Table1[[#This Row],[Low Tol]],"Pass","Fail"),IF(Table1[[#This Row],[DUT Adj Read]]&gt;=Table1[[#This Row],[Low Tol]],"Pass","Fail")))</f>
        <v>Pass</v>
      </c>
      <c r="AG2192" s="1" t="str">
        <f>IF(AND(Table1[[#This Row],[Spec Type2]]="N/A",Table1[[#This Row],[DUT Adj Read]]="N/A",Table1[[#This Row],[Std Adj Read]]="N/A"),"N/A",IF(Table1[[#This Row],[DUT Adj Read]]="N/A",IF(Table1[[#This Row],[Std Adj Read]]&lt;=Table1[[#This Row],[High Tol]],"Pass","Fail"),IF(Table1[[#This Row],[DUT Adj Read]]&lt;=Table1[[#This Row],[High Tol]],"Pass","Fail")))</f>
        <v>Fail</v>
      </c>
      <c r="AH21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2" s="1" t="b">
        <v>0</v>
      </c>
      <c r="AN2192" s="1" t="b">
        <v>0</v>
      </c>
      <c r="AO2192" s="1" t="b">
        <v>0</v>
      </c>
    </row>
    <row r="2193" spans="1:41" x14ac:dyDescent="0.25">
      <c r="A2193" s="10"/>
      <c r="B2193" s="10"/>
      <c r="C2193" s="10"/>
      <c r="D2193" s="10"/>
      <c r="E2193" s="10"/>
      <c r="F2193" s="10"/>
      <c r="G2193" s="10"/>
      <c r="H2193" s="10"/>
      <c r="I2193" s="1" t="str">
        <f t="shared" si="102"/>
        <v/>
      </c>
      <c r="J2193" s="1" t="s">
        <v>35</v>
      </c>
      <c r="K2193" s="1" t="str">
        <f t="shared" si="103"/>
        <v/>
      </c>
      <c r="L2193" s="1" t="str">
        <f t="shared" si="104"/>
        <v/>
      </c>
      <c r="M2193" s="1">
        <f>IF(OR(Table1[[#This Row],[Std Nom]]="",Table1[[#This Row],[Std Read]]=""),0,Table1[[#This Row],[Std Nom]]-Table1[[#This Row],[Std Read]])</f>
        <v>0</v>
      </c>
      <c r="N2193" s="1">
        <f>IF(Calculations!$F$5="ACCREDITED 17025 WITH UNCERTAINTIES",$N$10,0)</f>
        <v>0</v>
      </c>
      <c r="Q2193" s="1">
        <f>Table1[[#This Row],[High Tol]]-Table1[[#This Row],[Low Tol]]</f>
        <v>0</v>
      </c>
      <c r="R2193" s="1">
        <f>2*Table1[[#This Row],[Std Error]]</f>
        <v>0</v>
      </c>
      <c r="S2193" s="1" t="str">
        <f>IF(Table1[[#This Row],[High Tol]]="","N/A",IFERROR(ABS(Table1[[#This Row],[Tol Span]]/Table1[[#This Row],[Error Span]]),"N/A"))</f>
        <v>N/A</v>
      </c>
      <c r="T2193" s="1" t="str">
        <f>IF(OR(Table1[[#This Row],[Low Tol]]="",Table1[[#This Row],[High Tol]]=""),"Needs Analysis",IF(Table1[[#This Row],[Ratio]]&gt;=4,"Not Significant",IF(Table1[[#This Row],[Ratio]]&gt;=2,"Semi-Significant","Significant")))</f>
        <v>Needs Analysis</v>
      </c>
      <c r="W2193" s="1">
        <f>IF(Table1[[#This Row],[Cal Type]]&lt;&gt;"ACCREDITED 17025 WITH UNCERTAINTIES",0,"")</f>
        <v>0</v>
      </c>
      <c r="X2193" s="1" t="str">
        <f>IF(Table1[[#This Row],[DUT Read]]="","N/A",Table1[[#This Row],[Std Error]]+Table1[[#This Row],[DUT Read]]+Table1[[#This Row],[DUT Ucty]])</f>
        <v>N/A</v>
      </c>
      <c r="Y2193" s="1" t="str">
        <f>IF(Table1[[#This Row],[Std Read]]="","N/A",Table1[[#This Row],[Std Read]]+Table1[[#This Row],[Std Ucty]])</f>
        <v>N/A</v>
      </c>
      <c r="Z21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3" s="1" t="str">
        <f>IF(Table1[[#This Row],[Spec Type]]="","N/A",Table1[[#This Row],[Spec Type]])</f>
        <v>±</v>
      </c>
      <c r="AC2193" s="1" t="str">
        <f>IF(Table1[[#This Row],[Spec Type2]]="N/A","N/A",IF(AND(Table1[[#This Row],[DUT Adj Read]]&gt;=Table1[[#This Row],[Low Tol]],Table1[[#This Row],[DUT Adj Read]]&lt;=Table1[[#This Row],[High Tol]]),"Pass","Fail"))</f>
        <v>Fail</v>
      </c>
      <c r="AD2193" s="1" t="str">
        <f>IF(AND(Table1[[#This Row],[Spec Type2]]="N/A",Table1[[#This Row],[DUT Adj Read]]="N/A",Table1[[#This Row],[Std Adj Read]]="N/A"),"N/A",IF(Table1[[#This Row],[DUT Adj Read]]="N/A",IF(Table1[[#This Row],[Std Adj Read]]&gt;Table1[[#This Row],[Low Tol]],"Pass","Fail"),IF(Table1[[#This Row],[DUT Adj Read]]&gt;Table1[[#This Row],[Low Tol]],"Pass","Fail")))</f>
        <v>Pass</v>
      </c>
      <c r="AE2193" s="1" t="str">
        <f>IF(AND(Table1[[#This Row],[Spec Type2]]="N/A",Table1[[#This Row],[DUT Adj Read]]="N/A",Table1[[#This Row],[Std Adj Read]]="N/A"),"N/A",IF(Table1[[#This Row],[DUT Adj Read]]="N/A",IF(Table1[[#This Row],[Std Adj Read]]&lt;Table1[[#This Row],[High Tol]],"Pass","Fail"),IF(Table1[[#This Row],[DUT Adj Read]]&lt;Table1[[#This Row],[High Tol]],"Pass","Fail")))</f>
        <v>Fail</v>
      </c>
      <c r="AF2193" s="1" t="str">
        <f>IF(AND(Table1[[#This Row],[Spec Type2]]="N/A",Table1[[#This Row],[DUT Adj Read]]="N/A",Table1[[#This Row],[Std Adj Read]]="N/A"),"N/A",IF(Table1[[#This Row],[DUT Adj Read]]="N/A",IF(Table1[[#This Row],[Std Adj Read]]&gt;=Table1[[#This Row],[Low Tol]],"Pass","Fail"),IF(Table1[[#This Row],[DUT Adj Read]]&gt;=Table1[[#This Row],[Low Tol]],"Pass","Fail")))</f>
        <v>Pass</v>
      </c>
      <c r="AG2193" s="1" t="str">
        <f>IF(AND(Table1[[#This Row],[Spec Type2]]="N/A",Table1[[#This Row],[DUT Adj Read]]="N/A",Table1[[#This Row],[Std Adj Read]]="N/A"),"N/A",IF(Table1[[#This Row],[DUT Adj Read]]="N/A",IF(Table1[[#This Row],[Std Adj Read]]&lt;=Table1[[#This Row],[High Tol]],"Pass","Fail"),IF(Table1[[#This Row],[DUT Adj Read]]&lt;=Table1[[#This Row],[High Tol]],"Pass","Fail")))</f>
        <v>Fail</v>
      </c>
      <c r="AH21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3" s="1" t="b">
        <v>0</v>
      </c>
      <c r="AN2193" s="1" t="b">
        <v>0</v>
      </c>
      <c r="AO2193" s="1" t="b">
        <v>0</v>
      </c>
    </row>
    <row r="2194" spans="1:41" x14ac:dyDescent="0.25">
      <c r="A2194" s="10"/>
      <c r="B2194" s="10"/>
      <c r="C2194" s="10"/>
      <c r="D2194" s="10"/>
      <c r="E2194" s="10"/>
      <c r="F2194" s="10"/>
      <c r="G2194" s="10"/>
      <c r="H2194" s="10"/>
      <c r="I2194" s="1" t="str">
        <f t="shared" si="102"/>
        <v/>
      </c>
      <c r="J2194" s="1" t="s">
        <v>35</v>
      </c>
      <c r="K2194" s="1" t="str">
        <f t="shared" si="103"/>
        <v/>
      </c>
      <c r="L2194" s="1" t="str">
        <f t="shared" si="104"/>
        <v/>
      </c>
      <c r="M2194" s="1">
        <f>IF(OR(Table1[[#This Row],[Std Nom]]="",Table1[[#This Row],[Std Read]]=""),0,Table1[[#This Row],[Std Nom]]-Table1[[#This Row],[Std Read]])</f>
        <v>0</v>
      </c>
      <c r="N2194" s="1">
        <f>IF(Calculations!$F$5="ACCREDITED 17025 WITH UNCERTAINTIES",$N$10,0)</f>
        <v>0</v>
      </c>
      <c r="Q2194" s="1">
        <f>Table1[[#This Row],[High Tol]]-Table1[[#This Row],[Low Tol]]</f>
        <v>0</v>
      </c>
      <c r="R2194" s="1">
        <f>2*Table1[[#This Row],[Std Error]]</f>
        <v>0</v>
      </c>
      <c r="S2194" s="1" t="str">
        <f>IF(Table1[[#This Row],[High Tol]]="","N/A",IFERROR(ABS(Table1[[#This Row],[Tol Span]]/Table1[[#This Row],[Error Span]]),"N/A"))</f>
        <v>N/A</v>
      </c>
      <c r="T2194" s="1" t="str">
        <f>IF(OR(Table1[[#This Row],[Low Tol]]="",Table1[[#This Row],[High Tol]]=""),"Needs Analysis",IF(Table1[[#This Row],[Ratio]]&gt;=4,"Not Significant",IF(Table1[[#This Row],[Ratio]]&gt;=2,"Semi-Significant","Significant")))</f>
        <v>Needs Analysis</v>
      </c>
      <c r="W2194" s="1">
        <f>IF(Table1[[#This Row],[Cal Type]]&lt;&gt;"ACCREDITED 17025 WITH UNCERTAINTIES",0,"")</f>
        <v>0</v>
      </c>
      <c r="X2194" s="1" t="str">
        <f>IF(Table1[[#This Row],[DUT Read]]="","N/A",Table1[[#This Row],[Std Error]]+Table1[[#This Row],[DUT Read]]+Table1[[#This Row],[DUT Ucty]])</f>
        <v>N/A</v>
      </c>
      <c r="Y2194" s="1" t="str">
        <f>IF(Table1[[#This Row],[Std Read]]="","N/A",Table1[[#This Row],[Std Read]]+Table1[[#This Row],[Std Ucty]])</f>
        <v>N/A</v>
      </c>
      <c r="Z21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4" s="1" t="str">
        <f>IF(Table1[[#This Row],[Spec Type]]="","N/A",Table1[[#This Row],[Spec Type]])</f>
        <v>±</v>
      </c>
      <c r="AC2194" s="1" t="str">
        <f>IF(Table1[[#This Row],[Spec Type2]]="N/A","N/A",IF(AND(Table1[[#This Row],[DUT Adj Read]]&gt;=Table1[[#This Row],[Low Tol]],Table1[[#This Row],[DUT Adj Read]]&lt;=Table1[[#This Row],[High Tol]]),"Pass","Fail"))</f>
        <v>Fail</v>
      </c>
      <c r="AD2194" s="1" t="str">
        <f>IF(AND(Table1[[#This Row],[Spec Type2]]="N/A",Table1[[#This Row],[DUT Adj Read]]="N/A",Table1[[#This Row],[Std Adj Read]]="N/A"),"N/A",IF(Table1[[#This Row],[DUT Adj Read]]="N/A",IF(Table1[[#This Row],[Std Adj Read]]&gt;Table1[[#This Row],[Low Tol]],"Pass","Fail"),IF(Table1[[#This Row],[DUT Adj Read]]&gt;Table1[[#This Row],[Low Tol]],"Pass","Fail")))</f>
        <v>Pass</v>
      </c>
      <c r="AE2194" s="1" t="str">
        <f>IF(AND(Table1[[#This Row],[Spec Type2]]="N/A",Table1[[#This Row],[DUT Adj Read]]="N/A",Table1[[#This Row],[Std Adj Read]]="N/A"),"N/A",IF(Table1[[#This Row],[DUT Adj Read]]="N/A",IF(Table1[[#This Row],[Std Adj Read]]&lt;Table1[[#This Row],[High Tol]],"Pass","Fail"),IF(Table1[[#This Row],[DUT Adj Read]]&lt;Table1[[#This Row],[High Tol]],"Pass","Fail")))</f>
        <v>Fail</v>
      </c>
      <c r="AF2194" s="1" t="str">
        <f>IF(AND(Table1[[#This Row],[Spec Type2]]="N/A",Table1[[#This Row],[DUT Adj Read]]="N/A",Table1[[#This Row],[Std Adj Read]]="N/A"),"N/A",IF(Table1[[#This Row],[DUT Adj Read]]="N/A",IF(Table1[[#This Row],[Std Adj Read]]&gt;=Table1[[#This Row],[Low Tol]],"Pass","Fail"),IF(Table1[[#This Row],[DUT Adj Read]]&gt;=Table1[[#This Row],[Low Tol]],"Pass","Fail")))</f>
        <v>Pass</v>
      </c>
      <c r="AG2194" s="1" t="str">
        <f>IF(AND(Table1[[#This Row],[Spec Type2]]="N/A",Table1[[#This Row],[DUT Adj Read]]="N/A",Table1[[#This Row],[Std Adj Read]]="N/A"),"N/A",IF(Table1[[#This Row],[DUT Adj Read]]="N/A",IF(Table1[[#This Row],[Std Adj Read]]&lt;=Table1[[#This Row],[High Tol]],"Pass","Fail"),IF(Table1[[#This Row],[DUT Adj Read]]&lt;=Table1[[#This Row],[High Tol]],"Pass","Fail")))</f>
        <v>Fail</v>
      </c>
      <c r="AH21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4" s="1" t="b">
        <v>0</v>
      </c>
      <c r="AN2194" s="1" t="b">
        <v>0</v>
      </c>
      <c r="AO2194" s="1" t="b">
        <v>0</v>
      </c>
    </row>
    <row r="2195" spans="1:41" x14ac:dyDescent="0.25">
      <c r="A2195" s="10"/>
      <c r="B2195" s="10"/>
      <c r="C2195" s="10"/>
      <c r="D2195" s="10"/>
      <c r="E2195" s="10"/>
      <c r="F2195" s="10"/>
      <c r="G2195" s="10"/>
      <c r="H2195" s="10"/>
      <c r="I2195" s="1" t="str">
        <f t="shared" si="102"/>
        <v/>
      </c>
      <c r="J2195" s="1" t="s">
        <v>35</v>
      </c>
      <c r="K2195" s="1" t="str">
        <f t="shared" si="103"/>
        <v/>
      </c>
      <c r="L2195" s="1" t="str">
        <f t="shared" si="104"/>
        <v/>
      </c>
      <c r="M2195" s="1">
        <f>IF(OR(Table1[[#This Row],[Std Nom]]="",Table1[[#This Row],[Std Read]]=""),0,Table1[[#This Row],[Std Nom]]-Table1[[#This Row],[Std Read]])</f>
        <v>0</v>
      </c>
      <c r="N2195" s="1">
        <f>IF(Calculations!$F$5="ACCREDITED 17025 WITH UNCERTAINTIES",$N$10,0)</f>
        <v>0</v>
      </c>
      <c r="Q2195" s="1">
        <f>Table1[[#This Row],[High Tol]]-Table1[[#This Row],[Low Tol]]</f>
        <v>0</v>
      </c>
      <c r="R2195" s="1">
        <f>2*Table1[[#This Row],[Std Error]]</f>
        <v>0</v>
      </c>
      <c r="S2195" s="1" t="str">
        <f>IF(Table1[[#This Row],[High Tol]]="","N/A",IFERROR(ABS(Table1[[#This Row],[Tol Span]]/Table1[[#This Row],[Error Span]]),"N/A"))</f>
        <v>N/A</v>
      </c>
      <c r="T2195" s="1" t="str">
        <f>IF(OR(Table1[[#This Row],[Low Tol]]="",Table1[[#This Row],[High Tol]]=""),"Needs Analysis",IF(Table1[[#This Row],[Ratio]]&gt;=4,"Not Significant",IF(Table1[[#This Row],[Ratio]]&gt;=2,"Semi-Significant","Significant")))</f>
        <v>Needs Analysis</v>
      </c>
      <c r="W2195" s="1">
        <f>IF(Table1[[#This Row],[Cal Type]]&lt;&gt;"ACCREDITED 17025 WITH UNCERTAINTIES",0,"")</f>
        <v>0</v>
      </c>
      <c r="X2195" s="1" t="str">
        <f>IF(Table1[[#This Row],[DUT Read]]="","N/A",Table1[[#This Row],[Std Error]]+Table1[[#This Row],[DUT Read]]+Table1[[#This Row],[DUT Ucty]])</f>
        <v>N/A</v>
      </c>
      <c r="Y2195" s="1" t="str">
        <f>IF(Table1[[#This Row],[Std Read]]="","N/A",Table1[[#This Row],[Std Read]]+Table1[[#This Row],[Std Ucty]])</f>
        <v>N/A</v>
      </c>
      <c r="Z21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5" s="1" t="str">
        <f>IF(Table1[[#This Row],[Spec Type]]="","N/A",Table1[[#This Row],[Spec Type]])</f>
        <v>±</v>
      </c>
      <c r="AC2195" s="1" t="str">
        <f>IF(Table1[[#This Row],[Spec Type2]]="N/A","N/A",IF(AND(Table1[[#This Row],[DUT Adj Read]]&gt;=Table1[[#This Row],[Low Tol]],Table1[[#This Row],[DUT Adj Read]]&lt;=Table1[[#This Row],[High Tol]]),"Pass","Fail"))</f>
        <v>Fail</v>
      </c>
      <c r="AD2195" s="1" t="str">
        <f>IF(AND(Table1[[#This Row],[Spec Type2]]="N/A",Table1[[#This Row],[DUT Adj Read]]="N/A",Table1[[#This Row],[Std Adj Read]]="N/A"),"N/A",IF(Table1[[#This Row],[DUT Adj Read]]="N/A",IF(Table1[[#This Row],[Std Adj Read]]&gt;Table1[[#This Row],[Low Tol]],"Pass","Fail"),IF(Table1[[#This Row],[DUT Adj Read]]&gt;Table1[[#This Row],[Low Tol]],"Pass","Fail")))</f>
        <v>Pass</v>
      </c>
      <c r="AE2195" s="1" t="str">
        <f>IF(AND(Table1[[#This Row],[Spec Type2]]="N/A",Table1[[#This Row],[DUT Adj Read]]="N/A",Table1[[#This Row],[Std Adj Read]]="N/A"),"N/A",IF(Table1[[#This Row],[DUT Adj Read]]="N/A",IF(Table1[[#This Row],[Std Adj Read]]&lt;Table1[[#This Row],[High Tol]],"Pass","Fail"),IF(Table1[[#This Row],[DUT Adj Read]]&lt;Table1[[#This Row],[High Tol]],"Pass","Fail")))</f>
        <v>Fail</v>
      </c>
      <c r="AF2195" s="1" t="str">
        <f>IF(AND(Table1[[#This Row],[Spec Type2]]="N/A",Table1[[#This Row],[DUT Adj Read]]="N/A",Table1[[#This Row],[Std Adj Read]]="N/A"),"N/A",IF(Table1[[#This Row],[DUT Adj Read]]="N/A",IF(Table1[[#This Row],[Std Adj Read]]&gt;=Table1[[#This Row],[Low Tol]],"Pass","Fail"),IF(Table1[[#This Row],[DUT Adj Read]]&gt;=Table1[[#This Row],[Low Tol]],"Pass","Fail")))</f>
        <v>Pass</v>
      </c>
      <c r="AG2195" s="1" t="str">
        <f>IF(AND(Table1[[#This Row],[Spec Type2]]="N/A",Table1[[#This Row],[DUT Adj Read]]="N/A",Table1[[#This Row],[Std Adj Read]]="N/A"),"N/A",IF(Table1[[#This Row],[DUT Adj Read]]="N/A",IF(Table1[[#This Row],[Std Adj Read]]&lt;=Table1[[#This Row],[High Tol]],"Pass","Fail"),IF(Table1[[#This Row],[DUT Adj Read]]&lt;=Table1[[#This Row],[High Tol]],"Pass","Fail")))</f>
        <v>Fail</v>
      </c>
      <c r="AH21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5" s="1" t="b">
        <v>0</v>
      </c>
      <c r="AN2195" s="1" t="b">
        <v>0</v>
      </c>
      <c r="AO2195" s="1" t="b">
        <v>0</v>
      </c>
    </row>
    <row r="2196" spans="1:41" x14ac:dyDescent="0.25">
      <c r="A2196" s="10"/>
      <c r="B2196" s="10"/>
      <c r="C2196" s="10"/>
      <c r="D2196" s="10"/>
      <c r="E2196" s="10"/>
      <c r="F2196" s="10"/>
      <c r="G2196" s="10"/>
      <c r="H2196" s="10"/>
      <c r="I2196" s="1" t="str">
        <f t="shared" si="102"/>
        <v/>
      </c>
      <c r="J2196" s="1" t="s">
        <v>35</v>
      </c>
      <c r="K2196" s="1" t="str">
        <f t="shared" si="103"/>
        <v/>
      </c>
      <c r="L2196" s="1" t="str">
        <f t="shared" si="104"/>
        <v/>
      </c>
      <c r="M2196" s="1">
        <f>IF(OR(Table1[[#This Row],[Std Nom]]="",Table1[[#This Row],[Std Read]]=""),0,Table1[[#This Row],[Std Nom]]-Table1[[#This Row],[Std Read]])</f>
        <v>0</v>
      </c>
      <c r="N2196" s="1">
        <f>IF(Calculations!$F$5="ACCREDITED 17025 WITH UNCERTAINTIES",$N$10,0)</f>
        <v>0</v>
      </c>
      <c r="Q2196" s="1">
        <f>Table1[[#This Row],[High Tol]]-Table1[[#This Row],[Low Tol]]</f>
        <v>0</v>
      </c>
      <c r="R2196" s="1">
        <f>2*Table1[[#This Row],[Std Error]]</f>
        <v>0</v>
      </c>
      <c r="S2196" s="1" t="str">
        <f>IF(Table1[[#This Row],[High Tol]]="","N/A",IFERROR(ABS(Table1[[#This Row],[Tol Span]]/Table1[[#This Row],[Error Span]]),"N/A"))</f>
        <v>N/A</v>
      </c>
      <c r="T2196" s="1" t="str">
        <f>IF(OR(Table1[[#This Row],[Low Tol]]="",Table1[[#This Row],[High Tol]]=""),"Needs Analysis",IF(Table1[[#This Row],[Ratio]]&gt;=4,"Not Significant",IF(Table1[[#This Row],[Ratio]]&gt;=2,"Semi-Significant","Significant")))</f>
        <v>Needs Analysis</v>
      </c>
      <c r="W2196" s="1">
        <f>IF(Table1[[#This Row],[Cal Type]]&lt;&gt;"ACCREDITED 17025 WITH UNCERTAINTIES",0,"")</f>
        <v>0</v>
      </c>
      <c r="X2196" s="1" t="str">
        <f>IF(Table1[[#This Row],[DUT Read]]="","N/A",Table1[[#This Row],[Std Error]]+Table1[[#This Row],[DUT Read]]+Table1[[#This Row],[DUT Ucty]])</f>
        <v>N/A</v>
      </c>
      <c r="Y2196" s="1" t="str">
        <f>IF(Table1[[#This Row],[Std Read]]="","N/A",Table1[[#This Row],[Std Read]]+Table1[[#This Row],[Std Ucty]])</f>
        <v>N/A</v>
      </c>
      <c r="Z21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6" s="1" t="str">
        <f>IF(Table1[[#This Row],[Spec Type]]="","N/A",Table1[[#This Row],[Spec Type]])</f>
        <v>±</v>
      </c>
      <c r="AC2196" s="1" t="str">
        <f>IF(Table1[[#This Row],[Spec Type2]]="N/A","N/A",IF(AND(Table1[[#This Row],[DUT Adj Read]]&gt;=Table1[[#This Row],[Low Tol]],Table1[[#This Row],[DUT Adj Read]]&lt;=Table1[[#This Row],[High Tol]]),"Pass","Fail"))</f>
        <v>Fail</v>
      </c>
      <c r="AD2196" s="1" t="str">
        <f>IF(AND(Table1[[#This Row],[Spec Type2]]="N/A",Table1[[#This Row],[DUT Adj Read]]="N/A",Table1[[#This Row],[Std Adj Read]]="N/A"),"N/A",IF(Table1[[#This Row],[DUT Adj Read]]="N/A",IF(Table1[[#This Row],[Std Adj Read]]&gt;Table1[[#This Row],[Low Tol]],"Pass","Fail"),IF(Table1[[#This Row],[DUT Adj Read]]&gt;Table1[[#This Row],[Low Tol]],"Pass","Fail")))</f>
        <v>Pass</v>
      </c>
      <c r="AE2196" s="1" t="str">
        <f>IF(AND(Table1[[#This Row],[Spec Type2]]="N/A",Table1[[#This Row],[DUT Adj Read]]="N/A",Table1[[#This Row],[Std Adj Read]]="N/A"),"N/A",IF(Table1[[#This Row],[DUT Adj Read]]="N/A",IF(Table1[[#This Row],[Std Adj Read]]&lt;Table1[[#This Row],[High Tol]],"Pass","Fail"),IF(Table1[[#This Row],[DUT Adj Read]]&lt;Table1[[#This Row],[High Tol]],"Pass","Fail")))</f>
        <v>Fail</v>
      </c>
      <c r="AF2196" s="1" t="str">
        <f>IF(AND(Table1[[#This Row],[Spec Type2]]="N/A",Table1[[#This Row],[DUT Adj Read]]="N/A",Table1[[#This Row],[Std Adj Read]]="N/A"),"N/A",IF(Table1[[#This Row],[DUT Adj Read]]="N/A",IF(Table1[[#This Row],[Std Adj Read]]&gt;=Table1[[#This Row],[Low Tol]],"Pass","Fail"),IF(Table1[[#This Row],[DUT Adj Read]]&gt;=Table1[[#This Row],[Low Tol]],"Pass","Fail")))</f>
        <v>Pass</v>
      </c>
      <c r="AG2196" s="1" t="str">
        <f>IF(AND(Table1[[#This Row],[Spec Type2]]="N/A",Table1[[#This Row],[DUT Adj Read]]="N/A",Table1[[#This Row],[Std Adj Read]]="N/A"),"N/A",IF(Table1[[#This Row],[DUT Adj Read]]="N/A",IF(Table1[[#This Row],[Std Adj Read]]&lt;=Table1[[#This Row],[High Tol]],"Pass","Fail"),IF(Table1[[#This Row],[DUT Adj Read]]&lt;=Table1[[#This Row],[High Tol]],"Pass","Fail")))</f>
        <v>Fail</v>
      </c>
      <c r="AH21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6" s="1" t="b">
        <v>0</v>
      </c>
      <c r="AN2196" s="1" t="b">
        <v>0</v>
      </c>
      <c r="AO2196" s="1" t="b">
        <v>0</v>
      </c>
    </row>
    <row r="2197" spans="1:41" x14ac:dyDescent="0.25">
      <c r="A2197" s="10"/>
      <c r="B2197" s="10"/>
      <c r="C2197" s="10"/>
      <c r="D2197" s="10"/>
      <c r="E2197" s="10"/>
      <c r="F2197" s="10"/>
      <c r="G2197" s="10"/>
      <c r="H2197" s="10"/>
      <c r="I2197" s="1" t="str">
        <f t="shared" si="102"/>
        <v/>
      </c>
      <c r="J2197" s="1" t="s">
        <v>35</v>
      </c>
      <c r="K2197" s="1" t="str">
        <f t="shared" si="103"/>
        <v/>
      </c>
      <c r="L2197" s="1" t="str">
        <f t="shared" si="104"/>
        <v/>
      </c>
      <c r="M2197" s="1">
        <f>IF(OR(Table1[[#This Row],[Std Nom]]="",Table1[[#This Row],[Std Read]]=""),0,Table1[[#This Row],[Std Nom]]-Table1[[#This Row],[Std Read]])</f>
        <v>0</v>
      </c>
      <c r="N2197" s="1">
        <f>IF(Calculations!$F$5="ACCREDITED 17025 WITH UNCERTAINTIES",$N$10,0)</f>
        <v>0</v>
      </c>
      <c r="Q2197" s="1">
        <f>Table1[[#This Row],[High Tol]]-Table1[[#This Row],[Low Tol]]</f>
        <v>0</v>
      </c>
      <c r="R2197" s="1">
        <f>2*Table1[[#This Row],[Std Error]]</f>
        <v>0</v>
      </c>
      <c r="S2197" s="1" t="str">
        <f>IF(Table1[[#This Row],[High Tol]]="","N/A",IFERROR(ABS(Table1[[#This Row],[Tol Span]]/Table1[[#This Row],[Error Span]]),"N/A"))</f>
        <v>N/A</v>
      </c>
      <c r="T2197" s="1" t="str">
        <f>IF(OR(Table1[[#This Row],[Low Tol]]="",Table1[[#This Row],[High Tol]]=""),"Needs Analysis",IF(Table1[[#This Row],[Ratio]]&gt;=4,"Not Significant",IF(Table1[[#This Row],[Ratio]]&gt;=2,"Semi-Significant","Significant")))</f>
        <v>Needs Analysis</v>
      </c>
      <c r="W2197" s="1">
        <f>IF(Table1[[#This Row],[Cal Type]]&lt;&gt;"ACCREDITED 17025 WITH UNCERTAINTIES",0,"")</f>
        <v>0</v>
      </c>
      <c r="X2197" s="1" t="str">
        <f>IF(Table1[[#This Row],[DUT Read]]="","N/A",Table1[[#This Row],[Std Error]]+Table1[[#This Row],[DUT Read]]+Table1[[#This Row],[DUT Ucty]])</f>
        <v>N/A</v>
      </c>
      <c r="Y2197" s="1" t="str">
        <f>IF(Table1[[#This Row],[Std Read]]="","N/A",Table1[[#This Row],[Std Read]]+Table1[[#This Row],[Std Ucty]])</f>
        <v>N/A</v>
      </c>
      <c r="Z21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7" s="1" t="str">
        <f>IF(Table1[[#This Row],[Spec Type]]="","N/A",Table1[[#This Row],[Spec Type]])</f>
        <v>±</v>
      </c>
      <c r="AC2197" s="1" t="str">
        <f>IF(Table1[[#This Row],[Spec Type2]]="N/A","N/A",IF(AND(Table1[[#This Row],[DUT Adj Read]]&gt;=Table1[[#This Row],[Low Tol]],Table1[[#This Row],[DUT Adj Read]]&lt;=Table1[[#This Row],[High Tol]]),"Pass","Fail"))</f>
        <v>Fail</v>
      </c>
      <c r="AD2197" s="1" t="str">
        <f>IF(AND(Table1[[#This Row],[Spec Type2]]="N/A",Table1[[#This Row],[DUT Adj Read]]="N/A",Table1[[#This Row],[Std Adj Read]]="N/A"),"N/A",IF(Table1[[#This Row],[DUT Adj Read]]="N/A",IF(Table1[[#This Row],[Std Adj Read]]&gt;Table1[[#This Row],[Low Tol]],"Pass","Fail"),IF(Table1[[#This Row],[DUT Adj Read]]&gt;Table1[[#This Row],[Low Tol]],"Pass","Fail")))</f>
        <v>Pass</v>
      </c>
      <c r="AE2197" s="1" t="str">
        <f>IF(AND(Table1[[#This Row],[Spec Type2]]="N/A",Table1[[#This Row],[DUT Adj Read]]="N/A",Table1[[#This Row],[Std Adj Read]]="N/A"),"N/A",IF(Table1[[#This Row],[DUT Adj Read]]="N/A",IF(Table1[[#This Row],[Std Adj Read]]&lt;Table1[[#This Row],[High Tol]],"Pass","Fail"),IF(Table1[[#This Row],[DUT Adj Read]]&lt;Table1[[#This Row],[High Tol]],"Pass","Fail")))</f>
        <v>Fail</v>
      </c>
      <c r="AF2197" s="1" t="str">
        <f>IF(AND(Table1[[#This Row],[Spec Type2]]="N/A",Table1[[#This Row],[DUT Adj Read]]="N/A",Table1[[#This Row],[Std Adj Read]]="N/A"),"N/A",IF(Table1[[#This Row],[DUT Adj Read]]="N/A",IF(Table1[[#This Row],[Std Adj Read]]&gt;=Table1[[#This Row],[Low Tol]],"Pass","Fail"),IF(Table1[[#This Row],[DUT Adj Read]]&gt;=Table1[[#This Row],[Low Tol]],"Pass","Fail")))</f>
        <v>Pass</v>
      </c>
      <c r="AG2197" s="1" t="str">
        <f>IF(AND(Table1[[#This Row],[Spec Type2]]="N/A",Table1[[#This Row],[DUT Adj Read]]="N/A",Table1[[#This Row],[Std Adj Read]]="N/A"),"N/A",IF(Table1[[#This Row],[DUT Adj Read]]="N/A",IF(Table1[[#This Row],[Std Adj Read]]&lt;=Table1[[#This Row],[High Tol]],"Pass","Fail"),IF(Table1[[#This Row],[DUT Adj Read]]&lt;=Table1[[#This Row],[High Tol]],"Pass","Fail")))</f>
        <v>Fail</v>
      </c>
      <c r="AH21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7" s="1" t="b">
        <v>0</v>
      </c>
      <c r="AN2197" s="1" t="b">
        <v>0</v>
      </c>
      <c r="AO2197" s="1" t="b">
        <v>0</v>
      </c>
    </row>
    <row r="2198" spans="1:41" x14ac:dyDescent="0.25">
      <c r="A2198" s="10"/>
      <c r="B2198" s="10"/>
      <c r="C2198" s="10"/>
      <c r="D2198" s="10"/>
      <c r="E2198" s="10"/>
      <c r="F2198" s="10"/>
      <c r="G2198" s="10"/>
      <c r="H2198" s="10"/>
      <c r="I2198" s="1" t="str">
        <f t="shared" si="102"/>
        <v/>
      </c>
      <c r="J2198" s="1" t="s">
        <v>35</v>
      </c>
      <c r="K2198" s="1" t="str">
        <f t="shared" si="103"/>
        <v/>
      </c>
      <c r="L2198" s="1" t="str">
        <f t="shared" si="104"/>
        <v/>
      </c>
      <c r="M2198" s="1">
        <f>IF(OR(Table1[[#This Row],[Std Nom]]="",Table1[[#This Row],[Std Read]]=""),0,Table1[[#This Row],[Std Nom]]-Table1[[#This Row],[Std Read]])</f>
        <v>0</v>
      </c>
      <c r="N2198" s="1">
        <f>IF(Calculations!$F$5="ACCREDITED 17025 WITH UNCERTAINTIES",$N$10,0)</f>
        <v>0</v>
      </c>
      <c r="Q2198" s="1">
        <f>Table1[[#This Row],[High Tol]]-Table1[[#This Row],[Low Tol]]</f>
        <v>0</v>
      </c>
      <c r="R2198" s="1">
        <f>2*Table1[[#This Row],[Std Error]]</f>
        <v>0</v>
      </c>
      <c r="S2198" s="1" t="str">
        <f>IF(Table1[[#This Row],[High Tol]]="","N/A",IFERROR(ABS(Table1[[#This Row],[Tol Span]]/Table1[[#This Row],[Error Span]]),"N/A"))</f>
        <v>N/A</v>
      </c>
      <c r="T2198" s="1" t="str">
        <f>IF(OR(Table1[[#This Row],[Low Tol]]="",Table1[[#This Row],[High Tol]]=""),"Needs Analysis",IF(Table1[[#This Row],[Ratio]]&gt;=4,"Not Significant",IF(Table1[[#This Row],[Ratio]]&gt;=2,"Semi-Significant","Significant")))</f>
        <v>Needs Analysis</v>
      </c>
      <c r="W2198" s="1">
        <f>IF(Table1[[#This Row],[Cal Type]]&lt;&gt;"ACCREDITED 17025 WITH UNCERTAINTIES",0,"")</f>
        <v>0</v>
      </c>
      <c r="X2198" s="1" t="str">
        <f>IF(Table1[[#This Row],[DUT Read]]="","N/A",Table1[[#This Row],[Std Error]]+Table1[[#This Row],[DUT Read]]+Table1[[#This Row],[DUT Ucty]])</f>
        <v>N/A</v>
      </c>
      <c r="Y2198" s="1" t="str">
        <f>IF(Table1[[#This Row],[Std Read]]="","N/A",Table1[[#This Row],[Std Read]]+Table1[[#This Row],[Std Ucty]])</f>
        <v>N/A</v>
      </c>
      <c r="Z21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8" s="1" t="str">
        <f>IF(Table1[[#This Row],[Spec Type]]="","N/A",Table1[[#This Row],[Spec Type]])</f>
        <v>±</v>
      </c>
      <c r="AC2198" s="1" t="str">
        <f>IF(Table1[[#This Row],[Spec Type2]]="N/A","N/A",IF(AND(Table1[[#This Row],[DUT Adj Read]]&gt;=Table1[[#This Row],[Low Tol]],Table1[[#This Row],[DUT Adj Read]]&lt;=Table1[[#This Row],[High Tol]]),"Pass","Fail"))</f>
        <v>Fail</v>
      </c>
      <c r="AD2198" s="1" t="str">
        <f>IF(AND(Table1[[#This Row],[Spec Type2]]="N/A",Table1[[#This Row],[DUT Adj Read]]="N/A",Table1[[#This Row],[Std Adj Read]]="N/A"),"N/A",IF(Table1[[#This Row],[DUT Adj Read]]="N/A",IF(Table1[[#This Row],[Std Adj Read]]&gt;Table1[[#This Row],[Low Tol]],"Pass","Fail"),IF(Table1[[#This Row],[DUT Adj Read]]&gt;Table1[[#This Row],[Low Tol]],"Pass","Fail")))</f>
        <v>Pass</v>
      </c>
      <c r="AE2198" s="1" t="str">
        <f>IF(AND(Table1[[#This Row],[Spec Type2]]="N/A",Table1[[#This Row],[DUT Adj Read]]="N/A",Table1[[#This Row],[Std Adj Read]]="N/A"),"N/A",IF(Table1[[#This Row],[DUT Adj Read]]="N/A",IF(Table1[[#This Row],[Std Adj Read]]&lt;Table1[[#This Row],[High Tol]],"Pass","Fail"),IF(Table1[[#This Row],[DUT Adj Read]]&lt;Table1[[#This Row],[High Tol]],"Pass","Fail")))</f>
        <v>Fail</v>
      </c>
      <c r="AF2198" s="1" t="str">
        <f>IF(AND(Table1[[#This Row],[Spec Type2]]="N/A",Table1[[#This Row],[DUT Adj Read]]="N/A",Table1[[#This Row],[Std Adj Read]]="N/A"),"N/A",IF(Table1[[#This Row],[DUT Adj Read]]="N/A",IF(Table1[[#This Row],[Std Adj Read]]&gt;=Table1[[#This Row],[Low Tol]],"Pass","Fail"),IF(Table1[[#This Row],[DUT Adj Read]]&gt;=Table1[[#This Row],[Low Tol]],"Pass","Fail")))</f>
        <v>Pass</v>
      </c>
      <c r="AG2198" s="1" t="str">
        <f>IF(AND(Table1[[#This Row],[Spec Type2]]="N/A",Table1[[#This Row],[DUT Adj Read]]="N/A",Table1[[#This Row],[Std Adj Read]]="N/A"),"N/A",IF(Table1[[#This Row],[DUT Adj Read]]="N/A",IF(Table1[[#This Row],[Std Adj Read]]&lt;=Table1[[#This Row],[High Tol]],"Pass","Fail"),IF(Table1[[#This Row],[DUT Adj Read]]&lt;=Table1[[#This Row],[High Tol]],"Pass","Fail")))</f>
        <v>Fail</v>
      </c>
      <c r="AH21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8" s="1" t="b">
        <v>0</v>
      </c>
      <c r="AN2198" s="1" t="b">
        <v>0</v>
      </c>
      <c r="AO2198" s="1" t="b">
        <v>0</v>
      </c>
    </row>
    <row r="2199" spans="1:41" x14ac:dyDescent="0.25">
      <c r="A2199" s="10"/>
      <c r="B2199" s="10"/>
      <c r="C2199" s="10"/>
      <c r="D2199" s="10"/>
      <c r="E2199" s="10"/>
      <c r="F2199" s="10"/>
      <c r="G2199" s="10"/>
      <c r="H2199" s="10"/>
      <c r="I2199" s="1" t="str">
        <f t="shared" si="102"/>
        <v/>
      </c>
      <c r="J2199" s="1" t="s">
        <v>35</v>
      </c>
      <c r="K2199" s="1" t="str">
        <f t="shared" si="103"/>
        <v/>
      </c>
      <c r="L2199" s="1" t="str">
        <f t="shared" si="104"/>
        <v/>
      </c>
      <c r="M2199" s="1">
        <f>IF(OR(Table1[[#This Row],[Std Nom]]="",Table1[[#This Row],[Std Read]]=""),0,Table1[[#This Row],[Std Nom]]-Table1[[#This Row],[Std Read]])</f>
        <v>0</v>
      </c>
      <c r="N2199" s="1">
        <f>IF(Calculations!$F$5="ACCREDITED 17025 WITH UNCERTAINTIES",$N$10,0)</f>
        <v>0</v>
      </c>
      <c r="Q2199" s="1">
        <f>Table1[[#This Row],[High Tol]]-Table1[[#This Row],[Low Tol]]</f>
        <v>0</v>
      </c>
      <c r="R2199" s="1">
        <f>2*Table1[[#This Row],[Std Error]]</f>
        <v>0</v>
      </c>
      <c r="S2199" s="1" t="str">
        <f>IF(Table1[[#This Row],[High Tol]]="","N/A",IFERROR(ABS(Table1[[#This Row],[Tol Span]]/Table1[[#This Row],[Error Span]]),"N/A"))</f>
        <v>N/A</v>
      </c>
      <c r="T2199" s="1" t="str">
        <f>IF(OR(Table1[[#This Row],[Low Tol]]="",Table1[[#This Row],[High Tol]]=""),"Needs Analysis",IF(Table1[[#This Row],[Ratio]]&gt;=4,"Not Significant",IF(Table1[[#This Row],[Ratio]]&gt;=2,"Semi-Significant","Significant")))</f>
        <v>Needs Analysis</v>
      </c>
      <c r="W2199" s="1">
        <f>IF(Table1[[#This Row],[Cal Type]]&lt;&gt;"ACCREDITED 17025 WITH UNCERTAINTIES",0,"")</f>
        <v>0</v>
      </c>
      <c r="X2199" s="1" t="str">
        <f>IF(Table1[[#This Row],[DUT Read]]="","N/A",Table1[[#This Row],[Std Error]]+Table1[[#This Row],[DUT Read]]+Table1[[#This Row],[DUT Ucty]])</f>
        <v>N/A</v>
      </c>
      <c r="Y2199" s="1" t="str">
        <f>IF(Table1[[#This Row],[Std Read]]="","N/A",Table1[[#This Row],[Std Read]]+Table1[[#This Row],[Std Ucty]])</f>
        <v>N/A</v>
      </c>
      <c r="Z21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199" s="1" t="str">
        <f>IF(Table1[[#This Row],[Spec Type]]="","N/A",Table1[[#This Row],[Spec Type]])</f>
        <v>±</v>
      </c>
      <c r="AC2199" s="1" t="str">
        <f>IF(Table1[[#This Row],[Spec Type2]]="N/A","N/A",IF(AND(Table1[[#This Row],[DUT Adj Read]]&gt;=Table1[[#This Row],[Low Tol]],Table1[[#This Row],[DUT Adj Read]]&lt;=Table1[[#This Row],[High Tol]]),"Pass","Fail"))</f>
        <v>Fail</v>
      </c>
      <c r="AD2199" s="1" t="str">
        <f>IF(AND(Table1[[#This Row],[Spec Type2]]="N/A",Table1[[#This Row],[DUT Adj Read]]="N/A",Table1[[#This Row],[Std Adj Read]]="N/A"),"N/A",IF(Table1[[#This Row],[DUT Adj Read]]="N/A",IF(Table1[[#This Row],[Std Adj Read]]&gt;Table1[[#This Row],[Low Tol]],"Pass","Fail"),IF(Table1[[#This Row],[DUT Adj Read]]&gt;Table1[[#This Row],[Low Tol]],"Pass","Fail")))</f>
        <v>Pass</v>
      </c>
      <c r="AE2199" s="1" t="str">
        <f>IF(AND(Table1[[#This Row],[Spec Type2]]="N/A",Table1[[#This Row],[DUT Adj Read]]="N/A",Table1[[#This Row],[Std Adj Read]]="N/A"),"N/A",IF(Table1[[#This Row],[DUT Adj Read]]="N/A",IF(Table1[[#This Row],[Std Adj Read]]&lt;Table1[[#This Row],[High Tol]],"Pass","Fail"),IF(Table1[[#This Row],[DUT Adj Read]]&lt;Table1[[#This Row],[High Tol]],"Pass","Fail")))</f>
        <v>Fail</v>
      </c>
      <c r="AF2199" s="1" t="str">
        <f>IF(AND(Table1[[#This Row],[Spec Type2]]="N/A",Table1[[#This Row],[DUT Adj Read]]="N/A",Table1[[#This Row],[Std Adj Read]]="N/A"),"N/A",IF(Table1[[#This Row],[DUT Adj Read]]="N/A",IF(Table1[[#This Row],[Std Adj Read]]&gt;=Table1[[#This Row],[Low Tol]],"Pass","Fail"),IF(Table1[[#This Row],[DUT Adj Read]]&gt;=Table1[[#This Row],[Low Tol]],"Pass","Fail")))</f>
        <v>Pass</v>
      </c>
      <c r="AG2199" s="1" t="str">
        <f>IF(AND(Table1[[#This Row],[Spec Type2]]="N/A",Table1[[#This Row],[DUT Adj Read]]="N/A",Table1[[#This Row],[Std Adj Read]]="N/A"),"N/A",IF(Table1[[#This Row],[DUT Adj Read]]="N/A",IF(Table1[[#This Row],[Std Adj Read]]&lt;=Table1[[#This Row],[High Tol]],"Pass","Fail"),IF(Table1[[#This Row],[DUT Adj Read]]&lt;=Table1[[#This Row],[High Tol]],"Pass","Fail")))</f>
        <v>Fail</v>
      </c>
      <c r="AH21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199" s="1" t="b">
        <v>0</v>
      </c>
      <c r="AN2199" s="1" t="b">
        <v>0</v>
      </c>
      <c r="AO2199" s="1" t="b">
        <v>0</v>
      </c>
    </row>
    <row r="2200" spans="1:41" x14ac:dyDescent="0.25">
      <c r="A2200" s="10"/>
      <c r="B2200" s="10"/>
      <c r="C2200" s="10"/>
      <c r="D2200" s="10"/>
      <c r="E2200" s="10"/>
      <c r="F2200" s="10"/>
      <c r="G2200" s="10"/>
      <c r="H2200" s="10"/>
      <c r="I2200" s="1" t="str">
        <f t="shared" si="102"/>
        <v/>
      </c>
      <c r="J2200" s="1" t="s">
        <v>35</v>
      </c>
      <c r="K2200" s="1" t="str">
        <f t="shared" si="103"/>
        <v/>
      </c>
      <c r="L2200" s="1" t="str">
        <f t="shared" si="104"/>
        <v/>
      </c>
      <c r="M2200" s="1">
        <f>IF(OR(Table1[[#This Row],[Std Nom]]="",Table1[[#This Row],[Std Read]]=""),0,Table1[[#This Row],[Std Nom]]-Table1[[#This Row],[Std Read]])</f>
        <v>0</v>
      </c>
      <c r="N2200" s="1">
        <f>IF(Calculations!$F$5="ACCREDITED 17025 WITH UNCERTAINTIES",$N$10,0)</f>
        <v>0</v>
      </c>
      <c r="Q2200" s="1">
        <f>Table1[[#This Row],[High Tol]]-Table1[[#This Row],[Low Tol]]</f>
        <v>0</v>
      </c>
      <c r="R2200" s="1">
        <f>2*Table1[[#This Row],[Std Error]]</f>
        <v>0</v>
      </c>
      <c r="S2200" s="1" t="str">
        <f>IF(Table1[[#This Row],[High Tol]]="","N/A",IFERROR(ABS(Table1[[#This Row],[Tol Span]]/Table1[[#This Row],[Error Span]]),"N/A"))</f>
        <v>N/A</v>
      </c>
      <c r="T2200" s="1" t="str">
        <f>IF(OR(Table1[[#This Row],[Low Tol]]="",Table1[[#This Row],[High Tol]]=""),"Needs Analysis",IF(Table1[[#This Row],[Ratio]]&gt;=4,"Not Significant",IF(Table1[[#This Row],[Ratio]]&gt;=2,"Semi-Significant","Significant")))</f>
        <v>Needs Analysis</v>
      </c>
      <c r="W2200" s="1">
        <f>IF(Table1[[#This Row],[Cal Type]]&lt;&gt;"ACCREDITED 17025 WITH UNCERTAINTIES",0,"")</f>
        <v>0</v>
      </c>
      <c r="X2200" s="1" t="str">
        <f>IF(Table1[[#This Row],[DUT Read]]="","N/A",Table1[[#This Row],[Std Error]]+Table1[[#This Row],[DUT Read]]+Table1[[#This Row],[DUT Ucty]])</f>
        <v>N/A</v>
      </c>
      <c r="Y2200" s="1" t="str">
        <f>IF(Table1[[#This Row],[Std Read]]="","N/A",Table1[[#This Row],[Std Read]]+Table1[[#This Row],[Std Ucty]])</f>
        <v>N/A</v>
      </c>
      <c r="Z22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0" s="1" t="str">
        <f>IF(Table1[[#This Row],[Spec Type]]="","N/A",Table1[[#This Row],[Spec Type]])</f>
        <v>±</v>
      </c>
      <c r="AC2200" s="1" t="str">
        <f>IF(Table1[[#This Row],[Spec Type2]]="N/A","N/A",IF(AND(Table1[[#This Row],[DUT Adj Read]]&gt;=Table1[[#This Row],[Low Tol]],Table1[[#This Row],[DUT Adj Read]]&lt;=Table1[[#This Row],[High Tol]]),"Pass","Fail"))</f>
        <v>Fail</v>
      </c>
      <c r="AD2200" s="1" t="str">
        <f>IF(AND(Table1[[#This Row],[Spec Type2]]="N/A",Table1[[#This Row],[DUT Adj Read]]="N/A",Table1[[#This Row],[Std Adj Read]]="N/A"),"N/A",IF(Table1[[#This Row],[DUT Adj Read]]="N/A",IF(Table1[[#This Row],[Std Adj Read]]&gt;Table1[[#This Row],[Low Tol]],"Pass","Fail"),IF(Table1[[#This Row],[DUT Adj Read]]&gt;Table1[[#This Row],[Low Tol]],"Pass","Fail")))</f>
        <v>Pass</v>
      </c>
      <c r="AE2200" s="1" t="str">
        <f>IF(AND(Table1[[#This Row],[Spec Type2]]="N/A",Table1[[#This Row],[DUT Adj Read]]="N/A",Table1[[#This Row],[Std Adj Read]]="N/A"),"N/A",IF(Table1[[#This Row],[DUT Adj Read]]="N/A",IF(Table1[[#This Row],[Std Adj Read]]&lt;Table1[[#This Row],[High Tol]],"Pass","Fail"),IF(Table1[[#This Row],[DUT Adj Read]]&lt;Table1[[#This Row],[High Tol]],"Pass","Fail")))</f>
        <v>Fail</v>
      </c>
      <c r="AF2200" s="1" t="str">
        <f>IF(AND(Table1[[#This Row],[Spec Type2]]="N/A",Table1[[#This Row],[DUT Adj Read]]="N/A",Table1[[#This Row],[Std Adj Read]]="N/A"),"N/A",IF(Table1[[#This Row],[DUT Adj Read]]="N/A",IF(Table1[[#This Row],[Std Adj Read]]&gt;=Table1[[#This Row],[Low Tol]],"Pass","Fail"),IF(Table1[[#This Row],[DUT Adj Read]]&gt;=Table1[[#This Row],[Low Tol]],"Pass","Fail")))</f>
        <v>Pass</v>
      </c>
      <c r="AG2200" s="1" t="str">
        <f>IF(AND(Table1[[#This Row],[Spec Type2]]="N/A",Table1[[#This Row],[DUT Adj Read]]="N/A",Table1[[#This Row],[Std Adj Read]]="N/A"),"N/A",IF(Table1[[#This Row],[DUT Adj Read]]="N/A",IF(Table1[[#This Row],[Std Adj Read]]&lt;=Table1[[#This Row],[High Tol]],"Pass","Fail"),IF(Table1[[#This Row],[DUT Adj Read]]&lt;=Table1[[#This Row],[High Tol]],"Pass","Fail")))</f>
        <v>Fail</v>
      </c>
      <c r="AH22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0" s="1" t="b">
        <v>0</v>
      </c>
      <c r="AN2200" s="1" t="b">
        <v>0</v>
      </c>
      <c r="AO2200" s="1" t="b">
        <v>0</v>
      </c>
    </row>
    <row r="2201" spans="1:41" x14ac:dyDescent="0.25">
      <c r="A2201" s="10"/>
      <c r="B2201" s="10"/>
      <c r="C2201" s="10"/>
      <c r="D2201" s="10"/>
      <c r="E2201" s="10"/>
      <c r="F2201" s="10"/>
      <c r="G2201" s="10"/>
      <c r="H2201" s="10"/>
      <c r="I2201" s="1" t="str">
        <f t="shared" si="102"/>
        <v/>
      </c>
      <c r="J2201" s="1" t="s">
        <v>35</v>
      </c>
      <c r="K2201" s="1" t="str">
        <f t="shared" si="103"/>
        <v/>
      </c>
      <c r="L2201" s="1" t="str">
        <f t="shared" si="104"/>
        <v/>
      </c>
      <c r="M2201" s="1">
        <f>IF(OR(Table1[[#This Row],[Std Nom]]="",Table1[[#This Row],[Std Read]]=""),0,Table1[[#This Row],[Std Nom]]-Table1[[#This Row],[Std Read]])</f>
        <v>0</v>
      </c>
      <c r="N2201" s="1">
        <f>IF(Calculations!$F$5="ACCREDITED 17025 WITH UNCERTAINTIES",$N$10,0)</f>
        <v>0</v>
      </c>
      <c r="Q2201" s="1">
        <f>Table1[[#This Row],[High Tol]]-Table1[[#This Row],[Low Tol]]</f>
        <v>0</v>
      </c>
      <c r="R2201" s="1">
        <f>2*Table1[[#This Row],[Std Error]]</f>
        <v>0</v>
      </c>
      <c r="S2201" s="1" t="str">
        <f>IF(Table1[[#This Row],[High Tol]]="","N/A",IFERROR(ABS(Table1[[#This Row],[Tol Span]]/Table1[[#This Row],[Error Span]]),"N/A"))</f>
        <v>N/A</v>
      </c>
      <c r="T2201" s="1" t="str">
        <f>IF(OR(Table1[[#This Row],[Low Tol]]="",Table1[[#This Row],[High Tol]]=""),"Needs Analysis",IF(Table1[[#This Row],[Ratio]]&gt;=4,"Not Significant",IF(Table1[[#This Row],[Ratio]]&gt;=2,"Semi-Significant","Significant")))</f>
        <v>Needs Analysis</v>
      </c>
      <c r="W2201" s="1">
        <f>IF(Table1[[#This Row],[Cal Type]]&lt;&gt;"ACCREDITED 17025 WITH UNCERTAINTIES",0,"")</f>
        <v>0</v>
      </c>
      <c r="X2201" s="1" t="str">
        <f>IF(Table1[[#This Row],[DUT Read]]="","N/A",Table1[[#This Row],[Std Error]]+Table1[[#This Row],[DUT Read]]+Table1[[#This Row],[DUT Ucty]])</f>
        <v>N/A</v>
      </c>
      <c r="Y2201" s="1" t="str">
        <f>IF(Table1[[#This Row],[Std Read]]="","N/A",Table1[[#This Row],[Std Read]]+Table1[[#This Row],[Std Ucty]])</f>
        <v>N/A</v>
      </c>
      <c r="Z22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1" s="1" t="str">
        <f>IF(Table1[[#This Row],[Spec Type]]="","N/A",Table1[[#This Row],[Spec Type]])</f>
        <v>±</v>
      </c>
      <c r="AC2201" s="1" t="str">
        <f>IF(Table1[[#This Row],[Spec Type2]]="N/A","N/A",IF(AND(Table1[[#This Row],[DUT Adj Read]]&gt;=Table1[[#This Row],[Low Tol]],Table1[[#This Row],[DUT Adj Read]]&lt;=Table1[[#This Row],[High Tol]]),"Pass","Fail"))</f>
        <v>Fail</v>
      </c>
      <c r="AD2201" s="1" t="str">
        <f>IF(AND(Table1[[#This Row],[Spec Type2]]="N/A",Table1[[#This Row],[DUT Adj Read]]="N/A",Table1[[#This Row],[Std Adj Read]]="N/A"),"N/A",IF(Table1[[#This Row],[DUT Adj Read]]="N/A",IF(Table1[[#This Row],[Std Adj Read]]&gt;Table1[[#This Row],[Low Tol]],"Pass","Fail"),IF(Table1[[#This Row],[DUT Adj Read]]&gt;Table1[[#This Row],[Low Tol]],"Pass","Fail")))</f>
        <v>Pass</v>
      </c>
      <c r="AE2201" s="1" t="str">
        <f>IF(AND(Table1[[#This Row],[Spec Type2]]="N/A",Table1[[#This Row],[DUT Adj Read]]="N/A",Table1[[#This Row],[Std Adj Read]]="N/A"),"N/A",IF(Table1[[#This Row],[DUT Adj Read]]="N/A",IF(Table1[[#This Row],[Std Adj Read]]&lt;Table1[[#This Row],[High Tol]],"Pass","Fail"),IF(Table1[[#This Row],[DUT Adj Read]]&lt;Table1[[#This Row],[High Tol]],"Pass","Fail")))</f>
        <v>Fail</v>
      </c>
      <c r="AF2201" s="1" t="str">
        <f>IF(AND(Table1[[#This Row],[Spec Type2]]="N/A",Table1[[#This Row],[DUT Adj Read]]="N/A",Table1[[#This Row],[Std Adj Read]]="N/A"),"N/A",IF(Table1[[#This Row],[DUT Adj Read]]="N/A",IF(Table1[[#This Row],[Std Adj Read]]&gt;=Table1[[#This Row],[Low Tol]],"Pass","Fail"),IF(Table1[[#This Row],[DUT Adj Read]]&gt;=Table1[[#This Row],[Low Tol]],"Pass","Fail")))</f>
        <v>Pass</v>
      </c>
      <c r="AG2201" s="1" t="str">
        <f>IF(AND(Table1[[#This Row],[Spec Type2]]="N/A",Table1[[#This Row],[DUT Adj Read]]="N/A",Table1[[#This Row],[Std Adj Read]]="N/A"),"N/A",IF(Table1[[#This Row],[DUT Adj Read]]="N/A",IF(Table1[[#This Row],[Std Adj Read]]&lt;=Table1[[#This Row],[High Tol]],"Pass","Fail"),IF(Table1[[#This Row],[DUT Adj Read]]&lt;=Table1[[#This Row],[High Tol]],"Pass","Fail")))</f>
        <v>Fail</v>
      </c>
      <c r="AH22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1" s="1" t="b">
        <v>0</v>
      </c>
      <c r="AN2201" s="1" t="b">
        <v>0</v>
      </c>
      <c r="AO2201" s="1" t="b">
        <v>0</v>
      </c>
    </row>
    <row r="2202" spans="1:41" x14ac:dyDescent="0.25">
      <c r="A2202" s="10"/>
      <c r="B2202" s="10"/>
      <c r="C2202" s="10"/>
      <c r="D2202" s="10"/>
      <c r="E2202" s="10"/>
      <c r="F2202" s="10"/>
      <c r="G2202" s="10"/>
      <c r="H2202" s="10"/>
      <c r="I2202" s="1" t="str">
        <f t="shared" si="102"/>
        <v/>
      </c>
      <c r="J2202" s="1" t="s">
        <v>35</v>
      </c>
      <c r="K2202" s="1" t="str">
        <f t="shared" si="103"/>
        <v/>
      </c>
      <c r="L2202" s="1" t="str">
        <f t="shared" si="104"/>
        <v/>
      </c>
      <c r="M2202" s="1">
        <f>IF(OR(Table1[[#This Row],[Std Nom]]="",Table1[[#This Row],[Std Read]]=""),0,Table1[[#This Row],[Std Nom]]-Table1[[#This Row],[Std Read]])</f>
        <v>0</v>
      </c>
      <c r="N2202" s="1">
        <f>IF(Calculations!$F$5="ACCREDITED 17025 WITH UNCERTAINTIES",$N$10,0)</f>
        <v>0</v>
      </c>
      <c r="Q2202" s="1">
        <f>Table1[[#This Row],[High Tol]]-Table1[[#This Row],[Low Tol]]</f>
        <v>0</v>
      </c>
      <c r="R2202" s="1">
        <f>2*Table1[[#This Row],[Std Error]]</f>
        <v>0</v>
      </c>
      <c r="S2202" s="1" t="str">
        <f>IF(Table1[[#This Row],[High Tol]]="","N/A",IFERROR(ABS(Table1[[#This Row],[Tol Span]]/Table1[[#This Row],[Error Span]]),"N/A"))</f>
        <v>N/A</v>
      </c>
      <c r="T2202" s="1" t="str">
        <f>IF(OR(Table1[[#This Row],[Low Tol]]="",Table1[[#This Row],[High Tol]]=""),"Needs Analysis",IF(Table1[[#This Row],[Ratio]]&gt;=4,"Not Significant",IF(Table1[[#This Row],[Ratio]]&gt;=2,"Semi-Significant","Significant")))</f>
        <v>Needs Analysis</v>
      </c>
      <c r="W2202" s="1">
        <f>IF(Table1[[#This Row],[Cal Type]]&lt;&gt;"ACCREDITED 17025 WITH UNCERTAINTIES",0,"")</f>
        <v>0</v>
      </c>
      <c r="X2202" s="1" t="str">
        <f>IF(Table1[[#This Row],[DUT Read]]="","N/A",Table1[[#This Row],[Std Error]]+Table1[[#This Row],[DUT Read]]+Table1[[#This Row],[DUT Ucty]])</f>
        <v>N/A</v>
      </c>
      <c r="Y2202" s="1" t="str">
        <f>IF(Table1[[#This Row],[Std Read]]="","N/A",Table1[[#This Row],[Std Read]]+Table1[[#This Row],[Std Ucty]])</f>
        <v>N/A</v>
      </c>
      <c r="Z22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2" s="1" t="str">
        <f>IF(Table1[[#This Row],[Spec Type]]="","N/A",Table1[[#This Row],[Spec Type]])</f>
        <v>±</v>
      </c>
      <c r="AC2202" s="1" t="str">
        <f>IF(Table1[[#This Row],[Spec Type2]]="N/A","N/A",IF(AND(Table1[[#This Row],[DUT Adj Read]]&gt;=Table1[[#This Row],[Low Tol]],Table1[[#This Row],[DUT Adj Read]]&lt;=Table1[[#This Row],[High Tol]]),"Pass","Fail"))</f>
        <v>Fail</v>
      </c>
      <c r="AD2202" s="1" t="str">
        <f>IF(AND(Table1[[#This Row],[Spec Type2]]="N/A",Table1[[#This Row],[DUT Adj Read]]="N/A",Table1[[#This Row],[Std Adj Read]]="N/A"),"N/A",IF(Table1[[#This Row],[DUT Adj Read]]="N/A",IF(Table1[[#This Row],[Std Adj Read]]&gt;Table1[[#This Row],[Low Tol]],"Pass","Fail"),IF(Table1[[#This Row],[DUT Adj Read]]&gt;Table1[[#This Row],[Low Tol]],"Pass","Fail")))</f>
        <v>Pass</v>
      </c>
      <c r="AE2202" s="1" t="str">
        <f>IF(AND(Table1[[#This Row],[Spec Type2]]="N/A",Table1[[#This Row],[DUT Adj Read]]="N/A",Table1[[#This Row],[Std Adj Read]]="N/A"),"N/A",IF(Table1[[#This Row],[DUT Adj Read]]="N/A",IF(Table1[[#This Row],[Std Adj Read]]&lt;Table1[[#This Row],[High Tol]],"Pass","Fail"),IF(Table1[[#This Row],[DUT Adj Read]]&lt;Table1[[#This Row],[High Tol]],"Pass","Fail")))</f>
        <v>Fail</v>
      </c>
      <c r="AF2202" s="1" t="str">
        <f>IF(AND(Table1[[#This Row],[Spec Type2]]="N/A",Table1[[#This Row],[DUT Adj Read]]="N/A",Table1[[#This Row],[Std Adj Read]]="N/A"),"N/A",IF(Table1[[#This Row],[DUT Adj Read]]="N/A",IF(Table1[[#This Row],[Std Adj Read]]&gt;=Table1[[#This Row],[Low Tol]],"Pass","Fail"),IF(Table1[[#This Row],[DUT Adj Read]]&gt;=Table1[[#This Row],[Low Tol]],"Pass","Fail")))</f>
        <v>Pass</v>
      </c>
      <c r="AG2202" s="1" t="str">
        <f>IF(AND(Table1[[#This Row],[Spec Type2]]="N/A",Table1[[#This Row],[DUT Adj Read]]="N/A",Table1[[#This Row],[Std Adj Read]]="N/A"),"N/A",IF(Table1[[#This Row],[DUT Adj Read]]="N/A",IF(Table1[[#This Row],[Std Adj Read]]&lt;=Table1[[#This Row],[High Tol]],"Pass","Fail"),IF(Table1[[#This Row],[DUT Adj Read]]&lt;=Table1[[#This Row],[High Tol]],"Pass","Fail")))</f>
        <v>Fail</v>
      </c>
      <c r="AH22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2" s="1" t="b">
        <v>0</v>
      </c>
      <c r="AN2202" s="1" t="b">
        <v>0</v>
      </c>
      <c r="AO2202" s="1" t="b">
        <v>0</v>
      </c>
    </row>
    <row r="2203" spans="1:41" x14ac:dyDescent="0.25">
      <c r="A2203" s="10"/>
      <c r="B2203" s="10"/>
      <c r="C2203" s="10"/>
      <c r="D2203" s="10"/>
      <c r="E2203" s="10"/>
      <c r="F2203" s="10"/>
      <c r="G2203" s="10"/>
      <c r="H2203" s="10"/>
      <c r="I2203" s="1" t="str">
        <f t="shared" si="102"/>
        <v/>
      </c>
      <c r="J2203" s="1" t="s">
        <v>35</v>
      </c>
      <c r="K2203" s="1" t="str">
        <f t="shared" si="103"/>
        <v/>
      </c>
      <c r="L2203" s="1" t="str">
        <f t="shared" si="104"/>
        <v/>
      </c>
      <c r="M2203" s="1">
        <f>IF(OR(Table1[[#This Row],[Std Nom]]="",Table1[[#This Row],[Std Read]]=""),0,Table1[[#This Row],[Std Nom]]-Table1[[#This Row],[Std Read]])</f>
        <v>0</v>
      </c>
      <c r="N2203" s="1">
        <f>IF(Calculations!$F$5="ACCREDITED 17025 WITH UNCERTAINTIES",$N$10,0)</f>
        <v>0</v>
      </c>
      <c r="Q2203" s="1">
        <f>Table1[[#This Row],[High Tol]]-Table1[[#This Row],[Low Tol]]</f>
        <v>0</v>
      </c>
      <c r="R2203" s="1">
        <f>2*Table1[[#This Row],[Std Error]]</f>
        <v>0</v>
      </c>
      <c r="S2203" s="1" t="str">
        <f>IF(Table1[[#This Row],[High Tol]]="","N/A",IFERROR(ABS(Table1[[#This Row],[Tol Span]]/Table1[[#This Row],[Error Span]]),"N/A"))</f>
        <v>N/A</v>
      </c>
      <c r="T2203" s="1" t="str">
        <f>IF(OR(Table1[[#This Row],[Low Tol]]="",Table1[[#This Row],[High Tol]]=""),"Needs Analysis",IF(Table1[[#This Row],[Ratio]]&gt;=4,"Not Significant",IF(Table1[[#This Row],[Ratio]]&gt;=2,"Semi-Significant","Significant")))</f>
        <v>Needs Analysis</v>
      </c>
      <c r="W2203" s="1">
        <f>IF(Table1[[#This Row],[Cal Type]]&lt;&gt;"ACCREDITED 17025 WITH UNCERTAINTIES",0,"")</f>
        <v>0</v>
      </c>
      <c r="X2203" s="1" t="str">
        <f>IF(Table1[[#This Row],[DUT Read]]="","N/A",Table1[[#This Row],[Std Error]]+Table1[[#This Row],[DUT Read]]+Table1[[#This Row],[DUT Ucty]])</f>
        <v>N/A</v>
      </c>
      <c r="Y2203" s="1" t="str">
        <f>IF(Table1[[#This Row],[Std Read]]="","N/A",Table1[[#This Row],[Std Read]]+Table1[[#This Row],[Std Ucty]])</f>
        <v>N/A</v>
      </c>
      <c r="Z22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3" s="1" t="str">
        <f>IF(Table1[[#This Row],[Spec Type]]="","N/A",Table1[[#This Row],[Spec Type]])</f>
        <v>±</v>
      </c>
      <c r="AC2203" s="1" t="str">
        <f>IF(Table1[[#This Row],[Spec Type2]]="N/A","N/A",IF(AND(Table1[[#This Row],[DUT Adj Read]]&gt;=Table1[[#This Row],[Low Tol]],Table1[[#This Row],[DUT Adj Read]]&lt;=Table1[[#This Row],[High Tol]]),"Pass","Fail"))</f>
        <v>Fail</v>
      </c>
      <c r="AD2203" s="1" t="str">
        <f>IF(AND(Table1[[#This Row],[Spec Type2]]="N/A",Table1[[#This Row],[DUT Adj Read]]="N/A",Table1[[#This Row],[Std Adj Read]]="N/A"),"N/A",IF(Table1[[#This Row],[DUT Adj Read]]="N/A",IF(Table1[[#This Row],[Std Adj Read]]&gt;Table1[[#This Row],[Low Tol]],"Pass","Fail"),IF(Table1[[#This Row],[DUT Adj Read]]&gt;Table1[[#This Row],[Low Tol]],"Pass","Fail")))</f>
        <v>Pass</v>
      </c>
      <c r="AE2203" s="1" t="str">
        <f>IF(AND(Table1[[#This Row],[Spec Type2]]="N/A",Table1[[#This Row],[DUT Adj Read]]="N/A",Table1[[#This Row],[Std Adj Read]]="N/A"),"N/A",IF(Table1[[#This Row],[DUT Adj Read]]="N/A",IF(Table1[[#This Row],[Std Adj Read]]&lt;Table1[[#This Row],[High Tol]],"Pass","Fail"),IF(Table1[[#This Row],[DUT Adj Read]]&lt;Table1[[#This Row],[High Tol]],"Pass","Fail")))</f>
        <v>Fail</v>
      </c>
      <c r="AF2203" s="1" t="str">
        <f>IF(AND(Table1[[#This Row],[Spec Type2]]="N/A",Table1[[#This Row],[DUT Adj Read]]="N/A",Table1[[#This Row],[Std Adj Read]]="N/A"),"N/A",IF(Table1[[#This Row],[DUT Adj Read]]="N/A",IF(Table1[[#This Row],[Std Adj Read]]&gt;=Table1[[#This Row],[Low Tol]],"Pass","Fail"),IF(Table1[[#This Row],[DUT Adj Read]]&gt;=Table1[[#This Row],[Low Tol]],"Pass","Fail")))</f>
        <v>Pass</v>
      </c>
      <c r="AG2203" s="1" t="str">
        <f>IF(AND(Table1[[#This Row],[Spec Type2]]="N/A",Table1[[#This Row],[DUT Adj Read]]="N/A",Table1[[#This Row],[Std Adj Read]]="N/A"),"N/A",IF(Table1[[#This Row],[DUT Adj Read]]="N/A",IF(Table1[[#This Row],[Std Adj Read]]&lt;=Table1[[#This Row],[High Tol]],"Pass","Fail"),IF(Table1[[#This Row],[DUT Adj Read]]&lt;=Table1[[#This Row],[High Tol]],"Pass","Fail")))</f>
        <v>Fail</v>
      </c>
      <c r="AH22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3" s="1" t="b">
        <v>0</v>
      </c>
      <c r="AN2203" s="1" t="b">
        <v>0</v>
      </c>
      <c r="AO2203" s="1" t="b">
        <v>0</v>
      </c>
    </row>
    <row r="2204" spans="1:41" x14ac:dyDescent="0.25">
      <c r="A2204" s="10"/>
      <c r="B2204" s="10"/>
      <c r="C2204" s="10"/>
      <c r="D2204" s="10"/>
      <c r="E2204" s="10"/>
      <c r="F2204" s="10"/>
      <c r="G2204" s="10"/>
      <c r="H2204" s="10"/>
      <c r="I2204" s="1" t="str">
        <f t="shared" si="102"/>
        <v/>
      </c>
      <c r="J2204" s="1" t="s">
        <v>35</v>
      </c>
      <c r="K2204" s="1" t="str">
        <f t="shared" si="103"/>
        <v/>
      </c>
      <c r="L2204" s="1" t="str">
        <f t="shared" si="104"/>
        <v/>
      </c>
      <c r="M2204" s="1">
        <f>IF(OR(Table1[[#This Row],[Std Nom]]="",Table1[[#This Row],[Std Read]]=""),0,Table1[[#This Row],[Std Nom]]-Table1[[#This Row],[Std Read]])</f>
        <v>0</v>
      </c>
      <c r="N2204" s="1">
        <f>IF(Calculations!$F$5="ACCREDITED 17025 WITH UNCERTAINTIES",$N$10,0)</f>
        <v>0</v>
      </c>
      <c r="Q2204" s="1">
        <f>Table1[[#This Row],[High Tol]]-Table1[[#This Row],[Low Tol]]</f>
        <v>0</v>
      </c>
      <c r="R2204" s="1">
        <f>2*Table1[[#This Row],[Std Error]]</f>
        <v>0</v>
      </c>
      <c r="S2204" s="1" t="str">
        <f>IF(Table1[[#This Row],[High Tol]]="","N/A",IFERROR(ABS(Table1[[#This Row],[Tol Span]]/Table1[[#This Row],[Error Span]]),"N/A"))</f>
        <v>N/A</v>
      </c>
      <c r="T2204" s="1" t="str">
        <f>IF(OR(Table1[[#This Row],[Low Tol]]="",Table1[[#This Row],[High Tol]]=""),"Needs Analysis",IF(Table1[[#This Row],[Ratio]]&gt;=4,"Not Significant",IF(Table1[[#This Row],[Ratio]]&gt;=2,"Semi-Significant","Significant")))</f>
        <v>Needs Analysis</v>
      </c>
      <c r="W2204" s="1">
        <f>IF(Table1[[#This Row],[Cal Type]]&lt;&gt;"ACCREDITED 17025 WITH UNCERTAINTIES",0,"")</f>
        <v>0</v>
      </c>
      <c r="X2204" s="1" t="str">
        <f>IF(Table1[[#This Row],[DUT Read]]="","N/A",Table1[[#This Row],[Std Error]]+Table1[[#This Row],[DUT Read]]+Table1[[#This Row],[DUT Ucty]])</f>
        <v>N/A</v>
      </c>
      <c r="Y2204" s="1" t="str">
        <f>IF(Table1[[#This Row],[Std Read]]="","N/A",Table1[[#This Row],[Std Read]]+Table1[[#This Row],[Std Ucty]])</f>
        <v>N/A</v>
      </c>
      <c r="Z22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4" s="1" t="str">
        <f>IF(Table1[[#This Row],[Spec Type]]="","N/A",Table1[[#This Row],[Spec Type]])</f>
        <v>±</v>
      </c>
      <c r="AC2204" s="1" t="str">
        <f>IF(Table1[[#This Row],[Spec Type2]]="N/A","N/A",IF(AND(Table1[[#This Row],[DUT Adj Read]]&gt;=Table1[[#This Row],[Low Tol]],Table1[[#This Row],[DUT Adj Read]]&lt;=Table1[[#This Row],[High Tol]]),"Pass","Fail"))</f>
        <v>Fail</v>
      </c>
      <c r="AD2204" s="1" t="str">
        <f>IF(AND(Table1[[#This Row],[Spec Type2]]="N/A",Table1[[#This Row],[DUT Adj Read]]="N/A",Table1[[#This Row],[Std Adj Read]]="N/A"),"N/A",IF(Table1[[#This Row],[DUT Adj Read]]="N/A",IF(Table1[[#This Row],[Std Adj Read]]&gt;Table1[[#This Row],[Low Tol]],"Pass","Fail"),IF(Table1[[#This Row],[DUT Adj Read]]&gt;Table1[[#This Row],[Low Tol]],"Pass","Fail")))</f>
        <v>Pass</v>
      </c>
      <c r="AE2204" s="1" t="str">
        <f>IF(AND(Table1[[#This Row],[Spec Type2]]="N/A",Table1[[#This Row],[DUT Adj Read]]="N/A",Table1[[#This Row],[Std Adj Read]]="N/A"),"N/A",IF(Table1[[#This Row],[DUT Adj Read]]="N/A",IF(Table1[[#This Row],[Std Adj Read]]&lt;Table1[[#This Row],[High Tol]],"Pass","Fail"),IF(Table1[[#This Row],[DUT Adj Read]]&lt;Table1[[#This Row],[High Tol]],"Pass","Fail")))</f>
        <v>Fail</v>
      </c>
      <c r="AF2204" s="1" t="str">
        <f>IF(AND(Table1[[#This Row],[Spec Type2]]="N/A",Table1[[#This Row],[DUT Adj Read]]="N/A",Table1[[#This Row],[Std Adj Read]]="N/A"),"N/A",IF(Table1[[#This Row],[DUT Adj Read]]="N/A",IF(Table1[[#This Row],[Std Adj Read]]&gt;=Table1[[#This Row],[Low Tol]],"Pass","Fail"),IF(Table1[[#This Row],[DUT Adj Read]]&gt;=Table1[[#This Row],[Low Tol]],"Pass","Fail")))</f>
        <v>Pass</v>
      </c>
      <c r="AG2204" s="1" t="str">
        <f>IF(AND(Table1[[#This Row],[Spec Type2]]="N/A",Table1[[#This Row],[DUT Adj Read]]="N/A",Table1[[#This Row],[Std Adj Read]]="N/A"),"N/A",IF(Table1[[#This Row],[DUT Adj Read]]="N/A",IF(Table1[[#This Row],[Std Adj Read]]&lt;=Table1[[#This Row],[High Tol]],"Pass","Fail"),IF(Table1[[#This Row],[DUT Adj Read]]&lt;=Table1[[#This Row],[High Tol]],"Pass","Fail")))</f>
        <v>Fail</v>
      </c>
      <c r="AH22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4" s="1" t="b">
        <v>0</v>
      </c>
      <c r="AN2204" s="1" t="b">
        <v>0</v>
      </c>
      <c r="AO2204" s="1" t="b">
        <v>0</v>
      </c>
    </row>
    <row r="2205" spans="1:41" x14ac:dyDescent="0.25">
      <c r="A2205" s="10"/>
      <c r="B2205" s="10"/>
      <c r="C2205" s="10"/>
      <c r="D2205" s="10"/>
      <c r="E2205" s="10"/>
      <c r="F2205" s="10"/>
      <c r="G2205" s="10"/>
      <c r="H2205" s="10"/>
      <c r="I2205" s="1" t="str">
        <f t="shared" si="102"/>
        <v/>
      </c>
      <c r="J2205" s="1" t="s">
        <v>35</v>
      </c>
      <c r="K2205" s="1" t="str">
        <f t="shared" si="103"/>
        <v/>
      </c>
      <c r="L2205" s="1" t="str">
        <f t="shared" si="104"/>
        <v/>
      </c>
      <c r="M2205" s="1">
        <f>IF(OR(Table1[[#This Row],[Std Nom]]="",Table1[[#This Row],[Std Read]]=""),0,Table1[[#This Row],[Std Nom]]-Table1[[#This Row],[Std Read]])</f>
        <v>0</v>
      </c>
      <c r="N2205" s="1">
        <f>IF(Calculations!$F$5="ACCREDITED 17025 WITH UNCERTAINTIES",$N$10,0)</f>
        <v>0</v>
      </c>
      <c r="Q2205" s="1">
        <f>Table1[[#This Row],[High Tol]]-Table1[[#This Row],[Low Tol]]</f>
        <v>0</v>
      </c>
      <c r="R2205" s="1">
        <f>2*Table1[[#This Row],[Std Error]]</f>
        <v>0</v>
      </c>
      <c r="S2205" s="1" t="str">
        <f>IF(Table1[[#This Row],[High Tol]]="","N/A",IFERROR(ABS(Table1[[#This Row],[Tol Span]]/Table1[[#This Row],[Error Span]]),"N/A"))</f>
        <v>N/A</v>
      </c>
      <c r="T2205" s="1" t="str">
        <f>IF(OR(Table1[[#This Row],[Low Tol]]="",Table1[[#This Row],[High Tol]]=""),"Needs Analysis",IF(Table1[[#This Row],[Ratio]]&gt;=4,"Not Significant",IF(Table1[[#This Row],[Ratio]]&gt;=2,"Semi-Significant","Significant")))</f>
        <v>Needs Analysis</v>
      </c>
      <c r="W2205" s="1">
        <f>IF(Table1[[#This Row],[Cal Type]]&lt;&gt;"ACCREDITED 17025 WITH UNCERTAINTIES",0,"")</f>
        <v>0</v>
      </c>
      <c r="X2205" s="1" t="str">
        <f>IF(Table1[[#This Row],[DUT Read]]="","N/A",Table1[[#This Row],[Std Error]]+Table1[[#This Row],[DUT Read]]+Table1[[#This Row],[DUT Ucty]])</f>
        <v>N/A</v>
      </c>
      <c r="Y2205" s="1" t="str">
        <f>IF(Table1[[#This Row],[Std Read]]="","N/A",Table1[[#This Row],[Std Read]]+Table1[[#This Row],[Std Ucty]])</f>
        <v>N/A</v>
      </c>
      <c r="Z22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5" s="1" t="str">
        <f>IF(Table1[[#This Row],[Spec Type]]="","N/A",Table1[[#This Row],[Spec Type]])</f>
        <v>±</v>
      </c>
      <c r="AC2205" s="1" t="str">
        <f>IF(Table1[[#This Row],[Spec Type2]]="N/A","N/A",IF(AND(Table1[[#This Row],[DUT Adj Read]]&gt;=Table1[[#This Row],[Low Tol]],Table1[[#This Row],[DUT Adj Read]]&lt;=Table1[[#This Row],[High Tol]]),"Pass","Fail"))</f>
        <v>Fail</v>
      </c>
      <c r="AD2205" s="1" t="str">
        <f>IF(AND(Table1[[#This Row],[Spec Type2]]="N/A",Table1[[#This Row],[DUT Adj Read]]="N/A",Table1[[#This Row],[Std Adj Read]]="N/A"),"N/A",IF(Table1[[#This Row],[DUT Adj Read]]="N/A",IF(Table1[[#This Row],[Std Adj Read]]&gt;Table1[[#This Row],[Low Tol]],"Pass","Fail"),IF(Table1[[#This Row],[DUT Adj Read]]&gt;Table1[[#This Row],[Low Tol]],"Pass","Fail")))</f>
        <v>Pass</v>
      </c>
      <c r="AE2205" s="1" t="str">
        <f>IF(AND(Table1[[#This Row],[Spec Type2]]="N/A",Table1[[#This Row],[DUT Adj Read]]="N/A",Table1[[#This Row],[Std Adj Read]]="N/A"),"N/A",IF(Table1[[#This Row],[DUT Adj Read]]="N/A",IF(Table1[[#This Row],[Std Adj Read]]&lt;Table1[[#This Row],[High Tol]],"Pass","Fail"),IF(Table1[[#This Row],[DUT Adj Read]]&lt;Table1[[#This Row],[High Tol]],"Pass","Fail")))</f>
        <v>Fail</v>
      </c>
      <c r="AF2205" s="1" t="str">
        <f>IF(AND(Table1[[#This Row],[Spec Type2]]="N/A",Table1[[#This Row],[DUT Adj Read]]="N/A",Table1[[#This Row],[Std Adj Read]]="N/A"),"N/A",IF(Table1[[#This Row],[DUT Adj Read]]="N/A",IF(Table1[[#This Row],[Std Adj Read]]&gt;=Table1[[#This Row],[Low Tol]],"Pass","Fail"),IF(Table1[[#This Row],[DUT Adj Read]]&gt;=Table1[[#This Row],[Low Tol]],"Pass","Fail")))</f>
        <v>Pass</v>
      </c>
      <c r="AG2205" s="1" t="str">
        <f>IF(AND(Table1[[#This Row],[Spec Type2]]="N/A",Table1[[#This Row],[DUT Adj Read]]="N/A",Table1[[#This Row],[Std Adj Read]]="N/A"),"N/A",IF(Table1[[#This Row],[DUT Adj Read]]="N/A",IF(Table1[[#This Row],[Std Adj Read]]&lt;=Table1[[#This Row],[High Tol]],"Pass","Fail"),IF(Table1[[#This Row],[DUT Adj Read]]&lt;=Table1[[#This Row],[High Tol]],"Pass","Fail")))</f>
        <v>Fail</v>
      </c>
      <c r="AH22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5" s="1" t="b">
        <v>0</v>
      </c>
      <c r="AN2205" s="1" t="b">
        <v>0</v>
      </c>
      <c r="AO2205" s="1" t="b">
        <v>0</v>
      </c>
    </row>
    <row r="2206" spans="1:41" x14ac:dyDescent="0.25">
      <c r="A2206" s="10"/>
      <c r="B2206" s="10"/>
      <c r="C2206" s="10"/>
      <c r="D2206" s="10"/>
      <c r="E2206" s="10"/>
      <c r="F2206" s="10"/>
      <c r="G2206" s="10"/>
      <c r="H2206" s="10"/>
      <c r="I2206" s="1" t="str">
        <f t="shared" si="102"/>
        <v/>
      </c>
      <c r="J2206" s="1" t="s">
        <v>35</v>
      </c>
      <c r="K2206" s="1" t="str">
        <f t="shared" si="103"/>
        <v/>
      </c>
      <c r="L2206" s="1" t="str">
        <f t="shared" si="104"/>
        <v/>
      </c>
      <c r="M2206" s="1">
        <f>IF(OR(Table1[[#This Row],[Std Nom]]="",Table1[[#This Row],[Std Read]]=""),0,Table1[[#This Row],[Std Nom]]-Table1[[#This Row],[Std Read]])</f>
        <v>0</v>
      </c>
      <c r="N2206" s="1">
        <f>IF(Calculations!$F$5="ACCREDITED 17025 WITH UNCERTAINTIES",$N$10,0)</f>
        <v>0</v>
      </c>
      <c r="Q2206" s="1">
        <f>Table1[[#This Row],[High Tol]]-Table1[[#This Row],[Low Tol]]</f>
        <v>0</v>
      </c>
      <c r="R2206" s="1">
        <f>2*Table1[[#This Row],[Std Error]]</f>
        <v>0</v>
      </c>
      <c r="S2206" s="1" t="str">
        <f>IF(Table1[[#This Row],[High Tol]]="","N/A",IFERROR(ABS(Table1[[#This Row],[Tol Span]]/Table1[[#This Row],[Error Span]]),"N/A"))</f>
        <v>N/A</v>
      </c>
      <c r="T2206" s="1" t="str">
        <f>IF(OR(Table1[[#This Row],[Low Tol]]="",Table1[[#This Row],[High Tol]]=""),"Needs Analysis",IF(Table1[[#This Row],[Ratio]]&gt;=4,"Not Significant",IF(Table1[[#This Row],[Ratio]]&gt;=2,"Semi-Significant","Significant")))</f>
        <v>Needs Analysis</v>
      </c>
      <c r="W2206" s="1">
        <f>IF(Table1[[#This Row],[Cal Type]]&lt;&gt;"ACCREDITED 17025 WITH UNCERTAINTIES",0,"")</f>
        <v>0</v>
      </c>
      <c r="X2206" s="1" t="str">
        <f>IF(Table1[[#This Row],[DUT Read]]="","N/A",Table1[[#This Row],[Std Error]]+Table1[[#This Row],[DUT Read]]+Table1[[#This Row],[DUT Ucty]])</f>
        <v>N/A</v>
      </c>
      <c r="Y2206" s="1" t="str">
        <f>IF(Table1[[#This Row],[Std Read]]="","N/A",Table1[[#This Row],[Std Read]]+Table1[[#This Row],[Std Ucty]])</f>
        <v>N/A</v>
      </c>
      <c r="Z22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6" s="1" t="str">
        <f>IF(Table1[[#This Row],[Spec Type]]="","N/A",Table1[[#This Row],[Spec Type]])</f>
        <v>±</v>
      </c>
      <c r="AC2206" s="1" t="str">
        <f>IF(Table1[[#This Row],[Spec Type2]]="N/A","N/A",IF(AND(Table1[[#This Row],[DUT Adj Read]]&gt;=Table1[[#This Row],[Low Tol]],Table1[[#This Row],[DUT Adj Read]]&lt;=Table1[[#This Row],[High Tol]]),"Pass","Fail"))</f>
        <v>Fail</v>
      </c>
      <c r="AD2206" s="1" t="str">
        <f>IF(AND(Table1[[#This Row],[Spec Type2]]="N/A",Table1[[#This Row],[DUT Adj Read]]="N/A",Table1[[#This Row],[Std Adj Read]]="N/A"),"N/A",IF(Table1[[#This Row],[DUT Adj Read]]="N/A",IF(Table1[[#This Row],[Std Adj Read]]&gt;Table1[[#This Row],[Low Tol]],"Pass","Fail"),IF(Table1[[#This Row],[DUT Adj Read]]&gt;Table1[[#This Row],[Low Tol]],"Pass","Fail")))</f>
        <v>Pass</v>
      </c>
      <c r="AE2206" s="1" t="str">
        <f>IF(AND(Table1[[#This Row],[Spec Type2]]="N/A",Table1[[#This Row],[DUT Adj Read]]="N/A",Table1[[#This Row],[Std Adj Read]]="N/A"),"N/A",IF(Table1[[#This Row],[DUT Adj Read]]="N/A",IF(Table1[[#This Row],[Std Adj Read]]&lt;Table1[[#This Row],[High Tol]],"Pass","Fail"),IF(Table1[[#This Row],[DUT Adj Read]]&lt;Table1[[#This Row],[High Tol]],"Pass","Fail")))</f>
        <v>Fail</v>
      </c>
      <c r="AF2206" s="1" t="str">
        <f>IF(AND(Table1[[#This Row],[Spec Type2]]="N/A",Table1[[#This Row],[DUT Adj Read]]="N/A",Table1[[#This Row],[Std Adj Read]]="N/A"),"N/A",IF(Table1[[#This Row],[DUT Adj Read]]="N/A",IF(Table1[[#This Row],[Std Adj Read]]&gt;=Table1[[#This Row],[Low Tol]],"Pass","Fail"),IF(Table1[[#This Row],[DUT Adj Read]]&gt;=Table1[[#This Row],[Low Tol]],"Pass","Fail")))</f>
        <v>Pass</v>
      </c>
      <c r="AG2206" s="1" t="str">
        <f>IF(AND(Table1[[#This Row],[Spec Type2]]="N/A",Table1[[#This Row],[DUT Adj Read]]="N/A",Table1[[#This Row],[Std Adj Read]]="N/A"),"N/A",IF(Table1[[#This Row],[DUT Adj Read]]="N/A",IF(Table1[[#This Row],[Std Adj Read]]&lt;=Table1[[#This Row],[High Tol]],"Pass","Fail"),IF(Table1[[#This Row],[DUT Adj Read]]&lt;=Table1[[#This Row],[High Tol]],"Pass","Fail")))</f>
        <v>Fail</v>
      </c>
      <c r="AH22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6" s="1" t="b">
        <v>0</v>
      </c>
      <c r="AN2206" s="1" t="b">
        <v>0</v>
      </c>
      <c r="AO2206" s="1" t="b">
        <v>0</v>
      </c>
    </row>
    <row r="2207" spans="1:41" x14ac:dyDescent="0.25">
      <c r="A2207" s="10"/>
      <c r="B2207" s="10"/>
      <c r="C2207" s="10"/>
      <c r="D2207" s="10"/>
      <c r="E2207" s="10"/>
      <c r="F2207" s="10"/>
      <c r="G2207" s="10"/>
      <c r="H2207" s="10"/>
      <c r="I2207" s="1" t="str">
        <f t="shared" si="102"/>
        <v/>
      </c>
      <c r="J2207" s="1" t="s">
        <v>35</v>
      </c>
      <c r="K2207" s="1" t="str">
        <f t="shared" si="103"/>
        <v/>
      </c>
      <c r="L2207" s="1" t="str">
        <f t="shared" si="104"/>
        <v/>
      </c>
      <c r="M2207" s="1">
        <f>IF(OR(Table1[[#This Row],[Std Nom]]="",Table1[[#This Row],[Std Read]]=""),0,Table1[[#This Row],[Std Nom]]-Table1[[#This Row],[Std Read]])</f>
        <v>0</v>
      </c>
      <c r="N2207" s="1">
        <f>IF(Calculations!$F$5="ACCREDITED 17025 WITH UNCERTAINTIES",$N$10,0)</f>
        <v>0</v>
      </c>
      <c r="Q2207" s="1">
        <f>Table1[[#This Row],[High Tol]]-Table1[[#This Row],[Low Tol]]</f>
        <v>0</v>
      </c>
      <c r="R2207" s="1">
        <f>2*Table1[[#This Row],[Std Error]]</f>
        <v>0</v>
      </c>
      <c r="S2207" s="1" t="str">
        <f>IF(Table1[[#This Row],[High Tol]]="","N/A",IFERROR(ABS(Table1[[#This Row],[Tol Span]]/Table1[[#This Row],[Error Span]]),"N/A"))</f>
        <v>N/A</v>
      </c>
      <c r="T2207" s="1" t="str">
        <f>IF(OR(Table1[[#This Row],[Low Tol]]="",Table1[[#This Row],[High Tol]]=""),"Needs Analysis",IF(Table1[[#This Row],[Ratio]]&gt;=4,"Not Significant",IF(Table1[[#This Row],[Ratio]]&gt;=2,"Semi-Significant","Significant")))</f>
        <v>Needs Analysis</v>
      </c>
      <c r="W2207" s="1">
        <f>IF(Table1[[#This Row],[Cal Type]]&lt;&gt;"ACCREDITED 17025 WITH UNCERTAINTIES",0,"")</f>
        <v>0</v>
      </c>
      <c r="X2207" s="1" t="str">
        <f>IF(Table1[[#This Row],[DUT Read]]="","N/A",Table1[[#This Row],[Std Error]]+Table1[[#This Row],[DUT Read]]+Table1[[#This Row],[DUT Ucty]])</f>
        <v>N/A</v>
      </c>
      <c r="Y2207" s="1" t="str">
        <f>IF(Table1[[#This Row],[Std Read]]="","N/A",Table1[[#This Row],[Std Read]]+Table1[[#This Row],[Std Ucty]])</f>
        <v>N/A</v>
      </c>
      <c r="Z22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7" s="1" t="str">
        <f>IF(Table1[[#This Row],[Spec Type]]="","N/A",Table1[[#This Row],[Spec Type]])</f>
        <v>±</v>
      </c>
      <c r="AC2207" s="1" t="str">
        <f>IF(Table1[[#This Row],[Spec Type2]]="N/A","N/A",IF(AND(Table1[[#This Row],[DUT Adj Read]]&gt;=Table1[[#This Row],[Low Tol]],Table1[[#This Row],[DUT Adj Read]]&lt;=Table1[[#This Row],[High Tol]]),"Pass","Fail"))</f>
        <v>Fail</v>
      </c>
      <c r="AD2207" s="1" t="str">
        <f>IF(AND(Table1[[#This Row],[Spec Type2]]="N/A",Table1[[#This Row],[DUT Adj Read]]="N/A",Table1[[#This Row],[Std Adj Read]]="N/A"),"N/A",IF(Table1[[#This Row],[DUT Adj Read]]="N/A",IF(Table1[[#This Row],[Std Adj Read]]&gt;Table1[[#This Row],[Low Tol]],"Pass","Fail"),IF(Table1[[#This Row],[DUT Adj Read]]&gt;Table1[[#This Row],[Low Tol]],"Pass","Fail")))</f>
        <v>Pass</v>
      </c>
      <c r="AE2207" s="1" t="str">
        <f>IF(AND(Table1[[#This Row],[Spec Type2]]="N/A",Table1[[#This Row],[DUT Adj Read]]="N/A",Table1[[#This Row],[Std Adj Read]]="N/A"),"N/A",IF(Table1[[#This Row],[DUT Adj Read]]="N/A",IF(Table1[[#This Row],[Std Adj Read]]&lt;Table1[[#This Row],[High Tol]],"Pass","Fail"),IF(Table1[[#This Row],[DUT Adj Read]]&lt;Table1[[#This Row],[High Tol]],"Pass","Fail")))</f>
        <v>Fail</v>
      </c>
      <c r="AF2207" s="1" t="str">
        <f>IF(AND(Table1[[#This Row],[Spec Type2]]="N/A",Table1[[#This Row],[DUT Adj Read]]="N/A",Table1[[#This Row],[Std Adj Read]]="N/A"),"N/A",IF(Table1[[#This Row],[DUT Adj Read]]="N/A",IF(Table1[[#This Row],[Std Adj Read]]&gt;=Table1[[#This Row],[Low Tol]],"Pass","Fail"),IF(Table1[[#This Row],[DUT Adj Read]]&gt;=Table1[[#This Row],[Low Tol]],"Pass","Fail")))</f>
        <v>Pass</v>
      </c>
      <c r="AG2207" s="1" t="str">
        <f>IF(AND(Table1[[#This Row],[Spec Type2]]="N/A",Table1[[#This Row],[DUT Adj Read]]="N/A",Table1[[#This Row],[Std Adj Read]]="N/A"),"N/A",IF(Table1[[#This Row],[DUT Adj Read]]="N/A",IF(Table1[[#This Row],[Std Adj Read]]&lt;=Table1[[#This Row],[High Tol]],"Pass","Fail"),IF(Table1[[#This Row],[DUT Adj Read]]&lt;=Table1[[#This Row],[High Tol]],"Pass","Fail")))</f>
        <v>Fail</v>
      </c>
      <c r="AH22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7" s="1" t="b">
        <v>0</v>
      </c>
      <c r="AN2207" s="1" t="b">
        <v>0</v>
      </c>
      <c r="AO2207" s="1" t="b">
        <v>0</v>
      </c>
    </row>
    <row r="2208" spans="1:41" x14ac:dyDescent="0.25">
      <c r="A2208" s="10"/>
      <c r="B2208" s="10"/>
      <c r="C2208" s="10"/>
      <c r="D2208" s="10"/>
      <c r="E2208" s="10"/>
      <c r="F2208" s="10"/>
      <c r="G2208" s="10"/>
      <c r="H2208" s="10"/>
      <c r="I2208" s="1" t="str">
        <f t="shared" si="102"/>
        <v/>
      </c>
      <c r="J2208" s="1" t="s">
        <v>35</v>
      </c>
      <c r="K2208" s="1" t="str">
        <f t="shared" si="103"/>
        <v/>
      </c>
      <c r="L2208" s="1" t="str">
        <f t="shared" si="104"/>
        <v/>
      </c>
      <c r="M2208" s="1">
        <f>IF(OR(Table1[[#This Row],[Std Nom]]="",Table1[[#This Row],[Std Read]]=""),0,Table1[[#This Row],[Std Nom]]-Table1[[#This Row],[Std Read]])</f>
        <v>0</v>
      </c>
      <c r="N2208" s="1">
        <f>IF(Calculations!$F$5="ACCREDITED 17025 WITH UNCERTAINTIES",$N$10,0)</f>
        <v>0</v>
      </c>
      <c r="Q2208" s="1">
        <f>Table1[[#This Row],[High Tol]]-Table1[[#This Row],[Low Tol]]</f>
        <v>0</v>
      </c>
      <c r="R2208" s="1">
        <f>2*Table1[[#This Row],[Std Error]]</f>
        <v>0</v>
      </c>
      <c r="S2208" s="1" t="str">
        <f>IF(Table1[[#This Row],[High Tol]]="","N/A",IFERROR(ABS(Table1[[#This Row],[Tol Span]]/Table1[[#This Row],[Error Span]]),"N/A"))</f>
        <v>N/A</v>
      </c>
      <c r="T2208" s="1" t="str">
        <f>IF(OR(Table1[[#This Row],[Low Tol]]="",Table1[[#This Row],[High Tol]]=""),"Needs Analysis",IF(Table1[[#This Row],[Ratio]]&gt;=4,"Not Significant",IF(Table1[[#This Row],[Ratio]]&gt;=2,"Semi-Significant","Significant")))</f>
        <v>Needs Analysis</v>
      </c>
      <c r="W2208" s="1">
        <f>IF(Table1[[#This Row],[Cal Type]]&lt;&gt;"ACCREDITED 17025 WITH UNCERTAINTIES",0,"")</f>
        <v>0</v>
      </c>
      <c r="X2208" s="1" t="str">
        <f>IF(Table1[[#This Row],[DUT Read]]="","N/A",Table1[[#This Row],[Std Error]]+Table1[[#This Row],[DUT Read]]+Table1[[#This Row],[DUT Ucty]])</f>
        <v>N/A</v>
      </c>
      <c r="Y2208" s="1" t="str">
        <f>IF(Table1[[#This Row],[Std Read]]="","N/A",Table1[[#This Row],[Std Read]]+Table1[[#This Row],[Std Ucty]])</f>
        <v>N/A</v>
      </c>
      <c r="Z22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8" s="1" t="str">
        <f>IF(Table1[[#This Row],[Spec Type]]="","N/A",Table1[[#This Row],[Spec Type]])</f>
        <v>±</v>
      </c>
      <c r="AC2208" s="1" t="str">
        <f>IF(Table1[[#This Row],[Spec Type2]]="N/A","N/A",IF(AND(Table1[[#This Row],[DUT Adj Read]]&gt;=Table1[[#This Row],[Low Tol]],Table1[[#This Row],[DUT Adj Read]]&lt;=Table1[[#This Row],[High Tol]]),"Pass","Fail"))</f>
        <v>Fail</v>
      </c>
      <c r="AD2208" s="1" t="str">
        <f>IF(AND(Table1[[#This Row],[Spec Type2]]="N/A",Table1[[#This Row],[DUT Adj Read]]="N/A",Table1[[#This Row],[Std Adj Read]]="N/A"),"N/A",IF(Table1[[#This Row],[DUT Adj Read]]="N/A",IF(Table1[[#This Row],[Std Adj Read]]&gt;Table1[[#This Row],[Low Tol]],"Pass","Fail"),IF(Table1[[#This Row],[DUT Adj Read]]&gt;Table1[[#This Row],[Low Tol]],"Pass","Fail")))</f>
        <v>Pass</v>
      </c>
      <c r="AE2208" s="1" t="str">
        <f>IF(AND(Table1[[#This Row],[Spec Type2]]="N/A",Table1[[#This Row],[DUT Adj Read]]="N/A",Table1[[#This Row],[Std Adj Read]]="N/A"),"N/A",IF(Table1[[#This Row],[DUT Adj Read]]="N/A",IF(Table1[[#This Row],[Std Adj Read]]&lt;Table1[[#This Row],[High Tol]],"Pass","Fail"),IF(Table1[[#This Row],[DUT Adj Read]]&lt;Table1[[#This Row],[High Tol]],"Pass","Fail")))</f>
        <v>Fail</v>
      </c>
      <c r="AF2208" s="1" t="str">
        <f>IF(AND(Table1[[#This Row],[Spec Type2]]="N/A",Table1[[#This Row],[DUT Adj Read]]="N/A",Table1[[#This Row],[Std Adj Read]]="N/A"),"N/A",IF(Table1[[#This Row],[DUT Adj Read]]="N/A",IF(Table1[[#This Row],[Std Adj Read]]&gt;=Table1[[#This Row],[Low Tol]],"Pass","Fail"),IF(Table1[[#This Row],[DUT Adj Read]]&gt;=Table1[[#This Row],[Low Tol]],"Pass","Fail")))</f>
        <v>Pass</v>
      </c>
      <c r="AG2208" s="1" t="str">
        <f>IF(AND(Table1[[#This Row],[Spec Type2]]="N/A",Table1[[#This Row],[DUT Adj Read]]="N/A",Table1[[#This Row],[Std Adj Read]]="N/A"),"N/A",IF(Table1[[#This Row],[DUT Adj Read]]="N/A",IF(Table1[[#This Row],[Std Adj Read]]&lt;=Table1[[#This Row],[High Tol]],"Pass","Fail"),IF(Table1[[#This Row],[DUT Adj Read]]&lt;=Table1[[#This Row],[High Tol]],"Pass","Fail")))</f>
        <v>Fail</v>
      </c>
      <c r="AH22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8" s="1" t="b">
        <v>0</v>
      </c>
      <c r="AN2208" s="1" t="b">
        <v>0</v>
      </c>
      <c r="AO2208" s="1" t="b">
        <v>0</v>
      </c>
    </row>
    <row r="2209" spans="1:41" x14ac:dyDescent="0.25">
      <c r="A2209" s="10"/>
      <c r="B2209" s="10"/>
      <c r="C2209" s="10"/>
      <c r="D2209" s="10"/>
      <c r="E2209" s="10"/>
      <c r="F2209" s="10"/>
      <c r="G2209" s="10"/>
      <c r="H2209" s="10"/>
      <c r="I2209" s="1" t="str">
        <f t="shared" si="102"/>
        <v/>
      </c>
      <c r="J2209" s="1" t="s">
        <v>35</v>
      </c>
      <c r="K2209" s="1" t="str">
        <f t="shared" si="103"/>
        <v/>
      </c>
      <c r="L2209" s="1" t="str">
        <f t="shared" si="104"/>
        <v/>
      </c>
      <c r="M2209" s="1">
        <f>IF(OR(Table1[[#This Row],[Std Nom]]="",Table1[[#This Row],[Std Read]]=""),0,Table1[[#This Row],[Std Nom]]-Table1[[#This Row],[Std Read]])</f>
        <v>0</v>
      </c>
      <c r="N2209" s="1">
        <f>IF(Calculations!$F$5="ACCREDITED 17025 WITH UNCERTAINTIES",$N$10,0)</f>
        <v>0</v>
      </c>
      <c r="Q2209" s="1">
        <f>Table1[[#This Row],[High Tol]]-Table1[[#This Row],[Low Tol]]</f>
        <v>0</v>
      </c>
      <c r="R2209" s="1">
        <f>2*Table1[[#This Row],[Std Error]]</f>
        <v>0</v>
      </c>
      <c r="S2209" s="1" t="str">
        <f>IF(Table1[[#This Row],[High Tol]]="","N/A",IFERROR(ABS(Table1[[#This Row],[Tol Span]]/Table1[[#This Row],[Error Span]]),"N/A"))</f>
        <v>N/A</v>
      </c>
      <c r="T2209" s="1" t="str">
        <f>IF(OR(Table1[[#This Row],[Low Tol]]="",Table1[[#This Row],[High Tol]]=""),"Needs Analysis",IF(Table1[[#This Row],[Ratio]]&gt;=4,"Not Significant",IF(Table1[[#This Row],[Ratio]]&gt;=2,"Semi-Significant","Significant")))</f>
        <v>Needs Analysis</v>
      </c>
      <c r="W2209" s="1">
        <f>IF(Table1[[#This Row],[Cal Type]]&lt;&gt;"ACCREDITED 17025 WITH UNCERTAINTIES",0,"")</f>
        <v>0</v>
      </c>
      <c r="X2209" s="1" t="str">
        <f>IF(Table1[[#This Row],[DUT Read]]="","N/A",Table1[[#This Row],[Std Error]]+Table1[[#This Row],[DUT Read]]+Table1[[#This Row],[DUT Ucty]])</f>
        <v>N/A</v>
      </c>
      <c r="Y2209" s="1" t="str">
        <f>IF(Table1[[#This Row],[Std Read]]="","N/A",Table1[[#This Row],[Std Read]]+Table1[[#This Row],[Std Ucty]])</f>
        <v>N/A</v>
      </c>
      <c r="Z22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09" s="1" t="str">
        <f>IF(Table1[[#This Row],[Spec Type]]="","N/A",Table1[[#This Row],[Spec Type]])</f>
        <v>±</v>
      </c>
      <c r="AC2209" s="1" t="str">
        <f>IF(Table1[[#This Row],[Spec Type2]]="N/A","N/A",IF(AND(Table1[[#This Row],[DUT Adj Read]]&gt;=Table1[[#This Row],[Low Tol]],Table1[[#This Row],[DUT Adj Read]]&lt;=Table1[[#This Row],[High Tol]]),"Pass","Fail"))</f>
        <v>Fail</v>
      </c>
      <c r="AD2209" s="1" t="str">
        <f>IF(AND(Table1[[#This Row],[Spec Type2]]="N/A",Table1[[#This Row],[DUT Adj Read]]="N/A",Table1[[#This Row],[Std Adj Read]]="N/A"),"N/A",IF(Table1[[#This Row],[DUT Adj Read]]="N/A",IF(Table1[[#This Row],[Std Adj Read]]&gt;Table1[[#This Row],[Low Tol]],"Pass","Fail"),IF(Table1[[#This Row],[DUT Adj Read]]&gt;Table1[[#This Row],[Low Tol]],"Pass","Fail")))</f>
        <v>Pass</v>
      </c>
      <c r="AE2209" s="1" t="str">
        <f>IF(AND(Table1[[#This Row],[Spec Type2]]="N/A",Table1[[#This Row],[DUT Adj Read]]="N/A",Table1[[#This Row],[Std Adj Read]]="N/A"),"N/A",IF(Table1[[#This Row],[DUT Adj Read]]="N/A",IF(Table1[[#This Row],[Std Adj Read]]&lt;Table1[[#This Row],[High Tol]],"Pass","Fail"),IF(Table1[[#This Row],[DUT Adj Read]]&lt;Table1[[#This Row],[High Tol]],"Pass","Fail")))</f>
        <v>Fail</v>
      </c>
      <c r="AF2209" s="1" t="str">
        <f>IF(AND(Table1[[#This Row],[Spec Type2]]="N/A",Table1[[#This Row],[DUT Adj Read]]="N/A",Table1[[#This Row],[Std Adj Read]]="N/A"),"N/A",IF(Table1[[#This Row],[DUT Adj Read]]="N/A",IF(Table1[[#This Row],[Std Adj Read]]&gt;=Table1[[#This Row],[Low Tol]],"Pass","Fail"),IF(Table1[[#This Row],[DUT Adj Read]]&gt;=Table1[[#This Row],[Low Tol]],"Pass","Fail")))</f>
        <v>Pass</v>
      </c>
      <c r="AG2209" s="1" t="str">
        <f>IF(AND(Table1[[#This Row],[Spec Type2]]="N/A",Table1[[#This Row],[DUT Adj Read]]="N/A",Table1[[#This Row],[Std Adj Read]]="N/A"),"N/A",IF(Table1[[#This Row],[DUT Adj Read]]="N/A",IF(Table1[[#This Row],[Std Adj Read]]&lt;=Table1[[#This Row],[High Tol]],"Pass","Fail"),IF(Table1[[#This Row],[DUT Adj Read]]&lt;=Table1[[#This Row],[High Tol]],"Pass","Fail")))</f>
        <v>Fail</v>
      </c>
      <c r="AH22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09" s="1" t="b">
        <v>0</v>
      </c>
      <c r="AN2209" s="1" t="b">
        <v>0</v>
      </c>
      <c r="AO2209" s="1" t="b">
        <v>0</v>
      </c>
    </row>
    <row r="2210" spans="1:41" x14ac:dyDescent="0.25">
      <c r="A2210" s="10"/>
      <c r="B2210" s="10"/>
      <c r="C2210" s="10"/>
      <c r="D2210" s="10"/>
      <c r="E2210" s="10"/>
      <c r="F2210" s="10"/>
      <c r="G2210" s="10"/>
      <c r="H2210" s="10"/>
      <c r="I2210" s="1" t="str">
        <f t="shared" si="102"/>
        <v/>
      </c>
      <c r="J2210" s="1" t="s">
        <v>35</v>
      </c>
      <c r="K2210" s="1" t="str">
        <f t="shared" si="103"/>
        <v/>
      </c>
      <c r="L2210" s="1" t="str">
        <f t="shared" si="104"/>
        <v/>
      </c>
      <c r="M2210" s="1">
        <f>IF(OR(Table1[[#This Row],[Std Nom]]="",Table1[[#This Row],[Std Read]]=""),0,Table1[[#This Row],[Std Nom]]-Table1[[#This Row],[Std Read]])</f>
        <v>0</v>
      </c>
      <c r="N2210" s="1">
        <f>IF(Calculations!$F$5="ACCREDITED 17025 WITH UNCERTAINTIES",$N$10,0)</f>
        <v>0</v>
      </c>
      <c r="Q2210" s="1">
        <f>Table1[[#This Row],[High Tol]]-Table1[[#This Row],[Low Tol]]</f>
        <v>0</v>
      </c>
      <c r="R2210" s="1">
        <f>2*Table1[[#This Row],[Std Error]]</f>
        <v>0</v>
      </c>
      <c r="S2210" s="1" t="str">
        <f>IF(Table1[[#This Row],[High Tol]]="","N/A",IFERROR(ABS(Table1[[#This Row],[Tol Span]]/Table1[[#This Row],[Error Span]]),"N/A"))</f>
        <v>N/A</v>
      </c>
      <c r="T2210" s="1" t="str">
        <f>IF(OR(Table1[[#This Row],[Low Tol]]="",Table1[[#This Row],[High Tol]]=""),"Needs Analysis",IF(Table1[[#This Row],[Ratio]]&gt;=4,"Not Significant",IF(Table1[[#This Row],[Ratio]]&gt;=2,"Semi-Significant","Significant")))</f>
        <v>Needs Analysis</v>
      </c>
      <c r="W2210" s="1">
        <f>IF(Table1[[#This Row],[Cal Type]]&lt;&gt;"ACCREDITED 17025 WITH UNCERTAINTIES",0,"")</f>
        <v>0</v>
      </c>
      <c r="X2210" s="1" t="str">
        <f>IF(Table1[[#This Row],[DUT Read]]="","N/A",Table1[[#This Row],[Std Error]]+Table1[[#This Row],[DUT Read]]+Table1[[#This Row],[DUT Ucty]])</f>
        <v>N/A</v>
      </c>
      <c r="Y2210" s="1" t="str">
        <f>IF(Table1[[#This Row],[Std Read]]="","N/A",Table1[[#This Row],[Std Read]]+Table1[[#This Row],[Std Ucty]])</f>
        <v>N/A</v>
      </c>
      <c r="Z22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0" s="1" t="str">
        <f>IF(Table1[[#This Row],[Spec Type]]="","N/A",Table1[[#This Row],[Spec Type]])</f>
        <v>±</v>
      </c>
      <c r="AC2210" s="1" t="str">
        <f>IF(Table1[[#This Row],[Spec Type2]]="N/A","N/A",IF(AND(Table1[[#This Row],[DUT Adj Read]]&gt;=Table1[[#This Row],[Low Tol]],Table1[[#This Row],[DUT Adj Read]]&lt;=Table1[[#This Row],[High Tol]]),"Pass","Fail"))</f>
        <v>Fail</v>
      </c>
      <c r="AD2210" s="1" t="str">
        <f>IF(AND(Table1[[#This Row],[Spec Type2]]="N/A",Table1[[#This Row],[DUT Adj Read]]="N/A",Table1[[#This Row],[Std Adj Read]]="N/A"),"N/A",IF(Table1[[#This Row],[DUT Adj Read]]="N/A",IF(Table1[[#This Row],[Std Adj Read]]&gt;Table1[[#This Row],[Low Tol]],"Pass","Fail"),IF(Table1[[#This Row],[DUT Adj Read]]&gt;Table1[[#This Row],[Low Tol]],"Pass","Fail")))</f>
        <v>Pass</v>
      </c>
      <c r="AE2210" s="1" t="str">
        <f>IF(AND(Table1[[#This Row],[Spec Type2]]="N/A",Table1[[#This Row],[DUT Adj Read]]="N/A",Table1[[#This Row],[Std Adj Read]]="N/A"),"N/A",IF(Table1[[#This Row],[DUT Adj Read]]="N/A",IF(Table1[[#This Row],[Std Adj Read]]&lt;Table1[[#This Row],[High Tol]],"Pass","Fail"),IF(Table1[[#This Row],[DUT Adj Read]]&lt;Table1[[#This Row],[High Tol]],"Pass","Fail")))</f>
        <v>Fail</v>
      </c>
      <c r="AF2210" s="1" t="str">
        <f>IF(AND(Table1[[#This Row],[Spec Type2]]="N/A",Table1[[#This Row],[DUT Adj Read]]="N/A",Table1[[#This Row],[Std Adj Read]]="N/A"),"N/A",IF(Table1[[#This Row],[DUT Adj Read]]="N/A",IF(Table1[[#This Row],[Std Adj Read]]&gt;=Table1[[#This Row],[Low Tol]],"Pass","Fail"),IF(Table1[[#This Row],[DUT Adj Read]]&gt;=Table1[[#This Row],[Low Tol]],"Pass","Fail")))</f>
        <v>Pass</v>
      </c>
      <c r="AG2210" s="1" t="str">
        <f>IF(AND(Table1[[#This Row],[Spec Type2]]="N/A",Table1[[#This Row],[DUT Adj Read]]="N/A",Table1[[#This Row],[Std Adj Read]]="N/A"),"N/A",IF(Table1[[#This Row],[DUT Adj Read]]="N/A",IF(Table1[[#This Row],[Std Adj Read]]&lt;=Table1[[#This Row],[High Tol]],"Pass","Fail"),IF(Table1[[#This Row],[DUT Adj Read]]&lt;=Table1[[#This Row],[High Tol]],"Pass","Fail")))</f>
        <v>Fail</v>
      </c>
      <c r="AH22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0" s="1" t="b">
        <v>0</v>
      </c>
      <c r="AN2210" s="1" t="b">
        <v>0</v>
      </c>
      <c r="AO2210" s="1" t="b">
        <v>0</v>
      </c>
    </row>
    <row r="2211" spans="1:41" x14ac:dyDescent="0.25">
      <c r="A2211" s="10"/>
      <c r="B2211" s="10"/>
      <c r="C2211" s="10"/>
      <c r="D2211" s="10"/>
      <c r="E2211" s="10"/>
      <c r="F2211" s="10"/>
      <c r="G2211" s="10"/>
      <c r="H2211" s="10"/>
      <c r="I2211" s="1" t="str">
        <f t="shared" si="102"/>
        <v/>
      </c>
      <c r="J2211" s="1" t="s">
        <v>35</v>
      </c>
      <c r="K2211" s="1" t="str">
        <f t="shared" si="103"/>
        <v/>
      </c>
      <c r="L2211" s="1" t="str">
        <f t="shared" si="104"/>
        <v/>
      </c>
      <c r="M2211" s="1">
        <f>IF(OR(Table1[[#This Row],[Std Nom]]="",Table1[[#This Row],[Std Read]]=""),0,Table1[[#This Row],[Std Nom]]-Table1[[#This Row],[Std Read]])</f>
        <v>0</v>
      </c>
      <c r="N2211" s="1">
        <f>IF(Calculations!$F$5="ACCREDITED 17025 WITH UNCERTAINTIES",$N$10,0)</f>
        <v>0</v>
      </c>
      <c r="Q2211" s="1">
        <f>Table1[[#This Row],[High Tol]]-Table1[[#This Row],[Low Tol]]</f>
        <v>0</v>
      </c>
      <c r="R2211" s="1">
        <f>2*Table1[[#This Row],[Std Error]]</f>
        <v>0</v>
      </c>
      <c r="S2211" s="1" t="str">
        <f>IF(Table1[[#This Row],[High Tol]]="","N/A",IFERROR(ABS(Table1[[#This Row],[Tol Span]]/Table1[[#This Row],[Error Span]]),"N/A"))</f>
        <v>N/A</v>
      </c>
      <c r="T2211" s="1" t="str">
        <f>IF(OR(Table1[[#This Row],[Low Tol]]="",Table1[[#This Row],[High Tol]]=""),"Needs Analysis",IF(Table1[[#This Row],[Ratio]]&gt;=4,"Not Significant",IF(Table1[[#This Row],[Ratio]]&gt;=2,"Semi-Significant","Significant")))</f>
        <v>Needs Analysis</v>
      </c>
      <c r="W2211" s="1">
        <f>IF(Table1[[#This Row],[Cal Type]]&lt;&gt;"ACCREDITED 17025 WITH UNCERTAINTIES",0,"")</f>
        <v>0</v>
      </c>
      <c r="X2211" s="1" t="str">
        <f>IF(Table1[[#This Row],[DUT Read]]="","N/A",Table1[[#This Row],[Std Error]]+Table1[[#This Row],[DUT Read]]+Table1[[#This Row],[DUT Ucty]])</f>
        <v>N/A</v>
      </c>
      <c r="Y2211" s="1" t="str">
        <f>IF(Table1[[#This Row],[Std Read]]="","N/A",Table1[[#This Row],[Std Read]]+Table1[[#This Row],[Std Ucty]])</f>
        <v>N/A</v>
      </c>
      <c r="Z22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1" s="1" t="str">
        <f>IF(Table1[[#This Row],[Spec Type]]="","N/A",Table1[[#This Row],[Spec Type]])</f>
        <v>±</v>
      </c>
      <c r="AC2211" s="1" t="str">
        <f>IF(Table1[[#This Row],[Spec Type2]]="N/A","N/A",IF(AND(Table1[[#This Row],[DUT Adj Read]]&gt;=Table1[[#This Row],[Low Tol]],Table1[[#This Row],[DUT Adj Read]]&lt;=Table1[[#This Row],[High Tol]]),"Pass","Fail"))</f>
        <v>Fail</v>
      </c>
      <c r="AD2211" s="1" t="str">
        <f>IF(AND(Table1[[#This Row],[Spec Type2]]="N/A",Table1[[#This Row],[DUT Adj Read]]="N/A",Table1[[#This Row],[Std Adj Read]]="N/A"),"N/A",IF(Table1[[#This Row],[DUT Adj Read]]="N/A",IF(Table1[[#This Row],[Std Adj Read]]&gt;Table1[[#This Row],[Low Tol]],"Pass","Fail"),IF(Table1[[#This Row],[DUT Adj Read]]&gt;Table1[[#This Row],[Low Tol]],"Pass","Fail")))</f>
        <v>Pass</v>
      </c>
      <c r="AE2211" s="1" t="str">
        <f>IF(AND(Table1[[#This Row],[Spec Type2]]="N/A",Table1[[#This Row],[DUT Adj Read]]="N/A",Table1[[#This Row],[Std Adj Read]]="N/A"),"N/A",IF(Table1[[#This Row],[DUT Adj Read]]="N/A",IF(Table1[[#This Row],[Std Adj Read]]&lt;Table1[[#This Row],[High Tol]],"Pass","Fail"),IF(Table1[[#This Row],[DUT Adj Read]]&lt;Table1[[#This Row],[High Tol]],"Pass","Fail")))</f>
        <v>Fail</v>
      </c>
      <c r="AF2211" s="1" t="str">
        <f>IF(AND(Table1[[#This Row],[Spec Type2]]="N/A",Table1[[#This Row],[DUT Adj Read]]="N/A",Table1[[#This Row],[Std Adj Read]]="N/A"),"N/A",IF(Table1[[#This Row],[DUT Adj Read]]="N/A",IF(Table1[[#This Row],[Std Adj Read]]&gt;=Table1[[#This Row],[Low Tol]],"Pass","Fail"),IF(Table1[[#This Row],[DUT Adj Read]]&gt;=Table1[[#This Row],[Low Tol]],"Pass","Fail")))</f>
        <v>Pass</v>
      </c>
      <c r="AG2211" s="1" t="str">
        <f>IF(AND(Table1[[#This Row],[Spec Type2]]="N/A",Table1[[#This Row],[DUT Adj Read]]="N/A",Table1[[#This Row],[Std Adj Read]]="N/A"),"N/A",IF(Table1[[#This Row],[DUT Adj Read]]="N/A",IF(Table1[[#This Row],[Std Adj Read]]&lt;=Table1[[#This Row],[High Tol]],"Pass","Fail"),IF(Table1[[#This Row],[DUT Adj Read]]&lt;=Table1[[#This Row],[High Tol]],"Pass","Fail")))</f>
        <v>Fail</v>
      </c>
      <c r="AH22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1" s="1" t="b">
        <v>0</v>
      </c>
      <c r="AN2211" s="1" t="b">
        <v>0</v>
      </c>
      <c r="AO2211" s="1" t="b">
        <v>0</v>
      </c>
    </row>
    <row r="2212" spans="1:41" x14ac:dyDescent="0.25">
      <c r="A2212" s="10"/>
      <c r="B2212" s="10"/>
      <c r="C2212" s="10"/>
      <c r="D2212" s="10"/>
      <c r="E2212" s="10"/>
      <c r="F2212" s="10"/>
      <c r="G2212" s="10"/>
      <c r="H2212" s="10"/>
      <c r="I2212" s="1" t="str">
        <f t="shared" si="102"/>
        <v/>
      </c>
      <c r="J2212" s="1" t="s">
        <v>35</v>
      </c>
      <c r="K2212" s="1" t="str">
        <f t="shared" si="103"/>
        <v/>
      </c>
      <c r="L2212" s="1" t="str">
        <f t="shared" si="104"/>
        <v/>
      </c>
      <c r="M2212" s="1">
        <f>IF(OR(Table1[[#This Row],[Std Nom]]="",Table1[[#This Row],[Std Read]]=""),0,Table1[[#This Row],[Std Nom]]-Table1[[#This Row],[Std Read]])</f>
        <v>0</v>
      </c>
      <c r="N2212" s="1">
        <f>IF(Calculations!$F$5="ACCREDITED 17025 WITH UNCERTAINTIES",$N$10,0)</f>
        <v>0</v>
      </c>
      <c r="Q2212" s="1">
        <f>Table1[[#This Row],[High Tol]]-Table1[[#This Row],[Low Tol]]</f>
        <v>0</v>
      </c>
      <c r="R2212" s="1">
        <f>2*Table1[[#This Row],[Std Error]]</f>
        <v>0</v>
      </c>
      <c r="S2212" s="1" t="str">
        <f>IF(Table1[[#This Row],[High Tol]]="","N/A",IFERROR(ABS(Table1[[#This Row],[Tol Span]]/Table1[[#This Row],[Error Span]]),"N/A"))</f>
        <v>N/A</v>
      </c>
      <c r="T2212" s="1" t="str">
        <f>IF(OR(Table1[[#This Row],[Low Tol]]="",Table1[[#This Row],[High Tol]]=""),"Needs Analysis",IF(Table1[[#This Row],[Ratio]]&gt;=4,"Not Significant",IF(Table1[[#This Row],[Ratio]]&gt;=2,"Semi-Significant","Significant")))</f>
        <v>Needs Analysis</v>
      </c>
      <c r="W2212" s="1">
        <f>IF(Table1[[#This Row],[Cal Type]]&lt;&gt;"ACCREDITED 17025 WITH UNCERTAINTIES",0,"")</f>
        <v>0</v>
      </c>
      <c r="X2212" s="1" t="str">
        <f>IF(Table1[[#This Row],[DUT Read]]="","N/A",Table1[[#This Row],[Std Error]]+Table1[[#This Row],[DUT Read]]+Table1[[#This Row],[DUT Ucty]])</f>
        <v>N/A</v>
      </c>
      <c r="Y2212" s="1" t="str">
        <f>IF(Table1[[#This Row],[Std Read]]="","N/A",Table1[[#This Row],[Std Read]]+Table1[[#This Row],[Std Ucty]])</f>
        <v>N/A</v>
      </c>
      <c r="Z22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2" s="1" t="str">
        <f>IF(Table1[[#This Row],[Spec Type]]="","N/A",Table1[[#This Row],[Spec Type]])</f>
        <v>±</v>
      </c>
      <c r="AC2212" s="1" t="str">
        <f>IF(Table1[[#This Row],[Spec Type2]]="N/A","N/A",IF(AND(Table1[[#This Row],[DUT Adj Read]]&gt;=Table1[[#This Row],[Low Tol]],Table1[[#This Row],[DUT Adj Read]]&lt;=Table1[[#This Row],[High Tol]]),"Pass","Fail"))</f>
        <v>Fail</v>
      </c>
      <c r="AD2212" s="1" t="str">
        <f>IF(AND(Table1[[#This Row],[Spec Type2]]="N/A",Table1[[#This Row],[DUT Adj Read]]="N/A",Table1[[#This Row],[Std Adj Read]]="N/A"),"N/A",IF(Table1[[#This Row],[DUT Adj Read]]="N/A",IF(Table1[[#This Row],[Std Adj Read]]&gt;Table1[[#This Row],[Low Tol]],"Pass","Fail"),IF(Table1[[#This Row],[DUT Adj Read]]&gt;Table1[[#This Row],[Low Tol]],"Pass","Fail")))</f>
        <v>Pass</v>
      </c>
      <c r="AE2212" s="1" t="str">
        <f>IF(AND(Table1[[#This Row],[Spec Type2]]="N/A",Table1[[#This Row],[DUT Adj Read]]="N/A",Table1[[#This Row],[Std Adj Read]]="N/A"),"N/A",IF(Table1[[#This Row],[DUT Adj Read]]="N/A",IF(Table1[[#This Row],[Std Adj Read]]&lt;Table1[[#This Row],[High Tol]],"Pass","Fail"),IF(Table1[[#This Row],[DUT Adj Read]]&lt;Table1[[#This Row],[High Tol]],"Pass","Fail")))</f>
        <v>Fail</v>
      </c>
      <c r="AF2212" s="1" t="str">
        <f>IF(AND(Table1[[#This Row],[Spec Type2]]="N/A",Table1[[#This Row],[DUT Adj Read]]="N/A",Table1[[#This Row],[Std Adj Read]]="N/A"),"N/A",IF(Table1[[#This Row],[DUT Adj Read]]="N/A",IF(Table1[[#This Row],[Std Adj Read]]&gt;=Table1[[#This Row],[Low Tol]],"Pass","Fail"),IF(Table1[[#This Row],[DUT Adj Read]]&gt;=Table1[[#This Row],[Low Tol]],"Pass","Fail")))</f>
        <v>Pass</v>
      </c>
      <c r="AG2212" s="1" t="str">
        <f>IF(AND(Table1[[#This Row],[Spec Type2]]="N/A",Table1[[#This Row],[DUT Adj Read]]="N/A",Table1[[#This Row],[Std Adj Read]]="N/A"),"N/A",IF(Table1[[#This Row],[DUT Adj Read]]="N/A",IF(Table1[[#This Row],[Std Adj Read]]&lt;=Table1[[#This Row],[High Tol]],"Pass","Fail"),IF(Table1[[#This Row],[DUT Adj Read]]&lt;=Table1[[#This Row],[High Tol]],"Pass","Fail")))</f>
        <v>Fail</v>
      </c>
      <c r="AH22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2" s="1" t="b">
        <v>0</v>
      </c>
      <c r="AN2212" s="1" t="b">
        <v>0</v>
      </c>
      <c r="AO2212" s="1" t="b">
        <v>0</v>
      </c>
    </row>
    <row r="2213" spans="1:41" x14ac:dyDescent="0.25">
      <c r="A2213" s="10"/>
      <c r="B2213" s="10"/>
      <c r="C2213" s="10"/>
      <c r="D2213" s="10"/>
      <c r="E2213" s="10"/>
      <c r="F2213" s="10"/>
      <c r="G2213" s="10"/>
      <c r="H2213" s="10"/>
      <c r="I2213" s="1" t="str">
        <f t="shared" si="102"/>
        <v/>
      </c>
      <c r="J2213" s="1" t="s">
        <v>35</v>
      </c>
      <c r="K2213" s="1" t="str">
        <f t="shared" si="103"/>
        <v/>
      </c>
      <c r="L2213" s="1" t="str">
        <f t="shared" si="104"/>
        <v/>
      </c>
      <c r="M2213" s="1">
        <f>IF(OR(Table1[[#This Row],[Std Nom]]="",Table1[[#This Row],[Std Read]]=""),0,Table1[[#This Row],[Std Nom]]-Table1[[#This Row],[Std Read]])</f>
        <v>0</v>
      </c>
      <c r="N2213" s="1">
        <f>IF(Calculations!$F$5="ACCREDITED 17025 WITH UNCERTAINTIES",$N$10,0)</f>
        <v>0</v>
      </c>
      <c r="Q2213" s="1">
        <f>Table1[[#This Row],[High Tol]]-Table1[[#This Row],[Low Tol]]</f>
        <v>0</v>
      </c>
      <c r="R2213" s="1">
        <f>2*Table1[[#This Row],[Std Error]]</f>
        <v>0</v>
      </c>
      <c r="S2213" s="1" t="str">
        <f>IF(Table1[[#This Row],[High Tol]]="","N/A",IFERROR(ABS(Table1[[#This Row],[Tol Span]]/Table1[[#This Row],[Error Span]]),"N/A"))</f>
        <v>N/A</v>
      </c>
      <c r="T2213" s="1" t="str">
        <f>IF(OR(Table1[[#This Row],[Low Tol]]="",Table1[[#This Row],[High Tol]]=""),"Needs Analysis",IF(Table1[[#This Row],[Ratio]]&gt;=4,"Not Significant",IF(Table1[[#This Row],[Ratio]]&gt;=2,"Semi-Significant","Significant")))</f>
        <v>Needs Analysis</v>
      </c>
      <c r="W2213" s="1">
        <f>IF(Table1[[#This Row],[Cal Type]]&lt;&gt;"ACCREDITED 17025 WITH UNCERTAINTIES",0,"")</f>
        <v>0</v>
      </c>
      <c r="X2213" s="1" t="str">
        <f>IF(Table1[[#This Row],[DUT Read]]="","N/A",Table1[[#This Row],[Std Error]]+Table1[[#This Row],[DUT Read]]+Table1[[#This Row],[DUT Ucty]])</f>
        <v>N/A</v>
      </c>
      <c r="Y2213" s="1" t="str">
        <f>IF(Table1[[#This Row],[Std Read]]="","N/A",Table1[[#This Row],[Std Read]]+Table1[[#This Row],[Std Ucty]])</f>
        <v>N/A</v>
      </c>
      <c r="Z22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3" s="1" t="str">
        <f>IF(Table1[[#This Row],[Spec Type]]="","N/A",Table1[[#This Row],[Spec Type]])</f>
        <v>±</v>
      </c>
      <c r="AC2213" s="1" t="str">
        <f>IF(Table1[[#This Row],[Spec Type2]]="N/A","N/A",IF(AND(Table1[[#This Row],[DUT Adj Read]]&gt;=Table1[[#This Row],[Low Tol]],Table1[[#This Row],[DUT Adj Read]]&lt;=Table1[[#This Row],[High Tol]]),"Pass","Fail"))</f>
        <v>Fail</v>
      </c>
      <c r="AD2213" s="1" t="str">
        <f>IF(AND(Table1[[#This Row],[Spec Type2]]="N/A",Table1[[#This Row],[DUT Adj Read]]="N/A",Table1[[#This Row],[Std Adj Read]]="N/A"),"N/A",IF(Table1[[#This Row],[DUT Adj Read]]="N/A",IF(Table1[[#This Row],[Std Adj Read]]&gt;Table1[[#This Row],[Low Tol]],"Pass","Fail"),IF(Table1[[#This Row],[DUT Adj Read]]&gt;Table1[[#This Row],[Low Tol]],"Pass","Fail")))</f>
        <v>Pass</v>
      </c>
      <c r="AE2213" s="1" t="str">
        <f>IF(AND(Table1[[#This Row],[Spec Type2]]="N/A",Table1[[#This Row],[DUT Adj Read]]="N/A",Table1[[#This Row],[Std Adj Read]]="N/A"),"N/A",IF(Table1[[#This Row],[DUT Adj Read]]="N/A",IF(Table1[[#This Row],[Std Adj Read]]&lt;Table1[[#This Row],[High Tol]],"Pass","Fail"),IF(Table1[[#This Row],[DUT Adj Read]]&lt;Table1[[#This Row],[High Tol]],"Pass","Fail")))</f>
        <v>Fail</v>
      </c>
      <c r="AF2213" s="1" t="str">
        <f>IF(AND(Table1[[#This Row],[Spec Type2]]="N/A",Table1[[#This Row],[DUT Adj Read]]="N/A",Table1[[#This Row],[Std Adj Read]]="N/A"),"N/A",IF(Table1[[#This Row],[DUT Adj Read]]="N/A",IF(Table1[[#This Row],[Std Adj Read]]&gt;=Table1[[#This Row],[Low Tol]],"Pass","Fail"),IF(Table1[[#This Row],[DUT Adj Read]]&gt;=Table1[[#This Row],[Low Tol]],"Pass","Fail")))</f>
        <v>Pass</v>
      </c>
      <c r="AG2213" s="1" t="str">
        <f>IF(AND(Table1[[#This Row],[Spec Type2]]="N/A",Table1[[#This Row],[DUT Adj Read]]="N/A",Table1[[#This Row],[Std Adj Read]]="N/A"),"N/A",IF(Table1[[#This Row],[DUT Adj Read]]="N/A",IF(Table1[[#This Row],[Std Adj Read]]&lt;=Table1[[#This Row],[High Tol]],"Pass","Fail"),IF(Table1[[#This Row],[DUT Adj Read]]&lt;=Table1[[#This Row],[High Tol]],"Pass","Fail")))</f>
        <v>Fail</v>
      </c>
      <c r="AH22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3" s="1" t="b">
        <v>0</v>
      </c>
      <c r="AN2213" s="1" t="b">
        <v>0</v>
      </c>
      <c r="AO2213" s="1" t="b">
        <v>0</v>
      </c>
    </row>
    <row r="2214" spans="1:41" x14ac:dyDescent="0.25">
      <c r="A2214" s="10"/>
      <c r="B2214" s="10"/>
      <c r="C2214" s="10"/>
      <c r="D2214" s="10"/>
      <c r="E2214" s="10"/>
      <c r="F2214" s="10"/>
      <c r="G2214" s="10"/>
      <c r="H2214" s="10"/>
      <c r="I2214" s="1" t="str">
        <f t="shared" si="102"/>
        <v/>
      </c>
      <c r="J2214" s="1" t="s">
        <v>35</v>
      </c>
      <c r="K2214" s="1" t="str">
        <f t="shared" si="103"/>
        <v/>
      </c>
      <c r="L2214" s="1" t="str">
        <f t="shared" si="104"/>
        <v/>
      </c>
      <c r="M2214" s="1">
        <f>IF(OR(Table1[[#This Row],[Std Nom]]="",Table1[[#This Row],[Std Read]]=""),0,Table1[[#This Row],[Std Nom]]-Table1[[#This Row],[Std Read]])</f>
        <v>0</v>
      </c>
      <c r="N2214" s="1">
        <f>IF(Calculations!$F$5="ACCREDITED 17025 WITH UNCERTAINTIES",$N$10,0)</f>
        <v>0</v>
      </c>
      <c r="Q2214" s="1">
        <f>Table1[[#This Row],[High Tol]]-Table1[[#This Row],[Low Tol]]</f>
        <v>0</v>
      </c>
      <c r="R2214" s="1">
        <f>2*Table1[[#This Row],[Std Error]]</f>
        <v>0</v>
      </c>
      <c r="S2214" s="1" t="str">
        <f>IF(Table1[[#This Row],[High Tol]]="","N/A",IFERROR(ABS(Table1[[#This Row],[Tol Span]]/Table1[[#This Row],[Error Span]]),"N/A"))</f>
        <v>N/A</v>
      </c>
      <c r="T2214" s="1" t="str">
        <f>IF(OR(Table1[[#This Row],[Low Tol]]="",Table1[[#This Row],[High Tol]]=""),"Needs Analysis",IF(Table1[[#This Row],[Ratio]]&gt;=4,"Not Significant",IF(Table1[[#This Row],[Ratio]]&gt;=2,"Semi-Significant","Significant")))</f>
        <v>Needs Analysis</v>
      </c>
      <c r="W2214" s="1">
        <f>IF(Table1[[#This Row],[Cal Type]]&lt;&gt;"ACCREDITED 17025 WITH UNCERTAINTIES",0,"")</f>
        <v>0</v>
      </c>
      <c r="X2214" s="1" t="str">
        <f>IF(Table1[[#This Row],[DUT Read]]="","N/A",Table1[[#This Row],[Std Error]]+Table1[[#This Row],[DUT Read]]+Table1[[#This Row],[DUT Ucty]])</f>
        <v>N/A</v>
      </c>
      <c r="Y2214" s="1" t="str">
        <f>IF(Table1[[#This Row],[Std Read]]="","N/A",Table1[[#This Row],[Std Read]]+Table1[[#This Row],[Std Ucty]])</f>
        <v>N/A</v>
      </c>
      <c r="Z22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4" s="1" t="str">
        <f>IF(Table1[[#This Row],[Spec Type]]="","N/A",Table1[[#This Row],[Spec Type]])</f>
        <v>±</v>
      </c>
      <c r="AC2214" s="1" t="str">
        <f>IF(Table1[[#This Row],[Spec Type2]]="N/A","N/A",IF(AND(Table1[[#This Row],[DUT Adj Read]]&gt;=Table1[[#This Row],[Low Tol]],Table1[[#This Row],[DUT Adj Read]]&lt;=Table1[[#This Row],[High Tol]]),"Pass","Fail"))</f>
        <v>Fail</v>
      </c>
      <c r="AD2214" s="1" t="str">
        <f>IF(AND(Table1[[#This Row],[Spec Type2]]="N/A",Table1[[#This Row],[DUT Adj Read]]="N/A",Table1[[#This Row],[Std Adj Read]]="N/A"),"N/A",IF(Table1[[#This Row],[DUT Adj Read]]="N/A",IF(Table1[[#This Row],[Std Adj Read]]&gt;Table1[[#This Row],[Low Tol]],"Pass","Fail"),IF(Table1[[#This Row],[DUT Adj Read]]&gt;Table1[[#This Row],[Low Tol]],"Pass","Fail")))</f>
        <v>Pass</v>
      </c>
      <c r="AE2214" s="1" t="str">
        <f>IF(AND(Table1[[#This Row],[Spec Type2]]="N/A",Table1[[#This Row],[DUT Adj Read]]="N/A",Table1[[#This Row],[Std Adj Read]]="N/A"),"N/A",IF(Table1[[#This Row],[DUT Adj Read]]="N/A",IF(Table1[[#This Row],[Std Adj Read]]&lt;Table1[[#This Row],[High Tol]],"Pass","Fail"),IF(Table1[[#This Row],[DUT Adj Read]]&lt;Table1[[#This Row],[High Tol]],"Pass","Fail")))</f>
        <v>Fail</v>
      </c>
      <c r="AF2214" s="1" t="str">
        <f>IF(AND(Table1[[#This Row],[Spec Type2]]="N/A",Table1[[#This Row],[DUT Adj Read]]="N/A",Table1[[#This Row],[Std Adj Read]]="N/A"),"N/A",IF(Table1[[#This Row],[DUT Adj Read]]="N/A",IF(Table1[[#This Row],[Std Adj Read]]&gt;=Table1[[#This Row],[Low Tol]],"Pass","Fail"),IF(Table1[[#This Row],[DUT Adj Read]]&gt;=Table1[[#This Row],[Low Tol]],"Pass","Fail")))</f>
        <v>Pass</v>
      </c>
      <c r="AG2214" s="1" t="str">
        <f>IF(AND(Table1[[#This Row],[Spec Type2]]="N/A",Table1[[#This Row],[DUT Adj Read]]="N/A",Table1[[#This Row],[Std Adj Read]]="N/A"),"N/A",IF(Table1[[#This Row],[DUT Adj Read]]="N/A",IF(Table1[[#This Row],[Std Adj Read]]&lt;=Table1[[#This Row],[High Tol]],"Pass","Fail"),IF(Table1[[#This Row],[DUT Adj Read]]&lt;=Table1[[#This Row],[High Tol]],"Pass","Fail")))</f>
        <v>Fail</v>
      </c>
      <c r="AH22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4" s="1" t="b">
        <v>0</v>
      </c>
      <c r="AN2214" s="1" t="b">
        <v>0</v>
      </c>
      <c r="AO2214" s="1" t="b">
        <v>0</v>
      </c>
    </row>
    <row r="2215" spans="1:41" x14ac:dyDescent="0.25">
      <c r="A2215" s="10"/>
      <c r="B2215" s="10"/>
      <c r="C2215" s="10"/>
      <c r="D2215" s="10"/>
      <c r="E2215" s="10"/>
      <c r="F2215" s="10"/>
      <c r="G2215" s="10"/>
      <c r="H2215" s="10"/>
      <c r="I2215" s="1" t="str">
        <f t="shared" si="102"/>
        <v/>
      </c>
      <c r="J2215" s="1" t="s">
        <v>35</v>
      </c>
      <c r="K2215" s="1" t="str">
        <f t="shared" si="103"/>
        <v/>
      </c>
      <c r="L2215" s="1" t="str">
        <f t="shared" si="104"/>
        <v/>
      </c>
      <c r="M2215" s="1">
        <f>IF(OR(Table1[[#This Row],[Std Nom]]="",Table1[[#This Row],[Std Read]]=""),0,Table1[[#This Row],[Std Nom]]-Table1[[#This Row],[Std Read]])</f>
        <v>0</v>
      </c>
      <c r="N2215" s="1">
        <f>IF(Calculations!$F$5="ACCREDITED 17025 WITH UNCERTAINTIES",$N$10,0)</f>
        <v>0</v>
      </c>
      <c r="Q2215" s="1">
        <f>Table1[[#This Row],[High Tol]]-Table1[[#This Row],[Low Tol]]</f>
        <v>0</v>
      </c>
      <c r="R2215" s="1">
        <f>2*Table1[[#This Row],[Std Error]]</f>
        <v>0</v>
      </c>
      <c r="S2215" s="1" t="str">
        <f>IF(Table1[[#This Row],[High Tol]]="","N/A",IFERROR(ABS(Table1[[#This Row],[Tol Span]]/Table1[[#This Row],[Error Span]]),"N/A"))</f>
        <v>N/A</v>
      </c>
      <c r="T2215" s="1" t="str">
        <f>IF(OR(Table1[[#This Row],[Low Tol]]="",Table1[[#This Row],[High Tol]]=""),"Needs Analysis",IF(Table1[[#This Row],[Ratio]]&gt;=4,"Not Significant",IF(Table1[[#This Row],[Ratio]]&gt;=2,"Semi-Significant","Significant")))</f>
        <v>Needs Analysis</v>
      </c>
      <c r="W2215" s="1">
        <f>IF(Table1[[#This Row],[Cal Type]]&lt;&gt;"ACCREDITED 17025 WITH UNCERTAINTIES",0,"")</f>
        <v>0</v>
      </c>
      <c r="X2215" s="1" t="str">
        <f>IF(Table1[[#This Row],[DUT Read]]="","N/A",Table1[[#This Row],[Std Error]]+Table1[[#This Row],[DUT Read]]+Table1[[#This Row],[DUT Ucty]])</f>
        <v>N/A</v>
      </c>
      <c r="Y2215" s="1" t="str">
        <f>IF(Table1[[#This Row],[Std Read]]="","N/A",Table1[[#This Row],[Std Read]]+Table1[[#This Row],[Std Ucty]])</f>
        <v>N/A</v>
      </c>
      <c r="Z22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5" s="1" t="str">
        <f>IF(Table1[[#This Row],[Spec Type]]="","N/A",Table1[[#This Row],[Spec Type]])</f>
        <v>±</v>
      </c>
      <c r="AC2215" s="1" t="str">
        <f>IF(Table1[[#This Row],[Spec Type2]]="N/A","N/A",IF(AND(Table1[[#This Row],[DUT Adj Read]]&gt;=Table1[[#This Row],[Low Tol]],Table1[[#This Row],[DUT Adj Read]]&lt;=Table1[[#This Row],[High Tol]]),"Pass","Fail"))</f>
        <v>Fail</v>
      </c>
      <c r="AD2215" s="1" t="str">
        <f>IF(AND(Table1[[#This Row],[Spec Type2]]="N/A",Table1[[#This Row],[DUT Adj Read]]="N/A",Table1[[#This Row],[Std Adj Read]]="N/A"),"N/A",IF(Table1[[#This Row],[DUT Adj Read]]="N/A",IF(Table1[[#This Row],[Std Adj Read]]&gt;Table1[[#This Row],[Low Tol]],"Pass","Fail"),IF(Table1[[#This Row],[DUT Adj Read]]&gt;Table1[[#This Row],[Low Tol]],"Pass","Fail")))</f>
        <v>Pass</v>
      </c>
      <c r="AE2215" s="1" t="str">
        <f>IF(AND(Table1[[#This Row],[Spec Type2]]="N/A",Table1[[#This Row],[DUT Adj Read]]="N/A",Table1[[#This Row],[Std Adj Read]]="N/A"),"N/A",IF(Table1[[#This Row],[DUT Adj Read]]="N/A",IF(Table1[[#This Row],[Std Adj Read]]&lt;Table1[[#This Row],[High Tol]],"Pass","Fail"),IF(Table1[[#This Row],[DUT Adj Read]]&lt;Table1[[#This Row],[High Tol]],"Pass","Fail")))</f>
        <v>Fail</v>
      </c>
      <c r="AF2215" s="1" t="str">
        <f>IF(AND(Table1[[#This Row],[Spec Type2]]="N/A",Table1[[#This Row],[DUT Adj Read]]="N/A",Table1[[#This Row],[Std Adj Read]]="N/A"),"N/A",IF(Table1[[#This Row],[DUT Adj Read]]="N/A",IF(Table1[[#This Row],[Std Adj Read]]&gt;=Table1[[#This Row],[Low Tol]],"Pass","Fail"),IF(Table1[[#This Row],[DUT Adj Read]]&gt;=Table1[[#This Row],[Low Tol]],"Pass","Fail")))</f>
        <v>Pass</v>
      </c>
      <c r="AG2215" s="1" t="str">
        <f>IF(AND(Table1[[#This Row],[Spec Type2]]="N/A",Table1[[#This Row],[DUT Adj Read]]="N/A",Table1[[#This Row],[Std Adj Read]]="N/A"),"N/A",IF(Table1[[#This Row],[DUT Adj Read]]="N/A",IF(Table1[[#This Row],[Std Adj Read]]&lt;=Table1[[#This Row],[High Tol]],"Pass","Fail"),IF(Table1[[#This Row],[DUT Adj Read]]&lt;=Table1[[#This Row],[High Tol]],"Pass","Fail")))</f>
        <v>Fail</v>
      </c>
      <c r="AH22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5" s="1" t="b">
        <v>0</v>
      </c>
      <c r="AN2215" s="1" t="b">
        <v>0</v>
      </c>
      <c r="AO2215" s="1" t="b">
        <v>0</v>
      </c>
    </row>
    <row r="2216" spans="1:41" x14ac:dyDescent="0.25">
      <c r="A2216" s="10"/>
      <c r="B2216" s="10"/>
      <c r="C2216" s="10"/>
      <c r="D2216" s="10"/>
      <c r="E2216" s="10"/>
      <c r="F2216" s="10"/>
      <c r="G2216" s="10"/>
      <c r="H2216" s="10"/>
      <c r="I2216" s="1" t="str">
        <f t="shared" si="102"/>
        <v/>
      </c>
      <c r="J2216" s="1" t="s">
        <v>35</v>
      </c>
      <c r="K2216" s="1" t="str">
        <f t="shared" si="103"/>
        <v/>
      </c>
      <c r="L2216" s="1" t="str">
        <f t="shared" si="104"/>
        <v/>
      </c>
      <c r="M2216" s="1">
        <f>IF(OR(Table1[[#This Row],[Std Nom]]="",Table1[[#This Row],[Std Read]]=""),0,Table1[[#This Row],[Std Nom]]-Table1[[#This Row],[Std Read]])</f>
        <v>0</v>
      </c>
      <c r="N2216" s="1">
        <f>IF(Calculations!$F$5="ACCREDITED 17025 WITH UNCERTAINTIES",$N$10,0)</f>
        <v>0</v>
      </c>
      <c r="Q2216" s="1">
        <f>Table1[[#This Row],[High Tol]]-Table1[[#This Row],[Low Tol]]</f>
        <v>0</v>
      </c>
      <c r="R2216" s="1">
        <f>2*Table1[[#This Row],[Std Error]]</f>
        <v>0</v>
      </c>
      <c r="S2216" s="1" t="str">
        <f>IF(Table1[[#This Row],[High Tol]]="","N/A",IFERROR(ABS(Table1[[#This Row],[Tol Span]]/Table1[[#This Row],[Error Span]]),"N/A"))</f>
        <v>N/A</v>
      </c>
      <c r="T2216" s="1" t="str">
        <f>IF(OR(Table1[[#This Row],[Low Tol]]="",Table1[[#This Row],[High Tol]]=""),"Needs Analysis",IF(Table1[[#This Row],[Ratio]]&gt;=4,"Not Significant",IF(Table1[[#This Row],[Ratio]]&gt;=2,"Semi-Significant","Significant")))</f>
        <v>Needs Analysis</v>
      </c>
      <c r="W2216" s="1">
        <f>IF(Table1[[#This Row],[Cal Type]]&lt;&gt;"ACCREDITED 17025 WITH UNCERTAINTIES",0,"")</f>
        <v>0</v>
      </c>
      <c r="X2216" s="1" t="str">
        <f>IF(Table1[[#This Row],[DUT Read]]="","N/A",Table1[[#This Row],[Std Error]]+Table1[[#This Row],[DUT Read]]+Table1[[#This Row],[DUT Ucty]])</f>
        <v>N/A</v>
      </c>
      <c r="Y2216" s="1" t="str">
        <f>IF(Table1[[#This Row],[Std Read]]="","N/A",Table1[[#This Row],[Std Read]]+Table1[[#This Row],[Std Ucty]])</f>
        <v>N/A</v>
      </c>
      <c r="Z22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6" s="1" t="str">
        <f>IF(Table1[[#This Row],[Spec Type]]="","N/A",Table1[[#This Row],[Spec Type]])</f>
        <v>±</v>
      </c>
      <c r="AC2216" s="1" t="str">
        <f>IF(Table1[[#This Row],[Spec Type2]]="N/A","N/A",IF(AND(Table1[[#This Row],[DUT Adj Read]]&gt;=Table1[[#This Row],[Low Tol]],Table1[[#This Row],[DUT Adj Read]]&lt;=Table1[[#This Row],[High Tol]]),"Pass","Fail"))</f>
        <v>Fail</v>
      </c>
      <c r="AD2216" s="1" t="str">
        <f>IF(AND(Table1[[#This Row],[Spec Type2]]="N/A",Table1[[#This Row],[DUT Adj Read]]="N/A",Table1[[#This Row],[Std Adj Read]]="N/A"),"N/A",IF(Table1[[#This Row],[DUT Adj Read]]="N/A",IF(Table1[[#This Row],[Std Adj Read]]&gt;Table1[[#This Row],[Low Tol]],"Pass","Fail"),IF(Table1[[#This Row],[DUT Adj Read]]&gt;Table1[[#This Row],[Low Tol]],"Pass","Fail")))</f>
        <v>Pass</v>
      </c>
      <c r="AE2216" s="1" t="str">
        <f>IF(AND(Table1[[#This Row],[Spec Type2]]="N/A",Table1[[#This Row],[DUT Adj Read]]="N/A",Table1[[#This Row],[Std Adj Read]]="N/A"),"N/A",IF(Table1[[#This Row],[DUT Adj Read]]="N/A",IF(Table1[[#This Row],[Std Adj Read]]&lt;Table1[[#This Row],[High Tol]],"Pass","Fail"),IF(Table1[[#This Row],[DUT Adj Read]]&lt;Table1[[#This Row],[High Tol]],"Pass","Fail")))</f>
        <v>Fail</v>
      </c>
      <c r="AF2216" s="1" t="str">
        <f>IF(AND(Table1[[#This Row],[Spec Type2]]="N/A",Table1[[#This Row],[DUT Adj Read]]="N/A",Table1[[#This Row],[Std Adj Read]]="N/A"),"N/A",IF(Table1[[#This Row],[DUT Adj Read]]="N/A",IF(Table1[[#This Row],[Std Adj Read]]&gt;=Table1[[#This Row],[Low Tol]],"Pass","Fail"),IF(Table1[[#This Row],[DUT Adj Read]]&gt;=Table1[[#This Row],[Low Tol]],"Pass","Fail")))</f>
        <v>Pass</v>
      </c>
      <c r="AG2216" s="1" t="str">
        <f>IF(AND(Table1[[#This Row],[Spec Type2]]="N/A",Table1[[#This Row],[DUT Adj Read]]="N/A",Table1[[#This Row],[Std Adj Read]]="N/A"),"N/A",IF(Table1[[#This Row],[DUT Adj Read]]="N/A",IF(Table1[[#This Row],[Std Adj Read]]&lt;=Table1[[#This Row],[High Tol]],"Pass","Fail"),IF(Table1[[#This Row],[DUT Adj Read]]&lt;=Table1[[#This Row],[High Tol]],"Pass","Fail")))</f>
        <v>Fail</v>
      </c>
      <c r="AH22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6" s="1" t="b">
        <v>0</v>
      </c>
      <c r="AN2216" s="1" t="b">
        <v>0</v>
      </c>
      <c r="AO2216" s="1" t="b">
        <v>0</v>
      </c>
    </row>
    <row r="2217" spans="1:41" x14ac:dyDescent="0.25">
      <c r="A2217" s="10"/>
      <c r="B2217" s="10"/>
      <c r="C2217" s="10"/>
      <c r="D2217" s="10"/>
      <c r="E2217" s="10"/>
      <c r="F2217" s="10"/>
      <c r="G2217" s="10"/>
      <c r="H2217" s="10"/>
      <c r="I2217" s="1" t="str">
        <f t="shared" si="102"/>
        <v/>
      </c>
      <c r="J2217" s="1" t="s">
        <v>35</v>
      </c>
      <c r="K2217" s="1" t="str">
        <f t="shared" si="103"/>
        <v/>
      </c>
      <c r="L2217" s="1" t="str">
        <f t="shared" si="104"/>
        <v/>
      </c>
      <c r="M2217" s="1">
        <f>IF(OR(Table1[[#This Row],[Std Nom]]="",Table1[[#This Row],[Std Read]]=""),0,Table1[[#This Row],[Std Nom]]-Table1[[#This Row],[Std Read]])</f>
        <v>0</v>
      </c>
      <c r="N2217" s="1">
        <f>IF(Calculations!$F$5="ACCREDITED 17025 WITH UNCERTAINTIES",$N$10,0)</f>
        <v>0</v>
      </c>
      <c r="Q2217" s="1">
        <f>Table1[[#This Row],[High Tol]]-Table1[[#This Row],[Low Tol]]</f>
        <v>0</v>
      </c>
      <c r="R2217" s="1">
        <f>2*Table1[[#This Row],[Std Error]]</f>
        <v>0</v>
      </c>
      <c r="S2217" s="1" t="str">
        <f>IF(Table1[[#This Row],[High Tol]]="","N/A",IFERROR(ABS(Table1[[#This Row],[Tol Span]]/Table1[[#This Row],[Error Span]]),"N/A"))</f>
        <v>N/A</v>
      </c>
      <c r="T2217" s="1" t="str">
        <f>IF(OR(Table1[[#This Row],[Low Tol]]="",Table1[[#This Row],[High Tol]]=""),"Needs Analysis",IF(Table1[[#This Row],[Ratio]]&gt;=4,"Not Significant",IF(Table1[[#This Row],[Ratio]]&gt;=2,"Semi-Significant","Significant")))</f>
        <v>Needs Analysis</v>
      </c>
      <c r="W2217" s="1">
        <f>IF(Table1[[#This Row],[Cal Type]]&lt;&gt;"ACCREDITED 17025 WITH UNCERTAINTIES",0,"")</f>
        <v>0</v>
      </c>
      <c r="X2217" s="1" t="str">
        <f>IF(Table1[[#This Row],[DUT Read]]="","N/A",Table1[[#This Row],[Std Error]]+Table1[[#This Row],[DUT Read]]+Table1[[#This Row],[DUT Ucty]])</f>
        <v>N/A</v>
      </c>
      <c r="Y2217" s="1" t="str">
        <f>IF(Table1[[#This Row],[Std Read]]="","N/A",Table1[[#This Row],[Std Read]]+Table1[[#This Row],[Std Ucty]])</f>
        <v>N/A</v>
      </c>
      <c r="Z22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7" s="1" t="str">
        <f>IF(Table1[[#This Row],[Spec Type]]="","N/A",Table1[[#This Row],[Spec Type]])</f>
        <v>±</v>
      </c>
      <c r="AC2217" s="1" t="str">
        <f>IF(Table1[[#This Row],[Spec Type2]]="N/A","N/A",IF(AND(Table1[[#This Row],[DUT Adj Read]]&gt;=Table1[[#This Row],[Low Tol]],Table1[[#This Row],[DUT Adj Read]]&lt;=Table1[[#This Row],[High Tol]]),"Pass","Fail"))</f>
        <v>Fail</v>
      </c>
      <c r="AD2217" s="1" t="str">
        <f>IF(AND(Table1[[#This Row],[Spec Type2]]="N/A",Table1[[#This Row],[DUT Adj Read]]="N/A",Table1[[#This Row],[Std Adj Read]]="N/A"),"N/A",IF(Table1[[#This Row],[DUT Adj Read]]="N/A",IF(Table1[[#This Row],[Std Adj Read]]&gt;Table1[[#This Row],[Low Tol]],"Pass","Fail"),IF(Table1[[#This Row],[DUT Adj Read]]&gt;Table1[[#This Row],[Low Tol]],"Pass","Fail")))</f>
        <v>Pass</v>
      </c>
      <c r="AE2217" s="1" t="str">
        <f>IF(AND(Table1[[#This Row],[Spec Type2]]="N/A",Table1[[#This Row],[DUT Adj Read]]="N/A",Table1[[#This Row],[Std Adj Read]]="N/A"),"N/A",IF(Table1[[#This Row],[DUT Adj Read]]="N/A",IF(Table1[[#This Row],[Std Adj Read]]&lt;Table1[[#This Row],[High Tol]],"Pass","Fail"),IF(Table1[[#This Row],[DUT Adj Read]]&lt;Table1[[#This Row],[High Tol]],"Pass","Fail")))</f>
        <v>Fail</v>
      </c>
      <c r="AF2217" s="1" t="str">
        <f>IF(AND(Table1[[#This Row],[Spec Type2]]="N/A",Table1[[#This Row],[DUT Adj Read]]="N/A",Table1[[#This Row],[Std Adj Read]]="N/A"),"N/A",IF(Table1[[#This Row],[DUT Adj Read]]="N/A",IF(Table1[[#This Row],[Std Adj Read]]&gt;=Table1[[#This Row],[Low Tol]],"Pass","Fail"),IF(Table1[[#This Row],[DUT Adj Read]]&gt;=Table1[[#This Row],[Low Tol]],"Pass","Fail")))</f>
        <v>Pass</v>
      </c>
      <c r="AG2217" s="1" t="str">
        <f>IF(AND(Table1[[#This Row],[Spec Type2]]="N/A",Table1[[#This Row],[DUT Adj Read]]="N/A",Table1[[#This Row],[Std Adj Read]]="N/A"),"N/A",IF(Table1[[#This Row],[DUT Adj Read]]="N/A",IF(Table1[[#This Row],[Std Adj Read]]&lt;=Table1[[#This Row],[High Tol]],"Pass","Fail"),IF(Table1[[#This Row],[DUT Adj Read]]&lt;=Table1[[#This Row],[High Tol]],"Pass","Fail")))</f>
        <v>Fail</v>
      </c>
      <c r="AH22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7" s="1" t="b">
        <v>0</v>
      </c>
      <c r="AN2217" s="1" t="b">
        <v>0</v>
      </c>
      <c r="AO2217" s="1" t="b">
        <v>0</v>
      </c>
    </row>
    <row r="2218" spans="1:41" x14ac:dyDescent="0.25">
      <c r="A2218" s="10"/>
      <c r="B2218" s="10"/>
      <c r="C2218" s="10"/>
      <c r="D2218" s="10"/>
      <c r="E2218" s="10"/>
      <c r="F2218" s="10"/>
      <c r="G2218" s="10"/>
      <c r="H2218" s="10"/>
      <c r="I2218" s="1" t="str">
        <f t="shared" si="102"/>
        <v/>
      </c>
      <c r="J2218" s="1" t="s">
        <v>35</v>
      </c>
      <c r="K2218" s="1" t="str">
        <f t="shared" si="103"/>
        <v/>
      </c>
      <c r="L2218" s="1" t="str">
        <f t="shared" si="104"/>
        <v/>
      </c>
      <c r="M2218" s="1">
        <f>IF(OR(Table1[[#This Row],[Std Nom]]="",Table1[[#This Row],[Std Read]]=""),0,Table1[[#This Row],[Std Nom]]-Table1[[#This Row],[Std Read]])</f>
        <v>0</v>
      </c>
      <c r="N2218" s="1">
        <f>IF(Calculations!$F$5="ACCREDITED 17025 WITH UNCERTAINTIES",$N$10,0)</f>
        <v>0</v>
      </c>
      <c r="Q2218" s="1">
        <f>Table1[[#This Row],[High Tol]]-Table1[[#This Row],[Low Tol]]</f>
        <v>0</v>
      </c>
      <c r="R2218" s="1">
        <f>2*Table1[[#This Row],[Std Error]]</f>
        <v>0</v>
      </c>
      <c r="S2218" s="1" t="str">
        <f>IF(Table1[[#This Row],[High Tol]]="","N/A",IFERROR(ABS(Table1[[#This Row],[Tol Span]]/Table1[[#This Row],[Error Span]]),"N/A"))</f>
        <v>N/A</v>
      </c>
      <c r="T2218" s="1" t="str">
        <f>IF(OR(Table1[[#This Row],[Low Tol]]="",Table1[[#This Row],[High Tol]]=""),"Needs Analysis",IF(Table1[[#This Row],[Ratio]]&gt;=4,"Not Significant",IF(Table1[[#This Row],[Ratio]]&gt;=2,"Semi-Significant","Significant")))</f>
        <v>Needs Analysis</v>
      </c>
      <c r="W2218" s="1">
        <f>IF(Table1[[#This Row],[Cal Type]]&lt;&gt;"ACCREDITED 17025 WITH UNCERTAINTIES",0,"")</f>
        <v>0</v>
      </c>
      <c r="X2218" s="1" t="str">
        <f>IF(Table1[[#This Row],[DUT Read]]="","N/A",Table1[[#This Row],[Std Error]]+Table1[[#This Row],[DUT Read]]+Table1[[#This Row],[DUT Ucty]])</f>
        <v>N/A</v>
      </c>
      <c r="Y2218" s="1" t="str">
        <f>IF(Table1[[#This Row],[Std Read]]="","N/A",Table1[[#This Row],[Std Read]]+Table1[[#This Row],[Std Ucty]])</f>
        <v>N/A</v>
      </c>
      <c r="Z22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8" s="1" t="str">
        <f>IF(Table1[[#This Row],[Spec Type]]="","N/A",Table1[[#This Row],[Spec Type]])</f>
        <v>±</v>
      </c>
      <c r="AC2218" s="1" t="str">
        <f>IF(Table1[[#This Row],[Spec Type2]]="N/A","N/A",IF(AND(Table1[[#This Row],[DUT Adj Read]]&gt;=Table1[[#This Row],[Low Tol]],Table1[[#This Row],[DUT Adj Read]]&lt;=Table1[[#This Row],[High Tol]]),"Pass","Fail"))</f>
        <v>Fail</v>
      </c>
      <c r="AD2218" s="1" t="str">
        <f>IF(AND(Table1[[#This Row],[Spec Type2]]="N/A",Table1[[#This Row],[DUT Adj Read]]="N/A",Table1[[#This Row],[Std Adj Read]]="N/A"),"N/A",IF(Table1[[#This Row],[DUT Adj Read]]="N/A",IF(Table1[[#This Row],[Std Adj Read]]&gt;Table1[[#This Row],[Low Tol]],"Pass","Fail"),IF(Table1[[#This Row],[DUT Adj Read]]&gt;Table1[[#This Row],[Low Tol]],"Pass","Fail")))</f>
        <v>Pass</v>
      </c>
      <c r="AE2218" s="1" t="str">
        <f>IF(AND(Table1[[#This Row],[Spec Type2]]="N/A",Table1[[#This Row],[DUT Adj Read]]="N/A",Table1[[#This Row],[Std Adj Read]]="N/A"),"N/A",IF(Table1[[#This Row],[DUT Adj Read]]="N/A",IF(Table1[[#This Row],[Std Adj Read]]&lt;Table1[[#This Row],[High Tol]],"Pass","Fail"),IF(Table1[[#This Row],[DUT Adj Read]]&lt;Table1[[#This Row],[High Tol]],"Pass","Fail")))</f>
        <v>Fail</v>
      </c>
      <c r="AF2218" s="1" t="str">
        <f>IF(AND(Table1[[#This Row],[Spec Type2]]="N/A",Table1[[#This Row],[DUT Adj Read]]="N/A",Table1[[#This Row],[Std Adj Read]]="N/A"),"N/A",IF(Table1[[#This Row],[DUT Adj Read]]="N/A",IF(Table1[[#This Row],[Std Adj Read]]&gt;=Table1[[#This Row],[Low Tol]],"Pass","Fail"),IF(Table1[[#This Row],[DUT Adj Read]]&gt;=Table1[[#This Row],[Low Tol]],"Pass","Fail")))</f>
        <v>Pass</v>
      </c>
      <c r="AG2218" s="1" t="str">
        <f>IF(AND(Table1[[#This Row],[Spec Type2]]="N/A",Table1[[#This Row],[DUT Adj Read]]="N/A",Table1[[#This Row],[Std Adj Read]]="N/A"),"N/A",IF(Table1[[#This Row],[DUT Adj Read]]="N/A",IF(Table1[[#This Row],[Std Adj Read]]&lt;=Table1[[#This Row],[High Tol]],"Pass","Fail"),IF(Table1[[#This Row],[DUT Adj Read]]&lt;=Table1[[#This Row],[High Tol]],"Pass","Fail")))</f>
        <v>Fail</v>
      </c>
      <c r="AH22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8" s="1" t="b">
        <v>0</v>
      </c>
      <c r="AN2218" s="1" t="b">
        <v>0</v>
      </c>
      <c r="AO2218" s="1" t="b">
        <v>0</v>
      </c>
    </row>
    <row r="2219" spans="1:41" x14ac:dyDescent="0.25">
      <c r="A2219" s="10"/>
      <c r="B2219" s="10"/>
      <c r="C2219" s="10"/>
      <c r="D2219" s="10"/>
      <c r="E2219" s="10"/>
      <c r="F2219" s="10"/>
      <c r="G2219" s="10"/>
      <c r="H2219" s="10"/>
      <c r="I2219" s="1" t="str">
        <f t="shared" si="102"/>
        <v/>
      </c>
      <c r="J2219" s="1" t="s">
        <v>35</v>
      </c>
      <c r="K2219" s="1" t="str">
        <f t="shared" si="103"/>
        <v/>
      </c>
      <c r="L2219" s="1" t="str">
        <f t="shared" si="104"/>
        <v/>
      </c>
      <c r="M2219" s="1">
        <f>IF(OR(Table1[[#This Row],[Std Nom]]="",Table1[[#This Row],[Std Read]]=""),0,Table1[[#This Row],[Std Nom]]-Table1[[#This Row],[Std Read]])</f>
        <v>0</v>
      </c>
      <c r="N2219" s="1">
        <f>IF(Calculations!$F$5="ACCREDITED 17025 WITH UNCERTAINTIES",$N$10,0)</f>
        <v>0</v>
      </c>
      <c r="Q2219" s="1">
        <f>Table1[[#This Row],[High Tol]]-Table1[[#This Row],[Low Tol]]</f>
        <v>0</v>
      </c>
      <c r="R2219" s="1">
        <f>2*Table1[[#This Row],[Std Error]]</f>
        <v>0</v>
      </c>
      <c r="S2219" s="1" t="str">
        <f>IF(Table1[[#This Row],[High Tol]]="","N/A",IFERROR(ABS(Table1[[#This Row],[Tol Span]]/Table1[[#This Row],[Error Span]]),"N/A"))</f>
        <v>N/A</v>
      </c>
      <c r="T2219" s="1" t="str">
        <f>IF(OR(Table1[[#This Row],[Low Tol]]="",Table1[[#This Row],[High Tol]]=""),"Needs Analysis",IF(Table1[[#This Row],[Ratio]]&gt;=4,"Not Significant",IF(Table1[[#This Row],[Ratio]]&gt;=2,"Semi-Significant","Significant")))</f>
        <v>Needs Analysis</v>
      </c>
      <c r="W2219" s="1">
        <f>IF(Table1[[#This Row],[Cal Type]]&lt;&gt;"ACCREDITED 17025 WITH UNCERTAINTIES",0,"")</f>
        <v>0</v>
      </c>
      <c r="X2219" s="1" t="str">
        <f>IF(Table1[[#This Row],[DUT Read]]="","N/A",Table1[[#This Row],[Std Error]]+Table1[[#This Row],[DUT Read]]+Table1[[#This Row],[DUT Ucty]])</f>
        <v>N/A</v>
      </c>
      <c r="Y2219" s="1" t="str">
        <f>IF(Table1[[#This Row],[Std Read]]="","N/A",Table1[[#This Row],[Std Read]]+Table1[[#This Row],[Std Ucty]])</f>
        <v>N/A</v>
      </c>
      <c r="Z22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19" s="1" t="str">
        <f>IF(Table1[[#This Row],[Spec Type]]="","N/A",Table1[[#This Row],[Spec Type]])</f>
        <v>±</v>
      </c>
      <c r="AC2219" s="1" t="str">
        <f>IF(Table1[[#This Row],[Spec Type2]]="N/A","N/A",IF(AND(Table1[[#This Row],[DUT Adj Read]]&gt;=Table1[[#This Row],[Low Tol]],Table1[[#This Row],[DUT Adj Read]]&lt;=Table1[[#This Row],[High Tol]]),"Pass","Fail"))</f>
        <v>Fail</v>
      </c>
      <c r="AD2219" s="1" t="str">
        <f>IF(AND(Table1[[#This Row],[Spec Type2]]="N/A",Table1[[#This Row],[DUT Adj Read]]="N/A",Table1[[#This Row],[Std Adj Read]]="N/A"),"N/A",IF(Table1[[#This Row],[DUT Adj Read]]="N/A",IF(Table1[[#This Row],[Std Adj Read]]&gt;Table1[[#This Row],[Low Tol]],"Pass","Fail"),IF(Table1[[#This Row],[DUT Adj Read]]&gt;Table1[[#This Row],[Low Tol]],"Pass","Fail")))</f>
        <v>Pass</v>
      </c>
      <c r="AE2219" s="1" t="str">
        <f>IF(AND(Table1[[#This Row],[Spec Type2]]="N/A",Table1[[#This Row],[DUT Adj Read]]="N/A",Table1[[#This Row],[Std Adj Read]]="N/A"),"N/A",IF(Table1[[#This Row],[DUT Adj Read]]="N/A",IF(Table1[[#This Row],[Std Adj Read]]&lt;Table1[[#This Row],[High Tol]],"Pass","Fail"),IF(Table1[[#This Row],[DUT Adj Read]]&lt;Table1[[#This Row],[High Tol]],"Pass","Fail")))</f>
        <v>Fail</v>
      </c>
      <c r="AF2219" s="1" t="str">
        <f>IF(AND(Table1[[#This Row],[Spec Type2]]="N/A",Table1[[#This Row],[DUT Adj Read]]="N/A",Table1[[#This Row],[Std Adj Read]]="N/A"),"N/A",IF(Table1[[#This Row],[DUT Adj Read]]="N/A",IF(Table1[[#This Row],[Std Adj Read]]&gt;=Table1[[#This Row],[Low Tol]],"Pass","Fail"),IF(Table1[[#This Row],[DUT Adj Read]]&gt;=Table1[[#This Row],[Low Tol]],"Pass","Fail")))</f>
        <v>Pass</v>
      </c>
      <c r="AG2219" s="1" t="str">
        <f>IF(AND(Table1[[#This Row],[Spec Type2]]="N/A",Table1[[#This Row],[DUT Adj Read]]="N/A",Table1[[#This Row],[Std Adj Read]]="N/A"),"N/A",IF(Table1[[#This Row],[DUT Adj Read]]="N/A",IF(Table1[[#This Row],[Std Adj Read]]&lt;=Table1[[#This Row],[High Tol]],"Pass","Fail"),IF(Table1[[#This Row],[DUT Adj Read]]&lt;=Table1[[#This Row],[High Tol]],"Pass","Fail")))</f>
        <v>Fail</v>
      </c>
      <c r="AH22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19" s="1" t="b">
        <v>0</v>
      </c>
      <c r="AN2219" s="1" t="b">
        <v>0</v>
      </c>
      <c r="AO2219" s="1" t="b">
        <v>0</v>
      </c>
    </row>
    <row r="2220" spans="1:41" x14ac:dyDescent="0.25">
      <c r="A2220" s="10"/>
      <c r="B2220" s="10"/>
      <c r="C2220" s="10"/>
      <c r="D2220" s="10"/>
      <c r="E2220" s="10"/>
      <c r="F2220" s="10"/>
      <c r="G2220" s="10"/>
      <c r="H2220" s="10"/>
      <c r="I2220" s="1" t="str">
        <f t="shared" si="102"/>
        <v/>
      </c>
      <c r="J2220" s="1" t="s">
        <v>35</v>
      </c>
      <c r="K2220" s="1" t="str">
        <f t="shared" si="103"/>
        <v/>
      </c>
      <c r="L2220" s="1" t="str">
        <f t="shared" si="104"/>
        <v/>
      </c>
      <c r="M2220" s="1">
        <f>IF(OR(Table1[[#This Row],[Std Nom]]="",Table1[[#This Row],[Std Read]]=""),0,Table1[[#This Row],[Std Nom]]-Table1[[#This Row],[Std Read]])</f>
        <v>0</v>
      </c>
      <c r="N2220" s="1">
        <f>IF(Calculations!$F$5="ACCREDITED 17025 WITH UNCERTAINTIES",$N$10,0)</f>
        <v>0</v>
      </c>
      <c r="Q2220" s="1">
        <f>Table1[[#This Row],[High Tol]]-Table1[[#This Row],[Low Tol]]</f>
        <v>0</v>
      </c>
      <c r="R2220" s="1">
        <f>2*Table1[[#This Row],[Std Error]]</f>
        <v>0</v>
      </c>
      <c r="S2220" s="1" t="str">
        <f>IF(Table1[[#This Row],[High Tol]]="","N/A",IFERROR(ABS(Table1[[#This Row],[Tol Span]]/Table1[[#This Row],[Error Span]]),"N/A"))</f>
        <v>N/A</v>
      </c>
      <c r="T2220" s="1" t="str">
        <f>IF(OR(Table1[[#This Row],[Low Tol]]="",Table1[[#This Row],[High Tol]]=""),"Needs Analysis",IF(Table1[[#This Row],[Ratio]]&gt;=4,"Not Significant",IF(Table1[[#This Row],[Ratio]]&gt;=2,"Semi-Significant","Significant")))</f>
        <v>Needs Analysis</v>
      </c>
      <c r="W2220" s="1">
        <f>IF(Table1[[#This Row],[Cal Type]]&lt;&gt;"ACCREDITED 17025 WITH UNCERTAINTIES",0,"")</f>
        <v>0</v>
      </c>
      <c r="X2220" s="1" t="str">
        <f>IF(Table1[[#This Row],[DUT Read]]="","N/A",Table1[[#This Row],[Std Error]]+Table1[[#This Row],[DUT Read]]+Table1[[#This Row],[DUT Ucty]])</f>
        <v>N/A</v>
      </c>
      <c r="Y2220" s="1" t="str">
        <f>IF(Table1[[#This Row],[Std Read]]="","N/A",Table1[[#This Row],[Std Read]]+Table1[[#This Row],[Std Ucty]])</f>
        <v>N/A</v>
      </c>
      <c r="Z22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0" s="1" t="str">
        <f>IF(Table1[[#This Row],[Spec Type]]="","N/A",Table1[[#This Row],[Spec Type]])</f>
        <v>±</v>
      </c>
      <c r="AC2220" s="1" t="str">
        <f>IF(Table1[[#This Row],[Spec Type2]]="N/A","N/A",IF(AND(Table1[[#This Row],[DUT Adj Read]]&gt;=Table1[[#This Row],[Low Tol]],Table1[[#This Row],[DUT Adj Read]]&lt;=Table1[[#This Row],[High Tol]]),"Pass","Fail"))</f>
        <v>Fail</v>
      </c>
      <c r="AD2220" s="1" t="str">
        <f>IF(AND(Table1[[#This Row],[Spec Type2]]="N/A",Table1[[#This Row],[DUT Adj Read]]="N/A",Table1[[#This Row],[Std Adj Read]]="N/A"),"N/A",IF(Table1[[#This Row],[DUT Adj Read]]="N/A",IF(Table1[[#This Row],[Std Adj Read]]&gt;Table1[[#This Row],[Low Tol]],"Pass","Fail"),IF(Table1[[#This Row],[DUT Adj Read]]&gt;Table1[[#This Row],[Low Tol]],"Pass","Fail")))</f>
        <v>Pass</v>
      </c>
      <c r="AE2220" s="1" t="str">
        <f>IF(AND(Table1[[#This Row],[Spec Type2]]="N/A",Table1[[#This Row],[DUT Adj Read]]="N/A",Table1[[#This Row],[Std Adj Read]]="N/A"),"N/A",IF(Table1[[#This Row],[DUT Adj Read]]="N/A",IF(Table1[[#This Row],[Std Adj Read]]&lt;Table1[[#This Row],[High Tol]],"Pass","Fail"),IF(Table1[[#This Row],[DUT Adj Read]]&lt;Table1[[#This Row],[High Tol]],"Pass","Fail")))</f>
        <v>Fail</v>
      </c>
      <c r="AF2220" s="1" t="str">
        <f>IF(AND(Table1[[#This Row],[Spec Type2]]="N/A",Table1[[#This Row],[DUT Adj Read]]="N/A",Table1[[#This Row],[Std Adj Read]]="N/A"),"N/A",IF(Table1[[#This Row],[DUT Adj Read]]="N/A",IF(Table1[[#This Row],[Std Adj Read]]&gt;=Table1[[#This Row],[Low Tol]],"Pass","Fail"),IF(Table1[[#This Row],[DUT Adj Read]]&gt;=Table1[[#This Row],[Low Tol]],"Pass","Fail")))</f>
        <v>Pass</v>
      </c>
      <c r="AG2220" s="1" t="str">
        <f>IF(AND(Table1[[#This Row],[Spec Type2]]="N/A",Table1[[#This Row],[DUT Adj Read]]="N/A",Table1[[#This Row],[Std Adj Read]]="N/A"),"N/A",IF(Table1[[#This Row],[DUT Adj Read]]="N/A",IF(Table1[[#This Row],[Std Adj Read]]&lt;=Table1[[#This Row],[High Tol]],"Pass","Fail"),IF(Table1[[#This Row],[DUT Adj Read]]&lt;=Table1[[#This Row],[High Tol]],"Pass","Fail")))</f>
        <v>Fail</v>
      </c>
      <c r="AH22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0" s="1" t="b">
        <v>0</v>
      </c>
      <c r="AN2220" s="1" t="b">
        <v>0</v>
      </c>
      <c r="AO2220" s="1" t="b">
        <v>0</v>
      </c>
    </row>
    <row r="2221" spans="1:41" x14ac:dyDescent="0.25">
      <c r="A2221" s="10"/>
      <c r="B2221" s="10"/>
      <c r="C2221" s="10"/>
      <c r="D2221" s="10"/>
      <c r="E2221" s="10"/>
      <c r="F2221" s="10"/>
      <c r="G2221" s="10"/>
      <c r="H2221" s="10"/>
      <c r="I2221" s="1" t="str">
        <f t="shared" si="102"/>
        <v/>
      </c>
      <c r="J2221" s="1" t="s">
        <v>35</v>
      </c>
      <c r="K2221" s="1" t="str">
        <f t="shared" si="103"/>
        <v/>
      </c>
      <c r="L2221" s="1" t="str">
        <f t="shared" si="104"/>
        <v/>
      </c>
      <c r="M2221" s="1">
        <f>IF(OR(Table1[[#This Row],[Std Nom]]="",Table1[[#This Row],[Std Read]]=""),0,Table1[[#This Row],[Std Nom]]-Table1[[#This Row],[Std Read]])</f>
        <v>0</v>
      </c>
      <c r="N2221" s="1">
        <f>IF(Calculations!$F$5="ACCREDITED 17025 WITH UNCERTAINTIES",$N$10,0)</f>
        <v>0</v>
      </c>
      <c r="Q2221" s="1">
        <f>Table1[[#This Row],[High Tol]]-Table1[[#This Row],[Low Tol]]</f>
        <v>0</v>
      </c>
      <c r="R2221" s="1">
        <f>2*Table1[[#This Row],[Std Error]]</f>
        <v>0</v>
      </c>
      <c r="S2221" s="1" t="str">
        <f>IF(Table1[[#This Row],[High Tol]]="","N/A",IFERROR(ABS(Table1[[#This Row],[Tol Span]]/Table1[[#This Row],[Error Span]]),"N/A"))</f>
        <v>N/A</v>
      </c>
      <c r="T2221" s="1" t="str">
        <f>IF(OR(Table1[[#This Row],[Low Tol]]="",Table1[[#This Row],[High Tol]]=""),"Needs Analysis",IF(Table1[[#This Row],[Ratio]]&gt;=4,"Not Significant",IF(Table1[[#This Row],[Ratio]]&gt;=2,"Semi-Significant","Significant")))</f>
        <v>Needs Analysis</v>
      </c>
      <c r="W2221" s="1">
        <f>IF(Table1[[#This Row],[Cal Type]]&lt;&gt;"ACCREDITED 17025 WITH UNCERTAINTIES",0,"")</f>
        <v>0</v>
      </c>
      <c r="X2221" s="1" t="str">
        <f>IF(Table1[[#This Row],[DUT Read]]="","N/A",Table1[[#This Row],[Std Error]]+Table1[[#This Row],[DUT Read]]+Table1[[#This Row],[DUT Ucty]])</f>
        <v>N/A</v>
      </c>
      <c r="Y2221" s="1" t="str">
        <f>IF(Table1[[#This Row],[Std Read]]="","N/A",Table1[[#This Row],[Std Read]]+Table1[[#This Row],[Std Ucty]])</f>
        <v>N/A</v>
      </c>
      <c r="Z22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1" s="1" t="str">
        <f>IF(Table1[[#This Row],[Spec Type]]="","N/A",Table1[[#This Row],[Spec Type]])</f>
        <v>±</v>
      </c>
      <c r="AC2221" s="1" t="str">
        <f>IF(Table1[[#This Row],[Spec Type2]]="N/A","N/A",IF(AND(Table1[[#This Row],[DUT Adj Read]]&gt;=Table1[[#This Row],[Low Tol]],Table1[[#This Row],[DUT Adj Read]]&lt;=Table1[[#This Row],[High Tol]]),"Pass","Fail"))</f>
        <v>Fail</v>
      </c>
      <c r="AD2221" s="1" t="str">
        <f>IF(AND(Table1[[#This Row],[Spec Type2]]="N/A",Table1[[#This Row],[DUT Adj Read]]="N/A",Table1[[#This Row],[Std Adj Read]]="N/A"),"N/A",IF(Table1[[#This Row],[DUT Adj Read]]="N/A",IF(Table1[[#This Row],[Std Adj Read]]&gt;Table1[[#This Row],[Low Tol]],"Pass","Fail"),IF(Table1[[#This Row],[DUT Adj Read]]&gt;Table1[[#This Row],[Low Tol]],"Pass","Fail")))</f>
        <v>Pass</v>
      </c>
      <c r="AE2221" s="1" t="str">
        <f>IF(AND(Table1[[#This Row],[Spec Type2]]="N/A",Table1[[#This Row],[DUT Adj Read]]="N/A",Table1[[#This Row],[Std Adj Read]]="N/A"),"N/A",IF(Table1[[#This Row],[DUT Adj Read]]="N/A",IF(Table1[[#This Row],[Std Adj Read]]&lt;Table1[[#This Row],[High Tol]],"Pass","Fail"),IF(Table1[[#This Row],[DUT Adj Read]]&lt;Table1[[#This Row],[High Tol]],"Pass","Fail")))</f>
        <v>Fail</v>
      </c>
      <c r="AF2221" s="1" t="str">
        <f>IF(AND(Table1[[#This Row],[Spec Type2]]="N/A",Table1[[#This Row],[DUT Adj Read]]="N/A",Table1[[#This Row],[Std Adj Read]]="N/A"),"N/A",IF(Table1[[#This Row],[DUT Adj Read]]="N/A",IF(Table1[[#This Row],[Std Adj Read]]&gt;=Table1[[#This Row],[Low Tol]],"Pass","Fail"),IF(Table1[[#This Row],[DUT Adj Read]]&gt;=Table1[[#This Row],[Low Tol]],"Pass","Fail")))</f>
        <v>Pass</v>
      </c>
      <c r="AG2221" s="1" t="str">
        <f>IF(AND(Table1[[#This Row],[Spec Type2]]="N/A",Table1[[#This Row],[DUT Adj Read]]="N/A",Table1[[#This Row],[Std Adj Read]]="N/A"),"N/A",IF(Table1[[#This Row],[DUT Adj Read]]="N/A",IF(Table1[[#This Row],[Std Adj Read]]&lt;=Table1[[#This Row],[High Tol]],"Pass","Fail"),IF(Table1[[#This Row],[DUT Adj Read]]&lt;=Table1[[#This Row],[High Tol]],"Pass","Fail")))</f>
        <v>Fail</v>
      </c>
      <c r="AH22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1" s="1" t="b">
        <v>0</v>
      </c>
      <c r="AN2221" s="1" t="b">
        <v>0</v>
      </c>
      <c r="AO2221" s="1" t="b">
        <v>0</v>
      </c>
    </row>
    <row r="2222" spans="1:41" x14ac:dyDescent="0.25">
      <c r="A2222" s="10"/>
      <c r="B2222" s="10"/>
      <c r="C2222" s="10"/>
      <c r="D2222" s="10"/>
      <c r="E2222" s="10"/>
      <c r="F2222" s="10"/>
      <c r="G2222" s="10"/>
      <c r="H2222" s="10"/>
      <c r="I2222" s="1" t="str">
        <f t="shared" si="102"/>
        <v/>
      </c>
      <c r="J2222" s="1" t="s">
        <v>35</v>
      </c>
      <c r="K2222" s="1" t="str">
        <f t="shared" si="103"/>
        <v/>
      </c>
      <c r="L2222" s="1" t="str">
        <f t="shared" si="104"/>
        <v/>
      </c>
      <c r="M2222" s="1">
        <f>IF(OR(Table1[[#This Row],[Std Nom]]="",Table1[[#This Row],[Std Read]]=""),0,Table1[[#This Row],[Std Nom]]-Table1[[#This Row],[Std Read]])</f>
        <v>0</v>
      </c>
      <c r="N2222" s="1">
        <f>IF(Calculations!$F$5="ACCREDITED 17025 WITH UNCERTAINTIES",$N$10,0)</f>
        <v>0</v>
      </c>
      <c r="Q2222" s="1">
        <f>Table1[[#This Row],[High Tol]]-Table1[[#This Row],[Low Tol]]</f>
        <v>0</v>
      </c>
      <c r="R2222" s="1">
        <f>2*Table1[[#This Row],[Std Error]]</f>
        <v>0</v>
      </c>
      <c r="S2222" s="1" t="str">
        <f>IF(Table1[[#This Row],[High Tol]]="","N/A",IFERROR(ABS(Table1[[#This Row],[Tol Span]]/Table1[[#This Row],[Error Span]]),"N/A"))</f>
        <v>N/A</v>
      </c>
      <c r="T2222" s="1" t="str">
        <f>IF(OR(Table1[[#This Row],[Low Tol]]="",Table1[[#This Row],[High Tol]]=""),"Needs Analysis",IF(Table1[[#This Row],[Ratio]]&gt;=4,"Not Significant",IF(Table1[[#This Row],[Ratio]]&gt;=2,"Semi-Significant","Significant")))</f>
        <v>Needs Analysis</v>
      </c>
      <c r="W2222" s="1">
        <f>IF(Table1[[#This Row],[Cal Type]]&lt;&gt;"ACCREDITED 17025 WITH UNCERTAINTIES",0,"")</f>
        <v>0</v>
      </c>
      <c r="X2222" s="1" t="str">
        <f>IF(Table1[[#This Row],[DUT Read]]="","N/A",Table1[[#This Row],[Std Error]]+Table1[[#This Row],[DUT Read]]+Table1[[#This Row],[DUT Ucty]])</f>
        <v>N/A</v>
      </c>
      <c r="Y2222" s="1" t="str">
        <f>IF(Table1[[#This Row],[Std Read]]="","N/A",Table1[[#This Row],[Std Read]]+Table1[[#This Row],[Std Ucty]])</f>
        <v>N/A</v>
      </c>
      <c r="Z22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2" s="1" t="str">
        <f>IF(Table1[[#This Row],[Spec Type]]="","N/A",Table1[[#This Row],[Spec Type]])</f>
        <v>±</v>
      </c>
      <c r="AC2222" s="1" t="str">
        <f>IF(Table1[[#This Row],[Spec Type2]]="N/A","N/A",IF(AND(Table1[[#This Row],[DUT Adj Read]]&gt;=Table1[[#This Row],[Low Tol]],Table1[[#This Row],[DUT Adj Read]]&lt;=Table1[[#This Row],[High Tol]]),"Pass","Fail"))</f>
        <v>Fail</v>
      </c>
      <c r="AD2222" s="1" t="str">
        <f>IF(AND(Table1[[#This Row],[Spec Type2]]="N/A",Table1[[#This Row],[DUT Adj Read]]="N/A",Table1[[#This Row],[Std Adj Read]]="N/A"),"N/A",IF(Table1[[#This Row],[DUT Adj Read]]="N/A",IF(Table1[[#This Row],[Std Adj Read]]&gt;Table1[[#This Row],[Low Tol]],"Pass","Fail"),IF(Table1[[#This Row],[DUT Adj Read]]&gt;Table1[[#This Row],[Low Tol]],"Pass","Fail")))</f>
        <v>Pass</v>
      </c>
      <c r="AE2222" s="1" t="str">
        <f>IF(AND(Table1[[#This Row],[Spec Type2]]="N/A",Table1[[#This Row],[DUT Adj Read]]="N/A",Table1[[#This Row],[Std Adj Read]]="N/A"),"N/A",IF(Table1[[#This Row],[DUT Adj Read]]="N/A",IF(Table1[[#This Row],[Std Adj Read]]&lt;Table1[[#This Row],[High Tol]],"Pass","Fail"),IF(Table1[[#This Row],[DUT Adj Read]]&lt;Table1[[#This Row],[High Tol]],"Pass","Fail")))</f>
        <v>Fail</v>
      </c>
      <c r="AF2222" s="1" t="str">
        <f>IF(AND(Table1[[#This Row],[Spec Type2]]="N/A",Table1[[#This Row],[DUT Adj Read]]="N/A",Table1[[#This Row],[Std Adj Read]]="N/A"),"N/A",IF(Table1[[#This Row],[DUT Adj Read]]="N/A",IF(Table1[[#This Row],[Std Adj Read]]&gt;=Table1[[#This Row],[Low Tol]],"Pass","Fail"),IF(Table1[[#This Row],[DUT Adj Read]]&gt;=Table1[[#This Row],[Low Tol]],"Pass","Fail")))</f>
        <v>Pass</v>
      </c>
      <c r="AG2222" s="1" t="str">
        <f>IF(AND(Table1[[#This Row],[Spec Type2]]="N/A",Table1[[#This Row],[DUT Adj Read]]="N/A",Table1[[#This Row],[Std Adj Read]]="N/A"),"N/A",IF(Table1[[#This Row],[DUT Adj Read]]="N/A",IF(Table1[[#This Row],[Std Adj Read]]&lt;=Table1[[#This Row],[High Tol]],"Pass","Fail"),IF(Table1[[#This Row],[DUT Adj Read]]&lt;=Table1[[#This Row],[High Tol]],"Pass","Fail")))</f>
        <v>Fail</v>
      </c>
      <c r="AH22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2" s="1" t="b">
        <v>0</v>
      </c>
      <c r="AN2222" s="1" t="b">
        <v>0</v>
      </c>
      <c r="AO2222" s="1" t="b">
        <v>0</v>
      </c>
    </row>
    <row r="2223" spans="1:41" x14ac:dyDescent="0.25">
      <c r="A2223" s="10"/>
      <c r="B2223" s="10"/>
      <c r="C2223" s="10"/>
      <c r="D2223" s="10"/>
      <c r="E2223" s="10"/>
      <c r="F2223" s="10"/>
      <c r="G2223" s="10"/>
      <c r="H2223" s="10"/>
      <c r="I2223" s="1" t="str">
        <f t="shared" si="102"/>
        <v/>
      </c>
      <c r="J2223" s="1" t="s">
        <v>35</v>
      </c>
      <c r="K2223" s="1" t="str">
        <f t="shared" si="103"/>
        <v/>
      </c>
      <c r="L2223" s="1" t="str">
        <f t="shared" si="104"/>
        <v/>
      </c>
      <c r="M2223" s="1">
        <f>IF(OR(Table1[[#This Row],[Std Nom]]="",Table1[[#This Row],[Std Read]]=""),0,Table1[[#This Row],[Std Nom]]-Table1[[#This Row],[Std Read]])</f>
        <v>0</v>
      </c>
      <c r="N2223" s="1">
        <f>IF(Calculations!$F$5="ACCREDITED 17025 WITH UNCERTAINTIES",$N$10,0)</f>
        <v>0</v>
      </c>
      <c r="Q2223" s="1">
        <f>Table1[[#This Row],[High Tol]]-Table1[[#This Row],[Low Tol]]</f>
        <v>0</v>
      </c>
      <c r="R2223" s="1">
        <f>2*Table1[[#This Row],[Std Error]]</f>
        <v>0</v>
      </c>
      <c r="S2223" s="1" t="str">
        <f>IF(Table1[[#This Row],[High Tol]]="","N/A",IFERROR(ABS(Table1[[#This Row],[Tol Span]]/Table1[[#This Row],[Error Span]]),"N/A"))</f>
        <v>N/A</v>
      </c>
      <c r="T2223" s="1" t="str">
        <f>IF(OR(Table1[[#This Row],[Low Tol]]="",Table1[[#This Row],[High Tol]]=""),"Needs Analysis",IF(Table1[[#This Row],[Ratio]]&gt;=4,"Not Significant",IF(Table1[[#This Row],[Ratio]]&gt;=2,"Semi-Significant","Significant")))</f>
        <v>Needs Analysis</v>
      </c>
      <c r="W2223" s="1">
        <f>IF(Table1[[#This Row],[Cal Type]]&lt;&gt;"ACCREDITED 17025 WITH UNCERTAINTIES",0,"")</f>
        <v>0</v>
      </c>
      <c r="X2223" s="1" t="str">
        <f>IF(Table1[[#This Row],[DUT Read]]="","N/A",Table1[[#This Row],[Std Error]]+Table1[[#This Row],[DUT Read]]+Table1[[#This Row],[DUT Ucty]])</f>
        <v>N/A</v>
      </c>
      <c r="Y2223" s="1" t="str">
        <f>IF(Table1[[#This Row],[Std Read]]="","N/A",Table1[[#This Row],[Std Read]]+Table1[[#This Row],[Std Ucty]])</f>
        <v>N/A</v>
      </c>
      <c r="Z22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3" s="1" t="str">
        <f>IF(Table1[[#This Row],[Spec Type]]="","N/A",Table1[[#This Row],[Spec Type]])</f>
        <v>±</v>
      </c>
      <c r="AC2223" s="1" t="str">
        <f>IF(Table1[[#This Row],[Spec Type2]]="N/A","N/A",IF(AND(Table1[[#This Row],[DUT Adj Read]]&gt;=Table1[[#This Row],[Low Tol]],Table1[[#This Row],[DUT Adj Read]]&lt;=Table1[[#This Row],[High Tol]]),"Pass","Fail"))</f>
        <v>Fail</v>
      </c>
      <c r="AD2223" s="1" t="str">
        <f>IF(AND(Table1[[#This Row],[Spec Type2]]="N/A",Table1[[#This Row],[DUT Adj Read]]="N/A",Table1[[#This Row],[Std Adj Read]]="N/A"),"N/A",IF(Table1[[#This Row],[DUT Adj Read]]="N/A",IF(Table1[[#This Row],[Std Adj Read]]&gt;Table1[[#This Row],[Low Tol]],"Pass","Fail"),IF(Table1[[#This Row],[DUT Adj Read]]&gt;Table1[[#This Row],[Low Tol]],"Pass","Fail")))</f>
        <v>Pass</v>
      </c>
      <c r="AE2223" s="1" t="str">
        <f>IF(AND(Table1[[#This Row],[Spec Type2]]="N/A",Table1[[#This Row],[DUT Adj Read]]="N/A",Table1[[#This Row],[Std Adj Read]]="N/A"),"N/A",IF(Table1[[#This Row],[DUT Adj Read]]="N/A",IF(Table1[[#This Row],[Std Adj Read]]&lt;Table1[[#This Row],[High Tol]],"Pass","Fail"),IF(Table1[[#This Row],[DUT Adj Read]]&lt;Table1[[#This Row],[High Tol]],"Pass","Fail")))</f>
        <v>Fail</v>
      </c>
      <c r="AF2223" s="1" t="str">
        <f>IF(AND(Table1[[#This Row],[Spec Type2]]="N/A",Table1[[#This Row],[DUT Adj Read]]="N/A",Table1[[#This Row],[Std Adj Read]]="N/A"),"N/A",IF(Table1[[#This Row],[DUT Adj Read]]="N/A",IF(Table1[[#This Row],[Std Adj Read]]&gt;=Table1[[#This Row],[Low Tol]],"Pass","Fail"),IF(Table1[[#This Row],[DUT Adj Read]]&gt;=Table1[[#This Row],[Low Tol]],"Pass","Fail")))</f>
        <v>Pass</v>
      </c>
      <c r="AG2223" s="1" t="str">
        <f>IF(AND(Table1[[#This Row],[Spec Type2]]="N/A",Table1[[#This Row],[DUT Adj Read]]="N/A",Table1[[#This Row],[Std Adj Read]]="N/A"),"N/A",IF(Table1[[#This Row],[DUT Adj Read]]="N/A",IF(Table1[[#This Row],[Std Adj Read]]&lt;=Table1[[#This Row],[High Tol]],"Pass","Fail"),IF(Table1[[#This Row],[DUT Adj Read]]&lt;=Table1[[#This Row],[High Tol]],"Pass","Fail")))</f>
        <v>Fail</v>
      </c>
      <c r="AH22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3" s="1" t="b">
        <v>0</v>
      </c>
      <c r="AN2223" s="1" t="b">
        <v>0</v>
      </c>
      <c r="AO2223" s="1" t="b">
        <v>0</v>
      </c>
    </row>
    <row r="2224" spans="1:41" x14ac:dyDescent="0.25">
      <c r="A2224" s="10"/>
      <c r="B2224" s="10"/>
      <c r="C2224" s="10"/>
      <c r="D2224" s="10"/>
      <c r="E2224" s="10"/>
      <c r="F2224" s="10"/>
      <c r="G2224" s="10"/>
      <c r="H2224" s="10"/>
      <c r="I2224" s="1" t="str">
        <f t="shared" si="102"/>
        <v/>
      </c>
      <c r="J2224" s="1" t="s">
        <v>35</v>
      </c>
      <c r="K2224" s="1" t="str">
        <f t="shared" si="103"/>
        <v/>
      </c>
      <c r="L2224" s="1" t="str">
        <f t="shared" si="104"/>
        <v/>
      </c>
      <c r="M2224" s="1">
        <f>IF(OR(Table1[[#This Row],[Std Nom]]="",Table1[[#This Row],[Std Read]]=""),0,Table1[[#This Row],[Std Nom]]-Table1[[#This Row],[Std Read]])</f>
        <v>0</v>
      </c>
      <c r="N2224" s="1">
        <f>IF(Calculations!$F$5="ACCREDITED 17025 WITH UNCERTAINTIES",$N$10,0)</f>
        <v>0</v>
      </c>
      <c r="Q2224" s="1">
        <f>Table1[[#This Row],[High Tol]]-Table1[[#This Row],[Low Tol]]</f>
        <v>0</v>
      </c>
      <c r="R2224" s="1">
        <f>2*Table1[[#This Row],[Std Error]]</f>
        <v>0</v>
      </c>
      <c r="S2224" s="1" t="str">
        <f>IF(Table1[[#This Row],[High Tol]]="","N/A",IFERROR(ABS(Table1[[#This Row],[Tol Span]]/Table1[[#This Row],[Error Span]]),"N/A"))</f>
        <v>N/A</v>
      </c>
      <c r="T2224" s="1" t="str">
        <f>IF(OR(Table1[[#This Row],[Low Tol]]="",Table1[[#This Row],[High Tol]]=""),"Needs Analysis",IF(Table1[[#This Row],[Ratio]]&gt;=4,"Not Significant",IF(Table1[[#This Row],[Ratio]]&gt;=2,"Semi-Significant","Significant")))</f>
        <v>Needs Analysis</v>
      </c>
      <c r="W2224" s="1">
        <f>IF(Table1[[#This Row],[Cal Type]]&lt;&gt;"ACCREDITED 17025 WITH UNCERTAINTIES",0,"")</f>
        <v>0</v>
      </c>
      <c r="X2224" s="1" t="str">
        <f>IF(Table1[[#This Row],[DUT Read]]="","N/A",Table1[[#This Row],[Std Error]]+Table1[[#This Row],[DUT Read]]+Table1[[#This Row],[DUT Ucty]])</f>
        <v>N/A</v>
      </c>
      <c r="Y2224" s="1" t="str">
        <f>IF(Table1[[#This Row],[Std Read]]="","N/A",Table1[[#This Row],[Std Read]]+Table1[[#This Row],[Std Ucty]])</f>
        <v>N/A</v>
      </c>
      <c r="Z22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4" s="1" t="str">
        <f>IF(Table1[[#This Row],[Spec Type]]="","N/A",Table1[[#This Row],[Spec Type]])</f>
        <v>±</v>
      </c>
      <c r="AC2224" s="1" t="str">
        <f>IF(Table1[[#This Row],[Spec Type2]]="N/A","N/A",IF(AND(Table1[[#This Row],[DUT Adj Read]]&gt;=Table1[[#This Row],[Low Tol]],Table1[[#This Row],[DUT Adj Read]]&lt;=Table1[[#This Row],[High Tol]]),"Pass","Fail"))</f>
        <v>Fail</v>
      </c>
      <c r="AD2224" s="1" t="str">
        <f>IF(AND(Table1[[#This Row],[Spec Type2]]="N/A",Table1[[#This Row],[DUT Adj Read]]="N/A",Table1[[#This Row],[Std Adj Read]]="N/A"),"N/A",IF(Table1[[#This Row],[DUT Adj Read]]="N/A",IF(Table1[[#This Row],[Std Adj Read]]&gt;Table1[[#This Row],[Low Tol]],"Pass","Fail"),IF(Table1[[#This Row],[DUT Adj Read]]&gt;Table1[[#This Row],[Low Tol]],"Pass","Fail")))</f>
        <v>Pass</v>
      </c>
      <c r="AE2224" s="1" t="str">
        <f>IF(AND(Table1[[#This Row],[Spec Type2]]="N/A",Table1[[#This Row],[DUT Adj Read]]="N/A",Table1[[#This Row],[Std Adj Read]]="N/A"),"N/A",IF(Table1[[#This Row],[DUT Adj Read]]="N/A",IF(Table1[[#This Row],[Std Adj Read]]&lt;Table1[[#This Row],[High Tol]],"Pass","Fail"),IF(Table1[[#This Row],[DUT Adj Read]]&lt;Table1[[#This Row],[High Tol]],"Pass","Fail")))</f>
        <v>Fail</v>
      </c>
      <c r="AF2224" s="1" t="str">
        <f>IF(AND(Table1[[#This Row],[Spec Type2]]="N/A",Table1[[#This Row],[DUT Adj Read]]="N/A",Table1[[#This Row],[Std Adj Read]]="N/A"),"N/A",IF(Table1[[#This Row],[DUT Adj Read]]="N/A",IF(Table1[[#This Row],[Std Adj Read]]&gt;=Table1[[#This Row],[Low Tol]],"Pass","Fail"),IF(Table1[[#This Row],[DUT Adj Read]]&gt;=Table1[[#This Row],[Low Tol]],"Pass","Fail")))</f>
        <v>Pass</v>
      </c>
      <c r="AG2224" s="1" t="str">
        <f>IF(AND(Table1[[#This Row],[Spec Type2]]="N/A",Table1[[#This Row],[DUT Adj Read]]="N/A",Table1[[#This Row],[Std Adj Read]]="N/A"),"N/A",IF(Table1[[#This Row],[DUT Adj Read]]="N/A",IF(Table1[[#This Row],[Std Adj Read]]&lt;=Table1[[#This Row],[High Tol]],"Pass","Fail"),IF(Table1[[#This Row],[DUT Adj Read]]&lt;=Table1[[#This Row],[High Tol]],"Pass","Fail")))</f>
        <v>Fail</v>
      </c>
      <c r="AH22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4" s="1" t="b">
        <v>0</v>
      </c>
      <c r="AN2224" s="1" t="b">
        <v>0</v>
      </c>
      <c r="AO2224" s="1" t="b">
        <v>0</v>
      </c>
    </row>
    <row r="2225" spans="1:41" x14ac:dyDescent="0.25">
      <c r="A2225" s="10"/>
      <c r="B2225" s="10"/>
      <c r="C2225" s="10"/>
      <c r="D2225" s="10"/>
      <c r="E2225" s="10"/>
      <c r="F2225" s="10"/>
      <c r="G2225" s="10"/>
      <c r="H2225" s="10"/>
      <c r="I2225" s="1" t="str">
        <f t="shared" si="102"/>
        <v/>
      </c>
      <c r="J2225" s="1" t="s">
        <v>35</v>
      </c>
      <c r="K2225" s="1" t="str">
        <f t="shared" si="103"/>
        <v/>
      </c>
      <c r="L2225" s="1" t="str">
        <f t="shared" si="104"/>
        <v/>
      </c>
      <c r="M2225" s="1">
        <f>IF(OR(Table1[[#This Row],[Std Nom]]="",Table1[[#This Row],[Std Read]]=""),0,Table1[[#This Row],[Std Nom]]-Table1[[#This Row],[Std Read]])</f>
        <v>0</v>
      </c>
      <c r="N2225" s="1">
        <f>IF(Calculations!$F$5="ACCREDITED 17025 WITH UNCERTAINTIES",$N$10,0)</f>
        <v>0</v>
      </c>
      <c r="Q2225" s="1">
        <f>Table1[[#This Row],[High Tol]]-Table1[[#This Row],[Low Tol]]</f>
        <v>0</v>
      </c>
      <c r="R2225" s="1">
        <f>2*Table1[[#This Row],[Std Error]]</f>
        <v>0</v>
      </c>
      <c r="S2225" s="1" t="str">
        <f>IF(Table1[[#This Row],[High Tol]]="","N/A",IFERROR(ABS(Table1[[#This Row],[Tol Span]]/Table1[[#This Row],[Error Span]]),"N/A"))</f>
        <v>N/A</v>
      </c>
      <c r="T2225" s="1" t="str">
        <f>IF(OR(Table1[[#This Row],[Low Tol]]="",Table1[[#This Row],[High Tol]]=""),"Needs Analysis",IF(Table1[[#This Row],[Ratio]]&gt;=4,"Not Significant",IF(Table1[[#This Row],[Ratio]]&gt;=2,"Semi-Significant","Significant")))</f>
        <v>Needs Analysis</v>
      </c>
      <c r="W2225" s="1">
        <f>IF(Table1[[#This Row],[Cal Type]]&lt;&gt;"ACCREDITED 17025 WITH UNCERTAINTIES",0,"")</f>
        <v>0</v>
      </c>
      <c r="X2225" s="1" t="str">
        <f>IF(Table1[[#This Row],[DUT Read]]="","N/A",Table1[[#This Row],[Std Error]]+Table1[[#This Row],[DUT Read]]+Table1[[#This Row],[DUT Ucty]])</f>
        <v>N/A</v>
      </c>
      <c r="Y2225" s="1" t="str">
        <f>IF(Table1[[#This Row],[Std Read]]="","N/A",Table1[[#This Row],[Std Read]]+Table1[[#This Row],[Std Ucty]])</f>
        <v>N/A</v>
      </c>
      <c r="Z22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5" s="1" t="str">
        <f>IF(Table1[[#This Row],[Spec Type]]="","N/A",Table1[[#This Row],[Spec Type]])</f>
        <v>±</v>
      </c>
      <c r="AC2225" s="1" t="str">
        <f>IF(Table1[[#This Row],[Spec Type2]]="N/A","N/A",IF(AND(Table1[[#This Row],[DUT Adj Read]]&gt;=Table1[[#This Row],[Low Tol]],Table1[[#This Row],[DUT Adj Read]]&lt;=Table1[[#This Row],[High Tol]]),"Pass","Fail"))</f>
        <v>Fail</v>
      </c>
      <c r="AD2225" s="1" t="str">
        <f>IF(AND(Table1[[#This Row],[Spec Type2]]="N/A",Table1[[#This Row],[DUT Adj Read]]="N/A",Table1[[#This Row],[Std Adj Read]]="N/A"),"N/A",IF(Table1[[#This Row],[DUT Adj Read]]="N/A",IF(Table1[[#This Row],[Std Adj Read]]&gt;Table1[[#This Row],[Low Tol]],"Pass","Fail"),IF(Table1[[#This Row],[DUT Adj Read]]&gt;Table1[[#This Row],[Low Tol]],"Pass","Fail")))</f>
        <v>Pass</v>
      </c>
      <c r="AE2225" s="1" t="str">
        <f>IF(AND(Table1[[#This Row],[Spec Type2]]="N/A",Table1[[#This Row],[DUT Adj Read]]="N/A",Table1[[#This Row],[Std Adj Read]]="N/A"),"N/A",IF(Table1[[#This Row],[DUT Adj Read]]="N/A",IF(Table1[[#This Row],[Std Adj Read]]&lt;Table1[[#This Row],[High Tol]],"Pass","Fail"),IF(Table1[[#This Row],[DUT Adj Read]]&lt;Table1[[#This Row],[High Tol]],"Pass","Fail")))</f>
        <v>Fail</v>
      </c>
      <c r="AF2225" s="1" t="str">
        <f>IF(AND(Table1[[#This Row],[Spec Type2]]="N/A",Table1[[#This Row],[DUT Adj Read]]="N/A",Table1[[#This Row],[Std Adj Read]]="N/A"),"N/A",IF(Table1[[#This Row],[DUT Adj Read]]="N/A",IF(Table1[[#This Row],[Std Adj Read]]&gt;=Table1[[#This Row],[Low Tol]],"Pass","Fail"),IF(Table1[[#This Row],[DUT Adj Read]]&gt;=Table1[[#This Row],[Low Tol]],"Pass","Fail")))</f>
        <v>Pass</v>
      </c>
      <c r="AG2225" s="1" t="str">
        <f>IF(AND(Table1[[#This Row],[Spec Type2]]="N/A",Table1[[#This Row],[DUT Adj Read]]="N/A",Table1[[#This Row],[Std Adj Read]]="N/A"),"N/A",IF(Table1[[#This Row],[DUT Adj Read]]="N/A",IF(Table1[[#This Row],[Std Adj Read]]&lt;=Table1[[#This Row],[High Tol]],"Pass","Fail"),IF(Table1[[#This Row],[DUT Adj Read]]&lt;=Table1[[#This Row],[High Tol]],"Pass","Fail")))</f>
        <v>Fail</v>
      </c>
      <c r="AH22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5" s="1" t="b">
        <v>0</v>
      </c>
      <c r="AN2225" s="1" t="b">
        <v>0</v>
      </c>
      <c r="AO2225" s="1" t="b">
        <v>0</v>
      </c>
    </row>
    <row r="2226" spans="1:41" x14ac:dyDescent="0.25">
      <c r="A2226" s="10"/>
      <c r="B2226" s="10"/>
      <c r="C2226" s="10"/>
      <c r="D2226" s="10"/>
      <c r="E2226" s="10"/>
      <c r="F2226" s="10"/>
      <c r="G2226" s="10"/>
      <c r="H2226" s="10"/>
      <c r="I2226" s="1" t="str">
        <f t="shared" si="102"/>
        <v/>
      </c>
      <c r="J2226" s="1" t="s">
        <v>35</v>
      </c>
      <c r="K2226" s="1" t="str">
        <f t="shared" si="103"/>
        <v/>
      </c>
      <c r="L2226" s="1" t="str">
        <f t="shared" si="104"/>
        <v/>
      </c>
      <c r="M2226" s="1">
        <f>IF(OR(Table1[[#This Row],[Std Nom]]="",Table1[[#This Row],[Std Read]]=""),0,Table1[[#This Row],[Std Nom]]-Table1[[#This Row],[Std Read]])</f>
        <v>0</v>
      </c>
      <c r="N2226" s="1">
        <f>IF(Calculations!$F$5="ACCREDITED 17025 WITH UNCERTAINTIES",$N$10,0)</f>
        <v>0</v>
      </c>
      <c r="Q2226" s="1">
        <f>Table1[[#This Row],[High Tol]]-Table1[[#This Row],[Low Tol]]</f>
        <v>0</v>
      </c>
      <c r="R2226" s="1">
        <f>2*Table1[[#This Row],[Std Error]]</f>
        <v>0</v>
      </c>
      <c r="S2226" s="1" t="str">
        <f>IF(Table1[[#This Row],[High Tol]]="","N/A",IFERROR(ABS(Table1[[#This Row],[Tol Span]]/Table1[[#This Row],[Error Span]]),"N/A"))</f>
        <v>N/A</v>
      </c>
      <c r="T2226" s="1" t="str">
        <f>IF(OR(Table1[[#This Row],[Low Tol]]="",Table1[[#This Row],[High Tol]]=""),"Needs Analysis",IF(Table1[[#This Row],[Ratio]]&gt;=4,"Not Significant",IF(Table1[[#This Row],[Ratio]]&gt;=2,"Semi-Significant","Significant")))</f>
        <v>Needs Analysis</v>
      </c>
      <c r="W2226" s="1">
        <f>IF(Table1[[#This Row],[Cal Type]]&lt;&gt;"ACCREDITED 17025 WITH UNCERTAINTIES",0,"")</f>
        <v>0</v>
      </c>
      <c r="X2226" s="1" t="str">
        <f>IF(Table1[[#This Row],[DUT Read]]="","N/A",Table1[[#This Row],[Std Error]]+Table1[[#This Row],[DUT Read]]+Table1[[#This Row],[DUT Ucty]])</f>
        <v>N/A</v>
      </c>
      <c r="Y2226" s="1" t="str">
        <f>IF(Table1[[#This Row],[Std Read]]="","N/A",Table1[[#This Row],[Std Read]]+Table1[[#This Row],[Std Ucty]])</f>
        <v>N/A</v>
      </c>
      <c r="Z22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6" s="1" t="str">
        <f>IF(Table1[[#This Row],[Spec Type]]="","N/A",Table1[[#This Row],[Spec Type]])</f>
        <v>±</v>
      </c>
      <c r="AC2226" s="1" t="str">
        <f>IF(Table1[[#This Row],[Spec Type2]]="N/A","N/A",IF(AND(Table1[[#This Row],[DUT Adj Read]]&gt;=Table1[[#This Row],[Low Tol]],Table1[[#This Row],[DUT Adj Read]]&lt;=Table1[[#This Row],[High Tol]]),"Pass","Fail"))</f>
        <v>Fail</v>
      </c>
      <c r="AD2226" s="1" t="str">
        <f>IF(AND(Table1[[#This Row],[Spec Type2]]="N/A",Table1[[#This Row],[DUT Adj Read]]="N/A",Table1[[#This Row],[Std Adj Read]]="N/A"),"N/A",IF(Table1[[#This Row],[DUT Adj Read]]="N/A",IF(Table1[[#This Row],[Std Adj Read]]&gt;Table1[[#This Row],[Low Tol]],"Pass","Fail"),IF(Table1[[#This Row],[DUT Adj Read]]&gt;Table1[[#This Row],[Low Tol]],"Pass","Fail")))</f>
        <v>Pass</v>
      </c>
      <c r="AE2226" s="1" t="str">
        <f>IF(AND(Table1[[#This Row],[Spec Type2]]="N/A",Table1[[#This Row],[DUT Adj Read]]="N/A",Table1[[#This Row],[Std Adj Read]]="N/A"),"N/A",IF(Table1[[#This Row],[DUT Adj Read]]="N/A",IF(Table1[[#This Row],[Std Adj Read]]&lt;Table1[[#This Row],[High Tol]],"Pass","Fail"),IF(Table1[[#This Row],[DUT Adj Read]]&lt;Table1[[#This Row],[High Tol]],"Pass","Fail")))</f>
        <v>Fail</v>
      </c>
      <c r="AF2226" s="1" t="str">
        <f>IF(AND(Table1[[#This Row],[Spec Type2]]="N/A",Table1[[#This Row],[DUT Adj Read]]="N/A",Table1[[#This Row],[Std Adj Read]]="N/A"),"N/A",IF(Table1[[#This Row],[DUT Adj Read]]="N/A",IF(Table1[[#This Row],[Std Adj Read]]&gt;=Table1[[#This Row],[Low Tol]],"Pass","Fail"),IF(Table1[[#This Row],[DUT Adj Read]]&gt;=Table1[[#This Row],[Low Tol]],"Pass","Fail")))</f>
        <v>Pass</v>
      </c>
      <c r="AG2226" s="1" t="str">
        <f>IF(AND(Table1[[#This Row],[Spec Type2]]="N/A",Table1[[#This Row],[DUT Adj Read]]="N/A",Table1[[#This Row],[Std Adj Read]]="N/A"),"N/A",IF(Table1[[#This Row],[DUT Adj Read]]="N/A",IF(Table1[[#This Row],[Std Adj Read]]&lt;=Table1[[#This Row],[High Tol]],"Pass","Fail"),IF(Table1[[#This Row],[DUT Adj Read]]&lt;=Table1[[#This Row],[High Tol]],"Pass","Fail")))</f>
        <v>Fail</v>
      </c>
      <c r="AH22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6" s="1" t="b">
        <v>0</v>
      </c>
      <c r="AN2226" s="1" t="b">
        <v>0</v>
      </c>
      <c r="AO2226" s="1" t="b">
        <v>0</v>
      </c>
    </row>
    <row r="2227" spans="1:41" x14ac:dyDescent="0.25">
      <c r="A2227" s="10"/>
      <c r="B2227" s="10"/>
      <c r="C2227" s="10"/>
      <c r="D2227" s="10"/>
      <c r="E2227" s="10"/>
      <c r="F2227" s="10"/>
      <c r="G2227" s="10"/>
      <c r="H2227" s="10"/>
      <c r="I2227" s="1" t="str">
        <f t="shared" si="102"/>
        <v/>
      </c>
      <c r="J2227" s="1" t="s">
        <v>35</v>
      </c>
      <c r="K2227" s="1" t="str">
        <f t="shared" si="103"/>
        <v/>
      </c>
      <c r="L2227" s="1" t="str">
        <f t="shared" si="104"/>
        <v/>
      </c>
      <c r="M2227" s="1">
        <f>IF(OR(Table1[[#This Row],[Std Nom]]="",Table1[[#This Row],[Std Read]]=""),0,Table1[[#This Row],[Std Nom]]-Table1[[#This Row],[Std Read]])</f>
        <v>0</v>
      </c>
      <c r="N2227" s="1">
        <f>IF(Calculations!$F$5="ACCREDITED 17025 WITH UNCERTAINTIES",$N$10,0)</f>
        <v>0</v>
      </c>
      <c r="Q2227" s="1">
        <f>Table1[[#This Row],[High Tol]]-Table1[[#This Row],[Low Tol]]</f>
        <v>0</v>
      </c>
      <c r="R2227" s="1">
        <f>2*Table1[[#This Row],[Std Error]]</f>
        <v>0</v>
      </c>
      <c r="S2227" s="1" t="str">
        <f>IF(Table1[[#This Row],[High Tol]]="","N/A",IFERROR(ABS(Table1[[#This Row],[Tol Span]]/Table1[[#This Row],[Error Span]]),"N/A"))</f>
        <v>N/A</v>
      </c>
      <c r="T2227" s="1" t="str">
        <f>IF(OR(Table1[[#This Row],[Low Tol]]="",Table1[[#This Row],[High Tol]]=""),"Needs Analysis",IF(Table1[[#This Row],[Ratio]]&gt;=4,"Not Significant",IF(Table1[[#This Row],[Ratio]]&gt;=2,"Semi-Significant","Significant")))</f>
        <v>Needs Analysis</v>
      </c>
      <c r="W2227" s="1">
        <f>IF(Table1[[#This Row],[Cal Type]]&lt;&gt;"ACCREDITED 17025 WITH UNCERTAINTIES",0,"")</f>
        <v>0</v>
      </c>
      <c r="X2227" s="1" t="str">
        <f>IF(Table1[[#This Row],[DUT Read]]="","N/A",Table1[[#This Row],[Std Error]]+Table1[[#This Row],[DUT Read]]+Table1[[#This Row],[DUT Ucty]])</f>
        <v>N/A</v>
      </c>
      <c r="Y2227" s="1" t="str">
        <f>IF(Table1[[#This Row],[Std Read]]="","N/A",Table1[[#This Row],[Std Read]]+Table1[[#This Row],[Std Ucty]])</f>
        <v>N/A</v>
      </c>
      <c r="Z22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7" s="1" t="str">
        <f>IF(Table1[[#This Row],[Spec Type]]="","N/A",Table1[[#This Row],[Spec Type]])</f>
        <v>±</v>
      </c>
      <c r="AC2227" s="1" t="str">
        <f>IF(Table1[[#This Row],[Spec Type2]]="N/A","N/A",IF(AND(Table1[[#This Row],[DUT Adj Read]]&gt;=Table1[[#This Row],[Low Tol]],Table1[[#This Row],[DUT Adj Read]]&lt;=Table1[[#This Row],[High Tol]]),"Pass","Fail"))</f>
        <v>Fail</v>
      </c>
      <c r="AD2227" s="1" t="str">
        <f>IF(AND(Table1[[#This Row],[Spec Type2]]="N/A",Table1[[#This Row],[DUT Adj Read]]="N/A",Table1[[#This Row],[Std Adj Read]]="N/A"),"N/A",IF(Table1[[#This Row],[DUT Adj Read]]="N/A",IF(Table1[[#This Row],[Std Adj Read]]&gt;Table1[[#This Row],[Low Tol]],"Pass","Fail"),IF(Table1[[#This Row],[DUT Adj Read]]&gt;Table1[[#This Row],[Low Tol]],"Pass","Fail")))</f>
        <v>Pass</v>
      </c>
      <c r="AE2227" s="1" t="str">
        <f>IF(AND(Table1[[#This Row],[Spec Type2]]="N/A",Table1[[#This Row],[DUT Adj Read]]="N/A",Table1[[#This Row],[Std Adj Read]]="N/A"),"N/A",IF(Table1[[#This Row],[DUT Adj Read]]="N/A",IF(Table1[[#This Row],[Std Adj Read]]&lt;Table1[[#This Row],[High Tol]],"Pass","Fail"),IF(Table1[[#This Row],[DUT Adj Read]]&lt;Table1[[#This Row],[High Tol]],"Pass","Fail")))</f>
        <v>Fail</v>
      </c>
      <c r="AF2227" s="1" t="str">
        <f>IF(AND(Table1[[#This Row],[Spec Type2]]="N/A",Table1[[#This Row],[DUT Adj Read]]="N/A",Table1[[#This Row],[Std Adj Read]]="N/A"),"N/A",IF(Table1[[#This Row],[DUT Adj Read]]="N/A",IF(Table1[[#This Row],[Std Adj Read]]&gt;=Table1[[#This Row],[Low Tol]],"Pass","Fail"),IF(Table1[[#This Row],[DUT Adj Read]]&gt;=Table1[[#This Row],[Low Tol]],"Pass","Fail")))</f>
        <v>Pass</v>
      </c>
      <c r="AG2227" s="1" t="str">
        <f>IF(AND(Table1[[#This Row],[Spec Type2]]="N/A",Table1[[#This Row],[DUT Adj Read]]="N/A",Table1[[#This Row],[Std Adj Read]]="N/A"),"N/A",IF(Table1[[#This Row],[DUT Adj Read]]="N/A",IF(Table1[[#This Row],[Std Adj Read]]&lt;=Table1[[#This Row],[High Tol]],"Pass","Fail"),IF(Table1[[#This Row],[DUT Adj Read]]&lt;=Table1[[#This Row],[High Tol]],"Pass","Fail")))</f>
        <v>Fail</v>
      </c>
      <c r="AH22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7" s="1" t="b">
        <v>0</v>
      </c>
      <c r="AN2227" s="1" t="b">
        <v>0</v>
      </c>
      <c r="AO2227" s="1" t="b">
        <v>0</v>
      </c>
    </row>
    <row r="2228" spans="1:41" x14ac:dyDescent="0.25">
      <c r="A2228" s="10"/>
      <c r="B2228" s="10"/>
      <c r="C2228" s="10"/>
      <c r="D2228" s="10"/>
      <c r="E2228" s="10"/>
      <c r="F2228" s="10"/>
      <c r="G2228" s="10"/>
      <c r="H2228" s="10"/>
      <c r="I2228" s="1" t="str">
        <f t="shared" si="102"/>
        <v/>
      </c>
      <c r="J2228" s="1" t="s">
        <v>35</v>
      </c>
      <c r="K2228" s="1" t="str">
        <f t="shared" si="103"/>
        <v/>
      </c>
      <c r="L2228" s="1" t="str">
        <f t="shared" si="104"/>
        <v/>
      </c>
      <c r="M2228" s="1">
        <f>IF(OR(Table1[[#This Row],[Std Nom]]="",Table1[[#This Row],[Std Read]]=""),0,Table1[[#This Row],[Std Nom]]-Table1[[#This Row],[Std Read]])</f>
        <v>0</v>
      </c>
      <c r="N2228" s="1">
        <f>IF(Calculations!$F$5="ACCREDITED 17025 WITH UNCERTAINTIES",$N$10,0)</f>
        <v>0</v>
      </c>
      <c r="Q2228" s="1">
        <f>Table1[[#This Row],[High Tol]]-Table1[[#This Row],[Low Tol]]</f>
        <v>0</v>
      </c>
      <c r="R2228" s="1">
        <f>2*Table1[[#This Row],[Std Error]]</f>
        <v>0</v>
      </c>
      <c r="S2228" s="1" t="str">
        <f>IF(Table1[[#This Row],[High Tol]]="","N/A",IFERROR(ABS(Table1[[#This Row],[Tol Span]]/Table1[[#This Row],[Error Span]]),"N/A"))</f>
        <v>N/A</v>
      </c>
      <c r="T2228" s="1" t="str">
        <f>IF(OR(Table1[[#This Row],[Low Tol]]="",Table1[[#This Row],[High Tol]]=""),"Needs Analysis",IF(Table1[[#This Row],[Ratio]]&gt;=4,"Not Significant",IF(Table1[[#This Row],[Ratio]]&gt;=2,"Semi-Significant","Significant")))</f>
        <v>Needs Analysis</v>
      </c>
      <c r="W2228" s="1">
        <f>IF(Table1[[#This Row],[Cal Type]]&lt;&gt;"ACCREDITED 17025 WITH UNCERTAINTIES",0,"")</f>
        <v>0</v>
      </c>
      <c r="X2228" s="1" t="str">
        <f>IF(Table1[[#This Row],[DUT Read]]="","N/A",Table1[[#This Row],[Std Error]]+Table1[[#This Row],[DUT Read]]+Table1[[#This Row],[DUT Ucty]])</f>
        <v>N/A</v>
      </c>
      <c r="Y2228" s="1" t="str">
        <f>IF(Table1[[#This Row],[Std Read]]="","N/A",Table1[[#This Row],[Std Read]]+Table1[[#This Row],[Std Ucty]])</f>
        <v>N/A</v>
      </c>
      <c r="Z22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8" s="1" t="str">
        <f>IF(Table1[[#This Row],[Spec Type]]="","N/A",Table1[[#This Row],[Spec Type]])</f>
        <v>±</v>
      </c>
      <c r="AC2228" s="1" t="str">
        <f>IF(Table1[[#This Row],[Spec Type2]]="N/A","N/A",IF(AND(Table1[[#This Row],[DUT Adj Read]]&gt;=Table1[[#This Row],[Low Tol]],Table1[[#This Row],[DUT Adj Read]]&lt;=Table1[[#This Row],[High Tol]]),"Pass","Fail"))</f>
        <v>Fail</v>
      </c>
      <c r="AD2228" s="1" t="str">
        <f>IF(AND(Table1[[#This Row],[Spec Type2]]="N/A",Table1[[#This Row],[DUT Adj Read]]="N/A",Table1[[#This Row],[Std Adj Read]]="N/A"),"N/A",IF(Table1[[#This Row],[DUT Adj Read]]="N/A",IF(Table1[[#This Row],[Std Adj Read]]&gt;Table1[[#This Row],[Low Tol]],"Pass","Fail"),IF(Table1[[#This Row],[DUT Adj Read]]&gt;Table1[[#This Row],[Low Tol]],"Pass","Fail")))</f>
        <v>Pass</v>
      </c>
      <c r="AE2228" s="1" t="str">
        <f>IF(AND(Table1[[#This Row],[Spec Type2]]="N/A",Table1[[#This Row],[DUT Adj Read]]="N/A",Table1[[#This Row],[Std Adj Read]]="N/A"),"N/A",IF(Table1[[#This Row],[DUT Adj Read]]="N/A",IF(Table1[[#This Row],[Std Adj Read]]&lt;Table1[[#This Row],[High Tol]],"Pass","Fail"),IF(Table1[[#This Row],[DUT Adj Read]]&lt;Table1[[#This Row],[High Tol]],"Pass","Fail")))</f>
        <v>Fail</v>
      </c>
      <c r="AF2228" s="1" t="str">
        <f>IF(AND(Table1[[#This Row],[Spec Type2]]="N/A",Table1[[#This Row],[DUT Adj Read]]="N/A",Table1[[#This Row],[Std Adj Read]]="N/A"),"N/A",IF(Table1[[#This Row],[DUT Adj Read]]="N/A",IF(Table1[[#This Row],[Std Adj Read]]&gt;=Table1[[#This Row],[Low Tol]],"Pass","Fail"),IF(Table1[[#This Row],[DUT Adj Read]]&gt;=Table1[[#This Row],[Low Tol]],"Pass","Fail")))</f>
        <v>Pass</v>
      </c>
      <c r="AG2228" s="1" t="str">
        <f>IF(AND(Table1[[#This Row],[Spec Type2]]="N/A",Table1[[#This Row],[DUT Adj Read]]="N/A",Table1[[#This Row],[Std Adj Read]]="N/A"),"N/A",IF(Table1[[#This Row],[DUT Adj Read]]="N/A",IF(Table1[[#This Row],[Std Adj Read]]&lt;=Table1[[#This Row],[High Tol]],"Pass","Fail"),IF(Table1[[#This Row],[DUT Adj Read]]&lt;=Table1[[#This Row],[High Tol]],"Pass","Fail")))</f>
        <v>Fail</v>
      </c>
      <c r="AH22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8" s="1" t="b">
        <v>0</v>
      </c>
      <c r="AN2228" s="1" t="b">
        <v>0</v>
      </c>
      <c r="AO2228" s="1" t="b">
        <v>0</v>
      </c>
    </row>
    <row r="2229" spans="1:41" x14ac:dyDescent="0.25">
      <c r="A2229" s="10"/>
      <c r="B2229" s="10"/>
      <c r="C2229" s="10"/>
      <c r="D2229" s="10"/>
      <c r="E2229" s="10"/>
      <c r="F2229" s="10"/>
      <c r="G2229" s="10"/>
      <c r="H2229" s="10"/>
      <c r="I2229" s="1" t="str">
        <f t="shared" si="102"/>
        <v/>
      </c>
      <c r="J2229" s="1" t="s">
        <v>35</v>
      </c>
      <c r="K2229" s="1" t="str">
        <f t="shared" si="103"/>
        <v/>
      </c>
      <c r="L2229" s="1" t="str">
        <f t="shared" si="104"/>
        <v/>
      </c>
      <c r="M2229" s="1">
        <f>IF(OR(Table1[[#This Row],[Std Nom]]="",Table1[[#This Row],[Std Read]]=""),0,Table1[[#This Row],[Std Nom]]-Table1[[#This Row],[Std Read]])</f>
        <v>0</v>
      </c>
      <c r="N2229" s="1">
        <f>IF(Calculations!$F$5="ACCREDITED 17025 WITH UNCERTAINTIES",$N$10,0)</f>
        <v>0</v>
      </c>
      <c r="Q2229" s="1">
        <f>Table1[[#This Row],[High Tol]]-Table1[[#This Row],[Low Tol]]</f>
        <v>0</v>
      </c>
      <c r="R2229" s="1">
        <f>2*Table1[[#This Row],[Std Error]]</f>
        <v>0</v>
      </c>
      <c r="S2229" s="1" t="str">
        <f>IF(Table1[[#This Row],[High Tol]]="","N/A",IFERROR(ABS(Table1[[#This Row],[Tol Span]]/Table1[[#This Row],[Error Span]]),"N/A"))</f>
        <v>N/A</v>
      </c>
      <c r="T2229" s="1" t="str">
        <f>IF(OR(Table1[[#This Row],[Low Tol]]="",Table1[[#This Row],[High Tol]]=""),"Needs Analysis",IF(Table1[[#This Row],[Ratio]]&gt;=4,"Not Significant",IF(Table1[[#This Row],[Ratio]]&gt;=2,"Semi-Significant","Significant")))</f>
        <v>Needs Analysis</v>
      </c>
      <c r="W2229" s="1">
        <f>IF(Table1[[#This Row],[Cal Type]]&lt;&gt;"ACCREDITED 17025 WITH UNCERTAINTIES",0,"")</f>
        <v>0</v>
      </c>
      <c r="X2229" s="1" t="str">
        <f>IF(Table1[[#This Row],[DUT Read]]="","N/A",Table1[[#This Row],[Std Error]]+Table1[[#This Row],[DUT Read]]+Table1[[#This Row],[DUT Ucty]])</f>
        <v>N/A</v>
      </c>
      <c r="Y2229" s="1" t="str">
        <f>IF(Table1[[#This Row],[Std Read]]="","N/A",Table1[[#This Row],[Std Read]]+Table1[[#This Row],[Std Ucty]])</f>
        <v>N/A</v>
      </c>
      <c r="Z22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29" s="1" t="str">
        <f>IF(Table1[[#This Row],[Spec Type]]="","N/A",Table1[[#This Row],[Spec Type]])</f>
        <v>±</v>
      </c>
      <c r="AC2229" s="1" t="str">
        <f>IF(Table1[[#This Row],[Spec Type2]]="N/A","N/A",IF(AND(Table1[[#This Row],[DUT Adj Read]]&gt;=Table1[[#This Row],[Low Tol]],Table1[[#This Row],[DUT Adj Read]]&lt;=Table1[[#This Row],[High Tol]]),"Pass","Fail"))</f>
        <v>Fail</v>
      </c>
      <c r="AD2229" s="1" t="str">
        <f>IF(AND(Table1[[#This Row],[Spec Type2]]="N/A",Table1[[#This Row],[DUT Adj Read]]="N/A",Table1[[#This Row],[Std Adj Read]]="N/A"),"N/A",IF(Table1[[#This Row],[DUT Adj Read]]="N/A",IF(Table1[[#This Row],[Std Adj Read]]&gt;Table1[[#This Row],[Low Tol]],"Pass","Fail"),IF(Table1[[#This Row],[DUT Adj Read]]&gt;Table1[[#This Row],[Low Tol]],"Pass","Fail")))</f>
        <v>Pass</v>
      </c>
      <c r="AE2229" s="1" t="str">
        <f>IF(AND(Table1[[#This Row],[Spec Type2]]="N/A",Table1[[#This Row],[DUT Adj Read]]="N/A",Table1[[#This Row],[Std Adj Read]]="N/A"),"N/A",IF(Table1[[#This Row],[DUT Adj Read]]="N/A",IF(Table1[[#This Row],[Std Adj Read]]&lt;Table1[[#This Row],[High Tol]],"Pass","Fail"),IF(Table1[[#This Row],[DUT Adj Read]]&lt;Table1[[#This Row],[High Tol]],"Pass","Fail")))</f>
        <v>Fail</v>
      </c>
      <c r="AF2229" s="1" t="str">
        <f>IF(AND(Table1[[#This Row],[Spec Type2]]="N/A",Table1[[#This Row],[DUT Adj Read]]="N/A",Table1[[#This Row],[Std Adj Read]]="N/A"),"N/A",IF(Table1[[#This Row],[DUT Adj Read]]="N/A",IF(Table1[[#This Row],[Std Adj Read]]&gt;=Table1[[#This Row],[Low Tol]],"Pass","Fail"),IF(Table1[[#This Row],[DUT Adj Read]]&gt;=Table1[[#This Row],[Low Tol]],"Pass","Fail")))</f>
        <v>Pass</v>
      </c>
      <c r="AG2229" s="1" t="str">
        <f>IF(AND(Table1[[#This Row],[Spec Type2]]="N/A",Table1[[#This Row],[DUT Adj Read]]="N/A",Table1[[#This Row],[Std Adj Read]]="N/A"),"N/A",IF(Table1[[#This Row],[DUT Adj Read]]="N/A",IF(Table1[[#This Row],[Std Adj Read]]&lt;=Table1[[#This Row],[High Tol]],"Pass","Fail"),IF(Table1[[#This Row],[DUT Adj Read]]&lt;=Table1[[#This Row],[High Tol]],"Pass","Fail")))</f>
        <v>Fail</v>
      </c>
      <c r="AH22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29" s="1" t="b">
        <v>0</v>
      </c>
      <c r="AN2229" s="1" t="b">
        <v>0</v>
      </c>
      <c r="AO2229" s="1" t="b">
        <v>0</v>
      </c>
    </row>
    <row r="2230" spans="1:41" x14ac:dyDescent="0.25">
      <c r="A2230" s="10"/>
      <c r="B2230" s="10"/>
      <c r="C2230" s="10"/>
      <c r="D2230" s="10"/>
      <c r="E2230" s="10"/>
      <c r="F2230" s="10"/>
      <c r="G2230" s="10"/>
      <c r="H2230" s="10"/>
      <c r="I2230" s="1" t="str">
        <f t="shared" si="102"/>
        <v/>
      </c>
      <c r="J2230" s="1" t="s">
        <v>35</v>
      </c>
      <c r="K2230" s="1" t="str">
        <f t="shared" si="103"/>
        <v/>
      </c>
      <c r="L2230" s="1" t="str">
        <f t="shared" si="104"/>
        <v/>
      </c>
      <c r="M2230" s="1">
        <f>IF(OR(Table1[[#This Row],[Std Nom]]="",Table1[[#This Row],[Std Read]]=""),0,Table1[[#This Row],[Std Nom]]-Table1[[#This Row],[Std Read]])</f>
        <v>0</v>
      </c>
      <c r="N2230" s="1">
        <f>IF(Calculations!$F$5="ACCREDITED 17025 WITH UNCERTAINTIES",$N$10,0)</f>
        <v>0</v>
      </c>
      <c r="Q2230" s="1">
        <f>Table1[[#This Row],[High Tol]]-Table1[[#This Row],[Low Tol]]</f>
        <v>0</v>
      </c>
      <c r="R2230" s="1">
        <f>2*Table1[[#This Row],[Std Error]]</f>
        <v>0</v>
      </c>
      <c r="S2230" s="1" t="str">
        <f>IF(Table1[[#This Row],[High Tol]]="","N/A",IFERROR(ABS(Table1[[#This Row],[Tol Span]]/Table1[[#This Row],[Error Span]]),"N/A"))</f>
        <v>N/A</v>
      </c>
      <c r="T2230" s="1" t="str">
        <f>IF(OR(Table1[[#This Row],[Low Tol]]="",Table1[[#This Row],[High Tol]]=""),"Needs Analysis",IF(Table1[[#This Row],[Ratio]]&gt;=4,"Not Significant",IF(Table1[[#This Row],[Ratio]]&gt;=2,"Semi-Significant","Significant")))</f>
        <v>Needs Analysis</v>
      </c>
      <c r="W2230" s="1">
        <f>IF(Table1[[#This Row],[Cal Type]]&lt;&gt;"ACCREDITED 17025 WITH UNCERTAINTIES",0,"")</f>
        <v>0</v>
      </c>
      <c r="X2230" s="1" t="str">
        <f>IF(Table1[[#This Row],[DUT Read]]="","N/A",Table1[[#This Row],[Std Error]]+Table1[[#This Row],[DUT Read]]+Table1[[#This Row],[DUT Ucty]])</f>
        <v>N/A</v>
      </c>
      <c r="Y2230" s="1" t="str">
        <f>IF(Table1[[#This Row],[Std Read]]="","N/A",Table1[[#This Row],[Std Read]]+Table1[[#This Row],[Std Ucty]])</f>
        <v>N/A</v>
      </c>
      <c r="Z22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0" s="1" t="str">
        <f>IF(Table1[[#This Row],[Spec Type]]="","N/A",Table1[[#This Row],[Spec Type]])</f>
        <v>±</v>
      </c>
      <c r="AC2230" s="1" t="str">
        <f>IF(Table1[[#This Row],[Spec Type2]]="N/A","N/A",IF(AND(Table1[[#This Row],[DUT Adj Read]]&gt;=Table1[[#This Row],[Low Tol]],Table1[[#This Row],[DUT Adj Read]]&lt;=Table1[[#This Row],[High Tol]]),"Pass","Fail"))</f>
        <v>Fail</v>
      </c>
      <c r="AD2230" s="1" t="str">
        <f>IF(AND(Table1[[#This Row],[Spec Type2]]="N/A",Table1[[#This Row],[DUT Adj Read]]="N/A",Table1[[#This Row],[Std Adj Read]]="N/A"),"N/A",IF(Table1[[#This Row],[DUT Adj Read]]="N/A",IF(Table1[[#This Row],[Std Adj Read]]&gt;Table1[[#This Row],[Low Tol]],"Pass","Fail"),IF(Table1[[#This Row],[DUT Adj Read]]&gt;Table1[[#This Row],[Low Tol]],"Pass","Fail")))</f>
        <v>Pass</v>
      </c>
      <c r="AE2230" s="1" t="str">
        <f>IF(AND(Table1[[#This Row],[Spec Type2]]="N/A",Table1[[#This Row],[DUT Adj Read]]="N/A",Table1[[#This Row],[Std Adj Read]]="N/A"),"N/A",IF(Table1[[#This Row],[DUT Adj Read]]="N/A",IF(Table1[[#This Row],[Std Adj Read]]&lt;Table1[[#This Row],[High Tol]],"Pass","Fail"),IF(Table1[[#This Row],[DUT Adj Read]]&lt;Table1[[#This Row],[High Tol]],"Pass","Fail")))</f>
        <v>Fail</v>
      </c>
      <c r="AF2230" s="1" t="str">
        <f>IF(AND(Table1[[#This Row],[Spec Type2]]="N/A",Table1[[#This Row],[DUT Adj Read]]="N/A",Table1[[#This Row],[Std Adj Read]]="N/A"),"N/A",IF(Table1[[#This Row],[DUT Adj Read]]="N/A",IF(Table1[[#This Row],[Std Adj Read]]&gt;=Table1[[#This Row],[Low Tol]],"Pass","Fail"),IF(Table1[[#This Row],[DUT Adj Read]]&gt;=Table1[[#This Row],[Low Tol]],"Pass","Fail")))</f>
        <v>Pass</v>
      </c>
      <c r="AG2230" s="1" t="str">
        <f>IF(AND(Table1[[#This Row],[Spec Type2]]="N/A",Table1[[#This Row],[DUT Adj Read]]="N/A",Table1[[#This Row],[Std Adj Read]]="N/A"),"N/A",IF(Table1[[#This Row],[DUT Adj Read]]="N/A",IF(Table1[[#This Row],[Std Adj Read]]&lt;=Table1[[#This Row],[High Tol]],"Pass","Fail"),IF(Table1[[#This Row],[DUT Adj Read]]&lt;=Table1[[#This Row],[High Tol]],"Pass","Fail")))</f>
        <v>Fail</v>
      </c>
      <c r="AH22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0" s="1" t="b">
        <v>0</v>
      </c>
      <c r="AN2230" s="1" t="b">
        <v>0</v>
      </c>
      <c r="AO2230" s="1" t="b">
        <v>0</v>
      </c>
    </row>
    <row r="2231" spans="1:41" x14ac:dyDescent="0.25">
      <c r="A2231" s="10"/>
      <c r="B2231" s="10"/>
      <c r="C2231" s="10"/>
      <c r="D2231" s="10"/>
      <c r="E2231" s="10"/>
      <c r="F2231" s="10"/>
      <c r="G2231" s="10"/>
      <c r="H2231" s="10"/>
      <c r="I2231" s="1" t="str">
        <f t="shared" si="102"/>
        <v/>
      </c>
      <c r="J2231" s="1" t="s">
        <v>35</v>
      </c>
      <c r="K2231" s="1" t="str">
        <f t="shared" si="103"/>
        <v/>
      </c>
      <c r="L2231" s="1" t="str">
        <f t="shared" si="104"/>
        <v/>
      </c>
      <c r="M2231" s="1">
        <f>IF(OR(Table1[[#This Row],[Std Nom]]="",Table1[[#This Row],[Std Read]]=""),0,Table1[[#This Row],[Std Nom]]-Table1[[#This Row],[Std Read]])</f>
        <v>0</v>
      </c>
      <c r="N2231" s="1">
        <f>IF(Calculations!$F$5="ACCREDITED 17025 WITH UNCERTAINTIES",$N$10,0)</f>
        <v>0</v>
      </c>
      <c r="Q2231" s="1">
        <f>Table1[[#This Row],[High Tol]]-Table1[[#This Row],[Low Tol]]</f>
        <v>0</v>
      </c>
      <c r="R2231" s="1">
        <f>2*Table1[[#This Row],[Std Error]]</f>
        <v>0</v>
      </c>
      <c r="S2231" s="1" t="str">
        <f>IF(Table1[[#This Row],[High Tol]]="","N/A",IFERROR(ABS(Table1[[#This Row],[Tol Span]]/Table1[[#This Row],[Error Span]]),"N/A"))</f>
        <v>N/A</v>
      </c>
      <c r="T2231" s="1" t="str">
        <f>IF(OR(Table1[[#This Row],[Low Tol]]="",Table1[[#This Row],[High Tol]]=""),"Needs Analysis",IF(Table1[[#This Row],[Ratio]]&gt;=4,"Not Significant",IF(Table1[[#This Row],[Ratio]]&gt;=2,"Semi-Significant","Significant")))</f>
        <v>Needs Analysis</v>
      </c>
      <c r="W2231" s="1">
        <f>IF(Table1[[#This Row],[Cal Type]]&lt;&gt;"ACCREDITED 17025 WITH UNCERTAINTIES",0,"")</f>
        <v>0</v>
      </c>
      <c r="X2231" s="1" t="str">
        <f>IF(Table1[[#This Row],[DUT Read]]="","N/A",Table1[[#This Row],[Std Error]]+Table1[[#This Row],[DUT Read]]+Table1[[#This Row],[DUT Ucty]])</f>
        <v>N/A</v>
      </c>
      <c r="Y2231" s="1" t="str">
        <f>IF(Table1[[#This Row],[Std Read]]="","N/A",Table1[[#This Row],[Std Read]]+Table1[[#This Row],[Std Ucty]])</f>
        <v>N/A</v>
      </c>
      <c r="Z22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1" s="1" t="str">
        <f>IF(Table1[[#This Row],[Spec Type]]="","N/A",Table1[[#This Row],[Spec Type]])</f>
        <v>±</v>
      </c>
      <c r="AC2231" s="1" t="str">
        <f>IF(Table1[[#This Row],[Spec Type2]]="N/A","N/A",IF(AND(Table1[[#This Row],[DUT Adj Read]]&gt;=Table1[[#This Row],[Low Tol]],Table1[[#This Row],[DUT Adj Read]]&lt;=Table1[[#This Row],[High Tol]]),"Pass","Fail"))</f>
        <v>Fail</v>
      </c>
      <c r="AD2231" s="1" t="str">
        <f>IF(AND(Table1[[#This Row],[Spec Type2]]="N/A",Table1[[#This Row],[DUT Adj Read]]="N/A",Table1[[#This Row],[Std Adj Read]]="N/A"),"N/A",IF(Table1[[#This Row],[DUT Adj Read]]="N/A",IF(Table1[[#This Row],[Std Adj Read]]&gt;Table1[[#This Row],[Low Tol]],"Pass","Fail"),IF(Table1[[#This Row],[DUT Adj Read]]&gt;Table1[[#This Row],[Low Tol]],"Pass","Fail")))</f>
        <v>Pass</v>
      </c>
      <c r="AE2231" s="1" t="str">
        <f>IF(AND(Table1[[#This Row],[Spec Type2]]="N/A",Table1[[#This Row],[DUT Adj Read]]="N/A",Table1[[#This Row],[Std Adj Read]]="N/A"),"N/A",IF(Table1[[#This Row],[DUT Adj Read]]="N/A",IF(Table1[[#This Row],[Std Adj Read]]&lt;Table1[[#This Row],[High Tol]],"Pass","Fail"),IF(Table1[[#This Row],[DUT Adj Read]]&lt;Table1[[#This Row],[High Tol]],"Pass","Fail")))</f>
        <v>Fail</v>
      </c>
      <c r="AF2231" s="1" t="str">
        <f>IF(AND(Table1[[#This Row],[Spec Type2]]="N/A",Table1[[#This Row],[DUT Adj Read]]="N/A",Table1[[#This Row],[Std Adj Read]]="N/A"),"N/A",IF(Table1[[#This Row],[DUT Adj Read]]="N/A",IF(Table1[[#This Row],[Std Adj Read]]&gt;=Table1[[#This Row],[Low Tol]],"Pass","Fail"),IF(Table1[[#This Row],[DUT Adj Read]]&gt;=Table1[[#This Row],[Low Tol]],"Pass","Fail")))</f>
        <v>Pass</v>
      </c>
      <c r="AG2231" s="1" t="str">
        <f>IF(AND(Table1[[#This Row],[Spec Type2]]="N/A",Table1[[#This Row],[DUT Adj Read]]="N/A",Table1[[#This Row],[Std Adj Read]]="N/A"),"N/A",IF(Table1[[#This Row],[DUT Adj Read]]="N/A",IF(Table1[[#This Row],[Std Adj Read]]&lt;=Table1[[#This Row],[High Tol]],"Pass","Fail"),IF(Table1[[#This Row],[DUT Adj Read]]&lt;=Table1[[#This Row],[High Tol]],"Pass","Fail")))</f>
        <v>Fail</v>
      </c>
      <c r="AH22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1" s="1" t="b">
        <v>0</v>
      </c>
      <c r="AN2231" s="1" t="b">
        <v>0</v>
      </c>
      <c r="AO2231" s="1" t="b">
        <v>0</v>
      </c>
    </row>
    <row r="2232" spans="1:41" x14ac:dyDescent="0.25">
      <c r="A2232" s="10"/>
      <c r="B2232" s="10"/>
      <c r="C2232" s="10"/>
      <c r="D2232" s="10"/>
      <c r="E2232" s="10"/>
      <c r="F2232" s="10"/>
      <c r="G2232" s="10"/>
      <c r="H2232" s="10"/>
      <c r="I2232" s="1" t="str">
        <f t="shared" si="102"/>
        <v/>
      </c>
      <c r="J2232" s="1" t="s">
        <v>35</v>
      </c>
      <c r="K2232" s="1" t="str">
        <f t="shared" si="103"/>
        <v/>
      </c>
      <c r="L2232" s="1" t="str">
        <f t="shared" si="104"/>
        <v/>
      </c>
      <c r="M2232" s="1">
        <f>IF(OR(Table1[[#This Row],[Std Nom]]="",Table1[[#This Row],[Std Read]]=""),0,Table1[[#This Row],[Std Nom]]-Table1[[#This Row],[Std Read]])</f>
        <v>0</v>
      </c>
      <c r="N2232" s="1">
        <f>IF(Calculations!$F$5="ACCREDITED 17025 WITH UNCERTAINTIES",$N$10,0)</f>
        <v>0</v>
      </c>
      <c r="Q2232" s="1">
        <f>Table1[[#This Row],[High Tol]]-Table1[[#This Row],[Low Tol]]</f>
        <v>0</v>
      </c>
      <c r="R2232" s="1">
        <f>2*Table1[[#This Row],[Std Error]]</f>
        <v>0</v>
      </c>
      <c r="S2232" s="1" t="str">
        <f>IF(Table1[[#This Row],[High Tol]]="","N/A",IFERROR(ABS(Table1[[#This Row],[Tol Span]]/Table1[[#This Row],[Error Span]]),"N/A"))</f>
        <v>N/A</v>
      </c>
      <c r="T2232" s="1" t="str">
        <f>IF(OR(Table1[[#This Row],[Low Tol]]="",Table1[[#This Row],[High Tol]]=""),"Needs Analysis",IF(Table1[[#This Row],[Ratio]]&gt;=4,"Not Significant",IF(Table1[[#This Row],[Ratio]]&gt;=2,"Semi-Significant","Significant")))</f>
        <v>Needs Analysis</v>
      </c>
      <c r="W2232" s="1">
        <f>IF(Table1[[#This Row],[Cal Type]]&lt;&gt;"ACCREDITED 17025 WITH UNCERTAINTIES",0,"")</f>
        <v>0</v>
      </c>
      <c r="X2232" s="1" t="str">
        <f>IF(Table1[[#This Row],[DUT Read]]="","N/A",Table1[[#This Row],[Std Error]]+Table1[[#This Row],[DUT Read]]+Table1[[#This Row],[DUT Ucty]])</f>
        <v>N/A</v>
      </c>
      <c r="Y2232" s="1" t="str">
        <f>IF(Table1[[#This Row],[Std Read]]="","N/A",Table1[[#This Row],[Std Read]]+Table1[[#This Row],[Std Ucty]])</f>
        <v>N/A</v>
      </c>
      <c r="Z22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2" s="1" t="str">
        <f>IF(Table1[[#This Row],[Spec Type]]="","N/A",Table1[[#This Row],[Spec Type]])</f>
        <v>±</v>
      </c>
      <c r="AC2232" s="1" t="str">
        <f>IF(Table1[[#This Row],[Spec Type2]]="N/A","N/A",IF(AND(Table1[[#This Row],[DUT Adj Read]]&gt;=Table1[[#This Row],[Low Tol]],Table1[[#This Row],[DUT Adj Read]]&lt;=Table1[[#This Row],[High Tol]]),"Pass","Fail"))</f>
        <v>Fail</v>
      </c>
      <c r="AD2232" s="1" t="str">
        <f>IF(AND(Table1[[#This Row],[Spec Type2]]="N/A",Table1[[#This Row],[DUT Adj Read]]="N/A",Table1[[#This Row],[Std Adj Read]]="N/A"),"N/A",IF(Table1[[#This Row],[DUT Adj Read]]="N/A",IF(Table1[[#This Row],[Std Adj Read]]&gt;Table1[[#This Row],[Low Tol]],"Pass","Fail"),IF(Table1[[#This Row],[DUT Adj Read]]&gt;Table1[[#This Row],[Low Tol]],"Pass","Fail")))</f>
        <v>Pass</v>
      </c>
      <c r="AE2232" s="1" t="str">
        <f>IF(AND(Table1[[#This Row],[Spec Type2]]="N/A",Table1[[#This Row],[DUT Adj Read]]="N/A",Table1[[#This Row],[Std Adj Read]]="N/A"),"N/A",IF(Table1[[#This Row],[DUT Adj Read]]="N/A",IF(Table1[[#This Row],[Std Adj Read]]&lt;Table1[[#This Row],[High Tol]],"Pass","Fail"),IF(Table1[[#This Row],[DUT Adj Read]]&lt;Table1[[#This Row],[High Tol]],"Pass","Fail")))</f>
        <v>Fail</v>
      </c>
      <c r="AF2232" s="1" t="str">
        <f>IF(AND(Table1[[#This Row],[Spec Type2]]="N/A",Table1[[#This Row],[DUT Adj Read]]="N/A",Table1[[#This Row],[Std Adj Read]]="N/A"),"N/A",IF(Table1[[#This Row],[DUT Adj Read]]="N/A",IF(Table1[[#This Row],[Std Adj Read]]&gt;=Table1[[#This Row],[Low Tol]],"Pass","Fail"),IF(Table1[[#This Row],[DUT Adj Read]]&gt;=Table1[[#This Row],[Low Tol]],"Pass","Fail")))</f>
        <v>Pass</v>
      </c>
      <c r="AG2232" s="1" t="str">
        <f>IF(AND(Table1[[#This Row],[Spec Type2]]="N/A",Table1[[#This Row],[DUT Adj Read]]="N/A",Table1[[#This Row],[Std Adj Read]]="N/A"),"N/A",IF(Table1[[#This Row],[DUT Adj Read]]="N/A",IF(Table1[[#This Row],[Std Adj Read]]&lt;=Table1[[#This Row],[High Tol]],"Pass","Fail"),IF(Table1[[#This Row],[DUT Adj Read]]&lt;=Table1[[#This Row],[High Tol]],"Pass","Fail")))</f>
        <v>Fail</v>
      </c>
      <c r="AH22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2" s="1" t="b">
        <v>0</v>
      </c>
      <c r="AN2232" s="1" t="b">
        <v>0</v>
      </c>
      <c r="AO2232" s="1" t="b">
        <v>0</v>
      </c>
    </row>
    <row r="2233" spans="1:41" x14ac:dyDescent="0.25">
      <c r="A2233" s="10"/>
      <c r="B2233" s="10"/>
      <c r="C2233" s="10"/>
      <c r="D2233" s="10"/>
      <c r="E2233" s="10"/>
      <c r="F2233" s="10"/>
      <c r="G2233" s="10"/>
      <c r="H2233" s="10"/>
      <c r="I2233" s="1" t="str">
        <f t="shared" si="102"/>
        <v/>
      </c>
      <c r="J2233" s="1" t="s">
        <v>35</v>
      </c>
      <c r="K2233" s="1" t="str">
        <f t="shared" si="103"/>
        <v/>
      </c>
      <c r="L2233" s="1" t="str">
        <f t="shared" si="104"/>
        <v/>
      </c>
      <c r="M2233" s="1">
        <f>IF(OR(Table1[[#This Row],[Std Nom]]="",Table1[[#This Row],[Std Read]]=""),0,Table1[[#This Row],[Std Nom]]-Table1[[#This Row],[Std Read]])</f>
        <v>0</v>
      </c>
      <c r="N2233" s="1">
        <f>IF(Calculations!$F$5="ACCREDITED 17025 WITH UNCERTAINTIES",$N$10,0)</f>
        <v>0</v>
      </c>
      <c r="Q2233" s="1">
        <f>Table1[[#This Row],[High Tol]]-Table1[[#This Row],[Low Tol]]</f>
        <v>0</v>
      </c>
      <c r="R2233" s="1">
        <f>2*Table1[[#This Row],[Std Error]]</f>
        <v>0</v>
      </c>
      <c r="S2233" s="1" t="str">
        <f>IF(Table1[[#This Row],[High Tol]]="","N/A",IFERROR(ABS(Table1[[#This Row],[Tol Span]]/Table1[[#This Row],[Error Span]]),"N/A"))</f>
        <v>N/A</v>
      </c>
      <c r="T2233" s="1" t="str">
        <f>IF(OR(Table1[[#This Row],[Low Tol]]="",Table1[[#This Row],[High Tol]]=""),"Needs Analysis",IF(Table1[[#This Row],[Ratio]]&gt;=4,"Not Significant",IF(Table1[[#This Row],[Ratio]]&gt;=2,"Semi-Significant","Significant")))</f>
        <v>Needs Analysis</v>
      </c>
      <c r="W2233" s="1">
        <f>IF(Table1[[#This Row],[Cal Type]]&lt;&gt;"ACCREDITED 17025 WITH UNCERTAINTIES",0,"")</f>
        <v>0</v>
      </c>
      <c r="X2233" s="1" t="str">
        <f>IF(Table1[[#This Row],[DUT Read]]="","N/A",Table1[[#This Row],[Std Error]]+Table1[[#This Row],[DUT Read]]+Table1[[#This Row],[DUT Ucty]])</f>
        <v>N/A</v>
      </c>
      <c r="Y2233" s="1" t="str">
        <f>IF(Table1[[#This Row],[Std Read]]="","N/A",Table1[[#This Row],[Std Read]]+Table1[[#This Row],[Std Ucty]])</f>
        <v>N/A</v>
      </c>
      <c r="Z22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3" s="1" t="str">
        <f>IF(Table1[[#This Row],[Spec Type]]="","N/A",Table1[[#This Row],[Spec Type]])</f>
        <v>±</v>
      </c>
      <c r="AC2233" s="1" t="str">
        <f>IF(Table1[[#This Row],[Spec Type2]]="N/A","N/A",IF(AND(Table1[[#This Row],[DUT Adj Read]]&gt;=Table1[[#This Row],[Low Tol]],Table1[[#This Row],[DUT Adj Read]]&lt;=Table1[[#This Row],[High Tol]]),"Pass","Fail"))</f>
        <v>Fail</v>
      </c>
      <c r="AD2233" s="1" t="str">
        <f>IF(AND(Table1[[#This Row],[Spec Type2]]="N/A",Table1[[#This Row],[DUT Adj Read]]="N/A",Table1[[#This Row],[Std Adj Read]]="N/A"),"N/A",IF(Table1[[#This Row],[DUT Adj Read]]="N/A",IF(Table1[[#This Row],[Std Adj Read]]&gt;Table1[[#This Row],[Low Tol]],"Pass","Fail"),IF(Table1[[#This Row],[DUT Adj Read]]&gt;Table1[[#This Row],[Low Tol]],"Pass","Fail")))</f>
        <v>Pass</v>
      </c>
      <c r="AE2233" s="1" t="str">
        <f>IF(AND(Table1[[#This Row],[Spec Type2]]="N/A",Table1[[#This Row],[DUT Adj Read]]="N/A",Table1[[#This Row],[Std Adj Read]]="N/A"),"N/A",IF(Table1[[#This Row],[DUT Adj Read]]="N/A",IF(Table1[[#This Row],[Std Adj Read]]&lt;Table1[[#This Row],[High Tol]],"Pass","Fail"),IF(Table1[[#This Row],[DUT Adj Read]]&lt;Table1[[#This Row],[High Tol]],"Pass","Fail")))</f>
        <v>Fail</v>
      </c>
      <c r="AF2233" s="1" t="str">
        <f>IF(AND(Table1[[#This Row],[Spec Type2]]="N/A",Table1[[#This Row],[DUT Adj Read]]="N/A",Table1[[#This Row],[Std Adj Read]]="N/A"),"N/A",IF(Table1[[#This Row],[DUT Adj Read]]="N/A",IF(Table1[[#This Row],[Std Adj Read]]&gt;=Table1[[#This Row],[Low Tol]],"Pass","Fail"),IF(Table1[[#This Row],[DUT Adj Read]]&gt;=Table1[[#This Row],[Low Tol]],"Pass","Fail")))</f>
        <v>Pass</v>
      </c>
      <c r="AG2233" s="1" t="str">
        <f>IF(AND(Table1[[#This Row],[Spec Type2]]="N/A",Table1[[#This Row],[DUT Adj Read]]="N/A",Table1[[#This Row],[Std Adj Read]]="N/A"),"N/A",IF(Table1[[#This Row],[DUT Adj Read]]="N/A",IF(Table1[[#This Row],[Std Adj Read]]&lt;=Table1[[#This Row],[High Tol]],"Pass","Fail"),IF(Table1[[#This Row],[DUT Adj Read]]&lt;=Table1[[#This Row],[High Tol]],"Pass","Fail")))</f>
        <v>Fail</v>
      </c>
      <c r="AH22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3" s="1" t="b">
        <v>0</v>
      </c>
      <c r="AN2233" s="1" t="b">
        <v>0</v>
      </c>
      <c r="AO2233" s="1" t="b">
        <v>0</v>
      </c>
    </row>
    <row r="2234" spans="1:41" x14ac:dyDescent="0.25">
      <c r="A2234" s="10"/>
      <c r="B2234" s="10"/>
      <c r="C2234" s="10"/>
      <c r="D2234" s="10"/>
      <c r="E2234" s="10"/>
      <c r="F2234" s="10"/>
      <c r="G2234" s="10"/>
      <c r="H2234" s="10"/>
      <c r="I2234" s="1" t="str">
        <f t="shared" si="102"/>
        <v/>
      </c>
      <c r="J2234" s="1" t="s">
        <v>35</v>
      </c>
      <c r="K2234" s="1" t="str">
        <f t="shared" si="103"/>
        <v/>
      </c>
      <c r="L2234" s="1" t="str">
        <f t="shared" si="104"/>
        <v/>
      </c>
      <c r="M2234" s="1">
        <f>IF(OR(Table1[[#This Row],[Std Nom]]="",Table1[[#This Row],[Std Read]]=""),0,Table1[[#This Row],[Std Nom]]-Table1[[#This Row],[Std Read]])</f>
        <v>0</v>
      </c>
      <c r="N2234" s="1">
        <f>IF(Calculations!$F$5="ACCREDITED 17025 WITH UNCERTAINTIES",$N$10,0)</f>
        <v>0</v>
      </c>
      <c r="Q2234" s="1">
        <f>Table1[[#This Row],[High Tol]]-Table1[[#This Row],[Low Tol]]</f>
        <v>0</v>
      </c>
      <c r="R2234" s="1">
        <f>2*Table1[[#This Row],[Std Error]]</f>
        <v>0</v>
      </c>
      <c r="S2234" s="1" t="str">
        <f>IF(Table1[[#This Row],[High Tol]]="","N/A",IFERROR(ABS(Table1[[#This Row],[Tol Span]]/Table1[[#This Row],[Error Span]]),"N/A"))</f>
        <v>N/A</v>
      </c>
      <c r="T2234" s="1" t="str">
        <f>IF(OR(Table1[[#This Row],[Low Tol]]="",Table1[[#This Row],[High Tol]]=""),"Needs Analysis",IF(Table1[[#This Row],[Ratio]]&gt;=4,"Not Significant",IF(Table1[[#This Row],[Ratio]]&gt;=2,"Semi-Significant","Significant")))</f>
        <v>Needs Analysis</v>
      </c>
      <c r="W2234" s="1">
        <f>IF(Table1[[#This Row],[Cal Type]]&lt;&gt;"ACCREDITED 17025 WITH UNCERTAINTIES",0,"")</f>
        <v>0</v>
      </c>
      <c r="X2234" s="1" t="str">
        <f>IF(Table1[[#This Row],[DUT Read]]="","N/A",Table1[[#This Row],[Std Error]]+Table1[[#This Row],[DUT Read]]+Table1[[#This Row],[DUT Ucty]])</f>
        <v>N/A</v>
      </c>
      <c r="Y2234" s="1" t="str">
        <f>IF(Table1[[#This Row],[Std Read]]="","N/A",Table1[[#This Row],[Std Read]]+Table1[[#This Row],[Std Ucty]])</f>
        <v>N/A</v>
      </c>
      <c r="Z22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4" s="1" t="str">
        <f>IF(Table1[[#This Row],[Spec Type]]="","N/A",Table1[[#This Row],[Spec Type]])</f>
        <v>±</v>
      </c>
      <c r="AC2234" s="1" t="str">
        <f>IF(Table1[[#This Row],[Spec Type2]]="N/A","N/A",IF(AND(Table1[[#This Row],[DUT Adj Read]]&gt;=Table1[[#This Row],[Low Tol]],Table1[[#This Row],[DUT Adj Read]]&lt;=Table1[[#This Row],[High Tol]]),"Pass","Fail"))</f>
        <v>Fail</v>
      </c>
      <c r="AD2234" s="1" t="str">
        <f>IF(AND(Table1[[#This Row],[Spec Type2]]="N/A",Table1[[#This Row],[DUT Adj Read]]="N/A",Table1[[#This Row],[Std Adj Read]]="N/A"),"N/A",IF(Table1[[#This Row],[DUT Adj Read]]="N/A",IF(Table1[[#This Row],[Std Adj Read]]&gt;Table1[[#This Row],[Low Tol]],"Pass","Fail"),IF(Table1[[#This Row],[DUT Adj Read]]&gt;Table1[[#This Row],[Low Tol]],"Pass","Fail")))</f>
        <v>Pass</v>
      </c>
      <c r="AE2234" s="1" t="str">
        <f>IF(AND(Table1[[#This Row],[Spec Type2]]="N/A",Table1[[#This Row],[DUT Adj Read]]="N/A",Table1[[#This Row],[Std Adj Read]]="N/A"),"N/A",IF(Table1[[#This Row],[DUT Adj Read]]="N/A",IF(Table1[[#This Row],[Std Adj Read]]&lt;Table1[[#This Row],[High Tol]],"Pass","Fail"),IF(Table1[[#This Row],[DUT Adj Read]]&lt;Table1[[#This Row],[High Tol]],"Pass","Fail")))</f>
        <v>Fail</v>
      </c>
      <c r="AF2234" s="1" t="str">
        <f>IF(AND(Table1[[#This Row],[Spec Type2]]="N/A",Table1[[#This Row],[DUT Adj Read]]="N/A",Table1[[#This Row],[Std Adj Read]]="N/A"),"N/A",IF(Table1[[#This Row],[DUT Adj Read]]="N/A",IF(Table1[[#This Row],[Std Adj Read]]&gt;=Table1[[#This Row],[Low Tol]],"Pass","Fail"),IF(Table1[[#This Row],[DUT Adj Read]]&gt;=Table1[[#This Row],[Low Tol]],"Pass","Fail")))</f>
        <v>Pass</v>
      </c>
      <c r="AG2234" s="1" t="str">
        <f>IF(AND(Table1[[#This Row],[Spec Type2]]="N/A",Table1[[#This Row],[DUT Adj Read]]="N/A",Table1[[#This Row],[Std Adj Read]]="N/A"),"N/A",IF(Table1[[#This Row],[DUT Adj Read]]="N/A",IF(Table1[[#This Row],[Std Adj Read]]&lt;=Table1[[#This Row],[High Tol]],"Pass","Fail"),IF(Table1[[#This Row],[DUT Adj Read]]&lt;=Table1[[#This Row],[High Tol]],"Pass","Fail")))</f>
        <v>Fail</v>
      </c>
      <c r="AH22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4" s="1" t="b">
        <v>0</v>
      </c>
      <c r="AN2234" s="1" t="b">
        <v>0</v>
      </c>
      <c r="AO2234" s="1" t="b">
        <v>0</v>
      </c>
    </row>
    <row r="2235" spans="1:41" x14ac:dyDescent="0.25">
      <c r="A2235" s="10"/>
      <c r="B2235" s="10"/>
      <c r="C2235" s="10"/>
      <c r="D2235" s="10"/>
      <c r="E2235" s="10"/>
      <c r="F2235" s="10"/>
      <c r="G2235" s="10"/>
      <c r="H2235" s="10"/>
      <c r="I2235" s="1" t="str">
        <f t="shared" si="102"/>
        <v/>
      </c>
      <c r="J2235" s="1" t="s">
        <v>35</v>
      </c>
      <c r="K2235" s="1" t="str">
        <f t="shared" si="103"/>
        <v/>
      </c>
      <c r="L2235" s="1" t="str">
        <f t="shared" si="104"/>
        <v/>
      </c>
      <c r="M2235" s="1">
        <f>IF(OR(Table1[[#This Row],[Std Nom]]="",Table1[[#This Row],[Std Read]]=""),0,Table1[[#This Row],[Std Nom]]-Table1[[#This Row],[Std Read]])</f>
        <v>0</v>
      </c>
      <c r="N2235" s="1">
        <f>IF(Calculations!$F$5="ACCREDITED 17025 WITH UNCERTAINTIES",$N$10,0)</f>
        <v>0</v>
      </c>
      <c r="Q2235" s="1">
        <f>Table1[[#This Row],[High Tol]]-Table1[[#This Row],[Low Tol]]</f>
        <v>0</v>
      </c>
      <c r="R2235" s="1">
        <f>2*Table1[[#This Row],[Std Error]]</f>
        <v>0</v>
      </c>
      <c r="S2235" s="1" t="str">
        <f>IF(Table1[[#This Row],[High Tol]]="","N/A",IFERROR(ABS(Table1[[#This Row],[Tol Span]]/Table1[[#This Row],[Error Span]]),"N/A"))</f>
        <v>N/A</v>
      </c>
      <c r="T2235" s="1" t="str">
        <f>IF(OR(Table1[[#This Row],[Low Tol]]="",Table1[[#This Row],[High Tol]]=""),"Needs Analysis",IF(Table1[[#This Row],[Ratio]]&gt;=4,"Not Significant",IF(Table1[[#This Row],[Ratio]]&gt;=2,"Semi-Significant","Significant")))</f>
        <v>Needs Analysis</v>
      </c>
      <c r="W2235" s="1">
        <f>IF(Table1[[#This Row],[Cal Type]]&lt;&gt;"ACCREDITED 17025 WITH UNCERTAINTIES",0,"")</f>
        <v>0</v>
      </c>
      <c r="X2235" s="1" t="str">
        <f>IF(Table1[[#This Row],[DUT Read]]="","N/A",Table1[[#This Row],[Std Error]]+Table1[[#This Row],[DUT Read]]+Table1[[#This Row],[DUT Ucty]])</f>
        <v>N/A</v>
      </c>
      <c r="Y2235" s="1" t="str">
        <f>IF(Table1[[#This Row],[Std Read]]="","N/A",Table1[[#This Row],[Std Read]]+Table1[[#This Row],[Std Ucty]])</f>
        <v>N/A</v>
      </c>
      <c r="Z22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5" s="1" t="str">
        <f>IF(Table1[[#This Row],[Spec Type]]="","N/A",Table1[[#This Row],[Spec Type]])</f>
        <v>±</v>
      </c>
      <c r="AC2235" s="1" t="str">
        <f>IF(Table1[[#This Row],[Spec Type2]]="N/A","N/A",IF(AND(Table1[[#This Row],[DUT Adj Read]]&gt;=Table1[[#This Row],[Low Tol]],Table1[[#This Row],[DUT Adj Read]]&lt;=Table1[[#This Row],[High Tol]]),"Pass","Fail"))</f>
        <v>Fail</v>
      </c>
      <c r="AD2235" s="1" t="str">
        <f>IF(AND(Table1[[#This Row],[Spec Type2]]="N/A",Table1[[#This Row],[DUT Adj Read]]="N/A",Table1[[#This Row],[Std Adj Read]]="N/A"),"N/A",IF(Table1[[#This Row],[DUT Adj Read]]="N/A",IF(Table1[[#This Row],[Std Adj Read]]&gt;Table1[[#This Row],[Low Tol]],"Pass","Fail"),IF(Table1[[#This Row],[DUT Adj Read]]&gt;Table1[[#This Row],[Low Tol]],"Pass","Fail")))</f>
        <v>Pass</v>
      </c>
      <c r="AE2235" s="1" t="str">
        <f>IF(AND(Table1[[#This Row],[Spec Type2]]="N/A",Table1[[#This Row],[DUT Adj Read]]="N/A",Table1[[#This Row],[Std Adj Read]]="N/A"),"N/A",IF(Table1[[#This Row],[DUT Adj Read]]="N/A",IF(Table1[[#This Row],[Std Adj Read]]&lt;Table1[[#This Row],[High Tol]],"Pass","Fail"),IF(Table1[[#This Row],[DUT Adj Read]]&lt;Table1[[#This Row],[High Tol]],"Pass","Fail")))</f>
        <v>Fail</v>
      </c>
      <c r="AF2235" s="1" t="str">
        <f>IF(AND(Table1[[#This Row],[Spec Type2]]="N/A",Table1[[#This Row],[DUT Adj Read]]="N/A",Table1[[#This Row],[Std Adj Read]]="N/A"),"N/A",IF(Table1[[#This Row],[DUT Adj Read]]="N/A",IF(Table1[[#This Row],[Std Adj Read]]&gt;=Table1[[#This Row],[Low Tol]],"Pass","Fail"),IF(Table1[[#This Row],[DUT Adj Read]]&gt;=Table1[[#This Row],[Low Tol]],"Pass","Fail")))</f>
        <v>Pass</v>
      </c>
      <c r="AG2235" s="1" t="str">
        <f>IF(AND(Table1[[#This Row],[Spec Type2]]="N/A",Table1[[#This Row],[DUT Adj Read]]="N/A",Table1[[#This Row],[Std Adj Read]]="N/A"),"N/A",IF(Table1[[#This Row],[DUT Adj Read]]="N/A",IF(Table1[[#This Row],[Std Adj Read]]&lt;=Table1[[#This Row],[High Tol]],"Pass","Fail"),IF(Table1[[#This Row],[DUT Adj Read]]&lt;=Table1[[#This Row],[High Tol]],"Pass","Fail")))</f>
        <v>Fail</v>
      </c>
      <c r="AH22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5" s="1" t="b">
        <v>0</v>
      </c>
      <c r="AN2235" s="1" t="b">
        <v>0</v>
      </c>
      <c r="AO2235" s="1" t="b">
        <v>0</v>
      </c>
    </row>
    <row r="2236" spans="1:41" x14ac:dyDescent="0.25">
      <c r="A2236" s="10"/>
      <c r="B2236" s="10"/>
      <c r="C2236" s="10"/>
      <c r="D2236" s="10"/>
      <c r="E2236" s="10"/>
      <c r="F2236" s="10"/>
      <c r="G2236" s="10"/>
      <c r="H2236" s="10"/>
      <c r="I2236" s="1" t="str">
        <f t="shared" si="102"/>
        <v/>
      </c>
      <c r="J2236" s="1" t="s">
        <v>35</v>
      </c>
      <c r="K2236" s="1" t="str">
        <f t="shared" si="103"/>
        <v/>
      </c>
      <c r="L2236" s="1" t="str">
        <f t="shared" si="104"/>
        <v/>
      </c>
      <c r="M2236" s="1">
        <f>IF(OR(Table1[[#This Row],[Std Nom]]="",Table1[[#This Row],[Std Read]]=""),0,Table1[[#This Row],[Std Nom]]-Table1[[#This Row],[Std Read]])</f>
        <v>0</v>
      </c>
      <c r="N2236" s="1">
        <f>IF(Calculations!$F$5="ACCREDITED 17025 WITH UNCERTAINTIES",$N$10,0)</f>
        <v>0</v>
      </c>
      <c r="Q2236" s="1">
        <f>Table1[[#This Row],[High Tol]]-Table1[[#This Row],[Low Tol]]</f>
        <v>0</v>
      </c>
      <c r="R2236" s="1">
        <f>2*Table1[[#This Row],[Std Error]]</f>
        <v>0</v>
      </c>
      <c r="S2236" s="1" t="str">
        <f>IF(Table1[[#This Row],[High Tol]]="","N/A",IFERROR(ABS(Table1[[#This Row],[Tol Span]]/Table1[[#This Row],[Error Span]]),"N/A"))</f>
        <v>N/A</v>
      </c>
      <c r="T2236" s="1" t="str">
        <f>IF(OR(Table1[[#This Row],[Low Tol]]="",Table1[[#This Row],[High Tol]]=""),"Needs Analysis",IF(Table1[[#This Row],[Ratio]]&gt;=4,"Not Significant",IF(Table1[[#This Row],[Ratio]]&gt;=2,"Semi-Significant","Significant")))</f>
        <v>Needs Analysis</v>
      </c>
      <c r="W2236" s="1">
        <f>IF(Table1[[#This Row],[Cal Type]]&lt;&gt;"ACCREDITED 17025 WITH UNCERTAINTIES",0,"")</f>
        <v>0</v>
      </c>
      <c r="X2236" s="1" t="str">
        <f>IF(Table1[[#This Row],[DUT Read]]="","N/A",Table1[[#This Row],[Std Error]]+Table1[[#This Row],[DUT Read]]+Table1[[#This Row],[DUT Ucty]])</f>
        <v>N/A</v>
      </c>
      <c r="Y2236" s="1" t="str">
        <f>IF(Table1[[#This Row],[Std Read]]="","N/A",Table1[[#This Row],[Std Read]]+Table1[[#This Row],[Std Ucty]])</f>
        <v>N/A</v>
      </c>
      <c r="Z22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6" s="1" t="str">
        <f>IF(Table1[[#This Row],[Spec Type]]="","N/A",Table1[[#This Row],[Spec Type]])</f>
        <v>±</v>
      </c>
      <c r="AC2236" s="1" t="str">
        <f>IF(Table1[[#This Row],[Spec Type2]]="N/A","N/A",IF(AND(Table1[[#This Row],[DUT Adj Read]]&gt;=Table1[[#This Row],[Low Tol]],Table1[[#This Row],[DUT Adj Read]]&lt;=Table1[[#This Row],[High Tol]]),"Pass","Fail"))</f>
        <v>Fail</v>
      </c>
      <c r="AD2236" s="1" t="str">
        <f>IF(AND(Table1[[#This Row],[Spec Type2]]="N/A",Table1[[#This Row],[DUT Adj Read]]="N/A",Table1[[#This Row],[Std Adj Read]]="N/A"),"N/A",IF(Table1[[#This Row],[DUT Adj Read]]="N/A",IF(Table1[[#This Row],[Std Adj Read]]&gt;Table1[[#This Row],[Low Tol]],"Pass","Fail"),IF(Table1[[#This Row],[DUT Adj Read]]&gt;Table1[[#This Row],[Low Tol]],"Pass","Fail")))</f>
        <v>Pass</v>
      </c>
      <c r="AE2236" s="1" t="str">
        <f>IF(AND(Table1[[#This Row],[Spec Type2]]="N/A",Table1[[#This Row],[DUT Adj Read]]="N/A",Table1[[#This Row],[Std Adj Read]]="N/A"),"N/A",IF(Table1[[#This Row],[DUT Adj Read]]="N/A",IF(Table1[[#This Row],[Std Adj Read]]&lt;Table1[[#This Row],[High Tol]],"Pass","Fail"),IF(Table1[[#This Row],[DUT Adj Read]]&lt;Table1[[#This Row],[High Tol]],"Pass","Fail")))</f>
        <v>Fail</v>
      </c>
      <c r="AF2236" s="1" t="str">
        <f>IF(AND(Table1[[#This Row],[Spec Type2]]="N/A",Table1[[#This Row],[DUT Adj Read]]="N/A",Table1[[#This Row],[Std Adj Read]]="N/A"),"N/A",IF(Table1[[#This Row],[DUT Adj Read]]="N/A",IF(Table1[[#This Row],[Std Adj Read]]&gt;=Table1[[#This Row],[Low Tol]],"Pass","Fail"),IF(Table1[[#This Row],[DUT Adj Read]]&gt;=Table1[[#This Row],[Low Tol]],"Pass","Fail")))</f>
        <v>Pass</v>
      </c>
      <c r="AG2236" s="1" t="str">
        <f>IF(AND(Table1[[#This Row],[Spec Type2]]="N/A",Table1[[#This Row],[DUT Adj Read]]="N/A",Table1[[#This Row],[Std Adj Read]]="N/A"),"N/A",IF(Table1[[#This Row],[DUT Adj Read]]="N/A",IF(Table1[[#This Row],[Std Adj Read]]&lt;=Table1[[#This Row],[High Tol]],"Pass","Fail"),IF(Table1[[#This Row],[DUT Adj Read]]&lt;=Table1[[#This Row],[High Tol]],"Pass","Fail")))</f>
        <v>Fail</v>
      </c>
      <c r="AH22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6" s="1" t="b">
        <v>0</v>
      </c>
      <c r="AN2236" s="1" t="b">
        <v>0</v>
      </c>
      <c r="AO2236" s="1" t="b">
        <v>0</v>
      </c>
    </row>
    <row r="2237" spans="1:41" x14ac:dyDescent="0.25">
      <c r="A2237" s="10"/>
      <c r="B2237" s="10"/>
      <c r="C2237" s="10"/>
      <c r="D2237" s="10"/>
      <c r="E2237" s="10"/>
      <c r="F2237" s="10"/>
      <c r="G2237" s="10"/>
      <c r="H2237" s="10"/>
      <c r="I2237" s="1" t="str">
        <f t="shared" si="102"/>
        <v/>
      </c>
      <c r="J2237" s="1" t="s">
        <v>35</v>
      </c>
      <c r="K2237" s="1" t="str">
        <f t="shared" si="103"/>
        <v/>
      </c>
      <c r="L2237" s="1" t="str">
        <f t="shared" si="104"/>
        <v/>
      </c>
      <c r="M2237" s="1">
        <f>IF(OR(Table1[[#This Row],[Std Nom]]="",Table1[[#This Row],[Std Read]]=""),0,Table1[[#This Row],[Std Nom]]-Table1[[#This Row],[Std Read]])</f>
        <v>0</v>
      </c>
      <c r="N2237" s="1">
        <f>IF(Calculations!$F$5="ACCREDITED 17025 WITH UNCERTAINTIES",$N$10,0)</f>
        <v>0</v>
      </c>
      <c r="Q2237" s="1">
        <f>Table1[[#This Row],[High Tol]]-Table1[[#This Row],[Low Tol]]</f>
        <v>0</v>
      </c>
      <c r="R2237" s="1">
        <f>2*Table1[[#This Row],[Std Error]]</f>
        <v>0</v>
      </c>
      <c r="S2237" s="1" t="str">
        <f>IF(Table1[[#This Row],[High Tol]]="","N/A",IFERROR(ABS(Table1[[#This Row],[Tol Span]]/Table1[[#This Row],[Error Span]]),"N/A"))</f>
        <v>N/A</v>
      </c>
      <c r="T2237" s="1" t="str">
        <f>IF(OR(Table1[[#This Row],[Low Tol]]="",Table1[[#This Row],[High Tol]]=""),"Needs Analysis",IF(Table1[[#This Row],[Ratio]]&gt;=4,"Not Significant",IF(Table1[[#This Row],[Ratio]]&gt;=2,"Semi-Significant","Significant")))</f>
        <v>Needs Analysis</v>
      </c>
      <c r="W2237" s="1">
        <f>IF(Table1[[#This Row],[Cal Type]]&lt;&gt;"ACCREDITED 17025 WITH UNCERTAINTIES",0,"")</f>
        <v>0</v>
      </c>
      <c r="X2237" s="1" t="str">
        <f>IF(Table1[[#This Row],[DUT Read]]="","N/A",Table1[[#This Row],[Std Error]]+Table1[[#This Row],[DUT Read]]+Table1[[#This Row],[DUT Ucty]])</f>
        <v>N/A</v>
      </c>
      <c r="Y2237" s="1" t="str">
        <f>IF(Table1[[#This Row],[Std Read]]="","N/A",Table1[[#This Row],[Std Read]]+Table1[[#This Row],[Std Ucty]])</f>
        <v>N/A</v>
      </c>
      <c r="Z22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7" s="1" t="str">
        <f>IF(Table1[[#This Row],[Spec Type]]="","N/A",Table1[[#This Row],[Spec Type]])</f>
        <v>±</v>
      </c>
      <c r="AC2237" s="1" t="str">
        <f>IF(Table1[[#This Row],[Spec Type2]]="N/A","N/A",IF(AND(Table1[[#This Row],[DUT Adj Read]]&gt;=Table1[[#This Row],[Low Tol]],Table1[[#This Row],[DUT Adj Read]]&lt;=Table1[[#This Row],[High Tol]]),"Pass","Fail"))</f>
        <v>Fail</v>
      </c>
      <c r="AD2237" s="1" t="str">
        <f>IF(AND(Table1[[#This Row],[Spec Type2]]="N/A",Table1[[#This Row],[DUT Adj Read]]="N/A",Table1[[#This Row],[Std Adj Read]]="N/A"),"N/A",IF(Table1[[#This Row],[DUT Adj Read]]="N/A",IF(Table1[[#This Row],[Std Adj Read]]&gt;Table1[[#This Row],[Low Tol]],"Pass","Fail"),IF(Table1[[#This Row],[DUT Adj Read]]&gt;Table1[[#This Row],[Low Tol]],"Pass","Fail")))</f>
        <v>Pass</v>
      </c>
      <c r="AE2237" s="1" t="str">
        <f>IF(AND(Table1[[#This Row],[Spec Type2]]="N/A",Table1[[#This Row],[DUT Adj Read]]="N/A",Table1[[#This Row],[Std Adj Read]]="N/A"),"N/A",IF(Table1[[#This Row],[DUT Adj Read]]="N/A",IF(Table1[[#This Row],[Std Adj Read]]&lt;Table1[[#This Row],[High Tol]],"Pass","Fail"),IF(Table1[[#This Row],[DUT Adj Read]]&lt;Table1[[#This Row],[High Tol]],"Pass","Fail")))</f>
        <v>Fail</v>
      </c>
      <c r="AF2237" s="1" t="str">
        <f>IF(AND(Table1[[#This Row],[Spec Type2]]="N/A",Table1[[#This Row],[DUT Adj Read]]="N/A",Table1[[#This Row],[Std Adj Read]]="N/A"),"N/A",IF(Table1[[#This Row],[DUT Adj Read]]="N/A",IF(Table1[[#This Row],[Std Adj Read]]&gt;=Table1[[#This Row],[Low Tol]],"Pass","Fail"),IF(Table1[[#This Row],[DUT Adj Read]]&gt;=Table1[[#This Row],[Low Tol]],"Pass","Fail")))</f>
        <v>Pass</v>
      </c>
      <c r="AG2237" s="1" t="str">
        <f>IF(AND(Table1[[#This Row],[Spec Type2]]="N/A",Table1[[#This Row],[DUT Adj Read]]="N/A",Table1[[#This Row],[Std Adj Read]]="N/A"),"N/A",IF(Table1[[#This Row],[DUT Adj Read]]="N/A",IF(Table1[[#This Row],[Std Adj Read]]&lt;=Table1[[#This Row],[High Tol]],"Pass","Fail"),IF(Table1[[#This Row],[DUT Adj Read]]&lt;=Table1[[#This Row],[High Tol]],"Pass","Fail")))</f>
        <v>Fail</v>
      </c>
      <c r="AH22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7" s="1" t="b">
        <v>0</v>
      </c>
      <c r="AN2237" s="1" t="b">
        <v>0</v>
      </c>
      <c r="AO2237" s="1" t="b">
        <v>0</v>
      </c>
    </row>
    <row r="2238" spans="1:41" x14ac:dyDescent="0.25">
      <c r="A2238" s="10"/>
      <c r="B2238" s="10"/>
      <c r="C2238" s="10"/>
      <c r="D2238" s="10"/>
      <c r="E2238" s="10"/>
      <c r="F2238" s="10"/>
      <c r="G2238" s="10"/>
      <c r="H2238" s="10"/>
      <c r="I2238" s="1" t="str">
        <f t="shared" si="102"/>
        <v/>
      </c>
      <c r="J2238" s="1" t="s">
        <v>35</v>
      </c>
      <c r="K2238" s="1" t="str">
        <f t="shared" si="103"/>
        <v/>
      </c>
      <c r="L2238" s="1" t="str">
        <f t="shared" si="104"/>
        <v/>
      </c>
      <c r="M2238" s="1">
        <f>IF(OR(Table1[[#This Row],[Std Nom]]="",Table1[[#This Row],[Std Read]]=""),0,Table1[[#This Row],[Std Nom]]-Table1[[#This Row],[Std Read]])</f>
        <v>0</v>
      </c>
      <c r="N2238" s="1">
        <f>IF(Calculations!$F$5="ACCREDITED 17025 WITH UNCERTAINTIES",$N$10,0)</f>
        <v>0</v>
      </c>
      <c r="Q2238" s="1">
        <f>Table1[[#This Row],[High Tol]]-Table1[[#This Row],[Low Tol]]</f>
        <v>0</v>
      </c>
      <c r="R2238" s="1">
        <f>2*Table1[[#This Row],[Std Error]]</f>
        <v>0</v>
      </c>
      <c r="S2238" s="1" t="str">
        <f>IF(Table1[[#This Row],[High Tol]]="","N/A",IFERROR(ABS(Table1[[#This Row],[Tol Span]]/Table1[[#This Row],[Error Span]]),"N/A"))</f>
        <v>N/A</v>
      </c>
      <c r="T2238" s="1" t="str">
        <f>IF(OR(Table1[[#This Row],[Low Tol]]="",Table1[[#This Row],[High Tol]]=""),"Needs Analysis",IF(Table1[[#This Row],[Ratio]]&gt;=4,"Not Significant",IF(Table1[[#This Row],[Ratio]]&gt;=2,"Semi-Significant","Significant")))</f>
        <v>Needs Analysis</v>
      </c>
      <c r="W2238" s="1">
        <f>IF(Table1[[#This Row],[Cal Type]]&lt;&gt;"ACCREDITED 17025 WITH UNCERTAINTIES",0,"")</f>
        <v>0</v>
      </c>
      <c r="X2238" s="1" t="str">
        <f>IF(Table1[[#This Row],[DUT Read]]="","N/A",Table1[[#This Row],[Std Error]]+Table1[[#This Row],[DUT Read]]+Table1[[#This Row],[DUT Ucty]])</f>
        <v>N/A</v>
      </c>
      <c r="Y2238" s="1" t="str">
        <f>IF(Table1[[#This Row],[Std Read]]="","N/A",Table1[[#This Row],[Std Read]]+Table1[[#This Row],[Std Ucty]])</f>
        <v>N/A</v>
      </c>
      <c r="Z22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8" s="1" t="str">
        <f>IF(Table1[[#This Row],[Spec Type]]="","N/A",Table1[[#This Row],[Spec Type]])</f>
        <v>±</v>
      </c>
      <c r="AC2238" s="1" t="str">
        <f>IF(Table1[[#This Row],[Spec Type2]]="N/A","N/A",IF(AND(Table1[[#This Row],[DUT Adj Read]]&gt;=Table1[[#This Row],[Low Tol]],Table1[[#This Row],[DUT Adj Read]]&lt;=Table1[[#This Row],[High Tol]]),"Pass","Fail"))</f>
        <v>Fail</v>
      </c>
      <c r="AD2238" s="1" t="str">
        <f>IF(AND(Table1[[#This Row],[Spec Type2]]="N/A",Table1[[#This Row],[DUT Adj Read]]="N/A",Table1[[#This Row],[Std Adj Read]]="N/A"),"N/A",IF(Table1[[#This Row],[DUT Adj Read]]="N/A",IF(Table1[[#This Row],[Std Adj Read]]&gt;Table1[[#This Row],[Low Tol]],"Pass","Fail"),IF(Table1[[#This Row],[DUT Adj Read]]&gt;Table1[[#This Row],[Low Tol]],"Pass","Fail")))</f>
        <v>Pass</v>
      </c>
      <c r="AE2238" s="1" t="str">
        <f>IF(AND(Table1[[#This Row],[Spec Type2]]="N/A",Table1[[#This Row],[DUT Adj Read]]="N/A",Table1[[#This Row],[Std Adj Read]]="N/A"),"N/A",IF(Table1[[#This Row],[DUT Adj Read]]="N/A",IF(Table1[[#This Row],[Std Adj Read]]&lt;Table1[[#This Row],[High Tol]],"Pass","Fail"),IF(Table1[[#This Row],[DUT Adj Read]]&lt;Table1[[#This Row],[High Tol]],"Pass","Fail")))</f>
        <v>Fail</v>
      </c>
      <c r="AF2238" s="1" t="str">
        <f>IF(AND(Table1[[#This Row],[Spec Type2]]="N/A",Table1[[#This Row],[DUT Adj Read]]="N/A",Table1[[#This Row],[Std Adj Read]]="N/A"),"N/A",IF(Table1[[#This Row],[DUT Adj Read]]="N/A",IF(Table1[[#This Row],[Std Adj Read]]&gt;=Table1[[#This Row],[Low Tol]],"Pass","Fail"),IF(Table1[[#This Row],[DUT Adj Read]]&gt;=Table1[[#This Row],[Low Tol]],"Pass","Fail")))</f>
        <v>Pass</v>
      </c>
      <c r="AG2238" s="1" t="str">
        <f>IF(AND(Table1[[#This Row],[Spec Type2]]="N/A",Table1[[#This Row],[DUT Adj Read]]="N/A",Table1[[#This Row],[Std Adj Read]]="N/A"),"N/A",IF(Table1[[#This Row],[DUT Adj Read]]="N/A",IF(Table1[[#This Row],[Std Adj Read]]&lt;=Table1[[#This Row],[High Tol]],"Pass","Fail"),IF(Table1[[#This Row],[DUT Adj Read]]&lt;=Table1[[#This Row],[High Tol]],"Pass","Fail")))</f>
        <v>Fail</v>
      </c>
      <c r="AH22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8" s="1" t="b">
        <v>0</v>
      </c>
      <c r="AN2238" s="1" t="b">
        <v>0</v>
      </c>
      <c r="AO2238" s="1" t="b">
        <v>0</v>
      </c>
    </row>
    <row r="2239" spans="1:41" x14ac:dyDescent="0.25">
      <c r="A2239" s="10"/>
      <c r="B2239" s="10"/>
      <c r="C2239" s="10"/>
      <c r="D2239" s="10"/>
      <c r="E2239" s="10"/>
      <c r="F2239" s="10"/>
      <c r="G2239" s="10"/>
      <c r="H2239" s="10"/>
      <c r="I2239" s="1" t="str">
        <f t="shared" si="102"/>
        <v/>
      </c>
      <c r="J2239" s="1" t="s">
        <v>35</v>
      </c>
      <c r="K2239" s="1" t="str">
        <f t="shared" si="103"/>
        <v/>
      </c>
      <c r="L2239" s="1" t="str">
        <f t="shared" si="104"/>
        <v/>
      </c>
      <c r="M2239" s="1">
        <f>IF(OR(Table1[[#This Row],[Std Nom]]="",Table1[[#This Row],[Std Read]]=""),0,Table1[[#This Row],[Std Nom]]-Table1[[#This Row],[Std Read]])</f>
        <v>0</v>
      </c>
      <c r="N2239" s="1">
        <f>IF(Calculations!$F$5="ACCREDITED 17025 WITH UNCERTAINTIES",$N$10,0)</f>
        <v>0</v>
      </c>
      <c r="Q2239" s="1">
        <f>Table1[[#This Row],[High Tol]]-Table1[[#This Row],[Low Tol]]</f>
        <v>0</v>
      </c>
      <c r="R2239" s="1">
        <f>2*Table1[[#This Row],[Std Error]]</f>
        <v>0</v>
      </c>
      <c r="S2239" s="1" t="str">
        <f>IF(Table1[[#This Row],[High Tol]]="","N/A",IFERROR(ABS(Table1[[#This Row],[Tol Span]]/Table1[[#This Row],[Error Span]]),"N/A"))</f>
        <v>N/A</v>
      </c>
      <c r="T2239" s="1" t="str">
        <f>IF(OR(Table1[[#This Row],[Low Tol]]="",Table1[[#This Row],[High Tol]]=""),"Needs Analysis",IF(Table1[[#This Row],[Ratio]]&gt;=4,"Not Significant",IF(Table1[[#This Row],[Ratio]]&gt;=2,"Semi-Significant","Significant")))</f>
        <v>Needs Analysis</v>
      </c>
      <c r="W2239" s="1">
        <f>IF(Table1[[#This Row],[Cal Type]]&lt;&gt;"ACCREDITED 17025 WITH UNCERTAINTIES",0,"")</f>
        <v>0</v>
      </c>
      <c r="X2239" s="1" t="str">
        <f>IF(Table1[[#This Row],[DUT Read]]="","N/A",Table1[[#This Row],[Std Error]]+Table1[[#This Row],[DUT Read]]+Table1[[#This Row],[DUT Ucty]])</f>
        <v>N/A</v>
      </c>
      <c r="Y2239" s="1" t="str">
        <f>IF(Table1[[#This Row],[Std Read]]="","N/A",Table1[[#This Row],[Std Read]]+Table1[[#This Row],[Std Ucty]])</f>
        <v>N/A</v>
      </c>
      <c r="Z22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39" s="1" t="str">
        <f>IF(Table1[[#This Row],[Spec Type]]="","N/A",Table1[[#This Row],[Spec Type]])</f>
        <v>±</v>
      </c>
      <c r="AC2239" s="1" t="str">
        <f>IF(Table1[[#This Row],[Spec Type2]]="N/A","N/A",IF(AND(Table1[[#This Row],[DUT Adj Read]]&gt;=Table1[[#This Row],[Low Tol]],Table1[[#This Row],[DUT Adj Read]]&lt;=Table1[[#This Row],[High Tol]]),"Pass","Fail"))</f>
        <v>Fail</v>
      </c>
      <c r="AD2239" s="1" t="str">
        <f>IF(AND(Table1[[#This Row],[Spec Type2]]="N/A",Table1[[#This Row],[DUT Adj Read]]="N/A",Table1[[#This Row],[Std Adj Read]]="N/A"),"N/A",IF(Table1[[#This Row],[DUT Adj Read]]="N/A",IF(Table1[[#This Row],[Std Adj Read]]&gt;Table1[[#This Row],[Low Tol]],"Pass","Fail"),IF(Table1[[#This Row],[DUT Adj Read]]&gt;Table1[[#This Row],[Low Tol]],"Pass","Fail")))</f>
        <v>Pass</v>
      </c>
      <c r="AE2239" s="1" t="str">
        <f>IF(AND(Table1[[#This Row],[Spec Type2]]="N/A",Table1[[#This Row],[DUT Adj Read]]="N/A",Table1[[#This Row],[Std Adj Read]]="N/A"),"N/A",IF(Table1[[#This Row],[DUT Adj Read]]="N/A",IF(Table1[[#This Row],[Std Adj Read]]&lt;Table1[[#This Row],[High Tol]],"Pass","Fail"),IF(Table1[[#This Row],[DUT Adj Read]]&lt;Table1[[#This Row],[High Tol]],"Pass","Fail")))</f>
        <v>Fail</v>
      </c>
      <c r="AF2239" s="1" t="str">
        <f>IF(AND(Table1[[#This Row],[Spec Type2]]="N/A",Table1[[#This Row],[DUT Adj Read]]="N/A",Table1[[#This Row],[Std Adj Read]]="N/A"),"N/A",IF(Table1[[#This Row],[DUT Adj Read]]="N/A",IF(Table1[[#This Row],[Std Adj Read]]&gt;=Table1[[#This Row],[Low Tol]],"Pass","Fail"),IF(Table1[[#This Row],[DUT Adj Read]]&gt;=Table1[[#This Row],[Low Tol]],"Pass","Fail")))</f>
        <v>Pass</v>
      </c>
      <c r="AG2239" s="1" t="str">
        <f>IF(AND(Table1[[#This Row],[Spec Type2]]="N/A",Table1[[#This Row],[DUT Adj Read]]="N/A",Table1[[#This Row],[Std Adj Read]]="N/A"),"N/A",IF(Table1[[#This Row],[DUT Adj Read]]="N/A",IF(Table1[[#This Row],[Std Adj Read]]&lt;=Table1[[#This Row],[High Tol]],"Pass","Fail"),IF(Table1[[#This Row],[DUT Adj Read]]&lt;=Table1[[#This Row],[High Tol]],"Pass","Fail")))</f>
        <v>Fail</v>
      </c>
      <c r="AH22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39" s="1" t="b">
        <v>0</v>
      </c>
      <c r="AN2239" s="1" t="b">
        <v>0</v>
      </c>
      <c r="AO2239" s="1" t="b">
        <v>0</v>
      </c>
    </row>
    <row r="2240" spans="1:41" x14ac:dyDescent="0.25">
      <c r="A2240" s="10"/>
      <c r="B2240" s="10"/>
      <c r="C2240" s="10"/>
      <c r="D2240" s="10"/>
      <c r="E2240" s="10"/>
      <c r="F2240" s="10"/>
      <c r="G2240" s="10"/>
      <c r="H2240" s="10"/>
      <c r="I2240" s="1" t="str">
        <f t="shared" si="102"/>
        <v/>
      </c>
      <c r="J2240" s="1" t="s">
        <v>35</v>
      </c>
      <c r="K2240" s="1" t="str">
        <f t="shared" si="103"/>
        <v/>
      </c>
      <c r="L2240" s="1" t="str">
        <f t="shared" si="104"/>
        <v/>
      </c>
      <c r="M2240" s="1">
        <f>IF(OR(Table1[[#This Row],[Std Nom]]="",Table1[[#This Row],[Std Read]]=""),0,Table1[[#This Row],[Std Nom]]-Table1[[#This Row],[Std Read]])</f>
        <v>0</v>
      </c>
      <c r="N2240" s="1">
        <f>IF(Calculations!$F$5="ACCREDITED 17025 WITH UNCERTAINTIES",$N$10,0)</f>
        <v>0</v>
      </c>
      <c r="Q2240" s="1">
        <f>Table1[[#This Row],[High Tol]]-Table1[[#This Row],[Low Tol]]</f>
        <v>0</v>
      </c>
      <c r="R2240" s="1">
        <f>2*Table1[[#This Row],[Std Error]]</f>
        <v>0</v>
      </c>
      <c r="S2240" s="1" t="str">
        <f>IF(Table1[[#This Row],[High Tol]]="","N/A",IFERROR(ABS(Table1[[#This Row],[Tol Span]]/Table1[[#This Row],[Error Span]]),"N/A"))</f>
        <v>N/A</v>
      </c>
      <c r="T2240" s="1" t="str">
        <f>IF(OR(Table1[[#This Row],[Low Tol]]="",Table1[[#This Row],[High Tol]]=""),"Needs Analysis",IF(Table1[[#This Row],[Ratio]]&gt;=4,"Not Significant",IF(Table1[[#This Row],[Ratio]]&gt;=2,"Semi-Significant","Significant")))</f>
        <v>Needs Analysis</v>
      </c>
      <c r="W2240" s="1">
        <f>IF(Table1[[#This Row],[Cal Type]]&lt;&gt;"ACCREDITED 17025 WITH UNCERTAINTIES",0,"")</f>
        <v>0</v>
      </c>
      <c r="X2240" s="1" t="str">
        <f>IF(Table1[[#This Row],[DUT Read]]="","N/A",Table1[[#This Row],[Std Error]]+Table1[[#This Row],[DUT Read]]+Table1[[#This Row],[DUT Ucty]])</f>
        <v>N/A</v>
      </c>
      <c r="Y2240" s="1" t="str">
        <f>IF(Table1[[#This Row],[Std Read]]="","N/A",Table1[[#This Row],[Std Read]]+Table1[[#This Row],[Std Ucty]])</f>
        <v>N/A</v>
      </c>
      <c r="Z22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0" s="1" t="str">
        <f>IF(Table1[[#This Row],[Spec Type]]="","N/A",Table1[[#This Row],[Spec Type]])</f>
        <v>±</v>
      </c>
      <c r="AC2240" s="1" t="str">
        <f>IF(Table1[[#This Row],[Spec Type2]]="N/A","N/A",IF(AND(Table1[[#This Row],[DUT Adj Read]]&gt;=Table1[[#This Row],[Low Tol]],Table1[[#This Row],[DUT Adj Read]]&lt;=Table1[[#This Row],[High Tol]]),"Pass","Fail"))</f>
        <v>Fail</v>
      </c>
      <c r="AD2240" s="1" t="str">
        <f>IF(AND(Table1[[#This Row],[Spec Type2]]="N/A",Table1[[#This Row],[DUT Adj Read]]="N/A",Table1[[#This Row],[Std Adj Read]]="N/A"),"N/A",IF(Table1[[#This Row],[DUT Adj Read]]="N/A",IF(Table1[[#This Row],[Std Adj Read]]&gt;Table1[[#This Row],[Low Tol]],"Pass","Fail"),IF(Table1[[#This Row],[DUT Adj Read]]&gt;Table1[[#This Row],[Low Tol]],"Pass","Fail")))</f>
        <v>Pass</v>
      </c>
      <c r="AE2240" s="1" t="str">
        <f>IF(AND(Table1[[#This Row],[Spec Type2]]="N/A",Table1[[#This Row],[DUT Adj Read]]="N/A",Table1[[#This Row],[Std Adj Read]]="N/A"),"N/A",IF(Table1[[#This Row],[DUT Adj Read]]="N/A",IF(Table1[[#This Row],[Std Adj Read]]&lt;Table1[[#This Row],[High Tol]],"Pass","Fail"),IF(Table1[[#This Row],[DUT Adj Read]]&lt;Table1[[#This Row],[High Tol]],"Pass","Fail")))</f>
        <v>Fail</v>
      </c>
      <c r="AF2240" s="1" t="str">
        <f>IF(AND(Table1[[#This Row],[Spec Type2]]="N/A",Table1[[#This Row],[DUT Adj Read]]="N/A",Table1[[#This Row],[Std Adj Read]]="N/A"),"N/A",IF(Table1[[#This Row],[DUT Adj Read]]="N/A",IF(Table1[[#This Row],[Std Adj Read]]&gt;=Table1[[#This Row],[Low Tol]],"Pass","Fail"),IF(Table1[[#This Row],[DUT Adj Read]]&gt;=Table1[[#This Row],[Low Tol]],"Pass","Fail")))</f>
        <v>Pass</v>
      </c>
      <c r="AG2240" s="1" t="str">
        <f>IF(AND(Table1[[#This Row],[Spec Type2]]="N/A",Table1[[#This Row],[DUT Adj Read]]="N/A",Table1[[#This Row],[Std Adj Read]]="N/A"),"N/A",IF(Table1[[#This Row],[DUT Adj Read]]="N/A",IF(Table1[[#This Row],[Std Adj Read]]&lt;=Table1[[#This Row],[High Tol]],"Pass","Fail"),IF(Table1[[#This Row],[DUT Adj Read]]&lt;=Table1[[#This Row],[High Tol]],"Pass","Fail")))</f>
        <v>Fail</v>
      </c>
      <c r="AH22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0" s="1" t="b">
        <v>0</v>
      </c>
      <c r="AN2240" s="1" t="b">
        <v>0</v>
      </c>
      <c r="AO2240" s="1" t="b">
        <v>0</v>
      </c>
    </row>
    <row r="2241" spans="1:41" x14ac:dyDescent="0.25">
      <c r="A2241" s="10"/>
      <c r="B2241" s="10"/>
      <c r="C2241" s="10"/>
      <c r="D2241" s="10"/>
      <c r="E2241" s="10"/>
      <c r="F2241" s="10"/>
      <c r="G2241" s="10"/>
      <c r="H2241" s="10"/>
      <c r="I2241" s="1" t="str">
        <f t="shared" si="102"/>
        <v/>
      </c>
      <c r="J2241" s="1" t="s">
        <v>35</v>
      </c>
      <c r="K2241" s="1" t="str">
        <f t="shared" si="103"/>
        <v/>
      </c>
      <c r="L2241" s="1" t="str">
        <f t="shared" si="104"/>
        <v/>
      </c>
      <c r="M2241" s="1">
        <f>IF(OR(Table1[[#This Row],[Std Nom]]="",Table1[[#This Row],[Std Read]]=""),0,Table1[[#This Row],[Std Nom]]-Table1[[#This Row],[Std Read]])</f>
        <v>0</v>
      </c>
      <c r="N2241" s="1">
        <f>IF(Calculations!$F$5="ACCREDITED 17025 WITH UNCERTAINTIES",$N$10,0)</f>
        <v>0</v>
      </c>
      <c r="Q2241" s="1">
        <f>Table1[[#This Row],[High Tol]]-Table1[[#This Row],[Low Tol]]</f>
        <v>0</v>
      </c>
      <c r="R2241" s="1">
        <f>2*Table1[[#This Row],[Std Error]]</f>
        <v>0</v>
      </c>
      <c r="S2241" s="1" t="str">
        <f>IF(Table1[[#This Row],[High Tol]]="","N/A",IFERROR(ABS(Table1[[#This Row],[Tol Span]]/Table1[[#This Row],[Error Span]]),"N/A"))</f>
        <v>N/A</v>
      </c>
      <c r="T2241" s="1" t="str">
        <f>IF(OR(Table1[[#This Row],[Low Tol]]="",Table1[[#This Row],[High Tol]]=""),"Needs Analysis",IF(Table1[[#This Row],[Ratio]]&gt;=4,"Not Significant",IF(Table1[[#This Row],[Ratio]]&gt;=2,"Semi-Significant","Significant")))</f>
        <v>Needs Analysis</v>
      </c>
      <c r="W2241" s="1">
        <f>IF(Table1[[#This Row],[Cal Type]]&lt;&gt;"ACCREDITED 17025 WITH UNCERTAINTIES",0,"")</f>
        <v>0</v>
      </c>
      <c r="X2241" s="1" t="str">
        <f>IF(Table1[[#This Row],[DUT Read]]="","N/A",Table1[[#This Row],[Std Error]]+Table1[[#This Row],[DUT Read]]+Table1[[#This Row],[DUT Ucty]])</f>
        <v>N/A</v>
      </c>
      <c r="Y2241" s="1" t="str">
        <f>IF(Table1[[#This Row],[Std Read]]="","N/A",Table1[[#This Row],[Std Read]]+Table1[[#This Row],[Std Ucty]])</f>
        <v>N/A</v>
      </c>
      <c r="Z22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1" s="1" t="str">
        <f>IF(Table1[[#This Row],[Spec Type]]="","N/A",Table1[[#This Row],[Spec Type]])</f>
        <v>±</v>
      </c>
      <c r="AC2241" s="1" t="str">
        <f>IF(Table1[[#This Row],[Spec Type2]]="N/A","N/A",IF(AND(Table1[[#This Row],[DUT Adj Read]]&gt;=Table1[[#This Row],[Low Tol]],Table1[[#This Row],[DUT Adj Read]]&lt;=Table1[[#This Row],[High Tol]]),"Pass","Fail"))</f>
        <v>Fail</v>
      </c>
      <c r="AD2241" s="1" t="str">
        <f>IF(AND(Table1[[#This Row],[Spec Type2]]="N/A",Table1[[#This Row],[DUT Adj Read]]="N/A",Table1[[#This Row],[Std Adj Read]]="N/A"),"N/A",IF(Table1[[#This Row],[DUT Adj Read]]="N/A",IF(Table1[[#This Row],[Std Adj Read]]&gt;Table1[[#This Row],[Low Tol]],"Pass","Fail"),IF(Table1[[#This Row],[DUT Adj Read]]&gt;Table1[[#This Row],[Low Tol]],"Pass","Fail")))</f>
        <v>Pass</v>
      </c>
      <c r="AE2241" s="1" t="str">
        <f>IF(AND(Table1[[#This Row],[Spec Type2]]="N/A",Table1[[#This Row],[DUT Adj Read]]="N/A",Table1[[#This Row],[Std Adj Read]]="N/A"),"N/A",IF(Table1[[#This Row],[DUT Adj Read]]="N/A",IF(Table1[[#This Row],[Std Adj Read]]&lt;Table1[[#This Row],[High Tol]],"Pass","Fail"),IF(Table1[[#This Row],[DUT Adj Read]]&lt;Table1[[#This Row],[High Tol]],"Pass","Fail")))</f>
        <v>Fail</v>
      </c>
      <c r="AF2241" s="1" t="str">
        <f>IF(AND(Table1[[#This Row],[Spec Type2]]="N/A",Table1[[#This Row],[DUT Adj Read]]="N/A",Table1[[#This Row],[Std Adj Read]]="N/A"),"N/A",IF(Table1[[#This Row],[DUT Adj Read]]="N/A",IF(Table1[[#This Row],[Std Adj Read]]&gt;=Table1[[#This Row],[Low Tol]],"Pass","Fail"),IF(Table1[[#This Row],[DUT Adj Read]]&gt;=Table1[[#This Row],[Low Tol]],"Pass","Fail")))</f>
        <v>Pass</v>
      </c>
      <c r="AG2241" s="1" t="str">
        <f>IF(AND(Table1[[#This Row],[Spec Type2]]="N/A",Table1[[#This Row],[DUT Adj Read]]="N/A",Table1[[#This Row],[Std Adj Read]]="N/A"),"N/A",IF(Table1[[#This Row],[DUT Adj Read]]="N/A",IF(Table1[[#This Row],[Std Adj Read]]&lt;=Table1[[#This Row],[High Tol]],"Pass","Fail"),IF(Table1[[#This Row],[DUT Adj Read]]&lt;=Table1[[#This Row],[High Tol]],"Pass","Fail")))</f>
        <v>Fail</v>
      </c>
      <c r="AH22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1" s="1" t="b">
        <v>0</v>
      </c>
      <c r="AN2241" s="1" t="b">
        <v>0</v>
      </c>
      <c r="AO2241" s="1" t="b">
        <v>0</v>
      </c>
    </row>
    <row r="2242" spans="1:41" x14ac:dyDescent="0.25">
      <c r="A2242" s="10"/>
      <c r="B2242" s="10"/>
      <c r="C2242" s="10"/>
      <c r="D2242" s="10"/>
      <c r="E2242" s="10"/>
      <c r="F2242" s="10"/>
      <c r="G2242" s="10"/>
      <c r="H2242" s="10"/>
      <c r="I2242" s="1" t="str">
        <f t="shared" si="102"/>
        <v/>
      </c>
      <c r="J2242" s="1" t="s">
        <v>35</v>
      </c>
      <c r="K2242" s="1" t="str">
        <f t="shared" si="103"/>
        <v/>
      </c>
      <c r="L2242" s="1" t="str">
        <f t="shared" si="104"/>
        <v/>
      </c>
      <c r="M2242" s="1">
        <f>IF(OR(Table1[[#This Row],[Std Nom]]="",Table1[[#This Row],[Std Read]]=""),0,Table1[[#This Row],[Std Nom]]-Table1[[#This Row],[Std Read]])</f>
        <v>0</v>
      </c>
      <c r="N2242" s="1">
        <f>IF(Calculations!$F$5="ACCREDITED 17025 WITH UNCERTAINTIES",$N$10,0)</f>
        <v>0</v>
      </c>
      <c r="Q2242" s="1">
        <f>Table1[[#This Row],[High Tol]]-Table1[[#This Row],[Low Tol]]</f>
        <v>0</v>
      </c>
      <c r="R2242" s="1">
        <f>2*Table1[[#This Row],[Std Error]]</f>
        <v>0</v>
      </c>
      <c r="S2242" s="1" t="str">
        <f>IF(Table1[[#This Row],[High Tol]]="","N/A",IFERROR(ABS(Table1[[#This Row],[Tol Span]]/Table1[[#This Row],[Error Span]]),"N/A"))</f>
        <v>N/A</v>
      </c>
      <c r="T2242" s="1" t="str">
        <f>IF(OR(Table1[[#This Row],[Low Tol]]="",Table1[[#This Row],[High Tol]]=""),"Needs Analysis",IF(Table1[[#This Row],[Ratio]]&gt;=4,"Not Significant",IF(Table1[[#This Row],[Ratio]]&gt;=2,"Semi-Significant","Significant")))</f>
        <v>Needs Analysis</v>
      </c>
      <c r="W2242" s="1">
        <f>IF(Table1[[#This Row],[Cal Type]]&lt;&gt;"ACCREDITED 17025 WITH UNCERTAINTIES",0,"")</f>
        <v>0</v>
      </c>
      <c r="X2242" s="1" t="str">
        <f>IF(Table1[[#This Row],[DUT Read]]="","N/A",Table1[[#This Row],[Std Error]]+Table1[[#This Row],[DUT Read]]+Table1[[#This Row],[DUT Ucty]])</f>
        <v>N/A</v>
      </c>
      <c r="Y2242" s="1" t="str">
        <f>IF(Table1[[#This Row],[Std Read]]="","N/A",Table1[[#This Row],[Std Read]]+Table1[[#This Row],[Std Ucty]])</f>
        <v>N/A</v>
      </c>
      <c r="Z22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2" s="1" t="str">
        <f>IF(Table1[[#This Row],[Spec Type]]="","N/A",Table1[[#This Row],[Spec Type]])</f>
        <v>±</v>
      </c>
      <c r="AC2242" s="1" t="str">
        <f>IF(Table1[[#This Row],[Spec Type2]]="N/A","N/A",IF(AND(Table1[[#This Row],[DUT Adj Read]]&gt;=Table1[[#This Row],[Low Tol]],Table1[[#This Row],[DUT Adj Read]]&lt;=Table1[[#This Row],[High Tol]]),"Pass","Fail"))</f>
        <v>Fail</v>
      </c>
      <c r="AD2242" s="1" t="str">
        <f>IF(AND(Table1[[#This Row],[Spec Type2]]="N/A",Table1[[#This Row],[DUT Adj Read]]="N/A",Table1[[#This Row],[Std Adj Read]]="N/A"),"N/A",IF(Table1[[#This Row],[DUT Adj Read]]="N/A",IF(Table1[[#This Row],[Std Adj Read]]&gt;Table1[[#This Row],[Low Tol]],"Pass","Fail"),IF(Table1[[#This Row],[DUT Adj Read]]&gt;Table1[[#This Row],[Low Tol]],"Pass","Fail")))</f>
        <v>Pass</v>
      </c>
      <c r="AE2242" s="1" t="str">
        <f>IF(AND(Table1[[#This Row],[Spec Type2]]="N/A",Table1[[#This Row],[DUT Adj Read]]="N/A",Table1[[#This Row],[Std Adj Read]]="N/A"),"N/A",IF(Table1[[#This Row],[DUT Adj Read]]="N/A",IF(Table1[[#This Row],[Std Adj Read]]&lt;Table1[[#This Row],[High Tol]],"Pass","Fail"),IF(Table1[[#This Row],[DUT Adj Read]]&lt;Table1[[#This Row],[High Tol]],"Pass","Fail")))</f>
        <v>Fail</v>
      </c>
      <c r="AF2242" s="1" t="str">
        <f>IF(AND(Table1[[#This Row],[Spec Type2]]="N/A",Table1[[#This Row],[DUT Adj Read]]="N/A",Table1[[#This Row],[Std Adj Read]]="N/A"),"N/A",IF(Table1[[#This Row],[DUT Adj Read]]="N/A",IF(Table1[[#This Row],[Std Adj Read]]&gt;=Table1[[#This Row],[Low Tol]],"Pass","Fail"),IF(Table1[[#This Row],[DUT Adj Read]]&gt;=Table1[[#This Row],[Low Tol]],"Pass","Fail")))</f>
        <v>Pass</v>
      </c>
      <c r="AG2242" s="1" t="str">
        <f>IF(AND(Table1[[#This Row],[Spec Type2]]="N/A",Table1[[#This Row],[DUT Adj Read]]="N/A",Table1[[#This Row],[Std Adj Read]]="N/A"),"N/A",IF(Table1[[#This Row],[DUT Adj Read]]="N/A",IF(Table1[[#This Row],[Std Adj Read]]&lt;=Table1[[#This Row],[High Tol]],"Pass","Fail"),IF(Table1[[#This Row],[DUT Adj Read]]&lt;=Table1[[#This Row],[High Tol]],"Pass","Fail")))</f>
        <v>Fail</v>
      </c>
      <c r="AH22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2" s="1" t="b">
        <v>0</v>
      </c>
      <c r="AN2242" s="1" t="b">
        <v>0</v>
      </c>
      <c r="AO2242" s="1" t="b">
        <v>0</v>
      </c>
    </row>
    <row r="2243" spans="1:41" x14ac:dyDescent="0.25">
      <c r="A2243" s="10"/>
      <c r="B2243" s="10"/>
      <c r="C2243" s="10"/>
      <c r="D2243" s="10"/>
      <c r="E2243" s="10"/>
      <c r="F2243" s="10"/>
      <c r="G2243" s="10"/>
      <c r="H2243" s="10"/>
      <c r="I2243" s="1" t="str">
        <f t="shared" si="102"/>
        <v/>
      </c>
      <c r="J2243" s="1" t="s">
        <v>35</v>
      </c>
      <c r="K2243" s="1" t="str">
        <f t="shared" si="103"/>
        <v/>
      </c>
      <c r="L2243" s="1" t="str">
        <f t="shared" si="104"/>
        <v/>
      </c>
      <c r="M2243" s="1">
        <f>IF(OR(Table1[[#This Row],[Std Nom]]="",Table1[[#This Row],[Std Read]]=""),0,Table1[[#This Row],[Std Nom]]-Table1[[#This Row],[Std Read]])</f>
        <v>0</v>
      </c>
      <c r="N2243" s="1">
        <f>IF(Calculations!$F$5="ACCREDITED 17025 WITH UNCERTAINTIES",$N$10,0)</f>
        <v>0</v>
      </c>
      <c r="Q2243" s="1">
        <f>Table1[[#This Row],[High Tol]]-Table1[[#This Row],[Low Tol]]</f>
        <v>0</v>
      </c>
      <c r="R2243" s="1">
        <f>2*Table1[[#This Row],[Std Error]]</f>
        <v>0</v>
      </c>
      <c r="S2243" s="1" t="str">
        <f>IF(Table1[[#This Row],[High Tol]]="","N/A",IFERROR(ABS(Table1[[#This Row],[Tol Span]]/Table1[[#This Row],[Error Span]]),"N/A"))</f>
        <v>N/A</v>
      </c>
      <c r="T2243" s="1" t="str">
        <f>IF(OR(Table1[[#This Row],[Low Tol]]="",Table1[[#This Row],[High Tol]]=""),"Needs Analysis",IF(Table1[[#This Row],[Ratio]]&gt;=4,"Not Significant",IF(Table1[[#This Row],[Ratio]]&gt;=2,"Semi-Significant","Significant")))</f>
        <v>Needs Analysis</v>
      </c>
      <c r="W2243" s="1">
        <f>IF(Table1[[#This Row],[Cal Type]]&lt;&gt;"ACCREDITED 17025 WITH UNCERTAINTIES",0,"")</f>
        <v>0</v>
      </c>
      <c r="X2243" s="1" t="str">
        <f>IF(Table1[[#This Row],[DUT Read]]="","N/A",Table1[[#This Row],[Std Error]]+Table1[[#This Row],[DUT Read]]+Table1[[#This Row],[DUT Ucty]])</f>
        <v>N/A</v>
      </c>
      <c r="Y2243" s="1" t="str">
        <f>IF(Table1[[#This Row],[Std Read]]="","N/A",Table1[[#This Row],[Std Read]]+Table1[[#This Row],[Std Ucty]])</f>
        <v>N/A</v>
      </c>
      <c r="Z22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3" s="1" t="str">
        <f>IF(Table1[[#This Row],[Spec Type]]="","N/A",Table1[[#This Row],[Spec Type]])</f>
        <v>±</v>
      </c>
      <c r="AC2243" s="1" t="str">
        <f>IF(Table1[[#This Row],[Spec Type2]]="N/A","N/A",IF(AND(Table1[[#This Row],[DUT Adj Read]]&gt;=Table1[[#This Row],[Low Tol]],Table1[[#This Row],[DUT Adj Read]]&lt;=Table1[[#This Row],[High Tol]]),"Pass","Fail"))</f>
        <v>Fail</v>
      </c>
      <c r="AD2243" s="1" t="str">
        <f>IF(AND(Table1[[#This Row],[Spec Type2]]="N/A",Table1[[#This Row],[DUT Adj Read]]="N/A",Table1[[#This Row],[Std Adj Read]]="N/A"),"N/A",IF(Table1[[#This Row],[DUT Adj Read]]="N/A",IF(Table1[[#This Row],[Std Adj Read]]&gt;Table1[[#This Row],[Low Tol]],"Pass","Fail"),IF(Table1[[#This Row],[DUT Adj Read]]&gt;Table1[[#This Row],[Low Tol]],"Pass","Fail")))</f>
        <v>Pass</v>
      </c>
      <c r="AE2243" s="1" t="str">
        <f>IF(AND(Table1[[#This Row],[Spec Type2]]="N/A",Table1[[#This Row],[DUT Adj Read]]="N/A",Table1[[#This Row],[Std Adj Read]]="N/A"),"N/A",IF(Table1[[#This Row],[DUT Adj Read]]="N/A",IF(Table1[[#This Row],[Std Adj Read]]&lt;Table1[[#This Row],[High Tol]],"Pass","Fail"),IF(Table1[[#This Row],[DUT Adj Read]]&lt;Table1[[#This Row],[High Tol]],"Pass","Fail")))</f>
        <v>Fail</v>
      </c>
      <c r="AF2243" s="1" t="str">
        <f>IF(AND(Table1[[#This Row],[Spec Type2]]="N/A",Table1[[#This Row],[DUT Adj Read]]="N/A",Table1[[#This Row],[Std Adj Read]]="N/A"),"N/A",IF(Table1[[#This Row],[DUT Adj Read]]="N/A",IF(Table1[[#This Row],[Std Adj Read]]&gt;=Table1[[#This Row],[Low Tol]],"Pass","Fail"),IF(Table1[[#This Row],[DUT Adj Read]]&gt;=Table1[[#This Row],[Low Tol]],"Pass","Fail")))</f>
        <v>Pass</v>
      </c>
      <c r="AG2243" s="1" t="str">
        <f>IF(AND(Table1[[#This Row],[Spec Type2]]="N/A",Table1[[#This Row],[DUT Adj Read]]="N/A",Table1[[#This Row],[Std Adj Read]]="N/A"),"N/A",IF(Table1[[#This Row],[DUT Adj Read]]="N/A",IF(Table1[[#This Row],[Std Adj Read]]&lt;=Table1[[#This Row],[High Tol]],"Pass","Fail"),IF(Table1[[#This Row],[DUT Adj Read]]&lt;=Table1[[#This Row],[High Tol]],"Pass","Fail")))</f>
        <v>Fail</v>
      </c>
      <c r="AH22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3" s="1" t="b">
        <v>0</v>
      </c>
      <c r="AN2243" s="1" t="b">
        <v>0</v>
      </c>
      <c r="AO2243" s="1" t="b">
        <v>0</v>
      </c>
    </row>
    <row r="2244" spans="1:41" x14ac:dyDescent="0.25">
      <c r="A2244" s="10"/>
      <c r="B2244" s="10"/>
      <c r="C2244" s="10"/>
      <c r="D2244" s="10"/>
      <c r="E2244" s="10"/>
      <c r="F2244" s="10"/>
      <c r="G2244" s="10"/>
      <c r="H2244" s="10"/>
      <c r="I2244" s="1" t="str">
        <f t="shared" si="102"/>
        <v/>
      </c>
      <c r="J2244" s="1" t="s">
        <v>35</v>
      </c>
      <c r="K2244" s="1" t="str">
        <f t="shared" si="103"/>
        <v/>
      </c>
      <c r="L2244" s="1" t="str">
        <f t="shared" si="104"/>
        <v/>
      </c>
      <c r="M2244" s="1">
        <f>IF(OR(Table1[[#This Row],[Std Nom]]="",Table1[[#This Row],[Std Read]]=""),0,Table1[[#This Row],[Std Nom]]-Table1[[#This Row],[Std Read]])</f>
        <v>0</v>
      </c>
      <c r="N2244" s="1">
        <f>IF(Calculations!$F$5="ACCREDITED 17025 WITH UNCERTAINTIES",$N$10,0)</f>
        <v>0</v>
      </c>
      <c r="Q2244" s="1">
        <f>Table1[[#This Row],[High Tol]]-Table1[[#This Row],[Low Tol]]</f>
        <v>0</v>
      </c>
      <c r="R2244" s="1">
        <f>2*Table1[[#This Row],[Std Error]]</f>
        <v>0</v>
      </c>
      <c r="S2244" s="1" t="str">
        <f>IF(Table1[[#This Row],[High Tol]]="","N/A",IFERROR(ABS(Table1[[#This Row],[Tol Span]]/Table1[[#This Row],[Error Span]]),"N/A"))</f>
        <v>N/A</v>
      </c>
      <c r="T2244" s="1" t="str">
        <f>IF(OR(Table1[[#This Row],[Low Tol]]="",Table1[[#This Row],[High Tol]]=""),"Needs Analysis",IF(Table1[[#This Row],[Ratio]]&gt;=4,"Not Significant",IF(Table1[[#This Row],[Ratio]]&gt;=2,"Semi-Significant","Significant")))</f>
        <v>Needs Analysis</v>
      </c>
      <c r="W2244" s="1">
        <f>IF(Table1[[#This Row],[Cal Type]]&lt;&gt;"ACCREDITED 17025 WITH UNCERTAINTIES",0,"")</f>
        <v>0</v>
      </c>
      <c r="X2244" s="1" t="str">
        <f>IF(Table1[[#This Row],[DUT Read]]="","N/A",Table1[[#This Row],[Std Error]]+Table1[[#This Row],[DUT Read]]+Table1[[#This Row],[DUT Ucty]])</f>
        <v>N/A</v>
      </c>
      <c r="Y2244" s="1" t="str">
        <f>IF(Table1[[#This Row],[Std Read]]="","N/A",Table1[[#This Row],[Std Read]]+Table1[[#This Row],[Std Ucty]])</f>
        <v>N/A</v>
      </c>
      <c r="Z22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4" s="1" t="str">
        <f>IF(Table1[[#This Row],[Spec Type]]="","N/A",Table1[[#This Row],[Spec Type]])</f>
        <v>±</v>
      </c>
      <c r="AC2244" s="1" t="str">
        <f>IF(Table1[[#This Row],[Spec Type2]]="N/A","N/A",IF(AND(Table1[[#This Row],[DUT Adj Read]]&gt;=Table1[[#This Row],[Low Tol]],Table1[[#This Row],[DUT Adj Read]]&lt;=Table1[[#This Row],[High Tol]]),"Pass","Fail"))</f>
        <v>Fail</v>
      </c>
      <c r="AD2244" s="1" t="str">
        <f>IF(AND(Table1[[#This Row],[Spec Type2]]="N/A",Table1[[#This Row],[DUT Adj Read]]="N/A",Table1[[#This Row],[Std Adj Read]]="N/A"),"N/A",IF(Table1[[#This Row],[DUT Adj Read]]="N/A",IF(Table1[[#This Row],[Std Adj Read]]&gt;Table1[[#This Row],[Low Tol]],"Pass","Fail"),IF(Table1[[#This Row],[DUT Adj Read]]&gt;Table1[[#This Row],[Low Tol]],"Pass","Fail")))</f>
        <v>Pass</v>
      </c>
      <c r="AE2244" s="1" t="str">
        <f>IF(AND(Table1[[#This Row],[Spec Type2]]="N/A",Table1[[#This Row],[DUT Adj Read]]="N/A",Table1[[#This Row],[Std Adj Read]]="N/A"),"N/A",IF(Table1[[#This Row],[DUT Adj Read]]="N/A",IF(Table1[[#This Row],[Std Adj Read]]&lt;Table1[[#This Row],[High Tol]],"Pass","Fail"),IF(Table1[[#This Row],[DUT Adj Read]]&lt;Table1[[#This Row],[High Tol]],"Pass","Fail")))</f>
        <v>Fail</v>
      </c>
      <c r="AF2244" s="1" t="str">
        <f>IF(AND(Table1[[#This Row],[Spec Type2]]="N/A",Table1[[#This Row],[DUT Adj Read]]="N/A",Table1[[#This Row],[Std Adj Read]]="N/A"),"N/A",IF(Table1[[#This Row],[DUT Adj Read]]="N/A",IF(Table1[[#This Row],[Std Adj Read]]&gt;=Table1[[#This Row],[Low Tol]],"Pass","Fail"),IF(Table1[[#This Row],[DUT Adj Read]]&gt;=Table1[[#This Row],[Low Tol]],"Pass","Fail")))</f>
        <v>Pass</v>
      </c>
      <c r="AG2244" s="1" t="str">
        <f>IF(AND(Table1[[#This Row],[Spec Type2]]="N/A",Table1[[#This Row],[DUT Adj Read]]="N/A",Table1[[#This Row],[Std Adj Read]]="N/A"),"N/A",IF(Table1[[#This Row],[DUT Adj Read]]="N/A",IF(Table1[[#This Row],[Std Adj Read]]&lt;=Table1[[#This Row],[High Tol]],"Pass","Fail"),IF(Table1[[#This Row],[DUT Adj Read]]&lt;=Table1[[#This Row],[High Tol]],"Pass","Fail")))</f>
        <v>Fail</v>
      </c>
      <c r="AH22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4" s="1" t="b">
        <v>0</v>
      </c>
      <c r="AN2244" s="1" t="b">
        <v>0</v>
      </c>
      <c r="AO2244" s="1" t="b">
        <v>0</v>
      </c>
    </row>
    <row r="2245" spans="1:41" x14ac:dyDescent="0.25">
      <c r="A2245" s="10"/>
      <c r="B2245" s="10"/>
      <c r="C2245" s="10"/>
      <c r="D2245" s="10"/>
      <c r="E2245" s="10"/>
      <c r="F2245" s="10"/>
      <c r="G2245" s="10"/>
      <c r="H2245" s="10"/>
      <c r="I2245" s="1" t="str">
        <f t="shared" si="102"/>
        <v/>
      </c>
      <c r="J2245" s="1" t="s">
        <v>35</v>
      </c>
      <c r="K2245" s="1" t="str">
        <f t="shared" si="103"/>
        <v/>
      </c>
      <c r="L2245" s="1" t="str">
        <f t="shared" si="104"/>
        <v/>
      </c>
      <c r="M2245" s="1">
        <f>IF(OR(Table1[[#This Row],[Std Nom]]="",Table1[[#This Row],[Std Read]]=""),0,Table1[[#This Row],[Std Nom]]-Table1[[#This Row],[Std Read]])</f>
        <v>0</v>
      </c>
      <c r="N2245" s="1">
        <f>IF(Calculations!$F$5="ACCREDITED 17025 WITH UNCERTAINTIES",$N$10,0)</f>
        <v>0</v>
      </c>
      <c r="Q2245" s="1">
        <f>Table1[[#This Row],[High Tol]]-Table1[[#This Row],[Low Tol]]</f>
        <v>0</v>
      </c>
      <c r="R2245" s="1">
        <f>2*Table1[[#This Row],[Std Error]]</f>
        <v>0</v>
      </c>
      <c r="S2245" s="1" t="str">
        <f>IF(Table1[[#This Row],[High Tol]]="","N/A",IFERROR(ABS(Table1[[#This Row],[Tol Span]]/Table1[[#This Row],[Error Span]]),"N/A"))</f>
        <v>N/A</v>
      </c>
      <c r="T2245" s="1" t="str">
        <f>IF(OR(Table1[[#This Row],[Low Tol]]="",Table1[[#This Row],[High Tol]]=""),"Needs Analysis",IF(Table1[[#This Row],[Ratio]]&gt;=4,"Not Significant",IF(Table1[[#This Row],[Ratio]]&gt;=2,"Semi-Significant","Significant")))</f>
        <v>Needs Analysis</v>
      </c>
      <c r="W2245" s="1">
        <f>IF(Table1[[#This Row],[Cal Type]]&lt;&gt;"ACCREDITED 17025 WITH UNCERTAINTIES",0,"")</f>
        <v>0</v>
      </c>
      <c r="X2245" s="1" t="str">
        <f>IF(Table1[[#This Row],[DUT Read]]="","N/A",Table1[[#This Row],[Std Error]]+Table1[[#This Row],[DUT Read]]+Table1[[#This Row],[DUT Ucty]])</f>
        <v>N/A</v>
      </c>
      <c r="Y2245" s="1" t="str">
        <f>IF(Table1[[#This Row],[Std Read]]="","N/A",Table1[[#This Row],[Std Read]]+Table1[[#This Row],[Std Ucty]])</f>
        <v>N/A</v>
      </c>
      <c r="Z22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5" s="1" t="str">
        <f>IF(Table1[[#This Row],[Spec Type]]="","N/A",Table1[[#This Row],[Spec Type]])</f>
        <v>±</v>
      </c>
      <c r="AC2245" s="1" t="str">
        <f>IF(Table1[[#This Row],[Spec Type2]]="N/A","N/A",IF(AND(Table1[[#This Row],[DUT Adj Read]]&gt;=Table1[[#This Row],[Low Tol]],Table1[[#This Row],[DUT Adj Read]]&lt;=Table1[[#This Row],[High Tol]]),"Pass","Fail"))</f>
        <v>Fail</v>
      </c>
      <c r="AD2245" s="1" t="str">
        <f>IF(AND(Table1[[#This Row],[Spec Type2]]="N/A",Table1[[#This Row],[DUT Adj Read]]="N/A",Table1[[#This Row],[Std Adj Read]]="N/A"),"N/A",IF(Table1[[#This Row],[DUT Adj Read]]="N/A",IF(Table1[[#This Row],[Std Adj Read]]&gt;Table1[[#This Row],[Low Tol]],"Pass","Fail"),IF(Table1[[#This Row],[DUT Adj Read]]&gt;Table1[[#This Row],[Low Tol]],"Pass","Fail")))</f>
        <v>Pass</v>
      </c>
      <c r="AE2245" s="1" t="str">
        <f>IF(AND(Table1[[#This Row],[Spec Type2]]="N/A",Table1[[#This Row],[DUT Adj Read]]="N/A",Table1[[#This Row],[Std Adj Read]]="N/A"),"N/A",IF(Table1[[#This Row],[DUT Adj Read]]="N/A",IF(Table1[[#This Row],[Std Adj Read]]&lt;Table1[[#This Row],[High Tol]],"Pass","Fail"),IF(Table1[[#This Row],[DUT Adj Read]]&lt;Table1[[#This Row],[High Tol]],"Pass","Fail")))</f>
        <v>Fail</v>
      </c>
      <c r="AF2245" s="1" t="str">
        <f>IF(AND(Table1[[#This Row],[Spec Type2]]="N/A",Table1[[#This Row],[DUT Adj Read]]="N/A",Table1[[#This Row],[Std Adj Read]]="N/A"),"N/A",IF(Table1[[#This Row],[DUT Adj Read]]="N/A",IF(Table1[[#This Row],[Std Adj Read]]&gt;=Table1[[#This Row],[Low Tol]],"Pass","Fail"),IF(Table1[[#This Row],[DUT Adj Read]]&gt;=Table1[[#This Row],[Low Tol]],"Pass","Fail")))</f>
        <v>Pass</v>
      </c>
      <c r="AG2245" s="1" t="str">
        <f>IF(AND(Table1[[#This Row],[Spec Type2]]="N/A",Table1[[#This Row],[DUT Adj Read]]="N/A",Table1[[#This Row],[Std Adj Read]]="N/A"),"N/A",IF(Table1[[#This Row],[DUT Adj Read]]="N/A",IF(Table1[[#This Row],[Std Adj Read]]&lt;=Table1[[#This Row],[High Tol]],"Pass","Fail"),IF(Table1[[#This Row],[DUT Adj Read]]&lt;=Table1[[#This Row],[High Tol]],"Pass","Fail")))</f>
        <v>Fail</v>
      </c>
      <c r="AH22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5" s="1" t="b">
        <v>0</v>
      </c>
      <c r="AN2245" s="1" t="b">
        <v>0</v>
      </c>
      <c r="AO2245" s="1" t="b">
        <v>0</v>
      </c>
    </row>
    <row r="2246" spans="1:41" x14ac:dyDescent="0.25">
      <c r="A2246" s="10"/>
      <c r="B2246" s="10"/>
      <c r="C2246" s="10"/>
      <c r="D2246" s="10"/>
      <c r="E2246" s="10"/>
      <c r="F2246" s="10"/>
      <c r="G2246" s="10"/>
      <c r="H2246" s="10"/>
      <c r="I2246" s="1" t="str">
        <f t="shared" si="102"/>
        <v/>
      </c>
      <c r="J2246" s="1" t="s">
        <v>35</v>
      </c>
      <c r="K2246" s="1" t="str">
        <f t="shared" si="103"/>
        <v/>
      </c>
      <c r="L2246" s="1" t="str">
        <f t="shared" si="104"/>
        <v/>
      </c>
      <c r="M2246" s="1">
        <f>IF(OR(Table1[[#This Row],[Std Nom]]="",Table1[[#This Row],[Std Read]]=""),0,Table1[[#This Row],[Std Nom]]-Table1[[#This Row],[Std Read]])</f>
        <v>0</v>
      </c>
      <c r="N2246" s="1">
        <f>IF(Calculations!$F$5="ACCREDITED 17025 WITH UNCERTAINTIES",$N$10,0)</f>
        <v>0</v>
      </c>
      <c r="Q2246" s="1">
        <f>Table1[[#This Row],[High Tol]]-Table1[[#This Row],[Low Tol]]</f>
        <v>0</v>
      </c>
      <c r="R2246" s="1">
        <f>2*Table1[[#This Row],[Std Error]]</f>
        <v>0</v>
      </c>
      <c r="S2246" s="1" t="str">
        <f>IF(Table1[[#This Row],[High Tol]]="","N/A",IFERROR(ABS(Table1[[#This Row],[Tol Span]]/Table1[[#This Row],[Error Span]]),"N/A"))</f>
        <v>N/A</v>
      </c>
      <c r="T2246" s="1" t="str">
        <f>IF(OR(Table1[[#This Row],[Low Tol]]="",Table1[[#This Row],[High Tol]]=""),"Needs Analysis",IF(Table1[[#This Row],[Ratio]]&gt;=4,"Not Significant",IF(Table1[[#This Row],[Ratio]]&gt;=2,"Semi-Significant","Significant")))</f>
        <v>Needs Analysis</v>
      </c>
      <c r="W2246" s="1">
        <f>IF(Table1[[#This Row],[Cal Type]]&lt;&gt;"ACCREDITED 17025 WITH UNCERTAINTIES",0,"")</f>
        <v>0</v>
      </c>
      <c r="X2246" s="1" t="str">
        <f>IF(Table1[[#This Row],[DUT Read]]="","N/A",Table1[[#This Row],[Std Error]]+Table1[[#This Row],[DUT Read]]+Table1[[#This Row],[DUT Ucty]])</f>
        <v>N/A</v>
      </c>
      <c r="Y2246" s="1" t="str">
        <f>IF(Table1[[#This Row],[Std Read]]="","N/A",Table1[[#This Row],[Std Read]]+Table1[[#This Row],[Std Ucty]])</f>
        <v>N/A</v>
      </c>
      <c r="Z22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6" s="1" t="str">
        <f>IF(Table1[[#This Row],[Spec Type]]="","N/A",Table1[[#This Row],[Spec Type]])</f>
        <v>±</v>
      </c>
      <c r="AC2246" s="1" t="str">
        <f>IF(Table1[[#This Row],[Spec Type2]]="N/A","N/A",IF(AND(Table1[[#This Row],[DUT Adj Read]]&gt;=Table1[[#This Row],[Low Tol]],Table1[[#This Row],[DUT Adj Read]]&lt;=Table1[[#This Row],[High Tol]]),"Pass","Fail"))</f>
        <v>Fail</v>
      </c>
      <c r="AD2246" s="1" t="str">
        <f>IF(AND(Table1[[#This Row],[Spec Type2]]="N/A",Table1[[#This Row],[DUT Adj Read]]="N/A",Table1[[#This Row],[Std Adj Read]]="N/A"),"N/A",IF(Table1[[#This Row],[DUT Adj Read]]="N/A",IF(Table1[[#This Row],[Std Adj Read]]&gt;Table1[[#This Row],[Low Tol]],"Pass","Fail"),IF(Table1[[#This Row],[DUT Adj Read]]&gt;Table1[[#This Row],[Low Tol]],"Pass","Fail")))</f>
        <v>Pass</v>
      </c>
      <c r="AE2246" s="1" t="str">
        <f>IF(AND(Table1[[#This Row],[Spec Type2]]="N/A",Table1[[#This Row],[DUT Adj Read]]="N/A",Table1[[#This Row],[Std Adj Read]]="N/A"),"N/A",IF(Table1[[#This Row],[DUT Adj Read]]="N/A",IF(Table1[[#This Row],[Std Adj Read]]&lt;Table1[[#This Row],[High Tol]],"Pass","Fail"),IF(Table1[[#This Row],[DUT Adj Read]]&lt;Table1[[#This Row],[High Tol]],"Pass","Fail")))</f>
        <v>Fail</v>
      </c>
      <c r="AF2246" s="1" t="str">
        <f>IF(AND(Table1[[#This Row],[Spec Type2]]="N/A",Table1[[#This Row],[DUT Adj Read]]="N/A",Table1[[#This Row],[Std Adj Read]]="N/A"),"N/A",IF(Table1[[#This Row],[DUT Adj Read]]="N/A",IF(Table1[[#This Row],[Std Adj Read]]&gt;=Table1[[#This Row],[Low Tol]],"Pass","Fail"),IF(Table1[[#This Row],[DUT Adj Read]]&gt;=Table1[[#This Row],[Low Tol]],"Pass","Fail")))</f>
        <v>Pass</v>
      </c>
      <c r="AG2246" s="1" t="str">
        <f>IF(AND(Table1[[#This Row],[Spec Type2]]="N/A",Table1[[#This Row],[DUT Adj Read]]="N/A",Table1[[#This Row],[Std Adj Read]]="N/A"),"N/A",IF(Table1[[#This Row],[DUT Adj Read]]="N/A",IF(Table1[[#This Row],[Std Adj Read]]&lt;=Table1[[#This Row],[High Tol]],"Pass","Fail"),IF(Table1[[#This Row],[DUT Adj Read]]&lt;=Table1[[#This Row],[High Tol]],"Pass","Fail")))</f>
        <v>Fail</v>
      </c>
      <c r="AH22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6" s="1" t="b">
        <v>0</v>
      </c>
      <c r="AN2246" s="1" t="b">
        <v>0</v>
      </c>
      <c r="AO2246" s="1" t="b">
        <v>0</v>
      </c>
    </row>
    <row r="2247" spans="1:41" x14ac:dyDescent="0.25">
      <c r="A2247" s="10"/>
      <c r="B2247" s="10"/>
      <c r="C2247" s="10"/>
      <c r="D2247" s="10"/>
      <c r="E2247" s="10"/>
      <c r="F2247" s="10"/>
      <c r="G2247" s="10"/>
      <c r="H2247" s="10"/>
      <c r="I2247" s="1" t="str">
        <f t="shared" si="102"/>
        <v/>
      </c>
      <c r="J2247" s="1" t="s">
        <v>35</v>
      </c>
      <c r="K2247" s="1" t="str">
        <f t="shared" si="103"/>
        <v/>
      </c>
      <c r="L2247" s="1" t="str">
        <f t="shared" si="104"/>
        <v/>
      </c>
      <c r="M2247" s="1">
        <f>IF(OR(Table1[[#This Row],[Std Nom]]="",Table1[[#This Row],[Std Read]]=""),0,Table1[[#This Row],[Std Nom]]-Table1[[#This Row],[Std Read]])</f>
        <v>0</v>
      </c>
      <c r="N2247" s="1">
        <f>IF(Calculations!$F$5="ACCREDITED 17025 WITH UNCERTAINTIES",$N$10,0)</f>
        <v>0</v>
      </c>
      <c r="Q2247" s="1">
        <f>Table1[[#This Row],[High Tol]]-Table1[[#This Row],[Low Tol]]</f>
        <v>0</v>
      </c>
      <c r="R2247" s="1">
        <f>2*Table1[[#This Row],[Std Error]]</f>
        <v>0</v>
      </c>
      <c r="S2247" s="1" t="str">
        <f>IF(Table1[[#This Row],[High Tol]]="","N/A",IFERROR(ABS(Table1[[#This Row],[Tol Span]]/Table1[[#This Row],[Error Span]]),"N/A"))</f>
        <v>N/A</v>
      </c>
      <c r="T2247" s="1" t="str">
        <f>IF(OR(Table1[[#This Row],[Low Tol]]="",Table1[[#This Row],[High Tol]]=""),"Needs Analysis",IF(Table1[[#This Row],[Ratio]]&gt;=4,"Not Significant",IF(Table1[[#This Row],[Ratio]]&gt;=2,"Semi-Significant","Significant")))</f>
        <v>Needs Analysis</v>
      </c>
      <c r="W2247" s="1">
        <f>IF(Table1[[#This Row],[Cal Type]]&lt;&gt;"ACCREDITED 17025 WITH UNCERTAINTIES",0,"")</f>
        <v>0</v>
      </c>
      <c r="X2247" s="1" t="str">
        <f>IF(Table1[[#This Row],[DUT Read]]="","N/A",Table1[[#This Row],[Std Error]]+Table1[[#This Row],[DUT Read]]+Table1[[#This Row],[DUT Ucty]])</f>
        <v>N/A</v>
      </c>
      <c r="Y2247" s="1" t="str">
        <f>IF(Table1[[#This Row],[Std Read]]="","N/A",Table1[[#This Row],[Std Read]]+Table1[[#This Row],[Std Ucty]])</f>
        <v>N/A</v>
      </c>
      <c r="Z22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7" s="1" t="str">
        <f>IF(Table1[[#This Row],[Spec Type]]="","N/A",Table1[[#This Row],[Spec Type]])</f>
        <v>±</v>
      </c>
      <c r="AC2247" s="1" t="str">
        <f>IF(Table1[[#This Row],[Spec Type2]]="N/A","N/A",IF(AND(Table1[[#This Row],[DUT Adj Read]]&gt;=Table1[[#This Row],[Low Tol]],Table1[[#This Row],[DUT Adj Read]]&lt;=Table1[[#This Row],[High Tol]]),"Pass","Fail"))</f>
        <v>Fail</v>
      </c>
      <c r="AD2247" s="1" t="str">
        <f>IF(AND(Table1[[#This Row],[Spec Type2]]="N/A",Table1[[#This Row],[DUT Adj Read]]="N/A",Table1[[#This Row],[Std Adj Read]]="N/A"),"N/A",IF(Table1[[#This Row],[DUT Adj Read]]="N/A",IF(Table1[[#This Row],[Std Adj Read]]&gt;Table1[[#This Row],[Low Tol]],"Pass","Fail"),IF(Table1[[#This Row],[DUT Adj Read]]&gt;Table1[[#This Row],[Low Tol]],"Pass","Fail")))</f>
        <v>Pass</v>
      </c>
      <c r="AE2247" s="1" t="str">
        <f>IF(AND(Table1[[#This Row],[Spec Type2]]="N/A",Table1[[#This Row],[DUT Adj Read]]="N/A",Table1[[#This Row],[Std Adj Read]]="N/A"),"N/A",IF(Table1[[#This Row],[DUT Adj Read]]="N/A",IF(Table1[[#This Row],[Std Adj Read]]&lt;Table1[[#This Row],[High Tol]],"Pass","Fail"),IF(Table1[[#This Row],[DUT Adj Read]]&lt;Table1[[#This Row],[High Tol]],"Pass","Fail")))</f>
        <v>Fail</v>
      </c>
      <c r="AF2247" s="1" t="str">
        <f>IF(AND(Table1[[#This Row],[Spec Type2]]="N/A",Table1[[#This Row],[DUT Adj Read]]="N/A",Table1[[#This Row],[Std Adj Read]]="N/A"),"N/A",IF(Table1[[#This Row],[DUT Adj Read]]="N/A",IF(Table1[[#This Row],[Std Adj Read]]&gt;=Table1[[#This Row],[Low Tol]],"Pass","Fail"),IF(Table1[[#This Row],[DUT Adj Read]]&gt;=Table1[[#This Row],[Low Tol]],"Pass","Fail")))</f>
        <v>Pass</v>
      </c>
      <c r="AG2247" s="1" t="str">
        <f>IF(AND(Table1[[#This Row],[Spec Type2]]="N/A",Table1[[#This Row],[DUT Adj Read]]="N/A",Table1[[#This Row],[Std Adj Read]]="N/A"),"N/A",IF(Table1[[#This Row],[DUT Adj Read]]="N/A",IF(Table1[[#This Row],[Std Adj Read]]&lt;=Table1[[#This Row],[High Tol]],"Pass","Fail"),IF(Table1[[#This Row],[DUT Adj Read]]&lt;=Table1[[#This Row],[High Tol]],"Pass","Fail")))</f>
        <v>Fail</v>
      </c>
      <c r="AH22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7" s="1" t="b">
        <v>0</v>
      </c>
      <c r="AN2247" s="1" t="b">
        <v>0</v>
      </c>
      <c r="AO2247" s="1" t="b">
        <v>0</v>
      </c>
    </row>
    <row r="2248" spans="1:41" x14ac:dyDescent="0.25">
      <c r="A2248" s="10"/>
      <c r="B2248" s="10"/>
      <c r="C2248" s="10"/>
      <c r="D2248" s="10"/>
      <c r="E2248" s="10"/>
      <c r="F2248" s="10"/>
      <c r="G2248" s="10"/>
      <c r="H2248" s="10"/>
      <c r="I2248" s="1" t="str">
        <f t="shared" si="102"/>
        <v/>
      </c>
      <c r="J2248" s="1" t="s">
        <v>35</v>
      </c>
      <c r="K2248" s="1" t="str">
        <f t="shared" si="103"/>
        <v/>
      </c>
      <c r="L2248" s="1" t="str">
        <f t="shared" si="104"/>
        <v/>
      </c>
      <c r="M2248" s="1">
        <f>IF(OR(Table1[[#This Row],[Std Nom]]="",Table1[[#This Row],[Std Read]]=""),0,Table1[[#This Row],[Std Nom]]-Table1[[#This Row],[Std Read]])</f>
        <v>0</v>
      </c>
      <c r="N2248" s="1">
        <f>IF(Calculations!$F$5="ACCREDITED 17025 WITH UNCERTAINTIES",$N$10,0)</f>
        <v>0</v>
      </c>
      <c r="Q2248" s="1">
        <f>Table1[[#This Row],[High Tol]]-Table1[[#This Row],[Low Tol]]</f>
        <v>0</v>
      </c>
      <c r="R2248" s="1">
        <f>2*Table1[[#This Row],[Std Error]]</f>
        <v>0</v>
      </c>
      <c r="S2248" s="1" t="str">
        <f>IF(Table1[[#This Row],[High Tol]]="","N/A",IFERROR(ABS(Table1[[#This Row],[Tol Span]]/Table1[[#This Row],[Error Span]]),"N/A"))</f>
        <v>N/A</v>
      </c>
      <c r="T2248" s="1" t="str">
        <f>IF(OR(Table1[[#This Row],[Low Tol]]="",Table1[[#This Row],[High Tol]]=""),"Needs Analysis",IF(Table1[[#This Row],[Ratio]]&gt;=4,"Not Significant",IF(Table1[[#This Row],[Ratio]]&gt;=2,"Semi-Significant","Significant")))</f>
        <v>Needs Analysis</v>
      </c>
      <c r="W2248" s="1">
        <f>IF(Table1[[#This Row],[Cal Type]]&lt;&gt;"ACCREDITED 17025 WITH UNCERTAINTIES",0,"")</f>
        <v>0</v>
      </c>
      <c r="X2248" s="1" t="str">
        <f>IF(Table1[[#This Row],[DUT Read]]="","N/A",Table1[[#This Row],[Std Error]]+Table1[[#This Row],[DUT Read]]+Table1[[#This Row],[DUT Ucty]])</f>
        <v>N/A</v>
      </c>
      <c r="Y2248" s="1" t="str">
        <f>IF(Table1[[#This Row],[Std Read]]="","N/A",Table1[[#This Row],[Std Read]]+Table1[[#This Row],[Std Ucty]])</f>
        <v>N/A</v>
      </c>
      <c r="Z22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8" s="1" t="str">
        <f>IF(Table1[[#This Row],[Spec Type]]="","N/A",Table1[[#This Row],[Spec Type]])</f>
        <v>±</v>
      </c>
      <c r="AC2248" s="1" t="str">
        <f>IF(Table1[[#This Row],[Spec Type2]]="N/A","N/A",IF(AND(Table1[[#This Row],[DUT Adj Read]]&gt;=Table1[[#This Row],[Low Tol]],Table1[[#This Row],[DUT Adj Read]]&lt;=Table1[[#This Row],[High Tol]]),"Pass","Fail"))</f>
        <v>Fail</v>
      </c>
      <c r="AD2248" s="1" t="str">
        <f>IF(AND(Table1[[#This Row],[Spec Type2]]="N/A",Table1[[#This Row],[DUT Adj Read]]="N/A",Table1[[#This Row],[Std Adj Read]]="N/A"),"N/A",IF(Table1[[#This Row],[DUT Adj Read]]="N/A",IF(Table1[[#This Row],[Std Adj Read]]&gt;Table1[[#This Row],[Low Tol]],"Pass","Fail"),IF(Table1[[#This Row],[DUT Adj Read]]&gt;Table1[[#This Row],[Low Tol]],"Pass","Fail")))</f>
        <v>Pass</v>
      </c>
      <c r="AE2248" s="1" t="str">
        <f>IF(AND(Table1[[#This Row],[Spec Type2]]="N/A",Table1[[#This Row],[DUT Adj Read]]="N/A",Table1[[#This Row],[Std Adj Read]]="N/A"),"N/A",IF(Table1[[#This Row],[DUT Adj Read]]="N/A",IF(Table1[[#This Row],[Std Adj Read]]&lt;Table1[[#This Row],[High Tol]],"Pass","Fail"),IF(Table1[[#This Row],[DUT Adj Read]]&lt;Table1[[#This Row],[High Tol]],"Pass","Fail")))</f>
        <v>Fail</v>
      </c>
      <c r="AF2248" s="1" t="str">
        <f>IF(AND(Table1[[#This Row],[Spec Type2]]="N/A",Table1[[#This Row],[DUT Adj Read]]="N/A",Table1[[#This Row],[Std Adj Read]]="N/A"),"N/A",IF(Table1[[#This Row],[DUT Adj Read]]="N/A",IF(Table1[[#This Row],[Std Adj Read]]&gt;=Table1[[#This Row],[Low Tol]],"Pass","Fail"),IF(Table1[[#This Row],[DUT Adj Read]]&gt;=Table1[[#This Row],[Low Tol]],"Pass","Fail")))</f>
        <v>Pass</v>
      </c>
      <c r="AG2248" s="1" t="str">
        <f>IF(AND(Table1[[#This Row],[Spec Type2]]="N/A",Table1[[#This Row],[DUT Adj Read]]="N/A",Table1[[#This Row],[Std Adj Read]]="N/A"),"N/A",IF(Table1[[#This Row],[DUT Adj Read]]="N/A",IF(Table1[[#This Row],[Std Adj Read]]&lt;=Table1[[#This Row],[High Tol]],"Pass","Fail"),IF(Table1[[#This Row],[DUT Adj Read]]&lt;=Table1[[#This Row],[High Tol]],"Pass","Fail")))</f>
        <v>Fail</v>
      </c>
      <c r="AH22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8" s="1" t="b">
        <v>0</v>
      </c>
      <c r="AN2248" s="1" t="b">
        <v>0</v>
      </c>
      <c r="AO2248" s="1" t="b">
        <v>0</v>
      </c>
    </row>
    <row r="2249" spans="1:41" x14ac:dyDescent="0.25">
      <c r="A2249" s="10"/>
      <c r="B2249" s="10"/>
      <c r="C2249" s="10"/>
      <c r="D2249" s="10"/>
      <c r="E2249" s="10"/>
      <c r="F2249" s="10"/>
      <c r="G2249" s="10"/>
      <c r="H2249" s="10"/>
      <c r="I2249" s="1" t="str">
        <f t="shared" si="102"/>
        <v/>
      </c>
      <c r="J2249" s="1" t="s">
        <v>35</v>
      </c>
      <c r="K2249" s="1" t="str">
        <f t="shared" si="103"/>
        <v/>
      </c>
      <c r="L2249" s="1" t="str">
        <f t="shared" si="104"/>
        <v/>
      </c>
      <c r="M2249" s="1">
        <f>IF(OR(Table1[[#This Row],[Std Nom]]="",Table1[[#This Row],[Std Read]]=""),0,Table1[[#This Row],[Std Nom]]-Table1[[#This Row],[Std Read]])</f>
        <v>0</v>
      </c>
      <c r="N2249" s="1">
        <f>IF(Calculations!$F$5="ACCREDITED 17025 WITH UNCERTAINTIES",$N$10,0)</f>
        <v>0</v>
      </c>
      <c r="Q2249" s="1">
        <f>Table1[[#This Row],[High Tol]]-Table1[[#This Row],[Low Tol]]</f>
        <v>0</v>
      </c>
      <c r="R2249" s="1">
        <f>2*Table1[[#This Row],[Std Error]]</f>
        <v>0</v>
      </c>
      <c r="S2249" s="1" t="str">
        <f>IF(Table1[[#This Row],[High Tol]]="","N/A",IFERROR(ABS(Table1[[#This Row],[Tol Span]]/Table1[[#This Row],[Error Span]]),"N/A"))</f>
        <v>N/A</v>
      </c>
      <c r="T2249" s="1" t="str">
        <f>IF(OR(Table1[[#This Row],[Low Tol]]="",Table1[[#This Row],[High Tol]]=""),"Needs Analysis",IF(Table1[[#This Row],[Ratio]]&gt;=4,"Not Significant",IF(Table1[[#This Row],[Ratio]]&gt;=2,"Semi-Significant","Significant")))</f>
        <v>Needs Analysis</v>
      </c>
      <c r="W2249" s="1">
        <f>IF(Table1[[#This Row],[Cal Type]]&lt;&gt;"ACCREDITED 17025 WITH UNCERTAINTIES",0,"")</f>
        <v>0</v>
      </c>
      <c r="X2249" s="1" t="str">
        <f>IF(Table1[[#This Row],[DUT Read]]="","N/A",Table1[[#This Row],[Std Error]]+Table1[[#This Row],[DUT Read]]+Table1[[#This Row],[DUT Ucty]])</f>
        <v>N/A</v>
      </c>
      <c r="Y2249" s="1" t="str">
        <f>IF(Table1[[#This Row],[Std Read]]="","N/A",Table1[[#This Row],[Std Read]]+Table1[[#This Row],[Std Ucty]])</f>
        <v>N/A</v>
      </c>
      <c r="Z22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49" s="1" t="str">
        <f>IF(Table1[[#This Row],[Spec Type]]="","N/A",Table1[[#This Row],[Spec Type]])</f>
        <v>±</v>
      </c>
      <c r="AC2249" s="1" t="str">
        <f>IF(Table1[[#This Row],[Spec Type2]]="N/A","N/A",IF(AND(Table1[[#This Row],[DUT Adj Read]]&gt;=Table1[[#This Row],[Low Tol]],Table1[[#This Row],[DUT Adj Read]]&lt;=Table1[[#This Row],[High Tol]]),"Pass","Fail"))</f>
        <v>Fail</v>
      </c>
      <c r="AD2249" s="1" t="str">
        <f>IF(AND(Table1[[#This Row],[Spec Type2]]="N/A",Table1[[#This Row],[DUT Adj Read]]="N/A",Table1[[#This Row],[Std Adj Read]]="N/A"),"N/A",IF(Table1[[#This Row],[DUT Adj Read]]="N/A",IF(Table1[[#This Row],[Std Adj Read]]&gt;Table1[[#This Row],[Low Tol]],"Pass","Fail"),IF(Table1[[#This Row],[DUT Adj Read]]&gt;Table1[[#This Row],[Low Tol]],"Pass","Fail")))</f>
        <v>Pass</v>
      </c>
      <c r="AE2249" s="1" t="str">
        <f>IF(AND(Table1[[#This Row],[Spec Type2]]="N/A",Table1[[#This Row],[DUT Adj Read]]="N/A",Table1[[#This Row],[Std Adj Read]]="N/A"),"N/A",IF(Table1[[#This Row],[DUT Adj Read]]="N/A",IF(Table1[[#This Row],[Std Adj Read]]&lt;Table1[[#This Row],[High Tol]],"Pass","Fail"),IF(Table1[[#This Row],[DUT Adj Read]]&lt;Table1[[#This Row],[High Tol]],"Pass","Fail")))</f>
        <v>Fail</v>
      </c>
      <c r="AF2249" s="1" t="str">
        <f>IF(AND(Table1[[#This Row],[Spec Type2]]="N/A",Table1[[#This Row],[DUT Adj Read]]="N/A",Table1[[#This Row],[Std Adj Read]]="N/A"),"N/A",IF(Table1[[#This Row],[DUT Adj Read]]="N/A",IF(Table1[[#This Row],[Std Adj Read]]&gt;=Table1[[#This Row],[Low Tol]],"Pass","Fail"),IF(Table1[[#This Row],[DUT Adj Read]]&gt;=Table1[[#This Row],[Low Tol]],"Pass","Fail")))</f>
        <v>Pass</v>
      </c>
      <c r="AG2249" s="1" t="str">
        <f>IF(AND(Table1[[#This Row],[Spec Type2]]="N/A",Table1[[#This Row],[DUT Adj Read]]="N/A",Table1[[#This Row],[Std Adj Read]]="N/A"),"N/A",IF(Table1[[#This Row],[DUT Adj Read]]="N/A",IF(Table1[[#This Row],[Std Adj Read]]&lt;=Table1[[#This Row],[High Tol]],"Pass","Fail"),IF(Table1[[#This Row],[DUT Adj Read]]&lt;=Table1[[#This Row],[High Tol]],"Pass","Fail")))</f>
        <v>Fail</v>
      </c>
      <c r="AH22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49" s="1" t="b">
        <v>0</v>
      </c>
      <c r="AN2249" s="1" t="b">
        <v>0</v>
      </c>
      <c r="AO2249" s="1" t="b">
        <v>0</v>
      </c>
    </row>
    <row r="2250" spans="1:41" x14ac:dyDescent="0.25">
      <c r="A2250" s="10"/>
      <c r="B2250" s="10"/>
      <c r="C2250" s="10"/>
      <c r="D2250" s="10"/>
      <c r="E2250" s="10"/>
      <c r="F2250" s="10"/>
      <c r="G2250" s="10"/>
      <c r="H2250" s="10"/>
      <c r="I2250" s="1" t="str">
        <f t="shared" si="102"/>
        <v/>
      </c>
      <c r="J2250" s="1" t="s">
        <v>35</v>
      </c>
      <c r="K2250" s="1" t="str">
        <f t="shared" si="103"/>
        <v/>
      </c>
      <c r="L2250" s="1" t="str">
        <f t="shared" si="104"/>
        <v/>
      </c>
      <c r="M2250" s="1">
        <f>IF(OR(Table1[[#This Row],[Std Nom]]="",Table1[[#This Row],[Std Read]]=""),0,Table1[[#This Row],[Std Nom]]-Table1[[#This Row],[Std Read]])</f>
        <v>0</v>
      </c>
      <c r="N2250" s="1">
        <f>IF(Calculations!$F$5="ACCREDITED 17025 WITH UNCERTAINTIES",$N$10,0)</f>
        <v>0</v>
      </c>
      <c r="Q2250" s="1">
        <f>Table1[[#This Row],[High Tol]]-Table1[[#This Row],[Low Tol]]</f>
        <v>0</v>
      </c>
      <c r="R2250" s="1">
        <f>2*Table1[[#This Row],[Std Error]]</f>
        <v>0</v>
      </c>
      <c r="S2250" s="1" t="str">
        <f>IF(Table1[[#This Row],[High Tol]]="","N/A",IFERROR(ABS(Table1[[#This Row],[Tol Span]]/Table1[[#This Row],[Error Span]]),"N/A"))</f>
        <v>N/A</v>
      </c>
      <c r="T2250" s="1" t="str">
        <f>IF(OR(Table1[[#This Row],[Low Tol]]="",Table1[[#This Row],[High Tol]]=""),"Needs Analysis",IF(Table1[[#This Row],[Ratio]]&gt;=4,"Not Significant",IF(Table1[[#This Row],[Ratio]]&gt;=2,"Semi-Significant","Significant")))</f>
        <v>Needs Analysis</v>
      </c>
      <c r="W2250" s="1">
        <f>IF(Table1[[#This Row],[Cal Type]]&lt;&gt;"ACCREDITED 17025 WITH UNCERTAINTIES",0,"")</f>
        <v>0</v>
      </c>
      <c r="X2250" s="1" t="str">
        <f>IF(Table1[[#This Row],[DUT Read]]="","N/A",Table1[[#This Row],[Std Error]]+Table1[[#This Row],[DUT Read]]+Table1[[#This Row],[DUT Ucty]])</f>
        <v>N/A</v>
      </c>
      <c r="Y2250" s="1" t="str">
        <f>IF(Table1[[#This Row],[Std Read]]="","N/A",Table1[[#This Row],[Std Read]]+Table1[[#This Row],[Std Ucty]])</f>
        <v>N/A</v>
      </c>
      <c r="Z22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0" s="1" t="str">
        <f>IF(Table1[[#This Row],[Spec Type]]="","N/A",Table1[[#This Row],[Spec Type]])</f>
        <v>±</v>
      </c>
      <c r="AC2250" s="1" t="str">
        <f>IF(Table1[[#This Row],[Spec Type2]]="N/A","N/A",IF(AND(Table1[[#This Row],[DUT Adj Read]]&gt;=Table1[[#This Row],[Low Tol]],Table1[[#This Row],[DUT Adj Read]]&lt;=Table1[[#This Row],[High Tol]]),"Pass","Fail"))</f>
        <v>Fail</v>
      </c>
      <c r="AD2250" s="1" t="str">
        <f>IF(AND(Table1[[#This Row],[Spec Type2]]="N/A",Table1[[#This Row],[DUT Adj Read]]="N/A",Table1[[#This Row],[Std Adj Read]]="N/A"),"N/A",IF(Table1[[#This Row],[DUT Adj Read]]="N/A",IF(Table1[[#This Row],[Std Adj Read]]&gt;Table1[[#This Row],[Low Tol]],"Pass","Fail"),IF(Table1[[#This Row],[DUT Adj Read]]&gt;Table1[[#This Row],[Low Tol]],"Pass","Fail")))</f>
        <v>Pass</v>
      </c>
      <c r="AE2250" s="1" t="str">
        <f>IF(AND(Table1[[#This Row],[Spec Type2]]="N/A",Table1[[#This Row],[DUT Adj Read]]="N/A",Table1[[#This Row],[Std Adj Read]]="N/A"),"N/A",IF(Table1[[#This Row],[DUT Adj Read]]="N/A",IF(Table1[[#This Row],[Std Adj Read]]&lt;Table1[[#This Row],[High Tol]],"Pass","Fail"),IF(Table1[[#This Row],[DUT Adj Read]]&lt;Table1[[#This Row],[High Tol]],"Pass","Fail")))</f>
        <v>Fail</v>
      </c>
      <c r="AF2250" s="1" t="str">
        <f>IF(AND(Table1[[#This Row],[Spec Type2]]="N/A",Table1[[#This Row],[DUT Adj Read]]="N/A",Table1[[#This Row],[Std Adj Read]]="N/A"),"N/A",IF(Table1[[#This Row],[DUT Adj Read]]="N/A",IF(Table1[[#This Row],[Std Adj Read]]&gt;=Table1[[#This Row],[Low Tol]],"Pass","Fail"),IF(Table1[[#This Row],[DUT Adj Read]]&gt;=Table1[[#This Row],[Low Tol]],"Pass","Fail")))</f>
        <v>Pass</v>
      </c>
      <c r="AG2250" s="1" t="str">
        <f>IF(AND(Table1[[#This Row],[Spec Type2]]="N/A",Table1[[#This Row],[DUT Adj Read]]="N/A",Table1[[#This Row],[Std Adj Read]]="N/A"),"N/A",IF(Table1[[#This Row],[DUT Adj Read]]="N/A",IF(Table1[[#This Row],[Std Adj Read]]&lt;=Table1[[#This Row],[High Tol]],"Pass","Fail"),IF(Table1[[#This Row],[DUT Adj Read]]&lt;=Table1[[#This Row],[High Tol]],"Pass","Fail")))</f>
        <v>Fail</v>
      </c>
      <c r="AH22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0" s="1" t="b">
        <v>0</v>
      </c>
      <c r="AN2250" s="1" t="b">
        <v>0</v>
      </c>
      <c r="AO2250" s="1" t="b">
        <v>0</v>
      </c>
    </row>
    <row r="2251" spans="1:41" x14ac:dyDescent="0.25">
      <c r="A2251" s="10"/>
      <c r="B2251" s="10"/>
      <c r="C2251" s="10"/>
      <c r="D2251" s="10"/>
      <c r="E2251" s="10"/>
      <c r="F2251" s="10"/>
      <c r="G2251" s="10"/>
      <c r="H2251" s="10"/>
      <c r="I2251" s="1" t="str">
        <f t="shared" ref="I2251:I2314" si="105">IF($I$10="","",$I$10)</f>
        <v/>
      </c>
      <c r="J2251" s="1" t="s">
        <v>35</v>
      </c>
      <c r="K2251" s="1" t="str">
        <f t="shared" ref="K2251:K2314" si="106">IF($K$10="","",$K$10)</f>
        <v/>
      </c>
      <c r="L2251" s="1" t="str">
        <f t="shared" ref="L2251:L2314" si="107">IF($L$10="","",$L$10)</f>
        <v/>
      </c>
      <c r="M2251" s="1">
        <f>IF(OR(Table1[[#This Row],[Std Nom]]="",Table1[[#This Row],[Std Read]]=""),0,Table1[[#This Row],[Std Nom]]-Table1[[#This Row],[Std Read]])</f>
        <v>0</v>
      </c>
      <c r="N2251" s="1">
        <f>IF(Calculations!$F$5="ACCREDITED 17025 WITH UNCERTAINTIES",$N$10,0)</f>
        <v>0</v>
      </c>
      <c r="Q2251" s="1">
        <f>Table1[[#This Row],[High Tol]]-Table1[[#This Row],[Low Tol]]</f>
        <v>0</v>
      </c>
      <c r="R2251" s="1">
        <f>2*Table1[[#This Row],[Std Error]]</f>
        <v>0</v>
      </c>
      <c r="S2251" s="1" t="str">
        <f>IF(Table1[[#This Row],[High Tol]]="","N/A",IFERROR(ABS(Table1[[#This Row],[Tol Span]]/Table1[[#This Row],[Error Span]]),"N/A"))</f>
        <v>N/A</v>
      </c>
      <c r="T2251" s="1" t="str">
        <f>IF(OR(Table1[[#This Row],[Low Tol]]="",Table1[[#This Row],[High Tol]]=""),"Needs Analysis",IF(Table1[[#This Row],[Ratio]]&gt;=4,"Not Significant",IF(Table1[[#This Row],[Ratio]]&gt;=2,"Semi-Significant","Significant")))</f>
        <v>Needs Analysis</v>
      </c>
      <c r="W2251" s="1">
        <f>IF(Table1[[#This Row],[Cal Type]]&lt;&gt;"ACCREDITED 17025 WITH UNCERTAINTIES",0,"")</f>
        <v>0</v>
      </c>
      <c r="X2251" s="1" t="str">
        <f>IF(Table1[[#This Row],[DUT Read]]="","N/A",Table1[[#This Row],[Std Error]]+Table1[[#This Row],[DUT Read]]+Table1[[#This Row],[DUT Ucty]])</f>
        <v>N/A</v>
      </c>
      <c r="Y2251" s="1" t="str">
        <f>IF(Table1[[#This Row],[Std Read]]="","N/A",Table1[[#This Row],[Std Read]]+Table1[[#This Row],[Std Ucty]])</f>
        <v>N/A</v>
      </c>
      <c r="Z22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1" s="1" t="str">
        <f>IF(Table1[[#This Row],[Spec Type]]="","N/A",Table1[[#This Row],[Spec Type]])</f>
        <v>±</v>
      </c>
      <c r="AC2251" s="1" t="str">
        <f>IF(Table1[[#This Row],[Spec Type2]]="N/A","N/A",IF(AND(Table1[[#This Row],[DUT Adj Read]]&gt;=Table1[[#This Row],[Low Tol]],Table1[[#This Row],[DUT Adj Read]]&lt;=Table1[[#This Row],[High Tol]]),"Pass","Fail"))</f>
        <v>Fail</v>
      </c>
      <c r="AD2251" s="1" t="str">
        <f>IF(AND(Table1[[#This Row],[Spec Type2]]="N/A",Table1[[#This Row],[DUT Adj Read]]="N/A",Table1[[#This Row],[Std Adj Read]]="N/A"),"N/A",IF(Table1[[#This Row],[DUT Adj Read]]="N/A",IF(Table1[[#This Row],[Std Adj Read]]&gt;Table1[[#This Row],[Low Tol]],"Pass","Fail"),IF(Table1[[#This Row],[DUT Adj Read]]&gt;Table1[[#This Row],[Low Tol]],"Pass","Fail")))</f>
        <v>Pass</v>
      </c>
      <c r="AE2251" s="1" t="str">
        <f>IF(AND(Table1[[#This Row],[Spec Type2]]="N/A",Table1[[#This Row],[DUT Adj Read]]="N/A",Table1[[#This Row],[Std Adj Read]]="N/A"),"N/A",IF(Table1[[#This Row],[DUT Adj Read]]="N/A",IF(Table1[[#This Row],[Std Adj Read]]&lt;Table1[[#This Row],[High Tol]],"Pass","Fail"),IF(Table1[[#This Row],[DUT Adj Read]]&lt;Table1[[#This Row],[High Tol]],"Pass","Fail")))</f>
        <v>Fail</v>
      </c>
      <c r="AF2251" s="1" t="str">
        <f>IF(AND(Table1[[#This Row],[Spec Type2]]="N/A",Table1[[#This Row],[DUT Adj Read]]="N/A",Table1[[#This Row],[Std Adj Read]]="N/A"),"N/A",IF(Table1[[#This Row],[DUT Adj Read]]="N/A",IF(Table1[[#This Row],[Std Adj Read]]&gt;=Table1[[#This Row],[Low Tol]],"Pass","Fail"),IF(Table1[[#This Row],[DUT Adj Read]]&gt;=Table1[[#This Row],[Low Tol]],"Pass","Fail")))</f>
        <v>Pass</v>
      </c>
      <c r="AG2251" s="1" t="str">
        <f>IF(AND(Table1[[#This Row],[Spec Type2]]="N/A",Table1[[#This Row],[DUT Adj Read]]="N/A",Table1[[#This Row],[Std Adj Read]]="N/A"),"N/A",IF(Table1[[#This Row],[DUT Adj Read]]="N/A",IF(Table1[[#This Row],[Std Adj Read]]&lt;=Table1[[#This Row],[High Tol]],"Pass","Fail"),IF(Table1[[#This Row],[DUT Adj Read]]&lt;=Table1[[#This Row],[High Tol]],"Pass","Fail")))</f>
        <v>Fail</v>
      </c>
      <c r="AH22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1" s="1" t="b">
        <v>0</v>
      </c>
      <c r="AN2251" s="1" t="b">
        <v>0</v>
      </c>
      <c r="AO2251" s="1" t="b">
        <v>0</v>
      </c>
    </row>
    <row r="2252" spans="1:41" x14ac:dyDescent="0.25">
      <c r="A2252" s="10"/>
      <c r="B2252" s="10"/>
      <c r="C2252" s="10"/>
      <c r="D2252" s="10"/>
      <c r="E2252" s="10"/>
      <c r="F2252" s="10"/>
      <c r="G2252" s="10"/>
      <c r="H2252" s="10"/>
      <c r="I2252" s="1" t="str">
        <f t="shared" si="105"/>
        <v/>
      </c>
      <c r="J2252" s="1" t="s">
        <v>35</v>
      </c>
      <c r="K2252" s="1" t="str">
        <f t="shared" si="106"/>
        <v/>
      </c>
      <c r="L2252" s="1" t="str">
        <f t="shared" si="107"/>
        <v/>
      </c>
      <c r="M2252" s="1">
        <f>IF(OR(Table1[[#This Row],[Std Nom]]="",Table1[[#This Row],[Std Read]]=""),0,Table1[[#This Row],[Std Nom]]-Table1[[#This Row],[Std Read]])</f>
        <v>0</v>
      </c>
      <c r="N2252" s="1">
        <f>IF(Calculations!$F$5="ACCREDITED 17025 WITH UNCERTAINTIES",$N$10,0)</f>
        <v>0</v>
      </c>
      <c r="Q2252" s="1">
        <f>Table1[[#This Row],[High Tol]]-Table1[[#This Row],[Low Tol]]</f>
        <v>0</v>
      </c>
      <c r="R2252" s="1">
        <f>2*Table1[[#This Row],[Std Error]]</f>
        <v>0</v>
      </c>
      <c r="S2252" s="1" t="str">
        <f>IF(Table1[[#This Row],[High Tol]]="","N/A",IFERROR(ABS(Table1[[#This Row],[Tol Span]]/Table1[[#This Row],[Error Span]]),"N/A"))</f>
        <v>N/A</v>
      </c>
      <c r="T2252" s="1" t="str">
        <f>IF(OR(Table1[[#This Row],[Low Tol]]="",Table1[[#This Row],[High Tol]]=""),"Needs Analysis",IF(Table1[[#This Row],[Ratio]]&gt;=4,"Not Significant",IF(Table1[[#This Row],[Ratio]]&gt;=2,"Semi-Significant","Significant")))</f>
        <v>Needs Analysis</v>
      </c>
      <c r="W2252" s="1">
        <f>IF(Table1[[#This Row],[Cal Type]]&lt;&gt;"ACCREDITED 17025 WITH UNCERTAINTIES",0,"")</f>
        <v>0</v>
      </c>
      <c r="X2252" s="1" t="str">
        <f>IF(Table1[[#This Row],[DUT Read]]="","N/A",Table1[[#This Row],[Std Error]]+Table1[[#This Row],[DUT Read]]+Table1[[#This Row],[DUT Ucty]])</f>
        <v>N/A</v>
      </c>
      <c r="Y2252" s="1" t="str">
        <f>IF(Table1[[#This Row],[Std Read]]="","N/A",Table1[[#This Row],[Std Read]]+Table1[[#This Row],[Std Ucty]])</f>
        <v>N/A</v>
      </c>
      <c r="Z22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2" s="1" t="str">
        <f>IF(Table1[[#This Row],[Spec Type]]="","N/A",Table1[[#This Row],[Spec Type]])</f>
        <v>±</v>
      </c>
      <c r="AC2252" s="1" t="str">
        <f>IF(Table1[[#This Row],[Spec Type2]]="N/A","N/A",IF(AND(Table1[[#This Row],[DUT Adj Read]]&gt;=Table1[[#This Row],[Low Tol]],Table1[[#This Row],[DUT Adj Read]]&lt;=Table1[[#This Row],[High Tol]]),"Pass","Fail"))</f>
        <v>Fail</v>
      </c>
      <c r="AD2252" s="1" t="str">
        <f>IF(AND(Table1[[#This Row],[Spec Type2]]="N/A",Table1[[#This Row],[DUT Adj Read]]="N/A",Table1[[#This Row],[Std Adj Read]]="N/A"),"N/A",IF(Table1[[#This Row],[DUT Adj Read]]="N/A",IF(Table1[[#This Row],[Std Adj Read]]&gt;Table1[[#This Row],[Low Tol]],"Pass","Fail"),IF(Table1[[#This Row],[DUT Adj Read]]&gt;Table1[[#This Row],[Low Tol]],"Pass","Fail")))</f>
        <v>Pass</v>
      </c>
      <c r="AE2252" s="1" t="str">
        <f>IF(AND(Table1[[#This Row],[Spec Type2]]="N/A",Table1[[#This Row],[DUT Adj Read]]="N/A",Table1[[#This Row],[Std Adj Read]]="N/A"),"N/A",IF(Table1[[#This Row],[DUT Adj Read]]="N/A",IF(Table1[[#This Row],[Std Adj Read]]&lt;Table1[[#This Row],[High Tol]],"Pass","Fail"),IF(Table1[[#This Row],[DUT Adj Read]]&lt;Table1[[#This Row],[High Tol]],"Pass","Fail")))</f>
        <v>Fail</v>
      </c>
      <c r="AF2252" s="1" t="str">
        <f>IF(AND(Table1[[#This Row],[Spec Type2]]="N/A",Table1[[#This Row],[DUT Adj Read]]="N/A",Table1[[#This Row],[Std Adj Read]]="N/A"),"N/A",IF(Table1[[#This Row],[DUT Adj Read]]="N/A",IF(Table1[[#This Row],[Std Adj Read]]&gt;=Table1[[#This Row],[Low Tol]],"Pass","Fail"),IF(Table1[[#This Row],[DUT Adj Read]]&gt;=Table1[[#This Row],[Low Tol]],"Pass","Fail")))</f>
        <v>Pass</v>
      </c>
      <c r="AG2252" s="1" t="str">
        <f>IF(AND(Table1[[#This Row],[Spec Type2]]="N/A",Table1[[#This Row],[DUT Adj Read]]="N/A",Table1[[#This Row],[Std Adj Read]]="N/A"),"N/A",IF(Table1[[#This Row],[DUT Adj Read]]="N/A",IF(Table1[[#This Row],[Std Adj Read]]&lt;=Table1[[#This Row],[High Tol]],"Pass","Fail"),IF(Table1[[#This Row],[DUT Adj Read]]&lt;=Table1[[#This Row],[High Tol]],"Pass","Fail")))</f>
        <v>Fail</v>
      </c>
      <c r="AH22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2" s="1" t="b">
        <v>0</v>
      </c>
      <c r="AN2252" s="1" t="b">
        <v>0</v>
      </c>
      <c r="AO2252" s="1" t="b">
        <v>0</v>
      </c>
    </row>
    <row r="2253" spans="1:41" x14ac:dyDescent="0.25">
      <c r="A2253" s="10"/>
      <c r="B2253" s="10"/>
      <c r="C2253" s="10"/>
      <c r="D2253" s="10"/>
      <c r="E2253" s="10"/>
      <c r="F2253" s="10"/>
      <c r="G2253" s="10"/>
      <c r="H2253" s="10"/>
      <c r="I2253" s="1" t="str">
        <f t="shared" si="105"/>
        <v/>
      </c>
      <c r="J2253" s="1" t="s">
        <v>35</v>
      </c>
      <c r="K2253" s="1" t="str">
        <f t="shared" si="106"/>
        <v/>
      </c>
      <c r="L2253" s="1" t="str">
        <f t="shared" si="107"/>
        <v/>
      </c>
      <c r="M2253" s="1">
        <f>IF(OR(Table1[[#This Row],[Std Nom]]="",Table1[[#This Row],[Std Read]]=""),0,Table1[[#This Row],[Std Nom]]-Table1[[#This Row],[Std Read]])</f>
        <v>0</v>
      </c>
      <c r="N2253" s="1">
        <f>IF(Calculations!$F$5="ACCREDITED 17025 WITH UNCERTAINTIES",$N$10,0)</f>
        <v>0</v>
      </c>
      <c r="Q2253" s="1">
        <f>Table1[[#This Row],[High Tol]]-Table1[[#This Row],[Low Tol]]</f>
        <v>0</v>
      </c>
      <c r="R2253" s="1">
        <f>2*Table1[[#This Row],[Std Error]]</f>
        <v>0</v>
      </c>
      <c r="S2253" s="1" t="str">
        <f>IF(Table1[[#This Row],[High Tol]]="","N/A",IFERROR(ABS(Table1[[#This Row],[Tol Span]]/Table1[[#This Row],[Error Span]]),"N/A"))</f>
        <v>N/A</v>
      </c>
      <c r="T2253" s="1" t="str">
        <f>IF(OR(Table1[[#This Row],[Low Tol]]="",Table1[[#This Row],[High Tol]]=""),"Needs Analysis",IF(Table1[[#This Row],[Ratio]]&gt;=4,"Not Significant",IF(Table1[[#This Row],[Ratio]]&gt;=2,"Semi-Significant","Significant")))</f>
        <v>Needs Analysis</v>
      </c>
      <c r="W2253" s="1">
        <f>IF(Table1[[#This Row],[Cal Type]]&lt;&gt;"ACCREDITED 17025 WITH UNCERTAINTIES",0,"")</f>
        <v>0</v>
      </c>
      <c r="X2253" s="1" t="str">
        <f>IF(Table1[[#This Row],[DUT Read]]="","N/A",Table1[[#This Row],[Std Error]]+Table1[[#This Row],[DUT Read]]+Table1[[#This Row],[DUT Ucty]])</f>
        <v>N/A</v>
      </c>
      <c r="Y2253" s="1" t="str">
        <f>IF(Table1[[#This Row],[Std Read]]="","N/A",Table1[[#This Row],[Std Read]]+Table1[[#This Row],[Std Ucty]])</f>
        <v>N/A</v>
      </c>
      <c r="Z22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3" s="1" t="str">
        <f>IF(Table1[[#This Row],[Spec Type]]="","N/A",Table1[[#This Row],[Spec Type]])</f>
        <v>±</v>
      </c>
      <c r="AC2253" s="1" t="str">
        <f>IF(Table1[[#This Row],[Spec Type2]]="N/A","N/A",IF(AND(Table1[[#This Row],[DUT Adj Read]]&gt;=Table1[[#This Row],[Low Tol]],Table1[[#This Row],[DUT Adj Read]]&lt;=Table1[[#This Row],[High Tol]]),"Pass","Fail"))</f>
        <v>Fail</v>
      </c>
      <c r="AD2253" s="1" t="str">
        <f>IF(AND(Table1[[#This Row],[Spec Type2]]="N/A",Table1[[#This Row],[DUT Adj Read]]="N/A",Table1[[#This Row],[Std Adj Read]]="N/A"),"N/A",IF(Table1[[#This Row],[DUT Adj Read]]="N/A",IF(Table1[[#This Row],[Std Adj Read]]&gt;Table1[[#This Row],[Low Tol]],"Pass","Fail"),IF(Table1[[#This Row],[DUT Adj Read]]&gt;Table1[[#This Row],[Low Tol]],"Pass","Fail")))</f>
        <v>Pass</v>
      </c>
      <c r="AE2253" s="1" t="str">
        <f>IF(AND(Table1[[#This Row],[Spec Type2]]="N/A",Table1[[#This Row],[DUT Adj Read]]="N/A",Table1[[#This Row],[Std Adj Read]]="N/A"),"N/A",IF(Table1[[#This Row],[DUT Adj Read]]="N/A",IF(Table1[[#This Row],[Std Adj Read]]&lt;Table1[[#This Row],[High Tol]],"Pass","Fail"),IF(Table1[[#This Row],[DUT Adj Read]]&lt;Table1[[#This Row],[High Tol]],"Pass","Fail")))</f>
        <v>Fail</v>
      </c>
      <c r="AF2253" s="1" t="str">
        <f>IF(AND(Table1[[#This Row],[Spec Type2]]="N/A",Table1[[#This Row],[DUT Adj Read]]="N/A",Table1[[#This Row],[Std Adj Read]]="N/A"),"N/A",IF(Table1[[#This Row],[DUT Adj Read]]="N/A",IF(Table1[[#This Row],[Std Adj Read]]&gt;=Table1[[#This Row],[Low Tol]],"Pass","Fail"),IF(Table1[[#This Row],[DUT Adj Read]]&gt;=Table1[[#This Row],[Low Tol]],"Pass","Fail")))</f>
        <v>Pass</v>
      </c>
      <c r="AG2253" s="1" t="str">
        <f>IF(AND(Table1[[#This Row],[Spec Type2]]="N/A",Table1[[#This Row],[DUT Adj Read]]="N/A",Table1[[#This Row],[Std Adj Read]]="N/A"),"N/A",IF(Table1[[#This Row],[DUT Adj Read]]="N/A",IF(Table1[[#This Row],[Std Adj Read]]&lt;=Table1[[#This Row],[High Tol]],"Pass","Fail"),IF(Table1[[#This Row],[DUT Adj Read]]&lt;=Table1[[#This Row],[High Tol]],"Pass","Fail")))</f>
        <v>Fail</v>
      </c>
      <c r="AH22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3" s="1" t="b">
        <v>0</v>
      </c>
      <c r="AN2253" s="1" t="b">
        <v>0</v>
      </c>
      <c r="AO2253" s="1" t="b">
        <v>0</v>
      </c>
    </row>
    <row r="2254" spans="1:41" x14ac:dyDescent="0.25">
      <c r="A2254" s="10"/>
      <c r="B2254" s="10"/>
      <c r="C2254" s="10"/>
      <c r="D2254" s="10"/>
      <c r="E2254" s="10"/>
      <c r="F2254" s="10"/>
      <c r="G2254" s="10"/>
      <c r="H2254" s="10"/>
      <c r="I2254" s="1" t="str">
        <f t="shared" si="105"/>
        <v/>
      </c>
      <c r="J2254" s="1" t="s">
        <v>35</v>
      </c>
      <c r="K2254" s="1" t="str">
        <f t="shared" si="106"/>
        <v/>
      </c>
      <c r="L2254" s="1" t="str">
        <f t="shared" si="107"/>
        <v/>
      </c>
      <c r="M2254" s="1">
        <f>IF(OR(Table1[[#This Row],[Std Nom]]="",Table1[[#This Row],[Std Read]]=""),0,Table1[[#This Row],[Std Nom]]-Table1[[#This Row],[Std Read]])</f>
        <v>0</v>
      </c>
      <c r="N2254" s="1">
        <f>IF(Calculations!$F$5="ACCREDITED 17025 WITH UNCERTAINTIES",$N$10,0)</f>
        <v>0</v>
      </c>
      <c r="Q2254" s="1">
        <f>Table1[[#This Row],[High Tol]]-Table1[[#This Row],[Low Tol]]</f>
        <v>0</v>
      </c>
      <c r="R2254" s="1">
        <f>2*Table1[[#This Row],[Std Error]]</f>
        <v>0</v>
      </c>
      <c r="S2254" s="1" t="str">
        <f>IF(Table1[[#This Row],[High Tol]]="","N/A",IFERROR(ABS(Table1[[#This Row],[Tol Span]]/Table1[[#This Row],[Error Span]]),"N/A"))</f>
        <v>N/A</v>
      </c>
      <c r="T2254" s="1" t="str">
        <f>IF(OR(Table1[[#This Row],[Low Tol]]="",Table1[[#This Row],[High Tol]]=""),"Needs Analysis",IF(Table1[[#This Row],[Ratio]]&gt;=4,"Not Significant",IF(Table1[[#This Row],[Ratio]]&gt;=2,"Semi-Significant","Significant")))</f>
        <v>Needs Analysis</v>
      </c>
      <c r="W2254" s="1">
        <f>IF(Table1[[#This Row],[Cal Type]]&lt;&gt;"ACCREDITED 17025 WITH UNCERTAINTIES",0,"")</f>
        <v>0</v>
      </c>
      <c r="X2254" s="1" t="str">
        <f>IF(Table1[[#This Row],[DUT Read]]="","N/A",Table1[[#This Row],[Std Error]]+Table1[[#This Row],[DUT Read]]+Table1[[#This Row],[DUT Ucty]])</f>
        <v>N/A</v>
      </c>
      <c r="Y2254" s="1" t="str">
        <f>IF(Table1[[#This Row],[Std Read]]="","N/A",Table1[[#This Row],[Std Read]]+Table1[[#This Row],[Std Ucty]])</f>
        <v>N/A</v>
      </c>
      <c r="Z22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4" s="1" t="str">
        <f>IF(Table1[[#This Row],[Spec Type]]="","N/A",Table1[[#This Row],[Spec Type]])</f>
        <v>±</v>
      </c>
      <c r="AC2254" s="1" t="str">
        <f>IF(Table1[[#This Row],[Spec Type2]]="N/A","N/A",IF(AND(Table1[[#This Row],[DUT Adj Read]]&gt;=Table1[[#This Row],[Low Tol]],Table1[[#This Row],[DUT Adj Read]]&lt;=Table1[[#This Row],[High Tol]]),"Pass","Fail"))</f>
        <v>Fail</v>
      </c>
      <c r="AD2254" s="1" t="str">
        <f>IF(AND(Table1[[#This Row],[Spec Type2]]="N/A",Table1[[#This Row],[DUT Adj Read]]="N/A",Table1[[#This Row],[Std Adj Read]]="N/A"),"N/A",IF(Table1[[#This Row],[DUT Adj Read]]="N/A",IF(Table1[[#This Row],[Std Adj Read]]&gt;Table1[[#This Row],[Low Tol]],"Pass","Fail"),IF(Table1[[#This Row],[DUT Adj Read]]&gt;Table1[[#This Row],[Low Tol]],"Pass","Fail")))</f>
        <v>Pass</v>
      </c>
      <c r="AE2254" s="1" t="str">
        <f>IF(AND(Table1[[#This Row],[Spec Type2]]="N/A",Table1[[#This Row],[DUT Adj Read]]="N/A",Table1[[#This Row],[Std Adj Read]]="N/A"),"N/A",IF(Table1[[#This Row],[DUT Adj Read]]="N/A",IF(Table1[[#This Row],[Std Adj Read]]&lt;Table1[[#This Row],[High Tol]],"Pass","Fail"),IF(Table1[[#This Row],[DUT Adj Read]]&lt;Table1[[#This Row],[High Tol]],"Pass","Fail")))</f>
        <v>Fail</v>
      </c>
      <c r="AF2254" s="1" t="str">
        <f>IF(AND(Table1[[#This Row],[Spec Type2]]="N/A",Table1[[#This Row],[DUT Adj Read]]="N/A",Table1[[#This Row],[Std Adj Read]]="N/A"),"N/A",IF(Table1[[#This Row],[DUT Adj Read]]="N/A",IF(Table1[[#This Row],[Std Adj Read]]&gt;=Table1[[#This Row],[Low Tol]],"Pass","Fail"),IF(Table1[[#This Row],[DUT Adj Read]]&gt;=Table1[[#This Row],[Low Tol]],"Pass","Fail")))</f>
        <v>Pass</v>
      </c>
      <c r="AG2254" s="1" t="str">
        <f>IF(AND(Table1[[#This Row],[Spec Type2]]="N/A",Table1[[#This Row],[DUT Adj Read]]="N/A",Table1[[#This Row],[Std Adj Read]]="N/A"),"N/A",IF(Table1[[#This Row],[DUT Adj Read]]="N/A",IF(Table1[[#This Row],[Std Adj Read]]&lt;=Table1[[#This Row],[High Tol]],"Pass","Fail"),IF(Table1[[#This Row],[DUT Adj Read]]&lt;=Table1[[#This Row],[High Tol]],"Pass","Fail")))</f>
        <v>Fail</v>
      </c>
      <c r="AH22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4" s="1" t="b">
        <v>0</v>
      </c>
      <c r="AN2254" s="1" t="b">
        <v>0</v>
      </c>
      <c r="AO2254" s="1" t="b">
        <v>0</v>
      </c>
    </row>
    <row r="2255" spans="1:41" x14ac:dyDescent="0.25">
      <c r="A2255" s="10"/>
      <c r="B2255" s="10"/>
      <c r="C2255" s="10"/>
      <c r="D2255" s="10"/>
      <c r="E2255" s="10"/>
      <c r="F2255" s="10"/>
      <c r="G2255" s="10"/>
      <c r="H2255" s="10"/>
      <c r="I2255" s="1" t="str">
        <f t="shared" si="105"/>
        <v/>
      </c>
      <c r="J2255" s="1" t="s">
        <v>35</v>
      </c>
      <c r="K2255" s="1" t="str">
        <f t="shared" si="106"/>
        <v/>
      </c>
      <c r="L2255" s="1" t="str">
        <f t="shared" si="107"/>
        <v/>
      </c>
      <c r="M2255" s="1">
        <f>IF(OR(Table1[[#This Row],[Std Nom]]="",Table1[[#This Row],[Std Read]]=""),0,Table1[[#This Row],[Std Nom]]-Table1[[#This Row],[Std Read]])</f>
        <v>0</v>
      </c>
      <c r="N2255" s="1">
        <f>IF(Calculations!$F$5="ACCREDITED 17025 WITH UNCERTAINTIES",$N$10,0)</f>
        <v>0</v>
      </c>
      <c r="Q2255" s="1">
        <f>Table1[[#This Row],[High Tol]]-Table1[[#This Row],[Low Tol]]</f>
        <v>0</v>
      </c>
      <c r="R2255" s="1">
        <f>2*Table1[[#This Row],[Std Error]]</f>
        <v>0</v>
      </c>
      <c r="S2255" s="1" t="str">
        <f>IF(Table1[[#This Row],[High Tol]]="","N/A",IFERROR(ABS(Table1[[#This Row],[Tol Span]]/Table1[[#This Row],[Error Span]]),"N/A"))</f>
        <v>N/A</v>
      </c>
      <c r="T2255" s="1" t="str">
        <f>IF(OR(Table1[[#This Row],[Low Tol]]="",Table1[[#This Row],[High Tol]]=""),"Needs Analysis",IF(Table1[[#This Row],[Ratio]]&gt;=4,"Not Significant",IF(Table1[[#This Row],[Ratio]]&gt;=2,"Semi-Significant","Significant")))</f>
        <v>Needs Analysis</v>
      </c>
      <c r="W2255" s="1">
        <f>IF(Table1[[#This Row],[Cal Type]]&lt;&gt;"ACCREDITED 17025 WITH UNCERTAINTIES",0,"")</f>
        <v>0</v>
      </c>
      <c r="X2255" s="1" t="str">
        <f>IF(Table1[[#This Row],[DUT Read]]="","N/A",Table1[[#This Row],[Std Error]]+Table1[[#This Row],[DUT Read]]+Table1[[#This Row],[DUT Ucty]])</f>
        <v>N/A</v>
      </c>
      <c r="Y2255" s="1" t="str">
        <f>IF(Table1[[#This Row],[Std Read]]="","N/A",Table1[[#This Row],[Std Read]]+Table1[[#This Row],[Std Ucty]])</f>
        <v>N/A</v>
      </c>
      <c r="Z22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5" s="1" t="str">
        <f>IF(Table1[[#This Row],[Spec Type]]="","N/A",Table1[[#This Row],[Spec Type]])</f>
        <v>±</v>
      </c>
      <c r="AC2255" s="1" t="str">
        <f>IF(Table1[[#This Row],[Spec Type2]]="N/A","N/A",IF(AND(Table1[[#This Row],[DUT Adj Read]]&gt;=Table1[[#This Row],[Low Tol]],Table1[[#This Row],[DUT Adj Read]]&lt;=Table1[[#This Row],[High Tol]]),"Pass","Fail"))</f>
        <v>Fail</v>
      </c>
      <c r="AD2255" s="1" t="str">
        <f>IF(AND(Table1[[#This Row],[Spec Type2]]="N/A",Table1[[#This Row],[DUT Adj Read]]="N/A",Table1[[#This Row],[Std Adj Read]]="N/A"),"N/A",IF(Table1[[#This Row],[DUT Adj Read]]="N/A",IF(Table1[[#This Row],[Std Adj Read]]&gt;Table1[[#This Row],[Low Tol]],"Pass","Fail"),IF(Table1[[#This Row],[DUT Adj Read]]&gt;Table1[[#This Row],[Low Tol]],"Pass","Fail")))</f>
        <v>Pass</v>
      </c>
      <c r="AE2255" s="1" t="str">
        <f>IF(AND(Table1[[#This Row],[Spec Type2]]="N/A",Table1[[#This Row],[DUT Adj Read]]="N/A",Table1[[#This Row],[Std Adj Read]]="N/A"),"N/A",IF(Table1[[#This Row],[DUT Adj Read]]="N/A",IF(Table1[[#This Row],[Std Adj Read]]&lt;Table1[[#This Row],[High Tol]],"Pass","Fail"),IF(Table1[[#This Row],[DUT Adj Read]]&lt;Table1[[#This Row],[High Tol]],"Pass","Fail")))</f>
        <v>Fail</v>
      </c>
      <c r="AF2255" s="1" t="str">
        <f>IF(AND(Table1[[#This Row],[Spec Type2]]="N/A",Table1[[#This Row],[DUT Adj Read]]="N/A",Table1[[#This Row],[Std Adj Read]]="N/A"),"N/A",IF(Table1[[#This Row],[DUT Adj Read]]="N/A",IF(Table1[[#This Row],[Std Adj Read]]&gt;=Table1[[#This Row],[Low Tol]],"Pass","Fail"),IF(Table1[[#This Row],[DUT Adj Read]]&gt;=Table1[[#This Row],[Low Tol]],"Pass","Fail")))</f>
        <v>Pass</v>
      </c>
      <c r="AG2255" s="1" t="str">
        <f>IF(AND(Table1[[#This Row],[Spec Type2]]="N/A",Table1[[#This Row],[DUT Adj Read]]="N/A",Table1[[#This Row],[Std Adj Read]]="N/A"),"N/A",IF(Table1[[#This Row],[DUT Adj Read]]="N/A",IF(Table1[[#This Row],[Std Adj Read]]&lt;=Table1[[#This Row],[High Tol]],"Pass","Fail"),IF(Table1[[#This Row],[DUT Adj Read]]&lt;=Table1[[#This Row],[High Tol]],"Pass","Fail")))</f>
        <v>Fail</v>
      </c>
      <c r="AH22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5" s="1" t="b">
        <v>0</v>
      </c>
      <c r="AN2255" s="1" t="b">
        <v>0</v>
      </c>
      <c r="AO2255" s="1" t="b">
        <v>0</v>
      </c>
    </row>
    <row r="2256" spans="1:41" x14ac:dyDescent="0.25">
      <c r="A2256" s="10"/>
      <c r="B2256" s="10"/>
      <c r="C2256" s="10"/>
      <c r="D2256" s="10"/>
      <c r="E2256" s="10"/>
      <c r="F2256" s="10"/>
      <c r="G2256" s="10"/>
      <c r="H2256" s="10"/>
      <c r="I2256" s="1" t="str">
        <f t="shared" si="105"/>
        <v/>
      </c>
      <c r="J2256" s="1" t="s">
        <v>35</v>
      </c>
      <c r="K2256" s="1" t="str">
        <f t="shared" si="106"/>
        <v/>
      </c>
      <c r="L2256" s="1" t="str">
        <f t="shared" si="107"/>
        <v/>
      </c>
      <c r="M2256" s="1">
        <f>IF(OR(Table1[[#This Row],[Std Nom]]="",Table1[[#This Row],[Std Read]]=""),0,Table1[[#This Row],[Std Nom]]-Table1[[#This Row],[Std Read]])</f>
        <v>0</v>
      </c>
      <c r="N2256" s="1">
        <f>IF(Calculations!$F$5="ACCREDITED 17025 WITH UNCERTAINTIES",$N$10,0)</f>
        <v>0</v>
      </c>
      <c r="Q2256" s="1">
        <f>Table1[[#This Row],[High Tol]]-Table1[[#This Row],[Low Tol]]</f>
        <v>0</v>
      </c>
      <c r="R2256" s="1">
        <f>2*Table1[[#This Row],[Std Error]]</f>
        <v>0</v>
      </c>
      <c r="S2256" s="1" t="str">
        <f>IF(Table1[[#This Row],[High Tol]]="","N/A",IFERROR(ABS(Table1[[#This Row],[Tol Span]]/Table1[[#This Row],[Error Span]]),"N/A"))</f>
        <v>N/A</v>
      </c>
      <c r="T2256" s="1" t="str">
        <f>IF(OR(Table1[[#This Row],[Low Tol]]="",Table1[[#This Row],[High Tol]]=""),"Needs Analysis",IF(Table1[[#This Row],[Ratio]]&gt;=4,"Not Significant",IF(Table1[[#This Row],[Ratio]]&gt;=2,"Semi-Significant","Significant")))</f>
        <v>Needs Analysis</v>
      </c>
      <c r="W2256" s="1">
        <f>IF(Table1[[#This Row],[Cal Type]]&lt;&gt;"ACCREDITED 17025 WITH UNCERTAINTIES",0,"")</f>
        <v>0</v>
      </c>
      <c r="X2256" s="1" t="str">
        <f>IF(Table1[[#This Row],[DUT Read]]="","N/A",Table1[[#This Row],[Std Error]]+Table1[[#This Row],[DUT Read]]+Table1[[#This Row],[DUT Ucty]])</f>
        <v>N/A</v>
      </c>
      <c r="Y2256" s="1" t="str">
        <f>IF(Table1[[#This Row],[Std Read]]="","N/A",Table1[[#This Row],[Std Read]]+Table1[[#This Row],[Std Ucty]])</f>
        <v>N/A</v>
      </c>
      <c r="Z22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6" s="1" t="str">
        <f>IF(Table1[[#This Row],[Spec Type]]="","N/A",Table1[[#This Row],[Spec Type]])</f>
        <v>±</v>
      </c>
      <c r="AC2256" s="1" t="str">
        <f>IF(Table1[[#This Row],[Spec Type2]]="N/A","N/A",IF(AND(Table1[[#This Row],[DUT Adj Read]]&gt;=Table1[[#This Row],[Low Tol]],Table1[[#This Row],[DUT Adj Read]]&lt;=Table1[[#This Row],[High Tol]]),"Pass","Fail"))</f>
        <v>Fail</v>
      </c>
      <c r="AD2256" s="1" t="str">
        <f>IF(AND(Table1[[#This Row],[Spec Type2]]="N/A",Table1[[#This Row],[DUT Adj Read]]="N/A",Table1[[#This Row],[Std Adj Read]]="N/A"),"N/A",IF(Table1[[#This Row],[DUT Adj Read]]="N/A",IF(Table1[[#This Row],[Std Adj Read]]&gt;Table1[[#This Row],[Low Tol]],"Pass","Fail"),IF(Table1[[#This Row],[DUT Adj Read]]&gt;Table1[[#This Row],[Low Tol]],"Pass","Fail")))</f>
        <v>Pass</v>
      </c>
      <c r="AE2256" s="1" t="str">
        <f>IF(AND(Table1[[#This Row],[Spec Type2]]="N/A",Table1[[#This Row],[DUT Adj Read]]="N/A",Table1[[#This Row],[Std Adj Read]]="N/A"),"N/A",IF(Table1[[#This Row],[DUT Adj Read]]="N/A",IF(Table1[[#This Row],[Std Adj Read]]&lt;Table1[[#This Row],[High Tol]],"Pass","Fail"),IF(Table1[[#This Row],[DUT Adj Read]]&lt;Table1[[#This Row],[High Tol]],"Pass","Fail")))</f>
        <v>Fail</v>
      </c>
      <c r="AF2256" s="1" t="str">
        <f>IF(AND(Table1[[#This Row],[Spec Type2]]="N/A",Table1[[#This Row],[DUT Adj Read]]="N/A",Table1[[#This Row],[Std Adj Read]]="N/A"),"N/A",IF(Table1[[#This Row],[DUT Adj Read]]="N/A",IF(Table1[[#This Row],[Std Adj Read]]&gt;=Table1[[#This Row],[Low Tol]],"Pass","Fail"),IF(Table1[[#This Row],[DUT Adj Read]]&gt;=Table1[[#This Row],[Low Tol]],"Pass","Fail")))</f>
        <v>Pass</v>
      </c>
      <c r="AG2256" s="1" t="str">
        <f>IF(AND(Table1[[#This Row],[Spec Type2]]="N/A",Table1[[#This Row],[DUT Adj Read]]="N/A",Table1[[#This Row],[Std Adj Read]]="N/A"),"N/A",IF(Table1[[#This Row],[DUT Adj Read]]="N/A",IF(Table1[[#This Row],[Std Adj Read]]&lt;=Table1[[#This Row],[High Tol]],"Pass","Fail"),IF(Table1[[#This Row],[DUT Adj Read]]&lt;=Table1[[#This Row],[High Tol]],"Pass","Fail")))</f>
        <v>Fail</v>
      </c>
      <c r="AH22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6" s="1" t="b">
        <v>0</v>
      </c>
      <c r="AN2256" s="1" t="b">
        <v>0</v>
      </c>
      <c r="AO2256" s="1" t="b">
        <v>0</v>
      </c>
    </row>
    <row r="2257" spans="1:41" x14ac:dyDescent="0.25">
      <c r="A2257" s="10"/>
      <c r="B2257" s="10"/>
      <c r="C2257" s="10"/>
      <c r="D2257" s="10"/>
      <c r="E2257" s="10"/>
      <c r="F2257" s="10"/>
      <c r="G2257" s="10"/>
      <c r="H2257" s="10"/>
      <c r="I2257" s="1" t="str">
        <f t="shared" si="105"/>
        <v/>
      </c>
      <c r="J2257" s="1" t="s">
        <v>35</v>
      </c>
      <c r="K2257" s="1" t="str">
        <f t="shared" si="106"/>
        <v/>
      </c>
      <c r="L2257" s="1" t="str">
        <f t="shared" si="107"/>
        <v/>
      </c>
      <c r="M2257" s="1">
        <f>IF(OR(Table1[[#This Row],[Std Nom]]="",Table1[[#This Row],[Std Read]]=""),0,Table1[[#This Row],[Std Nom]]-Table1[[#This Row],[Std Read]])</f>
        <v>0</v>
      </c>
      <c r="N2257" s="1">
        <f>IF(Calculations!$F$5="ACCREDITED 17025 WITH UNCERTAINTIES",$N$10,0)</f>
        <v>0</v>
      </c>
      <c r="Q2257" s="1">
        <f>Table1[[#This Row],[High Tol]]-Table1[[#This Row],[Low Tol]]</f>
        <v>0</v>
      </c>
      <c r="R2257" s="1">
        <f>2*Table1[[#This Row],[Std Error]]</f>
        <v>0</v>
      </c>
      <c r="S2257" s="1" t="str">
        <f>IF(Table1[[#This Row],[High Tol]]="","N/A",IFERROR(ABS(Table1[[#This Row],[Tol Span]]/Table1[[#This Row],[Error Span]]),"N/A"))</f>
        <v>N/A</v>
      </c>
      <c r="T2257" s="1" t="str">
        <f>IF(OR(Table1[[#This Row],[Low Tol]]="",Table1[[#This Row],[High Tol]]=""),"Needs Analysis",IF(Table1[[#This Row],[Ratio]]&gt;=4,"Not Significant",IF(Table1[[#This Row],[Ratio]]&gt;=2,"Semi-Significant","Significant")))</f>
        <v>Needs Analysis</v>
      </c>
      <c r="W2257" s="1">
        <f>IF(Table1[[#This Row],[Cal Type]]&lt;&gt;"ACCREDITED 17025 WITH UNCERTAINTIES",0,"")</f>
        <v>0</v>
      </c>
      <c r="X2257" s="1" t="str">
        <f>IF(Table1[[#This Row],[DUT Read]]="","N/A",Table1[[#This Row],[Std Error]]+Table1[[#This Row],[DUT Read]]+Table1[[#This Row],[DUT Ucty]])</f>
        <v>N/A</v>
      </c>
      <c r="Y2257" s="1" t="str">
        <f>IF(Table1[[#This Row],[Std Read]]="","N/A",Table1[[#This Row],[Std Read]]+Table1[[#This Row],[Std Ucty]])</f>
        <v>N/A</v>
      </c>
      <c r="Z22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7" s="1" t="str">
        <f>IF(Table1[[#This Row],[Spec Type]]="","N/A",Table1[[#This Row],[Spec Type]])</f>
        <v>±</v>
      </c>
      <c r="AC2257" s="1" t="str">
        <f>IF(Table1[[#This Row],[Spec Type2]]="N/A","N/A",IF(AND(Table1[[#This Row],[DUT Adj Read]]&gt;=Table1[[#This Row],[Low Tol]],Table1[[#This Row],[DUT Adj Read]]&lt;=Table1[[#This Row],[High Tol]]),"Pass","Fail"))</f>
        <v>Fail</v>
      </c>
      <c r="AD2257" s="1" t="str">
        <f>IF(AND(Table1[[#This Row],[Spec Type2]]="N/A",Table1[[#This Row],[DUT Adj Read]]="N/A",Table1[[#This Row],[Std Adj Read]]="N/A"),"N/A",IF(Table1[[#This Row],[DUT Adj Read]]="N/A",IF(Table1[[#This Row],[Std Adj Read]]&gt;Table1[[#This Row],[Low Tol]],"Pass","Fail"),IF(Table1[[#This Row],[DUT Adj Read]]&gt;Table1[[#This Row],[Low Tol]],"Pass","Fail")))</f>
        <v>Pass</v>
      </c>
      <c r="AE2257" s="1" t="str">
        <f>IF(AND(Table1[[#This Row],[Spec Type2]]="N/A",Table1[[#This Row],[DUT Adj Read]]="N/A",Table1[[#This Row],[Std Adj Read]]="N/A"),"N/A",IF(Table1[[#This Row],[DUT Adj Read]]="N/A",IF(Table1[[#This Row],[Std Adj Read]]&lt;Table1[[#This Row],[High Tol]],"Pass","Fail"),IF(Table1[[#This Row],[DUT Adj Read]]&lt;Table1[[#This Row],[High Tol]],"Pass","Fail")))</f>
        <v>Fail</v>
      </c>
      <c r="AF2257" s="1" t="str">
        <f>IF(AND(Table1[[#This Row],[Spec Type2]]="N/A",Table1[[#This Row],[DUT Adj Read]]="N/A",Table1[[#This Row],[Std Adj Read]]="N/A"),"N/A",IF(Table1[[#This Row],[DUT Adj Read]]="N/A",IF(Table1[[#This Row],[Std Adj Read]]&gt;=Table1[[#This Row],[Low Tol]],"Pass","Fail"),IF(Table1[[#This Row],[DUT Adj Read]]&gt;=Table1[[#This Row],[Low Tol]],"Pass","Fail")))</f>
        <v>Pass</v>
      </c>
      <c r="AG2257" s="1" t="str">
        <f>IF(AND(Table1[[#This Row],[Spec Type2]]="N/A",Table1[[#This Row],[DUT Adj Read]]="N/A",Table1[[#This Row],[Std Adj Read]]="N/A"),"N/A",IF(Table1[[#This Row],[DUT Adj Read]]="N/A",IF(Table1[[#This Row],[Std Adj Read]]&lt;=Table1[[#This Row],[High Tol]],"Pass","Fail"),IF(Table1[[#This Row],[DUT Adj Read]]&lt;=Table1[[#This Row],[High Tol]],"Pass","Fail")))</f>
        <v>Fail</v>
      </c>
      <c r="AH22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7" s="1" t="b">
        <v>0</v>
      </c>
      <c r="AN2257" s="1" t="b">
        <v>0</v>
      </c>
      <c r="AO2257" s="1" t="b">
        <v>0</v>
      </c>
    </row>
    <row r="2258" spans="1:41" x14ac:dyDescent="0.25">
      <c r="A2258" s="10"/>
      <c r="B2258" s="10"/>
      <c r="C2258" s="10"/>
      <c r="D2258" s="10"/>
      <c r="E2258" s="10"/>
      <c r="F2258" s="10"/>
      <c r="G2258" s="10"/>
      <c r="H2258" s="10"/>
      <c r="I2258" s="1" t="str">
        <f t="shared" si="105"/>
        <v/>
      </c>
      <c r="J2258" s="1" t="s">
        <v>35</v>
      </c>
      <c r="K2258" s="1" t="str">
        <f t="shared" si="106"/>
        <v/>
      </c>
      <c r="L2258" s="1" t="str">
        <f t="shared" si="107"/>
        <v/>
      </c>
      <c r="M2258" s="1">
        <f>IF(OR(Table1[[#This Row],[Std Nom]]="",Table1[[#This Row],[Std Read]]=""),0,Table1[[#This Row],[Std Nom]]-Table1[[#This Row],[Std Read]])</f>
        <v>0</v>
      </c>
      <c r="N2258" s="1">
        <f>IF(Calculations!$F$5="ACCREDITED 17025 WITH UNCERTAINTIES",$N$10,0)</f>
        <v>0</v>
      </c>
      <c r="Q2258" s="1">
        <f>Table1[[#This Row],[High Tol]]-Table1[[#This Row],[Low Tol]]</f>
        <v>0</v>
      </c>
      <c r="R2258" s="1">
        <f>2*Table1[[#This Row],[Std Error]]</f>
        <v>0</v>
      </c>
      <c r="S2258" s="1" t="str">
        <f>IF(Table1[[#This Row],[High Tol]]="","N/A",IFERROR(ABS(Table1[[#This Row],[Tol Span]]/Table1[[#This Row],[Error Span]]),"N/A"))</f>
        <v>N/A</v>
      </c>
      <c r="T2258" s="1" t="str">
        <f>IF(OR(Table1[[#This Row],[Low Tol]]="",Table1[[#This Row],[High Tol]]=""),"Needs Analysis",IF(Table1[[#This Row],[Ratio]]&gt;=4,"Not Significant",IF(Table1[[#This Row],[Ratio]]&gt;=2,"Semi-Significant","Significant")))</f>
        <v>Needs Analysis</v>
      </c>
      <c r="W2258" s="1">
        <f>IF(Table1[[#This Row],[Cal Type]]&lt;&gt;"ACCREDITED 17025 WITH UNCERTAINTIES",0,"")</f>
        <v>0</v>
      </c>
      <c r="X2258" s="1" t="str">
        <f>IF(Table1[[#This Row],[DUT Read]]="","N/A",Table1[[#This Row],[Std Error]]+Table1[[#This Row],[DUT Read]]+Table1[[#This Row],[DUT Ucty]])</f>
        <v>N/A</v>
      </c>
      <c r="Y2258" s="1" t="str">
        <f>IF(Table1[[#This Row],[Std Read]]="","N/A",Table1[[#This Row],[Std Read]]+Table1[[#This Row],[Std Ucty]])</f>
        <v>N/A</v>
      </c>
      <c r="Z22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8" s="1" t="str">
        <f>IF(Table1[[#This Row],[Spec Type]]="","N/A",Table1[[#This Row],[Spec Type]])</f>
        <v>±</v>
      </c>
      <c r="AC2258" s="1" t="str">
        <f>IF(Table1[[#This Row],[Spec Type2]]="N/A","N/A",IF(AND(Table1[[#This Row],[DUT Adj Read]]&gt;=Table1[[#This Row],[Low Tol]],Table1[[#This Row],[DUT Adj Read]]&lt;=Table1[[#This Row],[High Tol]]),"Pass","Fail"))</f>
        <v>Fail</v>
      </c>
      <c r="AD2258" s="1" t="str">
        <f>IF(AND(Table1[[#This Row],[Spec Type2]]="N/A",Table1[[#This Row],[DUT Adj Read]]="N/A",Table1[[#This Row],[Std Adj Read]]="N/A"),"N/A",IF(Table1[[#This Row],[DUT Adj Read]]="N/A",IF(Table1[[#This Row],[Std Adj Read]]&gt;Table1[[#This Row],[Low Tol]],"Pass","Fail"),IF(Table1[[#This Row],[DUT Adj Read]]&gt;Table1[[#This Row],[Low Tol]],"Pass","Fail")))</f>
        <v>Pass</v>
      </c>
      <c r="AE2258" s="1" t="str">
        <f>IF(AND(Table1[[#This Row],[Spec Type2]]="N/A",Table1[[#This Row],[DUT Adj Read]]="N/A",Table1[[#This Row],[Std Adj Read]]="N/A"),"N/A",IF(Table1[[#This Row],[DUT Adj Read]]="N/A",IF(Table1[[#This Row],[Std Adj Read]]&lt;Table1[[#This Row],[High Tol]],"Pass","Fail"),IF(Table1[[#This Row],[DUT Adj Read]]&lt;Table1[[#This Row],[High Tol]],"Pass","Fail")))</f>
        <v>Fail</v>
      </c>
      <c r="AF2258" s="1" t="str">
        <f>IF(AND(Table1[[#This Row],[Spec Type2]]="N/A",Table1[[#This Row],[DUT Adj Read]]="N/A",Table1[[#This Row],[Std Adj Read]]="N/A"),"N/A",IF(Table1[[#This Row],[DUT Adj Read]]="N/A",IF(Table1[[#This Row],[Std Adj Read]]&gt;=Table1[[#This Row],[Low Tol]],"Pass","Fail"),IF(Table1[[#This Row],[DUT Adj Read]]&gt;=Table1[[#This Row],[Low Tol]],"Pass","Fail")))</f>
        <v>Pass</v>
      </c>
      <c r="AG2258" s="1" t="str">
        <f>IF(AND(Table1[[#This Row],[Spec Type2]]="N/A",Table1[[#This Row],[DUT Adj Read]]="N/A",Table1[[#This Row],[Std Adj Read]]="N/A"),"N/A",IF(Table1[[#This Row],[DUT Adj Read]]="N/A",IF(Table1[[#This Row],[Std Adj Read]]&lt;=Table1[[#This Row],[High Tol]],"Pass","Fail"),IF(Table1[[#This Row],[DUT Adj Read]]&lt;=Table1[[#This Row],[High Tol]],"Pass","Fail")))</f>
        <v>Fail</v>
      </c>
      <c r="AH22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8" s="1" t="b">
        <v>0</v>
      </c>
      <c r="AN2258" s="1" t="b">
        <v>0</v>
      </c>
      <c r="AO2258" s="1" t="b">
        <v>0</v>
      </c>
    </row>
    <row r="2259" spans="1:41" x14ac:dyDescent="0.25">
      <c r="A2259" s="10"/>
      <c r="B2259" s="10"/>
      <c r="C2259" s="10"/>
      <c r="D2259" s="10"/>
      <c r="E2259" s="10"/>
      <c r="F2259" s="10"/>
      <c r="G2259" s="10"/>
      <c r="H2259" s="10"/>
      <c r="I2259" s="1" t="str">
        <f t="shared" si="105"/>
        <v/>
      </c>
      <c r="J2259" s="1" t="s">
        <v>35</v>
      </c>
      <c r="K2259" s="1" t="str">
        <f t="shared" si="106"/>
        <v/>
      </c>
      <c r="L2259" s="1" t="str">
        <f t="shared" si="107"/>
        <v/>
      </c>
      <c r="M2259" s="1">
        <f>IF(OR(Table1[[#This Row],[Std Nom]]="",Table1[[#This Row],[Std Read]]=""),0,Table1[[#This Row],[Std Nom]]-Table1[[#This Row],[Std Read]])</f>
        <v>0</v>
      </c>
      <c r="N2259" s="1">
        <f>IF(Calculations!$F$5="ACCREDITED 17025 WITH UNCERTAINTIES",$N$10,0)</f>
        <v>0</v>
      </c>
      <c r="Q2259" s="1">
        <f>Table1[[#This Row],[High Tol]]-Table1[[#This Row],[Low Tol]]</f>
        <v>0</v>
      </c>
      <c r="R2259" s="1">
        <f>2*Table1[[#This Row],[Std Error]]</f>
        <v>0</v>
      </c>
      <c r="S2259" s="1" t="str">
        <f>IF(Table1[[#This Row],[High Tol]]="","N/A",IFERROR(ABS(Table1[[#This Row],[Tol Span]]/Table1[[#This Row],[Error Span]]),"N/A"))</f>
        <v>N/A</v>
      </c>
      <c r="T2259" s="1" t="str">
        <f>IF(OR(Table1[[#This Row],[Low Tol]]="",Table1[[#This Row],[High Tol]]=""),"Needs Analysis",IF(Table1[[#This Row],[Ratio]]&gt;=4,"Not Significant",IF(Table1[[#This Row],[Ratio]]&gt;=2,"Semi-Significant","Significant")))</f>
        <v>Needs Analysis</v>
      </c>
      <c r="W2259" s="1">
        <f>IF(Table1[[#This Row],[Cal Type]]&lt;&gt;"ACCREDITED 17025 WITH UNCERTAINTIES",0,"")</f>
        <v>0</v>
      </c>
      <c r="X2259" s="1" t="str">
        <f>IF(Table1[[#This Row],[DUT Read]]="","N/A",Table1[[#This Row],[Std Error]]+Table1[[#This Row],[DUT Read]]+Table1[[#This Row],[DUT Ucty]])</f>
        <v>N/A</v>
      </c>
      <c r="Y2259" s="1" t="str">
        <f>IF(Table1[[#This Row],[Std Read]]="","N/A",Table1[[#This Row],[Std Read]]+Table1[[#This Row],[Std Ucty]])</f>
        <v>N/A</v>
      </c>
      <c r="Z22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59" s="1" t="str">
        <f>IF(Table1[[#This Row],[Spec Type]]="","N/A",Table1[[#This Row],[Spec Type]])</f>
        <v>±</v>
      </c>
      <c r="AC2259" s="1" t="str">
        <f>IF(Table1[[#This Row],[Spec Type2]]="N/A","N/A",IF(AND(Table1[[#This Row],[DUT Adj Read]]&gt;=Table1[[#This Row],[Low Tol]],Table1[[#This Row],[DUT Adj Read]]&lt;=Table1[[#This Row],[High Tol]]),"Pass","Fail"))</f>
        <v>Fail</v>
      </c>
      <c r="AD2259" s="1" t="str">
        <f>IF(AND(Table1[[#This Row],[Spec Type2]]="N/A",Table1[[#This Row],[DUT Adj Read]]="N/A",Table1[[#This Row],[Std Adj Read]]="N/A"),"N/A",IF(Table1[[#This Row],[DUT Adj Read]]="N/A",IF(Table1[[#This Row],[Std Adj Read]]&gt;Table1[[#This Row],[Low Tol]],"Pass","Fail"),IF(Table1[[#This Row],[DUT Adj Read]]&gt;Table1[[#This Row],[Low Tol]],"Pass","Fail")))</f>
        <v>Pass</v>
      </c>
      <c r="AE2259" s="1" t="str">
        <f>IF(AND(Table1[[#This Row],[Spec Type2]]="N/A",Table1[[#This Row],[DUT Adj Read]]="N/A",Table1[[#This Row],[Std Adj Read]]="N/A"),"N/A",IF(Table1[[#This Row],[DUT Adj Read]]="N/A",IF(Table1[[#This Row],[Std Adj Read]]&lt;Table1[[#This Row],[High Tol]],"Pass","Fail"),IF(Table1[[#This Row],[DUT Adj Read]]&lt;Table1[[#This Row],[High Tol]],"Pass","Fail")))</f>
        <v>Fail</v>
      </c>
      <c r="AF2259" s="1" t="str">
        <f>IF(AND(Table1[[#This Row],[Spec Type2]]="N/A",Table1[[#This Row],[DUT Adj Read]]="N/A",Table1[[#This Row],[Std Adj Read]]="N/A"),"N/A",IF(Table1[[#This Row],[DUT Adj Read]]="N/A",IF(Table1[[#This Row],[Std Adj Read]]&gt;=Table1[[#This Row],[Low Tol]],"Pass","Fail"),IF(Table1[[#This Row],[DUT Adj Read]]&gt;=Table1[[#This Row],[Low Tol]],"Pass","Fail")))</f>
        <v>Pass</v>
      </c>
      <c r="AG2259" s="1" t="str">
        <f>IF(AND(Table1[[#This Row],[Spec Type2]]="N/A",Table1[[#This Row],[DUT Adj Read]]="N/A",Table1[[#This Row],[Std Adj Read]]="N/A"),"N/A",IF(Table1[[#This Row],[DUT Adj Read]]="N/A",IF(Table1[[#This Row],[Std Adj Read]]&lt;=Table1[[#This Row],[High Tol]],"Pass","Fail"),IF(Table1[[#This Row],[DUT Adj Read]]&lt;=Table1[[#This Row],[High Tol]],"Pass","Fail")))</f>
        <v>Fail</v>
      </c>
      <c r="AH22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59" s="1" t="b">
        <v>0</v>
      </c>
      <c r="AN2259" s="1" t="b">
        <v>0</v>
      </c>
      <c r="AO2259" s="1" t="b">
        <v>0</v>
      </c>
    </row>
    <row r="2260" spans="1:41" x14ac:dyDescent="0.25">
      <c r="A2260" s="10"/>
      <c r="B2260" s="10"/>
      <c r="C2260" s="10"/>
      <c r="D2260" s="10"/>
      <c r="E2260" s="10"/>
      <c r="F2260" s="10"/>
      <c r="G2260" s="10"/>
      <c r="H2260" s="10"/>
      <c r="I2260" s="1" t="str">
        <f t="shared" si="105"/>
        <v/>
      </c>
      <c r="J2260" s="1" t="s">
        <v>35</v>
      </c>
      <c r="K2260" s="1" t="str">
        <f t="shared" si="106"/>
        <v/>
      </c>
      <c r="L2260" s="1" t="str">
        <f t="shared" si="107"/>
        <v/>
      </c>
      <c r="M2260" s="1">
        <f>IF(OR(Table1[[#This Row],[Std Nom]]="",Table1[[#This Row],[Std Read]]=""),0,Table1[[#This Row],[Std Nom]]-Table1[[#This Row],[Std Read]])</f>
        <v>0</v>
      </c>
      <c r="N2260" s="1">
        <f>IF(Calculations!$F$5="ACCREDITED 17025 WITH UNCERTAINTIES",$N$10,0)</f>
        <v>0</v>
      </c>
      <c r="Q2260" s="1">
        <f>Table1[[#This Row],[High Tol]]-Table1[[#This Row],[Low Tol]]</f>
        <v>0</v>
      </c>
      <c r="R2260" s="1">
        <f>2*Table1[[#This Row],[Std Error]]</f>
        <v>0</v>
      </c>
      <c r="S2260" s="1" t="str">
        <f>IF(Table1[[#This Row],[High Tol]]="","N/A",IFERROR(ABS(Table1[[#This Row],[Tol Span]]/Table1[[#This Row],[Error Span]]),"N/A"))</f>
        <v>N/A</v>
      </c>
      <c r="T2260" s="1" t="str">
        <f>IF(OR(Table1[[#This Row],[Low Tol]]="",Table1[[#This Row],[High Tol]]=""),"Needs Analysis",IF(Table1[[#This Row],[Ratio]]&gt;=4,"Not Significant",IF(Table1[[#This Row],[Ratio]]&gt;=2,"Semi-Significant","Significant")))</f>
        <v>Needs Analysis</v>
      </c>
      <c r="W2260" s="1">
        <f>IF(Table1[[#This Row],[Cal Type]]&lt;&gt;"ACCREDITED 17025 WITH UNCERTAINTIES",0,"")</f>
        <v>0</v>
      </c>
      <c r="X2260" s="1" t="str">
        <f>IF(Table1[[#This Row],[DUT Read]]="","N/A",Table1[[#This Row],[Std Error]]+Table1[[#This Row],[DUT Read]]+Table1[[#This Row],[DUT Ucty]])</f>
        <v>N/A</v>
      </c>
      <c r="Y2260" s="1" t="str">
        <f>IF(Table1[[#This Row],[Std Read]]="","N/A",Table1[[#This Row],[Std Read]]+Table1[[#This Row],[Std Ucty]])</f>
        <v>N/A</v>
      </c>
      <c r="Z22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0" s="1" t="str">
        <f>IF(Table1[[#This Row],[Spec Type]]="","N/A",Table1[[#This Row],[Spec Type]])</f>
        <v>±</v>
      </c>
      <c r="AC2260" s="1" t="str">
        <f>IF(Table1[[#This Row],[Spec Type2]]="N/A","N/A",IF(AND(Table1[[#This Row],[DUT Adj Read]]&gt;=Table1[[#This Row],[Low Tol]],Table1[[#This Row],[DUT Adj Read]]&lt;=Table1[[#This Row],[High Tol]]),"Pass","Fail"))</f>
        <v>Fail</v>
      </c>
      <c r="AD2260" s="1" t="str">
        <f>IF(AND(Table1[[#This Row],[Spec Type2]]="N/A",Table1[[#This Row],[DUT Adj Read]]="N/A",Table1[[#This Row],[Std Adj Read]]="N/A"),"N/A",IF(Table1[[#This Row],[DUT Adj Read]]="N/A",IF(Table1[[#This Row],[Std Adj Read]]&gt;Table1[[#This Row],[Low Tol]],"Pass","Fail"),IF(Table1[[#This Row],[DUT Adj Read]]&gt;Table1[[#This Row],[Low Tol]],"Pass","Fail")))</f>
        <v>Pass</v>
      </c>
      <c r="AE2260" s="1" t="str">
        <f>IF(AND(Table1[[#This Row],[Spec Type2]]="N/A",Table1[[#This Row],[DUT Adj Read]]="N/A",Table1[[#This Row],[Std Adj Read]]="N/A"),"N/A",IF(Table1[[#This Row],[DUT Adj Read]]="N/A",IF(Table1[[#This Row],[Std Adj Read]]&lt;Table1[[#This Row],[High Tol]],"Pass","Fail"),IF(Table1[[#This Row],[DUT Adj Read]]&lt;Table1[[#This Row],[High Tol]],"Pass","Fail")))</f>
        <v>Fail</v>
      </c>
      <c r="AF2260" s="1" t="str">
        <f>IF(AND(Table1[[#This Row],[Spec Type2]]="N/A",Table1[[#This Row],[DUT Adj Read]]="N/A",Table1[[#This Row],[Std Adj Read]]="N/A"),"N/A",IF(Table1[[#This Row],[DUT Adj Read]]="N/A",IF(Table1[[#This Row],[Std Adj Read]]&gt;=Table1[[#This Row],[Low Tol]],"Pass","Fail"),IF(Table1[[#This Row],[DUT Adj Read]]&gt;=Table1[[#This Row],[Low Tol]],"Pass","Fail")))</f>
        <v>Pass</v>
      </c>
      <c r="AG2260" s="1" t="str">
        <f>IF(AND(Table1[[#This Row],[Spec Type2]]="N/A",Table1[[#This Row],[DUT Adj Read]]="N/A",Table1[[#This Row],[Std Adj Read]]="N/A"),"N/A",IF(Table1[[#This Row],[DUT Adj Read]]="N/A",IF(Table1[[#This Row],[Std Adj Read]]&lt;=Table1[[#This Row],[High Tol]],"Pass","Fail"),IF(Table1[[#This Row],[DUT Adj Read]]&lt;=Table1[[#This Row],[High Tol]],"Pass","Fail")))</f>
        <v>Fail</v>
      </c>
      <c r="AH22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0" s="1" t="b">
        <v>0</v>
      </c>
      <c r="AN2260" s="1" t="b">
        <v>0</v>
      </c>
      <c r="AO2260" s="1" t="b">
        <v>0</v>
      </c>
    </row>
    <row r="2261" spans="1:41" x14ac:dyDescent="0.25">
      <c r="A2261" s="10"/>
      <c r="B2261" s="10"/>
      <c r="C2261" s="10"/>
      <c r="D2261" s="10"/>
      <c r="E2261" s="10"/>
      <c r="F2261" s="10"/>
      <c r="G2261" s="10"/>
      <c r="H2261" s="10"/>
      <c r="I2261" s="1" t="str">
        <f t="shared" si="105"/>
        <v/>
      </c>
      <c r="J2261" s="1" t="s">
        <v>35</v>
      </c>
      <c r="K2261" s="1" t="str">
        <f t="shared" si="106"/>
        <v/>
      </c>
      <c r="L2261" s="1" t="str">
        <f t="shared" si="107"/>
        <v/>
      </c>
      <c r="M2261" s="1">
        <f>IF(OR(Table1[[#This Row],[Std Nom]]="",Table1[[#This Row],[Std Read]]=""),0,Table1[[#This Row],[Std Nom]]-Table1[[#This Row],[Std Read]])</f>
        <v>0</v>
      </c>
      <c r="N2261" s="1">
        <f>IF(Calculations!$F$5="ACCREDITED 17025 WITH UNCERTAINTIES",$N$10,0)</f>
        <v>0</v>
      </c>
      <c r="Q2261" s="1">
        <f>Table1[[#This Row],[High Tol]]-Table1[[#This Row],[Low Tol]]</f>
        <v>0</v>
      </c>
      <c r="R2261" s="1">
        <f>2*Table1[[#This Row],[Std Error]]</f>
        <v>0</v>
      </c>
      <c r="S2261" s="1" t="str">
        <f>IF(Table1[[#This Row],[High Tol]]="","N/A",IFERROR(ABS(Table1[[#This Row],[Tol Span]]/Table1[[#This Row],[Error Span]]),"N/A"))</f>
        <v>N/A</v>
      </c>
      <c r="T2261" s="1" t="str">
        <f>IF(OR(Table1[[#This Row],[Low Tol]]="",Table1[[#This Row],[High Tol]]=""),"Needs Analysis",IF(Table1[[#This Row],[Ratio]]&gt;=4,"Not Significant",IF(Table1[[#This Row],[Ratio]]&gt;=2,"Semi-Significant","Significant")))</f>
        <v>Needs Analysis</v>
      </c>
      <c r="W2261" s="1">
        <f>IF(Table1[[#This Row],[Cal Type]]&lt;&gt;"ACCREDITED 17025 WITH UNCERTAINTIES",0,"")</f>
        <v>0</v>
      </c>
      <c r="X2261" s="1" t="str">
        <f>IF(Table1[[#This Row],[DUT Read]]="","N/A",Table1[[#This Row],[Std Error]]+Table1[[#This Row],[DUT Read]]+Table1[[#This Row],[DUT Ucty]])</f>
        <v>N/A</v>
      </c>
      <c r="Y2261" s="1" t="str">
        <f>IF(Table1[[#This Row],[Std Read]]="","N/A",Table1[[#This Row],[Std Read]]+Table1[[#This Row],[Std Ucty]])</f>
        <v>N/A</v>
      </c>
      <c r="Z22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1" s="1" t="str">
        <f>IF(Table1[[#This Row],[Spec Type]]="","N/A",Table1[[#This Row],[Spec Type]])</f>
        <v>±</v>
      </c>
      <c r="AC2261" s="1" t="str">
        <f>IF(Table1[[#This Row],[Spec Type2]]="N/A","N/A",IF(AND(Table1[[#This Row],[DUT Adj Read]]&gt;=Table1[[#This Row],[Low Tol]],Table1[[#This Row],[DUT Adj Read]]&lt;=Table1[[#This Row],[High Tol]]),"Pass","Fail"))</f>
        <v>Fail</v>
      </c>
      <c r="AD2261" s="1" t="str">
        <f>IF(AND(Table1[[#This Row],[Spec Type2]]="N/A",Table1[[#This Row],[DUT Adj Read]]="N/A",Table1[[#This Row],[Std Adj Read]]="N/A"),"N/A",IF(Table1[[#This Row],[DUT Adj Read]]="N/A",IF(Table1[[#This Row],[Std Adj Read]]&gt;Table1[[#This Row],[Low Tol]],"Pass","Fail"),IF(Table1[[#This Row],[DUT Adj Read]]&gt;Table1[[#This Row],[Low Tol]],"Pass","Fail")))</f>
        <v>Pass</v>
      </c>
      <c r="AE2261" s="1" t="str">
        <f>IF(AND(Table1[[#This Row],[Spec Type2]]="N/A",Table1[[#This Row],[DUT Adj Read]]="N/A",Table1[[#This Row],[Std Adj Read]]="N/A"),"N/A",IF(Table1[[#This Row],[DUT Adj Read]]="N/A",IF(Table1[[#This Row],[Std Adj Read]]&lt;Table1[[#This Row],[High Tol]],"Pass","Fail"),IF(Table1[[#This Row],[DUT Adj Read]]&lt;Table1[[#This Row],[High Tol]],"Pass","Fail")))</f>
        <v>Fail</v>
      </c>
      <c r="AF2261" s="1" t="str">
        <f>IF(AND(Table1[[#This Row],[Spec Type2]]="N/A",Table1[[#This Row],[DUT Adj Read]]="N/A",Table1[[#This Row],[Std Adj Read]]="N/A"),"N/A",IF(Table1[[#This Row],[DUT Adj Read]]="N/A",IF(Table1[[#This Row],[Std Adj Read]]&gt;=Table1[[#This Row],[Low Tol]],"Pass","Fail"),IF(Table1[[#This Row],[DUT Adj Read]]&gt;=Table1[[#This Row],[Low Tol]],"Pass","Fail")))</f>
        <v>Pass</v>
      </c>
      <c r="AG2261" s="1" t="str">
        <f>IF(AND(Table1[[#This Row],[Spec Type2]]="N/A",Table1[[#This Row],[DUT Adj Read]]="N/A",Table1[[#This Row],[Std Adj Read]]="N/A"),"N/A",IF(Table1[[#This Row],[DUT Adj Read]]="N/A",IF(Table1[[#This Row],[Std Adj Read]]&lt;=Table1[[#This Row],[High Tol]],"Pass","Fail"),IF(Table1[[#This Row],[DUT Adj Read]]&lt;=Table1[[#This Row],[High Tol]],"Pass","Fail")))</f>
        <v>Fail</v>
      </c>
      <c r="AH22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1" s="1" t="b">
        <v>0</v>
      </c>
      <c r="AN2261" s="1" t="b">
        <v>0</v>
      </c>
      <c r="AO2261" s="1" t="b">
        <v>0</v>
      </c>
    </row>
    <row r="2262" spans="1:41" x14ac:dyDescent="0.25">
      <c r="A2262" s="10"/>
      <c r="B2262" s="10"/>
      <c r="C2262" s="10"/>
      <c r="D2262" s="10"/>
      <c r="E2262" s="10"/>
      <c r="F2262" s="10"/>
      <c r="G2262" s="10"/>
      <c r="H2262" s="10"/>
      <c r="I2262" s="1" t="str">
        <f t="shared" si="105"/>
        <v/>
      </c>
      <c r="J2262" s="1" t="s">
        <v>35</v>
      </c>
      <c r="K2262" s="1" t="str">
        <f t="shared" si="106"/>
        <v/>
      </c>
      <c r="L2262" s="1" t="str">
        <f t="shared" si="107"/>
        <v/>
      </c>
      <c r="M2262" s="1">
        <f>IF(OR(Table1[[#This Row],[Std Nom]]="",Table1[[#This Row],[Std Read]]=""),0,Table1[[#This Row],[Std Nom]]-Table1[[#This Row],[Std Read]])</f>
        <v>0</v>
      </c>
      <c r="N2262" s="1">
        <f>IF(Calculations!$F$5="ACCREDITED 17025 WITH UNCERTAINTIES",$N$10,0)</f>
        <v>0</v>
      </c>
      <c r="Q2262" s="1">
        <f>Table1[[#This Row],[High Tol]]-Table1[[#This Row],[Low Tol]]</f>
        <v>0</v>
      </c>
      <c r="R2262" s="1">
        <f>2*Table1[[#This Row],[Std Error]]</f>
        <v>0</v>
      </c>
      <c r="S2262" s="1" t="str">
        <f>IF(Table1[[#This Row],[High Tol]]="","N/A",IFERROR(ABS(Table1[[#This Row],[Tol Span]]/Table1[[#This Row],[Error Span]]),"N/A"))</f>
        <v>N/A</v>
      </c>
      <c r="T2262" s="1" t="str">
        <f>IF(OR(Table1[[#This Row],[Low Tol]]="",Table1[[#This Row],[High Tol]]=""),"Needs Analysis",IF(Table1[[#This Row],[Ratio]]&gt;=4,"Not Significant",IF(Table1[[#This Row],[Ratio]]&gt;=2,"Semi-Significant","Significant")))</f>
        <v>Needs Analysis</v>
      </c>
      <c r="W2262" s="1">
        <f>IF(Table1[[#This Row],[Cal Type]]&lt;&gt;"ACCREDITED 17025 WITH UNCERTAINTIES",0,"")</f>
        <v>0</v>
      </c>
      <c r="X2262" s="1" t="str">
        <f>IF(Table1[[#This Row],[DUT Read]]="","N/A",Table1[[#This Row],[Std Error]]+Table1[[#This Row],[DUT Read]]+Table1[[#This Row],[DUT Ucty]])</f>
        <v>N/A</v>
      </c>
      <c r="Y2262" s="1" t="str">
        <f>IF(Table1[[#This Row],[Std Read]]="","N/A",Table1[[#This Row],[Std Read]]+Table1[[#This Row],[Std Ucty]])</f>
        <v>N/A</v>
      </c>
      <c r="Z22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2" s="1" t="str">
        <f>IF(Table1[[#This Row],[Spec Type]]="","N/A",Table1[[#This Row],[Spec Type]])</f>
        <v>±</v>
      </c>
      <c r="AC2262" s="1" t="str">
        <f>IF(Table1[[#This Row],[Spec Type2]]="N/A","N/A",IF(AND(Table1[[#This Row],[DUT Adj Read]]&gt;=Table1[[#This Row],[Low Tol]],Table1[[#This Row],[DUT Adj Read]]&lt;=Table1[[#This Row],[High Tol]]),"Pass","Fail"))</f>
        <v>Fail</v>
      </c>
      <c r="AD2262" s="1" t="str">
        <f>IF(AND(Table1[[#This Row],[Spec Type2]]="N/A",Table1[[#This Row],[DUT Adj Read]]="N/A",Table1[[#This Row],[Std Adj Read]]="N/A"),"N/A",IF(Table1[[#This Row],[DUT Adj Read]]="N/A",IF(Table1[[#This Row],[Std Adj Read]]&gt;Table1[[#This Row],[Low Tol]],"Pass","Fail"),IF(Table1[[#This Row],[DUT Adj Read]]&gt;Table1[[#This Row],[Low Tol]],"Pass","Fail")))</f>
        <v>Pass</v>
      </c>
      <c r="AE2262" s="1" t="str">
        <f>IF(AND(Table1[[#This Row],[Spec Type2]]="N/A",Table1[[#This Row],[DUT Adj Read]]="N/A",Table1[[#This Row],[Std Adj Read]]="N/A"),"N/A",IF(Table1[[#This Row],[DUT Adj Read]]="N/A",IF(Table1[[#This Row],[Std Adj Read]]&lt;Table1[[#This Row],[High Tol]],"Pass","Fail"),IF(Table1[[#This Row],[DUT Adj Read]]&lt;Table1[[#This Row],[High Tol]],"Pass","Fail")))</f>
        <v>Fail</v>
      </c>
      <c r="AF2262" s="1" t="str">
        <f>IF(AND(Table1[[#This Row],[Spec Type2]]="N/A",Table1[[#This Row],[DUT Adj Read]]="N/A",Table1[[#This Row],[Std Adj Read]]="N/A"),"N/A",IF(Table1[[#This Row],[DUT Adj Read]]="N/A",IF(Table1[[#This Row],[Std Adj Read]]&gt;=Table1[[#This Row],[Low Tol]],"Pass","Fail"),IF(Table1[[#This Row],[DUT Adj Read]]&gt;=Table1[[#This Row],[Low Tol]],"Pass","Fail")))</f>
        <v>Pass</v>
      </c>
      <c r="AG2262" s="1" t="str">
        <f>IF(AND(Table1[[#This Row],[Spec Type2]]="N/A",Table1[[#This Row],[DUT Adj Read]]="N/A",Table1[[#This Row],[Std Adj Read]]="N/A"),"N/A",IF(Table1[[#This Row],[DUT Adj Read]]="N/A",IF(Table1[[#This Row],[Std Adj Read]]&lt;=Table1[[#This Row],[High Tol]],"Pass","Fail"),IF(Table1[[#This Row],[DUT Adj Read]]&lt;=Table1[[#This Row],[High Tol]],"Pass","Fail")))</f>
        <v>Fail</v>
      </c>
      <c r="AH22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2" s="1" t="b">
        <v>0</v>
      </c>
      <c r="AN2262" s="1" t="b">
        <v>0</v>
      </c>
      <c r="AO2262" s="1" t="b">
        <v>0</v>
      </c>
    </row>
    <row r="2263" spans="1:41" x14ac:dyDescent="0.25">
      <c r="A2263" s="10"/>
      <c r="B2263" s="10"/>
      <c r="C2263" s="10"/>
      <c r="D2263" s="10"/>
      <c r="E2263" s="10"/>
      <c r="F2263" s="10"/>
      <c r="G2263" s="10"/>
      <c r="H2263" s="10"/>
      <c r="I2263" s="1" t="str">
        <f t="shared" si="105"/>
        <v/>
      </c>
      <c r="J2263" s="1" t="s">
        <v>35</v>
      </c>
      <c r="K2263" s="1" t="str">
        <f t="shared" si="106"/>
        <v/>
      </c>
      <c r="L2263" s="1" t="str">
        <f t="shared" si="107"/>
        <v/>
      </c>
      <c r="M2263" s="1">
        <f>IF(OR(Table1[[#This Row],[Std Nom]]="",Table1[[#This Row],[Std Read]]=""),0,Table1[[#This Row],[Std Nom]]-Table1[[#This Row],[Std Read]])</f>
        <v>0</v>
      </c>
      <c r="N2263" s="1">
        <f>IF(Calculations!$F$5="ACCREDITED 17025 WITH UNCERTAINTIES",$N$10,0)</f>
        <v>0</v>
      </c>
      <c r="Q2263" s="1">
        <f>Table1[[#This Row],[High Tol]]-Table1[[#This Row],[Low Tol]]</f>
        <v>0</v>
      </c>
      <c r="R2263" s="1">
        <f>2*Table1[[#This Row],[Std Error]]</f>
        <v>0</v>
      </c>
      <c r="S2263" s="1" t="str">
        <f>IF(Table1[[#This Row],[High Tol]]="","N/A",IFERROR(ABS(Table1[[#This Row],[Tol Span]]/Table1[[#This Row],[Error Span]]),"N/A"))</f>
        <v>N/A</v>
      </c>
      <c r="T2263" s="1" t="str">
        <f>IF(OR(Table1[[#This Row],[Low Tol]]="",Table1[[#This Row],[High Tol]]=""),"Needs Analysis",IF(Table1[[#This Row],[Ratio]]&gt;=4,"Not Significant",IF(Table1[[#This Row],[Ratio]]&gt;=2,"Semi-Significant","Significant")))</f>
        <v>Needs Analysis</v>
      </c>
      <c r="W2263" s="1">
        <f>IF(Table1[[#This Row],[Cal Type]]&lt;&gt;"ACCREDITED 17025 WITH UNCERTAINTIES",0,"")</f>
        <v>0</v>
      </c>
      <c r="X2263" s="1" t="str">
        <f>IF(Table1[[#This Row],[DUT Read]]="","N/A",Table1[[#This Row],[Std Error]]+Table1[[#This Row],[DUT Read]]+Table1[[#This Row],[DUT Ucty]])</f>
        <v>N/A</v>
      </c>
      <c r="Y2263" s="1" t="str">
        <f>IF(Table1[[#This Row],[Std Read]]="","N/A",Table1[[#This Row],[Std Read]]+Table1[[#This Row],[Std Ucty]])</f>
        <v>N/A</v>
      </c>
      <c r="Z22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3" s="1" t="str">
        <f>IF(Table1[[#This Row],[Spec Type]]="","N/A",Table1[[#This Row],[Spec Type]])</f>
        <v>±</v>
      </c>
      <c r="AC2263" s="1" t="str">
        <f>IF(Table1[[#This Row],[Spec Type2]]="N/A","N/A",IF(AND(Table1[[#This Row],[DUT Adj Read]]&gt;=Table1[[#This Row],[Low Tol]],Table1[[#This Row],[DUT Adj Read]]&lt;=Table1[[#This Row],[High Tol]]),"Pass","Fail"))</f>
        <v>Fail</v>
      </c>
      <c r="AD2263" s="1" t="str">
        <f>IF(AND(Table1[[#This Row],[Spec Type2]]="N/A",Table1[[#This Row],[DUT Adj Read]]="N/A",Table1[[#This Row],[Std Adj Read]]="N/A"),"N/A",IF(Table1[[#This Row],[DUT Adj Read]]="N/A",IF(Table1[[#This Row],[Std Adj Read]]&gt;Table1[[#This Row],[Low Tol]],"Pass","Fail"),IF(Table1[[#This Row],[DUT Adj Read]]&gt;Table1[[#This Row],[Low Tol]],"Pass","Fail")))</f>
        <v>Pass</v>
      </c>
      <c r="AE2263" s="1" t="str">
        <f>IF(AND(Table1[[#This Row],[Spec Type2]]="N/A",Table1[[#This Row],[DUT Adj Read]]="N/A",Table1[[#This Row],[Std Adj Read]]="N/A"),"N/A",IF(Table1[[#This Row],[DUT Adj Read]]="N/A",IF(Table1[[#This Row],[Std Adj Read]]&lt;Table1[[#This Row],[High Tol]],"Pass","Fail"),IF(Table1[[#This Row],[DUT Adj Read]]&lt;Table1[[#This Row],[High Tol]],"Pass","Fail")))</f>
        <v>Fail</v>
      </c>
      <c r="AF2263" s="1" t="str">
        <f>IF(AND(Table1[[#This Row],[Spec Type2]]="N/A",Table1[[#This Row],[DUT Adj Read]]="N/A",Table1[[#This Row],[Std Adj Read]]="N/A"),"N/A",IF(Table1[[#This Row],[DUT Adj Read]]="N/A",IF(Table1[[#This Row],[Std Adj Read]]&gt;=Table1[[#This Row],[Low Tol]],"Pass","Fail"),IF(Table1[[#This Row],[DUT Adj Read]]&gt;=Table1[[#This Row],[Low Tol]],"Pass","Fail")))</f>
        <v>Pass</v>
      </c>
      <c r="AG2263" s="1" t="str">
        <f>IF(AND(Table1[[#This Row],[Spec Type2]]="N/A",Table1[[#This Row],[DUT Adj Read]]="N/A",Table1[[#This Row],[Std Adj Read]]="N/A"),"N/A",IF(Table1[[#This Row],[DUT Adj Read]]="N/A",IF(Table1[[#This Row],[Std Adj Read]]&lt;=Table1[[#This Row],[High Tol]],"Pass","Fail"),IF(Table1[[#This Row],[DUT Adj Read]]&lt;=Table1[[#This Row],[High Tol]],"Pass","Fail")))</f>
        <v>Fail</v>
      </c>
      <c r="AH22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3" s="1" t="b">
        <v>0</v>
      </c>
      <c r="AN2263" s="1" t="b">
        <v>0</v>
      </c>
      <c r="AO2263" s="1" t="b">
        <v>0</v>
      </c>
    </row>
    <row r="2264" spans="1:41" x14ac:dyDescent="0.25">
      <c r="A2264" s="10"/>
      <c r="B2264" s="10"/>
      <c r="C2264" s="10"/>
      <c r="D2264" s="10"/>
      <c r="E2264" s="10"/>
      <c r="F2264" s="10"/>
      <c r="G2264" s="10"/>
      <c r="H2264" s="10"/>
      <c r="I2264" s="1" t="str">
        <f t="shared" si="105"/>
        <v/>
      </c>
      <c r="J2264" s="1" t="s">
        <v>35</v>
      </c>
      <c r="K2264" s="1" t="str">
        <f t="shared" si="106"/>
        <v/>
      </c>
      <c r="L2264" s="1" t="str">
        <f t="shared" si="107"/>
        <v/>
      </c>
      <c r="M2264" s="1">
        <f>IF(OR(Table1[[#This Row],[Std Nom]]="",Table1[[#This Row],[Std Read]]=""),0,Table1[[#This Row],[Std Nom]]-Table1[[#This Row],[Std Read]])</f>
        <v>0</v>
      </c>
      <c r="N2264" s="1">
        <f>IF(Calculations!$F$5="ACCREDITED 17025 WITH UNCERTAINTIES",$N$10,0)</f>
        <v>0</v>
      </c>
      <c r="Q2264" s="1">
        <f>Table1[[#This Row],[High Tol]]-Table1[[#This Row],[Low Tol]]</f>
        <v>0</v>
      </c>
      <c r="R2264" s="1">
        <f>2*Table1[[#This Row],[Std Error]]</f>
        <v>0</v>
      </c>
      <c r="S2264" s="1" t="str">
        <f>IF(Table1[[#This Row],[High Tol]]="","N/A",IFERROR(ABS(Table1[[#This Row],[Tol Span]]/Table1[[#This Row],[Error Span]]),"N/A"))</f>
        <v>N/A</v>
      </c>
      <c r="T2264" s="1" t="str">
        <f>IF(OR(Table1[[#This Row],[Low Tol]]="",Table1[[#This Row],[High Tol]]=""),"Needs Analysis",IF(Table1[[#This Row],[Ratio]]&gt;=4,"Not Significant",IF(Table1[[#This Row],[Ratio]]&gt;=2,"Semi-Significant","Significant")))</f>
        <v>Needs Analysis</v>
      </c>
      <c r="W2264" s="1">
        <f>IF(Table1[[#This Row],[Cal Type]]&lt;&gt;"ACCREDITED 17025 WITH UNCERTAINTIES",0,"")</f>
        <v>0</v>
      </c>
      <c r="X2264" s="1" t="str">
        <f>IF(Table1[[#This Row],[DUT Read]]="","N/A",Table1[[#This Row],[Std Error]]+Table1[[#This Row],[DUT Read]]+Table1[[#This Row],[DUT Ucty]])</f>
        <v>N/A</v>
      </c>
      <c r="Y2264" s="1" t="str">
        <f>IF(Table1[[#This Row],[Std Read]]="","N/A",Table1[[#This Row],[Std Read]]+Table1[[#This Row],[Std Ucty]])</f>
        <v>N/A</v>
      </c>
      <c r="Z22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4" s="1" t="str">
        <f>IF(Table1[[#This Row],[Spec Type]]="","N/A",Table1[[#This Row],[Spec Type]])</f>
        <v>±</v>
      </c>
      <c r="AC2264" s="1" t="str">
        <f>IF(Table1[[#This Row],[Spec Type2]]="N/A","N/A",IF(AND(Table1[[#This Row],[DUT Adj Read]]&gt;=Table1[[#This Row],[Low Tol]],Table1[[#This Row],[DUT Adj Read]]&lt;=Table1[[#This Row],[High Tol]]),"Pass","Fail"))</f>
        <v>Fail</v>
      </c>
      <c r="AD2264" s="1" t="str">
        <f>IF(AND(Table1[[#This Row],[Spec Type2]]="N/A",Table1[[#This Row],[DUT Adj Read]]="N/A",Table1[[#This Row],[Std Adj Read]]="N/A"),"N/A",IF(Table1[[#This Row],[DUT Adj Read]]="N/A",IF(Table1[[#This Row],[Std Adj Read]]&gt;Table1[[#This Row],[Low Tol]],"Pass","Fail"),IF(Table1[[#This Row],[DUT Adj Read]]&gt;Table1[[#This Row],[Low Tol]],"Pass","Fail")))</f>
        <v>Pass</v>
      </c>
      <c r="AE2264" s="1" t="str">
        <f>IF(AND(Table1[[#This Row],[Spec Type2]]="N/A",Table1[[#This Row],[DUT Adj Read]]="N/A",Table1[[#This Row],[Std Adj Read]]="N/A"),"N/A",IF(Table1[[#This Row],[DUT Adj Read]]="N/A",IF(Table1[[#This Row],[Std Adj Read]]&lt;Table1[[#This Row],[High Tol]],"Pass","Fail"),IF(Table1[[#This Row],[DUT Adj Read]]&lt;Table1[[#This Row],[High Tol]],"Pass","Fail")))</f>
        <v>Fail</v>
      </c>
      <c r="AF2264" s="1" t="str">
        <f>IF(AND(Table1[[#This Row],[Spec Type2]]="N/A",Table1[[#This Row],[DUT Adj Read]]="N/A",Table1[[#This Row],[Std Adj Read]]="N/A"),"N/A",IF(Table1[[#This Row],[DUT Adj Read]]="N/A",IF(Table1[[#This Row],[Std Adj Read]]&gt;=Table1[[#This Row],[Low Tol]],"Pass","Fail"),IF(Table1[[#This Row],[DUT Adj Read]]&gt;=Table1[[#This Row],[Low Tol]],"Pass","Fail")))</f>
        <v>Pass</v>
      </c>
      <c r="AG2264" s="1" t="str">
        <f>IF(AND(Table1[[#This Row],[Spec Type2]]="N/A",Table1[[#This Row],[DUT Adj Read]]="N/A",Table1[[#This Row],[Std Adj Read]]="N/A"),"N/A",IF(Table1[[#This Row],[DUT Adj Read]]="N/A",IF(Table1[[#This Row],[Std Adj Read]]&lt;=Table1[[#This Row],[High Tol]],"Pass","Fail"),IF(Table1[[#This Row],[DUT Adj Read]]&lt;=Table1[[#This Row],[High Tol]],"Pass","Fail")))</f>
        <v>Fail</v>
      </c>
      <c r="AH22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4" s="1" t="b">
        <v>0</v>
      </c>
      <c r="AN2264" s="1" t="b">
        <v>0</v>
      </c>
      <c r="AO2264" s="1" t="b">
        <v>0</v>
      </c>
    </row>
    <row r="2265" spans="1:41" x14ac:dyDescent="0.25">
      <c r="A2265" s="10"/>
      <c r="B2265" s="10"/>
      <c r="C2265" s="10"/>
      <c r="D2265" s="10"/>
      <c r="E2265" s="10"/>
      <c r="F2265" s="10"/>
      <c r="G2265" s="10"/>
      <c r="H2265" s="10"/>
      <c r="I2265" s="1" t="str">
        <f t="shared" si="105"/>
        <v/>
      </c>
      <c r="J2265" s="1" t="s">
        <v>35</v>
      </c>
      <c r="K2265" s="1" t="str">
        <f t="shared" si="106"/>
        <v/>
      </c>
      <c r="L2265" s="1" t="str">
        <f t="shared" si="107"/>
        <v/>
      </c>
      <c r="M2265" s="1">
        <f>IF(OR(Table1[[#This Row],[Std Nom]]="",Table1[[#This Row],[Std Read]]=""),0,Table1[[#This Row],[Std Nom]]-Table1[[#This Row],[Std Read]])</f>
        <v>0</v>
      </c>
      <c r="N2265" s="1">
        <f>IF(Calculations!$F$5="ACCREDITED 17025 WITH UNCERTAINTIES",$N$10,0)</f>
        <v>0</v>
      </c>
      <c r="Q2265" s="1">
        <f>Table1[[#This Row],[High Tol]]-Table1[[#This Row],[Low Tol]]</f>
        <v>0</v>
      </c>
      <c r="R2265" s="1">
        <f>2*Table1[[#This Row],[Std Error]]</f>
        <v>0</v>
      </c>
      <c r="S2265" s="1" t="str">
        <f>IF(Table1[[#This Row],[High Tol]]="","N/A",IFERROR(ABS(Table1[[#This Row],[Tol Span]]/Table1[[#This Row],[Error Span]]),"N/A"))</f>
        <v>N/A</v>
      </c>
      <c r="T2265" s="1" t="str">
        <f>IF(OR(Table1[[#This Row],[Low Tol]]="",Table1[[#This Row],[High Tol]]=""),"Needs Analysis",IF(Table1[[#This Row],[Ratio]]&gt;=4,"Not Significant",IF(Table1[[#This Row],[Ratio]]&gt;=2,"Semi-Significant","Significant")))</f>
        <v>Needs Analysis</v>
      </c>
      <c r="W2265" s="1">
        <f>IF(Table1[[#This Row],[Cal Type]]&lt;&gt;"ACCREDITED 17025 WITH UNCERTAINTIES",0,"")</f>
        <v>0</v>
      </c>
      <c r="X2265" s="1" t="str">
        <f>IF(Table1[[#This Row],[DUT Read]]="","N/A",Table1[[#This Row],[Std Error]]+Table1[[#This Row],[DUT Read]]+Table1[[#This Row],[DUT Ucty]])</f>
        <v>N/A</v>
      </c>
      <c r="Y2265" s="1" t="str">
        <f>IF(Table1[[#This Row],[Std Read]]="","N/A",Table1[[#This Row],[Std Read]]+Table1[[#This Row],[Std Ucty]])</f>
        <v>N/A</v>
      </c>
      <c r="Z22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5" s="1" t="str">
        <f>IF(Table1[[#This Row],[Spec Type]]="","N/A",Table1[[#This Row],[Spec Type]])</f>
        <v>±</v>
      </c>
      <c r="AC2265" s="1" t="str">
        <f>IF(Table1[[#This Row],[Spec Type2]]="N/A","N/A",IF(AND(Table1[[#This Row],[DUT Adj Read]]&gt;=Table1[[#This Row],[Low Tol]],Table1[[#This Row],[DUT Adj Read]]&lt;=Table1[[#This Row],[High Tol]]),"Pass","Fail"))</f>
        <v>Fail</v>
      </c>
      <c r="AD2265" s="1" t="str">
        <f>IF(AND(Table1[[#This Row],[Spec Type2]]="N/A",Table1[[#This Row],[DUT Adj Read]]="N/A",Table1[[#This Row],[Std Adj Read]]="N/A"),"N/A",IF(Table1[[#This Row],[DUT Adj Read]]="N/A",IF(Table1[[#This Row],[Std Adj Read]]&gt;Table1[[#This Row],[Low Tol]],"Pass","Fail"),IF(Table1[[#This Row],[DUT Adj Read]]&gt;Table1[[#This Row],[Low Tol]],"Pass","Fail")))</f>
        <v>Pass</v>
      </c>
      <c r="AE2265" s="1" t="str">
        <f>IF(AND(Table1[[#This Row],[Spec Type2]]="N/A",Table1[[#This Row],[DUT Adj Read]]="N/A",Table1[[#This Row],[Std Adj Read]]="N/A"),"N/A",IF(Table1[[#This Row],[DUT Adj Read]]="N/A",IF(Table1[[#This Row],[Std Adj Read]]&lt;Table1[[#This Row],[High Tol]],"Pass","Fail"),IF(Table1[[#This Row],[DUT Adj Read]]&lt;Table1[[#This Row],[High Tol]],"Pass","Fail")))</f>
        <v>Fail</v>
      </c>
      <c r="AF2265" s="1" t="str">
        <f>IF(AND(Table1[[#This Row],[Spec Type2]]="N/A",Table1[[#This Row],[DUT Adj Read]]="N/A",Table1[[#This Row],[Std Adj Read]]="N/A"),"N/A",IF(Table1[[#This Row],[DUT Adj Read]]="N/A",IF(Table1[[#This Row],[Std Adj Read]]&gt;=Table1[[#This Row],[Low Tol]],"Pass","Fail"),IF(Table1[[#This Row],[DUT Adj Read]]&gt;=Table1[[#This Row],[Low Tol]],"Pass","Fail")))</f>
        <v>Pass</v>
      </c>
      <c r="AG2265" s="1" t="str">
        <f>IF(AND(Table1[[#This Row],[Spec Type2]]="N/A",Table1[[#This Row],[DUT Adj Read]]="N/A",Table1[[#This Row],[Std Adj Read]]="N/A"),"N/A",IF(Table1[[#This Row],[DUT Adj Read]]="N/A",IF(Table1[[#This Row],[Std Adj Read]]&lt;=Table1[[#This Row],[High Tol]],"Pass","Fail"),IF(Table1[[#This Row],[DUT Adj Read]]&lt;=Table1[[#This Row],[High Tol]],"Pass","Fail")))</f>
        <v>Fail</v>
      </c>
      <c r="AH22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5" s="1" t="b">
        <v>0</v>
      </c>
      <c r="AN2265" s="1" t="b">
        <v>0</v>
      </c>
      <c r="AO2265" s="1" t="b">
        <v>0</v>
      </c>
    </row>
    <row r="2266" spans="1:41" x14ac:dyDescent="0.25">
      <c r="A2266" s="10"/>
      <c r="B2266" s="10"/>
      <c r="C2266" s="10"/>
      <c r="D2266" s="10"/>
      <c r="E2266" s="10"/>
      <c r="F2266" s="10"/>
      <c r="G2266" s="10"/>
      <c r="H2266" s="10"/>
      <c r="I2266" s="1" t="str">
        <f t="shared" si="105"/>
        <v/>
      </c>
      <c r="J2266" s="1" t="s">
        <v>35</v>
      </c>
      <c r="K2266" s="1" t="str">
        <f t="shared" si="106"/>
        <v/>
      </c>
      <c r="L2266" s="1" t="str">
        <f t="shared" si="107"/>
        <v/>
      </c>
      <c r="M2266" s="1">
        <f>IF(OR(Table1[[#This Row],[Std Nom]]="",Table1[[#This Row],[Std Read]]=""),0,Table1[[#This Row],[Std Nom]]-Table1[[#This Row],[Std Read]])</f>
        <v>0</v>
      </c>
      <c r="N2266" s="1">
        <f>IF(Calculations!$F$5="ACCREDITED 17025 WITH UNCERTAINTIES",$N$10,0)</f>
        <v>0</v>
      </c>
      <c r="Q2266" s="1">
        <f>Table1[[#This Row],[High Tol]]-Table1[[#This Row],[Low Tol]]</f>
        <v>0</v>
      </c>
      <c r="R2266" s="1">
        <f>2*Table1[[#This Row],[Std Error]]</f>
        <v>0</v>
      </c>
      <c r="S2266" s="1" t="str">
        <f>IF(Table1[[#This Row],[High Tol]]="","N/A",IFERROR(ABS(Table1[[#This Row],[Tol Span]]/Table1[[#This Row],[Error Span]]),"N/A"))</f>
        <v>N/A</v>
      </c>
      <c r="T2266" s="1" t="str">
        <f>IF(OR(Table1[[#This Row],[Low Tol]]="",Table1[[#This Row],[High Tol]]=""),"Needs Analysis",IF(Table1[[#This Row],[Ratio]]&gt;=4,"Not Significant",IF(Table1[[#This Row],[Ratio]]&gt;=2,"Semi-Significant","Significant")))</f>
        <v>Needs Analysis</v>
      </c>
      <c r="W2266" s="1">
        <f>IF(Table1[[#This Row],[Cal Type]]&lt;&gt;"ACCREDITED 17025 WITH UNCERTAINTIES",0,"")</f>
        <v>0</v>
      </c>
      <c r="X2266" s="1" t="str">
        <f>IF(Table1[[#This Row],[DUT Read]]="","N/A",Table1[[#This Row],[Std Error]]+Table1[[#This Row],[DUT Read]]+Table1[[#This Row],[DUT Ucty]])</f>
        <v>N/A</v>
      </c>
      <c r="Y2266" s="1" t="str">
        <f>IF(Table1[[#This Row],[Std Read]]="","N/A",Table1[[#This Row],[Std Read]]+Table1[[#This Row],[Std Ucty]])</f>
        <v>N/A</v>
      </c>
      <c r="Z22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6" s="1" t="str">
        <f>IF(Table1[[#This Row],[Spec Type]]="","N/A",Table1[[#This Row],[Spec Type]])</f>
        <v>±</v>
      </c>
      <c r="AC2266" s="1" t="str">
        <f>IF(Table1[[#This Row],[Spec Type2]]="N/A","N/A",IF(AND(Table1[[#This Row],[DUT Adj Read]]&gt;=Table1[[#This Row],[Low Tol]],Table1[[#This Row],[DUT Adj Read]]&lt;=Table1[[#This Row],[High Tol]]),"Pass","Fail"))</f>
        <v>Fail</v>
      </c>
      <c r="AD2266" s="1" t="str">
        <f>IF(AND(Table1[[#This Row],[Spec Type2]]="N/A",Table1[[#This Row],[DUT Adj Read]]="N/A",Table1[[#This Row],[Std Adj Read]]="N/A"),"N/A",IF(Table1[[#This Row],[DUT Adj Read]]="N/A",IF(Table1[[#This Row],[Std Adj Read]]&gt;Table1[[#This Row],[Low Tol]],"Pass","Fail"),IF(Table1[[#This Row],[DUT Adj Read]]&gt;Table1[[#This Row],[Low Tol]],"Pass","Fail")))</f>
        <v>Pass</v>
      </c>
      <c r="AE2266" s="1" t="str">
        <f>IF(AND(Table1[[#This Row],[Spec Type2]]="N/A",Table1[[#This Row],[DUT Adj Read]]="N/A",Table1[[#This Row],[Std Adj Read]]="N/A"),"N/A",IF(Table1[[#This Row],[DUT Adj Read]]="N/A",IF(Table1[[#This Row],[Std Adj Read]]&lt;Table1[[#This Row],[High Tol]],"Pass","Fail"),IF(Table1[[#This Row],[DUT Adj Read]]&lt;Table1[[#This Row],[High Tol]],"Pass","Fail")))</f>
        <v>Fail</v>
      </c>
      <c r="AF2266" s="1" t="str">
        <f>IF(AND(Table1[[#This Row],[Spec Type2]]="N/A",Table1[[#This Row],[DUT Adj Read]]="N/A",Table1[[#This Row],[Std Adj Read]]="N/A"),"N/A",IF(Table1[[#This Row],[DUT Adj Read]]="N/A",IF(Table1[[#This Row],[Std Adj Read]]&gt;=Table1[[#This Row],[Low Tol]],"Pass","Fail"),IF(Table1[[#This Row],[DUT Adj Read]]&gt;=Table1[[#This Row],[Low Tol]],"Pass","Fail")))</f>
        <v>Pass</v>
      </c>
      <c r="AG2266" s="1" t="str">
        <f>IF(AND(Table1[[#This Row],[Spec Type2]]="N/A",Table1[[#This Row],[DUT Adj Read]]="N/A",Table1[[#This Row],[Std Adj Read]]="N/A"),"N/A",IF(Table1[[#This Row],[DUT Adj Read]]="N/A",IF(Table1[[#This Row],[Std Adj Read]]&lt;=Table1[[#This Row],[High Tol]],"Pass","Fail"),IF(Table1[[#This Row],[DUT Adj Read]]&lt;=Table1[[#This Row],[High Tol]],"Pass","Fail")))</f>
        <v>Fail</v>
      </c>
      <c r="AH22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6" s="1" t="b">
        <v>0</v>
      </c>
      <c r="AN2266" s="1" t="b">
        <v>0</v>
      </c>
      <c r="AO2266" s="1" t="b">
        <v>0</v>
      </c>
    </row>
    <row r="2267" spans="1:41" x14ac:dyDescent="0.25">
      <c r="A2267" s="10"/>
      <c r="B2267" s="10"/>
      <c r="C2267" s="10"/>
      <c r="D2267" s="10"/>
      <c r="E2267" s="10"/>
      <c r="F2267" s="10"/>
      <c r="G2267" s="10"/>
      <c r="H2267" s="10"/>
      <c r="I2267" s="1" t="str">
        <f t="shared" si="105"/>
        <v/>
      </c>
      <c r="J2267" s="1" t="s">
        <v>35</v>
      </c>
      <c r="K2267" s="1" t="str">
        <f t="shared" si="106"/>
        <v/>
      </c>
      <c r="L2267" s="1" t="str">
        <f t="shared" si="107"/>
        <v/>
      </c>
      <c r="M2267" s="1">
        <f>IF(OR(Table1[[#This Row],[Std Nom]]="",Table1[[#This Row],[Std Read]]=""),0,Table1[[#This Row],[Std Nom]]-Table1[[#This Row],[Std Read]])</f>
        <v>0</v>
      </c>
      <c r="N2267" s="1">
        <f>IF(Calculations!$F$5="ACCREDITED 17025 WITH UNCERTAINTIES",$N$10,0)</f>
        <v>0</v>
      </c>
      <c r="Q2267" s="1">
        <f>Table1[[#This Row],[High Tol]]-Table1[[#This Row],[Low Tol]]</f>
        <v>0</v>
      </c>
      <c r="R2267" s="1">
        <f>2*Table1[[#This Row],[Std Error]]</f>
        <v>0</v>
      </c>
      <c r="S2267" s="1" t="str">
        <f>IF(Table1[[#This Row],[High Tol]]="","N/A",IFERROR(ABS(Table1[[#This Row],[Tol Span]]/Table1[[#This Row],[Error Span]]),"N/A"))</f>
        <v>N/A</v>
      </c>
      <c r="T2267" s="1" t="str">
        <f>IF(OR(Table1[[#This Row],[Low Tol]]="",Table1[[#This Row],[High Tol]]=""),"Needs Analysis",IF(Table1[[#This Row],[Ratio]]&gt;=4,"Not Significant",IF(Table1[[#This Row],[Ratio]]&gt;=2,"Semi-Significant","Significant")))</f>
        <v>Needs Analysis</v>
      </c>
      <c r="W2267" s="1">
        <f>IF(Table1[[#This Row],[Cal Type]]&lt;&gt;"ACCREDITED 17025 WITH UNCERTAINTIES",0,"")</f>
        <v>0</v>
      </c>
      <c r="X2267" s="1" t="str">
        <f>IF(Table1[[#This Row],[DUT Read]]="","N/A",Table1[[#This Row],[Std Error]]+Table1[[#This Row],[DUT Read]]+Table1[[#This Row],[DUT Ucty]])</f>
        <v>N/A</v>
      </c>
      <c r="Y2267" s="1" t="str">
        <f>IF(Table1[[#This Row],[Std Read]]="","N/A",Table1[[#This Row],[Std Read]]+Table1[[#This Row],[Std Ucty]])</f>
        <v>N/A</v>
      </c>
      <c r="Z22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7" s="1" t="str">
        <f>IF(Table1[[#This Row],[Spec Type]]="","N/A",Table1[[#This Row],[Spec Type]])</f>
        <v>±</v>
      </c>
      <c r="AC2267" s="1" t="str">
        <f>IF(Table1[[#This Row],[Spec Type2]]="N/A","N/A",IF(AND(Table1[[#This Row],[DUT Adj Read]]&gt;=Table1[[#This Row],[Low Tol]],Table1[[#This Row],[DUT Adj Read]]&lt;=Table1[[#This Row],[High Tol]]),"Pass","Fail"))</f>
        <v>Fail</v>
      </c>
      <c r="AD2267" s="1" t="str">
        <f>IF(AND(Table1[[#This Row],[Spec Type2]]="N/A",Table1[[#This Row],[DUT Adj Read]]="N/A",Table1[[#This Row],[Std Adj Read]]="N/A"),"N/A",IF(Table1[[#This Row],[DUT Adj Read]]="N/A",IF(Table1[[#This Row],[Std Adj Read]]&gt;Table1[[#This Row],[Low Tol]],"Pass","Fail"),IF(Table1[[#This Row],[DUT Adj Read]]&gt;Table1[[#This Row],[Low Tol]],"Pass","Fail")))</f>
        <v>Pass</v>
      </c>
      <c r="AE2267" s="1" t="str">
        <f>IF(AND(Table1[[#This Row],[Spec Type2]]="N/A",Table1[[#This Row],[DUT Adj Read]]="N/A",Table1[[#This Row],[Std Adj Read]]="N/A"),"N/A",IF(Table1[[#This Row],[DUT Adj Read]]="N/A",IF(Table1[[#This Row],[Std Adj Read]]&lt;Table1[[#This Row],[High Tol]],"Pass","Fail"),IF(Table1[[#This Row],[DUT Adj Read]]&lt;Table1[[#This Row],[High Tol]],"Pass","Fail")))</f>
        <v>Fail</v>
      </c>
      <c r="AF2267" s="1" t="str">
        <f>IF(AND(Table1[[#This Row],[Spec Type2]]="N/A",Table1[[#This Row],[DUT Adj Read]]="N/A",Table1[[#This Row],[Std Adj Read]]="N/A"),"N/A",IF(Table1[[#This Row],[DUT Adj Read]]="N/A",IF(Table1[[#This Row],[Std Adj Read]]&gt;=Table1[[#This Row],[Low Tol]],"Pass","Fail"),IF(Table1[[#This Row],[DUT Adj Read]]&gt;=Table1[[#This Row],[Low Tol]],"Pass","Fail")))</f>
        <v>Pass</v>
      </c>
      <c r="AG2267" s="1" t="str">
        <f>IF(AND(Table1[[#This Row],[Spec Type2]]="N/A",Table1[[#This Row],[DUT Adj Read]]="N/A",Table1[[#This Row],[Std Adj Read]]="N/A"),"N/A",IF(Table1[[#This Row],[DUT Adj Read]]="N/A",IF(Table1[[#This Row],[Std Adj Read]]&lt;=Table1[[#This Row],[High Tol]],"Pass","Fail"),IF(Table1[[#This Row],[DUT Adj Read]]&lt;=Table1[[#This Row],[High Tol]],"Pass","Fail")))</f>
        <v>Fail</v>
      </c>
      <c r="AH22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7" s="1" t="b">
        <v>0</v>
      </c>
      <c r="AN2267" s="1" t="b">
        <v>0</v>
      </c>
      <c r="AO2267" s="1" t="b">
        <v>0</v>
      </c>
    </row>
    <row r="2268" spans="1:41" x14ac:dyDescent="0.25">
      <c r="A2268" s="10"/>
      <c r="B2268" s="10"/>
      <c r="C2268" s="10"/>
      <c r="D2268" s="10"/>
      <c r="E2268" s="10"/>
      <c r="F2268" s="10"/>
      <c r="G2268" s="10"/>
      <c r="H2268" s="10"/>
      <c r="I2268" s="1" t="str">
        <f t="shared" si="105"/>
        <v/>
      </c>
      <c r="J2268" s="1" t="s">
        <v>35</v>
      </c>
      <c r="K2268" s="1" t="str">
        <f t="shared" si="106"/>
        <v/>
      </c>
      <c r="L2268" s="1" t="str">
        <f t="shared" si="107"/>
        <v/>
      </c>
      <c r="M2268" s="1">
        <f>IF(OR(Table1[[#This Row],[Std Nom]]="",Table1[[#This Row],[Std Read]]=""),0,Table1[[#This Row],[Std Nom]]-Table1[[#This Row],[Std Read]])</f>
        <v>0</v>
      </c>
      <c r="N2268" s="1">
        <f>IF(Calculations!$F$5="ACCREDITED 17025 WITH UNCERTAINTIES",$N$10,0)</f>
        <v>0</v>
      </c>
      <c r="Q2268" s="1">
        <f>Table1[[#This Row],[High Tol]]-Table1[[#This Row],[Low Tol]]</f>
        <v>0</v>
      </c>
      <c r="R2268" s="1">
        <f>2*Table1[[#This Row],[Std Error]]</f>
        <v>0</v>
      </c>
      <c r="S2268" s="1" t="str">
        <f>IF(Table1[[#This Row],[High Tol]]="","N/A",IFERROR(ABS(Table1[[#This Row],[Tol Span]]/Table1[[#This Row],[Error Span]]),"N/A"))</f>
        <v>N/A</v>
      </c>
      <c r="T2268" s="1" t="str">
        <f>IF(OR(Table1[[#This Row],[Low Tol]]="",Table1[[#This Row],[High Tol]]=""),"Needs Analysis",IF(Table1[[#This Row],[Ratio]]&gt;=4,"Not Significant",IF(Table1[[#This Row],[Ratio]]&gt;=2,"Semi-Significant","Significant")))</f>
        <v>Needs Analysis</v>
      </c>
      <c r="W2268" s="1">
        <f>IF(Table1[[#This Row],[Cal Type]]&lt;&gt;"ACCREDITED 17025 WITH UNCERTAINTIES",0,"")</f>
        <v>0</v>
      </c>
      <c r="X2268" s="1" t="str">
        <f>IF(Table1[[#This Row],[DUT Read]]="","N/A",Table1[[#This Row],[Std Error]]+Table1[[#This Row],[DUT Read]]+Table1[[#This Row],[DUT Ucty]])</f>
        <v>N/A</v>
      </c>
      <c r="Y2268" s="1" t="str">
        <f>IF(Table1[[#This Row],[Std Read]]="","N/A",Table1[[#This Row],[Std Read]]+Table1[[#This Row],[Std Ucty]])</f>
        <v>N/A</v>
      </c>
      <c r="Z22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8" s="1" t="str">
        <f>IF(Table1[[#This Row],[Spec Type]]="","N/A",Table1[[#This Row],[Spec Type]])</f>
        <v>±</v>
      </c>
      <c r="AC2268" s="1" t="str">
        <f>IF(Table1[[#This Row],[Spec Type2]]="N/A","N/A",IF(AND(Table1[[#This Row],[DUT Adj Read]]&gt;=Table1[[#This Row],[Low Tol]],Table1[[#This Row],[DUT Adj Read]]&lt;=Table1[[#This Row],[High Tol]]),"Pass","Fail"))</f>
        <v>Fail</v>
      </c>
      <c r="AD2268" s="1" t="str">
        <f>IF(AND(Table1[[#This Row],[Spec Type2]]="N/A",Table1[[#This Row],[DUT Adj Read]]="N/A",Table1[[#This Row],[Std Adj Read]]="N/A"),"N/A",IF(Table1[[#This Row],[DUT Adj Read]]="N/A",IF(Table1[[#This Row],[Std Adj Read]]&gt;Table1[[#This Row],[Low Tol]],"Pass","Fail"),IF(Table1[[#This Row],[DUT Adj Read]]&gt;Table1[[#This Row],[Low Tol]],"Pass","Fail")))</f>
        <v>Pass</v>
      </c>
      <c r="AE2268" s="1" t="str">
        <f>IF(AND(Table1[[#This Row],[Spec Type2]]="N/A",Table1[[#This Row],[DUT Adj Read]]="N/A",Table1[[#This Row],[Std Adj Read]]="N/A"),"N/A",IF(Table1[[#This Row],[DUT Adj Read]]="N/A",IF(Table1[[#This Row],[Std Adj Read]]&lt;Table1[[#This Row],[High Tol]],"Pass","Fail"),IF(Table1[[#This Row],[DUT Adj Read]]&lt;Table1[[#This Row],[High Tol]],"Pass","Fail")))</f>
        <v>Fail</v>
      </c>
      <c r="AF2268" s="1" t="str">
        <f>IF(AND(Table1[[#This Row],[Spec Type2]]="N/A",Table1[[#This Row],[DUT Adj Read]]="N/A",Table1[[#This Row],[Std Adj Read]]="N/A"),"N/A",IF(Table1[[#This Row],[DUT Adj Read]]="N/A",IF(Table1[[#This Row],[Std Adj Read]]&gt;=Table1[[#This Row],[Low Tol]],"Pass","Fail"),IF(Table1[[#This Row],[DUT Adj Read]]&gt;=Table1[[#This Row],[Low Tol]],"Pass","Fail")))</f>
        <v>Pass</v>
      </c>
      <c r="AG2268" s="1" t="str">
        <f>IF(AND(Table1[[#This Row],[Spec Type2]]="N/A",Table1[[#This Row],[DUT Adj Read]]="N/A",Table1[[#This Row],[Std Adj Read]]="N/A"),"N/A",IF(Table1[[#This Row],[DUT Adj Read]]="N/A",IF(Table1[[#This Row],[Std Adj Read]]&lt;=Table1[[#This Row],[High Tol]],"Pass","Fail"),IF(Table1[[#This Row],[DUT Adj Read]]&lt;=Table1[[#This Row],[High Tol]],"Pass","Fail")))</f>
        <v>Fail</v>
      </c>
      <c r="AH22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8" s="1" t="b">
        <v>0</v>
      </c>
      <c r="AN2268" s="1" t="b">
        <v>0</v>
      </c>
      <c r="AO2268" s="1" t="b">
        <v>0</v>
      </c>
    </row>
    <row r="2269" spans="1:41" x14ac:dyDescent="0.25">
      <c r="A2269" s="10"/>
      <c r="B2269" s="10"/>
      <c r="C2269" s="10"/>
      <c r="D2269" s="10"/>
      <c r="E2269" s="10"/>
      <c r="F2269" s="10"/>
      <c r="G2269" s="10"/>
      <c r="H2269" s="10"/>
      <c r="I2269" s="1" t="str">
        <f t="shared" si="105"/>
        <v/>
      </c>
      <c r="J2269" s="1" t="s">
        <v>35</v>
      </c>
      <c r="K2269" s="1" t="str">
        <f t="shared" si="106"/>
        <v/>
      </c>
      <c r="L2269" s="1" t="str">
        <f t="shared" si="107"/>
        <v/>
      </c>
      <c r="M2269" s="1">
        <f>IF(OR(Table1[[#This Row],[Std Nom]]="",Table1[[#This Row],[Std Read]]=""),0,Table1[[#This Row],[Std Nom]]-Table1[[#This Row],[Std Read]])</f>
        <v>0</v>
      </c>
      <c r="N2269" s="1">
        <f>IF(Calculations!$F$5="ACCREDITED 17025 WITH UNCERTAINTIES",$N$10,0)</f>
        <v>0</v>
      </c>
      <c r="Q2269" s="1">
        <f>Table1[[#This Row],[High Tol]]-Table1[[#This Row],[Low Tol]]</f>
        <v>0</v>
      </c>
      <c r="R2269" s="1">
        <f>2*Table1[[#This Row],[Std Error]]</f>
        <v>0</v>
      </c>
      <c r="S2269" s="1" t="str">
        <f>IF(Table1[[#This Row],[High Tol]]="","N/A",IFERROR(ABS(Table1[[#This Row],[Tol Span]]/Table1[[#This Row],[Error Span]]),"N/A"))</f>
        <v>N/A</v>
      </c>
      <c r="T2269" s="1" t="str">
        <f>IF(OR(Table1[[#This Row],[Low Tol]]="",Table1[[#This Row],[High Tol]]=""),"Needs Analysis",IF(Table1[[#This Row],[Ratio]]&gt;=4,"Not Significant",IF(Table1[[#This Row],[Ratio]]&gt;=2,"Semi-Significant","Significant")))</f>
        <v>Needs Analysis</v>
      </c>
      <c r="W2269" s="1">
        <f>IF(Table1[[#This Row],[Cal Type]]&lt;&gt;"ACCREDITED 17025 WITH UNCERTAINTIES",0,"")</f>
        <v>0</v>
      </c>
      <c r="X2269" s="1" t="str">
        <f>IF(Table1[[#This Row],[DUT Read]]="","N/A",Table1[[#This Row],[Std Error]]+Table1[[#This Row],[DUT Read]]+Table1[[#This Row],[DUT Ucty]])</f>
        <v>N/A</v>
      </c>
      <c r="Y2269" s="1" t="str">
        <f>IF(Table1[[#This Row],[Std Read]]="","N/A",Table1[[#This Row],[Std Read]]+Table1[[#This Row],[Std Ucty]])</f>
        <v>N/A</v>
      </c>
      <c r="Z22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69" s="1" t="str">
        <f>IF(Table1[[#This Row],[Spec Type]]="","N/A",Table1[[#This Row],[Spec Type]])</f>
        <v>±</v>
      </c>
      <c r="AC2269" s="1" t="str">
        <f>IF(Table1[[#This Row],[Spec Type2]]="N/A","N/A",IF(AND(Table1[[#This Row],[DUT Adj Read]]&gt;=Table1[[#This Row],[Low Tol]],Table1[[#This Row],[DUT Adj Read]]&lt;=Table1[[#This Row],[High Tol]]),"Pass","Fail"))</f>
        <v>Fail</v>
      </c>
      <c r="AD2269" s="1" t="str">
        <f>IF(AND(Table1[[#This Row],[Spec Type2]]="N/A",Table1[[#This Row],[DUT Adj Read]]="N/A",Table1[[#This Row],[Std Adj Read]]="N/A"),"N/A",IF(Table1[[#This Row],[DUT Adj Read]]="N/A",IF(Table1[[#This Row],[Std Adj Read]]&gt;Table1[[#This Row],[Low Tol]],"Pass","Fail"),IF(Table1[[#This Row],[DUT Adj Read]]&gt;Table1[[#This Row],[Low Tol]],"Pass","Fail")))</f>
        <v>Pass</v>
      </c>
      <c r="AE2269" s="1" t="str">
        <f>IF(AND(Table1[[#This Row],[Spec Type2]]="N/A",Table1[[#This Row],[DUT Adj Read]]="N/A",Table1[[#This Row],[Std Adj Read]]="N/A"),"N/A",IF(Table1[[#This Row],[DUT Adj Read]]="N/A",IF(Table1[[#This Row],[Std Adj Read]]&lt;Table1[[#This Row],[High Tol]],"Pass","Fail"),IF(Table1[[#This Row],[DUT Adj Read]]&lt;Table1[[#This Row],[High Tol]],"Pass","Fail")))</f>
        <v>Fail</v>
      </c>
      <c r="AF2269" s="1" t="str">
        <f>IF(AND(Table1[[#This Row],[Spec Type2]]="N/A",Table1[[#This Row],[DUT Adj Read]]="N/A",Table1[[#This Row],[Std Adj Read]]="N/A"),"N/A",IF(Table1[[#This Row],[DUT Adj Read]]="N/A",IF(Table1[[#This Row],[Std Adj Read]]&gt;=Table1[[#This Row],[Low Tol]],"Pass","Fail"),IF(Table1[[#This Row],[DUT Adj Read]]&gt;=Table1[[#This Row],[Low Tol]],"Pass","Fail")))</f>
        <v>Pass</v>
      </c>
      <c r="AG2269" s="1" t="str">
        <f>IF(AND(Table1[[#This Row],[Spec Type2]]="N/A",Table1[[#This Row],[DUT Adj Read]]="N/A",Table1[[#This Row],[Std Adj Read]]="N/A"),"N/A",IF(Table1[[#This Row],[DUT Adj Read]]="N/A",IF(Table1[[#This Row],[Std Adj Read]]&lt;=Table1[[#This Row],[High Tol]],"Pass","Fail"),IF(Table1[[#This Row],[DUT Adj Read]]&lt;=Table1[[#This Row],[High Tol]],"Pass","Fail")))</f>
        <v>Fail</v>
      </c>
      <c r="AH22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69" s="1" t="b">
        <v>0</v>
      </c>
      <c r="AN2269" s="1" t="b">
        <v>0</v>
      </c>
      <c r="AO2269" s="1" t="b">
        <v>0</v>
      </c>
    </row>
    <row r="2270" spans="1:41" x14ac:dyDescent="0.25">
      <c r="A2270" s="10"/>
      <c r="B2270" s="10"/>
      <c r="C2270" s="10"/>
      <c r="D2270" s="10"/>
      <c r="E2270" s="10"/>
      <c r="F2270" s="10"/>
      <c r="G2270" s="10"/>
      <c r="H2270" s="10"/>
      <c r="I2270" s="1" t="str">
        <f t="shared" si="105"/>
        <v/>
      </c>
      <c r="J2270" s="1" t="s">
        <v>35</v>
      </c>
      <c r="K2270" s="1" t="str">
        <f t="shared" si="106"/>
        <v/>
      </c>
      <c r="L2270" s="1" t="str">
        <f t="shared" si="107"/>
        <v/>
      </c>
      <c r="M2270" s="1">
        <f>IF(OR(Table1[[#This Row],[Std Nom]]="",Table1[[#This Row],[Std Read]]=""),0,Table1[[#This Row],[Std Nom]]-Table1[[#This Row],[Std Read]])</f>
        <v>0</v>
      </c>
      <c r="N2270" s="1">
        <f>IF(Calculations!$F$5="ACCREDITED 17025 WITH UNCERTAINTIES",$N$10,0)</f>
        <v>0</v>
      </c>
      <c r="Q2270" s="1">
        <f>Table1[[#This Row],[High Tol]]-Table1[[#This Row],[Low Tol]]</f>
        <v>0</v>
      </c>
      <c r="R2270" s="1">
        <f>2*Table1[[#This Row],[Std Error]]</f>
        <v>0</v>
      </c>
      <c r="S2270" s="1" t="str">
        <f>IF(Table1[[#This Row],[High Tol]]="","N/A",IFERROR(ABS(Table1[[#This Row],[Tol Span]]/Table1[[#This Row],[Error Span]]),"N/A"))</f>
        <v>N/A</v>
      </c>
      <c r="T2270" s="1" t="str">
        <f>IF(OR(Table1[[#This Row],[Low Tol]]="",Table1[[#This Row],[High Tol]]=""),"Needs Analysis",IF(Table1[[#This Row],[Ratio]]&gt;=4,"Not Significant",IF(Table1[[#This Row],[Ratio]]&gt;=2,"Semi-Significant","Significant")))</f>
        <v>Needs Analysis</v>
      </c>
      <c r="W2270" s="1">
        <f>IF(Table1[[#This Row],[Cal Type]]&lt;&gt;"ACCREDITED 17025 WITH UNCERTAINTIES",0,"")</f>
        <v>0</v>
      </c>
      <c r="X2270" s="1" t="str">
        <f>IF(Table1[[#This Row],[DUT Read]]="","N/A",Table1[[#This Row],[Std Error]]+Table1[[#This Row],[DUT Read]]+Table1[[#This Row],[DUT Ucty]])</f>
        <v>N/A</v>
      </c>
      <c r="Y2270" s="1" t="str">
        <f>IF(Table1[[#This Row],[Std Read]]="","N/A",Table1[[#This Row],[Std Read]]+Table1[[#This Row],[Std Ucty]])</f>
        <v>N/A</v>
      </c>
      <c r="Z22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0" s="1" t="str">
        <f>IF(Table1[[#This Row],[Spec Type]]="","N/A",Table1[[#This Row],[Spec Type]])</f>
        <v>±</v>
      </c>
      <c r="AC2270" s="1" t="str">
        <f>IF(Table1[[#This Row],[Spec Type2]]="N/A","N/A",IF(AND(Table1[[#This Row],[DUT Adj Read]]&gt;=Table1[[#This Row],[Low Tol]],Table1[[#This Row],[DUT Adj Read]]&lt;=Table1[[#This Row],[High Tol]]),"Pass","Fail"))</f>
        <v>Fail</v>
      </c>
      <c r="AD2270" s="1" t="str">
        <f>IF(AND(Table1[[#This Row],[Spec Type2]]="N/A",Table1[[#This Row],[DUT Adj Read]]="N/A",Table1[[#This Row],[Std Adj Read]]="N/A"),"N/A",IF(Table1[[#This Row],[DUT Adj Read]]="N/A",IF(Table1[[#This Row],[Std Adj Read]]&gt;Table1[[#This Row],[Low Tol]],"Pass","Fail"),IF(Table1[[#This Row],[DUT Adj Read]]&gt;Table1[[#This Row],[Low Tol]],"Pass","Fail")))</f>
        <v>Pass</v>
      </c>
      <c r="AE2270" s="1" t="str">
        <f>IF(AND(Table1[[#This Row],[Spec Type2]]="N/A",Table1[[#This Row],[DUT Adj Read]]="N/A",Table1[[#This Row],[Std Adj Read]]="N/A"),"N/A",IF(Table1[[#This Row],[DUT Adj Read]]="N/A",IF(Table1[[#This Row],[Std Adj Read]]&lt;Table1[[#This Row],[High Tol]],"Pass","Fail"),IF(Table1[[#This Row],[DUT Adj Read]]&lt;Table1[[#This Row],[High Tol]],"Pass","Fail")))</f>
        <v>Fail</v>
      </c>
      <c r="AF2270" s="1" t="str">
        <f>IF(AND(Table1[[#This Row],[Spec Type2]]="N/A",Table1[[#This Row],[DUT Adj Read]]="N/A",Table1[[#This Row],[Std Adj Read]]="N/A"),"N/A",IF(Table1[[#This Row],[DUT Adj Read]]="N/A",IF(Table1[[#This Row],[Std Adj Read]]&gt;=Table1[[#This Row],[Low Tol]],"Pass","Fail"),IF(Table1[[#This Row],[DUT Adj Read]]&gt;=Table1[[#This Row],[Low Tol]],"Pass","Fail")))</f>
        <v>Pass</v>
      </c>
      <c r="AG2270" s="1" t="str">
        <f>IF(AND(Table1[[#This Row],[Spec Type2]]="N/A",Table1[[#This Row],[DUT Adj Read]]="N/A",Table1[[#This Row],[Std Adj Read]]="N/A"),"N/A",IF(Table1[[#This Row],[DUT Adj Read]]="N/A",IF(Table1[[#This Row],[Std Adj Read]]&lt;=Table1[[#This Row],[High Tol]],"Pass","Fail"),IF(Table1[[#This Row],[DUT Adj Read]]&lt;=Table1[[#This Row],[High Tol]],"Pass","Fail")))</f>
        <v>Fail</v>
      </c>
      <c r="AH22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0" s="1" t="b">
        <v>0</v>
      </c>
      <c r="AN2270" s="1" t="b">
        <v>0</v>
      </c>
      <c r="AO2270" s="1" t="b">
        <v>0</v>
      </c>
    </row>
    <row r="2271" spans="1:41" x14ac:dyDescent="0.25">
      <c r="A2271" s="10"/>
      <c r="B2271" s="10"/>
      <c r="C2271" s="10"/>
      <c r="D2271" s="10"/>
      <c r="E2271" s="10"/>
      <c r="F2271" s="10"/>
      <c r="G2271" s="10"/>
      <c r="H2271" s="10"/>
      <c r="I2271" s="1" t="str">
        <f t="shared" si="105"/>
        <v/>
      </c>
      <c r="J2271" s="1" t="s">
        <v>35</v>
      </c>
      <c r="K2271" s="1" t="str">
        <f t="shared" si="106"/>
        <v/>
      </c>
      <c r="L2271" s="1" t="str">
        <f t="shared" si="107"/>
        <v/>
      </c>
      <c r="M2271" s="1">
        <f>IF(OR(Table1[[#This Row],[Std Nom]]="",Table1[[#This Row],[Std Read]]=""),0,Table1[[#This Row],[Std Nom]]-Table1[[#This Row],[Std Read]])</f>
        <v>0</v>
      </c>
      <c r="N2271" s="1">
        <f>IF(Calculations!$F$5="ACCREDITED 17025 WITH UNCERTAINTIES",$N$10,0)</f>
        <v>0</v>
      </c>
      <c r="Q2271" s="1">
        <f>Table1[[#This Row],[High Tol]]-Table1[[#This Row],[Low Tol]]</f>
        <v>0</v>
      </c>
      <c r="R2271" s="1">
        <f>2*Table1[[#This Row],[Std Error]]</f>
        <v>0</v>
      </c>
      <c r="S2271" s="1" t="str">
        <f>IF(Table1[[#This Row],[High Tol]]="","N/A",IFERROR(ABS(Table1[[#This Row],[Tol Span]]/Table1[[#This Row],[Error Span]]),"N/A"))</f>
        <v>N/A</v>
      </c>
      <c r="T2271" s="1" t="str">
        <f>IF(OR(Table1[[#This Row],[Low Tol]]="",Table1[[#This Row],[High Tol]]=""),"Needs Analysis",IF(Table1[[#This Row],[Ratio]]&gt;=4,"Not Significant",IF(Table1[[#This Row],[Ratio]]&gt;=2,"Semi-Significant","Significant")))</f>
        <v>Needs Analysis</v>
      </c>
      <c r="W2271" s="1">
        <f>IF(Table1[[#This Row],[Cal Type]]&lt;&gt;"ACCREDITED 17025 WITH UNCERTAINTIES",0,"")</f>
        <v>0</v>
      </c>
      <c r="X2271" s="1" t="str">
        <f>IF(Table1[[#This Row],[DUT Read]]="","N/A",Table1[[#This Row],[Std Error]]+Table1[[#This Row],[DUT Read]]+Table1[[#This Row],[DUT Ucty]])</f>
        <v>N/A</v>
      </c>
      <c r="Y2271" s="1" t="str">
        <f>IF(Table1[[#This Row],[Std Read]]="","N/A",Table1[[#This Row],[Std Read]]+Table1[[#This Row],[Std Ucty]])</f>
        <v>N/A</v>
      </c>
      <c r="Z22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1" s="1" t="str">
        <f>IF(Table1[[#This Row],[Spec Type]]="","N/A",Table1[[#This Row],[Spec Type]])</f>
        <v>±</v>
      </c>
      <c r="AC2271" s="1" t="str">
        <f>IF(Table1[[#This Row],[Spec Type2]]="N/A","N/A",IF(AND(Table1[[#This Row],[DUT Adj Read]]&gt;=Table1[[#This Row],[Low Tol]],Table1[[#This Row],[DUT Adj Read]]&lt;=Table1[[#This Row],[High Tol]]),"Pass","Fail"))</f>
        <v>Fail</v>
      </c>
      <c r="AD2271" s="1" t="str">
        <f>IF(AND(Table1[[#This Row],[Spec Type2]]="N/A",Table1[[#This Row],[DUT Adj Read]]="N/A",Table1[[#This Row],[Std Adj Read]]="N/A"),"N/A",IF(Table1[[#This Row],[DUT Adj Read]]="N/A",IF(Table1[[#This Row],[Std Adj Read]]&gt;Table1[[#This Row],[Low Tol]],"Pass","Fail"),IF(Table1[[#This Row],[DUT Adj Read]]&gt;Table1[[#This Row],[Low Tol]],"Pass","Fail")))</f>
        <v>Pass</v>
      </c>
      <c r="AE2271" s="1" t="str">
        <f>IF(AND(Table1[[#This Row],[Spec Type2]]="N/A",Table1[[#This Row],[DUT Adj Read]]="N/A",Table1[[#This Row],[Std Adj Read]]="N/A"),"N/A",IF(Table1[[#This Row],[DUT Adj Read]]="N/A",IF(Table1[[#This Row],[Std Adj Read]]&lt;Table1[[#This Row],[High Tol]],"Pass","Fail"),IF(Table1[[#This Row],[DUT Adj Read]]&lt;Table1[[#This Row],[High Tol]],"Pass","Fail")))</f>
        <v>Fail</v>
      </c>
      <c r="AF2271" s="1" t="str">
        <f>IF(AND(Table1[[#This Row],[Spec Type2]]="N/A",Table1[[#This Row],[DUT Adj Read]]="N/A",Table1[[#This Row],[Std Adj Read]]="N/A"),"N/A",IF(Table1[[#This Row],[DUT Adj Read]]="N/A",IF(Table1[[#This Row],[Std Adj Read]]&gt;=Table1[[#This Row],[Low Tol]],"Pass","Fail"),IF(Table1[[#This Row],[DUT Adj Read]]&gt;=Table1[[#This Row],[Low Tol]],"Pass","Fail")))</f>
        <v>Pass</v>
      </c>
      <c r="AG2271" s="1" t="str">
        <f>IF(AND(Table1[[#This Row],[Spec Type2]]="N/A",Table1[[#This Row],[DUT Adj Read]]="N/A",Table1[[#This Row],[Std Adj Read]]="N/A"),"N/A",IF(Table1[[#This Row],[DUT Adj Read]]="N/A",IF(Table1[[#This Row],[Std Adj Read]]&lt;=Table1[[#This Row],[High Tol]],"Pass","Fail"),IF(Table1[[#This Row],[DUT Adj Read]]&lt;=Table1[[#This Row],[High Tol]],"Pass","Fail")))</f>
        <v>Fail</v>
      </c>
      <c r="AH22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1" s="1" t="b">
        <v>0</v>
      </c>
      <c r="AN2271" s="1" t="b">
        <v>0</v>
      </c>
      <c r="AO2271" s="1" t="b">
        <v>0</v>
      </c>
    </row>
    <row r="2272" spans="1:41" x14ac:dyDescent="0.25">
      <c r="A2272" s="10"/>
      <c r="B2272" s="10"/>
      <c r="C2272" s="10"/>
      <c r="D2272" s="10"/>
      <c r="E2272" s="10"/>
      <c r="F2272" s="10"/>
      <c r="G2272" s="10"/>
      <c r="H2272" s="10"/>
      <c r="I2272" s="1" t="str">
        <f t="shared" si="105"/>
        <v/>
      </c>
      <c r="J2272" s="1" t="s">
        <v>35</v>
      </c>
      <c r="K2272" s="1" t="str">
        <f t="shared" si="106"/>
        <v/>
      </c>
      <c r="L2272" s="1" t="str">
        <f t="shared" si="107"/>
        <v/>
      </c>
      <c r="M2272" s="1">
        <f>IF(OR(Table1[[#This Row],[Std Nom]]="",Table1[[#This Row],[Std Read]]=""),0,Table1[[#This Row],[Std Nom]]-Table1[[#This Row],[Std Read]])</f>
        <v>0</v>
      </c>
      <c r="N2272" s="1">
        <f>IF(Calculations!$F$5="ACCREDITED 17025 WITH UNCERTAINTIES",$N$10,0)</f>
        <v>0</v>
      </c>
      <c r="Q2272" s="1">
        <f>Table1[[#This Row],[High Tol]]-Table1[[#This Row],[Low Tol]]</f>
        <v>0</v>
      </c>
      <c r="R2272" s="1">
        <f>2*Table1[[#This Row],[Std Error]]</f>
        <v>0</v>
      </c>
      <c r="S2272" s="1" t="str">
        <f>IF(Table1[[#This Row],[High Tol]]="","N/A",IFERROR(ABS(Table1[[#This Row],[Tol Span]]/Table1[[#This Row],[Error Span]]),"N/A"))</f>
        <v>N/A</v>
      </c>
      <c r="T2272" s="1" t="str">
        <f>IF(OR(Table1[[#This Row],[Low Tol]]="",Table1[[#This Row],[High Tol]]=""),"Needs Analysis",IF(Table1[[#This Row],[Ratio]]&gt;=4,"Not Significant",IF(Table1[[#This Row],[Ratio]]&gt;=2,"Semi-Significant","Significant")))</f>
        <v>Needs Analysis</v>
      </c>
      <c r="W2272" s="1">
        <f>IF(Table1[[#This Row],[Cal Type]]&lt;&gt;"ACCREDITED 17025 WITH UNCERTAINTIES",0,"")</f>
        <v>0</v>
      </c>
      <c r="X2272" s="1" t="str">
        <f>IF(Table1[[#This Row],[DUT Read]]="","N/A",Table1[[#This Row],[Std Error]]+Table1[[#This Row],[DUT Read]]+Table1[[#This Row],[DUT Ucty]])</f>
        <v>N/A</v>
      </c>
      <c r="Y2272" s="1" t="str">
        <f>IF(Table1[[#This Row],[Std Read]]="","N/A",Table1[[#This Row],[Std Read]]+Table1[[#This Row],[Std Ucty]])</f>
        <v>N/A</v>
      </c>
      <c r="Z22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2" s="1" t="str">
        <f>IF(Table1[[#This Row],[Spec Type]]="","N/A",Table1[[#This Row],[Spec Type]])</f>
        <v>±</v>
      </c>
      <c r="AC2272" s="1" t="str">
        <f>IF(Table1[[#This Row],[Spec Type2]]="N/A","N/A",IF(AND(Table1[[#This Row],[DUT Adj Read]]&gt;=Table1[[#This Row],[Low Tol]],Table1[[#This Row],[DUT Adj Read]]&lt;=Table1[[#This Row],[High Tol]]),"Pass","Fail"))</f>
        <v>Fail</v>
      </c>
      <c r="AD2272" s="1" t="str">
        <f>IF(AND(Table1[[#This Row],[Spec Type2]]="N/A",Table1[[#This Row],[DUT Adj Read]]="N/A",Table1[[#This Row],[Std Adj Read]]="N/A"),"N/A",IF(Table1[[#This Row],[DUT Adj Read]]="N/A",IF(Table1[[#This Row],[Std Adj Read]]&gt;Table1[[#This Row],[Low Tol]],"Pass","Fail"),IF(Table1[[#This Row],[DUT Adj Read]]&gt;Table1[[#This Row],[Low Tol]],"Pass","Fail")))</f>
        <v>Pass</v>
      </c>
      <c r="AE2272" s="1" t="str">
        <f>IF(AND(Table1[[#This Row],[Spec Type2]]="N/A",Table1[[#This Row],[DUT Adj Read]]="N/A",Table1[[#This Row],[Std Adj Read]]="N/A"),"N/A",IF(Table1[[#This Row],[DUT Adj Read]]="N/A",IF(Table1[[#This Row],[Std Adj Read]]&lt;Table1[[#This Row],[High Tol]],"Pass","Fail"),IF(Table1[[#This Row],[DUT Adj Read]]&lt;Table1[[#This Row],[High Tol]],"Pass","Fail")))</f>
        <v>Fail</v>
      </c>
      <c r="AF2272" s="1" t="str">
        <f>IF(AND(Table1[[#This Row],[Spec Type2]]="N/A",Table1[[#This Row],[DUT Adj Read]]="N/A",Table1[[#This Row],[Std Adj Read]]="N/A"),"N/A",IF(Table1[[#This Row],[DUT Adj Read]]="N/A",IF(Table1[[#This Row],[Std Adj Read]]&gt;=Table1[[#This Row],[Low Tol]],"Pass","Fail"),IF(Table1[[#This Row],[DUT Adj Read]]&gt;=Table1[[#This Row],[Low Tol]],"Pass","Fail")))</f>
        <v>Pass</v>
      </c>
      <c r="AG2272" s="1" t="str">
        <f>IF(AND(Table1[[#This Row],[Spec Type2]]="N/A",Table1[[#This Row],[DUT Adj Read]]="N/A",Table1[[#This Row],[Std Adj Read]]="N/A"),"N/A",IF(Table1[[#This Row],[DUT Adj Read]]="N/A",IF(Table1[[#This Row],[Std Adj Read]]&lt;=Table1[[#This Row],[High Tol]],"Pass","Fail"),IF(Table1[[#This Row],[DUT Adj Read]]&lt;=Table1[[#This Row],[High Tol]],"Pass","Fail")))</f>
        <v>Fail</v>
      </c>
      <c r="AH22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2" s="1" t="b">
        <v>0</v>
      </c>
      <c r="AN2272" s="1" t="b">
        <v>0</v>
      </c>
      <c r="AO2272" s="1" t="b">
        <v>0</v>
      </c>
    </row>
    <row r="2273" spans="1:41" x14ac:dyDescent="0.25">
      <c r="A2273" s="10"/>
      <c r="B2273" s="10"/>
      <c r="C2273" s="10"/>
      <c r="D2273" s="10"/>
      <c r="E2273" s="10"/>
      <c r="F2273" s="10"/>
      <c r="G2273" s="10"/>
      <c r="H2273" s="10"/>
      <c r="I2273" s="1" t="str">
        <f t="shared" si="105"/>
        <v/>
      </c>
      <c r="J2273" s="1" t="s">
        <v>35</v>
      </c>
      <c r="K2273" s="1" t="str">
        <f t="shared" si="106"/>
        <v/>
      </c>
      <c r="L2273" s="1" t="str">
        <f t="shared" si="107"/>
        <v/>
      </c>
      <c r="M2273" s="1">
        <f>IF(OR(Table1[[#This Row],[Std Nom]]="",Table1[[#This Row],[Std Read]]=""),0,Table1[[#This Row],[Std Nom]]-Table1[[#This Row],[Std Read]])</f>
        <v>0</v>
      </c>
      <c r="N2273" s="1">
        <f>IF(Calculations!$F$5="ACCREDITED 17025 WITH UNCERTAINTIES",$N$10,0)</f>
        <v>0</v>
      </c>
      <c r="Q2273" s="1">
        <f>Table1[[#This Row],[High Tol]]-Table1[[#This Row],[Low Tol]]</f>
        <v>0</v>
      </c>
      <c r="R2273" s="1">
        <f>2*Table1[[#This Row],[Std Error]]</f>
        <v>0</v>
      </c>
      <c r="S2273" s="1" t="str">
        <f>IF(Table1[[#This Row],[High Tol]]="","N/A",IFERROR(ABS(Table1[[#This Row],[Tol Span]]/Table1[[#This Row],[Error Span]]),"N/A"))</f>
        <v>N/A</v>
      </c>
      <c r="T2273" s="1" t="str">
        <f>IF(OR(Table1[[#This Row],[Low Tol]]="",Table1[[#This Row],[High Tol]]=""),"Needs Analysis",IF(Table1[[#This Row],[Ratio]]&gt;=4,"Not Significant",IF(Table1[[#This Row],[Ratio]]&gt;=2,"Semi-Significant","Significant")))</f>
        <v>Needs Analysis</v>
      </c>
      <c r="W2273" s="1">
        <f>IF(Table1[[#This Row],[Cal Type]]&lt;&gt;"ACCREDITED 17025 WITH UNCERTAINTIES",0,"")</f>
        <v>0</v>
      </c>
      <c r="X2273" s="1" t="str">
        <f>IF(Table1[[#This Row],[DUT Read]]="","N/A",Table1[[#This Row],[Std Error]]+Table1[[#This Row],[DUT Read]]+Table1[[#This Row],[DUT Ucty]])</f>
        <v>N/A</v>
      </c>
      <c r="Y2273" s="1" t="str">
        <f>IF(Table1[[#This Row],[Std Read]]="","N/A",Table1[[#This Row],[Std Read]]+Table1[[#This Row],[Std Ucty]])</f>
        <v>N/A</v>
      </c>
      <c r="Z22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3" s="1" t="str">
        <f>IF(Table1[[#This Row],[Spec Type]]="","N/A",Table1[[#This Row],[Spec Type]])</f>
        <v>±</v>
      </c>
      <c r="AC2273" s="1" t="str">
        <f>IF(Table1[[#This Row],[Spec Type2]]="N/A","N/A",IF(AND(Table1[[#This Row],[DUT Adj Read]]&gt;=Table1[[#This Row],[Low Tol]],Table1[[#This Row],[DUT Adj Read]]&lt;=Table1[[#This Row],[High Tol]]),"Pass","Fail"))</f>
        <v>Fail</v>
      </c>
      <c r="AD2273" s="1" t="str">
        <f>IF(AND(Table1[[#This Row],[Spec Type2]]="N/A",Table1[[#This Row],[DUT Adj Read]]="N/A",Table1[[#This Row],[Std Adj Read]]="N/A"),"N/A",IF(Table1[[#This Row],[DUT Adj Read]]="N/A",IF(Table1[[#This Row],[Std Adj Read]]&gt;Table1[[#This Row],[Low Tol]],"Pass","Fail"),IF(Table1[[#This Row],[DUT Adj Read]]&gt;Table1[[#This Row],[Low Tol]],"Pass","Fail")))</f>
        <v>Pass</v>
      </c>
      <c r="AE2273" s="1" t="str">
        <f>IF(AND(Table1[[#This Row],[Spec Type2]]="N/A",Table1[[#This Row],[DUT Adj Read]]="N/A",Table1[[#This Row],[Std Adj Read]]="N/A"),"N/A",IF(Table1[[#This Row],[DUT Adj Read]]="N/A",IF(Table1[[#This Row],[Std Adj Read]]&lt;Table1[[#This Row],[High Tol]],"Pass","Fail"),IF(Table1[[#This Row],[DUT Adj Read]]&lt;Table1[[#This Row],[High Tol]],"Pass","Fail")))</f>
        <v>Fail</v>
      </c>
      <c r="AF2273" s="1" t="str">
        <f>IF(AND(Table1[[#This Row],[Spec Type2]]="N/A",Table1[[#This Row],[DUT Adj Read]]="N/A",Table1[[#This Row],[Std Adj Read]]="N/A"),"N/A",IF(Table1[[#This Row],[DUT Adj Read]]="N/A",IF(Table1[[#This Row],[Std Adj Read]]&gt;=Table1[[#This Row],[Low Tol]],"Pass","Fail"),IF(Table1[[#This Row],[DUT Adj Read]]&gt;=Table1[[#This Row],[Low Tol]],"Pass","Fail")))</f>
        <v>Pass</v>
      </c>
      <c r="AG2273" s="1" t="str">
        <f>IF(AND(Table1[[#This Row],[Spec Type2]]="N/A",Table1[[#This Row],[DUT Adj Read]]="N/A",Table1[[#This Row],[Std Adj Read]]="N/A"),"N/A",IF(Table1[[#This Row],[DUT Adj Read]]="N/A",IF(Table1[[#This Row],[Std Adj Read]]&lt;=Table1[[#This Row],[High Tol]],"Pass","Fail"),IF(Table1[[#This Row],[DUT Adj Read]]&lt;=Table1[[#This Row],[High Tol]],"Pass","Fail")))</f>
        <v>Fail</v>
      </c>
      <c r="AH22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3" s="1" t="b">
        <v>0</v>
      </c>
      <c r="AN2273" s="1" t="b">
        <v>0</v>
      </c>
      <c r="AO2273" s="1" t="b">
        <v>0</v>
      </c>
    </row>
    <row r="2274" spans="1:41" x14ac:dyDescent="0.25">
      <c r="A2274" s="10"/>
      <c r="B2274" s="10"/>
      <c r="C2274" s="10"/>
      <c r="D2274" s="10"/>
      <c r="E2274" s="10"/>
      <c r="F2274" s="10"/>
      <c r="G2274" s="10"/>
      <c r="H2274" s="10"/>
      <c r="I2274" s="1" t="str">
        <f t="shared" si="105"/>
        <v/>
      </c>
      <c r="J2274" s="1" t="s">
        <v>35</v>
      </c>
      <c r="K2274" s="1" t="str">
        <f t="shared" si="106"/>
        <v/>
      </c>
      <c r="L2274" s="1" t="str">
        <f t="shared" si="107"/>
        <v/>
      </c>
      <c r="M2274" s="1">
        <f>IF(OR(Table1[[#This Row],[Std Nom]]="",Table1[[#This Row],[Std Read]]=""),0,Table1[[#This Row],[Std Nom]]-Table1[[#This Row],[Std Read]])</f>
        <v>0</v>
      </c>
      <c r="N2274" s="1">
        <f>IF(Calculations!$F$5="ACCREDITED 17025 WITH UNCERTAINTIES",$N$10,0)</f>
        <v>0</v>
      </c>
      <c r="Q2274" s="1">
        <f>Table1[[#This Row],[High Tol]]-Table1[[#This Row],[Low Tol]]</f>
        <v>0</v>
      </c>
      <c r="R2274" s="1">
        <f>2*Table1[[#This Row],[Std Error]]</f>
        <v>0</v>
      </c>
      <c r="S2274" s="1" t="str">
        <f>IF(Table1[[#This Row],[High Tol]]="","N/A",IFERROR(ABS(Table1[[#This Row],[Tol Span]]/Table1[[#This Row],[Error Span]]),"N/A"))</f>
        <v>N/A</v>
      </c>
      <c r="T2274" s="1" t="str">
        <f>IF(OR(Table1[[#This Row],[Low Tol]]="",Table1[[#This Row],[High Tol]]=""),"Needs Analysis",IF(Table1[[#This Row],[Ratio]]&gt;=4,"Not Significant",IF(Table1[[#This Row],[Ratio]]&gt;=2,"Semi-Significant","Significant")))</f>
        <v>Needs Analysis</v>
      </c>
      <c r="W2274" s="1">
        <f>IF(Table1[[#This Row],[Cal Type]]&lt;&gt;"ACCREDITED 17025 WITH UNCERTAINTIES",0,"")</f>
        <v>0</v>
      </c>
      <c r="X2274" s="1" t="str">
        <f>IF(Table1[[#This Row],[DUT Read]]="","N/A",Table1[[#This Row],[Std Error]]+Table1[[#This Row],[DUT Read]]+Table1[[#This Row],[DUT Ucty]])</f>
        <v>N/A</v>
      </c>
      <c r="Y2274" s="1" t="str">
        <f>IF(Table1[[#This Row],[Std Read]]="","N/A",Table1[[#This Row],[Std Read]]+Table1[[#This Row],[Std Ucty]])</f>
        <v>N/A</v>
      </c>
      <c r="Z22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4" s="1" t="str">
        <f>IF(Table1[[#This Row],[Spec Type]]="","N/A",Table1[[#This Row],[Spec Type]])</f>
        <v>±</v>
      </c>
      <c r="AC2274" s="1" t="str">
        <f>IF(Table1[[#This Row],[Spec Type2]]="N/A","N/A",IF(AND(Table1[[#This Row],[DUT Adj Read]]&gt;=Table1[[#This Row],[Low Tol]],Table1[[#This Row],[DUT Adj Read]]&lt;=Table1[[#This Row],[High Tol]]),"Pass","Fail"))</f>
        <v>Fail</v>
      </c>
      <c r="AD2274" s="1" t="str">
        <f>IF(AND(Table1[[#This Row],[Spec Type2]]="N/A",Table1[[#This Row],[DUT Adj Read]]="N/A",Table1[[#This Row],[Std Adj Read]]="N/A"),"N/A",IF(Table1[[#This Row],[DUT Adj Read]]="N/A",IF(Table1[[#This Row],[Std Adj Read]]&gt;Table1[[#This Row],[Low Tol]],"Pass","Fail"),IF(Table1[[#This Row],[DUT Adj Read]]&gt;Table1[[#This Row],[Low Tol]],"Pass","Fail")))</f>
        <v>Pass</v>
      </c>
      <c r="AE2274" s="1" t="str">
        <f>IF(AND(Table1[[#This Row],[Spec Type2]]="N/A",Table1[[#This Row],[DUT Adj Read]]="N/A",Table1[[#This Row],[Std Adj Read]]="N/A"),"N/A",IF(Table1[[#This Row],[DUT Adj Read]]="N/A",IF(Table1[[#This Row],[Std Adj Read]]&lt;Table1[[#This Row],[High Tol]],"Pass","Fail"),IF(Table1[[#This Row],[DUT Adj Read]]&lt;Table1[[#This Row],[High Tol]],"Pass","Fail")))</f>
        <v>Fail</v>
      </c>
      <c r="AF2274" s="1" t="str">
        <f>IF(AND(Table1[[#This Row],[Spec Type2]]="N/A",Table1[[#This Row],[DUT Adj Read]]="N/A",Table1[[#This Row],[Std Adj Read]]="N/A"),"N/A",IF(Table1[[#This Row],[DUT Adj Read]]="N/A",IF(Table1[[#This Row],[Std Adj Read]]&gt;=Table1[[#This Row],[Low Tol]],"Pass","Fail"),IF(Table1[[#This Row],[DUT Adj Read]]&gt;=Table1[[#This Row],[Low Tol]],"Pass","Fail")))</f>
        <v>Pass</v>
      </c>
      <c r="AG2274" s="1" t="str">
        <f>IF(AND(Table1[[#This Row],[Spec Type2]]="N/A",Table1[[#This Row],[DUT Adj Read]]="N/A",Table1[[#This Row],[Std Adj Read]]="N/A"),"N/A",IF(Table1[[#This Row],[DUT Adj Read]]="N/A",IF(Table1[[#This Row],[Std Adj Read]]&lt;=Table1[[#This Row],[High Tol]],"Pass","Fail"),IF(Table1[[#This Row],[DUT Adj Read]]&lt;=Table1[[#This Row],[High Tol]],"Pass","Fail")))</f>
        <v>Fail</v>
      </c>
      <c r="AH22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4" s="1" t="b">
        <v>0</v>
      </c>
      <c r="AN2274" s="1" t="b">
        <v>0</v>
      </c>
      <c r="AO2274" s="1" t="b">
        <v>0</v>
      </c>
    </row>
    <row r="2275" spans="1:41" x14ac:dyDescent="0.25">
      <c r="A2275" s="10"/>
      <c r="B2275" s="10"/>
      <c r="C2275" s="10"/>
      <c r="D2275" s="10"/>
      <c r="E2275" s="10"/>
      <c r="F2275" s="10"/>
      <c r="G2275" s="10"/>
      <c r="H2275" s="10"/>
      <c r="I2275" s="1" t="str">
        <f t="shared" si="105"/>
        <v/>
      </c>
      <c r="J2275" s="1" t="s">
        <v>35</v>
      </c>
      <c r="K2275" s="1" t="str">
        <f t="shared" si="106"/>
        <v/>
      </c>
      <c r="L2275" s="1" t="str">
        <f t="shared" si="107"/>
        <v/>
      </c>
      <c r="M2275" s="1">
        <f>IF(OR(Table1[[#This Row],[Std Nom]]="",Table1[[#This Row],[Std Read]]=""),0,Table1[[#This Row],[Std Nom]]-Table1[[#This Row],[Std Read]])</f>
        <v>0</v>
      </c>
      <c r="N2275" s="1">
        <f>IF(Calculations!$F$5="ACCREDITED 17025 WITH UNCERTAINTIES",$N$10,0)</f>
        <v>0</v>
      </c>
      <c r="Q2275" s="1">
        <f>Table1[[#This Row],[High Tol]]-Table1[[#This Row],[Low Tol]]</f>
        <v>0</v>
      </c>
      <c r="R2275" s="1">
        <f>2*Table1[[#This Row],[Std Error]]</f>
        <v>0</v>
      </c>
      <c r="S2275" s="1" t="str">
        <f>IF(Table1[[#This Row],[High Tol]]="","N/A",IFERROR(ABS(Table1[[#This Row],[Tol Span]]/Table1[[#This Row],[Error Span]]),"N/A"))</f>
        <v>N/A</v>
      </c>
      <c r="T2275" s="1" t="str">
        <f>IF(OR(Table1[[#This Row],[Low Tol]]="",Table1[[#This Row],[High Tol]]=""),"Needs Analysis",IF(Table1[[#This Row],[Ratio]]&gt;=4,"Not Significant",IF(Table1[[#This Row],[Ratio]]&gt;=2,"Semi-Significant","Significant")))</f>
        <v>Needs Analysis</v>
      </c>
      <c r="W2275" s="1">
        <f>IF(Table1[[#This Row],[Cal Type]]&lt;&gt;"ACCREDITED 17025 WITH UNCERTAINTIES",0,"")</f>
        <v>0</v>
      </c>
      <c r="X2275" s="1" t="str">
        <f>IF(Table1[[#This Row],[DUT Read]]="","N/A",Table1[[#This Row],[Std Error]]+Table1[[#This Row],[DUT Read]]+Table1[[#This Row],[DUT Ucty]])</f>
        <v>N/A</v>
      </c>
      <c r="Y2275" s="1" t="str">
        <f>IF(Table1[[#This Row],[Std Read]]="","N/A",Table1[[#This Row],[Std Read]]+Table1[[#This Row],[Std Ucty]])</f>
        <v>N/A</v>
      </c>
      <c r="Z22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5" s="1" t="str">
        <f>IF(Table1[[#This Row],[Spec Type]]="","N/A",Table1[[#This Row],[Spec Type]])</f>
        <v>±</v>
      </c>
      <c r="AC2275" s="1" t="str">
        <f>IF(Table1[[#This Row],[Spec Type2]]="N/A","N/A",IF(AND(Table1[[#This Row],[DUT Adj Read]]&gt;=Table1[[#This Row],[Low Tol]],Table1[[#This Row],[DUT Adj Read]]&lt;=Table1[[#This Row],[High Tol]]),"Pass","Fail"))</f>
        <v>Fail</v>
      </c>
      <c r="AD2275" s="1" t="str">
        <f>IF(AND(Table1[[#This Row],[Spec Type2]]="N/A",Table1[[#This Row],[DUT Adj Read]]="N/A",Table1[[#This Row],[Std Adj Read]]="N/A"),"N/A",IF(Table1[[#This Row],[DUT Adj Read]]="N/A",IF(Table1[[#This Row],[Std Adj Read]]&gt;Table1[[#This Row],[Low Tol]],"Pass","Fail"),IF(Table1[[#This Row],[DUT Adj Read]]&gt;Table1[[#This Row],[Low Tol]],"Pass","Fail")))</f>
        <v>Pass</v>
      </c>
      <c r="AE2275" s="1" t="str">
        <f>IF(AND(Table1[[#This Row],[Spec Type2]]="N/A",Table1[[#This Row],[DUT Adj Read]]="N/A",Table1[[#This Row],[Std Adj Read]]="N/A"),"N/A",IF(Table1[[#This Row],[DUT Adj Read]]="N/A",IF(Table1[[#This Row],[Std Adj Read]]&lt;Table1[[#This Row],[High Tol]],"Pass","Fail"),IF(Table1[[#This Row],[DUT Adj Read]]&lt;Table1[[#This Row],[High Tol]],"Pass","Fail")))</f>
        <v>Fail</v>
      </c>
      <c r="AF2275" s="1" t="str">
        <f>IF(AND(Table1[[#This Row],[Spec Type2]]="N/A",Table1[[#This Row],[DUT Adj Read]]="N/A",Table1[[#This Row],[Std Adj Read]]="N/A"),"N/A",IF(Table1[[#This Row],[DUT Adj Read]]="N/A",IF(Table1[[#This Row],[Std Adj Read]]&gt;=Table1[[#This Row],[Low Tol]],"Pass","Fail"),IF(Table1[[#This Row],[DUT Adj Read]]&gt;=Table1[[#This Row],[Low Tol]],"Pass","Fail")))</f>
        <v>Pass</v>
      </c>
      <c r="AG2275" s="1" t="str">
        <f>IF(AND(Table1[[#This Row],[Spec Type2]]="N/A",Table1[[#This Row],[DUT Adj Read]]="N/A",Table1[[#This Row],[Std Adj Read]]="N/A"),"N/A",IF(Table1[[#This Row],[DUT Adj Read]]="N/A",IF(Table1[[#This Row],[Std Adj Read]]&lt;=Table1[[#This Row],[High Tol]],"Pass","Fail"),IF(Table1[[#This Row],[DUT Adj Read]]&lt;=Table1[[#This Row],[High Tol]],"Pass","Fail")))</f>
        <v>Fail</v>
      </c>
      <c r="AH22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5" s="1" t="b">
        <v>0</v>
      </c>
      <c r="AN2275" s="1" t="b">
        <v>0</v>
      </c>
      <c r="AO2275" s="1" t="b">
        <v>0</v>
      </c>
    </row>
    <row r="2276" spans="1:41" x14ac:dyDescent="0.25">
      <c r="A2276" s="10"/>
      <c r="B2276" s="10"/>
      <c r="C2276" s="10"/>
      <c r="D2276" s="10"/>
      <c r="E2276" s="10"/>
      <c r="F2276" s="10"/>
      <c r="G2276" s="10"/>
      <c r="H2276" s="10"/>
      <c r="I2276" s="1" t="str">
        <f t="shared" si="105"/>
        <v/>
      </c>
      <c r="J2276" s="1" t="s">
        <v>35</v>
      </c>
      <c r="K2276" s="1" t="str">
        <f t="shared" si="106"/>
        <v/>
      </c>
      <c r="L2276" s="1" t="str">
        <f t="shared" si="107"/>
        <v/>
      </c>
      <c r="M2276" s="1">
        <f>IF(OR(Table1[[#This Row],[Std Nom]]="",Table1[[#This Row],[Std Read]]=""),0,Table1[[#This Row],[Std Nom]]-Table1[[#This Row],[Std Read]])</f>
        <v>0</v>
      </c>
      <c r="N2276" s="1">
        <f>IF(Calculations!$F$5="ACCREDITED 17025 WITH UNCERTAINTIES",$N$10,0)</f>
        <v>0</v>
      </c>
      <c r="Q2276" s="1">
        <f>Table1[[#This Row],[High Tol]]-Table1[[#This Row],[Low Tol]]</f>
        <v>0</v>
      </c>
      <c r="R2276" s="1">
        <f>2*Table1[[#This Row],[Std Error]]</f>
        <v>0</v>
      </c>
      <c r="S2276" s="1" t="str">
        <f>IF(Table1[[#This Row],[High Tol]]="","N/A",IFERROR(ABS(Table1[[#This Row],[Tol Span]]/Table1[[#This Row],[Error Span]]),"N/A"))</f>
        <v>N/A</v>
      </c>
      <c r="T2276" s="1" t="str">
        <f>IF(OR(Table1[[#This Row],[Low Tol]]="",Table1[[#This Row],[High Tol]]=""),"Needs Analysis",IF(Table1[[#This Row],[Ratio]]&gt;=4,"Not Significant",IF(Table1[[#This Row],[Ratio]]&gt;=2,"Semi-Significant","Significant")))</f>
        <v>Needs Analysis</v>
      </c>
      <c r="W2276" s="1">
        <f>IF(Table1[[#This Row],[Cal Type]]&lt;&gt;"ACCREDITED 17025 WITH UNCERTAINTIES",0,"")</f>
        <v>0</v>
      </c>
      <c r="X2276" s="1" t="str">
        <f>IF(Table1[[#This Row],[DUT Read]]="","N/A",Table1[[#This Row],[Std Error]]+Table1[[#This Row],[DUT Read]]+Table1[[#This Row],[DUT Ucty]])</f>
        <v>N/A</v>
      </c>
      <c r="Y2276" s="1" t="str">
        <f>IF(Table1[[#This Row],[Std Read]]="","N/A",Table1[[#This Row],[Std Read]]+Table1[[#This Row],[Std Ucty]])</f>
        <v>N/A</v>
      </c>
      <c r="Z22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6" s="1" t="str">
        <f>IF(Table1[[#This Row],[Spec Type]]="","N/A",Table1[[#This Row],[Spec Type]])</f>
        <v>±</v>
      </c>
      <c r="AC2276" s="1" t="str">
        <f>IF(Table1[[#This Row],[Spec Type2]]="N/A","N/A",IF(AND(Table1[[#This Row],[DUT Adj Read]]&gt;=Table1[[#This Row],[Low Tol]],Table1[[#This Row],[DUT Adj Read]]&lt;=Table1[[#This Row],[High Tol]]),"Pass","Fail"))</f>
        <v>Fail</v>
      </c>
      <c r="AD2276" s="1" t="str">
        <f>IF(AND(Table1[[#This Row],[Spec Type2]]="N/A",Table1[[#This Row],[DUT Adj Read]]="N/A",Table1[[#This Row],[Std Adj Read]]="N/A"),"N/A",IF(Table1[[#This Row],[DUT Adj Read]]="N/A",IF(Table1[[#This Row],[Std Adj Read]]&gt;Table1[[#This Row],[Low Tol]],"Pass","Fail"),IF(Table1[[#This Row],[DUT Adj Read]]&gt;Table1[[#This Row],[Low Tol]],"Pass","Fail")))</f>
        <v>Pass</v>
      </c>
      <c r="AE2276" s="1" t="str">
        <f>IF(AND(Table1[[#This Row],[Spec Type2]]="N/A",Table1[[#This Row],[DUT Adj Read]]="N/A",Table1[[#This Row],[Std Adj Read]]="N/A"),"N/A",IF(Table1[[#This Row],[DUT Adj Read]]="N/A",IF(Table1[[#This Row],[Std Adj Read]]&lt;Table1[[#This Row],[High Tol]],"Pass","Fail"),IF(Table1[[#This Row],[DUT Adj Read]]&lt;Table1[[#This Row],[High Tol]],"Pass","Fail")))</f>
        <v>Fail</v>
      </c>
      <c r="AF2276" s="1" t="str">
        <f>IF(AND(Table1[[#This Row],[Spec Type2]]="N/A",Table1[[#This Row],[DUT Adj Read]]="N/A",Table1[[#This Row],[Std Adj Read]]="N/A"),"N/A",IF(Table1[[#This Row],[DUT Adj Read]]="N/A",IF(Table1[[#This Row],[Std Adj Read]]&gt;=Table1[[#This Row],[Low Tol]],"Pass","Fail"),IF(Table1[[#This Row],[DUT Adj Read]]&gt;=Table1[[#This Row],[Low Tol]],"Pass","Fail")))</f>
        <v>Pass</v>
      </c>
      <c r="AG2276" s="1" t="str">
        <f>IF(AND(Table1[[#This Row],[Spec Type2]]="N/A",Table1[[#This Row],[DUT Adj Read]]="N/A",Table1[[#This Row],[Std Adj Read]]="N/A"),"N/A",IF(Table1[[#This Row],[DUT Adj Read]]="N/A",IF(Table1[[#This Row],[Std Adj Read]]&lt;=Table1[[#This Row],[High Tol]],"Pass","Fail"),IF(Table1[[#This Row],[DUT Adj Read]]&lt;=Table1[[#This Row],[High Tol]],"Pass","Fail")))</f>
        <v>Fail</v>
      </c>
      <c r="AH22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6" s="1" t="b">
        <v>0</v>
      </c>
      <c r="AN2276" s="1" t="b">
        <v>0</v>
      </c>
      <c r="AO2276" s="1" t="b">
        <v>0</v>
      </c>
    </row>
    <row r="2277" spans="1:41" x14ac:dyDescent="0.25">
      <c r="A2277" s="10"/>
      <c r="B2277" s="10"/>
      <c r="C2277" s="10"/>
      <c r="D2277" s="10"/>
      <c r="E2277" s="10"/>
      <c r="F2277" s="10"/>
      <c r="G2277" s="10"/>
      <c r="H2277" s="10"/>
      <c r="I2277" s="1" t="str">
        <f t="shared" si="105"/>
        <v/>
      </c>
      <c r="J2277" s="1" t="s">
        <v>35</v>
      </c>
      <c r="K2277" s="1" t="str">
        <f t="shared" si="106"/>
        <v/>
      </c>
      <c r="L2277" s="1" t="str">
        <f t="shared" si="107"/>
        <v/>
      </c>
      <c r="M2277" s="1">
        <f>IF(OR(Table1[[#This Row],[Std Nom]]="",Table1[[#This Row],[Std Read]]=""),0,Table1[[#This Row],[Std Nom]]-Table1[[#This Row],[Std Read]])</f>
        <v>0</v>
      </c>
      <c r="N2277" s="1">
        <f>IF(Calculations!$F$5="ACCREDITED 17025 WITH UNCERTAINTIES",$N$10,0)</f>
        <v>0</v>
      </c>
      <c r="Q2277" s="1">
        <f>Table1[[#This Row],[High Tol]]-Table1[[#This Row],[Low Tol]]</f>
        <v>0</v>
      </c>
      <c r="R2277" s="1">
        <f>2*Table1[[#This Row],[Std Error]]</f>
        <v>0</v>
      </c>
      <c r="S2277" s="1" t="str">
        <f>IF(Table1[[#This Row],[High Tol]]="","N/A",IFERROR(ABS(Table1[[#This Row],[Tol Span]]/Table1[[#This Row],[Error Span]]),"N/A"))</f>
        <v>N/A</v>
      </c>
      <c r="T2277" s="1" t="str">
        <f>IF(OR(Table1[[#This Row],[Low Tol]]="",Table1[[#This Row],[High Tol]]=""),"Needs Analysis",IF(Table1[[#This Row],[Ratio]]&gt;=4,"Not Significant",IF(Table1[[#This Row],[Ratio]]&gt;=2,"Semi-Significant","Significant")))</f>
        <v>Needs Analysis</v>
      </c>
      <c r="W2277" s="1">
        <f>IF(Table1[[#This Row],[Cal Type]]&lt;&gt;"ACCREDITED 17025 WITH UNCERTAINTIES",0,"")</f>
        <v>0</v>
      </c>
      <c r="X2277" s="1" t="str">
        <f>IF(Table1[[#This Row],[DUT Read]]="","N/A",Table1[[#This Row],[Std Error]]+Table1[[#This Row],[DUT Read]]+Table1[[#This Row],[DUT Ucty]])</f>
        <v>N/A</v>
      </c>
      <c r="Y2277" s="1" t="str">
        <f>IF(Table1[[#This Row],[Std Read]]="","N/A",Table1[[#This Row],[Std Read]]+Table1[[#This Row],[Std Ucty]])</f>
        <v>N/A</v>
      </c>
      <c r="Z22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7" s="1" t="str">
        <f>IF(Table1[[#This Row],[Spec Type]]="","N/A",Table1[[#This Row],[Spec Type]])</f>
        <v>±</v>
      </c>
      <c r="AC2277" s="1" t="str">
        <f>IF(Table1[[#This Row],[Spec Type2]]="N/A","N/A",IF(AND(Table1[[#This Row],[DUT Adj Read]]&gt;=Table1[[#This Row],[Low Tol]],Table1[[#This Row],[DUT Adj Read]]&lt;=Table1[[#This Row],[High Tol]]),"Pass","Fail"))</f>
        <v>Fail</v>
      </c>
      <c r="AD2277" s="1" t="str">
        <f>IF(AND(Table1[[#This Row],[Spec Type2]]="N/A",Table1[[#This Row],[DUT Adj Read]]="N/A",Table1[[#This Row],[Std Adj Read]]="N/A"),"N/A",IF(Table1[[#This Row],[DUT Adj Read]]="N/A",IF(Table1[[#This Row],[Std Adj Read]]&gt;Table1[[#This Row],[Low Tol]],"Pass","Fail"),IF(Table1[[#This Row],[DUT Adj Read]]&gt;Table1[[#This Row],[Low Tol]],"Pass","Fail")))</f>
        <v>Pass</v>
      </c>
      <c r="AE2277" s="1" t="str">
        <f>IF(AND(Table1[[#This Row],[Spec Type2]]="N/A",Table1[[#This Row],[DUT Adj Read]]="N/A",Table1[[#This Row],[Std Adj Read]]="N/A"),"N/A",IF(Table1[[#This Row],[DUT Adj Read]]="N/A",IF(Table1[[#This Row],[Std Adj Read]]&lt;Table1[[#This Row],[High Tol]],"Pass","Fail"),IF(Table1[[#This Row],[DUT Adj Read]]&lt;Table1[[#This Row],[High Tol]],"Pass","Fail")))</f>
        <v>Fail</v>
      </c>
      <c r="AF2277" s="1" t="str">
        <f>IF(AND(Table1[[#This Row],[Spec Type2]]="N/A",Table1[[#This Row],[DUT Adj Read]]="N/A",Table1[[#This Row],[Std Adj Read]]="N/A"),"N/A",IF(Table1[[#This Row],[DUT Adj Read]]="N/A",IF(Table1[[#This Row],[Std Adj Read]]&gt;=Table1[[#This Row],[Low Tol]],"Pass","Fail"),IF(Table1[[#This Row],[DUT Adj Read]]&gt;=Table1[[#This Row],[Low Tol]],"Pass","Fail")))</f>
        <v>Pass</v>
      </c>
      <c r="AG2277" s="1" t="str">
        <f>IF(AND(Table1[[#This Row],[Spec Type2]]="N/A",Table1[[#This Row],[DUT Adj Read]]="N/A",Table1[[#This Row],[Std Adj Read]]="N/A"),"N/A",IF(Table1[[#This Row],[DUT Adj Read]]="N/A",IF(Table1[[#This Row],[Std Adj Read]]&lt;=Table1[[#This Row],[High Tol]],"Pass","Fail"),IF(Table1[[#This Row],[DUT Adj Read]]&lt;=Table1[[#This Row],[High Tol]],"Pass","Fail")))</f>
        <v>Fail</v>
      </c>
      <c r="AH22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7" s="1" t="b">
        <v>0</v>
      </c>
      <c r="AN2277" s="1" t="b">
        <v>0</v>
      </c>
      <c r="AO2277" s="1" t="b">
        <v>0</v>
      </c>
    </row>
    <row r="2278" spans="1:41" x14ac:dyDescent="0.25">
      <c r="A2278" s="10"/>
      <c r="B2278" s="10"/>
      <c r="C2278" s="10"/>
      <c r="D2278" s="10"/>
      <c r="E2278" s="10"/>
      <c r="F2278" s="10"/>
      <c r="G2278" s="10"/>
      <c r="H2278" s="10"/>
      <c r="I2278" s="1" t="str">
        <f t="shared" si="105"/>
        <v/>
      </c>
      <c r="J2278" s="1" t="s">
        <v>35</v>
      </c>
      <c r="K2278" s="1" t="str">
        <f t="shared" si="106"/>
        <v/>
      </c>
      <c r="L2278" s="1" t="str">
        <f t="shared" si="107"/>
        <v/>
      </c>
      <c r="M2278" s="1">
        <f>IF(OR(Table1[[#This Row],[Std Nom]]="",Table1[[#This Row],[Std Read]]=""),0,Table1[[#This Row],[Std Nom]]-Table1[[#This Row],[Std Read]])</f>
        <v>0</v>
      </c>
      <c r="N2278" s="1">
        <f>IF(Calculations!$F$5="ACCREDITED 17025 WITH UNCERTAINTIES",$N$10,0)</f>
        <v>0</v>
      </c>
      <c r="Q2278" s="1">
        <f>Table1[[#This Row],[High Tol]]-Table1[[#This Row],[Low Tol]]</f>
        <v>0</v>
      </c>
      <c r="R2278" s="1">
        <f>2*Table1[[#This Row],[Std Error]]</f>
        <v>0</v>
      </c>
      <c r="S2278" s="1" t="str">
        <f>IF(Table1[[#This Row],[High Tol]]="","N/A",IFERROR(ABS(Table1[[#This Row],[Tol Span]]/Table1[[#This Row],[Error Span]]),"N/A"))</f>
        <v>N/A</v>
      </c>
      <c r="T2278" s="1" t="str">
        <f>IF(OR(Table1[[#This Row],[Low Tol]]="",Table1[[#This Row],[High Tol]]=""),"Needs Analysis",IF(Table1[[#This Row],[Ratio]]&gt;=4,"Not Significant",IF(Table1[[#This Row],[Ratio]]&gt;=2,"Semi-Significant","Significant")))</f>
        <v>Needs Analysis</v>
      </c>
      <c r="W2278" s="1">
        <f>IF(Table1[[#This Row],[Cal Type]]&lt;&gt;"ACCREDITED 17025 WITH UNCERTAINTIES",0,"")</f>
        <v>0</v>
      </c>
      <c r="X2278" s="1" t="str">
        <f>IF(Table1[[#This Row],[DUT Read]]="","N/A",Table1[[#This Row],[Std Error]]+Table1[[#This Row],[DUT Read]]+Table1[[#This Row],[DUT Ucty]])</f>
        <v>N/A</v>
      </c>
      <c r="Y2278" s="1" t="str">
        <f>IF(Table1[[#This Row],[Std Read]]="","N/A",Table1[[#This Row],[Std Read]]+Table1[[#This Row],[Std Ucty]])</f>
        <v>N/A</v>
      </c>
      <c r="Z22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8" s="1" t="str">
        <f>IF(Table1[[#This Row],[Spec Type]]="","N/A",Table1[[#This Row],[Spec Type]])</f>
        <v>±</v>
      </c>
      <c r="AC2278" s="1" t="str">
        <f>IF(Table1[[#This Row],[Spec Type2]]="N/A","N/A",IF(AND(Table1[[#This Row],[DUT Adj Read]]&gt;=Table1[[#This Row],[Low Tol]],Table1[[#This Row],[DUT Adj Read]]&lt;=Table1[[#This Row],[High Tol]]),"Pass","Fail"))</f>
        <v>Fail</v>
      </c>
      <c r="AD2278" s="1" t="str">
        <f>IF(AND(Table1[[#This Row],[Spec Type2]]="N/A",Table1[[#This Row],[DUT Adj Read]]="N/A",Table1[[#This Row],[Std Adj Read]]="N/A"),"N/A",IF(Table1[[#This Row],[DUT Adj Read]]="N/A",IF(Table1[[#This Row],[Std Adj Read]]&gt;Table1[[#This Row],[Low Tol]],"Pass","Fail"),IF(Table1[[#This Row],[DUT Adj Read]]&gt;Table1[[#This Row],[Low Tol]],"Pass","Fail")))</f>
        <v>Pass</v>
      </c>
      <c r="AE2278" s="1" t="str">
        <f>IF(AND(Table1[[#This Row],[Spec Type2]]="N/A",Table1[[#This Row],[DUT Adj Read]]="N/A",Table1[[#This Row],[Std Adj Read]]="N/A"),"N/A",IF(Table1[[#This Row],[DUT Adj Read]]="N/A",IF(Table1[[#This Row],[Std Adj Read]]&lt;Table1[[#This Row],[High Tol]],"Pass","Fail"),IF(Table1[[#This Row],[DUT Adj Read]]&lt;Table1[[#This Row],[High Tol]],"Pass","Fail")))</f>
        <v>Fail</v>
      </c>
      <c r="AF2278" s="1" t="str">
        <f>IF(AND(Table1[[#This Row],[Spec Type2]]="N/A",Table1[[#This Row],[DUT Adj Read]]="N/A",Table1[[#This Row],[Std Adj Read]]="N/A"),"N/A",IF(Table1[[#This Row],[DUT Adj Read]]="N/A",IF(Table1[[#This Row],[Std Adj Read]]&gt;=Table1[[#This Row],[Low Tol]],"Pass","Fail"),IF(Table1[[#This Row],[DUT Adj Read]]&gt;=Table1[[#This Row],[Low Tol]],"Pass","Fail")))</f>
        <v>Pass</v>
      </c>
      <c r="AG2278" s="1" t="str">
        <f>IF(AND(Table1[[#This Row],[Spec Type2]]="N/A",Table1[[#This Row],[DUT Adj Read]]="N/A",Table1[[#This Row],[Std Adj Read]]="N/A"),"N/A",IF(Table1[[#This Row],[DUT Adj Read]]="N/A",IF(Table1[[#This Row],[Std Adj Read]]&lt;=Table1[[#This Row],[High Tol]],"Pass","Fail"),IF(Table1[[#This Row],[DUT Adj Read]]&lt;=Table1[[#This Row],[High Tol]],"Pass","Fail")))</f>
        <v>Fail</v>
      </c>
      <c r="AH22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8" s="1" t="b">
        <v>0</v>
      </c>
      <c r="AN2278" s="1" t="b">
        <v>0</v>
      </c>
      <c r="AO2278" s="1" t="b">
        <v>0</v>
      </c>
    </row>
    <row r="2279" spans="1:41" x14ac:dyDescent="0.25">
      <c r="A2279" s="10"/>
      <c r="B2279" s="10"/>
      <c r="C2279" s="10"/>
      <c r="D2279" s="10"/>
      <c r="E2279" s="10"/>
      <c r="F2279" s="10"/>
      <c r="G2279" s="10"/>
      <c r="H2279" s="10"/>
      <c r="I2279" s="1" t="str">
        <f t="shared" si="105"/>
        <v/>
      </c>
      <c r="J2279" s="1" t="s">
        <v>35</v>
      </c>
      <c r="K2279" s="1" t="str">
        <f t="shared" si="106"/>
        <v/>
      </c>
      <c r="L2279" s="1" t="str">
        <f t="shared" si="107"/>
        <v/>
      </c>
      <c r="M2279" s="1">
        <f>IF(OR(Table1[[#This Row],[Std Nom]]="",Table1[[#This Row],[Std Read]]=""),0,Table1[[#This Row],[Std Nom]]-Table1[[#This Row],[Std Read]])</f>
        <v>0</v>
      </c>
      <c r="N2279" s="1">
        <f>IF(Calculations!$F$5="ACCREDITED 17025 WITH UNCERTAINTIES",$N$10,0)</f>
        <v>0</v>
      </c>
      <c r="Q2279" s="1">
        <f>Table1[[#This Row],[High Tol]]-Table1[[#This Row],[Low Tol]]</f>
        <v>0</v>
      </c>
      <c r="R2279" s="1">
        <f>2*Table1[[#This Row],[Std Error]]</f>
        <v>0</v>
      </c>
      <c r="S2279" s="1" t="str">
        <f>IF(Table1[[#This Row],[High Tol]]="","N/A",IFERROR(ABS(Table1[[#This Row],[Tol Span]]/Table1[[#This Row],[Error Span]]),"N/A"))</f>
        <v>N/A</v>
      </c>
      <c r="T2279" s="1" t="str">
        <f>IF(OR(Table1[[#This Row],[Low Tol]]="",Table1[[#This Row],[High Tol]]=""),"Needs Analysis",IF(Table1[[#This Row],[Ratio]]&gt;=4,"Not Significant",IF(Table1[[#This Row],[Ratio]]&gt;=2,"Semi-Significant","Significant")))</f>
        <v>Needs Analysis</v>
      </c>
      <c r="W2279" s="1">
        <f>IF(Table1[[#This Row],[Cal Type]]&lt;&gt;"ACCREDITED 17025 WITH UNCERTAINTIES",0,"")</f>
        <v>0</v>
      </c>
      <c r="X2279" s="1" t="str">
        <f>IF(Table1[[#This Row],[DUT Read]]="","N/A",Table1[[#This Row],[Std Error]]+Table1[[#This Row],[DUT Read]]+Table1[[#This Row],[DUT Ucty]])</f>
        <v>N/A</v>
      </c>
      <c r="Y2279" s="1" t="str">
        <f>IF(Table1[[#This Row],[Std Read]]="","N/A",Table1[[#This Row],[Std Read]]+Table1[[#This Row],[Std Ucty]])</f>
        <v>N/A</v>
      </c>
      <c r="Z22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79" s="1" t="str">
        <f>IF(Table1[[#This Row],[Spec Type]]="","N/A",Table1[[#This Row],[Spec Type]])</f>
        <v>±</v>
      </c>
      <c r="AC2279" s="1" t="str">
        <f>IF(Table1[[#This Row],[Spec Type2]]="N/A","N/A",IF(AND(Table1[[#This Row],[DUT Adj Read]]&gt;=Table1[[#This Row],[Low Tol]],Table1[[#This Row],[DUT Adj Read]]&lt;=Table1[[#This Row],[High Tol]]),"Pass","Fail"))</f>
        <v>Fail</v>
      </c>
      <c r="AD2279" s="1" t="str">
        <f>IF(AND(Table1[[#This Row],[Spec Type2]]="N/A",Table1[[#This Row],[DUT Adj Read]]="N/A",Table1[[#This Row],[Std Adj Read]]="N/A"),"N/A",IF(Table1[[#This Row],[DUT Adj Read]]="N/A",IF(Table1[[#This Row],[Std Adj Read]]&gt;Table1[[#This Row],[Low Tol]],"Pass","Fail"),IF(Table1[[#This Row],[DUT Adj Read]]&gt;Table1[[#This Row],[Low Tol]],"Pass","Fail")))</f>
        <v>Pass</v>
      </c>
      <c r="AE2279" s="1" t="str">
        <f>IF(AND(Table1[[#This Row],[Spec Type2]]="N/A",Table1[[#This Row],[DUT Adj Read]]="N/A",Table1[[#This Row],[Std Adj Read]]="N/A"),"N/A",IF(Table1[[#This Row],[DUT Adj Read]]="N/A",IF(Table1[[#This Row],[Std Adj Read]]&lt;Table1[[#This Row],[High Tol]],"Pass","Fail"),IF(Table1[[#This Row],[DUT Adj Read]]&lt;Table1[[#This Row],[High Tol]],"Pass","Fail")))</f>
        <v>Fail</v>
      </c>
      <c r="AF2279" s="1" t="str">
        <f>IF(AND(Table1[[#This Row],[Spec Type2]]="N/A",Table1[[#This Row],[DUT Adj Read]]="N/A",Table1[[#This Row],[Std Adj Read]]="N/A"),"N/A",IF(Table1[[#This Row],[DUT Adj Read]]="N/A",IF(Table1[[#This Row],[Std Adj Read]]&gt;=Table1[[#This Row],[Low Tol]],"Pass","Fail"),IF(Table1[[#This Row],[DUT Adj Read]]&gt;=Table1[[#This Row],[Low Tol]],"Pass","Fail")))</f>
        <v>Pass</v>
      </c>
      <c r="AG2279" s="1" t="str">
        <f>IF(AND(Table1[[#This Row],[Spec Type2]]="N/A",Table1[[#This Row],[DUT Adj Read]]="N/A",Table1[[#This Row],[Std Adj Read]]="N/A"),"N/A",IF(Table1[[#This Row],[DUT Adj Read]]="N/A",IF(Table1[[#This Row],[Std Adj Read]]&lt;=Table1[[#This Row],[High Tol]],"Pass","Fail"),IF(Table1[[#This Row],[DUT Adj Read]]&lt;=Table1[[#This Row],[High Tol]],"Pass","Fail")))</f>
        <v>Fail</v>
      </c>
      <c r="AH22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79" s="1" t="b">
        <v>0</v>
      </c>
      <c r="AN2279" s="1" t="b">
        <v>0</v>
      </c>
      <c r="AO2279" s="1" t="b">
        <v>0</v>
      </c>
    </row>
    <row r="2280" spans="1:41" x14ac:dyDescent="0.25">
      <c r="A2280" s="10"/>
      <c r="B2280" s="10"/>
      <c r="C2280" s="10"/>
      <c r="D2280" s="10"/>
      <c r="E2280" s="10"/>
      <c r="F2280" s="10"/>
      <c r="G2280" s="10"/>
      <c r="H2280" s="10"/>
      <c r="I2280" s="1" t="str">
        <f t="shared" si="105"/>
        <v/>
      </c>
      <c r="J2280" s="1" t="s">
        <v>35</v>
      </c>
      <c r="K2280" s="1" t="str">
        <f t="shared" si="106"/>
        <v/>
      </c>
      <c r="L2280" s="1" t="str">
        <f t="shared" si="107"/>
        <v/>
      </c>
      <c r="M2280" s="1">
        <f>IF(OR(Table1[[#This Row],[Std Nom]]="",Table1[[#This Row],[Std Read]]=""),0,Table1[[#This Row],[Std Nom]]-Table1[[#This Row],[Std Read]])</f>
        <v>0</v>
      </c>
      <c r="N2280" s="1">
        <f>IF(Calculations!$F$5="ACCREDITED 17025 WITH UNCERTAINTIES",$N$10,0)</f>
        <v>0</v>
      </c>
      <c r="Q2280" s="1">
        <f>Table1[[#This Row],[High Tol]]-Table1[[#This Row],[Low Tol]]</f>
        <v>0</v>
      </c>
      <c r="R2280" s="1">
        <f>2*Table1[[#This Row],[Std Error]]</f>
        <v>0</v>
      </c>
      <c r="S2280" s="1" t="str">
        <f>IF(Table1[[#This Row],[High Tol]]="","N/A",IFERROR(ABS(Table1[[#This Row],[Tol Span]]/Table1[[#This Row],[Error Span]]),"N/A"))</f>
        <v>N/A</v>
      </c>
      <c r="T2280" s="1" t="str">
        <f>IF(OR(Table1[[#This Row],[Low Tol]]="",Table1[[#This Row],[High Tol]]=""),"Needs Analysis",IF(Table1[[#This Row],[Ratio]]&gt;=4,"Not Significant",IF(Table1[[#This Row],[Ratio]]&gt;=2,"Semi-Significant","Significant")))</f>
        <v>Needs Analysis</v>
      </c>
      <c r="W2280" s="1">
        <f>IF(Table1[[#This Row],[Cal Type]]&lt;&gt;"ACCREDITED 17025 WITH UNCERTAINTIES",0,"")</f>
        <v>0</v>
      </c>
      <c r="X2280" s="1" t="str">
        <f>IF(Table1[[#This Row],[DUT Read]]="","N/A",Table1[[#This Row],[Std Error]]+Table1[[#This Row],[DUT Read]]+Table1[[#This Row],[DUT Ucty]])</f>
        <v>N/A</v>
      </c>
      <c r="Y2280" s="1" t="str">
        <f>IF(Table1[[#This Row],[Std Read]]="","N/A",Table1[[#This Row],[Std Read]]+Table1[[#This Row],[Std Ucty]])</f>
        <v>N/A</v>
      </c>
      <c r="Z22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0" s="1" t="str">
        <f>IF(Table1[[#This Row],[Spec Type]]="","N/A",Table1[[#This Row],[Spec Type]])</f>
        <v>±</v>
      </c>
      <c r="AC2280" s="1" t="str">
        <f>IF(Table1[[#This Row],[Spec Type2]]="N/A","N/A",IF(AND(Table1[[#This Row],[DUT Adj Read]]&gt;=Table1[[#This Row],[Low Tol]],Table1[[#This Row],[DUT Adj Read]]&lt;=Table1[[#This Row],[High Tol]]),"Pass","Fail"))</f>
        <v>Fail</v>
      </c>
      <c r="AD2280" s="1" t="str">
        <f>IF(AND(Table1[[#This Row],[Spec Type2]]="N/A",Table1[[#This Row],[DUT Adj Read]]="N/A",Table1[[#This Row],[Std Adj Read]]="N/A"),"N/A",IF(Table1[[#This Row],[DUT Adj Read]]="N/A",IF(Table1[[#This Row],[Std Adj Read]]&gt;Table1[[#This Row],[Low Tol]],"Pass","Fail"),IF(Table1[[#This Row],[DUT Adj Read]]&gt;Table1[[#This Row],[Low Tol]],"Pass","Fail")))</f>
        <v>Pass</v>
      </c>
      <c r="AE2280" s="1" t="str">
        <f>IF(AND(Table1[[#This Row],[Spec Type2]]="N/A",Table1[[#This Row],[DUT Adj Read]]="N/A",Table1[[#This Row],[Std Adj Read]]="N/A"),"N/A",IF(Table1[[#This Row],[DUT Adj Read]]="N/A",IF(Table1[[#This Row],[Std Adj Read]]&lt;Table1[[#This Row],[High Tol]],"Pass","Fail"),IF(Table1[[#This Row],[DUT Adj Read]]&lt;Table1[[#This Row],[High Tol]],"Pass","Fail")))</f>
        <v>Fail</v>
      </c>
      <c r="AF2280" s="1" t="str">
        <f>IF(AND(Table1[[#This Row],[Spec Type2]]="N/A",Table1[[#This Row],[DUT Adj Read]]="N/A",Table1[[#This Row],[Std Adj Read]]="N/A"),"N/A",IF(Table1[[#This Row],[DUT Adj Read]]="N/A",IF(Table1[[#This Row],[Std Adj Read]]&gt;=Table1[[#This Row],[Low Tol]],"Pass","Fail"),IF(Table1[[#This Row],[DUT Adj Read]]&gt;=Table1[[#This Row],[Low Tol]],"Pass","Fail")))</f>
        <v>Pass</v>
      </c>
      <c r="AG2280" s="1" t="str">
        <f>IF(AND(Table1[[#This Row],[Spec Type2]]="N/A",Table1[[#This Row],[DUT Adj Read]]="N/A",Table1[[#This Row],[Std Adj Read]]="N/A"),"N/A",IF(Table1[[#This Row],[DUT Adj Read]]="N/A",IF(Table1[[#This Row],[Std Adj Read]]&lt;=Table1[[#This Row],[High Tol]],"Pass","Fail"),IF(Table1[[#This Row],[DUT Adj Read]]&lt;=Table1[[#This Row],[High Tol]],"Pass","Fail")))</f>
        <v>Fail</v>
      </c>
      <c r="AH22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0" s="1" t="b">
        <v>0</v>
      </c>
      <c r="AN2280" s="1" t="b">
        <v>0</v>
      </c>
      <c r="AO2280" s="1" t="b">
        <v>0</v>
      </c>
    </row>
    <row r="2281" spans="1:41" x14ac:dyDescent="0.25">
      <c r="A2281" s="10"/>
      <c r="B2281" s="10"/>
      <c r="C2281" s="10"/>
      <c r="D2281" s="10"/>
      <c r="E2281" s="10"/>
      <c r="F2281" s="10"/>
      <c r="G2281" s="10"/>
      <c r="H2281" s="10"/>
      <c r="I2281" s="1" t="str">
        <f t="shared" si="105"/>
        <v/>
      </c>
      <c r="J2281" s="1" t="s">
        <v>35</v>
      </c>
      <c r="K2281" s="1" t="str">
        <f t="shared" si="106"/>
        <v/>
      </c>
      <c r="L2281" s="1" t="str">
        <f t="shared" si="107"/>
        <v/>
      </c>
      <c r="M2281" s="1">
        <f>IF(OR(Table1[[#This Row],[Std Nom]]="",Table1[[#This Row],[Std Read]]=""),0,Table1[[#This Row],[Std Nom]]-Table1[[#This Row],[Std Read]])</f>
        <v>0</v>
      </c>
      <c r="N2281" s="1">
        <f>IF(Calculations!$F$5="ACCREDITED 17025 WITH UNCERTAINTIES",$N$10,0)</f>
        <v>0</v>
      </c>
      <c r="Q2281" s="1">
        <f>Table1[[#This Row],[High Tol]]-Table1[[#This Row],[Low Tol]]</f>
        <v>0</v>
      </c>
      <c r="R2281" s="1">
        <f>2*Table1[[#This Row],[Std Error]]</f>
        <v>0</v>
      </c>
      <c r="S2281" s="1" t="str">
        <f>IF(Table1[[#This Row],[High Tol]]="","N/A",IFERROR(ABS(Table1[[#This Row],[Tol Span]]/Table1[[#This Row],[Error Span]]),"N/A"))</f>
        <v>N/A</v>
      </c>
      <c r="T2281" s="1" t="str">
        <f>IF(OR(Table1[[#This Row],[Low Tol]]="",Table1[[#This Row],[High Tol]]=""),"Needs Analysis",IF(Table1[[#This Row],[Ratio]]&gt;=4,"Not Significant",IF(Table1[[#This Row],[Ratio]]&gt;=2,"Semi-Significant","Significant")))</f>
        <v>Needs Analysis</v>
      </c>
      <c r="W2281" s="1">
        <f>IF(Table1[[#This Row],[Cal Type]]&lt;&gt;"ACCREDITED 17025 WITH UNCERTAINTIES",0,"")</f>
        <v>0</v>
      </c>
      <c r="X2281" s="1" t="str">
        <f>IF(Table1[[#This Row],[DUT Read]]="","N/A",Table1[[#This Row],[Std Error]]+Table1[[#This Row],[DUT Read]]+Table1[[#This Row],[DUT Ucty]])</f>
        <v>N/A</v>
      </c>
      <c r="Y2281" s="1" t="str">
        <f>IF(Table1[[#This Row],[Std Read]]="","N/A",Table1[[#This Row],[Std Read]]+Table1[[#This Row],[Std Ucty]])</f>
        <v>N/A</v>
      </c>
      <c r="Z22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1" s="1" t="str">
        <f>IF(Table1[[#This Row],[Spec Type]]="","N/A",Table1[[#This Row],[Spec Type]])</f>
        <v>±</v>
      </c>
      <c r="AC2281" s="1" t="str">
        <f>IF(Table1[[#This Row],[Spec Type2]]="N/A","N/A",IF(AND(Table1[[#This Row],[DUT Adj Read]]&gt;=Table1[[#This Row],[Low Tol]],Table1[[#This Row],[DUT Adj Read]]&lt;=Table1[[#This Row],[High Tol]]),"Pass","Fail"))</f>
        <v>Fail</v>
      </c>
      <c r="AD2281" s="1" t="str">
        <f>IF(AND(Table1[[#This Row],[Spec Type2]]="N/A",Table1[[#This Row],[DUT Adj Read]]="N/A",Table1[[#This Row],[Std Adj Read]]="N/A"),"N/A",IF(Table1[[#This Row],[DUT Adj Read]]="N/A",IF(Table1[[#This Row],[Std Adj Read]]&gt;Table1[[#This Row],[Low Tol]],"Pass","Fail"),IF(Table1[[#This Row],[DUT Adj Read]]&gt;Table1[[#This Row],[Low Tol]],"Pass","Fail")))</f>
        <v>Pass</v>
      </c>
      <c r="AE2281" s="1" t="str">
        <f>IF(AND(Table1[[#This Row],[Spec Type2]]="N/A",Table1[[#This Row],[DUT Adj Read]]="N/A",Table1[[#This Row],[Std Adj Read]]="N/A"),"N/A",IF(Table1[[#This Row],[DUT Adj Read]]="N/A",IF(Table1[[#This Row],[Std Adj Read]]&lt;Table1[[#This Row],[High Tol]],"Pass","Fail"),IF(Table1[[#This Row],[DUT Adj Read]]&lt;Table1[[#This Row],[High Tol]],"Pass","Fail")))</f>
        <v>Fail</v>
      </c>
      <c r="AF2281" s="1" t="str">
        <f>IF(AND(Table1[[#This Row],[Spec Type2]]="N/A",Table1[[#This Row],[DUT Adj Read]]="N/A",Table1[[#This Row],[Std Adj Read]]="N/A"),"N/A",IF(Table1[[#This Row],[DUT Adj Read]]="N/A",IF(Table1[[#This Row],[Std Adj Read]]&gt;=Table1[[#This Row],[Low Tol]],"Pass","Fail"),IF(Table1[[#This Row],[DUT Adj Read]]&gt;=Table1[[#This Row],[Low Tol]],"Pass","Fail")))</f>
        <v>Pass</v>
      </c>
      <c r="AG2281" s="1" t="str">
        <f>IF(AND(Table1[[#This Row],[Spec Type2]]="N/A",Table1[[#This Row],[DUT Adj Read]]="N/A",Table1[[#This Row],[Std Adj Read]]="N/A"),"N/A",IF(Table1[[#This Row],[DUT Adj Read]]="N/A",IF(Table1[[#This Row],[Std Adj Read]]&lt;=Table1[[#This Row],[High Tol]],"Pass","Fail"),IF(Table1[[#This Row],[DUT Adj Read]]&lt;=Table1[[#This Row],[High Tol]],"Pass","Fail")))</f>
        <v>Fail</v>
      </c>
      <c r="AH22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1" s="1" t="b">
        <v>0</v>
      </c>
      <c r="AN2281" s="1" t="b">
        <v>0</v>
      </c>
      <c r="AO2281" s="1" t="b">
        <v>0</v>
      </c>
    </row>
    <row r="2282" spans="1:41" x14ac:dyDescent="0.25">
      <c r="A2282" s="10"/>
      <c r="B2282" s="10"/>
      <c r="C2282" s="10"/>
      <c r="D2282" s="10"/>
      <c r="E2282" s="10"/>
      <c r="F2282" s="10"/>
      <c r="G2282" s="10"/>
      <c r="H2282" s="10"/>
      <c r="I2282" s="1" t="str">
        <f t="shared" si="105"/>
        <v/>
      </c>
      <c r="J2282" s="1" t="s">
        <v>35</v>
      </c>
      <c r="K2282" s="1" t="str">
        <f t="shared" si="106"/>
        <v/>
      </c>
      <c r="L2282" s="1" t="str">
        <f t="shared" si="107"/>
        <v/>
      </c>
      <c r="M2282" s="1">
        <f>IF(OR(Table1[[#This Row],[Std Nom]]="",Table1[[#This Row],[Std Read]]=""),0,Table1[[#This Row],[Std Nom]]-Table1[[#This Row],[Std Read]])</f>
        <v>0</v>
      </c>
      <c r="N2282" s="1">
        <f>IF(Calculations!$F$5="ACCREDITED 17025 WITH UNCERTAINTIES",$N$10,0)</f>
        <v>0</v>
      </c>
      <c r="Q2282" s="1">
        <f>Table1[[#This Row],[High Tol]]-Table1[[#This Row],[Low Tol]]</f>
        <v>0</v>
      </c>
      <c r="R2282" s="1">
        <f>2*Table1[[#This Row],[Std Error]]</f>
        <v>0</v>
      </c>
      <c r="S2282" s="1" t="str">
        <f>IF(Table1[[#This Row],[High Tol]]="","N/A",IFERROR(ABS(Table1[[#This Row],[Tol Span]]/Table1[[#This Row],[Error Span]]),"N/A"))</f>
        <v>N/A</v>
      </c>
      <c r="T2282" s="1" t="str">
        <f>IF(OR(Table1[[#This Row],[Low Tol]]="",Table1[[#This Row],[High Tol]]=""),"Needs Analysis",IF(Table1[[#This Row],[Ratio]]&gt;=4,"Not Significant",IF(Table1[[#This Row],[Ratio]]&gt;=2,"Semi-Significant","Significant")))</f>
        <v>Needs Analysis</v>
      </c>
      <c r="W2282" s="1">
        <f>IF(Table1[[#This Row],[Cal Type]]&lt;&gt;"ACCREDITED 17025 WITH UNCERTAINTIES",0,"")</f>
        <v>0</v>
      </c>
      <c r="X2282" s="1" t="str">
        <f>IF(Table1[[#This Row],[DUT Read]]="","N/A",Table1[[#This Row],[Std Error]]+Table1[[#This Row],[DUT Read]]+Table1[[#This Row],[DUT Ucty]])</f>
        <v>N/A</v>
      </c>
      <c r="Y2282" s="1" t="str">
        <f>IF(Table1[[#This Row],[Std Read]]="","N/A",Table1[[#This Row],[Std Read]]+Table1[[#This Row],[Std Ucty]])</f>
        <v>N/A</v>
      </c>
      <c r="Z22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2" s="1" t="str">
        <f>IF(Table1[[#This Row],[Spec Type]]="","N/A",Table1[[#This Row],[Spec Type]])</f>
        <v>±</v>
      </c>
      <c r="AC2282" s="1" t="str">
        <f>IF(Table1[[#This Row],[Spec Type2]]="N/A","N/A",IF(AND(Table1[[#This Row],[DUT Adj Read]]&gt;=Table1[[#This Row],[Low Tol]],Table1[[#This Row],[DUT Adj Read]]&lt;=Table1[[#This Row],[High Tol]]),"Pass","Fail"))</f>
        <v>Fail</v>
      </c>
      <c r="AD2282" s="1" t="str">
        <f>IF(AND(Table1[[#This Row],[Spec Type2]]="N/A",Table1[[#This Row],[DUT Adj Read]]="N/A",Table1[[#This Row],[Std Adj Read]]="N/A"),"N/A",IF(Table1[[#This Row],[DUT Adj Read]]="N/A",IF(Table1[[#This Row],[Std Adj Read]]&gt;Table1[[#This Row],[Low Tol]],"Pass","Fail"),IF(Table1[[#This Row],[DUT Adj Read]]&gt;Table1[[#This Row],[Low Tol]],"Pass","Fail")))</f>
        <v>Pass</v>
      </c>
      <c r="AE2282" s="1" t="str">
        <f>IF(AND(Table1[[#This Row],[Spec Type2]]="N/A",Table1[[#This Row],[DUT Adj Read]]="N/A",Table1[[#This Row],[Std Adj Read]]="N/A"),"N/A",IF(Table1[[#This Row],[DUT Adj Read]]="N/A",IF(Table1[[#This Row],[Std Adj Read]]&lt;Table1[[#This Row],[High Tol]],"Pass","Fail"),IF(Table1[[#This Row],[DUT Adj Read]]&lt;Table1[[#This Row],[High Tol]],"Pass","Fail")))</f>
        <v>Fail</v>
      </c>
      <c r="AF2282" s="1" t="str">
        <f>IF(AND(Table1[[#This Row],[Spec Type2]]="N/A",Table1[[#This Row],[DUT Adj Read]]="N/A",Table1[[#This Row],[Std Adj Read]]="N/A"),"N/A",IF(Table1[[#This Row],[DUT Adj Read]]="N/A",IF(Table1[[#This Row],[Std Adj Read]]&gt;=Table1[[#This Row],[Low Tol]],"Pass","Fail"),IF(Table1[[#This Row],[DUT Adj Read]]&gt;=Table1[[#This Row],[Low Tol]],"Pass","Fail")))</f>
        <v>Pass</v>
      </c>
      <c r="AG2282" s="1" t="str">
        <f>IF(AND(Table1[[#This Row],[Spec Type2]]="N/A",Table1[[#This Row],[DUT Adj Read]]="N/A",Table1[[#This Row],[Std Adj Read]]="N/A"),"N/A",IF(Table1[[#This Row],[DUT Adj Read]]="N/A",IF(Table1[[#This Row],[Std Adj Read]]&lt;=Table1[[#This Row],[High Tol]],"Pass","Fail"),IF(Table1[[#This Row],[DUT Adj Read]]&lt;=Table1[[#This Row],[High Tol]],"Pass","Fail")))</f>
        <v>Fail</v>
      </c>
      <c r="AH22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2" s="1" t="b">
        <v>0</v>
      </c>
      <c r="AN2282" s="1" t="b">
        <v>0</v>
      </c>
      <c r="AO2282" s="1" t="b">
        <v>0</v>
      </c>
    </row>
    <row r="2283" spans="1:41" x14ac:dyDescent="0.25">
      <c r="A2283" s="10"/>
      <c r="B2283" s="10"/>
      <c r="C2283" s="10"/>
      <c r="D2283" s="10"/>
      <c r="E2283" s="10"/>
      <c r="F2283" s="10"/>
      <c r="G2283" s="10"/>
      <c r="H2283" s="10"/>
      <c r="I2283" s="1" t="str">
        <f t="shared" si="105"/>
        <v/>
      </c>
      <c r="J2283" s="1" t="s">
        <v>35</v>
      </c>
      <c r="K2283" s="1" t="str">
        <f t="shared" si="106"/>
        <v/>
      </c>
      <c r="L2283" s="1" t="str">
        <f t="shared" si="107"/>
        <v/>
      </c>
      <c r="M2283" s="1">
        <f>IF(OR(Table1[[#This Row],[Std Nom]]="",Table1[[#This Row],[Std Read]]=""),0,Table1[[#This Row],[Std Nom]]-Table1[[#This Row],[Std Read]])</f>
        <v>0</v>
      </c>
      <c r="N2283" s="1">
        <f>IF(Calculations!$F$5="ACCREDITED 17025 WITH UNCERTAINTIES",$N$10,0)</f>
        <v>0</v>
      </c>
      <c r="Q2283" s="1">
        <f>Table1[[#This Row],[High Tol]]-Table1[[#This Row],[Low Tol]]</f>
        <v>0</v>
      </c>
      <c r="R2283" s="1">
        <f>2*Table1[[#This Row],[Std Error]]</f>
        <v>0</v>
      </c>
      <c r="S2283" s="1" t="str">
        <f>IF(Table1[[#This Row],[High Tol]]="","N/A",IFERROR(ABS(Table1[[#This Row],[Tol Span]]/Table1[[#This Row],[Error Span]]),"N/A"))</f>
        <v>N/A</v>
      </c>
      <c r="T2283" s="1" t="str">
        <f>IF(OR(Table1[[#This Row],[Low Tol]]="",Table1[[#This Row],[High Tol]]=""),"Needs Analysis",IF(Table1[[#This Row],[Ratio]]&gt;=4,"Not Significant",IF(Table1[[#This Row],[Ratio]]&gt;=2,"Semi-Significant","Significant")))</f>
        <v>Needs Analysis</v>
      </c>
      <c r="W2283" s="1">
        <f>IF(Table1[[#This Row],[Cal Type]]&lt;&gt;"ACCREDITED 17025 WITH UNCERTAINTIES",0,"")</f>
        <v>0</v>
      </c>
      <c r="X2283" s="1" t="str">
        <f>IF(Table1[[#This Row],[DUT Read]]="","N/A",Table1[[#This Row],[Std Error]]+Table1[[#This Row],[DUT Read]]+Table1[[#This Row],[DUT Ucty]])</f>
        <v>N/A</v>
      </c>
      <c r="Y2283" s="1" t="str">
        <f>IF(Table1[[#This Row],[Std Read]]="","N/A",Table1[[#This Row],[Std Read]]+Table1[[#This Row],[Std Ucty]])</f>
        <v>N/A</v>
      </c>
      <c r="Z22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3" s="1" t="str">
        <f>IF(Table1[[#This Row],[Spec Type]]="","N/A",Table1[[#This Row],[Spec Type]])</f>
        <v>±</v>
      </c>
      <c r="AC2283" s="1" t="str">
        <f>IF(Table1[[#This Row],[Spec Type2]]="N/A","N/A",IF(AND(Table1[[#This Row],[DUT Adj Read]]&gt;=Table1[[#This Row],[Low Tol]],Table1[[#This Row],[DUT Adj Read]]&lt;=Table1[[#This Row],[High Tol]]),"Pass","Fail"))</f>
        <v>Fail</v>
      </c>
      <c r="AD2283" s="1" t="str">
        <f>IF(AND(Table1[[#This Row],[Spec Type2]]="N/A",Table1[[#This Row],[DUT Adj Read]]="N/A",Table1[[#This Row],[Std Adj Read]]="N/A"),"N/A",IF(Table1[[#This Row],[DUT Adj Read]]="N/A",IF(Table1[[#This Row],[Std Adj Read]]&gt;Table1[[#This Row],[Low Tol]],"Pass","Fail"),IF(Table1[[#This Row],[DUT Adj Read]]&gt;Table1[[#This Row],[Low Tol]],"Pass","Fail")))</f>
        <v>Pass</v>
      </c>
      <c r="AE2283" s="1" t="str">
        <f>IF(AND(Table1[[#This Row],[Spec Type2]]="N/A",Table1[[#This Row],[DUT Adj Read]]="N/A",Table1[[#This Row],[Std Adj Read]]="N/A"),"N/A",IF(Table1[[#This Row],[DUT Adj Read]]="N/A",IF(Table1[[#This Row],[Std Adj Read]]&lt;Table1[[#This Row],[High Tol]],"Pass","Fail"),IF(Table1[[#This Row],[DUT Adj Read]]&lt;Table1[[#This Row],[High Tol]],"Pass","Fail")))</f>
        <v>Fail</v>
      </c>
      <c r="AF2283" s="1" t="str">
        <f>IF(AND(Table1[[#This Row],[Spec Type2]]="N/A",Table1[[#This Row],[DUT Adj Read]]="N/A",Table1[[#This Row],[Std Adj Read]]="N/A"),"N/A",IF(Table1[[#This Row],[DUT Adj Read]]="N/A",IF(Table1[[#This Row],[Std Adj Read]]&gt;=Table1[[#This Row],[Low Tol]],"Pass","Fail"),IF(Table1[[#This Row],[DUT Adj Read]]&gt;=Table1[[#This Row],[Low Tol]],"Pass","Fail")))</f>
        <v>Pass</v>
      </c>
      <c r="AG2283" s="1" t="str">
        <f>IF(AND(Table1[[#This Row],[Spec Type2]]="N/A",Table1[[#This Row],[DUT Adj Read]]="N/A",Table1[[#This Row],[Std Adj Read]]="N/A"),"N/A",IF(Table1[[#This Row],[DUT Adj Read]]="N/A",IF(Table1[[#This Row],[Std Adj Read]]&lt;=Table1[[#This Row],[High Tol]],"Pass","Fail"),IF(Table1[[#This Row],[DUT Adj Read]]&lt;=Table1[[#This Row],[High Tol]],"Pass","Fail")))</f>
        <v>Fail</v>
      </c>
      <c r="AH22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3" s="1" t="b">
        <v>0</v>
      </c>
      <c r="AN2283" s="1" t="b">
        <v>0</v>
      </c>
      <c r="AO2283" s="1" t="b">
        <v>0</v>
      </c>
    </row>
    <row r="2284" spans="1:41" x14ac:dyDescent="0.25">
      <c r="A2284" s="10"/>
      <c r="B2284" s="10"/>
      <c r="C2284" s="10"/>
      <c r="D2284" s="10"/>
      <c r="E2284" s="10"/>
      <c r="F2284" s="10"/>
      <c r="G2284" s="10"/>
      <c r="H2284" s="10"/>
      <c r="I2284" s="1" t="str">
        <f t="shared" si="105"/>
        <v/>
      </c>
      <c r="J2284" s="1" t="s">
        <v>35</v>
      </c>
      <c r="K2284" s="1" t="str">
        <f t="shared" si="106"/>
        <v/>
      </c>
      <c r="L2284" s="1" t="str">
        <f t="shared" si="107"/>
        <v/>
      </c>
      <c r="M2284" s="1">
        <f>IF(OR(Table1[[#This Row],[Std Nom]]="",Table1[[#This Row],[Std Read]]=""),0,Table1[[#This Row],[Std Nom]]-Table1[[#This Row],[Std Read]])</f>
        <v>0</v>
      </c>
      <c r="N2284" s="1">
        <f>IF(Calculations!$F$5="ACCREDITED 17025 WITH UNCERTAINTIES",$N$10,0)</f>
        <v>0</v>
      </c>
      <c r="Q2284" s="1">
        <f>Table1[[#This Row],[High Tol]]-Table1[[#This Row],[Low Tol]]</f>
        <v>0</v>
      </c>
      <c r="R2284" s="1">
        <f>2*Table1[[#This Row],[Std Error]]</f>
        <v>0</v>
      </c>
      <c r="S2284" s="1" t="str">
        <f>IF(Table1[[#This Row],[High Tol]]="","N/A",IFERROR(ABS(Table1[[#This Row],[Tol Span]]/Table1[[#This Row],[Error Span]]),"N/A"))</f>
        <v>N/A</v>
      </c>
      <c r="T2284" s="1" t="str">
        <f>IF(OR(Table1[[#This Row],[Low Tol]]="",Table1[[#This Row],[High Tol]]=""),"Needs Analysis",IF(Table1[[#This Row],[Ratio]]&gt;=4,"Not Significant",IF(Table1[[#This Row],[Ratio]]&gt;=2,"Semi-Significant","Significant")))</f>
        <v>Needs Analysis</v>
      </c>
      <c r="W2284" s="1">
        <f>IF(Table1[[#This Row],[Cal Type]]&lt;&gt;"ACCREDITED 17025 WITH UNCERTAINTIES",0,"")</f>
        <v>0</v>
      </c>
      <c r="X2284" s="1" t="str">
        <f>IF(Table1[[#This Row],[DUT Read]]="","N/A",Table1[[#This Row],[Std Error]]+Table1[[#This Row],[DUT Read]]+Table1[[#This Row],[DUT Ucty]])</f>
        <v>N/A</v>
      </c>
      <c r="Y2284" s="1" t="str">
        <f>IF(Table1[[#This Row],[Std Read]]="","N/A",Table1[[#This Row],[Std Read]]+Table1[[#This Row],[Std Ucty]])</f>
        <v>N/A</v>
      </c>
      <c r="Z22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4" s="1" t="str">
        <f>IF(Table1[[#This Row],[Spec Type]]="","N/A",Table1[[#This Row],[Spec Type]])</f>
        <v>±</v>
      </c>
      <c r="AC2284" s="1" t="str">
        <f>IF(Table1[[#This Row],[Spec Type2]]="N/A","N/A",IF(AND(Table1[[#This Row],[DUT Adj Read]]&gt;=Table1[[#This Row],[Low Tol]],Table1[[#This Row],[DUT Adj Read]]&lt;=Table1[[#This Row],[High Tol]]),"Pass","Fail"))</f>
        <v>Fail</v>
      </c>
      <c r="AD2284" s="1" t="str">
        <f>IF(AND(Table1[[#This Row],[Spec Type2]]="N/A",Table1[[#This Row],[DUT Adj Read]]="N/A",Table1[[#This Row],[Std Adj Read]]="N/A"),"N/A",IF(Table1[[#This Row],[DUT Adj Read]]="N/A",IF(Table1[[#This Row],[Std Adj Read]]&gt;Table1[[#This Row],[Low Tol]],"Pass","Fail"),IF(Table1[[#This Row],[DUT Adj Read]]&gt;Table1[[#This Row],[Low Tol]],"Pass","Fail")))</f>
        <v>Pass</v>
      </c>
      <c r="AE2284" s="1" t="str">
        <f>IF(AND(Table1[[#This Row],[Spec Type2]]="N/A",Table1[[#This Row],[DUT Adj Read]]="N/A",Table1[[#This Row],[Std Adj Read]]="N/A"),"N/A",IF(Table1[[#This Row],[DUT Adj Read]]="N/A",IF(Table1[[#This Row],[Std Adj Read]]&lt;Table1[[#This Row],[High Tol]],"Pass","Fail"),IF(Table1[[#This Row],[DUT Adj Read]]&lt;Table1[[#This Row],[High Tol]],"Pass","Fail")))</f>
        <v>Fail</v>
      </c>
      <c r="AF2284" s="1" t="str">
        <f>IF(AND(Table1[[#This Row],[Spec Type2]]="N/A",Table1[[#This Row],[DUT Adj Read]]="N/A",Table1[[#This Row],[Std Adj Read]]="N/A"),"N/A",IF(Table1[[#This Row],[DUT Adj Read]]="N/A",IF(Table1[[#This Row],[Std Adj Read]]&gt;=Table1[[#This Row],[Low Tol]],"Pass","Fail"),IF(Table1[[#This Row],[DUT Adj Read]]&gt;=Table1[[#This Row],[Low Tol]],"Pass","Fail")))</f>
        <v>Pass</v>
      </c>
      <c r="AG2284" s="1" t="str">
        <f>IF(AND(Table1[[#This Row],[Spec Type2]]="N/A",Table1[[#This Row],[DUT Adj Read]]="N/A",Table1[[#This Row],[Std Adj Read]]="N/A"),"N/A",IF(Table1[[#This Row],[DUT Adj Read]]="N/A",IF(Table1[[#This Row],[Std Adj Read]]&lt;=Table1[[#This Row],[High Tol]],"Pass","Fail"),IF(Table1[[#This Row],[DUT Adj Read]]&lt;=Table1[[#This Row],[High Tol]],"Pass","Fail")))</f>
        <v>Fail</v>
      </c>
      <c r="AH22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4" s="1" t="b">
        <v>0</v>
      </c>
      <c r="AN2284" s="1" t="b">
        <v>0</v>
      </c>
      <c r="AO2284" s="1" t="b">
        <v>0</v>
      </c>
    </row>
    <row r="2285" spans="1:41" x14ac:dyDescent="0.25">
      <c r="A2285" s="10"/>
      <c r="B2285" s="10"/>
      <c r="C2285" s="10"/>
      <c r="D2285" s="10"/>
      <c r="E2285" s="10"/>
      <c r="F2285" s="10"/>
      <c r="G2285" s="10"/>
      <c r="H2285" s="10"/>
      <c r="I2285" s="1" t="str">
        <f t="shared" si="105"/>
        <v/>
      </c>
      <c r="J2285" s="1" t="s">
        <v>35</v>
      </c>
      <c r="K2285" s="1" t="str">
        <f t="shared" si="106"/>
        <v/>
      </c>
      <c r="L2285" s="1" t="str">
        <f t="shared" si="107"/>
        <v/>
      </c>
      <c r="M2285" s="1">
        <f>IF(OR(Table1[[#This Row],[Std Nom]]="",Table1[[#This Row],[Std Read]]=""),0,Table1[[#This Row],[Std Nom]]-Table1[[#This Row],[Std Read]])</f>
        <v>0</v>
      </c>
      <c r="N2285" s="1">
        <f>IF(Calculations!$F$5="ACCREDITED 17025 WITH UNCERTAINTIES",$N$10,0)</f>
        <v>0</v>
      </c>
      <c r="Q2285" s="1">
        <f>Table1[[#This Row],[High Tol]]-Table1[[#This Row],[Low Tol]]</f>
        <v>0</v>
      </c>
      <c r="R2285" s="1">
        <f>2*Table1[[#This Row],[Std Error]]</f>
        <v>0</v>
      </c>
      <c r="S2285" s="1" t="str">
        <f>IF(Table1[[#This Row],[High Tol]]="","N/A",IFERROR(ABS(Table1[[#This Row],[Tol Span]]/Table1[[#This Row],[Error Span]]),"N/A"))</f>
        <v>N/A</v>
      </c>
      <c r="T2285" s="1" t="str">
        <f>IF(OR(Table1[[#This Row],[Low Tol]]="",Table1[[#This Row],[High Tol]]=""),"Needs Analysis",IF(Table1[[#This Row],[Ratio]]&gt;=4,"Not Significant",IF(Table1[[#This Row],[Ratio]]&gt;=2,"Semi-Significant","Significant")))</f>
        <v>Needs Analysis</v>
      </c>
      <c r="W2285" s="1">
        <f>IF(Table1[[#This Row],[Cal Type]]&lt;&gt;"ACCREDITED 17025 WITH UNCERTAINTIES",0,"")</f>
        <v>0</v>
      </c>
      <c r="X2285" s="1" t="str">
        <f>IF(Table1[[#This Row],[DUT Read]]="","N/A",Table1[[#This Row],[Std Error]]+Table1[[#This Row],[DUT Read]]+Table1[[#This Row],[DUT Ucty]])</f>
        <v>N/A</v>
      </c>
      <c r="Y2285" s="1" t="str">
        <f>IF(Table1[[#This Row],[Std Read]]="","N/A",Table1[[#This Row],[Std Read]]+Table1[[#This Row],[Std Ucty]])</f>
        <v>N/A</v>
      </c>
      <c r="Z22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5" s="1" t="str">
        <f>IF(Table1[[#This Row],[Spec Type]]="","N/A",Table1[[#This Row],[Spec Type]])</f>
        <v>±</v>
      </c>
      <c r="AC2285" s="1" t="str">
        <f>IF(Table1[[#This Row],[Spec Type2]]="N/A","N/A",IF(AND(Table1[[#This Row],[DUT Adj Read]]&gt;=Table1[[#This Row],[Low Tol]],Table1[[#This Row],[DUT Adj Read]]&lt;=Table1[[#This Row],[High Tol]]),"Pass","Fail"))</f>
        <v>Fail</v>
      </c>
      <c r="AD2285" s="1" t="str">
        <f>IF(AND(Table1[[#This Row],[Spec Type2]]="N/A",Table1[[#This Row],[DUT Adj Read]]="N/A",Table1[[#This Row],[Std Adj Read]]="N/A"),"N/A",IF(Table1[[#This Row],[DUT Adj Read]]="N/A",IF(Table1[[#This Row],[Std Adj Read]]&gt;Table1[[#This Row],[Low Tol]],"Pass","Fail"),IF(Table1[[#This Row],[DUT Adj Read]]&gt;Table1[[#This Row],[Low Tol]],"Pass","Fail")))</f>
        <v>Pass</v>
      </c>
      <c r="AE2285" s="1" t="str">
        <f>IF(AND(Table1[[#This Row],[Spec Type2]]="N/A",Table1[[#This Row],[DUT Adj Read]]="N/A",Table1[[#This Row],[Std Adj Read]]="N/A"),"N/A",IF(Table1[[#This Row],[DUT Adj Read]]="N/A",IF(Table1[[#This Row],[Std Adj Read]]&lt;Table1[[#This Row],[High Tol]],"Pass","Fail"),IF(Table1[[#This Row],[DUT Adj Read]]&lt;Table1[[#This Row],[High Tol]],"Pass","Fail")))</f>
        <v>Fail</v>
      </c>
      <c r="AF2285" s="1" t="str">
        <f>IF(AND(Table1[[#This Row],[Spec Type2]]="N/A",Table1[[#This Row],[DUT Adj Read]]="N/A",Table1[[#This Row],[Std Adj Read]]="N/A"),"N/A",IF(Table1[[#This Row],[DUT Adj Read]]="N/A",IF(Table1[[#This Row],[Std Adj Read]]&gt;=Table1[[#This Row],[Low Tol]],"Pass","Fail"),IF(Table1[[#This Row],[DUT Adj Read]]&gt;=Table1[[#This Row],[Low Tol]],"Pass","Fail")))</f>
        <v>Pass</v>
      </c>
      <c r="AG2285" s="1" t="str">
        <f>IF(AND(Table1[[#This Row],[Spec Type2]]="N/A",Table1[[#This Row],[DUT Adj Read]]="N/A",Table1[[#This Row],[Std Adj Read]]="N/A"),"N/A",IF(Table1[[#This Row],[DUT Adj Read]]="N/A",IF(Table1[[#This Row],[Std Adj Read]]&lt;=Table1[[#This Row],[High Tol]],"Pass","Fail"),IF(Table1[[#This Row],[DUT Adj Read]]&lt;=Table1[[#This Row],[High Tol]],"Pass","Fail")))</f>
        <v>Fail</v>
      </c>
      <c r="AH22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5" s="1" t="b">
        <v>0</v>
      </c>
      <c r="AN2285" s="1" t="b">
        <v>0</v>
      </c>
      <c r="AO2285" s="1" t="b">
        <v>0</v>
      </c>
    </row>
    <row r="2286" spans="1:41" x14ac:dyDescent="0.25">
      <c r="A2286" s="10"/>
      <c r="B2286" s="10"/>
      <c r="C2286" s="10"/>
      <c r="D2286" s="10"/>
      <c r="E2286" s="10"/>
      <c r="F2286" s="10"/>
      <c r="G2286" s="10"/>
      <c r="H2286" s="10"/>
      <c r="I2286" s="1" t="str">
        <f t="shared" si="105"/>
        <v/>
      </c>
      <c r="J2286" s="1" t="s">
        <v>35</v>
      </c>
      <c r="K2286" s="1" t="str">
        <f t="shared" si="106"/>
        <v/>
      </c>
      <c r="L2286" s="1" t="str">
        <f t="shared" si="107"/>
        <v/>
      </c>
      <c r="M2286" s="1">
        <f>IF(OR(Table1[[#This Row],[Std Nom]]="",Table1[[#This Row],[Std Read]]=""),0,Table1[[#This Row],[Std Nom]]-Table1[[#This Row],[Std Read]])</f>
        <v>0</v>
      </c>
      <c r="N2286" s="1">
        <f>IF(Calculations!$F$5="ACCREDITED 17025 WITH UNCERTAINTIES",$N$10,0)</f>
        <v>0</v>
      </c>
      <c r="Q2286" s="1">
        <f>Table1[[#This Row],[High Tol]]-Table1[[#This Row],[Low Tol]]</f>
        <v>0</v>
      </c>
      <c r="R2286" s="1">
        <f>2*Table1[[#This Row],[Std Error]]</f>
        <v>0</v>
      </c>
      <c r="S2286" s="1" t="str">
        <f>IF(Table1[[#This Row],[High Tol]]="","N/A",IFERROR(ABS(Table1[[#This Row],[Tol Span]]/Table1[[#This Row],[Error Span]]),"N/A"))</f>
        <v>N/A</v>
      </c>
      <c r="T2286" s="1" t="str">
        <f>IF(OR(Table1[[#This Row],[Low Tol]]="",Table1[[#This Row],[High Tol]]=""),"Needs Analysis",IF(Table1[[#This Row],[Ratio]]&gt;=4,"Not Significant",IF(Table1[[#This Row],[Ratio]]&gt;=2,"Semi-Significant","Significant")))</f>
        <v>Needs Analysis</v>
      </c>
      <c r="W2286" s="1">
        <f>IF(Table1[[#This Row],[Cal Type]]&lt;&gt;"ACCREDITED 17025 WITH UNCERTAINTIES",0,"")</f>
        <v>0</v>
      </c>
      <c r="X2286" s="1" t="str">
        <f>IF(Table1[[#This Row],[DUT Read]]="","N/A",Table1[[#This Row],[Std Error]]+Table1[[#This Row],[DUT Read]]+Table1[[#This Row],[DUT Ucty]])</f>
        <v>N/A</v>
      </c>
      <c r="Y2286" s="1" t="str">
        <f>IF(Table1[[#This Row],[Std Read]]="","N/A",Table1[[#This Row],[Std Read]]+Table1[[#This Row],[Std Ucty]])</f>
        <v>N/A</v>
      </c>
      <c r="Z22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6" s="1" t="str">
        <f>IF(Table1[[#This Row],[Spec Type]]="","N/A",Table1[[#This Row],[Spec Type]])</f>
        <v>±</v>
      </c>
      <c r="AC2286" s="1" t="str">
        <f>IF(Table1[[#This Row],[Spec Type2]]="N/A","N/A",IF(AND(Table1[[#This Row],[DUT Adj Read]]&gt;=Table1[[#This Row],[Low Tol]],Table1[[#This Row],[DUT Adj Read]]&lt;=Table1[[#This Row],[High Tol]]),"Pass","Fail"))</f>
        <v>Fail</v>
      </c>
      <c r="AD2286" s="1" t="str">
        <f>IF(AND(Table1[[#This Row],[Spec Type2]]="N/A",Table1[[#This Row],[DUT Adj Read]]="N/A",Table1[[#This Row],[Std Adj Read]]="N/A"),"N/A",IF(Table1[[#This Row],[DUT Adj Read]]="N/A",IF(Table1[[#This Row],[Std Adj Read]]&gt;Table1[[#This Row],[Low Tol]],"Pass","Fail"),IF(Table1[[#This Row],[DUT Adj Read]]&gt;Table1[[#This Row],[Low Tol]],"Pass","Fail")))</f>
        <v>Pass</v>
      </c>
      <c r="AE2286" s="1" t="str">
        <f>IF(AND(Table1[[#This Row],[Spec Type2]]="N/A",Table1[[#This Row],[DUT Adj Read]]="N/A",Table1[[#This Row],[Std Adj Read]]="N/A"),"N/A",IF(Table1[[#This Row],[DUT Adj Read]]="N/A",IF(Table1[[#This Row],[Std Adj Read]]&lt;Table1[[#This Row],[High Tol]],"Pass","Fail"),IF(Table1[[#This Row],[DUT Adj Read]]&lt;Table1[[#This Row],[High Tol]],"Pass","Fail")))</f>
        <v>Fail</v>
      </c>
      <c r="AF2286" s="1" t="str">
        <f>IF(AND(Table1[[#This Row],[Spec Type2]]="N/A",Table1[[#This Row],[DUT Adj Read]]="N/A",Table1[[#This Row],[Std Adj Read]]="N/A"),"N/A",IF(Table1[[#This Row],[DUT Adj Read]]="N/A",IF(Table1[[#This Row],[Std Adj Read]]&gt;=Table1[[#This Row],[Low Tol]],"Pass","Fail"),IF(Table1[[#This Row],[DUT Adj Read]]&gt;=Table1[[#This Row],[Low Tol]],"Pass","Fail")))</f>
        <v>Pass</v>
      </c>
      <c r="AG2286" s="1" t="str">
        <f>IF(AND(Table1[[#This Row],[Spec Type2]]="N/A",Table1[[#This Row],[DUT Adj Read]]="N/A",Table1[[#This Row],[Std Adj Read]]="N/A"),"N/A",IF(Table1[[#This Row],[DUT Adj Read]]="N/A",IF(Table1[[#This Row],[Std Adj Read]]&lt;=Table1[[#This Row],[High Tol]],"Pass","Fail"),IF(Table1[[#This Row],[DUT Adj Read]]&lt;=Table1[[#This Row],[High Tol]],"Pass","Fail")))</f>
        <v>Fail</v>
      </c>
      <c r="AH22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6" s="1" t="b">
        <v>0</v>
      </c>
      <c r="AN2286" s="1" t="b">
        <v>0</v>
      </c>
      <c r="AO2286" s="1" t="b">
        <v>0</v>
      </c>
    </row>
    <row r="2287" spans="1:41" x14ac:dyDescent="0.25">
      <c r="A2287" s="10"/>
      <c r="B2287" s="10"/>
      <c r="C2287" s="10"/>
      <c r="D2287" s="10"/>
      <c r="E2287" s="10"/>
      <c r="F2287" s="10"/>
      <c r="G2287" s="10"/>
      <c r="H2287" s="10"/>
      <c r="I2287" s="1" t="str">
        <f t="shared" si="105"/>
        <v/>
      </c>
      <c r="J2287" s="1" t="s">
        <v>35</v>
      </c>
      <c r="K2287" s="1" t="str">
        <f t="shared" si="106"/>
        <v/>
      </c>
      <c r="L2287" s="1" t="str">
        <f t="shared" si="107"/>
        <v/>
      </c>
      <c r="M2287" s="1">
        <f>IF(OR(Table1[[#This Row],[Std Nom]]="",Table1[[#This Row],[Std Read]]=""),0,Table1[[#This Row],[Std Nom]]-Table1[[#This Row],[Std Read]])</f>
        <v>0</v>
      </c>
      <c r="N2287" s="1">
        <f>IF(Calculations!$F$5="ACCREDITED 17025 WITH UNCERTAINTIES",$N$10,0)</f>
        <v>0</v>
      </c>
      <c r="Q2287" s="1">
        <f>Table1[[#This Row],[High Tol]]-Table1[[#This Row],[Low Tol]]</f>
        <v>0</v>
      </c>
      <c r="R2287" s="1">
        <f>2*Table1[[#This Row],[Std Error]]</f>
        <v>0</v>
      </c>
      <c r="S2287" s="1" t="str">
        <f>IF(Table1[[#This Row],[High Tol]]="","N/A",IFERROR(ABS(Table1[[#This Row],[Tol Span]]/Table1[[#This Row],[Error Span]]),"N/A"))</f>
        <v>N/A</v>
      </c>
      <c r="T2287" s="1" t="str">
        <f>IF(OR(Table1[[#This Row],[Low Tol]]="",Table1[[#This Row],[High Tol]]=""),"Needs Analysis",IF(Table1[[#This Row],[Ratio]]&gt;=4,"Not Significant",IF(Table1[[#This Row],[Ratio]]&gt;=2,"Semi-Significant","Significant")))</f>
        <v>Needs Analysis</v>
      </c>
      <c r="W2287" s="1">
        <f>IF(Table1[[#This Row],[Cal Type]]&lt;&gt;"ACCREDITED 17025 WITH UNCERTAINTIES",0,"")</f>
        <v>0</v>
      </c>
      <c r="X2287" s="1" t="str">
        <f>IF(Table1[[#This Row],[DUT Read]]="","N/A",Table1[[#This Row],[Std Error]]+Table1[[#This Row],[DUT Read]]+Table1[[#This Row],[DUT Ucty]])</f>
        <v>N/A</v>
      </c>
      <c r="Y2287" s="1" t="str">
        <f>IF(Table1[[#This Row],[Std Read]]="","N/A",Table1[[#This Row],[Std Read]]+Table1[[#This Row],[Std Ucty]])</f>
        <v>N/A</v>
      </c>
      <c r="Z22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7" s="1" t="str">
        <f>IF(Table1[[#This Row],[Spec Type]]="","N/A",Table1[[#This Row],[Spec Type]])</f>
        <v>±</v>
      </c>
      <c r="AC2287" s="1" t="str">
        <f>IF(Table1[[#This Row],[Spec Type2]]="N/A","N/A",IF(AND(Table1[[#This Row],[DUT Adj Read]]&gt;=Table1[[#This Row],[Low Tol]],Table1[[#This Row],[DUT Adj Read]]&lt;=Table1[[#This Row],[High Tol]]),"Pass","Fail"))</f>
        <v>Fail</v>
      </c>
      <c r="AD2287" s="1" t="str">
        <f>IF(AND(Table1[[#This Row],[Spec Type2]]="N/A",Table1[[#This Row],[DUT Adj Read]]="N/A",Table1[[#This Row],[Std Adj Read]]="N/A"),"N/A",IF(Table1[[#This Row],[DUT Adj Read]]="N/A",IF(Table1[[#This Row],[Std Adj Read]]&gt;Table1[[#This Row],[Low Tol]],"Pass","Fail"),IF(Table1[[#This Row],[DUT Adj Read]]&gt;Table1[[#This Row],[Low Tol]],"Pass","Fail")))</f>
        <v>Pass</v>
      </c>
      <c r="AE2287" s="1" t="str">
        <f>IF(AND(Table1[[#This Row],[Spec Type2]]="N/A",Table1[[#This Row],[DUT Adj Read]]="N/A",Table1[[#This Row],[Std Adj Read]]="N/A"),"N/A",IF(Table1[[#This Row],[DUT Adj Read]]="N/A",IF(Table1[[#This Row],[Std Adj Read]]&lt;Table1[[#This Row],[High Tol]],"Pass","Fail"),IF(Table1[[#This Row],[DUT Adj Read]]&lt;Table1[[#This Row],[High Tol]],"Pass","Fail")))</f>
        <v>Fail</v>
      </c>
      <c r="AF2287" s="1" t="str">
        <f>IF(AND(Table1[[#This Row],[Spec Type2]]="N/A",Table1[[#This Row],[DUT Adj Read]]="N/A",Table1[[#This Row],[Std Adj Read]]="N/A"),"N/A",IF(Table1[[#This Row],[DUT Adj Read]]="N/A",IF(Table1[[#This Row],[Std Adj Read]]&gt;=Table1[[#This Row],[Low Tol]],"Pass","Fail"),IF(Table1[[#This Row],[DUT Adj Read]]&gt;=Table1[[#This Row],[Low Tol]],"Pass","Fail")))</f>
        <v>Pass</v>
      </c>
      <c r="AG2287" s="1" t="str">
        <f>IF(AND(Table1[[#This Row],[Spec Type2]]="N/A",Table1[[#This Row],[DUT Adj Read]]="N/A",Table1[[#This Row],[Std Adj Read]]="N/A"),"N/A",IF(Table1[[#This Row],[DUT Adj Read]]="N/A",IF(Table1[[#This Row],[Std Adj Read]]&lt;=Table1[[#This Row],[High Tol]],"Pass","Fail"),IF(Table1[[#This Row],[DUT Adj Read]]&lt;=Table1[[#This Row],[High Tol]],"Pass","Fail")))</f>
        <v>Fail</v>
      </c>
      <c r="AH22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7" s="1" t="b">
        <v>0</v>
      </c>
      <c r="AN2287" s="1" t="b">
        <v>0</v>
      </c>
      <c r="AO2287" s="1" t="b">
        <v>0</v>
      </c>
    </row>
    <row r="2288" spans="1:41" x14ac:dyDescent="0.25">
      <c r="A2288" s="10"/>
      <c r="B2288" s="10"/>
      <c r="C2288" s="10"/>
      <c r="D2288" s="10"/>
      <c r="E2288" s="10"/>
      <c r="F2288" s="10"/>
      <c r="G2288" s="10"/>
      <c r="H2288" s="10"/>
      <c r="I2288" s="1" t="str">
        <f t="shared" si="105"/>
        <v/>
      </c>
      <c r="J2288" s="1" t="s">
        <v>35</v>
      </c>
      <c r="K2288" s="1" t="str">
        <f t="shared" si="106"/>
        <v/>
      </c>
      <c r="L2288" s="1" t="str">
        <f t="shared" si="107"/>
        <v/>
      </c>
      <c r="M2288" s="1">
        <f>IF(OR(Table1[[#This Row],[Std Nom]]="",Table1[[#This Row],[Std Read]]=""),0,Table1[[#This Row],[Std Nom]]-Table1[[#This Row],[Std Read]])</f>
        <v>0</v>
      </c>
      <c r="N2288" s="1">
        <f>IF(Calculations!$F$5="ACCREDITED 17025 WITH UNCERTAINTIES",$N$10,0)</f>
        <v>0</v>
      </c>
      <c r="Q2288" s="1">
        <f>Table1[[#This Row],[High Tol]]-Table1[[#This Row],[Low Tol]]</f>
        <v>0</v>
      </c>
      <c r="R2288" s="1">
        <f>2*Table1[[#This Row],[Std Error]]</f>
        <v>0</v>
      </c>
      <c r="S2288" s="1" t="str">
        <f>IF(Table1[[#This Row],[High Tol]]="","N/A",IFERROR(ABS(Table1[[#This Row],[Tol Span]]/Table1[[#This Row],[Error Span]]),"N/A"))</f>
        <v>N/A</v>
      </c>
      <c r="T2288" s="1" t="str">
        <f>IF(OR(Table1[[#This Row],[Low Tol]]="",Table1[[#This Row],[High Tol]]=""),"Needs Analysis",IF(Table1[[#This Row],[Ratio]]&gt;=4,"Not Significant",IF(Table1[[#This Row],[Ratio]]&gt;=2,"Semi-Significant","Significant")))</f>
        <v>Needs Analysis</v>
      </c>
      <c r="W2288" s="1">
        <f>IF(Table1[[#This Row],[Cal Type]]&lt;&gt;"ACCREDITED 17025 WITH UNCERTAINTIES",0,"")</f>
        <v>0</v>
      </c>
      <c r="X2288" s="1" t="str">
        <f>IF(Table1[[#This Row],[DUT Read]]="","N/A",Table1[[#This Row],[Std Error]]+Table1[[#This Row],[DUT Read]]+Table1[[#This Row],[DUT Ucty]])</f>
        <v>N/A</v>
      </c>
      <c r="Y2288" s="1" t="str">
        <f>IF(Table1[[#This Row],[Std Read]]="","N/A",Table1[[#This Row],[Std Read]]+Table1[[#This Row],[Std Ucty]])</f>
        <v>N/A</v>
      </c>
      <c r="Z22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8" s="1" t="str">
        <f>IF(Table1[[#This Row],[Spec Type]]="","N/A",Table1[[#This Row],[Spec Type]])</f>
        <v>±</v>
      </c>
      <c r="AC2288" s="1" t="str">
        <f>IF(Table1[[#This Row],[Spec Type2]]="N/A","N/A",IF(AND(Table1[[#This Row],[DUT Adj Read]]&gt;=Table1[[#This Row],[Low Tol]],Table1[[#This Row],[DUT Adj Read]]&lt;=Table1[[#This Row],[High Tol]]),"Pass","Fail"))</f>
        <v>Fail</v>
      </c>
      <c r="AD2288" s="1" t="str">
        <f>IF(AND(Table1[[#This Row],[Spec Type2]]="N/A",Table1[[#This Row],[DUT Adj Read]]="N/A",Table1[[#This Row],[Std Adj Read]]="N/A"),"N/A",IF(Table1[[#This Row],[DUT Adj Read]]="N/A",IF(Table1[[#This Row],[Std Adj Read]]&gt;Table1[[#This Row],[Low Tol]],"Pass","Fail"),IF(Table1[[#This Row],[DUT Adj Read]]&gt;Table1[[#This Row],[Low Tol]],"Pass","Fail")))</f>
        <v>Pass</v>
      </c>
      <c r="AE2288" s="1" t="str">
        <f>IF(AND(Table1[[#This Row],[Spec Type2]]="N/A",Table1[[#This Row],[DUT Adj Read]]="N/A",Table1[[#This Row],[Std Adj Read]]="N/A"),"N/A",IF(Table1[[#This Row],[DUT Adj Read]]="N/A",IF(Table1[[#This Row],[Std Adj Read]]&lt;Table1[[#This Row],[High Tol]],"Pass","Fail"),IF(Table1[[#This Row],[DUT Adj Read]]&lt;Table1[[#This Row],[High Tol]],"Pass","Fail")))</f>
        <v>Fail</v>
      </c>
      <c r="AF2288" s="1" t="str">
        <f>IF(AND(Table1[[#This Row],[Spec Type2]]="N/A",Table1[[#This Row],[DUT Adj Read]]="N/A",Table1[[#This Row],[Std Adj Read]]="N/A"),"N/A",IF(Table1[[#This Row],[DUT Adj Read]]="N/A",IF(Table1[[#This Row],[Std Adj Read]]&gt;=Table1[[#This Row],[Low Tol]],"Pass","Fail"),IF(Table1[[#This Row],[DUT Adj Read]]&gt;=Table1[[#This Row],[Low Tol]],"Pass","Fail")))</f>
        <v>Pass</v>
      </c>
      <c r="AG2288" s="1" t="str">
        <f>IF(AND(Table1[[#This Row],[Spec Type2]]="N/A",Table1[[#This Row],[DUT Adj Read]]="N/A",Table1[[#This Row],[Std Adj Read]]="N/A"),"N/A",IF(Table1[[#This Row],[DUT Adj Read]]="N/A",IF(Table1[[#This Row],[Std Adj Read]]&lt;=Table1[[#This Row],[High Tol]],"Pass","Fail"),IF(Table1[[#This Row],[DUT Adj Read]]&lt;=Table1[[#This Row],[High Tol]],"Pass","Fail")))</f>
        <v>Fail</v>
      </c>
      <c r="AH22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8" s="1" t="b">
        <v>0</v>
      </c>
      <c r="AN2288" s="1" t="b">
        <v>0</v>
      </c>
      <c r="AO2288" s="1" t="b">
        <v>0</v>
      </c>
    </row>
    <row r="2289" spans="1:41" x14ac:dyDescent="0.25">
      <c r="A2289" s="10"/>
      <c r="B2289" s="10"/>
      <c r="C2289" s="10"/>
      <c r="D2289" s="10"/>
      <c r="E2289" s="10"/>
      <c r="F2289" s="10"/>
      <c r="G2289" s="10"/>
      <c r="H2289" s="10"/>
      <c r="I2289" s="1" t="str">
        <f t="shared" si="105"/>
        <v/>
      </c>
      <c r="J2289" s="1" t="s">
        <v>35</v>
      </c>
      <c r="K2289" s="1" t="str">
        <f t="shared" si="106"/>
        <v/>
      </c>
      <c r="L2289" s="1" t="str">
        <f t="shared" si="107"/>
        <v/>
      </c>
      <c r="M2289" s="1">
        <f>IF(OR(Table1[[#This Row],[Std Nom]]="",Table1[[#This Row],[Std Read]]=""),0,Table1[[#This Row],[Std Nom]]-Table1[[#This Row],[Std Read]])</f>
        <v>0</v>
      </c>
      <c r="N2289" s="1">
        <f>IF(Calculations!$F$5="ACCREDITED 17025 WITH UNCERTAINTIES",$N$10,0)</f>
        <v>0</v>
      </c>
      <c r="Q2289" s="1">
        <f>Table1[[#This Row],[High Tol]]-Table1[[#This Row],[Low Tol]]</f>
        <v>0</v>
      </c>
      <c r="R2289" s="1">
        <f>2*Table1[[#This Row],[Std Error]]</f>
        <v>0</v>
      </c>
      <c r="S2289" s="1" t="str">
        <f>IF(Table1[[#This Row],[High Tol]]="","N/A",IFERROR(ABS(Table1[[#This Row],[Tol Span]]/Table1[[#This Row],[Error Span]]),"N/A"))</f>
        <v>N/A</v>
      </c>
      <c r="T2289" s="1" t="str">
        <f>IF(OR(Table1[[#This Row],[Low Tol]]="",Table1[[#This Row],[High Tol]]=""),"Needs Analysis",IF(Table1[[#This Row],[Ratio]]&gt;=4,"Not Significant",IF(Table1[[#This Row],[Ratio]]&gt;=2,"Semi-Significant","Significant")))</f>
        <v>Needs Analysis</v>
      </c>
      <c r="W2289" s="1">
        <f>IF(Table1[[#This Row],[Cal Type]]&lt;&gt;"ACCREDITED 17025 WITH UNCERTAINTIES",0,"")</f>
        <v>0</v>
      </c>
      <c r="X2289" s="1" t="str">
        <f>IF(Table1[[#This Row],[DUT Read]]="","N/A",Table1[[#This Row],[Std Error]]+Table1[[#This Row],[DUT Read]]+Table1[[#This Row],[DUT Ucty]])</f>
        <v>N/A</v>
      </c>
      <c r="Y2289" s="1" t="str">
        <f>IF(Table1[[#This Row],[Std Read]]="","N/A",Table1[[#This Row],[Std Read]]+Table1[[#This Row],[Std Ucty]])</f>
        <v>N/A</v>
      </c>
      <c r="Z22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89" s="1" t="str">
        <f>IF(Table1[[#This Row],[Spec Type]]="","N/A",Table1[[#This Row],[Spec Type]])</f>
        <v>±</v>
      </c>
      <c r="AC2289" s="1" t="str">
        <f>IF(Table1[[#This Row],[Spec Type2]]="N/A","N/A",IF(AND(Table1[[#This Row],[DUT Adj Read]]&gt;=Table1[[#This Row],[Low Tol]],Table1[[#This Row],[DUT Adj Read]]&lt;=Table1[[#This Row],[High Tol]]),"Pass","Fail"))</f>
        <v>Fail</v>
      </c>
      <c r="AD2289" s="1" t="str">
        <f>IF(AND(Table1[[#This Row],[Spec Type2]]="N/A",Table1[[#This Row],[DUT Adj Read]]="N/A",Table1[[#This Row],[Std Adj Read]]="N/A"),"N/A",IF(Table1[[#This Row],[DUT Adj Read]]="N/A",IF(Table1[[#This Row],[Std Adj Read]]&gt;Table1[[#This Row],[Low Tol]],"Pass","Fail"),IF(Table1[[#This Row],[DUT Adj Read]]&gt;Table1[[#This Row],[Low Tol]],"Pass","Fail")))</f>
        <v>Pass</v>
      </c>
      <c r="AE2289" s="1" t="str">
        <f>IF(AND(Table1[[#This Row],[Spec Type2]]="N/A",Table1[[#This Row],[DUT Adj Read]]="N/A",Table1[[#This Row],[Std Adj Read]]="N/A"),"N/A",IF(Table1[[#This Row],[DUT Adj Read]]="N/A",IF(Table1[[#This Row],[Std Adj Read]]&lt;Table1[[#This Row],[High Tol]],"Pass","Fail"),IF(Table1[[#This Row],[DUT Adj Read]]&lt;Table1[[#This Row],[High Tol]],"Pass","Fail")))</f>
        <v>Fail</v>
      </c>
      <c r="AF2289" s="1" t="str">
        <f>IF(AND(Table1[[#This Row],[Spec Type2]]="N/A",Table1[[#This Row],[DUT Adj Read]]="N/A",Table1[[#This Row],[Std Adj Read]]="N/A"),"N/A",IF(Table1[[#This Row],[DUT Adj Read]]="N/A",IF(Table1[[#This Row],[Std Adj Read]]&gt;=Table1[[#This Row],[Low Tol]],"Pass","Fail"),IF(Table1[[#This Row],[DUT Adj Read]]&gt;=Table1[[#This Row],[Low Tol]],"Pass","Fail")))</f>
        <v>Pass</v>
      </c>
      <c r="AG2289" s="1" t="str">
        <f>IF(AND(Table1[[#This Row],[Spec Type2]]="N/A",Table1[[#This Row],[DUT Adj Read]]="N/A",Table1[[#This Row],[Std Adj Read]]="N/A"),"N/A",IF(Table1[[#This Row],[DUT Adj Read]]="N/A",IF(Table1[[#This Row],[Std Adj Read]]&lt;=Table1[[#This Row],[High Tol]],"Pass","Fail"),IF(Table1[[#This Row],[DUT Adj Read]]&lt;=Table1[[#This Row],[High Tol]],"Pass","Fail")))</f>
        <v>Fail</v>
      </c>
      <c r="AH22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89" s="1" t="b">
        <v>0</v>
      </c>
      <c r="AN2289" s="1" t="b">
        <v>0</v>
      </c>
      <c r="AO2289" s="1" t="b">
        <v>0</v>
      </c>
    </row>
    <row r="2290" spans="1:41" x14ac:dyDescent="0.25">
      <c r="A2290" s="10"/>
      <c r="B2290" s="10"/>
      <c r="C2290" s="10"/>
      <c r="D2290" s="10"/>
      <c r="E2290" s="10"/>
      <c r="F2290" s="10"/>
      <c r="G2290" s="10"/>
      <c r="H2290" s="10"/>
      <c r="I2290" s="1" t="str">
        <f t="shared" si="105"/>
        <v/>
      </c>
      <c r="J2290" s="1" t="s">
        <v>35</v>
      </c>
      <c r="K2290" s="1" t="str">
        <f t="shared" si="106"/>
        <v/>
      </c>
      <c r="L2290" s="1" t="str">
        <f t="shared" si="107"/>
        <v/>
      </c>
      <c r="M2290" s="1">
        <f>IF(OR(Table1[[#This Row],[Std Nom]]="",Table1[[#This Row],[Std Read]]=""),0,Table1[[#This Row],[Std Nom]]-Table1[[#This Row],[Std Read]])</f>
        <v>0</v>
      </c>
      <c r="N2290" s="1">
        <f>IF(Calculations!$F$5="ACCREDITED 17025 WITH UNCERTAINTIES",$N$10,0)</f>
        <v>0</v>
      </c>
      <c r="Q2290" s="1">
        <f>Table1[[#This Row],[High Tol]]-Table1[[#This Row],[Low Tol]]</f>
        <v>0</v>
      </c>
      <c r="R2290" s="1">
        <f>2*Table1[[#This Row],[Std Error]]</f>
        <v>0</v>
      </c>
      <c r="S2290" s="1" t="str">
        <f>IF(Table1[[#This Row],[High Tol]]="","N/A",IFERROR(ABS(Table1[[#This Row],[Tol Span]]/Table1[[#This Row],[Error Span]]),"N/A"))</f>
        <v>N/A</v>
      </c>
      <c r="T2290" s="1" t="str">
        <f>IF(OR(Table1[[#This Row],[Low Tol]]="",Table1[[#This Row],[High Tol]]=""),"Needs Analysis",IF(Table1[[#This Row],[Ratio]]&gt;=4,"Not Significant",IF(Table1[[#This Row],[Ratio]]&gt;=2,"Semi-Significant","Significant")))</f>
        <v>Needs Analysis</v>
      </c>
      <c r="W2290" s="1">
        <f>IF(Table1[[#This Row],[Cal Type]]&lt;&gt;"ACCREDITED 17025 WITH UNCERTAINTIES",0,"")</f>
        <v>0</v>
      </c>
      <c r="X2290" s="1" t="str">
        <f>IF(Table1[[#This Row],[DUT Read]]="","N/A",Table1[[#This Row],[Std Error]]+Table1[[#This Row],[DUT Read]]+Table1[[#This Row],[DUT Ucty]])</f>
        <v>N/A</v>
      </c>
      <c r="Y2290" s="1" t="str">
        <f>IF(Table1[[#This Row],[Std Read]]="","N/A",Table1[[#This Row],[Std Read]]+Table1[[#This Row],[Std Ucty]])</f>
        <v>N/A</v>
      </c>
      <c r="Z22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0" s="1" t="str">
        <f>IF(Table1[[#This Row],[Spec Type]]="","N/A",Table1[[#This Row],[Spec Type]])</f>
        <v>±</v>
      </c>
      <c r="AC2290" s="1" t="str">
        <f>IF(Table1[[#This Row],[Spec Type2]]="N/A","N/A",IF(AND(Table1[[#This Row],[DUT Adj Read]]&gt;=Table1[[#This Row],[Low Tol]],Table1[[#This Row],[DUT Adj Read]]&lt;=Table1[[#This Row],[High Tol]]),"Pass","Fail"))</f>
        <v>Fail</v>
      </c>
      <c r="AD2290" s="1" t="str">
        <f>IF(AND(Table1[[#This Row],[Spec Type2]]="N/A",Table1[[#This Row],[DUT Adj Read]]="N/A",Table1[[#This Row],[Std Adj Read]]="N/A"),"N/A",IF(Table1[[#This Row],[DUT Adj Read]]="N/A",IF(Table1[[#This Row],[Std Adj Read]]&gt;Table1[[#This Row],[Low Tol]],"Pass","Fail"),IF(Table1[[#This Row],[DUT Adj Read]]&gt;Table1[[#This Row],[Low Tol]],"Pass","Fail")))</f>
        <v>Pass</v>
      </c>
      <c r="AE2290" s="1" t="str">
        <f>IF(AND(Table1[[#This Row],[Spec Type2]]="N/A",Table1[[#This Row],[DUT Adj Read]]="N/A",Table1[[#This Row],[Std Adj Read]]="N/A"),"N/A",IF(Table1[[#This Row],[DUT Adj Read]]="N/A",IF(Table1[[#This Row],[Std Adj Read]]&lt;Table1[[#This Row],[High Tol]],"Pass","Fail"),IF(Table1[[#This Row],[DUT Adj Read]]&lt;Table1[[#This Row],[High Tol]],"Pass","Fail")))</f>
        <v>Fail</v>
      </c>
      <c r="AF2290" s="1" t="str">
        <f>IF(AND(Table1[[#This Row],[Spec Type2]]="N/A",Table1[[#This Row],[DUT Adj Read]]="N/A",Table1[[#This Row],[Std Adj Read]]="N/A"),"N/A",IF(Table1[[#This Row],[DUT Adj Read]]="N/A",IF(Table1[[#This Row],[Std Adj Read]]&gt;=Table1[[#This Row],[Low Tol]],"Pass","Fail"),IF(Table1[[#This Row],[DUT Adj Read]]&gt;=Table1[[#This Row],[Low Tol]],"Pass","Fail")))</f>
        <v>Pass</v>
      </c>
      <c r="AG2290" s="1" t="str">
        <f>IF(AND(Table1[[#This Row],[Spec Type2]]="N/A",Table1[[#This Row],[DUT Adj Read]]="N/A",Table1[[#This Row],[Std Adj Read]]="N/A"),"N/A",IF(Table1[[#This Row],[DUT Adj Read]]="N/A",IF(Table1[[#This Row],[Std Adj Read]]&lt;=Table1[[#This Row],[High Tol]],"Pass","Fail"),IF(Table1[[#This Row],[DUT Adj Read]]&lt;=Table1[[#This Row],[High Tol]],"Pass","Fail")))</f>
        <v>Fail</v>
      </c>
      <c r="AH22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0" s="1" t="b">
        <v>0</v>
      </c>
      <c r="AN2290" s="1" t="b">
        <v>0</v>
      </c>
      <c r="AO2290" s="1" t="b">
        <v>0</v>
      </c>
    </row>
    <row r="2291" spans="1:41" x14ac:dyDescent="0.25">
      <c r="A2291" s="10"/>
      <c r="B2291" s="10"/>
      <c r="C2291" s="10"/>
      <c r="D2291" s="10"/>
      <c r="E2291" s="10"/>
      <c r="F2291" s="10"/>
      <c r="G2291" s="10"/>
      <c r="H2291" s="10"/>
      <c r="I2291" s="1" t="str">
        <f t="shared" si="105"/>
        <v/>
      </c>
      <c r="J2291" s="1" t="s">
        <v>35</v>
      </c>
      <c r="K2291" s="1" t="str">
        <f t="shared" si="106"/>
        <v/>
      </c>
      <c r="L2291" s="1" t="str">
        <f t="shared" si="107"/>
        <v/>
      </c>
      <c r="M2291" s="1">
        <f>IF(OR(Table1[[#This Row],[Std Nom]]="",Table1[[#This Row],[Std Read]]=""),0,Table1[[#This Row],[Std Nom]]-Table1[[#This Row],[Std Read]])</f>
        <v>0</v>
      </c>
      <c r="N2291" s="1">
        <f>IF(Calculations!$F$5="ACCREDITED 17025 WITH UNCERTAINTIES",$N$10,0)</f>
        <v>0</v>
      </c>
      <c r="Q2291" s="1">
        <f>Table1[[#This Row],[High Tol]]-Table1[[#This Row],[Low Tol]]</f>
        <v>0</v>
      </c>
      <c r="R2291" s="1">
        <f>2*Table1[[#This Row],[Std Error]]</f>
        <v>0</v>
      </c>
      <c r="S2291" s="1" t="str">
        <f>IF(Table1[[#This Row],[High Tol]]="","N/A",IFERROR(ABS(Table1[[#This Row],[Tol Span]]/Table1[[#This Row],[Error Span]]),"N/A"))</f>
        <v>N/A</v>
      </c>
      <c r="T2291" s="1" t="str">
        <f>IF(OR(Table1[[#This Row],[Low Tol]]="",Table1[[#This Row],[High Tol]]=""),"Needs Analysis",IF(Table1[[#This Row],[Ratio]]&gt;=4,"Not Significant",IF(Table1[[#This Row],[Ratio]]&gt;=2,"Semi-Significant","Significant")))</f>
        <v>Needs Analysis</v>
      </c>
      <c r="W2291" s="1">
        <f>IF(Table1[[#This Row],[Cal Type]]&lt;&gt;"ACCREDITED 17025 WITH UNCERTAINTIES",0,"")</f>
        <v>0</v>
      </c>
      <c r="X2291" s="1" t="str">
        <f>IF(Table1[[#This Row],[DUT Read]]="","N/A",Table1[[#This Row],[Std Error]]+Table1[[#This Row],[DUT Read]]+Table1[[#This Row],[DUT Ucty]])</f>
        <v>N/A</v>
      </c>
      <c r="Y2291" s="1" t="str">
        <f>IF(Table1[[#This Row],[Std Read]]="","N/A",Table1[[#This Row],[Std Read]]+Table1[[#This Row],[Std Ucty]])</f>
        <v>N/A</v>
      </c>
      <c r="Z22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1" s="1" t="str">
        <f>IF(Table1[[#This Row],[Spec Type]]="","N/A",Table1[[#This Row],[Spec Type]])</f>
        <v>±</v>
      </c>
      <c r="AC2291" s="1" t="str">
        <f>IF(Table1[[#This Row],[Spec Type2]]="N/A","N/A",IF(AND(Table1[[#This Row],[DUT Adj Read]]&gt;=Table1[[#This Row],[Low Tol]],Table1[[#This Row],[DUT Adj Read]]&lt;=Table1[[#This Row],[High Tol]]),"Pass","Fail"))</f>
        <v>Fail</v>
      </c>
      <c r="AD2291" s="1" t="str">
        <f>IF(AND(Table1[[#This Row],[Spec Type2]]="N/A",Table1[[#This Row],[DUT Adj Read]]="N/A",Table1[[#This Row],[Std Adj Read]]="N/A"),"N/A",IF(Table1[[#This Row],[DUT Adj Read]]="N/A",IF(Table1[[#This Row],[Std Adj Read]]&gt;Table1[[#This Row],[Low Tol]],"Pass","Fail"),IF(Table1[[#This Row],[DUT Adj Read]]&gt;Table1[[#This Row],[Low Tol]],"Pass","Fail")))</f>
        <v>Pass</v>
      </c>
      <c r="AE2291" s="1" t="str">
        <f>IF(AND(Table1[[#This Row],[Spec Type2]]="N/A",Table1[[#This Row],[DUT Adj Read]]="N/A",Table1[[#This Row],[Std Adj Read]]="N/A"),"N/A",IF(Table1[[#This Row],[DUT Adj Read]]="N/A",IF(Table1[[#This Row],[Std Adj Read]]&lt;Table1[[#This Row],[High Tol]],"Pass","Fail"),IF(Table1[[#This Row],[DUT Adj Read]]&lt;Table1[[#This Row],[High Tol]],"Pass","Fail")))</f>
        <v>Fail</v>
      </c>
      <c r="AF2291" s="1" t="str">
        <f>IF(AND(Table1[[#This Row],[Spec Type2]]="N/A",Table1[[#This Row],[DUT Adj Read]]="N/A",Table1[[#This Row],[Std Adj Read]]="N/A"),"N/A",IF(Table1[[#This Row],[DUT Adj Read]]="N/A",IF(Table1[[#This Row],[Std Adj Read]]&gt;=Table1[[#This Row],[Low Tol]],"Pass","Fail"),IF(Table1[[#This Row],[DUT Adj Read]]&gt;=Table1[[#This Row],[Low Tol]],"Pass","Fail")))</f>
        <v>Pass</v>
      </c>
      <c r="AG2291" s="1" t="str">
        <f>IF(AND(Table1[[#This Row],[Spec Type2]]="N/A",Table1[[#This Row],[DUT Adj Read]]="N/A",Table1[[#This Row],[Std Adj Read]]="N/A"),"N/A",IF(Table1[[#This Row],[DUT Adj Read]]="N/A",IF(Table1[[#This Row],[Std Adj Read]]&lt;=Table1[[#This Row],[High Tol]],"Pass","Fail"),IF(Table1[[#This Row],[DUT Adj Read]]&lt;=Table1[[#This Row],[High Tol]],"Pass","Fail")))</f>
        <v>Fail</v>
      </c>
      <c r="AH22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1" s="1" t="b">
        <v>0</v>
      </c>
      <c r="AN2291" s="1" t="b">
        <v>0</v>
      </c>
      <c r="AO2291" s="1" t="b">
        <v>0</v>
      </c>
    </row>
    <row r="2292" spans="1:41" x14ac:dyDescent="0.25">
      <c r="A2292" s="10"/>
      <c r="B2292" s="10"/>
      <c r="C2292" s="10"/>
      <c r="D2292" s="10"/>
      <c r="E2292" s="10"/>
      <c r="F2292" s="10"/>
      <c r="G2292" s="10"/>
      <c r="H2292" s="10"/>
      <c r="I2292" s="1" t="str">
        <f t="shared" si="105"/>
        <v/>
      </c>
      <c r="J2292" s="1" t="s">
        <v>35</v>
      </c>
      <c r="K2292" s="1" t="str">
        <f t="shared" si="106"/>
        <v/>
      </c>
      <c r="L2292" s="1" t="str">
        <f t="shared" si="107"/>
        <v/>
      </c>
      <c r="M2292" s="1">
        <f>IF(OR(Table1[[#This Row],[Std Nom]]="",Table1[[#This Row],[Std Read]]=""),0,Table1[[#This Row],[Std Nom]]-Table1[[#This Row],[Std Read]])</f>
        <v>0</v>
      </c>
      <c r="N2292" s="1">
        <f>IF(Calculations!$F$5="ACCREDITED 17025 WITH UNCERTAINTIES",$N$10,0)</f>
        <v>0</v>
      </c>
      <c r="Q2292" s="1">
        <f>Table1[[#This Row],[High Tol]]-Table1[[#This Row],[Low Tol]]</f>
        <v>0</v>
      </c>
      <c r="R2292" s="1">
        <f>2*Table1[[#This Row],[Std Error]]</f>
        <v>0</v>
      </c>
      <c r="S2292" s="1" t="str">
        <f>IF(Table1[[#This Row],[High Tol]]="","N/A",IFERROR(ABS(Table1[[#This Row],[Tol Span]]/Table1[[#This Row],[Error Span]]),"N/A"))</f>
        <v>N/A</v>
      </c>
      <c r="T2292" s="1" t="str">
        <f>IF(OR(Table1[[#This Row],[Low Tol]]="",Table1[[#This Row],[High Tol]]=""),"Needs Analysis",IF(Table1[[#This Row],[Ratio]]&gt;=4,"Not Significant",IF(Table1[[#This Row],[Ratio]]&gt;=2,"Semi-Significant","Significant")))</f>
        <v>Needs Analysis</v>
      </c>
      <c r="W2292" s="1">
        <f>IF(Table1[[#This Row],[Cal Type]]&lt;&gt;"ACCREDITED 17025 WITH UNCERTAINTIES",0,"")</f>
        <v>0</v>
      </c>
      <c r="X2292" s="1" t="str">
        <f>IF(Table1[[#This Row],[DUT Read]]="","N/A",Table1[[#This Row],[Std Error]]+Table1[[#This Row],[DUT Read]]+Table1[[#This Row],[DUT Ucty]])</f>
        <v>N/A</v>
      </c>
      <c r="Y2292" s="1" t="str">
        <f>IF(Table1[[#This Row],[Std Read]]="","N/A",Table1[[#This Row],[Std Read]]+Table1[[#This Row],[Std Ucty]])</f>
        <v>N/A</v>
      </c>
      <c r="Z22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2" s="1" t="str">
        <f>IF(Table1[[#This Row],[Spec Type]]="","N/A",Table1[[#This Row],[Spec Type]])</f>
        <v>±</v>
      </c>
      <c r="AC2292" s="1" t="str">
        <f>IF(Table1[[#This Row],[Spec Type2]]="N/A","N/A",IF(AND(Table1[[#This Row],[DUT Adj Read]]&gt;=Table1[[#This Row],[Low Tol]],Table1[[#This Row],[DUT Adj Read]]&lt;=Table1[[#This Row],[High Tol]]),"Pass","Fail"))</f>
        <v>Fail</v>
      </c>
      <c r="AD2292" s="1" t="str">
        <f>IF(AND(Table1[[#This Row],[Spec Type2]]="N/A",Table1[[#This Row],[DUT Adj Read]]="N/A",Table1[[#This Row],[Std Adj Read]]="N/A"),"N/A",IF(Table1[[#This Row],[DUT Adj Read]]="N/A",IF(Table1[[#This Row],[Std Adj Read]]&gt;Table1[[#This Row],[Low Tol]],"Pass","Fail"),IF(Table1[[#This Row],[DUT Adj Read]]&gt;Table1[[#This Row],[Low Tol]],"Pass","Fail")))</f>
        <v>Pass</v>
      </c>
      <c r="AE2292" s="1" t="str">
        <f>IF(AND(Table1[[#This Row],[Spec Type2]]="N/A",Table1[[#This Row],[DUT Adj Read]]="N/A",Table1[[#This Row],[Std Adj Read]]="N/A"),"N/A",IF(Table1[[#This Row],[DUT Adj Read]]="N/A",IF(Table1[[#This Row],[Std Adj Read]]&lt;Table1[[#This Row],[High Tol]],"Pass","Fail"),IF(Table1[[#This Row],[DUT Adj Read]]&lt;Table1[[#This Row],[High Tol]],"Pass","Fail")))</f>
        <v>Fail</v>
      </c>
      <c r="AF2292" s="1" t="str">
        <f>IF(AND(Table1[[#This Row],[Spec Type2]]="N/A",Table1[[#This Row],[DUT Adj Read]]="N/A",Table1[[#This Row],[Std Adj Read]]="N/A"),"N/A",IF(Table1[[#This Row],[DUT Adj Read]]="N/A",IF(Table1[[#This Row],[Std Adj Read]]&gt;=Table1[[#This Row],[Low Tol]],"Pass","Fail"),IF(Table1[[#This Row],[DUT Adj Read]]&gt;=Table1[[#This Row],[Low Tol]],"Pass","Fail")))</f>
        <v>Pass</v>
      </c>
      <c r="AG2292" s="1" t="str">
        <f>IF(AND(Table1[[#This Row],[Spec Type2]]="N/A",Table1[[#This Row],[DUT Adj Read]]="N/A",Table1[[#This Row],[Std Adj Read]]="N/A"),"N/A",IF(Table1[[#This Row],[DUT Adj Read]]="N/A",IF(Table1[[#This Row],[Std Adj Read]]&lt;=Table1[[#This Row],[High Tol]],"Pass","Fail"),IF(Table1[[#This Row],[DUT Adj Read]]&lt;=Table1[[#This Row],[High Tol]],"Pass","Fail")))</f>
        <v>Fail</v>
      </c>
      <c r="AH22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2" s="1" t="b">
        <v>0</v>
      </c>
      <c r="AN2292" s="1" t="b">
        <v>0</v>
      </c>
      <c r="AO2292" s="1" t="b">
        <v>0</v>
      </c>
    </row>
    <row r="2293" spans="1:41" x14ac:dyDescent="0.25">
      <c r="A2293" s="10"/>
      <c r="B2293" s="10"/>
      <c r="C2293" s="10"/>
      <c r="D2293" s="10"/>
      <c r="E2293" s="10"/>
      <c r="F2293" s="10"/>
      <c r="G2293" s="10"/>
      <c r="H2293" s="10"/>
      <c r="I2293" s="1" t="str">
        <f t="shared" si="105"/>
        <v/>
      </c>
      <c r="J2293" s="1" t="s">
        <v>35</v>
      </c>
      <c r="K2293" s="1" t="str">
        <f t="shared" si="106"/>
        <v/>
      </c>
      <c r="L2293" s="1" t="str">
        <f t="shared" si="107"/>
        <v/>
      </c>
      <c r="M2293" s="1">
        <f>IF(OR(Table1[[#This Row],[Std Nom]]="",Table1[[#This Row],[Std Read]]=""),0,Table1[[#This Row],[Std Nom]]-Table1[[#This Row],[Std Read]])</f>
        <v>0</v>
      </c>
      <c r="N2293" s="1">
        <f>IF(Calculations!$F$5="ACCREDITED 17025 WITH UNCERTAINTIES",$N$10,0)</f>
        <v>0</v>
      </c>
      <c r="Q2293" s="1">
        <f>Table1[[#This Row],[High Tol]]-Table1[[#This Row],[Low Tol]]</f>
        <v>0</v>
      </c>
      <c r="R2293" s="1">
        <f>2*Table1[[#This Row],[Std Error]]</f>
        <v>0</v>
      </c>
      <c r="S2293" s="1" t="str">
        <f>IF(Table1[[#This Row],[High Tol]]="","N/A",IFERROR(ABS(Table1[[#This Row],[Tol Span]]/Table1[[#This Row],[Error Span]]),"N/A"))</f>
        <v>N/A</v>
      </c>
      <c r="T2293" s="1" t="str">
        <f>IF(OR(Table1[[#This Row],[Low Tol]]="",Table1[[#This Row],[High Tol]]=""),"Needs Analysis",IF(Table1[[#This Row],[Ratio]]&gt;=4,"Not Significant",IF(Table1[[#This Row],[Ratio]]&gt;=2,"Semi-Significant","Significant")))</f>
        <v>Needs Analysis</v>
      </c>
      <c r="W2293" s="1">
        <f>IF(Table1[[#This Row],[Cal Type]]&lt;&gt;"ACCREDITED 17025 WITH UNCERTAINTIES",0,"")</f>
        <v>0</v>
      </c>
      <c r="X2293" s="1" t="str">
        <f>IF(Table1[[#This Row],[DUT Read]]="","N/A",Table1[[#This Row],[Std Error]]+Table1[[#This Row],[DUT Read]]+Table1[[#This Row],[DUT Ucty]])</f>
        <v>N/A</v>
      </c>
      <c r="Y2293" s="1" t="str">
        <f>IF(Table1[[#This Row],[Std Read]]="","N/A",Table1[[#This Row],[Std Read]]+Table1[[#This Row],[Std Ucty]])</f>
        <v>N/A</v>
      </c>
      <c r="Z22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3" s="1" t="str">
        <f>IF(Table1[[#This Row],[Spec Type]]="","N/A",Table1[[#This Row],[Spec Type]])</f>
        <v>±</v>
      </c>
      <c r="AC2293" s="1" t="str">
        <f>IF(Table1[[#This Row],[Spec Type2]]="N/A","N/A",IF(AND(Table1[[#This Row],[DUT Adj Read]]&gt;=Table1[[#This Row],[Low Tol]],Table1[[#This Row],[DUT Adj Read]]&lt;=Table1[[#This Row],[High Tol]]),"Pass","Fail"))</f>
        <v>Fail</v>
      </c>
      <c r="AD2293" s="1" t="str">
        <f>IF(AND(Table1[[#This Row],[Spec Type2]]="N/A",Table1[[#This Row],[DUT Adj Read]]="N/A",Table1[[#This Row],[Std Adj Read]]="N/A"),"N/A",IF(Table1[[#This Row],[DUT Adj Read]]="N/A",IF(Table1[[#This Row],[Std Adj Read]]&gt;Table1[[#This Row],[Low Tol]],"Pass","Fail"),IF(Table1[[#This Row],[DUT Adj Read]]&gt;Table1[[#This Row],[Low Tol]],"Pass","Fail")))</f>
        <v>Pass</v>
      </c>
      <c r="AE2293" s="1" t="str">
        <f>IF(AND(Table1[[#This Row],[Spec Type2]]="N/A",Table1[[#This Row],[DUT Adj Read]]="N/A",Table1[[#This Row],[Std Adj Read]]="N/A"),"N/A",IF(Table1[[#This Row],[DUT Adj Read]]="N/A",IF(Table1[[#This Row],[Std Adj Read]]&lt;Table1[[#This Row],[High Tol]],"Pass","Fail"),IF(Table1[[#This Row],[DUT Adj Read]]&lt;Table1[[#This Row],[High Tol]],"Pass","Fail")))</f>
        <v>Fail</v>
      </c>
      <c r="AF2293" s="1" t="str">
        <f>IF(AND(Table1[[#This Row],[Spec Type2]]="N/A",Table1[[#This Row],[DUT Adj Read]]="N/A",Table1[[#This Row],[Std Adj Read]]="N/A"),"N/A",IF(Table1[[#This Row],[DUT Adj Read]]="N/A",IF(Table1[[#This Row],[Std Adj Read]]&gt;=Table1[[#This Row],[Low Tol]],"Pass","Fail"),IF(Table1[[#This Row],[DUT Adj Read]]&gt;=Table1[[#This Row],[Low Tol]],"Pass","Fail")))</f>
        <v>Pass</v>
      </c>
      <c r="AG2293" s="1" t="str">
        <f>IF(AND(Table1[[#This Row],[Spec Type2]]="N/A",Table1[[#This Row],[DUT Adj Read]]="N/A",Table1[[#This Row],[Std Adj Read]]="N/A"),"N/A",IF(Table1[[#This Row],[DUT Adj Read]]="N/A",IF(Table1[[#This Row],[Std Adj Read]]&lt;=Table1[[#This Row],[High Tol]],"Pass","Fail"),IF(Table1[[#This Row],[DUT Adj Read]]&lt;=Table1[[#This Row],[High Tol]],"Pass","Fail")))</f>
        <v>Fail</v>
      </c>
      <c r="AH22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3" s="1" t="b">
        <v>0</v>
      </c>
      <c r="AN2293" s="1" t="b">
        <v>0</v>
      </c>
      <c r="AO2293" s="1" t="b">
        <v>0</v>
      </c>
    </row>
    <row r="2294" spans="1:41" x14ac:dyDescent="0.25">
      <c r="A2294" s="10"/>
      <c r="B2294" s="10"/>
      <c r="C2294" s="10"/>
      <c r="D2294" s="10"/>
      <c r="E2294" s="10"/>
      <c r="F2294" s="10"/>
      <c r="G2294" s="10"/>
      <c r="H2294" s="10"/>
      <c r="I2294" s="1" t="str">
        <f t="shared" si="105"/>
        <v/>
      </c>
      <c r="J2294" s="1" t="s">
        <v>35</v>
      </c>
      <c r="K2294" s="1" t="str">
        <f t="shared" si="106"/>
        <v/>
      </c>
      <c r="L2294" s="1" t="str">
        <f t="shared" si="107"/>
        <v/>
      </c>
      <c r="M2294" s="1">
        <f>IF(OR(Table1[[#This Row],[Std Nom]]="",Table1[[#This Row],[Std Read]]=""),0,Table1[[#This Row],[Std Nom]]-Table1[[#This Row],[Std Read]])</f>
        <v>0</v>
      </c>
      <c r="N2294" s="1">
        <f>IF(Calculations!$F$5="ACCREDITED 17025 WITH UNCERTAINTIES",$N$10,0)</f>
        <v>0</v>
      </c>
      <c r="Q2294" s="1">
        <f>Table1[[#This Row],[High Tol]]-Table1[[#This Row],[Low Tol]]</f>
        <v>0</v>
      </c>
      <c r="R2294" s="1">
        <f>2*Table1[[#This Row],[Std Error]]</f>
        <v>0</v>
      </c>
      <c r="S2294" s="1" t="str">
        <f>IF(Table1[[#This Row],[High Tol]]="","N/A",IFERROR(ABS(Table1[[#This Row],[Tol Span]]/Table1[[#This Row],[Error Span]]),"N/A"))</f>
        <v>N/A</v>
      </c>
      <c r="T2294" s="1" t="str">
        <f>IF(OR(Table1[[#This Row],[Low Tol]]="",Table1[[#This Row],[High Tol]]=""),"Needs Analysis",IF(Table1[[#This Row],[Ratio]]&gt;=4,"Not Significant",IF(Table1[[#This Row],[Ratio]]&gt;=2,"Semi-Significant","Significant")))</f>
        <v>Needs Analysis</v>
      </c>
      <c r="W2294" s="1">
        <f>IF(Table1[[#This Row],[Cal Type]]&lt;&gt;"ACCREDITED 17025 WITH UNCERTAINTIES",0,"")</f>
        <v>0</v>
      </c>
      <c r="X2294" s="1" t="str">
        <f>IF(Table1[[#This Row],[DUT Read]]="","N/A",Table1[[#This Row],[Std Error]]+Table1[[#This Row],[DUT Read]]+Table1[[#This Row],[DUT Ucty]])</f>
        <v>N/A</v>
      </c>
      <c r="Y2294" s="1" t="str">
        <f>IF(Table1[[#This Row],[Std Read]]="","N/A",Table1[[#This Row],[Std Read]]+Table1[[#This Row],[Std Ucty]])</f>
        <v>N/A</v>
      </c>
      <c r="Z22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4" s="1" t="str">
        <f>IF(Table1[[#This Row],[Spec Type]]="","N/A",Table1[[#This Row],[Spec Type]])</f>
        <v>±</v>
      </c>
      <c r="AC2294" s="1" t="str">
        <f>IF(Table1[[#This Row],[Spec Type2]]="N/A","N/A",IF(AND(Table1[[#This Row],[DUT Adj Read]]&gt;=Table1[[#This Row],[Low Tol]],Table1[[#This Row],[DUT Adj Read]]&lt;=Table1[[#This Row],[High Tol]]),"Pass","Fail"))</f>
        <v>Fail</v>
      </c>
      <c r="AD2294" s="1" t="str">
        <f>IF(AND(Table1[[#This Row],[Spec Type2]]="N/A",Table1[[#This Row],[DUT Adj Read]]="N/A",Table1[[#This Row],[Std Adj Read]]="N/A"),"N/A",IF(Table1[[#This Row],[DUT Adj Read]]="N/A",IF(Table1[[#This Row],[Std Adj Read]]&gt;Table1[[#This Row],[Low Tol]],"Pass","Fail"),IF(Table1[[#This Row],[DUT Adj Read]]&gt;Table1[[#This Row],[Low Tol]],"Pass","Fail")))</f>
        <v>Pass</v>
      </c>
      <c r="AE2294" s="1" t="str">
        <f>IF(AND(Table1[[#This Row],[Spec Type2]]="N/A",Table1[[#This Row],[DUT Adj Read]]="N/A",Table1[[#This Row],[Std Adj Read]]="N/A"),"N/A",IF(Table1[[#This Row],[DUT Adj Read]]="N/A",IF(Table1[[#This Row],[Std Adj Read]]&lt;Table1[[#This Row],[High Tol]],"Pass","Fail"),IF(Table1[[#This Row],[DUT Adj Read]]&lt;Table1[[#This Row],[High Tol]],"Pass","Fail")))</f>
        <v>Fail</v>
      </c>
      <c r="AF2294" s="1" t="str">
        <f>IF(AND(Table1[[#This Row],[Spec Type2]]="N/A",Table1[[#This Row],[DUT Adj Read]]="N/A",Table1[[#This Row],[Std Adj Read]]="N/A"),"N/A",IF(Table1[[#This Row],[DUT Adj Read]]="N/A",IF(Table1[[#This Row],[Std Adj Read]]&gt;=Table1[[#This Row],[Low Tol]],"Pass","Fail"),IF(Table1[[#This Row],[DUT Adj Read]]&gt;=Table1[[#This Row],[Low Tol]],"Pass","Fail")))</f>
        <v>Pass</v>
      </c>
      <c r="AG2294" s="1" t="str">
        <f>IF(AND(Table1[[#This Row],[Spec Type2]]="N/A",Table1[[#This Row],[DUT Adj Read]]="N/A",Table1[[#This Row],[Std Adj Read]]="N/A"),"N/A",IF(Table1[[#This Row],[DUT Adj Read]]="N/A",IF(Table1[[#This Row],[Std Adj Read]]&lt;=Table1[[#This Row],[High Tol]],"Pass","Fail"),IF(Table1[[#This Row],[DUT Adj Read]]&lt;=Table1[[#This Row],[High Tol]],"Pass","Fail")))</f>
        <v>Fail</v>
      </c>
      <c r="AH22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4" s="1" t="b">
        <v>0</v>
      </c>
      <c r="AN2294" s="1" t="b">
        <v>0</v>
      </c>
      <c r="AO2294" s="1" t="b">
        <v>0</v>
      </c>
    </row>
    <row r="2295" spans="1:41" x14ac:dyDescent="0.25">
      <c r="A2295" s="10"/>
      <c r="B2295" s="10"/>
      <c r="C2295" s="10"/>
      <c r="D2295" s="10"/>
      <c r="E2295" s="10"/>
      <c r="F2295" s="10"/>
      <c r="G2295" s="10"/>
      <c r="H2295" s="10"/>
      <c r="I2295" s="1" t="str">
        <f t="shared" si="105"/>
        <v/>
      </c>
      <c r="J2295" s="1" t="s">
        <v>35</v>
      </c>
      <c r="K2295" s="1" t="str">
        <f t="shared" si="106"/>
        <v/>
      </c>
      <c r="L2295" s="1" t="str">
        <f t="shared" si="107"/>
        <v/>
      </c>
      <c r="M2295" s="1">
        <f>IF(OR(Table1[[#This Row],[Std Nom]]="",Table1[[#This Row],[Std Read]]=""),0,Table1[[#This Row],[Std Nom]]-Table1[[#This Row],[Std Read]])</f>
        <v>0</v>
      </c>
      <c r="N2295" s="1">
        <f>IF(Calculations!$F$5="ACCREDITED 17025 WITH UNCERTAINTIES",$N$10,0)</f>
        <v>0</v>
      </c>
      <c r="Q2295" s="1">
        <f>Table1[[#This Row],[High Tol]]-Table1[[#This Row],[Low Tol]]</f>
        <v>0</v>
      </c>
      <c r="R2295" s="1">
        <f>2*Table1[[#This Row],[Std Error]]</f>
        <v>0</v>
      </c>
      <c r="S2295" s="1" t="str">
        <f>IF(Table1[[#This Row],[High Tol]]="","N/A",IFERROR(ABS(Table1[[#This Row],[Tol Span]]/Table1[[#This Row],[Error Span]]),"N/A"))</f>
        <v>N/A</v>
      </c>
      <c r="T2295" s="1" t="str">
        <f>IF(OR(Table1[[#This Row],[Low Tol]]="",Table1[[#This Row],[High Tol]]=""),"Needs Analysis",IF(Table1[[#This Row],[Ratio]]&gt;=4,"Not Significant",IF(Table1[[#This Row],[Ratio]]&gt;=2,"Semi-Significant","Significant")))</f>
        <v>Needs Analysis</v>
      </c>
      <c r="W2295" s="1">
        <f>IF(Table1[[#This Row],[Cal Type]]&lt;&gt;"ACCREDITED 17025 WITH UNCERTAINTIES",0,"")</f>
        <v>0</v>
      </c>
      <c r="X2295" s="1" t="str">
        <f>IF(Table1[[#This Row],[DUT Read]]="","N/A",Table1[[#This Row],[Std Error]]+Table1[[#This Row],[DUT Read]]+Table1[[#This Row],[DUT Ucty]])</f>
        <v>N/A</v>
      </c>
      <c r="Y2295" s="1" t="str">
        <f>IF(Table1[[#This Row],[Std Read]]="","N/A",Table1[[#This Row],[Std Read]]+Table1[[#This Row],[Std Ucty]])</f>
        <v>N/A</v>
      </c>
      <c r="Z22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5" s="1" t="str">
        <f>IF(Table1[[#This Row],[Spec Type]]="","N/A",Table1[[#This Row],[Spec Type]])</f>
        <v>±</v>
      </c>
      <c r="AC2295" s="1" t="str">
        <f>IF(Table1[[#This Row],[Spec Type2]]="N/A","N/A",IF(AND(Table1[[#This Row],[DUT Adj Read]]&gt;=Table1[[#This Row],[Low Tol]],Table1[[#This Row],[DUT Adj Read]]&lt;=Table1[[#This Row],[High Tol]]),"Pass","Fail"))</f>
        <v>Fail</v>
      </c>
      <c r="AD2295" s="1" t="str">
        <f>IF(AND(Table1[[#This Row],[Spec Type2]]="N/A",Table1[[#This Row],[DUT Adj Read]]="N/A",Table1[[#This Row],[Std Adj Read]]="N/A"),"N/A",IF(Table1[[#This Row],[DUT Adj Read]]="N/A",IF(Table1[[#This Row],[Std Adj Read]]&gt;Table1[[#This Row],[Low Tol]],"Pass","Fail"),IF(Table1[[#This Row],[DUT Adj Read]]&gt;Table1[[#This Row],[Low Tol]],"Pass","Fail")))</f>
        <v>Pass</v>
      </c>
      <c r="AE2295" s="1" t="str">
        <f>IF(AND(Table1[[#This Row],[Spec Type2]]="N/A",Table1[[#This Row],[DUT Adj Read]]="N/A",Table1[[#This Row],[Std Adj Read]]="N/A"),"N/A",IF(Table1[[#This Row],[DUT Adj Read]]="N/A",IF(Table1[[#This Row],[Std Adj Read]]&lt;Table1[[#This Row],[High Tol]],"Pass","Fail"),IF(Table1[[#This Row],[DUT Adj Read]]&lt;Table1[[#This Row],[High Tol]],"Pass","Fail")))</f>
        <v>Fail</v>
      </c>
      <c r="AF2295" s="1" t="str">
        <f>IF(AND(Table1[[#This Row],[Spec Type2]]="N/A",Table1[[#This Row],[DUT Adj Read]]="N/A",Table1[[#This Row],[Std Adj Read]]="N/A"),"N/A",IF(Table1[[#This Row],[DUT Adj Read]]="N/A",IF(Table1[[#This Row],[Std Adj Read]]&gt;=Table1[[#This Row],[Low Tol]],"Pass","Fail"),IF(Table1[[#This Row],[DUT Adj Read]]&gt;=Table1[[#This Row],[Low Tol]],"Pass","Fail")))</f>
        <v>Pass</v>
      </c>
      <c r="AG2295" s="1" t="str">
        <f>IF(AND(Table1[[#This Row],[Spec Type2]]="N/A",Table1[[#This Row],[DUT Adj Read]]="N/A",Table1[[#This Row],[Std Adj Read]]="N/A"),"N/A",IF(Table1[[#This Row],[DUT Adj Read]]="N/A",IF(Table1[[#This Row],[Std Adj Read]]&lt;=Table1[[#This Row],[High Tol]],"Pass","Fail"),IF(Table1[[#This Row],[DUT Adj Read]]&lt;=Table1[[#This Row],[High Tol]],"Pass","Fail")))</f>
        <v>Fail</v>
      </c>
      <c r="AH22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5" s="1" t="b">
        <v>0</v>
      </c>
      <c r="AN2295" s="1" t="b">
        <v>0</v>
      </c>
      <c r="AO2295" s="1" t="b">
        <v>0</v>
      </c>
    </row>
    <row r="2296" spans="1:41" x14ac:dyDescent="0.25">
      <c r="A2296" s="10"/>
      <c r="B2296" s="10"/>
      <c r="C2296" s="10"/>
      <c r="D2296" s="10"/>
      <c r="E2296" s="10"/>
      <c r="F2296" s="10"/>
      <c r="G2296" s="10"/>
      <c r="H2296" s="10"/>
      <c r="I2296" s="1" t="str">
        <f t="shared" si="105"/>
        <v/>
      </c>
      <c r="J2296" s="1" t="s">
        <v>35</v>
      </c>
      <c r="K2296" s="1" t="str">
        <f t="shared" si="106"/>
        <v/>
      </c>
      <c r="L2296" s="1" t="str">
        <f t="shared" si="107"/>
        <v/>
      </c>
      <c r="M2296" s="1">
        <f>IF(OR(Table1[[#This Row],[Std Nom]]="",Table1[[#This Row],[Std Read]]=""),0,Table1[[#This Row],[Std Nom]]-Table1[[#This Row],[Std Read]])</f>
        <v>0</v>
      </c>
      <c r="N2296" s="1">
        <f>IF(Calculations!$F$5="ACCREDITED 17025 WITH UNCERTAINTIES",$N$10,0)</f>
        <v>0</v>
      </c>
      <c r="Q2296" s="1">
        <f>Table1[[#This Row],[High Tol]]-Table1[[#This Row],[Low Tol]]</f>
        <v>0</v>
      </c>
      <c r="R2296" s="1">
        <f>2*Table1[[#This Row],[Std Error]]</f>
        <v>0</v>
      </c>
      <c r="S2296" s="1" t="str">
        <f>IF(Table1[[#This Row],[High Tol]]="","N/A",IFERROR(ABS(Table1[[#This Row],[Tol Span]]/Table1[[#This Row],[Error Span]]),"N/A"))</f>
        <v>N/A</v>
      </c>
      <c r="T2296" s="1" t="str">
        <f>IF(OR(Table1[[#This Row],[Low Tol]]="",Table1[[#This Row],[High Tol]]=""),"Needs Analysis",IF(Table1[[#This Row],[Ratio]]&gt;=4,"Not Significant",IF(Table1[[#This Row],[Ratio]]&gt;=2,"Semi-Significant","Significant")))</f>
        <v>Needs Analysis</v>
      </c>
      <c r="W2296" s="1">
        <f>IF(Table1[[#This Row],[Cal Type]]&lt;&gt;"ACCREDITED 17025 WITH UNCERTAINTIES",0,"")</f>
        <v>0</v>
      </c>
      <c r="X2296" s="1" t="str">
        <f>IF(Table1[[#This Row],[DUT Read]]="","N/A",Table1[[#This Row],[Std Error]]+Table1[[#This Row],[DUT Read]]+Table1[[#This Row],[DUT Ucty]])</f>
        <v>N/A</v>
      </c>
      <c r="Y2296" s="1" t="str">
        <f>IF(Table1[[#This Row],[Std Read]]="","N/A",Table1[[#This Row],[Std Read]]+Table1[[#This Row],[Std Ucty]])</f>
        <v>N/A</v>
      </c>
      <c r="Z22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6" s="1" t="str">
        <f>IF(Table1[[#This Row],[Spec Type]]="","N/A",Table1[[#This Row],[Spec Type]])</f>
        <v>±</v>
      </c>
      <c r="AC2296" s="1" t="str">
        <f>IF(Table1[[#This Row],[Spec Type2]]="N/A","N/A",IF(AND(Table1[[#This Row],[DUT Adj Read]]&gt;=Table1[[#This Row],[Low Tol]],Table1[[#This Row],[DUT Adj Read]]&lt;=Table1[[#This Row],[High Tol]]),"Pass","Fail"))</f>
        <v>Fail</v>
      </c>
      <c r="AD2296" s="1" t="str">
        <f>IF(AND(Table1[[#This Row],[Spec Type2]]="N/A",Table1[[#This Row],[DUT Adj Read]]="N/A",Table1[[#This Row],[Std Adj Read]]="N/A"),"N/A",IF(Table1[[#This Row],[DUT Adj Read]]="N/A",IF(Table1[[#This Row],[Std Adj Read]]&gt;Table1[[#This Row],[Low Tol]],"Pass","Fail"),IF(Table1[[#This Row],[DUT Adj Read]]&gt;Table1[[#This Row],[Low Tol]],"Pass","Fail")))</f>
        <v>Pass</v>
      </c>
      <c r="AE2296" s="1" t="str">
        <f>IF(AND(Table1[[#This Row],[Spec Type2]]="N/A",Table1[[#This Row],[DUT Adj Read]]="N/A",Table1[[#This Row],[Std Adj Read]]="N/A"),"N/A",IF(Table1[[#This Row],[DUT Adj Read]]="N/A",IF(Table1[[#This Row],[Std Adj Read]]&lt;Table1[[#This Row],[High Tol]],"Pass","Fail"),IF(Table1[[#This Row],[DUT Adj Read]]&lt;Table1[[#This Row],[High Tol]],"Pass","Fail")))</f>
        <v>Fail</v>
      </c>
      <c r="AF2296" s="1" t="str">
        <f>IF(AND(Table1[[#This Row],[Spec Type2]]="N/A",Table1[[#This Row],[DUT Adj Read]]="N/A",Table1[[#This Row],[Std Adj Read]]="N/A"),"N/A",IF(Table1[[#This Row],[DUT Adj Read]]="N/A",IF(Table1[[#This Row],[Std Adj Read]]&gt;=Table1[[#This Row],[Low Tol]],"Pass","Fail"),IF(Table1[[#This Row],[DUT Adj Read]]&gt;=Table1[[#This Row],[Low Tol]],"Pass","Fail")))</f>
        <v>Pass</v>
      </c>
      <c r="AG2296" s="1" t="str">
        <f>IF(AND(Table1[[#This Row],[Spec Type2]]="N/A",Table1[[#This Row],[DUT Adj Read]]="N/A",Table1[[#This Row],[Std Adj Read]]="N/A"),"N/A",IF(Table1[[#This Row],[DUT Adj Read]]="N/A",IF(Table1[[#This Row],[Std Adj Read]]&lt;=Table1[[#This Row],[High Tol]],"Pass","Fail"),IF(Table1[[#This Row],[DUT Adj Read]]&lt;=Table1[[#This Row],[High Tol]],"Pass","Fail")))</f>
        <v>Fail</v>
      </c>
      <c r="AH22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6" s="1" t="b">
        <v>0</v>
      </c>
      <c r="AN2296" s="1" t="b">
        <v>0</v>
      </c>
      <c r="AO2296" s="1" t="b">
        <v>0</v>
      </c>
    </row>
    <row r="2297" spans="1:41" x14ac:dyDescent="0.25">
      <c r="A2297" s="10"/>
      <c r="B2297" s="10"/>
      <c r="C2297" s="10"/>
      <c r="D2297" s="10"/>
      <c r="E2297" s="10"/>
      <c r="F2297" s="10"/>
      <c r="G2297" s="10"/>
      <c r="H2297" s="10"/>
      <c r="I2297" s="1" t="str">
        <f t="shared" si="105"/>
        <v/>
      </c>
      <c r="J2297" s="1" t="s">
        <v>35</v>
      </c>
      <c r="K2297" s="1" t="str">
        <f t="shared" si="106"/>
        <v/>
      </c>
      <c r="L2297" s="1" t="str">
        <f t="shared" si="107"/>
        <v/>
      </c>
      <c r="M2297" s="1">
        <f>IF(OR(Table1[[#This Row],[Std Nom]]="",Table1[[#This Row],[Std Read]]=""),0,Table1[[#This Row],[Std Nom]]-Table1[[#This Row],[Std Read]])</f>
        <v>0</v>
      </c>
      <c r="N2297" s="1">
        <f>IF(Calculations!$F$5="ACCREDITED 17025 WITH UNCERTAINTIES",$N$10,0)</f>
        <v>0</v>
      </c>
      <c r="Q2297" s="1">
        <f>Table1[[#This Row],[High Tol]]-Table1[[#This Row],[Low Tol]]</f>
        <v>0</v>
      </c>
      <c r="R2297" s="1">
        <f>2*Table1[[#This Row],[Std Error]]</f>
        <v>0</v>
      </c>
      <c r="S2297" s="1" t="str">
        <f>IF(Table1[[#This Row],[High Tol]]="","N/A",IFERROR(ABS(Table1[[#This Row],[Tol Span]]/Table1[[#This Row],[Error Span]]),"N/A"))</f>
        <v>N/A</v>
      </c>
      <c r="T2297" s="1" t="str">
        <f>IF(OR(Table1[[#This Row],[Low Tol]]="",Table1[[#This Row],[High Tol]]=""),"Needs Analysis",IF(Table1[[#This Row],[Ratio]]&gt;=4,"Not Significant",IF(Table1[[#This Row],[Ratio]]&gt;=2,"Semi-Significant","Significant")))</f>
        <v>Needs Analysis</v>
      </c>
      <c r="W2297" s="1">
        <f>IF(Table1[[#This Row],[Cal Type]]&lt;&gt;"ACCREDITED 17025 WITH UNCERTAINTIES",0,"")</f>
        <v>0</v>
      </c>
      <c r="X2297" s="1" t="str">
        <f>IF(Table1[[#This Row],[DUT Read]]="","N/A",Table1[[#This Row],[Std Error]]+Table1[[#This Row],[DUT Read]]+Table1[[#This Row],[DUT Ucty]])</f>
        <v>N/A</v>
      </c>
      <c r="Y2297" s="1" t="str">
        <f>IF(Table1[[#This Row],[Std Read]]="","N/A",Table1[[#This Row],[Std Read]]+Table1[[#This Row],[Std Ucty]])</f>
        <v>N/A</v>
      </c>
      <c r="Z22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7" s="1" t="str">
        <f>IF(Table1[[#This Row],[Spec Type]]="","N/A",Table1[[#This Row],[Spec Type]])</f>
        <v>±</v>
      </c>
      <c r="AC2297" s="1" t="str">
        <f>IF(Table1[[#This Row],[Spec Type2]]="N/A","N/A",IF(AND(Table1[[#This Row],[DUT Adj Read]]&gt;=Table1[[#This Row],[Low Tol]],Table1[[#This Row],[DUT Adj Read]]&lt;=Table1[[#This Row],[High Tol]]),"Pass","Fail"))</f>
        <v>Fail</v>
      </c>
      <c r="AD2297" s="1" t="str">
        <f>IF(AND(Table1[[#This Row],[Spec Type2]]="N/A",Table1[[#This Row],[DUT Adj Read]]="N/A",Table1[[#This Row],[Std Adj Read]]="N/A"),"N/A",IF(Table1[[#This Row],[DUT Adj Read]]="N/A",IF(Table1[[#This Row],[Std Adj Read]]&gt;Table1[[#This Row],[Low Tol]],"Pass","Fail"),IF(Table1[[#This Row],[DUT Adj Read]]&gt;Table1[[#This Row],[Low Tol]],"Pass","Fail")))</f>
        <v>Pass</v>
      </c>
      <c r="AE2297" s="1" t="str">
        <f>IF(AND(Table1[[#This Row],[Spec Type2]]="N/A",Table1[[#This Row],[DUT Adj Read]]="N/A",Table1[[#This Row],[Std Adj Read]]="N/A"),"N/A",IF(Table1[[#This Row],[DUT Adj Read]]="N/A",IF(Table1[[#This Row],[Std Adj Read]]&lt;Table1[[#This Row],[High Tol]],"Pass","Fail"),IF(Table1[[#This Row],[DUT Adj Read]]&lt;Table1[[#This Row],[High Tol]],"Pass","Fail")))</f>
        <v>Fail</v>
      </c>
      <c r="AF2297" s="1" t="str">
        <f>IF(AND(Table1[[#This Row],[Spec Type2]]="N/A",Table1[[#This Row],[DUT Adj Read]]="N/A",Table1[[#This Row],[Std Adj Read]]="N/A"),"N/A",IF(Table1[[#This Row],[DUT Adj Read]]="N/A",IF(Table1[[#This Row],[Std Adj Read]]&gt;=Table1[[#This Row],[Low Tol]],"Pass","Fail"),IF(Table1[[#This Row],[DUT Adj Read]]&gt;=Table1[[#This Row],[Low Tol]],"Pass","Fail")))</f>
        <v>Pass</v>
      </c>
      <c r="AG2297" s="1" t="str">
        <f>IF(AND(Table1[[#This Row],[Spec Type2]]="N/A",Table1[[#This Row],[DUT Adj Read]]="N/A",Table1[[#This Row],[Std Adj Read]]="N/A"),"N/A",IF(Table1[[#This Row],[DUT Adj Read]]="N/A",IF(Table1[[#This Row],[Std Adj Read]]&lt;=Table1[[#This Row],[High Tol]],"Pass","Fail"),IF(Table1[[#This Row],[DUT Adj Read]]&lt;=Table1[[#This Row],[High Tol]],"Pass","Fail")))</f>
        <v>Fail</v>
      </c>
      <c r="AH22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7" s="1" t="b">
        <v>0</v>
      </c>
      <c r="AN2297" s="1" t="b">
        <v>0</v>
      </c>
      <c r="AO2297" s="1" t="b">
        <v>0</v>
      </c>
    </row>
    <row r="2298" spans="1:41" x14ac:dyDescent="0.25">
      <c r="A2298" s="10"/>
      <c r="B2298" s="10"/>
      <c r="C2298" s="10"/>
      <c r="D2298" s="10"/>
      <c r="E2298" s="10"/>
      <c r="F2298" s="10"/>
      <c r="G2298" s="10"/>
      <c r="H2298" s="10"/>
      <c r="I2298" s="1" t="str">
        <f t="shared" si="105"/>
        <v/>
      </c>
      <c r="J2298" s="1" t="s">
        <v>35</v>
      </c>
      <c r="K2298" s="1" t="str">
        <f t="shared" si="106"/>
        <v/>
      </c>
      <c r="L2298" s="1" t="str">
        <f t="shared" si="107"/>
        <v/>
      </c>
      <c r="M2298" s="1">
        <f>IF(OR(Table1[[#This Row],[Std Nom]]="",Table1[[#This Row],[Std Read]]=""),0,Table1[[#This Row],[Std Nom]]-Table1[[#This Row],[Std Read]])</f>
        <v>0</v>
      </c>
      <c r="N2298" s="1">
        <f>IF(Calculations!$F$5="ACCREDITED 17025 WITH UNCERTAINTIES",$N$10,0)</f>
        <v>0</v>
      </c>
      <c r="Q2298" s="1">
        <f>Table1[[#This Row],[High Tol]]-Table1[[#This Row],[Low Tol]]</f>
        <v>0</v>
      </c>
      <c r="R2298" s="1">
        <f>2*Table1[[#This Row],[Std Error]]</f>
        <v>0</v>
      </c>
      <c r="S2298" s="1" t="str">
        <f>IF(Table1[[#This Row],[High Tol]]="","N/A",IFERROR(ABS(Table1[[#This Row],[Tol Span]]/Table1[[#This Row],[Error Span]]),"N/A"))</f>
        <v>N/A</v>
      </c>
      <c r="T2298" s="1" t="str">
        <f>IF(OR(Table1[[#This Row],[Low Tol]]="",Table1[[#This Row],[High Tol]]=""),"Needs Analysis",IF(Table1[[#This Row],[Ratio]]&gt;=4,"Not Significant",IF(Table1[[#This Row],[Ratio]]&gt;=2,"Semi-Significant","Significant")))</f>
        <v>Needs Analysis</v>
      </c>
      <c r="W2298" s="1">
        <f>IF(Table1[[#This Row],[Cal Type]]&lt;&gt;"ACCREDITED 17025 WITH UNCERTAINTIES",0,"")</f>
        <v>0</v>
      </c>
      <c r="X2298" s="1" t="str">
        <f>IF(Table1[[#This Row],[DUT Read]]="","N/A",Table1[[#This Row],[Std Error]]+Table1[[#This Row],[DUT Read]]+Table1[[#This Row],[DUT Ucty]])</f>
        <v>N/A</v>
      </c>
      <c r="Y2298" s="1" t="str">
        <f>IF(Table1[[#This Row],[Std Read]]="","N/A",Table1[[#This Row],[Std Read]]+Table1[[#This Row],[Std Ucty]])</f>
        <v>N/A</v>
      </c>
      <c r="Z22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8" s="1" t="str">
        <f>IF(Table1[[#This Row],[Spec Type]]="","N/A",Table1[[#This Row],[Spec Type]])</f>
        <v>±</v>
      </c>
      <c r="AC2298" s="1" t="str">
        <f>IF(Table1[[#This Row],[Spec Type2]]="N/A","N/A",IF(AND(Table1[[#This Row],[DUT Adj Read]]&gt;=Table1[[#This Row],[Low Tol]],Table1[[#This Row],[DUT Adj Read]]&lt;=Table1[[#This Row],[High Tol]]),"Pass","Fail"))</f>
        <v>Fail</v>
      </c>
      <c r="AD2298" s="1" t="str">
        <f>IF(AND(Table1[[#This Row],[Spec Type2]]="N/A",Table1[[#This Row],[DUT Adj Read]]="N/A",Table1[[#This Row],[Std Adj Read]]="N/A"),"N/A",IF(Table1[[#This Row],[DUT Adj Read]]="N/A",IF(Table1[[#This Row],[Std Adj Read]]&gt;Table1[[#This Row],[Low Tol]],"Pass","Fail"),IF(Table1[[#This Row],[DUT Adj Read]]&gt;Table1[[#This Row],[Low Tol]],"Pass","Fail")))</f>
        <v>Pass</v>
      </c>
      <c r="AE2298" s="1" t="str">
        <f>IF(AND(Table1[[#This Row],[Spec Type2]]="N/A",Table1[[#This Row],[DUT Adj Read]]="N/A",Table1[[#This Row],[Std Adj Read]]="N/A"),"N/A",IF(Table1[[#This Row],[DUT Adj Read]]="N/A",IF(Table1[[#This Row],[Std Adj Read]]&lt;Table1[[#This Row],[High Tol]],"Pass","Fail"),IF(Table1[[#This Row],[DUT Adj Read]]&lt;Table1[[#This Row],[High Tol]],"Pass","Fail")))</f>
        <v>Fail</v>
      </c>
      <c r="AF2298" s="1" t="str">
        <f>IF(AND(Table1[[#This Row],[Spec Type2]]="N/A",Table1[[#This Row],[DUT Adj Read]]="N/A",Table1[[#This Row],[Std Adj Read]]="N/A"),"N/A",IF(Table1[[#This Row],[DUT Adj Read]]="N/A",IF(Table1[[#This Row],[Std Adj Read]]&gt;=Table1[[#This Row],[Low Tol]],"Pass","Fail"),IF(Table1[[#This Row],[DUT Adj Read]]&gt;=Table1[[#This Row],[Low Tol]],"Pass","Fail")))</f>
        <v>Pass</v>
      </c>
      <c r="AG2298" s="1" t="str">
        <f>IF(AND(Table1[[#This Row],[Spec Type2]]="N/A",Table1[[#This Row],[DUT Adj Read]]="N/A",Table1[[#This Row],[Std Adj Read]]="N/A"),"N/A",IF(Table1[[#This Row],[DUT Adj Read]]="N/A",IF(Table1[[#This Row],[Std Adj Read]]&lt;=Table1[[#This Row],[High Tol]],"Pass","Fail"),IF(Table1[[#This Row],[DUT Adj Read]]&lt;=Table1[[#This Row],[High Tol]],"Pass","Fail")))</f>
        <v>Fail</v>
      </c>
      <c r="AH22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8" s="1" t="b">
        <v>0</v>
      </c>
      <c r="AN2298" s="1" t="b">
        <v>0</v>
      </c>
      <c r="AO2298" s="1" t="b">
        <v>0</v>
      </c>
    </row>
    <row r="2299" spans="1:41" x14ac:dyDescent="0.25">
      <c r="A2299" s="10"/>
      <c r="B2299" s="10"/>
      <c r="C2299" s="10"/>
      <c r="D2299" s="10"/>
      <c r="E2299" s="10"/>
      <c r="F2299" s="10"/>
      <c r="G2299" s="10"/>
      <c r="H2299" s="10"/>
      <c r="I2299" s="1" t="str">
        <f t="shared" si="105"/>
        <v/>
      </c>
      <c r="J2299" s="1" t="s">
        <v>35</v>
      </c>
      <c r="K2299" s="1" t="str">
        <f t="shared" si="106"/>
        <v/>
      </c>
      <c r="L2299" s="1" t="str">
        <f t="shared" si="107"/>
        <v/>
      </c>
      <c r="M2299" s="1">
        <f>IF(OR(Table1[[#This Row],[Std Nom]]="",Table1[[#This Row],[Std Read]]=""),0,Table1[[#This Row],[Std Nom]]-Table1[[#This Row],[Std Read]])</f>
        <v>0</v>
      </c>
      <c r="N2299" s="1">
        <f>IF(Calculations!$F$5="ACCREDITED 17025 WITH UNCERTAINTIES",$N$10,0)</f>
        <v>0</v>
      </c>
      <c r="Q2299" s="1">
        <f>Table1[[#This Row],[High Tol]]-Table1[[#This Row],[Low Tol]]</f>
        <v>0</v>
      </c>
      <c r="R2299" s="1">
        <f>2*Table1[[#This Row],[Std Error]]</f>
        <v>0</v>
      </c>
      <c r="S2299" s="1" t="str">
        <f>IF(Table1[[#This Row],[High Tol]]="","N/A",IFERROR(ABS(Table1[[#This Row],[Tol Span]]/Table1[[#This Row],[Error Span]]),"N/A"))</f>
        <v>N/A</v>
      </c>
      <c r="T2299" s="1" t="str">
        <f>IF(OR(Table1[[#This Row],[Low Tol]]="",Table1[[#This Row],[High Tol]]=""),"Needs Analysis",IF(Table1[[#This Row],[Ratio]]&gt;=4,"Not Significant",IF(Table1[[#This Row],[Ratio]]&gt;=2,"Semi-Significant","Significant")))</f>
        <v>Needs Analysis</v>
      </c>
      <c r="W2299" s="1">
        <f>IF(Table1[[#This Row],[Cal Type]]&lt;&gt;"ACCREDITED 17025 WITH UNCERTAINTIES",0,"")</f>
        <v>0</v>
      </c>
      <c r="X2299" s="1" t="str">
        <f>IF(Table1[[#This Row],[DUT Read]]="","N/A",Table1[[#This Row],[Std Error]]+Table1[[#This Row],[DUT Read]]+Table1[[#This Row],[DUT Ucty]])</f>
        <v>N/A</v>
      </c>
      <c r="Y2299" s="1" t="str">
        <f>IF(Table1[[#This Row],[Std Read]]="","N/A",Table1[[#This Row],[Std Read]]+Table1[[#This Row],[Std Ucty]])</f>
        <v>N/A</v>
      </c>
      <c r="Z22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299" s="1" t="str">
        <f>IF(Table1[[#This Row],[Spec Type]]="","N/A",Table1[[#This Row],[Spec Type]])</f>
        <v>±</v>
      </c>
      <c r="AC2299" s="1" t="str">
        <f>IF(Table1[[#This Row],[Spec Type2]]="N/A","N/A",IF(AND(Table1[[#This Row],[DUT Adj Read]]&gt;=Table1[[#This Row],[Low Tol]],Table1[[#This Row],[DUT Adj Read]]&lt;=Table1[[#This Row],[High Tol]]),"Pass","Fail"))</f>
        <v>Fail</v>
      </c>
      <c r="AD2299" s="1" t="str">
        <f>IF(AND(Table1[[#This Row],[Spec Type2]]="N/A",Table1[[#This Row],[DUT Adj Read]]="N/A",Table1[[#This Row],[Std Adj Read]]="N/A"),"N/A",IF(Table1[[#This Row],[DUT Adj Read]]="N/A",IF(Table1[[#This Row],[Std Adj Read]]&gt;Table1[[#This Row],[Low Tol]],"Pass","Fail"),IF(Table1[[#This Row],[DUT Adj Read]]&gt;Table1[[#This Row],[Low Tol]],"Pass","Fail")))</f>
        <v>Pass</v>
      </c>
      <c r="AE2299" s="1" t="str">
        <f>IF(AND(Table1[[#This Row],[Spec Type2]]="N/A",Table1[[#This Row],[DUT Adj Read]]="N/A",Table1[[#This Row],[Std Adj Read]]="N/A"),"N/A",IF(Table1[[#This Row],[DUT Adj Read]]="N/A",IF(Table1[[#This Row],[Std Adj Read]]&lt;Table1[[#This Row],[High Tol]],"Pass","Fail"),IF(Table1[[#This Row],[DUT Adj Read]]&lt;Table1[[#This Row],[High Tol]],"Pass","Fail")))</f>
        <v>Fail</v>
      </c>
      <c r="AF2299" s="1" t="str">
        <f>IF(AND(Table1[[#This Row],[Spec Type2]]="N/A",Table1[[#This Row],[DUT Adj Read]]="N/A",Table1[[#This Row],[Std Adj Read]]="N/A"),"N/A",IF(Table1[[#This Row],[DUT Adj Read]]="N/A",IF(Table1[[#This Row],[Std Adj Read]]&gt;=Table1[[#This Row],[Low Tol]],"Pass","Fail"),IF(Table1[[#This Row],[DUT Adj Read]]&gt;=Table1[[#This Row],[Low Tol]],"Pass","Fail")))</f>
        <v>Pass</v>
      </c>
      <c r="AG2299" s="1" t="str">
        <f>IF(AND(Table1[[#This Row],[Spec Type2]]="N/A",Table1[[#This Row],[DUT Adj Read]]="N/A",Table1[[#This Row],[Std Adj Read]]="N/A"),"N/A",IF(Table1[[#This Row],[DUT Adj Read]]="N/A",IF(Table1[[#This Row],[Std Adj Read]]&lt;=Table1[[#This Row],[High Tol]],"Pass","Fail"),IF(Table1[[#This Row],[DUT Adj Read]]&lt;=Table1[[#This Row],[High Tol]],"Pass","Fail")))</f>
        <v>Fail</v>
      </c>
      <c r="AH22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299" s="1" t="b">
        <v>0</v>
      </c>
      <c r="AN2299" s="1" t="b">
        <v>0</v>
      </c>
      <c r="AO2299" s="1" t="b">
        <v>0</v>
      </c>
    </row>
    <row r="2300" spans="1:41" x14ac:dyDescent="0.25">
      <c r="A2300" s="10"/>
      <c r="B2300" s="10"/>
      <c r="C2300" s="10"/>
      <c r="D2300" s="10"/>
      <c r="E2300" s="10"/>
      <c r="F2300" s="10"/>
      <c r="G2300" s="10"/>
      <c r="H2300" s="10"/>
      <c r="I2300" s="1" t="str">
        <f t="shared" si="105"/>
        <v/>
      </c>
      <c r="J2300" s="1" t="s">
        <v>35</v>
      </c>
      <c r="K2300" s="1" t="str">
        <f t="shared" si="106"/>
        <v/>
      </c>
      <c r="L2300" s="1" t="str">
        <f t="shared" si="107"/>
        <v/>
      </c>
      <c r="M2300" s="1">
        <f>IF(OR(Table1[[#This Row],[Std Nom]]="",Table1[[#This Row],[Std Read]]=""),0,Table1[[#This Row],[Std Nom]]-Table1[[#This Row],[Std Read]])</f>
        <v>0</v>
      </c>
      <c r="N2300" s="1">
        <f>IF(Calculations!$F$5="ACCREDITED 17025 WITH UNCERTAINTIES",$N$10,0)</f>
        <v>0</v>
      </c>
      <c r="Q2300" s="1">
        <f>Table1[[#This Row],[High Tol]]-Table1[[#This Row],[Low Tol]]</f>
        <v>0</v>
      </c>
      <c r="R2300" s="1">
        <f>2*Table1[[#This Row],[Std Error]]</f>
        <v>0</v>
      </c>
      <c r="S2300" s="1" t="str">
        <f>IF(Table1[[#This Row],[High Tol]]="","N/A",IFERROR(ABS(Table1[[#This Row],[Tol Span]]/Table1[[#This Row],[Error Span]]),"N/A"))</f>
        <v>N/A</v>
      </c>
      <c r="T2300" s="1" t="str">
        <f>IF(OR(Table1[[#This Row],[Low Tol]]="",Table1[[#This Row],[High Tol]]=""),"Needs Analysis",IF(Table1[[#This Row],[Ratio]]&gt;=4,"Not Significant",IF(Table1[[#This Row],[Ratio]]&gt;=2,"Semi-Significant","Significant")))</f>
        <v>Needs Analysis</v>
      </c>
      <c r="W2300" s="1">
        <f>IF(Table1[[#This Row],[Cal Type]]&lt;&gt;"ACCREDITED 17025 WITH UNCERTAINTIES",0,"")</f>
        <v>0</v>
      </c>
      <c r="X2300" s="1" t="str">
        <f>IF(Table1[[#This Row],[DUT Read]]="","N/A",Table1[[#This Row],[Std Error]]+Table1[[#This Row],[DUT Read]]+Table1[[#This Row],[DUT Ucty]])</f>
        <v>N/A</v>
      </c>
      <c r="Y2300" s="1" t="str">
        <f>IF(Table1[[#This Row],[Std Read]]="","N/A",Table1[[#This Row],[Std Read]]+Table1[[#This Row],[Std Ucty]])</f>
        <v>N/A</v>
      </c>
      <c r="Z23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0" s="1" t="str">
        <f>IF(Table1[[#This Row],[Spec Type]]="","N/A",Table1[[#This Row],[Spec Type]])</f>
        <v>±</v>
      </c>
      <c r="AC2300" s="1" t="str">
        <f>IF(Table1[[#This Row],[Spec Type2]]="N/A","N/A",IF(AND(Table1[[#This Row],[DUT Adj Read]]&gt;=Table1[[#This Row],[Low Tol]],Table1[[#This Row],[DUT Adj Read]]&lt;=Table1[[#This Row],[High Tol]]),"Pass","Fail"))</f>
        <v>Fail</v>
      </c>
      <c r="AD2300" s="1" t="str">
        <f>IF(AND(Table1[[#This Row],[Spec Type2]]="N/A",Table1[[#This Row],[DUT Adj Read]]="N/A",Table1[[#This Row],[Std Adj Read]]="N/A"),"N/A",IF(Table1[[#This Row],[DUT Adj Read]]="N/A",IF(Table1[[#This Row],[Std Adj Read]]&gt;Table1[[#This Row],[Low Tol]],"Pass","Fail"),IF(Table1[[#This Row],[DUT Adj Read]]&gt;Table1[[#This Row],[Low Tol]],"Pass","Fail")))</f>
        <v>Pass</v>
      </c>
      <c r="AE2300" s="1" t="str">
        <f>IF(AND(Table1[[#This Row],[Spec Type2]]="N/A",Table1[[#This Row],[DUT Adj Read]]="N/A",Table1[[#This Row],[Std Adj Read]]="N/A"),"N/A",IF(Table1[[#This Row],[DUT Adj Read]]="N/A",IF(Table1[[#This Row],[Std Adj Read]]&lt;Table1[[#This Row],[High Tol]],"Pass","Fail"),IF(Table1[[#This Row],[DUT Adj Read]]&lt;Table1[[#This Row],[High Tol]],"Pass","Fail")))</f>
        <v>Fail</v>
      </c>
      <c r="AF2300" s="1" t="str">
        <f>IF(AND(Table1[[#This Row],[Spec Type2]]="N/A",Table1[[#This Row],[DUT Adj Read]]="N/A",Table1[[#This Row],[Std Adj Read]]="N/A"),"N/A",IF(Table1[[#This Row],[DUT Adj Read]]="N/A",IF(Table1[[#This Row],[Std Adj Read]]&gt;=Table1[[#This Row],[Low Tol]],"Pass","Fail"),IF(Table1[[#This Row],[DUT Adj Read]]&gt;=Table1[[#This Row],[Low Tol]],"Pass","Fail")))</f>
        <v>Pass</v>
      </c>
      <c r="AG2300" s="1" t="str">
        <f>IF(AND(Table1[[#This Row],[Spec Type2]]="N/A",Table1[[#This Row],[DUT Adj Read]]="N/A",Table1[[#This Row],[Std Adj Read]]="N/A"),"N/A",IF(Table1[[#This Row],[DUT Adj Read]]="N/A",IF(Table1[[#This Row],[Std Adj Read]]&lt;=Table1[[#This Row],[High Tol]],"Pass","Fail"),IF(Table1[[#This Row],[DUT Adj Read]]&lt;=Table1[[#This Row],[High Tol]],"Pass","Fail")))</f>
        <v>Fail</v>
      </c>
      <c r="AH23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0" s="1" t="b">
        <v>0</v>
      </c>
      <c r="AN2300" s="1" t="b">
        <v>0</v>
      </c>
      <c r="AO2300" s="1" t="b">
        <v>0</v>
      </c>
    </row>
    <row r="2301" spans="1:41" x14ac:dyDescent="0.25">
      <c r="A2301" s="10"/>
      <c r="B2301" s="10"/>
      <c r="C2301" s="10"/>
      <c r="D2301" s="10"/>
      <c r="E2301" s="10"/>
      <c r="F2301" s="10"/>
      <c r="G2301" s="10"/>
      <c r="H2301" s="10"/>
      <c r="I2301" s="1" t="str">
        <f t="shared" si="105"/>
        <v/>
      </c>
      <c r="J2301" s="1" t="s">
        <v>35</v>
      </c>
      <c r="K2301" s="1" t="str">
        <f t="shared" si="106"/>
        <v/>
      </c>
      <c r="L2301" s="1" t="str">
        <f t="shared" si="107"/>
        <v/>
      </c>
      <c r="M2301" s="1">
        <f>IF(OR(Table1[[#This Row],[Std Nom]]="",Table1[[#This Row],[Std Read]]=""),0,Table1[[#This Row],[Std Nom]]-Table1[[#This Row],[Std Read]])</f>
        <v>0</v>
      </c>
      <c r="N2301" s="1">
        <f>IF(Calculations!$F$5="ACCREDITED 17025 WITH UNCERTAINTIES",$N$10,0)</f>
        <v>0</v>
      </c>
      <c r="Q2301" s="1">
        <f>Table1[[#This Row],[High Tol]]-Table1[[#This Row],[Low Tol]]</f>
        <v>0</v>
      </c>
      <c r="R2301" s="1">
        <f>2*Table1[[#This Row],[Std Error]]</f>
        <v>0</v>
      </c>
      <c r="S2301" s="1" t="str">
        <f>IF(Table1[[#This Row],[High Tol]]="","N/A",IFERROR(ABS(Table1[[#This Row],[Tol Span]]/Table1[[#This Row],[Error Span]]),"N/A"))</f>
        <v>N/A</v>
      </c>
      <c r="T2301" s="1" t="str">
        <f>IF(OR(Table1[[#This Row],[Low Tol]]="",Table1[[#This Row],[High Tol]]=""),"Needs Analysis",IF(Table1[[#This Row],[Ratio]]&gt;=4,"Not Significant",IF(Table1[[#This Row],[Ratio]]&gt;=2,"Semi-Significant","Significant")))</f>
        <v>Needs Analysis</v>
      </c>
      <c r="W2301" s="1">
        <f>IF(Table1[[#This Row],[Cal Type]]&lt;&gt;"ACCREDITED 17025 WITH UNCERTAINTIES",0,"")</f>
        <v>0</v>
      </c>
      <c r="X2301" s="1" t="str">
        <f>IF(Table1[[#This Row],[DUT Read]]="","N/A",Table1[[#This Row],[Std Error]]+Table1[[#This Row],[DUT Read]]+Table1[[#This Row],[DUT Ucty]])</f>
        <v>N/A</v>
      </c>
      <c r="Y2301" s="1" t="str">
        <f>IF(Table1[[#This Row],[Std Read]]="","N/A",Table1[[#This Row],[Std Read]]+Table1[[#This Row],[Std Ucty]])</f>
        <v>N/A</v>
      </c>
      <c r="Z23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1" s="1" t="str">
        <f>IF(Table1[[#This Row],[Spec Type]]="","N/A",Table1[[#This Row],[Spec Type]])</f>
        <v>±</v>
      </c>
      <c r="AC2301" s="1" t="str">
        <f>IF(Table1[[#This Row],[Spec Type2]]="N/A","N/A",IF(AND(Table1[[#This Row],[DUT Adj Read]]&gt;=Table1[[#This Row],[Low Tol]],Table1[[#This Row],[DUT Adj Read]]&lt;=Table1[[#This Row],[High Tol]]),"Pass","Fail"))</f>
        <v>Fail</v>
      </c>
      <c r="AD2301" s="1" t="str">
        <f>IF(AND(Table1[[#This Row],[Spec Type2]]="N/A",Table1[[#This Row],[DUT Adj Read]]="N/A",Table1[[#This Row],[Std Adj Read]]="N/A"),"N/A",IF(Table1[[#This Row],[DUT Adj Read]]="N/A",IF(Table1[[#This Row],[Std Adj Read]]&gt;Table1[[#This Row],[Low Tol]],"Pass","Fail"),IF(Table1[[#This Row],[DUT Adj Read]]&gt;Table1[[#This Row],[Low Tol]],"Pass","Fail")))</f>
        <v>Pass</v>
      </c>
      <c r="AE2301" s="1" t="str">
        <f>IF(AND(Table1[[#This Row],[Spec Type2]]="N/A",Table1[[#This Row],[DUT Adj Read]]="N/A",Table1[[#This Row],[Std Adj Read]]="N/A"),"N/A",IF(Table1[[#This Row],[DUT Adj Read]]="N/A",IF(Table1[[#This Row],[Std Adj Read]]&lt;Table1[[#This Row],[High Tol]],"Pass","Fail"),IF(Table1[[#This Row],[DUT Adj Read]]&lt;Table1[[#This Row],[High Tol]],"Pass","Fail")))</f>
        <v>Fail</v>
      </c>
      <c r="AF2301" s="1" t="str">
        <f>IF(AND(Table1[[#This Row],[Spec Type2]]="N/A",Table1[[#This Row],[DUT Adj Read]]="N/A",Table1[[#This Row],[Std Adj Read]]="N/A"),"N/A",IF(Table1[[#This Row],[DUT Adj Read]]="N/A",IF(Table1[[#This Row],[Std Adj Read]]&gt;=Table1[[#This Row],[Low Tol]],"Pass","Fail"),IF(Table1[[#This Row],[DUT Adj Read]]&gt;=Table1[[#This Row],[Low Tol]],"Pass","Fail")))</f>
        <v>Pass</v>
      </c>
      <c r="AG2301" s="1" t="str">
        <f>IF(AND(Table1[[#This Row],[Spec Type2]]="N/A",Table1[[#This Row],[DUT Adj Read]]="N/A",Table1[[#This Row],[Std Adj Read]]="N/A"),"N/A",IF(Table1[[#This Row],[DUT Adj Read]]="N/A",IF(Table1[[#This Row],[Std Adj Read]]&lt;=Table1[[#This Row],[High Tol]],"Pass","Fail"),IF(Table1[[#This Row],[DUT Adj Read]]&lt;=Table1[[#This Row],[High Tol]],"Pass","Fail")))</f>
        <v>Fail</v>
      </c>
      <c r="AH23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1" s="1" t="b">
        <v>0</v>
      </c>
      <c r="AN2301" s="1" t="b">
        <v>0</v>
      </c>
      <c r="AO2301" s="1" t="b">
        <v>0</v>
      </c>
    </row>
    <row r="2302" spans="1:41" x14ac:dyDescent="0.25">
      <c r="A2302" s="10"/>
      <c r="B2302" s="10"/>
      <c r="C2302" s="10"/>
      <c r="D2302" s="10"/>
      <c r="E2302" s="10"/>
      <c r="F2302" s="10"/>
      <c r="G2302" s="10"/>
      <c r="H2302" s="10"/>
      <c r="I2302" s="1" t="str">
        <f t="shared" si="105"/>
        <v/>
      </c>
      <c r="J2302" s="1" t="s">
        <v>35</v>
      </c>
      <c r="K2302" s="1" t="str">
        <f t="shared" si="106"/>
        <v/>
      </c>
      <c r="L2302" s="1" t="str">
        <f t="shared" si="107"/>
        <v/>
      </c>
      <c r="M2302" s="1">
        <f>IF(OR(Table1[[#This Row],[Std Nom]]="",Table1[[#This Row],[Std Read]]=""),0,Table1[[#This Row],[Std Nom]]-Table1[[#This Row],[Std Read]])</f>
        <v>0</v>
      </c>
      <c r="N2302" s="1">
        <f>IF(Calculations!$F$5="ACCREDITED 17025 WITH UNCERTAINTIES",$N$10,0)</f>
        <v>0</v>
      </c>
      <c r="Q2302" s="1">
        <f>Table1[[#This Row],[High Tol]]-Table1[[#This Row],[Low Tol]]</f>
        <v>0</v>
      </c>
      <c r="R2302" s="1">
        <f>2*Table1[[#This Row],[Std Error]]</f>
        <v>0</v>
      </c>
      <c r="S2302" s="1" t="str">
        <f>IF(Table1[[#This Row],[High Tol]]="","N/A",IFERROR(ABS(Table1[[#This Row],[Tol Span]]/Table1[[#This Row],[Error Span]]),"N/A"))</f>
        <v>N/A</v>
      </c>
      <c r="T2302" s="1" t="str">
        <f>IF(OR(Table1[[#This Row],[Low Tol]]="",Table1[[#This Row],[High Tol]]=""),"Needs Analysis",IF(Table1[[#This Row],[Ratio]]&gt;=4,"Not Significant",IF(Table1[[#This Row],[Ratio]]&gt;=2,"Semi-Significant","Significant")))</f>
        <v>Needs Analysis</v>
      </c>
      <c r="W2302" s="1">
        <f>IF(Table1[[#This Row],[Cal Type]]&lt;&gt;"ACCREDITED 17025 WITH UNCERTAINTIES",0,"")</f>
        <v>0</v>
      </c>
      <c r="X2302" s="1" t="str">
        <f>IF(Table1[[#This Row],[DUT Read]]="","N/A",Table1[[#This Row],[Std Error]]+Table1[[#This Row],[DUT Read]]+Table1[[#This Row],[DUT Ucty]])</f>
        <v>N/A</v>
      </c>
      <c r="Y2302" s="1" t="str">
        <f>IF(Table1[[#This Row],[Std Read]]="","N/A",Table1[[#This Row],[Std Read]]+Table1[[#This Row],[Std Ucty]])</f>
        <v>N/A</v>
      </c>
      <c r="Z23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2" s="1" t="str">
        <f>IF(Table1[[#This Row],[Spec Type]]="","N/A",Table1[[#This Row],[Spec Type]])</f>
        <v>±</v>
      </c>
      <c r="AC2302" s="1" t="str">
        <f>IF(Table1[[#This Row],[Spec Type2]]="N/A","N/A",IF(AND(Table1[[#This Row],[DUT Adj Read]]&gt;=Table1[[#This Row],[Low Tol]],Table1[[#This Row],[DUT Adj Read]]&lt;=Table1[[#This Row],[High Tol]]),"Pass","Fail"))</f>
        <v>Fail</v>
      </c>
      <c r="AD2302" s="1" t="str">
        <f>IF(AND(Table1[[#This Row],[Spec Type2]]="N/A",Table1[[#This Row],[DUT Adj Read]]="N/A",Table1[[#This Row],[Std Adj Read]]="N/A"),"N/A",IF(Table1[[#This Row],[DUT Adj Read]]="N/A",IF(Table1[[#This Row],[Std Adj Read]]&gt;Table1[[#This Row],[Low Tol]],"Pass","Fail"),IF(Table1[[#This Row],[DUT Adj Read]]&gt;Table1[[#This Row],[Low Tol]],"Pass","Fail")))</f>
        <v>Pass</v>
      </c>
      <c r="AE2302" s="1" t="str">
        <f>IF(AND(Table1[[#This Row],[Spec Type2]]="N/A",Table1[[#This Row],[DUT Adj Read]]="N/A",Table1[[#This Row],[Std Adj Read]]="N/A"),"N/A",IF(Table1[[#This Row],[DUT Adj Read]]="N/A",IF(Table1[[#This Row],[Std Adj Read]]&lt;Table1[[#This Row],[High Tol]],"Pass","Fail"),IF(Table1[[#This Row],[DUT Adj Read]]&lt;Table1[[#This Row],[High Tol]],"Pass","Fail")))</f>
        <v>Fail</v>
      </c>
      <c r="AF2302" s="1" t="str">
        <f>IF(AND(Table1[[#This Row],[Spec Type2]]="N/A",Table1[[#This Row],[DUT Adj Read]]="N/A",Table1[[#This Row],[Std Adj Read]]="N/A"),"N/A",IF(Table1[[#This Row],[DUT Adj Read]]="N/A",IF(Table1[[#This Row],[Std Adj Read]]&gt;=Table1[[#This Row],[Low Tol]],"Pass","Fail"),IF(Table1[[#This Row],[DUT Adj Read]]&gt;=Table1[[#This Row],[Low Tol]],"Pass","Fail")))</f>
        <v>Pass</v>
      </c>
      <c r="AG2302" s="1" t="str">
        <f>IF(AND(Table1[[#This Row],[Spec Type2]]="N/A",Table1[[#This Row],[DUT Adj Read]]="N/A",Table1[[#This Row],[Std Adj Read]]="N/A"),"N/A",IF(Table1[[#This Row],[DUT Adj Read]]="N/A",IF(Table1[[#This Row],[Std Adj Read]]&lt;=Table1[[#This Row],[High Tol]],"Pass","Fail"),IF(Table1[[#This Row],[DUT Adj Read]]&lt;=Table1[[#This Row],[High Tol]],"Pass","Fail")))</f>
        <v>Fail</v>
      </c>
      <c r="AH23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2" s="1" t="b">
        <v>0</v>
      </c>
      <c r="AN2302" s="1" t="b">
        <v>0</v>
      </c>
      <c r="AO2302" s="1" t="b">
        <v>0</v>
      </c>
    </row>
    <row r="2303" spans="1:41" x14ac:dyDescent="0.25">
      <c r="A2303" s="10"/>
      <c r="B2303" s="10"/>
      <c r="C2303" s="10"/>
      <c r="D2303" s="10"/>
      <c r="E2303" s="10"/>
      <c r="F2303" s="10"/>
      <c r="G2303" s="10"/>
      <c r="H2303" s="10"/>
      <c r="I2303" s="1" t="str">
        <f t="shared" si="105"/>
        <v/>
      </c>
      <c r="J2303" s="1" t="s">
        <v>35</v>
      </c>
      <c r="K2303" s="1" t="str">
        <f t="shared" si="106"/>
        <v/>
      </c>
      <c r="L2303" s="1" t="str">
        <f t="shared" si="107"/>
        <v/>
      </c>
      <c r="M2303" s="1">
        <f>IF(OR(Table1[[#This Row],[Std Nom]]="",Table1[[#This Row],[Std Read]]=""),0,Table1[[#This Row],[Std Nom]]-Table1[[#This Row],[Std Read]])</f>
        <v>0</v>
      </c>
      <c r="N2303" s="1">
        <f>IF(Calculations!$F$5="ACCREDITED 17025 WITH UNCERTAINTIES",$N$10,0)</f>
        <v>0</v>
      </c>
      <c r="Q2303" s="1">
        <f>Table1[[#This Row],[High Tol]]-Table1[[#This Row],[Low Tol]]</f>
        <v>0</v>
      </c>
      <c r="R2303" s="1">
        <f>2*Table1[[#This Row],[Std Error]]</f>
        <v>0</v>
      </c>
      <c r="S2303" s="1" t="str">
        <f>IF(Table1[[#This Row],[High Tol]]="","N/A",IFERROR(ABS(Table1[[#This Row],[Tol Span]]/Table1[[#This Row],[Error Span]]),"N/A"))</f>
        <v>N/A</v>
      </c>
      <c r="T2303" s="1" t="str">
        <f>IF(OR(Table1[[#This Row],[Low Tol]]="",Table1[[#This Row],[High Tol]]=""),"Needs Analysis",IF(Table1[[#This Row],[Ratio]]&gt;=4,"Not Significant",IF(Table1[[#This Row],[Ratio]]&gt;=2,"Semi-Significant","Significant")))</f>
        <v>Needs Analysis</v>
      </c>
      <c r="W2303" s="1">
        <f>IF(Table1[[#This Row],[Cal Type]]&lt;&gt;"ACCREDITED 17025 WITH UNCERTAINTIES",0,"")</f>
        <v>0</v>
      </c>
      <c r="X2303" s="1" t="str">
        <f>IF(Table1[[#This Row],[DUT Read]]="","N/A",Table1[[#This Row],[Std Error]]+Table1[[#This Row],[DUT Read]]+Table1[[#This Row],[DUT Ucty]])</f>
        <v>N/A</v>
      </c>
      <c r="Y2303" s="1" t="str">
        <f>IF(Table1[[#This Row],[Std Read]]="","N/A",Table1[[#This Row],[Std Read]]+Table1[[#This Row],[Std Ucty]])</f>
        <v>N/A</v>
      </c>
      <c r="Z23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3" s="1" t="str">
        <f>IF(Table1[[#This Row],[Spec Type]]="","N/A",Table1[[#This Row],[Spec Type]])</f>
        <v>±</v>
      </c>
      <c r="AC2303" s="1" t="str">
        <f>IF(Table1[[#This Row],[Spec Type2]]="N/A","N/A",IF(AND(Table1[[#This Row],[DUT Adj Read]]&gt;=Table1[[#This Row],[Low Tol]],Table1[[#This Row],[DUT Adj Read]]&lt;=Table1[[#This Row],[High Tol]]),"Pass","Fail"))</f>
        <v>Fail</v>
      </c>
      <c r="AD2303" s="1" t="str">
        <f>IF(AND(Table1[[#This Row],[Spec Type2]]="N/A",Table1[[#This Row],[DUT Adj Read]]="N/A",Table1[[#This Row],[Std Adj Read]]="N/A"),"N/A",IF(Table1[[#This Row],[DUT Adj Read]]="N/A",IF(Table1[[#This Row],[Std Adj Read]]&gt;Table1[[#This Row],[Low Tol]],"Pass","Fail"),IF(Table1[[#This Row],[DUT Adj Read]]&gt;Table1[[#This Row],[Low Tol]],"Pass","Fail")))</f>
        <v>Pass</v>
      </c>
      <c r="AE2303" s="1" t="str">
        <f>IF(AND(Table1[[#This Row],[Spec Type2]]="N/A",Table1[[#This Row],[DUT Adj Read]]="N/A",Table1[[#This Row],[Std Adj Read]]="N/A"),"N/A",IF(Table1[[#This Row],[DUT Adj Read]]="N/A",IF(Table1[[#This Row],[Std Adj Read]]&lt;Table1[[#This Row],[High Tol]],"Pass","Fail"),IF(Table1[[#This Row],[DUT Adj Read]]&lt;Table1[[#This Row],[High Tol]],"Pass","Fail")))</f>
        <v>Fail</v>
      </c>
      <c r="AF2303" s="1" t="str">
        <f>IF(AND(Table1[[#This Row],[Spec Type2]]="N/A",Table1[[#This Row],[DUT Adj Read]]="N/A",Table1[[#This Row],[Std Adj Read]]="N/A"),"N/A",IF(Table1[[#This Row],[DUT Adj Read]]="N/A",IF(Table1[[#This Row],[Std Adj Read]]&gt;=Table1[[#This Row],[Low Tol]],"Pass","Fail"),IF(Table1[[#This Row],[DUT Adj Read]]&gt;=Table1[[#This Row],[Low Tol]],"Pass","Fail")))</f>
        <v>Pass</v>
      </c>
      <c r="AG2303" s="1" t="str">
        <f>IF(AND(Table1[[#This Row],[Spec Type2]]="N/A",Table1[[#This Row],[DUT Adj Read]]="N/A",Table1[[#This Row],[Std Adj Read]]="N/A"),"N/A",IF(Table1[[#This Row],[DUT Adj Read]]="N/A",IF(Table1[[#This Row],[Std Adj Read]]&lt;=Table1[[#This Row],[High Tol]],"Pass","Fail"),IF(Table1[[#This Row],[DUT Adj Read]]&lt;=Table1[[#This Row],[High Tol]],"Pass","Fail")))</f>
        <v>Fail</v>
      </c>
      <c r="AH23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3" s="1" t="b">
        <v>0</v>
      </c>
      <c r="AN2303" s="1" t="b">
        <v>0</v>
      </c>
      <c r="AO2303" s="1" t="b">
        <v>0</v>
      </c>
    </row>
    <row r="2304" spans="1:41" x14ac:dyDescent="0.25">
      <c r="A2304" s="10"/>
      <c r="B2304" s="10"/>
      <c r="C2304" s="10"/>
      <c r="D2304" s="10"/>
      <c r="E2304" s="10"/>
      <c r="F2304" s="10"/>
      <c r="G2304" s="10"/>
      <c r="H2304" s="10"/>
      <c r="I2304" s="1" t="str">
        <f t="shared" si="105"/>
        <v/>
      </c>
      <c r="J2304" s="1" t="s">
        <v>35</v>
      </c>
      <c r="K2304" s="1" t="str">
        <f t="shared" si="106"/>
        <v/>
      </c>
      <c r="L2304" s="1" t="str">
        <f t="shared" si="107"/>
        <v/>
      </c>
      <c r="M2304" s="1">
        <f>IF(OR(Table1[[#This Row],[Std Nom]]="",Table1[[#This Row],[Std Read]]=""),0,Table1[[#This Row],[Std Nom]]-Table1[[#This Row],[Std Read]])</f>
        <v>0</v>
      </c>
      <c r="N2304" s="1">
        <f>IF(Calculations!$F$5="ACCREDITED 17025 WITH UNCERTAINTIES",$N$10,0)</f>
        <v>0</v>
      </c>
      <c r="Q2304" s="1">
        <f>Table1[[#This Row],[High Tol]]-Table1[[#This Row],[Low Tol]]</f>
        <v>0</v>
      </c>
      <c r="R2304" s="1">
        <f>2*Table1[[#This Row],[Std Error]]</f>
        <v>0</v>
      </c>
      <c r="S2304" s="1" t="str">
        <f>IF(Table1[[#This Row],[High Tol]]="","N/A",IFERROR(ABS(Table1[[#This Row],[Tol Span]]/Table1[[#This Row],[Error Span]]),"N/A"))</f>
        <v>N/A</v>
      </c>
      <c r="T2304" s="1" t="str">
        <f>IF(OR(Table1[[#This Row],[Low Tol]]="",Table1[[#This Row],[High Tol]]=""),"Needs Analysis",IF(Table1[[#This Row],[Ratio]]&gt;=4,"Not Significant",IF(Table1[[#This Row],[Ratio]]&gt;=2,"Semi-Significant","Significant")))</f>
        <v>Needs Analysis</v>
      </c>
      <c r="W2304" s="1">
        <f>IF(Table1[[#This Row],[Cal Type]]&lt;&gt;"ACCREDITED 17025 WITH UNCERTAINTIES",0,"")</f>
        <v>0</v>
      </c>
      <c r="X2304" s="1" t="str">
        <f>IF(Table1[[#This Row],[DUT Read]]="","N/A",Table1[[#This Row],[Std Error]]+Table1[[#This Row],[DUT Read]]+Table1[[#This Row],[DUT Ucty]])</f>
        <v>N/A</v>
      </c>
      <c r="Y2304" s="1" t="str">
        <f>IF(Table1[[#This Row],[Std Read]]="","N/A",Table1[[#This Row],[Std Read]]+Table1[[#This Row],[Std Ucty]])</f>
        <v>N/A</v>
      </c>
      <c r="Z23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4" s="1" t="str">
        <f>IF(Table1[[#This Row],[Spec Type]]="","N/A",Table1[[#This Row],[Spec Type]])</f>
        <v>±</v>
      </c>
      <c r="AC2304" s="1" t="str">
        <f>IF(Table1[[#This Row],[Spec Type2]]="N/A","N/A",IF(AND(Table1[[#This Row],[DUT Adj Read]]&gt;=Table1[[#This Row],[Low Tol]],Table1[[#This Row],[DUT Adj Read]]&lt;=Table1[[#This Row],[High Tol]]),"Pass","Fail"))</f>
        <v>Fail</v>
      </c>
      <c r="AD2304" s="1" t="str">
        <f>IF(AND(Table1[[#This Row],[Spec Type2]]="N/A",Table1[[#This Row],[DUT Adj Read]]="N/A",Table1[[#This Row],[Std Adj Read]]="N/A"),"N/A",IF(Table1[[#This Row],[DUT Adj Read]]="N/A",IF(Table1[[#This Row],[Std Adj Read]]&gt;Table1[[#This Row],[Low Tol]],"Pass","Fail"),IF(Table1[[#This Row],[DUT Adj Read]]&gt;Table1[[#This Row],[Low Tol]],"Pass","Fail")))</f>
        <v>Pass</v>
      </c>
      <c r="AE2304" s="1" t="str">
        <f>IF(AND(Table1[[#This Row],[Spec Type2]]="N/A",Table1[[#This Row],[DUT Adj Read]]="N/A",Table1[[#This Row],[Std Adj Read]]="N/A"),"N/A",IF(Table1[[#This Row],[DUT Adj Read]]="N/A",IF(Table1[[#This Row],[Std Adj Read]]&lt;Table1[[#This Row],[High Tol]],"Pass","Fail"),IF(Table1[[#This Row],[DUT Adj Read]]&lt;Table1[[#This Row],[High Tol]],"Pass","Fail")))</f>
        <v>Fail</v>
      </c>
      <c r="AF2304" s="1" t="str">
        <f>IF(AND(Table1[[#This Row],[Spec Type2]]="N/A",Table1[[#This Row],[DUT Adj Read]]="N/A",Table1[[#This Row],[Std Adj Read]]="N/A"),"N/A",IF(Table1[[#This Row],[DUT Adj Read]]="N/A",IF(Table1[[#This Row],[Std Adj Read]]&gt;=Table1[[#This Row],[Low Tol]],"Pass","Fail"),IF(Table1[[#This Row],[DUT Adj Read]]&gt;=Table1[[#This Row],[Low Tol]],"Pass","Fail")))</f>
        <v>Pass</v>
      </c>
      <c r="AG2304" s="1" t="str">
        <f>IF(AND(Table1[[#This Row],[Spec Type2]]="N/A",Table1[[#This Row],[DUT Adj Read]]="N/A",Table1[[#This Row],[Std Adj Read]]="N/A"),"N/A",IF(Table1[[#This Row],[DUT Adj Read]]="N/A",IF(Table1[[#This Row],[Std Adj Read]]&lt;=Table1[[#This Row],[High Tol]],"Pass","Fail"),IF(Table1[[#This Row],[DUT Adj Read]]&lt;=Table1[[#This Row],[High Tol]],"Pass","Fail")))</f>
        <v>Fail</v>
      </c>
      <c r="AH23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4" s="1" t="b">
        <v>0</v>
      </c>
      <c r="AN2304" s="1" t="b">
        <v>0</v>
      </c>
      <c r="AO2304" s="1" t="b">
        <v>0</v>
      </c>
    </row>
    <row r="2305" spans="1:41" x14ac:dyDescent="0.25">
      <c r="A2305" s="10"/>
      <c r="B2305" s="10"/>
      <c r="C2305" s="10"/>
      <c r="D2305" s="10"/>
      <c r="E2305" s="10"/>
      <c r="F2305" s="10"/>
      <c r="G2305" s="10"/>
      <c r="H2305" s="10"/>
      <c r="I2305" s="1" t="str">
        <f t="shared" si="105"/>
        <v/>
      </c>
      <c r="J2305" s="1" t="s">
        <v>35</v>
      </c>
      <c r="K2305" s="1" t="str">
        <f t="shared" si="106"/>
        <v/>
      </c>
      <c r="L2305" s="1" t="str">
        <f t="shared" si="107"/>
        <v/>
      </c>
      <c r="M2305" s="1">
        <f>IF(OR(Table1[[#This Row],[Std Nom]]="",Table1[[#This Row],[Std Read]]=""),0,Table1[[#This Row],[Std Nom]]-Table1[[#This Row],[Std Read]])</f>
        <v>0</v>
      </c>
      <c r="N2305" s="1">
        <f>IF(Calculations!$F$5="ACCREDITED 17025 WITH UNCERTAINTIES",$N$10,0)</f>
        <v>0</v>
      </c>
      <c r="Q2305" s="1">
        <f>Table1[[#This Row],[High Tol]]-Table1[[#This Row],[Low Tol]]</f>
        <v>0</v>
      </c>
      <c r="R2305" s="1">
        <f>2*Table1[[#This Row],[Std Error]]</f>
        <v>0</v>
      </c>
      <c r="S2305" s="1" t="str">
        <f>IF(Table1[[#This Row],[High Tol]]="","N/A",IFERROR(ABS(Table1[[#This Row],[Tol Span]]/Table1[[#This Row],[Error Span]]),"N/A"))</f>
        <v>N/A</v>
      </c>
      <c r="T2305" s="1" t="str">
        <f>IF(OR(Table1[[#This Row],[Low Tol]]="",Table1[[#This Row],[High Tol]]=""),"Needs Analysis",IF(Table1[[#This Row],[Ratio]]&gt;=4,"Not Significant",IF(Table1[[#This Row],[Ratio]]&gt;=2,"Semi-Significant","Significant")))</f>
        <v>Needs Analysis</v>
      </c>
      <c r="W2305" s="1">
        <f>IF(Table1[[#This Row],[Cal Type]]&lt;&gt;"ACCREDITED 17025 WITH UNCERTAINTIES",0,"")</f>
        <v>0</v>
      </c>
      <c r="X2305" s="1" t="str">
        <f>IF(Table1[[#This Row],[DUT Read]]="","N/A",Table1[[#This Row],[Std Error]]+Table1[[#This Row],[DUT Read]]+Table1[[#This Row],[DUT Ucty]])</f>
        <v>N/A</v>
      </c>
      <c r="Y2305" s="1" t="str">
        <f>IF(Table1[[#This Row],[Std Read]]="","N/A",Table1[[#This Row],[Std Read]]+Table1[[#This Row],[Std Ucty]])</f>
        <v>N/A</v>
      </c>
      <c r="Z23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5" s="1" t="str">
        <f>IF(Table1[[#This Row],[Spec Type]]="","N/A",Table1[[#This Row],[Spec Type]])</f>
        <v>±</v>
      </c>
      <c r="AC2305" s="1" t="str">
        <f>IF(Table1[[#This Row],[Spec Type2]]="N/A","N/A",IF(AND(Table1[[#This Row],[DUT Adj Read]]&gt;=Table1[[#This Row],[Low Tol]],Table1[[#This Row],[DUT Adj Read]]&lt;=Table1[[#This Row],[High Tol]]),"Pass","Fail"))</f>
        <v>Fail</v>
      </c>
      <c r="AD2305" s="1" t="str">
        <f>IF(AND(Table1[[#This Row],[Spec Type2]]="N/A",Table1[[#This Row],[DUT Adj Read]]="N/A",Table1[[#This Row],[Std Adj Read]]="N/A"),"N/A",IF(Table1[[#This Row],[DUT Adj Read]]="N/A",IF(Table1[[#This Row],[Std Adj Read]]&gt;Table1[[#This Row],[Low Tol]],"Pass","Fail"),IF(Table1[[#This Row],[DUT Adj Read]]&gt;Table1[[#This Row],[Low Tol]],"Pass","Fail")))</f>
        <v>Pass</v>
      </c>
      <c r="AE2305" s="1" t="str">
        <f>IF(AND(Table1[[#This Row],[Spec Type2]]="N/A",Table1[[#This Row],[DUT Adj Read]]="N/A",Table1[[#This Row],[Std Adj Read]]="N/A"),"N/A",IF(Table1[[#This Row],[DUT Adj Read]]="N/A",IF(Table1[[#This Row],[Std Adj Read]]&lt;Table1[[#This Row],[High Tol]],"Pass","Fail"),IF(Table1[[#This Row],[DUT Adj Read]]&lt;Table1[[#This Row],[High Tol]],"Pass","Fail")))</f>
        <v>Fail</v>
      </c>
      <c r="AF2305" s="1" t="str">
        <f>IF(AND(Table1[[#This Row],[Spec Type2]]="N/A",Table1[[#This Row],[DUT Adj Read]]="N/A",Table1[[#This Row],[Std Adj Read]]="N/A"),"N/A",IF(Table1[[#This Row],[DUT Adj Read]]="N/A",IF(Table1[[#This Row],[Std Adj Read]]&gt;=Table1[[#This Row],[Low Tol]],"Pass","Fail"),IF(Table1[[#This Row],[DUT Adj Read]]&gt;=Table1[[#This Row],[Low Tol]],"Pass","Fail")))</f>
        <v>Pass</v>
      </c>
      <c r="AG2305" s="1" t="str">
        <f>IF(AND(Table1[[#This Row],[Spec Type2]]="N/A",Table1[[#This Row],[DUT Adj Read]]="N/A",Table1[[#This Row],[Std Adj Read]]="N/A"),"N/A",IF(Table1[[#This Row],[DUT Adj Read]]="N/A",IF(Table1[[#This Row],[Std Adj Read]]&lt;=Table1[[#This Row],[High Tol]],"Pass","Fail"),IF(Table1[[#This Row],[DUT Adj Read]]&lt;=Table1[[#This Row],[High Tol]],"Pass","Fail")))</f>
        <v>Fail</v>
      </c>
      <c r="AH23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5" s="1" t="b">
        <v>0</v>
      </c>
      <c r="AN2305" s="1" t="b">
        <v>0</v>
      </c>
      <c r="AO2305" s="1" t="b">
        <v>0</v>
      </c>
    </row>
    <row r="2306" spans="1:41" x14ac:dyDescent="0.25">
      <c r="A2306" s="10"/>
      <c r="B2306" s="10"/>
      <c r="C2306" s="10"/>
      <c r="D2306" s="10"/>
      <c r="E2306" s="10"/>
      <c r="F2306" s="10"/>
      <c r="G2306" s="10"/>
      <c r="H2306" s="10"/>
      <c r="I2306" s="1" t="str">
        <f t="shared" si="105"/>
        <v/>
      </c>
      <c r="J2306" s="1" t="s">
        <v>35</v>
      </c>
      <c r="K2306" s="1" t="str">
        <f t="shared" si="106"/>
        <v/>
      </c>
      <c r="L2306" s="1" t="str">
        <f t="shared" si="107"/>
        <v/>
      </c>
      <c r="M2306" s="1">
        <f>IF(OR(Table1[[#This Row],[Std Nom]]="",Table1[[#This Row],[Std Read]]=""),0,Table1[[#This Row],[Std Nom]]-Table1[[#This Row],[Std Read]])</f>
        <v>0</v>
      </c>
      <c r="N2306" s="1">
        <f>IF(Calculations!$F$5="ACCREDITED 17025 WITH UNCERTAINTIES",$N$10,0)</f>
        <v>0</v>
      </c>
      <c r="Q2306" s="1">
        <f>Table1[[#This Row],[High Tol]]-Table1[[#This Row],[Low Tol]]</f>
        <v>0</v>
      </c>
      <c r="R2306" s="1">
        <f>2*Table1[[#This Row],[Std Error]]</f>
        <v>0</v>
      </c>
      <c r="S2306" s="1" t="str">
        <f>IF(Table1[[#This Row],[High Tol]]="","N/A",IFERROR(ABS(Table1[[#This Row],[Tol Span]]/Table1[[#This Row],[Error Span]]),"N/A"))</f>
        <v>N/A</v>
      </c>
      <c r="T2306" s="1" t="str">
        <f>IF(OR(Table1[[#This Row],[Low Tol]]="",Table1[[#This Row],[High Tol]]=""),"Needs Analysis",IF(Table1[[#This Row],[Ratio]]&gt;=4,"Not Significant",IF(Table1[[#This Row],[Ratio]]&gt;=2,"Semi-Significant","Significant")))</f>
        <v>Needs Analysis</v>
      </c>
      <c r="W2306" s="1">
        <f>IF(Table1[[#This Row],[Cal Type]]&lt;&gt;"ACCREDITED 17025 WITH UNCERTAINTIES",0,"")</f>
        <v>0</v>
      </c>
      <c r="X2306" s="1" t="str">
        <f>IF(Table1[[#This Row],[DUT Read]]="","N/A",Table1[[#This Row],[Std Error]]+Table1[[#This Row],[DUT Read]]+Table1[[#This Row],[DUT Ucty]])</f>
        <v>N/A</v>
      </c>
      <c r="Y2306" s="1" t="str">
        <f>IF(Table1[[#This Row],[Std Read]]="","N/A",Table1[[#This Row],[Std Read]]+Table1[[#This Row],[Std Ucty]])</f>
        <v>N/A</v>
      </c>
      <c r="Z23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6" s="1" t="str">
        <f>IF(Table1[[#This Row],[Spec Type]]="","N/A",Table1[[#This Row],[Spec Type]])</f>
        <v>±</v>
      </c>
      <c r="AC2306" s="1" t="str">
        <f>IF(Table1[[#This Row],[Spec Type2]]="N/A","N/A",IF(AND(Table1[[#This Row],[DUT Adj Read]]&gt;=Table1[[#This Row],[Low Tol]],Table1[[#This Row],[DUT Adj Read]]&lt;=Table1[[#This Row],[High Tol]]),"Pass","Fail"))</f>
        <v>Fail</v>
      </c>
      <c r="AD2306" s="1" t="str">
        <f>IF(AND(Table1[[#This Row],[Spec Type2]]="N/A",Table1[[#This Row],[DUT Adj Read]]="N/A",Table1[[#This Row],[Std Adj Read]]="N/A"),"N/A",IF(Table1[[#This Row],[DUT Adj Read]]="N/A",IF(Table1[[#This Row],[Std Adj Read]]&gt;Table1[[#This Row],[Low Tol]],"Pass","Fail"),IF(Table1[[#This Row],[DUT Adj Read]]&gt;Table1[[#This Row],[Low Tol]],"Pass","Fail")))</f>
        <v>Pass</v>
      </c>
      <c r="AE2306" s="1" t="str">
        <f>IF(AND(Table1[[#This Row],[Spec Type2]]="N/A",Table1[[#This Row],[DUT Adj Read]]="N/A",Table1[[#This Row],[Std Adj Read]]="N/A"),"N/A",IF(Table1[[#This Row],[DUT Adj Read]]="N/A",IF(Table1[[#This Row],[Std Adj Read]]&lt;Table1[[#This Row],[High Tol]],"Pass","Fail"),IF(Table1[[#This Row],[DUT Adj Read]]&lt;Table1[[#This Row],[High Tol]],"Pass","Fail")))</f>
        <v>Fail</v>
      </c>
      <c r="AF2306" s="1" t="str">
        <f>IF(AND(Table1[[#This Row],[Spec Type2]]="N/A",Table1[[#This Row],[DUT Adj Read]]="N/A",Table1[[#This Row],[Std Adj Read]]="N/A"),"N/A",IF(Table1[[#This Row],[DUT Adj Read]]="N/A",IF(Table1[[#This Row],[Std Adj Read]]&gt;=Table1[[#This Row],[Low Tol]],"Pass","Fail"),IF(Table1[[#This Row],[DUT Adj Read]]&gt;=Table1[[#This Row],[Low Tol]],"Pass","Fail")))</f>
        <v>Pass</v>
      </c>
      <c r="AG2306" s="1" t="str">
        <f>IF(AND(Table1[[#This Row],[Spec Type2]]="N/A",Table1[[#This Row],[DUT Adj Read]]="N/A",Table1[[#This Row],[Std Adj Read]]="N/A"),"N/A",IF(Table1[[#This Row],[DUT Adj Read]]="N/A",IF(Table1[[#This Row],[Std Adj Read]]&lt;=Table1[[#This Row],[High Tol]],"Pass","Fail"),IF(Table1[[#This Row],[DUT Adj Read]]&lt;=Table1[[#This Row],[High Tol]],"Pass","Fail")))</f>
        <v>Fail</v>
      </c>
      <c r="AH23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6" s="1" t="b">
        <v>0</v>
      </c>
      <c r="AN2306" s="1" t="b">
        <v>0</v>
      </c>
      <c r="AO2306" s="1" t="b">
        <v>0</v>
      </c>
    </row>
    <row r="2307" spans="1:41" x14ac:dyDescent="0.25">
      <c r="A2307" s="10"/>
      <c r="B2307" s="10"/>
      <c r="C2307" s="10"/>
      <c r="D2307" s="10"/>
      <c r="E2307" s="10"/>
      <c r="F2307" s="10"/>
      <c r="G2307" s="10"/>
      <c r="H2307" s="10"/>
      <c r="I2307" s="1" t="str">
        <f t="shared" si="105"/>
        <v/>
      </c>
      <c r="J2307" s="1" t="s">
        <v>35</v>
      </c>
      <c r="K2307" s="1" t="str">
        <f t="shared" si="106"/>
        <v/>
      </c>
      <c r="L2307" s="1" t="str">
        <f t="shared" si="107"/>
        <v/>
      </c>
      <c r="M2307" s="1">
        <f>IF(OR(Table1[[#This Row],[Std Nom]]="",Table1[[#This Row],[Std Read]]=""),0,Table1[[#This Row],[Std Nom]]-Table1[[#This Row],[Std Read]])</f>
        <v>0</v>
      </c>
      <c r="N2307" s="1">
        <f>IF(Calculations!$F$5="ACCREDITED 17025 WITH UNCERTAINTIES",$N$10,0)</f>
        <v>0</v>
      </c>
      <c r="Q2307" s="1">
        <f>Table1[[#This Row],[High Tol]]-Table1[[#This Row],[Low Tol]]</f>
        <v>0</v>
      </c>
      <c r="R2307" s="1">
        <f>2*Table1[[#This Row],[Std Error]]</f>
        <v>0</v>
      </c>
      <c r="S2307" s="1" t="str">
        <f>IF(Table1[[#This Row],[High Tol]]="","N/A",IFERROR(ABS(Table1[[#This Row],[Tol Span]]/Table1[[#This Row],[Error Span]]),"N/A"))</f>
        <v>N/A</v>
      </c>
      <c r="T2307" s="1" t="str">
        <f>IF(OR(Table1[[#This Row],[Low Tol]]="",Table1[[#This Row],[High Tol]]=""),"Needs Analysis",IF(Table1[[#This Row],[Ratio]]&gt;=4,"Not Significant",IF(Table1[[#This Row],[Ratio]]&gt;=2,"Semi-Significant","Significant")))</f>
        <v>Needs Analysis</v>
      </c>
      <c r="W2307" s="1">
        <f>IF(Table1[[#This Row],[Cal Type]]&lt;&gt;"ACCREDITED 17025 WITH UNCERTAINTIES",0,"")</f>
        <v>0</v>
      </c>
      <c r="X2307" s="1" t="str">
        <f>IF(Table1[[#This Row],[DUT Read]]="","N/A",Table1[[#This Row],[Std Error]]+Table1[[#This Row],[DUT Read]]+Table1[[#This Row],[DUT Ucty]])</f>
        <v>N/A</v>
      </c>
      <c r="Y2307" s="1" t="str">
        <f>IF(Table1[[#This Row],[Std Read]]="","N/A",Table1[[#This Row],[Std Read]]+Table1[[#This Row],[Std Ucty]])</f>
        <v>N/A</v>
      </c>
      <c r="Z23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7" s="1" t="str">
        <f>IF(Table1[[#This Row],[Spec Type]]="","N/A",Table1[[#This Row],[Spec Type]])</f>
        <v>±</v>
      </c>
      <c r="AC2307" s="1" t="str">
        <f>IF(Table1[[#This Row],[Spec Type2]]="N/A","N/A",IF(AND(Table1[[#This Row],[DUT Adj Read]]&gt;=Table1[[#This Row],[Low Tol]],Table1[[#This Row],[DUT Adj Read]]&lt;=Table1[[#This Row],[High Tol]]),"Pass","Fail"))</f>
        <v>Fail</v>
      </c>
      <c r="AD2307" s="1" t="str">
        <f>IF(AND(Table1[[#This Row],[Spec Type2]]="N/A",Table1[[#This Row],[DUT Adj Read]]="N/A",Table1[[#This Row],[Std Adj Read]]="N/A"),"N/A",IF(Table1[[#This Row],[DUT Adj Read]]="N/A",IF(Table1[[#This Row],[Std Adj Read]]&gt;Table1[[#This Row],[Low Tol]],"Pass","Fail"),IF(Table1[[#This Row],[DUT Adj Read]]&gt;Table1[[#This Row],[Low Tol]],"Pass","Fail")))</f>
        <v>Pass</v>
      </c>
      <c r="AE2307" s="1" t="str">
        <f>IF(AND(Table1[[#This Row],[Spec Type2]]="N/A",Table1[[#This Row],[DUT Adj Read]]="N/A",Table1[[#This Row],[Std Adj Read]]="N/A"),"N/A",IF(Table1[[#This Row],[DUT Adj Read]]="N/A",IF(Table1[[#This Row],[Std Adj Read]]&lt;Table1[[#This Row],[High Tol]],"Pass","Fail"),IF(Table1[[#This Row],[DUT Adj Read]]&lt;Table1[[#This Row],[High Tol]],"Pass","Fail")))</f>
        <v>Fail</v>
      </c>
      <c r="AF2307" s="1" t="str">
        <f>IF(AND(Table1[[#This Row],[Spec Type2]]="N/A",Table1[[#This Row],[DUT Adj Read]]="N/A",Table1[[#This Row],[Std Adj Read]]="N/A"),"N/A",IF(Table1[[#This Row],[DUT Adj Read]]="N/A",IF(Table1[[#This Row],[Std Adj Read]]&gt;=Table1[[#This Row],[Low Tol]],"Pass","Fail"),IF(Table1[[#This Row],[DUT Adj Read]]&gt;=Table1[[#This Row],[Low Tol]],"Pass","Fail")))</f>
        <v>Pass</v>
      </c>
      <c r="AG2307" s="1" t="str">
        <f>IF(AND(Table1[[#This Row],[Spec Type2]]="N/A",Table1[[#This Row],[DUT Adj Read]]="N/A",Table1[[#This Row],[Std Adj Read]]="N/A"),"N/A",IF(Table1[[#This Row],[DUT Adj Read]]="N/A",IF(Table1[[#This Row],[Std Adj Read]]&lt;=Table1[[#This Row],[High Tol]],"Pass","Fail"),IF(Table1[[#This Row],[DUT Adj Read]]&lt;=Table1[[#This Row],[High Tol]],"Pass","Fail")))</f>
        <v>Fail</v>
      </c>
      <c r="AH23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7" s="1" t="b">
        <v>0</v>
      </c>
      <c r="AN2307" s="1" t="b">
        <v>0</v>
      </c>
      <c r="AO2307" s="1" t="b">
        <v>0</v>
      </c>
    </row>
    <row r="2308" spans="1:41" x14ac:dyDescent="0.25">
      <c r="A2308" s="10"/>
      <c r="B2308" s="10"/>
      <c r="C2308" s="10"/>
      <c r="D2308" s="10"/>
      <c r="E2308" s="10"/>
      <c r="F2308" s="10"/>
      <c r="G2308" s="10"/>
      <c r="H2308" s="10"/>
      <c r="I2308" s="1" t="str">
        <f t="shared" si="105"/>
        <v/>
      </c>
      <c r="J2308" s="1" t="s">
        <v>35</v>
      </c>
      <c r="K2308" s="1" t="str">
        <f t="shared" si="106"/>
        <v/>
      </c>
      <c r="L2308" s="1" t="str">
        <f t="shared" si="107"/>
        <v/>
      </c>
      <c r="M2308" s="1">
        <f>IF(OR(Table1[[#This Row],[Std Nom]]="",Table1[[#This Row],[Std Read]]=""),0,Table1[[#This Row],[Std Nom]]-Table1[[#This Row],[Std Read]])</f>
        <v>0</v>
      </c>
      <c r="N2308" s="1">
        <f>IF(Calculations!$F$5="ACCREDITED 17025 WITH UNCERTAINTIES",$N$10,0)</f>
        <v>0</v>
      </c>
      <c r="Q2308" s="1">
        <f>Table1[[#This Row],[High Tol]]-Table1[[#This Row],[Low Tol]]</f>
        <v>0</v>
      </c>
      <c r="R2308" s="1">
        <f>2*Table1[[#This Row],[Std Error]]</f>
        <v>0</v>
      </c>
      <c r="S2308" s="1" t="str">
        <f>IF(Table1[[#This Row],[High Tol]]="","N/A",IFERROR(ABS(Table1[[#This Row],[Tol Span]]/Table1[[#This Row],[Error Span]]),"N/A"))</f>
        <v>N/A</v>
      </c>
      <c r="T2308" s="1" t="str">
        <f>IF(OR(Table1[[#This Row],[Low Tol]]="",Table1[[#This Row],[High Tol]]=""),"Needs Analysis",IF(Table1[[#This Row],[Ratio]]&gt;=4,"Not Significant",IF(Table1[[#This Row],[Ratio]]&gt;=2,"Semi-Significant","Significant")))</f>
        <v>Needs Analysis</v>
      </c>
      <c r="W2308" s="1">
        <f>IF(Table1[[#This Row],[Cal Type]]&lt;&gt;"ACCREDITED 17025 WITH UNCERTAINTIES",0,"")</f>
        <v>0</v>
      </c>
      <c r="X2308" s="1" t="str">
        <f>IF(Table1[[#This Row],[DUT Read]]="","N/A",Table1[[#This Row],[Std Error]]+Table1[[#This Row],[DUT Read]]+Table1[[#This Row],[DUT Ucty]])</f>
        <v>N/A</v>
      </c>
      <c r="Y2308" s="1" t="str">
        <f>IF(Table1[[#This Row],[Std Read]]="","N/A",Table1[[#This Row],[Std Read]]+Table1[[#This Row],[Std Ucty]])</f>
        <v>N/A</v>
      </c>
      <c r="Z23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8" s="1" t="str">
        <f>IF(Table1[[#This Row],[Spec Type]]="","N/A",Table1[[#This Row],[Spec Type]])</f>
        <v>±</v>
      </c>
      <c r="AC2308" s="1" t="str">
        <f>IF(Table1[[#This Row],[Spec Type2]]="N/A","N/A",IF(AND(Table1[[#This Row],[DUT Adj Read]]&gt;=Table1[[#This Row],[Low Tol]],Table1[[#This Row],[DUT Adj Read]]&lt;=Table1[[#This Row],[High Tol]]),"Pass","Fail"))</f>
        <v>Fail</v>
      </c>
      <c r="AD2308" s="1" t="str">
        <f>IF(AND(Table1[[#This Row],[Spec Type2]]="N/A",Table1[[#This Row],[DUT Adj Read]]="N/A",Table1[[#This Row],[Std Adj Read]]="N/A"),"N/A",IF(Table1[[#This Row],[DUT Adj Read]]="N/A",IF(Table1[[#This Row],[Std Adj Read]]&gt;Table1[[#This Row],[Low Tol]],"Pass","Fail"),IF(Table1[[#This Row],[DUT Adj Read]]&gt;Table1[[#This Row],[Low Tol]],"Pass","Fail")))</f>
        <v>Pass</v>
      </c>
      <c r="AE2308" s="1" t="str">
        <f>IF(AND(Table1[[#This Row],[Spec Type2]]="N/A",Table1[[#This Row],[DUT Adj Read]]="N/A",Table1[[#This Row],[Std Adj Read]]="N/A"),"N/A",IF(Table1[[#This Row],[DUT Adj Read]]="N/A",IF(Table1[[#This Row],[Std Adj Read]]&lt;Table1[[#This Row],[High Tol]],"Pass","Fail"),IF(Table1[[#This Row],[DUT Adj Read]]&lt;Table1[[#This Row],[High Tol]],"Pass","Fail")))</f>
        <v>Fail</v>
      </c>
      <c r="AF2308" s="1" t="str">
        <f>IF(AND(Table1[[#This Row],[Spec Type2]]="N/A",Table1[[#This Row],[DUT Adj Read]]="N/A",Table1[[#This Row],[Std Adj Read]]="N/A"),"N/A",IF(Table1[[#This Row],[DUT Adj Read]]="N/A",IF(Table1[[#This Row],[Std Adj Read]]&gt;=Table1[[#This Row],[Low Tol]],"Pass","Fail"),IF(Table1[[#This Row],[DUT Adj Read]]&gt;=Table1[[#This Row],[Low Tol]],"Pass","Fail")))</f>
        <v>Pass</v>
      </c>
      <c r="AG2308" s="1" t="str">
        <f>IF(AND(Table1[[#This Row],[Spec Type2]]="N/A",Table1[[#This Row],[DUT Adj Read]]="N/A",Table1[[#This Row],[Std Adj Read]]="N/A"),"N/A",IF(Table1[[#This Row],[DUT Adj Read]]="N/A",IF(Table1[[#This Row],[Std Adj Read]]&lt;=Table1[[#This Row],[High Tol]],"Pass","Fail"),IF(Table1[[#This Row],[DUT Adj Read]]&lt;=Table1[[#This Row],[High Tol]],"Pass","Fail")))</f>
        <v>Fail</v>
      </c>
      <c r="AH23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8" s="1" t="b">
        <v>0</v>
      </c>
      <c r="AN2308" s="1" t="b">
        <v>0</v>
      </c>
      <c r="AO2308" s="1" t="b">
        <v>0</v>
      </c>
    </row>
    <row r="2309" spans="1:41" x14ac:dyDescent="0.25">
      <c r="A2309" s="10"/>
      <c r="B2309" s="10"/>
      <c r="C2309" s="10"/>
      <c r="D2309" s="10"/>
      <c r="E2309" s="10"/>
      <c r="F2309" s="10"/>
      <c r="G2309" s="10"/>
      <c r="H2309" s="10"/>
      <c r="I2309" s="1" t="str">
        <f t="shared" si="105"/>
        <v/>
      </c>
      <c r="J2309" s="1" t="s">
        <v>35</v>
      </c>
      <c r="K2309" s="1" t="str">
        <f t="shared" si="106"/>
        <v/>
      </c>
      <c r="L2309" s="1" t="str">
        <f t="shared" si="107"/>
        <v/>
      </c>
      <c r="M2309" s="1">
        <f>IF(OR(Table1[[#This Row],[Std Nom]]="",Table1[[#This Row],[Std Read]]=""),0,Table1[[#This Row],[Std Nom]]-Table1[[#This Row],[Std Read]])</f>
        <v>0</v>
      </c>
      <c r="N2309" s="1">
        <f>IF(Calculations!$F$5="ACCREDITED 17025 WITH UNCERTAINTIES",$N$10,0)</f>
        <v>0</v>
      </c>
      <c r="Q2309" s="1">
        <f>Table1[[#This Row],[High Tol]]-Table1[[#This Row],[Low Tol]]</f>
        <v>0</v>
      </c>
      <c r="R2309" s="1">
        <f>2*Table1[[#This Row],[Std Error]]</f>
        <v>0</v>
      </c>
      <c r="S2309" s="1" t="str">
        <f>IF(Table1[[#This Row],[High Tol]]="","N/A",IFERROR(ABS(Table1[[#This Row],[Tol Span]]/Table1[[#This Row],[Error Span]]),"N/A"))</f>
        <v>N/A</v>
      </c>
      <c r="T2309" s="1" t="str">
        <f>IF(OR(Table1[[#This Row],[Low Tol]]="",Table1[[#This Row],[High Tol]]=""),"Needs Analysis",IF(Table1[[#This Row],[Ratio]]&gt;=4,"Not Significant",IF(Table1[[#This Row],[Ratio]]&gt;=2,"Semi-Significant","Significant")))</f>
        <v>Needs Analysis</v>
      </c>
      <c r="W2309" s="1">
        <f>IF(Table1[[#This Row],[Cal Type]]&lt;&gt;"ACCREDITED 17025 WITH UNCERTAINTIES",0,"")</f>
        <v>0</v>
      </c>
      <c r="X2309" s="1" t="str">
        <f>IF(Table1[[#This Row],[DUT Read]]="","N/A",Table1[[#This Row],[Std Error]]+Table1[[#This Row],[DUT Read]]+Table1[[#This Row],[DUT Ucty]])</f>
        <v>N/A</v>
      </c>
      <c r="Y2309" s="1" t="str">
        <f>IF(Table1[[#This Row],[Std Read]]="","N/A",Table1[[#This Row],[Std Read]]+Table1[[#This Row],[Std Ucty]])</f>
        <v>N/A</v>
      </c>
      <c r="Z23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09" s="1" t="str">
        <f>IF(Table1[[#This Row],[Spec Type]]="","N/A",Table1[[#This Row],[Spec Type]])</f>
        <v>±</v>
      </c>
      <c r="AC2309" s="1" t="str">
        <f>IF(Table1[[#This Row],[Spec Type2]]="N/A","N/A",IF(AND(Table1[[#This Row],[DUT Adj Read]]&gt;=Table1[[#This Row],[Low Tol]],Table1[[#This Row],[DUT Adj Read]]&lt;=Table1[[#This Row],[High Tol]]),"Pass","Fail"))</f>
        <v>Fail</v>
      </c>
      <c r="AD2309" s="1" t="str">
        <f>IF(AND(Table1[[#This Row],[Spec Type2]]="N/A",Table1[[#This Row],[DUT Adj Read]]="N/A",Table1[[#This Row],[Std Adj Read]]="N/A"),"N/A",IF(Table1[[#This Row],[DUT Adj Read]]="N/A",IF(Table1[[#This Row],[Std Adj Read]]&gt;Table1[[#This Row],[Low Tol]],"Pass","Fail"),IF(Table1[[#This Row],[DUT Adj Read]]&gt;Table1[[#This Row],[Low Tol]],"Pass","Fail")))</f>
        <v>Pass</v>
      </c>
      <c r="AE2309" s="1" t="str">
        <f>IF(AND(Table1[[#This Row],[Spec Type2]]="N/A",Table1[[#This Row],[DUT Adj Read]]="N/A",Table1[[#This Row],[Std Adj Read]]="N/A"),"N/A",IF(Table1[[#This Row],[DUT Adj Read]]="N/A",IF(Table1[[#This Row],[Std Adj Read]]&lt;Table1[[#This Row],[High Tol]],"Pass","Fail"),IF(Table1[[#This Row],[DUT Adj Read]]&lt;Table1[[#This Row],[High Tol]],"Pass","Fail")))</f>
        <v>Fail</v>
      </c>
      <c r="AF2309" s="1" t="str">
        <f>IF(AND(Table1[[#This Row],[Spec Type2]]="N/A",Table1[[#This Row],[DUT Adj Read]]="N/A",Table1[[#This Row],[Std Adj Read]]="N/A"),"N/A",IF(Table1[[#This Row],[DUT Adj Read]]="N/A",IF(Table1[[#This Row],[Std Adj Read]]&gt;=Table1[[#This Row],[Low Tol]],"Pass","Fail"),IF(Table1[[#This Row],[DUT Adj Read]]&gt;=Table1[[#This Row],[Low Tol]],"Pass","Fail")))</f>
        <v>Pass</v>
      </c>
      <c r="AG2309" s="1" t="str">
        <f>IF(AND(Table1[[#This Row],[Spec Type2]]="N/A",Table1[[#This Row],[DUT Adj Read]]="N/A",Table1[[#This Row],[Std Adj Read]]="N/A"),"N/A",IF(Table1[[#This Row],[DUT Adj Read]]="N/A",IF(Table1[[#This Row],[Std Adj Read]]&lt;=Table1[[#This Row],[High Tol]],"Pass","Fail"),IF(Table1[[#This Row],[DUT Adj Read]]&lt;=Table1[[#This Row],[High Tol]],"Pass","Fail")))</f>
        <v>Fail</v>
      </c>
      <c r="AH23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09" s="1" t="b">
        <v>0</v>
      </c>
      <c r="AN2309" s="1" t="b">
        <v>0</v>
      </c>
      <c r="AO2309" s="1" t="b">
        <v>0</v>
      </c>
    </row>
    <row r="2310" spans="1:41" x14ac:dyDescent="0.25">
      <c r="A2310" s="10"/>
      <c r="B2310" s="10"/>
      <c r="C2310" s="10"/>
      <c r="D2310" s="10"/>
      <c r="E2310" s="10"/>
      <c r="F2310" s="10"/>
      <c r="G2310" s="10"/>
      <c r="H2310" s="10"/>
      <c r="I2310" s="1" t="str">
        <f t="shared" si="105"/>
        <v/>
      </c>
      <c r="J2310" s="1" t="s">
        <v>35</v>
      </c>
      <c r="K2310" s="1" t="str">
        <f t="shared" si="106"/>
        <v/>
      </c>
      <c r="L2310" s="1" t="str">
        <f t="shared" si="107"/>
        <v/>
      </c>
      <c r="M2310" s="1">
        <f>IF(OR(Table1[[#This Row],[Std Nom]]="",Table1[[#This Row],[Std Read]]=""),0,Table1[[#This Row],[Std Nom]]-Table1[[#This Row],[Std Read]])</f>
        <v>0</v>
      </c>
      <c r="N2310" s="1">
        <f>IF(Calculations!$F$5="ACCREDITED 17025 WITH UNCERTAINTIES",$N$10,0)</f>
        <v>0</v>
      </c>
      <c r="Q2310" s="1">
        <f>Table1[[#This Row],[High Tol]]-Table1[[#This Row],[Low Tol]]</f>
        <v>0</v>
      </c>
      <c r="R2310" s="1">
        <f>2*Table1[[#This Row],[Std Error]]</f>
        <v>0</v>
      </c>
      <c r="S2310" s="1" t="str">
        <f>IF(Table1[[#This Row],[High Tol]]="","N/A",IFERROR(ABS(Table1[[#This Row],[Tol Span]]/Table1[[#This Row],[Error Span]]),"N/A"))</f>
        <v>N/A</v>
      </c>
      <c r="T2310" s="1" t="str">
        <f>IF(OR(Table1[[#This Row],[Low Tol]]="",Table1[[#This Row],[High Tol]]=""),"Needs Analysis",IF(Table1[[#This Row],[Ratio]]&gt;=4,"Not Significant",IF(Table1[[#This Row],[Ratio]]&gt;=2,"Semi-Significant","Significant")))</f>
        <v>Needs Analysis</v>
      </c>
      <c r="W2310" s="1">
        <f>IF(Table1[[#This Row],[Cal Type]]&lt;&gt;"ACCREDITED 17025 WITH UNCERTAINTIES",0,"")</f>
        <v>0</v>
      </c>
      <c r="X2310" s="1" t="str">
        <f>IF(Table1[[#This Row],[DUT Read]]="","N/A",Table1[[#This Row],[Std Error]]+Table1[[#This Row],[DUT Read]]+Table1[[#This Row],[DUT Ucty]])</f>
        <v>N/A</v>
      </c>
      <c r="Y2310" s="1" t="str">
        <f>IF(Table1[[#This Row],[Std Read]]="","N/A",Table1[[#This Row],[Std Read]]+Table1[[#This Row],[Std Ucty]])</f>
        <v>N/A</v>
      </c>
      <c r="Z23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0" s="1" t="str">
        <f>IF(Table1[[#This Row],[Spec Type]]="","N/A",Table1[[#This Row],[Spec Type]])</f>
        <v>±</v>
      </c>
      <c r="AC2310" s="1" t="str">
        <f>IF(Table1[[#This Row],[Spec Type2]]="N/A","N/A",IF(AND(Table1[[#This Row],[DUT Adj Read]]&gt;=Table1[[#This Row],[Low Tol]],Table1[[#This Row],[DUT Adj Read]]&lt;=Table1[[#This Row],[High Tol]]),"Pass","Fail"))</f>
        <v>Fail</v>
      </c>
      <c r="AD2310" s="1" t="str">
        <f>IF(AND(Table1[[#This Row],[Spec Type2]]="N/A",Table1[[#This Row],[DUT Adj Read]]="N/A",Table1[[#This Row],[Std Adj Read]]="N/A"),"N/A",IF(Table1[[#This Row],[DUT Adj Read]]="N/A",IF(Table1[[#This Row],[Std Adj Read]]&gt;Table1[[#This Row],[Low Tol]],"Pass","Fail"),IF(Table1[[#This Row],[DUT Adj Read]]&gt;Table1[[#This Row],[Low Tol]],"Pass","Fail")))</f>
        <v>Pass</v>
      </c>
      <c r="AE2310" s="1" t="str">
        <f>IF(AND(Table1[[#This Row],[Spec Type2]]="N/A",Table1[[#This Row],[DUT Adj Read]]="N/A",Table1[[#This Row],[Std Adj Read]]="N/A"),"N/A",IF(Table1[[#This Row],[DUT Adj Read]]="N/A",IF(Table1[[#This Row],[Std Adj Read]]&lt;Table1[[#This Row],[High Tol]],"Pass","Fail"),IF(Table1[[#This Row],[DUT Adj Read]]&lt;Table1[[#This Row],[High Tol]],"Pass","Fail")))</f>
        <v>Fail</v>
      </c>
      <c r="AF2310" s="1" t="str">
        <f>IF(AND(Table1[[#This Row],[Spec Type2]]="N/A",Table1[[#This Row],[DUT Adj Read]]="N/A",Table1[[#This Row],[Std Adj Read]]="N/A"),"N/A",IF(Table1[[#This Row],[DUT Adj Read]]="N/A",IF(Table1[[#This Row],[Std Adj Read]]&gt;=Table1[[#This Row],[Low Tol]],"Pass","Fail"),IF(Table1[[#This Row],[DUT Adj Read]]&gt;=Table1[[#This Row],[Low Tol]],"Pass","Fail")))</f>
        <v>Pass</v>
      </c>
      <c r="AG2310" s="1" t="str">
        <f>IF(AND(Table1[[#This Row],[Spec Type2]]="N/A",Table1[[#This Row],[DUT Adj Read]]="N/A",Table1[[#This Row],[Std Adj Read]]="N/A"),"N/A",IF(Table1[[#This Row],[DUT Adj Read]]="N/A",IF(Table1[[#This Row],[Std Adj Read]]&lt;=Table1[[#This Row],[High Tol]],"Pass","Fail"),IF(Table1[[#This Row],[DUT Adj Read]]&lt;=Table1[[#This Row],[High Tol]],"Pass","Fail")))</f>
        <v>Fail</v>
      </c>
      <c r="AH23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0" s="1" t="b">
        <v>0</v>
      </c>
      <c r="AN2310" s="1" t="b">
        <v>0</v>
      </c>
      <c r="AO2310" s="1" t="b">
        <v>0</v>
      </c>
    </row>
    <row r="2311" spans="1:41" x14ac:dyDescent="0.25">
      <c r="A2311" s="10"/>
      <c r="B2311" s="10"/>
      <c r="C2311" s="10"/>
      <c r="D2311" s="10"/>
      <c r="E2311" s="10"/>
      <c r="F2311" s="10"/>
      <c r="G2311" s="10"/>
      <c r="H2311" s="10"/>
      <c r="I2311" s="1" t="str">
        <f t="shared" si="105"/>
        <v/>
      </c>
      <c r="J2311" s="1" t="s">
        <v>35</v>
      </c>
      <c r="K2311" s="1" t="str">
        <f t="shared" si="106"/>
        <v/>
      </c>
      <c r="L2311" s="1" t="str">
        <f t="shared" si="107"/>
        <v/>
      </c>
      <c r="M2311" s="1">
        <f>IF(OR(Table1[[#This Row],[Std Nom]]="",Table1[[#This Row],[Std Read]]=""),0,Table1[[#This Row],[Std Nom]]-Table1[[#This Row],[Std Read]])</f>
        <v>0</v>
      </c>
      <c r="N2311" s="1">
        <f>IF(Calculations!$F$5="ACCREDITED 17025 WITH UNCERTAINTIES",$N$10,0)</f>
        <v>0</v>
      </c>
      <c r="Q2311" s="1">
        <f>Table1[[#This Row],[High Tol]]-Table1[[#This Row],[Low Tol]]</f>
        <v>0</v>
      </c>
      <c r="R2311" s="1">
        <f>2*Table1[[#This Row],[Std Error]]</f>
        <v>0</v>
      </c>
      <c r="S2311" s="1" t="str">
        <f>IF(Table1[[#This Row],[High Tol]]="","N/A",IFERROR(ABS(Table1[[#This Row],[Tol Span]]/Table1[[#This Row],[Error Span]]),"N/A"))</f>
        <v>N/A</v>
      </c>
      <c r="T2311" s="1" t="str">
        <f>IF(OR(Table1[[#This Row],[Low Tol]]="",Table1[[#This Row],[High Tol]]=""),"Needs Analysis",IF(Table1[[#This Row],[Ratio]]&gt;=4,"Not Significant",IF(Table1[[#This Row],[Ratio]]&gt;=2,"Semi-Significant","Significant")))</f>
        <v>Needs Analysis</v>
      </c>
      <c r="W2311" s="1">
        <f>IF(Table1[[#This Row],[Cal Type]]&lt;&gt;"ACCREDITED 17025 WITH UNCERTAINTIES",0,"")</f>
        <v>0</v>
      </c>
      <c r="X2311" s="1" t="str">
        <f>IF(Table1[[#This Row],[DUT Read]]="","N/A",Table1[[#This Row],[Std Error]]+Table1[[#This Row],[DUT Read]]+Table1[[#This Row],[DUT Ucty]])</f>
        <v>N/A</v>
      </c>
      <c r="Y2311" s="1" t="str">
        <f>IF(Table1[[#This Row],[Std Read]]="","N/A",Table1[[#This Row],[Std Read]]+Table1[[#This Row],[Std Ucty]])</f>
        <v>N/A</v>
      </c>
      <c r="Z23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1" s="1" t="str">
        <f>IF(Table1[[#This Row],[Spec Type]]="","N/A",Table1[[#This Row],[Spec Type]])</f>
        <v>±</v>
      </c>
      <c r="AC2311" s="1" t="str">
        <f>IF(Table1[[#This Row],[Spec Type2]]="N/A","N/A",IF(AND(Table1[[#This Row],[DUT Adj Read]]&gt;=Table1[[#This Row],[Low Tol]],Table1[[#This Row],[DUT Adj Read]]&lt;=Table1[[#This Row],[High Tol]]),"Pass","Fail"))</f>
        <v>Fail</v>
      </c>
      <c r="AD2311" s="1" t="str">
        <f>IF(AND(Table1[[#This Row],[Spec Type2]]="N/A",Table1[[#This Row],[DUT Adj Read]]="N/A",Table1[[#This Row],[Std Adj Read]]="N/A"),"N/A",IF(Table1[[#This Row],[DUT Adj Read]]="N/A",IF(Table1[[#This Row],[Std Adj Read]]&gt;Table1[[#This Row],[Low Tol]],"Pass","Fail"),IF(Table1[[#This Row],[DUT Adj Read]]&gt;Table1[[#This Row],[Low Tol]],"Pass","Fail")))</f>
        <v>Pass</v>
      </c>
      <c r="AE2311" s="1" t="str">
        <f>IF(AND(Table1[[#This Row],[Spec Type2]]="N/A",Table1[[#This Row],[DUT Adj Read]]="N/A",Table1[[#This Row],[Std Adj Read]]="N/A"),"N/A",IF(Table1[[#This Row],[DUT Adj Read]]="N/A",IF(Table1[[#This Row],[Std Adj Read]]&lt;Table1[[#This Row],[High Tol]],"Pass","Fail"),IF(Table1[[#This Row],[DUT Adj Read]]&lt;Table1[[#This Row],[High Tol]],"Pass","Fail")))</f>
        <v>Fail</v>
      </c>
      <c r="AF2311" s="1" t="str">
        <f>IF(AND(Table1[[#This Row],[Spec Type2]]="N/A",Table1[[#This Row],[DUT Adj Read]]="N/A",Table1[[#This Row],[Std Adj Read]]="N/A"),"N/A",IF(Table1[[#This Row],[DUT Adj Read]]="N/A",IF(Table1[[#This Row],[Std Adj Read]]&gt;=Table1[[#This Row],[Low Tol]],"Pass","Fail"),IF(Table1[[#This Row],[DUT Adj Read]]&gt;=Table1[[#This Row],[Low Tol]],"Pass","Fail")))</f>
        <v>Pass</v>
      </c>
      <c r="AG2311" s="1" t="str">
        <f>IF(AND(Table1[[#This Row],[Spec Type2]]="N/A",Table1[[#This Row],[DUT Adj Read]]="N/A",Table1[[#This Row],[Std Adj Read]]="N/A"),"N/A",IF(Table1[[#This Row],[DUT Adj Read]]="N/A",IF(Table1[[#This Row],[Std Adj Read]]&lt;=Table1[[#This Row],[High Tol]],"Pass","Fail"),IF(Table1[[#This Row],[DUT Adj Read]]&lt;=Table1[[#This Row],[High Tol]],"Pass","Fail")))</f>
        <v>Fail</v>
      </c>
      <c r="AH23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1" s="1" t="b">
        <v>0</v>
      </c>
      <c r="AN2311" s="1" t="b">
        <v>0</v>
      </c>
      <c r="AO2311" s="1" t="b">
        <v>0</v>
      </c>
    </row>
    <row r="2312" spans="1:41" x14ac:dyDescent="0.25">
      <c r="A2312" s="10"/>
      <c r="B2312" s="10"/>
      <c r="C2312" s="10"/>
      <c r="D2312" s="10"/>
      <c r="E2312" s="10"/>
      <c r="F2312" s="10"/>
      <c r="G2312" s="10"/>
      <c r="H2312" s="10"/>
      <c r="I2312" s="1" t="str">
        <f t="shared" si="105"/>
        <v/>
      </c>
      <c r="J2312" s="1" t="s">
        <v>35</v>
      </c>
      <c r="K2312" s="1" t="str">
        <f t="shared" si="106"/>
        <v/>
      </c>
      <c r="L2312" s="1" t="str">
        <f t="shared" si="107"/>
        <v/>
      </c>
      <c r="M2312" s="1">
        <f>IF(OR(Table1[[#This Row],[Std Nom]]="",Table1[[#This Row],[Std Read]]=""),0,Table1[[#This Row],[Std Nom]]-Table1[[#This Row],[Std Read]])</f>
        <v>0</v>
      </c>
      <c r="N2312" s="1">
        <f>IF(Calculations!$F$5="ACCREDITED 17025 WITH UNCERTAINTIES",$N$10,0)</f>
        <v>0</v>
      </c>
      <c r="Q2312" s="1">
        <f>Table1[[#This Row],[High Tol]]-Table1[[#This Row],[Low Tol]]</f>
        <v>0</v>
      </c>
      <c r="R2312" s="1">
        <f>2*Table1[[#This Row],[Std Error]]</f>
        <v>0</v>
      </c>
      <c r="S2312" s="1" t="str">
        <f>IF(Table1[[#This Row],[High Tol]]="","N/A",IFERROR(ABS(Table1[[#This Row],[Tol Span]]/Table1[[#This Row],[Error Span]]),"N/A"))</f>
        <v>N/A</v>
      </c>
      <c r="T2312" s="1" t="str">
        <f>IF(OR(Table1[[#This Row],[Low Tol]]="",Table1[[#This Row],[High Tol]]=""),"Needs Analysis",IF(Table1[[#This Row],[Ratio]]&gt;=4,"Not Significant",IF(Table1[[#This Row],[Ratio]]&gt;=2,"Semi-Significant","Significant")))</f>
        <v>Needs Analysis</v>
      </c>
      <c r="W2312" s="1">
        <f>IF(Table1[[#This Row],[Cal Type]]&lt;&gt;"ACCREDITED 17025 WITH UNCERTAINTIES",0,"")</f>
        <v>0</v>
      </c>
      <c r="X2312" s="1" t="str">
        <f>IF(Table1[[#This Row],[DUT Read]]="","N/A",Table1[[#This Row],[Std Error]]+Table1[[#This Row],[DUT Read]]+Table1[[#This Row],[DUT Ucty]])</f>
        <v>N/A</v>
      </c>
      <c r="Y2312" s="1" t="str">
        <f>IF(Table1[[#This Row],[Std Read]]="","N/A",Table1[[#This Row],[Std Read]]+Table1[[#This Row],[Std Ucty]])</f>
        <v>N/A</v>
      </c>
      <c r="Z23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2" s="1" t="str">
        <f>IF(Table1[[#This Row],[Spec Type]]="","N/A",Table1[[#This Row],[Spec Type]])</f>
        <v>±</v>
      </c>
      <c r="AC2312" s="1" t="str">
        <f>IF(Table1[[#This Row],[Spec Type2]]="N/A","N/A",IF(AND(Table1[[#This Row],[DUT Adj Read]]&gt;=Table1[[#This Row],[Low Tol]],Table1[[#This Row],[DUT Adj Read]]&lt;=Table1[[#This Row],[High Tol]]),"Pass","Fail"))</f>
        <v>Fail</v>
      </c>
      <c r="AD2312" s="1" t="str">
        <f>IF(AND(Table1[[#This Row],[Spec Type2]]="N/A",Table1[[#This Row],[DUT Adj Read]]="N/A",Table1[[#This Row],[Std Adj Read]]="N/A"),"N/A",IF(Table1[[#This Row],[DUT Adj Read]]="N/A",IF(Table1[[#This Row],[Std Adj Read]]&gt;Table1[[#This Row],[Low Tol]],"Pass","Fail"),IF(Table1[[#This Row],[DUT Adj Read]]&gt;Table1[[#This Row],[Low Tol]],"Pass","Fail")))</f>
        <v>Pass</v>
      </c>
      <c r="AE2312" s="1" t="str">
        <f>IF(AND(Table1[[#This Row],[Spec Type2]]="N/A",Table1[[#This Row],[DUT Adj Read]]="N/A",Table1[[#This Row],[Std Adj Read]]="N/A"),"N/A",IF(Table1[[#This Row],[DUT Adj Read]]="N/A",IF(Table1[[#This Row],[Std Adj Read]]&lt;Table1[[#This Row],[High Tol]],"Pass","Fail"),IF(Table1[[#This Row],[DUT Adj Read]]&lt;Table1[[#This Row],[High Tol]],"Pass","Fail")))</f>
        <v>Fail</v>
      </c>
      <c r="AF2312" s="1" t="str">
        <f>IF(AND(Table1[[#This Row],[Spec Type2]]="N/A",Table1[[#This Row],[DUT Adj Read]]="N/A",Table1[[#This Row],[Std Adj Read]]="N/A"),"N/A",IF(Table1[[#This Row],[DUT Adj Read]]="N/A",IF(Table1[[#This Row],[Std Adj Read]]&gt;=Table1[[#This Row],[Low Tol]],"Pass","Fail"),IF(Table1[[#This Row],[DUT Adj Read]]&gt;=Table1[[#This Row],[Low Tol]],"Pass","Fail")))</f>
        <v>Pass</v>
      </c>
      <c r="AG2312" s="1" t="str">
        <f>IF(AND(Table1[[#This Row],[Spec Type2]]="N/A",Table1[[#This Row],[DUT Adj Read]]="N/A",Table1[[#This Row],[Std Adj Read]]="N/A"),"N/A",IF(Table1[[#This Row],[DUT Adj Read]]="N/A",IF(Table1[[#This Row],[Std Adj Read]]&lt;=Table1[[#This Row],[High Tol]],"Pass","Fail"),IF(Table1[[#This Row],[DUT Adj Read]]&lt;=Table1[[#This Row],[High Tol]],"Pass","Fail")))</f>
        <v>Fail</v>
      </c>
      <c r="AH23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2" s="1" t="b">
        <v>0</v>
      </c>
      <c r="AN2312" s="1" t="b">
        <v>0</v>
      </c>
      <c r="AO2312" s="1" t="b">
        <v>0</v>
      </c>
    </row>
    <row r="2313" spans="1:41" x14ac:dyDescent="0.25">
      <c r="A2313" s="10"/>
      <c r="B2313" s="10"/>
      <c r="C2313" s="10"/>
      <c r="D2313" s="10"/>
      <c r="E2313" s="10"/>
      <c r="F2313" s="10"/>
      <c r="G2313" s="10"/>
      <c r="H2313" s="10"/>
      <c r="I2313" s="1" t="str">
        <f t="shared" si="105"/>
        <v/>
      </c>
      <c r="J2313" s="1" t="s">
        <v>35</v>
      </c>
      <c r="K2313" s="1" t="str">
        <f t="shared" si="106"/>
        <v/>
      </c>
      <c r="L2313" s="1" t="str">
        <f t="shared" si="107"/>
        <v/>
      </c>
      <c r="M2313" s="1">
        <f>IF(OR(Table1[[#This Row],[Std Nom]]="",Table1[[#This Row],[Std Read]]=""),0,Table1[[#This Row],[Std Nom]]-Table1[[#This Row],[Std Read]])</f>
        <v>0</v>
      </c>
      <c r="N2313" s="1">
        <f>IF(Calculations!$F$5="ACCREDITED 17025 WITH UNCERTAINTIES",$N$10,0)</f>
        <v>0</v>
      </c>
      <c r="Q2313" s="1">
        <f>Table1[[#This Row],[High Tol]]-Table1[[#This Row],[Low Tol]]</f>
        <v>0</v>
      </c>
      <c r="R2313" s="1">
        <f>2*Table1[[#This Row],[Std Error]]</f>
        <v>0</v>
      </c>
      <c r="S2313" s="1" t="str">
        <f>IF(Table1[[#This Row],[High Tol]]="","N/A",IFERROR(ABS(Table1[[#This Row],[Tol Span]]/Table1[[#This Row],[Error Span]]),"N/A"))</f>
        <v>N/A</v>
      </c>
      <c r="T2313" s="1" t="str">
        <f>IF(OR(Table1[[#This Row],[Low Tol]]="",Table1[[#This Row],[High Tol]]=""),"Needs Analysis",IF(Table1[[#This Row],[Ratio]]&gt;=4,"Not Significant",IF(Table1[[#This Row],[Ratio]]&gt;=2,"Semi-Significant","Significant")))</f>
        <v>Needs Analysis</v>
      </c>
      <c r="W2313" s="1">
        <f>IF(Table1[[#This Row],[Cal Type]]&lt;&gt;"ACCREDITED 17025 WITH UNCERTAINTIES",0,"")</f>
        <v>0</v>
      </c>
      <c r="X2313" s="1" t="str">
        <f>IF(Table1[[#This Row],[DUT Read]]="","N/A",Table1[[#This Row],[Std Error]]+Table1[[#This Row],[DUT Read]]+Table1[[#This Row],[DUT Ucty]])</f>
        <v>N/A</v>
      </c>
      <c r="Y2313" s="1" t="str">
        <f>IF(Table1[[#This Row],[Std Read]]="","N/A",Table1[[#This Row],[Std Read]]+Table1[[#This Row],[Std Ucty]])</f>
        <v>N/A</v>
      </c>
      <c r="Z23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3" s="1" t="str">
        <f>IF(Table1[[#This Row],[Spec Type]]="","N/A",Table1[[#This Row],[Spec Type]])</f>
        <v>±</v>
      </c>
      <c r="AC2313" s="1" t="str">
        <f>IF(Table1[[#This Row],[Spec Type2]]="N/A","N/A",IF(AND(Table1[[#This Row],[DUT Adj Read]]&gt;=Table1[[#This Row],[Low Tol]],Table1[[#This Row],[DUT Adj Read]]&lt;=Table1[[#This Row],[High Tol]]),"Pass","Fail"))</f>
        <v>Fail</v>
      </c>
      <c r="AD2313" s="1" t="str">
        <f>IF(AND(Table1[[#This Row],[Spec Type2]]="N/A",Table1[[#This Row],[DUT Adj Read]]="N/A",Table1[[#This Row],[Std Adj Read]]="N/A"),"N/A",IF(Table1[[#This Row],[DUT Adj Read]]="N/A",IF(Table1[[#This Row],[Std Adj Read]]&gt;Table1[[#This Row],[Low Tol]],"Pass","Fail"),IF(Table1[[#This Row],[DUT Adj Read]]&gt;Table1[[#This Row],[Low Tol]],"Pass","Fail")))</f>
        <v>Pass</v>
      </c>
      <c r="AE2313" s="1" t="str">
        <f>IF(AND(Table1[[#This Row],[Spec Type2]]="N/A",Table1[[#This Row],[DUT Adj Read]]="N/A",Table1[[#This Row],[Std Adj Read]]="N/A"),"N/A",IF(Table1[[#This Row],[DUT Adj Read]]="N/A",IF(Table1[[#This Row],[Std Adj Read]]&lt;Table1[[#This Row],[High Tol]],"Pass","Fail"),IF(Table1[[#This Row],[DUT Adj Read]]&lt;Table1[[#This Row],[High Tol]],"Pass","Fail")))</f>
        <v>Fail</v>
      </c>
      <c r="AF2313" s="1" t="str">
        <f>IF(AND(Table1[[#This Row],[Spec Type2]]="N/A",Table1[[#This Row],[DUT Adj Read]]="N/A",Table1[[#This Row],[Std Adj Read]]="N/A"),"N/A",IF(Table1[[#This Row],[DUT Adj Read]]="N/A",IF(Table1[[#This Row],[Std Adj Read]]&gt;=Table1[[#This Row],[Low Tol]],"Pass","Fail"),IF(Table1[[#This Row],[DUT Adj Read]]&gt;=Table1[[#This Row],[Low Tol]],"Pass","Fail")))</f>
        <v>Pass</v>
      </c>
      <c r="AG2313" s="1" t="str">
        <f>IF(AND(Table1[[#This Row],[Spec Type2]]="N/A",Table1[[#This Row],[DUT Adj Read]]="N/A",Table1[[#This Row],[Std Adj Read]]="N/A"),"N/A",IF(Table1[[#This Row],[DUT Adj Read]]="N/A",IF(Table1[[#This Row],[Std Adj Read]]&lt;=Table1[[#This Row],[High Tol]],"Pass","Fail"),IF(Table1[[#This Row],[DUT Adj Read]]&lt;=Table1[[#This Row],[High Tol]],"Pass","Fail")))</f>
        <v>Fail</v>
      </c>
      <c r="AH23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3" s="1" t="b">
        <v>0</v>
      </c>
      <c r="AN2313" s="1" t="b">
        <v>0</v>
      </c>
      <c r="AO2313" s="1" t="b">
        <v>0</v>
      </c>
    </row>
    <row r="2314" spans="1:41" x14ac:dyDescent="0.25">
      <c r="A2314" s="10"/>
      <c r="B2314" s="10"/>
      <c r="C2314" s="10"/>
      <c r="D2314" s="10"/>
      <c r="E2314" s="10"/>
      <c r="F2314" s="10"/>
      <c r="G2314" s="10"/>
      <c r="H2314" s="10"/>
      <c r="I2314" s="1" t="str">
        <f t="shared" si="105"/>
        <v/>
      </c>
      <c r="J2314" s="1" t="s">
        <v>35</v>
      </c>
      <c r="K2314" s="1" t="str">
        <f t="shared" si="106"/>
        <v/>
      </c>
      <c r="L2314" s="1" t="str">
        <f t="shared" si="107"/>
        <v/>
      </c>
      <c r="M2314" s="1">
        <f>IF(OR(Table1[[#This Row],[Std Nom]]="",Table1[[#This Row],[Std Read]]=""),0,Table1[[#This Row],[Std Nom]]-Table1[[#This Row],[Std Read]])</f>
        <v>0</v>
      </c>
      <c r="N2314" s="1">
        <f>IF(Calculations!$F$5="ACCREDITED 17025 WITH UNCERTAINTIES",$N$10,0)</f>
        <v>0</v>
      </c>
      <c r="Q2314" s="1">
        <f>Table1[[#This Row],[High Tol]]-Table1[[#This Row],[Low Tol]]</f>
        <v>0</v>
      </c>
      <c r="R2314" s="1">
        <f>2*Table1[[#This Row],[Std Error]]</f>
        <v>0</v>
      </c>
      <c r="S2314" s="1" t="str">
        <f>IF(Table1[[#This Row],[High Tol]]="","N/A",IFERROR(ABS(Table1[[#This Row],[Tol Span]]/Table1[[#This Row],[Error Span]]),"N/A"))</f>
        <v>N/A</v>
      </c>
      <c r="T2314" s="1" t="str">
        <f>IF(OR(Table1[[#This Row],[Low Tol]]="",Table1[[#This Row],[High Tol]]=""),"Needs Analysis",IF(Table1[[#This Row],[Ratio]]&gt;=4,"Not Significant",IF(Table1[[#This Row],[Ratio]]&gt;=2,"Semi-Significant","Significant")))</f>
        <v>Needs Analysis</v>
      </c>
      <c r="W2314" s="1">
        <f>IF(Table1[[#This Row],[Cal Type]]&lt;&gt;"ACCREDITED 17025 WITH UNCERTAINTIES",0,"")</f>
        <v>0</v>
      </c>
      <c r="X2314" s="1" t="str">
        <f>IF(Table1[[#This Row],[DUT Read]]="","N/A",Table1[[#This Row],[Std Error]]+Table1[[#This Row],[DUT Read]]+Table1[[#This Row],[DUT Ucty]])</f>
        <v>N/A</v>
      </c>
      <c r="Y2314" s="1" t="str">
        <f>IF(Table1[[#This Row],[Std Read]]="","N/A",Table1[[#This Row],[Std Read]]+Table1[[#This Row],[Std Ucty]])</f>
        <v>N/A</v>
      </c>
      <c r="Z23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4" s="1" t="str">
        <f>IF(Table1[[#This Row],[Spec Type]]="","N/A",Table1[[#This Row],[Spec Type]])</f>
        <v>±</v>
      </c>
      <c r="AC2314" s="1" t="str">
        <f>IF(Table1[[#This Row],[Spec Type2]]="N/A","N/A",IF(AND(Table1[[#This Row],[DUT Adj Read]]&gt;=Table1[[#This Row],[Low Tol]],Table1[[#This Row],[DUT Adj Read]]&lt;=Table1[[#This Row],[High Tol]]),"Pass","Fail"))</f>
        <v>Fail</v>
      </c>
      <c r="AD2314" s="1" t="str">
        <f>IF(AND(Table1[[#This Row],[Spec Type2]]="N/A",Table1[[#This Row],[DUT Adj Read]]="N/A",Table1[[#This Row],[Std Adj Read]]="N/A"),"N/A",IF(Table1[[#This Row],[DUT Adj Read]]="N/A",IF(Table1[[#This Row],[Std Adj Read]]&gt;Table1[[#This Row],[Low Tol]],"Pass","Fail"),IF(Table1[[#This Row],[DUT Adj Read]]&gt;Table1[[#This Row],[Low Tol]],"Pass","Fail")))</f>
        <v>Pass</v>
      </c>
      <c r="AE2314" s="1" t="str">
        <f>IF(AND(Table1[[#This Row],[Spec Type2]]="N/A",Table1[[#This Row],[DUT Adj Read]]="N/A",Table1[[#This Row],[Std Adj Read]]="N/A"),"N/A",IF(Table1[[#This Row],[DUT Adj Read]]="N/A",IF(Table1[[#This Row],[Std Adj Read]]&lt;Table1[[#This Row],[High Tol]],"Pass","Fail"),IF(Table1[[#This Row],[DUT Adj Read]]&lt;Table1[[#This Row],[High Tol]],"Pass","Fail")))</f>
        <v>Fail</v>
      </c>
      <c r="AF2314" s="1" t="str">
        <f>IF(AND(Table1[[#This Row],[Spec Type2]]="N/A",Table1[[#This Row],[DUT Adj Read]]="N/A",Table1[[#This Row],[Std Adj Read]]="N/A"),"N/A",IF(Table1[[#This Row],[DUT Adj Read]]="N/A",IF(Table1[[#This Row],[Std Adj Read]]&gt;=Table1[[#This Row],[Low Tol]],"Pass","Fail"),IF(Table1[[#This Row],[DUT Adj Read]]&gt;=Table1[[#This Row],[Low Tol]],"Pass","Fail")))</f>
        <v>Pass</v>
      </c>
      <c r="AG2314" s="1" t="str">
        <f>IF(AND(Table1[[#This Row],[Spec Type2]]="N/A",Table1[[#This Row],[DUT Adj Read]]="N/A",Table1[[#This Row],[Std Adj Read]]="N/A"),"N/A",IF(Table1[[#This Row],[DUT Adj Read]]="N/A",IF(Table1[[#This Row],[Std Adj Read]]&lt;=Table1[[#This Row],[High Tol]],"Pass","Fail"),IF(Table1[[#This Row],[DUT Adj Read]]&lt;=Table1[[#This Row],[High Tol]],"Pass","Fail")))</f>
        <v>Fail</v>
      </c>
      <c r="AH23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4" s="1" t="b">
        <v>0</v>
      </c>
      <c r="AN2314" s="1" t="b">
        <v>0</v>
      </c>
      <c r="AO2314" s="1" t="b">
        <v>0</v>
      </c>
    </row>
    <row r="2315" spans="1:41" x14ac:dyDescent="0.25">
      <c r="A2315" s="10"/>
      <c r="B2315" s="10"/>
      <c r="C2315" s="10"/>
      <c r="D2315" s="10"/>
      <c r="E2315" s="10"/>
      <c r="F2315" s="10"/>
      <c r="G2315" s="10"/>
      <c r="H2315" s="10"/>
      <c r="I2315" s="1" t="str">
        <f t="shared" ref="I2315:I2378" si="108">IF($I$10="","",$I$10)</f>
        <v/>
      </c>
      <c r="J2315" s="1" t="s">
        <v>35</v>
      </c>
      <c r="K2315" s="1" t="str">
        <f t="shared" ref="K2315:K2378" si="109">IF($K$10="","",$K$10)</f>
        <v/>
      </c>
      <c r="L2315" s="1" t="str">
        <f t="shared" ref="L2315:L2378" si="110">IF($L$10="","",$L$10)</f>
        <v/>
      </c>
      <c r="M2315" s="1">
        <f>IF(OR(Table1[[#This Row],[Std Nom]]="",Table1[[#This Row],[Std Read]]=""),0,Table1[[#This Row],[Std Nom]]-Table1[[#This Row],[Std Read]])</f>
        <v>0</v>
      </c>
      <c r="N2315" s="1">
        <f>IF(Calculations!$F$5="ACCREDITED 17025 WITH UNCERTAINTIES",$N$10,0)</f>
        <v>0</v>
      </c>
      <c r="Q2315" s="1">
        <f>Table1[[#This Row],[High Tol]]-Table1[[#This Row],[Low Tol]]</f>
        <v>0</v>
      </c>
      <c r="R2315" s="1">
        <f>2*Table1[[#This Row],[Std Error]]</f>
        <v>0</v>
      </c>
      <c r="S2315" s="1" t="str">
        <f>IF(Table1[[#This Row],[High Tol]]="","N/A",IFERROR(ABS(Table1[[#This Row],[Tol Span]]/Table1[[#This Row],[Error Span]]),"N/A"))</f>
        <v>N/A</v>
      </c>
      <c r="T2315" s="1" t="str">
        <f>IF(OR(Table1[[#This Row],[Low Tol]]="",Table1[[#This Row],[High Tol]]=""),"Needs Analysis",IF(Table1[[#This Row],[Ratio]]&gt;=4,"Not Significant",IF(Table1[[#This Row],[Ratio]]&gt;=2,"Semi-Significant","Significant")))</f>
        <v>Needs Analysis</v>
      </c>
      <c r="W2315" s="1">
        <f>IF(Table1[[#This Row],[Cal Type]]&lt;&gt;"ACCREDITED 17025 WITH UNCERTAINTIES",0,"")</f>
        <v>0</v>
      </c>
      <c r="X2315" s="1" t="str">
        <f>IF(Table1[[#This Row],[DUT Read]]="","N/A",Table1[[#This Row],[Std Error]]+Table1[[#This Row],[DUT Read]]+Table1[[#This Row],[DUT Ucty]])</f>
        <v>N/A</v>
      </c>
      <c r="Y2315" s="1" t="str">
        <f>IF(Table1[[#This Row],[Std Read]]="","N/A",Table1[[#This Row],[Std Read]]+Table1[[#This Row],[Std Ucty]])</f>
        <v>N/A</v>
      </c>
      <c r="Z23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5" s="1" t="str">
        <f>IF(Table1[[#This Row],[Spec Type]]="","N/A",Table1[[#This Row],[Spec Type]])</f>
        <v>±</v>
      </c>
      <c r="AC2315" s="1" t="str">
        <f>IF(Table1[[#This Row],[Spec Type2]]="N/A","N/A",IF(AND(Table1[[#This Row],[DUT Adj Read]]&gt;=Table1[[#This Row],[Low Tol]],Table1[[#This Row],[DUT Adj Read]]&lt;=Table1[[#This Row],[High Tol]]),"Pass","Fail"))</f>
        <v>Fail</v>
      </c>
      <c r="AD2315" s="1" t="str">
        <f>IF(AND(Table1[[#This Row],[Spec Type2]]="N/A",Table1[[#This Row],[DUT Adj Read]]="N/A",Table1[[#This Row],[Std Adj Read]]="N/A"),"N/A",IF(Table1[[#This Row],[DUT Adj Read]]="N/A",IF(Table1[[#This Row],[Std Adj Read]]&gt;Table1[[#This Row],[Low Tol]],"Pass","Fail"),IF(Table1[[#This Row],[DUT Adj Read]]&gt;Table1[[#This Row],[Low Tol]],"Pass","Fail")))</f>
        <v>Pass</v>
      </c>
      <c r="AE2315" s="1" t="str">
        <f>IF(AND(Table1[[#This Row],[Spec Type2]]="N/A",Table1[[#This Row],[DUT Adj Read]]="N/A",Table1[[#This Row],[Std Adj Read]]="N/A"),"N/A",IF(Table1[[#This Row],[DUT Adj Read]]="N/A",IF(Table1[[#This Row],[Std Adj Read]]&lt;Table1[[#This Row],[High Tol]],"Pass","Fail"),IF(Table1[[#This Row],[DUT Adj Read]]&lt;Table1[[#This Row],[High Tol]],"Pass","Fail")))</f>
        <v>Fail</v>
      </c>
      <c r="AF2315" s="1" t="str">
        <f>IF(AND(Table1[[#This Row],[Spec Type2]]="N/A",Table1[[#This Row],[DUT Adj Read]]="N/A",Table1[[#This Row],[Std Adj Read]]="N/A"),"N/A",IF(Table1[[#This Row],[DUT Adj Read]]="N/A",IF(Table1[[#This Row],[Std Adj Read]]&gt;=Table1[[#This Row],[Low Tol]],"Pass","Fail"),IF(Table1[[#This Row],[DUT Adj Read]]&gt;=Table1[[#This Row],[Low Tol]],"Pass","Fail")))</f>
        <v>Pass</v>
      </c>
      <c r="AG2315" s="1" t="str">
        <f>IF(AND(Table1[[#This Row],[Spec Type2]]="N/A",Table1[[#This Row],[DUT Adj Read]]="N/A",Table1[[#This Row],[Std Adj Read]]="N/A"),"N/A",IF(Table1[[#This Row],[DUT Adj Read]]="N/A",IF(Table1[[#This Row],[Std Adj Read]]&lt;=Table1[[#This Row],[High Tol]],"Pass","Fail"),IF(Table1[[#This Row],[DUT Adj Read]]&lt;=Table1[[#This Row],[High Tol]],"Pass","Fail")))</f>
        <v>Fail</v>
      </c>
      <c r="AH23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5" s="1" t="b">
        <v>0</v>
      </c>
      <c r="AN2315" s="1" t="b">
        <v>0</v>
      </c>
      <c r="AO2315" s="1" t="b">
        <v>0</v>
      </c>
    </row>
    <row r="2316" spans="1:41" x14ac:dyDescent="0.25">
      <c r="A2316" s="10"/>
      <c r="B2316" s="10"/>
      <c r="C2316" s="10"/>
      <c r="D2316" s="10"/>
      <c r="E2316" s="10"/>
      <c r="F2316" s="10"/>
      <c r="G2316" s="10"/>
      <c r="H2316" s="10"/>
      <c r="I2316" s="1" t="str">
        <f t="shared" si="108"/>
        <v/>
      </c>
      <c r="J2316" s="1" t="s">
        <v>35</v>
      </c>
      <c r="K2316" s="1" t="str">
        <f t="shared" si="109"/>
        <v/>
      </c>
      <c r="L2316" s="1" t="str">
        <f t="shared" si="110"/>
        <v/>
      </c>
      <c r="M2316" s="1">
        <f>IF(OR(Table1[[#This Row],[Std Nom]]="",Table1[[#This Row],[Std Read]]=""),0,Table1[[#This Row],[Std Nom]]-Table1[[#This Row],[Std Read]])</f>
        <v>0</v>
      </c>
      <c r="N2316" s="1">
        <f>IF(Calculations!$F$5="ACCREDITED 17025 WITH UNCERTAINTIES",$N$10,0)</f>
        <v>0</v>
      </c>
      <c r="Q2316" s="1">
        <f>Table1[[#This Row],[High Tol]]-Table1[[#This Row],[Low Tol]]</f>
        <v>0</v>
      </c>
      <c r="R2316" s="1">
        <f>2*Table1[[#This Row],[Std Error]]</f>
        <v>0</v>
      </c>
      <c r="S2316" s="1" t="str">
        <f>IF(Table1[[#This Row],[High Tol]]="","N/A",IFERROR(ABS(Table1[[#This Row],[Tol Span]]/Table1[[#This Row],[Error Span]]),"N/A"))</f>
        <v>N/A</v>
      </c>
      <c r="T2316" s="1" t="str">
        <f>IF(OR(Table1[[#This Row],[Low Tol]]="",Table1[[#This Row],[High Tol]]=""),"Needs Analysis",IF(Table1[[#This Row],[Ratio]]&gt;=4,"Not Significant",IF(Table1[[#This Row],[Ratio]]&gt;=2,"Semi-Significant","Significant")))</f>
        <v>Needs Analysis</v>
      </c>
      <c r="W2316" s="1">
        <f>IF(Table1[[#This Row],[Cal Type]]&lt;&gt;"ACCREDITED 17025 WITH UNCERTAINTIES",0,"")</f>
        <v>0</v>
      </c>
      <c r="X2316" s="1" t="str">
        <f>IF(Table1[[#This Row],[DUT Read]]="","N/A",Table1[[#This Row],[Std Error]]+Table1[[#This Row],[DUT Read]]+Table1[[#This Row],[DUT Ucty]])</f>
        <v>N/A</v>
      </c>
      <c r="Y2316" s="1" t="str">
        <f>IF(Table1[[#This Row],[Std Read]]="","N/A",Table1[[#This Row],[Std Read]]+Table1[[#This Row],[Std Ucty]])</f>
        <v>N/A</v>
      </c>
      <c r="Z23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6" s="1" t="str">
        <f>IF(Table1[[#This Row],[Spec Type]]="","N/A",Table1[[#This Row],[Spec Type]])</f>
        <v>±</v>
      </c>
      <c r="AC2316" s="1" t="str">
        <f>IF(Table1[[#This Row],[Spec Type2]]="N/A","N/A",IF(AND(Table1[[#This Row],[DUT Adj Read]]&gt;=Table1[[#This Row],[Low Tol]],Table1[[#This Row],[DUT Adj Read]]&lt;=Table1[[#This Row],[High Tol]]),"Pass","Fail"))</f>
        <v>Fail</v>
      </c>
      <c r="AD2316" s="1" t="str">
        <f>IF(AND(Table1[[#This Row],[Spec Type2]]="N/A",Table1[[#This Row],[DUT Adj Read]]="N/A",Table1[[#This Row],[Std Adj Read]]="N/A"),"N/A",IF(Table1[[#This Row],[DUT Adj Read]]="N/A",IF(Table1[[#This Row],[Std Adj Read]]&gt;Table1[[#This Row],[Low Tol]],"Pass","Fail"),IF(Table1[[#This Row],[DUT Adj Read]]&gt;Table1[[#This Row],[Low Tol]],"Pass","Fail")))</f>
        <v>Pass</v>
      </c>
      <c r="AE2316" s="1" t="str">
        <f>IF(AND(Table1[[#This Row],[Spec Type2]]="N/A",Table1[[#This Row],[DUT Adj Read]]="N/A",Table1[[#This Row],[Std Adj Read]]="N/A"),"N/A",IF(Table1[[#This Row],[DUT Adj Read]]="N/A",IF(Table1[[#This Row],[Std Adj Read]]&lt;Table1[[#This Row],[High Tol]],"Pass","Fail"),IF(Table1[[#This Row],[DUT Adj Read]]&lt;Table1[[#This Row],[High Tol]],"Pass","Fail")))</f>
        <v>Fail</v>
      </c>
      <c r="AF2316" s="1" t="str">
        <f>IF(AND(Table1[[#This Row],[Spec Type2]]="N/A",Table1[[#This Row],[DUT Adj Read]]="N/A",Table1[[#This Row],[Std Adj Read]]="N/A"),"N/A",IF(Table1[[#This Row],[DUT Adj Read]]="N/A",IF(Table1[[#This Row],[Std Adj Read]]&gt;=Table1[[#This Row],[Low Tol]],"Pass","Fail"),IF(Table1[[#This Row],[DUT Adj Read]]&gt;=Table1[[#This Row],[Low Tol]],"Pass","Fail")))</f>
        <v>Pass</v>
      </c>
      <c r="AG2316" s="1" t="str">
        <f>IF(AND(Table1[[#This Row],[Spec Type2]]="N/A",Table1[[#This Row],[DUT Adj Read]]="N/A",Table1[[#This Row],[Std Adj Read]]="N/A"),"N/A",IF(Table1[[#This Row],[DUT Adj Read]]="N/A",IF(Table1[[#This Row],[Std Adj Read]]&lt;=Table1[[#This Row],[High Tol]],"Pass","Fail"),IF(Table1[[#This Row],[DUT Adj Read]]&lt;=Table1[[#This Row],[High Tol]],"Pass","Fail")))</f>
        <v>Fail</v>
      </c>
      <c r="AH23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6" s="1" t="b">
        <v>0</v>
      </c>
      <c r="AN2316" s="1" t="b">
        <v>0</v>
      </c>
      <c r="AO2316" s="1" t="b">
        <v>0</v>
      </c>
    </row>
    <row r="2317" spans="1:41" x14ac:dyDescent="0.25">
      <c r="A2317" s="10"/>
      <c r="B2317" s="10"/>
      <c r="C2317" s="10"/>
      <c r="D2317" s="10"/>
      <c r="E2317" s="10"/>
      <c r="F2317" s="10"/>
      <c r="G2317" s="10"/>
      <c r="H2317" s="10"/>
      <c r="I2317" s="1" t="str">
        <f t="shared" si="108"/>
        <v/>
      </c>
      <c r="J2317" s="1" t="s">
        <v>35</v>
      </c>
      <c r="K2317" s="1" t="str">
        <f t="shared" si="109"/>
        <v/>
      </c>
      <c r="L2317" s="1" t="str">
        <f t="shared" si="110"/>
        <v/>
      </c>
      <c r="M2317" s="1">
        <f>IF(OR(Table1[[#This Row],[Std Nom]]="",Table1[[#This Row],[Std Read]]=""),0,Table1[[#This Row],[Std Nom]]-Table1[[#This Row],[Std Read]])</f>
        <v>0</v>
      </c>
      <c r="N2317" s="1">
        <f>IF(Calculations!$F$5="ACCREDITED 17025 WITH UNCERTAINTIES",$N$10,0)</f>
        <v>0</v>
      </c>
      <c r="Q2317" s="1">
        <f>Table1[[#This Row],[High Tol]]-Table1[[#This Row],[Low Tol]]</f>
        <v>0</v>
      </c>
      <c r="R2317" s="1">
        <f>2*Table1[[#This Row],[Std Error]]</f>
        <v>0</v>
      </c>
      <c r="S2317" s="1" t="str">
        <f>IF(Table1[[#This Row],[High Tol]]="","N/A",IFERROR(ABS(Table1[[#This Row],[Tol Span]]/Table1[[#This Row],[Error Span]]),"N/A"))</f>
        <v>N/A</v>
      </c>
      <c r="T2317" s="1" t="str">
        <f>IF(OR(Table1[[#This Row],[Low Tol]]="",Table1[[#This Row],[High Tol]]=""),"Needs Analysis",IF(Table1[[#This Row],[Ratio]]&gt;=4,"Not Significant",IF(Table1[[#This Row],[Ratio]]&gt;=2,"Semi-Significant","Significant")))</f>
        <v>Needs Analysis</v>
      </c>
      <c r="W2317" s="1">
        <f>IF(Table1[[#This Row],[Cal Type]]&lt;&gt;"ACCREDITED 17025 WITH UNCERTAINTIES",0,"")</f>
        <v>0</v>
      </c>
      <c r="X2317" s="1" t="str">
        <f>IF(Table1[[#This Row],[DUT Read]]="","N/A",Table1[[#This Row],[Std Error]]+Table1[[#This Row],[DUT Read]]+Table1[[#This Row],[DUT Ucty]])</f>
        <v>N/A</v>
      </c>
      <c r="Y2317" s="1" t="str">
        <f>IF(Table1[[#This Row],[Std Read]]="","N/A",Table1[[#This Row],[Std Read]]+Table1[[#This Row],[Std Ucty]])</f>
        <v>N/A</v>
      </c>
      <c r="Z23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7" s="1" t="str">
        <f>IF(Table1[[#This Row],[Spec Type]]="","N/A",Table1[[#This Row],[Spec Type]])</f>
        <v>±</v>
      </c>
      <c r="AC2317" s="1" t="str">
        <f>IF(Table1[[#This Row],[Spec Type2]]="N/A","N/A",IF(AND(Table1[[#This Row],[DUT Adj Read]]&gt;=Table1[[#This Row],[Low Tol]],Table1[[#This Row],[DUT Adj Read]]&lt;=Table1[[#This Row],[High Tol]]),"Pass","Fail"))</f>
        <v>Fail</v>
      </c>
      <c r="AD2317" s="1" t="str">
        <f>IF(AND(Table1[[#This Row],[Spec Type2]]="N/A",Table1[[#This Row],[DUT Adj Read]]="N/A",Table1[[#This Row],[Std Adj Read]]="N/A"),"N/A",IF(Table1[[#This Row],[DUT Adj Read]]="N/A",IF(Table1[[#This Row],[Std Adj Read]]&gt;Table1[[#This Row],[Low Tol]],"Pass","Fail"),IF(Table1[[#This Row],[DUT Adj Read]]&gt;Table1[[#This Row],[Low Tol]],"Pass","Fail")))</f>
        <v>Pass</v>
      </c>
      <c r="AE2317" s="1" t="str">
        <f>IF(AND(Table1[[#This Row],[Spec Type2]]="N/A",Table1[[#This Row],[DUT Adj Read]]="N/A",Table1[[#This Row],[Std Adj Read]]="N/A"),"N/A",IF(Table1[[#This Row],[DUT Adj Read]]="N/A",IF(Table1[[#This Row],[Std Adj Read]]&lt;Table1[[#This Row],[High Tol]],"Pass","Fail"),IF(Table1[[#This Row],[DUT Adj Read]]&lt;Table1[[#This Row],[High Tol]],"Pass","Fail")))</f>
        <v>Fail</v>
      </c>
      <c r="AF2317" s="1" t="str">
        <f>IF(AND(Table1[[#This Row],[Spec Type2]]="N/A",Table1[[#This Row],[DUT Adj Read]]="N/A",Table1[[#This Row],[Std Adj Read]]="N/A"),"N/A",IF(Table1[[#This Row],[DUT Adj Read]]="N/A",IF(Table1[[#This Row],[Std Adj Read]]&gt;=Table1[[#This Row],[Low Tol]],"Pass","Fail"),IF(Table1[[#This Row],[DUT Adj Read]]&gt;=Table1[[#This Row],[Low Tol]],"Pass","Fail")))</f>
        <v>Pass</v>
      </c>
      <c r="AG2317" s="1" t="str">
        <f>IF(AND(Table1[[#This Row],[Spec Type2]]="N/A",Table1[[#This Row],[DUT Adj Read]]="N/A",Table1[[#This Row],[Std Adj Read]]="N/A"),"N/A",IF(Table1[[#This Row],[DUT Adj Read]]="N/A",IF(Table1[[#This Row],[Std Adj Read]]&lt;=Table1[[#This Row],[High Tol]],"Pass","Fail"),IF(Table1[[#This Row],[DUT Adj Read]]&lt;=Table1[[#This Row],[High Tol]],"Pass","Fail")))</f>
        <v>Fail</v>
      </c>
      <c r="AH23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7" s="1" t="b">
        <v>0</v>
      </c>
      <c r="AN2317" s="1" t="b">
        <v>0</v>
      </c>
      <c r="AO2317" s="1" t="b">
        <v>0</v>
      </c>
    </row>
    <row r="2318" spans="1:41" x14ac:dyDescent="0.25">
      <c r="A2318" s="10"/>
      <c r="B2318" s="10"/>
      <c r="C2318" s="10"/>
      <c r="D2318" s="10"/>
      <c r="E2318" s="10"/>
      <c r="F2318" s="10"/>
      <c r="G2318" s="10"/>
      <c r="H2318" s="10"/>
      <c r="I2318" s="1" t="str">
        <f t="shared" si="108"/>
        <v/>
      </c>
      <c r="J2318" s="1" t="s">
        <v>35</v>
      </c>
      <c r="K2318" s="1" t="str">
        <f t="shared" si="109"/>
        <v/>
      </c>
      <c r="L2318" s="1" t="str">
        <f t="shared" si="110"/>
        <v/>
      </c>
      <c r="M2318" s="1">
        <f>IF(OR(Table1[[#This Row],[Std Nom]]="",Table1[[#This Row],[Std Read]]=""),0,Table1[[#This Row],[Std Nom]]-Table1[[#This Row],[Std Read]])</f>
        <v>0</v>
      </c>
      <c r="N2318" s="1">
        <f>IF(Calculations!$F$5="ACCREDITED 17025 WITH UNCERTAINTIES",$N$10,0)</f>
        <v>0</v>
      </c>
      <c r="Q2318" s="1">
        <f>Table1[[#This Row],[High Tol]]-Table1[[#This Row],[Low Tol]]</f>
        <v>0</v>
      </c>
      <c r="R2318" s="1">
        <f>2*Table1[[#This Row],[Std Error]]</f>
        <v>0</v>
      </c>
      <c r="S2318" s="1" t="str">
        <f>IF(Table1[[#This Row],[High Tol]]="","N/A",IFERROR(ABS(Table1[[#This Row],[Tol Span]]/Table1[[#This Row],[Error Span]]),"N/A"))</f>
        <v>N/A</v>
      </c>
      <c r="T2318" s="1" t="str">
        <f>IF(OR(Table1[[#This Row],[Low Tol]]="",Table1[[#This Row],[High Tol]]=""),"Needs Analysis",IF(Table1[[#This Row],[Ratio]]&gt;=4,"Not Significant",IF(Table1[[#This Row],[Ratio]]&gt;=2,"Semi-Significant","Significant")))</f>
        <v>Needs Analysis</v>
      </c>
      <c r="W2318" s="1">
        <f>IF(Table1[[#This Row],[Cal Type]]&lt;&gt;"ACCREDITED 17025 WITH UNCERTAINTIES",0,"")</f>
        <v>0</v>
      </c>
      <c r="X2318" s="1" t="str">
        <f>IF(Table1[[#This Row],[DUT Read]]="","N/A",Table1[[#This Row],[Std Error]]+Table1[[#This Row],[DUT Read]]+Table1[[#This Row],[DUT Ucty]])</f>
        <v>N/A</v>
      </c>
      <c r="Y2318" s="1" t="str">
        <f>IF(Table1[[#This Row],[Std Read]]="","N/A",Table1[[#This Row],[Std Read]]+Table1[[#This Row],[Std Ucty]])</f>
        <v>N/A</v>
      </c>
      <c r="Z23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8" s="1" t="str">
        <f>IF(Table1[[#This Row],[Spec Type]]="","N/A",Table1[[#This Row],[Spec Type]])</f>
        <v>±</v>
      </c>
      <c r="AC2318" s="1" t="str">
        <f>IF(Table1[[#This Row],[Spec Type2]]="N/A","N/A",IF(AND(Table1[[#This Row],[DUT Adj Read]]&gt;=Table1[[#This Row],[Low Tol]],Table1[[#This Row],[DUT Adj Read]]&lt;=Table1[[#This Row],[High Tol]]),"Pass","Fail"))</f>
        <v>Fail</v>
      </c>
      <c r="AD2318" s="1" t="str">
        <f>IF(AND(Table1[[#This Row],[Spec Type2]]="N/A",Table1[[#This Row],[DUT Adj Read]]="N/A",Table1[[#This Row],[Std Adj Read]]="N/A"),"N/A",IF(Table1[[#This Row],[DUT Adj Read]]="N/A",IF(Table1[[#This Row],[Std Adj Read]]&gt;Table1[[#This Row],[Low Tol]],"Pass","Fail"),IF(Table1[[#This Row],[DUT Adj Read]]&gt;Table1[[#This Row],[Low Tol]],"Pass","Fail")))</f>
        <v>Pass</v>
      </c>
      <c r="AE2318" s="1" t="str">
        <f>IF(AND(Table1[[#This Row],[Spec Type2]]="N/A",Table1[[#This Row],[DUT Adj Read]]="N/A",Table1[[#This Row],[Std Adj Read]]="N/A"),"N/A",IF(Table1[[#This Row],[DUT Adj Read]]="N/A",IF(Table1[[#This Row],[Std Adj Read]]&lt;Table1[[#This Row],[High Tol]],"Pass","Fail"),IF(Table1[[#This Row],[DUT Adj Read]]&lt;Table1[[#This Row],[High Tol]],"Pass","Fail")))</f>
        <v>Fail</v>
      </c>
      <c r="AF2318" s="1" t="str">
        <f>IF(AND(Table1[[#This Row],[Spec Type2]]="N/A",Table1[[#This Row],[DUT Adj Read]]="N/A",Table1[[#This Row],[Std Adj Read]]="N/A"),"N/A",IF(Table1[[#This Row],[DUT Adj Read]]="N/A",IF(Table1[[#This Row],[Std Adj Read]]&gt;=Table1[[#This Row],[Low Tol]],"Pass","Fail"),IF(Table1[[#This Row],[DUT Adj Read]]&gt;=Table1[[#This Row],[Low Tol]],"Pass","Fail")))</f>
        <v>Pass</v>
      </c>
      <c r="AG2318" s="1" t="str">
        <f>IF(AND(Table1[[#This Row],[Spec Type2]]="N/A",Table1[[#This Row],[DUT Adj Read]]="N/A",Table1[[#This Row],[Std Adj Read]]="N/A"),"N/A",IF(Table1[[#This Row],[DUT Adj Read]]="N/A",IF(Table1[[#This Row],[Std Adj Read]]&lt;=Table1[[#This Row],[High Tol]],"Pass","Fail"),IF(Table1[[#This Row],[DUT Adj Read]]&lt;=Table1[[#This Row],[High Tol]],"Pass","Fail")))</f>
        <v>Fail</v>
      </c>
      <c r="AH23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8" s="1" t="b">
        <v>0</v>
      </c>
      <c r="AN2318" s="1" t="b">
        <v>0</v>
      </c>
      <c r="AO2318" s="1" t="b">
        <v>0</v>
      </c>
    </row>
    <row r="2319" spans="1:41" x14ac:dyDescent="0.25">
      <c r="A2319" s="10"/>
      <c r="B2319" s="10"/>
      <c r="C2319" s="10"/>
      <c r="D2319" s="10"/>
      <c r="E2319" s="10"/>
      <c r="F2319" s="10"/>
      <c r="G2319" s="10"/>
      <c r="H2319" s="10"/>
      <c r="I2319" s="1" t="str">
        <f t="shared" si="108"/>
        <v/>
      </c>
      <c r="J2319" s="1" t="s">
        <v>35</v>
      </c>
      <c r="K2319" s="1" t="str">
        <f t="shared" si="109"/>
        <v/>
      </c>
      <c r="L2319" s="1" t="str">
        <f t="shared" si="110"/>
        <v/>
      </c>
      <c r="M2319" s="1">
        <f>IF(OR(Table1[[#This Row],[Std Nom]]="",Table1[[#This Row],[Std Read]]=""),0,Table1[[#This Row],[Std Nom]]-Table1[[#This Row],[Std Read]])</f>
        <v>0</v>
      </c>
      <c r="N2319" s="1">
        <f>IF(Calculations!$F$5="ACCREDITED 17025 WITH UNCERTAINTIES",$N$10,0)</f>
        <v>0</v>
      </c>
      <c r="Q2319" s="1">
        <f>Table1[[#This Row],[High Tol]]-Table1[[#This Row],[Low Tol]]</f>
        <v>0</v>
      </c>
      <c r="R2319" s="1">
        <f>2*Table1[[#This Row],[Std Error]]</f>
        <v>0</v>
      </c>
      <c r="S2319" s="1" t="str">
        <f>IF(Table1[[#This Row],[High Tol]]="","N/A",IFERROR(ABS(Table1[[#This Row],[Tol Span]]/Table1[[#This Row],[Error Span]]),"N/A"))</f>
        <v>N/A</v>
      </c>
      <c r="T2319" s="1" t="str">
        <f>IF(OR(Table1[[#This Row],[Low Tol]]="",Table1[[#This Row],[High Tol]]=""),"Needs Analysis",IF(Table1[[#This Row],[Ratio]]&gt;=4,"Not Significant",IF(Table1[[#This Row],[Ratio]]&gt;=2,"Semi-Significant","Significant")))</f>
        <v>Needs Analysis</v>
      </c>
      <c r="W2319" s="1">
        <f>IF(Table1[[#This Row],[Cal Type]]&lt;&gt;"ACCREDITED 17025 WITH UNCERTAINTIES",0,"")</f>
        <v>0</v>
      </c>
      <c r="X2319" s="1" t="str">
        <f>IF(Table1[[#This Row],[DUT Read]]="","N/A",Table1[[#This Row],[Std Error]]+Table1[[#This Row],[DUT Read]]+Table1[[#This Row],[DUT Ucty]])</f>
        <v>N/A</v>
      </c>
      <c r="Y2319" s="1" t="str">
        <f>IF(Table1[[#This Row],[Std Read]]="","N/A",Table1[[#This Row],[Std Read]]+Table1[[#This Row],[Std Ucty]])</f>
        <v>N/A</v>
      </c>
      <c r="Z23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19" s="1" t="str">
        <f>IF(Table1[[#This Row],[Spec Type]]="","N/A",Table1[[#This Row],[Spec Type]])</f>
        <v>±</v>
      </c>
      <c r="AC2319" s="1" t="str">
        <f>IF(Table1[[#This Row],[Spec Type2]]="N/A","N/A",IF(AND(Table1[[#This Row],[DUT Adj Read]]&gt;=Table1[[#This Row],[Low Tol]],Table1[[#This Row],[DUT Adj Read]]&lt;=Table1[[#This Row],[High Tol]]),"Pass","Fail"))</f>
        <v>Fail</v>
      </c>
      <c r="AD2319" s="1" t="str">
        <f>IF(AND(Table1[[#This Row],[Spec Type2]]="N/A",Table1[[#This Row],[DUT Adj Read]]="N/A",Table1[[#This Row],[Std Adj Read]]="N/A"),"N/A",IF(Table1[[#This Row],[DUT Adj Read]]="N/A",IF(Table1[[#This Row],[Std Adj Read]]&gt;Table1[[#This Row],[Low Tol]],"Pass","Fail"),IF(Table1[[#This Row],[DUT Adj Read]]&gt;Table1[[#This Row],[Low Tol]],"Pass","Fail")))</f>
        <v>Pass</v>
      </c>
      <c r="AE2319" s="1" t="str">
        <f>IF(AND(Table1[[#This Row],[Spec Type2]]="N/A",Table1[[#This Row],[DUT Adj Read]]="N/A",Table1[[#This Row],[Std Adj Read]]="N/A"),"N/A",IF(Table1[[#This Row],[DUT Adj Read]]="N/A",IF(Table1[[#This Row],[Std Adj Read]]&lt;Table1[[#This Row],[High Tol]],"Pass","Fail"),IF(Table1[[#This Row],[DUT Adj Read]]&lt;Table1[[#This Row],[High Tol]],"Pass","Fail")))</f>
        <v>Fail</v>
      </c>
      <c r="AF2319" s="1" t="str">
        <f>IF(AND(Table1[[#This Row],[Spec Type2]]="N/A",Table1[[#This Row],[DUT Adj Read]]="N/A",Table1[[#This Row],[Std Adj Read]]="N/A"),"N/A",IF(Table1[[#This Row],[DUT Adj Read]]="N/A",IF(Table1[[#This Row],[Std Adj Read]]&gt;=Table1[[#This Row],[Low Tol]],"Pass","Fail"),IF(Table1[[#This Row],[DUT Adj Read]]&gt;=Table1[[#This Row],[Low Tol]],"Pass","Fail")))</f>
        <v>Pass</v>
      </c>
      <c r="AG2319" s="1" t="str">
        <f>IF(AND(Table1[[#This Row],[Spec Type2]]="N/A",Table1[[#This Row],[DUT Adj Read]]="N/A",Table1[[#This Row],[Std Adj Read]]="N/A"),"N/A",IF(Table1[[#This Row],[DUT Adj Read]]="N/A",IF(Table1[[#This Row],[Std Adj Read]]&lt;=Table1[[#This Row],[High Tol]],"Pass","Fail"),IF(Table1[[#This Row],[DUT Adj Read]]&lt;=Table1[[#This Row],[High Tol]],"Pass","Fail")))</f>
        <v>Fail</v>
      </c>
      <c r="AH23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19" s="1" t="b">
        <v>0</v>
      </c>
      <c r="AN2319" s="1" t="b">
        <v>0</v>
      </c>
      <c r="AO2319" s="1" t="b">
        <v>0</v>
      </c>
    </row>
    <row r="2320" spans="1:41" x14ac:dyDescent="0.25">
      <c r="A2320" s="10"/>
      <c r="B2320" s="10"/>
      <c r="C2320" s="10"/>
      <c r="D2320" s="10"/>
      <c r="E2320" s="10"/>
      <c r="F2320" s="10"/>
      <c r="G2320" s="10"/>
      <c r="H2320" s="10"/>
      <c r="I2320" s="1" t="str">
        <f t="shared" si="108"/>
        <v/>
      </c>
      <c r="J2320" s="1" t="s">
        <v>35</v>
      </c>
      <c r="K2320" s="1" t="str">
        <f t="shared" si="109"/>
        <v/>
      </c>
      <c r="L2320" s="1" t="str">
        <f t="shared" si="110"/>
        <v/>
      </c>
      <c r="M2320" s="1">
        <f>IF(OR(Table1[[#This Row],[Std Nom]]="",Table1[[#This Row],[Std Read]]=""),0,Table1[[#This Row],[Std Nom]]-Table1[[#This Row],[Std Read]])</f>
        <v>0</v>
      </c>
      <c r="N2320" s="1">
        <f>IF(Calculations!$F$5="ACCREDITED 17025 WITH UNCERTAINTIES",$N$10,0)</f>
        <v>0</v>
      </c>
      <c r="Q2320" s="1">
        <f>Table1[[#This Row],[High Tol]]-Table1[[#This Row],[Low Tol]]</f>
        <v>0</v>
      </c>
      <c r="R2320" s="1">
        <f>2*Table1[[#This Row],[Std Error]]</f>
        <v>0</v>
      </c>
      <c r="S2320" s="1" t="str">
        <f>IF(Table1[[#This Row],[High Tol]]="","N/A",IFERROR(ABS(Table1[[#This Row],[Tol Span]]/Table1[[#This Row],[Error Span]]),"N/A"))</f>
        <v>N/A</v>
      </c>
      <c r="T2320" s="1" t="str">
        <f>IF(OR(Table1[[#This Row],[Low Tol]]="",Table1[[#This Row],[High Tol]]=""),"Needs Analysis",IF(Table1[[#This Row],[Ratio]]&gt;=4,"Not Significant",IF(Table1[[#This Row],[Ratio]]&gt;=2,"Semi-Significant","Significant")))</f>
        <v>Needs Analysis</v>
      </c>
      <c r="W2320" s="1">
        <f>IF(Table1[[#This Row],[Cal Type]]&lt;&gt;"ACCREDITED 17025 WITH UNCERTAINTIES",0,"")</f>
        <v>0</v>
      </c>
      <c r="X2320" s="1" t="str">
        <f>IF(Table1[[#This Row],[DUT Read]]="","N/A",Table1[[#This Row],[Std Error]]+Table1[[#This Row],[DUT Read]]+Table1[[#This Row],[DUT Ucty]])</f>
        <v>N/A</v>
      </c>
      <c r="Y2320" s="1" t="str">
        <f>IF(Table1[[#This Row],[Std Read]]="","N/A",Table1[[#This Row],[Std Read]]+Table1[[#This Row],[Std Ucty]])</f>
        <v>N/A</v>
      </c>
      <c r="Z23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0" s="1" t="str">
        <f>IF(Table1[[#This Row],[Spec Type]]="","N/A",Table1[[#This Row],[Spec Type]])</f>
        <v>±</v>
      </c>
      <c r="AC2320" s="1" t="str">
        <f>IF(Table1[[#This Row],[Spec Type2]]="N/A","N/A",IF(AND(Table1[[#This Row],[DUT Adj Read]]&gt;=Table1[[#This Row],[Low Tol]],Table1[[#This Row],[DUT Adj Read]]&lt;=Table1[[#This Row],[High Tol]]),"Pass","Fail"))</f>
        <v>Fail</v>
      </c>
      <c r="AD2320" s="1" t="str">
        <f>IF(AND(Table1[[#This Row],[Spec Type2]]="N/A",Table1[[#This Row],[DUT Adj Read]]="N/A",Table1[[#This Row],[Std Adj Read]]="N/A"),"N/A",IF(Table1[[#This Row],[DUT Adj Read]]="N/A",IF(Table1[[#This Row],[Std Adj Read]]&gt;Table1[[#This Row],[Low Tol]],"Pass","Fail"),IF(Table1[[#This Row],[DUT Adj Read]]&gt;Table1[[#This Row],[Low Tol]],"Pass","Fail")))</f>
        <v>Pass</v>
      </c>
      <c r="AE2320" s="1" t="str">
        <f>IF(AND(Table1[[#This Row],[Spec Type2]]="N/A",Table1[[#This Row],[DUT Adj Read]]="N/A",Table1[[#This Row],[Std Adj Read]]="N/A"),"N/A",IF(Table1[[#This Row],[DUT Adj Read]]="N/A",IF(Table1[[#This Row],[Std Adj Read]]&lt;Table1[[#This Row],[High Tol]],"Pass","Fail"),IF(Table1[[#This Row],[DUT Adj Read]]&lt;Table1[[#This Row],[High Tol]],"Pass","Fail")))</f>
        <v>Fail</v>
      </c>
      <c r="AF2320" s="1" t="str">
        <f>IF(AND(Table1[[#This Row],[Spec Type2]]="N/A",Table1[[#This Row],[DUT Adj Read]]="N/A",Table1[[#This Row],[Std Adj Read]]="N/A"),"N/A",IF(Table1[[#This Row],[DUT Adj Read]]="N/A",IF(Table1[[#This Row],[Std Adj Read]]&gt;=Table1[[#This Row],[Low Tol]],"Pass","Fail"),IF(Table1[[#This Row],[DUT Adj Read]]&gt;=Table1[[#This Row],[Low Tol]],"Pass","Fail")))</f>
        <v>Pass</v>
      </c>
      <c r="AG2320" s="1" t="str">
        <f>IF(AND(Table1[[#This Row],[Spec Type2]]="N/A",Table1[[#This Row],[DUT Adj Read]]="N/A",Table1[[#This Row],[Std Adj Read]]="N/A"),"N/A",IF(Table1[[#This Row],[DUT Adj Read]]="N/A",IF(Table1[[#This Row],[Std Adj Read]]&lt;=Table1[[#This Row],[High Tol]],"Pass","Fail"),IF(Table1[[#This Row],[DUT Adj Read]]&lt;=Table1[[#This Row],[High Tol]],"Pass","Fail")))</f>
        <v>Fail</v>
      </c>
      <c r="AH23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0" s="1" t="b">
        <v>0</v>
      </c>
      <c r="AN2320" s="1" t="b">
        <v>0</v>
      </c>
      <c r="AO2320" s="1" t="b">
        <v>0</v>
      </c>
    </row>
    <row r="2321" spans="1:41" x14ac:dyDescent="0.25">
      <c r="A2321" s="10"/>
      <c r="B2321" s="10"/>
      <c r="C2321" s="10"/>
      <c r="D2321" s="10"/>
      <c r="E2321" s="10"/>
      <c r="F2321" s="10"/>
      <c r="G2321" s="10"/>
      <c r="H2321" s="10"/>
      <c r="I2321" s="1" t="str">
        <f t="shared" si="108"/>
        <v/>
      </c>
      <c r="J2321" s="1" t="s">
        <v>35</v>
      </c>
      <c r="K2321" s="1" t="str">
        <f t="shared" si="109"/>
        <v/>
      </c>
      <c r="L2321" s="1" t="str">
        <f t="shared" si="110"/>
        <v/>
      </c>
      <c r="M2321" s="1">
        <f>IF(OR(Table1[[#This Row],[Std Nom]]="",Table1[[#This Row],[Std Read]]=""),0,Table1[[#This Row],[Std Nom]]-Table1[[#This Row],[Std Read]])</f>
        <v>0</v>
      </c>
      <c r="N2321" s="1">
        <f>IF(Calculations!$F$5="ACCREDITED 17025 WITH UNCERTAINTIES",$N$10,0)</f>
        <v>0</v>
      </c>
      <c r="Q2321" s="1">
        <f>Table1[[#This Row],[High Tol]]-Table1[[#This Row],[Low Tol]]</f>
        <v>0</v>
      </c>
      <c r="R2321" s="1">
        <f>2*Table1[[#This Row],[Std Error]]</f>
        <v>0</v>
      </c>
      <c r="S2321" s="1" t="str">
        <f>IF(Table1[[#This Row],[High Tol]]="","N/A",IFERROR(ABS(Table1[[#This Row],[Tol Span]]/Table1[[#This Row],[Error Span]]),"N/A"))</f>
        <v>N/A</v>
      </c>
      <c r="T2321" s="1" t="str">
        <f>IF(OR(Table1[[#This Row],[Low Tol]]="",Table1[[#This Row],[High Tol]]=""),"Needs Analysis",IF(Table1[[#This Row],[Ratio]]&gt;=4,"Not Significant",IF(Table1[[#This Row],[Ratio]]&gt;=2,"Semi-Significant","Significant")))</f>
        <v>Needs Analysis</v>
      </c>
      <c r="W2321" s="1">
        <f>IF(Table1[[#This Row],[Cal Type]]&lt;&gt;"ACCREDITED 17025 WITH UNCERTAINTIES",0,"")</f>
        <v>0</v>
      </c>
      <c r="X2321" s="1" t="str">
        <f>IF(Table1[[#This Row],[DUT Read]]="","N/A",Table1[[#This Row],[Std Error]]+Table1[[#This Row],[DUT Read]]+Table1[[#This Row],[DUT Ucty]])</f>
        <v>N/A</v>
      </c>
      <c r="Y2321" s="1" t="str">
        <f>IF(Table1[[#This Row],[Std Read]]="","N/A",Table1[[#This Row],[Std Read]]+Table1[[#This Row],[Std Ucty]])</f>
        <v>N/A</v>
      </c>
      <c r="Z23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1" s="1" t="str">
        <f>IF(Table1[[#This Row],[Spec Type]]="","N/A",Table1[[#This Row],[Spec Type]])</f>
        <v>±</v>
      </c>
      <c r="AC2321" s="1" t="str">
        <f>IF(Table1[[#This Row],[Spec Type2]]="N/A","N/A",IF(AND(Table1[[#This Row],[DUT Adj Read]]&gt;=Table1[[#This Row],[Low Tol]],Table1[[#This Row],[DUT Adj Read]]&lt;=Table1[[#This Row],[High Tol]]),"Pass","Fail"))</f>
        <v>Fail</v>
      </c>
      <c r="AD2321" s="1" t="str">
        <f>IF(AND(Table1[[#This Row],[Spec Type2]]="N/A",Table1[[#This Row],[DUT Adj Read]]="N/A",Table1[[#This Row],[Std Adj Read]]="N/A"),"N/A",IF(Table1[[#This Row],[DUT Adj Read]]="N/A",IF(Table1[[#This Row],[Std Adj Read]]&gt;Table1[[#This Row],[Low Tol]],"Pass","Fail"),IF(Table1[[#This Row],[DUT Adj Read]]&gt;Table1[[#This Row],[Low Tol]],"Pass","Fail")))</f>
        <v>Pass</v>
      </c>
      <c r="AE2321" s="1" t="str">
        <f>IF(AND(Table1[[#This Row],[Spec Type2]]="N/A",Table1[[#This Row],[DUT Adj Read]]="N/A",Table1[[#This Row],[Std Adj Read]]="N/A"),"N/A",IF(Table1[[#This Row],[DUT Adj Read]]="N/A",IF(Table1[[#This Row],[Std Adj Read]]&lt;Table1[[#This Row],[High Tol]],"Pass","Fail"),IF(Table1[[#This Row],[DUT Adj Read]]&lt;Table1[[#This Row],[High Tol]],"Pass","Fail")))</f>
        <v>Fail</v>
      </c>
      <c r="AF2321" s="1" t="str">
        <f>IF(AND(Table1[[#This Row],[Spec Type2]]="N/A",Table1[[#This Row],[DUT Adj Read]]="N/A",Table1[[#This Row],[Std Adj Read]]="N/A"),"N/A",IF(Table1[[#This Row],[DUT Adj Read]]="N/A",IF(Table1[[#This Row],[Std Adj Read]]&gt;=Table1[[#This Row],[Low Tol]],"Pass","Fail"),IF(Table1[[#This Row],[DUT Adj Read]]&gt;=Table1[[#This Row],[Low Tol]],"Pass","Fail")))</f>
        <v>Pass</v>
      </c>
      <c r="AG2321" s="1" t="str">
        <f>IF(AND(Table1[[#This Row],[Spec Type2]]="N/A",Table1[[#This Row],[DUT Adj Read]]="N/A",Table1[[#This Row],[Std Adj Read]]="N/A"),"N/A",IF(Table1[[#This Row],[DUT Adj Read]]="N/A",IF(Table1[[#This Row],[Std Adj Read]]&lt;=Table1[[#This Row],[High Tol]],"Pass","Fail"),IF(Table1[[#This Row],[DUT Adj Read]]&lt;=Table1[[#This Row],[High Tol]],"Pass","Fail")))</f>
        <v>Fail</v>
      </c>
      <c r="AH23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1" s="1" t="b">
        <v>0</v>
      </c>
      <c r="AN2321" s="1" t="b">
        <v>0</v>
      </c>
      <c r="AO2321" s="1" t="b">
        <v>0</v>
      </c>
    </row>
    <row r="2322" spans="1:41" x14ac:dyDescent="0.25">
      <c r="A2322" s="10"/>
      <c r="B2322" s="10"/>
      <c r="C2322" s="10"/>
      <c r="D2322" s="10"/>
      <c r="E2322" s="10"/>
      <c r="F2322" s="10"/>
      <c r="G2322" s="10"/>
      <c r="H2322" s="10"/>
      <c r="I2322" s="1" t="str">
        <f t="shared" si="108"/>
        <v/>
      </c>
      <c r="J2322" s="1" t="s">
        <v>35</v>
      </c>
      <c r="K2322" s="1" t="str">
        <f t="shared" si="109"/>
        <v/>
      </c>
      <c r="L2322" s="1" t="str">
        <f t="shared" si="110"/>
        <v/>
      </c>
      <c r="M2322" s="1">
        <f>IF(OR(Table1[[#This Row],[Std Nom]]="",Table1[[#This Row],[Std Read]]=""),0,Table1[[#This Row],[Std Nom]]-Table1[[#This Row],[Std Read]])</f>
        <v>0</v>
      </c>
      <c r="N2322" s="1">
        <f>IF(Calculations!$F$5="ACCREDITED 17025 WITH UNCERTAINTIES",$N$10,0)</f>
        <v>0</v>
      </c>
      <c r="Q2322" s="1">
        <f>Table1[[#This Row],[High Tol]]-Table1[[#This Row],[Low Tol]]</f>
        <v>0</v>
      </c>
      <c r="R2322" s="1">
        <f>2*Table1[[#This Row],[Std Error]]</f>
        <v>0</v>
      </c>
      <c r="S2322" s="1" t="str">
        <f>IF(Table1[[#This Row],[High Tol]]="","N/A",IFERROR(ABS(Table1[[#This Row],[Tol Span]]/Table1[[#This Row],[Error Span]]),"N/A"))</f>
        <v>N/A</v>
      </c>
      <c r="T2322" s="1" t="str">
        <f>IF(OR(Table1[[#This Row],[Low Tol]]="",Table1[[#This Row],[High Tol]]=""),"Needs Analysis",IF(Table1[[#This Row],[Ratio]]&gt;=4,"Not Significant",IF(Table1[[#This Row],[Ratio]]&gt;=2,"Semi-Significant","Significant")))</f>
        <v>Needs Analysis</v>
      </c>
      <c r="W2322" s="1">
        <f>IF(Table1[[#This Row],[Cal Type]]&lt;&gt;"ACCREDITED 17025 WITH UNCERTAINTIES",0,"")</f>
        <v>0</v>
      </c>
      <c r="X2322" s="1" t="str">
        <f>IF(Table1[[#This Row],[DUT Read]]="","N/A",Table1[[#This Row],[Std Error]]+Table1[[#This Row],[DUT Read]]+Table1[[#This Row],[DUT Ucty]])</f>
        <v>N/A</v>
      </c>
      <c r="Y2322" s="1" t="str">
        <f>IF(Table1[[#This Row],[Std Read]]="","N/A",Table1[[#This Row],[Std Read]]+Table1[[#This Row],[Std Ucty]])</f>
        <v>N/A</v>
      </c>
      <c r="Z23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2" s="1" t="str">
        <f>IF(Table1[[#This Row],[Spec Type]]="","N/A",Table1[[#This Row],[Spec Type]])</f>
        <v>±</v>
      </c>
      <c r="AC2322" s="1" t="str">
        <f>IF(Table1[[#This Row],[Spec Type2]]="N/A","N/A",IF(AND(Table1[[#This Row],[DUT Adj Read]]&gt;=Table1[[#This Row],[Low Tol]],Table1[[#This Row],[DUT Adj Read]]&lt;=Table1[[#This Row],[High Tol]]),"Pass","Fail"))</f>
        <v>Fail</v>
      </c>
      <c r="AD2322" s="1" t="str">
        <f>IF(AND(Table1[[#This Row],[Spec Type2]]="N/A",Table1[[#This Row],[DUT Adj Read]]="N/A",Table1[[#This Row],[Std Adj Read]]="N/A"),"N/A",IF(Table1[[#This Row],[DUT Adj Read]]="N/A",IF(Table1[[#This Row],[Std Adj Read]]&gt;Table1[[#This Row],[Low Tol]],"Pass","Fail"),IF(Table1[[#This Row],[DUT Adj Read]]&gt;Table1[[#This Row],[Low Tol]],"Pass","Fail")))</f>
        <v>Pass</v>
      </c>
      <c r="AE2322" s="1" t="str">
        <f>IF(AND(Table1[[#This Row],[Spec Type2]]="N/A",Table1[[#This Row],[DUT Adj Read]]="N/A",Table1[[#This Row],[Std Adj Read]]="N/A"),"N/A",IF(Table1[[#This Row],[DUT Adj Read]]="N/A",IF(Table1[[#This Row],[Std Adj Read]]&lt;Table1[[#This Row],[High Tol]],"Pass","Fail"),IF(Table1[[#This Row],[DUT Adj Read]]&lt;Table1[[#This Row],[High Tol]],"Pass","Fail")))</f>
        <v>Fail</v>
      </c>
      <c r="AF2322" s="1" t="str">
        <f>IF(AND(Table1[[#This Row],[Spec Type2]]="N/A",Table1[[#This Row],[DUT Adj Read]]="N/A",Table1[[#This Row],[Std Adj Read]]="N/A"),"N/A",IF(Table1[[#This Row],[DUT Adj Read]]="N/A",IF(Table1[[#This Row],[Std Adj Read]]&gt;=Table1[[#This Row],[Low Tol]],"Pass","Fail"),IF(Table1[[#This Row],[DUT Adj Read]]&gt;=Table1[[#This Row],[Low Tol]],"Pass","Fail")))</f>
        <v>Pass</v>
      </c>
      <c r="AG2322" s="1" t="str">
        <f>IF(AND(Table1[[#This Row],[Spec Type2]]="N/A",Table1[[#This Row],[DUT Adj Read]]="N/A",Table1[[#This Row],[Std Adj Read]]="N/A"),"N/A",IF(Table1[[#This Row],[DUT Adj Read]]="N/A",IF(Table1[[#This Row],[Std Adj Read]]&lt;=Table1[[#This Row],[High Tol]],"Pass","Fail"),IF(Table1[[#This Row],[DUT Adj Read]]&lt;=Table1[[#This Row],[High Tol]],"Pass","Fail")))</f>
        <v>Fail</v>
      </c>
      <c r="AH23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2" s="1" t="b">
        <v>0</v>
      </c>
      <c r="AN2322" s="1" t="b">
        <v>0</v>
      </c>
      <c r="AO2322" s="1" t="b">
        <v>0</v>
      </c>
    </row>
    <row r="2323" spans="1:41" x14ac:dyDescent="0.25">
      <c r="A2323" s="10"/>
      <c r="B2323" s="10"/>
      <c r="C2323" s="10"/>
      <c r="D2323" s="10"/>
      <c r="E2323" s="10"/>
      <c r="F2323" s="10"/>
      <c r="G2323" s="10"/>
      <c r="H2323" s="10"/>
      <c r="I2323" s="1" t="str">
        <f t="shared" si="108"/>
        <v/>
      </c>
      <c r="J2323" s="1" t="s">
        <v>35</v>
      </c>
      <c r="K2323" s="1" t="str">
        <f t="shared" si="109"/>
        <v/>
      </c>
      <c r="L2323" s="1" t="str">
        <f t="shared" si="110"/>
        <v/>
      </c>
      <c r="M2323" s="1">
        <f>IF(OR(Table1[[#This Row],[Std Nom]]="",Table1[[#This Row],[Std Read]]=""),0,Table1[[#This Row],[Std Nom]]-Table1[[#This Row],[Std Read]])</f>
        <v>0</v>
      </c>
      <c r="N2323" s="1">
        <f>IF(Calculations!$F$5="ACCREDITED 17025 WITH UNCERTAINTIES",$N$10,0)</f>
        <v>0</v>
      </c>
      <c r="Q2323" s="1">
        <f>Table1[[#This Row],[High Tol]]-Table1[[#This Row],[Low Tol]]</f>
        <v>0</v>
      </c>
      <c r="R2323" s="1">
        <f>2*Table1[[#This Row],[Std Error]]</f>
        <v>0</v>
      </c>
      <c r="S2323" s="1" t="str">
        <f>IF(Table1[[#This Row],[High Tol]]="","N/A",IFERROR(ABS(Table1[[#This Row],[Tol Span]]/Table1[[#This Row],[Error Span]]),"N/A"))</f>
        <v>N/A</v>
      </c>
      <c r="T2323" s="1" t="str">
        <f>IF(OR(Table1[[#This Row],[Low Tol]]="",Table1[[#This Row],[High Tol]]=""),"Needs Analysis",IF(Table1[[#This Row],[Ratio]]&gt;=4,"Not Significant",IF(Table1[[#This Row],[Ratio]]&gt;=2,"Semi-Significant","Significant")))</f>
        <v>Needs Analysis</v>
      </c>
      <c r="W2323" s="1">
        <f>IF(Table1[[#This Row],[Cal Type]]&lt;&gt;"ACCREDITED 17025 WITH UNCERTAINTIES",0,"")</f>
        <v>0</v>
      </c>
      <c r="X2323" s="1" t="str">
        <f>IF(Table1[[#This Row],[DUT Read]]="","N/A",Table1[[#This Row],[Std Error]]+Table1[[#This Row],[DUT Read]]+Table1[[#This Row],[DUT Ucty]])</f>
        <v>N/A</v>
      </c>
      <c r="Y2323" s="1" t="str">
        <f>IF(Table1[[#This Row],[Std Read]]="","N/A",Table1[[#This Row],[Std Read]]+Table1[[#This Row],[Std Ucty]])</f>
        <v>N/A</v>
      </c>
      <c r="Z23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3" s="1" t="str">
        <f>IF(Table1[[#This Row],[Spec Type]]="","N/A",Table1[[#This Row],[Spec Type]])</f>
        <v>±</v>
      </c>
      <c r="AC2323" s="1" t="str">
        <f>IF(Table1[[#This Row],[Spec Type2]]="N/A","N/A",IF(AND(Table1[[#This Row],[DUT Adj Read]]&gt;=Table1[[#This Row],[Low Tol]],Table1[[#This Row],[DUT Adj Read]]&lt;=Table1[[#This Row],[High Tol]]),"Pass","Fail"))</f>
        <v>Fail</v>
      </c>
      <c r="AD2323" s="1" t="str">
        <f>IF(AND(Table1[[#This Row],[Spec Type2]]="N/A",Table1[[#This Row],[DUT Adj Read]]="N/A",Table1[[#This Row],[Std Adj Read]]="N/A"),"N/A",IF(Table1[[#This Row],[DUT Adj Read]]="N/A",IF(Table1[[#This Row],[Std Adj Read]]&gt;Table1[[#This Row],[Low Tol]],"Pass","Fail"),IF(Table1[[#This Row],[DUT Adj Read]]&gt;Table1[[#This Row],[Low Tol]],"Pass","Fail")))</f>
        <v>Pass</v>
      </c>
      <c r="AE2323" s="1" t="str">
        <f>IF(AND(Table1[[#This Row],[Spec Type2]]="N/A",Table1[[#This Row],[DUT Adj Read]]="N/A",Table1[[#This Row],[Std Adj Read]]="N/A"),"N/A",IF(Table1[[#This Row],[DUT Adj Read]]="N/A",IF(Table1[[#This Row],[Std Adj Read]]&lt;Table1[[#This Row],[High Tol]],"Pass","Fail"),IF(Table1[[#This Row],[DUT Adj Read]]&lt;Table1[[#This Row],[High Tol]],"Pass","Fail")))</f>
        <v>Fail</v>
      </c>
      <c r="AF2323" s="1" t="str">
        <f>IF(AND(Table1[[#This Row],[Spec Type2]]="N/A",Table1[[#This Row],[DUT Adj Read]]="N/A",Table1[[#This Row],[Std Adj Read]]="N/A"),"N/A",IF(Table1[[#This Row],[DUT Adj Read]]="N/A",IF(Table1[[#This Row],[Std Adj Read]]&gt;=Table1[[#This Row],[Low Tol]],"Pass","Fail"),IF(Table1[[#This Row],[DUT Adj Read]]&gt;=Table1[[#This Row],[Low Tol]],"Pass","Fail")))</f>
        <v>Pass</v>
      </c>
      <c r="AG2323" s="1" t="str">
        <f>IF(AND(Table1[[#This Row],[Spec Type2]]="N/A",Table1[[#This Row],[DUT Adj Read]]="N/A",Table1[[#This Row],[Std Adj Read]]="N/A"),"N/A",IF(Table1[[#This Row],[DUT Adj Read]]="N/A",IF(Table1[[#This Row],[Std Adj Read]]&lt;=Table1[[#This Row],[High Tol]],"Pass","Fail"),IF(Table1[[#This Row],[DUT Adj Read]]&lt;=Table1[[#This Row],[High Tol]],"Pass","Fail")))</f>
        <v>Fail</v>
      </c>
      <c r="AH23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3" s="1" t="b">
        <v>0</v>
      </c>
      <c r="AN2323" s="1" t="b">
        <v>0</v>
      </c>
      <c r="AO2323" s="1" t="b">
        <v>0</v>
      </c>
    </row>
    <row r="2324" spans="1:41" x14ac:dyDescent="0.25">
      <c r="A2324" s="10"/>
      <c r="B2324" s="10"/>
      <c r="C2324" s="10"/>
      <c r="D2324" s="10"/>
      <c r="E2324" s="10"/>
      <c r="F2324" s="10"/>
      <c r="G2324" s="10"/>
      <c r="H2324" s="10"/>
      <c r="I2324" s="1" t="str">
        <f t="shared" si="108"/>
        <v/>
      </c>
      <c r="J2324" s="1" t="s">
        <v>35</v>
      </c>
      <c r="K2324" s="1" t="str">
        <f t="shared" si="109"/>
        <v/>
      </c>
      <c r="L2324" s="1" t="str">
        <f t="shared" si="110"/>
        <v/>
      </c>
      <c r="M2324" s="1">
        <f>IF(OR(Table1[[#This Row],[Std Nom]]="",Table1[[#This Row],[Std Read]]=""),0,Table1[[#This Row],[Std Nom]]-Table1[[#This Row],[Std Read]])</f>
        <v>0</v>
      </c>
      <c r="N2324" s="1">
        <f>IF(Calculations!$F$5="ACCREDITED 17025 WITH UNCERTAINTIES",$N$10,0)</f>
        <v>0</v>
      </c>
      <c r="Q2324" s="1">
        <f>Table1[[#This Row],[High Tol]]-Table1[[#This Row],[Low Tol]]</f>
        <v>0</v>
      </c>
      <c r="R2324" s="1">
        <f>2*Table1[[#This Row],[Std Error]]</f>
        <v>0</v>
      </c>
      <c r="S2324" s="1" t="str">
        <f>IF(Table1[[#This Row],[High Tol]]="","N/A",IFERROR(ABS(Table1[[#This Row],[Tol Span]]/Table1[[#This Row],[Error Span]]),"N/A"))</f>
        <v>N/A</v>
      </c>
      <c r="T2324" s="1" t="str">
        <f>IF(OR(Table1[[#This Row],[Low Tol]]="",Table1[[#This Row],[High Tol]]=""),"Needs Analysis",IF(Table1[[#This Row],[Ratio]]&gt;=4,"Not Significant",IF(Table1[[#This Row],[Ratio]]&gt;=2,"Semi-Significant","Significant")))</f>
        <v>Needs Analysis</v>
      </c>
      <c r="W2324" s="1">
        <f>IF(Table1[[#This Row],[Cal Type]]&lt;&gt;"ACCREDITED 17025 WITH UNCERTAINTIES",0,"")</f>
        <v>0</v>
      </c>
      <c r="X2324" s="1" t="str">
        <f>IF(Table1[[#This Row],[DUT Read]]="","N/A",Table1[[#This Row],[Std Error]]+Table1[[#This Row],[DUT Read]]+Table1[[#This Row],[DUT Ucty]])</f>
        <v>N/A</v>
      </c>
      <c r="Y2324" s="1" t="str">
        <f>IF(Table1[[#This Row],[Std Read]]="","N/A",Table1[[#This Row],[Std Read]]+Table1[[#This Row],[Std Ucty]])</f>
        <v>N/A</v>
      </c>
      <c r="Z23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4" s="1" t="str">
        <f>IF(Table1[[#This Row],[Spec Type]]="","N/A",Table1[[#This Row],[Spec Type]])</f>
        <v>±</v>
      </c>
      <c r="AC2324" s="1" t="str">
        <f>IF(Table1[[#This Row],[Spec Type2]]="N/A","N/A",IF(AND(Table1[[#This Row],[DUT Adj Read]]&gt;=Table1[[#This Row],[Low Tol]],Table1[[#This Row],[DUT Adj Read]]&lt;=Table1[[#This Row],[High Tol]]),"Pass","Fail"))</f>
        <v>Fail</v>
      </c>
      <c r="AD2324" s="1" t="str">
        <f>IF(AND(Table1[[#This Row],[Spec Type2]]="N/A",Table1[[#This Row],[DUT Adj Read]]="N/A",Table1[[#This Row],[Std Adj Read]]="N/A"),"N/A",IF(Table1[[#This Row],[DUT Adj Read]]="N/A",IF(Table1[[#This Row],[Std Adj Read]]&gt;Table1[[#This Row],[Low Tol]],"Pass","Fail"),IF(Table1[[#This Row],[DUT Adj Read]]&gt;Table1[[#This Row],[Low Tol]],"Pass","Fail")))</f>
        <v>Pass</v>
      </c>
      <c r="AE2324" s="1" t="str">
        <f>IF(AND(Table1[[#This Row],[Spec Type2]]="N/A",Table1[[#This Row],[DUT Adj Read]]="N/A",Table1[[#This Row],[Std Adj Read]]="N/A"),"N/A",IF(Table1[[#This Row],[DUT Adj Read]]="N/A",IF(Table1[[#This Row],[Std Adj Read]]&lt;Table1[[#This Row],[High Tol]],"Pass","Fail"),IF(Table1[[#This Row],[DUT Adj Read]]&lt;Table1[[#This Row],[High Tol]],"Pass","Fail")))</f>
        <v>Fail</v>
      </c>
      <c r="AF2324" s="1" t="str">
        <f>IF(AND(Table1[[#This Row],[Spec Type2]]="N/A",Table1[[#This Row],[DUT Adj Read]]="N/A",Table1[[#This Row],[Std Adj Read]]="N/A"),"N/A",IF(Table1[[#This Row],[DUT Adj Read]]="N/A",IF(Table1[[#This Row],[Std Adj Read]]&gt;=Table1[[#This Row],[Low Tol]],"Pass","Fail"),IF(Table1[[#This Row],[DUT Adj Read]]&gt;=Table1[[#This Row],[Low Tol]],"Pass","Fail")))</f>
        <v>Pass</v>
      </c>
      <c r="AG2324" s="1" t="str">
        <f>IF(AND(Table1[[#This Row],[Spec Type2]]="N/A",Table1[[#This Row],[DUT Adj Read]]="N/A",Table1[[#This Row],[Std Adj Read]]="N/A"),"N/A",IF(Table1[[#This Row],[DUT Adj Read]]="N/A",IF(Table1[[#This Row],[Std Adj Read]]&lt;=Table1[[#This Row],[High Tol]],"Pass","Fail"),IF(Table1[[#This Row],[DUT Adj Read]]&lt;=Table1[[#This Row],[High Tol]],"Pass","Fail")))</f>
        <v>Fail</v>
      </c>
      <c r="AH23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4" s="1" t="b">
        <v>0</v>
      </c>
      <c r="AN2324" s="1" t="b">
        <v>0</v>
      </c>
      <c r="AO2324" s="1" t="b">
        <v>0</v>
      </c>
    </row>
    <row r="2325" spans="1:41" x14ac:dyDescent="0.25">
      <c r="A2325" s="10"/>
      <c r="B2325" s="10"/>
      <c r="C2325" s="10"/>
      <c r="D2325" s="10"/>
      <c r="E2325" s="10"/>
      <c r="F2325" s="10"/>
      <c r="G2325" s="10"/>
      <c r="H2325" s="10"/>
      <c r="I2325" s="1" t="str">
        <f t="shared" si="108"/>
        <v/>
      </c>
      <c r="J2325" s="1" t="s">
        <v>35</v>
      </c>
      <c r="K2325" s="1" t="str">
        <f t="shared" si="109"/>
        <v/>
      </c>
      <c r="L2325" s="1" t="str">
        <f t="shared" si="110"/>
        <v/>
      </c>
      <c r="M2325" s="1">
        <f>IF(OR(Table1[[#This Row],[Std Nom]]="",Table1[[#This Row],[Std Read]]=""),0,Table1[[#This Row],[Std Nom]]-Table1[[#This Row],[Std Read]])</f>
        <v>0</v>
      </c>
      <c r="N2325" s="1">
        <f>IF(Calculations!$F$5="ACCREDITED 17025 WITH UNCERTAINTIES",$N$10,0)</f>
        <v>0</v>
      </c>
      <c r="Q2325" s="1">
        <f>Table1[[#This Row],[High Tol]]-Table1[[#This Row],[Low Tol]]</f>
        <v>0</v>
      </c>
      <c r="R2325" s="1">
        <f>2*Table1[[#This Row],[Std Error]]</f>
        <v>0</v>
      </c>
      <c r="S2325" s="1" t="str">
        <f>IF(Table1[[#This Row],[High Tol]]="","N/A",IFERROR(ABS(Table1[[#This Row],[Tol Span]]/Table1[[#This Row],[Error Span]]),"N/A"))</f>
        <v>N/A</v>
      </c>
      <c r="T2325" s="1" t="str">
        <f>IF(OR(Table1[[#This Row],[Low Tol]]="",Table1[[#This Row],[High Tol]]=""),"Needs Analysis",IF(Table1[[#This Row],[Ratio]]&gt;=4,"Not Significant",IF(Table1[[#This Row],[Ratio]]&gt;=2,"Semi-Significant","Significant")))</f>
        <v>Needs Analysis</v>
      </c>
      <c r="W2325" s="1">
        <f>IF(Table1[[#This Row],[Cal Type]]&lt;&gt;"ACCREDITED 17025 WITH UNCERTAINTIES",0,"")</f>
        <v>0</v>
      </c>
      <c r="X2325" s="1" t="str">
        <f>IF(Table1[[#This Row],[DUT Read]]="","N/A",Table1[[#This Row],[Std Error]]+Table1[[#This Row],[DUT Read]]+Table1[[#This Row],[DUT Ucty]])</f>
        <v>N/A</v>
      </c>
      <c r="Y2325" s="1" t="str">
        <f>IF(Table1[[#This Row],[Std Read]]="","N/A",Table1[[#This Row],[Std Read]]+Table1[[#This Row],[Std Ucty]])</f>
        <v>N/A</v>
      </c>
      <c r="Z23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5" s="1" t="str">
        <f>IF(Table1[[#This Row],[Spec Type]]="","N/A",Table1[[#This Row],[Spec Type]])</f>
        <v>±</v>
      </c>
      <c r="AC2325" s="1" t="str">
        <f>IF(Table1[[#This Row],[Spec Type2]]="N/A","N/A",IF(AND(Table1[[#This Row],[DUT Adj Read]]&gt;=Table1[[#This Row],[Low Tol]],Table1[[#This Row],[DUT Adj Read]]&lt;=Table1[[#This Row],[High Tol]]),"Pass","Fail"))</f>
        <v>Fail</v>
      </c>
      <c r="AD2325" s="1" t="str">
        <f>IF(AND(Table1[[#This Row],[Spec Type2]]="N/A",Table1[[#This Row],[DUT Adj Read]]="N/A",Table1[[#This Row],[Std Adj Read]]="N/A"),"N/A",IF(Table1[[#This Row],[DUT Adj Read]]="N/A",IF(Table1[[#This Row],[Std Adj Read]]&gt;Table1[[#This Row],[Low Tol]],"Pass","Fail"),IF(Table1[[#This Row],[DUT Adj Read]]&gt;Table1[[#This Row],[Low Tol]],"Pass","Fail")))</f>
        <v>Pass</v>
      </c>
      <c r="AE2325" s="1" t="str">
        <f>IF(AND(Table1[[#This Row],[Spec Type2]]="N/A",Table1[[#This Row],[DUT Adj Read]]="N/A",Table1[[#This Row],[Std Adj Read]]="N/A"),"N/A",IF(Table1[[#This Row],[DUT Adj Read]]="N/A",IF(Table1[[#This Row],[Std Adj Read]]&lt;Table1[[#This Row],[High Tol]],"Pass","Fail"),IF(Table1[[#This Row],[DUT Adj Read]]&lt;Table1[[#This Row],[High Tol]],"Pass","Fail")))</f>
        <v>Fail</v>
      </c>
      <c r="AF2325" s="1" t="str">
        <f>IF(AND(Table1[[#This Row],[Spec Type2]]="N/A",Table1[[#This Row],[DUT Adj Read]]="N/A",Table1[[#This Row],[Std Adj Read]]="N/A"),"N/A",IF(Table1[[#This Row],[DUT Adj Read]]="N/A",IF(Table1[[#This Row],[Std Adj Read]]&gt;=Table1[[#This Row],[Low Tol]],"Pass","Fail"),IF(Table1[[#This Row],[DUT Adj Read]]&gt;=Table1[[#This Row],[Low Tol]],"Pass","Fail")))</f>
        <v>Pass</v>
      </c>
      <c r="AG2325" s="1" t="str">
        <f>IF(AND(Table1[[#This Row],[Spec Type2]]="N/A",Table1[[#This Row],[DUT Adj Read]]="N/A",Table1[[#This Row],[Std Adj Read]]="N/A"),"N/A",IF(Table1[[#This Row],[DUT Adj Read]]="N/A",IF(Table1[[#This Row],[Std Adj Read]]&lt;=Table1[[#This Row],[High Tol]],"Pass","Fail"),IF(Table1[[#This Row],[DUT Adj Read]]&lt;=Table1[[#This Row],[High Tol]],"Pass","Fail")))</f>
        <v>Fail</v>
      </c>
      <c r="AH23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5" s="1" t="b">
        <v>0</v>
      </c>
      <c r="AN2325" s="1" t="b">
        <v>0</v>
      </c>
      <c r="AO2325" s="1" t="b">
        <v>0</v>
      </c>
    </row>
    <row r="2326" spans="1:41" x14ac:dyDescent="0.25">
      <c r="A2326" s="10"/>
      <c r="B2326" s="10"/>
      <c r="C2326" s="10"/>
      <c r="D2326" s="10"/>
      <c r="E2326" s="10"/>
      <c r="F2326" s="10"/>
      <c r="G2326" s="10"/>
      <c r="H2326" s="10"/>
      <c r="I2326" s="1" t="str">
        <f t="shared" si="108"/>
        <v/>
      </c>
      <c r="J2326" s="1" t="s">
        <v>35</v>
      </c>
      <c r="K2326" s="1" t="str">
        <f t="shared" si="109"/>
        <v/>
      </c>
      <c r="L2326" s="1" t="str">
        <f t="shared" si="110"/>
        <v/>
      </c>
      <c r="M2326" s="1">
        <f>IF(OR(Table1[[#This Row],[Std Nom]]="",Table1[[#This Row],[Std Read]]=""),0,Table1[[#This Row],[Std Nom]]-Table1[[#This Row],[Std Read]])</f>
        <v>0</v>
      </c>
      <c r="N2326" s="1">
        <f>IF(Calculations!$F$5="ACCREDITED 17025 WITH UNCERTAINTIES",$N$10,0)</f>
        <v>0</v>
      </c>
      <c r="Q2326" s="1">
        <f>Table1[[#This Row],[High Tol]]-Table1[[#This Row],[Low Tol]]</f>
        <v>0</v>
      </c>
      <c r="R2326" s="1">
        <f>2*Table1[[#This Row],[Std Error]]</f>
        <v>0</v>
      </c>
      <c r="S2326" s="1" t="str">
        <f>IF(Table1[[#This Row],[High Tol]]="","N/A",IFERROR(ABS(Table1[[#This Row],[Tol Span]]/Table1[[#This Row],[Error Span]]),"N/A"))</f>
        <v>N/A</v>
      </c>
      <c r="T2326" s="1" t="str">
        <f>IF(OR(Table1[[#This Row],[Low Tol]]="",Table1[[#This Row],[High Tol]]=""),"Needs Analysis",IF(Table1[[#This Row],[Ratio]]&gt;=4,"Not Significant",IF(Table1[[#This Row],[Ratio]]&gt;=2,"Semi-Significant","Significant")))</f>
        <v>Needs Analysis</v>
      </c>
      <c r="W2326" s="1">
        <f>IF(Table1[[#This Row],[Cal Type]]&lt;&gt;"ACCREDITED 17025 WITH UNCERTAINTIES",0,"")</f>
        <v>0</v>
      </c>
      <c r="X2326" s="1" t="str">
        <f>IF(Table1[[#This Row],[DUT Read]]="","N/A",Table1[[#This Row],[Std Error]]+Table1[[#This Row],[DUT Read]]+Table1[[#This Row],[DUT Ucty]])</f>
        <v>N/A</v>
      </c>
      <c r="Y2326" s="1" t="str">
        <f>IF(Table1[[#This Row],[Std Read]]="","N/A",Table1[[#This Row],[Std Read]]+Table1[[#This Row],[Std Ucty]])</f>
        <v>N/A</v>
      </c>
      <c r="Z23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6" s="1" t="str">
        <f>IF(Table1[[#This Row],[Spec Type]]="","N/A",Table1[[#This Row],[Spec Type]])</f>
        <v>±</v>
      </c>
      <c r="AC2326" s="1" t="str">
        <f>IF(Table1[[#This Row],[Spec Type2]]="N/A","N/A",IF(AND(Table1[[#This Row],[DUT Adj Read]]&gt;=Table1[[#This Row],[Low Tol]],Table1[[#This Row],[DUT Adj Read]]&lt;=Table1[[#This Row],[High Tol]]),"Pass","Fail"))</f>
        <v>Fail</v>
      </c>
      <c r="AD2326" s="1" t="str">
        <f>IF(AND(Table1[[#This Row],[Spec Type2]]="N/A",Table1[[#This Row],[DUT Adj Read]]="N/A",Table1[[#This Row],[Std Adj Read]]="N/A"),"N/A",IF(Table1[[#This Row],[DUT Adj Read]]="N/A",IF(Table1[[#This Row],[Std Adj Read]]&gt;Table1[[#This Row],[Low Tol]],"Pass","Fail"),IF(Table1[[#This Row],[DUT Adj Read]]&gt;Table1[[#This Row],[Low Tol]],"Pass","Fail")))</f>
        <v>Pass</v>
      </c>
      <c r="AE2326" s="1" t="str">
        <f>IF(AND(Table1[[#This Row],[Spec Type2]]="N/A",Table1[[#This Row],[DUT Adj Read]]="N/A",Table1[[#This Row],[Std Adj Read]]="N/A"),"N/A",IF(Table1[[#This Row],[DUT Adj Read]]="N/A",IF(Table1[[#This Row],[Std Adj Read]]&lt;Table1[[#This Row],[High Tol]],"Pass","Fail"),IF(Table1[[#This Row],[DUT Adj Read]]&lt;Table1[[#This Row],[High Tol]],"Pass","Fail")))</f>
        <v>Fail</v>
      </c>
      <c r="AF2326" s="1" t="str">
        <f>IF(AND(Table1[[#This Row],[Spec Type2]]="N/A",Table1[[#This Row],[DUT Adj Read]]="N/A",Table1[[#This Row],[Std Adj Read]]="N/A"),"N/A",IF(Table1[[#This Row],[DUT Adj Read]]="N/A",IF(Table1[[#This Row],[Std Adj Read]]&gt;=Table1[[#This Row],[Low Tol]],"Pass","Fail"),IF(Table1[[#This Row],[DUT Adj Read]]&gt;=Table1[[#This Row],[Low Tol]],"Pass","Fail")))</f>
        <v>Pass</v>
      </c>
      <c r="AG2326" s="1" t="str">
        <f>IF(AND(Table1[[#This Row],[Spec Type2]]="N/A",Table1[[#This Row],[DUT Adj Read]]="N/A",Table1[[#This Row],[Std Adj Read]]="N/A"),"N/A",IF(Table1[[#This Row],[DUT Adj Read]]="N/A",IF(Table1[[#This Row],[Std Adj Read]]&lt;=Table1[[#This Row],[High Tol]],"Pass","Fail"),IF(Table1[[#This Row],[DUT Adj Read]]&lt;=Table1[[#This Row],[High Tol]],"Pass","Fail")))</f>
        <v>Fail</v>
      </c>
      <c r="AH23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6" s="1" t="b">
        <v>0</v>
      </c>
      <c r="AN2326" s="1" t="b">
        <v>0</v>
      </c>
      <c r="AO2326" s="1" t="b">
        <v>0</v>
      </c>
    </row>
    <row r="2327" spans="1:41" x14ac:dyDescent="0.25">
      <c r="A2327" s="10"/>
      <c r="B2327" s="10"/>
      <c r="C2327" s="10"/>
      <c r="D2327" s="10"/>
      <c r="E2327" s="10"/>
      <c r="F2327" s="10"/>
      <c r="G2327" s="10"/>
      <c r="H2327" s="10"/>
      <c r="I2327" s="1" t="str">
        <f t="shared" si="108"/>
        <v/>
      </c>
      <c r="J2327" s="1" t="s">
        <v>35</v>
      </c>
      <c r="K2327" s="1" t="str">
        <f t="shared" si="109"/>
        <v/>
      </c>
      <c r="L2327" s="1" t="str">
        <f t="shared" si="110"/>
        <v/>
      </c>
      <c r="M2327" s="1">
        <f>IF(OR(Table1[[#This Row],[Std Nom]]="",Table1[[#This Row],[Std Read]]=""),0,Table1[[#This Row],[Std Nom]]-Table1[[#This Row],[Std Read]])</f>
        <v>0</v>
      </c>
      <c r="N2327" s="1">
        <f>IF(Calculations!$F$5="ACCREDITED 17025 WITH UNCERTAINTIES",$N$10,0)</f>
        <v>0</v>
      </c>
      <c r="Q2327" s="1">
        <f>Table1[[#This Row],[High Tol]]-Table1[[#This Row],[Low Tol]]</f>
        <v>0</v>
      </c>
      <c r="R2327" s="1">
        <f>2*Table1[[#This Row],[Std Error]]</f>
        <v>0</v>
      </c>
      <c r="S2327" s="1" t="str">
        <f>IF(Table1[[#This Row],[High Tol]]="","N/A",IFERROR(ABS(Table1[[#This Row],[Tol Span]]/Table1[[#This Row],[Error Span]]),"N/A"))</f>
        <v>N/A</v>
      </c>
      <c r="T2327" s="1" t="str">
        <f>IF(OR(Table1[[#This Row],[Low Tol]]="",Table1[[#This Row],[High Tol]]=""),"Needs Analysis",IF(Table1[[#This Row],[Ratio]]&gt;=4,"Not Significant",IF(Table1[[#This Row],[Ratio]]&gt;=2,"Semi-Significant","Significant")))</f>
        <v>Needs Analysis</v>
      </c>
      <c r="W2327" s="1">
        <f>IF(Table1[[#This Row],[Cal Type]]&lt;&gt;"ACCREDITED 17025 WITH UNCERTAINTIES",0,"")</f>
        <v>0</v>
      </c>
      <c r="X2327" s="1" t="str">
        <f>IF(Table1[[#This Row],[DUT Read]]="","N/A",Table1[[#This Row],[Std Error]]+Table1[[#This Row],[DUT Read]]+Table1[[#This Row],[DUT Ucty]])</f>
        <v>N/A</v>
      </c>
      <c r="Y2327" s="1" t="str">
        <f>IF(Table1[[#This Row],[Std Read]]="","N/A",Table1[[#This Row],[Std Read]]+Table1[[#This Row],[Std Ucty]])</f>
        <v>N/A</v>
      </c>
      <c r="Z23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7" s="1" t="str">
        <f>IF(Table1[[#This Row],[Spec Type]]="","N/A",Table1[[#This Row],[Spec Type]])</f>
        <v>±</v>
      </c>
      <c r="AC2327" s="1" t="str">
        <f>IF(Table1[[#This Row],[Spec Type2]]="N/A","N/A",IF(AND(Table1[[#This Row],[DUT Adj Read]]&gt;=Table1[[#This Row],[Low Tol]],Table1[[#This Row],[DUT Adj Read]]&lt;=Table1[[#This Row],[High Tol]]),"Pass","Fail"))</f>
        <v>Fail</v>
      </c>
      <c r="AD2327" s="1" t="str">
        <f>IF(AND(Table1[[#This Row],[Spec Type2]]="N/A",Table1[[#This Row],[DUT Adj Read]]="N/A",Table1[[#This Row],[Std Adj Read]]="N/A"),"N/A",IF(Table1[[#This Row],[DUT Adj Read]]="N/A",IF(Table1[[#This Row],[Std Adj Read]]&gt;Table1[[#This Row],[Low Tol]],"Pass","Fail"),IF(Table1[[#This Row],[DUT Adj Read]]&gt;Table1[[#This Row],[Low Tol]],"Pass","Fail")))</f>
        <v>Pass</v>
      </c>
      <c r="AE2327" s="1" t="str">
        <f>IF(AND(Table1[[#This Row],[Spec Type2]]="N/A",Table1[[#This Row],[DUT Adj Read]]="N/A",Table1[[#This Row],[Std Adj Read]]="N/A"),"N/A",IF(Table1[[#This Row],[DUT Adj Read]]="N/A",IF(Table1[[#This Row],[Std Adj Read]]&lt;Table1[[#This Row],[High Tol]],"Pass","Fail"),IF(Table1[[#This Row],[DUT Adj Read]]&lt;Table1[[#This Row],[High Tol]],"Pass","Fail")))</f>
        <v>Fail</v>
      </c>
      <c r="AF2327" s="1" t="str">
        <f>IF(AND(Table1[[#This Row],[Spec Type2]]="N/A",Table1[[#This Row],[DUT Adj Read]]="N/A",Table1[[#This Row],[Std Adj Read]]="N/A"),"N/A",IF(Table1[[#This Row],[DUT Adj Read]]="N/A",IF(Table1[[#This Row],[Std Adj Read]]&gt;=Table1[[#This Row],[Low Tol]],"Pass","Fail"),IF(Table1[[#This Row],[DUT Adj Read]]&gt;=Table1[[#This Row],[Low Tol]],"Pass","Fail")))</f>
        <v>Pass</v>
      </c>
      <c r="AG2327" s="1" t="str">
        <f>IF(AND(Table1[[#This Row],[Spec Type2]]="N/A",Table1[[#This Row],[DUT Adj Read]]="N/A",Table1[[#This Row],[Std Adj Read]]="N/A"),"N/A",IF(Table1[[#This Row],[DUT Adj Read]]="N/A",IF(Table1[[#This Row],[Std Adj Read]]&lt;=Table1[[#This Row],[High Tol]],"Pass","Fail"),IF(Table1[[#This Row],[DUT Adj Read]]&lt;=Table1[[#This Row],[High Tol]],"Pass","Fail")))</f>
        <v>Fail</v>
      </c>
      <c r="AH23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7" s="1" t="b">
        <v>0</v>
      </c>
      <c r="AN2327" s="1" t="b">
        <v>0</v>
      </c>
      <c r="AO2327" s="1" t="b">
        <v>0</v>
      </c>
    </row>
    <row r="2328" spans="1:41" x14ac:dyDescent="0.25">
      <c r="A2328" s="10"/>
      <c r="B2328" s="10"/>
      <c r="C2328" s="10"/>
      <c r="D2328" s="10"/>
      <c r="E2328" s="10"/>
      <c r="F2328" s="10"/>
      <c r="G2328" s="10"/>
      <c r="H2328" s="10"/>
      <c r="I2328" s="1" t="str">
        <f t="shared" si="108"/>
        <v/>
      </c>
      <c r="J2328" s="1" t="s">
        <v>35</v>
      </c>
      <c r="K2328" s="1" t="str">
        <f t="shared" si="109"/>
        <v/>
      </c>
      <c r="L2328" s="1" t="str">
        <f t="shared" si="110"/>
        <v/>
      </c>
      <c r="M2328" s="1">
        <f>IF(OR(Table1[[#This Row],[Std Nom]]="",Table1[[#This Row],[Std Read]]=""),0,Table1[[#This Row],[Std Nom]]-Table1[[#This Row],[Std Read]])</f>
        <v>0</v>
      </c>
      <c r="N2328" s="1">
        <f>IF(Calculations!$F$5="ACCREDITED 17025 WITH UNCERTAINTIES",$N$10,0)</f>
        <v>0</v>
      </c>
      <c r="Q2328" s="1">
        <f>Table1[[#This Row],[High Tol]]-Table1[[#This Row],[Low Tol]]</f>
        <v>0</v>
      </c>
      <c r="R2328" s="1">
        <f>2*Table1[[#This Row],[Std Error]]</f>
        <v>0</v>
      </c>
      <c r="S2328" s="1" t="str">
        <f>IF(Table1[[#This Row],[High Tol]]="","N/A",IFERROR(ABS(Table1[[#This Row],[Tol Span]]/Table1[[#This Row],[Error Span]]),"N/A"))</f>
        <v>N/A</v>
      </c>
      <c r="T2328" s="1" t="str">
        <f>IF(OR(Table1[[#This Row],[Low Tol]]="",Table1[[#This Row],[High Tol]]=""),"Needs Analysis",IF(Table1[[#This Row],[Ratio]]&gt;=4,"Not Significant",IF(Table1[[#This Row],[Ratio]]&gt;=2,"Semi-Significant","Significant")))</f>
        <v>Needs Analysis</v>
      </c>
      <c r="W2328" s="1">
        <f>IF(Table1[[#This Row],[Cal Type]]&lt;&gt;"ACCREDITED 17025 WITH UNCERTAINTIES",0,"")</f>
        <v>0</v>
      </c>
      <c r="X2328" s="1" t="str">
        <f>IF(Table1[[#This Row],[DUT Read]]="","N/A",Table1[[#This Row],[Std Error]]+Table1[[#This Row],[DUT Read]]+Table1[[#This Row],[DUT Ucty]])</f>
        <v>N/A</v>
      </c>
      <c r="Y2328" s="1" t="str">
        <f>IF(Table1[[#This Row],[Std Read]]="","N/A",Table1[[#This Row],[Std Read]]+Table1[[#This Row],[Std Ucty]])</f>
        <v>N/A</v>
      </c>
      <c r="Z23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8" s="1" t="str">
        <f>IF(Table1[[#This Row],[Spec Type]]="","N/A",Table1[[#This Row],[Spec Type]])</f>
        <v>±</v>
      </c>
      <c r="AC2328" s="1" t="str">
        <f>IF(Table1[[#This Row],[Spec Type2]]="N/A","N/A",IF(AND(Table1[[#This Row],[DUT Adj Read]]&gt;=Table1[[#This Row],[Low Tol]],Table1[[#This Row],[DUT Adj Read]]&lt;=Table1[[#This Row],[High Tol]]),"Pass","Fail"))</f>
        <v>Fail</v>
      </c>
      <c r="AD2328" s="1" t="str">
        <f>IF(AND(Table1[[#This Row],[Spec Type2]]="N/A",Table1[[#This Row],[DUT Adj Read]]="N/A",Table1[[#This Row],[Std Adj Read]]="N/A"),"N/A",IF(Table1[[#This Row],[DUT Adj Read]]="N/A",IF(Table1[[#This Row],[Std Adj Read]]&gt;Table1[[#This Row],[Low Tol]],"Pass","Fail"),IF(Table1[[#This Row],[DUT Adj Read]]&gt;Table1[[#This Row],[Low Tol]],"Pass","Fail")))</f>
        <v>Pass</v>
      </c>
      <c r="AE2328" s="1" t="str">
        <f>IF(AND(Table1[[#This Row],[Spec Type2]]="N/A",Table1[[#This Row],[DUT Adj Read]]="N/A",Table1[[#This Row],[Std Adj Read]]="N/A"),"N/A",IF(Table1[[#This Row],[DUT Adj Read]]="N/A",IF(Table1[[#This Row],[Std Adj Read]]&lt;Table1[[#This Row],[High Tol]],"Pass","Fail"),IF(Table1[[#This Row],[DUT Adj Read]]&lt;Table1[[#This Row],[High Tol]],"Pass","Fail")))</f>
        <v>Fail</v>
      </c>
      <c r="AF2328" s="1" t="str">
        <f>IF(AND(Table1[[#This Row],[Spec Type2]]="N/A",Table1[[#This Row],[DUT Adj Read]]="N/A",Table1[[#This Row],[Std Adj Read]]="N/A"),"N/A",IF(Table1[[#This Row],[DUT Adj Read]]="N/A",IF(Table1[[#This Row],[Std Adj Read]]&gt;=Table1[[#This Row],[Low Tol]],"Pass","Fail"),IF(Table1[[#This Row],[DUT Adj Read]]&gt;=Table1[[#This Row],[Low Tol]],"Pass","Fail")))</f>
        <v>Pass</v>
      </c>
      <c r="AG2328" s="1" t="str">
        <f>IF(AND(Table1[[#This Row],[Spec Type2]]="N/A",Table1[[#This Row],[DUT Adj Read]]="N/A",Table1[[#This Row],[Std Adj Read]]="N/A"),"N/A",IF(Table1[[#This Row],[DUT Adj Read]]="N/A",IF(Table1[[#This Row],[Std Adj Read]]&lt;=Table1[[#This Row],[High Tol]],"Pass","Fail"),IF(Table1[[#This Row],[DUT Adj Read]]&lt;=Table1[[#This Row],[High Tol]],"Pass","Fail")))</f>
        <v>Fail</v>
      </c>
      <c r="AH23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8" s="1" t="b">
        <v>0</v>
      </c>
      <c r="AN2328" s="1" t="b">
        <v>0</v>
      </c>
      <c r="AO2328" s="1" t="b">
        <v>0</v>
      </c>
    </row>
    <row r="2329" spans="1:41" x14ac:dyDescent="0.25">
      <c r="A2329" s="10"/>
      <c r="B2329" s="10"/>
      <c r="C2329" s="10"/>
      <c r="D2329" s="10"/>
      <c r="E2329" s="10"/>
      <c r="F2329" s="10"/>
      <c r="G2329" s="10"/>
      <c r="H2329" s="10"/>
      <c r="I2329" s="1" t="str">
        <f t="shared" si="108"/>
        <v/>
      </c>
      <c r="J2329" s="1" t="s">
        <v>35</v>
      </c>
      <c r="K2329" s="1" t="str">
        <f t="shared" si="109"/>
        <v/>
      </c>
      <c r="L2329" s="1" t="str">
        <f t="shared" si="110"/>
        <v/>
      </c>
      <c r="M2329" s="1">
        <f>IF(OR(Table1[[#This Row],[Std Nom]]="",Table1[[#This Row],[Std Read]]=""),0,Table1[[#This Row],[Std Nom]]-Table1[[#This Row],[Std Read]])</f>
        <v>0</v>
      </c>
      <c r="N2329" s="1">
        <f>IF(Calculations!$F$5="ACCREDITED 17025 WITH UNCERTAINTIES",$N$10,0)</f>
        <v>0</v>
      </c>
      <c r="Q2329" s="1">
        <f>Table1[[#This Row],[High Tol]]-Table1[[#This Row],[Low Tol]]</f>
        <v>0</v>
      </c>
      <c r="R2329" s="1">
        <f>2*Table1[[#This Row],[Std Error]]</f>
        <v>0</v>
      </c>
      <c r="S2329" s="1" t="str">
        <f>IF(Table1[[#This Row],[High Tol]]="","N/A",IFERROR(ABS(Table1[[#This Row],[Tol Span]]/Table1[[#This Row],[Error Span]]),"N/A"))</f>
        <v>N/A</v>
      </c>
      <c r="T2329" s="1" t="str">
        <f>IF(OR(Table1[[#This Row],[Low Tol]]="",Table1[[#This Row],[High Tol]]=""),"Needs Analysis",IF(Table1[[#This Row],[Ratio]]&gt;=4,"Not Significant",IF(Table1[[#This Row],[Ratio]]&gt;=2,"Semi-Significant","Significant")))</f>
        <v>Needs Analysis</v>
      </c>
      <c r="W2329" s="1">
        <f>IF(Table1[[#This Row],[Cal Type]]&lt;&gt;"ACCREDITED 17025 WITH UNCERTAINTIES",0,"")</f>
        <v>0</v>
      </c>
      <c r="X2329" s="1" t="str">
        <f>IF(Table1[[#This Row],[DUT Read]]="","N/A",Table1[[#This Row],[Std Error]]+Table1[[#This Row],[DUT Read]]+Table1[[#This Row],[DUT Ucty]])</f>
        <v>N/A</v>
      </c>
      <c r="Y2329" s="1" t="str">
        <f>IF(Table1[[#This Row],[Std Read]]="","N/A",Table1[[#This Row],[Std Read]]+Table1[[#This Row],[Std Ucty]])</f>
        <v>N/A</v>
      </c>
      <c r="Z23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29" s="1" t="str">
        <f>IF(Table1[[#This Row],[Spec Type]]="","N/A",Table1[[#This Row],[Spec Type]])</f>
        <v>±</v>
      </c>
      <c r="AC2329" s="1" t="str">
        <f>IF(Table1[[#This Row],[Spec Type2]]="N/A","N/A",IF(AND(Table1[[#This Row],[DUT Adj Read]]&gt;=Table1[[#This Row],[Low Tol]],Table1[[#This Row],[DUT Adj Read]]&lt;=Table1[[#This Row],[High Tol]]),"Pass","Fail"))</f>
        <v>Fail</v>
      </c>
      <c r="AD2329" s="1" t="str">
        <f>IF(AND(Table1[[#This Row],[Spec Type2]]="N/A",Table1[[#This Row],[DUT Adj Read]]="N/A",Table1[[#This Row],[Std Adj Read]]="N/A"),"N/A",IF(Table1[[#This Row],[DUT Adj Read]]="N/A",IF(Table1[[#This Row],[Std Adj Read]]&gt;Table1[[#This Row],[Low Tol]],"Pass","Fail"),IF(Table1[[#This Row],[DUT Adj Read]]&gt;Table1[[#This Row],[Low Tol]],"Pass","Fail")))</f>
        <v>Pass</v>
      </c>
      <c r="AE2329" s="1" t="str">
        <f>IF(AND(Table1[[#This Row],[Spec Type2]]="N/A",Table1[[#This Row],[DUT Adj Read]]="N/A",Table1[[#This Row],[Std Adj Read]]="N/A"),"N/A",IF(Table1[[#This Row],[DUT Adj Read]]="N/A",IF(Table1[[#This Row],[Std Adj Read]]&lt;Table1[[#This Row],[High Tol]],"Pass","Fail"),IF(Table1[[#This Row],[DUT Adj Read]]&lt;Table1[[#This Row],[High Tol]],"Pass","Fail")))</f>
        <v>Fail</v>
      </c>
      <c r="AF2329" s="1" t="str">
        <f>IF(AND(Table1[[#This Row],[Spec Type2]]="N/A",Table1[[#This Row],[DUT Adj Read]]="N/A",Table1[[#This Row],[Std Adj Read]]="N/A"),"N/A",IF(Table1[[#This Row],[DUT Adj Read]]="N/A",IF(Table1[[#This Row],[Std Adj Read]]&gt;=Table1[[#This Row],[Low Tol]],"Pass","Fail"),IF(Table1[[#This Row],[DUT Adj Read]]&gt;=Table1[[#This Row],[Low Tol]],"Pass","Fail")))</f>
        <v>Pass</v>
      </c>
      <c r="AG2329" s="1" t="str">
        <f>IF(AND(Table1[[#This Row],[Spec Type2]]="N/A",Table1[[#This Row],[DUT Adj Read]]="N/A",Table1[[#This Row],[Std Adj Read]]="N/A"),"N/A",IF(Table1[[#This Row],[DUT Adj Read]]="N/A",IF(Table1[[#This Row],[Std Adj Read]]&lt;=Table1[[#This Row],[High Tol]],"Pass","Fail"),IF(Table1[[#This Row],[DUT Adj Read]]&lt;=Table1[[#This Row],[High Tol]],"Pass","Fail")))</f>
        <v>Fail</v>
      </c>
      <c r="AH23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29" s="1" t="b">
        <v>0</v>
      </c>
      <c r="AN2329" s="1" t="b">
        <v>0</v>
      </c>
      <c r="AO2329" s="1" t="b">
        <v>0</v>
      </c>
    </row>
    <row r="2330" spans="1:41" x14ac:dyDescent="0.25">
      <c r="A2330" s="10"/>
      <c r="B2330" s="10"/>
      <c r="C2330" s="10"/>
      <c r="D2330" s="10"/>
      <c r="E2330" s="10"/>
      <c r="F2330" s="10"/>
      <c r="G2330" s="10"/>
      <c r="H2330" s="10"/>
      <c r="I2330" s="1" t="str">
        <f t="shared" si="108"/>
        <v/>
      </c>
      <c r="J2330" s="1" t="s">
        <v>35</v>
      </c>
      <c r="K2330" s="1" t="str">
        <f t="shared" si="109"/>
        <v/>
      </c>
      <c r="L2330" s="1" t="str">
        <f t="shared" si="110"/>
        <v/>
      </c>
      <c r="M2330" s="1">
        <f>IF(OR(Table1[[#This Row],[Std Nom]]="",Table1[[#This Row],[Std Read]]=""),0,Table1[[#This Row],[Std Nom]]-Table1[[#This Row],[Std Read]])</f>
        <v>0</v>
      </c>
      <c r="N2330" s="1">
        <f>IF(Calculations!$F$5="ACCREDITED 17025 WITH UNCERTAINTIES",$N$10,0)</f>
        <v>0</v>
      </c>
      <c r="Q2330" s="1">
        <f>Table1[[#This Row],[High Tol]]-Table1[[#This Row],[Low Tol]]</f>
        <v>0</v>
      </c>
      <c r="R2330" s="1">
        <f>2*Table1[[#This Row],[Std Error]]</f>
        <v>0</v>
      </c>
      <c r="S2330" s="1" t="str">
        <f>IF(Table1[[#This Row],[High Tol]]="","N/A",IFERROR(ABS(Table1[[#This Row],[Tol Span]]/Table1[[#This Row],[Error Span]]),"N/A"))</f>
        <v>N/A</v>
      </c>
      <c r="T2330" s="1" t="str">
        <f>IF(OR(Table1[[#This Row],[Low Tol]]="",Table1[[#This Row],[High Tol]]=""),"Needs Analysis",IF(Table1[[#This Row],[Ratio]]&gt;=4,"Not Significant",IF(Table1[[#This Row],[Ratio]]&gt;=2,"Semi-Significant","Significant")))</f>
        <v>Needs Analysis</v>
      </c>
      <c r="W2330" s="1">
        <f>IF(Table1[[#This Row],[Cal Type]]&lt;&gt;"ACCREDITED 17025 WITH UNCERTAINTIES",0,"")</f>
        <v>0</v>
      </c>
      <c r="X2330" s="1" t="str">
        <f>IF(Table1[[#This Row],[DUT Read]]="","N/A",Table1[[#This Row],[Std Error]]+Table1[[#This Row],[DUT Read]]+Table1[[#This Row],[DUT Ucty]])</f>
        <v>N/A</v>
      </c>
      <c r="Y2330" s="1" t="str">
        <f>IF(Table1[[#This Row],[Std Read]]="","N/A",Table1[[#This Row],[Std Read]]+Table1[[#This Row],[Std Ucty]])</f>
        <v>N/A</v>
      </c>
      <c r="Z23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0" s="1" t="str">
        <f>IF(Table1[[#This Row],[Spec Type]]="","N/A",Table1[[#This Row],[Spec Type]])</f>
        <v>±</v>
      </c>
      <c r="AC2330" s="1" t="str">
        <f>IF(Table1[[#This Row],[Spec Type2]]="N/A","N/A",IF(AND(Table1[[#This Row],[DUT Adj Read]]&gt;=Table1[[#This Row],[Low Tol]],Table1[[#This Row],[DUT Adj Read]]&lt;=Table1[[#This Row],[High Tol]]),"Pass","Fail"))</f>
        <v>Fail</v>
      </c>
      <c r="AD2330" s="1" t="str">
        <f>IF(AND(Table1[[#This Row],[Spec Type2]]="N/A",Table1[[#This Row],[DUT Adj Read]]="N/A",Table1[[#This Row],[Std Adj Read]]="N/A"),"N/A",IF(Table1[[#This Row],[DUT Adj Read]]="N/A",IF(Table1[[#This Row],[Std Adj Read]]&gt;Table1[[#This Row],[Low Tol]],"Pass","Fail"),IF(Table1[[#This Row],[DUT Adj Read]]&gt;Table1[[#This Row],[Low Tol]],"Pass","Fail")))</f>
        <v>Pass</v>
      </c>
      <c r="AE2330" s="1" t="str">
        <f>IF(AND(Table1[[#This Row],[Spec Type2]]="N/A",Table1[[#This Row],[DUT Adj Read]]="N/A",Table1[[#This Row],[Std Adj Read]]="N/A"),"N/A",IF(Table1[[#This Row],[DUT Adj Read]]="N/A",IF(Table1[[#This Row],[Std Adj Read]]&lt;Table1[[#This Row],[High Tol]],"Pass","Fail"),IF(Table1[[#This Row],[DUT Adj Read]]&lt;Table1[[#This Row],[High Tol]],"Pass","Fail")))</f>
        <v>Fail</v>
      </c>
      <c r="AF2330" s="1" t="str">
        <f>IF(AND(Table1[[#This Row],[Spec Type2]]="N/A",Table1[[#This Row],[DUT Adj Read]]="N/A",Table1[[#This Row],[Std Adj Read]]="N/A"),"N/A",IF(Table1[[#This Row],[DUT Adj Read]]="N/A",IF(Table1[[#This Row],[Std Adj Read]]&gt;=Table1[[#This Row],[Low Tol]],"Pass","Fail"),IF(Table1[[#This Row],[DUT Adj Read]]&gt;=Table1[[#This Row],[Low Tol]],"Pass","Fail")))</f>
        <v>Pass</v>
      </c>
      <c r="AG2330" s="1" t="str">
        <f>IF(AND(Table1[[#This Row],[Spec Type2]]="N/A",Table1[[#This Row],[DUT Adj Read]]="N/A",Table1[[#This Row],[Std Adj Read]]="N/A"),"N/A",IF(Table1[[#This Row],[DUT Adj Read]]="N/A",IF(Table1[[#This Row],[Std Adj Read]]&lt;=Table1[[#This Row],[High Tol]],"Pass","Fail"),IF(Table1[[#This Row],[DUT Adj Read]]&lt;=Table1[[#This Row],[High Tol]],"Pass","Fail")))</f>
        <v>Fail</v>
      </c>
      <c r="AH23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0" s="1" t="b">
        <v>0</v>
      </c>
      <c r="AN2330" s="1" t="b">
        <v>0</v>
      </c>
      <c r="AO2330" s="1" t="b">
        <v>0</v>
      </c>
    </row>
    <row r="2331" spans="1:41" x14ac:dyDescent="0.25">
      <c r="A2331" s="10"/>
      <c r="B2331" s="10"/>
      <c r="C2331" s="10"/>
      <c r="D2331" s="10"/>
      <c r="E2331" s="10"/>
      <c r="F2331" s="10"/>
      <c r="G2331" s="10"/>
      <c r="H2331" s="10"/>
      <c r="I2331" s="1" t="str">
        <f t="shared" si="108"/>
        <v/>
      </c>
      <c r="J2331" s="1" t="s">
        <v>35</v>
      </c>
      <c r="K2331" s="1" t="str">
        <f t="shared" si="109"/>
        <v/>
      </c>
      <c r="L2331" s="1" t="str">
        <f t="shared" si="110"/>
        <v/>
      </c>
      <c r="M2331" s="1">
        <f>IF(OR(Table1[[#This Row],[Std Nom]]="",Table1[[#This Row],[Std Read]]=""),0,Table1[[#This Row],[Std Nom]]-Table1[[#This Row],[Std Read]])</f>
        <v>0</v>
      </c>
      <c r="N2331" s="1">
        <f>IF(Calculations!$F$5="ACCREDITED 17025 WITH UNCERTAINTIES",$N$10,0)</f>
        <v>0</v>
      </c>
      <c r="Q2331" s="1">
        <f>Table1[[#This Row],[High Tol]]-Table1[[#This Row],[Low Tol]]</f>
        <v>0</v>
      </c>
      <c r="R2331" s="1">
        <f>2*Table1[[#This Row],[Std Error]]</f>
        <v>0</v>
      </c>
      <c r="S2331" s="1" t="str">
        <f>IF(Table1[[#This Row],[High Tol]]="","N/A",IFERROR(ABS(Table1[[#This Row],[Tol Span]]/Table1[[#This Row],[Error Span]]),"N/A"))</f>
        <v>N/A</v>
      </c>
      <c r="T2331" s="1" t="str">
        <f>IF(OR(Table1[[#This Row],[Low Tol]]="",Table1[[#This Row],[High Tol]]=""),"Needs Analysis",IF(Table1[[#This Row],[Ratio]]&gt;=4,"Not Significant",IF(Table1[[#This Row],[Ratio]]&gt;=2,"Semi-Significant","Significant")))</f>
        <v>Needs Analysis</v>
      </c>
      <c r="W2331" s="1">
        <f>IF(Table1[[#This Row],[Cal Type]]&lt;&gt;"ACCREDITED 17025 WITH UNCERTAINTIES",0,"")</f>
        <v>0</v>
      </c>
      <c r="X2331" s="1" t="str">
        <f>IF(Table1[[#This Row],[DUT Read]]="","N/A",Table1[[#This Row],[Std Error]]+Table1[[#This Row],[DUT Read]]+Table1[[#This Row],[DUT Ucty]])</f>
        <v>N/A</v>
      </c>
      <c r="Y2331" s="1" t="str">
        <f>IF(Table1[[#This Row],[Std Read]]="","N/A",Table1[[#This Row],[Std Read]]+Table1[[#This Row],[Std Ucty]])</f>
        <v>N/A</v>
      </c>
      <c r="Z23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1" s="1" t="str">
        <f>IF(Table1[[#This Row],[Spec Type]]="","N/A",Table1[[#This Row],[Spec Type]])</f>
        <v>±</v>
      </c>
      <c r="AC2331" s="1" t="str">
        <f>IF(Table1[[#This Row],[Spec Type2]]="N/A","N/A",IF(AND(Table1[[#This Row],[DUT Adj Read]]&gt;=Table1[[#This Row],[Low Tol]],Table1[[#This Row],[DUT Adj Read]]&lt;=Table1[[#This Row],[High Tol]]),"Pass","Fail"))</f>
        <v>Fail</v>
      </c>
      <c r="AD2331" s="1" t="str">
        <f>IF(AND(Table1[[#This Row],[Spec Type2]]="N/A",Table1[[#This Row],[DUT Adj Read]]="N/A",Table1[[#This Row],[Std Adj Read]]="N/A"),"N/A",IF(Table1[[#This Row],[DUT Adj Read]]="N/A",IF(Table1[[#This Row],[Std Adj Read]]&gt;Table1[[#This Row],[Low Tol]],"Pass","Fail"),IF(Table1[[#This Row],[DUT Adj Read]]&gt;Table1[[#This Row],[Low Tol]],"Pass","Fail")))</f>
        <v>Pass</v>
      </c>
      <c r="AE2331" s="1" t="str">
        <f>IF(AND(Table1[[#This Row],[Spec Type2]]="N/A",Table1[[#This Row],[DUT Adj Read]]="N/A",Table1[[#This Row],[Std Adj Read]]="N/A"),"N/A",IF(Table1[[#This Row],[DUT Adj Read]]="N/A",IF(Table1[[#This Row],[Std Adj Read]]&lt;Table1[[#This Row],[High Tol]],"Pass","Fail"),IF(Table1[[#This Row],[DUT Adj Read]]&lt;Table1[[#This Row],[High Tol]],"Pass","Fail")))</f>
        <v>Fail</v>
      </c>
      <c r="AF2331" s="1" t="str">
        <f>IF(AND(Table1[[#This Row],[Spec Type2]]="N/A",Table1[[#This Row],[DUT Adj Read]]="N/A",Table1[[#This Row],[Std Adj Read]]="N/A"),"N/A",IF(Table1[[#This Row],[DUT Adj Read]]="N/A",IF(Table1[[#This Row],[Std Adj Read]]&gt;=Table1[[#This Row],[Low Tol]],"Pass","Fail"),IF(Table1[[#This Row],[DUT Adj Read]]&gt;=Table1[[#This Row],[Low Tol]],"Pass","Fail")))</f>
        <v>Pass</v>
      </c>
      <c r="AG2331" s="1" t="str">
        <f>IF(AND(Table1[[#This Row],[Spec Type2]]="N/A",Table1[[#This Row],[DUT Adj Read]]="N/A",Table1[[#This Row],[Std Adj Read]]="N/A"),"N/A",IF(Table1[[#This Row],[DUT Adj Read]]="N/A",IF(Table1[[#This Row],[Std Adj Read]]&lt;=Table1[[#This Row],[High Tol]],"Pass","Fail"),IF(Table1[[#This Row],[DUT Adj Read]]&lt;=Table1[[#This Row],[High Tol]],"Pass","Fail")))</f>
        <v>Fail</v>
      </c>
      <c r="AH23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1" s="1" t="b">
        <v>0</v>
      </c>
      <c r="AN2331" s="1" t="b">
        <v>0</v>
      </c>
      <c r="AO2331" s="1" t="b">
        <v>0</v>
      </c>
    </row>
    <row r="2332" spans="1:41" x14ac:dyDescent="0.25">
      <c r="A2332" s="10"/>
      <c r="B2332" s="10"/>
      <c r="C2332" s="10"/>
      <c r="D2332" s="10"/>
      <c r="E2332" s="10"/>
      <c r="F2332" s="10"/>
      <c r="G2332" s="10"/>
      <c r="H2332" s="10"/>
      <c r="I2332" s="1" t="str">
        <f t="shared" si="108"/>
        <v/>
      </c>
      <c r="J2332" s="1" t="s">
        <v>35</v>
      </c>
      <c r="K2332" s="1" t="str">
        <f t="shared" si="109"/>
        <v/>
      </c>
      <c r="L2332" s="1" t="str">
        <f t="shared" si="110"/>
        <v/>
      </c>
      <c r="M2332" s="1">
        <f>IF(OR(Table1[[#This Row],[Std Nom]]="",Table1[[#This Row],[Std Read]]=""),0,Table1[[#This Row],[Std Nom]]-Table1[[#This Row],[Std Read]])</f>
        <v>0</v>
      </c>
      <c r="N2332" s="1">
        <f>IF(Calculations!$F$5="ACCREDITED 17025 WITH UNCERTAINTIES",$N$10,0)</f>
        <v>0</v>
      </c>
      <c r="Q2332" s="1">
        <f>Table1[[#This Row],[High Tol]]-Table1[[#This Row],[Low Tol]]</f>
        <v>0</v>
      </c>
      <c r="R2332" s="1">
        <f>2*Table1[[#This Row],[Std Error]]</f>
        <v>0</v>
      </c>
      <c r="S2332" s="1" t="str">
        <f>IF(Table1[[#This Row],[High Tol]]="","N/A",IFERROR(ABS(Table1[[#This Row],[Tol Span]]/Table1[[#This Row],[Error Span]]),"N/A"))</f>
        <v>N/A</v>
      </c>
      <c r="T2332" s="1" t="str">
        <f>IF(OR(Table1[[#This Row],[Low Tol]]="",Table1[[#This Row],[High Tol]]=""),"Needs Analysis",IF(Table1[[#This Row],[Ratio]]&gt;=4,"Not Significant",IF(Table1[[#This Row],[Ratio]]&gt;=2,"Semi-Significant","Significant")))</f>
        <v>Needs Analysis</v>
      </c>
      <c r="W2332" s="1">
        <f>IF(Table1[[#This Row],[Cal Type]]&lt;&gt;"ACCREDITED 17025 WITH UNCERTAINTIES",0,"")</f>
        <v>0</v>
      </c>
      <c r="X2332" s="1" t="str">
        <f>IF(Table1[[#This Row],[DUT Read]]="","N/A",Table1[[#This Row],[Std Error]]+Table1[[#This Row],[DUT Read]]+Table1[[#This Row],[DUT Ucty]])</f>
        <v>N/A</v>
      </c>
      <c r="Y2332" s="1" t="str">
        <f>IF(Table1[[#This Row],[Std Read]]="","N/A",Table1[[#This Row],[Std Read]]+Table1[[#This Row],[Std Ucty]])</f>
        <v>N/A</v>
      </c>
      <c r="Z23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2" s="1" t="str">
        <f>IF(Table1[[#This Row],[Spec Type]]="","N/A",Table1[[#This Row],[Spec Type]])</f>
        <v>±</v>
      </c>
      <c r="AC2332" s="1" t="str">
        <f>IF(Table1[[#This Row],[Spec Type2]]="N/A","N/A",IF(AND(Table1[[#This Row],[DUT Adj Read]]&gt;=Table1[[#This Row],[Low Tol]],Table1[[#This Row],[DUT Adj Read]]&lt;=Table1[[#This Row],[High Tol]]),"Pass","Fail"))</f>
        <v>Fail</v>
      </c>
      <c r="AD2332" s="1" t="str">
        <f>IF(AND(Table1[[#This Row],[Spec Type2]]="N/A",Table1[[#This Row],[DUT Adj Read]]="N/A",Table1[[#This Row],[Std Adj Read]]="N/A"),"N/A",IF(Table1[[#This Row],[DUT Adj Read]]="N/A",IF(Table1[[#This Row],[Std Adj Read]]&gt;Table1[[#This Row],[Low Tol]],"Pass","Fail"),IF(Table1[[#This Row],[DUT Adj Read]]&gt;Table1[[#This Row],[Low Tol]],"Pass","Fail")))</f>
        <v>Pass</v>
      </c>
      <c r="AE2332" s="1" t="str">
        <f>IF(AND(Table1[[#This Row],[Spec Type2]]="N/A",Table1[[#This Row],[DUT Adj Read]]="N/A",Table1[[#This Row],[Std Adj Read]]="N/A"),"N/A",IF(Table1[[#This Row],[DUT Adj Read]]="N/A",IF(Table1[[#This Row],[Std Adj Read]]&lt;Table1[[#This Row],[High Tol]],"Pass","Fail"),IF(Table1[[#This Row],[DUT Adj Read]]&lt;Table1[[#This Row],[High Tol]],"Pass","Fail")))</f>
        <v>Fail</v>
      </c>
      <c r="AF2332" s="1" t="str">
        <f>IF(AND(Table1[[#This Row],[Spec Type2]]="N/A",Table1[[#This Row],[DUT Adj Read]]="N/A",Table1[[#This Row],[Std Adj Read]]="N/A"),"N/A",IF(Table1[[#This Row],[DUT Adj Read]]="N/A",IF(Table1[[#This Row],[Std Adj Read]]&gt;=Table1[[#This Row],[Low Tol]],"Pass","Fail"),IF(Table1[[#This Row],[DUT Adj Read]]&gt;=Table1[[#This Row],[Low Tol]],"Pass","Fail")))</f>
        <v>Pass</v>
      </c>
      <c r="AG2332" s="1" t="str">
        <f>IF(AND(Table1[[#This Row],[Spec Type2]]="N/A",Table1[[#This Row],[DUT Adj Read]]="N/A",Table1[[#This Row],[Std Adj Read]]="N/A"),"N/A",IF(Table1[[#This Row],[DUT Adj Read]]="N/A",IF(Table1[[#This Row],[Std Adj Read]]&lt;=Table1[[#This Row],[High Tol]],"Pass","Fail"),IF(Table1[[#This Row],[DUT Adj Read]]&lt;=Table1[[#This Row],[High Tol]],"Pass","Fail")))</f>
        <v>Fail</v>
      </c>
      <c r="AH23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2" s="1" t="b">
        <v>0</v>
      </c>
      <c r="AN2332" s="1" t="b">
        <v>0</v>
      </c>
      <c r="AO2332" s="1" t="b">
        <v>0</v>
      </c>
    </row>
    <row r="2333" spans="1:41" x14ac:dyDescent="0.25">
      <c r="A2333" s="10"/>
      <c r="B2333" s="10"/>
      <c r="C2333" s="10"/>
      <c r="D2333" s="10"/>
      <c r="E2333" s="10"/>
      <c r="F2333" s="10"/>
      <c r="G2333" s="10"/>
      <c r="H2333" s="10"/>
      <c r="I2333" s="1" t="str">
        <f t="shared" si="108"/>
        <v/>
      </c>
      <c r="J2333" s="1" t="s">
        <v>35</v>
      </c>
      <c r="K2333" s="1" t="str">
        <f t="shared" si="109"/>
        <v/>
      </c>
      <c r="L2333" s="1" t="str">
        <f t="shared" si="110"/>
        <v/>
      </c>
      <c r="M2333" s="1">
        <f>IF(OR(Table1[[#This Row],[Std Nom]]="",Table1[[#This Row],[Std Read]]=""),0,Table1[[#This Row],[Std Nom]]-Table1[[#This Row],[Std Read]])</f>
        <v>0</v>
      </c>
      <c r="N2333" s="1">
        <f>IF(Calculations!$F$5="ACCREDITED 17025 WITH UNCERTAINTIES",$N$10,0)</f>
        <v>0</v>
      </c>
      <c r="Q2333" s="1">
        <f>Table1[[#This Row],[High Tol]]-Table1[[#This Row],[Low Tol]]</f>
        <v>0</v>
      </c>
      <c r="R2333" s="1">
        <f>2*Table1[[#This Row],[Std Error]]</f>
        <v>0</v>
      </c>
      <c r="S2333" s="1" t="str">
        <f>IF(Table1[[#This Row],[High Tol]]="","N/A",IFERROR(ABS(Table1[[#This Row],[Tol Span]]/Table1[[#This Row],[Error Span]]),"N/A"))</f>
        <v>N/A</v>
      </c>
      <c r="T2333" s="1" t="str">
        <f>IF(OR(Table1[[#This Row],[Low Tol]]="",Table1[[#This Row],[High Tol]]=""),"Needs Analysis",IF(Table1[[#This Row],[Ratio]]&gt;=4,"Not Significant",IF(Table1[[#This Row],[Ratio]]&gt;=2,"Semi-Significant","Significant")))</f>
        <v>Needs Analysis</v>
      </c>
      <c r="W2333" s="1">
        <f>IF(Table1[[#This Row],[Cal Type]]&lt;&gt;"ACCREDITED 17025 WITH UNCERTAINTIES",0,"")</f>
        <v>0</v>
      </c>
      <c r="X2333" s="1" t="str">
        <f>IF(Table1[[#This Row],[DUT Read]]="","N/A",Table1[[#This Row],[Std Error]]+Table1[[#This Row],[DUT Read]]+Table1[[#This Row],[DUT Ucty]])</f>
        <v>N/A</v>
      </c>
      <c r="Y2333" s="1" t="str">
        <f>IF(Table1[[#This Row],[Std Read]]="","N/A",Table1[[#This Row],[Std Read]]+Table1[[#This Row],[Std Ucty]])</f>
        <v>N/A</v>
      </c>
      <c r="Z23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3" s="1" t="str">
        <f>IF(Table1[[#This Row],[Spec Type]]="","N/A",Table1[[#This Row],[Spec Type]])</f>
        <v>±</v>
      </c>
      <c r="AC2333" s="1" t="str">
        <f>IF(Table1[[#This Row],[Spec Type2]]="N/A","N/A",IF(AND(Table1[[#This Row],[DUT Adj Read]]&gt;=Table1[[#This Row],[Low Tol]],Table1[[#This Row],[DUT Adj Read]]&lt;=Table1[[#This Row],[High Tol]]),"Pass","Fail"))</f>
        <v>Fail</v>
      </c>
      <c r="AD2333" s="1" t="str">
        <f>IF(AND(Table1[[#This Row],[Spec Type2]]="N/A",Table1[[#This Row],[DUT Adj Read]]="N/A",Table1[[#This Row],[Std Adj Read]]="N/A"),"N/A",IF(Table1[[#This Row],[DUT Adj Read]]="N/A",IF(Table1[[#This Row],[Std Adj Read]]&gt;Table1[[#This Row],[Low Tol]],"Pass","Fail"),IF(Table1[[#This Row],[DUT Adj Read]]&gt;Table1[[#This Row],[Low Tol]],"Pass","Fail")))</f>
        <v>Pass</v>
      </c>
      <c r="AE2333" s="1" t="str">
        <f>IF(AND(Table1[[#This Row],[Spec Type2]]="N/A",Table1[[#This Row],[DUT Adj Read]]="N/A",Table1[[#This Row],[Std Adj Read]]="N/A"),"N/A",IF(Table1[[#This Row],[DUT Adj Read]]="N/A",IF(Table1[[#This Row],[Std Adj Read]]&lt;Table1[[#This Row],[High Tol]],"Pass","Fail"),IF(Table1[[#This Row],[DUT Adj Read]]&lt;Table1[[#This Row],[High Tol]],"Pass","Fail")))</f>
        <v>Fail</v>
      </c>
      <c r="AF2333" s="1" t="str">
        <f>IF(AND(Table1[[#This Row],[Spec Type2]]="N/A",Table1[[#This Row],[DUT Adj Read]]="N/A",Table1[[#This Row],[Std Adj Read]]="N/A"),"N/A",IF(Table1[[#This Row],[DUT Adj Read]]="N/A",IF(Table1[[#This Row],[Std Adj Read]]&gt;=Table1[[#This Row],[Low Tol]],"Pass","Fail"),IF(Table1[[#This Row],[DUT Adj Read]]&gt;=Table1[[#This Row],[Low Tol]],"Pass","Fail")))</f>
        <v>Pass</v>
      </c>
      <c r="AG2333" s="1" t="str">
        <f>IF(AND(Table1[[#This Row],[Spec Type2]]="N/A",Table1[[#This Row],[DUT Adj Read]]="N/A",Table1[[#This Row],[Std Adj Read]]="N/A"),"N/A",IF(Table1[[#This Row],[DUT Adj Read]]="N/A",IF(Table1[[#This Row],[Std Adj Read]]&lt;=Table1[[#This Row],[High Tol]],"Pass","Fail"),IF(Table1[[#This Row],[DUT Adj Read]]&lt;=Table1[[#This Row],[High Tol]],"Pass","Fail")))</f>
        <v>Fail</v>
      </c>
      <c r="AH23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3" s="1" t="b">
        <v>0</v>
      </c>
      <c r="AN2333" s="1" t="b">
        <v>0</v>
      </c>
      <c r="AO2333" s="1" t="b">
        <v>0</v>
      </c>
    </row>
    <row r="2334" spans="1:41" x14ac:dyDescent="0.25">
      <c r="A2334" s="10"/>
      <c r="B2334" s="10"/>
      <c r="C2334" s="10"/>
      <c r="D2334" s="10"/>
      <c r="E2334" s="10"/>
      <c r="F2334" s="10"/>
      <c r="G2334" s="10"/>
      <c r="H2334" s="10"/>
      <c r="I2334" s="1" t="str">
        <f t="shared" si="108"/>
        <v/>
      </c>
      <c r="J2334" s="1" t="s">
        <v>35</v>
      </c>
      <c r="K2334" s="1" t="str">
        <f t="shared" si="109"/>
        <v/>
      </c>
      <c r="L2334" s="1" t="str">
        <f t="shared" si="110"/>
        <v/>
      </c>
      <c r="M2334" s="1">
        <f>IF(OR(Table1[[#This Row],[Std Nom]]="",Table1[[#This Row],[Std Read]]=""),0,Table1[[#This Row],[Std Nom]]-Table1[[#This Row],[Std Read]])</f>
        <v>0</v>
      </c>
      <c r="N2334" s="1">
        <f>IF(Calculations!$F$5="ACCREDITED 17025 WITH UNCERTAINTIES",$N$10,0)</f>
        <v>0</v>
      </c>
      <c r="Q2334" s="1">
        <f>Table1[[#This Row],[High Tol]]-Table1[[#This Row],[Low Tol]]</f>
        <v>0</v>
      </c>
      <c r="R2334" s="1">
        <f>2*Table1[[#This Row],[Std Error]]</f>
        <v>0</v>
      </c>
      <c r="S2334" s="1" t="str">
        <f>IF(Table1[[#This Row],[High Tol]]="","N/A",IFERROR(ABS(Table1[[#This Row],[Tol Span]]/Table1[[#This Row],[Error Span]]),"N/A"))</f>
        <v>N/A</v>
      </c>
      <c r="T2334" s="1" t="str">
        <f>IF(OR(Table1[[#This Row],[Low Tol]]="",Table1[[#This Row],[High Tol]]=""),"Needs Analysis",IF(Table1[[#This Row],[Ratio]]&gt;=4,"Not Significant",IF(Table1[[#This Row],[Ratio]]&gt;=2,"Semi-Significant","Significant")))</f>
        <v>Needs Analysis</v>
      </c>
      <c r="W2334" s="1">
        <f>IF(Table1[[#This Row],[Cal Type]]&lt;&gt;"ACCREDITED 17025 WITH UNCERTAINTIES",0,"")</f>
        <v>0</v>
      </c>
      <c r="X2334" s="1" t="str">
        <f>IF(Table1[[#This Row],[DUT Read]]="","N/A",Table1[[#This Row],[Std Error]]+Table1[[#This Row],[DUT Read]]+Table1[[#This Row],[DUT Ucty]])</f>
        <v>N/A</v>
      </c>
      <c r="Y2334" s="1" t="str">
        <f>IF(Table1[[#This Row],[Std Read]]="","N/A",Table1[[#This Row],[Std Read]]+Table1[[#This Row],[Std Ucty]])</f>
        <v>N/A</v>
      </c>
      <c r="Z23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4" s="1" t="str">
        <f>IF(Table1[[#This Row],[Spec Type]]="","N/A",Table1[[#This Row],[Spec Type]])</f>
        <v>±</v>
      </c>
      <c r="AC2334" s="1" t="str">
        <f>IF(Table1[[#This Row],[Spec Type2]]="N/A","N/A",IF(AND(Table1[[#This Row],[DUT Adj Read]]&gt;=Table1[[#This Row],[Low Tol]],Table1[[#This Row],[DUT Adj Read]]&lt;=Table1[[#This Row],[High Tol]]),"Pass","Fail"))</f>
        <v>Fail</v>
      </c>
      <c r="AD2334" s="1" t="str">
        <f>IF(AND(Table1[[#This Row],[Spec Type2]]="N/A",Table1[[#This Row],[DUT Adj Read]]="N/A",Table1[[#This Row],[Std Adj Read]]="N/A"),"N/A",IF(Table1[[#This Row],[DUT Adj Read]]="N/A",IF(Table1[[#This Row],[Std Adj Read]]&gt;Table1[[#This Row],[Low Tol]],"Pass","Fail"),IF(Table1[[#This Row],[DUT Adj Read]]&gt;Table1[[#This Row],[Low Tol]],"Pass","Fail")))</f>
        <v>Pass</v>
      </c>
      <c r="AE2334" s="1" t="str">
        <f>IF(AND(Table1[[#This Row],[Spec Type2]]="N/A",Table1[[#This Row],[DUT Adj Read]]="N/A",Table1[[#This Row],[Std Adj Read]]="N/A"),"N/A",IF(Table1[[#This Row],[DUT Adj Read]]="N/A",IF(Table1[[#This Row],[Std Adj Read]]&lt;Table1[[#This Row],[High Tol]],"Pass","Fail"),IF(Table1[[#This Row],[DUT Adj Read]]&lt;Table1[[#This Row],[High Tol]],"Pass","Fail")))</f>
        <v>Fail</v>
      </c>
      <c r="AF2334" s="1" t="str">
        <f>IF(AND(Table1[[#This Row],[Spec Type2]]="N/A",Table1[[#This Row],[DUT Adj Read]]="N/A",Table1[[#This Row],[Std Adj Read]]="N/A"),"N/A",IF(Table1[[#This Row],[DUT Adj Read]]="N/A",IF(Table1[[#This Row],[Std Adj Read]]&gt;=Table1[[#This Row],[Low Tol]],"Pass","Fail"),IF(Table1[[#This Row],[DUT Adj Read]]&gt;=Table1[[#This Row],[Low Tol]],"Pass","Fail")))</f>
        <v>Pass</v>
      </c>
      <c r="AG2334" s="1" t="str">
        <f>IF(AND(Table1[[#This Row],[Spec Type2]]="N/A",Table1[[#This Row],[DUT Adj Read]]="N/A",Table1[[#This Row],[Std Adj Read]]="N/A"),"N/A",IF(Table1[[#This Row],[DUT Adj Read]]="N/A",IF(Table1[[#This Row],[Std Adj Read]]&lt;=Table1[[#This Row],[High Tol]],"Pass","Fail"),IF(Table1[[#This Row],[DUT Adj Read]]&lt;=Table1[[#This Row],[High Tol]],"Pass","Fail")))</f>
        <v>Fail</v>
      </c>
      <c r="AH23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4" s="1" t="b">
        <v>0</v>
      </c>
      <c r="AN2334" s="1" t="b">
        <v>0</v>
      </c>
      <c r="AO2334" s="1" t="b">
        <v>0</v>
      </c>
    </row>
    <row r="2335" spans="1:41" x14ac:dyDescent="0.25">
      <c r="A2335" s="10"/>
      <c r="B2335" s="10"/>
      <c r="C2335" s="10"/>
      <c r="D2335" s="10"/>
      <c r="E2335" s="10"/>
      <c r="F2335" s="10"/>
      <c r="G2335" s="10"/>
      <c r="H2335" s="10"/>
      <c r="I2335" s="1" t="str">
        <f t="shared" si="108"/>
        <v/>
      </c>
      <c r="J2335" s="1" t="s">
        <v>35</v>
      </c>
      <c r="K2335" s="1" t="str">
        <f t="shared" si="109"/>
        <v/>
      </c>
      <c r="L2335" s="1" t="str">
        <f t="shared" si="110"/>
        <v/>
      </c>
      <c r="M2335" s="1">
        <f>IF(OR(Table1[[#This Row],[Std Nom]]="",Table1[[#This Row],[Std Read]]=""),0,Table1[[#This Row],[Std Nom]]-Table1[[#This Row],[Std Read]])</f>
        <v>0</v>
      </c>
      <c r="N2335" s="1">
        <f>IF(Calculations!$F$5="ACCREDITED 17025 WITH UNCERTAINTIES",$N$10,0)</f>
        <v>0</v>
      </c>
      <c r="Q2335" s="1">
        <f>Table1[[#This Row],[High Tol]]-Table1[[#This Row],[Low Tol]]</f>
        <v>0</v>
      </c>
      <c r="R2335" s="1">
        <f>2*Table1[[#This Row],[Std Error]]</f>
        <v>0</v>
      </c>
      <c r="S2335" s="1" t="str">
        <f>IF(Table1[[#This Row],[High Tol]]="","N/A",IFERROR(ABS(Table1[[#This Row],[Tol Span]]/Table1[[#This Row],[Error Span]]),"N/A"))</f>
        <v>N/A</v>
      </c>
      <c r="T2335" s="1" t="str">
        <f>IF(OR(Table1[[#This Row],[Low Tol]]="",Table1[[#This Row],[High Tol]]=""),"Needs Analysis",IF(Table1[[#This Row],[Ratio]]&gt;=4,"Not Significant",IF(Table1[[#This Row],[Ratio]]&gt;=2,"Semi-Significant","Significant")))</f>
        <v>Needs Analysis</v>
      </c>
      <c r="W2335" s="1">
        <f>IF(Table1[[#This Row],[Cal Type]]&lt;&gt;"ACCREDITED 17025 WITH UNCERTAINTIES",0,"")</f>
        <v>0</v>
      </c>
      <c r="X2335" s="1" t="str">
        <f>IF(Table1[[#This Row],[DUT Read]]="","N/A",Table1[[#This Row],[Std Error]]+Table1[[#This Row],[DUT Read]]+Table1[[#This Row],[DUT Ucty]])</f>
        <v>N/A</v>
      </c>
      <c r="Y2335" s="1" t="str">
        <f>IF(Table1[[#This Row],[Std Read]]="","N/A",Table1[[#This Row],[Std Read]]+Table1[[#This Row],[Std Ucty]])</f>
        <v>N/A</v>
      </c>
      <c r="Z23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5" s="1" t="str">
        <f>IF(Table1[[#This Row],[Spec Type]]="","N/A",Table1[[#This Row],[Spec Type]])</f>
        <v>±</v>
      </c>
      <c r="AC2335" s="1" t="str">
        <f>IF(Table1[[#This Row],[Spec Type2]]="N/A","N/A",IF(AND(Table1[[#This Row],[DUT Adj Read]]&gt;=Table1[[#This Row],[Low Tol]],Table1[[#This Row],[DUT Adj Read]]&lt;=Table1[[#This Row],[High Tol]]),"Pass","Fail"))</f>
        <v>Fail</v>
      </c>
      <c r="AD2335" s="1" t="str">
        <f>IF(AND(Table1[[#This Row],[Spec Type2]]="N/A",Table1[[#This Row],[DUT Adj Read]]="N/A",Table1[[#This Row],[Std Adj Read]]="N/A"),"N/A",IF(Table1[[#This Row],[DUT Adj Read]]="N/A",IF(Table1[[#This Row],[Std Adj Read]]&gt;Table1[[#This Row],[Low Tol]],"Pass","Fail"),IF(Table1[[#This Row],[DUT Adj Read]]&gt;Table1[[#This Row],[Low Tol]],"Pass","Fail")))</f>
        <v>Pass</v>
      </c>
      <c r="AE2335" s="1" t="str">
        <f>IF(AND(Table1[[#This Row],[Spec Type2]]="N/A",Table1[[#This Row],[DUT Adj Read]]="N/A",Table1[[#This Row],[Std Adj Read]]="N/A"),"N/A",IF(Table1[[#This Row],[DUT Adj Read]]="N/A",IF(Table1[[#This Row],[Std Adj Read]]&lt;Table1[[#This Row],[High Tol]],"Pass","Fail"),IF(Table1[[#This Row],[DUT Adj Read]]&lt;Table1[[#This Row],[High Tol]],"Pass","Fail")))</f>
        <v>Fail</v>
      </c>
      <c r="AF2335" s="1" t="str">
        <f>IF(AND(Table1[[#This Row],[Spec Type2]]="N/A",Table1[[#This Row],[DUT Adj Read]]="N/A",Table1[[#This Row],[Std Adj Read]]="N/A"),"N/A",IF(Table1[[#This Row],[DUT Adj Read]]="N/A",IF(Table1[[#This Row],[Std Adj Read]]&gt;=Table1[[#This Row],[Low Tol]],"Pass","Fail"),IF(Table1[[#This Row],[DUT Adj Read]]&gt;=Table1[[#This Row],[Low Tol]],"Pass","Fail")))</f>
        <v>Pass</v>
      </c>
      <c r="AG2335" s="1" t="str">
        <f>IF(AND(Table1[[#This Row],[Spec Type2]]="N/A",Table1[[#This Row],[DUT Adj Read]]="N/A",Table1[[#This Row],[Std Adj Read]]="N/A"),"N/A",IF(Table1[[#This Row],[DUT Adj Read]]="N/A",IF(Table1[[#This Row],[Std Adj Read]]&lt;=Table1[[#This Row],[High Tol]],"Pass","Fail"),IF(Table1[[#This Row],[DUT Adj Read]]&lt;=Table1[[#This Row],[High Tol]],"Pass","Fail")))</f>
        <v>Fail</v>
      </c>
      <c r="AH23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5" s="1" t="b">
        <v>0</v>
      </c>
      <c r="AN2335" s="1" t="b">
        <v>0</v>
      </c>
      <c r="AO2335" s="1" t="b">
        <v>0</v>
      </c>
    </row>
    <row r="2336" spans="1:41" x14ac:dyDescent="0.25">
      <c r="A2336" s="10"/>
      <c r="B2336" s="10"/>
      <c r="C2336" s="10"/>
      <c r="D2336" s="10"/>
      <c r="E2336" s="10"/>
      <c r="F2336" s="10"/>
      <c r="G2336" s="10"/>
      <c r="H2336" s="10"/>
      <c r="I2336" s="1" t="str">
        <f t="shared" si="108"/>
        <v/>
      </c>
      <c r="J2336" s="1" t="s">
        <v>35</v>
      </c>
      <c r="K2336" s="1" t="str">
        <f t="shared" si="109"/>
        <v/>
      </c>
      <c r="L2336" s="1" t="str">
        <f t="shared" si="110"/>
        <v/>
      </c>
      <c r="M2336" s="1">
        <f>IF(OR(Table1[[#This Row],[Std Nom]]="",Table1[[#This Row],[Std Read]]=""),0,Table1[[#This Row],[Std Nom]]-Table1[[#This Row],[Std Read]])</f>
        <v>0</v>
      </c>
      <c r="N2336" s="1">
        <f>IF(Calculations!$F$5="ACCREDITED 17025 WITH UNCERTAINTIES",$N$10,0)</f>
        <v>0</v>
      </c>
      <c r="Q2336" s="1">
        <f>Table1[[#This Row],[High Tol]]-Table1[[#This Row],[Low Tol]]</f>
        <v>0</v>
      </c>
      <c r="R2336" s="1">
        <f>2*Table1[[#This Row],[Std Error]]</f>
        <v>0</v>
      </c>
      <c r="S2336" s="1" t="str">
        <f>IF(Table1[[#This Row],[High Tol]]="","N/A",IFERROR(ABS(Table1[[#This Row],[Tol Span]]/Table1[[#This Row],[Error Span]]),"N/A"))</f>
        <v>N/A</v>
      </c>
      <c r="T2336" s="1" t="str">
        <f>IF(OR(Table1[[#This Row],[Low Tol]]="",Table1[[#This Row],[High Tol]]=""),"Needs Analysis",IF(Table1[[#This Row],[Ratio]]&gt;=4,"Not Significant",IF(Table1[[#This Row],[Ratio]]&gt;=2,"Semi-Significant","Significant")))</f>
        <v>Needs Analysis</v>
      </c>
      <c r="W2336" s="1">
        <f>IF(Table1[[#This Row],[Cal Type]]&lt;&gt;"ACCREDITED 17025 WITH UNCERTAINTIES",0,"")</f>
        <v>0</v>
      </c>
      <c r="X2336" s="1" t="str">
        <f>IF(Table1[[#This Row],[DUT Read]]="","N/A",Table1[[#This Row],[Std Error]]+Table1[[#This Row],[DUT Read]]+Table1[[#This Row],[DUT Ucty]])</f>
        <v>N/A</v>
      </c>
      <c r="Y2336" s="1" t="str">
        <f>IF(Table1[[#This Row],[Std Read]]="","N/A",Table1[[#This Row],[Std Read]]+Table1[[#This Row],[Std Ucty]])</f>
        <v>N/A</v>
      </c>
      <c r="Z23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6" s="1" t="str">
        <f>IF(Table1[[#This Row],[Spec Type]]="","N/A",Table1[[#This Row],[Spec Type]])</f>
        <v>±</v>
      </c>
      <c r="AC2336" s="1" t="str">
        <f>IF(Table1[[#This Row],[Spec Type2]]="N/A","N/A",IF(AND(Table1[[#This Row],[DUT Adj Read]]&gt;=Table1[[#This Row],[Low Tol]],Table1[[#This Row],[DUT Adj Read]]&lt;=Table1[[#This Row],[High Tol]]),"Pass","Fail"))</f>
        <v>Fail</v>
      </c>
      <c r="AD2336" s="1" t="str">
        <f>IF(AND(Table1[[#This Row],[Spec Type2]]="N/A",Table1[[#This Row],[DUT Adj Read]]="N/A",Table1[[#This Row],[Std Adj Read]]="N/A"),"N/A",IF(Table1[[#This Row],[DUT Adj Read]]="N/A",IF(Table1[[#This Row],[Std Adj Read]]&gt;Table1[[#This Row],[Low Tol]],"Pass","Fail"),IF(Table1[[#This Row],[DUT Adj Read]]&gt;Table1[[#This Row],[Low Tol]],"Pass","Fail")))</f>
        <v>Pass</v>
      </c>
      <c r="AE2336" s="1" t="str">
        <f>IF(AND(Table1[[#This Row],[Spec Type2]]="N/A",Table1[[#This Row],[DUT Adj Read]]="N/A",Table1[[#This Row],[Std Adj Read]]="N/A"),"N/A",IF(Table1[[#This Row],[DUT Adj Read]]="N/A",IF(Table1[[#This Row],[Std Adj Read]]&lt;Table1[[#This Row],[High Tol]],"Pass","Fail"),IF(Table1[[#This Row],[DUT Adj Read]]&lt;Table1[[#This Row],[High Tol]],"Pass","Fail")))</f>
        <v>Fail</v>
      </c>
      <c r="AF2336" s="1" t="str">
        <f>IF(AND(Table1[[#This Row],[Spec Type2]]="N/A",Table1[[#This Row],[DUT Adj Read]]="N/A",Table1[[#This Row],[Std Adj Read]]="N/A"),"N/A",IF(Table1[[#This Row],[DUT Adj Read]]="N/A",IF(Table1[[#This Row],[Std Adj Read]]&gt;=Table1[[#This Row],[Low Tol]],"Pass","Fail"),IF(Table1[[#This Row],[DUT Adj Read]]&gt;=Table1[[#This Row],[Low Tol]],"Pass","Fail")))</f>
        <v>Pass</v>
      </c>
      <c r="AG2336" s="1" t="str">
        <f>IF(AND(Table1[[#This Row],[Spec Type2]]="N/A",Table1[[#This Row],[DUT Adj Read]]="N/A",Table1[[#This Row],[Std Adj Read]]="N/A"),"N/A",IF(Table1[[#This Row],[DUT Adj Read]]="N/A",IF(Table1[[#This Row],[Std Adj Read]]&lt;=Table1[[#This Row],[High Tol]],"Pass","Fail"),IF(Table1[[#This Row],[DUT Adj Read]]&lt;=Table1[[#This Row],[High Tol]],"Pass","Fail")))</f>
        <v>Fail</v>
      </c>
      <c r="AH23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6" s="1" t="b">
        <v>0</v>
      </c>
      <c r="AN2336" s="1" t="b">
        <v>0</v>
      </c>
      <c r="AO2336" s="1" t="b">
        <v>0</v>
      </c>
    </row>
    <row r="2337" spans="1:41" x14ac:dyDescent="0.25">
      <c r="A2337" s="10"/>
      <c r="B2337" s="10"/>
      <c r="C2337" s="10"/>
      <c r="D2337" s="10"/>
      <c r="E2337" s="10"/>
      <c r="F2337" s="10"/>
      <c r="G2337" s="10"/>
      <c r="H2337" s="10"/>
      <c r="I2337" s="1" t="str">
        <f t="shared" si="108"/>
        <v/>
      </c>
      <c r="J2337" s="1" t="s">
        <v>35</v>
      </c>
      <c r="K2337" s="1" t="str">
        <f t="shared" si="109"/>
        <v/>
      </c>
      <c r="L2337" s="1" t="str">
        <f t="shared" si="110"/>
        <v/>
      </c>
      <c r="M2337" s="1">
        <f>IF(OR(Table1[[#This Row],[Std Nom]]="",Table1[[#This Row],[Std Read]]=""),0,Table1[[#This Row],[Std Nom]]-Table1[[#This Row],[Std Read]])</f>
        <v>0</v>
      </c>
      <c r="N2337" s="1">
        <f>IF(Calculations!$F$5="ACCREDITED 17025 WITH UNCERTAINTIES",$N$10,0)</f>
        <v>0</v>
      </c>
      <c r="Q2337" s="1">
        <f>Table1[[#This Row],[High Tol]]-Table1[[#This Row],[Low Tol]]</f>
        <v>0</v>
      </c>
      <c r="R2337" s="1">
        <f>2*Table1[[#This Row],[Std Error]]</f>
        <v>0</v>
      </c>
      <c r="S2337" s="1" t="str">
        <f>IF(Table1[[#This Row],[High Tol]]="","N/A",IFERROR(ABS(Table1[[#This Row],[Tol Span]]/Table1[[#This Row],[Error Span]]),"N/A"))</f>
        <v>N/A</v>
      </c>
      <c r="T2337" s="1" t="str">
        <f>IF(OR(Table1[[#This Row],[Low Tol]]="",Table1[[#This Row],[High Tol]]=""),"Needs Analysis",IF(Table1[[#This Row],[Ratio]]&gt;=4,"Not Significant",IF(Table1[[#This Row],[Ratio]]&gt;=2,"Semi-Significant","Significant")))</f>
        <v>Needs Analysis</v>
      </c>
      <c r="W2337" s="1">
        <f>IF(Table1[[#This Row],[Cal Type]]&lt;&gt;"ACCREDITED 17025 WITH UNCERTAINTIES",0,"")</f>
        <v>0</v>
      </c>
      <c r="X2337" s="1" t="str">
        <f>IF(Table1[[#This Row],[DUT Read]]="","N/A",Table1[[#This Row],[Std Error]]+Table1[[#This Row],[DUT Read]]+Table1[[#This Row],[DUT Ucty]])</f>
        <v>N/A</v>
      </c>
      <c r="Y2337" s="1" t="str">
        <f>IF(Table1[[#This Row],[Std Read]]="","N/A",Table1[[#This Row],[Std Read]]+Table1[[#This Row],[Std Ucty]])</f>
        <v>N/A</v>
      </c>
      <c r="Z23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7" s="1" t="str">
        <f>IF(Table1[[#This Row],[Spec Type]]="","N/A",Table1[[#This Row],[Spec Type]])</f>
        <v>±</v>
      </c>
      <c r="AC2337" s="1" t="str">
        <f>IF(Table1[[#This Row],[Spec Type2]]="N/A","N/A",IF(AND(Table1[[#This Row],[DUT Adj Read]]&gt;=Table1[[#This Row],[Low Tol]],Table1[[#This Row],[DUT Adj Read]]&lt;=Table1[[#This Row],[High Tol]]),"Pass","Fail"))</f>
        <v>Fail</v>
      </c>
      <c r="AD2337" s="1" t="str">
        <f>IF(AND(Table1[[#This Row],[Spec Type2]]="N/A",Table1[[#This Row],[DUT Adj Read]]="N/A",Table1[[#This Row],[Std Adj Read]]="N/A"),"N/A",IF(Table1[[#This Row],[DUT Adj Read]]="N/A",IF(Table1[[#This Row],[Std Adj Read]]&gt;Table1[[#This Row],[Low Tol]],"Pass","Fail"),IF(Table1[[#This Row],[DUT Adj Read]]&gt;Table1[[#This Row],[Low Tol]],"Pass","Fail")))</f>
        <v>Pass</v>
      </c>
      <c r="AE2337" s="1" t="str">
        <f>IF(AND(Table1[[#This Row],[Spec Type2]]="N/A",Table1[[#This Row],[DUT Adj Read]]="N/A",Table1[[#This Row],[Std Adj Read]]="N/A"),"N/A",IF(Table1[[#This Row],[DUT Adj Read]]="N/A",IF(Table1[[#This Row],[Std Adj Read]]&lt;Table1[[#This Row],[High Tol]],"Pass","Fail"),IF(Table1[[#This Row],[DUT Adj Read]]&lt;Table1[[#This Row],[High Tol]],"Pass","Fail")))</f>
        <v>Fail</v>
      </c>
      <c r="AF2337" s="1" t="str">
        <f>IF(AND(Table1[[#This Row],[Spec Type2]]="N/A",Table1[[#This Row],[DUT Adj Read]]="N/A",Table1[[#This Row],[Std Adj Read]]="N/A"),"N/A",IF(Table1[[#This Row],[DUT Adj Read]]="N/A",IF(Table1[[#This Row],[Std Adj Read]]&gt;=Table1[[#This Row],[Low Tol]],"Pass","Fail"),IF(Table1[[#This Row],[DUT Adj Read]]&gt;=Table1[[#This Row],[Low Tol]],"Pass","Fail")))</f>
        <v>Pass</v>
      </c>
      <c r="AG2337" s="1" t="str">
        <f>IF(AND(Table1[[#This Row],[Spec Type2]]="N/A",Table1[[#This Row],[DUT Adj Read]]="N/A",Table1[[#This Row],[Std Adj Read]]="N/A"),"N/A",IF(Table1[[#This Row],[DUT Adj Read]]="N/A",IF(Table1[[#This Row],[Std Adj Read]]&lt;=Table1[[#This Row],[High Tol]],"Pass","Fail"),IF(Table1[[#This Row],[DUT Adj Read]]&lt;=Table1[[#This Row],[High Tol]],"Pass","Fail")))</f>
        <v>Fail</v>
      </c>
      <c r="AH23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7" s="1" t="b">
        <v>0</v>
      </c>
      <c r="AN2337" s="1" t="b">
        <v>0</v>
      </c>
      <c r="AO2337" s="1" t="b">
        <v>0</v>
      </c>
    </row>
    <row r="2338" spans="1:41" x14ac:dyDescent="0.25">
      <c r="A2338" s="10"/>
      <c r="B2338" s="10"/>
      <c r="C2338" s="10"/>
      <c r="D2338" s="10"/>
      <c r="E2338" s="10"/>
      <c r="F2338" s="10"/>
      <c r="G2338" s="10"/>
      <c r="H2338" s="10"/>
      <c r="I2338" s="1" t="str">
        <f t="shared" si="108"/>
        <v/>
      </c>
      <c r="J2338" s="1" t="s">
        <v>35</v>
      </c>
      <c r="K2338" s="1" t="str">
        <f t="shared" si="109"/>
        <v/>
      </c>
      <c r="L2338" s="1" t="str">
        <f t="shared" si="110"/>
        <v/>
      </c>
      <c r="M2338" s="1">
        <f>IF(OR(Table1[[#This Row],[Std Nom]]="",Table1[[#This Row],[Std Read]]=""),0,Table1[[#This Row],[Std Nom]]-Table1[[#This Row],[Std Read]])</f>
        <v>0</v>
      </c>
      <c r="N2338" s="1">
        <f>IF(Calculations!$F$5="ACCREDITED 17025 WITH UNCERTAINTIES",$N$10,0)</f>
        <v>0</v>
      </c>
      <c r="Q2338" s="1">
        <f>Table1[[#This Row],[High Tol]]-Table1[[#This Row],[Low Tol]]</f>
        <v>0</v>
      </c>
      <c r="R2338" s="1">
        <f>2*Table1[[#This Row],[Std Error]]</f>
        <v>0</v>
      </c>
      <c r="S2338" s="1" t="str">
        <f>IF(Table1[[#This Row],[High Tol]]="","N/A",IFERROR(ABS(Table1[[#This Row],[Tol Span]]/Table1[[#This Row],[Error Span]]),"N/A"))</f>
        <v>N/A</v>
      </c>
      <c r="T2338" s="1" t="str">
        <f>IF(OR(Table1[[#This Row],[Low Tol]]="",Table1[[#This Row],[High Tol]]=""),"Needs Analysis",IF(Table1[[#This Row],[Ratio]]&gt;=4,"Not Significant",IF(Table1[[#This Row],[Ratio]]&gt;=2,"Semi-Significant","Significant")))</f>
        <v>Needs Analysis</v>
      </c>
      <c r="W2338" s="1">
        <f>IF(Table1[[#This Row],[Cal Type]]&lt;&gt;"ACCREDITED 17025 WITH UNCERTAINTIES",0,"")</f>
        <v>0</v>
      </c>
      <c r="X2338" s="1" t="str">
        <f>IF(Table1[[#This Row],[DUT Read]]="","N/A",Table1[[#This Row],[Std Error]]+Table1[[#This Row],[DUT Read]]+Table1[[#This Row],[DUT Ucty]])</f>
        <v>N/A</v>
      </c>
      <c r="Y2338" s="1" t="str">
        <f>IF(Table1[[#This Row],[Std Read]]="","N/A",Table1[[#This Row],[Std Read]]+Table1[[#This Row],[Std Ucty]])</f>
        <v>N/A</v>
      </c>
      <c r="Z23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8" s="1" t="str">
        <f>IF(Table1[[#This Row],[Spec Type]]="","N/A",Table1[[#This Row],[Spec Type]])</f>
        <v>±</v>
      </c>
      <c r="AC2338" s="1" t="str">
        <f>IF(Table1[[#This Row],[Spec Type2]]="N/A","N/A",IF(AND(Table1[[#This Row],[DUT Adj Read]]&gt;=Table1[[#This Row],[Low Tol]],Table1[[#This Row],[DUT Adj Read]]&lt;=Table1[[#This Row],[High Tol]]),"Pass","Fail"))</f>
        <v>Fail</v>
      </c>
      <c r="AD2338" s="1" t="str">
        <f>IF(AND(Table1[[#This Row],[Spec Type2]]="N/A",Table1[[#This Row],[DUT Adj Read]]="N/A",Table1[[#This Row],[Std Adj Read]]="N/A"),"N/A",IF(Table1[[#This Row],[DUT Adj Read]]="N/A",IF(Table1[[#This Row],[Std Adj Read]]&gt;Table1[[#This Row],[Low Tol]],"Pass","Fail"),IF(Table1[[#This Row],[DUT Adj Read]]&gt;Table1[[#This Row],[Low Tol]],"Pass","Fail")))</f>
        <v>Pass</v>
      </c>
      <c r="AE2338" s="1" t="str">
        <f>IF(AND(Table1[[#This Row],[Spec Type2]]="N/A",Table1[[#This Row],[DUT Adj Read]]="N/A",Table1[[#This Row],[Std Adj Read]]="N/A"),"N/A",IF(Table1[[#This Row],[DUT Adj Read]]="N/A",IF(Table1[[#This Row],[Std Adj Read]]&lt;Table1[[#This Row],[High Tol]],"Pass","Fail"),IF(Table1[[#This Row],[DUT Adj Read]]&lt;Table1[[#This Row],[High Tol]],"Pass","Fail")))</f>
        <v>Fail</v>
      </c>
      <c r="AF2338" s="1" t="str">
        <f>IF(AND(Table1[[#This Row],[Spec Type2]]="N/A",Table1[[#This Row],[DUT Adj Read]]="N/A",Table1[[#This Row],[Std Adj Read]]="N/A"),"N/A",IF(Table1[[#This Row],[DUT Adj Read]]="N/A",IF(Table1[[#This Row],[Std Adj Read]]&gt;=Table1[[#This Row],[Low Tol]],"Pass","Fail"),IF(Table1[[#This Row],[DUT Adj Read]]&gt;=Table1[[#This Row],[Low Tol]],"Pass","Fail")))</f>
        <v>Pass</v>
      </c>
      <c r="AG2338" s="1" t="str">
        <f>IF(AND(Table1[[#This Row],[Spec Type2]]="N/A",Table1[[#This Row],[DUT Adj Read]]="N/A",Table1[[#This Row],[Std Adj Read]]="N/A"),"N/A",IF(Table1[[#This Row],[DUT Adj Read]]="N/A",IF(Table1[[#This Row],[Std Adj Read]]&lt;=Table1[[#This Row],[High Tol]],"Pass","Fail"),IF(Table1[[#This Row],[DUT Adj Read]]&lt;=Table1[[#This Row],[High Tol]],"Pass","Fail")))</f>
        <v>Fail</v>
      </c>
      <c r="AH23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8" s="1" t="b">
        <v>0</v>
      </c>
      <c r="AN2338" s="1" t="b">
        <v>0</v>
      </c>
      <c r="AO2338" s="1" t="b">
        <v>0</v>
      </c>
    </row>
    <row r="2339" spans="1:41" x14ac:dyDescent="0.25">
      <c r="A2339" s="10"/>
      <c r="B2339" s="10"/>
      <c r="C2339" s="10"/>
      <c r="D2339" s="10"/>
      <c r="E2339" s="10"/>
      <c r="F2339" s="10"/>
      <c r="G2339" s="10"/>
      <c r="H2339" s="10"/>
      <c r="I2339" s="1" t="str">
        <f t="shared" si="108"/>
        <v/>
      </c>
      <c r="J2339" s="1" t="s">
        <v>35</v>
      </c>
      <c r="K2339" s="1" t="str">
        <f t="shared" si="109"/>
        <v/>
      </c>
      <c r="L2339" s="1" t="str">
        <f t="shared" si="110"/>
        <v/>
      </c>
      <c r="M2339" s="1">
        <f>IF(OR(Table1[[#This Row],[Std Nom]]="",Table1[[#This Row],[Std Read]]=""),0,Table1[[#This Row],[Std Nom]]-Table1[[#This Row],[Std Read]])</f>
        <v>0</v>
      </c>
      <c r="N2339" s="1">
        <f>IF(Calculations!$F$5="ACCREDITED 17025 WITH UNCERTAINTIES",$N$10,0)</f>
        <v>0</v>
      </c>
      <c r="Q2339" s="1">
        <f>Table1[[#This Row],[High Tol]]-Table1[[#This Row],[Low Tol]]</f>
        <v>0</v>
      </c>
      <c r="R2339" s="1">
        <f>2*Table1[[#This Row],[Std Error]]</f>
        <v>0</v>
      </c>
      <c r="S2339" s="1" t="str">
        <f>IF(Table1[[#This Row],[High Tol]]="","N/A",IFERROR(ABS(Table1[[#This Row],[Tol Span]]/Table1[[#This Row],[Error Span]]),"N/A"))</f>
        <v>N/A</v>
      </c>
      <c r="T2339" s="1" t="str">
        <f>IF(OR(Table1[[#This Row],[Low Tol]]="",Table1[[#This Row],[High Tol]]=""),"Needs Analysis",IF(Table1[[#This Row],[Ratio]]&gt;=4,"Not Significant",IF(Table1[[#This Row],[Ratio]]&gt;=2,"Semi-Significant","Significant")))</f>
        <v>Needs Analysis</v>
      </c>
      <c r="W2339" s="1">
        <f>IF(Table1[[#This Row],[Cal Type]]&lt;&gt;"ACCREDITED 17025 WITH UNCERTAINTIES",0,"")</f>
        <v>0</v>
      </c>
      <c r="X2339" s="1" t="str">
        <f>IF(Table1[[#This Row],[DUT Read]]="","N/A",Table1[[#This Row],[Std Error]]+Table1[[#This Row],[DUT Read]]+Table1[[#This Row],[DUT Ucty]])</f>
        <v>N/A</v>
      </c>
      <c r="Y2339" s="1" t="str">
        <f>IF(Table1[[#This Row],[Std Read]]="","N/A",Table1[[#This Row],[Std Read]]+Table1[[#This Row],[Std Ucty]])</f>
        <v>N/A</v>
      </c>
      <c r="Z23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39" s="1" t="str">
        <f>IF(Table1[[#This Row],[Spec Type]]="","N/A",Table1[[#This Row],[Spec Type]])</f>
        <v>±</v>
      </c>
      <c r="AC2339" s="1" t="str">
        <f>IF(Table1[[#This Row],[Spec Type2]]="N/A","N/A",IF(AND(Table1[[#This Row],[DUT Adj Read]]&gt;=Table1[[#This Row],[Low Tol]],Table1[[#This Row],[DUT Adj Read]]&lt;=Table1[[#This Row],[High Tol]]),"Pass","Fail"))</f>
        <v>Fail</v>
      </c>
      <c r="AD2339" s="1" t="str">
        <f>IF(AND(Table1[[#This Row],[Spec Type2]]="N/A",Table1[[#This Row],[DUT Adj Read]]="N/A",Table1[[#This Row],[Std Adj Read]]="N/A"),"N/A",IF(Table1[[#This Row],[DUT Adj Read]]="N/A",IF(Table1[[#This Row],[Std Adj Read]]&gt;Table1[[#This Row],[Low Tol]],"Pass","Fail"),IF(Table1[[#This Row],[DUT Adj Read]]&gt;Table1[[#This Row],[Low Tol]],"Pass","Fail")))</f>
        <v>Pass</v>
      </c>
      <c r="AE2339" s="1" t="str">
        <f>IF(AND(Table1[[#This Row],[Spec Type2]]="N/A",Table1[[#This Row],[DUT Adj Read]]="N/A",Table1[[#This Row],[Std Adj Read]]="N/A"),"N/A",IF(Table1[[#This Row],[DUT Adj Read]]="N/A",IF(Table1[[#This Row],[Std Adj Read]]&lt;Table1[[#This Row],[High Tol]],"Pass","Fail"),IF(Table1[[#This Row],[DUT Adj Read]]&lt;Table1[[#This Row],[High Tol]],"Pass","Fail")))</f>
        <v>Fail</v>
      </c>
      <c r="AF2339" s="1" t="str">
        <f>IF(AND(Table1[[#This Row],[Spec Type2]]="N/A",Table1[[#This Row],[DUT Adj Read]]="N/A",Table1[[#This Row],[Std Adj Read]]="N/A"),"N/A",IF(Table1[[#This Row],[DUT Adj Read]]="N/A",IF(Table1[[#This Row],[Std Adj Read]]&gt;=Table1[[#This Row],[Low Tol]],"Pass","Fail"),IF(Table1[[#This Row],[DUT Adj Read]]&gt;=Table1[[#This Row],[Low Tol]],"Pass","Fail")))</f>
        <v>Pass</v>
      </c>
      <c r="AG2339" s="1" t="str">
        <f>IF(AND(Table1[[#This Row],[Spec Type2]]="N/A",Table1[[#This Row],[DUT Adj Read]]="N/A",Table1[[#This Row],[Std Adj Read]]="N/A"),"N/A",IF(Table1[[#This Row],[DUT Adj Read]]="N/A",IF(Table1[[#This Row],[Std Adj Read]]&lt;=Table1[[#This Row],[High Tol]],"Pass","Fail"),IF(Table1[[#This Row],[DUT Adj Read]]&lt;=Table1[[#This Row],[High Tol]],"Pass","Fail")))</f>
        <v>Fail</v>
      </c>
      <c r="AH23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39" s="1" t="b">
        <v>0</v>
      </c>
      <c r="AN2339" s="1" t="b">
        <v>0</v>
      </c>
      <c r="AO2339" s="1" t="b">
        <v>0</v>
      </c>
    </row>
    <row r="2340" spans="1:41" x14ac:dyDescent="0.25">
      <c r="A2340" s="10"/>
      <c r="B2340" s="10"/>
      <c r="C2340" s="10"/>
      <c r="D2340" s="10"/>
      <c r="E2340" s="10"/>
      <c r="F2340" s="10"/>
      <c r="G2340" s="10"/>
      <c r="H2340" s="10"/>
      <c r="I2340" s="1" t="str">
        <f t="shared" si="108"/>
        <v/>
      </c>
      <c r="J2340" s="1" t="s">
        <v>35</v>
      </c>
      <c r="K2340" s="1" t="str">
        <f t="shared" si="109"/>
        <v/>
      </c>
      <c r="L2340" s="1" t="str">
        <f t="shared" si="110"/>
        <v/>
      </c>
      <c r="M2340" s="1">
        <f>IF(OR(Table1[[#This Row],[Std Nom]]="",Table1[[#This Row],[Std Read]]=""),0,Table1[[#This Row],[Std Nom]]-Table1[[#This Row],[Std Read]])</f>
        <v>0</v>
      </c>
      <c r="N2340" s="1">
        <f>IF(Calculations!$F$5="ACCREDITED 17025 WITH UNCERTAINTIES",$N$10,0)</f>
        <v>0</v>
      </c>
      <c r="Q2340" s="1">
        <f>Table1[[#This Row],[High Tol]]-Table1[[#This Row],[Low Tol]]</f>
        <v>0</v>
      </c>
      <c r="R2340" s="1">
        <f>2*Table1[[#This Row],[Std Error]]</f>
        <v>0</v>
      </c>
      <c r="S2340" s="1" t="str">
        <f>IF(Table1[[#This Row],[High Tol]]="","N/A",IFERROR(ABS(Table1[[#This Row],[Tol Span]]/Table1[[#This Row],[Error Span]]),"N/A"))</f>
        <v>N/A</v>
      </c>
      <c r="T2340" s="1" t="str">
        <f>IF(OR(Table1[[#This Row],[Low Tol]]="",Table1[[#This Row],[High Tol]]=""),"Needs Analysis",IF(Table1[[#This Row],[Ratio]]&gt;=4,"Not Significant",IF(Table1[[#This Row],[Ratio]]&gt;=2,"Semi-Significant","Significant")))</f>
        <v>Needs Analysis</v>
      </c>
      <c r="W2340" s="1">
        <f>IF(Table1[[#This Row],[Cal Type]]&lt;&gt;"ACCREDITED 17025 WITH UNCERTAINTIES",0,"")</f>
        <v>0</v>
      </c>
      <c r="X2340" s="1" t="str">
        <f>IF(Table1[[#This Row],[DUT Read]]="","N/A",Table1[[#This Row],[Std Error]]+Table1[[#This Row],[DUT Read]]+Table1[[#This Row],[DUT Ucty]])</f>
        <v>N/A</v>
      </c>
      <c r="Y2340" s="1" t="str">
        <f>IF(Table1[[#This Row],[Std Read]]="","N/A",Table1[[#This Row],[Std Read]]+Table1[[#This Row],[Std Ucty]])</f>
        <v>N/A</v>
      </c>
      <c r="Z23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0" s="1" t="str">
        <f>IF(Table1[[#This Row],[Spec Type]]="","N/A",Table1[[#This Row],[Spec Type]])</f>
        <v>±</v>
      </c>
      <c r="AC2340" s="1" t="str">
        <f>IF(Table1[[#This Row],[Spec Type2]]="N/A","N/A",IF(AND(Table1[[#This Row],[DUT Adj Read]]&gt;=Table1[[#This Row],[Low Tol]],Table1[[#This Row],[DUT Adj Read]]&lt;=Table1[[#This Row],[High Tol]]),"Pass","Fail"))</f>
        <v>Fail</v>
      </c>
      <c r="AD2340" s="1" t="str">
        <f>IF(AND(Table1[[#This Row],[Spec Type2]]="N/A",Table1[[#This Row],[DUT Adj Read]]="N/A",Table1[[#This Row],[Std Adj Read]]="N/A"),"N/A",IF(Table1[[#This Row],[DUT Adj Read]]="N/A",IF(Table1[[#This Row],[Std Adj Read]]&gt;Table1[[#This Row],[Low Tol]],"Pass","Fail"),IF(Table1[[#This Row],[DUT Adj Read]]&gt;Table1[[#This Row],[Low Tol]],"Pass","Fail")))</f>
        <v>Pass</v>
      </c>
      <c r="AE2340" s="1" t="str">
        <f>IF(AND(Table1[[#This Row],[Spec Type2]]="N/A",Table1[[#This Row],[DUT Adj Read]]="N/A",Table1[[#This Row],[Std Adj Read]]="N/A"),"N/A",IF(Table1[[#This Row],[DUT Adj Read]]="N/A",IF(Table1[[#This Row],[Std Adj Read]]&lt;Table1[[#This Row],[High Tol]],"Pass","Fail"),IF(Table1[[#This Row],[DUT Adj Read]]&lt;Table1[[#This Row],[High Tol]],"Pass","Fail")))</f>
        <v>Fail</v>
      </c>
      <c r="AF2340" s="1" t="str">
        <f>IF(AND(Table1[[#This Row],[Spec Type2]]="N/A",Table1[[#This Row],[DUT Adj Read]]="N/A",Table1[[#This Row],[Std Adj Read]]="N/A"),"N/A",IF(Table1[[#This Row],[DUT Adj Read]]="N/A",IF(Table1[[#This Row],[Std Adj Read]]&gt;=Table1[[#This Row],[Low Tol]],"Pass","Fail"),IF(Table1[[#This Row],[DUT Adj Read]]&gt;=Table1[[#This Row],[Low Tol]],"Pass","Fail")))</f>
        <v>Pass</v>
      </c>
      <c r="AG2340" s="1" t="str">
        <f>IF(AND(Table1[[#This Row],[Spec Type2]]="N/A",Table1[[#This Row],[DUT Adj Read]]="N/A",Table1[[#This Row],[Std Adj Read]]="N/A"),"N/A",IF(Table1[[#This Row],[DUT Adj Read]]="N/A",IF(Table1[[#This Row],[Std Adj Read]]&lt;=Table1[[#This Row],[High Tol]],"Pass","Fail"),IF(Table1[[#This Row],[DUT Adj Read]]&lt;=Table1[[#This Row],[High Tol]],"Pass","Fail")))</f>
        <v>Fail</v>
      </c>
      <c r="AH23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0" s="1" t="b">
        <v>0</v>
      </c>
      <c r="AN2340" s="1" t="b">
        <v>0</v>
      </c>
      <c r="AO2340" s="1" t="b">
        <v>0</v>
      </c>
    </row>
    <row r="2341" spans="1:41" x14ac:dyDescent="0.25">
      <c r="A2341" s="10"/>
      <c r="B2341" s="10"/>
      <c r="C2341" s="10"/>
      <c r="D2341" s="10"/>
      <c r="E2341" s="10"/>
      <c r="F2341" s="10"/>
      <c r="G2341" s="10"/>
      <c r="H2341" s="10"/>
      <c r="I2341" s="1" t="str">
        <f t="shared" si="108"/>
        <v/>
      </c>
      <c r="J2341" s="1" t="s">
        <v>35</v>
      </c>
      <c r="K2341" s="1" t="str">
        <f t="shared" si="109"/>
        <v/>
      </c>
      <c r="L2341" s="1" t="str">
        <f t="shared" si="110"/>
        <v/>
      </c>
      <c r="M2341" s="1">
        <f>IF(OR(Table1[[#This Row],[Std Nom]]="",Table1[[#This Row],[Std Read]]=""),0,Table1[[#This Row],[Std Nom]]-Table1[[#This Row],[Std Read]])</f>
        <v>0</v>
      </c>
      <c r="N2341" s="1">
        <f>IF(Calculations!$F$5="ACCREDITED 17025 WITH UNCERTAINTIES",$N$10,0)</f>
        <v>0</v>
      </c>
      <c r="Q2341" s="1">
        <f>Table1[[#This Row],[High Tol]]-Table1[[#This Row],[Low Tol]]</f>
        <v>0</v>
      </c>
      <c r="R2341" s="1">
        <f>2*Table1[[#This Row],[Std Error]]</f>
        <v>0</v>
      </c>
      <c r="S2341" s="1" t="str">
        <f>IF(Table1[[#This Row],[High Tol]]="","N/A",IFERROR(ABS(Table1[[#This Row],[Tol Span]]/Table1[[#This Row],[Error Span]]),"N/A"))</f>
        <v>N/A</v>
      </c>
      <c r="T2341" s="1" t="str">
        <f>IF(OR(Table1[[#This Row],[Low Tol]]="",Table1[[#This Row],[High Tol]]=""),"Needs Analysis",IF(Table1[[#This Row],[Ratio]]&gt;=4,"Not Significant",IF(Table1[[#This Row],[Ratio]]&gt;=2,"Semi-Significant","Significant")))</f>
        <v>Needs Analysis</v>
      </c>
      <c r="W2341" s="1">
        <f>IF(Table1[[#This Row],[Cal Type]]&lt;&gt;"ACCREDITED 17025 WITH UNCERTAINTIES",0,"")</f>
        <v>0</v>
      </c>
      <c r="X2341" s="1" t="str">
        <f>IF(Table1[[#This Row],[DUT Read]]="","N/A",Table1[[#This Row],[Std Error]]+Table1[[#This Row],[DUT Read]]+Table1[[#This Row],[DUT Ucty]])</f>
        <v>N/A</v>
      </c>
      <c r="Y2341" s="1" t="str">
        <f>IF(Table1[[#This Row],[Std Read]]="","N/A",Table1[[#This Row],[Std Read]]+Table1[[#This Row],[Std Ucty]])</f>
        <v>N/A</v>
      </c>
      <c r="Z23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1" s="1" t="str">
        <f>IF(Table1[[#This Row],[Spec Type]]="","N/A",Table1[[#This Row],[Spec Type]])</f>
        <v>±</v>
      </c>
      <c r="AC2341" s="1" t="str">
        <f>IF(Table1[[#This Row],[Spec Type2]]="N/A","N/A",IF(AND(Table1[[#This Row],[DUT Adj Read]]&gt;=Table1[[#This Row],[Low Tol]],Table1[[#This Row],[DUT Adj Read]]&lt;=Table1[[#This Row],[High Tol]]),"Pass","Fail"))</f>
        <v>Fail</v>
      </c>
      <c r="AD2341" s="1" t="str">
        <f>IF(AND(Table1[[#This Row],[Spec Type2]]="N/A",Table1[[#This Row],[DUT Adj Read]]="N/A",Table1[[#This Row],[Std Adj Read]]="N/A"),"N/A",IF(Table1[[#This Row],[DUT Adj Read]]="N/A",IF(Table1[[#This Row],[Std Adj Read]]&gt;Table1[[#This Row],[Low Tol]],"Pass","Fail"),IF(Table1[[#This Row],[DUT Adj Read]]&gt;Table1[[#This Row],[Low Tol]],"Pass","Fail")))</f>
        <v>Pass</v>
      </c>
      <c r="AE2341" s="1" t="str">
        <f>IF(AND(Table1[[#This Row],[Spec Type2]]="N/A",Table1[[#This Row],[DUT Adj Read]]="N/A",Table1[[#This Row],[Std Adj Read]]="N/A"),"N/A",IF(Table1[[#This Row],[DUT Adj Read]]="N/A",IF(Table1[[#This Row],[Std Adj Read]]&lt;Table1[[#This Row],[High Tol]],"Pass","Fail"),IF(Table1[[#This Row],[DUT Adj Read]]&lt;Table1[[#This Row],[High Tol]],"Pass","Fail")))</f>
        <v>Fail</v>
      </c>
      <c r="AF2341" s="1" t="str">
        <f>IF(AND(Table1[[#This Row],[Spec Type2]]="N/A",Table1[[#This Row],[DUT Adj Read]]="N/A",Table1[[#This Row],[Std Adj Read]]="N/A"),"N/A",IF(Table1[[#This Row],[DUT Adj Read]]="N/A",IF(Table1[[#This Row],[Std Adj Read]]&gt;=Table1[[#This Row],[Low Tol]],"Pass","Fail"),IF(Table1[[#This Row],[DUT Adj Read]]&gt;=Table1[[#This Row],[Low Tol]],"Pass","Fail")))</f>
        <v>Pass</v>
      </c>
      <c r="AG2341" s="1" t="str">
        <f>IF(AND(Table1[[#This Row],[Spec Type2]]="N/A",Table1[[#This Row],[DUT Adj Read]]="N/A",Table1[[#This Row],[Std Adj Read]]="N/A"),"N/A",IF(Table1[[#This Row],[DUT Adj Read]]="N/A",IF(Table1[[#This Row],[Std Adj Read]]&lt;=Table1[[#This Row],[High Tol]],"Pass","Fail"),IF(Table1[[#This Row],[DUT Adj Read]]&lt;=Table1[[#This Row],[High Tol]],"Pass","Fail")))</f>
        <v>Fail</v>
      </c>
      <c r="AH23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1" s="1" t="b">
        <v>0</v>
      </c>
      <c r="AN2341" s="1" t="b">
        <v>0</v>
      </c>
      <c r="AO2341" s="1" t="b">
        <v>0</v>
      </c>
    </row>
    <row r="2342" spans="1:41" x14ac:dyDescent="0.25">
      <c r="A2342" s="10"/>
      <c r="B2342" s="10"/>
      <c r="C2342" s="10"/>
      <c r="D2342" s="10"/>
      <c r="E2342" s="10"/>
      <c r="F2342" s="10"/>
      <c r="G2342" s="10"/>
      <c r="H2342" s="10"/>
      <c r="I2342" s="1" t="str">
        <f t="shared" si="108"/>
        <v/>
      </c>
      <c r="J2342" s="1" t="s">
        <v>35</v>
      </c>
      <c r="K2342" s="1" t="str">
        <f t="shared" si="109"/>
        <v/>
      </c>
      <c r="L2342" s="1" t="str">
        <f t="shared" si="110"/>
        <v/>
      </c>
      <c r="M2342" s="1">
        <f>IF(OR(Table1[[#This Row],[Std Nom]]="",Table1[[#This Row],[Std Read]]=""),0,Table1[[#This Row],[Std Nom]]-Table1[[#This Row],[Std Read]])</f>
        <v>0</v>
      </c>
      <c r="N2342" s="1">
        <f>IF(Calculations!$F$5="ACCREDITED 17025 WITH UNCERTAINTIES",$N$10,0)</f>
        <v>0</v>
      </c>
      <c r="Q2342" s="1">
        <f>Table1[[#This Row],[High Tol]]-Table1[[#This Row],[Low Tol]]</f>
        <v>0</v>
      </c>
      <c r="R2342" s="1">
        <f>2*Table1[[#This Row],[Std Error]]</f>
        <v>0</v>
      </c>
      <c r="S2342" s="1" t="str">
        <f>IF(Table1[[#This Row],[High Tol]]="","N/A",IFERROR(ABS(Table1[[#This Row],[Tol Span]]/Table1[[#This Row],[Error Span]]),"N/A"))</f>
        <v>N/A</v>
      </c>
      <c r="T2342" s="1" t="str">
        <f>IF(OR(Table1[[#This Row],[Low Tol]]="",Table1[[#This Row],[High Tol]]=""),"Needs Analysis",IF(Table1[[#This Row],[Ratio]]&gt;=4,"Not Significant",IF(Table1[[#This Row],[Ratio]]&gt;=2,"Semi-Significant","Significant")))</f>
        <v>Needs Analysis</v>
      </c>
      <c r="W2342" s="1">
        <f>IF(Table1[[#This Row],[Cal Type]]&lt;&gt;"ACCREDITED 17025 WITH UNCERTAINTIES",0,"")</f>
        <v>0</v>
      </c>
      <c r="X2342" s="1" t="str">
        <f>IF(Table1[[#This Row],[DUT Read]]="","N/A",Table1[[#This Row],[Std Error]]+Table1[[#This Row],[DUT Read]]+Table1[[#This Row],[DUT Ucty]])</f>
        <v>N/A</v>
      </c>
      <c r="Y2342" s="1" t="str">
        <f>IF(Table1[[#This Row],[Std Read]]="","N/A",Table1[[#This Row],[Std Read]]+Table1[[#This Row],[Std Ucty]])</f>
        <v>N/A</v>
      </c>
      <c r="Z23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2" s="1" t="str">
        <f>IF(Table1[[#This Row],[Spec Type]]="","N/A",Table1[[#This Row],[Spec Type]])</f>
        <v>±</v>
      </c>
      <c r="AC2342" s="1" t="str">
        <f>IF(Table1[[#This Row],[Spec Type2]]="N/A","N/A",IF(AND(Table1[[#This Row],[DUT Adj Read]]&gt;=Table1[[#This Row],[Low Tol]],Table1[[#This Row],[DUT Adj Read]]&lt;=Table1[[#This Row],[High Tol]]),"Pass","Fail"))</f>
        <v>Fail</v>
      </c>
      <c r="AD2342" s="1" t="str">
        <f>IF(AND(Table1[[#This Row],[Spec Type2]]="N/A",Table1[[#This Row],[DUT Adj Read]]="N/A",Table1[[#This Row],[Std Adj Read]]="N/A"),"N/A",IF(Table1[[#This Row],[DUT Adj Read]]="N/A",IF(Table1[[#This Row],[Std Adj Read]]&gt;Table1[[#This Row],[Low Tol]],"Pass","Fail"),IF(Table1[[#This Row],[DUT Adj Read]]&gt;Table1[[#This Row],[Low Tol]],"Pass","Fail")))</f>
        <v>Pass</v>
      </c>
      <c r="AE2342" s="1" t="str">
        <f>IF(AND(Table1[[#This Row],[Spec Type2]]="N/A",Table1[[#This Row],[DUT Adj Read]]="N/A",Table1[[#This Row],[Std Adj Read]]="N/A"),"N/A",IF(Table1[[#This Row],[DUT Adj Read]]="N/A",IF(Table1[[#This Row],[Std Adj Read]]&lt;Table1[[#This Row],[High Tol]],"Pass","Fail"),IF(Table1[[#This Row],[DUT Adj Read]]&lt;Table1[[#This Row],[High Tol]],"Pass","Fail")))</f>
        <v>Fail</v>
      </c>
      <c r="AF2342" s="1" t="str">
        <f>IF(AND(Table1[[#This Row],[Spec Type2]]="N/A",Table1[[#This Row],[DUT Adj Read]]="N/A",Table1[[#This Row],[Std Adj Read]]="N/A"),"N/A",IF(Table1[[#This Row],[DUT Adj Read]]="N/A",IF(Table1[[#This Row],[Std Adj Read]]&gt;=Table1[[#This Row],[Low Tol]],"Pass","Fail"),IF(Table1[[#This Row],[DUT Adj Read]]&gt;=Table1[[#This Row],[Low Tol]],"Pass","Fail")))</f>
        <v>Pass</v>
      </c>
      <c r="AG2342" s="1" t="str">
        <f>IF(AND(Table1[[#This Row],[Spec Type2]]="N/A",Table1[[#This Row],[DUT Adj Read]]="N/A",Table1[[#This Row],[Std Adj Read]]="N/A"),"N/A",IF(Table1[[#This Row],[DUT Adj Read]]="N/A",IF(Table1[[#This Row],[Std Adj Read]]&lt;=Table1[[#This Row],[High Tol]],"Pass","Fail"),IF(Table1[[#This Row],[DUT Adj Read]]&lt;=Table1[[#This Row],[High Tol]],"Pass","Fail")))</f>
        <v>Fail</v>
      </c>
      <c r="AH23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2" s="1" t="b">
        <v>0</v>
      </c>
      <c r="AN2342" s="1" t="b">
        <v>0</v>
      </c>
      <c r="AO2342" s="1" t="b">
        <v>0</v>
      </c>
    </row>
    <row r="2343" spans="1:41" x14ac:dyDescent="0.25">
      <c r="A2343" s="10"/>
      <c r="B2343" s="10"/>
      <c r="C2343" s="10"/>
      <c r="D2343" s="10"/>
      <c r="E2343" s="10"/>
      <c r="F2343" s="10"/>
      <c r="G2343" s="10"/>
      <c r="H2343" s="10"/>
      <c r="I2343" s="1" t="str">
        <f t="shared" si="108"/>
        <v/>
      </c>
      <c r="J2343" s="1" t="s">
        <v>35</v>
      </c>
      <c r="K2343" s="1" t="str">
        <f t="shared" si="109"/>
        <v/>
      </c>
      <c r="L2343" s="1" t="str">
        <f t="shared" si="110"/>
        <v/>
      </c>
      <c r="M2343" s="1">
        <f>IF(OR(Table1[[#This Row],[Std Nom]]="",Table1[[#This Row],[Std Read]]=""),0,Table1[[#This Row],[Std Nom]]-Table1[[#This Row],[Std Read]])</f>
        <v>0</v>
      </c>
      <c r="N2343" s="1">
        <f>IF(Calculations!$F$5="ACCREDITED 17025 WITH UNCERTAINTIES",$N$10,0)</f>
        <v>0</v>
      </c>
      <c r="Q2343" s="1">
        <f>Table1[[#This Row],[High Tol]]-Table1[[#This Row],[Low Tol]]</f>
        <v>0</v>
      </c>
      <c r="R2343" s="1">
        <f>2*Table1[[#This Row],[Std Error]]</f>
        <v>0</v>
      </c>
      <c r="S2343" s="1" t="str">
        <f>IF(Table1[[#This Row],[High Tol]]="","N/A",IFERROR(ABS(Table1[[#This Row],[Tol Span]]/Table1[[#This Row],[Error Span]]),"N/A"))</f>
        <v>N/A</v>
      </c>
      <c r="T2343" s="1" t="str">
        <f>IF(OR(Table1[[#This Row],[Low Tol]]="",Table1[[#This Row],[High Tol]]=""),"Needs Analysis",IF(Table1[[#This Row],[Ratio]]&gt;=4,"Not Significant",IF(Table1[[#This Row],[Ratio]]&gt;=2,"Semi-Significant","Significant")))</f>
        <v>Needs Analysis</v>
      </c>
      <c r="W2343" s="1">
        <f>IF(Table1[[#This Row],[Cal Type]]&lt;&gt;"ACCREDITED 17025 WITH UNCERTAINTIES",0,"")</f>
        <v>0</v>
      </c>
      <c r="X2343" s="1" t="str">
        <f>IF(Table1[[#This Row],[DUT Read]]="","N/A",Table1[[#This Row],[Std Error]]+Table1[[#This Row],[DUT Read]]+Table1[[#This Row],[DUT Ucty]])</f>
        <v>N/A</v>
      </c>
      <c r="Y2343" s="1" t="str">
        <f>IF(Table1[[#This Row],[Std Read]]="","N/A",Table1[[#This Row],[Std Read]]+Table1[[#This Row],[Std Ucty]])</f>
        <v>N/A</v>
      </c>
      <c r="Z23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3" s="1" t="str">
        <f>IF(Table1[[#This Row],[Spec Type]]="","N/A",Table1[[#This Row],[Spec Type]])</f>
        <v>±</v>
      </c>
      <c r="AC2343" s="1" t="str">
        <f>IF(Table1[[#This Row],[Spec Type2]]="N/A","N/A",IF(AND(Table1[[#This Row],[DUT Adj Read]]&gt;=Table1[[#This Row],[Low Tol]],Table1[[#This Row],[DUT Adj Read]]&lt;=Table1[[#This Row],[High Tol]]),"Pass","Fail"))</f>
        <v>Fail</v>
      </c>
      <c r="AD2343" s="1" t="str">
        <f>IF(AND(Table1[[#This Row],[Spec Type2]]="N/A",Table1[[#This Row],[DUT Adj Read]]="N/A",Table1[[#This Row],[Std Adj Read]]="N/A"),"N/A",IF(Table1[[#This Row],[DUT Adj Read]]="N/A",IF(Table1[[#This Row],[Std Adj Read]]&gt;Table1[[#This Row],[Low Tol]],"Pass","Fail"),IF(Table1[[#This Row],[DUT Adj Read]]&gt;Table1[[#This Row],[Low Tol]],"Pass","Fail")))</f>
        <v>Pass</v>
      </c>
      <c r="AE2343" s="1" t="str">
        <f>IF(AND(Table1[[#This Row],[Spec Type2]]="N/A",Table1[[#This Row],[DUT Adj Read]]="N/A",Table1[[#This Row],[Std Adj Read]]="N/A"),"N/A",IF(Table1[[#This Row],[DUT Adj Read]]="N/A",IF(Table1[[#This Row],[Std Adj Read]]&lt;Table1[[#This Row],[High Tol]],"Pass","Fail"),IF(Table1[[#This Row],[DUT Adj Read]]&lt;Table1[[#This Row],[High Tol]],"Pass","Fail")))</f>
        <v>Fail</v>
      </c>
      <c r="AF2343" s="1" t="str">
        <f>IF(AND(Table1[[#This Row],[Spec Type2]]="N/A",Table1[[#This Row],[DUT Adj Read]]="N/A",Table1[[#This Row],[Std Adj Read]]="N/A"),"N/A",IF(Table1[[#This Row],[DUT Adj Read]]="N/A",IF(Table1[[#This Row],[Std Adj Read]]&gt;=Table1[[#This Row],[Low Tol]],"Pass","Fail"),IF(Table1[[#This Row],[DUT Adj Read]]&gt;=Table1[[#This Row],[Low Tol]],"Pass","Fail")))</f>
        <v>Pass</v>
      </c>
      <c r="AG2343" s="1" t="str">
        <f>IF(AND(Table1[[#This Row],[Spec Type2]]="N/A",Table1[[#This Row],[DUT Adj Read]]="N/A",Table1[[#This Row],[Std Adj Read]]="N/A"),"N/A",IF(Table1[[#This Row],[DUT Adj Read]]="N/A",IF(Table1[[#This Row],[Std Adj Read]]&lt;=Table1[[#This Row],[High Tol]],"Pass","Fail"),IF(Table1[[#This Row],[DUT Adj Read]]&lt;=Table1[[#This Row],[High Tol]],"Pass","Fail")))</f>
        <v>Fail</v>
      </c>
      <c r="AH23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3" s="1" t="b">
        <v>0</v>
      </c>
      <c r="AN2343" s="1" t="b">
        <v>0</v>
      </c>
      <c r="AO2343" s="1" t="b">
        <v>0</v>
      </c>
    </row>
    <row r="2344" spans="1:41" x14ac:dyDescent="0.25">
      <c r="A2344" s="10"/>
      <c r="B2344" s="10"/>
      <c r="C2344" s="10"/>
      <c r="D2344" s="10"/>
      <c r="E2344" s="10"/>
      <c r="F2344" s="10"/>
      <c r="G2344" s="10"/>
      <c r="H2344" s="10"/>
      <c r="I2344" s="1" t="str">
        <f t="shared" si="108"/>
        <v/>
      </c>
      <c r="J2344" s="1" t="s">
        <v>35</v>
      </c>
      <c r="K2344" s="1" t="str">
        <f t="shared" si="109"/>
        <v/>
      </c>
      <c r="L2344" s="1" t="str">
        <f t="shared" si="110"/>
        <v/>
      </c>
      <c r="M2344" s="1">
        <f>IF(OR(Table1[[#This Row],[Std Nom]]="",Table1[[#This Row],[Std Read]]=""),0,Table1[[#This Row],[Std Nom]]-Table1[[#This Row],[Std Read]])</f>
        <v>0</v>
      </c>
      <c r="N2344" s="1">
        <f>IF(Calculations!$F$5="ACCREDITED 17025 WITH UNCERTAINTIES",$N$10,0)</f>
        <v>0</v>
      </c>
      <c r="Q2344" s="1">
        <f>Table1[[#This Row],[High Tol]]-Table1[[#This Row],[Low Tol]]</f>
        <v>0</v>
      </c>
      <c r="R2344" s="1">
        <f>2*Table1[[#This Row],[Std Error]]</f>
        <v>0</v>
      </c>
      <c r="S2344" s="1" t="str">
        <f>IF(Table1[[#This Row],[High Tol]]="","N/A",IFERROR(ABS(Table1[[#This Row],[Tol Span]]/Table1[[#This Row],[Error Span]]),"N/A"))</f>
        <v>N/A</v>
      </c>
      <c r="T2344" s="1" t="str">
        <f>IF(OR(Table1[[#This Row],[Low Tol]]="",Table1[[#This Row],[High Tol]]=""),"Needs Analysis",IF(Table1[[#This Row],[Ratio]]&gt;=4,"Not Significant",IF(Table1[[#This Row],[Ratio]]&gt;=2,"Semi-Significant","Significant")))</f>
        <v>Needs Analysis</v>
      </c>
      <c r="W2344" s="1">
        <f>IF(Table1[[#This Row],[Cal Type]]&lt;&gt;"ACCREDITED 17025 WITH UNCERTAINTIES",0,"")</f>
        <v>0</v>
      </c>
      <c r="X2344" s="1" t="str">
        <f>IF(Table1[[#This Row],[DUT Read]]="","N/A",Table1[[#This Row],[Std Error]]+Table1[[#This Row],[DUT Read]]+Table1[[#This Row],[DUT Ucty]])</f>
        <v>N/A</v>
      </c>
      <c r="Y2344" s="1" t="str">
        <f>IF(Table1[[#This Row],[Std Read]]="","N/A",Table1[[#This Row],[Std Read]]+Table1[[#This Row],[Std Ucty]])</f>
        <v>N/A</v>
      </c>
      <c r="Z23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4" s="1" t="str">
        <f>IF(Table1[[#This Row],[Spec Type]]="","N/A",Table1[[#This Row],[Spec Type]])</f>
        <v>±</v>
      </c>
      <c r="AC2344" s="1" t="str">
        <f>IF(Table1[[#This Row],[Spec Type2]]="N/A","N/A",IF(AND(Table1[[#This Row],[DUT Adj Read]]&gt;=Table1[[#This Row],[Low Tol]],Table1[[#This Row],[DUT Adj Read]]&lt;=Table1[[#This Row],[High Tol]]),"Pass","Fail"))</f>
        <v>Fail</v>
      </c>
      <c r="AD2344" s="1" t="str">
        <f>IF(AND(Table1[[#This Row],[Spec Type2]]="N/A",Table1[[#This Row],[DUT Adj Read]]="N/A",Table1[[#This Row],[Std Adj Read]]="N/A"),"N/A",IF(Table1[[#This Row],[DUT Adj Read]]="N/A",IF(Table1[[#This Row],[Std Adj Read]]&gt;Table1[[#This Row],[Low Tol]],"Pass","Fail"),IF(Table1[[#This Row],[DUT Adj Read]]&gt;Table1[[#This Row],[Low Tol]],"Pass","Fail")))</f>
        <v>Pass</v>
      </c>
      <c r="AE2344" s="1" t="str">
        <f>IF(AND(Table1[[#This Row],[Spec Type2]]="N/A",Table1[[#This Row],[DUT Adj Read]]="N/A",Table1[[#This Row],[Std Adj Read]]="N/A"),"N/A",IF(Table1[[#This Row],[DUT Adj Read]]="N/A",IF(Table1[[#This Row],[Std Adj Read]]&lt;Table1[[#This Row],[High Tol]],"Pass","Fail"),IF(Table1[[#This Row],[DUT Adj Read]]&lt;Table1[[#This Row],[High Tol]],"Pass","Fail")))</f>
        <v>Fail</v>
      </c>
      <c r="AF2344" s="1" t="str">
        <f>IF(AND(Table1[[#This Row],[Spec Type2]]="N/A",Table1[[#This Row],[DUT Adj Read]]="N/A",Table1[[#This Row],[Std Adj Read]]="N/A"),"N/A",IF(Table1[[#This Row],[DUT Adj Read]]="N/A",IF(Table1[[#This Row],[Std Adj Read]]&gt;=Table1[[#This Row],[Low Tol]],"Pass","Fail"),IF(Table1[[#This Row],[DUT Adj Read]]&gt;=Table1[[#This Row],[Low Tol]],"Pass","Fail")))</f>
        <v>Pass</v>
      </c>
      <c r="AG2344" s="1" t="str">
        <f>IF(AND(Table1[[#This Row],[Spec Type2]]="N/A",Table1[[#This Row],[DUT Adj Read]]="N/A",Table1[[#This Row],[Std Adj Read]]="N/A"),"N/A",IF(Table1[[#This Row],[DUT Adj Read]]="N/A",IF(Table1[[#This Row],[Std Adj Read]]&lt;=Table1[[#This Row],[High Tol]],"Pass","Fail"),IF(Table1[[#This Row],[DUT Adj Read]]&lt;=Table1[[#This Row],[High Tol]],"Pass","Fail")))</f>
        <v>Fail</v>
      </c>
      <c r="AH23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4" s="1" t="b">
        <v>0</v>
      </c>
      <c r="AN2344" s="1" t="b">
        <v>0</v>
      </c>
      <c r="AO2344" s="1" t="b">
        <v>0</v>
      </c>
    </row>
    <row r="2345" spans="1:41" x14ac:dyDescent="0.25">
      <c r="A2345" s="10"/>
      <c r="B2345" s="10"/>
      <c r="C2345" s="10"/>
      <c r="D2345" s="10"/>
      <c r="E2345" s="10"/>
      <c r="F2345" s="10"/>
      <c r="G2345" s="10"/>
      <c r="H2345" s="10"/>
      <c r="I2345" s="1" t="str">
        <f t="shared" si="108"/>
        <v/>
      </c>
      <c r="J2345" s="1" t="s">
        <v>35</v>
      </c>
      <c r="K2345" s="1" t="str">
        <f t="shared" si="109"/>
        <v/>
      </c>
      <c r="L2345" s="1" t="str">
        <f t="shared" si="110"/>
        <v/>
      </c>
      <c r="M2345" s="1">
        <f>IF(OR(Table1[[#This Row],[Std Nom]]="",Table1[[#This Row],[Std Read]]=""),0,Table1[[#This Row],[Std Nom]]-Table1[[#This Row],[Std Read]])</f>
        <v>0</v>
      </c>
      <c r="N2345" s="1">
        <f>IF(Calculations!$F$5="ACCREDITED 17025 WITH UNCERTAINTIES",$N$10,0)</f>
        <v>0</v>
      </c>
      <c r="Q2345" s="1">
        <f>Table1[[#This Row],[High Tol]]-Table1[[#This Row],[Low Tol]]</f>
        <v>0</v>
      </c>
      <c r="R2345" s="1">
        <f>2*Table1[[#This Row],[Std Error]]</f>
        <v>0</v>
      </c>
      <c r="S2345" s="1" t="str">
        <f>IF(Table1[[#This Row],[High Tol]]="","N/A",IFERROR(ABS(Table1[[#This Row],[Tol Span]]/Table1[[#This Row],[Error Span]]),"N/A"))</f>
        <v>N/A</v>
      </c>
      <c r="T2345" s="1" t="str">
        <f>IF(OR(Table1[[#This Row],[Low Tol]]="",Table1[[#This Row],[High Tol]]=""),"Needs Analysis",IF(Table1[[#This Row],[Ratio]]&gt;=4,"Not Significant",IF(Table1[[#This Row],[Ratio]]&gt;=2,"Semi-Significant","Significant")))</f>
        <v>Needs Analysis</v>
      </c>
      <c r="W2345" s="1">
        <f>IF(Table1[[#This Row],[Cal Type]]&lt;&gt;"ACCREDITED 17025 WITH UNCERTAINTIES",0,"")</f>
        <v>0</v>
      </c>
      <c r="X2345" s="1" t="str">
        <f>IF(Table1[[#This Row],[DUT Read]]="","N/A",Table1[[#This Row],[Std Error]]+Table1[[#This Row],[DUT Read]]+Table1[[#This Row],[DUT Ucty]])</f>
        <v>N/A</v>
      </c>
      <c r="Y2345" s="1" t="str">
        <f>IF(Table1[[#This Row],[Std Read]]="","N/A",Table1[[#This Row],[Std Read]]+Table1[[#This Row],[Std Ucty]])</f>
        <v>N/A</v>
      </c>
      <c r="Z23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5" s="1" t="str">
        <f>IF(Table1[[#This Row],[Spec Type]]="","N/A",Table1[[#This Row],[Spec Type]])</f>
        <v>±</v>
      </c>
      <c r="AC2345" s="1" t="str">
        <f>IF(Table1[[#This Row],[Spec Type2]]="N/A","N/A",IF(AND(Table1[[#This Row],[DUT Adj Read]]&gt;=Table1[[#This Row],[Low Tol]],Table1[[#This Row],[DUT Adj Read]]&lt;=Table1[[#This Row],[High Tol]]),"Pass","Fail"))</f>
        <v>Fail</v>
      </c>
      <c r="AD2345" s="1" t="str">
        <f>IF(AND(Table1[[#This Row],[Spec Type2]]="N/A",Table1[[#This Row],[DUT Adj Read]]="N/A",Table1[[#This Row],[Std Adj Read]]="N/A"),"N/A",IF(Table1[[#This Row],[DUT Adj Read]]="N/A",IF(Table1[[#This Row],[Std Adj Read]]&gt;Table1[[#This Row],[Low Tol]],"Pass","Fail"),IF(Table1[[#This Row],[DUT Adj Read]]&gt;Table1[[#This Row],[Low Tol]],"Pass","Fail")))</f>
        <v>Pass</v>
      </c>
      <c r="AE2345" s="1" t="str">
        <f>IF(AND(Table1[[#This Row],[Spec Type2]]="N/A",Table1[[#This Row],[DUT Adj Read]]="N/A",Table1[[#This Row],[Std Adj Read]]="N/A"),"N/A",IF(Table1[[#This Row],[DUT Adj Read]]="N/A",IF(Table1[[#This Row],[Std Adj Read]]&lt;Table1[[#This Row],[High Tol]],"Pass","Fail"),IF(Table1[[#This Row],[DUT Adj Read]]&lt;Table1[[#This Row],[High Tol]],"Pass","Fail")))</f>
        <v>Fail</v>
      </c>
      <c r="AF2345" s="1" t="str">
        <f>IF(AND(Table1[[#This Row],[Spec Type2]]="N/A",Table1[[#This Row],[DUT Adj Read]]="N/A",Table1[[#This Row],[Std Adj Read]]="N/A"),"N/A",IF(Table1[[#This Row],[DUT Adj Read]]="N/A",IF(Table1[[#This Row],[Std Adj Read]]&gt;=Table1[[#This Row],[Low Tol]],"Pass","Fail"),IF(Table1[[#This Row],[DUT Adj Read]]&gt;=Table1[[#This Row],[Low Tol]],"Pass","Fail")))</f>
        <v>Pass</v>
      </c>
      <c r="AG2345" s="1" t="str">
        <f>IF(AND(Table1[[#This Row],[Spec Type2]]="N/A",Table1[[#This Row],[DUT Adj Read]]="N/A",Table1[[#This Row],[Std Adj Read]]="N/A"),"N/A",IF(Table1[[#This Row],[DUT Adj Read]]="N/A",IF(Table1[[#This Row],[Std Adj Read]]&lt;=Table1[[#This Row],[High Tol]],"Pass","Fail"),IF(Table1[[#This Row],[DUT Adj Read]]&lt;=Table1[[#This Row],[High Tol]],"Pass","Fail")))</f>
        <v>Fail</v>
      </c>
      <c r="AH23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5" s="1" t="b">
        <v>0</v>
      </c>
      <c r="AN2345" s="1" t="b">
        <v>0</v>
      </c>
      <c r="AO2345" s="1" t="b">
        <v>0</v>
      </c>
    </row>
    <row r="2346" spans="1:41" x14ac:dyDescent="0.25">
      <c r="A2346" s="10"/>
      <c r="B2346" s="10"/>
      <c r="C2346" s="10"/>
      <c r="D2346" s="10"/>
      <c r="E2346" s="10"/>
      <c r="F2346" s="10"/>
      <c r="G2346" s="10"/>
      <c r="H2346" s="10"/>
      <c r="I2346" s="1" t="str">
        <f t="shared" si="108"/>
        <v/>
      </c>
      <c r="J2346" s="1" t="s">
        <v>35</v>
      </c>
      <c r="K2346" s="1" t="str">
        <f t="shared" si="109"/>
        <v/>
      </c>
      <c r="L2346" s="1" t="str">
        <f t="shared" si="110"/>
        <v/>
      </c>
      <c r="M2346" s="1">
        <f>IF(OR(Table1[[#This Row],[Std Nom]]="",Table1[[#This Row],[Std Read]]=""),0,Table1[[#This Row],[Std Nom]]-Table1[[#This Row],[Std Read]])</f>
        <v>0</v>
      </c>
      <c r="N2346" s="1">
        <f>IF(Calculations!$F$5="ACCREDITED 17025 WITH UNCERTAINTIES",$N$10,0)</f>
        <v>0</v>
      </c>
      <c r="Q2346" s="1">
        <f>Table1[[#This Row],[High Tol]]-Table1[[#This Row],[Low Tol]]</f>
        <v>0</v>
      </c>
      <c r="R2346" s="1">
        <f>2*Table1[[#This Row],[Std Error]]</f>
        <v>0</v>
      </c>
      <c r="S2346" s="1" t="str">
        <f>IF(Table1[[#This Row],[High Tol]]="","N/A",IFERROR(ABS(Table1[[#This Row],[Tol Span]]/Table1[[#This Row],[Error Span]]),"N/A"))</f>
        <v>N/A</v>
      </c>
      <c r="T2346" s="1" t="str">
        <f>IF(OR(Table1[[#This Row],[Low Tol]]="",Table1[[#This Row],[High Tol]]=""),"Needs Analysis",IF(Table1[[#This Row],[Ratio]]&gt;=4,"Not Significant",IF(Table1[[#This Row],[Ratio]]&gt;=2,"Semi-Significant","Significant")))</f>
        <v>Needs Analysis</v>
      </c>
      <c r="W2346" s="1">
        <f>IF(Table1[[#This Row],[Cal Type]]&lt;&gt;"ACCREDITED 17025 WITH UNCERTAINTIES",0,"")</f>
        <v>0</v>
      </c>
      <c r="X2346" s="1" t="str">
        <f>IF(Table1[[#This Row],[DUT Read]]="","N/A",Table1[[#This Row],[Std Error]]+Table1[[#This Row],[DUT Read]]+Table1[[#This Row],[DUT Ucty]])</f>
        <v>N/A</v>
      </c>
      <c r="Y2346" s="1" t="str">
        <f>IF(Table1[[#This Row],[Std Read]]="","N/A",Table1[[#This Row],[Std Read]]+Table1[[#This Row],[Std Ucty]])</f>
        <v>N/A</v>
      </c>
      <c r="Z23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6" s="1" t="str">
        <f>IF(Table1[[#This Row],[Spec Type]]="","N/A",Table1[[#This Row],[Spec Type]])</f>
        <v>±</v>
      </c>
      <c r="AC2346" s="1" t="str">
        <f>IF(Table1[[#This Row],[Spec Type2]]="N/A","N/A",IF(AND(Table1[[#This Row],[DUT Adj Read]]&gt;=Table1[[#This Row],[Low Tol]],Table1[[#This Row],[DUT Adj Read]]&lt;=Table1[[#This Row],[High Tol]]),"Pass","Fail"))</f>
        <v>Fail</v>
      </c>
      <c r="AD2346" s="1" t="str">
        <f>IF(AND(Table1[[#This Row],[Spec Type2]]="N/A",Table1[[#This Row],[DUT Adj Read]]="N/A",Table1[[#This Row],[Std Adj Read]]="N/A"),"N/A",IF(Table1[[#This Row],[DUT Adj Read]]="N/A",IF(Table1[[#This Row],[Std Adj Read]]&gt;Table1[[#This Row],[Low Tol]],"Pass","Fail"),IF(Table1[[#This Row],[DUT Adj Read]]&gt;Table1[[#This Row],[Low Tol]],"Pass","Fail")))</f>
        <v>Pass</v>
      </c>
      <c r="AE2346" s="1" t="str">
        <f>IF(AND(Table1[[#This Row],[Spec Type2]]="N/A",Table1[[#This Row],[DUT Adj Read]]="N/A",Table1[[#This Row],[Std Adj Read]]="N/A"),"N/A",IF(Table1[[#This Row],[DUT Adj Read]]="N/A",IF(Table1[[#This Row],[Std Adj Read]]&lt;Table1[[#This Row],[High Tol]],"Pass","Fail"),IF(Table1[[#This Row],[DUT Adj Read]]&lt;Table1[[#This Row],[High Tol]],"Pass","Fail")))</f>
        <v>Fail</v>
      </c>
      <c r="AF2346" s="1" t="str">
        <f>IF(AND(Table1[[#This Row],[Spec Type2]]="N/A",Table1[[#This Row],[DUT Adj Read]]="N/A",Table1[[#This Row],[Std Adj Read]]="N/A"),"N/A",IF(Table1[[#This Row],[DUT Adj Read]]="N/A",IF(Table1[[#This Row],[Std Adj Read]]&gt;=Table1[[#This Row],[Low Tol]],"Pass","Fail"),IF(Table1[[#This Row],[DUT Adj Read]]&gt;=Table1[[#This Row],[Low Tol]],"Pass","Fail")))</f>
        <v>Pass</v>
      </c>
      <c r="AG2346" s="1" t="str">
        <f>IF(AND(Table1[[#This Row],[Spec Type2]]="N/A",Table1[[#This Row],[DUT Adj Read]]="N/A",Table1[[#This Row],[Std Adj Read]]="N/A"),"N/A",IF(Table1[[#This Row],[DUT Adj Read]]="N/A",IF(Table1[[#This Row],[Std Adj Read]]&lt;=Table1[[#This Row],[High Tol]],"Pass","Fail"),IF(Table1[[#This Row],[DUT Adj Read]]&lt;=Table1[[#This Row],[High Tol]],"Pass","Fail")))</f>
        <v>Fail</v>
      </c>
      <c r="AH23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6" s="1" t="b">
        <v>0</v>
      </c>
      <c r="AN2346" s="1" t="b">
        <v>0</v>
      </c>
      <c r="AO2346" s="1" t="b">
        <v>0</v>
      </c>
    </row>
    <row r="2347" spans="1:41" x14ac:dyDescent="0.25">
      <c r="A2347" s="10"/>
      <c r="B2347" s="10"/>
      <c r="C2347" s="10"/>
      <c r="D2347" s="10"/>
      <c r="E2347" s="10"/>
      <c r="F2347" s="10"/>
      <c r="G2347" s="10"/>
      <c r="H2347" s="10"/>
      <c r="I2347" s="1" t="str">
        <f t="shared" si="108"/>
        <v/>
      </c>
      <c r="J2347" s="1" t="s">
        <v>35</v>
      </c>
      <c r="K2347" s="1" t="str">
        <f t="shared" si="109"/>
        <v/>
      </c>
      <c r="L2347" s="1" t="str">
        <f t="shared" si="110"/>
        <v/>
      </c>
      <c r="M2347" s="1">
        <f>IF(OR(Table1[[#This Row],[Std Nom]]="",Table1[[#This Row],[Std Read]]=""),0,Table1[[#This Row],[Std Nom]]-Table1[[#This Row],[Std Read]])</f>
        <v>0</v>
      </c>
      <c r="N2347" s="1">
        <f>IF(Calculations!$F$5="ACCREDITED 17025 WITH UNCERTAINTIES",$N$10,0)</f>
        <v>0</v>
      </c>
      <c r="Q2347" s="1">
        <f>Table1[[#This Row],[High Tol]]-Table1[[#This Row],[Low Tol]]</f>
        <v>0</v>
      </c>
      <c r="R2347" s="1">
        <f>2*Table1[[#This Row],[Std Error]]</f>
        <v>0</v>
      </c>
      <c r="S2347" s="1" t="str">
        <f>IF(Table1[[#This Row],[High Tol]]="","N/A",IFERROR(ABS(Table1[[#This Row],[Tol Span]]/Table1[[#This Row],[Error Span]]),"N/A"))</f>
        <v>N/A</v>
      </c>
      <c r="T2347" s="1" t="str">
        <f>IF(OR(Table1[[#This Row],[Low Tol]]="",Table1[[#This Row],[High Tol]]=""),"Needs Analysis",IF(Table1[[#This Row],[Ratio]]&gt;=4,"Not Significant",IF(Table1[[#This Row],[Ratio]]&gt;=2,"Semi-Significant","Significant")))</f>
        <v>Needs Analysis</v>
      </c>
      <c r="W2347" s="1">
        <f>IF(Table1[[#This Row],[Cal Type]]&lt;&gt;"ACCREDITED 17025 WITH UNCERTAINTIES",0,"")</f>
        <v>0</v>
      </c>
      <c r="X2347" s="1" t="str">
        <f>IF(Table1[[#This Row],[DUT Read]]="","N/A",Table1[[#This Row],[Std Error]]+Table1[[#This Row],[DUT Read]]+Table1[[#This Row],[DUT Ucty]])</f>
        <v>N/A</v>
      </c>
      <c r="Y2347" s="1" t="str">
        <f>IF(Table1[[#This Row],[Std Read]]="","N/A",Table1[[#This Row],[Std Read]]+Table1[[#This Row],[Std Ucty]])</f>
        <v>N/A</v>
      </c>
      <c r="Z23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7" s="1" t="str">
        <f>IF(Table1[[#This Row],[Spec Type]]="","N/A",Table1[[#This Row],[Spec Type]])</f>
        <v>±</v>
      </c>
      <c r="AC2347" s="1" t="str">
        <f>IF(Table1[[#This Row],[Spec Type2]]="N/A","N/A",IF(AND(Table1[[#This Row],[DUT Adj Read]]&gt;=Table1[[#This Row],[Low Tol]],Table1[[#This Row],[DUT Adj Read]]&lt;=Table1[[#This Row],[High Tol]]),"Pass","Fail"))</f>
        <v>Fail</v>
      </c>
      <c r="AD2347" s="1" t="str">
        <f>IF(AND(Table1[[#This Row],[Spec Type2]]="N/A",Table1[[#This Row],[DUT Adj Read]]="N/A",Table1[[#This Row],[Std Adj Read]]="N/A"),"N/A",IF(Table1[[#This Row],[DUT Adj Read]]="N/A",IF(Table1[[#This Row],[Std Adj Read]]&gt;Table1[[#This Row],[Low Tol]],"Pass","Fail"),IF(Table1[[#This Row],[DUT Adj Read]]&gt;Table1[[#This Row],[Low Tol]],"Pass","Fail")))</f>
        <v>Pass</v>
      </c>
      <c r="AE2347" s="1" t="str">
        <f>IF(AND(Table1[[#This Row],[Spec Type2]]="N/A",Table1[[#This Row],[DUT Adj Read]]="N/A",Table1[[#This Row],[Std Adj Read]]="N/A"),"N/A",IF(Table1[[#This Row],[DUT Adj Read]]="N/A",IF(Table1[[#This Row],[Std Adj Read]]&lt;Table1[[#This Row],[High Tol]],"Pass","Fail"),IF(Table1[[#This Row],[DUT Adj Read]]&lt;Table1[[#This Row],[High Tol]],"Pass","Fail")))</f>
        <v>Fail</v>
      </c>
      <c r="AF2347" s="1" t="str">
        <f>IF(AND(Table1[[#This Row],[Spec Type2]]="N/A",Table1[[#This Row],[DUT Adj Read]]="N/A",Table1[[#This Row],[Std Adj Read]]="N/A"),"N/A",IF(Table1[[#This Row],[DUT Adj Read]]="N/A",IF(Table1[[#This Row],[Std Adj Read]]&gt;=Table1[[#This Row],[Low Tol]],"Pass","Fail"),IF(Table1[[#This Row],[DUT Adj Read]]&gt;=Table1[[#This Row],[Low Tol]],"Pass","Fail")))</f>
        <v>Pass</v>
      </c>
      <c r="AG2347" s="1" t="str">
        <f>IF(AND(Table1[[#This Row],[Spec Type2]]="N/A",Table1[[#This Row],[DUT Adj Read]]="N/A",Table1[[#This Row],[Std Adj Read]]="N/A"),"N/A",IF(Table1[[#This Row],[DUT Adj Read]]="N/A",IF(Table1[[#This Row],[Std Adj Read]]&lt;=Table1[[#This Row],[High Tol]],"Pass","Fail"),IF(Table1[[#This Row],[DUT Adj Read]]&lt;=Table1[[#This Row],[High Tol]],"Pass","Fail")))</f>
        <v>Fail</v>
      </c>
      <c r="AH23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7" s="1" t="b">
        <v>0</v>
      </c>
      <c r="AN2347" s="1" t="b">
        <v>0</v>
      </c>
      <c r="AO2347" s="1" t="b">
        <v>0</v>
      </c>
    </row>
    <row r="2348" spans="1:41" x14ac:dyDescent="0.25">
      <c r="A2348" s="10"/>
      <c r="B2348" s="10"/>
      <c r="C2348" s="10"/>
      <c r="D2348" s="10"/>
      <c r="E2348" s="10"/>
      <c r="F2348" s="10"/>
      <c r="G2348" s="10"/>
      <c r="H2348" s="10"/>
      <c r="I2348" s="1" t="str">
        <f t="shared" si="108"/>
        <v/>
      </c>
      <c r="J2348" s="1" t="s">
        <v>35</v>
      </c>
      <c r="K2348" s="1" t="str">
        <f t="shared" si="109"/>
        <v/>
      </c>
      <c r="L2348" s="1" t="str">
        <f t="shared" si="110"/>
        <v/>
      </c>
      <c r="M2348" s="1">
        <f>IF(OR(Table1[[#This Row],[Std Nom]]="",Table1[[#This Row],[Std Read]]=""),0,Table1[[#This Row],[Std Nom]]-Table1[[#This Row],[Std Read]])</f>
        <v>0</v>
      </c>
      <c r="N2348" s="1">
        <f>IF(Calculations!$F$5="ACCREDITED 17025 WITH UNCERTAINTIES",$N$10,0)</f>
        <v>0</v>
      </c>
      <c r="Q2348" s="1">
        <f>Table1[[#This Row],[High Tol]]-Table1[[#This Row],[Low Tol]]</f>
        <v>0</v>
      </c>
      <c r="R2348" s="1">
        <f>2*Table1[[#This Row],[Std Error]]</f>
        <v>0</v>
      </c>
      <c r="S2348" s="1" t="str">
        <f>IF(Table1[[#This Row],[High Tol]]="","N/A",IFERROR(ABS(Table1[[#This Row],[Tol Span]]/Table1[[#This Row],[Error Span]]),"N/A"))</f>
        <v>N/A</v>
      </c>
      <c r="T2348" s="1" t="str">
        <f>IF(OR(Table1[[#This Row],[Low Tol]]="",Table1[[#This Row],[High Tol]]=""),"Needs Analysis",IF(Table1[[#This Row],[Ratio]]&gt;=4,"Not Significant",IF(Table1[[#This Row],[Ratio]]&gt;=2,"Semi-Significant","Significant")))</f>
        <v>Needs Analysis</v>
      </c>
      <c r="W2348" s="1">
        <f>IF(Table1[[#This Row],[Cal Type]]&lt;&gt;"ACCREDITED 17025 WITH UNCERTAINTIES",0,"")</f>
        <v>0</v>
      </c>
      <c r="X2348" s="1" t="str">
        <f>IF(Table1[[#This Row],[DUT Read]]="","N/A",Table1[[#This Row],[Std Error]]+Table1[[#This Row],[DUT Read]]+Table1[[#This Row],[DUT Ucty]])</f>
        <v>N/A</v>
      </c>
      <c r="Y2348" s="1" t="str">
        <f>IF(Table1[[#This Row],[Std Read]]="","N/A",Table1[[#This Row],[Std Read]]+Table1[[#This Row],[Std Ucty]])</f>
        <v>N/A</v>
      </c>
      <c r="Z23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8" s="1" t="str">
        <f>IF(Table1[[#This Row],[Spec Type]]="","N/A",Table1[[#This Row],[Spec Type]])</f>
        <v>±</v>
      </c>
      <c r="AC2348" s="1" t="str">
        <f>IF(Table1[[#This Row],[Spec Type2]]="N/A","N/A",IF(AND(Table1[[#This Row],[DUT Adj Read]]&gt;=Table1[[#This Row],[Low Tol]],Table1[[#This Row],[DUT Adj Read]]&lt;=Table1[[#This Row],[High Tol]]),"Pass","Fail"))</f>
        <v>Fail</v>
      </c>
      <c r="AD2348" s="1" t="str">
        <f>IF(AND(Table1[[#This Row],[Spec Type2]]="N/A",Table1[[#This Row],[DUT Adj Read]]="N/A",Table1[[#This Row],[Std Adj Read]]="N/A"),"N/A",IF(Table1[[#This Row],[DUT Adj Read]]="N/A",IF(Table1[[#This Row],[Std Adj Read]]&gt;Table1[[#This Row],[Low Tol]],"Pass","Fail"),IF(Table1[[#This Row],[DUT Adj Read]]&gt;Table1[[#This Row],[Low Tol]],"Pass","Fail")))</f>
        <v>Pass</v>
      </c>
      <c r="AE2348" s="1" t="str">
        <f>IF(AND(Table1[[#This Row],[Spec Type2]]="N/A",Table1[[#This Row],[DUT Adj Read]]="N/A",Table1[[#This Row],[Std Adj Read]]="N/A"),"N/A",IF(Table1[[#This Row],[DUT Adj Read]]="N/A",IF(Table1[[#This Row],[Std Adj Read]]&lt;Table1[[#This Row],[High Tol]],"Pass","Fail"),IF(Table1[[#This Row],[DUT Adj Read]]&lt;Table1[[#This Row],[High Tol]],"Pass","Fail")))</f>
        <v>Fail</v>
      </c>
      <c r="AF2348" s="1" t="str">
        <f>IF(AND(Table1[[#This Row],[Spec Type2]]="N/A",Table1[[#This Row],[DUT Adj Read]]="N/A",Table1[[#This Row],[Std Adj Read]]="N/A"),"N/A",IF(Table1[[#This Row],[DUT Adj Read]]="N/A",IF(Table1[[#This Row],[Std Adj Read]]&gt;=Table1[[#This Row],[Low Tol]],"Pass","Fail"),IF(Table1[[#This Row],[DUT Adj Read]]&gt;=Table1[[#This Row],[Low Tol]],"Pass","Fail")))</f>
        <v>Pass</v>
      </c>
      <c r="AG2348" s="1" t="str">
        <f>IF(AND(Table1[[#This Row],[Spec Type2]]="N/A",Table1[[#This Row],[DUT Adj Read]]="N/A",Table1[[#This Row],[Std Adj Read]]="N/A"),"N/A",IF(Table1[[#This Row],[DUT Adj Read]]="N/A",IF(Table1[[#This Row],[Std Adj Read]]&lt;=Table1[[#This Row],[High Tol]],"Pass","Fail"),IF(Table1[[#This Row],[DUT Adj Read]]&lt;=Table1[[#This Row],[High Tol]],"Pass","Fail")))</f>
        <v>Fail</v>
      </c>
      <c r="AH23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8" s="1" t="b">
        <v>0</v>
      </c>
      <c r="AN2348" s="1" t="b">
        <v>0</v>
      </c>
      <c r="AO2348" s="1" t="b">
        <v>0</v>
      </c>
    </row>
    <row r="2349" spans="1:41" x14ac:dyDescent="0.25">
      <c r="A2349" s="10"/>
      <c r="B2349" s="10"/>
      <c r="C2349" s="10"/>
      <c r="D2349" s="10"/>
      <c r="E2349" s="10"/>
      <c r="F2349" s="10"/>
      <c r="G2349" s="10"/>
      <c r="H2349" s="10"/>
      <c r="I2349" s="1" t="str">
        <f t="shared" si="108"/>
        <v/>
      </c>
      <c r="J2349" s="1" t="s">
        <v>35</v>
      </c>
      <c r="K2349" s="1" t="str">
        <f t="shared" si="109"/>
        <v/>
      </c>
      <c r="L2349" s="1" t="str">
        <f t="shared" si="110"/>
        <v/>
      </c>
      <c r="M2349" s="1">
        <f>IF(OR(Table1[[#This Row],[Std Nom]]="",Table1[[#This Row],[Std Read]]=""),0,Table1[[#This Row],[Std Nom]]-Table1[[#This Row],[Std Read]])</f>
        <v>0</v>
      </c>
      <c r="N2349" s="1">
        <f>IF(Calculations!$F$5="ACCREDITED 17025 WITH UNCERTAINTIES",$N$10,0)</f>
        <v>0</v>
      </c>
      <c r="Q2349" s="1">
        <f>Table1[[#This Row],[High Tol]]-Table1[[#This Row],[Low Tol]]</f>
        <v>0</v>
      </c>
      <c r="R2349" s="1">
        <f>2*Table1[[#This Row],[Std Error]]</f>
        <v>0</v>
      </c>
      <c r="S2349" s="1" t="str">
        <f>IF(Table1[[#This Row],[High Tol]]="","N/A",IFERROR(ABS(Table1[[#This Row],[Tol Span]]/Table1[[#This Row],[Error Span]]),"N/A"))</f>
        <v>N/A</v>
      </c>
      <c r="T2349" s="1" t="str">
        <f>IF(OR(Table1[[#This Row],[Low Tol]]="",Table1[[#This Row],[High Tol]]=""),"Needs Analysis",IF(Table1[[#This Row],[Ratio]]&gt;=4,"Not Significant",IF(Table1[[#This Row],[Ratio]]&gt;=2,"Semi-Significant","Significant")))</f>
        <v>Needs Analysis</v>
      </c>
      <c r="W2349" s="1">
        <f>IF(Table1[[#This Row],[Cal Type]]&lt;&gt;"ACCREDITED 17025 WITH UNCERTAINTIES",0,"")</f>
        <v>0</v>
      </c>
      <c r="X2349" s="1" t="str">
        <f>IF(Table1[[#This Row],[DUT Read]]="","N/A",Table1[[#This Row],[Std Error]]+Table1[[#This Row],[DUT Read]]+Table1[[#This Row],[DUT Ucty]])</f>
        <v>N/A</v>
      </c>
      <c r="Y2349" s="1" t="str">
        <f>IF(Table1[[#This Row],[Std Read]]="","N/A",Table1[[#This Row],[Std Read]]+Table1[[#This Row],[Std Ucty]])</f>
        <v>N/A</v>
      </c>
      <c r="Z23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49" s="1" t="str">
        <f>IF(Table1[[#This Row],[Spec Type]]="","N/A",Table1[[#This Row],[Spec Type]])</f>
        <v>±</v>
      </c>
      <c r="AC2349" s="1" t="str">
        <f>IF(Table1[[#This Row],[Spec Type2]]="N/A","N/A",IF(AND(Table1[[#This Row],[DUT Adj Read]]&gt;=Table1[[#This Row],[Low Tol]],Table1[[#This Row],[DUT Adj Read]]&lt;=Table1[[#This Row],[High Tol]]),"Pass","Fail"))</f>
        <v>Fail</v>
      </c>
      <c r="AD2349" s="1" t="str">
        <f>IF(AND(Table1[[#This Row],[Spec Type2]]="N/A",Table1[[#This Row],[DUT Adj Read]]="N/A",Table1[[#This Row],[Std Adj Read]]="N/A"),"N/A",IF(Table1[[#This Row],[DUT Adj Read]]="N/A",IF(Table1[[#This Row],[Std Adj Read]]&gt;Table1[[#This Row],[Low Tol]],"Pass","Fail"),IF(Table1[[#This Row],[DUT Adj Read]]&gt;Table1[[#This Row],[Low Tol]],"Pass","Fail")))</f>
        <v>Pass</v>
      </c>
      <c r="AE2349" s="1" t="str">
        <f>IF(AND(Table1[[#This Row],[Spec Type2]]="N/A",Table1[[#This Row],[DUT Adj Read]]="N/A",Table1[[#This Row],[Std Adj Read]]="N/A"),"N/A",IF(Table1[[#This Row],[DUT Adj Read]]="N/A",IF(Table1[[#This Row],[Std Adj Read]]&lt;Table1[[#This Row],[High Tol]],"Pass","Fail"),IF(Table1[[#This Row],[DUT Adj Read]]&lt;Table1[[#This Row],[High Tol]],"Pass","Fail")))</f>
        <v>Fail</v>
      </c>
      <c r="AF2349" s="1" t="str">
        <f>IF(AND(Table1[[#This Row],[Spec Type2]]="N/A",Table1[[#This Row],[DUT Adj Read]]="N/A",Table1[[#This Row],[Std Adj Read]]="N/A"),"N/A",IF(Table1[[#This Row],[DUT Adj Read]]="N/A",IF(Table1[[#This Row],[Std Adj Read]]&gt;=Table1[[#This Row],[Low Tol]],"Pass","Fail"),IF(Table1[[#This Row],[DUT Adj Read]]&gt;=Table1[[#This Row],[Low Tol]],"Pass","Fail")))</f>
        <v>Pass</v>
      </c>
      <c r="AG2349" s="1" t="str">
        <f>IF(AND(Table1[[#This Row],[Spec Type2]]="N/A",Table1[[#This Row],[DUT Adj Read]]="N/A",Table1[[#This Row],[Std Adj Read]]="N/A"),"N/A",IF(Table1[[#This Row],[DUT Adj Read]]="N/A",IF(Table1[[#This Row],[Std Adj Read]]&lt;=Table1[[#This Row],[High Tol]],"Pass","Fail"),IF(Table1[[#This Row],[DUT Adj Read]]&lt;=Table1[[#This Row],[High Tol]],"Pass","Fail")))</f>
        <v>Fail</v>
      </c>
      <c r="AH23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49" s="1" t="b">
        <v>0</v>
      </c>
      <c r="AN2349" s="1" t="b">
        <v>0</v>
      </c>
      <c r="AO2349" s="1" t="b">
        <v>0</v>
      </c>
    </row>
    <row r="2350" spans="1:41" x14ac:dyDescent="0.25">
      <c r="A2350" s="10"/>
      <c r="B2350" s="10"/>
      <c r="C2350" s="10"/>
      <c r="D2350" s="10"/>
      <c r="E2350" s="10"/>
      <c r="F2350" s="10"/>
      <c r="G2350" s="10"/>
      <c r="H2350" s="10"/>
      <c r="I2350" s="1" t="str">
        <f t="shared" si="108"/>
        <v/>
      </c>
      <c r="J2350" s="1" t="s">
        <v>35</v>
      </c>
      <c r="K2350" s="1" t="str">
        <f t="shared" si="109"/>
        <v/>
      </c>
      <c r="L2350" s="1" t="str">
        <f t="shared" si="110"/>
        <v/>
      </c>
      <c r="M2350" s="1">
        <f>IF(OR(Table1[[#This Row],[Std Nom]]="",Table1[[#This Row],[Std Read]]=""),0,Table1[[#This Row],[Std Nom]]-Table1[[#This Row],[Std Read]])</f>
        <v>0</v>
      </c>
      <c r="N2350" s="1">
        <f>IF(Calculations!$F$5="ACCREDITED 17025 WITH UNCERTAINTIES",$N$10,0)</f>
        <v>0</v>
      </c>
      <c r="Q2350" s="1">
        <f>Table1[[#This Row],[High Tol]]-Table1[[#This Row],[Low Tol]]</f>
        <v>0</v>
      </c>
      <c r="R2350" s="1">
        <f>2*Table1[[#This Row],[Std Error]]</f>
        <v>0</v>
      </c>
      <c r="S2350" s="1" t="str">
        <f>IF(Table1[[#This Row],[High Tol]]="","N/A",IFERROR(ABS(Table1[[#This Row],[Tol Span]]/Table1[[#This Row],[Error Span]]),"N/A"))</f>
        <v>N/A</v>
      </c>
      <c r="T2350" s="1" t="str">
        <f>IF(OR(Table1[[#This Row],[Low Tol]]="",Table1[[#This Row],[High Tol]]=""),"Needs Analysis",IF(Table1[[#This Row],[Ratio]]&gt;=4,"Not Significant",IF(Table1[[#This Row],[Ratio]]&gt;=2,"Semi-Significant","Significant")))</f>
        <v>Needs Analysis</v>
      </c>
      <c r="W2350" s="1">
        <f>IF(Table1[[#This Row],[Cal Type]]&lt;&gt;"ACCREDITED 17025 WITH UNCERTAINTIES",0,"")</f>
        <v>0</v>
      </c>
      <c r="X2350" s="1" t="str">
        <f>IF(Table1[[#This Row],[DUT Read]]="","N/A",Table1[[#This Row],[Std Error]]+Table1[[#This Row],[DUT Read]]+Table1[[#This Row],[DUT Ucty]])</f>
        <v>N/A</v>
      </c>
      <c r="Y2350" s="1" t="str">
        <f>IF(Table1[[#This Row],[Std Read]]="","N/A",Table1[[#This Row],[Std Read]]+Table1[[#This Row],[Std Ucty]])</f>
        <v>N/A</v>
      </c>
      <c r="Z23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0" s="1" t="str">
        <f>IF(Table1[[#This Row],[Spec Type]]="","N/A",Table1[[#This Row],[Spec Type]])</f>
        <v>±</v>
      </c>
      <c r="AC2350" s="1" t="str">
        <f>IF(Table1[[#This Row],[Spec Type2]]="N/A","N/A",IF(AND(Table1[[#This Row],[DUT Adj Read]]&gt;=Table1[[#This Row],[Low Tol]],Table1[[#This Row],[DUT Adj Read]]&lt;=Table1[[#This Row],[High Tol]]),"Pass","Fail"))</f>
        <v>Fail</v>
      </c>
      <c r="AD2350" s="1" t="str">
        <f>IF(AND(Table1[[#This Row],[Spec Type2]]="N/A",Table1[[#This Row],[DUT Adj Read]]="N/A",Table1[[#This Row],[Std Adj Read]]="N/A"),"N/A",IF(Table1[[#This Row],[DUT Adj Read]]="N/A",IF(Table1[[#This Row],[Std Adj Read]]&gt;Table1[[#This Row],[Low Tol]],"Pass","Fail"),IF(Table1[[#This Row],[DUT Adj Read]]&gt;Table1[[#This Row],[Low Tol]],"Pass","Fail")))</f>
        <v>Pass</v>
      </c>
      <c r="AE2350" s="1" t="str">
        <f>IF(AND(Table1[[#This Row],[Spec Type2]]="N/A",Table1[[#This Row],[DUT Adj Read]]="N/A",Table1[[#This Row],[Std Adj Read]]="N/A"),"N/A",IF(Table1[[#This Row],[DUT Adj Read]]="N/A",IF(Table1[[#This Row],[Std Adj Read]]&lt;Table1[[#This Row],[High Tol]],"Pass","Fail"),IF(Table1[[#This Row],[DUT Adj Read]]&lt;Table1[[#This Row],[High Tol]],"Pass","Fail")))</f>
        <v>Fail</v>
      </c>
      <c r="AF2350" s="1" t="str">
        <f>IF(AND(Table1[[#This Row],[Spec Type2]]="N/A",Table1[[#This Row],[DUT Adj Read]]="N/A",Table1[[#This Row],[Std Adj Read]]="N/A"),"N/A",IF(Table1[[#This Row],[DUT Adj Read]]="N/A",IF(Table1[[#This Row],[Std Adj Read]]&gt;=Table1[[#This Row],[Low Tol]],"Pass","Fail"),IF(Table1[[#This Row],[DUT Adj Read]]&gt;=Table1[[#This Row],[Low Tol]],"Pass","Fail")))</f>
        <v>Pass</v>
      </c>
      <c r="AG2350" s="1" t="str">
        <f>IF(AND(Table1[[#This Row],[Spec Type2]]="N/A",Table1[[#This Row],[DUT Adj Read]]="N/A",Table1[[#This Row],[Std Adj Read]]="N/A"),"N/A",IF(Table1[[#This Row],[DUT Adj Read]]="N/A",IF(Table1[[#This Row],[Std Adj Read]]&lt;=Table1[[#This Row],[High Tol]],"Pass","Fail"),IF(Table1[[#This Row],[DUT Adj Read]]&lt;=Table1[[#This Row],[High Tol]],"Pass","Fail")))</f>
        <v>Fail</v>
      </c>
      <c r="AH23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0" s="1" t="b">
        <v>0</v>
      </c>
      <c r="AN2350" s="1" t="b">
        <v>0</v>
      </c>
      <c r="AO2350" s="1" t="b">
        <v>0</v>
      </c>
    </row>
    <row r="2351" spans="1:41" x14ac:dyDescent="0.25">
      <c r="A2351" s="10"/>
      <c r="B2351" s="10"/>
      <c r="C2351" s="10"/>
      <c r="D2351" s="10"/>
      <c r="E2351" s="10"/>
      <c r="F2351" s="10"/>
      <c r="G2351" s="10"/>
      <c r="H2351" s="10"/>
      <c r="I2351" s="1" t="str">
        <f t="shared" si="108"/>
        <v/>
      </c>
      <c r="J2351" s="1" t="s">
        <v>35</v>
      </c>
      <c r="K2351" s="1" t="str">
        <f t="shared" si="109"/>
        <v/>
      </c>
      <c r="L2351" s="1" t="str">
        <f t="shared" si="110"/>
        <v/>
      </c>
      <c r="M2351" s="1">
        <f>IF(OR(Table1[[#This Row],[Std Nom]]="",Table1[[#This Row],[Std Read]]=""),0,Table1[[#This Row],[Std Nom]]-Table1[[#This Row],[Std Read]])</f>
        <v>0</v>
      </c>
      <c r="N2351" s="1">
        <f>IF(Calculations!$F$5="ACCREDITED 17025 WITH UNCERTAINTIES",$N$10,0)</f>
        <v>0</v>
      </c>
      <c r="Q2351" s="1">
        <f>Table1[[#This Row],[High Tol]]-Table1[[#This Row],[Low Tol]]</f>
        <v>0</v>
      </c>
      <c r="R2351" s="1">
        <f>2*Table1[[#This Row],[Std Error]]</f>
        <v>0</v>
      </c>
      <c r="S2351" s="1" t="str">
        <f>IF(Table1[[#This Row],[High Tol]]="","N/A",IFERROR(ABS(Table1[[#This Row],[Tol Span]]/Table1[[#This Row],[Error Span]]),"N/A"))</f>
        <v>N/A</v>
      </c>
      <c r="T2351" s="1" t="str">
        <f>IF(OR(Table1[[#This Row],[Low Tol]]="",Table1[[#This Row],[High Tol]]=""),"Needs Analysis",IF(Table1[[#This Row],[Ratio]]&gt;=4,"Not Significant",IF(Table1[[#This Row],[Ratio]]&gt;=2,"Semi-Significant","Significant")))</f>
        <v>Needs Analysis</v>
      </c>
      <c r="W2351" s="1">
        <f>IF(Table1[[#This Row],[Cal Type]]&lt;&gt;"ACCREDITED 17025 WITH UNCERTAINTIES",0,"")</f>
        <v>0</v>
      </c>
      <c r="X2351" s="1" t="str">
        <f>IF(Table1[[#This Row],[DUT Read]]="","N/A",Table1[[#This Row],[Std Error]]+Table1[[#This Row],[DUT Read]]+Table1[[#This Row],[DUT Ucty]])</f>
        <v>N/A</v>
      </c>
      <c r="Y2351" s="1" t="str">
        <f>IF(Table1[[#This Row],[Std Read]]="","N/A",Table1[[#This Row],[Std Read]]+Table1[[#This Row],[Std Ucty]])</f>
        <v>N/A</v>
      </c>
      <c r="Z23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1" s="1" t="str">
        <f>IF(Table1[[#This Row],[Spec Type]]="","N/A",Table1[[#This Row],[Spec Type]])</f>
        <v>±</v>
      </c>
      <c r="AC2351" s="1" t="str">
        <f>IF(Table1[[#This Row],[Spec Type2]]="N/A","N/A",IF(AND(Table1[[#This Row],[DUT Adj Read]]&gt;=Table1[[#This Row],[Low Tol]],Table1[[#This Row],[DUT Adj Read]]&lt;=Table1[[#This Row],[High Tol]]),"Pass","Fail"))</f>
        <v>Fail</v>
      </c>
      <c r="AD2351" s="1" t="str">
        <f>IF(AND(Table1[[#This Row],[Spec Type2]]="N/A",Table1[[#This Row],[DUT Adj Read]]="N/A",Table1[[#This Row],[Std Adj Read]]="N/A"),"N/A",IF(Table1[[#This Row],[DUT Adj Read]]="N/A",IF(Table1[[#This Row],[Std Adj Read]]&gt;Table1[[#This Row],[Low Tol]],"Pass","Fail"),IF(Table1[[#This Row],[DUT Adj Read]]&gt;Table1[[#This Row],[Low Tol]],"Pass","Fail")))</f>
        <v>Pass</v>
      </c>
      <c r="AE2351" s="1" t="str">
        <f>IF(AND(Table1[[#This Row],[Spec Type2]]="N/A",Table1[[#This Row],[DUT Adj Read]]="N/A",Table1[[#This Row],[Std Adj Read]]="N/A"),"N/A",IF(Table1[[#This Row],[DUT Adj Read]]="N/A",IF(Table1[[#This Row],[Std Adj Read]]&lt;Table1[[#This Row],[High Tol]],"Pass","Fail"),IF(Table1[[#This Row],[DUT Adj Read]]&lt;Table1[[#This Row],[High Tol]],"Pass","Fail")))</f>
        <v>Fail</v>
      </c>
      <c r="AF2351" s="1" t="str">
        <f>IF(AND(Table1[[#This Row],[Spec Type2]]="N/A",Table1[[#This Row],[DUT Adj Read]]="N/A",Table1[[#This Row],[Std Adj Read]]="N/A"),"N/A",IF(Table1[[#This Row],[DUT Adj Read]]="N/A",IF(Table1[[#This Row],[Std Adj Read]]&gt;=Table1[[#This Row],[Low Tol]],"Pass","Fail"),IF(Table1[[#This Row],[DUT Adj Read]]&gt;=Table1[[#This Row],[Low Tol]],"Pass","Fail")))</f>
        <v>Pass</v>
      </c>
      <c r="AG2351" s="1" t="str">
        <f>IF(AND(Table1[[#This Row],[Spec Type2]]="N/A",Table1[[#This Row],[DUT Adj Read]]="N/A",Table1[[#This Row],[Std Adj Read]]="N/A"),"N/A",IF(Table1[[#This Row],[DUT Adj Read]]="N/A",IF(Table1[[#This Row],[Std Adj Read]]&lt;=Table1[[#This Row],[High Tol]],"Pass","Fail"),IF(Table1[[#This Row],[DUT Adj Read]]&lt;=Table1[[#This Row],[High Tol]],"Pass","Fail")))</f>
        <v>Fail</v>
      </c>
      <c r="AH23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1" s="1" t="b">
        <v>0</v>
      </c>
      <c r="AN2351" s="1" t="b">
        <v>0</v>
      </c>
      <c r="AO2351" s="1" t="b">
        <v>0</v>
      </c>
    </row>
    <row r="2352" spans="1:41" x14ac:dyDescent="0.25">
      <c r="A2352" s="10"/>
      <c r="B2352" s="10"/>
      <c r="C2352" s="10"/>
      <c r="D2352" s="10"/>
      <c r="E2352" s="10"/>
      <c r="F2352" s="10"/>
      <c r="G2352" s="10"/>
      <c r="H2352" s="10"/>
      <c r="I2352" s="1" t="str">
        <f t="shared" si="108"/>
        <v/>
      </c>
      <c r="J2352" s="1" t="s">
        <v>35</v>
      </c>
      <c r="K2352" s="1" t="str">
        <f t="shared" si="109"/>
        <v/>
      </c>
      <c r="L2352" s="1" t="str">
        <f t="shared" si="110"/>
        <v/>
      </c>
      <c r="M2352" s="1">
        <f>IF(OR(Table1[[#This Row],[Std Nom]]="",Table1[[#This Row],[Std Read]]=""),0,Table1[[#This Row],[Std Nom]]-Table1[[#This Row],[Std Read]])</f>
        <v>0</v>
      </c>
      <c r="N2352" s="1">
        <f>IF(Calculations!$F$5="ACCREDITED 17025 WITH UNCERTAINTIES",$N$10,0)</f>
        <v>0</v>
      </c>
      <c r="Q2352" s="1">
        <f>Table1[[#This Row],[High Tol]]-Table1[[#This Row],[Low Tol]]</f>
        <v>0</v>
      </c>
      <c r="R2352" s="1">
        <f>2*Table1[[#This Row],[Std Error]]</f>
        <v>0</v>
      </c>
      <c r="S2352" s="1" t="str">
        <f>IF(Table1[[#This Row],[High Tol]]="","N/A",IFERROR(ABS(Table1[[#This Row],[Tol Span]]/Table1[[#This Row],[Error Span]]),"N/A"))</f>
        <v>N/A</v>
      </c>
      <c r="T2352" s="1" t="str">
        <f>IF(OR(Table1[[#This Row],[Low Tol]]="",Table1[[#This Row],[High Tol]]=""),"Needs Analysis",IF(Table1[[#This Row],[Ratio]]&gt;=4,"Not Significant",IF(Table1[[#This Row],[Ratio]]&gt;=2,"Semi-Significant","Significant")))</f>
        <v>Needs Analysis</v>
      </c>
      <c r="W2352" s="1">
        <f>IF(Table1[[#This Row],[Cal Type]]&lt;&gt;"ACCREDITED 17025 WITH UNCERTAINTIES",0,"")</f>
        <v>0</v>
      </c>
      <c r="X2352" s="1" t="str">
        <f>IF(Table1[[#This Row],[DUT Read]]="","N/A",Table1[[#This Row],[Std Error]]+Table1[[#This Row],[DUT Read]]+Table1[[#This Row],[DUT Ucty]])</f>
        <v>N/A</v>
      </c>
      <c r="Y2352" s="1" t="str">
        <f>IF(Table1[[#This Row],[Std Read]]="","N/A",Table1[[#This Row],[Std Read]]+Table1[[#This Row],[Std Ucty]])</f>
        <v>N/A</v>
      </c>
      <c r="Z23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2" s="1" t="str">
        <f>IF(Table1[[#This Row],[Spec Type]]="","N/A",Table1[[#This Row],[Spec Type]])</f>
        <v>±</v>
      </c>
      <c r="AC2352" s="1" t="str">
        <f>IF(Table1[[#This Row],[Spec Type2]]="N/A","N/A",IF(AND(Table1[[#This Row],[DUT Adj Read]]&gt;=Table1[[#This Row],[Low Tol]],Table1[[#This Row],[DUT Adj Read]]&lt;=Table1[[#This Row],[High Tol]]),"Pass","Fail"))</f>
        <v>Fail</v>
      </c>
      <c r="AD2352" s="1" t="str">
        <f>IF(AND(Table1[[#This Row],[Spec Type2]]="N/A",Table1[[#This Row],[DUT Adj Read]]="N/A",Table1[[#This Row],[Std Adj Read]]="N/A"),"N/A",IF(Table1[[#This Row],[DUT Adj Read]]="N/A",IF(Table1[[#This Row],[Std Adj Read]]&gt;Table1[[#This Row],[Low Tol]],"Pass","Fail"),IF(Table1[[#This Row],[DUT Adj Read]]&gt;Table1[[#This Row],[Low Tol]],"Pass","Fail")))</f>
        <v>Pass</v>
      </c>
      <c r="AE2352" s="1" t="str">
        <f>IF(AND(Table1[[#This Row],[Spec Type2]]="N/A",Table1[[#This Row],[DUT Adj Read]]="N/A",Table1[[#This Row],[Std Adj Read]]="N/A"),"N/A",IF(Table1[[#This Row],[DUT Adj Read]]="N/A",IF(Table1[[#This Row],[Std Adj Read]]&lt;Table1[[#This Row],[High Tol]],"Pass","Fail"),IF(Table1[[#This Row],[DUT Adj Read]]&lt;Table1[[#This Row],[High Tol]],"Pass","Fail")))</f>
        <v>Fail</v>
      </c>
      <c r="AF2352" s="1" t="str">
        <f>IF(AND(Table1[[#This Row],[Spec Type2]]="N/A",Table1[[#This Row],[DUT Adj Read]]="N/A",Table1[[#This Row],[Std Adj Read]]="N/A"),"N/A",IF(Table1[[#This Row],[DUT Adj Read]]="N/A",IF(Table1[[#This Row],[Std Adj Read]]&gt;=Table1[[#This Row],[Low Tol]],"Pass","Fail"),IF(Table1[[#This Row],[DUT Adj Read]]&gt;=Table1[[#This Row],[Low Tol]],"Pass","Fail")))</f>
        <v>Pass</v>
      </c>
      <c r="AG2352" s="1" t="str">
        <f>IF(AND(Table1[[#This Row],[Spec Type2]]="N/A",Table1[[#This Row],[DUT Adj Read]]="N/A",Table1[[#This Row],[Std Adj Read]]="N/A"),"N/A",IF(Table1[[#This Row],[DUT Adj Read]]="N/A",IF(Table1[[#This Row],[Std Adj Read]]&lt;=Table1[[#This Row],[High Tol]],"Pass","Fail"),IF(Table1[[#This Row],[DUT Adj Read]]&lt;=Table1[[#This Row],[High Tol]],"Pass","Fail")))</f>
        <v>Fail</v>
      </c>
      <c r="AH23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2" s="1" t="b">
        <v>0</v>
      </c>
      <c r="AN2352" s="1" t="b">
        <v>0</v>
      </c>
      <c r="AO2352" s="1" t="b">
        <v>0</v>
      </c>
    </row>
    <row r="2353" spans="1:41" x14ac:dyDescent="0.25">
      <c r="A2353" s="10"/>
      <c r="B2353" s="10"/>
      <c r="C2353" s="10"/>
      <c r="D2353" s="10"/>
      <c r="E2353" s="10"/>
      <c r="F2353" s="10"/>
      <c r="G2353" s="10"/>
      <c r="H2353" s="10"/>
      <c r="I2353" s="1" t="str">
        <f t="shared" si="108"/>
        <v/>
      </c>
      <c r="J2353" s="1" t="s">
        <v>35</v>
      </c>
      <c r="K2353" s="1" t="str">
        <f t="shared" si="109"/>
        <v/>
      </c>
      <c r="L2353" s="1" t="str">
        <f t="shared" si="110"/>
        <v/>
      </c>
      <c r="M2353" s="1">
        <f>IF(OR(Table1[[#This Row],[Std Nom]]="",Table1[[#This Row],[Std Read]]=""),0,Table1[[#This Row],[Std Nom]]-Table1[[#This Row],[Std Read]])</f>
        <v>0</v>
      </c>
      <c r="N2353" s="1">
        <f>IF(Calculations!$F$5="ACCREDITED 17025 WITH UNCERTAINTIES",$N$10,0)</f>
        <v>0</v>
      </c>
      <c r="Q2353" s="1">
        <f>Table1[[#This Row],[High Tol]]-Table1[[#This Row],[Low Tol]]</f>
        <v>0</v>
      </c>
      <c r="R2353" s="1">
        <f>2*Table1[[#This Row],[Std Error]]</f>
        <v>0</v>
      </c>
      <c r="S2353" s="1" t="str">
        <f>IF(Table1[[#This Row],[High Tol]]="","N/A",IFERROR(ABS(Table1[[#This Row],[Tol Span]]/Table1[[#This Row],[Error Span]]),"N/A"))</f>
        <v>N/A</v>
      </c>
      <c r="T2353" s="1" t="str">
        <f>IF(OR(Table1[[#This Row],[Low Tol]]="",Table1[[#This Row],[High Tol]]=""),"Needs Analysis",IF(Table1[[#This Row],[Ratio]]&gt;=4,"Not Significant",IF(Table1[[#This Row],[Ratio]]&gt;=2,"Semi-Significant","Significant")))</f>
        <v>Needs Analysis</v>
      </c>
      <c r="W2353" s="1">
        <f>IF(Table1[[#This Row],[Cal Type]]&lt;&gt;"ACCREDITED 17025 WITH UNCERTAINTIES",0,"")</f>
        <v>0</v>
      </c>
      <c r="X2353" s="1" t="str">
        <f>IF(Table1[[#This Row],[DUT Read]]="","N/A",Table1[[#This Row],[Std Error]]+Table1[[#This Row],[DUT Read]]+Table1[[#This Row],[DUT Ucty]])</f>
        <v>N/A</v>
      </c>
      <c r="Y2353" s="1" t="str">
        <f>IF(Table1[[#This Row],[Std Read]]="","N/A",Table1[[#This Row],[Std Read]]+Table1[[#This Row],[Std Ucty]])</f>
        <v>N/A</v>
      </c>
      <c r="Z23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3" s="1" t="str">
        <f>IF(Table1[[#This Row],[Spec Type]]="","N/A",Table1[[#This Row],[Spec Type]])</f>
        <v>±</v>
      </c>
      <c r="AC2353" s="1" t="str">
        <f>IF(Table1[[#This Row],[Spec Type2]]="N/A","N/A",IF(AND(Table1[[#This Row],[DUT Adj Read]]&gt;=Table1[[#This Row],[Low Tol]],Table1[[#This Row],[DUT Adj Read]]&lt;=Table1[[#This Row],[High Tol]]),"Pass","Fail"))</f>
        <v>Fail</v>
      </c>
      <c r="AD2353" s="1" t="str">
        <f>IF(AND(Table1[[#This Row],[Spec Type2]]="N/A",Table1[[#This Row],[DUT Adj Read]]="N/A",Table1[[#This Row],[Std Adj Read]]="N/A"),"N/A",IF(Table1[[#This Row],[DUT Adj Read]]="N/A",IF(Table1[[#This Row],[Std Adj Read]]&gt;Table1[[#This Row],[Low Tol]],"Pass","Fail"),IF(Table1[[#This Row],[DUT Adj Read]]&gt;Table1[[#This Row],[Low Tol]],"Pass","Fail")))</f>
        <v>Pass</v>
      </c>
      <c r="AE2353" s="1" t="str">
        <f>IF(AND(Table1[[#This Row],[Spec Type2]]="N/A",Table1[[#This Row],[DUT Adj Read]]="N/A",Table1[[#This Row],[Std Adj Read]]="N/A"),"N/A",IF(Table1[[#This Row],[DUT Adj Read]]="N/A",IF(Table1[[#This Row],[Std Adj Read]]&lt;Table1[[#This Row],[High Tol]],"Pass","Fail"),IF(Table1[[#This Row],[DUT Adj Read]]&lt;Table1[[#This Row],[High Tol]],"Pass","Fail")))</f>
        <v>Fail</v>
      </c>
      <c r="AF2353" s="1" t="str">
        <f>IF(AND(Table1[[#This Row],[Spec Type2]]="N/A",Table1[[#This Row],[DUT Adj Read]]="N/A",Table1[[#This Row],[Std Adj Read]]="N/A"),"N/A",IF(Table1[[#This Row],[DUT Adj Read]]="N/A",IF(Table1[[#This Row],[Std Adj Read]]&gt;=Table1[[#This Row],[Low Tol]],"Pass","Fail"),IF(Table1[[#This Row],[DUT Adj Read]]&gt;=Table1[[#This Row],[Low Tol]],"Pass","Fail")))</f>
        <v>Pass</v>
      </c>
      <c r="AG2353" s="1" t="str">
        <f>IF(AND(Table1[[#This Row],[Spec Type2]]="N/A",Table1[[#This Row],[DUT Adj Read]]="N/A",Table1[[#This Row],[Std Adj Read]]="N/A"),"N/A",IF(Table1[[#This Row],[DUT Adj Read]]="N/A",IF(Table1[[#This Row],[Std Adj Read]]&lt;=Table1[[#This Row],[High Tol]],"Pass","Fail"),IF(Table1[[#This Row],[DUT Adj Read]]&lt;=Table1[[#This Row],[High Tol]],"Pass","Fail")))</f>
        <v>Fail</v>
      </c>
      <c r="AH23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3" s="1" t="b">
        <v>0</v>
      </c>
      <c r="AN2353" s="1" t="b">
        <v>0</v>
      </c>
      <c r="AO2353" s="1" t="b">
        <v>0</v>
      </c>
    </row>
    <row r="2354" spans="1:41" x14ac:dyDescent="0.25">
      <c r="A2354" s="10"/>
      <c r="B2354" s="10"/>
      <c r="C2354" s="10"/>
      <c r="D2354" s="10"/>
      <c r="E2354" s="10"/>
      <c r="F2354" s="10"/>
      <c r="G2354" s="10"/>
      <c r="H2354" s="10"/>
      <c r="I2354" s="1" t="str">
        <f t="shared" si="108"/>
        <v/>
      </c>
      <c r="J2354" s="1" t="s">
        <v>35</v>
      </c>
      <c r="K2354" s="1" t="str">
        <f t="shared" si="109"/>
        <v/>
      </c>
      <c r="L2354" s="1" t="str">
        <f t="shared" si="110"/>
        <v/>
      </c>
      <c r="M2354" s="1">
        <f>IF(OR(Table1[[#This Row],[Std Nom]]="",Table1[[#This Row],[Std Read]]=""),0,Table1[[#This Row],[Std Nom]]-Table1[[#This Row],[Std Read]])</f>
        <v>0</v>
      </c>
      <c r="N2354" s="1">
        <f>IF(Calculations!$F$5="ACCREDITED 17025 WITH UNCERTAINTIES",$N$10,0)</f>
        <v>0</v>
      </c>
      <c r="Q2354" s="1">
        <f>Table1[[#This Row],[High Tol]]-Table1[[#This Row],[Low Tol]]</f>
        <v>0</v>
      </c>
      <c r="R2354" s="1">
        <f>2*Table1[[#This Row],[Std Error]]</f>
        <v>0</v>
      </c>
      <c r="S2354" s="1" t="str">
        <f>IF(Table1[[#This Row],[High Tol]]="","N/A",IFERROR(ABS(Table1[[#This Row],[Tol Span]]/Table1[[#This Row],[Error Span]]),"N/A"))</f>
        <v>N/A</v>
      </c>
      <c r="T2354" s="1" t="str">
        <f>IF(OR(Table1[[#This Row],[Low Tol]]="",Table1[[#This Row],[High Tol]]=""),"Needs Analysis",IF(Table1[[#This Row],[Ratio]]&gt;=4,"Not Significant",IF(Table1[[#This Row],[Ratio]]&gt;=2,"Semi-Significant","Significant")))</f>
        <v>Needs Analysis</v>
      </c>
      <c r="W2354" s="1">
        <f>IF(Table1[[#This Row],[Cal Type]]&lt;&gt;"ACCREDITED 17025 WITH UNCERTAINTIES",0,"")</f>
        <v>0</v>
      </c>
      <c r="X2354" s="1" t="str">
        <f>IF(Table1[[#This Row],[DUT Read]]="","N/A",Table1[[#This Row],[Std Error]]+Table1[[#This Row],[DUT Read]]+Table1[[#This Row],[DUT Ucty]])</f>
        <v>N/A</v>
      </c>
      <c r="Y2354" s="1" t="str">
        <f>IF(Table1[[#This Row],[Std Read]]="","N/A",Table1[[#This Row],[Std Read]]+Table1[[#This Row],[Std Ucty]])</f>
        <v>N/A</v>
      </c>
      <c r="Z23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4" s="1" t="str">
        <f>IF(Table1[[#This Row],[Spec Type]]="","N/A",Table1[[#This Row],[Spec Type]])</f>
        <v>±</v>
      </c>
      <c r="AC2354" s="1" t="str">
        <f>IF(Table1[[#This Row],[Spec Type2]]="N/A","N/A",IF(AND(Table1[[#This Row],[DUT Adj Read]]&gt;=Table1[[#This Row],[Low Tol]],Table1[[#This Row],[DUT Adj Read]]&lt;=Table1[[#This Row],[High Tol]]),"Pass","Fail"))</f>
        <v>Fail</v>
      </c>
      <c r="AD2354" s="1" t="str">
        <f>IF(AND(Table1[[#This Row],[Spec Type2]]="N/A",Table1[[#This Row],[DUT Adj Read]]="N/A",Table1[[#This Row],[Std Adj Read]]="N/A"),"N/A",IF(Table1[[#This Row],[DUT Adj Read]]="N/A",IF(Table1[[#This Row],[Std Adj Read]]&gt;Table1[[#This Row],[Low Tol]],"Pass","Fail"),IF(Table1[[#This Row],[DUT Adj Read]]&gt;Table1[[#This Row],[Low Tol]],"Pass","Fail")))</f>
        <v>Pass</v>
      </c>
      <c r="AE2354" s="1" t="str">
        <f>IF(AND(Table1[[#This Row],[Spec Type2]]="N/A",Table1[[#This Row],[DUT Adj Read]]="N/A",Table1[[#This Row],[Std Adj Read]]="N/A"),"N/A",IF(Table1[[#This Row],[DUT Adj Read]]="N/A",IF(Table1[[#This Row],[Std Adj Read]]&lt;Table1[[#This Row],[High Tol]],"Pass","Fail"),IF(Table1[[#This Row],[DUT Adj Read]]&lt;Table1[[#This Row],[High Tol]],"Pass","Fail")))</f>
        <v>Fail</v>
      </c>
      <c r="AF2354" s="1" t="str">
        <f>IF(AND(Table1[[#This Row],[Spec Type2]]="N/A",Table1[[#This Row],[DUT Adj Read]]="N/A",Table1[[#This Row],[Std Adj Read]]="N/A"),"N/A",IF(Table1[[#This Row],[DUT Adj Read]]="N/A",IF(Table1[[#This Row],[Std Adj Read]]&gt;=Table1[[#This Row],[Low Tol]],"Pass","Fail"),IF(Table1[[#This Row],[DUT Adj Read]]&gt;=Table1[[#This Row],[Low Tol]],"Pass","Fail")))</f>
        <v>Pass</v>
      </c>
      <c r="AG2354" s="1" t="str">
        <f>IF(AND(Table1[[#This Row],[Spec Type2]]="N/A",Table1[[#This Row],[DUT Adj Read]]="N/A",Table1[[#This Row],[Std Adj Read]]="N/A"),"N/A",IF(Table1[[#This Row],[DUT Adj Read]]="N/A",IF(Table1[[#This Row],[Std Adj Read]]&lt;=Table1[[#This Row],[High Tol]],"Pass","Fail"),IF(Table1[[#This Row],[DUT Adj Read]]&lt;=Table1[[#This Row],[High Tol]],"Pass","Fail")))</f>
        <v>Fail</v>
      </c>
      <c r="AH23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4" s="1" t="b">
        <v>0</v>
      </c>
      <c r="AN2354" s="1" t="b">
        <v>0</v>
      </c>
      <c r="AO2354" s="1" t="b">
        <v>0</v>
      </c>
    </row>
    <row r="2355" spans="1:41" x14ac:dyDescent="0.25">
      <c r="A2355" s="10"/>
      <c r="B2355" s="10"/>
      <c r="C2355" s="10"/>
      <c r="D2355" s="10"/>
      <c r="E2355" s="10"/>
      <c r="F2355" s="10"/>
      <c r="G2355" s="10"/>
      <c r="H2355" s="10"/>
      <c r="I2355" s="1" t="str">
        <f t="shared" si="108"/>
        <v/>
      </c>
      <c r="J2355" s="1" t="s">
        <v>35</v>
      </c>
      <c r="K2355" s="1" t="str">
        <f t="shared" si="109"/>
        <v/>
      </c>
      <c r="L2355" s="1" t="str">
        <f t="shared" si="110"/>
        <v/>
      </c>
      <c r="M2355" s="1">
        <f>IF(OR(Table1[[#This Row],[Std Nom]]="",Table1[[#This Row],[Std Read]]=""),0,Table1[[#This Row],[Std Nom]]-Table1[[#This Row],[Std Read]])</f>
        <v>0</v>
      </c>
      <c r="N2355" s="1">
        <f>IF(Calculations!$F$5="ACCREDITED 17025 WITH UNCERTAINTIES",$N$10,0)</f>
        <v>0</v>
      </c>
      <c r="Q2355" s="1">
        <f>Table1[[#This Row],[High Tol]]-Table1[[#This Row],[Low Tol]]</f>
        <v>0</v>
      </c>
      <c r="R2355" s="1">
        <f>2*Table1[[#This Row],[Std Error]]</f>
        <v>0</v>
      </c>
      <c r="S2355" s="1" t="str">
        <f>IF(Table1[[#This Row],[High Tol]]="","N/A",IFERROR(ABS(Table1[[#This Row],[Tol Span]]/Table1[[#This Row],[Error Span]]),"N/A"))</f>
        <v>N/A</v>
      </c>
      <c r="T2355" s="1" t="str">
        <f>IF(OR(Table1[[#This Row],[Low Tol]]="",Table1[[#This Row],[High Tol]]=""),"Needs Analysis",IF(Table1[[#This Row],[Ratio]]&gt;=4,"Not Significant",IF(Table1[[#This Row],[Ratio]]&gt;=2,"Semi-Significant","Significant")))</f>
        <v>Needs Analysis</v>
      </c>
      <c r="W2355" s="1">
        <f>IF(Table1[[#This Row],[Cal Type]]&lt;&gt;"ACCREDITED 17025 WITH UNCERTAINTIES",0,"")</f>
        <v>0</v>
      </c>
      <c r="X2355" s="1" t="str">
        <f>IF(Table1[[#This Row],[DUT Read]]="","N/A",Table1[[#This Row],[Std Error]]+Table1[[#This Row],[DUT Read]]+Table1[[#This Row],[DUT Ucty]])</f>
        <v>N/A</v>
      </c>
      <c r="Y2355" s="1" t="str">
        <f>IF(Table1[[#This Row],[Std Read]]="","N/A",Table1[[#This Row],[Std Read]]+Table1[[#This Row],[Std Ucty]])</f>
        <v>N/A</v>
      </c>
      <c r="Z23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5" s="1" t="str">
        <f>IF(Table1[[#This Row],[Spec Type]]="","N/A",Table1[[#This Row],[Spec Type]])</f>
        <v>±</v>
      </c>
      <c r="AC2355" s="1" t="str">
        <f>IF(Table1[[#This Row],[Spec Type2]]="N/A","N/A",IF(AND(Table1[[#This Row],[DUT Adj Read]]&gt;=Table1[[#This Row],[Low Tol]],Table1[[#This Row],[DUT Adj Read]]&lt;=Table1[[#This Row],[High Tol]]),"Pass","Fail"))</f>
        <v>Fail</v>
      </c>
      <c r="AD2355" s="1" t="str">
        <f>IF(AND(Table1[[#This Row],[Spec Type2]]="N/A",Table1[[#This Row],[DUT Adj Read]]="N/A",Table1[[#This Row],[Std Adj Read]]="N/A"),"N/A",IF(Table1[[#This Row],[DUT Adj Read]]="N/A",IF(Table1[[#This Row],[Std Adj Read]]&gt;Table1[[#This Row],[Low Tol]],"Pass","Fail"),IF(Table1[[#This Row],[DUT Adj Read]]&gt;Table1[[#This Row],[Low Tol]],"Pass","Fail")))</f>
        <v>Pass</v>
      </c>
      <c r="AE2355" s="1" t="str">
        <f>IF(AND(Table1[[#This Row],[Spec Type2]]="N/A",Table1[[#This Row],[DUT Adj Read]]="N/A",Table1[[#This Row],[Std Adj Read]]="N/A"),"N/A",IF(Table1[[#This Row],[DUT Adj Read]]="N/A",IF(Table1[[#This Row],[Std Adj Read]]&lt;Table1[[#This Row],[High Tol]],"Pass","Fail"),IF(Table1[[#This Row],[DUT Adj Read]]&lt;Table1[[#This Row],[High Tol]],"Pass","Fail")))</f>
        <v>Fail</v>
      </c>
      <c r="AF2355" s="1" t="str">
        <f>IF(AND(Table1[[#This Row],[Spec Type2]]="N/A",Table1[[#This Row],[DUT Adj Read]]="N/A",Table1[[#This Row],[Std Adj Read]]="N/A"),"N/A",IF(Table1[[#This Row],[DUT Adj Read]]="N/A",IF(Table1[[#This Row],[Std Adj Read]]&gt;=Table1[[#This Row],[Low Tol]],"Pass","Fail"),IF(Table1[[#This Row],[DUT Adj Read]]&gt;=Table1[[#This Row],[Low Tol]],"Pass","Fail")))</f>
        <v>Pass</v>
      </c>
      <c r="AG2355" s="1" t="str">
        <f>IF(AND(Table1[[#This Row],[Spec Type2]]="N/A",Table1[[#This Row],[DUT Adj Read]]="N/A",Table1[[#This Row],[Std Adj Read]]="N/A"),"N/A",IF(Table1[[#This Row],[DUT Adj Read]]="N/A",IF(Table1[[#This Row],[Std Adj Read]]&lt;=Table1[[#This Row],[High Tol]],"Pass","Fail"),IF(Table1[[#This Row],[DUT Adj Read]]&lt;=Table1[[#This Row],[High Tol]],"Pass","Fail")))</f>
        <v>Fail</v>
      </c>
      <c r="AH23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5" s="1" t="b">
        <v>0</v>
      </c>
      <c r="AN2355" s="1" t="b">
        <v>0</v>
      </c>
      <c r="AO2355" s="1" t="b">
        <v>0</v>
      </c>
    </row>
    <row r="2356" spans="1:41" x14ac:dyDescent="0.25">
      <c r="A2356" s="10"/>
      <c r="B2356" s="10"/>
      <c r="C2356" s="10"/>
      <c r="D2356" s="10"/>
      <c r="E2356" s="10"/>
      <c r="F2356" s="10"/>
      <c r="G2356" s="10"/>
      <c r="H2356" s="10"/>
      <c r="I2356" s="1" t="str">
        <f t="shared" si="108"/>
        <v/>
      </c>
      <c r="J2356" s="1" t="s">
        <v>35</v>
      </c>
      <c r="K2356" s="1" t="str">
        <f t="shared" si="109"/>
        <v/>
      </c>
      <c r="L2356" s="1" t="str">
        <f t="shared" si="110"/>
        <v/>
      </c>
      <c r="M2356" s="1">
        <f>IF(OR(Table1[[#This Row],[Std Nom]]="",Table1[[#This Row],[Std Read]]=""),0,Table1[[#This Row],[Std Nom]]-Table1[[#This Row],[Std Read]])</f>
        <v>0</v>
      </c>
      <c r="N2356" s="1">
        <f>IF(Calculations!$F$5="ACCREDITED 17025 WITH UNCERTAINTIES",$N$10,0)</f>
        <v>0</v>
      </c>
      <c r="Q2356" s="1">
        <f>Table1[[#This Row],[High Tol]]-Table1[[#This Row],[Low Tol]]</f>
        <v>0</v>
      </c>
      <c r="R2356" s="1">
        <f>2*Table1[[#This Row],[Std Error]]</f>
        <v>0</v>
      </c>
      <c r="S2356" s="1" t="str">
        <f>IF(Table1[[#This Row],[High Tol]]="","N/A",IFERROR(ABS(Table1[[#This Row],[Tol Span]]/Table1[[#This Row],[Error Span]]),"N/A"))</f>
        <v>N/A</v>
      </c>
      <c r="T2356" s="1" t="str">
        <f>IF(OR(Table1[[#This Row],[Low Tol]]="",Table1[[#This Row],[High Tol]]=""),"Needs Analysis",IF(Table1[[#This Row],[Ratio]]&gt;=4,"Not Significant",IF(Table1[[#This Row],[Ratio]]&gt;=2,"Semi-Significant","Significant")))</f>
        <v>Needs Analysis</v>
      </c>
      <c r="W2356" s="1">
        <f>IF(Table1[[#This Row],[Cal Type]]&lt;&gt;"ACCREDITED 17025 WITH UNCERTAINTIES",0,"")</f>
        <v>0</v>
      </c>
      <c r="X2356" s="1" t="str">
        <f>IF(Table1[[#This Row],[DUT Read]]="","N/A",Table1[[#This Row],[Std Error]]+Table1[[#This Row],[DUT Read]]+Table1[[#This Row],[DUT Ucty]])</f>
        <v>N/A</v>
      </c>
      <c r="Y2356" s="1" t="str">
        <f>IF(Table1[[#This Row],[Std Read]]="","N/A",Table1[[#This Row],[Std Read]]+Table1[[#This Row],[Std Ucty]])</f>
        <v>N/A</v>
      </c>
      <c r="Z23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6" s="1" t="str">
        <f>IF(Table1[[#This Row],[Spec Type]]="","N/A",Table1[[#This Row],[Spec Type]])</f>
        <v>±</v>
      </c>
      <c r="AC2356" s="1" t="str">
        <f>IF(Table1[[#This Row],[Spec Type2]]="N/A","N/A",IF(AND(Table1[[#This Row],[DUT Adj Read]]&gt;=Table1[[#This Row],[Low Tol]],Table1[[#This Row],[DUT Adj Read]]&lt;=Table1[[#This Row],[High Tol]]),"Pass","Fail"))</f>
        <v>Fail</v>
      </c>
      <c r="AD2356" s="1" t="str">
        <f>IF(AND(Table1[[#This Row],[Spec Type2]]="N/A",Table1[[#This Row],[DUT Adj Read]]="N/A",Table1[[#This Row],[Std Adj Read]]="N/A"),"N/A",IF(Table1[[#This Row],[DUT Adj Read]]="N/A",IF(Table1[[#This Row],[Std Adj Read]]&gt;Table1[[#This Row],[Low Tol]],"Pass","Fail"),IF(Table1[[#This Row],[DUT Adj Read]]&gt;Table1[[#This Row],[Low Tol]],"Pass","Fail")))</f>
        <v>Pass</v>
      </c>
      <c r="AE2356" s="1" t="str">
        <f>IF(AND(Table1[[#This Row],[Spec Type2]]="N/A",Table1[[#This Row],[DUT Adj Read]]="N/A",Table1[[#This Row],[Std Adj Read]]="N/A"),"N/A",IF(Table1[[#This Row],[DUT Adj Read]]="N/A",IF(Table1[[#This Row],[Std Adj Read]]&lt;Table1[[#This Row],[High Tol]],"Pass","Fail"),IF(Table1[[#This Row],[DUT Adj Read]]&lt;Table1[[#This Row],[High Tol]],"Pass","Fail")))</f>
        <v>Fail</v>
      </c>
      <c r="AF2356" s="1" t="str">
        <f>IF(AND(Table1[[#This Row],[Spec Type2]]="N/A",Table1[[#This Row],[DUT Adj Read]]="N/A",Table1[[#This Row],[Std Adj Read]]="N/A"),"N/A",IF(Table1[[#This Row],[DUT Adj Read]]="N/A",IF(Table1[[#This Row],[Std Adj Read]]&gt;=Table1[[#This Row],[Low Tol]],"Pass","Fail"),IF(Table1[[#This Row],[DUT Adj Read]]&gt;=Table1[[#This Row],[Low Tol]],"Pass","Fail")))</f>
        <v>Pass</v>
      </c>
      <c r="AG2356" s="1" t="str">
        <f>IF(AND(Table1[[#This Row],[Spec Type2]]="N/A",Table1[[#This Row],[DUT Adj Read]]="N/A",Table1[[#This Row],[Std Adj Read]]="N/A"),"N/A",IF(Table1[[#This Row],[DUT Adj Read]]="N/A",IF(Table1[[#This Row],[Std Adj Read]]&lt;=Table1[[#This Row],[High Tol]],"Pass","Fail"),IF(Table1[[#This Row],[DUT Adj Read]]&lt;=Table1[[#This Row],[High Tol]],"Pass","Fail")))</f>
        <v>Fail</v>
      </c>
      <c r="AH23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6" s="1" t="b">
        <v>0</v>
      </c>
      <c r="AN2356" s="1" t="b">
        <v>0</v>
      </c>
      <c r="AO2356" s="1" t="b">
        <v>0</v>
      </c>
    </row>
    <row r="2357" spans="1:41" x14ac:dyDescent="0.25">
      <c r="A2357" s="10"/>
      <c r="B2357" s="10"/>
      <c r="C2357" s="10"/>
      <c r="D2357" s="10"/>
      <c r="E2357" s="10"/>
      <c r="F2357" s="10"/>
      <c r="G2357" s="10"/>
      <c r="H2357" s="10"/>
      <c r="I2357" s="1" t="str">
        <f t="shared" si="108"/>
        <v/>
      </c>
      <c r="J2357" s="1" t="s">
        <v>35</v>
      </c>
      <c r="K2357" s="1" t="str">
        <f t="shared" si="109"/>
        <v/>
      </c>
      <c r="L2357" s="1" t="str">
        <f t="shared" si="110"/>
        <v/>
      </c>
      <c r="M2357" s="1">
        <f>IF(OR(Table1[[#This Row],[Std Nom]]="",Table1[[#This Row],[Std Read]]=""),0,Table1[[#This Row],[Std Nom]]-Table1[[#This Row],[Std Read]])</f>
        <v>0</v>
      </c>
      <c r="N2357" s="1">
        <f>IF(Calculations!$F$5="ACCREDITED 17025 WITH UNCERTAINTIES",$N$10,0)</f>
        <v>0</v>
      </c>
      <c r="Q2357" s="1">
        <f>Table1[[#This Row],[High Tol]]-Table1[[#This Row],[Low Tol]]</f>
        <v>0</v>
      </c>
      <c r="R2357" s="1">
        <f>2*Table1[[#This Row],[Std Error]]</f>
        <v>0</v>
      </c>
      <c r="S2357" s="1" t="str">
        <f>IF(Table1[[#This Row],[High Tol]]="","N/A",IFERROR(ABS(Table1[[#This Row],[Tol Span]]/Table1[[#This Row],[Error Span]]),"N/A"))</f>
        <v>N/A</v>
      </c>
      <c r="T2357" s="1" t="str">
        <f>IF(OR(Table1[[#This Row],[Low Tol]]="",Table1[[#This Row],[High Tol]]=""),"Needs Analysis",IF(Table1[[#This Row],[Ratio]]&gt;=4,"Not Significant",IF(Table1[[#This Row],[Ratio]]&gt;=2,"Semi-Significant","Significant")))</f>
        <v>Needs Analysis</v>
      </c>
      <c r="W2357" s="1">
        <f>IF(Table1[[#This Row],[Cal Type]]&lt;&gt;"ACCREDITED 17025 WITH UNCERTAINTIES",0,"")</f>
        <v>0</v>
      </c>
      <c r="X2357" s="1" t="str">
        <f>IF(Table1[[#This Row],[DUT Read]]="","N/A",Table1[[#This Row],[Std Error]]+Table1[[#This Row],[DUT Read]]+Table1[[#This Row],[DUT Ucty]])</f>
        <v>N/A</v>
      </c>
      <c r="Y2357" s="1" t="str">
        <f>IF(Table1[[#This Row],[Std Read]]="","N/A",Table1[[#This Row],[Std Read]]+Table1[[#This Row],[Std Ucty]])</f>
        <v>N/A</v>
      </c>
      <c r="Z23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7" s="1" t="str">
        <f>IF(Table1[[#This Row],[Spec Type]]="","N/A",Table1[[#This Row],[Spec Type]])</f>
        <v>±</v>
      </c>
      <c r="AC2357" s="1" t="str">
        <f>IF(Table1[[#This Row],[Spec Type2]]="N/A","N/A",IF(AND(Table1[[#This Row],[DUT Adj Read]]&gt;=Table1[[#This Row],[Low Tol]],Table1[[#This Row],[DUT Adj Read]]&lt;=Table1[[#This Row],[High Tol]]),"Pass","Fail"))</f>
        <v>Fail</v>
      </c>
      <c r="AD2357" s="1" t="str">
        <f>IF(AND(Table1[[#This Row],[Spec Type2]]="N/A",Table1[[#This Row],[DUT Adj Read]]="N/A",Table1[[#This Row],[Std Adj Read]]="N/A"),"N/A",IF(Table1[[#This Row],[DUT Adj Read]]="N/A",IF(Table1[[#This Row],[Std Adj Read]]&gt;Table1[[#This Row],[Low Tol]],"Pass","Fail"),IF(Table1[[#This Row],[DUT Adj Read]]&gt;Table1[[#This Row],[Low Tol]],"Pass","Fail")))</f>
        <v>Pass</v>
      </c>
      <c r="AE2357" s="1" t="str">
        <f>IF(AND(Table1[[#This Row],[Spec Type2]]="N/A",Table1[[#This Row],[DUT Adj Read]]="N/A",Table1[[#This Row],[Std Adj Read]]="N/A"),"N/A",IF(Table1[[#This Row],[DUT Adj Read]]="N/A",IF(Table1[[#This Row],[Std Adj Read]]&lt;Table1[[#This Row],[High Tol]],"Pass","Fail"),IF(Table1[[#This Row],[DUT Adj Read]]&lt;Table1[[#This Row],[High Tol]],"Pass","Fail")))</f>
        <v>Fail</v>
      </c>
      <c r="AF2357" s="1" t="str">
        <f>IF(AND(Table1[[#This Row],[Spec Type2]]="N/A",Table1[[#This Row],[DUT Adj Read]]="N/A",Table1[[#This Row],[Std Adj Read]]="N/A"),"N/A",IF(Table1[[#This Row],[DUT Adj Read]]="N/A",IF(Table1[[#This Row],[Std Adj Read]]&gt;=Table1[[#This Row],[Low Tol]],"Pass","Fail"),IF(Table1[[#This Row],[DUT Adj Read]]&gt;=Table1[[#This Row],[Low Tol]],"Pass","Fail")))</f>
        <v>Pass</v>
      </c>
      <c r="AG2357" s="1" t="str">
        <f>IF(AND(Table1[[#This Row],[Spec Type2]]="N/A",Table1[[#This Row],[DUT Adj Read]]="N/A",Table1[[#This Row],[Std Adj Read]]="N/A"),"N/A",IF(Table1[[#This Row],[DUT Adj Read]]="N/A",IF(Table1[[#This Row],[Std Adj Read]]&lt;=Table1[[#This Row],[High Tol]],"Pass","Fail"),IF(Table1[[#This Row],[DUT Adj Read]]&lt;=Table1[[#This Row],[High Tol]],"Pass","Fail")))</f>
        <v>Fail</v>
      </c>
      <c r="AH23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7" s="1" t="b">
        <v>0</v>
      </c>
      <c r="AN2357" s="1" t="b">
        <v>0</v>
      </c>
      <c r="AO2357" s="1" t="b">
        <v>0</v>
      </c>
    </row>
    <row r="2358" spans="1:41" x14ac:dyDescent="0.25">
      <c r="A2358" s="10"/>
      <c r="B2358" s="10"/>
      <c r="C2358" s="10"/>
      <c r="D2358" s="10"/>
      <c r="E2358" s="10"/>
      <c r="F2358" s="10"/>
      <c r="G2358" s="10"/>
      <c r="H2358" s="10"/>
      <c r="I2358" s="1" t="str">
        <f t="shared" si="108"/>
        <v/>
      </c>
      <c r="J2358" s="1" t="s">
        <v>35</v>
      </c>
      <c r="K2358" s="1" t="str">
        <f t="shared" si="109"/>
        <v/>
      </c>
      <c r="L2358" s="1" t="str">
        <f t="shared" si="110"/>
        <v/>
      </c>
      <c r="M2358" s="1">
        <f>IF(OR(Table1[[#This Row],[Std Nom]]="",Table1[[#This Row],[Std Read]]=""),0,Table1[[#This Row],[Std Nom]]-Table1[[#This Row],[Std Read]])</f>
        <v>0</v>
      </c>
      <c r="N2358" s="1">
        <f>IF(Calculations!$F$5="ACCREDITED 17025 WITH UNCERTAINTIES",$N$10,0)</f>
        <v>0</v>
      </c>
      <c r="Q2358" s="1">
        <f>Table1[[#This Row],[High Tol]]-Table1[[#This Row],[Low Tol]]</f>
        <v>0</v>
      </c>
      <c r="R2358" s="1">
        <f>2*Table1[[#This Row],[Std Error]]</f>
        <v>0</v>
      </c>
      <c r="S2358" s="1" t="str">
        <f>IF(Table1[[#This Row],[High Tol]]="","N/A",IFERROR(ABS(Table1[[#This Row],[Tol Span]]/Table1[[#This Row],[Error Span]]),"N/A"))</f>
        <v>N/A</v>
      </c>
      <c r="T2358" s="1" t="str">
        <f>IF(OR(Table1[[#This Row],[Low Tol]]="",Table1[[#This Row],[High Tol]]=""),"Needs Analysis",IF(Table1[[#This Row],[Ratio]]&gt;=4,"Not Significant",IF(Table1[[#This Row],[Ratio]]&gt;=2,"Semi-Significant","Significant")))</f>
        <v>Needs Analysis</v>
      </c>
      <c r="W2358" s="1">
        <f>IF(Table1[[#This Row],[Cal Type]]&lt;&gt;"ACCREDITED 17025 WITH UNCERTAINTIES",0,"")</f>
        <v>0</v>
      </c>
      <c r="X2358" s="1" t="str">
        <f>IF(Table1[[#This Row],[DUT Read]]="","N/A",Table1[[#This Row],[Std Error]]+Table1[[#This Row],[DUT Read]]+Table1[[#This Row],[DUT Ucty]])</f>
        <v>N/A</v>
      </c>
      <c r="Y2358" s="1" t="str">
        <f>IF(Table1[[#This Row],[Std Read]]="","N/A",Table1[[#This Row],[Std Read]]+Table1[[#This Row],[Std Ucty]])</f>
        <v>N/A</v>
      </c>
      <c r="Z23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8" s="1" t="str">
        <f>IF(Table1[[#This Row],[Spec Type]]="","N/A",Table1[[#This Row],[Spec Type]])</f>
        <v>±</v>
      </c>
      <c r="AC2358" s="1" t="str">
        <f>IF(Table1[[#This Row],[Spec Type2]]="N/A","N/A",IF(AND(Table1[[#This Row],[DUT Adj Read]]&gt;=Table1[[#This Row],[Low Tol]],Table1[[#This Row],[DUT Adj Read]]&lt;=Table1[[#This Row],[High Tol]]),"Pass","Fail"))</f>
        <v>Fail</v>
      </c>
      <c r="AD2358" s="1" t="str">
        <f>IF(AND(Table1[[#This Row],[Spec Type2]]="N/A",Table1[[#This Row],[DUT Adj Read]]="N/A",Table1[[#This Row],[Std Adj Read]]="N/A"),"N/A",IF(Table1[[#This Row],[DUT Adj Read]]="N/A",IF(Table1[[#This Row],[Std Adj Read]]&gt;Table1[[#This Row],[Low Tol]],"Pass","Fail"),IF(Table1[[#This Row],[DUT Adj Read]]&gt;Table1[[#This Row],[Low Tol]],"Pass","Fail")))</f>
        <v>Pass</v>
      </c>
      <c r="AE2358" s="1" t="str">
        <f>IF(AND(Table1[[#This Row],[Spec Type2]]="N/A",Table1[[#This Row],[DUT Adj Read]]="N/A",Table1[[#This Row],[Std Adj Read]]="N/A"),"N/A",IF(Table1[[#This Row],[DUT Adj Read]]="N/A",IF(Table1[[#This Row],[Std Adj Read]]&lt;Table1[[#This Row],[High Tol]],"Pass","Fail"),IF(Table1[[#This Row],[DUT Adj Read]]&lt;Table1[[#This Row],[High Tol]],"Pass","Fail")))</f>
        <v>Fail</v>
      </c>
      <c r="AF2358" s="1" t="str">
        <f>IF(AND(Table1[[#This Row],[Spec Type2]]="N/A",Table1[[#This Row],[DUT Adj Read]]="N/A",Table1[[#This Row],[Std Adj Read]]="N/A"),"N/A",IF(Table1[[#This Row],[DUT Adj Read]]="N/A",IF(Table1[[#This Row],[Std Adj Read]]&gt;=Table1[[#This Row],[Low Tol]],"Pass","Fail"),IF(Table1[[#This Row],[DUT Adj Read]]&gt;=Table1[[#This Row],[Low Tol]],"Pass","Fail")))</f>
        <v>Pass</v>
      </c>
      <c r="AG2358" s="1" t="str">
        <f>IF(AND(Table1[[#This Row],[Spec Type2]]="N/A",Table1[[#This Row],[DUT Adj Read]]="N/A",Table1[[#This Row],[Std Adj Read]]="N/A"),"N/A",IF(Table1[[#This Row],[DUT Adj Read]]="N/A",IF(Table1[[#This Row],[Std Adj Read]]&lt;=Table1[[#This Row],[High Tol]],"Pass","Fail"),IF(Table1[[#This Row],[DUT Adj Read]]&lt;=Table1[[#This Row],[High Tol]],"Pass","Fail")))</f>
        <v>Fail</v>
      </c>
      <c r="AH23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8" s="1" t="b">
        <v>0</v>
      </c>
      <c r="AN2358" s="1" t="b">
        <v>0</v>
      </c>
      <c r="AO2358" s="1" t="b">
        <v>0</v>
      </c>
    </row>
    <row r="2359" spans="1:41" x14ac:dyDescent="0.25">
      <c r="A2359" s="10"/>
      <c r="B2359" s="10"/>
      <c r="C2359" s="10"/>
      <c r="D2359" s="10"/>
      <c r="E2359" s="10"/>
      <c r="F2359" s="10"/>
      <c r="G2359" s="10"/>
      <c r="H2359" s="10"/>
      <c r="I2359" s="1" t="str">
        <f t="shared" si="108"/>
        <v/>
      </c>
      <c r="J2359" s="1" t="s">
        <v>35</v>
      </c>
      <c r="K2359" s="1" t="str">
        <f t="shared" si="109"/>
        <v/>
      </c>
      <c r="L2359" s="1" t="str">
        <f t="shared" si="110"/>
        <v/>
      </c>
      <c r="M2359" s="1">
        <f>IF(OR(Table1[[#This Row],[Std Nom]]="",Table1[[#This Row],[Std Read]]=""),0,Table1[[#This Row],[Std Nom]]-Table1[[#This Row],[Std Read]])</f>
        <v>0</v>
      </c>
      <c r="N2359" s="1">
        <f>IF(Calculations!$F$5="ACCREDITED 17025 WITH UNCERTAINTIES",$N$10,0)</f>
        <v>0</v>
      </c>
      <c r="Q2359" s="1">
        <f>Table1[[#This Row],[High Tol]]-Table1[[#This Row],[Low Tol]]</f>
        <v>0</v>
      </c>
      <c r="R2359" s="1">
        <f>2*Table1[[#This Row],[Std Error]]</f>
        <v>0</v>
      </c>
      <c r="S2359" s="1" t="str">
        <f>IF(Table1[[#This Row],[High Tol]]="","N/A",IFERROR(ABS(Table1[[#This Row],[Tol Span]]/Table1[[#This Row],[Error Span]]),"N/A"))</f>
        <v>N/A</v>
      </c>
      <c r="T2359" s="1" t="str">
        <f>IF(OR(Table1[[#This Row],[Low Tol]]="",Table1[[#This Row],[High Tol]]=""),"Needs Analysis",IF(Table1[[#This Row],[Ratio]]&gt;=4,"Not Significant",IF(Table1[[#This Row],[Ratio]]&gt;=2,"Semi-Significant","Significant")))</f>
        <v>Needs Analysis</v>
      </c>
      <c r="W2359" s="1">
        <f>IF(Table1[[#This Row],[Cal Type]]&lt;&gt;"ACCREDITED 17025 WITH UNCERTAINTIES",0,"")</f>
        <v>0</v>
      </c>
      <c r="X2359" s="1" t="str">
        <f>IF(Table1[[#This Row],[DUT Read]]="","N/A",Table1[[#This Row],[Std Error]]+Table1[[#This Row],[DUT Read]]+Table1[[#This Row],[DUT Ucty]])</f>
        <v>N/A</v>
      </c>
      <c r="Y2359" s="1" t="str">
        <f>IF(Table1[[#This Row],[Std Read]]="","N/A",Table1[[#This Row],[Std Read]]+Table1[[#This Row],[Std Ucty]])</f>
        <v>N/A</v>
      </c>
      <c r="Z23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59" s="1" t="str">
        <f>IF(Table1[[#This Row],[Spec Type]]="","N/A",Table1[[#This Row],[Spec Type]])</f>
        <v>±</v>
      </c>
      <c r="AC2359" s="1" t="str">
        <f>IF(Table1[[#This Row],[Spec Type2]]="N/A","N/A",IF(AND(Table1[[#This Row],[DUT Adj Read]]&gt;=Table1[[#This Row],[Low Tol]],Table1[[#This Row],[DUT Adj Read]]&lt;=Table1[[#This Row],[High Tol]]),"Pass","Fail"))</f>
        <v>Fail</v>
      </c>
      <c r="AD2359" s="1" t="str">
        <f>IF(AND(Table1[[#This Row],[Spec Type2]]="N/A",Table1[[#This Row],[DUT Adj Read]]="N/A",Table1[[#This Row],[Std Adj Read]]="N/A"),"N/A",IF(Table1[[#This Row],[DUT Adj Read]]="N/A",IF(Table1[[#This Row],[Std Adj Read]]&gt;Table1[[#This Row],[Low Tol]],"Pass","Fail"),IF(Table1[[#This Row],[DUT Adj Read]]&gt;Table1[[#This Row],[Low Tol]],"Pass","Fail")))</f>
        <v>Pass</v>
      </c>
      <c r="AE2359" s="1" t="str">
        <f>IF(AND(Table1[[#This Row],[Spec Type2]]="N/A",Table1[[#This Row],[DUT Adj Read]]="N/A",Table1[[#This Row],[Std Adj Read]]="N/A"),"N/A",IF(Table1[[#This Row],[DUT Adj Read]]="N/A",IF(Table1[[#This Row],[Std Adj Read]]&lt;Table1[[#This Row],[High Tol]],"Pass","Fail"),IF(Table1[[#This Row],[DUT Adj Read]]&lt;Table1[[#This Row],[High Tol]],"Pass","Fail")))</f>
        <v>Fail</v>
      </c>
      <c r="AF2359" s="1" t="str">
        <f>IF(AND(Table1[[#This Row],[Spec Type2]]="N/A",Table1[[#This Row],[DUT Adj Read]]="N/A",Table1[[#This Row],[Std Adj Read]]="N/A"),"N/A",IF(Table1[[#This Row],[DUT Adj Read]]="N/A",IF(Table1[[#This Row],[Std Adj Read]]&gt;=Table1[[#This Row],[Low Tol]],"Pass","Fail"),IF(Table1[[#This Row],[DUT Adj Read]]&gt;=Table1[[#This Row],[Low Tol]],"Pass","Fail")))</f>
        <v>Pass</v>
      </c>
      <c r="AG2359" s="1" t="str">
        <f>IF(AND(Table1[[#This Row],[Spec Type2]]="N/A",Table1[[#This Row],[DUT Adj Read]]="N/A",Table1[[#This Row],[Std Adj Read]]="N/A"),"N/A",IF(Table1[[#This Row],[DUT Adj Read]]="N/A",IF(Table1[[#This Row],[Std Adj Read]]&lt;=Table1[[#This Row],[High Tol]],"Pass","Fail"),IF(Table1[[#This Row],[DUT Adj Read]]&lt;=Table1[[#This Row],[High Tol]],"Pass","Fail")))</f>
        <v>Fail</v>
      </c>
      <c r="AH23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59" s="1" t="b">
        <v>0</v>
      </c>
      <c r="AN2359" s="1" t="b">
        <v>0</v>
      </c>
      <c r="AO2359" s="1" t="b">
        <v>0</v>
      </c>
    </row>
    <row r="2360" spans="1:41" x14ac:dyDescent="0.25">
      <c r="A2360" s="10"/>
      <c r="B2360" s="10"/>
      <c r="C2360" s="10"/>
      <c r="D2360" s="10"/>
      <c r="E2360" s="10"/>
      <c r="F2360" s="10"/>
      <c r="G2360" s="10"/>
      <c r="H2360" s="10"/>
      <c r="I2360" s="1" t="str">
        <f t="shared" si="108"/>
        <v/>
      </c>
      <c r="J2360" s="1" t="s">
        <v>35</v>
      </c>
      <c r="K2360" s="1" t="str">
        <f t="shared" si="109"/>
        <v/>
      </c>
      <c r="L2360" s="1" t="str">
        <f t="shared" si="110"/>
        <v/>
      </c>
      <c r="M2360" s="1">
        <f>IF(OR(Table1[[#This Row],[Std Nom]]="",Table1[[#This Row],[Std Read]]=""),0,Table1[[#This Row],[Std Nom]]-Table1[[#This Row],[Std Read]])</f>
        <v>0</v>
      </c>
      <c r="N2360" s="1">
        <f>IF(Calculations!$F$5="ACCREDITED 17025 WITH UNCERTAINTIES",$N$10,0)</f>
        <v>0</v>
      </c>
      <c r="Q2360" s="1">
        <f>Table1[[#This Row],[High Tol]]-Table1[[#This Row],[Low Tol]]</f>
        <v>0</v>
      </c>
      <c r="R2360" s="1">
        <f>2*Table1[[#This Row],[Std Error]]</f>
        <v>0</v>
      </c>
      <c r="S2360" s="1" t="str">
        <f>IF(Table1[[#This Row],[High Tol]]="","N/A",IFERROR(ABS(Table1[[#This Row],[Tol Span]]/Table1[[#This Row],[Error Span]]),"N/A"))</f>
        <v>N/A</v>
      </c>
      <c r="T2360" s="1" t="str">
        <f>IF(OR(Table1[[#This Row],[Low Tol]]="",Table1[[#This Row],[High Tol]]=""),"Needs Analysis",IF(Table1[[#This Row],[Ratio]]&gt;=4,"Not Significant",IF(Table1[[#This Row],[Ratio]]&gt;=2,"Semi-Significant","Significant")))</f>
        <v>Needs Analysis</v>
      </c>
      <c r="W2360" s="1">
        <f>IF(Table1[[#This Row],[Cal Type]]&lt;&gt;"ACCREDITED 17025 WITH UNCERTAINTIES",0,"")</f>
        <v>0</v>
      </c>
      <c r="X2360" s="1" t="str">
        <f>IF(Table1[[#This Row],[DUT Read]]="","N/A",Table1[[#This Row],[Std Error]]+Table1[[#This Row],[DUT Read]]+Table1[[#This Row],[DUT Ucty]])</f>
        <v>N/A</v>
      </c>
      <c r="Y2360" s="1" t="str">
        <f>IF(Table1[[#This Row],[Std Read]]="","N/A",Table1[[#This Row],[Std Read]]+Table1[[#This Row],[Std Ucty]])</f>
        <v>N/A</v>
      </c>
      <c r="Z23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0" s="1" t="str">
        <f>IF(Table1[[#This Row],[Spec Type]]="","N/A",Table1[[#This Row],[Spec Type]])</f>
        <v>±</v>
      </c>
      <c r="AC2360" s="1" t="str">
        <f>IF(Table1[[#This Row],[Spec Type2]]="N/A","N/A",IF(AND(Table1[[#This Row],[DUT Adj Read]]&gt;=Table1[[#This Row],[Low Tol]],Table1[[#This Row],[DUT Adj Read]]&lt;=Table1[[#This Row],[High Tol]]),"Pass","Fail"))</f>
        <v>Fail</v>
      </c>
      <c r="AD2360" s="1" t="str">
        <f>IF(AND(Table1[[#This Row],[Spec Type2]]="N/A",Table1[[#This Row],[DUT Adj Read]]="N/A",Table1[[#This Row],[Std Adj Read]]="N/A"),"N/A",IF(Table1[[#This Row],[DUT Adj Read]]="N/A",IF(Table1[[#This Row],[Std Adj Read]]&gt;Table1[[#This Row],[Low Tol]],"Pass","Fail"),IF(Table1[[#This Row],[DUT Adj Read]]&gt;Table1[[#This Row],[Low Tol]],"Pass","Fail")))</f>
        <v>Pass</v>
      </c>
      <c r="AE2360" s="1" t="str">
        <f>IF(AND(Table1[[#This Row],[Spec Type2]]="N/A",Table1[[#This Row],[DUT Adj Read]]="N/A",Table1[[#This Row],[Std Adj Read]]="N/A"),"N/A",IF(Table1[[#This Row],[DUT Adj Read]]="N/A",IF(Table1[[#This Row],[Std Adj Read]]&lt;Table1[[#This Row],[High Tol]],"Pass","Fail"),IF(Table1[[#This Row],[DUT Adj Read]]&lt;Table1[[#This Row],[High Tol]],"Pass","Fail")))</f>
        <v>Fail</v>
      </c>
      <c r="AF2360" s="1" t="str">
        <f>IF(AND(Table1[[#This Row],[Spec Type2]]="N/A",Table1[[#This Row],[DUT Adj Read]]="N/A",Table1[[#This Row],[Std Adj Read]]="N/A"),"N/A",IF(Table1[[#This Row],[DUT Adj Read]]="N/A",IF(Table1[[#This Row],[Std Adj Read]]&gt;=Table1[[#This Row],[Low Tol]],"Pass","Fail"),IF(Table1[[#This Row],[DUT Adj Read]]&gt;=Table1[[#This Row],[Low Tol]],"Pass","Fail")))</f>
        <v>Pass</v>
      </c>
      <c r="AG2360" s="1" t="str">
        <f>IF(AND(Table1[[#This Row],[Spec Type2]]="N/A",Table1[[#This Row],[DUT Adj Read]]="N/A",Table1[[#This Row],[Std Adj Read]]="N/A"),"N/A",IF(Table1[[#This Row],[DUT Adj Read]]="N/A",IF(Table1[[#This Row],[Std Adj Read]]&lt;=Table1[[#This Row],[High Tol]],"Pass","Fail"),IF(Table1[[#This Row],[DUT Adj Read]]&lt;=Table1[[#This Row],[High Tol]],"Pass","Fail")))</f>
        <v>Fail</v>
      </c>
      <c r="AH23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0" s="1" t="b">
        <v>0</v>
      </c>
      <c r="AN2360" s="1" t="b">
        <v>0</v>
      </c>
      <c r="AO2360" s="1" t="b">
        <v>0</v>
      </c>
    </row>
    <row r="2361" spans="1:41" x14ac:dyDescent="0.25">
      <c r="A2361" s="10"/>
      <c r="B2361" s="10"/>
      <c r="C2361" s="10"/>
      <c r="D2361" s="10"/>
      <c r="E2361" s="10"/>
      <c r="F2361" s="10"/>
      <c r="G2361" s="10"/>
      <c r="H2361" s="10"/>
      <c r="I2361" s="1" t="str">
        <f t="shared" si="108"/>
        <v/>
      </c>
      <c r="J2361" s="1" t="s">
        <v>35</v>
      </c>
      <c r="K2361" s="1" t="str">
        <f t="shared" si="109"/>
        <v/>
      </c>
      <c r="L2361" s="1" t="str">
        <f t="shared" si="110"/>
        <v/>
      </c>
      <c r="M2361" s="1">
        <f>IF(OR(Table1[[#This Row],[Std Nom]]="",Table1[[#This Row],[Std Read]]=""),0,Table1[[#This Row],[Std Nom]]-Table1[[#This Row],[Std Read]])</f>
        <v>0</v>
      </c>
      <c r="N2361" s="1">
        <f>IF(Calculations!$F$5="ACCREDITED 17025 WITH UNCERTAINTIES",$N$10,0)</f>
        <v>0</v>
      </c>
      <c r="Q2361" s="1">
        <f>Table1[[#This Row],[High Tol]]-Table1[[#This Row],[Low Tol]]</f>
        <v>0</v>
      </c>
      <c r="R2361" s="1">
        <f>2*Table1[[#This Row],[Std Error]]</f>
        <v>0</v>
      </c>
      <c r="S2361" s="1" t="str">
        <f>IF(Table1[[#This Row],[High Tol]]="","N/A",IFERROR(ABS(Table1[[#This Row],[Tol Span]]/Table1[[#This Row],[Error Span]]),"N/A"))</f>
        <v>N/A</v>
      </c>
      <c r="T2361" s="1" t="str">
        <f>IF(OR(Table1[[#This Row],[Low Tol]]="",Table1[[#This Row],[High Tol]]=""),"Needs Analysis",IF(Table1[[#This Row],[Ratio]]&gt;=4,"Not Significant",IF(Table1[[#This Row],[Ratio]]&gt;=2,"Semi-Significant","Significant")))</f>
        <v>Needs Analysis</v>
      </c>
      <c r="W2361" s="1">
        <f>IF(Table1[[#This Row],[Cal Type]]&lt;&gt;"ACCREDITED 17025 WITH UNCERTAINTIES",0,"")</f>
        <v>0</v>
      </c>
      <c r="X2361" s="1" t="str">
        <f>IF(Table1[[#This Row],[DUT Read]]="","N/A",Table1[[#This Row],[Std Error]]+Table1[[#This Row],[DUT Read]]+Table1[[#This Row],[DUT Ucty]])</f>
        <v>N/A</v>
      </c>
      <c r="Y2361" s="1" t="str">
        <f>IF(Table1[[#This Row],[Std Read]]="","N/A",Table1[[#This Row],[Std Read]]+Table1[[#This Row],[Std Ucty]])</f>
        <v>N/A</v>
      </c>
      <c r="Z23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1" s="1" t="str">
        <f>IF(Table1[[#This Row],[Spec Type]]="","N/A",Table1[[#This Row],[Spec Type]])</f>
        <v>±</v>
      </c>
      <c r="AC2361" s="1" t="str">
        <f>IF(Table1[[#This Row],[Spec Type2]]="N/A","N/A",IF(AND(Table1[[#This Row],[DUT Adj Read]]&gt;=Table1[[#This Row],[Low Tol]],Table1[[#This Row],[DUT Adj Read]]&lt;=Table1[[#This Row],[High Tol]]),"Pass","Fail"))</f>
        <v>Fail</v>
      </c>
      <c r="AD2361" s="1" t="str">
        <f>IF(AND(Table1[[#This Row],[Spec Type2]]="N/A",Table1[[#This Row],[DUT Adj Read]]="N/A",Table1[[#This Row],[Std Adj Read]]="N/A"),"N/A",IF(Table1[[#This Row],[DUT Adj Read]]="N/A",IF(Table1[[#This Row],[Std Adj Read]]&gt;Table1[[#This Row],[Low Tol]],"Pass","Fail"),IF(Table1[[#This Row],[DUT Adj Read]]&gt;Table1[[#This Row],[Low Tol]],"Pass","Fail")))</f>
        <v>Pass</v>
      </c>
      <c r="AE2361" s="1" t="str">
        <f>IF(AND(Table1[[#This Row],[Spec Type2]]="N/A",Table1[[#This Row],[DUT Adj Read]]="N/A",Table1[[#This Row],[Std Adj Read]]="N/A"),"N/A",IF(Table1[[#This Row],[DUT Adj Read]]="N/A",IF(Table1[[#This Row],[Std Adj Read]]&lt;Table1[[#This Row],[High Tol]],"Pass","Fail"),IF(Table1[[#This Row],[DUT Adj Read]]&lt;Table1[[#This Row],[High Tol]],"Pass","Fail")))</f>
        <v>Fail</v>
      </c>
      <c r="AF2361" s="1" t="str">
        <f>IF(AND(Table1[[#This Row],[Spec Type2]]="N/A",Table1[[#This Row],[DUT Adj Read]]="N/A",Table1[[#This Row],[Std Adj Read]]="N/A"),"N/A",IF(Table1[[#This Row],[DUT Adj Read]]="N/A",IF(Table1[[#This Row],[Std Adj Read]]&gt;=Table1[[#This Row],[Low Tol]],"Pass","Fail"),IF(Table1[[#This Row],[DUT Adj Read]]&gt;=Table1[[#This Row],[Low Tol]],"Pass","Fail")))</f>
        <v>Pass</v>
      </c>
      <c r="AG2361" s="1" t="str">
        <f>IF(AND(Table1[[#This Row],[Spec Type2]]="N/A",Table1[[#This Row],[DUT Adj Read]]="N/A",Table1[[#This Row],[Std Adj Read]]="N/A"),"N/A",IF(Table1[[#This Row],[DUT Adj Read]]="N/A",IF(Table1[[#This Row],[Std Adj Read]]&lt;=Table1[[#This Row],[High Tol]],"Pass","Fail"),IF(Table1[[#This Row],[DUT Adj Read]]&lt;=Table1[[#This Row],[High Tol]],"Pass","Fail")))</f>
        <v>Fail</v>
      </c>
      <c r="AH23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1" s="1" t="b">
        <v>0</v>
      </c>
      <c r="AN2361" s="1" t="b">
        <v>0</v>
      </c>
      <c r="AO2361" s="1" t="b">
        <v>0</v>
      </c>
    </row>
    <row r="2362" spans="1:41" x14ac:dyDescent="0.25">
      <c r="A2362" s="10"/>
      <c r="B2362" s="10"/>
      <c r="C2362" s="10"/>
      <c r="D2362" s="10"/>
      <c r="E2362" s="10"/>
      <c r="F2362" s="10"/>
      <c r="G2362" s="10"/>
      <c r="H2362" s="10"/>
      <c r="I2362" s="1" t="str">
        <f t="shared" si="108"/>
        <v/>
      </c>
      <c r="J2362" s="1" t="s">
        <v>35</v>
      </c>
      <c r="K2362" s="1" t="str">
        <f t="shared" si="109"/>
        <v/>
      </c>
      <c r="L2362" s="1" t="str">
        <f t="shared" si="110"/>
        <v/>
      </c>
      <c r="M2362" s="1">
        <f>IF(OR(Table1[[#This Row],[Std Nom]]="",Table1[[#This Row],[Std Read]]=""),0,Table1[[#This Row],[Std Nom]]-Table1[[#This Row],[Std Read]])</f>
        <v>0</v>
      </c>
      <c r="N2362" s="1">
        <f>IF(Calculations!$F$5="ACCREDITED 17025 WITH UNCERTAINTIES",$N$10,0)</f>
        <v>0</v>
      </c>
      <c r="Q2362" s="1">
        <f>Table1[[#This Row],[High Tol]]-Table1[[#This Row],[Low Tol]]</f>
        <v>0</v>
      </c>
      <c r="R2362" s="1">
        <f>2*Table1[[#This Row],[Std Error]]</f>
        <v>0</v>
      </c>
      <c r="S2362" s="1" t="str">
        <f>IF(Table1[[#This Row],[High Tol]]="","N/A",IFERROR(ABS(Table1[[#This Row],[Tol Span]]/Table1[[#This Row],[Error Span]]),"N/A"))</f>
        <v>N/A</v>
      </c>
      <c r="T2362" s="1" t="str">
        <f>IF(OR(Table1[[#This Row],[Low Tol]]="",Table1[[#This Row],[High Tol]]=""),"Needs Analysis",IF(Table1[[#This Row],[Ratio]]&gt;=4,"Not Significant",IF(Table1[[#This Row],[Ratio]]&gt;=2,"Semi-Significant","Significant")))</f>
        <v>Needs Analysis</v>
      </c>
      <c r="W2362" s="1">
        <f>IF(Table1[[#This Row],[Cal Type]]&lt;&gt;"ACCREDITED 17025 WITH UNCERTAINTIES",0,"")</f>
        <v>0</v>
      </c>
      <c r="X2362" s="1" t="str">
        <f>IF(Table1[[#This Row],[DUT Read]]="","N/A",Table1[[#This Row],[Std Error]]+Table1[[#This Row],[DUT Read]]+Table1[[#This Row],[DUT Ucty]])</f>
        <v>N/A</v>
      </c>
      <c r="Y2362" s="1" t="str">
        <f>IF(Table1[[#This Row],[Std Read]]="","N/A",Table1[[#This Row],[Std Read]]+Table1[[#This Row],[Std Ucty]])</f>
        <v>N/A</v>
      </c>
      <c r="Z23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2" s="1" t="str">
        <f>IF(Table1[[#This Row],[Spec Type]]="","N/A",Table1[[#This Row],[Spec Type]])</f>
        <v>±</v>
      </c>
      <c r="AC2362" s="1" t="str">
        <f>IF(Table1[[#This Row],[Spec Type2]]="N/A","N/A",IF(AND(Table1[[#This Row],[DUT Adj Read]]&gt;=Table1[[#This Row],[Low Tol]],Table1[[#This Row],[DUT Adj Read]]&lt;=Table1[[#This Row],[High Tol]]),"Pass","Fail"))</f>
        <v>Fail</v>
      </c>
      <c r="AD2362" s="1" t="str">
        <f>IF(AND(Table1[[#This Row],[Spec Type2]]="N/A",Table1[[#This Row],[DUT Adj Read]]="N/A",Table1[[#This Row],[Std Adj Read]]="N/A"),"N/A",IF(Table1[[#This Row],[DUT Adj Read]]="N/A",IF(Table1[[#This Row],[Std Adj Read]]&gt;Table1[[#This Row],[Low Tol]],"Pass","Fail"),IF(Table1[[#This Row],[DUT Adj Read]]&gt;Table1[[#This Row],[Low Tol]],"Pass","Fail")))</f>
        <v>Pass</v>
      </c>
      <c r="AE2362" s="1" t="str">
        <f>IF(AND(Table1[[#This Row],[Spec Type2]]="N/A",Table1[[#This Row],[DUT Adj Read]]="N/A",Table1[[#This Row],[Std Adj Read]]="N/A"),"N/A",IF(Table1[[#This Row],[DUT Adj Read]]="N/A",IF(Table1[[#This Row],[Std Adj Read]]&lt;Table1[[#This Row],[High Tol]],"Pass","Fail"),IF(Table1[[#This Row],[DUT Adj Read]]&lt;Table1[[#This Row],[High Tol]],"Pass","Fail")))</f>
        <v>Fail</v>
      </c>
      <c r="AF2362" s="1" t="str">
        <f>IF(AND(Table1[[#This Row],[Spec Type2]]="N/A",Table1[[#This Row],[DUT Adj Read]]="N/A",Table1[[#This Row],[Std Adj Read]]="N/A"),"N/A",IF(Table1[[#This Row],[DUT Adj Read]]="N/A",IF(Table1[[#This Row],[Std Adj Read]]&gt;=Table1[[#This Row],[Low Tol]],"Pass","Fail"),IF(Table1[[#This Row],[DUT Adj Read]]&gt;=Table1[[#This Row],[Low Tol]],"Pass","Fail")))</f>
        <v>Pass</v>
      </c>
      <c r="AG2362" s="1" t="str">
        <f>IF(AND(Table1[[#This Row],[Spec Type2]]="N/A",Table1[[#This Row],[DUT Adj Read]]="N/A",Table1[[#This Row],[Std Adj Read]]="N/A"),"N/A",IF(Table1[[#This Row],[DUT Adj Read]]="N/A",IF(Table1[[#This Row],[Std Adj Read]]&lt;=Table1[[#This Row],[High Tol]],"Pass","Fail"),IF(Table1[[#This Row],[DUT Adj Read]]&lt;=Table1[[#This Row],[High Tol]],"Pass","Fail")))</f>
        <v>Fail</v>
      </c>
      <c r="AH23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2" s="1" t="b">
        <v>0</v>
      </c>
      <c r="AN2362" s="1" t="b">
        <v>0</v>
      </c>
      <c r="AO2362" s="1" t="b">
        <v>0</v>
      </c>
    </row>
    <row r="2363" spans="1:41" x14ac:dyDescent="0.25">
      <c r="A2363" s="10"/>
      <c r="B2363" s="10"/>
      <c r="C2363" s="10"/>
      <c r="D2363" s="10"/>
      <c r="E2363" s="10"/>
      <c r="F2363" s="10"/>
      <c r="G2363" s="10"/>
      <c r="H2363" s="10"/>
      <c r="I2363" s="1" t="str">
        <f t="shared" si="108"/>
        <v/>
      </c>
      <c r="J2363" s="1" t="s">
        <v>35</v>
      </c>
      <c r="K2363" s="1" t="str">
        <f t="shared" si="109"/>
        <v/>
      </c>
      <c r="L2363" s="1" t="str">
        <f t="shared" si="110"/>
        <v/>
      </c>
      <c r="M2363" s="1">
        <f>IF(OR(Table1[[#This Row],[Std Nom]]="",Table1[[#This Row],[Std Read]]=""),0,Table1[[#This Row],[Std Nom]]-Table1[[#This Row],[Std Read]])</f>
        <v>0</v>
      </c>
      <c r="N2363" s="1">
        <f>IF(Calculations!$F$5="ACCREDITED 17025 WITH UNCERTAINTIES",$N$10,0)</f>
        <v>0</v>
      </c>
      <c r="Q2363" s="1">
        <f>Table1[[#This Row],[High Tol]]-Table1[[#This Row],[Low Tol]]</f>
        <v>0</v>
      </c>
      <c r="R2363" s="1">
        <f>2*Table1[[#This Row],[Std Error]]</f>
        <v>0</v>
      </c>
      <c r="S2363" s="1" t="str">
        <f>IF(Table1[[#This Row],[High Tol]]="","N/A",IFERROR(ABS(Table1[[#This Row],[Tol Span]]/Table1[[#This Row],[Error Span]]),"N/A"))</f>
        <v>N/A</v>
      </c>
      <c r="T2363" s="1" t="str">
        <f>IF(OR(Table1[[#This Row],[Low Tol]]="",Table1[[#This Row],[High Tol]]=""),"Needs Analysis",IF(Table1[[#This Row],[Ratio]]&gt;=4,"Not Significant",IF(Table1[[#This Row],[Ratio]]&gt;=2,"Semi-Significant","Significant")))</f>
        <v>Needs Analysis</v>
      </c>
      <c r="W2363" s="1">
        <f>IF(Table1[[#This Row],[Cal Type]]&lt;&gt;"ACCREDITED 17025 WITH UNCERTAINTIES",0,"")</f>
        <v>0</v>
      </c>
      <c r="X2363" s="1" t="str">
        <f>IF(Table1[[#This Row],[DUT Read]]="","N/A",Table1[[#This Row],[Std Error]]+Table1[[#This Row],[DUT Read]]+Table1[[#This Row],[DUT Ucty]])</f>
        <v>N/A</v>
      </c>
      <c r="Y2363" s="1" t="str">
        <f>IF(Table1[[#This Row],[Std Read]]="","N/A",Table1[[#This Row],[Std Read]]+Table1[[#This Row],[Std Ucty]])</f>
        <v>N/A</v>
      </c>
      <c r="Z23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3" s="1" t="str">
        <f>IF(Table1[[#This Row],[Spec Type]]="","N/A",Table1[[#This Row],[Spec Type]])</f>
        <v>±</v>
      </c>
      <c r="AC2363" s="1" t="str">
        <f>IF(Table1[[#This Row],[Spec Type2]]="N/A","N/A",IF(AND(Table1[[#This Row],[DUT Adj Read]]&gt;=Table1[[#This Row],[Low Tol]],Table1[[#This Row],[DUT Adj Read]]&lt;=Table1[[#This Row],[High Tol]]),"Pass","Fail"))</f>
        <v>Fail</v>
      </c>
      <c r="AD2363" s="1" t="str">
        <f>IF(AND(Table1[[#This Row],[Spec Type2]]="N/A",Table1[[#This Row],[DUT Adj Read]]="N/A",Table1[[#This Row],[Std Adj Read]]="N/A"),"N/A",IF(Table1[[#This Row],[DUT Adj Read]]="N/A",IF(Table1[[#This Row],[Std Adj Read]]&gt;Table1[[#This Row],[Low Tol]],"Pass","Fail"),IF(Table1[[#This Row],[DUT Adj Read]]&gt;Table1[[#This Row],[Low Tol]],"Pass","Fail")))</f>
        <v>Pass</v>
      </c>
      <c r="AE2363" s="1" t="str">
        <f>IF(AND(Table1[[#This Row],[Spec Type2]]="N/A",Table1[[#This Row],[DUT Adj Read]]="N/A",Table1[[#This Row],[Std Adj Read]]="N/A"),"N/A",IF(Table1[[#This Row],[DUT Adj Read]]="N/A",IF(Table1[[#This Row],[Std Adj Read]]&lt;Table1[[#This Row],[High Tol]],"Pass","Fail"),IF(Table1[[#This Row],[DUT Adj Read]]&lt;Table1[[#This Row],[High Tol]],"Pass","Fail")))</f>
        <v>Fail</v>
      </c>
      <c r="AF2363" s="1" t="str">
        <f>IF(AND(Table1[[#This Row],[Spec Type2]]="N/A",Table1[[#This Row],[DUT Adj Read]]="N/A",Table1[[#This Row],[Std Adj Read]]="N/A"),"N/A",IF(Table1[[#This Row],[DUT Adj Read]]="N/A",IF(Table1[[#This Row],[Std Adj Read]]&gt;=Table1[[#This Row],[Low Tol]],"Pass","Fail"),IF(Table1[[#This Row],[DUT Adj Read]]&gt;=Table1[[#This Row],[Low Tol]],"Pass","Fail")))</f>
        <v>Pass</v>
      </c>
      <c r="AG2363" s="1" t="str">
        <f>IF(AND(Table1[[#This Row],[Spec Type2]]="N/A",Table1[[#This Row],[DUT Adj Read]]="N/A",Table1[[#This Row],[Std Adj Read]]="N/A"),"N/A",IF(Table1[[#This Row],[DUT Adj Read]]="N/A",IF(Table1[[#This Row],[Std Adj Read]]&lt;=Table1[[#This Row],[High Tol]],"Pass","Fail"),IF(Table1[[#This Row],[DUT Adj Read]]&lt;=Table1[[#This Row],[High Tol]],"Pass","Fail")))</f>
        <v>Fail</v>
      </c>
      <c r="AH23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3" s="1" t="b">
        <v>0</v>
      </c>
      <c r="AN2363" s="1" t="b">
        <v>0</v>
      </c>
      <c r="AO2363" s="1" t="b">
        <v>0</v>
      </c>
    </row>
    <row r="2364" spans="1:41" x14ac:dyDescent="0.25">
      <c r="A2364" s="10"/>
      <c r="B2364" s="10"/>
      <c r="C2364" s="10"/>
      <c r="D2364" s="10"/>
      <c r="E2364" s="10"/>
      <c r="F2364" s="10"/>
      <c r="G2364" s="10"/>
      <c r="H2364" s="10"/>
      <c r="I2364" s="1" t="str">
        <f t="shared" si="108"/>
        <v/>
      </c>
      <c r="J2364" s="1" t="s">
        <v>35</v>
      </c>
      <c r="K2364" s="1" t="str">
        <f t="shared" si="109"/>
        <v/>
      </c>
      <c r="L2364" s="1" t="str">
        <f t="shared" si="110"/>
        <v/>
      </c>
      <c r="M2364" s="1">
        <f>IF(OR(Table1[[#This Row],[Std Nom]]="",Table1[[#This Row],[Std Read]]=""),0,Table1[[#This Row],[Std Nom]]-Table1[[#This Row],[Std Read]])</f>
        <v>0</v>
      </c>
      <c r="N2364" s="1">
        <f>IF(Calculations!$F$5="ACCREDITED 17025 WITH UNCERTAINTIES",$N$10,0)</f>
        <v>0</v>
      </c>
      <c r="Q2364" s="1">
        <f>Table1[[#This Row],[High Tol]]-Table1[[#This Row],[Low Tol]]</f>
        <v>0</v>
      </c>
      <c r="R2364" s="1">
        <f>2*Table1[[#This Row],[Std Error]]</f>
        <v>0</v>
      </c>
      <c r="S2364" s="1" t="str">
        <f>IF(Table1[[#This Row],[High Tol]]="","N/A",IFERROR(ABS(Table1[[#This Row],[Tol Span]]/Table1[[#This Row],[Error Span]]),"N/A"))</f>
        <v>N/A</v>
      </c>
      <c r="T2364" s="1" t="str">
        <f>IF(OR(Table1[[#This Row],[Low Tol]]="",Table1[[#This Row],[High Tol]]=""),"Needs Analysis",IF(Table1[[#This Row],[Ratio]]&gt;=4,"Not Significant",IF(Table1[[#This Row],[Ratio]]&gt;=2,"Semi-Significant","Significant")))</f>
        <v>Needs Analysis</v>
      </c>
      <c r="W2364" s="1">
        <f>IF(Table1[[#This Row],[Cal Type]]&lt;&gt;"ACCREDITED 17025 WITH UNCERTAINTIES",0,"")</f>
        <v>0</v>
      </c>
      <c r="X2364" s="1" t="str">
        <f>IF(Table1[[#This Row],[DUT Read]]="","N/A",Table1[[#This Row],[Std Error]]+Table1[[#This Row],[DUT Read]]+Table1[[#This Row],[DUT Ucty]])</f>
        <v>N/A</v>
      </c>
      <c r="Y2364" s="1" t="str">
        <f>IF(Table1[[#This Row],[Std Read]]="","N/A",Table1[[#This Row],[Std Read]]+Table1[[#This Row],[Std Ucty]])</f>
        <v>N/A</v>
      </c>
      <c r="Z23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4" s="1" t="str">
        <f>IF(Table1[[#This Row],[Spec Type]]="","N/A",Table1[[#This Row],[Spec Type]])</f>
        <v>±</v>
      </c>
      <c r="AC2364" s="1" t="str">
        <f>IF(Table1[[#This Row],[Spec Type2]]="N/A","N/A",IF(AND(Table1[[#This Row],[DUT Adj Read]]&gt;=Table1[[#This Row],[Low Tol]],Table1[[#This Row],[DUT Adj Read]]&lt;=Table1[[#This Row],[High Tol]]),"Pass","Fail"))</f>
        <v>Fail</v>
      </c>
      <c r="AD2364" s="1" t="str">
        <f>IF(AND(Table1[[#This Row],[Spec Type2]]="N/A",Table1[[#This Row],[DUT Adj Read]]="N/A",Table1[[#This Row],[Std Adj Read]]="N/A"),"N/A",IF(Table1[[#This Row],[DUT Adj Read]]="N/A",IF(Table1[[#This Row],[Std Adj Read]]&gt;Table1[[#This Row],[Low Tol]],"Pass","Fail"),IF(Table1[[#This Row],[DUT Adj Read]]&gt;Table1[[#This Row],[Low Tol]],"Pass","Fail")))</f>
        <v>Pass</v>
      </c>
      <c r="AE2364" s="1" t="str">
        <f>IF(AND(Table1[[#This Row],[Spec Type2]]="N/A",Table1[[#This Row],[DUT Adj Read]]="N/A",Table1[[#This Row],[Std Adj Read]]="N/A"),"N/A",IF(Table1[[#This Row],[DUT Adj Read]]="N/A",IF(Table1[[#This Row],[Std Adj Read]]&lt;Table1[[#This Row],[High Tol]],"Pass","Fail"),IF(Table1[[#This Row],[DUT Adj Read]]&lt;Table1[[#This Row],[High Tol]],"Pass","Fail")))</f>
        <v>Fail</v>
      </c>
      <c r="AF2364" s="1" t="str">
        <f>IF(AND(Table1[[#This Row],[Spec Type2]]="N/A",Table1[[#This Row],[DUT Adj Read]]="N/A",Table1[[#This Row],[Std Adj Read]]="N/A"),"N/A",IF(Table1[[#This Row],[DUT Adj Read]]="N/A",IF(Table1[[#This Row],[Std Adj Read]]&gt;=Table1[[#This Row],[Low Tol]],"Pass","Fail"),IF(Table1[[#This Row],[DUT Adj Read]]&gt;=Table1[[#This Row],[Low Tol]],"Pass","Fail")))</f>
        <v>Pass</v>
      </c>
      <c r="AG2364" s="1" t="str">
        <f>IF(AND(Table1[[#This Row],[Spec Type2]]="N/A",Table1[[#This Row],[DUT Adj Read]]="N/A",Table1[[#This Row],[Std Adj Read]]="N/A"),"N/A",IF(Table1[[#This Row],[DUT Adj Read]]="N/A",IF(Table1[[#This Row],[Std Adj Read]]&lt;=Table1[[#This Row],[High Tol]],"Pass","Fail"),IF(Table1[[#This Row],[DUT Adj Read]]&lt;=Table1[[#This Row],[High Tol]],"Pass","Fail")))</f>
        <v>Fail</v>
      </c>
      <c r="AH23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4" s="1" t="b">
        <v>0</v>
      </c>
      <c r="AN2364" s="1" t="b">
        <v>0</v>
      </c>
      <c r="AO2364" s="1" t="b">
        <v>0</v>
      </c>
    </row>
    <row r="2365" spans="1:41" x14ac:dyDescent="0.25">
      <c r="A2365" s="10"/>
      <c r="B2365" s="10"/>
      <c r="C2365" s="10"/>
      <c r="D2365" s="10"/>
      <c r="E2365" s="10"/>
      <c r="F2365" s="10"/>
      <c r="G2365" s="10"/>
      <c r="H2365" s="10"/>
      <c r="I2365" s="1" t="str">
        <f t="shared" si="108"/>
        <v/>
      </c>
      <c r="J2365" s="1" t="s">
        <v>35</v>
      </c>
      <c r="K2365" s="1" t="str">
        <f t="shared" si="109"/>
        <v/>
      </c>
      <c r="L2365" s="1" t="str">
        <f t="shared" si="110"/>
        <v/>
      </c>
      <c r="M2365" s="1">
        <f>IF(OR(Table1[[#This Row],[Std Nom]]="",Table1[[#This Row],[Std Read]]=""),0,Table1[[#This Row],[Std Nom]]-Table1[[#This Row],[Std Read]])</f>
        <v>0</v>
      </c>
      <c r="N2365" s="1">
        <f>IF(Calculations!$F$5="ACCREDITED 17025 WITH UNCERTAINTIES",$N$10,0)</f>
        <v>0</v>
      </c>
      <c r="Q2365" s="1">
        <f>Table1[[#This Row],[High Tol]]-Table1[[#This Row],[Low Tol]]</f>
        <v>0</v>
      </c>
      <c r="R2365" s="1">
        <f>2*Table1[[#This Row],[Std Error]]</f>
        <v>0</v>
      </c>
      <c r="S2365" s="1" t="str">
        <f>IF(Table1[[#This Row],[High Tol]]="","N/A",IFERROR(ABS(Table1[[#This Row],[Tol Span]]/Table1[[#This Row],[Error Span]]),"N/A"))</f>
        <v>N/A</v>
      </c>
      <c r="T2365" s="1" t="str">
        <f>IF(OR(Table1[[#This Row],[Low Tol]]="",Table1[[#This Row],[High Tol]]=""),"Needs Analysis",IF(Table1[[#This Row],[Ratio]]&gt;=4,"Not Significant",IF(Table1[[#This Row],[Ratio]]&gt;=2,"Semi-Significant","Significant")))</f>
        <v>Needs Analysis</v>
      </c>
      <c r="W2365" s="1">
        <f>IF(Table1[[#This Row],[Cal Type]]&lt;&gt;"ACCREDITED 17025 WITH UNCERTAINTIES",0,"")</f>
        <v>0</v>
      </c>
      <c r="X2365" s="1" t="str">
        <f>IF(Table1[[#This Row],[DUT Read]]="","N/A",Table1[[#This Row],[Std Error]]+Table1[[#This Row],[DUT Read]]+Table1[[#This Row],[DUT Ucty]])</f>
        <v>N/A</v>
      </c>
      <c r="Y2365" s="1" t="str">
        <f>IF(Table1[[#This Row],[Std Read]]="","N/A",Table1[[#This Row],[Std Read]]+Table1[[#This Row],[Std Ucty]])</f>
        <v>N/A</v>
      </c>
      <c r="Z23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5" s="1" t="str">
        <f>IF(Table1[[#This Row],[Spec Type]]="","N/A",Table1[[#This Row],[Spec Type]])</f>
        <v>±</v>
      </c>
      <c r="AC2365" s="1" t="str">
        <f>IF(Table1[[#This Row],[Spec Type2]]="N/A","N/A",IF(AND(Table1[[#This Row],[DUT Adj Read]]&gt;=Table1[[#This Row],[Low Tol]],Table1[[#This Row],[DUT Adj Read]]&lt;=Table1[[#This Row],[High Tol]]),"Pass","Fail"))</f>
        <v>Fail</v>
      </c>
      <c r="AD2365" s="1" t="str">
        <f>IF(AND(Table1[[#This Row],[Spec Type2]]="N/A",Table1[[#This Row],[DUT Adj Read]]="N/A",Table1[[#This Row],[Std Adj Read]]="N/A"),"N/A",IF(Table1[[#This Row],[DUT Adj Read]]="N/A",IF(Table1[[#This Row],[Std Adj Read]]&gt;Table1[[#This Row],[Low Tol]],"Pass","Fail"),IF(Table1[[#This Row],[DUT Adj Read]]&gt;Table1[[#This Row],[Low Tol]],"Pass","Fail")))</f>
        <v>Pass</v>
      </c>
      <c r="AE2365" s="1" t="str">
        <f>IF(AND(Table1[[#This Row],[Spec Type2]]="N/A",Table1[[#This Row],[DUT Adj Read]]="N/A",Table1[[#This Row],[Std Adj Read]]="N/A"),"N/A",IF(Table1[[#This Row],[DUT Adj Read]]="N/A",IF(Table1[[#This Row],[Std Adj Read]]&lt;Table1[[#This Row],[High Tol]],"Pass","Fail"),IF(Table1[[#This Row],[DUT Adj Read]]&lt;Table1[[#This Row],[High Tol]],"Pass","Fail")))</f>
        <v>Fail</v>
      </c>
      <c r="AF2365" s="1" t="str">
        <f>IF(AND(Table1[[#This Row],[Spec Type2]]="N/A",Table1[[#This Row],[DUT Adj Read]]="N/A",Table1[[#This Row],[Std Adj Read]]="N/A"),"N/A",IF(Table1[[#This Row],[DUT Adj Read]]="N/A",IF(Table1[[#This Row],[Std Adj Read]]&gt;=Table1[[#This Row],[Low Tol]],"Pass","Fail"),IF(Table1[[#This Row],[DUT Adj Read]]&gt;=Table1[[#This Row],[Low Tol]],"Pass","Fail")))</f>
        <v>Pass</v>
      </c>
      <c r="AG2365" s="1" t="str">
        <f>IF(AND(Table1[[#This Row],[Spec Type2]]="N/A",Table1[[#This Row],[DUT Adj Read]]="N/A",Table1[[#This Row],[Std Adj Read]]="N/A"),"N/A",IF(Table1[[#This Row],[DUT Adj Read]]="N/A",IF(Table1[[#This Row],[Std Adj Read]]&lt;=Table1[[#This Row],[High Tol]],"Pass","Fail"),IF(Table1[[#This Row],[DUT Adj Read]]&lt;=Table1[[#This Row],[High Tol]],"Pass","Fail")))</f>
        <v>Fail</v>
      </c>
      <c r="AH23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5" s="1" t="b">
        <v>0</v>
      </c>
      <c r="AN2365" s="1" t="b">
        <v>0</v>
      </c>
      <c r="AO2365" s="1" t="b">
        <v>0</v>
      </c>
    </row>
    <row r="2366" spans="1:41" x14ac:dyDescent="0.25">
      <c r="A2366" s="10"/>
      <c r="B2366" s="10"/>
      <c r="C2366" s="10"/>
      <c r="D2366" s="10"/>
      <c r="E2366" s="10"/>
      <c r="F2366" s="10"/>
      <c r="G2366" s="10"/>
      <c r="H2366" s="10"/>
      <c r="I2366" s="1" t="str">
        <f t="shared" si="108"/>
        <v/>
      </c>
      <c r="J2366" s="1" t="s">
        <v>35</v>
      </c>
      <c r="K2366" s="1" t="str">
        <f t="shared" si="109"/>
        <v/>
      </c>
      <c r="L2366" s="1" t="str">
        <f t="shared" si="110"/>
        <v/>
      </c>
      <c r="M2366" s="1">
        <f>IF(OR(Table1[[#This Row],[Std Nom]]="",Table1[[#This Row],[Std Read]]=""),0,Table1[[#This Row],[Std Nom]]-Table1[[#This Row],[Std Read]])</f>
        <v>0</v>
      </c>
      <c r="N2366" s="1">
        <f>IF(Calculations!$F$5="ACCREDITED 17025 WITH UNCERTAINTIES",$N$10,0)</f>
        <v>0</v>
      </c>
      <c r="Q2366" s="1">
        <f>Table1[[#This Row],[High Tol]]-Table1[[#This Row],[Low Tol]]</f>
        <v>0</v>
      </c>
      <c r="R2366" s="1">
        <f>2*Table1[[#This Row],[Std Error]]</f>
        <v>0</v>
      </c>
      <c r="S2366" s="1" t="str">
        <f>IF(Table1[[#This Row],[High Tol]]="","N/A",IFERROR(ABS(Table1[[#This Row],[Tol Span]]/Table1[[#This Row],[Error Span]]),"N/A"))</f>
        <v>N/A</v>
      </c>
      <c r="T2366" s="1" t="str">
        <f>IF(OR(Table1[[#This Row],[Low Tol]]="",Table1[[#This Row],[High Tol]]=""),"Needs Analysis",IF(Table1[[#This Row],[Ratio]]&gt;=4,"Not Significant",IF(Table1[[#This Row],[Ratio]]&gt;=2,"Semi-Significant","Significant")))</f>
        <v>Needs Analysis</v>
      </c>
      <c r="W2366" s="1">
        <f>IF(Table1[[#This Row],[Cal Type]]&lt;&gt;"ACCREDITED 17025 WITH UNCERTAINTIES",0,"")</f>
        <v>0</v>
      </c>
      <c r="X2366" s="1" t="str">
        <f>IF(Table1[[#This Row],[DUT Read]]="","N/A",Table1[[#This Row],[Std Error]]+Table1[[#This Row],[DUT Read]]+Table1[[#This Row],[DUT Ucty]])</f>
        <v>N/A</v>
      </c>
      <c r="Y2366" s="1" t="str">
        <f>IF(Table1[[#This Row],[Std Read]]="","N/A",Table1[[#This Row],[Std Read]]+Table1[[#This Row],[Std Ucty]])</f>
        <v>N/A</v>
      </c>
      <c r="Z23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6" s="1" t="str">
        <f>IF(Table1[[#This Row],[Spec Type]]="","N/A",Table1[[#This Row],[Spec Type]])</f>
        <v>±</v>
      </c>
      <c r="AC2366" s="1" t="str">
        <f>IF(Table1[[#This Row],[Spec Type2]]="N/A","N/A",IF(AND(Table1[[#This Row],[DUT Adj Read]]&gt;=Table1[[#This Row],[Low Tol]],Table1[[#This Row],[DUT Adj Read]]&lt;=Table1[[#This Row],[High Tol]]),"Pass","Fail"))</f>
        <v>Fail</v>
      </c>
      <c r="AD2366" s="1" t="str">
        <f>IF(AND(Table1[[#This Row],[Spec Type2]]="N/A",Table1[[#This Row],[DUT Adj Read]]="N/A",Table1[[#This Row],[Std Adj Read]]="N/A"),"N/A",IF(Table1[[#This Row],[DUT Adj Read]]="N/A",IF(Table1[[#This Row],[Std Adj Read]]&gt;Table1[[#This Row],[Low Tol]],"Pass","Fail"),IF(Table1[[#This Row],[DUT Adj Read]]&gt;Table1[[#This Row],[Low Tol]],"Pass","Fail")))</f>
        <v>Pass</v>
      </c>
      <c r="AE2366" s="1" t="str">
        <f>IF(AND(Table1[[#This Row],[Spec Type2]]="N/A",Table1[[#This Row],[DUT Adj Read]]="N/A",Table1[[#This Row],[Std Adj Read]]="N/A"),"N/A",IF(Table1[[#This Row],[DUT Adj Read]]="N/A",IF(Table1[[#This Row],[Std Adj Read]]&lt;Table1[[#This Row],[High Tol]],"Pass","Fail"),IF(Table1[[#This Row],[DUT Adj Read]]&lt;Table1[[#This Row],[High Tol]],"Pass","Fail")))</f>
        <v>Fail</v>
      </c>
      <c r="AF2366" s="1" t="str">
        <f>IF(AND(Table1[[#This Row],[Spec Type2]]="N/A",Table1[[#This Row],[DUT Adj Read]]="N/A",Table1[[#This Row],[Std Adj Read]]="N/A"),"N/A",IF(Table1[[#This Row],[DUT Adj Read]]="N/A",IF(Table1[[#This Row],[Std Adj Read]]&gt;=Table1[[#This Row],[Low Tol]],"Pass","Fail"),IF(Table1[[#This Row],[DUT Adj Read]]&gt;=Table1[[#This Row],[Low Tol]],"Pass","Fail")))</f>
        <v>Pass</v>
      </c>
      <c r="AG2366" s="1" t="str">
        <f>IF(AND(Table1[[#This Row],[Spec Type2]]="N/A",Table1[[#This Row],[DUT Adj Read]]="N/A",Table1[[#This Row],[Std Adj Read]]="N/A"),"N/A",IF(Table1[[#This Row],[DUT Adj Read]]="N/A",IF(Table1[[#This Row],[Std Adj Read]]&lt;=Table1[[#This Row],[High Tol]],"Pass","Fail"),IF(Table1[[#This Row],[DUT Adj Read]]&lt;=Table1[[#This Row],[High Tol]],"Pass","Fail")))</f>
        <v>Fail</v>
      </c>
      <c r="AH23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6" s="1" t="b">
        <v>0</v>
      </c>
      <c r="AN2366" s="1" t="b">
        <v>0</v>
      </c>
      <c r="AO2366" s="1" t="b">
        <v>0</v>
      </c>
    </row>
    <row r="2367" spans="1:41" x14ac:dyDescent="0.25">
      <c r="A2367" s="10"/>
      <c r="B2367" s="10"/>
      <c r="C2367" s="10"/>
      <c r="D2367" s="10"/>
      <c r="E2367" s="10"/>
      <c r="F2367" s="10"/>
      <c r="G2367" s="10"/>
      <c r="H2367" s="10"/>
      <c r="I2367" s="1" t="str">
        <f t="shared" si="108"/>
        <v/>
      </c>
      <c r="J2367" s="1" t="s">
        <v>35</v>
      </c>
      <c r="K2367" s="1" t="str">
        <f t="shared" si="109"/>
        <v/>
      </c>
      <c r="L2367" s="1" t="str">
        <f t="shared" si="110"/>
        <v/>
      </c>
      <c r="M2367" s="1">
        <f>IF(OR(Table1[[#This Row],[Std Nom]]="",Table1[[#This Row],[Std Read]]=""),0,Table1[[#This Row],[Std Nom]]-Table1[[#This Row],[Std Read]])</f>
        <v>0</v>
      </c>
      <c r="N2367" s="1">
        <f>IF(Calculations!$F$5="ACCREDITED 17025 WITH UNCERTAINTIES",$N$10,0)</f>
        <v>0</v>
      </c>
      <c r="Q2367" s="1">
        <f>Table1[[#This Row],[High Tol]]-Table1[[#This Row],[Low Tol]]</f>
        <v>0</v>
      </c>
      <c r="R2367" s="1">
        <f>2*Table1[[#This Row],[Std Error]]</f>
        <v>0</v>
      </c>
      <c r="S2367" s="1" t="str">
        <f>IF(Table1[[#This Row],[High Tol]]="","N/A",IFERROR(ABS(Table1[[#This Row],[Tol Span]]/Table1[[#This Row],[Error Span]]),"N/A"))</f>
        <v>N/A</v>
      </c>
      <c r="T2367" s="1" t="str">
        <f>IF(OR(Table1[[#This Row],[Low Tol]]="",Table1[[#This Row],[High Tol]]=""),"Needs Analysis",IF(Table1[[#This Row],[Ratio]]&gt;=4,"Not Significant",IF(Table1[[#This Row],[Ratio]]&gt;=2,"Semi-Significant","Significant")))</f>
        <v>Needs Analysis</v>
      </c>
      <c r="W2367" s="1">
        <f>IF(Table1[[#This Row],[Cal Type]]&lt;&gt;"ACCREDITED 17025 WITH UNCERTAINTIES",0,"")</f>
        <v>0</v>
      </c>
      <c r="X2367" s="1" t="str">
        <f>IF(Table1[[#This Row],[DUT Read]]="","N/A",Table1[[#This Row],[Std Error]]+Table1[[#This Row],[DUT Read]]+Table1[[#This Row],[DUT Ucty]])</f>
        <v>N/A</v>
      </c>
      <c r="Y2367" s="1" t="str">
        <f>IF(Table1[[#This Row],[Std Read]]="","N/A",Table1[[#This Row],[Std Read]]+Table1[[#This Row],[Std Ucty]])</f>
        <v>N/A</v>
      </c>
      <c r="Z23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7" s="1" t="str">
        <f>IF(Table1[[#This Row],[Spec Type]]="","N/A",Table1[[#This Row],[Spec Type]])</f>
        <v>±</v>
      </c>
      <c r="AC2367" s="1" t="str">
        <f>IF(Table1[[#This Row],[Spec Type2]]="N/A","N/A",IF(AND(Table1[[#This Row],[DUT Adj Read]]&gt;=Table1[[#This Row],[Low Tol]],Table1[[#This Row],[DUT Adj Read]]&lt;=Table1[[#This Row],[High Tol]]),"Pass","Fail"))</f>
        <v>Fail</v>
      </c>
      <c r="AD2367" s="1" t="str">
        <f>IF(AND(Table1[[#This Row],[Spec Type2]]="N/A",Table1[[#This Row],[DUT Adj Read]]="N/A",Table1[[#This Row],[Std Adj Read]]="N/A"),"N/A",IF(Table1[[#This Row],[DUT Adj Read]]="N/A",IF(Table1[[#This Row],[Std Adj Read]]&gt;Table1[[#This Row],[Low Tol]],"Pass","Fail"),IF(Table1[[#This Row],[DUT Adj Read]]&gt;Table1[[#This Row],[Low Tol]],"Pass","Fail")))</f>
        <v>Pass</v>
      </c>
      <c r="AE2367" s="1" t="str">
        <f>IF(AND(Table1[[#This Row],[Spec Type2]]="N/A",Table1[[#This Row],[DUT Adj Read]]="N/A",Table1[[#This Row],[Std Adj Read]]="N/A"),"N/A",IF(Table1[[#This Row],[DUT Adj Read]]="N/A",IF(Table1[[#This Row],[Std Adj Read]]&lt;Table1[[#This Row],[High Tol]],"Pass","Fail"),IF(Table1[[#This Row],[DUT Adj Read]]&lt;Table1[[#This Row],[High Tol]],"Pass","Fail")))</f>
        <v>Fail</v>
      </c>
      <c r="AF2367" s="1" t="str">
        <f>IF(AND(Table1[[#This Row],[Spec Type2]]="N/A",Table1[[#This Row],[DUT Adj Read]]="N/A",Table1[[#This Row],[Std Adj Read]]="N/A"),"N/A",IF(Table1[[#This Row],[DUT Adj Read]]="N/A",IF(Table1[[#This Row],[Std Adj Read]]&gt;=Table1[[#This Row],[Low Tol]],"Pass","Fail"),IF(Table1[[#This Row],[DUT Adj Read]]&gt;=Table1[[#This Row],[Low Tol]],"Pass","Fail")))</f>
        <v>Pass</v>
      </c>
      <c r="AG2367" s="1" t="str">
        <f>IF(AND(Table1[[#This Row],[Spec Type2]]="N/A",Table1[[#This Row],[DUT Adj Read]]="N/A",Table1[[#This Row],[Std Adj Read]]="N/A"),"N/A",IF(Table1[[#This Row],[DUT Adj Read]]="N/A",IF(Table1[[#This Row],[Std Adj Read]]&lt;=Table1[[#This Row],[High Tol]],"Pass","Fail"),IF(Table1[[#This Row],[DUT Adj Read]]&lt;=Table1[[#This Row],[High Tol]],"Pass","Fail")))</f>
        <v>Fail</v>
      </c>
      <c r="AH23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7" s="1" t="b">
        <v>0</v>
      </c>
      <c r="AN2367" s="1" t="b">
        <v>0</v>
      </c>
      <c r="AO2367" s="1" t="b">
        <v>0</v>
      </c>
    </row>
    <row r="2368" spans="1:41" x14ac:dyDescent="0.25">
      <c r="A2368" s="10"/>
      <c r="B2368" s="10"/>
      <c r="C2368" s="10"/>
      <c r="D2368" s="10"/>
      <c r="E2368" s="10"/>
      <c r="F2368" s="10"/>
      <c r="G2368" s="10"/>
      <c r="H2368" s="10"/>
      <c r="I2368" s="1" t="str">
        <f t="shared" si="108"/>
        <v/>
      </c>
      <c r="J2368" s="1" t="s">
        <v>35</v>
      </c>
      <c r="K2368" s="1" t="str">
        <f t="shared" si="109"/>
        <v/>
      </c>
      <c r="L2368" s="1" t="str">
        <f t="shared" si="110"/>
        <v/>
      </c>
      <c r="M2368" s="1">
        <f>IF(OR(Table1[[#This Row],[Std Nom]]="",Table1[[#This Row],[Std Read]]=""),0,Table1[[#This Row],[Std Nom]]-Table1[[#This Row],[Std Read]])</f>
        <v>0</v>
      </c>
      <c r="N2368" s="1">
        <f>IF(Calculations!$F$5="ACCREDITED 17025 WITH UNCERTAINTIES",$N$10,0)</f>
        <v>0</v>
      </c>
      <c r="Q2368" s="1">
        <f>Table1[[#This Row],[High Tol]]-Table1[[#This Row],[Low Tol]]</f>
        <v>0</v>
      </c>
      <c r="R2368" s="1">
        <f>2*Table1[[#This Row],[Std Error]]</f>
        <v>0</v>
      </c>
      <c r="S2368" s="1" t="str">
        <f>IF(Table1[[#This Row],[High Tol]]="","N/A",IFERROR(ABS(Table1[[#This Row],[Tol Span]]/Table1[[#This Row],[Error Span]]),"N/A"))</f>
        <v>N/A</v>
      </c>
      <c r="T2368" s="1" t="str">
        <f>IF(OR(Table1[[#This Row],[Low Tol]]="",Table1[[#This Row],[High Tol]]=""),"Needs Analysis",IF(Table1[[#This Row],[Ratio]]&gt;=4,"Not Significant",IF(Table1[[#This Row],[Ratio]]&gt;=2,"Semi-Significant","Significant")))</f>
        <v>Needs Analysis</v>
      </c>
      <c r="W2368" s="1">
        <f>IF(Table1[[#This Row],[Cal Type]]&lt;&gt;"ACCREDITED 17025 WITH UNCERTAINTIES",0,"")</f>
        <v>0</v>
      </c>
      <c r="X2368" s="1" t="str">
        <f>IF(Table1[[#This Row],[DUT Read]]="","N/A",Table1[[#This Row],[Std Error]]+Table1[[#This Row],[DUT Read]]+Table1[[#This Row],[DUT Ucty]])</f>
        <v>N/A</v>
      </c>
      <c r="Y2368" s="1" t="str">
        <f>IF(Table1[[#This Row],[Std Read]]="","N/A",Table1[[#This Row],[Std Read]]+Table1[[#This Row],[Std Ucty]])</f>
        <v>N/A</v>
      </c>
      <c r="Z23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8" s="1" t="str">
        <f>IF(Table1[[#This Row],[Spec Type]]="","N/A",Table1[[#This Row],[Spec Type]])</f>
        <v>±</v>
      </c>
      <c r="AC2368" s="1" t="str">
        <f>IF(Table1[[#This Row],[Spec Type2]]="N/A","N/A",IF(AND(Table1[[#This Row],[DUT Adj Read]]&gt;=Table1[[#This Row],[Low Tol]],Table1[[#This Row],[DUT Adj Read]]&lt;=Table1[[#This Row],[High Tol]]),"Pass","Fail"))</f>
        <v>Fail</v>
      </c>
      <c r="AD2368" s="1" t="str">
        <f>IF(AND(Table1[[#This Row],[Spec Type2]]="N/A",Table1[[#This Row],[DUT Adj Read]]="N/A",Table1[[#This Row],[Std Adj Read]]="N/A"),"N/A",IF(Table1[[#This Row],[DUT Adj Read]]="N/A",IF(Table1[[#This Row],[Std Adj Read]]&gt;Table1[[#This Row],[Low Tol]],"Pass","Fail"),IF(Table1[[#This Row],[DUT Adj Read]]&gt;Table1[[#This Row],[Low Tol]],"Pass","Fail")))</f>
        <v>Pass</v>
      </c>
      <c r="AE2368" s="1" t="str">
        <f>IF(AND(Table1[[#This Row],[Spec Type2]]="N/A",Table1[[#This Row],[DUT Adj Read]]="N/A",Table1[[#This Row],[Std Adj Read]]="N/A"),"N/A",IF(Table1[[#This Row],[DUT Adj Read]]="N/A",IF(Table1[[#This Row],[Std Adj Read]]&lt;Table1[[#This Row],[High Tol]],"Pass","Fail"),IF(Table1[[#This Row],[DUT Adj Read]]&lt;Table1[[#This Row],[High Tol]],"Pass","Fail")))</f>
        <v>Fail</v>
      </c>
      <c r="AF2368" s="1" t="str">
        <f>IF(AND(Table1[[#This Row],[Spec Type2]]="N/A",Table1[[#This Row],[DUT Adj Read]]="N/A",Table1[[#This Row],[Std Adj Read]]="N/A"),"N/A",IF(Table1[[#This Row],[DUT Adj Read]]="N/A",IF(Table1[[#This Row],[Std Adj Read]]&gt;=Table1[[#This Row],[Low Tol]],"Pass","Fail"),IF(Table1[[#This Row],[DUT Adj Read]]&gt;=Table1[[#This Row],[Low Tol]],"Pass","Fail")))</f>
        <v>Pass</v>
      </c>
      <c r="AG2368" s="1" t="str">
        <f>IF(AND(Table1[[#This Row],[Spec Type2]]="N/A",Table1[[#This Row],[DUT Adj Read]]="N/A",Table1[[#This Row],[Std Adj Read]]="N/A"),"N/A",IF(Table1[[#This Row],[DUT Adj Read]]="N/A",IF(Table1[[#This Row],[Std Adj Read]]&lt;=Table1[[#This Row],[High Tol]],"Pass","Fail"),IF(Table1[[#This Row],[DUT Adj Read]]&lt;=Table1[[#This Row],[High Tol]],"Pass","Fail")))</f>
        <v>Fail</v>
      </c>
      <c r="AH23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8" s="1" t="b">
        <v>0</v>
      </c>
      <c r="AN2368" s="1" t="b">
        <v>0</v>
      </c>
      <c r="AO2368" s="1" t="b">
        <v>0</v>
      </c>
    </row>
    <row r="2369" spans="1:41" x14ac:dyDescent="0.25">
      <c r="A2369" s="10"/>
      <c r="B2369" s="10"/>
      <c r="C2369" s="10"/>
      <c r="D2369" s="10"/>
      <c r="E2369" s="10"/>
      <c r="F2369" s="10"/>
      <c r="G2369" s="10"/>
      <c r="H2369" s="10"/>
      <c r="I2369" s="1" t="str">
        <f t="shared" si="108"/>
        <v/>
      </c>
      <c r="J2369" s="1" t="s">
        <v>35</v>
      </c>
      <c r="K2369" s="1" t="str">
        <f t="shared" si="109"/>
        <v/>
      </c>
      <c r="L2369" s="1" t="str">
        <f t="shared" si="110"/>
        <v/>
      </c>
      <c r="M2369" s="1">
        <f>IF(OR(Table1[[#This Row],[Std Nom]]="",Table1[[#This Row],[Std Read]]=""),0,Table1[[#This Row],[Std Nom]]-Table1[[#This Row],[Std Read]])</f>
        <v>0</v>
      </c>
      <c r="N2369" s="1">
        <f>IF(Calculations!$F$5="ACCREDITED 17025 WITH UNCERTAINTIES",$N$10,0)</f>
        <v>0</v>
      </c>
      <c r="Q2369" s="1">
        <f>Table1[[#This Row],[High Tol]]-Table1[[#This Row],[Low Tol]]</f>
        <v>0</v>
      </c>
      <c r="R2369" s="1">
        <f>2*Table1[[#This Row],[Std Error]]</f>
        <v>0</v>
      </c>
      <c r="S2369" s="1" t="str">
        <f>IF(Table1[[#This Row],[High Tol]]="","N/A",IFERROR(ABS(Table1[[#This Row],[Tol Span]]/Table1[[#This Row],[Error Span]]),"N/A"))</f>
        <v>N/A</v>
      </c>
      <c r="T2369" s="1" t="str">
        <f>IF(OR(Table1[[#This Row],[Low Tol]]="",Table1[[#This Row],[High Tol]]=""),"Needs Analysis",IF(Table1[[#This Row],[Ratio]]&gt;=4,"Not Significant",IF(Table1[[#This Row],[Ratio]]&gt;=2,"Semi-Significant","Significant")))</f>
        <v>Needs Analysis</v>
      </c>
      <c r="W2369" s="1">
        <f>IF(Table1[[#This Row],[Cal Type]]&lt;&gt;"ACCREDITED 17025 WITH UNCERTAINTIES",0,"")</f>
        <v>0</v>
      </c>
      <c r="X2369" s="1" t="str">
        <f>IF(Table1[[#This Row],[DUT Read]]="","N/A",Table1[[#This Row],[Std Error]]+Table1[[#This Row],[DUT Read]]+Table1[[#This Row],[DUT Ucty]])</f>
        <v>N/A</v>
      </c>
      <c r="Y2369" s="1" t="str">
        <f>IF(Table1[[#This Row],[Std Read]]="","N/A",Table1[[#This Row],[Std Read]]+Table1[[#This Row],[Std Ucty]])</f>
        <v>N/A</v>
      </c>
      <c r="Z23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69" s="1" t="str">
        <f>IF(Table1[[#This Row],[Spec Type]]="","N/A",Table1[[#This Row],[Spec Type]])</f>
        <v>±</v>
      </c>
      <c r="AC2369" s="1" t="str">
        <f>IF(Table1[[#This Row],[Spec Type2]]="N/A","N/A",IF(AND(Table1[[#This Row],[DUT Adj Read]]&gt;=Table1[[#This Row],[Low Tol]],Table1[[#This Row],[DUT Adj Read]]&lt;=Table1[[#This Row],[High Tol]]),"Pass","Fail"))</f>
        <v>Fail</v>
      </c>
      <c r="AD2369" s="1" t="str">
        <f>IF(AND(Table1[[#This Row],[Spec Type2]]="N/A",Table1[[#This Row],[DUT Adj Read]]="N/A",Table1[[#This Row],[Std Adj Read]]="N/A"),"N/A",IF(Table1[[#This Row],[DUT Adj Read]]="N/A",IF(Table1[[#This Row],[Std Adj Read]]&gt;Table1[[#This Row],[Low Tol]],"Pass","Fail"),IF(Table1[[#This Row],[DUT Adj Read]]&gt;Table1[[#This Row],[Low Tol]],"Pass","Fail")))</f>
        <v>Pass</v>
      </c>
      <c r="AE2369" s="1" t="str">
        <f>IF(AND(Table1[[#This Row],[Spec Type2]]="N/A",Table1[[#This Row],[DUT Adj Read]]="N/A",Table1[[#This Row],[Std Adj Read]]="N/A"),"N/A",IF(Table1[[#This Row],[DUT Adj Read]]="N/A",IF(Table1[[#This Row],[Std Adj Read]]&lt;Table1[[#This Row],[High Tol]],"Pass","Fail"),IF(Table1[[#This Row],[DUT Adj Read]]&lt;Table1[[#This Row],[High Tol]],"Pass","Fail")))</f>
        <v>Fail</v>
      </c>
      <c r="AF2369" s="1" t="str">
        <f>IF(AND(Table1[[#This Row],[Spec Type2]]="N/A",Table1[[#This Row],[DUT Adj Read]]="N/A",Table1[[#This Row],[Std Adj Read]]="N/A"),"N/A",IF(Table1[[#This Row],[DUT Adj Read]]="N/A",IF(Table1[[#This Row],[Std Adj Read]]&gt;=Table1[[#This Row],[Low Tol]],"Pass","Fail"),IF(Table1[[#This Row],[DUT Adj Read]]&gt;=Table1[[#This Row],[Low Tol]],"Pass","Fail")))</f>
        <v>Pass</v>
      </c>
      <c r="AG2369" s="1" t="str">
        <f>IF(AND(Table1[[#This Row],[Spec Type2]]="N/A",Table1[[#This Row],[DUT Adj Read]]="N/A",Table1[[#This Row],[Std Adj Read]]="N/A"),"N/A",IF(Table1[[#This Row],[DUT Adj Read]]="N/A",IF(Table1[[#This Row],[Std Adj Read]]&lt;=Table1[[#This Row],[High Tol]],"Pass","Fail"),IF(Table1[[#This Row],[DUT Adj Read]]&lt;=Table1[[#This Row],[High Tol]],"Pass","Fail")))</f>
        <v>Fail</v>
      </c>
      <c r="AH23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69" s="1" t="b">
        <v>0</v>
      </c>
      <c r="AN2369" s="1" t="b">
        <v>0</v>
      </c>
      <c r="AO2369" s="1" t="b">
        <v>0</v>
      </c>
    </row>
    <row r="2370" spans="1:41" x14ac:dyDescent="0.25">
      <c r="A2370" s="10"/>
      <c r="B2370" s="10"/>
      <c r="C2370" s="10"/>
      <c r="D2370" s="10"/>
      <c r="E2370" s="10"/>
      <c r="F2370" s="10"/>
      <c r="G2370" s="10"/>
      <c r="H2370" s="10"/>
      <c r="I2370" s="1" t="str">
        <f t="shared" si="108"/>
        <v/>
      </c>
      <c r="J2370" s="1" t="s">
        <v>35</v>
      </c>
      <c r="K2370" s="1" t="str">
        <f t="shared" si="109"/>
        <v/>
      </c>
      <c r="L2370" s="1" t="str">
        <f t="shared" si="110"/>
        <v/>
      </c>
      <c r="M2370" s="1">
        <f>IF(OR(Table1[[#This Row],[Std Nom]]="",Table1[[#This Row],[Std Read]]=""),0,Table1[[#This Row],[Std Nom]]-Table1[[#This Row],[Std Read]])</f>
        <v>0</v>
      </c>
      <c r="N2370" s="1">
        <f>IF(Calculations!$F$5="ACCREDITED 17025 WITH UNCERTAINTIES",$N$10,0)</f>
        <v>0</v>
      </c>
      <c r="Q2370" s="1">
        <f>Table1[[#This Row],[High Tol]]-Table1[[#This Row],[Low Tol]]</f>
        <v>0</v>
      </c>
      <c r="R2370" s="1">
        <f>2*Table1[[#This Row],[Std Error]]</f>
        <v>0</v>
      </c>
      <c r="S2370" s="1" t="str">
        <f>IF(Table1[[#This Row],[High Tol]]="","N/A",IFERROR(ABS(Table1[[#This Row],[Tol Span]]/Table1[[#This Row],[Error Span]]),"N/A"))</f>
        <v>N/A</v>
      </c>
      <c r="T2370" s="1" t="str">
        <f>IF(OR(Table1[[#This Row],[Low Tol]]="",Table1[[#This Row],[High Tol]]=""),"Needs Analysis",IF(Table1[[#This Row],[Ratio]]&gt;=4,"Not Significant",IF(Table1[[#This Row],[Ratio]]&gt;=2,"Semi-Significant","Significant")))</f>
        <v>Needs Analysis</v>
      </c>
      <c r="W2370" s="1">
        <f>IF(Table1[[#This Row],[Cal Type]]&lt;&gt;"ACCREDITED 17025 WITH UNCERTAINTIES",0,"")</f>
        <v>0</v>
      </c>
      <c r="X2370" s="1" t="str">
        <f>IF(Table1[[#This Row],[DUT Read]]="","N/A",Table1[[#This Row],[Std Error]]+Table1[[#This Row],[DUT Read]]+Table1[[#This Row],[DUT Ucty]])</f>
        <v>N/A</v>
      </c>
      <c r="Y2370" s="1" t="str">
        <f>IF(Table1[[#This Row],[Std Read]]="","N/A",Table1[[#This Row],[Std Read]]+Table1[[#This Row],[Std Ucty]])</f>
        <v>N/A</v>
      </c>
      <c r="Z23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0" s="1" t="str">
        <f>IF(Table1[[#This Row],[Spec Type]]="","N/A",Table1[[#This Row],[Spec Type]])</f>
        <v>±</v>
      </c>
      <c r="AC2370" s="1" t="str">
        <f>IF(Table1[[#This Row],[Spec Type2]]="N/A","N/A",IF(AND(Table1[[#This Row],[DUT Adj Read]]&gt;=Table1[[#This Row],[Low Tol]],Table1[[#This Row],[DUT Adj Read]]&lt;=Table1[[#This Row],[High Tol]]),"Pass","Fail"))</f>
        <v>Fail</v>
      </c>
      <c r="AD2370" s="1" t="str">
        <f>IF(AND(Table1[[#This Row],[Spec Type2]]="N/A",Table1[[#This Row],[DUT Adj Read]]="N/A",Table1[[#This Row],[Std Adj Read]]="N/A"),"N/A",IF(Table1[[#This Row],[DUT Adj Read]]="N/A",IF(Table1[[#This Row],[Std Adj Read]]&gt;Table1[[#This Row],[Low Tol]],"Pass","Fail"),IF(Table1[[#This Row],[DUT Adj Read]]&gt;Table1[[#This Row],[Low Tol]],"Pass","Fail")))</f>
        <v>Pass</v>
      </c>
      <c r="AE2370" s="1" t="str">
        <f>IF(AND(Table1[[#This Row],[Spec Type2]]="N/A",Table1[[#This Row],[DUT Adj Read]]="N/A",Table1[[#This Row],[Std Adj Read]]="N/A"),"N/A",IF(Table1[[#This Row],[DUT Adj Read]]="N/A",IF(Table1[[#This Row],[Std Adj Read]]&lt;Table1[[#This Row],[High Tol]],"Pass","Fail"),IF(Table1[[#This Row],[DUT Adj Read]]&lt;Table1[[#This Row],[High Tol]],"Pass","Fail")))</f>
        <v>Fail</v>
      </c>
      <c r="AF2370" s="1" t="str">
        <f>IF(AND(Table1[[#This Row],[Spec Type2]]="N/A",Table1[[#This Row],[DUT Adj Read]]="N/A",Table1[[#This Row],[Std Adj Read]]="N/A"),"N/A",IF(Table1[[#This Row],[DUT Adj Read]]="N/A",IF(Table1[[#This Row],[Std Adj Read]]&gt;=Table1[[#This Row],[Low Tol]],"Pass","Fail"),IF(Table1[[#This Row],[DUT Adj Read]]&gt;=Table1[[#This Row],[Low Tol]],"Pass","Fail")))</f>
        <v>Pass</v>
      </c>
      <c r="AG2370" s="1" t="str">
        <f>IF(AND(Table1[[#This Row],[Spec Type2]]="N/A",Table1[[#This Row],[DUT Adj Read]]="N/A",Table1[[#This Row],[Std Adj Read]]="N/A"),"N/A",IF(Table1[[#This Row],[DUT Adj Read]]="N/A",IF(Table1[[#This Row],[Std Adj Read]]&lt;=Table1[[#This Row],[High Tol]],"Pass","Fail"),IF(Table1[[#This Row],[DUT Adj Read]]&lt;=Table1[[#This Row],[High Tol]],"Pass","Fail")))</f>
        <v>Fail</v>
      </c>
      <c r="AH23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0" s="1" t="b">
        <v>0</v>
      </c>
      <c r="AN2370" s="1" t="b">
        <v>0</v>
      </c>
      <c r="AO2370" s="1" t="b">
        <v>0</v>
      </c>
    </row>
    <row r="2371" spans="1:41" x14ac:dyDescent="0.25">
      <c r="A2371" s="10"/>
      <c r="B2371" s="10"/>
      <c r="C2371" s="10"/>
      <c r="D2371" s="10"/>
      <c r="E2371" s="10"/>
      <c r="F2371" s="10"/>
      <c r="G2371" s="10"/>
      <c r="H2371" s="10"/>
      <c r="I2371" s="1" t="str">
        <f t="shared" si="108"/>
        <v/>
      </c>
      <c r="J2371" s="1" t="s">
        <v>35</v>
      </c>
      <c r="K2371" s="1" t="str">
        <f t="shared" si="109"/>
        <v/>
      </c>
      <c r="L2371" s="1" t="str">
        <f t="shared" si="110"/>
        <v/>
      </c>
      <c r="M2371" s="1">
        <f>IF(OR(Table1[[#This Row],[Std Nom]]="",Table1[[#This Row],[Std Read]]=""),0,Table1[[#This Row],[Std Nom]]-Table1[[#This Row],[Std Read]])</f>
        <v>0</v>
      </c>
      <c r="N2371" s="1">
        <f>IF(Calculations!$F$5="ACCREDITED 17025 WITH UNCERTAINTIES",$N$10,0)</f>
        <v>0</v>
      </c>
      <c r="Q2371" s="1">
        <f>Table1[[#This Row],[High Tol]]-Table1[[#This Row],[Low Tol]]</f>
        <v>0</v>
      </c>
      <c r="R2371" s="1">
        <f>2*Table1[[#This Row],[Std Error]]</f>
        <v>0</v>
      </c>
      <c r="S2371" s="1" t="str">
        <f>IF(Table1[[#This Row],[High Tol]]="","N/A",IFERROR(ABS(Table1[[#This Row],[Tol Span]]/Table1[[#This Row],[Error Span]]),"N/A"))</f>
        <v>N/A</v>
      </c>
      <c r="T2371" s="1" t="str">
        <f>IF(OR(Table1[[#This Row],[Low Tol]]="",Table1[[#This Row],[High Tol]]=""),"Needs Analysis",IF(Table1[[#This Row],[Ratio]]&gt;=4,"Not Significant",IF(Table1[[#This Row],[Ratio]]&gt;=2,"Semi-Significant","Significant")))</f>
        <v>Needs Analysis</v>
      </c>
      <c r="W2371" s="1">
        <f>IF(Table1[[#This Row],[Cal Type]]&lt;&gt;"ACCREDITED 17025 WITH UNCERTAINTIES",0,"")</f>
        <v>0</v>
      </c>
      <c r="X2371" s="1" t="str">
        <f>IF(Table1[[#This Row],[DUT Read]]="","N/A",Table1[[#This Row],[Std Error]]+Table1[[#This Row],[DUT Read]]+Table1[[#This Row],[DUT Ucty]])</f>
        <v>N/A</v>
      </c>
      <c r="Y2371" s="1" t="str">
        <f>IF(Table1[[#This Row],[Std Read]]="","N/A",Table1[[#This Row],[Std Read]]+Table1[[#This Row],[Std Ucty]])</f>
        <v>N/A</v>
      </c>
      <c r="Z23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1" s="1" t="str">
        <f>IF(Table1[[#This Row],[Spec Type]]="","N/A",Table1[[#This Row],[Spec Type]])</f>
        <v>±</v>
      </c>
      <c r="AC2371" s="1" t="str">
        <f>IF(Table1[[#This Row],[Spec Type2]]="N/A","N/A",IF(AND(Table1[[#This Row],[DUT Adj Read]]&gt;=Table1[[#This Row],[Low Tol]],Table1[[#This Row],[DUT Adj Read]]&lt;=Table1[[#This Row],[High Tol]]),"Pass","Fail"))</f>
        <v>Fail</v>
      </c>
      <c r="AD2371" s="1" t="str">
        <f>IF(AND(Table1[[#This Row],[Spec Type2]]="N/A",Table1[[#This Row],[DUT Adj Read]]="N/A",Table1[[#This Row],[Std Adj Read]]="N/A"),"N/A",IF(Table1[[#This Row],[DUT Adj Read]]="N/A",IF(Table1[[#This Row],[Std Adj Read]]&gt;Table1[[#This Row],[Low Tol]],"Pass","Fail"),IF(Table1[[#This Row],[DUT Adj Read]]&gt;Table1[[#This Row],[Low Tol]],"Pass","Fail")))</f>
        <v>Pass</v>
      </c>
      <c r="AE2371" s="1" t="str">
        <f>IF(AND(Table1[[#This Row],[Spec Type2]]="N/A",Table1[[#This Row],[DUT Adj Read]]="N/A",Table1[[#This Row],[Std Adj Read]]="N/A"),"N/A",IF(Table1[[#This Row],[DUT Adj Read]]="N/A",IF(Table1[[#This Row],[Std Adj Read]]&lt;Table1[[#This Row],[High Tol]],"Pass","Fail"),IF(Table1[[#This Row],[DUT Adj Read]]&lt;Table1[[#This Row],[High Tol]],"Pass","Fail")))</f>
        <v>Fail</v>
      </c>
      <c r="AF2371" s="1" t="str">
        <f>IF(AND(Table1[[#This Row],[Spec Type2]]="N/A",Table1[[#This Row],[DUT Adj Read]]="N/A",Table1[[#This Row],[Std Adj Read]]="N/A"),"N/A",IF(Table1[[#This Row],[DUT Adj Read]]="N/A",IF(Table1[[#This Row],[Std Adj Read]]&gt;=Table1[[#This Row],[Low Tol]],"Pass","Fail"),IF(Table1[[#This Row],[DUT Adj Read]]&gt;=Table1[[#This Row],[Low Tol]],"Pass","Fail")))</f>
        <v>Pass</v>
      </c>
      <c r="AG2371" s="1" t="str">
        <f>IF(AND(Table1[[#This Row],[Spec Type2]]="N/A",Table1[[#This Row],[DUT Adj Read]]="N/A",Table1[[#This Row],[Std Adj Read]]="N/A"),"N/A",IF(Table1[[#This Row],[DUT Adj Read]]="N/A",IF(Table1[[#This Row],[Std Adj Read]]&lt;=Table1[[#This Row],[High Tol]],"Pass","Fail"),IF(Table1[[#This Row],[DUT Adj Read]]&lt;=Table1[[#This Row],[High Tol]],"Pass","Fail")))</f>
        <v>Fail</v>
      </c>
      <c r="AH23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1" s="1" t="b">
        <v>0</v>
      </c>
      <c r="AN2371" s="1" t="b">
        <v>0</v>
      </c>
      <c r="AO2371" s="1" t="b">
        <v>0</v>
      </c>
    </row>
    <row r="2372" spans="1:41" x14ac:dyDescent="0.25">
      <c r="A2372" s="10"/>
      <c r="B2372" s="10"/>
      <c r="C2372" s="10"/>
      <c r="D2372" s="10"/>
      <c r="E2372" s="10"/>
      <c r="F2372" s="10"/>
      <c r="G2372" s="10"/>
      <c r="H2372" s="10"/>
      <c r="I2372" s="1" t="str">
        <f t="shared" si="108"/>
        <v/>
      </c>
      <c r="J2372" s="1" t="s">
        <v>35</v>
      </c>
      <c r="K2372" s="1" t="str">
        <f t="shared" si="109"/>
        <v/>
      </c>
      <c r="L2372" s="1" t="str">
        <f t="shared" si="110"/>
        <v/>
      </c>
      <c r="M2372" s="1">
        <f>IF(OR(Table1[[#This Row],[Std Nom]]="",Table1[[#This Row],[Std Read]]=""),0,Table1[[#This Row],[Std Nom]]-Table1[[#This Row],[Std Read]])</f>
        <v>0</v>
      </c>
      <c r="N2372" s="1">
        <f>IF(Calculations!$F$5="ACCREDITED 17025 WITH UNCERTAINTIES",$N$10,0)</f>
        <v>0</v>
      </c>
      <c r="Q2372" s="1">
        <f>Table1[[#This Row],[High Tol]]-Table1[[#This Row],[Low Tol]]</f>
        <v>0</v>
      </c>
      <c r="R2372" s="1">
        <f>2*Table1[[#This Row],[Std Error]]</f>
        <v>0</v>
      </c>
      <c r="S2372" s="1" t="str">
        <f>IF(Table1[[#This Row],[High Tol]]="","N/A",IFERROR(ABS(Table1[[#This Row],[Tol Span]]/Table1[[#This Row],[Error Span]]),"N/A"))</f>
        <v>N/A</v>
      </c>
      <c r="T2372" s="1" t="str">
        <f>IF(OR(Table1[[#This Row],[Low Tol]]="",Table1[[#This Row],[High Tol]]=""),"Needs Analysis",IF(Table1[[#This Row],[Ratio]]&gt;=4,"Not Significant",IF(Table1[[#This Row],[Ratio]]&gt;=2,"Semi-Significant","Significant")))</f>
        <v>Needs Analysis</v>
      </c>
      <c r="W2372" s="1">
        <f>IF(Table1[[#This Row],[Cal Type]]&lt;&gt;"ACCREDITED 17025 WITH UNCERTAINTIES",0,"")</f>
        <v>0</v>
      </c>
      <c r="X2372" s="1" t="str">
        <f>IF(Table1[[#This Row],[DUT Read]]="","N/A",Table1[[#This Row],[Std Error]]+Table1[[#This Row],[DUT Read]]+Table1[[#This Row],[DUT Ucty]])</f>
        <v>N/A</v>
      </c>
      <c r="Y2372" s="1" t="str">
        <f>IF(Table1[[#This Row],[Std Read]]="","N/A",Table1[[#This Row],[Std Read]]+Table1[[#This Row],[Std Ucty]])</f>
        <v>N/A</v>
      </c>
      <c r="Z23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2" s="1" t="str">
        <f>IF(Table1[[#This Row],[Spec Type]]="","N/A",Table1[[#This Row],[Spec Type]])</f>
        <v>±</v>
      </c>
      <c r="AC2372" s="1" t="str">
        <f>IF(Table1[[#This Row],[Spec Type2]]="N/A","N/A",IF(AND(Table1[[#This Row],[DUT Adj Read]]&gt;=Table1[[#This Row],[Low Tol]],Table1[[#This Row],[DUT Adj Read]]&lt;=Table1[[#This Row],[High Tol]]),"Pass","Fail"))</f>
        <v>Fail</v>
      </c>
      <c r="AD2372" s="1" t="str">
        <f>IF(AND(Table1[[#This Row],[Spec Type2]]="N/A",Table1[[#This Row],[DUT Adj Read]]="N/A",Table1[[#This Row],[Std Adj Read]]="N/A"),"N/A",IF(Table1[[#This Row],[DUT Adj Read]]="N/A",IF(Table1[[#This Row],[Std Adj Read]]&gt;Table1[[#This Row],[Low Tol]],"Pass","Fail"),IF(Table1[[#This Row],[DUT Adj Read]]&gt;Table1[[#This Row],[Low Tol]],"Pass","Fail")))</f>
        <v>Pass</v>
      </c>
      <c r="AE2372" s="1" t="str">
        <f>IF(AND(Table1[[#This Row],[Spec Type2]]="N/A",Table1[[#This Row],[DUT Adj Read]]="N/A",Table1[[#This Row],[Std Adj Read]]="N/A"),"N/A",IF(Table1[[#This Row],[DUT Adj Read]]="N/A",IF(Table1[[#This Row],[Std Adj Read]]&lt;Table1[[#This Row],[High Tol]],"Pass","Fail"),IF(Table1[[#This Row],[DUT Adj Read]]&lt;Table1[[#This Row],[High Tol]],"Pass","Fail")))</f>
        <v>Fail</v>
      </c>
      <c r="AF2372" s="1" t="str">
        <f>IF(AND(Table1[[#This Row],[Spec Type2]]="N/A",Table1[[#This Row],[DUT Adj Read]]="N/A",Table1[[#This Row],[Std Adj Read]]="N/A"),"N/A",IF(Table1[[#This Row],[DUT Adj Read]]="N/A",IF(Table1[[#This Row],[Std Adj Read]]&gt;=Table1[[#This Row],[Low Tol]],"Pass","Fail"),IF(Table1[[#This Row],[DUT Adj Read]]&gt;=Table1[[#This Row],[Low Tol]],"Pass","Fail")))</f>
        <v>Pass</v>
      </c>
      <c r="AG2372" s="1" t="str">
        <f>IF(AND(Table1[[#This Row],[Spec Type2]]="N/A",Table1[[#This Row],[DUT Adj Read]]="N/A",Table1[[#This Row],[Std Adj Read]]="N/A"),"N/A",IF(Table1[[#This Row],[DUT Adj Read]]="N/A",IF(Table1[[#This Row],[Std Adj Read]]&lt;=Table1[[#This Row],[High Tol]],"Pass","Fail"),IF(Table1[[#This Row],[DUT Adj Read]]&lt;=Table1[[#This Row],[High Tol]],"Pass","Fail")))</f>
        <v>Fail</v>
      </c>
      <c r="AH23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2" s="1" t="b">
        <v>0</v>
      </c>
      <c r="AN2372" s="1" t="b">
        <v>0</v>
      </c>
      <c r="AO2372" s="1" t="b">
        <v>0</v>
      </c>
    </row>
    <row r="2373" spans="1:41" x14ac:dyDescent="0.25">
      <c r="A2373" s="10"/>
      <c r="B2373" s="10"/>
      <c r="C2373" s="10"/>
      <c r="D2373" s="10"/>
      <c r="E2373" s="10"/>
      <c r="F2373" s="10"/>
      <c r="G2373" s="10"/>
      <c r="H2373" s="10"/>
      <c r="I2373" s="1" t="str">
        <f t="shared" si="108"/>
        <v/>
      </c>
      <c r="J2373" s="1" t="s">
        <v>35</v>
      </c>
      <c r="K2373" s="1" t="str">
        <f t="shared" si="109"/>
        <v/>
      </c>
      <c r="L2373" s="1" t="str">
        <f t="shared" si="110"/>
        <v/>
      </c>
      <c r="M2373" s="1">
        <f>IF(OR(Table1[[#This Row],[Std Nom]]="",Table1[[#This Row],[Std Read]]=""),0,Table1[[#This Row],[Std Nom]]-Table1[[#This Row],[Std Read]])</f>
        <v>0</v>
      </c>
      <c r="N2373" s="1">
        <f>IF(Calculations!$F$5="ACCREDITED 17025 WITH UNCERTAINTIES",$N$10,0)</f>
        <v>0</v>
      </c>
      <c r="Q2373" s="1">
        <f>Table1[[#This Row],[High Tol]]-Table1[[#This Row],[Low Tol]]</f>
        <v>0</v>
      </c>
      <c r="R2373" s="1">
        <f>2*Table1[[#This Row],[Std Error]]</f>
        <v>0</v>
      </c>
      <c r="S2373" s="1" t="str">
        <f>IF(Table1[[#This Row],[High Tol]]="","N/A",IFERROR(ABS(Table1[[#This Row],[Tol Span]]/Table1[[#This Row],[Error Span]]),"N/A"))</f>
        <v>N/A</v>
      </c>
      <c r="T2373" s="1" t="str">
        <f>IF(OR(Table1[[#This Row],[Low Tol]]="",Table1[[#This Row],[High Tol]]=""),"Needs Analysis",IF(Table1[[#This Row],[Ratio]]&gt;=4,"Not Significant",IF(Table1[[#This Row],[Ratio]]&gt;=2,"Semi-Significant","Significant")))</f>
        <v>Needs Analysis</v>
      </c>
      <c r="W2373" s="1">
        <f>IF(Table1[[#This Row],[Cal Type]]&lt;&gt;"ACCREDITED 17025 WITH UNCERTAINTIES",0,"")</f>
        <v>0</v>
      </c>
      <c r="X2373" s="1" t="str">
        <f>IF(Table1[[#This Row],[DUT Read]]="","N/A",Table1[[#This Row],[Std Error]]+Table1[[#This Row],[DUT Read]]+Table1[[#This Row],[DUT Ucty]])</f>
        <v>N/A</v>
      </c>
      <c r="Y2373" s="1" t="str">
        <f>IF(Table1[[#This Row],[Std Read]]="","N/A",Table1[[#This Row],[Std Read]]+Table1[[#This Row],[Std Ucty]])</f>
        <v>N/A</v>
      </c>
      <c r="Z23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3" s="1" t="str">
        <f>IF(Table1[[#This Row],[Spec Type]]="","N/A",Table1[[#This Row],[Spec Type]])</f>
        <v>±</v>
      </c>
      <c r="AC2373" s="1" t="str">
        <f>IF(Table1[[#This Row],[Spec Type2]]="N/A","N/A",IF(AND(Table1[[#This Row],[DUT Adj Read]]&gt;=Table1[[#This Row],[Low Tol]],Table1[[#This Row],[DUT Adj Read]]&lt;=Table1[[#This Row],[High Tol]]),"Pass","Fail"))</f>
        <v>Fail</v>
      </c>
      <c r="AD2373" s="1" t="str">
        <f>IF(AND(Table1[[#This Row],[Spec Type2]]="N/A",Table1[[#This Row],[DUT Adj Read]]="N/A",Table1[[#This Row],[Std Adj Read]]="N/A"),"N/A",IF(Table1[[#This Row],[DUT Adj Read]]="N/A",IF(Table1[[#This Row],[Std Adj Read]]&gt;Table1[[#This Row],[Low Tol]],"Pass","Fail"),IF(Table1[[#This Row],[DUT Adj Read]]&gt;Table1[[#This Row],[Low Tol]],"Pass","Fail")))</f>
        <v>Pass</v>
      </c>
      <c r="AE2373" s="1" t="str">
        <f>IF(AND(Table1[[#This Row],[Spec Type2]]="N/A",Table1[[#This Row],[DUT Adj Read]]="N/A",Table1[[#This Row],[Std Adj Read]]="N/A"),"N/A",IF(Table1[[#This Row],[DUT Adj Read]]="N/A",IF(Table1[[#This Row],[Std Adj Read]]&lt;Table1[[#This Row],[High Tol]],"Pass","Fail"),IF(Table1[[#This Row],[DUT Adj Read]]&lt;Table1[[#This Row],[High Tol]],"Pass","Fail")))</f>
        <v>Fail</v>
      </c>
      <c r="AF2373" s="1" t="str">
        <f>IF(AND(Table1[[#This Row],[Spec Type2]]="N/A",Table1[[#This Row],[DUT Adj Read]]="N/A",Table1[[#This Row],[Std Adj Read]]="N/A"),"N/A",IF(Table1[[#This Row],[DUT Adj Read]]="N/A",IF(Table1[[#This Row],[Std Adj Read]]&gt;=Table1[[#This Row],[Low Tol]],"Pass","Fail"),IF(Table1[[#This Row],[DUT Adj Read]]&gt;=Table1[[#This Row],[Low Tol]],"Pass","Fail")))</f>
        <v>Pass</v>
      </c>
      <c r="AG2373" s="1" t="str">
        <f>IF(AND(Table1[[#This Row],[Spec Type2]]="N/A",Table1[[#This Row],[DUT Adj Read]]="N/A",Table1[[#This Row],[Std Adj Read]]="N/A"),"N/A",IF(Table1[[#This Row],[DUT Adj Read]]="N/A",IF(Table1[[#This Row],[Std Adj Read]]&lt;=Table1[[#This Row],[High Tol]],"Pass","Fail"),IF(Table1[[#This Row],[DUT Adj Read]]&lt;=Table1[[#This Row],[High Tol]],"Pass","Fail")))</f>
        <v>Fail</v>
      </c>
      <c r="AH23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3" s="1" t="b">
        <v>0</v>
      </c>
      <c r="AN2373" s="1" t="b">
        <v>0</v>
      </c>
      <c r="AO2373" s="1" t="b">
        <v>0</v>
      </c>
    </row>
    <row r="2374" spans="1:41" x14ac:dyDescent="0.25">
      <c r="A2374" s="10"/>
      <c r="B2374" s="10"/>
      <c r="C2374" s="10"/>
      <c r="D2374" s="10"/>
      <c r="E2374" s="10"/>
      <c r="F2374" s="10"/>
      <c r="G2374" s="10"/>
      <c r="H2374" s="10"/>
      <c r="I2374" s="1" t="str">
        <f t="shared" si="108"/>
        <v/>
      </c>
      <c r="J2374" s="1" t="s">
        <v>35</v>
      </c>
      <c r="K2374" s="1" t="str">
        <f t="shared" si="109"/>
        <v/>
      </c>
      <c r="L2374" s="1" t="str">
        <f t="shared" si="110"/>
        <v/>
      </c>
      <c r="M2374" s="1">
        <f>IF(OR(Table1[[#This Row],[Std Nom]]="",Table1[[#This Row],[Std Read]]=""),0,Table1[[#This Row],[Std Nom]]-Table1[[#This Row],[Std Read]])</f>
        <v>0</v>
      </c>
      <c r="N2374" s="1">
        <f>IF(Calculations!$F$5="ACCREDITED 17025 WITH UNCERTAINTIES",$N$10,0)</f>
        <v>0</v>
      </c>
      <c r="Q2374" s="1">
        <f>Table1[[#This Row],[High Tol]]-Table1[[#This Row],[Low Tol]]</f>
        <v>0</v>
      </c>
      <c r="R2374" s="1">
        <f>2*Table1[[#This Row],[Std Error]]</f>
        <v>0</v>
      </c>
      <c r="S2374" s="1" t="str">
        <f>IF(Table1[[#This Row],[High Tol]]="","N/A",IFERROR(ABS(Table1[[#This Row],[Tol Span]]/Table1[[#This Row],[Error Span]]),"N/A"))</f>
        <v>N/A</v>
      </c>
      <c r="T2374" s="1" t="str">
        <f>IF(OR(Table1[[#This Row],[Low Tol]]="",Table1[[#This Row],[High Tol]]=""),"Needs Analysis",IF(Table1[[#This Row],[Ratio]]&gt;=4,"Not Significant",IF(Table1[[#This Row],[Ratio]]&gt;=2,"Semi-Significant","Significant")))</f>
        <v>Needs Analysis</v>
      </c>
      <c r="W2374" s="1">
        <f>IF(Table1[[#This Row],[Cal Type]]&lt;&gt;"ACCREDITED 17025 WITH UNCERTAINTIES",0,"")</f>
        <v>0</v>
      </c>
      <c r="X2374" s="1" t="str">
        <f>IF(Table1[[#This Row],[DUT Read]]="","N/A",Table1[[#This Row],[Std Error]]+Table1[[#This Row],[DUT Read]]+Table1[[#This Row],[DUT Ucty]])</f>
        <v>N/A</v>
      </c>
      <c r="Y2374" s="1" t="str">
        <f>IF(Table1[[#This Row],[Std Read]]="","N/A",Table1[[#This Row],[Std Read]]+Table1[[#This Row],[Std Ucty]])</f>
        <v>N/A</v>
      </c>
      <c r="Z23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4" s="1" t="str">
        <f>IF(Table1[[#This Row],[Spec Type]]="","N/A",Table1[[#This Row],[Spec Type]])</f>
        <v>±</v>
      </c>
      <c r="AC2374" s="1" t="str">
        <f>IF(Table1[[#This Row],[Spec Type2]]="N/A","N/A",IF(AND(Table1[[#This Row],[DUT Adj Read]]&gt;=Table1[[#This Row],[Low Tol]],Table1[[#This Row],[DUT Adj Read]]&lt;=Table1[[#This Row],[High Tol]]),"Pass","Fail"))</f>
        <v>Fail</v>
      </c>
      <c r="AD2374" s="1" t="str">
        <f>IF(AND(Table1[[#This Row],[Spec Type2]]="N/A",Table1[[#This Row],[DUT Adj Read]]="N/A",Table1[[#This Row],[Std Adj Read]]="N/A"),"N/A",IF(Table1[[#This Row],[DUT Adj Read]]="N/A",IF(Table1[[#This Row],[Std Adj Read]]&gt;Table1[[#This Row],[Low Tol]],"Pass","Fail"),IF(Table1[[#This Row],[DUT Adj Read]]&gt;Table1[[#This Row],[Low Tol]],"Pass","Fail")))</f>
        <v>Pass</v>
      </c>
      <c r="AE2374" s="1" t="str">
        <f>IF(AND(Table1[[#This Row],[Spec Type2]]="N/A",Table1[[#This Row],[DUT Adj Read]]="N/A",Table1[[#This Row],[Std Adj Read]]="N/A"),"N/A",IF(Table1[[#This Row],[DUT Adj Read]]="N/A",IF(Table1[[#This Row],[Std Adj Read]]&lt;Table1[[#This Row],[High Tol]],"Pass","Fail"),IF(Table1[[#This Row],[DUT Adj Read]]&lt;Table1[[#This Row],[High Tol]],"Pass","Fail")))</f>
        <v>Fail</v>
      </c>
      <c r="AF2374" s="1" t="str">
        <f>IF(AND(Table1[[#This Row],[Spec Type2]]="N/A",Table1[[#This Row],[DUT Adj Read]]="N/A",Table1[[#This Row],[Std Adj Read]]="N/A"),"N/A",IF(Table1[[#This Row],[DUT Adj Read]]="N/A",IF(Table1[[#This Row],[Std Adj Read]]&gt;=Table1[[#This Row],[Low Tol]],"Pass","Fail"),IF(Table1[[#This Row],[DUT Adj Read]]&gt;=Table1[[#This Row],[Low Tol]],"Pass","Fail")))</f>
        <v>Pass</v>
      </c>
      <c r="AG2374" s="1" t="str">
        <f>IF(AND(Table1[[#This Row],[Spec Type2]]="N/A",Table1[[#This Row],[DUT Adj Read]]="N/A",Table1[[#This Row],[Std Adj Read]]="N/A"),"N/A",IF(Table1[[#This Row],[DUT Adj Read]]="N/A",IF(Table1[[#This Row],[Std Adj Read]]&lt;=Table1[[#This Row],[High Tol]],"Pass","Fail"),IF(Table1[[#This Row],[DUT Adj Read]]&lt;=Table1[[#This Row],[High Tol]],"Pass","Fail")))</f>
        <v>Fail</v>
      </c>
      <c r="AH23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4" s="1" t="b">
        <v>0</v>
      </c>
      <c r="AN2374" s="1" t="b">
        <v>0</v>
      </c>
      <c r="AO2374" s="1" t="b">
        <v>0</v>
      </c>
    </row>
    <row r="2375" spans="1:41" x14ac:dyDescent="0.25">
      <c r="A2375" s="10"/>
      <c r="B2375" s="10"/>
      <c r="C2375" s="10"/>
      <c r="D2375" s="10"/>
      <c r="E2375" s="10"/>
      <c r="F2375" s="10"/>
      <c r="G2375" s="10"/>
      <c r="H2375" s="10"/>
      <c r="I2375" s="1" t="str">
        <f t="shared" si="108"/>
        <v/>
      </c>
      <c r="J2375" s="1" t="s">
        <v>35</v>
      </c>
      <c r="K2375" s="1" t="str">
        <f t="shared" si="109"/>
        <v/>
      </c>
      <c r="L2375" s="1" t="str">
        <f t="shared" si="110"/>
        <v/>
      </c>
      <c r="M2375" s="1">
        <f>IF(OR(Table1[[#This Row],[Std Nom]]="",Table1[[#This Row],[Std Read]]=""),0,Table1[[#This Row],[Std Nom]]-Table1[[#This Row],[Std Read]])</f>
        <v>0</v>
      </c>
      <c r="N2375" s="1">
        <f>IF(Calculations!$F$5="ACCREDITED 17025 WITH UNCERTAINTIES",$N$10,0)</f>
        <v>0</v>
      </c>
      <c r="Q2375" s="1">
        <f>Table1[[#This Row],[High Tol]]-Table1[[#This Row],[Low Tol]]</f>
        <v>0</v>
      </c>
      <c r="R2375" s="1">
        <f>2*Table1[[#This Row],[Std Error]]</f>
        <v>0</v>
      </c>
      <c r="S2375" s="1" t="str">
        <f>IF(Table1[[#This Row],[High Tol]]="","N/A",IFERROR(ABS(Table1[[#This Row],[Tol Span]]/Table1[[#This Row],[Error Span]]),"N/A"))</f>
        <v>N/A</v>
      </c>
      <c r="T2375" s="1" t="str">
        <f>IF(OR(Table1[[#This Row],[Low Tol]]="",Table1[[#This Row],[High Tol]]=""),"Needs Analysis",IF(Table1[[#This Row],[Ratio]]&gt;=4,"Not Significant",IF(Table1[[#This Row],[Ratio]]&gt;=2,"Semi-Significant","Significant")))</f>
        <v>Needs Analysis</v>
      </c>
      <c r="W2375" s="1">
        <f>IF(Table1[[#This Row],[Cal Type]]&lt;&gt;"ACCREDITED 17025 WITH UNCERTAINTIES",0,"")</f>
        <v>0</v>
      </c>
      <c r="X2375" s="1" t="str">
        <f>IF(Table1[[#This Row],[DUT Read]]="","N/A",Table1[[#This Row],[Std Error]]+Table1[[#This Row],[DUT Read]]+Table1[[#This Row],[DUT Ucty]])</f>
        <v>N/A</v>
      </c>
      <c r="Y2375" s="1" t="str">
        <f>IF(Table1[[#This Row],[Std Read]]="","N/A",Table1[[#This Row],[Std Read]]+Table1[[#This Row],[Std Ucty]])</f>
        <v>N/A</v>
      </c>
      <c r="Z23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5" s="1" t="str">
        <f>IF(Table1[[#This Row],[Spec Type]]="","N/A",Table1[[#This Row],[Spec Type]])</f>
        <v>±</v>
      </c>
      <c r="AC2375" s="1" t="str">
        <f>IF(Table1[[#This Row],[Spec Type2]]="N/A","N/A",IF(AND(Table1[[#This Row],[DUT Adj Read]]&gt;=Table1[[#This Row],[Low Tol]],Table1[[#This Row],[DUT Adj Read]]&lt;=Table1[[#This Row],[High Tol]]),"Pass","Fail"))</f>
        <v>Fail</v>
      </c>
      <c r="AD2375" s="1" t="str">
        <f>IF(AND(Table1[[#This Row],[Spec Type2]]="N/A",Table1[[#This Row],[DUT Adj Read]]="N/A",Table1[[#This Row],[Std Adj Read]]="N/A"),"N/A",IF(Table1[[#This Row],[DUT Adj Read]]="N/A",IF(Table1[[#This Row],[Std Adj Read]]&gt;Table1[[#This Row],[Low Tol]],"Pass","Fail"),IF(Table1[[#This Row],[DUT Adj Read]]&gt;Table1[[#This Row],[Low Tol]],"Pass","Fail")))</f>
        <v>Pass</v>
      </c>
      <c r="AE2375" s="1" t="str">
        <f>IF(AND(Table1[[#This Row],[Spec Type2]]="N/A",Table1[[#This Row],[DUT Adj Read]]="N/A",Table1[[#This Row],[Std Adj Read]]="N/A"),"N/A",IF(Table1[[#This Row],[DUT Adj Read]]="N/A",IF(Table1[[#This Row],[Std Adj Read]]&lt;Table1[[#This Row],[High Tol]],"Pass","Fail"),IF(Table1[[#This Row],[DUT Adj Read]]&lt;Table1[[#This Row],[High Tol]],"Pass","Fail")))</f>
        <v>Fail</v>
      </c>
      <c r="AF2375" s="1" t="str">
        <f>IF(AND(Table1[[#This Row],[Spec Type2]]="N/A",Table1[[#This Row],[DUT Adj Read]]="N/A",Table1[[#This Row],[Std Adj Read]]="N/A"),"N/A",IF(Table1[[#This Row],[DUT Adj Read]]="N/A",IF(Table1[[#This Row],[Std Adj Read]]&gt;=Table1[[#This Row],[Low Tol]],"Pass","Fail"),IF(Table1[[#This Row],[DUT Adj Read]]&gt;=Table1[[#This Row],[Low Tol]],"Pass","Fail")))</f>
        <v>Pass</v>
      </c>
      <c r="AG2375" s="1" t="str">
        <f>IF(AND(Table1[[#This Row],[Spec Type2]]="N/A",Table1[[#This Row],[DUT Adj Read]]="N/A",Table1[[#This Row],[Std Adj Read]]="N/A"),"N/A",IF(Table1[[#This Row],[DUT Adj Read]]="N/A",IF(Table1[[#This Row],[Std Adj Read]]&lt;=Table1[[#This Row],[High Tol]],"Pass","Fail"),IF(Table1[[#This Row],[DUT Adj Read]]&lt;=Table1[[#This Row],[High Tol]],"Pass","Fail")))</f>
        <v>Fail</v>
      </c>
      <c r="AH23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5" s="1" t="b">
        <v>0</v>
      </c>
      <c r="AN2375" s="1" t="b">
        <v>0</v>
      </c>
      <c r="AO2375" s="1" t="b">
        <v>0</v>
      </c>
    </row>
    <row r="2376" spans="1:41" x14ac:dyDescent="0.25">
      <c r="A2376" s="10"/>
      <c r="B2376" s="10"/>
      <c r="C2376" s="10"/>
      <c r="D2376" s="10"/>
      <c r="E2376" s="10"/>
      <c r="F2376" s="10"/>
      <c r="G2376" s="10"/>
      <c r="H2376" s="10"/>
      <c r="I2376" s="1" t="str">
        <f t="shared" si="108"/>
        <v/>
      </c>
      <c r="J2376" s="1" t="s">
        <v>35</v>
      </c>
      <c r="K2376" s="1" t="str">
        <f t="shared" si="109"/>
        <v/>
      </c>
      <c r="L2376" s="1" t="str">
        <f t="shared" si="110"/>
        <v/>
      </c>
      <c r="M2376" s="1">
        <f>IF(OR(Table1[[#This Row],[Std Nom]]="",Table1[[#This Row],[Std Read]]=""),0,Table1[[#This Row],[Std Nom]]-Table1[[#This Row],[Std Read]])</f>
        <v>0</v>
      </c>
      <c r="N2376" s="1">
        <f>IF(Calculations!$F$5="ACCREDITED 17025 WITH UNCERTAINTIES",$N$10,0)</f>
        <v>0</v>
      </c>
      <c r="Q2376" s="1">
        <f>Table1[[#This Row],[High Tol]]-Table1[[#This Row],[Low Tol]]</f>
        <v>0</v>
      </c>
      <c r="R2376" s="1">
        <f>2*Table1[[#This Row],[Std Error]]</f>
        <v>0</v>
      </c>
      <c r="S2376" s="1" t="str">
        <f>IF(Table1[[#This Row],[High Tol]]="","N/A",IFERROR(ABS(Table1[[#This Row],[Tol Span]]/Table1[[#This Row],[Error Span]]),"N/A"))</f>
        <v>N/A</v>
      </c>
      <c r="T2376" s="1" t="str">
        <f>IF(OR(Table1[[#This Row],[Low Tol]]="",Table1[[#This Row],[High Tol]]=""),"Needs Analysis",IF(Table1[[#This Row],[Ratio]]&gt;=4,"Not Significant",IF(Table1[[#This Row],[Ratio]]&gt;=2,"Semi-Significant","Significant")))</f>
        <v>Needs Analysis</v>
      </c>
      <c r="W2376" s="1">
        <f>IF(Table1[[#This Row],[Cal Type]]&lt;&gt;"ACCREDITED 17025 WITH UNCERTAINTIES",0,"")</f>
        <v>0</v>
      </c>
      <c r="X2376" s="1" t="str">
        <f>IF(Table1[[#This Row],[DUT Read]]="","N/A",Table1[[#This Row],[Std Error]]+Table1[[#This Row],[DUT Read]]+Table1[[#This Row],[DUT Ucty]])</f>
        <v>N/A</v>
      </c>
      <c r="Y2376" s="1" t="str">
        <f>IF(Table1[[#This Row],[Std Read]]="","N/A",Table1[[#This Row],[Std Read]]+Table1[[#This Row],[Std Ucty]])</f>
        <v>N/A</v>
      </c>
      <c r="Z23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6" s="1" t="str">
        <f>IF(Table1[[#This Row],[Spec Type]]="","N/A",Table1[[#This Row],[Spec Type]])</f>
        <v>±</v>
      </c>
      <c r="AC2376" s="1" t="str">
        <f>IF(Table1[[#This Row],[Spec Type2]]="N/A","N/A",IF(AND(Table1[[#This Row],[DUT Adj Read]]&gt;=Table1[[#This Row],[Low Tol]],Table1[[#This Row],[DUT Adj Read]]&lt;=Table1[[#This Row],[High Tol]]),"Pass","Fail"))</f>
        <v>Fail</v>
      </c>
      <c r="AD2376" s="1" t="str">
        <f>IF(AND(Table1[[#This Row],[Spec Type2]]="N/A",Table1[[#This Row],[DUT Adj Read]]="N/A",Table1[[#This Row],[Std Adj Read]]="N/A"),"N/A",IF(Table1[[#This Row],[DUT Adj Read]]="N/A",IF(Table1[[#This Row],[Std Adj Read]]&gt;Table1[[#This Row],[Low Tol]],"Pass","Fail"),IF(Table1[[#This Row],[DUT Adj Read]]&gt;Table1[[#This Row],[Low Tol]],"Pass","Fail")))</f>
        <v>Pass</v>
      </c>
      <c r="AE2376" s="1" t="str">
        <f>IF(AND(Table1[[#This Row],[Spec Type2]]="N/A",Table1[[#This Row],[DUT Adj Read]]="N/A",Table1[[#This Row],[Std Adj Read]]="N/A"),"N/A",IF(Table1[[#This Row],[DUT Adj Read]]="N/A",IF(Table1[[#This Row],[Std Adj Read]]&lt;Table1[[#This Row],[High Tol]],"Pass","Fail"),IF(Table1[[#This Row],[DUT Adj Read]]&lt;Table1[[#This Row],[High Tol]],"Pass","Fail")))</f>
        <v>Fail</v>
      </c>
      <c r="AF2376" s="1" t="str">
        <f>IF(AND(Table1[[#This Row],[Spec Type2]]="N/A",Table1[[#This Row],[DUT Adj Read]]="N/A",Table1[[#This Row],[Std Adj Read]]="N/A"),"N/A",IF(Table1[[#This Row],[DUT Adj Read]]="N/A",IF(Table1[[#This Row],[Std Adj Read]]&gt;=Table1[[#This Row],[Low Tol]],"Pass","Fail"),IF(Table1[[#This Row],[DUT Adj Read]]&gt;=Table1[[#This Row],[Low Tol]],"Pass","Fail")))</f>
        <v>Pass</v>
      </c>
      <c r="AG2376" s="1" t="str">
        <f>IF(AND(Table1[[#This Row],[Spec Type2]]="N/A",Table1[[#This Row],[DUT Adj Read]]="N/A",Table1[[#This Row],[Std Adj Read]]="N/A"),"N/A",IF(Table1[[#This Row],[DUT Adj Read]]="N/A",IF(Table1[[#This Row],[Std Adj Read]]&lt;=Table1[[#This Row],[High Tol]],"Pass","Fail"),IF(Table1[[#This Row],[DUT Adj Read]]&lt;=Table1[[#This Row],[High Tol]],"Pass","Fail")))</f>
        <v>Fail</v>
      </c>
      <c r="AH23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6" s="1" t="b">
        <v>0</v>
      </c>
      <c r="AN2376" s="1" t="b">
        <v>0</v>
      </c>
      <c r="AO2376" s="1" t="b">
        <v>0</v>
      </c>
    </row>
    <row r="2377" spans="1:41" x14ac:dyDescent="0.25">
      <c r="A2377" s="10"/>
      <c r="B2377" s="10"/>
      <c r="C2377" s="10"/>
      <c r="D2377" s="10"/>
      <c r="E2377" s="10"/>
      <c r="F2377" s="10"/>
      <c r="G2377" s="10"/>
      <c r="H2377" s="10"/>
      <c r="I2377" s="1" t="str">
        <f t="shared" si="108"/>
        <v/>
      </c>
      <c r="J2377" s="1" t="s">
        <v>35</v>
      </c>
      <c r="K2377" s="1" t="str">
        <f t="shared" si="109"/>
        <v/>
      </c>
      <c r="L2377" s="1" t="str">
        <f t="shared" si="110"/>
        <v/>
      </c>
      <c r="M2377" s="1">
        <f>IF(OR(Table1[[#This Row],[Std Nom]]="",Table1[[#This Row],[Std Read]]=""),0,Table1[[#This Row],[Std Nom]]-Table1[[#This Row],[Std Read]])</f>
        <v>0</v>
      </c>
      <c r="N2377" s="1">
        <f>IF(Calculations!$F$5="ACCREDITED 17025 WITH UNCERTAINTIES",$N$10,0)</f>
        <v>0</v>
      </c>
      <c r="Q2377" s="1">
        <f>Table1[[#This Row],[High Tol]]-Table1[[#This Row],[Low Tol]]</f>
        <v>0</v>
      </c>
      <c r="R2377" s="1">
        <f>2*Table1[[#This Row],[Std Error]]</f>
        <v>0</v>
      </c>
      <c r="S2377" s="1" t="str">
        <f>IF(Table1[[#This Row],[High Tol]]="","N/A",IFERROR(ABS(Table1[[#This Row],[Tol Span]]/Table1[[#This Row],[Error Span]]),"N/A"))</f>
        <v>N/A</v>
      </c>
      <c r="T2377" s="1" t="str">
        <f>IF(OR(Table1[[#This Row],[Low Tol]]="",Table1[[#This Row],[High Tol]]=""),"Needs Analysis",IF(Table1[[#This Row],[Ratio]]&gt;=4,"Not Significant",IF(Table1[[#This Row],[Ratio]]&gt;=2,"Semi-Significant","Significant")))</f>
        <v>Needs Analysis</v>
      </c>
      <c r="W2377" s="1">
        <f>IF(Table1[[#This Row],[Cal Type]]&lt;&gt;"ACCREDITED 17025 WITH UNCERTAINTIES",0,"")</f>
        <v>0</v>
      </c>
      <c r="X2377" s="1" t="str">
        <f>IF(Table1[[#This Row],[DUT Read]]="","N/A",Table1[[#This Row],[Std Error]]+Table1[[#This Row],[DUT Read]]+Table1[[#This Row],[DUT Ucty]])</f>
        <v>N/A</v>
      </c>
      <c r="Y2377" s="1" t="str">
        <f>IF(Table1[[#This Row],[Std Read]]="","N/A",Table1[[#This Row],[Std Read]]+Table1[[#This Row],[Std Ucty]])</f>
        <v>N/A</v>
      </c>
      <c r="Z23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7" s="1" t="str">
        <f>IF(Table1[[#This Row],[Spec Type]]="","N/A",Table1[[#This Row],[Spec Type]])</f>
        <v>±</v>
      </c>
      <c r="AC2377" s="1" t="str">
        <f>IF(Table1[[#This Row],[Spec Type2]]="N/A","N/A",IF(AND(Table1[[#This Row],[DUT Adj Read]]&gt;=Table1[[#This Row],[Low Tol]],Table1[[#This Row],[DUT Adj Read]]&lt;=Table1[[#This Row],[High Tol]]),"Pass","Fail"))</f>
        <v>Fail</v>
      </c>
      <c r="AD2377" s="1" t="str">
        <f>IF(AND(Table1[[#This Row],[Spec Type2]]="N/A",Table1[[#This Row],[DUT Adj Read]]="N/A",Table1[[#This Row],[Std Adj Read]]="N/A"),"N/A",IF(Table1[[#This Row],[DUT Adj Read]]="N/A",IF(Table1[[#This Row],[Std Adj Read]]&gt;Table1[[#This Row],[Low Tol]],"Pass","Fail"),IF(Table1[[#This Row],[DUT Adj Read]]&gt;Table1[[#This Row],[Low Tol]],"Pass","Fail")))</f>
        <v>Pass</v>
      </c>
      <c r="AE2377" s="1" t="str">
        <f>IF(AND(Table1[[#This Row],[Spec Type2]]="N/A",Table1[[#This Row],[DUT Adj Read]]="N/A",Table1[[#This Row],[Std Adj Read]]="N/A"),"N/A",IF(Table1[[#This Row],[DUT Adj Read]]="N/A",IF(Table1[[#This Row],[Std Adj Read]]&lt;Table1[[#This Row],[High Tol]],"Pass","Fail"),IF(Table1[[#This Row],[DUT Adj Read]]&lt;Table1[[#This Row],[High Tol]],"Pass","Fail")))</f>
        <v>Fail</v>
      </c>
      <c r="AF2377" s="1" t="str">
        <f>IF(AND(Table1[[#This Row],[Spec Type2]]="N/A",Table1[[#This Row],[DUT Adj Read]]="N/A",Table1[[#This Row],[Std Adj Read]]="N/A"),"N/A",IF(Table1[[#This Row],[DUT Adj Read]]="N/A",IF(Table1[[#This Row],[Std Adj Read]]&gt;=Table1[[#This Row],[Low Tol]],"Pass","Fail"),IF(Table1[[#This Row],[DUT Adj Read]]&gt;=Table1[[#This Row],[Low Tol]],"Pass","Fail")))</f>
        <v>Pass</v>
      </c>
      <c r="AG2377" s="1" t="str">
        <f>IF(AND(Table1[[#This Row],[Spec Type2]]="N/A",Table1[[#This Row],[DUT Adj Read]]="N/A",Table1[[#This Row],[Std Adj Read]]="N/A"),"N/A",IF(Table1[[#This Row],[DUT Adj Read]]="N/A",IF(Table1[[#This Row],[Std Adj Read]]&lt;=Table1[[#This Row],[High Tol]],"Pass","Fail"),IF(Table1[[#This Row],[DUT Adj Read]]&lt;=Table1[[#This Row],[High Tol]],"Pass","Fail")))</f>
        <v>Fail</v>
      </c>
      <c r="AH23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7" s="1" t="b">
        <v>0</v>
      </c>
      <c r="AN2377" s="1" t="b">
        <v>0</v>
      </c>
      <c r="AO2377" s="1" t="b">
        <v>0</v>
      </c>
    </row>
    <row r="2378" spans="1:41" x14ac:dyDescent="0.25">
      <c r="A2378" s="10"/>
      <c r="B2378" s="10"/>
      <c r="C2378" s="10"/>
      <c r="D2378" s="10"/>
      <c r="E2378" s="10"/>
      <c r="F2378" s="10"/>
      <c r="G2378" s="10"/>
      <c r="H2378" s="10"/>
      <c r="I2378" s="1" t="str">
        <f t="shared" si="108"/>
        <v/>
      </c>
      <c r="J2378" s="1" t="s">
        <v>35</v>
      </c>
      <c r="K2378" s="1" t="str">
        <f t="shared" si="109"/>
        <v/>
      </c>
      <c r="L2378" s="1" t="str">
        <f t="shared" si="110"/>
        <v/>
      </c>
      <c r="M2378" s="1">
        <f>IF(OR(Table1[[#This Row],[Std Nom]]="",Table1[[#This Row],[Std Read]]=""),0,Table1[[#This Row],[Std Nom]]-Table1[[#This Row],[Std Read]])</f>
        <v>0</v>
      </c>
      <c r="N2378" s="1">
        <f>IF(Calculations!$F$5="ACCREDITED 17025 WITH UNCERTAINTIES",$N$10,0)</f>
        <v>0</v>
      </c>
      <c r="Q2378" s="1">
        <f>Table1[[#This Row],[High Tol]]-Table1[[#This Row],[Low Tol]]</f>
        <v>0</v>
      </c>
      <c r="R2378" s="1">
        <f>2*Table1[[#This Row],[Std Error]]</f>
        <v>0</v>
      </c>
      <c r="S2378" s="1" t="str">
        <f>IF(Table1[[#This Row],[High Tol]]="","N/A",IFERROR(ABS(Table1[[#This Row],[Tol Span]]/Table1[[#This Row],[Error Span]]),"N/A"))</f>
        <v>N/A</v>
      </c>
      <c r="T2378" s="1" t="str">
        <f>IF(OR(Table1[[#This Row],[Low Tol]]="",Table1[[#This Row],[High Tol]]=""),"Needs Analysis",IF(Table1[[#This Row],[Ratio]]&gt;=4,"Not Significant",IF(Table1[[#This Row],[Ratio]]&gt;=2,"Semi-Significant","Significant")))</f>
        <v>Needs Analysis</v>
      </c>
      <c r="W2378" s="1">
        <f>IF(Table1[[#This Row],[Cal Type]]&lt;&gt;"ACCREDITED 17025 WITH UNCERTAINTIES",0,"")</f>
        <v>0</v>
      </c>
      <c r="X2378" s="1" t="str">
        <f>IF(Table1[[#This Row],[DUT Read]]="","N/A",Table1[[#This Row],[Std Error]]+Table1[[#This Row],[DUT Read]]+Table1[[#This Row],[DUT Ucty]])</f>
        <v>N/A</v>
      </c>
      <c r="Y2378" s="1" t="str">
        <f>IF(Table1[[#This Row],[Std Read]]="","N/A",Table1[[#This Row],[Std Read]]+Table1[[#This Row],[Std Ucty]])</f>
        <v>N/A</v>
      </c>
      <c r="Z23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8" s="1" t="str">
        <f>IF(Table1[[#This Row],[Spec Type]]="","N/A",Table1[[#This Row],[Spec Type]])</f>
        <v>±</v>
      </c>
      <c r="AC2378" s="1" t="str">
        <f>IF(Table1[[#This Row],[Spec Type2]]="N/A","N/A",IF(AND(Table1[[#This Row],[DUT Adj Read]]&gt;=Table1[[#This Row],[Low Tol]],Table1[[#This Row],[DUT Adj Read]]&lt;=Table1[[#This Row],[High Tol]]),"Pass","Fail"))</f>
        <v>Fail</v>
      </c>
      <c r="AD2378" s="1" t="str">
        <f>IF(AND(Table1[[#This Row],[Spec Type2]]="N/A",Table1[[#This Row],[DUT Adj Read]]="N/A",Table1[[#This Row],[Std Adj Read]]="N/A"),"N/A",IF(Table1[[#This Row],[DUT Adj Read]]="N/A",IF(Table1[[#This Row],[Std Adj Read]]&gt;Table1[[#This Row],[Low Tol]],"Pass","Fail"),IF(Table1[[#This Row],[DUT Adj Read]]&gt;Table1[[#This Row],[Low Tol]],"Pass","Fail")))</f>
        <v>Pass</v>
      </c>
      <c r="AE2378" s="1" t="str">
        <f>IF(AND(Table1[[#This Row],[Spec Type2]]="N/A",Table1[[#This Row],[DUT Adj Read]]="N/A",Table1[[#This Row],[Std Adj Read]]="N/A"),"N/A",IF(Table1[[#This Row],[DUT Adj Read]]="N/A",IF(Table1[[#This Row],[Std Adj Read]]&lt;Table1[[#This Row],[High Tol]],"Pass","Fail"),IF(Table1[[#This Row],[DUT Adj Read]]&lt;Table1[[#This Row],[High Tol]],"Pass","Fail")))</f>
        <v>Fail</v>
      </c>
      <c r="AF2378" s="1" t="str">
        <f>IF(AND(Table1[[#This Row],[Spec Type2]]="N/A",Table1[[#This Row],[DUT Adj Read]]="N/A",Table1[[#This Row],[Std Adj Read]]="N/A"),"N/A",IF(Table1[[#This Row],[DUT Adj Read]]="N/A",IF(Table1[[#This Row],[Std Adj Read]]&gt;=Table1[[#This Row],[Low Tol]],"Pass","Fail"),IF(Table1[[#This Row],[DUT Adj Read]]&gt;=Table1[[#This Row],[Low Tol]],"Pass","Fail")))</f>
        <v>Pass</v>
      </c>
      <c r="AG2378" s="1" t="str">
        <f>IF(AND(Table1[[#This Row],[Spec Type2]]="N/A",Table1[[#This Row],[DUT Adj Read]]="N/A",Table1[[#This Row],[Std Adj Read]]="N/A"),"N/A",IF(Table1[[#This Row],[DUT Adj Read]]="N/A",IF(Table1[[#This Row],[Std Adj Read]]&lt;=Table1[[#This Row],[High Tol]],"Pass","Fail"),IF(Table1[[#This Row],[DUT Adj Read]]&lt;=Table1[[#This Row],[High Tol]],"Pass","Fail")))</f>
        <v>Fail</v>
      </c>
      <c r="AH23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8" s="1" t="b">
        <v>0</v>
      </c>
      <c r="AN2378" s="1" t="b">
        <v>0</v>
      </c>
      <c r="AO2378" s="1" t="b">
        <v>0</v>
      </c>
    </row>
    <row r="2379" spans="1:41" x14ac:dyDescent="0.25">
      <c r="A2379" s="10"/>
      <c r="B2379" s="10"/>
      <c r="C2379" s="10"/>
      <c r="D2379" s="10"/>
      <c r="E2379" s="10"/>
      <c r="F2379" s="10"/>
      <c r="G2379" s="10"/>
      <c r="H2379" s="10"/>
      <c r="I2379" s="1" t="str">
        <f t="shared" ref="I2379:I2442" si="111">IF($I$10="","",$I$10)</f>
        <v/>
      </c>
      <c r="J2379" s="1" t="s">
        <v>35</v>
      </c>
      <c r="K2379" s="1" t="str">
        <f t="shared" ref="K2379:K2442" si="112">IF($K$10="","",$K$10)</f>
        <v/>
      </c>
      <c r="L2379" s="1" t="str">
        <f t="shared" ref="L2379:L2442" si="113">IF($L$10="","",$L$10)</f>
        <v/>
      </c>
      <c r="M2379" s="1">
        <f>IF(OR(Table1[[#This Row],[Std Nom]]="",Table1[[#This Row],[Std Read]]=""),0,Table1[[#This Row],[Std Nom]]-Table1[[#This Row],[Std Read]])</f>
        <v>0</v>
      </c>
      <c r="N2379" s="1">
        <f>IF(Calculations!$F$5="ACCREDITED 17025 WITH UNCERTAINTIES",$N$10,0)</f>
        <v>0</v>
      </c>
      <c r="Q2379" s="1">
        <f>Table1[[#This Row],[High Tol]]-Table1[[#This Row],[Low Tol]]</f>
        <v>0</v>
      </c>
      <c r="R2379" s="1">
        <f>2*Table1[[#This Row],[Std Error]]</f>
        <v>0</v>
      </c>
      <c r="S2379" s="1" t="str">
        <f>IF(Table1[[#This Row],[High Tol]]="","N/A",IFERROR(ABS(Table1[[#This Row],[Tol Span]]/Table1[[#This Row],[Error Span]]),"N/A"))</f>
        <v>N/A</v>
      </c>
      <c r="T2379" s="1" t="str">
        <f>IF(OR(Table1[[#This Row],[Low Tol]]="",Table1[[#This Row],[High Tol]]=""),"Needs Analysis",IF(Table1[[#This Row],[Ratio]]&gt;=4,"Not Significant",IF(Table1[[#This Row],[Ratio]]&gt;=2,"Semi-Significant","Significant")))</f>
        <v>Needs Analysis</v>
      </c>
      <c r="W2379" s="1">
        <f>IF(Table1[[#This Row],[Cal Type]]&lt;&gt;"ACCREDITED 17025 WITH UNCERTAINTIES",0,"")</f>
        <v>0</v>
      </c>
      <c r="X2379" s="1" t="str">
        <f>IF(Table1[[#This Row],[DUT Read]]="","N/A",Table1[[#This Row],[Std Error]]+Table1[[#This Row],[DUT Read]]+Table1[[#This Row],[DUT Ucty]])</f>
        <v>N/A</v>
      </c>
      <c r="Y2379" s="1" t="str">
        <f>IF(Table1[[#This Row],[Std Read]]="","N/A",Table1[[#This Row],[Std Read]]+Table1[[#This Row],[Std Ucty]])</f>
        <v>N/A</v>
      </c>
      <c r="Z23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79" s="1" t="str">
        <f>IF(Table1[[#This Row],[Spec Type]]="","N/A",Table1[[#This Row],[Spec Type]])</f>
        <v>±</v>
      </c>
      <c r="AC2379" s="1" t="str">
        <f>IF(Table1[[#This Row],[Spec Type2]]="N/A","N/A",IF(AND(Table1[[#This Row],[DUT Adj Read]]&gt;=Table1[[#This Row],[Low Tol]],Table1[[#This Row],[DUT Adj Read]]&lt;=Table1[[#This Row],[High Tol]]),"Pass","Fail"))</f>
        <v>Fail</v>
      </c>
      <c r="AD2379" s="1" t="str">
        <f>IF(AND(Table1[[#This Row],[Spec Type2]]="N/A",Table1[[#This Row],[DUT Adj Read]]="N/A",Table1[[#This Row],[Std Adj Read]]="N/A"),"N/A",IF(Table1[[#This Row],[DUT Adj Read]]="N/A",IF(Table1[[#This Row],[Std Adj Read]]&gt;Table1[[#This Row],[Low Tol]],"Pass","Fail"),IF(Table1[[#This Row],[DUT Adj Read]]&gt;Table1[[#This Row],[Low Tol]],"Pass","Fail")))</f>
        <v>Pass</v>
      </c>
      <c r="AE2379" s="1" t="str">
        <f>IF(AND(Table1[[#This Row],[Spec Type2]]="N/A",Table1[[#This Row],[DUT Adj Read]]="N/A",Table1[[#This Row],[Std Adj Read]]="N/A"),"N/A",IF(Table1[[#This Row],[DUT Adj Read]]="N/A",IF(Table1[[#This Row],[Std Adj Read]]&lt;Table1[[#This Row],[High Tol]],"Pass","Fail"),IF(Table1[[#This Row],[DUT Adj Read]]&lt;Table1[[#This Row],[High Tol]],"Pass","Fail")))</f>
        <v>Fail</v>
      </c>
      <c r="AF2379" s="1" t="str">
        <f>IF(AND(Table1[[#This Row],[Spec Type2]]="N/A",Table1[[#This Row],[DUT Adj Read]]="N/A",Table1[[#This Row],[Std Adj Read]]="N/A"),"N/A",IF(Table1[[#This Row],[DUT Adj Read]]="N/A",IF(Table1[[#This Row],[Std Adj Read]]&gt;=Table1[[#This Row],[Low Tol]],"Pass","Fail"),IF(Table1[[#This Row],[DUT Adj Read]]&gt;=Table1[[#This Row],[Low Tol]],"Pass","Fail")))</f>
        <v>Pass</v>
      </c>
      <c r="AG2379" s="1" t="str">
        <f>IF(AND(Table1[[#This Row],[Spec Type2]]="N/A",Table1[[#This Row],[DUT Adj Read]]="N/A",Table1[[#This Row],[Std Adj Read]]="N/A"),"N/A",IF(Table1[[#This Row],[DUT Adj Read]]="N/A",IF(Table1[[#This Row],[Std Adj Read]]&lt;=Table1[[#This Row],[High Tol]],"Pass","Fail"),IF(Table1[[#This Row],[DUT Adj Read]]&lt;=Table1[[#This Row],[High Tol]],"Pass","Fail")))</f>
        <v>Fail</v>
      </c>
      <c r="AH23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79" s="1" t="b">
        <v>0</v>
      </c>
      <c r="AN2379" s="1" t="b">
        <v>0</v>
      </c>
      <c r="AO2379" s="1" t="b">
        <v>0</v>
      </c>
    </row>
    <row r="2380" spans="1:41" x14ac:dyDescent="0.25">
      <c r="A2380" s="10"/>
      <c r="B2380" s="10"/>
      <c r="C2380" s="10"/>
      <c r="D2380" s="10"/>
      <c r="E2380" s="10"/>
      <c r="F2380" s="10"/>
      <c r="G2380" s="10"/>
      <c r="H2380" s="10"/>
      <c r="I2380" s="1" t="str">
        <f t="shared" si="111"/>
        <v/>
      </c>
      <c r="J2380" s="1" t="s">
        <v>35</v>
      </c>
      <c r="K2380" s="1" t="str">
        <f t="shared" si="112"/>
        <v/>
      </c>
      <c r="L2380" s="1" t="str">
        <f t="shared" si="113"/>
        <v/>
      </c>
      <c r="M2380" s="1">
        <f>IF(OR(Table1[[#This Row],[Std Nom]]="",Table1[[#This Row],[Std Read]]=""),0,Table1[[#This Row],[Std Nom]]-Table1[[#This Row],[Std Read]])</f>
        <v>0</v>
      </c>
      <c r="N2380" s="1">
        <f>IF(Calculations!$F$5="ACCREDITED 17025 WITH UNCERTAINTIES",$N$10,0)</f>
        <v>0</v>
      </c>
      <c r="Q2380" s="1">
        <f>Table1[[#This Row],[High Tol]]-Table1[[#This Row],[Low Tol]]</f>
        <v>0</v>
      </c>
      <c r="R2380" s="1">
        <f>2*Table1[[#This Row],[Std Error]]</f>
        <v>0</v>
      </c>
      <c r="S2380" s="1" t="str">
        <f>IF(Table1[[#This Row],[High Tol]]="","N/A",IFERROR(ABS(Table1[[#This Row],[Tol Span]]/Table1[[#This Row],[Error Span]]),"N/A"))</f>
        <v>N/A</v>
      </c>
      <c r="T2380" s="1" t="str">
        <f>IF(OR(Table1[[#This Row],[Low Tol]]="",Table1[[#This Row],[High Tol]]=""),"Needs Analysis",IF(Table1[[#This Row],[Ratio]]&gt;=4,"Not Significant",IF(Table1[[#This Row],[Ratio]]&gt;=2,"Semi-Significant","Significant")))</f>
        <v>Needs Analysis</v>
      </c>
      <c r="W2380" s="1">
        <f>IF(Table1[[#This Row],[Cal Type]]&lt;&gt;"ACCREDITED 17025 WITH UNCERTAINTIES",0,"")</f>
        <v>0</v>
      </c>
      <c r="X2380" s="1" t="str">
        <f>IF(Table1[[#This Row],[DUT Read]]="","N/A",Table1[[#This Row],[Std Error]]+Table1[[#This Row],[DUT Read]]+Table1[[#This Row],[DUT Ucty]])</f>
        <v>N/A</v>
      </c>
      <c r="Y2380" s="1" t="str">
        <f>IF(Table1[[#This Row],[Std Read]]="","N/A",Table1[[#This Row],[Std Read]]+Table1[[#This Row],[Std Ucty]])</f>
        <v>N/A</v>
      </c>
      <c r="Z23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0" s="1" t="str">
        <f>IF(Table1[[#This Row],[Spec Type]]="","N/A",Table1[[#This Row],[Spec Type]])</f>
        <v>±</v>
      </c>
      <c r="AC2380" s="1" t="str">
        <f>IF(Table1[[#This Row],[Spec Type2]]="N/A","N/A",IF(AND(Table1[[#This Row],[DUT Adj Read]]&gt;=Table1[[#This Row],[Low Tol]],Table1[[#This Row],[DUT Adj Read]]&lt;=Table1[[#This Row],[High Tol]]),"Pass","Fail"))</f>
        <v>Fail</v>
      </c>
      <c r="AD2380" s="1" t="str">
        <f>IF(AND(Table1[[#This Row],[Spec Type2]]="N/A",Table1[[#This Row],[DUT Adj Read]]="N/A",Table1[[#This Row],[Std Adj Read]]="N/A"),"N/A",IF(Table1[[#This Row],[DUT Adj Read]]="N/A",IF(Table1[[#This Row],[Std Adj Read]]&gt;Table1[[#This Row],[Low Tol]],"Pass","Fail"),IF(Table1[[#This Row],[DUT Adj Read]]&gt;Table1[[#This Row],[Low Tol]],"Pass","Fail")))</f>
        <v>Pass</v>
      </c>
      <c r="AE2380" s="1" t="str">
        <f>IF(AND(Table1[[#This Row],[Spec Type2]]="N/A",Table1[[#This Row],[DUT Adj Read]]="N/A",Table1[[#This Row],[Std Adj Read]]="N/A"),"N/A",IF(Table1[[#This Row],[DUT Adj Read]]="N/A",IF(Table1[[#This Row],[Std Adj Read]]&lt;Table1[[#This Row],[High Tol]],"Pass","Fail"),IF(Table1[[#This Row],[DUT Adj Read]]&lt;Table1[[#This Row],[High Tol]],"Pass","Fail")))</f>
        <v>Fail</v>
      </c>
      <c r="AF2380" s="1" t="str">
        <f>IF(AND(Table1[[#This Row],[Spec Type2]]="N/A",Table1[[#This Row],[DUT Adj Read]]="N/A",Table1[[#This Row],[Std Adj Read]]="N/A"),"N/A",IF(Table1[[#This Row],[DUT Adj Read]]="N/A",IF(Table1[[#This Row],[Std Adj Read]]&gt;=Table1[[#This Row],[Low Tol]],"Pass","Fail"),IF(Table1[[#This Row],[DUT Adj Read]]&gt;=Table1[[#This Row],[Low Tol]],"Pass","Fail")))</f>
        <v>Pass</v>
      </c>
      <c r="AG2380" s="1" t="str">
        <f>IF(AND(Table1[[#This Row],[Spec Type2]]="N/A",Table1[[#This Row],[DUT Adj Read]]="N/A",Table1[[#This Row],[Std Adj Read]]="N/A"),"N/A",IF(Table1[[#This Row],[DUT Adj Read]]="N/A",IF(Table1[[#This Row],[Std Adj Read]]&lt;=Table1[[#This Row],[High Tol]],"Pass","Fail"),IF(Table1[[#This Row],[DUT Adj Read]]&lt;=Table1[[#This Row],[High Tol]],"Pass","Fail")))</f>
        <v>Fail</v>
      </c>
      <c r="AH23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0" s="1" t="b">
        <v>0</v>
      </c>
      <c r="AN2380" s="1" t="b">
        <v>0</v>
      </c>
      <c r="AO2380" s="1" t="b">
        <v>0</v>
      </c>
    </row>
    <row r="2381" spans="1:41" x14ac:dyDescent="0.25">
      <c r="A2381" s="10"/>
      <c r="B2381" s="10"/>
      <c r="C2381" s="10"/>
      <c r="D2381" s="10"/>
      <c r="E2381" s="10"/>
      <c r="F2381" s="10"/>
      <c r="G2381" s="10"/>
      <c r="H2381" s="10"/>
      <c r="I2381" s="1" t="str">
        <f t="shared" si="111"/>
        <v/>
      </c>
      <c r="J2381" s="1" t="s">
        <v>35</v>
      </c>
      <c r="K2381" s="1" t="str">
        <f t="shared" si="112"/>
        <v/>
      </c>
      <c r="L2381" s="1" t="str">
        <f t="shared" si="113"/>
        <v/>
      </c>
      <c r="M2381" s="1">
        <f>IF(OR(Table1[[#This Row],[Std Nom]]="",Table1[[#This Row],[Std Read]]=""),0,Table1[[#This Row],[Std Nom]]-Table1[[#This Row],[Std Read]])</f>
        <v>0</v>
      </c>
      <c r="N2381" s="1">
        <f>IF(Calculations!$F$5="ACCREDITED 17025 WITH UNCERTAINTIES",$N$10,0)</f>
        <v>0</v>
      </c>
      <c r="Q2381" s="1">
        <f>Table1[[#This Row],[High Tol]]-Table1[[#This Row],[Low Tol]]</f>
        <v>0</v>
      </c>
      <c r="R2381" s="1">
        <f>2*Table1[[#This Row],[Std Error]]</f>
        <v>0</v>
      </c>
      <c r="S2381" s="1" t="str">
        <f>IF(Table1[[#This Row],[High Tol]]="","N/A",IFERROR(ABS(Table1[[#This Row],[Tol Span]]/Table1[[#This Row],[Error Span]]),"N/A"))</f>
        <v>N/A</v>
      </c>
      <c r="T2381" s="1" t="str">
        <f>IF(OR(Table1[[#This Row],[Low Tol]]="",Table1[[#This Row],[High Tol]]=""),"Needs Analysis",IF(Table1[[#This Row],[Ratio]]&gt;=4,"Not Significant",IF(Table1[[#This Row],[Ratio]]&gt;=2,"Semi-Significant","Significant")))</f>
        <v>Needs Analysis</v>
      </c>
      <c r="W2381" s="1">
        <f>IF(Table1[[#This Row],[Cal Type]]&lt;&gt;"ACCREDITED 17025 WITH UNCERTAINTIES",0,"")</f>
        <v>0</v>
      </c>
      <c r="X2381" s="1" t="str">
        <f>IF(Table1[[#This Row],[DUT Read]]="","N/A",Table1[[#This Row],[Std Error]]+Table1[[#This Row],[DUT Read]]+Table1[[#This Row],[DUT Ucty]])</f>
        <v>N/A</v>
      </c>
      <c r="Y2381" s="1" t="str">
        <f>IF(Table1[[#This Row],[Std Read]]="","N/A",Table1[[#This Row],[Std Read]]+Table1[[#This Row],[Std Ucty]])</f>
        <v>N/A</v>
      </c>
      <c r="Z23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1" s="1" t="str">
        <f>IF(Table1[[#This Row],[Spec Type]]="","N/A",Table1[[#This Row],[Spec Type]])</f>
        <v>±</v>
      </c>
      <c r="AC2381" s="1" t="str">
        <f>IF(Table1[[#This Row],[Spec Type2]]="N/A","N/A",IF(AND(Table1[[#This Row],[DUT Adj Read]]&gt;=Table1[[#This Row],[Low Tol]],Table1[[#This Row],[DUT Adj Read]]&lt;=Table1[[#This Row],[High Tol]]),"Pass","Fail"))</f>
        <v>Fail</v>
      </c>
      <c r="AD2381" s="1" t="str">
        <f>IF(AND(Table1[[#This Row],[Spec Type2]]="N/A",Table1[[#This Row],[DUT Adj Read]]="N/A",Table1[[#This Row],[Std Adj Read]]="N/A"),"N/A",IF(Table1[[#This Row],[DUT Adj Read]]="N/A",IF(Table1[[#This Row],[Std Adj Read]]&gt;Table1[[#This Row],[Low Tol]],"Pass","Fail"),IF(Table1[[#This Row],[DUT Adj Read]]&gt;Table1[[#This Row],[Low Tol]],"Pass","Fail")))</f>
        <v>Pass</v>
      </c>
      <c r="AE2381" s="1" t="str">
        <f>IF(AND(Table1[[#This Row],[Spec Type2]]="N/A",Table1[[#This Row],[DUT Adj Read]]="N/A",Table1[[#This Row],[Std Adj Read]]="N/A"),"N/A",IF(Table1[[#This Row],[DUT Adj Read]]="N/A",IF(Table1[[#This Row],[Std Adj Read]]&lt;Table1[[#This Row],[High Tol]],"Pass","Fail"),IF(Table1[[#This Row],[DUT Adj Read]]&lt;Table1[[#This Row],[High Tol]],"Pass","Fail")))</f>
        <v>Fail</v>
      </c>
      <c r="AF2381" s="1" t="str">
        <f>IF(AND(Table1[[#This Row],[Spec Type2]]="N/A",Table1[[#This Row],[DUT Adj Read]]="N/A",Table1[[#This Row],[Std Adj Read]]="N/A"),"N/A",IF(Table1[[#This Row],[DUT Adj Read]]="N/A",IF(Table1[[#This Row],[Std Adj Read]]&gt;=Table1[[#This Row],[Low Tol]],"Pass","Fail"),IF(Table1[[#This Row],[DUT Adj Read]]&gt;=Table1[[#This Row],[Low Tol]],"Pass","Fail")))</f>
        <v>Pass</v>
      </c>
      <c r="AG2381" s="1" t="str">
        <f>IF(AND(Table1[[#This Row],[Spec Type2]]="N/A",Table1[[#This Row],[DUT Adj Read]]="N/A",Table1[[#This Row],[Std Adj Read]]="N/A"),"N/A",IF(Table1[[#This Row],[DUT Adj Read]]="N/A",IF(Table1[[#This Row],[Std Adj Read]]&lt;=Table1[[#This Row],[High Tol]],"Pass","Fail"),IF(Table1[[#This Row],[DUT Adj Read]]&lt;=Table1[[#This Row],[High Tol]],"Pass","Fail")))</f>
        <v>Fail</v>
      </c>
      <c r="AH23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1" s="1" t="b">
        <v>0</v>
      </c>
      <c r="AN2381" s="1" t="b">
        <v>0</v>
      </c>
      <c r="AO2381" s="1" t="b">
        <v>0</v>
      </c>
    </row>
    <row r="2382" spans="1:41" x14ac:dyDescent="0.25">
      <c r="A2382" s="10"/>
      <c r="B2382" s="10"/>
      <c r="C2382" s="10"/>
      <c r="D2382" s="10"/>
      <c r="E2382" s="10"/>
      <c r="F2382" s="10"/>
      <c r="G2382" s="10"/>
      <c r="H2382" s="10"/>
      <c r="I2382" s="1" t="str">
        <f t="shared" si="111"/>
        <v/>
      </c>
      <c r="J2382" s="1" t="s">
        <v>35</v>
      </c>
      <c r="K2382" s="1" t="str">
        <f t="shared" si="112"/>
        <v/>
      </c>
      <c r="L2382" s="1" t="str">
        <f t="shared" si="113"/>
        <v/>
      </c>
      <c r="M2382" s="1">
        <f>IF(OR(Table1[[#This Row],[Std Nom]]="",Table1[[#This Row],[Std Read]]=""),0,Table1[[#This Row],[Std Nom]]-Table1[[#This Row],[Std Read]])</f>
        <v>0</v>
      </c>
      <c r="N2382" s="1">
        <f>IF(Calculations!$F$5="ACCREDITED 17025 WITH UNCERTAINTIES",$N$10,0)</f>
        <v>0</v>
      </c>
      <c r="Q2382" s="1">
        <f>Table1[[#This Row],[High Tol]]-Table1[[#This Row],[Low Tol]]</f>
        <v>0</v>
      </c>
      <c r="R2382" s="1">
        <f>2*Table1[[#This Row],[Std Error]]</f>
        <v>0</v>
      </c>
      <c r="S2382" s="1" t="str">
        <f>IF(Table1[[#This Row],[High Tol]]="","N/A",IFERROR(ABS(Table1[[#This Row],[Tol Span]]/Table1[[#This Row],[Error Span]]),"N/A"))</f>
        <v>N/A</v>
      </c>
      <c r="T2382" s="1" t="str">
        <f>IF(OR(Table1[[#This Row],[Low Tol]]="",Table1[[#This Row],[High Tol]]=""),"Needs Analysis",IF(Table1[[#This Row],[Ratio]]&gt;=4,"Not Significant",IF(Table1[[#This Row],[Ratio]]&gt;=2,"Semi-Significant","Significant")))</f>
        <v>Needs Analysis</v>
      </c>
      <c r="W2382" s="1">
        <f>IF(Table1[[#This Row],[Cal Type]]&lt;&gt;"ACCREDITED 17025 WITH UNCERTAINTIES",0,"")</f>
        <v>0</v>
      </c>
      <c r="X2382" s="1" t="str">
        <f>IF(Table1[[#This Row],[DUT Read]]="","N/A",Table1[[#This Row],[Std Error]]+Table1[[#This Row],[DUT Read]]+Table1[[#This Row],[DUT Ucty]])</f>
        <v>N/A</v>
      </c>
      <c r="Y2382" s="1" t="str">
        <f>IF(Table1[[#This Row],[Std Read]]="","N/A",Table1[[#This Row],[Std Read]]+Table1[[#This Row],[Std Ucty]])</f>
        <v>N/A</v>
      </c>
      <c r="Z23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2" s="1" t="str">
        <f>IF(Table1[[#This Row],[Spec Type]]="","N/A",Table1[[#This Row],[Spec Type]])</f>
        <v>±</v>
      </c>
      <c r="AC2382" s="1" t="str">
        <f>IF(Table1[[#This Row],[Spec Type2]]="N/A","N/A",IF(AND(Table1[[#This Row],[DUT Adj Read]]&gt;=Table1[[#This Row],[Low Tol]],Table1[[#This Row],[DUT Adj Read]]&lt;=Table1[[#This Row],[High Tol]]),"Pass","Fail"))</f>
        <v>Fail</v>
      </c>
      <c r="AD2382" s="1" t="str">
        <f>IF(AND(Table1[[#This Row],[Spec Type2]]="N/A",Table1[[#This Row],[DUT Adj Read]]="N/A",Table1[[#This Row],[Std Adj Read]]="N/A"),"N/A",IF(Table1[[#This Row],[DUT Adj Read]]="N/A",IF(Table1[[#This Row],[Std Adj Read]]&gt;Table1[[#This Row],[Low Tol]],"Pass","Fail"),IF(Table1[[#This Row],[DUT Adj Read]]&gt;Table1[[#This Row],[Low Tol]],"Pass","Fail")))</f>
        <v>Pass</v>
      </c>
      <c r="AE2382" s="1" t="str">
        <f>IF(AND(Table1[[#This Row],[Spec Type2]]="N/A",Table1[[#This Row],[DUT Adj Read]]="N/A",Table1[[#This Row],[Std Adj Read]]="N/A"),"N/A",IF(Table1[[#This Row],[DUT Adj Read]]="N/A",IF(Table1[[#This Row],[Std Adj Read]]&lt;Table1[[#This Row],[High Tol]],"Pass","Fail"),IF(Table1[[#This Row],[DUT Adj Read]]&lt;Table1[[#This Row],[High Tol]],"Pass","Fail")))</f>
        <v>Fail</v>
      </c>
      <c r="AF2382" s="1" t="str">
        <f>IF(AND(Table1[[#This Row],[Spec Type2]]="N/A",Table1[[#This Row],[DUT Adj Read]]="N/A",Table1[[#This Row],[Std Adj Read]]="N/A"),"N/A",IF(Table1[[#This Row],[DUT Adj Read]]="N/A",IF(Table1[[#This Row],[Std Adj Read]]&gt;=Table1[[#This Row],[Low Tol]],"Pass","Fail"),IF(Table1[[#This Row],[DUT Adj Read]]&gt;=Table1[[#This Row],[Low Tol]],"Pass","Fail")))</f>
        <v>Pass</v>
      </c>
      <c r="AG2382" s="1" t="str">
        <f>IF(AND(Table1[[#This Row],[Spec Type2]]="N/A",Table1[[#This Row],[DUT Adj Read]]="N/A",Table1[[#This Row],[Std Adj Read]]="N/A"),"N/A",IF(Table1[[#This Row],[DUT Adj Read]]="N/A",IF(Table1[[#This Row],[Std Adj Read]]&lt;=Table1[[#This Row],[High Tol]],"Pass","Fail"),IF(Table1[[#This Row],[DUT Adj Read]]&lt;=Table1[[#This Row],[High Tol]],"Pass","Fail")))</f>
        <v>Fail</v>
      </c>
      <c r="AH23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2" s="1" t="b">
        <v>0</v>
      </c>
      <c r="AN2382" s="1" t="b">
        <v>0</v>
      </c>
      <c r="AO2382" s="1" t="b">
        <v>0</v>
      </c>
    </row>
    <row r="2383" spans="1:41" x14ac:dyDescent="0.25">
      <c r="A2383" s="10"/>
      <c r="B2383" s="10"/>
      <c r="C2383" s="10"/>
      <c r="D2383" s="10"/>
      <c r="E2383" s="10"/>
      <c r="F2383" s="10"/>
      <c r="G2383" s="10"/>
      <c r="H2383" s="10"/>
      <c r="I2383" s="1" t="str">
        <f t="shared" si="111"/>
        <v/>
      </c>
      <c r="J2383" s="1" t="s">
        <v>35</v>
      </c>
      <c r="K2383" s="1" t="str">
        <f t="shared" si="112"/>
        <v/>
      </c>
      <c r="L2383" s="1" t="str">
        <f t="shared" si="113"/>
        <v/>
      </c>
      <c r="M2383" s="1">
        <f>IF(OR(Table1[[#This Row],[Std Nom]]="",Table1[[#This Row],[Std Read]]=""),0,Table1[[#This Row],[Std Nom]]-Table1[[#This Row],[Std Read]])</f>
        <v>0</v>
      </c>
      <c r="N2383" s="1">
        <f>IF(Calculations!$F$5="ACCREDITED 17025 WITH UNCERTAINTIES",$N$10,0)</f>
        <v>0</v>
      </c>
      <c r="Q2383" s="1">
        <f>Table1[[#This Row],[High Tol]]-Table1[[#This Row],[Low Tol]]</f>
        <v>0</v>
      </c>
      <c r="R2383" s="1">
        <f>2*Table1[[#This Row],[Std Error]]</f>
        <v>0</v>
      </c>
      <c r="S2383" s="1" t="str">
        <f>IF(Table1[[#This Row],[High Tol]]="","N/A",IFERROR(ABS(Table1[[#This Row],[Tol Span]]/Table1[[#This Row],[Error Span]]),"N/A"))</f>
        <v>N/A</v>
      </c>
      <c r="T2383" s="1" t="str">
        <f>IF(OR(Table1[[#This Row],[Low Tol]]="",Table1[[#This Row],[High Tol]]=""),"Needs Analysis",IF(Table1[[#This Row],[Ratio]]&gt;=4,"Not Significant",IF(Table1[[#This Row],[Ratio]]&gt;=2,"Semi-Significant","Significant")))</f>
        <v>Needs Analysis</v>
      </c>
      <c r="W2383" s="1">
        <f>IF(Table1[[#This Row],[Cal Type]]&lt;&gt;"ACCREDITED 17025 WITH UNCERTAINTIES",0,"")</f>
        <v>0</v>
      </c>
      <c r="X2383" s="1" t="str">
        <f>IF(Table1[[#This Row],[DUT Read]]="","N/A",Table1[[#This Row],[Std Error]]+Table1[[#This Row],[DUT Read]]+Table1[[#This Row],[DUT Ucty]])</f>
        <v>N/A</v>
      </c>
      <c r="Y2383" s="1" t="str">
        <f>IF(Table1[[#This Row],[Std Read]]="","N/A",Table1[[#This Row],[Std Read]]+Table1[[#This Row],[Std Ucty]])</f>
        <v>N/A</v>
      </c>
      <c r="Z23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3" s="1" t="str">
        <f>IF(Table1[[#This Row],[Spec Type]]="","N/A",Table1[[#This Row],[Spec Type]])</f>
        <v>±</v>
      </c>
      <c r="AC2383" s="1" t="str">
        <f>IF(Table1[[#This Row],[Spec Type2]]="N/A","N/A",IF(AND(Table1[[#This Row],[DUT Adj Read]]&gt;=Table1[[#This Row],[Low Tol]],Table1[[#This Row],[DUT Adj Read]]&lt;=Table1[[#This Row],[High Tol]]),"Pass","Fail"))</f>
        <v>Fail</v>
      </c>
      <c r="AD2383" s="1" t="str">
        <f>IF(AND(Table1[[#This Row],[Spec Type2]]="N/A",Table1[[#This Row],[DUT Adj Read]]="N/A",Table1[[#This Row],[Std Adj Read]]="N/A"),"N/A",IF(Table1[[#This Row],[DUT Adj Read]]="N/A",IF(Table1[[#This Row],[Std Adj Read]]&gt;Table1[[#This Row],[Low Tol]],"Pass","Fail"),IF(Table1[[#This Row],[DUT Adj Read]]&gt;Table1[[#This Row],[Low Tol]],"Pass","Fail")))</f>
        <v>Pass</v>
      </c>
      <c r="AE2383" s="1" t="str">
        <f>IF(AND(Table1[[#This Row],[Spec Type2]]="N/A",Table1[[#This Row],[DUT Adj Read]]="N/A",Table1[[#This Row],[Std Adj Read]]="N/A"),"N/A",IF(Table1[[#This Row],[DUT Adj Read]]="N/A",IF(Table1[[#This Row],[Std Adj Read]]&lt;Table1[[#This Row],[High Tol]],"Pass","Fail"),IF(Table1[[#This Row],[DUT Adj Read]]&lt;Table1[[#This Row],[High Tol]],"Pass","Fail")))</f>
        <v>Fail</v>
      </c>
      <c r="AF2383" s="1" t="str">
        <f>IF(AND(Table1[[#This Row],[Spec Type2]]="N/A",Table1[[#This Row],[DUT Adj Read]]="N/A",Table1[[#This Row],[Std Adj Read]]="N/A"),"N/A",IF(Table1[[#This Row],[DUT Adj Read]]="N/A",IF(Table1[[#This Row],[Std Adj Read]]&gt;=Table1[[#This Row],[Low Tol]],"Pass","Fail"),IF(Table1[[#This Row],[DUT Adj Read]]&gt;=Table1[[#This Row],[Low Tol]],"Pass","Fail")))</f>
        <v>Pass</v>
      </c>
      <c r="AG2383" s="1" t="str">
        <f>IF(AND(Table1[[#This Row],[Spec Type2]]="N/A",Table1[[#This Row],[DUT Adj Read]]="N/A",Table1[[#This Row],[Std Adj Read]]="N/A"),"N/A",IF(Table1[[#This Row],[DUT Adj Read]]="N/A",IF(Table1[[#This Row],[Std Adj Read]]&lt;=Table1[[#This Row],[High Tol]],"Pass","Fail"),IF(Table1[[#This Row],[DUT Adj Read]]&lt;=Table1[[#This Row],[High Tol]],"Pass","Fail")))</f>
        <v>Fail</v>
      </c>
      <c r="AH23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3" s="1" t="b">
        <v>0</v>
      </c>
      <c r="AN2383" s="1" t="b">
        <v>0</v>
      </c>
      <c r="AO2383" s="1" t="b">
        <v>0</v>
      </c>
    </row>
    <row r="2384" spans="1:41" x14ac:dyDescent="0.25">
      <c r="A2384" s="10"/>
      <c r="B2384" s="10"/>
      <c r="C2384" s="10"/>
      <c r="D2384" s="10"/>
      <c r="E2384" s="10"/>
      <c r="F2384" s="10"/>
      <c r="G2384" s="10"/>
      <c r="H2384" s="10"/>
      <c r="I2384" s="1" t="str">
        <f t="shared" si="111"/>
        <v/>
      </c>
      <c r="J2384" s="1" t="s">
        <v>35</v>
      </c>
      <c r="K2384" s="1" t="str">
        <f t="shared" si="112"/>
        <v/>
      </c>
      <c r="L2384" s="1" t="str">
        <f t="shared" si="113"/>
        <v/>
      </c>
      <c r="M2384" s="1">
        <f>IF(OR(Table1[[#This Row],[Std Nom]]="",Table1[[#This Row],[Std Read]]=""),0,Table1[[#This Row],[Std Nom]]-Table1[[#This Row],[Std Read]])</f>
        <v>0</v>
      </c>
      <c r="N2384" s="1">
        <f>IF(Calculations!$F$5="ACCREDITED 17025 WITH UNCERTAINTIES",$N$10,0)</f>
        <v>0</v>
      </c>
      <c r="Q2384" s="1">
        <f>Table1[[#This Row],[High Tol]]-Table1[[#This Row],[Low Tol]]</f>
        <v>0</v>
      </c>
      <c r="R2384" s="1">
        <f>2*Table1[[#This Row],[Std Error]]</f>
        <v>0</v>
      </c>
      <c r="S2384" s="1" t="str">
        <f>IF(Table1[[#This Row],[High Tol]]="","N/A",IFERROR(ABS(Table1[[#This Row],[Tol Span]]/Table1[[#This Row],[Error Span]]),"N/A"))</f>
        <v>N/A</v>
      </c>
      <c r="T2384" s="1" t="str">
        <f>IF(OR(Table1[[#This Row],[Low Tol]]="",Table1[[#This Row],[High Tol]]=""),"Needs Analysis",IF(Table1[[#This Row],[Ratio]]&gt;=4,"Not Significant",IF(Table1[[#This Row],[Ratio]]&gt;=2,"Semi-Significant","Significant")))</f>
        <v>Needs Analysis</v>
      </c>
      <c r="W2384" s="1">
        <f>IF(Table1[[#This Row],[Cal Type]]&lt;&gt;"ACCREDITED 17025 WITH UNCERTAINTIES",0,"")</f>
        <v>0</v>
      </c>
      <c r="X2384" s="1" t="str">
        <f>IF(Table1[[#This Row],[DUT Read]]="","N/A",Table1[[#This Row],[Std Error]]+Table1[[#This Row],[DUT Read]]+Table1[[#This Row],[DUT Ucty]])</f>
        <v>N/A</v>
      </c>
      <c r="Y2384" s="1" t="str">
        <f>IF(Table1[[#This Row],[Std Read]]="","N/A",Table1[[#This Row],[Std Read]]+Table1[[#This Row],[Std Ucty]])</f>
        <v>N/A</v>
      </c>
      <c r="Z23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4" s="1" t="str">
        <f>IF(Table1[[#This Row],[Spec Type]]="","N/A",Table1[[#This Row],[Spec Type]])</f>
        <v>±</v>
      </c>
      <c r="AC2384" s="1" t="str">
        <f>IF(Table1[[#This Row],[Spec Type2]]="N/A","N/A",IF(AND(Table1[[#This Row],[DUT Adj Read]]&gt;=Table1[[#This Row],[Low Tol]],Table1[[#This Row],[DUT Adj Read]]&lt;=Table1[[#This Row],[High Tol]]),"Pass","Fail"))</f>
        <v>Fail</v>
      </c>
      <c r="AD2384" s="1" t="str">
        <f>IF(AND(Table1[[#This Row],[Spec Type2]]="N/A",Table1[[#This Row],[DUT Adj Read]]="N/A",Table1[[#This Row],[Std Adj Read]]="N/A"),"N/A",IF(Table1[[#This Row],[DUT Adj Read]]="N/A",IF(Table1[[#This Row],[Std Adj Read]]&gt;Table1[[#This Row],[Low Tol]],"Pass","Fail"),IF(Table1[[#This Row],[DUT Adj Read]]&gt;Table1[[#This Row],[Low Tol]],"Pass","Fail")))</f>
        <v>Pass</v>
      </c>
      <c r="AE2384" s="1" t="str">
        <f>IF(AND(Table1[[#This Row],[Spec Type2]]="N/A",Table1[[#This Row],[DUT Adj Read]]="N/A",Table1[[#This Row],[Std Adj Read]]="N/A"),"N/A",IF(Table1[[#This Row],[DUT Adj Read]]="N/A",IF(Table1[[#This Row],[Std Adj Read]]&lt;Table1[[#This Row],[High Tol]],"Pass","Fail"),IF(Table1[[#This Row],[DUT Adj Read]]&lt;Table1[[#This Row],[High Tol]],"Pass","Fail")))</f>
        <v>Fail</v>
      </c>
      <c r="AF2384" s="1" t="str">
        <f>IF(AND(Table1[[#This Row],[Spec Type2]]="N/A",Table1[[#This Row],[DUT Adj Read]]="N/A",Table1[[#This Row],[Std Adj Read]]="N/A"),"N/A",IF(Table1[[#This Row],[DUT Adj Read]]="N/A",IF(Table1[[#This Row],[Std Adj Read]]&gt;=Table1[[#This Row],[Low Tol]],"Pass","Fail"),IF(Table1[[#This Row],[DUT Adj Read]]&gt;=Table1[[#This Row],[Low Tol]],"Pass","Fail")))</f>
        <v>Pass</v>
      </c>
      <c r="AG2384" s="1" t="str">
        <f>IF(AND(Table1[[#This Row],[Spec Type2]]="N/A",Table1[[#This Row],[DUT Adj Read]]="N/A",Table1[[#This Row],[Std Adj Read]]="N/A"),"N/A",IF(Table1[[#This Row],[DUT Adj Read]]="N/A",IF(Table1[[#This Row],[Std Adj Read]]&lt;=Table1[[#This Row],[High Tol]],"Pass","Fail"),IF(Table1[[#This Row],[DUT Adj Read]]&lt;=Table1[[#This Row],[High Tol]],"Pass","Fail")))</f>
        <v>Fail</v>
      </c>
      <c r="AH23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4" s="1" t="b">
        <v>0</v>
      </c>
      <c r="AN2384" s="1" t="b">
        <v>0</v>
      </c>
      <c r="AO2384" s="1" t="b">
        <v>0</v>
      </c>
    </row>
    <row r="2385" spans="1:41" x14ac:dyDescent="0.25">
      <c r="A2385" s="10"/>
      <c r="B2385" s="10"/>
      <c r="C2385" s="10"/>
      <c r="D2385" s="10"/>
      <c r="E2385" s="10"/>
      <c r="F2385" s="10"/>
      <c r="G2385" s="10"/>
      <c r="H2385" s="10"/>
      <c r="I2385" s="1" t="str">
        <f t="shared" si="111"/>
        <v/>
      </c>
      <c r="J2385" s="1" t="s">
        <v>35</v>
      </c>
      <c r="K2385" s="1" t="str">
        <f t="shared" si="112"/>
        <v/>
      </c>
      <c r="L2385" s="1" t="str">
        <f t="shared" si="113"/>
        <v/>
      </c>
      <c r="M2385" s="1">
        <f>IF(OR(Table1[[#This Row],[Std Nom]]="",Table1[[#This Row],[Std Read]]=""),0,Table1[[#This Row],[Std Nom]]-Table1[[#This Row],[Std Read]])</f>
        <v>0</v>
      </c>
      <c r="N2385" s="1">
        <f>IF(Calculations!$F$5="ACCREDITED 17025 WITH UNCERTAINTIES",$N$10,0)</f>
        <v>0</v>
      </c>
      <c r="Q2385" s="1">
        <f>Table1[[#This Row],[High Tol]]-Table1[[#This Row],[Low Tol]]</f>
        <v>0</v>
      </c>
      <c r="R2385" s="1">
        <f>2*Table1[[#This Row],[Std Error]]</f>
        <v>0</v>
      </c>
      <c r="S2385" s="1" t="str">
        <f>IF(Table1[[#This Row],[High Tol]]="","N/A",IFERROR(ABS(Table1[[#This Row],[Tol Span]]/Table1[[#This Row],[Error Span]]),"N/A"))</f>
        <v>N/A</v>
      </c>
      <c r="T2385" s="1" t="str">
        <f>IF(OR(Table1[[#This Row],[Low Tol]]="",Table1[[#This Row],[High Tol]]=""),"Needs Analysis",IF(Table1[[#This Row],[Ratio]]&gt;=4,"Not Significant",IF(Table1[[#This Row],[Ratio]]&gt;=2,"Semi-Significant","Significant")))</f>
        <v>Needs Analysis</v>
      </c>
      <c r="W2385" s="1">
        <f>IF(Table1[[#This Row],[Cal Type]]&lt;&gt;"ACCREDITED 17025 WITH UNCERTAINTIES",0,"")</f>
        <v>0</v>
      </c>
      <c r="X2385" s="1" t="str">
        <f>IF(Table1[[#This Row],[DUT Read]]="","N/A",Table1[[#This Row],[Std Error]]+Table1[[#This Row],[DUT Read]]+Table1[[#This Row],[DUT Ucty]])</f>
        <v>N/A</v>
      </c>
      <c r="Y2385" s="1" t="str">
        <f>IF(Table1[[#This Row],[Std Read]]="","N/A",Table1[[#This Row],[Std Read]]+Table1[[#This Row],[Std Ucty]])</f>
        <v>N/A</v>
      </c>
      <c r="Z23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5" s="1" t="str">
        <f>IF(Table1[[#This Row],[Spec Type]]="","N/A",Table1[[#This Row],[Spec Type]])</f>
        <v>±</v>
      </c>
      <c r="AC2385" s="1" t="str">
        <f>IF(Table1[[#This Row],[Spec Type2]]="N/A","N/A",IF(AND(Table1[[#This Row],[DUT Adj Read]]&gt;=Table1[[#This Row],[Low Tol]],Table1[[#This Row],[DUT Adj Read]]&lt;=Table1[[#This Row],[High Tol]]),"Pass","Fail"))</f>
        <v>Fail</v>
      </c>
      <c r="AD2385" s="1" t="str">
        <f>IF(AND(Table1[[#This Row],[Spec Type2]]="N/A",Table1[[#This Row],[DUT Adj Read]]="N/A",Table1[[#This Row],[Std Adj Read]]="N/A"),"N/A",IF(Table1[[#This Row],[DUT Adj Read]]="N/A",IF(Table1[[#This Row],[Std Adj Read]]&gt;Table1[[#This Row],[Low Tol]],"Pass","Fail"),IF(Table1[[#This Row],[DUT Adj Read]]&gt;Table1[[#This Row],[Low Tol]],"Pass","Fail")))</f>
        <v>Pass</v>
      </c>
      <c r="AE2385" s="1" t="str">
        <f>IF(AND(Table1[[#This Row],[Spec Type2]]="N/A",Table1[[#This Row],[DUT Adj Read]]="N/A",Table1[[#This Row],[Std Adj Read]]="N/A"),"N/A",IF(Table1[[#This Row],[DUT Adj Read]]="N/A",IF(Table1[[#This Row],[Std Adj Read]]&lt;Table1[[#This Row],[High Tol]],"Pass","Fail"),IF(Table1[[#This Row],[DUT Adj Read]]&lt;Table1[[#This Row],[High Tol]],"Pass","Fail")))</f>
        <v>Fail</v>
      </c>
      <c r="AF2385" s="1" t="str">
        <f>IF(AND(Table1[[#This Row],[Spec Type2]]="N/A",Table1[[#This Row],[DUT Adj Read]]="N/A",Table1[[#This Row],[Std Adj Read]]="N/A"),"N/A",IF(Table1[[#This Row],[DUT Adj Read]]="N/A",IF(Table1[[#This Row],[Std Adj Read]]&gt;=Table1[[#This Row],[Low Tol]],"Pass","Fail"),IF(Table1[[#This Row],[DUT Adj Read]]&gt;=Table1[[#This Row],[Low Tol]],"Pass","Fail")))</f>
        <v>Pass</v>
      </c>
      <c r="AG2385" s="1" t="str">
        <f>IF(AND(Table1[[#This Row],[Spec Type2]]="N/A",Table1[[#This Row],[DUT Adj Read]]="N/A",Table1[[#This Row],[Std Adj Read]]="N/A"),"N/A",IF(Table1[[#This Row],[DUT Adj Read]]="N/A",IF(Table1[[#This Row],[Std Adj Read]]&lt;=Table1[[#This Row],[High Tol]],"Pass","Fail"),IF(Table1[[#This Row],[DUT Adj Read]]&lt;=Table1[[#This Row],[High Tol]],"Pass","Fail")))</f>
        <v>Fail</v>
      </c>
      <c r="AH23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5" s="1" t="b">
        <v>0</v>
      </c>
      <c r="AN2385" s="1" t="b">
        <v>0</v>
      </c>
      <c r="AO2385" s="1" t="b">
        <v>0</v>
      </c>
    </row>
    <row r="2386" spans="1:41" x14ac:dyDescent="0.25">
      <c r="A2386" s="10"/>
      <c r="B2386" s="10"/>
      <c r="C2386" s="10"/>
      <c r="D2386" s="10"/>
      <c r="E2386" s="10"/>
      <c r="F2386" s="10"/>
      <c r="G2386" s="10"/>
      <c r="H2386" s="10"/>
      <c r="I2386" s="1" t="str">
        <f t="shared" si="111"/>
        <v/>
      </c>
      <c r="J2386" s="1" t="s">
        <v>35</v>
      </c>
      <c r="K2386" s="1" t="str">
        <f t="shared" si="112"/>
        <v/>
      </c>
      <c r="L2386" s="1" t="str">
        <f t="shared" si="113"/>
        <v/>
      </c>
      <c r="M2386" s="1">
        <f>IF(OR(Table1[[#This Row],[Std Nom]]="",Table1[[#This Row],[Std Read]]=""),0,Table1[[#This Row],[Std Nom]]-Table1[[#This Row],[Std Read]])</f>
        <v>0</v>
      </c>
      <c r="N2386" s="1">
        <f>IF(Calculations!$F$5="ACCREDITED 17025 WITH UNCERTAINTIES",$N$10,0)</f>
        <v>0</v>
      </c>
      <c r="Q2386" s="1">
        <f>Table1[[#This Row],[High Tol]]-Table1[[#This Row],[Low Tol]]</f>
        <v>0</v>
      </c>
      <c r="R2386" s="1">
        <f>2*Table1[[#This Row],[Std Error]]</f>
        <v>0</v>
      </c>
      <c r="S2386" s="1" t="str">
        <f>IF(Table1[[#This Row],[High Tol]]="","N/A",IFERROR(ABS(Table1[[#This Row],[Tol Span]]/Table1[[#This Row],[Error Span]]),"N/A"))</f>
        <v>N/A</v>
      </c>
      <c r="T2386" s="1" t="str">
        <f>IF(OR(Table1[[#This Row],[Low Tol]]="",Table1[[#This Row],[High Tol]]=""),"Needs Analysis",IF(Table1[[#This Row],[Ratio]]&gt;=4,"Not Significant",IF(Table1[[#This Row],[Ratio]]&gt;=2,"Semi-Significant","Significant")))</f>
        <v>Needs Analysis</v>
      </c>
      <c r="W2386" s="1">
        <f>IF(Table1[[#This Row],[Cal Type]]&lt;&gt;"ACCREDITED 17025 WITH UNCERTAINTIES",0,"")</f>
        <v>0</v>
      </c>
      <c r="X2386" s="1" t="str">
        <f>IF(Table1[[#This Row],[DUT Read]]="","N/A",Table1[[#This Row],[Std Error]]+Table1[[#This Row],[DUT Read]]+Table1[[#This Row],[DUT Ucty]])</f>
        <v>N/A</v>
      </c>
      <c r="Y2386" s="1" t="str">
        <f>IF(Table1[[#This Row],[Std Read]]="","N/A",Table1[[#This Row],[Std Read]]+Table1[[#This Row],[Std Ucty]])</f>
        <v>N/A</v>
      </c>
      <c r="Z23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6" s="1" t="str">
        <f>IF(Table1[[#This Row],[Spec Type]]="","N/A",Table1[[#This Row],[Spec Type]])</f>
        <v>±</v>
      </c>
      <c r="AC2386" s="1" t="str">
        <f>IF(Table1[[#This Row],[Spec Type2]]="N/A","N/A",IF(AND(Table1[[#This Row],[DUT Adj Read]]&gt;=Table1[[#This Row],[Low Tol]],Table1[[#This Row],[DUT Adj Read]]&lt;=Table1[[#This Row],[High Tol]]),"Pass","Fail"))</f>
        <v>Fail</v>
      </c>
      <c r="AD2386" s="1" t="str">
        <f>IF(AND(Table1[[#This Row],[Spec Type2]]="N/A",Table1[[#This Row],[DUT Adj Read]]="N/A",Table1[[#This Row],[Std Adj Read]]="N/A"),"N/A",IF(Table1[[#This Row],[DUT Adj Read]]="N/A",IF(Table1[[#This Row],[Std Adj Read]]&gt;Table1[[#This Row],[Low Tol]],"Pass","Fail"),IF(Table1[[#This Row],[DUT Adj Read]]&gt;Table1[[#This Row],[Low Tol]],"Pass","Fail")))</f>
        <v>Pass</v>
      </c>
      <c r="AE2386" s="1" t="str">
        <f>IF(AND(Table1[[#This Row],[Spec Type2]]="N/A",Table1[[#This Row],[DUT Adj Read]]="N/A",Table1[[#This Row],[Std Adj Read]]="N/A"),"N/A",IF(Table1[[#This Row],[DUT Adj Read]]="N/A",IF(Table1[[#This Row],[Std Adj Read]]&lt;Table1[[#This Row],[High Tol]],"Pass","Fail"),IF(Table1[[#This Row],[DUT Adj Read]]&lt;Table1[[#This Row],[High Tol]],"Pass","Fail")))</f>
        <v>Fail</v>
      </c>
      <c r="AF2386" s="1" t="str">
        <f>IF(AND(Table1[[#This Row],[Spec Type2]]="N/A",Table1[[#This Row],[DUT Adj Read]]="N/A",Table1[[#This Row],[Std Adj Read]]="N/A"),"N/A",IF(Table1[[#This Row],[DUT Adj Read]]="N/A",IF(Table1[[#This Row],[Std Adj Read]]&gt;=Table1[[#This Row],[Low Tol]],"Pass","Fail"),IF(Table1[[#This Row],[DUT Adj Read]]&gt;=Table1[[#This Row],[Low Tol]],"Pass","Fail")))</f>
        <v>Pass</v>
      </c>
      <c r="AG2386" s="1" t="str">
        <f>IF(AND(Table1[[#This Row],[Spec Type2]]="N/A",Table1[[#This Row],[DUT Adj Read]]="N/A",Table1[[#This Row],[Std Adj Read]]="N/A"),"N/A",IF(Table1[[#This Row],[DUT Adj Read]]="N/A",IF(Table1[[#This Row],[Std Adj Read]]&lt;=Table1[[#This Row],[High Tol]],"Pass","Fail"),IF(Table1[[#This Row],[DUT Adj Read]]&lt;=Table1[[#This Row],[High Tol]],"Pass","Fail")))</f>
        <v>Fail</v>
      </c>
      <c r="AH23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6" s="1" t="b">
        <v>0</v>
      </c>
      <c r="AN2386" s="1" t="b">
        <v>0</v>
      </c>
      <c r="AO2386" s="1" t="b">
        <v>0</v>
      </c>
    </row>
    <row r="2387" spans="1:41" x14ac:dyDescent="0.25">
      <c r="A2387" s="10"/>
      <c r="B2387" s="10"/>
      <c r="C2387" s="10"/>
      <c r="D2387" s="10"/>
      <c r="E2387" s="10"/>
      <c r="F2387" s="10"/>
      <c r="G2387" s="10"/>
      <c r="H2387" s="10"/>
      <c r="I2387" s="1" t="str">
        <f t="shared" si="111"/>
        <v/>
      </c>
      <c r="J2387" s="1" t="s">
        <v>35</v>
      </c>
      <c r="K2387" s="1" t="str">
        <f t="shared" si="112"/>
        <v/>
      </c>
      <c r="L2387" s="1" t="str">
        <f t="shared" si="113"/>
        <v/>
      </c>
      <c r="M2387" s="1">
        <f>IF(OR(Table1[[#This Row],[Std Nom]]="",Table1[[#This Row],[Std Read]]=""),0,Table1[[#This Row],[Std Nom]]-Table1[[#This Row],[Std Read]])</f>
        <v>0</v>
      </c>
      <c r="N2387" s="1">
        <f>IF(Calculations!$F$5="ACCREDITED 17025 WITH UNCERTAINTIES",$N$10,0)</f>
        <v>0</v>
      </c>
      <c r="Q2387" s="1">
        <f>Table1[[#This Row],[High Tol]]-Table1[[#This Row],[Low Tol]]</f>
        <v>0</v>
      </c>
      <c r="R2387" s="1">
        <f>2*Table1[[#This Row],[Std Error]]</f>
        <v>0</v>
      </c>
      <c r="S2387" s="1" t="str">
        <f>IF(Table1[[#This Row],[High Tol]]="","N/A",IFERROR(ABS(Table1[[#This Row],[Tol Span]]/Table1[[#This Row],[Error Span]]),"N/A"))</f>
        <v>N/A</v>
      </c>
      <c r="T2387" s="1" t="str">
        <f>IF(OR(Table1[[#This Row],[Low Tol]]="",Table1[[#This Row],[High Tol]]=""),"Needs Analysis",IF(Table1[[#This Row],[Ratio]]&gt;=4,"Not Significant",IF(Table1[[#This Row],[Ratio]]&gt;=2,"Semi-Significant","Significant")))</f>
        <v>Needs Analysis</v>
      </c>
      <c r="W2387" s="1">
        <f>IF(Table1[[#This Row],[Cal Type]]&lt;&gt;"ACCREDITED 17025 WITH UNCERTAINTIES",0,"")</f>
        <v>0</v>
      </c>
      <c r="X2387" s="1" t="str">
        <f>IF(Table1[[#This Row],[DUT Read]]="","N/A",Table1[[#This Row],[Std Error]]+Table1[[#This Row],[DUT Read]]+Table1[[#This Row],[DUT Ucty]])</f>
        <v>N/A</v>
      </c>
      <c r="Y2387" s="1" t="str">
        <f>IF(Table1[[#This Row],[Std Read]]="","N/A",Table1[[#This Row],[Std Read]]+Table1[[#This Row],[Std Ucty]])</f>
        <v>N/A</v>
      </c>
      <c r="Z23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7" s="1" t="str">
        <f>IF(Table1[[#This Row],[Spec Type]]="","N/A",Table1[[#This Row],[Spec Type]])</f>
        <v>±</v>
      </c>
      <c r="AC2387" s="1" t="str">
        <f>IF(Table1[[#This Row],[Spec Type2]]="N/A","N/A",IF(AND(Table1[[#This Row],[DUT Adj Read]]&gt;=Table1[[#This Row],[Low Tol]],Table1[[#This Row],[DUT Adj Read]]&lt;=Table1[[#This Row],[High Tol]]),"Pass","Fail"))</f>
        <v>Fail</v>
      </c>
      <c r="AD2387" s="1" t="str">
        <f>IF(AND(Table1[[#This Row],[Spec Type2]]="N/A",Table1[[#This Row],[DUT Adj Read]]="N/A",Table1[[#This Row],[Std Adj Read]]="N/A"),"N/A",IF(Table1[[#This Row],[DUT Adj Read]]="N/A",IF(Table1[[#This Row],[Std Adj Read]]&gt;Table1[[#This Row],[Low Tol]],"Pass","Fail"),IF(Table1[[#This Row],[DUT Adj Read]]&gt;Table1[[#This Row],[Low Tol]],"Pass","Fail")))</f>
        <v>Pass</v>
      </c>
      <c r="AE2387" s="1" t="str">
        <f>IF(AND(Table1[[#This Row],[Spec Type2]]="N/A",Table1[[#This Row],[DUT Adj Read]]="N/A",Table1[[#This Row],[Std Adj Read]]="N/A"),"N/A",IF(Table1[[#This Row],[DUT Adj Read]]="N/A",IF(Table1[[#This Row],[Std Adj Read]]&lt;Table1[[#This Row],[High Tol]],"Pass","Fail"),IF(Table1[[#This Row],[DUT Adj Read]]&lt;Table1[[#This Row],[High Tol]],"Pass","Fail")))</f>
        <v>Fail</v>
      </c>
      <c r="AF2387" s="1" t="str">
        <f>IF(AND(Table1[[#This Row],[Spec Type2]]="N/A",Table1[[#This Row],[DUT Adj Read]]="N/A",Table1[[#This Row],[Std Adj Read]]="N/A"),"N/A",IF(Table1[[#This Row],[DUT Adj Read]]="N/A",IF(Table1[[#This Row],[Std Adj Read]]&gt;=Table1[[#This Row],[Low Tol]],"Pass","Fail"),IF(Table1[[#This Row],[DUT Adj Read]]&gt;=Table1[[#This Row],[Low Tol]],"Pass","Fail")))</f>
        <v>Pass</v>
      </c>
      <c r="AG2387" s="1" t="str">
        <f>IF(AND(Table1[[#This Row],[Spec Type2]]="N/A",Table1[[#This Row],[DUT Adj Read]]="N/A",Table1[[#This Row],[Std Adj Read]]="N/A"),"N/A",IF(Table1[[#This Row],[DUT Adj Read]]="N/A",IF(Table1[[#This Row],[Std Adj Read]]&lt;=Table1[[#This Row],[High Tol]],"Pass","Fail"),IF(Table1[[#This Row],[DUT Adj Read]]&lt;=Table1[[#This Row],[High Tol]],"Pass","Fail")))</f>
        <v>Fail</v>
      </c>
      <c r="AH23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7" s="1" t="b">
        <v>0</v>
      </c>
      <c r="AN2387" s="1" t="b">
        <v>0</v>
      </c>
      <c r="AO2387" s="1" t="b">
        <v>0</v>
      </c>
    </row>
    <row r="2388" spans="1:41" x14ac:dyDescent="0.25">
      <c r="A2388" s="10"/>
      <c r="B2388" s="10"/>
      <c r="C2388" s="10"/>
      <c r="D2388" s="10"/>
      <c r="E2388" s="10"/>
      <c r="F2388" s="10"/>
      <c r="G2388" s="10"/>
      <c r="H2388" s="10"/>
      <c r="I2388" s="1" t="str">
        <f t="shared" si="111"/>
        <v/>
      </c>
      <c r="J2388" s="1" t="s">
        <v>35</v>
      </c>
      <c r="K2388" s="1" t="str">
        <f t="shared" si="112"/>
        <v/>
      </c>
      <c r="L2388" s="1" t="str">
        <f t="shared" si="113"/>
        <v/>
      </c>
      <c r="M2388" s="1">
        <f>IF(OR(Table1[[#This Row],[Std Nom]]="",Table1[[#This Row],[Std Read]]=""),0,Table1[[#This Row],[Std Nom]]-Table1[[#This Row],[Std Read]])</f>
        <v>0</v>
      </c>
      <c r="N2388" s="1">
        <f>IF(Calculations!$F$5="ACCREDITED 17025 WITH UNCERTAINTIES",$N$10,0)</f>
        <v>0</v>
      </c>
      <c r="Q2388" s="1">
        <f>Table1[[#This Row],[High Tol]]-Table1[[#This Row],[Low Tol]]</f>
        <v>0</v>
      </c>
      <c r="R2388" s="1">
        <f>2*Table1[[#This Row],[Std Error]]</f>
        <v>0</v>
      </c>
      <c r="S2388" s="1" t="str">
        <f>IF(Table1[[#This Row],[High Tol]]="","N/A",IFERROR(ABS(Table1[[#This Row],[Tol Span]]/Table1[[#This Row],[Error Span]]),"N/A"))</f>
        <v>N/A</v>
      </c>
      <c r="T2388" s="1" t="str">
        <f>IF(OR(Table1[[#This Row],[Low Tol]]="",Table1[[#This Row],[High Tol]]=""),"Needs Analysis",IF(Table1[[#This Row],[Ratio]]&gt;=4,"Not Significant",IF(Table1[[#This Row],[Ratio]]&gt;=2,"Semi-Significant","Significant")))</f>
        <v>Needs Analysis</v>
      </c>
      <c r="W2388" s="1">
        <f>IF(Table1[[#This Row],[Cal Type]]&lt;&gt;"ACCREDITED 17025 WITH UNCERTAINTIES",0,"")</f>
        <v>0</v>
      </c>
      <c r="X2388" s="1" t="str">
        <f>IF(Table1[[#This Row],[DUT Read]]="","N/A",Table1[[#This Row],[Std Error]]+Table1[[#This Row],[DUT Read]]+Table1[[#This Row],[DUT Ucty]])</f>
        <v>N/A</v>
      </c>
      <c r="Y2388" s="1" t="str">
        <f>IF(Table1[[#This Row],[Std Read]]="","N/A",Table1[[#This Row],[Std Read]]+Table1[[#This Row],[Std Ucty]])</f>
        <v>N/A</v>
      </c>
      <c r="Z23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8" s="1" t="str">
        <f>IF(Table1[[#This Row],[Spec Type]]="","N/A",Table1[[#This Row],[Spec Type]])</f>
        <v>±</v>
      </c>
      <c r="AC2388" s="1" t="str">
        <f>IF(Table1[[#This Row],[Spec Type2]]="N/A","N/A",IF(AND(Table1[[#This Row],[DUT Adj Read]]&gt;=Table1[[#This Row],[Low Tol]],Table1[[#This Row],[DUT Adj Read]]&lt;=Table1[[#This Row],[High Tol]]),"Pass","Fail"))</f>
        <v>Fail</v>
      </c>
      <c r="AD2388" s="1" t="str">
        <f>IF(AND(Table1[[#This Row],[Spec Type2]]="N/A",Table1[[#This Row],[DUT Adj Read]]="N/A",Table1[[#This Row],[Std Adj Read]]="N/A"),"N/A",IF(Table1[[#This Row],[DUT Adj Read]]="N/A",IF(Table1[[#This Row],[Std Adj Read]]&gt;Table1[[#This Row],[Low Tol]],"Pass","Fail"),IF(Table1[[#This Row],[DUT Adj Read]]&gt;Table1[[#This Row],[Low Tol]],"Pass","Fail")))</f>
        <v>Pass</v>
      </c>
      <c r="AE2388" s="1" t="str">
        <f>IF(AND(Table1[[#This Row],[Spec Type2]]="N/A",Table1[[#This Row],[DUT Adj Read]]="N/A",Table1[[#This Row],[Std Adj Read]]="N/A"),"N/A",IF(Table1[[#This Row],[DUT Adj Read]]="N/A",IF(Table1[[#This Row],[Std Adj Read]]&lt;Table1[[#This Row],[High Tol]],"Pass","Fail"),IF(Table1[[#This Row],[DUT Adj Read]]&lt;Table1[[#This Row],[High Tol]],"Pass","Fail")))</f>
        <v>Fail</v>
      </c>
      <c r="AF2388" s="1" t="str">
        <f>IF(AND(Table1[[#This Row],[Spec Type2]]="N/A",Table1[[#This Row],[DUT Adj Read]]="N/A",Table1[[#This Row],[Std Adj Read]]="N/A"),"N/A",IF(Table1[[#This Row],[DUT Adj Read]]="N/A",IF(Table1[[#This Row],[Std Adj Read]]&gt;=Table1[[#This Row],[Low Tol]],"Pass","Fail"),IF(Table1[[#This Row],[DUT Adj Read]]&gt;=Table1[[#This Row],[Low Tol]],"Pass","Fail")))</f>
        <v>Pass</v>
      </c>
      <c r="AG2388" s="1" t="str">
        <f>IF(AND(Table1[[#This Row],[Spec Type2]]="N/A",Table1[[#This Row],[DUT Adj Read]]="N/A",Table1[[#This Row],[Std Adj Read]]="N/A"),"N/A",IF(Table1[[#This Row],[DUT Adj Read]]="N/A",IF(Table1[[#This Row],[Std Adj Read]]&lt;=Table1[[#This Row],[High Tol]],"Pass","Fail"),IF(Table1[[#This Row],[DUT Adj Read]]&lt;=Table1[[#This Row],[High Tol]],"Pass","Fail")))</f>
        <v>Fail</v>
      </c>
      <c r="AH23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8" s="1" t="b">
        <v>0</v>
      </c>
      <c r="AN2388" s="1" t="b">
        <v>0</v>
      </c>
      <c r="AO2388" s="1" t="b">
        <v>0</v>
      </c>
    </row>
    <row r="2389" spans="1:41" x14ac:dyDescent="0.25">
      <c r="A2389" s="10"/>
      <c r="B2389" s="10"/>
      <c r="C2389" s="10"/>
      <c r="D2389" s="10"/>
      <c r="E2389" s="10"/>
      <c r="F2389" s="10"/>
      <c r="G2389" s="10"/>
      <c r="H2389" s="10"/>
      <c r="I2389" s="1" t="str">
        <f t="shared" si="111"/>
        <v/>
      </c>
      <c r="J2389" s="1" t="s">
        <v>35</v>
      </c>
      <c r="K2389" s="1" t="str">
        <f t="shared" si="112"/>
        <v/>
      </c>
      <c r="L2389" s="1" t="str">
        <f t="shared" si="113"/>
        <v/>
      </c>
      <c r="M2389" s="1">
        <f>IF(OR(Table1[[#This Row],[Std Nom]]="",Table1[[#This Row],[Std Read]]=""),0,Table1[[#This Row],[Std Nom]]-Table1[[#This Row],[Std Read]])</f>
        <v>0</v>
      </c>
      <c r="N2389" s="1">
        <f>IF(Calculations!$F$5="ACCREDITED 17025 WITH UNCERTAINTIES",$N$10,0)</f>
        <v>0</v>
      </c>
      <c r="Q2389" s="1">
        <f>Table1[[#This Row],[High Tol]]-Table1[[#This Row],[Low Tol]]</f>
        <v>0</v>
      </c>
      <c r="R2389" s="1">
        <f>2*Table1[[#This Row],[Std Error]]</f>
        <v>0</v>
      </c>
      <c r="S2389" s="1" t="str">
        <f>IF(Table1[[#This Row],[High Tol]]="","N/A",IFERROR(ABS(Table1[[#This Row],[Tol Span]]/Table1[[#This Row],[Error Span]]),"N/A"))</f>
        <v>N/A</v>
      </c>
      <c r="T2389" s="1" t="str">
        <f>IF(OR(Table1[[#This Row],[Low Tol]]="",Table1[[#This Row],[High Tol]]=""),"Needs Analysis",IF(Table1[[#This Row],[Ratio]]&gt;=4,"Not Significant",IF(Table1[[#This Row],[Ratio]]&gt;=2,"Semi-Significant","Significant")))</f>
        <v>Needs Analysis</v>
      </c>
      <c r="W2389" s="1">
        <f>IF(Table1[[#This Row],[Cal Type]]&lt;&gt;"ACCREDITED 17025 WITH UNCERTAINTIES",0,"")</f>
        <v>0</v>
      </c>
      <c r="X2389" s="1" t="str">
        <f>IF(Table1[[#This Row],[DUT Read]]="","N/A",Table1[[#This Row],[Std Error]]+Table1[[#This Row],[DUT Read]]+Table1[[#This Row],[DUT Ucty]])</f>
        <v>N/A</v>
      </c>
      <c r="Y2389" s="1" t="str">
        <f>IF(Table1[[#This Row],[Std Read]]="","N/A",Table1[[#This Row],[Std Read]]+Table1[[#This Row],[Std Ucty]])</f>
        <v>N/A</v>
      </c>
      <c r="Z23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89" s="1" t="str">
        <f>IF(Table1[[#This Row],[Spec Type]]="","N/A",Table1[[#This Row],[Spec Type]])</f>
        <v>±</v>
      </c>
      <c r="AC2389" s="1" t="str">
        <f>IF(Table1[[#This Row],[Spec Type2]]="N/A","N/A",IF(AND(Table1[[#This Row],[DUT Adj Read]]&gt;=Table1[[#This Row],[Low Tol]],Table1[[#This Row],[DUT Adj Read]]&lt;=Table1[[#This Row],[High Tol]]),"Pass","Fail"))</f>
        <v>Fail</v>
      </c>
      <c r="AD2389" s="1" t="str">
        <f>IF(AND(Table1[[#This Row],[Spec Type2]]="N/A",Table1[[#This Row],[DUT Adj Read]]="N/A",Table1[[#This Row],[Std Adj Read]]="N/A"),"N/A",IF(Table1[[#This Row],[DUT Adj Read]]="N/A",IF(Table1[[#This Row],[Std Adj Read]]&gt;Table1[[#This Row],[Low Tol]],"Pass","Fail"),IF(Table1[[#This Row],[DUT Adj Read]]&gt;Table1[[#This Row],[Low Tol]],"Pass","Fail")))</f>
        <v>Pass</v>
      </c>
      <c r="AE2389" s="1" t="str">
        <f>IF(AND(Table1[[#This Row],[Spec Type2]]="N/A",Table1[[#This Row],[DUT Adj Read]]="N/A",Table1[[#This Row],[Std Adj Read]]="N/A"),"N/A",IF(Table1[[#This Row],[DUT Adj Read]]="N/A",IF(Table1[[#This Row],[Std Adj Read]]&lt;Table1[[#This Row],[High Tol]],"Pass","Fail"),IF(Table1[[#This Row],[DUT Adj Read]]&lt;Table1[[#This Row],[High Tol]],"Pass","Fail")))</f>
        <v>Fail</v>
      </c>
      <c r="AF2389" s="1" t="str">
        <f>IF(AND(Table1[[#This Row],[Spec Type2]]="N/A",Table1[[#This Row],[DUT Adj Read]]="N/A",Table1[[#This Row],[Std Adj Read]]="N/A"),"N/A",IF(Table1[[#This Row],[DUT Adj Read]]="N/A",IF(Table1[[#This Row],[Std Adj Read]]&gt;=Table1[[#This Row],[Low Tol]],"Pass","Fail"),IF(Table1[[#This Row],[DUT Adj Read]]&gt;=Table1[[#This Row],[Low Tol]],"Pass","Fail")))</f>
        <v>Pass</v>
      </c>
      <c r="AG2389" s="1" t="str">
        <f>IF(AND(Table1[[#This Row],[Spec Type2]]="N/A",Table1[[#This Row],[DUT Adj Read]]="N/A",Table1[[#This Row],[Std Adj Read]]="N/A"),"N/A",IF(Table1[[#This Row],[DUT Adj Read]]="N/A",IF(Table1[[#This Row],[Std Adj Read]]&lt;=Table1[[#This Row],[High Tol]],"Pass","Fail"),IF(Table1[[#This Row],[DUT Adj Read]]&lt;=Table1[[#This Row],[High Tol]],"Pass","Fail")))</f>
        <v>Fail</v>
      </c>
      <c r="AH23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89" s="1" t="b">
        <v>0</v>
      </c>
      <c r="AN2389" s="1" t="b">
        <v>0</v>
      </c>
      <c r="AO2389" s="1" t="b">
        <v>0</v>
      </c>
    </row>
    <row r="2390" spans="1:41" x14ac:dyDescent="0.25">
      <c r="A2390" s="10"/>
      <c r="B2390" s="10"/>
      <c r="C2390" s="10"/>
      <c r="D2390" s="10"/>
      <c r="E2390" s="10"/>
      <c r="F2390" s="10"/>
      <c r="G2390" s="10"/>
      <c r="H2390" s="10"/>
      <c r="I2390" s="1" t="str">
        <f t="shared" si="111"/>
        <v/>
      </c>
      <c r="J2390" s="1" t="s">
        <v>35</v>
      </c>
      <c r="K2390" s="1" t="str">
        <f t="shared" si="112"/>
        <v/>
      </c>
      <c r="L2390" s="1" t="str">
        <f t="shared" si="113"/>
        <v/>
      </c>
      <c r="M2390" s="1">
        <f>IF(OR(Table1[[#This Row],[Std Nom]]="",Table1[[#This Row],[Std Read]]=""),0,Table1[[#This Row],[Std Nom]]-Table1[[#This Row],[Std Read]])</f>
        <v>0</v>
      </c>
      <c r="N2390" s="1">
        <f>IF(Calculations!$F$5="ACCREDITED 17025 WITH UNCERTAINTIES",$N$10,0)</f>
        <v>0</v>
      </c>
      <c r="Q2390" s="1">
        <f>Table1[[#This Row],[High Tol]]-Table1[[#This Row],[Low Tol]]</f>
        <v>0</v>
      </c>
      <c r="R2390" s="1">
        <f>2*Table1[[#This Row],[Std Error]]</f>
        <v>0</v>
      </c>
      <c r="S2390" s="1" t="str">
        <f>IF(Table1[[#This Row],[High Tol]]="","N/A",IFERROR(ABS(Table1[[#This Row],[Tol Span]]/Table1[[#This Row],[Error Span]]),"N/A"))</f>
        <v>N/A</v>
      </c>
      <c r="T2390" s="1" t="str">
        <f>IF(OR(Table1[[#This Row],[Low Tol]]="",Table1[[#This Row],[High Tol]]=""),"Needs Analysis",IF(Table1[[#This Row],[Ratio]]&gt;=4,"Not Significant",IF(Table1[[#This Row],[Ratio]]&gt;=2,"Semi-Significant","Significant")))</f>
        <v>Needs Analysis</v>
      </c>
      <c r="W2390" s="1">
        <f>IF(Table1[[#This Row],[Cal Type]]&lt;&gt;"ACCREDITED 17025 WITH UNCERTAINTIES",0,"")</f>
        <v>0</v>
      </c>
      <c r="X2390" s="1" t="str">
        <f>IF(Table1[[#This Row],[DUT Read]]="","N/A",Table1[[#This Row],[Std Error]]+Table1[[#This Row],[DUT Read]]+Table1[[#This Row],[DUT Ucty]])</f>
        <v>N/A</v>
      </c>
      <c r="Y2390" s="1" t="str">
        <f>IF(Table1[[#This Row],[Std Read]]="","N/A",Table1[[#This Row],[Std Read]]+Table1[[#This Row],[Std Ucty]])</f>
        <v>N/A</v>
      </c>
      <c r="Z23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0" s="1" t="str">
        <f>IF(Table1[[#This Row],[Spec Type]]="","N/A",Table1[[#This Row],[Spec Type]])</f>
        <v>±</v>
      </c>
      <c r="AC2390" s="1" t="str">
        <f>IF(Table1[[#This Row],[Spec Type2]]="N/A","N/A",IF(AND(Table1[[#This Row],[DUT Adj Read]]&gt;=Table1[[#This Row],[Low Tol]],Table1[[#This Row],[DUT Adj Read]]&lt;=Table1[[#This Row],[High Tol]]),"Pass","Fail"))</f>
        <v>Fail</v>
      </c>
      <c r="AD2390" s="1" t="str">
        <f>IF(AND(Table1[[#This Row],[Spec Type2]]="N/A",Table1[[#This Row],[DUT Adj Read]]="N/A",Table1[[#This Row],[Std Adj Read]]="N/A"),"N/A",IF(Table1[[#This Row],[DUT Adj Read]]="N/A",IF(Table1[[#This Row],[Std Adj Read]]&gt;Table1[[#This Row],[Low Tol]],"Pass","Fail"),IF(Table1[[#This Row],[DUT Adj Read]]&gt;Table1[[#This Row],[Low Tol]],"Pass","Fail")))</f>
        <v>Pass</v>
      </c>
      <c r="AE2390" s="1" t="str">
        <f>IF(AND(Table1[[#This Row],[Spec Type2]]="N/A",Table1[[#This Row],[DUT Adj Read]]="N/A",Table1[[#This Row],[Std Adj Read]]="N/A"),"N/A",IF(Table1[[#This Row],[DUT Adj Read]]="N/A",IF(Table1[[#This Row],[Std Adj Read]]&lt;Table1[[#This Row],[High Tol]],"Pass","Fail"),IF(Table1[[#This Row],[DUT Adj Read]]&lt;Table1[[#This Row],[High Tol]],"Pass","Fail")))</f>
        <v>Fail</v>
      </c>
      <c r="AF2390" s="1" t="str">
        <f>IF(AND(Table1[[#This Row],[Spec Type2]]="N/A",Table1[[#This Row],[DUT Adj Read]]="N/A",Table1[[#This Row],[Std Adj Read]]="N/A"),"N/A",IF(Table1[[#This Row],[DUT Adj Read]]="N/A",IF(Table1[[#This Row],[Std Adj Read]]&gt;=Table1[[#This Row],[Low Tol]],"Pass","Fail"),IF(Table1[[#This Row],[DUT Adj Read]]&gt;=Table1[[#This Row],[Low Tol]],"Pass","Fail")))</f>
        <v>Pass</v>
      </c>
      <c r="AG2390" s="1" t="str">
        <f>IF(AND(Table1[[#This Row],[Spec Type2]]="N/A",Table1[[#This Row],[DUT Adj Read]]="N/A",Table1[[#This Row],[Std Adj Read]]="N/A"),"N/A",IF(Table1[[#This Row],[DUT Adj Read]]="N/A",IF(Table1[[#This Row],[Std Adj Read]]&lt;=Table1[[#This Row],[High Tol]],"Pass","Fail"),IF(Table1[[#This Row],[DUT Adj Read]]&lt;=Table1[[#This Row],[High Tol]],"Pass","Fail")))</f>
        <v>Fail</v>
      </c>
      <c r="AH23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0" s="1" t="b">
        <v>0</v>
      </c>
      <c r="AN2390" s="1" t="b">
        <v>0</v>
      </c>
      <c r="AO2390" s="1" t="b">
        <v>0</v>
      </c>
    </row>
    <row r="2391" spans="1:41" x14ac:dyDescent="0.25">
      <c r="A2391" s="10"/>
      <c r="B2391" s="10"/>
      <c r="C2391" s="10"/>
      <c r="D2391" s="10"/>
      <c r="E2391" s="10"/>
      <c r="F2391" s="10"/>
      <c r="G2391" s="10"/>
      <c r="H2391" s="10"/>
      <c r="I2391" s="1" t="str">
        <f t="shared" si="111"/>
        <v/>
      </c>
      <c r="J2391" s="1" t="s">
        <v>35</v>
      </c>
      <c r="K2391" s="1" t="str">
        <f t="shared" si="112"/>
        <v/>
      </c>
      <c r="L2391" s="1" t="str">
        <f t="shared" si="113"/>
        <v/>
      </c>
      <c r="M2391" s="1">
        <f>IF(OR(Table1[[#This Row],[Std Nom]]="",Table1[[#This Row],[Std Read]]=""),0,Table1[[#This Row],[Std Nom]]-Table1[[#This Row],[Std Read]])</f>
        <v>0</v>
      </c>
      <c r="N2391" s="1">
        <f>IF(Calculations!$F$5="ACCREDITED 17025 WITH UNCERTAINTIES",$N$10,0)</f>
        <v>0</v>
      </c>
      <c r="Q2391" s="1">
        <f>Table1[[#This Row],[High Tol]]-Table1[[#This Row],[Low Tol]]</f>
        <v>0</v>
      </c>
      <c r="R2391" s="1">
        <f>2*Table1[[#This Row],[Std Error]]</f>
        <v>0</v>
      </c>
      <c r="S2391" s="1" t="str">
        <f>IF(Table1[[#This Row],[High Tol]]="","N/A",IFERROR(ABS(Table1[[#This Row],[Tol Span]]/Table1[[#This Row],[Error Span]]),"N/A"))</f>
        <v>N/A</v>
      </c>
      <c r="T2391" s="1" t="str">
        <f>IF(OR(Table1[[#This Row],[Low Tol]]="",Table1[[#This Row],[High Tol]]=""),"Needs Analysis",IF(Table1[[#This Row],[Ratio]]&gt;=4,"Not Significant",IF(Table1[[#This Row],[Ratio]]&gt;=2,"Semi-Significant","Significant")))</f>
        <v>Needs Analysis</v>
      </c>
      <c r="W2391" s="1">
        <f>IF(Table1[[#This Row],[Cal Type]]&lt;&gt;"ACCREDITED 17025 WITH UNCERTAINTIES",0,"")</f>
        <v>0</v>
      </c>
      <c r="X2391" s="1" t="str">
        <f>IF(Table1[[#This Row],[DUT Read]]="","N/A",Table1[[#This Row],[Std Error]]+Table1[[#This Row],[DUT Read]]+Table1[[#This Row],[DUT Ucty]])</f>
        <v>N/A</v>
      </c>
      <c r="Y2391" s="1" t="str">
        <f>IF(Table1[[#This Row],[Std Read]]="","N/A",Table1[[#This Row],[Std Read]]+Table1[[#This Row],[Std Ucty]])</f>
        <v>N/A</v>
      </c>
      <c r="Z23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1" s="1" t="str">
        <f>IF(Table1[[#This Row],[Spec Type]]="","N/A",Table1[[#This Row],[Spec Type]])</f>
        <v>±</v>
      </c>
      <c r="AC2391" s="1" t="str">
        <f>IF(Table1[[#This Row],[Spec Type2]]="N/A","N/A",IF(AND(Table1[[#This Row],[DUT Adj Read]]&gt;=Table1[[#This Row],[Low Tol]],Table1[[#This Row],[DUT Adj Read]]&lt;=Table1[[#This Row],[High Tol]]),"Pass","Fail"))</f>
        <v>Fail</v>
      </c>
      <c r="AD2391" s="1" t="str">
        <f>IF(AND(Table1[[#This Row],[Spec Type2]]="N/A",Table1[[#This Row],[DUT Adj Read]]="N/A",Table1[[#This Row],[Std Adj Read]]="N/A"),"N/A",IF(Table1[[#This Row],[DUT Adj Read]]="N/A",IF(Table1[[#This Row],[Std Adj Read]]&gt;Table1[[#This Row],[Low Tol]],"Pass","Fail"),IF(Table1[[#This Row],[DUT Adj Read]]&gt;Table1[[#This Row],[Low Tol]],"Pass","Fail")))</f>
        <v>Pass</v>
      </c>
      <c r="AE2391" s="1" t="str">
        <f>IF(AND(Table1[[#This Row],[Spec Type2]]="N/A",Table1[[#This Row],[DUT Adj Read]]="N/A",Table1[[#This Row],[Std Adj Read]]="N/A"),"N/A",IF(Table1[[#This Row],[DUT Adj Read]]="N/A",IF(Table1[[#This Row],[Std Adj Read]]&lt;Table1[[#This Row],[High Tol]],"Pass","Fail"),IF(Table1[[#This Row],[DUT Adj Read]]&lt;Table1[[#This Row],[High Tol]],"Pass","Fail")))</f>
        <v>Fail</v>
      </c>
      <c r="AF2391" s="1" t="str">
        <f>IF(AND(Table1[[#This Row],[Spec Type2]]="N/A",Table1[[#This Row],[DUT Adj Read]]="N/A",Table1[[#This Row],[Std Adj Read]]="N/A"),"N/A",IF(Table1[[#This Row],[DUT Adj Read]]="N/A",IF(Table1[[#This Row],[Std Adj Read]]&gt;=Table1[[#This Row],[Low Tol]],"Pass","Fail"),IF(Table1[[#This Row],[DUT Adj Read]]&gt;=Table1[[#This Row],[Low Tol]],"Pass","Fail")))</f>
        <v>Pass</v>
      </c>
      <c r="AG2391" s="1" t="str">
        <f>IF(AND(Table1[[#This Row],[Spec Type2]]="N/A",Table1[[#This Row],[DUT Adj Read]]="N/A",Table1[[#This Row],[Std Adj Read]]="N/A"),"N/A",IF(Table1[[#This Row],[DUT Adj Read]]="N/A",IF(Table1[[#This Row],[Std Adj Read]]&lt;=Table1[[#This Row],[High Tol]],"Pass","Fail"),IF(Table1[[#This Row],[DUT Adj Read]]&lt;=Table1[[#This Row],[High Tol]],"Pass","Fail")))</f>
        <v>Fail</v>
      </c>
      <c r="AH23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1" s="1" t="b">
        <v>0</v>
      </c>
      <c r="AN2391" s="1" t="b">
        <v>0</v>
      </c>
      <c r="AO2391" s="1" t="b">
        <v>0</v>
      </c>
    </row>
    <row r="2392" spans="1:41" x14ac:dyDescent="0.25">
      <c r="A2392" s="10"/>
      <c r="B2392" s="10"/>
      <c r="C2392" s="10"/>
      <c r="D2392" s="10"/>
      <c r="E2392" s="10"/>
      <c r="F2392" s="10"/>
      <c r="G2392" s="10"/>
      <c r="H2392" s="10"/>
      <c r="I2392" s="1" t="str">
        <f t="shared" si="111"/>
        <v/>
      </c>
      <c r="J2392" s="1" t="s">
        <v>35</v>
      </c>
      <c r="K2392" s="1" t="str">
        <f t="shared" si="112"/>
        <v/>
      </c>
      <c r="L2392" s="1" t="str">
        <f t="shared" si="113"/>
        <v/>
      </c>
      <c r="M2392" s="1">
        <f>IF(OR(Table1[[#This Row],[Std Nom]]="",Table1[[#This Row],[Std Read]]=""),0,Table1[[#This Row],[Std Nom]]-Table1[[#This Row],[Std Read]])</f>
        <v>0</v>
      </c>
      <c r="N2392" s="1">
        <f>IF(Calculations!$F$5="ACCREDITED 17025 WITH UNCERTAINTIES",$N$10,0)</f>
        <v>0</v>
      </c>
      <c r="Q2392" s="1">
        <f>Table1[[#This Row],[High Tol]]-Table1[[#This Row],[Low Tol]]</f>
        <v>0</v>
      </c>
      <c r="R2392" s="1">
        <f>2*Table1[[#This Row],[Std Error]]</f>
        <v>0</v>
      </c>
      <c r="S2392" s="1" t="str">
        <f>IF(Table1[[#This Row],[High Tol]]="","N/A",IFERROR(ABS(Table1[[#This Row],[Tol Span]]/Table1[[#This Row],[Error Span]]),"N/A"))</f>
        <v>N/A</v>
      </c>
      <c r="T2392" s="1" t="str">
        <f>IF(OR(Table1[[#This Row],[Low Tol]]="",Table1[[#This Row],[High Tol]]=""),"Needs Analysis",IF(Table1[[#This Row],[Ratio]]&gt;=4,"Not Significant",IF(Table1[[#This Row],[Ratio]]&gt;=2,"Semi-Significant","Significant")))</f>
        <v>Needs Analysis</v>
      </c>
      <c r="W2392" s="1">
        <f>IF(Table1[[#This Row],[Cal Type]]&lt;&gt;"ACCREDITED 17025 WITH UNCERTAINTIES",0,"")</f>
        <v>0</v>
      </c>
      <c r="X2392" s="1" t="str">
        <f>IF(Table1[[#This Row],[DUT Read]]="","N/A",Table1[[#This Row],[Std Error]]+Table1[[#This Row],[DUT Read]]+Table1[[#This Row],[DUT Ucty]])</f>
        <v>N/A</v>
      </c>
      <c r="Y2392" s="1" t="str">
        <f>IF(Table1[[#This Row],[Std Read]]="","N/A",Table1[[#This Row],[Std Read]]+Table1[[#This Row],[Std Ucty]])</f>
        <v>N/A</v>
      </c>
      <c r="Z23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2" s="1" t="str">
        <f>IF(Table1[[#This Row],[Spec Type]]="","N/A",Table1[[#This Row],[Spec Type]])</f>
        <v>±</v>
      </c>
      <c r="AC2392" s="1" t="str">
        <f>IF(Table1[[#This Row],[Spec Type2]]="N/A","N/A",IF(AND(Table1[[#This Row],[DUT Adj Read]]&gt;=Table1[[#This Row],[Low Tol]],Table1[[#This Row],[DUT Adj Read]]&lt;=Table1[[#This Row],[High Tol]]),"Pass","Fail"))</f>
        <v>Fail</v>
      </c>
      <c r="AD2392" s="1" t="str">
        <f>IF(AND(Table1[[#This Row],[Spec Type2]]="N/A",Table1[[#This Row],[DUT Adj Read]]="N/A",Table1[[#This Row],[Std Adj Read]]="N/A"),"N/A",IF(Table1[[#This Row],[DUT Adj Read]]="N/A",IF(Table1[[#This Row],[Std Adj Read]]&gt;Table1[[#This Row],[Low Tol]],"Pass","Fail"),IF(Table1[[#This Row],[DUT Adj Read]]&gt;Table1[[#This Row],[Low Tol]],"Pass","Fail")))</f>
        <v>Pass</v>
      </c>
      <c r="AE2392" s="1" t="str">
        <f>IF(AND(Table1[[#This Row],[Spec Type2]]="N/A",Table1[[#This Row],[DUT Adj Read]]="N/A",Table1[[#This Row],[Std Adj Read]]="N/A"),"N/A",IF(Table1[[#This Row],[DUT Adj Read]]="N/A",IF(Table1[[#This Row],[Std Adj Read]]&lt;Table1[[#This Row],[High Tol]],"Pass","Fail"),IF(Table1[[#This Row],[DUT Adj Read]]&lt;Table1[[#This Row],[High Tol]],"Pass","Fail")))</f>
        <v>Fail</v>
      </c>
      <c r="AF2392" s="1" t="str">
        <f>IF(AND(Table1[[#This Row],[Spec Type2]]="N/A",Table1[[#This Row],[DUT Adj Read]]="N/A",Table1[[#This Row],[Std Adj Read]]="N/A"),"N/A",IF(Table1[[#This Row],[DUT Adj Read]]="N/A",IF(Table1[[#This Row],[Std Adj Read]]&gt;=Table1[[#This Row],[Low Tol]],"Pass","Fail"),IF(Table1[[#This Row],[DUT Adj Read]]&gt;=Table1[[#This Row],[Low Tol]],"Pass","Fail")))</f>
        <v>Pass</v>
      </c>
      <c r="AG2392" s="1" t="str">
        <f>IF(AND(Table1[[#This Row],[Spec Type2]]="N/A",Table1[[#This Row],[DUT Adj Read]]="N/A",Table1[[#This Row],[Std Adj Read]]="N/A"),"N/A",IF(Table1[[#This Row],[DUT Adj Read]]="N/A",IF(Table1[[#This Row],[Std Adj Read]]&lt;=Table1[[#This Row],[High Tol]],"Pass","Fail"),IF(Table1[[#This Row],[DUT Adj Read]]&lt;=Table1[[#This Row],[High Tol]],"Pass","Fail")))</f>
        <v>Fail</v>
      </c>
      <c r="AH23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2" s="1" t="b">
        <v>0</v>
      </c>
      <c r="AN2392" s="1" t="b">
        <v>0</v>
      </c>
      <c r="AO2392" s="1" t="b">
        <v>0</v>
      </c>
    </row>
    <row r="2393" spans="1:41" x14ac:dyDescent="0.25">
      <c r="A2393" s="10"/>
      <c r="B2393" s="10"/>
      <c r="C2393" s="10"/>
      <c r="D2393" s="10"/>
      <c r="E2393" s="10"/>
      <c r="F2393" s="10"/>
      <c r="G2393" s="10"/>
      <c r="H2393" s="10"/>
      <c r="I2393" s="1" t="str">
        <f t="shared" si="111"/>
        <v/>
      </c>
      <c r="J2393" s="1" t="s">
        <v>35</v>
      </c>
      <c r="K2393" s="1" t="str">
        <f t="shared" si="112"/>
        <v/>
      </c>
      <c r="L2393" s="1" t="str">
        <f t="shared" si="113"/>
        <v/>
      </c>
      <c r="M2393" s="1">
        <f>IF(OR(Table1[[#This Row],[Std Nom]]="",Table1[[#This Row],[Std Read]]=""),0,Table1[[#This Row],[Std Nom]]-Table1[[#This Row],[Std Read]])</f>
        <v>0</v>
      </c>
      <c r="N2393" s="1">
        <f>IF(Calculations!$F$5="ACCREDITED 17025 WITH UNCERTAINTIES",$N$10,0)</f>
        <v>0</v>
      </c>
      <c r="Q2393" s="1">
        <f>Table1[[#This Row],[High Tol]]-Table1[[#This Row],[Low Tol]]</f>
        <v>0</v>
      </c>
      <c r="R2393" s="1">
        <f>2*Table1[[#This Row],[Std Error]]</f>
        <v>0</v>
      </c>
      <c r="S2393" s="1" t="str">
        <f>IF(Table1[[#This Row],[High Tol]]="","N/A",IFERROR(ABS(Table1[[#This Row],[Tol Span]]/Table1[[#This Row],[Error Span]]),"N/A"))</f>
        <v>N/A</v>
      </c>
      <c r="T2393" s="1" t="str">
        <f>IF(OR(Table1[[#This Row],[Low Tol]]="",Table1[[#This Row],[High Tol]]=""),"Needs Analysis",IF(Table1[[#This Row],[Ratio]]&gt;=4,"Not Significant",IF(Table1[[#This Row],[Ratio]]&gt;=2,"Semi-Significant","Significant")))</f>
        <v>Needs Analysis</v>
      </c>
      <c r="W2393" s="1">
        <f>IF(Table1[[#This Row],[Cal Type]]&lt;&gt;"ACCREDITED 17025 WITH UNCERTAINTIES",0,"")</f>
        <v>0</v>
      </c>
      <c r="X2393" s="1" t="str">
        <f>IF(Table1[[#This Row],[DUT Read]]="","N/A",Table1[[#This Row],[Std Error]]+Table1[[#This Row],[DUT Read]]+Table1[[#This Row],[DUT Ucty]])</f>
        <v>N/A</v>
      </c>
      <c r="Y2393" s="1" t="str">
        <f>IF(Table1[[#This Row],[Std Read]]="","N/A",Table1[[#This Row],[Std Read]]+Table1[[#This Row],[Std Ucty]])</f>
        <v>N/A</v>
      </c>
      <c r="Z23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3" s="1" t="str">
        <f>IF(Table1[[#This Row],[Spec Type]]="","N/A",Table1[[#This Row],[Spec Type]])</f>
        <v>±</v>
      </c>
      <c r="AC2393" s="1" t="str">
        <f>IF(Table1[[#This Row],[Spec Type2]]="N/A","N/A",IF(AND(Table1[[#This Row],[DUT Adj Read]]&gt;=Table1[[#This Row],[Low Tol]],Table1[[#This Row],[DUT Adj Read]]&lt;=Table1[[#This Row],[High Tol]]),"Pass","Fail"))</f>
        <v>Fail</v>
      </c>
      <c r="AD2393" s="1" t="str">
        <f>IF(AND(Table1[[#This Row],[Spec Type2]]="N/A",Table1[[#This Row],[DUT Adj Read]]="N/A",Table1[[#This Row],[Std Adj Read]]="N/A"),"N/A",IF(Table1[[#This Row],[DUT Adj Read]]="N/A",IF(Table1[[#This Row],[Std Adj Read]]&gt;Table1[[#This Row],[Low Tol]],"Pass","Fail"),IF(Table1[[#This Row],[DUT Adj Read]]&gt;Table1[[#This Row],[Low Tol]],"Pass","Fail")))</f>
        <v>Pass</v>
      </c>
      <c r="AE2393" s="1" t="str">
        <f>IF(AND(Table1[[#This Row],[Spec Type2]]="N/A",Table1[[#This Row],[DUT Adj Read]]="N/A",Table1[[#This Row],[Std Adj Read]]="N/A"),"N/A",IF(Table1[[#This Row],[DUT Adj Read]]="N/A",IF(Table1[[#This Row],[Std Adj Read]]&lt;Table1[[#This Row],[High Tol]],"Pass","Fail"),IF(Table1[[#This Row],[DUT Adj Read]]&lt;Table1[[#This Row],[High Tol]],"Pass","Fail")))</f>
        <v>Fail</v>
      </c>
      <c r="AF2393" s="1" t="str">
        <f>IF(AND(Table1[[#This Row],[Spec Type2]]="N/A",Table1[[#This Row],[DUT Adj Read]]="N/A",Table1[[#This Row],[Std Adj Read]]="N/A"),"N/A",IF(Table1[[#This Row],[DUT Adj Read]]="N/A",IF(Table1[[#This Row],[Std Adj Read]]&gt;=Table1[[#This Row],[Low Tol]],"Pass","Fail"),IF(Table1[[#This Row],[DUT Adj Read]]&gt;=Table1[[#This Row],[Low Tol]],"Pass","Fail")))</f>
        <v>Pass</v>
      </c>
      <c r="AG2393" s="1" t="str">
        <f>IF(AND(Table1[[#This Row],[Spec Type2]]="N/A",Table1[[#This Row],[DUT Adj Read]]="N/A",Table1[[#This Row],[Std Adj Read]]="N/A"),"N/A",IF(Table1[[#This Row],[DUT Adj Read]]="N/A",IF(Table1[[#This Row],[Std Adj Read]]&lt;=Table1[[#This Row],[High Tol]],"Pass","Fail"),IF(Table1[[#This Row],[DUT Adj Read]]&lt;=Table1[[#This Row],[High Tol]],"Pass","Fail")))</f>
        <v>Fail</v>
      </c>
      <c r="AH23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3" s="1" t="b">
        <v>0</v>
      </c>
      <c r="AN2393" s="1" t="b">
        <v>0</v>
      </c>
      <c r="AO2393" s="1" t="b">
        <v>0</v>
      </c>
    </row>
    <row r="2394" spans="1:41" x14ac:dyDescent="0.25">
      <c r="A2394" s="10"/>
      <c r="B2394" s="10"/>
      <c r="C2394" s="10"/>
      <c r="D2394" s="10"/>
      <c r="E2394" s="10"/>
      <c r="F2394" s="10"/>
      <c r="G2394" s="10"/>
      <c r="H2394" s="10"/>
      <c r="I2394" s="1" t="str">
        <f t="shared" si="111"/>
        <v/>
      </c>
      <c r="J2394" s="1" t="s">
        <v>35</v>
      </c>
      <c r="K2394" s="1" t="str">
        <f t="shared" si="112"/>
        <v/>
      </c>
      <c r="L2394" s="1" t="str">
        <f t="shared" si="113"/>
        <v/>
      </c>
      <c r="M2394" s="1">
        <f>IF(OR(Table1[[#This Row],[Std Nom]]="",Table1[[#This Row],[Std Read]]=""),0,Table1[[#This Row],[Std Nom]]-Table1[[#This Row],[Std Read]])</f>
        <v>0</v>
      </c>
      <c r="N2394" s="1">
        <f>IF(Calculations!$F$5="ACCREDITED 17025 WITH UNCERTAINTIES",$N$10,0)</f>
        <v>0</v>
      </c>
      <c r="Q2394" s="1">
        <f>Table1[[#This Row],[High Tol]]-Table1[[#This Row],[Low Tol]]</f>
        <v>0</v>
      </c>
      <c r="R2394" s="1">
        <f>2*Table1[[#This Row],[Std Error]]</f>
        <v>0</v>
      </c>
      <c r="S2394" s="1" t="str">
        <f>IF(Table1[[#This Row],[High Tol]]="","N/A",IFERROR(ABS(Table1[[#This Row],[Tol Span]]/Table1[[#This Row],[Error Span]]),"N/A"))</f>
        <v>N/A</v>
      </c>
      <c r="T2394" s="1" t="str">
        <f>IF(OR(Table1[[#This Row],[Low Tol]]="",Table1[[#This Row],[High Tol]]=""),"Needs Analysis",IF(Table1[[#This Row],[Ratio]]&gt;=4,"Not Significant",IF(Table1[[#This Row],[Ratio]]&gt;=2,"Semi-Significant","Significant")))</f>
        <v>Needs Analysis</v>
      </c>
      <c r="W2394" s="1">
        <f>IF(Table1[[#This Row],[Cal Type]]&lt;&gt;"ACCREDITED 17025 WITH UNCERTAINTIES",0,"")</f>
        <v>0</v>
      </c>
      <c r="X2394" s="1" t="str">
        <f>IF(Table1[[#This Row],[DUT Read]]="","N/A",Table1[[#This Row],[Std Error]]+Table1[[#This Row],[DUT Read]]+Table1[[#This Row],[DUT Ucty]])</f>
        <v>N/A</v>
      </c>
      <c r="Y2394" s="1" t="str">
        <f>IF(Table1[[#This Row],[Std Read]]="","N/A",Table1[[#This Row],[Std Read]]+Table1[[#This Row],[Std Ucty]])</f>
        <v>N/A</v>
      </c>
      <c r="Z23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4" s="1" t="str">
        <f>IF(Table1[[#This Row],[Spec Type]]="","N/A",Table1[[#This Row],[Spec Type]])</f>
        <v>±</v>
      </c>
      <c r="AC2394" s="1" t="str">
        <f>IF(Table1[[#This Row],[Spec Type2]]="N/A","N/A",IF(AND(Table1[[#This Row],[DUT Adj Read]]&gt;=Table1[[#This Row],[Low Tol]],Table1[[#This Row],[DUT Adj Read]]&lt;=Table1[[#This Row],[High Tol]]),"Pass","Fail"))</f>
        <v>Fail</v>
      </c>
      <c r="AD2394" s="1" t="str">
        <f>IF(AND(Table1[[#This Row],[Spec Type2]]="N/A",Table1[[#This Row],[DUT Adj Read]]="N/A",Table1[[#This Row],[Std Adj Read]]="N/A"),"N/A",IF(Table1[[#This Row],[DUT Adj Read]]="N/A",IF(Table1[[#This Row],[Std Adj Read]]&gt;Table1[[#This Row],[Low Tol]],"Pass","Fail"),IF(Table1[[#This Row],[DUT Adj Read]]&gt;Table1[[#This Row],[Low Tol]],"Pass","Fail")))</f>
        <v>Pass</v>
      </c>
      <c r="AE2394" s="1" t="str">
        <f>IF(AND(Table1[[#This Row],[Spec Type2]]="N/A",Table1[[#This Row],[DUT Adj Read]]="N/A",Table1[[#This Row],[Std Adj Read]]="N/A"),"N/A",IF(Table1[[#This Row],[DUT Adj Read]]="N/A",IF(Table1[[#This Row],[Std Adj Read]]&lt;Table1[[#This Row],[High Tol]],"Pass","Fail"),IF(Table1[[#This Row],[DUT Adj Read]]&lt;Table1[[#This Row],[High Tol]],"Pass","Fail")))</f>
        <v>Fail</v>
      </c>
      <c r="AF2394" s="1" t="str">
        <f>IF(AND(Table1[[#This Row],[Spec Type2]]="N/A",Table1[[#This Row],[DUT Adj Read]]="N/A",Table1[[#This Row],[Std Adj Read]]="N/A"),"N/A",IF(Table1[[#This Row],[DUT Adj Read]]="N/A",IF(Table1[[#This Row],[Std Adj Read]]&gt;=Table1[[#This Row],[Low Tol]],"Pass","Fail"),IF(Table1[[#This Row],[DUT Adj Read]]&gt;=Table1[[#This Row],[Low Tol]],"Pass","Fail")))</f>
        <v>Pass</v>
      </c>
      <c r="AG2394" s="1" t="str">
        <f>IF(AND(Table1[[#This Row],[Spec Type2]]="N/A",Table1[[#This Row],[DUT Adj Read]]="N/A",Table1[[#This Row],[Std Adj Read]]="N/A"),"N/A",IF(Table1[[#This Row],[DUT Adj Read]]="N/A",IF(Table1[[#This Row],[Std Adj Read]]&lt;=Table1[[#This Row],[High Tol]],"Pass","Fail"),IF(Table1[[#This Row],[DUT Adj Read]]&lt;=Table1[[#This Row],[High Tol]],"Pass","Fail")))</f>
        <v>Fail</v>
      </c>
      <c r="AH23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4" s="1" t="b">
        <v>0</v>
      </c>
      <c r="AN2394" s="1" t="b">
        <v>0</v>
      </c>
      <c r="AO2394" s="1" t="b">
        <v>0</v>
      </c>
    </row>
    <row r="2395" spans="1:41" x14ac:dyDescent="0.25">
      <c r="A2395" s="10"/>
      <c r="B2395" s="10"/>
      <c r="C2395" s="10"/>
      <c r="D2395" s="10"/>
      <c r="E2395" s="10"/>
      <c r="F2395" s="10"/>
      <c r="G2395" s="10"/>
      <c r="H2395" s="10"/>
      <c r="I2395" s="1" t="str">
        <f t="shared" si="111"/>
        <v/>
      </c>
      <c r="J2395" s="1" t="s">
        <v>35</v>
      </c>
      <c r="K2395" s="1" t="str">
        <f t="shared" si="112"/>
        <v/>
      </c>
      <c r="L2395" s="1" t="str">
        <f t="shared" si="113"/>
        <v/>
      </c>
      <c r="M2395" s="1">
        <f>IF(OR(Table1[[#This Row],[Std Nom]]="",Table1[[#This Row],[Std Read]]=""),0,Table1[[#This Row],[Std Nom]]-Table1[[#This Row],[Std Read]])</f>
        <v>0</v>
      </c>
      <c r="N2395" s="1">
        <f>IF(Calculations!$F$5="ACCREDITED 17025 WITH UNCERTAINTIES",$N$10,0)</f>
        <v>0</v>
      </c>
      <c r="Q2395" s="1">
        <f>Table1[[#This Row],[High Tol]]-Table1[[#This Row],[Low Tol]]</f>
        <v>0</v>
      </c>
      <c r="R2395" s="1">
        <f>2*Table1[[#This Row],[Std Error]]</f>
        <v>0</v>
      </c>
      <c r="S2395" s="1" t="str">
        <f>IF(Table1[[#This Row],[High Tol]]="","N/A",IFERROR(ABS(Table1[[#This Row],[Tol Span]]/Table1[[#This Row],[Error Span]]),"N/A"))</f>
        <v>N/A</v>
      </c>
      <c r="T2395" s="1" t="str">
        <f>IF(OR(Table1[[#This Row],[Low Tol]]="",Table1[[#This Row],[High Tol]]=""),"Needs Analysis",IF(Table1[[#This Row],[Ratio]]&gt;=4,"Not Significant",IF(Table1[[#This Row],[Ratio]]&gt;=2,"Semi-Significant","Significant")))</f>
        <v>Needs Analysis</v>
      </c>
      <c r="W2395" s="1">
        <f>IF(Table1[[#This Row],[Cal Type]]&lt;&gt;"ACCREDITED 17025 WITH UNCERTAINTIES",0,"")</f>
        <v>0</v>
      </c>
      <c r="X2395" s="1" t="str">
        <f>IF(Table1[[#This Row],[DUT Read]]="","N/A",Table1[[#This Row],[Std Error]]+Table1[[#This Row],[DUT Read]]+Table1[[#This Row],[DUT Ucty]])</f>
        <v>N/A</v>
      </c>
      <c r="Y2395" s="1" t="str">
        <f>IF(Table1[[#This Row],[Std Read]]="","N/A",Table1[[#This Row],[Std Read]]+Table1[[#This Row],[Std Ucty]])</f>
        <v>N/A</v>
      </c>
      <c r="Z23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5" s="1" t="str">
        <f>IF(Table1[[#This Row],[Spec Type]]="","N/A",Table1[[#This Row],[Spec Type]])</f>
        <v>±</v>
      </c>
      <c r="AC2395" s="1" t="str">
        <f>IF(Table1[[#This Row],[Spec Type2]]="N/A","N/A",IF(AND(Table1[[#This Row],[DUT Adj Read]]&gt;=Table1[[#This Row],[Low Tol]],Table1[[#This Row],[DUT Adj Read]]&lt;=Table1[[#This Row],[High Tol]]),"Pass","Fail"))</f>
        <v>Fail</v>
      </c>
      <c r="AD2395" s="1" t="str">
        <f>IF(AND(Table1[[#This Row],[Spec Type2]]="N/A",Table1[[#This Row],[DUT Adj Read]]="N/A",Table1[[#This Row],[Std Adj Read]]="N/A"),"N/A",IF(Table1[[#This Row],[DUT Adj Read]]="N/A",IF(Table1[[#This Row],[Std Adj Read]]&gt;Table1[[#This Row],[Low Tol]],"Pass","Fail"),IF(Table1[[#This Row],[DUT Adj Read]]&gt;Table1[[#This Row],[Low Tol]],"Pass","Fail")))</f>
        <v>Pass</v>
      </c>
      <c r="AE2395" s="1" t="str">
        <f>IF(AND(Table1[[#This Row],[Spec Type2]]="N/A",Table1[[#This Row],[DUT Adj Read]]="N/A",Table1[[#This Row],[Std Adj Read]]="N/A"),"N/A",IF(Table1[[#This Row],[DUT Adj Read]]="N/A",IF(Table1[[#This Row],[Std Adj Read]]&lt;Table1[[#This Row],[High Tol]],"Pass","Fail"),IF(Table1[[#This Row],[DUT Adj Read]]&lt;Table1[[#This Row],[High Tol]],"Pass","Fail")))</f>
        <v>Fail</v>
      </c>
      <c r="AF2395" s="1" t="str">
        <f>IF(AND(Table1[[#This Row],[Spec Type2]]="N/A",Table1[[#This Row],[DUT Adj Read]]="N/A",Table1[[#This Row],[Std Adj Read]]="N/A"),"N/A",IF(Table1[[#This Row],[DUT Adj Read]]="N/A",IF(Table1[[#This Row],[Std Adj Read]]&gt;=Table1[[#This Row],[Low Tol]],"Pass","Fail"),IF(Table1[[#This Row],[DUT Adj Read]]&gt;=Table1[[#This Row],[Low Tol]],"Pass","Fail")))</f>
        <v>Pass</v>
      </c>
      <c r="AG2395" s="1" t="str">
        <f>IF(AND(Table1[[#This Row],[Spec Type2]]="N/A",Table1[[#This Row],[DUT Adj Read]]="N/A",Table1[[#This Row],[Std Adj Read]]="N/A"),"N/A",IF(Table1[[#This Row],[DUT Adj Read]]="N/A",IF(Table1[[#This Row],[Std Adj Read]]&lt;=Table1[[#This Row],[High Tol]],"Pass","Fail"),IF(Table1[[#This Row],[DUT Adj Read]]&lt;=Table1[[#This Row],[High Tol]],"Pass","Fail")))</f>
        <v>Fail</v>
      </c>
      <c r="AH23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5" s="1" t="b">
        <v>0</v>
      </c>
      <c r="AN2395" s="1" t="b">
        <v>0</v>
      </c>
      <c r="AO2395" s="1" t="b">
        <v>0</v>
      </c>
    </row>
    <row r="2396" spans="1:41" x14ac:dyDescent="0.25">
      <c r="A2396" s="10"/>
      <c r="B2396" s="10"/>
      <c r="C2396" s="10"/>
      <c r="D2396" s="10"/>
      <c r="E2396" s="10"/>
      <c r="F2396" s="10"/>
      <c r="G2396" s="10"/>
      <c r="H2396" s="10"/>
      <c r="I2396" s="1" t="str">
        <f t="shared" si="111"/>
        <v/>
      </c>
      <c r="J2396" s="1" t="s">
        <v>35</v>
      </c>
      <c r="K2396" s="1" t="str">
        <f t="shared" si="112"/>
        <v/>
      </c>
      <c r="L2396" s="1" t="str">
        <f t="shared" si="113"/>
        <v/>
      </c>
      <c r="M2396" s="1">
        <f>IF(OR(Table1[[#This Row],[Std Nom]]="",Table1[[#This Row],[Std Read]]=""),0,Table1[[#This Row],[Std Nom]]-Table1[[#This Row],[Std Read]])</f>
        <v>0</v>
      </c>
      <c r="N2396" s="1">
        <f>IF(Calculations!$F$5="ACCREDITED 17025 WITH UNCERTAINTIES",$N$10,0)</f>
        <v>0</v>
      </c>
      <c r="Q2396" s="1">
        <f>Table1[[#This Row],[High Tol]]-Table1[[#This Row],[Low Tol]]</f>
        <v>0</v>
      </c>
      <c r="R2396" s="1">
        <f>2*Table1[[#This Row],[Std Error]]</f>
        <v>0</v>
      </c>
      <c r="S2396" s="1" t="str">
        <f>IF(Table1[[#This Row],[High Tol]]="","N/A",IFERROR(ABS(Table1[[#This Row],[Tol Span]]/Table1[[#This Row],[Error Span]]),"N/A"))</f>
        <v>N/A</v>
      </c>
      <c r="T2396" s="1" t="str">
        <f>IF(OR(Table1[[#This Row],[Low Tol]]="",Table1[[#This Row],[High Tol]]=""),"Needs Analysis",IF(Table1[[#This Row],[Ratio]]&gt;=4,"Not Significant",IF(Table1[[#This Row],[Ratio]]&gt;=2,"Semi-Significant","Significant")))</f>
        <v>Needs Analysis</v>
      </c>
      <c r="W2396" s="1">
        <f>IF(Table1[[#This Row],[Cal Type]]&lt;&gt;"ACCREDITED 17025 WITH UNCERTAINTIES",0,"")</f>
        <v>0</v>
      </c>
      <c r="X2396" s="1" t="str">
        <f>IF(Table1[[#This Row],[DUT Read]]="","N/A",Table1[[#This Row],[Std Error]]+Table1[[#This Row],[DUT Read]]+Table1[[#This Row],[DUT Ucty]])</f>
        <v>N/A</v>
      </c>
      <c r="Y2396" s="1" t="str">
        <f>IF(Table1[[#This Row],[Std Read]]="","N/A",Table1[[#This Row],[Std Read]]+Table1[[#This Row],[Std Ucty]])</f>
        <v>N/A</v>
      </c>
      <c r="Z23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6" s="1" t="str">
        <f>IF(Table1[[#This Row],[Spec Type]]="","N/A",Table1[[#This Row],[Spec Type]])</f>
        <v>±</v>
      </c>
      <c r="AC2396" s="1" t="str">
        <f>IF(Table1[[#This Row],[Spec Type2]]="N/A","N/A",IF(AND(Table1[[#This Row],[DUT Adj Read]]&gt;=Table1[[#This Row],[Low Tol]],Table1[[#This Row],[DUT Adj Read]]&lt;=Table1[[#This Row],[High Tol]]),"Pass","Fail"))</f>
        <v>Fail</v>
      </c>
      <c r="AD2396" s="1" t="str">
        <f>IF(AND(Table1[[#This Row],[Spec Type2]]="N/A",Table1[[#This Row],[DUT Adj Read]]="N/A",Table1[[#This Row],[Std Adj Read]]="N/A"),"N/A",IF(Table1[[#This Row],[DUT Adj Read]]="N/A",IF(Table1[[#This Row],[Std Adj Read]]&gt;Table1[[#This Row],[Low Tol]],"Pass","Fail"),IF(Table1[[#This Row],[DUT Adj Read]]&gt;Table1[[#This Row],[Low Tol]],"Pass","Fail")))</f>
        <v>Pass</v>
      </c>
      <c r="AE2396" s="1" t="str">
        <f>IF(AND(Table1[[#This Row],[Spec Type2]]="N/A",Table1[[#This Row],[DUT Adj Read]]="N/A",Table1[[#This Row],[Std Adj Read]]="N/A"),"N/A",IF(Table1[[#This Row],[DUT Adj Read]]="N/A",IF(Table1[[#This Row],[Std Adj Read]]&lt;Table1[[#This Row],[High Tol]],"Pass","Fail"),IF(Table1[[#This Row],[DUT Adj Read]]&lt;Table1[[#This Row],[High Tol]],"Pass","Fail")))</f>
        <v>Fail</v>
      </c>
      <c r="AF2396" s="1" t="str">
        <f>IF(AND(Table1[[#This Row],[Spec Type2]]="N/A",Table1[[#This Row],[DUT Adj Read]]="N/A",Table1[[#This Row],[Std Adj Read]]="N/A"),"N/A",IF(Table1[[#This Row],[DUT Adj Read]]="N/A",IF(Table1[[#This Row],[Std Adj Read]]&gt;=Table1[[#This Row],[Low Tol]],"Pass","Fail"),IF(Table1[[#This Row],[DUT Adj Read]]&gt;=Table1[[#This Row],[Low Tol]],"Pass","Fail")))</f>
        <v>Pass</v>
      </c>
      <c r="AG2396" s="1" t="str">
        <f>IF(AND(Table1[[#This Row],[Spec Type2]]="N/A",Table1[[#This Row],[DUT Adj Read]]="N/A",Table1[[#This Row],[Std Adj Read]]="N/A"),"N/A",IF(Table1[[#This Row],[DUT Adj Read]]="N/A",IF(Table1[[#This Row],[Std Adj Read]]&lt;=Table1[[#This Row],[High Tol]],"Pass","Fail"),IF(Table1[[#This Row],[DUT Adj Read]]&lt;=Table1[[#This Row],[High Tol]],"Pass","Fail")))</f>
        <v>Fail</v>
      </c>
      <c r="AH23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6" s="1" t="b">
        <v>0</v>
      </c>
      <c r="AN2396" s="1" t="b">
        <v>0</v>
      </c>
      <c r="AO2396" s="1" t="b">
        <v>0</v>
      </c>
    </row>
    <row r="2397" spans="1:41" x14ac:dyDescent="0.25">
      <c r="A2397" s="10"/>
      <c r="B2397" s="10"/>
      <c r="C2397" s="10"/>
      <c r="D2397" s="10"/>
      <c r="E2397" s="10"/>
      <c r="F2397" s="10"/>
      <c r="G2397" s="10"/>
      <c r="H2397" s="10"/>
      <c r="I2397" s="1" t="str">
        <f t="shared" si="111"/>
        <v/>
      </c>
      <c r="J2397" s="1" t="s">
        <v>35</v>
      </c>
      <c r="K2397" s="1" t="str">
        <f t="shared" si="112"/>
        <v/>
      </c>
      <c r="L2397" s="1" t="str">
        <f t="shared" si="113"/>
        <v/>
      </c>
      <c r="M2397" s="1">
        <f>IF(OR(Table1[[#This Row],[Std Nom]]="",Table1[[#This Row],[Std Read]]=""),0,Table1[[#This Row],[Std Nom]]-Table1[[#This Row],[Std Read]])</f>
        <v>0</v>
      </c>
      <c r="N2397" s="1">
        <f>IF(Calculations!$F$5="ACCREDITED 17025 WITH UNCERTAINTIES",$N$10,0)</f>
        <v>0</v>
      </c>
      <c r="Q2397" s="1">
        <f>Table1[[#This Row],[High Tol]]-Table1[[#This Row],[Low Tol]]</f>
        <v>0</v>
      </c>
      <c r="R2397" s="1">
        <f>2*Table1[[#This Row],[Std Error]]</f>
        <v>0</v>
      </c>
      <c r="S2397" s="1" t="str">
        <f>IF(Table1[[#This Row],[High Tol]]="","N/A",IFERROR(ABS(Table1[[#This Row],[Tol Span]]/Table1[[#This Row],[Error Span]]),"N/A"))</f>
        <v>N/A</v>
      </c>
      <c r="T2397" s="1" t="str">
        <f>IF(OR(Table1[[#This Row],[Low Tol]]="",Table1[[#This Row],[High Tol]]=""),"Needs Analysis",IF(Table1[[#This Row],[Ratio]]&gt;=4,"Not Significant",IF(Table1[[#This Row],[Ratio]]&gt;=2,"Semi-Significant","Significant")))</f>
        <v>Needs Analysis</v>
      </c>
      <c r="W2397" s="1">
        <f>IF(Table1[[#This Row],[Cal Type]]&lt;&gt;"ACCREDITED 17025 WITH UNCERTAINTIES",0,"")</f>
        <v>0</v>
      </c>
      <c r="X2397" s="1" t="str">
        <f>IF(Table1[[#This Row],[DUT Read]]="","N/A",Table1[[#This Row],[Std Error]]+Table1[[#This Row],[DUT Read]]+Table1[[#This Row],[DUT Ucty]])</f>
        <v>N/A</v>
      </c>
      <c r="Y2397" s="1" t="str">
        <f>IF(Table1[[#This Row],[Std Read]]="","N/A",Table1[[#This Row],[Std Read]]+Table1[[#This Row],[Std Ucty]])</f>
        <v>N/A</v>
      </c>
      <c r="Z23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7" s="1" t="str">
        <f>IF(Table1[[#This Row],[Spec Type]]="","N/A",Table1[[#This Row],[Spec Type]])</f>
        <v>±</v>
      </c>
      <c r="AC2397" s="1" t="str">
        <f>IF(Table1[[#This Row],[Spec Type2]]="N/A","N/A",IF(AND(Table1[[#This Row],[DUT Adj Read]]&gt;=Table1[[#This Row],[Low Tol]],Table1[[#This Row],[DUT Adj Read]]&lt;=Table1[[#This Row],[High Tol]]),"Pass","Fail"))</f>
        <v>Fail</v>
      </c>
      <c r="AD2397" s="1" t="str">
        <f>IF(AND(Table1[[#This Row],[Spec Type2]]="N/A",Table1[[#This Row],[DUT Adj Read]]="N/A",Table1[[#This Row],[Std Adj Read]]="N/A"),"N/A",IF(Table1[[#This Row],[DUT Adj Read]]="N/A",IF(Table1[[#This Row],[Std Adj Read]]&gt;Table1[[#This Row],[Low Tol]],"Pass","Fail"),IF(Table1[[#This Row],[DUT Adj Read]]&gt;Table1[[#This Row],[Low Tol]],"Pass","Fail")))</f>
        <v>Pass</v>
      </c>
      <c r="AE2397" s="1" t="str">
        <f>IF(AND(Table1[[#This Row],[Spec Type2]]="N/A",Table1[[#This Row],[DUT Adj Read]]="N/A",Table1[[#This Row],[Std Adj Read]]="N/A"),"N/A",IF(Table1[[#This Row],[DUT Adj Read]]="N/A",IF(Table1[[#This Row],[Std Adj Read]]&lt;Table1[[#This Row],[High Tol]],"Pass","Fail"),IF(Table1[[#This Row],[DUT Adj Read]]&lt;Table1[[#This Row],[High Tol]],"Pass","Fail")))</f>
        <v>Fail</v>
      </c>
      <c r="AF2397" s="1" t="str">
        <f>IF(AND(Table1[[#This Row],[Spec Type2]]="N/A",Table1[[#This Row],[DUT Adj Read]]="N/A",Table1[[#This Row],[Std Adj Read]]="N/A"),"N/A",IF(Table1[[#This Row],[DUT Adj Read]]="N/A",IF(Table1[[#This Row],[Std Adj Read]]&gt;=Table1[[#This Row],[Low Tol]],"Pass","Fail"),IF(Table1[[#This Row],[DUT Adj Read]]&gt;=Table1[[#This Row],[Low Tol]],"Pass","Fail")))</f>
        <v>Pass</v>
      </c>
      <c r="AG2397" s="1" t="str">
        <f>IF(AND(Table1[[#This Row],[Spec Type2]]="N/A",Table1[[#This Row],[DUT Adj Read]]="N/A",Table1[[#This Row],[Std Adj Read]]="N/A"),"N/A",IF(Table1[[#This Row],[DUT Adj Read]]="N/A",IF(Table1[[#This Row],[Std Adj Read]]&lt;=Table1[[#This Row],[High Tol]],"Pass","Fail"),IF(Table1[[#This Row],[DUT Adj Read]]&lt;=Table1[[#This Row],[High Tol]],"Pass","Fail")))</f>
        <v>Fail</v>
      </c>
      <c r="AH23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7" s="1" t="b">
        <v>0</v>
      </c>
      <c r="AN2397" s="1" t="b">
        <v>0</v>
      </c>
      <c r="AO2397" s="1" t="b">
        <v>0</v>
      </c>
    </row>
    <row r="2398" spans="1:41" x14ac:dyDescent="0.25">
      <c r="A2398" s="10"/>
      <c r="B2398" s="10"/>
      <c r="C2398" s="10"/>
      <c r="D2398" s="10"/>
      <c r="E2398" s="10"/>
      <c r="F2398" s="10"/>
      <c r="G2398" s="10"/>
      <c r="H2398" s="10"/>
      <c r="I2398" s="1" t="str">
        <f t="shared" si="111"/>
        <v/>
      </c>
      <c r="J2398" s="1" t="s">
        <v>35</v>
      </c>
      <c r="K2398" s="1" t="str">
        <f t="shared" si="112"/>
        <v/>
      </c>
      <c r="L2398" s="1" t="str">
        <f t="shared" si="113"/>
        <v/>
      </c>
      <c r="M2398" s="1">
        <f>IF(OR(Table1[[#This Row],[Std Nom]]="",Table1[[#This Row],[Std Read]]=""),0,Table1[[#This Row],[Std Nom]]-Table1[[#This Row],[Std Read]])</f>
        <v>0</v>
      </c>
      <c r="N2398" s="1">
        <f>IF(Calculations!$F$5="ACCREDITED 17025 WITH UNCERTAINTIES",$N$10,0)</f>
        <v>0</v>
      </c>
      <c r="Q2398" s="1">
        <f>Table1[[#This Row],[High Tol]]-Table1[[#This Row],[Low Tol]]</f>
        <v>0</v>
      </c>
      <c r="R2398" s="1">
        <f>2*Table1[[#This Row],[Std Error]]</f>
        <v>0</v>
      </c>
      <c r="S2398" s="1" t="str">
        <f>IF(Table1[[#This Row],[High Tol]]="","N/A",IFERROR(ABS(Table1[[#This Row],[Tol Span]]/Table1[[#This Row],[Error Span]]),"N/A"))</f>
        <v>N/A</v>
      </c>
      <c r="T2398" s="1" t="str">
        <f>IF(OR(Table1[[#This Row],[Low Tol]]="",Table1[[#This Row],[High Tol]]=""),"Needs Analysis",IF(Table1[[#This Row],[Ratio]]&gt;=4,"Not Significant",IF(Table1[[#This Row],[Ratio]]&gt;=2,"Semi-Significant","Significant")))</f>
        <v>Needs Analysis</v>
      </c>
      <c r="W2398" s="1">
        <f>IF(Table1[[#This Row],[Cal Type]]&lt;&gt;"ACCREDITED 17025 WITH UNCERTAINTIES",0,"")</f>
        <v>0</v>
      </c>
      <c r="X2398" s="1" t="str">
        <f>IF(Table1[[#This Row],[DUT Read]]="","N/A",Table1[[#This Row],[Std Error]]+Table1[[#This Row],[DUT Read]]+Table1[[#This Row],[DUT Ucty]])</f>
        <v>N/A</v>
      </c>
      <c r="Y2398" s="1" t="str">
        <f>IF(Table1[[#This Row],[Std Read]]="","N/A",Table1[[#This Row],[Std Read]]+Table1[[#This Row],[Std Ucty]])</f>
        <v>N/A</v>
      </c>
      <c r="Z23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8" s="1" t="str">
        <f>IF(Table1[[#This Row],[Spec Type]]="","N/A",Table1[[#This Row],[Spec Type]])</f>
        <v>±</v>
      </c>
      <c r="AC2398" s="1" t="str">
        <f>IF(Table1[[#This Row],[Spec Type2]]="N/A","N/A",IF(AND(Table1[[#This Row],[DUT Adj Read]]&gt;=Table1[[#This Row],[Low Tol]],Table1[[#This Row],[DUT Adj Read]]&lt;=Table1[[#This Row],[High Tol]]),"Pass","Fail"))</f>
        <v>Fail</v>
      </c>
      <c r="AD2398" s="1" t="str">
        <f>IF(AND(Table1[[#This Row],[Spec Type2]]="N/A",Table1[[#This Row],[DUT Adj Read]]="N/A",Table1[[#This Row],[Std Adj Read]]="N/A"),"N/A",IF(Table1[[#This Row],[DUT Adj Read]]="N/A",IF(Table1[[#This Row],[Std Adj Read]]&gt;Table1[[#This Row],[Low Tol]],"Pass","Fail"),IF(Table1[[#This Row],[DUT Adj Read]]&gt;Table1[[#This Row],[Low Tol]],"Pass","Fail")))</f>
        <v>Pass</v>
      </c>
      <c r="AE2398" s="1" t="str">
        <f>IF(AND(Table1[[#This Row],[Spec Type2]]="N/A",Table1[[#This Row],[DUT Adj Read]]="N/A",Table1[[#This Row],[Std Adj Read]]="N/A"),"N/A",IF(Table1[[#This Row],[DUT Adj Read]]="N/A",IF(Table1[[#This Row],[Std Adj Read]]&lt;Table1[[#This Row],[High Tol]],"Pass","Fail"),IF(Table1[[#This Row],[DUT Adj Read]]&lt;Table1[[#This Row],[High Tol]],"Pass","Fail")))</f>
        <v>Fail</v>
      </c>
      <c r="AF2398" s="1" t="str">
        <f>IF(AND(Table1[[#This Row],[Spec Type2]]="N/A",Table1[[#This Row],[DUT Adj Read]]="N/A",Table1[[#This Row],[Std Adj Read]]="N/A"),"N/A",IF(Table1[[#This Row],[DUT Adj Read]]="N/A",IF(Table1[[#This Row],[Std Adj Read]]&gt;=Table1[[#This Row],[Low Tol]],"Pass","Fail"),IF(Table1[[#This Row],[DUT Adj Read]]&gt;=Table1[[#This Row],[Low Tol]],"Pass","Fail")))</f>
        <v>Pass</v>
      </c>
      <c r="AG2398" s="1" t="str">
        <f>IF(AND(Table1[[#This Row],[Spec Type2]]="N/A",Table1[[#This Row],[DUT Adj Read]]="N/A",Table1[[#This Row],[Std Adj Read]]="N/A"),"N/A",IF(Table1[[#This Row],[DUT Adj Read]]="N/A",IF(Table1[[#This Row],[Std Adj Read]]&lt;=Table1[[#This Row],[High Tol]],"Pass","Fail"),IF(Table1[[#This Row],[DUT Adj Read]]&lt;=Table1[[#This Row],[High Tol]],"Pass","Fail")))</f>
        <v>Fail</v>
      </c>
      <c r="AH23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8" s="1" t="b">
        <v>0</v>
      </c>
      <c r="AN2398" s="1" t="b">
        <v>0</v>
      </c>
      <c r="AO2398" s="1" t="b">
        <v>0</v>
      </c>
    </row>
    <row r="2399" spans="1:41" x14ac:dyDescent="0.25">
      <c r="A2399" s="10"/>
      <c r="B2399" s="10"/>
      <c r="C2399" s="10"/>
      <c r="D2399" s="10"/>
      <c r="E2399" s="10"/>
      <c r="F2399" s="10"/>
      <c r="G2399" s="10"/>
      <c r="H2399" s="10"/>
      <c r="I2399" s="1" t="str">
        <f t="shared" si="111"/>
        <v/>
      </c>
      <c r="J2399" s="1" t="s">
        <v>35</v>
      </c>
      <c r="K2399" s="1" t="str">
        <f t="shared" si="112"/>
        <v/>
      </c>
      <c r="L2399" s="1" t="str">
        <f t="shared" si="113"/>
        <v/>
      </c>
      <c r="M2399" s="1">
        <f>IF(OR(Table1[[#This Row],[Std Nom]]="",Table1[[#This Row],[Std Read]]=""),0,Table1[[#This Row],[Std Nom]]-Table1[[#This Row],[Std Read]])</f>
        <v>0</v>
      </c>
      <c r="N2399" s="1">
        <f>IF(Calculations!$F$5="ACCREDITED 17025 WITH UNCERTAINTIES",$N$10,0)</f>
        <v>0</v>
      </c>
      <c r="Q2399" s="1">
        <f>Table1[[#This Row],[High Tol]]-Table1[[#This Row],[Low Tol]]</f>
        <v>0</v>
      </c>
      <c r="R2399" s="1">
        <f>2*Table1[[#This Row],[Std Error]]</f>
        <v>0</v>
      </c>
      <c r="S2399" s="1" t="str">
        <f>IF(Table1[[#This Row],[High Tol]]="","N/A",IFERROR(ABS(Table1[[#This Row],[Tol Span]]/Table1[[#This Row],[Error Span]]),"N/A"))</f>
        <v>N/A</v>
      </c>
      <c r="T2399" s="1" t="str">
        <f>IF(OR(Table1[[#This Row],[Low Tol]]="",Table1[[#This Row],[High Tol]]=""),"Needs Analysis",IF(Table1[[#This Row],[Ratio]]&gt;=4,"Not Significant",IF(Table1[[#This Row],[Ratio]]&gt;=2,"Semi-Significant","Significant")))</f>
        <v>Needs Analysis</v>
      </c>
      <c r="W2399" s="1">
        <f>IF(Table1[[#This Row],[Cal Type]]&lt;&gt;"ACCREDITED 17025 WITH UNCERTAINTIES",0,"")</f>
        <v>0</v>
      </c>
      <c r="X2399" s="1" t="str">
        <f>IF(Table1[[#This Row],[DUT Read]]="","N/A",Table1[[#This Row],[Std Error]]+Table1[[#This Row],[DUT Read]]+Table1[[#This Row],[DUT Ucty]])</f>
        <v>N/A</v>
      </c>
      <c r="Y2399" s="1" t="str">
        <f>IF(Table1[[#This Row],[Std Read]]="","N/A",Table1[[#This Row],[Std Read]]+Table1[[#This Row],[Std Ucty]])</f>
        <v>N/A</v>
      </c>
      <c r="Z23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399" s="1" t="str">
        <f>IF(Table1[[#This Row],[Spec Type]]="","N/A",Table1[[#This Row],[Spec Type]])</f>
        <v>±</v>
      </c>
      <c r="AC2399" s="1" t="str">
        <f>IF(Table1[[#This Row],[Spec Type2]]="N/A","N/A",IF(AND(Table1[[#This Row],[DUT Adj Read]]&gt;=Table1[[#This Row],[Low Tol]],Table1[[#This Row],[DUT Adj Read]]&lt;=Table1[[#This Row],[High Tol]]),"Pass","Fail"))</f>
        <v>Fail</v>
      </c>
      <c r="AD2399" s="1" t="str">
        <f>IF(AND(Table1[[#This Row],[Spec Type2]]="N/A",Table1[[#This Row],[DUT Adj Read]]="N/A",Table1[[#This Row],[Std Adj Read]]="N/A"),"N/A",IF(Table1[[#This Row],[DUT Adj Read]]="N/A",IF(Table1[[#This Row],[Std Adj Read]]&gt;Table1[[#This Row],[Low Tol]],"Pass","Fail"),IF(Table1[[#This Row],[DUT Adj Read]]&gt;Table1[[#This Row],[Low Tol]],"Pass","Fail")))</f>
        <v>Pass</v>
      </c>
      <c r="AE2399" s="1" t="str">
        <f>IF(AND(Table1[[#This Row],[Spec Type2]]="N/A",Table1[[#This Row],[DUT Adj Read]]="N/A",Table1[[#This Row],[Std Adj Read]]="N/A"),"N/A",IF(Table1[[#This Row],[DUT Adj Read]]="N/A",IF(Table1[[#This Row],[Std Adj Read]]&lt;Table1[[#This Row],[High Tol]],"Pass","Fail"),IF(Table1[[#This Row],[DUT Adj Read]]&lt;Table1[[#This Row],[High Tol]],"Pass","Fail")))</f>
        <v>Fail</v>
      </c>
      <c r="AF2399" s="1" t="str">
        <f>IF(AND(Table1[[#This Row],[Spec Type2]]="N/A",Table1[[#This Row],[DUT Adj Read]]="N/A",Table1[[#This Row],[Std Adj Read]]="N/A"),"N/A",IF(Table1[[#This Row],[DUT Adj Read]]="N/A",IF(Table1[[#This Row],[Std Adj Read]]&gt;=Table1[[#This Row],[Low Tol]],"Pass","Fail"),IF(Table1[[#This Row],[DUT Adj Read]]&gt;=Table1[[#This Row],[Low Tol]],"Pass","Fail")))</f>
        <v>Pass</v>
      </c>
      <c r="AG2399" s="1" t="str">
        <f>IF(AND(Table1[[#This Row],[Spec Type2]]="N/A",Table1[[#This Row],[DUT Adj Read]]="N/A",Table1[[#This Row],[Std Adj Read]]="N/A"),"N/A",IF(Table1[[#This Row],[DUT Adj Read]]="N/A",IF(Table1[[#This Row],[Std Adj Read]]&lt;=Table1[[#This Row],[High Tol]],"Pass","Fail"),IF(Table1[[#This Row],[DUT Adj Read]]&lt;=Table1[[#This Row],[High Tol]],"Pass","Fail")))</f>
        <v>Fail</v>
      </c>
      <c r="AH23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399" s="1" t="b">
        <v>0</v>
      </c>
      <c r="AN2399" s="1" t="b">
        <v>0</v>
      </c>
      <c r="AO2399" s="1" t="b">
        <v>0</v>
      </c>
    </row>
    <row r="2400" spans="1:41" x14ac:dyDescent="0.25">
      <c r="A2400" s="10"/>
      <c r="B2400" s="10"/>
      <c r="C2400" s="10"/>
      <c r="D2400" s="10"/>
      <c r="E2400" s="10"/>
      <c r="F2400" s="10"/>
      <c r="G2400" s="10"/>
      <c r="H2400" s="10"/>
      <c r="I2400" s="1" t="str">
        <f t="shared" si="111"/>
        <v/>
      </c>
      <c r="J2400" s="1" t="s">
        <v>35</v>
      </c>
      <c r="K2400" s="1" t="str">
        <f t="shared" si="112"/>
        <v/>
      </c>
      <c r="L2400" s="1" t="str">
        <f t="shared" si="113"/>
        <v/>
      </c>
      <c r="M2400" s="1">
        <f>IF(OR(Table1[[#This Row],[Std Nom]]="",Table1[[#This Row],[Std Read]]=""),0,Table1[[#This Row],[Std Nom]]-Table1[[#This Row],[Std Read]])</f>
        <v>0</v>
      </c>
      <c r="N2400" s="1">
        <f>IF(Calculations!$F$5="ACCREDITED 17025 WITH UNCERTAINTIES",$N$10,0)</f>
        <v>0</v>
      </c>
      <c r="Q2400" s="1">
        <f>Table1[[#This Row],[High Tol]]-Table1[[#This Row],[Low Tol]]</f>
        <v>0</v>
      </c>
      <c r="R2400" s="1">
        <f>2*Table1[[#This Row],[Std Error]]</f>
        <v>0</v>
      </c>
      <c r="S2400" s="1" t="str">
        <f>IF(Table1[[#This Row],[High Tol]]="","N/A",IFERROR(ABS(Table1[[#This Row],[Tol Span]]/Table1[[#This Row],[Error Span]]),"N/A"))</f>
        <v>N/A</v>
      </c>
      <c r="T2400" s="1" t="str">
        <f>IF(OR(Table1[[#This Row],[Low Tol]]="",Table1[[#This Row],[High Tol]]=""),"Needs Analysis",IF(Table1[[#This Row],[Ratio]]&gt;=4,"Not Significant",IF(Table1[[#This Row],[Ratio]]&gt;=2,"Semi-Significant","Significant")))</f>
        <v>Needs Analysis</v>
      </c>
      <c r="W2400" s="1">
        <f>IF(Table1[[#This Row],[Cal Type]]&lt;&gt;"ACCREDITED 17025 WITH UNCERTAINTIES",0,"")</f>
        <v>0</v>
      </c>
      <c r="X2400" s="1" t="str">
        <f>IF(Table1[[#This Row],[DUT Read]]="","N/A",Table1[[#This Row],[Std Error]]+Table1[[#This Row],[DUT Read]]+Table1[[#This Row],[DUT Ucty]])</f>
        <v>N/A</v>
      </c>
      <c r="Y2400" s="1" t="str">
        <f>IF(Table1[[#This Row],[Std Read]]="","N/A",Table1[[#This Row],[Std Read]]+Table1[[#This Row],[Std Ucty]])</f>
        <v>N/A</v>
      </c>
      <c r="Z24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0" s="1" t="str">
        <f>IF(Table1[[#This Row],[Spec Type]]="","N/A",Table1[[#This Row],[Spec Type]])</f>
        <v>±</v>
      </c>
      <c r="AC2400" s="1" t="str">
        <f>IF(Table1[[#This Row],[Spec Type2]]="N/A","N/A",IF(AND(Table1[[#This Row],[DUT Adj Read]]&gt;=Table1[[#This Row],[Low Tol]],Table1[[#This Row],[DUT Adj Read]]&lt;=Table1[[#This Row],[High Tol]]),"Pass","Fail"))</f>
        <v>Fail</v>
      </c>
      <c r="AD2400" s="1" t="str">
        <f>IF(AND(Table1[[#This Row],[Spec Type2]]="N/A",Table1[[#This Row],[DUT Adj Read]]="N/A",Table1[[#This Row],[Std Adj Read]]="N/A"),"N/A",IF(Table1[[#This Row],[DUT Adj Read]]="N/A",IF(Table1[[#This Row],[Std Adj Read]]&gt;Table1[[#This Row],[Low Tol]],"Pass","Fail"),IF(Table1[[#This Row],[DUT Adj Read]]&gt;Table1[[#This Row],[Low Tol]],"Pass","Fail")))</f>
        <v>Pass</v>
      </c>
      <c r="AE2400" s="1" t="str">
        <f>IF(AND(Table1[[#This Row],[Spec Type2]]="N/A",Table1[[#This Row],[DUT Adj Read]]="N/A",Table1[[#This Row],[Std Adj Read]]="N/A"),"N/A",IF(Table1[[#This Row],[DUT Adj Read]]="N/A",IF(Table1[[#This Row],[Std Adj Read]]&lt;Table1[[#This Row],[High Tol]],"Pass","Fail"),IF(Table1[[#This Row],[DUT Adj Read]]&lt;Table1[[#This Row],[High Tol]],"Pass","Fail")))</f>
        <v>Fail</v>
      </c>
      <c r="AF2400" s="1" t="str">
        <f>IF(AND(Table1[[#This Row],[Spec Type2]]="N/A",Table1[[#This Row],[DUT Adj Read]]="N/A",Table1[[#This Row],[Std Adj Read]]="N/A"),"N/A",IF(Table1[[#This Row],[DUT Adj Read]]="N/A",IF(Table1[[#This Row],[Std Adj Read]]&gt;=Table1[[#This Row],[Low Tol]],"Pass","Fail"),IF(Table1[[#This Row],[DUT Adj Read]]&gt;=Table1[[#This Row],[Low Tol]],"Pass","Fail")))</f>
        <v>Pass</v>
      </c>
      <c r="AG2400" s="1" t="str">
        <f>IF(AND(Table1[[#This Row],[Spec Type2]]="N/A",Table1[[#This Row],[DUT Adj Read]]="N/A",Table1[[#This Row],[Std Adj Read]]="N/A"),"N/A",IF(Table1[[#This Row],[DUT Adj Read]]="N/A",IF(Table1[[#This Row],[Std Adj Read]]&lt;=Table1[[#This Row],[High Tol]],"Pass","Fail"),IF(Table1[[#This Row],[DUT Adj Read]]&lt;=Table1[[#This Row],[High Tol]],"Pass","Fail")))</f>
        <v>Fail</v>
      </c>
      <c r="AH24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0" s="1" t="b">
        <v>0</v>
      </c>
      <c r="AN2400" s="1" t="b">
        <v>0</v>
      </c>
      <c r="AO2400" s="1" t="b">
        <v>0</v>
      </c>
    </row>
    <row r="2401" spans="1:41" x14ac:dyDescent="0.25">
      <c r="A2401" s="10"/>
      <c r="B2401" s="10"/>
      <c r="C2401" s="10"/>
      <c r="D2401" s="10"/>
      <c r="E2401" s="10"/>
      <c r="F2401" s="10"/>
      <c r="G2401" s="10"/>
      <c r="H2401" s="10"/>
      <c r="I2401" s="1" t="str">
        <f t="shared" si="111"/>
        <v/>
      </c>
      <c r="J2401" s="1" t="s">
        <v>35</v>
      </c>
      <c r="K2401" s="1" t="str">
        <f t="shared" si="112"/>
        <v/>
      </c>
      <c r="L2401" s="1" t="str">
        <f t="shared" si="113"/>
        <v/>
      </c>
      <c r="M2401" s="1">
        <f>IF(OR(Table1[[#This Row],[Std Nom]]="",Table1[[#This Row],[Std Read]]=""),0,Table1[[#This Row],[Std Nom]]-Table1[[#This Row],[Std Read]])</f>
        <v>0</v>
      </c>
      <c r="N2401" s="1">
        <f>IF(Calculations!$F$5="ACCREDITED 17025 WITH UNCERTAINTIES",$N$10,0)</f>
        <v>0</v>
      </c>
      <c r="Q2401" s="1">
        <f>Table1[[#This Row],[High Tol]]-Table1[[#This Row],[Low Tol]]</f>
        <v>0</v>
      </c>
      <c r="R2401" s="1">
        <f>2*Table1[[#This Row],[Std Error]]</f>
        <v>0</v>
      </c>
      <c r="S2401" s="1" t="str">
        <f>IF(Table1[[#This Row],[High Tol]]="","N/A",IFERROR(ABS(Table1[[#This Row],[Tol Span]]/Table1[[#This Row],[Error Span]]),"N/A"))</f>
        <v>N/A</v>
      </c>
      <c r="T2401" s="1" t="str">
        <f>IF(OR(Table1[[#This Row],[Low Tol]]="",Table1[[#This Row],[High Tol]]=""),"Needs Analysis",IF(Table1[[#This Row],[Ratio]]&gt;=4,"Not Significant",IF(Table1[[#This Row],[Ratio]]&gt;=2,"Semi-Significant","Significant")))</f>
        <v>Needs Analysis</v>
      </c>
      <c r="W2401" s="1">
        <f>IF(Table1[[#This Row],[Cal Type]]&lt;&gt;"ACCREDITED 17025 WITH UNCERTAINTIES",0,"")</f>
        <v>0</v>
      </c>
      <c r="X2401" s="1" t="str">
        <f>IF(Table1[[#This Row],[DUT Read]]="","N/A",Table1[[#This Row],[Std Error]]+Table1[[#This Row],[DUT Read]]+Table1[[#This Row],[DUT Ucty]])</f>
        <v>N/A</v>
      </c>
      <c r="Y2401" s="1" t="str">
        <f>IF(Table1[[#This Row],[Std Read]]="","N/A",Table1[[#This Row],[Std Read]]+Table1[[#This Row],[Std Ucty]])</f>
        <v>N/A</v>
      </c>
      <c r="Z24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1" s="1" t="str">
        <f>IF(Table1[[#This Row],[Spec Type]]="","N/A",Table1[[#This Row],[Spec Type]])</f>
        <v>±</v>
      </c>
      <c r="AC2401" s="1" t="str">
        <f>IF(Table1[[#This Row],[Spec Type2]]="N/A","N/A",IF(AND(Table1[[#This Row],[DUT Adj Read]]&gt;=Table1[[#This Row],[Low Tol]],Table1[[#This Row],[DUT Adj Read]]&lt;=Table1[[#This Row],[High Tol]]),"Pass","Fail"))</f>
        <v>Fail</v>
      </c>
      <c r="AD2401" s="1" t="str">
        <f>IF(AND(Table1[[#This Row],[Spec Type2]]="N/A",Table1[[#This Row],[DUT Adj Read]]="N/A",Table1[[#This Row],[Std Adj Read]]="N/A"),"N/A",IF(Table1[[#This Row],[DUT Adj Read]]="N/A",IF(Table1[[#This Row],[Std Adj Read]]&gt;Table1[[#This Row],[Low Tol]],"Pass","Fail"),IF(Table1[[#This Row],[DUT Adj Read]]&gt;Table1[[#This Row],[Low Tol]],"Pass","Fail")))</f>
        <v>Pass</v>
      </c>
      <c r="AE2401" s="1" t="str">
        <f>IF(AND(Table1[[#This Row],[Spec Type2]]="N/A",Table1[[#This Row],[DUT Adj Read]]="N/A",Table1[[#This Row],[Std Adj Read]]="N/A"),"N/A",IF(Table1[[#This Row],[DUT Adj Read]]="N/A",IF(Table1[[#This Row],[Std Adj Read]]&lt;Table1[[#This Row],[High Tol]],"Pass","Fail"),IF(Table1[[#This Row],[DUT Adj Read]]&lt;Table1[[#This Row],[High Tol]],"Pass","Fail")))</f>
        <v>Fail</v>
      </c>
      <c r="AF2401" s="1" t="str">
        <f>IF(AND(Table1[[#This Row],[Spec Type2]]="N/A",Table1[[#This Row],[DUT Adj Read]]="N/A",Table1[[#This Row],[Std Adj Read]]="N/A"),"N/A",IF(Table1[[#This Row],[DUT Adj Read]]="N/A",IF(Table1[[#This Row],[Std Adj Read]]&gt;=Table1[[#This Row],[Low Tol]],"Pass","Fail"),IF(Table1[[#This Row],[DUT Adj Read]]&gt;=Table1[[#This Row],[Low Tol]],"Pass","Fail")))</f>
        <v>Pass</v>
      </c>
      <c r="AG2401" s="1" t="str">
        <f>IF(AND(Table1[[#This Row],[Spec Type2]]="N/A",Table1[[#This Row],[DUT Adj Read]]="N/A",Table1[[#This Row],[Std Adj Read]]="N/A"),"N/A",IF(Table1[[#This Row],[DUT Adj Read]]="N/A",IF(Table1[[#This Row],[Std Adj Read]]&lt;=Table1[[#This Row],[High Tol]],"Pass","Fail"),IF(Table1[[#This Row],[DUT Adj Read]]&lt;=Table1[[#This Row],[High Tol]],"Pass","Fail")))</f>
        <v>Fail</v>
      </c>
      <c r="AH24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1" s="1" t="b">
        <v>0</v>
      </c>
      <c r="AN2401" s="1" t="b">
        <v>0</v>
      </c>
      <c r="AO2401" s="1" t="b">
        <v>0</v>
      </c>
    </row>
    <row r="2402" spans="1:41" x14ac:dyDescent="0.25">
      <c r="A2402" s="10"/>
      <c r="B2402" s="10"/>
      <c r="C2402" s="10"/>
      <c r="D2402" s="10"/>
      <c r="E2402" s="10"/>
      <c r="F2402" s="10"/>
      <c r="G2402" s="10"/>
      <c r="H2402" s="10"/>
      <c r="I2402" s="1" t="str">
        <f t="shared" si="111"/>
        <v/>
      </c>
      <c r="J2402" s="1" t="s">
        <v>35</v>
      </c>
      <c r="K2402" s="1" t="str">
        <f t="shared" si="112"/>
        <v/>
      </c>
      <c r="L2402" s="1" t="str">
        <f t="shared" si="113"/>
        <v/>
      </c>
      <c r="M2402" s="1">
        <f>IF(OR(Table1[[#This Row],[Std Nom]]="",Table1[[#This Row],[Std Read]]=""),0,Table1[[#This Row],[Std Nom]]-Table1[[#This Row],[Std Read]])</f>
        <v>0</v>
      </c>
      <c r="N2402" s="1">
        <f>IF(Calculations!$F$5="ACCREDITED 17025 WITH UNCERTAINTIES",$N$10,0)</f>
        <v>0</v>
      </c>
      <c r="Q2402" s="1">
        <f>Table1[[#This Row],[High Tol]]-Table1[[#This Row],[Low Tol]]</f>
        <v>0</v>
      </c>
      <c r="R2402" s="1">
        <f>2*Table1[[#This Row],[Std Error]]</f>
        <v>0</v>
      </c>
      <c r="S2402" s="1" t="str">
        <f>IF(Table1[[#This Row],[High Tol]]="","N/A",IFERROR(ABS(Table1[[#This Row],[Tol Span]]/Table1[[#This Row],[Error Span]]),"N/A"))</f>
        <v>N/A</v>
      </c>
      <c r="T2402" s="1" t="str">
        <f>IF(OR(Table1[[#This Row],[Low Tol]]="",Table1[[#This Row],[High Tol]]=""),"Needs Analysis",IF(Table1[[#This Row],[Ratio]]&gt;=4,"Not Significant",IF(Table1[[#This Row],[Ratio]]&gt;=2,"Semi-Significant","Significant")))</f>
        <v>Needs Analysis</v>
      </c>
      <c r="W2402" s="1">
        <f>IF(Table1[[#This Row],[Cal Type]]&lt;&gt;"ACCREDITED 17025 WITH UNCERTAINTIES",0,"")</f>
        <v>0</v>
      </c>
      <c r="X2402" s="1" t="str">
        <f>IF(Table1[[#This Row],[DUT Read]]="","N/A",Table1[[#This Row],[Std Error]]+Table1[[#This Row],[DUT Read]]+Table1[[#This Row],[DUT Ucty]])</f>
        <v>N/A</v>
      </c>
      <c r="Y2402" s="1" t="str">
        <f>IF(Table1[[#This Row],[Std Read]]="","N/A",Table1[[#This Row],[Std Read]]+Table1[[#This Row],[Std Ucty]])</f>
        <v>N/A</v>
      </c>
      <c r="Z24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2" s="1" t="str">
        <f>IF(Table1[[#This Row],[Spec Type]]="","N/A",Table1[[#This Row],[Spec Type]])</f>
        <v>±</v>
      </c>
      <c r="AC2402" s="1" t="str">
        <f>IF(Table1[[#This Row],[Spec Type2]]="N/A","N/A",IF(AND(Table1[[#This Row],[DUT Adj Read]]&gt;=Table1[[#This Row],[Low Tol]],Table1[[#This Row],[DUT Adj Read]]&lt;=Table1[[#This Row],[High Tol]]),"Pass","Fail"))</f>
        <v>Fail</v>
      </c>
      <c r="AD2402" s="1" t="str">
        <f>IF(AND(Table1[[#This Row],[Spec Type2]]="N/A",Table1[[#This Row],[DUT Adj Read]]="N/A",Table1[[#This Row],[Std Adj Read]]="N/A"),"N/A",IF(Table1[[#This Row],[DUT Adj Read]]="N/A",IF(Table1[[#This Row],[Std Adj Read]]&gt;Table1[[#This Row],[Low Tol]],"Pass","Fail"),IF(Table1[[#This Row],[DUT Adj Read]]&gt;Table1[[#This Row],[Low Tol]],"Pass","Fail")))</f>
        <v>Pass</v>
      </c>
      <c r="AE2402" s="1" t="str">
        <f>IF(AND(Table1[[#This Row],[Spec Type2]]="N/A",Table1[[#This Row],[DUT Adj Read]]="N/A",Table1[[#This Row],[Std Adj Read]]="N/A"),"N/A",IF(Table1[[#This Row],[DUT Adj Read]]="N/A",IF(Table1[[#This Row],[Std Adj Read]]&lt;Table1[[#This Row],[High Tol]],"Pass","Fail"),IF(Table1[[#This Row],[DUT Adj Read]]&lt;Table1[[#This Row],[High Tol]],"Pass","Fail")))</f>
        <v>Fail</v>
      </c>
      <c r="AF2402" s="1" t="str">
        <f>IF(AND(Table1[[#This Row],[Spec Type2]]="N/A",Table1[[#This Row],[DUT Adj Read]]="N/A",Table1[[#This Row],[Std Adj Read]]="N/A"),"N/A",IF(Table1[[#This Row],[DUT Adj Read]]="N/A",IF(Table1[[#This Row],[Std Adj Read]]&gt;=Table1[[#This Row],[Low Tol]],"Pass","Fail"),IF(Table1[[#This Row],[DUT Adj Read]]&gt;=Table1[[#This Row],[Low Tol]],"Pass","Fail")))</f>
        <v>Pass</v>
      </c>
      <c r="AG2402" s="1" t="str">
        <f>IF(AND(Table1[[#This Row],[Spec Type2]]="N/A",Table1[[#This Row],[DUT Adj Read]]="N/A",Table1[[#This Row],[Std Adj Read]]="N/A"),"N/A",IF(Table1[[#This Row],[DUT Adj Read]]="N/A",IF(Table1[[#This Row],[Std Adj Read]]&lt;=Table1[[#This Row],[High Tol]],"Pass","Fail"),IF(Table1[[#This Row],[DUT Adj Read]]&lt;=Table1[[#This Row],[High Tol]],"Pass","Fail")))</f>
        <v>Fail</v>
      </c>
      <c r="AH24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2" s="1" t="b">
        <v>0</v>
      </c>
      <c r="AN2402" s="1" t="b">
        <v>0</v>
      </c>
      <c r="AO2402" s="1" t="b">
        <v>0</v>
      </c>
    </row>
    <row r="2403" spans="1:41" x14ac:dyDescent="0.25">
      <c r="A2403" s="10"/>
      <c r="B2403" s="10"/>
      <c r="C2403" s="10"/>
      <c r="D2403" s="10"/>
      <c r="E2403" s="10"/>
      <c r="F2403" s="10"/>
      <c r="G2403" s="10"/>
      <c r="H2403" s="10"/>
      <c r="I2403" s="1" t="str">
        <f t="shared" si="111"/>
        <v/>
      </c>
      <c r="J2403" s="1" t="s">
        <v>35</v>
      </c>
      <c r="K2403" s="1" t="str">
        <f t="shared" si="112"/>
        <v/>
      </c>
      <c r="L2403" s="1" t="str">
        <f t="shared" si="113"/>
        <v/>
      </c>
      <c r="M2403" s="1">
        <f>IF(OR(Table1[[#This Row],[Std Nom]]="",Table1[[#This Row],[Std Read]]=""),0,Table1[[#This Row],[Std Nom]]-Table1[[#This Row],[Std Read]])</f>
        <v>0</v>
      </c>
      <c r="N2403" s="1">
        <f>IF(Calculations!$F$5="ACCREDITED 17025 WITH UNCERTAINTIES",$N$10,0)</f>
        <v>0</v>
      </c>
      <c r="Q2403" s="1">
        <f>Table1[[#This Row],[High Tol]]-Table1[[#This Row],[Low Tol]]</f>
        <v>0</v>
      </c>
      <c r="R2403" s="1">
        <f>2*Table1[[#This Row],[Std Error]]</f>
        <v>0</v>
      </c>
      <c r="S2403" s="1" t="str">
        <f>IF(Table1[[#This Row],[High Tol]]="","N/A",IFERROR(ABS(Table1[[#This Row],[Tol Span]]/Table1[[#This Row],[Error Span]]),"N/A"))</f>
        <v>N/A</v>
      </c>
      <c r="T2403" s="1" t="str">
        <f>IF(OR(Table1[[#This Row],[Low Tol]]="",Table1[[#This Row],[High Tol]]=""),"Needs Analysis",IF(Table1[[#This Row],[Ratio]]&gt;=4,"Not Significant",IF(Table1[[#This Row],[Ratio]]&gt;=2,"Semi-Significant","Significant")))</f>
        <v>Needs Analysis</v>
      </c>
      <c r="W2403" s="1">
        <f>IF(Table1[[#This Row],[Cal Type]]&lt;&gt;"ACCREDITED 17025 WITH UNCERTAINTIES",0,"")</f>
        <v>0</v>
      </c>
      <c r="X2403" s="1" t="str">
        <f>IF(Table1[[#This Row],[DUT Read]]="","N/A",Table1[[#This Row],[Std Error]]+Table1[[#This Row],[DUT Read]]+Table1[[#This Row],[DUT Ucty]])</f>
        <v>N/A</v>
      </c>
      <c r="Y2403" s="1" t="str">
        <f>IF(Table1[[#This Row],[Std Read]]="","N/A",Table1[[#This Row],[Std Read]]+Table1[[#This Row],[Std Ucty]])</f>
        <v>N/A</v>
      </c>
      <c r="Z24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3" s="1" t="str">
        <f>IF(Table1[[#This Row],[Spec Type]]="","N/A",Table1[[#This Row],[Spec Type]])</f>
        <v>±</v>
      </c>
      <c r="AC2403" s="1" t="str">
        <f>IF(Table1[[#This Row],[Spec Type2]]="N/A","N/A",IF(AND(Table1[[#This Row],[DUT Adj Read]]&gt;=Table1[[#This Row],[Low Tol]],Table1[[#This Row],[DUT Adj Read]]&lt;=Table1[[#This Row],[High Tol]]),"Pass","Fail"))</f>
        <v>Fail</v>
      </c>
      <c r="AD2403" s="1" t="str">
        <f>IF(AND(Table1[[#This Row],[Spec Type2]]="N/A",Table1[[#This Row],[DUT Adj Read]]="N/A",Table1[[#This Row],[Std Adj Read]]="N/A"),"N/A",IF(Table1[[#This Row],[DUT Adj Read]]="N/A",IF(Table1[[#This Row],[Std Adj Read]]&gt;Table1[[#This Row],[Low Tol]],"Pass","Fail"),IF(Table1[[#This Row],[DUT Adj Read]]&gt;Table1[[#This Row],[Low Tol]],"Pass","Fail")))</f>
        <v>Pass</v>
      </c>
      <c r="AE2403" s="1" t="str">
        <f>IF(AND(Table1[[#This Row],[Spec Type2]]="N/A",Table1[[#This Row],[DUT Adj Read]]="N/A",Table1[[#This Row],[Std Adj Read]]="N/A"),"N/A",IF(Table1[[#This Row],[DUT Adj Read]]="N/A",IF(Table1[[#This Row],[Std Adj Read]]&lt;Table1[[#This Row],[High Tol]],"Pass","Fail"),IF(Table1[[#This Row],[DUT Adj Read]]&lt;Table1[[#This Row],[High Tol]],"Pass","Fail")))</f>
        <v>Fail</v>
      </c>
      <c r="AF2403" s="1" t="str">
        <f>IF(AND(Table1[[#This Row],[Spec Type2]]="N/A",Table1[[#This Row],[DUT Adj Read]]="N/A",Table1[[#This Row],[Std Adj Read]]="N/A"),"N/A",IF(Table1[[#This Row],[DUT Adj Read]]="N/A",IF(Table1[[#This Row],[Std Adj Read]]&gt;=Table1[[#This Row],[Low Tol]],"Pass","Fail"),IF(Table1[[#This Row],[DUT Adj Read]]&gt;=Table1[[#This Row],[Low Tol]],"Pass","Fail")))</f>
        <v>Pass</v>
      </c>
      <c r="AG2403" s="1" t="str">
        <f>IF(AND(Table1[[#This Row],[Spec Type2]]="N/A",Table1[[#This Row],[DUT Adj Read]]="N/A",Table1[[#This Row],[Std Adj Read]]="N/A"),"N/A",IF(Table1[[#This Row],[DUT Adj Read]]="N/A",IF(Table1[[#This Row],[Std Adj Read]]&lt;=Table1[[#This Row],[High Tol]],"Pass","Fail"),IF(Table1[[#This Row],[DUT Adj Read]]&lt;=Table1[[#This Row],[High Tol]],"Pass","Fail")))</f>
        <v>Fail</v>
      </c>
      <c r="AH24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3" s="1" t="b">
        <v>0</v>
      </c>
      <c r="AN2403" s="1" t="b">
        <v>0</v>
      </c>
      <c r="AO2403" s="1" t="b">
        <v>0</v>
      </c>
    </row>
    <row r="2404" spans="1:41" x14ac:dyDescent="0.25">
      <c r="A2404" s="10"/>
      <c r="B2404" s="10"/>
      <c r="C2404" s="10"/>
      <c r="D2404" s="10"/>
      <c r="E2404" s="10"/>
      <c r="F2404" s="10"/>
      <c r="G2404" s="10"/>
      <c r="H2404" s="10"/>
      <c r="I2404" s="1" t="str">
        <f t="shared" si="111"/>
        <v/>
      </c>
      <c r="J2404" s="1" t="s">
        <v>35</v>
      </c>
      <c r="K2404" s="1" t="str">
        <f t="shared" si="112"/>
        <v/>
      </c>
      <c r="L2404" s="1" t="str">
        <f t="shared" si="113"/>
        <v/>
      </c>
      <c r="M2404" s="1">
        <f>IF(OR(Table1[[#This Row],[Std Nom]]="",Table1[[#This Row],[Std Read]]=""),0,Table1[[#This Row],[Std Nom]]-Table1[[#This Row],[Std Read]])</f>
        <v>0</v>
      </c>
      <c r="N2404" s="1">
        <f>IF(Calculations!$F$5="ACCREDITED 17025 WITH UNCERTAINTIES",$N$10,0)</f>
        <v>0</v>
      </c>
      <c r="Q2404" s="1">
        <f>Table1[[#This Row],[High Tol]]-Table1[[#This Row],[Low Tol]]</f>
        <v>0</v>
      </c>
      <c r="R2404" s="1">
        <f>2*Table1[[#This Row],[Std Error]]</f>
        <v>0</v>
      </c>
      <c r="S2404" s="1" t="str">
        <f>IF(Table1[[#This Row],[High Tol]]="","N/A",IFERROR(ABS(Table1[[#This Row],[Tol Span]]/Table1[[#This Row],[Error Span]]),"N/A"))</f>
        <v>N/A</v>
      </c>
      <c r="T2404" s="1" t="str">
        <f>IF(OR(Table1[[#This Row],[Low Tol]]="",Table1[[#This Row],[High Tol]]=""),"Needs Analysis",IF(Table1[[#This Row],[Ratio]]&gt;=4,"Not Significant",IF(Table1[[#This Row],[Ratio]]&gt;=2,"Semi-Significant","Significant")))</f>
        <v>Needs Analysis</v>
      </c>
      <c r="W2404" s="1">
        <f>IF(Table1[[#This Row],[Cal Type]]&lt;&gt;"ACCREDITED 17025 WITH UNCERTAINTIES",0,"")</f>
        <v>0</v>
      </c>
      <c r="X2404" s="1" t="str">
        <f>IF(Table1[[#This Row],[DUT Read]]="","N/A",Table1[[#This Row],[Std Error]]+Table1[[#This Row],[DUT Read]]+Table1[[#This Row],[DUT Ucty]])</f>
        <v>N/A</v>
      </c>
      <c r="Y2404" s="1" t="str">
        <f>IF(Table1[[#This Row],[Std Read]]="","N/A",Table1[[#This Row],[Std Read]]+Table1[[#This Row],[Std Ucty]])</f>
        <v>N/A</v>
      </c>
      <c r="Z24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4" s="1" t="str">
        <f>IF(Table1[[#This Row],[Spec Type]]="","N/A",Table1[[#This Row],[Spec Type]])</f>
        <v>±</v>
      </c>
      <c r="AC2404" s="1" t="str">
        <f>IF(Table1[[#This Row],[Spec Type2]]="N/A","N/A",IF(AND(Table1[[#This Row],[DUT Adj Read]]&gt;=Table1[[#This Row],[Low Tol]],Table1[[#This Row],[DUT Adj Read]]&lt;=Table1[[#This Row],[High Tol]]),"Pass","Fail"))</f>
        <v>Fail</v>
      </c>
      <c r="AD2404" s="1" t="str">
        <f>IF(AND(Table1[[#This Row],[Spec Type2]]="N/A",Table1[[#This Row],[DUT Adj Read]]="N/A",Table1[[#This Row],[Std Adj Read]]="N/A"),"N/A",IF(Table1[[#This Row],[DUT Adj Read]]="N/A",IF(Table1[[#This Row],[Std Adj Read]]&gt;Table1[[#This Row],[Low Tol]],"Pass","Fail"),IF(Table1[[#This Row],[DUT Adj Read]]&gt;Table1[[#This Row],[Low Tol]],"Pass","Fail")))</f>
        <v>Pass</v>
      </c>
      <c r="AE2404" s="1" t="str">
        <f>IF(AND(Table1[[#This Row],[Spec Type2]]="N/A",Table1[[#This Row],[DUT Adj Read]]="N/A",Table1[[#This Row],[Std Adj Read]]="N/A"),"N/A",IF(Table1[[#This Row],[DUT Adj Read]]="N/A",IF(Table1[[#This Row],[Std Adj Read]]&lt;Table1[[#This Row],[High Tol]],"Pass","Fail"),IF(Table1[[#This Row],[DUT Adj Read]]&lt;Table1[[#This Row],[High Tol]],"Pass","Fail")))</f>
        <v>Fail</v>
      </c>
      <c r="AF2404" s="1" t="str">
        <f>IF(AND(Table1[[#This Row],[Spec Type2]]="N/A",Table1[[#This Row],[DUT Adj Read]]="N/A",Table1[[#This Row],[Std Adj Read]]="N/A"),"N/A",IF(Table1[[#This Row],[DUT Adj Read]]="N/A",IF(Table1[[#This Row],[Std Adj Read]]&gt;=Table1[[#This Row],[Low Tol]],"Pass","Fail"),IF(Table1[[#This Row],[DUT Adj Read]]&gt;=Table1[[#This Row],[Low Tol]],"Pass","Fail")))</f>
        <v>Pass</v>
      </c>
      <c r="AG2404" s="1" t="str">
        <f>IF(AND(Table1[[#This Row],[Spec Type2]]="N/A",Table1[[#This Row],[DUT Adj Read]]="N/A",Table1[[#This Row],[Std Adj Read]]="N/A"),"N/A",IF(Table1[[#This Row],[DUT Adj Read]]="N/A",IF(Table1[[#This Row],[Std Adj Read]]&lt;=Table1[[#This Row],[High Tol]],"Pass","Fail"),IF(Table1[[#This Row],[DUT Adj Read]]&lt;=Table1[[#This Row],[High Tol]],"Pass","Fail")))</f>
        <v>Fail</v>
      </c>
      <c r="AH24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4" s="1" t="b">
        <v>0</v>
      </c>
      <c r="AN2404" s="1" t="b">
        <v>0</v>
      </c>
      <c r="AO2404" s="1" t="b">
        <v>0</v>
      </c>
    </row>
    <row r="2405" spans="1:41" x14ac:dyDescent="0.25">
      <c r="A2405" s="10"/>
      <c r="B2405" s="10"/>
      <c r="C2405" s="10"/>
      <c r="D2405" s="10"/>
      <c r="E2405" s="10"/>
      <c r="F2405" s="10"/>
      <c r="G2405" s="10"/>
      <c r="H2405" s="10"/>
      <c r="I2405" s="1" t="str">
        <f t="shared" si="111"/>
        <v/>
      </c>
      <c r="J2405" s="1" t="s">
        <v>35</v>
      </c>
      <c r="K2405" s="1" t="str">
        <f t="shared" si="112"/>
        <v/>
      </c>
      <c r="L2405" s="1" t="str">
        <f t="shared" si="113"/>
        <v/>
      </c>
      <c r="M2405" s="1">
        <f>IF(OR(Table1[[#This Row],[Std Nom]]="",Table1[[#This Row],[Std Read]]=""),0,Table1[[#This Row],[Std Nom]]-Table1[[#This Row],[Std Read]])</f>
        <v>0</v>
      </c>
      <c r="N2405" s="1">
        <f>IF(Calculations!$F$5="ACCREDITED 17025 WITH UNCERTAINTIES",$N$10,0)</f>
        <v>0</v>
      </c>
      <c r="Q2405" s="1">
        <f>Table1[[#This Row],[High Tol]]-Table1[[#This Row],[Low Tol]]</f>
        <v>0</v>
      </c>
      <c r="R2405" s="1">
        <f>2*Table1[[#This Row],[Std Error]]</f>
        <v>0</v>
      </c>
      <c r="S2405" s="1" t="str">
        <f>IF(Table1[[#This Row],[High Tol]]="","N/A",IFERROR(ABS(Table1[[#This Row],[Tol Span]]/Table1[[#This Row],[Error Span]]),"N/A"))</f>
        <v>N/A</v>
      </c>
      <c r="T2405" s="1" t="str">
        <f>IF(OR(Table1[[#This Row],[Low Tol]]="",Table1[[#This Row],[High Tol]]=""),"Needs Analysis",IF(Table1[[#This Row],[Ratio]]&gt;=4,"Not Significant",IF(Table1[[#This Row],[Ratio]]&gt;=2,"Semi-Significant","Significant")))</f>
        <v>Needs Analysis</v>
      </c>
      <c r="W2405" s="1">
        <f>IF(Table1[[#This Row],[Cal Type]]&lt;&gt;"ACCREDITED 17025 WITH UNCERTAINTIES",0,"")</f>
        <v>0</v>
      </c>
      <c r="X2405" s="1" t="str">
        <f>IF(Table1[[#This Row],[DUT Read]]="","N/A",Table1[[#This Row],[Std Error]]+Table1[[#This Row],[DUT Read]]+Table1[[#This Row],[DUT Ucty]])</f>
        <v>N/A</v>
      </c>
      <c r="Y2405" s="1" t="str">
        <f>IF(Table1[[#This Row],[Std Read]]="","N/A",Table1[[#This Row],[Std Read]]+Table1[[#This Row],[Std Ucty]])</f>
        <v>N/A</v>
      </c>
      <c r="Z24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5" s="1" t="str">
        <f>IF(Table1[[#This Row],[Spec Type]]="","N/A",Table1[[#This Row],[Spec Type]])</f>
        <v>±</v>
      </c>
      <c r="AC2405" s="1" t="str">
        <f>IF(Table1[[#This Row],[Spec Type2]]="N/A","N/A",IF(AND(Table1[[#This Row],[DUT Adj Read]]&gt;=Table1[[#This Row],[Low Tol]],Table1[[#This Row],[DUT Adj Read]]&lt;=Table1[[#This Row],[High Tol]]),"Pass","Fail"))</f>
        <v>Fail</v>
      </c>
      <c r="AD2405" s="1" t="str">
        <f>IF(AND(Table1[[#This Row],[Spec Type2]]="N/A",Table1[[#This Row],[DUT Adj Read]]="N/A",Table1[[#This Row],[Std Adj Read]]="N/A"),"N/A",IF(Table1[[#This Row],[DUT Adj Read]]="N/A",IF(Table1[[#This Row],[Std Adj Read]]&gt;Table1[[#This Row],[Low Tol]],"Pass","Fail"),IF(Table1[[#This Row],[DUT Adj Read]]&gt;Table1[[#This Row],[Low Tol]],"Pass","Fail")))</f>
        <v>Pass</v>
      </c>
      <c r="AE2405" s="1" t="str">
        <f>IF(AND(Table1[[#This Row],[Spec Type2]]="N/A",Table1[[#This Row],[DUT Adj Read]]="N/A",Table1[[#This Row],[Std Adj Read]]="N/A"),"N/A",IF(Table1[[#This Row],[DUT Adj Read]]="N/A",IF(Table1[[#This Row],[Std Adj Read]]&lt;Table1[[#This Row],[High Tol]],"Pass","Fail"),IF(Table1[[#This Row],[DUT Adj Read]]&lt;Table1[[#This Row],[High Tol]],"Pass","Fail")))</f>
        <v>Fail</v>
      </c>
      <c r="AF2405" s="1" t="str">
        <f>IF(AND(Table1[[#This Row],[Spec Type2]]="N/A",Table1[[#This Row],[DUT Adj Read]]="N/A",Table1[[#This Row],[Std Adj Read]]="N/A"),"N/A",IF(Table1[[#This Row],[DUT Adj Read]]="N/A",IF(Table1[[#This Row],[Std Adj Read]]&gt;=Table1[[#This Row],[Low Tol]],"Pass","Fail"),IF(Table1[[#This Row],[DUT Adj Read]]&gt;=Table1[[#This Row],[Low Tol]],"Pass","Fail")))</f>
        <v>Pass</v>
      </c>
      <c r="AG2405" s="1" t="str">
        <f>IF(AND(Table1[[#This Row],[Spec Type2]]="N/A",Table1[[#This Row],[DUT Adj Read]]="N/A",Table1[[#This Row],[Std Adj Read]]="N/A"),"N/A",IF(Table1[[#This Row],[DUT Adj Read]]="N/A",IF(Table1[[#This Row],[Std Adj Read]]&lt;=Table1[[#This Row],[High Tol]],"Pass","Fail"),IF(Table1[[#This Row],[DUT Adj Read]]&lt;=Table1[[#This Row],[High Tol]],"Pass","Fail")))</f>
        <v>Fail</v>
      </c>
      <c r="AH24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5" s="1" t="b">
        <v>0</v>
      </c>
      <c r="AN2405" s="1" t="b">
        <v>0</v>
      </c>
      <c r="AO2405" s="1" t="b">
        <v>0</v>
      </c>
    </row>
    <row r="2406" spans="1:41" x14ac:dyDescent="0.25">
      <c r="A2406" s="10"/>
      <c r="B2406" s="10"/>
      <c r="C2406" s="10"/>
      <c r="D2406" s="10"/>
      <c r="E2406" s="10"/>
      <c r="F2406" s="10"/>
      <c r="G2406" s="10"/>
      <c r="H2406" s="10"/>
      <c r="I2406" s="1" t="str">
        <f t="shared" si="111"/>
        <v/>
      </c>
      <c r="J2406" s="1" t="s">
        <v>35</v>
      </c>
      <c r="K2406" s="1" t="str">
        <f t="shared" si="112"/>
        <v/>
      </c>
      <c r="L2406" s="1" t="str">
        <f t="shared" si="113"/>
        <v/>
      </c>
      <c r="M2406" s="1">
        <f>IF(OR(Table1[[#This Row],[Std Nom]]="",Table1[[#This Row],[Std Read]]=""),0,Table1[[#This Row],[Std Nom]]-Table1[[#This Row],[Std Read]])</f>
        <v>0</v>
      </c>
      <c r="N2406" s="1">
        <f>IF(Calculations!$F$5="ACCREDITED 17025 WITH UNCERTAINTIES",$N$10,0)</f>
        <v>0</v>
      </c>
      <c r="Q2406" s="1">
        <f>Table1[[#This Row],[High Tol]]-Table1[[#This Row],[Low Tol]]</f>
        <v>0</v>
      </c>
      <c r="R2406" s="1">
        <f>2*Table1[[#This Row],[Std Error]]</f>
        <v>0</v>
      </c>
      <c r="S2406" s="1" t="str">
        <f>IF(Table1[[#This Row],[High Tol]]="","N/A",IFERROR(ABS(Table1[[#This Row],[Tol Span]]/Table1[[#This Row],[Error Span]]),"N/A"))</f>
        <v>N/A</v>
      </c>
      <c r="T2406" s="1" t="str">
        <f>IF(OR(Table1[[#This Row],[Low Tol]]="",Table1[[#This Row],[High Tol]]=""),"Needs Analysis",IF(Table1[[#This Row],[Ratio]]&gt;=4,"Not Significant",IF(Table1[[#This Row],[Ratio]]&gt;=2,"Semi-Significant","Significant")))</f>
        <v>Needs Analysis</v>
      </c>
      <c r="W2406" s="1">
        <f>IF(Table1[[#This Row],[Cal Type]]&lt;&gt;"ACCREDITED 17025 WITH UNCERTAINTIES",0,"")</f>
        <v>0</v>
      </c>
      <c r="X2406" s="1" t="str">
        <f>IF(Table1[[#This Row],[DUT Read]]="","N/A",Table1[[#This Row],[Std Error]]+Table1[[#This Row],[DUT Read]]+Table1[[#This Row],[DUT Ucty]])</f>
        <v>N/A</v>
      </c>
      <c r="Y2406" s="1" t="str">
        <f>IF(Table1[[#This Row],[Std Read]]="","N/A",Table1[[#This Row],[Std Read]]+Table1[[#This Row],[Std Ucty]])</f>
        <v>N/A</v>
      </c>
      <c r="Z24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6" s="1" t="str">
        <f>IF(Table1[[#This Row],[Spec Type]]="","N/A",Table1[[#This Row],[Spec Type]])</f>
        <v>±</v>
      </c>
      <c r="AC2406" s="1" t="str">
        <f>IF(Table1[[#This Row],[Spec Type2]]="N/A","N/A",IF(AND(Table1[[#This Row],[DUT Adj Read]]&gt;=Table1[[#This Row],[Low Tol]],Table1[[#This Row],[DUT Adj Read]]&lt;=Table1[[#This Row],[High Tol]]),"Pass","Fail"))</f>
        <v>Fail</v>
      </c>
      <c r="AD2406" s="1" t="str">
        <f>IF(AND(Table1[[#This Row],[Spec Type2]]="N/A",Table1[[#This Row],[DUT Adj Read]]="N/A",Table1[[#This Row],[Std Adj Read]]="N/A"),"N/A",IF(Table1[[#This Row],[DUT Adj Read]]="N/A",IF(Table1[[#This Row],[Std Adj Read]]&gt;Table1[[#This Row],[Low Tol]],"Pass","Fail"),IF(Table1[[#This Row],[DUT Adj Read]]&gt;Table1[[#This Row],[Low Tol]],"Pass","Fail")))</f>
        <v>Pass</v>
      </c>
      <c r="AE2406" s="1" t="str">
        <f>IF(AND(Table1[[#This Row],[Spec Type2]]="N/A",Table1[[#This Row],[DUT Adj Read]]="N/A",Table1[[#This Row],[Std Adj Read]]="N/A"),"N/A",IF(Table1[[#This Row],[DUT Adj Read]]="N/A",IF(Table1[[#This Row],[Std Adj Read]]&lt;Table1[[#This Row],[High Tol]],"Pass","Fail"),IF(Table1[[#This Row],[DUT Adj Read]]&lt;Table1[[#This Row],[High Tol]],"Pass","Fail")))</f>
        <v>Fail</v>
      </c>
      <c r="AF2406" s="1" t="str">
        <f>IF(AND(Table1[[#This Row],[Spec Type2]]="N/A",Table1[[#This Row],[DUT Adj Read]]="N/A",Table1[[#This Row],[Std Adj Read]]="N/A"),"N/A",IF(Table1[[#This Row],[DUT Adj Read]]="N/A",IF(Table1[[#This Row],[Std Adj Read]]&gt;=Table1[[#This Row],[Low Tol]],"Pass","Fail"),IF(Table1[[#This Row],[DUT Adj Read]]&gt;=Table1[[#This Row],[Low Tol]],"Pass","Fail")))</f>
        <v>Pass</v>
      </c>
      <c r="AG2406" s="1" t="str">
        <f>IF(AND(Table1[[#This Row],[Spec Type2]]="N/A",Table1[[#This Row],[DUT Adj Read]]="N/A",Table1[[#This Row],[Std Adj Read]]="N/A"),"N/A",IF(Table1[[#This Row],[DUT Adj Read]]="N/A",IF(Table1[[#This Row],[Std Adj Read]]&lt;=Table1[[#This Row],[High Tol]],"Pass","Fail"),IF(Table1[[#This Row],[DUT Adj Read]]&lt;=Table1[[#This Row],[High Tol]],"Pass","Fail")))</f>
        <v>Fail</v>
      </c>
      <c r="AH24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6" s="1" t="b">
        <v>0</v>
      </c>
      <c r="AN2406" s="1" t="b">
        <v>0</v>
      </c>
      <c r="AO2406" s="1" t="b">
        <v>0</v>
      </c>
    </row>
    <row r="2407" spans="1:41" x14ac:dyDescent="0.25">
      <c r="A2407" s="10"/>
      <c r="B2407" s="10"/>
      <c r="C2407" s="10"/>
      <c r="D2407" s="10"/>
      <c r="E2407" s="10"/>
      <c r="F2407" s="10"/>
      <c r="G2407" s="10"/>
      <c r="H2407" s="10"/>
      <c r="I2407" s="1" t="str">
        <f t="shared" si="111"/>
        <v/>
      </c>
      <c r="J2407" s="1" t="s">
        <v>35</v>
      </c>
      <c r="K2407" s="1" t="str">
        <f t="shared" si="112"/>
        <v/>
      </c>
      <c r="L2407" s="1" t="str">
        <f t="shared" si="113"/>
        <v/>
      </c>
      <c r="M2407" s="1">
        <f>IF(OR(Table1[[#This Row],[Std Nom]]="",Table1[[#This Row],[Std Read]]=""),0,Table1[[#This Row],[Std Nom]]-Table1[[#This Row],[Std Read]])</f>
        <v>0</v>
      </c>
      <c r="N2407" s="1">
        <f>IF(Calculations!$F$5="ACCREDITED 17025 WITH UNCERTAINTIES",$N$10,0)</f>
        <v>0</v>
      </c>
      <c r="Q2407" s="1">
        <f>Table1[[#This Row],[High Tol]]-Table1[[#This Row],[Low Tol]]</f>
        <v>0</v>
      </c>
      <c r="R2407" s="1">
        <f>2*Table1[[#This Row],[Std Error]]</f>
        <v>0</v>
      </c>
      <c r="S2407" s="1" t="str">
        <f>IF(Table1[[#This Row],[High Tol]]="","N/A",IFERROR(ABS(Table1[[#This Row],[Tol Span]]/Table1[[#This Row],[Error Span]]),"N/A"))</f>
        <v>N/A</v>
      </c>
      <c r="T2407" s="1" t="str">
        <f>IF(OR(Table1[[#This Row],[Low Tol]]="",Table1[[#This Row],[High Tol]]=""),"Needs Analysis",IF(Table1[[#This Row],[Ratio]]&gt;=4,"Not Significant",IF(Table1[[#This Row],[Ratio]]&gt;=2,"Semi-Significant","Significant")))</f>
        <v>Needs Analysis</v>
      </c>
      <c r="W2407" s="1">
        <f>IF(Table1[[#This Row],[Cal Type]]&lt;&gt;"ACCREDITED 17025 WITH UNCERTAINTIES",0,"")</f>
        <v>0</v>
      </c>
      <c r="X2407" s="1" t="str">
        <f>IF(Table1[[#This Row],[DUT Read]]="","N/A",Table1[[#This Row],[Std Error]]+Table1[[#This Row],[DUT Read]]+Table1[[#This Row],[DUT Ucty]])</f>
        <v>N/A</v>
      </c>
      <c r="Y2407" s="1" t="str">
        <f>IF(Table1[[#This Row],[Std Read]]="","N/A",Table1[[#This Row],[Std Read]]+Table1[[#This Row],[Std Ucty]])</f>
        <v>N/A</v>
      </c>
      <c r="Z24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7" s="1" t="str">
        <f>IF(Table1[[#This Row],[Spec Type]]="","N/A",Table1[[#This Row],[Spec Type]])</f>
        <v>±</v>
      </c>
      <c r="AC2407" s="1" t="str">
        <f>IF(Table1[[#This Row],[Spec Type2]]="N/A","N/A",IF(AND(Table1[[#This Row],[DUT Adj Read]]&gt;=Table1[[#This Row],[Low Tol]],Table1[[#This Row],[DUT Adj Read]]&lt;=Table1[[#This Row],[High Tol]]),"Pass","Fail"))</f>
        <v>Fail</v>
      </c>
      <c r="AD2407" s="1" t="str">
        <f>IF(AND(Table1[[#This Row],[Spec Type2]]="N/A",Table1[[#This Row],[DUT Adj Read]]="N/A",Table1[[#This Row],[Std Adj Read]]="N/A"),"N/A",IF(Table1[[#This Row],[DUT Adj Read]]="N/A",IF(Table1[[#This Row],[Std Adj Read]]&gt;Table1[[#This Row],[Low Tol]],"Pass","Fail"),IF(Table1[[#This Row],[DUT Adj Read]]&gt;Table1[[#This Row],[Low Tol]],"Pass","Fail")))</f>
        <v>Pass</v>
      </c>
      <c r="AE2407" s="1" t="str">
        <f>IF(AND(Table1[[#This Row],[Spec Type2]]="N/A",Table1[[#This Row],[DUT Adj Read]]="N/A",Table1[[#This Row],[Std Adj Read]]="N/A"),"N/A",IF(Table1[[#This Row],[DUT Adj Read]]="N/A",IF(Table1[[#This Row],[Std Adj Read]]&lt;Table1[[#This Row],[High Tol]],"Pass","Fail"),IF(Table1[[#This Row],[DUT Adj Read]]&lt;Table1[[#This Row],[High Tol]],"Pass","Fail")))</f>
        <v>Fail</v>
      </c>
      <c r="AF2407" s="1" t="str">
        <f>IF(AND(Table1[[#This Row],[Spec Type2]]="N/A",Table1[[#This Row],[DUT Adj Read]]="N/A",Table1[[#This Row],[Std Adj Read]]="N/A"),"N/A",IF(Table1[[#This Row],[DUT Adj Read]]="N/A",IF(Table1[[#This Row],[Std Adj Read]]&gt;=Table1[[#This Row],[Low Tol]],"Pass","Fail"),IF(Table1[[#This Row],[DUT Adj Read]]&gt;=Table1[[#This Row],[Low Tol]],"Pass","Fail")))</f>
        <v>Pass</v>
      </c>
      <c r="AG2407" s="1" t="str">
        <f>IF(AND(Table1[[#This Row],[Spec Type2]]="N/A",Table1[[#This Row],[DUT Adj Read]]="N/A",Table1[[#This Row],[Std Adj Read]]="N/A"),"N/A",IF(Table1[[#This Row],[DUT Adj Read]]="N/A",IF(Table1[[#This Row],[Std Adj Read]]&lt;=Table1[[#This Row],[High Tol]],"Pass","Fail"),IF(Table1[[#This Row],[DUT Adj Read]]&lt;=Table1[[#This Row],[High Tol]],"Pass","Fail")))</f>
        <v>Fail</v>
      </c>
      <c r="AH24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7" s="1" t="b">
        <v>0</v>
      </c>
      <c r="AN2407" s="1" t="b">
        <v>0</v>
      </c>
      <c r="AO2407" s="1" t="b">
        <v>0</v>
      </c>
    </row>
    <row r="2408" spans="1:41" x14ac:dyDescent="0.25">
      <c r="A2408" s="10"/>
      <c r="B2408" s="10"/>
      <c r="C2408" s="10"/>
      <c r="D2408" s="10"/>
      <c r="E2408" s="10"/>
      <c r="F2408" s="10"/>
      <c r="G2408" s="10"/>
      <c r="H2408" s="10"/>
      <c r="I2408" s="1" t="str">
        <f t="shared" si="111"/>
        <v/>
      </c>
      <c r="J2408" s="1" t="s">
        <v>35</v>
      </c>
      <c r="K2408" s="1" t="str">
        <f t="shared" si="112"/>
        <v/>
      </c>
      <c r="L2408" s="1" t="str">
        <f t="shared" si="113"/>
        <v/>
      </c>
      <c r="M2408" s="1">
        <f>IF(OR(Table1[[#This Row],[Std Nom]]="",Table1[[#This Row],[Std Read]]=""),0,Table1[[#This Row],[Std Nom]]-Table1[[#This Row],[Std Read]])</f>
        <v>0</v>
      </c>
      <c r="N2408" s="1">
        <f>IF(Calculations!$F$5="ACCREDITED 17025 WITH UNCERTAINTIES",$N$10,0)</f>
        <v>0</v>
      </c>
      <c r="Q2408" s="1">
        <f>Table1[[#This Row],[High Tol]]-Table1[[#This Row],[Low Tol]]</f>
        <v>0</v>
      </c>
      <c r="R2408" s="1">
        <f>2*Table1[[#This Row],[Std Error]]</f>
        <v>0</v>
      </c>
      <c r="S2408" s="1" t="str">
        <f>IF(Table1[[#This Row],[High Tol]]="","N/A",IFERROR(ABS(Table1[[#This Row],[Tol Span]]/Table1[[#This Row],[Error Span]]),"N/A"))</f>
        <v>N/A</v>
      </c>
      <c r="T2408" s="1" t="str">
        <f>IF(OR(Table1[[#This Row],[Low Tol]]="",Table1[[#This Row],[High Tol]]=""),"Needs Analysis",IF(Table1[[#This Row],[Ratio]]&gt;=4,"Not Significant",IF(Table1[[#This Row],[Ratio]]&gt;=2,"Semi-Significant","Significant")))</f>
        <v>Needs Analysis</v>
      </c>
      <c r="W2408" s="1">
        <f>IF(Table1[[#This Row],[Cal Type]]&lt;&gt;"ACCREDITED 17025 WITH UNCERTAINTIES",0,"")</f>
        <v>0</v>
      </c>
      <c r="X2408" s="1" t="str">
        <f>IF(Table1[[#This Row],[DUT Read]]="","N/A",Table1[[#This Row],[Std Error]]+Table1[[#This Row],[DUT Read]]+Table1[[#This Row],[DUT Ucty]])</f>
        <v>N/A</v>
      </c>
      <c r="Y2408" s="1" t="str">
        <f>IF(Table1[[#This Row],[Std Read]]="","N/A",Table1[[#This Row],[Std Read]]+Table1[[#This Row],[Std Ucty]])</f>
        <v>N/A</v>
      </c>
      <c r="Z24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8" s="1" t="str">
        <f>IF(Table1[[#This Row],[Spec Type]]="","N/A",Table1[[#This Row],[Spec Type]])</f>
        <v>±</v>
      </c>
      <c r="AC2408" s="1" t="str">
        <f>IF(Table1[[#This Row],[Spec Type2]]="N/A","N/A",IF(AND(Table1[[#This Row],[DUT Adj Read]]&gt;=Table1[[#This Row],[Low Tol]],Table1[[#This Row],[DUT Adj Read]]&lt;=Table1[[#This Row],[High Tol]]),"Pass","Fail"))</f>
        <v>Fail</v>
      </c>
      <c r="AD2408" s="1" t="str">
        <f>IF(AND(Table1[[#This Row],[Spec Type2]]="N/A",Table1[[#This Row],[DUT Adj Read]]="N/A",Table1[[#This Row],[Std Adj Read]]="N/A"),"N/A",IF(Table1[[#This Row],[DUT Adj Read]]="N/A",IF(Table1[[#This Row],[Std Adj Read]]&gt;Table1[[#This Row],[Low Tol]],"Pass","Fail"),IF(Table1[[#This Row],[DUT Adj Read]]&gt;Table1[[#This Row],[Low Tol]],"Pass","Fail")))</f>
        <v>Pass</v>
      </c>
      <c r="AE2408" s="1" t="str">
        <f>IF(AND(Table1[[#This Row],[Spec Type2]]="N/A",Table1[[#This Row],[DUT Adj Read]]="N/A",Table1[[#This Row],[Std Adj Read]]="N/A"),"N/A",IF(Table1[[#This Row],[DUT Adj Read]]="N/A",IF(Table1[[#This Row],[Std Adj Read]]&lt;Table1[[#This Row],[High Tol]],"Pass","Fail"),IF(Table1[[#This Row],[DUT Adj Read]]&lt;Table1[[#This Row],[High Tol]],"Pass","Fail")))</f>
        <v>Fail</v>
      </c>
      <c r="AF2408" s="1" t="str">
        <f>IF(AND(Table1[[#This Row],[Spec Type2]]="N/A",Table1[[#This Row],[DUT Adj Read]]="N/A",Table1[[#This Row],[Std Adj Read]]="N/A"),"N/A",IF(Table1[[#This Row],[DUT Adj Read]]="N/A",IF(Table1[[#This Row],[Std Adj Read]]&gt;=Table1[[#This Row],[Low Tol]],"Pass","Fail"),IF(Table1[[#This Row],[DUT Adj Read]]&gt;=Table1[[#This Row],[Low Tol]],"Pass","Fail")))</f>
        <v>Pass</v>
      </c>
      <c r="AG2408" s="1" t="str">
        <f>IF(AND(Table1[[#This Row],[Spec Type2]]="N/A",Table1[[#This Row],[DUT Adj Read]]="N/A",Table1[[#This Row],[Std Adj Read]]="N/A"),"N/A",IF(Table1[[#This Row],[DUT Adj Read]]="N/A",IF(Table1[[#This Row],[Std Adj Read]]&lt;=Table1[[#This Row],[High Tol]],"Pass","Fail"),IF(Table1[[#This Row],[DUT Adj Read]]&lt;=Table1[[#This Row],[High Tol]],"Pass","Fail")))</f>
        <v>Fail</v>
      </c>
      <c r="AH24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8" s="1" t="b">
        <v>0</v>
      </c>
      <c r="AN2408" s="1" t="b">
        <v>0</v>
      </c>
      <c r="AO2408" s="1" t="b">
        <v>0</v>
      </c>
    </row>
    <row r="2409" spans="1:41" x14ac:dyDescent="0.25">
      <c r="A2409" s="10"/>
      <c r="B2409" s="10"/>
      <c r="C2409" s="10"/>
      <c r="D2409" s="10"/>
      <c r="E2409" s="10"/>
      <c r="F2409" s="10"/>
      <c r="G2409" s="10"/>
      <c r="H2409" s="10"/>
      <c r="I2409" s="1" t="str">
        <f t="shared" si="111"/>
        <v/>
      </c>
      <c r="J2409" s="1" t="s">
        <v>35</v>
      </c>
      <c r="K2409" s="1" t="str">
        <f t="shared" si="112"/>
        <v/>
      </c>
      <c r="L2409" s="1" t="str">
        <f t="shared" si="113"/>
        <v/>
      </c>
      <c r="M2409" s="1">
        <f>IF(OR(Table1[[#This Row],[Std Nom]]="",Table1[[#This Row],[Std Read]]=""),0,Table1[[#This Row],[Std Nom]]-Table1[[#This Row],[Std Read]])</f>
        <v>0</v>
      </c>
      <c r="N2409" s="1">
        <f>IF(Calculations!$F$5="ACCREDITED 17025 WITH UNCERTAINTIES",$N$10,0)</f>
        <v>0</v>
      </c>
      <c r="Q2409" s="1">
        <f>Table1[[#This Row],[High Tol]]-Table1[[#This Row],[Low Tol]]</f>
        <v>0</v>
      </c>
      <c r="R2409" s="1">
        <f>2*Table1[[#This Row],[Std Error]]</f>
        <v>0</v>
      </c>
      <c r="S2409" s="1" t="str">
        <f>IF(Table1[[#This Row],[High Tol]]="","N/A",IFERROR(ABS(Table1[[#This Row],[Tol Span]]/Table1[[#This Row],[Error Span]]),"N/A"))</f>
        <v>N/A</v>
      </c>
      <c r="T2409" s="1" t="str">
        <f>IF(OR(Table1[[#This Row],[Low Tol]]="",Table1[[#This Row],[High Tol]]=""),"Needs Analysis",IF(Table1[[#This Row],[Ratio]]&gt;=4,"Not Significant",IF(Table1[[#This Row],[Ratio]]&gt;=2,"Semi-Significant","Significant")))</f>
        <v>Needs Analysis</v>
      </c>
      <c r="W2409" s="1">
        <f>IF(Table1[[#This Row],[Cal Type]]&lt;&gt;"ACCREDITED 17025 WITH UNCERTAINTIES",0,"")</f>
        <v>0</v>
      </c>
      <c r="X2409" s="1" t="str">
        <f>IF(Table1[[#This Row],[DUT Read]]="","N/A",Table1[[#This Row],[Std Error]]+Table1[[#This Row],[DUT Read]]+Table1[[#This Row],[DUT Ucty]])</f>
        <v>N/A</v>
      </c>
      <c r="Y2409" s="1" t="str">
        <f>IF(Table1[[#This Row],[Std Read]]="","N/A",Table1[[#This Row],[Std Read]]+Table1[[#This Row],[Std Ucty]])</f>
        <v>N/A</v>
      </c>
      <c r="Z24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09" s="1" t="str">
        <f>IF(Table1[[#This Row],[Spec Type]]="","N/A",Table1[[#This Row],[Spec Type]])</f>
        <v>±</v>
      </c>
      <c r="AC2409" s="1" t="str">
        <f>IF(Table1[[#This Row],[Spec Type2]]="N/A","N/A",IF(AND(Table1[[#This Row],[DUT Adj Read]]&gt;=Table1[[#This Row],[Low Tol]],Table1[[#This Row],[DUT Adj Read]]&lt;=Table1[[#This Row],[High Tol]]),"Pass","Fail"))</f>
        <v>Fail</v>
      </c>
      <c r="AD2409" s="1" t="str">
        <f>IF(AND(Table1[[#This Row],[Spec Type2]]="N/A",Table1[[#This Row],[DUT Adj Read]]="N/A",Table1[[#This Row],[Std Adj Read]]="N/A"),"N/A",IF(Table1[[#This Row],[DUT Adj Read]]="N/A",IF(Table1[[#This Row],[Std Adj Read]]&gt;Table1[[#This Row],[Low Tol]],"Pass","Fail"),IF(Table1[[#This Row],[DUT Adj Read]]&gt;Table1[[#This Row],[Low Tol]],"Pass","Fail")))</f>
        <v>Pass</v>
      </c>
      <c r="AE2409" s="1" t="str">
        <f>IF(AND(Table1[[#This Row],[Spec Type2]]="N/A",Table1[[#This Row],[DUT Adj Read]]="N/A",Table1[[#This Row],[Std Adj Read]]="N/A"),"N/A",IF(Table1[[#This Row],[DUT Adj Read]]="N/A",IF(Table1[[#This Row],[Std Adj Read]]&lt;Table1[[#This Row],[High Tol]],"Pass","Fail"),IF(Table1[[#This Row],[DUT Adj Read]]&lt;Table1[[#This Row],[High Tol]],"Pass","Fail")))</f>
        <v>Fail</v>
      </c>
      <c r="AF2409" s="1" t="str">
        <f>IF(AND(Table1[[#This Row],[Spec Type2]]="N/A",Table1[[#This Row],[DUT Adj Read]]="N/A",Table1[[#This Row],[Std Adj Read]]="N/A"),"N/A",IF(Table1[[#This Row],[DUT Adj Read]]="N/A",IF(Table1[[#This Row],[Std Adj Read]]&gt;=Table1[[#This Row],[Low Tol]],"Pass","Fail"),IF(Table1[[#This Row],[DUT Adj Read]]&gt;=Table1[[#This Row],[Low Tol]],"Pass","Fail")))</f>
        <v>Pass</v>
      </c>
      <c r="AG2409" s="1" t="str">
        <f>IF(AND(Table1[[#This Row],[Spec Type2]]="N/A",Table1[[#This Row],[DUT Adj Read]]="N/A",Table1[[#This Row],[Std Adj Read]]="N/A"),"N/A",IF(Table1[[#This Row],[DUT Adj Read]]="N/A",IF(Table1[[#This Row],[Std Adj Read]]&lt;=Table1[[#This Row],[High Tol]],"Pass","Fail"),IF(Table1[[#This Row],[DUT Adj Read]]&lt;=Table1[[#This Row],[High Tol]],"Pass","Fail")))</f>
        <v>Fail</v>
      </c>
      <c r="AH24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09" s="1" t="b">
        <v>0</v>
      </c>
      <c r="AN2409" s="1" t="b">
        <v>0</v>
      </c>
      <c r="AO2409" s="1" t="b">
        <v>0</v>
      </c>
    </row>
    <row r="2410" spans="1:41" x14ac:dyDescent="0.25">
      <c r="A2410" s="10"/>
      <c r="B2410" s="10"/>
      <c r="C2410" s="10"/>
      <c r="D2410" s="10"/>
      <c r="E2410" s="10"/>
      <c r="F2410" s="10"/>
      <c r="G2410" s="10"/>
      <c r="H2410" s="10"/>
      <c r="I2410" s="1" t="str">
        <f t="shared" si="111"/>
        <v/>
      </c>
      <c r="J2410" s="1" t="s">
        <v>35</v>
      </c>
      <c r="K2410" s="1" t="str">
        <f t="shared" si="112"/>
        <v/>
      </c>
      <c r="L2410" s="1" t="str">
        <f t="shared" si="113"/>
        <v/>
      </c>
      <c r="M2410" s="1">
        <f>IF(OR(Table1[[#This Row],[Std Nom]]="",Table1[[#This Row],[Std Read]]=""),0,Table1[[#This Row],[Std Nom]]-Table1[[#This Row],[Std Read]])</f>
        <v>0</v>
      </c>
      <c r="N2410" s="1">
        <f>IF(Calculations!$F$5="ACCREDITED 17025 WITH UNCERTAINTIES",$N$10,0)</f>
        <v>0</v>
      </c>
      <c r="Q2410" s="1">
        <f>Table1[[#This Row],[High Tol]]-Table1[[#This Row],[Low Tol]]</f>
        <v>0</v>
      </c>
      <c r="R2410" s="1">
        <f>2*Table1[[#This Row],[Std Error]]</f>
        <v>0</v>
      </c>
      <c r="S2410" s="1" t="str">
        <f>IF(Table1[[#This Row],[High Tol]]="","N/A",IFERROR(ABS(Table1[[#This Row],[Tol Span]]/Table1[[#This Row],[Error Span]]),"N/A"))</f>
        <v>N/A</v>
      </c>
      <c r="T2410" s="1" t="str">
        <f>IF(OR(Table1[[#This Row],[Low Tol]]="",Table1[[#This Row],[High Tol]]=""),"Needs Analysis",IF(Table1[[#This Row],[Ratio]]&gt;=4,"Not Significant",IF(Table1[[#This Row],[Ratio]]&gt;=2,"Semi-Significant","Significant")))</f>
        <v>Needs Analysis</v>
      </c>
      <c r="W2410" s="1">
        <f>IF(Table1[[#This Row],[Cal Type]]&lt;&gt;"ACCREDITED 17025 WITH UNCERTAINTIES",0,"")</f>
        <v>0</v>
      </c>
      <c r="X2410" s="1" t="str">
        <f>IF(Table1[[#This Row],[DUT Read]]="","N/A",Table1[[#This Row],[Std Error]]+Table1[[#This Row],[DUT Read]]+Table1[[#This Row],[DUT Ucty]])</f>
        <v>N/A</v>
      </c>
      <c r="Y2410" s="1" t="str">
        <f>IF(Table1[[#This Row],[Std Read]]="","N/A",Table1[[#This Row],[Std Read]]+Table1[[#This Row],[Std Ucty]])</f>
        <v>N/A</v>
      </c>
      <c r="Z24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0" s="1" t="str">
        <f>IF(Table1[[#This Row],[Spec Type]]="","N/A",Table1[[#This Row],[Spec Type]])</f>
        <v>±</v>
      </c>
      <c r="AC2410" s="1" t="str">
        <f>IF(Table1[[#This Row],[Spec Type2]]="N/A","N/A",IF(AND(Table1[[#This Row],[DUT Adj Read]]&gt;=Table1[[#This Row],[Low Tol]],Table1[[#This Row],[DUT Adj Read]]&lt;=Table1[[#This Row],[High Tol]]),"Pass","Fail"))</f>
        <v>Fail</v>
      </c>
      <c r="AD2410" s="1" t="str">
        <f>IF(AND(Table1[[#This Row],[Spec Type2]]="N/A",Table1[[#This Row],[DUT Adj Read]]="N/A",Table1[[#This Row],[Std Adj Read]]="N/A"),"N/A",IF(Table1[[#This Row],[DUT Adj Read]]="N/A",IF(Table1[[#This Row],[Std Adj Read]]&gt;Table1[[#This Row],[Low Tol]],"Pass","Fail"),IF(Table1[[#This Row],[DUT Adj Read]]&gt;Table1[[#This Row],[Low Tol]],"Pass","Fail")))</f>
        <v>Pass</v>
      </c>
      <c r="AE2410" s="1" t="str">
        <f>IF(AND(Table1[[#This Row],[Spec Type2]]="N/A",Table1[[#This Row],[DUT Adj Read]]="N/A",Table1[[#This Row],[Std Adj Read]]="N/A"),"N/A",IF(Table1[[#This Row],[DUT Adj Read]]="N/A",IF(Table1[[#This Row],[Std Adj Read]]&lt;Table1[[#This Row],[High Tol]],"Pass","Fail"),IF(Table1[[#This Row],[DUT Adj Read]]&lt;Table1[[#This Row],[High Tol]],"Pass","Fail")))</f>
        <v>Fail</v>
      </c>
      <c r="AF2410" s="1" t="str">
        <f>IF(AND(Table1[[#This Row],[Spec Type2]]="N/A",Table1[[#This Row],[DUT Adj Read]]="N/A",Table1[[#This Row],[Std Adj Read]]="N/A"),"N/A",IF(Table1[[#This Row],[DUT Adj Read]]="N/A",IF(Table1[[#This Row],[Std Adj Read]]&gt;=Table1[[#This Row],[Low Tol]],"Pass","Fail"),IF(Table1[[#This Row],[DUT Adj Read]]&gt;=Table1[[#This Row],[Low Tol]],"Pass","Fail")))</f>
        <v>Pass</v>
      </c>
      <c r="AG2410" s="1" t="str">
        <f>IF(AND(Table1[[#This Row],[Spec Type2]]="N/A",Table1[[#This Row],[DUT Adj Read]]="N/A",Table1[[#This Row],[Std Adj Read]]="N/A"),"N/A",IF(Table1[[#This Row],[DUT Adj Read]]="N/A",IF(Table1[[#This Row],[Std Adj Read]]&lt;=Table1[[#This Row],[High Tol]],"Pass","Fail"),IF(Table1[[#This Row],[DUT Adj Read]]&lt;=Table1[[#This Row],[High Tol]],"Pass","Fail")))</f>
        <v>Fail</v>
      </c>
      <c r="AH24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0" s="1" t="b">
        <v>0</v>
      </c>
      <c r="AN2410" s="1" t="b">
        <v>0</v>
      </c>
      <c r="AO2410" s="1" t="b">
        <v>0</v>
      </c>
    </row>
    <row r="2411" spans="1:41" x14ac:dyDescent="0.25">
      <c r="A2411" s="10"/>
      <c r="B2411" s="10"/>
      <c r="C2411" s="10"/>
      <c r="D2411" s="10"/>
      <c r="E2411" s="10"/>
      <c r="F2411" s="10"/>
      <c r="G2411" s="10"/>
      <c r="H2411" s="10"/>
      <c r="I2411" s="1" t="str">
        <f t="shared" si="111"/>
        <v/>
      </c>
      <c r="J2411" s="1" t="s">
        <v>35</v>
      </c>
      <c r="K2411" s="1" t="str">
        <f t="shared" si="112"/>
        <v/>
      </c>
      <c r="L2411" s="1" t="str">
        <f t="shared" si="113"/>
        <v/>
      </c>
      <c r="M2411" s="1">
        <f>IF(OR(Table1[[#This Row],[Std Nom]]="",Table1[[#This Row],[Std Read]]=""),0,Table1[[#This Row],[Std Nom]]-Table1[[#This Row],[Std Read]])</f>
        <v>0</v>
      </c>
      <c r="N2411" s="1">
        <f>IF(Calculations!$F$5="ACCREDITED 17025 WITH UNCERTAINTIES",$N$10,0)</f>
        <v>0</v>
      </c>
      <c r="Q2411" s="1">
        <f>Table1[[#This Row],[High Tol]]-Table1[[#This Row],[Low Tol]]</f>
        <v>0</v>
      </c>
      <c r="R2411" s="1">
        <f>2*Table1[[#This Row],[Std Error]]</f>
        <v>0</v>
      </c>
      <c r="S2411" s="1" t="str">
        <f>IF(Table1[[#This Row],[High Tol]]="","N/A",IFERROR(ABS(Table1[[#This Row],[Tol Span]]/Table1[[#This Row],[Error Span]]),"N/A"))</f>
        <v>N/A</v>
      </c>
      <c r="T2411" s="1" t="str">
        <f>IF(OR(Table1[[#This Row],[Low Tol]]="",Table1[[#This Row],[High Tol]]=""),"Needs Analysis",IF(Table1[[#This Row],[Ratio]]&gt;=4,"Not Significant",IF(Table1[[#This Row],[Ratio]]&gt;=2,"Semi-Significant","Significant")))</f>
        <v>Needs Analysis</v>
      </c>
      <c r="W2411" s="1">
        <f>IF(Table1[[#This Row],[Cal Type]]&lt;&gt;"ACCREDITED 17025 WITH UNCERTAINTIES",0,"")</f>
        <v>0</v>
      </c>
      <c r="X2411" s="1" t="str">
        <f>IF(Table1[[#This Row],[DUT Read]]="","N/A",Table1[[#This Row],[Std Error]]+Table1[[#This Row],[DUT Read]]+Table1[[#This Row],[DUT Ucty]])</f>
        <v>N/A</v>
      </c>
      <c r="Y2411" s="1" t="str">
        <f>IF(Table1[[#This Row],[Std Read]]="","N/A",Table1[[#This Row],[Std Read]]+Table1[[#This Row],[Std Ucty]])</f>
        <v>N/A</v>
      </c>
      <c r="Z24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1" s="1" t="str">
        <f>IF(Table1[[#This Row],[Spec Type]]="","N/A",Table1[[#This Row],[Spec Type]])</f>
        <v>±</v>
      </c>
      <c r="AC2411" s="1" t="str">
        <f>IF(Table1[[#This Row],[Spec Type2]]="N/A","N/A",IF(AND(Table1[[#This Row],[DUT Adj Read]]&gt;=Table1[[#This Row],[Low Tol]],Table1[[#This Row],[DUT Adj Read]]&lt;=Table1[[#This Row],[High Tol]]),"Pass","Fail"))</f>
        <v>Fail</v>
      </c>
      <c r="AD2411" s="1" t="str">
        <f>IF(AND(Table1[[#This Row],[Spec Type2]]="N/A",Table1[[#This Row],[DUT Adj Read]]="N/A",Table1[[#This Row],[Std Adj Read]]="N/A"),"N/A",IF(Table1[[#This Row],[DUT Adj Read]]="N/A",IF(Table1[[#This Row],[Std Adj Read]]&gt;Table1[[#This Row],[Low Tol]],"Pass","Fail"),IF(Table1[[#This Row],[DUT Adj Read]]&gt;Table1[[#This Row],[Low Tol]],"Pass","Fail")))</f>
        <v>Pass</v>
      </c>
      <c r="AE2411" s="1" t="str">
        <f>IF(AND(Table1[[#This Row],[Spec Type2]]="N/A",Table1[[#This Row],[DUT Adj Read]]="N/A",Table1[[#This Row],[Std Adj Read]]="N/A"),"N/A",IF(Table1[[#This Row],[DUT Adj Read]]="N/A",IF(Table1[[#This Row],[Std Adj Read]]&lt;Table1[[#This Row],[High Tol]],"Pass","Fail"),IF(Table1[[#This Row],[DUT Adj Read]]&lt;Table1[[#This Row],[High Tol]],"Pass","Fail")))</f>
        <v>Fail</v>
      </c>
      <c r="AF2411" s="1" t="str">
        <f>IF(AND(Table1[[#This Row],[Spec Type2]]="N/A",Table1[[#This Row],[DUT Adj Read]]="N/A",Table1[[#This Row],[Std Adj Read]]="N/A"),"N/A",IF(Table1[[#This Row],[DUT Adj Read]]="N/A",IF(Table1[[#This Row],[Std Adj Read]]&gt;=Table1[[#This Row],[Low Tol]],"Pass","Fail"),IF(Table1[[#This Row],[DUT Adj Read]]&gt;=Table1[[#This Row],[Low Tol]],"Pass","Fail")))</f>
        <v>Pass</v>
      </c>
      <c r="AG2411" s="1" t="str">
        <f>IF(AND(Table1[[#This Row],[Spec Type2]]="N/A",Table1[[#This Row],[DUT Adj Read]]="N/A",Table1[[#This Row],[Std Adj Read]]="N/A"),"N/A",IF(Table1[[#This Row],[DUT Adj Read]]="N/A",IF(Table1[[#This Row],[Std Adj Read]]&lt;=Table1[[#This Row],[High Tol]],"Pass","Fail"),IF(Table1[[#This Row],[DUT Adj Read]]&lt;=Table1[[#This Row],[High Tol]],"Pass","Fail")))</f>
        <v>Fail</v>
      </c>
      <c r="AH24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1" s="1" t="b">
        <v>0</v>
      </c>
      <c r="AN2411" s="1" t="b">
        <v>0</v>
      </c>
      <c r="AO2411" s="1" t="b">
        <v>0</v>
      </c>
    </row>
    <row r="2412" spans="1:41" x14ac:dyDescent="0.25">
      <c r="A2412" s="10"/>
      <c r="B2412" s="10"/>
      <c r="C2412" s="10"/>
      <c r="D2412" s="10"/>
      <c r="E2412" s="10"/>
      <c r="F2412" s="10"/>
      <c r="G2412" s="10"/>
      <c r="H2412" s="10"/>
      <c r="I2412" s="1" t="str">
        <f t="shared" si="111"/>
        <v/>
      </c>
      <c r="J2412" s="1" t="s">
        <v>35</v>
      </c>
      <c r="K2412" s="1" t="str">
        <f t="shared" si="112"/>
        <v/>
      </c>
      <c r="L2412" s="1" t="str">
        <f t="shared" si="113"/>
        <v/>
      </c>
      <c r="M2412" s="1">
        <f>IF(OR(Table1[[#This Row],[Std Nom]]="",Table1[[#This Row],[Std Read]]=""),0,Table1[[#This Row],[Std Nom]]-Table1[[#This Row],[Std Read]])</f>
        <v>0</v>
      </c>
      <c r="N2412" s="1">
        <f>IF(Calculations!$F$5="ACCREDITED 17025 WITH UNCERTAINTIES",$N$10,0)</f>
        <v>0</v>
      </c>
      <c r="Q2412" s="1">
        <f>Table1[[#This Row],[High Tol]]-Table1[[#This Row],[Low Tol]]</f>
        <v>0</v>
      </c>
      <c r="R2412" s="1">
        <f>2*Table1[[#This Row],[Std Error]]</f>
        <v>0</v>
      </c>
      <c r="S2412" s="1" t="str">
        <f>IF(Table1[[#This Row],[High Tol]]="","N/A",IFERROR(ABS(Table1[[#This Row],[Tol Span]]/Table1[[#This Row],[Error Span]]),"N/A"))</f>
        <v>N/A</v>
      </c>
      <c r="T2412" s="1" t="str">
        <f>IF(OR(Table1[[#This Row],[Low Tol]]="",Table1[[#This Row],[High Tol]]=""),"Needs Analysis",IF(Table1[[#This Row],[Ratio]]&gt;=4,"Not Significant",IF(Table1[[#This Row],[Ratio]]&gt;=2,"Semi-Significant","Significant")))</f>
        <v>Needs Analysis</v>
      </c>
      <c r="W2412" s="1">
        <f>IF(Table1[[#This Row],[Cal Type]]&lt;&gt;"ACCREDITED 17025 WITH UNCERTAINTIES",0,"")</f>
        <v>0</v>
      </c>
      <c r="X2412" s="1" t="str">
        <f>IF(Table1[[#This Row],[DUT Read]]="","N/A",Table1[[#This Row],[Std Error]]+Table1[[#This Row],[DUT Read]]+Table1[[#This Row],[DUT Ucty]])</f>
        <v>N/A</v>
      </c>
      <c r="Y2412" s="1" t="str">
        <f>IF(Table1[[#This Row],[Std Read]]="","N/A",Table1[[#This Row],[Std Read]]+Table1[[#This Row],[Std Ucty]])</f>
        <v>N/A</v>
      </c>
      <c r="Z24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2" s="1" t="str">
        <f>IF(Table1[[#This Row],[Spec Type]]="","N/A",Table1[[#This Row],[Spec Type]])</f>
        <v>±</v>
      </c>
      <c r="AC2412" s="1" t="str">
        <f>IF(Table1[[#This Row],[Spec Type2]]="N/A","N/A",IF(AND(Table1[[#This Row],[DUT Adj Read]]&gt;=Table1[[#This Row],[Low Tol]],Table1[[#This Row],[DUT Adj Read]]&lt;=Table1[[#This Row],[High Tol]]),"Pass","Fail"))</f>
        <v>Fail</v>
      </c>
      <c r="AD2412" s="1" t="str">
        <f>IF(AND(Table1[[#This Row],[Spec Type2]]="N/A",Table1[[#This Row],[DUT Adj Read]]="N/A",Table1[[#This Row],[Std Adj Read]]="N/A"),"N/A",IF(Table1[[#This Row],[DUT Adj Read]]="N/A",IF(Table1[[#This Row],[Std Adj Read]]&gt;Table1[[#This Row],[Low Tol]],"Pass","Fail"),IF(Table1[[#This Row],[DUT Adj Read]]&gt;Table1[[#This Row],[Low Tol]],"Pass","Fail")))</f>
        <v>Pass</v>
      </c>
      <c r="AE2412" s="1" t="str">
        <f>IF(AND(Table1[[#This Row],[Spec Type2]]="N/A",Table1[[#This Row],[DUT Adj Read]]="N/A",Table1[[#This Row],[Std Adj Read]]="N/A"),"N/A",IF(Table1[[#This Row],[DUT Adj Read]]="N/A",IF(Table1[[#This Row],[Std Adj Read]]&lt;Table1[[#This Row],[High Tol]],"Pass","Fail"),IF(Table1[[#This Row],[DUT Adj Read]]&lt;Table1[[#This Row],[High Tol]],"Pass","Fail")))</f>
        <v>Fail</v>
      </c>
      <c r="AF2412" s="1" t="str">
        <f>IF(AND(Table1[[#This Row],[Spec Type2]]="N/A",Table1[[#This Row],[DUT Adj Read]]="N/A",Table1[[#This Row],[Std Adj Read]]="N/A"),"N/A",IF(Table1[[#This Row],[DUT Adj Read]]="N/A",IF(Table1[[#This Row],[Std Adj Read]]&gt;=Table1[[#This Row],[Low Tol]],"Pass","Fail"),IF(Table1[[#This Row],[DUT Adj Read]]&gt;=Table1[[#This Row],[Low Tol]],"Pass","Fail")))</f>
        <v>Pass</v>
      </c>
      <c r="AG2412" s="1" t="str">
        <f>IF(AND(Table1[[#This Row],[Spec Type2]]="N/A",Table1[[#This Row],[DUT Adj Read]]="N/A",Table1[[#This Row],[Std Adj Read]]="N/A"),"N/A",IF(Table1[[#This Row],[DUT Adj Read]]="N/A",IF(Table1[[#This Row],[Std Adj Read]]&lt;=Table1[[#This Row],[High Tol]],"Pass","Fail"),IF(Table1[[#This Row],[DUT Adj Read]]&lt;=Table1[[#This Row],[High Tol]],"Pass","Fail")))</f>
        <v>Fail</v>
      </c>
      <c r="AH24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2" s="1" t="b">
        <v>0</v>
      </c>
      <c r="AN2412" s="1" t="b">
        <v>0</v>
      </c>
      <c r="AO2412" s="1" t="b">
        <v>0</v>
      </c>
    </row>
    <row r="2413" spans="1:41" x14ac:dyDescent="0.25">
      <c r="A2413" s="10"/>
      <c r="B2413" s="10"/>
      <c r="C2413" s="10"/>
      <c r="D2413" s="10"/>
      <c r="E2413" s="10"/>
      <c r="F2413" s="10"/>
      <c r="G2413" s="10"/>
      <c r="H2413" s="10"/>
      <c r="I2413" s="1" t="str">
        <f t="shared" si="111"/>
        <v/>
      </c>
      <c r="J2413" s="1" t="s">
        <v>35</v>
      </c>
      <c r="K2413" s="1" t="str">
        <f t="shared" si="112"/>
        <v/>
      </c>
      <c r="L2413" s="1" t="str">
        <f t="shared" si="113"/>
        <v/>
      </c>
      <c r="M2413" s="1">
        <f>IF(OR(Table1[[#This Row],[Std Nom]]="",Table1[[#This Row],[Std Read]]=""),0,Table1[[#This Row],[Std Nom]]-Table1[[#This Row],[Std Read]])</f>
        <v>0</v>
      </c>
      <c r="N2413" s="1">
        <f>IF(Calculations!$F$5="ACCREDITED 17025 WITH UNCERTAINTIES",$N$10,0)</f>
        <v>0</v>
      </c>
      <c r="Q2413" s="1">
        <f>Table1[[#This Row],[High Tol]]-Table1[[#This Row],[Low Tol]]</f>
        <v>0</v>
      </c>
      <c r="R2413" s="1">
        <f>2*Table1[[#This Row],[Std Error]]</f>
        <v>0</v>
      </c>
      <c r="S2413" s="1" t="str">
        <f>IF(Table1[[#This Row],[High Tol]]="","N/A",IFERROR(ABS(Table1[[#This Row],[Tol Span]]/Table1[[#This Row],[Error Span]]),"N/A"))</f>
        <v>N/A</v>
      </c>
      <c r="T2413" s="1" t="str">
        <f>IF(OR(Table1[[#This Row],[Low Tol]]="",Table1[[#This Row],[High Tol]]=""),"Needs Analysis",IF(Table1[[#This Row],[Ratio]]&gt;=4,"Not Significant",IF(Table1[[#This Row],[Ratio]]&gt;=2,"Semi-Significant","Significant")))</f>
        <v>Needs Analysis</v>
      </c>
      <c r="W2413" s="1">
        <f>IF(Table1[[#This Row],[Cal Type]]&lt;&gt;"ACCREDITED 17025 WITH UNCERTAINTIES",0,"")</f>
        <v>0</v>
      </c>
      <c r="X2413" s="1" t="str">
        <f>IF(Table1[[#This Row],[DUT Read]]="","N/A",Table1[[#This Row],[Std Error]]+Table1[[#This Row],[DUT Read]]+Table1[[#This Row],[DUT Ucty]])</f>
        <v>N/A</v>
      </c>
      <c r="Y2413" s="1" t="str">
        <f>IF(Table1[[#This Row],[Std Read]]="","N/A",Table1[[#This Row],[Std Read]]+Table1[[#This Row],[Std Ucty]])</f>
        <v>N/A</v>
      </c>
      <c r="Z24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3" s="1" t="str">
        <f>IF(Table1[[#This Row],[Spec Type]]="","N/A",Table1[[#This Row],[Spec Type]])</f>
        <v>±</v>
      </c>
      <c r="AC2413" s="1" t="str">
        <f>IF(Table1[[#This Row],[Spec Type2]]="N/A","N/A",IF(AND(Table1[[#This Row],[DUT Adj Read]]&gt;=Table1[[#This Row],[Low Tol]],Table1[[#This Row],[DUT Adj Read]]&lt;=Table1[[#This Row],[High Tol]]),"Pass","Fail"))</f>
        <v>Fail</v>
      </c>
      <c r="AD2413" s="1" t="str">
        <f>IF(AND(Table1[[#This Row],[Spec Type2]]="N/A",Table1[[#This Row],[DUT Adj Read]]="N/A",Table1[[#This Row],[Std Adj Read]]="N/A"),"N/A",IF(Table1[[#This Row],[DUT Adj Read]]="N/A",IF(Table1[[#This Row],[Std Adj Read]]&gt;Table1[[#This Row],[Low Tol]],"Pass","Fail"),IF(Table1[[#This Row],[DUT Adj Read]]&gt;Table1[[#This Row],[Low Tol]],"Pass","Fail")))</f>
        <v>Pass</v>
      </c>
      <c r="AE2413" s="1" t="str">
        <f>IF(AND(Table1[[#This Row],[Spec Type2]]="N/A",Table1[[#This Row],[DUT Adj Read]]="N/A",Table1[[#This Row],[Std Adj Read]]="N/A"),"N/A",IF(Table1[[#This Row],[DUT Adj Read]]="N/A",IF(Table1[[#This Row],[Std Adj Read]]&lt;Table1[[#This Row],[High Tol]],"Pass","Fail"),IF(Table1[[#This Row],[DUT Adj Read]]&lt;Table1[[#This Row],[High Tol]],"Pass","Fail")))</f>
        <v>Fail</v>
      </c>
      <c r="AF2413" s="1" t="str">
        <f>IF(AND(Table1[[#This Row],[Spec Type2]]="N/A",Table1[[#This Row],[DUT Adj Read]]="N/A",Table1[[#This Row],[Std Adj Read]]="N/A"),"N/A",IF(Table1[[#This Row],[DUT Adj Read]]="N/A",IF(Table1[[#This Row],[Std Adj Read]]&gt;=Table1[[#This Row],[Low Tol]],"Pass","Fail"),IF(Table1[[#This Row],[DUT Adj Read]]&gt;=Table1[[#This Row],[Low Tol]],"Pass","Fail")))</f>
        <v>Pass</v>
      </c>
      <c r="AG2413" s="1" t="str">
        <f>IF(AND(Table1[[#This Row],[Spec Type2]]="N/A",Table1[[#This Row],[DUT Adj Read]]="N/A",Table1[[#This Row],[Std Adj Read]]="N/A"),"N/A",IF(Table1[[#This Row],[DUT Adj Read]]="N/A",IF(Table1[[#This Row],[Std Adj Read]]&lt;=Table1[[#This Row],[High Tol]],"Pass","Fail"),IF(Table1[[#This Row],[DUT Adj Read]]&lt;=Table1[[#This Row],[High Tol]],"Pass","Fail")))</f>
        <v>Fail</v>
      </c>
      <c r="AH24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3" s="1" t="b">
        <v>0</v>
      </c>
      <c r="AN2413" s="1" t="b">
        <v>0</v>
      </c>
      <c r="AO2413" s="1" t="b">
        <v>0</v>
      </c>
    </row>
    <row r="2414" spans="1:41" x14ac:dyDescent="0.25">
      <c r="A2414" s="10"/>
      <c r="B2414" s="10"/>
      <c r="C2414" s="10"/>
      <c r="D2414" s="10"/>
      <c r="E2414" s="10"/>
      <c r="F2414" s="10"/>
      <c r="G2414" s="10"/>
      <c r="H2414" s="10"/>
      <c r="I2414" s="1" t="str">
        <f t="shared" si="111"/>
        <v/>
      </c>
      <c r="J2414" s="1" t="s">
        <v>35</v>
      </c>
      <c r="K2414" s="1" t="str">
        <f t="shared" si="112"/>
        <v/>
      </c>
      <c r="L2414" s="1" t="str">
        <f t="shared" si="113"/>
        <v/>
      </c>
      <c r="M2414" s="1">
        <f>IF(OR(Table1[[#This Row],[Std Nom]]="",Table1[[#This Row],[Std Read]]=""),0,Table1[[#This Row],[Std Nom]]-Table1[[#This Row],[Std Read]])</f>
        <v>0</v>
      </c>
      <c r="N2414" s="1">
        <f>IF(Calculations!$F$5="ACCREDITED 17025 WITH UNCERTAINTIES",$N$10,0)</f>
        <v>0</v>
      </c>
      <c r="Q2414" s="1">
        <f>Table1[[#This Row],[High Tol]]-Table1[[#This Row],[Low Tol]]</f>
        <v>0</v>
      </c>
      <c r="R2414" s="1">
        <f>2*Table1[[#This Row],[Std Error]]</f>
        <v>0</v>
      </c>
      <c r="S2414" s="1" t="str">
        <f>IF(Table1[[#This Row],[High Tol]]="","N/A",IFERROR(ABS(Table1[[#This Row],[Tol Span]]/Table1[[#This Row],[Error Span]]),"N/A"))</f>
        <v>N/A</v>
      </c>
      <c r="T2414" s="1" t="str">
        <f>IF(OR(Table1[[#This Row],[Low Tol]]="",Table1[[#This Row],[High Tol]]=""),"Needs Analysis",IF(Table1[[#This Row],[Ratio]]&gt;=4,"Not Significant",IF(Table1[[#This Row],[Ratio]]&gt;=2,"Semi-Significant","Significant")))</f>
        <v>Needs Analysis</v>
      </c>
      <c r="W2414" s="1">
        <f>IF(Table1[[#This Row],[Cal Type]]&lt;&gt;"ACCREDITED 17025 WITH UNCERTAINTIES",0,"")</f>
        <v>0</v>
      </c>
      <c r="X2414" s="1" t="str">
        <f>IF(Table1[[#This Row],[DUT Read]]="","N/A",Table1[[#This Row],[Std Error]]+Table1[[#This Row],[DUT Read]]+Table1[[#This Row],[DUT Ucty]])</f>
        <v>N/A</v>
      </c>
      <c r="Y2414" s="1" t="str">
        <f>IF(Table1[[#This Row],[Std Read]]="","N/A",Table1[[#This Row],[Std Read]]+Table1[[#This Row],[Std Ucty]])</f>
        <v>N/A</v>
      </c>
      <c r="Z24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4" s="1" t="str">
        <f>IF(Table1[[#This Row],[Spec Type]]="","N/A",Table1[[#This Row],[Spec Type]])</f>
        <v>±</v>
      </c>
      <c r="AC2414" s="1" t="str">
        <f>IF(Table1[[#This Row],[Spec Type2]]="N/A","N/A",IF(AND(Table1[[#This Row],[DUT Adj Read]]&gt;=Table1[[#This Row],[Low Tol]],Table1[[#This Row],[DUT Adj Read]]&lt;=Table1[[#This Row],[High Tol]]),"Pass","Fail"))</f>
        <v>Fail</v>
      </c>
      <c r="AD2414" s="1" t="str">
        <f>IF(AND(Table1[[#This Row],[Spec Type2]]="N/A",Table1[[#This Row],[DUT Adj Read]]="N/A",Table1[[#This Row],[Std Adj Read]]="N/A"),"N/A",IF(Table1[[#This Row],[DUT Adj Read]]="N/A",IF(Table1[[#This Row],[Std Adj Read]]&gt;Table1[[#This Row],[Low Tol]],"Pass","Fail"),IF(Table1[[#This Row],[DUT Adj Read]]&gt;Table1[[#This Row],[Low Tol]],"Pass","Fail")))</f>
        <v>Pass</v>
      </c>
      <c r="AE2414" s="1" t="str">
        <f>IF(AND(Table1[[#This Row],[Spec Type2]]="N/A",Table1[[#This Row],[DUT Adj Read]]="N/A",Table1[[#This Row],[Std Adj Read]]="N/A"),"N/A",IF(Table1[[#This Row],[DUT Adj Read]]="N/A",IF(Table1[[#This Row],[Std Adj Read]]&lt;Table1[[#This Row],[High Tol]],"Pass","Fail"),IF(Table1[[#This Row],[DUT Adj Read]]&lt;Table1[[#This Row],[High Tol]],"Pass","Fail")))</f>
        <v>Fail</v>
      </c>
      <c r="AF2414" s="1" t="str">
        <f>IF(AND(Table1[[#This Row],[Spec Type2]]="N/A",Table1[[#This Row],[DUT Adj Read]]="N/A",Table1[[#This Row],[Std Adj Read]]="N/A"),"N/A",IF(Table1[[#This Row],[DUT Adj Read]]="N/A",IF(Table1[[#This Row],[Std Adj Read]]&gt;=Table1[[#This Row],[Low Tol]],"Pass","Fail"),IF(Table1[[#This Row],[DUT Adj Read]]&gt;=Table1[[#This Row],[Low Tol]],"Pass","Fail")))</f>
        <v>Pass</v>
      </c>
      <c r="AG2414" s="1" t="str">
        <f>IF(AND(Table1[[#This Row],[Spec Type2]]="N/A",Table1[[#This Row],[DUT Adj Read]]="N/A",Table1[[#This Row],[Std Adj Read]]="N/A"),"N/A",IF(Table1[[#This Row],[DUT Adj Read]]="N/A",IF(Table1[[#This Row],[Std Adj Read]]&lt;=Table1[[#This Row],[High Tol]],"Pass","Fail"),IF(Table1[[#This Row],[DUT Adj Read]]&lt;=Table1[[#This Row],[High Tol]],"Pass","Fail")))</f>
        <v>Fail</v>
      </c>
      <c r="AH24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4" s="1" t="b">
        <v>0</v>
      </c>
      <c r="AN2414" s="1" t="b">
        <v>0</v>
      </c>
      <c r="AO2414" s="1" t="b">
        <v>0</v>
      </c>
    </row>
    <row r="2415" spans="1:41" x14ac:dyDescent="0.25">
      <c r="A2415" s="10"/>
      <c r="B2415" s="10"/>
      <c r="C2415" s="10"/>
      <c r="D2415" s="10"/>
      <c r="E2415" s="10"/>
      <c r="F2415" s="10"/>
      <c r="G2415" s="10"/>
      <c r="H2415" s="10"/>
      <c r="I2415" s="1" t="str">
        <f t="shared" si="111"/>
        <v/>
      </c>
      <c r="J2415" s="1" t="s">
        <v>35</v>
      </c>
      <c r="K2415" s="1" t="str">
        <f t="shared" si="112"/>
        <v/>
      </c>
      <c r="L2415" s="1" t="str">
        <f t="shared" si="113"/>
        <v/>
      </c>
      <c r="M2415" s="1">
        <f>IF(OR(Table1[[#This Row],[Std Nom]]="",Table1[[#This Row],[Std Read]]=""),0,Table1[[#This Row],[Std Nom]]-Table1[[#This Row],[Std Read]])</f>
        <v>0</v>
      </c>
      <c r="N2415" s="1">
        <f>IF(Calculations!$F$5="ACCREDITED 17025 WITH UNCERTAINTIES",$N$10,0)</f>
        <v>0</v>
      </c>
      <c r="Q2415" s="1">
        <f>Table1[[#This Row],[High Tol]]-Table1[[#This Row],[Low Tol]]</f>
        <v>0</v>
      </c>
      <c r="R2415" s="1">
        <f>2*Table1[[#This Row],[Std Error]]</f>
        <v>0</v>
      </c>
      <c r="S2415" s="1" t="str">
        <f>IF(Table1[[#This Row],[High Tol]]="","N/A",IFERROR(ABS(Table1[[#This Row],[Tol Span]]/Table1[[#This Row],[Error Span]]),"N/A"))</f>
        <v>N/A</v>
      </c>
      <c r="T2415" s="1" t="str">
        <f>IF(OR(Table1[[#This Row],[Low Tol]]="",Table1[[#This Row],[High Tol]]=""),"Needs Analysis",IF(Table1[[#This Row],[Ratio]]&gt;=4,"Not Significant",IF(Table1[[#This Row],[Ratio]]&gt;=2,"Semi-Significant","Significant")))</f>
        <v>Needs Analysis</v>
      </c>
      <c r="W2415" s="1">
        <f>IF(Table1[[#This Row],[Cal Type]]&lt;&gt;"ACCREDITED 17025 WITH UNCERTAINTIES",0,"")</f>
        <v>0</v>
      </c>
      <c r="X2415" s="1" t="str">
        <f>IF(Table1[[#This Row],[DUT Read]]="","N/A",Table1[[#This Row],[Std Error]]+Table1[[#This Row],[DUT Read]]+Table1[[#This Row],[DUT Ucty]])</f>
        <v>N/A</v>
      </c>
      <c r="Y2415" s="1" t="str">
        <f>IF(Table1[[#This Row],[Std Read]]="","N/A",Table1[[#This Row],[Std Read]]+Table1[[#This Row],[Std Ucty]])</f>
        <v>N/A</v>
      </c>
      <c r="Z24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5" s="1" t="str">
        <f>IF(Table1[[#This Row],[Spec Type]]="","N/A",Table1[[#This Row],[Spec Type]])</f>
        <v>±</v>
      </c>
      <c r="AC2415" s="1" t="str">
        <f>IF(Table1[[#This Row],[Spec Type2]]="N/A","N/A",IF(AND(Table1[[#This Row],[DUT Adj Read]]&gt;=Table1[[#This Row],[Low Tol]],Table1[[#This Row],[DUT Adj Read]]&lt;=Table1[[#This Row],[High Tol]]),"Pass","Fail"))</f>
        <v>Fail</v>
      </c>
      <c r="AD2415" s="1" t="str">
        <f>IF(AND(Table1[[#This Row],[Spec Type2]]="N/A",Table1[[#This Row],[DUT Adj Read]]="N/A",Table1[[#This Row],[Std Adj Read]]="N/A"),"N/A",IF(Table1[[#This Row],[DUT Adj Read]]="N/A",IF(Table1[[#This Row],[Std Adj Read]]&gt;Table1[[#This Row],[Low Tol]],"Pass","Fail"),IF(Table1[[#This Row],[DUT Adj Read]]&gt;Table1[[#This Row],[Low Tol]],"Pass","Fail")))</f>
        <v>Pass</v>
      </c>
      <c r="AE2415" s="1" t="str">
        <f>IF(AND(Table1[[#This Row],[Spec Type2]]="N/A",Table1[[#This Row],[DUT Adj Read]]="N/A",Table1[[#This Row],[Std Adj Read]]="N/A"),"N/A",IF(Table1[[#This Row],[DUT Adj Read]]="N/A",IF(Table1[[#This Row],[Std Adj Read]]&lt;Table1[[#This Row],[High Tol]],"Pass","Fail"),IF(Table1[[#This Row],[DUT Adj Read]]&lt;Table1[[#This Row],[High Tol]],"Pass","Fail")))</f>
        <v>Fail</v>
      </c>
      <c r="AF2415" s="1" t="str">
        <f>IF(AND(Table1[[#This Row],[Spec Type2]]="N/A",Table1[[#This Row],[DUT Adj Read]]="N/A",Table1[[#This Row],[Std Adj Read]]="N/A"),"N/A",IF(Table1[[#This Row],[DUT Adj Read]]="N/A",IF(Table1[[#This Row],[Std Adj Read]]&gt;=Table1[[#This Row],[Low Tol]],"Pass","Fail"),IF(Table1[[#This Row],[DUT Adj Read]]&gt;=Table1[[#This Row],[Low Tol]],"Pass","Fail")))</f>
        <v>Pass</v>
      </c>
      <c r="AG2415" s="1" t="str">
        <f>IF(AND(Table1[[#This Row],[Spec Type2]]="N/A",Table1[[#This Row],[DUT Adj Read]]="N/A",Table1[[#This Row],[Std Adj Read]]="N/A"),"N/A",IF(Table1[[#This Row],[DUT Adj Read]]="N/A",IF(Table1[[#This Row],[Std Adj Read]]&lt;=Table1[[#This Row],[High Tol]],"Pass","Fail"),IF(Table1[[#This Row],[DUT Adj Read]]&lt;=Table1[[#This Row],[High Tol]],"Pass","Fail")))</f>
        <v>Fail</v>
      </c>
      <c r="AH24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5" s="1" t="b">
        <v>0</v>
      </c>
      <c r="AN2415" s="1" t="b">
        <v>0</v>
      </c>
      <c r="AO2415" s="1" t="b">
        <v>0</v>
      </c>
    </row>
    <row r="2416" spans="1:41" x14ac:dyDescent="0.25">
      <c r="A2416" s="10"/>
      <c r="B2416" s="10"/>
      <c r="C2416" s="10"/>
      <c r="D2416" s="10"/>
      <c r="E2416" s="10"/>
      <c r="F2416" s="10"/>
      <c r="G2416" s="10"/>
      <c r="H2416" s="10"/>
      <c r="I2416" s="1" t="str">
        <f t="shared" si="111"/>
        <v/>
      </c>
      <c r="J2416" s="1" t="s">
        <v>35</v>
      </c>
      <c r="K2416" s="1" t="str">
        <f t="shared" si="112"/>
        <v/>
      </c>
      <c r="L2416" s="1" t="str">
        <f t="shared" si="113"/>
        <v/>
      </c>
      <c r="M2416" s="1">
        <f>IF(OR(Table1[[#This Row],[Std Nom]]="",Table1[[#This Row],[Std Read]]=""),0,Table1[[#This Row],[Std Nom]]-Table1[[#This Row],[Std Read]])</f>
        <v>0</v>
      </c>
      <c r="N2416" s="1">
        <f>IF(Calculations!$F$5="ACCREDITED 17025 WITH UNCERTAINTIES",$N$10,0)</f>
        <v>0</v>
      </c>
      <c r="Q2416" s="1">
        <f>Table1[[#This Row],[High Tol]]-Table1[[#This Row],[Low Tol]]</f>
        <v>0</v>
      </c>
      <c r="R2416" s="1">
        <f>2*Table1[[#This Row],[Std Error]]</f>
        <v>0</v>
      </c>
      <c r="S2416" s="1" t="str">
        <f>IF(Table1[[#This Row],[High Tol]]="","N/A",IFERROR(ABS(Table1[[#This Row],[Tol Span]]/Table1[[#This Row],[Error Span]]),"N/A"))</f>
        <v>N/A</v>
      </c>
      <c r="T2416" s="1" t="str">
        <f>IF(OR(Table1[[#This Row],[Low Tol]]="",Table1[[#This Row],[High Tol]]=""),"Needs Analysis",IF(Table1[[#This Row],[Ratio]]&gt;=4,"Not Significant",IF(Table1[[#This Row],[Ratio]]&gt;=2,"Semi-Significant","Significant")))</f>
        <v>Needs Analysis</v>
      </c>
      <c r="W2416" s="1">
        <f>IF(Table1[[#This Row],[Cal Type]]&lt;&gt;"ACCREDITED 17025 WITH UNCERTAINTIES",0,"")</f>
        <v>0</v>
      </c>
      <c r="X2416" s="1" t="str">
        <f>IF(Table1[[#This Row],[DUT Read]]="","N/A",Table1[[#This Row],[Std Error]]+Table1[[#This Row],[DUT Read]]+Table1[[#This Row],[DUT Ucty]])</f>
        <v>N/A</v>
      </c>
      <c r="Y2416" s="1" t="str">
        <f>IF(Table1[[#This Row],[Std Read]]="","N/A",Table1[[#This Row],[Std Read]]+Table1[[#This Row],[Std Ucty]])</f>
        <v>N/A</v>
      </c>
      <c r="Z24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6" s="1" t="str">
        <f>IF(Table1[[#This Row],[Spec Type]]="","N/A",Table1[[#This Row],[Spec Type]])</f>
        <v>±</v>
      </c>
      <c r="AC2416" s="1" t="str">
        <f>IF(Table1[[#This Row],[Spec Type2]]="N/A","N/A",IF(AND(Table1[[#This Row],[DUT Adj Read]]&gt;=Table1[[#This Row],[Low Tol]],Table1[[#This Row],[DUT Adj Read]]&lt;=Table1[[#This Row],[High Tol]]),"Pass","Fail"))</f>
        <v>Fail</v>
      </c>
      <c r="AD2416" s="1" t="str">
        <f>IF(AND(Table1[[#This Row],[Spec Type2]]="N/A",Table1[[#This Row],[DUT Adj Read]]="N/A",Table1[[#This Row],[Std Adj Read]]="N/A"),"N/A",IF(Table1[[#This Row],[DUT Adj Read]]="N/A",IF(Table1[[#This Row],[Std Adj Read]]&gt;Table1[[#This Row],[Low Tol]],"Pass","Fail"),IF(Table1[[#This Row],[DUT Adj Read]]&gt;Table1[[#This Row],[Low Tol]],"Pass","Fail")))</f>
        <v>Pass</v>
      </c>
      <c r="AE2416" s="1" t="str">
        <f>IF(AND(Table1[[#This Row],[Spec Type2]]="N/A",Table1[[#This Row],[DUT Adj Read]]="N/A",Table1[[#This Row],[Std Adj Read]]="N/A"),"N/A",IF(Table1[[#This Row],[DUT Adj Read]]="N/A",IF(Table1[[#This Row],[Std Adj Read]]&lt;Table1[[#This Row],[High Tol]],"Pass","Fail"),IF(Table1[[#This Row],[DUT Adj Read]]&lt;Table1[[#This Row],[High Tol]],"Pass","Fail")))</f>
        <v>Fail</v>
      </c>
      <c r="AF2416" s="1" t="str">
        <f>IF(AND(Table1[[#This Row],[Spec Type2]]="N/A",Table1[[#This Row],[DUT Adj Read]]="N/A",Table1[[#This Row],[Std Adj Read]]="N/A"),"N/A",IF(Table1[[#This Row],[DUT Adj Read]]="N/A",IF(Table1[[#This Row],[Std Adj Read]]&gt;=Table1[[#This Row],[Low Tol]],"Pass","Fail"),IF(Table1[[#This Row],[DUT Adj Read]]&gt;=Table1[[#This Row],[Low Tol]],"Pass","Fail")))</f>
        <v>Pass</v>
      </c>
      <c r="AG2416" s="1" t="str">
        <f>IF(AND(Table1[[#This Row],[Spec Type2]]="N/A",Table1[[#This Row],[DUT Adj Read]]="N/A",Table1[[#This Row],[Std Adj Read]]="N/A"),"N/A",IF(Table1[[#This Row],[DUT Adj Read]]="N/A",IF(Table1[[#This Row],[Std Adj Read]]&lt;=Table1[[#This Row],[High Tol]],"Pass","Fail"),IF(Table1[[#This Row],[DUT Adj Read]]&lt;=Table1[[#This Row],[High Tol]],"Pass","Fail")))</f>
        <v>Fail</v>
      </c>
      <c r="AH24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6" s="1" t="b">
        <v>0</v>
      </c>
      <c r="AN2416" s="1" t="b">
        <v>0</v>
      </c>
      <c r="AO2416" s="1" t="b">
        <v>0</v>
      </c>
    </row>
    <row r="2417" spans="1:41" x14ac:dyDescent="0.25">
      <c r="A2417" s="10"/>
      <c r="B2417" s="10"/>
      <c r="C2417" s="10"/>
      <c r="D2417" s="10"/>
      <c r="E2417" s="10"/>
      <c r="F2417" s="10"/>
      <c r="G2417" s="10"/>
      <c r="H2417" s="10"/>
      <c r="I2417" s="1" t="str">
        <f t="shared" si="111"/>
        <v/>
      </c>
      <c r="J2417" s="1" t="s">
        <v>35</v>
      </c>
      <c r="K2417" s="1" t="str">
        <f t="shared" si="112"/>
        <v/>
      </c>
      <c r="L2417" s="1" t="str">
        <f t="shared" si="113"/>
        <v/>
      </c>
      <c r="M2417" s="1">
        <f>IF(OR(Table1[[#This Row],[Std Nom]]="",Table1[[#This Row],[Std Read]]=""),0,Table1[[#This Row],[Std Nom]]-Table1[[#This Row],[Std Read]])</f>
        <v>0</v>
      </c>
      <c r="N2417" s="1">
        <f>IF(Calculations!$F$5="ACCREDITED 17025 WITH UNCERTAINTIES",$N$10,0)</f>
        <v>0</v>
      </c>
      <c r="Q2417" s="1">
        <f>Table1[[#This Row],[High Tol]]-Table1[[#This Row],[Low Tol]]</f>
        <v>0</v>
      </c>
      <c r="R2417" s="1">
        <f>2*Table1[[#This Row],[Std Error]]</f>
        <v>0</v>
      </c>
      <c r="S2417" s="1" t="str">
        <f>IF(Table1[[#This Row],[High Tol]]="","N/A",IFERROR(ABS(Table1[[#This Row],[Tol Span]]/Table1[[#This Row],[Error Span]]),"N/A"))</f>
        <v>N/A</v>
      </c>
      <c r="T2417" s="1" t="str">
        <f>IF(OR(Table1[[#This Row],[Low Tol]]="",Table1[[#This Row],[High Tol]]=""),"Needs Analysis",IF(Table1[[#This Row],[Ratio]]&gt;=4,"Not Significant",IF(Table1[[#This Row],[Ratio]]&gt;=2,"Semi-Significant","Significant")))</f>
        <v>Needs Analysis</v>
      </c>
      <c r="W2417" s="1">
        <f>IF(Table1[[#This Row],[Cal Type]]&lt;&gt;"ACCREDITED 17025 WITH UNCERTAINTIES",0,"")</f>
        <v>0</v>
      </c>
      <c r="X2417" s="1" t="str">
        <f>IF(Table1[[#This Row],[DUT Read]]="","N/A",Table1[[#This Row],[Std Error]]+Table1[[#This Row],[DUT Read]]+Table1[[#This Row],[DUT Ucty]])</f>
        <v>N/A</v>
      </c>
      <c r="Y2417" s="1" t="str">
        <f>IF(Table1[[#This Row],[Std Read]]="","N/A",Table1[[#This Row],[Std Read]]+Table1[[#This Row],[Std Ucty]])</f>
        <v>N/A</v>
      </c>
      <c r="Z24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7" s="1" t="str">
        <f>IF(Table1[[#This Row],[Spec Type]]="","N/A",Table1[[#This Row],[Spec Type]])</f>
        <v>±</v>
      </c>
      <c r="AC2417" s="1" t="str">
        <f>IF(Table1[[#This Row],[Spec Type2]]="N/A","N/A",IF(AND(Table1[[#This Row],[DUT Adj Read]]&gt;=Table1[[#This Row],[Low Tol]],Table1[[#This Row],[DUT Adj Read]]&lt;=Table1[[#This Row],[High Tol]]),"Pass","Fail"))</f>
        <v>Fail</v>
      </c>
      <c r="AD2417" s="1" t="str">
        <f>IF(AND(Table1[[#This Row],[Spec Type2]]="N/A",Table1[[#This Row],[DUT Adj Read]]="N/A",Table1[[#This Row],[Std Adj Read]]="N/A"),"N/A",IF(Table1[[#This Row],[DUT Adj Read]]="N/A",IF(Table1[[#This Row],[Std Adj Read]]&gt;Table1[[#This Row],[Low Tol]],"Pass","Fail"),IF(Table1[[#This Row],[DUT Adj Read]]&gt;Table1[[#This Row],[Low Tol]],"Pass","Fail")))</f>
        <v>Pass</v>
      </c>
      <c r="AE2417" s="1" t="str">
        <f>IF(AND(Table1[[#This Row],[Spec Type2]]="N/A",Table1[[#This Row],[DUT Adj Read]]="N/A",Table1[[#This Row],[Std Adj Read]]="N/A"),"N/A",IF(Table1[[#This Row],[DUT Adj Read]]="N/A",IF(Table1[[#This Row],[Std Adj Read]]&lt;Table1[[#This Row],[High Tol]],"Pass","Fail"),IF(Table1[[#This Row],[DUT Adj Read]]&lt;Table1[[#This Row],[High Tol]],"Pass","Fail")))</f>
        <v>Fail</v>
      </c>
      <c r="AF2417" s="1" t="str">
        <f>IF(AND(Table1[[#This Row],[Spec Type2]]="N/A",Table1[[#This Row],[DUT Adj Read]]="N/A",Table1[[#This Row],[Std Adj Read]]="N/A"),"N/A",IF(Table1[[#This Row],[DUT Adj Read]]="N/A",IF(Table1[[#This Row],[Std Adj Read]]&gt;=Table1[[#This Row],[Low Tol]],"Pass","Fail"),IF(Table1[[#This Row],[DUT Adj Read]]&gt;=Table1[[#This Row],[Low Tol]],"Pass","Fail")))</f>
        <v>Pass</v>
      </c>
      <c r="AG2417" s="1" t="str">
        <f>IF(AND(Table1[[#This Row],[Spec Type2]]="N/A",Table1[[#This Row],[DUT Adj Read]]="N/A",Table1[[#This Row],[Std Adj Read]]="N/A"),"N/A",IF(Table1[[#This Row],[DUT Adj Read]]="N/A",IF(Table1[[#This Row],[Std Adj Read]]&lt;=Table1[[#This Row],[High Tol]],"Pass","Fail"),IF(Table1[[#This Row],[DUT Adj Read]]&lt;=Table1[[#This Row],[High Tol]],"Pass","Fail")))</f>
        <v>Fail</v>
      </c>
      <c r="AH24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7" s="1" t="b">
        <v>0</v>
      </c>
      <c r="AN2417" s="1" t="b">
        <v>0</v>
      </c>
      <c r="AO2417" s="1" t="b">
        <v>0</v>
      </c>
    </row>
    <row r="2418" spans="1:41" x14ac:dyDescent="0.25">
      <c r="A2418" s="10"/>
      <c r="B2418" s="10"/>
      <c r="C2418" s="10"/>
      <c r="D2418" s="10"/>
      <c r="E2418" s="10"/>
      <c r="F2418" s="10"/>
      <c r="G2418" s="10"/>
      <c r="H2418" s="10"/>
      <c r="I2418" s="1" t="str">
        <f t="shared" si="111"/>
        <v/>
      </c>
      <c r="J2418" s="1" t="s">
        <v>35</v>
      </c>
      <c r="K2418" s="1" t="str">
        <f t="shared" si="112"/>
        <v/>
      </c>
      <c r="L2418" s="1" t="str">
        <f t="shared" si="113"/>
        <v/>
      </c>
      <c r="M2418" s="1">
        <f>IF(OR(Table1[[#This Row],[Std Nom]]="",Table1[[#This Row],[Std Read]]=""),0,Table1[[#This Row],[Std Nom]]-Table1[[#This Row],[Std Read]])</f>
        <v>0</v>
      </c>
      <c r="N2418" s="1">
        <f>IF(Calculations!$F$5="ACCREDITED 17025 WITH UNCERTAINTIES",$N$10,0)</f>
        <v>0</v>
      </c>
      <c r="Q2418" s="1">
        <f>Table1[[#This Row],[High Tol]]-Table1[[#This Row],[Low Tol]]</f>
        <v>0</v>
      </c>
      <c r="R2418" s="1">
        <f>2*Table1[[#This Row],[Std Error]]</f>
        <v>0</v>
      </c>
      <c r="S2418" s="1" t="str">
        <f>IF(Table1[[#This Row],[High Tol]]="","N/A",IFERROR(ABS(Table1[[#This Row],[Tol Span]]/Table1[[#This Row],[Error Span]]),"N/A"))</f>
        <v>N/A</v>
      </c>
      <c r="T2418" s="1" t="str">
        <f>IF(OR(Table1[[#This Row],[Low Tol]]="",Table1[[#This Row],[High Tol]]=""),"Needs Analysis",IF(Table1[[#This Row],[Ratio]]&gt;=4,"Not Significant",IF(Table1[[#This Row],[Ratio]]&gt;=2,"Semi-Significant","Significant")))</f>
        <v>Needs Analysis</v>
      </c>
      <c r="W2418" s="1">
        <f>IF(Table1[[#This Row],[Cal Type]]&lt;&gt;"ACCREDITED 17025 WITH UNCERTAINTIES",0,"")</f>
        <v>0</v>
      </c>
      <c r="X2418" s="1" t="str">
        <f>IF(Table1[[#This Row],[DUT Read]]="","N/A",Table1[[#This Row],[Std Error]]+Table1[[#This Row],[DUT Read]]+Table1[[#This Row],[DUT Ucty]])</f>
        <v>N/A</v>
      </c>
      <c r="Y2418" s="1" t="str">
        <f>IF(Table1[[#This Row],[Std Read]]="","N/A",Table1[[#This Row],[Std Read]]+Table1[[#This Row],[Std Ucty]])</f>
        <v>N/A</v>
      </c>
      <c r="Z24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8" s="1" t="str">
        <f>IF(Table1[[#This Row],[Spec Type]]="","N/A",Table1[[#This Row],[Spec Type]])</f>
        <v>±</v>
      </c>
      <c r="AC2418" s="1" t="str">
        <f>IF(Table1[[#This Row],[Spec Type2]]="N/A","N/A",IF(AND(Table1[[#This Row],[DUT Adj Read]]&gt;=Table1[[#This Row],[Low Tol]],Table1[[#This Row],[DUT Adj Read]]&lt;=Table1[[#This Row],[High Tol]]),"Pass","Fail"))</f>
        <v>Fail</v>
      </c>
      <c r="AD2418" s="1" t="str">
        <f>IF(AND(Table1[[#This Row],[Spec Type2]]="N/A",Table1[[#This Row],[DUT Adj Read]]="N/A",Table1[[#This Row],[Std Adj Read]]="N/A"),"N/A",IF(Table1[[#This Row],[DUT Adj Read]]="N/A",IF(Table1[[#This Row],[Std Adj Read]]&gt;Table1[[#This Row],[Low Tol]],"Pass","Fail"),IF(Table1[[#This Row],[DUT Adj Read]]&gt;Table1[[#This Row],[Low Tol]],"Pass","Fail")))</f>
        <v>Pass</v>
      </c>
      <c r="AE2418" s="1" t="str">
        <f>IF(AND(Table1[[#This Row],[Spec Type2]]="N/A",Table1[[#This Row],[DUT Adj Read]]="N/A",Table1[[#This Row],[Std Adj Read]]="N/A"),"N/A",IF(Table1[[#This Row],[DUT Adj Read]]="N/A",IF(Table1[[#This Row],[Std Adj Read]]&lt;Table1[[#This Row],[High Tol]],"Pass","Fail"),IF(Table1[[#This Row],[DUT Adj Read]]&lt;Table1[[#This Row],[High Tol]],"Pass","Fail")))</f>
        <v>Fail</v>
      </c>
      <c r="AF2418" s="1" t="str">
        <f>IF(AND(Table1[[#This Row],[Spec Type2]]="N/A",Table1[[#This Row],[DUT Adj Read]]="N/A",Table1[[#This Row],[Std Adj Read]]="N/A"),"N/A",IF(Table1[[#This Row],[DUT Adj Read]]="N/A",IF(Table1[[#This Row],[Std Adj Read]]&gt;=Table1[[#This Row],[Low Tol]],"Pass","Fail"),IF(Table1[[#This Row],[DUT Adj Read]]&gt;=Table1[[#This Row],[Low Tol]],"Pass","Fail")))</f>
        <v>Pass</v>
      </c>
      <c r="AG2418" s="1" t="str">
        <f>IF(AND(Table1[[#This Row],[Spec Type2]]="N/A",Table1[[#This Row],[DUT Adj Read]]="N/A",Table1[[#This Row],[Std Adj Read]]="N/A"),"N/A",IF(Table1[[#This Row],[DUT Adj Read]]="N/A",IF(Table1[[#This Row],[Std Adj Read]]&lt;=Table1[[#This Row],[High Tol]],"Pass","Fail"),IF(Table1[[#This Row],[DUT Adj Read]]&lt;=Table1[[#This Row],[High Tol]],"Pass","Fail")))</f>
        <v>Fail</v>
      </c>
      <c r="AH24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8" s="1" t="b">
        <v>0</v>
      </c>
      <c r="AN2418" s="1" t="b">
        <v>0</v>
      </c>
      <c r="AO2418" s="1" t="b">
        <v>0</v>
      </c>
    </row>
    <row r="2419" spans="1:41" x14ac:dyDescent="0.25">
      <c r="A2419" s="10"/>
      <c r="B2419" s="10"/>
      <c r="C2419" s="10"/>
      <c r="D2419" s="10"/>
      <c r="E2419" s="10"/>
      <c r="F2419" s="10"/>
      <c r="G2419" s="10"/>
      <c r="H2419" s="10"/>
      <c r="I2419" s="1" t="str">
        <f t="shared" si="111"/>
        <v/>
      </c>
      <c r="J2419" s="1" t="s">
        <v>35</v>
      </c>
      <c r="K2419" s="1" t="str">
        <f t="shared" si="112"/>
        <v/>
      </c>
      <c r="L2419" s="1" t="str">
        <f t="shared" si="113"/>
        <v/>
      </c>
      <c r="M2419" s="1">
        <f>IF(OR(Table1[[#This Row],[Std Nom]]="",Table1[[#This Row],[Std Read]]=""),0,Table1[[#This Row],[Std Nom]]-Table1[[#This Row],[Std Read]])</f>
        <v>0</v>
      </c>
      <c r="N2419" s="1">
        <f>IF(Calculations!$F$5="ACCREDITED 17025 WITH UNCERTAINTIES",$N$10,0)</f>
        <v>0</v>
      </c>
      <c r="Q2419" s="1">
        <f>Table1[[#This Row],[High Tol]]-Table1[[#This Row],[Low Tol]]</f>
        <v>0</v>
      </c>
      <c r="R2419" s="1">
        <f>2*Table1[[#This Row],[Std Error]]</f>
        <v>0</v>
      </c>
      <c r="S2419" s="1" t="str">
        <f>IF(Table1[[#This Row],[High Tol]]="","N/A",IFERROR(ABS(Table1[[#This Row],[Tol Span]]/Table1[[#This Row],[Error Span]]),"N/A"))</f>
        <v>N/A</v>
      </c>
      <c r="T2419" s="1" t="str">
        <f>IF(OR(Table1[[#This Row],[Low Tol]]="",Table1[[#This Row],[High Tol]]=""),"Needs Analysis",IF(Table1[[#This Row],[Ratio]]&gt;=4,"Not Significant",IF(Table1[[#This Row],[Ratio]]&gt;=2,"Semi-Significant","Significant")))</f>
        <v>Needs Analysis</v>
      </c>
      <c r="W2419" s="1">
        <f>IF(Table1[[#This Row],[Cal Type]]&lt;&gt;"ACCREDITED 17025 WITH UNCERTAINTIES",0,"")</f>
        <v>0</v>
      </c>
      <c r="X2419" s="1" t="str">
        <f>IF(Table1[[#This Row],[DUT Read]]="","N/A",Table1[[#This Row],[Std Error]]+Table1[[#This Row],[DUT Read]]+Table1[[#This Row],[DUT Ucty]])</f>
        <v>N/A</v>
      </c>
      <c r="Y2419" s="1" t="str">
        <f>IF(Table1[[#This Row],[Std Read]]="","N/A",Table1[[#This Row],[Std Read]]+Table1[[#This Row],[Std Ucty]])</f>
        <v>N/A</v>
      </c>
      <c r="Z24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19" s="1" t="str">
        <f>IF(Table1[[#This Row],[Spec Type]]="","N/A",Table1[[#This Row],[Spec Type]])</f>
        <v>±</v>
      </c>
      <c r="AC2419" s="1" t="str">
        <f>IF(Table1[[#This Row],[Spec Type2]]="N/A","N/A",IF(AND(Table1[[#This Row],[DUT Adj Read]]&gt;=Table1[[#This Row],[Low Tol]],Table1[[#This Row],[DUT Adj Read]]&lt;=Table1[[#This Row],[High Tol]]),"Pass","Fail"))</f>
        <v>Fail</v>
      </c>
      <c r="AD2419" s="1" t="str">
        <f>IF(AND(Table1[[#This Row],[Spec Type2]]="N/A",Table1[[#This Row],[DUT Adj Read]]="N/A",Table1[[#This Row],[Std Adj Read]]="N/A"),"N/A",IF(Table1[[#This Row],[DUT Adj Read]]="N/A",IF(Table1[[#This Row],[Std Adj Read]]&gt;Table1[[#This Row],[Low Tol]],"Pass","Fail"),IF(Table1[[#This Row],[DUT Adj Read]]&gt;Table1[[#This Row],[Low Tol]],"Pass","Fail")))</f>
        <v>Pass</v>
      </c>
      <c r="AE2419" s="1" t="str">
        <f>IF(AND(Table1[[#This Row],[Spec Type2]]="N/A",Table1[[#This Row],[DUT Adj Read]]="N/A",Table1[[#This Row],[Std Adj Read]]="N/A"),"N/A",IF(Table1[[#This Row],[DUT Adj Read]]="N/A",IF(Table1[[#This Row],[Std Adj Read]]&lt;Table1[[#This Row],[High Tol]],"Pass","Fail"),IF(Table1[[#This Row],[DUT Adj Read]]&lt;Table1[[#This Row],[High Tol]],"Pass","Fail")))</f>
        <v>Fail</v>
      </c>
      <c r="AF2419" s="1" t="str">
        <f>IF(AND(Table1[[#This Row],[Spec Type2]]="N/A",Table1[[#This Row],[DUT Adj Read]]="N/A",Table1[[#This Row],[Std Adj Read]]="N/A"),"N/A",IF(Table1[[#This Row],[DUT Adj Read]]="N/A",IF(Table1[[#This Row],[Std Adj Read]]&gt;=Table1[[#This Row],[Low Tol]],"Pass","Fail"),IF(Table1[[#This Row],[DUT Adj Read]]&gt;=Table1[[#This Row],[Low Tol]],"Pass","Fail")))</f>
        <v>Pass</v>
      </c>
      <c r="AG2419" s="1" t="str">
        <f>IF(AND(Table1[[#This Row],[Spec Type2]]="N/A",Table1[[#This Row],[DUT Adj Read]]="N/A",Table1[[#This Row],[Std Adj Read]]="N/A"),"N/A",IF(Table1[[#This Row],[DUT Adj Read]]="N/A",IF(Table1[[#This Row],[Std Adj Read]]&lt;=Table1[[#This Row],[High Tol]],"Pass","Fail"),IF(Table1[[#This Row],[DUT Adj Read]]&lt;=Table1[[#This Row],[High Tol]],"Pass","Fail")))</f>
        <v>Fail</v>
      </c>
      <c r="AH24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19" s="1" t="b">
        <v>0</v>
      </c>
      <c r="AN2419" s="1" t="b">
        <v>0</v>
      </c>
      <c r="AO2419" s="1" t="b">
        <v>0</v>
      </c>
    </row>
    <row r="2420" spans="1:41" x14ac:dyDescent="0.25">
      <c r="A2420" s="10"/>
      <c r="B2420" s="10"/>
      <c r="C2420" s="10"/>
      <c r="D2420" s="10"/>
      <c r="E2420" s="10"/>
      <c r="F2420" s="10"/>
      <c r="G2420" s="10"/>
      <c r="H2420" s="10"/>
      <c r="I2420" s="1" t="str">
        <f t="shared" si="111"/>
        <v/>
      </c>
      <c r="J2420" s="1" t="s">
        <v>35</v>
      </c>
      <c r="K2420" s="1" t="str">
        <f t="shared" si="112"/>
        <v/>
      </c>
      <c r="L2420" s="1" t="str">
        <f t="shared" si="113"/>
        <v/>
      </c>
      <c r="M2420" s="1">
        <f>IF(OR(Table1[[#This Row],[Std Nom]]="",Table1[[#This Row],[Std Read]]=""),0,Table1[[#This Row],[Std Nom]]-Table1[[#This Row],[Std Read]])</f>
        <v>0</v>
      </c>
      <c r="N2420" s="1">
        <f>IF(Calculations!$F$5="ACCREDITED 17025 WITH UNCERTAINTIES",$N$10,0)</f>
        <v>0</v>
      </c>
      <c r="Q2420" s="1">
        <f>Table1[[#This Row],[High Tol]]-Table1[[#This Row],[Low Tol]]</f>
        <v>0</v>
      </c>
      <c r="R2420" s="1">
        <f>2*Table1[[#This Row],[Std Error]]</f>
        <v>0</v>
      </c>
      <c r="S2420" s="1" t="str">
        <f>IF(Table1[[#This Row],[High Tol]]="","N/A",IFERROR(ABS(Table1[[#This Row],[Tol Span]]/Table1[[#This Row],[Error Span]]),"N/A"))</f>
        <v>N/A</v>
      </c>
      <c r="T2420" s="1" t="str">
        <f>IF(OR(Table1[[#This Row],[Low Tol]]="",Table1[[#This Row],[High Tol]]=""),"Needs Analysis",IF(Table1[[#This Row],[Ratio]]&gt;=4,"Not Significant",IF(Table1[[#This Row],[Ratio]]&gt;=2,"Semi-Significant","Significant")))</f>
        <v>Needs Analysis</v>
      </c>
      <c r="W2420" s="1">
        <f>IF(Table1[[#This Row],[Cal Type]]&lt;&gt;"ACCREDITED 17025 WITH UNCERTAINTIES",0,"")</f>
        <v>0</v>
      </c>
      <c r="X2420" s="1" t="str">
        <f>IF(Table1[[#This Row],[DUT Read]]="","N/A",Table1[[#This Row],[Std Error]]+Table1[[#This Row],[DUT Read]]+Table1[[#This Row],[DUT Ucty]])</f>
        <v>N/A</v>
      </c>
      <c r="Y2420" s="1" t="str">
        <f>IF(Table1[[#This Row],[Std Read]]="","N/A",Table1[[#This Row],[Std Read]]+Table1[[#This Row],[Std Ucty]])</f>
        <v>N/A</v>
      </c>
      <c r="Z24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0" s="1" t="str">
        <f>IF(Table1[[#This Row],[Spec Type]]="","N/A",Table1[[#This Row],[Spec Type]])</f>
        <v>±</v>
      </c>
      <c r="AC2420" s="1" t="str">
        <f>IF(Table1[[#This Row],[Spec Type2]]="N/A","N/A",IF(AND(Table1[[#This Row],[DUT Adj Read]]&gt;=Table1[[#This Row],[Low Tol]],Table1[[#This Row],[DUT Adj Read]]&lt;=Table1[[#This Row],[High Tol]]),"Pass","Fail"))</f>
        <v>Fail</v>
      </c>
      <c r="AD2420" s="1" t="str">
        <f>IF(AND(Table1[[#This Row],[Spec Type2]]="N/A",Table1[[#This Row],[DUT Adj Read]]="N/A",Table1[[#This Row],[Std Adj Read]]="N/A"),"N/A",IF(Table1[[#This Row],[DUT Adj Read]]="N/A",IF(Table1[[#This Row],[Std Adj Read]]&gt;Table1[[#This Row],[Low Tol]],"Pass","Fail"),IF(Table1[[#This Row],[DUT Adj Read]]&gt;Table1[[#This Row],[Low Tol]],"Pass","Fail")))</f>
        <v>Pass</v>
      </c>
      <c r="AE2420" s="1" t="str">
        <f>IF(AND(Table1[[#This Row],[Spec Type2]]="N/A",Table1[[#This Row],[DUT Adj Read]]="N/A",Table1[[#This Row],[Std Adj Read]]="N/A"),"N/A",IF(Table1[[#This Row],[DUT Adj Read]]="N/A",IF(Table1[[#This Row],[Std Adj Read]]&lt;Table1[[#This Row],[High Tol]],"Pass","Fail"),IF(Table1[[#This Row],[DUT Adj Read]]&lt;Table1[[#This Row],[High Tol]],"Pass","Fail")))</f>
        <v>Fail</v>
      </c>
      <c r="AF2420" s="1" t="str">
        <f>IF(AND(Table1[[#This Row],[Spec Type2]]="N/A",Table1[[#This Row],[DUT Adj Read]]="N/A",Table1[[#This Row],[Std Adj Read]]="N/A"),"N/A",IF(Table1[[#This Row],[DUT Adj Read]]="N/A",IF(Table1[[#This Row],[Std Adj Read]]&gt;=Table1[[#This Row],[Low Tol]],"Pass","Fail"),IF(Table1[[#This Row],[DUT Adj Read]]&gt;=Table1[[#This Row],[Low Tol]],"Pass","Fail")))</f>
        <v>Pass</v>
      </c>
      <c r="AG2420" s="1" t="str">
        <f>IF(AND(Table1[[#This Row],[Spec Type2]]="N/A",Table1[[#This Row],[DUT Adj Read]]="N/A",Table1[[#This Row],[Std Adj Read]]="N/A"),"N/A",IF(Table1[[#This Row],[DUT Adj Read]]="N/A",IF(Table1[[#This Row],[Std Adj Read]]&lt;=Table1[[#This Row],[High Tol]],"Pass","Fail"),IF(Table1[[#This Row],[DUT Adj Read]]&lt;=Table1[[#This Row],[High Tol]],"Pass","Fail")))</f>
        <v>Fail</v>
      </c>
      <c r="AH24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0" s="1" t="b">
        <v>0</v>
      </c>
      <c r="AN2420" s="1" t="b">
        <v>0</v>
      </c>
      <c r="AO2420" s="1" t="b">
        <v>0</v>
      </c>
    </row>
    <row r="2421" spans="1:41" x14ac:dyDescent="0.25">
      <c r="A2421" s="10"/>
      <c r="B2421" s="10"/>
      <c r="C2421" s="10"/>
      <c r="D2421" s="10"/>
      <c r="E2421" s="10"/>
      <c r="F2421" s="10"/>
      <c r="G2421" s="10"/>
      <c r="H2421" s="10"/>
      <c r="I2421" s="1" t="str">
        <f t="shared" si="111"/>
        <v/>
      </c>
      <c r="J2421" s="1" t="s">
        <v>35</v>
      </c>
      <c r="K2421" s="1" t="str">
        <f t="shared" si="112"/>
        <v/>
      </c>
      <c r="L2421" s="1" t="str">
        <f t="shared" si="113"/>
        <v/>
      </c>
      <c r="M2421" s="1">
        <f>IF(OR(Table1[[#This Row],[Std Nom]]="",Table1[[#This Row],[Std Read]]=""),0,Table1[[#This Row],[Std Nom]]-Table1[[#This Row],[Std Read]])</f>
        <v>0</v>
      </c>
      <c r="N2421" s="1">
        <f>IF(Calculations!$F$5="ACCREDITED 17025 WITH UNCERTAINTIES",$N$10,0)</f>
        <v>0</v>
      </c>
      <c r="Q2421" s="1">
        <f>Table1[[#This Row],[High Tol]]-Table1[[#This Row],[Low Tol]]</f>
        <v>0</v>
      </c>
      <c r="R2421" s="1">
        <f>2*Table1[[#This Row],[Std Error]]</f>
        <v>0</v>
      </c>
      <c r="S2421" s="1" t="str">
        <f>IF(Table1[[#This Row],[High Tol]]="","N/A",IFERROR(ABS(Table1[[#This Row],[Tol Span]]/Table1[[#This Row],[Error Span]]),"N/A"))</f>
        <v>N/A</v>
      </c>
      <c r="T2421" s="1" t="str">
        <f>IF(OR(Table1[[#This Row],[Low Tol]]="",Table1[[#This Row],[High Tol]]=""),"Needs Analysis",IF(Table1[[#This Row],[Ratio]]&gt;=4,"Not Significant",IF(Table1[[#This Row],[Ratio]]&gt;=2,"Semi-Significant","Significant")))</f>
        <v>Needs Analysis</v>
      </c>
      <c r="W2421" s="1">
        <f>IF(Table1[[#This Row],[Cal Type]]&lt;&gt;"ACCREDITED 17025 WITH UNCERTAINTIES",0,"")</f>
        <v>0</v>
      </c>
      <c r="X2421" s="1" t="str">
        <f>IF(Table1[[#This Row],[DUT Read]]="","N/A",Table1[[#This Row],[Std Error]]+Table1[[#This Row],[DUT Read]]+Table1[[#This Row],[DUT Ucty]])</f>
        <v>N/A</v>
      </c>
      <c r="Y2421" s="1" t="str">
        <f>IF(Table1[[#This Row],[Std Read]]="","N/A",Table1[[#This Row],[Std Read]]+Table1[[#This Row],[Std Ucty]])</f>
        <v>N/A</v>
      </c>
      <c r="Z24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1" s="1" t="str">
        <f>IF(Table1[[#This Row],[Spec Type]]="","N/A",Table1[[#This Row],[Spec Type]])</f>
        <v>±</v>
      </c>
      <c r="AC2421" s="1" t="str">
        <f>IF(Table1[[#This Row],[Spec Type2]]="N/A","N/A",IF(AND(Table1[[#This Row],[DUT Adj Read]]&gt;=Table1[[#This Row],[Low Tol]],Table1[[#This Row],[DUT Adj Read]]&lt;=Table1[[#This Row],[High Tol]]),"Pass","Fail"))</f>
        <v>Fail</v>
      </c>
      <c r="AD2421" s="1" t="str">
        <f>IF(AND(Table1[[#This Row],[Spec Type2]]="N/A",Table1[[#This Row],[DUT Adj Read]]="N/A",Table1[[#This Row],[Std Adj Read]]="N/A"),"N/A",IF(Table1[[#This Row],[DUT Adj Read]]="N/A",IF(Table1[[#This Row],[Std Adj Read]]&gt;Table1[[#This Row],[Low Tol]],"Pass","Fail"),IF(Table1[[#This Row],[DUT Adj Read]]&gt;Table1[[#This Row],[Low Tol]],"Pass","Fail")))</f>
        <v>Pass</v>
      </c>
      <c r="AE2421" s="1" t="str">
        <f>IF(AND(Table1[[#This Row],[Spec Type2]]="N/A",Table1[[#This Row],[DUT Adj Read]]="N/A",Table1[[#This Row],[Std Adj Read]]="N/A"),"N/A",IF(Table1[[#This Row],[DUT Adj Read]]="N/A",IF(Table1[[#This Row],[Std Adj Read]]&lt;Table1[[#This Row],[High Tol]],"Pass","Fail"),IF(Table1[[#This Row],[DUT Adj Read]]&lt;Table1[[#This Row],[High Tol]],"Pass","Fail")))</f>
        <v>Fail</v>
      </c>
      <c r="AF2421" s="1" t="str">
        <f>IF(AND(Table1[[#This Row],[Spec Type2]]="N/A",Table1[[#This Row],[DUT Adj Read]]="N/A",Table1[[#This Row],[Std Adj Read]]="N/A"),"N/A",IF(Table1[[#This Row],[DUT Adj Read]]="N/A",IF(Table1[[#This Row],[Std Adj Read]]&gt;=Table1[[#This Row],[Low Tol]],"Pass","Fail"),IF(Table1[[#This Row],[DUT Adj Read]]&gt;=Table1[[#This Row],[Low Tol]],"Pass","Fail")))</f>
        <v>Pass</v>
      </c>
      <c r="AG2421" s="1" t="str">
        <f>IF(AND(Table1[[#This Row],[Spec Type2]]="N/A",Table1[[#This Row],[DUT Adj Read]]="N/A",Table1[[#This Row],[Std Adj Read]]="N/A"),"N/A",IF(Table1[[#This Row],[DUT Adj Read]]="N/A",IF(Table1[[#This Row],[Std Adj Read]]&lt;=Table1[[#This Row],[High Tol]],"Pass","Fail"),IF(Table1[[#This Row],[DUT Adj Read]]&lt;=Table1[[#This Row],[High Tol]],"Pass","Fail")))</f>
        <v>Fail</v>
      </c>
      <c r="AH24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1" s="1" t="b">
        <v>0</v>
      </c>
      <c r="AN2421" s="1" t="b">
        <v>0</v>
      </c>
      <c r="AO2421" s="1" t="b">
        <v>0</v>
      </c>
    </row>
    <row r="2422" spans="1:41" x14ac:dyDescent="0.25">
      <c r="A2422" s="10"/>
      <c r="B2422" s="10"/>
      <c r="C2422" s="10"/>
      <c r="D2422" s="10"/>
      <c r="E2422" s="10"/>
      <c r="F2422" s="10"/>
      <c r="G2422" s="10"/>
      <c r="H2422" s="10"/>
      <c r="I2422" s="1" t="str">
        <f t="shared" si="111"/>
        <v/>
      </c>
      <c r="J2422" s="1" t="s">
        <v>35</v>
      </c>
      <c r="K2422" s="1" t="str">
        <f t="shared" si="112"/>
        <v/>
      </c>
      <c r="L2422" s="1" t="str">
        <f t="shared" si="113"/>
        <v/>
      </c>
      <c r="M2422" s="1">
        <f>IF(OR(Table1[[#This Row],[Std Nom]]="",Table1[[#This Row],[Std Read]]=""),0,Table1[[#This Row],[Std Nom]]-Table1[[#This Row],[Std Read]])</f>
        <v>0</v>
      </c>
      <c r="N2422" s="1">
        <f>IF(Calculations!$F$5="ACCREDITED 17025 WITH UNCERTAINTIES",$N$10,0)</f>
        <v>0</v>
      </c>
      <c r="Q2422" s="1">
        <f>Table1[[#This Row],[High Tol]]-Table1[[#This Row],[Low Tol]]</f>
        <v>0</v>
      </c>
      <c r="R2422" s="1">
        <f>2*Table1[[#This Row],[Std Error]]</f>
        <v>0</v>
      </c>
      <c r="S2422" s="1" t="str">
        <f>IF(Table1[[#This Row],[High Tol]]="","N/A",IFERROR(ABS(Table1[[#This Row],[Tol Span]]/Table1[[#This Row],[Error Span]]),"N/A"))</f>
        <v>N/A</v>
      </c>
      <c r="T2422" s="1" t="str">
        <f>IF(OR(Table1[[#This Row],[Low Tol]]="",Table1[[#This Row],[High Tol]]=""),"Needs Analysis",IF(Table1[[#This Row],[Ratio]]&gt;=4,"Not Significant",IF(Table1[[#This Row],[Ratio]]&gt;=2,"Semi-Significant","Significant")))</f>
        <v>Needs Analysis</v>
      </c>
      <c r="W2422" s="1">
        <f>IF(Table1[[#This Row],[Cal Type]]&lt;&gt;"ACCREDITED 17025 WITH UNCERTAINTIES",0,"")</f>
        <v>0</v>
      </c>
      <c r="X2422" s="1" t="str">
        <f>IF(Table1[[#This Row],[DUT Read]]="","N/A",Table1[[#This Row],[Std Error]]+Table1[[#This Row],[DUT Read]]+Table1[[#This Row],[DUT Ucty]])</f>
        <v>N/A</v>
      </c>
      <c r="Y2422" s="1" t="str">
        <f>IF(Table1[[#This Row],[Std Read]]="","N/A",Table1[[#This Row],[Std Read]]+Table1[[#This Row],[Std Ucty]])</f>
        <v>N/A</v>
      </c>
      <c r="Z24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2" s="1" t="str">
        <f>IF(Table1[[#This Row],[Spec Type]]="","N/A",Table1[[#This Row],[Spec Type]])</f>
        <v>±</v>
      </c>
      <c r="AC2422" s="1" t="str">
        <f>IF(Table1[[#This Row],[Spec Type2]]="N/A","N/A",IF(AND(Table1[[#This Row],[DUT Adj Read]]&gt;=Table1[[#This Row],[Low Tol]],Table1[[#This Row],[DUT Adj Read]]&lt;=Table1[[#This Row],[High Tol]]),"Pass","Fail"))</f>
        <v>Fail</v>
      </c>
      <c r="AD2422" s="1" t="str">
        <f>IF(AND(Table1[[#This Row],[Spec Type2]]="N/A",Table1[[#This Row],[DUT Adj Read]]="N/A",Table1[[#This Row],[Std Adj Read]]="N/A"),"N/A",IF(Table1[[#This Row],[DUT Adj Read]]="N/A",IF(Table1[[#This Row],[Std Adj Read]]&gt;Table1[[#This Row],[Low Tol]],"Pass","Fail"),IF(Table1[[#This Row],[DUT Adj Read]]&gt;Table1[[#This Row],[Low Tol]],"Pass","Fail")))</f>
        <v>Pass</v>
      </c>
      <c r="AE2422" s="1" t="str">
        <f>IF(AND(Table1[[#This Row],[Spec Type2]]="N/A",Table1[[#This Row],[DUT Adj Read]]="N/A",Table1[[#This Row],[Std Adj Read]]="N/A"),"N/A",IF(Table1[[#This Row],[DUT Adj Read]]="N/A",IF(Table1[[#This Row],[Std Adj Read]]&lt;Table1[[#This Row],[High Tol]],"Pass","Fail"),IF(Table1[[#This Row],[DUT Adj Read]]&lt;Table1[[#This Row],[High Tol]],"Pass","Fail")))</f>
        <v>Fail</v>
      </c>
      <c r="AF2422" s="1" t="str">
        <f>IF(AND(Table1[[#This Row],[Spec Type2]]="N/A",Table1[[#This Row],[DUT Adj Read]]="N/A",Table1[[#This Row],[Std Adj Read]]="N/A"),"N/A",IF(Table1[[#This Row],[DUT Adj Read]]="N/A",IF(Table1[[#This Row],[Std Adj Read]]&gt;=Table1[[#This Row],[Low Tol]],"Pass","Fail"),IF(Table1[[#This Row],[DUT Adj Read]]&gt;=Table1[[#This Row],[Low Tol]],"Pass","Fail")))</f>
        <v>Pass</v>
      </c>
      <c r="AG2422" s="1" t="str">
        <f>IF(AND(Table1[[#This Row],[Spec Type2]]="N/A",Table1[[#This Row],[DUT Adj Read]]="N/A",Table1[[#This Row],[Std Adj Read]]="N/A"),"N/A",IF(Table1[[#This Row],[DUT Adj Read]]="N/A",IF(Table1[[#This Row],[Std Adj Read]]&lt;=Table1[[#This Row],[High Tol]],"Pass","Fail"),IF(Table1[[#This Row],[DUT Adj Read]]&lt;=Table1[[#This Row],[High Tol]],"Pass","Fail")))</f>
        <v>Fail</v>
      </c>
      <c r="AH24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2" s="1" t="b">
        <v>0</v>
      </c>
      <c r="AN2422" s="1" t="b">
        <v>0</v>
      </c>
      <c r="AO2422" s="1" t="b">
        <v>0</v>
      </c>
    </row>
    <row r="2423" spans="1:41" x14ac:dyDescent="0.25">
      <c r="A2423" s="10"/>
      <c r="B2423" s="10"/>
      <c r="C2423" s="10"/>
      <c r="D2423" s="10"/>
      <c r="E2423" s="10"/>
      <c r="F2423" s="10"/>
      <c r="G2423" s="10"/>
      <c r="H2423" s="10"/>
      <c r="I2423" s="1" t="str">
        <f t="shared" si="111"/>
        <v/>
      </c>
      <c r="J2423" s="1" t="s">
        <v>35</v>
      </c>
      <c r="K2423" s="1" t="str">
        <f t="shared" si="112"/>
        <v/>
      </c>
      <c r="L2423" s="1" t="str">
        <f t="shared" si="113"/>
        <v/>
      </c>
      <c r="M2423" s="1">
        <f>IF(OR(Table1[[#This Row],[Std Nom]]="",Table1[[#This Row],[Std Read]]=""),0,Table1[[#This Row],[Std Nom]]-Table1[[#This Row],[Std Read]])</f>
        <v>0</v>
      </c>
      <c r="N2423" s="1">
        <f>IF(Calculations!$F$5="ACCREDITED 17025 WITH UNCERTAINTIES",$N$10,0)</f>
        <v>0</v>
      </c>
      <c r="Q2423" s="1">
        <f>Table1[[#This Row],[High Tol]]-Table1[[#This Row],[Low Tol]]</f>
        <v>0</v>
      </c>
      <c r="R2423" s="1">
        <f>2*Table1[[#This Row],[Std Error]]</f>
        <v>0</v>
      </c>
      <c r="S2423" s="1" t="str">
        <f>IF(Table1[[#This Row],[High Tol]]="","N/A",IFERROR(ABS(Table1[[#This Row],[Tol Span]]/Table1[[#This Row],[Error Span]]),"N/A"))</f>
        <v>N/A</v>
      </c>
      <c r="T2423" s="1" t="str">
        <f>IF(OR(Table1[[#This Row],[Low Tol]]="",Table1[[#This Row],[High Tol]]=""),"Needs Analysis",IF(Table1[[#This Row],[Ratio]]&gt;=4,"Not Significant",IF(Table1[[#This Row],[Ratio]]&gt;=2,"Semi-Significant","Significant")))</f>
        <v>Needs Analysis</v>
      </c>
      <c r="W2423" s="1">
        <f>IF(Table1[[#This Row],[Cal Type]]&lt;&gt;"ACCREDITED 17025 WITH UNCERTAINTIES",0,"")</f>
        <v>0</v>
      </c>
      <c r="X2423" s="1" t="str">
        <f>IF(Table1[[#This Row],[DUT Read]]="","N/A",Table1[[#This Row],[Std Error]]+Table1[[#This Row],[DUT Read]]+Table1[[#This Row],[DUT Ucty]])</f>
        <v>N/A</v>
      </c>
      <c r="Y2423" s="1" t="str">
        <f>IF(Table1[[#This Row],[Std Read]]="","N/A",Table1[[#This Row],[Std Read]]+Table1[[#This Row],[Std Ucty]])</f>
        <v>N/A</v>
      </c>
      <c r="Z24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3" s="1" t="str">
        <f>IF(Table1[[#This Row],[Spec Type]]="","N/A",Table1[[#This Row],[Spec Type]])</f>
        <v>±</v>
      </c>
      <c r="AC2423" s="1" t="str">
        <f>IF(Table1[[#This Row],[Spec Type2]]="N/A","N/A",IF(AND(Table1[[#This Row],[DUT Adj Read]]&gt;=Table1[[#This Row],[Low Tol]],Table1[[#This Row],[DUT Adj Read]]&lt;=Table1[[#This Row],[High Tol]]),"Pass","Fail"))</f>
        <v>Fail</v>
      </c>
      <c r="AD2423" s="1" t="str">
        <f>IF(AND(Table1[[#This Row],[Spec Type2]]="N/A",Table1[[#This Row],[DUT Adj Read]]="N/A",Table1[[#This Row],[Std Adj Read]]="N/A"),"N/A",IF(Table1[[#This Row],[DUT Adj Read]]="N/A",IF(Table1[[#This Row],[Std Adj Read]]&gt;Table1[[#This Row],[Low Tol]],"Pass","Fail"),IF(Table1[[#This Row],[DUT Adj Read]]&gt;Table1[[#This Row],[Low Tol]],"Pass","Fail")))</f>
        <v>Pass</v>
      </c>
      <c r="AE2423" s="1" t="str">
        <f>IF(AND(Table1[[#This Row],[Spec Type2]]="N/A",Table1[[#This Row],[DUT Adj Read]]="N/A",Table1[[#This Row],[Std Adj Read]]="N/A"),"N/A",IF(Table1[[#This Row],[DUT Adj Read]]="N/A",IF(Table1[[#This Row],[Std Adj Read]]&lt;Table1[[#This Row],[High Tol]],"Pass","Fail"),IF(Table1[[#This Row],[DUT Adj Read]]&lt;Table1[[#This Row],[High Tol]],"Pass","Fail")))</f>
        <v>Fail</v>
      </c>
      <c r="AF2423" s="1" t="str">
        <f>IF(AND(Table1[[#This Row],[Spec Type2]]="N/A",Table1[[#This Row],[DUT Adj Read]]="N/A",Table1[[#This Row],[Std Adj Read]]="N/A"),"N/A",IF(Table1[[#This Row],[DUT Adj Read]]="N/A",IF(Table1[[#This Row],[Std Adj Read]]&gt;=Table1[[#This Row],[Low Tol]],"Pass","Fail"),IF(Table1[[#This Row],[DUT Adj Read]]&gt;=Table1[[#This Row],[Low Tol]],"Pass","Fail")))</f>
        <v>Pass</v>
      </c>
      <c r="AG2423" s="1" t="str">
        <f>IF(AND(Table1[[#This Row],[Spec Type2]]="N/A",Table1[[#This Row],[DUT Adj Read]]="N/A",Table1[[#This Row],[Std Adj Read]]="N/A"),"N/A",IF(Table1[[#This Row],[DUT Adj Read]]="N/A",IF(Table1[[#This Row],[Std Adj Read]]&lt;=Table1[[#This Row],[High Tol]],"Pass","Fail"),IF(Table1[[#This Row],[DUT Adj Read]]&lt;=Table1[[#This Row],[High Tol]],"Pass","Fail")))</f>
        <v>Fail</v>
      </c>
      <c r="AH24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3" s="1" t="b">
        <v>0</v>
      </c>
      <c r="AN2423" s="1" t="b">
        <v>0</v>
      </c>
      <c r="AO2423" s="1" t="b">
        <v>0</v>
      </c>
    </row>
    <row r="2424" spans="1:41" x14ac:dyDescent="0.25">
      <c r="A2424" s="10"/>
      <c r="B2424" s="10"/>
      <c r="C2424" s="10"/>
      <c r="D2424" s="10"/>
      <c r="E2424" s="10"/>
      <c r="F2424" s="10"/>
      <c r="G2424" s="10"/>
      <c r="H2424" s="10"/>
      <c r="I2424" s="1" t="str">
        <f t="shared" si="111"/>
        <v/>
      </c>
      <c r="J2424" s="1" t="s">
        <v>35</v>
      </c>
      <c r="K2424" s="1" t="str">
        <f t="shared" si="112"/>
        <v/>
      </c>
      <c r="L2424" s="1" t="str">
        <f t="shared" si="113"/>
        <v/>
      </c>
      <c r="M2424" s="1">
        <f>IF(OR(Table1[[#This Row],[Std Nom]]="",Table1[[#This Row],[Std Read]]=""),0,Table1[[#This Row],[Std Nom]]-Table1[[#This Row],[Std Read]])</f>
        <v>0</v>
      </c>
      <c r="N2424" s="1">
        <f>IF(Calculations!$F$5="ACCREDITED 17025 WITH UNCERTAINTIES",$N$10,0)</f>
        <v>0</v>
      </c>
      <c r="Q2424" s="1">
        <f>Table1[[#This Row],[High Tol]]-Table1[[#This Row],[Low Tol]]</f>
        <v>0</v>
      </c>
      <c r="R2424" s="1">
        <f>2*Table1[[#This Row],[Std Error]]</f>
        <v>0</v>
      </c>
      <c r="S2424" s="1" t="str">
        <f>IF(Table1[[#This Row],[High Tol]]="","N/A",IFERROR(ABS(Table1[[#This Row],[Tol Span]]/Table1[[#This Row],[Error Span]]),"N/A"))</f>
        <v>N/A</v>
      </c>
      <c r="T2424" s="1" t="str">
        <f>IF(OR(Table1[[#This Row],[Low Tol]]="",Table1[[#This Row],[High Tol]]=""),"Needs Analysis",IF(Table1[[#This Row],[Ratio]]&gt;=4,"Not Significant",IF(Table1[[#This Row],[Ratio]]&gt;=2,"Semi-Significant","Significant")))</f>
        <v>Needs Analysis</v>
      </c>
      <c r="W2424" s="1">
        <f>IF(Table1[[#This Row],[Cal Type]]&lt;&gt;"ACCREDITED 17025 WITH UNCERTAINTIES",0,"")</f>
        <v>0</v>
      </c>
      <c r="X2424" s="1" t="str">
        <f>IF(Table1[[#This Row],[DUT Read]]="","N/A",Table1[[#This Row],[Std Error]]+Table1[[#This Row],[DUT Read]]+Table1[[#This Row],[DUT Ucty]])</f>
        <v>N/A</v>
      </c>
      <c r="Y2424" s="1" t="str">
        <f>IF(Table1[[#This Row],[Std Read]]="","N/A",Table1[[#This Row],[Std Read]]+Table1[[#This Row],[Std Ucty]])</f>
        <v>N/A</v>
      </c>
      <c r="Z24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4" s="1" t="str">
        <f>IF(Table1[[#This Row],[Spec Type]]="","N/A",Table1[[#This Row],[Spec Type]])</f>
        <v>±</v>
      </c>
      <c r="AC2424" s="1" t="str">
        <f>IF(Table1[[#This Row],[Spec Type2]]="N/A","N/A",IF(AND(Table1[[#This Row],[DUT Adj Read]]&gt;=Table1[[#This Row],[Low Tol]],Table1[[#This Row],[DUT Adj Read]]&lt;=Table1[[#This Row],[High Tol]]),"Pass","Fail"))</f>
        <v>Fail</v>
      </c>
      <c r="AD2424" s="1" t="str">
        <f>IF(AND(Table1[[#This Row],[Spec Type2]]="N/A",Table1[[#This Row],[DUT Adj Read]]="N/A",Table1[[#This Row],[Std Adj Read]]="N/A"),"N/A",IF(Table1[[#This Row],[DUT Adj Read]]="N/A",IF(Table1[[#This Row],[Std Adj Read]]&gt;Table1[[#This Row],[Low Tol]],"Pass","Fail"),IF(Table1[[#This Row],[DUT Adj Read]]&gt;Table1[[#This Row],[Low Tol]],"Pass","Fail")))</f>
        <v>Pass</v>
      </c>
      <c r="AE2424" s="1" t="str">
        <f>IF(AND(Table1[[#This Row],[Spec Type2]]="N/A",Table1[[#This Row],[DUT Adj Read]]="N/A",Table1[[#This Row],[Std Adj Read]]="N/A"),"N/A",IF(Table1[[#This Row],[DUT Adj Read]]="N/A",IF(Table1[[#This Row],[Std Adj Read]]&lt;Table1[[#This Row],[High Tol]],"Pass","Fail"),IF(Table1[[#This Row],[DUT Adj Read]]&lt;Table1[[#This Row],[High Tol]],"Pass","Fail")))</f>
        <v>Fail</v>
      </c>
      <c r="AF2424" s="1" t="str">
        <f>IF(AND(Table1[[#This Row],[Spec Type2]]="N/A",Table1[[#This Row],[DUT Adj Read]]="N/A",Table1[[#This Row],[Std Adj Read]]="N/A"),"N/A",IF(Table1[[#This Row],[DUT Adj Read]]="N/A",IF(Table1[[#This Row],[Std Adj Read]]&gt;=Table1[[#This Row],[Low Tol]],"Pass","Fail"),IF(Table1[[#This Row],[DUT Adj Read]]&gt;=Table1[[#This Row],[Low Tol]],"Pass","Fail")))</f>
        <v>Pass</v>
      </c>
      <c r="AG2424" s="1" t="str">
        <f>IF(AND(Table1[[#This Row],[Spec Type2]]="N/A",Table1[[#This Row],[DUT Adj Read]]="N/A",Table1[[#This Row],[Std Adj Read]]="N/A"),"N/A",IF(Table1[[#This Row],[DUT Adj Read]]="N/A",IF(Table1[[#This Row],[Std Adj Read]]&lt;=Table1[[#This Row],[High Tol]],"Pass","Fail"),IF(Table1[[#This Row],[DUT Adj Read]]&lt;=Table1[[#This Row],[High Tol]],"Pass","Fail")))</f>
        <v>Fail</v>
      </c>
      <c r="AH24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4" s="1" t="b">
        <v>0</v>
      </c>
      <c r="AN2424" s="1" t="b">
        <v>0</v>
      </c>
      <c r="AO2424" s="1" t="b">
        <v>0</v>
      </c>
    </row>
    <row r="2425" spans="1:41" x14ac:dyDescent="0.25">
      <c r="A2425" s="10"/>
      <c r="B2425" s="10"/>
      <c r="C2425" s="10"/>
      <c r="D2425" s="10"/>
      <c r="E2425" s="10"/>
      <c r="F2425" s="10"/>
      <c r="G2425" s="10"/>
      <c r="H2425" s="10"/>
      <c r="I2425" s="1" t="str">
        <f t="shared" si="111"/>
        <v/>
      </c>
      <c r="J2425" s="1" t="s">
        <v>35</v>
      </c>
      <c r="K2425" s="1" t="str">
        <f t="shared" si="112"/>
        <v/>
      </c>
      <c r="L2425" s="1" t="str">
        <f t="shared" si="113"/>
        <v/>
      </c>
      <c r="M2425" s="1">
        <f>IF(OR(Table1[[#This Row],[Std Nom]]="",Table1[[#This Row],[Std Read]]=""),0,Table1[[#This Row],[Std Nom]]-Table1[[#This Row],[Std Read]])</f>
        <v>0</v>
      </c>
      <c r="N2425" s="1">
        <f>IF(Calculations!$F$5="ACCREDITED 17025 WITH UNCERTAINTIES",$N$10,0)</f>
        <v>0</v>
      </c>
      <c r="Q2425" s="1">
        <f>Table1[[#This Row],[High Tol]]-Table1[[#This Row],[Low Tol]]</f>
        <v>0</v>
      </c>
      <c r="R2425" s="1">
        <f>2*Table1[[#This Row],[Std Error]]</f>
        <v>0</v>
      </c>
      <c r="S2425" s="1" t="str">
        <f>IF(Table1[[#This Row],[High Tol]]="","N/A",IFERROR(ABS(Table1[[#This Row],[Tol Span]]/Table1[[#This Row],[Error Span]]),"N/A"))</f>
        <v>N/A</v>
      </c>
      <c r="T2425" s="1" t="str">
        <f>IF(OR(Table1[[#This Row],[Low Tol]]="",Table1[[#This Row],[High Tol]]=""),"Needs Analysis",IF(Table1[[#This Row],[Ratio]]&gt;=4,"Not Significant",IF(Table1[[#This Row],[Ratio]]&gt;=2,"Semi-Significant","Significant")))</f>
        <v>Needs Analysis</v>
      </c>
      <c r="W2425" s="1">
        <f>IF(Table1[[#This Row],[Cal Type]]&lt;&gt;"ACCREDITED 17025 WITH UNCERTAINTIES",0,"")</f>
        <v>0</v>
      </c>
      <c r="X2425" s="1" t="str">
        <f>IF(Table1[[#This Row],[DUT Read]]="","N/A",Table1[[#This Row],[Std Error]]+Table1[[#This Row],[DUT Read]]+Table1[[#This Row],[DUT Ucty]])</f>
        <v>N/A</v>
      </c>
      <c r="Y2425" s="1" t="str">
        <f>IF(Table1[[#This Row],[Std Read]]="","N/A",Table1[[#This Row],[Std Read]]+Table1[[#This Row],[Std Ucty]])</f>
        <v>N/A</v>
      </c>
      <c r="Z24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5" s="1" t="str">
        <f>IF(Table1[[#This Row],[Spec Type]]="","N/A",Table1[[#This Row],[Spec Type]])</f>
        <v>±</v>
      </c>
      <c r="AC2425" s="1" t="str">
        <f>IF(Table1[[#This Row],[Spec Type2]]="N/A","N/A",IF(AND(Table1[[#This Row],[DUT Adj Read]]&gt;=Table1[[#This Row],[Low Tol]],Table1[[#This Row],[DUT Adj Read]]&lt;=Table1[[#This Row],[High Tol]]),"Pass","Fail"))</f>
        <v>Fail</v>
      </c>
      <c r="AD2425" s="1" t="str">
        <f>IF(AND(Table1[[#This Row],[Spec Type2]]="N/A",Table1[[#This Row],[DUT Adj Read]]="N/A",Table1[[#This Row],[Std Adj Read]]="N/A"),"N/A",IF(Table1[[#This Row],[DUT Adj Read]]="N/A",IF(Table1[[#This Row],[Std Adj Read]]&gt;Table1[[#This Row],[Low Tol]],"Pass","Fail"),IF(Table1[[#This Row],[DUT Adj Read]]&gt;Table1[[#This Row],[Low Tol]],"Pass","Fail")))</f>
        <v>Pass</v>
      </c>
      <c r="AE2425" s="1" t="str">
        <f>IF(AND(Table1[[#This Row],[Spec Type2]]="N/A",Table1[[#This Row],[DUT Adj Read]]="N/A",Table1[[#This Row],[Std Adj Read]]="N/A"),"N/A",IF(Table1[[#This Row],[DUT Adj Read]]="N/A",IF(Table1[[#This Row],[Std Adj Read]]&lt;Table1[[#This Row],[High Tol]],"Pass","Fail"),IF(Table1[[#This Row],[DUT Adj Read]]&lt;Table1[[#This Row],[High Tol]],"Pass","Fail")))</f>
        <v>Fail</v>
      </c>
      <c r="AF2425" s="1" t="str">
        <f>IF(AND(Table1[[#This Row],[Spec Type2]]="N/A",Table1[[#This Row],[DUT Adj Read]]="N/A",Table1[[#This Row],[Std Adj Read]]="N/A"),"N/A",IF(Table1[[#This Row],[DUT Adj Read]]="N/A",IF(Table1[[#This Row],[Std Adj Read]]&gt;=Table1[[#This Row],[Low Tol]],"Pass","Fail"),IF(Table1[[#This Row],[DUT Adj Read]]&gt;=Table1[[#This Row],[Low Tol]],"Pass","Fail")))</f>
        <v>Pass</v>
      </c>
      <c r="AG2425" s="1" t="str">
        <f>IF(AND(Table1[[#This Row],[Spec Type2]]="N/A",Table1[[#This Row],[DUT Adj Read]]="N/A",Table1[[#This Row],[Std Adj Read]]="N/A"),"N/A",IF(Table1[[#This Row],[DUT Adj Read]]="N/A",IF(Table1[[#This Row],[Std Adj Read]]&lt;=Table1[[#This Row],[High Tol]],"Pass","Fail"),IF(Table1[[#This Row],[DUT Adj Read]]&lt;=Table1[[#This Row],[High Tol]],"Pass","Fail")))</f>
        <v>Fail</v>
      </c>
      <c r="AH24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5" s="1" t="b">
        <v>0</v>
      </c>
      <c r="AN2425" s="1" t="b">
        <v>0</v>
      </c>
      <c r="AO2425" s="1" t="b">
        <v>0</v>
      </c>
    </row>
    <row r="2426" spans="1:41" x14ac:dyDescent="0.25">
      <c r="A2426" s="10"/>
      <c r="B2426" s="10"/>
      <c r="C2426" s="10"/>
      <c r="D2426" s="10"/>
      <c r="E2426" s="10"/>
      <c r="F2426" s="10"/>
      <c r="G2426" s="10"/>
      <c r="H2426" s="10"/>
      <c r="I2426" s="1" t="str">
        <f t="shared" si="111"/>
        <v/>
      </c>
      <c r="J2426" s="1" t="s">
        <v>35</v>
      </c>
      <c r="K2426" s="1" t="str">
        <f t="shared" si="112"/>
        <v/>
      </c>
      <c r="L2426" s="1" t="str">
        <f t="shared" si="113"/>
        <v/>
      </c>
      <c r="M2426" s="1">
        <f>IF(OR(Table1[[#This Row],[Std Nom]]="",Table1[[#This Row],[Std Read]]=""),0,Table1[[#This Row],[Std Nom]]-Table1[[#This Row],[Std Read]])</f>
        <v>0</v>
      </c>
      <c r="N2426" s="1">
        <f>IF(Calculations!$F$5="ACCREDITED 17025 WITH UNCERTAINTIES",$N$10,0)</f>
        <v>0</v>
      </c>
      <c r="Q2426" s="1">
        <f>Table1[[#This Row],[High Tol]]-Table1[[#This Row],[Low Tol]]</f>
        <v>0</v>
      </c>
      <c r="R2426" s="1">
        <f>2*Table1[[#This Row],[Std Error]]</f>
        <v>0</v>
      </c>
      <c r="S2426" s="1" t="str">
        <f>IF(Table1[[#This Row],[High Tol]]="","N/A",IFERROR(ABS(Table1[[#This Row],[Tol Span]]/Table1[[#This Row],[Error Span]]),"N/A"))</f>
        <v>N/A</v>
      </c>
      <c r="T2426" s="1" t="str">
        <f>IF(OR(Table1[[#This Row],[Low Tol]]="",Table1[[#This Row],[High Tol]]=""),"Needs Analysis",IF(Table1[[#This Row],[Ratio]]&gt;=4,"Not Significant",IF(Table1[[#This Row],[Ratio]]&gt;=2,"Semi-Significant","Significant")))</f>
        <v>Needs Analysis</v>
      </c>
      <c r="W2426" s="1">
        <f>IF(Table1[[#This Row],[Cal Type]]&lt;&gt;"ACCREDITED 17025 WITH UNCERTAINTIES",0,"")</f>
        <v>0</v>
      </c>
      <c r="X2426" s="1" t="str">
        <f>IF(Table1[[#This Row],[DUT Read]]="","N/A",Table1[[#This Row],[Std Error]]+Table1[[#This Row],[DUT Read]]+Table1[[#This Row],[DUT Ucty]])</f>
        <v>N/A</v>
      </c>
      <c r="Y2426" s="1" t="str">
        <f>IF(Table1[[#This Row],[Std Read]]="","N/A",Table1[[#This Row],[Std Read]]+Table1[[#This Row],[Std Ucty]])</f>
        <v>N/A</v>
      </c>
      <c r="Z24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6" s="1" t="str">
        <f>IF(Table1[[#This Row],[Spec Type]]="","N/A",Table1[[#This Row],[Spec Type]])</f>
        <v>±</v>
      </c>
      <c r="AC2426" s="1" t="str">
        <f>IF(Table1[[#This Row],[Spec Type2]]="N/A","N/A",IF(AND(Table1[[#This Row],[DUT Adj Read]]&gt;=Table1[[#This Row],[Low Tol]],Table1[[#This Row],[DUT Adj Read]]&lt;=Table1[[#This Row],[High Tol]]),"Pass","Fail"))</f>
        <v>Fail</v>
      </c>
      <c r="AD2426" s="1" t="str">
        <f>IF(AND(Table1[[#This Row],[Spec Type2]]="N/A",Table1[[#This Row],[DUT Adj Read]]="N/A",Table1[[#This Row],[Std Adj Read]]="N/A"),"N/A",IF(Table1[[#This Row],[DUT Adj Read]]="N/A",IF(Table1[[#This Row],[Std Adj Read]]&gt;Table1[[#This Row],[Low Tol]],"Pass","Fail"),IF(Table1[[#This Row],[DUT Adj Read]]&gt;Table1[[#This Row],[Low Tol]],"Pass","Fail")))</f>
        <v>Pass</v>
      </c>
      <c r="AE2426" s="1" t="str">
        <f>IF(AND(Table1[[#This Row],[Spec Type2]]="N/A",Table1[[#This Row],[DUT Adj Read]]="N/A",Table1[[#This Row],[Std Adj Read]]="N/A"),"N/A",IF(Table1[[#This Row],[DUT Adj Read]]="N/A",IF(Table1[[#This Row],[Std Adj Read]]&lt;Table1[[#This Row],[High Tol]],"Pass","Fail"),IF(Table1[[#This Row],[DUT Adj Read]]&lt;Table1[[#This Row],[High Tol]],"Pass","Fail")))</f>
        <v>Fail</v>
      </c>
      <c r="AF2426" s="1" t="str">
        <f>IF(AND(Table1[[#This Row],[Spec Type2]]="N/A",Table1[[#This Row],[DUT Adj Read]]="N/A",Table1[[#This Row],[Std Adj Read]]="N/A"),"N/A",IF(Table1[[#This Row],[DUT Adj Read]]="N/A",IF(Table1[[#This Row],[Std Adj Read]]&gt;=Table1[[#This Row],[Low Tol]],"Pass","Fail"),IF(Table1[[#This Row],[DUT Adj Read]]&gt;=Table1[[#This Row],[Low Tol]],"Pass","Fail")))</f>
        <v>Pass</v>
      </c>
      <c r="AG2426" s="1" t="str">
        <f>IF(AND(Table1[[#This Row],[Spec Type2]]="N/A",Table1[[#This Row],[DUT Adj Read]]="N/A",Table1[[#This Row],[Std Adj Read]]="N/A"),"N/A",IF(Table1[[#This Row],[DUT Adj Read]]="N/A",IF(Table1[[#This Row],[Std Adj Read]]&lt;=Table1[[#This Row],[High Tol]],"Pass","Fail"),IF(Table1[[#This Row],[DUT Adj Read]]&lt;=Table1[[#This Row],[High Tol]],"Pass","Fail")))</f>
        <v>Fail</v>
      </c>
      <c r="AH24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6" s="1" t="b">
        <v>0</v>
      </c>
      <c r="AN2426" s="1" t="b">
        <v>0</v>
      </c>
      <c r="AO2426" s="1" t="b">
        <v>0</v>
      </c>
    </row>
    <row r="2427" spans="1:41" x14ac:dyDescent="0.25">
      <c r="A2427" s="10"/>
      <c r="B2427" s="10"/>
      <c r="C2427" s="10"/>
      <c r="D2427" s="10"/>
      <c r="E2427" s="10"/>
      <c r="F2427" s="10"/>
      <c r="G2427" s="10"/>
      <c r="H2427" s="10"/>
      <c r="I2427" s="1" t="str">
        <f t="shared" si="111"/>
        <v/>
      </c>
      <c r="J2427" s="1" t="s">
        <v>35</v>
      </c>
      <c r="K2427" s="1" t="str">
        <f t="shared" si="112"/>
        <v/>
      </c>
      <c r="L2427" s="1" t="str">
        <f t="shared" si="113"/>
        <v/>
      </c>
      <c r="M2427" s="1">
        <f>IF(OR(Table1[[#This Row],[Std Nom]]="",Table1[[#This Row],[Std Read]]=""),0,Table1[[#This Row],[Std Nom]]-Table1[[#This Row],[Std Read]])</f>
        <v>0</v>
      </c>
      <c r="N2427" s="1">
        <f>IF(Calculations!$F$5="ACCREDITED 17025 WITH UNCERTAINTIES",$N$10,0)</f>
        <v>0</v>
      </c>
      <c r="Q2427" s="1">
        <f>Table1[[#This Row],[High Tol]]-Table1[[#This Row],[Low Tol]]</f>
        <v>0</v>
      </c>
      <c r="R2427" s="1">
        <f>2*Table1[[#This Row],[Std Error]]</f>
        <v>0</v>
      </c>
      <c r="S2427" s="1" t="str">
        <f>IF(Table1[[#This Row],[High Tol]]="","N/A",IFERROR(ABS(Table1[[#This Row],[Tol Span]]/Table1[[#This Row],[Error Span]]),"N/A"))</f>
        <v>N/A</v>
      </c>
      <c r="T2427" s="1" t="str">
        <f>IF(OR(Table1[[#This Row],[Low Tol]]="",Table1[[#This Row],[High Tol]]=""),"Needs Analysis",IF(Table1[[#This Row],[Ratio]]&gt;=4,"Not Significant",IF(Table1[[#This Row],[Ratio]]&gt;=2,"Semi-Significant","Significant")))</f>
        <v>Needs Analysis</v>
      </c>
      <c r="W2427" s="1">
        <f>IF(Table1[[#This Row],[Cal Type]]&lt;&gt;"ACCREDITED 17025 WITH UNCERTAINTIES",0,"")</f>
        <v>0</v>
      </c>
      <c r="X2427" s="1" t="str">
        <f>IF(Table1[[#This Row],[DUT Read]]="","N/A",Table1[[#This Row],[Std Error]]+Table1[[#This Row],[DUT Read]]+Table1[[#This Row],[DUT Ucty]])</f>
        <v>N/A</v>
      </c>
      <c r="Y2427" s="1" t="str">
        <f>IF(Table1[[#This Row],[Std Read]]="","N/A",Table1[[#This Row],[Std Read]]+Table1[[#This Row],[Std Ucty]])</f>
        <v>N/A</v>
      </c>
      <c r="Z24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7" s="1" t="str">
        <f>IF(Table1[[#This Row],[Spec Type]]="","N/A",Table1[[#This Row],[Spec Type]])</f>
        <v>±</v>
      </c>
      <c r="AC2427" s="1" t="str">
        <f>IF(Table1[[#This Row],[Spec Type2]]="N/A","N/A",IF(AND(Table1[[#This Row],[DUT Adj Read]]&gt;=Table1[[#This Row],[Low Tol]],Table1[[#This Row],[DUT Adj Read]]&lt;=Table1[[#This Row],[High Tol]]),"Pass","Fail"))</f>
        <v>Fail</v>
      </c>
      <c r="AD2427" s="1" t="str">
        <f>IF(AND(Table1[[#This Row],[Spec Type2]]="N/A",Table1[[#This Row],[DUT Adj Read]]="N/A",Table1[[#This Row],[Std Adj Read]]="N/A"),"N/A",IF(Table1[[#This Row],[DUT Adj Read]]="N/A",IF(Table1[[#This Row],[Std Adj Read]]&gt;Table1[[#This Row],[Low Tol]],"Pass","Fail"),IF(Table1[[#This Row],[DUT Adj Read]]&gt;Table1[[#This Row],[Low Tol]],"Pass","Fail")))</f>
        <v>Pass</v>
      </c>
      <c r="AE2427" s="1" t="str">
        <f>IF(AND(Table1[[#This Row],[Spec Type2]]="N/A",Table1[[#This Row],[DUT Adj Read]]="N/A",Table1[[#This Row],[Std Adj Read]]="N/A"),"N/A",IF(Table1[[#This Row],[DUT Adj Read]]="N/A",IF(Table1[[#This Row],[Std Adj Read]]&lt;Table1[[#This Row],[High Tol]],"Pass","Fail"),IF(Table1[[#This Row],[DUT Adj Read]]&lt;Table1[[#This Row],[High Tol]],"Pass","Fail")))</f>
        <v>Fail</v>
      </c>
      <c r="AF2427" s="1" t="str">
        <f>IF(AND(Table1[[#This Row],[Spec Type2]]="N/A",Table1[[#This Row],[DUT Adj Read]]="N/A",Table1[[#This Row],[Std Adj Read]]="N/A"),"N/A",IF(Table1[[#This Row],[DUT Adj Read]]="N/A",IF(Table1[[#This Row],[Std Adj Read]]&gt;=Table1[[#This Row],[Low Tol]],"Pass","Fail"),IF(Table1[[#This Row],[DUT Adj Read]]&gt;=Table1[[#This Row],[Low Tol]],"Pass","Fail")))</f>
        <v>Pass</v>
      </c>
      <c r="AG2427" s="1" t="str">
        <f>IF(AND(Table1[[#This Row],[Spec Type2]]="N/A",Table1[[#This Row],[DUT Adj Read]]="N/A",Table1[[#This Row],[Std Adj Read]]="N/A"),"N/A",IF(Table1[[#This Row],[DUT Adj Read]]="N/A",IF(Table1[[#This Row],[Std Adj Read]]&lt;=Table1[[#This Row],[High Tol]],"Pass","Fail"),IF(Table1[[#This Row],[DUT Adj Read]]&lt;=Table1[[#This Row],[High Tol]],"Pass","Fail")))</f>
        <v>Fail</v>
      </c>
      <c r="AH24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7" s="1" t="b">
        <v>0</v>
      </c>
      <c r="AN2427" s="1" t="b">
        <v>0</v>
      </c>
      <c r="AO2427" s="1" t="b">
        <v>0</v>
      </c>
    </row>
    <row r="2428" spans="1:41" x14ac:dyDescent="0.25">
      <c r="A2428" s="10"/>
      <c r="B2428" s="10"/>
      <c r="C2428" s="10"/>
      <c r="D2428" s="10"/>
      <c r="E2428" s="10"/>
      <c r="F2428" s="10"/>
      <c r="G2428" s="10"/>
      <c r="H2428" s="10"/>
      <c r="I2428" s="1" t="str">
        <f t="shared" si="111"/>
        <v/>
      </c>
      <c r="J2428" s="1" t="s">
        <v>35</v>
      </c>
      <c r="K2428" s="1" t="str">
        <f t="shared" si="112"/>
        <v/>
      </c>
      <c r="L2428" s="1" t="str">
        <f t="shared" si="113"/>
        <v/>
      </c>
      <c r="M2428" s="1">
        <f>IF(OR(Table1[[#This Row],[Std Nom]]="",Table1[[#This Row],[Std Read]]=""),0,Table1[[#This Row],[Std Nom]]-Table1[[#This Row],[Std Read]])</f>
        <v>0</v>
      </c>
      <c r="N2428" s="1">
        <f>IF(Calculations!$F$5="ACCREDITED 17025 WITH UNCERTAINTIES",$N$10,0)</f>
        <v>0</v>
      </c>
      <c r="Q2428" s="1">
        <f>Table1[[#This Row],[High Tol]]-Table1[[#This Row],[Low Tol]]</f>
        <v>0</v>
      </c>
      <c r="R2428" s="1">
        <f>2*Table1[[#This Row],[Std Error]]</f>
        <v>0</v>
      </c>
      <c r="S2428" s="1" t="str">
        <f>IF(Table1[[#This Row],[High Tol]]="","N/A",IFERROR(ABS(Table1[[#This Row],[Tol Span]]/Table1[[#This Row],[Error Span]]),"N/A"))</f>
        <v>N/A</v>
      </c>
      <c r="T2428" s="1" t="str">
        <f>IF(OR(Table1[[#This Row],[Low Tol]]="",Table1[[#This Row],[High Tol]]=""),"Needs Analysis",IF(Table1[[#This Row],[Ratio]]&gt;=4,"Not Significant",IF(Table1[[#This Row],[Ratio]]&gt;=2,"Semi-Significant","Significant")))</f>
        <v>Needs Analysis</v>
      </c>
      <c r="W2428" s="1">
        <f>IF(Table1[[#This Row],[Cal Type]]&lt;&gt;"ACCREDITED 17025 WITH UNCERTAINTIES",0,"")</f>
        <v>0</v>
      </c>
      <c r="X2428" s="1" t="str">
        <f>IF(Table1[[#This Row],[DUT Read]]="","N/A",Table1[[#This Row],[Std Error]]+Table1[[#This Row],[DUT Read]]+Table1[[#This Row],[DUT Ucty]])</f>
        <v>N/A</v>
      </c>
      <c r="Y2428" s="1" t="str">
        <f>IF(Table1[[#This Row],[Std Read]]="","N/A",Table1[[#This Row],[Std Read]]+Table1[[#This Row],[Std Ucty]])</f>
        <v>N/A</v>
      </c>
      <c r="Z24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8" s="1" t="str">
        <f>IF(Table1[[#This Row],[Spec Type]]="","N/A",Table1[[#This Row],[Spec Type]])</f>
        <v>±</v>
      </c>
      <c r="AC2428" s="1" t="str">
        <f>IF(Table1[[#This Row],[Spec Type2]]="N/A","N/A",IF(AND(Table1[[#This Row],[DUT Adj Read]]&gt;=Table1[[#This Row],[Low Tol]],Table1[[#This Row],[DUT Adj Read]]&lt;=Table1[[#This Row],[High Tol]]),"Pass","Fail"))</f>
        <v>Fail</v>
      </c>
      <c r="AD2428" s="1" t="str">
        <f>IF(AND(Table1[[#This Row],[Spec Type2]]="N/A",Table1[[#This Row],[DUT Adj Read]]="N/A",Table1[[#This Row],[Std Adj Read]]="N/A"),"N/A",IF(Table1[[#This Row],[DUT Adj Read]]="N/A",IF(Table1[[#This Row],[Std Adj Read]]&gt;Table1[[#This Row],[Low Tol]],"Pass","Fail"),IF(Table1[[#This Row],[DUT Adj Read]]&gt;Table1[[#This Row],[Low Tol]],"Pass","Fail")))</f>
        <v>Pass</v>
      </c>
      <c r="AE2428" s="1" t="str">
        <f>IF(AND(Table1[[#This Row],[Spec Type2]]="N/A",Table1[[#This Row],[DUT Adj Read]]="N/A",Table1[[#This Row],[Std Adj Read]]="N/A"),"N/A",IF(Table1[[#This Row],[DUT Adj Read]]="N/A",IF(Table1[[#This Row],[Std Adj Read]]&lt;Table1[[#This Row],[High Tol]],"Pass","Fail"),IF(Table1[[#This Row],[DUT Adj Read]]&lt;Table1[[#This Row],[High Tol]],"Pass","Fail")))</f>
        <v>Fail</v>
      </c>
      <c r="AF2428" s="1" t="str">
        <f>IF(AND(Table1[[#This Row],[Spec Type2]]="N/A",Table1[[#This Row],[DUT Adj Read]]="N/A",Table1[[#This Row],[Std Adj Read]]="N/A"),"N/A",IF(Table1[[#This Row],[DUT Adj Read]]="N/A",IF(Table1[[#This Row],[Std Adj Read]]&gt;=Table1[[#This Row],[Low Tol]],"Pass","Fail"),IF(Table1[[#This Row],[DUT Adj Read]]&gt;=Table1[[#This Row],[Low Tol]],"Pass","Fail")))</f>
        <v>Pass</v>
      </c>
      <c r="AG2428" s="1" t="str">
        <f>IF(AND(Table1[[#This Row],[Spec Type2]]="N/A",Table1[[#This Row],[DUT Adj Read]]="N/A",Table1[[#This Row],[Std Adj Read]]="N/A"),"N/A",IF(Table1[[#This Row],[DUT Adj Read]]="N/A",IF(Table1[[#This Row],[Std Adj Read]]&lt;=Table1[[#This Row],[High Tol]],"Pass","Fail"),IF(Table1[[#This Row],[DUT Adj Read]]&lt;=Table1[[#This Row],[High Tol]],"Pass","Fail")))</f>
        <v>Fail</v>
      </c>
      <c r="AH24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8" s="1" t="b">
        <v>0</v>
      </c>
      <c r="AN2428" s="1" t="b">
        <v>0</v>
      </c>
      <c r="AO2428" s="1" t="b">
        <v>0</v>
      </c>
    </row>
    <row r="2429" spans="1:41" x14ac:dyDescent="0.25">
      <c r="A2429" s="10"/>
      <c r="B2429" s="10"/>
      <c r="C2429" s="10"/>
      <c r="D2429" s="10"/>
      <c r="E2429" s="10"/>
      <c r="F2429" s="10"/>
      <c r="G2429" s="10"/>
      <c r="H2429" s="10"/>
      <c r="I2429" s="1" t="str">
        <f t="shared" si="111"/>
        <v/>
      </c>
      <c r="J2429" s="1" t="s">
        <v>35</v>
      </c>
      <c r="K2429" s="1" t="str">
        <f t="shared" si="112"/>
        <v/>
      </c>
      <c r="L2429" s="1" t="str">
        <f t="shared" si="113"/>
        <v/>
      </c>
      <c r="M2429" s="1">
        <f>IF(OR(Table1[[#This Row],[Std Nom]]="",Table1[[#This Row],[Std Read]]=""),0,Table1[[#This Row],[Std Nom]]-Table1[[#This Row],[Std Read]])</f>
        <v>0</v>
      </c>
      <c r="N2429" s="1">
        <f>IF(Calculations!$F$5="ACCREDITED 17025 WITH UNCERTAINTIES",$N$10,0)</f>
        <v>0</v>
      </c>
      <c r="Q2429" s="1">
        <f>Table1[[#This Row],[High Tol]]-Table1[[#This Row],[Low Tol]]</f>
        <v>0</v>
      </c>
      <c r="R2429" s="1">
        <f>2*Table1[[#This Row],[Std Error]]</f>
        <v>0</v>
      </c>
      <c r="S2429" s="1" t="str">
        <f>IF(Table1[[#This Row],[High Tol]]="","N/A",IFERROR(ABS(Table1[[#This Row],[Tol Span]]/Table1[[#This Row],[Error Span]]),"N/A"))</f>
        <v>N/A</v>
      </c>
      <c r="T2429" s="1" t="str">
        <f>IF(OR(Table1[[#This Row],[Low Tol]]="",Table1[[#This Row],[High Tol]]=""),"Needs Analysis",IF(Table1[[#This Row],[Ratio]]&gt;=4,"Not Significant",IF(Table1[[#This Row],[Ratio]]&gt;=2,"Semi-Significant","Significant")))</f>
        <v>Needs Analysis</v>
      </c>
      <c r="W2429" s="1">
        <f>IF(Table1[[#This Row],[Cal Type]]&lt;&gt;"ACCREDITED 17025 WITH UNCERTAINTIES",0,"")</f>
        <v>0</v>
      </c>
      <c r="X2429" s="1" t="str">
        <f>IF(Table1[[#This Row],[DUT Read]]="","N/A",Table1[[#This Row],[Std Error]]+Table1[[#This Row],[DUT Read]]+Table1[[#This Row],[DUT Ucty]])</f>
        <v>N/A</v>
      </c>
      <c r="Y2429" s="1" t="str">
        <f>IF(Table1[[#This Row],[Std Read]]="","N/A",Table1[[#This Row],[Std Read]]+Table1[[#This Row],[Std Ucty]])</f>
        <v>N/A</v>
      </c>
      <c r="Z24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29" s="1" t="str">
        <f>IF(Table1[[#This Row],[Spec Type]]="","N/A",Table1[[#This Row],[Spec Type]])</f>
        <v>±</v>
      </c>
      <c r="AC2429" s="1" t="str">
        <f>IF(Table1[[#This Row],[Spec Type2]]="N/A","N/A",IF(AND(Table1[[#This Row],[DUT Adj Read]]&gt;=Table1[[#This Row],[Low Tol]],Table1[[#This Row],[DUT Adj Read]]&lt;=Table1[[#This Row],[High Tol]]),"Pass","Fail"))</f>
        <v>Fail</v>
      </c>
      <c r="AD2429" s="1" t="str">
        <f>IF(AND(Table1[[#This Row],[Spec Type2]]="N/A",Table1[[#This Row],[DUT Adj Read]]="N/A",Table1[[#This Row],[Std Adj Read]]="N/A"),"N/A",IF(Table1[[#This Row],[DUT Adj Read]]="N/A",IF(Table1[[#This Row],[Std Adj Read]]&gt;Table1[[#This Row],[Low Tol]],"Pass","Fail"),IF(Table1[[#This Row],[DUT Adj Read]]&gt;Table1[[#This Row],[Low Tol]],"Pass","Fail")))</f>
        <v>Pass</v>
      </c>
      <c r="AE2429" s="1" t="str">
        <f>IF(AND(Table1[[#This Row],[Spec Type2]]="N/A",Table1[[#This Row],[DUT Adj Read]]="N/A",Table1[[#This Row],[Std Adj Read]]="N/A"),"N/A",IF(Table1[[#This Row],[DUT Adj Read]]="N/A",IF(Table1[[#This Row],[Std Adj Read]]&lt;Table1[[#This Row],[High Tol]],"Pass","Fail"),IF(Table1[[#This Row],[DUT Adj Read]]&lt;Table1[[#This Row],[High Tol]],"Pass","Fail")))</f>
        <v>Fail</v>
      </c>
      <c r="AF2429" s="1" t="str">
        <f>IF(AND(Table1[[#This Row],[Spec Type2]]="N/A",Table1[[#This Row],[DUT Adj Read]]="N/A",Table1[[#This Row],[Std Adj Read]]="N/A"),"N/A",IF(Table1[[#This Row],[DUT Adj Read]]="N/A",IF(Table1[[#This Row],[Std Adj Read]]&gt;=Table1[[#This Row],[Low Tol]],"Pass","Fail"),IF(Table1[[#This Row],[DUT Adj Read]]&gt;=Table1[[#This Row],[Low Tol]],"Pass","Fail")))</f>
        <v>Pass</v>
      </c>
      <c r="AG2429" s="1" t="str">
        <f>IF(AND(Table1[[#This Row],[Spec Type2]]="N/A",Table1[[#This Row],[DUT Adj Read]]="N/A",Table1[[#This Row],[Std Adj Read]]="N/A"),"N/A",IF(Table1[[#This Row],[DUT Adj Read]]="N/A",IF(Table1[[#This Row],[Std Adj Read]]&lt;=Table1[[#This Row],[High Tol]],"Pass","Fail"),IF(Table1[[#This Row],[DUT Adj Read]]&lt;=Table1[[#This Row],[High Tol]],"Pass","Fail")))</f>
        <v>Fail</v>
      </c>
      <c r="AH24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29" s="1" t="b">
        <v>0</v>
      </c>
      <c r="AN2429" s="1" t="b">
        <v>0</v>
      </c>
      <c r="AO2429" s="1" t="b">
        <v>0</v>
      </c>
    </row>
    <row r="2430" spans="1:41" x14ac:dyDescent="0.25">
      <c r="A2430" s="10"/>
      <c r="B2430" s="10"/>
      <c r="C2430" s="10"/>
      <c r="D2430" s="10"/>
      <c r="E2430" s="10"/>
      <c r="F2430" s="10"/>
      <c r="G2430" s="10"/>
      <c r="H2430" s="10"/>
      <c r="I2430" s="1" t="str">
        <f t="shared" si="111"/>
        <v/>
      </c>
      <c r="J2430" s="1" t="s">
        <v>35</v>
      </c>
      <c r="K2430" s="1" t="str">
        <f t="shared" si="112"/>
        <v/>
      </c>
      <c r="L2430" s="1" t="str">
        <f t="shared" si="113"/>
        <v/>
      </c>
      <c r="M2430" s="1">
        <f>IF(OR(Table1[[#This Row],[Std Nom]]="",Table1[[#This Row],[Std Read]]=""),0,Table1[[#This Row],[Std Nom]]-Table1[[#This Row],[Std Read]])</f>
        <v>0</v>
      </c>
      <c r="N2430" s="1">
        <f>IF(Calculations!$F$5="ACCREDITED 17025 WITH UNCERTAINTIES",$N$10,0)</f>
        <v>0</v>
      </c>
      <c r="Q2430" s="1">
        <f>Table1[[#This Row],[High Tol]]-Table1[[#This Row],[Low Tol]]</f>
        <v>0</v>
      </c>
      <c r="R2430" s="1">
        <f>2*Table1[[#This Row],[Std Error]]</f>
        <v>0</v>
      </c>
      <c r="S2430" s="1" t="str">
        <f>IF(Table1[[#This Row],[High Tol]]="","N/A",IFERROR(ABS(Table1[[#This Row],[Tol Span]]/Table1[[#This Row],[Error Span]]),"N/A"))</f>
        <v>N/A</v>
      </c>
      <c r="T2430" s="1" t="str">
        <f>IF(OR(Table1[[#This Row],[Low Tol]]="",Table1[[#This Row],[High Tol]]=""),"Needs Analysis",IF(Table1[[#This Row],[Ratio]]&gt;=4,"Not Significant",IF(Table1[[#This Row],[Ratio]]&gt;=2,"Semi-Significant","Significant")))</f>
        <v>Needs Analysis</v>
      </c>
      <c r="W2430" s="1">
        <f>IF(Table1[[#This Row],[Cal Type]]&lt;&gt;"ACCREDITED 17025 WITH UNCERTAINTIES",0,"")</f>
        <v>0</v>
      </c>
      <c r="X2430" s="1" t="str">
        <f>IF(Table1[[#This Row],[DUT Read]]="","N/A",Table1[[#This Row],[Std Error]]+Table1[[#This Row],[DUT Read]]+Table1[[#This Row],[DUT Ucty]])</f>
        <v>N/A</v>
      </c>
      <c r="Y2430" s="1" t="str">
        <f>IF(Table1[[#This Row],[Std Read]]="","N/A",Table1[[#This Row],[Std Read]]+Table1[[#This Row],[Std Ucty]])</f>
        <v>N/A</v>
      </c>
      <c r="Z24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0" s="1" t="str">
        <f>IF(Table1[[#This Row],[Spec Type]]="","N/A",Table1[[#This Row],[Spec Type]])</f>
        <v>±</v>
      </c>
      <c r="AC2430" s="1" t="str">
        <f>IF(Table1[[#This Row],[Spec Type2]]="N/A","N/A",IF(AND(Table1[[#This Row],[DUT Adj Read]]&gt;=Table1[[#This Row],[Low Tol]],Table1[[#This Row],[DUT Adj Read]]&lt;=Table1[[#This Row],[High Tol]]),"Pass","Fail"))</f>
        <v>Fail</v>
      </c>
      <c r="AD2430" s="1" t="str">
        <f>IF(AND(Table1[[#This Row],[Spec Type2]]="N/A",Table1[[#This Row],[DUT Adj Read]]="N/A",Table1[[#This Row],[Std Adj Read]]="N/A"),"N/A",IF(Table1[[#This Row],[DUT Adj Read]]="N/A",IF(Table1[[#This Row],[Std Adj Read]]&gt;Table1[[#This Row],[Low Tol]],"Pass","Fail"),IF(Table1[[#This Row],[DUT Adj Read]]&gt;Table1[[#This Row],[Low Tol]],"Pass","Fail")))</f>
        <v>Pass</v>
      </c>
      <c r="AE2430" s="1" t="str">
        <f>IF(AND(Table1[[#This Row],[Spec Type2]]="N/A",Table1[[#This Row],[DUT Adj Read]]="N/A",Table1[[#This Row],[Std Adj Read]]="N/A"),"N/A",IF(Table1[[#This Row],[DUT Adj Read]]="N/A",IF(Table1[[#This Row],[Std Adj Read]]&lt;Table1[[#This Row],[High Tol]],"Pass","Fail"),IF(Table1[[#This Row],[DUT Adj Read]]&lt;Table1[[#This Row],[High Tol]],"Pass","Fail")))</f>
        <v>Fail</v>
      </c>
      <c r="AF2430" s="1" t="str">
        <f>IF(AND(Table1[[#This Row],[Spec Type2]]="N/A",Table1[[#This Row],[DUT Adj Read]]="N/A",Table1[[#This Row],[Std Adj Read]]="N/A"),"N/A",IF(Table1[[#This Row],[DUT Adj Read]]="N/A",IF(Table1[[#This Row],[Std Adj Read]]&gt;=Table1[[#This Row],[Low Tol]],"Pass","Fail"),IF(Table1[[#This Row],[DUT Adj Read]]&gt;=Table1[[#This Row],[Low Tol]],"Pass","Fail")))</f>
        <v>Pass</v>
      </c>
      <c r="AG2430" s="1" t="str">
        <f>IF(AND(Table1[[#This Row],[Spec Type2]]="N/A",Table1[[#This Row],[DUT Adj Read]]="N/A",Table1[[#This Row],[Std Adj Read]]="N/A"),"N/A",IF(Table1[[#This Row],[DUT Adj Read]]="N/A",IF(Table1[[#This Row],[Std Adj Read]]&lt;=Table1[[#This Row],[High Tol]],"Pass","Fail"),IF(Table1[[#This Row],[DUT Adj Read]]&lt;=Table1[[#This Row],[High Tol]],"Pass","Fail")))</f>
        <v>Fail</v>
      </c>
      <c r="AH24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0" s="1" t="b">
        <v>0</v>
      </c>
      <c r="AN2430" s="1" t="b">
        <v>0</v>
      </c>
      <c r="AO2430" s="1" t="b">
        <v>0</v>
      </c>
    </row>
    <row r="2431" spans="1:41" x14ac:dyDescent="0.25">
      <c r="A2431" s="10"/>
      <c r="B2431" s="10"/>
      <c r="C2431" s="10"/>
      <c r="D2431" s="10"/>
      <c r="E2431" s="10"/>
      <c r="F2431" s="10"/>
      <c r="G2431" s="10"/>
      <c r="H2431" s="10"/>
      <c r="I2431" s="1" t="str">
        <f t="shared" si="111"/>
        <v/>
      </c>
      <c r="J2431" s="1" t="s">
        <v>35</v>
      </c>
      <c r="K2431" s="1" t="str">
        <f t="shared" si="112"/>
        <v/>
      </c>
      <c r="L2431" s="1" t="str">
        <f t="shared" si="113"/>
        <v/>
      </c>
      <c r="M2431" s="1">
        <f>IF(OR(Table1[[#This Row],[Std Nom]]="",Table1[[#This Row],[Std Read]]=""),0,Table1[[#This Row],[Std Nom]]-Table1[[#This Row],[Std Read]])</f>
        <v>0</v>
      </c>
      <c r="N2431" s="1">
        <f>IF(Calculations!$F$5="ACCREDITED 17025 WITH UNCERTAINTIES",$N$10,0)</f>
        <v>0</v>
      </c>
      <c r="Q2431" s="1">
        <f>Table1[[#This Row],[High Tol]]-Table1[[#This Row],[Low Tol]]</f>
        <v>0</v>
      </c>
      <c r="R2431" s="1">
        <f>2*Table1[[#This Row],[Std Error]]</f>
        <v>0</v>
      </c>
      <c r="S2431" s="1" t="str">
        <f>IF(Table1[[#This Row],[High Tol]]="","N/A",IFERROR(ABS(Table1[[#This Row],[Tol Span]]/Table1[[#This Row],[Error Span]]),"N/A"))</f>
        <v>N/A</v>
      </c>
      <c r="T2431" s="1" t="str">
        <f>IF(OR(Table1[[#This Row],[Low Tol]]="",Table1[[#This Row],[High Tol]]=""),"Needs Analysis",IF(Table1[[#This Row],[Ratio]]&gt;=4,"Not Significant",IF(Table1[[#This Row],[Ratio]]&gt;=2,"Semi-Significant","Significant")))</f>
        <v>Needs Analysis</v>
      </c>
      <c r="W2431" s="1">
        <f>IF(Table1[[#This Row],[Cal Type]]&lt;&gt;"ACCREDITED 17025 WITH UNCERTAINTIES",0,"")</f>
        <v>0</v>
      </c>
      <c r="X2431" s="1" t="str">
        <f>IF(Table1[[#This Row],[DUT Read]]="","N/A",Table1[[#This Row],[Std Error]]+Table1[[#This Row],[DUT Read]]+Table1[[#This Row],[DUT Ucty]])</f>
        <v>N/A</v>
      </c>
      <c r="Y2431" s="1" t="str">
        <f>IF(Table1[[#This Row],[Std Read]]="","N/A",Table1[[#This Row],[Std Read]]+Table1[[#This Row],[Std Ucty]])</f>
        <v>N/A</v>
      </c>
      <c r="Z24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1" s="1" t="str">
        <f>IF(Table1[[#This Row],[Spec Type]]="","N/A",Table1[[#This Row],[Spec Type]])</f>
        <v>±</v>
      </c>
      <c r="AC2431" s="1" t="str">
        <f>IF(Table1[[#This Row],[Spec Type2]]="N/A","N/A",IF(AND(Table1[[#This Row],[DUT Adj Read]]&gt;=Table1[[#This Row],[Low Tol]],Table1[[#This Row],[DUT Adj Read]]&lt;=Table1[[#This Row],[High Tol]]),"Pass","Fail"))</f>
        <v>Fail</v>
      </c>
      <c r="AD2431" s="1" t="str">
        <f>IF(AND(Table1[[#This Row],[Spec Type2]]="N/A",Table1[[#This Row],[DUT Adj Read]]="N/A",Table1[[#This Row],[Std Adj Read]]="N/A"),"N/A",IF(Table1[[#This Row],[DUT Adj Read]]="N/A",IF(Table1[[#This Row],[Std Adj Read]]&gt;Table1[[#This Row],[Low Tol]],"Pass","Fail"),IF(Table1[[#This Row],[DUT Adj Read]]&gt;Table1[[#This Row],[Low Tol]],"Pass","Fail")))</f>
        <v>Pass</v>
      </c>
      <c r="AE2431" s="1" t="str">
        <f>IF(AND(Table1[[#This Row],[Spec Type2]]="N/A",Table1[[#This Row],[DUT Adj Read]]="N/A",Table1[[#This Row],[Std Adj Read]]="N/A"),"N/A",IF(Table1[[#This Row],[DUT Adj Read]]="N/A",IF(Table1[[#This Row],[Std Adj Read]]&lt;Table1[[#This Row],[High Tol]],"Pass","Fail"),IF(Table1[[#This Row],[DUT Adj Read]]&lt;Table1[[#This Row],[High Tol]],"Pass","Fail")))</f>
        <v>Fail</v>
      </c>
      <c r="AF2431" s="1" t="str">
        <f>IF(AND(Table1[[#This Row],[Spec Type2]]="N/A",Table1[[#This Row],[DUT Adj Read]]="N/A",Table1[[#This Row],[Std Adj Read]]="N/A"),"N/A",IF(Table1[[#This Row],[DUT Adj Read]]="N/A",IF(Table1[[#This Row],[Std Adj Read]]&gt;=Table1[[#This Row],[Low Tol]],"Pass","Fail"),IF(Table1[[#This Row],[DUT Adj Read]]&gt;=Table1[[#This Row],[Low Tol]],"Pass","Fail")))</f>
        <v>Pass</v>
      </c>
      <c r="AG2431" s="1" t="str">
        <f>IF(AND(Table1[[#This Row],[Spec Type2]]="N/A",Table1[[#This Row],[DUT Adj Read]]="N/A",Table1[[#This Row],[Std Adj Read]]="N/A"),"N/A",IF(Table1[[#This Row],[DUT Adj Read]]="N/A",IF(Table1[[#This Row],[Std Adj Read]]&lt;=Table1[[#This Row],[High Tol]],"Pass","Fail"),IF(Table1[[#This Row],[DUT Adj Read]]&lt;=Table1[[#This Row],[High Tol]],"Pass","Fail")))</f>
        <v>Fail</v>
      </c>
      <c r="AH24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1" s="1" t="b">
        <v>0</v>
      </c>
      <c r="AN2431" s="1" t="b">
        <v>0</v>
      </c>
      <c r="AO2431" s="1" t="b">
        <v>0</v>
      </c>
    </row>
    <row r="2432" spans="1:41" x14ac:dyDescent="0.25">
      <c r="A2432" s="10"/>
      <c r="B2432" s="10"/>
      <c r="C2432" s="10"/>
      <c r="D2432" s="10"/>
      <c r="E2432" s="10"/>
      <c r="F2432" s="10"/>
      <c r="G2432" s="10"/>
      <c r="H2432" s="10"/>
      <c r="I2432" s="1" t="str">
        <f t="shared" si="111"/>
        <v/>
      </c>
      <c r="J2432" s="1" t="s">
        <v>35</v>
      </c>
      <c r="K2432" s="1" t="str">
        <f t="shared" si="112"/>
        <v/>
      </c>
      <c r="L2432" s="1" t="str">
        <f t="shared" si="113"/>
        <v/>
      </c>
      <c r="M2432" s="1">
        <f>IF(OR(Table1[[#This Row],[Std Nom]]="",Table1[[#This Row],[Std Read]]=""),0,Table1[[#This Row],[Std Nom]]-Table1[[#This Row],[Std Read]])</f>
        <v>0</v>
      </c>
      <c r="N2432" s="1">
        <f>IF(Calculations!$F$5="ACCREDITED 17025 WITH UNCERTAINTIES",$N$10,0)</f>
        <v>0</v>
      </c>
      <c r="Q2432" s="1">
        <f>Table1[[#This Row],[High Tol]]-Table1[[#This Row],[Low Tol]]</f>
        <v>0</v>
      </c>
      <c r="R2432" s="1">
        <f>2*Table1[[#This Row],[Std Error]]</f>
        <v>0</v>
      </c>
      <c r="S2432" s="1" t="str">
        <f>IF(Table1[[#This Row],[High Tol]]="","N/A",IFERROR(ABS(Table1[[#This Row],[Tol Span]]/Table1[[#This Row],[Error Span]]),"N/A"))</f>
        <v>N/A</v>
      </c>
      <c r="T2432" s="1" t="str">
        <f>IF(OR(Table1[[#This Row],[Low Tol]]="",Table1[[#This Row],[High Tol]]=""),"Needs Analysis",IF(Table1[[#This Row],[Ratio]]&gt;=4,"Not Significant",IF(Table1[[#This Row],[Ratio]]&gt;=2,"Semi-Significant","Significant")))</f>
        <v>Needs Analysis</v>
      </c>
      <c r="W2432" s="1">
        <f>IF(Table1[[#This Row],[Cal Type]]&lt;&gt;"ACCREDITED 17025 WITH UNCERTAINTIES",0,"")</f>
        <v>0</v>
      </c>
      <c r="X2432" s="1" t="str">
        <f>IF(Table1[[#This Row],[DUT Read]]="","N/A",Table1[[#This Row],[Std Error]]+Table1[[#This Row],[DUT Read]]+Table1[[#This Row],[DUT Ucty]])</f>
        <v>N/A</v>
      </c>
      <c r="Y2432" s="1" t="str">
        <f>IF(Table1[[#This Row],[Std Read]]="","N/A",Table1[[#This Row],[Std Read]]+Table1[[#This Row],[Std Ucty]])</f>
        <v>N/A</v>
      </c>
      <c r="Z24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2" s="1" t="str">
        <f>IF(Table1[[#This Row],[Spec Type]]="","N/A",Table1[[#This Row],[Spec Type]])</f>
        <v>±</v>
      </c>
      <c r="AC2432" s="1" t="str">
        <f>IF(Table1[[#This Row],[Spec Type2]]="N/A","N/A",IF(AND(Table1[[#This Row],[DUT Adj Read]]&gt;=Table1[[#This Row],[Low Tol]],Table1[[#This Row],[DUT Adj Read]]&lt;=Table1[[#This Row],[High Tol]]),"Pass","Fail"))</f>
        <v>Fail</v>
      </c>
      <c r="AD2432" s="1" t="str">
        <f>IF(AND(Table1[[#This Row],[Spec Type2]]="N/A",Table1[[#This Row],[DUT Adj Read]]="N/A",Table1[[#This Row],[Std Adj Read]]="N/A"),"N/A",IF(Table1[[#This Row],[DUT Adj Read]]="N/A",IF(Table1[[#This Row],[Std Adj Read]]&gt;Table1[[#This Row],[Low Tol]],"Pass","Fail"),IF(Table1[[#This Row],[DUT Adj Read]]&gt;Table1[[#This Row],[Low Tol]],"Pass","Fail")))</f>
        <v>Pass</v>
      </c>
      <c r="AE2432" s="1" t="str">
        <f>IF(AND(Table1[[#This Row],[Spec Type2]]="N/A",Table1[[#This Row],[DUT Adj Read]]="N/A",Table1[[#This Row],[Std Adj Read]]="N/A"),"N/A",IF(Table1[[#This Row],[DUT Adj Read]]="N/A",IF(Table1[[#This Row],[Std Adj Read]]&lt;Table1[[#This Row],[High Tol]],"Pass","Fail"),IF(Table1[[#This Row],[DUT Adj Read]]&lt;Table1[[#This Row],[High Tol]],"Pass","Fail")))</f>
        <v>Fail</v>
      </c>
      <c r="AF2432" s="1" t="str">
        <f>IF(AND(Table1[[#This Row],[Spec Type2]]="N/A",Table1[[#This Row],[DUT Adj Read]]="N/A",Table1[[#This Row],[Std Adj Read]]="N/A"),"N/A",IF(Table1[[#This Row],[DUT Adj Read]]="N/A",IF(Table1[[#This Row],[Std Adj Read]]&gt;=Table1[[#This Row],[Low Tol]],"Pass","Fail"),IF(Table1[[#This Row],[DUT Adj Read]]&gt;=Table1[[#This Row],[Low Tol]],"Pass","Fail")))</f>
        <v>Pass</v>
      </c>
      <c r="AG2432" s="1" t="str">
        <f>IF(AND(Table1[[#This Row],[Spec Type2]]="N/A",Table1[[#This Row],[DUT Adj Read]]="N/A",Table1[[#This Row],[Std Adj Read]]="N/A"),"N/A",IF(Table1[[#This Row],[DUT Adj Read]]="N/A",IF(Table1[[#This Row],[Std Adj Read]]&lt;=Table1[[#This Row],[High Tol]],"Pass","Fail"),IF(Table1[[#This Row],[DUT Adj Read]]&lt;=Table1[[#This Row],[High Tol]],"Pass","Fail")))</f>
        <v>Fail</v>
      </c>
      <c r="AH24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2" s="1" t="b">
        <v>0</v>
      </c>
      <c r="AN2432" s="1" t="b">
        <v>0</v>
      </c>
      <c r="AO2432" s="1" t="b">
        <v>0</v>
      </c>
    </row>
    <row r="2433" spans="1:41" x14ac:dyDescent="0.25">
      <c r="A2433" s="10"/>
      <c r="B2433" s="10"/>
      <c r="C2433" s="10"/>
      <c r="D2433" s="10"/>
      <c r="E2433" s="10"/>
      <c r="F2433" s="10"/>
      <c r="G2433" s="10"/>
      <c r="H2433" s="10"/>
      <c r="I2433" s="1" t="str">
        <f t="shared" si="111"/>
        <v/>
      </c>
      <c r="J2433" s="1" t="s">
        <v>35</v>
      </c>
      <c r="K2433" s="1" t="str">
        <f t="shared" si="112"/>
        <v/>
      </c>
      <c r="L2433" s="1" t="str">
        <f t="shared" si="113"/>
        <v/>
      </c>
      <c r="M2433" s="1">
        <f>IF(OR(Table1[[#This Row],[Std Nom]]="",Table1[[#This Row],[Std Read]]=""),0,Table1[[#This Row],[Std Nom]]-Table1[[#This Row],[Std Read]])</f>
        <v>0</v>
      </c>
      <c r="N2433" s="1">
        <f>IF(Calculations!$F$5="ACCREDITED 17025 WITH UNCERTAINTIES",$N$10,0)</f>
        <v>0</v>
      </c>
      <c r="Q2433" s="1">
        <f>Table1[[#This Row],[High Tol]]-Table1[[#This Row],[Low Tol]]</f>
        <v>0</v>
      </c>
      <c r="R2433" s="1">
        <f>2*Table1[[#This Row],[Std Error]]</f>
        <v>0</v>
      </c>
      <c r="S2433" s="1" t="str">
        <f>IF(Table1[[#This Row],[High Tol]]="","N/A",IFERROR(ABS(Table1[[#This Row],[Tol Span]]/Table1[[#This Row],[Error Span]]),"N/A"))</f>
        <v>N/A</v>
      </c>
      <c r="T2433" s="1" t="str">
        <f>IF(OR(Table1[[#This Row],[Low Tol]]="",Table1[[#This Row],[High Tol]]=""),"Needs Analysis",IF(Table1[[#This Row],[Ratio]]&gt;=4,"Not Significant",IF(Table1[[#This Row],[Ratio]]&gt;=2,"Semi-Significant","Significant")))</f>
        <v>Needs Analysis</v>
      </c>
      <c r="W2433" s="1">
        <f>IF(Table1[[#This Row],[Cal Type]]&lt;&gt;"ACCREDITED 17025 WITH UNCERTAINTIES",0,"")</f>
        <v>0</v>
      </c>
      <c r="X2433" s="1" t="str">
        <f>IF(Table1[[#This Row],[DUT Read]]="","N/A",Table1[[#This Row],[Std Error]]+Table1[[#This Row],[DUT Read]]+Table1[[#This Row],[DUT Ucty]])</f>
        <v>N/A</v>
      </c>
      <c r="Y2433" s="1" t="str">
        <f>IF(Table1[[#This Row],[Std Read]]="","N/A",Table1[[#This Row],[Std Read]]+Table1[[#This Row],[Std Ucty]])</f>
        <v>N/A</v>
      </c>
      <c r="Z24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3" s="1" t="str">
        <f>IF(Table1[[#This Row],[Spec Type]]="","N/A",Table1[[#This Row],[Spec Type]])</f>
        <v>±</v>
      </c>
      <c r="AC2433" s="1" t="str">
        <f>IF(Table1[[#This Row],[Spec Type2]]="N/A","N/A",IF(AND(Table1[[#This Row],[DUT Adj Read]]&gt;=Table1[[#This Row],[Low Tol]],Table1[[#This Row],[DUT Adj Read]]&lt;=Table1[[#This Row],[High Tol]]),"Pass","Fail"))</f>
        <v>Fail</v>
      </c>
      <c r="AD2433" s="1" t="str">
        <f>IF(AND(Table1[[#This Row],[Spec Type2]]="N/A",Table1[[#This Row],[DUT Adj Read]]="N/A",Table1[[#This Row],[Std Adj Read]]="N/A"),"N/A",IF(Table1[[#This Row],[DUT Adj Read]]="N/A",IF(Table1[[#This Row],[Std Adj Read]]&gt;Table1[[#This Row],[Low Tol]],"Pass","Fail"),IF(Table1[[#This Row],[DUT Adj Read]]&gt;Table1[[#This Row],[Low Tol]],"Pass","Fail")))</f>
        <v>Pass</v>
      </c>
      <c r="AE2433" s="1" t="str">
        <f>IF(AND(Table1[[#This Row],[Spec Type2]]="N/A",Table1[[#This Row],[DUT Adj Read]]="N/A",Table1[[#This Row],[Std Adj Read]]="N/A"),"N/A",IF(Table1[[#This Row],[DUT Adj Read]]="N/A",IF(Table1[[#This Row],[Std Adj Read]]&lt;Table1[[#This Row],[High Tol]],"Pass","Fail"),IF(Table1[[#This Row],[DUT Adj Read]]&lt;Table1[[#This Row],[High Tol]],"Pass","Fail")))</f>
        <v>Fail</v>
      </c>
      <c r="AF2433" s="1" t="str">
        <f>IF(AND(Table1[[#This Row],[Spec Type2]]="N/A",Table1[[#This Row],[DUT Adj Read]]="N/A",Table1[[#This Row],[Std Adj Read]]="N/A"),"N/A",IF(Table1[[#This Row],[DUT Adj Read]]="N/A",IF(Table1[[#This Row],[Std Adj Read]]&gt;=Table1[[#This Row],[Low Tol]],"Pass","Fail"),IF(Table1[[#This Row],[DUT Adj Read]]&gt;=Table1[[#This Row],[Low Tol]],"Pass","Fail")))</f>
        <v>Pass</v>
      </c>
      <c r="AG2433" s="1" t="str">
        <f>IF(AND(Table1[[#This Row],[Spec Type2]]="N/A",Table1[[#This Row],[DUT Adj Read]]="N/A",Table1[[#This Row],[Std Adj Read]]="N/A"),"N/A",IF(Table1[[#This Row],[DUT Adj Read]]="N/A",IF(Table1[[#This Row],[Std Adj Read]]&lt;=Table1[[#This Row],[High Tol]],"Pass","Fail"),IF(Table1[[#This Row],[DUT Adj Read]]&lt;=Table1[[#This Row],[High Tol]],"Pass","Fail")))</f>
        <v>Fail</v>
      </c>
      <c r="AH24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3" s="1" t="b">
        <v>0</v>
      </c>
      <c r="AN2433" s="1" t="b">
        <v>0</v>
      </c>
      <c r="AO2433" s="1" t="b">
        <v>0</v>
      </c>
    </row>
    <row r="2434" spans="1:41" x14ac:dyDescent="0.25">
      <c r="A2434" s="10"/>
      <c r="B2434" s="10"/>
      <c r="C2434" s="10"/>
      <c r="D2434" s="10"/>
      <c r="E2434" s="10"/>
      <c r="F2434" s="10"/>
      <c r="G2434" s="10"/>
      <c r="H2434" s="10"/>
      <c r="I2434" s="1" t="str">
        <f t="shared" si="111"/>
        <v/>
      </c>
      <c r="J2434" s="1" t="s">
        <v>35</v>
      </c>
      <c r="K2434" s="1" t="str">
        <f t="shared" si="112"/>
        <v/>
      </c>
      <c r="L2434" s="1" t="str">
        <f t="shared" si="113"/>
        <v/>
      </c>
      <c r="M2434" s="1">
        <f>IF(OR(Table1[[#This Row],[Std Nom]]="",Table1[[#This Row],[Std Read]]=""),0,Table1[[#This Row],[Std Nom]]-Table1[[#This Row],[Std Read]])</f>
        <v>0</v>
      </c>
      <c r="N2434" s="1">
        <f>IF(Calculations!$F$5="ACCREDITED 17025 WITH UNCERTAINTIES",$N$10,0)</f>
        <v>0</v>
      </c>
      <c r="Q2434" s="1">
        <f>Table1[[#This Row],[High Tol]]-Table1[[#This Row],[Low Tol]]</f>
        <v>0</v>
      </c>
      <c r="R2434" s="1">
        <f>2*Table1[[#This Row],[Std Error]]</f>
        <v>0</v>
      </c>
      <c r="S2434" s="1" t="str">
        <f>IF(Table1[[#This Row],[High Tol]]="","N/A",IFERROR(ABS(Table1[[#This Row],[Tol Span]]/Table1[[#This Row],[Error Span]]),"N/A"))</f>
        <v>N/A</v>
      </c>
      <c r="T2434" s="1" t="str">
        <f>IF(OR(Table1[[#This Row],[Low Tol]]="",Table1[[#This Row],[High Tol]]=""),"Needs Analysis",IF(Table1[[#This Row],[Ratio]]&gt;=4,"Not Significant",IF(Table1[[#This Row],[Ratio]]&gt;=2,"Semi-Significant","Significant")))</f>
        <v>Needs Analysis</v>
      </c>
      <c r="W2434" s="1">
        <f>IF(Table1[[#This Row],[Cal Type]]&lt;&gt;"ACCREDITED 17025 WITH UNCERTAINTIES",0,"")</f>
        <v>0</v>
      </c>
      <c r="X2434" s="1" t="str">
        <f>IF(Table1[[#This Row],[DUT Read]]="","N/A",Table1[[#This Row],[Std Error]]+Table1[[#This Row],[DUT Read]]+Table1[[#This Row],[DUT Ucty]])</f>
        <v>N/A</v>
      </c>
      <c r="Y2434" s="1" t="str">
        <f>IF(Table1[[#This Row],[Std Read]]="","N/A",Table1[[#This Row],[Std Read]]+Table1[[#This Row],[Std Ucty]])</f>
        <v>N/A</v>
      </c>
      <c r="Z24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4" s="1" t="str">
        <f>IF(Table1[[#This Row],[Spec Type]]="","N/A",Table1[[#This Row],[Spec Type]])</f>
        <v>±</v>
      </c>
      <c r="AC2434" s="1" t="str">
        <f>IF(Table1[[#This Row],[Spec Type2]]="N/A","N/A",IF(AND(Table1[[#This Row],[DUT Adj Read]]&gt;=Table1[[#This Row],[Low Tol]],Table1[[#This Row],[DUT Adj Read]]&lt;=Table1[[#This Row],[High Tol]]),"Pass","Fail"))</f>
        <v>Fail</v>
      </c>
      <c r="AD2434" s="1" t="str">
        <f>IF(AND(Table1[[#This Row],[Spec Type2]]="N/A",Table1[[#This Row],[DUT Adj Read]]="N/A",Table1[[#This Row],[Std Adj Read]]="N/A"),"N/A",IF(Table1[[#This Row],[DUT Adj Read]]="N/A",IF(Table1[[#This Row],[Std Adj Read]]&gt;Table1[[#This Row],[Low Tol]],"Pass","Fail"),IF(Table1[[#This Row],[DUT Adj Read]]&gt;Table1[[#This Row],[Low Tol]],"Pass","Fail")))</f>
        <v>Pass</v>
      </c>
      <c r="AE2434" s="1" t="str">
        <f>IF(AND(Table1[[#This Row],[Spec Type2]]="N/A",Table1[[#This Row],[DUT Adj Read]]="N/A",Table1[[#This Row],[Std Adj Read]]="N/A"),"N/A",IF(Table1[[#This Row],[DUT Adj Read]]="N/A",IF(Table1[[#This Row],[Std Adj Read]]&lt;Table1[[#This Row],[High Tol]],"Pass","Fail"),IF(Table1[[#This Row],[DUT Adj Read]]&lt;Table1[[#This Row],[High Tol]],"Pass","Fail")))</f>
        <v>Fail</v>
      </c>
      <c r="AF2434" s="1" t="str">
        <f>IF(AND(Table1[[#This Row],[Spec Type2]]="N/A",Table1[[#This Row],[DUT Adj Read]]="N/A",Table1[[#This Row],[Std Adj Read]]="N/A"),"N/A",IF(Table1[[#This Row],[DUT Adj Read]]="N/A",IF(Table1[[#This Row],[Std Adj Read]]&gt;=Table1[[#This Row],[Low Tol]],"Pass","Fail"),IF(Table1[[#This Row],[DUT Adj Read]]&gt;=Table1[[#This Row],[Low Tol]],"Pass","Fail")))</f>
        <v>Pass</v>
      </c>
      <c r="AG2434" s="1" t="str">
        <f>IF(AND(Table1[[#This Row],[Spec Type2]]="N/A",Table1[[#This Row],[DUT Adj Read]]="N/A",Table1[[#This Row],[Std Adj Read]]="N/A"),"N/A",IF(Table1[[#This Row],[DUT Adj Read]]="N/A",IF(Table1[[#This Row],[Std Adj Read]]&lt;=Table1[[#This Row],[High Tol]],"Pass","Fail"),IF(Table1[[#This Row],[DUT Adj Read]]&lt;=Table1[[#This Row],[High Tol]],"Pass","Fail")))</f>
        <v>Fail</v>
      </c>
      <c r="AH24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4" s="1" t="b">
        <v>0</v>
      </c>
      <c r="AN2434" s="1" t="b">
        <v>0</v>
      </c>
      <c r="AO2434" s="1" t="b">
        <v>0</v>
      </c>
    </row>
    <row r="2435" spans="1:41" x14ac:dyDescent="0.25">
      <c r="A2435" s="10"/>
      <c r="B2435" s="10"/>
      <c r="C2435" s="10"/>
      <c r="D2435" s="10"/>
      <c r="E2435" s="10"/>
      <c r="F2435" s="10"/>
      <c r="G2435" s="10"/>
      <c r="H2435" s="10"/>
      <c r="I2435" s="1" t="str">
        <f t="shared" si="111"/>
        <v/>
      </c>
      <c r="J2435" s="1" t="s">
        <v>35</v>
      </c>
      <c r="K2435" s="1" t="str">
        <f t="shared" si="112"/>
        <v/>
      </c>
      <c r="L2435" s="1" t="str">
        <f t="shared" si="113"/>
        <v/>
      </c>
      <c r="M2435" s="1">
        <f>IF(OR(Table1[[#This Row],[Std Nom]]="",Table1[[#This Row],[Std Read]]=""),0,Table1[[#This Row],[Std Nom]]-Table1[[#This Row],[Std Read]])</f>
        <v>0</v>
      </c>
      <c r="N2435" s="1">
        <f>IF(Calculations!$F$5="ACCREDITED 17025 WITH UNCERTAINTIES",$N$10,0)</f>
        <v>0</v>
      </c>
      <c r="Q2435" s="1">
        <f>Table1[[#This Row],[High Tol]]-Table1[[#This Row],[Low Tol]]</f>
        <v>0</v>
      </c>
      <c r="R2435" s="1">
        <f>2*Table1[[#This Row],[Std Error]]</f>
        <v>0</v>
      </c>
      <c r="S2435" s="1" t="str">
        <f>IF(Table1[[#This Row],[High Tol]]="","N/A",IFERROR(ABS(Table1[[#This Row],[Tol Span]]/Table1[[#This Row],[Error Span]]),"N/A"))</f>
        <v>N/A</v>
      </c>
      <c r="T2435" s="1" t="str">
        <f>IF(OR(Table1[[#This Row],[Low Tol]]="",Table1[[#This Row],[High Tol]]=""),"Needs Analysis",IF(Table1[[#This Row],[Ratio]]&gt;=4,"Not Significant",IF(Table1[[#This Row],[Ratio]]&gt;=2,"Semi-Significant","Significant")))</f>
        <v>Needs Analysis</v>
      </c>
      <c r="W2435" s="1">
        <f>IF(Table1[[#This Row],[Cal Type]]&lt;&gt;"ACCREDITED 17025 WITH UNCERTAINTIES",0,"")</f>
        <v>0</v>
      </c>
      <c r="X2435" s="1" t="str">
        <f>IF(Table1[[#This Row],[DUT Read]]="","N/A",Table1[[#This Row],[Std Error]]+Table1[[#This Row],[DUT Read]]+Table1[[#This Row],[DUT Ucty]])</f>
        <v>N/A</v>
      </c>
      <c r="Y2435" s="1" t="str">
        <f>IF(Table1[[#This Row],[Std Read]]="","N/A",Table1[[#This Row],[Std Read]]+Table1[[#This Row],[Std Ucty]])</f>
        <v>N/A</v>
      </c>
      <c r="Z24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5" s="1" t="str">
        <f>IF(Table1[[#This Row],[Spec Type]]="","N/A",Table1[[#This Row],[Spec Type]])</f>
        <v>±</v>
      </c>
      <c r="AC2435" s="1" t="str">
        <f>IF(Table1[[#This Row],[Spec Type2]]="N/A","N/A",IF(AND(Table1[[#This Row],[DUT Adj Read]]&gt;=Table1[[#This Row],[Low Tol]],Table1[[#This Row],[DUT Adj Read]]&lt;=Table1[[#This Row],[High Tol]]),"Pass","Fail"))</f>
        <v>Fail</v>
      </c>
      <c r="AD2435" s="1" t="str">
        <f>IF(AND(Table1[[#This Row],[Spec Type2]]="N/A",Table1[[#This Row],[DUT Adj Read]]="N/A",Table1[[#This Row],[Std Adj Read]]="N/A"),"N/A",IF(Table1[[#This Row],[DUT Adj Read]]="N/A",IF(Table1[[#This Row],[Std Adj Read]]&gt;Table1[[#This Row],[Low Tol]],"Pass","Fail"),IF(Table1[[#This Row],[DUT Adj Read]]&gt;Table1[[#This Row],[Low Tol]],"Pass","Fail")))</f>
        <v>Pass</v>
      </c>
      <c r="AE2435" s="1" t="str">
        <f>IF(AND(Table1[[#This Row],[Spec Type2]]="N/A",Table1[[#This Row],[DUT Adj Read]]="N/A",Table1[[#This Row],[Std Adj Read]]="N/A"),"N/A",IF(Table1[[#This Row],[DUT Adj Read]]="N/A",IF(Table1[[#This Row],[Std Adj Read]]&lt;Table1[[#This Row],[High Tol]],"Pass","Fail"),IF(Table1[[#This Row],[DUT Adj Read]]&lt;Table1[[#This Row],[High Tol]],"Pass","Fail")))</f>
        <v>Fail</v>
      </c>
      <c r="AF2435" s="1" t="str">
        <f>IF(AND(Table1[[#This Row],[Spec Type2]]="N/A",Table1[[#This Row],[DUT Adj Read]]="N/A",Table1[[#This Row],[Std Adj Read]]="N/A"),"N/A",IF(Table1[[#This Row],[DUT Adj Read]]="N/A",IF(Table1[[#This Row],[Std Adj Read]]&gt;=Table1[[#This Row],[Low Tol]],"Pass","Fail"),IF(Table1[[#This Row],[DUT Adj Read]]&gt;=Table1[[#This Row],[Low Tol]],"Pass","Fail")))</f>
        <v>Pass</v>
      </c>
      <c r="AG2435" s="1" t="str">
        <f>IF(AND(Table1[[#This Row],[Spec Type2]]="N/A",Table1[[#This Row],[DUT Adj Read]]="N/A",Table1[[#This Row],[Std Adj Read]]="N/A"),"N/A",IF(Table1[[#This Row],[DUT Adj Read]]="N/A",IF(Table1[[#This Row],[Std Adj Read]]&lt;=Table1[[#This Row],[High Tol]],"Pass","Fail"),IF(Table1[[#This Row],[DUT Adj Read]]&lt;=Table1[[#This Row],[High Tol]],"Pass","Fail")))</f>
        <v>Fail</v>
      </c>
      <c r="AH24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5" s="1" t="b">
        <v>0</v>
      </c>
      <c r="AN2435" s="1" t="b">
        <v>0</v>
      </c>
      <c r="AO2435" s="1" t="b">
        <v>0</v>
      </c>
    </row>
    <row r="2436" spans="1:41" x14ac:dyDescent="0.25">
      <c r="A2436" s="10"/>
      <c r="B2436" s="10"/>
      <c r="C2436" s="10"/>
      <c r="D2436" s="10"/>
      <c r="E2436" s="10"/>
      <c r="F2436" s="10"/>
      <c r="G2436" s="10"/>
      <c r="H2436" s="10"/>
      <c r="I2436" s="1" t="str">
        <f t="shared" si="111"/>
        <v/>
      </c>
      <c r="J2436" s="1" t="s">
        <v>35</v>
      </c>
      <c r="K2436" s="1" t="str">
        <f t="shared" si="112"/>
        <v/>
      </c>
      <c r="L2436" s="1" t="str">
        <f t="shared" si="113"/>
        <v/>
      </c>
      <c r="M2436" s="1">
        <f>IF(OR(Table1[[#This Row],[Std Nom]]="",Table1[[#This Row],[Std Read]]=""),0,Table1[[#This Row],[Std Nom]]-Table1[[#This Row],[Std Read]])</f>
        <v>0</v>
      </c>
      <c r="N2436" s="1">
        <f>IF(Calculations!$F$5="ACCREDITED 17025 WITH UNCERTAINTIES",$N$10,0)</f>
        <v>0</v>
      </c>
      <c r="Q2436" s="1">
        <f>Table1[[#This Row],[High Tol]]-Table1[[#This Row],[Low Tol]]</f>
        <v>0</v>
      </c>
      <c r="R2436" s="1">
        <f>2*Table1[[#This Row],[Std Error]]</f>
        <v>0</v>
      </c>
      <c r="S2436" s="1" t="str">
        <f>IF(Table1[[#This Row],[High Tol]]="","N/A",IFERROR(ABS(Table1[[#This Row],[Tol Span]]/Table1[[#This Row],[Error Span]]),"N/A"))</f>
        <v>N/A</v>
      </c>
      <c r="T2436" s="1" t="str">
        <f>IF(OR(Table1[[#This Row],[Low Tol]]="",Table1[[#This Row],[High Tol]]=""),"Needs Analysis",IF(Table1[[#This Row],[Ratio]]&gt;=4,"Not Significant",IF(Table1[[#This Row],[Ratio]]&gt;=2,"Semi-Significant","Significant")))</f>
        <v>Needs Analysis</v>
      </c>
      <c r="W2436" s="1">
        <f>IF(Table1[[#This Row],[Cal Type]]&lt;&gt;"ACCREDITED 17025 WITH UNCERTAINTIES",0,"")</f>
        <v>0</v>
      </c>
      <c r="X2436" s="1" t="str">
        <f>IF(Table1[[#This Row],[DUT Read]]="","N/A",Table1[[#This Row],[Std Error]]+Table1[[#This Row],[DUT Read]]+Table1[[#This Row],[DUT Ucty]])</f>
        <v>N/A</v>
      </c>
      <c r="Y2436" s="1" t="str">
        <f>IF(Table1[[#This Row],[Std Read]]="","N/A",Table1[[#This Row],[Std Read]]+Table1[[#This Row],[Std Ucty]])</f>
        <v>N/A</v>
      </c>
      <c r="Z24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6" s="1" t="str">
        <f>IF(Table1[[#This Row],[Spec Type]]="","N/A",Table1[[#This Row],[Spec Type]])</f>
        <v>±</v>
      </c>
      <c r="AC2436" s="1" t="str">
        <f>IF(Table1[[#This Row],[Spec Type2]]="N/A","N/A",IF(AND(Table1[[#This Row],[DUT Adj Read]]&gt;=Table1[[#This Row],[Low Tol]],Table1[[#This Row],[DUT Adj Read]]&lt;=Table1[[#This Row],[High Tol]]),"Pass","Fail"))</f>
        <v>Fail</v>
      </c>
      <c r="AD2436" s="1" t="str">
        <f>IF(AND(Table1[[#This Row],[Spec Type2]]="N/A",Table1[[#This Row],[DUT Adj Read]]="N/A",Table1[[#This Row],[Std Adj Read]]="N/A"),"N/A",IF(Table1[[#This Row],[DUT Adj Read]]="N/A",IF(Table1[[#This Row],[Std Adj Read]]&gt;Table1[[#This Row],[Low Tol]],"Pass","Fail"),IF(Table1[[#This Row],[DUT Adj Read]]&gt;Table1[[#This Row],[Low Tol]],"Pass","Fail")))</f>
        <v>Pass</v>
      </c>
      <c r="AE2436" s="1" t="str">
        <f>IF(AND(Table1[[#This Row],[Spec Type2]]="N/A",Table1[[#This Row],[DUT Adj Read]]="N/A",Table1[[#This Row],[Std Adj Read]]="N/A"),"N/A",IF(Table1[[#This Row],[DUT Adj Read]]="N/A",IF(Table1[[#This Row],[Std Adj Read]]&lt;Table1[[#This Row],[High Tol]],"Pass","Fail"),IF(Table1[[#This Row],[DUT Adj Read]]&lt;Table1[[#This Row],[High Tol]],"Pass","Fail")))</f>
        <v>Fail</v>
      </c>
      <c r="AF2436" s="1" t="str">
        <f>IF(AND(Table1[[#This Row],[Spec Type2]]="N/A",Table1[[#This Row],[DUT Adj Read]]="N/A",Table1[[#This Row],[Std Adj Read]]="N/A"),"N/A",IF(Table1[[#This Row],[DUT Adj Read]]="N/A",IF(Table1[[#This Row],[Std Adj Read]]&gt;=Table1[[#This Row],[Low Tol]],"Pass","Fail"),IF(Table1[[#This Row],[DUT Adj Read]]&gt;=Table1[[#This Row],[Low Tol]],"Pass","Fail")))</f>
        <v>Pass</v>
      </c>
      <c r="AG2436" s="1" t="str">
        <f>IF(AND(Table1[[#This Row],[Spec Type2]]="N/A",Table1[[#This Row],[DUT Adj Read]]="N/A",Table1[[#This Row],[Std Adj Read]]="N/A"),"N/A",IF(Table1[[#This Row],[DUT Adj Read]]="N/A",IF(Table1[[#This Row],[Std Adj Read]]&lt;=Table1[[#This Row],[High Tol]],"Pass","Fail"),IF(Table1[[#This Row],[DUT Adj Read]]&lt;=Table1[[#This Row],[High Tol]],"Pass","Fail")))</f>
        <v>Fail</v>
      </c>
      <c r="AH24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6" s="1" t="b">
        <v>0</v>
      </c>
      <c r="AN2436" s="1" t="b">
        <v>0</v>
      </c>
      <c r="AO2436" s="1" t="b">
        <v>0</v>
      </c>
    </row>
    <row r="2437" spans="1:41" x14ac:dyDescent="0.25">
      <c r="A2437" s="10"/>
      <c r="B2437" s="10"/>
      <c r="C2437" s="10"/>
      <c r="D2437" s="10"/>
      <c r="E2437" s="10"/>
      <c r="F2437" s="10"/>
      <c r="G2437" s="10"/>
      <c r="H2437" s="10"/>
      <c r="I2437" s="1" t="str">
        <f t="shared" si="111"/>
        <v/>
      </c>
      <c r="J2437" s="1" t="s">
        <v>35</v>
      </c>
      <c r="K2437" s="1" t="str">
        <f t="shared" si="112"/>
        <v/>
      </c>
      <c r="L2437" s="1" t="str">
        <f t="shared" si="113"/>
        <v/>
      </c>
      <c r="M2437" s="1">
        <f>IF(OR(Table1[[#This Row],[Std Nom]]="",Table1[[#This Row],[Std Read]]=""),0,Table1[[#This Row],[Std Nom]]-Table1[[#This Row],[Std Read]])</f>
        <v>0</v>
      </c>
      <c r="N2437" s="1">
        <f>IF(Calculations!$F$5="ACCREDITED 17025 WITH UNCERTAINTIES",$N$10,0)</f>
        <v>0</v>
      </c>
      <c r="Q2437" s="1">
        <f>Table1[[#This Row],[High Tol]]-Table1[[#This Row],[Low Tol]]</f>
        <v>0</v>
      </c>
      <c r="R2437" s="1">
        <f>2*Table1[[#This Row],[Std Error]]</f>
        <v>0</v>
      </c>
      <c r="S2437" s="1" t="str">
        <f>IF(Table1[[#This Row],[High Tol]]="","N/A",IFERROR(ABS(Table1[[#This Row],[Tol Span]]/Table1[[#This Row],[Error Span]]),"N/A"))</f>
        <v>N/A</v>
      </c>
      <c r="T2437" s="1" t="str">
        <f>IF(OR(Table1[[#This Row],[Low Tol]]="",Table1[[#This Row],[High Tol]]=""),"Needs Analysis",IF(Table1[[#This Row],[Ratio]]&gt;=4,"Not Significant",IF(Table1[[#This Row],[Ratio]]&gt;=2,"Semi-Significant","Significant")))</f>
        <v>Needs Analysis</v>
      </c>
      <c r="W2437" s="1">
        <f>IF(Table1[[#This Row],[Cal Type]]&lt;&gt;"ACCREDITED 17025 WITH UNCERTAINTIES",0,"")</f>
        <v>0</v>
      </c>
      <c r="X2437" s="1" t="str">
        <f>IF(Table1[[#This Row],[DUT Read]]="","N/A",Table1[[#This Row],[Std Error]]+Table1[[#This Row],[DUT Read]]+Table1[[#This Row],[DUT Ucty]])</f>
        <v>N/A</v>
      </c>
      <c r="Y2437" s="1" t="str">
        <f>IF(Table1[[#This Row],[Std Read]]="","N/A",Table1[[#This Row],[Std Read]]+Table1[[#This Row],[Std Ucty]])</f>
        <v>N/A</v>
      </c>
      <c r="Z24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7" s="1" t="str">
        <f>IF(Table1[[#This Row],[Spec Type]]="","N/A",Table1[[#This Row],[Spec Type]])</f>
        <v>±</v>
      </c>
      <c r="AC2437" s="1" t="str">
        <f>IF(Table1[[#This Row],[Spec Type2]]="N/A","N/A",IF(AND(Table1[[#This Row],[DUT Adj Read]]&gt;=Table1[[#This Row],[Low Tol]],Table1[[#This Row],[DUT Adj Read]]&lt;=Table1[[#This Row],[High Tol]]),"Pass","Fail"))</f>
        <v>Fail</v>
      </c>
      <c r="AD2437" s="1" t="str">
        <f>IF(AND(Table1[[#This Row],[Spec Type2]]="N/A",Table1[[#This Row],[DUT Adj Read]]="N/A",Table1[[#This Row],[Std Adj Read]]="N/A"),"N/A",IF(Table1[[#This Row],[DUT Adj Read]]="N/A",IF(Table1[[#This Row],[Std Adj Read]]&gt;Table1[[#This Row],[Low Tol]],"Pass","Fail"),IF(Table1[[#This Row],[DUT Adj Read]]&gt;Table1[[#This Row],[Low Tol]],"Pass","Fail")))</f>
        <v>Pass</v>
      </c>
      <c r="AE2437" s="1" t="str">
        <f>IF(AND(Table1[[#This Row],[Spec Type2]]="N/A",Table1[[#This Row],[DUT Adj Read]]="N/A",Table1[[#This Row],[Std Adj Read]]="N/A"),"N/A",IF(Table1[[#This Row],[DUT Adj Read]]="N/A",IF(Table1[[#This Row],[Std Adj Read]]&lt;Table1[[#This Row],[High Tol]],"Pass","Fail"),IF(Table1[[#This Row],[DUT Adj Read]]&lt;Table1[[#This Row],[High Tol]],"Pass","Fail")))</f>
        <v>Fail</v>
      </c>
      <c r="AF2437" s="1" t="str">
        <f>IF(AND(Table1[[#This Row],[Spec Type2]]="N/A",Table1[[#This Row],[DUT Adj Read]]="N/A",Table1[[#This Row],[Std Adj Read]]="N/A"),"N/A",IF(Table1[[#This Row],[DUT Adj Read]]="N/A",IF(Table1[[#This Row],[Std Adj Read]]&gt;=Table1[[#This Row],[Low Tol]],"Pass","Fail"),IF(Table1[[#This Row],[DUT Adj Read]]&gt;=Table1[[#This Row],[Low Tol]],"Pass","Fail")))</f>
        <v>Pass</v>
      </c>
      <c r="AG2437" s="1" t="str">
        <f>IF(AND(Table1[[#This Row],[Spec Type2]]="N/A",Table1[[#This Row],[DUT Adj Read]]="N/A",Table1[[#This Row],[Std Adj Read]]="N/A"),"N/A",IF(Table1[[#This Row],[DUT Adj Read]]="N/A",IF(Table1[[#This Row],[Std Adj Read]]&lt;=Table1[[#This Row],[High Tol]],"Pass","Fail"),IF(Table1[[#This Row],[DUT Adj Read]]&lt;=Table1[[#This Row],[High Tol]],"Pass","Fail")))</f>
        <v>Fail</v>
      </c>
      <c r="AH24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7" s="1" t="b">
        <v>0</v>
      </c>
      <c r="AN2437" s="1" t="b">
        <v>0</v>
      </c>
      <c r="AO2437" s="1" t="b">
        <v>0</v>
      </c>
    </row>
    <row r="2438" spans="1:41" x14ac:dyDescent="0.25">
      <c r="A2438" s="10"/>
      <c r="B2438" s="10"/>
      <c r="C2438" s="10"/>
      <c r="D2438" s="10"/>
      <c r="E2438" s="10"/>
      <c r="F2438" s="10"/>
      <c r="G2438" s="10"/>
      <c r="H2438" s="10"/>
      <c r="I2438" s="1" t="str">
        <f t="shared" si="111"/>
        <v/>
      </c>
      <c r="J2438" s="1" t="s">
        <v>35</v>
      </c>
      <c r="K2438" s="1" t="str">
        <f t="shared" si="112"/>
        <v/>
      </c>
      <c r="L2438" s="1" t="str">
        <f t="shared" si="113"/>
        <v/>
      </c>
      <c r="M2438" s="1">
        <f>IF(OR(Table1[[#This Row],[Std Nom]]="",Table1[[#This Row],[Std Read]]=""),0,Table1[[#This Row],[Std Nom]]-Table1[[#This Row],[Std Read]])</f>
        <v>0</v>
      </c>
      <c r="N2438" s="1">
        <f>IF(Calculations!$F$5="ACCREDITED 17025 WITH UNCERTAINTIES",$N$10,0)</f>
        <v>0</v>
      </c>
      <c r="Q2438" s="1">
        <f>Table1[[#This Row],[High Tol]]-Table1[[#This Row],[Low Tol]]</f>
        <v>0</v>
      </c>
      <c r="R2438" s="1">
        <f>2*Table1[[#This Row],[Std Error]]</f>
        <v>0</v>
      </c>
      <c r="S2438" s="1" t="str">
        <f>IF(Table1[[#This Row],[High Tol]]="","N/A",IFERROR(ABS(Table1[[#This Row],[Tol Span]]/Table1[[#This Row],[Error Span]]),"N/A"))</f>
        <v>N/A</v>
      </c>
      <c r="T2438" s="1" t="str">
        <f>IF(OR(Table1[[#This Row],[Low Tol]]="",Table1[[#This Row],[High Tol]]=""),"Needs Analysis",IF(Table1[[#This Row],[Ratio]]&gt;=4,"Not Significant",IF(Table1[[#This Row],[Ratio]]&gt;=2,"Semi-Significant","Significant")))</f>
        <v>Needs Analysis</v>
      </c>
      <c r="W2438" s="1">
        <f>IF(Table1[[#This Row],[Cal Type]]&lt;&gt;"ACCREDITED 17025 WITH UNCERTAINTIES",0,"")</f>
        <v>0</v>
      </c>
      <c r="X2438" s="1" t="str">
        <f>IF(Table1[[#This Row],[DUT Read]]="","N/A",Table1[[#This Row],[Std Error]]+Table1[[#This Row],[DUT Read]]+Table1[[#This Row],[DUT Ucty]])</f>
        <v>N/A</v>
      </c>
      <c r="Y2438" s="1" t="str">
        <f>IF(Table1[[#This Row],[Std Read]]="","N/A",Table1[[#This Row],[Std Read]]+Table1[[#This Row],[Std Ucty]])</f>
        <v>N/A</v>
      </c>
      <c r="Z24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8" s="1" t="str">
        <f>IF(Table1[[#This Row],[Spec Type]]="","N/A",Table1[[#This Row],[Spec Type]])</f>
        <v>±</v>
      </c>
      <c r="AC2438" s="1" t="str">
        <f>IF(Table1[[#This Row],[Spec Type2]]="N/A","N/A",IF(AND(Table1[[#This Row],[DUT Adj Read]]&gt;=Table1[[#This Row],[Low Tol]],Table1[[#This Row],[DUT Adj Read]]&lt;=Table1[[#This Row],[High Tol]]),"Pass","Fail"))</f>
        <v>Fail</v>
      </c>
      <c r="AD2438" s="1" t="str">
        <f>IF(AND(Table1[[#This Row],[Spec Type2]]="N/A",Table1[[#This Row],[DUT Adj Read]]="N/A",Table1[[#This Row],[Std Adj Read]]="N/A"),"N/A",IF(Table1[[#This Row],[DUT Adj Read]]="N/A",IF(Table1[[#This Row],[Std Adj Read]]&gt;Table1[[#This Row],[Low Tol]],"Pass","Fail"),IF(Table1[[#This Row],[DUT Adj Read]]&gt;Table1[[#This Row],[Low Tol]],"Pass","Fail")))</f>
        <v>Pass</v>
      </c>
      <c r="AE2438" s="1" t="str">
        <f>IF(AND(Table1[[#This Row],[Spec Type2]]="N/A",Table1[[#This Row],[DUT Adj Read]]="N/A",Table1[[#This Row],[Std Adj Read]]="N/A"),"N/A",IF(Table1[[#This Row],[DUT Adj Read]]="N/A",IF(Table1[[#This Row],[Std Adj Read]]&lt;Table1[[#This Row],[High Tol]],"Pass","Fail"),IF(Table1[[#This Row],[DUT Adj Read]]&lt;Table1[[#This Row],[High Tol]],"Pass","Fail")))</f>
        <v>Fail</v>
      </c>
      <c r="AF2438" s="1" t="str">
        <f>IF(AND(Table1[[#This Row],[Spec Type2]]="N/A",Table1[[#This Row],[DUT Adj Read]]="N/A",Table1[[#This Row],[Std Adj Read]]="N/A"),"N/A",IF(Table1[[#This Row],[DUT Adj Read]]="N/A",IF(Table1[[#This Row],[Std Adj Read]]&gt;=Table1[[#This Row],[Low Tol]],"Pass","Fail"),IF(Table1[[#This Row],[DUT Adj Read]]&gt;=Table1[[#This Row],[Low Tol]],"Pass","Fail")))</f>
        <v>Pass</v>
      </c>
      <c r="AG2438" s="1" t="str">
        <f>IF(AND(Table1[[#This Row],[Spec Type2]]="N/A",Table1[[#This Row],[DUT Adj Read]]="N/A",Table1[[#This Row],[Std Adj Read]]="N/A"),"N/A",IF(Table1[[#This Row],[DUT Adj Read]]="N/A",IF(Table1[[#This Row],[Std Adj Read]]&lt;=Table1[[#This Row],[High Tol]],"Pass","Fail"),IF(Table1[[#This Row],[DUT Adj Read]]&lt;=Table1[[#This Row],[High Tol]],"Pass","Fail")))</f>
        <v>Fail</v>
      </c>
      <c r="AH24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8" s="1" t="b">
        <v>0</v>
      </c>
      <c r="AN2438" s="1" t="b">
        <v>0</v>
      </c>
      <c r="AO2438" s="1" t="b">
        <v>0</v>
      </c>
    </row>
    <row r="2439" spans="1:41" x14ac:dyDescent="0.25">
      <c r="A2439" s="10"/>
      <c r="B2439" s="10"/>
      <c r="C2439" s="10"/>
      <c r="D2439" s="10"/>
      <c r="E2439" s="10"/>
      <c r="F2439" s="10"/>
      <c r="G2439" s="10"/>
      <c r="H2439" s="10"/>
      <c r="I2439" s="1" t="str">
        <f t="shared" si="111"/>
        <v/>
      </c>
      <c r="J2439" s="1" t="s">
        <v>35</v>
      </c>
      <c r="K2439" s="1" t="str">
        <f t="shared" si="112"/>
        <v/>
      </c>
      <c r="L2439" s="1" t="str">
        <f t="shared" si="113"/>
        <v/>
      </c>
      <c r="M2439" s="1">
        <f>IF(OR(Table1[[#This Row],[Std Nom]]="",Table1[[#This Row],[Std Read]]=""),0,Table1[[#This Row],[Std Nom]]-Table1[[#This Row],[Std Read]])</f>
        <v>0</v>
      </c>
      <c r="N2439" s="1">
        <f>IF(Calculations!$F$5="ACCREDITED 17025 WITH UNCERTAINTIES",$N$10,0)</f>
        <v>0</v>
      </c>
      <c r="Q2439" s="1">
        <f>Table1[[#This Row],[High Tol]]-Table1[[#This Row],[Low Tol]]</f>
        <v>0</v>
      </c>
      <c r="R2439" s="1">
        <f>2*Table1[[#This Row],[Std Error]]</f>
        <v>0</v>
      </c>
      <c r="S2439" s="1" t="str">
        <f>IF(Table1[[#This Row],[High Tol]]="","N/A",IFERROR(ABS(Table1[[#This Row],[Tol Span]]/Table1[[#This Row],[Error Span]]),"N/A"))</f>
        <v>N/A</v>
      </c>
      <c r="T2439" s="1" t="str">
        <f>IF(OR(Table1[[#This Row],[Low Tol]]="",Table1[[#This Row],[High Tol]]=""),"Needs Analysis",IF(Table1[[#This Row],[Ratio]]&gt;=4,"Not Significant",IF(Table1[[#This Row],[Ratio]]&gt;=2,"Semi-Significant","Significant")))</f>
        <v>Needs Analysis</v>
      </c>
      <c r="W2439" s="1">
        <f>IF(Table1[[#This Row],[Cal Type]]&lt;&gt;"ACCREDITED 17025 WITH UNCERTAINTIES",0,"")</f>
        <v>0</v>
      </c>
      <c r="X2439" s="1" t="str">
        <f>IF(Table1[[#This Row],[DUT Read]]="","N/A",Table1[[#This Row],[Std Error]]+Table1[[#This Row],[DUT Read]]+Table1[[#This Row],[DUT Ucty]])</f>
        <v>N/A</v>
      </c>
      <c r="Y2439" s="1" t="str">
        <f>IF(Table1[[#This Row],[Std Read]]="","N/A",Table1[[#This Row],[Std Read]]+Table1[[#This Row],[Std Ucty]])</f>
        <v>N/A</v>
      </c>
      <c r="Z24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39" s="1" t="str">
        <f>IF(Table1[[#This Row],[Spec Type]]="","N/A",Table1[[#This Row],[Spec Type]])</f>
        <v>±</v>
      </c>
      <c r="AC2439" s="1" t="str">
        <f>IF(Table1[[#This Row],[Spec Type2]]="N/A","N/A",IF(AND(Table1[[#This Row],[DUT Adj Read]]&gt;=Table1[[#This Row],[Low Tol]],Table1[[#This Row],[DUT Adj Read]]&lt;=Table1[[#This Row],[High Tol]]),"Pass","Fail"))</f>
        <v>Fail</v>
      </c>
      <c r="AD2439" s="1" t="str">
        <f>IF(AND(Table1[[#This Row],[Spec Type2]]="N/A",Table1[[#This Row],[DUT Adj Read]]="N/A",Table1[[#This Row],[Std Adj Read]]="N/A"),"N/A",IF(Table1[[#This Row],[DUT Adj Read]]="N/A",IF(Table1[[#This Row],[Std Adj Read]]&gt;Table1[[#This Row],[Low Tol]],"Pass","Fail"),IF(Table1[[#This Row],[DUT Adj Read]]&gt;Table1[[#This Row],[Low Tol]],"Pass","Fail")))</f>
        <v>Pass</v>
      </c>
      <c r="AE2439" s="1" t="str">
        <f>IF(AND(Table1[[#This Row],[Spec Type2]]="N/A",Table1[[#This Row],[DUT Adj Read]]="N/A",Table1[[#This Row],[Std Adj Read]]="N/A"),"N/A",IF(Table1[[#This Row],[DUT Adj Read]]="N/A",IF(Table1[[#This Row],[Std Adj Read]]&lt;Table1[[#This Row],[High Tol]],"Pass","Fail"),IF(Table1[[#This Row],[DUT Adj Read]]&lt;Table1[[#This Row],[High Tol]],"Pass","Fail")))</f>
        <v>Fail</v>
      </c>
      <c r="AF2439" s="1" t="str">
        <f>IF(AND(Table1[[#This Row],[Spec Type2]]="N/A",Table1[[#This Row],[DUT Adj Read]]="N/A",Table1[[#This Row],[Std Adj Read]]="N/A"),"N/A",IF(Table1[[#This Row],[DUT Adj Read]]="N/A",IF(Table1[[#This Row],[Std Adj Read]]&gt;=Table1[[#This Row],[Low Tol]],"Pass","Fail"),IF(Table1[[#This Row],[DUT Adj Read]]&gt;=Table1[[#This Row],[Low Tol]],"Pass","Fail")))</f>
        <v>Pass</v>
      </c>
      <c r="AG2439" s="1" t="str">
        <f>IF(AND(Table1[[#This Row],[Spec Type2]]="N/A",Table1[[#This Row],[DUT Adj Read]]="N/A",Table1[[#This Row],[Std Adj Read]]="N/A"),"N/A",IF(Table1[[#This Row],[DUT Adj Read]]="N/A",IF(Table1[[#This Row],[Std Adj Read]]&lt;=Table1[[#This Row],[High Tol]],"Pass","Fail"),IF(Table1[[#This Row],[DUT Adj Read]]&lt;=Table1[[#This Row],[High Tol]],"Pass","Fail")))</f>
        <v>Fail</v>
      </c>
      <c r="AH24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39" s="1" t="b">
        <v>0</v>
      </c>
      <c r="AN2439" s="1" t="b">
        <v>0</v>
      </c>
      <c r="AO2439" s="1" t="b">
        <v>0</v>
      </c>
    </row>
    <row r="2440" spans="1:41" x14ac:dyDescent="0.25">
      <c r="A2440" s="10"/>
      <c r="B2440" s="10"/>
      <c r="C2440" s="10"/>
      <c r="D2440" s="10"/>
      <c r="E2440" s="10"/>
      <c r="F2440" s="10"/>
      <c r="G2440" s="10"/>
      <c r="H2440" s="10"/>
      <c r="I2440" s="1" t="str">
        <f t="shared" si="111"/>
        <v/>
      </c>
      <c r="J2440" s="1" t="s">
        <v>35</v>
      </c>
      <c r="K2440" s="1" t="str">
        <f t="shared" si="112"/>
        <v/>
      </c>
      <c r="L2440" s="1" t="str">
        <f t="shared" si="113"/>
        <v/>
      </c>
      <c r="M2440" s="1">
        <f>IF(OR(Table1[[#This Row],[Std Nom]]="",Table1[[#This Row],[Std Read]]=""),0,Table1[[#This Row],[Std Nom]]-Table1[[#This Row],[Std Read]])</f>
        <v>0</v>
      </c>
      <c r="N2440" s="1">
        <f>IF(Calculations!$F$5="ACCREDITED 17025 WITH UNCERTAINTIES",$N$10,0)</f>
        <v>0</v>
      </c>
      <c r="Q2440" s="1">
        <f>Table1[[#This Row],[High Tol]]-Table1[[#This Row],[Low Tol]]</f>
        <v>0</v>
      </c>
      <c r="R2440" s="1">
        <f>2*Table1[[#This Row],[Std Error]]</f>
        <v>0</v>
      </c>
      <c r="S2440" s="1" t="str">
        <f>IF(Table1[[#This Row],[High Tol]]="","N/A",IFERROR(ABS(Table1[[#This Row],[Tol Span]]/Table1[[#This Row],[Error Span]]),"N/A"))</f>
        <v>N/A</v>
      </c>
      <c r="T2440" s="1" t="str">
        <f>IF(OR(Table1[[#This Row],[Low Tol]]="",Table1[[#This Row],[High Tol]]=""),"Needs Analysis",IF(Table1[[#This Row],[Ratio]]&gt;=4,"Not Significant",IF(Table1[[#This Row],[Ratio]]&gt;=2,"Semi-Significant","Significant")))</f>
        <v>Needs Analysis</v>
      </c>
      <c r="W2440" s="1">
        <f>IF(Table1[[#This Row],[Cal Type]]&lt;&gt;"ACCREDITED 17025 WITH UNCERTAINTIES",0,"")</f>
        <v>0</v>
      </c>
      <c r="X2440" s="1" t="str">
        <f>IF(Table1[[#This Row],[DUT Read]]="","N/A",Table1[[#This Row],[Std Error]]+Table1[[#This Row],[DUT Read]]+Table1[[#This Row],[DUT Ucty]])</f>
        <v>N/A</v>
      </c>
      <c r="Y2440" s="1" t="str">
        <f>IF(Table1[[#This Row],[Std Read]]="","N/A",Table1[[#This Row],[Std Read]]+Table1[[#This Row],[Std Ucty]])</f>
        <v>N/A</v>
      </c>
      <c r="Z24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0" s="1" t="str">
        <f>IF(Table1[[#This Row],[Spec Type]]="","N/A",Table1[[#This Row],[Spec Type]])</f>
        <v>±</v>
      </c>
      <c r="AC2440" s="1" t="str">
        <f>IF(Table1[[#This Row],[Spec Type2]]="N/A","N/A",IF(AND(Table1[[#This Row],[DUT Adj Read]]&gt;=Table1[[#This Row],[Low Tol]],Table1[[#This Row],[DUT Adj Read]]&lt;=Table1[[#This Row],[High Tol]]),"Pass","Fail"))</f>
        <v>Fail</v>
      </c>
      <c r="AD2440" s="1" t="str">
        <f>IF(AND(Table1[[#This Row],[Spec Type2]]="N/A",Table1[[#This Row],[DUT Adj Read]]="N/A",Table1[[#This Row],[Std Adj Read]]="N/A"),"N/A",IF(Table1[[#This Row],[DUT Adj Read]]="N/A",IF(Table1[[#This Row],[Std Adj Read]]&gt;Table1[[#This Row],[Low Tol]],"Pass","Fail"),IF(Table1[[#This Row],[DUT Adj Read]]&gt;Table1[[#This Row],[Low Tol]],"Pass","Fail")))</f>
        <v>Pass</v>
      </c>
      <c r="AE2440" s="1" t="str">
        <f>IF(AND(Table1[[#This Row],[Spec Type2]]="N/A",Table1[[#This Row],[DUT Adj Read]]="N/A",Table1[[#This Row],[Std Adj Read]]="N/A"),"N/A",IF(Table1[[#This Row],[DUT Adj Read]]="N/A",IF(Table1[[#This Row],[Std Adj Read]]&lt;Table1[[#This Row],[High Tol]],"Pass","Fail"),IF(Table1[[#This Row],[DUT Adj Read]]&lt;Table1[[#This Row],[High Tol]],"Pass","Fail")))</f>
        <v>Fail</v>
      </c>
      <c r="AF2440" s="1" t="str">
        <f>IF(AND(Table1[[#This Row],[Spec Type2]]="N/A",Table1[[#This Row],[DUT Adj Read]]="N/A",Table1[[#This Row],[Std Adj Read]]="N/A"),"N/A",IF(Table1[[#This Row],[DUT Adj Read]]="N/A",IF(Table1[[#This Row],[Std Adj Read]]&gt;=Table1[[#This Row],[Low Tol]],"Pass","Fail"),IF(Table1[[#This Row],[DUT Adj Read]]&gt;=Table1[[#This Row],[Low Tol]],"Pass","Fail")))</f>
        <v>Pass</v>
      </c>
      <c r="AG2440" s="1" t="str">
        <f>IF(AND(Table1[[#This Row],[Spec Type2]]="N/A",Table1[[#This Row],[DUT Adj Read]]="N/A",Table1[[#This Row],[Std Adj Read]]="N/A"),"N/A",IF(Table1[[#This Row],[DUT Adj Read]]="N/A",IF(Table1[[#This Row],[Std Adj Read]]&lt;=Table1[[#This Row],[High Tol]],"Pass","Fail"),IF(Table1[[#This Row],[DUT Adj Read]]&lt;=Table1[[#This Row],[High Tol]],"Pass","Fail")))</f>
        <v>Fail</v>
      </c>
      <c r="AH24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0" s="1" t="b">
        <v>0</v>
      </c>
      <c r="AN2440" s="1" t="b">
        <v>0</v>
      </c>
      <c r="AO2440" s="1" t="b">
        <v>0</v>
      </c>
    </row>
    <row r="2441" spans="1:41" x14ac:dyDescent="0.25">
      <c r="A2441" s="10"/>
      <c r="B2441" s="10"/>
      <c r="C2441" s="10"/>
      <c r="D2441" s="10"/>
      <c r="E2441" s="10"/>
      <c r="F2441" s="10"/>
      <c r="G2441" s="10"/>
      <c r="H2441" s="10"/>
      <c r="I2441" s="1" t="str">
        <f t="shared" si="111"/>
        <v/>
      </c>
      <c r="J2441" s="1" t="s">
        <v>35</v>
      </c>
      <c r="K2441" s="1" t="str">
        <f t="shared" si="112"/>
        <v/>
      </c>
      <c r="L2441" s="1" t="str">
        <f t="shared" si="113"/>
        <v/>
      </c>
      <c r="M2441" s="1">
        <f>IF(OR(Table1[[#This Row],[Std Nom]]="",Table1[[#This Row],[Std Read]]=""),0,Table1[[#This Row],[Std Nom]]-Table1[[#This Row],[Std Read]])</f>
        <v>0</v>
      </c>
      <c r="N2441" s="1">
        <f>IF(Calculations!$F$5="ACCREDITED 17025 WITH UNCERTAINTIES",$N$10,0)</f>
        <v>0</v>
      </c>
      <c r="Q2441" s="1">
        <f>Table1[[#This Row],[High Tol]]-Table1[[#This Row],[Low Tol]]</f>
        <v>0</v>
      </c>
      <c r="R2441" s="1">
        <f>2*Table1[[#This Row],[Std Error]]</f>
        <v>0</v>
      </c>
      <c r="S2441" s="1" t="str">
        <f>IF(Table1[[#This Row],[High Tol]]="","N/A",IFERROR(ABS(Table1[[#This Row],[Tol Span]]/Table1[[#This Row],[Error Span]]),"N/A"))</f>
        <v>N/A</v>
      </c>
      <c r="T2441" s="1" t="str">
        <f>IF(OR(Table1[[#This Row],[Low Tol]]="",Table1[[#This Row],[High Tol]]=""),"Needs Analysis",IF(Table1[[#This Row],[Ratio]]&gt;=4,"Not Significant",IF(Table1[[#This Row],[Ratio]]&gt;=2,"Semi-Significant","Significant")))</f>
        <v>Needs Analysis</v>
      </c>
      <c r="W2441" s="1">
        <f>IF(Table1[[#This Row],[Cal Type]]&lt;&gt;"ACCREDITED 17025 WITH UNCERTAINTIES",0,"")</f>
        <v>0</v>
      </c>
      <c r="X2441" s="1" t="str">
        <f>IF(Table1[[#This Row],[DUT Read]]="","N/A",Table1[[#This Row],[Std Error]]+Table1[[#This Row],[DUT Read]]+Table1[[#This Row],[DUT Ucty]])</f>
        <v>N/A</v>
      </c>
      <c r="Y2441" s="1" t="str">
        <f>IF(Table1[[#This Row],[Std Read]]="","N/A",Table1[[#This Row],[Std Read]]+Table1[[#This Row],[Std Ucty]])</f>
        <v>N/A</v>
      </c>
      <c r="Z24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1" s="1" t="str">
        <f>IF(Table1[[#This Row],[Spec Type]]="","N/A",Table1[[#This Row],[Spec Type]])</f>
        <v>±</v>
      </c>
      <c r="AC2441" s="1" t="str">
        <f>IF(Table1[[#This Row],[Spec Type2]]="N/A","N/A",IF(AND(Table1[[#This Row],[DUT Adj Read]]&gt;=Table1[[#This Row],[Low Tol]],Table1[[#This Row],[DUT Adj Read]]&lt;=Table1[[#This Row],[High Tol]]),"Pass","Fail"))</f>
        <v>Fail</v>
      </c>
      <c r="AD2441" s="1" t="str">
        <f>IF(AND(Table1[[#This Row],[Spec Type2]]="N/A",Table1[[#This Row],[DUT Adj Read]]="N/A",Table1[[#This Row],[Std Adj Read]]="N/A"),"N/A",IF(Table1[[#This Row],[DUT Adj Read]]="N/A",IF(Table1[[#This Row],[Std Adj Read]]&gt;Table1[[#This Row],[Low Tol]],"Pass","Fail"),IF(Table1[[#This Row],[DUT Adj Read]]&gt;Table1[[#This Row],[Low Tol]],"Pass","Fail")))</f>
        <v>Pass</v>
      </c>
      <c r="AE2441" s="1" t="str">
        <f>IF(AND(Table1[[#This Row],[Spec Type2]]="N/A",Table1[[#This Row],[DUT Adj Read]]="N/A",Table1[[#This Row],[Std Adj Read]]="N/A"),"N/A",IF(Table1[[#This Row],[DUT Adj Read]]="N/A",IF(Table1[[#This Row],[Std Adj Read]]&lt;Table1[[#This Row],[High Tol]],"Pass","Fail"),IF(Table1[[#This Row],[DUT Adj Read]]&lt;Table1[[#This Row],[High Tol]],"Pass","Fail")))</f>
        <v>Fail</v>
      </c>
      <c r="AF2441" s="1" t="str">
        <f>IF(AND(Table1[[#This Row],[Spec Type2]]="N/A",Table1[[#This Row],[DUT Adj Read]]="N/A",Table1[[#This Row],[Std Adj Read]]="N/A"),"N/A",IF(Table1[[#This Row],[DUT Adj Read]]="N/A",IF(Table1[[#This Row],[Std Adj Read]]&gt;=Table1[[#This Row],[Low Tol]],"Pass","Fail"),IF(Table1[[#This Row],[DUT Adj Read]]&gt;=Table1[[#This Row],[Low Tol]],"Pass","Fail")))</f>
        <v>Pass</v>
      </c>
      <c r="AG2441" s="1" t="str">
        <f>IF(AND(Table1[[#This Row],[Spec Type2]]="N/A",Table1[[#This Row],[DUT Adj Read]]="N/A",Table1[[#This Row],[Std Adj Read]]="N/A"),"N/A",IF(Table1[[#This Row],[DUT Adj Read]]="N/A",IF(Table1[[#This Row],[Std Adj Read]]&lt;=Table1[[#This Row],[High Tol]],"Pass","Fail"),IF(Table1[[#This Row],[DUT Adj Read]]&lt;=Table1[[#This Row],[High Tol]],"Pass","Fail")))</f>
        <v>Fail</v>
      </c>
      <c r="AH24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1" s="1" t="b">
        <v>0</v>
      </c>
      <c r="AN2441" s="1" t="b">
        <v>0</v>
      </c>
      <c r="AO2441" s="1" t="b">
        <v>0</v>
      </c>
    </row>
    <row r="2442" spans="1:41" x14ac:dyDescent="0.25">
      <c r="A2442" s="10"/>
      <c r="B2442" s="10"/>
      <c r="C2442" s="10"/>
      <c r="D2442" s="10"/>
      <c r="E2442" s="10"/>
      <c r="F2442" s="10"/>
      <c r="G2442" s="10"/>
      <c r="H2442" s="10"/>
      <c r="I2442" s="1" t="str">
        <f t="shared" si="111"/>
        <v/>
      </c>
      <c r="J2442" s="1" t="s">
        <v>35</v>
      </c>
      <c r="K2442" s="1" t="str">
        <f t="shared" si="112"/>
        <v/>
      </c>
      <c r="L2442" s="1" t="str">
        <f t="shared" si="113"/>
        <v/>
      </c>
      <c r="M2442" s="1">
        <f>IF(OR(Table1[[#This Row],[Std Nom]]="",Table1[[#This Row],[Std Read]]=""),0,Table1[[#This Row],[Std Nom]]-Table1[[#This Row],[Std Read]])</f>
        <v>0</v>
      </c>
      <c r="N2442" s="1">
        <f>IF(Calculations!$F$5="ACCREDITED 17025 WITH UNCERTAINTIES",$N$10,0)</f>
        <v>0</v>
      </c>
      <c r="Q2442" s="1">
        <f>Table1[[#This Row],[High Tol]]-Table1[[#This Row],[Low Tol]]</f>
        <v>0</v>
      </c>
      <c r="R2442" s="1">
        <f>2*Table1[[#This Row],[Std Error]]</f>
        <v>0</v>
      </c>
      <c r="S2442" s="1" t="str">
        <f>IF(Table1[[#This Row],[High Tol]]="","N/A",IFERROR(ABS(Table1[[#This Row],[Tol Span]]/Table1[[#This Row],[Error Span]]),"N/A"))</f>
        <v>N/A</v>
      </c>
      <c r="T2442" s="1" t="str">
        <f>IF(OR(Table1[[#This Row],[Low Tol]]="",Table1[[#This Row],[High Tol]]=""),"Needs Analysis",IF(Table1[[#This Row],[Ratio]]&gt;=4,"Not Significant",IF(Table1[[#This Row],[Ratio]]&gt;=2,"Semi-Significant","Significant")))</f>
        <v>Needs Analysis</v>
      </c>
      <c r="W2442" s="1">
        <f>IF(Table1[[#This Row],[Cal Type]]&lt;&gt;"ACCREDITED 17025 WITH UNCERTAINTIES",0,"")</f>
        <v>0</v>
      </c>
      <c r="X2442" s="1" t="str">
        <f>IF(Table1[[#This Row],[DUT Read]]="","N/A",Table1[[#This Row],[Std Error]]+Table1[[#This Row],[DUT Read]]+Table1[[#This Row],[DUT Ucty]])</f>
        <v>N/A</v>
      </c>
      <c r="Y2442" s="1" t="str">
        <f>IF(Table1[[#This Row],[Std Read]]="","N/A",Table1[[#This Row],[Std Read]]+Table1[[#This Row],[Std Ucty]])</f>
        <v>N/A</v>
      </c>
      <c r="Z24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2" s="1" t="str">
        <f>IF(Table1[[#This Row],[Spec Type]]="","N/A",Table1[[#This Row],[Spec Type]])</f>
        <v>±</v>
      </c>
      <c r="AC2442" s="1" t="str">
        <f>IF(Table1[[#This Row],[Spec Type2]]="N/A","N/A",IF(AND(Table1[[#This Row],[DUT Adj Read]]&gt;=Table1[[#This Row],[Low Tol]],Table1[[#This Row],[DUT Adj Read]]&lt;=Table1[[#This Row],[High Tol]]),"Pass","Fail"))</f>
        <v>Fail</v>
      </c>
      <c r="AD2442" s="1" t="str">
        <f>IF(AND(Table1[[#This Row],[Spec Type2]]="N/A",Table1[[#This Row],[DUT Adj Read]]="N/A",Table1[[#This Row],[Std Adj Read]]="N/A"),"N/A",IF(Table1[[#This Row],[DUT Adj Read]]="N/A",IF(Table1[[#This Row],[Std Adj Read]]&gt;Table1[[#This Row],[Low Tol]],"Pass","Fail"),IF(Table1[[#This Row],[DUT Adj Read]]&gt;Table1[[#This Row],[Low Tol]],"Pass","Fail")))</f>
        <v>Pass</v>
      </c>
      <c r="AE2442" s="1" t="str">
        <f>IF(AND(Table1[[#This Row],[Spec Type2]]="N/A",Table1[[#This Row],[DUT Adj Read]]="N/A",Table1[[#This Row],[Std Adj Read]]="N/A"),"N/A",IF(Table1[[#This Row],[DUT Adj Read]]="N/A",IF(Table1[[#This Row],[Std Adj Read]]&lt;Table1[[#This Row],[High Tol]],"Pass","Fail"),IF(Table1[[#This Row],[DUT Adj Read]]&lt;Table1[[#This Row],[High Tol]],"Pass","Fail")))</f>
        <v>Fail</v>
      </c>
      <c r="AF2442" s="1" t="str">
        <f>IF(AND(Table1[[#This Row],[Spec Type2]]="N/A",Table1[[#This Row],[DUT Adj Read]]="N/A",Table1[[#This Row],[Std Adj Read]]="N/A"),"N/A",IF(Table1[[#This Row],[DUT Adj Read]]="N/A",IF(Table1[[#This Row],[Std Adj Read]]&gt;=Table1[[#This Row],[Low Tol]],"Pass","Fail"),IF(Table1[[#This Row],[DUT Adj Read]]&gt;=Table1[[#This Row],[Low Tol]],"Pass","Fail")))</f>
        <v>Pass</v>
      </c>
      <c r="AG2442" s="1" t="str">
        <f>IF(AND(Table1[[#This Row],[Spec Type2]]="N/A",Table1[[#This Row],[DUT Adj Read]]="N/A",Table1[[#This Row],[Std Adj Read]]="N/A"),"N/A",IF(Table1[[#This Row],[DUT Adj Read]]="N/A",IF(Table1[[#This Row],[Std Adj Read]]&lt;=Table1[[#This Row],[High Tol]],"Pass","Fail"),IF(Table1[[#This Row],[DUT Adj Read]]&lt;=Table1[[#This Row],[High Tol]],"Pass","Fail")))</f>
        <v>Fail</v>
      </c>
      <c r="AH24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2" s="1" t="b">
        <v>0</v>
      </c>
      <c r="AN2442" s="1" t="b">
        <v>0</v>
      </c>
      <c r="AO2442" s="1" t="b">
        <v>0</v>
      </c>
    </row>
    <row r="2443" spans="1:41" x14ac:dyDescent="0.25">
      <c r="A2443" s="10"/>
      <c r="B2443" s="10"/>
      <c r="C2443" s="10"/>
      <c r="D2443" s="10"/>
      <c r="E2443" s="10"/>
      <c r="F2443" s="10"/>
      <c r="G2443" s="10"/>
      <c r="H2443" s="10"/>
      <c r="I2443" s="1" t="str">
        <f t="shared" ref="I2443:I2506" si="114">IF($I$10="","",$I$10)</f>
        <v/>
      </c>
      <c r="J2443" s="1" t="s">
        <v>35</v>
      </c>
      <c r="K2443" s="1" t="str">
        <f t="shared" ref="K2443:K2506" si="115">IF($K$10="","",$K$10)</f>
        <v/>
      </c>
      <c r="L2443" s="1" t="str">
        <f t="shared" ref="L2443:L2506" si="116">IF($L$10="","",$L$10)</f>
        <v/>
      </c>
      <c r="M2443" s="1">
        <f>IF(OR(Table1[[#This Row],[Std Nom]]="",Table1[[#This Row],[Std Read]]=""),0,Table1[[#This Row],[Std Nom]]-Table1[[#This Row],[Std Read]])</f>
        <v>0</v>
      </c>
      <c r="N2443" s="1">
        <f>IF(Calculations!$F$5="ACCREDITED 17025 WITH UNCERTAINTIES",$N$10,0)</f>
        <v>0</v>
      </c>
      <c r="Q2443" s="1">
        <f>Table1[[#This Row],[High Tol]]-Table1[[#This Row],[Low Tol]]</f>
        <v>0</v>
      </c>
      <c r="R2443" s="1">
        <f>2*Table1[[#This Row],[Std Error]]</f>
        <v>0</v>
      </c>
      <c r="S2443" s="1" t="str">
        <f>IF(Table1[[#This Row],[High Tol]]="","N/A",IFERROR(ABS(Table1[[#This Row],[Tol Span]]/Table1[[#This Row],[Error Span]]),"N/A"))</f>
        <v>N/A</v>
      </c>
      <c r="T2443" s="1" t="str">
        <f>IF(OR(Table1[[#This Row],[Low Tol]]="",Table1[[#This Row],[High Tol]]=""),"Needs Analysis",IF(Table1[[#This Row],[Ratio]]&gt;=4,"Not Significant",IF(Table1[[#This Row],[Ratio]]&gt;=2,"Semi-Significant","Significant")))</f>
        <v>Needs Analysis</v>
      </c>
      <c r="W2443" s="1">
        <f>IF(Table1[[#This Row],[Cal Type]]&lt;&gt;"ACCREDITED 17025 WITH UNCERTAINTIES",0,"")</f>
        <v>0</v>
      </c>
      <c r="X2443" s="1" t="str">
        <f>IF(Table1[[#This Row],[DUT Read]]="","N/A",Table1[[#This Row],[Std Error]]+Table1[[#This Row],[DUT Read]]+Table1[[#This Row],[DUT Ucty]])</f>
        <v>N/A</v>
      </c>
      <c r="Y2443" s="1" t="str">
        <f>IF(Table1[[#This Row],[Std Read]]="","N/A",Table1[[#This Row],[Std Read]]+Table1[[#This Row],[Std Ucty]])</f>
        <v>N/A</v>
      </c>
      <c r="Z24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3" s="1" t="str">
        <f>IF(Table1[[#This Row],[Spec Type]]="","N/A",Table1[[#This Row],[Spec Type]])</f>
        <v>±</v>
      </c>
      <c r="AC2443" s="1" t="str">
        <f>IF(Table1[[#This Row],[Spec Type2]]="N/A","N/A",IF(AND(Table1[[#This Row],[DUT Adj Read]]&gt;=Table1[[#This Row],[Low Tol]],Table1[[#This Row],[DUT Adj Read]]&lt;=Table1[[#This Row],[High Tol]]),"Pass","Fail"))</f>
        <v>Fail</v>
      </c>
      <c r="AD2443" s="1" t="str">
        <f>IF(AND(Table1[[#This Row],[Spec Type2]]="N/A",Table1[[#This Row],[DUT Adj Read]]="N/A",Table1[[#This Row],[Std Adj Read]]="N/A"),"N/A",IF(Table1[[#This Row],[DUT Adj Read]]="N/A",IF(Table1[[#This Row],[Std Adj Read]]&gt;Table1[[#This Row],[Low Tol]],"Pass","Fail"),IF(Table1[[#This Row],[DUT Adj Read]]&gt;Table1[[#This Row],[Low Tol]],"Pass","Fail")))</f>
        <v>Pass</v>
      </c>
      <c r="AE2443" s="1" t="str">
        <f>IF(AND(Table1[[#This Row],[Spec Type2]]="N/A",Table1[[#This Row],[DUT Adj Read]]="N/A",Table1[[#This Row],[Std Adj Read]]="N/A"),"N/A",IF(Table1[[#This Row],[DUT Adj Read]]="N/A",IF(Table1[[#This Row],[Std Adj Read]]&lt;Table1[[#This Row],[High Tol]],"Pass","Fail"),IF(Table1[[#This Row],[DUT Adj Read]]&lt;Table1[[#This Row],[High Tol]],"Pass","Fail")))</f>
        <v>Fail</v>
      </c>
      <c r="AF2443" s="1" t="str">
        <f>IF(AND(Table1[[#This Row],[Spec Type2]]="N/A",Table1[[#This Row],[DUT Adj Read]]="N/A",Table1[[#This Row],[Std Adj Read]]="N/A"),"N/A",IF(Table1[[#This Row],[DUT Adj Read]]="N/A",IF(Table1[[#This Row],[Std Adj Read]]&gt;=Table1[[#This Row],[Low Tol]],"Pass","Fail"),IF(Table1[[#This Row],[DUT Adj Read]]&gt;=Table1[[#This Row],[Low Tol]],"Pass","Fail")))</f>
        <v>Pass</v>
      </c>
      <c r="AG2443" s="1" t="str">
        <f>IF(AND(Table1[[#This Row],[Spec Type2]]="N/A",Table1[[#This Row],[DUT Adj Read]]="N/A",Table1[[#This Row],[Std Adj Read]]="N/A"),"N/A",IF(Table1[[#This Row],[DUT Adj Read]]="N/A",IF(Table1[[#This Row],[Std Adj Read]]&lt;=Table1[[#This Row],[High Tol]],"Pass","Fail"),IF(Table1[[#This Row],[DUT Adj Read]]&lt;=Table1[[#This Row],[High Tol]],"Pass","Fail")))</f>
        <v>Fail</v>
      </c>
      <c r="AH24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3" s="1" t="b">
        <v>0</v>
      </c>
      <c r="AN2443" s="1" t="b">
        <v>0</v>
      </c>
      <c r="AO2443" s="1" t="b">
        <v>0</v>
      </c>
    </row>
    <row r="2444" spans="1:41" x14ac:dyDescent="0.25">
      <c r="A2444" s="10"/>
      <c r="B2444" s="10"/>
      <c r="C2444" s="10"/>
      <c r="D2444" s="10"/>
      <c r="E2444" s="10"/>
      <c r="F2444" s="10"/>
      <c r="G2444" s="10"/>
      <c r="H2444" s="10"/>
      <c r="I2444" s="1" t="str">
        <f t="shared" si="114"/>
        <v/>
      </c>
      <c r="J2444" s="1" t="s">
        <v>35</v>
      </c>
      <c r="K2444" s="1" t="str">
        <f t="shared" si="115"/>
        <v/>
      </c>
      <c r="L2444" s="1" t="str">
        <f t="shared" si="116"/>
        <v/>
      </c>
      <c r="M2444" s="1">
        <f>IF(OR(Table1[[#This Row],[Std Nom]]="",Table1[[#This Row],[Std Read]]=""),0,Table1[[#This Row],[Std Nom]]-Table1[[#This Row],[Std Read]])</f>
        <v>0</v>
      </c>
      <c r="N2444" s="1">
        <f>IF(Calculations!$F$5="ACCREDITED 17025 WITH UNCERTAINTIES",$N$10,0)</f>
        <v>0</v>
      </c>
      <c r="Q2444" s="1">
        <f>Table1[[#This Row],[High Tol]]-Table1[[#This Row],[Low Tol]]</f>
        <v>0</v>
      </c>
      <c r="R2444" s="1">
        <f>2*Table1[[#This Row],[Std Error]]</f>
        <v>0</v>
      </c>
      <c r="S2444" s="1" t="str">
        <f>IF(Table1[[#This Row],[High Tol]]="","N/A",IFERROR(ABS(Table1[[#This Row],[Tol Span]]/Table1[[#This Row],[Error Span]]),"N/A"))</f>
        <v>N/A</v>
      </c>
      <c r="T2444" s="1" t="str">
        <f>IF(OR(Table1[[#This Row],[Low Tol]]="",Table1[[#This Row],[High Tol]]=""),"Needs Analysis",IF(Table1[[#This Row],[Ratio]]&gt;=4,"Not Significant",IF(Table1[[#This Row],[Ratio]]&gt;=2,"Semi-Significant","Significant")))</f>
        <v>Needs Analysis</v>
      </c>
      <c r="W2444" s="1">
        <f>IF(Table1[[#This Row],[Cal Type]]&lt;&gt;"ACCREDITED 17025 WITH UNCERTAINTIES",0,"")</f>
        <v>0</v>
      </c>
      <c r="X2444" s="1" t="str">
        <f>IF(Table1[[#This Row],[DUT Read]]="","N/A",Table1[[#This Row],[Std Error]]+Table1[[#This Row],[DUT Read]]+Table1[[#This Row],[DUT Ucty]])</f>
        <v>N/A</v>
      </c>
      <c r="Y2444" s="1" t="str">
        <f>IF(Table1[[#This Row],[Std Read]]="","N/A",Table1[[#This Row],[Std Read]]+Table1[[#This Row],[Std Ucty]])</f>
        <v>N/A</v>
      </c>
      <c r="Z24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4" s="1" t="str">
        <f>IF(Table1[[#This Row],[Spec Type]]="","N/A",Table1[[#This Row],[Spec Type]])</f>
        <v>±</v>
      </c>
      <c r="AC2444" s="1" t="str">
        <f>IF(Table1[[#This Row],[Spec Type2]]="N/A","N/A",IF(AND(Table1[[#This Row],[DUT Adj Read]]&gt;=Table1[[#This Row],[Low Tol]],Table1[[#This Row],[DUT Adj Read]]&lt;=Table1[[#This Row],[High Tol]]),"Pass","Fail"))</f>
        <v>Fail</v>
      </c>
      <c r="AD2444" s="1" t="str">
        <f>IF(AND(Table1[[#This Row],[Spec Type2]]="N/A",Table1[[#This Row],[DUT Adj Read]]="N/A",Table1[[#This Row],[Std Adj Read]]="N/A"),"N/A",IF(Table1[[#This Row],[DUT Adj Read]]="N/A",IF(Table1[[#This Row],[Std Adj Read]]&gt;Table1[[#This Row],[Low Tol]],"Pass","Fail"),IF(Table1[[#This Row],[DUT Adj Read]]&gt;Table1[[#This Row],[Low Tol]],"Pass","Fail")))</f>
        <v>Pass</v>
      </c>
      <c r="AE2444" s="1" t="str">
        <f>IF(AND(Table1[[#This Row],[Spec Type2]]="N/A",Table1[[#This Row],[DUT Adj Read]]="N/A",Table1[[#This Row],[Std Adj Read]]="N/A"),"N/A",IF(Table1[[#This Row],[DUT Adj Read]]="N/A",IF(Table1[[#This Row],[Std Adj Read]]&lt;Table1[[#This Row],[High Tol]],"Pass","Fail"),IF(Table1[[#This Row],[DUT Adj Read]]&lt;Table1[[#This Row],[High Tol]],"Pass","Fail")))</f>
        <v>Fail</v>
      </c>
      <c r="AF2444" s="1" t="str">
        <f>IF(AND(Table1[[#This Row],[Spec Type2]]="N/A",Table1[[#This Row],[DUT Adj Read]]="N/A",Table1[[#This Row],[Std Adj Read]]="N/A"),"N/A",IF(Table1[[#This Row],[DUT Adj Read]]="N/A",IF(Table1[[#This Row],[Std Adj Read]]&gt;=Table1[[#This Row],[Low Tol]],"Pass","Fail"),IF(Table1[[#This Row],[DUT Adj Read]]&gt;=Table1[[#This Row],[Low Tol]],"Pass","Fail")))</f>
        <v>Pass</v>
      </c>
      <c r="AG2444" s="1" t="str">
        <f>IF(AND(Table1[[#This Row],[Spec Type2]]="N/A",Table1[[#This Row],[DUT Adj Read]]="N/A",Table1[[#This Row],[Std Adj Read]]="N/A"),"N/A",IF(Table1[[#This Row],[DUT Adj Read]]="N/A",IF(Table1[[#This Row],[Std Adj Read]]&lt;=Table1[[#This Row],[High Tol]],"Pass","Fail"),IF(Table1[[#This Row],[DUT Adj Read]]&lt;=Table1[[#This Row],[High Tol]],"Pass","Fail")))</f>
        <v>Fail</v>
      </c>
      <c r="AH24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4" s="1" t="b">
        <v>0</v>
      </c>
      <c r="AN2444" s="1" t="b">
        <v>0</v>
      </c>
      <c r="AO2444" s="1" t="b">
        <v>0</v>
      </c>
    </row>
    <row r="2445" spans="1:41" x14ac:dyDescent="0.25">
      <c r="A2445" s="10"/>
      <c r="B2445" s="10"/>
      <c r="C2445" s="10"/>
      <c r="D2445" s="10"/>
      <c r="E2445" s="10"/>
      <c r="F2445" s="10"/>
      <c r="G2445" s="10"/>
      <c r="H2445" s="10"/>
      <c r="I2445" s="1" t="str">
        <f t="shared" si="114"/>
        <v/>
      </c>
      <c r="J2445" s="1" t="s">
        <v>35</v>
      </c>
      <c r="K2445" s="1" t="str">
        <f t="shared" si="115"/>
        <v/>
      </c>
      <c r="L2445" s="1" t="str">
        <f t="shared" si="116"/>
        <v/>
      </c>
      <c r="M2445" s="1">
        <f>IF(OR(Table1[[#This Row],[Std Nom]]="",Table1[[#This Row],[Std Read]]=""),0,Table1[[#This Row],[Std Nom]]-Table1[[#This Row],[Std Read]])</f>
        <v>0</v>
      </c>
      <c r="N2445" s="1">
        <f>IF(Calculations!$F$5="ACCREDITED 17025 WITH UNCERTAINTIES",$N$10,0)</f>
        <v>0</v>
      </c>
      <c r="Q2445" s="1">
        <f>Table1[[#This Row],[High Tol]]-Table1[[#This Row],[Low Tol]]</f>
        <v>0</v>
      </c>
      <c r="R2445" s="1">
        <f>2*Table1[[#This Row],[Std Error]]</f>
        <v>0</v>
      </c>
      <c r="S2445" s="1" t="str">
        <f>IF(Table1[[#This Row],[High Tol]]="","N/A",IFERROR(ABS(Table1[[#This Row],[Tol Span]]/Table1[[#This Row],[Error Span]]),"N/A"))</f>
        <v>N/A</v>
      </c>
      <c r="T2445" s="1" t="str">
        <f>IF(OR(Table1[[#This Row],[Low Tol]]="",Table1[[#This Row],[High Tol]]=""),"Needs Analysis",IF(Table1[[#This Row],[Ratio]]&gt;=4,"Not Significant",IF(Table1[[#This Row],[Ratio]]&gt;=2,"Semi-Significant","Significant")))</f>
        <v>Needs Analysis</v>
      </c>
      <c r="W2445" s="1">
        <f>IF(Table1[[#This Row],[Cal Type]]&lt;&gt;"ACCREDITED 17025 WITH UNCERTAINTIES",0,"")</f>
        <v>0</v>
      </c>
      <c r="X2445" s="1" t="str">
        <f>IF(Table1[[#This Row],[DUT Read]]="","N/A",Table1[[#This Row],[Std Error]]+Table1[[#This Row],[DUT Read]]+Table1[[#This Row],[DUT Ucty]])</f>
        <v>N/A</v>
      </c>
      <c r="Y2445" s="1" t="str">
        <f>IF(Table1[[#This Row],[Std Read]]="","N/A",Table1[[#This Row],[Std Read]]+Table1[[#This Row],[Std Ucty]])</f>
        <v>N/A</v>
      </c>
      <c r="Z24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5" s="1" t="str">
        <f>IF(Table1[[#This Row],[Spec Type]]="","N/A",Table1[[#This Row],[Spec Type]])</f>
        <v>±</v>
      </c>
      <c r="AC2445" s="1" t="str">
        <f>IF(Table1[[#This Row],[Spec Type2]]="N/A","N/A",IF(AND(Table1[[#This Row],[DUT Adj Read]]&gt;=Table1[[#This Row],[Low Tol]],Table1[[#This Row],[DUT Adj Read]]&lt;=Table1[[#This Row],[High Tol]]),"Pass","Fail"))</f>
        <v>Fail</v>
      </c>
      <c r="AD2445" s="1" t="str">
        <f>IF(AND(Table1[[#This Row],[Spec Type2]]="N/A",Table1[[#This Row],[DUT Adj Read]]="N/A",Table1[[#This Row],[Std Adj Read]]="N/A"),"N/A",IF(Table1[[#This Row],[DUT Adj Read]]="N/A",IF(Table1[[#This Row],[Std Adj Read]]&gt;Table1[[#This Row],[Low Tol]],"Pass","Fail"),IF(Table1[[#This Row],[DUT Adj Read]]&gt;Table1[[#This Row],[Low Tol]],"Pass","Fail")))</f>
        <v>Pass</v>
      </c>
      <c r="AE2445" s="1" t="str">
        <f>IF(AND(Table1[[#This Row],[Spec Type2]]="N/A",Table1[[#This Row],[DUT Adj Read]]="N/A",Table1[[#This Row],[Std Adj Read]]="N/A"),"N/A",IF(Table1[[#This Row],[DUT Adj Read]]="N/A",IF(Table1[[#This Row],[Std Adj Read]]&lt;Table1[[#This Row],[High Tol]],"Pass","Fail"),IF(Table1[[#This Row],[DUT Adj Read]]&lt;Table1[[#This Row],[High Tol]],"Pass","Fail")))</f>
        <v>Fail</v>
      </c>
      <c r="AF2445" s="1" t="str">
        <f>IF(AND(Table1[[#This Row],[Spec Type2]]="N/A",Table1[[#This Row],[DUT Adj Read]]="N/A",Table1[[#This Row],[Std Adj Read]]="N/A"),"N/A",IF(Table1[[#This Row],[DUT Adj Read]]="N/A",IF(Table1[[#This Row],[Std Adj Read]]&gt;=Table1[[#This Row],[Low Tol]],"Pass","Fail"),IF(Table1[[#This Row],[DUT Adj Read]]&gt;=Table1[[#This Row],[Low Tol]],"Pass","Fail")))</f>
        <v>Pass</v>
      </c>
      <c r="AG2445" s="1" t="str">
        <f>IF(AND(Table1[[#This Row],[Spec Type2]]="N/A",Table1[[#This Row],[DUT Adj Read]]="N/A",Table1[[#This Row],[Std Adj Read]]="N/A"),"N/A",IF(Table1[[#This Row],[DUT Adj Read]]="N/A",IF(Table1[[#This Row],[Std Adj Read]]&lt;=Table1[[#This Row],[High Tol]],"Pass","Fail"),IF(Table1[[#This Row],[DUT Adj Read]]&lt;=Table1[[#This Row],[High Tol]],"Pass","Fail")))</f>
        <v>Fail</v>
      </c>
      <c r="AH24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5" s="1" t="b">
        <v>0</v>
      </c>
      <c r="AN2445" s="1" t="b">
        <v>0</v>
      </c>
      <c r="AO2445" s="1" t="b">
        <v>0</v>
      </c>
    </row>
    <row r="2446" spans="1:41" x14ac:dyDescent="0.25">
      <c r="A2446" s="10"/>
      <c r="B2446" s="10"/>
      <c r="C2446" s="10"/>
      <c r="D2446" s="10"/>
      <c r="E2446" s="10"/>
      <c r="F2446" s="10"/>
      <c r="G2446" s="10"/>
      <c r="H2446" s="10"/>
      <c r="I2446" s="1" t="str">
        <f t="shared" si="114"/>
        <v/>
      </c>
      <c r="J2446" s="1" t="s">
        <v>35</v>
      </c>
      <c r="K2446" s="1" t="str">
        <f t="shared" si="115"/>
        <v/>
      </c>
      <c r="L2446" s="1" t="str">
        <f t="shared" si="116"/>
        <v/>
      </c>
      <c r="M2446" s="1">
        <f>IF(OR(Table1[[#This Row],[Std Nom]]="",Table1[[#This Row],[Std Read]]=""),0,Table1[[#This Row],[Std Nom]]-Table1[[#This Row],[Std Read]])</f>
        <v>0</v>
      </c>
      <c r="N2446" s="1">
        <f>IF(Calculations!$F$5="ACCREDITED 17025 WITH UNCERTAINTIES",$N$10,0)</f>
        <v>0</v>
      </c>
      <c r="Q2446" s="1">
        <f>Table1[[#This Row],[High Tol]]-Table1[[#This Row],[Low Tol]]</f>
        <v>0</v>
      </c>
      <c r="R2446" s="1">
        <f>2*Table1[[#This Row],[Std Error]]</f>
        <v>0</v>
      </c>
      <c r="S2446" s="1" t="str">
        <f>IF(Table1[[#This Row],[High Tol]]="","N/A",IFERROR(ABS(Table1[[#This Row],[Tol Span]]/Table1[[#This Row],[Error Span]]),"N/A"))</f>
        <v>N/A</v>
      </c>
      <c r="T2446" s="1" t="str">
        <f>IF(OR(Table1[[#This Row],[Low Tol]]="",Table1[[#This Row],[High Tol]]=""),"Needs Analysis",IF(Table1[[#This Row],[Ratio]]&gt;=4,"Not Significant",IF(Table1[[#This Row],[Ratio]]&gt;=2,"Semi-Significant","Significant")))</f>
        <v>Needs Analysis</v>
      </c>
      <c r="W2446" s="1">
        <f>IF(Table1[[#This Row],[Cal Type]]&lt;&gt;"ACCREDITED 17025 WITH UNCERTAINTIES",0,"")</f>
        <v>0</v>
      </c>
      <c r="X2446" s="1" t="str">
        <f>IF(Table1[[#This Row],[DUT Read]]="","N/A",Table1[[#This Row],[Std Error]]+Table1[[#This Row],[DUT Read]]+Table1[[#This Row],[DUT Ucty]])</f>
        <v>N/A</v>
      </c>
      <c r="Y2446" s="1" t="str">
        <f>IF(Table1[[#This Row],[Std Read]]="","N/A",Table1[[#This Row],[Std Read]]+Table1[[#This Row],[Std Ucty]])</f>
        <v>N/A</v>
      </c>
      <c r="Z24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6" s="1" t="str">
        <f>IF(Table1[[#This Row],[Spec Type]]="","N/A",Table1[[#This Row],[Spec Type]])</f>
        <v>±</v>
      </c>
      <c r="AC2446" s="1" t="str">
        <f>IF(Table1[[#This Row],[Spec Type2]]="N/A","N/A",IF(AND(Table1[[#This Row],[DUT Adj Read]]&gt;=Table1[[#This Row],[Low Tol]],Table1[[#This Row],[DUT Adj Read]]&lt;=Table1[[#This Row],[High Tol]]),"Pass","Fail"))</f>
        <v>Fail</v>
      </c>
      <c r="AD2446" s="1" t="str">
        <f>IF(AND(Table1[[#This Row],[Spec Type2]]="N/A",Table1[[#This Row],[DUT Adj Read]]="N/A",Table1[[#This Row],[Std Adj Read]]="N/A"),"N/A",IF(Table1[[#This Row],[DUT Adj Read]]="N/A",IF(Table1[[#This Row],[Std Adj Read]]&gt;Table1[[#This Row],[Low Tol]],"Pass","Fail"),IF(Table1[[#This Row],[DUT Adj Read]]&gt;Table1[[#This Row],[Low Tol]],"Pass","Fail")))</f>
        <v>Pass</v>
      </c>
      <c r="AE2446" s="1" t="str">
        <f>IF(AND(Table1[[#This Row],[Spec Type2]]="N/A",Table1[[#This Row],[DUT Adj Read]]="N/A",Table1[[#This Row],[Std Adj Read]]="N/A"),"N/A",IF(Table1[[#This Row],[DUT Adj Read]]="N/A",IF(Table1[[#This Row],[Std Adj Read]]&lt;Table1[[#This Row],[High Tol]],"Pass","Fail"),IF(Table1[[#This Row],[DUT Adj Read]]&lt;Table1[[#This Row],[High Tol]],"Pass","Fail")))</f>
        <v>Fail</v>
      </c>
      <c r="AF2446" s="1" t="str">
        <f>IF(AND(Table1[[#This Row],[Spec Type2]]="N/A",Table1[[#This Row],[DUT Adj Read]]="N/A",Table1[[#This Row],[Std Adj Read]]="N/A"),"N/A",IF(Table1[[#This Row],[DUT Adj Read]]="N/A",IF(Table1[[#This Row],[Std Adj Read]]&gt;=Table1[[#This Row],[Low Tol]],"Pass","Fail"),IF(Table1[[#This Row],[DUT Adj Read]]&gt;=Table1[[#This Row],[Low Tol]],"Pass","Fail")))</f>
        <v>Pass</v>
      </c>
      <c r="AG2446" s="1" t="str">
        <f>IF(AND(Table1[[#This Row],[Spec Type2]]="N/A",Table1[[#This Row],[DUT Adj Read]]="N/A",Table1[[#This Row],[Std Adj Read]]="N/A"),"N/A",IF(Table1[[#This Row],[DUT Adj Read]]="N/A",IF(Table1[[#This Row],[Std Adj Read]]&lt;=Table1[[#This Row],[High Tol]],"Pass","Fail"),IF(Table1[[#This Row],[DUT Adj Read]]&lt;=Table1[[#This Row],[High Tol]],"Pass","Fail")))</f>
        <v>Fail</v>
      </c>
      <c r="AH24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6" s="1" t="b">
        <v>0</v>
      </c>
      <c r="AN2446" s="1" t="b">
        <v>0</v>
      </c>
      <c r="AO2446" s="1" t="b">
        <v>0</v>
      </c>
    </row>
    <row r="2447" spans="1:41" x14ac:dyDescent="0.25">
      <c r="A2447" s="10"/>
      <c r="B2447" s="10"/>
      <c r="C2447" s="10"/>
      <c r="D2447" s="10"/>
      <c r="E2447" s="10"/>
      <c r="F2447" s="10"/>
      <c r="G2447" s="10"/>
      <c r="H2447" s="10"/>
      <c r="I2447" s="1" t="str">
        <f t="shared" si="114"/>
        <v/>
      </c>
      <c r="J2447" s="1" t="s">
        <v>35</v>
      </c>
      <c r="K2447" s="1" t="str">
        <f t="shared" si="115"/>
        <v/>
      </c>
      <c r="L2447" s="1" t="str">
        <f t="shared" si="116"/>
        <v/>
      </c>
      <c r="M2447" s="1">
        <f>IF(OR(Table1[[#This Row],[Std Nom]]="",Table1[[#This Row],[Std Read]]=""),0,Table1[[#This Row],[Std Nom]]-Table1[[#This Row],[Std Read]])</f>
        <v>0</v>
      </c>
      <c r="N2447" s="1">
        <f>IF(Calculations!$F$5="ACCREDITED 17025 WITH UNCERTAINTIES",$N$10,0)</f>
        <v>0</v>
      </c>
      <c r="Q2447" s="1">
        <f>Table1[[#This Row],[High Tol]]-Table1[[#This Row],[Low Tol]]</f>
        <v>0</v>
      </c>
      <c r="R2447" s="1">
        <f>2*Table1[[#This Row],[Std Error]]</f>
        <v>0</v>
      </c>
      <c r="S2447" s="1" t="str">
        <f>IF(Table1[[#This Row],[High Tol]]="","N/A",IFERROR(ABS(Table1[[#This Row],[Tol Span]]/Table1[[#This Row],[Error Span]]),"N/A"))</f>
        <v>N/A</v>
      </c>
      <c r="T2447" s="1" t="str">
        <f>IF(OR(Table1[[#This Row],[Low Tol]]="",Table1[[#This Row],[High Tol]]=""),"Needs Analysis",IF(Table1[[#This Row],[Ratio]]&gt;=4,"Not Significant",IF(Table1[[#This Row],[Ratio]]&gt;=2,"Semi-Significant","Significant")))</f>
        <v>Needs Analysis</v>
      </c>
      <c r="W2447" s="1">
        <f>IF(Table1[[#This Row],[Cal Type]]&lt;&gt;"ACCREDITED 17025 WITH UNCERTAINTIES",0,"")</f>
        <v>0</v>
      </c>
      <c r="X2447" s="1" t="str">
        <f>IF(Table1[[#This Row],[DUT Read]]="","N/A",Table1[[#This Row],[Std Error]]+Table1[[#This Row],[DUT Read]]+Table1[[#This Row],[DUT Ucty]])</f>
        <v>N/A</v>
      </c>
      <c r="Y2447" s="1" t="str">
        <f>IF(Table1[[#This Row],[Std Read]]="","N/A",Table1[[#This Row],[Std Read]]+Table1[[#This Row],[Std Ucty]])</f>
        <v>N/A</v>
      </c>
      <c r="Z24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7" s="1" t="str">
        <f>IF(Table1[[#This Row],[Spec Type]]="","N/A",Table1[[#This Row],[Spec Type]])</f>
        <v>±</v>
      </c>
      <c r="AC2447" s="1" t="str">
        <f>IF(Table1[[#This Row],[Spec Type2]]="N/A","N/A",IF(AND(Table1[[#This Row],[DUT Adj Read]]&gt;=Table1[[#This Row],[Low Tol]],Table1[[#This Row],[DUT Adj Read]]&lt;=Table1[[#This Row],[High Tol]]),"Pass","Fail"))</f>
        <v>Fail</v>
      </c>
      <c r="AD2447" s="1" t="str">
        <f>IF(AND(Table1[[#This Row],[Spec Type2]]="N/A",Table1[[#This Row],[DUT Adj Read]]="N/A",Table1[[#This Row],[Std Adj Read]]="N/A"),"N/A",IF(Table1[[#This Row],[DUT Adj Read]]="N/A",IF(Table1[[#This Row],[Std Adj Read]]&gt;Table1[[#This Row],[Low Tol]],"Pass","Fail"),IF(Table1[[#This Row],[DUT Adj Read]]&gt;Table1[[#This Row],[Low Tol]],"Pass","Fail")))</f>
        <v>Pass</v>
      </c>
      <c r="AE2447" s="1" t="str">
        <f>IF(AND(Table1[[#This Row],[Spec Type2]]="N/A",Table1[[#This Row],[DUT Adj Read]]="N/A",Table1[[#This Row],[Std Adj Read]]="N/A"),"N/A",IF(Table1[[#This Row],[DUT Adj Read]]="N/A",IF(Table1[[#This Row],[Std Adj Read]]&lt;Table1[[#This Row],[High Tol]],"Pass","Fail"),IF(Table1[[#This Row],[DUT Adj Read]]&lt;Table1[[#This Row],[High Tol]],"Pass","Fail")))</f>
        <v>Fail</v>
      </c>
      <c r="AF2447" s="1" t="str">
        <f>IF(AND(Table1[[#This Row],[Spec Type2]]="N/A",Table1[[#This Row],[DUT Adj Read]]="N/A",Table1[[#This Row],[Std Adj Read]]="N/A"),"N/A",IF(Table1[[#This Row],[DUT Adj Read]]="N/A",IF(Table1[[#This Row],[Std Adj Read]]&gt;=Table1[[#This Row],[Low Tol]],"Pass","Fail"),IF(Table1[[#This Row],[DUT Adj Read]]&gt;=Table1[[#This Row],[Low Tol]],"Pass","Fail")))</f>
        <v>Pass</v>
      </c>
      <c r="AG2447" s="1" t="str">
        <f>IF(AND(Table1[[#This Row],[Spec Type2]]="N/A",Table1[[#This Row],[DUT Adj Read]]="N/A",Table1[[#This Row],[Std Adj Read]]="N/A"),"N/A",IF(Table1[[#This Row],[DUT Adj Read]]="N/A",IF(Table1[[#This Row],[Std Adj Read]]&lt;=Table1[[#This Row],[High Tol]],"Pass","Fail"),IF(Table1[[#This Row],[DUT Adj Read]]&lt;=Table1[[#This Row],[High Tol]],"Pass","Fail")))</f>
        <v>Fail</v>
      </c>
      <c r="AH24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7" s="1" t="b">
        <v>0</v>
      </c>
      <c r="AN2447" s="1" t="b">
        <v>0</v>
      </c>
      <c r="AO2447" s="1" t="b">
        <v>0</v>
      </c>
    </row>
    <row r="2448" spans="1:41" x14ac:dyDescent="0.25">
      <c r="A2448" s="10"/>
      <c r="B2448" s="10"/>
      <c r="C2448" s="10"/>
      <c r="D2448" s="10"/>
      <c r="E2448" s="10"/>
      <c r="F2448" s="10"/>
      <c r="G2448" s="10"/>
      <c r="H2448" s="10"/>
      <c r="I2448" s="1" t="str">
        <f t="shared" si="114"/>
        <v/>
      </c>
      <c r="J2448" s="1" t="s">
        <v>35</v>
      </c>
      <c r="K2448" s="1" t="str">
        <f t="shared" si="115"/>
        <v/>
      </c>
      <c r="L2448" s="1" t="str">
        <f t="shared" si="116"/>
        <v/>
      </c>
      <c r="M2448" s="1">
        <f>IF(OR(Table1[[#This Row],[Std Nom]]="",Table1[[#This Row],[Std Read]]=""),0,Table1[[#This Row],[Std Nom]]-Table1[[#This Row],[Std Read]])</f>
        <v>0</v>
      </c>
      <c r="N2448" s="1">
        <f>IF(Calculations!$F$5="ACCREDITED 17025 WITH UNCERTAINTIES",$N$10,0)</f>
        <v>0</v>
      </c>
      <c r="Q2448" s="1">
        <f>Table1[[#This Row],[High Tol]]-Table1[[#This Row],[Low Tol]]</f>
        <v>0</v>
      </c>
      <c r="R2448" s="1">
        <f>2*Table1[[#This Row],[Std Error]]</f>
        <v>0</v>
      </c>
      <c r="S2448" s="1" t="str">
        <f>IF(Table1[[#This Row],[High Tol]]="","N/A",IFERROR(ABS(Table1[[#This Row],[Tol Span]]/Table1[[#This Row],[Error Span]]),"N/A"))</f>
        <v>N/A</v>
      </c>
      <c r="T2448" s="1" t="str">
        <f>IF(OR(Table1[[#This Row],[Low Tol]]="",Table1[[#This Row],[High Tol]]=""),"Needs Analysis",IF(Table1[[#This Row],[Ratio]]&gt;=4,"Not Significant",IF(Table1[[#This Row],[Ratio]]&gt;=2,"Semi-Significant","Significant")))</f>
        <v>Needs Analysis</v>
      </c>
      <c r="W2448" s="1">
        <f>IF(Table1[[#This Row],[Cal Type]]&lt;&gt;"ACCREDITED 17025 WITH UNCERTAINTIES",0,"")</f>
        <v>0</v>
      </c>
      <c r="X2448" s="1" t="str">
        <f>IF(Table1[[#This Row],[DUT Read]]="","N/A",Table1[[#This Row],[Std Error]]+Table1[[#This Row],[DUT Read]]+Table1[[#This Row],[DUT Ucty]])</f>
        <v>N/A</v>
      </c>
      <c r="Y2448" s="1" t="str">
        <f>IF(Table1[[#This Row],[Std Read]]="","N/A",Table1[[#This Row],[Std Read]]+Table1[[#This Row],[Std Ucty]])</f>
        <v>N/A</v>
      </c>
      <c r="Z24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8" s="1" t="str">
        <f>IF(Table1[[#This Row],[Spec Type]]="","N/A",Table1[[#This Row],[Spec Type]])</f>
        <v>±</v>
      </c>
      <c r="AC2448" s="1" t="str">
        <f>IF(Table1[[#This Row],[Spec Type2]]="N/A","N/A",IF(AND(Table1[[#This Row],[DUT Adj Read]]&gt;=Table1[[#This Row],[Low Tol]],Table1[[#This Row],[DUT Adj Read]]&lt;=Table1[[#This Row],[High Tol]]),"Pass","Fail"))</f>
        <v>Fail</v>
      </c>
      <c r="AD2448" s="1" t="str">
        <f>IF(AND(Table1[[#This Row],[Spec Type2]]="N/A",Table1[[#This Row],[DUT Adj Read]]="N/A",Table1[[#This Row],[Std Adj Read]]="N/A"),"N/A",IF(Table1[[#This Row],[DUT Adj Read]]="N/A",IF(Table1[[#This Row],[Std Adj Read]]&gt;Table1[[#This Row],[Low Tol]],"Pass","Fail"),IF(Table1[[#This Row],[DUT Adj Read]]&gt;Table1[[#This Row],[Low Tol]],"Pass","Fail")))</f>
        <v>Pass</v>
      </c>
      <c r="AE2448" s="1" t="str">
        <f>IF(AND(Table1[[#This Row],[Spec Type2]]="N/A",Table1[[#This Row],[DUT Adj Read]]="N/A",Table1[[#This Row],[Std Adj Read]]="N/A"),"N/A",IF(Table1[[#This Row],[DUT Adj Read]]="N/A",IF(Table1[[#This Row],[Std Adj Read]]&lt;Table1[[#This Row],[High Tol]],"Pass","Fail"),IF(Table1[[#This Row],[DUT Adj Read]]&lt;Table1[[#This Row],[High Tol]],"Pass","Fail")))</f>
        <v>Fail</v>
      </c>
      <c r="AF2448" s="1" t="str">
        <f>IF(AND(Table1[[#This Row],[Spec Type2]]="N/A",Table1[[#This Row],[DUT Adj Read]]="N/A",Table1[[#This Row],[Std Adj Read]]="N/A"),"N/A",IF(Table1[[#This Row],[DUT Adj Read]]="N/A",IF(Table1[[#This Row],[Std Adj Read]]&gt;=Table1[[#This Row],[Low Tol]],"Pass","Fail"),IF(Table1[[#This Row],[DUT Adj Read]]&gt;=Table1[[#This Row],[Low Tol]],"Pass","Fail")))</f>
        <v>Pass</v>
      </c>
      <c r="AG2448" s="1" t="str">
        <f>IF(AND(Table1[[#This Row],[Spec Type2]]="N/A",Table1[[#This Row],[DUT Adj Read]]="N/A",Table1[[#This Row],[Std Adj Read]]="N/A"),"N/A",IF(Table1[[#This Row],[DUT Adj Read]]="N/A",IF(Table1[[#This Row],[Std Adj Read]]&lt;=Table1[[#This Row],[High Tol]],"Pass","Fail"),IF(Table1[[#This Row],[DUT Adj Read]]&lt;=Table1[[#This Row],[High Tol]],"Pass","Fail")))</f>
        <v>Fail</v>
      </c>
      <c r="AH24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8" s="1" t="b">
        <v>0</v>
      </c>
      <c r="AN2448" s="1" t="b">
        <v>0</v>
      </c>
      <c r="AO2448" s="1" t="b">
        <v>0</v>
      </c>
    </row>
    <row r="2449" spans="1:41" x14ac:dyDescent="0.25">
      <c r="A2449" s="10"/>
      <c r="B2449" s="10"/>
      <c r="C2449" s="10"/>
      <c r="D2449" s="10"/>
      <c r="E2449" s="10"/>
      <c r="F2449" s="10"/>
      <c r="G2449" s="10"/>
      <c r="H2449" s="10"/>
      <c r="I2449" s="1" t="str">
        <f t="shared" si="114"/>
        <v/>
      </c>
      <c r="J2449" s="1" t="s">
        <v>35</v>
      </c>
      <c r="K2449" s="1" t="str">
        <f t="shared" si="115"/>
        <v/>
      </c>
      <c r="L2449" s="1" t="str">
        <f t="shared" si="116"/>
        <v/>
      </c>
      <c r="M2449" s="1">
        <f>IF(OR(Table1[[#This Row],[Std Nom]]="",Table1[[#This Row],[Std Read]]=""),0,Table1[[#This Row],[Std Nom]]-Table1[[#This Row],[Std Read]])</f>
        <v>0</v>
      </c>
      <c r="N2449" s="1">
        <f>IF(Calculations!$F$5="ACCREDITED 17025 WITH UNCERTAINTIES",$N$10,0)</f>
        <v>0</v>
      </c>
      <c r="Q2449" s="1">
        <f>Table1[[#This Row],[High Tol]]-Table1[[#This Row],[Low Tol]]</f>
        <v>0</v>
      </c>
      <c r="R2449" s="1">
        <f>2*Table1[[#This Row],[Std Error]]</f>
        <v>0</v>
      </c>
      <c r="S2449" s="1" t="str">
        <f>IF(Table1[[#This Row],[High Tol]]="","N/A",IFERROR(ABS(Table1[[#This Row],[Tol Span]]/Table1[[#This Row],[Error Span]]),"N/A"))</f>
        <v>N/A</v>
      </c>
      <c r="T2449" s="1" t="str">
        <f>IF(OR(Table1[[#This Row],[Low Tol]]="",Table1[[#This Row],[High Tol]]=""),"Needs Analysis",IF(Table1[[#This Row],[Ratio]]&gt;=4,"Not Significant",IF(Table1[[#This Row],[Ratio]]&gt;=2,"Semi-Significant","Significant")))</f>
        <v>Needs Analysis</v>
      </c>
      <c r="W2449" s="1">
        <f>IF(Table1[[#This Row],[Cal Type]]&lt;&gt;"ACCREDITED 17025 WITH UNCERTAINTIES",0,"")</f>
        <v>0</v>
      </c>
      <c r="X2449" s="1" t="str">
        <f>IF(Table1[[#This Row],[DUT Read]]="","N/A",Table1[[#This Row],[Std Error]]+Table1[[#This Row],[DUT Read]]+Table1[[#This Row],[DUT Ucty]])</f>
        <v>N/A</v>
      </c>
      <c r="Y2449" s="1" t="str">
        <f>IF(Table1[[#This Row],[Std Read]]="","N/A",Table1[[#This Row],[Std Read]]+Table1[[#This Row],[Std Ucty]])</f>
        <v>N/A</v>
      </c>
      <c r="Z24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49" s="1" t="str">
        <f>IF(Table1[[#This Row],[Spec Type]]="","N/A",Table1[[#This Row],[Spec Type]])</f>
        <v>±</v>
      </c>
      <c r="AC2449" s="1" t="str">
        <f>IF(Table1[[#This Row],[Spec Type2]]="N/A","N/A",IF(AND(Table1[[#This Row],[DUT Adj Read]]&gt;=Table1[[#This Row],[Low Tol]],Table1[[#This Row],[DUT Adj Read]]&lt;=Table1[[#This Row],[High Tol]]),"Pass","Fail"))</f>
        <v>Fail</v>
      </c>
      <c r="AD2449" s="1" t="str">
        <f>IF(AND(Table1[[#This Row],[Spec Type2]]="N/A",Table1[[#This Row],[DUT Adj Read]]="N/A",Table1[[#This Row],[Std Adj Read]]="N/A"),"N/A",IF(Table1[[#This Row],[DUT Adj Read]]="N/A",IF(Table1[[#This Row],[Std Adj Read]]&gt;Table1[[#This Row],[Low Tol]],"Pass","Fail"),IF(Table1[[#This Row],[DUT Adj Read]]&gt;Table1[[#This Row],[Low Tol]],"Pass","Fail")))</f>
        <v>Pass</v>
      </c>
      <c r="AE2449" s="1" t="str">
        <f>IF(AND(Table1[[#This Row],[Spec Type2]]="N/A",Table1[[#This Row],[DUT Adj Read]]="N/A",Table1[[#This Row],[Std Adj Read]]="N/A"),"N/A",IF(Table1[[#This Row],[DUT Adj Read]]="N/A",IF(Table1[[#This Row],[Std Adj Read]]&lt;Table1[[#This Row],[High Tol]],"Pass","Fail"),IF(Table1[[#This Row],[DUT Adj Read]]&lt;Table1[[#This Row],[High Tol]],"Pass","Fail")))</f>
        <v>Fail</v>
      </c>
      <c r="AF2449" s="1" t="str">
        <f>IF(AND(Table1[[#This Row],[Spec Type2]]="N/A",Table1[[#This Row],[DUT Adj Read]]="N/A",Table1[[#This Row],[Std Adj Read]]="N/A"),"N/A",IF(Table1[[#This Row],[DUT Adj Read]]="N/A",IF(Table1[[#This Row],[Std Adj Read]]&gt;=Table1[[#This Row],[Low Tol]],"Pass","Fail"),IF(Table1[[#This Row],[DUT Adj Read]]&gt;=Table1[[#This Row],[Low Tol]],"Pass","Fail")))</f>
        <v>Pass</v>
      </c>
      <c r="AG2449" s="1" t="str">
        <f>IF(AND(Table1[[#This Row],[Spec Type2]]="N/A",Table1[[#This Row],[DUT Adj Read]]="N/A",Table1[[#This Row],[Std Adj Read]]="N/A"),"N/A",IF(Table1[[#This Row],[DUT Adj Read]]="N/A",IF(Table1[[#This Row],[Std Adj Read]]&lt;=Table1[[#This Row],[High Tol]],"Pass","Fail"),IF(Table1[[#This Row],[DUT Adj Read]]&lt;=Table1[[#This Row],[High Tol]],"Pass","Fail")))</f>
        <v>Fail</v>
      </c>
      <c r="AH24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49" s="1" t="b">
        <v>0</v>
      </c>
      <c r="AN2449" s="1" t="b">
        <v>0</v>
      </c>
      <c r="AO2449" s="1" t="b">
        <v>0</v>
      </c>
    </row>
    <row r="2450" spans="1:41" x14ac:dyDescent="0.25">
      <c r="A2450" s="10"/>
      <c r="B2450" s="10"/>
      <c r="C2450" s="10"/>
      <c r="D2450" s="10"/>
      <c r="E2450" s="10"/>
      <c r="F2450" s="10"/>
      <c r="G2450" s="10"/>
      <c r="H2450" s="10"/>
      <c r="I2450" s="1" t="str">
        <f t="shared" si="114"/>
        <v/>
      </c>
      <c r="J2450" s="1" t="s">
        <v>35</v>
      </c>
      <c r="K2450" s="1" t="str">
        <f t="shared" si="115"/>
        <v/>
      </c>
      <c r="L2450" s="1" t="str">
        <f t="shared" si="116"/>
        <v/>
      </c>
      <c r="M2450" s="1">
        <f>IF(OR(Table1[[#This Row],[Std Nom]]="",Table1[[#This Row],[Std Read]]=""),0,Table1[[#This Row],[Std Nom]]-Table1[[#This Row],[Std Read]])</f>
        <v>0</v>
      </c>
      <c r="N2450" s="1">
        <f>IF(Calculations!$F$5="ACCREDITED 17025 WITH UNCERTAINTIES",$N$10,0)</f>
        <v>0</v>
      </c>
      <c r="Q2450" s="1">
        <f>Table1[[#This Row],[High Tol]]-Table1[[#This Row],[Low Tol]]</f>
        <v>0</v>
      </c>
      <c r="R2450" s="1">
        <f>2*Table1[[#This Row],[Std Error]]</f>
        <v>0</v>
      </c>
      <c r="S2450" s="1" t="str">
        <f>IF(Table1[[#This Row],[High Tol]]="","N/A",IFERROR(ABS(Table1[[#This Row],[Tol Span]]/Table1[[#This Row],[Error Span]]),"N/A"))</f>
        <v>N/A</v>
      </c>
      <c r="T2450" s="1" t="str">
        <f>IF(OR(Table1[[#This Row],[Low Tol]]="",Table1[[#This Row],[High Tol]]=""),"Needs Analysis",IF(Table1[[#This Row],[Ratio]]&gt;=4,"Not Significant",IF(Table1[[#This Row],[Ratio]]&gt;=2,"Semi-Significant","Significant")))</f>
        <v>Needs Analysis</v>
      </c>
      <c r="W2450" s="1">
        <f>IF(Table1[[#This Row],[Cal Type]]&lt;&gt;"ACCREDITED 17025 WITH UNCERTAINTIES",0,"")</f>
        <v>0</v>
      </c>
      <c r="X2450" s="1" t="str">
        <f>IF(Table1[[#This Row],[DUT Read]]="","N/A",Table1[[#This Row],[Std Error]]+Table1[[#This Row],[DUT Read]]+Table1[[#This Row],[DUT Ucty]])</f>
        <v>N/A</v>
      </c>
      <c r="Y2450" s="1" t="str">
        <f>IF(Table1[[#This Row],[Std Read]]="","N/A",Table1[[#This Row],[Std Read]]+Table1[[#This Row],[Std Ucty]])</f>
        <v>N/A</v>
      </c>
      <c r="Z24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0" s="1" t="str">
        <f>IF(Table1[[#This Row],[Spec Type]]="","N/A",Table1[[#This Row],[Spec Type]])</f>
        <v>±</v>
      </c>
      <c r="AC2450" s="1" t="str">
        <f>IF(Table1[[#This Row],[Spec Type2]]="N/A","N/A",IF(AND(Table1[[#This Row],[DUT Adj Read]]&gt;=Table1[[#This Row],[Low Tol]],Table1[[#This Row],[DUT Adj Read]]&lt;=Table1[[#This Row],[High Tol]]),"Pass","Fail"))</f>
        <v>Fail</v>
      </c>
      <c r="AD2450" s="1" t="str">
        <f>IF(AND(Table1[[#This Row],[Spec Type2]]="N/A",Table1[[#This Row],[DUT Adj Read]]="N/A",Table1[[#This Row],[Std Adj Read]]="N/A"),"N/A",IF(Table1[[#This Row],[DUT Adj Read]]="N/A",IF(Table1[[#This Row],[Std Adj Read]]&gt;Table1[[#This Row],[Low Tol]],"Pass","Fail"),IF(Table1[[#This Row],[DUT Adj Read]]&gt;Table1[[#This Row],[Low Tol]],"Pass","Fail")))</f>
        <v>Pass</v>
      </c>
      <c r="AE2450" s="1" t="str">
        <f>IF(AND(Table1[[#This Row],[Spec Type2]]="N/A",Table1[[#This Row],[DUT Adj Read]]="N/A",Table1[[#This Row],[Std Adj Read]]="N/A"),"N/A",IF(Table1[[#This Row],[DUT Adj Read]]="N/A",IF(Table1[[#This Row],[Std Adj Read]]&lt;Table1[[#This Row],[High Tol]],"Pass","Fail"),IF(Table1[[#This Row],[DUT Adj Read]]&lt;Table1[[#This Row],[High Tol]],"Pass","Fail")))</f>
        <v>Fail</v>
      </c>
      <c r="AF2450" s="1" t="str">
        <f>IF(AND(Table1[[#This Row],[Spec Type2]]="N/A",Table1[[#This Row],[DUT Adj Read]]="N/A",Table1[[#This Row],[Std Adj Read]]="N/A"),"N/A",IF(Table1[[#This Row],[DUT Adj Read]]="N/A",IF(Table1[[#This Row],[Std Adj Read]]&gt;=Table1[[#This Row],[Low Tol]],"Pass","Fail"),IF(Table1[[#This Row],[DUT Adj Read]]&gt;=Table1[[#This Row],[Low Tol]],"Pass","Fail")))</f>
        <v>Pass</v>
      </c>
      <c r="AG2450" s="1" t="str">
        <f>IF(AND(Table1[[#This Row],[Spec Type2]]="N/A",Table1[[#This Row],[DUT Adj Read]]="N/A",Table1[[#This Row],[Std Adj Read]]="N/A"),"N/A",IF(Table1[[#This Row],[DUT Adj Read]]="N/A",IF(Table1[[#This Row],[Std Adj Read]]&lt;=Table1[[#This Row],[High Tol]],"Pass","Fail"),IF(Table1[[#This Row],[DUT Adj Read]]&lt;=Table1[[#This Row],[High Tol]],"Pass","Fail")))</f>
        <v>Fail</v>
      </c>
      <c r="AH24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0" s="1" t="b">
        <v>0</v>
      </c>
      <c r="AN2450" s="1" t="b">
        <v>0</v>
      </c>
      <c r="AO2450" s="1" t="b">
        <v>0</v>
      </c>
    </row>
    <row r="2451" spans="1:41" x14ac:dyDescent="0.25">
      <c r="A2451" s="10"/>
      <c r="B2451" s="10"/>
      <c r="C2451" s="10"/>
      <c r="D2451" s="10"/>
      <c r="E2451" s="10"/>
      <c r="F2451" s="10"/>
      <c r="G2451" s="10"/>
      <c r="H2451" s="10"/>
      <c r="I2451" s="1" t="str">
        <f t="shared" si="114"/>
        <v/>
      </c>
      <c r="J2451" s="1" t="s">
        <v>35</v>
      </c>
      <c r="K2451" s="1" t="str">
        <f t="shared" si="115"/>
        <v/>
      </c>
      <c r="L2451" s="1" t="str">
        <f t="shared" si="116"/>
        <v/>
      </c>
      <c r="M2451" s="1">
        <f>IF(OR(Table1[[#This Row],[Std Nom]]="",Table1[[#This Row],[Std Read]]=""),0,Table1[[#This Row],[Std Nom]]-Table1[[#This Row],[Std Read]])</f>
        <v>0</v>
      </c>
      <c r="N2451" s="1">
        <f>IF(Calculations!$F$5="ACCREDITED 17025 WITH UNCERTAINTIES",$N$10,0)</f>
        <v>0</v>
      </c>
      <c r="Q2451" s="1">
        <f>Table1[[#This Row],[High Tol]]-Table1[[#This Row],[Low Tol]]</f>
        <v>0</v>
      </c>
      <c r="R2451" s="1">
        <f>2*Table1[[#This Row],[Std Error]]</f>
        <v>0</v>
      </c>
      <c r="S2451" s="1" t="str">
        <f>IF(Table1[[#This Row],[High Tol]]="","N/A",IFERROR(ABS(Table1[[#This Row],[Tol Span]]/Table1[[#This Row],[Error Span]]),"N/A"))</f>
        <v>N/A</v>
      </c>
      <c r="T2451" s="1" t="str">
        <f>IF(OR(Table1[[#This Row],[Low Tol]]="",Table1[[#This Row],[High Tol]]=""),"Needs Analysis",IF(Table1[[#This Row],[Ratio]]&gt;=4,"Not Significant",IF(Table1[[#This Row],[Ratio]]&gt;=2,"Semi-Significant","Significant")))</f>
        <v>Needs Analysis</v>
      </c>
      <c r="W2451" s="1">
        <f>IF(Table1[[#This Row],[Cal Type]]&lt;&gt;"ACCREDITED 17025 WITH UNCERTAINTIES",0,"")</f>
        <v>0</v>
      </c>
      <c r="X2451" s="1" t="str">
        <f>IF(Table1[[#This Row],[DUT Read]]="","N/A",Table1[[#This Row],[Std Error]]+Table1[[#This Row],[DUT Read]]+Table1[[#This Row],[DUT Ucty]])</f>
        <v>N/A</v>
      </c>
      <c r="Y2451" s="1" t="str">
        <f>IF(Table1[[#This Row],[Std Read]]="","N/A",Table1[[#This Row],[Std Read]]+Table1[[#This Row],[Std Ucty]])</f>
        <v>N/A</v>
      </c>
      <c r="Z24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1" s="1" t="str">
        <f>IF(Table1[[#This Row],[Spec Type]]="","N/A",Table1[[#This Row],[Spec Type]])</f>
        <v>±</v>
      </c>
      <c r="AC2451" s="1" t="str">
        <f>IF(Table1[[#This Row],[Spec Type2]]="N/A","N/A",IF(AND(Table1[[#This Row],[DUT Adj Read]]&gt;=Table1[[#This Row],[Low Tol]],Table1[[#This Row],[DUT Adj Read]]&lt;=Table1[[#This Row],[High Tol]]),"Pass","Fail"))</f>
        <v>Fail</v>
      </c>
      <c r="AD2451" s="1" t="str">
        <f>IF(AND(Table1[[#This Row],[Spec Type2]]="N/A",Table1[[#This Row],[DUT Adj Read]]="N/A",Table1[[#This Row],[Std Adj Read]]="N/A"),"N/A",IF(Table1[[#This Row],[DUT Adj Read]]="N/A",IF(Table1[[#This Row],[Std Adj Read]]&gt;Table1[[#This Row],[Low Tol]],"Pass","Fail"),IF(Table1[[#This Row],[DUT Adj Read]]&gt;Table1[[#This Row],[Low Tol]],"Pass","Fail")))</f>
        <v>Pass</v>
      </c>
      <c r="AE2451" s="1" t="str">
        <f>IF(AND(Table1[[#This Row],[Spec Type2]]="N/A",Table1[[#This Row],[DUT Adj Read]]="N/A",Table1[[#This Row],[Std Adj Read]]="N/A"),"N/A",IF(Table1[[#This Row],[DUT Adj Read]]="N/A",IF(Table1[[#This Row],[Std Adj Read]]&lt;Table1[[#This Row],[High Tol]],"Pass","Fail"),IF(Table1[[#This Row],[DUT Adj Read]]&lt;Table1[[#This Row],[High Tol]],"Pass","Fail")))</f>
        <v>Fail</v>
      </c>
      <c r="AF2451" s="1" t="str">
        <f>IF(AND(Table1[[#This Row],[Spec Type2]]="N/A",Table1[[#This Row],[DUT Adj Read]]="N/A",Table1[[#This Row],[Std Adj Read]]="N/A"),"N/A",IF(Table1[[#This Row],[DUT Adj Read]]="N/A",IF(Table1[[#This Row],[Std Adj Read]]&gt;=Table1[[#This Row],[Low Tol]],"Pass","Fail"),IF(Table1[[#This Row],[DUT Adj Read]]&gt;=Table1[[#This Row],[Low Tol]],"Pass","Fail")))</f>
        <v>Pass</v>
      </c>
      <c r="AG2451" s="1" t="str">
        <f>IF(AND(Table1[[#This Row],[Spec Type2]]="N/A",Table1[[#This Row],[DUT Adj Read]]="N/A",Table1[[#This Row],[Std Adj Read]]="N/A"),"N/A",IF(Table1[[#This Row],[DUT Adj Read]]="N/A",IF(Table1[[#This Row],[Std Adj Read]]&lt;=Table1[[#This Row],[High Tol]],"Pass","Fail"),IF(Table1[[#This Row],[DUT Adj Read]]&lt;=Table1[[#This Row],[High Tol]],"Pass","Fail")))</f>
        <v>Fail</v>
      </c>
      <c r="AH24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1" s="1" t="b">
        <v>0</v>
      </c>
      <c r="AN2451" s="1" t="b">
        <v>0</v>
      </c>
      <c r="AO2451" s="1" t="b">
        <v>0</v>
      </c>
    </row>
    <row r="2452" spans="1:41" x14ac:dyDescent="0.25">
      <c r="A2452" s="10"/>
      <c r="B2452" s="10"/>
      <c r="C2452" s="10"/>
      <c r="D2452" s="10"/>
      <c r="E2452" s="10"/>
      <c r="F2452" s="10"/>
      <c r="G2452" s="10"/>
      <c r="H2452" s="10"/>
      <c r="I2452" s="1" t="str">
        <f t="shared" si="114"/>
        <v/>
      </c>
      <c r="J2452" s="1" t="s">
        <v>35</v>
      </c>
      <c r="K2452" s="1" t="str">
        <f t="shared" si="115"/>
        <v/>
      </c>
      <c r="L2452" s="1" t="str">
        <f t="shared" si="116"/>
        <v/>
      </c>
      <c r="M2452" s="1">
        <f>IF(OR(Table1[[#This Row],[Std Nom]]="",Table1[[#This Row],[Std Read]]=""),0,Table1[[#This Row],[Std Nom]]-Table1[[#This Row],[Std Read]])</f>
        <v>0</v>
      </c>
      <c r="N2452" s="1">
        <f>IF(Calculations!$F$5="ACCREDITED 17025 WITH UNCERTAINTIES",$N$10,0)</f>
        <v>0</v>
      </c>
      <c r="Q2452" s="1">
        <f>Table1[[#This Row],[High Tol]]-Table1[[#This Row],[Low Tol]]</f>
        <v>0</v>
      </c>
      <c r="R2452" s="1">
        <f>2*Table1[[#This Row],[Std Error]]</f>
        <v>0</v>
      </c>
      <c r="S2452" s="1" t="str">
        <f>IF(Table1[[#This Row],[High Tol]]="","N/A",IFERROR(ABS(Table1[[#This Row],[Tol Span]]/Table1[[#This Row],[Error Span]]),"N/A"))</f>
        <v>N/A</v>
      </c>
      <c r="T2452" s="1" t="str">
        <f>IF(OR(Table1[[#This Row],[Low Tol]]="",Table1[[#This Row],[High Tol]]=""),"Needs Analysis",IF(Table1[[#This Row],[Ratio]]&gt;=4,"Not Significant",IF(Table1[[#This Row],[Ratio]]&gt;=2,"Semi-Significant","Significant")))</f>
        <v>Needs Analysis</v>
      </c>
      <c r="W2452" s="1">
        <f>IF(Table1[[#This Row],[Cal Type]]&lt;&gt;"ACCREDITED 17025 WITH UNCERTAINTIES",0,"")</f>
        <v>0</v>
      </c>
      <c r="X2452" s="1" t="str">
        <f>IF(Table1[[#This Row],[DUT Read]]="","N/A",Table1[[#This Row],[Std Error]]+Table1[[#This Row],[DUT Read]]+Table1[[#This Row],[DUT Ucty]])</f>
        <v>N/A</v>
      </c>
      <c r="Y2452" s="1" t="str">
        <f>IF(Table1[[#This Row],[Std Read]]="","N/A",Table1[[#This Row],[Std Read]]+Table1[[#This Row],[Std Ucty]])</f>
        <v>N/A</v>
      </c>
      <c r="Z24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2" s="1" t="str">
        <f>IF(Table1[[#This Row],[Spec Type]]="","N/A",Table1[[#This Row],[Spec Type]])</f>
        <v>±</v>
      </c>
      <c r="AC2452" s="1" t="str">
        <f>IF(Table1[[#This Row],[Spec Type2]]="N/A","N/A",IF(AND(Table1[[#This Row],[DUT Adj Read]]&gt;=Table1[[#This Row],[Low Tol]],Table1[[#This Row],[DUT Adj Read]]&lt;=Table1[[#This Row],[High Tol]]),"Pass","Fail"))</f>
        <v>Fail</v>
      </c>
      <c r="AD2452" s="1" t="str">
        <f>IF(AND(Table1[[#This Row],[Spec Type2]]="N/A",Table1[[#This Row],[DUT Adj Read]]="N/A",Table1[[#This Row],[Std Adj Read]]="N/A"),"N/A",IF(Table1[[#This Row],[DUT Adj Read]]="N/A",IF(Table1[[#This Row],[Std Adj Read]]&gt;Table1[[#This Row],[Low Tol]],"Pass","Fail"),IF(Table1[[#This Row],[DUT Adj Read]]&gt;Table1[[#This Row],[Low Tol]],"Pass","Fail")))</f>
        <v>Pass</v>
      </c>
      <c r="AE2452" s="1" t="str">
        <f>IF(AND(Table1[[#This Row],[Spec Type2]]="N/A",Table1[[#This Row],[DUT Adj Read]]="N/A",Table1[[#This Row],[Std Adj Read]]="N/A"),"N/A",IF(Table1[[#This Row],[DUT Adj Read]]="N/A",IF(Table1[[#This Row],[Std Adj Read]]&lt;Table1[[#This Row],[High Tol]],"Pass","Fail"),IF(Table1[[#This Row],[DUT Adj Read]]&lt;Table1[[#This Row],[High Tol]],"Pass","Fail")))</f>
        <v>Fail</v>
      </c>
      <c r="AF2452" s="1" t="str">
        <f>IF(AND(Table1[[#This Row],[Spec Type2]]="N/A",Table1[[#This Row],[DUT Adj Read]]="N/A",Table1[[#This Row],[Std Adj Read]]="N/A"),"N/A",IF(Table1[[#This Row],[DUT Adj Read]]="N/A",IF(Table1[[#This Row],[Std Adj Read]]&gt;=Table1[[#This Row],[Low Tol]],"Pass","Fail"),IF(Table1[[#This Row],[DUT Adj Read]]&gt;=Table1[[#This Row],[Low Tol]],"Pass","Fail")))</f>
        <v>Pass</v>
      </c>
      <c r="AG2452" s="1" t="str">
        <f>IF(AND(Table1[[#This Row],[Spec Type2]]="N/A",Table1[[#This Row],[DUT Adj Read]]="N/A",Table1[[#This Row],[Std Adj Read]]="N/A"),"N/A",IF(Table1[[#This Row],[DUT Adj Read]]="N/A",IF(Table1[[#This Row],[Std Adj Read]]&lt;=Table1[[#This Row],[High Tol]],"Pass","Fail"),IF(Table1[[#This Row],[DUT Adj Read]]&lt;=Table1[[#This Row],[High Tol]],"Pass","Fail")))</f>
        <v>Fail</v>
      </c>
      <c r="AH24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2" s="1" t="b">
        <v>0</v>
      </c>
      <c r="AN2452" s="1" t="b">
        <v>0</v>
      </c>
      <c r="AO2452" s="1" t="b">
        <v>0</v>
      </c>
    </row>
    <row r="2453" spans="1:41" x14ac:dyDescent="0.25">
      <c r="A2453" s="10"/>
      <c r="B2453" s="10"/>
      <c r="C2453" s="10"/>
      <c r="D2453" s="10"/>
      <c r="E2453" s="10"/>
      <c r="F2453" s="10"/>
      <c r="G2453" s="10"/>
      <c r="H2453" s="10"/>
      <c r="I2453" s="1" t="str">
        <f t="shared" si="114"/>
        <v/>
      </c>
      <c r="J2453" s="1" t="s">
        <v>35</v>
      </c>
      <c r="K2453" s="1" t="str">
        <f t="shared" si="115"/>
        <v/>
      </c>
      <c r="L2453" s="1" t="str">
        <f t="shared" si="116"/>
        <v/>
      </c>
      <c r="M2453" s="1">
        <f>IF(OR(Table1[[#This Row],[Std Nom]]="",Table1[[#This Row],[Std Read]]=""),0,Table1[[#This Row],[Std Nom]]-Table1[[#This Row],[Std Read]])</f>
        <v>0</v>
      </c>
      <c r="N2453" s="1">
        <f>IF(Calculations!$F$5="ACCREDITED 17025 WITH UNCERTAINTIES",$N$10,0)</f>
        <v>0</v>
      </c>
      <c r="Q2453" s="1">
        <f>Table1[[#This Row],[High Tol]]-Table1[[#This Row],[Low Tol]]</f>
        <v>0</v>
      </c>
      <c r="R2453" s="1">
        <f>2*Table1[[#This Row],[Std Error]]</f>
        <v>0</v>
      </c>
      <c r="S2453" s="1" t="str">
        <f>IF(Table1[[#This Row],[High Tol]]="","N/A",IFERROR(ABS(Table1[[#This Row],[Tol Span]]/Table1[[#This Row],[Error Span]]),"N/A"))</f>
        <v>N/A</v>
      </c>
      <c r="T2453" s="1" t="str">
        <f>IF(OR(Table1[[#This Row],[Low Tol]]="",Table1[[#This Row],[High Tol]]=""),"Needs Analysis",IF(Table1[[#This Row],[Ratio]]&gt;=4,"Not Significant",IF(Table1[[#This Row],[Ratio]]&gt;=2,"Semi-Significant","Significant")))</f>
        <v>Needs Analysis</v>
      </c>
      <c r="W2453" s="1">
        <f>IF(Table1[[#This Row],[Cal Type]]&lt;&gt;"ACCREDITED 17025 WITH UNCERTAINTIES",0,"")</f>
        <v>0</v>
      </c>
      <c r="X2453" s="1" t="str">
        <f>IF(Table1[[#This Row],[DUT Read]]="","N/A",Table1[[#This Row],[Std Error]]+Table1[[#This Row],[DUT Read]]+Table1[[#This Row],[DUT Ucty]])</f>
        <v>N/A</v>
      </c>
      <c r="Y2453" s="1" t="str">
        <f>IF(Table1[[#This Row],[Std Read]]="","N/A",Table1[[#This Row],[Std Read]]+Table1[[#This Row],[Std Ucty]])</f>
        <v>N/A</v>
      </c>
      <c r="Z24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3" s="1" t="str">
        <f>IF(Table1[[#This Row],[Spec Type]]="","N/A",Table1[[#This Row],[Spec Type]])</f>
        <v>±</v>
      </c>
      <c r="AC2453" s="1" t="str">
        <f>IF(Table1[[#This Row],[Spec Type2]]="N/A","N/A",IF(AND(Table1[[#This Row],[DUT Adj Read]]&gt;=Table1[[#This Row],[Low Tol]],Table1[[#This Row],[DUT Adj Read]]&lt;=Table1[[#This Row],[High Tol]]),"Pass","Fail"))</f>
        <v>Fail</v>
      </c>
      <c r="AD2453" s="1" t="str">
        <f>IF(AND(Table1[[#This Row],[Spec Type2]]="N/A",Table1[[#This Row],[DUT Adj Read]]="N/A",Table1[[#This Row],[Std Adj Read]]="N/A"),"N/A",IF(Table1[[#This Row],[DUT Adj Read]]="N/A",IF(Table1[[#This Row],[Std Adj Read]]&gt;Table1[[#This Row],[Low Tol]],"Pass","Fail"),IF(Table1[[#This Row],[DUT Adj Read]]&gt;Table1[[#This Row],[Low Tol]],"Pass","Fail")))</f>
        <v>Pass</v>
      </c>
      <c r="AE2453" s="1" t="str">
        <f>IF(AND(Table1[[#This Row],[Spec Type2]]="N/A",Table1[[#This Row],[DUT Adj Read]]="N/A",Table1[[#This Row],[Std Adj Read]]="N/A"),"N/A",IF(Table1[[#This Row],[DUT Adj Read]]="N/A",IF(Table1[[#This Row],[Std Adj Read]]&lt;Table1[[#This Row],[High Tol]],"Pass","Fail"),IF(Table1[[#This Row],[DUT Adj Read]]&lt;Table1[[#This Row],[High Tol]],"Pass","Fail")))</f>
        <v>Fail</v>
      </c>
      <c r="AF2453" s="1" t="str">
        <f>IF(AND(Table1[[#This Row],[Spec Type2]]="N/A",Table1[[#This Row],[DUT Adj Read]]="N/A",Table1[[#This Row],[Std Adj Read]]="N/A"),"N/A",IF(Table1[[#This Row],[DUT Adj Read]]="N/A",IF(Table1[[#This Row],[Std Adj Read]]&gt;=Table1[[#This Row],[Low Tol]],"Pass","Fail"),IF(Table1[[#This Row],[DUT Adj Read]]&gt;=Table1[[#This Row],[Low Tol]],"Pass","Fail")))</f>
        <v>Pass</v>
      </c>
      <c r="AG2453" s="1" t="str">
        <f>IF(AND(Table1[[#This Row],[Spec Type2]]="N/A",Table1[[#This Row],[DUT Adj Read]]="N/A",Table1[[#This Row],[Std Adj Read]]="N/A"),"N/A",IF(Table1[[#This Row],[DUT Adj Read]]="N/A",IF(Table1[[#This Row],[Std Adj Read]]&lt;=Table1[[#This Row],[High Tol]],"Pass","Fail"),IF(Table1[[#This Row],[DUT Adj Read]]&lt;=Table1[[#This Row],[High Tol]],"Pass","Fail")))</f>
        <v>Fail</v>
      </c>
      <c r="AH24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3" s="1" t="b">
        <v>0</v>
      </c>
      <c r="AN2453" s="1" t="b">
        <v>0</v>
      </c>
      <c r="AO2453" s="1" t="b">
        <v>0</v>
      </c>
    </row>
    <row r="2454" spans="1:41" x14ac:dyDescent="0.25">
      <c r="A2454" s="10"/>
      <c r="B2454" s="10"/>
      <c r="C2454" s="10"/>
      <c r="D2454" s="10"/>
      <c r="E2454" s="10"/>
      <c r="F2454" s="10"/>
      <c r="G2454" s="10"/>
      <c r="H2454" s="10"/>
      <c r="I2454" s="1" t="str">
        <f t="shared" si="114"/>
        <v/>
      </c>
      <c r="J2454" s="1" t="s">
        <v>35</v>
      </c>
      <c r="K2454" s="1" t="str">
        <f t="shared" si="115"/>
        <v/>
      </c>
      <c r="L2454" s="1" t="str">
        <f t="shared" si="116"/>
        <v/>
      </c>
      <c r="M2454" s="1">
        <f>IF(OR(Table1[[#This Row],[Std Nom]]="",Table1[[#This Row],[Std Read]]=""),0,Table1[[#This Row],[Std Nom]]-Table1[[#This Row],[Std Read]])</f>
        <v>0</v>
      </c>
      <c r="N2454" s="1">
        <f>IF(Calculations!$F$5="ACCREDITED 17025 WITH UNCERTAINTIES",$N$10,0)</f>
        <v>0</v>
      </c>
      <c r="Q2454" s="1">
        <f>Table1[[#This Row],[High Tol]]-Table1[[#This Row],[Low Tol]]</f>
        <v>0</v>
      </c>
      <c r="R2454" s="1">
        <f>2*Table1[[#This Row],[Std Error]]</f>
        <v>0</v>
      </c>
      <c r="S2454" s="1" t="str">
        <f>IF(Table1[[#This Row],[High Tol]]="","N/A",IFERROR(ABS(Table1[[#This Row],[Tol Span]]/Table1[[#This Row],[Error Span]]),"N/A"))</f>
        <v>N/A</v>
      </c>
      <c r="T2454" s="1" t="str">
        <f>IF(OR(Table1[[#This Row],[Low Tol]]="",Table1[[#This Row],[High Tol]]=""),"Needs Analysis",IF(Table1[[#This Row],[Ratio]]&gt;=4,"Not Significant",IF(Table1[[#This Row],[Ratio]]&gt;=2,"Semi-Significant","Significant")))</f>
        <v>Needs Analysis</v>
      </c>
      <c r="W2454" s="1">
        <f>IF(Table1[[#This Row],[Cal Type]]&lt;&gt;"ACCREDITED 17025 WITH UNCERTAINTIES",0,"")</f>
        <v>0</v>
      </c>
      <c r="X2454" s="1" t="str">
        <f>IF(Table1[[#This Row],[DUT Read]]="","N/A",Table1[[#This Row],[Std Error]]+Table1[[#This Row],[DUT Read]]+Table1[[#This Row],[DUT Ucty]])</f>
        <v>N/A</v>
      </c>
      <c r="Y2454" s="1" t="str">
        <f>IF(Table1[[#This Row],[Std Read]]="","N/A",Table1[[#This Row],[Std Read]]+Table1[[#This Row],[Std Ucty]])</f>
        <v>N/A</v>
      </c>
      <c r="Z24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4" s="1" t="str">
        <f>IF(Table1[[#This Row],[Spec Type]]="","N/A",Table1[[#This Row],[Spec Type]])</f>
        <v>±</v>
      </c>
      <c r="AC2454" s="1" t="str">
        <f>IF(Table1[[#This Row],[Spec Type2]]="N/A","N/A",IF(AND(Table1[[#This Row],[DUT Adj Read]]&gt;=Table1[[#This Row],[Low Tol]],Table1[[#This Row],[DUT Adj Read]]&lt;=Table1[[#This Row],[High Tol]]),"Pass","Fail"))</f>
        <v>Fail</v>
      </c>
      <c r="AD2454" s="1" t="str">
        <f>IF(AND(Table1[[#This Row],[Spec Type2]]="N/A",Table1[[#This Row],[DUT Adj Read]]="N/A",Table1[[#This Row],[Std Adj Read]]="N/A"),"N/A",IF(Table1[[#This Row],[DUT Adj Read]]="N/A",IF(Table1[[#This Row],[Std Adj Read]]&gt;Table1[[#This Row],[Low Tol]],"Pass","Fail"),IF(Table1[[#This Row],[DUT Adj Read]]&gt;Table1[[#This Row],[Low Tol]],"Pass","Fail")))</f>
        <v>Pass</v>
      </c>
      <c r="AE2454" s="1" t="str">
        <f>IF(AND(Table1[[#This Row],[Spec Type2]]="N/A",Table1[[#This Row],[DUT Adj Read]]="N/A",Table1[[#This Row],[Std Adj Read]]="N/A"),"N/A",IF(Table1[[#This Row],[DUT Adj Read]]="N/A",IF(Table1[[#This Row],[Std Adj Read]]&lt;Table1[[#This Row],[High Tol]],"Pass","Fail"),IF(Table1[[#This Row],[DUT Adj Read]]&lt;Table1[[#This Row],[High Tol]],"Pass","Fail")))</f>
        <v>Fail</v>
      </c>
      <c r="AF2454" s="1" t="str">
        <f>IF(AND(Table1[[#This Row],[Spec Type2]]="N/A",Table1[[#This Row],[DUT Adj Read]]="N/A",Table1[[#This Row],[Std Adj Read]]="N/A"),"N/A",IF(Table1[[#This Row],[DUT Adj Read]]="N/A",IF(Table1[[#This Row],[Std Adj Read]]&gt;=Table1[[#This Row],[Low Tol]],"Pass","Fail"),IF(Table1[[#This Row],[DUT Adj Read]]&gt;=Table1[[#This Row],[Low Tol]],"Pass","Fail")))</f>
        <v>Pass</v>
      </c>
      <c r="AG2454" s="1" t="str">
        <f>IF(AND(Table1[[#This Row],[Spec Type2]]="N/A",Table1[[#This Row],[DUT Adj Read]]="N/A",Table1[[#This Row],[Std Adj Read]]="N/A"),"N/A",IF(Table1[[#This Row],[DUT Adj Read]]="N/A",IF(Table1[[#This Row],[Std Adj Read]]&lt;=Table1[[#This Row],[High Tol]],"Pass","Fail"),IF(Table1[[#This Row],[DUT Adj Read]]&lt;=Table1[[#This Row],[High Tol]],"Pass","Fail")))</f>
        <v>Fail</v>
      </c>
      <c r="AH24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4" s="1" t="b">
        <v>0</v>
      </c>
      <c r="AN2454" s="1" t="b">
        <v>0</v>
      </c>
      <c r="AO2454" s="1" t="b">
        <v>0</v>
      </c>
    </row>
    <row r="2455" spans="1:41" x14ac:dyDescent="0.25">
      <c r="A2455" s="10"/>
      <c r="B2455" s="10"/>
      <c r="C2455" s="10"/>
      <c r="D2455" s="10"/>
      <c r="E2455" s="10"/>
      <c r="F2455" s="10"/>
      <c r="G2455" s="10"/>
      <c r="H2455" s="10"/>
      <c r="I2455" s="1" t="str">
        <f t="shared" si="114"/>
        <v/>
      </c>
      <c r="J2455" s="1" t="s">
        <v>35</v>
      </c>
      <c r="K2455" s="1" t="str">
        <f t="shared" si="115"/>
        <v/>
      </c>
      <c r="L2455" s="1" t="str">
        <f t="shared" si="116"/>
        <v/>
      </c>
      <c r="M2455" s="1">
        <f>IF(OR(Table1[[#This Row],[Std Nom]]="",Table1[[#This Row],[Std Read]]=""),0,Table1[[#This Row],[Std Nom]]-Table1[[#This Row],[Std Read]])</f>
        <v>0</v>
      </c>
      <c r="N2455" s="1">
        <f>IF(Calculations!$F$5="ACCREDITED 17025 WITH UNCERTAINTIES",$N$10,0)</f>
        <v>0</v>
      </c>
      <c r="Q2455" s="1">
        <f>Table1[[#This Row],[High Tol]]-Table1[[#This Row],[Low Tol]]</f>
        <v>0</v>
      </c>
      <c r="R2455" s="1">
        <f>2*Table1[[#This Row],[Std Error]]</f>
        <v>0</v>
      </c>
      <c r="S2455" s="1" t="str">
        <f>IF(Table1[[#This Row],[High Tol]]="","N/A",IFERROR(ABS(Table1[[#This Row],[Tol Span]]/Table1[[#This Row],[Error Span]]),"N/A"))</f>
        <v>N/A</v>
      </c>
      <c r="T2455" s="1" t="str">
        <f>IF(OR(Table1[[#This Row],[Low Tol]]="",Table1[[#This Row],[High Tol]]=""),"Needs Analysis",IF(Table1[[#This Row],[Ratio]]&gt;=4,"Not Significant",IF(Table1[[#This Row],[Ratio]]&gt;=2,"Semi-Significant","Significant")))</f>
        <v>Needs Analysis</v>
      </c>
      <c r="W2455" s="1">
        <f>IF(Table1[[#This Row],[Cal Type]]&lt;&gt;"ACCREDITED 17025 WITH UNCERTAINTIES",0,"")</f>
        <v>0</v>
      </c>
      <c r="X2455" s="1" t="str">
        <f>IF(Table1[[#This Row],[DUT Read]]="","N/A",Table1[[#This Row],[Std Error]]+Table1[[#This Row],[DUT Read]]+Table1[[#This Row],[DUT Ucty]])</f>
        <v>N/A</v>
      </c>
      <c r="Y2455" s="1" t="str">
        <f>IF(Table1[[#This Row],[Std Read]]="","N/A",Table1[[#This Row],[Std Read]]+Table1[[#This Row],[Std Ucty]])</f>
        <v>N/A</v>
      </c>
      <c r="Z24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5" s="1" t="str">
        <f>IF(Table1[[#This Row],[Spec Type]]="","N/A",Table1[[#This Row],[Spec Type]])</f>
        <v>±</v>
      </c>
      <c r="AC2455" s="1" t="str">
        <f>IF(Table1[[#This Row],[Spec Type2]]="N/A","N/A",IF(AND(Table1[[#This Row],[DUT Adj Read]]&gt;=Table1[[#This Row],[Low Tol]],Table1[[#This Row],[DUT Adj Read]]&lt;=Table1[[#This Row],[High Tol]]),"Pass","Fail"))</f>
        <v>Fail</v>
      </c>
      <c r="AD2455" s="1" t="str">
        <f>IF(AND(Table1[[#This Row],[Spec Type2]]="N/A",Table1[[#This Row],[DUT Adj Read]]="N/A",Table1[[#This Row],[Std Adj Read]]="N/A"),"N/A",IF(Table1[[#This Row],[DUT Adj Read]]="N/A",IF(Table1[[#This Row],[Std Adj Read]]&gt;Table1[[#This Row],[Low Tol]],"Pass","Fail"),IF(Table1[[#This Row],[DUT Adj Read]]&gt;Table1[[#This Row],[Low Tol]],"Pass","Fail")))</f>
        <v>Pass</v>
      </c>
      <c r="AE2455" s="1" t="str">
        <f>IF(AND(Table1[[#This Row],[Spec Type2]]="N/A",Table1[[#This Row],[DUT Adj Read]]="N/A",Table1[[#This Row],[Std Adj Read]]="N/A"),"N/A",IF(Table1[[#This Row],[DUT Adj Read]]="N/A",IF(Table1[[#This Row],[Std Adj Read]]&lt;Table1[[#This Row],[High Tol]],"Pass","Fail"),IF(Table1[[#This Row],[DUT Adj Read]]&lt;Table1[[#This Row],[High Tol]],"Pass","Fail")))</f>
        <v>Fail</v>
      </c>
      <c r="AF2455" s="1" t="str">
        <f>IF(AND(Table1[[#This Row],[Spec Type2]]="N/A",Table1[[#This Row],[DUT Adj Read]]="N/A",Table1[[#This Row],[Std Adj Read]]="N/A"),"N/A",IF(Table1[[#This Row],[DUT Adj Read]]="N/A",IF(Table1[[#This Row],[Std Adj Read]]&gt;=Table1[[#This Row],[Low Tol]],"Pass","Fail"),IF(Table1[[#This Row],[DUT Adj Read]]&gt;=Table1[[#This Row],[Low Tol]],"Pass","Fail")))</f>
        <v>Pass</v>
      </c>
      <c r="AG2455" s="1" t="str">
        <f>IF(AND(Table1[[#This Row],[Spec Type2]]="N/A",Table1[[#This Row],[DUT Adj Read]]="N/A",Table1[[#This Row],[Std Adj Read]]="N/A"),"N/A",IF(Table1[[#This Row],[DUT Adj Read]]="N/A",IF(Table1[[#This Row],[Std Adj Read]]&lt;=Table1[[#This Row],[High Tol]],"Pass","Fail"),IF(Table1[[#This Row],[DUT Adj Read]]&lt;=Table1[[#This Row],[High Tol]],"Pass","Fail")))</f>
        <v>Fail</v>
      </c>
      <c r="AH24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5" s="1" t="b">
        <v>0</v>
      </c>
      <c r="AN2455" s="1" t="b">
        <v>0</v>
      </c>
      <c r="AO2455" s="1" t="b">
        <v>0</v>
      </c>
    </row>
    <row r="2456" spans="1:41" x14ac:dyDescent="0.25">
      <c r="A2456" s="10"/>
      <c r="B2456" s="10"/>
      <c r="C2456" s="10"/>
      <c r="D2456" s="10"/>
      <c r="E2456" s="10"/>
      <c r="F2456" s="10"/>
      <c r="G2456" s="10"/>
      <c r="H2456" s="10"/>
      <c r="I2456" s="1" t="str">
        <f t="shared" si="114"/>
        <v/>
      </c>
      <c r="J2456" s="1" t="s">
        <v>35</v>
      </c>
      <c r="K2456" s="1" t="str">
        <f t="shared" si="115"/>
        <v/>
      </c>
      <c r="L2456" s="1" t="str">
        <f t="shared" si="116"/>
        <v/>
      </c>
      <c r="M2456" s="1">
        <f>IF(OR(Table1[[#This Row],[Std Nom]]="",Table1[[#This Row],[Std Read]]=""),0,Table1[[#This Row],[Std Nom]]-Table1[[#This Row],[Std Read]])</f>
        <v>0</v>
      </c>
      <c r="N2456" s="1">
        <f>IF(Calculations!$F$5="ACCREDITED 17025 WITH UNCERTAINTIES",$N$10,0)</f>
        <v>0</v>
      </c>
      <c r="Q2456" s="1">
        <f>Table1[[#This Row],[High Tol]]-Table1[[#This Row],[Low Tol]]</f>
        <v>0</v>
      </c>
      <c r="R2456" s="1">
        <f>2*Table1[[#This Row],[Std Error]]</f>
        <v>0</v>
      </c>
      <c r="S2456" s="1" t="str">
        <f>IF(Table1[[#This Row],[High Tol]]="","N/A",IFERROR(ABS(Table1[[#This Row],[Tol Span]]/Table1[[#This Row],[Error Span]]),"N/A"))</f>
        <v>N/A</v>
      </c>
      <c r="T2456" s="1" t="str">
        <f>IF(OR(Table1[[#This Row],[Low Tol]]="",Table1[[#This Row],[High Tol]]=""),"Needs Analysis",IF(Table1[[#This Row],[Ratio]]&gt;=4,"Not Significant",IF(Table1[[#This Row],[Ratio]]&gt;=2,"Semi-Significant","Significant")))</f>
        <v>Needs Analysis</v>
      </c>
      <c r="W2456" s="1">
        <f>IF(Table1[[#This Row],[Cal Type]]&lt;&gt;"ACCREDITED 17025 WITH UNCERTAINTIES",0,"")</f>
        <v>0</v>
      </c>
      <c r="X2456" s="1" t="str">
        <f>IF(Table1[[#This Row],[DUT Read]]="","N/A",Table1[[#This Row],[Std Error]]+Table1[[#This Row],[DUT Read]]+Table1[[#This Row],[DUT Ucty]])</f>
        <v>N/A</v>
      </c>
      <c r="Y2456" s="1" t="str">
        <f>IF(Table1[[#This Row],[Std Read]]="","N/A",Table1[[#This Row],[Std Read]]+Table1[[#This Row],[Std Ucty]])</f>
        <v>N/A</v>
      </c>
      <c r="Z24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6" s="1" t="str">
        <f>IF(Table1[[#This Row],[Spec Type]]="","N/A",Table1[[#This Row],[Spec Type]])</f>
        <v>±</v>
      </c>
      <c r="AC2456" s="1" t="str">
        <f>IF(Table1[[#This Row],[Spec Type2]]="N/A","N/A",IF(AND(Table1[[#This Row],[DUT Adj Read]]&gt;=Table1[[#This Row],[Low Tol]],Table1[[#This Row],[DUT Adj Read]]&lt;=Table1[[#This Row],[High Tol]]),"Pass","Fail"))</f>
        <v>Fail</v>
      </c>
      <c r="AD2456" s="1" t="str">
        <f>IF(AND(Table1[[#This Row],[Spec Type2]]="N/A",Table1[[#This Row],[DUT Adj Read]]="N/A",Table1[[#This Row],[Std Adj Read]]="N/A"),"N/A",IF(Table1[[#This Row],[DUT Adj Read]]="N/A",IF(Table1[[#This Row],[Std Adj Read]]&gt;Table1[[#This Row],[Low Tol]],"Pass","Fail"),IF(Table1[[#This Row],[DUT Adj Read]]&gt;Table1[[#This Row],[Low Tol]],"Pass","Fail")))</f>
        <v>Pass</v>
      </c>
      <c r="AE2456" s="1" t="str">
        <f>IF(AND(Table1[[#This Row],[Spec Type2]]="N/A",Table1[[#This Row],[DUT Adj Read]]="N/A",Table1[[#This Row],[Std Adj Read]]="N/A"),"N/A",IF(Table1[[#This Row],[DUT Adj Read]]="N/A",IF(Table1[[#This Row],[Std Adj Read]]&lt;Table1[[#This Row],[High Tol]],"Pass","Fail"),IF(Table1[[#This Row],[DUT Adj Read]]&lt;Table1[[#This Row],[High Tol]],"Pass","Fail")))</f>
        <v>Fail</v>
      </c>
      <c r="AF2456" s="1" t="str">
        <f>IF(AND(Table1[[#This Row],[Spec Type2]]="N/A",Table1[[#This Row],[DUT Adj Read]]="N/A",Table1[[#This Row],[Std Adj Read]]="N/A"),"N/A",IF(Table1[[#This Row],[DUT Adj Read]]="N/A",IF(Table1[[#This Row],[Std Adj Read]]&gt;=Table1[[#This Row],[Low Tol]],"Pass","Fail"),IF(Table1[[#This Row],[DUT Adj Read]]&gt;=Table1[[#This Row],[Low Tol]],"Pass","Fail")))</f>
        <v>Pass</v>
      </c>
      <c r="AG2456" s="1" t="str">
        <f>IF(AND(Table1[[#This Row],[Spec Type2]]="N/A",Table1[[#This Row],[DUT Adj Read]]="N/A",Table1[[#This Row],[Std Adj Read]]="N/A"),"N/A",IF(Table1[[#This Row],[DUT Adj Read]]="N/A",IF(Table1[[#This Row],[Std Adj Read]]&lt;=Table1[[#This Row],[High Tol]],"Pass","Fail"),IF(Table1[[#This Row],[DUT Adj Read]]&lt;=Table1[[#This Row],[High Tol]],"Pass","Fail")))</f>
        <v>Fail</v>
      </c>
      <c r="AH24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6" s="1" t="b">
        <v>0</v>
      </c>
      <c r="AN2456" s="1" t="b">
        <v>0</v>
      </c>
      <c r="AO2456" s="1" t="b">
        <v>0</v>
      </c>
    </row>
    <row r="2457" spans="1:41" x14ac:dyDescent="0.25">
      <c r="A2457" s="10"/>
      <c r="B2457" s="10"/>
      <c r="C2457" s="10"/>
      <c r="D2457" s="10"/>
      <c r="E2457" s="10"/>
      <c r="F2457" s="10"/>
      <c r="G2457" s="10"/>
      <c r="H2457" s="10"/>
      <c r="I2457" s="1" t="str">
        <f t="shared" si="114"/>
        <v/>
      </c>
      <c r="J2457" s="1" t="s">
        <v>35</v>
      </c>
      <c r="K2457" s="1" t="str">
        <f t="shared" si="115"/>
        <v/>
      </c>
      <c r="L2457" s="1" t="str">
        <f t="shared" si="116"/>
        <v/>
      </c>
      <c r="M2457" s="1">
        <f>IF(OR(Table1[[#This Row],[Std Nom]]="",Table1[[#This Row],[Std Read]]=""),0,Table1[[#This Row],[Std Nom]]-Table1[[#This Row],[Std Read]])</f>
        <v>0</v>
      </c>
      <c r="N2457" s="1">
        <f>IF(Calculations!$F$5="ACCREDITED 17025 WITH UNCERTAINTIES",$N$10,0)</f>
        <v>0</v>
      </c>
      <c r="Q2457" s="1">
        <f>Table1[[#This Row],[High Tol]]-Table1[[#This Row],[Low Tol]]</f>
        <v>0</v>
      </c>
      <c r="R2457" s="1">
        <f>2*Table1[[#This Row],[Std Error]]</f>
        <v>0</v>
      </c>
      <c r="S2457" s="1" t="str">
        <f>IF(Table1[[#This Row],[High Tol]]="","N/A",IFERROR(ABS(Table1[[#This Row],[Tol Span]]/Table1[[#This Row],[Error Span]]),"N/A"))</f>
        <v>N/A</v>
      </c>
      <c r="T2457" s="1" t="str">
        <f>IF(OR(Table1[[#This Row],[Low Tol]]="",Table1[[#This Row],[High Tol]]=""),"Needs Analysis",IF(Table1[[#This Row],[Ratio]]&gt;=4,"Not Significant",IF(Table1[[#This Row],[Ratio]]&gt;=2,"Semi-Significant","Significant")))</f>
        <v>Needs Analysis</v>
      </c>
      <c r="W2457" s="1">
        <f>IF(Table1[[#This Row],[Cal Type]]&lt;&gt;"ACCREDITED 17025 WITH UNCERTAINTIES",0,"")</f>
        <v>0</v>
      </c>
      <c r="X2457" s="1" t="str">
        <f>IF(Table1[[#This Row],[DUT Read]]="","N/A",Table1[[#This Row],[Std Error]]+Table1[[#This Row],[DUT Read]]+Table1[[#This Row],[DUT Ucty]])</f>
        <v>N/A</v>
      </c>
      <c r="Y2457" s="1" t="str">
        <f>IF(Table1[[#This Row],[Std Read]]="","N/A",Table1[[#This Row],[Std Read]]+Table1[[#This Row],[Std Ucty]])</f>
        <v>N/A</v>
      </c>
      <c r="Z24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7" s="1" t="str">
        <f>IF(Table1[[#This Row],[Spec Type]]="","N/A",Table1[[#This Row],[Spec Type]])</f>
        <v>±</v>
      </c>
      <c r="AC2457" s="1" t="str">
        <f>IF(Table1[[#This Row],[Spec Type2]]="N/A","N/A",IF(AND(Table1[[#This Row],[DUT Adj Read]]&gt;=Table1[[#This Row],[Low Tol]],Table1[[#This Row],[DUT Adj Read]]&lt;=Table1[[#This Row],[High Tol]]),"Pass","Fail"))</f>
        <v>Fail</v>
      </c>
      <c r="AD2457" s="1" t="str">
        <f>IF(AND(Table1[[#This Row],[Spec Type2]]="N/A",Table1[[#This Row],[DUT Adj Read]]="N/A",Table1[[#This Row],[Std Adj Read]]="N/A"),"N/A",IF(Table1[[#This Row],[DUT Adj Read]]="N/A",IF(Table1[[#This Row],[Std Adj Read]]&gt;Table1[[#This Row],[Low Tol]],"Pass","Fail"),IF(Table1[[#This Row],[DUT Adj Read]]&gt;Table1[[#This Row],[Low Tol]],"Pass","Fail")))</f>
        <v>Pass</v>
      </c>
      <c r="AE2457" s="1" t="str">
        <f>IF(AND(Table1[[#This Row],[Spec Type2]]="N/A",Table1[[#This Row],[DUT Adj Read]]="N/A",Table1[[#This Row],[Std Adj Read]]="N/A"),"N/A",IF(Table1[[#This Row],[DUT Adj Read]]="N/A",IF(Table1[[#This Row],[Std Adj Read]]&lt;Table1[[#This Row],[High Tol]],"Pass","Fail"),IF(Table1[[#This Row],[DUT Adj Read]]&lt;Table1[[#This Row],[High Tol]],"Pass","Fail")))</f>
        <v>Fail</v>
      </c>
      <c r="AF2457" s="1" t="str">
        <f>IF(AND(Table1[[#This Row],[Spec Type2]]="N/A",Table1[[#This Row],[DUT Adj Read]]="N/A",Table1[[#This Row],[Std Adj Read]]="N/A"),"N/A",IF(Table1[[#This Row],[DUT Adj Read]]="N/A",IF(Table1[[#This Row],[Std Adj Read]]&gt;=Table1[[#This Row],[Low Tol]],"Pass","Fail"),IF(Table1[[#This Row],[DUT Adj Read]]&gt;=Table1[[#This Row],[Low Tol]],"Pass","Fail")))</f>
        <v>Pass</v>
      </c>
      <c r="AG2457" s="1" t="str">
        <f>IF(AND(Table1[[#This Row],[Spec Type2]]="N/A",Table1[[#This Row],[DUT Adj Read]]="N/A",Table1[[#This Row],[Std Adj Read]]="N/A"),"N/A",IF(Table1[[#This Row],[DUT Adj Read]]="N/A",IF(Table1[[#This Row],[Std Adj Read]]&lt;=Table1[[#This Row],[High Tol]],"Pass","Fail"),IF(Table1[[#This Row],[DUT Adj Read]]&lt;=Table1[[#This Row],[High Tol]],"Pass","Fail")))</f>
        <v>Fail</v>
      </c>
      <c r="AH24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7" s="1" t="b">
        <v>0</v>
      </c>
      <c r="AN2457" s="1" t="b">
        <v>0</v>
      </c>
      <c r="AO2457" s="1" t="b">
        <v>0</v>
      </c>
    </row>
    <row r="2458" spans="1:41" x14ac:dyDescent="0.25">
      <c r="A2458" s="10"/>
      <c r="B2458" s="10"/>
      <c r="C2458" s="10"/>
      <c r="D2458" s="10"/>
      <c r="E2458" s="10"/>
      <c r="F2458" s="10"/>
      <c r="G2458" s="10"/>
      <c r="H2458" s="10"/>
      <c r="I2458" s="1" t="str">
        <f t="shared" si="114"/>
        <v/>
      </c>
      <c r="J2458" s="1" t="s">
        <v>35</v>
      </c>
      <c r="K2458" s="1" t="str">
        <f t="shared" si="115"/>
        <v/>
      </c>
      <c r="L2458" s="1" t="str">
        <f t="shared" si="116"/>
        <v/>
      </c>
      <c r="M2458" s="1">
        <f>IF(OR(Table1[[#This Row],[Std Nom]]="",Table1[[#This Row],[Std Read]]=""),0,Table1[[#This Row],[Std Nom]]-Table1[[#This Row],[Std Read]])</f>
        <v>0</v>
      </c>
      <c r="N2458" s="1">
        <f>IF(Calculations!$F$5="ACCREDITED 17025 WITH UNCERTAINTIES",$N$10,0)</f>
        <v>0</v>
      </c>
      <c r="Q2458" s="1">
        <f>Table1[[#This Row],[High Tol]]-Table1[[#This Row],[Low Tol]]</f>
        <v>0</v>
      </c>
      <c r="R2458" s="1">
        <f>2*Table1[[#This Row],[Std Error]]</f>
        <v>0</v>
      </c>
      <c r="S2458" s="1" t="str">
        <f>IF(Table1[[#This Row],[High Tol]]="","N/A",IFERROR(ABS(Table1[[#This Row],[Tol Span]]/Table1[[#This Row],[Error Span]]),"N/A"))</f>
        <v>N/A</v>
      </c>
      <c r="T2458" s="1" t="str">
        <f>IF(OR(Table1[[#This Row],[Low Tol]]="",Table1[[#This Row],[High Tol]]=""),"Needs Analysis",IF(Table1[[#This Row],[Ratio]]&gt;=4,"Not Significant",IF(Table1[[#This Row],[Ratio]]&gt;=2,"Semi-Significant","Significant")))</f>
        <v>Needs Analysis</v>
      </c>
      <c r="W2458" s="1">
        <f>IF(Table1[[#This Row],[Cal Type]]&lt;&gt;"ACCREDITED 17025 WITH UNCERTAINTIES",0,"")</f>
        <v>0</v>
      </c>
      <c r="X2458" s="1" t="str">
        <f>IF(Table1[[#This Row],[DUT Read]]="","N/A",Table1[[#This Row],[Std Error]]+Table1[[#This Row],[DUT Read]]+Table1[[#This Row],[DUT Ucty]])</f>
        <v>N/A</v>
      </c>
      <c r="Y2458" s="1" t="str">
        <f>IF(Table1[[#This Row],[Std Read]]="","N/A",Table1[[#This Row],[Std Read]]+Table1[[#This Row],[Std Ucty]])</f>
        <v>N/A</v>
      </c>
      <c r="Z24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8" s="1" t="str">
        <f>IF(Table1[[#This Row],[Spec Type]]="","N/A",Table1[[#This Row],[Spec Type]])</f>
        <v>±</v>
      </c>
      <c r="AC2458" s="1" t="str">
        <f>IF(Table1[[#This Row],[Spec Type2]]="N/A","N/A",IF(AND(Table1[[#This Row],[DUT Adj Read]]&gt;=Table1[[#This Row],[Low Tol]],Table1[[#This Row],[DUT Adj Read]]&lt;=Table1[[#This Row],[High Tol]]),"Pass","Fail"))</f>
        <v>Fail</v>
      </c>
      <c r="AD2458" s="1" t="str">
        <f>IF(AND(Table1[[#This Row],[Spec Type2]]="N/A",Table1[[#This Row],[DUT Adj Read]]="N/A",Table1[[#This Row],[Std Adj Read]]="N/A"),"N/A",IF(Table1[[#This Row],[DUT Adj Read]]="N/A",IF(Table1[[#This Row],[Std Adj Read]]&gt;Table1[[#This Row],[Low Tol]],"Pass","Fail"),IF(Table1[[#This Row],[DUT Adj Read]]&gt;Table1[[#This Row],[Low Tol]],"Pass","Fail")))</f>
        <v>Pass</v>
      </c>
      <c r="AE2458" s="1" t="str">
        <f>IF(AND(Table1[[#This Row],[Spec Type2]]="N/A",Table1[[#This Row],[DUT Adj Read]]="N/A",Table1[[#This Row],[Std Adj Read]]="N/A"),"N/A",IF(Table1[[#This Row],[DUT Adj Read]]="N/A",IF(Table1[[#This Row],[Std Adj Read]]&lt;Table1[[#This Row],[High Tol]],"Pass","Fail"),IF(Table1[[#This Row],[DUT Adj Read]]&lt;Table1[[#This Row],[High Tol]],"Pass","Fail")))</f>
        <v>Fail</v>
      </c>
      <c r="AF2458" s="1" t="str">
        <f>IF(AND(Table1[[#This Row],[Spec Type2]]="N/A",Table1[[#This Row],[DUT Adj Read]]="N/A",Table1[[#This Row],[Std Adj Read]]="N/A"),"N/A",IF(Table1[[#This Row],[DUT Adj Read]]="N/A",IF(Table1[[#This Row],[Std Adj Read]]&gt;=Table1[[#This Row],[Low Tol]],"Pass","Fail"),IF(Table1[[#This Row],[DUT Adj Read]]&gt;=Table1[[#This Row],[Low Tol]],"Pass","Fail")))</f>
        <v>Pass</v>
      </c>
      <c r="AG2458" s="1" t="str">
        <f>IF(AND(Table1[[#This Row],[Spec Type2]]="N/A",Table1[[#This Row],[DUT Adj Read]]="N/A",Table1[[#This Row],[Std Adj Read]]="N/A"),"N/A",IF(Table1[[#This Row],[DUT Adj Read]]="N/A",IF(Table1[[#This Row],[Std Adj Read]]&lt;=Table1[[#This Row],[High Tol]],"Pass","Fail"),IF(Table1[[#This Row],[DUT Adj Read]]&lt;=Table1[[#This Row],[High Tol]],"Pass","Fail")))</f>
        <v>Fail</v>
      </c>
      <c r="AH24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8" s="1" t="b">
        <v>0</v>
      </c>
      <c r="AN2458" s="1" t="b">
        <v>0</v>
      </c>
      <c r="AO2458" s="1" t="b">
        <v>0</v>
      </c>
    </row>
    <row r="2459" spans="1:41" x14ac:dyDescent="0.25">
      <c r="A2459" s="10"/>
      <c r="B2459" s="10"/>
      <c r="C2459" s="10"/>
      <c r="D2459" s="10"/>
      <c r="E2459" s="10"/>
      <c r="F2459" s="10"/>
      <c r="G2459" s="10"/>
      <c r="H2459" s="10"/>
      <c r="I2459" s="1" t="str">
        <f t="shared" si="114"/>
        <v/>
      </c>
      <c r="J2459" s="1" t="s">
        <v>35</v>
      </c>
      <c r="K2459" s="1" t="str">
        <f t="shared" si="115"/>
        <v/>
      </c>
      <c r="L2459" s="1" t="str">
        <f t="shared" si="116"/>
        <v/>
      </c>
      <c r="M2459" s="1">
        <f>IF(OR(Table1[[#This Row],[Std Nom]]="",Table1[[#This Row],[Std Read]]=""),0,Table1[[#This Row],[Std Nom]]-Table1[[#This Row],[Std Read]])</f>
        <v>0</v>
      </c>
      <c r="N2459" s="1">
        <f>IF(Calculations!$F$5="ACCREDITED 17025 WITH UNCERTAINTIES",$N$10,0)</f>
        <v>0</v>
      </c>
      <c r="Q2459" s="1">
        <f>Table1[[#This Row],[High Tol]]-Table1[[#This Row],[Low Tol]]</f>
        <v>0</v>
      </c>
      <c r="R2459" s="1">
        <f>2*Table1[[#This Row],[Std Error]]</f>
        <v>0</v>
      </c>
      <c r="S2459" s="1" t="str">
        <f>IF(Table1[[#This Row],[High Tol]]="","N/A",IFERROR(ABS(Table1[[#This Row],[Tol Span]]/Table1[[#This Row],[Error Span]]),"N/A"))</f>
        <v>N/A</v>
      </c>
      <c r="T2459" s="1" t="str">
        <f>IF(OR(Table1[[#This Row],[Low Tol]]="",Table1[[#This Row],[High Tol]]=""),"Needs Analysis",IF(Table1[[#This Row],[Ratio]]&gt;=4,"Not Significant",IF(Table1[[#This Row],[Ratio]]&gt;=2,"Semi-Significant","Significant")))</f>
        <v>Needs Analysis</v>
      </c>
      <c r="W2459" s="1">
        <f>IF(Table1[[#This Row],[Cal Type]]&lt;&gt;"ACCREDITED 17025 WITH UNCERTAINTIES",0,"")</f>
        <v>0</v>
      </c>
      <c r="X2459" s="1" t="str">
        <f>IF(Table1[[#This Row],[DUT Read]]="","N/A",Table1[[#This Row],[Std Error]]+Table1[[#This Row],[DUT Read]]+Table1[[#This Row],[DUT Ucty]])</f>
        <v>N/A</v>
      </c>
      <c r="Y2459" s="1" t="str">
        <f>IF(Table1[[#This Row],[Std Read]]="","N/A",Table1[[#This Row],[Std Read]]+Table1[[#This Row],[Std Ucty]])</f>
        <v>N/A</v>
      </c>
      <c r="Z24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59" s="1" t="str">
        <f>IF(Table1[[#This Row],[Spec Type]]="","N/A",Table1[[#This Row],[Spec Type]])</f>
        <v>±</v>
      </c>
      <c r="AC2459" s="1" t="str">
        <f>IF(Table1[[#This Row],[Spec Type2]]="N/A","N/A",IF(AND(Table1[[#This Row],[DUT Adj Read]]&gt;=Table1[[#This Row],[Low Tol]],Table1[[#This Row],[DUT Adj Read]]&lt;=Table1[[#This Row],[High Tol]]),"Pass","Fail"))</f>
        <v>Fail</v>
      </c>
      <c r="AD2459" s="1" t="str">
        <f>IF(AND(Table1[[#This Row],[Spec Type2]]="N/A",Table1[[#This Row],[DUT Adj Read]]="N/A",Table1[[#This Row],[Std Adj Read]]="N/A"),"N/A",IF(Table1[[#This Row],[DUT Adj Read]]="N/A",IF(Table1[[#This Row],[Std Adj Read]]&gt;Table1[[#This Row],[Low Tol]],"Pass","Fail"),IF(Table1[[#This Row],[DUT Adj Read]]&gt;Table1[[#This Row],[Low Tol]],"Pass","Fail")))</f>
        <v>Pass</v>
      </c>
      <c r="AE2459" s="1" t="str">
        <f>IF(AND(Table1[[#This Row],[Spec Type2]]="N/A",Table1[[#This Row],[DUT Adj Read]]="N/A",Table1[[#This Row],[Std Adj Read]]="N/A"),"N/A",IF(Table1[[#This Row],[DUT Adj Read]]="N/A",IF(Table1[[#This Row],[Std Adj Read]]&lt;Table1[[#This Row],[High Tol]],"Pass","Fail"),IF(Table1[[#This Row],[DUT Adj Read]]&lt;Table1[[#This Row],[High Tol]],"Pass","Fail")))</f>
        <v>Fail</v>
      </c>
      <c r="AF2459" s="1" t="str">
        <f>IF(AND(Table1[[#This Row],[Spec Type2]]="N/A",Table1[[#This Row],[DUT Adj Read]]="N/A",Table1[[#This Row],[Std Adj Read]]="N/A"),"N/A",IF(Table1[[#This Row],[DUT Adj Read]]="N/A",IF(Table1[[#This Row],[Std Adj Read]]&gt;=Table1[[#This Row],[Low Tol]],"Pass","Fail"),IF(Table1[[#This Row],[DUT Adj Read]]&gt;=Table1[[#This Row],[Low Tol]],"Pass","Fail")))</f>
        <v>Pass</v>
      </c>
      <c r="AG2459" s="1" t="str">
        <f>IF(AND(Table1[[#This Row],[Spec Type2]]="N/A",Table1[[#This Row],[DUT Adj Read]]="N/A",Table1[[#This Row],[Std Adj Read]]="N/A"),"N/A",IF(Table1[[#This Row],[DUT Adj Read]]="N/A",IF(Table1[[#This Row],[Std Adj Read]]&lt;=Table1[[#This Row],[High Tol]],"Pass","Fail"),IF(Table1[[#This Row],[DUT Adj Read]]&lt;=Table1[[#This Row],[High Tol]],"Pass","Fail")))</f>
        <v>Fail</v>
      </c>
      <c r="AH24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59" s="1" t="b">
        <v>0</v>
      </c>
      <c r="AN2459" s="1" t="b">
        <v>0</v>
      </c>
      <c r="AO2459" s="1" t="b">
        <v>0</v>
      </c>
    </row>
    <row r="2460" spans="1:41" x14ac:dyDescent="0.25">
      <c r="A2460" s="10"/>
      <c r="B2460" s="10"/>
      <c r="C2460" s="10"/>
      <c r="D2460" s="10"/>
      <c r="E2460" s="10"/>
      <c r="F2460" s="10"/>
      <c r="G2460" s="10"/>
      <c r="H2460" s="10"/>
      <c r="I2460" s="1" t="str">
        <f t="shared" si="114"/>
        <v/>
      </c>
      <c r="J2460" s="1" t="s">
        <v>35</v>
      </c>
      <c r="K2460" s="1" t="str">
        <f t="shared" si="115"/>
        <v/>
      </c>
      <c r="L2460" s="1" t="str">
        <f t="shared" si="116"/>
        <v/>
      </c>
      <c r="M2460" s="1">
        <f>IF(OR(Table1[[#This Row],[Std Nom]]="",Table1[[#This Row],[Std Read]]=""),0,Table1[[#This Row],[Std Nom]]-Table1[[#This Row],[Std Read]])</f>
        <v>0</v>
      </c>
      <c r="N2460" s="1">
        <f>IF(Calculations!$F$5="ACCREDITED 17025 WITH UNCERTAINTIES",$N$10,0)</f>
        <v>0</v>
      </c>
      <c r="Q2460" s="1">
        <f>Table1[[#This Row],[High Tol]]-Table1[[#This Row],[Low Tol]]</f>
        <v>0</v>
      </c>
      <c r="R2460" s="1">
        <f>2*Table1[[#This Row],[Std Error]]</f>
        <v>0</v>
      </c>
      <c r="S2460" s="1" t="str">
        <f>IF(Table1[[#This Row],[High Tol]]="","N/A",IFERROR(ABS(Table1[[#This Row],[Tol Span]]/Table1[[#This Row],[Error Span]]),"N/A"))</f>
        <v>N/A</v>
      </c>
      <c r="T2460" s="1" t="str">
        <f>IF(OR(Table1[[#This Row],[Low Tol]]="",Table1[[#This Row],[High Tol]]=""),"Needs Analysis",IF(Table1[[#This Row],[Ratio]]&gt;=4,"Not Significant",IF(Table1[[#This Row],[Ratio]]&gt;=2,"Semi-Significant","Significant")))</f>
        <v>Needs Analysis</v>
      </c>
      <c r="W2460" s="1">
        <f>IF(Table1[[#This Row],[Cal Type]]&lt;&gt;"ACCREDITED 17025 WITH UNCERTAINTIES",0,"")</f>
        <v>0</v>
      </c>
      <c r="X2460" s="1" t="str">
        <f>IF(Table1[[#This Row],[DUT Read]]="","N/A",Table1[[#This Row],[Std Error]]+Table1[[#This Row],[DUT Read]]+Table1[[#This Row],[DUT Ucty]])</f>
        <v>N/A</v>
      </c>
      <c r="Y2460" s="1" t="str">
        <f>IF(Table1[[#This Row],[Std Read]]="","N/A",Table1[[#This Row],[Std Read]]+Table1[[#This Row],[Std Ucty]])</f>
        <v>N/A</v>
      </c>
      <c r="Z24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0" s="1" t="str">
        <f>IF(Table1[[#This Row],[Spec Type]]="","N/A",Table1[[#This Row],[Spec Type]])</f>
        <v>±</v>
      </c>
      <c r="AC2460" s="1" t="str">
        <f>IF(Table1[[#This Row],[Spec Type2]]="N/A","N/A",IF(AND(Table1[[#This Row],[DUT Adj Read]]&gt;=Table1[[#This Row],[Low Tol]],Table1[[#This Row],[DUT Adj Read]]&lt;=Table1[[#This Row],[High Tol]]),"Pass","Fail"))</f>
        <v>Fail</v>
      </c>
      <c r="AD2460" s="1" t="str">
        <f>IF(AND(Table1[[#This Row],[Spec Type2]]="N/A",Table1[[#This Row],[DUT Adj Read]]="N/A",Table1[[#This Row],[Std Adj Read]]="N/A"),"N/A",IF(Table1[[#This Row],[DUT Adj Read]]="N/A",IF(Table1[[#This Row],[Std Adj Read]]&gt;Table1[[#This Row],[Low Tol]],"Pass","Fail"),IF(Table1[[#This Row],[DUT Adj Read]]&gt;Table1[[#This Row],[Low Tol]],"Pass","Fail")))</f>
        <v>Pass</v>
      </c>
      <c r="AE2460" s="1" t="str">
        <f>IF(AND(Table1[[#This Row],[Spec Type2]]="N/A",Table1[[#This Row],[DUT Adj Read]]="N/A",Table1[[#This Row],[Std Adj Read]]="N/A"),"N/A",IF(Table1[[#This Row],[DUT Adj Read]]="N/A",IF(Table1[[#This Row],[Std Adj Read]]&lt;Table1[[#This Row],[High Tol]],"Pass","Fail"),IF(Table1[[#This Row],[DUT Adj Read]]&lt;Table1[[#This Row],[High Tol]],"Pass","Fail")))</f>
        <v>Fail</v>
      </c>
      <c r="AF2460" s="1" t="str">
        <f>IF(AND(Table1[[#This Row],[Spec Type2]]="N/A",Table1[[#This Row],[DUT Adj Read]]="N/A",Table1[[#This Row],[Std Adj Read]]="N/A"),"N/A",IF(Table1[[#This Row],[DUT Adj Read]]="N/A",IF(Table1[[#This Row],[Std Adj Read]]&gt;=Table1[[#This Row],[Low Tol]],"Pass","Fail"),IF(Table1[[#This Row],[DUT Adj Read]]&gt;=Table1[[#This Row],[Low Tol]],"Pass","Fail")))</f>
        <v>Pass</v>
      </c>
      <c r="AG2460" s="1" t="str">
        <f>IF(AND(Table1[[#This Row],[Spec Type2]]="N/A",Table1[[#This Row],[DUT Adj Read]]="N/A",Table1[[#This Row],[Std Adj Read]]="N/A"),"N/A",IF(Table1[[#This Row],[DUT Adj Read]]="N/A",IF(Table1[[#This Row],[Std Adj Read]]&lt;=Table1[[#This Row],[High Tol]],"Pass","Fail"),IF(Table1[[#This Row],[DUT Adj Read]]&lt;=Table1[[#This Row],[High Tol]],"Pass","Fail")))</f>
        <v>Fail</v>
      </c>
      <c r="AH24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0" s="1" t="b">
        <v>0</v>
      </c>
      <c r="AN2460" s="1" t="b">
        <v>0</v>
      </c>
      <c r="AO2460" s="1" t="b">
        <v>0</v>
      </c>
    </row>
    <row r="2461" spans="1:41" x14ac:dyDescent="0.25">
      <c r="A2461" s="10"/>
      <c r="B2461" s="10"/>
      <c r="C2461" s="10"/>
      <c r="D2461" s="10"/>
      <c r="E2461" s="10"/>
      <c r="F2461" s="10"/>
      <c r="G2461" s="10"/>
      <c r="H2461" s="10"/>
      <c r="I2461" s="1" t="str">
        <f t="shared" si="114"/>
        <v/>
      </c>
      <c r="J2461" s="1" t="s">
        <v>35</v>
      </c>
      <c r="K2461" s="1" t="str">
        <f t="shared" si="115"/>
        <v/>
      </c>
      <c r="L2461" s="1" t="str">
        <f t="shared" si="116"/>
        <v/>
      </c>
      <c r="M2461" s="1">
        <f>IF(OR(Table1[[#This Row],[Std Nom]]="",Table1[[#This Row],[Std Read]]=""),0,Table1[[#This Row],[Std Nom]]-Table1[[#This Row],[Std Read]])</f>
        <v>0</v>
      </c>
      <c r="N2461" s="1">
        <f>IF(Calculations!$F$5="ACCREDITED 17025 WITH UNCERTAINTIES",$N$10,0)</f>
        <v>0</v>
      </c>
      <c r="Q2461" s="1">
        <f>Table1[[#This Row],[High Tol]]-Table1[[#This Row],[Low Tol]]</f>
        <v>0</v>
      </c>
      <c r="R2461" s="1">
        <f>2*Table1[[#This Row],[Std Error]]</f>
        <v>0</v>
      </c>
      <c r="S2461" s="1" t="str">
        <f>IF(Table1[[#This Row],[High Tol]]="","N/A",IFERROR(ABS(Table1[[#This Row],[Tol Span]]/Table1[[#This Row],[Error Span]]),"N/A"))</f>
        <v>N/A</v>
      </c>
      <c r="T2461" s="1" t="str">
        <f>IF(OR(Table1[[#This Row],[Low Tol]]="",Table1[[#This Row],[High Tol]]=""),"Needs Analysis",IF(Table1[[#This Row],[Ratio]]&gt;=4,"Not Significant",IF(Table1[[#This Row],[Ratio]]&gt;=2,"Semi-Significant","Significant")))</f>
        <v>Needs Analysis</v>
      </c>
      <c r="W2461" s="1">
        <f>IF(Table1[[#This Row],[Cal Type]]&lt;&gt;"ACCREDITED 17025 WITH UNCERTAINTIES",0,"")</f>
        <v>0</v>
      </c>
      <c r="X2461" s="1" t="str">
        <f>IF(Table1[[#This Row],[DUT Read]]="","N/A",Table1[[#This Row],[Std Error]]+Table1[[#This Row],[DUT Read]]+Table1[[#This Row],[DUT Ucty]])</f>
        <v>N/A</v>
      </c>
      <c r="Y2461" s="1" t="str">
        <f>IF(Table1[[#This Row],[Std Read]]="","N/A",Table1[[#This Row],[Std Read]]+Table1[[#This Row],[Std Ucty]])</f>
        <v>N/A</v>
      </c>
      <c r="Z24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1" s="1" t="str">
        <f>IF(Table1[[#This Row],[Spec Type]]="","N/A",Table1[[#This Row],[Spec Type]])</f>
        <v>±</v>
      </c>
      <c r="AC2461" s="1" t="str">
        <f>IF(Table1[[#This Row],[Spec Type2]]="N/A","N/A",IF(AND(Table1[[#This Row],[DUT Adj Read]]&gt;=Table1[[#This Row],[Low Tol]],Table1[[#This Row],[DUT Adj Read]]&lt;=Table1[[#This Row],[High Tol]]),"Pass","Fail"))</f>
        <v>Fail</v>
      </c>
      <c r="AD2461" s="1" t="str">
        <f>IF(AND(Table1[[#This Row],[Spec Type2]]="N/A",Table1[[#This Row],[DUT Adj Read]]="N/A",Table1[[#This Row],[Std Adj Read]]="N/A"),"N/A",IF(Table1[[#This Row],[DUT Adj Read]]="N/A",IF(Table1[[#This Row],[Std Adj Read]]&gt;Table1[[#This Row],[Low Tol]],"Pass","Fail"),IF(Table1[[#This Row],[DUT Adj Read]]&gt;Table1[[#This Row],[Low Tol]],"Pass","Fail")))</f>
        <v>Pass</v>
      </c>
      <c r="AE2461" s="1" t="str">
        <f>IF(AND(Table1[[#This Row],[Spec Type2]]="N/A",Table1[[#This Row],[DUT Adj Read]]="N/A",Table1[[#This Row],[Std Adj Read]]="N/A"),"N/A",IF(Table1[[#This Row],[DUT Adj Read]]="N/A",IF(Table1[[#This Row],[Std Adj Read]]&lt;Table1[[#This Row],[High Tol]],"Pass","Fail"),IF(Table1[[#This Row],[DUT Adj Read]]&lt;Table1[[#This Row],[High Tol]],"Pass","Fail")))</f>
        <v>Fail</v>
      </c>
      <c r="AF2461" s="1" t="str">
        <f>IF(AND(Table1[[#This Row],[Spec Type2]]="N/A",Table1[[#This Row],[DUT Adj Read]]="N/A",Table1[[#This Row],[Std Adj Read]]="N/A"),"N/A",IF(Table1[[#This Row],[DUT Adj Read]]="N/A",IF(Table1[[#This Row],[Std Adj Read]]&gt;=Table1[[#This Row],[Low Tol]],"Pass","Fail"),IF(Table1[[#This Row],[DUT Adj Read]]&gt;=Table1[[#This Row],[Low Tol]],"Pass","Fail")))</f>
        <v>Pass</v>
      </c>
      <c r="AG2461" s="1" t="str">
        <f>IF(AND(Table1[[#This Row],[Spec Type2]]="N/A",Table1[[#This Row],[DUT Adj Read]]="N/A",Table1[[#This Row],[Std Adj Read]]="N/A"),"N/A",IF(Table1[[#This Row],[DUT Adj Read]]="N/A",IF(Table1[[#This Row],[Std Adj Read]]&lt;=Table1[[#This Row],[High Tol]],"Pass","Fail"),IF(Table1[[#This Row],[DUT Adj Read]]&lt;=Table1[[#This Row],[High Tol]],"Pass","Fail")))</f>
        <v>Fail</v>
      </c>
      <c r="AH24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1" s="1" t="b">
        <v>0</v>
      </c>
      <c r="AN2461" s="1" t="b">
        <v>0</v>
      </c>
      <c r="AO2461" s="1" t="b">
        <v>0</v>
      </c>
    </row>
    <row r="2462" spans="1:41" x14ac:dyDescent="0.25">
      <c r="A2462" s="10"/>
      <c r="B2462" s="10"/>
      <c r="C2462" s="10"/>
      <c r="D2462" s="10"/>
      <c r="E2462" s="10"/>
      <c r="F2462" s="10"/>
      <c r="G2462" s="10"/>
      <c r="H2462" s="10"/>
      <c r="I2462" s="1" t="str">
        <f t="shared" si="114"/>
        <v/>
      </c>
      <c r="J2462" s="1" t="s">
        <v>35</v>
      </c>
      <c r="K2462" s="1" t="str">
        <f t="shared" si="115"/>
        <v/>
      </c>
      <c r="L2462" s="1" t="str">
        <f t="shared" si="116"/>
        <v/>
      </c>
      <c r="M2462" s="1">
        <f>IF(OR(Table1[[#This Row],[Std Nom]]="",Table1[[#This Row],[Std Read]]=""),0,Table1[[#This Row],[Std Nom]]-Table1[[#This Row],[Std Read]])</f>
        <v>0</v>
      </c>
      <c r="N2462" s="1">
        <f>IF(Calculations!$F$5="ACCREDITED 17025 WITH UNCERTAINTIES",$N$10,0)</f>
        <v>0</v>
      </c>
      <c r="Q2462" s="1">
        <f>Table1[[#This Row],[High Tol]]-Table1[[#This Row],[Low Tol]]</f>
        <v>0</v>
      </c>
      <c r="R2462" s="1">
        <f>2*Table1[[#This Row],[Std Error]]</f>
        <v>0</v>
      </c>
      <c r="S2462" s="1" t="str">
        <f>IF(Table1[[#This Row],[High Tol]]="","N/A",IFERROR(ABS(Table1[[#This Row],[Tol Span]]/Table1[[#This Row],[Error Span]]),"N/A"))</f>
        <v>N/A</v>
      </c>
      <c r="T2462" s="1" t="str">
        <f>IF(OR(Table1[[#This Row],[Low Tol]]="",Table1[[#This Row],[High Tol]]=""),"Needs Analysis",IF(Table1[[#This Row],[Ratio]]&gt;=4,"Not Significant",IF(Table1[[#This Row],[Ratio]]&gt;=2,"Semi-Significant","Significant")))</f>
        <v>Needs Analysis</v>
      </c>
      <c r="W2462" s="1">
        <f>IF(Table1[[#This Row],[Cal Type]]&lt;&gt;"ACCREDITED 17025 WITH UNCERTAINTIES",0,"")</f>
        <v>0</v>
      </c>
      <c r="X2462" s="1" t="str">
        <f>IF(Table1[[#This Row],[DUT Read]]="","N/A",Table1[[#This Row],[Std Error]]+Table1[[#This Row],[DUT Read]]+Table1[[#This Row],[DUT Ucty]])</f>
        <v>N/A</v>
      </c>
      <c r="Y2462" s="1" t="str">
        <f>IF(Table1[[#This Row],[Std Read]]="","N/A",Table1[[#This Row],[Std Read]]+Table1[[#This Row],[Std Ucty]])</f>
        <v>N/A</v>
      </c>
      <c r="Z24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2" s="1" t="str">
        <f>IF(Table1[[#This Row],[Spec Type]]="","N/A",Table1[[#This Row],[Spec Type]])</f>
        <v>±</v>
      </c>
      <c r="AC2462" s="1" t="str">
        <f>IF(Table1[[#This Row],[Spec Type2]]="N/A","N/A",IF(AND(Table1[[#This Row],[DUT Adj Read]]&gt;=Table1[[#This Row],[Low Tol]],Table1[[#This Row],[DUT Adj Read]]&lt;=Table1[[#This Row],[High Tol]]),"Pass","Fail"))</f>
        <v>Fail</v>
      </c>
      <c r="AD2462" s="1" t="str">
        <f>IF(AND(Table1[[#This Row],[Spec Type2]]="N/A",Table1[[#This Row],[DUT Adj Read]]="N/A",Table1[[#This Row],[Std Adj Read]]="N/A"),"N/A",IF(Table1[[#This Row],[DUT Adj Read]]="N/A",IF(Table1[[#This Row],[Std Adj Read]]&gt;Table1[[#This Row],[Low Tol]],"Pass","Fail"),IF(Table1[[#This Row],[DUT Adj Read]]&gt;Table1[[#This Row],[Low Tol]],"Pass","Fail")))</f>
        <v>Pass</v>
      </c>
      <c r="AE2462" s="1" t="str">
        <f>IF(AND(Table1[[#This Row],[Spec Type2]]="N/A",Table1[[#This Row],[DUT Adj Read]]="N/A",Table1[[#This Row],[Std Adj Read]]="N/A"),"N/A",IF(Table1[[#This Row],[DUT Adj Read]]="N/A",IF(Table1[[#This Row],[Std Adj Read]]&lt;Table1[[#This Row],[High Tol]],"Pass","Fail"),IF(Table1[[#This Row],[DUT Adj Read]]&lt;Table1[[#This Row],[High Tol]],"Pass","Fail")))</f>
        <v>Fail</v>
      </c>
      <c r="AF2462" s="1" t="str">
        <f>IF(AND(Table1[[#This Row],[Spec Type2]]="N/A",Table1[[#This Row],[DUT Adj Read]]="N/A",Table1[[#This Row],[Std Adj Read]]="N/A"),"N/A",IF(Table1[[#This Row],[DUT Adj Read]]="N/A",IF(Table1[[#This Row],[Std Adj Read]]&gt;=Table1[[#This Row],[Low Tol]],"Pass","Fail"),IF(Table1[[#This Row],[DUT Adj Read]]&gt;=Table1[[#This Row],[Low Tol]],"Pass","Fail")))</f>
        <v>Pass</v>
      </c>
      <c r="AG2462" s="1" t="str">
        <f>IF(AND(Table1[[#This Row],[Spec Type2]]="N/A",Table1[[#This Row],[DUT Adj Read]]="N/A",Table1[[#This Row],[Std Adj Read]]="N/A"),"N/A",IF(Table1[[#This Row],[DUT Adj Read]]="N/A",IF(Table1[[#This Row],[Std Adj Read]]&lt;=Table1[[#This Row],[High Tol]],"Pass","Fail"),IF(Table1[[#This Row],[DUT Adj Read]]&lt;=Table1[[#This Row],[High Tol]],"Pass","Fail")))</f>
        <v>Fail</v>
      </c>
      <c r="AH24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2" s="1" t="b">
        <v>0</v>
      </c>
      <c r="AN2462" s="1" t="b">
        <v>0</v>
      </c>
      <c r="AO2462" s="1" t="b">
        <v>0</v>
      </c>
    </row>
    <row r="2463" spans="1:41" x14ac:dyDescent="0.25">
      <c r="A2463" s="10"/>
      <c r="B2463" s="10"/>
      <c r="C2463" s="10"/>
      <c r="D2463" s="10"/>
      <c r="E2463" s="10"/>
      <c r="F2463" s="10"/>
      <c r="G2463" s="10"/>
      <c r="H2463" s="10"/>
      <c r="I2463" s="1" t="str">
        <f t="shared" si="114"/>
        <v/>
      </c>
      <c r="J2463" s="1" t="s">
        <v>35</v>
      </c>
      <c r="K2463" s="1" t="str">
        <f t="shared" si="115"/>
        <v/>
      </c>
      <c r="L2463" s="1" t="str">
        <f t="shared" si="116"/>
        <v/>
      </c>
      <c r="M2463" s="1">
        <f>IF(OR(Table1[[#This Row],[Std Nom]]="",Table1[[#This Row],[Std Read]]=""),0,Table1[[#This Row],[Std Nom]]-Table1[[#This Row],[Std Read]])</f>
        <v>0</v>
      </c>
      <c r="N2463" s="1">
        <f>IF(Calculations!$F$5="ACCREDITED 17025 WITH UNCERTAINTIES",$N$10,0)</f>
        <v>0</v>
      </c>
      <c r="Q2463" s="1">
        <f>Table1[[#This Row],[High Tol]]-Table1[[#This Row],[Low Tol]]</f>
        <v>0</v>
      </c>
      <c r="R2463" s="1">
        <f>2*Table1[[#This Row],[Std Error]]</f>
        <v>0</v>
      </c>
      <c r="S2463" s="1" t="str">
        <f>IF(Table1[[#This Row],[High Tol]]="","N/A",IFERROR(ABS(Table1[[#This Row],[Tol Span]]/Table1[[#This Row],[Error Span]]),"N/A"))</f>
        <v>N/A</v>
      </c>
      <c r="T2463" s="1" t="str">
        <f>IF(OR(Table1[[#This Row],[Low Tol]]="",Table1[[#This Row],[High Tol]]=""),"Needs Analysis",IF(Table1[[#This Row],[Ratio]]&gt;=4,"Not Significant",IF(Table1[[#This Row],[Ratio]]&gt;=2,"Semi-Significant","Significant")))</f>
        <v>Needs Analysis</v>
      </c>
      <c r="W2463" s="1">
        <f>IF(Table1[[#This Row],[Cal Type]]&lt;&gt;"ACCREDITED 17025 WITH UNCERTAINTIES",0,"")</f>
        <v>0</v>
      </c>
      <c r="X2463" s="1" t="str">
        <f>IF(Table1[[#This Row],[DUT Read]]="","N/A",Table1[[#This Row],[Std Error]]+Table1[[#This Row],[DUT Read]]+Table1[[#This Row],[DUT Ucty]])</f>
        <v>N/A</v>
      </c>
      <c r="Y2463" s="1" t="str">
        <f>IF(Table1[[#This Row],[Std Read]]="","N/A",Table1[[#This Row],[Std Read]]+Table1[[#This Row],[Std Ucty]])</f>
        <v>N/A</v>
      </c>
      <c r="Z24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3" s="1" t="str">
        <f>IF(Table1[[#This Row],[Spec Type]]="","N/A",Table1[[#This Row],[Spec Type]])</f>
        <v>±</v>
      </c>
      <c r="AC2463" s="1" t="str">
        <f>IF(Table1[[#This Row],[Spec Type2]]="N/A","N/A",IF(AND(Table1[[#This Row],[DUT Adj Read]]&gt;=Table1[[#This Row],[Low Tol]],Table1[[#This Row],[DUT Adj Read]]&lt;=Table1[[#This Row],[High Tol]]),"Pass","Fail"))</f>
        <v>Fail</v>
      </c>
      <c r="AD2463" s="1" t="str">
        <f>IF(AND(Table1[[#This Row],[Spec Type2]]="N/A",Table1[[#This Row],[DUT Adj Read]]="N/A",Table1[[#This Row],[Std Adj Read]]="N/A"),"N/A",IF(Table1[[#This Row],[DUT Adj Read]]="N/A",IF(Table1[[#This Row],[Std Adj Read]]&gt;Table1[[#This Row],[Low Tol]],"Pass","Fail"),IF(Table1[[#This Row],[DUT Adj Read]]&gt;Table1[[#This Row],[Low Tol]],"Pass","Fail")))</f>
        <v>Pass</v>
      </c>
      <c r="AE2463" s="1" t="str">
        <f>IF(AND(Table1[[#This Row],[Spec Type2]]="N/A",Table1[[#This Row],[DUT Adj Read]]="N/A",Table1[[#This Row],[Std Adj Read]]="N/A"),"N/A",IF(Table1[[#This Row],[DUT Adj Read]]="N/A",IF(Table1[[#This Row],[Std Adj Read]]&lt;Table1[[#This Row],[High Tol]],"Pass","Fail"),IF(Table1[[#This Row],[DUT Adj Read]]&lt;Table1[[#This Row],[High Tol]],"Pass","Fail")))</f>
        <v>Fail</v>
      </c>
      <c r="AF2463" s="1" t="str">
        <f>IF(AND(Table1[[#This Row],[Spec Type2]]="N/A",Table1[[#This Row],[DUT Adj Read]]="N/A",Table1[[#This Row],[Std Adj Read]]="N/A"),"N/A",IF(Table1[[#This Row],[DUT Adj Read]]="N/A",IF(Table1[[#This Row],[Std Adj Read]]&gt;=Table1[[#This Row],[Low Tol]],"Pass","Fail"),IF(Table1[[#This Row],[DUT Adj Read]]&gt;=Table1[[#This Row],[Low Tol]],"Pass","Fail")))</f>
        <v>Pass</v>
      </c>
      <c r="AG2463" s="1" t="str">
        <f>IF(AND(Table1[[#This Row],[Spec Type2]]="N/A",Table1[[#This Row],[DUT Adj Read]]="N/A",Table1[[#This Row],[Std Adj Read]]="N/A"),"N/A",IF(Table1[[#This Row],[DUT Adj Read]]="N/A",IF(Table1[[#This Row],[Std Adj Read]]&lt;=Table1[[#This Row],[High Tol]],"Pass","Fail"),IF(Table1[[#This Row],[DUT Adj Read]]&lt;=Table1[[#This Row],[High Tol]],"Pass","Fail")))</f>
        <v>Fail</v>
      </c>
      <c r="AH24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3" s="1" t="b">
        <v>0</v>
      </c>
      <c r="AN2463" s="1" t="b">
        <v>0</v>
      </c>
      <c r="AO2463" s="1" t="b">
        <v>0</v>
      </c>
    </row>
    <row r="2464" spans="1:41" x14ac:dyDescent="0.25">
      <c r="A2464" s="10"/>
      <c r="B2464" s="10"/>
      <c r="C2464" s="10"/>
      <c r="D2464" s="10"/>
      <c r="E2464" s="10"/>
      <c r="F2464" s="10"/>
      <c r="G2464" s="10"/>
      <c r="H2464" s="10"/>
      <c r="I2464" s="1" t="str">
        <f t="shared" si="114"/>
        <v/>
      </c>
      <c r="J2464" s="1" t="s">
        <v>35</v>
      </c>
      <c r="K2464" s="1" t="str">
        <f t="shared" si="115"/>
        <v/>
      </c>
      <c r="L2464" s="1" t="str">
        <f t="shared" si="116"/>
        <v/>
      </c>
      <c r="M2464" s="1">
        <f>IF(OR(Table1[[#This Row],[Std Nom]]="",Table1[[#This Row],[Std Read]]=""),0,Table1[[#This Row],[Std Nom]]-Table1[[#This Row],[Std Read]])</f>
        <v>0</v>
      </c>
      <c r="N2464" s="1">
        <f>IF(Calculations!$F$5="ACCREDITED 17025 WITH UNCERTAINTIES",$N$10,0)</f>
        <v>0</v>
      </c>
      <c r="Q2464" s="1">
        <f>Table1[[#This Row],[High Tol]]-Table1[[#This Row],[Low Tol]]</f>
        <v>0</v>
      </c>
      <c r="R2464" s="1">
        <f>2*Table1[[#This Row],[Std Error]]</f>
        <v>0</v>
      </c>
      <c r="S2464" s="1" t="str">
        <f>IF(Table1[[#This Row],[High Tol]]="","N/A",IFERROR(ABS(Table1[[#This Row],[Tol Span]]/Table1[[#This Row],[Error Span]]),"N/A"))</f>
        <v>N/A</v>
      </c>
      <c r="T2464" s="1" t="str">
        <f>IF(OR(Table1[[#This Row],[Low Tol]]="",Table1[[#This Row],[High Tol]]=""),"Needs Analysis",IF(Table1[[#This Row],[Ratio]]&gt;=4,"Not Significant",IF(Table1[[#This Row],[Ratio]]&gt;=2,"Semi-Significant","Significant")))</f>
        <v>Needs Analysis</v>
      </c>
      <c r="W2464" s="1">
        <f>IF(Table1[[#This Row],[Cal Type]]&lt;&gt;"ACCREDITED 17025 WITH UNCERTAINTIES",0,"")</f>
        <v>0</v>
      </c>
      <c r="X2464" s="1" t="str">
        <f>IF(Table1[[#This Row],[DUT Read]]="","N/A",Table1[[#This Row],[Std Error]]+Table1[[#This Row],[DUT Read]]+Table1[[#This Row],[DUT Ucty]])</f>
        <v>N/A</v>
      </c>
      <c r="Y2464" s="1" t="str">
        <f>IF(Table1[[#This Row],[Std Read]]="","N/A",Table1[[#This Row],[Std Read]]+Table1[[#This Row],[Std Ucty]])</f>
        <v>N/A</v>
      </c>
      <c r="Z24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4" s="1" t="str">
        <f>IF(Table1[[#This Row],[Spec Type]]="","N/A",Table1[[#This Row],[Spec Type]])</f>
        <v>±</v>
      </c>
      <c r="AC2464" s="1" t="str">
        <f>IF(Table1[[#This Row],[Spec Type2]]="N/A","N/A",IF(AND(Table1[[#This Row],[DUT Adj Read]]&gt;=Table1[[#This Row],[Low Tol]],Table1[[#This Row],[DUT Adj Read]]&lt;=Table1[[#This Row],[High Tol]]),"Pass","Fail"))</f>
        <v>Fail</v>
      </c>
      <c r="AD2464" s="1" t="str">
        <f>IF(AND(Table1[[#This Row],[Spec Type2]]="N/A",Table1[[#This Row],[DUT Adj Read]]="N/A",Table1[[#This Row],[Std Adj Read]]="N/A"),"N/A",IF(Table1[[#This Row],[DUT Adj Read]]="N/A",IF(Table1[[#This Row],[Std Adj Read]]&gt;Table1[[#This Row],[Low Tol]],"Pass","Fail"),IF(Table1[[#This Row],[DUT Adj Read]]&gt;Table1[[#This Row],[Low Tol]],"Pass","Fail")))</f>
        <v>Pass</v>
      </c>
      <c r="AE2464" s="1" t="str">
        <f>IF(AND(Table1[[#This Row],[Spec Type2]]="N/A",Table1[[#This Row],[DUT Adj Read]]="N/A",Table1[[#This Row],[Std Adj Read]]="N/A"),"N/A",IF(Table1[[#This Row],[DUT Adj Read]]="N/A",IF(Table1[[#This Row],[Std Adj Read]]&lt;Table1[[#This Row],[High Tol]],"Pass","Fail"),IF(Table1[[#This Row],[DUT Adj Read]]&lt;Table1[[#This Row],[High Tol]],"Pass","Fail")))</f>
        <v>Fail</v>
      </c>
      <c r="AF2464" s="1" t="str">
        <f>IF(AND(Table1[[#This Row],[Spec Type2]]="N/A",Table1[[#This Row],[DUT Adj Read]]="N/A",Table1[[#This Row],[Std Adj Read]]="N/A"),"N/A",IF(Table1[[#This Row],[DUT Adj Read]]="N/A",IF(Table1[[#This Row],[Std Adj Read]]&gt;=Table1[[#This Row],[Low Tol]],"Pass","Fail"),IF(Table1[[#This Row],[DUT Adj Read]]&gt;=Table1[[#This Row],[Low Tol]],"Pass","Fail")))</f>
        <v>Pass</v>
      </c>
      <c r="AG2464" s="1" t="str">
        <f>IF(AND(Table1[[#This Row],[Spec Type2]]="N/A",Table1[[#This Row],[DUT Adj Read]]="N/A",Table1[[#This Row],[Std Adj Read]]="N/A"),"N/A",IF(Table1[[#This Row],[DUT Adj Read]]="N/A",IF(Table1[[#This Row],[Std Adj Read]]&lt;=Table1[[#This Row],[High Tol]],"Pass","Fail"),IF(Table1[[#This Row],[DUT Adj Read]]&lt;=Table1[[#This Row],[High Tol]],"Pass","Fail")))</f>
        <v>Fail</v>
      </c>
      <c r="AH24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4" s="1" t="b">
        <v>0</v>
      </c>
      <c r="AN2464" s="1" t="b">
        <v>0</v>
      </c>
      <c r="AO2464" s="1" t="b">
        <v>0</v>
      </c>
    </row>
    <row r="2465" spans="1:41" x14ac:dyDescent="0.25">
      <c r="A2465" s="10"/>
      <c r="B2465" s="10"/>
      <c r="C2465" s="10"/>
      <c r="D2465" s="10"/>
      <c r="E2465" s="10"/>
      <c r="F2465" s="10"/>
      <c r="G2465" s="10"/>
      <c r="H2465" s="10"/>
      <c r="I2465" s="1" t="str">
        <f t="shared" si="114"/>
        <v/>
      </c>
      <c r="J2465" s="1" t="s">
        <v>35</v>
      </c>
      <c r="K2465" s="1" t="str">
        <f t="shared" si="115"/>
        <v/>
      </c>
      <c r="L2465" s="1" t="str">
        <f t="shared" si="116"/>
        <v/>
      </c>
      <c r="M2465" s="1">
        <f>IF(OR(Table1[[#This Row],[Std Nom]]="",Table1[[#This Row],[Std Read]]=""),0,Table1[[#This Row],[Std Nom]]-Table1[[#This Row],[Std Read]])</f>
        <v>0</v>
      </c>
      <c r="N2465" s="1">
        <f>IF(Calculations!$F$5="ACCREDITED 17025 WITH UNCERTAINTIES",$N$10,0)</f>
        <v>0</v>
      </c>
      <c r="Q2465" s="1">
        <f>Table1[[#This Row],[High Tol]]-Table1[[#This Row],[Low Tol]]</f>
        <v>0</v>
      </c>
      <c r="R2465" s="1">
        <f>2*Table1[[#This Row],[Std Error]]</f>
        <v>0</v>
      </c>
      <c r="S2465" s="1" t="str">
        <f>IF(Table1[[#This Row],[High Tol]]="","N/A",IFERROR(ABS(Table1[[#This Row],[Tol Span]]/Table1[[#This Row],[Error Span]]),"N/A"))</f>
        <v>N/A</v>
      </c>
      <c r="T2465" s="1" t="str">
        <f>IF(OR(Table1[[#This Row],[Low Tol]]="",Table1[[#This Row],[High Tol]]=""),"Needs Analysis",IF(Table1[[#This Row],[Ratio]]&gt;=4,"Not Significant",IF(Table1[[#This Row],[Ratio]]&gt;=2,"Semi-Significant","Significant")))</f>
        <v>Needs Analysis</v>
      </c>
      <c r="W2465" s="1">
        <f>IF(Table1[[#This Row],[Cal Type]]&lt;&gt;"ACCREDITED 17025 WITH UNCERTAINTIES",0,"")</f>
        <v>0</v>
      </c>
      <c r="X2465" s="1" t="str">
        <f>IF(Table1[[#This Row],[DUT Read]]="","N/A",Table1[[#This Row],[Std Error]]+Table1[[#This Row],[DUT Read]]+Table1[[#This Row],[DUT Ucty]])</f>
        <v>N/A</v>
      </c>
      <c r="Y2465" s="1" t="str">
        <f>IF(Table1[[#This Row],[Std Read]]="","N/A",Table1[[#This Row],[Std Read]]+Table1[[#This Row],[Std Ucty]])</f>
        <v>N/A</v>
      </c>
      <c r="Z24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5" s="1" t="str">
        <f>IF(Table1[[#This Row],[Spec Type]]="","N/A",Table1[[#This Row],[Spec Type]])</f>
        <v>±</v>
      </c>
      <c r="AC2465" s="1" t="str">
        <f>IF(Table1[[#This Row],[Spec Type2]]="N/A","N/A",IF(AND(Table1[[#This Row],[DUT Adj Read]]&gt;=Table1[[#This Row],[Low Tol]],Table1[[#This Row],[DUT Adj Read]]&lt;=Table1[[#This Row],[High Tol]]),"Pass","Fail"))</f>
        <v>Fail</v>
      </c>
      <c r="AD2465" s="1" t="str">
        <f>IF(AND(Table1[[#This Row],[Spec Type2]]="N/A",Table1[[#This Row],[DUT Adj Read]]="N/A",Table1[[#This Row],[Std Adj Read]]="N/A"),"N/A",IF(Table1[[#This Row],[DUT Adj Read]]="N/A",IF(Table1[[#This Row],[Std Adj Read]]&gt;Table1[[#This Row],[Low Tol]],"Pass","Fail"),IF(Table1[[#This Row],[DUT Adj Read]]&gt;Table1[[#This Row],[Low Tol]],"Pass","Fail")))</f>
        <v>Pass</v>
      </c>
      <c r="AE2465" s="1" t="str">
        <f>IF(AND(Table1[[#This Row],[Spec Type2]]="N/A",Table1[[#This Row],[DUT Adj Read]]="N/A",Table1[[#This Row],[Std Adj Read]]="N/A"),"N/A",IF(Table1[[#This Row],[DUT Adj Read]]="N/A",IF(Table1[[#This Row],[Std Adj Read]]&lt;Table1[[#This Row],[High Tol]],"Pass","Fail"),IF(Table1[[#This Row],[DUT Adj Read]]&lt;Table1[[#This Row],[High Tol]],"Pass","Fail")))</f>
        <v>Fail</v>
      </c>
      <c r="AF2465" s="1" t="str">
        <f>IF(AND(Table1[[#This Row],[Spec Type2]]="N/A",Table1[[#This Row],[DUT Adj Read]]="N/A",Table1[[#This Row],[Std Adj Read]]="N/A"),"N/A",IF(Table1[[#This Row],[DUT Adj Read]]="N/A",IF(Table1[[#This Row],[Std Adj Read]]&gt;=Table1[[#This Row],[Low Tol]],"Pass","Fail"),IF(Table1[[#This Row],[DUT Adj Read]]&gt;=Table1[[#This Row],[Low Tol]],"Pass","Fail")))</f>
        <v>Pass</v>
      </c>
      <c r="AG2465" s="1" t="str">
        <f>IF(AND(Table1[[#This Row],[Spec Type2]]="N/A",Table1[[#This Row],[DUT Adj Read]]="N/A",Table1[[#This Row],[Std Adj Read]]="N/A"),"N/A",IF(Table1[[#This Row],[DUT Adj Read]]="N/A",IF(Table1[[#This Row],[Std Adj Read]]&lt;=Table1[[#This Row],[High Tol]],"Pass","Fail"),IF(Table1[[#This Row],[DUT Adj Read]]&lt;=Table1[[#This Row],[High Tol]],"Pass","Fail")))</f>
        <v>Fail</v>
      </c>
      <c r="AH24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5" s="1" t="b">
        <v>0</v>
      </c>
      <c r="AN2465" s="1" t="b">
        <v>0</v>
      </c>
      <c r="AO2465" s="1" t="b">
        <v>0</v>
      </c>
    </row>
    <row r="2466" spans="1:41" x14ac:dyDescent="0.25">
      <c r="A2466" s="10"/>
      <c r="B2466" s="10"/>
      <c r="C2466" s="10"/>
      <c r="D2466" s="10"/>
      <c r="E2466" s="10"/>
      <c r="F2466" s="10"/>
      <c r="G2466" s="10"/>
      <c r="H2466" s="10"/>
      <c r="I2466" s="1" t="str">
        <f t="shared" si="114"/>
        <v/>
      </c>
      <c r="J2466" s="1" t="s">
        <v>35</v>
      </c>
      <c r="K2466" s="1" t="str">
        <f t="shared" si="115"/>
        <v/>
      </c>
      <c r="L2466" s="1" t="str">
        <f t="shared" si="116"/>
        <v/>
      </c>
      <c r="M2466" s="1">
        <f>IF(OR(Table1[[#This Row],[Std Nom]]="",Table1[[#This Row],[Std Read]]=""),0,Table1[[#This Row],[Std Nom]]-Table1[[#This Row],[Std Read]])</f>
        <v>0</v>
      </c>
      <c r="N2466" s="1">
        <f>IF(Calculations!$F$5="ACCREDITED 17025 WITH UNCERTAINTIES",$N$10,0)</f>
        <v>0</v>
      </c>
      <c r="Q2466" s="1">
        <f>Table1[[#This Row],[High Tol]]-Table1[[#This Row],[Low Tol]]</f>
        <v>0</v>
      </c>
      <c r="R2466" s="1">
        <f>2*Table1[[#This Row],[Std Error]]</f>
        <v>0</v>
      </c>
      <c r="S2466" s="1" t="str">
        <f>IF(Table1[[#This Row],[High Tol]]="","N/A",IFERROR(ABS(Table1[[#This Row],[Tol Span]]/Table1[[#This Row],[Error Span]]),"N/A"))</f>
        <v>N/A</v>
      </c>
      <c r="T2466" s="1" t="str">
        <f>IF(OR(Table1[[#This Row],[Low Tol]]="",Table1[[#This Row],[High Tol]]=""),"Needs Analysis",IF(Table1[[#This Row],[Ratio]]&gt;=4,"Not Significant",IF(Table1[[#This Row],[Ratio]]&gt;=2,"Semi-Significant","Significant")))</f>
        <v>Needs Analysis</v>
      </c>
      <c r="W2466" s="1">
        <f>IF(Table1[[#This Row],[Cal Type]]&lt;&gt;"ACCREDITED 17025 WITH UNCERTAINTIES",0,"")</f>
        <v>0</v>
      </c>
      <c r="X2466" s="1" t="str">
        <f>IF(Table1[[#This Row],[DUT Read]]="","N/A",Table1[[#This Row],[Std Error]]+Table1[[#This Row],[DUT Read]]+Table1[[#This Row],[DUT Ucty]])</f>
        <v>N/A</v>
      </c>
      <c r="Y2466" s="1" t="str">
        <f>IF(Table1[[#This Row],[Std Read]]="","N/A",Table1[[#This Row],[Std Read]]+Table1[[#This Row],[Std Ucty]])</f>
        <v>N/A</v>
      </c>
      <c r="Z24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6" s="1" t="str">
        <f>IF(Table1[[#This Row],[Spec Type]]="","N/A",Table1[[#This Row],[Spec Type]])</f>
        <v>±</v>
      </c>
      <c r="AC2466" s="1" t="str">
        <f>IF(Table1[[#This Row],[Spec Type2]]="N/A","N/A",IF(AND(Table1[[#This Row],[DUT Adj Read]]&gt;=Table1[[#This Row],[Low Tol]],Table1[[#This Row],[DUT Adj Read]]&lt;=Table1[[#This Row],[High Tol]]),"Pass","Fail"))</f>
        <v>Fail</v>
      </c>
      <c r="AD2466" s="1" t="str">
        <f>IF(AND(Table1[[#This Row],[Spec Type2]]="N/A",Table1[[#This Row],[DUT Adj Read]]="N/A",Table1[[#This Row],[Std Adj Read]]="N/A"),"N/A",IF(Table1[[#This Row],[DUT Adj Read]]="N/A",IF(Table1[[#This Row],[Std Adj Read]]&gt;Table1[[#This Row],[Low Tol]],"Pass","Fail"),IF(Table1[[#This Row],[DUT Adj Read]]&gt;Table1[[#This Row],[Low Tol]],"Pass","Fail")))</f>
        <v>Pass</v>
      </c>
      <c r="AE2466" s="1" t="str">
        <f>IF(AND(Table1[[#This Row],[Spec Type2]]="N/A",Table1[[#This Row],[DUT Adj Read]]="N/A",Table1[[#This Row],[Std Adj Read]]="N/A"),"N/A",IF(Table1[[#This Row],[DUT Adj Read]]="N/A",IF(Table1[[#This Row],[Std Adj Read]]&lt;Table1[[#This Row],[High Tol]],"Pass","Fail"),IF(Table1[[#This Row],[DUT Adj Read]]&lt;Table1[[#This Row],[High Tol]],"Pass","Fail")))</f>
        <v>Fail</v>
      </c>
      <c r="AF2466" s="1" t="str">
        <f>IF(AND(Table1[[#This Row],[Spec Type2]]="N/A",Table1[[#This Row],[DUT Adj Read]]="N/A",Table1[[#This Row],[Std Adj Read]]="N/A"),"N/A",IF(Table1[[#This Row],[DUT Adj Read]]="N/A",IF(Table1[[#This Row],[Std Adj Read]]&gt;=Table1[[#This Row],[Low Tol]],"Pass","Fail"),IF(Table1[[#This Row],[DUT Adj Read]]&gt;=Table1[[#This Row],[Low Tol]],"Pass","Fail")))</f>
        <v>Pass</v>
      </c>
      <c r="AG2466" s="1" t="str">
        <f>IF(AND(Table1[[#This Row],[Spec Type2]]="N/A",Table1[[#This Row],[DUT Adj Read]]="N/A",Table1[[#This Row],[Std Adj Read]]="N/A"),"N/A",IF(Table1[[#This Row],[DUT Adj Read]]="N/A",IF(Table1[[#This Row],[Std Adj Read]]&lt;=Table1[[#This Row],[High Tol]],"Pass","Fail"),IF(Table1[[#This Row],[DUT Adj Read]]&lt;=Table1[[#This Row],[High Tol]],"Pass","Fail")))</f>
        <v>Fail</v>
      </c>
      <c r="AH24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6" s="1" t="b">
        <v>0</v>
      </c>
      <c r="AN2466" s="1" t="b">
        <v>0</v>
      </c>
      <c r="AO2466" s="1" t="b">
        <v>0</v>
      </c>
    </row>
    <row r="2467" spans="1:41" x14ac:dyDescent="0.25">
      <c r="A2467" s="10"/>
      <c r="B2467" s="10"/>
      <c r="C2467" s="10"/>
      <c r="D2467" s="10"/>
      <c r="E2467" s="10"/>
      <c r="F2467" s="10"/>
      <c r="G2467" s="10"/>
      <c r="H2467" s="10"/>
      <c r="I2467" s="1" t="str">
        <f t="shared" si="114"/>
        <v/>
      </c>
      <c r="J2467" s="1" t="s">
        <v>35</v>
      </c>
      <c r="K2467" s="1" t="str">
        <f t="shared" si="115"/>
        <v/>
      </c>
      <c r="L2467" s="1" t="str">
        <f t="shared" si="116"/>
        <v/>
      </c>
      <c r="M2467" s="1">
        <f>IF(OR(Table1[[#This Row],[Std Nom]]="",Table1[[#This Row],[Std Read]]=""),0,Table1[[#This Row],[Std Nom]]-Table1[[#This Row],[Std Read]])</f>
        <v>0</v>
      </c>
      <c r="N2467" s="1">
        <f>IF(Calculations!$F$5="ACCREDITED 17025 WITH UNCERTAINTIES",$N$10,0)</f>
        <v>0</v>
      </c>
      <c r="Q2467" s="1">
        <f>Table1[[#This Row],[High Tol]]-Table1[[#This Row],[Low Tol]]</f>
        <v>0</v>
      </c>
      <c r="R2467" s="1">
        <f>2*Table1[[#This Row],[Std Error]]</f>
        <v>0</v>
      </c>
      <c r="S2467" s="1" t="str">
        <f>IF(Table1[[#This Row],[High Tol]]="","N/A",IFERROR(ABS(Table1[[#This Row],[Tol Span]]/Table1[[#This Row],[Error Span]]),"N/A"))</f>
        <v>N/A</v>
      </c>
      <c r="T2467" s="1" t="str">
        <f>IF(OR(Table1[[#This Row],[Low Tol]]="",Table1[[#This Row],[High Tol]]=""),"Needs Analysis",IF(Table1[[#This Row],[Ratio]]&gt;=4,"Not Significant",IF(Table1[[#This Row],[Ratio]]&gt;=2,"Semi-Significant","Significant")))</f>
        <v>Needs Analysis</v>
      </c>
      <c r="W2467" s="1">
        <f>IF(Table1[[#This Row],[Cal Type]]&lt;&gt;"ACCREDITED 17025 WITH UNCERTAINTIES",0,"")</f>
        <v>0</v>
      </c>
      <c r="X2467" s="1" t="str">
        <f>IF(Table1[[#This Row],[DUT Read]]="","N/A",Table1[[#This Row],[Std Error]]+Table1[[#This Row],[DUT Read]]+Table1[[#This Row],[DUT Ucty]])</f>
        <v>N/A</v>
      </c>
      <c r="Y2467" s="1" t="str">
        <f>IF(Table1[[#This Row],[Std Read]]="","N/A",Table1[[#This Row],[Std Read]]+Table1[[#This Row],[Std Ucty]])</f>
        <v>N/A</v>
      </c>
      <c r="Z24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7" s="1" t="str">
        <f>IF(Table1[[#This Row],[Spec Type]]="","N/A",Table1[[#This Row],[Spec Type]])</f>
        <v>±</v>
      </c>
      <c r="AC2467" s="1" t="str">
        <f>IF(Table1[[#This Row],[Spec Type2]]="N/A","N/A",IF(AND(Table1[[#This Row],[DUT Adj Read]]&gt;=Table1[[#This Row],[Low Tol]],Table1[[#This Row],[DUT Adj Read]]&lt;=Table1[[#This Row],[High Tol]]),"Pass","Fail"))</f>
        <v>Fail</v>
      </c>
      <c r="AD2467" s="1" t="str">
        <f>IF(AND(Table1[[#This Row],[Spec Type2]]="N/A",Table1[[#This Row],[DUT Adj Read]]="N/A",Table1[[#This Row],[Std Adj Read]]="N/A"),"N/A",IF(Table1[[#This Row],[DUT Adj Read]]="N/A",IF(Table1[[#This Row],[Std Adj Read]]&gt;Table1[[#This Row],[Low Tol]],"Pass","Fail"),IF(Table1[[#This Row],[DUT Adj Read]]&gt;Table1[[#This Row],[Low Tol]],"Pass","Fail")))</f>
        <v>Pass</v>
      </c>
      <c r="AE2467" s="1" t="str">
        <f>IF(AND(Table1[[#This Row],[Spec Type2]]="N/A",Table1[[#This Row],[DUT Adj Read]]="N/A",Table1[[#This Row],[Std Adj Read]]="N/A"),"N/A",IF(Table1[[#This Row],[DUT Adj Read]]="N/A",IF(Table1[[#This Row],[Std Adj Read]]&lt;Table1[[#This Row],[High Tol]],"Pass","Fail"),IF(Table1[[#This Row],[DUT Adj Read]]&lt;Table1[[#This Row],[High Tol]],"Pass","Fail")))</f>
        <v>Fail</v>
      </c>
      <c r="AF2467" s="1" t="str">
        <f>IF(AND(Table1[[#This Row],[Spec Type2]]="N/A",Table1[[#This Row],[DUT Adj Read]]="N/A",Table1[[#This Row],[Std Adj Read]]="N/A"),"N/A",IF(Table1[[#This Row],[DUT Adj Read]]="N/A",IF(Table1[[#This Row],[Std Adj Read]]&gt;=Table1[[#This Row],[Low Tol]],"Pass","Fail"),IF(Table1[[#This Row],[DUT Adj Read]]&gt;=Table1[[#This Row],[Low Tol]],"Pass","Fail")))</f>
        <v>Pass</v>
      </c>
      <c r="AG2467" s="1" t="str">
        <f>IF(AND(Table1[[#This Row],[Spec Type2]]="N/A",Table1[[#This Row],[DUT Adj Read]]="N/A",Table1[[#This Row],[Std Adj Read]]="N/A"),"N/A",IF(Table1[[#This Row],[DUT Adj Read]]="N/A",IF(Table1[[#This Row],[Std Adj Read]]&lt;=Table1[[#This Row],[High Tol]],"Pass","Fail"),IF(Table1[[#This Row],[DUT Adj Read]]&lt;=Table1[[#This Row],[High Tol]],"Pass","Fail")))</f>
        <v>Fail</v>
      </c>
      <c r="AH24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7" s="1" t="b">
        <v>0</v>
      </c>
      <c r="AN2467" s="1" t="b">
        <v>0</v>
      </c>
      <c r="AO2467" s="1" t="b">
        <v>0</v>
      </c>
    </row>
    <row r="2468" spans="1:41" x14ac:dyDescent="0.25">
      <c r="A2468" s="10"/>
      <c r="B2468" s="10"/>
      <c r="C2468" s="10"/>
      <c r="D2468" s="10"/>
      <c r="E2468" s="10"/>
      <c r="F2468" s="10"/>
      <c r="G2468" s="10"/>
      <c r="H2468" s="10"/>
      <c r="I2468" s="1" t="str">
        <f t="shared" si="114"/>
        <v/>
      </c>
      <c r="J2468" s="1" t="s">
        <v>35</v>
      </c>
      <c r="K2468" s="1" t="str">
        <f t="shared" si="115"/>
        <v/>
      </c>
      <c r="L2468" s="1" t="str">
        <f t="shared" si="116"/>
        <v/>
      </c>
      <c r="M2468" s="1">
        <f>IF(OR(Table1[[#This Row],[Std Nom]]="",Table1[[#This Row],[Std Read]]=""),0,Table1[[#This Row],[Std Nom]]-Table1[[#This Row],[Std Read]])</f>
        <v>0</v>
      </c>
      <c r="N2468" s="1">
        <f>IF(Calculations!$F$5="ACCREDITED 17025 WITH UNCERTAINTIES",$N$10,0)</f>
        <v>0</v>
      </c>
      <c r="Q2468" s="1">
        <f>Table1[[#This Row],[High Tol]]-Table1[[#This Row],[Low Tol]]</f>
        <v>0</v>
      </c>
      <c r="R2468" s="1">
        <f>2*Table1[[#This Row],[Std Error]]</f>
        <v>0</v>
      </c>
      <c r="S2468" s="1" t="str">
        <f>IF(Table1[[#This Row],[High Tol]]="","N/A",IFERROR(ABS(Table1[[#This Row],[Tol Span]]/Table1[[#This Row],[Error Span]]),"N/A"))</f>
        <v>N/A</v>
      </c>
      <c r="T2468" s="1" t="str">
        <f>IF(OR(Table1[[#This Row],[Low Tol]]="",Table1[[#This Row],[High Tol]]=""),"Needs Analysis",IF(Table1[[#This Row],[Ratio]]&gt;=4,"Not Significant",IF(Table1[[#This Row],[Ratio]]&gt;=2,"Semi-Significant","Significant")))</f>
        <v>Needs Analysis</v>
      </c>
      <c r="W2468" s="1">
        <f>IF(Table1[[#This Row],[Cal Type]]&lt;&gt;"ACCREDITED 17025 WITH UNCERTAINTIES",0,"")</f>
        <v>0</v>
      </c>
      <c r="X2468" s="1" t="str">
        <f>IF(Table1[[#This Row],[DUT Read]]="","N/A",Table1[[#This Row],[Std Error]]+Table1[[#This Row],[DUT Read]]+Table1[[#This Row],[DUT Ucty]])</f>
        <v>N/A</v>
      </c>
      <c r="Y2468" s="1" t="str">
        <f>IF(Table1[[#This Row],[Std Read]]="","N/A",Table1[[#This Row],[Std Read]]+Table1[[#This Row],[Std Ucty]])</f>
        <v>N/A</v>
      </c>
      <c r="Z24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8" s="1" t="str">
        <f>IF(Table1[[#This Row],[Spec Type]]="","N/A",Table1[[#This Row],[Spec Type]])</f>
        <v>±</v>
      </c>
      <c r="AC2468" s="1" t="str">
        <f>IF(Table1[[#This Row],[Spec Type2]]="N/A","N/A",IF(AND(Table1[[#This Row],[DUT Adj Read]]&gt;=Table1[[#This Row],[Low Tol]],Table1[[#This Row],[DUT Adj Read]]&lt;=Table1[[#This Row],[High Tol]]),"Pass","Fail"))</f>
        <v>Fail</v>
      </c>
      <c r="AD2468" s="1" t="str">
        <f>IF(AND(Table1[[#This Row],[Spec Type2]]="N/A",Table1[[#This Row],[DUT Adj Read]]="N/A",Table1[[#This Row],[Std Adj Read]]="N/A"),"N/A",IF(Table1[[#This Row],[DUT Adj Read]]="N/A",IF(Table1[[#This Row],[Std Adj Read]]&gt;Table1[[#This Row],[Low Tol]],"Pass","Fail"),IF(Table1[[#This Row],[DUT Adj Read]]&gt;Table1[[#This Row],[Low Tol]],"Pass","Fail")))</f>
        <v>Pass</v>
      </c>
      <c r="AE2468" s="1" t="str">
        <f>IF(AND(Table1[[#This Row],[Spec Type2]]="N/A",Table1[[#This Row],[DUT Adj Read]]="N/A",Table1[[#This Row],[Std Adj Read]]="N/A"),"N/A",IF(Table1[[#This Row],[DUT Adj Read]]="N/A",IF(Table1[[#This Row],[Std Adj Read]]&lt;Table1[[#This Row],[High Tol]],"Pass","Fail"),IF(Table1[[#This Row],[DUT Adj Read]]&lt;Table1[[#This Row],[High Tol]],"Pass","Fail")))</f>
        <v>Fail</v>
      </c>
      <c r="AF2468" s="1" t="str">
        <f>IF(AND(Table1[[#This Row],[Spec Type2]]="N/A",Table1[[#This Row],[DUT Adj Read]]="N/A",Table1[[#This Row],[Std Adj Read]]="N/A"),"N/A",IF(Table1[[#This Row],[DUT Adj Read]]="N/A",IF(Table1[[#This Row],[Std Adj Read]]&gt;=Table1[[#This Row],[Low Tol]],"Pass","Fail"),IF(Table1[[#This Row],[DUT Adj Read]]&gt;=Table1[[#This Row],[Low Tol]],"Pass","Fail")))</f>
        <v>Pass</v>
      </c>
      <c r="AG2468" s="1" t="str">
        <f>IF(AND(Table1[[#This Row],[Spec Type2]]="N/A",Table1[[#This Row],[DUT Adj Read]]="N/A",Table1[[#This Row],[Std Adj Read]]="N/A"),"N/A",IF(Table1[[#This Row],[DUT Adj Read]]="N/A",IF(Table1[[#This Row],[Std Adj Read]]&lt;=Table1[[#This Row],[High Tol]],"Pass","Fail"),IF(Table1[[#This Row],[DUT Adj Read]]&lt;=Table1[[#This Row],[High Tol]],"Pass","Fail")))</f>
        <v>Fail</v>
      </c>
      <c r="AH24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8" s="1" t="b">
        <v>0</v>
      </c>
      <c r="AN2468" s="1" t="b">
        <v>0</v>
      </c>
      <c r="AO2468" s="1" t="b">
        <v>0</v>
      </c>
    </row>
    <row r="2469" spans="1:41" x14ac:dyDescent="0.25">
      <c r="A2469" s="10"/>
      <c r="B2469" s="10"/>
      <c r="C2469" s="10"/>
      <c r="D2469" s="10"/>
      <c r="E2469" s="10"/>
      <c r="F2469" s="10"/>
      <c r="G2469" s="10"/>
      <c r="H2469" s="10"/>
      <c r="I2469" s="1" t="str">
        <f t="shared" si="114"/>
        <v/>
      </c>
      <c r="J2469" s="1" t="s">
        <v>35</v>
      </c>
      <c r="K2469" s="1" t="str">
        <f t="shared" si="115"/>
        <v/>
      </c>
      <c r="L2469" s="1" t="str">
        <f t="shared" si="116"/>
        <v/>
      </c>
      <c r="M2469" s="1">
        <f>IF(OR(Table1[[#This Row],[Std Nom]]="",Table1[[#This Row],[Std Read]]=""),0,Table1[[#This Row],[Std Nom]]-Table1[[#This Row],[Std Read]])</f>
        <v>0</v>
      </c>
      <c r="N2469" s="1">
        <f>IF(Calculations!$F$5="ACCREDITED 17025 WITH UNCERTAINTIES",$N$10,0)</f>
        <v>0</v>
      </c>
      <c r="Q2469" s="1">
        <f>Table1[[#This Row],[High Tol]]-Table1[[#This Row],[Low Tol]]</f>
        <v>0</v>
      </c>
      <c r="R2469" s="1">
        <f>2*Table1[[#This Row],[Std Error]]</f>
        <v>0</v>
      </c>
      <c r="S2469" s="1" t="str">
        <f>IF(Table1[[#This Row],[High Tol]]="","N/A",IFERROR(ABS(Table1[[#This Row],[Tol Span]]/Table1[[#This Row],[Error Span]]),"N/A"))</f>
        <v>N/A</v>
      </c>
      <c r="T2469" s="1" t="str">
        <f>IF(OR(Table1[[#This Row],[Low Tol]]="",Table1[[#This Row],[High Tol]]=""),"Needs Analysis",IF(Table1[[#This Row],[Ratio]]&gt;=4,"Not Significant",IF(Table1[[#This Row],[Ratio]]&gt;=2,"Semi-Significant","Significant")))</f>
        <v>Needs Analysis</v>
      </c>
      <c r="W2469" s="1">
        <f>IF(Table1[[#This Row],[Cal Type]]&lt;&gt;"ACCREDITED 17025 WITH UNCERTAINTIES",0,"")</f>
        <v>0</v>
      </c>
      <c r="X2469" s="1" t="str">
        <f>IF(Table1[[#This Row],[DUT Read]]="","N/A",Table1[[#This Row],[Std Error]]+Table1[[#This Row],[DUT Read]]+Table1[[#This Row],[DUT Ucty]])</f>
        <v>N/A</v>
      </c>
      <c r="Y2469" s="1" t="str">
        <f>IF(Table1[[#This Row],[Std Read]]="","N/A",Table1[[#This Row],[Std Read]]+Table1[[#This Row],[Std Ucty]])</f>
        <v>N/A</v>
      </c>
      <c r="Z24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69" s="1" t="str">
        <f>IF(Table1[[#This Row],[Spec Type]]="","N/A",Table1[[#This Row],[Spec Type]])</f>
        <v>±</v>
      </c>
      <c r="AC2469" s="1" t="str">
        <f>IF(Table1[[#This Row],[Spec Type2]]="N/A","N/A",IF(AND(Table1[[#This Row],[DUT Adj Read]]&gt;=Table1[[#This Row],[Low Tol]],Table1[[#This Row],[DUT Adj Read]]&lt;=Table1[[#This Row],[High Tol]]),"Pass","Fail"))</f>
        <v>Fail</v>
      </c>
      <c r="AD2469" s="1" t="str">
        <f>IF(AND(Table1[[#This Row],[Spec Type2]]="N/A",Table1[[#This Row],[DUT Adj Read]]="N/A",Table1[[#This Row],[Std Adj Read]]="N/A"),"N/A",IF(Table1[[#This Row],[DUT Adj Read]]="N/A",IF(Table1[[#This Row],[Std Adj Read]]&gt;Table1[[#This Row],[Low Tol]],"Pass","Fail"),IF(Table1[[#This Row],[DUT Adj Read]]&gt;Table1[[#This Row],[Low Tol]],"Pass","Fail")))</f>
        <v>Pass</v>
      </c>
      <c r="AE2469" s="1" t="str">
        <f>IF(AND(Table1[[#This Row],[Spec Type2]]="N/A",Table1[[#This Row],[DUT Adj Read]]="N/A",Table1[[#This Row],[Std Adj Read]]="N/A"),"N/A",IF(Table1[[#This Row],[DUT Adj Read]]="N/A",IF(Table1[[#This Row],[Std Adj Read]]&lt;Table1[[#This Row],[High Tol]],"Pass","Fail"),IF(Table1[[#This Row],[DUT Adj Read]]&lt;Table1[[#This Row],[High Tol]],"Pass","Fail")))</f>
        <v>Fail</v>
      </c>
      <c r="AF2469" s="1" t="str">
        <f>IF(AND(Table1[[#This Row],[Spec Type2]]="N/A",Table1[[#This Row],[DUT Adj Read]]="N/A",Table1[[#This Row],[Std Adj Read]]="N/A"),"N/A",IF(Table1[[#This Row],[DUT Adj Read]]="N/A",IF(Table1[[#This Row],[Std Adj Read]]&gt;=Table1[[#This Row],[Low Tol]],"Pass","Fail"),IF(Table1[[#This Row],[DUT Adj Read]]&gt;=Table1[[#This Row],[Low Tol]],"Pass","Fail")))</f>
        <v>Pass</v>
      </c>
      <c r="AG2469" s="1" t="str">
        <f>IF(AND(Table1[[#This Row],[Spec Type2]]="N/A",Table1[[#This Row],[DUT Adj Read]]="N/A",Table1[[#This Row],[Std Adj Read]]="N/A"),"N/A",IF(Table1[[#This Row],[DUT Adj Read]]="N/A",IF(Table1[[#This Row],[Std Adj Read]]&lt;=Table1[[#This Row],[High Tol]],"Pass","Fail"),IF(Table1[[#This Row],[DUT Adj Read]]&lt;=Table1[[#This Row],[High Tol]],"Pass","Fail")))</f>
        <v>Fail</v>
      </c>
      <c r="AH24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69" s="1" t="b">
        <v>0</v>
      </c>
      <c r="AN2469" s="1" t="b">
        <v>0</v>
      </c>
      <c r="AO2469" s="1" t="b">
        <v>0</v>
      </c>
    </row>
    <row r="2470" spans="1:41" x14ac:dyDescent="0.25">
      <c r="A2470" s="10"/>
      <c r="B2470" s="10"/>
      <c r="C2470" s="10"/>
      <c r="D2470" s="10"/>
      <c r="E2470" s="10"/>
      <c r="F2470" s="10"/>
      <c r="G2470" s="10"/>
      <c r="H2470" s="10"/>
      <c r="I2470" s="1" t="str">
        <f t="shared" si="114"/>
        <v/>
      </c>
      <c r="J2470" s="1" t="s">
        <v>35</v>
      </c>
      <c r="K2470" s="1" t="str">
        <f t="shared" si="115"/>
        <v/>
      </c>
      <c r="L2470" s="1" t="str">
        <f t="shared" si="116"/>
        <v/>
      </c>
      <c r="M2470" s="1">
        <f>IF(OR(Table1[[#This Row],[Std Nom]]="",Table1[[#This Row],[Std Read]]=""),0,Table1[[#This Row],[Std Nom]]-Table1[[#This Row],[Std Read]])</f>
        <v>0</v>
      </c>
      <c r="N2470" s="1">
        <f>IF(Calculations!$F$5="ACCREDITED 17025 WITH UNCERTAINTIES",$N$10,0)</f>
        <v>0</v>
      </c>
      <c r="Q2470" s="1">
        <f>Table1[[#This Row],[High Tol]]-Table1[[#This Row],[Low Tol]]</f>
        <v>0</v>
      </c>
      <c r="R2470" s="1">
        <f>2*Table1[[#This Row],[Std Error]]</f>
        <v>0</v>
      </c>
      <c r="S2470" s="1" t="str">
        <f>IF(Table1[[#This Row],[High Tol]]="","N/A",IFERROR(ABS(Table1[[#This Row],[Tol Span]]/Table1[[#This Row],[Error Span]]),"N/A"))</f>
        <v>N/A</v>
      </c>
      <c r="T2470" s="1" t="str">
        <f>IF(OR(Table1[[#This Row],[Low Tol]]="",Table1[[#This Row],[High Tol]]=""),"Needs Analysis",IF(Table1[[#This Row],[Ratio]]&gt;=4,"Not Significant",IF(Table1[[#This Row],[Ratio]]&gt;=2,"Semi-Significant","Significant")))</f>
        <v>Needs Analysis</v>
      </c>
      <c r="W2470" s="1">
        <f>IF(Table1[[#This Row],[Cal Type]]&lt;&gt;"ACCREDITED 17025 WITH UNCERTAINTIES",0,"")</f>
        <v>0</v>
      </c>
      <c r="X2470" s="1" t="str">
        <f>IF(Table1[[#This Row],[DUT Read]]="","N/A",Table1[[#This Row],[Std Error]]+Table1[[#This Row],[DUT Read]]+Table1[[#This Row],[DUT Ucty]])</f>
        <v>N/A</v>
      </c>
      <c r="Y2470" s="1" t="str">
        <f>IF(Table1[[#This Row],[Std Read]]="","N/A",Table1[[#This Row],[Std Read]]+Table1[[#This Row],[Std Ucty]])</f>
        <v>N/A</v>
      </c>
      <c r="Z24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0" s="1" t="str">
        <f>IF(Table1[[#This Row],[Spec Type]]="","N/A",Table1[[#This Row],[Spec Type]])</f>
        <v>±</v>
      </c>
      <c r="AC2470" s="1" t="str">
        <f>IF(Table1[[#This Row],[Spec Type2]]="N/A","N/A",IF(AND(Table1[[#This Row],[DUT Adj Read]]&gt;=Table1[[#This Row],[Low Tol]],Table1[[#This Row],[DUT Adj Read]]&lt;=Table1[[#This Row],[High Tol]]),"Pass","Fail"))</f>
        <v>Fail</v>
      </c>
      <c r="AD2470" s="1" t="str">
        <f>IF(AND(Table1[[#This Row],[Spec Type2]]="N/A",Table1[[#This Row],[DUT Adj Read]]="N/A",Table1[[#This Row],[Std Adj Read]]="N/A"),"N/A",IF(Table1[[#This Row],[DUT Adj Read]]="N/A",IF(Table1[[#This Row],[Std Adj Read]]&gt;Table1[[#This Row],[Low Tol]],"Pass","Fail"),IF(Table1[[#This Row],[DUT Adj Read]]&gt;Table1[[#This Row],[Low Tol]],"Pass","Fail")))</f>
        <v>Pass</v>
      </c>
      <c r="AE2470" s="1" t="str">
        <f>IF(AND(Table1[[#This Row],[Spec Type2]]="N/A",Table1[[#This Row],[DUT Adj Read]]="N/A",Table1[[#This Row],[Std Adj Read]]="N/A"),"N/A",IF(Table1[[#This Row],[DUT Adj Read]]="N/A",IF(Table1[[#This Row],[Std Adj Read]]&lt;Table1[[#This Row],[High Tol]],"Pass","Fail"),IF(Table1[[#This Row],[DUT Adj Read]]&lt;Table1[[#This Row],[High Tol]],"Pass","Fail")))</f>
        <v>Fail</v>
      </c>
      <c r="AF2470" s="1" t="str">
        <f>IF(AND(Table1[[#This Row],[Spec Type2]]="N/A",Table1[[#This Row],[DUT Adj Read]]="N/A",Table1[[#This Row],[Std Adj Read]]="N/A"),"N/A",IF(Table1[[#This Row],[DUT Adj Read]]="N/A",IF(Table1[[#This Row],[Std Adj Read]]&gt;=Table1[[#This Row],[Low Tol]],"Pass","Fail"),IF(Table1[[#This Row],[DUT Adj Read]]&gt;=Table1[[#This Row],[Low Tol]],"Pass","Fail")))</f>
        <v>Pass</v>
      </c>
      <c r="AG2470" s="1" t="str">
        <f>IF(AND(Table1[[#This Row],[Spec Type2]]="N/A",Table1[[#This Row],[DUT Adj Read]]="N/A",Table1[[#This Row],[Std Adj Read]]="N/A"),"N/A",IF(Table1[[#This Row],[DUT Adj Read]]="N/A",IF(Table1[[#This Row],[Std Adj Read]]&lt;=Table1[[#This Row],[High Tol]],"Pass","Fail"),IF(Table1[[#This Row],[DUT Adj Read]]&lt;=Table1[[#This Row],[High Tol]],"Pass","Fail")))</f>
        <v>Fail</v>
      </c>
      <c r="AH24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0" s="1" t="b">
        <v>0</v>
      </c>
      <c r="AN2470" s="1" t="b">
        <v>0</v>
      </c>
      <c r="AO2470" s="1" t="b">
        <v>0</v>
      </c>
    </row>
    <row r="2471" spans="1:41" x14ac:dyDescent="0.25">
      <c r="A2471" s="10"/>
      <c r="B2471" s="10"/>
      <c r="C2471" s="10"/>
      <c r="D2471" s="10"/>
      <c r="E2471" s="10"/>
      <c r="F2471" s="10"/>
      <c r="G2471" s="10"/>
      <c r="H2471" s="10"/>
      <c r="I2471" s="1" t="str">
        <f t="shared" si="114"/>
        <v/>
      </c>
      <c r="J2471" s="1" t="s">
        <v>35</v>
      </c>
      <c r="K2471" s="1" t="str">
        <f t="shared" si="115"/>
        <v/>
      </c>
      <c r="L2471" s="1" t="str">
        <f t="shared" si="116"/>
        <v/>
      </c>
      <c r="M2471" s="1">
        <f>IF(OR(Table1[[#This Row],[Std Nom]]="",Table1[[#This Row],[Std Read]]=""),0,Table1[[#This Row],[Std Nom]]-Table1[[#This Row],[Std Read]])</f>
        <v>0</v>
      </c>
      <c r="N2471" s="1">
        <f>IF(Calculations!$F$5="ACCREDITED 17025 WITH UNCERTAINTIES",$N$10,0)</f>
        <v>0</v>
      </c>
      <c r="Q2471" s="1">
        <f>Table1[[#This Row],[High Tol]]-Table1[[#This Row],[Low Tol]]</f>
        <v>0</v>
      </c>
      <c r="R2471" s="1">
        <f>2*Table1[[#This Row],[Std Error]]</f>
        <v>0</v>
      </c>
      <c r="S2471" s="1" t="str">
        <f>IF(Table1[[#This Row],[High Tol]]="","N/A",IFERROR(ABS(Table1[[#This Row],[Tol Span]]/Table1[[#This Row],[Error Span]]),"N/A"))</f>
        <v>N/A</v>
      </c>
      <c r="T2471" s="1" t="str">
        <f>IF(OR(Table1[[#This Row],[Low Tol]]="",Table1[[#This Row],[High Tol]]=""),"Needs Analysis",IF(Table1[[#This Row],[Ratio]]&gt;=4,"Not Significant",IF(Table1[[#This Row],[Ratio]]&gt;=2,"Semi-Significant","Significant")))</f>
        <v>Needs Analysis</v>
      </c>
      <c r="W2471" s="1">
        <f>IF(Table1[[#This Row],[Cal Type]]&lt;&gt;"ACCREDITED 17025 WITH UNCERTAINTIES",0,"")</f>
        <v>0</v>
      </c>
      <c r="X2471" s="1" t="str">
        <f>IF(Table1[[#This Row],[DUT Read]]="","N/A",Table1[[#This Row],[Std Error]]+Table1[[#This Row],[DUT Read]]+Table1[[#This Row],[DUT Ucty]])</f>
        <v>N/A</v>
      </c>
      <c r="Y2471" s="1" t="str">
        <f>IF(Table1[[#This Row],[Std Read]]="","N/A",Table1[[#This Row],[Std Read]]+Table1[[#This Row],[Std Ucty]])</f>
        <v>N/A</v>
      </c>
      <c r="Z24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1" s="1" t="str">
        <f>IF(Table1[[#This Row],[Spec Type]]="","N/A",Table1[[#This Row],[Spec Type]])</f>
        <v>±</v>
      </c>
      <c r="AC2471" s="1" t="str">
        <f>IF(Table1[[#This Row],[Spec Type2]]="N/A","N/A",IF(AND(Table1[[#This Row],[DUT Adj Read]]&gt;=Table1[[#This Row],[Low Tol]],Table1[[#This Row],[DUT Adj Read]]&lt;=Table1[[#This Row],[High Tol]]),"Pass","Fail"))</f>
        <v>Fail</v>
      </c>
      <c r="AD2471" s="1" t="str">
        <f>IF(AND(Table1[[#This Row],[Spec Type2]]="N/A",Table1[[#This Row],[DUT Adj Read]]="N/A",Table1[[#This Row],[Std Adj Read]]="N/A"),"N/A",IF(Table1[[#This Row],[DUT Adj Read]]="N/A",IF(Table1[[#This Row],[Std Adj Read]]&gt;Table1[[#This Row],[Low Tol]],"Pass","Fail"),IF(Table1[[#This Row],[DUT Adj Read]]&gt;Table1[[#This Row],[Low Tol]],"Pass","Fail")))</f>
        <v>Pass</v>
      </c>
      <c r="AE2471" s="1" t="str">
        <f>IF(AND(Table1[[#This Row],[Spec Type2]]="N/A",Table1[[#This Row],[DUT Adj Read]]="N/A",Table1[[#This Row],[Std Adj Read]]="N/A"),"N/A",IF(Table1[[#This Row],[DUT Adj Read]]="N/A",IF(Table1[[#This Row],[Std Adj Read]]&lt;Table1[[#This Row],[High Tol]],"Pass","Fail"),IF(Table1[[#This Row],[DUT Adj Read]]&lt;Table1[[#This Row],[High Tol]],"Pass","Fail")))</f>
        <v>Fail</v>
      </c>
      <c r="AF2471" s="1" t="str">
        <f>IF(AND(Table1[[#This Row],[Spec Type2]]="N/A",Table1[[#This Row],[DUT Adj Read]]="N/A",Table1[[#This Row],[Std Adj Read]]="N/A"),"N/A",IF(Table1[[#This Row],[DUT Adj Read]]="N/A",IF(Table1[[#This Row],[Std Adj Read]]&gt;=Table1[[#This Row],[Low Tol]],"Pass","Fail"),IF(Table1[[#This Row],[DUT Adj Read]]&gt;=Table1[[#This Row],[Low Tol]],"Pass","Fail")))</f>
        <v>Pass</v>
      </c>
      <c r="AG2471" s="1" t="str">
        <f>IF(AND(Table1[[#This Row],[Spec Type2]]="N/A",Table1[[#This Row],[DUT Adj Read]]="N/A",Table1[[#This Row],[Std Adj Read]]="N/A"),"N/A",IF(Table1[[#This Row],[DUT Adj Read]]="N/A",IF(Table1[[#This Row],[Std Adj Read]]&lt;=Table1[[#This Row],[High Tol]],"Pass","Fail"),IF(Table1[[#This Row],[DUT Adj Read]]&lt;=Table1[[#This Row],[High Tol]],"Pass","Fail")))</f>
        <v>Fail</v>
      </c>
      <c r="AH24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1" s="1" t="b">
        <v>0</v>
      </c>
      <c r="AN2471" s="1" t="b">
        <v>0</v>
      </c>
      <c r="AO2471" s="1" t="b">
        <v>0</v>
      </c>
    </row>
    <row r="2472" spans="1:41" x14ac:dyDescent="0.25">
      <c r="A2472" s="10"/>
      <c r="B2472" s="10"/>
      <c r="C2472" s="10"/>
      <c r="D2472" s="10"/>
      <c r="E2472" s="10"/>
      <c r="F2472" s="10"/>
      <c r="G2472" s="10"/>
      <c r="H2472" s="10"/>
      <c r="I2472" s="1" t="str">
        <f t="shared" si="114"/>
        <v/>
      </c>
      <c r="J2472" s="1" t="s">
        <v>35</v>
      </c>
      <c r="K2472" s="1" t="str">
        <f t="shared" si="115"/>
        <v/>
      </c>
      <c r="L2472" s="1" t="str">
        <f t="shared" si="116"/>
        <v/>
      </c>
      <c r="M2472" s="1">
        <f>IF(OR(Table1[[#This Row],[Std Nom]]="",Table1[[#This Row],[Std Read]]=""),0,Table1[[#This Row],[Std Nom]]-Table1[[#This Row],[Std Read]])</f>
        <v>0</v>
      </c>
      <c r="N2472" s="1">
        <f>IF(Calculations!$F$5="ACCREDITED 17025 WITH UNCERTAINTIES",$N$10,0)</f>
        <v>0</v>
      </c>
      <c r="Q2472" s="1">
        <f>Table1[[#This Row],[High Tol]]-Table1[[#This Row],[Low Tol]]</f>
        <v>0</v>
      </c>
      <c r="R2472" s="1">
        <f>2*Table1[[#This Row],[Std Error]]</f>
        <v>0</v>
      </c>
      <c r="S2472" s="1" t="str">
        <f>IF(Table1[[#This Row],[High Tol]]="","N/A",IFERROR(ABS(Table1[[#This Row],[Tol Span]]/Table1[[#This Row],[Error Span]]),"N/A"))</f>
        <v>N/A</v>
      </c>
      <c r="T2472" s="1" t="str">
        <f>IF(OR(Table1[[#This Row],[Low Tol]]="",Table1[[#This Row],[High Tol]]=""),"Needs Analysis",IF(Table1[[#This Row],[Ratio]]&gt;=4,"Not Significant",IF(Table1[[#This Row],[Ratio]]&gt;=2,"Semi-Significant","Significant")))</f>
        <v>Needs Analysis</v>
      </c>
      <c r="W2472" s="1">
        <f>IF(Table1[[#This Row],[Cal Type]]&lt;&gt;"ACCREDITED 17025 WITH UNCERTAINTIES",0,"")</f>
        <v>0</v>
      </c>
      <c r="X2472" s="1" t="str">
        <f>IF(Table1[[#This Row],[DUT Read]]="","N/A",Table1[[#This Row],[Std Error]]+Table1[[#This Row],[DUT Read]]+Table1[[#This Row],[DUT Ucty]])</f>
        <v>N/A</v>
      </c>
      <c r="Y2472" s="1" t="str">
        <f>IF(Table1[[#This Row],[Std Read]]="","N/A",Table1[[#This Row],[Std Read]]+Table1[[#This Row],[Std Ucty]])</f>
        <v>N/A</v>
      </c>
      <c r="Z24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2" s="1" t="str">
        <f>IF(Table1[[#This Row],[Spec Type]]="","N/A",Table1[[#This Row],[Spec Type]])</f>
        <v>±</v>
      </c>
      <c r="AC2472" s="1" t="str">
        <f>IF(Table1[[#This Row],[Spec Type2]]="N/A","N/A",IF(AND(Table1[[#This Row],[DUT Adj Read]]&gt;=Table1[[#This Row],[Low Tol]],Table1[[#This Row],[DUT Adj Read]]&lt;=Table1[[#This Row],[High Tol]]),"Pass","Fail"))</f>
        <v>Fail</v>
      </c>
      <c r="AD2472" s="1" t="str">
        <f>IF(AND(Table1[[#This Row],[Spec Type2]]="N/A",Table1[[#This Row],[DUT Adj Read]]="N/A",Table1[[#This Row],[Std Adj Read]]="N/A"),"N/A",IF(Table1[[#This Row],[DUT Adj Read]]="N/A",IF(Table1[[#This Row],[Std Adj Read]]&gt;Table1[[#This Row],[Low Tol]],"Pass","Fail"),IF(Table1[[#This Row],[DUT Adj Read]]&gt;Table1[[#This Row],[Low Tol]],"Pass","Fail")))</f>
        <v>Pass</v>
      </c>
      <c r="AE2472" s="1" t="str">
        <f>IF(AND(Table1[[#This Row],[Spec Type2]]="N/A",Table1[[#This Row],[DUT Adj Read]]="N/A",Table1[[#This Row],[Std Adj Read]]="N/A"),"N/A",IF(Table1[[#This Row],[DUT Adj Read]]="N/A",IF(Table1[[#This Row],[Std Adj Read]]&lt;Table1[[#This Row],[High Tol]],"Pass","Fail"),IF(Table1[[#This Row],[DUT Adj Read]]&lt;Table1[[#This Row],[High Tol]],"Pass","Fail")))</f>
        <v>Fail</v>
      </c>
      <c r="AF2472" s="1" t="str">
        <f>IF(AND(Table1[[#This Row],[Spec Type2]]="N/A",Table1[[#This Row],[DUT Adj Read]]="N/A",Table1[[#This Row],[Std Adj Read]]="N/A"),"N/A",IF(Table1[[#This Row],[DUT Adj Read]]="N/A",IF(Table1[[#This Row],[Std Adj Read]]&gt;=Table1[[#This Row],[Low Tol]],"Pass","Fail"),IF(Table1[[#This Row],[DUT Adj Read]]&gt;=Table1[[#This Row],[Low Tol]],"Pass","Fail")))</f>
        <v>Pass</v>
      </c>
      <c r="AG2472" s="1" t="str">
        <f>IF(AND(Table1[[#This Row],[Spec Type2]]="N/A",Table1[[#This Row],[DUT Adj Read]]="N/A",Table1[[#This Row],[Std Adj Read]]="N/A"),"N/A",IF(Table1[[#This Row],[DUT Adj Read]]="N/A",IF(Table1[[#This Row],[Std Adj Read]]&lt;=Table1[[#This Row],[High Tol]],"Pass","Fail"),IF(Table1[[#This Row],[DUT Adj Read]]&lt;=Table1[[#This Row],[High Tol]],"Pass","Fail")))</f>
        <v>Fail</v>
      </c>
      <c r="AH24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2" s="1" t="b">
        <v>0</v>
      </c>
      <c r="AN2472" s="1" t="b">
        <v>0</v>
      </c>
      <c r="AO2472" s="1" t="b">
        <v>0</v>
      </c>
    </row>
    <row r="2473" spans="1:41" x14ac:dyDescent="0.25">
      <c r="A2473" s="10"/>
      <c r="B2473" s="10"/>
      <c r="C2473" s="10"/>
      <c r="D2473" s="10"/>
      <c r="E2473" s="10"/>
      <c r="F2473" s="10"/>
      <c r="G2473" s="10"/>
      <c r="H2473" s="10"/>
      <c r="I2473" s="1" t="str">
        <f t="shared" si="114"/>
        <v/>
      </c>
      <c r="J2473" s="1" t="s">
        <v>35</v>
      </c>
      <c r="K2473" s="1" t="str">
        <f t="shared" si="115"/>
        <v/>
      </c>
      <c r="L2473" s="1" t="str">
        <f t="shared" si="116"/>
        <v/>
      </c>
      <c r="M2473" s="1">
        <f>IF(OR(Table1[[#This Row],[Std Nom]]="",Table1[[#This Row],[Std Read]]=""),0,Table1[[#This Row],[Std Nom]]-Table1[[#This Row],[Std Read]])</f>
        <v>0</v>
      </c>
      <c r="N2473" s="1">
        <f>IF(Calculations!$F$5="ACCREDITED 17025 WITH UNCERTAINTIES",$N$10,0)</f>
        <v>0</v>
      </c>
      <c r="Q2473" s="1">
        <f>Table1[[#This Row],[High Tol]]-Table1[[#This Row],[Low Tol]]</f>
        <v>0</v>
      </c>
      <c r="R2473" s="1">
        <f>2*Table1[[#This Row],[Std Error]]</f>
        <v>0</v>
      </c>
      <c r="S2473" s="1" t="str">
        <f>IF(Table1[[#This Row],[High Tol]]="","N/A",IFERROR(ABS(Table1[[#This Row],[Tol Span]]/Table1[[#This Row],[Error Span]]),"N/A"))</f>
        <v>N/A</v>
      </c>
      <c r="T2473" s="1" t="str">
        <f>IF(OR(Table1[[#This Row],[Low Tol]]="",Table1[[#This Row],[High Tol]]=""),"Needs Analysis",IF(Table1[[#This Row],[Ratio]]&gt;=4,"Not Significant",IF(Table1[[#This Row],[Ratio]]&gt;=2,"Semi-Significant","Significant")))</f>
        <v>Needs Analysis</v>
      </c>
      <c r="W2473" s="1">
        <f>IF(Table1[[#This Row],[Cal Type]]&lt;&gt;"ACCREDITED 17025 WITH UNCERTAINTIES",0,"")</f>
        <v>0</v>
      </c>
      <c r="X2473" s="1" t="str">
        <f>IF(Table1[[#This Row],[DUT Read]]="","N/A",Table1[[#This Row],[Std Error]]+Table1[[#This Row],[DUT Read]]+Table1[[#This Row],[DUT Ucty]])</f>
        <v>N/A</v>
      </c>
      <c r="Y2473" s="1" t="str">
        <f>IF(Table1[[#This Row],[Std Read]]="","N/A",Table1[[#This Row],[Std Read]]+Table1[[#This Row],[Std Ucty]])</f>
        <v>N/A</v>
      </c>
      <c r="Z24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3" s="1" t="str">
        <f>IF(Table1[[#This Row],[Spec Type]]="","N/A",Table1[[#This Row],[Spec Type]])</f>
        <v>±</v>
      </c>
      <c r="AC2473" s="1" t="str">
        <f>IF(Table1[[#This Row],[Spec Type2]]="N/A","N/A",IF(AND(Table1[[#This Row],[DUT Adj Read]]&gt;=Table1[[#This Row],[Low Tol]],Table1[[#This Row],[DUT Adj Read]]&lt;=Table1[[#This Row],[High Tol]]),"Pass","Fail"))</f>
        <v>Fail</v>
      </c>
      <c r="AD2473" s="1" t="str">
        <f>IF(AND(Table1[[#This Row],[Spec Type2]]="N/A",Table1[[#This Row],[DUT Adj Read]]="N/A",Table1[[#This Row],[Std Adj Read]]="N/A"),"N/A",IF(Table1[[#This Row],[DUT Adj Read]]="N/A",IF(Table1[[#This Row],[Std Adj Read]]&gt;Table1[[#This Row],[Low Tol]],"Pass","Fail"),IF(Table1[[#This Row],[DUT Adj Read]]&gt;Table1[[#This Row],[Low Tol]],"Pass","Fail")))</f>
        <v>Pass</v>
      </c>
      <c r="AE2473" s="1" t="str">
        <f>IF(AND(Table1[[#This Row],[Spec Type2]]="N/A",Table1[[#This Row],[DUT Adj Read]]="N/A",Table1[[#This Row],[Std Adj Read]]="N/A"),"N/A",IF(Table1[[#This Row],[DUT Adj Read]]="N/A",IF(Table1[[#This Row],[Std Adj Read]]&lt;Table1[[#This Row],[High Tol]],"Pass","Fail"),IF(Table1[[#This Row],[DUT Adj Read]]&lt;Table1[[#This Row],[High Tol]],"Pass","Fail")))</f>
        <v>Fail</v>
      </c>
      <c r="AF2473" s="1" t="str">
        <f>IF(AND(Table1[[#This Row],[Spec Type2]]="N/A",Table1[[#This Row],[DUT Adj Read]]="N/A",Table1[[#This Row],[Std Adj Read]]="N/A"),"N/A",IF(Table1[[#This Row],[DUT Adj Read]]="N/A",IF(Table1[[#This Row],[Std Adj Read]]&gt;=Table1[[#This Row],[Low Tol]],"Pass","Fail"),IF(Table1[[#This Row],[DUT Adj Read]]&gt;=Table1[[#This Row],[Low Tol]],"Pass","Fail")))</f>
        <v>Pass</v>
      </c>
      <c r="AG2473" s="1" t="str">
        <f>IF(AND(Table1[[#This Row],[Spec Type2]]="N/A",Table1[[#This Row],[DUT Adj Read]]="N/A",Table1[[#This Row],[Std Adj Read]]="N/A"),"N/A",IF(Table1[[#This Row],[DUT Adj Read]]="N/A",IF(Table1[[#This Row],[Std Adj Read]]&lt;=Table1[[#This Row],[High Tol]],"Pass","Fail"),IF(Table1[[#This Row],[DUT Adj Read]]&lt;=Table1[[#This Row],[High Tol]],"Pass","Fail")))</f>
        <v>Fail</v>
      </c>
      <c r="AH24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3" s="1" t="b">
        <v>0</v>
      </c>
      <c r="AN2473" s="1" t="b">
        <v>0</v>
      </c>
      <c r="AO2473" s="1" t="b">
        <v>0</v>
      </c>
    </row>
    <row r="2474" spans="1:41" x14ac:dyDescent="0.25">
      <c r="A2474" s="10"/>
      <c r="B2474" s="10"/>
      <c r="C2474" s="10"/>
      <c r="D2474" s="10"/>
      <c r="E2474" s="10"/>
      <c r="F2474" s="10"/>
      <c r="G2474" s="10"/>
      <c r="H2474" s="10"/>
      <c r="I2474" s="1" t="str">
        <f t="shared" si="114"/>
        <v/>
      </c>
      <c r="J2474" s="1" t="s">
        <v>35</v>
      </c>
      <c r="K2474" s="1" t="str">
        <f t="shared" si="115"/>
        <v/>
      </c>
      <c r="L2474" s="1" t="str">
        <f t="shared" si="116"/>
        <v/>
      </c>
      <c r="M2474" s="1">
        <f>IF(OR(Table1[[#This Row],[Std Nom]]="",Table1[[#This Row],[Std Read]]=""),0,Table1[[#This Row],[Std Nom]]-Table1[[#This Row],[Std Read]])</f>
        <v>0</v>
      </c>
      <c r="N2474" s="1">
        <f>IF(Calculations!$F$5="ACCREDITED 17025 WITH UNCERTAINTIES",$N$10,0)</f>
        <v>0</v>
      </c>
      <c r="Q2474" s="1">
        <f>Table1[[#This Row],[High Tol]]-Table1[[#This Row],[Low Tol]]</f>
        <v>0</v>
      </c>
      <c r="R2474" s="1">
        <f>2*Table1[[#This Row],[Std Error]]</f>
        <v>0</v>
      </c>
      <c r="S2474" s="1" t="str">
        <f>IF(Table1[[#This Row],[High Tol]]="","N/A",IFERROR(ABS(Table1[[#This Row],[Tol Span]]/Table1[[#This Row],[Error Span]]),"N/A"))</f>
        <v>N/A</v>
      </c>
      <c r="T2474" s="1" t="str">
        <f>IF(OR(Table1[[#This Row],[Low Tol]]="",Table1[[#This Row],[High Tol]]=""),"Needs Analysis",IF(Table1[[#This Row],[Ratio]]&gt;=4,"Not Significant",IF(Table1[[#This Row],[Ratio]]&gt;=2,"Semi-Significant","Significant")))</f>
        <v>Needs Analysis</v>
      </c>
      <c r="W2474" s="1">
        <f>IF(Table1[[#This Row],[Cal Type]]&lt;&gt;"ACCREDITED 17025 WITH UNCERTAINTIES",0,"")</f>
        <v>0</v>
      </c>
      <c r="X2474" s="1" t="str">
        <f>IF(Table1[[#This Row],[DUT Read]]="","N/A",Table1[[#This Row],[Std Error]]+Table1[[#This Row],[DUT Read]]+Table1[[#This Row],[DUT Ucty]])</f>
        <v>N/A</v>
      </c>
      <c r="Y2474" s="1" t="str">
        <f>IF(Table1[[#This Row],[Std Read]]="","N/A",Table1[[#This Row],[Std Read]]+Table1[[#This Row],[Std Ucty]])</f>
        <v>N/A</v>
      </c>
      <c r="Z24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4" s="1" t="str">
        <f>IF(Table1[[#This Row],[Spec Type]]="","N/A",Table1[[#This Row],[Spec Type]])</f>
        <v>±</v>
      </c>
      <c r="AC2474" s="1" t="str">
        <f>IF(Table1[[#This Row],[Spec Type2]]="N/A","N/A",IF(AND(Table1[[#This Row],[DUT Adj Read]]&gt;=Table1[[#This Row],[Low Tol]],Table1[[#This Row],[DUT Adj Read]]&lt;=Table1[[#This Row],[High Tol]]),"Pass","Fail"))</f>
        <v>Fail</v>
      </c>
      <c r="AD2474" s="1" t="str">
        <f>IF(AND(Table1[[#This Row],[Spec Type2]]="N/A",Table1[[#This Row],[DUT Adj Read]]="N/A",Table1[[#This Row],[Std Adj Read]]="N/A"),"N/A",IF(Table1[[#This Row],[DUT Adj Read]]="N/A",IF(Table1[[#This Row],[Std Adj Read]]&gt;Table1[[#This Row],[Low Tol]],"Pass","Fail"),IF(Table1[[#This Row],[DUT Adj Read]]&gt;Table1[[#This Row],[Low Tol]],"Pass","Fail")))</f>
        <v>Pass</v>
      </c>
      <c r="AE2474" s="1" t="str">
        <f>IF(AND(Table1[[#This Row],[Spec Type2]]="N/A",Table1[[#This Row],[DUT Adj Read]]="N/A",Table1[[#This Row],[Std Adj Read]]="N/A"),"N/A",IF(Table1[[#This Row],[DUT Adj Read]]="N/A",IF(Table1[[#This Row],[Std Adj Read]]&lt;Table1[[#This Row],[High Tol]],"Pass","Fail"),IF(Table1[[#This Row],[DUT Adj Read]]&lt;Table1[[#This Row],[High Tol]],"Pass","Fail")))</f>
        <v>Fail</v>
      </c>
      <c r="AF2474" s="1" t="str">
        <f>IF(AND(Table1[[#This Row],[Spec Type2]]="N/A",Table1[[#This Row],[DUT Adj Read]]="N/A",Table1[[#This Row],[Std Adj Read]]="N/A"),"N/A",IF(Table1[[#This Row],[DUT Adj Read]]="N/A",IF(Table1[[#This Row],[Std Adj Read]]&gt;=Table1[[#This Row],[Low Tol]],"Pass","Fail"),IF(Table1[[#This Row],[DUT Adj Read]]&gt;=Table1[[#This Row],[Low Tol]],"Pass","Fail")))</f>
        <v>Pass</v>
      </c>
      <c r="AG2474" s="1" t="str">
        <f>IF(AND(Table1[[#This Row],[Spec Type2]]="N/A",Table1[[#This Row],[DUT Adj Read]]="N/A",Table1[[#This Row],[Std Adj Read]]="N/A"),"N/A",IF(Table1[[#This Row],[DUT Adj Read]]="N/A",IF(Table1[[#This Row],[Std Adj Read]]&lt;=Table1[[#This Row],[High Tol]],"Pass","Fail"),IF(Table1[[#This Row],[DUT Adj Read]]&lt;=Table1[[#This Row],[High Tol]],"Pass","Fail")))</f>
        <v>Fail</v>
      </c>
      <c r="AH24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4" s="1" t="b">
        <v>0</v>
      </c>
      <c r="AN2474" s="1" t="b">
        <v>0</v>
      </c>
      <c r="AO2474" s="1" t="b">
        <v>0</v>
      </c>
    </row>
    <row r="2475" spans="1:41" x14ac:dyDescent="0.25">
      <c r="A2475" s="10"/>
      <c r="B2475" s="10"/>
      <c r="C2475" s="10"/>
      <c r="D2475" s="10"/>
      <c r="E2475" s="10"/>
      <c r="F2475" s="10"/>
      <c r="G2475" s="10"/>
      <c r="H2475" s="10"/>
      <c r="I2475" s="1" t="str">
        <f t="shared" si="114"/>
        <v/>
      </c>
      <c r="J2475" s="1" t="s">
        <v>35</v>
      </c>
      <c r="K2475" s="1" t="str">
        <f t="shared" si="115"/>
        <v/>
      </c>
      <c r="L2475" s="1" t="str">
        <f t="shared" si="116"/>
        <v/>
      </c>
      <c r="M2475" s="1">
        <f>IF(OR(Table1[[#This Row],[Std Nom]]="",Table1[[#This Row],[Std Read]]=""),0,Table1[[#This Row],[Std Nom]]-Table1[[#This Row],[Std Read]])</f>
        <v>0</v>
      </c>
      <c r="N2475" s="1">
        <f>IF(Calculations!$F$5="ACCREDITED 17025 WITH UNCERTAINTIES",$N$10,0)</f>
        <v>0</v>
      </c>
      <c r="Q2475" s="1">
        <f>Table1[[#This Row],[High Tol]]-Table1[[#This Row],[Low Tol]]</f>
        <v>0</v>
      </c>
      <c r="R2475" s="1">
        <f>2*Table1[[#This Row],[Std Error]]</f>
        <v>0</v>
      </c>
      <c r="S2475" s="1" t="str">
        <f>IF(Table1[[#This Row],[High Tol]]="","N/A",IFERROR(ABS(Table1[[#This Row],[Tol Span]]/Table1[[#This Row],[Error Span]]),"N/A"))</f>
        <v>N/A</v>
      </c>
      <c r="T2475" s="1" t="str">
        <f>IF(OR(Table1[[#This Row],[Low Tol]]="",Table1[[#This Row],[High Tol]]=""),"Needs Analysis",IF(Table1[[#This Row],[Ratio]]&gt;=4,"Not Significant",IF(Table1[[#This Row],[Ratio]]&gt;=2,"Semi-Significant","Significant")))</f>
        <v>Needs Analysis</v>
      </c>
      <c r="W2475" s="1">
        <f>IF(Table1[[#This Row],[Cal Type]]&lt;&gt;"ACCREDITED 17025 WITH UNCERTAINTIES",0,"")</f>
        <v>0</v>
      </c>
      <c r="X2475" s="1" t="str">
        <f>IF(Table1[[#This Row],[DUT Read]]="","N/A",Table1[[#This Row],[Std Error]]+Table1[[#This Row],[DUT Read]]+Table1[[#This Row],[DUT Ucty]])</f>
        <v>N/A</v>
      </c>
      <c r="Y2475" s="1" t="str">
        <f>IF(Table1[[#This Row],[Std Read]]="","N/A",Table1[[#This Row],[Std Read]]+Table1[[#This Row],[Std Ucty]])</f>
        <v>N/A</v>
      </c>
      <c r="Z24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5" s="1" t="str">
        <f>IF(Table1[[#This Row],[Spec Type]]="","N/A",Table1[[#This Row],[Spec Type]])</f>
        <v>±</v>
      </c>
      <c r="AC2475" s="1" t="str">
        <f>IF(Table1[[#This Row],[Spec Type2]]="N/A","N/A",IF(AND(Table1[[#This Row],[DUT Adj Read]]&gt;=Table1[[#This Row],[Low Tol]],Table1[[#This Row],[DUT Adj Read]]&lt;=Table1[[#This Row],[High Tol]]),"Pass","Fail"))</f>
        <v>Fail</v>
      </c>
      <c r="AD2475" s="1" t="str">
        <f>IF(AND(Table1[[#This Row],[Spec Type2]]="N/A",Table1[[#This Row],[DUT Adj Read]]="N/A",Table1[[#This Row],[Std Adj Read]]="N/A"),"N/A",IF(Table1[[#This Row],[DUT Adj Read]]="N/A",IF(Table1[[#This Row],[Std Adj Read]]&gt;Table1[[#This Row],[Low Tol]],"Pass","Fail"),IF(Table1[[#This Row],[DUT Adj Read]]&gt;Table1[[#This Row],[Low Tol]],"Pass","Fail")))</f>
        <v>Pass</v>
      </c>
      <c r="AE2475" s="1" t="str">
        <f>IF(AND(Table1[[#This Row],[Spec Type2]]="N/A",Table1[[#This Row],[DUT Adj Read]]="N/A",Table1[[#This Row],[Std Adj Read]]="N/A"),"N/A",IF(Table1[[#This Row],[DUT Adj Read]]="N/A",IF(Table1[[#This Row],[Std Adj Read]]&lt;Table1[[#This Row],[High Tol]],"Pass","Fail"),IF(Table1[[#This Row],[DUT Adj Read]]&lt;Table1[[#This Row],[High Tol]],"Pass","Fail")))</f>
        <v>Fail</v>
      </c>
      <c r="AF2475" s="1" t="str">
        <f>IF(AND(Table1[[#This Row],[Spec Type2]]="N/A",Table1[[#This Row],[DUT Adj Read]]="N/A",Table1[[#This Row],[Std Adj Read]]="N/A"),"N/A",IF(Table1[[#This Row],[DUT Adj Read]]="N/A",IF(Table1[[#This Row],[Std Adj Read]]&gt;=Table1[[#This Row],[Low Tol]],"Pass","Fail"),IF(Table1[[#This Row],[DUT Adj Read]]&gt;=Table1[[#This Row],[Low Tol]],"Pass","Fail")))</f>
        <v>Pass</v>
      </c>
      <c r="AG2475" s="1" t="str">
        <f>IF(AND(Table1[[#This Row],[Spec Type2]]="N/A",Table1[[#This Row],[DUT Adj Read]]="N/A",Table1[[#This Row],[Std Adj Read]]="N/A"),"N/A",IF(Table1[[#This Row],[DUT Adj Read]]="N/A",IF(Table1[[#This Row],[Std Adj Read]]&lt;=Table1[[#This Row],[High Tol]],"Pass","Fail"),IF(Table1[[#This Row],[DUT Adj Read]]&lt;=Table1[[#This Row],[High Tol]],"Pass","Fail")))</f>
        <v>Fail</v>
      </c>
      <c r="AH24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5" s="1" t="b">
        <v>0</v>
      </c>
      <c r="AN2475" s="1" t="b">
        <v>0</v>
      </c>
      <c r="AO2475" s="1" t="b">
        <v>0</v>
      </c>
    </row>
    <row r="2476" spans="1:41" x14ac:dyDescent="0.25">
      <c r="A2476" s="10"/>
      <c r="B2476" s="10"/>
      <c r="C2476" s="10"/>
      <c r="D2476" s="10"/>
      <c r="E2476" s="10"/>
      <c r="F2476" s="10"/>
      <c r="G2476" s="10"/>
      <c r="H2476" s="10"/>
      <c r="I2476" s="1" t="str">
        <f t="shared" si="114"/>
        <v/>
      </c>
      <c r="J2476" s="1" t="s">
        <v>35</v>
      </c>
      <c r="K2476" s="1" t="str">
        <f t="shared" si="115"/>
        <v/>
      </c>
      <c r="L2476" s="1" t="str">
        <f t="shared" si="116"/>
        <v/>
      </c>
      <c r="M2476" s="1">
        <f>IF(OR(Table1[[#This Row],[Std Nom]]="",Table1[[#This Row],[Std Read]]=""),0,Table1[[#This Row],[Std Nom]]-Table1[[#This Row],[Std Read]])</f>
        <v>0</v>
      </c>
      <c r="N2476" s="1">
        <f>IF(Calculations!$F$5="ACCREDITED 17025 WITH UNCERTAINTIES",$N$10,0)</f>
        <v>0</v>
      </c>
      <c r="Q2476" s="1">
        <f>Table1[[#This Row],[High Tol]]-Table1[[#This Row],[Low Tol]]</f>
        <v>0</v>
      </c>
      <c r="R2476" s="1">
        <f>2*Table1[[#This Row],[Std Error]]</f>
        <v>0</v>
      </c>
      <c r="S2476" s="1" t="str">
        <f>IF(Table1[[#This Row],[High Tol]]="","N/A",IFERROR(ABS(Table1[[#This Row],[Tol Span]]/Table1[[#This Row],[Error Span]]),"N/A"))</f>
        <v>N/A</v>
      </c>
      <c r="T2476" s="1" t="str">
        <f>IF(OR(Table1[[#This Row],[Low Tol]]="",Table1[[#This Row],[High Tol]]=""),"Needs Analysis",IF(Table1[[#This Row],[Ratio]]&gt;=4,"Not Significant",IF(Table1[[#This Row],[Ratio]]&gt;=2,"Semi-Significant","Significant")))</f>
        <v>Needs Analysis</v>
      </c>
      <c r="W2476" s="1">
        <f>IF(Table1[[#This Row],[Cal Type]]&lt;&gt;"ACCREDITED 17025 WITH UNCERTAINTIES",0,"")</f>
        <v>0</v>
      </c>
      <c r="X2476" s="1" t="str">
        <f>IF(Table1[[#This Row],[DUT Read]]="","N/A",Table1[[#This Row],[Std Error]]+Table1[[#This Row],[DUT Read]]+Table1[[#This Row],[DUT Ucty]])</f>
        <v>N/A</v>
      </c>
      <c r="Y2476" s="1" t="str">
        <f>IF(Table1[[#This Row],[Std Read]]="","N/A",Table1[[#This Row],[Std Read]]+Table1[[#This Row],[Std Ucty]])</f>
        <v>N/A</v>
      </c>
      <c r="Z24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6" s="1" t="str">
        <f>IF(Table1[[#This Row],[Spec Type]]="","N/A",Table1[[#This Row],[Spec Type]])</f>
        <v>±</v>
      </c>
      <c r="AC2476" s="1" t="str">
        <f>IF(Table1[[#This Row],[Spec Type2]]="N/A","N/A",IF(AND(Table1[[#This Row],[DUT Adj Read]]&gt;=Table1[[#This Row],[Low Tol]],Table1[[#This Row],[DUT Adj Read]]&lt;=Table1[[#This Row],[High Tol]]),"Pass","Fail"))</f>
        <v>Fail</v>
      </c>
      <c r="AD2476" s="1" t="str">
        <f>IF(AND(Table1[[#This Row],[Spec Type2]]="N/A",Table1[[#This Row],[DUT Adj Read]]="N/A",Table1[[#This Row],[Std Adj Read]]="N/A"),"N/A",IF(Table1[[#This Row],[DUT Adj Read]]="N/A",IF(Table1[[#This Row],[Std Adj Read]]&gt;Table1[[#This Row],[Low Tol]],"Pass","Fail"),IF(Table1[[#This Row],[DUT Adj Read]]&gt;Table1[[#This Row],[Low Tol]],"Pass","Fail")))</f>
        <v>Pass</v>
      </c>
      <c r="AE2476" s="1" t="str">
        <f>IF(AND(Table1[[#This Row],[Spec Type2]]="N/A",Table1[[#This Row],[DUT Adj Read]]="N/A",Table1[[#This Row],[Std Adj Read]]="N/A"),"N/A",IF(Table1[[#This Row],[DUT Adj Read]]="N/A",IF(Table1[[#This Row],[Std Adj Read]]&lt;Table1[[#This Row],[High Tol]],"Pass","Fail"),IF(Table1[[#This Row],[DUT Adj Read]]&lt;Table1[[#This Row],[High Tol]],"Pass","Fail")))</f>
        <v>Fail</v>
      </c>
      <c r="AF2476" s="1" t="str">
        <f>IF(AND(Table1[[#This Row],[Spec Type2]]="N/A",Table1[[#This Row],[DUT Adj Read]]="N/A",Table1[[#This Row],[Std Adj Read]]="N/A"),"N/A",IF(Table1[[#This Row],[DUT Adj Read]]="N/A",IF(Table1[[#This Row],[Std Adj Read]]&gt;=Table1[[#This Row],[Low Tol]],"Pass","Fail"),IF(Table1[[#This Row],[DUT Adj Read]]&gt;=Table1[[#This Row],[Low Tol]],"Pass","Fail")))</f>
        <v>Pass</v>
      </c>
      <c r="AG2476" s="1" t="str">
        <f>IF(AND(Table1[[#This Row],[Spec Type2]]="N/A",Table1[[#This Row],[DUT Adj Read]]="N/A",Table1[[#This Row],[Std Adj Read]]="N/A"),"N/A",IF(Table1[[#This Row],[DUT Adj Read]]="N/A",IF(Table1[[#This Row],[Std Adj Read]]&lt;=Table1[[#This Row],[High Tol]],"Pass","Fail"),IF(Table1[[#This Row],[DUT Adj Read]]&lt;=Table1[[#This Row],[High Tol]],"Pass","Fail")))</f>
        <v>Fail</v>
      </c>
      <c r="AH24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6" s="1" t="b">
        <v>0</v>
      </c>
      <c r="AN2476" s="1" t="b">
        <v>0</v>
      </c>
      <c r="AO2476" s="1" t="b">
        <v>0</v>
      </c>
    </row>
    <row r="2477" spans="1:41" x14ac:dyDescent="0.25">
      <c r="A2477" s="10"/>
      <c r="B2477" s="10"/>
      <c r="C2477" s="10"/>
      <c r="D2477" s="10"/>
      <c r="E2477" s="10"/>
      <c r="F2477" s="10"/>
      <c r="G2477" s="10"/>
      <c r="H2477" s="10"/>
      <c r="I2477" s="1" t="str">
        <f t="shared" si="114"/>
        <v/>
      </c>
      <c r="J2477" s="1" t="s">
        <v>35</v>
      </c>
      <c r="K2477" s="1" t="str">
        <f t="shared" si="115"/>
        <v/>
      </c>
      <c r="L2477" s="1" t="str">
        <f t="shared" si="116"/>
        <v/>
      </c>
      <c r="M2477" s="1">
        <f>IF(OR(Table1[[#This Row],[Std Nom]]="",Table1[[#This Row],[Std Read]]=""),0,Table1[[#This Row],[Std Nom]]-Table1[[#This Row],[Std Read]])</f>
        <v>0</v>
      </c>
      <c r="N2477" s="1">
        <f>IF(Calculations!$F$5="ACCREDITED 17025 WITH UNCERTAINTIES",$N$10,0)</f>
        <v>0</v>
      </c>
      <c r="Q2477" s="1">
        <f>Table1[[#This Row],[High Tol]]-Table1[[#This Row],[Low Tol]]</f>
        <v>0</v>
      </c>
      <c r="R2477" s="1">
        <f>2*Table1[[#This Row],[Std Error]]</f>
        <v>0</v>
      </c>
      <c r="S2477" s="1" t="str">
        <f>IF(Table1[[#This Row],[High Tol]]="","N/A",IFERROR(ABS(Table1[[#This Row],[Tol Span]]/Table1[[#This Row],[Error Span]]),"N/A"))</f>
        <v>N/A</v>
      </c>
      <c r="T2477" s="1" t="str">
        <f>IF(OR(Table1[[#This Row],[Low Tol]]="",Table1[[#This Row],[High Tol]]=""),"Needs Analysis",IF(Table1[[#This Row],[Ratio]]&gt;=4,"Not Significant",IF(Table1[[#This Row],[Ratio]]&gt;=2,"Semi-Significant","Significant")))</f>
        <v>Needs Analysis</v>
      </c>
      <c r="W2477" s="1">
        <f>IF(Table1[[#This Row],[Cal Type]]&lt;&gt;"ACCREDITED 17025 WITH UNCERTAINTIES",0,"")</f>
        <v>0</v>
      </c>
      <c r="X2477" s="1" t="str">
        <f>IF(Table1[[#This Row],[DUT Read]]="","N/A",Table1[[#This Row],[Std Error]]+Table1[[#This Row],[DUT Read]]+Table1[[#This Row],[DUT Ucty]])</f>
        <v>N/A</v>
      </c>
      <c r="Y2477" s="1" t="str">
        <f>IF(Table1[[#This Row],[Std Read]]="","N/A",Table1[[#This Row],[Std Read]]+Table1[[#This Row],[Std Ucty]])</f>
        <v>N/A</v>
      </c>
      <c r="Z24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7" s="1" t="str">
        <f>IF(Table1[[#This Row],[Spec Type]]="","N/A",Table1[[#This Row],[Spec Type]])</f>
        <v>±</v>
      </c>
      <c r="AC2477" s="1" t="str">
        <f>IF(Table1[[#This Row],[Spec Type2]]="N/A","N/A",IF(AND(Table1[[#This Row],[DUT Adj Read]]&gt;=Table1[[#This Row],[Low Tol]],Table1[[#This Row],[DUT Adj Read]]&lt;=Table1[[#This Row],[High Tol]]),"Pass","Fail"))</f>
        <v>Fail</v>
      </c>
      <c r="AD2477" s="1" t="str">
        <f>IF(AND(Table1[[#This Row],[Spec Type2]]="N/A",Table1[[#This Row],[DUT Adj Read]]="N/A",Table1[[#This Row],[Std Adj Read]]="N/A"),"N/A",IF(Table1[[#This Row],[DUT Adj Read]]="N/A",IF(Table1[[#This Row],[Std Adj Read]]&gt;Table1[[#This Row],[Low Tol]],"Pass","Fail"),IF(Table1[[#This Row],[DUT Adj Read]]&gt;Table1[[#This Row],[Low Tol]],"Pass","Fail")))</f>
        <v>Pass</v>
      </c>
      <c r="AE2477" s="1" t="str">
        <f>IF(AND(Table1[[#This Row],[Spec Type2]]="N/A",Table1[[#This Row],[DUT Adj Read]]="N/A",Table1[[#This Row],[Std Adj Read]]="N/A"),"N/A",IF(Table1[[#This Row],[DUT Adj Read]]="N/A",IF(Table1[[#This Row],[Std Adj Read]]&lt;Table1[[#This Row],[High Tol]],"Pass","Fail"),IF(Table1[[#This Row],[DUT Adj Read]]&lt;Table1[[#This Row],[High Tol]],"Pass","Fail")))</f>
        <v>Fail</v>
      </c>
      <c r="AF2477" s="1" t="str">
        <f>IF(AND(Table1[[#This Row],[Spec Type2]]="N/A",Table1[[#This Row],[DUT Adj Read]]="N/A",Table1[[#This Row],[Std Adj Read]]="N/A"),"N/A",IF(Table1[[#This Row],[DUT Adj Read]]="N/A",IF(Table1[[#This Row],[Std Adj Read]]&gt;=Table1[[#This Row],[Low Tol]],"Pass","Fail"),IF(Table1[[#This Row],[DUT Adj Read]]&gt;=Table1[[#This Row],[Low Tol]],"Pass","Fail")))</f>
        <v>Pass</v>
      </c>
      <c r="AG2477" s="1" t="str">
        <f>IF(AND(Table1[[#This Row],[Spec Type2]]="N/A",Table1[[#This Row],[DUT Adj Read]]="N/A",Table1[[#This Row],[Std Adj Read]]="N/A"),"N/A",IF(Table1[[#This Row],[DUT Adj Read]]="N/A",IF(Table1[[#This Row],[Std Adj Read]]&lt;=Table1[[#This Row],[High Tol]],"Pass","Fail"),IF(Table1[[#This Row],[DUT Adj Read]]&lt;=Table1[[#This Row],[High Tol]],"Pass","Fail")))</f>
        <v>Fail</v>
      </c>
      <c r="AH24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7" s="1" t="b">
        <v>0</v>
      </c>
      <c r="AN2477" s="1" t="b">
        <v>0</v>
      </c>
      <c r="AO2477" s="1" t="b">
        <v>0</v>
      </c>
    </row>
    <row r="2478" spans="1:41" x14ac:dyDescent="0.25">
      <c r="A2478" s="10"/>
      <c r="B2478" s="10"/>
      <c r="C2478" s="10"/>
      <c r="D2478" s="10"/>
      <c r="E2478" s="10"/>
      <c r="F2478" s="10"/>
      <c r="G2478" s="10"/>
      <c r="H2478" s="10"/>
      <c r="I2478" s="1" t="str">
        <f t="shared" si="114"/>
        <v/>
      </c>
      <c r="J2478" s="1" t="s">
        <v>35</v>
      </c>
      <c r="K2478" s="1" t="str">
        <f t="shared" si="115"/>
        <v/>
      </c>
      <c r="L2478" s="1" t="str">
        <f t="shared" si="116"/>
        <v/>
      </c>
      <c r="M2478" s="1">
        <f>IF(OR(Table1[[#This Row],[Std Nom]]="",Table1[[#This Row],[Std Read]]=""),0,Table1[[#This Row],[Std Nom]]-Table1[[#This Row],[Std Read]])</f>
        <v>0</v>
      </c>
      <c r="N2478" s="1">
        <f>IF(Calculations!$F$5="ACCREDITED 17025 WITH UNCERTAINTIES",$N$10,0)</f>
        <v>0</v>
      </c>
      <c r="Q2478" s="1">
        <f>Table1[[#This Row],[High Tol]]-Table1[[#This Row],[Low Tol]]</f>
        <v>0</v>
      </c>
      <c r="R2478" s="1">
        <f>2*Table1[[#This Row],[Std Error]]</f>
        <v>0</v>
      </c>
      <c r="S2478" s="1" t="str">
        <f>IF(Table1[[#This Row],[High Tol]]="","N/A",IFERROR(ABS(Table1[[#This Row],[Tol Span]]/Table1[[#This Row],[Error Span]]),"N/A"))</f>
        <v>N/A</v>
      </c>
      <c r="T2478" s="1" t="str">
        <f>IF(OR(Table1[[#This Row],[Low Tol]]="",Table1[[#This Row],[High Tol]]=""),"Needs Analysis",IF(Table1[[#This Row],[Ratio]]&gt;=4,"Not Significant",IF(Table1[[#This Row],[Ratio]]&gt;=2,"Semi-Significant","Significant")))</f>
        <v>Needs Analysis</v>
      </c>
      <c r="W2478" s="1">
        <f>IF(Table1[[#This Row],[Cal Type]]&lt;&gt;"ACCREDITED 17025 WITH UNCERTAINTIES",0,"")</f>
        <v>0</v>
      </c>
      <c r="X2478" s="1" t="str">
        <f>IF(Table1[[#This Row],[DUT Read]]="","N/A",Table1[[#This Row],[Std Error]]+Table1[[#This Row],[DUT Read]]+Table1[[#This Row],[DUT Ucty]])</f>
        <v>N/A</v>
      </c>
      <c r="Y2478" s="1" t="str">
        <f>IF(Table1[[#This Row],[Std Read]]="","N/A",Table1[[#This Row],[Std Read]]+Table1[[#This Row],[Std Ucty]])</f>
        <v>N/A</v>
      </c>
      <c r="Z24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8" s="1" t="str">
        <f>IF(Table1[[#This Row],[Spec Type]]="","N/A",Table1[[#This Row],[Spec Type]])</f>
        <v>±</v>
      </c>
      <c r="AC2478" s="1" t="str">
        <f>IF(Table1[[#This Row],[Spec Type2]]="N/A","N/A",IF(AND(Table1[[#This Row],[DUT Adj Read]]&gt;=Table1[[#This Row],[Low Tol]],Table1[[#This Row],[DUT Adj Read]]&lt;=Table1[[#This Row],[High Tol]]),"Pass","Fail"))</f>
        <v>Fail</v>
      </c>
      <c r="AD2478" s="1" t="str">
        <f>IF(AND(Table1[[#This Row],[Spec Type2]]="N/A",Table1[[#This Row],[DUT Adj Read]]="N/A",Table1[[#This Row],[Std Adj Read]]="N/A"),"N/A",IF(Table1[[#This Row],[DUT Adj Read]]="N/A",IF(Table1[[#This Row],[Std Adj Read]]&gt;Table1[[#This Row],[Low Tol]],"Pass","Fail"),IF(Table1[[#This Row],[DUT Adj Read]]&gt;Table1[[#This Row],[Low Tol]],"Pass","Fail")))</f>
        <v>Pass</v>
      </c>
      <c r="AE2478" s="1" t="str">
        <f>IF(AND(Table1[[#This Row],[Spec Type2]]="N/A",Table1[[#This Row],[DUT Adj Read]]="N/A",Table1[[#This Row],[Std Adj Read]]="N/A"),"N/A",IF(Table1[[#This Row],[DUT Adj Read]]="N/A",IF(Table1[[#This Row],[Std Adj Read]]&lt;Table1[[#This Row],[High Tol]],"Pass","Fail"),IF(Table1[[#This Row],[DUT Adj Read]]&lt;Table1[[#This Row],[High Tol]],"Pass","Fail")))</f>
        <v>Fail</v>
      </c>
      <c r="AF2478" s="1" t="str">
        <f>IF(AND(Table1[[#This Row],[Spec Type2]]="N/A",Table1[[#This Row],[DUT Adj Read]]="N/A",Table1[[#This Row],[Std Adj Read]]="N/A"),"N/A",IF(Table1[[#This Row],[DUT Adj Read]]="N/A",IF(Table1[[#This Row],[Std Adj Read]]&gt;=Table1[[#This Row],[Low Tol]],"Pass","Fail"),IF(Table1[[#This Row],[DUT Adj Read]]&gt;=Table1[[#This Row],[Low Tol]],"Pass","Fail")))</f>
        <v>Pass</v>
      </c>
      <c r="AG2478" s="1" t="str">
        <f>IF(AND(Table1[[#This Row],[Spec Type2]]="N/A",Table1[[#This Row],[DUT Adj Read]]="N/A",Table1[[#This Row],[Std Adj Read]]="N/A"),"N/A",IF(Table1[[#This Row],[DUT Adj Read]]="N/A",IF(Table1[[#This Row],[Std Adj Read]]&lt;=Table1[[#This Row],[High Tol]],"Pass","Fail"),IF(Table1[[#This Row],[DUT Adj Read]]&lt;=Table1[[#This Row],[High Tol]],"Pass","Fail")))</f>
        <v>Fail</v>
      </c>
      <c r="AH24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8" s="1" t="b">
        <v>0</v>
      </c>
      <c r="AN2478" s="1" t="b">
        <v>0</v>
      </c>
      <c r="AO2478" s="1" t="b">
        <v>0</v>
      </c>
    </row>
    <row r="2479" spans="1:41" x14ac:dyDescent="0.25">
      <c r="A2479" s="10"/>
      <c r="B2479" s="10"/>
      <c r="C2479" s="10"/>
      <c r="D2479" s="10"/>
      <c r="E2479" s="10"/>
      <c r="F2479" s="10"/>
      <c r="G2479" s="10"/>
      <c r="H2479" s="10"/>
      <c r="I2479" s="1" t="str">
        <f t="shared" si="114"/>
        <v/>
      </c>
      <c r="J2479" s="1" t="s">
        <v>35</v>
      </c>
      <c r="K2479" s="1" t="str">
        <f t="shared" si="115"/>
        <v/>
      </c>
      <c r="L2479" s="1" t="str">
        <f t="shared" si="116"/>
        <v/>
      </c>
      <c r="M2479" s="1">
        <f>IF(OR(Table1[[#This Row],[Std Nom]]="",Table1[[#This Row],[Std Read]]=""),0,Table1[[#This Row],[Std Nom]]-Table1[[#This Row],[Std Read]])</f>
        <v>0</v>
      </c>
      <c r="N2479" s="1">
        <f>IF(Calculations!$F$5="ACCREDITED 17025 WITH UNCERTAINTIES",$N$10,0)</f>
        <v>0</v>
      </c>
      <c r="Q2479" s="1">
        <f>Table1[[#This Row],[High Tol]]-Table1[[#This Row],[Low Tol]]</f>
        <v>0</v>
      </c>
      <c r="R2479" s="1">
        <f>2*Table1[[#This Row],[Std Error]]</f>
        <v>0</v>
      </c>
      <c r="S2479" s="1" t="str">
        <f>IF(Table1[[#This Row],[High Tol]]="","N/A",IFERROR(ABS(Table1[[#This Row],[Tol Span]]/Table1[[#This Row],[Error Span]]),"N/A"))</f>
        <v>N/A</v>
      </c>
      <c r="T2479" s="1" t="str">
        <f>IF(OR(Table1[[#This Row],[Low Tol]]="",Table1[[#This Row],[High Tol]]=""),"Needs Analysis",IF(Table1[[#This Row],[Ratio]]&gt;=4,"Not Significant",IF(Table1[[#This Row],[Ratio]]&gt;=2,"Semi-Significant","Significant")))</f>
        <v>Needs Analysis</v>
      </c>
      <c r="W2479" s="1">
        <f>IF(Table1[[#This Row],[Cal Type]]&lt;&gt;"ACCREDITED 17025 WITH UNCERTAINTIES",0,"")</f>
        <v>0</v>
      </c>
      <c r="X2479" s="1" t="str">
        <f>IF(Table1[[#This Row],[DUT Read]]="","N/A",Table1[[#This Row],[Std Error]]+Table1[[#This Row],[DUT Read]]+Table1[[#This Row],[DUT Ucty]])</f>
        <v>N/A</v>
      </c>
      <c r="Y2479" s="1" t="str">
        <f>IF(Table1[[#This Row],[Std Read]]="","N/A",Table1[[#This Row],[Std Read]]+Table1[[#This Row],[Std Ucty]])</f>
        <v>N/A</v>
      </c>
      <c r="Z24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79" s="1" t="str">
        <f>IF(Table1[[#This Row],[Spec Type]]="","N/A",Table1[[#This Row],[Spec Type]])</f>
        <v>±</v>
      </c>
      <c r="AC2479" s="1" t="str">
        <f>IF(Table1[[#This Row],[Spec Type2]]="N/A","N/A",IF(AND(Table1[[#This Row],[DUT Adj Read]]&gt;=Table1[[#This Row],[Low Tol]],Table1[[#This Row],[DUT Adj Read]]&lt;=Table1[[#This Row],[High Tol]]),"Pass","Fail"))</f>
        <v>Fail</v>
      </c>
      <c r="AD2479" s="1" t="str">
        <f>IF(AND(Table1[[#This Row],[Spec Type2]]="N/A",Table1[[#This Row],[DUT Adj Read]]="N/A",Table1[[#This Row],[Std Adj Read]]="N/A"),"N/A",IF(Table1[[#This Row],[DUT Adj Read]]="N/A",IF(Table1[[#This Row],[Std Adj Read]]&gt;Table1[[#This Row],[Low Tol]],"Pass","Fail"),IF(Table1[[#This Row],[DUT Adj Read]]&gt;Table1[[#This Row],[Low Tol]],"Pass","Fail")))</f>
        <v>Pass</v>
      </c>
      <c r="AE2479" s="1" t="str">
        <f>IF(AND(Table1[[#This Row],[Spec Type2]]="N/A",Table1[[#This Row],[DUT Adj Read]]="N/A",Table1[[#This Row],[Std Adj Read]]="N/A"),"N/A",IF(Table1[[#This Row],[DUT Adj Read]]="N/A",IF(Table1[[#This Row],[Std Adj Read]]&lt;Table1[[#This Row],[High Tol]],"Pass","Fail"),IF(Table1[[#This Row],[DUT Adj Read]]&lt;Table1[[#This Row],[High Tol]],"Pass","Fail")))</f>
        <v>Fail</v>
      </c>
      <c r="AF2479" s="1" t="str">
        <f>IF(AND(Table1[[#This Row],[Spec Type2]]="N/A",Table1[[#This Row],[DUT Adj Read]]="N/A",Table1[[#This Row],[Std Adj Read]]="N/A"),"N/A",IF(Table1[[#This Row],[DUT Adj Read]]="N/A",IF(Table1[[#This Row],[Std Adj Read]]&gt;=Table1[[#This Row],[Low Tol]],"Pass","Fail"),IF(Table1[[#This Row],[DUT Adj Read]]&gt;=Table1[[#This Row],[Low Tol]],"Pass","Fail")))</f>
        <v>Pass</v>
      </c>
      <c r="AG2479" s="1" t="str">
        <f>IF(AND(Table1[[#This Row],[Spec Type2]]="N/A",Table1[[#This Row],[DUT Adj Read]]="N/A",Table1[[#This Row],[Std Adj Read]]="N/A"),"N/A",IF(Table1[[#This Row],[DUT Adj Read]]="N/A",IF(Table1[[#This Row],[Std Adj Read]]&lt;=Table1[[#This Row],[High Tol]],"Pass","Fail"),IF(Table1[[#This Row],[DUT Adj Read]]&lt;=Table1[[#This Row],[High Tol]],"Pass","Fail")))</f>
        <v>Fail</v>
      </c>
      <c r="AH24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79" s="1" t="b">
        <v>0</v>
      </c>
      <c r="AN2479" s="1" t="b">
        <v>0</v>
      </c>
      <c r="AO2479" s="1" t="b">
        <v>0</v>
      </c>
    </row>
    <row r="2480" spans="1:41" x14ac:dyDescent="0.25">
      <c r="A2480" s="10"/>
      <c r="B2480" s="10"/>
      <c r="C2480" s="10"/>
      <c r="D2480" s="10"/>
      <c r="E2480" s="10"/>
      <c r="F2480" s="10"/>
      <c r="G2480" s="10"/>
      <c r="H2480" s="10"/>
      <c r="I2480" s="1" t="str">
        <f t="shared" si="114"/>
        <v/>
      </c>
      <c r="J2480" s="1" t="s">
        <v>35</v>
      </c>
      <c r="K2480" s="1" t="str">
        <f t="shared" si="115"/>
        <v/>
      </c>
      <c r="L2480" s="1" t="str">
        <f t="shared" si="116"/>
        <v/>
      </c>
      <c r="M2480" s="1">
        <f>IF(OR(Table1[[#This Row],[Std Nom]]="",Table1[[#This Row],[Std Read]]=""),0,Table1[[#This Row],[Std Nom]]-Table1[[#This Row],[Std Read]])</f>
        <v>0</v>
      </c>
      <c r="N2480" s="1">
        <f>IF(Calculations!$F$5="ACCREDITED 17025 WITH UNCERTAINTIES",$N$10,0)</f>
        <v>0</v>
      </c>
      <c r="Q2480" s="1">
        <f>Table1[[#This Row],[High Tol]]-Table1[[#This Row],[Low Tol]]</f>
        <v>0</v>
      </c>
      <c r="R2480" s="1">
        <f>2*Table1[[#This Row],[Std Error]]</f>
        <v>0</v>
      </c>
      <c r="S2480" s="1" t="str">
        <f>IF(Table1[[#This Row],[High Tol]]="","N/A",IFERROR(ABS(Table1[[#This Row],[Tol Span]]/Table1[[#This Row],[Error Span]]),"N/A"))</f>
        <v>N/A</v>
      </c>
      <c r="T2480" s="1" t="str">
        <f>IF(OR(Table1[[#This Row],[Low Tol]]="",Table1[[#This Row],[High Tol]]=""),"Needs Analysis",IF(Table1[[#This Row],[Ratio]]&gt;=4,"Not Significant",IF(Table1[[#This Row],[Ratio]]&gt;=2,"Semi-Significant","Significant")))</f>
        <v>Needs Analysis</v>
      </c>
      <c r="W2480" s="1">
        <f>IF(Table1[[#This Row],[Cal Type]]&lt;&gt;"ACCREDITED 17025 WITH UNCERTAINTIES",0,"")</f>
        <v>0</v>
      </c>
      <c r="X2480" s="1" t="str">
        <f>IF(Table1[[#This Row],[DUT Read]]="","N/A",Table1[[#This Row],[Std Error]]+Table1[[#This Row],[DUT Read]]+Table1[[#This Row],[DUT Ucty]])</f>
        <v>N/A</v>
      </c>
      <c r="Y2480" s="1" t="str">
        <f>IF(Table1[[#This Row],[Std Read]]="","N/A",Table1[[#This Row],[Std Read]]+Table1[[#This Row],[Std Ucty]])</f>
        <v>N/A</v>
      </c>
      <c r="Z24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0" s="1" t="str">
        <f>IF(Table1[[#This Row],[Spec Type]]="","N/A",Table1[[#This Row],[Spec Type]])</f>
        <v>±</v>
      </c>
      <c r="AC2480" s="1" t="str">
        <f>IF(Table1[[#This Row],[Spec Type2]]="N/A","N/A",IF(AND(Table1[[#This Row],[DUT Adj Read]]&gt;=Table1[[#This Row],[Low Tol]],Table1[[#This Row],[DUT Adj Read]]&lt;=Table1[[#This Row],[High Tol]]),"Pass","Fail"))</f>
        <v>Fail</v>
      </c>
      <c r="AD2480" s="1" t="str">
        <f>IF(AND(Table1[[#This Row],[Spec Type2]]="N/A",Table1[[#This Row],[DUT Adj Read]]="N/A",Table1[[#This Row],[Std Adj Read]]="N/A"),"N/A",IF(Table1[[#This Row],[DUT Adj Read]]="N/A",IF(Table1[[#This Row],[Std Adj Read]]&gt;Table1[[#This Row],[Low Tol]],"Pass","Fail"),IF(Table1[[#This Row],[DUT Adj Read]]&gt;Table1[[#This Row],[Low Tol]],"Pass","Fail")))</f>
        <v>Pass</v>
      </c>
      <c r="AE2480" s="1" t="str">
        <f>IF(AND(Table1[[#This Row],[Spec Type2]]="N/A",Table1[[#This Row],[DUT Adj Read]]="N/A",Table1[[#This Row],[Std Adj Read]]="N/A"),"N/A",IF(Table1[[#This Row],[DUT Adj Read]]="N/A",IF(Table1[[#This Row],[Std Adj Read]]&lt;Table1[[#This Row],[High Tol]],"Pass","Fail"),IF(Table1[[#This Row],[DUT Adj Read]]&lt;Table1[[#This Row],[High Tol]],"Pass","Fail")))</f>
        <v>Fail</v>
      </c>
      <c r="AF2480" s="1" t="str">
        <f>IF(AND(Table1[[#This Row],[Spec Type2]]="N/A",Table1[[#This Row],[DUT Adj Read]]="N/A",Table1[[#This Row],[Std Adj Read]]="N/A"),"N/A",IF(Table1[[#This Row],[DUT Adj Read]]="N/A",IF(Table1[[#This Row],[Std Adj Read]]&gt;=Table1[[#This Row],[Low Tol]],"Pass","Fail"),IF(Table1[[#This Row],[DUT Adj Read]]&gt;=Table1[[#This Row],[Low Tol]],"Pass","Fail")))</f>
        <v>Pass</v>
      </c>
      <c r="AG2480" s="1" t="str">
        <f>IF(AND(Table1[[#This Row],[Spec Type2]]="N/A",Table1[[#This Row],[DUT Adj Read]]="N/A",Table1[[#This Row],[Std Adj Read]]="N/A"),"N/A",IF(Table1[[#This Row],[DUT Adj Read]]="N/A",IF(Table1[[#This Row],[Std Adj Read]]&lt;=Table1[[#This Row],[High Tol]],"Pass","Fail"),IF(Table1[[#This Row],[DUT Adj Read]]&lt;=Table1[[#This Row],[High Tol]],"Pass","Fail")))</f>
        <v>Fail</v>
      </c>
      <c r="AH24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0" s="1" t="b">
        <v>0</v>
      </c>
      <c r="AN2480" s="1" t="b">
        <v>0</v>
      </c>
      <c r="AO2480" s="1" t="b">
        <v>0</v>
      </c>
    </row>
    <row r="2481" spans="1:41" x14ac:dyDescent="0.25">
      <c r="A2481" s="10"/>
      <c r="B2481" s="10"/>
      <c r="C2481" s="10"/>
      <c r="D2481" s="10"/>
      <c r="E2481" s="10"/>
      <c r="F2481" s="10"/>
      <c r="G2481" s="10"/>
      <c r="H2481" s="10"/>
      <c r="I2481" s="1" t="str">
        <f t="shared" si="114"/>
        <v/>
      </c>
      <c r="J2481" s="1" t="s">
        <v>35</v>
      </c>
      <c r="K2481" s="1" t="str">
        <f t="shared" si="115"/>
        <v/>
      </c>
      <c r="L2481" s="1" t="str">
        <f t="shared" si="116"/>
        <v/>
      </c>
      <c r="M2481" s="1">
        <f>IF(OR(Table1[[#This Row],[Std Nom]]="",Table1[[#This Row],[Std Read]]=""),0,Table1[[#This Row],[Std Nom]]-Table1[[#This Row],[Std Read]])</f>
        <v>0</v>
      </c>
      <c r="N2481" s="1">
        <f>IF(Calculations!$F$5="ACCREDITED 17025 WITH UNCERTAINTIES",$N$10,0)</f>
        <v>0</v>
      </c>
      <c r="Q2481" s="1">
        <f>Table1[[#This Row],[High Tol]]-Table1[[#This Row],[Low Tol]]</f>
        <v>0</v>
      </c>
      <c r="R2481" s="1">
        <f>2*Table1[[#This Row],[Std Error]]</f>
        <v>0</v>
      </c>
      <c r="S2481" s="1" t="str">
        <f>IF(Table1[[#This Row],[High Tol]]="","N/A",IFERROR(ABS(Table1[[#This Row],[Tol Span]]/Table1[[#This Row],[Error Span]]),"N/A"))</f>
        <v>N/A</v>
      </c>
      <c r="T2481" s="1" t="str">
        <f>IF(OR(Table1[[#This Row],[Low Tol]]="",Table1[[#This Row],[High Tol]]=""),"Needs Analysis",IF(Table1[[#This Row],[Ratio]]&gt;=4,"Not Significant",IF(Table1[[#This Row],[Ratio]]&gt;=2,"Semi-Significant","Significant")))</f>
        <v>Needs Analysis</v>
      </c>
      <c r="W2481" s="1">
        <f>IF(Table1[[#This Row],[Cal Type]]&lt;&gt;"ACCREDITED 17025 WITH UNCERTAINTIES",0,"")</f>
        <v>0</v>
      </c>
      <c r="X2481" s="1" t="str">
        <f>IF(Table1[[#This Row],[DUT Read]]="","N/A",Table1[[#This Row],[Std Error]]+Table1[[#This Row],[DUT Read]]+Table1[[#This Row],[DUT Ucty]])</f>
        <v>N/A</v>
      </c>
      <c r="Y2481" s="1" t="str">
        <f>IF(Table1[[#This Row],[Std Read]]="","N/A",Table1[[#This Row],[Std Read]]+Table1[[#This Row],[Std Ucty]])</f>
        <v>N/A</v>
      </c>
      <c r="Z24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1" s="1" t="str">
        <f>IF(Table1[[#This Row],[Spec Type]]="","N/A",Table1[[#This Row],[Spec Type]])</f>
        <v>±</v>
      </c>
      <c r="AC2481" s="1" t="str">
        <f>IF(Table1[[#This Row],[Spec Type2]]="N/A","N/A",IF(AND(Table1[[#This Row],[DUT Adj Read]]&gt;=Table1[[#This Row],[Low Tol]],Table1[[#This Row],[DUT Adj Read]]&lt;=Table1[[#This Row],[High Tol]]),"Pass","Fail"))</f>
        <v>Fail</v>
      </c>
      <c r="AD2481" s="1" t="str">
        <f>IF(AND(Table1[[#This Row],[Spec Type2]]="N/A",Table1[[#This Row],[DUT Adj Read]]="N/A",Table1[[#This Row],[Std Adj Read]]="N/A"),"N/A",IF(Table1[[#This Row],[DUT Adj Read]]="N/A",IF(Table1[[#This Row],[Std Adj Read]]&gt;Table1[[#This Row],[Low Tol]],"Pass","Fail"),IF(Table1[[#This Row],[DUT Adj Read]]&gt;Table1[[#This Row],[Low Tol]],"Pass","Fail")))</f>
        <v>Pass</v>
      </c>
      <c r="AE2481" s="1" t="str">
        <f>IF(AND(Table1[[#This Row],[Spec Type2]]="N/A",Table1[[#This Row],[DUT Adj Read]]="N/A",Table1[[#This Row],[Std Adj Read]]="N/A"),"N/A",IF(Table1[[#This Row],[DUT Adj Read]]="N/A",IF(Table1[[#This Row],[Std Adj Read]]&lt;Table1[[#This Row],[High Tol]],"Pass","Fail"),IF(Table1[[#This Row],[DUT Adj Read]]&lt;Table1[[#This Row],[High Tol]],"Pass","Fail")))</f>
        <v>Fail</v>
      </c>
      <c r="AF2481" s="1" t="str">
        <f>IF(AND(Table1[[#This Row],[Spec Type2]]="N/A",Table1[[#This Row],[DUT Adj Read]]="N/A",Table1[[#This Row],[Std Adj Read]]="N/A"),"N/A",IF(Table1[[#This Row],[DUT Adj Read]]="N/A",IF(Table1[[#This Row],[Std Adj Read]]&gt;=Table1[[#This Row],[Low Tol]],"Pass","Fail"),IF(Table1[[#This Row],[DUT Adj Read]]&gt;=Table1[[#This Row],[Low Tol]],"Pass","Fail")))</f>
        <v>Pass</v>
      </c>
      <c r="AG2481" s="1" t="str">
        <f>IF(AND(Table1[[#This Row],[Spec Type2]]="N/A",Table1[[#This Row],[DUT Adj Read]]="N/A",Table1[[#This Row],[Std Adj Read]]="N/A"),"N/A",IF(Table1[[#This Row],[DUT Adj Read]]="N/A",IF(Table1[[#This Row],[Std Adj Read]]&lt;=Table1[[#This Row],[High Tol]],"Pass","Fail"),IF(Table1[[#This Row],[DUT Adj Read]]&lt;=Table1[[#This Row],[High Tol]],"Pass","Fail")))</f>
        <v>Fail</v>
      </c>
      <c r="AH24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1" s="1" t="b">
        <v>0</v>
      </c>
      <c r="AN2481" s="1" t="b">
        <v>0</v>
      </c>
      <c r="AO2481" s="1" t="b">
        <v>0</v>
      </c>
    </row>
    <row r="2482" spans="1:41" x14ac:dyDescent="0.25">
      <c r="A2482" s="10"/>
      <c r="B2482" s="10"/>
      <c r="C2482" s="10"/>
      <c r="D2482" s="10"/>
      <c r="E2482" s="10"/>
      <c r="F2482" s="10"/>
      <c r="G2482" s="10"/>
      <c r="H2482" s="10"/>
      <c r="I2482" s="1" t="str">
        <f t="shared" si="114"/>
        <v/>
      </c>
      <c r="J2482" s="1" t="s">
        <v>35</v>
      </c>
      <c r="K2482" s="1" t="str">
        <f t="shared" si="115"/>
        <v/>
      </c>
      <c r="L2482" s="1" t="str">
        <f t="shared" si="116"/>
        <v/>
      </c>
      <c r="M2482" s="1">
        <f>IF(OR(Table1[[#This Row],[Std Nom]]="",Table1[[#This Row],[Std Read]]=""),0,Table1[[#This Row],[Std Nom]]-Table1[[#This Row],[Std Read]])</f>
        <v>0</v>
      </c>
      <c r="N2482" s="1">
        <f>IF(Calculations!$F$5="ACCREDITED 17025 WITH UNCERTAINTIES",$N$10,0)</f>
        <v>0</v>
      </c>
      <c r="Q2482" s="1">
        <f>Table1[[#This Row],[High Tol]]-Table1[[#This Row],[Low Tol]]</f>
        <v>0</v>
      </c>
      <c r="R2482" s="1">
        <f>2*Table1[[#This Row],[Std Error]]</f>
        <v>0</v>
      </c>
      <c r="S2482" s="1" t="str">
        <f>IF(Table1[[#This Row],[High Tol]]="","N/A",IFERROR(ABS(Table1[[#This Row],[Tol Span]]/Table1[[#This Row],[Error Span]]),"N/A"))</f>
        <v>N/A</v>
      </c>
      <c r="T2482" s="1" t="str">
        <f>IF(OR(Table1[[#This Row],[Low Tol]]="",Table1[[#This Row],[High Tol]]=""),"Needs Analysis",IF(Table1[[#This Row],[Ratio]]&gt;=4,"Not Significant",IF(Table1[[#This Row],[Ratio]]&gt;=2,"Semi-Significant","Significant")))</f>
        <v>Needs Analysis</v>
      </c>
      <c r="W2482" s="1">
        <f>IF(Table1[[#This Row],[Cal Type]]&lt;&gt;"ACCREDITED 17025 WITH UNCERTAINTIES",0,"")</f>
        <v>0</v>
      </c>
      <c r="X2482" s="1" t="str">
        <f>IF(Table1[[#This Row],[DUT Read]]="","N/A",Table1[[#This Row],[Std Error]]+Table1[[#This Row],[DUT Read]]+Table1[[#This Row],[DUT Ucty]])</f>
        <v>N/A</v>
      </c>
      <c r="Y2482" s="1" t="str">
        <f>IF(Table1[[#This Row],[Std Read]]="","N/A",Table1[[#This Row],[Std Read]]+Table1[[#This Row],[Std Ucty]])</f>
        <v>N/A</v>
      </c>
      <c r="Z24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2" s="1" t="str">
        <f>IF(Table1[[#This Row],[Spec Type]]="","N/A",Table1[[#This Row],[Spec Type]])</f>
        <v>±</v>
      </c>
      <c r="AC2482" s="1" t="str">
        <f>IF(Table1[[#This Row],[Spec Type2]]="N/A","N/A",IF(AND(Table1[[#This Row],[DUT Adj Read]]&gt;=Table1[[#This Row],[Low Tol]],Table1[[#This Row],[DUT Adj Read]]&lt;=Table1[[#This Row],[High Tol]]),"Pass","Fail"))</f>
        <v>Fail</v>
      </c>
      <c r="AD2482" s="1" t="str">
        <f>IF(AND(Table1[[#This Row],[Spec Type2]]="N/A",Table1[[#This Row],[DUT Adj Read]]="N/A",Table1[[#This Row],[Std Adj Read]]="N/A"),"N/A",IF(Table1[[#This Row],[DUT Adj Read]]="N/A",IF(Table1[[#This Row],[Std Adj Read]]&gt;Table1[[#This Row],[Low Tol]],"Pass","Fail"),IF(Table1[[#This Row],[DUT Adj Read]]&gt;Table1[[#This Row],[Low Tol]],"Pass","Fail")))</f>
        <v>Pass</v>
      </c>
      <c r="AE2482" s="1" t="str">
        <f>IF(AND(Table1[[#This Row],[Spec Type2]]="N/A",Table1[[#This Row],[DUT Adj Read]]="N/A",Table1[[#This Row],[Std Adj Read]]="N/A"),"N/A",IF(Table1[[#This Row],[DUT Adj Read]]="N/A",IF(Table1[[#This Row],[Std Adj Read]]&lt;Table1[[#This Row],[High Tol]],"Pass","Fail"),IF(Table1[[#This Row],[DUT Adj Read]]&lt;Table1[[#This Row],[High Tol]],"Pass","Fail")))</f>
        <v>Fail</v>
      </c>
      <c r="AF2482" s="1" t="str">
        <f>IF(AND(Table1[[#This Row],[Spec Type2]]="N/A",Table1[[#This Row],[DUT Adj Read]]="N/A",Table1[[#This Row],[Std Adj Read]]="N/A"),"N/A",IF(Table1[[#This Row],[DUT Adj Read]]="N/A",IF(Table1[[#This Row],[Std Adj Read]]&gt;=Table1[[#This Row],[Low Tol]],"Pass","Fail"),IF(Table1[[#This Row],[DUT Adj Read]]&gt;=Table1[[#This Row],[Low Tol]],"Pass","Fail")))</f>
        <v>Pass</v>
      </c>
      <c r="AG2482" s="1" t="str">
        <f>IF(AND(Table1[[#This Row],[Spec Type2]]="N/A",Table1[[#This Row],[DUT Adj Read]]="N/A",Table1[[#This Row],[Std Adj Read]]="N/A"),"N/A",IF(Table1[[#This Row],[DUT Adj Read]]="N/A",IF(Table1[[#This Row],[Std Adj Read]]&lt;=Table1[[#This Row],[High Tol]],"Pass","Fail"),IF(Table1[[#This Row],[DUT Adj Read]]&lt;=Table1[[#This Row],[High Tol]],"Pass","Fail")))</f>
        <v>Fail</v>
      </c>
      <c r="AH24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2" s="1" t="b">
        <v>0</v>
      </c>
      <c r="AN2482" s="1" t="b">
        <v>0</v>
      </c>
      <c r="AO2482" s="1" t="b">
        <v>0</v>
      </c>
    </row>
    <row r="2483" spans="1:41" x14ac:dyDescent="0.25">
      <c r="A2483" s="10"/>
      <c r="B2483" s="10"/>
      <c r="C2483" s="10"/>
      <c r="D2483" s="10"/>
      <c r="E2483" s="10"/>
      <c r="F2483" s="10"/>
      <c r="G2483" s="10"/>
      <c r="H2483" s="10"/>
      <c r="I2483" s="1" t="str">
        <f t="shared" si="114"/>
        <v/>
      </c>
      <c r="J2483" s="1" t="s">
        <v>35</v>
      </c>
      <c r="K2483" s="1" t="str">
        <f t="shared" si="115"/>
        <v/>
      </c>
      <c r="L2483" s="1" t="str">
        <f t="shared" si="116"/>
        <v/>
      </c>
      <c r="M2483" s="1">
        <f>IF(OR(Table1[[#This Row],[Std Nom]]="",Table1[[#This Row],[Std Read]]=""),0,Table1[[#This Row],[Std Nom]]-Table1[[#This Row],[Std Read]])</f>
        <v>0</v>
      </c>
      <c r="N2483" s="1">
        <f>IF(Calculations!$F$5="ACCREDITED 17025 WITH UNCERTAINTIES",$N$10,0)</f>
        <v>0</v>
      </c>
      <c r="Q2483" s="1">
        <f>Table1[[#This Row],[High Tol]]-Table1[[#This Row],[Low Tol]]</f>
        <v>0</v>
      </c>
      <c r="R2483" s="1">
        <f>2*Table1[[#This Row],[Std Error]]</f>
        <v>0</v>
      </c>
      <c r="S2483" s="1" t="str">
        <f>IF(Table1[[#This Row],[High Tol]]="","N/A",IFERROR(ABS(Table1[[#This Row],[Tol Span]]/Table1[[#This Row],[Error Span]]),"N/A"))</f>
        <v>N/A</v>
      </c>
      <c r="T2483" s="1" t="str">
        <f>IF(OR(Table1[[#This Row],[Low Tol]]="",Table1[[#This Row],[High Tol]]=""),"Needs Analysis",IF(Table1[[#This Row],[Ratio]]&gt;=4,"Not Significant",IF(Table1[[#This Row],[Ratio]]&gt;=2,"Semi-Significant","Significant")))</f>
        <v>Needs Analysis</v>
      </c>
      <c r="W2483" s="1">
        <f>IF(Table1[[#This Row],[Cal Type]]&lt;&gt;"ACCREDITED 17025 WITH UNCERTAINTIES",0,"")</f>
        <v>0</v>
      </c>
      <c r="X2483" s="1" t="str">
        <f>IF(Table1[[#This Row],[DUT Read]]="","N/A",Table1[[#This Row],[Std Error]]+Table1[[#This Row],[DUT Read]]+Table1[[#This Row],[DUT Ucty]])</f>
        <v>N/A</v>
      </c>
      <c r="Y2483" s="1" t="str">
        <f>IF(Table1[[#This Row],[Std Read]]="","N/A",Table1[[#This Row],[Std Read]]+Table1[[#This Row],[Std Ucty]])</f>
        <v>N/A</v>
      </c>
      <c r="Z24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3" s="1" t="str">
        <f>IF(Table1[[#This Row],[Spec Type]]="","N/A",Table1[[#This Row],[Spec Type]])</f>
        <v>±</v>
      </c>
      <c r="AC2483" s="1" t="str">
        <f>IF(Table1[[#This Row],[Spec Type2]]="N/A","N/A",IF(AND(Table1[[#This Row],[DUT Adj Read]]&gt;=Table1[[#This Row],[Low Tol]],Table1[[#This Row],[DUT Adj Read]]&lt;=Table1[[#This Row],[High Tol]]),"Pass","Fail"))</f>
        <v>Fail</v>
      </c>
      <c r="AD2483" s="1" t="str">
        <f>IF(AND(Table1[[#This Row],[Spec Type2]]="N/A",Table1[[#This Row],[DUT Adj Read]]="N/A",Table1[[#This Row],[Std Adj Read]]="N/A"),"N/A",IF(Table1[[#This Row],[DUT Adj Read]]="N/A",IF(Table1[[#This Row],[Std Adj Read]]&gt;Table1[[#This Row],[Low Tol]],"Pass","Fail"),IF(Table1[[#This Row],[DUT Adj Read]]&gt;Table1[[#This Row],[Low Tol]],"Pass","Fail")))</f>
        <v>Pass</v>
      </c>
      <c r="AE2483" s="1" t="str">
        <f>IF(AND(Table1[[#This Row],[Spec Type2]]="N/A",Table1[[#This Row],[DUT Adj Read]]="N/A",Table1[[#This Row],[Std Adj Read]]="N/A"),"N/A",IF(Table1[[#This Row],[DUT Adj Read]]="N/A",IF(Table1[[#This Row],[Std Adj Read]]&lt;Table1[[#This Row],[High Tol]],"Pass","Fail"),IF(Table1[[#This Row],[DUT Adj Read]]&lt;Table1[[#This Row],[High Tol]],"Pass","Fail")))</f>
        <v>Fail</v>
      </c>
      <c r="AF2483" s="1" t="str">
        <f>IF(AND(Table1[[#This Row],[Spec Type2]]="N/A",Table1[[#This Row],[DUT Adj Read]]="N/A",Table1[[#This Row],[Std Adj Read]]="N/A"),"N/A",IF(Table1[[#This Row],[DUT Adj Read]]="N/A",IF(Table1[[#This Row],[Std Adj Read]]&gt;=Table1[[#This Row],[Low Tol]],"Pass","Fail"),IF(Table1[[#This Row],[DUT Adj Read]]&gt;=Table1[[#This Row],[Low Tol]],"Pass","Fail")))</f>
        <v>Pass</v>
      </c>
      <c r="AG2483" s="1" t="str">
        <f>IF(AND(Table1[[#This Row],[Spec Type2]]="N/A",Table1[[#This Row],[DUT Adj Read]]="N/A",Table1[[#This Row],[Std Adj Read]]="N/A"),"N/A",IF(Table1[[#This Row],[DUT Adj Read]]="N/A",IF(Table1[[#This Row],[Std Adj Read]]&lt;=Table1[[#This Row],[High Tol]],"Pass","Fail"),IF(Table1[[#This Row],[DUT Adj Read]]&lt;=Table1[[#This Row],[High Tol]],"Pass","Fail")))</f>
        <v>Fail</v>
      </c>
      <c r="AH24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3" s="1" t="b">
        <v>0</v>
      </c>
      <c r="AN2483" s="1" t="b">
        <v>0</v>
      </c>
      <c r="AO2483" s="1" t="b">
        <v>0</v>
      </c>
    </row>
    <row r="2484" spans="1:41" x14ac:dyDescent="0.25">
      <c r="A2484" s="10"/>
      <c r="B2484" s="10"/>
      <c r="C2484" s="10"/>
      <c r="D2484" s="10"/>
      <c r="E2484" s="10"/>
      <c r="F2484" s="10"/>
      <c r="G2484" s="10"/>
      <c r="H2484" s="10"/>
      <c r="I2484" s="1" t="str">
        <f t="shared" si="114"/>
        <v/>
      </c>
      <c r="J2484" s="1" t="s">
        <v>35</v>
      </c>
      <c r="K2484" s="1" t="str">
        <f t="shared" si="115"/>
        <v/>
      </c>
      <c r="L2484" s="1" t="str">
        <f t="shared" si="116"/>
        <v/>
      </c>
      <c r="M2484" s="1">
        <f>IF(OR(Table1[[#This Row],[Std Nom]]="",Table1[[#This Row],[Std Read]]=""),0,Table1[[#This Row],[Std Nom]]-Table1[[#This Row],[Std Read]])</f>
        <v>0</v>
      </c>
      <c r="N2484" s="1">
        <f>IF(Calculations!$F$5="ACCREDITED 17025 WITH UNCERTAINTIES",$N$10,0)</f>
        <v>0</v>
      </c>
      <c r="Q2484" s="1">
        <f>Table1[[#This Row],[High Tol]]-Table1[[#This Row],[Low Tol]]</f>
        <v>0</v>
      </c>
      <c r="R2484" s="1">
        <f>2*Table1[[#This Row],[Std Error]]</f>
        <v>0</v>
      </c>
      <c r="S2484" s="1" t="str">
        <f>IF(Table1[[#This Row],[High Tol]]="","N/A",IFERROR(ABS(Table1[[#This Row],[Tol Span]]/Table1[[#This Row],[Error Span]]),"N/A"))</f>
        <v>N/A</v>
      </c>
      <c r="T2484" s="1" t="str">
        <f>IF(OR(Table1[[#This Row],[Low Tol]]="",Table1[[#This Row],[High Tol]]=""),"Needs Analysis",IF(Table1[[#This Row],[Ratio]]&gt;=4,"Not Significant",IF(Table1[[#This Row],[Ratio]]&gt;=2,"Semi-Significant","Significant")))</f>
        <v>Needs Analysis</v>
      </c>
      <c r="W2484" s="1">
        <f>IF(Table1[[#This Row],[Cal Type]]&lt;&gt;"ACCREDITED 17025 WITH UNCERTAINTIES",0,"")</f>
        <v>0</v>
      </c>
      <c r="X2484" s="1" t="str">
        <f>IF(Table1[[#This Row],[DUT Read]]="","N/A",Table1[[#This Row],[Std Error]]+Table1[[#This Row],[DUT Read]]+Table1[[#This Row],[DUT Ucty]])</f>
        <v>N/A</v>
      </c>
      <c r="Y2484" s="1" t="str">
        <f>IF(Table1[[#This Row],[Std Read]]="","N/A",Table1[[#This Row],[Std Read]]+Table1[[#This Row],[Std Ucty]])</f>
        <v>N/A</v>
      </c>
      <c r="Z24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4" s="1" t="str">
        <f>IF(Table1[[#This Row],[Spec Type]]="","N/A",Table1[[#This Row],[Spec Type]])</f>
        <v>±</v>
      </c>
      <c r="AC2484" s="1" t="str">
        <f>IF(Table1[[#This Row],[Spec Type2]]="N/A","N/A",IF(AND(Table1[[#This Row],[DUT Adj Read]]&gt;=Table1[[#This Row],[Low Tol]],Table1[[#This Row],[DUT Adj Read]]&lt;=Table1[[#This Row],[High Tol]]),"Pass","Fail"))</f>
        <v>Fail</v>
      </c>
      <c r="AD2484" s="1" t="str">
        <f>IF(AND(Table1[[#This Row],[Spec Type2]]="N/A",Table1[[#This Row],[DUT Adj Read]]="N/A",Table1[[#This Row],[Std Adj Read]]="N/A"),"N/A",IF(Table1[[#This Row],[DUT Adj Read]]="N/A",IF(Table1[[#This Row],[Std Adj Read]]&gt;Table1[[#This Row],[Low Tol]],"Pass","Fail"),IF(Table1[[#This Row],[DUT Adj Read]]&gt;Table1[[#This Row],[Low Tol]],"Pass","Fail")))</f>
        <v>Pass</v>
      </c>
      <c r="AE2484" s="1" t="str">
        <f>IF(AND(Table1[[#This Row],[Spec Type2]]="N/A",Table1[[#This Row],[DUT Adj Read]]="N/A",Table1[[#This Row],[Std Adj Read]]="N/A"),"N/A",IF(Table1[[#This Row],[DUT Adj Read]]="N/A",IF(Table1[[#This Row],[Std Adj Read]]&lt;Table1[[#This Row],[High Tol]],"Pass","Fail"),IF(Table1[[#This Row],[DUT Adj Read]]&lt;Table1[[#This Row],[High Tol]],"Pass","Fail")))</f>
        <v>Fail</v>
      </c>
      <c r="AF2484" s="1" t="str">
        <f>IF(AND(Table1[[#This Row],[Spec Type2]]="N/A",Table1[[#This Row],[DUT Adj Read]]="N/A",Table1[[#This Row],[Std Adj Read]]="N/A"),"N/A",IF(Table1[[#This Row],[DUT Adj Read]]="N/A",IF(Table1[[#This Row],[Std Adj Read]]&gt;=Table1[[#This Row],[Low Tol]],"Pass","Fail"),IF(Table1[[#This Row],[DUT Adj Read]]&gt;=Table1[[#This Row],[Low Tol]],"Pass","Fail")))</f>
        <v>Pass</v>
      </c>
      <c r="AG2484" s="1" t="str">
        <f>IF(AND(Table1[[#This Row],[Spec Type2]]="N/A",Table1[[#This Row],[DUT Adj Read]]="N/A",Table1[[#This Row],[Std Adj Read]]="N/A"),"N/A",IF(Table1[[#This Row],[DUT Adj Read]]="N/A",IF(Table1[[#This Row],[Std Adj Read]]&lt;=Table1[[#This Row],[High Tol]],"Pass","Fail"),IF(Table1[[#This Row],[DUT Adj Read]]&lt;=Table1[[#This Row],[High Tol]],"Pass","Fail")))</f>
        <v>Fail</v>
      </c>
      <c r="AH24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4" s="1" t="b">
        <v>0</v>
      </c>
      <c r="AN2484" s="1" t="b">
        <v>0</v>
      </c>
      <c r="AO2484" s="1" t="b">
        <v>0</v>
      </c>
    </row>
    <row r="2485" spans="1:41" x14ac:dyDescent="0.25">
      <c r="A2485" s="10"/>
      <c r="B2485" s="10"/>
      <c r="C2485" s="10"/>
      <c r="D2485" s="10"/>
      <c r="E2485" s="10"/>
      <c r="F2485" s="10"/>
      <c r="G2485" s="10"/>
      <c r="H2485" s="10"/>
      <c r="I2485" s="1" t="str">
        <f t="shared" si="114"/>
        <v/>
      </c>
      <c r="J2485" s="1" t="s">
        <v>35</v>
      </c>
      <c r="K2485" s="1" t="str">
        <f t="shared" si="115"/>
        <v/>
      </c>
      <c r="L2485" s="1" t="str">
        <f t="shared" si="116"/>
        <v/>
      </c>
      <c r="M2485" s="1">
        <f>IF(OR(Table1[[#This Row],[Std Nom]]="",Table1[[#This Row],[Std Read]]=""),0,Table1[[#This Row],[Std Nom]]-Table1[[#This Row],[Std Read]])</f>
        <v>0</v>
      </c>
      <c r="N2485" s="1">
        <f>IF(Calculations!$F$5="ACCREDITED 17025 WITH UNCERTAINTIES",$N$10,0)</f>
        <v>0</v>
      </c>
      <c r="Q2485" s="1">
        <f>Table1[[#This Row],[High Tol]]-Table1[[#This Row],[Low Tol]]</f>
        <v>0</v>
      </c>
      <c r="R2485" s="1">
        <f>2*Table1[[#This Row],[Std Error]]</f>
        <v>0</v>
      </c>
      <c r="S2485" s="1" t="str">
        <f>IF(Table1[[#This Row],[High Tol]]="","N/A",IFERROR(ABS(Table1[[#This Row],[Tol Span]]/Table1[[#This Row],[Error Span]]),"N/A"))</f>
        <v>N/A</v>
      </c>
      <c r="T2485" s="1" t="str">
        <f>IF(OR(Table1[[#This Row],[Low Tol]]="",Table1[[#This Row],[High Tol]]=""),"Needs Analysis",IF(Table1[[#This Row],[Ratio]]&gt;=4,"Not Significant",IF(Table1[[#This Row],[Ratio]]&gt;=2,"Semi-Significant","Significant")))</f>
        <v>Needs Analysis</v>
      </c>
      <c r="W2485" s="1">
        <f>IF(Table1[[#This Row],[Cal Type]]&lt;&gt;"ACCREDITED 17025 WITH UNCERTAINTIES",0,"")</f>
        <v>0</v>
      </c>
      <c r="X2485" s="1" t="str">
        <f>IF(Table1[[#This Row],[DUT Read]]="","N/A",Table1[[#This Row],[Std Error]]+Table1[[#This Row],[DUT Read]]+Table1[[#This Row],[DUT Ucty]])</f>
        <v>N/A</v>
      </c>
      <c r="Y2485" s="1" t="str">
        <f>IF(Table1[[#This Row],[Std Read]]="","N/A",Table1[[#This Row],[Std Read]]+Table1[[#This Row],[Std Ucty]])</f>
        <v>N/A</v>
      </c>
      <c r="Z24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5" s="1" t="str">
        <f>IF(Table1[[#This Row],[Spec Type]]="","N/A",Table1[[#This Row],[Spec Type]])</f>
        <v>±</v>
      </c>
      <c r="AC2485" s="1" t="str">
        <f>IF(Table1[[#This Row],[Spec Type2]]="N/A","N/A",IF(AND(Table1[[#This Row],[DUT Adj Read]]&gt;=Table1[[#This Row],[Low Tol]],Table1[[#This Row],[DUT Adj Read]]&lt;=Table1[[#This Row],[High Tol]]),"Pass","Fail"))</f>
        <v>Fail</v>
      </c>
      <c r="AD2485" s="1" t="str">
        <f>IF(AND(Table1[[#This Row],[Spec Type2]]="N/A",Table1[[#This Row],[DUT Adj Read]]="N/A",Table1[[#This Row],[Std Adj Read]]="N/A"),"N/A",IF(Table1[[#This Row],[DUT Adj Read]]="N/A",IF(Table1[[#This Row],[Std Adj Read]]&gt;Table1[[#This Row],[Low Tol]],"Pass","Fail"),IF(Table1[[#This Row],[DUT Adj Read]]&gt;Table1[[#This Row],[Low Tol]],"Pass","Fail")))</f>
        <v>Pass</v>
      </c>
      <c r="AE2485" s="1" t="str">
        <f>IF(AND(Table1[[#This Row],[Spec Type2]]="N/A",Table1[[#This Row],[DUT Adj Read]]="N/A",Table1[[#This Row],[Std Adj Read]]="N/A"),"N/A",IF(Table1[[#This Row],[DUT Adj Read]]="N/A",IF(Table1[[#This Row],[Std Adj Read]]&lt;Table1[[#This Row],[High Tol]],"Pass","Fail"),IF(Table1[[#This Row],[DUT Adj Read]]&lt;Table1[[#This Row],[High Tol]],"Pass","Fail")))</f>
        <v>Fail</v>
      </c>
      <c r="AF2485" s="1" t="str">
        <f>IF(AND(Table1[[#This Row],[Spec Type2]]="N/A",Table1[[#This Row],[DUT Adj Read]]="N/A",Table1[[#This Row],[Std Adj Read]]="N/A"),"N/A",IF(Table1[[#This Row],[DUT Adj Read]]="N/A",IF(Table1[[#This Row],[Std Adj Read]]&gt;=Table1[[#This Row],[Low Tol]],"Pass","Fail"),IF(Table1[[#This Row],[DUT Adj Read]]&gt;=Table1[[#This Row],[Low Tol]],"Pass","Fail")))</f>
        <v>Pass</v>
      </c>
      <c r="AG2485" s="1" t="str">
        <f>IF(AND(Table1[[#This Row],[Spec Type2]]="N/A",Table1[[#This Row],[DUT Adj Read]]="N/A",Table1[[#This Row],[Std Adj Read]]="N/A"),"N/A",IF(Table1[[#This Row],[DUT Adj Read]]="N/A",IF(Table1[[#This Row],[Std Adj Read]]&lt;=Table1[[#This Row],[High Tol]],"Pass","Fail"),IF(Table1[[#This Row],[DUT Adj Read]]&lt;=Table1[[#This Row],[High Tol]],"Pass","Fail")))</f>
        <v>Fail</v>
      </c>
      <c r="AH24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5" s="1" t="b">
        <v>0</v>
      </c>
      <c r="AN2485" s="1" t="b">
        <v>0</v>
      </c>
      <c r="AO2485" s="1" t="b">
        <v>0</v>
      </c>
    </row>
    <row r="2486" spans="1:41" x14ac:dyDescent="0.25">
      <c r="A2486" s="10"/>
      <c r="B2486" s="10"/>
      <c r="C2486" s="10"/>
      <c r="D2486" s="10"/>
      <c r="E2486" s="10"/>
      <c r="F2486" s="10"/>
      <c r="G2486" s="10"/>
      <c r="H2486" s="10"/>
      <c r="I2486" s="1" t="str">
        <f t="shared" si="114"/>
        <v/>
      </c>
      <c r="J2486" s="1" t="s">
        <v>35</v>
      </c>
      <c r="K2486" s="1" t="str">
        <f t="shared" si="115"/>
        <v/>
      </c>
      <c r="L2486" s="1" t="str">
        <f t="shared" si="116"/>
        <v/>
      </c>
      <c r="M2486" s="1">
        <f>IF(OR(Table1[[#This Row],[Std Nom]]="",Table1[[#This Row],[Std Read]]=""),0,Table1[[#This Row],[Std Nom]]-Table1[[#This Row],[Std Read]])</f>
        <v>0</v>
      </c>
      <c r="N2486" s="1">
        <f>IF(Calculations!$F$5="ACCREDITED 17025 WITH UNCERTAINTIES",$N$10,0)</f>
        <v>0</v>
      </c>
      <c r="Q2486" s="1">
        <f>Table1[[#This Row],[High Tol]]-Table1[[#This Row],[Low Tol]]</f>
        <v>0</v>
      </c>
      <c r="R2486" s="1">
        <f>2*Table1[[#This Row],[Std Error]]</f>
        <v>0</v>
      </c>
      <c r="S2486" s="1" t="str">
        <f>IF(Table1[[#This Row],[High Tol]]="","N/A",IFERROR(ABS(Table1[[#This Row],[Tol Span]]/Table1[[#This Row],[Error Span]]),"N/A"))</f>
        <v>N/A</v>
      </c>
      <c r="T2486" s="1" t="str">
        <f>IF(OR(Table1[[#This Row],[Low Tol]]="",Table1[[#This Row],[High Tol]]=""),"Needs Analysis",IF(Table1[[#This Row],[Ratio]]&gt;=4,"Not Significant",IF(Table1[[#This Row],[Ratio]]&gt;=2,"Semi-Significant","Significant")))</f>
        <v>Needs Analysis</v>
      </c>
      <c r="W2486" s="1">
        <f>IF(Table1[[#This Row],[Cal Type]]&lt;&gt;"ACCREDITED 17025 WITH UNCERTAINTIES",0,"")</f>
        <v>0</v>
      </c>
      <c r="X2486" s="1" t="str">
        <f>IF(Table1[[#This Row],[DUT Read]]="","N/A",Table1[[#This Row],[Std Error]]+Table1[[#This Row],[DUT Read]]+Table1[[#This Row],[DUT Ucty]])</f>
        <v>N/A</v>
      </c>
      <c r="Y2486" s="1" t="str">
        <f>IF(Table1[[#This Row],[Std Read]]="","N/A",Table1[[#This Row],[Std Read]]+Table1[[#This Row],[Std Ucty]])</f>
        <v>N/A</v>
      </c>
      <c r="Z24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6" s="1" t="str">
        <f>IF(Table1[[#This Row],[Spec Type]]="","N/A",Table1[[#This Row],[Spec Type]])</f>
        <v>±</v>
      </c>
      <c r="AC2486" s="1" t="str">
        <f>IF(Table1[[#This Row],[Spec Type2]]="N/A","N/A",IF(AND(Table1[[#This Row],[DUT Adj Read]]&gt;=Table1[[#This Row],[Low Tol]],Table1[[#This Row],[DUT Adj Read]]&lt;=Table1[[#This Row],[High Tol]]),"Pass","Fail"))</f>
        <v>Fail</v>
      </c>
      <c r="AD2486" s="1" t="str">
        <f>IF(AND(Table1[[#This Row],[Spec Type2]]="N/A",Table1[[#This Row],[DUT Adj Read]]="N/A",Table1[[#This Row],[Std Adj Read]]="N/A"),"N/A",IF(Table1[[#This Row],[DUT Adj Read]]="N/A",IF(Table1[[#This Row],[Std Adj Read]]&gt;Table1[[#This Row],[Low Tol]],"Pass","Fail"),IF(Table1[[#This Row],[DUT Adj Read]]&gt;Table1[[#This Row],[Low Tol]],"Pass","Fail")))</f>
        <v>Pass</v>
      </c>
      <c r="AE2486" s="1" t="str">
        <f>IF(AND(Table1[[#This Row],[Spec Type2]]="N/A",Table1[[#This Row],[DUT Adj Read]]="N/A",Table1[[#This Row],[Std Adj Read]]="N/A"),"N/A",IF(Table1[[#This Row],[DUT Adj Read]]="N/A",IF(Table1[[#This Row],[Std Adj Read]]&lt;Table1[[#This Row],[High Tol]],"Pass","Fail"),IF(Table1[[#This Row],[DUT Adj Read]]&lt;Table1[[#This Row],[High Tol]],"Pass","Fail")))</f>
        <v>Fail</v>
      </c>
      <c r="AF2486" s="1" t="str">
        <f>IF(AND(Table1[[#This Row],[Spec Type2]]="N/A",Table1[[#This Row],[DUT Adj Read]]="N/A",Table1[[#This Row],[Std Adj Read]]="N/A"),"N/A",IF(Table1[[#This Row],[DUT Adj Read]]="N/A",IF(Table1[[#This Row],[Std Adj Read]]&gt;=Table1[[#This Row],[Low Tol]],"Pass","Fail"),IF(Table1[[#This Row],[DUT Adj Read]]&gt;=Table1[[#This Row],[Low Tol]],"Pass","Fail")))</f>
        <v>Pass</v>
      </c>
      <c r="AG2486" s="1" t="str">
        <f>IF(AND(Table1[[#This Row],[Spec Type2]]="N/A",Table1[[#This Row],[DUT Adj Read]]="N/A",Table1[[#This Row],[Std Adj Read]]="N/A"),"N/A",IF(Table1[[#This Row],[DUT Adj Read]]="N/A",IF(Table1[[#This Row],[Std Adj Read]]&lt;=Table1[[#This Row],[High Tol]],"Pass","Fail"),IF(Table1[[#This Row],[DUT Adj Read]]&lt;=Table1[[#This Row],[High Tol]],"Pass","Fail")))</f>
        <v>Fail</v>
      </c>
      <c r="AH24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6" s="1" t="b">
        <v>0</v>
      </c>
      <c r="AN2486" s="1" t="b">
        <v>0</v>
      </c>
      <c r="AO2486" s="1" t="b">
        <v>0</v>
      </c>
    </row>
    <row r="2487" spans="1:41" x14ac:dyDescent="0.25">
      <c r="A2487" s="10"/>
      <c r="B2487" s="10"/>
      <c r="C2487" s="10"/>
      <c r="D2487" s="10"/>
      <c r="E2487" s="10"/>
      <c r="F2487" s="10"/>
      <c r="G2487" s="10"/>
      <c r="H2487" s="10"/>
      <c r="I2487" s="1" t="str">
        <f t="shared" si="114"/>
        <v/>
      </c>
      <c r="J2487" s="1" t="s">
        <v>35</v>
      </c>
      <c r="K2487" s="1" t="str">
        <f t="shared" si="115"/>
        <v/>
      </c>
      <c r="L2487" s="1" t="str">
        <f t="shared" si="116"/>
        <v/>
      </c>
      <c r="M2487" s="1">
        <f>IF(OR(Table1[[#This Row],[Std Nom]]="",Table1[[#This Row],[Std Read]]=""),0,Table1[[#This Row],[Std Nom]]-Table1[[#This Row],[Std Read]])</f>
        <v>0</v>
      </c>
      <c r="N2487" s="1">
        <f>IF(Calculations!$F$5="ACCREDITED 17025 WITH UNCERTAINTIES",$N$10,0)</f>
        <v>0</v>
      </c>
      <c r="Q2487" s="1">
        <f>Table1[[#This Row],[High Tol]]-Table1[[#This Row],[Low Tol]]</f>
        <v>0</v>
      </c>
      <c r="R2487" s="1">
        <f>2*Table1[[#This Row],[Std Error]]</f>
        <v>0</v>
      </c>
      <c r="S2487" s="1" t="str">
        <f>IF(Table1[[#This Row],[High Tol]]="","N/A",IFERROR(ABS(Table1[[#This Row],[Tol Span]]/Table1[[#This Row],[Error Span]]),"N/A"))</f>
        <v>N/A</v>
      </c>
      <c r="T2487" s="1" t="str">
        <f>IF(OR(Table1[[#This Row],[Low Tol]]="",Table1[[#This Row],[High Tol]]=""),"Needs Analysis",IF(Table1[[#This Row],[Ratio]]&gt;=4,"Not Significant",IF(Table1[[#This Row],[Ratio]]&gt;=2,"Semi-Significant","Significant")))</f>
        <v>Needs Analysis</v>
      </c>
      <c r="W2487" s="1">
        <f>IF(Table1[[#This Row],[Cal Type]]&lt;&gt;"ACCREDITED 17025 WITH UNCERTAINTIES",0,"")</f>
        <v>0</v>
      </c>
      <c r="X2487" s="1" t="str">
        <f>IF(Table1[[#This Row],[DUT Read]]="","N/A",Table1[[#This Row],[Std Error]]+Table1[[#This Row],[DUT Read]]+Table1[[#This Row],[DUT Ucty]])</f>
        <v>N/A</v>
      </c>
      <c r="Y2487" s="1" t="str">
        <f>IF(Table1[[#This Row],[Std Read]]="","N/A",Table1[[#This Row],[Std Read]]+Table1[[#This Row],[Std Ucty]])</f>
        <v>N/A</v>
      </c>
      <c r="Z24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7" s="1" t="str">
        <f>IF(Table1[[#This Row],[Spec Type]]="","N/A",Table1[[#This Row],[Spec Type]])</f>
        <v>±</v>
      </c>
      <c r="AC2487" s="1" t="str">
        <f>IF(Table1[[#This Row],[Spec Type2]]="N/A","N/A",IF(AND(Table1[[#This Row],[DUT Adj Read]]&gt;=Table1[[#This Row],[Low Tol]],Table1[[#This Row],[DUT Adj Read]]&lt;=Table1[[#This Row],[High Tol]]),"Pass","Fail"))</f>
        <v>Fail</v>
      </c>
      <c r="AD2487" s="1" t="str">
        <f>IF(AND(Table1[[#This Row],[Spec Type2]]="N/A",Table1[[#This Row],[DUT Adj Read]]="N/A",Table1[[#This Row],[Std Adj Read]]="N/A"),"N/A",IF(Table1[[#This Row],[DUT Adj Read]]="N/A",IF(Table1[[#This Row],[Std Adj Read]]&gt;Table1[[#This Row],[Low Tol]],"Pass","Fail"),IF(Table1[[#This Row],[DUT Adj Read]]&gt;Table1[[#This Row],[Low Tol]],"Pass","Fail")))</f>
        <v>Pass</v>
      </c>
      <c r="AE2487" s="1" t="str">
        <f>IF(AND(Table1[[#This Row],[Spec Type2]]="N/A",Table1[[#This Row],[DUT Adj Read]]="N/A",Table1[[#This Row],[Std Adj Read]]="N/A"),"N/A",IF(Table1[[#This Row],[DUT Adj Read]]="N/A",IF(Table1[[#This Row],[Std Adj Read]]&lt;Table1[[#This Row],[High Tol]],"Pass","Fail"),IF(Table1[[#This Row],[DUT Adj Read]]&lt;Table1[[#This Row],[High Tol]],"Pass","Fail")))</f>
        <v>Fail</v>
      </c>
      <c r="AF2487" s="1" t="str">
        <f>IF(AND(Table1[[#This Row],[Spec Type2]]="N/A",Table1[[#This Row],[DUT Adj Read]]="N/A",Table1[[#This Row],[Std Adj Read]]="N/A"),"N/A",IF(Table1[[#This Row],[DUT Adj Read]]="N/A",IF(Table1[[#This Row],[Std Adj Read]]&gt;=Table1[[#This Row],[Low Tol]],"Pass","Fail"),IF(Table1[[#This Row],[DUT Adj Read]]&gt;=Table1[[#This Row],[Low Tol]],"Pass","Fail")))</f>
        <v>Pass</v>
      </c>
      <c r="AG2487" s="1" t="str">
        <f>IF(AND(Table1[[#This Row],[Spec Type2]]="N/A",Table1[[#This Row],[DUT Adj Read]]="N/A",Table1[[#This Row],[Std Adj Read]]="N/A"),"N/A",IF(Table1[[#This Row],[DUT Adj Read]]="N/A",IF(Table1[[#This Row],[Std Adj Read]]&lt;=Table1[[#This Row],[High Tol]],"Pass","Fail"),IF(Table1[[#This Row],[DUT Adj Read]]&lt;=Table1[[#This Row],[High Tol]],"Pass","Fail")))</f>
        <v>Fail</v>
      </c>
      <c r="AH24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7" s="1" t="b">
        <v>0</v>
      </c>
      <c r="AN2487" s="1" t="b">
        <v>0</v>
      </c>
      <c r="AO2487" s="1" t="b">
        <v>0</v>
      </c>
    </row>
    <row r="2488" spans="1:41" x14ac:dyDescent="0.25">
      <c r="A2488" s="10"/>
      <c r="B2488" s="10"/>
      <c r="C2488" s="10"/>
      <c r="D2488" s="10"/>
      <c r="E2488" s="10"/>
      <c r="F2488" s="10"/>
      <c r="G2488" s="10"/>
      <c r="H2488" s="10"/>
      <c r="I2488" s="1" t="str">
        <f t="shared" si="114"/>
        <v/>
      </c>
      <c r="J2488" s="1" t="s">
        <v>35</v>
      </c>
      <c r="K2488" s="1" t="str">
        <f t="shared" si="115"/>
        <v/>
      </c>
      <c r="L2488" s="1" t="str">
        <f t="shared" si="116"/>
        <v/>
      </c>
      <c r="M2488" s="1">
        <f>IF(OR(Table1[[#This Row],[Std Nom]]="",Table1[[#This Row],[Std Read]]=""),0,Table1[[#This Row],[Std Nom]]-Table1[[#This Row],[Std Read]])</f>
        <v>0</v>
      </c>
      <c r="N2488" s="1">
        <f>IF(Calculations!$F$5="ACCREDITED 17025 WITH UNCERTAINTIES",$N$10,0)</f>
        <v>0</v>
      </c>
      <c r="Q2488" s="1">
        <f>Table1[[#This Row],[High Tol]]-Table1[[#This Row],[Low Tol]]</f>
        <v>0</v>
      </c>
      <c r="R2488" s="1">
        <f>2*Table1[[#This Row],[Std Error]]</f>
        <v>0</v>
      </c>
      <c r="S2488" s="1" t="str">
        <f>IF(Table1[[#This Row],[High Tol]]="","N/A",IFERROR(ABS(Table1[[#This Row],[Tol Span]]/Table1[[#This Row],[Error Span]]),"N/A"))</f>
        <v>N/A</v>
      </c>
      <c r="T2488" s="1" t="str">
        <f>IF(OR(Table1[[#This Row],[Low Tol]]="",Table1[[#This Row],[High Tol]]=""),"Needs Analysis",IF(Table1[[#This Row],[Ratio]]&gt;=4,"Not Significant",IF(Table1[[#This Row],[Ratio]]&gt;=2,"Semi-Significant","Significant")))</f>
        <v>Needs Analysis</v>
      </c>
      <c r="W2488" s="1">
        <f>IF(Table1[[#This Row],[Cal Type]]&lt;&gt;"ACCREDITED 17025 WITH UNCERTAINTIES",0,"")</f>
        <v>0</v>
      </c>
      <c r="X2488" s="1" t="str">
        <f>IF(Table1[[#This Row],[DUT Read]]="","N/A",Table1[[#This Row],[Std Error]]+Table1[[#This Row],[DUT Read]]+Table1[[#This Row],[DUT Ucty]])</f>
        <v>N/A</v>
      </c>
      <c r="Y2488" s="1" t="str">
        <f>IF(Table1[[#This Row],[Std Read]]="","N/A",Table1[[#This Row],[Std Read]]+Table1[[#This Row],[Std Ucty]])</f>
        <v>N/A</v>
      </c>
      <c r="Z24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8" s="1" t="str">
        <f>IF(Table1[[#This Row],[Spec Type]]="","N/A",Table1[[#This Row],[Spec Type]])</f>
        <v>±</v>
      </c>
      <c r="AC2488" s="1" t="str">
        <f>IF(Table1[[#This Row],[Spec Type2]]="N/A","N/A",IF(AND(Table1[[#This Row],[DUT Adj Read]]&gt;=Table1[[#This Row],[Low Tol]],Table1[[#This Row],[DUT Adj Read]]&lt;=Table1[[#This Row],[High Tol]]),"Pass","Fail"))</f>
        <v>Fail</v>
      </c>
      <c r="AD2488" s="1" t="str">
        <f>IF(AND(Table1[[#This Row],[Spec Type2]]="N/A",Table1[[#This Row],[DUT Adj Read]]="N/A",Table1[[#This Row],[Std Adj Read]]="N/A"),"N/A",IF(Table1[[#This Row],[DUT Adj Read]]="N/A",IF(Table1[[#This Row],[Std Adj Read]]&gt;Table1[[#This Row],[Low Tol]],"Pass","Fail"),IF(Table1[[#This Row],[DUT Adj Read]]&gt;Table1[[#This Row],[Low Tol]],"Pass","Fail")))</f>
        <v>Pass</v>
      </c>
      <c r="AE2488" s="1" t="str">
        <f>IF(AND(Table1[[#This Row],[Spec Type2]]="N/A",Table1[[#This Row],[DUT Adj Read]]="N/A",Table1[[#This Row],[Std Adj Read]]="N/A"),"N/A",IF(Table1[[#This Row],[DUT Adj Read]]="N/A",IF(Table1[[#This Row],[Std Adj Read]]&lt;Table1[[#This Row],[High Tol]],"Pass","Fail"),IF(Table1[[#This Row],[DUT Adj Read]]&lt;Table1[[#This Row],[High Tol]],"Pass","Fail")))</f>
        <v>Fail</v>
      </c>
      <c r="AF2488" s="1" t="str">
        <f>IF(AND(Table1[[#This Row],[Spec Type2]]="N/A",Table1[[#This Row],[DUT Adj Read]]="N/A",Table1[[#This Row],[Std Adj Read]]="N/A"),"N/A",IF(Table1[[#This Row],[DUT Adj Read]]="N/A",IF(Table1[[#This Row],[Std Adj Read]]&gt;=Table1[[#This Row],[Low Tol]],"Pass","Fail"),IF(Table1[[#This Row],[DUT Adj Read]]&gt;=Table1[[#This Row],[Low Tol]],"Pass","Fail")))</f>
        <v>Pass</v>
      </c>
      <c r="AG2488" s="1" t="str">
        <f>IF(AND(Table1[[#This Row],[Spec Type2]]="N/A",Table1[[#This Row],[DUT Adj Read]]="N/A",Table1[[#This Row],[Std Adj Read]]="N/A"),"N/A",IF(Table1[[#This Row],[DUT Adj Read]]="N/A",IF(Table1[[#This Row],[Std Adj Read]]&lt;=Table1[[#This Row],[High Tol]],"Pass","Fail"),IF(Table1[[#This Row],[DUT Adj Read]]&lt;=Table1[[#This Row],[High Tol]],"Pass","Fail")))</f>
        <v>Fail</v>
      </c>
      <c r="AH24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8" s="1" t="b">
        <v>0</v>
      </c>
      <c r="AN2488" s="1" t="b">
        <v>0</v>
      </c>
      <c r="AO2488" s="1" t="b">
        <v>0</v>
      </c>
    </row>
    <row r="2489" spans="1:41" x14ac:dyDescent="0.25">
      <c r="A2489" s="10"/>
      <c r="B2489" s="10"/>
      <c r="C2489" s="10"/>
      <c r="D2489" s="10"/>
      <c r="E2489" s="10"/>
      <c r="F2489" s="10"/>
      <c r="G2489" s="10"/>
      <c r="H2489" s="10"/>
      <c r="I2489" s="1" t="str">
        <f t="shared" si="114"/>
        <v/>
      </c>
      <c r="J2489" s="1" t="s">
        <v>35</v>
      </c>
      <c r="K2489" s="1" t="str">
        <f t="shared" si="115"/>
        <v/>
      </c>
      <c r="L2489" s="1" t="str">
        <f t="shared" si="116"/>
        <v/>
      </c>
      <c r="M2489" s="1">
        <f>IF(OR(Table1[[#This Row],[Std Nom]]="",Table1[[#This Row],[Std Read]]=""),0,Table1[[#This Row],[Std Nom]]-Table1[[#This Row],[Std Read]])</f>
        <v>0</v>
      </c>
      <c r="N2489" s="1">
        <f>IF(Calculations!$F$5="ACCREDITED 17025 WITH UNCERTAINTIES",$N$10,0)</f>
        <v>0</v>
      </c>
      <c r="Q2489" s="1">
        <f>Table1[[#This Row],[High Tol]]-Table1[[#This Row],[Low Tol]]</f>
        <v>0</v>
      </c>
      <c r="R2489" s="1">
        <f>2*Table1[[#This Row],[Std Error]]</f>
        <v>0</v>
      </c>
      <c r="S2489" s="1" t="str">
        <f>IF(Table1[[#This Row],[High Tol]]="","N/A",IFERROR(ABS(Table1[[#This Row],[Tol Span]]/Table1[[#This Row],[Error Span]]),"N/A"))</f>
        <v>N/A</v>
      </c>
      <c r="T2489" s="1" t="str">
        <f>IF(OR(Table1[[#This Row],[Low Tol]]="",Table1[[#This Row],[High Tol]]=""),"Needs Analysis",IF(Table1[[#This Row],[Ratio]]&gt;=4,"Not Significant",IF(Table1[[#This Row],[Ratio]]&gt;=2,"Semi-Significant","Significant")))</f>
        <v>Needs Analysis</v>
      </c>
      <c r="W2489" s="1">
        <f>IF(Table1[[#This Row],[Cal Type]]&lt;&gt;"ACCREDITED 17025 WITH UNCERTAINTIES",0,"")</f>
        <v>0</v>
      </c>
      <c r="X2489" s="1" t="str">
        <f>IF(Table1[[#This Row],[DUT Read]]="","N/A",Table1[[#This Row],[Std Error]]+Table1[[#This Row],[DUT Read]]+Table1[[#This Row],[DUT Ucty]])</f>
        <v>N/A</v>
      </c>
      <c r="Y2489" s="1" t="str">
        <f>IF(Table1[[#This Row],[Std Read]]="","N/A",Table1[[#This Row],[Std Read]]+Table1[[#This Row],[Std Ucty]])</f>
        <v>N/A</v>
      </c>
      <c r="Z24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89" s="1" t="str">
        <f>IF(Table1[[#This Row],[Spec Type]]="","N/A",Table1[[#This Row],[Spec Type]])</f>
        <v>±</v>
      </c>
      <c r="AC2489" s="1" t="str">
        <f>IF(Table1[[#This Row],[Spec Type2]]="N/A","N/A",IF(AND(Table1[[#This Row],[DUT Adj Read]]&gt;=Table1[[#This Row],[Low Tol]],Table1[[#This Row],[DUT Adj Read]]&lt;=Table1[[#This Row],[High Tol]]),"Pass","Fail"))</f>
        <v>Fail</v>
      </c>
      <c r="AD2489" s="1" t="str">
        <f>IF(AND(Table1[[#This Row],[Spec Type2]]="N/A",Table1[[#This Row],[DUT Adj Read]]="N/A",Table1[[#This Row],[Std Adj Read]]="N/A"),"N/A",IF(Table1[[#This Row],[DUT Adj Read]]="N/A",IF(Table1[[#This Row],[Std Adj Read]]&gt;Table1[[#This Row],[Low Tol]],"Pass","Fail"),IF(Table1[[#This Row],[DUT Adj Read]]&gt;Table1[[#This Row],[Low Tol]],"Pass","Fail")))</f>
        <v>Pass</v>
      </c>
      <c r="AE2489" s="1" t="str">
        <f>IF(AND(Table1[[#This Row],[Spec Type2]]="N/A",Table1[[#This Row],[DUT Adj Read]]="N/A",Table1[[#This Row],[Std Adj Read]]="N/A"),"N/A",IF(Table1[[#This Row],[DUT Adj Read]]="N/A",IF(Table1[[#This Row],[Std Adj Read]]&lt;Table1[[#This Row],[High Tol]],"Pass","Fail"),IF(Table1[[#This Row],[DUT Adj Read]]&lt;Table1[[#This Row],[High Tol]],"Pass","Fail")))</f>
        <v>Fail</v>
      </c>
      <c r="AF2489" s="1" t="str">
        <f>IF(AND(Table1[[#This Row],[Spec Type2]]="N/A",Table1[[#This Row],[DUT Adj Read]]="N/A",Table1[[#This Row],[Std Adj Read]]="N/A"),"N/A",IF(Table1[[#This Row],[DUT Adj Read]]="N/A",IF(Table1[[#This Row],[Std Adj Read]]&gt;=Table1[[#This Row],[Low Tol]],"Pass","Fail"),IF(Table1[[#This Row],[DUT Adj Read]]&gt;=Table1[[#This Row],[Low Tol]],"Pass","Fail")))</f>
        <v>Pass</v>
      </c>
      <c r="AG2489" s="1" t="str">
        <f>IF(AND(Table1[[#This Row],[Spec Type2]]="N/A",Table1[[#This Row],[DUT Adj Read]]="N/A",Table1[[#This Row],[Std Adj Read]]="N/A"),"N/A",IF(Table1[[#This Row],[DUT Adj Read]]="N/A",IF(Table1[[#This Row],[Std Adj Read]]&lt;=Table1[[#This Row],[High Tol]],"Pass","Fail"),IF(Table1[[#This Row],[DUT Adj Read]]&lt;=Table1[[#This Row],[High Tol]],"Pass","Fail")))</f>
        <v>Fail</v>
      </c>
      <c r="AH24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89" s="1" t="b">
        <v>0</v>
      </c>
      <c r="AN2489" s="1" t="b">
        <v>0</v>
      </c>
      <c r="AO2489" s="1" t="b">
        <v>0</v>
      </c>
    </row>
    <row r="2490" spans="1:41" x14ac:dyDescent="0.25">
      <c r="A2490" s="10"/>
      <c r="B2490" s="10"/>
      <c r="C2490" s="10"/>
      <c r="D2490" s="10"/>
      <c r="E2490" s="10"/>
      <c r="F2490" s="10"/>
      <c r="G2490" s="10"/>
      <c r="H2490" s="10"/>
      <c r="I2490" s="1" t="str">
        <f t="shared" si="114"/>
        <v/>
      </c>
      <c r="J2490" s="1" t="s">
        <v>35</v>
      </c>
      <c r="K2490" s="1" t="str">
        <f t="shared" si="115"/>
        <v/>
      </c>
      <c r="L2490" s="1" t="str">
        <f t="shared" si="116"/>
        <v/>
      </c>
      <c r="M2490" s="1">
        <f>IF(OR(Table1[[#This Row],[Std Nom]]="",Table1[[#This Row],[Std Read]]=""),0,Table1[[#This Row],[Std Nom]]-Table1[[#This Row],[Std Read]])</f>
        <v>0</v>
      </c>
      <c r="N2490" s="1">
        <f>IF(Calculations!$F$5="ACCREDITED 17025 WITH UNCERTAINTIES",$N$10,0)</f>
        <v>0</v>
      </c>
      <c r="Q2490" s="1">
        <f>Table1[[#This Row],[High Tol]]-Table1[[#This Row],[Low Tol]]</f>
        <v>0</v>
      </c>
      <c r="R2490" s="1">
        <f>2*Table1[[#This Row],[Std Error]]</f>
        <v>0</v>
      </c>
      <c r="S2490" s="1" t="str">
        <f>IF(Table1[[#This Row],[High Tol]]="","N/A",IFERROR(ABS(Table1[[#This Row],[Tol Span]]/Table1[[#This Row],[Error Span]]),"N/A"))</f>
        <v>N/A</v>
      </c>
      <c r="T2490" s="1" t="str">
        <f>IF(OR(Table1[[#This Row],[Low Tol]]="",Table1[[#This Row],[High Tol]]=""),"Needs Analysis",IF(Table1[[#This Row],[Ratio]]&gt;=4,"Not Significant",IF(Table1[[#This Row],[Ratio]]&gt;=2,"Semi-Significant","Significant")))</f>
        <v>Needs Analysis</v>
      </c>
      <c r="W2490" s="1">
        <f>IF(Table1[[#This Row],[Cal Type]]&lt;&gt;"ACCREDITED 17025 WITH UNCERTAINTIES",0,"")</f>
        <v>0</v>
      </c>
      <c r="X2490" s="1" t="str">
        <f>IF(Table1[[#This Row],[DUT Read]]="","N/A",Table1[[#This Row],[Std Error]]+Table1[[#This Row],[DUT Read]]+Table1[[#This Row],[DUT Ucty]])</f>
        <v>N/A</v>
      </c>
      <c r="Y2490" s="1" t="str">
        <f>IF(Table1[[#This Row],[Std Read]]="","N/A",Table1[[#This Row],[Std Read]]+Table1[[#This Row],[Std Ucty]])</f>
        <v>N/A</v>
      </c>
      <c r="Z24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0" s="1" t="str">
        <f>IF(Table1[[#This Row],[Spec Type]]="","N/A",Table1[[#This Row],[Spec Type]])</f>
        <v>±</v>
      </c>
      <c r="AC2490" s="1" t="str">
        <f>IF(Table1[[#This Row],[Spec Type2]]="N/A","N/A",IF(AND(Table1[[#This Row],[DUT Adj Read]]&gt;=Table1[[#This Row],[Low Tol]],Table1[[#This Row],[DUT Adj Read]]&lt;=Table1[[#This Row],[High Tol]]),"Pass","Fail"))</f>
        <v>Fail</v>
      </c>
      <c r="AD2490" s="1" t="str">
        <f>IF(AND(Table1[[#This Row],[Spec Type2]]="N/A",Table1[[#This Row],[DUT Adj Read]]="N/A",Table1[[#This Row],[Std Adj Read]]="N/A"),"N/A",IF(Table1[[#This Row],[DUT Adj Read]]="N/A",IF(Table1[[#This Row],[Std Adj Read]]&gt;Table1[[#This Row],[Low Tol]],"Pass","Fail"),IF(Table1[[#This Row],[DUT Adj Read]]&gt;Table1[[#This Row],[Low Tol]],"Pass","Fail")))</f>
        <v>Pass</v>
      </c>
      <c r="AE2490" s="1" t="str">
        <f>IF(AND(Table1[[#This Row],[Spec Type2]]="N/A",Table1[[#This Row],[DUT Adj Read]]="N/A",Table1[[#This Row],[Std Adj Read]]="N/A"),"N/A",IF(Table1[[#This Row],[DUT Adj Read]]="N/A",IF(Table1[[#This Row],[Std Adj Read]]&lt;Table1[[#This Row],[High Tol]],"Pass","Fail"),IF(Table1[[#This Row],[DUT Adj Read]]&lt;Table1[[#This Row],[High Tol]],"Pass","Fail")))</f>
        <v>Fail</v>
      </c>
      <c r="AF2490" s="1" t="str">
        <f>IF(AND(Table1[[#This Row],[Spec Type2]]="N/A",Table1[[#This Row],[DUT Adj Read]]="N/A",Table1[[#This Row],[Std Adj Read]]="N/A"),"N/A",IF(Table1[[#This Row],[DUT Adj Read]]="N/A",IF(Table1[[#This Row],[Std Adj Read]]&gt;=Table1[[#This Row],[Low Tol]],"Pass","Fail"),IF(Table1[[#This Row],[DUT Adj Read]]&gt;=Table1[[#This Row],[Low Tol]],"Pass","Fail")))</f>
        <v>Pass</v>
      </c>
      <c r="AG2490" s="1" t="str">
        <f>IF(AND(Table1[[#This Row],[Spec Type2]]="N/A",Table1[[#This Row],[DUT Adj Read]]="N/A",Table1[[#This Row],[Std Adj Read]]="N/A"),"N/A",IF(Table1[[#This Row],[DUT Adj Read]]="N/A",IF(Table1[[#This Row],[Std Adj Read]]&lt;=Table1[[#This Row],[High Tol]],"Pass","Fail"),IF(Table1[[#This Row],[DUT Adj Read]]&lt;=Table1[[#This Row],[High Tol]],"Pass","Fail")))</f>
        <v>Fail</v>
      </c>
      <c r="AH24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0" s="1" t="b">
        <v>0</v>
      </c>
      <c r="AN2490" s="1" t="b">
        <v>0</v>
      </c>
      <c r="AO2490" s="1" t="b">
        <v>0</v>
      </c>
    </row>
    <row r="2491" spans="1:41" x14ac:dyDescent="0.25">
      <c r="A2491" s="10"/>
      <c r="B2491" s="10"/>
      <c r="C2491" s="10"/>
      <c r="D2491" s="10"/>
      <c r="E2491" s="10"/>
      <c r="F2491" s="10"/>
      <c r="G2491" s="10"/>
      <c r="H2491" s="10"/>
      <c r="I2491" s="1" t="str">
        <f t="shared" si="114"/>
        <v/>
      </c>
      <c r="J2491" s="1" t="s">
        <v>35</v>
      </c>
      <c r="K2491" s="1" t="str">
        <f t="shared" si="115"/>
        <v/>
      </c>
      <c r="L2491" s="1" t="str">
        <f t="shared" si="116"/>
        <v/>
      </c>
      <c r="M2491" s="1">
        <f>IF(OR(Table1[[#This Row],[Std Nom]]="",Table1[[#This Row],[Std Read]]=""),0,Table1[[#This Row],[Std Nom]]-Table1[[#This Row],[Std Read]])</f>
        <v>0</v>
      </c>
      <c r="N2491" s="1">
        <f>IF(Calculations!$F$5="ACCREDITED 17025 WITH UNCERTAINTIES",$N$10,0)</f>
        <v>0</v>
      </c>
      <c r="Q2491" s="1">
        <f>Table1[[#This Row],[High Tol]]-Table1[[#This Row],[Low Tol]]</f>
        <v>0</v>
      </c>
      <c r="R2491" s="1">
        <f>2*Table1[[#This Row],[Std Error]]</f>
        <v>0</v>
      </c>
      <c r="S2491" s="1" t="str">
        <f>IF(Table1[[#This Row],[High Tol]]="","N/A",IFERROR(ABS(Table1[[#This Row],[Tol Span]]/Table1[[#This Row],[Error Span]]),"N/A"))</f>
        <v>N/A</v>
      </c>
      <c r="T2491" s="1" t="str">
        <f>IF(OR(Table1[[#This Row],[Low Tol]]="",Table1[[#This Row],[High Tol]]=""),"Needs Analysis",IF(Table1[[#This Row],[Ratio]]&gt;=4,"Not Significant",IF(Table1[[#This Row],[Ratio]]&gt;=2,"Semi-Significant","Significant")))</f>
        <v>Needs Analysis</v>
      </c>
      <c r="W2491" s="1">
        <f>IF(Table1[[#This Row],[Cal Type]]&lt;&gt;"ACCREDITED 17025 WITH UNCERTAINTIES",0,"")</f>
        <v>0</v>
      </c>
      <c r="X2491" s="1" t="str">
        <f>IF(Table1[[#This Row],[DUT Read]]="","N/A",Table1[[#This Row],[Std Error]]+Table1[[#This Row],[DUT Read]]+Table1[[#This Row],[DUT Ucty]])</f>
        <v>N/A</v>
      </c>
      <c r="Y2491" s="1" t="str">
        <f>IF(Table1[[#This Row],[Std Read]]="","N/A",Table1[[#This Row],[Std Read]]+Table1[[#This Row],[Std Ucty]])</f>
        <v>N/A</v>
      </c>
      <c r="Z24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1" s="1" t="str">
        <f>IF(Table1[[#This Row],[Spec Type]]="","N/A",Table1[[#This Row],[Spec Type]])</f>
        <v>±</v>
      </c>
      <c r="AC2491" s="1" t="str">
        <f>IF(Table1[[#This Row],[Spec Type2]]="N/A","N/A",IF(AND(Table1[[#This Row],[DUT Adj Read]]&gt;=Table1[[#This Row],[Low Tol]],Table1[[#This Row],[DUT Adj Read]]&lt;=Table1[[#This Row],[High Tol]]),"Pass","Fail"))</f>
        <v>Fail</v>
      </c>
      <c r="AD2491" s="1" t="str">
        <f>IF(AND(Table1[[#This Row],[Spec Type2]]="N/A",Table1[[#This Row],[DUT Adj Read]]="N/A",Table1[[#This Row],[Std Adj Read]]="N/A"),"N/A",IF(Table1[[#This Row],[DUT Adj Read]]="N/A",IF(Table1[[#This Row],[Std Adj Read]]&gt;Table1[[#This Row],[Low Tol]],"Pass","Fail"),IF(Table1[[#This Row],[DUT Adj Read]]&gt;Table1[[#This Row],[Low Tol]],"Pass","Fail")))</f>
        <v>Pass</v>
      </c>
      <c r="AE2491" s="1" t="str">
        <f>IF(AND(Table1[[#This Row],[Spec Type2]]="N/A",Table1[[#This Row],[DUT Adj Read]]="N/A",Table1[[#This Row],[Std Adj Read]]="N/A"),"N/A",IF(Table1[[#This Row],[DUT Adj Read]]="N/A",IF(Table1[[#This Row],[Std Adj Read]]&lt;Table1[[#This Row],[High Tol]],"Pass","Fail"),IF(Table1[[#This Row],[DUT Adj Read]]&lt;Table1[[#This Row],[High Tol]],"Pass","Fail")))</f>
        <v>Fail</v>
      </c>
      <c r="AF2491" s="1" t="str">
        <f>IF(AND(Table1[[#This Row],[Spec Type2]]="N/A",Table1[[#This Row],[DUT Adj Read]]="N/A",Table1[[#This Row],[Std Adj Read]]="N/A"),"N/A",IF(Table1[[#This Row],[DUT Adj Read]]="N/A",IF(Table1[[#This Row],[Std Adj Read]]&gt;=Table1[[#This Row],[Low Tol]],"Pass","Fail"),IF(Table1[[#This Row],[DUT Adj Read]]&gt;=Table1[[#This Row],[Low Tol]],"Pass","Fail")))</f>
        <v>Pass</v>
      </c>
      <c r="AG2491" s="1" t="str">
        <f>IF(AND(Table1[[#This Row],[Spec Type2]]="N/A",Table1[[#This Row],[DUT Adj Read]]="N/A",Table1[[#This Row],[Std Adj Read]]="N/A"),"N/A",IF(Table1[[#This Row],[DUT Adj Read]]="N/A",IF(Table1[[#This Row],[Std Adj Read]]&lt;=Table1[[#This Row],[High Tol]],"Pass","Fail"),IF(Table1[[#This Row],[DUT Adj Read]]&lt;=Table1[[#This Row],[High Tol]],"Pass","Fail")))</f>
        <v>Fail</v>
      </c>
      <c r="AH24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1" s="1" t="b">
        <v>0</v>
      </c>
      <c r="AN2491" s="1" t="b">
        <v>0</v>
      </c>
      <c r="AO2491" s="1" t="b">
        <v>0</v>
      </c>
    </row>
    <row r="2492" spans="1:41" x14ac:dyDescent="0.25">
      <c r="A2492" s="10"/>
      <c r="B2492" s="10"/>
      <c r="C2492" s="10"/>
      <c r="D2492" s="10"/>
      <c r="E2492" s="10"/>
      <c r="F2492" s="10"/>
      <c r="G2492" s="10"/>
      <c r="H2492" s="10"/>
      <c r="I2492" s="1" t="str">
        <f t="shared" si="114"/>
        <v/>
      </c>
      <c r="J2492" s="1" t="s">
        <v>35</v>
      </c>
      <c r="K2492" s="1" t="str">
        <f t="shared" si="115"/>
        <v/>
      </c>
      <c r="L2492" s="1" t="str">
        <f t="shared" si="116"/>
        <v/>
      </c>
      <c r="M2492" s="1">
        <f>IF(OR(Table1[[#This Row],[Std Nom]]="",Table1[[#This Row],[Std Read]]=""),0,Table1[[#This Row],[Std Nom]]-Table1[[#This Row],[Std Read]])</f>
        <v>0</v>
      </c>
      <c r="N2492" s="1">
        <f>IF(Calculations!$F$5="ACCREDITED 17025 WITH UNCERTAINTIES",$N$10,0)</f>
        <v>0</v>
      </c>
      <c r="Q2492" s="1">
        <f>Table1[[#This Row],[High Tol]]-Table1[[#This Row],[Low Tol]]</f>
        <v>0</v>
      </c>
      <c r="R2492" s="1">
        <f>2*Table1[[#This Row],[Std Error]]</f>
        <v>0</v>
      </c>
      <c r="S2492" s="1" t="str">
        <f>IF(Table1[[#This Row],[High Tol]]="","N/A",IFERROR(ABS(Table1[[#This Row],[Tol Span]]/Table1[[#This Row],[Error Span]]),"N/A"))</f>
        <v>N/A</v>
      </c>
      <c r="T2492" s="1" t="str">
        <f>IF(OR(Table1[[#This Row],[Low Tol]]="",Table1[[#This Row],[High Tol]]=""),"Needs Analysis",IF(Table1[[#This Row],[Ratio]]&gt;=4,"Not Significant",IF(Table1[[#This Row],[Ratio]]&gt;=2,"Semi-Significant","Significant")))</f>
        <v>Needs Analysis</v>
      </c>
      <c r="W2492" s="1">
        <f>IF(Table1[[#This Row],[Cal Type]]&lt;&gt;"ACCREDITED 17025 WITH UNCERTAINTIES",0,"")</f>
        <v>0</v>
      </c>
      <c r="X2492" s="1" t="str">
        <f>IF(Table1[[#This Row],[DUT Read]]="","N/A",Table1[[#This Row],[Std Error]]+Table1[[#This Row],[DUT Read]]+Table1[[#This Row],[DUT Ucty]])</f>
        <v>N/A</v>
      </c>
      <c r="Y2492" s="1" t="str">
        <f>IF(Table1[[#This Row],[Std Read]]="","N/A",Table1[[#This Row],[Std Read]]+Table1[[#This Row],[Std Ucty]])</f>
        <v>N/A</v>
      </c>
      <c r="Z24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2" s="1" t="str">
        <f>IF(Table1[[#This Row],[Spec Type]]="","N/A",Table1[[#This Row],[Spec Type]])</f>
        <v>±</v>
      </c>
      <c r="AC2492" s="1" t="str">
        <f>IF(Table1[[#This Row],[Spec Type2]]="N/A","N/A",IF(AND(Table1[[#This Row],[DUT Adj Read]]&gt;=Table1[[#This Row],[Low Tol]],Table1[[#This Row],[DUT Adj Read]]&lt;=Table1[[#This Row],[High Tol]]),"Pass","Fail"))</f>
        <v>Fail</v>
      </c>
      <c r="AD2492" s="1" t="str">
        <f>IF(AND(Table1[[#This Row],[Spec Type2]]="N/A",Table1[[#This Row],[DUT Adj Read]]="N/A",Table1[[#This Row],[Std Adj Read]]="N/A"),"N/A",IF(Table1[[#This Row],[DUT Adj Read]]="N/A",IF(Table1[[#This Row],[Std Adj Read]]&gt;Table1[[#This Row],[Low Tol]],"Pass","Fail"),IF(Table1[[#This Row],[DUT Adj Read]]&gt;Table1[[#This Row],[Low Tol]],"Pass","Fail")))</f>
        <v>Pass</v>
      </c>
      <c r="AE2492" s="1" t="str">
        <f>IF(AND(Table1[[#This Row],[Spec Type2]]="N/A",Table1[[#This Row],[DUT Adj Read]]="N/A",Table1[[#This Row],[Std Adj Read]]="N/A"),"N/A",IF(Table1[[#This Row],[DUT Adj Read]]="N/A",IF(Table1[[#This Row],[Std Adj Read]]&lt;Table1[[#This Row],[High Tol]],"Pass","Fail"),IF(Table1[[#This Row],[DUT Adj Read]]&lt;Table1[[#This Row],[High Tol]],"Pass","Fail")))</f>
        <v>Fail</v>
      </c>
      <c r="AF2492" s="1" t="str">
        <f>IF(AND(Table1[[#This Row],[Spec Type2]]="N/A",Table1[[#This Row],[DUT Adj Read]]="N/A",Table1[[#This Row],[Std Adj Read]]="N/A"),"N/A",IF(Table1[[#This Row],[DUT Adj Read]]="N/A",IF(Table1[[#This Row],[Std Adj Read]]&gt;=Table1[[#This Row],[Low Tol]],"Pass","Fail"),IF(Table1[[#This Row],[DUT Adj Read]]&gt;=Table1[[#This Row],[Low Tol]],"Pass","Fail")))</f>
        <v>Pass</v>
      </c>
      <c r="AG2492" s="1" t="str">
        <f>IF(AND(Table1[[#This Row],[Spec Type2]]="N/A",Table1[[#This Row],[DUT Adj Read]]="N/A",Table1[[#This Row],[Std Adj Read]]="N/A"),"N/A",IF(Table1[[#This Row],[DUT Adj Read]]="N/A",IF(Table1[[#This Row],[Std Adj Read]]&lt;=Table1[[#This Row],[High Tol]],"Pass","Fail"),IF(Table1[[#This Row],[DUT Adj Read]]&lt;=Table1[[#This Row],[High Tol]],"Pass","Fail")))</f>
        <v>Fail</v>
      </c>
      <c r="AH24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2" s="1" t="b">
        <v>0</v>
      </c>
      <c r="AN2492" s="1" t="b">
        <v>0</v>
      </c>
      <c r="AO2492" s="1" t="b">
        <v>0</v>
      </c>
    </row>
    <row r="2493" spans="1:41" x14ac:dyDescent="0.25">
      <c r="A2493" s="10"/>
      <c r="B2493" s="10"/>
      <c r="C2493" s="10"/>
      <c r="D2493" s="10"/>
      <c r="E2493" s="10"/>
      <c r="F2493" s="10"/>
      <c r="G2493" s="10"/>
      <c r="H2493" s="10"/>
      <c r="I2493" s="1" t="str">
        <f t="shared" si="114"/>
        <v/>
      </c>
      <c r="J2493" s="1" t="s">
        <v>35</v>
      </c>
      <c r="K2493" s="1" t="str">
        <f t="shared" si="115"/>
        <v/>
      </c>
      <c r="L2493" s="1" t="str">
        <f t="shared" si="116"/>
        <v/>
      </c>
      <c r="M2493" s="1">
        <f>IF(OR(Table1[[#This Row],[Std Nom]]="",Table1[[#This Row],[Std Read]]=""),0,Table1[[#This Row],[Std Nom]]-Table1[[#This Row],[Std Read]])</f>
        <v>0</v>
      </c>
      <c r="N2493" s="1">
        <f>IF(Calculations!$F$5="ACCREDITED 17025 WITH UNCERTAINTIES",$N$10,0)</f>
        <v>0</v>
      </c>
      <c r="Q2493" s="1">
        <f>Table1[[#This Row],[High Tol]]-Table1[[#This Row],[Low Tol]]</f>
        <v>0</v>
      </c>
      <c r="R2493" s="1">
        <f>2*Table1[[#This Row],[Std Error]]</f>
        <v>0</v>
      </c>
      <c r="S2493" s="1" t="str">
        <f>IF(Table1[[#This Row],[High Tol]]="","N/A",IFERROR(ABS(Table1[[#This Row],[Tol Span]]/Table1[[#This Row],[Error Span]]),"N/A"))</f>
        <v>N/A</v>
      </c>
      <c r="T2493" s="1" t="str">
        <f>IF(OR(Table1[[#This Row],[Low Tol]]="",Table1[[#This Row],[High Tol]]=""),"Needs Analysis",IF(Table1[[#This Row],[Ratio]]&gt;=4,"Not Significant",IF(Table1[[#This Row],[Ratio]]&gt;=2,"Semi-Significant","Significant")))</f>
        <v>Needs Analysis</v>
      </c>
      <c r="W2493" s="1">
        <f>IF(Table1[[#This Row],[Cal Type]]&lt;&gt;"ACCREDITED 17025 WITH UNCERTAINTIES",0,"")</f>
        <v>0</v>
      </c>
      <c r="X2493" s="1" t="str">
        <f>IF(Table1[[#This Row],[DUT Read]]="","N/A",Table1[[#This Row],[Std Error]]+Table1[[#This Row],[DUT Read]]+Table1[[#This Row],[DUT Ucty]])</f>
        <v>N/A</v>
      </c>
      <c r="Y2493" s="1" t="str">
        <f>IF(Table1[[#This Row],[Std Read]]="","N/A",Table1[[#This Row],[Std Read]]+Table1[[#This Row],[Std Ucty]])</f>
        <v>N/A</v>
      </c>
      <c r="Z24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3" s="1" t="str">
        <f>IF(Table1[[#This Row],[Spec Type]]="","N/A",Table1[[#This Row],[Spec Type]])</f>
        <v>±</v>
      </c>
      <c r="AC2493" s="1" t="str">
        <f>IF(Table1[[#This Row],[Spec Type2]]="N/A","N/A",IF(AND(Table1[[#This Row],[DUT Adj Read]]&gt;=Table1[[#This Row],[Low Tol]],Table1[[#This Row],[DUT Adj Read]]&lt;=Table1[[#This Row],[High Tol]]),"Pass","Fail"))</f>
        <v>Fail</v>
      </c>
      <c r="AD2493" s="1" t="str">
        <f>IF(AND(Table1[[#This Row],[Spec Type2]]="N/A",Table1[[#This Row],[DUT Adj Read]]="N/A",Table1[[#This Row],[Std Adj Read]]="N/A"),"N/A",IF(Table1[[#This Row],[DUT Adj Read]]="N/A",IF(Table1[[#This Row],[Std Adj Read]]&gt;Table1[[#This Row],[Low Tol]],"Pass","Fail"),IF(Table1[[#This Row],[DUT Adj Read]]&gt;Table1[[#This Row],[Low Tol]],"Pass","Fail")))</f>
        <v>Pass</v>
      </c>
      <c r="AE2493" s="1" t="str">
        <f>IF(AND(Table1[[#This Row],[Spec Type2]]="N/A",Table1[[#This Row],[DUT Adj Read]]="N/A",Table1[[#This Row],[Std Adj Read]]="N/A"),"N/A",IF(Table1[[#This Row],[DUT Adj Read]]="N/A",IF(Table1[[#This Row],[Std Adj Read]]&lt;Table1[[#This Row],[High Tol]],"Pass","Fail"),IF(Table1[[#This Row],[DUT Adj Read]]&lt;Table1[[#This Row],[High Tol]],"Pass","Fail")))</f>
        <v>Fail</v>
      </c>
      <c r="AF2493" s="1" t="str">
        <f>IF(AND(Table1[[#This Row],[Spec Type2]]="N/A",Table1[[#This Row],[DUT Adj Read]]="N/A",Table1[[#This Row],[Std Adj Read]]="N/A"),"N/A",IF(Table1[[#This Row],[DUT Adj Read]]="N/A",IF(Table1[[#This Row],[Std Adj Read]]&gt;=Table1[[#This Row],[Low Tol]],"Pass","Fail"),IF(Table1[[#This Row],[DUT Adj Read]]&gt;=Table1[[#This Row],[Low Tol]],"Pass","Fail")))</f>
        <v>Pass</v>
      </c>
      <c r="AG2493" s="1" t="str">
        <f>IF(AND(Table1[[#This Row],[Spec Type2]]="N/A",Table1[[#This Row],[DUT Adj Read]]="N/A",Table1[[#This Row],[Std Adj Read]]="N/A"),"N/A",IF(Table1[[#This Row],[DUT Adj Read]]="N/A",IF(Table1[[#This Row],[Std Adj Read]]&lt;=Table1[[#This Row],[High Tol]],"Pass","Fail"),IF(Table1[[#This Row],[DUT Adj Read]]&lt;=Table1[[#This Row],[High Tol]],"Pass","Fail")))</f>
        <v>Fail</v>
      </c>
      <c r="AH24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3" s="1" t="b">
        <v>0</v>
      </c>
      <c r="AN2493" s="1" t="b">
        <v>0</v>
      </c>
      <c r="AO2493" s="1" t="b">
        <v>0</v>
      </c>
    </row>
    <row r="2494" spans="1:41" x14ac:dyDescent="0.25">
      <c r="A2494" s="10"/>
      <c r="B2494" s="10"/>
      <c r="C2494" s="10"/>
      <c r="D2494" s="10"/>
      <c r="E2494" s="10"/>
      <c r="F2494" s="10"/>
      <c r="G2494" s="10"/>
      <c r="H2494" s="10"/>
      <c r="I2494" s="1" t="str">
        <f t="shared" si="114"/>
        <v/>
      </c>
      <c r="J2494" s="1" t="s">
        <v>35</v>
      </c>
      <c r="K2494" s="1" t="str">
        <f t="shared" si="115"/>
        <v/>
      </c>
      <c r="L2494" s="1" t="str">
        <f t="shared" si="116"/>
        <v/>
      </c>
      <c r="M2494" s="1">
        <f>IF(OR(Table1[[#This Row],[Std Nom]]="",Table1[[#This Row],[Std Read]]=""),0,Table1[[#This Row],[Std Nom]]-Table1[[#This Row],[Std Read]])</f>
        <v>0</v>
      </c>
      <c r="N2494" s="1">
        <f>IF(Calculations!$F$5="ACCREDITED 17025 WITH UNCERTAINTIES",$N$10,0)</f>
        <v>0</v>
      </c>
      <c r="Q2494" s="1">
        <f>Table1[[#This Row],[High Tol]]-Table1[[#This Row],[Low Tol]]</f>
        <v>0</v>
      </c>
      <c r="R2494" s="1">
        <f>2*Table1[[#This Row],[Std Error]]</f>
        <v>0</v>
      </c>
      <c r="S2494" s="1" t="str">
        <f>IF(Table1[[#This Row],[High Tol]]="","N/A",IFERROR(ABS(Table1[[#This Row],[Tol Span]]/Table1[[#This Row],[Error Span]]),"N/A"))</f>
        <v>N/A</v>
      </c>
      <c r="T2494" s="1" t="str">
        <f>IF(OR(Table1[[#This Row],[Low Tol]]="",Table1[[#This Row],[High Tol]]=""),"Needs Analysis",IF(Table1[[#This Row],[Ratio]]&gt;=4,"Not Significant",IF(Table1[[#This Row],[Ratio]]&gt;=2,"Semi-Significant","Significant")))</f>
        <v>Needs Analysis</v>
      </c>
      <c r="W2494" s="1">
        <f>IF(Table1[[#This Row],[Cal Type]]&lt;&gt;"ACCREDITED 17025 WITH UNCERTAINTIES",0,"")</f>
        <v>0</v>
      </c>
      <c r="X2494" s="1" t="str">
        <f>IF(Table1[[#This Row],[DUT Read]]="","N/A",Table1[[#This Row],[Std Error]]+Table1[[#This Row],[DUT Read]]+Table1[[#This Row],[DUT Ucty]])</f>
        <v>N/A</v>
      </c>
      <c r="Y2494" s="1" t="str">
        <f>IF(Table1[[#This Row],[Std Read]]="","N/A",Table1[[#This Row],[Std Read]]+Table1[[#This Row],[Std Ucty]])</f>
        <v>N/A</v>
      </c>
      <c r="Z24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4" s="1" t="str">
        <f>IF(Table1[[#This Row],[Spec Type]]="","N/A",Table1[[#This Row],[Spec Type]])</f>
        <v>±</v>
      </c>
      <c r="AC2494" s="1" t="str">
        <f>IF(Table1[[#This Row],[Spec Type2]]="N/A","N/A",IF(AND(Table1[[#This Row],[DUT Adj Read]]&gt;=Table1[[#This Row],[Low Tol]],Table1[[#This Row],[DUT Adj Read]]&lt;=Table1[[#This Row],[High Tol]]),"Pass","Fail"))</f>
        <v>Fail</v>
      </c>
      <c r="AD2494" s="1" t="str">
        <f>IF(AND(Table1[[#This Row],[Spec Type2]]="N/A",Table1[[#This Row],[DUT Adj Read]]="N/A",Table1[[#This Row],[Std Adj Read]]="N/A"),"N/A",IF(Table1[[#This Row],[DUT Adj Read]]="N/A",IF(Table1[[#This Row],[Std Adj Read]]&gt;Table1[[#This Row],[Low Tol]],"Pass","Fail"),IF(Table1[[#This Row],[DUT Adj Read]]&gt;Table1[[#This Row],[Low Tol]],"Pass","Fail")))</f>
        <v>Pass</v>
      </c>
      <c r="AE2494" s="1" t="str">
        <f>IF(AND(Table1[[#This Row],[Spec Type2]]="N/A",Table1[[#This Row],[DUT Adj Read]]="N/A",Table1[[#This Row],[Std Adj Read]]="N/A"),"N/A",IF(Table1[[#This Row],[DUT Adj Read]]="N/A",IF(Table1[[#This Row],[Std Adj Read]]&lt;Table1[[#This Row],[High Tol]],"Pass","Fail"),IF(Table1[[#This Row],[DUT Adj Read]]&lt;Table1[[#This Row],[High Tol]],"Pass","Fail")))</f>
        <v>Fail</v>
      </c>
      <c r="AF2494" s="1" t="str">
        <f>IF(AND(Table1[[#This Row],[Spec Type2]]="N/A",Table1[[#This Row],[DUT Adj Read]]="N/A",Table1[[#This Row],[Std Adj Read]]="N/A"),"N/A",IF(Table1[[#This Row],[DUT Adj Read]]="N/A",IF(Table1[[#This Row],[Std Adj Read]]&gt;=Table1[[#This Row],[Low Tol]],"Pass","Fail"),IF(Table1[[#This Row],[DUT Adj Read]]&gt;=Table1[[#This Row],[Low Tol]],"Pass","Fail")))</f>
        <v>Pass</v>
      </c>
      <c r="AG2494" s="1" t="str">
        <f>IF(AND(Table1[[#This Row],[Spec Type2]]="N/A",Table1[[#This Row],[DUT Adj Read]]="N/A",Table1[[#This Row],[Std Adj Read]]="N/A"),"N/A",IF(Table1[[#This Row],[DUT Adj Read]]="N/A",IF(Table1[[#This Row],[Std Adj Read]]&lt;=Table1[[#This Row],[High Tol]],"Pass","Fail"),IF(Table1[[#This Row],[DUT Adj Read]]&lt;=Table1[[#This Row],[High Tol]],"Pass","Fail")))</f>
        <v>Fail</v>
      </c>
      <c r="AH24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4" s="1" t="b">
        <v>0</v>
      </c>
      <c r="AN2494" s="1" t="b">
        <v>0</v>
      </c>
      <c r="AO2494" s="1" t="b">
        <v>0</v>
      </c>
    </row>
    <row r="2495" spans="1:41" x14ac:dyDescent="0.25">
      <c r="A2495" s="10"/>
      <c r="B2495" s="10"/>
      <c r="C2495" s="10"/>
      <c r="D2495" s="10"/>
      <c r="E2495" s="10"/>
      <c r="F2495" s="10"/>
      <c r="G2495" s="10"/>
      <c r="H2495" s="10"/>
      <c r="I2495" s="1" t="str">
        <f t="shared" si="114"/>
        <v/>
      </c>
      <c r="J2495" s="1" t="s">
        <v>35</v>
      </c>
      <c r="K2495" s="1" t="str">
        <f t="shared" si="115"/>
        <v/>
      </c>
      <c r="L2495" s="1" t="str">
        <f t="shared" si="116"/>
        <v/>
      </c>
      <c r="M2495" s="1">
        <f>IF(OR(Table1[[#This Row],[Std Nom]]="",Table1[[#This Row],[Std Read]]=""),0,Table1[[#This Row],[Std Nom]]-Table1[[#This Row],[Std Read]])</f>
        <v>0</v>
      </c>
      <c r="N2495" s="1">
        <f>IF(Calculations!$F$5="ACCREDITED 17025 WITH UNCERTAINTIES",$N$10,0)</f>
        <v>0</v>
      </c>
      <c r="Q2495" s="1">
        <f>Table1[[#This Row],[High Tol]]-Table1[[#This Row],[Low Tol]]</f>
        <v>0</v>
      </c>
      <c r="R2495" s="1">
        <f>2*Table1[[#This Row],[Std Error]]</f>
        <v>0</v>
      </c>
      <c r="S2495" s="1" t="str">
        <f>IF(Table1[[#This Row],[High Tol]]="","N/A",IFERROR(ABS(Table1[[#This Row],[Tol Span]]/Table1[[#This Row],[Error Span]]),"N/A"))</f>
        <v>N/A</v>
      </c>
      <c r="T2495" s="1" t="str">
        <f>IF(OR(Table1[[#This Row],[Low Tol]]="",Table1[[#This Row],[High Tol]]=""),"Needs Analysis",IF(Table1[[#This Row],[Ratio]]&gt;=4,"Not Significant",IF(Table1[[#This Row],[Ratio]]&gt;=2,"Semi-Significant","Significant")))</f>
        <v>Needs Analysis</v>
      </c>
      <c r="W2495" s="1">
        <f>IF(Table1[[#This Row],[Cal Type]]&lt;&gt;"ACCREDITED 17025 WITH UNCERTAINTIES",0,"")</f>
        <v>0</v>
      </c>
      <c r="X2495" s="1" t="str">
        <f>IF(Table1[[#This Row],[DUT Read]]="","N/A",Table1[[#This Row],[Std Error]]+Table1[[#This Row],[DUT Read]]+Table1[[#This Row],[DUT Ucty]])</f>
        <v>N/A</v>
      </c>
      <c r="Y2495" s="1" t="str">
        <f>IF(Table1[[#This Row],[Std Read]]="","N/A",Table1[[#This Row],[Std Read]]+Table1[[#This Row],[Std Ucty]])</f>
        <v>N/A</v>
      </c>
      <c r="Z24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5" s="1" t="str">
        <f>IF(Table1[[#This Row],[Spec Type]]="","N/A",Table1[[#This Row],[Spec Type]])</f>
        <v>±</v>
      </c>
      <c r="AC2495" s="1" t="str">
        <f>IF(Table1[[#This Row],[Spec Type2]]="N/A","N/A",IF(AND(Table1[[#This Row],[DUT Adj Read]]&gt;=Table1[[#This Row],[Low Tol]],Table1[[#This Row],[DUT Adj Read]]&lt;=Table1[[#This Row],[High Tol]]),"Pass","Fail"))</f>
        <v>Fail</v>
      </c>
      <c r="AD2495" s="1" t="str">
        <f>IF(AND(Table1[[#This Row],[Spec Type2]]="N/A",Table1[[#This Row],[DUT Adj Read]]="N/A",Table1[[#This Row],[Std Adj Read]]="N/A"),"N/A",IF(Table1[[#This Row],[DUT Adj Read]]="N/A",IF(Table1[[#This Row],[Std Adj Read]]&gt;Table1[[#This Row],[Low Tol]],"Pass","Fail"),IF(Table1[[#This Row],[DUT Adj Read]]&gt;Table1[[#This Row],[Low Tol]],"Pass","Fail")))</f>
        <v>Pass</v>
      </c>
      <c r="AE2495" s="1" t="str">
        <f>IF(AND(Table1[[#This Row],[Spec Type2]]="N/A",Table1[[#This Row],[DUT Adj Read]]="N/A",Table1[[#This Row],[Std Adj Read]]="N/A"),"N/A",IF(Table1[[#This Row],[DUT Adj Read]]="N/A",IF(Table1[[#This Row],[Std Adj Read]]&lt;Table1[[#This Row],[High Tol]],"Pass","Fail"),IF(Table1[[#This Row],[DUT Adj Read]]&lt;Table1[[#This Row],[High Tol]],"Pass","Fail")))</f>
        <v>Fail</v>
      </c>
      <c r="AF2495" s="1" t="str">
        <f>IF(AND(Table1[[#This Row],[Spec Type2]]="N/A",Table1[[#This Row],[DUT Adj Read]]="N/A",Table1[[#This Row],[Std Adj Read]]="N/A"),"N/A",IF(Table1[[#This Row],[DUT Adj Read]]="N/A",IF(Table1[[#This Row],[Std Adj Read]]&gt;=Table1[[#This Row],[Low Tol]],"Pass","Fail"),IF(Table1[[#This Row],[DUT Adj Read]]&gt;=Table1[[#This Row],[Low Tol]],"Pass","Fail")))</f>
        <v>Pass</v>
      </c>
      <c r="AG2495" s="1" t="str">
        <f>IF(AND(Table1[[#This Row],[Spec Type2]]="N/A",Table1[[#This Row],[DUT Adj Read]]="N/A",Table1[[#This Row],[Std Adj Read]]="N/A"),"N/A",IF(Table1[[#This Row],[DUT Adj Read]]="N/A",IF(Table1[[#This Row],[Std Adj Read]]&lt;=Table1[[#This Row],[High Tol]],"Pass","Fail"),IF(Table1[[#This Row],[DUT Adj Read]]&lt;=Table1[[#This Row],[High Tol]],"Pass","Fail")))</f>
        <v>Fail</v>
      </c>
      <c r="AH24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5" s="1" t="b">
        <v>0</v>
      </c>
      <c r="AN2495" s="1" t="b">
        <v>0</v>
      </c>
      <c r="AO2495" s="1" t="b">
        <v>0</v>
      </c>
    </row>
    <row r="2496" spans="1:41" x14ac:dyDescent="0.25">
      <c r="A2496" s="10"/>
      <c r="B2496" s="10"/>
      <c r="C2496" s="10"/>
      <c r="D2496" s="10"/>
      <c r="E2496" s="10"/>
      <c r="F2496" s="10"/>
      <c r="G2496" s="10"/>
      <c r="H2496" s="10"/>
      <c r="I2496" s="1" t="str">
        <f t="shared" si="114"/>
        <v/>
      </c>
      <c r="J2496" s="1" t="s">
        <v>35</v>
      </c>
      <c r="K2496" s="1" t="str">
        <f t="shared" si="115"/>
        <v/>
      </c>
      <c r="L2496" s="1" t="str">
        <f t="shared" si="116"/>
        <v/>
      </c>
      <c r="M2496" s="1">
        <f>IF(OR(Table1[[#This Row],[Std Nom]]="",Table1[[#This Row],[Std Read]]=""),0,Table1[[#This Row],[Std Nom]]-Table1[[#This Row],[Std Read]])</f>
        <v>0</v>
      </c>
      <c r="N2496" s="1">
        <f>IF(Calculations!$F$5="ACCREDITED 17025 WITH UNCERTAINTIES",$N$10,0)</f>
        <v>0</v>
      </c>
      <c r="Q2496" s="1">
        <f>Table1[[#This Row],[High Tol]]-Table1[[#This Row],[Low Tol]]</f>
        <v>0</v>
      </c>
      <c r="R2496" s="1">
        <f>2*Table1[[#This Row],[Std Error]]</f>
        <v>0</v>
      </c>
      <c r="S2496" s="1" t="str">
        <f>IF(Table1[[#This Row],[High Tol]]="","N/A",IFERROR(ABS(Table1[[#This Row],[Tol Span]]/Table1[[#This Row],[Error Span]]),"N/A"))</f>
        <v>N/A</v>
      </c>
      <c r="T2496" s="1" t="str">
        <f>IF(OR(Table1[[#This Row],[Low Tol]]="",Table1[[#This Row],[High Tol]]=""),"Needs Analysis",IF(Table1[[#This Row],[Ratio]]&gt;=4,"Not Significant",IF(Table1[[#This Row],[Ratio]]&gt;=2,"Semi-Significant","Significant")))</f>
        <v>Needs Analysis</v>
      </c>
      <c r="W2496" s="1">
        <f>IF(Table1[[#This Row],[Cal Type]]&lt;&gt;"ACCREDITED 17025 WITH UNCERTAINTIES",0,"")</f>
        <v>0</v>
      </c>
      <c r="X2496" s="1" t="str">
        <f>IF(Table1[[#This Row],[DUT Read]]="","N/A",Table1[[#This Row],[Std Error]]+Table1[[#This Row],[DUT Read]]+Table1[[#This Row],[DUT Ucty]])</f>
        <v>N/A</v>
      </c>
      <c r="Y2496" s="1" t="str">
        <f>IF(Table1[[#This Row],[Std Read]]="","N/A",Table1[[#This Row],[Std Read]]+Table1[[#This Row],[Std Ucty]])</f>
        <v>N/A</v>
      </c>
      <c r="Z24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6" s="1" t="str">
        <f>IF(Table1[[#This Row],[Spec Type]]="","N/A",Table1[[#This Row],[Spec Type]])</f>
        <v>±</v>
      </c>
      <c r="AC2496" s="1" t="str">
        <f>IF(Table1[[#This Row],[Spec Type2]]="N/A","N/A",IF(AND(Table1[[#This Row],[DUT Adj Read]]&gt;=Table1[[#This Row],[Low Tol]],Table1[[#This Row],[DUT Adj Read]]&lt;=Table1[[#This Row],[High Tol]]),"Pass","Fail"))</f>
        <v>Fail</v>
      </c>
      <c r="AD2496" s="1" t="str">
        <f>IF(AND(Table1[[#This Row],[Spec Type2]]="N/A",Table1[[#This Row],[DUT Adj Read]]="N/A",Table1[[#This Row],[Std Adj Read]]="N/A"),"N/A",IF(Table1[[#This Row],[DUT Adj Read]]="N/A",IF(Table1[[#This Row],[Std Adj Read]]&gt;Table1[[#This Row],[Low Tol]],"Pass","Fail"),IF(Table1[[#This Row],[DUT Adj Read]]&gt;Table1[[#This Row],[Low Tol]],"Pass","Fail")))</f>
        <v>Pass</v>
      </c>
      <c r="AE2496" s="1" t="str">
        <f>IF(AND(Table1[[#This Row],[Spec Type2]]="N/A",Table1[[#This Row],[DUT Adj Read]]="N/A",Table1[[#This Row],[Std Adj Read]]="N/A"),"N/A",IF(Table1[[#This Row],[DUT Adj Read]]="N/A",IF(Table1[[#This Row],[Std Adj Read]]&lt;Table1[[#This Row],[High Tol]],"Pass","Fail"),IF(Table1[[#This Row],[DUT Adj Read]]&lt;Table1[[#This Row],[High Tol]],"Pass","Fail")))</f>
        <v>Fail</v>
      </c>
      <c r="AF2496" s="1" t="str">
        <f>IF(AND(Table1[[#This Row],[Spec Type2]]="N/A",Table1[[#This Row],[DUT Adj Read]]="N/A",Table1[[#This Row],[Std Adj Read]]="N/A"),"N/A",IF(Table1[[#This Row],[DUT Adj Read]]="N/A",IF(Table1[[#This Row],[Std Adj Read]]&gt;=Table1[[#This Row],[Low Tol]],"Pass","Fail"),IF(Table1[[#This Row],[DUT Adj Read]]&gt;=Table1[[#This Row],[Low Tol]],"Pass","Fail")))</f>
        <v>Pass</v>
      </c>
      <c r="AG2496" s="1" t="str">
        <f>IF(AND(Table1[[#This Row],[Spec Type2]]="N/A",Table1[[#This Row],[DUT Adj Read]]="N/A",Table1[[#This Row],[Std Adj Read]]="N/A"),"N/A",IF(Table1[[#This Row],[DUT Adj Read]]="N/A",IF(Table1[[#This Row],[Std Adj Read]]&lt;=Table1[[#This Row],[High Tol]],"Pass","Fail"),IF(Table1[[#This Row],[DUT Adj Read]]&lt;=Table1[[#This Row],[High Tol]],"Pass","Fail")))</f>
        <v>Fail</v>
      </c>
      <c r="AH24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6" s="1" t="b">
        <v>0</v>
      </c>
      <c r="AN2496" s="1" t="b">
        <v>0</v>
      </c>
      <c r="AO2496" s="1" t="b">
        <v>0</v>
      </c>
    </row>
    <row r="2497" spans="1:41" x14ac:dyDescent="0.25">
      <c r="A2497" s="10"/>
      <c r="B2497" s="10"/>
      <c r="C2497" s="10"/>
      <c r="D2497" s="10"/>
      <c r="E2497" s="10"/>
      <c r="F2497" s="10"/>
      <c r="G2497" s="10"/>
      <c r="H2497" s="10"/>
      <c r="I2497" s="1" t="str">
        <f t="shared" si="114"/>
        <v/>
      </c>
      <c r="J2497" s="1" t="s">
        <v>35</v>
      </c>
      <c r="K2497" s="1" t="str">
        <f t="shared" si="115"/>
        <v/>
      </c>
      <c r="L2497" s="1" t="str">
        <f t="shared" si="116"/>
        <v/>
      </c>
      <c r="M2497" s="1">
        <f>IF(OR(Table1[[#This Row],[Std Nom]]="",Table1[[#This Row],[Std Read]]=""),0,Table1[[#This Row],[Std Nom]]-Table1[[#This Row],[Std Read]])</f>
        <v>0</v>
      </c>
      <c r="N2497" s="1">
        <f>IF(Calculations!$F$5="ACCREDITED 17025 WITH UNCERTAINTIES",$N$10,0)</f>
        <v>0</v>
      </c>
      <c r="Q2497" s="1">
        <f>Table1[[#This Row],[High Tol]]-Table1[[#This Row],[Low Tol]]</f>
        <v>0</v>
      </c>
      <c r="R2497" s="1">
        <f>2*Table1[[#This Row],[Std Error]]</f>
        <v>0</v>
      </c>
      <c r="S2497" s="1" t="str">
        <f>IF(Table1[[#This Row],[High Tol]]="","N/A",IFERROR(ABS(Table1[[#This Row],[Tol Span]]/Table1[[#This Row],[Error Span]]),"N/A"))</f>
        <v>N/A</v>
      </c>
      <c r="T2497" s="1" t="str">
        <f>IF(OR(Table1[[#This Row],[Low Tol]]="",Table1[[#This Row],[High Tol]]=""),"Needs Analysis",IF(Table1[[#This Row],[Ratio]]&gt;=4,"Not Significant",IF(Table1[[#This Row],[Ratio]]&gt;=2,"Semi-Significant","Significant")))</f>
        <v>Needs Analysis</v>
      </c>
      <c r="W2497" s="1">
        <f>IF(Table1[[#This Row],[Cal Type]]&lt;&gt;"ACCREDITED 17025 WITH UNCERTAINTIES",0,"")</f>
        <v>0</v>
      </c>
      <c r="X2497" s="1" t="str">
        <f>IF(Table1[[#This Row],[DUT Read]]="","N/A",Table1[[#This Row],[Std Error]]+Table1[[#This Row],[DUT Read]]+Table1[[#This Row],[DUT Ucty]])</f>
        <v>N/A</v>
      </c>
      <c r="Y2497" s="1" t="str">
        <f>IF(Table1[[#This Row],[Std Read]]="","N/A",Table1[[#This Row],[Std Read]]+Table1[[#This Row],[Std Ucty]])</f>
        <v>N/A</v>
      </c>
      <c r="Z24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7" s="1" t="str">
        <f>IF(Table1[[#This Row],[Spec Type]]="","N/A",Table1[[#This Row],[Spec Type]])</f>
        <v>±</v>
      </c>
      <c r="AC2497" s="1" t="str">
        <f>IF(Table1[[#This Row],[Spec Type2]]="N/A","N/A",IF(AND(Table1[[#This Row],[DUT Adj Read]]&gt;=Table1[[#This Row],[Low Tol]],Table1[[#This Row],[DUT Adj Read]]&lt;=Table1[[#This Row],[High Tol]]),"Pass","Fail"))</f>
        <v>Fail</v>
      </c>
      <c r="AD2497" s="1" t="str">
        <f>IF(AND(Table1[[#This Row],[Spec Type2]]="N/A",Table1[[#This Row],[DUT Adj Read]]="N/A",Table1[[#This Row],[Std Adj Read]]="N/A"),"N/A",IF(Table1[[#This Row],[DUT Adj Read]]="N/A",IF(Table1[[#This Row],[Std Adj Read]]&gt;Table1[[#This Row],[Low Tol]],"Pass","Fail"),IF(Table1[[#This Row],[DUT Adj Read]]&gt;Table1[[#This Row],[Low Tol]],"Pass","Fail")))</f>
        <v>Pass</v>
      </c>
      <c r="AE2497" s="1" t="str">
        <f>IF(AND(Table1[[#This Row],[Spec Type2]]="N/A",Table1[[#This Row],[DUT Adj Read]]="N/A",Table1[[#This Row],[Std Adj Read]]="N/A"),"N/A",IF(Table1[[#This Row],[DUT Adj Read]]="N/A",IF(Table1[[#This Row],[Std Adj Read]]&lt;Table1[[#This Row],[High Tol]],"Pass","Fail"),IF(Table1[[#This Row],[DUT Adj Read]]&lt;Table1[[#This Row],[High Tol]],"Pass","Fail")))</f>
        <v>Fail</v>
      </c>
      <c r="AF2497" s="1" t="str">
        <f>IF(AND(Table1[[#This Row],[Spec Type2]]="N/A",Table1[[#This Row],[DUT Adj Read]]="N/A",Table1[[#This Row],[Std Adj Read]]="N/A"),"N/A",IF(Table1[[#This Row],[DUT Adj Read]]="N/A",IF(Table1[[#This Row],[Std Adj Read]]&gt;=Table1[[#This Row],[Low Tol]],"Pass","Fail"),IF(Table1[[#This Row],[DUT Adj Read]]&gt;=Table1[[#This Row],[Low Tol]],"Pass","Fail")))</f>
        <v>Pass</v>
      </c>
      <c r="AG2497" s="1" t="str">
        <f>IF(AND(Table1[[#This Row],[Spec Type2]]="N/A",Table1[[#This Row],[DUT Adj Read]]="N/A",Table1[[#This Row],[Std Adj Read]]="N/A"),"N/A",IF(Table1[[#This Row],[DUT Adj Read]]="N/A",IF(Table1[[#This Row],[Std Adj Read]]&lt;=Table1[[#This Row],[High Tol]],"Pass","Fail"),IF(Table1[[#This Row],[DUT Adj Read]]&lt;=Table1[[#This Row],[High Tol]],"Pass","Fail")))</f>
        <v>Fail</v>
      </c>
      <c r="AH24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7" s="1" t="b">
        <v>0</v>
      </c>
      <c r="AN2497" s="1" t="b">
        <v>0</v>
      </c>
      <c r="AO2497" s="1" t="b">
        <v>0</v>
      </c>
    </row>
    <row r="2498" spans="1:41" x14ac:dyDescent="0.25">
      <c r="A2498" s="10"/>
      <c r="B2498" s="10"/>
      <c r="C2498" s="10"/>
      <c r="D2498" s="10"/>
      <c r="E2498" s="10"/>
      <c r="F2498" s="10"/>
      <c r="G2498" s="10"/>
      <c r="H2498" s="10"/>
      <c r="I2498" s="1" t="str">
        <f t="shared" si="114"/>
        <v/>
      </c>
      <c r="J2498" s="1" t="s">
        <v>35</v>
      </c>
      <c r="K2498" s="1" t="str">
        <f t="shared" si="115"/>
        <v/>
      </c>
      <c r="L2498" s="1" t="str">
        <f t="shared" si="116"/>
        <v/>
      </c>
      <c r="M2498" s="1">
        <f>IF(OR(Table1[[#This Row],[Std Nom]]="",Table1[[#This Row],[Std Read]]=""),0,Table1[[#This Row],[Std Nom]]-Table1[[#This Row],[Std Read]])</f>
        <v>0</v>
      </c>
      <c r="N2498" s="1">
        <f>IF(Calculations!$F$5="ACCREDITED 17025 WITH UNCERTAINTIES",$N$10,0)</f>
        <v>0</v>
      </c>
      <c r="Q2498" s="1">
        <f>Table1[[#This Row],[High Tol]]-Table1[[#This Row],[Low Tol]]</f>
        <v>0</v>
      </c>
      <c r="R2498" s="1">
        <f>2*Table1[[#This Row],[Std Error]]</f>
        <v>0</v>
      </c>
      <c r="S2498" s="1" t="str">
        <f>IF(Table1[[#This Row],[High Tol]]="","N/A",IFERROR(ABS(Table1[[#This Row],[Tol Span]]/Table1[[#This Row],[Error Span]]),"N/A"))</f>
        <v>N/A</v>
      </c>
      <c r="T2498" s="1" t="str">
        <f>IF(OR(Table1[[#This Row],[Low Tol]]="",Table1[[#This Row],[High Tol]]=""),"Needs Analysis",IF(Table1[[#This Row],[Ratio]]&gt;=4,"Not Significant",IF(Table1[[#This Row],[Ratio]]&gt;=2,"Semi-Significant","Significant")))</f>
        <v>Needs Analysis</v>
      </c>
      <c r="W2498" s="1">
        <f>IF(Table1[[#This Row],[Cal Type]]&lt;&gt;"ACCREDITED 17025 WITH UNCERTAINTIES",0,"")</f>
        <v>0</v>
      </c>
      <c r="X2498" s="1" t="str">
        <f>IF(Table1[[#This Row],[DUT Read]]="","N/A",Table1[[#This Row],[Std Error]]+Table1[[#This Row],[DUT Read]]+Table1[[#This Row],[DUT Ucty]])</f>
        <v>N/A</v>
      </c>
      <c r="Y2498" s="1" t="str">
        <f>IF(Table1[[#This Row],[Std Read]]="","N/A",Table1[[#This Row],[Std Read]]+Table1[[#This Row],[Std Ucty]])</f>
        <v>N/A</v>
      </c>
      <c r="Z24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8" s="1" t="str">
        <f>IF(Table1[[#This Row],[Spec Type]]="","N/A",Table1[[#This Row],[Spec Type]])</f>
        <v>±</v>
      </c>
      <c r="AC2498" s="1" t="str">
        <f>IF(Table1[[#This Row],[Spec Type2]]="N/A","N/A",IF(AND(Table1[[#This Row],[DUT Adj Read]]&gt;=Table1[[#This Row],[Low Tol]],Table1[[#This Row],[DUT Adj Read]]&lt;=Table1[[#This Row],[High Tol]]),"Pass","Fail"))</f>
        <v>Fail</v>
      </c>
      <c r="AD2498" s="1" t="str">
        <f>IF(AND(Table1[[#This Row],[Spec Type2]]="N/A",Table1[[#This Row],[DUT Adj Read]]="N/A",Table1[[#This Row],[Std Adj Read]]="N/A"),"N/A",IF(Table1[[#This Row],[DUT Adj Read]]="N/A",IF(Table1[[#This Row],[Std Adj Read]]&gt;Table1[[#This Row],[Low Tol]],"Pass","Fail"),IF(Table1[[#This Row],[DUT Adj Read]]&gt;Table1[[#This Row],[Low Tol]],"Pass","Fail")))</f>
        <v>Pass</v>
      </c>
      <c r="AE2498" s="1" t="str">
        <f>IF(AND(Table1[[#This Row],[Spec Type2]]="N/A",Table1[[#This Row],[DUT Adj Read]]="N/A",Table1[[#This Row],[Std Adj Read]]="N/A"),"N/A",IF(Table1[[#This Row],[DUT Adj Read]]="N/A",IF(Table1[[#This Row],[Std Adj Read]]&lt;Table1[[#This Row],[High Tol]],"Pass","Fail"),IF(Table1[[#This Row],[DUT Adj Read]]&lt;Table1[[#This Row],[High Tol]],"Pass","Fail")))</f>
        <v>Fail</v>
      </c>
      <c r="AF2498" s="1" t="str">
        <f>IF(AND(Table1[[#This Row],[Spec Type2]]="N/A",Table1[[#This Row],[DUT Adj Read]]="N/A",Table1[[#This Row],[Std Adj Read]]="N/A"),"N/A",IF(Table1[[#This Row],[DUT Adj Read]]="N/A",IF(Table1[[#This Row],[Std Adj Read]]&gt;=Table1[[#This Row],[Low Tol]],"Pass","Fail"),IF(Table1[[#This Row],[DUT Adj Read]]&gt;=Table1[[#This Row],[Low Tol]],"Pass","Fail")))</f>
        <v>Pass</v>
      </c>
      <c r="AG2498" s="1" t="str">
        <f>IF(AND(Table1[[#This Row],[Spec Type2]]="N/A",Table1[[#This Row],[DUT Adj Read]]="N/A",Table1[[#This Row],[Std Adj Read]]="N/A"),"N/A",IF(Table1[[#This Row],[DUT Adj Read]]="N/A",IF(Table1[[#This Row],[Std Adj Read]]&lt;=Table1[[#This Row],[High Tol]],"Pass","Fail"),IF(Table1[[#This Row],[DUT Adj Read]]&lt;=Table1[[#This Row],[High Tol]],"Pass","Fail")))</f>
        <v>Fail</v>
      </c>
      <c r="AH24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8" s="1" t="b">
        <v>0</v>
      </c>
      <c r="AN2498" s="1" t="b">
        <v>0</v>
      </c>
      <c r="AO2498" s="1" t="b">
        <v>0</v>
      </c>
    </row>
    <row r="2499" spans="1:41" x14ac:dyDescent="0.25">
      <c r="A2499" s="10"/>
      <c r="B2499" s="10"/>
      <c r="C2499" s="10"/>
      <c r="D2499" s="10"/>
      <c r="E2499" s="10"/>
      <c r="F2499" s="10"/>
      <c r="G2499" s="10"/>
      <c r="H2499" s="10"/>
      <c r="I2499" s="1" t="str">
        <f t="shared" si="114"/>
        <v/>
      </c>
      <c r="J2499" s="1" t="s">
        <v>35</v>
      </c>
      <c r="K2499" s="1" t="str">
        <f t="shared" si="115"/>
        <v/>
      </c>
      <c r="L2499" s="1" t="str">
        <f t="shared" si="116"/>
        <v/>
      </c>
      <c r="M2499" s="1">
        <f>IF(OR(Table1[[#This Row],[Std Nom]]="",Table1[[#This Row],[Std Read]]=""),0,Table1[[#This Row],[Std Nom]]-Table1[[#This Row],[Std Read]])</f>
        <v>0</v>
      </c>
      <c r="N2499" s="1">
        <f>IF(Calculations!$F$5="ACCREDITED 17025 WITH UNCERTAINTIES",$N$10,0)</f>
        <v>0</v>
      </c>
      <c r="Q2499" s="1">
        <f>Table1[[#This Row],[High Tol]]-Table1[[#This Row],[Low Tol]]</f>
        <v>0</v>
      </c>
      <c r="R2499" s="1">
        <f>2*Table1[[#This Row],[Std Error]]</f>
        <v>0</v>
      </c>
      <c r="S2499" s="1" t="str">
        <f>IF(Table1[[#This Row],[High Tol]]="","N/A",IFERROR(ABS(Table1[[#This Row],[Tol Span]]/Table1[[#This Row],[Error Span]]),"N/A"))</f>
        <v>N/A</v>
      </c>
      <c r="T2499" s="1" t="str">
        <f>IF(OR(Table1[[#This Row],[Low Tol]]="",Table1[[#This Row],[High Tol]]=""),"Needs Analysis",IF(Table1[[#This Row],[Ratio]]&gt;=4,"Not Significant",IF(Table1[[#This Row],[Ratio]]&gt;=2,"Semi-Significant","Significant")))</f>
        <v>Needs Analysis</v>
      </c>
      <c r="W2499" s="1">
        <f>IF(Table1[[#This Row],[Cal Type]]&lt;&gt;"ACCREDITED 17025 WITH UNCERTAINTIES",0,"")</f>
        <v>0</v>
      </c>
      <c r="X2499" s="1" t="str">
        <f>IF(Table1[[#This Row],[DUT Read]]="","N/A",Table1[[#This Row],[Std Error]]+Table1[[#This Row],[DUT Read]]+Table1[[#This Row],[DUT Ucty]])</f>
        <v>N/A</v>
      </c>
      <c r="Y2499" s="1" t="str">
        <f>IF(Table1[[#This Row],[Std Read]]="","N/A",Table1[[#This Row],[Std Read]]+Table1[[#This Row],[Std Ucty]])</f>
        <v>N/A</v>
      </c>
      <c r="Z24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499" s="1" t="str">
        <f>IF(Table1[[#This Row],[Spec Type]]="","N/A",Table1[[#This Row],[Spec Type]])</f>
        <v>±</v>
      </c>
      <c r="AC2499" s="1" t="str">
        <f>IF(Table1[[#This Row],[Spec Type2]]="N/A","N/A",IF(AND(Table1[[#This Row],[DUT Adj Read]]&gt;=Table1[[#This Row],[Low Tol]],Table1[[#This Row],[DUT Adj Read]]&lt;=Table1[[#This Row],[High Tol]]),"Pass","Fail"))</f>
        <v>Fail</v>
      </c>
      <c r="AD2499" s="1" t="str">
        <f>IF(AND(Table1[[#This Row],[Spec Type2]]="N/A",Table1[[#This Row],[DUT Adj Read]]="N/A",Table1[[#This Row],[Std Adj Read]]="N/A"),"N/A",IF(Table1[[#This Row],[DUT Adj Read]]="N/A",IF(Table1[[#This Row],[Std Adj Read]]&gt;Table1[[#This Row],[Low Tol]],"Pass","Fail"),IF(Table1[[#This Row],[DUT Adj Read]]&gt;Table1[[#This Row],[Low Tol]],"Pass","Fail")))</f>
        <v>Pass</v>
      </c>
      <c r="AE2499" s="1" t="str">
        <f>IF(AND(Table1[[#This Row],[Spec Type2]]="N/A",Table1[[#This Row],[DUT Adj Read]]="N/A",Table1[[#This Row],[Std Adj Read]]="N/A"),"N/A",IF(Table1[[#This Row],[DUT Adj Read]]="N/A",IF(Table1[[#This Row],[Std Adj Read]]&lt;Table1[[#This Row],[High Tol]],"Pass","Fail"),IF(Table1[[#This Row],[DUT Adj Read]]&lt;Table1[[#This Row],[High Tol]],"Pass","Fail")))</f>
        <v>Fail</v>
      </c>
      <c r="AF2499" s="1" t="str">
        <f>IF(AND(Table1[[#This Row],[Spec Type2]]="N/A",Table1[[#This Row],[DUT Adj Read]]="N/A",Table1[[#This Row],[Std Adj Read]]="N/A"),"N/A",IF(Table1[[#This Row],[DUT Adj Read]]="N/A",IF(Table1[[#This Row],[Std Adj Read]]&gt;=Table1[[#This Row],[Low Tol]],"Pass","Fail"),IF(Table1[[#This Row],[DUT Adj Read]]&gt;=Table1[[#This Row],[Low Tol]],"Pass","Fail")))</f>
        <v>Pass</v>
      </c>
      <c r="AG2499" s="1" t="str">
        <f>IF(AND(Table1[[#This Row],[Spec Type2]]="N/A",Table1[[#This Row],[DUT Adj Read]]="N/A",Table1[[#This Row],[Std Adj Read]]="N/A"),"N/A",IF(Table1[[#This Row],[DUT Adj Read]]="N/A",IF(Table1[[#This Row],[Std Adj Read]]&lt;=Table1[[#This Row],[High Tol]],"Pass","Fail"),IF(Table1[[#This Row],[DUT Adj Read]]&lt;=Table1[[#This Row],[High Tol]],"Pass","Fail")))</f>
        <v>Fail</v>
      </c>
      <c r="AH24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499" s="1" t="b">
        <v>0</v>
      </c>
      <c r="AN2499" s="1" t="b">
        <v>0</v>
      </c>
      <c r="AO2499" s="1" t="b">
        <v>0</v>
      </c>
    </row>
    <row r="2500" spans="1:41" x14ac:dyDescent="0.25">
      <c r="A2500" s="10"/>
      <c r="B2500" s="10"/>
      <c r="C2500" s="10"/>
      <c r="D2500" s="10"/>
      <c r="E2500" s="10"/>
      <c r="F2500" s="10"/>
      <c r="G2500" s="10"/>
      <c r="H2500" s="10"/>
      <c r="I2500" s="1" t="str">
        <f t="shared" si="114"/>
        <v/>
      </c>
      <c r="J2500" s="1" t="s">
        <v>35</v>
      </c>
      <c r="K2500" s="1" t="str">
        <f t="shared" si="115"/>
        <v/>
      </c>
      <c r="L2500" s="1" t="str">
        <f t="shared" si="116"/>
        <v/>
      </c>
      <c r="M2500" s="1">
        <f>IF(OR(Table1[[#This Row],[Std Nom]]="",Table1[[#This Row],[Std Read]]=""),0,Table1[[#This Row],[Std Nom]]-Table1[[#This Row],[Std Read]])</f>
        <v>0</v>
      </c>
      <c r="N2500" s="1">
        <f>IF(Calculations!$F$5="ACCREDITED 17025 WITH UNCERTAINTIES",$N$10,0)</f>
        <v>0</v>
      </c>
      <c r="Q2500" s="1">
        <f>Table1[[#This Row],[High Tol]]-Table1[[#This Row],[Low Tol]]</f>
        <v>0</v>
      </c>
      <c r="R2500" s="1">
        <f>2*Table1[[#This Row],[Std Error]]</f>
        <v>0</v>
      </c>
      <c r="S2500" s="1" t="str">
        <f>IF(Table1[[#This Row],[High Tol]]="","N/A",IFERROR(ABS(Table1[[#This Row],[Tol Span]]/Table1[[#This Row],[Error Span]]),"N/A"))</f>
        <v>N/A</v>
      </c>
      <c r="T2500" s="1" t="str">
        <f>IF(OR(Table1[[#This Row],[Low Tol]]="",Table1[[#This Row],[High Tol]]=""),"Needs Analysis",IF(Table1[[#This Row],[Ratio]]&gt;=4,"Not Significant",IF(Table1[[#This Row],[Ratio]]&gt;=2,"Semi-Significant","Significant")))</f>
        <v>Needs Analysis</v>
      </c>
      <c r="W2500" s="1">
        <f>IF(Table1[[#This Row],[Cal Type]]&lt;&gt;"ACCREDITED 17025 WITH UNCERTAINTIES",0,"")</f>
        <v>0</v>
      </c>
      <c r="X2500" s="1" t="str">
        <f>IF(Table1[[#This Row],[DUT Read]]="","N/A",Table1[[#This Row],[Std Error]]+Table1[[#This Row],[DUT Read]]+Table1[[#This Row],[DUT Ucty]])</f>
        <v>N/A</v>
      </c>
      <c r="Y2500" s="1" t="str">
        <f>IF(Table1[[#This Row],[Std Read]]="","N/A",Table1[[#This Row],[Std Read]]+Table1[[#This Row],[Std Ucty]])</f>
        <v>N/A</v>
      </c>
      <c r="Z25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0" s="1" t="str">
        <f>IF(Table1[[#This Row],[Spec Type]]="","N/A",Table1[[#This Row],[Spec Type]])</f>
        <v>±</v>
      </c>
      <c r="AC2500" s="1" t="str">
        <f>IF(Table1[[#This Row],[Spec Type2]]="N/A","N/A",IF(AND(Table1[[#This Row],[DUT Adj Read]]&gt;=Table1[[#This Row],[Low Tol]],Table1[[#This Row],[DUT Adj Read]]&lt;=Table1[[#This Row],[High Tol]]),"Pass","Fail"))</f>
        <v>Fail</v>
      </c>
      <c r="AD2500" s="1" t="str">
        <f>IF(AND(Table1[[#This Row],[Spec Type2]]="N/A",Table1[[#This Row],[DUT Adj Read]]="N/A",Table1[[#This Row],[Std Adj Read]]="N/A"),"N/A",IF(Table1[[#This Row],[DUT Adj Read]]="N/A",IF(Table1[[#This Row],[Std Adj Read]]&gt;Table1[[#This Row],[Low Tol]],"Pass","Fail"),IF(Table1[[#This Row],[DUT Adj Read]]&gt;Table1[[#This Row],[Low Tol]],"Pass","Fail")))</f>
        <v>Pass</v>
      </c>
      <c r="AE2500" s="1" t="str">
        <f>IF(AND(Table1[[#This Row],[Spec Type2]]="N/A",Table1[[#This Row],[DUT Adj Read]]="N/A",Table1[[#This Row],[Std Adj Read]]="N/A"),"N/A",IF(Table1[[#This Row],[DUT Adj Read]]="N/A",IF(Table1[[#This Row],[Std Adj Read]]&lt;Table1[[#This Row],[High Tol]],"Pass","Fail"),IF(Table1[[#This Row],[DUT Adj Read]]&lt;Table1[[#This Row],[High Tol]],"Pass","Fail")))</f>
        <v>Fail</v>
      </c>
      <c r="AF2500" s="1" t="str">
        <f>IF(AND(Table1[[#This Row],[Spec Type2]]="N/A",Table1[[#This Row],[DUT Adj Read]]="N/A",Table1[[#This Row],[Std Adj Read]]="N/A"),"N/A",IF(Table1[[#This Row],[DUT Adj Read]]="N/A",IF(Table1[[#This Row],[Std Adj Read]]&gt;=Table1[[#This Row],[Low Tol]],"Pass","Fail"),IF(Table1[[#This Row],[DUT Adj Read]]&gt;=Table1[[#This Row],[Low Tol]],"Pass","Fail")))</f>
        <v>Pass</v>
      </c>
      <c r="AG2500" s="1" t="str">
        <f>IF(AND(Table1[[#This Row],[Spec Type2]]="N/A",Table1[[#This Row],[DUT Adj Read]]="N/A",Table1[[#This Row],[Std Adj Read]]="N/A"),"N/A",IF(Table1[[#This Row],[DUT Adj Read]]="N/A",IF(Table1[[#This Row],[Std Adj Read]]&lt;=Table1[[#This Row],[High Tol]],"Pass","Fail"),IF(Table1[[#This Row],[DUT Adj Read]]&lt;=Table1[[#This Row],[High Tol]],"Pass","Fail")))</f>
        <v>Fail</v>
      </c>
      <c r="AH25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0" s="1" t="b">
        <v>0</v>
      </c>
      <c r="AN2500" s="1" t="b">
        <v>0</v>
      </c>
      <c r="AO2500" s="1" t="b">
        <v>0</v>
      </c>
    </row>
    <row r="2501" spans="1:41" x14ac:dyDescent="0.25">
      <c r="A2501" s="10"/>
      <c r="B2501" s="10"/>
      <c r="C2501" s="10"/>
      <c r="D2501" s="10"/>
      <c r="E2501" s="10"/>
      <c r="F2501" s="10"/>
      <c r="G2501" s="10"/>
      <c r="H2501" s="10"/>
      <c r="I2501" s="1" t="str">
        <f t="shared" si="114"/>
        <v/>
      </c>
      <c r="J2501" s="1" t="s">
        <v>35</v>
      </c>
      <c r="K2501" s="1" t="str">
        <f t="shared" si="115"/>
        <v/>
      </c>
      <c r="L2501" s="1" t="str">
        <f t="shared" si="116"/>
        <v/>
      </c>
      <c r="M2501" s="1">
        <f>IF(OR(Table1[[#This Row],[Std Nom]]="",Table1[[#This Row],[Std Read]]=""),0,Table1[[#This Row],[Std Nom]]-Table1[[#This Row],[Std Read]])</f>
        <v>0</v>
      </c>
      <c r="N2501" s="1">
        <f>IF(Calculations!$F$5="ACCREDITED 17025 WITH UNCERTAINTIES",$N$10,0)</f>
        <v>0</v>
      </c>
      <c r="Q2501" s="1">
        <f>Table1[[#This Row],[High Tol]]-Table1[[#This Row],[Low Tol]]</f>
        <v>0</v>
      </c>
      <c r="R2501" s="1">
        <f>2*Table1[[#This Row],[Std Error]]</f>
        <v>0</v>
      </c>
      <c r="S2501" s="1" t="str">
        <f>IF(Table1[[#This Row],[High Tol]]="","N/A",IFERROR(ABS(Table1[[#This Row],[Tol Span]]/Table1[[#This Row],[Error Span]]),"N/A"))</f>
        <v>N/A</v>
      </c>
      <c r="T2501" s="1" t="str">
        <f>IF(OR(Table1[[#This Row],[Low Tol]]="",Table1[[#This Row],[High Tol]]=""),"Needs Analysis",IF(Table1[[#This Row],[Ratio]]&gt;=4,"Not Significant",IF(Table1[[#This Row],[Ratio]]&gt;=2,"Semi-Significant","Significant")))</f>
        <v>Needs Analysis</v>
      </c>
      <c r="W2501" s="1">
        <f>IF(Table1[[#This Row],[Cal Type]]&lt;&gt;"ACCREDITED 17025 WITH UNCERTAINTIES",0,"")</f>
        <v>0</v>
      </c>
      <c r="X2501" s="1" t="str">
        <f>IF(Table1[[#This Row],[DUT Read]]="","N/A",Table1[[#This Row],[Std Error]]+Table1[[#This Row],[DUT Read]]+Table1[[#This Row],[DUT Ucty]])</f>
        <v>N/A</v>
      </c>
      <c r="Y2501" s="1" t="str">
        <f>IF(Table1[[#This Row],[Std Read]]="","N/A",Table1[[#This Row],[Std Read]]+Table1[[#This Row],[Std Ucty]])</f>
        <v>N/A</v>
      </c>
      <c r="Z25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1" s="1" t="str">
        <f>IF(Table1[[#This Row],[Spec Type]]="","N/A",Table1[[#This Row],[Spec Type]])</f>
        <v>±</v>
      </c>
      <c r="AC2501" s="1" t="str">
        <f>IF(Table1[[#This Row],[Spec Type2]]="N/A","N/A",IF(AND(Table1[[#This Row],[DUT Adj Read]]&gt;=Table1[[#This Row],[Low Tol]],Table1[[#This Row],[DUT Adj Read]]&lt;=Table1[[#This Row],[High Tol]]),"Pass","Fail"))</f>
        <v>Fail</v>
      </c>
      <c r="AD2501" s="1" t="str">
        <f>IF(AND(Table1[[#This Row],[Spec Type2]]="N/A",Table1[[#This Row],[DUT Adj Read]]="N/A",Table1[[#This Row],[Std Adj Read]]="N/A"),"N/A",IF(Table1[[#This Row],[DUT Adj Read]]="N/A",IF(Table1[[#This Row],[Std Adj Read]]&gt;Table1[[#This Row],[Low Tol]],"Pass","Fail"),IF(Table1[[#This Row],[DUT Adj Read]]&gt;Table1[[#This Row],[Low Tol]],"Pass","Fail")))</f>
        <v>Pass</v>
      </c>
      <c r="AE2501" s="1" t="str">
        <f>IF(AND(Table1[[#This Row],[Spec Type2]]="N/A",Table1[[#This Row],[DUT Adj Read]]="N/A",Table1[[#This Row],[Std Adj Read]]="N/A"),"N/A",IF(Table1[[#This Row],[DUT Adj Read]]="N/A",IF(Table1[[#This Row],[Std Adj Read]]&lt;Table1[[#This Row],[High Tol]],"Pass","Fail"),IF(Table1[[#This Row],[DUT Adj Read]]&lt;Table1[[#This Row],[High Tol]],"Pass","Fail")))</f>
        <v>Fail</v>
      </c>
      <c r="AF2501" s="1" t="str">
        <f>IF(AND(Table1[[#This Row],[Spec Type2]]="N/A",Table1[[#This Row],[DUT Adj Read]]="N/A",Table1[[#This Row],[Std Adj Read]]="N/A"),"N/A",IF(Table1[[#This Row],[DUT Adj Read]]="N/A",IF(Table1[[#This Row],[Std Adj Read]]&gt;=Table1[[#This Row],[Low Tol]],"Pass","Fail"),IF(Table1[[#This Row],[DUT Adj Read]]&gt;=Table1[[#This Row],[Low Tol]],"Pass","Fail")))</f>
        <v>Pass</v>
      </c>
      <c r="AG2501" s="1" t="str">
        <f>IF(AND(Table1[[#This Row],[Spec Type2]]="N/A",Table1[[#This Row],[DUT Adj Read]]="N/A",Table1[[#This Row],[Std Adj Read]]="N/A"),"N/A",IF(Table1[[#This Row],[DUT Adj Read]]="N/A",IF(Table1[[#This Row],[Std Adj Read]]&lt;=Table1[[#This Row],[High Tol]],"Pass","Fail"),IF(Table1[[#This Row],[DUT Adj Read]]&lt;=Table1[[#This Row],[High Tol]],"Pass","Fail")))</f>
        <v>Fail</v>
      </c>
      <c r="AH25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1" s="1" t="b">
        <v>0</v>
      </c>
      <c r="AN2501" s="1" t="b">
        <v>0</v>
      </c>
      <c r="AO2501" s="1" t="b">
        <v>0</v>
      </c>
    </row>
    <row r="2502" spans="1:41" x14ac:dyDescent="0.25">
      <c r="A2502" s="10"/>
      <c r="B2502" s="10"/>
      <c r="C2502" s="10"/>
      <c r="D2502" s="10"/>
      <c r="E2502" s="10"/>
      <c r="F2502" s="10"/>
      <c r="G2502" s="10"/>
      <c r="H2502" s="10"/>
      <c r="I2502" s="1" t="str">
        <f t="shared" si="114"/>
        <v/>
      </c>
      <c r="J2502" s="1" t="s">
        <v>35</v>
      </c>
      <c r="K2502" s="1" t="str">
        <f t="shared" si="115"/>
        <v/>
      </c>
      <c r="L2502" s="1" t="str">
        <f t="shared" si="116"/>
        <v/>
      </c>
      <c r="M2502" s="1">
        <f>IF(OR(Table1[[#This Row],[Std Nom]]="",Table1[[#This Row],[Std Read]]=""),0,Table1[[#This Row],[Std Nom]]-Table1[[#This Row],[Std Read]])</f>
        <v>0</v>
      </c>
      <c r="N2502" s="1">
        <f>IF(Calculations!$F$5="ACCREDITED 17025 WITH UNCERTAINTIES",$N$10,0)</f>
        <v>0</v>
      </c>
      <c r="Q2502" s="1">
        <f>Table1[[#This Row],[High Tol]]-Table1[[#This Row],[Low Tol]]</f>
        <v>0</v>
      </c>
      <c r="R2502" s="1">
        <f>2*Table1[[#This Row],[Std Error]]</f>
        <v>0</v>
      </c>
      <c r="S2502" s="1" t="str">
        <f>IF(Table1[[#This Row],[High Tol]]="","N/A",IFERROR(ABS(Table1[[#This Row],[Tol Span]]/Table1[[#This Row],[Error Span]]),"N/A"))</f>
        <v>N/A</v>
      </c>
      <c r="T2502" s="1" t="str">
        <f>IF(OR(Table1[[#This Row],[Low Tol]]="",Table1[[#This Row],[High Tol]]=""),"Needs Analysis",IF(Table1[[#This Row],[Ratio]]&gt;=4,"Not Significant",IF(Table1[[#This Row],[Ratio]]&gt;=2,"Semi-Significant","Significant")))</f>
        <v>Needs Analysis</v>
      </c>
      <c r="W2502" s="1">
        <f>IF(Table1[[#This Row],[Cal Type]]&lt;&gt;"ACCREDITED 17025 WITH UNCERTAINTIES",0,"")</f>
        <v>0</v>
      </c>
      <c r="X2502" s="1" t="str">
        <f>IF(Table1[[#This Row],[DUT Read]]="","N/A",Table1[[#This Row],[Std Error]]+Table1[[#This Row],[DUT Read]]+Table1[[#This Row],[DUT Ucty]])</f>
        <v>N/A</v>
      </c>
      <c r="Y2502" s="1" t="str">
        <f>IF(Table1[[#This Row],[Std Read]]="","N/A",Table1[[#This Row],[Std Read]]+Table1[[#This Row],[Std Ucty]])</f>
        <v>N/A</v>
      </c>
      <c r="Z25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2" s="1" t="str">
        <f>IF(Table1[[#This Row],[Spec Type]]="","N/A",Table1[[#This Row],[Spec Type]])</f>
        <v>±</v>
      </c>
      <c r="AC2502" s="1" t="str">
        <f>IF(Table1[[#This Row],[Spec Type2]]="N/A","N/A",IF(AND(Table1[[#This Row],[DUT Adj Read]]&gt;=Table1[[#This Row],[Low Tol]],Table1[[#This Row],[DUT Adj Read]]&lt;=Table1[[#This Row],[High Tol]]),"Pass","Fail"))</f>
        <v>Fail</v>
      </c>
      <c r="AD2502" s="1" t="str">
        <f>IF(AND(Table1[[#This Row],[Spec Type2]]="N/A",Table1[[#This Row],[DUT Adj Read]]="N/A",Table1[[#This Row],[Std Adj Read]]="N/A"),"N/A",IF(Table1[[#This Row],[DUT Adj Read]]="N/A",IF(Table1[[#This Row],[Std Adj Read]]&gt;Table1[[#This Row],[Low Tol]],"Pass","Fail"),IF(Table1[[#This Row],[DUT Adj Read]]&gt;Table1[[#This Row],[Low Tol]],"Pass","Fail")))</f>
        <v>Pass</v>
      </c>
      <c r="AE2502" s="1" t="str">
        <f>IF(AND(Table1[[#This Row],[Spec Type2]]="N/A",Table1[[#This Row],[DUT Adj Read]]="N/A",Table1[[#This Row],[Std Adj Read]]="N/A"),"N/A",IF(Table1[[#This Row],[DUT Adj Read]]="N/A",IF(Table1[[#This Row],[Std Adj Read]]&lt;Table1[[#This Row],[High Tol]],"Pass","Fail"),IF(Table1[[#This Row],[DUT Adj Read]]&lt;Table1[[#This Row],[High Tol]],"Pass","Fail")))</f>
        <v>Fail</v>
      </c>
      <c r="AF2502" s="1" t="str">
        <f>IF(AND(Table1[[#This Row],[Spec Type2]]="N/A",Table1[[#This Row],[DUT Adj Read]]="N/A",Table1[[#This Row],[Std Adj Read]]="N/A"),"N/A",IF(Table1[[#This Row],[DUT Adj Read]]="N/A",IF(Table1[[#This Row],[Std Adj Read]]&gt;=Table1[[#This Row],[Low Tol]],"Pass","Fail"),IF(Table1[[#This Row],[DUT Adj Read]]&gt;=Table1[[#This Row],[Low Tol]],"Pass","Fail")))</f>
        <v>Pass</v>
      </c>
      <c r="AG2502" s="1" t="str">
        <f>IF(AND(Table1[[#This Row],[Spec Type2]]="N/A",Table1[[#This Row],[DUT Adj Read]]="N/A",Table1[[#This Row],[Std Adj Read]]="N/A"),"N/A",IF(Table1[[#This Row],[DUT Adj Read]]="N/A",IF(Table1[[#This Row],[Std Adj Read]]&lt;=Table1[[#This Row],[High Tol]],"Pass","Fail"),IF(Table1[[#This Row],[DUT Adj Read]]&lt;=Table1[[#This Row],[High Tol]],"Pass","Fail")))</f>
        <v>Fail</v>
      </c>
      <c r="AH25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2" s="1" t="b">
        <v>0</v>
      </c>
      <c r="AN2502" s="1" t="b">
        <v>0</v>
      </c>
      <c r="AO2502" s="1" t="b">
        <v>0</v>
      </c>
    </row>
    <row r="2503" spans="1:41" x14ac:dyDescent="0.25">
      <c r="A2503" s="10"/>
      <c r="B2503" s="10"/>
      <c r="C2503" s="10"/>
      <c r="D2503" s="10"/>
      <c r="E2503" s="10"/>
      <c r="F2503" s="10"/>
      <c r="G2503" s="10"/>
      <c r="H2503" s="10"/>
      <c r="I2503" s="1" t="str">
        <f t="shared" si="114"/>
        <v/>
      </c>
      <c r="J2503" s="1" t="s">
        <v>35</v>
      </c>
      <c r="K2503" s="1" t="str">
        <f t="shared" si="115"/>
        <v/>
      </c>
      <c r="L2503" s="1" t="str">
        <f t="shared" si="116"/>
        <v/>
      </c>
      <c r="M2503" s="1">
        <f>IF(OR(Table1[[#This Row],[Std Nom]]="",Table1[[#This Row],[Std Read]]=""),0,Table1[[#This Row],[Std Nom]]-Table1[[#This Row],[Std Read]])</f>
        <v>0</v>
      </c>
      <c r="N2503" s="1">
        <f>IF(Calculations!$F$5="ACCREDITED 17025 WITH UNCERTAINTIES",$N$10,0)</f>
        <v>0</v>
      </c>
      <c r="Q2503" s="1">
        <f>Table1[[#This Row],[High Tol]]-Table1[[#This Row],[Low Tol]]</f>
        <v>0</v>
      </c>
      <c r="R2503" s="1">
        <f>2*Table1[[#This Row],[Std Error]]</f>
        <v>0</v>
      </c>
      <c r="S2503" s="1" t="str">
        <f>IF(Table1[[#This Row],[High Tol]]="","N/A",IFERROR(ABS(Table1[[#This Row],[Tol Span]]/Table1[[#This Row],[Error Span]]),"N/A"))</f>
        <v>N/A</v>
      </c>
      <c r="T2503" s="1" t="str">
        <f>IF(OR(Table1[[#This Row],[Low Tol]]="",Table1[[#This Row],[High Tol]]=""),"Needs Analysis",IF(Table1[[#This Row],[Ratio]]&gt;=4,"Not Significant",IF(Table1[[#This Row],[Ratio]]&gt;=2,"Semi-Significant","Significant")))</f>
        <v>Needs Analysis</v>
      </c>
      <c r="W2503" s="1">
        <f>IF(Table1[[#This Row],[Cal Type]]&lt;&gt;"ACCREDITED 17025 WITH UNCERTAINTIES",0,"")</f>
        <v>0</v>
      </c>
      <c r="X2503" s="1" t="str">
        <f>IF(Table1[[#This Row],[DUT Read]]="","N/A",Table1[[#This Row],[Std Error]]+Table1[[#This Row],[DUT Read]]+Table1[[#This Row],[DUT Ucty]])</f>
        <v>N/A</v>
      </c>
      <c r="Y2503" s="1" t="str">
        <f>IF(Table1[[#This Row],[Std Read]]="","N/A",Table1[[#This Row],[Std Read]]+Table1[[#This Row],[Std Ucty]])</f>
        <v>N/A</v>
      </c>
      <c r="Z25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3" s="1" t="str">
        <f>IF(Table1[[#This Row],[Spec Type]]="","N/A",Table1[[#This Row],[Spec Type]])</f>
        <v>±</v>
      </c>
      <c r="AC2503" s="1" t="str">
        <f>IF(Table1[[#This Row],[Spec Type2]]="N/A","N/A",IF(AND(Table1[[#This Row],[DUT Adj Read]]&gt;=Table1[[#This Row],[Low Tol]],Table1[[#This Row],[DUT Adj Read]]&lt;=Table1[[#This Row],[High Tol]]),"Pass","Fail"))</f>
        <v>Fail</v>
      </c>
      <c r="AD2503" s="1" t="str">
        <f>IF(AND(Table1[[#This Row],[Spec Type2]]="N/A",Table1[[#This Row],[DUT Adj Read]]="N/A",Table1[[#This Row],[Std Adj Read]]="N/A"),"N/A",IF(Table1[[#This Row],[DUT Adj Read]]="N/A",IF(Table1[[#This Row],[Std Adj Read]]&gt;Table1[[#This Row],[Low Tol]],"Pass","Fail"),IF(Table1[[#This Row],[DUT Adj Read]]&gt;Table1[[#This Row],[Low Tol]],"Pass","Fail")))</f>
        <v>Pass</v>
      </c>
      <c r="AE2503" s="1" t="str">
        <f>IF(AND(Table1[[#This Row],[Spec Type2]]="N/A",Table1[[#This Row],[DUT Adj Read]]="N/A",Table1[[#This Row],[Std Adj Read]]="N/A"),"N/A",IF(Table1[[#This Row],[DUT Adj Read]]="N/A",IF(Table1[[#This Row],[Std Adj Read]]&lt;Table1[[#This Row],[High Tol]],"Pass","Fail"),IF(Table1[[#This Row],[DUT Adj Read]]&lt;Table1[[#This Row],[High Tol]],"Pass","Fail")))</f>
        <v>Fail</v>
      </c>
      <c r="AF2503" s="1" t="str">
        <f>IF(AND(Table1[[#This Row],[Spec Type2]]="N/A",Table1[[#This Row],[DUT Adj Read]]="N/A",Table1[[#This Row],[Std Adj Read]]="N/A"),"N/A",IF(Table1[[#This Row],[DUT Adj Read]]="N/A",IF(Table1[[#This Row],[Std Adj Read]]&gt;=Table1[[#This Row],[Low Tol]],"Pass","Fail"),IF(Table1[[#This Row],[DUT Adj Read]]&gt;=Table1[[#This Row],[Low Tol]],"Pass","Fail")))</f>
        <v>Pass</v>
      </c>
      <c r="AG2503" s="1" t="str">
        <f>IF(AND(Table1[[#This Row],[Spec Type2]]="N/A",Table1[[#This Row],[DUT Adj Read]]="N/A",Table1[[#This Row],[Std Adj Read]]="N/A"),"N/A",IF(Table1[[#This Row],[DUT Adj Read]]="N/A",IF(Table1[[#This Row],[Std Adj Read]]&lt;=Table1[[#This Row],[High Tol]],"Pass","Fail"),IF(Table1[[#This Row],[DUT Adj Read]]&lt;=Table1[[#This Row],[High Tol]],"Pass","Fail")))</f>
        <v>Fail</v>
      </c>
      <c r="AH25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3" s="1" t="b">
        <v>0</v>
      </c>
      <c r="AN2503" s="1" t="b">
        <v>0</v>
      </c>
      <c r="AO2503" s="1" t="b">
        <v>0</v>
      </c>
    </row>
    <row r="2504" spans="1:41" x14ac:dyDescent="0.25">
      <c r="A2504" s="10"/>
      <c r="B2504" s="10"/>
      <c r="C2504" s="10"/>
      <c r="D2504" s="10"/>
      <c r="E2504" s="10"/>
      <c r="F2504" s="10"/>
      <c r="G2504" s="10"/>
      <c r="H2504" s="10"/>
      <c r="I2504" s="1" t="str">
        <f t="shared" si="114"/>
        <v/>
      </c>
      <c r="J2504" s="1" t="s">
        <v>35</v>
      </c>
      <c r="K2504" s="1" t="str">
        <f t="shared" si="115"/>
        <v/>
      </c>
      <c r="L2504" s="1" t="str">
        <f t="shared" si="116"/>
        <v/>
      </c>
      <c r="M2504" s="1">
        <f>IF(OR(Table1[[#This Row],[Std Nom]]="",Table1[[#This Row],[Std Read]]=""),0,Table1[[#This Row],[Std Nom]]-Table1[[#This Row],[Std Read]])</f>
        <v>0</v>
      </c>
      <c r="N2504" s="1">
        <f>IF(Calculations!$F$5="ACCREDITED 17025 WITH UNCERTAINTIES",$N$10,0)</f>
        <v>0</v>
      </c>
      <c r="Q2504" s="1">
        <f>Table1[[#This Row],[High Tol]]-Table1[[#This Row],[Low Tol]]</f>
        <v>0</v>
      </c>
      <c r="R2504" s="1">
        <f>2*Table1[[#This Row],[Std Error]]</f>
        <v>0</v>
      </c>
      <c r="S2504" s="1" t="str">
        <f>IF(Table1[[#This Row],[High Tol]]="","N/A",IFERROR(ABS(Table1[[#This Row],[Tol Span]]/Table1[[#This Row],[Error Span]]),"N/A"))</f>
        <v>N/A</v>
      </c>
      <c r="T2504" s="1" t="str">
        <f>IF(OR(Table1[[#This Row],[Low Tol]]="",Table1[[#This Row],[High Tol]]=""),"Needs Analysis",IF(Table1[[#This Row],[Ratio]]&gt;=4,"Not Significant",IF(Table1[[#This Row],[Ratio]]&gt;=2,"Semi-Significant","Significant")))</f>
        <v>Needs Analysis</v>
      </c>
      <c r="W2504" s="1">
        <f>IF(Table1[[#This Row],[Cal Type]]&lt;&gt;"ACCREDITED 17025 WITH UNCERTAINTIES",0,"")</f>
        <v>0</v>
      </c>
      <c r="X2504" s="1" t="str">
        <f>IF(Table1[[#This Row],[DUT Read]]="","N/A",Table1[[#This Row],[Std Error]]+Table1[[#This Row],[DUT Read]]+Table1[[#This Row],[DUT Ucty]])</f>
        <v>N/A</v>
      </c>
      <c r="Y2504" s="1" t="str">
        <f>IF(Table1[[#This Row],[Std Read]]="","N/A",Table1[[#This Row],[Std Read]]+Table1[[#This Row],[Std Ucty]])</f>
        <v>N/A</v>
      </c>
      <c r="Z25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4" s="1" t="str">
        <f>IF(Table1[[#This Row],[Spec Type]]="","N/A",Table1[[#This Row],[Spec Type]])</f>
        <v>±</v>
      </c>
      <c r="AC2504" s="1" t="str">
        <f>IF(Table1[[#This Row],[Spec Type2]]="N/A","N/A",IF(AND(Table1[[#This Row],[DUT Adj Read]]&gt;=Table1[[#This Row],[Low Tol]],Table1[[#This Row],[DUT Adj Read]]&lt;=Table1[[#This Row],[High Tol]]),"Pass","Fail"))</f>
        <v>Fail</v>
      </c>
      <c r="AD2504" s="1" t="str">
        <f>IF(AND(Table1[[#This Row],[Spec Type2]]="N/A",Table1[[#This Row],[DUT Adj Read]]="N/A",Table1[[#This Row],[Std Adj Read]]="N/A"),"N/A",IF(Table1[[#This Row],[DUT Adj Read]]="N/A",IF(Table1[[#This Row],[Std Adj Read]]&gt;Table1[[#This Row],[Low Tol]],"Pass","Fail"),IF(Table1[[#This Row],[DUT Adj Read]]&gt;Table1[[#This Row],[Low Tol]],"Pass","Fail")))</f>
        <v>Pass</v>
      </c>
      <c r="AE2504" s="1" t="str">
        <f>IF(AND(Table1[[#This Row],[Spec Type2]]="N/A",Table1[[#This Row],[DUT Adj Read]]="N/A",Table1[[#This Row],[Std Adj Read]]="N/A"),"N/A",IF(Table1[[#This Row],[DUT Adj Read]]="N/A",IF(Table1[[#This Row],[Std Adj Read]]&lt;Table1[[#This Row],[High Tol]],"Pass","Fail"),IF(Table1[[#This Row],[DUT Adj Read]]&lt;Table1[[#This Row],[High Tol]],"Pass","Fail")))</f>
        <v>Fail</v>
      </c>
      <c r="AF2504" s="1" t="str">
        <f>IF(AND(Table1[[#This Row],[Spec Type2]]="N/A",Table1[[#This Row],[DUT Adj Read]]="N/A",Table1[[#This Row],[Std Adj Read]]="N/A"),"N/A",IF(Table1[[#This Row],[DUT Adj Read]]="N/A",IF(Table1[[#This Row],[Std Adj Read]]&gt;=Table1[[#This Row],[Low Tol]],"Pass","Fail"),IF(Table1[[#This Row],[DUT Adj Read]]&gt;=Table1[[#This Row],[Low Tol]],"Pass","Fail")))</f>
        <v>Pass</v>
      </c>
      <c r="AG2504" s="1" t="str">
        <f>IF(AND(Table1[[#This Row],[Spec Type2]]="N/A",Table1[[#This Row],[DUT Adj Read]]="N/A",Table1[[#This Row],[Std Adj Read]]="N/A"),"N/A",IF(Table1[[#This Row],[DUT Adj Read]]="N/A",IF(Table1[[#This Row],[Std Adj Read]]&lt;=Table1[[#This Row],[High Tol]],"Pass","Fail"),IF(Table1[[#This Row],[DUT Adj Read]]&lt;=Table1[[#This Row],[High Tol]],"Pass","Fail")))</f>
        <v>Fail</v>
      </c>
      <c r="AH25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4" s="1" t="b">
        <v>0</v>
      </c>
      <c r="AN2504" s="1" t="b">
        <v>0</v>
      </c>
      <c r="AO2504" s="1" t="b">
        <v>0</v>
      </c>
    </row>
    <row r="2505" spans="1:41" x14ac:dyDescent="0.25">
      <c r="A2505" s="10"/>
      <c r="B2505" s="10"/>
      <c r="C2505" s="10"/>
      <c r="D2505" s="10"/>
      <c r="E2505" s="10"/>
      <c r="F2505" s="10"/>
      <c r="G2505" s="10"/>
      <c r="H2505" s="10"/>
      <c r="I2505" s="1" t="str">
        <f t="shared" si="114"/>
        <v/>
      </c>
      <c r="J2505" s="1" t="s">
        <v>35</v>
      </c>
      <c r="K2505" s="1" t="str">
        <f t="shared" si="115"/>
        <v/>
      </c>
      <c r="L2505" s="1" t="str">
        <f t="shared" si="116"/>
        <v/>
      </c>
      <c r="M2505" s="1">
        <f>IF(OR(Table1[[#This Row],[Std Nom]]="",Table1[[#This Row],[Std Read]]=""),0,Table1[[#This Row],[Std Nom]]-Table1[[#This Row],[Std Read]])</f>
        <v>0</v>
      </c>
      <c r="N2505" s="1">
        <f>IF(Calculations!$F$5="ACCREDITED 17025 WITH UNCERTAINTIES",$N$10,0)</f>
        <v>0</v>
      </c>
      <c r="Q2505" s="1">
        <f>Table1[[#This Row],[High Tol]]-Table1[[#This Row],[Low Tol]]</f>
        <v>0</v>
      </c>
      <c r="R2505" s="1">
        <f>2*Table1[[#This Row],[Std Error]]</f>
        <v>0</v>
      </c>
      <c r="S2505" s="1" t="str">
        <f>IF(Table1[[#This Row],[High Tol]]="","N/A",IFERROR(ABS(Table1[[#This Row],[Tol Span]]/Table1[[#This Row],[Error Span]]),"N/A"))</f>
        <v>N/A</v>
      </c>
      <c r="T2505" s="1" t="str">
        <f>IF(OR(Table1[[#This Row],[Low Tol]]="",Table1[[#This Row],[High Tol]]=""),"Needs Analysis",IF(Table1[[#This Row],[Ratio]]&gt;=4,"Not Significant",IF(Table1[[#This Row],[Ratio]]&gt;=2,"Semi-Significant","Significant")))</f>
        <v>Needs Analysis</v>
      </c>
      <c r="W2505" s="1">
        <f>IF(Table1[[#This Row],[Cal Type]]&lt;&gt;"ACCREDITED 17025 WITH UNCERTAINTIES",0,"")</f>
        <v>0</v>
      </c>
      <c r="X2505" s="1" t="str">
        <f>IF(Table1[[#This Row],[DUT Read]]="","N/A",Table1[[#This Row],[Std Error]]+Table1[[#This Row],[DUT Read]]+Table1[[#This Row],[DUT Ucty]])</f>
        <v>N/A</v>
      </c>
      <c r="Y2505" s="1" t="str">
        <f>IF(Table1[[#This Row],[Std Read]]="","N/A",Table1[[#This Row],[Std Read]]+Table1[[#This Row],[Std Ucty]])</f>
        <v>N/A</v>
      </c>
      <c r="Z25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5" s="1" t="str">
        <f>IF(Table1[[#This Row],[Spec Type]]="","N/A",Table1[[#This Row],[Spec Type]])</f>
        <v>±</v>
      </c>
      <c r="AC2505" s="1" t="str">
        <f>IF(Table1[[#This Row],[Spec Type2]]="N/A","N/A",IF(AND(Table1[[#This Row],[DUT Adj Read]]&gt;=Table1[[#This Row],[Low Tol]],Table1[[#This Row],[DUT Adj Read]]&lt;=Table1[[#This Row],[High Tol]]),"Pass","Fail"))</f>
        <v>Fail</v>
      </c>
      <c r="AD2505" s="1" t="str">
        <f>IF(AND(Table1[[#This Row],[Spec Type2]]="N/A",Table1[[#This Row],[DUT Adj Read]]="N/A",Table1[[#This Row],[Std Adj Read]]="N/A"),"N/A",IF(Table1[[#This Row],[DUT Adj Read]]="N/A",IF(Table1[[#This Row],[Std Adj Read]]&gt;Table1[[#This Row],[Low Tol]],"Pass","Fail"),IF(Table1[[#This Row],[DUT Adj Read]]&gt;Table1[[#This Row],[Low Tol]],"Pass","Fail")))</f>
        <v>Pass</v>
      </c>
      <c r="AE2505" s="1" t="str">
        <f>IF(AND(Table1[[#This Row],[Spec Type2]]="N/A",Table1[[#This Row],[DUT Adj Read]]="N/A",Table1[[#This Row],[Std Adj Read]]="N/A"),"N/A",IF(Table1[[#This Row],[DUT Adj Read]]="N/A",IF(Table1[[#This Row],[Std Adj Read]]&lt;Table1[[#This Row],[High Tol]],"Pass","Fail"),IF(Table1[[#This Row],[DUT Adj Read]]&lt;Table1[[#This Row],[High Tol]],"Pass","Fail")))</f>
        <v>Fail</v>
      </c>
      <c r="AF2505" s="1" t="str">
        <f>IF(AND(Table1[[#This Row],[Spec Type2]]="N/A",Table1[[#This Row],[DUT Adj Read]]="N/A",Table1[[#This Row],[Std Adj Read]]="N/A"),"N/A",IF(Table1[[#This Row],[DUT Adj Read]]="N/A",IF(Table1[[#This Row],[Std Adj Read]]&gt;=Table1[[#This Row],[Low Tol]],"Pass","Fail"),IF(Table1[[#This Row],[DUT Adj Read]]&gt;=Table1[[#This Row],[Low Tol]],"Pass","Fail")))</f>
        <v>Pass</v>
      </c>
      <c r="AG2505" s="1" t="str">
        <f>IF(AND(Table1[[#This Row],[Spec Type2]]="N/A",Table1[[#This Row],[DUT Adj Read]]="N/A",Table1[[#This Row],[Std Adj Read]]="N/A"),"N/A",IF(Table1[[#This Row],[DUT Adj Read]]="N/A",IF(Table1[[#This Row],[Std Adj Read]]&lt;=Table1[[#This Row],[High Tol]],"Pass","Fail"),IF(Table1[[#This Row],[DUT Adj Read]]&lt;=Table1[[#This Row],[High Tol]],"Pass","Fail")))</f>
        <v>Fail</v>
      </c>
      <c r="AH25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5" s="1" t="b">
        <v>0</v>
      </c>
      <c r="AN2505" s="1" t="b">
        <v>0</v>
      </c>
      <c r="AO2505" s="1" t="b">
        <v>0</v>
      </c>
    </row>
    <row r="2506" spans="1:41" x14ac:dyDescent="0.25">
      <c r="A2506" s="10"/>
      <c r="B2506" s="10"/>
      <c r="C2506" s="10"/>
      <c r="D2506" s="10"/>
      <c r="E2506" s="10"/>
      <c r="F2506" s="10"/>
      <c r="G2506" s="10"/>
      <c r="H2506" s="10"/>
      <c r="I2506" s="1" t="str">
        <f t="shared" si="114"/>
        <v/>
      </c>
      <c r="J2506" s="1" t="s">
        <v>35</v>
      </c>
      <c r="K2506" s="1" t="str">
        <f t="shared" si="115"/>
        <v/>
      </c>
      <c r="L2506" s="1" t="str">
        <f t="shared" si="116"/>
        <v/>
      </c>
      <c r="M2506" s="1">
        <f>IF(OR(Table1[[#This Row],[Std Nom]]="",Table1[[#This Row],[Std Read]]=""),0,Table1[[#This Row],[Std Nom]]-Table1[[#This Row],[Std Read]])</f>
        <v>0</v>
      </c>
      <c r="N2506" s="1">
        <f>IF(Calculations!$F$5="ACCREDITED 17025 WITH UNCERTAINTIES",$N$10,0)</f>
        <v>0</v>
      </c>
      <c r="Q2506" s="1">
        <f>Table1[[#This Row],[High Tol]]-Table1[[#This Row],[Low Tol]]</f>
        <v>0</v>
      </c>
      <c r="R2506" s="1">
        <f>2*Table1[[#This Row],[Std Error]]</f>
        <v>0</v>
      </c>
      <c r="S2506" s="1" t="str">
        <f>IF(Table1[[#This Row],[High Tol]]="","N/A",IFERROR(ABS(Table1[[#This Row],[Tol Span]]/Table1[[#This Row],[Error Span]]),"N/A"))</f>
        <v>N/A</v>
      </c>
      <c r="T2506" s="1" t="str">
        <f>IF(OR(Table1[[#This Row],[Low Tol]]="",Table1[[#This Row],[High Tol]]=""),"Needs Analysis",IF(Table1[[#This Row],[Ratio]]&gt;=4,"Not Significant",IF(Table1[[#This Row],[Ratio]]&gt;=2,"Semi-Significant","Significant")))</f>
        <v>Needs Analysis</v>
      </c>
      <c r="W2506" s="1">
        <f>IF(Table1[[#This Row],[Cal Type]]&lt;&gt;"ACCREDITED 17025 WITH UNCERTAINTIES",0,"")</f>
        <v>0</v>
      </c>
      <c r="X2506" s="1" t="str">
        <f>IF(Table1[[#This Row],[DUT Read]]="","N/A",Table1[[#This Row],[Std Error]]+Table1[[#This Row],[DUT Read]]+Table1[[#This Row],[DUT Ucty]])</f>
        <v>N/A</v>
      </c>
      <c r="Y2506" s="1" t="str">
        <f>IF(Table1[[#This Row],[Std Read]]="","N/A",Table1[[#This Row],[Std Read]]+Table1[[#This Row],[Std Ucty]])</f>
        <v>N/A</v>
      </c>
      <c r="Z25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6" s="1" t="str">
        <f>IF(Table1[[#This Row],[Spec Type]]="","N/A",Table1[[#This Row],[Spec Type]])</f>
        <v>±</v>
      </c>
      <c r="AC2506" s="1" t="str">
        <f>IF(Table1[[#This Row],[Spec Type2]]="N/A","N/A",IF(AND(Table1[[#This Row],[DUT Adj Read]]&gt;=Table1[[#This Row],[Low Tol]],Table1[[#This Row],[DUT Adj Read]]&lt;=Table1[[#This Row],[High Tol]]),"Pass","Fail"))</f>
        <v>Fail</v>
      </c>
      <c r="AD2506" s="1" t="str">
        <f>IF(AND(Table1[[#This Row],[Spec Type2]]="N/A",Table1[[#This Row],[DUT Adj Read]]="N/A",Table1[[#This Row],[Std Adj Read]]="N/A"),"N/A",IF(Table1[[#This Row],[DUT Adj Read]]="N/A",IF(Table1[[#This Row],[Std Adj Read]]&gt;Table1[[#This Row],[Low Tol]],"Pass","Fail"),IF(Table1[[#This Row],[DUT Adj Read]]&gt;Table1[[#This Row],[Low Tol]],"Pass","Fail")))</f>
        <v>Pass</v>
      </c>
      <c r="AE2506" s="1" t="str">
        <f>IF(AND(Table1[[#This Row],[Spec Type2]]="N/A",Table1[[#This Row],[DUT Adj Read]]="N/A",Table1[[#This Row],[Std Adj Read]]="N/A"),"N/A",IF(Table1[[#This Row],[DUT Adj Read]]="N/A",IF(Table1[[#This Row],[Std Adj Read]]&lt;Table1[[#This Row],[High Tol]],"Pass","Fail"),IF(Table1[[#This Row],[DUT Adj Read]]&lt;Table1[[#This Row],[High Tol]],"Pass","Fail")))</f>
        <v>Fail</v>
      </c>
      <c r="AF2506" s="1" t="str">
        <f>IF(AND(Table1[[#This Row],[Spec Type2]]="N/A",Table1[[#This Row],[DUT Adj Read]]="N/A",Table1[[#This Row],[Std Adj Read]]="N/A"),"N/A",IF(Table1[[#This Row],[DUT Adj Read]]="N/A",IF(Table1[[#This Row],[Std Adj Read]]&gt;=Table1[[#This Row],[Low Tol]],"Pass","Fail"),IF(Table1[[#This Row],[DUT Adj Read]]&gt;=Table1[[#This Row],[Low Tol]],"Pass","Fail")))</f>
        <v>Pass</v>
      </c>
      <c r="AG2506" s="1" t="str">
        <f>IF(AND(Table1[[#This Row],[Spec Type2]]="N/A",Table1[[#This Row],[DUT Adj Read]]="N/A",Table1[[#This Row],[Std Adj Read]]="N/A"),"N/A",IF(Table1[[#This Row],[DUT Adj Read]]="N/A",IF(Table1[[#This Row],[Std Adj Read]]&lt;=Table1[[#This Row],[High Tol]],"Pass","Fail"),IF(Table1[[#This Row],[DUT Adj Read]]&lt;=Table1[[#This Row],[High Tol]],"Pass","Fail")))</f>
        <v>Fail</v>
      </c>
      <c r="AH25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6" s="1" t="b">
        <v>0</v>
      </c>
      <c r="AN2506" s="1" t="b">
        <v>0</v>
      </c>
      <c r="AO2506" s="1" t="b">
        <v>0</v>
      </c>
    </row>
    <row r="2507" spans="1:41" x14ac:dyDescent="0.25">
      <c r="A2507" s="10"/>
      <c r="B2507" s="10"/>
      <c r="C2507" s="10"/>
      <c r="D2507" s="10"/>
      <c r="E2507" s="10"/>
      <c r="F2507" s="10"/>
      <c r="G2507" s="10"/>
      <c r="H2507" s="10"/>
      <c r="I2507" s="1" t="str">
        <f t="shared" ref="I2507:I2570" si="117">IF($I$10="","",$I$10)</f>
        <v/>
      </c>
      <c r="J2507" s="1" t="s">
        <v>35</v>
      </c>
      <c r="K2507" s="1" t="str">
        <f t="shared" ref="K2507:K2570" si="118">IF($K$10="","",$K$10)</f>
        <v/>
      </c>
      <c r="L2507" s="1" t="str">
        <f t="shared" ref="L2507:L2570" si="119">IF($L$10="","",$L$10)</f>
        <v/>
      </c>
      <c r="M2507" s="1">
        <f>IF(OR(Table1[[#This Row],[Std Nom]]="",Table1[[#This Row],[Std Read]]=""),0,Table1[[#This Row],[Std Nom]]-Table1[[#This Row],[Std Read]])</f>
        <v>0</v>
      </c>
      <c r="N2507" s="1">
        <f>IF(Calculations!$F$5="ACCREDITED 17025 WITH UNCERTAINTIES",$N$10,0)</f>
        <v>0</v>
      </c>
      <c r="Q2507" s="1">
        <f>Table1[[#This Row],[High Tol]]-Table1[[#This Row],[Low Tol]]</f>
        <v>0</v>
      </c>
      <c r="R2507" s="1">
        <f>2*Table1[[#This Row],[Std Error]]</f>
        <v>0</v>
      </c>
      <c r="S2507" s="1" t="str">
        <f>IF(Table1[[#This Row],[High Tol]]="","N/A",IFERROR(ABS(Table1[[#This Row],[Tol Span]]/Table1[[#This Row],[Error Span]]),"N/A"))</f>
        <v>N/A</v>
      </c>
      <c r="T2507" s="1" t="str">
        <f>IF(OR(Table1[[#This Row],[Low Tol]]="",Table1[[#This Row],[High Tol]]=""),"Needs Analysis",IF(Table1[[#This Row],[Ratio]]&gt;=4,"Not Significant",IF(Table1[[#This Row],[Ratio]]&gt;=2,"Semi-Significant","Significant")))</f>
        <v>Needs Analysis</v>
      </c>
      <c r="W2507" s="1">
        <f>IF(Table1[[#This Row],[Cal Type]]&lt;&gt;"ACCREDITED 17025 WITH UNCERTAINTIES",0,"")</f>
        <v>0</v>
      </c>
      <c r="X2507" s="1" t="str">
        <f>IF(Table1[[#This Row],[DUT Read]]="","N/A",Table1[[#This Row],[Std Error]]+Table1[[#This Row],[DUT Read]]+Table1[[#This Row],[DUT Ucty]])</f>
        <v>N/A</v>
      </c>
      <c r="Y2507" s="1" t="str">
        <f>IF(Table1[[#This Row],[Std Read]]="","N/A",Table1[[#This Row],[Std Read]]+Table1[[#This Row],[Std Ucty]])</f>
        <v>N/A</v>
      </c>
      <c r="Z25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7" s="1" t="str">
        <f>IF(Table1[[#This Row],[Spec Type]]="","N/A",Table1[[#This Row],[Spec Type]])</f>
        <v>±</v>
      </c>
      <c r="AC2507" s="1" t="str">
        <f>IF(Table1[[#This Row],[Spec Type2]]="N/A","N/A",IF(AND(Table1[[#This Row],[DUT Adj Read]]&gt;=Table1[[#This Row],[Low Tol]],Table1[[#This Row],[DUT Adj Read]]&lt;=Table1[[#This Row],[High Tol]]),"Pass","Fail"))</f>
        <v>Fail</v>
      </c>
      <c r="AD2507" s="1" t="str">
        <f>IF(AND(Table1[[#This Row],[Spec Type2]]="N/A",Table1[[#This Row],[DUT Adj Read]]="N/A",Table1[[#This Row],[Std Adj Read]]="N/A"),"N/A",IF(Table1[[#This Row],[DUT Adj Read]]="N/A",IF(Table1[[#This Row],[Std Adj Read]]&gt;Table1[[#This Row],[Low Tol]],"Pass","Fail"),IF(Table1[[#This Row],[DUT Adj Read]]&gt;Table1[[#This Row],[Low Tol]],"Pass","Fail")))</f>
        <v>Pass</v>
      </c>
      <c r="AE2507" s="1" t="str">
        <f>IF(AND(Table1[[#This Row],[Spec Type2]]="N/A",Table1[[#This Row],[DUT Adj Read]]="N/A",Table1[[#This Row],[Std Adj Read]]="N/A"),"N/A",IF(Table1[[#This Row],[DUT Adj Read]]="N/A",IF(Table1[[#This Row],[Std Adj Read]]&lt;Table1[[#This Row],[High Tol]],"Pass","Fail"),IF(Table1[[#This Row],[DUT Adj Read]]&lt;Table1[[#This Row],[High Tol]],"Pass","Fail")))</f>
        <v>Fail</v>
      </c>
      <c r="AF2507" s="1" t="str">
        <f>IF(AND(Table1[[#This Row],[Spec Type2]]="N/A",Table1[[#This Row],[DUT Adj Read]]="N/A",Table1[[#This Row],[Std Adj Read]]="N/A"),"N/A",IF(Table1[[#This Row],[DUT Adj Read]]="N/A",IF(Table1[[#This Row],[Std Adj Read]]&gt;=Table1[[#This Row],[Low Tol]],"Pass","Fail"),IF(Table1[[#This Row],[DUT Adj Read]]&gt;=Table1[[#This Row],[Low Tol]],"Pass","Fail")))</f>
        <v>Pass</v>
      </c>
      <c r="AG2507" s="1" t="str">
        <f>IF(AND(Table1[[#This Row],[Spec Type2]]="N/A",Table1[[#This Row],[DUT Adj Read]]="N/A",Table1[[#This Row],[Std Adj Read]]="N/A"),"N/A",IF(Table1[[#This Row],[DUT Adj Read]]="N/A",IF(Table1[[#This Row],[Std Adj Read]]&lt;=Table1[[#This Row],[High Tol]],"Pass","Fail"),IF(Table1[[#This Row],[DUT Adj Read]]&lt;=Table1[[#This Row],[High Tol]],"Pass","Fail")))</f>
        <v>Fail</v>
      </c>
      <c r="AH25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7" s="1" t="b">
        <v>0</v>
      </c>
      <c r="AN2507" s="1" t="b">
        <v>0</v>
      </c>
      <c r="AO2507" s="1" t="b">
        <v>0</v>
      </c>
    </row>
    <row r="2508" spans="1:41" x14ac:dyDescent="0.25">
      <c r="A2508" s="10"/>
      <c r="B2508" s="10"/>
      <c r="C2508" s="10"/>
      <c r="D2508" s="10"/>
      <c r="E2508" s="10"/>
      <c r="F2508" s="10"/>
      <c r="G2508" s="10"/>
      <c r="H2508" s="10"/>
      <c r="I2508" s="1" t="str">
        <f t="shared" si="117"/>
        <v/>
      </c>
      <c r="J2508" s="1" t="s">
        <v>35</v>
      </c>
      <c r="K2508" s="1" t="str">
        <f t="shared" si="118"/>
        <v/>
      </c>
      <c r="L2508" s="1" t="str">
        <f t="shared" si="119"/>
        <v/>
      </c>
      <c r="M2508" s="1">
        <f>IF(OR(Table1[[#This Row],[Std Nom]]="",Table1[[#This Row],[Std Read]]=""),0,Table1[[#This Row],[Std Nom]]-Table1[[#This Row],[Std Read]])</f>
        <v>0</v>
      </c>
      <c r="N2508" s="1">
        <f>IF(Calculations!$F$5="ACCREDITED 17025 WITH UNCERTAINTIES",$N$10,0)</f>
        <v>0</v>
      </c>
      <c r="Q2508" s="1">
        <f>Table1[[#This Row],[High Tol]]-Table1[[#This Row],[Low Tol]]</f>
        <v>0</v>
      </c>
      <c r="R2508" s="1">
        <f>2*Table1[[#This Row],[Std Error]]</f>
        <v>0</v>
      </c>
      <c r="S2508" s="1" t="str">
        <f>IF(Table1[[#This Row],[High Tol]]="","N/A",IFERROR(ABS(Table1[[#This Row],[Tol Span]]/Table1[[#This Row],[Error Span]]),"N/A"))</f>
        <v>N/A</v>
      </c>
      <c r="T2508" s="1" t="str">
        <f>IF(OR(Table1[[#This Row],[Low Tol]]="",Table1[[#This Row],[High Tol]]=""),"Needs Analysis",IF(Table1[[#This Row],[Ratio]]&gt;=4,"Not Significant",IF(Table1[[#This Row],[Ratio]]&gt;=2,"Semi-Significant","Significant")))</f>
        <v>Needs Analysis</v>
      </c>
      <c r="W2508" s="1">
        <f>IF(Table1[[#This Row],[Cal Type]]&lt;&gt;"ACCREDITED 17025 WITH UNCERTAINTIES",0,"")</f>
        <v>0</v>
      </c>
      <c r="X2508" s="1" t="str">
        <f>IF(Table1[[#This Row],[DUT Read]]="","N/A",Table1[[#This Row],[Std Error]]+Table1[[#This Row],[DUT Read]]+Table1[[#This Row],[DUT Ucty]])</f>
        <v>N/A</v>
      </c>
      <c r="Y2508" s="1" t="str">
        <f>IF(Table1[[#This Row],[Std Read]]="","N/A",Table1[[#This Row],[Std Read]]+Table1[[#This Row],[Std Ucty]])</f>
        <v>N/A</v>
      </c>
      <c r="Z25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8" s="1" t="str">
        <f>IF(Table1[[#This Row],[Spec Type]]="","N/A",Table1[[#This Row],[Spec Type]])</f>
        <v>±</v>
      </c>
      <c r="AC2508" s="1" t="str">
        <f>IF(Table1[[#This Row],[Spec Type2]]="N/A","N/A",IF(AND(Table1[[#This Row],[DUT Adj Read]]&gt;=Table1[[#This Row],[Low Tol]],Table1[[#This Row],[DUT Adj Read]]&lt;=Table1[[#This Row],[High Tol]]),"Pass","Fail"))</f>
        <v>Fail</v>
      </c>
      <c r="AD2508" s="1" t="str">
        <f>IF(AND(Table1[[#This Row],[Spec Type2]]="N/A",Table1[[#This Row],[DUT Adj Read]]="N/A",Table1[[#This Row],[Std Adj Read]]="N/A"),"N/A",IF(Table1[[#This Row],[DUT Adj Read]]="N/A",IF(Table1[[#This Row],[Std Adj Read]]&gt;Table1[[#This Row],[Low Tol]],"Pass","Fail"),IF(Table1[[#This Row],[DUT Adj Read]]&gt;Table1[[#This Row],[Low Tol]],"Pass","Fail")))</f>
        <v>Pass</v>
      </c>
      <c r="AE2508" s="1" t="str">
        <f>IF(AND(Table1[[#This Row],[Spec Type2]]="N/A",Table1[[#This Row],[DUT Adj Read]]="N/A",Table1[[#This Row],[Std Adj Read]]="N/A"),"N/A",IF(Table1[[#This Row],[DUT Adj Read]]="N/A",IF(Table1[[#This Row],[Std Adj Read]]&lt;Table1[[#This Row],[High Tol]],"Pass","Fail"),IF(Table1[[#This Row],[DUT Adj Read]]&lt;Table1[[#This Row],[High Tol]],"Pass","Fail")))</f>
        <v>Fail</v>
      </c>
      <c r="AF2508" s="1" t="str">
        <f>IF(AND(Table1[[#This Row],[Spec Type2]]="N/A",Table1[[#This Row],[DUT Adj Read]]="N/A",Table1[[#This Row],[Std Adj Read]]="N/A"),"N/A",IF(Table1[[#This Row],[DUT Adj Read]]="N/A",IF(Table1[[#This Row],[Std Adj Read]]&gt;=Table1[[#This Row],[Low Tol]],"Pass","Fail"),IF(Table1[[#This Row],[DUT Adj Read]]&gt;=Table1[[#This Row],[Low Tol]],"Pass","Fail")))</f>
        <v>Pass</v>
      </c>
      <c r="AG2508" s="1" t="str">
        <f>IF(AND(Table1[[#This Row],[Spec Type2]]="N/A",Table1[[#This Row],[DUT Adj Read]]="N/A",Table1[[#This Row],[Std Adj Read]]="N/A"),"N/A",IF(Table1[[#This Row],[DUT Adj Read]]="N/A",IF(Table1[[#This Row],[Std Adj Read]]&lt;=Table1[[#This Row],[High Tol]],"Pass","Fail"),IF(Table1[[#This Row],[DUT Adj Read]]&lt;=Table1[[#This Row],[High Tol]],"Pass","Fail")))</f>
        <v>Fail</v>
      </c>
      <c r="AH25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8" s="1" t="b">
        <v>0</v>
      </c>
      <c r="AN2508" s="1" t="b">
        <v>0</v>
      </c>
      <c r="AO2508" s="1" t="b">
        <v>0</v>
      </c>
    </row>
    <row r="2509" spans="1:41" x14ac:dyDescent="0.25">
      <c r="A2509" s="10"/>
      <c r="B2509" s="10"/>
      <c r="C2509" s="10"/>
      <c r="D2509" s="10"/>
      <c r="E2509" s="10"/>
      <c r="F2509" s="10"/>
      <c r="G2509" s="10"/>
      <c r="H2509" s="10"/>
      <c r="I2509" s="1" t="str">
        <f t="shared" si="117"/>
        <v/>
      </c>
      <c r="J2509" s="1" t="s">
        <v>35</v>
      </c>
      <c r="K2509" s="1" t="str">
        <f t="shared" si="118"/>
        <v/>
      </c>
      <c r="L2509" s="1" t="str">
        <f t="shared" si="119"/>
        <v/>
      </c>
      <c r="M2509" s="1">
        <f>IF(OR(Table1[[#This Row],[Std Nom]]="",Table1[[#This Row],[Std Read]]=""),0,Table1[[#This Row],[Std Nom]]-Table1[[#This Row],[Std Read]])</f>
        <v>0</v>
      </c>
      <c r="N2509" s="1">
        <f>IF(Calculations!$F$5="ACCREDITED 17025 WITH UNCERTAINTIES",$N$10,0)</f>
        <v>0</v>
      </c>
      <c r="Q2509" s="1">
        <f>Table1[[#This Row],[High Tol]]-Table1[[#This Row],[Low Tol]]</f>
        <v>0</v>
      </c>
      <c r="R2509" s="1">
        <f>2*Table1[[#This Row],[Std Error]]</f>
        <v>0</v>
      </c>
      <c r="S2509" s="1" t="str">
        <f>IF(Table1[[#This Row],[High Tol]]="","N/A",IFERROR(ABS(Table1[[#This Row],[Tol Span]]/Table1[[#This Row],[Error Span]]),"N/A"))</f>
        <v>N/A</v>
      </c>
      <c r="T2509" s="1" t="str">
        <f>IF(OR(Table1[[#This Row],[Low Tol]]="",Table1[[#This Row],[High Tol]]=""),"Needs Analysis",IF(Table1[[#This Row],[Ratio]]&gt;=4,"Not Significant",IF(Table1[[#This Row],[Ratio]]&gt;=2,"Semi-Significant","Significant")))</f>
        <v>Needs Analysis</v>
      </c>
      <c r="W2509" s="1">
        <f>IF(Table1[[#This Row],[Cal Type]]&lt;&gt;"ACCREDITED 17025 WITH UNCERTAINTIES",0,"")</f>
        <v>0</v>
      </c>
      <c r="X2509" s="1" t="str">
        <f>IF(Table1[[#This Row],[DUT Read]]="","N/A",Table1[[#This Row],[Std Error]]+Table1[[#This Row],[DUT Read]]+Table1[[#This Row],[DUT Ucty]])</f>
        <v>N/A</v>
      </c>
      <c r="Y2509" s="1" t="str">
        <f>IF(Table1[[#This Row],[Std Read]]="","N/A",Table1[[#This Row],[Std Read]]+Table1[[#This Row],[Std Ucty]])</f>
        <v>N/A</v>
      </c>
      <c r="Z25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09" s="1" t="str">
        <f>IF(Table1[[#This Row],[Spec Type]]="","N/A",Table1[[#This Row],[Spec Type]])</f>
        <v>±</v>
      </c>
      <c r="AC2509" s="1" t="str">
        <f>IF(Table1[[#This Row],[Spec Type2]]="N/A","N/A",IF(AND(Table1[[#This Row],[DUT Adj Read]]&gt;=Table1[[#This Row],[Low Tol]],Table1[[#This Row],[DUT Adj Read]]&lt;=Table1[[#This Row],[High Tol]]),"Pass","Fail"))</f>
        <v>Fail</v>
      </c>
      <c r="AD2509" s="1" t="str">
        <f>IF(AND(Table1[[#This Row],[Spec Type2]]="N/A",Table1[[#This Row],[DUT Adj Read]]="N/A",Table1[[#This Row],[Std Adj Read]]="N/A"),"N/A",IF(Table1[[#This Row],[DUT Adj Read]]="N/A",IF(Table1[[#This Row],[Std Adj Read]]&gt;Table1[[#This Row],[Low Tol]],"Pass","Fail"),IF(Table1[[#This Row],[DUT Adj Read]]&gt;Table1[[#This Row],[Low Tol]],"Pass","Fail")))</f>
        <v>Pass</v>
      </c>
      <c r="AE2509" s="1" t="str">
        <f>IF(AND(Table1[[#This Row],[Spec Type2]]="N/A",Table1[[#This Row],[DUT Adj Read]]="N/A",Table1[[#This Row],[Std Adj Read]]="N/A"),"N/A",IF(Table1[[#This Row],[DUT Adj Read]]="N/A",IF(Table1[[#This Row],[Std Adj Read]]&lt;Table1[[#This Row],[High Tol]],"Pass","Fail"),IF(Table1[[#This Row],[DUT Adj Read]]&lt;Table1[[#This Row],[High Tol]],"Pass","Fail")))</f>
        <v>Fail</v>
      </c>
      <c r="AF2509" s="1" t="str">
        <f>IF(AND(Table1[[#This Row],[Spec Type2]]="N/A",Table1[[#This Row],[DUT Adj Read]]="N/A",Table1[[#This Row],[Std Adj Read]]="N/A"),"N/A",IF(Table1[[#This Row],[DUT Adj Read]]="N/A",IF(Table1[[#This Row],[Std Adj Read]]&gt;=Table1[[#This Row],[Low Tol]],"Pass","Fail"),IF(Table1[[#This Row],[DUT Adj Read]]&gt;=Table1[[#This Row],[Low Tol]],"Pass","Fail")))</f>
        <v>Pass</v>
      </c>
      <c r="AG2509" s="1" t="str">
        <f>IF(AND(Table1[[#This Row],[Spec Type2]]="N/A",Table1[[#This Row],[DUT Adj Read]]="N/A",Table1[[#This Row],[Std Adj Read]]="N/A"),"N/A",IF(Table1[[#This Row],[DUT Adj Read]]="N/A",IF(Table1[[#This Row],[Std Adj Read]]&lt;=Table1[[#This Row],[High Tol]],"Pass","Fail"),IF(Table1[[#This Row],[DUT Adj Read]]&lt;=Table1[[#This Row],[High Tol]],"Pass","Fail")))</f>
        <v>Fail</v>
      </c>
      <c r="AH25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09" s="1" t="b">
        <v>0</v>
      </c>
      <c r="AN2509" s="1" t="b">
        <v>0</v>
      </c>
      <c r="AO2509" s="1" t="b">
        <v>0</v>
      </c>
    </row>
    <row r="2510" spans="1:41" x14ac:dyDescent="0.25">
      <c r="A2510" s="10"/>
      <c r="B2510" s="10"/>
      <c r="C2510" s="10"/>
      <c r="D2510" s="10"/>
      <c r="E2510" s="10"/>
      <c r="F2510" s="10"/>
      <c r="G2510" s="10"/>
      <c r="H2510" s="10"/>
      <c r="I2510" s="1" t="str">
        <f t="shared" si="117"/>
        <v/>
      </c>
      <c r="J2510" s="1" t="s">
        <v>35</v>
      </c>
      <c r="K2510" s="1" t="str">
        <f t="shared" si="118"/>
        <v/>
      </c>
      <c r="L2510" s="1" t="str">
        <f t="shared" si="119"/>
        <v/>
      </c>
      <c r="M2510" s="1">
        <f>IF(OR(Table1[[#This Row],[Std Nom]]="",Table1[[#This Row],[Std Read]]=""),0,Table1[[#This Row],[Std Nom]]-Table1[[#This Row],[Std Read]])</f>
        <v>0</v>
      </c>
      <c r="N2510" s="1">
        <f>IF(Calculations!$F$5="ACCREDITED 17025 WITH UNCERTAINTIES",$N$10,0)</f>
        <v>0</v>
      </c>
      <c r="Q2510" s="1">
        <f>Table1[[#This Row],[High Tol]]-Table1[[#This Row],[Low Tol]]</f>
        <v>0</v>
      </c>
      <c r="R2510" s="1">
        <f>2*Table1[[#This Row],[Std Error]]</f>
        <v>0</v>
      </c>
      <c r="S2510" s="1" t="str">
        <f>IF(Table1[[#This Row],[High Tol]]="","N/A",IFERROR(ABS(Table1[[#This Row],[Tol Span]]/Table1[[#This Row],[Error Span]]),"N/A"))</f>
        <v>N/A</v>
      </c>
      <c r="T2510" s="1" t="str">
        <f>IF(OR(Table1[[#This Row],[Low Tol]]="",Table1[[#This Row],[High Tol]]=""),"Needs Analysis",IF(Table1[[#This Row],[Ratio]]&gt;=4,"Not Significant",IF(Table1[[#This Row],[Ratio]]&gt;=2,"Semi-Significant","Significant")))</f>
        <v>Needs Analysis</v>
      </c>
      <c r="W2510" s="1">
        <f>IF(Table1[[#This Row],[Cal Type]]&lt;&gt;"ACCREDITED 17025 WITH UNCERTAINTIES",0,"")</f>
        <v>0</v>
      </c>
      <c r="X2510" s="1" t="str">
        <f>IF(Table1[[#This Row],[DUT Read]]="","N/A",Table1[[#This Row],[Std Error]]+Table1[[#This Row],[DUT Read]]+Table1[[#This Row],[DUT Ucty]])</f>
        <v>N/A</v>
      </c>
      <c r="Y2510" s="1" t="str">
        <f>IF(Table1[[#This Row],[Std Read]]="","N/A",Table1[[#This Row],[Std Read]]+Table1[[#This Row],[Std Ucty]])</f>
        <v>N/A</v>
      </c>
      <c r="Z25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0" s="1" t="str">
        <f>IF(Table1[[#This Row],[Spec Type]]="","N/A",Table1[[#This Row],[Spec Type]])</f>
        <v>±</v>
      </c>
      <c r="AC2510" s="1" t="str">
        <f>IF(Table1[[#This Row],[Spec Type2]]="N/A","N/A",IF(AND(Table1[[#This Row],[DUT Adj Read]]&gt;=Table1[[#This Row],[Low Tol]],Table1[[#This Row],[DUT Adj Read]]&lt;=Table1[[#This Row],[High Tol]]),"Pass","Fail"))</f>
        <v>Fail</v>
      </c>
      <c r="AD2510" s="1" t="str">
        <f>IF(AND(Table1[[#This Row],[Spec Type2]]="N/A",Table1[[#This Row],[DUT Adj Read]]="N/A",Table1[[#This Row],[Std Adj Read]]="N/A"),"N/A",IF(Table1[[#This Row],[DUT Adj Read]]="N/A",IF(Table1[[#This Row],[Std Adj Read]]&gt;Table1[[#This Row],[Low Tol]],"Pass","Fail"),IF(Table1[[#This Row],[DUT Adj Read]]&gt;Table1[[#This Row],[Low Tol]],"Pass","Fail")))</f>
        <v>Pass</v>
      </c>
      <c r="AE2510" s="1" t="str">
        <f>IF(AND(Table1[[#This Row],[Spec Type2]]="N/A",Table1[[#This Row],[DUT Adj Read]]="N/A",Table1[[#This Row],[Std Adj Read]]="N/A"),"N/A",IF(Table1[[#This Row],[DUT Adj Read]]="N/A",IF(Table1[[#This Row],[Std Adj Read]]&lt;Table1[[#This Row],[High Tol]],"Pass","Fail"),IF(Table1[[#This Row],[DUT Adj Read]]&lt;Table1[[#This Row],[High Tol]],"Pass","Fail")))</f>
        <v>Fail</v>
      </c>
      <c r="AF2510" s="1" t="str">
        <f>IF(AND(Table1[[#This Row],[Spec Type2]]="N/A",Table1[[#This Row],[DUT Adj Read]]="N/A",Table1[[#This Row],[Std Adj Read]]="N/A"),"N/A",IF(Table1[[#This Row],[DUT Adj Read]]="N/A",IF(Table1[[#This Row],[Std Adj Read]]&gt;=Table1[[#This Row],[Low Tol]],"Pass","Fail"),IF(Table1[[#This Row],[DUT Adj Read]]&gt;=Table1[[#This Row],[Low Tol]],"Pass","Fail")))</f>
        <v>Pass</v>
      </c>
      <c r="AG2510" s="1" t="str">
        <f>IF(AND(Table1[[#This Row],[Spec Type2]]="N/A",Table1[[#This Row],[DUT Adj Read]]="N/A",Table1[[#This Row],[Std Adj Read]]="N/A"),"N/A",IF(Table1[[#This Row],[DUT Adj Read]]="N/A",IF(Table1[[#This Row],[Std Adj Read]]&lt;=Table1[[#This Row],[High Tol]],"Pass","Fail"),IF(Table1[[#This Row],[DUT Adj Read]]&lt;=Table1[[#This Row],[High Tol]],"Pass","Fail")))</f>
        <v>Fail</v>
      </c>
      <c r="AH25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0" s="1" t="b">
        <v>0</v>
      </c>
      <c r="AN2510" s="1" t="b">
        <v>0</v>
      </c>
      <c r="AO2510" s="1" t="b">
        <v>0</v>
      </c>
    </row>
    <row r="2511" spans="1:41" x14ac:dyDescent="0.25">
      <c r="A2511" s="10"/>
      <c r="B2511" s="10"/>
      <c r="C2511" s="10"/>
      <c r="D2511" s="10"/>
      <c r="E2511" s="10"/>
      <c r="F2511" s="10"/>
      <c r="G2511" s="10"/>
      <c r="H2511" s="10"/>
      <c r="I2511" s="1" t="str">
        <f t="shared" si="117"/>
        <v/>
      </c>
      <c r="J2511" s="1" t="s">
        <v>35</v>
      </c>
      <c r="K2511" s="1" t="str">
        <f t="shared" si="118"/>
        <v/>
      </c>
      <c r="L2511" s="1" t="str">
        <f t="shared" si="119"/>
        <v/>
      </c>
      <c r="M2511" s="1">
        <f>IF(OR(Table1[[#This Row],[Std Nom]]="",Table1[[#This Row],[Std Read]]=""),0,Table1[[#This Row],[Std Nom]]-Table1[[#This Row],[Std Read]])</f>
        <v>0</v>
      </c>
      <c r="N2511" s="1">
        <f>IF(Calculations!$F$5="ACCREDITED 17025 WITH UNCERTAINTIES",$N$10,0)</f>
        <v>0</v>
      </c>
      <c r="Q2511" s="1">
        <f>Table1[[#This Row],[High Tol]]-Table1[[#This Row],[Low Tol]]</f>
        <v>0</v>
      </c>
      <c r="R2511" s="1">
        <f>2*Table1[[#This Row],[Std Error]]</f>
        <v>0</v>
      </c>
      <c r="S2511" s="1" t="str">
        <f>IF(Table1[[#This Row],[High Tol]]="","N/A",IFERROR(ABS(Table1[[#This Row],[Tol Span]]/Table1[[#This Row],[Error Span]]),"N/A"))</f>
        <v>N/A</v>
      </c>
      <c r="T2511" s="1" t="str">
        <f>IF(OR(Table1[[#This Row],[Low Tol]]="",Table1[[#This Row],[High Tol]]=""),"Needs Analysis",IF(Table1[[#This Row],[Ratio]]&gt;=4,"Not Significant",IF(Table1[[#This Row],[Ratio]]&gt;=2,"Semi-Significant","Significant")))</f>
        <v>Needs Analysis</v>
      </c>
      <c r="W2511" s="1">
        <f>IF(Table1[[#This Row],[Cal Type]]&lt;&gt;"ACCREDITED 17025 WITH UNCERTAINTIES",0,"")</f>
        <v>0</v>
      </c>
      <c r="X2511" s="1" t="str">
        <f>IF(Table1[[#This Row],[DUT Read]]="","N/A",Table1[[#This Row],[Std Error]]+Table1[[#This Row],[DUT Read]]+Table1[[#This Row],[DUT Ucty]])</f>
        <v>N/A</v>
      </c>
      <c r="Y2511" s="1" t="str">
        <f>IF(Table1[[#This Row],[Std Read]]="","N/A",Table1[[#This Row],[Std Read]]+Table1[[#This Row],[Std Ucty]])</f>
        <v>N/A</v>
      </c>
      <c r="Z25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1" s="1" t="str">
        <f>IF(Table1[[#This Row],[Spec Type]]="","N/A",Table1[[#This Row],[Spec Type]])</f>
        <v>±</v>
      </c>
      <c r="AC2511" s="1" t="str">
        <f>IF(Table1[[#This Row],[Spec Type2]]="N/A","N/A",IF(AND(Table1[[#This Row],[DUT Adj Read]]&gt;=Table1[[#This Row],[Low Tol]],Table1[[#This Row],[DUT Adj Read]]&lt;=Table1[[#This Row],[High Tol]]),"Pass","Fail"))</f>
        <v>Fail</v>
      </c>
      <c r="AD2511" s="1" t="str">
        <f>IF(AND(Table1[[#This Row],[Spec Type2]]="N/A",Table1[[#This Row],[DUT Adj Read]]="N/A",Table1[[#This Row],[Std Adj Read]]="N/A"),"N/A",IF(Table1[[#This Row],[DUT Adj Read]]="N/A",IF(Table1[[#This Row],[Std Adj Read]]&gt;Table1[[#This Row],[Low Tol]],"Pass","Fail"),IF(Table1[[#This Row],[DUT Adj Read]]&gt;Table1[[#This Row],[Low Tol]],"Pass","Fail")))</f>
        <v>Pass</v>
      </c>
      <c r="AE2511" s="1" t="str">
        <f>IF(AND(Table1[[#This Row],[Spec Type2]]="N/A",Table1[[#This Row],[DUT Adj Read]]="N/A",Table1[[#This Row],[Std Adj Read]]="N/A"),"N/A",IF(Table1[[#This Row],[DUT Adj Read]]="N/A",IF(Table1[[#This Row],[Std Adj Read]]&lt;Table1[[#This Row],[High Tol]],"Pass","Fail"),IF(Table1[[#This Row],[DUT Adj Read]]&lt;Table1[[#This Row],[High Tol]],"Pass","Fail")))</f>
        <v>Fail</v>
      </c>
      <c r="AF2511" s="1" t="str">
        <f>IF(AND(Table1[[#This Row],[Spec Type2]]="N/A",Table1[[#This Row],[DUT Adj Read]]="N/A",Table1[[#This Row],[Std Adj Read]]="N/A"),"N/A",IF(Table1[[#This Row],[DUT Adj Read]]="N/A",IF(Table1[[#This Row],[Std Adj Read]]&gt;=Table1[[#This Row],[Low Tol]],"Pass","Fail"),IF(Table1[[#This Row],[DUT Adj Read]]&gt;=Table1[[#This Row],[Low Tol]],"Pass","Fail")))</f>
        <v>Pass</v>
      </c>
      <c r="AG2511" s="1" t="str">
        <f>IF(AND(Table1[[#This Row],[Spec Type2]]="N/A",Table1[[#This Row],[DUT Adj Read]]="N/A",Table1[[#This Row],[Std Adj Read]]="N/A"),"N/A",IF(Table1[[#This Row],[DUT Adj Read]]="N/A",IF(Table1[[#This Row],[Std Adj Read]]&lt;=Table1[[#This Row],[High Tol]],"Pass","Fail"),IF(Table1[[#This Row],[DUT Adj Read]]&lt;=Table1[[#This Row],[High Tol]],"Pass","Fail")))</f>
        <v>Fail</v>
      </c>
      <c r="AH25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1" s="1" t="b">
        <v>0</v>
      </c>
      <c r="AN2511" s="1" t="b">
        <v>0</v>
      </c>
      <c r="AO2511" s="1" t="b">
        <v>0</v>
      </c>
    </row>
    <row r="2512" spans="1:41" x14ac:dyDescent="0.25">
      <c r="A2512" s="10"/>
      <c r="B2512" s="10"/>
      <c r="C2512" s="10"/>
      <c r="D2512" s="10"/>
      <c r="E2512" s="10"/>
      <c r="F2512" s="10"/>
      <c r="G2512" s="10"/>
      <c r="H2512" s="10"/>
      <c r="I2512" s="1" t="str">
        <f t="shared" si="117"/>
        <v/>
      </c>
      <c r="J2512" s="1" t="s">
        <v>35</v>
      </c>
      <c r="K2512" s="1" t="str">
        <f t="shared" si="118"/>
        <v/>
      </c>
      <c r="L2512" s="1" t="str">
        <f t="shared" si="119"/>
        <v/>
      </c>
      <c r="M2512" s="1">
        <f>IF(OR(Table1[[#This Row],[Std Nom]]="",Table1[[#This Row],[Std Read]]=""),0,Table1[[#This Row],[Std Nom]]-Table1[[#This Row],[Std Read]])</f>
        <v>0</v>
      </c>
      <c r="N2512" s="1">
        <f>IF(Calculations!$F$5="ACCREDITED 17025 WITH UNCERTAINTIES",$N$10,0)</f>
        <v>0</v>
      </c>
      <c r="Q2512" s="1">
        <f>Table1[[#This Row],[High Tol]]-Table1[[#This Row],[Low Tol]]</f>
        <v>0</v>
      </c>
      <c r="R2512" s="1">
        <f>2*Table1[[#This Row],[Std Error]]</f>
        <v>0</v>
      </c>
      <c r="S2512" s="1" t="str">
        <f>IF(Table1[[#This Row],[High Tol]]="","N/A",IFERROR(ABS(Table1[[#This Row],[Tol Span]]/Table1[[#This Row],[Error Span]]),"N/A"))</f>
        <v>N/A</v>
      </c>
      <c r="T2512" s="1" t="str">
        <f>IF(OR(Table1[[#This Row],[Low Tol]]="",Table1[[#This Row],[High Tol]]=""),"Needs Analysis",IF(Table1[[#This Row],[Ratio]]&gt;=4,"Not Significant",IF(Table1[[#This Row],[Ratio]]&gt;=2,"Semi-Significant","Significant")))</f>
        <v>Needs Analysis</v>
      </c>
      <c r="W2512" s="1">
        <f>IF(Table1[[#This Row],[Cal Type]]&lt;&gt;"ACCREDITED 17025 WITH UNCERTAINTIES",0,"")</f>
        <v>0</v>
      </c>
      <c r="X2512" s="1" t="str">
        <f>IF(Table1[[#This Row],[DUT Read]]="","N/A",Table1[[#This Row],[Std Error]]+Table1[[#This Row],[DUT Read]]+Table1[[#This Row],[DUT Ucty]])</f>
        <v>N/A</v>
      </c>
      <c r="Y2512" s="1" t="str">
        <f>IF(Table1[[#This Row],[Std Read]]="","N/A",Table1[[#This Row],[Std Read]]+Table1[[#This Row],[Std Ucty]])</f>
        <v>N/A</v>
      </c>
      <c r="Z25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2" s="1" t="str">
        <f>IF(Table1[[#This Row],[Spec Type]]="","N/A",Table1[[#This Row],[Spec Type]])</f>
        <v>±</v>
      </c>
      <c r="AC2512" s="1" t="str">
        <f>IF(Table1[[#This Row],[Spec Type2]]="N/A","N/A",IF(AND(Table1[[#This Row],[DUT Adj Read]]&gt;=Table1[[#This Row],[Low Tol]],Table1[[#This Row],[DUT Adj Read]]&lt;=Table1[[#This Row],[High Tol]]),"Pass","Fail"))</f>
        <v>Fail</v>
      </c>
      <c r="AD2512" s="1" t="str">
        <f>IF(AND(Table1[[#This Row],[Spec Type2]]="N/A",Table1[[#This Row],[DUT Adj Read]]="N/A",Table1[[#This Row],[Std Adj Read]]="N/A"),"N/A",IF(Table1[[#This Row],[DUT Adj Read]]="N/A",IF(Table1[[#This Row],[Std Adj Read]]&gt;Table1[[#This Row],[Low Tol]],"Pass","Fail"),IF(Table1[[#This Row],[DUT Adj Read]]&gt;Table1[[#This Row],[Low Tol]],"Pass","Fail")))</f>
        <v>Pass</v>
      </c>
      <c r="AE2512" s="1" t="str">
        <f>IF(AND(Table1[[#This Row],[Spec Type2]]="N/A",Table1[[#This Row],[DUT Adj Read]]="N/A",Table1[[#This Row],[Std Adj Read]]="N/A"),"N/A",IF(Table1[[#This Row],[DUT Adj Read]]="N/A",IF(Table1[[#This Row],[Std Adj Read]]&lt;Table1[[#This Row],[High Tol]],"Pass","Fail"),IF(Table1[[#This Row],[DUT Adj Read]]&lt;Table1[[#This Row],[High Tol]],"Pass","Fail")))</f>
        <v>Fail</v>
      </c>
      <c r="AF2512" s="1" t="str">
        <f>IF(AND(Table1[[#This Row],[Spec Type2]]="N/A",Table1[[#This Row],[DUT Adj Read]]="N/A",Table1[[#This Row],[Std Adj Read]]="N/A"),"N/A",IF(Table1[[#This Row],[DUT Adj Read]]="N/A",IF(Table1[[#This Row],[Std Adj Read]]&gt;=Table1[[#This Row],[Low Tol]],"Pass","Fail"),IF(Table1[[#This Row],[DUT Adj Read]]&gt;=Table1[[#This Row],[Low Tol]],"Pass","Fail")))</f>
        <v>Pass</v>
      </c>
      <c r="AG2512" s="1" t="str">
        <f>IF(AND(Table1[[#This Row],[Spec Type2]]="N/A",Table1[[#This Row],[DUT Adj Read]]="N/A",Table1[[#This Row],[Std Adj Read]]="N/A"),"N/A",IF(Table1[[#This Row],[DUT Adj Read]]="N/A",IF(Table1[[#This Row],[Std Adj Read]]&lt;=Table1[[#This Row],[High Tol]],"Pass","Fail"),IF(Table1[[#This Row],[DUT Adj Read]]&lt;=Table1[[#This Row],[High Tol]],"Pass","Fail")))</f>
        <v>Fail</v>
      </c>
      <c r="AH25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2" s="1" t="b">
        <v>0</v>
      </c>
      <c r="AN2512" s="1" t="b">
        <v>0</v>
      </c>
      <c r="AO2512" s="1" t="b">
        <v>0</v>
      </c>
    </row>
    <row r="2513" spans="1:41" x14ac:dyDescent="0.25">
      <c r="A2513" s="10"/>
      <c r="B2513" s="10"/>
      <c r="C2513" s="10"/>
      <c r="D2513" s="10"/>
      <c r="E2513" s="10"/>
      <c r="F2513" s="10"/>
      <c r="G2513" s="10"/>
      <c r="H2513" s="10"/>
      <c r="I2513" s="1" t="str">
        <f t="shared" si="117"/>
        <v/>
      </c>
      <c r="J2513" s="1" t="s">
        <v>35</v>
      </c>
      <c r="K2513" s="1" t="str">
        <f t="shared" si="118"/>
        <v/>
      </c>
      <c r="L2513" s="1" t="str">
        <f t="shared" si="119"/>
        <v/>
      </c>
      <c r="M2513" s="1">
        <f>IF(OR(Table1[[#This Row],[Std Nom]]="",Table1[[#This Row],[Std Read]]=""),0,Table1[[#This Row],[Std Nom]]-Table1[[#This Row],[Std Read]])</f>
        <v>0</v>
      </c>
      <c r="N2513" s="1">
        <f>IF(Calculations!$F$5="ACCREDITED 17025 WITH UNCERTAINTIES",$N$10,0)</f>
        <v>0</v>
      </c>
      <c r="Q2513" s="1">
        <f>Table1[[#This Row],[High Tol]]-Table1[[#This Row],[Low Tol]]</f>
        <v>0</v>
      </c>
      <c r="R2513" s="1">
        <f>2*Table1[[#This Row],[Std Error]]</f>
        <v>0</v>
      </c>
      <c r="S2513" s="1" t="str">
        <f>IF(Table1[[#This Row],[High Tol]]="","N/A",IFERROR(ABS(Table1[[#This Row],[Tol Span]]/Table1[[#This Row],[Error Span]]),"N/A"))</f>
        <v>N/A</v>
      </c>
      <c r="T2513" s="1" t="str">
        <f>IF(OR(Table1[[#This Row],[Low Tol]]="",Table1[[#This Row],[High Tol]]=""),"Needs Analysis",IF(Table1[[#This Row],[Ratio]]&gt;=4,"Not Significant",IF(Table1[[#This Row],[Ratio]]&gt;=2,"Semi-Significant","Significant")))</f>
        <v>Needs Analysis</v>
      </c>
      <c r="W2513" s="1">
        <f>IF(Table1[[#This Row],[Cal Type]]&lt;&gt;"ACCREDITED 17025 WITH UNCERTAINTIES",0,"")</f>
        <v>0</v>
      </c>
      <c r="X2513" s="1" t="str">
        <f>IF(Table1[[#This Row],[DUT Read]]="","N/A",Table1[[#This Row],[Std Error]]+Table1[[#This Row],[DUT Read]]+Table1[[#This Row],[DUT Ucty]])</f>
        <v>N/A</v>
      </c>
      <c r="Y2513" s="1" t="str">
        <f>IF(Table1[[#This Row],[Std Read]]="","N/A",Table1[[#This Row],[Std Read]]+Table1[[#This Row],[Std Ucty]])</f>
        <v>N/A</v>
      </c>
      <c r="Z25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3" s="1" t="str">
        <f>IF(Table1[[#This Row],[Spec Type]]="","N/A",Table1[[#This Row],[Spec Type]])</f>
        <v>±</v>
      </c>
      <c r="AC2513" s="1" t="str">
        <f>IF(Table1[[#This Row],[Spec Type2]]="N/A","N/A",IF(AND(Table1[[#This Row],[DUT Adj Read]]&gt;=Table1[[#This Row],[Low Tol]],Table1[[#This Row],[DUT Adj Read]]&lt;=Table1[[#This Row],[High Tol]]),"Pass","Fail"))</f>
        <v>Fail</v>
      </c>
      <c r="AD2513" s="1" t="str">
        <f>IF(AND(Table1[[#This Row],[Spec Type2]]="N/A",Table1[[#This Row],[DUT Adj Read]]="N/A",Table1[[#This Row],[Std Adj Read]]="N/A"),"N/A",IF(Table1[[#This Row],[DUT Adj Read]]="N/A",IF(Table1[[#This Row],[Std Adj Read]]&gt;Table1[[#This Row],[Low Tol]],"Pass","Fail"),IF(Table1[[#This Row],[DUT Adj Read]]&gt;Table1[[#This Row],[Low Tol]],"Pass","Fail")))</f>
        <v>Pass</v>
      </c>
      <c r="AE2513" s="1" t="str">
        <f>IF(AND(Table1[[#This Row],[Spec Type2]]="N/A",Table1[[#This Row],[DUT Adj Read]]="N/A",Table1[[#This Row],[Std Adj Read]]="N/A"),"N/A",IF(Table1[[#This Row],[DUT Adj Read]]="N/A",IF(Table1[[#This Row],[Std Adj Read]]&lt;Table1[[#This Row],[High Tol]],"Pass","Fail"),IF(Table1[[#This Row],[DUT Adj Read]]&lt;Table1[[#This Row],[High Tol]],"Pass","Fail")))</f>
        <v>Fail</v>
      </c>
      <c r="AF2513" s="1" t="str">
        <f>IF(AND(Table1[[#This Row],[Spec Type2]]="N/A",Table1[[#This Row],[DUT Adj Read]]="N/A",Table1[[#This Row],[Std Adj Read]]="N/A"),"N/A",IF(Table1[[#This Row],[DUT Adj Read]]="N/A",IF(Table1[[#This Row],[Std Adj Read]]&gt;=Table1[[#This Row],[Low Tol]],"Pass","Fail"),IF(Table1[[#This Row],[DUT Adj Read]]&gt;=Table1[[#This Row],[Low Tol]],"Pass","Fail")))</f>
        <v>Pass</v>
      </c>
      <c r="AG2513" s="1" t="str">
        <f>IF(AND(Table1[[#This Row],[Spec Type2]]="N/A",Table1[[#This Row],[DUT Adj Read]]="N/A",Table1[[#This Row],[Std Adj Read]]="N/A"),"N/A",IF(Table1[[#This Row],[DUT Adj Read]]="N/A",IF(Table1[[#This Row],[Std Adj Read]]&lt;=Table1[[#This Row],[High Tol]],"Pass","Fail"),IF(Table1[[#This Row],[DUT Adj Read]]&lt;=Table1[[#This Row],[High Tol]],"Pass","Fail")))</f>
        <v>Fail</v>
      </c>
      <c r="AH25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3" s="1" t="b">
        <v>0</v>
      </c>
      <c r="AN2513" s="1" t="b">
        <v>0</v>
      </c>
      <c r="AO2513" s="1" t="b">
        <v>0</v>
      </c>
    </row>
    <row r="2514" spans="1:41" x14ac:dyDescent="0.25">
      <c r="A2514" s="10"/>
      <c r="B2514" s="10"/>
      <c r="C2514" s="10"/>
      <c r="D2514" s="10"/>
      <c r="E2514" s="10"/>
      <c r="F2514" s="10"/>
      <c r="G2514" s="10"/>
      <c r="H2514" s="10"/>
      <c r="I2514" s="1" t="str">
        <f t="shared" si="117"/>
        <v/>
      </c>
      <c r="J2514" s="1" t="s">
        <v>35</v>
      </c>
      <c r="K2514" s="1" t="str">
        <f t="shared" si="118"/>
        <v/>
      </c>
      <c r="L2514" s="1" t="str">
        <f t="shared" si="119"/>
        <v/>
      </c>
      <c r="M2514" s="1">
        <f>IF(OR(Table1[[#This Row],[Std Nom]]="",Table1[[#This Row],[Std Read]]=""),0,Table1[[#This Row],[Std Nom]]-Table1[[#This Row],[Std Read]])</f>
        <v>0</v>
      </c>
      <c r="N2514" s="1">
        <f>IF(Calculations!$F$5="ACCREDITED 17025 WITH UNCERTAINTIES",$N$10,0)</f>
        <v>0</v>
      </c>
      <c r="Q2514" s="1">
        <f>Table1[[#This Row],[High Tol]]-Table1[[#This Row],[Low Tol]]</f>
        <v>0</v>
      </c>
      <c r="R2514" s="1">
        <f>2*Table1[[#This Row],[Std Error]]</f>
        <v>0</v>
      </c>
      <c r="S2514" s="1" t="str">
        <f>IF(Table1[[#This Row],[High Tol]]="","N/A",IFERROR(ABS(Table1[[#This Row],[Tol Span]]/Table1[[#This Row],[Error Span]]),"N/A"))</f>
        <v>N/A</v>
      </c>
      <c r="T2514" s="1" t="str">
        <f>IF(OR(Table1[[#This Row],[Low Tol]]="",Table1[[#This Row],[High Tol]]=""),"Needs Analysis",IF(Table1[[#This Row],[Ratio]]&gt;=4,"Not Significant",IF(Table1[[#This Row],[Ratio]]&gt;=2,"Semi-Significant","Significant")))</f>
        <v>Needs Analysis</v>
      </c>
      <c r="W2514" s="1">
        <f>IF(Table1[[#This Row],[Cal Type]]&lt;&gt;"ACCREDITED 17025 WITH UNCERTAINTIES",0,"")</f>
        <v>0</v>
      </c>
      <c r="X2514" s="1" t="str">
        <f>IF(Table1[[#This Row],[DUT Read]]="","N/A",Table1[[#This Row],[Std Error]]+Table1[[#This Row],[DUT Read]]+Table1[[#This Row],[DUT Ucty]])</f>
        <v>N/A</v>
      </c>
      <c r="Y2514" s="1" t="str">
        <f>IF(Table1[[#This Row],[Std Read]]="","N/A",Table1[[#This Row],[Std Read]]+Table1[[#This Row],[Std Ucty]])</f>
        <v>N/A</v>
      </c>
      <c r="Z25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4" s="1" t="str">
        <f>IF(Table1[[#This Row],[Spec Type]]="","N/A",Table1[[#This Row],[Spec Type]])</f>
        <v>±</v>
      </c>
      <c r="AC2514" s="1" t="str">
        <f>IF(Table1[[#This Row],[Spec Type2]]="N/A","N/A",IF(AND(Table1[[#This Row],[DUT Adj Read]]&gt;=Table1[[#This Row],[Low Tol]],Table1[[#This Row],[DUT Adj Read]]&lt;=Table1[[#This Row],[High Tol]]),"Pass","Fail"))</f>
        <v>Fail</v>
      </c>
      <c r="AD2514" s="1" t="str">
        <f>IF(AND(Table1[[#This Row],[Spec Type2]]="N/A",Table1[[#This Row],[DUT Adj Read]]="N/A",Table1[[#This Row],[Std Adj Read]]="N/A"),"N/A",IF(Table1[[#This Row],[DUT Adj Read]]="N/A",IF(Table1[[#This Row],[Std Adj Read]]&gt;Table1[[#This Row],[Low Tol]],"Pass","Fail"),IF(Table1[[#This Row],[DUT Adj Read]]&gt;Table1[[#This Row],[Low Tol]],"Pass","Fail")))</f>
        <v>Pass</v>
      </c>
      <c r="AE2514" s="1" t="str">
        <f>IF(AND(Table1[[#This Row],[Spec Type2]]="N/A",Table1[[#This Row],[DUT Adj Read]]="N/A",Table1[[#This Row],[Std Adj Read]]="N/A"),"N/A",IF(Table1[[#This Row],[DUT Adj Read]]="N/A",IF(Table1[[#This Row],[Std Adj Read]]&lt;Table1[[#This Row],[High Tol]],"Pass","Fail"),IF(Table1[[#This Row],[DUT Adj Read]]&lt;Table1[[#This Row],[High Tol]],"Pass","Fail")))</f>
        <v>Fail</v>
      </c>
      <c r="AF2514" s="1" t="str">
        <f>IF(AND(Table1[[#This Row],[Spec Type2]]="N/A",Table1[[#This Row],[DUT Adj Read]]="N/A",Table1[[#This Row],[Std Adj Read]]="N/A"),"N/A",IF(Table1[[#This Row],[DUT Adj Read]]="N/A",IF(Table1[[#This Row],[Std Adj Read]]&gt;=Table1[[#This Row],[Low Tol]],"Pass","Fail"),IF(Table1[[#This Row],[DUT Adj Read]]&gt;=Table1[[#This Row],[Low Tol]],"Pass","Fail")))</f>
        <v>Pass</v>
      </c>
      <c r="AG2514" s="1" t="str">
        <f>IF(AND(Table1[[#This Row],[Spec Type2]]="N/A",Table1[[#This Row],[DUT Adj Read]]="N/A",Table1[[#This Row],[Std Adj Read]]="N/A"),"N/A",IF(Table1[[#This Row],[DUT Adj Read]]="N/A",IF(Table1[[#This Row],[Std Adj Read]]&lt;=Table1[[#This Row],[High Tol]],"Pass","Fail"),IF(Table1[[#This Row],[DUT Adj Read]]&lt;=Table1[[#This Row],[High Tol]],"Pass","Fail")))</f>
        <v>Fail</v>
      </c>
      <c r="AH25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4" s="1" t="b">
        <v>0</v>
      </c>
      <c r="AN2514" s="1" t="b">
        <v>0</v>
      </c>
      <c r="AO2514" s="1" t="b">
        <v>0</v>
      </c>
    </row>
    <row r="2515" spans="1:41" x14ac:dyDescent="0.25">
      <c r="A2515" s="10"/>
      <c r="B2515" s="10"/>
      <c r="C2515" s="10"/>
      <c r="D2515" s="10"/>
      <c r="E2515" s="10"/>
      <c r="F2515" s="10"/>
      <c r="G2515" s="10"/>
      <c r="H2515" s="10"/>
      <c r="I2515" s="1" t="str">
        <f t="shared" si="117"/>
        <v/>
      </c>
      <c r="J2515" s="1" t="s">
        <v>35</v>
      </c>
      <c r="K2515" s="1" t="str">
        <f t="shared" si="118"/>
        <v/>
      </c>
      <c r="L2515" s="1" t="str">
        <f t="shared" si="119"/>
        <v/>
      </c>
      <c r="M2515" s="1">
        <f>IF(OR(Table1[[#This Row],[Std Nom]]="",Table1[[#This Row],[Std Read]]=""),0,Table1[[#This Row],[Std Nom]]-Table1[[#This Row],[Std Read]])</f>
        <v>0</v>
      </c>
      <c r="N2515" s="1">
        <f>IF(Calculations!$F$5="ACCREDITED 17025 WITH UNCERTAINTIES",$N$10,0)</f>
        <v>0</v>
      </c>
      <c r="Q2515" s="1">
        <f>Table1[[#This Row],[High Tol]]-Table1[[#This Row],[Low Tol]]</f>
        <v>0</v>
      </c>
      <c r="R2515" s="1">
        <f>2*Table1[[#This Row],[Std Error]]</f>
        <v>0</v>
      </c>
      <c r="S2515" s="1" t="str">
        <f>IF(Table1[[#This Row],[High Tol]]="","N/A",IFERROR(ABS(Table1[[#This Row],[Tol Span]]/Table1[[#This Row],[Error Span]]),"N/A"))</f>
        <v>N/A</v>
      </c>
      <c r="T2515" s="1" t="str">
        <f>IF(OR(Table1[[#This Row],[Low Tol]]="",Table1[[#This Row],[High Tol]]=""),"Needs Analysis",IF(Table1[[#This Row],[Ratio]]&gt;=4,"Not Significant",IF(Table1[[#This Row],[Ratio]]&gt;=2,"Semi-Significant","Significant")))</f>
        <v>Needs Analysis</v>
      </c>
      <c r="W2515" s="1">
        <f>IF(Table1[[#This Row],[Cal Type]]&lt;&gt;"ACCREDITED 17025 WITH UNCERTAINTIES",0,"")</f>
        <v>0</v>
      </c>
      <c r="X2515" s="1" t="str">
        <f>IF(Table1[[#This Row],[DUT Read]]="","N/A",Table1[[#This Row],[Std Error]]+Table1[[#This Row],[DUT Read]]+Table1[[#This Row],[DUT Ucty]])</f>
        <v>N/A</v>
      </c>
      <c r="Y2515" s="1" t="str">
        <f>IF(Table1[[#This Row],[Std Read]]="","N/A",Table1[[#This Row],[Std Read]]+Table1[[#This Row],[Std Ucty]])</f>
        <v>N/A</v>
      </c>
      <c r="Z25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5" s="1" t="str">
        <f>IF(Table1[[#This Row],[Spec Type]]="","N/A",Table1[[#This Row],[Spec Type]])</f>
        <v>±</v>
      </c>
      <c r="AC2515" s="1" t="str">
        <f>IF(Table1[[#This Row],[Spec Type2]]="N/A","N/A",IF(AND(Table1[[#This Row],[DUT Adj Read]]&gt;=Table1[[#This Row],[Low Tol]],Table1[[#This Row],[DUT Adj Read]]&lt;=Table1[[#This Row],[High Tol]]),"Pass","Fail"))</f>
        <v>Fail</v>
      </c>
      <c r="AD2515" s="1" t="str">
        <f>IF(AND(Table1[[#This Row],[Spec Type2]]="N/A",Table1[[#This Row],[DUT Adj Read]]="N/A",Table1[[#This Row],[Std Adj Read]]="N/A"),"N/A",IF(Table1[[#This Row],[DUT Adj Read]]="N/A",IF(Table1[[#This Row],[Std Adj Read]]&gt;Table1[[#This Row],[Low Tol]],"Pass","Fail"),IF(Table1[[#This Row],[DUT Adj Read]]&gt;Table1[[#This Row],[Low Tol]],"Pass","Fail")))</f>
        <v>Pass</v>
      </c>
      <c r="AE2515" s="1" t="str">
        <f>IF(AND(Table1[[#This Row],[Spec Type2]]="N/A",Table1[[#This Row],[DUT Adj Read]]="N/A",Table1[[#This Row],[Std Adj Read]]="N/A"),"N/A",IF(Table1[[#This Row],[DUT Adj Read]]="N/A",IF(Table1[[#This Row],[Std Adj Read]]&lt;Table1[[#This Row],[High Tol]],"Pass","Fail"),IF(Table1[[#This Row],[DUT Adj Read]]&lt;Table1[[#This Row],[High Tol]],"Pass","Fail")))</f>
        <v>Fail</v>
      </c>
      <c r="AF2515" s="1" t="str">
        <f>IF(AND(Table1[[#This Row],[Spec Type2]]="N/A",Table1[[#This Row],[DUT Adj Read]]="N/A",Table1[[#This Row],[Std Adj Read]]="N/A"),"N/A",IF(Table1[[#This Row],[DUT Adj Read]]="N/A",IF(Table1[[#This Row],[Std Adj Read]]&gt;=Table1[[#This Row],[Low Tol]],"Pass","Fail"),IF(Table1[[#This Row],[DUT Adj Read]]&gt;=Table1[[#This Row],[Low Tol]],"Pass","Fail")))</f>
        <v>Pass</v>
      </c>
      <c r="AG2515" s="1" t="str">
        <f>IF(AND(Table1[[#This Row],[Spec Type2]]="N/A",Table1[[#This Row],[DUT Adj Read]]="N/A",Table1[[#This Row],[Std Adj Read]]="N/A"),"N/A",IF(Table1[[#This Row],[DUT Adj Read]]="N/A",IF(Table1[[#This Row],[Std Adj Read]]&lt;=Table1[[#This Row],[High Tol]],"Pass","Fail"),IF(Table1[[#This Row],[DUT Adj Read]]&lt;=Table1[[#This Row],[High Tol]],"Pass","Fail")))</f>
        <v>Fail</v>
      </c>
      <c r="AH25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5" s="1" t="b">
        <v>0</v>
      </c>
      <c r="AN2515" s="1" t="b">
        <v>0</v>
      </c>
      <c r="AO2515" s="1" t="b">
        <v>0</v>
      </c>
    </row>
    <row r="2516" spans="1:41" x14ac:dyDescent="0.25">
      <c r="A2516" s="10"/>
      <c r="B2516" s="10"/>
      <c r="C2516" s="10"/>
      <c r="D2516" s="10"/>
      <c r="E2516" s="10"/>
      <c r="F2516" s="10"/>
      <c r="G2516" s="10"/>
      <c r="H2516" s="10"/>
      <c r="I2516" s="1" t="str">
        <f t="shared" si="117"/>
        <v/>
      </c>
      <c r="J2516" s="1" t="s">
        <v>35</v>
      </c>
      <c r="K2516" s="1" t="str">
        <f t="shared" si="118"/>
        <v/>
      </c>
      <c r="L2516" s="1" t="str">
        <f t="shared" si="119"/>
        <v/>
      </c>
      <c r="M2516" s="1">
        <f>IF(OR(Table1[[#This Row],[Std Nom]]="",Table1[[#This Row],[Std Read]]=""),0,Table1[[#This Row],[Std Nom]]-Table1[[#This Row],[Std Read]])</f>
        <v>0</v>
      </c>
      <c r="N2516" s="1">
        <f>IF(Calculations!$F$5="ACCREDITED 17025 WITH UNCERTAINTIES",$N$10,0)</f>
        <v>0</v>
      </c>
      <c r="Q2516" s="1">
        <f>Table1[[#This Row],[High Tol]]-Table1[[#This Row],[Low Tol]]</f>
        <v>0</v>
      </c>
      <c r="R2516" s="1">
        <f>2*Table1[[#This Row],[Std Error]]</f>
        <v>0</v>
      </c>
      <c r="S2516" s="1" t="str">
        <f>IF(Table1[[#This Row],[High Tol]]="","N/A",IFERROR(ABS(Table1[[#This Row],[Tol Span]]/Table1[[#This Row],[Error Span]]),"N/A"))</f>
        <v>N/A</v>
      </c>
      <c r="T2516" s="1" t="str">
        <f>IF(OR(Table1[[#This Row],[Low Tol]]="",Table1[[#This Row],[High Tol]]=""),"Needs Analysis",IF(Table1[[#This Row],[Ratio]]&gt;=4,"Not Significant",IF(Table1[[#This Row],[Ratio]]&gt;=2,"Semi-Significant","Significant")))</f>
        <v>Needs Analysis</v>
      </c>
      <c r="W2516" s="1">
        <f>IF(Table1[[#This Row],[Cal Type]]&lt;&gt;"ACCREDITED 17025 WITH UNCERTAINTIES",0,"")</f>
        <v>0</v>
      </c>
      <c r="X2516" s="1" t="str">
        <f>IF(Table1[[#This Row],[DUT Read]]="","N/A",Table1[[#This Row],[Std Error]]+Table1[[#This Row],[DUT Read]]+Table1[[#This Row],[DUT Ucty]])</f>
        <v>N/A</v>
      </c>
      <c r="Y2516" s="1" t="str">
        <f>IF(Table1[[#This Row],[Std Read]]="","N/A",Table1[[#This Row],[Std Read]]+Table1[[#This Row],[Std Ucty]])</f>
        <v>N/A</v>
      </c>
      <c r="Z25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6" s="1" t="str">
        <f>IF(Table1[[#This Row],[Spec Type]]="","N/A",Table1[[#This Row],[Spec Type]])</f>
        <v>±</v>
      </c>
      <c r="AC2516" s="1" t="str">
        <f>IF(Table1[[#This Row],[Spec Type2]]="N/A","N/A",IF(AND(Table1[[#This Row],[DUT Adj Read]]&gt;=Table1[[#This Row],[Low Tol]],Table1[[#This Row],[DUT Adj Read]]&lt;=Table1[[#This Row],[High Tol]]),"Pass","Fail"))</f>
        <v>Fail</v>
      </c>
      <c r="AD2516" s="1" t="str">
        <f>IF(AND(Table1[[#This Row],[Spec Type2]]="N/A",Table1[[#This Row],[DUT Adj Read]]="N/A",Table1[[#This Row],[Std Adj Read]]="N/A"),"N/A",IF(Table1[[#This Row],[DUT Adj Read]]="N/A",IF(Table1[[#This Row],[Std Adj Read]]&gt;Table1[[#This Row],[Low Tol]],"Pass","Fail"),IF(Table1[[#This Row],[DUT Adj Read]]&gt;Table1[[#This Row],[Low Tol]],"Pass","Fail")))</f>
        <v>Pass</v>
      </c>
      <c r="AE2516" s="1" t="str">
        <f>IF(AND(Table1[[#This Row],[Spec Type2]]="N/A",Table1[[#This Row],[DUT Adj Read]]="N/A",Table1[[#This Row],[Std Adj Read]]="N/A"),"N/A",IF(Table1[[#This Row],[DUT Adj Read]]="N/A",IF(Table1[[#This Row],[Std Adj Read]]&lt;Table1[[#This Row],[High Tol]],"Pass","Fail"),IF(Table1[[#This Row],[DUT Adj Read]]&lt;Table1[[#This Row],[High Tol]],"Pass","Fail")))</f>
        <v>Fail</v>
      </c>
      <c r="AF2516" s="1" t="str">
        <f>IF(AND(Table1[[#This Row],[Spec Type2]]="N/A",Table1[[#This Row],[DUT Adj Read]]="N/A",Table1[[#This Row],[Std Adj Read]]="N/A"),"N/A",IF(Table1[[#This Row],[DUT Adj Read]]="N/A",IF(Table1[[#This Row],[Std Adj Read]]&gt;=Table1[[#This Row],[Low Tol]],"Pass","Fail"),IF(Table1[[#This Row],[DUT Adj Read]]&gt;=Table1[[#This Row],[Low Tol]],"Pass","Fail")))</f>
        <v>Pass</v>
      </c>
      <c r="AG2516" s="1" t="str">
        <f>IF(AND(Table1[[#This Row],[Spec Type2]]="N/A",Table1[[#This Row],[DUT Adj Read]]="N/A",Table1[[#This Row],[Std Adj Read]]="N/A"),"N/A",IF(Table1[[#This Row],[DUT Adj Read]]="N/A",IF(Table1[[#This Row],[Std Adj Read]]&lt;=Table1[[#This Row],[High Tol]],"Pass","Fail"),IF(Table1[[#This Row],[DUT Adj Read]]&lt;=Table1[[#This Row],[High Tol]],"Pass","Fail")))</f>
        <v>Fail</v>
      </c>
      <c r="AH25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6" s="1" t="b">
        <v>0</v>
      </c>
      <c r="AN2516" s="1" t="b">
        <v>0</v>
      </c>
      <c r="AO2516" s="1" t="b">
        <v>0</v>
      </c>
    </row>
    <row r="2517" spans="1:41" x14ac:dyDescent="0.25">
      <c r="A2517" s="10"/>
      <c r="B2517" s="10"/>
      <c r="C2517" s="10"/>
      <c r="D2517" s="10"/>
      <c r="E2517" s="10"/>
      <c r="F2517" s="10"/>
      <c r="G2517" s="10"/>
      <c r="H2517" s="10"/>
      <c r="I2517" s="1" t="str">
        <f t="shared" si="117"/>
        <v/>
      </c>
      <c r="J2517" s="1" t="s">
        <v>35</v>
      </c>
      <c r="K2517" s="1" t="str">
        <f t="shared" si="118"/>
        <v/>
      </c>
      <c r="L2517" s="1" t="str">
        <f t="shared" si="119"/>
        <v/>
      </c>
      <c r="M2517" s="1">
        <f>IF(OR(Table1[[#This Row],[Std Nom]]="",Table1[[#This Row],[Std Read]]=""),0,Table1[[#This Row],[Std Nom]]-Table1[[#This Row],[Std Read]])</f>
        <v>0</v>
      </c>
      <c r="N2517" s="1">
        <f>IF(Calculations!$F$5="ACCREDITED 17025 WITH UNCERTAINTIES",$N$10,0)</f>
        <v>0</v>
      </c>
      <c r="Q2517" s="1">
        <f>Table1[[#This Row],[High Tol]]-Table1[[#This Row],[Low Tol]]</f>
        <v>0</v>
      </c>
      <c r="R2517" s="1">
        <f>2*Table1[[#This Row],[Std Error]]</f>
        <v>0</v>
      </c>
      <c r="S2517" s="1" t="str">
        <f>IF(Table1[[#This Row],[High Tol]]="","N/A",IFERROR(ABS(Table1[[#This Row],[Tol Span]]/Table1[[#This Row],[Error Span]]),"N/A"))</f>
        <v>N/A</v>
      </c>
      <c r="T2517" s="1" t="str">
        <f>IF(OR(Table1[[#This Row],[Low Tol]]="",Table1[[#This Row],[High Tol]]=""),"Needs Analysis",IF(Table1[[#This Row],[Ratio]]&gt;=4,"Not Significant",IF(Table1[[#This Row],[Ratio]]&gt;=2,"Semi-Significant","Significant")))</f>
        <v>Needs Analysis</v>
      </c>
      <c r="W2517" s="1">
        <f>IF(Table1[[#This Row],[Cal Type]]&lt;&gt;"ACCREDITED 17025 WITH UNCERTAINTIES",0,"")</f>
        <v>0</v>
      </c>
      <c r="X2517" s="1" t="str">
        <f>IF(Table1[[#This Row],[DUT Read]]="","N/A",Table1[[#This Row],[Std Error]]+Table1[[#This Row],[DUT Read]]+Table1[[#This Row],[DUT Ucty]])</f>
        <v>N/A</v>
      </c>
      <c r="Y2517" s="1" t="str">
        <f>IF(Table1[[#This Row],[Std Read]]="","N/A",Table1[[#This Row],[Std Read]]+Table1[[#This Row],[Std Ucty]])</f>
        <v>N/A</v>
      </c>
      <c r="Z25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7" s="1" t="str">
        <f>IF(Table1[[#This Row],[Spec Type]]="","N/A",Table1[[#This Row],[Spec Type]])</f>
        <v>±</v>
      </c>
      <c r="AC2517" s="1" t="str">
        <f>IF(Table1[[#This Row],[Spec Type2]]="N/A","N/A",IF(AND(Table1[[#This Row],[DUT Adj Read]]&gt;=Table1[[#This Row],[Low Tol]],Table1[[#This Row],[DUT Adj Read]]&lt;=Table1[[#This Row],[High Tol]]),"Pass","Fail"))</f>
        <v>Fail</v>
      </c>
      <c r="AD2517" s="1" t="str">
        <f>IF(AND(Table1[[#This Row],[Spec Type2]]="N/A",Table1[[#This Row],[DUT Adj Read]]="N/A",Table1[[#This Row],[Std Adj Read]]="N/A"),"N/A",IF(Table1[[#This Row],[DUT Adj Read]]="N/A",IF(Table1[[#This Row],[Std Adj Read]]&gt;Table1[[#This Row],[Low Tol]],"Pass","Fail"),IF(Table1[[#This Row],[DUT Adj Read]]&gt;Table1[[#This Row],[Low Tol]],"Pass","Fail")))</f>
        <v>Pass</v>
      </c>
      <c r="AE2517" s="1" t="str">
        <f>IF(AND(Table1[[#This Row],[Spec Type2]]="N/A",Table1[[#This Row],[DUT Adj Read]]="N/A",Table1[[#This Row],[Std Adj Read]]="N/A"),"N/A",IF(Table1[[#This Row],[DUT Adj Read]]="N/A",IF(Table1[[#This Row],[Std Adj Read]]&lt;Table1[[#This Row],[High Tol]],"Pass","Fail"),IF(Table1[[#This Row],[DUT Adj Read]]&lt;Table1[[#This Row],[High Tol]],"Pass","Fail")))</f>
        <v>Fail</v>
      </c>
      <c r="AF2517" s="1" t="str">
        <f>IF(AND(Table1[[#This Row],[Spec Type2]]="N/A",Table1[[#This Row],[DUT Adj Read]]="N/A",Table1[[#This Row],[Std Adj Read]]="N/A"),"N/A",IF(Table1[[#This Row],[DUT Adj Read]]="N/A",IF(Table1[[#This Row],[Std Adj Read]]&gt;=Table1[[#This Row],[Low Tol]],"Pass","Fail"),IF(Table1[[#This Row],[DUT Adj Read]]&gt;=Table1[[#This Row],[Low Tol]],"Pass","Fail")))</f>
        <v>Pass</v>
      </c>
      <c r="AG2517" s="1" t="str">
        <f>IF(AND(Table1[[#This Row],[Spec Type2]]="N/A",Table1[[#This Row],[DUT Adj Read]]="N/A",Table1[[#This Row],[Std Adj Read]]="N/A"),"N/A",IF(Table1[[#This Row],[DUT Adj Read]]="N/A",IF(Table1[[#This Row],[Std Adj Read]]&lt;=Table1[[#This Row],[High Tol]],"Pass","Fail"),IF(Table1[[#This Row],[DUT Adj Read]]&lt;=Table1[[#This Row],[High Tol]],"Pass","Fail")))</f>
        <v>Fail</v>
      </c>
      <c r="AH25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7" s="1" t="b">
        <v>0</v>
      </c>
      <c r="AN2517" s="1" t="b">
        <v>0</v>
      </c>
      <c r="AO2517" s="1" t="b">
        <v>0</v>
      </c>
    </row>
    <row r="2518" spans="1:41" x14ac:dyDescent="0.25">
      <c r="A2518" s="10"/>
      <c r="B2518" s="10"/>
      <c r="C2518" s="10"/>
      <c r="D2518" s="10"/>
      <c r="E2518" s="10"/>
      <c r="F2518" s="10"/>
      <c r="G2518" s="10"/>
      <c r="H2518" s="10"/>
      <c r="I2518" s="1" t="str">
        <f t="shared" si="117"/>
        <v/>
      </c>
      <c r="J2518" s="1" t="s">
        <v>35</v>
      </c>
      <c r="K2518" s="1" t="str">
        <f t="shared" si="118"/>
        <v/>
      </c>
      <c r="L2518" s="1" t="str">
        <f t="shared" si="119"/>
        <v/>
      </c>
      <c r="M2518" s="1">
        <f>IF(OR(Table1[[#This Row],[Std Nom]]="",Table1[[#This Row],[Std Read]]=""),0,Table1[[#This Row],[Std Nom]]-Table1[[#This Row],[Std Read]])</f>
        <v>0</v>
      </c>
      <c r="N2518" s="1">
        <f>IF(Calculations!$F$5="ACCREDITED 17025 WITH UNCERTAINTIES",$N$10,0)</f>
        <v>0</v>
      </c>
      <c r="Q2518" s="1">
        <f>Table1[[#This Row],[High Tol]]-Table1[[#This Row],[Low Tol]]</f>
        <v>0</v>
      </c>
      <c r="R2518" s="1">
        <f>2*Table1[[#This Row],[Std Error]]</f>
        <v>0</v>
      </c>
      <c r="S2518" s="1" t="str">
        <f>IF(Table1[[#This Row],[High Tol]]="","N/A",IFERROR(ABS(Table1[[#This Row],[Tol Span]]/Table1[[#This Row],[Error Span]]),"N/A"))</f>
        <v>N/A</v>
      </c>
      <c r="T2518" s="1" t="str">
        <f>IF(OR(Table1[[#This Row],[Low Tol]]="",Table1[[#This Row],[High Tol]]=""),"Needs Analysis",IF(Table1[[#This Row],[Ratio]]&gt;=4,"Not Significant",IF(Table1[[#This Row],[Ratio]]&gt;=2,"Semi-Significant","Significant")))</f>
        <v>Needs Analysis</v>
      </c>
      <c r="W2518" s="1">
        <f>IF(Table1[[#This Row],[Cal Type]]&lt;&gt;"ACCREDITED 17025 WITH UNCERTAINTIES",0,"")</f>
        <v>0</v>
      </c>
      <c r="X2518" s="1" t="str">
        <f>IF(Table1[[#This Row],[DUT Read]]="","N/A",Table1[[#This Row],[Std Error]]+Table1[[#This Row],[DUT Read]]+Table1[[#This Row],[DUT Ucty]])</f>
        <v>N/A</v>
      </c>
      <c r="Y2518" s="1" t="str">
        <f>IF(Table1[[#This Row],[Std Read]]="","N/A",Table1[[#This Row],[Std Read]]+Table1[[#This Row],[Std Ucty]])</f>
        <v>N/A</v>
      </c>
      <c r="Z25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8" s="1" t="str">
        <f>IF(Table1[[#This Row],[Spec Type]]="","N/A",Table1[[#This Row],[Spec Type]])</f>
        <v>±</v>
      </c>
      <c r="AC2518" s="1" t="str">
        <f>IF(Table1[[#This Row],[Spec Type2]]="N/A","N/A",IF(AND(Table1[[#This Row],[DUT Adj Read]]&gt;=Table1[[#This Row],[Low Tol]],Table1[[#This Row],[DUT Adj Read]]&lt;=Table1[[#This Row],[High Tol]]),"Pass","Fail"))</f>
        <v>Fail</v>
      </c>
      <c r="AD2518" s="1" t="str">
        <f>IF(AND(Table1[[#This Row],[Spec Type2]]="N/A",Table1[[#This Row],[DUT Adj Read]]="N/A",Table1[[#This Row],[Std Adj Read]]="N/A"),"N/A",IF(Table1[[#This Row],[DUT Adj Read]]="N/A",IF(Table1[[#This Row],[Std Adj Read]]&gt;Table1[[#This Row],[Low Tol]],"Pass","Fail"),IF(Table1[[#This Row],[DUT Adj Read]]&gt;Table1[[#This Row],[Low Tol]],"Pass","Fail")))</f>
        <v>Pass</v>
      </c>
      <c r="AE2518" s="1" t="str">
        <f>IF(AND(Table1[[#This Row],[Spec Type2]]="N/A",Table1[[#This Row],[DUT Adj Read]]="N/A",Table1[[#This Row],[Std Adj Read]]="N/A"),"N/A",IF(Table1[[#This Row],[DUT Adj Read]]="N/A",IF(Table1[[#This Row],[Std Adj Read]]&lt;Table1[[#This Row],[High Tol]],"Pass","Fail"),IF(Table1[[#This Row],[DUT Adj Read]]&lt;Table1[[#This Row],[High Tol]],"Pass","Fail")))</f>
        <v>Fail</v>
      </c>
      <c r="AF2518" s="1" t="str">
        <f>IF(AND(Table1[[#This Row],[Spec Type2]]="N/A",Table1[[#This Row],[DUT Adj Read]]="N/A",Table1[[#This Row],[Std Adj Read]]="N/A"),"N/A",IF(Table1[[#This Row],[DUT Adj Read]]="N/A",IF(Table1[[#This Row],[Std Adj Read]]&gt;=Table1[[#This Row],[Low Tol]],"Pass","Fail"),IF(Table1[[#This Row],[DUT Adj Read]]&gt;=Table1[[#This Row],[Low Tol]],"Pass","Fail")))</f>
        <v>Pass</v>
      </c>
      <c r="AG2518" s="1" t="str">
        <f>IF(AND(Table1[[#This Row],[Spec Type2]]="N/A",Table1[[#This Row],[DUT Adj Read]]="N/A",Table1[[#This Row],[Std Adj Read]]="N/A"),"N/A",IF(Table1[[#This Row],[DUT Adj Read]]="N/A",IF(Table1[[#This Row],[Std Adj Read]]&lt;=Table1[[#This Row],[High Tol]],"Pass","Fail"),IF(Table1[[#This Row],[DUT Adj Read]]&lt;=Table1[[#This Row],[High Tol]],"Pass","Fail")))</f>
        <v>Fail</v>
      </c>
      <c r="AH25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8" s="1" t="b">
        <v>0</v>
      </c>
      <c r="AN2518" s="1" t="b">
        <v>0</v>
      </c>
      <c r="AO2518" s="1" t="b">
        <v>0</v>
      </c>
    </row>
    <row r="2519" spans="1:41" x14ac:dyDescent="0.25">
      <c r="A2519" s="10"/>
      <c r="B2519" s="10"/>
      <c r="C2519" s="10"/>
      <c r="D2519" s="10"/>
      <c r="E2519" s="10"/>
      <c r="F2519" s="10"/>
      <c r="G2519" s="10"/>
      <c r="H2519" s="10"/>
      <c r="I2519" s="1" t="str">
        <f t="shared" si="117"/>
        <v/>
      </c>
      <c r="J2519" s="1" t="s">
        <v>35</v>
      </c>
      <c r="K2519" s="1" t="str">
        <f t="shared" si="118"/>
        <v/>
      </c>
      <c r="L2519" s="1" t="str">
        <f t="shared" si="119"/>
        <v/>
      </c>
      <c r="M2519" s="1">
        <f>IF(OR(Table1[[#This Row],[Std Nom]]="",Table1[[#This Row],[Std Read]]=""),0,Table1[[#This Row],[Std Nom]]-Table1[[#This Row],[Std Read]])</f>
        <v>0</v>
      </c>
      <c r="N2519" s="1">
        <f>IF(Calculations!$F$5="ACCREDITED 17025 WITH UNCERTAINTIES",$N$10,0)</f>
        <v>0</v>
      </c>
      <c r="Q2519" s="1">
        <f>Table1[[#This Row],[High Tol]]-Table1[[#This Row],[Low Tol]]</f>
        <v>0</v>
      </c>
      <c r="R2519" s="1">
        <f>2*Table1[[#This Row],[Std Error]]</f>
        <v>0</v>
      </c>
      <c r="S2519" s="1" t="str">
        <f>IF(Table1[[#This Row],[High Tol]]="","N/A",IFERROR(ABS(Table1[[#This Row],[Tol Span]]/Table1[[#This Row],[Error Span]]),"N/A"))</f>
        <v>N/A</v>
      </c>
      <c r="T2519" s="1" t="str">
        <f>IF(OR(Table1[[#This Row],[Low Tol]]="",Table1[[#This Row],[High Tol]]=""),"Needs Analysis",IF(Table1[[#This Row],[Ratio]]&gt;=4,"Not Significant",IF(Table1[[#This Row],[Ratio]]&gt;=2,"Semi-Significant","Significant")))</f>
        <v>Needs Analysis</v>
      </c>
      <c r="W2519" s="1">
        <f>IF(Table1[[#This Row],[Cal Type]]&lt;&gt;"ACCREDITED 17025 WITH UNCERTAINTIES",0,"")</f>
        <v>0</v>
      </c>
      <c r="X2519" s="1" t="str">
        <f>IF(Table1[[#This Row],[DUT Read]]="","N/A",Table1[[#This Row],[Std Error]]+Table1[[#This Row],[DUT Read]]+Table1[[#This Row],[DUT Ucty]])</f>
        <v>N/A</v>
      </c>
      <c r="Y2519" s="1" t="str">
        <f>IF(Table1[[#This Row],[Std Read]]="","N/A",Table1[[#This Row],[Std Read]]+Table1[[#This Row],[Std Ucty]])</f>
        <v>N/A</v>
      </c>
      <c r="Z25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19" s="1" t="str">
        <f>IF(Table1[[#This Row],[Spec Type]]="","N/A",Table1[[#This Row],[Spec Type]])</f>
        <v>±</v>
      </c>
      <c r="AC2519" s="1" t="str">
        <f>IF(Table1[[#This Row],[Spec Type2]]="N/A","N/A",IF(AND(Table1[[#This Row],[DUT Adj Read]]&gt;=Table1[[#This Row],[Low Tol]],Table1[[#This Row],[DUT Adj Read]]&lt;=Table1[[#This Row],[High Tol]]),"Pass","Fail"))</f>
        <v>Fail</v>
      </c>
      <c r="AD2519" s="1" t="str">
        <f>IF(AND(Table1[[#This Row],[Spec Type2]]="N/A",Table1[[#This Row],[DUT Adj Read]]="N/A",Table1[[#This Row],[Std Adj Read]]="N/A"),"N/A",IF(Table1[[#This Row],[DUT Adj Read]]="N/A",IF(Table1[[#This Row],[Std Adj Read]]&gt;Table1[[#This Row],[Low Tol]],"Pass","Fail"),IF(Table1[[#This Row],[DUT Adj Read]]&gt;Table1[[#This Row],[Low Tol]],"Pass","Fail")))</f>
        <v>Pass</v>
      </c>
      <c r="AE2519" s="1" t="str">
        <f>IF(AND(Table1[[#This Row],[Spec Type2]]="N/A",Table1[[#This Row],[DUT Adj Read]]="N/A",Table1[[#This Row],[Std Adj Read]]="N/A"),"N/A",IF(Table1[[#This Row],[DUT Adj Read]]="N/A",IF(Table1[[#This Row],[Std Adj Read]]&lt;Table1[[#This Row],[High Tol]],"Pass","Fail"),IF(Table1[[#This Row],[DUT Adj Read]]&lt;Table1[[#This Row],[High Tol]],"Pass","Fail")))</f>
        <v>Fail</v>
      </c>
      <c r="AF2519" s="1" t="str">
        <f>IF(AND(Table1[[#This Row],[Spec Type2]]="N/A",Table1[[#This Row],[DUT Adj Read]]="N/A",Table1[[#This Row],[Std Adj Read]]="N/A"),"N/A",IF(Table1[[#This Row],[DUT Adj Read]]="N/A",IF(Table1[[#This Row],[Std Adj Read]]&gt;=Table1[[#This Row],[Low Tol]],"Pass","Fail"),IF(Table1[[#This Row],[DUT Adj Read]]&gt;=Table1[[#This Row],[Low Tol]],"Pass","Fail")))</f>
        <v>Pass</v>
      </c>
      <c r="AG2519" s="1" t="str">
        <f>IF(AND(Table1[[#This Row],[Spec Type2]]="N/A",Table1[[#This Row],[DUT Adj Read]]="N/A",Table1[[#This Row],[Std Adj Read]]="N/A"),"N/A",IF(Table1[[#This Row],[DUT Adj Read]]="N/A",IF(Table1[[#This Row],[Std Adj Read]]&lt;=Table1[[#This Row],[High Tol]],"Pass","Fail"),IF(Table1[[#This Row],[DUT Adj Read]]&lt;=Table1[[#This Row],[High Tol]],"Pass","Fail")))</f>
        <v>Fail</v>
      </c>
      <c r="AH25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19" s="1" t="b">
        <v>0</v>
      </c>
      <c r="AN2519" s="1" t="b">
        <v>0</v>
      </c>
      <c r="AO2519" s="1" t="b">
        <v>0</v>
      </c>
    </row>
    <row r="2520" spans="1:41" x14ac:dyDescent="0.25">
      <c r="A2520" s="10"/>
      <c r="B2520" s="10"/>
      <c r="C2520" s="10"/>
      <c r="D2520" s="10"/>
      <c r="E2520" s="10"/>
      <c r="F2520" s="10"/>
      <c r="G2520" s="10"/>
      <c r="H2520" s="10"/>
      <c r="I2520" s="1" t="str">
        <f t="shared" si="117"/>
        <v/>
      </c>
      <c r="J2520" s="1" t="s">
        <v>35</v>
      </c>
      <c r="K2520" s="1" t="str">
        <f t="shared" si="118"/>
        <v/>
      </c>
      <c r="L2520" s="1" t="str">
        <f t="shared" si="119"/>
        <v/>
      </c>
      <c r="M2520" s="1">
        <f>IF(OR(Table1[[#This Row],[Std Nom]]="",Table1[[#This Row],[Std Read]]=""),0,Table1[[#This Row],[Std Nom]]-Table1[[#This Row],[Std Read]])</f>
        <v>0</v>
      </c>
      <c r="N2520" s="1">
        <f>IF(Calculations!$F$5="ACCREDITED 17025 WITH UNCERTAINTIES",$N$10,0)</f>
        <v>0</v>
      </c>
      <c r="Q2520" s="1">
        <f>Table1[[#This Row],[High Tol]]-Table1[[#This Row],[Low Tol]]</f>
        <v>0</v>
      </c>
      <c r="R2520" s="1">
        <f>2*Table1[[#This Row],[Std Error]]</f>
        <v>0</v>
      </c>
      <c r="S2520" s="1" t="str">
        <f>IF(Table1[[#This Row],[High Tol]]="","N/A",IFERROR(ABS(Table1[[#This Row],[Tol Span]]/Table1[[#This Row],[Error Span]]),"N/A"))</f>
        <v>N/A</v>
      </c>
      <c r="T2520" s="1" t="str">
        <f>IF(OR(Table1[[#This Row],[Low Tol]]="",Table1[[#This Row],[High Tol]]=""),"Needs Analysis",IF(Table1[[#This Row],[Ratio]]&gt;=4,"Not Significant",IF(Table1[[#This Row],[Ratio]]&gt;=2,"Semi-Significant","Significant")))</f>
        <v>Needs Analysis</v>
      </c>
      <c r="W2520" s="1">
        <f>IF(Table1[[#This Row],[Cal Type]]&lt;&gt;"ACCREDITED 17025 WITH UNCERTAINTIES",0,"")</f>
        <v>0</v>
      </c>
      <c r="X2520" s="1" t="str">
        <f>IF(Table1[[#This Row],[DUT Read]]="","N/A",Table1[[#This Row],[Std Error]]+Table1[[#This Row],[DUT Read]]+Table1[[#This Row],[DUT Ucty]])</f>
        <v>N/A</v>
      </c>
      <c r="Y2520" s="1" t="str">
        <f>IF(Table1[[#This Row],[Std Read]]="","N/A",Table1[[#This Row],[Std Read]]+Table1[[#This Row],[Std Ucty]])</f>
        <v>N/A</v>
      </c>
      <c r="Z25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0" s="1" t="str">
        <f>IF(Table1[[#This Row],[Spec Type]]="","N/A",Table1[[#This Row],[Spec Type]])</f>
        <v>±</v>
      </c>
      <c r="AC2520" s="1" t="str">
        <f>IF(Table1[[#This Row],[Spec Type2]]="N/A","N/A",IF(AND(Table1[[#This Row],[DUT Adj Read]]&gt;=Table1[[#This Row],[Low Tol]],Table1[[#This Row],[DUT Adj Read]]&lt;=Table1[[#This Row],[High Tol]]),"Pass","Fail"))</f>
        <v>Fail</v>
      </c>
      <c r="AD2520" s="1" t="str">
        <f>IF(AND(Table1[[#This Row],[Spec Type2]]="N/A",Table1[[#This Row],[DUT Adj Read]]="N/A",Table1[[#This Row],[Std Adj Read]]="N/A"),"N/A",IF(Table1[[#This Row],[DUT Adj Read]]="N/A",IF(Table1[[#This Row],[Std Adj Read]]&gt;Table1[[#This Row],[Low Tol]],"Pass","Fail"),IF(Table1[[#This Row],[DUT Adj Read]]&gt;Table1[[#This Row],[Low Tol]],"Pass","Fail")))</f>
        <v>Pass</v>
      </c>
      <c r="AE2520" s="1" t="str">
        <f>IF(AND(Table1[[#This Row],[Spec Type2]]="N/A",Table1[[#This Row],[DUT Adj Read]]="N/A",Table1[[#This Row],[Std Adj Read]]="N/A"),"N/A",IF(Table1[[#This Row],[DUT Adj Read]]="N/A",IF(Table1[[#This Row],[Std Adj Read]]&lt;Table1[[#This Row],[High Tol]],"Pass","Fail"),IF(Table1[[#This Row],[DUT Adj Read]]&lt;Table1[[#This Row],[High Tol]],"Pass","Fail")))</f>
        <v>Fail</v>
      </c>
      <c r="AF2520" s="1" t="str">
        <f>IF(AND(Table1[[#This Row],[Spec Type2]]="N/A",Table1[[#This Row],[DUT Adj Read]]="N/A",Table1[[#This Row],[Std Adj Read]]="N/A"),"N/A",IF(Table1[[#This Row],[DUT Adj Read]]="N/A",IF(Table1[[#This Row],[Std Adj Read]]&gt;=Table1[[#This Row],[Low Tol]],"Pass","Fail"),IF(Table1[[#This Row],[DUT Adj Read]]&gt;=Table1[[#This Row],[Low Tol]],"Pass","Fail")))</f>
        <v>Pass</v>
      </c>
      <c r="AG2520" s="1" t="str">
        <f>IF(AND(Table1[[#This Row],[Spec Type2]]="N/A",Table1[[#This Row],[DUT Adj Read]]="N/A",Table1[[#This Row],[Std Adj Read]]="N/A"),"N/A",IF(Table1[[#This Row],[DUT Adj Read]]="N/A",IF(Table1[[#This Row],[Std Adj Read]]&lt;=Table1[[#This Row],[High Tol]],"Pass","Fail"),IF(Table1[[#This Row],[DUT Adj Read]]&lt;=Table1[[#This Row],[High Tol]],"Pass","Fail")))</f>
        <v>Fail</v>
      </c>
      <c r="AH25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0" s="1" t="b">
        <v>0</v>
      </c>
      <c r="AN2520" s="1" t="b">
        <v>0</v>
      </c>
      <c r="AO2520" s="1" t="b">
        <v>0</v>
      </c>
    </row>
    <row r="2521" spans="1:41" x14ac:dyDescent="0.25">
      <c r="A2521" s="10"/>
      <c r="B2521" s="10"/>
      <c r="C2521" s="10"/>
      <c r="D2521" s="10"/>
      <c r="E2521" s="10"/>
      <c r="F2521" s="10"/>
      <c r="G2521" s="10"/>
      <c r="H2521" s="10"/>
      <c r="I2521" s="1" t="str">
        <f t="shared" si="117"/>
        <v/>
      </c>
      <c r="J2521" s="1" t="s">
        <v>35</v>
      </c>
      <c r="K2521" s="1" t="str">
        <f t="shared" si="118"/>
        <v/>
      </c>
      <c r="L2521" s="1" t="str">
        <f t="shared" si="119"/>
        <v/>
      </c>
      <c r="M2521" s="1">
        <f>IF(OR(Table1[[#This Row],[Std Nom]]="",Table1[[#This Row],[Std Read]]=""),0,Table1[[#This Row],[Std Nom]]-Table1[[#This Row],[Std Read]])</f>
        <v>0</v>
      </c>
      <c r="N2521" s="1">
        <f>IF(Calculations!$F$5="ACCREDITED 17025 WITH UNCERTAINTIES",$N$10,0)</f>
        <v>0</v>
      </c>
      <c r="Q2521" s="1">
        <f>Table1[[#This Row],[High Tol]]-Table1[[#This Row],[Low Tol]]</f>
        <v>0</v>
      </c>
      <c r="R2521" s="1">
        <f>2*Table1[[#This Row],[Std Error]]</f>
        <v>0</v>
      </c>
      <c r="S2521" s="1" t="str">
        <f>IF(Table1[[#This Row],[High Tol]]="","N/A",IFERROR(ABS(Table1[[#This Row],[Tol Span]]/Table1[[#This Row],[Error Span]]),"N/A"))</f>
        <v>N/A</v>
      </c>
      <c r="T2521" s="1" t="str">
        <f>IF(OR(Table1[[#This Row],[Low Tol]]="",Table1[[#This Row],[High Tol]]=""),"Needs Analysis",IF(Table1[[#This Row],[Ratio]]&gt;=4,"Not Significant",IF(Table1[[#This Row],[Ratio]]&gt;=2,"Semi-Significant","Significant")))</f>
        <v>Needs Analysis</v>
      </c>
      <c r="W2521" s="1">
        <f>IF(Table1[[#This Row],[Cal Type]]&lt;&gt;"ACCREDITED 17025 WITH UNCERTAINTIES",0,"")</f>
        <v>0</v>
      </c>
      <c r="X2521" s="1" t="str">
        <f>IF(Table1[[#This Row],[DUT Read]]="","N/A",Table1[[#This Row],[Std Error]]+Table1[[#This Row],[DUT Read]]+Table1[[#This Row],[DUT Ucty]])</f>
        <v>N/A</v>
      </c>
      <c r="Y2521" s="1" t="str">
        <f>IF(Table1[[#This Row],[Std Read]]="","N/A",Table1[[#This Row],[Std Read]]+Table1[[#This Row],[Std Ucty]])</f>
        <v>N/A</v>
      </c>
      <c r="Z25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1" s="1" t="str">
        <f>IF(Table1[[#This Row],[Spec Type]]="","N/A",Table1[[#This Row],[Spec Type]])</f>
        <v>±</v>
      </c>
      <c r="AC2521" s="1" t="str">
        <f>IF(Table1[[#This Row],[Spec Type2]]="N/A","N/A",IF(AND(Table1[[#This Row],[DUT Adj Read]]&gt;=Table1[[#This Row],[Low Tol]],Table1[[#This Row],[DUT Adj Read]]&lt;=Table1[[#This Row],[High Tol]]),"Pass","Fail"))</f>
        <v>Fail</v>
      </c>
      <c r="AD2521" s="1" t="str">
        <f>IF(AND(Table1[[#This Row],[Spec Type2]]="N/A",Table1[[#This Row],[DUT Adj Read]]="N/A",Table1[[#This Row],[Std Adj Read]]="N/A"),"N/A",IF(Table1[[#This Row],[DUT Adj Read]]="N/A",IF(Table1[[#This Row],[Std Adj Read]]&gt;Table1[[#This Row],[Low Tol]],"Pass","Fail"),IF(Table1[[#This Row],[DUT Adj Read]]&gt;Table1[[#This Row],[Low Tol]],"Pass","Fail")))</f>
        <v>Pass</v>
      </c>
      <c r="AE2521" s="1" t="str">
        <f>IF(AND(Table1[[#This Row],[Spec Type2]]="N/A",Table1[[#This Row],[DUT Adj Read]]="N/A",Table1[[#This Row],[Std Adj Read]]="N/A"),"N/A",IF(Table1[[#This Row],[DUT Adj Read]]="N/A",IF(Table1[[#This Row],[Std Adj Read]]&lt;Table1[[#This Row],[High Tol]],"Pass","Fail"),IF(Table1[[#This Row],[DUT Adj Read]]&lt;Table1[[#This Row],[High Tol]],"Pass","Fail")))</f>
        <v>Fail</v>
      </c>
      <c r="AF2521" s="1" t="str">
        <f>IF(AND(Table1[[#This Row],[Spec Type2]]="N/A",Table1[[#This Row],[DUT Adj Read]]="N/A",Table1[[#This Row],[Std Adj Read]]="N/A"),"N/A",IF(Table1[[#This Row],[DUT Adj Read]]="N/A",IF(Table1[[#This Row],[Std Adj Read]]&gt;=Table1[[#This Row],[Low Tol]],"Pass","Fail"),IF(Table1[[#This Row],[DUT Adj Read]]&gt;=Table1[[#This Row],[Low Tol]],"Pass","Fail")))</f>
        <v>Pass</v>
      </c>
      <c r="AG2521" s="1" t="str">
        <f>IF(AND(Table1[[#This Row],[Spec Type2]]="N/A",Table1[[#This Row],[DUT Adj Read]]="N/A",Table1[[#This Row],[Std Adj Read]]="N/A"),"N/A",IF(Table1[[#This Row],[DUT Adj Read]]="N/A",IF(Table1[[#This Row],[Std Adj Read]]&lt;=Table1[[#This Row],[High Tol]],"Pass","Fail"),IF(Table1[[#This Row],[DUT Adj Read]]&lt;=Table1[[#This Row],[High Tol]],"Pass","Fail")))</f>
        <v>Fail</v>
      </c>
      <c r="AH25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1" s="1" t="b">
        <v>0</v>
      </c>
      <c r="AN2521" s="1" t="b">
        <v>0</v>
      </c>
      <c r="AO2521" s="1" t="b">
        <v>0</v>
      </c>
    </row>
    <row r="2522" spans="1:41" x14ac:dyDescent="0.25">
      <c r="A2522" s="10"/>
      <c r="B2522" s="10"/>
      <c r="C2522" s="10"/>
      <c r="D2522" s="10"/>
      <c r="E2522" s="10"/>
      <c r="F2522" s="10"/>
      <c r="G2522" s="10"/>
      <c r="H2522" s="10"/>
      <c r="I2522" s="1" t="str">
        <f t="shared" si="117"/>
        <v/>
      </c>
      <c r="J2522" s="1" t="s">
        <v>35</v>
      </c>
      <c r="K2522" s="1" t="str">
        <f t="shared" si="118"/>
        <v/>
      </c>
      <c r="L2522" s="1" t="str">
        <f t="shared" si="119"/>
        <v/>
      </c>
      <c r="M2522" s="1">
        <f>IF(OR(Table1[[#This Row],[Std Nom]]="",Table1[[#This Row],[Std Read]]=""),0,Table1[[#This Row],[Std Nom]]-Table1[[#This Row],[Std Read]])</f>
        <v>0</v>
      </c>
      <c r="N2522" s="1">
        <f>IF(Calculations!$F$5="ACCREDITED 17025 WITH UNCERTAINTIES",$N$10,0)</f>
        <v>0</v>
      </c>
      <c r="Q2522" s="1">
        <f>Table1[[#This Row],[High Tol]]-Table1[[#This Row],[Low Tol]]</f>
        <v>0</v>
      </c>
      <c r="R2522" s="1">
        <f>2*Table1[[#This Row],[Std Error]]</f>
        <v>0</v>
      </c>
      <c r="S2522" s="1" t="str">
        <f>IF(Table1[[#This Row],[High Tol]]="","N/A",IFERROR(ABS(Table1[[#This Row],[Tol Span]]/Table1[[#This Row],[Error Span]]),"N/A"))</f>
        <v>N/A</v>
      </c>
      <c r="T2522" s="1" t="str">
        <f>IF(OR(Table1[[#This Row],[Low Tol]]="",Table1[[#This Row],[High Tol]]=""),"Needs Analysis",IF(Table1[[#This Row],[Ratio]]&gt;=4,"Not Significant",IF(Table1[[#This Row],[Ratio]]&gt;=2,"Semi-Significant","Significant")))</f>
        <v>Needs Analysis</v>
      </c>
      <c r="W2522" s="1">
        <f>IF(Table1[[#This Row],[Cal Type]]&lt;&gt;"ACCREDITED 17025 WITH UNCERTAINTIES",0,"")</f>
        <v>0</v>
      </c>
      <c r="X2522" s="1" t="str">
        <f>IF(Table1[[#This Row],[DUT Read]]="","N/A",Table1[[#This Row],[Std Error]]+Table1[[#This Row],[DUT Read]]+Table1[[#This Row],[DUT Ucty]])</f>
        <v>N/A</v>
      </c>
      <c r="Y2522" s="1" t="str">
        <f>IF(Table1[[#This Row],[Std Read]]="","N/A",Table1[[#This Row],[Std Read]]+Table1[[#This Row],[Std Ucty]])</f>
        <v>N/A</v>
      </c>
      <c r="Z25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2" s="1" t="str">
        <f>IF(Table1[[#This Row],[Spec Type]]="","N/A",Table1[[#This Row],[Spec Type]])</f>
        <v>±</v>
      </c>
      <c r="AC2522" s="1" t="str">
        <f>IF(Table1[[#This Row],[Spec Type2]]="N/A","N/A",IF(AND(Table1[[#This Row],[DUT Adj Read]]&gt;=Table1[[#This Row],[Low Tol]],Table1[[#This Row],[DUT Adj Read]]&lt;=Table1[[#This Row],[High Tol]]),"Pass","Fail"))</f>
        <v>Fail</v>
      </c>
      <c r="AD2522" s="1" t="str">
        <f>IF(AND(Table1[[#This Row],[Spec Type2]]="N/A",Table1[[#This Row],[DUT Adj Read]]="N/A",Table1[[#This Row],[Std Adj Read]]="N/A"),"N/A",IF(Table1[[#This Row],[DUT Adj Read]]="N/A",IF(Table1[[#This Row],[Std Adj Read]]&gt;Table1[[#This Row],[Low Tol]],"Pass","Fail"),IF(Table1[[#This Row],[DUT Adj Read]]&gt;Table1[[#This Row],[Low Tol]],"Pass","Fail")))</f>
        <v>Pass</v>
      </c>
      <c r="AE2522" s="1" t="str">
        <f>IF(AND(Table1[[#This Row],[Spec Type2]]="N/A",Table1[[#This Row],[DUT Adj Read]]="N/A",Table1[[#This Row],[Std Adj Read]]="N/A"),"N/A",IF(Table1[[#This Row],[DUT Adj Read]]="N/A",IF(Table1[[#This Row],[Std Adj Read]]&lt;Table1[[#This Row],[High Tol]],"Pass","Fail"),IF(Table1[[#This Row],[DUT Adj Read]]&lt;Table1[[#This Row],[High Tol]],"Pass","Fail")))</f>
        <v>Fail</v>
      </c>
      <c r="AF2522" s="1" t="str">
        <f>IF(AND(Table1[[#This Row],[Spec Type2]]="N/A",Table1[[#This Row],[DUT Adj Read]]="N/A",Table1[[#This Row],[Std Adj Read]]="N/A"),"N/A",IF(Table1[[#This Row],[DUT Adj Read]]="N/A",IF(Table1[[#This Row],[Std Adj Read]]&gt;=Table1[[#This Row],[Low Tol]],"Pass","Fail"),IF(Table1[[#This Row],[DUT Adj Read]]&gt;=Table1[[#This Row],[Low Tol]],"Pass","Fail")))</f>
        <v>Pass</v>
      </c>
      <c r="AG2522" s="1" t="str">
        <f>IF(AND(Table1[[#This Row],[Spec Type2]]="N/A",Table1[[#This Row],[DUT Adj Read]]="N/A",Table1[[#This Row],[Std Adj Read]]="N/A"),"N/A",IF(Table1[[#This Row],[DUT Adj Read]]="N/A",IF(Table1[[#This Row],[Std Adj Read]]&lt;=Table1[[#This Row],[High Tol]],"Pass","Fail"),IF(Table1[[#This Row],[DUT Adj Read]]&lt;=Table1[[#This Row],[High Tol]],"Pass","Fail")))</f>
        <v>Fail</v>
      </c>
      <c r="AH25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2" s="1" t="b">
        <v>0</v>
      </c>
      <c r="AN2522" s="1" t="b">
        <v>0</v>
      </c>
      <c r="AO2522" s="1" t="b">
        <v>0</v>
      </c>
    </row>
    <row r="2523" spans="1:41" x14ac:dyDescent="0.25">
      <c r="A2523" s="10"/>
      <c r="B2523" s="10"/>
      <c r="C2523" s="10"/>
      <c r="D2523" s="10"/>
      <c r="E2523" s="10"/>
      <c r="F2523" s="10"/>
      <c r="G2523" s="10"/>
      <c r="H2523" s="10"/>
      <c r="I2523" s="1" t="str">
        <f t="shared" si="117"/>
        <v/>
      </c>
      <c r="J2523" s="1" t="s">
        <v>35</v>
      </c>
      <c r="K2523" s="1" t="str">
        <f t="shared" si="118"/>
        <v/>
      </c>
      <c r="L2523" s="1" t="str">
        <f t="shared" si="119"/>
        <v/>
      </c>
      <c r="M2523" s="1">
        <f>IF(OR(Table1[[#This Row],[Std Nom]]="",Table1[[#This Row],[Std Read]]=""),0,Table1[[#This Row],[Std Nom]]-Table1[[#This Row],[Std Read]])</f>
        <v>0</v>
      </c>
      <c r="N2523" s="1">
        <f>IF(Calculations!$F$5="ACCREDITED 17025 WITH UNCERTAINTIES",$N$10,0)</f>
        <v>0</v>
      </c>
      <c r="Q2523" s="1">
        <f>Table1[[#This Row],[High Tol]]-Table1[[#This Row],[Low Tol]]</f>
        <v>0</v>
      </c>
      <c r="R2523" s="1">
        <f>2*Table1[[#This Row],[Std Error]]</f>
        <v>0</v>
      </c>
      <c r="S2523" s="1" t="str">
        <f>IF(Table1[[#This Row],[High Tol]]="","N/A",IFERROR(ABS(Table1[[#This Row],[Tol Span]]/Table1[[#This Row],[Error Span]]),"N/A"))</f>
        <v>N/A</v>
      </c>
      <c r="T2523" s="1" t="str">
        <f>IF(OR(Table1[[#This Row],[Low Tol]]="",Table1[[#This Row],[High Tol]]=""),"Needs Analysis",IF(Table1[[#This Row],[Ratio]]&gt;=4,"Not Significant",IF(Table1[[#This Row],[Ratio]]&gt;=2,"Semi-Significant","Significant")))</f>
        <v>Needs Analysis</v>
      </c>
      <c r="W2523" s="1">
        <f>IF(Table1[[#This Row],[Cal Type]]&lt;&gt;"ACCREDITED 17025 WITH UNCERTAINTIES",0,"")</f>
        <v>0</v>
      </c>
      <c r="X2523" s="1" t="str">
        <f>IF(Table1[[#This Row],[DUT Read]]="","N/A",Table1[[#This Row],[Std Error]]+Table1[[#This Row],[DUT Read]]+Table1[[#This Row],[DUT Ucty]])</f>
        <v>N/A</v>
      </c>
      <c r="Y2523" s="1" t="str">
        <f>IF(Table1[[#This Row],[Std Read]]="","N/A",Table1[[#This Row],[Std Read]]+Table1[[#This Row],[Std Ucty]])</f>
        <v>N/A</v>
      </c>
      <c r="Z25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3" s="1" t="str">
        <f>IF(Table1[[#This Row],[Spec Type]]="","N/A",Table1[[#This Row],[Spec Type]])</f>
        <v>±</v>
      </c>
      <c r="AC2523" s="1" t="str">
        <f>IF(Table1[[#This Row],[Spec Type2]]="N/A","N/A",IF(AND(Table1[[#This Row],[DUT Adj Read]]&gt;=Table1[[#This Row],[Low Tol]],Table1[[#This Row],[DUT Adj Read]]&lt;=Table1[[#This Row],[High Tol]]),"Pass","Fail"))</f>
        <v>Fail</v>
      </c>
      <c r="AD2523" s="1" t="str">
        <f>IF(AND(Table1[[#This Row],[Spec Type2]]="N/A",Table1[[#This Row],[DUT Adj Read]]="N/A",Table1[[#This Row],[Std Adj Read]]="N/A"),"N/A",IF(Table1[[#This Row],[DUT Adj Read]]="N/A",IF(Table1[[#This Row],[Std Adj Read]]&gt;Table1[[#This Row],[Low Tol]],"Pass","Fail"),IF(Table1[[#This Row],[DUT Adj Read]]&gt;Table1[[#This Row],[Low Tol]],"Pass","Fail")))</f>
        <v>Pass</v>
      </c>
      <c r="AE2523" s="1" t="str">
        <f>IF(AND(Table1[[#This Row],[Spec Type2]]="N/A",Table1[[#This Row],[DUT Adj Read]]="N/A",Table1[[#This Row],[Std Adj Read]]="N/A"),"N/A",IF(Table1[[#This Row],[DUT Adj Read]]="N/A",IF(Table1[[#This Row],[Std Adj Read]]&lt;Table1[[#This Row],[High Tol]],"Pass","Fail"),IF(Table1[[#This Row],[DUT Adj Read]]&lt;Table1[[#This Row],[High Tol]],"Pass","Fail")))</f>
        <v>Fail</v>
      </c>
      <c r="AF2523" s="1" t="str">
        <f>IF(AND(Table1[[#This Row],[Spec Type2]]="N/A",Table1[[#This Row],[DUT Adj Read]]="N/A",Table1[[#This Row],[Std Adj Read]]="N/A"),"N/A",IF(Table1[[#This Row],[DUT Adj Read]]="N/A",IF(Table1[[#This Row],[Std Adj Read]]&gt;=Table1[[#This Row],[Low Tol]],"Pass","Fail"),IF(Table1[[#This Row],[DUT Adj Read]]&gt;=Table1[[#This Row],[Low Tol]],"Pass","Fail")))</f>
        <v>Pass</v>
      </c>
      <c r="AG2523" s="1" t="str">
        <f>IF(AND(Table1[[#This Row],[Spec Type2]]="N/A",Table1[[#This Row],[DUT Adj Read]]="N/A",Table1[[#This Row],[Std Adj Read]]="N/A"),"N/A",IF(Table1[[#This Row],[DUT Adj Read]]="N/A",IF(Table1[[#This Row],[Std Adj Read]]&lt;=Table1[[#This Row],[High Tol]],"Pass","Fail"),IF(Table1[[#This Row],[DUT Adj Read]]&lt;=Table1[[#This Row],[High Tol]],"Pass","Fail")))</f>
        <v>Fail</v>
      </c>
      <c r="AH25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3" s="1" t="b">
        <v>0</v>
      </c>
      <c r="AN2523" s="1" t="b">
        <v>0</v>
      </c>
      <c r="AO2523" s="1" t="b">
        <v>0</v>
      </c>
    </row>
    <row r="2524" spans="1:41" x14ac:dyDescent="0.25">
      <c r="A2524" s="10"/>
      <c r="B2524" s="10"/>
      <c r="C2524" s="10"/>
      <c r="D2524" s="10"/>
      <c r="E2524" s="10"/>
      <c r="F2524" s="10"/>
      <c r="G2524" s="10"/>
      <c r="H2524" s="10"/>
      <c r="I2524" s="1" t="str">
        <f t="shared" si="117"/>
        <v/>
      </c>
      <c r="J2524" s="1" t="s">
        <v>35</v>
      </c>
      <c r="K2524" s="1" t="str">
        <f t="shared" si="118"/>
        <v/>
      </c>
      <c r="L2524" s="1" t="str">
        <f t="shared" si="119"/>
        <v/>
      </c>
      <c r="M2524" s="1">
        <f>IF(OR(Table1[[#This Row],[Std Nom]]="",Table1[[#This Row],[Std Read]]=""),0,Table1[[#This Row],[Std Nom]]-Table1[[#This Row],[Std Read]])</f>
        <v>0</v>
      </c>
      <c r="N2524" s="1">
        <f>IF(Calculations!$F$5="ACCREDITED 17025 WITH UNCERTAINTIES",$N$10,0)</f>
        <v>0</v>
      </c>
      <c r="Q2524" s="1">
        <f>Table1[[#This Row],[High Tol]]-Table1[[#This Row],[Low Tol]]</f>
        <v>0</v>
      </c>
      <c r="R2524" s="1">
        <f>2*Table1[[#This Row],[Std Error]]</f>
        <v>0</v>
      </c>
      <c r="S2524" s="1" t="str">
        <f>IF(Table1[[#This Row],[High Tol]]="","N/A",IFERROR(ABS(Table1[[#This Row],[Tol Span]]/Table1[[#This Row],[Error Span]]),"N/A"))</f>
        <v>N/A</v>
      </c>
      <c r="T2524" s="1" t="str">
        <f>IF(OR(Table1[[#This Row],[Low Tol]]="",Table1[[#This Row],[High Tol]]=""),"Needs Analysis",IF(Table1[[#This Row],[Ratio]]&gt;=4,"Not Significant",IF(Table1[[#This Row],[Ratio]]&gt;=2,"Semi-Significant","Significant")))</f>
        <v>Needs Analysis</v>
      </c>
      <c r="W2524" s="1">
        <f>IF(Table1[[#This Row],[Cal Type]]&lt;&gt;"ACCREDITED 17025 WITH UNCERTAINTIES",0,"")</f>
        <v>0</v>
      </c>
      <c r="X2524" s="1" t="str">
        <f>IF(Table1[[#This Row],[DUT Read]]="","N/A",Table1[[#This Row],[Std Error]]+Table1[[#This Row],[DUT Read]]+Table1[[#This Row],[DUT Ucty]])</f>
        <v>N/A</v>
      </c>
      <c r="Y2524" s="1" t="str">
        <f>IF(Table1[[#This Row],[Std Read]]="","N/A",Table1[[#This Row],[Std Read]]+Table1[[#This Row],[Std Ucty]])</f>
        <v>N/A</v>
      </c>
      <c r="Z25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4" s="1" t="str">
        <f>IF(Table1[[#This Row],[Spec Type]]="","N/A",Table1[[#This Row],[Spec Type]])</f>
        <v>±</v>
      </c>
      <c r="AC2524" s="1" t="str">
        <f>IF(Table1[[#This Row],[Spec Type2]]="N/A","N/A",IF(AND(Table1[[#This Row],[DUT Adj Read]]&gt;=Table1[[#This Row],[Low Tol]],Table1[[#This Row],[DUT Adj Read]]&lt;=Table1[[#This Row],[High Tol]]),"Pass","Fail"))</f>
        <v>Fail</v>
      </c>
      <c r="AD2524" s="1" t="str">
        <f>IF(AND(Table1[[#This Row],[Spec Type2]]="N/A",Table1[[#This Row],[DUT Adj Read]]="N/A",Table1[[#This Row],[Std Adj Read]]="N/A"),"N/A",IF(Table1[[#This Row],[DUT Adj Read]]="N/A",IF(Table1[[#This Row],[Std Adj Read]]&gt;Table1[[#This Row],[Low Tol]],"Pass","Fail"),IF(Table1[[#This Row],[DUT Adj Read]]&gt;Table1[[#This Row],[Low Tol]],"Pass","Fail")))</f>
        <v>Pass</v>
      </c>
      <c r="AE2524" s="1" t="str">
        <f>IF(AND(Table1[[#This Row],[Spec Type2]]="N/A",Table1[[#This Row],[DUT Adj Read]]="N/A",Table1[[#This Row],[Std Adj Read]]="N/A"),"N/A",IF(Table1[[#This Row],[DUT Adj Read]]="N/A",IF(Table1[[#This Row],[Std Adj Read]]&lt;Table1[[#This Row],[High Tol]],"Pass","Fail"),IF(Table1[[#This Row],[DUT Adj Read]]&lt;Table1[[#This Row],[High Tol]],"Pass","Fail")))</f>
        <v>Fail</v>
      </c>
      <c r="AF2524" s="1" t="str">
        <f>IF(AND(Table1[[#This Row],[Spec Type2]]="N/A",Table1[[#This Row],[DUT Adj Read]]="N/A",Table1[[#This Row],[Std Adj Read]]="N/A"),"N/A",IF(Table1[[#This Row],[DUT Adj Read]]="N/A",IF(Table1[[#This Row],[Std Adj Read]]&gt;=Table1[[#This Row],[Low Tol]],"Pass","Fail"),IF(Table1[[#This Row],[DUT Adj Read]]&gt;=Table1[[#This Row],[Low Tol]],"Pass","Fail")))</f>
        <v>Pass</v>
      </c>
      <c r="AG2524" s="1" t="str">
        <f>IF(AND(Table1[[#This Row],[Spec Type2]]="N/A",Table1[[#This Row],[DUT Adj Read]]="N/A",Table1[[#This Row],[Std Adj Read]]="N/A"),"N/A",IF(Table1[[#This Row],[DUT Adj Read]]="N/A",IF(Table1[[#This Row],[Std Adj Read]]&lt;=Table1[[#This Row],[High Tol]],"Pass","Fail"),IF(Table1[[#This Row],[DUT Adj Read]]&lt;=Table1[[#This Row],[High Tol]],"Pass","Fail")))</f>
        <v>Fail</v>
      </c>
      <c r="AH25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4" s="1" t="b">
        <v>0</v>
      </c>
      <c r="AN2524" s="1" t="b">
        <v>0</v>
      </c>
      <c r="AO2524" s="1" t="b">
        <v>0</v>
      </c>
    </row>
    <row r="2525" spans="1:41" x14ac:dyDescent="0.25">
      <c r="A2525" s="10"/>
      <c r="B2525" s="10"/>
      <c r="C2525" s="10"/>
      <c r="D2525" s="10"/>
      <c r="E2525" s="10"/>
      <c r="F2525" s="10"/>
      <c r="G2525" s="10"/>
      <c r="H2525" s="10"/>
      <c r="I2525" s="1" t="str">
        <f t="shared" si="117"/>
        <v/>
      </c>
      <c r="J2525" s="1" t="s">
        <v>35</v>
      </c>
      <c r="K2525" s="1" t="str">
        <f t="shared" si="118"/>
        <v/>
      </c>
      <c r="L2525" s="1" t="str">
        <f t="shared" si="119"/>
        <v/>
      </c>
      <c r="M2525" s="1">
        <f>IF(OR(Table1[[#This Row],[Std Nom]]="",Table1[[#This Row],[Std Read]]=""),0,Table1[[#This Row],[Std Nom]]-Table1[[#This Row],[Std Read]])</f>
        <v>0</v>
      </c>
      <c r="N2525" s="1">
        <f>IF(Calculations!$F$5="ACCREDITED 17025 WITH UNCERTAINTIES",$N$10,0)</f>
        <v>0</v>
      </c>
      <c r="Q2525" s="1">
        <f>Table1[[#This Row],[High Tol]]-Table1[[#This Row],[Low Tol]]</f>
        <v>0</v>
      </c>
      <c r="R2525" s="1">
        <f>2*Table1[[#This Row],[Std Error]]</f>
        <v>0</v>
      </c>
      <c r="S2525" s="1" t="str">
        <f>IF(Table1[[#This Row],[High Tol]]="","N/A",IFERROR(ABS(Table1[[#This Row],[Tol Span]]/Table1[[#This Row],[Error Span]]),"N/A"))</f>
        <v>N/A</v>
      </c>
      <c r="T2525" s="1" t="str">
        <f>IF(OR(Table1[[#This Row],[Low Tol]]="",Table1[[#This Row],[High Tol]]=""),"Needs Analysis",IF(Table1[[#This Row],[Ratio]]&gt;=4,"Not Significant",IF(Table1[[#This Row],[Ratio]]&gt;=2,"Semi-Significant","Significant")))</f>
        <v>Needs Analysis</v>
      </c>
      <c r="W2525" s="1">
        <f>IF(Table1[[#This Row],[Cal Type]]&lt;&gt;"ACCREDITED 17025 WITH UNCERTAINTIES",0,"")</f>
        <v>0</v>
      </c>
      <c r="X2525" s="1" t="str">
        <f>IF(Table1[[#This Row],[DUT Read]]="","N/A",Table1[[#This Row],[Std Error]]+Table1[[#This Row],[DUT Read]]+Table1[[#This Row],[DUT Ucty]])</f>
        <v>N/A</v>
      </c>
      <c r="Y2525" s="1" t="str">
        <f>IF(Table1[[#This Row],[Std Read]]="","N/A",Table1[[#This Row],[Std Read]]+Table1[[#This Row],[Std Ucty]])</f>
        <v>N/A</v>
      </c>
      <c r="Z25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5" s="1" t="str">
        <f>IF(Table1[[#This Row],[Spec Type]]="","N/A",Table1[[#This Row],[Spec Type]])</f>
        <v>±</v>
      </c>
      <c r="AC2525" s="1" t="str">
        <f>IF(Table1[[#This Row],[Spec Type2]]="N/A","N/A",IF(AND(Table1[[#This Row],[DUT Adj Read]]&gt;=Table1[[#This Row],[Low Tol]],Table1[[#This Row],[DUT Adj Read]]&lt;=Table1[[#This Row],[High Tol]]),"Pass","Fail"))</f>
        <v>Fail</v>
      </c>
      <c r="AD2525" s="1" t="str">
        <f>IF(AND(Table1[[#This Row],[Spec Type2]]="N/A",Table1[[#This Row],[DUT Adj Read]]="N/A",Table1[[#This Row],[Std Adj Read]]="N/A"),"N/A",IF(Table1[[#This Row],[DUT Adj Read]]="N/A",IF(Table1[[#This Row],[Std Adj Read]]&gt;Table1[[#This Row],[Low Tol]],"Pass","Fail"),IF(Table1[[#This Row],[DUT Adj Read]]&gt;Table1[[#This Row],[Low Tol]],"Pass","Fail")))</f>
        <v>Pass</v>
      </c>
      <c r="AE2525" s="1" t="str">
        <f>IF(AND(Table1[[#This Row],[Spec Type2]]="N/A",Table1[[#This Row],[DUT Adj Read]]="N/A",Table1[[#This Row],[Std Adj Read]]="N/A"),"N/A",IF(Table1[[#This Row],[DUT Adj Read]]="N/A",IF(Table1[[#This Row],[Std Adj Read]]&lt;Table1[[#This Row],[High Tol]],"Pass","Fail"),IF(Table1[[#This Row],[DUT Adj Read]]&lt;Table1[[#This Row],[High Tol]],"Pass","Fail")))</f>
        <v>Fail</v>
      </c>
      <c r="AF2525" s="1" t="str">
        <f>IF(AND(Table1[[#This Row],[Spec Type2]]="N/A",Table1[[#This Row],[DUT Adj Read]]="N/A",Table1[[#This Row],[Std Adj Read]]="N/A"),"N/A",IF(Table1[[#This Row],[DUT Adj Read]]="N/A",IF(Table1[[#This Row],[Std Adj Read]]&gt;=Table1[[#This Row],[Low Tol]],"Pass","Fail"),IF(Table1[[#This Row],[DUT Adj Read]]&gt;=Table1[[#This Row],[Low Tol]],"Pass","Fail")))</f>
        <v>Pass</v>
      </c>
      <c r="AG2525" s="1" t="str">
        <f>IF(AND(Table1[[#This Row],[Spec Type2]]="N/A",Table1[[#This Row],[DUT Adj Read]]="N/A",Table1[[#This Row],[Std Adj Read]]="N/A"),"N/A",IF(Table1[[#This Row],[DUT Adj Read]]="N/A",IF(Table1[[#This Row],[Std Adj Read]]&lt;=Table1[[#This Row],[High Tol]],"Pass","Fail"),IF(Table1[[#This Row],[DUT Adj Read]]&lt;=Table1[[#This Row],[High Tol]],"Pass","Fail")))</f>
        <v>Fail</v>
      </c>
      <c r="AH25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5" s="1" t="b">
        <v>0</v>
      </c>
      <c r="AN2525" s="1" t="b">
        <v>0</v>
      </c>
      <c r="AO2525" s="1" t="b">
        <v>0</v>
      </c>
    </row>
    <row r="2526" spans="1:41" x14ac:dyDescent="0.25">
      <c r="A2526" s="10"/>
      <c r="B2526" s="10"/>
      <c r="C2526" s="10"/>
      <c r="D2526" s="10"/>
      <c r="E2526" s="10"/>
      <c r="F2526" s="10"/>
      <c r="G2526" s="10"/>
      <c r="H2526" s="10"/>
      <c r="I2526" s="1" t="str">
        <f t="shared" si="117"/>
        <v/>
      </c>
      <c r="J2526" s="1" t="s">
        <v>35</v>
      </c>
      <c r="K2526" s="1" t="str">
        <f t="shared" si="118"/>
        <v/>
      </c>
      <c r="L2526" s="1" t="str">
        <f t="shared" si="119"/>
        <v/>
      </c>
      <c r="M2526" s="1">
        <f>IF(OR(Table1[[#This Row],[Std Nom]]="",Table1[[#This Row],[Std Read]]=""),0,Table1[[#This Row],[Std Nom]]-Table1[[#This Row],[Std Read]])</f>
        <v>0</v>
      </c>
      <c r="N2526" s="1">
        <f>IF(Calculations!$F$5="ACCREDITED 17025 WITH UNCERTAINTIES",$N$10,0)</f>
        <v>0</v>
      </c>
      <c r="Q2526" s="1">
        <f>Table1[[#This Row],[High Tol]]-Table1[[#This Row],[Low Tol]]</f>
        <v>0</v>
      </c>
      <c r="R2526" s="1">
        <f>2*Table1[[#This Row],[Std Error]]</f>
        <v>0</v>
      </c>
      <c r="S2526" s="1" t="str">
        <f>IF(Table1[[#This Row],[High Tol]]="","N/A",IFERROR(ABS(Table1[[#This Row],[Tol Span]]/Table1[[#This Row],[Error Span]]),"N/A"))</f>
        <v>N/A</v>
      </c>
      <c r="T2526" s="1" t="str">
        <f>IF(OR(Table1[[#This Row],[Low Tol]]="",Table1[[#This Row],[High Tol]]=""),"Needs Analysis",IF(Table1[[#This Row],[Ratio]]&gt;=4,"Not Significant",IF(Table1[[#This Row],[Ratio]]&gt;=2,"Semi-Significant","Significant")))</f>
        <v>Needs Analysis</v>
      </c>
      <c r="W2526" s="1">
        <f>IF(Table1[[#This Row],[Cal Type]]&lt;&gt;"ACCREDITED 17025 WITH UNCERTAINTIES",0,"")</f>
        <v>0</v>
      </c>
      <c r="X2526" s="1" t="str">
        <f>IF(Table1[[#This Row],[DUT Read]]="","N/A",Table1[[#This Row],[Std Error]]+Table1[[#This Row],[DUT Read]]+Table1[[#This Row],[DUT Ucty]])</f>
        <v>N/A</v>
      </c>
      <c r="Y2526" s="1" t="str">
        <f>IF(Table1[[#This Row],[Std Read]]="","N/A",Table1[[#This Row],[Std Read]]+Table1[[#This Row],[Std Ucty]])</f>
        <v>N/A</v>
      </c>
      <c r="Z25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6" s="1" t="str">
        <f>IF(Table1[[#This Row],[Spec Type]]="","N/A",Table1[[#This Row],[Spec Type]])</f>
        <v>±</v>
      </c>
      <c r="AC2526" s="1" t="str">
        <f>IF(Table1[[#This Row],[Spec Type2]]="N/A","N/A",IF(AND(Table1[[#This Row],[DUT Adj Read]]&gt;=Table1[[#This Row],[Low Tol]],Table1[[#This Row],[DUT Adj Read]]&lt;=Table1[[#This Row],[High Tol]]),"Pass","Fail"))</f>
        <v>Fail</v>
      </c>
      <c r="AD2526" s="1" t="str">
        <f>IF(AND(Table1[[#This Row],[Spec Type2]]="N/A",Table1[[#This Row],[DUT Adj Read]]="N/A",Table1[[#This Row],[Std Adj Read]]="N/A"),"N/A",IF(Table1[[#This Row],[DUT Adj Read]]="N/A",IF(Table1[[#This Row],[Std Adj Read]]&gt;Table1[[#This Row],[Low Tol]],"Pass","Fail"),IF(Table1[[#This Row],[DUT Adj Read]]&gt;Table1[[#This Row],[Low Tol]],"Pass","Fail")))</f>
        <v>Pass</v>
      </c>
      <c r="AE2526" s="1" t="str">
        <f>IF(AND(Table1[[#This Row],[Spec Type2]]="N/A",Table1[[#This Row],[DUT Adj Read]]="N/A",Table1[[#This Row],[Std Adj Read]]="N/A"),"N/A",IF(Table1[[#This Row],[DUT Adj Read]]="N/A",IF(Table1[[#This Row],[Std Adj Read]]&lt;Table1[[#This Row],[High Tol]],"Pass","Fail"),IF(Table1[[#This Row],[DUT Adj Read]]&lt;Table1[[#This Row],[High Tol]],"Pass","Fail")))</f>
        <v>Fail</v>
      </c>
      <c r="AF2526" s="1" t="str">
        <f>IF(AND(Table1[[#This Row],[Spec Type2]]="N/A",Table1[[#This Row],[DUT Adj Read]]="N/A",Table1[[#This Row],[Std Adj Read]]="N/A"),"N/A",IF(Table1[[#This Row],[DUT Adj Read]]="N/A",IF(Table1[[#This Row],[Std Adj Read]]&gt;=Table1[[#This Row],[Low Tol]],"Pass","Fail"),IF(Table1[[#This Row],[DUT Adj Read]]&gt;=Table1[[#This Row],[Low Tol]],"Pass","Fail")))</f>
        <v>Pass</v>
      </c>
      <c r="AG2526" s="1" t="str">
        <f>IF(AND(Table1[[#This Row],[Spec Type2]]="N/A",Table1[[#This Row],[DUT Adj Read]]="N/A",Table1[[#This Row],[Std Adj Read]]="N/A"),"N/A",IF(Table1[[#This Row],[DUT Adj Read]]="N/A",IF(Table1[[#This Row],[Std Adj Read]]&lt;=Table1[[#This Row],[High Tol]],"Pass","Fail"),IF(Table1[[#This Row],[DUT Adj Read]]&lt;=Table1[[#This Row],[High Tol]],"Pass","Fail")))</f>
        <v>Fail</v>
      </c>
      <c r="AH25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6" s="1" t="b">
        <v>0</v>
      </c>
      <c r="AN2526" s="1" t="b">
        <v>0</v>
      </c>
      <c r="AO2526" s="1" t="b">
        <v>0</v>
      </c>
    </row>
    <row r="2527" spans="1:41" x14ac:dyDescent="0.25">
      <c r="A2527" s="10"/>
      <c r="B2527" s="10"/>
      <c r="C2527" s="10"/>
      <c r="D2527" s="10"/>
      <c r="E2527" s="10"/>
      <c r="F2527" s="10"/>
      <c r="G2527" s="10"/>
      <c r="H2527" s="10"/>
      <c r="I2527" s="1" t="str">
        <f t="shared" si="117"/>
        <v/>
      </c>
      <c r="J2527" s="1" t="s">
        <v>35</v>
      </c>
      <c r="K2527" s="1" t="str">
        <f t="shared" si="118"/>
        <v/>
      </c>
      <c r="L2527" s="1" t="str">
        <f t="shared" si="119"/>
        <v/>
      </c>
      <c r="M2527" s="1">
        <f>IF(OR(Table1[[#This Row],[Std Nom]]="",Table1[[#This Row],[Std Read]]=""),0,Table1[[#This Row],[Std Nom]]-Table1[[#This Row],[Std Read]])</f>
        <v>0</v>
      </c>
      <c r="N2527" s="1">
        <f>IF(Calculations!$F$5="ACCREDITED 17025 WITH UNCERTAINTIES",$N$10,0)</f>
        <v>0</v>
      </c>
      <c r="Q2527" s="1">
        <f>Table1[[#This Row],[High Tol]]-Table1[[#This Row],[Low Tol]]</f>
        <v>0</v>
      </c>
      <c r="R2527" s="1">
        <f>2*Table1[[#This Row],[Std Error]]</f>
        <v>0</v>
      </c>
      <c r="S2527" s="1" t="str">
        <f>IF(Table1[[#This Row],[High Tol]]="","N/A",IFERROR(ABS(Table1[[#This Row],[Tol Span]]/Table1[[#This Row],[Error Span]]),"N/A"))</f>
        <v>N/A</v>
      </c>
      <c r="T2527" s="1" t="str">
        <f>IF(OR(Table1[[#This Row],[Low Tol]]="",Table1[[#This Row],[High Tol]]=""),"Needs Analysis",IF(Table1[[#This Row],[Ratio]]&gt;=4,"Not Significant",IF(Table1[[#This Row],[Ratio]]&gt;=2,"Semi-Significant","Significant")))</f>
        <v>Needs Analysis</v>
      </c>
      <c r="W2527" s="1">
        <f>IF(Table1[[#This Row],[Cal Type]]&lt;&gt;"ACCREDITED 17025 WITH UNCERTAINTIES",0,"")</f>
        <v>0</v>
      </c>
      <c r="X2527" s="1" t="str">
        <f>IF(Table1[[#This Row],[DUT Read]]="","N/A",Table1[[#This Row],[Std Error]]+Table1[[#This Row],[DUT Read]]+Table1[[#This Row],[DUT Ucty]])</f>
        <v>N/A</v>
      </c>
      <c r="Y2527" s="1" t="str">
        <f>IF(Table1[[#This Row],[Std Read]]="","N/A",Table1[[#This Row],[Std Read]]+Table1[[#This Row],[Std Ucty]])</f>
        <v>N/A</v>
      </c>
      <c r="Z25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7" s="1" t="str">
        <f>IF(Table1[[#This Row],[Spec Type]]="","N/A",Table1[[#This Row],[Spec Type]])</f>
        <v>±</v>
      </c>
      <c r="AC2527" s="1" t="str">
        <f>IF(Table1[[#This Row],[Spec Type2]]="N/A","N/A",IF(AND(Table1[[#This Row],[DUT Adj Read]]&gt;=Table1[[#This Row],[Low Tol]],Table1[[#This Row],[DUT Adj Read]]&lt;=Table1[[#This Row],[High Tol]]),"Pass","Fail"))</f>
        <v>Fail</v>
      </c>
      <c r="AD2527" s="1" t="str">
        <f>IF(AND(Table1[[#This Row],[Spec Type2]]="N/A",Table1[[#This Row],[DUT Adj Read]]="N/A",Table1[[#This Row],[Std Adj Read]]="N/A"),"N/A",IF(Table1[[#This Row],[DUT Adj Read]]="N/A",IF(Table1[[#This Row],[Std Adj Read]]&gt;Table1[[#This Row],[Low Tol]],"Pass","Fail"),IF(Table1[[#This Row],[DUT Adj Read]]&gt;Table1[[#This Row],[Low Tol]],"Pass","Fail")))</f>
        <v>Pass</v>
      </c>
      <c r="AE2527" s="1" t="str">
        <f>IF(AND(Table1[[#This Row],[Spec Type2]]="N/A",Table1[[#This Row],[DUT Adj Read]]="N/A",Table1[[#This Row],[Std Adj Read]]="N/A"),"N/A",IF(Table1[[#This Row],[DUT Adj Read]]="N/A",IF(Table1[[#This Row],[Std Adj Read]]&lt;Table1[[#This Row],[High Tol]],"Pass","Fail"),IF(Table1[[#This Row],[DUT Adj Read]]&lt;Table1[[#This Row],[High Tol]],"Pass","Fail")))</f>
        <v>Fail</v>
      </c>
      <c r="AF2527" s="1" t="str">
        <f>IF(AND(Table1[[#This Row],[Spec Type2]]="N/A",Table1[[#This Row],[DUT Adj Read]]="N/A",Table1[[#This Row],[Std Adj Read]]="N/A"),"N/A",IF(Table1[[#This Row],[DUT Adj Read]]="N/A",IF(Table1[[#This Row],[Std Adj Read]]&gt;=Table1[[#This Row],[Low Tol]],"Pass","Fail"),IF(Table1[[#This Row],[DUT Adj Read]]&gt;=Table1[[#This Row],[Low Tol]],"Pass","Fail")))</f>
        <v>Pass</v>
      </c>
      <c r="AG2527" s="1" t="str">
        <f>IF(AND(Table1[[#This Row],[Spec Type2]]="N/A",Table1[[#This Row],[DUT Adj Read]]="N/A",Table1[[#This Row],[Std Adj Read]]="N/A"),"N/A",IF(Table1[[#This Row],[DUT Adj Read]]="N/A",IF(Table1[[#This Row],[Std Adj Read]]&lt;=Table1[[#This Row],[High Tol]],"Pass","Fail"),IF(Table1[[#This Row],[DUT Adj Read]]&lt;=Table1[[#This Row],[High Tol]],"Pass","Fail")))</f>
        <v>Fail</v>
      </c>
      <c r="AH25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7" s="1" t="b">
        <v>0</v>
      </c>
      <c r="AN2527" s="1" t="b">
        <v>0</v>
      </c>
      <c r="AO2527" s="1" t="b">
        <v>0</v>
      </c>
    </row>
    <row r="2528" spans="1:41" x14ac:dyDescent="0.25">
      <c r="A2528" s="10"/>
      <c r="B2528" s="10"/>
      <c r="C2528" s="10"/>
      <c r="D2528" s="10"/>
      <c r="E2528" s="10"/>
      <c r="F2528" s="10"/>
      <c r="G2528" s="10"/>
      <c r="H2528" s="10"/>
      <c r="I2528" s="1" t="str">
        <f t="shared" si="117"/>
        <v/>
      </c>
      <c r="J2528" s="1" t="s">
        <v>35</v>
      </c>
      <c r="K2528" s="1" t="str">
        <f t="shared" si="118"/>
        <v/>
      </c>
      <c r="L2528" s="1" t="str">
        <f t="shared" si="119"/>
        <v/>
      </c>
      <c r="M2528" s="1">
        <f>IF(OR(Table1[[#This Row],[Std Nom]]="",Table1[[#This Row],[Std Read]]=""),0,Table1[[#This Row],[Std Nom]]-Table1[[#This Row],[Std Read]])</f>
        <v>0</v>
      </c>
      <c r="N2528" s="1">
        <f>IF(Calculations!$F$5="ACCREDITED 17025 WITH UNCERTAINTIES",$N$10,0)</f>
        <v>0</v>
      </c>
      <c r="Q2528" s="1">
        <f>Table1[[#This Row],[High Tol]]-Table1[[#This Row],[Low Tol]]</f>
        <v>0</v>
      </c>
      <c r="R2528" s="1">
        <f>2*Table1[[#This Row],[Std Error]]</f>
        <v>0</v>
      </c>
      <c r="S2528" s="1" t="str">
        <f>IF(Table1[[#This Row],[High Tol]]="","N/A",IFERROR(ABS(Table1[[#This Row],[Tol Span]]/Table1[[#This Row],[Error Span]]),"N/A"))</f>
        <v>N/A</v>
      </c>
      <c r="T2528" s="1" t="str">
        <f>IF(OR(Table1[[#This Row],[Low Tol]]="",Table1[[#This Row],[High Tol]]=""),"Needs Analysis",IF(Table1[[#This Row],[Ratio]]&gt;=4,"Not Significant",IF(Table1[[#This Row],[Ratio]]&gt;=2,"Semi-Significant","Significant")))</f>
        <v>Needs Analysis</v>
      </c>
      <c r="W2528" s="1">
        <f>IF(Table1[[#This Row],[Cal Type]]&lt;&gt;"ACCREDITED 17025 WITH UNCERTAINTIES",0,"")</f>
        <v>0</v>
      </c>
      <c r="X2528" s="1" t="str">
        <f>IF(Table1[[#This Row],[DUT Read]]="","N/A",Table1[[#This Row],[Std Error]]+Table1[[#This Row],[DUT Read]]+Table1[[#This Row],[DUT Ucty]])</f>
        <v>N/A</v>
      </c>
      <c r="Y2528" s="1" t="str">
        <f>IF(Table1[[#This Row],[Std Read]]="","N/A",Table1[[#This Row],[Std Read]]+Table1[[#This Row],[Std Ucty]])</f>
        <v>N/A</v>
      </c>
      <c r="Z25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8" s="1" t="str">
        <f>IF(Table1[[#This Row],[Spec Type]]="","N/A",Table1[[#This Row],[Spec Type]])</f>
        <v>±</v>
      </c>
      <c r="AC2528" s="1" t="str">
        <f>IF(Table1[[#This Row],[Spec Type2]]="N/A","N/A",IF(AND(Table1[[#This Row],[DUT Adj Read]]&gt;=Table1[[#This Row],[Low Tol]],Table1[[#This Row],[DUT Adj Read]]&lt;=Table1[[#This Row],[High Tol]]),"Pass","Fail"))</f>
        <v>Fail</v>
      </c>
      <c r="AD2528" s="1" t="str">
        <f>IF(AND(Table1[[#This Row],[Spec Type2]]="N/A",Table1[[#This Row],[DUT Adj Read]]="N/A",Table1[[#This Row],[Std Adj Read]]="N/A"),"N/A",IF(Table1[[#This Row],[DUT Adj Read]]="N/A",IF(Table1[[#This Row],[Std Adj Read]]&gt;Table1[[#This Row],[Low Tol]],"Pass","Fail"),IF(Table1[[#This Row],[DUT Adj Read]]&gt;Table1[[#This Row],[Low Tol]],"Pass","Fail")))</f>
        <v>Pass</v>
      </c>
      <c r="AE2528" s="1" t="str">
        <f>IF(AND(Table1[[#This Row],[Spec Type2]]="N/A",Table1[[#This Row],[DUT Adj Read]]="N/A",Table1[[#This Row],[Std Adj Read]]="N/A"),"N/A",IF(Table1[[#This Row],[DUT Adj Read]]="N/A",IF(Table1[[#This Row],[Std Adj Read]]&lt;Table1[[#This Row],[High Tol]],"Pass","Fail"),IF(Table1[[#This Row],[DUT Adj Read]]&lt;Table1[[#This Row],[High Tol]],"Pass","Fail")))</f>
        <v>Fail</v>
      </c>
      <c r="AF2528" s="1" t="str">
        <f>IF(AND(Table1[[#This Row],[Spec Type2]]="N/A",Table1[[#This Row],[DUT Adj Read]]="N/A",Table1[[#This Row],[Std Adj Read]]="N/A"),"N/A",IF(Table1[[#This Row],[DUT Adj Read]]="N/A",IF(Table1[[#This Row],[Std Adj Read]]&gt;=Table1[[#This Row],[Low Tol]],"Pass","Fail"),IF(Table1[[#This Row],[DUT Adj Read]]&gt;=Table1[[#This Row],[Low Tol]],"Pass","Fail")))</f>
        <v>Pass</v>
      </c>
      <c r="AG2528" s="1" t="str">
        <f>IF(AND(Table1[[#This Row],[Spec Type2]]="N/A",Table1[[#This Row],[DUT Adj Read]]="N/A",Table1[[#This Row],[Std Adj Read]]="N/A"),"N/A",IF(Table1[[#This Row],[DUT Adj Read]]="N/A",IF(Table1[[#This Row],[Std Adj Read]]&lt;=Table1[[#This Row],[High Tol]],"Pass","Fail"),IF(Table1[[#This Row],[DUT Adj Read]]&lt;=Table1[[#This Row],[High Tol]],"Pass","Fail")))</f>
        <v>Fail</v>
      </c>
      <c r="AH25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8" s="1" t="b">
        <v>0</v>
      </c>
      <c r="AN2528" s="1" t="b">
        <v>0</v>
      </c>
      <c r="AO2528" s="1" t="b">
        <v>0</v>
      </c>
    </row>
    <row r="2529" spans="1:41" x14ac:dyDescent="0.25">
      <c r="A2529" s="10"/>
      <c r="B2529" s="10"/>
      <c r="C2529" s="10"/>
      <c r="D2529" s="10"/>
      <c r="E2529" s="10"/>
      <c r="F2529" s="10"/>
      <c r="G2529" s="10"/>
      <c r="H2529" s="10"/>
      <c r="I2529" s="1" t="str">
        <f t="shared" si="117"/>
        <v/>
      </c>
      <c r="J2529" s="1" t="s">
        <v>35</v>
      </c>
      <c r="K2529" s="1" t="str">
        <f t="shared" si="118"/>
        <v/>
      </c>
      <c r="L2529" s="1" t="str">
        <f t="shared" si="119"/>
        <v/>
      </c>
      <c r="M2529" s="1">
        <f>IF(OR(Table1[[#This Row],[Std Nom]]="",Table1[[#This Row],[Std Read]]=""),0,Table1[[#This Row],[Std Nom]]-Table1[[#This Row],[Std Read]])</f>
        <v>0</v>
      </c>
      <c r="N2529" s="1">
        <f>IF(Calculations!$F$5="ACCREDITED 17025 WITH UNCERTAINTIES",$N$10,0)</f>
        <v>0</v>
      </c>
      <c r="Q2529" s="1">
        <f>Table1[[#This Row],[High Tol]]-Table1[[#This Row],[Low Tol]]</f>
        <v>0</v>
      </c>
      <c r="R2529" s="1">
        <f>2*Table1[[#This Row],[Std Error]]</f>
        <v>0</v>
      </c>
      <c r="S2529" s="1" t="str">
        <f>IF(Table1[[#This Row],[High Tol]]="","N/A",IFERROR(ABS(Table1[[#This Row],[Tol Span]]/Table1[[#This Row],[Error Span]]),"N/A"))</f>
        <v>N/A</v>
      </c>
      <c r="T2529" s="1" t="str">
        <f>IF(OR(Table1[[#This Row],[Low Tol]]="",Table1[[#This Row],[High Tol]]=""),"Needs Analysis",IF(Table1[[#This Row],[Ratio]]&gt;=4,"Not Significant",IF(Table1[[#This Row],[Ratio]]&gt;=2,"Semi-Significant","Significant")))</f>
        <v>Needs Analysis</v>
      </c>
      <c r="W2529" s="1">
        <f>IF(Table1[[#This Row],[Cal Type]]&lt;&gt;"ACCREDITED 17025 WITH UNCERTAINTIES",0,"")</f>
        <v>0</v>
      </c>
      <c r="X2529" s="1" t="str">
        <f>IF(Table1[[#This Row],[DUT Read]]="","N/A",Table1[[#This Row],[Std Error]]+Table1[[#This Row],[DUT Read]]+Table1[[#This Row],[DUT Ucty]])</f>
        <v>N/A</v>
      </c>
      <c r="Y2529" s="1" t="str">
        <f>IF(Table1[[#This Row],[Std Read]]="","N/A",Table1[[#This Row],[Std Read]]+Table1[[#This Row],[Std Ucty]])</f>
        <v>N/A</v>
      </c>
      <c r="Z25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29" s="1" t="str">
        <f>IF(Table1[[#This Row],[Spec Type]]="","N/A",Table1[[#This Row],[Spec Type]])</f>
        <v>±</v>
      </c>
      <c r="AC2529" s="1" t="str">
        <f>IF(Table1[[#This Row],[Spec Type2]]="N/A","N/A",IF(AND(Table1[[#This Row],[DUT Adj Read]]&gt;=Table1[[#This Row],[Low Tol]],Table1[[#This Row],[DUT Adj Read]]&lt;=Table1[[#This Row],[High Tol]]),"Pass","Fail"))</f>
        <v>Fail</v>
      </c>
      <c r="AD2529" s="1" t="str">
        <f>IF(AND(Table1[[#This Row],[Spec Type2]]="N/A",Table1[[#This Row],[DUT Adj Read]]="N/A",Table1[[#This Row],[Std Adj Read]]="N/A"),"N/A",IF(Table1[[#This Row],[DUT Adj Read]]="N/A",IF(Table1[[#This Row],[Std Adj Read]]&gt;Table1[[#This Row],[Low Tol]],"Pass","Fail"),IF(Table1[[#This Row],[DUT Adj Read]]&gt;Table1[[#This Row],[Low Tol]],"Pass","Fail")))</f>
        <v>Pass</v>
      </c>
      <c r="AE2529" s="1" t="str">
        <f>IF(AND(Table1[[#This Row],[Spec Type2]]="N/A",Table1[[#This Row],[DUT Adj Read]]="N/A",Table1[[#This Row],[Std Adj Read]]="N/A"),"N/A",IF(Table1[[#This Row],[DUT Adj Read]]="N/A",IF(Table1[[#This Row],[Std Adj Read]]&lt;Table1[[#This Row],[High Tol]],"Pass","Fail"),IF(Table1[[#This Row],[DUT Adj Read]]&lt;Table1[[#This Row],[High Tol]],"Pass","Fail")))</f>
        <v>Fail</v>
      </c>
      <c r="AF2529" s="1" t="str">
        <f>IF(AND(Table1[[#This Row],[Spec Type2]]="N/A",Table1[[#This Row],[DUT Adj Read]]="N/A",Table1[[#This Row],[Std Adj Read]]="N/A"),"N/A",IF(Table1[[#This Row],[DUT Adj Read]]="N/A",IF(Table1[[#This Row],[Std Adj Read]]&gt;=Table1[[#This Row],[Low Tol]],"Pass","Fail"),IF(Table1[[#This Row],[DUT Adj Read]]&gt;=Table1[[#This Row],[Low Tol]],"Pass","Fail")))</f>
        <v>Pass</v>
      </c>
      <c r="AG2529" s="1" t="str">
        <f>IF(AND(Table1[[#This Row],[Spec Type2]]="N/A",Table1[[#This Row],[DUT Adj Read]]="N/A",Table1[[#This Row],[Std Adj Read]]="N/A"),"N/A",IF(Table1[[#This Row],[DUT Adj Read]]="N/A",IF(Table1[[#This Row],[Std Adj Read]]&lt;=Table1[[#This Row],[High Tol]],"Pass","Fail"),IF(Table1[[#This Row],[DUT Adj Read]]&lt;=Table1[[#This Row],[High Tol]],"Pass","Fail")))</f>
        <v>Fail</v>
      </c>
      <c r="AH25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29" s="1" t="b">
        <v>0</v>
      </c>
      <c r="AN2529" s="1" t="b">
        <v>0</v>
      </c>
      <c r="AO2529" s="1" t="b">
        <v>0</v>
      </c>
    </row>
    <row r="2530" spans="1:41" x14ac:dyDescent="0.25">
      <c r="A2530" s="10"/>
      <c r="B2530" s="10"/>
      <c r="C2530" s="10"/>
      <c r="D2530" s="10"/>
      <c r="E2530" s="10"/>
      <c r="F2530" s="10"/>
      <c r="G2530" s="10"/>
      <c r="H2530" s="10"/>
      <c r="I2530" s="1" t="str">
        <f t="shared" si="117"/>
        <v/>
      </c>
      <c r="J2530" s="1" t="s">
        <v>35</v>
      </c>
      <c r="K2530" s="1" t="str">
        <f t="shared" si="118"/>
        <v/>
      </c>
      <c r="L2530" s="1" t="str">
        <f t="shared" si="119"/>
        <v/>
      </c>
      <c r="M2530" s="1">
        <f>IF(OR(Table1[[#This Row],[Std Nom]]="",Table1[[#This Row],[Std Read]]=""),0,Table1[[#This Row],[Std Nom]]-Table1[[#This Row],[Std Read]])</f>
        <v>0</v>
      </c>
      <c r="N2530" s="1">
        <f>IF(Calculations!$F$5="ACCREDITED 17025 WITH UNCERTAINTIES",$N$10,0)</f>
        <v>0</v>
      </c>
      <c r="Q2530" s="1">
        <f>Table1[[#This Row],[High Tol]]-Table1[[#This Row],[Low Tol]]</f>
        <v>0</v>
      </c>
      <c r="R2530" s="1">
        <f>2*Table1[[#This Row],[Std Error]]</f>
        <v>0</v>
      </c>
      <c r="S2530" s="1" t="str">
        <f>IF(Table1[[#This Row],[High Tol]]="","N/A",IFERROR(ABS(Table1[[#This Row],[Tol Span]]/Table1[[#This Row],[Error Span]]),"N/A"))</f>
        <v>N/A</v>
      </c>
      <c r="T2530" s="1" t="str">
        <f>IF(OR(Table1[[#This Row],[Low Tol]]="",Table1[[#This Row],[High Tol]]=""),"Needs Analysis",IF(Table1[[#This Row],[Ratio]]&gt;=4,"Not Significant",IF(Table1[[#This Row],[Ratio]]&gt;=2,"Semi-Significant","Significant")))</f>
        <v>Needs Analysis</v>
      </c>
      <c r="W2530" s="1">
        <f>IF(Table1[[#This Row],[Cal Type]]&lt;&gt;"ACCREDITED 17025 WITH UNCERTAINTIES",0,"")</f>
        <v>0</v>
      </c>
      <c r="X2530" s="1" t="str">
        <f>IF(Table1[[#This Row],[DUT Read]]="","N/A",Table1[[#This Row],[Std Error]]+Table1[[#This Row],[DUT Read]]+Table1[[#This Row],[DUT Ucty]])</f>
        <v>N/A</v>
      </c>
      <c r="Y2530" s="1" t="str">
        <f>IF(Table1[[#This Row],[Std Read]]="","N/A",Table1[[#This Row],[Std Read]]+Table1[[#This Row],[Std Ucty]])</f>
        <v>N/A</v>
      </c>
      <c r="Z25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0" s="1" t="str">
        <f>IF(Table1[[#This Row],[Spec Type]]="","N/A",Table1[[#This Row],[Spec Type]])</f>
        <v>±</v>
      </c>
      <c r="AC2530" s="1" t="str">
        <f>IF(Table1[[#This Row],[Spec Type2]]="N/A","N/A",IF(AND(Table1[[#This Row],[DUT Adj Read]]&gt;=Table1[[#This Row],[Low Tol]],Table1[[#This Row],[DUT Adj Read]]&lt;=Table1[[#This Row],[High Tol]]),"Pass","Fail"))</f>
        <v>Fail</v>
      </c>
      <c r="AD2530" s="1" t="str">
        <f>IF(AND(Table1[[#This Row],[Spec Type2]]="N/A",Table1[[#This Row],[DUT Adj Read]]="N/A",Table1[[#This Row],[Std Adj Read]]="N/A"),"N/A",IF(Table1[[#This Row],[DUT Adj Read]]="N/A",IF(Table1[[#This Row],[Std Adj Read]]&gt;Table1[[#This Row],[Low Tol]],"Pass","Fail"),IF(Table1[[#This Row],[DUT Adj Read]]&gt;Table1[[#This Row],[Low Tol]],"Pass","Fail")))</f>
        <v>Pass</v>
      </c>
      <c r="AE2530" s="1" t="str">
        <f>IF(AND(Table1[[#This Row],[Spec Type2]]="N/A",Table1[[#This Row],[DUT Adj Read]]="N/A",Table1[[#This Row],[Std Adj Read]]="N/A"),"N/A",IF(Table1[[#This Row],[DUT Adj Read]]="N/A",IF(Table1[[#This Row],[Std Adj Read]]&lt;Table1[[#This Row],[High Tol]],"Pass","Fail"),IF(Table1[[#This Row],[DUT Adj Read]]&lt;Table1[[#This Row],[High Tol]],"Pass","Fail")))</f>
        <v>Fail</v>
      </c>
      <c r="AF2530" s="1" t="str">
        <f>IF(AND(Table1[[#This Row],[Spec Type2]]="N/A",Table1[[#This Row],[DUT Adj Read]]="N/A",Table1[[#This Row],[Std Adj Read]]="N/A"),"N/A",IF(Table1[[#This Row],[DUT Adj Read]]="N/A",IF(Table1[[#This Row],[Std Adj Read]]&gt;=Table1[[#This Row],[Low Tol]],"Pass","Fail"),IF(Table1[[#This Row],[DUT Adj Read]]&gt;=Table1[[#This Row],[Low Tol]],"Pass","Fail")))</f>
        <v>Pass</v>
      </c>
      <c r="AG2530" s="1" t="str">
        <f>IF(AND(Table1[[#This Row],[Spec Type2]]="N/A",Table1[[#This Row],[DUT Adj Read]]="N/A",Table1[[#This Row],[Std Adj Read]]="N/A"),"N/A",IF(Table1[[#This Row],[DUT Adj Read]]="N/A",IF(Table1[[#This Row],[Std Adj Read]]&lt;=Table1[[#This Row],[High Tol]],"Pass","Fail"),IF(Table1[[#This Row],[DUT Adj Read]]&lt;=Table1[[#This Row],[High Tol]],"Pass","Fail")))</f>
        <v>Fail</v>
      </c>
      <c r="AH25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0" s="1" t="b">
        <v>0</v>
      </c>
      <c r="AN2530" s="1" t="b">
        <v>0</v>
      </c>
      <c r="AO2530" s="1" t="b">
        <v>0</v>
      </c>
    </row>
    <row r="2531" spans="1:41" x14ac:dyDescent="0.25">
      <c r="A2531" s="10"/>
      <c r="B2531" s="10"/>
      <c r="C2531" s="10"/>
      <c r="D2531" s="10"/>
      <c r="E2531" s="10"/>
      <c r="F2531" s="10"/>
      <c r="G2531" s="10"/>
      <c r="H2531" s="10"/>
      <c r="I2531" s="1" t="str">
        <f t="shared" si="117"/>
        <v/>
      </c>
      <c r="J2531" s="1" t="s">
        <v>35</v>
      </c>
      <c r="K2531" s="1" t="str">
        <f t="shared" si="118"/>
        <v/>
      </c>
      <c r="L2531" s="1" t="str">
        <f t="shared" si="119"/>
        <v/>
      </c>
      <c r="M2531" s="1">
        <f>IF(OR(Table1[[#This Row],[Std Nom]]="",Table1[[#This Row],[Std Read]]=""),0,Table1[[#This Row],[Std Nom]]-Table1[[#This Row],[Std Read]])</f>
        <v>0</v>
      </c>
      <c r="N2531" s="1">
        <f>IF(Calculations!$F$5="ACCREDITED 17025 WITH UNCERTAINTIES",$N$10,0)</f>
        <v>0</v>
      </c>
      <c r="Q2531" s="1">
        <f>Table1[[#This Row],[High Tol]]-Table1[[#This Row],[Low Tol]]</f>
        <v>0</v>
      </c>
      <c r="R2531" s="1">
        <f>2*Table1[[#This Row],[Std Error]]</f>
        <v>0</v>
      </c>
      <c r="S2531" s="1" t="str">
        <f>IF(Table1[[#This Row],[High Tol]]="","N/A",IFERROR(ABS(Table1[[#This Row],[Tol Span]]/Table1[[#This Row],[Error Span]]),"N/A"))</f>
        <v>N/A</v>
      </c>
      <c r="T2531" s="1" t="str">
        <f>IF(OR(Table1[[#This Row],[Low Tol]]="",Table1[[#This Row],[High Tol]]=""),"Needs Analysis",IF(Table1[[#This Row],[Ratio]]&gt;=4,"Not Significant",IF(Table1[[#This Row],[Ratio]]&gt;=2,"Semi-Significant","Significant")))</f>
        <v>Needs Analysis</v>
      </c>
      <c r="W2531" s="1">
        <f>IF(Table1[[#This Row],[Cal Type]]&lt;&gt;"ACCREDITED 17025 WITH UNCERTAINTIES",0,"")</f>
        <v>0</v>
      </c>
      <c r="X2531" s="1" t="str">
        <f>IF(Table1[[#This Row],[DUT Read]]="","N/A",Table1[[#This Row],[Std Error]]+Table1[[#This Row],[DUT Read]]+Table1[[#This Row],[DUT Ucty]])</f>
        <v>N/A</v>
      </c>
      <c r="Y2531" s="1" t="str">
        <f>IF(Table1[[#This Row],[Std Read]]="","N/A",Table1[[#This Row],[Std Read]]+Table1[[#This Row],[Std Ucty]])</f>
        <v>N/A</v>
      </c>
      <c r="Z25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1" s="1" t="str">
        <f>IF(Table1[[#This Row],[Spec Type]]="","N/A",Table1[[#This Row],[Spec Type]])</f>
        <v>±</v>
      </c>
      <c r="AC2531" s="1" t="str">
        <f>IF(Table1[[#This Row],[Spec Type2]]="N/A","N/A",IF(AND(Table1[[#This Row],[DUT Adj Read]]&gt;=Table1[[#This Row],[Low Tol]],Table1[[#This Row],[DUT Adj Read]]&lt;=Table1[[#This Row],[High Tol]]),"Pass","Fail"))</f>
        <v>Fail</v>
      </c>
      <c r="AD2531" s="1" t="str">
        <f>IF(AND(Table1[[#This Row],[Spec Type2]]="N/A",Table1[[#This Row],[DUT Adj Read]]="N/A",Table1[[#This Row],[Std Adj Read]]="N/A"),"N/A",IF(Table1[[#This Row],[DUT Adj Read]]="N/A",IF(Table1[[#This Row],[Std Adj Read]]&gt;Table1[[#This Row],[Low Tol]],"Pass","Fail"),IF(Table1[[#This Row],[DUT Adj Read]]&gt;Table1[[#This Row],[Low Tol]],"Pass","Fail")))</f>
        <v>Pass</v>
      </c>
      <c r="AE2531" s="1" t="str">
        <f>IF(AND(Table1[[#This Row],[Spec Type2]]="N/A",Table1[[#This Row],[DUT Adj Read]]="N/A",Table1[[#This Row],[Std Adj Read]]="N/A"),"N/A",IF(Table1[[#This Row],[DUT Adj Read]]="N/A",IF(Table1[[#This Row],[Std Adj Read]]&lt;Table1[[#This Row],[High Tol]],"Pass","Fail"),IF(Table1[[#This Row],[DUT Adj Read]]&lt;Table1[[#This Row],[High Tol]],"Pass","Fail")))</f>
        <v>Fail</v>
      </c>
      <c r="AF2531" s="1" t="str">
        <f>IF(AND(Table1[[#This Row],[Spec Type2]]="N/A",Table1[[#This Row],[DUT Adj Read]]="N/A",Table1[[#This Row],[Std Adj Read]]="N/A"),"N/A",IF(Table1[[#This Row],[DUT Adj Read]]="N/A",IF(Table1[[#This Row],[Std Adj Read]]&gt;=Table1[[#This Row],[Low Tol]],"Pass","Fail"),IF(Table1[[#This Row],[DUT Adj Read]]&gt;=Table1[[#This Row],[Low Tol]],"Pass","Fail")))</f>
        <v>Pass</v>
      </c>
      <c r="AG2531" s="1" t="str">
        <f>IF(AND(Table1[[#This Row],[Spec Type2]]="N/A",Table1[[#This Row],[DUT Adj Read]]="N/A",Table1[[#This Row],[Std Adj Read]]="N/A"),"N/A",IF(Table1[[#This Row],[DUT Adj Read]]="N/A",IF(Table1[[#This Row],[Std Adj Read]]&lt;=Table1[[#This Row],[High Tol]],"Pass","Fail"),IF(Table1[[#This Row],[DUT Adj Read]]&lt;=Table1[[#This Row],[High Tol]],"Pass","Fail")))</f>
        <v>Fail</v>
      </c>
      <c r="AH25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1" s="1" t="b">
        <v>0</v>
      </c>
      <c r="AN2531" s="1" t="b">
        <v>0</v>
      </c>
      <c r="AO2531" s="1" t="b">
        <v>0</v>
      </c>
    </row>
    <row r="2532" spans="1:41" x14ac:dyDescent="0.25">
      <c r="A2532" s="10"/>
      <c r="B2532" s="10"/>
      <c r="C2532" s="10"/>
      <c r="D2532" s="10"/>
      <c r="E2532" s="10"/>
      <c r="F2532" s="10"/>
      <c r="G2532" s="10"/>
      <c r="H2532" s="10"/>
      <c r="I2532" s="1" t="str">
        <f t="shared" si="117"/>
        <v/>
      </c>
      <c r="J2532" s="1" t="s">
        <v>35</v>
      </c>
      <c r="K2532" s="1" t="str">
        <f t="shared" si="118"/>
        <v/>
      </c>
      <c r="L2532" s="1" t="str">
        <f t="shared" si="119"/>
        <v/>
      </c>
      <c r="M2532" s="1">
        <f>IF(OR(Table1[[#This Row],[Std Nom]]="",Table1[[#This Row],[Std Read]]=""),0,Table1[[#This Row],[Std Nom]]-Table1[[#This Row],[Std Read]])</f>
        <v>0</v>
      </c>
      <c r="N2532" s="1">
        <f>IF(Calculations!$F$5="ACCREDITED 17025 WITH UNCERTAINTIES",$N$10,0)</f>
        <v>0</v>
      </c>
      <c r="Q2532" s="1">
        <f>Table1[[#This Row],[High Tol]]-Table1[[#This Row],[Low Tol]]</f>
        <v>0</v>
      </c>
      <c r="R2532" s="1">
        <f>2*Table1[[#This Row],[Std Error]]</f>
        <v>0</v>
      </c>
      <c r="S2532" s="1" t="str">
        <f>IF(Table1[[#This Row],[High Tol]]="","N/A",IFERROR(ABS(Table1[[#This Row],[Tol Span]]/Table1[[#This Row],[Error Span]]),"N/A"))</f>
        <v>N/A</v>
      </c>
      <c r="T2532" s="1" t="str">
        <f>IF(OR(Table1[[#This Row],[Low Tol]]="",Table1[[#This Row],[High Tol]]=""),"Needs Analysis",IF(Table1[[#This Row],[Ratio]]&gt;=4,"Not Significant",IF(Table1[[#This Row],[Ratio]]&gt;=2,"Semi-Significant","Significant")))</f>
        <v>Needs Analysis</v>
      </c>
      <c r="W2532" s="1">
        <f>IF(Table1[[#This Row],[Cal Type]]&lt;&gt;"ACCREDITED 17025 WITH UNCERTAINTIES",0,"")</f>
        <v>0</v>
      </c>
      <c r="X2532" s="1" t="str">
        <f>IF(Table1[[#This Row],[DUT Read]]="","N/A",Table1[[#This Row],[Std Error]]+Table1[[#This Row],[DUT Read]]+Table1[[#This Row],[DUT Ucty]])</f>
        <v>N/A</v>
      </c>
      <c r="Y2532" s="1" t="str">
        <f>IF(Table1[[#This Row],[Std Read]]="","N/A",Table1[[#This Row],[Std Read]]+Table1[[#This Row],[Std Ucty]])</f>
        <v>N/A</v>
      </c>
      <c r="Z25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2" s="1" t="str">
        <f>IF(Table1[[#This Row],[Spec Type]]="","N/A",Table1[[#This Row],[Spec Type]])</f>
        <v>±</v>
      </c>
      <c r="AC2532" s="1" t="str">
        <f>IF(Table1[[#This Row],[Spec Type2]]="N/A","N/A",IF(AND(Table1[[#This Row],[DUT Adj Read]]&gt;=Table1[[#This Row],[Low Tol]],Table1[[#This Row],[DUT Adj Read]]&lt;=Table1[[#This Row],[High Tol]]),"Pass","Fail"))</f>
        <v>Fail</v>
      </c>
      <c r="AD2532" s="1" t="str">
        <f>IF(AND(Table1[[#This Row],[Spec Type2]]="N/A",Table1[[#This Row],[DUT Adj Read]]="N/A",Table1[[#This Row],[Std Adj Read]]="N/A"),"N/A",IF(Table1[[#This Row],[DUT Adj Read]]="N/A",IF(Table1[[#This Row],[Std Adj Read]]&gt;Table1[[#This Row],[Low Tol]],"Pass","Fail"),IF(Table1[[#This Row],[DUT Adj Read]]&gt;Table1[[#This Row],[Low Tol]],"Pass","Fail")))</f>
        <v>Pass</v>
      </c>
      <c r="AE2532" s="1" t="str">
        <f>IF(AND(Table1[[#This Row],[Spec Type2]]="N/A",Table1[[#This Row],[DUT Adj Read]]="N/A",Table1[[#This Row],[Std Adj Read]]="N/A"),"N/A",IF(Table1[[#This Row],[DUT Adj Read]]="N/A",IF(Table1[[#This Row],[Std Adj Read]]&lt;Table1[[#This Row],[High Tol]],"Pass","Fail"),IF(Table1[[#This Row],[DUT Adj Read]]&lt;Table1[[#This Row],[High Tol]],"Pass","Fail")))</f>
        <v>Fail</v>
      </c>
      <c r="AF2532" s="1" t="str">
        <f>IF(AND(Table1[[#This Row],[Spec Type2]]="N/A",Table1[[#This Row],[DUT Adj Read]]="N/A",Table1[[#This Row],[Std Adj Read]]="N/A"),"N/A",IF(Table1[[#This Row],[DUT Adj Read]]="N/A",IF(Table1[[#This Row],[Std Adj Read]]&gt;=Table1[[#This Row],[Low Tol]],"Pass","Fail"),IF(Table1[[#This Row],[DUT Adj Read]]&gt;=Table1[[#This Row],[Low Tol]],"Pass","Fail")))</f>
        <v>Pass</v>
      </c>
      <c r="AG2532" s="1" t="str">
        <f>IF(AND(Table1[[#This Row],[Spec Type2]]="N/A",Table1[[#This Row],[DUT Adj Read]]="N/A",Table1[[#This Row],[Std Adj Read]]="N/A"),"N/A",IF(Table1[[#This Row],[DUT Adj Read]]="N/A",IF(Table1[[#This Row],[Std Adj Read]]&lt;=Table1[[#This Row],[High Tol]],"Pass","Fail"),IF(Table1[[#This Row],[DUT Adj Read]]&lt;=Table1[[#This Row],[High Tol]],"Pass","Fail")))</f>
        <v>Fail</v>
      </c>
      <c r="AH25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2" s="1" t="b">
        <v>0</v>
      </c>
      <c r="AN2532" s="1" t="b">
        <v>0</v>
      </c>
      <c r="AO2532" s="1" t="b">
        <v>0</v>
      </c>
    </row>
    <row r="2533" spans="1:41" x14ac:dyDescent="0.25">
      <c r="A2533" s="10"/>
      <c r="B2533" s="10"/>
      <c r="C2533" s="10"/>
      <c r="D2533" s="10"/>
      <c r="E2533" s="10"/>
      <c r="F2533" s="10"/>
      <c r="G2533" s="10"/>
      <c r="H2533" s="10"/>
      <c r="I2533" s="1" t="str">
        <f t="shared" si="117"/>
        <v/>
      </c>
      <c r="J2533" s="1" t="s">
        <v>35</v>
      </c>
      <c r="K2533" s="1" t="str">
        <f t="shared" si="118"/>
        <v/>
      </c>
      <c r="L2533" s="1" t="str">
        <f t="shared" si="119"/>
        <v/>
      </c>
      <c r="M2533" s="1">
        <f>IF(OR(Table1[[#This Row],[Std Nom]]="",Table1[[#This Row],[Std Read]]=""),0,Table1[[#This Row],[Std Nom]]-Table1[[#This Row],[Std Read]])</f>
        <v>0</v>
      </c>
      <c r="N2533" s="1">
        <f>IF(Calculations!$F$5="ACCREDITED 17025 WITH UNCERTAINTIES",$N$10,0)</f>
        <v>0</v>
      </c>
      <c r="Q2533" s="1">
        <f>Table1[[#This Row],[High Tol]]-Table1[[#This Row],[Low Tol]]</f>
        <v>0</v>
      </c>
      <c r="R2533" s="1">
        <f>2*Table1[[#This Row],[Std Error]]</f>
        <v>0</v>
      </c>
      <c r="S2533" s="1" t="str">
        <f>IF(Table1[[#This Row],[High Tol]]="","N/A",IFERROR(ABS(Table1[[#This Row],[Tol Span]]/Table1[[#This Row],[Error Span]]),"N/A"))</f>
        <v>N/A</v>
      </c>
      <c r="T2533" s="1" t="str">
        <f>IF(OR(Table1[[#This Row],[Low Tol]]="",Table1[[#This Row],[High Tol]]=""),"Needs Analysis",IF(Table1[[#This Row],[Ratio]]&gt;=4,"Not Significant",IF(Table1[[#This Row],[Ratio]]&gt;=2,"Semi-Significant","Significant")))</f>
        <v>Needs Analysis</v>
      </c>
      <c r="W2533" s="1">
        <f>IF(Table1[[#This Row],[Cal Type]]&lt;&gt;"ACCREDITED 17025 WITH UNCERTAINTIES",0,"")</f>
        <v>0</v>
      </c>
      <c r="X2533" s="1" t="str">
        <f>IF(Table1[[#This Row],[DUT Read]]="","N/A",Table1[[#This Row],[Std Error]]+Table1[[#This Row],[DUT Read]]+Table1[[#This Row],[DUT Ucty]])</f>
        <v>N/A</v>
      </c>
      <c r="Y2533" s="1" t="str">
        <f>IF(Table1[[#This Row],[Std Read]]="","N/A",Table1[[#This Row],[Std Read]]+Table1[[#This Row],[Std Ucty]])</f>
        <v>N/A</v>
      </c>
      <c r="Z25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3" s="1" t="str">
        <f>IF(Table1[[#This Row],[Spec Type]]="","N/A",Table1[[#This Row],[Spec Type]])</f>
        <v>±</v>
      </c>
      <c r="AC2533" s="1" t="str">
        <f>IF(Table1[[#This Row],[Spec Type2]]="N/A","N/A",IF(AND(Table1[[#This Row],[DUT Adj Read]]&gt;=Table1[[#This Row],[Low Tol]],Table1[[#This Row],[DUT Adj Read]]&lt;=Table1[[#This Row],[High Tol]]),"Pass","Fail"))</f>
        <v>Fail</v>
      </c>
      <c r="AD2533" s="1" t="str">
        <f>IF(AND(Table1[[#This Row],[Spec Type2]]="N/A",Table1[[#This Row],[DUT Adj Read]]="N/A",Table1[[#This Row],[Std Adj Read]]="N/A"),"N/A",IF(Table1[[#This Row],[DUT Adj Read]]="N/A",IF(Table1[[#This Row],[Std Adj Read]]&gt;Table1[[#This Row],[Low Tol]],"Pass","Fail"),IF(Table1[[#This Row],[DUT Adj Read]]&gt;Table1[[#This Row],[Low Tol]],"Pass","Fail")))</f>
        <v>Pass</v>
      </c>
      <c r="AE2533" s="1" t="str">
        <f>IF(AND(Table1[[#This Row],[Spec Type2]]="N/A",Table1[[#This Row],[DUT Adj Read]]="N/A",Table1[[#This Row],[Std Adj Read]]="N/A"),"N/A",IF(Table1[[#This Row],[DUT Adj Read]]="N/A",IF(Table1[[#This Row],[Std Adj Read]]&lt;Table1[[#This Row],[High Tol]],"Pass","Fail"),IF(Table1[[#This Row],[DUT Adj Read]]&lt;Table1[[#This Row],[High Tol]],"Pass","Fail")))</f>
        <v>Fail</v>
      </c>
      <c r="AF2533" s="1" t="str">
        <f>IF(AND(Table1[[#This Row],[Spec Type2]]="N/A",Table1[[#This Row],[DUT Adj Read]]="N/A",Table1[[#This Row],[Std Adj Read]]="N/A"),"N/A",IF(Table1[[#This Row],[DUT Adj Read]]="N/A",IF(Table1[[#This Row],[Std Adj Read]]&gt;=Table1[[#This Row],[Low Tol]],"Pass","Fail"),IF(Table1[[#This Row],[DUT Adj Read]]&gt;=Table1[[#This Row],[Low Tol]],"Pass","Fail")))</f>
        <v>Pass</v>
      </c>
      <c r="AG2533" s="1" t="str">
        <f>IF(AND(Table1[[#This Row],[Spec Type2]]="N/A",Table1[[#This Row],[DUT Adj Read]]="N/A",Table1[[#This Row],[Std Adj Read]]="N/A"),"N/A",IF(Table1[[#This Row],[DUT Adj Read]]="N/A",IF(Table1[[#This Row],[Std Adj Read]]&lt;=Table1[[#This Row],[High Tol]],"Pass","Fail"),IF(Table1[[#This Row],[DUT Adj Read]]&lt;=Table1[[#This Row],[High Tol]],"Pass","Fail")))</f>
        <v>Fail</v>
      </c>
      <c r="AH25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3" s="1" t="b">
        <v>0</v>
      </c>
      <c r="AN2533" s="1" t="b">
        <v>0</v>
      </c>
      <c r="AO2533" s="1" t="b">
        <v>0</v>
      </c>
    </row>
    <row r="2534" spans="1:41" x14ac:dyDescent="0.25">
      <c r="A2534" s="10"/>
      <c r="B2534" s="10"/>
      <c r="C2534" s="10"/>
      <c r="D2534" s="10"/>
      <c r="E2534" s="10"/>
      <c r="F2534" s="10"/>
      <c r="G2534" s="10"/>
      <c r="H2534" s="10"/>
      <c r="I2534" s="1" t="str">
        <f t="shared" si="117"/>
        <v/>
      </c>
      <c r="J2534" s="1" t="s">
        <v>35</v>
      </c>
      <c r="K2534" s="1" t="str">
        <f t="shared" si="118"/>
        <v/>
      </c>
      <c r="L2534" s="1" t="str">
        <f t="shared" si="119"/>
        <v/>
      </c>
      <c r="M2534" s="1">
        <f>IF(OR(Table1[[#This Row],[Std Nom]]="",Table1[[#This Row],[Std Read]]=""),0,Table1[[#This Row],[Std Nom]]-Table1[[#This Row],[Std Read]])</f>
        <v>0</v>
      </c>
      <c r="N2534" s="1">
        <f>IF(Calculations!$F$5="ACCREDITED 17025 WITH UNCERTAINTIES",$N$10,0)</f>
        <v>0</v>
      </c>
      <c r="Q2534" s="1">
        <f>Table1[[#This Row],[High Tol]]-Table1[[#This Row],[Low Tol]]</f>
        <v>0</v>
      </c>
      <c r="R2534" s="1">
        <f>2*Table1[[#This Row],[Std Error]]</f>
        <v>0</v>
      </c>
      <c r="S2534" s="1" t="str">
        <f>IF(Table1[[#This Row],[High Tol]]="","N/A",IFERROR(ABS(Table1[[#This Row],[Tol Span]]/Table1[[#This Row],[Error Span]]),"N/A"))</f>
        <v>N/A</v>
      </c>
      <c r="T2534" s="1" t="str">
        <f>IF(OR(Table1[[#This Row],[Low Tol]]="",Table1[[#This Row],[High Tol]]=""),"Needs Analysis",IF(Table1[[#This Row],[Ratio]]&gt;=4,"Not Significant",IF(Table1[[#This Row],[Ratio]]&gt;=2,"Semi-Significant","Significant")))</f>
        <v>Needs Analysis</v>
      </c>
      <c r="W2534" s="1">
        <f>IF(Table1[[#This Row],[Cal Type]]&lt;&gt;"ACCREDITED 17025 WITH UNCERTAINTIES",0,"")</f>
        <v>0</v>
      </c>
      <c r="X2534" s="1" t="str">
        <f>IF(Table1[[#This Row],[DUT Read]]="","N/A",Table1[[#This Row],[Std Error]]+Table1[[#This Row],[DUT Read]]+Table1[[#This Row],[DUT Ucty]])</f>
        <v>N/A</v>
      </c>
      <c r="Y2534" s="1" t="str">
        <f>IF(Table1[[#This Row],[Std Read]]="","N/A",Table1[[#This Row],[Std Read]]+Table1[[#This Row],[Std Ucty]])</f>
        <v>N/A</v>
      </c>
      <c r="Z25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4" s="1" t="str">
        <f>IF(Table1[[#This Row],[Spec Type]]="","N/A",Table1[[#This Row],[Spec Type]])</f>
        <v>±</v>
      </c>
      <c r="AC2534" s="1" t="str">
        <f>IF(Table1[[#This Row],[Spec Type2]]="N/A","N/A",IF(AND(Table1[[#This Row],[DUT Adj Read]]&gt;=Table1[[#This Row],[Low Tol]],Table1[[#This Row],[DUT Adj Read]]&lt;=Table1[[#This Row],[High Tol]]),"Pass","Fail"))</f>
        <v>Fail</v>
      </c>
      <c r="AD2534" s="1" t="str">
        <f>IF(AND(Table1[[#This Row],[Spec Type2]]="N/A",Table1[[#This Row],[DUT Adj Read]]="N/A",Table1[[#This Row],[Std Adj Read]]="N/A"),"N/A",IF(Table1[[#This Row],[DUT Adj Read]]="N/A",IF(Table1[[#This Row],[Std Adj Read]]&gt;Table1[[#This Row],[Low Tol]],"Pass","Fail"),IF(Table1[[#This Row],[DUT Adj Read]]&gt;Table1[[#This Row],[Low Tol]],"Pass","Fail")))</f>
        <v>Pass</v>
      </c>
      <c r="AE2534" s="1" t="str">
        <f>IF(AND(Table1[[#This Row],[Spec Type2]]="N/A",Table1[[#This Row],[DUT Adj Read]]="N/A",Table1[[#This Row],[Std Adj Read]]="N/A"),"N/A",IF(Table1[[#This Row],[DUT Adj Read]]="N/A",IF(Table1[[#This Row],[Std Adj Read]]&lt;Table1[[#This Row],[High Tol]],"Pass","Fail"),IF(Table1[[#This Row],[DUT Adj Read]]&lt;Table1[[#This Row],[High Tol]],"Pass","Fail")))</f>
        <v>Fail</v>
      </c>
      <c r="AF2534" s="1" t="str">
        <f>IF(AND(Table1[[#This Row],[Spec Type2]]="N/A",Table1[[#This Row],[DUT Adj Read]]="N/A",Table1[[#This Row],[Std Adj Read]]="N/A"),"N/A",IF(Table1[[#This Row],[DUT Adj Read]]="N/A",IF(Table1[[#This Row],[Std Adj Read]]&gt;=Table1[[#This Row],[Low Tol]],"Pass","Fail"),IF(Table1[[#This Row],[DUT Adj Read]]&gt;=Table1[[#This Row],[Low Tol]],"Pass","Fail")))</f>
        <v>Pass</v>
      </c>
      <c r="AG2534" s="1" t="str">
        <f>IF(AND(Table1[[#This Row],[Spec Type2]]="N/A",Table1[[#This Row],[DUT Adj Read]]="N/A",Table1[[#This Row],[Std Adj Read]]="N/A"),"N/A",IF(Table1[[#This Row],[DUT Adj Read]]="N/A",IF(Table1[[#This Row],[Std Adj Read]]&lt;=Table1[[#This Row],[High Tol]],"Pass","Fail"),IF(Table1[[#This Row],[DUT Adj Read]]&lt;=Table1[[#This Row],[High Tol]],"Pass","Fail")))</f>
        <v>Fail</v>
      </c>
      <c r="AH25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4" s="1" t="b">
        <v>0</v>
      </c>
      <c r="AN2534" s="1" t="b">
        <v>0</v>
      </c>
      <c r="AO2534" s="1" t="b">
        <v>0</v>
      </c>
    </row>
    <row r="2535" spans="1:41" x14ac:dyDescent="0.25">
      <c r="A2535" s="10"/>
      <c r="B2535" s="10"/>
      <c r="C2535" s="10"/>
      <c r="D2535" s="10"/>
      <c r="E2535" s="10"/>
      <c r="F2535" s="10"/>
      <c r="G2535" s="10"/>
      <c r="H2535" s="10"/>
      <c r="I2535" s="1" t="str">
        <f t="shared" si="117"/>
        <v/>
      </c>
      <c r="J2535" s="1" t="s">
        <v>35</v>
      </c>
      <c r="K2535" s="1" t="str">
        <f t="shared" si="118"/>
        <v/>
      </c>
      <c r="L2535" s="1" t="str">
        <f t="shared" si="119"/>
        <v/>
      </c>
      <c r="M2535" s="1">
        <f>IF(OR(Table1[[#This Row],[Std Nom]]="",Table1[[#This Row],[Std Read]]=""),0,Table1[[#This Row],[Std Nom]]-Table1[[#This Row],[Std Read]])</f>
        <v>0</v>
      </c>
      <c r="N2535" s="1">
        <f>IF(Calculations!$F$5="ACCREDITED 17025 WITH UNCERTAINTIES",$N$10,0)</f>
        <v>0</v>
      </c>
      <c r="Q2535" s="1">
        <f>Table1[[#This Row],[High Tol]]-Table1[[#This Row],[Low Tol]]</f>
        <v>0</v>
      </c>
      <c r="R2535" s="1">
        <f>2*Table1[[#This Row],[Std Error]]</f>
        <v>0</v>
      </c>
      <c r="S2535" s="1" t="str">
        <f>IF(Table1[[#This Row],[High Tol]]="","N/A",IFERROR(ABS(Table1[[#This Row],[Tol Span]]/Table1[[#This Row],[Error Span]]),"N/A"))</f>
        <v>N/A</v>
      </c>
      <c r="T2535" s="1" t="str">
        <f>IF(OR(Table1[[#This Row],[Low Tol]]="",Table1[[#This Row],[High Tol]]=""),"Needs Analysis",IF(Table1[[#This Row],[Ratio]]&gt;=4,"Not Significant",IF(Table1[[#This Row],[Ratio]]&gt;=2,"Semi-Significant","Significant")))</f>
        <v>Needs Analysis</v>
      </c>
      <c r="W2535" s="1">
        <f>IF(Table1[[#This Row],[Cal Type]]&lt;&gt;"ACCREDITED 17025 WITH UNCERTAINTIES",0,"")</f>
        <v>0</v>
      </c>
      <c r="X2535" s="1" t="str">
        <f>IF(Table1[[#This Row],[DUT Read]]="","N/A",Table1[[#This Row],[Std Error]]+Table1[[#This Row],[DUT Read]]+Table1[[#This Row],[DUT Ucty]])</f>
        <v>N/A</v>
      </c>
      <c r="Y2535" s="1" t="str">
        <f>IF(Table1[[#This Row],[Std Read]]="","N/A",Table1[[#This Row],[Std Read]]+Table1[[#This Row],[Std Ucty]])</f>
        <v>N/A</v>
      </c>
      <c r="Z25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5" s="1" t="str">
        <f>IF(Table1[[#This Row],[Spec Type]]="","N/A",Table1[[#This Row],[Spec Type]])</f>
        <v>±</v>
      </c>
      <c r="AC2535" s="1" t="str">
        <f>IF(Table1[[#This Row],[Spec Type2]]="N/A","N/A",IF(AND(Table1[[#This Row],[DUT Adj Read]]&gt;=Table1[[#This Row],[Low Tol]],Table1[[#This Row],[DUT Adj Read]]&lt;=Table1[[#This Row],[High Tol]]),"Pass","Fail"))</f>
        <v>Fail</v>
      </c>
      <c r="AD2535" s="1" t="str">
        <f>IF(AND(Table1[[#This Row],[Spec Type2]]="N/A",Table1[[#This Row],[DUT Adj Read]]="N/A",Table1[[#This Row],[Std Adj Read]]="N/A"),"N/A",IF(Table1[[#This Row],[DUT Adj Read]]="N/A",IF(Table1[[#This Row],[Std Adj Read]]&gt;Table1[[#This Row],[Low Tol]],"Pass","Fail"),IF(Table1[[#This Row],[DUT Adj Read]]&gt;Table1[[#This Row],[Low Tol]],"Pass","Fail")))</f>
        <v>Pass</v>
      </c>
      <c r="AE2535" s="1" t="str">
        <f>IF(AND(Table1[[#This Row],[Spec Type2]]="N/A",Table1[[#This Row],[DUT Adj Read]]="N/A",Table1[[#This Row],[Std Adj Read]]="N/A"),"N/A",IF(Table1[[#This Row],[DUT Adj Read]]="N/A",IF(Table1[[#This Row],[Std Adj Read]]&lt;Table1[[#This Row],[High Tol]],"Pass","Fail"),IF(Table1[[#This Row],[DUT Adj Read]]&lt;Table1[[#This Row],[High Tol]],"Pass","Fail")))</f>
        <v>Fail</v>
      </c>
      <c r="AF2535" s="1" t="str">
        <f>IF(AND(Table1[[#This Row],[Spec Type2]]="N/A",Table1[[#This Row],[DUT Adj Read]]="N/A",Table1[[#This Row],[Std Adj Read]]="N/A"),"N/A",IF(Table1[[#This Row],[DUT Adj Read]]="N/A",IF(Table1[[#This Row],[Std Adj Read]]&gt;=Table1[[#This Row],[Low Tol]],"Pass","Fail"),IF(Table1[[#This Row],[DUT Adj Read]]&gt;=Table1[[#This Row],[Low Tol]],"Pass","Fail")))</f>
        <v>Pass</v>
      </c>
      <c r="AG2535" s="1" t="str">
        <f>IF(AND(Table1[[#This Row],[Spec Type2]]="N/A",Table1[[#This Row],[DUT Adj Read]]="N/A",Table1[[#This Row],[Std Adj Read]]="N/A"),"N/A",IF(Table1[[#This Row],[DUT Adj Read]]="N/A",IF(Table1[[#This Row],[Std Adj Read]]&lt;=Table1[[#This Row],[High Tol]],"Pass","Fail"),IF(Table1[[#This Row],[DUT Adj Read]]&lt;=Table1[[#This Row],[High Tol]],"Pass","Fail")))</f>
        <v>Fail</v>
      </c>
      <c r="AH25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5" s="1" t="b">
        <v>0</v>
      </c>
      <c r="AN2535" s="1" t="b">
        <v>0</v>
      </c>
      <c r="AO2535" s="1" t="b">
        <v>0</v>
      </c>
    </row>
    <row r="2536" spans="1:41" x14ac:dyDescent="0.25">
      <c r="A2536" s="10"/>
      <c r="B2536" s="10"/>
      <c r="C2536" s="10"/>
      <c r="D2536" s="10"/>
      <c r="E2536" s="10"/>
      <c r="F2536" s="10"/>
      <c r="G2536" s="10"/>
      <c r="H2536" s="10"/>
      <c r="I2536" s="1" t="str">
        <f t="shared" si="117"/>
        <v/>
      </c>
      <c r="J2536" s="1" t="s">
        <v>35</v>
      </c>
      <c r="K2536" s="1" t="str">
        <f t="shared" si="118"/>
        <v/>
      </c>
      <c r="L2536" s="1" t="str">
        <f t="shared" si="119"/>
        <v/>
      </c>
      <c r="M2536" s="1">
        <f>IF(OR(Table1[[#This Row],[Std Nom]]="",Table1[[#This Row],[Std Read]]=""),0,Table1[[#This Row],[Std Nom]]-Table1[[#This Row],[Std Read]])</f>
        <v>0</v>
      </c>
      <c r="N2536" s="1">
        <f>IF(Calculations!$F$5="ACCREDITED 17025 WITH UNCERTAINTIES",$N$10,0)</f>
        <v>0</v>
      </c>
      <c r="Q2536" s="1">
        <f>Table1[[#This Row],[High Tol]]-Table1[[#This Row],[Low Tol]]</f>
        <v>0</v>
      </c>
      <c r="R2536" s="1">
        <f>2*Table1[[#This Row],[Std Error]]</f>
        <v>0</v>
      </c>
      <c r="S2536" s="1" t="str">
        <f>IF(Table1[[#This Row],[High Tol]]="","N/A",IFERROR(ABS(Table1[[#This Row],[Tol Span]]/Table1[[#This Row],[Error Span]]),"N/A"))</f>
        <v>N/A</v>
      </c>
      <c r="T2536" s="1" t="str">
        <f>IF(OR(Table1[[#This Row],[Low Tol]]="",Table1[[#This Row],[High Tol]]=""),"Needs Analysis",IF(Table1[[#This Row],[Ratio]]&gt;=4,"Not Significant",IF(Table1[[#This Row],[Ratio]]&gt;=2,"Semi-Significant","Significant")))</f>
        <v>Needs Analysis</v>
      </c>
      <c r="W2536" s="1">
        <f>IF(Table1[[#This Row],[Cal Type]]&lt;&gt;"ACCREDITED 17025 WITH UNCERTAINTIES",0,"")</f>
        <v>0</v>
      </c>
      <c r="X2536" s="1" t="str">
        <f>IF(Table1[[#This Row],[DUT Read]]="","N/A",Table1[[#This Row],[Std Error]]+Table1[[#This Row],[DUT Read]]+Table1[[#This Row],[DUT Ucty]])</f>
        <v>N/A</v>
      </c>
      <c r="Y2536" s="1" t="str">
        <f>IF(Table1[[#This Row],[Std Read]]="","N/A",Table1[[#This Row],[Std Read]]+Table1[[#This Row],[Std Ucty]])</f>
        <v>N/A</v>
      </c>
      <c r="Z25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6" s="1" t="str">
        <f>IF(Table1[[#This Row],[Spec Type]]="","N/A",Table1[[#This Row],[Spec Type]])</f>
        <v>±</v>
      </c>
      <c r="AC2536" s="1" t="str">
        <f>IF(Table1[[#This Row],[Spec Type2]]="N/A","N/A",IF(AND(Table1[[#This Row],[DUT Adj Read]]&gt;=Table1[[#This Row],[Low Tol]],Table1[[#This Row],[DUT Adj Read]]&lt;=Table1[[#This Row],[High Tol]]),"Pass","Fail"))</f>
        <v>Fail</v>
      </c>
      <c r="AD2536" s="1" t="str">
        <f>IF(AND(Table1[[#This Row],[Spec Type2]]="N/A",Table1[[#This Row],[DUT Adj Read]]="N/A",Table1[[#This Row],[Std Adj Read]]="N/A"),"N/A",IF(Table1[[#This Row],[DUT Adj Read]]="N/A",IF(Table1[[#This Row],[Std Adj Read]]&gt;Table1[[#This Row],[Low Tol]],"Pass","Fail"),IF(Table1[[#This Row],[DUT Adj Read]]&gt;Table1[[#This Row],[Low Tol]],"Pass","Fail")))</f>
        <v>Pass</v>
      </c>
      <c r="AE2536" s="1" t="str">
        <f>IF(AND(Table1[[#This Row],[Spec Type2]]="N/A",Table1[[#This Row],[DUT Adj Read]]="N/A",Table1[[#This Row],[Std Adj Read]]="N/A"),"N/A",IF(Table1[[#This Row],[DUT Adj Read]]="N/A",IF(Table1[[#This Row],[Std Adj Read]]&lt;Table1[[#This Row],[High Tol]],"Pass","Fail"),IF(Table1[[#This Row],[DUT Adj Read]]&lt;Table1[[#This Row],[High Tol]],"Pass","Fail")))</f>
        <v>Fail</v>
      </c>
      <c r="AF2536" s="1" t="str">
        <f>IF(AND(Table1[[#This Row],[Spec Type2]]="N/A",Table1[[#This Row],[DUT Adj Read]]="N/A",Table1[[#This Row],[Std Adj Read]]="N/A"),"N/A",IF(Table1[[#This Row],[DUT Adj Read]]="N/A",IF(Table1[[#This Row],[Std Adj Read]]&gt;=Table1[[#This Row],[Low Tol]],"Pass","Fail"),IF(Table1[[#This Row],[DUT Adj Read]]&gt;=Table1[[#This Row],[Low Tol]],"Pass","Fail")))</f>
        <v>Pass</v>
      </c>
      <c r="AG2536" s="1" t="str">
        <f>IF(AND(Table1[[#This Row],[Spec Type2]]="N/A",Table1[[#This Row],[DUT Adj Read]]="N/A",Table1[[#This Row],[Std Adj Read]]="N/A"),"N/A",IF(Table1[[#This Row],[DUT Adj Read]]="N/A",IF(Table1[[#This Row],[Std Adj Read]]&lt;=Table1[[#This Row],[High Tol]],"Pass","Fail"),IF(Table1[[#This Row],[DUT Adj Read]]&lt;=Table1[[#This Row],[High Tol]],"Pass","Fail")))</f>
        <v>Fail</v>
      </c>
      <c r="AH25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6" s="1" t="b">
        <v>0</v>
      </c>
      <c r="AN2536" s="1" t="b">
        <v>0</v>
      </c>
      <c r="AO2536" s="1" t="b">
        <v>0</v>
      </c>
    </row>
    <row r="2537" spans="1:41" x14ac:dyDescent="0.25">
      <c r="A2537" s="10"/>
      <c r="B2537" s="10"/>
      <c r="C2537" s="10"/>
      <c r="D2537" s="10"/>
      <c r="E2537" s="10"/>
      <c r="F2537" s="10"/>
      <c r="G2537" s="10"/>
      <c r="H2537" s="10"/>
      <c r="I2537" s="1" t="str">
        <f t="shared" si="117"/>
        <v/>
      </c>
      <c r="J2537" s="1" t="s">
        <v>35</v>
      </c>
      <c r="K2537" s="1" t="str">
        <f t="shared" si="118"/>
        <v/>
      </c>
      <c r="L2537" s="1" t="str">
        <f t="shared" si="119"/>
        <v/>
      </c>
      <c r="M2537" s="1">
        <f>IF(OR(Table1[[#This Row],[Std Nom]]="",Table1[[#This Row],[Std Read]]=""),0,Table1[[#This Row],[Std Nom]]-Table1[[#This Row],[Std Read]])</f>
        <v>0</v>
      </c>
      <c r="N2537" s="1">
        <f>IF(Calculations!$F$5="ACCREDITED 17025 WITH UNCERTAINTIES",$N$10,0)</f>
        <v>0</v>
      </c>
      <c r="Q2537" s="1">
        <f>Table1[[#This Row],[High Tol]]-Table1[[#This Row],[Low Tol]]</f>
        <v>0</v>
      </c>
      <c r="R2537" s="1">
        <f>2*Table1[[#This Row],[Std Error]]</f>
        <v>0</v>
      </c>
      <c r="S2537" s="1" t="str">
        <f>IF(Table1[[#This Row],[High Tol]]="","N/A",IFERROR(ABS(Table1[[#This Row],[Tol Span]]/Table1[[#This Row],[Error Span]]),"N/A"))</f>
        <v>N/A</v>
      </c>
      <c r="T2537" s="1" t="str">
        <f>IF(OR(Table1[[#This Row],[Low Tol]]="",Table1[[#This Row],[High Tol]]=""),"Needs Analysis",IF(Table1[[#This Row],[Ratio]]&gt;=4,"Not Significant",IF(Table1[[#This Row],[Ratio]]&gt;=2,"Semi-Significant","Significant")))</f>
        <v>Needs Analysis</v>
      </c>
      <c r="W2537" s="1">
        <f>IF(Table1[[#This Row],[Cal Type]]&lt;&gt;"ACCREDITED 17025 WITH UNCERTAINTIES",0,"")</f>
        <v>0</v>
      </c>
      <c r="X2537" s="1" t="str">
        <f>IF(Table1[[#This Row],[DUT Read]]="","N/A",Table1[[#This Row],[Std Error]]+Table1[[#This Row],[DUT Read]]+Table1[[#This Row],[DUT Ucty]])</f>
        <v>N/A</v>
      </c>
      <c r="Y2537" s="1" t="str">
        <f>IF(Table1[[#This Row],[Std Read]]="","N/A",Table1[[#This Row],[Std Read]]+Table1[[#This Row],[Std Ucty]])</f>
        <v>N/A</v>
      </c>
      <c r="Z25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7" s="1" t="str">
        <f>IF(Table1[[#This Row],[Spec Type]]="","N/A",Table1[[#This Row],[Spec Type]])</f>
        <v>±</v>
      </c>
      <c r="AC2537" s="1" t="str">
        <f>IF(Table1[[#This Row],[Spec Type2]]="N/A","N/A",IF(AND(Table1[[#This Row],[DUT Adj Read]]&gt;=Table1[[#This Row],[Low Tol]],Table1[[#This Row],[DUT Adj Read]]&lt;=Table1[[#This Row],[High Tol]]),"Pass","Fail"))</f>
        <v>Fail</v>
      </c>
      <c r="AD2537" s="1" t="str">
        <f>IF(AND(Table1[[#This Row],[Spec Type2]]="N/A",Table1[[#This Row],[DUT Adj Read]]="N/A",Table1[[#This Row],[Std Adj Read]]="N/A"),"N/A",IF(Table1[[#This Row],[DUT Adj Read]]="N/A",IF(Table1[[#This Row],[Std Adj Read]]&gt;Table1[[#This Row],[Low Tol]],"Pass","Fail"),IF(Table1[[#This Row],[DUT Adj Read]]&gt;Table1[[#This Row],[Low Tol]],"Pass","Fail")))</f>
        <v>Pass</v>
      </c>
      <c r="AE2537" s="1" t="str">
        <f>IF(AND(Table1[[#This Row],[Spec Type2]]="N/A",Table1[[#This Row],[DUT Adj Read]]="N/A",Table1[[#This Row],[Std Adj Read]]="N/A"),"N/A",IF(Table1[[#This Row],[DUT Adj Read]]="N/A",IF(Table1[[#This Row],[Std Adj Read]]&lt;Table1[[#This Row],[High Tol]],"Pass","Fail"),IF(Table1[[#This Row],[DUT Adj Read]]&lt;Table1[[#This Row],[High Tol]],"Pass","Fail")))</f>
        <v>Fail</v>
      </c>
      <c r="AF2537" s="1" t="str">
        <f>IF(AND(Table1[[#This Row],[Spec Type2]]="N/A",Table1[[#This Row],[DUT Adj Read]]="N/A",Table1[[#This Row],[Std Adj Read]]="N/A"),"N/A",IF(Table1[[#This Row],[DUT Adj Read]]="N/A",IF(Table1[[#This Row],[Std Adj Read]]&gt;=Table1[[#This Row],[Low Tol]],"Pass","Fail"),IF(Table1[[#This Row],[DUT Adj Read]]&gt;=Table1[[#This Row],[Low Tol]],"Pass","Fail")))</f>
        <v>Pass</v>
      </c>
      <c r="AG2537" s="1" t="str">
        <f>IF(AND(Table1[[#This Row],[Spec Type2]]="N/A",Table1[[#This Row],[DUT Adj Read]]="N/A",Table1[[#This Row],[Std Adj Read]]="N/A"),"N/A",IF(Table1[[#This Row],[DUT Adj Read]]="N/A",IF(Table1[[#This Row],[Std Adj Read]]&lt;=Table1[[#This Row],[High Tol]],"Pass","Fail"),IF(Table1[[#This Row],[DUT Adj Read]]&lt;=Table1[[#This Row],[High Tol]],"Pass","Fail")))</f>
        <v>Fail</v>
      </c>
      <c r="AH25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7" s="1" t="b">
        <v>0</v>
      </c>
      <c r="AN2537" s="1" t="b">
        <v>0</v>
      </c>
      <c r="AO2537" s="1" t="b">
        <v>0</v>
      </c>
    </row>
    <row r="2538" spans="1:41" x14ac:dyDescent="0.25">
      <c r="A2538" s="10"/>
      <c r="B2538" s="10"/>
      <c r="C2538" s="10"/>
      <c r="D2538" s="10"/>
      <c r="E2538" s="10"/>
      <c r="F2538" s="10"/>
      <c r="G2538" s="10"/>
      <c r="H2538" s="10"/>
      <c r="I2538" s="1" t="str">
        <f t="shared" si="117"/>
        <v/>
      </c>
      <c r="J2538" s="1" t="s">
        <v>35</v>
      </c>
      <c r="K2538" s="1" t="str">
        <f t="shared" si="118"/>
        <v/>
      </c>
      <c r="L2538" s="1" t="str">
        <f t="shared" si="119"/>
        <v/>
      </c>
      <c r="M2538" s="1">
        <f>IF(OR(Table1[[#This Row],[Std Nom]]="",Table1[[#This Row],[Std Read]]=""),0,Table1[[#This Row],[Std Nom]]-Table1[[#This Row],[Std Read]])</f>
        <v>0</v>
      </c>
      <c r="N2538" s="1">
        <f>IF(Calculations!$F$5="ACCREDITED 17025 WITH UNCERTAINTIES",$N$10,0)</f>
        <v>0</v>
      </c>
      <c r="Q2538" s="1">
        <f>Table1[[#This Row],[High Tol]]-Table1[[#This Row],[Low Tol]]</f>
        <v>0</v>
      </c>
      <c r="R2538" s="1">
        <f>2*Table1[[#This Row],[Std Error]]</f>
        <v>0</v>
      </c>
      <c r="S2538" s="1" t="str">
        <f>IF(Table1[[#This Row],[High Tol]]="","N/A",IFERROR(ABS(Table1[[#This Row],[Tol Span]]/Table1[[#This Row],[Error Span]]),"N/A"))</f>
        <v>N/A</v>
      </c>
      <c r="T2538" s="1" t="str">
        <f>IF(OR(Table1[[#This Row],[Low Tol]]="",Table1[[#This Row],[High Tol]]=""),"Needs Analysis",IF(Table1[[#This Row],[Ratio]]&gt;=4,"Not Significant",IF(Table1[[#This Row],[Ratio]]&gt;=2,"Semi-Significant","Significant")))</f>
        <v>Needs Analysis</v>
      </c>
      <c r="W2538" s="1">
        <f>IF(Table1[[#This Row],[Cal Type]]&lt;&gt;"ACCREDITED 17025 WITH UNCERTAINTIES",0,"")</f>
        <v>0</v>
      </c>
      <c r="X2538" s="1" t="str">
        <f>IF(Table1[[#This Row],[DUT Read]]="","N/A",Table1[[#This Row],[Std Error]]+Table1[[#This Row],[DUT Read]]+Table1[[#This Row],[DUT Ucty]])</f>
        <v>N/A</v>
      </c>
      <c r="Y2538" s="1" t="str">
        <f>IF(Table1[[#This Row],[Std Read]]="","N/A",Table1[[#This Row],[Std Read]]+Table1[[#This Row],[Std Ucty]])</f>
        <v>N/A</v>
      </c>
      <c r="Z25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8" s="1" t="str">
        <f>IF(Table1[[#This Row],[Spec Type]]="","N/A",Table1[[#This Row],[Spec Type]])</f>
        <v>±</v>
      </c>
      <c r="AC2538" s="1" t="str">
        <f>IF(Table1[[#This Row],[Spec Type2]]="N/A","N/A",IF(AND(Table1[[#This Row],[DUT Adj Read]]&gt;=Table1[[#This Row],[Low Tol]],Table1[[#This Row],[DUT Adj Read]]&lt;=Table1[[#This Row],[High Tol]]),"Pass","Fail"))</f>
        <v>Fail</v>
      </c>
      <c r="AD2538" s="1" t="str">
        <f>IF(AND(Table1[[#This Row],[Spec Type2]]="N/A",Table1[[#This Row],[DUT Adj Read]]="N/A",Table1[[#This Row],[Std Adj Read]]="N/A"),"N/A",IF(Table1[[#This Row],[DUT Adj Read]]="N/A",IF(Table1[[#This Row],[Std Adj Read]]&gt;Table1[[#This Row],[Low Tol]],"Pass","Fail"),IF(Table1[[#This Row],[DUT Adj Read]]&gt;Table1[[#This Row],[Low Tol]],"Pass","Fail")))</f>
        <v>Pass</v>
      </c>
      <c r="AE2538" s="1" t="str">
        <f>IF(AND(Table1[[#This Row],[Spec Type2]]="N/A",Table1[[#This Row],[DUT Adj Read]]="N/A",Table1[[#This Row],[Std Adj Read]]="N/A"),"N/A",IF(Table1[[#This Row],[DUT Adj Read]]="N/A",IF(Table1[[#This Row],[Std Adj Read]]&lt;Table1[[#This Row],[High Tol]],"Pass","Fail"),IF(Table1[[#This Row],[DUT Adj Read]]&lt;Table1[[#This Row],[High Tol]],"Pass","Fail")))</f>
        <v>Fail</v>
      </c>
      <c r="AF2538" s="1" t="str">
        <f>IF(AND(Table1[[#This Row],[Spec Type2]]="N/A",Table1[[#This Row],[DUT Adj Read]]="N/A",Table1[[#This Row],[Std Adj Read]]="N/A"),"N/A",IF(Table1[[#This Row],[DUT Adj Read]]="N/A",IF(Table1[[#This Row],[Std Adj Read]]&gt;=Table1[[#This Row],[Low Tol]],"Pass","Fail"),IF(Table1[[#This Row],[DUT Adj Read]]&gt;=Table1[[#This Row],[Low Tol]],"Pass","Fail")))</f>
        <v>Pass</v>
      </c>
      <c r="AG2538" s="1" t="str">
        <f>IF(AND(Table1[[#This Row],[Spec Type2]]="N/A",Table1[[#This Row],[DUT Adj Read]]="N/A",Table1[[#This Row],[Std Adj Read]]="N/A"),"N/A",IF(Table1[[#This Row],[DUT Adj Read]]="N/A",IF(Table1[[#This Row],[Std Adj Read]]&lt;=Table1[[#This Row],[High Tol]],"Pass","Fail"),IF(Table1[[#This Row],[DUT Adj Read]]&lt;=Table1[[#This Row],[High Tol]],"Pass","Fail")))</f>
        <v>Fail</v>
      </c>
      <c r="AH25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8" s="1" t="b">
        <v>0</v>
      </c>
      <c r="AN2538" s="1" t="b">
        <v>0</v>
      </c>
      <c r="AO2538" s="1" t="b">
        <v>0</v>
      </c>
    </row>
    <row r="2539" spans="1:41" x14ac:dyDescent="0.25">
      <c r="A2539" s="10"/>
      <c r="B2539" s="10"/>
      <c r="C2539" s="10"/>
      <c r="D2539" s="10"/>
      <c r="E2539" s="10"/>
      <c r="F2539" s="10"/>
      <c r="G2539" s="10"/>
      <c r="H2539" s="10"/>
      <c r="I2539" s="1" t="str">
        <f t="shared" si="117"/>
        <v/>
      </c>
      <c r="J2539" s="1" t="s">
        <v>35</v>
      </c>
      <c r="K2539" s="1" t="str">
        <f t="shared" si="118"/>
        <v/>
      </c>
      <c r="L2539" s="1" t="str">
        <f t="shared" si="119"/>
        <v/>
      </c>
      <c r="M2539" s="1">
        <f>IF(OR(Table1[[#This Row],[Std Nom]]="",Table1[[#This Row],[Std Read]]=""),0,Table1[[#This Row],[Std Nom]]-Table1[[#This Row],[Std Read]])</f>
        <v>0</v>
      </c>
      <c r="N2539" s="1">
        <f>IF(Calculations!$F$5="ACCREDITED 17025 WITH UNCERTAINTIES",$N$10,0)</f>
        <v>0</v>
      </c>
      <c r="Q2539" s="1">
        <f>Table1[[#This Row],[High Tol]]-Table1[[#This Row],[Low Tol]]</f>
        <v>0</v>
      </c>
      <c r="R2539" s="1">
        <f>2*Table1[[#This Row],[Std Error]]</f>
        <v>0</v>
      </c>
      <c r="S2539" s="1" t="str">
        <f>IF(Table1[[#This Row],[High Tol]]="","N/A",IFERROR(ABS(Table1[[#This Row],[Tol Span]]/Table1[[#This Row],[Error Span]]),"N/A"))</f>
        <v>N/A</v>
      </c>
      <c r="T2539" s="1" t="str">
        <f>IF(OR(Table1[[#This Row],[Low Tol]]="",Table1[[#This Row],[High Tol]]=""),"Needs Analysis",IF(Table1[[#This Row],[Ratio]]&gt;=4,"Not Significant",IF(Table1[[#This Row],[Ratio]]&gt;=2,"Semi-Significant","Significant")))</f>
        <v>Needs Analysis</v>
      </c>
      <c r="W2539" s="1">
        <f>IF(Table1[[#This Row],[Cal Type]]&lt;&gt;"ACCREDITED 17025 WITH UNCERTAINTIES",0,"")</f>
        <v>0</v>
      </c>
      <c r="X2539" s="1" t="str">
        <f>IF(Table1[[#This Row],[DUT Read]]="","N/A",Table1[[#This Row],[Std Error]]+Table1[[#This Row],[DUT Read]]+Table1[[#This Row],[DUT Ucty]])</f>
        <v>N/A</v>
      </c>
      <c r="Y2539" s="1" t="str">
        <f>IF(Table1[[#This Row],[Std Read]]="","N/A",Table1[[#This Row],[Std Read]]+Table1[[#This Row],[Std Ucty]])</f>
        <v>N/A</v>
      </c>
      <c r="Z25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39" s="1" t="str">
        <f>IF(Table1[[#This Row],[Spec Type]]="","N/A",Table1[[#This Row],[Spec Type]])</f>
        <v>±</v>
      </c>
      <c r="AC2539" s="1" t="str">
        <f>IF(Table1[[#This Row],[Spec Type2]]="N/A","N/A",IF(AND(Table1[[#This Row],[DUT Adj Read]]&gt;=Table1[[#This Row],[Low Tol]],Table1[[#This Row],[DUT Adj Read]]&lt;=Table1[[#This Row],[High Tol]]),"Pass","Fail"))</f>
        <v>Fail</v>
      </c>
      <c r="AD2539" s="1" t="str">
        <f>IF(AND(Table1[[#This Row],[Spec Type2]]="N/A",Table1[[#This Row],[DUT Adj Read]]="N/A",Table1[[#This Row],[Std Adj Read]]="N/A"),"N/A",IF(Table1[[#This Row],[DUT Adj Read]]="N/A",IF(Table1[[#This Row],[Std Adj Read]]&gt;Table1[[#This Row],[Low Tol]],"Pass","Fail"),IF(Table1[[#This Row],[DUT Adj Read]]&gt;Table1[[#This Row],[Low Tol]],"Pass","Fail")))</f>
        <v>Pass</v>
      </c>
      <c r="AE2539" s="1" t="str">
        <f>IF(AND(Table1[[#This Row],[Spec Type2]]="N/A",Table1[[#This Row],[DUT Adj Read]]="N/A",Table1[[#This Row],[Std Adj Read]]="N/A"),"N/A",IF(Table1[[#This Row],[DUT Adj Read]]="N/A",IF(Table1[[#This Row],[Std Adj Read]]&lt;Table1[[#This Row],[High Tol]],"Pass","Fail"),IF(Table1[[#This Row],[DUT Adj Read]]&lt;Table1[[#This Row],[High Tol]],"Pass","Fail")))</f>
        <v>Fail</v>
      </c>
      <c r="AF2539" s="1" t="str">
        <f>IF(AND(Table1[[#This Row],[Spec Type2]]="N/A",Table1[[#This Row],[DUT Adj Read]]="N/A",Table1[[#This Row],[Std Adj Read]]="N/A"),"N/A",IF(Table1[[#This Row],[DUT Adj Read]]="N/A",IF(Table1[[#This Row],[Std Adj Read]]&gt;=Table1[[#This Row],[Low Tol]],"Pass","Fail"),IF(Table1[[#This Row],[DUT Adj Read]]&gt;=Table1[[#This Row],[Low Tol]],"Pass","Fail")))</f>
        <v>Pass</v>
      </c>
      <c r="AG2539" s="1" t="str">
        <f>IF(AND(Table1[[#This Row],[Spec Type2]]="N/A",Table1[[#This Row],[DUT Adj Read]]="N/A",Table1[[#This Row],[Std Adj Read]]="N/A"),"N/A",IF(Table1[[#This Row],[DUT Adj Read]]="N/A",IF(Table1[[#This Row],[Std Adj Read]]&lt;=Table1[[#This Row],[High Tol]],"Pass","Fail"),IF(Table1[[#This Row],[DUT Adj Read]]&lt;=Table1[[#This Row],[High Tol]],"Pass","Fail")))</f>
        <v>Fail</v>
      </c>
      <c r="AH25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39" s="1" t="b">
        <v>0</v>
      </c>
      <c r="AN2539" s="1" t="b">
        <v>0</v>
      </c>
      <c r="AO2539" s="1" t="b">
        <v>0</v>
      </c>
    </row>
    <row r="2540" spans="1:41" x14ac:dyDescent="0.25">
      <c r="A2540" s="10"/>
      <c r="B2540" s="10"/>
      <c r="C2540" s="10"/>
      <c r="D2540" s="10"/>
      <c r="E2540" s="10"/>
      <c r="F2540" s="10"/>
      <c r="G2540" s="10"/>
      <c r="H2540" s="10"/>
      <c r="I2540" s="1" t="str">
        <f t="shared" si="117"/>
        <v/>
      </c>
      <c r="J2540" s="1" t="s">
        <v>35</v>
      </c>
      <c r="K2540" s="1" t="str">
        <f t="shared" si="118"/>
        <v/>
      </c>
      <c r="L2540" s="1" t="str">
        <f t="shared" si="119"/>
        <v/>
      </c>
      <c r="M2540" s="1">
        <f>IF(OR(Table1[[#This Row],[Std Nom]]="",Table1[[#This Row],[Std Read]]=""),0,Table1[[#This Row],[Std Nom]]-Table1[[#This Row],[Std Read]])</f>
        <v>0</v>
      </c>
      <c r="N2540" s="1">
        <f>IF(Calculations!$F$5="ACCREDITED 17025 WITH UNCERTAINTIES",$N$10,0)</f>
        <v>0</v>
      </c>
      <c r="Q2540" s="1">
        <f>Table1[[#This Row],[High Tol]]-Table1[[#This Row],[Low Tol]]</f>
        <v>0</v>
      </c>
      <c r="R2540" s="1">
        <f>2*Table1[[#This Row],[Std Error]]</f>
        <v>0</v>
      </c>
      <c r="S2540" s="1" t="str">
        <f>IF(Table1[[#This Row],[High Tol]]="","N/A",IFERROR(ABS(Table1[[#This Row],[Tol Span]]/Table1[[#This Row],[Error Span]]),"N/A"))</f>
        <v>N/A</v>
      </c>
      <c r="T2540" s="1" t="str">
        <f>IF(OR(Table1[[#This Row],[Low Tol]]="",Table1[[#This Row],[High Tol]]=""),"Needs Analysis",IF(Table1[[#This Row],[Ratio]]&gt;=4,"Not Significant",IF(Table1[[#This Row],[Ratio]]&gt;=2,"Semi-Significant","Significant")))</f>
        <v>Needs Analysis</v>
      </c>
      <c r="W2540" s="1">
        <f>IF(Table1[[#This Row],[Cal Type]]&lt;&gt;"ACCREDITED 17025 WITH UNCERTAINTIES",0,"")</f>
        <v>0</v>
      </c>
      <c r="X2540" s="1" t="str">
        <f>IF(Table1[[#This Row],[DUT Read]]="","N/A",Table1[[#This Row],[Std Error]]+Table1[[#This Row],[DUT Read]]+Table1[[#This Row],[DUT Ucty]])</f>
        <v>N/A</v>
      </c>
      <c r="Y2540" s="1" t="str">
        <f>IF(Table1[[#This Row],[Std Read]]="","N/A",Table1[[#This Row],[Std Read]]+Table1[[#This Row],[Std Ucty]])</f>
        <v>N/A</v>
      </c>
      <c r="Z25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0" s="1" t="str">
        <f>IF(Table1[[#This Row],[Spec Type]]="","N/A",Table1[[#This Row],[Spec Type]])</f>
        <v>±</v>
      </c>
      <c r="AC2540" s="1" t="str">
        <f>IF(Table1[[#This Row],[Spec Type2]]="N/A","N/A",IF(AND(Table1[[#This Row],[DUT Adj Read]]&gt;=Table1[[#This Row],[Low Tol]],Table1[[#This Row],[DUT Adj Read]]&lt;=Table1[[#This Row],[High Tol]]),"Pass","Fail"))</f>
        <v>Fail</v>
      </c>
      <c r="AD2540" s="1" t="str">
        <f>IF(AND(Table1[[#This Row],[Spec Type2]]="N/A",Table1[[#This Row],[DUT Adj Read]]="N/A",Table1[[#This Row],[Std Adj Read]]="N/A"),"N/A",IF(Table1[[#This Row],[DUT Adj Read]]="N/A",IF(Table1[[#This Row],[Std Adj Read]]&gt;Table1[[#This Row],[Low Tol]],"Pass","Fail"),IF(Table1[[#This Row],[DUT Adj Read]]&gt;Table1[[#This Row],[Low Tol]],"Pass","Fail")))</f>
        <v>Pass</v>
      </c>
      <c r="AE2540" s="1" t="str">
        <f>IF(AND(Table1[[#This Row],[Spec Type2]]="N/A",Table1[[#This Row],[DUT Adj Read]]="N/A",Table1[[#This Row],[Std Adj Read]]="N/A"),"N/A",IF(Table1[[#This Row],[DUT Adj Read]]="N/A",IF(Table1[[#This Row],[Std Adj Read]]&lt;Table1[[#This Row],[High Tol]],"Pass","Fail"),IF(Table1[[#This Row],[DUT Adj Read]]&lt;Table1[[#This Row],[High Tol]],"Pass","Fail")))</f>
        <v>Fail</v>
      </c>
      <c r="AF2540" s="1" t="str">
        <f>IF(AND(Table1[[#This Row],[Spec Type2]]="N/A",Table1[[#This Row],[DUT Adj Read]]="N/A",Table1[[#This Row],[Std Adj Read]]="N/A"),"N/A",IF(Table1[[#This Row],[DUT Adj Read]]="N/A",IF(Table1[[#This Row],[Std Adj Read]]&gt;=Table1[[#This Row],[Low Tol]],"Pass","Fail"),IF(Table1[[#This Row],[DUT Adj Read]]&gt;=Table1[[#This Row],[Low Tol]],"Pass","Fail")))</f>
        <v>Pass</v>
      </c>
      <c r="AG2540" s="1" t="str">
        <f>IF(AND(Table1[[#This Row],[Spec Type2]]="N/A",Table1[[#This Row],[DUT Adj Read]]="N/A",Table1[[#This Row],[Std Adj Read]]="N/A"),"N/A",IF(Table1[[#This Row],[DUT Adj Read]]="N/A",IF(Table1[[#This Row],[Std Adj Read]]&lt;=Table1[[#This Row],[High Tol]],"Pass","Fail"),IF(Table1[[#This Row],[DUT Adj Read]]&lt;=Table1[[#This Row],[High Tol]],"Pass","Fail")))</f>
        <v>Fail</v>
      </c>
      <c r="AH25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0" s="1" t="b">
        <v>0</v>
      </c>
      <c r="AN2540" s="1" t="b">
        <v>0</v>
      </c>
      <c r="AO2540" s="1" t="b">
        <v>0</v>
      </c>
    </row>
    <row r="2541" spans="1:41" x14ac:dyDescent="0.25">
      <c r="A2541" s="10"/>
      <c r="B2541" s="10"/>
      <c r="C2541" s="10"/>
      <c r="D2541" s="10"/>
      <c r="E2541" s="10"/>
      <c r="F2541" s="10"/>
      <c r="G2541" s="10"/>
      <c r="H2541" s="10"/>
      <c r="I2541" s="1" t="str">
        <f t="shared" si="117"/>
        <v/>
      </c>
      <c r="J2541" s="1" t="s">
        <v>35</v>
      </c>
      <c r="K2541" s="1" t="str">
        <f t="shared" si="118"/>
        <v/>
      </c>
      <c r="L2541" s="1" t="str">
        <f t="shared" si="119"/>
        <v/>
      </c>
      <c r="M2541" s="1">
        <f>IF(OR(Table1[[#This Row],[Std Nom]]="",Table1[[#This Row],[Std Read]]=""),0,Table1[[#This Row],[Std Nom]]-Table1[[#This Row],[Std Read]])</f>
        <v>0</v>
      </c>
      <c r="N2541" s="1">
        <f>IF(Calculations!$F$5="ACCREDITED 17025 WITH UNCERTAINTIES",$N$10,0)</f>
        <v>0</v>
      </c>
      <c r="Q2541" s="1">
        <f>Table1[[#This Row],[High Tol]]-Table1[[#This Row],[Low Tol]]</f>
        <v>0</v>
      </c>
      <c r="R2541" s="1">
        <f>2*Table1[[#This Row],[Std Error]]</f>
        <v>0</v>
      </c>
      <c r="S2541" s="1" t="str">
        <f>IF(Table1[[#This Row],[High Tol]]="","N/A",IFERROR(ABS(Table1[[#This Row],[Tol Span]]/Table1[[#This Row],[Error Span]]),"N/A"))</f>
        <v>N/A</v>
      </c>
      <c r="T2541" s="1" t="str">
        <f>IF(OR(Table1[[#This Row],[Low Tol]]="",Table1[[#This Row],[High Tol]]=""),"Needs Analysis",IF(Table1[[#This Row],[Ratio]]&gt;=4,"Not Significant",IF(Table1[[#This Row],[Ratio]]&gt;=2,"Semi-Significant","Significant")))</f>
        <v>Needs Analysis</v>
      </c>
      <c r="W2541" s="1">
        <f>IF(Table1[[#This Row],[Cal Type]]&lt;&gt;"ACCREDITED 17025 WITH UNCERTAINTIES",0,"")</f>
        <v>0</v>
      </c>
      <c r="X2541" s="1" t="str">
        <f>IF(Table1[[#This Row],[DUT Read]]="","N/A",Table1[[#This Row],[Std Error]]+Table1[[#This Row],[DUT Read]]+Table1[[#This Row],[DUT Ucty]])</f>
        <v>N/A</v>
      </c>
      <c r="Y2541" s="1" t="str">
        <f>IF(Table1[[#This Row],[Std Read]]="","N/A",Table1[[#This Row],[Std Read]]+Table1[[#This Row],[Std Ucty]])</f>
        <v>N/A</v>
      </c>
      <c r="Z25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1" s="1" t="str">
        <f>IF(Table1[[#This Row],[Spec Type]]="","N/A",Table1[[#This Row],[Spec Type]])</f>
        <v>±</v>
      </c>
      <c r="AC2541" s="1" t="str">
        <f>IF(Table1[[#This Row],[Spec Type2]]="N/A","N/A",IF(AND(Table1[[#This Row],[DUT Adj Read]]&gt;=Table1[[#This Row],[Low Tol]],Table1[[#This Row],[DUT Adj Read]]&lt;=Table1[[#This Row],[High Tol]]),"Pass","Fail"))</f>
        <v>Fail</v>
      </c>
      <c r="AD2541" s="1" t="str">
        <f>IF(AND(Table1[[#This Row],[Spec Type2]]="N/A",Table1[[#This Row],[DUT Adj Read]]="N/A",Table1[[#This Row],[Std Adj Read]]="N/A"),"N/A",IF(Table1[[#This Row],[DUT Adj Read]]="N/A",IF(Table1[[#This Row],[Std Adj Read]]&gt;Table1[[#This Row],[Low Tol]],"Pass","Fail"),IF(Table1[[#This Row],[DUT Adj Read]]&gt;Table1[[#This Row],[Low Tol]],"Pass","Fail")))</f>
        <v>Pass</v>
      </c>
      <c r="AE2541" s="1" t="str">
        <f>IF(AND(Table1[[#This Row],[Spec Type2]]="N/A",Table1[[#This Row],[DUT Adj Read]]="N/A",Table1[[#This Row],[Std Adj Read]]="N/A"),"N/A",IF(Table1[[#This Row],[DUT Adj Read]]="N/A",IF(Table1[[#This Row],[Std Adj Read]]&lt;Table1[[#This Row],[High Tol]],"Pass","Fail"),IF(Table1[[#This Row],[DUT Adj Read]]&lt;Table1[[#This Row],[High Tol]],"Pass","Fail")))</f>
        <v>Fail</v>
      </c>
      <c r="AF2541" s="1" t="str">
        <f>IF(AND(Table1[[#This Row],[Spec Type2]]="N/A",Table1[[#This Row],[DUT Adj Read]]="N/A",Table1[[#This Row],[Std Adj Read]]="N/A"),"N/A",IF(Table1[[#This Row],[DUT Adj Read]]="N/A",IF(Table1[[#This Row],[Std Adj Read]]&gt;=Table1[[#This Row],[Low Tol]],"Pass","Fail"),IF(Table1[[#This Row],[DUT Adj Read]]&gt;=Table1[[#This Row],[Low Tol]],"Pass","Fail")))</f>
        <v>Pass</v>
      </c>
      <c r="AG2541" s="1" t="str">
        <f>IF(AND(Table1[[#This Row],[Spec Type2]]="N/A",Table1[[#This Row],[DUT Adj Read]]="N/A",Table1[[#This Row],[Std Adj Read]]="N/A"),"N/A",IF(Table1[[#This Row],[DUT Adj Read]]="N/A",IF(Table1[[#This Row],[Std Adj Read]]&lt;=Table1[[#This Row],[High Tol]],"Pass","Fail"),IF(Table1[[#This Row],[DUT Adj Read]]&lt;=Table1[[#This Row],[High Tol]],"Pass","Fail")))</f>
        <v>Fail</v>
      </c>
      <c r="AH25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1" s="1" t="b">
        <v>0</v>
      </c>
      <c r="AN2541" s="1" t="b">
        <v>0</v>
      </c>
      <c r="AO2541" s="1" t="b">
        <v>0</v>
      </c>
    </row>
    <row r="2542" spans="1:41" x14ac:dyDescent="0.25">
      <c r="A2542" s="10"/>
      <c r="B2542" s="10"/>
      <c r="C2542" s="10"/>
      <c r="D2542" s="10"/>
      <c r="E2542" s="10"/>
      <c r="F2542" s="10"/>
      <c r="G2542" s="10"/>
      <c r="H2542" s="10"/>
      <c r="I2542" s="1" t="str">
        <f t="shared" si="117"/>
        <v/>
      </c>
      <c r="J2542" s="1" t="s">
        <v>35</v>
      </c>
      <c r="K2542" s="1" t="str">
        <f t="shared" si="118"/>
        <v/>
      </c>
      <c r="L2542" s="1" t="str">
        <f t="shared" si="119"/>
        <v/>
      </c>
      <c r="M2542" s="1">
        <f>IF(OR(Table1[[#This Row],[Std Nom]]="",Table1[[#This Row],[Std Read]]=""),0,Table1[[#This Row],[Std Nom]]-Table1[[#This Row],[Std Read]])</f>
        <v>0</v>
      </c>
      <c r="N2542" s="1">
        <f>IF(Calculations!$F$5="ACCREDITED 17025 WITH UNCERTAINTIES",$N$10,0)</f>
        <v>0</v>
      </c>
      <c r="Q2542" s="1">
        <f>Table1[[#This Row],[High Tol]]-Table1[[#This Row],[Low Tol]]</f>
        <v>0</v>
      </c>
      <c r="R2542" s="1">
        <f>2*Table1[[#This Row],[Std Error]]</f>
        <v>0</v>
      </c>
      <c r="S2542" s="1" t="str">
        <f>IF(Table1[[#This Row],[High Tol]]="","N/A",IFERROR(ABS(Table1[[#This Row],[Tol Span]]/Table1[[#This Row],[Error Span]]),"N/A"))</f>
        <v>N/A</v>
      </c>
      <c r="T2542" s="1" t="str">
        <f>IF(OR(Table1[[#This Row],[Low Tol]]="",Table1[[#This Row],[High Tol]]=""),"Needs Analysis",IF(Table1[[#This Row],[Ratio]]&gt;=4,"Not Significant",IF(Table1[[#This Row],[Ratio]]&gt;=2,"Semi-Significant","Significant")))</f>
        <v>Needs Analysis</v>
      </c>
      <c r="W2542" s="1">
        <f>IF(Table1[[#This Row],[Cal Type]]&lt;&gt;"ACCREDITED 17025 WITH UNCERTAINTIES",0,"")</f>
        <v>0</v>
      </c>
      <c r="X2542" s="1" t="str">
        <f>IF(Table1[[#This Row],[DUT Read]]="","N/A",Table1[[#This Row],[Std Error]]+Table1[[#This Row],[DUT Read]]+Table1[[#This Row],[DUT Ucty]])</f>
        <v>N/A</v>
      </c>
      <c r="Y2542" s="1" t="str">
        <f>IF(Table1[[#This Row],[Std Read]]="","N/A",Table1[[#This Row],[Std Read]]+Table1[[#This Row],[Std Ucty]])</f>
        <v>N/A</v>
      </c>
      <c r="Z25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2" s="1" t="str">
        <f>IF(Table1[[#This Row],[Spec Type]]="","N/A",Table1[[#This Row],[Spec Type]])</f>
        <v>±</v>
      </c>
      <c r="AC2542" s="1" t="str">
        <f>IF(Table1[[#This Row],[Spec Type2]]="N/A","N/A",IF(AND(Table1[[#This Row],[DUT Adj Read]]&gt;=Table1[[#This Row],[Low Tol]],Table1[[#This Row],[DUT Adj Read]]&lt;=Table1[[#This Row],[High Tol]]),"Pass","Fail"))</f>
        <v>Fail</v>
      </c>
      <c r="AD2542" s="1" t="str">
        <f>IF(AND(Table1[[#This Row],[Spec Type2]]="N/A",Table1[[#This Row],[DUT Adj Read]]="N/A",Table1[[#This Row],[Std Adj Read]]="N/A"),"N/A",IF(Table1[[#This Row],[DUT Adj Read]]="N/A",IF(Table1[[#This Row],[Std Adj Read]]&gt;Table1[[#This Row],[Low Tol]],"Pass","Fail"),IF(Table1[[#This Row],[DUT Adj Read]]&gt;Table1[[#This Row],[Low Tol]],"Pass","Fail")))</f>
        <v>Pass</v>
      </c>
      <c r="AE2542" s="1" t="str">
        <f>IF(AND(Table1[[#This Row],[Spec Type2]]="N/A",Table1[[#This Row],[DUT Adj Read]]="N/A",Table1[[#This Row],[Std Adj Read]]="N/A"),"N/A",IF(Table1[[#This Row],[DUT Adj Read]]="N/A",IF(Table1[[#This Row],[Std Adj Read]]&lt;Table1[[#This Row],[High Tol]],"Pass","Fail"),IF(Table1[[#This Row],[DUT Adj Read]]&lt;Table1[[#This Row],[High Tol]],"Pass","Fail")))</f>
        <v>Fail</v>
      </c>
      <c r="AF2542" s="1" t="str">
        <f>IF(AND(Table1[[#This Row],[Spec Type2]]="N/A",Table1[[#This Row],[DUT Adj Read]]="N/A",Table1[[#This Row],[Std Adj Read]]="N/A"),"N/A",IF(Table1[[#This Row],[DUT Adj Read]]="N/A",IF(Table1[[#This Row],[Std Adj Read]]&gt;=Table1[[#This Row],[Low Tol]],"Pass","Fail"),IF(Table1[[#This Row],[DUT Adj Read]]&gt;=Table1[[#This Row],[Low Tol]],"Pass","Fail")))</f>
        <v>Pass</v>
      </c>
      <c r="AG2542" s="1" t="str">
        <f>IF(AND(Table1[[#This Row],[Spec Type2]]="N/A",Table1[[#This Row],[DUT Adj Read]]="N/A",Table1[[#This Row],[Std Adj Read]]="N/A"),"N/A",IF(Table1[[#This Row],[DUT Adj Read]]="N/A",IF(Table1[[#This Row],[Std Adj Read]]&lt;=Table1[[#This Row],[High Tol]],"Pass","Fail"),IF(Table1[[#This Row],[DUT Adj Read]]&lt;=Table1[[#This Row],[High Tol]],"Pass","Fail")))</f>
        <v>Fail</v>
      </c>
      <c r="AH25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2" s="1" t="b">
        <v>0</v>
      </c>
      <c r="AN2542" s="1" t="b">
        <v>0</v>
      </c>
      <c r="AO2542" s="1" t="b">
        <v>0</v>
      </c>
    </row>
    <row r="2543" spans="1:41" x14ac:dyDescent="0.25">
      <c r="A2543" s="10"/>
      <c r="B2543" s="10"/>
      <c r="C2543" s="10"/>
      <c r="D2543" s="10"/>
      <c r="E2543" s="10"/>
      <c r="F2543" s="10"/>
      <c r="G2543" s="10"/>
      <c r="H2543" s="10"/>
      <c r="I2543" s="1" t="str">
        <f t="shared" si="117"/>
        <v/>
      </c>
      <c r="J2543" s="1" t="s">
        <v>35</v>
      </c>
      <c r="K2543" s="1" t="str">
        <f t="shared" si="118"/>
        <v/>
      </c>
      <c r="L2543" s="1" t="str">
        <f t="shared" si="119"/>
        <v/>
      </c>
      <c r="M2543" s="1">
        <f>IF(OR(Table1[[#This Row],[Std Nom]]="",Table1[[#This Row],[Std Read]]=""),0,Table1[[#This Row],[Std Nom]]-Table1[[#This Row],[Std Read]])</f>
        <v>0</v>
      </c>
      <c r="N2543" s="1">
        <f>IF(Calculations!$F$5="ACCREDITED 17025 WITH UNCERTAINTIES",$N$10,0)</f>
        <v>0</v>
      </c>
      <c r="Q2543" s="1">
        <f>Table1[[#This Row],[High Tol]]-Table1[[#This Row],[Low Tol]]</f>
        <v>0</v>
      </c>
      <c r="R2543" s="1">
        <f>2*Table1[[#This Row],[Std Error]]</f>
        <v>0</v>
      </c>
      <c r="S2543" s="1" t="str">
        <f>IF(Table1[[#This Row],[High Tol]]="","N/A",IFERROR(ABS(Table1[[#This Row],[Tol Span]]/Table1[[#This Row],[Error Span]]),"N/A"))</f>
        <v>N/A</v>
      </c>
      <c r="T2543" s="1" t="str">
        <f>IF(OR(Table1[[#This Row],[Low Tol]]="",Table1[[#This Row],[High Tol]]=""),"Needs Analysis",IF(Table1[[#This Row],[Ratio]]&gt;=4,"Not Significant",IF(Table1[[#This Row],[Ratio]]&gt;=2,"Semi-Significant","Significant")))</f>
        <v>Needs Analysis</v>
      </c>
      <c r="W2543" s="1">
        <f>IF(Table1[[#This Row],[Cal Type]]&lt;&gt;"ACCREDITED 17025 WITH UNCERTAINTIES",0,"")</f>
        <v>0</v>
      </c>
      <c r="X2543" s="1" t="str">
        <f>IF(Table1[[#This Row],[DUT Read]]="","N/A",Table1[[#This Row],[Std Error]]+Table1[[#This Row],[DUT Read]]+Table1[[#This Row],[DUT Ucty]])</f>
        <v>N/A</v>
      </c>
      <c r="Y2543" s="1" t="str">
        <f>IF(Table1[[#This Row],[Std Read]]="","N/A",Table1[[#This Row],[Std Read]]+Table1[[#This Row],[Std Ucty]])</f>
        <v>N/A</v>
      </c>
      <c r="Z25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3" s="1" t="str">
        <f>IF(Table1[[#This Row],[Spec Type]]="","N/A",Table1[[#This Row],[Spec Type]])</f>
        <v>±</v>
      </c>
      <c r="AC2543" s="1" t="str">
        <f>IF(Table1[[#This Row],[Spec Type2]]="N/A","N/A",IF(AND(Table1[[#This Row],[DUT Adj Read]]&gt;=Table1[[#This Row],[Low Tol]],Table1[[#This Row],[DUT Adj Read]]&lt;=Table1[[#This Row],[High Tol]]),"Pass","Fail"))</f>
        <v>Fail</v>
      </c>
      <c r="AD2543" s="1" t="str">
        <f>IF(AND(Table1[[#This Row],[Spec Type2]]="N/A",Table1[[#This Row],[DUT Adj Read]]="N/A",Table1[[#This Row],[Std Adj Read]]="N/A"),"N/A",IF(Table1[[#This Row],[DUT Adj Read]]="N/A",IF(Table1[[#This Row],[Std Adj Read]]&gt;Table1[[#This Row],[Low Tol]],"Pass","Fail"),IF(Table1[[#This Row],[DUT Adj Read]]&gt;Table1[[#This Row],[Low Tol]],"Pass","Fail")))</f>
        <v>Pass</v>
      </c>
      <c r="AE2543" s="1" t="str">
        <f>IF(AND(Table1[[#This Row],[Spec Type2]]="N/A",Table1[[#This Row],[DUT Adj Read]]="N/A",Table1[[#This Row],[Std Adj Read]]="N/A"),"N/A",IF(Table1[[#This Row],[DUT Adj Read]]="N/A",IF(Table1[[#This Row],[Std Adj Read]]&lt;Table1[[#This Row],[High Tol]],"Pass","Fail"),IF(Table1[[#This Row],[DUT Adj Read]]&lt;Table1[[#This Row],[High Tol]],"Pass","Fail")))</f>
        <v>Fail</v>
      </c>
      <c r="AF2543" s="1" t="str">
        <f>IF(AND(Table1[[#This Row],[Spec Type2]]="N/A",Table1[[#This Row],[DUT Adj Read]]="N/A",Table1[[#This Row],[Std Adj Read]]="N/A"),"N/A",IF(Table1[[#This Row],[DUT Adj Read]]="N/A",IF(Table1[[#This Row],[Std Adj Read]]&gt;=Table1[[#This Row],[Low Tol]],"Pass","Fail"),IF(Table1[[#This Row],[DUT Adj Read]]&gt;=Table1[[#This Row],[Low Tol]],"Pass","Fail")))</f>
        <v>Pass</v>
      </c>
      <c r="AG2543" s="1" t="str">
        <f>IF(AND(Table1[[#This Row],[Spec Type2]]="N/A",Table1[[#This Row],[DUT Adj Read]]="N/A",Table1[[#This Row],[Std Adj Read]]="N/A"),"N/A",IF(Table1[[#This Row],[DUT Adj Read]]="N/A",IF(Table1[[#This Row],[Std Adj Read]]&lt;=Table1[[#This Row],[High Tol]],"Pass","Fail"),IF(Table1[[#This Row],[DUT Adj Read]]&lt;=Table1[[#This Row],[High Tol]],"Pass","Fail")))</f>
        <v>Fail</v>
      </c>
      <c r="AH25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3" s="1" t="b">
        <v>0</v>
      </c>
      <c r="AN2543" s="1" t="b">
        <v>0</v>
      </c>
      <c r="AO2543" s="1" t="b">
        <v>0</v>
      </c>
    </row>
    <row r="2544" spans="1:41" x14ac:dyDescent="0.25">
      <c r="A2544" s="10"/>
      <c r="B2544" s="10"/>
      <c r="C2544" s="10"/>
      <c r="D2544" s="10"/>
      <c r="E2544" s="10"/>
      <c r="F2544" s="10"/>
      <c r="G2544" s="10"/>
      <c r="H2544" s="10"/>
      <c r="I2544" s="1" t="str">
        <f t="shared" si="117"/>
        <v/>
      </c>
      <c r="J2544" s="1" t="s">
        <v>35</v>
      </c>
      <c r="K2544" s="1" t="str">
        <f t="shared" si="118"/>
        <v/>
      </c>
      <c r="L2544" s="1" t="str">
        <f t="shared" si="119"/>
        <v/>
      </c>
      <c r="M2544" s="1">
        <f>IF(OR(Table1[[#This Row],[Std Nom]]="",Table1[[#This Row],[Std Read]]=""),0,Table1[[#This Row],[Std Nom]]-Table1[[#This Row],[Std Read]])</f>
        <v>0</v>
      </c>
      <c r="N2544" s="1">
        <f>IF(Calculations!$F$5="ACCREDITED 17025 WITH UNCERTAINTIES",$N$10,0)</f>
        <v>0</v>
      </c>
      <c r="Q2544" s="1">
        <f>Table1[[#This Row],[High Tol]]-Table1[[#This Row],[Low Tol]]</f>
        <v>0</v>
      </c>
      <c r="R2544" s="1">
        <f>2*Table1[[#This Row],[Std Error]]</f>
        <v>0</v>
      </c>
      <c r="S2544" s="1" t="str">
        <f>IF(Table1[[#This Row],[High Tol]]="","N/A",IFERROR(ABS(Table1[[#This Row],[Tol Span]]/Table1[[#This Row],[Error Span]]),"N/A"))</f>
        <v>N/A</v>
      </c>
      <c r="T2544" s="1" t="str">
        <f>IF(OR(Table1[[#This Row],[Low Tol]]="",Table1[[#This Row],[High Tol]]=""),"Needs Analysis",IF(Table1[[#This Row],[Ratio]]&gt;=4,"Not Significant",IF(Table1[[#This Row],[Ratio]]&gt;=2,"Semi-Significant","Significant")))</f>
        <v>Needs Analysis</v>
      </c>
      <c r="W2544" s="1">
        <f>IF(Table1[[#This Row],[Cal Type]]&lt;&gt;"ACCREDITED 17025 WITH UNCERTAINTIES",0,"")</f>
        <v>0</v>
      </c>
      <c r="X2544" s="1" t="str">
        <f>IF(Table1[[#This Row],[DUT Read]]="","N/A",Table1[[#This Row],[Std Error]]+Table1[[#This Row],[DUT Read]]+Table1[[#This Row],[DUT Ucty]])</f>
        <v>N/A</v>
      </c>
      <c r="Y2544" s="1" t="str">
        <f>IF(Table1[[#This Row],[Std Read]]="","N/A",Table1[[#This Row],[Std Read]]+Table1[[#This Row],[Std Ucty]])</f>
        <v>N/A</v>
      </c>
      <c r="Z25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4" s="1" t="str">
        <f>IF(Table1[[#This Row],[Spec Type]]="","N/A",Table1[[#This Row],[Spec Type]])</f>
        <v>±</v>
      </c>
      <c r="AC2544" s="1" t="str">
        <f>IF(Table1[[#This Row],[Spec Type2]]="N/A","N/A",IF(AND(Table1[[#This Row],[DUT Adj Read]]&gt;=Table1[[#This Row],[Low Tol]],Table1[[#This Row],[DUT Adj Read]]&lt;=Table1[[#This Row],[High Tol]]),"Pass","Fail"))</f>
        <v>Fail</v>
      </c>
      <c r="AD2544" s="1" t="str">
        <f>IF(AND(Table1[[#This Row],[Spec Type2]]="N/A",Table1[[#This Row],[DUT Adj Read]]="N/A",Table1[[#This Row],[Std Adj Read]]="N/A"),"N/A",IF(Table1[[#This Row],[DUT Adj Read]]="N/A",IF(Table1[[#This Row],[Std Adj Read]]&gt;Table1[[#This Row],[Low Tol]],"Pass","Fail"),IF(Table1[[#This Row],[DUT Adj Read]]&gt;Table1[[#This Row],[Low Tol]],"Pass","Fail")))</f>
        <v>Pass</v>
      </c>
      <c r="AE2544" s="1" t="str">
        <f>IF(AND(Table1[[#This Row],[Spec Type2]]="N/A",Table1[[#This Row],[DUT Adj Read]]="N/A",Table1[[#This Row],[Std Adj Read]]="N/A"),"N/A",IF(Table1[[#This Row],[DUT Adj Read]]="N/A",IF(Table1[[#This Row],[Std Adj Read]]&lt;Table1[[#This Row],[High Tol]],"Pass","Fail"),IF(Table1[[#This Row],[DUT Adj Read]]&lt;Table1[[#This Row],[High Tol]],"Pass","Fail")))</f>
        <v>Fail</v>
      </c>
      <c r="AF2544" s="1" t="str">
        <f>IF(AND(Table1[[#This Row],[Spec Type2]]="N/A",Table1[[#This Row],[DUT Adj Read]]="N/A",Table1[[#This Row],[Std Adj Read]]="N/A"),"N/A",IF(Table1[[#This Row],[DUT Adj Read]]="N/A",IF(Table1[[#This Row],[Std Adj Read]]&gt;=Table1[[#This Row],[Low Tol]],"Pass","Fail"),IF(Table1[[#This Row],[DUT Adj Read]]&gt;=Table1[[#This Row],[Low Tol]],"Pass","Fail")))</f>
        <v>Pass</v>
      </c>
      <c r="AG2544" s="1" t="str">
        <f>IF(AND(Table1[[#This Row],[Spec Type2]]="N/A",Table1[[#This Row],[DUT Adj Read]]="N/A",Table1[[#This Row],[Std Adj Read]]="N/A"),"N/A",IF(Table1[[#This Row],[DUT Adj Read]]="N/A",IF(Table1[[#This Row],[Std Adj Read]]&lt;=Table1[[#This Row],[High Tol]],"Pass","Fail"),IF(Table1[[#This Row],[DUT Adj Read]]&lt;=Table1[[#This Row],[High Tol]],"Pass","Fail")))</f>
        <v>Fail</v>
      </c>
      <c r="AH25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4" s="1" t="b">
        <v>0</v>
      </c>
      <c r="AN2544" s="1" t="b">
        <v>0</v>
      </c>
      <c r="AO2544" s="1" t="b">
        <v>0</v>
      </c>
    </row>
    <row r="2545" spans="1:41" x14ac:dyDescent="0.25">
      <c r="A2545" s="10"/>
      <c r="B2545" s="10"/>
      <c r="C2545" s="10"/>
      <c r="D2545" s="10"/>
      <c r="E2545" s="10"/>
      <c r="F2545" s="10"/>
      <c r="G2545" s="10"/>
      <c r="H2545" s="10"/>
      <c r="I2545" s="1" t="str">
        <f t="shared" si="117"/>
        <v/>
      </c>
      <c r="J2545" s="1" t="s">
        <v>35</v>
      </c>
      <c r="K2545" s="1" t="str">
        <f t="shared" si="118"/>
        <v/>
      </c>
      <c r="L2545" s="1" t="str">
        <f t="shared" si="119"/>
        <v/>
      </c>
      <c r="M2545" s="1">
        <f>IF(OR(Table1[[#This Row],[Std Nom]]="",Table1[[#This Row],[Std Read]]=""),0,Table1[[#This Row],[Std Nom]]-Table1[[#This Row],[Std Read]])</f>
        <v>0</v>
      </c>
      <c r="N2545" s="1">
        <f>IF(Calculations!$F$5="ACCREDITED 17025 WITH UNCERTAINTIES",$N$10,0)</f>
        <v>0</v>
      </c>
      <c r="Q2545" s="1">
        <f>Table1[[#This Row],[High Tol]]-Table1[[#This Row],[Low Tol]]</f>
        <v>0</v>
      </c>
      <c r="R2545" s="1">
        <f>2*Table1[[#This Row],[Std Error]]</f>
        <v>0</v>
      </c>
      <c r="S2545" s="1" t="str">
        <f>IF(Table1[[#This Row],[High Tol]]="","N/A",IFERROR(ABS(Table1[[#This Row],[Tol Span]]/Table1[[#This Row],[Error Span]]),"N/A"))</f>
        <v>N/A</v>
      </c>
      <c r="T2545" s="1" t="str">
        <f>IF(OR(Table1[[#This Row],[Low Tol]]="",Table1[[#This Row],[High Tol]]=""),"Needs Analysis",IF(Table1[[#This Row],[Ratio]]&gt;=4,"Not Significant",IF(Table1[[#This Row],[Ratio]]&gt;=2,"Semi-Significant","Significant")))</f>
        <v>Needs Analysis</v>
      </c>
      <c r="W2545" s="1">
        <f>IF(Table1[[#This Row],[Cal Type]]&lt;&gt;"ACCREDITED 17025 WITH UNCERTAINTIES",0,"")</f>
        <v>0</v>
      </c>
      <c r="X2545" s="1" t="str">
        <f>IF(Table1[[#This Row],[DUT Read]]="","N/A",Table1[[#This Row],[Std Error]]+Table1[[#This Row],[DUT Read]]+Table1[[#This Row],[DUT Ucty]])</f>
        <v>N/A</v>
      </c>
      <c r="Y2545" s="1" t="str">
        <f>IF(Table1[[#This Row],[Std Read]]="","N/A",Table1[[#This Row],[Std Read]]+Table1[[#This Row],[Std Ucty]])</f>
        <v>N/A</v>
      </c>
      <c r="Z25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5" s="1" t="str">
        <f>IF(Table1[[#This Row],[Spec Type]]="","N/A",Table1[[#This Row],[Spec Type]])</f>
        <v>±</v>
      </c>
      <c r="AC2545" s="1" t="str">
        <f>IF(Table1[[#This Row],[Spec Type2]]="N/A","N/A",IF(AND(Table1[[#This Row],[DUT Adj Read]]&gt;=Table1[[#This Row],[Low Tol]],Table1[[#This Row],[DUT Adj Read]]&lt;=Table1[[#This Row],[High Tol]]),"Pass","Fail"))</f>
        <v>Fail</v>
      </c>
      <c r="AD2545" s="1" t="str">
        <f>IF(AND(Table1[[#This Row],[Spec Type2]]="N/A",Table1[[#This Row],[DUT Adj Read]]="N/A",Table1[[#This Row],[Std Adj Read]]="N/A"),"N/A",IF(Table1[[#This Row],[DUT Adj Read]]="N/A",IF(Table1[[#This Row],[Std Adj Read]]&gt;Table1[[#This Row],[Low Tol]],"Pass","Fail"),IF(Table1[[#This Row],[DUT Adj Read]]&gt;Table1[[#This Row],[Low Tol]],"Pass","Fail")))</f>
        <v>Pass</v>
      </c>
      <c r="AE2545" s="1" t="str">
        <f>IF(AND(Table1[[#This Row],[Spec Type2]]="N/A",Table1[[#This Row],[DUT Adj Read]]="N/A",Table1[[#This Row],[Std Adj Read]]="N/A"),"N/A",IF(Table1[[#This Row],[DUT Adj Read]]="N/A",IF(Table1[[#This Row],[Std Adj Read]]&lt;Table1[[#This Row],[High Tol]],"Pass","Fail"),IF(Table1[[#This Row],[DUT Adj Read]]&lt;Table1[[#This Row],[High Tol]],"Pass","Fail")))</f>
        <v>Fail</v>
      </c>
      <c r="AF2545" s="1" t="str">
        <f>IF(AND(Table1[[#This Row],[Spec Type2]]="N/A",Table1[[#This Row],[DUT Adj Read]]="N/A",Table1[[#This Row],[Std Adj Read]]="N/A"),"N/A",IF(Table1[[#This Row],[DUT Adj Read]]="N/A",IF(Table1[[#This Row],[Std Adj Read]]&gt;=Table1[[#This Row],[Low Tol]],"Pass","Fail"),IF(Table1[[#This Row],[DUT Adj Read]]&gt;=Table1[[#This Row],[Low Tol]],"Pass","Fail")))</f>
        <v>Pass</v>
      </c>
      <c r="AG2545" s="1" t="str">
        <f>IF(AND(Table1[[#This Row],[Spec Type2]]="N/A",Table1[[#This Row],[DUT Adj Read]]="N/A",Table1[[#This Row],[Std Adj Read]]="N/A"),"N/A",IF(Table1[[#This Row],[DUT Adj Read]]="N/A",IF(Table1[[#This Row],[Std Adj Read]]&lt;=Table1[[#This Row],[High Tol]],"Pass","Fail"),IF(Table1[[#This Row],[DUT Adj Read]]&lt;=Table1[[#This Row],[High Tol]],"Pass","Fail")))</f>
        <v>Fail</v>
      </c>
      <c r="AH25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5" s="1" t="b">
        <v>0</v>
      </c>
      <c r="AN2545" s="1" t="b">
        <v>0</v>
      </c>
      <c r="AO2545" s="1" t="b">
        <v>0</v>
      </c>
    </row>
    <row r="2546" spans="1:41" x14ac:dyDescent="0.25">
      <c r="A2546" s="10"/>
      <c r="B2546" s="10"/>
      <c r="C2546" s="10"/>
      <c r="D2546" s="10"/>
      <c r="E2546" s="10"/>
      <c r="F2546" s="10"/>
      <c r="G2546" s="10"/>
      <c r="H2546" s="10"/>
      <c r="I2546" s="1" t="str">
        <f t="shared" si="117"/>
        <v/>
      </c>
      <c r="J2546" s="1" t="s">
        <v>35</v>
      </c>
      <c r="K2546" s="1" t="str">
        <f t="shared" si="118"/>
        <v/>
      </c>
      <c r="L2546" s="1" t="str">
        <f t="shared" si="119"/>
        <v/>
      </c>
      <c r="M2546" s="1">
        <f>IF(OR(Table1[[#This Row],[Std Nom]]="",Table1[[#This Row],[Std Read]]=""),0,Table1[[#This Row],[Std Nom]]-Table1[[#This Row],[Std Read]])</f>
        <v>0</v>
      </c>
      <c r="N2546" s="1">
        <f>IF(Calculations!$F$5="ACCREDITED 17025 WITH UNCERTAINTIES",$N$10,0)</f>
        <v>0</v>
      </c>
      <c r="Q2546" s="1">
        <f>Table1[[#This Row],[High Tol]]-Table1[[#This Row],[Low Tol]]</f>
        <v>0</v>
      </c>
      <c r="R2546" s="1">
        <f>2*Table1[[#This Row],[Std Error]]</f>
        <v>0</v>
      </c>
      <c r="S2546" s="1" t="str">
        <f>IF(Table1[[#This Row],[High Tol]]="","N/A",IFERROR(ABS(Table1[[#This Row],[Tol Span]]/Table1[[#This Row],[Error Span]]),"N/A"))</f>
        <v>N/A</v>
      </c>
      <c r="T2546" s="1" t="str">
        <f>IF(OR(Table1[[#This Row],[Low Tol]]="",Table1[[#This Row],[High Tol]]=""),"Needs Analysis",IF(Table1[[#This Row],[Ratio]]&gt;=4,"Not Significant",IF(Table1[[#This Row],[Ratio]]&gt;=2,"Semi-Significant","Significant")))</f>
        <v>Needs Analysis</v>
      </c>
      <c r="W2546" s="1">
        <f>IF(Table1[[#This Row],[Cal Type]]&lt;&gt;"ACCREDITED 17025 WITH UNCERTAINTIES",0,"")</f>
        <v>0</v>
      </c>
      <c r="X2546" s="1" t="str">
        <f>IF(Table1[[#This Row],[DUT Read]]="","N/A",Table1[[#This Row],[Std Error]]+Table1[[#This Row],[DUT Read]]+Table1[[#This Row],[DUT Ucty]])</f>
        <v>N/A</v>
      </c>
      <c r="Y2546" s="1" t="str">
        <f>IF(Table1[[#This Row],[Std Read]]="","N/A",Table1[[#This Row],[Std Read]]+Table1[[#This Row],[Std Ucty]])</f>
        <v>N/A</v>
      </c>
      <c r="Z25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6" s="1" t="str">
        <f>IF(Table1[[#This Row],[Spec Type]]="","N/A",Table1[[#This Row],[Spec Type]])</f>
        <v>±</v>
      </c>
      <c r="AC2546" s="1" t="str">
        <f>IF(Table1[[#This Row],[Spec Type2]]="N/A","N/A",IF(AND(Table1[[#This Row],[DUT Adj Read]]&gt;=Table1[[#This Row],[Low Tol]],Table1[[#This Row],[DUT Adj Read]]&lt;=Table1[[#This Row],[High Tol]]),"Pass","Fail"))</f>
        <v>Fail</v>
      </c>
      <c r="AD2546" s="1" t="str">
        <f>IF(AND(Table1[[#This Row],[Spec Type2]]="N/A",Table1[[#This Row],[DUT Adj Read]]="N/A",Table1[[#This Row],[Std Adj Read]]="N/A"),"N/A",IF(Table1[[#This Row],[DUT Adj Read]]="N/A",IF(Table1[[#This Row],[Std Adj Read]]&gt;Table1[[#This Row],[Low Tol]],"Pass","Fail"),IF(Table1[[#This Row],[DUT Adj Read]]&gt;Table1[[#This Row],[Low Tol]],"Pass","Fail")))</f>
        <v>Pass</v>
      </c>
      <c r="AE2546" s="1" t="str">
        <f>IF(AND(Table1[[#This Row],[Spec Type2]]="N/A",Table1[[#This Row],[DUT Adj Read]]="N/A",Table1[[#This Row],[Std Adj Read]]="N/A"),"N/A",IF(Table1[[#This Row],[DUT Adj Read]]="N/A",IF(Table1[[#This Row],[Std Adj Read]]&lt;Table1[[#This Row],[High Tol]],"Pass","Fail"),IF(Table1[[#This Row],[DUT Adj Read]]&lt;Table1[[#This Row],[High Tol]],"Pass","Fail")))</f>
        <v>Fail</v>
      </c>
      <c r="AF2546" s="1" t="str">
        <f>IF(AND(Table1[[#This Row],[Spec Type2]]="N/A",Table1[[#This Row],[DUT Adj Read]]="N/A",Table1[[#This Row],[Std Adj Read]]="N/A"),"N/A",IF(Table1[[#This Row],[DUT Adj Read]]="N/A",IF(Table1[[#This Row],[Std Adj Read]]&gt;=Table1[[#This Row],[Low Tol]],"Pass","Fail"),IF(Table1[[#This Row],[DUT Adj Read]]&gt;=Table1[[#This Row],[Low Tol]],"Pass","Fail")))</f>
        <v>Pass</v>
      </c>
      <c r="AG2546" s="1" t="str">
        <f>IF(AND(Table1[[#This Row],[Spec Type2]]="N/A",Table1[[#This Row],[DUT Adj Read]]="N/A",Table1[[#This Row],[Std Adj Read]]="N/A"),"N/A",IF(Table1[[#This Row],[DUT Adj Read]]="N/A",IF(Table1[[#This Row],[Std Adj Read]]&lt;=Table1[[#This Row],[High Tol]],"Pass","Fail"),IF(Table1[[#This Row],[DUT Adj Read]]&lt;=Table1[[#This Row],[High Tol]],"Pass","Fail")))</f>
        <v>Fail</v>
      </c>
      <c r="AH25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6" s="1" t="b">
        <v>0</v>
      </c>
      <c r="AN2546" s="1" t="b">
        <v>0</v>
      </c>
      <c r="AO2546" s="1" t="b">
        <v>0</v>
      </c>
    </row>
    <row r="2547" spans="1:41" x14ac:dyDescent="0.25">
      <c r="A2547" s="10"/>
      <c r="B2547" s="10"/>
      <c r="C2547" s="10"/>
      <c r="D2547" s="10"/>
      <c r="E2547" s="10"/>
      <c r="F2547" s="10"/>
      <c r="G2547" s="10"/>
      <c r="H2547" s="10"/>
      <c r="I2547" s="1" t="str">
        <f t="shared" si="117"/>
        <v/>
      </c>
      <c r="J2547" s="1" t="s">
        <v>35</v>
      </c>
      <c r="K2547" s="1" t="str">
        <f t="shared" si="118"/>
        <v/>
      </c>
      <c r="L2547" s="1" t="str">
        <f t="shared" si="119"/>
        <v/>
      </c>
      <c r="M2547" s="1">
        <f>IF(OR(Table1[[#This Row],[Std Nom]]="",Table1[[#This Row],[Std Read]]=""),0,Table1[[#This Row],[Std Nom]]-Table1[[#This Row],[Std Read]])</f>
        <v>0</v>
      </c>
      <c r="N2547" s="1">
        <f>IF(Calculations!$F$5="ACCREDITED 17025 WITH UNCERTAINTIES",$N$10,0)</f>
        <v>0</v>
      </c>
      <c r="Q2547" s="1">
        <f>Table1[[#This Row],[High Tol]]-Table1[[#This Row],[Low Tol]]</f>
        <v>0</v>
      </c>
      <c r="R2547" s="1">
        <f>2*Table1[[#This Row],[Std Error]]</f>
        <v>0</v>
      </c>
      <c r="S2547" s="1" t="str">
        <f>IF(Table1[[#This Row],[High Tol]]="","N/A",IFERROR(ABS(Table1[[#This Row],[Tol Span]]/Table1[[#This Row],[Error Span]]),"N/A"))</f>
        <v>N/A</v>
      </c>
      <c r="T2547" s="1" t="str">
        <f>IF(OR(Table1[[#This Row],[Low Tol]]="",Table1[[#This Row],[High Tol]]=""),"Needs Analysis",IF(Table1[[#This Row],[Ratio]]&gt;=4,"Not Significant",IF(Table1[[#This Row],[Ratio]]&gt;=2,"Semi-Significant","Significant")))</f>
        <v>Needs Analysis</v>
      </c>
      <c r="W2547" s="1">
        <f>IF(Table1[[#This Row],[Cal Type]]&lt;&gt;"ACCREDITED 17025 WITH UNCERTAINTIES",0,"")</f>
        <v>0</v>
      </c>
      <c r="X2547" s="1" t="str">
        <f>IF(Table1[[#This Row],[DUT Read]]="","N/A",Table1[[#This Row],[Std Error]]+Table1[[#This Row],[DUT Read]]+Table1[[#This Row],[DUT Ucty]])</f>
        <v>N/A</v>
      </c>
      <c r="Y2547" s="1" t="str">
        <f>IF(Table1[[#This Row],[Std Read]]="","N/A",Table1[[#This Row],[Std Read]]+Table1[[#This Row],[Std Ucty]])</f>
        <v>N/A</v>
      </c>
      <c r="Z25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7" s="1" t="str">
        <f>IF(Table1[[#This Row],[Spec Type]]="","N/A",Table1[[#This Row],[Spec Type]])</f>
        <v>±</v>
      </c>
      <c r="AC2547" s="1" t="str">
        <f>IF(Table1[[#This Row],[Spec Type2]]="N/A","N/A",IF(AND(Table1[[#This Row],[DUT Adj Read]]&gt;=Table1[[#This Row],[Low Tol]],Table1[[#This Row],[DUT Adj Read]]&lt;=Table1[[#This Row],[High Tol]]),"Pass","Fail"))</f>
        <v>Fail</v>
      </c>
      <c r="AD2547" s="1" t="str">
        <f>IF(AND(Table1[[#This Row],[Spec Type2]]="N/A",Table1[[#This Row],[DUT Adj Read]]="N/A",Table1[[#This Row],[Std Adj Read]]="N/A"),"N/A",IF(Table1[[#This Row],[DUT Adj Read]]="N/A",IF(Table1[[#This Row],[Std Adj Read]]&gt;Table1[[#This Row],[Low Tol]],"Pass","Fail"),IF(Table1[[#This Row],[DUT Adj Read]]&gt;Table1[[#This Row],[Low Tol]],"Pass","Fail")))</f>
        <v>Pass</v>
      </c>
      <c r="AE2547" s="1" t="str">
        <f>IF(AND(Table1[[#This Row],[Spec Type2]]="N/A",Table1[[#This Row],[DUT Adj Read]]="N/A",Table1[[#This Row],[Std Adj Read]]="N/A"),"N/A",IF(Table1[[#This Row],[DUT Adj Read]]="N/A",IF(Table1[[#This Row],[Std Adj Read]]&lt;Table1[[#This Row],[High Tol]],"Pass","Fail"),IF(Table1[[#This Row],[DUT Adj Read]]&lt;Table1[[#This Row],[High Tol]],"Pass","Fail")))</f>
        <v>Fail</v>
      </c>
      <c r="AF2547" s="1" t="str">
        <f>IF(AND(Table1[[#This Row],[Spec Type2]]="N/A",Table1[[#This Row],[DUT Adj Read]]="N/A",Table1[[#This Row],[Std Adj Read]]="N/A"),"N/A",IF(Table1[[#This Row],[DUT Adj Read]]="N/A",IF(Table1[[#This Row],[Std Adj Read]]&gt;=Table1[[#This Row],[Low Tol]],"Pass","Fail"),IF(Table1[[#This Row],[DUT Adj Read]]&gt;=Table1[[#This Row],[Low Tol]],"Pass","Fail")))</f>
        <v>Pass</v>
      </c>
      <c r="AG2547" s="1" t="str">
        <f>IF(AND(Table1[[#This Row],[Spec Type2]]="N/A",Table1[[#This Row],[DUT Adj Read]]="N/A",Table1[[#This Row],[Std Adj Read]]="N/A"),"N/A",IF(Table1[[#This Row],[DUT Adj Read]]="N/A",IF(Table1[[#This Row],[Std Adj Read]]&lt;=Table1[[#This Row],[High Tol]],"Pass","Fail"),IF(Table1[[#This Row],[DUT Adj Read]]&lt;=Table1[[#This Row],[High Tol]],"Pass","Fail")))</f>
        <v>Fail</v>
      </c>
      <c r="AH25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7" s="1" t="b">
        <v>0</v>
      </c>
      <c r="AN2547" s="1" t="b">
        <v>0</v>
      </c>
      <c r="AO2547" s="1" t="b">
        <v>0</v>
      </c>
    </row>
    <row r="2548" spans="1:41" x14ac:dyDescent="0.25">
      <c r="A2548" s="10"/>
      <c r="B2548" s="10"/>
      <c r="C2548" s="10"/>
      <c r="D2548" s="10"/>
      <c r="E2548" s="10"/>
      <c r="F2548" s="10"/>
      <c r="G2548" s="10"/>
      <c r="H2548" s="10"/>
      <c r="I2548" s="1" t="str">
        <f t="shared" si="117"/>
        <v/>
      </c>
      <c r="J2548" s="1" t="s">
        <v>35</v>
      </c>
      <c r="K2548" s="1" t="str">
        <f t="shared" si="118"/>
        <v/>
      </c>
      <c r="L2548" s="1" t="str">
        <f t="shared" si="119"/>
        <v/>
      </c>
      <c r="M2548" s="1">
        <f>IF(OR(Table1[[#This Row],[Std Nom]]="",Table1[[#This Row],[Std Read]]=""),0,Table1[[#This Row],[Std Nom]]-Table1[[#This Row],[Std Read]])</f>
        <v>0</v>
      </c>
      <c r="N2548" s="1">
        <f>IF(Calculations!$F$5="ACCREDITED 17025 WITH UNCERTAINTIES",$N$10,0)</f>
        <v>0</v>
      </c>
      <c r="Q2548" s="1">
        <f>Table1[[#This Row],[High Tol]]-Table1[[#This Row],[Low Tol]]</f>
        <v>0</v>
      </c>
      <c r="R2548" s="1">
        <f>2*Table1[[#This Row],[Std Error]]</f>
        <v>0</v>
      </c>
      <c r="S2548" s="1" t="str">
        <f>IF(Table1[[#This Row],[High Tol]]="","N/A",IFERROR(ABS(Table1[[#This Row],[Tol Span]]/Table1[[#This Row],[Error Span]]),"N/A"))</f>
        <v>N/A</v>
      </c>
      <c r="T2548" s="1" t="str">
        <f>IF(OR(Table1[[#This Row],[Low Tol]]="",Table1[[#This Row],[High Tol]]=""),"Needs Analysis",IF(Table1[[#This Row],[Ratio]]&gt;=4,"Not Significant",IF(Table1[[#This Row],[Ratio]]&gt;=2,"Semi-Significant","Significant")))</f>
        <v>Needs Analysis</v>
      </c>
      <c r="W2548" s="1">
        <f>IF(Table1[[#This Row],[Cal Type]]&lt;&gt;"ACCREDITED 17025 WITH UNCERTAINTIES",0,"")</f>
        <v>0</v>
      </c>
      <c r="X2548" s="1" t="str">
        <f>IF(Table1[[#This Row],[DUT Read]]="","N/A",Table1[[#This Row],[Std Error]]+Table1[[#This Row],[DUT Read]]+Table1[[#This Row],[DUT Ucty]])</f>
        <v>N/A</v>
      </c>
      <c r="Y2548" s="1" t="str">
        <f>IF(Table1[[#This Row],[Std Read]]="","N/A",Table1[[#This Row],[Std Read]]+Table1[[#This Row],[Std Ucty]])</f>
        <v>N/A</v>
      </c>
      <c r="Z25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8" s="1" t="str">
        <f>IF(Table1[[#This Row],[Spec Type]]="","N/A",Table1[[#This Row],[Spec Type]])</f>
        <v>±</v>
      </c>
      <c r="AC2548" s="1" t="str">
        <f>IF(Table1[[#This Row],[Spec Type2]]="N/A","N/A",IF(AND(Table1[[#This Row],[DUT Adj Read]]&gt;=Table1[[#This Row],[Low Tol]],Table1[[#This Row],[DUT Adj Read]]&lt;=Table1[[#This Row],[High Tol]]),"Pass","Fail"))</f>
        <v>Fail</v>
      </c>
      <c r="AD2548" s="1" t="str">
        <f>IF(AND(Table1[[#This Row],[Spec Type2]]="N/A",Table1[[#This Row],[DUT Adj Read]]="N/A",Table1[[#This Row],[Std Adj Read]]="N/A"),"N/A",IF(Table1[[#This Row],[DUT Adj Read]]="N/A",IF(Table1[[#This Row],[Std Adj Read]]&gt;Table1[[#This Row],[Low Tol]],"Pass","Fail"),IF(Table1[[#This Row],[DUT Adj Read]]&gt;Table1[[#This Row],[Low Tol]],"Pass","Fail")))</f>
        <v>Pass</v>
      </c>
      <c r="AE2548" s="1" t="str">
        <f>IF(AND(Table1[[#This Row],[Spec Type2]]="N/A",Table1[[#This Row],[DUT Adj Read]]="N/A",Table1[[#This Row],[Std Adj Read]]="N/A"),"N/A",IF(Table1[[#This Row],[DUT Adj Read]]="N/A",IF(Table1[[#This Row],[Std Adj Read]]&lt;Table1[[#This Row],[High Tol]],"Pass","Fail"),IF(Table1[[#This Row],[DUT Adj Read]]&lt;Table1[[#This Row],[High Tol]],"Pass","Fail")))</f>
        <v>Fail</v>
      </c>
      <c r="AF2548" s="1" t="str">
        <f>IF(AND(Table1[[#This Row],[Spec Type2]]="N/A",Table1[[#This Row],[DUT Adj Read]]="N/A",Table1[[#This Row],[Std Adj Read]]="N/A"),"N/A",IF(Table1[[#This Row],[DUT Adj Read]]="N/A",IF(Table1[[#This Row],[Std Adj Read]]&gt;=Table1[[#This Row],[Low Tol]],"Pass","Fail"),IF(Table1[[#This Row],[DUT Adj Read]]&gt;=Table1[[#This Row],[Low Tol]],"Pass","Fail")))</f>
        <v>Pass</v>
      </c>
      <c r="AG2548" s="1" t="str">
        <f>IF(AND(Table1[[#This Row],[Spec Type2]]="N/A",Table1[[#This Row],[DUT Adj Read]]="N/A",Table1[[#This Row],[Std Adj Read]]="N/A"),"N/A",IF(Table1[[#This Row],[DUT Adj Read]]="N/A",IF(Table1[[#This Row],[Std Adj Read]]&lt;=Table1[[#This Row],[High Tol]],"Pass","Fail"),IF(Table1[[#This Row],[DUT Adj Read]]&lt;=Table1[[#This Row],[High Tol]],"Pass","Fail")))</f>
        <v>Fail</v>
      </c>
      <c r="AH25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8" s="1" t="b">
        <v>0</v>
      </c>
      <c r="AN2548" s="1" t="b">
        <v>0</v>
      </c>
      <c r="AO2548" s="1" t="b">
        <v>0</v>
      </c>
    </row>
    <row r="2549" spans="1:41" x14ac:dyDescent="0.25">
      <c r="A2549" s="10"/>
      <c r="B2549" s="10"/>
      <c r="C2549" s="10"/>
      <c r="D2549" s="10"/>
      <c r="E2549" s="10"/>
      <c r="F2549" s="10"/>
      <c r="G2549" s="10"/>
      <c r="H2549" s="10"/>
      <c r="I2549" s="1" t="str">
        <f t="shared" si="117"/>
        <v/>
      </c>
      <c r="J2549" s="1" t="s">
        <v>35</v>
      </c>
      <c r="K2549" s="1" t="str">
        <f t="shared" si="118"/>
        <v/>
      </c>
      <c r="L2549" s="1" t="str">
        <f t="shared" si="119"/>
        <v/>
      </c>
      <c r="M2549" s="1">
        <f>IF(OR(Table1[[#This Row],[Std Nom]]="",Table1[[#This Row],[Std Read]]=""),0,Table1[[#This Row],[Std Nom]]-Table1[[#This Row],[Std Read]])</f>
        <v>0</v>
      </c>
      <c r="N2549" s="1">
        <f>IF(Calculations!$F$5="ACCREDITED 17025 WITH UNCERTAINTIES",$N$10,0)</f>
        <v>0</v>
      </c>
      <c r="Q2549" s="1">
        <f>Table1[[#This Row],[High Tol]]-Table1[[#This Row],[Low Tol]]</f>
        <v>0</v>
      </c>
      <c r="R2549" s="1">
        <f>2*Table1[[#This Row],[Std Error]]</f>
        <v>0</v>
      </c>
      <c r="S2549" s="1" t="str">
        <f>IF(Table1[[#This Row],[High Tol]]="","N/A",IFERROR(ABS(Table1[[#This Row],[Tol Span]]/Table1[[#This Row],[Error Span]]),"N/A"))</f>
        <v>N/A</v>
      </c>
      <c r="T2549" s="1" t="str">
        <f>IF(OR(Table1[[#This Row],[Low Tol]]="",Table1[[#This Row],[High Tol]]=""),"Needs Analysis",IF(Table1[[#This Row],[Ratio]]&gt;=4,"Not Significant",IF(Table1[[#This Row],[Ratio]]&gt;=2,"Semi-Significant","Significant")))</f>
        <v>Needs Analysis</v>
      </c>
      <c r="W2549" s="1">
        <f>IF(Table1[[#This Row],[Cal Type]]&lt;&gt;"ACCREDITED 17025 WITH UNCERTAINTIES",0,"")</f>
        <v>0</v>
      </c>
      <c r="X2549" s="1" t="str">
        <f>IF(Table1[[#This Row],[DUT Read]]="","N/A",Table1[[#This Row],[Std Error]]+Table1[[#This Row],[DUT Read]]+Table1[[#This Row],[DUT Ucty]])</f>
        <v>N/A</v>
      </c>
      <c r="Y2549" s="1" t="str">
        <f>IF(Table1[[#This Row],[Std Read]]="","N/A",Table1[[#This Row],[Std Read]]+Table1[[#This Row],[Std Ucty]])</f>
        <v>N/A</v>
      </c>
      <c r="Z25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49" s="1" t="str">
        <f>IF(Table1[[#This Row],[Spec Type]]="","N/A",Table1[[#This Row],[Spec Type]])</f>
        <v>±</v>
      </c>
      <c r="AC2549" s="1" t="str">
        <f>IF(Table1[[#This Row],[Spec Type2]]="N/A","N/A",IF(AND(Table1[[#This Row],[DUT Adj Read]]&gt;=Table1[[#This Row],[Low Tol]],Table1[[#This Row],[DUT Adj Read]]&lt;=Table1[[#This Row],[High Tol]]),"Pass","Fail"))</f>
        <v>Fail</v>
      </c>
      <c r="AD2549" s="1" t="str">
        <f>IF(AND(Table1[[#This Row],[Spec Type2]]="N/A",Table1[[#This Row],[DUT Adj Read]]="N/A",Table1[[#This Row],[Std Adj Read]]="N/A"),"N/A",IF(Table1[[#This Row],[DUT Adj Read]]="N/A",IF(Table1[[#This Row],[Std Adj Read]]&gt;Table1[[#This Row],[Low Tol]],"Pass","Fail"),IF(Table1[[#This Row],[DUT Adj Read]]&gt;Table1[[#This Row],[Low Tol]],"Pass","Fail")))</f>
        <v>Pass</v>
      </c>
      <c r="AE2549" s="1" t="str">
        <f>IF(AND(Table1[[#This Row],[Spec Type2]]="N/A",Table1[[#This Row],[DUT Adj Read]]="N/A",Table1[[#This Row],[Std Adj Read]]="N/A"),"N/A",IF(Table1[[#This Row],[DUT Adj Read]]="N/A",IF(Table1[[#This Row],[Std Adj Read]]&lt;Table1[[#This Row],[High Tol]],"Pass","Fail"),IF(Table1[[#This Row],[DUT Adj Read]]&lt;Table1[[#This Row],[High Tol]],"Pass","Fail")))</f>
        <v>Fail</v>
      </c>
      <c r="AF2549" s="1" t="str">
        <f>IF(AND(Table1[[#This Row],[Spec Type2]]="N/A",Table1[[#This Row],[DUT Adj Read]]="N/A",Table1[[#This Row],[Std Adj Read]]="N/A"),"N/A",IF(Table1[[#This Row],[DUT Adj Read]]="N/A",IF(Table1[[#This Row],[Std Adj Read]]&gt;=Table1[[#This Row],[Low Tol]],"Pass","Fail"),IF(Table1[[#This Row],[DUT Adj Read]]&gt;=Table1[[#This Row],[Low Tol]],"Pass","Fail")))</f>
        <v>Pass</v>
      </c>
      <c r="AG2549" s="1" t="str">
        <f>IF(AND(Table1[[#This Row],[Spec Type2]]="N/A",Table1[[#This Row],[DUT Adj Read]]="N/A",Table1[[#This Row],[Std Adj Read]]="N/A"),"N/A",IF(Table1[[#This Row],[DUT Adj Read]]="N/A",IF(Table1[[#This Row],[Std Adj Read]]&lt;=Table1[[#This Row],[High Tol]],"Pass","Fail"),IF(Table1[[#This Row],[DUT Adj Read]]&lt;=Table1[[#This Row],[High Tol]],"Pass","Fail")))</f>
        <v>Fail</v>
      </c>
      <c r="AH25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49" s="1" t="b">
        <v>0</v>
      </c>
      <c r="AN2549" s="1" t="b">
        <v>0</v>
      </c>
      <c r="AO2549" s="1" t="b">
        <v>0</v>
      </c>
    </row>
    <row r="2550" spans="1:41" x14ac:dyDescent="0.25">
      <c r="A2550" s="10"/>
      <c r="B2550" s="10"/>
      <c r="C2550" s="10"/>
      <c r="D2550" s="10"/>
      <c r="E2550" s="10"/>
      <c r="F2550" s="10"/>
      <c r="G2550" s="10"/>
      <c r="H2550" s="10"/>
      <c r="I2550" s="1" t="str">
        <f t="shared" si="117"/>
        <v/>
      </c>
      <c r="J2550" s="1" t="s">
        <v>35</v>
      </c>
      <c r="K2550" s="1" t="str">
        <f t="shared" si="118"/>
        <v/>
      </c>
      <c r="L2550" s="1" t="str">
        <f t="shared" si="119"/>
        <v/>
      </c>
      <c r="M2550" s="1">
        <f>IF(OR(Table1[[#This Row],[Std Nom]]="",Table1[[#This Row],[Std Read]]=""),0,Table1[[#This Row],[Std Nom]]-Table1[[#This Row],[Std Read]])</f>
        <v>0</v>
      </c>
      <c r="N2550" s="1">
        <f>IF(Calculations!$F$5="ACCREDITED 17025 WITH UNCERTAINTIES",$N$10,0)</f>
        <v>0</v>
      </c>
      <c r="Q2550" s="1">
        <f>Table1[[#This Row],[High Tol]]-Table1[[#This Row],[Low Tol]]</f>
        <v>0</v>
      </c>
      <c r="R2550" s="1">
        <f>2*Table1[[#This Row],[Std Error]]</f>
        <v>0</v>
      </c>
      <c r="S2550" s="1" t="str">
        <f>IF(Table1[[#This Row],[High Tol]]="","N/A",IFERROR(ABS(Table1[[#This Row],[Tol Span]]/Table1[[#This Row],[Error Span]]),"N/A"))</f>
        <v>N/A</v>
      </c>
      <c r="T2550" s="1" t="str">
        <f>IF(OR(Table1[[#This Row],[Low Tol]]="",Table1[[#This Row],[High Tol]]=""),"Needs Analysis",IF(Table1[[#This Row],[Ratio]]&gt;=4,"Not Significant",IF(Table1[[#This Row],[Ratio]]&gt;=2,"Semi-Significant","Significant")))</f>
        <v>Needs Analysis</v>
      </c>
      <c r="W2550" s="1">
        <f>IF(Table1[[#This Row],[Cal Type]]&lt;&gt;"ACCREDITED 17025 WITH UNCERTAINTIES",0,"")</f>
        <v>0</v>
      </c>
      <c r="X2550" s="1" t="str">
        <f>IF(Table1[[#This Row],[DUT Read]]="","N/A",Table1[[#This Row],[Std Error]]+Table1[[#This Row],[DUT Read]]+Table1[[#This Row],[DUT Ucty]])</f>
        <v>N/A</v>
      </c>
      <c r="Y2550" s="1" t="str">
        <f>IF(Table1[[#This Row],[Std Read]]="","N/A",Table1[[#This Row],[Std Read]]+Table1[[#This Row],[Std Ucty]])</f>
        <v>N/A</v>
      </c>
      <c r="Z25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0" s="1" t="str">
        <f>IF(Table1[[#This Row],[Spec Type]]="","N/A",Table1[[#This Row],[Spec Type]])</f>
        <v>±</v>
      </c>
      <c r="AC2550" s="1" t="str">
        <f>IF(Table1[[#This Row],[Spec Type2]]="N/A","N/A",IF(AND(Table1[[#This Row],[DUT Adj Read]]&gt;=Table1[[#This Row],[Low Tol]],Table1[[#This Row],[DUT Adj Read]]&lt;=Table1[[#This Row],[High Tol]]),"Pass","Fail"))</f>
        <v>Fail</v>
      </c>
      <c r="AD2550" s="1" t="str">
        <f>IF(AND(Table1[[#This Row],[Spec Type2]]="N/A",Table1[[#This Row],[DUT Adj Read]]="N/A",Table1[[#This Row],[Std Adj Read]]="N/A"),"N/A",IF(Table1[[#This Row],[DUT Adj Read]]="N/A",IF(Table1[[#This Row],[Std Adj Read]]&gt;Table1[[#This Row],[Low Tol]],"Pass","Fail"),IF(Table1[[#This Row],[DUT Adj Read]]&gt;Table1[[#This Row],[Low Tol]],"Pass","Fail")))</f>
        <v>Pass</v>
      </c>
      <c r="AE2550" s="1" t="str">
        <f>IF(AND(Table1[[#This Row],[Spec Type2]]="N/A",Table1[[#This Row],[DUT Adj Read]]="N/A",Table1[[#This Row],[Std Adj Read]]="N/A"),"N/A",IF(Table1[[#This Row],[DUT Adj Read]]="N/A",IF(Table1[[#This Row],[Std Adj Read]]&lt;Table1[[#This Row],[High Tol]],"Pass","Fail"),IF(Table1[[#This Row],[DUT Adj Read]]&lt;Table1[[#This Row],[High Tol]],"Pass","Fail")))</f>
        <v>Fail</v>
      </c>
      <c r="AF2550" s="1" t="str">
        <f>IF(AND(Table1[[#This Row],[Spec Type2]]="N/A",Table1[[#This Row],[DUT Adj Read]]="N/A",Table1[[#This Row],[Std Adj Read]]="N/A"),"N/A",IF(Table1[[#This Row],[DUT Adj Read]]="N/A",IF(Table1[[#This Row],[Std Adj Read]]&gt;=Table1[[#This Row],[Low Tol]],"Pass","Fail"),IF(Table1[[#This Row],[DUT Adj Read]]&gt;=Table1[[#This Row],[Low Tol]],"Pass","Fail")))</f>
        <v>Pass</v>
      </c>
      <c r="AG2550" s="1" t="str">
        <f>IF(AND(Table1[[#This Row],[Spec Type2]]="N/A",Table1[[#This Row],[DUT Adj Read]]="N/A",Table1[[#This Row],[Std Adj Read]]="N/A"),"N/A",IF(Table1[[#This Row],[DUT Adj Read]]="N/A",IF(Table1[[#This Row],[Std Adj Read]]&lt;=Table1[[#This Row],[High Tol]],"Pass","Fail"),IF(Table1[[#This Row],[DUT Adj Read]]&lt;=Table1[[#This Row],[High Tol]],"Pass","Fail")))</f>
        <v>Fail</v>
      </c>
      <c r="AH25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0" s="1" t="b">
        <v>0</v>
      </c>
      <c r="AN2550" s="1" t="b">
        <v>0</v>
      </c>
      <c r="AO2550" s="1" t="b">
        <v>0</v>
      </c>
    </row>
    <row r="2551" spans="1:41" x14ac:dyDescent="0.25">
      <c r="A2551" s="10"/>
      <c r="B2551" s="10"/>
      <c r="C2551" s="10"/>
      <c r="D2551" s="10"/>
      <c r="E2551" s="10"/>
      <c r="F2551" s="10"/>
      <c r="G2551" s="10"/>
      <c r="H2551" s="10"/>
      <c r="I2551" s="1" t="str">
        <f t="shared" si="117"/>
        <v/>
      </c>
      <c r="J2551" s="1" t="s">
        <v>35</v>
      </c>
      <c r="K2551" s="1" t="str">
        <f t="shared" si="118"/>
        <v/>
      </c>
      <c r="L2551" s="1" t="str">
        <f t="shared" si="119"/>
        <v/>
      </c>
      <c r="M2551" s="1">
        <f>IF(OR(Table1[[#This Row],[Std Nom]]="",Table1[[#This Row],[Std Read]]=""),0,Table1[[#This Row],[Std Nom]]-Table1[[#This Row],[Std Read]])</f>
        <v>0</v>
      </c>
      <c r="N2551" s="1">
        <f>IF(Calculations!$F$5="ACCREDITED 17025 WITH UNCERTAINTIES",$N$10,0)</f>
        <v>0</v>
      </c>
      <c r="Q2551" s="1">
        <f>Table1[[#This Row],[High Tol]]-Table1[[#This Row],[Low Tol]]</f>
        <v>0</v>
      </c>
      <c r="R2551" s="1">
        <f>2*Table1[[#This Row],[Std Error]]</f>
        <v>0</v>
      </c>
      <c r="S2551" s="1" t="str">
        <f>IF(Table1[[#This Row],[High Tol]]="","N/A",IFERROR(ABS(Table1[[#This Row],[Tol Span]]/Table1[[#This Row],[Error Span]]),"N/A"))</f>
        <v>N/A</v>
      </c>
      <c r="T2551" s="1" t="str">
        <f>IF(OR(Table1[[#This Row],[Low Tol]]="",Table1[[#This Row],[High Tol]]=""),"Needs Analysis",IF(Table1[[#This Row],[Ratio]]&gt;=4,"Not Significant",IF(Table1[[#This Row],[Ratio]]&gt;=2,"Semi-Significant","Significant")))</f>
        <v>Needs Analysis</v>
      </c>
      <c r="W2551" s="1">
        <f>IF(Table1[[#This Row],[Cal Type]]&lt;&gt;"ACCREDITED 17025 WITH UNCERTAINTIES",0,"")</f>
        <v>0</v>
      </c>
      <c r="X2551" s="1" t="str">
        <f>IF(Table1[[#This Row],[DUT Read]]="","N/A",Table1[[#This Row],[Std Error]]+Table1[[#This Row],[DUT Read]]+Table1[[#This Row],[DUT Ucty]])</f>
        <v>N/A</v>
      </c>
      <c r="Y2551" s="1" t="str">
        <f>IF(Table1[[#This Row],[Std Read]]="","N/A",Table1[[#This Row],[Std Read]]+Table1[[#This Row],[Std Ucty]])</f>
        <v>N/A</v>
      </c>
      <c r="Z25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1" s="1" t="str">
        <f>IF(Table1[[#This Row],[Spec Type]]="","N/A",Table1[[#This Row],[Spec Type]])</f>
        <v>±</v>
      </c>
      <c r="AC2551" s="1" t="str">
        <f>IF(Table1[[#This Row],[Spec Type2]]="N/A","N/A",IF(AND(Table1[[#This Row],[DUT Adj Read]]&gt;=Table1[[#This Row],[Low Tol]],Table1[[#This Row],[DUT Adj Read]]&lt;=Table1[[#This Row],[High Tol]]),"Pass","Fail"))</f>
        <v>Fail</v>
      </c>
      <c r="AD2551" s="1" t="str">
        <f>IF(AND(Table1[[#This Row],[Spec Type2]]="N/A",Table1[[#This Row],[DUT Adj Read]]="N/A",Table1[[#This Row],[Std Adj Read]]="N/A"),"N/A",IF(Table1[[#This Row],[DUT Adj Read]]="N/A",IF(Table1[[#This Row],[Std Adj Read]]&gt;Table1[[#This Row],[Low Tol]],"Pass","Fail"),IF(Table1[[#This Row],[DUT Adj Read]]&gt;Table1[[#This Row],[Low Tol]],"Pass","Fail")))</f>
        <v>Pass</v>
      </c>
      <c r="AE2551" s="1" t="str">
        <f>IF(AND(Table1[[#This Row],[Spec Type2]]="N/A",Table1[[#This Row],[DUT Adj Read]]="N/A",Table1[[#This Row],[Std Adj Read]]="N/A"),"N/A",IF(Table1[[#This Row],[DUT Adj Read]]="N/A",IF(Table1[[#This Row],[Std Adj Read]]&lt;Table1[[#This Row],[High Tol]],"Pass","Fail"),IF(Table1[[#This Row],[DUT Adj Read]]&lt;Table1[[#This Row],[High Tol]],"Pass","Fail")))</f>
        <v>Fail</v>
      </c>
      <c r="AF2551" s="1" t="str">
        <f>IF(AND(Table1[[#This Row],[Spec Type2]]="N/A",Table1[[#This Row],[DUT Adj Read]]="N/A",Table1[[#This Row],[Std Adj Read]]="N/A"),"N/A",IF(Table1[[#This Row],[DUT Adj Read]]="N/A",IF(Table1[[#This Row],[Std Adj Read]]&gt;=Table1[[#This Row],[Low Tol]],"Pass","Fail"),IF(Table1[[#This Row],[DUT Adj Read]]&gt;=Table1[[#This Row],[Low Tol]],"Pass","Fail")))</f>
        <v>Pass</v>
      </c>
      <c r="AG2551" s="1" t="str">
        <f>IF(AND(Table1[[#This Row],[Spec Type2]]="N/A",Table1[[#This Row],[DUT Adj Read]]="N/A",Table1[[#This Row],[Std Adj Read]]="N/A"),"N/A",IF(Table1[[#This Row],[DUT Adj Read]]="N/A",IF(Table1[[#This Row],[Std Adj Read]]&lt;=Table1[[#This Row],[High Tol]],"Pass","Fail"),IF(Table1[[#This Row],[DUT Adj Read]]&lt;=Table1[[#This Row],[High Tol]],"Pass","Fail")))</f>
        <v>Fail</v>
      </c>
      <c r="AH25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1" s="1" t="b">
        <v>0</v>
      </c>
      <c r="AN2551" s="1" t="b">
        <v>0</v>
      </c>
      <c r="AO2551" s="1" t="b">
        <v>0</v>
      </c>
    </row>
    <row r="2552" spans="1:41" x14ac:dyDescent="0.25">
      <c r="A2552" s="10"/>
      <c r="B2552" s="10"/>
      <c r="C2552" s="10"/>
      <c r="D2552" s="10"/>
      <c r="E2552" s="10"/>
      <c r="F2552" s="10"/>
      <c r="G2552" s="10"/>
      <c r="H2552" s="10"/>
      <c r="I2552" s="1" t="str">
        <f t="shared" si="117"/>
        <v/>
      </c>
      <c r="J2552" s="1" t="s">
        <v>35</v>
      </c>
      <c r="K2552" s="1" t="str">
        <f t="shared" si="118"/>
        <v/>
      </c>
      <c r="L2552" s="1" t="str">
        <f t="shared" si="119"/>
        <v/>
      </c>
      <c r="M2552" s="1">
        <f>IF(OR(Table1[[#This Row],[Std Nom]]="",Table1[[#This Row],[Std Read]]=""),0,Table1[[#This Row],[Std Nom]]-Table1[[#This Row],[Std Read]])</f>
        <v>0</v>
      </c>
      <c r="N2552" s="1">
        <f>IF(Calculations!$F$5="ACCREDITED 17025 WITH UNCERTAINTIES",$N$10,0)</f>
        <v>0</v>
      </c>
      <c r="Q2552" s="1">
        <f>Table1[[#This Row],[High Tol]]-Table1[[#This Row],[Low Tol]]</f>
        <v>0</v>
      </c>
      <c r="R2552" s="1">
        <f>2*Table1[[#This Row],[Std Error]]</f>
        <v>0</v>
      </c>
      <c r="S2552" s="1" t="str">
        <f>IF(Table1[[#This Row],[High Tol]]="","N/A",IFERROR(ABS(Table1[[#This Row],[Tol Span]]/Table1[[#This Row],[Error Span]]),"N/A"))</f>
        <v>N/A</v>
      </c>
      <c r="T2552" s="1" t="str">
        <f>IF(OR(Table1[[#This Row],[Low Tol]]="",Table1[[#This Row],[High Tol]]=""),"Needs Analysis",IF(Table1[[#This Row],[Ratio]]&gt;=4,"Not Significant",IF(Table1[[#This Row],[Ratio]]&gt;=2,"Semi-Significant","Significant")))</f>
        <v>Needs Analysis</v>
      </c>
      <c r="W2552" s="1">
        <f>IF(Table1[[#This Row],[Cal Type]]&lt;&gt;"ACCREDITED 17025 WITH UNCERTAINTIES",0,"")</f>
        <v>0</v>
      </c>
      <c r="X2552" s="1" t="str">
        <f>IF(Table1[[#This Row],[DUT Read]]="","N/A",Table1[[#This Row],[Std Error]]+Table1[[#This Row],[DUT Read]]+Table1[[#This Row],[DUT Ucty]])</f>
        <v>N/A</v>
      </c>
      <c r="Y2552" s="1" t="str">
        <f>IF(Table1[[#This Row],[Std Read]]="","N/A",Table1[[#This Row],[Std Read]]+Table1[[#This Row],[Std Ucty]])</f>
        <v>N/A</v>
      </c>
      <c r="Z25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2" s="1" t="str">
        <f>IF(Table1[[#This Row],[Spec Type]]="","N/A",Table1[[#This Row],[Spec Type]])</f>
        <v>±</v>
      </c>
      <c r="AC2552" s="1" t="str">
        <f>IF(Table1[[#This Row],[Spec Type2]]="N/A","N/A",IF(AND(Table1[[#This Row],[DUT Adj Read]]&gt;=Table1[[#This Row],[Low Tol]],Table1[[#This Row],[DUT Adj Read]]&lt;=Table1[[#This Row],[High Tol]]),"Pass","Fail"))</f>
        <v>Fail</v>
      </c>
      <c r="AD2552" s="1" t="str">
        <f>IF(AND(Table1[[#This Row],[Spec Type2]]="N/A",Table1[[#This Row],[DUT Adj Read]]="N/A",Table1[[#This Row],[Std Adj Read]]="N/A"),"N/A",IF(Table1[[#This Row],[DUT Adj Read]]="N/A",IF(Table1[[#This Row],[Std Adj Read]]&gt;Table1[[#This Row],[Low Tol]],"Pass","Fail"),IF(Table1[[#This Row],[DUT Adj Read]]&gt;Table1[[#This Row],[Low Tol]],"Pass","Fail")))</f>
        <v>Pass</v>
      </c>
      <c r="AE2552" s="1" t="str">
        <f>IF(AND(Table1[[#This Row],[Spec Type2]]="N/A",Table1[[#This Row],[DUT Adj Read]]="N/A",Table1[[#This Row],[Std Adj Read]]="N/A"),"N/A",IF(Table1[[#This Row],[DUT Adj Read]]="N/A",IF(Table1[[#This Row],[Std Adj Read]]&lt;Table1[[#This Row],[High Tol]],"Pass","Fail"),IF(Table1[[#This Row],[DUT Adj Read]]&lt;Table1[[#This Row],[High Tol]],"Pass","Fail")))</f>
        <v>Fail</v>
      </c>
      <c r="AF2552" s="1" t="str">
        <f>IF(AND(Table1[[#This Row],[Spec Type2]]="N/A",Table1[[#This Row],[DUT Adj Read]]="N/A",Table1[[#This Row],[Std Adj Read]]="N/A"),"N/A",IF(Table1[[#This Row],[DUT Adj Read]]="N/A",IF(Table1[[#This Row],[Std Adj Read]]&gt;=Table1[[#This Row],[Low Tol]],"Pass","Fail"),IF(Table1[[#This Row],[DUT Adj Read]]&gt;=Table1[[#This Row],[Low Tol]],"Pass","Fail")))</f>
        <v>Pass</v>
      </c>
      <c r="AG2552" s="1" t="str">
        <f>IF(AND(Table1[[#This Row],[Spec Type2]]="N/A",Table1[[#This Row],[DUT Adj Read]]="N/A",Table1[[#This Row],[Std Adj Read]]="N/A"),"N/A",IF(Table1[[#This Row],[DUT Adj Read]]="N/A",IF(Table1[[#This Row],[Std Adj Read]]&lt;=Table1[[#This Row],[High Tol]],"Pass","Fail"),IF(Table1[[#This Row],[DUT Adj Read]]&lt;=Table1[[#This Row],[High Tol]],"Pass","Fail")))</f>
        <v>Fail</v>
      </c>
      <c r="AH25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2" s="1" t="b">
        <v>0</v>
      </c>
      <c r="AN2552" s="1" t="b">
        <v>0</v>
      </c>
      <c r="AO2552" s="1" t="b">
        <v>0</v>
      </c>
    </row>
    <row r="2553" spans="1:41" x14ac:dyDescent="0.25">
      <c r="A2553" s="10"/>
      <c r="B2553" s="10"/>
      <c r="C2553" s="10"/>
      <c r="D2553" s="10"/>
      <c r="E2553" s="10"/>
      <c r="F2553" s="10"/>
      <c r="G2553" s="10"/>
      <c r="H2553" s="10"/>
      <c r="I2553" s="1" t="str">
        <f t="shared" si="117"/>
        <v/>
      </c>
      <c r="J2553" s="1" t="s">
        <v>35</v>
      </c>
      <c r="K2553" s="1" t="str">
        <f t="shared" si="118"/>
        <v/>
      </c>
      <c r="L2553" s="1" t="str">
        <f t="shared" si="119"/>
        <v/>
      </c>
      <c r="M2553" s="1">
        <f>IF(OR(Table1[[#This Row],[Std Nom]]="",Table1[[#This Row],[Std Read]]=""),0,Table1[[#This Row],[Std Nom]]-Table1[[#This Row],[Std Read]])</f>
        <v>0</v>
      </c>
      <c r="N2553" s="1">
        <f>IF(Calculations!$F$5="ACCREDITED 17025 WITH UNCERTAINTIES",$N$10,0)</f>
        <v>0</v>
      </c>
      <c r="Q2553" s="1">
        <f>Table1[[#This Row],[High Tol]]-Table1[[#This Row],[Low Tol]]</f>
        <v>0</v>
      </c>
      <c r="R2553" s="1">
        <f>2*Table1[[#This Row],[Std Error]]</f>
        <v>0</v>
      </c>
      <c r="S2553" s="1" t="str">
        <f>IF(Table1[[#This Row],[High Tol]]="","N/A",IFERROR(ABS(Table1[[#This Row],[Tol Span]]/Table1[[#This Row],[Error Span]]),"N/A"))</f>
        <v>N/A</v>
      </c>
      <c r="T2553" s="1" t="str">
        <f>IF(OR(Table1[[#This Row],[Low Tol]]="",Table1[[#This Row],[High Tol]]=""),"Needs Analysis",IF(Table1[[#This Row],[Ratio]]&gt;=4,"Not Significant",IF(Table1[[#This Row],[Ratio]]&gt;=2,"Semi-Significant","Significant")))</f>
        <v>Needs Analysis</v>
      </c>
      <c r="W2553" s="1">
        <f>IF(Table1[[#This Row],[Cal Type]]&lt;&gt;"ACCREDITED 17025 WITH UNCERTAINTIES",0,"")</f>
        <v>0</v>
      </c>
      <c r="X2553" s="1" t="str">
        <f>IF(Table1[[#This Row],[DUT Read]]="","N/A",Table1[[#This Row],[Std Error]]+Table1[[#This Row],[DUT Read]]+Table1[[#This Row],[DUT Ucty]])</f>
        <v>N/A</v>
      </c>
      <c r="Y2553" s="1" t="str">
        <f>IF(Table1[[#This Row],[Std Read]]="","N/A",Table1[[#This Row],[Std Read]]+Table1[[#This Row],[Std Ucty]])</f>
        <v>N/A</v>
      </c>
      <c r="Z25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3" s="1" t="str">
        <f>IF(Table1[[#This Row],[Spec Type]]="","N/A",Table1[[#This Row],[Spec Type]])</f>
        <v>±</v>
      </c>
      <c r="AC2553" s="1" t="str">
        <f>IF(Table1[[#This Row],[Spec Type2]]="N/A","N/A",IF(AND(Table1[[#This Row],[DUT Adj Read]]&gt;=Table1[[#This Row],[Low Tol]],Table1[[#This Row],[DUT Adj Read]]&lt;=Table1[[#This Row],[High Tol]]),"Pass","Fail"))</f>
        <v>Fail</v>
      </c>
      <c r="AD2553" s="1" t="str">
        <f>IF(AND(Table1[[#This Row],[Spec Type2]]="N/A",Table1[[#This Row],[DUT Adj Read]]="N/A",Table1[[#This Row],[Std Adj Read]]="N/A"),"N/A",IF(Table1[[#This Row],[DUT Adj Read]]="N/A",IF(Table1[[#This Row],[Std Adj Read]]&gt;Table1[[#This Row],[Low Tol]],"Pass","Fail"),IF(Table1[[#This Row],[DUT Adj Read]]&gt;Table1[[#This Row],[Low Tol]],"Pass","Fail")))</f>
        <v>Pass</v>
      </c>
      <c r="AE2553" s="1" t="str">
        <f>IF(AND(Table1[[#This Row],[Spec Type2]]="N/A",Table1[[#This Row],[DUT Adj Read]]="N/A",Table1[[#This Row],[Std Adj Read]]="N/A"),"N/A",IF(Table1[[#This Row],[DUT Adj Read]]="N/A",IF(Table1[[#This Row],[Std Adj Read]]&lt;Table1[[#This Row],[High Tol]],"Pass","Fail"),IF(Table1[[#This Row],[DUT Adj Read]]&lt;Table1[[#This Row],[High Tol]],"Pass","Fail")))</f>
        <v>Fail</v>
      </c>
      <c r="AF2553" s="1" t="str">
        <f>IF(AND(Table1[[#This Row],[Spec Type2]]="N/A",Table1[[#This Row],[DUT Adj Read]]="N/A",Table1[[#This Row],[Std Adj Read]]="N/A"),"N/A",IF(Table1[[#This Row],[DUT Adj Read]]="N/A",IF(Table1[[#This Row],[Std Adj Read]]&gt;=Table1[[#This Row],[Low Tol]],"Pass","Fail"),IF(Table1[[#This Row],[DUT Adj Read]]&gt;=Table1[[#This Row],[Low Tol]],"Pass","Fail")))</f>
        <v>Pass</v>
      </c>
      <c r="AG2553" s="1" t="str">
        <f>IF(AND(Table1[[#This Row],[Spec Type2]]="N/A",Table1[[#This Row],[DUT Adj Read]]="N/A",Table1[[#This Row],[Std Adj Read]]="N/A"),"N/A",IF(Table1[[#This Row],[DUT Adj Read]]="N/A",IF(Table1[[#This Row],[Std Adj Read]]&lt;=Table1[[#This Row],[High Tol]],"Pass","Fail"),IF(Table1[[#This Row],[DUT Adj Read]]&lt;=Table1[[#This Row],[High Tol]],"Pass","Fail")))</f>
        <v>Fail</v>
      </c>
      <c r="AH25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3" s="1" t="b">
        <v>0</v>
      </c>
      <c r="AN2553" s="1" t="b">
        <v>0</v>
      </c>
      <c r="AO2553" s="1" t="b">
        <v>0</v>
      </c>
    </row>
    <row r="2554" spans="1:41" x14ac:dyDescent="0.25">
      <c r="A2554" s="10"/>
      <c r="B2554" s="10"/>
      <c r="C2554" s="10"/>
      <c r="D2554" s="10"/>
      <c r="E2554" s="10"/>
      <c r="F2554" s="10"/>
      <c r="G2554" s="10"/>
      <c r="H2554" s="10"/>
      <c r="I2554" s="1" t="str">
        <f t="shared" si="117"/>
        <v/>
      </c>
      <c r="J2554" s="1" t="s">
        <v>35</v>
      </c>
      <c r="K2554" s="1" t="str">
        <f t="shared" si="118"/>
        <v/>
      </c>
      <c r="L2554" s="1" t="str">
        <f t="shared" si="119"/>
        <v/>
      </c>
      <c r="M2554" s="1">
        <f>IF(OR(Table1[[#This Row],[Std Nom]]="",Table1[[#This Row],[Std Read]]=""),0,Table1[[#This Row],[Std Nom]]-Table1[[#This Row],[Std Read]])</f>
        <v>0</v>
      </c>
      <c r="N2554" s="1">
        <f>IF(Calculations!$F$5="ACCREDITED 17025 WITH UNCERTAINTIES",$N$10,0)</f>
        <v>0</v>
      </c>
      <c r="Q2554" s="1">
        <f>Table1[[#This Row],[High Tol]]-Table1[[#This Row],[Low Tol]]</f>
        <v>0</v>
      </c>
      <c r="R2554" s="1">
        <f>2*Table1[[#This Row],[Std Error]]</f>
        <v>0</v>
      </c>
      <c r="S2554" s="1" t="str">
        <f>IF(Table1[[#This Row],[High Tol]]="","N/A",IFERROR(ABS(Table1[[#This Row],[Tol Span]]/Table1[[#This Row],[Error Span]]),"N/A"))</f>
        <v>N/A</v>
      </c>
      <c r="T2554" s="1" t="str">
        <f>IF(OR(Table1[[#This Row],[Low Tol]]="",Table1[[#This Row],[High Tol]]=""),"Needs Analysis",IF(Table1[[#This Row],[Ratio]]&gt;=4,"Not Significant",IF(Table1[[#This Row],[Ratio]]&gt;=2,"Semi-Significant","Significant")))</f>
        <v>Needs Analysis</v>
      </c>
      <c r="W2554" s="1">
        <f>IF(Table1[[#This Row],[Cal Type]]&lt;&gt;"ACCREDITED 17025 WITH UNCERTAINTIES",0,"")</f>
        <v>0</v>
      </c>
      <c r="X2554" s="1" t="str">
        <f>IF(Table1[[#This Row],[DUT Read]]="","N/A",Table1[[#This Row],[Std Error]]+Table1[[#This Row],[DUT Read]]+Table1[[#This Row],[DUT Ucty]])</f>
        <v>N/A</v>
      </c>
      <c r="Y2554" s="1" t="str">
        <f>IF(Table1[[#This Row],[Std Read]]="","N/A",Table1[[#This Row],[Std Read]]+Table1[[#This Row],[Std Ucty]])</f>
        <v>N/A</v>
      </c>
      <c r="Z25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4" s="1" t="str">
        <f>IF(Table1[[#This Row],[Spec Type]]="","N/A",Table1[[#This Row],[Spec Type]])</f>
        <v>±</v>
      </c>
      <c r="AC2554" s="1" t="str">
        <f>IF(Table1[[#This Row],[Spec Type2]]="N/A","N/A",IF(AND(Table1[[#This Row],[DUT Adj Read]]&gt;=Table1[[#This Row],[Low Tol]],Table1[[#This Row],[DUT Adj Read]]&lt;=Table1[[#This Row],[High Tol]]),"Pass","Fail"))</f>
        <v>Fail</v>
      </c>
      <c r="AD2554" s="1" t="str">
        <f>IF(AND(Table1[[#This Row],[Spec Type2]]="N/A",Table1[[#This Row],[DUT Adj Read]]="N/A",Table1[[#This Row],[Std Adj Read]]="N/A"),"N/A",IF(Table1[[#This Row],[DUT Adj Read]]="N/A",IF(Table1[[#This Row],[Std Adj Read]]&gt;Table1[[#This Row],[Low Tol]],"Pass","Fail"),IF(Table1[[#This Row],[DUT Adj Read]]&gt;Table1[[#This Row],[Low Tol]],"Pass","Fail")))</f>
        <v>Pass</v>
      </c>
      <c r="AE2554" s="1" t="str">
        <f>IF(AND(Table1[[#This Row],[Spec Type2]]="N/A",Table1[[#This Row],[DUT Adj Read]]="N/A",Table1[[#This Row],[Std Adj Read]]="N/A"),"N/A",IF(Table1[[#This Row],[DUT Adj Read]]="N/A",IF(Table1[[#This Row],[Std Adj Read]]&lt;Table1[[#This Row],[High Tol]],"Pass","Fail"),IF(Table1[[#This Row],[DUT Adj Read]]&lt;Table1[[#This Row],[High Tol]],"Pass","Fail")))</f>
        <v>Fail</v>
      </c>
      <c r="AF2554" s="1" t="str">
        <f>IF(AND(Table1[[#This Row],[Spec Type2]]="N/A",Table1[[#This Row],[DUT Adj Read]]="N/A",Table1[[#This Row],[Std Adj Read]]="N/A"),"N/A",IF(Table1[[#This Row],[DUT Adj Read]]="N/A",IF(Table1[[#This Row],[Std Adj Read]]&gt;=Table1[[#This Row],[Low Tol]],"Pass","Fail"),IF(Table1[[#This Row],[DUT Adj Read]]&gt;=Table1[[#This Row],[Low Tol]],"Pass","Fail")))</f>
        <v>Pass</v>
      </c>
      <c r="AG2554" s="1" t="str">
        <f>IF(AND(Table1[[#This Row],[Spec Type2]]="N/A",Table1[[#This Row],[DUT Adj Read]]="N/A",Table1[[#This Row],[Std Adj Read]]="N/A"),"N/A",IF(Table1[[#This Row],[DUT Adj Read]]="N/A",IF(Table1[[#This Row],[Std Adj Read]]&lt;=Table1[[#This Row],[High Tol]],"Pass","Fail"),IF(Table1[[#This Row],[DUT Adj Read]]&lt;=Table1[[#This Row],[High Tol]],"Pass","Fail")))</f>
        <v>Fail</v>
      </c>
      <c r="AH25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4" s="1" t="b">
        <v>0</v>
      </c>
      <c r="AN2554" s="1" t="b">
        <v>0</v>
      </c>
      <c r="AO2554" s="1" t="b">
        <v>0</v>
      </c>
    </row>
    <row r="2555" spans="1:41" x14ac:dyDescent="0.25">
      <c r="A2555" s="10"/>
      <c r="B2555" s="10"/>
      <c r="C2555" s="10"/>
      <c r="D2555" s="10"/>
      <c r="E2555" s="10"/>
      <c r="F2555" s="10"/>
      <c r="G2555" s="10"/>
      <c r="H2555" s="10"/>
      <c r="I2555" s="1" t="str">
        <f t="shared" si="117"/>
        <v/>
      </c>
      <c r="J2555" s="1" t="s">
        <v>35</v>
      </c>
      <c r="K2555" s="1" t="str">
        <f t="shared" si="118"/>
        <v/>
      </c>
      <c r="L2555" s="1" t="str">
        <f t="shared" si="119"/>
        <v/>
      </c>
      <c r="M2555" s="1">
        <f>IF(OR(Table1[[#This Row],[Std Nom]]="",Table1[[#This Row],[Std Read]]=""),0,Table1[[#This Row],[Std Nom]]-Table1[[#This Row],[Std Read]])</f>
        <v>0</v>
      </c>
      <c r="N2555" s="1">
        <f>IF(Calculations!$F$5="ACCREDITED 17025 WITH UNCERTAINTIES",$N$10,0)</f>
        <v>0</v>
      </c>
      <c r="Q2555" s="1">
        <f>Table1[[#This Row],[High Tol]]-Table1[[#This Row],[Low Tol]]</f>
        <v>0</v>
      </c>
      <c r="R2555" s="1">
        <f>2*Table1[[#This Row],[Std Error]]</f>
        <v>0</v>
      </c>
      <c r="S2555" s="1" t="str">
        <f>IF(Table1[[#This Row],[High Tol]]="","N/A",IFERROR(ABS(Table1[[#This Row],[Tol Span]]/Table1[[#This Row],[Error Span]]),"N/A"))</f>
        <v>N/A</v>
      </c>
      <c r="T2555" s="1" t="str">
        <f>IF(OR(Table1[[#This Row],[Low Tol]]="",Table1[[#This Row],[High Tol]]=""),"Needs Analysis",IF(Table1[[#This Row],[Ratio]]&gt;=4,"Not Significant",IF(Table1[[#This Row],[Ratio]]&gt;=2,"Semi-Significant","Significant")))</f>
        <v>Needs Analysis</v>
      </c>
      <c r="W2555" s="1">
        <f>IF(Table1[[#This Row],[Cal Type]]&lt;&gt;"ACCREDITED 17025 WITH UNCERTAINTIES",0,"")</f>
        <v>0</v>
      </c>
      <c r="X2555" s="1" t="str">
        <f>IF(Table1[[#This Row],[DUT Read]]="","N/A",Table1[[#This Row],[Std Error]]+Table1[[#This Row],[DUT Read]]+Table1[[#This Row],[DUT Ucty]])</f>
        <v>N/A</v>
      </c>
      <c r="Y2555" s="1" t="str">
        <f>IF(Table1[[#This Row],[Std Read]]="","N/A",Table1[[#This Row],[Std Read]]+Table1[[#This Row],[Std Ucty]])</f>
        <v>N/A</v>
      </c>
      <c r="Z25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5" s="1" t="str">
        <f>IF(Table1[[#This Row],[Spec Type]]="","N/A",Table1[[#This Row],[Spec Type]])</f>
        <v>±</v>
      </c>
      <c r="AC2555" s="1" t="str">
        <f>IF(Table1[[#This Row],[Spec Type2]]="N/A","N/A",IF(AND(Table1[[#This Row],[DUT Adj Read]]&gt;=Table1[[#This Row],[Low Tol]],Table1[[#This Row],[DUT Adj Read]]&lt;=Table1[[#This Row],[High Tol]]),"Pass","Fail"))</f>
        <v>Fail</v>
      </c>
      <c r="AD2555" s="1" t="str">
        <f>IF(AND(Table1[[#This Row],[Spec Type2]]="N/A",Table1[[#This Row],[DUT Adj Read]]="N/A",Table1[[#This Row],[Std Adj Read]]="N/A"),"N/A",IF(Table1[[#This Row],[DUT Adj Read]]="N/A",IF(Table1[[#This Row],[Std Adj Read]]&gt;Table1[[#This Row],[Low Tol]],"Pass","Fail"),IF(Table1[[#This Row],[DUT Adj Read]]&gt;Table1[[#This Row],[Low Tol]],"Pass","Fail")))</f>
        <v>Pass</v>
      </c>
      <c r="AE2555" s="1" t="str">
        <f>IF(AND(Table1[[#This Row],[Spec Type2]]="N/A",Table1[[#This Row],[DUT Adj Read]]="N/A",Table1[[#This Row],[Std Adj Read]]="N/A"),"N/A",IF(Table1[[#This Row],[DUT Adj Read]]="N/A",IF(Table1[[#This Row],[Std Adj Read]]&lt;Table1[[#This Row],[High Tol]],"Pass","Fail"),IF(Table1[[#This Row],[DUT Adj Read]]&lt;Table1[[#This Row],[High Tol]],"Pass","Fail")))</f>
        <v>Fail</v>
      </c>
      <c r="AF2555" s="1" t="str">
        <f>IF(AND(Table1[[#This Row],[Spec Type2]]="N/A",Table1[[#This Row],[DUT Adj Read]]="N/A",Table1[[#This Row],[Std Adj Read]]="N/A"),"N/A",IF(Table1[[#This Row],[DUT Adj Read]]="N/A",IF(Table1[[#This Row],[Std Adj Read]]&gt;=Table1[[#This Row],[Low Tol]],"Pass","Fail"),IF(Table1[[#This Row],[DUT Adj Read]]&gt;=Table1[[#This Row],[Low Tol]],"Pass","Fail")))</f>
        <v>Pass</v>
      </c>
      <c r="AG2555" s="1" t="str">
        <f>IF(AND(Table1[[#This Row],[Spec Type2]]="N/A",Table1[[#This Row],[DUT Adj Read]]="N/A",Table1[[#This Row],[Std Adj Read]]="N/A"),"N/A",IF(Table1[[#This Row],[DUT Adj Read]]="N/A",IF(Table1[[#This Row],[Std Adj Read]]&lt;=Table1[[#This Row],[High Tol]],"Pass","Fail"),IF(Table1[[#This Row],[DUT Adj Read]]&lt;=Table1[[#This Row],[High Tol]],"Pass","Fail")))</f>
        <v>Fail</v>
      </c>
      <c r="AH25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5" s="1" t="b">
        <v>0</v>
      </c>
      <c r="AN2555" s="1" t="b">
        <v>0</v>
      </c>
      <c r="AO2555" s="1" t="b">
        <v>0</v>
      </c>
    </row>
    <row r="2556" spans="1:41" x14ac:dyDescent="0.25">
      <c r="A2556" s="10"/>
      <c r="B2556" s="10"/>
      <c r="C2556" s="10"/>
      <c r="D2556" s="10"/>
      <c r="E2556" s="10"/>
      <c r="F2556" s="10"/>
      <c r="G2556" s="10"/>
      <c r="H2556" s="10"/>
      <c r="I2556" s="1" t="str">
        <f t="shared" si="117"/>
        <v/>
      </c>
      <c r="J2556" s="1" t="s">
        <v>35</v>
      </c>
      <c r="K2556" s="1" t="str">
        <f t="shared" si="118"/>
        <v/>
      </c>
      <c r="L2556" s="1" t="str">
        <f t="shared" si="119"/>
        <v/>
      </c>
      <c r="M2556" s="1">
        <f>IF(OR(Table1[[#This Row],[Std Nom]]="",Table1[[#This Row],[Std Read]]=""),0,Table1[[#This Row],[Std Nom]]-Table1[[#This Row],[Std Read]])</f>
        <v>0</v>
      </c>
      <c r="N2556" s="1">
        <f>IF(Calculations!$F$5="ACCREDITED 17025 WITH UNCERTAINTIES",$N$10,0)</f>
        <v>0</v>
      </c>
      <c r="Q2556" s="1">
        <f>Table1[[#This Row],[High Tol]]-Table1[[#This Row],[Low Tol]]</f>
        <v>0</v>
      </c>
      <c r="R2556" s="1">
        <f>2*Table1[[#This Row],[Std Error]]</f>
        <v>0</v>
      </c>
      <c r="S2556" s="1" t="str">
        <f>IF(Table1[[#This Row],[High Tol]]="","N/A",IFERROR(ABS(Table1[[#This Row],[Tol Span]]/Table1[[#This Row],[Error Span]]),"N/A"))</f>
        <v>N/A</v>
      </c>
      <c r="T2556" s="1" t="str">
        <f>IF(OR(Table1[[#This Row],[Low Tol]]="",Table1[[#This Row],[High Tol]]=""),"Needs Analysis",IF(Table1[[#This Row],[Ratio]]&gt;=4,"Not Significant",IF(Table1[[#This Row],[Ratio]]&gt;=2,"Semi-Significant","Significant")))</f>
        <v>Needs Analysis</v>
      </c>
      <c r="W2556" s="1">
        <f>IF(Table1[[#This Row],[Cal Type]]&lt;&gt;"ACCREDITED 17025 WITH UNCERTAINTIES",0,"")</f>
        <v>0</v>
      </c>
      <c r="X2556" s="1" t="str">
        <f>IF(Table1[[#This Row],[DUT Read]]="","N/A",Table1[[#This Row],[Std Error]]+Table1[[#This Row],[DUT Read]]+Table1[[#This Row],[DUT Ucty]])</f>
        <v>N/A</v>
      </c>
      <c r="Y2556" s="1" t="str">
        <f>IF(Table1[[#This Row],[Std Read]]="","N/A",Table1[[#This Row],[Std Read]]+Table1[[#This Row],[Std Ucty]])</f>
        <v>N/A</v>
      </c>
      <c r="Z25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6" s="1" t="str">
        <f>IF(Table1[[#This Row],[Spec Type]]="","N/A",Table1[[#This Row],[Spec Type]])</f>
        <v>±</v>
      </c>
      <c r="AC2556" s="1" t="str">
        <f>IF(Table1[[#This Row],[Spec Type2]]="N/A","N/A",IF(AND(Table1[[#This Row],[DUT Adj Read]]&gt;=Table1[[#This Row],[Low Tol]],Table1[[#This Row],[DUT Adj Read]]&lt;=Table1[[#This Row],[High Tol]]),"Pass","Fail"))</f>
        <v>Fail</v>
      </c>
      <c r="AD2556" s="1" t="str">
        <f>IF(AND(Table1[[#This Row],[Spec Type2]]="N/A",Table1[[#This Row],[DUT Adj Read]]="N/A",Table1[[#This Row],[Std Adj Read]]="N/A"),"N/A",IF(Table1[[#This Row],[DUT Adj Read]]="N/A",IF(Table1[[#This Row],[Std Adj Read]]&gt;Table1[[#This Row],[Low Tol]],"Pass","Fail"),IF(Table1[[#This Row],[DUT Adj Read]]&gt;Table1[[#This Row],[Low Tol]],"Pass","Fail")))</f>
        <v>Pass</v>
      </c>
      <c r="AE2556" s="1" t="str">
        <f>IF(AND(Table1[[#This Row],[Spec Type2]]="N/A",Table1[[#This Row],[DUT Adj Read]]="N/A",Table1[[#This Row],[Std Adj Read]]="N/A"),"N/A",IF(Table1[[#This Row],[DUT Adj Read]]="N/A",IF(Table1[[#This Row],[Std Adj Read]]&lt;Table1[[#This Row],[High Tol]],"Pass","Fail"),IF(Table1[[#This Row],[DUT Adj Read]]&lt;Table1[[#This Row],[High Tol]],"Pass","Fail")))</f>
        <v>Fail</v>
      </c>
      <c r="AF2556" s="1" t="str">
        <f>IF(AND(Table1[[#This Row],[Spec Type2]]="N/A",Table1[[#This Row],[DUT Adj Read]]="N/A",Table1[[#This Row],[Std Adj Read]]="N/A"),"N/A",IF(Table1[[#This Row],[DUT Adj Read]]="N/A",IF(Table1[[#This Row],[Std Adj Read]]&gt;=Table1[[#This Row],[Low Tol]],"Pass","Fail"),IF(Table1[[#This Row],[DUT Adj Read]]&gt;=Table1[[#This Row],[Low Tol]],"Pass","Fail")))</f>
        <v>Pass</v>
      </c>
      <c r="AG2556" s="1" t="str">
        <f>IF(AND(Table1[[#This Row],[Spec Type2]]="N/A",Table1[[#This Row],[DUT Adj Read]]="N/A",Table1[[#This Row],[Std Adj Read]]="N/A"),"N/A",IF(Table1[[#This Row],[DUT Adj Read]]="N/A",IF(Table1[[#This Row],[Std Adj Read]]&lt;=Table1[[#This Row],[High Tol]],"Pass","Fail"),IF(Table1[[#This Row],[DUT Adj Read]]&lt;=Table1[[#This Row],[High Tol]],"Pass","Fail")))</f>
        <v>Fail</v>
      </c>
      <c r="AH25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6" s="1" t="b">
        <v>0</v>
      </c>
      <c r="AN2556" s="1" t="b">
        <v>0</v>
      </c>
      <c r="AO2556" s="1" t="b">
        <v>0</v>
      </c>
    </row>
    <row r="2557" spans="1:41" x14ac:dyDescent="0.25">
      <c r="A2557" s="10"/>
      <c r="B2557" s="10"/>
      <c r="C2557" s="10"/>
      <c r="D2557" s="10"/>
      <c r="E2557" s="10"/>
      <c r="F2557" s="10"/>
      <c r="G2557" s="10"/>
      <c r="H2557" s="10"/>
      <c r="I2557" s="1" t="str">
        <f t="shared" si="117"/>
        <v/>
      </c>
      <c r="J2557" s="1" t="s">
        <v>35</v>
      </c>
      <c r="K2557" s="1" t="str">
        <f t="shared" si="118"/>
        <v/>
      </c>
      <c r="L2557" s="1" t="str">
        <f t="shared" si="119"/>
        <v/>
      </c>
      <c r="M2557" s="1">
        <f>IF(OR(Table1[[#This Row],[Std Nom]]="",Table1[[#This Row],[Std Read]]=""),0,Table1[[#This Row],[Std Nom]]-Table1[[#This Row],[Std Read]])</f>
        <v>0</v>
      </c>
      <c r="N2557" s="1">
        <f>IF(Calculations!$F$5="ACCREDITED 17025 WITH UNCERTAINTIES",$N$10,0)</f>
        <v>0</v>
      </c>
      <c r="Q2557" s="1">
        <f>Table1[[#This Row],[High Tol]]-Table1[[#This Row],[Low Tol]]</f>
        <v>0</v>
      </c>
      <c r="R2557" s="1">
        <f>2*Table1[[#This Row],[Std Error]]</f>
        <v>0</v>
      </c>
      <c r="S2557" s="1" t="str">
        <f>IF(Table1[[#This Row],[High Tol]]="","N/A",IFERROR(ABS(Table1[[#This Row],[Tol Span]]/Table1[[#This Row],[Error Span]]),"N/A"))</f>
        <v>N/A</v>
      </c>
      <c r="T2557" s="1" t="str">
        <f>IF(OR(Table1[[#This Row],[Low Tol]]="",Table1[[#This Row],[High Tol]]=""),"Needs Analysis",IF(Table1[[#This Row],[Ratio]]&gt;=4,"Not Significant",IF(Table1[[#This Row],[Ratio]]&gt;=2,"Semi-Significant","Significant")))</f>
        <v>Needs Analysis</v>
      </c>
      <c r="W2557" s="1">
        <f>IF(Table1[[#This Row],[Cal Type]]&lt;&gt;"ACCREDITED 17025 WITH UNCERTAINTIES",0,"")</f>
        <v>0</v>
      </c>
      <c r="X2557" s="1" t="str">
        <f>IF(Table1[[#This Row],[DUT Read]]="","N/A",Table1[[#This Row],[Std Error]]+Table1[[#This Row],[DUT Read]]+Table1[[#This Row],[DUT Ucty]])</f>
        <v>N/A</v>
      </c>
      <c r="Y2557" s="1" t="str">
        <f>IF(Table1[[#This Row],[Std Read]]="","N/A",Table1[[#This Row],[Std Read]]+Table1[[#This Row],[Std Ucty]])</f>
        <v>N/A</v>
      </c>
      <c r="Z25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7" s="1" t="str">
        <f>IF(Table1[[#This Row],[Spec Type]]="","N/A",Table1[[#This Row],[Spec Type]])</f>
        <v>±</v>
      </c>
      <c r="AC2557" s="1" t="str">
        <f>IF(Table1[[#This Row],[Spec Type2]]="N/A","N/A",IF(AND(Table1[[#This Row],[DUT Adj Read]]&gt;=Table1[[#This Row],[Low Tol]],Table1[[#This Row],[DUT Adj Read]]&lt;=Table1[[#This Row],[High Tol]]),"Pass","Fail"))</f>
        <v>Fail</v>
      </c>
      <c r="AD2557" s="1" t="str">
        <f>IF(AND(Table1[[#This Row],[Spec Type2]]="N/A",Table1[[#This Row],[DUT Adj Read]]="N/A",Table1[[#This Row],[Std Adj Read]]="N/A"),"N/A",IF(Table1[[#This Row],[DUT Adj Read]]="N/A",IF(Table1[[#This Row],[Std Adj Read]]&gt;Table1[[#This Row],[Low Tol]],"Pass","Fail"),IF(Table1[[#This Row],[DUT Adj Read]]&gt;Table1[[#This Row],[Low Tol]],"Pass","Fail")))</f>
        <v>Pass</v>
      </c>
      <c r="AE2557" s="1" t="str">
        <f>IF(AND(Table1[[#This Row],[Spec Type2]]="N/A",Table1[[#This Row],[DUT Adj Read]]="N/A",Table1[[#This Row],[Std Adj Read]]="N/A"),"N/A",IF(Table1[[#This Row],[DUT Adj Read]]="N/A",IF(Table1[[#This Row],[Std Adj Read]]&lt;Table1[[#This Row],[High Tol]],"Pass","Fail"),IF(Table1[[#This Row],[DUT Adj Read]]&lt;Table1[[#This Row],[High Tol]],"Pass","Fail")))</f>
        <v>Fail</v>
      </c>
      <c r="AF2557" s="1" t="str">
        <f>IF(AND(Table1[[#This Row],[Spec Type2]]="N/A",Table1[[#This Row],[DUT Adj Read]]="N/A",Table1[[#This Row],[Std Adj Read]]="N/A"),"N/A",IF(Table1[[#This Row],[DUT Adj Read]]="N/A",IF(Table1[[#This Row],[Std Adj Read]]&gt;=Table1[[#This Row],[Low Tol]],"Pass","Fail"),IF(Table1[[#This Row],[DUT Adj Read]]&gt;=Table1[[#This Row],[Low Tol]],"Pass","Fail")))</f>
        <v>Pass</v>
      </c>
      <c r="AG2557" s="1" t="str">
        <f>IF(AND(Table1[[#This Row],[Spec Type2]]="N/A",Table1[[#This Row],[DUT Adj Read]]="N/A",Table1[[#This Row],[Std Adj Read]]="N/A"),"N/A",IF(Table1[[#This Row],[DUT Adj Read]]="N/A",IF(Table1[[#This Row],[Std Adj Read]]&lt;=Table1[[#This Row],[High Tol]],"Pass","Fail"),IF(Table1[[#This Row],[DUT Adj Read]]&lt;=Table1[[#This Row],[High Tol]],"Pass","Fail")))</f>
        <v>Fail</v>
      </c>
      <c r="AH25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7" s="1" t="b">
        <v>0</v>
      </c>
      <c r="AN2557" s="1" t="b">
        <v>0</v>
      </c>
      <c r="AO2557" s="1" t="b">
        <v>0</v>
      </c>
    </row>
    <row r="2558" spans="1:41" x14ac:dyDescent="0.25">
      <c r="A2558" s="10"/>
      <c r="B2558" s="10"/>
      <c r="C2558" s="10"/>
      <c r="D2558" s="10"/>
      <c r="E2558" s="10"/>
      <c r="F2558" s="10"/>
      <c r="G2558" s="10"/>
      <c r="H2558" s="10"/>
      <c r="I2558" s="1" t="str">
        <f t="shared" si="117"/>
        <v/>
      </c>
      <c r="J2558" s="1" t="s">
        <v>35</v>
      </c>
      <c r="K2558" s="1" t="str">
        <f t="shared" si="118"/>
        <v/>
      </c>
      <c r="L2558" s="1" t="str">
        <f t="shared" si="119"/>
        <v/>
      </c>
      <c r="M2558" s="1">
        <f>IF(OR(Table1[[#This Row],[Std Nom]]="",Table1[[#This Row],[Std Read]]=""),0,Table1[[#This Row],[Std Nom]]-Table1[[#This Row],[Std Read]])</f>
        <v>0</v>
      </c>
      <c r="N2558" s="1">
        <f>IF(Calculations!$F$5="ACCREDITED 17025 WITH UNCERTAINTIES",$N$10,0)</f>
        <v>0</v>
      </c>
      <c r="Q2558" s="1">
        <f>Table1[[#This Row],[High Tol]]-Table1[[#This Row],[Low Tol]]</f>
        <v>0</v>
      </c>
      <c r="R2558" s="1">
        <f>2*Table1[[#This Row],[Std Error]]</f>
        <v>0</v>
      </c>
      <c r="S2558" s="1" t="str">
        <f>IF(Table1[[#This Row],[High Tol]]="","N/A",IFERROR(ABS(Table1[[#This Row],[Tol Span]]/Table1[[#This Row],[Error Span]]),"N/A"))</f>
        <v>N/A</v>
      </c>
      <c r="T2558" s="1" t="str">
        <f>IF(OR(Table1[[#This Row],[Low Tol]]="",Table1[[#This Row],[High Tol]]=""),"Needs Analysis",IF(Table1[[#This Row],[Ratio]]&gt;=4,"Not Significant",IF(Table1[[#This Row],[Ratio]]&gt;=2,"Semi-Significant","Significant")))</f>
        <v>Needs Analysis</v>
      </c>
      <c r="W2558" s="1">
        <f>IF(Table1[[#This Row],[Cal Type]]&lt;&gt;"ACCREDITED 17025 WITH UNCERTAINTIES",0,"")</f>
        <v>0</v>
      </c>
      <c r="X2558" s="1" t="str">
        <f>IF(Table1[[#This Row],[DUT Read]]="","N/A",Table1[[#This Row],[Std Error]]+Table1[[#This Row],[DUT Read]]+Table1[[#This Row],[DUT Ucty]])</f>
        <v>N/A</v>
      </c>
      <c r="Y2558" s="1" t="str">
        <f>IF(Table1[[#This Row],[Std Read]]="","N/A",Table1[[#This Row],[Std Read]]+Table1[[#This Row],[Std Ucty]])</f>
        <v>N/A</v>
      </c>
      <c r="Z25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8" s="1" t="str">
        <f>IF(Table1[[#This Row],[Spec Type]]="","N/A",Table1[[#This Row],[Spec Type]])</f>
        <v>±</v>
      </c>
      <c r="AC2558" s="1" t="str">
        <f>IF(Table1[[#This Row],[Spec Type2]]="N/A","N/A",IF(AND(Table1[[#This Row],[DUT Adj Read]]&gt;=Table1[[#This Row],[Low Tol]],Table1[[#This Row],[DUT Adj Read]]&lt;=Table1[[#This Row],[High Tol]]),"Pass","Fail"))</f>
        <v>Fail</v>
      </c>
      <c r="AD2558" s="1" t="str">
        <f>IF(AND(Table1[[#This Row],[Spec Type2]]="N/A",Table1[[#This Row],[DUT Adj Read]]="N/A",Table1[[#This Row],[Std Adj Read]]="N/A"),"N/A",IF(Table1[[#This Row],[DUT Adj Read]]="N/A",IF(Table1[[#This Row],[Std Adj Read]]&gt;Table1[[#This Row],[Low Tol]],"Pass","Fail"),IF(Table1[[#This Row],[DUT Adj Read]]&gt;Table1[[#This Row],[Low Tol]],"Pass","Fail")))</f>
        <v>Pass</v>
      </c>
      <c r="AE2558" s="1" t="str">
        <f>IF(AND(Table1[[#This Row],[Spec Type2]]="N/A",Table1[[#This Row],[DUT Adj Read]]="N/A",Table1[[#This Row],[Std Adj Read]]="N/A"),"N/A",IF(Table1[[#This Row],[DUT Adj Read]]="N/A",IF(Table1[[#This Row],[Std Adj Read]]&lt;Table1[[#This Row],[High Tol]],"Pass","Fail"),IF(Table1[[#This Row],[DUT Adj Read]]&lt;Table1[[#This Row],[High Tol]],"Pass","Fail")))</f>
        <v>Fail</v>
      </c>
      <c r="AF2558" s="1" t="str">
        <f>IF(AND(Table1[[#This Row],[Spec Type2]]="N/A",Table1[[#This Row],[DUT Adj Read]]="N/A",Table1[[#This Row],[Std Adj Read]]="N/A"),"N/A",IF(Table1[[#This Row],[DUT Adj Read]]="N/A",IF(Table1[[#This Row],[Std Adj Read]]&gt;=Table1[[#This Row],[Low Tol]],"Pass","Fail"),IF(Table1[[#This Row],[DUT Adj Read]]&gt;=Table1[[#This Row],[Low Tol]],"Pass","Fail")))</f>
        <v>Pass</v>
      </c>
      <c r="AG2558" s="1" t="str">
        <f>IF(AND(Table1[[#This Row],[Spec Type2]]="N/A",Table1[[#This Row],[DUT Adj Read]]="N/A",Table1[[#This Row],[Std Adj Read]]="N/A"),"N/A",IF(Table1[[#This Row],[DUT Adj Read]]="N/A",IF(Table1[[#This Row],[Std Adj Read]]&lt;=Table1[[#This Row],[High Tol]],"Pass","Fail"),IF(Table1[[#This Row],[DUT Adj Read]]&lt;=Table1[[#This Row],[High Tol]],"Pass","Fail")))</f>
        <v>Fail</v>
      </c>
      <c r="AH25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8" s="1" t="b">
        <v>0</v>
      </c>
      <c r="AN2558" s="1" t="b">
        <v>0</v>
      </c>
      <c r="AO2558" s="1" t="b">
        <v>0</v>
      </c>
    </row>
    <row r="2559" spans="1:41" x14ac:dyDescent="0.25">
      <c r="A2559" s="10"/>
      <c r="B2559" s="10"/>
      <c r="C2559" s="10"/>
      <c r="D2559" s="10"/>
      <c r="E2559" s="10"/>
      <c r="F2559" s="10"/>
      <c r="G2559" s="10"/>
      <c r="H2559" s="10"/>
      <c r="I2559" s="1" t="str">
        <f t="shared" si="117"/>
        <v/>
      </c>
      <c r="J2559" s="1" t="s">
        <v>35</v>
      </c>
      <c r="K2559" s="1" t="str">
        <f t="shared" si="118"/>
        <v/>
      </c>
      <c r="L2559" s="1" t="str">
        <f t="shared" si="119"/>
        <v/>
      </c>
      <c r="M2559" s="1">
        <f>IF(OR(Table1[[#This Row],[Std Nom]]="",Table1[[#This Row],[Std Read]]=""),0,Table1[[#This Row],[Std Nom]]-Table1[[#This Row],[Std Read]])</f>
        <v>0</v>
      </c>
      <c r="N2559" s="1">
        <f>IF(Calculations!$F$5="ACCREDITED 17025 WITH UNCERTAINTIES",$N$10,0)</f>
        <v>0</v>
      </c>
      <c r="Q2559" s="1">
        <f>Table1[[#This Row],[High Tol]]-Table1[[#This Row],[Low Tol]]</f>
        <v>0</v>
      </c>
      <c r="R2559" s="1">
        <f>2*Table1[[#This Row],[Std Error]]</f>
        <v>0</v>
      </c>
      <c r="S2559" s="1" t="str">
        <f>IF(Table1[[#This Row],[High Tol]]="","N/A",IFERROR(ABS(Table1[[#This Row],[Tol Span]]/Table1[[#This Row],[Error Span]]),"N/A"))</f>
        <v>N/A</v>
      </c>
      <c r="T2559" s="1" t="str">
        <f>IF(OR(Table1[[#This Row],[Low Tol]]="",Table1[[#This Row],[High Tol]]=""),"Needs Analysis",IF(Table1[[#This Row],[Ratio]]&gt;=4,"Not Significant",IF(Table1[[#This Row],[Ratio]]&gt;=2,"Semi-Significant","Significant")))</f>
        <v>Needs Analysis</v>
      </c>
      <c r="W2559" s="1">
        <f>IF(Table1[[#This Row],[Cal Type]]&lt;&gt;"ACCREDITED 17025 WITH UNCERTAINTIES",0,"")</f>
        <v>0</v>
      </c>
      <c r="X2559" s="1" t="str">
        <f>IF(Table1[[#This Row],[DUT Read]]="","N/A",Table1[[#This Row],[Std Error]]+Table1[[#This Row],[DUT Read]]+Table1[[#This Row],[DUT Ucty]])</f>
        <v>N/A</v>
      </c>
      <c r="Y2559" s="1" t="str">
        <f>IF(Table1[[#This Row],[Std Read]]="","N/A",Table1[[#This Row],[Std Read]]+Table1[[#This Row],[Std Ucty]])</f>
        <v>N/A</v>
      </c>
      <c r="Z25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59" s="1" t="str">
        <f>IF(Table1[[#This Row],[Spec Type]]="","N/A",Table1[[#This Row],[Spec Type]])</f>
        <v>±</v>
      </c>
      <c r="AC2559" s="1" t="str">
        <f>IF(Table1[[#This Row],[Spec Type2]]="N/A","N/A",IF(AND(Table1[[#This Row],[DUT Adj Read]]&gt;=Table1[[#This Row],[Low Tol]],Table1[[#This Row],[DUT Adj Read]]&lt;=Table1[[#This Row],[High Tol]]),"Pass","Fail"))</f>
        <v>Fail</v>
      </c>
      <c r="AD2559" s="1" t="str">
        <f>IF(AND(Table1[[#This Row],[Spec Type2]]="N/A",Table1[[#This Row],[DUT Adj Read]]="N/A",Table1[[#This Row],[Std Adj Read]]="N/A"),"N/A",IF(Table1[[#This Row],[DUT Adj Read]]="N/A",IF(Table1[[#This Row],[Std Adj Read]]&gt;Table1[[#This Row],[Low Tol]],"Pass","Fail"),IF(Table1[[#This Row],[DUT Adj Read]]&gt;Table1[[#This Row],[Low Tol]],"Pass","Fail")))</f>
        <v>Pass</v>
      </c>
      <c r="AE2559" s="1" t="str">
        <f>IF(AND(Table1[[#This Row],[Spec Type2]]="N/A",Table1[[#This Row],[DUT Adj Read]]="N/A",Table1[[#This Row],[Std Adj Read]]="N/A"),"N/A",IF(Table1[[#This Row],[DUT Adj Read]]="N/A",IF(Table1[[#This Row],[Std Adj Read]]&lt;Table1[[#This Row],[High Tol]],"Pass","Fail"),IF(Table1[[#This Row],[DUT Adj Read]]&lt;Table1[[#This Row],[High Tol]],"Pass","Fail")))</f>
        <v>Fail</v>
      </c>
      <c r="AF2559" s="1" t="str">
        <f>IF(AND(Table1[[#This Row],[Spec Type2]]="N/A",Table1[[#This Row],[DUT Adj Read]]="N/A",Table1[[#This Row],[Std Adj Read]]="N/A"),"N/A",IF(Table1[[#This Row],[DUT Adj Read]]="N/A",IF(Table1[[#This Row],[Std Adj Read]]&gt;=Table1[[#This Row],[Low Tol]],"Pass","Fail"),IF(Table1[[#This Row],[DUT Adj Read]]&gt;=Table1[[#This Row],[Low Tol]],"Pass","Fail")))</f>
        <v>Pass</v>
      </c>
      <c r="AG2559" s="1" t="str">
        <f>IF(AND(Table1[[#This Row],[Spec Type2]]="N/A",Table1[[#This Row],[DUT Adj Read]]="N/A",Table1[[#This Row],[Std Adj Read]]="N/A"),"N/A",IF(Table1[[#This Row],[DUT Adj Read]]="N/A",IF(Table1[[#This Row],[Std Adj Read]]&lt;=Table1[[#This Row],[High Tol]],"Pass","Fail"),IF(Table1[[#This Row],[DUT Adj Read]]&lt;=Table1[[#This Row],[High Tol]],"Pass","Fail")))</f>
        <v>Fail</v>
      </c>
      <c r="AH25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59" s="1" t="b">
        <v>0</v>
      </c>
      <c r="AN2559" s="1" t="b">
        <v>0</v>
      </c>
      <c r="AO2559" s="1" t="b">
        <v>0</v>
      </c>
    </row>
    <row r="2560" spans="1:41" x14ac:dyDescent="0.25">
      <c r="A2560" s="10"/>
      <c r="B2560" s="10"/>
      <c r="C2560" s="10"/>
      <c r="D2560" s="10"/>
      <c r="E2560" s="10"/>
      <c r="F2560" s="10"/>
      <c r="G2560" s="10"/>
      <c r="H2560" s="10"/>
      <c r="I2560" s="1" t="str">
        <f t="shared" si="117"/>
        <v/>
      </c>
      <c r="J2560" s="1" t="s">
        <v>35</v>
      </c>
      <c r="K2560" s="1" t="str">
        <f t="shared" si="118"/>
        <v/>
      </c>
      <c r="L2560" s="1" t="str">
        <f t="shared" si="119"/>
        <v/>
      </c>
      <c r="M2560" s="1">
        <f>IF(OR(Table1[[#This Row],[Std Nom]]="",Table1[[#This Row],[Std Read]]=""),0,Table1[[#This Row],[Std Nom]]-Table1[[#This Row],[Std Read]])</f>
        <v>0</v>
      </c>
      <c r="N2560" s="1">
        <f>IF(Calculations!$F$5="ACCREDITED 17025 WITH UNCERTAINTIES",$N$10,0)</f>
        <v>0</v>
      </c>
      <c r="Q2560" s="1">
        <f>Table1[[#This Row],[High Tol]]-Table1[[#This Row],[Low Tol]]</f>
        <v>0</v>
      </c>
      <c r="R2560" s="1">
        <f>2*Table1[[#This Row],[Std Error]]</f>
        <v>0</v>
      </c>
      <c r="S2560" s="1" t="str">
        <f>IF(Table1[[#This Row],[High Tol]]="","N/A",IFERROR(ABS(Table1[[#This Row],[Tol Span]]/Table1[[#This Row],[Error Span]]),"N/A"))</f>
        <v>N/A</v>
      </c>
      <c r="T2560" s="1" t="str">
        <f>IF(OR(Table1[[#This Row],[Low Tol]]="",Table1[[#This Row],[High Tol]]=""),"Needs Analysis",IF(Table1[[#This Row],[Ratio]]&gt;=4,"Not Significant",IF(Table1[[#This Row],[Ratio]]&gt;=2,"Semi-Significant","Significant")))</f>
        <v>Needs Analysis</v>
      </c>
      <c r="W2560" s="1">
        <f>IF(Table1[[#This Row],[Cal Type]]&lt;&gt;"ACCREDITED 17025 WITH UNCERTAINTIES",0,"")</f>
        <v>0</v>
      </c>
      <c r="X2560" s="1" t="str">
        <f>IF(Table1[[#This Row],[DUT Read]]="","N/A",Table1[[#This Row],[Std Error]]+Table1[[#This Row],[DUT Read]]+Table1[[#This Row],[DUT Ucty]])</f>
        <v>N/A</v>
      </c>
      <c r="Y2560" s="1" t="str">
        <f>IF(Table1[[#This Row],[Std Read]]="","N/A",Table1[[#This Row],[Std Read]]+Table1[[#This Row],[Std Ucty]])</f>
        <v>N/A</v>
      </c>
      <c r="Z25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0" s="1" t="str">
        <f>IF(Table1[[#This Row],[Spec Type]]="","N/A",Table1[[#This Row],[Spec Type]])</f>
        <v>±</v>
      </c>
      <c r="AC2560" s="1" t="str">
        <f>IF(Table1[[#This Row],[Spec Type2]]="N/A","N/A",IF(AND(Table1[[#This Row],[DUT Adj Read]]&gt;=Table1[[#This Row],[Low Tol]],Table1[[#This Row],[DUT Adj Read]]&lt;=Table1[[#This Row],[High Tol]]),"Pass","Fail"))</f>
        <v>Fail</v>
      </c>
      <c r="AD2560" s="1" t="str">
        <f>IF(AND(Table1[[#This Row],[Spec Type2]]="N/A",Table1[[#This Row],[DUT Adj Read]]="N/A",Table1[[#This Row],[Std Adj Read]]="N/A"),"N/A",IF(Table1[[#This Row],[DUT Adj Read]]="N/A",IF(Table1[[#This Row],[Std Adj Read]]&gt;Table1[[#This Row],[Low Tol]],"Pass","Fail"),IF(Table1[[#This Row],[DUT Adj Read]]&gt;Table1[[#This Row],[Low Tol]],"Pass","Fail")))</f>
        <v>Pass</v>
      </c>
      <c r="AE2560" s="1" t="str">
        <f>IF(AND(Table1[[#This Row],[Spec Type2]]="N/A",Table1[[#This Row],[DUT Adj Read]]="N/A",Table1[[#This Row],[Std Adj Read]]="N/A"),"N/A",IF(Table1[[#This Row],[DUT Adj Read]]="N/A",IF(Table1[[#This Row],[Std Adj Read]]&lt;Table1[[#This Row],[High Tol]],"Pass","Fail"),IF(Table1[[#This Row],[DUT Adj Read]]&lt;Table1[[#This Row],[High Tol]],"Pass","Fail")))</f>
        <v>Fail</v>
      </c>
      <c r="AF2560" s="1" t="str">
        <f>IF(AND(Table1[[#This Row],[Spec Type2]]="N/A",Table1[[#This Row],[DUT Adj Read]]="N/A",Table1[[#This Row],[Std Adj Read]]="N/A"),"N/A",IF(Table1[[#This Row],[DUT Adj Read]]="N/A",IF(Table1[[#This Row],[Std Adj Read]]&gt;=Table1[[#This Row],[Low Tol]],"Pass","Fail"),IF(Table1[[#This Row],[DUT Adj Read]]&gt;=Table1[[#This Row],[Low Tol]],"Pass","Fail")))</f>
        <v>Pass</v>
      </c>
      <c r="AG2560" s="1" t="str">
        <f>IF(AND(Table1[[#This Row],[Spec Type2]]="N/A",Table1[[#This Row],[DUT Adj Read]]="N/A",Table1[[#This Row],[Std Adj Read]]="N/A"),"N/A",IF(Table1[[#This Row],[DUT Adj Read]]="N/A",IF(Table1[[#This Row],[Std Adj Read]]&lt;=Table1[[#This Row],[High Tol]],"Pass","Fail"),IF(Table1[[#This Row],[DUT Adj Read]]&lt;=Table1[[#This Row],[High Tol]],"Pass","Fail")))</f>
        <v>Fail</v>
      </c>
      <c r="AH25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0" s="1" t="b">
        <v>0</v>
      </c>
      <c r="AN2560" s="1" t="b">
        <v>0</v>
      </c>
      <c r="AO2560" s="1" t="b">
        <v>0</v>
      </c>
    </row>
    <row r="2561" spans="1:41" x14ac:dyDescent="0.25">
      <c r="A2561" s="10"/>
      <c r="B2561" s="10"/>
      <c r="C2561" s="10"/>
      <c r="D2561" s="10"/>
      <c r="E2561" s="10"/>
      <c r="F2561" s="10"/>
      <c r="G2561" s="10"/>
      <c r="H2561" s="10"/>
      <c r="I2561" s="1" t="str">
        <f t="shared" si="117"/>
        <v/>
      </c>
      <c r="J2561" s="1" t="s">
        <v>35</v>
      </c>
      <c r="K2561" s="1" t="str">
        <f t="shared" si="118"/>
        <v/>
      </c>
      <c r="L2561" s="1" t="str">
        <f t="shared" si="119"/>
        <v/>
      </c>
      <c r="M2561" s="1">
        <f>IF(OR(Table1[[#This Row],[Std Nom]]="",Table1[[#This Row],[Std Read]]=""),0,Table1[[#This Row],[Std Nom]]-Table1[[#This Row],[Std Read]])</f>
        <v>0</v>
      </c>
      <c r="N2561" s="1">
        <f>IF(Calculations!$F$5="ACCREDITED 17025 WITH UNCERTAINTIES",$N$10,0)</f>
        <v>0</v>
      </c>
      <c r="Q2561" s="1">
        <f>Table1[[#This Row],[High Tol]]-Table1[[#This Row],[Low Tol]]</f>
        <v>0</v>
      </c>
      <c r="R2561" s="1">
        <f>2*Table1[[#This Row],[Std Error]]</f>
        <v>0</v>
      </c>
      <c r="S2561" s="1" t="str">
        <f>IF(Table1[[#This Row],[High Tol]]="","N/A",IFERROR(ABS(Table1[[#This Row],[Tol Span]]/Table1[[#This Row],[Error Span]]),"N/A"))</f>
        <v>N/A</v>
      </c>
      <c r="T2561" s="1" t="str">
        <f>IF(OR(Table1[[#This Row],[Low Tol]]="",Table1[[#This Row],[High Tol]]=""),"Needs Analysis",IF(Table1[[#This Row],[Ratio]]&gt;=4,"Not Significant",IF(Table1[[#This Row],[Ratio]]&gt;=2,"Semi-Significant","Significant")))</f>
        <v>Needs Analysis</v>
      </c>
      <c r="W2561" s="1">
        <f>IF(Table1[[#This Row],[Cal Type]]&lt;&gt;"ACCREDITED 17025 WITH UNCERTAINTIES",0,"")</f>
        <v>0</v>
      </c>
      <c r="X2561" s="1" t="str">
        <f>IF(Table1[[#This Row],[DUT Read]]="","N/A",Table1[[#This Row],[Std Error]]+Table1[[#This Row],[DUT Read]]+Table1[[#This Row],[DUT Ucty]])</f>
        <v>N/A</v>
      </c>
      <c r="Y2561" s="1" t="str">
        <f>IF(Table1[[#This Row],[Std Read]]="","N/A",Table1[[#This Row],[Std Read]]+Table1[[#This Row],[Std Ucty]])</f>
        <v>N/A</v>
      </c>
      <c r="Z25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1" s="1" t="str">
        <f>IF(Table1[[#This Row],[Spec Type]]="","N/A",Table1[[#This Row],[Spec Type]])</f>
        <v>±</v>
      </c>
      <c r="AC2561" s="1" t="str">
        <f>IF(Table1[[#This Row],[Spec Type2]]="N/A","N/A",IF(AND(Table1[[#This Row],[DUT Adj Read]]&gt;=Table1[[#This Row],[Low Tol]],Table1[[#This Row],[DUT Adj Read]]&lt;=Table1[[#This Row],[High Tol]]),"Pass","Fail"))</f>
        <v>Fail</v>
      </c>
      <c r="AD2561" s="1" t="str">
        <f>IF(AND(Table1[[#This Row],[Spec Type2]]="N/A",Table1[[#This Row],[DUT Adj Read]]="N/A",Table1[[#This Row],[Std Adj Read]]="N/A"),"N/A",IF(Table1[[#This Row],[DUT Adj Read]]="N/A",IF(Table1[[#This Row],[Std Adj Read]]&gt;Table1[[#This Row],[Low Tol]],"Pass","Fail"),IF(Table1[[#This Row],[DUT Adj Read]]&gt;Table1[[#This Row],[Low Tol]],"Pass","Fail")))</f>
        <v>Pass</v>
      </c>
      <c r="AE2561" s="1" t="str">
        <f>IF(AND(Table1[[#This Row],[Spec Type2]]="N/A",Table1[[#This Row],[DUT Adj Read]]="N/A",Table1[[#This Row],[Std Adj Read]]="N/A"),"N/A",IF(Table1[[#This Row],[DUT Adj Read]]="N/A",IF(Table1[[#This Row],[Std Adj Read]]&lt;Table1[[#This Row],[High Tol]],"Pass","Fail"),IF(Table1[[#This Row],[DUT Adj Read]]&lt;Table1[[#This Row],[High Tol]],"Pass","Fail")))</f>
        <v>Fail</v>
      </c>
      <c r="AF2561" s="1" t="str">
        <f>IF(AND(Table1[[#This Row],[Spec Type2]]="N/A",Table1[[#This Row],[DUT Adj Read]]="N/A",Table1[[#This Row],[Std Adj Read]]="N/A"),"N/A",IF(Table1[[#This Row],[DUT Adj Read]]="N/A",IF(Table1[[#This Row],[Std Adj Read]]&gt;=Table1[[#This Row],[Low Tol]],"Pass","Fail"),IF(Table1[[#This Row],[DUT Adj Read]]&gt;=Table1[[#This Row],[Low Tol]],"Pass","Fail")))</f>
        <v>Pass</v>
      </c>
      <c r="AG2561" s="1" t="str">
        <f>IF(AND(Table1[[#This Row],[Spec Type2]]="N/A",Table1[[#This Row],[DUT Adj Read]]="N/A",Table1[[#This Row],[Std Adj Read]]="N/A"),"N/A",IF(Table1[[#This Row],[DUT Adj Read]]="N/A",IF(Table1[[#This Row],[Std Adj Read]]&lt;=Table1[[#This Row],[High Tol]],"Pass","Fail"),IF(Table1[[#This Row],[DUT Adj Read]]&lt;=Table1[[#This Row],[High Tol]],"Pass","Fail")))</f>
        <v>Fail</v>
      </c>
      <c r="AH25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1" s="1" t="b">
        <v>0</v>
      </c>
      <c r="AN2561" s="1" t="b">
        <v>0</v>
      </c>
      <c r="AO2561" s="1" t="b">
        <v>0</v>
      </c>
    </row>
    <row r="2562" spans="1:41" x14ac:dyDescent="0.25">
      <c r="A2562" s="10"/>
      <c r="B2562" s="10"/>
      <c r="C2562" s="10"/>
      <c r="D2562" s="10"/>
      <c r="E2562" s="10"/>
      <c r="F2562" s="10"/>
      <c r="G2562" s="10"/>
      <c r="H2562" s="10"/>
      <c r="I2562" s="1" t="str">
        <f t="shared" si="117"/>
        <v/>
      </c>
      <c r="J2562" s="1" t="s">
        <v>35</v>
      </c>
      <c r="K2562" s="1" t="str">
        <f t="shared" si="118"/>
        <v/>
      </c>
      <c r="L2562" s="1" t="str">
        <f t="shared" si="119"/>
        <v/>
      </c>
      <c r="M2562" s="1">
        <f>IF(OR(Table1[[#This Row],[Std Nom]]="",Table1[[#This Row],[Std Read]]=""),0,Table1[[#This Row],[Std Nom]]-Table1[[#This Row],[Std Read]])</f>
        <v>0</v>
      </c>
      <c r="N2562" s="1">
        <f>IF(Calculations!$F$5="ACCREDITED 17025 WITH UNCERTAINTIES",$N$10,0)</f>
        <v>0</v>
      </c>
      <c r="Q2562" s="1">
        <f>Table1[[#This Row],[High Tol]]-Table1[[#This Row],[Low Tol]]</f>
        <v>0</v>
      </c>
      <c r="R2562" s="1">
        <f>2*Table1[[#This Row],[Std Error]]</f>
        <v>0</v>
      </c>
      <c r="S2562" s="1" t="str">
        <f>IF(Table1[[#This Row],[High Tol]]="","N/A",IFERROR(ABS(Table1[[#This Row],[Tol Span]]/Table1[[#This Row],[Error Span]]),"N/A"))</f>
        <v>N/A</v>
      </c>
      <c r="T2562" s="1" t="str">
        <f>IF(OR(Table1[[#This Row],[Low Tol]]="",Table1[[#This Row],[High Tol]]=""),"Needs Analysis",IF(Table1[[#This Row],[Ratio]]&gt;=4,"Not Significant",IF(Table1[[#This Row],[Ratio]]&gt;=2,"Semi-Significant","Significant")))</f>
        <v>Needs Analysis</v>
      </c>
      <c r="W2562" s="1">
        <f>IF(Table1[[#This Row],[Cal Type]]&lt;&gt;"ACCREDITED 17025 WITH UNCERTAINTIES",0,"")</f>
        <v>0</v>
      </c>
      <c r="X2562" s="1" t="str">
        <f>IF(Table1[[#This Row],[DUT Read]]="","N/A",Table1[[#This Row],[Std Error]]+Table1[[#This Row],[DUT Read]]+Table1[[#This Row],[DUT Ucty]])</f>
        <v>N/A</v>
      </c>
      <c r="Y2562" s="1" t="str">
        <f>IF(Table1[[#This Row],[Std Read]]="","N/A",Table1[[#This Row],[Std Read]]+Table1[[#This Row],[Std Ucty]])</f>
        <v>N/A</v>
      </c>
      <c r="Z25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2" s="1" t="str">
        <f>IF(Table1[[#This Row],[Spec Type]]="","N/A",Table1[[#This Row],[Spec Type]])</f>
        <v>±</v>
      </c>
      <c r="AC2562" s="1" t="str">
        <f>IF(Table1[[#This Row],[Spec Type2]]="N/A","N/A",IF(AND(Table1[[#This Row],[DUT Adj Read]]&gt;=Table1[[#This Row],[Low Tol]],Table1[[#This Row],[DUT Adj Read]]&lt;=Table1[[#This Row],[High Tol]]),"Pass","Fail"))</f>
        <v>Fail</v>
      </c>
      <c r="AD2562" s="1" t="str">
        <f>IF(AND(Table1[[#This Row],[Spec Type2]]="N/A",Table1[[#This Row],[DUT Adj Read]]="N/A",Table1[[#This Row],[Std Adj Read]]="N/A"),"N/A",IF(Table1[[#This Row],[DUT Adj Read]]="N/A",IF(Table1[[#This Row],[Std Adj Read]]&gt;Table1[[#This Row],[Low Tol]],"Pass","Fail"),IF(Table1[[#This Row],[DUT Adj Read]]&gt;Table1[[#This Row],[Low Tol]],"Pass","Fail")))</f>
        <v>Pass</v>
      </c>
      <c r="AE2562" s="1" t="str">
        <f>IF(AND(Table1[[#This Row],[Spec Type2]]="N/A",Table1[[#This Row],[DUT Adj Read]]="N/A",Table1[[#This Row],[Std Adj Read]]="N/A"),"N/A",IF(Table1[[#This Row],[DUT Adj Read]]="N/A",IF(Table1[[#This Row],[Std Adj Read]]&lt;Table1[[#This Row],[High Tol]],"Pass","Fail"),IF(Table1[[#This Row],[DUT Adj Read]]&lt;Table1[[#This Row],[High Tol]],"Pass","Fail")))</f>
        <v>Fail</v>
      </c>
      <c r="AF2562" s="1" t="str">
        <f>IF(AND(Table1[[#This Row],[Spec Type2]]="N/A",Table1[[#This Row],[DUT Adj Read]]="N/A",Table1[[#This Row],[Std Adj Read]]="N/A"),"N/A",IF(Table1[[#This Row],[DUT Adj Read]]="N/A",IF(Table1[[#This Row],[Std Adj Read]]&gt;=Table1[[#This Row],[Low Tol]],"Pass","Fail"),IF(Table1[[#This Row],[DUT Adj Read]]&gt;=Table1[[#This Row],[Low Tol]],"Pass","Fail")))</f>
        <v>Pass</v>
      </c>
      <c r="AG2562" s="1" t="str">
        <f>IF(AND(Table1[[#This Row],[Spec Type2]]="N/A",Table1[[#This Row],[DUT Adj Read]]="N/A",Table1[[#This Row],[Std Adj Read]]="N/A"),"N/A",IF(Table1[[#This Row],[DUT Adj Read]]="N/A",IF(Table1[[#This Row],[Std Adj Read]]&lt;=Table1[[#This Row],[High Tol]],"Pass","Fail"),IF(Table1[[#This Row],[DUT Adj Read]]&lt;=Table1[[#This Row],[High Tol]],"Pass","Fail")))</f>
        <v>Fail</v>
      </c>
      <c r="AH25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2" s="1" t="b">
        <v>0</v>
      </c>
      <c r="AN2562" s="1" t="b">
        <v>0</v>
      </c>
      <c r="AO2562" s="1" t="b">
        <v>0</v>
      </c>
    </row>
    <row r="2563" spans="1:41" x14ac:dyDescent="0.25">
      <c r="A2563" s="10"/>
      <c r="B2563" s="10"/>
      <c r="C2563" s="10"/>
      <c r="D2563" s="10"/>
      <c r="E2563" s="10"/>
      <c r="F2563" s="10"/>
      <c r="G2563" s="10"/>
      <c r="H2563" s="10"/>
      <c r="I2563" s="1" t="str">
        <f t="shared" si="117"/>
        <v/>
      </c>
      <c r="J2563" s="1" t="s">
        <v>35</v>
      </c>
      <c r="K2563" s="1" t="str">
        <f t="shared" si="118"/>
        <v/>
      </c>
      <c r="L2563" s="1" t="str">
        <f t="shared" si="119"/>
        <v/>
      </c>
      <c r="M2563" s="1">
        <f>IF(OR(Table1[[#This Row],[Std Nom]]="",Table1[[#This Row],[Std Read]]=""),0,Table1[[#This Row],[Std Nom]]-Table1[[#This Row],[Std Read]])</f>
        <v>0</v>
      </c>
      <c r="N2563" s="1">
        <f>IF(Calculations!$F$5="ACCREDITED 17025 WITH UNCERTAINTIES",$N$10,0)</f>
        <v>0</v>
      </c>
      <c r="Q2563" s="1">
        <f>Table1[[#This Row],[High Tol]]-Table1[[#This Row],[Low Tol]]</f>
        <v>0</v>
      </c>
      <c r="R2563" s="1">
        <f>2*Table1[[#This Row],[Std Error]]</f>
        <v>0</v>
      </c>
      <c r="S2563" s="1" t="str">
        <f>IF(Table1[[#This Row],[High Tol]]="","N/A",IFERROR(ABS(Table1[[#This Row],[Tol Span]]/Table1[[#This Row],[Error Span]]),"N/A"))</f>
        <v>N/A</v>
      </c>
      <c r="T2563" s="1" t="str">
        <f>IF(OR(Table1[[#This Row],[Low Tol]]="",Table1[[#This Row],[High Tol]]=""),"Needs Analysis",IF(Table1[[#This Row],[Ratio]]&gt;=4,"Not Significant",IF(Table1[[#This Row],[Ratio]]&gt;=2,"Semi-Significant","Significant")))</f>
        <v>Needs Analysis</v>
      </c>
      <c r="W2563" s="1">
        <f>IF(Table1[[#This Row],[Cal Type]]&lt;&gt;"ACCREDITED 17025 WITH UNCERTAINTIES",0,"")</f>
        <v>0</v>
      </c>
      <c r="X2563" s="1" t="str">
        <f>IF(Table1[[#This Row],[DUT Read]]="","N/A",Table1[[#This Row],[Std Error]]+Table1[[#This Row],[DUT Read]]+Table1[[#This Row],[DUT Ucty]])</f>
        <v>N/A</v>
      </c>
      <c r="Y2563" s="1" t="str">
        <f>IF(Table1[[#This Row],[Std Read]]="","N/A",Table1[[#This Row],[Std Read]]+Table1[[#This Row],[Std Ucty]])</f>
        <v>N/A</v>
      </c>
      <c r="Z25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3" s="1" t="str">
        <f>IF(Table1[[#This Row],[Spec Type]]="","N/A",Table1[[#This Row],[Spec Type]])</f>
        <v>±</v>
      </c>
      <c r="AC2563" s="1" t="str">
        <f>IF(Table1[[#This Row],[Spec Type2]]="N/A","N/A",IF(AND(Table1[[#This Row],[DUT Adj Read]]&gt;=Table1[[#This Row],[Low Tol]],Table1[[#This Row],[DUT Adj Read]]&lt;=Table1[[#This Row],[High Tol]]),"Pass","Fail"))</f>
        <v>Fail</v>
      </c>
      <c r="AD2563" s="1" t="str">
        <f>IF(AND(Table1[[#This Row],[Spec Type2]]="N/A",Table1[[#This Row],[DUT Adj Read]]="N/A",Table1[[#This Row],[Std Adj Read]]="N/A"),"N/A",IF(Table1[[#This Row],[DUT Adj Read]]="N/A",IF(Table1[[#This Row],[Std Adj Read]]&gt;Table1[[#This Row],[Low Tol]],"Pass","Fail"),IF(Table1[[#This Row],[DUT Adj Read]]&gt;Table1[[#This Row],[Low Tol]],"Pass","Fail")))</f>
        <v>Pass</v>
      </c>
      <c r="AE2563" s="1" t="str">
        <f>IF(AND(Table1[[#This Row],[Spec Type2]]="N/A",Table1[[#This Row],[DUT Adj Read]]="N/A",Table1[[#This Row],[Std Adj Read]]="N/A"),"N/A",IF(Table1[[#This Row],[DUT Adj Read]]="N/A",IF(Table1[[#This Row],[Std Adj Read]]&lt;Table1[[#This Row],[High Tol]],"Pass","Fail"),IF(Table1[[#This Row],[DUT Adj Read]]&lt;Table1[[#This Row],[High Tol]],"Pass","Fail")))</f>
        <v>Fail</v>
      </c>
      <c r="AF2563" s="1" t="str">
        <f>IF(AND(Table1[[#This Row],[Spec Type2]]="N/A",Table1[[#This Row],[DUT Adj Read]]="N/A",Table1[[#This Row],[Std Adj Read]]="N/A"),"N/A",IF(Table1[[#This Row],[DUT Adj Read]]="N/A",IF(Table1[[#This Row],[Std Adj Read]]&gt;=Table1[[#This Row],[Low Tol]],"Pass","Fail"),IF(Table1[[#This Row],[DUT Adj Read]]&gt;=Table1[[#This Row],[Low Tol]],"Pass","Fail")))</f>
        <v>Pass</v>
      </c>
      <c r="AG2563" s="1" t="str">
        <f>IF(AND(Table1[[#This Row],[Spec Type2]]="N/A",Table1[[#This Row],[DUT Adj Read]]="N/A",Table1[[#This Row],[Std Adj Read]]="N/A"),"N/A",IF(Table1[[#This Row],[DUT Adj Read]]="N/A",IF(Table1[[#This Row],[Std Adj Read]]&lt;=Table1[[#This Row],[High Tol]],"Pass","Fail"),IF(Table1[[#This Row],[DUT Adj Read]]&lt;=Table1[[#This Row],[High Tol]],"Pass","Fail")))</f>
        <v>Fail</v>
      </c>
      <c r="AH25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3" s="1" t="b">
        <v>0</v>
      </c>
      <c r="AN2563" s="1" t="b">
        <v>0</v>
      </c>
      <c r="AO2563" s="1" t="b">
        <v>0</v>
      </c>
    </row>
    <row r="2564" spans="1:41" x14ac:dyDescent="0.25">
      <c r="A2564" s="10"/>
      <c r="B2564" s="10"/>
      <c r="C2564" s="10"/>
      <c r="D2564" s="10"/>
      <c r="E2564" s="10"/>
      <c r="F2564" s="10"/>
      <c r="G2564" s="10"/>
      <c r="H2564" s="10"/>
      <c r="I2564" s="1" t="str">
        <f t="shared" si="117"/>
        <v/>
      </c>
      <c r="J2564" s="1" t="s">
        <v>35</v>
      </c>
      <c r="K2564" s="1" t="str">
        <f t="shared" si="118"/>
        <v/>
      </c>
      <c r="L2564" s="1" t="str">
        <f t="shared" si="119"/>
        <v/>
      </c>
      <c r="M2564" s="1">
        <f>IF(OR(Table1[[#This Row],[Std Nom]]="",Table1[[#This Row],[Std Read]]=""),0,Table1[[#This Row],[Std Nom]]-Table1[[#This Row],[Std Read]])</f>
        <v>0</v>
      </c>
      <c r="N2564" s="1">
        <f>IF(Calculations!$F$5="ACCREDITED 17025 WITH UNCERTAINTIES",$N$10,0)</f>
        <v>0</v>
      </c>
      <c r="Q2564" s="1">
        <f>Table1[[#This Row],[High Tol]]-Table1[[#This Row],[Low Tol]]</f>
        <v>0</v>
      </c>
      <c r="R2564" s="1">
        <f>2*Table1[[#This Row],[Std Error]]</f>
        <v>0</v>
      </c>
      <c r="S2564" s="1" t="str">
        <f>IF(Table1[[#This Row],[High Tol]]="","N/A",IFERROR(ABS(Table1[[#This Row],[Tol Span]]/Table1[[#This Row],[Error Span]]),"N/A"))</f>
        <v>N/A</v>
      </c>
      <c r="T2564" s="1" t="str">
        <f>IF(OR(Table1[[#This Row],[Low Tol]]="",Table1[[#This Row],[High Tol]]=""),"Needs Analysis",IF(Table1[[#This Row],[Ratio]]&gt;=4,"Not Significant",IF(Table1[[#This Row],[Ratio]]&gt;=2,"Semi-Significant","Significant")))</f>
        <v>Needs Analysis</v>
      </c>
      <c r="W2564" s="1">
        <f>IF(Table1[[#This Row],[Cal Type]]&lt;&gt;"ACCREDITED 17025 WITH UNCERTAINTIES",0,"")</f>
        <v>0</v>
      </c>
      <c r="X2564" s="1" t="str">
        <f>IF(Table1[[#This Row],[DUT Read]]="","N/A",Table1[[#This Row],[Std Error]]+Table1[[#This Row],[DUT Read]]+Table1[[#This Row],[DUT Ucty]])</f>
        <v>N/A</v>
      </c>
      <c r="Y2564" s="1" t="str">
        <f>IF(Table1[[#This Row],[Std Read]]="","N/A",Table1[[#This Row],[Std Read]]+Table1[[#This Row],[Std Ucty]])</f>
        <v>N/A</v>
      </c>
      <c r="Z25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4" s="1" t="str">
        <f>IF(Table1[[#This Row],[Spec Type]]="","N/A",Table1[[#This Row],[Spec Type]])</f>
        <v>±</v>
      </c>
      <c r="AC2564" s="1" t="str">
        <f>IF(Table1[[#This Row],[Spec Type2]]="N/A","N/A",IF(AND(Table1[[#This Row],[DUT Adj Read]]&gt;=Table1[[#This Row],[Low Tol]],Table1[[#This Row],[DUT Adj Read]]&lt;=Table1[[#This Row],[High Tol]]),"Pass","Fail"))</f>
        <v>Fail</v>
      </c>
      <c r="AD2564" s="1" t="str">
        <f>IF(AND(Table1[[#This Row],[Spec Type2]]="N/A",Table1[[#This Row],[DUT Adj Read]]="N/A",Table1[[#This Row],[Std Adj Read]]="N/A"),"N/A",IF(Table1[[#This Row],[DUT Adj Read]]="N/A",IF(Table1[[#This Row],[Std Adj Read]]&gt;Table1[[#This Row],[Low Tol]],"Pass","Fail"),IF(Table1[[#This Row],[DUT Adj Read]]&gt;Table1[[#This Row],[Low Tol]],"Pass","Fail")))</f>
        <v>Pass</v>
      </c>
      <c r="AE2564" s="1" t="str">
        <f>IF(AND(Table1[[#This Row],[Spec Type2]]="N/A",Table1[[#This Row],[DUT Adj Read]]="N/A",Table1[[#This Row],[Std Adj Read]]="N/A"),"N/A",IF(Table1[[#This Row],[DUT Adj Read]]="N/A",IF(Table1[[#This Row],[Std Adj Read]]&lt;Table1[[#This Row],[High Tol]],"Pass","Fail"),IF(Table1[[#This Row],[DUT Adj Read]]&lt;Table1[[#This Row],[High Tol]],"Pass","Fail")))</f>
        <v>Fail</v>
      </c>
      <c r="AF2564" s="1" t="str">
        <f>IF(AND(Table1[[#This Row],[Spec Type2]]="N/A",Table1[[#This Row],[DUT Adj Read]]="N/A",Table1[[#This Row],[Std Adj Read]]="N/A"),"N/A",IF(Table1[[#This Row],[DUT Adj Read]]="N/A",IF(Table1[[#This Row],[Std Adj Read]]&gt;=Table1[[#This Row],[Low Tol]],"Pass","Fail"),IF(Table1[[#This Row],[DUT Adj Read]]&gt;=Table1[[#This Row],[Low Tol]],"Pass","Fail")))</f>
        <v>Pass</v>
      </c>
      <c r="AG2564" s="1" t="str">
        <f>IF(AND(Table1[[#This Row],[Spec Type2]]="N/A",Table1[[#This Row],[DUT Adj Read]]="N/A",Table1[[#This Row],[Std Adj Read]]="N/A"),"N/A",IF(Table1[[#This Row],[DUT Adj Read]]="N/A",IF(Table1[[#This Row],[Std Adj Read]]&lt;=Table1[[#This Row],[High Tol]],"Pass","Fail"),IF(Table1[[#This Row],[DUT Adj Read]]&lt;=Table1[[#This Row],[High Tol]],"Pass","Fail")))</f>
        <v>Fail</v>
      </c>
      <c r="AH25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4" s="1" t="b">
        <v>0</v>
      </c>
      <c r="AN2564" s="1" t="b">
        <v>0</v>
      </c>
      <c r="AO2564" s="1" t="b">
        <v>0</v>
      </c>
    </row>
    <row r="2565" spans="1:41" x14ac:dyDescent="0.25">
      <c r="A2565" s="10"/>
      <c r="B2565" s="10"/>
      <c r="C2565" s="10"/>
      <c r="D2565" s="10"/>
      <c r="E2565" s="10"/>
      <c r="F2565" s="10"/>
      <c r="G2565" s="10"/>
      <c r="H2565" s="10"/>
      <c r="I2565" s="1" t="str">
        <f t="shared" si="117"/>
        <v/>
      </c>
      <c r="J2565" s="1" t="s">
        <v>35</v>
      </c>
      <c r="K2565" s="1" t="str">
        <f t="shared" si="118"/>
        <v/>
      </c>
      <c r="L2565" s="1" t="str">
        <f t="shared" si="119"/>
        <v/>
      </c>
      <c r="M2565" s="1">
        <f>IF(OR(Table1[[#This Row],[Std Nom]]="",Table1[[#This Row],[Std Read]]=""),0,Table1[[#This Row],[Std Nom]]-Table1[[#This Row],[Std Read]])</f>
        <v>0</v>
      </c>
      <c r="N2565" s="1">
        <f>IF(Calculations!$F$5="ACCREDITED 17025 WITH UNCERTAINTIES",$N$10,0)</f>
        <v>0</v>
      </c>
      <c r="Q2565" s="1">
        <f>Table1[[#This Row],[High Tol]]-Table1[[#This Row],[Low Tol]]</f>
        <v>0</v>
      </c>
      <c r="R2565" s="1">
        <f>2*Table1[[#This Row],[Std Error]]</f>
        <v>0</v>
      </c>
      <c r="S2565" s="1" t="str">
        <f>IF(Table1[[#This Row],[High Tol]]="","N/A",IFERROR(ABS(Table1[[#This Row],[Tol Span]]/Table1[[#This Row],[Error Span]]),"N/A"))</f>
        <v>N/A</v>
      </c>
      <c r="T2565" s="1" t="str">
        <f>IF(OR(Table1[[#This Row],[Low Tol]]="",Table1[[#This Row],[High Tol]]=""),"Needs Analysis",IF(Table1[[#This Row],[Ratio]]&gt;=4,"Not Significant",IF(Table1[[#This Row],[Ratio]]&gt;=2,"Semi-Significant","Significant")))</f>
        <v>Needs Analysis</v>
      </c>
      <c r="W2565" s="1">
        <f>IF(Table1[[#This Row],[Cal Type]]&lt;&gt;"ACCREDITED 17025 WITH UNCERTAINTIES",0,"")</f>
        <v>0</v>
      </c>
      <c r="X2565" s="1" t="str">
        <f>IF(Table1[[#This Row],[DUT Read]]="","N/A",Table1[[#This Row],[Std Error]]+Table1[[#This Row],[DUT Read]]+Table1[[#This Row],[DUT Ucty]])</f>
        <v>N/A</v>
      </c>
      <c r="Y2565" s="1" t="str">
        <f>IF(Table1[[#This Row],[Std Read]]="","N/A",Table1[[#This Row],[Std Read]]+Table1[[#This Row],[Std Ucty]])</f>
        <v>N/A</v>
      </c>
      <c r="Z25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5" s="1" t="str">
        <f>IF(Table1[[#This Row],[Spec Type]]="","N/A",Table1[[#This Row],[Spec Type]])</f>
        <v>±</v>
      </c>
      <c r="AC2565" s="1" t="str">
        <f>IF(Table1[[#This Row],[Spec Type2]]="N/A","N/A",IF(AND(Table1[[#This Row],[DUT Adj Read]]&gt;=Table1[[#This Row],[Low Tol]],Table1[[#This Row],[DUT Adj Read]]&lt;=Table1[[#This Row],[High Tol]]),"Pass","Fail"))</f>
        <v>Fail</v>
      </c>
      <c r="AD2565" s="1" t="str">
        <f>IF(AND(Table1[[#This Row],[Spec Type2]]="N/A",Table1[[#This Row],[DUT Adj Read]]="N/A",Table1[[#This Row],[Std Adj Read]]="N/A"),"N/A",IF(Table1[[#This Row],[DUT Adj Read]]="N/A",IF(Table1[[#This Row],[Std Adj Read]]&gt;Table1[[#This Row],[Low Tol]],"Pass","Fail"),IF(Table1[[#This Row],[DUT Adj Read]]&gt;Table1[[#This Row],[Low Tol]],"Pass","Fail")))</f>
        <v>Pass</v>
      </c>
      <c r="AE2565" s="1" t="str">
        <f>IF(AND(Table1[[#This Row],[Spec Type2]]="N/A",Table1[[#This Row],[DUT Adj Read]]="N/A",Table1[[#This Row],[Std Adj Read]]="N/A"),"N/A",IF(Table1[[#This Row],[DUT Adj Read]]="N/A",IF(Table1[[#This Row],[Std Adj Read]]&lt;Table1[[#This Row],[High Tol]],"Pass","Fail"),IF(Table1[[#This Row],[DUT Adj Read]]&lt;Table1[[#This Row],[High Tol]],"Pass","Fail")))</f>
        <v>Fail</v>
      </c>
      <c r="AF2565" s="1" t="str">
        <f>IF(AND(Table1[[#This Row],[Spec Type2]]="N/A",Table1[[#This Row],[DUT Adj Read]]="N/A",Table1[[#This Row],[Std Adj Read]]="N/A"),"N/A",IF(Table1[[#This Row],[DUT Adj Read]]="N/A",IF(Table1[[#This Row],[Std Adj Read]]&gt;=Table1[[#This Row],[Low Tol]],"Pass","Fail"),IF(Table1[[#This Row],[DUT Adj Read]]&gt;=Table1[[#This Row],[Low Tol]],"Pass","Fail")))</f>
        <v>Pass</v>
      </c>
      <c r="AG2565" s="1" t="str">
        <f>IF(AND(Table1[[#This Row],[Spec Type2]]="N/A",Table1[[#This Row],[DUT Adj Read]]="N/A",Table1[[#This Row],[Std Adj Read]]="N/A"),"N/A",IF(Table1[[#This Row],[DUT Adj Read]]="N/A",IF(Table1[[#This Row],[Std Adj Read]]&lt;=Table1[[#This Row],[High Tol]],"Pass","Fail"),IF(Table1[[#This Row],[DUT Adj Read]]&lt;=Table1[[#This Row],[High Tol]],"Pass","Fail")))</f>
        <v>Fail</v>
      </c>
      <c r="AH25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5" s="1" t="b">
        <v>0</v>
      </c>
      <c r="AN2565" s="1" t="b">
        <v>0</v>
      </c>
      <c r="AO2565" s="1" t="b">
        <v>0</v>
      </c>
    </row>
    <row r="2566" spans="1:41" x14ac:dyDescent="0.25">
      <c r="A2566" s="10"/>
      <c r="B2566" s="10"/>
      <c r="C2566" s="10"/>
      <c r="D2566" s="10"/>
      <c r="E2566" s="10"/>
      <c r="F2566" s="10"/>
      <c r="G2566" s="10"/>
      <c r="H2566" s="10"/>
      <c r="I2566" s="1" t="str">
        <f t="shared" si="117"/>
        <v/>
      </c>
      <c r="J2566" s="1" t="s">
        <v>35</v>
      </c>
      <c r="K2566" s="1" t="str">
        <f t="shared" si="118"/>
        <v/>
      </c>
      <c r="L2566" s="1" t="str">
        <f t="shared" si="119"/>
        <v/>
      </c>
      <c r="M2566" s="1">
        <f>IF(OR(Table1[[#This Row],[Std Nom]]="",Table1[[#This Row],[Std Read]]=""),0,Table1[[#This Row],[Std Nom]]-Table1[[#This Row],[Std Read]])</f>
        <v>0</v>
      </c>
      <c r="N2566" s="1">
        <f>IF(Calculations!$F$5="ACCREDITED 17025 WITH UNCERTAINTIES",$N$10,0)</f>
        <v>0</v>
      </c>
      <c r="Q2566" s="1">
        <f>Table1[[#This Row],[High Tol]]-Table1[[#This Row],[Low Tol]]</f>
        <v>0</v>
      </c>
      <c r="R2566" s="1">
        <f>2*Table1[[#This Row],[Std Error]]</f>
        <v>0</v>
      </c>
      <c r="S2566" s="1" t="str">
        <f>IF(Table1[[#This Row],[High Tol]]="","N/A",IFERROR(ABS(Table1[[#This Row],[Tol Span]]/Table1[[#This Row],[Error Span]]),"N/A"))</f>
        <v>N/A</v>
      </c>
      <c r="T2566" s="1" t="str">
        <f>IF(OR(Table1[[#This Row],[Low Tol]]="",Table1[[#This Row],[High Tol]]=""),"Needs Analysis",IF(Table1[[#This Row],[Ratio]]&gt;=4,"Not Significant",IF(Table1[[#This Row],[Ratio]]&gt;=2,"Semi-Significant","Significant")))</f>
        <v>Needs Analysis</v>
      </c>
      <c r="W2566" s="1">
        <f>IF(Table1[[#This Row],[Cal Type]]&lt;&gt;"ACCREDITED 17025 WITH UNCERTAINTIES",0,"")</f>
        <v>0</v>
      </c>
      <c r="X2566" s="1" t="str">
        <f>IF(Table1[[#This Row],[DUT Read]]="","N/A",Table1[[#This Row],[Std Error]]+Table1[[#This Row],[DUT Read]]+Table1[[#This Row],[DUT Ucty]])</f>
        <v>N/A</v>
      </c>
      <c r="Y2566" s="1" t="str">
        <f>IF(Table1[[#This Row],[Std Read]]="","N/A",Table1[[#This Row],[Std Read]]+Table1[[#This Row],[Std Ucty]])</f>
        <v>N/A</v>
      </c>
      <c r="Z25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6" s="1" t="str">
        <f>IF(Table1[[#This Row],[Spec Type]]="","N/A",Table1[[#This Row],[Spec Type]])</f>
        <v>±</v>
      </c>
      <c r="AC2566" s="1" t="str">
        <f>IF(Table1[[#This Row],[Spec Type2]]="N/A","N/A",IF(AND(Table1[[#This Row],[DUT Adj Read]]&gt;=Table1[[#This Row],[Low Tol]],Table1[[#This Row],[DUT Adj Read]]&lt;=Table1[[#This Row],[High Tol]]),"Pass","Fail"))</f>
        <v>Fail</v>
      </c>
      <c r="AD2566" s="1" t="str">
        <f>IF(AND(Table1[[#This Row],[Spec Type2]]="N/A",Table1[[#This Row],[DUT Adj Read]]="N/A",Table1[[#This Row],[Std Adj Read]]="N/A"),"N/A",IF(Table1[[#This Row],[DUT Adj Read]]="N/A",IF(Table1[[#This Row],[Std Adj Read]]&gt;Table1[[#This Row],[Low Tol]],"Pass","Fail"),IF(Table1[[#This Row],[DUT Adj Read]]&gt;Table1[[#This Row],[Low Tol]],"Pass","Fail")))</f>
        <v>Pass</v>
      </c>
      <c r="AE2566" s="1" t="str">
        <f>IF(AND(Table1[[#This Row],[Spec Type2]]="N/A",Table1[[#This Row],[DUT Adj Read]]="N/A",Table1[[#This Row],[Std Adj Read]]="N/A"),"N/A",IF(Table1[[#This Row],[DUT Adj Read]]="N/A",IF(Table1[[#This Row],[Std Adj Read]]&lt;Table1[[#This Row],[High Tol]],"Pass","Fail"),IF(Table1[[#This Row],[DUT Adj Read]]&lt;Table1[[#This Row],[High Tol]],"Pass","Fail")))</f>
        <v>Fail</v>
      </c>
      <c r="AF2566" s="1" t="str">
        <f>IF(AND(Table1[[#This Row],[Spec Type2]]="N/A",Table1[[#This Row],[DUT Adj Read]]="N/A",Table1[[#This Row],[Std Adj Read]]="N/A"),"N/A",IF(Table1[[#This Row],[DUT Adj Read]]="N/A",IF(Table1[[#This Row],[Std Adj Read]]&gt;=Table1[[#This Row],[Low Tol]],"Pass","Fail"),IF(Table1[[#This Row],[DUT Adj Read]]&gt;=Table1[[#This Row],[Low Tol]],"Pass","Fail")))</f>
        <v>Pass</v>
      </c>
      <c r="AG2566" s="1" t="str">
        <f>IF(AND(Table1[[#This Row],[Spec Type2]]="N/A",Table1[[#This Row],[DUT Adj Read]]="N/A",Table1[[#This Row],[Std Adj Read]]="N/A"),"N/A",IF(Table1[[#This Row],[DUT Adj Read]]="N/A",IF(Table1[[#This Row],[Std Adj Read]]&lt;=Table1[[#This Row],[High Tol]],"Pass","Fail"),IF(Table1[[#This Row],[DUT Adj Read]]&lt;=Table1[[#This Row],[High Tol]],"Pass","Fail")))</f>
        <v>Fail</v>
      </c>
      <c r="AH25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6" s="1" t="b">
        <v>0</v>
      </c>
      <c r="AN2566" s="1" t="b">
        <v>0</v>
      </c>
      <c r="AO2566" s="1" t="b">
        <v>0</v>
      </c>
    </row>
    <row r="2567" spans="1:41" x14ac:dyDescent="0.25">
      <c r="A2567" s="10"/>
      <c r="B2567" s="10"/>
      <c r="C2567" s="10"/>
      <c r="D2567" s="10"/>
      <c r="E2567" s="10"/>
      <c r="F2567" s="10"/>
      <c r="G2567" s="10"/>
      <c r="H2567" s="10"/>
      <c r="I2567" s="1" t="str">
        <f t="shared" si="117"/>
        <v/>
      </c>
      <c r="J2567" s="1" t="s">
        <v>35</v>
      </c>
      <c r="K2567" s="1" t="str">
        <f t="shared" si="118"/>
        <v/>
      </c>
      <c r="L2567" s="1" t="str">
        <f t="shared" si="119"/>
        <v/>
      </c>
      <c r="M2567" s="1">
        <f>IF(OR(Table1[[#This Row],[Std Nom]]="",Table1[[#This Row],[Std Read]]=""),0,Table1[[#This Row],[Std Nom]]-Table1[[#This Row],[Std Read]])</f>
        <v>0</v>
      </c>
      <c r="N2567" s="1">
        <f>IF(Calculations!$F$5="ACCREDITED 17025 WITH UNCERTAINTIES",$N$10,0)</f>
        <v>0</v>
      </c>
      <c r="Q2567" s="1">
        <f>Table1[[#This Row],[High Tol]]-Table1[[#This Row],[Low Tol]]</f>
        <v>0</v>
      </c>
      <c r="R2567" s="1">
        <f>2*Table1[[#This Row],[Std Error]]</f>
        <v>0</v>
      </c>
      <c r="S2567" s="1" t="str">
        <f>IF(Table1[[#This Row],[High Tol]]="","N/A",IFERROR(ABS(Table1[[#This Row],[Tol Span]]/Table1[[#This Row],[Error Span]]),"N/A"))</f>
        <v>N/A</v>
      </c>
      <c r="T2567" s="1" t="str">
        <f>IF(OR(Table1[[#This Row],[Low Tol]]="",Table1[[#This Row],[High Tol]]=""),"Needs Analysis",IF(Table1[[#This Row],[Ratio]]&gt;=4,"Not Significant",IF(Table1[[#This Row],[Ratio]]&gt;=2,"Semi-Significant","Significant")))</f>
        <v>Needs Analysis</v>
      </c>
      <c r="W2567" s="1">
        <f>IF(Table1[[#This Row],[Cal Type]]&lt;&gt;"ACCREDITED 17025 WITH UNCERTAINTIES",0,"")</f>
        <v>0</v>
      </c>
      <c r="X2567" s="1" t="str">
        <f>IF(Table1[[#This Row],[DUT Read]]="","N/A",Table1[[#This Row],[Std Error]]+Table1[[#This Row],[DUT Read]]+Table1[[#This Row],[DUT Ucty]])</f>
        <v>N/A</v>
      </c>
      <c r="Y2567" s="1" t="str">
        <f>IF(Table1[[#This Row],[Std Read]]="","N/A",Table1[[#This Row],[Std Read]]+Table1[[#This Row],[Std Ucty]])</f>
        <v>N/A</v>
      </c>
      <c r="Z25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7" s="1" t="str">
        <f>IF(Table1[[#This Row],[Spec Type]]="","N/A",Table1[[#This Row],[Spec Type]])</f>
        <v>±</v>
      </c>
      <c r="AC2567" s="1" t="str">
        <f>IF(Table1[[#This Row],[Spec Type2]]="N/A","N/A",IF(AND(Table1[[#This Row],[DUT Adj Read]]&gt;=Table1[[#This Row],[Low Tol]],Table1[[#This Row],[DUT Adj Read]]&lt;=Table1[[#This Row],[High Tol]]),"Pass","Fail"))</f>
        <v>Fail</v>
      </c>
      <c r="AD2567" s="1" t="str">
        <f>IF(AND(Table1[[#This Row],[Spec Type2]]="N/A",Table1[[#This Row],[DUT Adj Read]]="N/A",Table1[[#This Row],[Std Adj Read]]="N/A"),"N/A",IF(Table1[[#This Row],[DUT Adj Read]]="N/A",IF(Table1[[#This Row],[Std Adj Read]]&gt;Table1[[#This Row],[Low Tol]],"Pass","Fail"),IF(Table1[[#This Row],[DUT Adj Read]]&gt;Table1[[#This Row],[Low Tol]],"Pass","Fail")))</f>
        <v>Pass</v>
      </c>
      <c r="AE2567" s="1" t="str">
        <f>IF(AND(Table1[[#This Row],[Spec Type2]]="N/A",Table1[[#This Row],[DUT Adj Read]]="N/A",Table1[[#This Row],[Std Adj Read]]="N/A"),"N/A",IF(Table1[[#This Row],[DUT Adj Read]]="N/A",IF(Table1[[#This Row],[Std Adj Read]]&lt;Table1[[#This Row],[High Tol]],"Pass","Fail"),IF(Table1[[#This Row],[DUT Adj Read]]&lt;Table1[[#This Row],[High Tol]],"Pass","Fail")))</f>
        <v>Fail</v>
      </c>
      <c r="AF2567" s="1" t="str">
        <f>IF(AND(Table1[[#This Row],[Spec Type2]]="N/A",Table1[[#This Row],[DUT Adj Read]]="N/A",Table1[[#This Row],[Std Adj Read]]="N/A"),"N/A",IF(Table1[[#This Row],[DUT Adj Read]]="N/A",IF(Table1[[#This Row],[Std Adj Read]]&gt;=Table1[[#This Row],[Low Tol]],"Pass","Fail"),IF(Table1[[#This Row],[DUT Adj Read]]&gt;=Table1[[#This Row],[Low Tol]],"Pass","Fail")))</f>
        <v>Pass</v>
      </c>
      <c r="AG2567" s="1" t="str">
        <f>IF(AND(Table1[[#This Row],[Spec Type2]]="N/A",Table1[[#This Row],[DUT Adj Read]]="N/A",Table1[[#This Row],[Std Adj Read]]="N/A"),"N/A",IF(Table1[[#This Row],[DUT Adj Read]]="N/A",IF(Table1[[#This Row],[Std Adj Read]]&lt;=Table1[[#This Row],[High Tol]],"Pass","Fail"),IF(Table1[[#This Row],[DUT Adj Read]]&lt;=Table1[[#This Row],[High Tol]],"Pass","Fail")))</f>
        <v>Fail</v>
      </c>
      <c r="AH25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7" s="1" t="b">
        <v>0</v>
      </c>
      <c r="AN2567" s="1" t="b">
        <v>0</v>
      </c>
      <c r="AO2567" s="1" t="b">
        <v>0</v>
      </c>
    </row>
    <row r="2568" spans="1:41" x14ac:dyDescent="0.25">
      <c r="A2568" s="10"/>
      <c r="B2568" s="10"/>
      <c r="C2568" s="10"/>
      <c r="D2568" s="10"/>
      <c r="E2568" s="10"/>
      <c r="F2568" s="10"/>
      <c r="G2568" s="10"/>
      <c r="H2568" s="10"/>
      <c r="I2568" s="1" t="str">
        <f t="shared" si="117"/>
        <v/>
      </c>
      <c r="J2568" s="1" t="s">
        <v>35</v>
      </c>
      <c r="K2568" s="1" t="str">
        <f t="shared" si="118"/>
        <v/>
      </c>
      <c r="L2568" s="1" t="str">
        <f t="shared" si="119"/>
        <v/>
      </c>
      <c r="M2568" s="1">
        <f>IF(OR(Table1[[#This Row],[Std Nom]]="",Table1[[#This Row],[Std Read]]=""),0,Table1[[#This Row],[Std Nom]]-Table1[[#This Row],[Std Read]])</f>
        <v>0</v>
      </c>
      <c r="N2568" s="1">
        <f>IF(Calculations!$F$5="ACCREDITED 17025 WITH UNCERTAINTIES",$N$10,0)</f>
        <v>0</v>
      </c>
      <c r="Q2568" s="1">
        <f>Table1[[#This Row],[High Tol]]-Table1[[#This Row],[Low Tol]]</f>
        <v>0</v>
      </c>
      <c r="R2568" s="1">
        <f>2*Table1[[#This Row],[Std Error]]</f>
        <v>0</v>
      </c>
      <c r="S2568" s="1" t="str">
        <f>IF(Table1[[#This Row],[High Tol]]="","N/A",IFERROR(ABS(Table1[[#This Row],[Tol Span]]/Table1[[#This Row],[Error Span]]),"N/A"))</f>
        <v>N/A</v>
      </c>
      <c r="T2568" s="1" t="str">
        <f>IF(OR(Table1[[#This Row],[Low Tol]]="",Table1[[#This Row],[High Tol]]=""),"Needs Analysis",IF(Table1[[#This Row],[Ratio]]&gt;=4,"Not Significant",IF(Table1[[#This Row],[Ratio]]&gt;=2,"Semi-Significant","Significant")))</f>
        <v>Needs Analysis</v>
      </c>
      <c r="W2568" s="1">
        <f>IF(Table1[[#This Row],[Cal Type]]&lt;&gt;"ACCREDITED 17025 WITH UNCERTAINTIES",0,"")</f>
        <v>0</v>
      </c>
      <c r="X2568" s="1" t="str">
        <f>IF(Table1[[#This Row],[DUT Read]]="","N/A",Table1[[#This Row],[Std Error]]+Table1[[#This Row],[DUT Read]]+Table1[[#This Row],[DUT Ucty]])</f>
        <v>N/A</v>
      </c>
      <c r="Y2568" s="1" t="str">
        <f>IF(Table1[[#This Row],[Std Read]]="","N/A",Table1[[#This Row],[Std Read]]+Table1[[#This Row],[Std Ucty]])</f>
        <v>N/A</v>
      </c>
      <c r="Z25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8" s="1" t="str">
        <f>IF(Table1[[#This Row],[Spec Type]]="","N/A",Table1[[#This Row],[Spec Type]])</f>
        <v>±</v>
      </c>
      <c r="AC2568" s="1" t="str">
        <f>IF(Table1[[#This Row],[Spec Type2]]="N/A","N/A",IF(AND(Table1[[#This Row],[DUT Adj Read]]&gt;=Table1[[#This Row],[Low Tol]],Table1[[#This Row],[DUT Adj Read]]&lt;=Table1[[#This Row],[High Tol]]),"Pass","Fail"))</f>
        <v>Fail</v>
      </c>
      <c r="AD2568" s="1" t="str">
        <f>IF(AND(Table1[[#This Row],[Spec Type2]]="N/A",Table1[[#This Row],[DUT Adj Read]]="N/A",Table1[[#This Row],[Std Adj Read]]="N/A"),"N/A",IF(Table1[[#This Row],[DUT Adj Read]]="N/A",IF(Table1[[#This Row],[Std Adj Read]]&gt;Table1[[#This Row],[Low Tol]],"Pass","Fail"),IF(Table1[[#This Row],[DUT Adj Read]]&gt;Table1[[#This Row],[Low Tol]],"Pass","Fail")))</f>
        <v>Pass</v>
      </c>
      <c r="AE2568" s="1" t="str">
        <f>IF(AND(Table1[[#This Row],[Spec Type2]]="N/A",Table1[[#This Row],[DUT Adj Read]]="N/A",Table1[[#This Row],[Std Adj Read]]="N/A"),"N/A",IF(Table1[[#This Row],[DUT Adj Read]]="N/A",IF(Table1[[#This Row],[Std Adj Read]]&lt;Table1[[#This Row],[High Tol]],"Pass","Fail"),IF(Table1[[#This Row],[DUT Adj Read]]&lt;Table1[[#This Row],[High Tol]],"Pass","Fail")))</f>
        <v>Fail</v>
      </c>
      <c r="AF2568" s="1" t="str">
        <f>IF(AND(Table1[[#This Row],[Spec Type2]]="N/A",Table1[[#This Row],[DUT Adj Read]]="N/A",Table1[[#This Row],[Std Adj Read]]="N/A"),"N/A",IF(Table1[[#This Row],[DUT Adj Read]]="N/A",IF(Table1[[#This Row],[Std Adj Read]]&gt;=Table1[[#This Row],[Low Tol]],"Pass","Fail"),IF(Table1[[#This Row],[DUT Adj Read]]&gt;=Table1[[#This Row],[Low Tol]],"Pass","Fail")))</f>
        <v>Pass</v>
      </c>
      <c r="AG2568" s="1" t="str">
        <f>IF(AND(Table1[[#This Row],[Spec Type2]]="N/A",Table1[[#This Row],[DUT Adj Read]]="N/A",Table1[[#This Row],[Std Adj Read]]="N/A"),"N/A",IF(Table1[[#This Row],[DUT Adj Read]]="N/A",IF(Table1[[#This Row],[Std Adj Read]]&lt;=Table1[[#This Row],[High Tol]],"Pass","Fail"),IF(Table1[[#This Row],[DUT Adj Read]]&lt;=Table1[[#This Row],[High Tol]],"Pass","Fail")))</f>
        <v>Fail</v>
      </c>
      <c r="AH25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8" s="1" t="b">
        <v>0</v>
      </c>
      <c r="AN2568" s="1" t="b">
        <v>0</v>
      </c>
      <c r="AO2568" s="1" t="b">
        <v>0</v>
      </c>
    </row>
    <row r="2569" spans="1:41" x14ac:dyDescent="0.25">
      <c r="A2569" s="10"/>
      <c r="B2569" s="10"/>
      <c r="C2569" s="10"/>
      <c r="D2569" s="10"/>
      <c r="E2569" s="10"/>
      <c r="F2569" s="10"/>
      <c r="G2569" s="10"/>
      <c r="H2569" s="10"/>
      <c r="I2569" s="1" t="str">
        <f t="shared" si="117"/>
        <v/>
      </c>
      <c r="J2569" s="1" t="s">
        <v>35</v>
      </c>
      <c r="K2569" s="1" t="str">
        <f t="shared" si="118"/>
        <v/>
      </c>
      <c r="L2569" s="1" t="str">
        <f t="shared" si="119"/>
        <v/>
      </c>
      <c r="M2569" s="1">
        <f>IF(OR(Table1[[#This Row],[Std Nom]]="",Table1[[#This Row],[Std Read]]=""),0,Table1[[#This Row],[Std Nom]]-Table1[[#This Row],[Std Read]])</f>
        <v>0</v>
      </c>
      <c r="N2569" s="1">
        <f>IF(Calculations!$F$5="ACCREDITED 17025 WITH UNCERTAINTIES",$N$10,0)</f>
        <v>0</v>
      </c>
      <c r="Q2569" s="1">
        <f>Table1[[#This Row],[High Tol]]-Table1[[#This Row],[Low Tol]]</f>
        <v>0</v>
      </c>
      <c r="R2569" s="1">
        <f>2*Table1[[#This Row],[Std Error]]</f>
        <v>0</v>
      </c>
      <c r="S2569" s="1" t="str">
        <f>IF(Table1[[#This Row],[High Tol]]="","N/A",IFERROR(ABS(Table1[[#This Row],[Tol Span]]/Table1[[#This Row],[Error Span]]),"N/A"))</f>
        <v>N/A</v>
      </c>
      <c r="T2569" s="1" t="str">
        <f>IF(OR(Table1[[#This Row],[Low Tol]]="",Table1[[#This Row],[High Tol]]=""),"Needs Analysis",IF(Table1[[#This Row],[Ratio]]&gt;=4,"Not Significant",IF(Table1[[#This Row],[Ratio]]&gt;=2,"Semi-Significant","Significant")))</f>
        <v>Needs Analysis</v>
      </c>
      <c r="W2569" s="1">
        <f>IF(Table1[[#This Row],[Cal Type]]&lt;&gt;"ACCREDITED 17025 WITH UNCERTAINTIES",0,"")</f>
        <v>0</v>
      </c>
      <c r="X2569" s="1" t="str">
        <f>IF(Table1[[#This Row],[DUT Read]]="","N/A",Table1[[#This Row],[Std Error]]+Table1[[#This Row],[DUT Read]]+Table1[[#This Row],[DUT Ucty]])</f>
        <v>N/A</v>
      </c>
      <c r="Y2569" s="1" t="str">
        <f>IF(Table1[[#This Row],[Std Read]]="","N/A",Table1[[#This Row],[Std Read]]+Table1[[#This Row],[Std Ucty]])</f>
        <v>N/A</v>
      </c>
      <c r="Z25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69" s="1" t="str">
        <f>IF(Table1[[#This Row],[Spec Type]]="","N/A",Table1[[#This Row],[Spec Type]])</f>
        <v>±</v>
      </c>
      <c r="AC2569" s="1" t="str">
        <f>IF(Table1[[#This Row],[Spec Type2]]="N/A","N/A",IF(AND(Table1[[#This Row],[DUT Adj Read]]&gt;=Table1[[#This Row],[Low Tol]],Table1[[#This Row],[DUT Adj Read]]&lt;=Table1[[#This Row],[High Tol]]),"Pass","Fail"))</f>
        <v>Fail</v>
      </c>
      <c r="AD2569" s="1" t="str">
        <f>IF(AND(Table1[[#This Row],[Spec Type2]]="N/A",Table1[[#This Row],[DUT Adj Read]]="N/A",Table1[[#This Row],[Std Adj Read]]="N/A"),"N/A",IF(Table1[[#This Row],[DUT Adj Read]]="N/A",IF(Table1[[#This Row],[Std Adj Read]]&gt;Table1[[#This Row],[Low Tol]],"Pass","Fail"),IF(Table1[[#This Row],[DUT Adj Read]]&gt;Table1[[#This Row],[Low Tol]],"Pass","Fail")))</f>
        <v>Pass</v>
      </c>
      <c r="AE2569" s="1" t="str">
        <f>IF(AND(Table1[[#This Row],[Spec Type2]]="N/A",Table1[[#This Row],[DUT Adj Read]]="N/A",Table1[[#This Row],[Std Adj Read]]="N/A"),"N/A",IF(Table1[[#This Row],[DUT Adj Read]]="N/A",IF(Table1[[#This Row],[Std Adj Read]]&lt;Table1[[#This Row],[High Tol]],"Pass","Fail"),IF(Table1[[#This Row],[DUT Adj Read]]&lt;Table1[[#This Row],[High Tol]],"Pass","Fail")))</f>
        <v>Fail</v>
      </c>
      <c r="AF2569" s="1" t="str">
        <f>IF(AND(Table1[[#This Row],[Spec Type2]]="N/A",Table1[[#This Row],[DUT Adj Read]]="N/A",Table1[[#This Row],[Std Adj Read]]="N/A"),"N/A",IF(Table1[[#This Row],[DUT Adj Read]]="N/A",IF(Table1[[#This Row],[Std Adj Read]]&gt;=Table1[[#This Row],[Low Tol]],"Pass","Fail"),IF(Table1[[#This Row],[DUT Adj Read]]&gt;=Table1[[#This Row],[Low Tol]],"Pass","Fail")))</f>
        <v>Pass</v>
      </c>
      <c r="AG2569" s="1" t="str">
        <f>IF(AND(Table1[[#This Row],[Spec Type2]]="N/A",Table1[[#This Row],[DUT Adj Read]]="N/A",Table1[[#This Row],[Std Adj Read]]="N/A"),"N/A",IF(Table1[[#This Row],[DUT Adj Read]]="N/A",IF(Table1[[#This Row],[Std Adj Read]]&lt;=Table1[[#This Row],[High Tol]],"Pass","Fail"),IF(Table1[[#This Row],[DUT Adj Read]]&lt;=Table1[[#This Row],[High Tol]],"Pass","Fail")))</f>
        <v>Fail</v>
      </c>
      <c r="AH25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69" s="1" t="b">
        <v>0</v>
      </c>
      <c r="AN2569" s="1" t="b">
        <v>0</v>
      </c>
      <c r="AO2569" s="1" t="b">
        <v>0</v>
      </c>
    </row>
    <row r="2570" spans="1:41" x14ac:dyDescent="0.25">
      <c r="A2570" s="10"/>
      <c r="B2570" s="10"/>
      <c r="C2570" s="10"/>
      <c r="D2570" s="10"/>
      <c r="E2570" s="10"/>
      <c r="F2570" s="10"/>
      <c r="G2570" s="10"/>
      <c r="H2570" s="10"/>
      <c r="I2570" s="1" t="str">
        <f t="shared" si="117"/>
        <v/>
      </c>
      <c r="J2570" s="1" t="s">
        <v>35</v>
      </c>
      <c r="K2570" s="1" t="str">
        <f t="shared" si="118"/>
        <v/>
      </c>
      <c r="L2570" s="1" t="str">
        <f t="shared" si="119"/>
        <v/>
      </c>
      <c r="M2570" s="1">
        <f>IF(OR(Table1[[#This Row],[Std Nom]]="",Table1[[#This Row],[Std Read]]=""),0,Table1[[#This Row],[Std Nom]]-Table1[[#This Row],[Std Read]])</f>
        <v>0</v>
      </c>
      <c r="N2570" s="1">
        <f>IF(Calculations!$F$5="ACCREDITED 17025 WITH UNCERTAINTIES",$N$10,0)</f>
        <v>0</v>
      </c>
      <c r="Q2570" s="1">
        <f>Table1[[#This Row],[High Tol]]-Table1[[#This Row],[Low Tol]]</f>
        <v>0</v>
      </c>
      <c r="R2570" s="1">
        <f>2*Table1[[#This Row],[Std Error]]</f>
        <v>0</v>
      </c>
      <c r="S2570" s="1" t="str">
        <f>IF(Table1[[#This Row],[High Tol]]="","N/A",IFERROR(ABS(Table1[[#This Row],[Tol Span]]/Table1[[#This Row],[Error Span]]),"N/A"))</f>
        <v>N/A</v>
      </c>
      <c r="T2570" s="1" t="str">
        <f>IF(OR(Table1[[#This Row],[Low Tol]]="",Table1[[#This Row],[High Tol]]=""),"Needs Analysis",IF(Table1[[#This Row],[Ratio]]&gt;=4,"Not Significant",IF(Table1[[#This Row],[Ratio]]&gt;=2,"Semi-Significant","Significant")))</f>
        <v>Needs Analysis</v>
      </c>
      <c r="W2570" s="1">
        <f>IF(Table1[[#This Row],[Cal Type]]&lt;&gt;"ACCREDITED 17025 WITH UNCERTAINTIES",0,"")</f>
        <v>0</v>
      </c>
      <c r="X2570" s="1" t="str">
        <f>IF(Table1[[#This Row],[DUT Read]]="","N/A",Table1[[#This Row],[Std Error]]+Table1[[#This Row],[DUT Read]]+Table1[[#This Row],[DUT Ucty]])</f>
        <v>N/A</v>
      </c>
      <c r="Y2570" s="1" t="str">
        <f>IF(Table1[[#This Row],[Std Read]]="","N/A",Table1[[#This Row],[Std Read]]+Table1[[#This Row],[Std Ucty]])</f>
        <v>N/A</v>
      </c>
      <c r="Z25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0" s="1" t="str">
        <f>IF(Table1[[#This Row],[Spec Type]]="","N/A",Table1[[#This Row],[Spec Type]])</f>
        <v>±</v>
      </c>
      <c r="AC2570" s="1" t="str">
        <f>IF(Table1[[#This Row],[Spec Type2]]="N/A","N/A",IF(AND(Table1[[#This Row],[DUT Adj Read]]&gt;=Table1[[#This Row],[Low Tol]],Table1[[#This Row],[DUT Adj Read]]&lt;=Table1[[#This Row],[High Tol]]),"Pass","Fail"))</f>
        <v>Fail</v>
      </c>
      <c r="AD2570" s="1" t="str">
        <f>IF(AND(Table1[[#This Row],[Spec Type2]]="N/A",Table1[[#This Row],[DUT Adj Read]]="N/A",Table1[[#This Row],[Std Adj Read]]="N/A"),"N/A",IF(Table1[[#This Row],[DUT Adj Read]]="N/A",IF(Table1[[#This Row],[Std Adj Read]]&gt;Table1[[#This Row],[Low Tol]],"Pass","Fail"),IF(Table1[[#This Row],[DUT Adj Read]]&gt;Table1[[#This Row],[Low Tol]],"Pass","Fail")))</f>
        <v>Pass</v>
      </c>
      <c r="AE2570" s="1" t="str">
        <f>IF(AND(Table1[[#This Row],[Spec Type2]]="N/A",Table1[[#This Row],[DUT Adj Read]]="N/A",Table1[[#This Row],[Std Adj Read]]="N/A"),"N/A",IF(Table1[[#This Row],[DUT Adj Read]]="N/A",IF(Table1[[#This Row],[Std Adj Read]]&lt;Table1[[#This Row],[High Tol]],"Pass","Fail"),IF(Table1[[#This Row],[DUT Adj Read]]&lt;Table1[[#This Row],[High Tol]],"Pass","Fail")))</f>
        <v>Fail</v>
      </c>
      <c r="AF2570" s="1" t="str">
        <f>IF(AND(Table1[[#This Row],[Spec Type2]]="N/A",Table1[[#This Row],[DUT Adj Read]]="N/A",Table1[[#This Row],[Std Adj Read]]="N/A"),"N/A",IF(Table1[[#This Row],[DUT Adj Read]]="N/A",IF(Table1[[#This Row],[Std Adj Read]]&gt;=Table1[[#This Row],[Low Tol]],"Pass","Fail"),IF(Table1[[#This Row],[DUT Adj Read]]&gt;=Table1[[#This Row],[Low Tol]],"Pass","Fail")))</f>
        <v>Pass</v>
      </c>
      <c r="AG2570" s="1" t="str">
        <f>IF(AND(Table1[[#This Row],[Spec Type2]]="N/A",Table1[[#This Row],[DUT Adj Read]]="N/A",Table1[[#This Row],[Std Adj Read]]="N/A"),"N/A",IF(Table1[[#This Row],[DUT Adj Read]]="N/A",IF(Table1[[#This Row],[Std Adj Read]]&lt;=Table1[[#This Row],[High Tol]],"Pass","Fail"),IF(Table1[[#This Row],[DUT Adj Read]]&lt;=Table1[[#This Row],[High Tol]],"Pass","Fail")))</f>
        <v>Fail</v>
      </c>
      <c r="AH25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0" s="1" t="b">
        <v>0</v>
      </c>
      <c r="AN2570" s="1" t="b">
        <v>0</v>
      </c>
      <c r="AO2570" s="1" t="b">
        <v>0</v>
      </c>
    </row>
    <row r="2571" spans="1:41" x14ac:dyDescent="0.25">
      <c r="A2571" s="10"/>
      <c r="B2571" s="10"/>
      <c r="C2571" s="10"/>
      <c r="D2571" s="10"/>
      <c r="E2571" s="10"/>
      <c r="F2571" s="10"/>
      <c r="G2571" s="10"/>
      <c r="H2571" s="10"/>
      <c r="I2571" s="1" t="str">
        <f t="shared" ref="I2571:I2634" si="120">IF($I$10="","",$I$10)</f>
        <v/>
      </c>
      <c r="J2571" s="1" t="s">
        <v>35</v>
      </c>
      <c r="K2571" s="1" t="str">
        <f t="shared" ref="K2571:K2634" si="121">IF($K$10="","",$K$10)</f>
        <v/>
      </c>
      <c r="L2571" s="1" t="str">
        <f t="shared" ref="L2571:L2634" si="122">IF($L$10="","",$L$10)</f>
        <v/>
      </c>
      <c r="M2571" s="1">
        <f>IF(OR(Table1[[#This Row],[Std Nom]]="",Table1[[#This Row],[Std Read]]=""),0,Table1[[#This Row],[Std Nom]]-Table1[[#This Row],[Std Read]])</f>
        <v>0</v>
      </c>
      <c r="N2571" s="1">
        <f>IF(Calculations!$F$5="ACCREDITED 17025 WITH UNCERTAINTIES",$N$10,0)</f>
        <v>0</v>
      </c>
      <c r="Q2571" s="1">
        <f>Table1[[#This Row],[High Tol]]-Table1[[#This Row],[Low Tol]]</f>
        <v>0</v>
      </c>
      <c r="R2571" s="1">
        <f>2*Table1[[#This Row],[Std Error]]</f>
        <v>0</v>
      </c>
      <c r="S2571" s="1" t="str">
        <f>IF(Table1[[#This Row],[High Tol]]="","N/A",IFERROR(ABS(Table1[[#This Row],[Tol Span]]/Table1[[#This Row],[Error Span]]),"N/A"))</f>
        <v>N/A</v>
      </c>
      <c r="T2571" s="1" t="str">
        <f>IF(OR(Table1[[#This Row],[Low Tol]]="",Table1[[#This Row],[High Tol]]=""),"Needs Analysis",IF(Table1[[#This Row],[Ratio]]&gt;=4,"Not Significant",IF(Table1[[#This Row],[Ratio]]&gt;=2,"Semi-Significant","Significant")))</f>
        <v>Needs Analysis</v>
      </c>
      <c r="W2571" s="1">
        <f>IF(Table1[[#This Row],[Cal Type]]&lt;&gt;"ACCREDITED 17025 WITH UNCERTAINTIES",0,"")</f>
        <v>0</v>
      </c>
      <c r="X2571" s="1" t="str">
        <f>IF(Table1[[#This Row],[DUT Read]]="","N/A",Table1[[#This Row],[Std Error]]+Table1[[#This Row],[DUT Read]]+Table1[[#This Row],[DUT Ucty]])</f>
        <v>N/A</v>
      </c>
      <c r="Y2571" s="1" t="str">
        <f>IF(Table1[[#This Row],[Std Read]]="","N/A",Table1[[#This Row],[Std Read]]+Table1[[#This Row],[Std Ucty]])</f>
        <v>N/A</v>
      </c>
      <c r="Z25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1" s="1" t="str">
        <f>IF(Table1[[#This Row],[Spec Type]]="","N/A",Table1[[#This Row],[Spec Type]])</f>
        <v>±</v>
      </c>
      <c r="AC2571" s="1" t="str">
        <f>IF(Table1[[#This Row],[Spec Type2]]="N/A","N/A",IF(AND(Table1[[#This Row],[DUT Adj Read]]&gt;=Table1[[#This Row],[Low Tol]],Table1[[#This Row],[DUT Adj Read]]&lt;=Table1[[#This Row],[High Tol]]),"Pass","Fail"))</f>
        <v>Fail</v>
      </c>
      <c r="AD2571" s="1" t="str">
        <f>IF(AND(Table1[[#This Row],[Spec Type2]]="N/A",Table1[[#This Row],[DUT Adj Read]]="N/A",Table1[[#This Row],[Std Adj Read]]="N/A"),"N/A",IF(Table1[[#This Row],[DUT Adj Read]]="N/A",IF(Table1[[#This Row],[Std Adj Read]]&gt;Table1[[#This Row],[Low Tol]],"Pass","Fail"),IF(Table1[[#This Row],[DUT Adj Read]]&gt;Table1[[#This Row],[Low Tol]],"Pass","Fail")))</f>
        <v>Pass</v>
      </c>
      <c r="AE2571" s="1" t="str">
        <f>IF(AND(Table1[[#This Row],[Spec Type2]]="N/A",Table1[[#This Row],[DUT Adj Read]]="N/A",Table1[[#This Row],[Std Adj Read]]="N/A"),"N/A",IF(Table1[[#This Row],[DUT Adj Read]]="N/A",IF(Table1[[#This Row],[Std Adj Read]]&lt;Table1[[#This Row],[High Tol]],"Pass","Fail"),IF(Table1[[#This Row],[DUT Adj Read]]&lt;Table1[[#This Row],[High Tol]],"Pass","Fail")))</f>
        <v>Fail</v>
      </c>
      <c r="AF2571" s="1" t="str">
        <f>IF(AND(Table1[[#This Row],[Spec Type2]]="N/A",Table1[[#This Row],[DUT Adj Read]]="N/A",Table1[[#This Row],[Std Adj Read]]="N/A"),"N/A",IF(Table1[[#This Row],[DUT Adj Read]]="N/A",IF(Table1[[#This Row],[Std Adj Read]]&gt;=Table1[[#This Row],[Low Tol]],"Pass","Fail"),IF(Table1[[#This Row],[DUT Adj Read]]&gt;=Table1[[#This Row],[Low Tol]],"Pass","Fail")))</f>
        <v>Pass</v>
      </c>
      <c r="AG2571" s="1" t="str">
        <f>IF(AND(Table1[[#This Row],[Spec Type2]]="N/A",Table1[[#This Row],[DUT Adj Read]]="N/A",Table1[[#This Row],[Std Adj Read]]="N/A"),"N/A",IF(Table1[[#This Row],[DUT Adj Read]]="N/A",IF(Table1[[#This Row],[Std Adj Read]]&lt;=Table1[[#This Row],[High Tol]],"Pass","Fail"),IF(Table1[[#This Row],[DUT Adj Read]]&lt;=Table1[[#This Row],[High Tol]],"Pass","Fail")))</f>
        <v>Fail</v>
      </c>
      <c r="AH25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1" s="1" t="b">
        <v>0</v>
      </c>
      <c r="AN2571" s="1" t="b">
        <v>0</v>
      </c>
      <c r="AO2571" s="1" t="b">
        <v>0</v>
      </c>
    </row>
    <row r="2572" spans="1:41" x14ac:dyDescent="0.25">
      <c r="A2572" s="10"/>
      <c r="B2572" s="10"/>
      <c r="C2572" s="10"/>
      <c r="D2572" s="10"/>
      <c r="E2572" s="10"/>
      <c r="F2572" s="10"/>
      <c r="G2572" s="10"/>
      <c r="H2572" s="10"/>
      <c r="I2572" s="1" t="str">
        <f t="shared" si="120"/>
        <v/>
      </c>
      <c r="J2572" s="1" t="s">
        <v>35</v>
      </c>
      <c r="K2572" s="1" t="str">
        <f t="shared" si="121"/>
        <v/>
      </c>
      <c r="L2572" s="1" t="str">
        <f t="shared" si="122"/>
        <v/>
      </c>
      <c r="M2572" s="1">
        <f>IF(OR(Table1[[#This Row],[Std Nom]]="",Table1[[#This Row],[Std Read]]=""),0,Table1[[#This Row],[Std Nom]]-Table1[[#This Row],[Std Read]])</f>
        <v>0</v>
      </c>
      <c r="N2572" s="1">
        <f>IF(Calculations!$F$5="ACCREDITED 17025 WITH UNCERTAINTIES",$N$10,0)</f>
        <v>0</v>
      </c>
      <c r="Q2572" s="1">
        <f>Table1[[#This Row],[High Tol]]-Table1[[#This Row],[Low Tol]]</f>
        <v>0</v>
      </c>
      <c r="R2572" s="1">
        <f>2*Table1[[#This Row],[Std Error]]</f>
        <v>0</v>
      </c>
      <c r="S2572" s="1" t="str">
        <f>IF(Table1[[#This Row],[High Tol]]="","N/A",IFERROR(ABS(Table1[[#This Row],[Tol Span]]/Table1[[#This Row],[Error Span]]),"N/A"))</f>
        <v>N/A</v>
      </c>
      <c r="T2572" s="1" t="str">
        <f>IF(OR(Table1[[#This Row],[Low Tol]]="",Table1[[#This Row],[High Tol]]=""),"Needs Analysis",IF(Table1[[#This Row],[Ratio]]&gt;=4,"Not Significant",IF(Table1[[#This Row],[Ratio]]&gt;=2,"Semi-Significant","Significant")))</f>
        <v>Needs Analysis</v>
      </c>
      <c r="W2572" s="1">
        <f>IF(Table1[[#This Row],[Cal Type]]&lt;&gt;"ACCREDITED 17025 WITH UNCERTAINTIES",0,"")</f>
        <v>0</v>
      </c>
      <c r="X2572" s="1" t="str">
        <f>IF(Table1[[#This Row],[DUT Read]]="","N/A",Table1[[#This Row],[Std Error]]+Table1[[#This Row],[DUT Read]]+Table1[[#This Row],[DUT Ucty]])</f>
        <v>N/A</v>
      </c>
      <c r="Y2572" s="1" t="str">
        <f>IF(Table1[[#This Row],[Std Read]]="","N/A",Table1[[#This Row],[Std Read]]+Table1[[#This Row],[Std Ucty]])</f>
        <v>N/A</v>
      </c>
      <c r="Z25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2" s="1" t="str">
        <f>IF(Table1[[#This Row],[Spec Type]]="","N/A",Table1[[#This Row],[Spec Type]])</f>
        <v>±</v>
      </c>
      <c r="AC2572" s="1" t="str">
        <f>IF(Table1[[#This Row],[Spec Type2]]="N/A","N/A",IF(AND(Table1[[#This Row],[DUT Adj Read]]&gt;=Table1[[#This Row],[Low Tol]],Table1[[#This Row],[DUT Adj Read]]&lt;=Table1[[#This Row],[High Tol]]),"Pass","Fail"))</f>
        <v>Fail</v>
      </c>
      <c r="AD2572" s="1" t="str">
        <f>IF(AND(Table1[[#This Row],[Spec Type2]]="N/A",Table1[[#This Row],[DUT Adj Read]]="N/A",Table1[[#This Row],[Std Adj Read]]="N/A"),"N/A",IF(Table1[[#This Row],[DUT Adj Read]]="N/A",IF(Table1[[#This Row],[Std Adj Read]]&gt;Table1[[#This Row],[Low Tol]],"Pass","Fail"),IF(Table1[[#This Row],[DUT Adj Read]]&gt;Table1[[#This Row],[Low Tol]],"Pass","Fail")))</f>
        <v>Pass</v>
      </c>
      <c r="AE2572" s="1" t="str">
        <f>IF(AND(Table1[[#This Row],[Spec Type2]]="N/A",Table1[[#This Row],[DUT Adj Read]]="N/A",Table1[[#This Row],[Std Adj Read]]="N/A"),"N/A",IF(Table1[[#This Row],[DUT Adj Read]]="N/A",IF(Table1[[#This Row],[Std Adj Read]]&lt;Table1[[#This Row],[High Tol]],"Pass","Fail"),IF(Table1[[#This Row],[DUT Adj Read]]&lt;Table1[[#This Row],[High Tol]],"Pass","Fail")))</f>
        <v>Fail</v>
      </c>
      <c r="AF2572" s="1" t="str">
        <f>IF(AND(Table1[[#This Row],[Spec Type2]]="N/A",Table1[[#This Row],[DUT Adj Read]]="N/A",Table1[[#This Row],[Std Adj Read]]="N/A"),"N/A",IF(Table1[[#This Row],[DUT Adj Read]]="N/A",IF(Table1[[#This Row],[Std Adj Read]]&gt;=Table1[[#This Row],[Low Tol]],"Pass","Fail"),IF(Table1[[#This Row],[DUT Adj Read]]&gt;=Table1[[#This Row],[Low Tol]],"Pass","Fail")))</f>
        <v>Pass</v>
      </c>
      <c r="AG2572" s="1" t="str">
        <f>IF(AND(Table1[[#This Row],[Spec Type2]]="N/A",Table1[[#This Row],[DUT Adj Read]]="N/A",Table1[[#This Row],[Std Adj Read]]="N/A"),"N/A",IF(Table1[[#This Row],[DUT Adj Read]]="N/A",IF(Table1[[#This Row],[Std Adj Read]]&lt;=Table1[[#This Row],[High Tol]],"Pass","Fail"),IF(Table1[[#This Row],[DUT Adj Read]]&lt;=Table1[[#This Row],[High Tol]],"Pass","Fail")))</f>
        <v>Fail</v>
      </c>
      <c r="AH25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2" s="1" t="b">
        <v>0</v>
      </c>
      <c r="AN2572" s="1" t="b">
        <v>0</v>
      </c>
      <c r="AO2572" s="1" t="b">
        <v>0</v>
      </c>
    </row>
    <row r="2573" spans="1:41" x14ac:dyDescent="0.25">
      <c r="A2573" s="10"/>
      <c r="B2573" s="10"/>
      <c r="C2573" s="10"/>
      <c r="D2573" s="10"/>
      <c r="E2573" s="10"/>
      <c r="F2573" s="10"/>
      <c r="G2573" s="10"/>
      <c r="H2573" s="10"/>
      <c r="I2573" s="1" t="str">
        <f t="shared" si="120"/>
        <v/>
      </c>
      <c r="J2573" s="1" t="s">
        <v>35</v>
      </c>
      <c r="K2573" s="1" t="str">
        <f t="shared" si="121"/>
        <v/>
      </c>
      <c r="L2573" s="1" t="str">
        <f t="shared" si="122"/>
        <v/>
      </c>
      <c r="M2573" s="1">
        <f>IF(OR(Table1[[#This Row],[Std Nom]]="",Table1[[#This Row],[Std Read]]=""),0,Table1[[#This Row],[Std Nom]]-Table1[[#This Row],[Std Read]])</f>
        <v>0</v>
      </c>
      <c r="N2573" s="1">
        <f>IF(Calculations!$F$5="ACCREDITED 17025 WITH UNCERTAINTIES",$N$10,0)</f>
        <v>0</v>
      </c>
      <c r="Q2573" s="1">
        <f>Table1[[#This Row],[High Tol]]-Table1[[#This Row],[Low Tol]]</f>
        <v>0</v>
      </c>
      <c r="R2573" s="1">
        <f>2*Table1[[#This Row],[Std Error]]</f>
        <v>0</v>
      </c>
      <c r="S2573" s="1" t="str">
        <f>IF(Table1[[#This Row],[High Tol]]="","N/A",IFERROR(ABS(Table1[[#This Row],[Tol Span]]/Table1[[#This Row],[Error Span]]),"N/A"))</f>
        <v>N/A</v>
      </c>
      <c r="T2573" s="1" t="str">
        <f>IF(OR(Table1[[#This Row],[Low Tol]]="",Table1[[#This Row],[High Tol]]=""),"Needs Analysis",IF(Table1[[#This Row],[Ratio]]&gt;=4,"Not Significant",IF(Table1[[#This Row],[Ratio]]&gt;=2,"Semi-Significant","Significant")))</f>
        <v>Needs Analysis</v>
      </c>
      <c r="W2573" s="1">
        <f>IF(Table1[[#This Row],[Cal Type]]&lt;&gt;"ACCREDITED 17025 WITH UNCERTAINTIES",0,"")</f>
        <v>0</v>
      </c>
      <c r="X2573" s="1" t="str">
        <f>IF(Table1[[#This Row],[DUT Read]]="","N/A",Table1[[#This Row],[Std Error]]+Table1[[#This Row],[DUT Read]]+Table1[[#This Row],[DUT Ucty]])</f>
        <v>N/A</v>
      </c>
      <c r="Y2573" s="1" t="str">
        <f>IF(Table1[[#This Row],[Std Read]]="","N/A",Table1[[#This Row],[Std Read]]+Table1[[#This Row],[Std Ucty]])</f>
        <v>N/A</v>
      </c>
      <c r="Z25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3" s="1" t="str">
        <f>IF(Table1[[#This Row],[Spec Type]]="","N/A",Table1[[#This Row],[Spec Type]])</f>
        <v>±</v>
      </c>
      <c r="AC2573" s="1" t="str">
        <f>IF(Table1[[#This Row],[Spec Type2]]="N/A","N/A",IF(AND(Table1[[#This Row],[DUT Adj Read]]&gt;=Table1[[#This Row],[Low Tol]],Table1[[#This Row],[DUT Adj Read]]&lt;=Table1[[#This Row],[High Tol]]),"Pass","Fail"))</f>
        <v>Fail</v>
      </c>
      <c r="AD2573" s="1" t="str">
        <f>IF(AND(Table1[[#This Row],[Spec Type2]]="N/A",Table1[[#This Row],[DUT Adj Read]]="N/A",Table1[[#This Row],[Std Adj Read]]="N/A"),"N/A",IF(Table1[[#This Row],[DUT Adj Read]]="N/A",IF(Table1[[#This Row],[Std Adj Read]]&gt;Table1[[#This Row],[Low Tol]],"Pass","Fail"),IF(Table1[[#This Row],[DUT Adj Read]]&gt;Table1[[#This Row],[Low Tol]],"Pass","Fail")))</f>
        <v>Pass</v>
      </c>
      <c r="AE2573" s="1" t="str">
        <f>IF(AND(Table1[[#This Row],[Spec Type2]]="N/A",Table1[[#This Row],[DUT Adj Read]]="N/A",Table1[[#This Row],[Std Adj Read]]="N/A"),"N/A",IF(Table1[[#This Row],[DUT Adj Read]]="N/A",IF(Table1[[#This Row],[Std Adj Read]]&lt;Table1[[#This Row],[High Tol]],"Pass","Fail"),IF(Table1[[#This Row],[DUT Adj Read]]&lt;Table1[[#This Row],[High Tol]],"Pass","Fail")))</f>
        <v>Fail</v>
      </c>
      <c r="AF2573" s="1" t="str">
        <f>IF(AND(Table1[[#This Row],[Spec Type2]]="N/A",Table1[[#This Row],[DUT Adj Read]]="N/A",Table1[[#This Row],[Std Adj Read]]="N/A"),"N/A",IF(Table1[[#This Row],[DUT Adj Read]]="N/A",IF(Table1[[#This Row],[Std Adj Read]]&gt;=Table1[[#This Row],[Low Tol]],"Pass","Fail"),IF(Table1[[#This Row],[DUT Adj Read]]&gt;=Table1[[#This Row],[Low Tol]],"Pass","Fail")))</f>
        <v>Pass</v>
      </c>
      <c r="AG2573" s="1" t="str">
        <f>IF(AND(Table1[[#This Row],[Spec Type2]]="N/A",Table1[[#This Row],[DUT Adj Read]]="N/A",Table1[[#This Row],[Std Adj Read]]="N/A"),"N/A",IF(Table1[[#This Row],[DUT Adj Read]]="N/A",IF(Table1[[#This Row],[Std Adj Read]]&lt;=Table1[[#This Row],[High Tol]],"Pass","Fail"),IF(Table1[[#This Row],[DUT Adj Read]]&lt;=Table1[[#This Row],[High Tol]],"Pass","Fail")))</f>
        <v>Fail</v>
      </c>
      <c r="AH25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3" s="1" t="b">
        <v>0</v>
      </c>
      <c r="AN2573" s="1" t="b">
        <v>0</v>
      </c>
      <c r="AO2573" s="1" t="b">
        <v>0</v>
      </c>
    </row>
    <row r="2574" spans="1:41" x14ac:dyDescent="0.25">
      <c r="A2574" s="10"/>
      <c r="B2574" s="10"/>
      <c r="C2574" s="10"/>
      <c r="D2574" s="10"/>
      <c r="E2574" s="10"/>
      <c r="F2574" s="10"/>
      <c r="G2574" s="10"/>
      <c r="H2574" s="10"/>
      <c r="I2574" s="1" t="str">
        <f t="shared" si="120"/>
        <v/>
      </c>
      <c r="J2574" s="1" t="s">
        <v>35</v>
      </c>
      <c r="K2574" s="1" t="str">
        <f t="shared" si="121"/>
        <v/>
      </c>
      <c r="L2574" s="1" t="str">
        <f t="shared" si="122"/>
        <v/>
      </c>
      <c r="M2574" s="1">
        <f>IF(OR(Table1[[#This Row],[Std Nom]]="",Table1[[#This Row],[Std Read]]=""),0,Table1[[#This Row],[Std Nom]]-Table1[[#This Row],[Std Read]])</f>
        <v>0</v>
      </c>
      <c r="N2574" s="1">
        <f>IF(Calculations!$F$5="ACCREDITED 17025 WITH UNCERTAINTIES",$N$10,0)</f>
        <v>0</v>
      </c>
      <c r="Q2574" s="1">
        <f>Table1[[#This Row],[High Tol]]-Table1[[#This Row],[Low Tol]]</f>
        <v>0</v>
      </c>
      <c r="R2574" s="1">
        <f>2*Table1[[#This Row],[Std Error]]</f>
        <v>0</v>
      </c>
      <c r="S2574" s="1" t="str">
        <f>IF(Table1[[#This Row],[High Tol]]="","N/A",IFERROR(ABS(Table1[[#This Row],[Tol Span]]/Table1[[#This Row],[Error Span]]),"N/A"))</f>
        <v>N/A</v>
      </c>
      <c r="T2574" s="1" t="str">
        <f>IF(OR(Table1[[#This Row],[Low Tol]]="",Table1[[#This Row],[High Tol]]=""),"Needs Analysis",IF(Table1[[#This Row],[Ratio]]&gt;=4,"Not Significant",IF(Table1[[#This Row],[Ratio]]&gt;=2,"Semi-Significant","Significant")))</f>
        <v>Needs Analysis</v>
      </c>
      <c r="W2574" s="1">
        <f>IF(Table1[[#This Row],[Cal Type]]&lt;&gt;"ACCREDITED 17025 WITH UNCERTAINTIES",0,"")</f>
        <v>0</v>
      </c>
      <c r="X2574" s="1" t="str">
        <f>IF(Table1[[#This Row],[DUT Read]]="","N/A",Table1[[#This Row],[Std Error]]+Table1[[#This Row],[DUT Read]]+Table1[[#This Row],[DUT Ucty]])</f>
        <v>N/A</v>
      </c>
      <c r="Y2574" s="1" t="str">
        <f>IF(Table1[[#This Row],[Std Read]]="","N/A",Table1[[#This Row],[Std Read]]+Table1[[#This Row],[Std Ucty]])</f>
        <v>N/A</v>
      </c>
      <c r="Z25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4" s="1" t="str">
        <f>IF(Table1[[#This Row],[Spec Type]]="","N/A",Table1[[#This Row],[Spec Type]])</f>
        <v>±</v>
      </c>
      <c r="AC2574" s="1" t="str">
        <f>IF(Table1[[#This Row],[Spec Type2]]="N/A","N/A",IF(AND(Table1[[#This Row],[DUT Adj Read]]&gt;=Table1[[#This Row],[Low Tol]],Table1[[#This Row],[DUT Adj Read]]&lt;=Table1[[#This Row],[High Tol]]),"Pass","Fail"))</f>
        <v>Fail</v>
      </c>
      <c r="AD2574" s="1" t="str">
        <f>IF(AND(Table1[[#This Row],[Spec Type2]]="N/A",Table1[[#This Row],[DUT Adj Read]]="N/A",Table1[[#This Row],[Std Adj Read]]="N/A"),"N/A",IF(Table1[[#This Row],[DUT Adj Read]]="N/A",IF(Table1[[#This Row],[Std Adj Read]]&gt;Table1[[#This Row],[Low Tol]],"Pass","Fail"),IF(Table1[[#This Row],[DUT Adj Read]]&gt;Table1[[#This Row],[Low Tol]],"Pass","Fail")))</f>
        <v>Pass</v>
      </c>
      <c r="AE2574" s="1" t="str">
        <f>IF(AND(Table1[[#This Row],[Spec Type2]]="N/A",Table1[[#This Row],[DUT Adj Read]]="N/A",Table1[[#This Row],[Std Adj Read]]="N/A"),"N/A",IF(Table1[[#This Row],[DUT Adj Read]]="N/A",IF(Table1[[#This Row],[Std Adj Read]]&lt;Table1[[#This Row],[High Tol]],"Pass","Fail"),IF(Table1[[#This Row],[DUT Adj Read]]&lt;Table1[[#This Row],[High Tol]],"Pass","Fail")))</f>
        <v>Fail</v>
      </c>
      <c r="AF2574" s="1" t="str">
        <f>IF(AND(Table1[[#This Row],[Spec Type2]]="N/A",Table1[[#This Row],[DUT Adj Read]]="N/A",Table1[[#This Row],[Std Adj Read]]="N/A"),"N/A",IF(Table1[[#This Row],[DUT Adj Read]]="N/A",IF(Table1[[#This Row],[Std Adj Read]]&gt;=Table1[[#This Row],[Low Tol]],"Pass","Fail"),IF(Table1[[#This Row],[DUT Adj Read]]&gt;=Table1[[#This Row],[Low Tol]],"Pass","Fail")))</f>
        <v>Pass</v>
      </c>
      <c r="AG2574" s="1" t="str">
        <f>IF(AND(Table1[[#This Row],[Spec Type2]]="N/A",Table1[[#This Row],[DUT Adj Read]]="N/A",Table1[[#This Row],[Std Adj Read]]="N/A"),"N/A",IF(Table1[[#This Row],[DUT Adj Read]]="N/A",IF(Table1[[#This Row],[Std Adj Read]]&lt;=Table1[[#This Row],[High Tol]],"Pass","Fail"),IF(Table1[[#This Row],[DUT Adj Read]]&lt;=Table1[[#This Row],[High Tol]],"Pass","Fail")))</f>
        <v>Fail</v>
      </c>
      <c r="AH25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4" s="1" t="b">
        <v>0</v>
      </c>
      <c r="AN2574" s="1" t="b">
        <v>0</v>
      </c>
      <c r="AO2574" s="1" t="b">
        <v>0</v>
      </c>
    </row>
    <row r="2575" spans="1:41" x14ac:dyDescent="0.25">
      <c r="A2575" s="10"/>
      <c r="B2575" s="10"/>
      <c r="C2575" s="10"/>
      <c r="D2575" s="10"/>
      <c r="E2575" s="10"/>
      <c r="F2575" s="10"/>
      <c r="G2575" s="10"/>
      <c r="H2575" s="10"/>
      <c r="I2575" s="1" t="str">
        <f t="shared" si="120"/>
        <v/>
      </c>
      <c r="J2575" s="1" t="s">
        <v>35</v>
      </c>
      <c r="K2575" s="1" t="str">
        <f t="shared" si="121"/>
        <v/>
      </c>
      <c r="L2575" s="1" t="str">
        <f t="shared" si="122"/>
        <v/>
      </c>
      <c r="M2575" s="1">
        <f>IF(OR(Table1[[#This Row],[Std Nom]]="",Table1[[#This Row],[Std Read]]=""),0,Table1[[#This Row],[Std Nom]]-Table1[[#This Row],[Std Read]])</f>
        <v>0</v>
      </c>
      <c r="N2575" s="1">
        <f>IF(Calculations!$F$5="ACCREDITED 17025 WITH UNCERTAINTIES",$N$10,0)</f>
        <v>0</v>
      </c>
      <c r="Q2575" s="1">
        <f>Table1[[#This Row],[High Tol]]-Table1[[#This Row],[Low Tol]]</f>
        <v>0</v>
      </c>
      <c r="R2575" s="1">
        <f>2*Table1[[#This Row],[Std Error]]</f>
        <v>0</v>
      </c>
      <c r="S2575" s="1" t="str">
        <f>IF(Table1[[#This Row],[High Tol]]="","N/A",IFERROR(ABS(Table1[[#This Row],[Tol Span]]/Table1[[#This Row],[Error Span]]),"N/A"))</f>
        <v>N/A</v>
      </c>
      <c r="T2575" s="1" t="str">
        <f>IF(OR(Table1[[#This Row],[Low Tol]]="",Table1[[#This Row],[High Tol]]=""),"Needs Analysis",IF(Table1[[#This Row],[Ratio]]&gt;=4,"Not Significant",IF(Table1[[#This Row],[Ratio]]&gt;=2,"Semi-Significant","Significant")))</f>
        <v>Needs Analysis</v>
      </c>
      <c r="W2575" s="1">
        <f>IF(Table1[[#This Row],[Cal Type]]&lt;&gt;"ACCREDITED 17025 WITH UNCERTAINTIES",0,"")</f>
        <v>0</v>
      </c>
      <c r="X2575" s="1" t="str">
        <f>IF(Table1[[#This Row],[DUT Read]]="","N/A",Table1[[#This Row],[Std Error]]+Table1[[#This Row],[DUT Read]]+Table1[[#This Row],[DUT Ucty]])</f>
        <v>N/A</v>
      </c>
      <c r="Y2575" s="1" t="str">
        <f>IF(Table1[[#This Row],[Std Read]]="","N/A",Table1[[#This Row],[Std Read]]+Table1[[#This Row],[Std Ucty]])</f>
        <v>N/A</v>
      </c>
      <c r="Z25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5" s="1" t="str">
        <f>IF(Table1[[#This Row],[Spec Type]]="","N/A",Table1[[#This Row],[Spec Type]])</f>
        <v>±</v>
      </c>
      <c r="AC2575" s="1" t="str">
        <f>IF(Table1[[#This Row],[Spec Type2]]="N/A","N/A",IF(AND(Table1[[#This Row],[DUT Adj Read]]&gt;=Table1[[#This Row],[Low Tol]],Table1[[#This Row],[DUT Adj Read]]&lt;=Table1[[#This Row],[High Tol]]),"Pass","Fail"))</f>
        <v>Fail</v>
      </c>
      <c r="AD2575" s="1" t="str">
        <f>IF(AND(Table1[[#This Row],[Spec Type2]]="N/A",Table1[[#This Row],[DUT Adj Read]]="N/A",Table1[[#This Row],[Std Adj Read]]="N/A"),"N/A",IF(Table1[[#This Row],[DUT Adj Read]]="N/A",IF(Table1[[#This Row],[Std Adj Read]]&gt;Table1[[#This Row],[Low Tol]],"Pass","Fail"),IF(Table1[[#This Row],[DUT Adj Read]]&gt;Table1[[#This Row],[Low Tol]],"Pass","Fail")))</f>
        <v>Pass</v>
      </c>
      <c r="AE2575" s="1" t="str">
        <f>IF(AND(Table1[[#This Row],[Spec Type2]]="N/A",Table1[[#This Row],[DUT Adj Read]]="N/A",Table1[[#This Row],[Std Adj Read]]="N/A"),"N/A",IF(Table1[[#This Row],[DUT Adj Read]]="N/A",IF(Table1[[#This Row],[Std Adj Read]]&lt;Table1[[#This Row],[High Tol]],"Pass","Fail"),IF(Table1[[#This Row],[DUT Adj Read]]&lt;Table1[[#This Row],[High Tol]],"Pass","Fail")))</f>
        <v>Fail</v>
      </c>
      <c r="AF2575" s="1" t="str">
        <f>IF(AND(Table1[[#This Row],[Spec Type2]]="N/A",Table1[[#This Row],[DUT Adj Read]]="N/A",Table1[[#This Row],[Std Adj Read]]="N/A"),"N/A",IF(Table1[[#This Row],[DUT Adj Read]]="N/A",IF(Table1[[#This Row],[Std Adj Read]]&gt;=Table1[[#This Row],[Low Tol]],"Pass","Fail"),IF(Table1[[#This Row],[DUT Adj Read]]&gt;=Table1[[#This Row],[Low Tol]],"Pass","Fail")))</f>
        <v>Pass</v>
      </c>
      <c r="AG2575" s="1" t="str">
        <f>IF(AND(Table1[[#This Row],[Spec Type2]]="N/A",Table1[[#This Row],[DUT Adj Read]]="N/A",Table1[[#This Row],[Std Adj Read]]="N/A"),"N/A",IF(Table1[[#This Row],[DUT Adj Read]]="N/A",IF(Table1[[#This Row],[Std Adj Read]]&lt;=Table1[[#This Row],[High Tol]],"Pass","Fail"),IF(Table1[[#This Row],[DUT Adj Read]]&lt;=Table1[[#This Row],[High Tol]],"Pass","Fail")))</f>
        <v>Fail</v>
      </c>
      <c r="AH25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5" s="1" t="b">
        <v>0</v>
      </c>
      <c r="AN2575" s="1" t="b">
        <v>0</v>
      </c>
      <c r="AO2575" s="1" t="b">
        <v>0</v>
      </c>
    </row>
    <row r="2576" spans="1:41" x14ac:dyDescent="0.25">
      <c r="A2576" s="10"/>
      <c r="B2576" s="10"/>
      <c r="C2576" s="10"/>
      <c r="D2576" s="10"/>
      <c r="E2576" s="10"/>
      <c r="F2576" s="10"/>
      <c r="G2576" s="10"/>
      <c r="H2576" s="10"/>
      <c r="I2576" s="1" t="str">
        <f t="shared" si="120"/>
        <v/>
      </c>
      <c r="J2576" s="1" t="s">
        <v>35</v>
      </c>
      <c r="K2576" s="1" t="str">
        <f t="shared" si="121"/>
        <v/>
      </c>
      <c r="L2576" s="1" t="str">
        <f t="shared" si="122"/>
        <v/>
      </c>
      <c r="M2576" s="1">
        <f>IF(OR(Table1[[#This Row],[Std Nom]]="",Table1[[#This Row],[Std Read]]=""),0,Table1[[#This Row],[Std Nom]]-Table1[[#This Row],[Std Read]])</f>
        <v>0</v>
      </c>
      <c r="N2576" s="1">
        <f>IF(Calculations!$F$5="ACCREDITED 17025 WITH UNCERTAINTIES",$N$10,0)</f>
        <v>0</v>
      </c>
      <c r="Q2576" s="1">
        <f>Table1[[#This Row],[High Tol]]-Table1[[#This Row],[Low Tol]]</f>
        <v>0</v>
      </c>
      <c r="R2576" s="1">
        <f>2*Table1[[#This Row],[Std Error]]</f>
        <v>0</v>
      </c>
      <c r="S2576" s="1" t="str">
        <f>IF(Table1[[#This Row],[High Tol]]="","N/A",IFERROR(ABS(Table1[[#This Row],[Tol Span]]/Table1[[#This Row],[Error Span]]),"N/A"))</f>
        <v>N/A</v>
      </c>
      <c r="T2576" s="1" t="str">
        <f>IF(OR(Table1[[#This Row],[Low Tol]]="",Table1[[#This Row],[High Tol]]=""),"Needs Analysis",IF(Table1[[#This Row],[Ratio]]&gt;=4,"Not Significant",IF(Table1[[#This Row],[Ratio]]&gt;=2,"Semi-Significant","Significant")))</f>
        <v>Needs Analysis</v>
      </c>
      <c r="W2576" s="1">
        <f>IF(Table1[[#This Row],[Cal Type]]&lt;&gt;"ACCREDITED 17025 WITH UNCERTAINTIES",0,"")</f>
        <v>0</v>
      </c>
      <c r="X2576" s="1" t="str">
        <f>IF(Table1[[#This Row],[DUT Read]]="","N/A",Table1[[#This Row],[Std Error]]+Table1[[#This Row],[DUT Read]]+Table1[[#This Row],[DUT Ucty]])</f>
        <v>N/A</v>
      </c>
      <c r="Y2576" s="1" t="str">
        <f>IF(Table1[[#This Row],[Std Read]]="","N/A",Table1[[#This Row],[Std Read]]+Table1[[#This Row],[Std Ucty]])</f>
        <v>N/A</v>
      </c>
      <c r="Z25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6" s="1" t="str">
        <f>IF(Table1[[#This Row],[Spec Type]]="","N/A",Table1[[#This Row],[Spec Type]])</f>
        <v>±</v>
      </c>
      <c r="AC2576" s="1" t="str">
        <f>IF(Table1[[#This Row],[Spec Type2]]="N/A","N/A",IF(AND(Table1[[#This Row],[DUT Adj Read]]&gt;=Table1[[#This Row],[Low Tol]],Table1[[#This Row],[DUT Adj Read]]&lt;=Table1[[#This Row],[High Tol]]),"Pass","Fail"))</f>
        <v>Fail</v>
      </c>
      <c r="AD2576" s="1" t="str">
        <f>IF(AND(Table1[[#This Row],[Spec Type2]]="N/A",Table1[[#This Row],[DUT Adj Read]]="N/A",Table1[[#This Row],[Std Adj Read]]="N/A"),"N/A",IF(Table1[[#This Row],[DUT Adj Read]]="N/A",IF(Table1[[#This Row],[Std Adj Read]]&gt;Table1[[#This Row],[Low Tol]],"Pass","Fail"),IF(Table1[[#This Row],[DUT Adj Read]]&gt;Table1[[#This Row],[Low Tol]],"Pass","Fail")))</f>
        <v>Pass</v>
      </c>
      <c r="AE2576" s="1" t="str">
        <f>IF(AND(Table1[[#This Row],[Spec Type2]]="N/A",Table1[[#This Row],[DUT Adj Read]]="N/A",Table1[[#This Row],[Std Adj Read]]="N/A"),"N/A",IF(Table1[[#This Row],[DUT Adj Read]]="N/A",IF(Table1[[#This Row],[Std Adj Read]]&lt;Table1[[#This Row],[High Tol]],"Pass","Fail"),IF(Table1[[#This Row],[DUT Adj Read]]&lt;Table1[[#This Row],[High Tol]],"Pass","Fail")))</f>
        <v>Fail</v>
      </c>
      <c r="AF2576" s="1" t="str">
        <f>IF(AND(Table1[[#This Row],[Spec Type2]]="N/A",Table1[[#This Row],[DUT Adj Read]]="N/A",Table1[[#This Row],[Std Adj Read]]="N/A"),"N/A",IF(Table1[[#This Row],[DUT Adj Read]]="N/A",IF(Table1[[#This Row],[Std Adj Read]]&gt;=Table1[[#This Row],[Low Tol]],"Pass","Fail"),IF(Table1[[#This Row],[DUT Adj Read]]&gt;=Table1[[#This Row],[Low Tol]],"Pass","Fail")))</f>
        <v>Pass</v>
      </c>
      <c r="AG2576" s="1" t="str">
        <f>IF(AND(Table1[[#This Row],[Spec Type2]]="N/A",Table1[[#This Row],[DUT Adj Read]]="N/A",Table1[[#This Row],[Std Adj Read]]="N/A"),"N/A",IF(Table1[[#This Row],[DUT Adj Read]]="N/A",IF(Table1[[#This Row],[Std Adj Read]]&lt;=Table1[[#This Row],[High Tol]],"Pass","Fail"),IF(Table1[[#This Row],[DUT Adj Read]]&lt;=Table1[[#This Row],[High Tol]],"Pass","Fail")))</f>
        <v>Fail</v>
      </c>
      <c r="AH25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6" s="1" t="b">
        <v>0</v>
      </c>
      <c r="AN2576" s="1" t="b">
        <v>0</v>
      </c>
      <c r="AO2576" s="1" t="b">
        <v>0</v>
      </c>
    </row>
    <row r="2577" spans="1:41" x14ac:dyDescent="0.25">
      <c r="A2577" s="10"/>
      <c r="B2577" s="10"/>
      <c r="C2577" s="10"/>
      <c r="D2577" s="10"/>
      <c r="E2577" s="10"/>
      <c r="F2577" s="10"/>
      <c r="G2577" s="10"/>
      <c r="H2577" s="10"/>
      <c r="I2577" s="1" t="str">
        <f t="shared" si="120"/>
        <v/>
      </c>
      <c r="J2577" s="1" t="s">
        <v>35</v>
      </c>
      <c r="K2577" s="1" t="str">
        <f t="shared" si="121"/>
        <v/>
      </c>
      <c r="L2577" s="1" t="str">
        <f t="shared" si="122"/>
        <v/>
      </c>
      <c r="M2577" s="1">
        <f>IF(OR(Table1[[#This Row],[Std Nom]]="",Table1[[#This Row],[Std Read]]=""),0,Table1[[#This Row],[Std Nom]]-Table1[[#This Row],[Std Read]])</f>
        <v>0</v>
      </c>
      <c r="N2577" s="1">
        <f>IF(Calculations!$F$5="ACCREDITED 17025 WITH UNCERTAINTIES",$N$10,0)</f>
        <v>0</v>
      </c>
      <c r="Q2577" s="1">
        <f>Table1[[#This Row],[High Tol]]-Table1[[#This Row],[Low Tol]]</f>
        <v>0</v>
      </c>
      <c r="R2577" s="1">
        <f>2*Table1[[#This Row],[Std Error]]</f>
        <v>0</v>
      </c>
      <c r="S2577" s="1" t="str">
        <f>IF(Table1[[#This Row],[High Tol]]="","N/A",IFERROR(ABS(Table1[[#This Row],[Tol Span]]/Table1[[#This Row],[Error Span]]),"N/A"))</f>
        <v>N/A</v>
      </c>
      <c r="T2577" s="1" t="str">
        <f>IF(OR(Table1[[#This Row],[Low Tol]]="",Table1[[#This Row],[High Tol]]=""),"Needs Analysis",IF(Table1[[#This Row],[Ratio]]&gt;=4,"Not Significant",IF(Table1[[#This Row],[Ratio]]&gt;=2,"Semi-Significant","Significant")))</f>
        <v>Needs Analysis</v>
      </c>
      <c r="W2577" s="1">
        <f>IF(Table1[[#This Row],[Cal Type]]&lt;&gt;"ACCREDITED 17025 WITH UNCERTAINTIES",0,"")</f>
        <v>0</v>
      </c>
      <c r="X2577" s="1" t="str">
        <f>IF(Table1[[#This Row],[DUT Read]]="","N/A",Table1[[#This Row],[Std Error]]+Table1[[#This Row],[DUT Read]]+Table1[[#This Row],[DUT Ucty]])</f>
        <v>N/A</v>
      </c>
      <c r="Y2577" s="1" t="str">
        <f>IF(Table1[[#This Row],[Std Read]]="","N/A",Table1[[#This Row],[Std Read]]+Table1[[#This Row],[Std Ucty]])</f>
        <v>N/A</v>
      </c>
      <c r="Z25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7" s="1" t="str">
        <f>IF(Table1[[#This Row],[Spec Type]]="","N/A",Table1[[#This Row],[Spec Type]])</f>
        <v>±</v>
      </c>
      <c r="AC2577" s="1" t="str">
        <f>IF(Table1[[#This Row],[Spec Type2]]="N/A","N/A",IF(AND(Table1[[#This Row],[DUT Adj Read]]&gt;=Table1[[#This Row],[Low Tol]],Table1[[#This Row],[DUT Adj Read]]&lt;=Table1[[#This Row],[High Tol]]),"Pass","Fail"))</f>
        <v>Fail</v>
      </c>
      <c r="AD2577" s="1" t="str">
        <f>IF(AND(Table1[[#This Row],[Spec Type2]]="N/A",Table1[[#This Row],[DUT Adj Read]]="N/A",Table1[[#This Row],[Std Adj Read]]="N/A"),"N/A",IF(Table1[[#This Row],[DUT Adj Read]]="N/A",IF(Table1[[#This Row],[Std Adj Read]]&gt;Table1[[#This Row],[Low Tol]],"Pass","Fail"),IF(Table1[[#This Row],[DUT Adj Read]]&gt;Table1[[#This Row],[Low Tol]],"Pass","Fail")))</f>
        <v>Pass</v>
      </c>
      <c r="AE2577" s="1" t="str">
        <f>IF(AND(Table1[[#This Row],[Spec Type2]]="N/A",Table1[[#This Row],[DUT Adj Read]]="N/A",Table1[[#This Row],[Std Adj Read]]="N/A"),"N/A",IF(Table1[[#This Row],[DUT Adj Read]]="N/A",IF(Table1[[#This Row],[Std Adj Read]]&lt;Table1[[#This Row],[High Tol]],"Pass","Fail"),IF(Table1[[#This Row],[DUT Adj Read]]&lt;Table1[[#This Row],[High Tol]],"Pass","Fail")))</f>
        <v>Fail</v>
      </c>
      <c r="AF2577" s="1" t="str">
        <f>IF(AND(Table1[[#This Row],[Spec Type2]]="N/A",Table1[[#This Row],[DUT Adj Read]]="N/A",Table1[[#This Row],[Std Adj Read]]="N/A"),"N/A",IF(Table1[[#This Row],[DUT Adj Read]]="N/A",IF(Table1[[#This Row],[Std Adj Read]]&gt;=Table1[[#This Row],[Low Tol]],"Pass","Fail"),IF(Table1[[#This Row],[DUT Adj Read]]&gt;=Table1[[#This Row],[Low Tol]],"Pass","Fail")))</f>
        <v>Pass</v>
      </c>
      <c r="AG2577" s="1" t="str">
        <f>IF(AND(Table1[[#This Row],[Spec Type2]]="N/A",Table1[[#This Row],[DUT Adj Read]]="N/A",Table1[[#This Row],[Std Adj Read]]="N/A"),"N/A",IF(Table1[[#This Row],[DUT Adj Read]]="N/A",IF(Table1[[#This Row],[Std Adj Read]]&lt;=Table1[[#This Row],[High Tol]],"Pass","Fail"),IF(Table1[[#This Row],[DUT Adj Read]]&lt;=Table1[[#This Row],[High Tol]],"Pass","Fail")))</f>
        <v>Fail</v>
      </c>
      <c r="AH25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7" s="1" t="b">
        <v>0</v>
      </c>
      <c r="AN2577" s="1" t="b">
        <v>0</v>
      </c>
      <c r="AO2577" s="1" t="b">
        <v>0</v>
      </c>
    </row>
    <row r="2578" spans="1:41" x14ac:dyDescent="0.25">
      <c r="A2578" s="10"/>
      <c r="B2578" s="10"/>
      <c r="C2578" s="10"/>
      <c r="D2578" s="10"/>
      <c r="E2578" s="10"/>
      <c r="F2578" s="10"/>
      <c r="G2578" s="10"/>
      <c r="H2578" s="10"/>
      <c r="I2578" s="1" t="str">
        <f t="shared" si="120"/>
        <v/>
      </c>
      <c r="J2578" s="1" t="s">
        <v>35</v>
      </c>
      <c r="K2578" s="1" t="str">
        <f t="shared" si="121"/>
        <v/>
      </c>
      <c r="L2578" s="1" t="str">
        <f t="shared" si="122"/>
        <v/>
      </c>
      <c r="M2578" s="1">
        <f>IF(OR(Table1[[#This Row],[Std Nom]]="",Table1[[#This Row],[Std Read]]=""),0,Table1[[#This Row],[Std Nom]]-Table1[[#This Row],[Std Read]])</f>
        <v>0</v>
      </c>
      <c r="N2578" s="1">
        <f>IF(Calculations!$F$5="ACCREDITED 17025 WITH UNCERTAINTIES",$N$10,0)</f>
        <v>0</v>
      </c>
      <c r="Q2578" s="1">
        <f>Table1[[#This Row],[High Tol]]-Table1[[#This Row],[Low Tol]]</f>
        <v>0</v>
      </c>
      <c r="R2578" s="1">
        <f>2*Table1[[#This Row],[Std Error]]</f>
        <v>0</v>
      </c>
      <c r="S2578" s="1" t="str">
        <f>IF(Table1[[#This Row],[High Tol]]="","N/A",IFERROR(ABS(Table1[[#This Row],[Tol Span]]/Table1[[#This Row],[Error Span]]),"N/A"))</f>
        <v>N/A</v>
      </c>
      <c r="T2578" s="1" t="str">
        <f>IF(OR(Table1[[#This Row],[Low Tol]]="",Table1[[#This Row],[High Tol]]=""),"Needs Analysis",IF(Table1[[#This Row],[Ratio]]&gt;=4,"Not Significant",IF(Table1[[#This Row],[Ratio]]&gt;=2,"Semi-Significant","Significant")))</f>
        <v>Needs Analysis</v>
      </c>
      <c r="W2578" s="1">
        <f>IF(Table1[[#This Row],[Cal Type]]&lt;&gt;"ACCREDITED 17025 WITH UNCERTAINTIES",0,"")</f>
        <v>0</v>
      </c>
      <c r="X2578" s="1" t="str">
        <f>IF(Table1[[#This Row],[DUT Read]]="","N/A",Table1[[#This Row],[Std Error]]+Table1[[#This Row],[DUT Read]]+Table1[[#This Row],[DUT Ucty]])</f>
        <v>N/A</v>
      </c>
      <c r="Y2578" s="1" t="str">
        <f>IF(Table1[[#This Row],[Std Read]]="","N/A",Table1[[#This Row],[Std Read]]+Table1[[#This Row],[Std Ucty]])</f>
        <v>N/A</v>
      </c>
      <c r="Z25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8" s="1" t="str">
        <f>IF(Table1[[#This Row],[Spec Type]]="","N/A",Table1[[#This Row],[Spec Type]])</f>
        <v>±</v>
      </c>
      <c r="AC2578" s="1" t="str">
        <f>IF(Table1[[#This Row],[Spec Type2]]="N/A","N/A",IF(AND(Table1[[#This Row],[DUT Adj Read]]&gt;=Table1[[#This Row],[Low Tol]],Table1[[#This Row],[DUT Adj Read]]&lt;=Table1[[#This Row],[High Tol]]),"Pass","Fail"))</f>
        <v>Fail</v>
      </c>
      <c r="AD2578" s="1" t="str">
        <f>IF(AND(Table1[[#This Row],[Spec Type2]]="N/A",Table1[[#This Row],[DUT Adj Read]]="N/A",Table1[[#This Row],[Std Adj Read]]="N/A"),"N/A",IF(Table1[[#This Row],[DUT Adj Read]]="N/A",IF(Table1[[#This Row],[Std Adj Read]]&gt;Table1[[#This Row],[Low Tol]],"Pass","Fail"),IF(Table1[[#This Row],[DUT Adj Read]]&gt;Table1[[#This Row],[Low Tol]],"Pass","Fail")))</f>
        <v>Pass</v>
      </c>
      <c r="AE2578" s="1" t="str">
        <f>IF(AND(Table1[[#This Row],[Spec Type2]]="N/A",Table1[[#This Row],[DUT Adj Read]]="N/A",Table1[[#This Row],[Std Adj Read]]="N/A"),"N/A",IF(Table1[[#This Row],[DUT Adj Read]]="N/A",IF(Table1[[#This Row],[Std Adj Read]]&lt;Table1[[#This Row],[High Tol]],"Pass","Fail"),IF(Table1[[#This Row],[DUT Adj Read]]&lt;Table1[[#This Row],[High Tol]],"Pass","Fail")))</f>
        <v>Fail</v>
      </c>
      <c r="AF2578" s="1" t="str">
        <f>IF(AND(Table1[[#This Row],[Spec Type2]]="N/A",Table1[[#This Row],[DUT Adj Read]]="N/A",Table1[[#This Row],[Std Adj Read]]="N/A"),"N/A",IF(Table1[[#This Row],[DUT Adj Read]]="N/A",IF(Table1[[#This Row],[Std Adj Read]]&gt;=Table1[[#This Row],[Low Tol]],"Pass","Fail"),IF(Table1[[#This Row],[DUT Adj Read]]&gt;=Table1[[#This Row],[Low Tol]],"Pass","Fail")))</f>
        <v>Pass</v>
      </c>
      <c r="AG2578" s="1" t="str">
        <f>IF(AND(Table1[[#This Row],[Spec Type2]]="N/A",Table1[[#This Row],[DUT Adj Read]]="N/A",Table1[[#This Row],[Std Adj Read]]="N/A"),"N/A",IF(Table1[[#This Row],[DUT Adj Read]]="N/A",IF(Table1[[#This Row],[Std Adj Read]]&lt;=Table1[[#This Row],[High Tol]],"Pass","Fail"),IF(Table1[[#This Row],[DUT Adj Read]]&lt;=Table1[[#This Row],[High Tol]],"Pass","Fail")))</f>
        <v>Fail</v>
      </c>
      <c r="AH25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8" s="1" t="b">
        <v>0</v>
      </c>
      <c r="AN2578" s="1" t="b">
        <v>0</v>
      </c>
      <c r="AO2578" s="1" t="b">
        <v>0</v>
      </c>
    </row>
    <row r="2579" spans="1:41" x14ac:dyDescent="0.25">
      <c r="A2579" s="10"/>
      <c r="B2579" s="10"/>
      <c r="C2579" s="10"/>
      <c r="D2579" s="10"/>
      <c r="E2579" s="10"/>
      <c r="F2579" s="10"/>
      <c r="G2579" s="10"/>
      <c r="H2579" s="10"/>
      <c r="I2579" s="1" t="str">
        <f t="shared" si="120"/>
        <v/>
      </c>
      <c r="J2579" s="1" t="s">
        <v>35</v>
      </c>
      <c r="K2579" s="1" t="str">
        <f t="shared" si="121"/>
        <v/>
      </c>
      <c r="L2579" s="1" t="str">
        <f t="shared" si="122"/>
        <v/>
      </c>
      <c r="M2579" s="1">
        <f>IF(OR(Table1[[#This Row],[Std Nom]]="",Table1[[#This Row],[Std Read]]=""),0,Table1[[#This Row],[Std Nom]]-Table1[[#This Row],[Std Read]])</f>
        <v>0</v>
      </c>
      <c r="N2579" s="1">
        <f>IF(Calculations!$F$5="ACCREDITED 17025 WITH UNCERTAINTIES",$N$10,0)</f>
        <v>0</v>
      </c>
      <c r="Q2579" s="1">
        <f>Table1[[#This Row],[High Tol]]-Table1[[#This Row],[Low Tol]]</f>
        <v>0</v>
      </c>
      <c r="R2579" s="1">
        <f>2*Table1[[#This Row],[Std Error]]</f>
        <v>0</v>
      </c>
      <c r="S2579" s="1" t="str">
        <f>IF(Table1[[#This Row],[High Tol]]="","N/A",IFERROR(ABS(Table1[[#This Row],[Tol Span]]/Table1[[#This Row],[Error Span]]),"N/A"))</f>
        <v>N/A</v>
      </c>
      <c r="T2579" s="1" t="str">
        <f>IF(OR(Table1[[#This Row],[Low Tol]]="",Table1[[#This Row],[High Tol]]=""),"Needs Analysis",IF(Table1[[#This Row],[Ratio]]&gt;=4,"Not Significant",IF(Table1[[#This Row],[Ratio]]&gt;=2,"Semi-Significant","Significant")))</f>
        <v>Needs Analysis</v>
      </c>
      <c r="W2579" s="1">
        <f>IF(Table1[[#This Row],[Cal Type]]&lt;&gt;"ACCREDITED 17025 WITH UNCERTAINTIES",0,"")</f>
        <v>0</v>
      </c>
      <c r="X2579" s="1" t="str">
        <f>IF(Table1[[#This Row],[DUT Read]]="","N/A",Table1[[#This Row],[Std Error]]+Table1[[#This Row],[DUT Read]]+Table1[[#This Row],[DUT Ucty]])</f>
        <v>N/A</v>
      </c>
      <c r="Y2579" s="1" t="str">
        <f>IF(Table1[[#This Row],[Std Read]]="","N/A",Table1[[#This Row],[Std Read]]+Table1[[#This Row],[Std Ucty]])</f>
        <v>N/A</v>
      </c>
      <c r="Z25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79" s="1" t="str">
        <f>IF(Table1[[#This Row],[Spec Type]]="","N/A",Table1[[#This Row],[Spec Type]])</f>
        <v>±</v>
      </c>
      <c r="AC2579" s="1" t="str">
        <f>IF(Table1[[#This Row],[Spec Type2]]="N/A","N/A",IF(AND(Table1[[#This Row],[DUT Adj Read]]&gt;=Table1[[#This Row],[Low Tol]],Table1[[#This Row],[DUT Adj Read]]&lt;=Table1[[#This Row],[High Tol]]),"Pass","Fail"))</f>
        <v>Fail</v>
      </c>
      <c r="AD2579" s="1" t="str">
        <f>IF(AND(Table1[[#This Row],[Spec Type2]]="N/A",Table1[[#This Row],[DUT Adj Read]]="N/A",Table1[[#This Row],[Std Adj Read]]="N/A"),"N/A",IF(Table1[[#This Row],[DUT Adj Read]]="N/A",IF(Table1[[#This Row],[Std Adj Read]]&gt;Table1[[#This Row],[Low Tol]],"Pass","Fail"),IF(Table1[[#This Row],[DUT Adj Read]]&gt;Table1[[#This Row],[Low Tol]],"Pass","Fail")))</f>
        <v>Pass</v>
      </c>
      <c r="AE2579" s="1" t="str">
        <f>IF(AND(Table1[[#This Row],[Spec Type2]]="N/A",Table1[[#This Row],[DUT Adj Read]]="N/A",Table1[[#This Row],[Std Adj Read]]="N/A"),"N/A",IF(Table1[[#This Row],[DUT Adj Read]]="N/A",IF(Table1[[#This Row],[Std Adj Read]]&lt;Table1[[#This Row],[High Tol]],"Pass","Fail"),IF(Table1[[#This Row],[DUT Adj Read]]&lt;Table1[[#This Row],[High Tol]],"Pass","Fail")))</f>
        <v>Fail</v>
      </c>
      <c r="AF2579" s="1" t="str">
        <f>IF(AND(Table1[[#This Row],[Spec Type2]]="N/A",Table1[[#This Row],[DUT Adj Read]]="N/A",Table1[[#This Row],[Std Adj Read]]="N/A"),"N/A",IF(Table1[[#This Row],[DUT Adj Read]]="N/A",IF(Table1[[#This Row],[Std Adj Read]]&gt;=Table1[[#This Row],[Low Tol]],"Pass","Fail"),IF(Table1[[#This Row],[DUT Adj Read]]&gt;=Table1[[#This Row],[Low Tol]],"Pass","Fail")))</f>
        <v>Pass</v>
      </c>
      <c r="AG2579" s="1" t="str">
        <f>IF(AND(Table1[[#This Row],[Spec Type2]]="N/A",Table1[[#This Row],[DUT Adj Read]]="N/A",Table1[[#This Row],[Std Adj Read]]="N/A"),"N/A",IF(Table1[[#This Row],[DUT Adj Read]]="N/A",IF(Table1[[#This Row],[Std Adj Read]]&lt;=Table1[[#This Row],[High Tol]],"Pass","Fail"),IF(Table1[[#This Row],[DUT Adj Read]]&lt;=Table1[[#This Row],[High Tol]],"Pass","Fail")))</f>
        <v>Fail</v>
      </c>
      <c r="AH25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79" s="1" t="b">
        <v>0</v>
      </c>
      <c r="AN2579" s="1" t="b">
        <v>0</v>
      </c>
      <c r="AO2579" s="1" t="b">
        <v>0</v>
      </c>
    </row>
    <row r="2580" spans="1:41" x14ac:dyDescent="0.25">
      <c r="A2580" s="10"/>
      <c r="B2580" s="10"/>
      <c r="C2580" s="10"/>
      <c r="D2580" s="10"/>
      <c r="E2580" s="10"/>
      <c r="F2580" s="10"/>
      <c r="G2580" s="10"/>
      <c r="H2580" s="10"/>
      <c r="I2580" s="1" t="str">
        <f t="shared" si="120"/>
        <v/>
      </c>
      <c r="J2580" s="1" t="s">
        <v>35</v>
      </c>
      <c r="K2580" s="1" t="str">
        <f t="shared" si="121"/>
        <v/>
      </c>
      <c r="L2580" s="1" t="str">
        <f t="shared" si="122"/>
        <v/>
      </c>
      <c r="M2580" s="1">
        <f>IF(OR(Table1[[#This Row],[Std Nom]]="",Table1[[#This Row],[Std Read]]=""),0,Table1[[#This Row],[Std Nom]]-Table1[[#This Row],[Std Read]])</f>
        <v>0</v>
      </c>
      <c r="N2580" s="1">
        <f>IF(Calculations!$F$5="ACCREDITED 17025 WITH UNCERTAINTIES",$N$10,0)</f>
        <v>0</v>
      </c>
      <c r="Q2580" s="1">
        <f>Table1[[#This Row],[High Tol]]-Table1[[#This Row],[Low Tol]]</f>
        <v>0</v>
      </c>
      <c r="R2580" s="1">
        <f>2*Table1[[#This Row],[Std Error]]</f>
        <v>0</v>
      </c>
      <c r="S2580" s="1" t="str">
        <f>IF(Table1[[#This Row],[High Tol]]="","N/A",IFERROR(ABS(Table1[[#This Row],[Tol Span]]/Table1[[#This Row],[Error Span]]),"N/A"))</f>
        <v>N/A</v>
      </c>
      <c r="T2580" s="1" t="str">
        <f>IF(OR(Table1[[#This Row],[Low Tol]]="",Table1[[#This Row],[High Tol]]=""),"Needs Analysis",IF(Table1[[#This Row],[Ratio]]&gt;=4,"Not Significant",IF(Table1[[#This Row],[Ratio]]&gt;=2,"Semi-Significant","Significant")))</f>
        <v>Needs Analysis</v>
      </c>
      <c r="W2580" s="1">
        <f>IF(Table1[[#This Row],[Cal Type]]&lt;&gt;"ACCREDITED 17025 WITH UNCERTAINTIES",0,"")</f>
        <v>0</v>
      </c>
      <c r="X2580" s="1" t="str">
        <f>IF(Table1[[#This Row],[DUT Read]]="","N/A",Table1[[#This Row],[Std Error]]+Table1[[#This Row],[DUT Read]]+Table1[[#This Row],[DUT Ucty]])</f>
        <v>N/A</v>
      </c>
      <c r="Y2580" s="1" t="str">
        <f>IF(Table1[[#This Row],[Std Read]]="","N/A",Table1[[#This Row],[Std Read]]+Table1[[#This Row],[Std Ucty]])</f>
        <v>N/A</v>
      </c>
      <c r="Z25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0" s="1" t="str">
        <f>IF(Table1[[#This Row],[Spec Type]]="","N/A",Table1[[#This Row],[Spec Type]])</f>
        <v>±</v>
      </c>
      <c r="AC2580" s="1" t="str">
        <f>IF(Table1[[#This Row],[Spec Type2]]="N/A","N/A",IF(AND(Table1[[#This Row],[DUT Adj Read]]&gt;=Table1[[#This Row],[Low Tol]],Table1[[#This Row],[DUT Adj Read]]&lt;=Table1[[#This Row],[High Tol]]),"Pass","Fail"))</f>
        <v>Fail</v>
      </c>
      <c r="AD2580" s="1" t="str">
        <f>IF(AND(Table1[[#This Row],[Spec Type2]]="N/A",Table1[[#This Row],[DUT Adj Read]]="N/A",Table1[[#This Row],[Std Adj Read]]="N/A"),"N/A",IF(Table1[[#This Row],[DUT Adj Read]]="N/A",IF(Table1[[#This Row],[Std Adj Read]]&gt;Table1[[#This Row],[Low Tol]],"Pass","Fail"),IF(Table1[[#This Row],[DUT Adj Read]]&gt;Table1[[#This Row],[Low Tol]],"Pass","Fail")))</f>
        <v>Pass</v>
      </c>
      <c r="AE2580" s="1" t="str">
        <f>IF(AND(Table1[[#This Row],[Spec Type2]]="N/A",Table1[[#This Row],[DUT Adj Read]]="N/A",Table1[[#This Row],[Std Adj Read]]="N/A"),"N/A",IF(Table1[[#This Row],[DUT Adj Read]]="N/A",IF(Table1[[#This Row],[Std Adj Read]]&lt;Table1[[#This Row],[High Tol]],"Pass","Fail"),IF(Table1[[#This Row],[DUT Adj Read]]&lt;Table1[[#This Row],[High Tol]],"Pass","Fail")))</f>
        <v>Fail</v>
      </c>
      <c r="AF2580" s="1" t="str">
        <f>IF(AND(Table1[[#This Row],[Spec Type2]]="N/A",Table1[[#This Row],[DUT Adj Read]]="N/A",Table1[[#This Row],[Std Adj Read]]="N/A"),"N/A",IF(Table1[[#This Row],[DUT Adj Read]]="N/A",IF(Table1[[#This Row],[Std Adj Read]]&gt;=Table1[[#This Row],[Low Tol]],"Pass","Fail"),IF(Table1[[#This Row],[DUT Adj Read]]&gt;=Table1[[#This Row],[Low Tol]],"Pass","Fail")))</f>
        <v>Pass</v>
      </c>
      <c r="AG2580" s="1" t="str">
        <f>IF(AND(Table1[[#This Row],[Spec Type2]]="N/A",Table1[[#This Row],[DUT Adj Read]]="N/A",Table1[[#This Row],[Std Adj Read]]="N/A"),"N/A",IF(Table1[[#This Row],[DUT Adj Read]]="N/A",IF(Table1[[#This Row],[Std Adj Read]]&lt;=Table1[[#This Row],[High Tol]],"Pass","Fail"),IF(Table1[[#This Row],[DUT Adj Read]]&lt;=Table1[[#This Row],[High Tol]],"Pass","Fail")))</f>
        <v>Fail</v>
      </c>
      <c r="AH25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0" s="1" t="b">
        <v>0</v>
      </c>
      <c r="AN2580" s="1" t="b">
        <v>0</v>
      </c>
      <c r="AO2580" s="1" t="b">
        <v>0</v>
      </c>
    </row>
    <row r="2581" spans="1:41" x14ac:dyDescent="0.25">
      <c r="A2581" s="10"/>
      <c r="B2581" s="10"/>
      <c r="C2581" s="10"/>
      <c r="D2581" s="10"/>
      <c r="E2581" s="10"/>
      <c r="F2581" s="10"/>
      <c r="G2581" s="10"/>
      <c r="H2581" s="10"/>
      <c r="I2581" s="1" t="str">
        <f t="shared" si="120"/>
        <v/>
      </c>
      <c r="J2581" s="1" t="s">
        <v>35</v>
      </c>
      <c r="K2581" s="1" t="str">
        <f t="shared" si="121"/>
        <v/>
      </c>
      <c r="L2581" s="1" t="str">
        <f t="shared" si="122"/>
        <v/>
      </c>
      <c r="M2581" s="1">
        <f>IF(OR(Table1[[#This Row],[Std Nom]]="",Table1[[#This Row],[Std Read]]=""),0,Table1[[#This Row],[Std Nom]]-Table1[[#This Row],[Std Read]])</f>
        <v>0</v>
      </c>
      <c r="N2581" s="1">
        <f>IF(Calculations!$F$5="ACCREDITED 17025 WITH UNCERTAINTIES",$N$10,0)</f>
        <v>0</v>
      </c>
      <c r="Q2581" s="1">
        <f>Table1[[#This Row],[High Tol]]-Table1[[#This Row],[Low Tol]]</f>
        <v>0</v>
      </c>
      <c r="R2581" s="1">
        <f>2*Table1[[#This Row],[Std Error]]</f>
        <v>0</v>
      </c>
      <c r="S2581" s="1" t="str">
        <f>IF(Table1[[#This Row],[High Tol]]="","N/A",IFERROR(ABS(Table1[[#This Row],[Tol Span]]/Table1[[#This Row],[Error Span]]),"N/A"))</f>
        <v>N/A</v>
      </c>
      <c r="T2581" s="1" t="str">
        <f>IF(OR(Table1[[#This Row],[Low Tol]]="",Table1[[#This Row],[High Tol]]=""),"Needs Analysis",IF(Table1[[#This Row],[Ratio]]&gt;=4,"Not Significant",IF(Table1[[#This Row],[Ratio]]&gt;=2,"Semi-Significant","Significant")))</f>
        <v>Needs Analysis</v>
      </c>
      <c r="W2581" s="1">
        <f>IF(Table1[[#This Row],[Cal Type]]&lt;&gt;"ACCREDITED 17025 WITH UNCERTAINTIES",0,"")</f>
        <v>0</v>
      </c>
      <c r="X2581" s="1" t="str">
        <f>IF(Table1[[#This Row],[DUT Read]]="","N/A",Table1[[#This Row],[Std Error]]+Table1[[#This Row],[DUT Read]]+Table1[[#This Row],[DUT Ucty]])</f>
        <v>N/A</v>
      </c>
      <c r="Y2581" s="1" t="str">
        <f>IF(Table1[[#This Row],[Std Read]]="","N/A",Table1[[#This Row],[Std Read]]+Table1[[#This Row],[Std Ucty]])</f>
        <v>N/A</v>
      </c>
      <c r="Z25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1" s="1" t="str">
        <f>IF(Table1[[#This Row],[Spec Type]]="","N/A",Table1[[#This Row],[Spec Type]])</f>
        <v>±</v>
      </c>
      <c r="AC2581" s="1" t="str">
        <f>IF(Table1[[#This Row],[Spec Type2]]="N/A","N/A",IF(AND(Table1[[#This Row],[DUT Adj Read]]&gt;=Table1[[#This Row],[Low Tol]],Table1[[#This Row],[DUT Adj Read]]&lt;=Table1[[#This Row],[High Tol]]),"Pass","Fail"))</f>
        <v>Fail</v>
      </c>
      <c r="AD2581" s="1" t="str">
        <f>IF(AND(Table1[[#This Row],[Spec Type2]]="N/A",Table1[[#This Row],[DUT Adj Read]]="N/A",Table1[[#This Row],[Std Adj Read]]="N/A"),"N/A",IF(Table1[[#This Row],[DUT Adj Read]]="N/A",IF(Table1[[#This Row],[Std Adj Read]]&gt;Table1[[#This Row],[Low Tol]],"Pass","Fail"),IF(Table1[[#This Row],[DUT Adj Read]]&gt;Table1[[#This Row],[Low Tol]],"Pass","Fail")))</f>
        <v>Pass</v>
      </c>
      <c r="AE2581" s="1" t="str">
        <f>IF(AND(Table1[[#This Row],[Spec Type2]]="N/A",Table1[[#This Row],[DUT Adj Read]]="N/A",Table1[[#This Row],[Std Adj Read]]="N/A"),"N/A",IF(Table1[[#This Row],[DUT Adj Read]]="N/A",IF(Table1[[#This Row],[Std Adj Read]]&lt;Table1[[#This Row],[High Tol]],"Pass","Fail"),IF(Table1[[#This Row],[DUT Adj Read]]&lt;Table1[[#This Row],[High Tol]],"Pass","Fail")))</f>
        <v>Fail</v>
      </c>
      <c r="AF2581" s="1" t="str">
        <f>IF(AND(Table1[[#This Row],[Spec Type2]]="N/A",Table1[[#This Row],[DUT Adj Read]]="N/A",Table1[[#This Row],[Std Adj Read]]="N/A"),"N/A",IF(Table1[[#This Row],[DUT Adj Read]]="N/A",IF(Table1[[#This Row],[Std Adj Read]]&gt;=Table1[[#This Row],[Low Tol]],"Pass","Fail"),IF(Table1[[#This Row],[DUT Adj Read]]&gt;=Table1[[#This Row],[Low Tol]],"Pass","Fail")))</f>
        <v>Pass</v>
      </c>
      <c r="AG2581" s="1" t="str">
        <f>IF(AND(Table1[[#This Row],[Spec Type2]]="N/A",Table1[[#This Row],[DUT Adj Read]]="N/A",Table1[[#This Row],[Std Adj Read]]="N/A"),"N/A",IF(Table1[[#This Row],[DUT Adj Read]]="N/A",IF(Table1[[#This Row],[Std Adj Read]]&lt;=Table1[[#This Row],[High Tol]],"Pass","Fail"),IF(Table1[[#This Row],[DUT Adj Read]]&lt;=Table1[[#This Row],[High Tol]],"Pass","Fail")))</f>
        <v>Fail</v>
      </c>
      <c r="AH25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1" s="1" t="b">
        <v>0</v>
      </c>
      <c r="AN2581" s="1" t="b">
        <v>0</v>
      </c>
      <c r="AO2581" s="1" t="b">
        <v>0</v>
      </c>
    </row>
    <row r="2582" spans="1:41" x14ac:dyDescent="0.25">
      <c r="A2582" s="10"/>
      <c r="B2582" s="10"/>
      <c r="C2582" s="10"/>
      <c r="D2582" s="10"/>
      <c r="E2582" s="10"/>
      <c r="F2582" s="10"/>
      <c r="G2582" s="10"/>
      <c r="H2582" s="10"/>
      <c r="I2582" s="1" t="str">
        <f t="shared" si="120"/>
        <v/>
      </c>
      <c r="J2582" s="1" t="s">
        <v>35</v>
      </c>
      <c r="K2582" s="1" t="str">
        <f t="shared" si="121"/>
        <v/>
      </c>
      <c r="L2582" s="1" t="str">
        <f t="shared" si="122"/>
        <v/>
      </c>
      <c r="M2582" s="1">
        <f>IF(OR(Table1[[#This Row],[Std Nom]]="",Table1[[#This Row],[Std Read]]=""),0,Table1[[#This Row],[Std Nom]]-Table1[[#This Row],[Std Read]])</f>
        <v>0</v>
      </c>
      <c r="N2582" s="1">
        <f>IF(Calculations!$F$5="ACCREDITED 17025 WITH UNCERTAINTIES",$N$10,0)</f>
        <v>0</v>
      </c>
      <c r="Q2582" s="1">
        <f>Table1[[#This Row],[High Tol]]-Table1[[#This Row],[Low Tol]]</f>
        <v>0</v>
      </c>
      <c r="R2582" s="1">
        <f>2*Table1[[#This Row],[Std Error]]</f>
        <v>0</v>
      </c>
      <c r="S2582" s="1" t="str">
        <f>IF(Table1[[#This Row],[High Tol]]="","N/A",IFERROR(ABS(Table1[[#This Row],[Tol Span]]/Table1[[#This Row],[Error Span]]),"N/A"))</f>
        <v>N/A</v>
      </c>
      <c r="T2582" s="1" t="str">
        <f>IF(OR(Table1[[#This Row],[Low Tol]]="",Table1[[#This Row],[High Tol]]=""),"Needs Analysis",IF(Table1[[#This Row],[Ratio]]&gt;=4,"Not Significant",IF(Table1[[#This Row],[Ratio]]&gt;=2,"Semi-Significant","Significant")))</f>
        <v>Needs Analysis</v>
      </c>
      <c r="W2582" s="1">
        <f>IF(Table1[[#This Row],[Cal Type]]&lt;&gt;"ACCREDITED 17025 WITH UNCERTAINTIES",0,"")</f>
        <v>0</v>
      </c>
      <c r="X2582" s="1" t="str">
        <f>IF(Table1[[#This Row],[DUT Read]]="","N/A",Table1[[#This Row],[Std Error]]+Table1[[#This Row],[DUT Read]]+Table1[[#This Row],[DUT Ucty]])</f>
        <v>N/A</v>
      </c>
      <c r="Y2582" s="1" t="str">
        <f>IF(Table1[[#This Row],[Std Read]]="","N/A",Table1[[#This Row],[Std Read]]+Table1[[#This Row],[Std Ucty]])</f>
        <v>N/A</v>
      </c>
      <c r="Z25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2" s="1" t="str">
        <f>IF(Table1[[#This Row],[Spec Type]]="","N/A",Table1[[#This Row],[Spec Type]])</f>
        <v>±</v>
      </c>
      <c r="AC2582" s="1" t="str">
        <f>IF(Table1[[#This Row],[Spec Type2]]="N/A","N/A",IF(AND(Table1[[#This Row],[DUT Adj Read]]&gt;=Table1[[#This Row],[Low Tol]],Table1[[#This Row],[DUT Adj Read]]&lt;=Table1[[#This Row],[High Tol]]),"Pass","Fail"))</f>
        <v>Fail</v>
      </c>
      <c r="AD2582" s="1" t="str">
        <f>IF(AND(Table1[[#This Row],[Spec Type2]]="N/A",Table1[[#This Row],[DUT Adj Read]]="N/A",Table1[[#This Row],[Std Adj Read]]="N/A"),"N/A",IF(Table1[[#This Row],[DUT Adj Read]]="N/A",IF(Table1[[#This Row],[Std Adj Read]]&gt;Table1[[#This Row],[Low Tol]],"Pass","Fail"),IF(Table1[[#This Row],[DUT Adj Read]]&gt;Table1[[#This Row],[Low Tol]],"Pass","Fail")))</f>
        <v>Pass</v>
      </c>
      <c r="AE2582" s="1" t="str">
        <f>IF(AND(Table1[[#This Row],[Spec Type2]]="N/A",Table1[[#This Row],[DUT Adj Read]]="N/A",Table1[[#This Row],[Std Adj Read]]="N/A"),"N/A",IF(Table1[[#This Row],[DUT Adj Read]]="N/A",IF(Table1[[#This Row],[Std Adj Read]]&lt;Table1[[#This Row],[High Tol]],"Pass","Fail"),IF(Table1[[#This Row],[DUT Adj Read]]&lt;Table1[[#This Row],[High Tol]],"Pass","Fail")))</f>
        <v>Fail</v>
      </c>
      <c r="AF2582" s="1" t="str">
        <f>IF(AND(Table1[[#This Row],[Spec Type2]]="N/A",Table1[[#This Row],[DUT Adj Read]]="N/A",Table1[[#This Row],[Std Adj Read]]="N/A"),"N/A",IF(Table1[[#This Row],[DUT Adj Read]]="N/A",IF(Table1[[#This Row],[Std Adj Read]]&gt;=Table1[[#This Row],[Low Tol]],"Pass","Fail"),IF(Table1[[#This Row],[DUT Adj Read]]&gt;=Table1[[#This Row],[Low Tol]],"Pass","Fail")))</f>
        <v>Pass</v>
      </c>
      <c r="AG2582" s="1" t="str">
        <f>IF(AND(Table1[[#This Row],[Spec Type2]]="N/A",Table1[[#This Row],[DUT Adj Read]]="N/A",Table1[[#This Row],[Std Adj Read]]="N/A"),"N/A",IF(Table1[[#This Row],[DUT Adj Read]]="N/A",IF(Table1[[#This Row],[Std Adj Read]]&lt;=Table1[[#This Row],[High Tol]],"Pass","Fail"),IF(Table1[[#This Row],[DUT Adj Read]]&lt;=Table1[[#This Row],[High Tol]],"Pass","Fail")))</f>
        <v>Fail</v>
      </c>
      <c r="AH25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2" s="1" t="b">
        <v>0</v>
      </c>
      <c r="AN2582" s="1" t="b">
        <v>0</v>
      </c>
      <c r="AO2582" s="1" t="b">
        <v>0</v>
      </c>
    </row>
    <row r="2583" spans="1:41" x14ac:dyDescent="0.25">
      <c r="A2583" s="10"/>
      <c r="B2583" s="10"/>
      <c r="C2583" s="10"/>
      <c r="D2583" s="10"/>
      <c r="E2583" s="10"/>
      <c r="F2583" s="10"/>
      <c r="G2583" s="10"/>
      <c r="H2583" s="10"/>
      <c r="I2583" s="1" t="str">
        <f t="shared" si="120"/>
        <v/>
      </c>
      <c r="J2583" s="1" t="s">
        <v>35</v>
      </c>
      <c r="K2583" s="1" t="str">
        <f t="shared" si="121"/>
        <v/>
      </c>
      <c r="L2583" s="1" t="str">
        <f t="shared" si="122"/>
        <v/>
      </c>
      <c r="M2583" s="1">
        <f>IF(OR(Table1[[#This Row],[Std Nom]]="",Table1[[#This Row],[Std Read]]=""),0,Table1[[#This Row],[Std Nom]]-Table1[[#This Row],[Std Read]])</f>
        <v>0</v>
      </c>
      <c r="N2583" s="1">
        <f>IF(Calculations!$F$5="ACCREDITED 17025 WITH UNCERTAINTIES",$N$10,0)</f>
        <v>0</v>
      </c>
      <c r="Q2583" s="1">
        <f>Table1[[#This Row],[High Tol]]-Table1[[#This Row],[Low Tol]]</f>
        <v>0</v>
      </c>
      <c r="R2583" s="1">
        <f>2*Table1[[#This Row],[Std Error]]</f>
        <v>0</v>
      </c>
      <c r="S2583" s="1" t="str">
        <f>IF(Table1[[#This Row],[High Tol]]="","N/A",IFERROR(ABS(Table1[[#This Row],[Tol Span]]/Table1[[#This Row],[Error Span]]),"N/A"))</f>
        <v>N/A</v>
      </c>
      <c r="T2583" s="1" t="str">
        <f>IF(OR(Table1[[#This Row],[Low Tol]]="",Table1[[#This Row],[High Tol]]=""),"Needs Analysis",IF(Table1[[#This Row],[Ratio]]&gt;=4,"Not Significant",IF(Table1[[#This Row],[Ratio]]&gt;=2,"Semi-Significant","Significant")))</f>
        <v>Needs Analysis</v>
      </c>
      <c r="W2583" s="1">
        <f>IF(Table1[[#This Row],[Cal Type]]&lt;&gt;"ACCREDITED 17025 WITH UNCERTAINTIES",0,"")</f>
        <v>0</v>
      </c>
      <c r="X2583" s="1" t="str">
        <f>IF(Table1[[#This Row],[DUT Read]]="","N/A",Table1[[#This Row],[Std Error]]+Table1[[#This Row],[DUT Read]]+Table1[[#This Row],[DUT Ucty]])</f>
        <v>N/A</v>
      </c>
      <c r="Y2583" s="1" t="str">
        <f>IF(Table1[[#This Row],[Std Read]]="","N/A",Table1[[#This Row],[Std Read]]+Table1[[#This Row],[Std Ucty]])</f>
        <v>N/A</v>
      </c>
      <c r="Z25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3" s="1" t="str">
        <f>IF(Table1[[#This Row],[Spec Type]]="","N/A",Table1[[#This Row],[Spec Type]])</f>
        <v>±</v>
      </c>
      <c r="AC2583" s="1" t="str">
        <f>IF(Table1[[#This Row],[Spec Type2]]="N/A","N/A",IF(AND(Table1[[#This Row],[DUT Adj Read]]&gt;=Table1[[#This Row],[Low Tol]],Table1[[#This Row],[DUT Adj Read]]&lt;=Table1[[#This Row],[High Tol]]),"Pass","Fail"))</f>
        <v>Fail</v>
      </c>
      <c r="AD2583" s="1" t="str">
        <f>IF(AND(Table1[[#This Row],[Spec Type2]]="N/A",Table1[[#This Row],[DUT Adj Read]]="N/A",Table1[[#This Row],[Std Adj Read]]="N/A"),"N/A",IF(Table1[[#This Row],[DUT Adj Read]]="N/A",IF(Table1[[#This Row],[Std Adj Read]]&gt;Table1[[#This Row],[Low Tol]],"Pass","Fail"),IF(Table1[[#This Row],[DUT Adj Read]]&gt;Table1[[#This Row],[Low Tol]],"Pass","Fail")))</f>
        <v>Pass</v>
      </c>
      <c r="AE2583" s="1" t="str">
        <f>IF(AND(Table1[[#This Row],[Spec Type2]]="N/A",Table1[[#This Row],[DUT Adj Read]]="N/A",Table1[[#This Row],[Std Adj Read]]="N/A"),"N/A",IF(Table1[[#This Row],[DUT Adj Read]]="N/A",IF(Table1[[#This Row],[Std Adj Read]]&lt;Table1[[#This Row],[High Tol]],"Pass","Fail"),IF(Table1[[#This Row],[DUT Adj Read]]&lt;Table1[[#This Row],[High Tol]],"Pass","Fail")))</f>
        <v>Fail</v>
      </c>
      <c r="AF2583" s="1" t="str">
        <f>IF(AND(Table1[[#This Row],[Spec Type2]]="N/A",Table1[[#This Row],[DUT Adj Read]]="N/A",Table1[[#This Row],[Std Adj Read]]="N/A"),"N/A",IF(Table1[[#This Row],[DUT Adj Read]]="N/A",IF(Table1[[#This Row],[Std Adj Read]]&gt;=Table1[[#This Row],[Low Tol]],"Pass","Fail"),IF(Table1[[#This Row],[DUT Adj Read]]&gt;=Table1[[#This Row],[Low Tol]],"Pass","Fail")))</f>
        <v>Pass</v>
      </c>
      <c r="AG2583" s="1" t="str">
        <f>IF(AND(Table1[[#This Row],[Spec Type2]]="N/A",Table1[[#This Row],[DUT Adj Read]]="N/A",Table1[[#This Row],[Std Adj Read]]="N/A"),"N/A",IF(Table1[[#This Row],[DUT Adj Read]]="N/A",IF(Table1[[#This Row],[Std Adj Read]]&lt;=Table1[[#This Row],[High Tol]],"Pass","Fail"),IF(Table1[[#This Row],[DUT Adj Read]]&lt;=Table1[[#This Row],[High Tol]],"Pass","Fail")))</f>
        <v>Fail</v>
      </c>
      <c r="AH25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3" s="1" t="b">
        <v>0</v>
      </c>
      <c r="AN2583" s="1" t="b">
        <v>0</v>
      </c>
      <c r="AO2583" s="1" t="b">
        <v>0</v>
      </c>
    </row>
    <row r="2584" spans="1:41" x14ac:dyDescent="0.25">
      <c r="A2584" s="10"/>
      <c r="B2584" s="10"/>
      <c r="C2584" s="10"/>
      <c r="D2584" s="10"/>
      <c r="E2584" s="10"/>
      <c r="F2584" s="10"/>
      <c r="G2584" s="10"/>
      <c r="H2584" s="10"/>
      <c r="I2584" s="1" t="str">
        <f t="shared" si="120"/>
        <v/>
      </c>
      <c r="J2584" s="1" t="s">
        <v>35</v>
      </c>
      <c r="K2584" s="1" t="str">
        <f t="shared" si="121"/>
        <v/>
      </c>
      <c r="L2584" s="1" t="str">
        <f t="shared" si="122"/>
        <v/>
      </c>
      <c r="M2584" s="1">
        <f>IF(OR(Table1[[#This Row],[Std Nom]]="",Table1[[#This Row],[Std Read]]=""),0,Table1[[#This Row],[Std Nom]]-Table1[[#This Row],[Std Read]])</f>
        <v>0</v>
      </c>
      <c r="N2584" s="1">
        <f>IF(Calculations!$F$5="ACCREDITED 17025 WITH UNCERTAINTIES",$N$10,0)</f>
        <v>0</v>
      </c>
      <c r="Q2584" s="1">
        <f>Table1[[#This Row],[High Tol]]-Table1[[#This Row],[Low Tol]]</f>
        <v>0</v>
      </c>
      <c r="R2584" s="1">
        <f>2*Table1[[#This Row],[Std Error]]</f>
        <v>0</v>
      </c>
      <c r="S2584" s="1" t="str">
        <f>IF(Table1[[#This Row],[High Tol]]="","N/A",IFERROR(ABS(Table1[[#This Row],[Tol Span]]/Table1[[#This Row],[Error Span]]),"N/A"))</f>
        <v>N/A</v>
      </c>
      <c r="T2584" s="1" t="str">
        <f>IF(OR(Table1[[#This Row],[Low Tol]]="",Table1[[#This Row],[High Tol]]=""),"Needs Analysis",IF(Table1[[#This Row],[Ratio]]&gt;=4,"Not Significant",IF(Table1[[#This Row],[Ratio]]&gt;=2,"Semi-Significant","Significant")))</f>
        <v>Needs Analysis</v>
      </c>
      <c r="W2584" s="1">
        <f>IF(Table1[[#This Row],[Cal Type]]&lt;&gt;"ACCREDITED 17025 WITH UNCERTAINTIES",0,"")</f>
        <v>0</v>
      </c>
      <c r="X2584" s="1" t="str">
        <f>IF(Table1[[#This Row],[DUT Read]]="","N/A",Table1[[#This Row],[Std Error]]+Table1[[#This Row],[DUT Read]]+Table1[[#This Row],[DUT Ucty]])</f>
        <v>N/A</v>
      </c>
      <c r="Y2584" s="1" t="str">
        <f>IF(Table1[[#This Row],[Std Read]]="","N/A",Table1[[#This Row],[Std Read]]+Table1[[#This Row],[Std Ucty]])</f>
        <v>N/A</v>
      </c>
      <c r="Z25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4" s="1" t="str">
        <f>IF(Table1[[#This Row],[Spec Type]]="","N/A",Table1[[#This Row],[Spec Type]])</f>
        <v>±</v>
      </c>
      <c r="AC2584" s="1" t="str">
        <f>IF(Table1[[#This Row],[Spec Type2]]="N/A","N/A",IF(AND(Table1[[#This Row],[DUT Adj Read]]&gt;=Table1[[#This Row],[Low Tol]],Table1[[#This Row],[DUT Adj Read]]&lt;=Table1[[#This Row],[High Tol]]),"Pass","Fail"))</f>
        <v>Fail</v>
      </c>
      <c r="AD2584" s="1" t="str">
        <f>IF(AND(Table1[[#This Row],[Spec Type2]]="N/A",Table1[[#This Row],[DUT Adj Read]]="N/A",Table1[[#This Row],[Std Adj Read]]="N/A"),"N/A",IF(Table1[[#This Row],[DUT Adj Read]]="N/A",IF(Table1[[#This Row],[Std Adj Read]]&gt;Table1[[#This Row],[Low Tol]],"Pass","Fail"),IF(Table1[[#This Row],[DUT Adj Read]]&gt;Table1[[#This Row],[Low Tol]],"Pass","Fail")))</f>
        <v>Pass</v>
      </c>
      <c r="AE2584" s="1" t="str">
        <f>IF(AND(Table1[[#This Row],[Spec Type2]]="N/A",Table1[[#This Row],[DUT Adj Read]]="N/A",Table1[[#This Row],[Std Adj Read]]="N/A"),"N/A",IF(Table1[[#This Row],[DUT Adj Read]]="N/A",IF(Table1[[#This Row],[Std Adj Read]]&lt;Table1[[#This Row],[High Tol]],"Pass","Fail"),IF(Table1[[#This Row],[DUT Adj Read]]&lt;Table1[[#This Row],[High Tol]],"Pass","Fail")))</f>
        <v>Fail</v>
      </c>
      <c r="AF2584" s="1" t="str">
        <f>IF(AND(Table1[[#This Row],[Spec Type2]]="N/A",Table1[[#This Row],[DUT Adj Read]]="N/A",Table1[[#This Row],[Std Adj Read]]="N/A"),"N/A",IF(Table1[[#This Row],[DUT Adj Read]]="N/A",IF(Table1[[#This Row],[Std Adj Read]]&gt;=Table1[[#This Row],[Low Tol]],"Pass","Fail"),IF(Table1[[#This Row],[DUT Adj Read]]&gt;=Table1[[#This Row],[Low Tol]],"Pass","Fail")))</f>
        <v>Pass</v>
      </c>
      <c r="AG2584" s="1" t="str">
        <f>IF(AND(Table1[[#This Row],[Spec Type2]]="N/A",Table1[[#This Row],[DUT Adj Read]]="N/A",Table1[[#This Row],[Std Adj Read]]="N/A"),"N/A",IF(Table1[[#This Row],[DUT Adj Read]]="N/A",IF(Table1[[#This Row],[Std Adj Read]]&lt;=Table1[[#This Row],[High Tol]],"Pass","Fail"),IF(Table1[[#This Row],[DUT Adj Read]]&lt;=Table1[[#This Row],[High Tol]],"Pass","Fail")))</f>
        <v>Fail</v>
      </c>
      <c r="AH25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4" s="1" t="b">
        <v>0</v>
      </c>
      <c r="AN2584" s="1" t="b">
        <v>0</v>
      </c>
      <c r="AO2584" s="1" t="b">
        <v>0</v>
      </c>
    </row>
    <row r="2585" spans="1:41" x14ac:dyDescent="0.25">
      <c r="A2585" s="10"/>
      <c r="B2585" s="10"/>
      <c r="C2585" s="10"/>
      <c r="D2585" s="10"/>
      <c r="E2585" s="10"/>
      <c r="F2585" s="10"/>
      <c r="G2585" s="10"/>
      <c r="H2585" s="10"/>
      <c r="I2585" s="1" t="str">
        <f t="shared" si="120"/>
        <v/>
      </c>
      <c r="J2585" s="1" t="s">
        <v>35</v>
      </c>
      <c r="K2585" s="1" t="str">
        <f t="shared" si="121"/>
        <v/>
      </c>
      <c r="L2585" s="1" t="str">
        <f t="shared" si="122"/>
        <v/>
      </c>
      <c r="M2585" s="1">
        <f>IF(OR(Table1[[#This Row],[Std Nom]]="",Table1[[#This Row],[Std Read]]=""),0,Table1[[#This Row],[Std Nom]]-Table1[[#This Row],[Std Read]])</f>
        <v>0</v>
      </c>
      <c r="N2585" s="1">
        <f>IF(Calculations!$F$5="ACCREDITED 17025 WITH UNCERTAINTIES",$N$10,0)</f>
        <v>0</v>
      </c>
      <c r="Q2585" s="1">
        <f>Table1[[#This Row],[High Tol]]-Table1[[#This Row],[Low Tol]]</f>
        <v>0</v>
      </c>
      <c r="R2585" s="1">
        <f>2*Table1[[#This Row],[Std Error]]</f>
        <v>0</v>
      </c>
      <c r="S2585" s="1" t="str">
        <f>IF(Table1[[#This Row],[High Tol]]="","N/A",IFERROR(ABS(Table1[[#This Row],[Tol Span]]/Table1[[#This Row],[Error Span]]),"N/A"))</f>
        <v>N/A</v>
      </c>
      <c r="T2585" s="1" t="str">
        <f>IF(OR(Table1[[#This Row],[Low Tol]]="",Table1[[#This Row],[High Tol]]=""),"Needs Analysis",IF(Table1[[#This Row],[Ratio]]&gt;=4,"Not Significant",IF(Table1[[#This Row],[Ratio]]&gt;=2,"Semi-Significant","Significant")))</f>
        <v>Needs Analysis</v>
      </c>
      <c r="W2585" s="1">
        <f>IF(Table1[[#This Row],[Cal Type]]&lt;&gt;"ACCREDITED 17025 WITH UNCERTAINTIES",0,"")</f>
        <v>0</v>
      </c>
      <c r="X2585" s="1" t="str">
        <f>IF(Table1[[#This Row],[DUT Read]]="","N/A",Table1[[#This Row],[Std Error]]+Table1[[#This Row],[DUT Read]]+Table1[[#This Row],[DUT Ucty]])</f>
        <v>N/A</v>
      </c>
      <c r="Y2585" s="1" t="str">
        <f>IF(Table1[[#This Row],[Std Read]]="","N/A",Table1[[#This Row],[Std Read]]+Table1[[#This Row],[Std Ucty]])</f>
        <v>N/A</v>
      </c>
      <c r="Z25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5" s="1" t="str">
        <f>IF(Table1[[#This Row],[Spec Type]]="","N/A",Table1[[#This Row],[Spec Type]])</f>
        <v>±</v>
      </c>
      <c r="AC2585" s="1" t="str">
        <f>IF(Table1[[#This Row],[Spec Type2]]="N/A","N/A",IF(AND(Table1[[#This Row],[DUT Adj Read]]&gt;=Table1[[#This Row],[Low Tol]],Table1[[#This Row],[DUT Adj Read]]&lt;=Table1[[#This Row],[High Tol]]),"Pass","Fail"))</f>
        <v>Fail</v>
      </c>
      <c r="AD2585" s="1" t="str">
        <f>IF(AND(Table1[[#This Row],[Spec Type2]]="N/A",Table1[[#This Row],[DUT Adj Read]]="N/A",Table1[[#This Row],[Std Adj Read]]="N/A"),"N/A",IF(Table1[[#This Row],[DUT Adj Read]]="N/A",IF(Table1[[#This Row],[Std Adj Read]]&gt;Table1[[#This Row],[Low Tol]],"Pass","Fail"),IF(Table1[[#This Row],[DUT Adj Read]]&gt;Table1[[#This Row],[Low Tol]],"Pass","Fail")))</f>
        <v>Pass</v>
      </c>
      <c r="AE2585" s="1" t="str">
        <f>IF(AND(Table1[[#This Row],[Spec Type2]]="N/A",Table1[[#This Row],[DUT Adj Read]]="N/A",Table1[[#This Row],[Std Adj Read]]="N/A"),"N/A",IF(Table1[[#This Row],[DUT Adj Read]]="N/A",IF(Table1[[#This Row],[Std Adj Read]]&lt;Table1[[#This Row],[High Tol]],"Pass","Fail"),IF(Table1[[#This Row],[DUT Adj Read]]&lt;Table1[[#This Row],[High Tol]],"Pass","Fail")))</f>
        <v>Fail</v>
      </c>
      <c r="AF2585" s="1" t="str">
        <f>IF(AND(Table1[[#This Row],[Spec Type2]]="N/A",Table1[[#This Row],[DUT Adj Read]]="N/A",Table1[[#This Row],[Std Adj Read]]="N/A"),"N/A",IF(Table1[[#This Row],[DUT Adj Read]]="N/A",IF(Table1[[#This Row],[Std Adj Read]]&gt;=Table1[[#This Row],[Low Tol]],"Pass","Fail"),IF(Table1[[#This Row],[DUT Adj Read]]&gt;=Table1[[#This Row],[Low Tol]],"Pass","Fail")))</f>
        <v>Pass</v>
      </c>
      <c r="AG2585" s="1" t="str">
        <f>IF(AND(Table1[[#This Row],[Spec Type2]]="N/A",Table1[[#This Row],[DUT Adj Read]]="N/A",Table1[[#This Row],[Std Adj Read]]="N/A"),"N/A",IF(Table1[[#This Row],[DUT Adj Read]]="N/A",IF(Table1[[#This Row],[Std Adj Read]]&lt;=Table1[[#This Row],[High Tol]],"Pass","Fail"),IF(Table1[[#This Row],[DUT Adj Read]]&lt;=Table1[[#This Row],[High Tol]],"Pass","Fail")))</f>
        <v>Fail</v>
      </c>
      <c r="AH25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5" s="1" t="b">
        <v>0</v>
      </c>
      <c r="AN2585" s="1" t="b">
        <v>0</v>
      </c>
      <c r="AO2585" s="1" t="b">
        <v>0</v>
      </c>
    </row>
    <row r="2586" spans="1:41" x14ac:dyDescent="0.25">
      <c r="A2586" s="10"/>
      <c r="B2586" s="10"/>
      <c r="C2586" s="10"/>
      <c r="D2586" s="10"/>
      <c r="E2586" s="10"/>
      <c r="F2586" s="10"/>
      <c r="G2586" s="10"/>
      <c r="H2586" s="10"/>
      <c r="I2586" s="1" t="str">
        <f t="shared" si="120"/>
        <v/>
      </c>
      <c r="J2586" s="1" t="s">
        <v>35</v>
      </c>
      <c r="K2586" s="1" t="str">
        <f t="shared" si="121"/>
        <v/>
      </c>
      <c r="L2586" s="1" t="str">
        <f t="shared" si="122"/>
        <v/>
      </c>
      <c r="M2586" s="1">
        <f>IF(OR(Table1[[#This Row],[Std Nom]]="",Table1[[#This Row],[Std Read]]=""),0,Table1[[#This Row],[Std Nom]]-Table1[[#This Row],[Std Read]])</f>
        <v>0</v>
      </c>
      <c r="N2586" s="1">
        <f>IF(Calculations!$F$5="ACCREDITED 17025 WITH UNCERTAINTIES",$N$10,0)</f>
        <v>0</v>
      </c>
      <c r="Q2586" s="1">
        <f>Table1[[#This Row],[High Tol]]-Table1[[#This Row],[Low Tol]]</f>
        <v>0</v>
      </c>
      <c r="R2586" s="1">
        <f>2*Table1[[#This Row],[Std Error]]</f>
        <v>0</v>
      </c>
      <c r="S2586" s="1" t="str">
        <f>IF(Table1[[#This Row],[High Tol]]="","N/A",IFERROR(ABS(Table1[[#This Row],[Tol Span]]/Table1[[#This Row],[Error Span]]),"N/A"))</f>
        <v>N/A</v>
      </c>
      <c r="T2586" s="1" t="str">
        <f>IF(OR(Table1[[#This Row],[Low Tol]]="",Table1[[#This Row],[High Tol]]=""),"Needs Analysis",IF(Table1[[#This Row],[Ratio]]&gt;=4,"Not Significant",IF(Table1[[#This Row],[Ratio]]&gt;=2,"Semi-Significant","Significant")))</f>
        <v>Needs Analysis</v>
      </c>
      <c r="W2586" s="1">
        <f>IF(Table1[[#This Row],[Cal Type]]&lt;&gt;"ACCREDITED 17025 WITH UNCERTAINTIES",0,"")</f>
        <v>0</v>
      </c>
      <c r="X2586" s="1" t="str">
        <f>IF(Table1[[#This Row],[DUT Read]]="","N/A",Table1[[#This Row],[Std Error]]+Table1[[#This Row],[DUT Read]]+Table1[[#This Row],[DUT Ucty]])</f>
        <v>N/A</v>
      </c>
      <c r="Y2586" s="1" t="str">
        <f>IF(Table1[[#This Row],[Std Read]]="","N/A",Table1[[#This Row],[Std Read]]+Table1[[#This Row],[Std Ucty]])</f>
        <v>N/A</v>
      </c>
      <c r="Z25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6" s="1" t="str">
        <f>IF(Table1[[#This Row],[Spec Type]]="","N/A",Table1[[#This Row],[Spec Type]])</f>
        <v>±</v>
      </c>
      <c r="AC2586" s="1" t="str">
        <f>IF(Table1[[#This Row],[Spec Type2]]="N/A","N/A",IF(AND(Table1[[#This Row],[DUT Adj Read]]&gt;=Table1[[#This Row],[Low Tol]],Table1[[#This Row],[DUT Adj Read]]&lt;=Table1[[#This Row],[High Tol]]),"Pass","Fail"))</f>
        <v>Fail</v>
      </c>
      <c r="AD2586" s="1" t="str">
        <f>IF(AND(Table1[[#This Row],[Spec Type2]]="N/A",Table1[[#This Row],[DUT Adj Read]]="N/A",Table1[[#This Row],[Std Adj Read]]="N/A"),"N/A",IF(Table1[[#This Row],[DUT Adj Read]]="N/A",IF(Table1[[#This Row],[Std Adj Read]]&gt;Table1[[#This Row],[Low Tol]],"Pass","Fail"),IF(Table1[[#This Row],[DUT Adj Read]]&gt;Table1[[#This Row],[Low Tol]],"Pass","Fail")))</f>
        <v>Pass</v>
      </c>
      <c r="AE2586" s="1" t="str">
        <f>IF(AND(Table1[[#This Row],[Spec Type2]]="N/A",Table1[[#This Row],[DUT Adj Read]]="N/A",Table1[[#This Row],[Std Adj Read]]="N/A"),"N/A",IF(Table1[[#This Row],[DUT Adj Read]]="N/A",IF(Table1[[#This Row],[Std Adj Read]]&lt;Table1[[#This Row],[High Tol]],"Pass","Fail"),IF(Table1[[#This Row],[DUT Adj Read]]&lt;Table1[[#This Row],[High Tol]],"Pass","Fail")))</f>
        <v>Fail</v>
      </c>
      <c r="AF2586" s="1" t="str">
        <f>IF(AND(Table1[[#This Row],[Spec Type2]]="N/A",Table1[[#This Row],[DUT Adj Read]]="N/A",Table1[[#This Row],[Std Adj Read]]="N/A"),"N/A",IF(Table1[[#This Row],[DUT Adj Read]]="N/A",IF(Table1[[#This Row],[Std Adj Read]]&gt;=Table1[[#This Row],[Low Tol]],"Pass","Fail"),IF(Table1[[#This Row],[DUT Adj Read]]&gt;=Table1[[#This Row],[Low Tol]],"Pass","Fail")))</f>
        <v>Pass</v>
      </c>
      <c r="AG2586" s="1" t="str">
        <f>IF(AND(Table1[[#This Row],[Spec Type2]]="N/A",Table1[[#This Row],[DUT Adj Read]]="N/A",Table1[[#This Row],[Std Adj Read]]="N/A"),"N/A",IF(Table1[[#This Row],[DUT Adj Read]]="N/A",IF(Table1[[#This Row],[Std Adj Read]]&lt;=Table1[[#This Row],[High Tol]],"Pass","Fail"),IF(Table1[[#This Row],[DUT Adj Read]]&lt;=Table1[[#This Row],[High Tol]],"Pass","Fail")))</f>
        <v>Fail</v>
      </c>
      <c r="AH25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6" s="1" t="b">
        <v>0</v>
      </c>
      <c r="AN2586" s="1" t="b">
        <v>0</v>
      </c>
      <c r="AO2586" s="1" t="b">
        <v>0</v>
      </c>
    </row>
    <row r="2587" spans="1:41" x14ac:dyDescent="0.25">
      <c r="A2587" s="10"/>
      <c r="B2587" s="10"/>
      <c r="C2587" s="10"/>
      <c r="D2587" s="10"/>
      <c r="E2587" s="10"/>
      <c r="F2587" s="10"/>
      <c r="G2587" s="10"/>
      <c r="H2587" s="10"/>
      <c r="I2587" s="1" t="str">
        <f t="shared" si="120"/>
        <v/>
      </c>
      <c r="J2587" s="1" t="s">
        <v>35</v>
      </c>
      <c r="K2587" s="1" t="str">
        <f t="shared" si="121"/>
        <v/>
      </c>
      <c r="L2587" s="1" t="str">
        <f t="shared" si="122"/>
        <v/>
      </c>
      <c r="M2587" s="1">
        <f>IF(OR(Table1[[#This Row],[Std Nom]]="",Table1[[#This Row],[Std Read]]=""),0,Table1[[#This Row],[Std Nom]]-Table1[[#This Row],[Std Read]])</f>
        <v>0</v>
      </c>
      <c r="N2587" s="1">
        <f>IF(Calculations!$F$5="ACCREDITED 17025 WITH UNCERTAINTIES",$N$10,0)</f>
        <v>0</v>
      </c>
      <c r="Q2587" s="1">
        <f>Table1[[#This Row],[High Tol]]-Table1[[#This Row],[Low Tol]]</f>
        <v>0</v>
      </c>
      <c r="R2587" s="1">
        <f>2*Table1[[#This Row],[Std Error]]</f>
        <v>0</v>
      </c>
      <c r="S2587" s="1" t="str">
        <f>IF(Table1[[#This Row],[High Tol]]="","N/A",IFERROR(ABS(Table1[[#This Row],[Tol Span]]/Table1[[#This Row],[Error Span]]),"N/A"))</f>
        <v>N/A</v>
      </c>
      <c r="T2587" s="1" t="str">
        <f>IF(OR(Table1[[#This Row],[Low Tol]]="",Table1[[#This Row],[High Tol]]=""),"Needs Analysis",IF(Table1[[#This Row],[Ratio]]&gt;=4,"Not Significant",IF(Table1[[#This Row],[Ratio]]&gt;=2,"Semi-Significant","Significant")))</f>
        <v>Needs Analysis</v>
      </c>
      <c r="W2587" s="1">
        <f>IF(Table1[[#This Row],[Cal Type]]&lt;&gt;"ACCREDITED 17025 WITH UNCERTAINTIES",0,"")</f>
        <v>0</v>
      </c>
      <c r="X2587" s="1" t="str">
        <f>IF(Table1[[#This Row],[DUT Read]]="","N/A",Table1[[#This Row],[Std Error]]+Table1[[#This Row],[DUT Read]]+Table1[[#This Row],[DUT Ucty]])</f>
        <v>N/A</v>
      </c>
      <c r="Y2587" s="1" t="str">
        <f>IF(Table1[[#This Row],[Std Read]]="","N/A",Table1[[#This Row],[Std Read]]+Table1[[#This Row],[Std Ucty]])</f>
        <v>N/A</v>
      </c>
      <c r="Z25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7" s="1" t="str">
        <f>IF(Table1[[#This Row],[Spec Type]]="","N/A",Table1[[#This Row],[Spec Type]])</f>
        <v>±</v>
      </c>
      <c r="AC2587" s="1" t="str">
        <f>IF(Table1[[#This Row],[Spec Type2]]="N/A","N/A",IF(AND(Table1[[#This Row],[DUT Adj Read]]&gt;=Table1[[#This Row],[Low Tol]],Table1[[#This Row],[DUT Adj Read]]&lt;=Table1[[#This Row],[High Tol]]),"Pass","Fail"))</f>
        <v>Fail</v>
      </c>
      <c r="AD2587" s="1" t="str">
        <f>IF(AND(Table1[[#This Row],[Spec Type2]]="N/A",Table1[[#This Row],[DUT Adj Read]]="N/A",Table1[[#This Row],[Std Adj Read]]="N/A"),"N/A",IF(Table1[[#This Row],[DUT Adj Read]]="N/A",IF(Table1[[#This Row],[Std Adj Read]]&gt;Table1[[#This Row],[Low Tol]],"Pass","Fail"),IF(Table1[[#This Row],[DUT Adj Read]]&gt;Table1[[#This Row],[Low Tol]],"Pass","Fail")))</f>
        <v>Pass</v>
      </c>
      <c r="AE2587" s="1" t="str">
        <f>IF(AND(Table1[[#This Row],[Spec Type2]]="N/A",Table1[[#This Row],[DUT Adj Read]]="N/A",Table1[[#This Row],[Std Adj Read]]="N/A"),"N/A",IF(Table1[[#This Row],[DUT Adj Read]]="N/A",IF(Table1[[#This Row],[Std Adj Read]]&lt;Table1[[#This Row],[High Tol]],"Pass","Fail"),IF(Table1[[#This Row],[DUT Adj Read]]&lt;Table1[[#This Row],[High Tol]],"Pass","Fail")))</f>
        <v>Fail</v>
      </c>
      <c r="AF2587" s="1" t="str">
        <f>IF(AND(Table1[[#This Row],[Spec Type2]]="N/A",Table1[[#This Row],[DUT Adj Read]]="N/A",Table1[[#This Row],[Std Adj Read]]="N/A"),"N/A",IF(Table1[[#This Row],[DUT Adj Read]]="N/A",IF(Table1[[#This Row],[Std Adj Read]]&gt;=Table1[[#This Row],[Low Tol]],"Pass","Fail"),IF(Table1[[#This Row],[DUT Adj Read]]&gt;=Table1[[#This Row],[Low Tol]],"Pass","Fail")))</f>
        <v>Pass</v>
      </c>
      <c r="AG2587" s="1" t="str">
        <f>IF(AND(Table1[[#This Row],[Spec Type2]]="N/A",Table1[[#This Row],[DUT Adj Read]]="N/A",Table1[[#This Row],[Std Adj Read]]="N/A"),"N/A",IF(Table1[[#This Row],[DUT Adj Read]]="N/A",IF(Table1[[#This Row],[Std Adj Read]]&lt;=Table1[[#This Row],[High Tol]],"Pass","Fail"),IF(Table1[[#This Row],[DUT Adj Read]]&lt;=Table1[[#This Row],[High Tol]],"Pass","Fail")))</f>
        <v>Fail</v>
      </c>
      <c r="AH25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7" s="1" t="b">
        <v>0</v>
      </c>
      <c r="AN2587" s="1" t="b">
        <v>0</v>
      </c>
      <c r="AO2587" s="1" t="b">
        <v>0</v>
      </c>
    </row>
    <row r="2588" spans="1:41" x14ac:dyDescent="0.25">
      <c r="A2588" s="10"/>
      <c r="B2588" s="10"/>
      <c r="C2588" s="10"/>
      <c r="D2588" s="10"/>
      <c r="E2588" s="10"/>
      <c r="F2588" s="10"/>
      <c r="G2588" s="10"/>
      <c r="H2588" s="10"/>
      <c r="I2588" s="1" t="str">
        <f t="shared" si="120"/>
        <v/>
      </c>
      <c r="J2588" s="1" t="s">
        <v>35</v>
      </c>
      <c r="K2588" s="1" t="str">
        <f t="shared" si="121"/>
        <v/>
      </c>
      <c r="L2588" s="1" t="str">
        <f t="shared" si="122"/>
        <v/>
      </c>
      <c r="M2588" s="1">
        <f>IF(OR(Table1[[#This Row],[Std Nom]]="",Table1[[#This Row],[Std Read]]=""),0,Table1[[#This Row],[Std Nom]]-Table1[[#This Row],[Std Read]])</f>
        <v>0</v>
      </c>
      <c r="N2588" s="1">
        <f>IF(Calculations!$F$5="ACCREDITED 17025 WITH UNCERTAINTIES",$N$10,0)</f>
        <v>0</v>
      </c>
      <c r="Q2588" s="1">
        <f>Table1[[#This Row],[High Tol]]-Table1[[#This Row],[Low Tol]]</f>
        <v>0</v>
      </c>
      <c r="R2588" s="1">
        <f>2*Table1[[#This Row],[Std Error]]</f>
        <v>0</v>
      </c>
      <c r="S2588" s="1" t="str">
        <f>IF(Table1[[#This Row],[High Tol]]="","N/A",IFERROR(ABS(Table1[[#This Row],[Tol Span]]/Table1[[#This Row],[Error Span]]),"N/A"))</f>
        <v>N/A</v>
      </c>
      <c r="T2588" s="1" t="str">
        <f>IF(OR(Table1[[#This Row],[Low Tol]]="",Table1[[#This Row],[High Tol]]=""),"Needs Analysis",IF(Table1[[#This Row],[Ratio]]&gt;=4,"Not Significant",IF(Table1[[#This Row],[Ratio]]&gt;=2,"Semi-Significant","Significant")))</f>
        <v>Needs Analysis</v>
      </c>
      <c r="W2588" s="1">
        <f>IF(Table1[[#This Row],[Cal Type]]&lt;&gt;"ACCREDITED 17025 WITH UNCERTAINTIES",0,"")</f>
        <v>0</v>
      </c>
      <c r="X2588" s="1" t="str">
        <f>IF(Table1[[#This Row],[DUT Read]]="","N/A",Table1[[#This Row],[Std Error]]+Table1[[#This Row],[DUT Read]]+Table1[[#This Row],[DUT Ucty]])</f>
        <v>N/A</v>
      </c>
      <c r="Y2588" s="1" t="str">
        <f>IF(Table1[[#This Row],[Std Read]]="","N/A",Table1[[#This Row],[Std Read]]+Table1[[#This Row],[Std Ucty]])</f>
        <v>N/A</v>
      </c>
      <c r="Z25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8" s="1" t="str">
        <f>IF(Table1[[#This Row],[Spec Type]]="","N/A",Table1[[#This Row],[Spec Type]])</f>
        <v>±</v>
      </c>
      <c r="AC2588" s="1" t="str">
        <f>IF(Table1[[#This Row],[Spec Type2]]="N/A","N/A",IF(AND(Table1[[#This Row],[DUT Adj Read]]&gt;=Table1[[#This Row],[Low Tol]],Table1[[#This Row],[DUT Adj Read]]&lt;=Table1[[#This Row],[High Tol]]),"Pass","Fail"))</f>
        <v>Fail</v>
      </c>
      <c r="AD2588" s="1" t="str">
        <f>IF(AND(Table1[[#This Row],[Spec Type2]]="N/A",Table1[[#This Row],[DUT Adj Read]]="N/A",Table1[[#This Row],[Std Adj Read]]="N/A"),"N/A",IF(Table1[[#This Row],[DUT Adj Read]]="N/A",IF(Table1[[#This Row],[Std Adj Read]]&gt;Table1[[#This Row],[Low Tol]],"Pass","Fail"),IF(Table1[[#This Row],[DUT Adj Read]]&gt;Table1[[#This Row],[Low Tol]],"Pass","Fail")))</f>
        <v>Pass</v>
      </c>
      <c r="AE2588" s="1" t="str">
        <f>IF(AND(Table1[[#This Row],[Spec Type2]]="N/A",Table1[[#This Row],[DUT Adj Read]]="N/A",Table1[[#This Row],[Std Adj Read]]="N/A"),"N/A",IF(Table1[[#This Row],[DUT Adj Read]]="N/A",IF(Table1[[#This Row],[Std Adj Read]]&lt;Table1[[#This Row],[High Tol]],"Pass","Fail"),IF(Table1[[#This Row],[DUT Adj Read]]&lt;Table1[[#This Row],[High Tol]],"Pass","Fail")))</f>
        <v>Fail</v>
      </c>
      <c r="AF2588" s="1" t="str">
        <f>IF(AND(Table1[[#This Row],[Spec Type2]]="N/A",Table1[[#This Row],[DUT Adj Read]]="N/A",Table1[[#This Row],[Std Adj Read]]="N/A"),"N/A",IF(Table1[[#This Row],[DUT Adj Read]]="N/A",IF(Table1[[#This Row],[Std Adj Read]]&gt;=Table1[[#This Row],[Low Tol]],"Pass","Fail"),IF(Table1[[#This Row],[DUT Adj Read]]&gt;=Table1[[#This Row],[Low Tol]],"Pass","Fail")))</f>
        <v>Pass</v>
      </c>
      <c r="AG2588" s="1" t="str">
        <f>IF(AND(Table1[[#This Row],[Spec Type2]]="N/A",Table1[[#This Row],[DUT Adj Read]]="N/A",Table1[[#This Row],[Std Adj Read]]="N/A"),"N/A",IF(Table1[[#This Row],[DUT Adj Read]]="N/A",IF(Table1[[#This Row],[Std Adj Read]]&lt;=Table1[[#This Row],[High Tol]],"Pass","Fail"),IF(Table1[[#This Row],[DUT Adj Read]]&lt;=Table1[[#This Row],[High Tol]],"Pass","Fail")))</f>
        <v>Fail</v>
      </c>
      <c r="AH25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8" s="1" t="b">
        <v>0</v>
      </c>
      <c r="AN2588" s="1" t="b">
        <v>0</v>
      </c>
      <c r="AO2588" s="1" t="b">
        <v>0</v>
      </c>
    </row>
    <row r="2589" spans="1:41" x14ac:dyDescent="0.25">
      <c r="A2589" s="10"/>
      <c r="B2589" s="10"/>
      <c r="C2589" s="10"/>
      <c r="D2589" s="10"/>
      <c r="E2589" s="10"/>
      <c r="F2589" s="10"/>
      <c r="G2589" s="10"/>
      <c r="H2589" s="10"/>
      <c r="I2589" s="1" t="str">
        <f t="shared" si="120"/>
        <v/>
      </c>
      <c r="J2589" s="1" t="s">
        <v>35</v>
      </c>
      <c r="K2589" s="1" t="str">
        <f t="shared" si="121"/>
        <v/>
      </c>
      <c r="L2589" s="1" t="str">
        <f t="shared" si="122"/>
        <v/>
      </c>
      <c r="M2589" s="1">
        <f>IF(OR(Table1[[#This Row],[Std Nom]]="",Table1[[#This Row],[Std Read]]=""),0,Table1[[#This Row],[Std Nom]]-Table1[[#This Row],[Std Read]])</f>
        <v>0</v>
      </c>
      <c r="N2589" s="1">
        <f>IF(Calculations!$F$5="ACCREDITED 17025 WITH UNCERTAINTIES",$N$10,0)</f>
        <v>0</v>
      </c>
      <c r="Q2589" s="1">
        <f>Table1[[#This Row],[High Tol]]-Table1[[#This Row],[Low Tol]]</f>
        <v>0</v>
      </c>
      <c r="R2589" s="1">
        <f>2*Table1[[#This Row],[Std Error]]</f>
        <v>0</v>
      </c>
      <c r="S2589" s="1" t="str">
        <f>IF(Table1[[#This Row],[High Tol]]="","N/A",IFERROR(ABS(Table1[[#This Row],[Tol Span]]/Table1[[#This Row],[Error Span]]),"N/A"))</f>
        <v>N/A</v>
      </c>
      <c r="T2589" s="1" t="str">
        <f>IF(OR(Table1[[#This Row],[Low Tol]]="",Table1[[#This Row],[High Tol]]=""),"Needs Analysis",IF(Table1[[#This Row],[Ratio]]&gt;=4,"Not Significant",IF(Table1[[#This Row],[Ratio]]&gt;=2,"Semi-Significant","Significant")))</f>
        <v>Needs Analysis</v>
      </c>
      <c r="W2589" s="1">
        <f>IF(Table1[[#This Row],[Cal Type]]&lt;&gt;"ACCREDITED 17025 WITH UNCERTAINTIES",0,"")</f>
        <v>0</v>
      </c>
      <c r="X2589" s="1" t="str">
        <f>IF(Table1[[#This Row],[DUT Read]]="","N/A",Table1[[#This Row],[Std Error]]+Table1[[#This Row],[DUT Read]]+Table1[[#This Row],[DUT Ucty]])</f>
        <v>N/A</v>
      </c>
      <c r="Y2589" s="1" t="str">
        <f>IF(Table1[[#This Row],[Std Read]]="","N/A",Table1[[#This Row],[Std Read]]+Table1[[#This Row],[Std Ucty]])</f>
        <v>N/A</v>
      </c>
      <c r="Z25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89" s="1" t="str">
        <f>IF(Table1[[#This Row],[Spec Type]]="","N/A",Table1[[#This Row],[Spec Type]])</f>
        <v>±</v>
      </c>
      <c r="AC2589" s="1" t="str">
        <f>IF(Table1[[#This Row],[Spec Type2]]="N/A","N/A",IF(AND(Table1[[#This Row],[DUT Adj Read]]&gt;=Table1[[#This Row],[Low Tol]],Table1[[#This Row],[DUT Adj Read]]&lt;=Table1[[#This Row],[High Tol]]),"Pass","Fail"))</f>
        <v>Fail</v>
      </c>
      <c r="AD2589" s="1" t="str">
        <f>IF(AND(Table1[[#This Row],[Spec Type2]]="N/A",Table1[[#This Row],[DUT Adj Read]]="N/A",Table1[[#This Row],[Std Adj Read]]="N/A"),"N/A",IF(Table1[[#This Row],[DUT Adj Read]]="N/A",IF(Table1[[#This Row],[Std Adj Read]]&gt;Table1[[#This Row],[Low Tol]],"Pass","Fail"),IF(Table1[[#This Row],[DUT Adj Read]]&gt;Table1[[#This Row],[Low Tol]],"Pass","Fail")))</f>
        <v>Pass</v>
      </c>
      <c r="AE2589" s="1" t="str">
        <f>IF(AND(Table1[[#This Row],[Spec Type2]]="N/A",Table1[[#This Row],[DUT Adj Read]]="N/A",Table1[[#This Row],[Std Adj Read]]="N/A"),"N/A",IF(Table1[[#This Row],[DUT Adj Read]]="N/A",IF(Table1[[#This Row],[Std Adj Read]]&lt;Table1[[#This Row],[High Tol]],"Pass","Fail"),IF(Table1[[#This Row],[DUT Adj Read]]&lt;Table1[[#This Row],[High Tol]],"Pass","Fail")))</f>
        <v>Fail</v>
      </c>
      <c r="AF2589" s="1" t="str">
        <f>IF(AND(Table1[[#This Row],[Spec Type2]]="N/A",Table1[[#This Row],[DUT Adj Read]]="N/A",Table1[[#This Row],[Std Adj Read]]="N/A"),"N/A",IF(Table1[[#This Row],[DUT Adj Read]]="N/A",IF(Table1[[#This Row],[Std Adj Read]]&gt;=Table1[[#This Row],[Low Tol]],"Pass","Fail"),IF(Table1[[#This Row],[DUT Adj Read]]&gt;=Table1[[#This Row],[Low Tol]],"Pass","Fail")))</f>
        <v>Pass</v>
      </c>
      <c r="AG2589" s="1" t="str">
        <f>IF(AND(Table1[[#This Row],[Spec Type2]]="N/A",Table1[[#This Row],[DUT Adj Read]]="N/A",Table1[[#This Row],[Std Adj Read]]="N/A"),"N/A",IF(Table1[[#This Row],[DUT Adj Read]]="N/A",IF(Table1[[#This Row],[Std Adj Read]]&lt;=Table1[[#This Row],[High Tol]],"Pass","Fail"),IF(Table1[[#This Row],[DUT Adj Read]]&lt;=Table1[[#This Row],[High Tol]],"Pass","Fail")))</f>
        <v>Fail</v>
      </c>
      <c r="AH25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89" s="1" t="b">
        <v>0</v>
      </c>
      <c r="AN2589" s="1" t="b">
        <v>0</v>
      </c>
      <c r="AO2589" s="1" t="b">
        <v>0</v>
      </c>
    </row>
    <row r="2590" spans="1:41" x14ac:dyDescent="0.25">
      <c r="A2590" s="10"/>
      <c r="B2590" s="10"/>
      <c r="C2590" s="10"/>
      <c r="D2590" s="10"/>
      <c r="E2590" s="10"/>
      <c r="F2590" s="10"/>
      <c r="G2590" s="10"/>
      <c r="H2590" s="10"/>
      <c r="I2590" s="1" t="str">
        <f t="shared" si="120"/>
        <v/>
      </c>
      <c r="J2590" s="1" t="s">
        <v>35</v>
      </c>
      <c r="K2590" s="1" t="str">
        <f t="shared" si="121"/>
        <v/>
      </c>
      <c r="L2590" s="1" t="str">
        <f t="shared" si="122"/>
        <v/>
      </c>
      <c r="M2590" s="1">
        <f>IF(OR(Table1[[#This Row],[Std Nom]]="",Table1[[#This Row],[Std Read]]=""),0,Table1[[#This Row],[Std Nom]]-Table1[[#This Row],[Std Read]])</f>
        <v>0</v>
      </c>
      <c r="N2590" s="1">
        <f>IF(Calculations!$F$5="ACCREDITED 17025 WITH UNCERTAINTIES",$N$10,0)</f>
        <v>0</v>
      </c>
      <c r="Q2590" s="1">
        <f>Table1[[#This Row],[High Tol]]-Table1[[#This Row],[Low Tol]]</f>
        <v>0</v>
      </c>
      <c r="R2590" s="1">
        <f>2*Table1[[#This Row],[Std Error]]</f>
        <v>0</v>
      </c>
      <c r="S2590" s="1" t="str">
        <f>IF(Table1[[#This Row],[High Tol]]="","N/A",IFERROR(ABS(Table1[[#This Row],[Tol Span]]/Table1[[#This Row],[Error Span]]),"N/A"))</f>
        <v>N/A</v>
      </c>
      <c r="T2590" s="1" t="str">
        <f>IF(OR(Table1[[#This Row],[Low Tol]]="",Table1[[#This Row],[High Tol]]=""),"Needs Analysis",IF(Table1[[#This Row],[Ratio]]&gt;=4,"Not Significant",IF(Table1[[#This Row],[Ratio]]&gt;=2,"Semi-Significant","Significant")))</f>
        <v>Needs Analysis</v>
      </c>
      <c r="W2590" s="1">
        <f>IF(Table1[[#This Row],[Cal Type]]&lt;&gt;"ACCREDITED 17025 WITH UNCERTAINTIES",0,"")</f>
        <v>0</v>
      </c>
      <c r="X2590" s="1" t="str">
        <f>IF(Table1[[#This Row],[DUT Read]]="","N/A",Table1[[#This Row],[Std Error]]+Table1[[#This Row],[DUT Read]]+Table1[[#This Row],[DUT Ucty]])</f>
        <v>N/A</v>
      </c>
      <c r="Y2590" s="1" t="str">
        <f>IF(Table1[[#This Row],[Std Read]]="","N/A",Table1[[#This Row],[Std Read]]+Table1[[#This Row],[Std Ucty]])</f>
        <v>N/A</v>
      </c>
      <c r="Z25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0" s="1" t="str">
        <f>IF(Table1[[#This Row],[Spec Type]]="","N/A",Table1[[#This Row],[Spec Type]])</f>
        <v>±</v>
      </c>
      <c r="AC2590" s="1" t="str">
        <f>IF(Table1[[#This Row],[Spec Type2]]="N/A","N/A",IF(AND(Table1[[#This Row],[DUT Adj Read]]&gt;=Table1[[#This Row],[Low Tol]],Table1[[#This Row],[DUT Adj Read]]&lt;=Table1[[#This Row],[High Tol]]),"Pass","Fail"))</f>
        <v>Fail</v>
      </c>
      <c r="AD2590" s="1" t="str">
        <f>IF(AND(Table1[[#This Row],[Spec Type2]]="N/A",Table1[[#This Row],[DUT Adj Read]]="N/A",Table1[[#This Row],[Std Adj Read]]="N/A"),"N/A",IF(Table1[[#This Row],[DUT Adj Read]]="N/A",IF(Table1[[#This Row],[Std Adj Read]]&gt;Table1[[#This Row],[Low Tol]],"Pass","Fail"),IF(Table1[[#This Row],[DUT Adj Read]]&gt;Table1[[#This Row],[Low Tol]],"Pass","Fail")))</f>
        <v>Pass</v>
      </c>
      <c r="AE2590" s="1" t="str">
        <f>IF(AND(Table1[[#This Row],[Spec Type2]]="N/A",Table1[[#This Row],[DUT Adj Read]]="N/A",Table1[[#This Row],[Std Adj Read]]="N/A"),"N/A",IF(Table1[[#This Row],[DUT Adj Read]]="N/A",IF(Table1[[#This Row],[Std Adj Read]]&lt;Table1[[#This Row],[High Tol]],"Pass","Fail"),IF(Table1[[#This Row],[DUT Adj Read]]&lt;Table1[[#This Row],[High Tol]],"Pass","Fail")))</f>
        <v>Fail</v>
      </c>
      <c r="AF2590" s="1" t="str">
        <f>IF(AND(Table1[[#This Row],[Spec Type2]]="N/A",Table1[[#This Row],[DUT Adj Read]]="N/A",Table1[[#This Row],[Std Adj Read]]="N/A"),"N/A",IF(Table1[[#This Row],[DUT Adj Read]]="N/A",IF(Table1[[#This Row],[Std Adj Read]]&gt;=Table1[[#This Row],[Low Tol]],"Pass","Fail"),IF(Table1[[#This Row],[DUT Adj Read]]&gt;=Table1[[#This Row],[Low Tol]],"Pass","Fail")))</f>
        <v>Pass</v>
      </c>
      <c r="AG2590" s="1" t="str">
        <f>IF(AND(Table1[[#This Row],[Spec Type2]]="N/A",Table1[[#This Row],[DUT Adj Read]]="N/A",Table1[[#This Row],[Std Adj Read]]="N/A"),"N/A",IF(Table1[[#This Row],[DUT Adj Read]]="N/A",IF(Table1[[#This Row],[Std Adj Read]]&lt;=Table1[[#This Row],[High Tol]],"Pass","Fail"),IF(Table1[[#This Row],[DUT Adj Read]]&lt;=Table1[[#This Row],[High Tol]],"Pass","Fail")))</f>
        <v>Fail</v>
      </c>
      <c r="AH25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0" s="1" t="b">
        <v>0</v>
      </c>
      <c r="AN2590" s="1" t="b">
        <v>0</v>
      </c>
      <c r="AO2590" s="1" t="b">
        <v>0</v>
      </c>
    </row>
    <row r="2591" spans="1:41" x14ac:dyDescent="0.25">
      <c r="A2591" s="10"/>
      <c r="B2591" s="10"/>
      <c r="C2591" s="10"/>
      <c r="D2591" s="10"/>
      <c r="E2591" s="10"/>
      <c r="F2591" s="10"/>
      <c r="G2591" s="10"/>
      <c r="H2591" s="10"/>
      <c r="I2591" s="1" t="str">
        <f t="shared" si="120"/>
        <v/>
      </c>
      <c r="J2591" s="1" t="s">
        <v>35</v>
      </c>
      <c r="K2591" s="1" t="str">
        <f t="shared" si="121"/>
        <v/>
      </c>
      <c r="L2591" s="1" t="str">
        <f t="shared" si="122"/>
        <v/>
      </c>
      <c r="M2591" s="1">
        <f>IF(OR(Table1[[#This Row],[Std Nom]]="",Table1[[#This Row],[Std Read]]=""),0,Table1[[#This Row],[Std Nom]]-Table1[[#This Row],[Std Read]])</f>
        <v>0</v>
      </c>
      <c r="N2591" s="1">
        <f>IF(Calculations!$F$5="ACCREDITED 17025 WITH UNCERTAINTIES",$N$10,0)</f>
        <v>0</v>
      </c>
      <c r="Q2591" s="1">
        <f>Table1[[#This Row],[High Tol]]-Table1[[#This Row],[Low Tol]]</f>
        <v>0</v>
      </c>
      <c r="R2591" s="1">
        <f>2*Table1[[#This Row],[Std Error]]</f>
        <v>0</v>
      </c>
      <c r="S2591" s="1" t="str">
        <f>IF(Table1[[#This Row],[High Tol]]="","N/A",IFERROR(ABS(Table1[[#This Row],[Tol Span]]/Table1[[#This Row],[Error Span]]),"N/A"))</f>
        <v>N/A</v>
      </c>
      <c r="T2591" s="1" t="str">
        <f>IF(OR(Table1[[#This Row],[Low Tol]]="",Table1[[#This Row],[High Tol]]=""),"Needs Analysis",IF(Table1[[#This Row],[Ratio]]&gt;=4,"Not Significant",IF(Table1[[#This Row],[Ratio]]&gt;=2,"Semi-Significant","Significant")))</f>
        <v>Needs Analysis</v>
      </c>
      <c r="W2591" s="1">
        <f>IF(Table1[[#This Row],[Cal Type]]&lt;&gt;"ACCREDITED 17025 WITH UNCERTAINTIES",0,"")</f>
        <v>0</v>
      </c>
      <c r="X2591" s="1" t="str">
        <f>IF(Table1[[#This Row],[DUT Read]]="","N/A",Table1[[#This Row],[Std Error]]+Table1[[#This Row],[DUT Read]]+Table1[[#This Row],[DUT Ucty]])</f>
        <v>N/A</v>
      </c>
      <c r="Y2591" s="1" t="str">
        <f>IF(Table1[[#This Row],[Std Read]]="","N/A",Table1[[#This Row],[Std Read]]+Table1[[#This Row],[Std Ucty]])</f>
        <v>N/A</v>
      </c>
      <c r="Z25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1" s="1" t="str">
        <f>IF(Table1[[#This Row],[Spec Type]]="","N/A",Table1[[#This Row],[Spec Type]])</f>
        <v>±</v>
      </c>
      <c r="AC2591" s="1" t="str">
        <f>IF(Table1[[#This Row],[Spec Type2]]="N/A","N/A",IF(AND(Table1[[#This Row],[DUT Adj Read]]&gt;=Table1[[#This Row],[Low Tol]],Table1[[#This Row],[DUT Adj Read]]&lt;=Table1[[#This Row],[High Tol]]),"Pass","Fail"))</f>
        <v>Fail</v>
      </c>
      <c r="AD2591" s="1" t="str">
        <f>IF(AND(Table1[[#This Row],[Spec Type2]]="N/A",Table1[[#This Row],[DUT Adj Read]]="N/A",Table1[[#This Row],[Std Adj Read]]="N/A"),"N/A",IF(Table1[[#This Row],[DUT Adj Read]]="N/A",IF(Table1[[#This Row],[Std Adj Read]]&gt;Table1[[#This Row],[Low Tol]],"Pass","Fail"),IF(Table1[[#This Row],[DUT Adj Read]]&gt;Table1[[#This Row],[Low Tol]],"Pass","Fail")))</f>
        <v>Pass</v>
      </c>
      <c r="AE2591" s="1" t="str">
        <f>IF(AND(Table1[[#This Row],[Spec Type2]]="N/A",Table1[[#This Row],[DUT Adj Read]]="N/A",Table1[[#This Row],[Std Adj Read]]="N/A"),"N/A",IF(Table1[[#This Row],[DUT Adj Read]]="N/A",IF(Table1[[#This Row],[Std Adj Read]]&lt;Table1[[#This Row],[High Tol]],"Pass","Fail"),IF(Table1[[#This Row],[DUT Adj Read]]&lt;Table1[[#This Row],[High Tol]],"Pass","Fail")))</f>
        <v>Fail</v>
      </c>
      <c r="AF2591" s="1" t="str">
        <f>IF(AND(Table1[[#This Row],[Spec Type2]]="N/A",Table1[[#This Row],[DUT Adj Read]]="N/A",Table1[[#This Row],[Std Adj Read]]="N/A"),"N/A",IF(Table1[[#This Row],[DUT Adj Read]]="N/A",IF(Table1[[#This Row],[Std Adj Read]]&gt;=Table1[[#This Row],[Low Tol]],"Pass","Fail"),IF(Table1[[#This Row],[DUT Adj Read]]&gt;=Table1[[#This Row],[Low Tol]],"Pass","Fail")))</f>
        <v>Pass</v>
      </c>
      <c r="AG2591" s="1" t="str">
        <f>IF(AND(Table1[[#This Row],[Spec Type2]]="N/A",Table1[[#This Row],[DUT Adj Read]]="N/A",Table1[[#This Row],[Std Adj Read]]="N/A"),"N/A",IF(Table1[[#This Row],[DUT Adj Read]]="N/A",IF(Table1[[#This Row],[Std Adj Read]]&lt;=Table1[[#This Row],[High Tol]],"Pass","Fail"),IF(Table1[[#This Row],[DUT Adj Read]]&lt;=Table1[[#This Row],[High Tol]],"Pass","Fail")))</f>
        <v>Fail</v>
      </c>
      <c r="AH25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1" s="1" t="b">
        <v>0</v>
      </c>
      <c r="AN2591" s="1" t="b">
        <v>0</v>
      </c>
      <c r="AO2591" s="1" t="b">
        <v>0</v>
      </c>
    </row>
    <row r="2592" spans="1:41" x14ac:dyDescent="0.25">
      <c r="A2592" s="10"/>
      <c r="B2592" s="10"/>
      <c r="C2592" s="10"/>
      <c r="D2592" s="10"/>
      <c r="E2592" s="10"/>
      <c r="F2592" s="10"/>
      <c r="G2592" s="10"/>
      <c r="H2592" s="10"/>
      <c r="I2592" s="1" t="str">
        <f t="shared" si="120"/>
        <v/>
      </c>
      <c r="J2592" s="1" t="s">
        <v>35</v>
      </c>
      <c r="K2592" s="1" t="str">
        <f t="shared" si="121"/>
        <v/>
      </c>
      <c r="L2592" s="1" t="str">
        <f t="shared" si="122"/>
        <v/>
      </c>
      <c r="M2592" s="1">
        <f>IF(OR(Table1[[#This Row],[Std Nom]]="",Table1[[#This Row],[Std Read]]=""),0,Table1[[#This Row],[Std Nom]]-Table1[[#This Row],[Std Read]])</f>
        <v>0</v>
      </c>
      <c r="N2592" s="1">
        <f>IF(Calculations!$F$5="ACCREDITED 17025 WITH UNCERTAINTIES",$N$10,0)</f>
        <v>0</v>
      </c>
      <c r="Q2592" s="1">
        <f>Table1[[#This Row],[High Tol]]-Table1[[#This Row],[Low Tol]]</f>
        <v>0</v>
      </c>
      <c r="R2592" s="1">
        <f>2*Table1[[#This Row],[Std Error]]</f>
        <v>0</v>
      </c>
      <c r="S2592" s="1" t="str">
        <f>IF(Table1[[#This Row],[High Tol]]="","N/A",IFERROR(ABS(Table1[[#This Row],[Tol Span]]/Table1[[#This Row],[Error Span]]),"N/A"))</f>
        <v>N/A</v>
      </c>
      <c r="T2592" s="1" t="str">
        <f>IF(OR(Table1[[#This Row],[Low Tol]]="",Table1[[#This Row],[High Tol]]=""),"Needs Analysis",IF(Table1[[#This Row],[Ratio]]&gt;=4,"Not Significant",IF(Table1[[#This Row],[Ratio]]&gt;=2,"Semi-Significant","Significant")))</f>
        <v>Needs Analysis</v>
      </c>
      <c r="W2592" s="1">
        <f>IF(Table1[[#This Row],[Cal Type]]&lt;&gt;"ACCREDITED 17025 WITH UNCERTAINTIES",0,"")</f>
        <v>0</v>
      </c>
      <c r="X2592" s="1" t="str">
        <f>IF(Table1[[#This Row],[DUT Read]]="","N/A",Table1[[#This Row],[Std Error]]+Table1[[#This Row],[DUT Read]]+Table1[[#This Row],[DUT Ucty]])</f>
        <v>N/A</v>
      </c>
      <c r="Y2592" s="1" t="str">
        <f>IF(Table1[[#This Row],[Std Read]]="","N/A",Table1[[#This Row],[Std Read]]+Table1[[#This Row],[Std Ucty]])</f>
        <v>N/A</v>
      </c>
      <c r="Z25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2" s="1" t="str">
        <f>IF(Table1[[#This Row],[Spec Type]]="","N/A",Table1[[#This Row],[Spec Type]])</f>
        <v>±</v>
      </c>
      <c r="AC2592" s="1" t="str">
        <f>IF(Table1[[#This Row],[Spec Type2]]="N/A","N/A",IF(AND(Table1[[#This Row],[DUT Adj Read]]&gt;=Table1[[#This Row],[Low Tol]],Table1[[#This Row],[DUT Adj Read]]&lt;=Table1[[#This Row],[High Tol]]),"Pass","Fail"))</f>
        <v>Fail</v>
      </c>
      <c r="AD2592" s="1" t="str">
        <f>IF(AND(Table1[[#This Row],[Spec Type2]]="N/A",Table1[[#This Row],[DUT Adj Read]]="N/A",Table1[[#This Row],[Std Adj Read]]="N/A"),"N/A",IF(Table1[[#This Row],[DUT Adj Read]]="N/A",IF(Table1[[#This Row],[Std Adj Read]]&gt;Table1[[#This Row],[Low Tol]],"Pass","Fail"),IF(Table1[[#This Row],[DUT Adj Read]]&gt;Table1[[#This Row],[Low Tol]],"Pass","Fail")))</f>
        <v>Pass</v>
      </c>
      <c r="AE2592" s="1" t="str">
        <f>IF(AND(Table1[[#This Row],[Spec Type2]]="N/A",Table1[[#This Row],[DUT Adj Read]]="N/A",Table1[[#This Row],[Std Adj Read]]="N/A"),"N/A",IF(Table1[[#This Row],[DUT Adj Read]]="N/A",IF(Table1[[#This Row],[Std Adj Read]]&lt;Table1[[#This Row],[High Tol]],"Pass","Fail"),IF(Table1[[#This Row],[DUT Adj Read]]&lt;Table1[[#This Row],[High Tol]],"Pass","Fail")))</f>
        <v>Fail</v>
      </c>
      <c r="AF2592" s="1" t="str">
        <f>IF(AND(Table1[[#This Row],[Spec Type2]]="N/A",Table1[[#This Row],[DUT Adj Read]]="N/A",Table1[[#This Row],[Std Adj Read]]="N/A"),"N/A",IF(Table1[[#This Row],[DUT Adj Read]]="N/A",IF(Table1[[#This Row],[Std Adj Read]]&gt;=Table1[[#This Row],[Low Tol]],"Pass","Fail"),IF(Table1[[#This Row],[DUT Adj Read]]&gt;=Table1[[#This Row],[Low Tol]],"Pass","Fail")))</f>
        <v>Pass</v>
      </c>
      <c r="AG2592" s="1" t="str">
        <f>IF(AND(Table1[[#This Row],[Spec Type2]]="N/A",Table1[[#This Row],[DUT Adj Read]]="N/A",Table1[[#This Row],[Std Adj Read]]="N/A"),"N/A",IF(Table1[[#This Row],[DUT Adj Read]]="N/A",IF(Table1[[#This Row],[Std Adj Read]]&lt;=Table1[[#This Row],[High Tol]],"Pass","Fail"),IF(Table1[[#This Row],[DUT Adj Read]]&lt;=Table1[[#This Row],[High Tol]],"Pass","Fail")))</f>
        <v>Fail</v>
      </c>
      <c r="AH25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2" s="1" t="b">
        <v>0</v>
      </c>
      <c r="AN2592" s="1" t="b">
        <v>0</v>
      </c>
      <c r="AO2592" s="1" t="b">
        <v>0</v>
      </c>
    </row>
    <row r="2593" spans="1:41" x14ac:dyDescent="0.25">
      <c r="A2593" s="10"/>
      <c r="B2593" s="10"/>
      <c r="C2593" s="10"/>
      <c r="D2593" s="10"/>
      <c r="E2593" s="10"/>
      <c r="F2593" s="10"/>
      <c r="G2593" s="10"/>
      <c r="H2593" s="10"/>
      <c r="I2593" s="1" t="str">
        <f t="shared" si="120"/>
        <v/>
      </c>
      <c r="J2593" s="1" t="s">
        <v>35</v>
      </c>
      <c r="K2593" s="1" t="str">
        <f t="shared" si="121"/>
        <v/>
      </c>
      <c r="L2593" s="1" t="str">
        <f t="shared" si="122"/>
        <v/>
      </c>
      <c r="M2593" s="1">
        <f>IF(OR(Table1[[#This Row],[Std Nom]]="",Table1[[#This Row],[Std Read]]=""),0,Table1[[#This Row],[Std Nom]]-Table1[[#This Row],[Std Read]])</f>
        <v>0</v>
      </c>
      <c r="N2593" s="1">
        <f>IF(Calculations!$F$5="ACCREDITED 17025 WITH UNCERTAINTIES",$N$10,0)</f>
        <v>0</v>
      </c>
      <c r="Q2593" s="1">
        <f>Table1[[#This Row],[High Tol]]-Table1[[#This Row],[Low Tol]]</f>
        <v>0</v>
      </c>
      <c r="R2593" s="1">
        <f>2*Table1[[#This Row],[Std Error]]</f>
        <v>0</v>
      </c>
      <c r="S2593" s="1" t="str">
        <f>IF(Table1[[#This Row],[High Tol]]="","N/A",IFERROR(ABS(Table1[[#This Row],[Tol Span]]/Table1[[#This Row],[Error Span]]),"N/A"))</f>
        <v>N/A</v>
      </c>
      <c r="T2593" s="1" t="str">
        <f>IF(OR(Table1[[#This Row],[Low Tol]]="",Table1[[#This Row],[High Tol]]=""),"Needs Analysis",IF(Table1[[#This Row],[Ratio]]&gt;=4,"Not Significant",IF(Table1[[#This Row],[Ratio]]&gt;=2,"Semi-Significant","Significant")))</f>
        <v>Needs Analysis</v>
      </c>
      <c r="W2593" s="1">
        <f>IF(Table1[[#This Row],[Cal Type]]&lt;&gt;"ACCREDITED 17025 WITH UNCERTAINTIES",0,"")</f>
        <v>0</v>
      </c>
      <c r="X2593" s="1" t="str">
        <f>IF(Table1[[#This Row],[DUT Read]]="","N/A",Table1[[#This Row],[Std Error]]+Table1[[#This Row],[DUT Read]]+Table1[[#This Row],[DUT Ucty]])</f>
        <v>N/A</v>
      </c>
      <c r="Y2593" s="1" t="str">
        <f>IF(Table1[[#This Row],[Std Read]]="","N/A",Table1[[#This Row],[Std Read]]+Table1[[#This Row],[Std Ucty]])</f>
        <v>N/A</v>
      </c>
      <c r="Z25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3" s="1" t="str">
        <f>IF(Table1[[#This Row],[Spec Type]]="","N/A",Table1[[#This Row],[Spec Type]])</f>
        <v>±</v>
      </c>
      <c r="AC2593" s="1" t="str">
        <f>IF(Table1[[#This Row],[Spec Type2]]="N/A","N/A",IF(AND(Table1[[#This Row],[DUT Adj Read]]&gt;=Table1[[#This Row],[Low Tol]],Table1[[#This Row],[DUT Adj Read]]&lt;=Table1[[#This Row],[High Tol]]),"Pass","Fail"))</f>
        <v>Fail</v>
      </c>
      <c r="AD2593" s="1" t="str">
        <f>IF(AND(Table1[[#This Row],[Spec Type2]]="N/A",Table1[[#This Row],[DUT Adj Read]]="N/A",Table1[[#This Row],[Std Adj Read]]="N/A"),"N/A",IF(Table1[[#This Row],[DUT Adj Read]]="N/A",IF(Table1[[#This Row],[Std Adj Read]]&gt;Table1[[#This Row],[Low Tol]],"Pass","Fail"),IF(Table1[[#This Row],[DUT Adj Read]]&gt;Table1[[#This Row],[Low Tol]],"Pass","Fail")))</f>
        <v>Pass</v>
      </c>
      <c r="AE2593" s="1" t="str">
        <f>IF(AND(Table1[[#This Row],[Spec Type2]]="N/A",Table1[[#This Row],[DUT Adj Read]]="N/A",Table1[[#This Row],[Std Adj Read]]="N/A"),"N/A",IF(Table1[[#This Row],[DUT Adj Read]]="N/A",IF(Table1[[#This Row],[Std Adj Read]]&lt;Table1[[#This Row],[High Tol]],"Pass","Fail"),IF(Table1[[#This Row],[DUT Adj Read]]&lt;Table1[[#This Row],[High Tol]],"Pass","Fail")))</f>
        <v>Fail</v>
      </c>
      <c r="AF2593" s="1" t="str">
        <f>IF(AND(Table1[[#This Row],[Spec Type2]]="N/A",Table1[[#This Row],[DUT Adj Read]]="N/A",Table1[[#This Row],[Std Adj Read]]="N/A"),"N/A",IF(Table1[[#This Row],[DUT Adj Read]]="N/A",IF(Table1[[#This Row],[Std Adj Read]]&gt;=Table1[[#This Row],[Low Tol]],"Pass","Fail"),IF(Table1[[#This Row],[DUT Adj Read]]&gt;=Table1[[#This Row],[Low Tol]],"Pass","Fail")))</f>
        <v>Pass</v>
      </c>
      <c r="AG2593" s="1" t="str">
        <f>IF(AND(Table1[[#This Row],[Spec Type2]]="N/A",Table1[[#This Row],[DUT Adj Read]]="N/A",Table1[[#This Row],[Std Adj Read]]="N/A"),"N/A",IF(Table1[[#This Row],[DUT Adj Read]]="N/A",IF(Table1[[#This Row],[Std Adj Read]]&lt;=Table1[[#This Row],[High Tol]],"Pass","Fail"),IF(Table1[[#This Row],[DUT Adj Read]]&lt;=Table1[[#This Row],[High Tol]],"Pass","Fail")))</f>
        <v>Fail</v>
      </c>
      <c r="AH25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3" s="1" t="b">
        <v>0</v>
      </c>
      <c r="AN2593" s="1" t="b">
        <v>0</v>
      </c>
      <c r="AO2593" s="1" t="b">
        <v>0</v>
      </c>
    </row>
    <row r="2594" spans="1:41" x14ac:dyDescent="0.25">
      <c r="A2594" s="10"/>
      <c r="B2594" s="10"/>
      <c r="C2594" s="10"/>
      <c r="D2594" s="10"/>
      <c r="E2594" s="10"/>
      <c r="F2594" s="10"/>
      <c r="G2594" s="10"/>
      <c r="H2594" s="10"/>
      <c r="I2594" s="1" t="str">
        <f t="shared" si="120"/>
        <v/>
      </c>
      <c r="J2594" s="1" t="s">
        <v>35</v>
      </c>
      <c r="K2594" s="1" t="str">
        <f t="shared" si="121"/>
        <v/>
      </c>
      <c r="L2594" s="1" t="str">
        <f t="shared" si="122"/>
        <v/>
      </c>
      <c r="M2594" s="1">
        <f>IF(OR(Table1[[#This Row],[Std Nom]]="",Table1[[#This Row],[Std Read]]=""),0,Table1[[#This Row],[Std Nom]]-Table1[[#This Row],[Std Read]])</f>
        <v>0</v>
      </c>
      <c r="N2594" s="1">
        <f>IF(Calculations!$F$5="ACCREDITED 17025 WITH UNCERTAINTIES",$N$10,0)</f>
        <v>0</v>
      </c>
      <c r="Q2594" s="1">
        <f>Table1[[#This Row],[High Tol]]-Table1[[#This Row],[Low Tol]]</f>
        <v>0</v>
      </c>
      <c r="R2594" s="1">
        <f>2*Table1[[#This Row],[Std Error]]</f>
        <v>0</v>
      </c>
      <c r="S2594" s="1" t="str">
        <f>IF(Table1[[#This Row],[High Tol]]="","N/A",IFERROR(ABS(Table1[[#This Row],[Tol Span]]/Table1[[#This Row],[Error Span]]),"N/A"))</f>
        <v>N/A</v>
      </c>
      <c r="T2594" s="1" t="str">
        <f>IF(OR(Table1[[#This Row],[Low Tol]]="",Table1[[#This Row],[High Tol]]=""),"Needs Analysis",IF(Table1[[#This Row],[Ratio]]&gt;=4,"Not Significant",IF(Table1[[#This Row],[Ratio]]&gt;=2,"Semi-Significant","Significant")))</f>
        <v>Needs Analysis</v>
      </c>
      <c r="W2594" s="1">
        <f>IF(Table1[[#This Row],[Cal Type]]&lt;&gt;"ACCREDITED 17025 WITH UNCERTAINTIES",0,"")</f>
        <v>0</v>
      </c>
      <c r="X2594" s="1" t="str">
        <f>IF(Table1[[#This Row],[DUT Read]]="","N/A",Table1[[#This Row],[Std Error]]+Table1[[#This Row],[DUT Read]]+Table1[[#This Row],[DUT Ucty]])</f>
        <v>N/A</v>
      </c>
      <c r="Y2594" s="1" t="str">
        <f>IF(Table1[[#This Row],[Std Read]]="","N/A",Table1[[#This Row],[Std Read]]+Table1[[#This Row],[Std Ucty]])</f>
        <v>N/A</v>
      </c>
      <c r="Z25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4" s="1" t="str">
        <f>IF(Table1[[#This Row],[Spec Type]]="","N/A",Table1[[#This Row],[Spec Type]])</f>
        <v>±</v>
      </c>
      <c r="AC2594" s="1" t="str">
        <f>IF(Table1[[#This Row],[Spec Type2]]="N/A","N/A",IF(AND(Table1[[#This Row],[DUT Adj Read]]&gt;=Table1[[#This Row],[Low Tol]],Table1[[#This Row],[DUT Adj Read]]&lt;=Table1[[#This Row],[High Tol]]),"Pass","Fail"))</f>
        <v>Fail</v>
      </c>
      <c r="AD2594" s="1" t="str">
        <f>IF(AND(Table1[[#This Row],[Spec Type2]]="N/A",Table1[[#This Row],[DUT Adj Read]]="N/A",Table1[[#This Row],[Std Adj Read]]="N/A"),"N/A",IF(Table1[[#This Row],[DUT Adj Read]]="N/A",IF(Table1[[#This Row],[Std Adj Read]]&gt;Table1[[#This Row],[Low Tol]],"Pass","Fail"),IF(Table1[[#This Row],[DUT Adj Read]]&gt;Table1[[#This Row],[Low Tol]],"Pass","Fail")))</f>
        <v>Pass</v>
      </c>
      <c r="AE2594" s="1" t="str">
        <f>IF(AND(Table1[[#This Row],[Spec Type2]]="N/A",Table1[[#This Row],[DUT Adj Read]]="N/A",Table1[[#This Row],[Std Adj Read]]="N/A"),"N/A",IF(Table1[[#This Row],[DUT Adj Read]]="N/A",IF(Table1[[#This Row],[Std Adj Read]]&lt;Table1[[#This Row],[High Tol]],"Pass","Fail"),IF(Table1[[#This Row],[DUT Adj Read]]&lt;Table1[[#This Row],[High Tol]],"Pass","Fail")))</f>
        <v>Fail</v>
      </c>
      <c r="AF2594" s="1" t="str">
        <f>IF(AND(Table1[[#This Row],[Spec Type2]]="N/A",Table1[[#This Row],[DUT Adj Read]]="N/A",Table1[[#This Row],[Std Adj Read]]="N/A"),"N/A",IF(Table1[[#This Row],[DUT Adj Read]]="N/A",IF(Table1[[#This Row],[Std Adj Read]]&gt;=Table1[[#This Row],[Low Tol]],"Pass","Fail"),IF(Table1[[#This Row],[DUT Adj Read]]&gt;=Table1[[#This Row],[Low Tol]],"Pass","Fail")))</f>
        <v>Pass</v>
      </c>
      <c r="AG2594" s="1" t="str">
        <f>IF(AND(Table1[[#This Row],[Spec Type2]]="N/A",Table1[[#This Row],[DUT Adj Read]]="N/A",Table1[[#This Row],[Std Adj Read]]="N/A"),"N/A",IF(Table1[[#This Row],[DUT Adj Read]]="N/A",IF(Table1[[#This Row],[Std Adj Read]]&lt;=Table1[[#This Row],[High Tol]],"Pass","Fail"),IF(Table1[[#This Row],[DUT Adj Read]]&lt;=Table1[[#This Row],[High Tol]],"Pass","Fail")))</f>
        <v>Fail</v>
      </c>
      <c r="AH25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4" s="1" t="b">
        <v>0</v>
      </c>
      <c r="AN2594" s="1" t="b">
        <v>0</v>
      </c>
      <c r="AO2594" s="1" t="b">
        <v>0</v>
      </c>
    </row>
    <row r="2595" spans="1:41" x14ac:dyDescent="0.25">
      <c r="A2595" s="10"/>
      <c r="B2595" s="10"/>
      <c r="C2595" s="10"/>
      <c r="D2595" s="10"/>
      <c r="E2595" s="10"/>
      <c r="F2595" s="10"/>
      <c r="G2595" s="10"/>
      <c r="H2595" s="10"/>
      <c r="I2595" s="1" t="str">
        <f t="shared" si="120"/>
        <v/>
      </c>
      <c r="J2595" s="1" t="s">
        <v>35</v>
      </c>
      <c r="K2595" s="1" t="str">
        <f t="shared" si="121"/>
        <v/>
      </c>
      <c r="L2595" s="1" t="str">
        <f t="shared" si="122"/>
        <v/>
      </c>
      <c r="M2595" s="1">
        <f>IF(OR(Table1[[#This Row],[Std Nom]]="",Table1[[#This Row],[Std Read]]=""),0,Table1[[#This Row],[Std Nom]]-Table1[[#This Row],[Std Read]])</f>
        <v>0</v>
      </c>
      <c r="N2595" s="1">
        <f>IF(Calculations!$F$5="ACCREDITED 17025 WITH UNCERTAINTIES",$N$10,0)</f>
        <v>0</v>
      </c>
      <c r="Q2595" s="1">
        <f>Table1[[#This Row],[High Tol]]-Table1[[#This Row],[Low Tol]]</f>
        <v>0</v>
      </c>
      <c r="R2595" s="1">
        <f>2*Table1[[#This Row],[Std Error]]</f>
        <v>0</v>
      </c>
      <c r="S2595" s="1" t="str">
        <f>IF(Table1[[#This Row],[High Tol]]="","N/A",IFERROR(ABS(Table1[[#This Row],[Tol Span]]/Table1[[#This Row],[Error Span]]),"N/A"))</f>
        <v>N/A</v>
      </c>
      <c r="T2595" s="1" t="str">
        <f>IF(OR(Table1[[#This Row],[Low Tol]]="",Table1[[#This Row],[High Tol]]=""),"Needs Analysis",IF(Table1[[#This Row],[Ratio]]&gt;=4,"Not Significant",IF(Table1[[#This Row],[Ratio]]&gt;=2,"Semi-Significant","Significant")))</f>
        <v>Needs Analysis</v>
      </c>
      <c r="W2595" s="1">
        <f>IF(Table1[[#This Row],[Cal Type]]&lt;&gt;"ACCREDITED 17025 WITH UNCERTAINTIES",0,"")</f>
        <v>0</v>
      </c>
      <c r="X2595" s="1" t="str">
        <f>IF(Table1[[#This Row],[DUT Read]]="","N/A",Table1[[#This Row],[Std Error]]+Table1[[#This Row],[DUT Read]]+Table1[[#This Row],[DUT Ucty]])</f>
        <v>N/A</v>
      </c>
      <c r="Y2595" s="1" t="str">
        <f>IF(Table1[[#This Row],[Std Read]]="","N/A",Table1[[#This Row],[Std Read]]+Table1[[#This Row],[Std Ucty]])</f>
        <v>N/A</v>
      </c>
      <c r="Z25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5" s="1" t="str">
        <f>IF(Table1[[#This Row],[Spec Type]]="","N/A",Table1[[#This Row],[Spec Type]])</f>
        <v>±</v>
      </c>
      <c r="AC2595" s="1" t="str">
        <f>IF(Table1[[#This Row],[Spec Type2]]="N/A","N/A",IF(AND(Table1[[#This Row],[DUT Adj Read]]&gt;=Table1[[#This Row],[Low Tol]],Table1[[#This Row],[DUT Adj Read]]&lt;=Table1[[#This Row],[High Tol]]),"Pass","Fail"))</f>
        <v>Fail</v>
      </c>
      <c r="AD2595" s="1" t="str">
        <f>IF(AND(Table1[[#This Row],[Spec Type2]]="N/A",Table1[[#This Row],[DUT Adj Read]]="N/A",Table1[[#This Row],[Std Adj Read]]="N/A"),"N/A",IF(Table1[[#This Row],[DUT Adj Read]]="N/A",IF(Table1[[#This Row],[Std Adj Read]]&gt;Table1[[#This Row],[Low Tol]],"Pass","Fail"),IF(Table1[[#This Row],[DUT Adj Read]]&gt;Table1[[#This Row],[Low Tol]],"Pass","Fail")))</f>
        <v>Pass</v>
      </c>
      <c r="AE2595" s="1" t="str">
        <f>IF(AND(Table1[[#This Row],[Spec Type2]]="N/A",Table1[[#This Row],[DUT Adj Read]]="N/A",Table1[[#This Row],[Std Adj Read]]="N/A"),"N/A",IF(Table1[[#This Row],[DUT Adj Read]]="N/A",IF(Table1[[#This Row],[Std Adj Read]]&lt;Table1[[#This Row],[High Tol]],"Pass","Fail"),IF(Table1[[#This Row],[DUT Adj Read]]&lt;Table1[[#This Row],[High Tol]],"Pass","Fail")))</f>
        <v>Fail</v>
      </c>
      <c r="AF2595" s="1" t="str">
        <f>IF(AND(Table1[[#This Row],[Spec Type2]]="N/A",Table1[[#This Row],[DUT Adj Read]]="N/A",Table1[[#This Row],[Std Adj Read]]="N/A"),"N/A",IF(Table1[[#This Row],[DUT Adj Read]]="N/A",IF(Table1[[#This Row],[Std Adj Read]]&gt;=Table1[[#This Row],[Low Tol]],"Pass","Fail"),IF(Table1[[#This Row],[DUT Adj Read]]&gt;=Table1[[#This Row],[Low Tol]],"Pass","Fail")))</f>
        <v>Pass</v>
      </c>
      <c r="AG2595" s="1" t="str">
        <f>IF(AND(Table1[[#This Row],[Spec Type2]]="N/A",Table1[[#This Row],[DUT Adj Read]]="N/A",Table1[[#This Row],[Std Adj Read]]="N/A"),"N/A",IF(Table1[[#This Row],[DUT Adj Read]]="N/A",IF(Table1[[#This Row],[Std Adj Read]]&lt;=Table1[[#This Row],[High Tol]],"Pass","Fail"),IF(Table1[[#This Row],[DUT Adj Read]]&lt;=Table1[[#This Row],[High Tol]],"Pass","Fail")))</f>
        <v>Fail</v>
      </c>
      <c r="AH25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5" s="1" t="b">
        <v>0</v>
      </c>
      <c r="AN2595" s="1" t="b">
        <v>0</v>
      </c>
      <c r="AO2595" s="1" t="b">
        <v>0</v>
      </c>
    </row>
    <row r="2596" spans="1:41" x14ac:dyDescent="0.25">
      <c r="A2596" s="10"/>
      <c r="B2596" s="10"/>
      <c r="C2596" s="10"/>
      <c r="D2596" s="10"/>
      <c r="E2596" s="10"/>
      <c r="F2596" s="10"/>
      <c r="G2596" s="10"/>
      <c r="H2596" s="10"/>
      <c r="I2596" s="1" t="str">
        <f t="shared" si="120"/>
        <v/>
      </c>
      <c r="J2596" s="1" t="s">
        <v>35</v>
      </c>
      <c r="K2596" s="1" t="str">
        <f t="shared" si="121"/>
        <v/>
      </c>
      <c r="L2596" s="1" t="str">
        <f t="shared" si="122"/>
        <v/>
      </c>
      <c r="M2596" s="1">
        <f>IF(OR(Table1[[#This Row],[Std Nom]]="",Table1[[#This Row],[Std Read]]=""),0,Table1[[#This Row],[Std Nom]]-Table1[[#This Row],[Std Read]])</f>
        <v>0</v>
      </c>
      <c r="N2596" s="1">
        <f>IF(Calculations!$F$5="ACCREDITED 17025 WITH UNCERTAINTIES",$N$10,0)</f>
        <v>0</v>
      </c>
      <c r="Q2596" s="1">
        <f>Table1[[#This Row],[High Tol]]-Table1[[#This Row],[Low Tol]]</f>
        <v>0</v>
      </c>
      <c r="R2596" s="1">
        <f>2*Table1[[#This Row],[Std Error]]</f>
        <v>0</v>
      </c>
      <c r="S2596" s="1" t="str">
        <f>IF(Table1[[#This Row],[High Tol]]="","N/A",IFERROR(ABS(Table1[[#This Row],[Tol Span]]/Table1[[#This Row],[Error Span]]),"N/A"))</f>
        <v>N/A</v>
      </c>
      <c r="T2596" s="1" t="str">
        <f>IF(OR(Table1[[#This Row],[Low Tol]]="",Table1[[#This Row],[High Tol]]=""),"Needs Analysis",IF(Table1[[#This Row],[Ratio]]&gt;=4,"Not Significant",IF(Table1[[#This Row],[Ratio]]&gt;=2,"Semi-Significant","Significant")))</f>
        <v>Needs Analysis</v>
      </c>
      <c r="W2596" s="1">
        <f>IF(Table1[[#This Row],[Cal Type]]&lt;&gt;"ACCREDITED 17025 WITH UNCERTAINTIES",0,"")</f>
        <v>0</v>
      </c>
      <c r="X2596" s="1" t="str">
        <f>IF(Table1[[#This Row],[DUT Read]]="","N/A",Table1[[#This Row],[Std Error]]+Table1[[#This Row],[DUT Read]]+Table1[[#This Row],[DUT Ucty]])</f>
        <v>N/A</v>
      </c>
      <c r="Y2596" s="1" t="str">
        <f>IF(Table1[[#This Row],[Std Read]]="","N/A",Table1[[#This Row],[Std Read]]+Table1[[#This Row],[Std Ucty]])</f>
        <v>N/A</v>
      </c>
      <c r="Z25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6" s="1" t="str">
        <f>IF(Table1[[#This Row],[Spec Type]]="","N/A",Table1[[#This Row],[Spec Type]])</f>
        <v>±</v>
      </c>
      <c r="AC2596" s="1" t="str">
        <f>IF(Table1[[#This Row],[Spec Type2]]="N/A","N/A",IF(AND(Table1[[#This Row],[DUT Adj Read]]&gt;=Table1[[#This Row],[Low Tol]],Table1[[#This Row],[DUT Adj Read]]&lt;=Table1[[#This Row],[High Tol]]),"Pass","Fail"))</f>
        <v>Fail</v>
      </c>
      <c r="AD2596" s="1" t="str">
        <f>IF(AND(Table1[[#This Row],[Spec Type2]]="N/A",Table1[[#This Row],[DUT Adj Read]]="N/A",Table1[[#This Row],[Std Adj Read]]="N/A"),"N/A",IF(Table1[[#This Row],[DUT Adj Read]]="N/A",IF(Table1[[#This Row],[Std Adj Read]]&gt;Table1[[#This Row],[Low Tol]],"Pass","Fail"),IF(Table1[[#This Row],[DUT Adj Read]]&gt;Table1[[#This Row],[Low Tol]],"Pass","Fail")))</f>
        <v>Pass</v>
      </c>
      <c r="AE2596" s="1" t="str">
        <f>IF(AND(Table1[[#This Row],[Spec Type2]]="N/A",Table1[[#This Row],[DUT Adj Read]]="N/A",Table1[[#This Row],[Std Adj Read]]="N/A"),"N/A",IF(Table1[[#This Row],[DUT Adj Read]]="N/A",IF(Table1[[#This Row],[Std Adj Read]]&lt;Table1[[#This Row],[High Tol]],"Pass","Fail"),IF(Table1[[#This Row],[DUT Adj Read]]&lt;Table1[[#This Row],[High Tol]],"Pass","Fail")))</f>
        <v>Fail</v>
      </c>
      <c r="AF2596" s="1" t="str">
        <f>IF(AND(Table1[[#This Row],[Spec Type2]]="N/A",Table1[[#This Row],[DUT Adj Read]]="N/A",Table1[[#This Row],[Std Adj Read]]="N/A"),"N/A",IF(Table1[[#This Row],[DUT Adj Read]]="N/A",IF(Table1[[#This Row],[Std Adj Read]]&gt;=Table1[[#This Row],[Low Tol]],"Pass","Fail"),IF(Table1[[#This Row],[DUT Adj Read]]&gt;=Table1[[#This Row],[Low Tol]],"Pass","Fail")))</f>
        <v>Pass</v>
      </c>
      <c r="AG2596" s="1" t="str">
        <f>IF(AND(Table1[[#This Row],[Spec Type2]]="N/A",Table1[[#This Row],[DUT Adj Read]]="N/A",Table1[[#This Row],[Std Adj Read]]="N/A"),"N/A",IF(Table1[[#This Row],[DUT Adj Read]]="N/A",IF(Table1[[#This Row],[Std Adj Read]]&lt;=Table1[[#This Row],[High Tol]],"Pass","Fail"),IF(Table1[[#This Row],[DUT Adj Read]]&lt;=Table1[[#This Row],[High Tol]],"Pass","Fail")))</f>
        <v>Fail</v>
      </c>
      <c r="AH25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6" s="1" t="b">
        <v>0</v>
      </c>
      <c r="AN2596" s="1" t="b">
        <v>0</v>
      </c>
      <c r="AO2596" s="1" t="b">
        <v>0</v>
      </c>
    </row>
    <row r="2597" spans="1:41" x14ac:dyDescent="0.25">
      <c r="A2597" s="10"/>
      <c r="B2597" s="10"/>
      <c r="C2597" s="10"/>
      <c r="D2597" s="10"/>
      <c r="E2597" s="10"/>
      <c r="F2597" s="10"/>
      <c r="G2597" s="10"/>
      <c r="H2597" s="10"/>
      <c r="I2597" s="1" t="str">
        <f t="shared" si="120"/>
        <v/>
      </c>
      <c r="J2597" s="1" t="s">
        <v>35</v>
      </c>
      <c r="K2597" s="1" t="str">
        <f t="shared" si="121"/>
        <v/>
      </c>
      <c r="L2597" s="1" t="str">
        <f t="shared" si="122"/>
        <v/>
      </c>
      <c r="M2597" s="1">
        <f>IF(OR(Table1[[#This Row],[Std Nom]]="",Table1[[#This Row],[Std Read]]=""),0,Table1[[#This Row],[Std Nom]]-Table1[[#This Row],[Std Read]])</f>
        <v>0</v>
      </c>
      <c r="N2597" s="1">
        <f>IF(Calculations!$F$5="ACCREDITED 17025 WITH UNCERTAINTIES",$N$10,0)</f>
        <v>0</v>
      </c>
      <c r="Q2597" s="1">
        <f>Table1[[#This Row],[High Tol]]-Table1[[#This Row],[Low Tol]]</f>
        <v>0</v>
      </c>
      <c r="R2597" s="1">
        <f>2*Table1[[#This Row],[Std Error]]</f>
        <v>0</v>
      </c>
      <c r="S2597" s="1" t="str">
        <f>IF(Table1[[#This Row],[High Tol]]="","N/A",IFERROR(ABS(Table1[[#This Row],[Tol Span]]/Table1[[#This Row],[Error Span]]),"N/A"))</f>
        <v>N/A</v>
      </c>
      <c r="T2597" s="1" t="str">
        <f>IF(OR(Table1[[#This Row],[Low Tol]]="",Table1[[#This Row],[High Tol]]=""),"Needs Analysis",IF(Table1[[#This Row],[Ratio]]&gt;=4,"Not Significant",IF(Table1[[#This Row],[Ratio]]&gt;=2,"Semi-Significant","Significant")))</f>
        <v>Needs Analysis</v>
      </c>
      <c r="W2597" s="1">
        <f>IF(Table1[[#This Row],[Cal Type]]&lt;&gt;"ACCREDITED 17025 WITH UNCERTAINTIES",0,"")</f>
        <v>0</v>
      </c>
      <c r="X2597" s="1" t="str">
        <f>IF(Table1[[#This Row],[DUT Read]]="","N/A",Table1[[#This Row],[Std Error]]+Table1[[#This Row],[DUT Read]]+Table1[[#This Row],[DUT Ucty]])</f>
        <v>N/A</v>
      </c>
      <c r="Y2597" s="1" t="str">
        <f>IF(Table1[[#This Row],[Std Read]]="","N/A",Table1[[#This Row],[Std Read]]+Table1[[#This Row],[Std Ucty]])</f>
        <v>N/A</v>
      </c>
      <c r="Z25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7" s="1" t="str">
        <f>IF(Table1[[#This Row],[Spec Type]]="","N/A",Table1[[#This Row],[Spec Type]])</f>
        <v>±</v>
      </c>
      <c r="AC2597" s="1" t="str">
        <f>IF(Table1[[#This Row],[Spec Type2]]="N/A","N/A",IF(AND(Table1[[#This Row],[DUT Adj Read]]&gt;=Table1[[#This Row],[Low Tol]],Table1[[#This Row],[DUT Adj Read]]&lt;=Table1[[#This Row],[High Tol]]),"Pass","Fail"))</f>
        <v>Fail</v>
      </c>
      <c r="AD2597" s="1" t="str">
        <f>IF(AND(Table1[[#This Row],[Spec Type2]]="N/A",Table1[[#This Row],[DUT Adj Read]]="N/A",Table1[[#This Row],[Std Adj Read]]="N/A"),"N/A",IF(Table1[[#This Row],[DUT Adj Read]]="N/A",IF(Table1[[#This Row],[Std Adj Read]]&gt;Table1[[#This Row],[Low Tol]],"Pass","Fail"),IF(Table1[[#This Row],[DUT Adj Read]]&gt;Table1[[#This Row],[Low Tol]],"Pass","Fail")))</f>
        <v>Pass</v>
      </c>
      <c r="AE2597" s="1" t="str">
        <f>IF(AND(Table1[[#This Row],[Spec Type2]]="N/A",Table1[[#This Row],[DUT Adj Read]]="N/A",Table1[[#This Row],[Std Adj Read]]="N/A"),"N/A",IF(Table1[[#This Row],[DUT Adj Read]]="N/A",IF(Table1[[#This Row],[Std Adj Read]]&lt;Table1[[#This Row],[High Tol]],"Pass","Fail"),IF(Table1[[#This Row],[DUT Adj Read]]&lt;Table1[[#This Row],[High Tol]],"Pass","Fail")))</f>
        <v>Fail</v>
      </c>
      <c r="AF2597" s="1" t="str">
        <f>IF(AND(Table1[[#This Row],[Spec Type2]]="N/A",Table1[[#This Row],[DUT Adj Read]]="N/A",Table1[[#This Row],[Std Adj Read]]="N/A"),"N/A",IF(Table1[[#This Row],[DUT Adj Read]]="N/A",IF(Table1[[#This Row],[Std Adj Read]]&gt;=Table1[[#This Row],[Low Tol]],"Pass","Fail"),IF(Table1[[#This Row],[DUT Adj Read]]&gt;=Table1[[#This Row],[Low Tol]],"Pass","Fail")))</f>
        <v>Pass</v>
      </c>
      <c r="AG2597" s="1" t="str">
        <f>IF(AND(Table1[[#This Row],[Spec Type2]]="N/A",Table1[[#This Row],[DUT Adj Read]]="N/A",Table1[[#This Row],[Std Adj Read]]="N/A"),"N/A",IF(Table1[[#This Row],[DUT Adj Read]]="N/A",IF(Table1[[#This Row],[Std Adj Read]]&lt;=Table1[[#This Row],[High Tol]],"Pass","Fail"),IF(Table1[[#This Row],[DUT Adj Read]]&lt;=Table1[[#This Row],[High Tol]],"Pass","Fail")))</f>
        <v>Fail</v>
      </c>
      <c r="AH25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7" s="1" t="b">
        <v>0</v>
      </c>
      <c r="AN2597" s="1" t="b">
        <v>0</v>
      </c>
      <c r="AO2597" s="1" t="b">
        <v>0</v>
      </c>
    </row>
    <row r="2598" spans="1:41" x14ac:dyDescent="0.25">
      <c r="A2598" s="10"/>
      <c r="B2598" s="10"/>
      <c r="C2598" s="10"/>
      <c r="D2598" s="10"/>
      <c r="E2598" s="10"/>
      <c r="F2598" s="10"/>
      <c r="G2598" s="10"/>
      <c r="H2598" s="10"/>
      <c r="I2598" s="1" t="str">
        <f t="shared" si="120"/>
        <v/>
      </c>
      <c r="J2598" s="1" t="s">
        <v>35</v>
      </c>
      <c r="K2598" s="1" t="str">
        <f t="shared" si="121"/>
        <v/>
      </c>
      <c r="L2598" s="1" t="str">
        <f t="shared" si="122"/>
        <v/>
      </c>
      <c r="M2598" s="1">
        <f>IF(OR(Table1[[#This Row],[Std Nom]]="",Table1[[#This Row],[Std Read]]=""),0,Table1[[#This Row],[Std Nom]]-Table1[[#This Row],[Std Read]])</f>
        <v>0</v>
      </c>
      <c r="N2598" s="1">
        <f>IF(Calculations!$F$5="ACCREDITED 17025 WITH UNCERTAINTIES",$N$10,0)</f>
        <v>0</v>
      </c>
      <c r="Q2598" s="1">
        <f>Table1[[#This Row],[High Tol]]-Table1[[#This Row],[Low Tol]]</f>
        <v>0</v>
      </c>
      <c r="R2598" s="1">
        <f>2*Table1[[#This Row],[Std Error]]</f>
        <v>0</v>
      </c>
      <c r="S2598" s="1" t="str">
        <f>IF(Table1[[#This Row],[High Tol]]="","N/A",IFERROR(ABS(Table1[[#This Row],[Tol Span]]/Table1[[#This Row],[Error Span]]),"N/A"))</f>
        <v>N/A</v>
      </c>
      <c r="T2598" s="1" t="str">
        <f>IF(OR(Table1[[#This Row],[Low Tol]]="",Table1[[#This Row],[High Tol]]=""),"Needs Analysis",IF(Table1[[#This Row],[Ratio]]&gt;=4,"Not Significant",IF(Table1[[#This Row],[Ratio]]&gt;=2,"Semi-Significant","Significant")))</f>
        <v>Needs Analysis</v>
      </c>
      <c r="W2598" s="1">
        <f>IF(Table1[[#This Row],[Cal Type]]&lt;&gt;"ACCREDITED 17025 WITH UNCERTAINTIES",0,"")</f>
        <v>0</v>
      </c>
      <c r="X2598" s="1" t="str">
        <f>IF(Table1[[#This Row],[DUT Read]]="","N/A",Table1[[#This Row],[Std Error]]+Table1[[#This Row],[DUT Read]]+Table1[[#This Row],[DUT Ucty]])</f>
        <v>N/A</v>
      </c>
      <c r="Y2598" s="1" t="str">
        <f>IF(Table1[[#This Row],[Std Read]]="","N/A",Table1[[#This Row],[Std Read]]+Table1[[#This Row],[Std Ucty]])</f>
        <v>N/A</v>
      </c>
      <c r="Z25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8" s="1" t="str">
        <f>IF(Table1[[#This Row],[Spec Type]]="","N/A",Table1[[#This Row],[Spec Type]])</f>
        <v>±</v>
      </c>
      <c r="AC2598" s="1" t="str">
        <f>IF(Table1[[#This Row],[Spec Type2]]="N/A","N/A",IF(AND(Table1[[#This Row],[DUT Adj Read]]&gt;=Table1[[#This Row],[Low Tol]],Table1[[#This Row],[DUT Adj Read]]&lt;=Table1[[#This Row],[High Tol]]),"Pass","Fail"))</f>
        <v>Fail</v>
      </c>
      <c r="AD2598" s="1" t="str">
        <f>IF(AND(Table1[[#This Row],[Spec Type2]]="N/A",Table1[[#This Row],[DUT Adj Read]]="N/A",Table1[[#This Row],[Std Adj Read]]="N/A"),"N/A",IF(Table1[[#This Row],[DUT Adj Read]]="N/A",IF(Table1[[#This Row],[Std Adj Read]]&gt;Table1[[#This Row],[Low Tol]],"Pass","Fail"),IF(Table1[[#This Row],[DUT Adj Read]]&gt;Table1[[#This Row],[Low Tol]],"Pass","Fail")))</f>
        <v>Pass</v>
      </c>
      <c r="AE2598" s="1" t="str">
        <f>IF(AND(Table1[[#This Row],[Spec Type2]]="N/A",Table1[[#This Row],[DUT Adj Read]]="N/A",Table1[[#This Row],[Std Adj Read]]="N/A"),"N/A",IF(Table1[[#This Row],[DUT Adj Read]]="N/A",IF(Table1[[#This Row],[Std Adj Read]]&lt;Table1[[#This Row],[High Tol]],"Pass","Fail"),IF(Table1[[#This Row],[DUT Adj Read]]&lt;Table1[[#This Row],[High Tol]],"Pass","Fail")))</f>
        <v>Fail</v>
      </c>
      <c r="AF2598" s="1" t="str">
        <f>IF(AND(Table1[[#This Row],[Spec Type2]]="N/A",Table1[[#This Row],[DUT Adj Read]]="N/A",Table1[[#This Row],[Std Adj Read]]="N/A"),"N/A",IF(Table1[[#This Row],[DUT Adj Read]]="N/A",IF(Table1[[#This Row],[Std Adj Read]]&gt;=Table1[[#This Row],[Low Tol]],"Pass","Fail"),IF(Table1[[#This Row],[DUT Adj Read]]&gt;=Table1[[#This Row],[Low Tol]],"Pass","Fail")))</f>
        <v>Pass</v>
      </c>
      <c r="AG2598" s="1" t="str">
        <f>IF(AND(Table1[[#This Row],[Spec Type2]]="N/A",Table1[[#This Row],[DUT Adj Read]]="N/A",Table1[[#This Row],[Std Adj Read]]="N/A"),"N/A",IF(Table1[[#This Row],[DUT Adj Read]]="N/A",IF(Table1[[#This Row],[Std Adj Read]]&lt;=Table1[[#This Row],[High Tol]],"Pass","Fail"),IF(Table1[[#This Row],[DUT Adj Read]]&lt;=Table1[[#This Row],[High Tol]],"Pass","Fail")))</f>
        <v>Fail</v>
      </c>
      <c r="AH25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8" s="1" t="b">
        <v>0</v>
      </c>
      <c r="AN2598" s="1" t="b">
        <v>0</v>
      </c>
      <c r="AO2598" s="1" t="b">
        <v>0</v>
      </c>
    </row>
    <row r="2599" spans="1:41" x14ac:dyDescent="0.25">
      <c r="A2599" s="10"/>
      <c r="B2599" s="10"/>
      <c r="C2599" s="10"/>
      <c r="D2599" s="10"/>
      <c r="E2599" s="10"/>
      <c r="F2599" s="10"/>
      <c r="G2599" s="10"/>
      <c r="H2599" s="10"/>
      <c r="I2599" s="1" t="str">
        <f t="shared" si="120"/>
        <v/>
      </c>
      <c r="J2599" s="1" t="s">
        <v>35</v>
      </c>
      <c r="K2599" s="1" t="str">
        <f t="shared" si="121"/>
        <v/>
      </c>
      <c r="L2599" s="1" t="str">
        <f t="shared" si="122"/>
        <v/>
      </c>
      <c r="M2599" s="1">
        <f>IF(OR(Table1[[#This Row],[Std Nom]]="",Table1[[#This Row],[Std Read]]=""),0,Table1[[#This Row],[Std Nom]]-Table1[[#This Row],[Std Read]])</f>
        <v>0</v>
      </c>
      <c r="N2599" s="1">
        <f>IF(Calculations!$F$5="ACCREDITED 17025 WITH UNCERTAINTIES",$N$10,0)</f>
        <v>0</v>
      </c>
      <c r="Q2599" s="1">
        <f>Table1[[#This Row],[High Tol]]-Table1[[#This Row],[Low Tol]]</f>
        <v>0</v>
      </c>
      <c r="R2599" s="1">
        <f>2*Table1[[#This Row],[Std Error]]</f>
        <v>0</v>
      </c>
      <c r="S2599" s="1" t="str">
        <f>IF(Table1[[#This Row],[High Tol]]="","N/A",IFERROR(ABS(Table1[[#This Row],[Tol Span]]/Table1[[#This Row],[Error Span]]),"N/A"))</f>
        <v>N/A</v>
      </c>
      <c r="T2599" s="1" t="str">
        <f>IF(OR(Table1[[#This Row],[Low Tol]]="",Table1[[#This Row],[High Tol]]=""),"Needs Analysis",IF(Table1[[#This Row],[Ratio]]&gt;=4,"Not Significant",IF(Table1[[#This Row],[Ratio]]&gt;=2,"Semi-Significant","Significant")))</f>
        <v>Needs Analysis</v>
      </c>
      <c r="W2599" s="1">
        <f>IF(Table1[[#This Row],[Cal Type]]&lt;&gt;"ACCREDITED 17025 WITH UNCERTAINTIES",0,"")</f>
        <v>0</v>
      </c>
      <c r="X2599" s="1" t="str">
        <f>IF(Table1[[#This Row],[DUT Read]]="","N/A",Table1[[#This Row],[Std Error]]+Table1[[#This Row],[DUT Read]]+Table1[[#This Row],[DUT Ucty]])</f>
        <v>N/A</v>
      </c>
      <c r="Y2599" s="1" t="str">
        <f>IF(Table1[[#This Row],[Std Read]]="","N/A",Table1[[#This Row],[Std Read]]+Table1[[#This Row],[Std Ucty]])</f>
        <v>N/A</v>
      </c>
      <c r="Z25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599" s="1" t="str">
        <f>IF(Table1[[#This Row],[Spec Type]]="","N/A",Table1[[#This Row],[Spec Type]])</f>
        <v>±</v>
      </c>
      <c r="AC2599" s="1" t="str">
        <f>IF(Table1[[#This Row],[Spec Type2]]="N/A","N/A",IF(AND(Table1[[#This Row],[DUT Adj Read]]&gt;=Table1[[#This Row],[Low Tol]],Table1[[#This Row],[DUT Adj Read]]&lt;=Table1[[#This Row],[High Tol]]),"Pass","Fail"))</f>
        <v>Fail</v>
      </c>
      <c r="AD2599" s="1" t="str">
        <f>IF(AND(Table1[[#This Row],[Spec Type2]]="N/A",Table1[[#This Row],[DUT Adj Read]]="N/A",Table1[[#This Row],[Std Adj Read]]="N/A"),"N/A",IF(Table1[[#This Row],[DUT Adj Read]]="N/A",IF(Table1[[#This Row],[Std Adj Read]]&gt;Table1[[#This Row],[Low Tol]],"Pass","Fail"),IF(Table1[[#This Row],[DUT Adj Read]]&gt;Table1[[#This Row],[Low Tol]],"Pass","Fail")))</f>
        <v>Pass</v>
      </c>
      <c r="AE2599" s="1" t="str">
        <f>IF(AND(Table1[[#This Row],[Spec Type2]]="N/A",Table1[[#This Row],[DUT Adj Read]]="N/A",Table1[[#This Row],[Std Adj Read]]="N/A"),"N/A",IF(Table1[[#This Row],[DUT Adj Read]]="N/A",IF(Table1[[#This Row],[Std Adj Read]]&lt;Table1[[#This Row],[High Tol]],"Pass","Fail"),IF(Table1[[#This Row],[DUT Adj Read]]&lt;Table1[[#This Row],[High Tol]],"Pass","Fail")))</f>
        <v>Fail</v>
      </c>
      <c r="AF2599" s="1" t="str">
        <f>IF(AND(Table1[[#This Row],[Spec Type2]]="N/A",Table1[[#This Row],[DUT Adj Read]]="N/A",Table1[[#This Row],[Std Adj Read]]="N/A"),"N/A",IF(Table1[[#This Row],[DUT Adj Read]]="N/A",IF(Table1[[#This Row],[Std Adj Read]]&gt;=Table1[[#This Row],[Low Tol]],"Pass","Fail"),IF(Table1[[#This Row],[DUT Adj Read]]&gt;=Table1[[#This Row],[Low Tol]],"Pass","Fail")))</f>
        <v>Pass</v>
      </c>
      <c r="AG2599" s="1" t="str">
        <f>IF(AND(Table1[[#This Row],[Spec Type2]]="N/A",Table1[[#This Row],[DUT Adj Read]]="N/A",Table1[[#This Row],[Std Adj Read]]="N/A"),"N/A",IF(Table1[[#This Row],[DUT Adj Read]]="N/A",IF(Table1[[#This Row],[Std Adj Read]]&lt;=Table1[[#This Row],[High Tol]],"Pass","Fail"),IF(Table1[[#This Row],[DUT Adj Read]]&lt;=Table1[[#This Row],[High Tol]],"Pass","Fail")))</f>
        <v>Fail</v>
      </c>
      <c r="AH25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599" s="1" t="b">
        <v>0</v>
      </c>
      <c r="AN2599" s="1" t="b">
        <v>0</v>
      </c>
      <c r="AO2599" s="1" t="b">
        <v>0</v>
      </c>
    </row>
    <row r="2600" spans="1:41" x14ac:dyDescent="0.25">
      <c r="A2600" s="10"/>
      <c r="B2600" s="10"/>
      <c r="C2600" s="10"/>
      <c r="D2600" s="10"/>
      <c r="E2600" s="10"/>
      <c r="F2600" s="10"/>
      <c r="G2600" s="10"/>
      <c r="H2600" s="10"/>
      <c r="I2600" s="1" t="str">
        <f t="shared" si="120"/>
        <v/>
      </c>
      <c r="J2600" s="1" t="s">
        <v>35</v>
      </c>
      <c r="K2600" s="1" t="str">
        <f t="shared" si="121"/>
        <v/>
      </c>
      <c r="L2600" s="1" t="str">
        <f t="shared" si="122"/>
        <v/>
      </c>
      <c r="M2600" s="1">
        <f>IF(OR(Table1[[#This Row],[Std Nom]]="",Table1[[#This Row],[Std Read]]=""),0,Table1[[#This Row],[Std Nom]]-Table1[[#This Row],[Std Read]])</f>
        <v>0</v>
      </c>
      <c r="N2600" s="1">
        <f>IF(Calculations!$F$5="ACCREDITED 17025 WITH UNCERTAINTIES",$N$10,0)</f>
        <v>0</v>
      </c>
      <c r="Q2600" s="1">
        <f>Table1[[#This Row],[High Tol]]-Table1[[#This Row],[Low Tol]]</f>
        <v>0</v>
      </c>
      <c r="R2600" s="1">
        <f>2*Table1[[#This Row],[Std Error]]</f>
        <v>0</v>
      </c>
      <c r="S2600" s="1" t="str">
        <f>IF(Table1[[#This Row],[High Tol]]="","N/A",IFERROR(ABS(Table1[[#This Row],[Tol Span]]/Table1[[#This Row],[Error Span]]),"N/A"))</f>
        <v>N/A</v>
      </c>
      <c r="T2600" s="1" t="str">
        <f>IF(OR(Table1[[#This Row],[Low Tol]]="",Table1[[#This Row],[High Tol]]=""),"Needs Analysis",IF(Table1[[#This Row],[Ratio]]&gt;=4,"Not Significant",IF(Table1[[#This Row],[Ratio]]&gt;=2,"Semi-Significant","Significant")))</f>
        <v>Needs Analysis</v>
      </c>
      <c r="W2600" s="1">
        <f>IF(Table1[[#This Row],[Cal Type]]&lt;&gt;"ACCREDITED 17025 WITH UNCERTAINTIES",0,"")</f>
        <v>0</v>
      </c>
      <c r="X2600" s="1" t="str">
        <f>IF(Table1[[#This Row],[DUT Read]]="","N/A",Table1[[#This Row],[Std Error]]+Table1[[#This Row],[DUT Read]]+Table1[[#This Row],[DUT Ucty]])</f>
        <v>N/A</v>
      </c>
      <c r="Y2600" s="1" t="str">
        <f>IF(Table1[[#This Row],[Std Read]]="","N/A",Table1[[#This Row],[Std Read]]+Table1[[#This Row],[Std Ucty]])</f>
        <v>N/A</v>
      </c>
      <c r="Z26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0" s="1" t="str">
        <f>IF(Table1[[#This Row],[Spec Type]]="","N/A",Table1[[#This Row],[Spec Type]])</f>
        <v>±</v>
      </c>
      <c r="AC2600" s="1" t="str">
        <f>IF(Table1[[#This Row],[Spec Type2]]="N/A","N/A",IF(AND(Table1[[#This Row],[DUT Adj Read]]&gt;=Table1[[#This Row],[Low Tol]],Table1[[#This Row],[DUT Adj Read]]&lt;=Table1[[#This Row],[High Tol]]),"Pass","Fail"))</f>
        <v>Fail</v>
      </c>
      <c r="AD2600" s="1" t="str">
        <f>IF(AND(Table1[[#This Row],[Spec Type2]]="N/A",Table1[[#This Row],[DUT Adj Read]]="N/A",Table1[[#This Row],[Std Adj Read]]="N/A"),"N/A",IF(Table1[[#This Row],[DUT Adj Read]]="N/A",IF(Table1[[#This Row],[Std Adj Read]]&gt;Table1[[#This Row],[Low Tol]],"Pass","Fail"),IF(Table1[[#This Row],[DUT Adj Read]]&gt;Table1[[#This Row],[Low Tol]],"Pass","Fail")))</f>
        <v>Pass</v>
      </c>
      <c r="AE2600" s="1" t="str">
        <f>IF(AND(Table1[[#This Row],[Spec Type2]]="N/A",Table1[[#This Row],[DUT Adj Read]]="N/A",Table1[[#This Row],[Std Adj Read]]="N/A"),"N/A",IF(Table1[[#This Row],[DUT Adj Read]]="N/A",IF(Table1[[#This Row],[Std Adj Read]]&lt;Table1[[#This Row],[High Tol]],"Pass","Fail"),IF(Table1[[#This Row],[DUT Adj Read]]&lt;Table1[[#This Row],[High Tol]],"Pass","Fail")))</f>
        <v>Fail</v>
      </c>
      <c r="AF2600" s="1" t="str">
        <f>IF(AND(Table1[[#This Row],[Spec Type2]]="N/A",Table1[[#This Row],[DUT Adj Read]]="N/A",Table1[[#This Row],[Std Adj Read]]="N/A"),"N/A",IF(Table1[[#This Row],[DUT Adj Read]]="N/A",IF(Table1[[#This Row],[Std Adj Read]]&gt;=Table1[[#This Row],[Low Tol]],"Pass","Fail"),IF(Table1[[#This Row],[DUT Adj Read]]&gt;=Table1[[#This Row],[Low Tol]],"Pass","Fail")))</f>
        <v>Pass</v>
      </c>
      <c r="AG2600" s="1" t="str">
        <f>IF(AND(Table1[[#This Row],[Spec Type2]]="N/A",Table1[[#This Row],[DUT Adj Read]]="N/A",Table1[[#This Row],[Std Adj Read]]="N/A"),"N/A",IF(Table1[[#This Row],[DUT Adj Read]]="N/A",IF(Table1[[#This Row],[Std Adj Read]]&lt;=Table1[[#This Row],[High Tol]],"Pass","Fail"),IF(Table1[[#This Row],[DUT Adj Read]]&lt;=Table1[[#This Row],[High Tol]],"Pass","Fail")))</f>
        <v>Fail</v>
      </c>
      <c r="AH26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0" s="1" t="b">
        <v>0</v>
      </c>
      <c r="AN2600" s="1" t="b">
        <v>0</v>
      </c>
      <c r="AO2600" s="1" t="b">
        <v>0</v>
      </c>
    </row>
    <row r="2601" spans="1:41" x14ac:dyDescent="0.25">
      <c r="A2601" s="10"/>
      <c r="B2601" s="10"/>
      <c r="C2601" s="10"/>
      <c r="D2601" s="10"/>
      <c r="E2601" s="10"/>
      <c r="F2601" s="10"/>
      <c r="G2601" s="10"/>
      <c r="H2601" s="10"/>
      <c r="I2601" s="1" t="str">
        <f t="shared" si="120"/>
        <v/>
      </c>
      <c r="J2601" s="1" t="s">
        <v>35</v>
      </c>
      <c r="K2601" s="1" t="str">
        <f t="shared" si="121"/>
        <v/>
      </c>
      <c r="L2601" s="1" t="str">
        <f t="shared" si="122"/>
        <v/>
      </c>
      <c r="M2601" s="1">
        <f>IF(OR(Table1[[#This Row],[Std Nom]]="",Table1[[#This Row],[Std Read]]=""),0,Table1[[#This Row],[Std Nom]]-Table1[[#This Row],[Std Read]])</f>
        <v>0</v>
      </c>
      <c r="N2601" s="1">
        <f>IF(Calculations!$F$5="ACCREDITED 17025 WITH UNCERTAINTIES",$N$10,0)</f>
        <v>0</v>
      </c>
      <c r="Q2601" s="1">
        <f>Table1[[#This Row],[High Tol]]-Table1[[#This Row],[Low Tol]]</f>
        <v>0</v>
      </c>
      <c r="R2601" s="1">
        <f>2*Table1[[#This Row],[Std Error]]</f>
        <v>0</v>
      </c>
      <c r="S2601" s="1" t="str">
        <f>IF(Table1[[#This Row],[High Tol]]="","N/A",IFERROR(ABS(Table1[[#This Row],[Tol Span]]/Table1[[#This Row],[Error Span]]),"N/A"))</f>
        <v>N/A</v>
      </c>
      <c r="T2601" s="1" t="str">
        <f>IF(OR(Table1[[#This Row],[Low Tol]]="",Table1[[#This Row],[High Tol]]=""),"Needs Analysis",IF(Table1[[#This Row],[Ratio]]&gt;=4,"Not Significant",IF(Table1[[#This Row],[Ratio]]&gt;=2,"Semi-Significant","Significant")))</f>
        <v>Needs Analysis</v>
      </c>
      <c r="W2601" s="1">
        <f>IF(Table1[[#This Row],[Cal Type]]&lt;&gt;"ACCREDITED 17025 WITH UNCERTAINTIES",0,"")</f>
        <v>0</v>
      </c>
      <c r="X2601" s="1" t="str">
        <f>IF(Table1[[#This Row],[DUT Read]]="","N/A",Table1[[#This Row],[Std Error]]+Table1[[#This Row],[DUT Read]]+Table1[[#This Row],[DUT Ucty]])</f>
        <v>N/A</v>
      </c>
      <c r="Y2601" s="1" t="str">
        <f>IF(Table1[[#This Row],[Std Read]]="","N/A",Table1[[#This Row],[Std Read]]+Table1[[#This Row],[Std Ucty]])</f>
        <v>N/A</v>
      </c>
      <c r="Z26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1" s="1" t="str">
        <f>IF(Table1[[#This Row],[Spec Type]]="","N/A",Table1[[#This Row],[Spec Type]])</f>
        <v>±</v>
      </c>
      <c r="AC2601" s="1" t="str">
        <f>IF(Table1[[#This Row],[Spec Type2]]="N/A","N/A",IF(AND(Table1[[#This Row],[DUT Adj Read]]&gt;=Table1[[#This Row],[Low Tol]],Table1[[#This Row],[DUT Adj Read]]&lt;=Table1[[#This Row],[High Tol]]),"Pass","Fail"))</f>
        <v>Fail</v>
      </c>
      <c r="AD2601" s="1" t="str">
        <f>IF(AND(Table1[[#This Row],[Spec Type2]]="N/A",Table1[[#This Row],[DUT Adj Read]]="N/A",Table1[[#This Row],[Std Adj Read]]="N/A"),"N/A",IF(Table1[[#This Row],[DUT Adj Read]]="N/A",IF(Table1[[#This Row],[Std Adj Read]]&gt;Table1[[#This Row],[Low Tol]],"Pass","Fail"),IF(Table1[[#This Row],[DUT Adj Read]]&gt;Table1[[#This Row],[Low Tol]],"Pass","Fail")))</f>
        <v>Pass</v>
      </c>
      <c r="AE2601" s="1" t="str">
        <f>IF(AND(Table1[[#This Row],[Spec Type2]]="N/A",Table1[[#This Row],[DUT Adj Read]]="N/A",Table1[[#This Row],[Std Adj Read]]="N/A"),"N/A",IF(Table1[[#This Row],[DUT Adj Read]]="N/A",IF(Table1[[#This Row],[Std Adj Read]]&lt;Table1[[#This Row],[High Tol]],"Pass","Fail"),IF(Table1[[#This Row],[DUT Adj Read]]&lt;Table1[[#This Row],[High Tol]],"Pass","Fail")))</f>
        <v>Fail</v>
      </c>
      <c r="AF2601" s="1" t="str">
        <f>IF(AND(Table1[[#This Row],[Spec Type2]]="N/A",Table1[[#This Row],[DUT Adj Read]]="N/A",Table1[[#This Row],[Std Adj Read]]="N/A"),"N/A",IF(Table1[[#This Row],[DUT Adj Read]]="N/A",IF(Table1[[#This Row],[Std Adj Read]]&gt;=Table1[[#This Row],[Low Tol]],"Pass","Fail"),IF(Table1[[#This Row],[DUT Adj Read]]&gt;=Table1[[#This Row],[Low Tol]],"Pass","Fail")))</f>
        <v>Pass</v>
      </c>
      <c r="AG2601" s="1" t="str">
        <f>IF(AND(Table1[[#This Row],[Spec Type2]]="N/A",Table1[[#This Row],[DUT Adj Read]]="N/A",Table1[[#This Row],[Std Adj Read]]="N/A"),"N/A",IF(Table1[[#This Row],[DUT Adj Read]]="N/A",IF(Table1[[#This Row],[Std Adj Read]]&lt;=Table1[[#This Row],[High Tol]],"Pass","Fail"),IF(Table1[[#This Row],[DUT Adj Read]]&lt;=Table1[[#This Row],[High Tol]],"Pass","Fail")))</f>
        <v>Fail</v>
      </c>
      <c r="AH26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1" s="1" t="b">
        <v>0</v>
      </c>
      <c r="AN2601" s="1" t="b">
        <v>0</v>
      </c>
      <c r="AO2601" s="1" t="b">
        <v>0</v>
      </c>
    </row>
    <row r="2602" spans="1:41" x14ac:dyDescent="0.25">
      <c r="A2602" s="10"/>
      <c r="B2602" s="10"/>
      <c r="C2602" s="10"/>
      <c r="D2602" s="10"/>
      <c r="E2602" s="10"/>
      <c r="F2602" s="10"/>
      <c r="G2602" s="10"/>
      <c r="H2602" s="10"/>
      <c r="I2602" s="1" t="str">
        <f t="shared" si="120"/>
        <v/>
      </c>
      <c r="J2602" s="1" t="s">
        <v>35</v>
      </c>
      <c r="K2602" s="1" t="str">
        <f t="shared" si="121"/>
        <v/>
      </c>
      <c r="L2602" s="1" t="str">
        <f t="shared" si="122"/>
        <v/>
      </c>
      <c r="M2602" s="1">
        <f>IF(OR(Table1[[#This Row],[Std Nom]]="",Table1[[#This Row],[Std Read]]=""),0,Table1[[#This Row],[Std Nom]]-Table1[[#This Row],[Std Read]])</f>
        <v>0</v>
      </c>
      <c r="N2602" s="1">
        <f>IF(Calculations!$F$5="ACCREDITED 17025 WITH UNCERTAINTIES",$N$10,0)</f>
        <v>0</v>
      </c>
      <c r="Q2602" s="1">
        <f>Table1[[#This Row],[High Tol]]-Table1[[#This Row],[Low Tol]]</f>
        <v>0</v>
      </c>
      <c r="R2602" s="1">
        <f>2*Table1[[#This Row],[Std Error]]</f>
        <v>0</v>
      </c>
      <c r="S2602" s="1" t="str">
        <f>IF(Table1[[#This Row],[High Tol]]="","N/A",IFERROR(ABS(Table1[[#This Row],[Tol Span]]/Table1[[#This Row],[Error Span]]),"N/A"))</f>
        <v>N/A</v>
      </c>
      <c r="T2602" s="1" t="str">
        <f>IF(OR(Table1[[#This Row],[Low Tol]]="",Table1[[#This Row],[High Tol]]=""),"Needs Analysis",IF(Table1[[#This Row],[Ratio]]&gt;=4,"Not Significant",IF(Table1[[#This Row],[Ratio]]&gt;=2,"Semi-Significant","Significant")))</f>
        <v>Needs Analysis</v>
      </c>
      <c r="W2602" s="1">
        <f>IF(Table1[[#This Row],[Cal Type]]&lt;&gt;"ACCREDITED 17025 WITH UNCERTAINTIES",0,"")</f>
        <v>0</v>
      </c>
      <c r="X2602" s="1" t="str">
        <f>IF(Table1[[#This Row],[DUT Read]]="","N/A",Table1[[#This Row],[Std Error]]+Table1[[#This Row],[DUT Read]]+Table1[[#This Row],[DUT Ucty]])</f>
        <v>N/A</v>
      </c>
      <c r="Y2602" s="1" t="str">
        <f>IF(Table1[[#This Row],[Std Read]]="","N/A",Table1[[#This Row],[Std Read]]+Table1[[#This Row],[Std Ucty]])</f>
        <v>N/A</v>
      </c>
      <c r="Z26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2" s="1" t="str">
        <f>IF(Table1[[#This Row],[Spec Type]]="","N/A",Table1[[#This Row],[Spec Type]])</f>
        <v>±</v>
      </c>
      <c r="AC2602" s="1" t="str">
        <f>IF(Table1[[#This Row],[Spec Type2]]="N/A","N/A",IF(AND(Table1[[#This Row],[DUT Adj Read]]&gt;=Table1[[#This Row],[Low Tol]],Table1[[#This Row],[DUT Adj Read]]&lt;=Table1[[#This Row],[High Tol]]),"Pass","Fail"))</f>
        <v>Fail</v>
      </c>
      <c r="AD2602" s="1" t="str">
        <f>IF(AND(Table1[[#This Row],[Spec Type2]]="N/A",Table1[[#This Row],[DUT Adj Read]]="N/A",Table1[[#This Row],[Std Adj Read]]="N/A"),"N/A",IF(Table1[[#This Row],[DUT Adj Read]]="N/A",IF(Table1[[#This Row],[Std Adj Read]]&gt;Table1[[#This Row],[Low Tol]],"Pass","Fail"),IF(Table1[[#This Row],[DUT Adj Read]]&gt;Table1[[#This Row],[Low Tol]],"Pass","Fail")))</f>
        <v>Pass</v>
      </c>
      <c r="AE2602" s="1" t="str">
        <f>IF(AND(Table1[[#This Row],[Spec Type2]]="N/A",Table1[[#This Row],[DUT Adj Read]]="N/A",Table1[[#This Row],[Std Adj Read]]="N/A"),"N/A",IF(Table1[[#This Row],[DUT Adj Read]]="N/A",IF(Table1[[#This Row],[Std Adj Read]]&lt;Table1[[#This Row],[High Tol]],"Pass","Fail"),IF(Table1[[#This Row],[DUT Adj Read]]&lt;Table1[[#This Row],[High Tol]],"Pass","Fail")))</f>
        <v>Fail</v>
      </c>
      <c r="AF2602" s="1" t="str">
        <f>IF(AND(Table1[[#This Row],[Spec Type2]]="N/A",Table1[[#This Row],[DUT Adj Read]]="N/A",Table1[[#This Row],[Std Adj Read]]="N/A"),"N/A",IF(Table1[[#This Row],[DUT Adj Read]]="N/A",IF(Table1[[#This Row],[Std Adj Read]]&gt;=Table1[[#This Row],[Low Tol]],"Pass","Fail"),IF(Table1[[#This Row],[DUT Adj Read]]&gt;=Table1[[#This Row],[Low Tol]],"Pass","Fail")))</f>
        <v>Pass</v>
      </c>
      <c r="AG2602" s="1" t="str">
        <f>IF(AND(Table1[[#This Row],[Spec Type2]]="N/A",Table1[[#This Row],[DUT Adj Read]]="N/A",Table1[[#This Row],[Std Adj Read]]="N/A"),"N/A",IF(Table1[[#This Row],[DUT Adj Read]]="N/A",IF(Table1[[#This Row],[Std Adj Read]]&lt;=Table1[[#This Row],[High Tol]],"Pass","Fail"),IF(Table1[[#This Row],[DUT Adj Read]]&lt;=Table1[[#This Row],[High Tol]],"Pass","Fail")))</f>
        <v>Fail</v>
      </c>
      <c r="AH26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2" s="1" t="b">
        <v>0</v>
      </c>
      <c r="AN2602" s="1" t="b">
        <v>0</v>
      </c>
      <c r="AO2602" s="1" t="b">
        <v>0</v>
      </c>
    </row>
    <row r="2603" spans="1:41" x14ac:dyDescent="0.25">
      <c r="A2603" s="10"/>
      <c r="B2603" s="10"/>
      <c r="C2603" s="10"/>
      <c r="D2603" s="10"/>
      <c r="E2603" s="10"/>
      <c r="F2603" s="10"/>
      <c r="G2603" s="10"/>
      <c r="H2603" s="10"/>
      <c r="I2603" s="1" t="str">
        <f t="shared" si="120"/>
        <v/>
      </c>
      <c r="J2603" s="1" t="s">
        <v>35</v>
      </c>
      <c r="K2603" s="1" t="str">
        <f t="shared" si="121"/>
        <v/>
      </c>
      <c r="L2603" s="1" t="str">
        <f t="shared" si="122"/>
        <v/>
      </c>
      <c r="M2603" s="1">
        <f>IF(OR(Table1[[#This Row],[Std Nom]]="",Table1[[#This Row],[Std Read]]=""),0,Table1[[#This Row],[Std Nom]]-Table1[[#This Row],[Std Read]])</f>
        <v>0</v>
      </c>
      <c r="N2603" s="1">
        <f>IF(Calculations!$F$5="ACCREDITED 17025 WITH UNCERTAINTIES",$N$10,0)</f>
        <v>0</v>
      </c>
      <c r="Q2603" s="1">
        <f>Table1[[#This Row],[High Tol]]-Table1[[#This Row],[Low Tol]]</f>
        <v>0</v>
      </c>
      <c r="R2603" s="1">
        <f>2*Table1[[#This Row],[Std Error]]</f>
        <v>0</v>
      </c>
      <c r="S2603" s="1" t="str">
        <f>IF(Table1[[#This Row],[High Tol]]="","N/A",IFERROR(ABS(Table1[[#This Row],[Tol Span]]/Table1[[#This Row],[Error Span]]),"N/A"))</f>
        <v>N/A</v>
      </c>
      <c r="T2603" s="1" t="str">
        <f>IF(OR(Table1[[#This Row],[Low Tol]]="",Table1[[#This Row],[High Tol]]=""),"Needs Analysis",IF(Table1[[#This Row],[Ratio]]&gt;=4,"Not Significant",IF(Table1[[#This Row],[Ratio]]&gt;=2,"Semi-Significant","Significant")))</f>
        <v>Needs Analysis</v>
      </c>
      <c r="W2603" s="1">
        <f>IF(Table1[[#This Row],[Cal Type]]&lt;&gt;"ACCREDITED 17025 WITH UNCERTAINTIES",0,"")</f>
        <v>0</v>
      </c>
      <c r="X2603" s="1" t="str">
        <f>IF(Table1[[#This Row],[DUT Read]]="","N/A",Table1[[#This Row],[Std Error]]+Table1[[#This Row],[DUT Read]]+Table1[[#This Row],[DUT Ucty]])</f>
        <v>N/A</v>
      </c>
      <c r="Y2603" s="1" t="str">
        <f>IF(Table1[[#This Row],[Std Read]]="","N/A",Table1[[#This Row],[Std Read]]+Table1[[#This Row],[Std Ucty]])</f>
        <v>N/A</v>
      </c>
      <c r="Z26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3" s="1" t="str">
        <f>IF(Table1[[#This Row],[Spec Type]]="","N/A",Table1[[#This Row],[Spec Type]])</f>
        <v>±</v>
      </c>
      <c r="AC2603" s="1" t="str">
        <f>IF(Table1[[#This Row],[Spec Type2]]="N/A","N/A",IF(AND(Table1[[#This Row],[DUT Adj Read]]&gt;=Table1[[#This Row],[Low Tol]],Table1[[#This Row],[DUT Adj Read]]&lt;=Table1[[#This Row],[High Tol]]),"Pass","Fail"))</f>
        <v>Fail</v>
      </c>
      <c r="AD2603" s="1" t="str">
        <f>IF(AND(Table1[[#This Row],[Spec Type2]]="N/A",Table1[[#This Row],[DUT Adj Read]]="N/A",Table1[[#This Row],[Std Adj Read]]="N/A"),"N/A",IF(Table1[[#This Row],[DUT Adj Read]]="N/A",IF(Table1[[#This Row],[Std Adj Read]]&gt;Table1[[#This Row],[Low Tol]],"Pass","Fail"),IF(Table1[[#This Row],[DUT Adj Read]]&gt;Table1[[#This Row],[Low Tol]],"Pass","Fail")))</f>
        <v>Pass</v>
      </c>
      <c r="AE2603" s="1" t="str">
        <f>IF(AND(Table1[[#This Row],[Spec Type2]]="N/A",Table1[[#This Row],[DUT Adj Read]]="N/A",Table1[[#This Row],[Std Adj Read]]="N/A"),"N/A",IF(Table1[[#This Row],[DUT Adj Read]]="N/A",IF(Table1[[#This Row],[Std Adj Read]]&lt;Table1[[#This Row],[High Tol]],"Pass","Fail"),IF(Table1[[#This Row],[DUT Adj Read]]&lt;Table1[[#This Row],[High Tol]],"Pass","Fail")))</f>
        <v>Fail</v>
      </c>
      <c r="AF2603" s="1" t="str">
        <f>IF(AND(Table1[[#This Row],[Spec Type2]]="N/A",Table1[[#This Row],[DUT Adj Read]]="N/A",Table1[[#This Row],[Std Adj Read]]="N/A"),"N/A",IF(Table1[[#This Row],[DUT Adj Read]]="N/A",IF(Table1[[#This Row],[Std Adj Read]]&gt;=Table1[[#This Row],[Low Tol]],"Pass","Fail"),IF(Table1[[#This Row],[DUT Adj Read]]&gt;=Table1[[#This Row],[Low Tol]],"Pass","Fail")))</f>
        <v>Pass</v>
      </c>
      <c r="AG2603" s="1" t="str">
        <f>IF(AND(Table1[[#This Row],[Spec Type2]]="N/A",Table1[[#This Row],[DUT Adj Read]]="N/A",Table1[[#This Row],[Std Adj Read]]="N/A"),"N/A",IF(Table1[[#This Row],[DUT Adj Read]]="N/A",IF(Table1[[#This Row],[Std Adj Read]]&lt;=Table1[[#This Row],[High Tol]],"Pass","Fail"),IF(Table1[[#This Row],[DUT Adj Read]]&lt;=Table1[[#This Row],[High Tol]],"Pass","Fail")))</f>
        <v>Fail</v>
      </c>
      <c r="AH26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3" s="1" t="b">
        <v>0</v>
      </c>
      <c r="AN2603" s="1" t="b">
        <v>0</v>
      </c>
      <c r="AO2603" s="1" t="b">
        <v>0</v>
      </c>
    </row>
    <row r="2604" spans="1:41" x14ac:dyDescent="0.25">
      <c r="A2604" s="10"/>
      <c r="B2604" s="10"/>
      <c r="C2604" s="10"/>
      <c r="D2604" s="10"/>
      <c r="E2604" s="10"/>
      <c r="F2604" s="10"/>
      <c r="G2604" s="10"/>
      <c r="H2604" s="10"/>
      <c r="I2604" s="1" t="str">
        <f t="shared" si="120"/>
        <v/>
      </c>
      <c r="J2604" s="1" t="s">
        <v>35</v>
      </c>
      <c r="K2604" s="1" t="str">
        <f t="shared" si="121"/>
        <v/>
      </c>
      <c r="L2604" s="1" t="str">
        <f t="shared" si="122"/>
        <v/>
      </c>
      <c r="M2604" s="1">
        <f>IF(OR(Table1[[#This Row],[Std Nom]]="",Table1[[#This Row],[Std Read]]=""),0,Table1[[#This Row],[Std Nom]]-Table1[[#This Row],[Std Read]])</f>
        <v>0</v>
      </c>
      <c r="N2604" s="1">
        <f>IF(Calculations!$F$5="ACCREDITED 17025 WITH UNCERTAINTIES",$N$10,0)</f>
        <v>0</v>
      </c>
      <c r="Q2604" s="1">
        <f>Table1[[#This Row],[High Tol]]-Table1[[#This Row],[Low Tol]]</f>
        <v>0</v>
      </c>
      <c r="R2604" s="1">
        <f>2*Table1[[#This Row],[Std Error]]</f>
        <v>0</v>
      </c>
      <c r="S2604" s="1" t="str">
        <f>IF(Table1[[#This Row],[High Tol]]="","N/A",IFERROR(ABS(Table1[[#This Row],[Tol Span]]/Table1[[#This Row],[Error Span]]),"N/A"))</f>
        <v>N/A</v>
      </c>
      <c r="T2604" s="1" t="str">
        <f>IF(OR(Table1[[#This Row],[Low Tol]]="",Table1[[#This Row],[High Tol]]=""),"Needs Analysis",IF(Table1[[#This Row],[Ratio]]&gt;=4,"Not Significant",IF(Table1[[#This Row],[Ratio]]&gt;=2,"Semi-Significant","Significant")))</f>
        <v>Needs Analysis</v>
      </c>
      <c r="W2604" s="1">
        <f>IF(Table1[[#This Row],[Cal Type]]&lt;&gt;"ACCREDITED 17025 WITH UNCERTAINTIES",0,"")</f>
        <v>0</v>
      </c>
      <c r="X2604" s="1" t="str">
        <f>IF(Table1[[#This Row],[DUT Read]]="","N/A",Table1[[#This Row],[Std Error]]+Table1[[#This Row],[DUT Read]]+Table1[[#This Row],[DUT Ucty]])</f>
        <v>N/A</v>
      </c>
      <c r="Y2604" s="1" t="str">
        <f>IF(Table1[[#This Row],[Std Read]]="","N/A",Table1[[#This Row],[Std Read]]+Table1[[#This Row],[Std Ucty]])</f>
        <v>N/A</v>
      </c>
      <c r="Z26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4" s="1" t="str">
        <f>IF(Table1[[#This Row],[Spec Type]]="","N/A",Table1[[#This Row],[Spec Type]])</f>
        <v>±</v>
      </c>
      <c r="AC2604" s="1" t="str">
        <f>IF(Table1[[#This Row],[Spec Type2]]="N/A","N/A",IF(AND(Table1[[#This Row],[DUT Adj Read]]&gt;=Table1[[#This Row],[Low Tol]],Table1[[#This Row],[DUT Adj Read]]&lt;=Table1[[#This Row],[High Tol]]),"Pass","Fail"))</f>
        <v>Fail</v>
      </c>
      <c r="AD2604" s="1" t="str">
        <f>IF(AND(Table1[[#This Row],[Spec Type2]]="N/A",Table1[[#This Row],[DUT Adj Read]]="N/A",Table1[[#This Row],[Std Adj Read]]="N/A"),"N/A",IF(Table1[[#This Row],[DUT Adj Read]]="N/A",IF(Table1[[#This Row],[Std Adj Read]]&gt;Table1[[#This Row],[Low Tol]],"Pass","Fail"),IF(Table1[[#This Row],[DUT Adj Read]]&gt;Table1[[#This Row],[Low Tol]],"Pass","Fail")))</f>
        <v>Pass</v>
      </c>
      <c r="AE2604" s="1" t="str">
        <f>IF(AND(Table1[[#This Row],[Spec Type2]]="N/A",Table1[[#This Row],[DUT Adj Read]]="N/A",Table1[[#This Row],[Std Adj Read]]="N/A"),"N/A",IF(Table1[[#This Row],[DUT Adj Read]]="N/A",IF(Table1[[#This Row],[Std Adj Read]]&lt;Table1[[#This Row],[High Tol]],"Pass","Fail"),IF(Table1[[#This Row],[DUT Adj Read]]&lt;Table1[[#This Row],[High Tol]],"Pass","Fail")))</f>
        <v>Fail</v>
      </c>
      <c r="AF2604" s="1" t="str">
        <f>IF(AND(Table1[[#This Row],[Spec Type2]]="N/A",Table1[[#This Row],[DUT Adj Read]]="N/A",Table1[[#This Row],[Std Adj Read]]="N/A"),"N/A",IF(Table1[[#This Row],[DUT Adj Read]]="N/A",IF(Table1[[#This Row],[Std Adj Read]]&gt;=Table1[[#This Row],[Low Tol]],"Pass","Fail"),IF(Table1[[#This Row],[DUT Adj Read]]&gt;=Table1[[#This Row],[Low Tol]],"Pass","Fail")))</f>
        <v>Pass</v>
      </c>
      <c r="AG2604" s="1" t="str">
        <f>IF(AND(Table1[[#This Row],[Spec Type2]]="N/A",Table1[[#This Row],[DUT Adj Read]]="N/A",Table1[[#This Row],[Std Adj Read]]="N/A"),"N/A",IF(Table1[[#This Row],[DUT Adj Read]]="N/A",IF(Table1[[#This Row],[Std Adj Read]]&lt;=Table1[[#This Row],[High Tol]],"Pass","Fail"),IF(Table1[[#This Row],[DUT Adj Read]]&lt;=Table1[[#This Row],[High Tol]],"Pass","Fail")))</f>
        <v>Fail</v>
      </c>
      <c r="AH26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4" s="1" t="b">
        <v>0</v>
      </c>
      <c r="AN2604" s="1" t="b">
        <v>0</v>
      </c>
      <c r="AO2604" s="1" t="b">
        <v>0</v>
      </c>
    </row>
    <row r="2605" spans="1:41" x14ac:dyDescent="0.25">
      <c r="A2605" s="10"/>
      <c r="B2605" s="10"/>
      <c r="C2605" s="10"/>
      <c r="D2605" s="10"/>
      <c r="E2605" s="10"/>
      <c r="F2605" s="10"/>
      <c r="G2605" s="10"/>
      <c r="H2605" s="10"/>
      <c r="I2605" s="1" t="str">
        <f t="shared" si="120"/>
        <v/>
      </c>
      <c r="J2605" s="1" t="s">
        <v>35</v>
      </c>
      <c r="K2605" s="1" t="str">
        <f t="shared" si="121"/>
        <v/>
      </c>
      <c r="L2605" s="1" t="str">
        <f t="shared" si="122"/>
        <v/>
      </c>
      <c r="M2605" s="1">
        <f>IF(OR(Table1[[#This Row],[Std Nom]]="",Table1[[#This Row],[Std Read]]=""),0,Table1[[#This Row],[Std Nom]]-Table1[[#This Row],[Std Read]])</f>
        <v>0</v>
      </c>
      <c r="N2605" s="1">
        <f>IF(Calculations!$F$5="ACCREDITED 17025 WITH UNCERTAINTIES",$N$10,0)</f>
        <v>0</v>
      </c>
      <c r="Q2605" s="1">
        <f>Table1[[#This Row],[High Tol]]-Table1[[#This Row],[Low Tol]]</f>
        <v>0</v>
      </c>
      <c r="R2605" s="1">
        <f>2*Table1[[#This Row],[Std Error]]</f>
        <v>0</v>
      </c>
      <c r="S2605" s="1" t="str">
        <f>IF(Table1[[#This Row],[High Tol]]="","N/A",IFERROR(ABS(Table1[[#This Row],[Tol Span]]/Table1[[#This Row],[Error Span]]),"N/A"))</f>
        <v>N/A</v>
      </c>
      <c r="T2605" s="1" t="str">
        <f>IF(OR(Table1[[#This Row],[Low Tol]]="",Table1[[#This Row],[High Tol]]=""),"Needs Analysis",IF(Table1[[#This Row],[Ratio]]&gt;=4,"Not Significant",IF(Table1[[#This Row],[Ratio]]&gt;=2,"Semi-Significant","Significant")))</f>
        <v>Needs Analysis</v>
      </c>
      <c r="W2605" s="1">
        <f>IF(Table1[[#This Row],[Cal Type]]&lt;&gt;"ACCREDITED 17025 WITH UNCERTAINTIES",0,"")</f>
        <v>0</v>
      </c>
      <c r="X2605" s="1" t="str">
        <f>IF(Table1[[#This Row],[DUT Read]]="","N/A",Table1[[#This Row],[Std Error]]+Table1[[#This Row],[DUT Read]]+Table1[[#This Row],[DUT Ucty]])</f>
        <v>N/A</v>
      </c>
      <c r="Y2605" s="1" t="str">
        <f>IF(Table1[[#This Row],[Std Read]]="","N/A",Table1[[#This Row],[Std Read]]+Table1[[#This Row],[Std Ucty]])</f>
        <v>N/A</v>
      </c>
      <c r="Z26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5" s="1" t="str">
        <f>IF(Table1[[#This Row],[Spec Type]]="","N/A",Table1[[#This Row],[Spec Type]])</f>
        <v>±</v>
      </c>
      <c r="AC2605" s="1" t="str">
        <f>IF(Table1[[#This Row],[Spec Type2]]="N/A","N/A",IF(AND(Table1[[#This Row],[DUT Adj Read]]&gt;=Table1[[#This Row],[Low Tol]],Table1[[#This Row],[DUT Adj Read]]&lt;=Table1[[#This Row],[High Tol]]),"Pass","Fail"))</f>
        <v>Fail</v>
      </c>
      <c r="AD2605" s="1" t="str">
        <f>IF(AND(Table1[[#This Row],[Spec Type2]]="N/A",Table1[[#This Row],[DUT Adj Read]]="N/A",Table1[[#This Row],[Std Adj Read]]="N/A"),"N/A",IF(Table1[[#This Row],[DUT Adj Read]]="N/A",IF(Table1[[#This Row],[Std Adj Read]]&gt;Table1[[#This Row],[Low Tol]],"Pass","Fail"),IF(Table1[[#This Row],[DUT Adj Read]]&gt;Table1[[#This Row],[Low Tol]],"Pass","Fail")))</f>
        <v>Pass</v>
      </c>
      <c r="AE2605" s="1" t="str">
        <f>IF(AND(Table1[[#This Row],[Spec Type2]]="N/A",Table1[[#This Row],[DUT Adj Read]]="N/A",Table1[[#This Row],[Std Adj Read]]="N/A"),"N/A",IF(Table1[[#This Row],[DUT Adj Read]]="N/A",IF(Table1[[#This Row],[Std Adj Read]]&lt;Table1[[#This Row],[High Tol]],"Pass","Fail"),IF(Table1[[#This Row],[DUT Adj Read]]&lt;Table1[[#This Row],[High Tol]],"Pass","Fail")))</f>
        <v>Fail</v>
      </c>
      <c r="AF2605" s="1" t="str">
        <f>IF(AND(Table1[[#This Row],[Spec Type2]]="N/A",Table1[[#This Row],[DUT Adj Read]]="N/A",Table1[[#This Row],[Std Adj Read]]="N/A"),"N/A",IF(Table1[[#This Row],[DUT Adj Read]]="N/A",IF(Table1[[#This Row],[Std Adj Read]]&gt;=Table1[[#This Row],[Low Tol]],"Pass","Fail"),IF(Table1[[#This Row],[DUT Adj Read]]&gt;=Table1[[#This Row],[Low Tol]],"Pass","Fail")))</f>
        <v>Pass</v>
      </c>
      <c r="AG2605" s="1" t="str">
        <f>IF(AND(Table1[[#This Row],[Spec Type2]]="N/A",Table1[[#This Row],[DUT Adj Read]]="N/A",Table1[[#This Row],[Std Adj Read]]="N/A"),"N/A",IF(Table1[[#This Row],[DUT Adj Read]]="N/A",IF(Table1[[#This Row],[Std Adj Read]]&lt;=Table1[[#This Row],[High Tol]],"Pass","Fail"),IF(Table1[[#This Row],[DUT Adj Read]]&lt;=Table1[[#This Row],[High Tol]],"Pass","Fail")))</f>
        <v>Fail</v>
      </c>
      <c r="AH26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5" s="1" t="b">
        <v>0</v>
      </c>
      <c r="AN2605" s="1" t="b">
        <v>0</v>
      </c>
      <c r="AO2605" s="1" t="b">
        <v>0</v>
      </c>
    </row>
    <row r="2606" spans="1:41" x14ac:dyDescent="0.25">
      <c r="A2606" s="10"/>
      <c r="B2606" s="10"/>
      <c r="C2606" s="10"/>
      <c r="D2606" s="10"/>
      <c r="E2606" s="10"/>
      <c r="F2606" s="10"/>
      <c r="G2606" s="10"/>
      <c r="H2606" s="10"/>
      <c r="I2606" s="1" t="str">
        <f t="shared" si="120"/>
        <v/>
      </c>
      <c r="J2606" s="1" t="s">
        <v>35</v>
      </c>
      <c r="K2606" s="1" t="str">
        <f t="shared" si="121"/>
        <v/>
      </c>
      <c r="L2606" s="1" t="str">
        <f t="shared" si="122"/>
        <v/>
      </c>
      <c r="M2606" s="1">
        <f>IF(OR(Table1[[#This Row],[Std Nom]]="",Table1[[#This Row],[Std Read]]=""),0,Table1[[#This Row],[Std Nom]]-Table1[[#This Row],[Std Read]])</f>
        <v>0</v>
      </c>
      <c r="N2606" s="1">
        <f>IF(Calculations!$F$5="ACCREDITED 17025 WITH UNCERTAINTIES",$N$10,0)</f>
        <v>0</v>
      </c>
      <c r="Q2606" s="1">
        <f>Table1[[#This Row],[High Tol]]-Table1[[#This Row],[Low Tol]]</f>
        <v>0</v>
      </c>
      <c r="R2606" s="1">
        <f>2*Table1[[#This Row],[Std Error]]</f>
        <v>0</v>
      </c>
      <c r="S2606" s="1" t="str">
        <f>IF(Table1[[#This Row],[High Tol]]="","N/A",IFERROR(ABS(Table1[[#This Row],[Tol Span]]/Table1[[#This Row],[Error Span]]),"N/A"))</f>
        <v>N/A</v>
      </c>
      <c r="T2606" s="1" t="str">
        <f>IF(OR(Table1[[#This Row],[Low Tol]]="",Table1[[#This Row],[High Tol]]=""),"Needs Analysis",IF(Table1[[#This Row],[Ratio]]&gt;=4,"Not Significant",IF(Table1[[#This Row],[Ratio]]&gt;=2,"Semi-Significant","Significant")))</f>
        <v>Needs Analysis</v>
      </c>
      <c r="W2606" s="1">
        <f>IF(Table1[[#This Row],[Cal Type]]&lt;&gt;"ACCREDITED 17025 WITH UNCERTAINTIES",0,"")</f>
        <v>0</v>
      </c>
      <c r="X2606" s="1" t="str">
        <f>IF(Table1[[#This Row],[DUT Read]]="","N/A",Table1[[#This Row],[Std Error]]+Table1[[#This Row],[DUT Read]]+Table1[[#This Row],[DUT Ucty]])</f>
        <v>N/A</v>
      </c>
      <c r="Y2606" s="1" t="str">
        <f>IF(Table1[[#This Row],[Std Read]]="","N/A",Table1[[#This Row],[Std Read]]+Table1[[#This Row],[Std Ucty]])</f>
        <v>N/A</v>
      </c>
      <c r="Z26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6" s="1" t="str">
        <f>IF(Table1[[#This Row],[Spec Type]]="","N/A",Table1[[#This Row],[Spec Type]])</f>
        <v>±</v>
      </c>
      <c r="AC2606" s="1" t="str">
        <f>IF(Table1[[#This Row],[Spec Type2]]="N/A","N/A",IF(AND(Table1[[#This Row],[DUT Adj Read]]&gt;=Table1[[#This Row],[Low Tol]],Table1[[#This Row],[DUT Adj Read]]&lt;=Table1[[#This Row],[High Tol]]),"Pass","Fail"))</f>
        <v>Fail</v>
      </c>
      <c r="AD2606" s="1" t="str">
        <f>IF(AND(Table1[[#This Row],[Spec Type2]]="N/A",Table1[[#This Row],[DUT Adj Read]]="N/A",Table1[[#This Row],[Std Adj Read]]="N/A"),"N/A",IF(Table1[[#This Row],[DUT Adj Read]]="N/A",IF(Table1[[#This Row],[Std Adj Read]]&gt;Table1[[#This Row],[Low Tol]],"Pass","Fail"),IF(Table1[[#This Row],[DUT Adj Read]]&gt;Table1[[#This Row],[Low Tol]],"Pass","Fail")))</f>
        <v>Pass</v>
      </c>
      <c r="AE2606" s="1" t="str">
        <f>IF(AND(Table1[[#This Row],[Spec Type2]]="N/A",Table1[[#This Row],[DUT Adj Read]]="N/A",Table1[[#This Row],[Std Adj Read]]="N/A"),"N/A",IF(Table1[[#This Row],[DUT Adj Read]]="N/A",IF(Table1[[#This Row],[Std Adj Read]]&lt;Table1[[#This Row],[High Tol]],"Pass","Fail"),IF(Table1[[#This Row],[DUT Adj Read]]&lt;Table1[[#This Row],[High Tol]],"Pass","Fail")))</f>
        <v>Fail</v>
      </c>
      <c r="AF2606" s="1" t="str">
        <f>IF(AND(Table1[[#This Row],[Spec Type2]]="N/A",Table1[[#This Row],[DUT Adj Read]]="N/A",Table1[[#This Row],[Std Adj Read]]="N/A"),"N/A",IF(Table1[[#This Row],[DUT Adj Read]]="N/A",IF(Table1[[#This Row],[Std Adj Read]]&gt;=Table1[[#This Row],[Low Tol]],"Pass","Fail"),IF(Table1[[#This Row],[DUT Adj Read]]&gt;=Table1[[#This Row],[Low Tol]],"Pass","Fail")))</f>
        <v>Pass</v>
      </c>
      <c r="AG2606" s="1" t="str">
        <f>IF(AND(Table1[[#This Row],[Spec Type2]]="N/A",Table1[[#This Row],[DUT Adj Read]]="N/A",Table1[[#This Row],[Std Adj Read]]="N/A"),"N/A",IF(Table1[[#This Row],[DUT Adj Read]]="N/A",IF(Table1[[#This Row],[Std Adj Read]]&lt;=Table1[[#This Row],[High Tol]],"Pass","Fail"),IF(Table1[[#This Row],[DUT Adj Read]]&lt;=Table1[[#This Row],[High Tol]],"Pass","Fail")))</f>
        <v>Fail</v>
      </c>
      <c r="AH26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6" s="1" t="b">
        <v>0</v>
      </c>
      <c r="AN2606" s="1" t="b">
        <v>0</v>
      </c>
      <c r="AO2606" s="1" t="b">
        <v>0</v>
      </c>
    </row>
    <row r="2607" spans="1:41" x14ac:dyDescent="0.25">
      <c r="A2607" s="10"/>
      <c r="B2607" s="10"/>
      <c r="C2607" s="10"/>
      <c r="D2607" s="10"/>
      <c r="E2607" s="10"/>
      <c r="F2607" s="10"/>
      <c r="G2607" s="10"/>
      <c r="H2607" s="10"/>
      <c r="I2607" s="1" t="str">
        <f t="shared" si="120"/>
        <v/>
      </c>
      <c r="J2607" s="1" t="s">
        <v>35</v>
      </c>
      <c r="K2607" s="1" t="str">
        <f t="shared" si="121"/>
        <v/>
      </c>
      <c r="L2607" s="1" t="str">
        <f t="shared" si="122"/>
        <v/>
      </c>
      <c r="M2607" s="1">
        <f>IF(OR(Table1[[#This Row],[Std Nom]]="",Table1[[#This Row],[Std Read]]=""),0,Table1[[#This Row],[Std Nom]]-Table1[[#This Row],[Std Read]])</f>
        <v>0</v>
      </c>
      <c r="N2607" s="1">
        <f>IF(Calculations!$F$5="ACCREDITED 17025 WITH UNCERTAINTIES",$N$10,0)</f>
        <v>0</v>
      </c>
      <c r="Q2607" s="1">
        <f>Table1[[#This Row],[High Tol]]-Table1[[#This Row],[Low Tol]]</f>
        <v>0</v>
      </c>
      <c r="R2607" s="1">
        <f>2*Table1[[#This Row],[Std Error]]</f>
        <v>0</v>
      </c>
      <c r="S2607" s="1" t="str">
        <f>IF(Table1[[#This Row],[High Tol]]="","N/A",IFERROR(ABS(Table1[[#This Row],[Tol Span]]/Table1[[#This Row],[Error Span]]),"N/A"))</f>
        <v>N/A</v>
      </c>
      <c r="T2607" s="1" t="str">
        <f>IF(OR(Table1[[#This Row],[Low Tol]]="",Table1[[#This Row],[High Tol]]=""),"Needs Analysis",IF(Table1[[#This Row],[Ratio]]&gt;=4,"Not Significant",IF(Table1[[#This Row],[Ratio]]&gt;=2,"Semi-Significant","Significant")))</f>
        <v>Needs Analysis</v>
      </c>
      <c r="W2607" s="1">
        <f>IF(Table1[[#This Row],[Cal Type]]&lt;&gt;"ACCREDITED 17025 WITH UNCERTAINTIES",0,"")</f>
        <v>0</v>
      </c>
      <c r="X2607" s="1" t="str">
        <f>IF(Table1[[#This Row],[DUT Read]]="","N/A",Table1[[#This Row],[Std Error]]+Table1[[#This Row],[DUT Read]]+Table1[[#This Row],[DUT Ucty]])</f>
        <v>N/A</v>
      </c>
      <c r="Y2607" s="1" t="str">
        <f>IF(Table1[[#This Row],[Std Read]]="","N/A",Table1[[#This Row],[Std Read]]+Table1[[#This Row],[Std Ucty]])</f>
        <v>N/A</v>
      </c>
      <c r="Z26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7" s="1" t="str">
        <f>IF(Table1[[#This Row],[Spec Type]]="","N/A",Table1[[#This Row],[Spec Type]])</f>
        <v>±</v>
      </c>
      <c r="AC2607" s="1" t="str">
        <f>IF(Table1[[#This Row],[Spec Type2]]="N/A","N/A",IF(AND(Table1[[#This Row],[DUT Adj Read]]&gt;=Table1[[#This Row],[Low Tol]],Table1[[#This Row],[DUT Adj Read]]&lt;=Table1[[#This Row],[High Tol]]),"Pass","Fail"))</f>
        <v>Fail</v>
      </c>
      <c r="AD2607" s="1" t="str">
        <f>IF(AND(Table1[[#This Row],[Spec Type2]]="N/A",Table1[[#This Row],[DUT Adj Read]]="N/A",Table1[[#This Row],[Std Adj Read]]="N/A"),"N/A",IF(Table1[[#This Row],[DUT Adj Read]]="N/A",IF(Table1[[#This Row],[Std Adj Read]]&gt;Table1[[#This Row],[Low Tol]],"Pass","Fail"),IF(Table1[[#This Row],[DUT Adj Read]]&gt;Table1[[#This Row],[Low Tol]],"Pass","Fail")))</f>
        <v>Pass</v>
      </c>
      <c r="AE2607" s="1" t="str">
        <f>IF(AND(Table1[[#This Row],[Spec Type2]]="N/A",Table1[[#This Row],[DUT Adj Read]]="N/A",Table1[[#This Row],[Std Adj Read]]="N/A"),"N/A",IF(Table1[[#This Row],[DUT Adj Read]]="N/A",IF(Table1[[#This Row],[Std Adj Read]]&lt;Table1[[#This Row],[High Tol]],"Pass","Fail"),IF(Table1[[#This Row],[DUT Adj Read]]&lt;Table1[[#This Row],[High Tol]],"Pass","Fail")))</f>
        <v>Fail</v>
      </c>
      <c r="AF2607" s="1" t="str">
        <f>IF(AND(Table1[[#This Row],[Spec Type2]]="N/A",Table1[[#This Row],[DUT Adj Read]]="N/A",Table1[[#This Row],[Std Adj Read]]="N/A"),"N/A",IF(Table1[[#This Row],[DUT Adj Read]]="N/A",IF(Table1[[#This Row],[Std Adj Read]]&gt;=Table1[[#This Row],[Low Tol]],"Pass","Fail"),IF(Table1[[#This Row],[DUT Adj Read]]&gt;=Table1[[#This Row],[Low Tol]],"Pass","Fail")))</f>
        <v>Pass</v>
      </c>
      <c r="AG2607" s="1" t="str">
        <f>IF(AND(Table1[[#This Row],[Spec Type2]]="N/A",Table1[[#This Row],[DUT Adj Read]]="N/A",Table1[[#This Row],[Std Adj Read]]="N/A"),"N/A",IF(Table1[[#This Row],[DUT Adj Read]]="N/A",IF(Table1[[#This Row],[Std Adj Read]]&lt;=Table1[[#This Row],[High Tol]],"Pass","Fail"),IF(Table1[[#This Row],[DUT Adj Read]]&lt;=Table1[[#This Row],[High Tol]],"Pass","Fail")))</f>
        <v>Fail</v>
      </c>
      <c r="AH26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7" s="1" t="b">
        <v>0</v>
      </c>
      <c r="AN2607" s="1" t="b">
        <v>0</v>
      </c>
      <c r="AO2607" s="1" t="b">
        <v>0</v>
      </c>
    </row>
    <row r="2608" spans="1:41" x14ac:dyDescent="0.25">
      <c r="A2608" s="10"/>
      <c r="B2608" s="10"/>
      <c r="C2608" s="10"/>
      <c r="D2608" s="10"/>
      <c r="E2608" s="10"/>
      <c r="F2608" s="10"/>
      <c r="G2608" s="10"/>
      <c r="H2608" s="10"/>
      <c r="I2608" s="1" t="str">
        <f t="shared" si="120"/>
        <v/>
      </c>
      <c r="J2608" s="1" t="s">
        <v>35</v>
      </c>
      <c r="K2608" s="1" t="str">
        <f t="shared" si="121"/>
        <v/>
      </c>
      <c r="L2608" s="1" t="str">
        <f t="shared" si="122"/>
        <v/>
      </c>
      <c r="M2608" s="1">
        <f>IF(OR(Table1[[#This Row],[Std Nom]]="",Table1[[#This Row],[Std Read]]=""),0,Table1[[#This Row],[Std Nom]]-Table1[[#This Row],[Std Read]])</f>
        <v>0</v>
      </c>
      <c r="N2608" s="1">
        <f>IF(Calculations!$F$5="ACCREDITED 17025 WITH UNCERTAINTIES",$N$10,0)</f>
        <v>0</v>
      </c>
      <c r="Q2608" s="1">
        <f>Table1[[#This Row],[High Tol]]-Table1[[#This Row],[Low Tol]]</f>
        <v>0</v>
      </c>
      <c r="R2608" s="1">
        <f>2*Table1[[#This Row],[Std Error]]</f>
        <v>0</v>
      </c>
      <c r="S2608" s="1" t="str">
        <f>IF(Table1[[#This Row],[High Tol]]="","N/A",IFERROR(ABS(Table1[[#This Row],[Tol Span]]/Table1[[#This Row],[Error Span]]),"N/A"))</f>
        <v>N/A</v>
      </c>
      <c r="T2608" s="1" t="str">
        <f>IF(OR(Table1[[#This Row],[Low Tol]]="",Table1[[#This Row],[High Tol]]=""),"Needs Analysis",IF(Table1[[#This Row],[Ratio]]&gt;=4,"Not Significant",IF(Table1[[#This Row],[Ratio]]&gt;=2,"Semi-Significant","Significant")))</f>
        <v>Needs Analysis</v>
      </c>
      <c r="W2608" s="1">
        <f>IF(Table1[[#This Row],[Cal Type]]&lt;&gt;"ACCREDITED 17025 WITH UNCERTAINTIES",0,"")</f>
        <v>0</v>
      </c>
      <c r="X2608" s="1" t="str">
        <f>IF(Table1[[#This Row],[DUT Read]]="","N/A",Table1[[#This Row],[Std Error]]+Table1[[#This Row],[DUT Read]]+Table1[[#This Row],[DUT Ucty]])</f>
        <v>N/A</v>
      </c>
      <c r="Y2608" s="1" t="str">
        <f>IF(Table1[[#This Row],[Std Read]]="","N/A",Table1[[#This Row],[Std Read]]+Table1[[#This Row],[Std Ucty]])</f>
        <v>N/A</v>
      </c>
      <c r="Z26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8" s="1" t="str">
        <f>IF(Table1[[#This Row],[Spec Type]]="","N/A",Table1[[#This Row],[Spec Type]])</f>
        <v>±</v>
      </c>
      <c r="AC2608" s="1" t="str">
        <f>IF(Table1[[#This Row],[Spec Type2]]="N/A","N/A",IF(AND(Table1[[#This Row],[DUT Adj Read]]&gt;=Table1[[#This Row],[Low Tol]],Table1[[#This Row],[DUT Adj Read]]&lt;=Table1[[#This Row],[High Tol]]),"Pass","Fail"))</f>
        <v>Fail</v>
      </c>
      <c r="AD2608" s="1" t="str">
        <f>IF(AND(Table1[[#This Row],[Spec Type2]]="N/A",Table1[[#This Row],[DUT Adj Read]]="N/A",Table1[[#This Row],[Std Adj Read]]="N/A"),"N/A",IF(Table1[[#This Row],[DUT Adj Read]]="N/A",IF(Table1[[#This Row],[Std Adj Read]]&gt;Table1[[#This Row],[Low Tol]],"Pass","Fail"),IF(Table1[[#This Row],[DUT Adj Read]]&gt;Table1[[#This Row],[Low Tol]],"Pass","Fail")))</f>
        <v>Pass</v>
      </c>
      <c r="AE2608" s="1" t="str">
        <f>IF(AND(Table1[[#This Row],[Spec Type2]]="N/A",Table1[[#This Row],[DUT Adj Read]]="N/A",Table1[[#This Row],[Std Adj Read]]="N/A"),"N/A",IF(Table1[[#This Row],[DUT Adj Read]]="N/A",IF(Table1[[#This Row],[Std Adj Read]]&lt;Table1[[#This Row],[High Tol]],"Pass","Fail"),IF(Table1[[#This Row],[DUT Adj Read]]&lt;Table1[[#This Row],[High Tol]],"Pass","Fail")))</f>
        <v>Fail</v>
      </c>
      <c r="AF2608" s="1" t="str">
        <f>IF(AND(Table1[[#This Row],[Spec Type2]]="N/A",Table1[[#This Row],[DUT Adj Read]]="N/A",Table1[[#This Row],[Std Adj Read]]="N/A"),"N/A",IF(Table1[[#This Row],[DUT Adj Read]]="N/A",IF(Table1[[#This Row],[Std Adj Read]]&gt;=Table1[[#This Row],[Low Tol]],"Pass","Fail"),IF(Table1[[#This Row],[DUT Adj Read]]&gt;=Table1[[#This Row],[Low Tol]],"Pass","Fail")))</f>
        <v>Pass</v>
      </c>
      <c r="AG2608" s="1" t="str">
        <f>IF(AND(Table1[[#This Row],[Spec Type2]]="N/A",Table1[[#This Row],[DUT Adj Read]]="N/A",Table1[[#This Row],[Std Adj Read]]="N/A"),"N/A",IF(Table1[[#This Row],[DUT Adj Read]]="N/A",IF(Table1[[#This Row],[Std Adj Read]]&lt;=Table1[[#This Row],[High Tol]],"Pass","Fail"),IF(Table1[[#This Row],[DUT Adj Read]]&lt;=Table1[[#This Row],[High Tol]],"Pass","Fail")))</f>
        <v>Fail</v>
      </c>
      <c r="AH26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8" s="1" t="b">
        <v>0</v>
      </c>
      <c r="AN2608" s="1" t="b">
        <v>0</v>
      </c>
      <c r="AO2608" s="1" t="b">
        <v>0</v>
      </c>
    </row>
    <row r="2609" spans="1:41" x14ac:dyDescent="0.25">
      <c r="A2609" s="10"/>
      <c r="B2609" s="10"/>
      <c r="C2609" s="10"/>
      <c r="D2609" s="10"/>
      <c r="E2609" s="10"/>
      <c r="F2609" s="10"/>
      <c r="G2609" s="10"/>
      <c r="H2609" s="10"/>
      <c r="I2609" s="1" t="str">
        <f t="shared" si="120"/>
        <v/>
      </c>
      <c r="J2609" s="1" t="s">
        <v>35</v>
      </c>
      <c r="K2609" s="1" t="str">
        <f t="shared" si="121"/>
        <v/>
      </c>
      <c r="L2609" s="1" t="str">
        <f t="shared" si="122"/>
        <v/>
      </c>
      <c r="M2609" s="1">
        <f>IF(OR(Table1[[#This Row],[Std Nom]]="",Table1[[#This Row],[Std Read]]=""),0,Table1[[#This Row],[Std Nom]]-Table1[[#This Row],[Std Read]])</f>
        <v>0</v>
      </c>
      <c r="N2609" s="1">
        <f>IF(Calculations!$F$5="ACCREDITED 17025 WITH UNCERTAINTIES",$N$10,0)</f>
        <v>0</v>
      </c>
      <c r="Q2609" s="1">
        <f>Table1[[#This Row],[High Tol]]-Table1[[#This Row],[Low Tol]]</f>
        <v>0</v>
      </c>
      <c r="R2609" s="1">
        <f>2*Table1[[#This Row],[Std Error]]</f>
        <v>0</v>
      </c>
      <c r="S2609" s="1" t="str">
        <f>IF(Table1[[#This Row],[High Tol]]="","N/A",IFERROR(ABS(Table1[[#This Row],[Tol Span]]/Table1[[#This Row],[Error Span]]),"N/A"))</f>
        <v>N/A</v>
      </c>
      <c r="T2609" s="1" t="str">
        <f>IF(OR(Table1[[#This Row],[Low Tol]]="",Table1[[#This Row],[High Tol]]=""),"Needs Analysis",IF(Table1[[#This Row],[Ratio]]&gt;=4,"Not Significant",IF(Table1[[#This Row],[Ratio]]&gt;=2,"Semi-Significant","Significant")))</f>
        <v>Needs Analysis</v>
      </c>
      <c r="W2609" s="1">
        <f>IF(Table1[[#This Row],[Cal Type]]&lt;&gt;"ACCREDITED 17025 WITH UNCERTAINTIES",0,"")</f>
        <v>0</v>
      </c>
      <c r="X2609" s="1" t="str">
        <f>IF(Table1[[#This Row],[DUT Read]]="","N/A",Table1[[#This Row],[Std Error]]+Table1[[#This Row],[DUT Read]]+Table1[[#This Row],[DUT Ucty]])</f>
        <v>N/A</v>
      </c>
      <c r="Y2609" s="1" t="str">
        <f>IF(Table1[[#This Row],[Std Read]]="","N/A",Table1[[#This Row],[Std Read]]+Table1[[#This Row],[Std Ucty]])</f>
        <v>N/A</v>
      </c>
      <c r="Z26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09" s="1" t="str">
        <f>IF(Table1[[#This Row],[Spec Type]]="","N/A",Table1[[#This Row],[Spec Type]])</f>
        <v>±</v>
      </c>
      <c r="AC2609" s="1" t="str">
        <f>IF(Table1[[#This Row],[Spec Type2]]="N/A","N/A",IF(AND(Table1[[#This Row],[DUT Adj Read]]&gt;=Table1[[#This Row],[Low Tol]],Table1[[#This Row],[DUT Adj Read]]&lt;=Table1[[#This Row],[High Tol]]),"Pass","Fail"))</f>
        <v>Fail</v>
      </c>
      <c r="AD2609" s="1" t="str">
        <f>IF(AND(Table1[[#This Row],[Spec Type2]]="N/A",Table1[[#This Row],[DUT Adj Read]]="N/A",Table1[[#This Row],[Std Adj Read]]="N/A"),"N/A",IF(Table1[[#This Row],[DUT Adj Read]]="N/A",IF(Table1[[#This Row],[Std Adj Read]]&gt;Table1[[#This Row],[Low Tol]],"Pass","Fail"),IF(Table1[[#This Row],[DUT Adj Read]]&gt;Table1[[#This Row],[Low Tol]],"Pass","Fail")))</f>
        <v>Pass</v>
      </c>
      <c r="AE2609" s="1" t="str">
        <f>IF(AND(Table1[[#This Row],[Spec Type2]]="N/A",Table1[[#This Row],[DUT Adj Read]]="N/A",Table1[[#This Row],[Std Adj Read]]="N/A"),"N/A",IF(Table1[[#This Row],[DUT Adj Read]]="N/A",IF(Table1[[#This Row],[Std Adj Read]]&lt;Table1[[#This Row],[High Tol]],"Pass","Fail"),IF(Table1[[#This Row],[DUT Adj Read]]&lt;Table1[[#This Row],[High Tol]],"Pass","Fail")))</f>
        <v>Fail</v>
      </c>
      <c r="AF2609" s="1" t="str">
        <f>IF(AND(Table1[[#This Row],[Spec Type2]]="N/A",Table1[[#This Row],[DUT Adj Read]]="N/A",Table1[[#This Row],[Std Adj Read]]="N/A"),"N/A",IF(Table1[[#This Row],[DUT Adj Read]]="N/A",IF(Table1[[#This Row],[Std Adj Read]]&gt;=Table1[[#This Row],[Low Tol]],"Pass","Fail"),IF(Table1[[#This Row],[DUT Adj Read]]&gt;=Table1[[#This Row],[Low Tol]],"Pass","Fail")))</f>
        <v>Pass</v>
      </c>
      <c r="AG2609" s="1" t="str">
        <f>IF(AND(Table1[[#This Row],[Spec Type2]]="N/A",Table1[[#This Row],[DUT Adj Read]]="N/A",Table1[[#This Row],[Std Adj Read]]="N/A"),"N/A",IF(Table1[[#This Row],[DUT Adj Read]]="N/A",IF(Table1[[#This Row],[Std Adj Read]]&lt;=Table1[[#This Row],[High Tol]],"Pass","Fail"),IF(Table1[[#This Row],[DUT Adj Read]]&lt;=Table1[[#This Row],[High Tol]],"Pass","Fail")))</f>
        <v>Fail</v>
      </c>
      <c r="AH26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09" s="1" t="b">
        <v>0</v>
      </c>
      <c r="AN2609" s="1" t="b">
        <v>0</v>
      </c>
      <c r="AO2609" s="1" t="b">
        <v>0</v>
      </c>
    </row>
    <row r="2610" spans="1:41" x14ac:dyDescent="0.25">
      <c r="A2610" s="10"/>
      <c r="B2610" s="10"/>
      <c r="C2610" s="10"/>
      <c r="D2610" s="10"/>
      <c r="E2610" s="10"/>
      <c r="F2610" s="10"/>
      <c r="G2610" s="10"/>
      <c r="H2610" s="10"/>
      <c r="I2610" s="1" t="str">
        <f t="shared" si="120"/>
        <v/>
      </c>
      <c r="J2610" s="1" t="s">
        <v>35</v>
      </c>
      <c r="K2610" s="1" t="str">
        <f t="shared" si="121"/>
        <v/>
      </c>
      <c r="L2610" s="1" t="str">
        <f t="shared" si="122"/>
        <v/>
      </c>
      <c r="M2610" s="1">
        <f>IF(OR(Table1[[#This Row],[Std Nom]]="",Table1[[#This Row],[Std Read]]=""),0,Table1[[#This Row],[Std Nom]]-Table1[[#This Row],[Std Read]])</f>
        <v>0</v>
      </c>
      <c r="N2610" s="1">
        <f>IF(Calculations!$F$5="ACCREDITED 17025 WITH UNCERTAINTIES",$N$10,0)</f>
        <v>0</v>
      </c>
      <c r="Q2610" s="1">
        <f>Table1[[#This Row],[High Tol]]-Table1[[#This Row],[Low Tol]]</f>
        <v>0</v>
      </c>
      <c r="R2610" s="1">
        <f>2*Table1[[#This Row],[Std Error]]</f>
        <v>0</v>
      </c>
      <c r="S2610" s="1" t="str">
        <f>IF(Table1[[#This Row],[High Tol]]="","N/A",IFERROR(ABS(Table1[[#This Row],[Tol Span]]/Table1[[#This Row],[Error Span]]),"N/A"))</f>
        <v>N/A</v>
      </c>
      <c r="T2610" s="1" t="str">
        <f>IF(OR(Table1[[#This Row],[Low Tol]]="",Table1[[#This Row],[High Tol]]=""),"Needs Analysis",IF(Table1[[#This Row],[Ratio]]&gt;=4,"Not Significant",IF(Table1[[#This Row],[Ratio]]&gt;=2,"Semi-Significant","Significant")))</f>
        <v>Needs Analysis</v>
      </c>
      <c r="W2610" s="1">
        <f>IF(Table1[[#This Row],[Cal Type]]&lt;&gt;"ACCREDITED 17025 WITH UNCERTAINTIES",0,"")</f>
        <v>0</v>
      </c>
      <c r="X2610" s="1" t="str">
        <f>IF(Table1[[#This Row],[DUT Read]]="","N/A",Table1[[#This Row],[Std Error]]+Table1[[#This Row],[DUT Read]]+Table1[[#This Row],[DUT Ucty]])</f>
        <v>N/A</v>
      </c>
      <c r="Y2610" s="1" t="str">
        <f>IF(Table1[[#This Row],[Std Read]]="","N/A",Table1[[#This Row],[Std Read]]+Table1[[#This Row],[Std Ucty]])</f>
        <v>N/A</v>
      </c>
      <c r="Z26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0" s="1" t="str">
        <f>IF(Table1[[#This Row],[Spec Type]]="","N/A",Table1[[#This Row],[Spec Type]])</f>
        <v>±</v>
      </c>
      <c r="AC2610" s="1" t="str">
        <f>IF(Table1[[#This Row],[Spec Type2]]="N/A","N/A",IF(AND(Table1[[#This Row],[DUT Adj Read]]&gt;=Table1[[#This Row],[Low Tol]],Table1[[#This Row],[DUT Adj Read]]&lt;=Table1[[#This Row],[High Tol]]),"Pass","Fail"))</f>
        <v>Fail</v>
      </c>
      <c r="AD2610" s="1" t="str">
        <f>IF(AND(Table1[[#This Row],[Spec Type2]]="N/A",Table1[[#This Row],[DUT Adj Read]]="N/A",Table1[[#This Row],[Std Adj Read]]="N/A"),"N/A",IF(Table1[[#This Row],[DUT Adj Read]]="N/A",IF(Table1[[#This Row],[Std Adj Read]]&gt;Table1[[#This Row],[Low Tol]],"Pass","Fail"),IF(Table1[[#This Row],[DUT Adj Read]]&gt;Table1[[#This Row],[Low Tol]],"Pass","Fail")))</f>
        <v>Pass</v>
      </c>
      <c r="AE2610" s="1" t="str">
        <f>IF(AND(Table1[[#This Row],[Spec Type2]]="N/A",Table1[[#This Row],[DUT Adj Read]]="N/A",Table1[[#This Row],[Std Adj Read]]="N/A"),"N/A",IF(Table1[[#This Row],[DUT Adj Read]]="N/A",IF(Table1[[#This Row],[Std Adj Read]]&lt;Table1[[#This Row],[High Tol]],"Pass","Fail"),IF(Table1[[#This Row],[DUT Adj Read]]&lt;Table1[[#This Row],[High Tol]],"Pass","Fail")))</f>
        <v>Fail</v>
      </c>
      <c r="AF2610" s="1" t="str">
        <f>IF(AND(Table1[[#This Row],[Spec Type2]]="N/A",Table1[[#This Row],[DUT Adj Read]]="N/A",Table1[[#This Row],[Std Adj Read]]="N/A"),"N/A",IF(Table1[[#This Row],[DUT Adj Read]]="N/A",IF(Table1[[#This Row],[Std Adj Read]]&gt;=Table1[[#This Row],[Low Tol]],"Pass","Fail"),IF(Table1[[#This Row],[DUT Adj Read]]&gt;=Table1[[#This Row],[Low Tol]],"Pass","Fail")))</f>
        <v>Pass</v>
      </c>
      <c r="AG2610" s="1" t="str">
        <f>IF(AND(Table1[[#This Row],[Spec Type2]]="N/A",Table1[[#This Row],[DUT Adj Read]]="N/A",Table1[[#This Row],[Std Adj Read]]="N/A"),"N/A",IF(Table1[[#This Row],[DUT Adj Read]]="N/A",IF(Table1[[#This Row],[Std Adj Read]]&lt;=Table1[[#This Row],[High Tol]],"Pass","Fail"),IF(Table1[[#This Row],[DUT Adj Read]]&lt;=Table1[[#This Row],[High Tol]],"Pass","Fail")))</f>
        <v>Fail</v>
      </c>
      <c r="AH26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0" s="1" t="b">
        <v>0</v>
      </c>
      <c r="AN2610" s="1" t="b">
        <v>0</v>
      </c>
      <c r="AO2610" s="1" t="b">
        <v>0</v>
      </c>
    </row>
    <row r="2611" spans="1:41" x14ac:dyDescent="0.25">
      <c r="A2611" s="10"/>
      <c r="B2611" s="10"/>
      <c r="C2611" s="10"/>
      <c r="D2611" s="10"/>
      <c r="E2611" s="10"/>
      <c r="F2611" s="10"/>
      <c r="G2611" s="10"/>
      <c r="H2611" s="10"/>
      <c r="I2611" s="1" t="str">
        <f t="shared" si="120"/>
        <v/>
      </c>
      <c r="J2611" s="1" t="s">
        <v>35</v>
      </c>
      <c r="K2611" s="1" t="str">
        <f t="shared" si="121"/>
        <v/>
      </c>
      <c r="L2611" s="1" t="str">
        <f t="shared" si="122"/>
        <v/>
      </c>
      <c r="M2611" s="1">
        <f>IF(OR(Table1[[#This Row],[Std Nom]]="",Table1[[#This Row],[Std Read]]=""),0,Table1[[#This Row],[Std Nom]]-Table1[[#This Row],[Std Read]])</f>
        <v>0</v>
      </c>
      <c r="N2611" s="1">
        <f>IF(Calculations!$F$5="ACCREDITED 17025 WITH UNCERTAINTIES",$N$10,0)</f>
        <v>0</v>
      </c>
      <c r="Q2611" s="1">
        <f>Table1[[#This Row],[High Tol]]-Table1[[#This Row],[Low Tol]]</f>
        <v>0</v>
      </c>
      <c r="R2611" s="1">
        <f>2*Table1[[#This Row],[Std Error]]</f>
        <v>0</v>
      </c>
      <c r="S2611" s="1" t="str">
        <f>IF(Table1[[#This Row],[High Tol]]="","N/A",IFERROR(ABS(Table1[[#This Row],[Tol Span]]/Table1[[#This Row],[Error Span]]),"N/A"))</f>
        <v>N/A</v>
      </c>
      <c r="T2611" s="1" t="str">
        <f>IF(OR(Table1[[#This Row],[Low Tol]]="",Table1[[#This Row],[High Tol]]=""),"Needs Analysis",IF(Table1[[#This Row],[Ratio]]&gt;=4,"Not Significant",IF(Table1[[#This Row],[Ratio]]&gt;=2,"Semi-Significant","Significant")))</f>
        <v>Needs Analysis</v>
      </c>
      <c r="W2611" s="1">
        <f>IF(Table1[[#This Row],[Cal Type]]&lt;&gt;"ACCREDITED 17025 WITH UNCERTAINTIES",0,"")</f>
        <v>0</v>
      </c>
      <c r="X2611" s="1" t="str">
        <f>IF(Table1[[#This Row],[DUT Read]]="","N/A",Table1[[#This Row],[Std Error]]+Table1[[#This Row],[DUT Read]]+Table1[[#This Row],[DUT Ucty]])</f>
        <v>N/A</v>
      </c>
      <c r="Y2611" s="1" t="str">
        <f>IF(Table1[[#This Row],[Std Read]]="","N/A",Table1[[#This Row],[Std Read]]+Table1[[#This Row],[Std Ucty]])</f>
        <v>N/A</v>
      </c>
      <c r="Z26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1" s="1" t="str">
        <f>IF(Table1[[#This Row],[Spec Type]]="","N/A",Table1[[#This Row],[Spec Type]])</f>
        <v>±</v>
      </c>
      <c r="AC2611" s="1" t="str">
        <f>IF(Table1[[#This Row],[Spec Type2]]="N/A","N/A",IF(AND(Table1[[#This Row],[DUT Adj Read]]&gt;=Table1[[#This Row],[Low Tol]],Table1[[#This Row],[DUT Adj Read]]&lt;=Table1[[#This Row],[High Tol]]),"Pass","Fail"))</f>
        <v>Fail</v>
      </c>
      <c r="AD2611" s="1" t="str">
        <f>IF(AND(Table1[[#This Row],[Spec Type2]]="N/A",Table1[[#This Row],[DUT Adj Read]]="N/A",Table1[[#This Row],[Std Adj Read]]="N/A"),"N/A",IF(Table1[[#This Row],[DUT Adj Read]]="N/A",IF(Table1[[#This Row],[Std Adj Read]]&gt;Table1[[#This Row],[Low Tol]],"Pass","Fail"),IF(Table1[[#This Row],[DUT Adj Read]]&gt;Table1[[#This Row],[Low Tol]],"Pass","Fail")))</f>
        <v>Pass</v>
      </c>
      <c r="AE2611" s="1" t="str">
        <f>IF(AND(Table1[[#This Row],[Spec Type2]]="N/A",Table1[[#This Row],[DUT Adj Read]]="N/A",Table1[[#This Row],[Std Adj Read]]="N/A"),"N/A",IF(Table1[[#This Row],[DUT Adj Read]]="N/A",IF(Table1[[#This Row],[Std Adj Read]]&lt;Table1[[#This Row],[High Tol]],"Pass","Fail"),IF(Table1[[#This Row],[DUT Adj Read]]&lt;Table1[[#This Row],[High Tol]],"Pass","Fail")))</f>
        <v>Fail</v>
      </c>
      <c r="AF2611" s="1" t="str">
        <f>IF(AND(Table1[[#This Row],[Spec Type2]]="N/A",Table1[[#This Row],[DUT Adj Read]]="N/A",Table1[[#This Row],[Std Adj Read]]="N/A"),"N/A",IF(Table1[[#This Row],[DUT Adj Read]]="N/A",IF(Table1[[#This Row],[Std Adj Read]]&gt;=Table1[[#This Row],[Low Tol]],"Pass","Fail"),IF(Table1[[#This Row],[DUT Adj Read]]&gt;=Table1[[#This Row],[Low Tol]],"Pass","Fail")))</f>
        <v>Pass</v>
      </c>
      <c r="AG2611" s="1" t="str">
        <f>IF(AND(Table1[[#This Row],[Spec Type2]]="N/A",Table1[[#This Row],[DUT Adj Read]]="N/A",Table1[[#This Row],[Std Adj Read]]="N/A"),"N/A",IF(Table1[[#This Row],[DUT Adj Read]]="N/A",IF(Table1[[#This Row],[Std Adj Read]]&lt;=Table1[[#This Row],[High Tol]],"Pass","Fail"),IF(Table1[[#This Row],[DUT Adj Read]]&lt;=Table1[[#This Row],[High Tol]],"Pass","Fail")))</f>
        <v>Fail</v>
      </c>
      <c r="AH26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1" s="1" t="b">
        <v>0</v>
      </c>
      <c r="AN2611" s="1" t="b">
        <v>0</v>
      </c>
      <c r="AO2611" s="1" t="b">
        <v>0</v>
      </c>
    </row>
    <row r="2612" spans="1:41" x14ac:dyDescent="0.25">
      <c r="A2612" s="10"/>
      <c r="B2612" s="10"/>
      <c r="C2612" s="10"/>
      <c r="D2612" s="10"/>
      <c r="E2612" s="10"/>
      <c r="F2612" s="10"/>
      <c r="G2612" s="10"/>
      <c r="H2612" s="10"/>
      <c r="I2612" s="1" t="str">
        <f t="shared" si="120"/>
        <v/>
      </c>
      <c r="J2612" s="1" t="s">
        <v>35</v>
      </c>
      <c r="K2612" s="1" t="str">
        <f t="shared" si="121"/>
        <v/>
      </c>
      <c r="L2612" s="1" t="str">
        <f t="shared" si="122"/>
        <v/>
      </c>
      <c r="M2612" s="1">
        <f>IF(OR(Table1[[#This Row],[Std Nom]]="",Table1[[#This Row],[Std Read]]=""),0,Table1[[#This Row],[Std Nom]]-Table1[[#This Row],[Std Read]])</f>
        <v>0</v>
      </c>
      <c r="N2612" s="1">
        <f>IF(Calculations!$F$5="ACCREDITED 17025 WITH UNCERTAINTIES",$N$10,0)</f>
        <v>0</v>
      </c>
      <c r="Q2612" s="1">
        <f>Table1[[#This Row],[High Tol]]-Table1[[#This Row],[Low Tol]]</f>
        <v>0</v>
      </c>
      <c r="R2612" s="1">
        <f>2*Table1[[#This Row],[Std Error]]</f>
        <v>0</v>
      </c>
      <c r="S2612" s="1" t="str">
        <f>IF(Table1[[#This Row],[High Tol]]="","N/A",IFERROR(ABS(Table1[[#This Row],[Tol Span]]/Table1[[#This Row],[Error Span]]),"N/A"))</f>
        <v>N/A</v>
      </c>
      <c r="T2612" s="1" t="str">
        <f>IF(OR(Table1[[#This Row],[Low Tol]]="",Table1[[#This Row],[High Tol]]=""),"Needs Analysis",IF(Table1[[#This Row],[Ratio]]&gt;=4,"Not Significant",IF(Table1[[#This Row],[Ratio]]&gt;=2,"Semi-Significant","Significant")))</f>
        <v>Needs Analysis</v>
      </c>
      <c r="W2612" s="1">
        <f>IF(Table1[[#This Row],[Cal Type]]&lt;&gt;"ACCREDITED 17025 WITH UNCERTAINTIES",0,"")</f>
        <v>0</v>
      </c>
      <c r="X2612" s="1" t="str">
        <f>IF(Table1[[#This Row],[DUT Read]]="","N/A",Table1[[#This Row],[Std Error]]+Table1[[#This Row],[DUT Read]]+Table1[[#This Row],[DUT Ucty]])</f>
        <v>N/A</v>
      </c>
      <c r="Y2612" s="1" t="str">
        <f>IF(Table1[[#This Row],[Std Read]]="","N/A",Table1[[#This Row],[Std Read]]+Table1[[#This Row],[Std Ucty]])</f>
        <v>N/A</v>
      </c>
      <c r="Z26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2" s="1" t="str">
        <f>IF(Table1[[#This Row],[Spec Type]]="","N/A",Table1[[#This Row],[Spec Type]])</f>
        <v>±</v>
      </c>
      <c r="AC2612" s="1" t="str">
        <f>IF(Table1[[#This Row],[Spec Type2]]="N/A","N/A",IF(AND(Table1[[#This Row],[DUT Adj Read]]&gt;=Table1[[#This Row],[Low Tol]],Table1[[#This Row],[DUT Adj Read]]&lt;=Table1[[#This Row],[High Tol]]),"Pass","Fail"))</f>
        <v>Fail</v>
      </c>
      <c r="AD2612" s="1" t="str">
        <f>IF(AND(Table1[[#This Row],[Spec Type2]]="N/A",Table1[[#This Row],[DUT Adj Read]]="N/A",Table1[[#This Row],[Std Adj Read]]="N/A"),"N/A",IF(Table1[[#This Row],[DUT Adj Read]]="N/A",IF(Table1[[#This Row],[Std Adj Read]]&gt;Table1[[#This Row],[Low Tol]],"Pass","Fail"),IF(Table1[[#This Row],[DUT Adj Read]]&gt;Table1[[#This Row],[Low Tol]],"Pass","Fail")))</f>
        <v>Pass</v>
      </c>
      <c r="AE2612" s="1" t="str">
        <f>IF(AND(Table1[[#This Row],[Spec Type2]]="N/A",Table1[[#This Row],[DUT Adj Read]]="N/A",Table1[[#This Row],[Std Adj Read]]="N/A"),"N/A",IF(Table1[[#This Row],[DUT Adj Read]]="N/A",IF(Table1[[#This Row],[Std Adj Read]]&lt;Table1[[#This Row],[High Tol]],"Pass","Fail"),IF(Table1[[#This Row],[DUT Adj Read]]&lt;Table1[[#This Row],[High Tol]],"Pass","Fail")))</f>
        <v>Fail</v>
      </c>
      <c r="AF2612" s="1" t="str">
        <f>IF(AND(Table1[[#This Row],[Spec Type2]]="N/A",Table1[[#This Row],[DUT Adj Read]]="N/A",Table1[[#This Row],[Std Adj Read]]="N/A"),"N/A",IF(Table1[[#This Row],[DUT Adj Read]]="N/A",IF(Table1[[#This Row],[Std Adj Read]]&gt;=Table1[[#This Row],[Low Tol]],"Pass","Fail"),IF(Table1[[#This Row],[DUT Adj Read]]&gt;=Table1[[#This Row],[Low Tol]],"Pass","Fail")))</f>
        <v>Pass</v>
      </c>
      <c r="AG2612" s="1" t="str">
        <f>IF(AND(Table1[[#This Row],[Spec Type2]]="N/A",Table1[[#This Row],[DUT Adj Read]]="N/A",Table1[[#This Row],[Std Adj Read]]="N/A"),"N/A",IF(Table1[[#This Row],[DUT Adj Read]]="N/A",IF(Table1[[#This Row],[Std Adj Read]]&lt;=Table1[[#This Row],[High Tol]],"Pass","Fail"),IF(Table1[[#This Row],[DUT Adj Read]]&lt;=Table1[[#This Row],[High Tol]],"Pass","Fail")))</f>
        <v>Fail</v>
      </c>
      <c r="AH26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2" s="1" t="b">
        <v>0</v>
      </c>
      <c r="AN2612" s="1" t="b">
        <v>0</v>
      </c>
      <c r="AO2612" s="1" t="b">
        <v>0</v>
      </c>
    </row>
    <row r="2613" spans="1:41" x14ac:dyDescent="0.25">
      <c r="A2613" s="10"/>
      <c r="B2613" s="10"/>
      <c r="C2613" s="10"/>
      <c r="D2613" s="10"/>
      <c r="E2613" s="10"/>
      <c r="F2613" s="10"/>
      <c r="G2613" s="10"/>
      <c r="H2613" s="10"/>
      <c r="I2613" s="1" t="str">
        <f t="shared" si="120"/>
        <v/>
      </c>
      <c r="J2613" s="1" t="s">
        <v>35</v>
      </c>
      <c r="K2613" s="1" t="str">
        <f t="shared" si="121"/>
        <v/>
      </c>
      <c r="L2613" s="1" t="str">
        <f t="shared" si="122"/>
        <v/>
      </c>
      <c r="M2613" s="1">
        <f>IF(OR(Table1[[#This Row],[Std Nom]]="",Table1[[#This Row],[Std Read]]=""),0,Table1[[#This Row],[Std Nom]]-Table1[[#This Row],[Std Read]])</f>
        <v>0</v>
      </c>
      <c r="N2613" s="1">
        <f>IF(Calculations!$F$5="ACCREDITED 17025 WITH UNCERTAINTIES",$N$10,0)</f>
        <v>0</v>
      </c>
      <c r="Q2613" s="1">
        <f>Table1[[#This Row],[High Tol]]-Table1[[#This Row],[Low Tol]]</f>
        <v>0</v>
      </c>
      <c r="R2613" s="1">
        <f>2*Table1[[#This Row],[Std Error]]</f>
        <v>0</v>
      </c>
      <c r="S2613" s="1" t="str">
        <f>IF(Table1[[#This Row],[High Tol]]="","N/A",IFERROR(ABS(Table1[[#This Row],[Tol Span]]/Table1[[#This Row],[Error Span]]),"N/A"))</f>
        <v>N/A</v>
      </c>
      <c r="T2613" s="1" t="str">
        <f>IF(OR(Table1[[#This Row],[Low Tol]]="",Table1[[#This Row],[High Tol]]=""),"Needs Analysis",IF(Table1[[#This Row],[Ratio]]&gt;=4,"Not Significant",IF(Table1[[#This Row],[Ratio]]&gt;=2,"Semi-Significant","Significant")))</f>
        <v>Needs Analysis</v>
      </c>
      <c r="W2613" s="1">
        <f>IF(Table1[[#This Row],[Cal Type]]&lt;&gt;"ACCREDITED 17025 WITH UNCERTAINTIES",0,"")</f>
        <v>0</v>
      </c>
      <c r="X2613" s="1" t="str">
        <f>IF(Table1[[#This Row],[DUT Read]]="","N/A",Table1[[#This Row],[Std Error]]+Table1[[#This Row],[DUT Read]]+Table1[[#This Row],[DUT Ucty]])</f>
        <v>N/A</v>
      </c>
      <c r="Y2613" s="1" t="str">
        <f>IF(Table1[[#This Row],[Std Read]]="","N/A",Table1[[#This Row],[Std Read]]+Table1[[#This Row],[Std Ucty]])</f>
        <v>N/A</v>
      </c>
      <c r="Z26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3" s="1" t="str">
        <f>IF(Table1[[#This Row],[Spec Type]]="","N/A",Table1[[#This Row],[Spec Type]])</f>
        <v>±</v>
      </c>
      <c r="AC2613" s="1" t="str">
        <f>IF(Table1[[#This Row],[Spec Type2]]="N/A","N/A",IF(AND(Table1[[#This Row],[DUT Adj Read]]&gt;=Table1[[#This Row],[Low Tol]],Table1[[#This Row],[DUT Adj Read]]&lt;=Table1[[#This Row],[High Tol]]),"Pass","Fail"))</f>
        <v>Fail</v>
      </c>
      <c r="AD2613" s="1" t="str">
        <f>IF(AND(Table1[[#This Row],[Spec Type2]]="N/A",Table1[[#This Row],[DUT Adj Read]]="N/A",Table1[[#This Row],[Std Adj Read]]="N/A"),"N/A",IF(Table1[[#This Row],[DUT Adj Read]]="N/A",IF(Table1[[#This Row],[Std Adj Read]]&gt;Table1[[#This Row],[Low Tol]],"Pass","Fail"),IF(Table1[[#This Row],[DUT Adj Read]]&gt;Table1[[#This Row],[Low Tol]],"Pass","Fail")))</f>
        <v>Pass</v>
      </c>
      <c r="AE2613" s="1" t="str">
        <f>IF(AND(Table1[[#This Row],[Spec Type2]]="N/A",Table1[[#This Row],[DUT Adj Read]]="N/A",Table1[[#This Row],[Std Adj Read]]="N/A"),"N/A",IF(Table1[[#This Row],[DUT Adj Read]]="N/A",IF(Table1[[#This Row],[Std Adj Read]]&lt;Table1[[#This Row],[High Tol]],"Pass","Fail"),IF(Table1[[#This Row],[DUT Adj Read]]&lt;Table1[[#This Row],[High Tol]],"Pass","Fail")))</f>
        <v>Fail</v>
      </c>
      <c r="AF2613" s="1" t="str">
        <f>IF(AND(Table1[[#This Row],[Spec Type2]]="N/A",Table1[[#This Row],[DUT Adj Read]]="N/A",Table1[[#This Row],[Std Adj Read]]="N/A"),"N/A",IF(Table1[[#This Row],[DUT Adj Read]]="N/A",IF(Table1[[#This Row],[Std Adj Read]]&gt;=Table1[[#This Row],[Low Tol]],"Pass","Fail"),IF(Table1[[#This Row],[DUT Adj Read]]&gt;=Table1[[#This Row],[Low Tol]],"Pass","Fail")))</f>
        <v>Pass</v>
      </c>
      <c r="AG2613" s="1" t="str">
        <f>IF(AND(Table1[[#This Row],[Spec Type2]]="N/A",Table1[[#This Row],[DUT Adj Read]]="N/A",Table1[[#This Row],[Std Adj Read]]="N/A"),"N/A",IF(Table1[[#This Row],[DUT Adj Read]]="N/A",IF(Table1[[#This Row],[Std Adj Read]]&lt;=Table1[[#This Row],[High Tol]],"Pass","Fail"),IF(Table1[[#This Row],[DUT Adj Read]]&lt;=Table1[[#This Row],[High Tol]],"Pass","Fail")))</f>
        <v>Fail</v>
      </c>
      <c r="AH26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3" s="1" t="b">
        <v>0</v>
      </c>
      <c r="AN2613" s="1" t="b">
        <v>0</v>
      </c>
      <c r="AO2613" s="1" t="b">
        <v>0</v>
      </c>
    </row>
    <row r="2614" spans="1:41" x14ac:dyDescent="0.25">
      <c r="A2614" s="10"/>
      <c r="B2614" s="10"/>
      <c r="C2614" s="10"/>
      <c r="D2614" s="10"/>
      <c r="E2614" s="10"/>
      <c r="F2614" s="10"/>
      <c r="G2614" s="10"/>
      <c r="H2614" s="10"/>
      <c r="I2614" s="1" t="str">
        <f t="shared" si="120"/>
        <v/>
      </c>
      <c r="J2614" s="1" t="s">
        <v>35</v>
      </c>
      <c r="K2614" s="1" t="str">
        <f t="shared" si="121"/>
        <v/>
      </c>
      <c r="L2614" s="1" t="str">
        <f t="shared" si="122"/>
        <v/>
      </c>
      <c r="M2614" s="1">
        <f>IF(OR(Table1[[#This Row],[Std Nom]]="",Table1[[#This Row],[Std Read]]=""),0,Table1[[#This Row],[Std Nom]]-Table1[[#This Row],[Std Read]])</f>
        <v>0</v>
      </c>
      <c r="N2614" s="1">
        <f>IF(Calculations!$F$5="ACCREDITED 17025 WITH UNCERTAINTIES",$N$10,0)</f>
        <v>0</v>
      </c>
      <c r="Q2614" s="1">
        <f>Table1[[#This Row],[High Tol]]-Table1[[#This Row],[Low Tol]]</f>
        <v>0</v>
      </c>
      <c r="R2614" s="1">
        <f>2*Table1[[#This Row],[Std Error]]</f>
        <v>0</v>
      </c>
      <c r="S2614" s="1" t="str">
        <f>IF(Table1[[#This Row],[High Tol]]="","N/A",IFERROR(ABS(Table1[[#This Row],[Tol Span]]/Table1[[#This Row],[Error Span]]),"N/A"))</f>
        <v>N/A</v>
      </c>
      <c r="T2614" s="1" t="str">
        <f>IF(OR(Table1[[#This Row],[Low Tol]]="",Table1[[#This Row],[High Tol]]=""),"Needs Analysis",IF(Table1[[#This Row],[Ratio]]&gt;=4,"Not Significant",IF(Table1[[#This Row],[Ratio]]&gt;=2,"Semi-Significant","Significant")))</f>
        <v>Needs Analysis</v>
      </c>
      <c r="W2614" s="1">
        <f>IF(Table1[[#This Row],[Cal Type]]&lt;&gt;"ACCREDITED 17025 WITH UNCERTAINTIES",0,"")</f>
        <v>0</v>
      </c>
      <c r="X2614" s="1" t="str">
        <f>IF(Table1[[#This Row],[DUT Read]]="","N/A",Table1[[#This Row],[Std Error]]+Table1[[#This Row],[DUT Read]]+Table1[[#This Row],[DUT Ucty]])</f>
        <v>N/A</v>
      </c>
      <c r="Y2614" s="1" t="str">
        <f>IF(Table1[[#This Row],[Std Read]]="","N/A",Table1[[#This Row],[Std Read]]+Table1[[#This Row],[Std Ucty]])</f>
        <v>N/A</v>
      </c>
      <c r="Z26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4" s="1" t="str">
        <f>IF(Table1[[#This Row],[Spec Type]]="","N/A",Table1[[#This Row],[Spec Type]])</f>
        <v>±</v>
      </c>
      <c r="AC2614" s="1" t="str">
        <f>IF(Table1[[#This Row],[Spec Type2]]="N/A","N/A",IF(AND(Table1[[#This Row],[DUT Adj Read]]&gt;=Table1[[#This Row],[Low Tol]],Table1[[#This Row],[DUT Adj Read]]&lt;=Table1[[#This Row],[High Tol]]),"Pass","Fail"))</f>
        <v>Fail</v>
      </c>
      <c r="AD2614" s="1" t="str">
        <f>IF(AND(Table1[[#This Row],[Spec Type2]]="N/A",Table1[[#This Row],[DUT Adj Read]]="N/A",Table1[[#This Row],[Std Adj Read]]="N/A"),"N/A",IF(Table1[[#This Row],[DUT Adj Read]]="N/A",IF(Table1[[#This Row],[Std Adj Read]]&gt;Table1[[#This Row],[Low Tol]],"Pass","Fail"),IF(Table1[[#This Row],[DUT Adj Read]]&gt;Table1[[#This Row],[Low Tol]],"Pass","Fail")))</f>
        <v>Pass</v>
      </c>
      <c r="AE2614" s="1" t="str">
        <f>IF(AND(Table1[[#This Row],[Spec Type2]]="N/A",Table1[[#This Row],[DUT Adj Read]]="N/A",Table1[[#This Row],[Std Adj Read]]="N/A"),"N/A",IF(Table1[[#This Row],[DUT Adj Read]]="N/A",IF(Table1[[#This Row],[Std Adj Read]]&lt;Table1[[#This Row],[High Tol]],"Pass","Fail"),IF(Table1[[#This Row],[DUT Adj Read]]&lt;Table1[[#This Row],[High Tol]],"Pass","Fail")))</f>
        <v>Fail</v>
      </c>
      <c r="AF2614" s="1" t="str">
        <f>IF(AND(Table1[[#This Row],[Spec Type2]]="N/A",Table1[[#This Row],[DUT Adj Read]]="N/A",Table1[[#This Row],[Std Adj Read]]="N/A"),"N/A",IF(Table1[[#This Row],[DUT Adj Read]]="N/A",IF(Table1[[#This Row],[Std Adj Read]]&gt;=Table1[[#This Row],[Low Tol]],"Pass","Fail"),IF(Table1[[#This Row],[DUT Adj Read]]&gt;=Table1[[#This Row],[Low Tol]],"Pass","Fail")))</f>
        <v>Pass</v>
      </c>
      <c r="AG2614" s="1" t="str">
        <f>IF(AND(Table1[[#This Row],[Spec Type2]]="N/A",Table1[[#This Row],[DUT Adj Read]]="N/A",Table1[[#This Row],[Std Adj Read]]="N/A"),"N/A",IF(Table1[[#This Row],[DUT Adj Read]]="N/A",IF(Table1[[#This Row],[Std Adj Read]]&lt;=Table1[[#This Row],[High Tol]],"Pass","Fail"),IF(Table1[[#This Row],[DUT Adj Read]]&lt;=Table1[[#This Row],[High Tol]],"Pass","Fail")))</f>
        <v>Fail</v>
      </c>
      <c r="AH26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4" s="1" t="b">
        <v>0</v>
      </c>
      <c r="AN2614" s="1" t="b">
        <v>0</v>
      </c>
      <c r="AO2614" s="1" t="b">
        <v>0</v>
      </c>
    </row>
    <row r="2615" spans="1:41" x14ac:dyDescent="0.25">
      <c r="A2615" s="10"/>
      <c r="B2615" s="10"/>
      <c r="C2615" s="10"/>
      <c r="D2615" s="10"/>
      <c r="E2615" s="10"/>
      <c r="F2615" s="10"/>
      <c r="G2615" s="10"/>
      <c r="H2615" s="10"/>
      <c r="I2615" s="1" t="str">
        <f t="shared" si="120"/>
        <v/>
      </c>
      <c r="J2615" s="1" t="s">
        <v>35</v>
      </c>
      <c r="K2615" s="1" t="str">
        <f t="shared" si="121"/>
        <v/>
      </c>
      <c r="L2615" s="1" t="str">
        <f t="shared" si="122"/>
        <v/>
      </c>
      <c r="M2615" s="1">
        <f>IF(OR(Table1[[#This Row],[Std Nom]]="",Table1[[#This Row],[Std Read]]=""),0,Table1[[#This Row],[Std Nom]]-Table1[[#This Row],[Std Read]])</f>
        <v>0</v>
      </c>
      <c r="N2615" s="1">
        <f>IF(Calculations!$F$5="ACCREDITED 17025 WITH UNCERTAINTIES",$N$10,0)</f>
        <v>0</v>
      </c>
      <c r="Q2615" s="1">
        <f>Table1[[#This Row],[High Tol]]-Table1[[#This Row],[Low Tol]]</f>
        <v>0</v>
      </c>
      <c r="R2615" s="1">
        <f>2*Table1[[#This Row],[Std Error]]</f>
        <v>0</v>
      </c>
      <c r="S2615" s="1" t="str">
        <f>IF(Table1[[#This Row],[High Tol]]="","N/A",IFERROR(ABS(Table1[[#This Row],[Tol Span]]/Table1[[#This Row],[Error Span]]),"N/A"))</f>
        <v>N/A</v>
      </c>
      <c r="T2615" s="1" t="str">
        <f>IF(OR(Table1[[#This Row],[Low Tol]]="",Table1[[#This Row],[High Tol]]=""),"Needs Analysis",IF(Table1[[#This Row],[Ratio]]&gt;=4,"Not Significant",IF(Table1[[#This Row],[Ratio]]&gt;=2,"Semi-Significant","Significant")))</f>
        <v>Needs Analysis</v>
      </c>
      <c r="W2615" s="1">
        <f>IF(Table1[[#This Row],[Cal Type]]&lt;&gt;"ACCREDITED 17025 WITH UNCERTAINTIES",0,"")</f>
        <v>0</v>
      </c>
      <c r="X2615" s="1" t="str">
        <f>IF(Table1[[#This Row],[DUT Read]]="","N/A",Table1[[#This Row],[Std Error]]+Table1[[#This Row],[DUT Read]]+Table1[[#This Row],[DUT Ucty]])</f>
        <v>N/A</v>
      </c>
      <c r="Y2615" s="1" t="str">
        <f>IF(Table1[[#This Row],[Std Read]]="","N/A",Table1[[#This Row],[Std Read]]+Table1[[#This Row],[Std Ucty]])</f>
        <v>N/A</v>
      </c>
      <c r="Z26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5" s="1" t="str">
        <f>IF(Table1[[#This Row],[Spec Type]]="","N/A",Table1[[#This Row],[Spec Type]])</f>
        <v>±</v>
      </c>
      <c r="AC2615" s="1" t="str">
        <f>IF(Table1[[#This Row],[Spec Type2]]="N/A","N/A",IF(AND(Table1[[#This Row],[DUT Adj Read]]&gt;=Table1[[#This Row],[Low Tol]],Table1[[#This Row],[DUT Adj Read]]&lt;=Table1[[#This Row],[High Tol]]),"Pass","Fail"))</f>
        <v>Fail</v>
      </c>
      <c r="AD2615" s="1" t="str">
        <f>IF(AND(Table1[[#This Row],[Spec Type2]]="N/A",Table1[[#This Row],[DUT Adj Read]]="N/A",Table1[[#This Row],[Std Adj Read]]="N/A"),"N/A",IF(Table1[[#This Row],[DUT Adj Read]]="N/A",IF(Table1[[#This Row],[Std Adj Read]]&gt;Table1[[#This Row],[Low Tol]],"Pass","Fail"),IF(Table1[[#This Row],[DUT Adj Read]]&gt;Table1[[#This Row],[Low Tol]],"Pass","Fail")))</f>
        <v>Pass</v>
      </c>
      <c r="AE2615" s="1" t="str">
        <f>IF(AND(Table1[[#This Row],[Spec Type2]]="N/A",Table1[[#This Row],[DUT Adj Read]]="N/A",Table1[[#This Row],[Std Adj Read]]="N/A"),"N/A",IF(Table1[[#This Row],[DUT Adj Read]]="N/A",IF(Table1[[#This Row],[Std Adj Read]]&lt;Table1[[#This Row],[High Tol]],"Pass","Fail"),IF(Table1[[#This Row],[DUT Adj Read]]&lt;Table1[[#This Row],[High Tol]],"Pass","Fail")))</f>
        <v>Fail</v>
      </c>
      <c r="AF2615" s="1" t="str">
        <f>IF(AND(Table1[[#This Row],[Spec Type2]]="N/A",Table1[[#This Row],[DUT Adj Read]]="N/A",Table1[[#This Row],[Std Adj Read]]="N/A"),"N/A",IF(Table1[[#This Row],[DUT Adj Read]]="N/A",IF(Table1[[#This Row],[Std Adj Read]]&gt;=Table1[[#This Row],[Low Tol]],"Pass","Fail"),IF(Table1[[#This Row],[DUT Adj Read]]&gt;=Table1[[#This Row],[Low Tol]],"Pass","Fail")))</f>
        <v>Pass</v>
      </c>
      <c r="AG2615" s="1" t="str">
        <f>IF(AND(Table1[[#This Row],[Spec Type2]]="N/A",Table1[[#This Row],[DUT Adj Read]]="N/A",Table1[[#This Row],[Std Adj Read]]="N/A"),"N/A",IF(Table1[[#This Row],[DUT Adj Read]]="N/A",IF(Table1[[#This Row],[Std Adj Read]]&lt;=Table1[[#This Row],[High Tol]],"Pass","Fail"),IF(Table1[[#This Row],[DUT Adj Read]]&lt;=Table1[[#This Row],[High Tol]],"Pass","Fail")))</f>
        <v>Fail</v>
      </c>
      <c r="AH26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5" s="1" t="b">
        <v>0</v>
      </c>
      <c r="AN2615" s="1" t="b">
        <v>0</v>
      </c>
      <c r="AO2615" s="1" t="b">
        <v>0</v>
      </c>
    </row>
    <row r="2616" spans="1:41" x14ac:dyDescent="0.25">
      <c r="A2616" s="10"/>
      <c r="B2616" s="10"/>
      <c r="C2616" s="10"/>
      <c r="D2616" s="10"/>
      <c r="E2616" s="10"/>
      <c r="F2616" s="10"/>
      <c r="G2616" s="10"/>
      <c r="H2616" s="10"/>
      <c r="I2616" s="1" t="str">
        <f t="shared" si="120"/>
        <v/>
      </c>
      <c r="J2616" s="1" t="s">
        <v>35</v>
      </c>
      <c r="K2616" s="1" t="str">
        <f t="shared" si="121"/>
        <v/>
      </c>
      <c r="L2616" s="1" t="str">
        <f t="shared" si="122"/>
        <v/>
      </c>
      <c r="M2616" s="1">
        <f>IF(OR(Table1[[#This Row],[Std Nom]]="",Table1[[#This Row],[Std Read]]=""),0,Table1[[#This Row],[Std Nom]]-Table1[[#This Row],[Std Read]])</f>
        <v>0</v>
      </c>
      <c r="N2616" s="1">
        <f>IF(Calculations!$F$5="ACCREDITED 17025 WITH UNCERTAINTIES",$N$10,0)</f>
        <v>0</v>
      </c>
      <c r="Q2616" s="1">
        <f>Table1[[#This Row],[High Tol]]-Table1[[#This Row],[Low Tol]]</f>
        <v>0</v>
      </c>
      <c r="R2616" s="1">
        <f>2*Table1[[#This Row],[Std Error]]</f>
        <v>0</v>
      </c>
      <c r="S2616" s="1" t="str">
        <f>IF(Table1[[#This Row],[High Tol]]="","N/A",IFERROR(ABS(Table1[[#This Row],[Tol Span]]/Table1[[#This Row],[Error Span]]),"N/A"))</f>
        <v>N/A</v>
      </c>
      <c r="T2616" s="1" t="str">
        <f>IF(OR(Table1[[#This Row],[Low Tol]]="",Table1[[#This Row],[High Tol]]=""),"Needs Analysis",IF(Table1[[#This Row],[Ratio]]&gt;=4,"Not Significant",IF(Table1[[#This Row],[Ratio]]&gt;=2,"Semi-Significant","Significant")))</f>
        <v>Needs Analysis</v>
      </c>
      <c r="W2616" s="1">
        <f>IF(Table1[[#This Row],[Cal Type]]&lt;&gt;"ACCREDITED 17025 WITH UNCERTAINTIES",0,"")</f>
        <v>0</v>
      </c>
      <c r="X2616" s="1" t="str">
        <f>IF(Table1[[#This Row],[DUT Read]]="","N/A",Table1[[#This Row],[Std Error]]+Table1[[#This Row],[DUT Read]]+Table1[[#This Row],[DUT Ucty]])</f>
        <v>N/A</v>
      </c>
      <c r="Y2616" s="1" t="str">
        <f>IF(Table1[[#This Row],[Std Read]]="","N/A",Table1[[#This Row],[Std Read]]+Table1[[#This Row],[Std Ucty]])</f>
        <v>N/A</v>
      </c>
      <c r="Z26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6" s="1" t="str">
        <f>IF(Table1[[#This Row],[Spec Type]]="","N/A",Table1[[#This Row],[Spec Type]])</f>
        <v>±</v>
      </c>
      <c r="AC2616" s="1" t="str">
        <f>IF(Table1[[#This Row],[Spec Type2]]="N/A","N/A",IF(AND(Table1[[#This Row],[DUT Adj Read]]&gt;=Table1[[#This Row],[Low Tol]],Table1[[#This Row],[DUT Adj Read]]&lt;=Table1[[#This Row],[High Tol]]),"Pass","Fail"))</f>
        <v>Fail</v>
      </c>
      <c r="AD2616" s="1" t="str">
        <f>IF(AND(Table1[[#This Row],[Spec Type2]]="N/A",Table1[[#This Row],[DUT Adj Read]]="N/A",Table1[[#This Row],[Std Adj Read]]="N/A"),"N/A",IF(Table1[[#This Row],[DUT Adj Read]]="N/A",IF(Table1[[#This Row],[Std Adj Read]]&gt;Table1[[#This Row],[Low Tol]],"Pass","Fail"),IF(Table1[[#This Row],[DUT Adj Read]]&gt;Table1[[#This Row],[Low Tol]],"Pass","Fail")))</f>
        <v>Pass</v>
      </c>
      <c r="AE2616" s="1" t="str">
        <f>IF(AND(Table1[[#This Row],[Spec Type2]]="N/A",Table1[[#This Row],[DUT Adj Read]]="N/A",Table1[[#This Row],[Std Adj Read]]="N/A"),"N/A",IF(Table1[[#This Row],[DUT Adj Read]]="N/A",IF(Table1[[#This Row],[Std Adj Read]]&lt;Table1[[#This Row],[High Tol]],"Pass","Fail"),IF(Table1[[#This Row],[DUT Adj Read]]&lt;Table1[[#This Row],[High Tol]],"Pass","Fail")))</f>
        <v>Fail</v>
      </c>
      <c r="AF2616" s="1" t="str">
        <f>IF(AND(Table1[[#This Row],[Spec Type2]]="N/A",Table1[[#This Row],[DUT Adj Read]]="N/A",Table1[[#This Row],[Std Adj Read]]="N/A"),"N/A",IF(Table1[[#This Row],[DUT Adj Read]]="N/A",IF(Table1[[#This Row],[Std Adj Read]]&gt;=Table1[[#This Row],[Low Tol]],"Pass","Fail"),IF(Table1[[#This Row],[DUT Adj Read]]&gt;=Table1[[#This Row],[Low Tol]],"Pass","Fail")))</f>
        <v>Pass</v>
      </c>
      <c r="AG2616" s="1" t="str">
        <f>IF(AND(Table1[[#This Row],[Spec Type2]]="N/A",Table1[[#This Row],[DUT Adj Read]]="N/A",Table1[[#This Row],[Std Adj Read]]="N/A"),"N/A",IF(Table1[[#This Row],[DUT Adj Read]]="N/A",IF(Table1[[#This Row],[Std Adj Read]]&lt;=Table1[[#This Row],[High Tol]],"Pass","Fail"),IF(Table1[[#This Row],[DUT Adj Read]]&lt;=Table1[[#This Row],[High Tol]],"Pass","Fail")))</f>
        <v>Fail</v>
      </c>
      <c r="AH26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6" s="1" t="b">
        <v>0</v>
      </c>
      <c r="AN2616" s="1" t="b">
        <v>0</v>
      </c>
      <c r="AO2616" s="1" t="b">
        <v>0</v>
      </c>
    </row>
    <row r="2617" spans="1:41" x14ac:dyDescent="0.25">
      <c r="A2617" s="10"/>
      <c r="B2617" s="10"/>
      <c r="C2617" s="10"/>
      <c r="D2617" s="10"/>
      <c r="E2617" s="10"/>
      <c r="F2617" s="10"/>
      <c r="G2617" s="10"/>
      <c r="H2617" s="10"/>
      <c r="I2617" s="1" t="str">
        <f t="shared" si="120"/>
        <v/>
      </c>
      <c r="J2617" s="1" t="s">
        <v>35</v>
      </c>
      <c r="K2617" s="1" t="str">
        <f t="shared" si="121"/>
        <v/>
      </c>
      <c r="L2617" s="1" t="str">
        <f t="shared" si="122"/>
        <v/>
      </c>
      <c r="M2617" s="1">
        <f>IF(OR(Table1[[#This Row],[Std Nom]]="",Table1[[#This Row],[Std Read]]=""),0,Table1[[#This Row],[Std Nom]]-Table1[[#This Row],[Std Read]])</f>
        <v>0</v>
      </c>
      <c r="N2617" s="1">
        <f>IF(Calculations!$F$5="ACCREDITED 17025 WITH UNCERTAINTIES",$N$10,0)</f>
        <v>0</v>
      </c>
      <c r="Q2617" s="1">
        <f>Table1[[#This Row],[High Tol]]-Table1[[#This Row],[Low Tol]]</f>
        <v>0</v>
      </c>
      <c r="R2617" s="1">
        <f>2*Table1[[#This Row],[Std Error]]</f>
        <v>0</v>
      </c>
      <c r="S2617" s="1" t="str">
        <f>IF(Table1[[#This Row],[High Tol]]="","N/A",IFERROR(ABS(Table1[[#This Row],[Tol Span]]/Table1[[#This Row],[Error Span]]),"N/A"))</f>
        <v>N/A</v>
      </c>
      <c r="T2617" s="1" t="str">
        <f>IF(OR(Table1[[#This Row],[Low Tol]]="",Table1[[#This Row],[High Tol]]=""),"Needs Analysis",IF(Table1[[#This Row],[Ratio]]&gt;=4,"Not Significant",IF(Table1[[#This Row],[Ratio]]&gt;=2,"Semi-Significant","Significant")))</f>
        <v>Needs Analysis</v>
      </c>
      <c r="W2617" s="1">
        <f>IF(Table1[[#This Row],[Cal Type]]&lt;&gt;"ACCREDITED 17025 WITH UNCERTAINTIES",0,"")</f>
        <v>0</v>
      </c>
      <c r="X2617" s="1" t="str">
        <f>IF(Table1[[#This Row],[DUT Read]]="","N/A",Table1[[#This Row],[Std Error]]+Table1[[#This Row],[DUT Read]]+Table1[[#This Row],[DUT Ucty]])</f>
        <v>N/A</v>
      </c>
      <c r="Y2617" s="1" t="str">
        <f>IF(Table1[[#This Row],[Std Read]]="","N/A",Table1[[#This Row],[Std Read]]+Table1[[#This Row],[Std Ucty]])</f>
        <v>N/A</v>
      </c>
      <c r="Z26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7" s="1" t="str">
        <f>IF(Table1[[#This Row],[Spec Type]]="","N/A",Table1[[#This Row],[Spec Type]])</f>
        <v>±</v>
      </c>
      <c r="AC2617" s="1" t="str">
        <f>IF(Table1[[#This Row],[Spec Type2]]="N/A","N/A",IF(AND(Table1[[#This Row],[DUT Adj Read]]&gt;=Table1[[#This Row],[Low Tol]],Table1[[#This Row],[DUT Adj Read]]&lt;=Table1[[#This Row],[High Tol]]),"Pass","Fail"))</f>
        <v>Fail</v>
      </c>
      <c r="AD2617" s="1" t="str">
        <f>IF(AND(Table1[[#This Row],[Spec Type2]]="N/A",Table1[[#This Row],[DUT Adj Read]]="N/A",Table1[[#This Row],[Std Adj Read]]="N/A"),"N/A",IF(Table1[[#This Row],[DUT Adj Read]]="N/A",IF(Table1[[#This Row],[Std Adj Read]]&gt;Table1[[#This Row],[Low Tol]],"Pass","Fail"),IF(Table1[[#This Row],[DUT Adj Read]]&gt;Table1[[#This Row],[Low Tol]],"Pass","Fail")))</f>
        <v>Pass</v>
      </c>
      <c r="AE2617" s="1" t="str">
        <f>IF(AND(Table1[[#This Row],[Spec Type2]]="N/A",Table1[[#This Row],[DUT Adj Read]]="N/A",Table1[[#This Row],[Std Adj Read]]="N/A"),"N/A",IF(Table1[[#This Row],[DUT Adj Read]]="N/A",IF(Table1[[#This Row],[Std Adj Read]]&lt;Table1[[#This Row],[High Tol]],"Pass","Fail"),IF(Table1[[#This Row],[DUT Adj Read]]&lt;Table1[[#This Row],[High Tol]],"Pass","Fail")))</f>
        <v>Fail</v>
      </c>
      <c r="AF2617" s="1" t="str">
        <f>IF(AND(Table1[[#This Row],[Spec Type2]]="N/A",Table1[[#This Row],[DUT Adj Read]]="N/A",Table1[[#This Row],[Std Adj Read]]="N/A"),"N/A",IF(Table1[[#This Row],[DUT Adj Read]]="N/A",IF(Table1[[#This Row],[Std Adj Read]]&gt;=Table1[[#This Row],[Low Tol]],"Pass","Fail"),IF(Table1[[#This Row],[DUT Adj Read]]&gt;=Table1[[#This Row],[Low Tol]],"Pass","Fail")))</f>
        <v>Pass</v>
      </c>
      <c r="AG2617" s="1" t="str">
        <f>IF(AND(Table1[[#This Row],[Spec Type2]]="N/A",Table1[[#This Row],[DUT Adj Read]]="N/A",Table1[[#This Row],[Std Adj Read]]="N/A"),"N/A",IF(Table1[[#This Row],[DUT Adj Read]]="N/A",IF(Table1[[#This Row],[Std Adj Read]]&lt;=Table1[[#This Row],[High Tol]],"Pass","Fail"),IF(Table1[[#This Row],[DUT Adj Read]]&lt;=Table1[[#This Row],[High Tol]],"Pass","Fail")))</f>
        <v>Fail</v>
      </c>
      <c r="AH26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7" s="1" t="b">
        <v>0</v>
      </c>
      <c r="AN2617" s="1" t="b">
        <v>0</v>
      </c>
      <c r="AO2617" s="1" t="b">
        <v>0</v>
      </c>
    </row>
    <row r="2618" spans="1:41" x14ac:dyDescent="0.25">
      <c r="A2618" s="10"/>
      <c r="B2618" s="10"/>
      <c r="C2618" s="10"/>
      <c r="D2618" s="10"/>
      <c r="E2618" s="10"/>
      <c r="F2618" s="10"/>
      <c r="G2618" s="10"/>
      <c r="H2618" s="10"/>
      <c r="I2618" s="1" t="str">
        <f t="shared" si="120"/>
        <v/>
      </c>
      <c r="J2618" s="1" t="s">
        <v>35</v>
      </c>
      <c r="K2618" s="1" t="str">
        <f t="shared" si="121"/>
        <v/>
      </c>
      <c r="L2618" s="1" t="str">
        <f t="shared" si="122"/>
        <v/>
      </c>
      <c r="M2618" s="1">
        <f>IF(OR(Table1[[#This Row],[Std Nom]]="",Table1[[#This Row],[Std Read]]=""),0,Table1[[#This Row],[Std Nom]]-Table1[[#This Row],[Std Read]])</f>
        <v>0</v>
      </c>
      <c r="N2618" s="1">
        <f>IF(Calculations!$F$5="ACCREDITED 17025 WITH UNCERTAINTIES",$N$10,0)</f>
        <v>0</v>
      </c>
      <c r="Q2618" s="1">
        <f>Table1[[#This Row],[High Tol]]-Table1[[#This Row],[Low Tol]]</f>
        <v>0</v>
      </c>
      <c r="R2618" s="1">
        <f>2*Table1[[#This Row],[Std Error]]</f>
        <v>0</v>
      </c>
      <c r="S2618" s="1" t="str">
        <f>IF(Table1[[#This Row],[High Tol]]="","N/A",IFERROR(ABS(Table1[[#This Row],[Tol Span]]/Table1[[#This Row],[Error Span]]),"N/A"))</f>
        <v>N/A</v>
      </c>
      <c r="T2618" s="1" t="str">
        <f>IF(OR(Table1[[#This Row],[Low Tol]]="",Table1[[#This Row],[High Tol]]=""),"Needs Analysis",IF(Table1[[#This Row],[Ratio]]&gt;=4,"Not Significant",IF(Table1[[#This Row],[Ratio]]&gt;=2,"Semi-Significant","Significant")))</f>
        <v>Needs Analysis</v>
      </c>
      <c r="W2618" s="1">
        <f>IF(Table1[[#This Row],[Cal Type]]&lt;&gt;"ACCREDITED 17025 WITH UNCERTAINTIES",0,"")</f>
        <v>0</v>
      </c>
      <c r="X2618" s="1" t="str">
        <f>IF(Table1[[#This Row],[DUT Read]]="","N/A",Table1[[#This Row],[Std Error]]+Table1[[#This Row],[DUT Read]]+Table1[[#This Row],[DUT Ucty]])</f>
        <v>N/A</v>
      </c>
      <c r="Y2618" s="1" t="str">
        <f>IF(Table1[[#This Row],[Std Read]]="","N/A",Table1[[#This Row],[Std Read]]+Table1[[#This Row],[Std Ucty]])</f>
        <v>N/A</v>
      </c>
      <c r="Z26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8" s="1" t="str">
        <f>IF(Table1[[#This Row],[Spec Type]]="","N/A",Table1[[#This Row],[Spec Type]])</f>
        <v>±</v>
      </c>
      <c r="AC2618" s="1" t="str">
        <f>IF(Table1[[#This Row],[Spec Type2]]="N/A","N/A",IF(AND(Table1[[#This Row],[DUT Adj Read]]&gt;=Table1[[#This Row],[Low Tol]],Table1[[#This Row],[DUT Adj Read]]&lt;=Table1[[#This Row],[High Tol]]),"Pass","Fail"))</f>
        <v>Fail</v>
      </c>
      <c r="AD2618" s="1" t="str">
        <f>IF(AND(Table1[[#This Row],[Spec Type2]]="N/A",Table1[[#This Row],[DUT Adj Read]]="N/A",Table1[[#This Row],[Std Adj Read]]="N/A"),"N/A",IF(Table1[[#This Row],[DUT Adj Read]]="N/A",IF(Table1[[#This Row],[Std Adj Read]]&gt;Table1[[#This Row],[Low Tol]],"Pass","Fail"),IF(Table1[[#This Row],[DUT Adj Read]]&gt;Table1[[#This Row],[Low Tol]],"Pass","Fail")))</f>
        <v>Pass</v>
      </c>
      <c r="AE2618" s="1" t="str">
        <f>IF(AND(Table1[[#This Row],[Spec Type2]]="N/A",Table1[[#This Row],[DUT Adj Read]]="N/A",Table1[[#This Row],[Std Adj Read]]="N/A"),"N/A",IF(Table1[[#This Row],[DUT Adj Read]]="N/A",IF(Table1[[#This Row],[Std Adj Read]]&lt;Table1[[#This Row],[High Tol]],"Pass","Fail"),IF(Table1[[#This Row],[DUT Adj Read]]&lt;Table1[[#This Row],[High Tol]],"Pass","Fail")))</f>
        <v>Fail</v>
      </c>
      <c r="AF2618" s="1" t="str">
        <f>IF(AND(Table1[[#This Row],[Spec Type2]]="N/A",Table1[[#This Row],[DUT Adj Read]]="N/A",Table1[[#This Row],[Std Adj Read]]="N/A"),"N/A",IF(Table1[[#This Row],[DUT Adj Read]]="N/A",IF(Table1[[#This Row],[Std Adj Read]]&gt;=Table1[[#This Row],[Low Tol]],"Pass","Fail"),IF(Table1[[#This Row],[DUT Adj Read]]&gt;=Table1[[#This Row],[Low Tol]],"Pass","Fail")))</f>
        <v>Pass</v>
      </c>
      <c r="AG2618" s="1" t="str">
        <f>IF(AND(Table1[[#This Row],[Spec Type2]]="N/A",Table1[[#This Row],[DUT Adj Read]]="N/A",Table1[[#This Row],[Std Adj Read]]="N/A"),"N/A",IF(Table1[[#This Row],[DUT Adj Read]]="N/A",IF(Table1[[#This Row],[Std Adj Read]]&lt;=Table1[[#This Row],[High Tol]],"Pass","Fail"),IF(Table1[[#This Row],[DUT Adj Read]]&lt;=Table1[[#This Row],[High Tol]],"Pass","Fail")))</f>
        <v>Fail</v>
      </c>
      <c r="AH26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8" s="1" t="b">
        <v>0</v>
      </c>
      <c r="AN2618" s="1" t="b">
        <v>0</v>
      </c>
      <c r="AO2618" s="1" t="b">
        <v>0</v>
      </c>
    </row>
    <row r="2619" spans="1:41" x14ac:dyDescent="0.25">
      <c r="A2619" s="10"/>
      <c r="B2619" s="10"/>
      <c r="C2619" s="10"/>
      <c r="D2619" s="10"/>
      <c r="E2619" s="10"/>
      <c r="F2619" s="10"/>
      <c r="G2619" s="10"/>
      <c r="H2619" s="10"/>
      <c r="I2619" s="1" t="str">
        <f t="shared" si="120"/>
        <v/>
      </c>
      <c r="J2619" s="1" t="s">
        <v>35</v>
      </c>
      <c r="K2619" s="1" t="str">
        <f t="shared" si="121"/>
        <v/>
      </c>
      <c r="L2619" s="1" t="str">
        <f t="shared" si="122"/>
        <v/>
      </c>
      <c r="M2619" s="1">
        <f>IF(OR(Table1[[#This Row],[Std Nom]]="",Table1[[#This Row],[Std Read]]=""),0,Table1[[#This Row],[Std Nom]]-Table1[[#This Row],[Std Read]])</f>
        <v>0</v>
      </c>
      <c r="N2619" s="1">
        <f>IF(Calculations!$F$5="ACCREDITED 17025 WITH UNCERTAINTIES",$N$10,0)</f>
        <v>0</v>
      </c>
      <c r="Q2619" s="1">
        <f>Table1[[#This Row],[High Tol]]-Table1[[#This Row],[Low Tol]]</f>
        <v>0</v>
      </c>
      <c r="R2619" s="1">
        <f>2*Table1[[#This Row],[Std Error]]</f>
        <v>0</v>
      </c>
      <c r="S2619" s="1" t="str">
        <f>IF(Table1[[#This Row],[High Tol]]="","N/A",IFERROR(ABS(Table1[[#This Row],[Tol Span]]/Table1[[#This Row],[Error Span]]),"N/A"))</f>
        <v>N/A</v>
      </c>
      <c r="T2619" s="1" t="str">
        <f>IF(OR(Table1[[#This Row],[Low Tol]]="",Table1[[#This Row],[High Tol]]=""),"Needs Analysis",IF(Table1[[#This Row],[Ratio]]&gt;=4,"Not Significant",IF(Table1[[#This Row],[Ratio]]&gt;=2,"Semi-Significant","Significant")))</f>
        <v>Needs Analysis</v>
      </c>
      <c r="W2619" s="1">
        <f>IF(Table1[[#This Row],[Cal Type]]&lt;&gt;"ACCREDITED 17025 WITH UNCERTAINTIES",0,"")</f>
        <v>0</v>
      </c>
      <c r="X2619" s="1" t="str">
        <f>IF(Table1[[#This Row],[DUT Read]]="","N/A",Table1[[#This Row],[Std Error]]+Table1[[#This Row],[DUT Read]]+Table1[[#This Row],[DUT Ucty]])</f>
        <v>N/A</v>
      </c>
      <c r="Y2619" s="1" t="str">
        <f>IF(Table1[[#This Row],[Std Read]]="","N/A",Table1[[#This Row],[Std Read]]+Table1[[#This Row],[Std Ucty]])</f>
        <v>N/A</v>
      </c>
      <c r="Z26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19" s="1" t="str">
        <f>IF(Table1[[#This Row],[Spec Type]]="","N/A",Table1[[#This Row],[Spec Type]])</f>
        <v>±</v>
      </c>
      <c r="AC2619" s="1" t="str">
        <f>IF(Table1[[#This Row],[Spec Type2]]="N/A","N/A",IF(AND(Table1[[#This Row],[DUT Adj Read]]&gt;=Table1[[#This Row],[Low Tol]],Table1[[#This Row],[DUT Adj Read]]&lt;=Table1[[#This Row],[High Tol]]),"Pass","Fail"))</f>
        <v>Fail</v>
      </c>
      <c r="AD2619" s="1" t="str">
        <f>IF(AND(Table1[[#This Row],[Spec Type2]]="N/A",Table1[[#This Row],[DUT Adj Read]]="N/A",Table1[[#This Row],[Std Adj Read]]="N/A"),"N/A",IF(Table1[[#This Row],[DUT Adj Read]]="N/A",IF(Table1[[#This Row],[Std Adj Read]]&gt;Table1[[#This Row],[Low Tol]],"Pass","Fail"),IF(Table1[[#This Row],[DUT Adj Read]]&gt;Table1[[#This Row],[Low Tol]],"Pass","Fail")))</f>
        <v>Pass</v>
      </c>
      <c r="AE2619" s="1" t="str">
        <f>IF(AND(Table1[[#This Row],[Spec Type2]]="N/A",Table1[[#This Row],[DUT Adj Read]]="N/A",Table1[[#This Row],[Std Adj Read]]="N/A"),"N/A",IF(Table1[[#This Row],[DUT Adj Read]]="N/A",IF(Table1[[#This Row],[Std Adj Read]]&lt;Table1[[#This Row],[High Tol]],"Pass","Fail"),IF(Table1[[#This Row],[DUT Adj Read]]&lt;Table1[[#This Row],[High Tol]],"Pass","Fail")))</f>
        <v>Fail</v>
      </c>
      <c r="AF2619" s="1" t="str">
        <f>IF(AND(Table1[[#This Row],[Spec Type2]]="N/A",Table1[[#This Row],[DUT Adj Read]]="N/A",Table1[[#This Row],[Std Adj Read]]="N/A"),"N/A",IF(Table1[[#This Row],[DUT Adj Read]]="N/A",IF(Table1[[#This Row],[Std Adj Read]]&gt;=Table1[[#This Row],[Low Tol]],"Pass","Fail"),IF(Table1[[#This Row],[DUT Adj Read]]&gt;=Table1[[#This Row],[Low Tol]],"Pass","Fail")))</f>
        <v>Pass</v>
      </c>
      <c r="AG2619" s="1" t="str">
        <f>IF(AND(Table1[[#This Row],[Spec Type2]]="N/A",Table1[[#This Row],[DUT Adj Read]]="N/A",Table1[[#This Row],[Std Adj Read]]="N/A"),"N/A",IF(Table1[[#This Row],[DUT Adj Read]]="N/A",IF(Table1[[#This Row],[Std Adj Read]]&lt;=Table1[[#This Row],[High Tol]],"Pass","Fail"),IF(Table1[[#This Row],[DUT Adj Read]]&lt;=Table1[[#This Row],[High Tol]],"Pass","Fail")))</f>
        <v>Fail</v>
      </c>
      <c r="AH26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19" s="1" t="b">
        <v>0</v>
      </c>
      <c r="AN2619" s="1" t="b">
        <v>0</v>
      </c>
      <c r="AO2619" s="1" t="b">
        <v>0</v>
      </c>
    </row>
    <row r="2620" spans="1:41" x14ac:dyDescent="0.25">
      <c r="A2620" s="10"/>
      <c r="B2620" s="10"/>
      <c r="C2620" s="10"/>
      <c r="D2620" s="10"/>
      <c r="E2620" s="10"/>
      <c r="F2620" s="10"/>
      <c r="G2620" s="10"/>
      <c r="H2620" s="10"/>
      <c r="I2620" s="1" t="str">
        <f t="shared" si="120"/>
        <v/>
      </c>
      <c r="J2620" s="1" t="s">
        <v>35</v>
      </c>
      <c r="K2620" s="1" t="str">
        <f t="shared" si="121"/>
        <v/>
      </c>
      <c r="L2620" s="1" t="str">
        <f t="shared" si="122"/>
        <v/>
      </c>
      <c r="M2620" s="1">
        <f>IF(OR(Table1[[#This Row],[Std Nom]]="",Table1[[#This Row],[Std Read]]=""),0,Table1[[#This Row],[Std Nom]]-Table1[[#This Row],[Std Read]])</f>
        <v>0</v>
      </c>
      <c r="N2620" s="1">
        <f>IF(Calculations!$F$5="ACCREDITED 17025 WITH UNCERTAINTIES",$N$10,0)</f>
        <v>0</v>
      </c>
      <c r="Q2620" s="1">
        <f>Table1[[#This Row],[High Tol]]-Table1[[#This Row],[Low Tol]]</f>
        <v>0</v>
      </c>
      <c r="R2620" s="1">
        <f>2*Table1[[#This Row],[Std Error]]</f>
        <v>0</v>
      </c>
      <c r="S2620" s="1" t="str">
        <f>IF(Table1[[#This Row],[High Tol]]="","N/A",IFERROR(ABS(Table1[[#This Row],[Tol Span]]/Table1[[#This Row],[Error Span]]),"N/A"))</f>
        <v>N/A</v>
      </c>
      <c r="T2620" s="1" t="str">
        <f>IF(OR(Table1[[#This Row],[Low Tol]]="",Table1[[#This Row],[High Tol]]=""),"Needs Analysis",IF(Table1[[#This Row],[Ratio]]&gt;=4,"Not Significant",IF(Table1[[#This Row],[Ratio]]&gt;=2,"Semi-Significant","Significant")))</f>
        <v>Needs Analysis</v>
      </c>
      <c r="W2620" s="1">
        <f>IF(Table1[[#This Row],[Cal Type]]&lt;&gt;"ACCREDITED 17025 WITH UNCERTAINTIES",0,"")</f>
        <v>0</v>
      </c>
      <c r="X2620" s="1" t="str">
        <f>IF(Table1[[#This Row],[DUT Read]]="","N/A",Table1[[#This Row],[Std Error]]+Table1[[#This Row],[DUT Read]]+Table1[[#This Row],[DUT Ucty]])</f>
        <v>N/A</v>
      </c>
      <c r="Y2620" s="1" t="str">
        <f>IF(Table1[[#This Row],[Std Read]]="","N/A",Table1[[#This Row],[Std Read]]+Table1[[#This Row],[Std Ucty]])</f>
        <v>N/A</v>
      </c>
      <c r="Z26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0" s="1" t="str">
        <f>IF(Table1[[#This Row],[Spec Type]]="","N/A",Table1[[#This Row],[Spec Type]])</f>
        <v>±</v>
      </c>
      <c r="AC2620" s="1" t="str">
        <f>IF(Table1[[#This Row],[Spec Type2]]="N/A","N/A",IF(AND(Table1[[#This Row],[DUT Adj Read]]&gt;=Table1[[#This Row],[Low Tol]],Table1[[#This Row],[DUT Adj Read]]&lt;=Table1[[#This Row],[High Tol]]),"Pass","Fail"))</f>
        <v>Fail</v>
      </c>
      <c r="AD2620" s="1" t="str">
        <f>IF(AND(Table1[[#This Row],[Spec Type2]]="N/A",Table1[[#This Row],[DUT Adj Read]]="N/A",Table1[[#This Row],[Std Adj Read]]="N/A"),"N/A",IF(Table1[[#This Row],[DUT Adj Read]]="N/A",IF(Table1[[#This Row],[Std Adj Read]]&gt;Table1[[#This Row],[Low Tol]],"Pass","Fail"),IF(Table1[[#This Row],[DUT Adj Read]]&gt;Table1[[#This Row],[Low Tol]],"Pass","Fail")))</f>
        <v>Pass</v>
      </c>
      <c r="AE2620" s="1" t="str">
        <f>IF(AND(Table1[[#This Row],[Spec Type2]]="N/A",Table1[[#This Row],[DUT Adj Read]]="N/A",Table1[[#This Row],[Std Adj Read]]="N/A"),"N/A",IF(Table1[[#This Row],[DUT Adj Read]]="N/A",IF(Table1[[#This Row],[Std Adj Read]]&lt;Table1[[#This Row],[High Tol]],"Pass","Fail"),IF(Table1[[#This Row],[DUT Adj Read]]&lt;Table1[[#This Row],[High Tol]],"Pass","Fail")))</f>
        <v>Fail</v>
      </c>
      <c r="AF2620" s="1" t="str">
        <f>IF(AND(Table1[[#This Row],[Spec Type2]]="N/A",Table1[[#This Row],[DUT Adj Read]]="N/A",Table1[[#This Row],[Std Adj Read]]="N/A"),"N/A",IF(Table1[[#This Row],[DUT Adj Read]]="N/A",IF(Table1[[#This Row],[Std Adj Read]]&gt;=Table1[[#This Row],[Low Tol]],"Pass","Fail"),IF(Table1[[#This Row],[DUT Adj Read]]&gt;=Table1[[#This Row],[Low Tol]],"Pass","Fail")))</f>
        <v>Pass</v>
      </c>
      <c r="AG2620" s="1" t="str">
        <f>IF(AND(Table1[[#This Row],[Spec Type2]]="N/A",Table1[[#This Row],[DUT Adj Read]]="N/A",Table1[[#This Row],[Std Adj Read]]="N/A"),"N/A",IF(Table1[[#This Row],[DUT Adj Read]]="N/A",IF(Table1[[#This Row],[Std Adj Read]]&lt;=Table1[[#This Row],[High Tol]],"Pass","Fail"),IF(Table1[[#This Row],[DUT Adj Read]]&lt;=Table1[[#This Row],[High Tol]],"Pass","Fail")))</f>
        <v>Fail</v>
      </c>
      <c r="AH26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0" s="1" t="b">
        <v>0</v>
      </c>
      <c r="AN2620" s="1" t="b">
        <v>0</v>
      </c>
      <c r="AO2620" s="1" t="b">
        <v>0</v>
      </c>
    </row>
    <row r="2621" spans="1:41" x14ac:dyDescent="0.25">
      <c r="A2621" s="10"/>
      <c r="B2621" s="10"/>
      <c r="C2621" s="10"/>
      <c r="D2621" s="10"/>
      <c r="E2621" s="10"/>
      <c r="F2621" s="10"/>
      <c r="G2621" s="10"/>
      <c r="H2621" s="10"/>
      <c r="I2621" s="1" t="str">
        <f t="shared" si="120"/>
        <v/>
      </c>
      <c r="J2621" s="1" t="s">
        <v>35</v>
      </c>
      <c r="K2621" s="1" t="str">
        <f t="shared" si="121"/>
        <v/>
      </c>
      <c r="L2621" s="1" t="str">
        <f t="shared" si="122"/>
        <v/>
      </c>
      <c r="M2621" s="1">
        <f>IF(OR(Table1[[#This Row],[Std Nom]]="",Table1[[#This Row],[Std Read]]=""),0,Table1[[#This Row],[Std Nom]]-Table1[[#This Row],[Std Read]])</f>
        <v>0</v>
      </c>
      <c r="N2621" s="1">
        <f>IF(Calculations!$F$5="ACCREDITED 17025 WITH UNCERTAINTIES",$N$10,0)</f>
        <v>0</v>
      </c>
      <c r="Q2621" s="1">
        <f>Table1[[#This Row],[High Tol]]-Table1[[#This Row],[Low Tol]]</f>
        <v>0</v>
      </c>
      <c r="R2621" s="1">
        <f>2*Table1[[#This Row],[Std Error]]</f>
        <v>0</v>
      </c>
      <c r="S2621" s="1" t="str">
        <f>IF(Table1[[#This Row],[High Tol]]="","N/A",IFERROR(ABS(Table1[[#This Row],[Tol Span]]/Table1[[#This Row],[Error Span]]),"N/A"))</f>
        <v>N/A</v>
      </c>
      <c r="T2621" s="1" t="str">
        <f>IF(OR(Table1[[#This Row],[Low Tol]]="",Table1[[#This Row],[High Tol]]=""),"Needs Analysis",IF(Table1[[#This Row],[Ratio]]&gt;=4,"Not Significant",IF(Table1[[#This Row],[Ratio]]&gt;=2,"Semi-Significant","Significant")))</f>
        <v>Needs Analysis</v>
      </c>
      <c r="W2621" s="1">
        <f>IF(Table1[[#This Row],[Cal Type]]&lt;&gt;"ACCREDITED 17025 WITH UNCERTAINTIES",0,"")</f>
        <v>0</v>
      </c>
      <c r="X2621" s="1" t="str">
        <f>IF(Table1[[#This Row],[DUT Read]]="","N/A",Table1[[#This Row],[Std Error]]+Table1[[#This Row],[DUT Read]]+Table1[[#This Row],[DUT Ucty]])</f>
        <v>N/A</v>
      </c>
      <c r="Y2621" s="1" t="str">
        <f>IF(Table1[[#This Row],[Std Read]]="","N/A",Table1[[#This Row],[Std Read]]+Table1[[#This Row],[Std Ucty]])</f>
        <v>N/A</v>
      </c>
      <c r="Z26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1" s="1" t="str">
        <f>IF(Table1[[#This Row],[Spec Type]]="","N/A",Table1[[#This Row],[Spec Type]])</f>
        <v>±</v>
      </c>
      <c r="AC2621" s="1" t="str">
        <f>IF(Table1[[#This Row],[Spec Type2]]="N/A","N/A",IF(AND(Table1[[#This Row],[DUT Adj Read]]&gt;=Table1[[#This Row],[Low Tol]],Table1[[#This Row],[DUT Adj Read]]&lt;=Table1[[#This Row],[High Tol]]),"Pass","Fail"))</f>
        <v>Fail</v>
      </c>
      <c r="AD2621" s="1" t="str">
        <f>IF(AND(Table1[[#This Row],[Spec Type2]]="N/A",Table1[[#This Row],[DUT Adj Read]]="N/A",Table1[[#This Row],[Std Adj Read]]="N/A"),"N/A",IF(Table1[[#This Row],[DUT Adj Read]]="N/A",IF(Table1[[#This Row],[Std Adj Read]]&gt;Table1[[#This Row],[Low Tol]],"Pass","Fail"),IF(Table1[[#This Row],[DUT Adj Read]]&gt;Table1[[#This Row],[Low Tol]],"Pass","Fail")))</f>
        <v>Pass</v>
      </c>
      <c r="AE2621" s="1" t="str">
        <f>IF(AND(Table1[[#This Row],[Spec Type2]]="N/A",Table1[[#This Row],[DUT Adj Read]]="N/A",Table1[[#This Row],[Std Adj Read]]="N/A"),"N/A",IF(Table1[[#This Row],[DUT Adj Read]]="N/A",IF(Table1[[#This Row],[Std Adj Read]]&lt;Table1[[#This Row],[High Tol]],"Pass","Fail"),IF(Table1[[#This Row],[DUT Adj Read]]&lt;Table1[[#This Row],[High Tol]],"Pass","Fail")))</f>
        <v>Fail</v>
      </c>
      <c r="AF2621" s="1" t="str">
        <f>IF(AND(Table1[[#This Row],[Spec Type2]]="N/A",Table1[[#This Row],[DUT Adj Read]]="N/A",Table1[[#This Row],[Std Adj Read]]="N/A"),"N/A",IF(Table1[[#This Row],[DUT Adj Read]]="N/A",IF(Table1[[#This Row],[Std Adj Read]]&gt;=Table1[[#This Row],[Low Tol]],"Pass","Fail"),IF(Table1[[#This Row],[DUT Adj Read]]&gt;=Table1[[#This Row],[Low Tol]],"Pass","Fail")))</f>
        <v>Pass</v>
      </c>
      <c r="AG2621" s="1" t="str">
        <f>IF(AND(Table1[[#This Row],[Spec Type2]]="N/A",Table1[[#This Row],[DUT Adj Read]]="N/A",Table1[[#This Row],[Std Adj Read]]="N/A"),"N/A",IF(Table1[[#This Row],[DUT Adj Read]]="N/A",IF(Table1[[#This Row],[Std Adj Read]]&lt;=Table1[[#This Row],[High Tol]],"Pass","Fail"),IF(Table1[[#This Row],[DUT Adj Read]]&lt;=Table1[[#This Row],[High Tol]],"Pass","Fail")))</f>
        <v>Fail</v>
      </c>
      <c r="AH26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1" s="1" t="b">
        <v>0</v>
      </c>
      <c r="AN2621" s="1" t="b">
        <v>0</v>
      </c>
      <c r="AO2621" s="1" t="b">
        <v>0</v>
      </c>
    </row>
    <row r="2622" spans="1:41" x14ac:dyDescent="0.25">
      <c r="A2622" s="10"/>
      <c r="B2622" s="10"/>
      <c r="C2622" s="10"/>
      <c r="D2622" s="10"/>
      <c r="E2622" s="10"/>
      <c r="F2622" s="10"/>
      <c r="G2622" s="10"/>
      <c r="H2622" s="10"/>
      <c r="I2622" s="1" t="str">
        <f t="shared" si="120"/>
        <v/>
      </c>
      <c r="J2622" s="1" t="s">
        <v>35</v>
      </c>
      <c r="K2622" s="1" t="str">
        <f t="shared" si="121"/>
        <v/>
      </c>
      <c r="L2622" s="1" t="str">
        <f t="shared" si="122"/>
        <v/>
      </c>
      <c r="M2622" s="1">
        <f>IF(OR(Table1[[#This Row],[Std Nom]]="",Table1[[#This Row],[Std Read]]=""),0,Table1[[#This Row],[Std Nom]]-Table1[[#This Row],[Std Read]])</f>
        <v>0</v>
      </c>
      <c r="N2622" s="1">
        <f>IF(Calculations!$F$5="ACCREDITED 17025 WITH UNCERTAINTIES",$N$10,0)</f>
        <v>0</v>
      </c>
      <c r="Q2622" s="1">
        <f>Table1[[#This Row],[High Tol]]-Table1[[#This Row],[Low Tol]]</f>
        <v>0</v>
      </c>
      <c r="R2622" s="1">
        <f>2*Table1[[#This Row],[Std Error]]</f>
        <v>0</v>
      </c>
      <c r="S2622" s="1" t="str">
        <f>IF(Table1[[#This Row],[High Tol]]="","N/A",IFERROR(ABS(Table1[[#This Row],[Tol Span]]/Table1[[#This Row],[Error Span]]),"N/A"))</f>
        <v>N/A</v>
      </c>
      <c r="T2622" s="1" t="str">
        <f>IF(OR(Table1[[#This Row],[Low Tol]]="",Table1[[#This Row],[High Tol]]=""),"Needs Analysis",IF(Table1[[#This Row],[Ratio]]&gt;=4,"Not Significant",IF(Table1[[#This Row],[Ratio]]&gt;=2,"Semi-Significant","Significant")))</f>
        <v>Needs Analysis</v>
      </c>
      <c r="W2622" s="1">
        <f>IF(Table1[[#This Row],[Cal Type]]&lt;&gt;"ACCREDITED 17025 WITH UNCERTAINTIES",0,"")</f>
        <v>0</v>
      </c>
      <c r="X2622" s="1" t="str">
        <f>IF(Table1[[#This Row],[DUT Read]]="","N/A",Table1[[#This Row],[Std Error]]+Table1[[#This Row],[DUT Read]]+Table1[[#This Row],[DUT Ucty]])</f>
        <v>N/A</v>
      </c>
      <c r="Y2622" s="1" t="str">
        <f>IF(Table1[[#This Row],[Std Read]]="","N/A",Table1[[#This Row],[Std Read]]+Table1[[#This Row],[Std Ucty]])</f>
        <v>N/A</v>
      </c>
      <c r="Z26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2" s="1" t="str">
        <f>IF(Table1[[#This Row],[Spec Type]]="","N/A",Table1[[#This Row],[Spec Type]])</f>
        <v>±</v>
      </c>
      <c r="AC2622" s="1" t="str">
        <f>IF(Table1[[#This Row],[Spec Type2]]="N/A","N/A",IF(AND(Table1[[#This Row],[DUT Adj Read]]&gt;=Table1[[#This Row],[Low Tol]],Table1[[#This Row],[DUT Adj Read]]&lt;=Table1[[#This Row],[High Tol]]),"Pass","Fail"))</f>
        <v>Fail</v>
      </c>
      <c r="AD2622" s="1" t="str">
        <f>IF(AND(Table1[[#This Row],[Spec Type2]]="N/A",Table1[[#This Row],[DUT Adj Read]]="N/A",Table1[[#This Row],[Std Adj Read]]="N/A"),"N/A",IF(Table1[[#This Row],[DUT Adj Read]]="N/A",IF(Table1[[#This Row],[Std Adj Read]]&gt;Table1[[#This Row],[Low Tol]],"Pass","Fail"),IF(Table1[[#This Row],[DUT Adj Read]]&gt;Table1[[#This Row],[Low Tol]],"Pass","Fail")))</f>
        <v>Pass</v>
      </c>
      <c r="AE2622" s="1" t="str">
        <f>IF(AND(Table1[[#This Row],[Spec Type2]]="N/A",Table1[[#This Row],[DUT Adj Read]]="N/A",Table1[[#This Row],[Std Adj Read]]="N/A"),"N/A",IF(Table1[[#This Row],[DUT Adj Read]]="N/A",IF(Table1[[#This Row],[Std Adj Read]]&lt;Table1[[#This Row],[High Tol]],"Pass","Fail"),IF(Table1[[#This Row],[DUT Adj Read]]&lt;Table1[[#This Row],[High Tol]],"Pass","Fail")))</f>
        <v>Fail</v>
      </c>
      <c r="AF2622" s="1" t="str">
        <f>IF(AND(Table1[[#This Row],[Spec Type2]]="N/A",Table1[[#This Row],[DUT Adj Read]]="N/A",Table1[[#This Row],[Std Adj Read]]="N/A"),"N/A",IF(Table1[[#This Row],[DUT Adj Read]]="N/A",IF(Table1[[#This Row],[Std Adj Read]]&gt;=Table1[[#This Row],[Low Tol]],"Pass","Fail"),IF(Table1[[#This Row],[DUT Adj Read]]&gt;=Table1[[#This Row],[Low Tol]],"Pass","Fail")))</f>
        <v>Pass</v>
      </c>
      <c r="AG2622" s="1" t="str">
        <f>IF(AND(Table1[[#This Row],[Spec Type2]]="N/A",Table1[[#This Row],[DUT Adj Read]]="N/A",Table1[[#This Row],[Std Adj Read]]="N/A"),"N/A",IF(Table1[[#This Row],[DUT Adj Read]]="N/A",IF(Table1[[#This Row],[Std Adj Read]]&lt;=Table1[[#This Row],[High Tol]],"Pass","Fail"),IF(Table1[[#This Row],[DUT Adj Read]]&lt;=Table1[[#This Row],[High Tol]],"Pass","Fail")))</f>
        <v>Fail</v>
      </c>
      <c r="AH26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2" s="1" t="b">
        <v>0</v>
      </c>
      <c r="AN2622" s="1" t="b">
        <v>0</v>
      </c>
      <c r="AO2622" s="1" t="b">
        <v>0</v>
      </c>
    </row>
    <row r="2623" spans="1:41" x14ac:dyDescent="0.25">
      <c r="A2623" s="10"/>
      <c r="B2623" s="10"/>
      <c r="C2623" s="10"/>
      <c r="D2623" s="10"/>
      <c r="E2623" s="10"/>
      <c r="F2623" s="10"/>
      <c r="G2623" s="10"/>
      <c r="H2623" s="10"/>
      <c r="I2623" s="1" t="str">
        <f t="shared" si="120"/>
        <v/>
      </c>
      <c r="J2623" s="1" t="s">
        <v>35</v>
      </c>
      <c r="K2623" s="1" t="str">
        <f t="shared" si="121"/>
        <v/>
      </c>
      <c r="L2623" s="1" t="str">
        <f t="shared" si="122"/>
        <v/>
      </c>
      <c r="M2623" s="1">
        <f>IF(OR(Table1[[#This Row],[Std Nom]]="",Table1[[#This Row],[Std Read]]=""),0,Table1[[#This Row],[Std Nom]]-Table1[[#This Row],[Std Read]])</f>
        <v>0</v>
      </c>
      <c r="N2623" s="1">
        <f>IF(Calculations!$F$5="ACCREDITED 17025 WITH UNCERTAINTIES",$N$10,0)</f>
        <v>0</v>
      </c>
      <c r="Q2623" s="1">
        <f>Table1[[#This Row],[High Tol]]-Table1[[#This Row],[Low Tol]]</f>
        <v>0</v>
      </c>
      <c r="R2623" s="1">
        <f>2*Table1[[#This Row],[Std Error]]</f>
        <v>0</v>
      </c>
      <c r="S2623" s="1" t="str">
        <f>IF(Table1[[#This Row],[High Tol]]="","N/A",IFERROR(ABS(Table1[[#This Row],[Tol Span]]/Table1[[#This Row],[Error Span]]),"N/A"))</f>
        <v>N/A</v>
      </c>
      <c r="T2623" s="1" t="str">
        <f>IF(OR(Table1[[#This Row],[Low Tol]]="",Table1[[#This Row],[High Tol]]=""),"Needs Analysis",IF(Table1[[#This Row],[Ratio]]&gt;=4,"Not Significant",IF(Table1[[#This Row],[Ratio]]&gt;=2,"Semi-Significant","Significant")))</f>
        <v>Needs Analysis</v>
      </c>
      <c r="W2623" s="1">
        <f>IF(Table1[[#This Row],[Cal Type]]&lt;&gt;"ACCREDITED 17025 WITH UNCERTAINTIES",0,"")</f>
        <v>0</v>
      </c>
      <c r="X2623" s="1" t="str">
        <f>IF(Table1[[#This Row],[DUT Read]]="","N/A",Table1[[#This Row],[Std Error]]+Table1[[#This Row],[DUT Read]]+Table1[[#This Row],[DUT Ucty]])</f>
        <v>N/A</v>
      </c>
      <c r="Y2623" s="1" t="str">
        <f>IF(Table1[[#This Row],[Std Read]]="","N/A",Table1[[#This Row],[Std Read]]+Table1[[#This Row],[Std Ucty]])</f>
        <v>N/A</v>
      </c>
      <c r="Z26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3" s="1" t="str">
        <f>IF(Table1[[#This Row],[Spec Type]]="","N/A",Table1[[#This Row],[Spec Type]])</f>
        <v>±</v>
      </c>
      <c r="AC2623" s="1" t="str">
        <f>IF(Table1[[#This Row],[Spec Type2]]="N/A","N/A",IF(AND(Table1[[#This Row],[DUT Adj Read]]&gt;=Table1[[#This Row],[Low Tol]],Table1[[#This Row],[DUT Adj Read]]&lt;=Table1[[#This Row],[High Tol]]),"Pass","Fail"))</f>
        <v>Fail</v>
      </c>
      <c r="AD2623" s="1" t="str">
        <f>IF(AND(Table1[[#This Row],[Spec Type2]]="N/A",Table1[[#This Row],[DUT Adj Read]]="N/A",Table1[[#This Row],[Std Adj Read]]="N/A"),"N/A",IF(Table1[[#This Row],[DUT Adj Read]]="N/A",IF(Table1[[#This Row],[Std Adj Read]]&gt;Table1[[#This Row],[Low Tol]],"Pass","Fail"),IF(Table1[[#This Row],[DUT Adj Read]]&gt;Table1[[#This Row],[Low Tol]],"Pass","Fail")))</f>
        <v>Pass</v>
      </c>
      <c r="AE2623" s="1" t="str">
        <f>IF(AND(Table1[[#This Row],[Spec Type2]]="N/A",Table1[[#This Row],[DUT Adj Read]]="N/A",Table1[[#This Row],[Std Adj Read]]="N/A"),"N/A",IF(Table1[[#This Row],[DUT Adj Read]]="N/A",IF(Table1[[#This Row],[Std Adj Read]]&lt;Table1[[#This Row],[High Tol]],"Pass","Fail"),IF(Table1[[#This Row],[DUT Adj Read]]&lt;Table1[[#This Row],[High Tol]],"Pass","Fail")))</f>
        <v>Fail</v>
      </c>
      <c r="AF2623" s="1" t="str">
        <f>IF(AND(Table1[[#This Row],[Spec Type2]]="N/A",Table1[[#This Row],[DUT Adj Read]]="N/A",Table1[[#This Row],[Std Adj Read]]="N/A"),"N/A",IF(Table1[[#This Row],[DUT Adj Read]]="N/A",IF(Table1[[#This Row],[Std Adj Read]]&gt;=Table1[[#This Row],[Low Tol]],"Pass","Fail"),IF(Table1[[#This Row],[DUT Adj Read]]&gt;=Table1[[#This Row],[Low Tol]],"Pass","Fail")))</f>
        <v>Pass</v>
      </c>
      <c r="AG2623" s="1" t="str">
        <f>IF(AND(Table1[[#This Row],[Spec Type2]]="N/A",Table1[[#This Row],[DUT Adj Read]]="N/A",Table1[[#This Row],[Std Adj Read]]="N/A"),"N/A",IF(Table1[[#This Row],[DUT Adj Read]]="N/A",IF(Table1[[#This Row],[Std Adj Read]]&lt;=Table1[[#This Row],[High Tol]],"Pass","Fail"),IF(Table1[[#This Row],[DUT Adj Read]]&lt;=Table1[[#This Row],[High Tol]],"Pass","Fail")))</f>
        <v>Fail</v>
      </c>
      <c r="AH26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3" s="1" t="b">
        <v>0</v>
      </c>
      <c r="AN2623" s="1" t="b">
        <v>0</v>
      </c>
      <c r="AO2623" s="1" t="b">
        <v>0</v>
      </c>
    </row>
    <row r="2624" spans="1:41" x14ac:dyDescent="0.25">
      <c r="A2624" s="10"/>
      <c r="B2624" s="10"/>
      <c r="C2624" s="10"/>
      <c r="D2624" s="10"/>
      <c r="E2624" s="10"/>
      <c r="F2624" s="10"/>
      <c r="G2624" s="10"/>
      <c r="H2624" s="10"/>
      <c r="I2624" s="1" t="str">
        <f t="shared" si="120"/>
        <v/>
      </c>
      <c r="J2624" s="1" t="s">
        <v>35</v>
      </c>
      <c r="K2624" s="1" t="str">
        <f t="shared" si="121"/>
        <v/>
      </c>
      <c r="L2624" s="1" t="str">
        <f t="shared" si="122"/>
        <v/>
      </c>
      <c r="M2624" s="1">
        <f>IF(OR(Table1[[#This Row],[Std Nom]]="",Table1[[#This Row],[Std Read]]=""),0,Table1[[#This Row],[Std Nom]]-Table1[[#This Row],[Std Read]])</f>
        <v>0</v>
      </c>
      <c r="N2624" s="1">
        <f>IF(Calculations!$F$5="ACCREDITED 17025 WITH UNCERTAINTIES",$N$10,0)</f>
        <v>0</v>
      </c>
      <c r="Q2624" s="1">
        <f>Table1[[#This Row],[High Tol]]-Table1[[#This Row],[Low Tol]]</f>
        <v>0</v>
      </c>
      <c r="R2624" s="1">
        <f>2*Table1[[#This Row],[Std Error]]</f>
        <v>0</v>
      </c>
      <c r="S2624" s="1" t="str">
        <f>IF(Table1[[#This Row],[High Tol]]="","N/A",IFERROR(ABS(Table1[[#This Row],[Tol Span]]/Table1[[#This Row],[Error Span]]),"N/A"))</f>
        <v>N/A</v>
      </c>
      <c r="T2624" s="1" t="str">
        <f>IF(OR(Table1[[#This Row],[Low Tol]]="",Table1[[#This Row],[High Tol]]=""),"Needs Analysis",IF(Table1[[#This Row],[Ratio]]&gt;=4,"Not Significant",IF(Table1[[#This Row],[Ratio]]&gt;=2,"Semi-Significant","Significant")))</f>
        <v>Needs Analysis</v>
      </c>
      <c r="W2624" s="1">
        <f>IF(Table1[[#This Row],[Cal Type]]&lt;&gt;"ACCREDITED 17025 WITH UNCERTAINTIES",0,"")</f>
        <v>0</v>
      </c>
      <c r="X2624" s="1" t="str">
        <f>IF(Table1[[#This Row],[DUT Read]]="","N/A",Table1[[#This Row],[Std Error]]+Table1[[#This Row],[DUT Read]]+Table1[[#This Row],[DUT Ucty]])</f>
        <v>N/A</v>
      </c>
      <c r="Y2624" s="1" t="str">
        <f>IF(Table1[[#This Row],[Std Read]]="","N/A",Table1[[#This Row],[Std Read]]+Table1[[#This Row],[Std Ucty]])</f>
        <v>N/A</v>
      </c>
      <c r="Z26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4" s="1" t="str">
        <f>IF(Table1[[#This Row],[Spec Type]]="","N/A",Table1[[#This Row],[Spec Type]])</f>
        <v>±</v>
      </c>
      <c r="AC2624" s="1" t="str">
        <f>IF(Table1[[#This Row],[Spec Type2]]="N/A","N/A",IF(AND(Table1[[#This Row],[DUT Adj Read]]&gt;=Table1[[#This Row],[Low Tol]],Table1[[#This Row],[DUT Adj Read]]&lt;=Table1[[#This Row],[High Tol]]),"Pass","Fail"))</f>
        <v>Fail</v>
      </c>
      <c r="AD2624" s="1" t="str">
        <f>IF(AND(Table1[[#This Row],[Spec Type2]]="N/A",Table1[[#This Row],[DUT Adj Read]]="N/A",Table1[[#This Row],[Std Adj Read]]="N/A"),"N/A",IF(Table1[[#This Row],[DUT Adj Read]]="N/A",IF(Table1[[#This Row],[Std Adj Read]]&gt;Table1[[#This Row],[Low Tol]],"Pass","Fail"),IF(Table1[[#This Row],[DUT Adj Read]]&gt;Table1[[#This Row],[Low Tol]],"Pass","Fail")))</f>
        <v>Pass</v>
      </c>
      <c r="AE2624" s="1" t="str">
        <f>IF(AND(Table1[[#This Row],[Spec Type2]]="N/A",Table1[[#This Row],[DUT Adj Read]]="N/A",Table1[[#This Row],[Std Adj Read]]="N/A"),"N/A",IF(Table1[[#This Row],[DUT Adj Read]]="N/A",IF(Table1[[#This Row],[Std Adj Read]]&lt;Table1[[#This Row],[High Tol]],"Pass","Fail"),IF(Table1[[#This Row],[DUT Adj Read]]&lt;Table1[[#This Row],[High Tol]],"Pass","Fail")))</f>
        <v>Fail</v>
      </c>
      <c r="AF2624" s="1" t="str">
        <f>IF(AND(Table1[[#This Row],[Spec Type2]]="N/A",Table1[[#This Row],[DUT Adj Read]]="N/A",Table1[[#This Row],[Std Adj Read]]="N/A"),"N/A",IF(Table1[[#This Row],[DUT Adj Read]]="N/A",IF(Table1[[#This Row],[Std Adj Read]]&gt;=Table1[[#This Row],[Low Tol]],"Pass","Fail"),IF(Table1[[#This Row],[DUT Adj Read]]&gt;=Table1[[#This Row],[Low Tol]],"Pass","Fail")))</f>
        <v>Pass</v>
      </c>
      <c r="AG2624" s="1" t="str">
        <f>IF(AND(Table1[[#This Row],[Spec Type2]]="N/A",Table1[[#This Row],[DUT Adj Read]]="N/A",Table1[[#This Row],[Std Adj Read]]="N/A"),"N/A",IF(Table1[[#This Row],[DUT Adj Read]]="N/A",IF(Table1[[#This Row],[Std Adj Read]]&lt;=Table1[[#This Row],[High Tol]],"Pass","Fail"),IF(Table1[[#This Row],[DUT Adj Read]]&lt;=Table1[[#This Row],[High Tol]],"Pass","Fail")))</f>
        <v>Fail</v>
      </c>
      <c r="AH26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4" s="1" t="b">
        <v>0</v>
      </c>
      <c r="AN2624" s="1" t="b">
        <v>0</v>
      </c>
      <c r="AO2624" s="1" t="b">
        <v>0</v>
      </c>
    </row>
    <row r="2625" spans="1:41" x14ac:dyDescent="0.25">
      <c r="A2625" s="10"/>
      <c r="B2625" s="10"/>
      <c r="C2625" s="10"/>
      <c r="D2625" s="10"/>
      <c r="E2625" s="10"/>
      <c r="F2625" s="10"/>
      <c r="G2625" s="10"/>
      <c r="H2625" s="10"/>
      <c r="I2625" s="1" t="str">
        <f t="shared" si="120"/>
        <v/>
      </c>
      <c r="J2625" s="1" t="s">
        <v>35</v>
      </c>
      <c r="K2625" s="1" t="str">
        <f t="shared" si="121"/>
        <v/>
      </c>
      <c r="L2625" s="1" t="str">
        <f t="shared" si="122"/>
        <v/>
      </c>
      <c r="M2625" s="1">
        <f>IF(OR(Table1[[#This Row],[Std Nom]]="",Table1[[#This Row],[Std Read]]=""),0,Table1[[#This Row],[Std Nom]]-Table1[[#This Row],[Std Read]])</f>
        <v>0</v>
      </c>
      <c r="N2625" s="1">
        <f>IF(Calculations!$F$5="ACCREDITED 17025 WITH UNCERTAINTIES",$N$10,0)</f>
        <v>0</v>
      </c>
      <c r="Q2625" s="1">
        <f>Table1[[#This Row],[High Tol]]-Table1[[#This Row],[Low Tol]]</f>
        <v>0</v>
      </c>
      <c r="R2625" s="1">
        <f>2*Table1[[#This Row],[Std Error]]</f>
        <v>0</v>
      </c>
      <c r="S2625" s="1" t="str">
        <f>IF(Table1[[#This Row],[High Tol]]="","N/A",IFERROR(ABS(Table1[[#This Row],[Tol Span]]/Table1[[#This Row],[Error Span]]),"N/A"))</f>
        <v>N/A</v>
      </c>
      <c r="T2625" s="1" t="str">
        <f>IF(OR(Table1[[#This Row],[Low Tol]]="",Table1[[#This Row],[High Tol]]=""),"Needs Analysis",IF(Table1[[#This Row],[Ratio]]&gt;=4,"Not Significant",IF(Table1[[#This Row],[Ratio]]&gt;=2,"Semi-Significant","Significant")))</f>
        <v>Needs Analysis</v>
      </c>
      <c r="W2625" s="1">
        <f>IF(Table1[[#This Row],[Cal Type]]&lt;&gt;"ACCREDITED 17025 WITH UNCERTAINTIES",0,"")</f>
        <v>0</v>
      </c>
      <c r="X2625" s="1" t="str">
        <f>IF(Table1[[#This Row],[DUT Read]]="","N/A",Table1[[#This Row],[Std Error]]+Table1[[#This Row],[DUT Read]]+Table1[[#This Row],[DUT Ucty]])</f>
        <v>N/A</v>
      </c>
      <c r="Y2625" s="1" t="str">
        <f>IF(Table1[[#This Row],[Std Read]]="","N/A",Table1[[#This Row],[Std Read]]+Table1[[#This Row],[Std Ucty]])</f>
        <v>N/A</v>
      </c>
      <c r="Z26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5" s="1" t="str">
        <f>IF(Table1[[#This Row],[Spec Type]]="","N/A",Table1[[#This Row],[Spec Type]])</f>
        <v>±</v>
      </c>
      <c r="AC2625" s="1" t="str">
        <f>IF(Table1[[#This Row],[Spec Type2]]="N/A","N/A",IF(AND(Table1[[#This Row],[DUT Adj Read]]&gt;=Table1[[#This Row],[Low Tol]],Table1[[#This Row],[DUT Adj Read]]&lt;=Table1[[#This Row],[High Tol]]),"Pass","Fail"))</f>
        <v>Fail</v>
      </c>
      <c r="AD2625" s="1" t="str">
        <f>IF(AND(Table1[[#This Row],[Spec Type2]]="N/A",Table1[[#This Row],[DUT Adj Read]]="N/A",Table1[[#This Row],[Std Adj Read]]="N/A"),"N/A",IF(Table1[[#This Row],[DUT Adj Read]]="N/A",IF(Table1[[#This Row],[Std Adj Read]]&gt;Table1[[#This Row],[Low Tol]],"Pass","Fail"),IF(Table1[[#This Row],[DUT Adj Read]]&gt;Table1[[#This Row],[Low Tol]],"Pass","Fail")))</f>
        <v>Pass</v>
      </c>
      <c r="AE2625" s="1" t="str">
        <f>IF(AND(Table1[[#This Row],[Spec Type2]]="N/A",Table1[[#This Row],[DUT Adj Read]]="N/A",Table1[[#This Row],[Std Adj Read]]="N/A"),"N/A",IF(Table1[[#This Row],[DUT Adj Read]]="N/A",IF(Table1[[#This Row],[Std Adj Read]]&lt;Table1[[#This Row],[High Tol]],"Pass","Fail"),IF(Table1[[#This Row],[DUT Adj Read]]&lt;Table1[[#This Row],[High Tol]],"Pass","Fail")))</f>
        <v>Fail</v>
      </c>
      <c r="AF2625" s="1" t="str">
        <f>IF(AND(Table1[[#This Row],[Spec Type2]]="N/A",Table1[[#This Row],[DUT Adj Read]]="N/A",Table1[[#This Row],[Std Adj Read]]="N/A"),"N/A",IF(Table1[[#This Row],[DUT Adj Read]]="N/A",IF(Table1[[#This Row],[Std Adj Read]]&gt;=Table1[[#This Row],[Low Tol]],"Pass","Fail"),IF(Table1[[#This Row],[DUT Adj Read]]&gt;=Table1[[#This Row],[Low Tol]],"Pass","Fail")))</f>
        <v>Pass</v>
      </c>
      <c r="AG2625" s="1" t="str">
        <f>IF(AND(Table1[[#This Row],[Spec Type2]]="N/A",Table1[[#This Row],[DUT Adj Read]]="N/A",Table1[[#This Row],[Std Adj Read]]="N/A"),"N/A",IF(Table1[[#This Row],[DUT Adj Read]]="N/A",IF(Table1[[#This Row],[Std Adj Read]]&lt;=Table1[[#This Row],[High Tol]],"Pass","Fail"),IF(Table1[[#This Row],[DUT Adj Read]]&lt;=Table1[[#This Row],[High Tol]],"Pass","Fail")))</f>
        <v>Fail</v>
      </c>
      <c r="AH26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5" s="1" t="b">
        <v>0</v>
      </c>
      <c r="AN2625" s="1" t="b">
        <v>0</v>
      </c>
      <c r="AO2625" s="1" t="b">
        <v>0</v>
      </c>
    </row>
    <row r="2626" spans="1:41" x14ac:dyDescent="0.25">
      <c r="A2626" s="10"/>
      <c r="B2626" s="10"/>
      <c r="C2626" s="10"/>
      <c r="D2626" s="10"/>
      <c r="E2626" s="10"/>
      <c r="F2626" s="10"/>
      <c r="G2626" s="10"/>
      <c r="H2626" s="10"/>
      <c r="I2626" s="1" t="str">
        <f t="shared" si="120"/>
        <v/>
      </c>
      <c r="J2626" s="1" t="s">
        <v>35</v>
      </c>
      <c r="K2626" s="1" t="str">
        <f t="shared" si="121"/>
        <v/>
      </c>
      <c r="L2626" s="1" t="str">
        <f t="shared" si="122"/>
        <v/>
      </c>
      <c r="M2626" s="1">
        <f>IF(OR(Table1[[#This Row],[Std Nom]]="",Table1[[#This Row],[Std Read]]=""),0,Table1[[#This Row],[Std Nom]]-Table1[[#This Row],[Std Read]])</f>
        <v>0</v>
      </c>
      <c r="N2626" s="1">
        <f>IF(Calculations!$F$5="ACCREDITED 17025 WITH UNCERTAINTIES",$N$10,0)</f>
        <v>0</v>
      </c>
      <c r="Q2626" s="1">
        <f>Table1[[#This Row],[High Tol]]-Table1[[#This Row],[Low Tol]]</f>
        <v>0</v>
      </c>
      <c r="R2626" s="1">
        <f>2*Table1[[#This Row],[Std Error]]</f>
        <v>0</v>
      </c>
      <c r="S2626" s="1" t="str">
        <f>IF(Table1[[#This Row],[High Tol]]="","N/A",IFERROR(ABS(Table1[[#This Row],[Tol Span]]/Table1[[#This Row],[Error Span]]),"N/A"))</f>
        <v>N/A</v>
      </c>
      <c r="T2626" s="1" t="str">
        <f>IF(OR(Table1[[#This Row],[Low Tol]]="",Table1[[#This Row],[High Tol]]=""),"Needs Analysis",IF(Table1[[#This Row],[Ratio]]&gt;=4,"Not Significant",IF(Table1[[#This Row],[Ratio]]&gt;=2,"Semi-Significant","Significant")))</f>
        <v>Needs Analysis</v>
      </c>
      <c r="W2626" s="1">
        <f>IF(Table1[[#This Row],[Cal Type]]&lt;&gt;"ACCREDITED 17025 WITH UNCERTAINTIES",0,"")</f>
        <v>0</v>
      </c>
      <c r="X2626" s="1" t="str">
        <f>IF(Table1[[#This Row],[DUT Read]]="","N/A",Table1[[#This Row],[Std Error]]+Table1[[#This Row],[DUT Read]]+Table1[[#This Row],[DUT Ucty]])</f>
        <v>N/A</v>
      </c>
      <c r="Y2626" s="1" t="str">
        <f>IF(Table1[[#This Row],[Std Read]]="","N/A",Table1[[#This Row],[Std Read]]+Table1[[#This Row],[Std Ucty]])</f>
        <v>N/A</v>
      </c>
      <c r="Z26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6" s="1" t="str">
        <f>IF(Table1[[#This Row],[Spec Type]]="","N/A",Table1[[#This Row],[Spec Type]])</f>
        <v>±</v>
      </c>
      <c r="AC2626" s="1" t="str">
        <f>IF(Table1[[#This Row],[Spec Type2]]="N/A","N/A",IF(AND(Table1[[#This Row],[DUT Adj Read]]&gt;=Table1[[#This Row],[Low Tol]],Table1[[#This Row],[DUT Adj Read]]&lt;=Table1[[#This Row],[High Tol]]),"Pass","Fail"))</f>
        <v>Fail</v>
      </c>
      <c r="AD2626" s="1" t="str">
        <f>IF(AND(Table1[[#This Row],[Spec Type2]]="N/A",Table1[[#This Row],[DUT Adj Read]]="N/A",Table1[[#This Row],[Std Adj Read]]="N/A"),"N/A",IF(Table1[[#This Row],[DUT Adj Read]]="N/A",IF(Table1[[#This Row],[Std Adj Read]]&gt;Table1[[#This Row],[Low Tol]],"Pass","Fail"),IF(Table1[[#This Row],[DUT Adj Read]]&gt;Table1[[#This Row],[Low Tol]],"Pass","Fail")))</f>
        <v>Pass</v>
      </c>
      <c r="AE2626" s="1" t="str">
        <f>IF(AND(Table1[[#This Row],[Spec Type2]]="N/A",Table1[[#This Row],[DUT Adj Read]]="N/A",Table1[[#This Row],[Std Adj Read]]="N/A"),"N/A",IF(Table1[[#This Row],[DUT Adj Read]]="N/A",IF(Table1[[#This Row],[Std Adj Read]]&lt;Table1[[#This Row],[High Tol]],"Pass","Fail"),IF(Table1[[#This Row],[DUT Adj Read]]&lt;Table1[[#This Row],[High Tol]],"Pass","Fail")))</f>
        <v>Fail</v>
      </c>
      <c r="AF2626" s="1" t="str">
        <f>IF(AND(Table1[[#This Row],[Spec Type2]]="N/A",Table1[[#This Row],[DUT Adj Read]]="N/A",Table1[[#This Row],[Std Adj Read]]="N/A"),"N/A",IF(Table1[[#This Row],[DUT Adj Read]]="N/A",IF(Table1[[#This Row],[Std Adj Read]]&gt;=Table1[[#This Row],[Low Tol]],"Pass","Fail"),IF(Table1[[#This Row],[DUT Adj Read]]&gt;=Table1[[#This Row],[Low Tol]],"Pass","Fail")))</f>
        <v>Pass</v>
      </c>
      <c r="AG2626" s="1" t="str">
        <f>IF(AND(Table1[[#This Row],[Spec Type2]]="N/A",Table1[[#This Row],[DUT Adj Read]]="N/A",Table1[[#This Row],[Std Adj Read]]="N/A"),"N/A",IF(Table1[[#This Row],[DUT Adj Read]]="N/A",IF(Table1[[#This Row],[Std Adj Read]]&lt;=Table1[[#This Row],[High Tol]],"Pass","Fail"),IF(Table1[[#This Row],[DUT Adj Read]]&lt;=Table1[[#This Row],[High Tol]],"Pass","Fail")))</f>
        <v>Fail</v>
      </c>
      <c r="AH26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6" s="1" t="b">
        <v>0</v>
      </c>
      <c r="AN2626" s="1" t="b">
        <v>0</v>
      </c>
      <c r="AO2626" s="1" t="b">
        <v>0</v>
      </c>
    </row>
    <row r="2627" spans="1:41" x14ac:dyDescent="0.25">
      <c r="A2627" s="10"/>
      <c r="B2627" s="10"/>
      <c r="C2627" s="10"/>
      <c r="D2627" s="10"/>
      <c r="E2627" s="10"/>
      <c r="F2627" s="10"/>
      <c r="G2627" s="10"/>
      <c r="H2627" s="10"/>
      <c r="I2627" s="1" t="str">
        <f t="shared" si="120"/>
        <v/>
      </c>
      <c r="J2627" s="1" t="s">
        <v>35</v>
      </c>
      <c r="K2627" s="1" t="str">
        <f t="shared" si="121"/>
        <v/>
      </c>
      <c r="L2627" s="1" t="str">
        <f t="shared" si="122"/>
        <v/>
      </c>
      <c r="M2627" s="1">
        <f>IF(OR(Table1[[#This Row],[Std Nom]]="",Table1[[#This Row],[Std Read]]=""),0,Table1[[#This Row],[Std Nom]]-Table1[[#This Row],[Std Read]])</f>
        <v>0</v>
      </c>
      <c r="N2627" s="1">
        <f>IF(Calculations!$F$5="ACCREDITED 17025 WITH UNCERTAINTIES",$N$10,0)</f>
        <v>0</v>
      </c>
      <c r="Q2627" s="1">
        <f>Table1[[#This Row],[High Tol]]-Table1[[#This Row],[Low Tol]]</f>
        <v>0</v>
      </c>
      <c r="R2627" s="1">
        <f>2*Table1[[#This Row],[Std Error]]</f>
        <v>0</v>
      </c>
      <c r="S2627" s="1" t="str">
        <f>IF(Table1[[#This Row],[High Tol]]="","N/A",IFERROR(ABS(Table1[[#This Row],[Tol Span]]/Table1[[#This Row],[Error Span]]),"N/A"))</f>
        <v>N/A</v>
      </c>
      <c r="T2627" s="1" t="str">
        <f>IF(OR(Table1[[#This Row],[Low Tol]]="",Table1[[#This Row],[High Tol]]=""),"Needs Analysis",IF(Table1[[#This Row],[Ratio]]&gt;=4,"Not Significant",IF(Table1[[#This Row],[Ratio]]&gt;=2,"Semi-Significant","Significant")))</f>
        <v>Needs Analysis</v>
      </c>
      <c r="W2627" s="1">
        <f>IF(Table1[[#This Row],[Cal Type]]&lt;&gt;"ACCREDITED 17025 WITH UNCERTAINTIES",0,"")</f>
        <v>0</v>
      </c>
      <c r="X2627" s="1" t="str">
        <f>IF(Table1[[#This Row],[DUT Read]]="","N/A",Table1[[#This Row],[Std Error]]+Table1[[#This Row],[DUT Read]]+Table1[[#This Row],[DUT Ucty]])</f>
        <v>N/A</v>
      </c>
      <c r="Y2627" s="1" t="str">
        <f>IF(Table1[[#This Row],[Std Read]]="","N/A",Table1[[#This Row],[Std Read]]+Table1[[#This Row],[Std Ucty]])</f>
        <v>N/A</v>
      </c>
      <c r="Z26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7" s="1" t="str">
        <f>IF(Table1[[#This Row],[Spec Type]]="","N/A",Table1[[#This Row],[Spec Type]])</f>
        <v>±</v>
      </c>
      <c r="AC2627" s="1" t="str">
        <f>IF(Table1[[#This Row],[Spec Type2]]="N/A","N/A",IF(AND(Table1[[#This Row],[DUT Adj Read]]&gt;=Table1[[#This Row],[Low Tol]],Table1[[#This Row],[DUT Adj Read]]&lt;=Table1[[#This Row],[High Tol]]),"Pass","Fail"))</f>
        <v>Fail</v>
      </c>
      <c r="AD2627" s="1" t="str">
        <f>IF(AND(Table1[[#This Row],[Spec Type2]]="N/A",Table1[[#This Row],[DUT Adj Read]]="N/A",Table1[[#This Row],[Std Adj Read]]="N/A"),"N/A",IF(Table1[[#This Row],[DUT Adj Read]]="N/A",IF(Table1[[#This Row],[Std Adj Read]]&gt;Table1[[#This Row],[Low Tol]],"Pass","Fail"),IF(Table1[[#This Row],[DUT Adj Read]]&gt;Table1[[#This Row],[Low Tol]],"Pass","Fail")))</f>
        <v>Pass</v>
      </c>
      <c r="AE2627" s="1" t="str">
        <f>IF(AND(Table1[[#This Row],[Spec Type2]]="N/A",Table1[[#This Row],[DUT Adj Read]]="N/A",Table1[[#This Row],[Std Adj Read]]="N/A"),"N/A",IF(Table1[[#This Row],[DUT Adj Read]]="N/A",IF(Table1[[#This Row],[Std Adj Read]]&lt;Table1[[#This Row],[High Tol]],"Pass","Fail"),IF(Table1[[#This Row],[DUT Adj Read]]&lt;Table1[[#This Row],[High Tol]],"Pass","Fail")))</f>
        <v>Fail</v>
      </c>
      <c r="AF2627" s="1" t="str">
        <f>IF(AND(Table1[[#This Row],[Spec Type2]]="N/A",Table1[[#This Row],[DUT Adj Read]]="N/A",Table1[[#This Row],[Std Adj Read]]="N/A"),"N/A",IF(Table1[[#This Row],[DUT Adj Read]]="N/A",IF(Table1[[#This Row],[Std Adj Read]]&gt;=Table1[[#This Row],[Low Tol]],"Pass","Fail"),IF(Table1[[#This Row],[DUT Adj Read]]&gt;=Table1[[#This Row],[Low Tol]],"Pass","Fail")))</f>
        <v>Pass</v>
      </c>
      <c r="AG2627" s="1" t="str">
        <f>IF(AND(Table1[[#This Row],[Spec Type2]]="N/A",Table1[[#This Row],[DUT Adj Read]]="N/A",Table1[[#This Row],[Std Adj Read]]="N/A"),"N/A",IF(Table1[[#This Row],[DUT Adj Read]]="N/A",IF(Table1[[#This Row],[Std Adj Read]]&lt;=Table1[[#This Row],[High Tol]],"Pass","Fail"),IF(Table1[[#This Row],[DUT Adj Read]]&lt;=Table1[[#This Row],[High Tol]],"Pass","Fail")))</f>
        <v>Fail</v>
      </c>
      <c r="AH26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7" s="1" t="b">
        <v>0</v>
      </c>
      <c r="AN2627" s="1" t="b">
        <v>0</v>
      </c>
      <c r="AO2627" s="1" t="b">
        <v>0</v>
      </c>
    </row>
    <row r="2628" spans="1:41" x14ac:dyDescent="0.25">
      <c r="A2628" s="10"/>
      <c r="B2628" s="10"/>
      <c r="C2628" s="10"/>
      <c r="D2628" s="10"/>
      <c r="E2628" s="10"/>
      <c r="F2628" s="10"/>
      <c r="G2628" s="10"/>
      <c r="H2628" s="10"/>
      <c r="I2628" s="1" t="str">
        <f t="shared" si="120"/>
        <v/>
      </c>
      <c r="J2628" s="1" t="s">
        <v>35</v>
      </c>
      <c r="K2628" s="1" t="str">
        <f t="shared" si="121"/>
        <v/>
      </c>
      <c r="L2628" s="1" t="str">
        <f t="shared" si="122"/>
        <v/>
      </c>
      <c r="M2628" s="1">
        <f>IF(OR(Table1[[#This Row],[Std Nom]]="",Table1[[#This Row],[Std Read]]=""),0,Table1[[#This Row],[Std Nom]]-Table1[[#This Row],[Std Read]])</f>
        <v>0</v>
      </c>
      <c r="N2628" s="1">
        <f>IF(Calculations!$F$5="ACCREDITED 17025 WITH UNCERTAINTIES",$N$10,0)</f>
        <v>0</v>
      </c>
      <c r="Q2628" s="1">
        <f>Table1[[#This Row],[High Tol]]-Table1[[#This Row],[Low Tol]]</f>
        <v>0</v>
      </c>
      <c r="R2628" s="1">
        <f>2*Table1[[#This Row],[Std Error]]</f>
        <v>0</v>
      </c>
      <c r="S2628" s="1" t="str">
        <f>IF(Table1[[#This Row],[High Tol]]="","N/A",IFERROR(ABS(Table1[[#This Row],[Tol Span]]/Table1[[#This Row],[Error Span]]),"N/A"))</f>
        <v>N/A</v>
      </c>
      <c r="T2628" s="1" t="str">
        <f>IF(OR(Table1[[#This Row],[Low Tol]]="",Table1[[#This Row],[High Tol]]=""),"Needs Analysis",IF(Table1[[#This Row],[Ratio]]&gt;=4,"Not Significant",IF(Table1[[#This Row],[Ratio]]&gt;=2,"Semi-Significant","Significant")))</f>
        <v>Needs Analysis</v>
      </c>
      <c r="W2628" s="1">
        <f>IF(Table1[[#This Row],[Cal Type]]&lt;&gt;"ACCREDITED 17025 WITH UNCERTAINTIES",0,"")</f>
        <v>0</v>
      </c>
      <c r="X2628" s="1" t="str">
        <f>IF(Table1[[#This Row],[DUT Read]]="","N/A",Table1[[#This Row],[Std Error]]+Table1[[#This Row],[DUT Read]]+Table1[[#This Row],[DUT Ucty]])</f>
        <v>N/A</v>
      </c>
      <c r="Y2628" s="1" t="str">
        <f>IF(Table1[[#This Row],[Std Read]]="","N/A",Table1[[#This Row],[Std Read]]+Table1[[#This Row],[Std Ucty]])</f>
        <v>N/A</v>
      </c>
      <c r="Z26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8" s="1" t="str">
        <f>IF(Table1[[#This Row],[Spec Type]]="","N/A",Table1[[#This Row],[Spec Type]])</f>
        <v>±</v>
      </c>
      <c r="AC2628" s="1" t="str">
        <f>IF(Table1[[#This Row],[Spec Type2]]="N/A","N/A",IF(AND(Table1[[#This Row],[DUT Adj Read]]&gt;=Table1[[#This Row],[Low Tol]],Table1[[#This Row],[DUT Adj Read]]&lt;=Table1[[#This Row],[High Tol]]),"Pass","Fail"))</f>
        <v>Fail</v>
      </c>
      <c r="AD2628" s="1" t="str">
        <f>IF(AND(Table1[[#This Row],[Spec Type2]]="N/A",Table1[[#This Row],[DUT Adj Read]]="N/A",Table1[[#This Row],[Std Adj Read]]="N/A"),"N/A",IF(Table1[[#This Row],[DUT Adj Read]]="N/A",IF(Table1[[#This Row],[Std Adj Read]]&gt;Table1[[#This Row],[Low Tol]],"Pass","Fail"),IF(Table1[[#This Row],[DUT Adj Read]]&gt;Table1[[#This Row],[Low Tol]],"Pass","Fail")))</f>
        <v>Pass</v>
      </c>
      <c r="AE2628" s="1" t="str">
        <f>IF(AND(Table1[[#This Row],[Spec Type2]]="N/A",Table1[[#This Row],[DUT Adj Read]]="N/A",Table1[[#This Row],[Std Adj Read]]="N/A"),"N/A",IF(Table1[[#This Row],[DUT Adj Read]]="N/A",IF(Table1[[#This Row],[Std Adj Read]]&lt;Table1[[#This Row],[High Tol]],"Pass","Fail"),IF(Table1[[#This Row],[DUT Adj Read]]&lt;Table1[[#This Row],[High Tol]],"Pass","Fail")))</f>
        <v>Fail</v>
      </c>
      <c r="AF2628" s="1" t="str">
        <f>IF(AND(Table1[[#This Row],[Spec Type2]]="N/A",Table1[[#This Row],[DUT Adj Read]]="N/A",Table1[[#This Row],[Std Adj Read]]="N/A"),"N/A",IF(Table1[[#This Row],[DUT Adj Read]]="N/A",IF(Table1[[#This Row],[Std Adj Read]]&gt;=Table1[[#This Row],[Low Tol]],"Pass","Fail"),IF(Table1[[#This Row],[DUT Adj Read]]&gt;=Table1[[#This Row],[Low Tol]],"Pass","Fail")))</f>
        <v>Pass</v>
      </c>
      <c r="AG2628" s="1" t="str">
        <f>IF(AND(Table1[[#This Row],[Spec Type2]]="N/A",Table1[[#This Row],[DUT Adj Read]]="N/A",Table1[[#This Row],[Std Adj Read]]="N/A"),"N/A",IF(Table1[[#This Row],[DUT Adj Read]]="N/A",IF(Table1[[#This Row],[Std Adj Read]]&lt;=Table1[[#This Row],[High Tol]],"Pass","Fail"),IF(Table1[[#This Row],[DUT Adj Read]]&lt;=Table1[[#This Row],[High Tol]],"Pass","Fail")))</f>
        <v>Fail</v>
      </c>
      <c r="AH26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8" s="1" t="b">
        <v>0</v>
      </c>
      <c r="AN2628" s="1" t="b">
        <v>0</v>
      </c>
      <c r="AO2628" s="1" t="b">
        <v>0</v>
      </c>
    </row>
    <row r="2629" spans="1:41" x14ac:dyDescent="0.25">
      <c r="A2629" s="10"/>
      <c r="B2629" s="10"/>
      <c r="C2629" s="10"/>
      <c r="D2629" s="10"/>
      <c r="E2629" s="10"/>
      <c r="F2629" s="10"/>
      <c r="G2629" s="10"/>
      <c r="H2629" s="10"/>
      <c r="I2629" s="1" t="str">
        <f t="shared" si="120"/>
        <v/>
      </c>
      <c r="J2629" s="1" t="s">
        <v>35</v>
      </c>
      <c r="K2629" s="1" t="str">
        <f t="shared" si="121"/>
        <v/>
      </c>
      <c r="L2629" s="1" t="str">
        <f t="shared" si="122"/>
        <v/>
      </c>
      <c r="M2629" s="1">
        <f>IF(OR(Table1[[#This Row],[Std Nom]]="",Table1[[#This Row],[Std Read]]=""),0,Table1[[#This Row],[Std Nom]]-Table1[[#This Row],[Std Read]])</f>
        <v>0</v>
      </c>
      <c r="N2629" s="1">
        <f>IF(Calculations!$F$5="ACCREDITED 17025 WITH UNCERTAINTIES",$N$10,0)</f>
        <v>0</v>
      </c>
      <c r="Q2629" s="1">
        <f>Table1[[#This Row],[High Tol]]-Table1[[#This Row],[Low Tol]]</f>
        <v>0</v>
      </c>
      <c r="R2629" s="1">
        <f>2*Table1[[#This Row],[Std Error]]</f>
        <v>0</v>
      </c>
      <c r="S2629" s="1" t="str">
        <f>IF(Table1[[#This Row],[High Tol]]="","N/A",IFERROR(ABS(Table1[[#This Row],[Tol Span]]/Table1[[#This Row],[Error Span]]),"N/A"))</f>
        <v>N/A</v>
      </c>
      <c r="T2629" s="1" t="str">
        <f>IF(OR(Table1[[#This Row],[Low Tol]]="",Table1[[#This Row],[High Tol]]=""),"Needs Analysis",IF(Table1[[#This Row],[Ratio]]&gt;=4,"Not Significant",IF(Table1[[#This Row],[Ratio]]&gt;=2,"Semi-Significant","Significant")))</f>
        <v>Needs Analysis</v>
      </c>
      <c r="W2629" s="1">
        <f>IF(Table1[[#This Row],[Cal Type]]&lt;&gt;"ACCREDITED 17025 WITH UNCERTAINTIES",0,"")</f>
        <v>0</v>
      </c>
      <c r="X2629" s="1" t="str">
        <f>IF(Table1[[#This Row],[DUT Read]]="","N/A",Table1[[#This Row],[Std Error]]+Table1[[#This Row],[DUT Read]]+Table1[[#This Row],[DUT Ucty]])</f>
        <v>N/A</v>
      </c>
      <c r="Y2629" s="1" t="str">
        <f>IF(Table1[[#This Row],[Std Read]]="","N/A",Table1[[#This Row],[Std Read]]+Table1[[#This Row],[Std Ucty]])</f>
        <v>N/A</v>
      </c>
      <c r="Z26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29" s="1" t="str">
        <f>IF(Table1[[#This Row],[Spec Type]]="","N/A",Table1[[#This Row],[Spec Type]])</f>
        <v>±</v>
      </c>
      <c r="AC2629" s="1" t="str">
        <f>IF(Table1[[#This Row],[Spec Type2]]="N/A","N/A",IF(AND(Table1[[#This Row],[DUT Adj Read]]&gt;=Table1[[#This Row],[Low Tol]],Table1[[#This Row],[DUT Adj Read]]&lt;=Table1[[#This Row],[High Tol]]),"Pass","Fail"))</f>
        <v>Fail</v>
      </c>
      <c r="AD2629" s="1" t="str">
        <f>IF(AND(Table1[[#This Row],[Spec Type2]]="N/A",Table1[[#This Row],[DUT Adj Read]]="N/A",Table1[[#This Row],[Std Adj Read]]="N/A"),"N/A",IF(Table1[[#This Row],[DUT Adj Read]]="N/A",IF(Table1[[#This Row],[Std Adj Read]]&gt;Table1[[#This Row],[Low Tol]],"Pass","Fail"),IF(Table1[[#This Row],[DUT Adj Read]]&gt;Table1[[#This Row],[Low Tol]],"Pass","Fail")))</f>
        <v>Pass</v>
      </c>
      <c r="AE2629" s="1" t="str">
        <f>IF(AND(Table1[[#This Row],[Spec Type2]]="N/A",Table1[[#This Row],[DUT Adj Read]]="N/A",Table1[[#This Row],[Std Adj Read]]="N/A"),"N/A",IF(Table1[[#This Row],[DUT Adj Read]]="N/A",IF(Table1[[#This Row],[Std Adj Read]]&lt;Table1[[#This Row],[High Tol]],"Pass","Fail"),IF(Table1[[#This Row],[DUT Adj Read]]&lt;Table1[[#This Row],[High Tol]],"Pass","Fail")))</f>
        <v>Fail</v>
      </c>
      <c r="AF2629" s="1" t="str">
        <f>IF(AND(Table1[[#This Row],[Spec Type2]]="N/A",Table1[[#This Row],[DUT Adj Read]]="N/A",Table1[[#This Row],[Std Adj Read]]="N/A"),"N/A",IF(Table1[[#This Row],[DUT Adj Read]]="N/A",IF(Table1[[#This Row],[Std Adj Read]]&gt;=Table1[[#This Row],[Low Tol]],"Pass","Fail"),IF(Table1[[#This Row],[DUT Adj Read]]&gt;=Table1[[#This Row],[Low Tol]],"Pass","Fail")))</f>
        <v>Pass</v>
      </c>
      <c r="AG2629" s="1" t="str">
        <f>IF(AND(Table1[[#This Row],[Spec Type2]]="N/A",Table1[[#This Row],[DUT Adj Read]]="N/A",Table1[[#This Row],[Std Adj Read]]="N/A"),"N/A",IF(Table1[[#This Row],[DUT Adj Read]]="N/A",IF(Table1[[#This Row],[Std Adj Read]]&lt;=Table1[[#This Row],[High Tol]],"Pass","Fail"),IF(Table1[[#This Row],[DUT Adj Read]]&lt;=Table1[[#This Row],[High Tol]],"Pass","Fail")))</f>
        <v>Fail</v>
      </c>
      <c r="AH26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29" s="1" t="b">
        <v>0</v>
      </c>
      <c r="AN2629" s="1" t="b">
        <v>0</v>
      </c>
      <c r="AO2629" s="1" t="b">
        <v>0</v>
      </c>
    </row>
    <row r="2630" spans="1:41" x14ac:dyDescent="0.25">
      <c r="A2630" s="10"/>
      <c r="B2630" s="10"/>
      <c r="C2630" s="10"/>
      <c r="D2630" s="10"/>
      <c r="E2630" s="10"/>
      <c r="F2630" s="10"/>
      <c r="G2630" s="10"/>
      <c r="H2630" s="10"/>
      <c r="I2630" s="1" t="str">
        <f t="shared" si="120"/>
        <v/>
      </c>
      <c r="J2630" s="1" t="s">
        <v>35</v>
      </c>
      <c r="K2630" s="1" t="str">
        <f t="shared" si="121"/>
        <v/>
      </c>
      <c r="L2630" s="1" t="str">
        <f t="shared" si="122"/>
        <v/>
      </c>
      <c r="M2630" s="1">
        <f>IF(OR(Table1[[#This Row],[Std Nom]]="",Table1[[#This Row],[Std Read]]=""),0,Table1[[#This Row],[Std Nom]]-Table1[[#This Row],[Std Read]])</f>
        <v>0</v>
      </c>
      <c r="N2630" s="1">
        <f>IF(Calculations!$F$5="ACCREDITED 17025 WITH UNCERTAINTIES",$N$10,0)</f>
        <v>0</v>
      </c>
      <c r="Q2630" s="1">
        <f>Table1[[#This Row],[High Tol]]-Table1[[#This Row],[Low Tol]]</f>
        <v>0</v>
      </c>
      <c r="R2630" s="1">
        <f>2*Table1[[#This Row],[Std Error]]</f>
        <v>0</v>
      </c>
      <c r="S2630" s="1" t="str">
        <f>IF(Table1[[#This Row],[High Tol]]="","N/A",IFERROR(ABS(Table1[[#This Row],[Tol Span]]/Table1[[#This Row],[Error Span]]),"N/A"))</f>
        <v>N/A</v>
      </c>
      <c r="T2630" s="1" t="str">
        <f>IF(OR(Table1[[#This Row],[Low Tol]]="",Table1[[#This Row],[High Tol]]=""),"Needs Analysis",IF(Table1[[#This Row],[Ratio]]&gt;=4,"Not Significant",IF(Table1[[#This Row],[Ratio]]&gt;=2,"Semi-Significant","Significant")))</f>
        <v>Needs Analysis</v>
      </c>
      <c r="W2630" s="1">
        <f>IF(Table1[[#This Row],[Cal Type]]&lt;&gt;"ACCREDITED 17025 WITH UNCERTAINTIES",0,"")</f>
        <v>0</v>
      </c>
      <c r="X2630" s="1" t="str">
        <f>IF(Table1[[#This Row],[DUT Read]]="","N/A",Table1[[#This Row],[Std Error]]+Table1[[#This Row],[DUT Read]]+Table1[[#This Row],[DUT Ucty]])</f>
        <v>N/A</v>
      </c>
      <c r="Y2630" s="1" t="str">
        <f>IF(Table1[[#This Row],[Std Read]]="","N/A",Table1[[#This Row],[Std Read]]+Table1[[#This Row],[Std Ucty]])</f>
        <v>N/A</v>
      </c>
      <c r="Z26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0" s="1" t="str">
        <f>IF(Table1[[#This Row],[Spec Type]]="","N/A",Table1[[#This Row],[Spec Type]])</f>
        <v>±</v>
      </c>
      <c r="AC2630" s="1" t="str">
        <f>IF(Table1[[#This Row],[Spec Type2]]="N/A","N/A",IF(AND(Table1[[#This Row],[DUT Adj Read]]&gt;=Table1[[#This Row],[Low Tol]],Table1[[#This Row],[DUT Adj Read]]&lt;=Table1[[#This Row],[High Tol]]),"Pass","Fail"))</f>
        <v>Fail</v>
      </c>
      <c r="AD2630" s="1" t="str">
        <f>IF(AND(Table1[[#This Row],[Spec Type2]]="N/A",Table1[[#This Row],[DUT Adj Read]]="N/A",Table1[[#This Row],[Std Adj Read]]="N/A"),"N/A",IF(Table1[[#This Row],[DUT Adj Read]]="N/A",IF(Table1[[#This Row],[Std Adj Read]]&gt;Table1[[#This Row],[Low Tol]],"Pass","Fail"),IF(Table1[[#This Row],[DUT Adj Read]]&gt;Table1[[#This Row],[Low Tol]],"Pass","Fail")))</f>
        <v>Pass</v>
      </c>
      <c r="AE2630" s="1" t="str">
        <f>IF(AND(Table1[[#This Row],[Spec Type2]]="N/A",Table1[[#This Row],[DUT Adj Read]]="N/A",Table1[[#This Row],[Std Adj Read]]="N/A"),"N/A",IF(Table1[[#This Row],[DUT Adj Read]]="N/A",IF(Table1[[#This Row],[Std Adj Read]]&lt;Table1[[#This Row],[High Tol]],"Pass","Fail"),IF(Table1[[#This Row],[DUT Adj Read]]&lt;Table1[[#This Row],[High Tol]],"Pass","Fail")))</f>
        <v>Fail</v>
      </c>
      <c r="AF2630" s="1" t="str">
        <f>IF(AND(Table1[[#This Row],[Spec Type2]]="N/A",Table1[[#This Row],[DUT Adj Read]]="N/A",Table1[[#This Row],[Std Adj Read]]="N/A"),"N/A",IF(Table1[[#This Row],[DUT Adj Read]]="N/A",IF(Table1[[#This Row],[Std Adj Read]]&gt;=Table1[[#This Row],[Low Tol]],"Pass","Fail"),IF(Table1[[#This Row],[DUT Adj Read]]&gt;=Table1[[#This Row],[Low Tol]],"Pass","Fail")))</f>
        <v>Pass</v>
      </c>
      <c r="AG2630" s="1" t="str">
        <f>IF(AND(Table1[[#This Row],[Spec Type2]]="N/A",Table1[[#This Row],[DUT Adj Read]]="N/A",Table1[[#This Row],[Std Adj Read]]="N/A"),"N/A",IF(Table1[[#This Row],[DUT Adj Read]]="N/A",IF(Table1[[#This Row],[Std Adj Read]]&lt;=Table1[[#This Row],[High Tol]],"Pass","Fail"),IF(Table1[[#This Row],[DUT Adj Read]]&lt;=Table1[[#This Row],[High Tol]],"Pass","Fail")))</f>
        <v>Fail</v>
      </c>
      <c r="AH26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0" s="1" t="b">
        <v>0</v>
      </c>
      <c r="AN2630" s="1" t="b">
        <v>0</v>
      </c>
      <c r="AO2630" s="1" t="b">
        <v>0</v>
      </c>
    </row>
    <row r="2631" spans="1:41" x14ac:dyDescent="0.25">
      <c r="A2631" s="10"/>
      <c r="B2631" s="10"/>
      <c r="C2631" s="10"/>
      <c r="D2631" s="10"/>
      <c r="E2631" s="10"/>
      <c r="F2631" s="10"/>
      <c r="G2631" s="10"/>
      <c r="H2631" s="10"/>
      <c r="I2631" s="1" t="str">
        <f t="shared" si="120"/>
        <v/>
      </c>
      <c r="J2631" s="1" t="s">
        <v>35</v>
      </c>
      <c r="K2631" s="1" t="str">
        <f t="shared" si="121"/>
        <v/>
      </c>
      <c r="L2631" s="1" t="str">
        <f t="shared" si="122"/>
        <v/>
      </c>
      <c r="M2631" s="1">
        <f>IF(OR(Table1[[#This Row],[Std Nom]]="",Table1[[#This Row],[Std Read]]=""),0,Table1[[#This Row],[Std Nom]]-Table1[[#This Row],[Std Read]])</f>
        <v>0</v>
      </c>
      <c r="N2631" s="1">
        <f>IF(Calculations!$F$5="ACCREDITED 17025 WITH UNCERTAINTIES",$N$10,0)</f>
        <v>0</v>
      </c>
      <c r="Q2631" s="1">
        <f>Table1[[#This Row],[High Tol]]-Table1[[#This Row],[Low Tol]]</f>
        <v>0</v>
      </c>
      <c r="R2631" s="1">
        <f>2*Table1[[#This Row],[Std Error]]</f>
        <v>0</v>
      </c>
      <c r="S2631" s="1" t="str">
        <f>IF(Table1[[#This Row],[High Tol]]="","N/A",IFERROR(ABS(Table1[[#This Row],[Tol Span]]/Table1[[#This Row],[Error Span]]),"N/A"))</f>
        <v>N/A</v>
      </c>
      <c r="T2631" s="1" t="str">
        <f>IF(OR(Table1[[#This Row],[Low Tol]]="",Table1[[#This Row],[High Tol]]=""),"Needs Analysis",IF(Table1[[#This Row],[Ratio]]&gt;=4,"Not Significant",IF(Table1[[#This Row],[Ratio]]&gt;=2,"Semi-Significant","Significant")))</f>
        <v>Needs Analysis</v>
      </c>
      <c r="W2631" s="1">
        <f>IF(Table1[[#This Row],[Cal Type]]&lt;&gt;"ACCREDITED 17025 WITH UNCERTAINTIES",0,"")</f>
        <v>0</v>
      </c>
      <c r="X2631" s="1" t="str">
        <f>IF(Table1[[#This Row],[DUT Read]]="","N/A",Table1[[#This Row],[Std Error]]+Table1[[#This Row],[DUT Read]]+Table1[[#This Row],[DUT Ucty]])</f>
        <v>N/A</v>
      </c>
      <c r="Y2631" s="1" t="str">
        <f>IF(Table1[[#This Row],[Std Read]]="","N/A",Table1[[#This Row],[Std Read]]+Table1[[#This Row],[Std Ucty]])</f>
        <v>N/A</v>
      </c>
      <c r="Z26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1" s="1" t="str">
        <f>IF(Table1[[#This Row],[Spec Type]]="","N/A",Table1[[#This Row],[Spec Type]])</f>
        <v>±</v>
      </c>
      <c r="AC2631" s="1" t="str">
        <f>IF(Table1[[#This Row],[Spec Type2]]="N/A","N/A",IF(AND(Table1[[#This Row],[DUT Adj Read]]&gt;=Table1[[#This Row],[Low Tol]],Table1[[#This Row],[DUT Adj Read]]&lt;=Table1[[#This Row],[High Tol]]),"Pass","Fail"))</f>
        <v>Fail</v>
      </c>
      <c r="AD2631" s="1" t="str">
        <f>IF(AND(Table1[[#This Row],[Spec Type2]]="N/A",Table1[[#This Row],[DUT Adj Read]]="N/A",Table1[[#This Row],[Std Adj Read]]="N/A"),"N/A",IF(Table1[[#This Row],[DUT Adj Read]]="N/A",IF(Table1[[#This Row],[Std Adj Read]]&gt;Table1[[#This Row],[Low Tol]],"Pass","Fail"),IF(Table1[[#This Row],[DUT Adj Read]]&gt;Table1[[#This Row],[Low Tol]],"Pass","Fail")))</f>
        <v>Pass</v>
      </c>
      <c r="AE2631" s="1" t="str">
        <f>IF(AND(Table1[[#This Row],[Spec Type2]]="N/A",Table1[[#This Row],[DUT Adj Read]]="N/A",Table1[[#This Row],[Std Adj Read]]="N/A"),"N/A",IF(Table1[[#This Row],[DUT Adj Read]]="N/A",IF(Table1[[#This Row],[Std Adj Read]]&lt;Table1[[#This Row],[High Tol]],"Pass","Fail"),IF(Table1[[#This Row],[DUT Adj Read]]&lt;Table1[[#This Row],[High Tol]],"Pass","Fail")))</f>
        <v>Fail</v>
      </c>
      <c r="AF2631" s="1" t="str">
        <f>IF(AND(Table1[[#This Row],[Spec Type2]]="N/A",Table1[[#This Row],[DUT Adj Read]]="N/A",Table1[[#This Row],[Std Adj Read]]="N/A"),"N/A",IF(Table1[[#This Row],[DUT Adj Read]]="N/A",IF(Table1[[#This Row],[Std Adj Read]]&gt;=Table1[[#This Row],[Low Tol]],"Pass","Fail"),IF(Table1[[#This Row],[DUT Adj Read]]&gt;=Table1[[#This Row],[Low Tol]],"Pass","Fail")))</f>
        <v>Pass</v>
      </c>
      <c r="AG2631" s="1" t="str">
        <f>IF(AND(Table1[[#This Row],[Spec Type2]]="N/A",Table1[[#This Row],[DUT Adj Read]]="N/A",Table1[[#This Row],[Std Adj Read]]="N/A"),"N/A",IF(Table1[[#This Row],[DUT Adj Read]]="N/A",IF(Table1[[#This Row],[Std Adj Read]]&lt;=Table1[[#This Row],[High Tol]],"Pass","Fail"),IF(Table1[[#This Row],[DUT Adj Read]]&lt;=Table1[[#This Row],[High Tol]],"Pass","Fail")))</f>
        <v>Fail</v>
      </c>
      <c r="AH26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1" s="1" t="b">
        <v>0</v>
      </c>
      <c r="AN2631" s="1" t="b">
        <v>0</v>
      </c>
      <c r="AO2631" s="1" t="b">
        <v>0</v>
      </c>
    </row>
    <row r="2632" spans="1:41" x14ac:dyDescent="0.25">
      <c r="A2632" s="10"/>
      <c r="B2632" s="10"/>
      <c r="C2632" s="10"/>
      <c r="D2632" s="10"/>
      <c r="E2632" s="10"/>
      <c r="F2632" s="10"/>
      <c r="G2632" s="10"/>
      <c r="H2632" s="10"/>
      <c r="I2632" s="1" t="str">
        <f t="shared" si="120"/>
        <v/>
      </c>
      <c r="J2632" s="1" t="s">
        <v>35</v>
      </c>
      <c r="K2632" s="1" t="str">
        <f t="shared" si="121"/>
        <v/>
      </c>
      <c r="L2632" s="1" t="str">
        <f t="shared" si="122"/>
        <v/>
      </c>
      <c r="M2632" s="1">
        <f>IF(OR(Table1[[#This Row],[Std Nom]]="",Table1[[#This Row],[Std Read]]=""),0,Table1[[#This Row],[Std Nom]]-Table1[[#This Row],[Std Read]])</f>
        <v>0</v>
      </c>
      <c r="N2632" s="1">
        <f>IF(Calculations!$F$5="ACCREDITED 17025 WITH UNCERTAINTIES",$N$10,0)</f>
        <v>0</v>
      </c>
      <c r="Q2632" s="1">
        <f>Table1[[#This Row],[High Tol]]-Table1[[#This Row],[Low Tol]]</f>
        <v>0</v>
      </c>
      <c r="R2632" s="1">
        <f>2*Table1[[#This Row],[Std Error]]</f>
        <v>0</v>
      </c>
      <c r="S2632" s="1" t="str">
        <f>IF(Table1[[#This Row],[High Tol]]="","N/A",IFERROR(ABS(Table1[[#This Row],[Tol Span]]/Table1[[#This Row],[Error Span]]),"N/A"))</f>
        <v>N/A</v>
      </c>
      <c r="T2632" s="1" t="str">
        <f>IF(OR(Table1[[#This Row],[Low Tol]]="",Table1[[#This Row],[High Tol]]=""),"Needs Analysis",IF(Table1[[#This Row],[Ratio]]&gt;=4,"Not Significant",IF(Table1[[#This Row],[Ratio]]&gt;=2,"Semi-Significant","Significant")))</f>
        <v>Needs Analysis</v>
      </c>
      <c r="W2632" s="1">
        <f>IF(Table1[[#This Row],[Cal Type]]&lt;&gt;"ACCREDITED 17025 WITH UNCERTAINTIES",0,"")</f>
        <v>0</v>
      </c>
      <c r="X2632" s="1" t="str">
        <f>IF(Table1[[#This Row],[DUT Read]]="","N/A",Table1[[#This Row],[Std Error]]+Table1[[#This Row],[DUT Read]]+Table1[[#This Row],[DUT Ucty]])</f>
        <v>N/A</v>
      </c>
      <c r="Y2632" s="1" t="str">
        <f>IF(Table1[[#This Row],[Std Read]]="","N/A",Table1[[#This Row],[Std Read]]+Table1[[#This Row],[Std Ucty]])</f>
        <v>N/A</v>
      </c>
      <c r="Z26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2" s="1" t="str">
        <f>IF(Table1[[#This Row],[Spec Type]]="","N/A",Table1[[#This Row],[Spec Type]])</f>
        <v>±</v>
      </c>
      <c r="AC2632" s="1" t="str">
        <f>IF(Table1[[#This Row],[Spec Type2]]="N/A","N/A",IF(AND(Table1[[#This Row],[DUT Adj Read]]&gt;=Table1[[#This Row],[Low Tol]],Table1[[#This Row],[DUT Adj Read]]&lt;=Table1[[#This Row],[High Tol]]),"Pass","Fail"))</f>
        <v>Fail</v>
      </c>
      <c r="AD2632" s="1" t="str">
        <f>IF(AND(Table1[[#This Row],[Spec Type2]]="N/A",Table1[[#This Row],[DUT Adj Read]]="N/A",Table1[[#This Row],[Std Adj Read]]="N/A"),"N/A",IF(Table1[[#This Row],[DUT Adj Read]]="N/A",IF(Table1[[#This Row],[Std Adj Read]]&gt;Table1[[#This Row],[Low Tol]],"Pass","Fail"),IF(Table1[[#This Row],[DUT Adj Read]]&gt;Table1[[#This Row],[Low Tol]],"Pass","Fail")))</f>
        <v>Pass</v>
      </c>
      <c r="AE2632" s="1" t="str">
        <f>IF(AND(Table1[[#This Row],[Spec Type2]]="N/A",Table1[[#This Row],[DUT Adj Read]]="N/A",Table1[[#This Row],[Std Adj Read]]="N/A"),"N/A",IF(Table1[[#This Row],[DUT Adj Read]]="N/A",IF(Table1[[#This Row],[Std Adj Read]]&lt;Table1[[#This Row],[High Tol]],"Pass","Fail"),IF(Table1[[#This Row],[DUT Adj Read]]&lt;Table1[[#This Row],[High Tol]],"Pass","Fail")))</f>
        <v>Fail</v>
      </c>
      <c r="AF2632" s="1" t="str">
        <f>IF(AND(Table1[[#This Row],[Spec Type2]]="N/A",Table1[[#This Row],[DUT Adj Read]]="N/A",Table1[[#This Row],[Std Adj Read]]="N/A"),"N/A",IF(Table1[[#This Row],[DUT Adj Read]]="N/A",IF(Table1[[#This Row],[Std Adj Read]]&gt;=Table1[[#This Row],[Low Tol]],"Pass","Fail"),IF(Table1[[#This Row],[DUT Adj Read]]&gt;=Table1[[#This Row],[Low Tol]],"Pass","Fail")))</f>
        <v>Pass</v>
      </c>
      <c r="AG2632" s="1" t="str">
        <f>IF(AND(Table1[[#This Row],[Spec Type2]]="N/A",Table1[[#This Row],[DUT Adj Read]]="N/A",Table1[[#This Row],[Std Adj Read]]="N/A"),"N/A",IF(Table1[[#This Row],[DUT Adj Read]]="N/A",IF(Table1[[#This Row],[Std Adj Read]]&lt;=Table1[[#This Row],[High Tol]],"Pass","Fail"),IF(Table1[[#This Row],[DUT Adj Read]]&lt;=Table1[[#This Row],[High Tol]],"Pass","Fail")))</f>
        <v>Fail</v>
      </c>
      <c r="AH26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2" s="1" t="b">
        <v>0</v>
      </c>
      <c r="AN2632" s="1" t="b">
        <v>0</v>
      </c>
      <c r="AO2632" s="1" t="b">
        <v>0</v>
      </c>
    </row>
    <row r="2633" spans="1:41" x14ac:dyDescent="0.25">
      <c r="A2633" s="10"/>
      <c r="B2633" s="10"/>
      <c r="C2633" s="10"/>
      <c r="D2633" s="10"/>
      <c r="E2633" s="10"/>
      <c r="F2633" s="10"/>
      <c r="G2633" s="10"/>
      <c r="H2633" s="10"/>
      <c r="I2633" s="1" t="str">
        <f t="shared" si="120"/>
        <v/>
      </c>
      <c r="J2633" s="1" t="s">
        <v>35</v>
      </c>
      <c r="K2633" s="1" t="str">
        <f t="shared" si="121"/>
        <v/>
      </c>
      <c r="L2633" s="1" t="str">
        <f t="shared" si="122"/>
        <v/>
      </c>
      <c r="M2633" s="1">
        <f>IF(OR(Table1[[#This Row],[Std Nom]]="",Table1[[#This Row],[Std Read]]=""),0,Table1[[#This Row],[Std Nom]]-Table1[[#This Row],[Std Read]])</f>
        <v>0</v>
      </c>
      <c r="N2633" s="1">
        <f>IF(Calculations!$F$5="ACCREDITED 17025 WITH UNCERTAINTIES",$N$10,0)</f>
        <v>0</v>
      </c>
      <c r="Q2633" s="1">
        <f>Table1[[#This Row],[High Tol]]-Table1[[#This Row],[Low Tol]]</f>
        <v>0</v>
      </c>
      <c r="R2633" s="1">
        <f>2*Table1[[#This Row],[Std Error]]</f>
        <v>0</v>
      </c>
      <c r="S2633" s="1" t="str">
        <f>IF(Table1[[#This Row],[High Tol]]="","N/A",IFERROR(ABS(Table1[[#This Row],[Tol Span]]/Table1[[#This Row],[Error Span]]),"N/A"))</f>
        <v>N/A</v>
      </c>
      <c r="T2633" s="1" t="str">
        <f>IF(OR(Table1[[#This Row],[Low Tol]]="",Table1[[#This Row],[High Tol]]=""),"Needs Analysis",IF(Table1[[#This Row],[Ratio]]&gt;=4,"Not Significant",IF(Table1[[#This Row],[Ratio]]&gt;=2,"Semi-Significant","Significant")))</f>
        <v>Needs Analysis</v>
      </c>
      <c r="W2633" s="1">
        <f>IF(Table1[[#This Row],[Cal Type]]&lt;&gt;"ACCREDITED 17025 WITH UNCERTAINTIES",0,"")</f>
        <v>0</v>
      </c>
      <c r="X2633" s="1" t="str">
        <f>IF(Table1[[#This Row],[DUT Read]]="","N/A",Table1[[#This Row],[Std Error]]+Table1[[#This Row],[DUT Read]]+Table1[[#This Row],[DUT Ucty]])</f>
        <v>N/A</v>
      </c>
      <c r="Y2633" s="1" t="str">
        <f>IF(Table1[[#This Row],[Std Read]]="","N/A",Table1[[#This Row],[Std Read]]+Table1[[#This Row],[Std Ucty]])</f>
        <v>N/A</v>
      </c>
      <c r="Z26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3" s="1" t="str">
        <f>IF(Table1[[#This Row],[Spec Type]]="","N/A",Table1[[#This Row],[Spec Type]])</f>
        <v>±</v>
      </c>
      <c r="AC2633" s="1" t="str">
        <f>IF(Table1[[#This Row],[Spec Type2]]="N/A","N/A",IF(AND(Table1[[#This Row],[DUT Adj Read]]&gt;=Table1[[#This Row],[Low Tol]],Table1[[#This Row],[DUT Adj Read]]&lt;=Table1[[#This Row],[High Tol]]),"Pass","Fail"))</f>
        <v>Fail</v>
      </c>
      <c r="AD2633" s="1" t="str">
        <f>IF(AND(Table1[[#This Row],[Spec Type2]]="N/A",Table1[[#This Row],[DUT Adj Read]]="N/A",Table1[[#This Row],[Std Adj Read]]="N/A"),"N/A",IF(Table1[[#This Row],[DUT Adj Read]]="N/A",IF(Table1[[#This Row],[Std Adj Read]]&gt;Table1[[#This Row],[Low Tol]],"Pass","Fail"),IF(Table1[[#This Row],[DUT Adj Read]]&gt;Table1[[#This Row],[Low Tol]],"Pass","Fail")))</f>
        <v>Pass</v>
      </c>
      <c r="AE2633" s="1" t="str">
        <f>IF(AND(Table1[[#This Row],[Spec Type2]]="N/A",Table1[[#This Row],[DUT Adj Read]]="N/A",Table1[[#This Row],[Std Adj Read]]="N/A"),"N/A",IF(Table1[[#This Row],[DUT Adj Read]]="N/A",IF(Table1[[#This Row],[Std Adj Read]]&lt;Table1[[#This Row],[High Tol]],"Pass","Fail"),IF(Table1[[#This Row],[DUT Adj Read]]&lt;Table1[[#This Row],[High Tol]],"Pass","Fail")))</f>
        <v>Fail</v>
      </c>
      <c r="AF2633" s="1" t="str">
        <f>IF(AND(Table1[[#This Row],[Spec Type2]]="N/A",Table1[[#This Row],[DUT Adj Read]]="N/A",Table1[[#This Row],[Std Adj Read]]="N/A"),"N/A",IF(Table1[[#This Row],[DUT Adj Read]]="N/A",IF(Table1[[#This Row],[Std Adj Read]]&gt;=Table1[[#This Row],[Low Tol]],"Pass","Fail"),IF(Table1[[#This Row],[DUT Adj Read]]&gt;=Table1[[#This Row],[Low Tol]],"Pass","Fail")))</f>
        <v>Pass</v>
      </c>
      <c r="AG2633" s="1" t="str">
        <f>IF(AND(Table1[[#This Row],[Spec Type2]]="N/A",Table1[[#This Row],[DUT Adj Read]]="N/A",Table1[[#This Row],[Std Adj Read]]="N/A"),"N/A",IF(Table1[[#This Row],[DUT Adj Read]]="N/A",IF(Table1[[#This Row],[Std Adj Read]]&lt;=Table1[[#This Row],[High Tol]],"Pass","Fail"),IF(Table1[[#This Row],[DUT Adj Read]]&lt;=Table1[[#This Row],[High Tol]],"Pass","Fail")))</f>
        <v>Fail</v>
      </c>
      <c r="AH26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3" s="1" t="b">
        <v>0</v>
      </c>
      <c r="AN2633" s="1" t="b">
        <v>0</v>
      </c>
      <c r="AO2633" s="1" t="b">
        <v>0</v>
      </c>
    </row>
    <row r="2634" spans="1:41" x14ac:dyDescent="0.25">
      <c r="A2634" s="10"/>
      <c r="B2634" s="10"/>
      <c r="C2634" s="10"/>
      <c r="D2634" s="10"/>
      <c r="E2634" s="10"/>
      <c r="F2634" s="10"/>
      <c r="G2634" s="10"/>
      <c r="H2634" s="10"/>
      <c r="I2634" s="1" t="str">
        <f t="shared" si="120"/>
        <v/>
      </c>
      <c r="J2634" s="1" t="s">
        <v>35</v>
      </c>
      <c r="K2634" s="1" t="str">
        <f t="shared" si="121"/>
        <v/>
      </c>
      <c r="L2634" s="1" t="str">
        <f t="shared" si="122"/>
        <v/>
      </c>
      <c r="M2634" s="1">
        <f>IF(OR(Table1[[#This Row],[Std Nom]]="",Table1[[#This Row],[Std Read]]=""),0,Table1[[#This Row],[Std Nom]]-Table1[[#This Row],[Std Read]])</f>
        <v>0</v>
      </c>
      <c r="N2634" s="1">
        <f>IF(Calculations!$F$5="ACCREDITED 17025 WITH UNCERTAINTIES",$N$10,0)</f>
        <v>0</v>
      </c>
      <c r="Q2634" s="1">
        <f>Table1[[#This Row],[High Tol]]-Table1[[#This Row],[Low Tol]]</f>
        <v>0</v>
      </c>
      <c r="R2634" s="1">
        <f>2*Table1[[#This Row],[Std Error]]</f>
        <v>0</v>
      </c>
      <c r="S2634" s="1" t="str">
        <f>IF(Table1[[#This Row],[High Tol]]="","N/A",IFERROR(ABS(Table1[[#This Row],[Tol Span]]/Table1[[#This Row],[Error Span]]),"N/A"))</f>
        <v>N/A</v>
      </c>
      <c r="T2634" s="1" t="str">
        <f>IF(OR(Table1[[#This Row],[Low Tol]]="",Table1[[#This Row],[High Tol]]=""),"Needs Analysis",IF(Table1[[#This Row],[Ratio]]&gt;=4,"Not Significant",IF(Table1[[#This Row],[Ratio]]&gt;=2,"Semi-Significant","Significant")))</f>
        <v>Needs Analysis</v>
      </c>
      <c r="W2634" s="1">
        <f>IF(Table1[[#This Row],[Cal Type]]&lt;&gt;"ACCREDITED 17025 WITH UNCERTAINTIES",0,"")</f>
        <v>0</v>
      </c>
      <c r="X2634" s="1" t="str">
        <f>IF(Table1[[#This Row],[DUT Read]]="","N/A",Table1[[#This Row],[Std Error]]+Table1[[#This Row],[DUT Read]]+Table1[[#This Row],[DUT Ucty]])</f>
        <v>N/A</v>
      </c>
      <c r="Y2634" s="1" t="str">
        <f>IF(Table1[[#This Row],[Std Read]]="","N/A",Table1[[#This Row],[Std Read]]+Table1[[#This Row],[Std Ucty]])</f>
        <v>N/A</v>
      </c>
      <c r="Z26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4" s="1" t="str">
        <f>IF(Table1[[#This Row],[Spec Type]]="","N/A",Table1[[#This Row],[Spec Type]])</f>
        <v>±</v>
      </c>
      <c r="AC2634" s="1" t="str">
        <f>IF(Table1[[#This Row],[Spec Type2]]="N/A","N/A",IF(AND(Table1[[#This Row],[DUT Adj Read]]&gt;=Table1[[#This Row],[Low Tol]],Table1[[#This Row],[DUT Adj Read]]&lt;=Table1[[#This Row],[High Tol]]),"Pass","Fail"))</f>
        <v>Fail</v>
      </c>
      <c r="AD2634" s="1" t="str">
        <f>IF(AND(Table1[[#This Row],[Spec Type2]]="N/A",Table1[[#This Row],[DUT Adj Read]]="N/A",Table1[[#This Row],[Std Adj Read]]="N/A"),"N/A",IF(Table1[[#This Row],[DUT Adj Read]]="N/A",IF(Table1[[#This Row],[Std Adj Read]]&gt;Table1[[#This Row],[Low Tol]],"Pass","Fail"),IF(Table1[[#This Row],[DUT Adj Read]]&gt;Table1[[#This Row],[Low Tol]],"Pass","Fail")))</f>
        <v>Pass</v>
      </c>
      <c r="AE2634" s="1" t="str">
        <f>IF(AND(Table1[[#This Row],[Spec Type2]]="N/A",Table1[[#This Row],[DUT Adj Read]]="N/A",Table1[[#This Row],[Std Adj Read]]="N/A"),"N/A",IF(Table1[[#This Row],[DUT Adj Read]]="N/A",IF(Table1[[#This Row],[Std Adj Read]]&lt;Table1[[#This Row],[High Tol]],"Pass","Fail"),IF(Table1[[#This Row],[DUT Adj Read]]&lt;Table1[[#This Row],[High Tol]],"Pass","Fail")))</f>
        <v>Fail</v>
      </c>
      <c r="AF2634" s="1" t="str">
        <f>IF(AND(Table1[[#This Row],[Spec Type2]]="N/A",Table1[[#This Row],[DUT Adj Read]]="N/A",Table1[[#This Row],[Std Adj Read]]="N/A"),"N/A",IF(Table1[[#This Row],[DUT Adj Read]]="N/A",IF(Table1[[#This Row],[Std Adj Read]]&gt;=Table1[[#This Row],[Low Tol]],"Pass","Fail"),IF(Table1[[#This Row],[DUT Adj Read]]&gt;=Table1[[#This Row],[Low Tol]],"Pass","Fail")))</f>
        <v>Pass</v>
      </c>
      <c r="AG2634" s="1" t="str">
        <f>IF(AND(Table1[[#This Row],[Spec Type2]]="N/A",Table1[[#This Row],[DUT Adj Read]]="N/A",Table1[[#This Row],[Std Adj Read]]="N/A"),"N/A",IF(Table1[[#This Row],[DUT Adj Read]]="N/A",IF(Table1[[#This Row],[Std Adj Read]]&lt;=Table1[[#This Row],[High Tol]],"Pass","Fail"),IF(Table1[[#This Row],[DUT Adj Read]]&lt;=Table1[[#This Row],[High Tol]],"Pass","Fail")))</f>
        <v>Fail</v>
      </c>
      <c r="AH26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4" s="1" t="b">
        <v>0</v>
      </c>
      <c r="AN2634" s="1" t="b">
        <v>0</v>
      </c>
      <c r="AO2634" s="1" t="b">
        <v>0</v>
      </c>
    </row>
    <row r="2635" spans="1:41" x14ac:dyDescent="0.25">
      <c r="A2635" s="10"/>
      <c r="B2635" s="10"/>
      <c r="C2635" s="10"/>
      <c r="D2635" s="10"/>
      <c r="E2635" s="10"/>
      <c r="F2635" s="10"/>
      <c r="G2635" s="10"/>
      <c r="H2635" s="10"/>
      <c r="I2635" s="1" t="str">
        <f t="shared" ref="I2635:I2698" si="123">IF($I$10="","",$I$10)</f>
        <v/>
      </c>
      <c r="J2635" s="1" t="s">
        <v>35</v>
      </c>
      <c r="K2635" s="1" t="str">
        <f t="shared" ref="K2635:K2698" si="124">IF($K$10="","",$K$10)</f>
        <v/>
      </c>
      <c r="L2635" s="1" t="str">
        <f t="shared" ref="L2635:L2698" si="125">IF($L$10="","",$L$10)</f>
        <v/>
      </c>
      <c r="M2635" s="1">
        <f>IF(OR(Table1[[#This Row],[Std Nom]]="",Table1[[#This Row],[Std Read]]=""),0,Table1[[#This Row],[Std Nom]]-Table1[[#This Row],[Std Read]])</f>
        <v>0</v>
      </c>
      <c r="N2635" s="1">
        <f>IF(Calculations!$F$5="ACCREDITED 17025 WITH UNCERTAINTIES",$N$10,0)</f>
        <v>0</v>
      </c>
      <c r="Q2635" s="1">
        <f>Table1[[#This Row],[High Tol]]-Table1[[#This Row],[Low Tol]]</f>
        <v>0</v>
      </c>
      <c r="R2635" s="1">
        <f>2*Table1[[#This Row],[Std Error]]</f>
        <v>0</v>
      </c>
      <c r="S2635" s="1" t="str">
        <f>IF(Table1[[#This Row],[High Tol]]="","N/A",IFERROR(ABS(Table1[[#This Row],[Tol Span]]/Table1[[#This Row],[Error Span]]),"N/A"))</f>
        <v>N/A</v>
      </c>
      <c r="T2635" s="1" t="str">
        <f>IF(OR(Table1[[#This Row],[Low Tol]]="",Table1[[#This Row],[High Tol]]=""),"Needs Analysis",IF(Table1[[#This Row],[Ratio]]&gt;=4,"Not Significant",IF(Table1[[#This Row],[Ratio]]&gt;=2,"Semi-Significant","Significant")))</f>
        <v>Needs Analysis</v>
      </c>
      <c r="W2635" s="1">
        <f>IF(Table1[[#This Row],[Cal Type]]&lt;&gt;"ACCREDITED 17025 WITH UNCERTAINTIES",0,"")</f>
        <v>0</v>
      </c>
      <c r="X2635" s="1" t="str">
        <f>IF(Table1[[#This Row],[DUT Read]]="","N/A",Table1[[#This Row],[Std Error]]+Table1[[#This Row],[DUT Read]]+Table1[[#This Row],[DUT Ucty]])</f>
        <v>N/A</v>
      </c>
      <c r="Y2635" s="1" t="str">
        <f>IF(Table1[[#This Row],[Std Read]]="","N/A",Table1[[#This Row],[Std Read]]+Table1[[#This Row],[Std Ucty]])</f>
        <v>N/A</v>
      </c>
      <c r="Z26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5" s="1" t="str">
        <f>IF(Table1[[#This Row],[Spec Type]]="","N/A",Table1[[#This Row],[Spec Type]])</f>
        <v>±</v>
      </c>
      <c r="AC2635" s="1" t="str">
        <f>IF(Table1[[#This Row],[Spec Type2]]="N/A","N/A",IF(AND(Table1[[#This Row],[DUT Adj Read]]&gt;=Table1[[#This Row],[Low Tol]],Table1[[#This Row],[DUT Adj Read]]&lt;=Table1[[#This Row],[High Tol]]),"Pass","Fail"))</f>
        <v>Fail</v>
      </c>
      <c r="AD2635" s="1" t="str">
        <f>IF(AND(Table1[[#This Row],[Spec Type2]]="N/A",Table1[[#This Row],[DUT Adj Read]]="N/A",Table1[[#This Row],[Std Adj Read]]="N/A"),"N/A",IF(Table1[[#This Row],[DUT Adj Read]]="N/A",IF(Table1[[#This Row],[Std Adj Read]]&gt;Table1[[#This Row],[Low Tol]],"Pass","Fail"),IF(Table1[[#This Row],[DUT Adj Read]]&gt;Table1[[#This Row],[Low Tol]],"Pass","Fail")))</f>
        <v>Pass</v>
      </c>
      <c r="AE2635" s="1" t="str">
        <f>IF(AND(Table1[[#This Row],[Spec Type2]]="N/A",Table1[[#This Row],[DUT Adj Read]]="N/A",Table1[[#This Row],[Std Adj Read]]="N/A"),"N/A",IF(Table1[[#This Row],[DUT Adj Read]]="N/A",IF(Table1[[#This Row],[Std Adj Read]]&lt;Table1[[#This Row],[High Tol]],"Pass","Fail"),IF(Table1[[#This Row],[DUT Adj Read]]&lt;Table1[[#This Row],[High Tol]],"Pass","Fail")))</f>
        <v>Fail</v>
      </c>
      <c r="AF2635" s="1" t="str">
        <f>IF(AND(Table1[[#This Row],[Spec Type2]]="N/A",Table1[[#This Row],[DUT Adj Read]]="N/A",Table1[[#This Row],[Std Adj Read]]="N/A"),"N/A",IF(Table1[[#This Row],[DUT Adj Read]]="N/A",IF(Table1[[#This Row],[Std Adj Read]]&gt;=Table1[[#This Row],[Low Tol]],"Pass","Fail"),IF(Table1[[#This Row],[DUT Adj Read]]&gt;=Table1[[#This Row],[Low Tol]],"Pass","Fail")))</f>
        <v>Pass</v>
      </c>
      <c r="AG2635" s="1" t="str">
        <f>IF(AND(Table1[[#This Row],[Spec Type2]]="N/A",Table1[[#This Row],[DUT Adj Read]]="N/A",Table1[[#This Row],[Std Adj Read]]="N/A"),"N/A",IF(Table1[[#This Row],[DUT Adj Read]]="N/A",IF(Table1[[#This Row],[Std Adj Read]]&lt;=Table1[[#This Row],[High Tol]],"Pass","Fail"),IF(Table1[[#This Row],[DUT Adj Read]]&lt;=Table1[[#This Row],[High Tol]],"Pass","Fail")))</f>
        <v>Fail</v>
      </c>
      <c r="AH26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5" s="1" t="b">
        <v>0</v>
      </c>
      <c r="AN2635" s="1" t="b">
        <v>0</v>
      </c>
      <c r="AO2635" s="1" t="b">
        <v>0</v>
      </c>
    </row>
    <row r="2636" spans="1:41" x14ac:dyDescent="0.25">
      <c r="A2636" s="10"/>
      <c r="B2636" s="10"/>
      <c r="C2636" s="10"/>
      <c r="D2636" s="10"/>
      <c r="E2636" s="10"/>
      <c r="F2636" s="10"/>
      <c r="G2636" s="10"/>
      <c r="H2636" s="10"/>
      <c r="I2636" s="1" t="str">
        <f t="shared" si="123"/>
        <v/>
      </c>
      <c r="J2636" s="1" t="s">
        <v>35</v>
      </c>
      <c r="K2636" s="1" t="str">
        <f t="shared" si="124"/>
        <v/>
      </c>
      <c r="L2636" s="1" t="str">
        <f t="shared" si="125"/>
        <v/>
      </c>
      <c r="M2636" s="1">
        <f>IF(OR(Table1[[#This Row],[Std Nom]]="",Table1[[#This Row],[Std Read]]=""),0,Table1[[#This Row],[Std Nom]]-Table1[[#This Row],[Std Read]])</f>
        <v>0</v>
      </c>
      <c r="N2636" s="1">
        <f>IF(Calculations!$F$5="ACCREDITED 17025 WITH UNCERTAINTIES",$N$10,0)</f>
        <v>0</v>
      </c>
      <c r="Q2636" s="1">
        <f>Table1[[#This Row],[High Tol]]-Table1[[#This Row],[Low Tol]]</f>
        <v>0</v>
      </c>
      <c r="R2636" s="1">
        <f>2*Table1[[#This Row],[Std Error]]</f>
        <v>0</v>
      </c>
      <c r="S2636" s="1" t="str">
        <f>IF(Table1[[#This Row],[High Tol]]="","N/A",IFERROR(ABS(Table1[[#This Row],[Tol Span]]/Table1[[#This Row],[Error Span]]),"N/A"))</f>
        <v>N/A</v>
      </c>
      <c r="T2636" s="1" t="str">
        <f>IF(OR(Table1[[#This Row],[Low Tol]]="",Table1[[#This Row],[High Tol]]=""),"Needs Analysis",IF(Table1[[#This Row],[Ratio]]&gt;=4,"Not Significant",IF(Table1[[#This Row],[Ratio]]&gt;=2,"Semi-Significant","Significant")))</f>
        <v>Needs Analysis</v>
      </c>
      <c r="W2636" s="1">
        <f>IF(Table1[[#This Row],[Cal Type]]&lt;&gt;"ACCREDITED 17025 WITH UNCERTAINTIES",0,"")</f>
        <v>0</v>
      </c>
      <c r="X2636" s="1" t="str">
        <f>IF(Table1[[#This Row],[DUT Read]]="","N/A",Table1[[#This Row],[Std Error]]+Table1[[#This Row],[DUT Read]]+Table1[[#This Row],[DUT Ucty]])</f>
        <v>N/A</v>
      </c>
      <c r="Y2636" s="1" t="str">
        <f>IF(Table1[[#This Row],[Std Read]]="","N/A",Table1[[#This Row],[Std Read]]+Table1[[#This Row],[Std Ucty]])</f>
        <v>N/A</v>
      </c>
      <c r="Z26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6" s="1" t="str">
        <f>IF(Table1[[#This Row],[Spec Type]]="","N/A",Table1[[#This Row],[Spec Type]])</f>
        <v>±</v>
      </c>
      <c r="AC2636" s="1" t="str">
        <f>IF(Table1[[#This Row],[Spec Type2]]="N/A","N/A",IF(AND(Table1[[#This Row],[DUT Adj Read]]&gt;=Table1[[#This Row],[Low Tol]],Table1[[#This Row],[DUT Adj Read]]&lt;=Table1[[#This Row],[High Tol]]),"Pass","Fail"))</f>
        <v>Fail</v>
      </c>
      <c r="AD2636" s="1" t="str">
        <f>IF(AND(Table1[[#This Row],[Spec Type2]]="N/A",Table1[[#This Row],[DUT Adj Read]]="N/A",Table1[[#This Row],[Std Adj Read]]="N/A"),"N/A",IF(Table1[[#This Row],[DUT Adj Read]]="N/A",IF(Table1[[#This Row],[Std Adj Read]]&gt;Table1[[#This Row],[Low Tol]],"Pass","Fail"),IF(Table1[[#This Row],[DUT Adj Read]]&gt;Table1[[#This Row],[Low Tol]],"Pass","Fail")))</f>
        <v>Pass</v>
      </c>
      <c r="AE2636" s="1" t="str">
        <f>IF(AND(Table1[[#This Row],[Spec Type2]]="N/A",Table1[[#This Row],[DUT Adj Read]]="N/A",Table1[[#This Row],[Std Adj Read]]="N/A"),"N/A",IF(Table1[[#This Row],[DUT Adj Read]]="N/A",IF(Table1[[#This Row],[Std Adj Read]]&lt;Table1[[#This Row],[High Tol]],"Pass","Fail"),IF(Table1[[#This Row],[DUT Adj Read]]&lt;Table1[[#This Row],[High Tol]],"Pass","Fail")))</f>
        <v>Fail</v>
      </c>
      <c r="AF2636" s="1" t="str">
        <f>IF(AND(Table1[[#This Row],[Spec Type2]]="N/A",Table1[[#This Row],[DUT Adj Read]]="N/A",Table1[[#This Row],[Std Adj Read]]="N/A"),"N/A",IF(Table1[[#This Row],[DUT Adj Read]]="N/A",IF(Table1[[#This Row],[Std Adj Read]]&gt;=Table1[[#This Row],[Low Tol]],"Pass","Fail"),IF(Table1[[#This Row],[DUT Adj Read]]&gt;=Table1[[#This Row],[Low Tol]],"Pass","Fail")))</f>
        <v>Pass</v>
      </c>
      <c r="AG2636" s="1" t="str">
        <f>IF(AND(Table1[[#This Row],[Spec Type2]]="N/A",Table1[[#This Row],[DUT Adj Read]]="N/A",Table1[[#This Row],[Std Adj Read]]="N/A"),"N/A",IF(Table1[[#This Row],[DUT Adj Read]]="N/A",IF(Table1[[#This Row],[Std Adj Read]]&lt;=Table1[[#This Row],[High Tol]],"Pass","Fail"),IF(Table1[[#This Row],[DUT Adj Read]]&lt;=Table1[[#This Row],[High Tol]],"Pass","Fail")))</f>
        <v>Fail</v>
      </c>
      <c r="AH26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6" s="1" t="b">
        <v>0</v>
      </c>
      <c r="AN2636" s="1" t="b">
        <v>0</v>
      </c>
      <c r="AO2636" s="1" t="b">
        <v>0</v>
      </c>
    </row>
    <row r="2637" spans="1:41" x14ac:dyDescent="0.25">
      <c r="A2637" s="10"/>
      <c r="B2637" s="10"/>
      <c r="C2637" s="10"/>
      <c r="D2637" s="10"/>
      <c r="E2637" s="10"/>
      <c r="F2637" s="10"/>
      <c r="G2637" s="10"/>
      <c r="H2637" s="10"/>
      <c r="I2637" s="1" t="str">
        <f t="shared" si="123"/>
        <v/>
      </c>
      <c r="J2637" s="1" t="s">
        <v>35</v>
      </c>
      <c r="K2637" s="1" t="str">
        <f t="shared" si="124"/>
        <v/>
      </c>
      <c r="L2637" s="1" t="str">
        <f t="shared" si="125"/>
        <v/>
      </c>
      <c r="M2637" s="1">
        <f>IF(OR(Table1[[#This Row],[Std Nom]]="",Table1[[#This Row],[Std Read]]=""),0,Table1[[#This Row],[Std Nom]]-Table1[[#This Row],[Std Read]])</f>
        <v>0</v>
      </c>
      <c r="N2637" s="1">
        <f>IF(Calculations!$F$5="ACCREDITED 17025 WITH UNCERTAINTIES",$N$10,0)</f>
        <v>0</v>
      </c>
      <c r="Q2637" s="1">
        <f>Table1[[#This Row],[High Tol]]-Table1[[#This Row],[Low Tol]]</f>
        <v>0</v>
      </c>
      <c r="R2637" s="1">
        <f>2*Table1[[#This Row],[Std Error]]</f>
        <v>0</v>
      </c>
      <c r="S2637" s="1" t="str">
        <f>IF(Table1[[#This Row],[High Tol]]="","N/A",IFERROR(ABS(Table1[[#This Row],[Tol Span]]/Table1[[#This Row],[Error Span]]),"N/A"))</f>
        <v>N/A</v>
      </c>
      <c r="T2637" s="1" t="str">
        <f>IF(OR(Table1[[#This Row],[Low Tol]]="",Table1[[#This Row],[High Tol]]=""),"Needs Analysis",IF(Table1[[#This Row],[Ratio]]&gt;=4,"Not Significant",IF(Table1[[#This Row],[Ratio]]&gt;=2,"Semi-Significant","Significant")))</f>
        <v>Needs Analysis</v>
      </c>
      <c r="W2637" s="1">
        <f>IF(Table1[[#This Row],[Cal Type]]&lt;&gt;"ACCREDITED 17025 WITH UNCERTAINTIES",0,"")</f>
        <v>0</v>
      </c>
      <c r="X2637" s="1" t="str">
        <f>IF(Table1[[#This Row],[DUT Read]]="","N/A",Table1[[#This Row],[Std Error]]+Table1[[#This Row],[DUT Read]]+Table1[[#This Row],[DUT Ucty]])</f>
        <v>N/A</v>
      </c>
      <c r="Y2637" s="1" t="str">
        <f>IF(Table1[[#This Row],[Std Read]]="","N/A",Table1[[#This Row],[Std Read]]+Table1[[#This Row],[Std Ucty]])</f>
        <v>N/A</v>
      </c>
      <c r="Z26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7" s="1" t="str">
        <f>IF(Table1[[#This Row],[Spec Type]]="","N/A",Table1[[#This Row],[Spec Type]])</f>
        <v>±</v>
      </c>
      <c r="AC2637" s="1" t="str">
        <f>IF(Table1[[#This Row],[Spec Type2]]="N/A","N/A",IF(AND(Table1[[#This Row],[DUT Adj Read]]&gt;=Table1[[#This Row],[Low Tol]],Table1[[#This Row],[DUT Adj Read]]&lt;=Table1[[#This Row],[High Tol]]),"Pass","Fail"))</f>
        <v>Fail</v>
      </c>
      <c r="AD2637" s="1" t="str">
        <f>IF(AND(Table1[[#This Row],[Spec Type2]]="N/A",Table1[[#This Row],[DUT Adj Read]]="N/A",Table1[[#This Row],[Std Adj Read]]="N/A"),"N/A",IF(Table1[[#This Row],[DUT Adj Read]]="N/A",IF(Table1[[#This Row],[Std Adj Read]]&gt;Table1[[#This Row],[Low Tol]],"Pass","Fail"),IF(Table1[[#This Row],[DUT Adj Read]]&gt;Table1[[#This Row],[Low Tol]],"Pass","Fail")))</f>
        <v>Pass</v>
      </c>
      <c r="AE2637" s="1" t="str">
        <f>IF(AND(Table1[[#This Row],[Spec Type2]]="N/A",Table1[[#This Row],[DUT Adj Read]]="N/A",Table1[[#This Row],[Std Adj Read]]="N/A"),"N/A",IF(Table1[[#This Row],[DUT Adj Read]]="N/A",IF(Table1[[#This Row],[Std Adj Read]]&lt;Table1[[#This Row],[High Tol]],"Pass","Fail"),IF(Table1[[#This Row],[DUT Adj Read]]&lt;Table1[[#This Row],[High Tol]],"Pass","Fail")))</f>
        <v>Fail</v>
      </c>
      <c r="AF2637" s="1" t="str">
        <f>IF(AND(Table1[[#This Row],[Spec Type2]]="N/A",Table1[[#This Row],[DUT Adj Read]]="N/A",Table1[[#This Row],[Std Adj Read]]="N/A"),"N/A",IF(Table1[[#This Row],[DUT Adj Read]]="N/A",IF(Table1[[#This Row],[Std Adj Read]]&gt;=Table1[[#This Row],[Low Tol]],"Pass","Fail"),IF(Table1[[#This Row],[DUT Adj Read]]&gt;=Table1[[#This Row],[Low Tol]],"Pass","Fail")))</f>
        <v>Pass</v>
      </c>
      <c r="AG2637" s="1" t="str">
        <f>IF(AND(Table1[[#This Row],[Spec Type2]]="N/A",Table1[[#This Row],[DUT Adj Read]]="N/A",Table1[[#This Row],[Std Adj Read]]="N/A"),"N/A",IF(Table1[[#This Row],[DUT Adj Read]]="N/A",IF(Table1[[#This Row],[Std Adj Read]]&lt;=Table1[[#This Row],[High Tol]],"Pass","Fail"),IF(Table1[[#This Row],[DUT Adj Read]]&lt;=Table1[[#This Row],[High Tol]],"Pass","Fail")))</f>
        <v>Fail</v>
      </c>
      <c r="AH26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7" s="1" t="b">
        <v>0</v>
      </c>
      <c r="AN2637" s="1" t="b">
        <v>0</v>
      </c>
      <c r="AO2637" s="1" t="b">
        <v>0</v>
      </c>
    </row>
    <row r="2638" spans="1:41" x14ac:dyDescent="0.25">
      <c r="A2638" s="10"/>
      <c r="B2638" s="10"/>
      <c r="C2638" s="10"/>
      <c r="D2638" s="10"/>
      <c r="E2638" s="10"/>
      <c r="F2638" s="10"/>
      <c r="G2638" s="10"/>
      <c r="H2638" s="10"/>
      <c r="I2638" s="1" t="str">
        <f t="shared" si="123"/>
        <v/>
      </c>
      <c r="J2638" s="1" t="s">
        <v>35</v>
      </c>
      <c r="K2638" s="1" t="str">
        <f t="shared" si="124"/>
        <v/>
      </c>
      <c r="L2638" s="1" t="str">
        <f t="shared" si="125"/>
        <v/>
      </c>
      <c r="M2638" s="1">
        <f>IF(OR(Table1[[#This Row],[Std Nom]]="",Table1[[#This Row],[Std Read]]=""),0,Table1[[#This Row],[Std Nom]]-Table1[[#This Row],[Std Read]])</f>
        <v>0</v>
      </c>
      <c r="N2638" s="1">
        <f>IF(Calculations!$F$5="ACCREDITED 17025 WITH UNCERTAINTIES",$N$10,0)</f>
        <v>0</v>
      </c>
      <c r="Q2638" s="1">
        <f>Table1[[#This Row],[High Tol]]-Table1[[#This Row],[Low Tol]]</f>
        <v>0</v>
      </c>
      <c r="R2638" s="1">
        <f>2*Table1[[#This Row],[Std Error]]</f>
        <v>0</v>
      </c>
      <c r="S2638" s="1" t="str">
        <f>IF(Table1[[#This Row],[High Tol]]="","N/A",IFERROR(ABS(Table1[[#This Row],[Tol Span]]/Table1[[#This Row],[Error Span]]),"N/A"))</f>
        <v>N/A</v>
      </c>
      <c r="T2638" s="1" t="str">
        <f>IF(OR(Table1[[#This Row],[Low Tol]]="",Table1[[#This Row],[High Tol]]=""),"Needs Analysis",IF(Table1[[#This Row],[Ratio]]&gt;=4,"Not Significant",IF(Table1[[#This Row],[Ratio]]&gt;=2,"Semi-Significant","Significant")))</f>
        <v>Needs Analysis</v>
      </c>
      <c r="W2638" s="1">
        <f>IF(Table1[[#This Row],[Cal Type]]&lt;&gt;"ACCREDITED 17025 WITH UNCERTAINTIES",0,"")</f>
        <v>0</v>
      </c>
      <c r="X2638" s="1" t="str">
        <f>IF(Table1[[#This Row],[DUT Read]]="","N/A",Table1[[#This Row],[Std Error]]+Table1[[#This Row],[DUT Read]]+Table1[[#This Row],[DUT Ucty]])</f>
        <v>N/A</v>
      </c>
      <c r="Y2638" s="1" t="str">
        <f>IF(Table1[[#This Row],[Std Read]]="","N/A",Table1[[#This Row],[Std Read]]+Table1[[#This Row],[Std Ucty]])</f>
        <v>N/A</v>
      </c>
      <c r="Z26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8" s="1" t="str">
        <f>IF(Table1[[#This Row],[Spec Type]]="","N/A",Table1[[#This Row],[Spec Type]])</f>
        <v>±</v>
      </c>
      <c r="AC2638" s="1" t="str">
        <f>IF(Table1[[#This Row],[Spec Type2]]="N/A","N/A",IF(AND(Table1[[#This Row],[DUT Adj Read]]&gt;=Table1[[#This Row],[Low Tol]],Table1[[#This Row],[DUT Adj Read]]&lt;=Table1[[#This Row],[High Tol]]),"Pass","Fail"))</f>
        <v>Fail</v>
      </c>
      <c r="AD2638" s="1" t="str">
        <f>IF(AND(Table1[[#This Row],[Spec Type2]]="N/A",Table1[[#This Row],[DUT Adj Read]]="N/A",Table1[[#This Row],[Std Adj Read]]="N/A"),"N/A",IF(Table1[[#This Row],[DUT Adj Read]]="N/A",IF(Table1[[#This Row],[Std Adj Read]]&gt;Table1[[#This Row],[Low Tol]],"Pass","Fail"),IF(Table1[[#This Row],[DUT Adj Read]]&gt;Table1[[#This Row],[Low Tol]],"Pass","Fail")))</f>
        <v>Pass</v>
      </c>
      <c r="AE2638" s="1" t="str">
        <f>IF(AND(Table1[[#This Row],[Spec Type2]]="N/A",Table1[[#This Row],[DUT Adj Read]]="N/A",Table1[[#This Row],[Std Adj Read]]="N/A"),"N/A",IF(Table1[[#This Row],[DUT Adj Read]]="N/A",IF(Table1[[#This Row],[Std Adj Read]]&lt;Table1[[#This Row],[High Tol]],"Pass","Fail"),IF(Table1[[#This Row],[DUT Adj Read]]&lt;Table1[[#This Row],[High Tol]],"Pass","Fail")))</f>
        <v>Fail</v>
      </c>
      <c r="AF2638" s="1" t="str">
        <f>IF(AND(Table1[[#This Row],[Spec Type2]]="N/A",Table1[[#This Row],[DUT Adj Read]]="N/A",Table1[[#This Row],[Std Adj Read]]="N/A"),"N/A",IF(Table1[[#This Row],[DUT Adj Read]]="N/A",IF(Table1[[#This Row],[Std Adj Read]]&gt;=Table1[[#This Row],[Low Tol]],"Pass","Fail"),IF(Table1[[#This Row],[DUT Adj Read]]&gt;=Table1[[#This Row],[Low Tol]],"Pass","Fail")))</f>
        <v>Pass</v>
      </c>
      <c r="AG2638" s="1" t="str">
        <f>IF(AND(Table1[[#This Row],[Spec Type2]]="N/A",Table1[[#This Row],[DUT Adj Read]]="N/A",Table1[[#This Row],[Std Adj Read]]="N/A"),"N/A",IF(Table1[[#This Row],[DUT Adj Read]]="N/A",IF(Table1[[#This Row],[Std Adj Read]]&lt;=Table1[[#This Row],[High Tol]],"Pass","Fail"),IF(Table1[[#This Row],[DUT Adj Read]]&lt;=Table1[[#This Row],[High Tol]],"Pass","Fail")))</f>
        <v>Fail</v>
      </c>
      <c r="AH26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8" s="1" t="b">
        <v>0</v>
      </c>
      <c r="AN2638" s="1" t="b">
        <v>0</v>
      </c>
      <c r="AO2638" s="1" t="b">
        <v>0</v>
      </c>
    </row>
    <row r="2639" spans="1:41" x14ac:dyDescent="0.25">
      <c r="A2639" s="10"/>
      <c r="B2639" s="10"/>
      <c r="C2639" s="10"/>
      <c r="D2639" s="10"/>
      <c r="E2639" s="10"/>
      <c r="F2639" s="10"/>
      <c r="G2639" s="10"/>
      <c r="H2639" s="10"/>
      <c r="I2639" s="1" t="str">
        <f t="shared" si="123"/>
        <v/>
      </c>
      <c r="J2639" s="1" t="s">
        <v>35</v>
      </c>
      <c r="K2639" s="1" t="str">
        <f t="shared" si="124"/>
        <v/>
      </c>
      <c r="L2639" s="1" t="str">
        <f t="shared" si="125"/>
        <v/>
      </c>
      <c r="M2639" s="1">
        <f>IF(OR(Table1[[#This Row],[Std Nom]]="",Table1[[#This Row],[Std Read]]=""),0,Table1[[#This Row],[Std Nom]]-Table1[[#This Row],[Std Read]])</f>
        <v>0</v>
      </c>
      <c r="N2639" s="1">
        <f>IF(Calculations!$F$5="ACCREDITED 17025 WITH UNCERTAINTIES",$N$10,0)</f>
        <v>0</v>
      </c>
      <c r="Q2639" s="1">
        <f>Table1[[#This Row],[High Tol]]-Table1[[#This Row],[Low Tol]]</f>
        <v>0</v>
      </c>
      <c r="R2639" s="1">
        <f>2*Table1[[#This Row],[Std Error]]</f>
        <v>0</v>
      </c>
      <c r="S2639" s="1" t="str">
        <f>IF(Table1[[#This Row],[High Tol]]="","N/A",IFERROR(ABS(Table1[[#This Row],[Tol Span]]/Table1[[#This Row],[Error Span]]),"N/A"))</f>
        <v>N/A</v>
      </c>
      <c r="T2639" s="1" t="str">
        <f>IF(OR(Table1[[#This Row],[Low Tol]]="",Table1[[#This Row],[High Tol]]=""),"Needs Analysis",IF(Table1[[#This Row],[Ratio]]&gt;=4,"Not Significant",IF(Table1[[#This Row],[Ratio]]&gt;=2,"Semi-Significant","Significant")))</f>
        <v>Needs Analysis</v>
      </c>
      <c r="W2639" s="1">
        <f>IF(Table1[[#This Row],[Cal Type]]&lt;&gt;"ACCREDITED 17025 WITH UNCERTAINTIES",0,"")</f>
        <v>0</v>
      </c>
      <c r="X2639" s="1" t="str">
        <f>IF(Table1[[#This Row],[DUT Read]]="","N/A",Table1[[#This Row],[Std Error]]+Table1[[#This Row],[DUT Read]]+Table1[[#This Row],[DUT Ucty]])</f>
        <v>N/A</v>
      </c>
      <c r="Y2639" s="1" t="str">
        <f>IF(Table1[[#This Row],[Std Read]]="","N/A",Table1[[#This Row],[Std Read]]+Table1[[#This Row],[Std Ucty]])</f>
        <v>N/A</v>
      </c>
      <c r="Z26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39" s="1" t="str">
        <f>IF(Table1[[#This Row],[Spec Type]]="","N/A",Table1[[#This Row],[Spec Type]])</f>
        <v>±</v>
      </c>
      <c r="AC2639" s="1" t="str">
        <f>IF(Table1[[#This Row],[Spec Type2]]="N/A","N/A",IF(AND(Table1[[#This Row],[DUT Adj Read]]&gt;=Table1[[#This Row],[Low Tol]],Table1[[#This Row],[DUT Adj Read]]&lt;=Table1[[#This Row],[High Tol]]),"Pass","Fail"))</f>
        <v>Fail</v>
      </c>
      <c r="AD2639" s="1" t="str">
        <f>IF(AND(Table1[[#This Row],[Spec Type2]]="N/A",Table1[[#This Row],[DUT Adj Read]]="N/A",Table1[[#This Row],[Std Adj Read]]="N/A"),"N/A",IF(Table1[[#This Row],[DUT Adj Read]]="N/A",IF(Table1[[#This Row],[Std Adj Read]]&gt;Table1[[#This Row],[Low Tol]],"Pass","Fail"),IF(Table1[[#This Row],[DUT Adj Read]]&gt;Table1[[#This Row],[Low Tol]],"Pass","Fail")))</f>
        <v>Pass</v>
      </c>
      <c r="AE2639" s="1" t="str">
        <f>IF(AND(Table1[[#This Row],[Spec Type2]]="N/A",Table1[[#This Row],[DUT Adj Read]]="N/A",Table1[[#This Row],[Std Adj Read]]="N/A"),"N/A",IF(Table1[[#This Row],[DUT Adj Read]]="N/A",IF(Table1[[#This Row],[Std Adj Read]]&lt;Table1[[#This Row],[High Tol]],"Pass","Fail"),IF(Table1[[#This Row],[DUT Adj Read]]&lt;Table1[[#This Row],[High Tol]],"Pass","Fail")))</f>
        <v>Fail</v>
      </c>
      <c r="AF2639" s="1" t="str">
        <f>IF(AND(Table1[[#This Row],[Spec Type2]]="N/A",Table1[[#This Row],[DUT Adj Read]]="N/A",Table1[[#This Row],[Std Adj Read]]="N/A"),"N/A",IF(Table1[[#This Row],[DUT Adj Read]]="N/A",IF(Table1[[#This Row],[Std Adj Read]]&gt;=Table1[[#This Row],[Low Tol]],"Pass","Fail"),IF(Table1[[#This Row],[DUT Adj Read]]&gt;=Table1[[#This Row],[Low Tol]],"Pass","Fail")))</f>
        <v>Pass</v>
      </c>
      <c r="AG2639" s="1" t="str">
        <f>IF(AND(Table1[[#This Row],[Spec Type2]]="N/A",Table1[[#This Row],[DUT Adj Read]]="N/A",Table1[[#This Row],[Std Adj Read]]="N/A"),"N/A",IF(Table1[[#This Row],[DUT Adj Read]]="N/A",IF(Table1[[#This Row],[Std Adj Read]]&lt;=Table1[[#This Row],[High Tol]],"Pass","Fail"),IF(Table1[[#This Row],[DUT Adj Read]]&lt;=Table1[[#This Row],[High Tol]],"Pass","Fail")))</f>
        <v>Fail</v>
      </c>
      <c r="AH26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39" s="1" t="b">
        <v>0</v>
      </c>
      <c r="AN2639" s="1" t="b">
        <v>0</v>
      </c>
      <c r="AO2639" s="1" t="b">
        <v>0</v>
      </c>
    </row>
    <row r="2640" spans="1:41" x14ac:dyDescent="0.25">
      <c r="A2640" s="10"/>
      <c r="B2640" s="10"/>
      <c r="C2640" s="10"/>
      <c r="D2640" s="10"/>
      <c r="E2640" s="10"/>
      <c r="F2640" s="10"/>
      <c r="G2640" s="10"/>
      <c r="H2640" s="10"/>
      <c r="I2640" s="1" t="str">
        <f t="shared" si="123"/>
        <v/>
      </c>
      <c r="J2640" s="1" t="s">
        <v>35</v>
      </c>
      <c r="K2640" s="1" t="str">
        <f t="shared" si="124"/>
        <v/>
      </c>
      <c r="L2640" s="1" t="str">
        <f t="shared" si="125"/>
        <v/>
      </c>
      <c r="M2640" s="1">
        <f>IF(OR(Table1[[#This Row],[Std Nom]]="",Table1[[#This Row],[Std Read]]=""),0,Table1[[#This Row],[Std Nom]]-Table1[[#This Row],[Std Read]])</f>
        <v>0</v>
      </c>
      <c r="N2640" s="1">
        <f>IF(Calculations!$F$5="ACCREDITED 17025 WITH UNCERTAINTIES",$N$10,0)</f>
        <v>0</v>
      </c>
      <c r="Q2640" s="1">
        <f>Table1[[#This Row],[High Tol]]-Table1[[#This Row],[Low Tol]]</f>
        <v>0</v>
      </c>
      <c r="R2640" s="1">
        <f>2*Table1[[#This Row],[Std Error]]</f>
        <v>0</v>
      </c>
      <c r="S2640" s="1" t="str">
        <f>IF(Table1[[#This Row],[High Tol]]="","N/A",IFERROR(ABS(Table1[[#This Row],[Tol Span]]/Table1[[#This Row],[Error Span]]),"N/A"))</f>
        <v>N/A</v>
      </c>
      <c r="T2640" s="1" t="str">
        <f>IF(OR(Table1[[#This Row],[Low Tol]]="",Table1[[#This Row],[High Tol]]=""),"Needs Analysis",IF(Table1[[#This Row],[Ratio]]&gt;=4,"Not Significant",IF(Table1[[#This Row],[Ratio]]&gt;=2,"Semi-Significant","Significant")))</f>
        <v>Needs Analysis</v>
      </c>
      <c r="W2640" s="1">
        <f>IF(Table1[[#This Row],[Cal Type]]&lt;&gt;"ACCREDITED 17025 WITH UNCERTAINTIES",0,"")</f>
        <v>0</v>
      </c>
      <c r="X2640" s="1" t="str">
        <f>IF(Table1[[#This Row],[DUT Read]]="","N/A",Table1[[#This Row],[Std Error]]+Table1[[#This Row],[DUT Read]]+Table1[[#This Row],[DUT Ucty]])</f>
        <v>N/A</v>
      </c>
      <c r="Y2640" s="1" t="str">
        <f>IF(Table1[[#This Row],[Std Read]]="","N/A",Table1[[#This Row],[Std Read]]+Table1[[#This Row],[Std Ucty]])</f>
        <v>N/A</v>
      </c>
      <c r="Z26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0" s="1" t="str">
        <f>IF(Table1[[#This Row],[Spec Type]]="","N/A",Table1[[#This Row],[Spec Type]])</f>
        <v>±</v>
      </c>
      <c r="AC2640" s="1" t="str">
        <f>IF(Table1[[#This Row],[Spec Type2]]="N/A","N/A",IF(AND(Table1[[#This Row],[DUT Adj Read]]&gt;=Table1[[#This Row],[Low Tol]],Table1[[#This Row],[DUT Adj Read]]&lt;=Table1[[#This Row],[High Tol]]),"Pass","Fail"))</f>
        <v>Fail</v>
      </c>
      <c r="AD2640" s="1" t="str">
        <f>IF(AND(Table1[[#This Row],[Spec Type2]]="N/A",Table1[[#This Row],[DUT Adj Read]]="N/A",Table1[[#This Row],[Std Adj Read]]="N/A"),"N/A",IF(Table1[[#This Row],[DUT Adj Read]]="N/A",IF(Table1[[#This Row],[Std Adj Read]]&gt;Table1[[#This Row],[Low Tol]],"Pass","Fail"),IF(Table1[[#This Row],[DUT Adj Read]]&gt;Table1[[#This Row],[Low Tol]],"Pass","Fail")))</f>
        <v>Pass</v>
      </c>
      <c r="AE2640" s="1" t="str">
        <f>IF(AND(Table1[[#This Row],[Spec Type2]]="N/A",Table1[[#This Row],[DUT Adj Read]]="N/A",Table1[[#This Row],[Std Adj Read]]="N/A"),"N/A",IF(Table1[[#This Row],[DUT Adj Read]]="N/A",IF(Table1[[#This Row],[Std Adj Read]]&lt;Table1[[#This Row],[High Tol]],"Pass","Fail"),IF(Table1[[#This Row],[DUT Adj Read]]&lt;Table1[[#This Row],[High Tol]],"Pass","Fail")))</f>
        <v>Fail</v>
      </c>
      <c r="AF2640" s="1" t="str">
        <f>IF(AND(Table1[[#This Row],[Spec Type2]]="N/A",Table1[[#This Row],[DUT Adj Read]]="N/A",Table1[[#This Row],[Std Adj Read]]="N/A"),"N/A",IF(Table1[[#This Row],[DUT Adj Read]]="N/A",IF(Table1[[#This Row],[Std Adj Read]]&gt;=Table1[[#This Row],[Low Tol]],"Pass","Fail"),IF(Table1[[#This Row],[DUT Adj Read]]&gt;=Table1[[#This Row],[Low Tol]],"Pass","Fail")))</f>
        <v>Pass</v>
      </c>
      <c r="AG2640" s="1" t="str">
        <f>IF(AND(Table1[[#This Row],[Spec Type2]]="N/A",Table1[[#This Row],[DUT Adj Read]]="N/A",Table1[[#This Row],[Std Adj Read]]="N/A"),"N/A",IF(Table1[[#This Row],[DUT Adj Read]]="N/A",IF(Table1[[#This Row],[Std Adj Read]]&lt;=Table1[[#This Row],[High Tol]],"Pass","Fail"),IF(Table1[[#This Row],[DUT Adj Read]]&lt;=Table1[[#This Row],[High Tol]],"Pass","Fail")))</f>
        <v>Fail</v>
      </c>
      <c r="AH26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0" s="1" t="b">
        <v>0</v>
      </c>
      <c r="AN2640" s="1" t="b">
        <v>0</v>
      </c>
      <c r="AO2640" s="1" t="b">
        <v>0</v>
      </c>
    </row>
    <row r="2641" spans="1:41" x14ac:dyDescent="0.25">
      <c r="A2641" s="10"/>
      <c r="B2641" s="10"/>
      <c r="C2641" s="10"/>
      <c r="D2641" s="10"/>
      <c r="E2641" s="10"/>
      <c r="F2641" s="10"/>
      <c r="G2641" s="10"/>
      <c r="H2641" s="10"/>
      <c r="I2641" s="1" t="str">
        <f t="shared" si="123"/>
        <v/>
      </c>
      <c r="J2641" s="1" t="s">
        <v>35</v>
      </c>
      <c r="K2641" s="1" t="str">
        <f t="shared" si="124"/>
        <v/>
      </c>
      <c r="L2641" s="1" t="str">
        <f t="shared" si="125"/>
        <v/>
      </c>
      <c r="M2641" s="1">
        <f>IF(OR(Table1[[#This Row],[Std Nom]]="",Table1[[#This Row],[Std Read]]=""),0,Table1[[#This Row],[Std Nom]]-Table1[[#This Row],[Std Read]])</f>
        <v>0</v>
      </c>
      <c r="N2641" s="1">
        <f>IF(Calculations!$F$5="ACCREDITED 17025 WITH UNCERTAINTIES",$N$10,0)</f>
        <v>0</v>
      </c>
      <c r="Q2641" s="1">
        <f>Table1[[#This Row],[High Tol]]-Table1[[#This Row],[Low Tol]]</f>
        <v>0</v>
      </c>
      <c r="R2641" s="1">
        <f>2*Table1[[#This Row],[Std Error]]</f>
        <v>0</v>
      </c>
      <c r="S2641" s="1" t="str">
        <f>IF(Table1[[#This Row],[High Tol]]="","N/A",IFERROR(ABS(Table1[[#This Row],[Tol Span]]/Table1[[#This Row],[Error Span]]),"N/A"))</f>
        <v>N/A</v>
      </c>
      <c r="T2641" s="1" t="str">
        <f>IF(OR(Table1[[#This Row],[Low Tol]]="",Table1[[#This Row],[High Tol]]=""),"Needs Analysis",IF(Table1[[#This Row],[Ratio]]&gt;=4,"Not Significant",IF(Table1[[#This Row],[Ratio]]&gt;=2,"Semi-Significant","Significant")))</f>
        <v>Needs Analysis</v>
      </c>
      <c r="W2641" s="1">
        <f>IF(Table1[[#This Row],[Cal Type]]&lt;&gt;"ACCREDITED 17025 WITH UNCERTAINTIES",0,"")</f>
        <v>0</v>
      </c>
      <c r="X2641" s="1" t="str">
        <f>IF(Table1[[#This Row],[DUT Read]]="","N/A",Table1[[#This Row],[Std Error]]+Table1[[#This Row],[DUT Read]]+Table1[[#This Row],[DUT Ucty]])</f>
        <v>N/A</v>
      </c>
      <c r="Y2641" s="1" t="str">
        <f>IF(Table1[[#This Row],[Std Read]]="","N/A",Table1[[#This Row],[Std Read]]+Table1[[#This Row],[Std Ucty]])</f>
        <v>N/A</v>
      </c>
      <c r="Z26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1" s="1" t="str">
        <f>IF(Table1[[#This Row],[Spec Type]]="","N/A",Table1[[#This Row],[Spec Type]])</f>
        <v>±</v>
      </c>
      <c r="AC2641" s="1" t="str">
        <f>IF(Table1[[#This Row],[Spec Type2]]="N/A","N/A",IF(AND(Table1[[#This Row],[DUT Adj Read]]&gt;=Table1[[#This Row],[Low Tol]],Table1[[#This Row],[DUT Adj Read]]&lt;=Table1[[#This Row],[High Tol]]),"Pass","Fail"))</f>
        <v>Fail</v>
      </c>
      <c r="AD2641" s="1" t="str">
        <f>IF(AND(Table1[[#This Row],[Spec Type2]]="N/A",Table1[[#This Row],[DUT Adj Read]]="N/A",Table1[[#This Row],[Std Adj Read]]="N/A"),"N/A",IF(Table1[[#This Row],[DUT Adj Read]]="N/A",IF(Table1[[#This Row],[Std Adj Read]]&gt;Table1[[#This Row],[Low Tol]],"Pass","Fail"),IF(Table1[[#This Row],[DUT Adj Read]]&gt;Table1[[#This Row],[Low Tol]],"Pass","Fail")))</f>
        <v>Pass</v>
      </c>
      <c r="AE2641" s="1" t="str">
        <f>IF(AND(Table1[[#This Row],[Spec Type2]]="N/A",Table1[[#This Row],[DUT Adj Read]]="N/A",Table1[[#This Row],[Std Adj Read]]="N/A"),"N/A",IF(Table1[[#This Row],[DUT Adj Read]]="N/A",IF(Table1[[#This Row],[Std Adj Read]]&lt;Table1[[#This Row],[High Tol]],"Pass","Fail"),IF(Table1[[#This Row],[DUT Adj Read]]&lt;Table1[[#This Row],[High Tol]],"Pass","Fail")))</f>
        <v>Fail</v>
      </c>
      <c r="AF2641" s="1" t="str">
        <f>IF(AND(Table1[[#This Row],[Spec Type2]]="N/A",Table1[[#This Row],[DUT Adj Read]]="N/A",Table1[[#This Row],[Std Adj Read]]="N/A"),"N/A",IF(Table1[[#This Row],[DUT Adj Read]]="N/A",IF(Table1[[#This Row],[Std Adj Read]]&gt;=Table1[[#This Row],[Low Tol]],"Pass","Fail"),IF(Table1[[#This Row],[DUT Adj Read]]&gt;=Table1[[#This Row],[Low Tol]],"Pass","Fail")))</f>
        <v>Pass</v>
      </c>
      <c r="AG2641" s="1" t="str">
        <f>IF(AND(Table1[[#This Row],[Spec Type2]]="N/A",Table1[[#This Row],[DUT Adj Read]]="N/A",Table1[[#This Row],[Std Adj Read]]="N/A"),"N/A",IF(Table1[[#This Row],[DUT Adj Read]]="N/A",IF(Table1[[#This Row],[Std Adj Read]]&lt;=Table1[[#This Row],[High Tol]],"Pass","Fail"),IF(Table1[[#This Row],[DUT Adj Read]]&lt;=Table1[[#This Row],[High Tol]],"Pass","Fail")))</f>
        <v>Fail</v>
      </c>
      <c r="AH26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1" s="1" t="b">
        <v>0</v>
      </c>
      <c r="AN2641" s="1" t="b">
        <v>0</v>
      </c>
      <c r="AO2641" s="1" t="b">
        <v>0</v>
      </c>
    </row>
    <row r="2642" spans="1:41" x14ac:dyDescent="0.25">
      <c r="A2642" s="10"/>
      <c r="B2642" s="10"/>
      <c r="C2642" s="10"/>
      <c r="D2642" s="10"/>
      <c r="E2642" s="10"/>
      <c r="F2642" s="10"/>
      <c r="G2642" s="10"/>
      <c r="H2642" s="10"/>
      <c r="I2642" s="1" t="str">
        <f t="shared" si="123"/>
        <v/>
      </c>
      <c r="J2642" s="1" t="s">
        <v>35</v>
      </c>
      <c r="K2642" s="1" t="str">
        <f t="shared" si="124"/>
        <v/>
      </c>
      <c r="L2642" s="1" t="str">
        <f t="shared" si="125"/>
        <v/>
      </c>
      <c r="M2642" s="1">
        <f>IF(OR(Table1[[#This Row],[Std Nom]]="",Table1[[#This Row],[Std Read]]=""),0,Table1[[#This Row],[Std Nom]]-Table1[[#This Row],[Std Read]])</f>
        <v>0</v>
      </c>
      <c r="N2642" s="1">
        <f>IF(Calculations!$F$5="ACCREDITED 17025 WITH UNCERTAINTIES",$N$10,0)</f>
        <v>0</v>
      </c>
      <c r="Q2642" s="1">
        <f>Table1[[#This Row],[High Tol]]-Table1[[#This Row],[Low Tol]]</f>
        <v>0</v>
      </c>
      <c r="R2642" s="1">
        <f>2*Table1[[#This Row],[Std Error]]</f>
        <v>0</v>
      </c>
      <c r="S2642" s="1" t="str">
        <f>IF(Table1[[#This Row],[High Tol]]="","N/A",IFERROR(ABS(Table1[[#This Row],[Tol Span]]/Table1[[#This Row],[Error Span]]),"N/A"))</f>
        <v>N/A</v>
      </c>
      <c r="T2642" s="1" t="str">
        <f>IF(OR(Table1[[#This Row],[Low Tol]]="",Table1[[#This Row],[High Tol]]=""),"Needs Analysis",IF(Table1[[#This Row],[Ratio]]&gt;=4,"Not Significant",IF(Table1[[#This Row],[Ratio]]&gt;=2,"Semi-Significant","Significant")))</f>
        <v>Needs Analysis</v>
      </c>
      <c r="W2642" s="1">
        <f>IF(Table1[[#This Row],[Cal Type]]&lt;&gt;"ACCREDITED 17025 WITH UNCERTAINTIES",0,"")</f>
        <v>0</v>
      </c>
      <c r="X2642" s="1" t="str">
        <f>IF(Table1[[#This Row],[DUT Read]]="","N/A",Table1[[#This Row],[Std Error]]+Table1[[#This Row],[DUT Read]]+Table1[[#This Row],[DUT Ucty]])</f>
        <v>N/A</v>
      </c>
      <c r="Y2642" s="1" t="str">
        <f>IF(Table1[[#This Row],[Std Read]]="","N/A",Table1[[#This Row],[Std Read]]+Table1[[#This Row],[Std Ucty]])</f>
        <v>N/A</v>
      </c>
      <c r="Z26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2" s="1" t="str">
        <f>IF(Table1[[#This Row],[Spec Type]]="","N/A",Table1[[#This Row],[Spec Type]])</f>
        <v>±</v>
      </c>
      <c r="AC2642" s="1" t="str">
        <f>IF(Table1[[#This Row],[Spec Type2]]="N/A","N/A",IF(AND(Table1[[#This Row],[DUT Adj Read]]&gt;=Table1[[#This Row],[Low Tol]],Table1[[#This Row],[DUT Adj Read]]&lt;=Table1[[#This Row],[High Tol]]),"Pass","Fail"))</f>
        <v>Fail</v>
      </c>
      <c r="AD2642" s="1" t="str">
        <f>IF(AND(Table1[[#This Row],[Spec Type2]]="N/A",Table1[[#This Row],[DUT Adj Read]]="N/A",Table1[[#This Row],[Std Adj Read]]="N/A"),"N/A",IF(Table1[[#This Row],[DUT Adj Read]]="N/A",IF(Table1[[#This Row],[Std Adj Read]]&gt;Table1[[#This Row],[Low Tol]],"Pass","Fail"),IF(Table1[[#This Row],[DUT Adj Read]]&gt;Table1[[#This Row],[Low Tol]],"Pass","Fail")))</f>
        <v>Pass</v>
      </c>
      <c r="AE2642" s="1" t="str">
        <f>IF(AND(Table1[[#This Row],[Spec Type2]]="N/A",Table1[[#This Row],[DUT Adj Read]]="N/A",Table1[[#This Row],[Std Adj Read]]="N/A"),"N/A",IF(Table1[[#This Row],[DUT Adj Read]]="N/A",IF(Table1[[#This Row],[Std Adj Read]]&lt;Table1[[#This Row],[High Tol]],"Pass","Fail"),IF(Table1[[#This Row],[DUT Adj Read]]&lt;Table1[[#This Row],[High Tol]],"Pass","Fail")))</f>
        <v>Fail</v>
      </c>
      <c r="AF2642" s="1" t="str">
        <f>IF(AND(Table1[[#This Row],[Spec Type2]]="N/A",Table1[[#This Row],[DUT Adj Read]]="N/A",Table1[[#This Row],[Std Adj Read]]="N/A"),"N/A",IF(Table1[[#This Row],[DUT Adj Read]]="N/A",IF(Table1[[#This Row],[Std Adj Read]]&gt;=Table1[[#This Row],[Low Tol]],"Pass","Fail"),IF(Table1[[#This Row],[DUT Adj Read]]&gt;=Table1[[#This Row],[Low Tol]],"Pass","Fail")))</f>
        <v>Pass</v>
      </c>
      <c r="AG2642" s="1" t="str">
        <f>IF(AND(Table1[[#This Row],[Spec Type2]]="N/A",Table1[[#This Row],[DUT Adj Read]]="N/A",Table1[[#This Row],[Std Adj Read]]="N/A"),"N/A",IF(Table1[[#This Row],[DUT Adj Read]]="N/A",IF(Table1[[#This Row],[Std Adj Read]]&lt;=Table1[[#This Row],[High Tol]],"Pass","Fail"),IF(Table1[[#This Row],[DUT Adj Read]]&lt;=Table1[[#This Row],[High Tol]],"Pass","Fail")))</f>
        <v>Fail</v>
      </c>
      <c r="AH26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2" s="1" t="b">
        <v>0</v>
      </c>
      <c r="AN2642" s="1" t="b">
        <v>0</v>
      </c>
      <c r="AO2642" s="1" t="b">
        <v>0</v>
      </c>
    </row>
    <row r="2643" spans="1:41" x14ac:dyDescent="0.25">
      <c r="A2643" s="10"/>
      <c r="B2643" s="10"/>
      <c r="C2643" s="10"/>
      <c r="D2643" s="10"/>
      <c r="E2643" s="10"/>
      <c r="F2643" s="10"/>
      <c r="G2643" s="10"/>
      <c r="H2643" s="10"/>
      <c r="I2643" s="1" t="str">
        <f t="shared" si="123"/>
        <v/>
      </c>
      <c r="J2643" s="1" t="s">
        <v>35</v>
      </c>
      <c r="K2643" s="1" t="str">
        <f t="shared" si="124"/>
        <v/>
      </c>
      <c r="L2643" s="1" t="str">
        <f t="shared" si="125"/>
        <v/>
      </c>
      <c r="M2643" s="1">
        <f>IF(OR(Table1[[#This Row],[Std Nom]]="",Table1[[#This Row],[Std Read]]=""),0,Table1[[#This Row],[Std Nom]]-Table1[[#This Row],[Std Read]])</f>
        <v>0</v>
      </c>
      <c r="N2643" s="1">
        <f>IF(Calculations!$F$5="ACCREDITED 17025 WITH UNCERTAINTIES",$N$10,0)</f>
        <v>0</v>
      </c>
      <c r="Q2643" s="1">
        <f>Table1[[#This Row],[High Tol]]-Table1[[#This Row],[Low Tol]]</f>
        <v>0</v>
      </c>
      <c r="R2643" s="1">
        <f>2*Table1[[#This Row],[Std Error]]</f>
        <v>0</v>
      </c>
      <c r="S2643" s="1" t="str">
        <f>IF(Table1[[#This Row],[High Tol]]="","N/A",IFERROR(ABS(Table1[[#This Row],[Tol Span]]/Table1[[#This Row],[Error Span]]),"N/A"))</f>
        <v>N/A</v>
      </c>
      <c r="T2643" s="1" t="str">
        <f>IF(OR(Table1[[#This Row],[Low Tol]]="",Table1[[#This Row],[High Tol]]=""),"Needs Analysis",IF(Table1[[#This Row],[Ratio]]&gt;=4,"Not Significant",IF(Table1[[#This Row],[Ratio]]&gt;=2,"Semi-Significant","Significant")))</f>
        <v>Needs Analysis</v>
      </c>
      <c r="W2643" s="1">
        <f>IF(Table1[[#This Row],[Cal Type]]&lt;&gt;"ACCREDITED 17025 WITH UNCERTAINTIES",0,"")</f>
        <v>0</v>
      </c>
      <c r="X2643" s="1" t="str">
        <f>IF(Table1[[#This Row],[DUT Read]]="","N/A",Table1[[#This Row],[Std Error]]+Table1[[#This Row],[DUT Read]]+Table1[[#This Row],[DUT Ucty]])</f>
        <v>N/A</v>
      </c>
      <c r="Y2643" s="1" t="str">
        <f>IF(Table1[[#This Row],[Std Read]]="","N/A",Table1[[#This Row],[Std Read]]+Table1[[#This Row],[Std Ucty]])</f>
        <v>N/A</v>
      </c>
      <c r="Z26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3" s="1" t="str">
        <f>IF(Table1[[#This Row],[Spec Type]]="","N/A",Table1[[#This Row],[Spec Type]])</f>
        <v>±</v>
      </c>
      <c r="AC2643" s="1" t="str">
        <f>IF(Table1[[#This Row],[Spec Type2]]="N/A","N/A",IF(AND(Table1[[#This Row],[DUT Adj Read]]&gt;=Table1[[#This Row],[Low Tol]],Table1[[#This Row],[DUT Adj Read]]&lt;=Table1[[#This Row],[High Tol]]),"Pass","Fail"))</f>
        <v>Fail</v>
      </c>
      <c r="AD2643" s="1" t="str">
        <f>IF(AND(Table1[[#This Row],[Spec Type2]]="N/A",Table1[[#This Row],[DUT Adj Read]]="N/A",Table1[[#This Row],[Std Adj Read]]="N/A"),"N/A",IF(Table1[[#This Row],[DUT Adj Read]]="N/A",IF(Table1[[#This Row],[Std Adj Read]]&gt;Table1[[#This Row],[Low Tol]],"Pass","Fail"),IF(Table1[[#This Row],[DUT Adj Read]]&gt;Table1[[#This Row],[Low Tol]],"Pass","Fail")))</f>
        <v>Pass</v>
      </c>
      <c r="AE2643" s="1" t="str">
        <f>IF(AND(Table1[[#This Row],[Spec Type2]]="N/A",Table1[[#This Row],[DUT Adj Read]]="N/A",Table1[[#This Row],[Std Adj Read]]="N/A"),"N/A",IF(Table1[[#This Row],[DUT Adj Read]]="N/A",IF(Table1[[#This Row],[Std Adj Read]]&lt;Table1[[#This Row],[High Tol]],"Pass","Fail"),IF(Table1[[#This Row],[DUT Adj Read]]&lt;Table1[[#This Row],[High Tol]],"Pass","Fail")))</f>
        <v>Fail</v>
      </c>
      <c r="AF2643" s="1" t="str">
        <f>IF(AND(Table1[[#This Row],[Spec Type2]]="N/A",Table1[[#This Row],[DUT Adj Read]]="N/A",Table1[[#This Row],[Std Adj Read]]="N/A"),"N/A",IF(Table1[[#This Row],[DUT Adj Read]]="N/A",IF(Table1[[#This Row],[Std Adj Read]]&gt;=Table1[[#This Row],[Low Tol]],"Pass","Fail"),IF(Table1[[#This Row],[DUT Adj Read]]&gt;=Table1[[#This Row],[Low Tol]],"Pass","Fail")))</f>
        <v>Pass</v>
      </c>
      <c r="AG2643" s="1" t="str">
        <f>IF(AND(Table1[[#This Row],[Spec Type2]]="N/A",Table1[[#This Row],[DUT Adj Read]]="N/A",Table1[[#This Row],[Std Adj Read]]="N/A"),"N/A",IF(Table1[[#This Row],[DUT Adj Read]]="N/A",IF(Table1[[#This Row],[Std Adj Read]]&lt;=Table1[[#This Row],[High Tol]],"Pass","Fail"),IF(Table1[[#This Row],[DUT Adj Read]]&lt;=Table1[[#This Row],[High Tol]],"Pass","Fail")))</f>
        <v>Fail</v>
      </c>
      <c r="AH26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3" s="1" t="b">
        <v>0</v>
      </c>
      <c r="AN2643" s="1" t="b">
        <v>0</v>
      </c>
      <c r="AO2643" s="1" t="b">
        <v>0</v>
      </c>
    </row>
    <row r="2644" spans="1:41" x14ac:dyDescent="0.25">
      <c r="A2644" s="10"/>
      <c r="B2644" s="10"/>
      <c r="C2644" s="10"/>
      <c r="D2644" s="10"/>
      <c r="E2644" s="10"/>
      <c r="F2644" s="10"/>
      <c r="G2644" s="10"/>
      <c r="H2644" s="10"/>
      <c r="I2644" s="1" t="str">
        <f t="shared" si="123"/>
        <v/>
      </c>
      <c r="J2644" s="1" t="s">
        <v>35</v>
      </c>
      <c r="K2644" s="1" t="str">
        <f t="shared" si="124"/>
        <v/>
      </c>
      <c r="L2644" s="1" t="str">
        <f t="shared" si="125"/>
        <v/>
      </c>
      <c r="M2644" s="1">
        <f>IF(OR(Table1[[#This Row],[Std Nom]]="",Table1[[#This Row],[Std Read]]=""),0,Table1[[#This Row],[Std Nom]]-Table1[[#This Row],[Std Read]])</f>
        <v>0</v>
      </c>
      <c r="N2644" s="1">
        <f>IF(Calculations!$F$5="ACCREDITED 17025 WITH UNCERTAINTIES",$N$10,0)</f>
        <v>0</v>
      </c>
      <c r="Q2644" s="1">
        <f>Table1[[#This Row],[High Tol]]-Table1[[#This Row],[Low Tol]]</f>
        <v>0</v>
      </c>
      <c r="R2644" s="1">
        <f>2*Table1[[#This Row],[Std Error]]</f>
        <v>0</v>
      </c>
      <c r="S2644" s="1" t="str">
        <f>IF(Table1[[#This Row],[High Tol]]="","N/A",IFERROR(ABS(Table1[[#This Row],[Tol Span]]/Table1[[#This Row],[Error Span]]),"N/A"))</f>
        <v>N/A</v>
      </c>
      <c r="T2644" s="1" t="str">
        <f>IF(OR(Table1[[#This Row],[Low Tol]]="",Table1[[#This Row],[High Tol]]=""),"Needs Analysis",IF(Table1[[#This Row],[Ratio]]&gt;=4,"Not Significant",IF(Table1[[#This Row],[Ratio]]&gt;=2,"Semi-Significant","Significant")))</f>
        <v>Needs Analysis</v>
      </c>
      <c r="W2644" s="1">
        <f>IF(Table1[[#This Row],[Cal Type]]&lt;&gt;"ACCREDITED 17025 WITH UNCERTAINTIES",0,"")</f>
        <v>0</v>
      </c>
      <c r="X2644" s="1" t="str">
        <f>IF(Table1[[#This Row],[DUT Read]]="","N/A",Table1[[#This Row],[Std Error]]+Table1[[#This Row],[DUT Read]]+Table1[[#This Row],[DUT Ucty]])</f>
        <v>N/A</v>
      </c>
      <c r="Y2644" s="1" t="str">
        <f>IF(Table1[[#This Row],[Std Read]]="","N/A",Table1[[#This Row],[Std Read]]+Table1[[#This Row],[Std Ucty]])</f>
        <v>N/A</v>
      </c>
      <c r="Z26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4" s="1" t="str">
        <f>IF(Table1[[#This Row],[Spec Type]]="","N/A",Table1[[#This Row],[Spec Type]])</f>
        <v>±</v>
      </c>
      <c r="AC2644" s="1" t="str">
        <f>IF(Table1[[#This Row],[Spec Type2]]="N/A","N/A",IF(AND(Table1[[#This Row],[DUT Adj Read]]&gt;=Table1[[#This Row],[Low Tol]],Table1[[#This Row],[DUT Adj Read]]&lt;=Table1[[#This Row],[High Tol]]),"Pass","Fail"))</f>
        <v>Fail</v>
      </c>
      <c r="AD2644" s="1" t="str">
        <f>IF(AND(Table1[[#This Row],[Spec Type2]]="N/A",Table1[[#This Row],[DUT Adj Read]]="N/A",Table1[[#This Row],[Std Adj Read]]="N/A"),"N/A",IF(Table1[[#This Row],[DUT Adj Read]]="N/A",IF(Table1[[#This Row],[Std Adj Read]]&gt;Table1[[#This Row],[Low Tol]],"Pass","Fail"),IF(Table1[[#This Row],[DUT Adj Read]]&gt;Table1[[#This Row],[Low Tol]],"Pass","Fail")))</f>
        <v>Pass</v>
      </c>
      <c r="AE2644" s="1" t="str">
        <f>IF(AND(Table1[[#This Row],[Spec Type2]]="N/A",Table1[[#This Row],[DUT Adj Read]]="N/A",Table1[[#This Row],[Std Adj Read]]="N/A"),"N/A",IF(Table1[[#This Row],[DUT Adj Read]]="N/A",IF(Table1[[#This Row],[Std Adj Read]]&lt;Table1[[#This Row],[High Tol]],"Pass","Fail"),IF(Table1[[#This Row],[DUT Adj Read]]&lt;Table1[[#This Row],[High Tol]],"Pass","Fail")))</f>
        <v>Fail</v>
      </c>
      <c r="AF2644" s="1" t="str">
        <f>IF(AND(Table1[[#This Row],[Spec Type2]]="N/A",Table1[[#This Row],[DUT Adj Read]]="N/A",Table1[[#This Row],[Std Adj Read]]="N/A"),"N/A",IF(Table1[[#This Row],[DUT Adj Read]]="N/A",IF(Table1[[#This Row],[Std Adj Read]]&gt;=Table1[[#This Row],[Low Tol]],"Pass","Fail"),IF(Table1[[#This Row],[DUT Adj Read]]&gt;=Table1[[#This Row],[Low Tol]],"Pass","Fail")))</f>
        <v>Pass</v>
      </c>
      <c r="AG2644" s="1" t="str">
        <f>IF(AND(Table1[[#This Row],[Spec Type2]]="N/A",Table1[[#This Row],[DUT Adj Read]]="N/A",Table1[[#This Row],[Std Adj Read]]="N/A"),"N/A",IF(Table1[[#This Row],[DUT Adj Read]]="N/A",IF(Table1[[#This Row],[Std Adj Read]]&lt;=Table1[[#This Row],[High Tol]],"Pass","Fail"),IF(Table1[[#This Row],[DUT Adj Read]]&lt;=Table1[[#This Row],[High Tol]],"Pass","Fail")))</f>
        <v>Fail</v>
      </c>
      <c r="AH26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4" s="1" t="b">
        <v>0</v>
      </c>
      <c r="AN2644" s="1" t="b">
        <v>0</v>
      </c>
      <c r="AO2644" s="1" t="b">
        <v>0</v>
      </c>
    </row>
    <row r="2645" spans="1:41" x14ac:dyDescent="0.25">
      <c r="A2645" s="10"/>
      <c r="B2645" s="10"/>
      <c r="C2645" s="10"/>
      <c r="D2645" s="10"/>
      <c r="E2645" s="10"/>
      <c r="F2645" s="10"/>
      <c r="G2645" s="10"/>
      <c r="H2645" s="10"/>
      <c r="I2645" s="1" t="str">
        <f t="shared" si="123"/>
        <v/>
      </c>
      <c r="J2645" s="1" t="s">
        <v>35</v>
      </c>
      <c r="K2645" s="1" t="str">
        <f t="shared" si="124"/>
        <v/>
      </c>
      <c r="L2645" s="1" t="str">
        <f t="shared" si="125"/>
        <v/>
      </c>
      <c r="M2645" s="1">
        <f>IF(OR(Table1[[#This Row],[Std Nom]]="",Table1[[#This Row],[Std Read]]=""),0,Table1[[#This Row],[Std Nom]]-Table1[[#This Row],[Std Read]])</f>
        <v>0</v>
      </c>
      <c r="N2645" s="1">
        <f>IF(Calculations!$F$5="ACCREDITED 17025 WITH UNCERTAINTIES",$N$10,0)</f>
        <v>0</v>
      </c>
      <c r="Q2645" s="1">
        <f>Table1[[#This Row],[High Tol]]-Table1[[#This Row],[Low Tol]]</f>
        <v>0</v>
      </c>
      <c r="R2645" s="1">
        <f>2*Table1[[#This Row],[Std Error]]</f>
        <v>0</v>
      </c>
      <c r="S2645" s="1" t="str">
        <f>IF(Table1[[#This Row],[High Tol]]="","N/A",IFERROR(ABS(Table1[[#This Row],[Tol Span]]/Table1[[#This Row],[Error Span]]),"N/A"))</f>
        <v>N/A</v>
      </c>
      <c r="T2645" s="1" t="str">
        <f>IF(OR(Table1[[#This Row],[Low Tol]]="",Table1[[#This Row],[High Tol]]=""),"Needs Analysis",IF(Table1[[#This Row],[Ratio]]&gt;=4,"Not Significant",IF(Table1[[#This Row],[Ratio]]&gt;=2,"Semi-Significant","Significant")))</f>
        <v>Needs Analysis</v>
      </c>
      <c r="W2645" s="1">
        <f>IF(Table1[[#This Row],[Cal Type]]&lt;&gt;"ACCREDITED 17025 WITH UNCERTAINTIES",0,"")</f>
        <v>0</v>
      </c>
      <c r="X2645" s="1" t="str">
        <f>IF(Table1[[#This Row],[DUT Read]]="","N/A",Table1[[#This Row],[Std Error]]+Table1[[#This Row],[DUT Read]]+Table1[[#This Row],[DUT Ucty]])</f>
        <v>N/A</v>
      </c>
      <c r="Y2645" s="1" t="str">
        <f>IF(Table1[[#This Row],[Std Read]]="","N/A",Table1[[#This Row],[Std Read]]+Table1[[#This Row],[Std Ucty]])</f>
        <v>N/A</v>
      </c>
      <c r="Z26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5" s="1" t="str">
        <f>IF(Table1[[#This Row],[Spec Type]]="","N/A",Table1[[#This Row],[Spec Type]])</f>
        <v>±</v>
      </c>
      <c r="AC2645" s="1" t="str">
        <f>IF(Table1[[#This Row],[Spec Type2]]="N/A","N/A",IF(AND(Table1[[#This Row],[DUT Adj Read]]&gt;=Table1[[#This Row],[Low Tol]],Table1[[#This Row],[DUT Adj Read]]&lt;=Table1[[#This Row],[High Tol]]),"Pass","Fail"))</f>
        <v>Fail</v>
      </c>
      <c r="AD2645" s="1" t="str">
        <f>IF(AND(Table1[[#This Row],[Spec Type2]]="N/A",Table1[[#This Row],[DUT Adj Read]]="N/A",Table1[[#This Row],[Std Adj Read]]="N/A"),"N/A",IF(Table1[[#This Row],[DUT Adj Read]]="N/A",IF(Table1[[#This Row],[Std Adj Read]]&gt;Table1[[#This Row],[Low Tol]],"Pass","Fail"),IF(Table1[[#This Row],[DUT Adj Read]]&gt;Table1[[#This Row],[Low Tol]],"Pass","Fail")))</f>
        <v>Pass</v>
      </c>
      <c r="AE2645" s="1" t="str">
        <f>IF(AND(Table1[[#This Row],[Spec Type2]]="N/A",Table1[[#This Row],[DUT Adj Read]]="N/A",Table1[[#This Row],[Std Adj Read]]="N/A"),"N/A",IF(Table1[[#This Row],[DUT Adj Read]]="N/A",IF(Table1[[#This Row],[Std Adj Read]]&lt;Table1[[#This Row],[High Tol]],"Pass","Fail"),IF(Table1[[#This Row],[DUT Adj Read]]&lt;Table1[[#This Row],[High Tol]],"Pass","Fail")))</f>
        <v>Fail</v>
      </c>
      <c r="AF2645" s="1" t="str">
        <f>IF(AND(Table1[[#This Row],[Spec Type2]]="N/A",Table1[[#This Row],[DUT Adj Read]]="N/A",Table1[[#This Row],[Std Adj Read]]="N/A"),"N/A",IF(Table1[[#This Row],[DUT Adj Read]]="N/A",IF(Table1[[#This Row],[Std Adj Read]]&gt;=Table1[[#This Row],[Low Tol]],"Pass","Fail"),IF(Table1[[#This Row],[DUT Adj Read]]&gt;=Table1[[#This Row],[Low Tol]],"Pass","Fail")))</f>
        <v>Pass</v>
      </c>
      <c r="AG2645" s="1" t="str">
        <f>IF(AND(Table1[[#This Row],[Spec Type2]]="N/A",Table1[[#This Row],[DUT Adj Read]]="N/A",Table1[[#This Row],[Std Adj Read]]="N/A"),"N/A",IF(Table1[[#This Row],[DUT Adj Read]]="N/A",IF(Table1[[#This Row],[Std Adj Read]]&lt;=Table1[[#This Row],[High Tol]],"Pass","Fail"),IF(Table1[[#This Row],[DUT Adj Read]]&lt;=Table1[[#This Row],[High Tol]],"Pass","Fail")))</f>
        <v>Fail</v>
      </c>
      <c r="AH26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5" s="1" t="b">
        <v>0</v>
      </c>
      <c r="AN2645" s="1" t="b">
        <v>0</v>
      </c>
      <c r="AO2645" s="1" t="b">
        <v>0</v>
      </c>
    </row>
    <row r="2646" spans="1:41" x14ac:dyDescent="0.25">
      <c r="A2646" s="10"/>
      <c r="B2646" s="10"/>
      <c r="C2646" s="10"/>
      <c r="D2646" s="10"/>
      <c r="E2646" s="10"/>
      <c r="F2646" s="10"/>
      <c r="G2646" s="10"/>
      <c r="H2646" s="10"/>
      <c r="I2646" s="1" t="str">
        <f t="shared" si="123"/>
        <v/>
      </c>
      <c r="J2646" s="1" t="s">
        <v>35</v>
      </c>
      <c r="K2646" s="1" t="str">
        <f t="shared" si="124"/>
        <v/>
      </c>
      <c r="L2646" s="1" t="str">
        <f t="shared" si="125"/>
        <v/>
      </c>
      <c r="M2646" s="1">
        <f>IF(OR(Table1[[#This Row],[Std Nom]]="",Table1[[#This Row],[Std Read]]=""),0,Table1[[#This Row],[Std Nom]]-Table1[[#This Row],[Std Read]])</f>
        <v>0</v>
      </c>
      <c r="N2646" s="1">
        <f>IF(Calculations!$F$5="ACCREDITED 17025 WITH UNCERTAINTIES",$N$10,0)</f>
        <v>0</v>
      </c>
      <c r="Q2646" s="1">
        <f>Table1[[#This Row],[High Tol]]-Table1[[#This Row],[Low Tol]]</f>
        <v>0</v>
      </c>
      <c r="R2646" s="1">
        <f>2*Table1[[#This Row],[Std Error]]</f>
        <v>0</v>
      </c>
      <c r="S2646" s="1" t="str">
        <f>IF(Table1[[#This Row],[High Tol]]="","N/A",IFERROR(ABS(Table1[[#This Row],[Tol Span]]/Table1[[#This Row],[Error Span]]),"N/A"))</f>
        <v>N/A</v>
      </c>
      <c r="T2646" s="1" t="str">
        <f>IF(OR(Table1[[#This Row],[Low Tol]]="",Table1[[#This Row],[High Tol]]=""),"Needs Analysis",IF(Table1[[#This Row],[Ratio]]&gt;=4,"Not Significant",IF(Table1[[#This Row],[Ratio]]&gt;=2,"Semi-Significant","Significant")))</f>
        <v>Needs Analysis</v>
      </c>
      <c r="W2646" s="1">
        <f>IF(Table1[[#This Row],[Cal Type]]&lt;&gt;"ACCREDITED 17025 WITH UNCERTAINTIES",0,"")</f>
        <v>0</v>
      </c>
      <c r="X2646" s="1" t="str">
        <f>IF(Table1[[#This Row],[DUT Read]]="","N/A",Table1[[#This Row],[Std Error]]+Table1[[#This Row],[DUT Read]]+Table1[[#This Row],[DUT Ucty]])</f>
        <v>N/A</v>
      </c>
      <c r="Y2646" s="1" t="str">
        <f>IF(Table1[[#This Row],[Std Read]]="","N/A",Table1[[#This Row],[Std Read]]+Table1[[#This Row],[Std Ucty]])</f>
        <v>N/A</v>
      </c>
      <c r="Z26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6" s="1" t="str">
        <f>IF(Table1[[#This Row],[Spec Type]]="","N/A",Table1[[#This Row],[Spec Type]])</f>
        <v>±</v>
      </c>
      <c r="AC2646" s="1" t="str">
        <f>IF(Table1[[#This Row],[Spec Type2]]="N/A","N/A",IF(AND(Table1[[#This Row],[DUT Adj Read]]&gt;=Table1[[#This Row],[Low Tol]],Table1[[#This Row],[DUT Adj Read]]&lt;=Table1[[#This Row],[High Tol]]),"Pass","Fail"))</f>
        <v>Fail</v>
      </c>
      <c r="AD2646" s="1" t="str">
        <f>IF(AND(Table1[[#This Row],[Spec Type2]]="N/A",Table1[[#This Row],[DUT Adj Read]]="N/A",Table1[[#This Row],[Std Adj Read]]="N/A"),"N/A",IF(Table1[[#This Row],[DUT Adj Read]]="N/A",IF(Table1[[#This Row],[Std Adj Read]]&gt;Table1[[#This Row],[Low Tol]],"Pass","Fail"),IF(Table1[[#This Row],[DUT Adj Read]]&gt;Table1[[#This Row],[Low Tol]],"Pass","Fail")))</f>
        <v>Pass</v>
      </c>
      <c r="AE2646" s="1" t="str">
        <f>IF(AND(Table1[[#This Row],[Spec Type2]]="N/A",Table1[[#This Row],[DUT Adj Read]]="N/A",Table1[[#This Row],[Std Adj Read]]="N/A"),"N/A",IF(Table1[[#This Row],[DUT Adj Read]]="N/A",IF(Table1[[#This Row],[Std Adj Read]]&lt;Table1[[#This Row],[High Tol]],"Pass","Fail"),IF(Table1[[#This Row],[DUT Adj Read]]&lt;Table1[[#This Row],[High Tol]],"Pass","Fail")))</f>
        <v>Fail</v>
      </c>
      <c r="AF2646" s="1" t="str">
        <f>IF(AND(Table1[[#This Row],[Spec Type2]]="N/A",Table1[[#This Row],[DUT Adj Read]]="N/A",Table1[[#This Row],[Std Adj Read]]="N/A"),"N/A",IF(Table1[[#This Row],[DUT Adj Read]]="N/A",IF(Table1[[#This Row],[Std Adj Read]]&gt;=Table1[[#This Row],[Low Tol]],"Pass","Fail"),IF(Table1[[#This Row],[DUT Adj Read]]&gt;=Table1[[#This Row],[Low Tol]],"Pass","Fail")))</f>
        <v>Pass</v>
      </c>
      <c r="AG2646" s="1" t="str">
        <f>IF(AND(Table1[[#This Row],[Spec Type2]]="N/A",Table1[[#This Row],[DUT Adj Read]]="N/A",Table1[[#This Row],[Std Adj Read]]="N/A"),"N/A",IF(Table1[[#This Row],[DUT Adj Read]]="N/A",IF(Table1[[#This Row],[Std Adj Read]]&lt;=Table1[[#This Row],[High Tol]],"Pass","Fail"),IF(Table1[[#This Row],[DUT Adj Read]]&lt;=Table1[[#This Row],[High Tol]],"Pass","Fail")))</f>
        <v>Fail</v>
      </c>
      <c r="AH26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6" s="1" t="b">
        <v>0</v>
      </c>
      <c r="AN2646" s="1" t="b">
        <v>0</v>
      </c>
      <c r="AO2646" s="1" t="b">
        <v>0</v>
      </c>
    </row>
    <row r="2647" spans="1:41" x14ac:dyDescent="0.25">
      <c r="A2647" s="10"/>
      <c r="B2647" s="10"/>
      <c r="C2647" s="10"/>
      <c r="D2647" s="10"/>
      <c r="E2647" s="10"/>
      <c r="F2647" s="10"/>
      <c r="G2647" s="10"/>
      <c r="H2647" s="10"/>
      <c r="I2647" s="1" t="str">
        <f t="shared" si="123"/>
        <v/>
      </c>
      <c r="J2647" s="1" t="s">
        <v>35</v>
      </c>
      <c r="K2647" s="1" t="str">
        <f t="shared" si="124"/>
        <v/>
      </c>
      <c r="L2647" s="1" t="str">
        <f t="shared" si="125"/>
        <v/>
      </c>
      <c r="M2647" s="1">
        <f>IF(OR(Table1[[#This Row],[Std Nom]]="",Table1[[#This Row],[Std Read]]=""),0,Table1[[#This Row],[Std Nom]]-Table1[[#This Row],[Std Read]])</f>
        <v>0</v>
      </c>
      <c r="N2647" s="1">
        <f>IF(Calculations!$F$5="ACCREDITED 17025 WITH UNCERTAINTIES",$N$10,0)</f>
        <v>0</v>
      </c>
      <c r="Q2647" s="1">
        <f>Table1[[#This Row],[High Tol]]-Table1[[#This Row],[Low Tol]]</f>
        <v>0</v>
      </c>
      <c r="R2647" s="1">
        <f>2*Table1[[#This Row],[Std Error]]</f>
        <v>0</v>
      </c>
      <c r="S2647" s="1" t="str">
        <f>IF(Table1[[#This Row],[High Tol]]="","N/A",IFERROR(ABS(Table1[[#This Row],[Tol Span]]/Table1[[#This Row],[Error Span]]),"N/A"))</f>
        <v>N/A</v>
      </c>
      <c r="T2647" s="1" t="str">
        <f>IF(OR(Table1[[#This Row],[Low Tol]]="",Table1[[#This Row],[High Tol]]=""),"Needs Analysis",IF(Table1[[#This Row],[Ratio]]&gt;=4,"Not Significant",IF(Table1[[#This Row],[Ratio]]&gt;=2,"Semi-Significant","Significant")))</f>
        <v>Needs Analysis</v>
      </c>
      <c r="W2647" s="1">
        <f>IF(Table1[[#This Row],[Cal Type]]&lt;&gt;"ACCREDITED 17025 WITH UNCERTAINTIES",0,"")</f>
        <v>0</v>
      </c>
      <c r="X2647" s="1" t="str">
        <f>IF(Table1[[#This Row],[DUT Read]]="","N/A",Table1[[#This Row],[Std Error]]+Table1[[#This Row],[DUT Read]]+Table1[[#This Row],[DUT Ucty]])</f>
        <v>N/A</v>
      </c>
      <c r="Y2647" s="1" t="str">
        <f>IF(Table1[[#This Row],[Std Read]]="","N/A",Table1[[#This Row],[Std Read]]+Table1[[#This Row],[Std Ucty]])</f>
        <v>N/A</v>
      </c>
      <c r="Z26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7" s="1" t="str">
        <f>IF(Table1[[#This Row],[Spec Type]]="","N/A",Table1[[#This Row],[Spec Type]])</f>
        <v>±</v>
      </c>
      <c r="AC2647" s="1" t="str">
        <f>IF(Table1[[#This Row],[Spec Type2]]="N/A","N/A",IF(AND(Table1[[#This Row],[DUT Adj Read]]&gt;=Table1[[#This Row],[Low Tol]],Table1[[#This Row],[DUT Adj Read]]&lt;=Table1[[#This Row],[High Tol]]),"Pass","Fail"))</f>
        <v>Fail</v>
      </c>
      <c r="AD2647" s="1" t="str">
        <f>IF(AND(Table1[[#This Row],[Spec Type2]]="N/A",Table1[[#This Row],[DUT Adj Read]]="N/A",Table1[[#This Row],[Std Adj Read]]="N/A"),"N/A",IF(Table1[[#This Row],[DUT Adj Read]]="N/A",IF(Table1[[#This Row],[Std Adj Read]]&gt;Table1[[#This Row],[Low Tol]],"Pass","Fail"),IF(Table1[[#This Row],[DUT Adj Read]]&gt;Table1[[#This Row],[Low Tol]],"Pass","Fail")))</f>
        <v>Pass</v>
      </c>
      <c r="AE2647" s="1" t="str">
        <f>IF(AND(Table1[[#This Row],[Spec Type2]]="N/A",Table1[[#This Row],[DUT Adj Read]]="N/A",Table1[[#This Row],[Std Adj Read]]="N/A"),"N/A",IF(Table1[[#This Row],[DUT Adj Read]]="N/A",IF(Table1[[#This Row],[Std Adj Read]]&lt;Table1[[#This Row],[High Tol]],"Pass","Fail"),IF(Table1[[#This Row],[DUT Adj Read]]&lt;Table1[[#This Row],[High Tol]],"Pass","Fail")))</f>
        <v>Fail</v>
      </c>
      <c r="AF2647" s="1" t="str">
        <f>IF(AND(Table1[[#This Row],[Spec Type2]]="N/A",Table1[[#This Row],[DUT Adj Read]]="N/A",Table1[[#This Row],[Std Adj Read]]="N/A"),"N/A",IF(Table1[[#This Row],[DUT Adj Read]]="N/A",IF(Table1[[#This Row],[Std Adj Read]]&gt;=Table1[[#This Row],[Low Tol]],"Pass","Fail"),IF(Table1[[#This Row],[DUT Adj Read]]&gt;=Table1[[#This Row],[Low Tol]],"Pass","Fail")))</f>
        <v>Pass</v>
      </c>
      <c r="AG2647" s="1" t="str">
        <f>IF(AND(Table1[[#This Row],[Spec Type2]]="N/A",Table1[[#This Row],[DUT Adj Read]]="N/A",Table1[[#This Row],[Std Adj Read]]="N/A"),"N/A",IF(Table1[[#This Row],[DUT Adj Read]]="N/A",IF(Table1[[#This Row],[Std Adj Read]]&lt;=Table1[[#This Row],[High Tol]],"Pass","Fail"),IF(Table1[[#This Row],[DUT Adj Read]]&lt;=Table1[[#This Row],[High Tol]],"Pass","Fail")))</f>
        <v>Fail</v>
      </c>
      <c r="AH26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7" s="1" t="b">
        <v>0</v>
      </c>
      <c r="AN2647" s="1" t="b">
        <v>0</v>
      </c>
      <c r="AO2647" s="1" t="b">
        <v>0</v>
      </c>
    </row>
    <row r="2648" spans="1:41" x14ac:dyDescent="0.25">
      <c r="A2648" s="10"/>
      <c r="B2648" s="10"/>
      <c r="C2648" s="10"/>
      <c r="D2648" s="10"/>
      <c r="E2648" s="10"/>
      <c r="F2648" s="10"/>
      <c r="G2648" s="10"/>
      <c r="H2648" s="10"/>
      <c r="I2648" s="1" t="str">
        <f t="shared" si="123"/>
        <v/>
      </c>
      <c r="J2648" s="1" t="s">
        <v>35</v>
      </c>
      <c r="K2648" s="1" t="str">
        <f t="shared" si="124"/>
        <v/>
      </c>
      <c r="L2648" s="1" t="str">
        <f t="shared" si="125"/>
        <v/>
      </c>
      <c r="M2648" s="1">
        <f>IF(OR(Table1[[#This Row],[Std Nom]]="",Table1[[#This Row],[Std Read]]=""),0,Table1[[#This Row],[Std Nom]]-Table1[[#This Row],[Std Read]])</f>
        <v>0</v>
      </c>
      <c r="N2648" s="1">
        <f>IF(Calculations!$F$5="ACCREDITED 17025 WITH UNCERTAINTIES",$N$10,0)</f>
        <v>0</v>
      </c>
      <c r="Q2648" s="1">
        <f>Table1[[#This Row],[High Tol]]-Table1[[#This Row],[Low Tol]]</f>
        <v>0</v>
      </c>
      <c r="R2648" s="1">
        <f>2*Table1[[#This Row],[Std Error]]</f>
        <v>0</v>
      </c>
      <c r="S2648" s="1" t="str">
        <f>IF(Table1[[#This Row],[High Tol]]="","N/A",IFERROR(ABS(Table1[[#This Row],[Tol Span]]/Table1[[#This Row],[Error Span]]),"N/A"))</f>
        <v>N/A</v>
      </c>
      <c r="T2648" s="1" t="str">
        <f>IF(OR(Table1[[#This Row],[Low Tol]]="",Table1[[#This Row],[High Tol]]=""),"Needs Analysis",IF(Table1[[#This Row],[Ratio]]&gt;=4,"Not Significant",IF(Table1[[#This Row],[Ratio]]&gt;=2,"Semi-Significant","Significant")))</f>
        <v>Needs Analysis</v>
      </c>
      <c r="W2648" s="1">
        <f>IF(Table1[[#This Row],[Cal Type]]&lt;&gt;"ACCREDITED 17025 WITH UNCERTAINTIES",0,"")</f>
        <v>0</v>
      </c>
      <c r="X2648" s="1" t="str">
        <f>IF(Table1[[#This Row],[DUT Read]]="","N/A",Table1[[#This Row],[Std Error]]+Table1[[#This Row],[DUT Read]]+Table1[[#This Row],[DUT Ucty]])</f>
        <v>N/A</v>
      </c>
      <c r="Y2648" s="1" t="str">
        <f>IF(Table1[[#This Row],[Std Read]]="","N/A",Table1[[#This Row],[Std Read]]+Table1[[#This Row],[Std Ucty]])</f>
        <v>N/A</v>
      </c>
      <c r="Z26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8" s="1" t="str">
        <f>IF(Table1[[#This Row],[Spec Type]]="","N/A",Table1[[#This Row],[Spec Type]])</f>
        <v>±</v>
      </c>
      <c r="AC2648" s="1" t="str">
        <f>IF(Table1[[#This Row],[Spec Type2]]="N/A","N/A",IF(AND(Table1[[#This Row],[DUT Adj Read]]&gt;=Table1[[#This Row],[Low Tol]],Table1[[#This Row],[DUT Adj Read]]&lt;=Table1[[#This Row],[High Tol]]),"Pass","Fail"))</f>
        <v>Fail</v>
      </c>
      <c r="AD2648" s="1" t="str">
        <f>IF(AND(Table1[[#This Row],[Spec Type2]]="N/A",Table1[[#This Row],[DUT Adj Read]]="N/A",Table1[[#This Row],[Std Adj Read]]="N/A"),"N/A",IF(Table1[[#This Row],[DUT Adj Read]]="N/A",IF(Table1[[#This Row],[Std Adj Read]]&gt;Table1[[#This Row],[Low Tol]],"Pass","Fail"),IF(Table1[[#This Row],[DUT Adj Read]]&gt;Table1[[#This Row],[Low Tol]],"Pass","Fail")))</f>
        <v>Pass</v>
      </c>
      <c r="AE2648" s="1" t="str">
        <f>IF(AND(Table1[[#This Row],[Spec Type2]]="N/A",Table1[[#This Row],[DUT Adj Read]]="N/A",Table1[[#This Row],[Std Adj Read]]="N/A"),"N/A",IF(Table1[[#This Row],[DUT Adj Read]]="N/A",IF(Table1[[#This Row],[Std Adj Read]]&lt;Table1[[#This Row],[High Tol]],"Pass","Fail"),IF(Table1[[#This Row],[DUT Adj Read]]&lt;Table1[[#This Row],[High Tol]],"Pass","Fail")))</f>
        <v>Fail</v>
      </c>
      <c r="AF2648" s="1" t="str">
        <f>IF(AND(Table1[[#This Row],[Spec Type2]]="N/A",Table1[[#This Row],[DUT Adj Read]]="N/A",Table1[[#This Row],[Std Adj Read]]="N/A"),"N/A",IF(Table1[[#This Row],[DUT Adj Read]]="N/A",IF(Table1[[#This Row],[Std Adj Read]]&gt;=Table1[[#This Row],[Low Tol]],"Pass","Fail"),IF(Table1[[#This Row],[DUT Adj Read]]&gt;=Table1[[#This Row],[Low Tol]],"Pass","Fail")))</f>
        <v>Pass</v>
      </c>
      <c r="AG2648" s="1" t="str">
        <f>IF(AND(Table1[[#This Row],[Spec Type2]]="N/A",Table1[[#This Row],[DUT Adj Read]]="N/A",Table1[[#This Row],[Std Adj Read]]="N/A"),"N/A",IF(Table1[[#This Row],[DUT Adj Read]]="N/A",IF(Table1[[#This Row],[Std Adj Read]]&lt;=Table1[[#This Row],[High Tol]],"Pass","Fail"),IF(Table1[[#This Row],[DUT Adj Read]]&lt;=Table1[[#This Row],[High Tol]],"Pass","Fail")))</f>
        <v>Fail</v>
      </c>
      <c r="AH26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8" s="1" t="b">
        <v>0</v>
      </c>
      <c r="AN2648" s="1" t="b">
        <v>0</v>
      </c>
      <c r="AO2648" s="1" t="b">
        <v>0</v>
      </c>
    </row>
    <row r="2649" spans="1:41" x14ac:dyDescent="0.25">
      <c r="A2649" s="10"/>
      <c r="B2649" s="10"/>
      <c r="C2649" s="10"/>
      <c r="D2649" s="10"/>
      <c r="E2649" s="10"/>
      <c r="F2649" s="10"/>
      <c r="G2649" s="10"/>
      <c r="H2649" s="10"/>
      <c r="I2649" s="1" t="str">
        <f t="shared" si="123"/>
        <v/>
      </c>
      <c r="J2649" s="1" t="s">
        <v>35</v>
      </c>
      <c r="K2649" s="1" t="str">
        <f t="shared" si="124"/>
        <v/>
      </c>
      <c r="L2649" s="1" t="str">
        <f t="shared" si="125"/>
        <v/>
      </c>
      <c r="M2649" s="1">
        <f>IF(OR(Table1[[#This Row],[Std Nom]]="",Table1[[#This Row],[Std Read]]=""),0,Table1[[#This Row],[Std Nom]]-Table1[[#This Row],[Std Read]])</f>
        <v>0</v>
      </c>
      <c r="N2649" s="1">
        <f>IF(Calculations!$F$5="ACCREDITED 17025 WITH UNCERTAINTIES",$N$10,0)</f>
        <v>0</v>
      </c>
      <c r="Q2649" s="1">
        <f>Table1[[#This Row],[High Tol]]-Table1[[#This Row],[Low Tol]]</f>
        <v>0</v>
      </c>
      <c r="R2649" s="1">
        <f>2*Table1[[#This Row],[Std Error]]</f>
        <v>0</v>
      </c>
      <c r="S2649" s="1" t="str">
        <f>IF(Table1[[#This Row],[High Tol]]="","N/A",IFERROR(ABS(Table1[[#This Row],[Tol Span]]/Table1[[#This Row],[Error Span]]),"N/A"))</f>
        <v>N/A</v>
      </c>
      <c r="T2649" s="1" t="str">
        <f>IF(OR(Table1[[#This Row],[Low Tol]]="",Table1[[#This Row],[High Tol]]=""),"Needs Analysis",IF(Table1[[#This Row],[Ratio]]&gt;=4,"Not Significant",IF(Table1[[#This Row],[Ratio]]&gt;=2,"Semi-Significant","Significant")))</f>
        <v>Needs Analysis</v>
      </c>
      <c r="W2649" s="1">
        <f>IF(Table1[[#This Row],[Cal Type]]&lt;&gt;"ACCREDITED 17025 WITH UNCERTAINTIES",0,"")</f>
        <v>0</v>
      </c>
      <c r="X2649" s="1" t="str">
        <f>IF(Table1[[#This Row],[DUT Read]]="","N/A",Table1[[#This Row],[Std Error]]+Table1[[#This Row],[DUT Read]]+Table1[[#This Row],[DUT Ucty]])</f>
        <v>N/A</v>
      </c>
      <c r="Y2649" s="1" t="str">
        <f>IF(Table1[[#This Row],[Std Read]]="","N/A",Table1[[#This Row],[Std Read]]+Table1[[#This Row],[Std Ucty]])</f>
        <v>N/A</v>
      </c>
      <c r="Z26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49" s="1" t="str">
        <f>IF(Table1[[#This Row],[Spec Type]]="","N/A",Table1[[#This Row],[Spec Type]])</f>
        <v>±</v>
      </c>
      <c r="AC2649" s="1" t="str">
        <f>IF(Table1[[#This Row],[Spec Type2]]="N/A","N/A",IF(AND(Table1[[#This Row],[DUT Adj Read]]&gt;=Table1[[#This Row],[Low Tol]],Table1[[#This Row],[DUT Adj Read]]&lt;=Table1[[#This Row],[High Tol]]),"Pass","Fail"))</f>
        <v>Fail</v>
      </c>
      <c r="AD2649" s="1" t="str">
        <f>IF(AND(Table1[[#This Row],[Spec Type2]]="N/A",Table1[[#This Row],[DUT Adj Read]]="N/A",Table1[[#This Row],[Std Adj Read]]="N/A"),"N/A",IF(Table1[[#This Row],[DUT Adj Read]]="N/A",IF(Table1[[#This Row],[Std Adj Read]]&gt;Table1[[#This Row],[Low Tol]],"Pass","Fail"),IF(Table1[[#This Row],[DUT Adj Read]]&gt;Table1[[#This Row],[Low Tol]],"Pass","Fail")))</f>
        <v>Pass</v>
      </c>
      <c r="AE2649" s="1" t="str">
        <f>IF(AND(Table1[[#This Row],[Spec Type2]]="N/A",Table1[[#This Row],[DUT Adj Read]]="N/A",Table1[[#This Row],[Std Adj Read]]="N/A"),"N/A",IF(Table1[[#This Row],[DUT Adj Read]]="N/A",IF(Table1[[#This Row],[Std Adj Read]]&lt;Table1[[#This Row],[High Tol]],"Pass","Fail"),IF(Table1[[#This Row],[DUT Adj Read]]&lt;Table1[[#This Row],[High Tol]],"Pass","Fail")))</f>
        <v>Fail</v>
      </c>
      <c r="AF2649" s="1" t="str">
        <f>IF(AND(Table1[[#This Row],[Spec Type2]]="N/A",Table1[[#This Row],[DUT Adj Read]]="N/A",Table1[[#This Row],[Std Adj Read]]="N/A"),"N/A",IF(Table1[[#This Row],[DUT Adj Read]]="N/A",IF(Table1[[#This Row],[Std Adj Read]]&gt;=Table1[[#This Row],[Low Tol]],"Pass","Fail"),IF(Table1[[#This Row],[DUT Adj Read]]&gt;=Table1[[#This Row],[Low Tol]],"Pass","Fail")))</f>
        <v>Pass</v>
      </c>
      <c r="AG2649" s="1" t="str">
        <f>IF(AND(Table1[[#This Row],[Spec Type2]]="N/A",Table1[[#This Row],[DUT Adj Read]]="N/A",Table1[[#This Row],[Std Adj Read]]="N/A"),"N/A",IF(Table1[[#This Row],[DUT Adj Read]]="N/A",IF(Table1[[#This Row],[Std Adj Read]]&lt;=Table1[[#This Row],[High Tol]],"Pass","Fail"),IF(Table1[[#This Row],[DUT Adj Read]]&lt;=Table1[[#This Row],[High Tol]],"Pass","Fail")))</f>
        <v>Fail</v>
      </c>
      <c r="AH26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49" s="1" t="b">
        <v>0</v>
      </c>
      <c r="AN2649" s="1" t="b">
        <v>0</v>
      </c>
      <c r="AO2649" s="1" t="b">
        <v>0</v>
      </c>
    </row>
    <row r="2650" spans="1:41" x14ac:dyDescent="0.25">
      <c r="A2650" s="10"/>
      <c r="B2650" s="10"/>
      <c r="C2650" s="10"/>
      <c r="D2650" s="10"/>
      <c r="E2650" s="10"/>
      <c r="F2650" s="10"/>
      <c r="G2650" s="10"/>
      <c r="H2650" s="10"/>
      <c r="I2650" s="1" t="str">
        <f t="shared" si="123"/>
        <v/>
      </c>
      <c r="J2650" s="1" t="s">
        <v>35</v>
      </c>
      <c r="K2650" s="1" t="str">
        <f t="shared" si="124"/>
        <v/>
      </c>
      <c r="L2650" s="1" t="str">
        <f t="shared" si="125"/>
        <v/>
      </c>
      <c r="M2650" s="1">
        <f>IF(OR(Table1[[#This Row],[Std Nom]]="",Table1[[#This Row],[Std Read]]=""),0,Table1[[#This Row],[Std Nom]]-Table1[[#This Row],[Std Read]])</f>
        <v>0</v>
      </c>
      <c r="N2650" s="1">
        <f>IF(Calculations!$F$5="ACCREDITED 17025 WITH UNCERTAINTIES",$N$10,0)</f>
        <v>0</v>
      </c>
      <c r="Q2650" s="1">
        <f>Table1[[#This Row],[High Tol]]-Table1[[#This Row],[Low Tol]]</f>
        <v>0</v>
      </c>
      <c r="R2650" s="1">
        <f>2*Table1[[#This Row],[Std Error]]</f>
        <v>0</v>
      </c>
      <c r="S2650" s="1" t="str">
        <f>IF(Table1[[#This Row],[High Tol]]="","N/A",IFERROR(ABS(Table1[[#This Row],[Tol Span]]/Table1[[#This Row],[Error Span]]),"N/A"))</f>
        <v>N/A</v>
      </c>
      <c r="T2650" s="1" t="str">
        <f>IF(OR(Table1[[#This Row],[Low Tol]]="",Table1[[#This Row],[High Tol]]=""),"Needs Analysis",IF(Table1[[#This Row],[Ratio]]&gt;=4,"Not Significant",IF(Table1[[#This Row],[Ratio]]&gt;=2,"Semi-Significant","Significant")))</f>
        <v>Needs Analysis</v>
      </c>
      <c r="W2650" s="1">
        <f>IF(Table1[[#This Row],[Cal Type]]&lt;&gt;"ACCREDITED 17025 WITH UNCERTAINTIES",0,"")</f>
        <v>0</v>
      </c>
      <c r="X2650" s="1" t="str">
        <f>IF(Table1[[#This Row],[DUT Read]]="","N/A",Table1[[#This Row],[Std Error]]+Table1[[#This Row],[DUT Read]]+Table1[[#This Row],[DUT Ucty]])</f>
        <v>N/A</v>
      </c>
      <c r="Y2650" s="1" t="str">
        <f>IF(Table1[[#This Row],[Std Read]]="","N/A",Table1[[#This Row],[Std Read]]+Table1[[#This Row],[Std Ucty]])</f>
        <v>N/A</v>
      </c>
      <c r="Z26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0" s="1" t="str">
        <f>IF(Table1[[#This Row],[Spec Type]]="","N/A",Table1[[#This Row],[Spec Type]])</f>
        <v>±</v>
      </c>
      <c r="AC2650" s="1" t="str">
        <f>IF(Table1[[#This Row],[Spec Type2]]="N/A","N/A",IF(AND(Table1[[#This Row],[DUT Adj Read]]&gt;=Table1[[#This Row],[Low Tol]],Table1[[#This Row],[DUT Adj Read]]&lt;=Table1[[#This Row],[High Tol]]),"Pass","Fail"))</f>
        <v>Fail</v>
      </c>
      <c r="AD2650" s="1" t="str">
        <f>IF(AND(Table1[[#This Row],[Spec Type2]]="N/A",Table1[[#This Row],[DUT Adj Read]]="N/A",Table1[[#This Row],[Std Adj Read]]="N/A"),"N/A",IF(Table1[[#This Row],[DUT Adj Read]]="N/A",IF(Table1[[#This Row],[Std Adj Read]]&gt;Table1[[#This Row],[Low Tol]],"Pass","Fail"),IF(Table1[[#This Row],[DUT Adj Read]]&gt;Table1[[#This Row],[Low Tol]],"Pass","Fail")))</f>
        <v>Pass</v>
      </c>
      <c r="AE2650" s="1" t="str">
        <f>IF(AND(Table1[[#This Row],[Spec Type2]]="N/A",Table1[[#This Row],[DUT Adj Read]]="N/A",Table1[[#This Row],[Std Adj Read]]="N/A"),"N/A",IF(Table1[[#This Row],[DUT Adj Read]]="N/A",IF(Table1[[#This Row],[Std Adj Read]]&lt;Table1[[#This Row],[High Tol]],"Pass","Fail"),IF(Table1[[#This Row],[DUT Adj Read]]&lt;Table1[[#This Row],[High Tol]],"Pass","Fail")))</f>
        <v>Fail</v>
      </c>
      <c r="AF2650" s="1" t="str">
        <f>IF(AND(Table1[[#This Row],[Spec Type2]]="N/A",Table1[[#This Row],[DUT Adj Read]]="N/A",Table1[[#This Row],[Std Adj Read]]="N/A"),"N/A",IF(Table1[[#This Row],[DUT Adj Read]]="N/A",IF(Table1[[#This Row],[Std Adj Read]]&gt;=Table1[[#This Row],[Low Tol]],"Pass","Fail"),IF(Table1[[#This Row],[DUT Adj Read]]&gt;=Table1[[#This Row],[Low Tol]],"Pass","Fail")))</f>
        <v>Pass</v>
      </c>
      <c r="AG2650" s="1" t="str">
        <f>IF(AND(Table1[[#This Row],[Spec Type2]]="N/A",Table1[[#This Row],[DUT Adj Read]]="N/A",Table1[[#This Row],[Std Adj Read]]="N/A"),"N/A",IF(Table1[[#This Row],[DUT Adj Read]]="N/A",IF(Table1[[#This Row],[Std Adj Read]]&lt;=Table1[[#This Row],[High Tol]],"Pass","Fail"),IF(Table1[[#This Row],[DUT Adj Read]]&lt;=Table1[[#This Row],[High Tol]],"Pass","Fail")))</f>
        <v>Fail</v>
      </c>
      <c r="AH26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0" s="1" t="b">
        <v>0</v>
      </c>
      <c r="AN2650" s="1" t="b">
        <v>0</v>
      </c>
      <c r="AO2650" s="1" t="b">
        <v>0</v>
      </c>
    </row>
    <row r="2651" spans="1:41" x14ac:dyDescent="0.25">
      <c r="A2651" s="10"/>
      <c r="B2651" s="10"/>
      <c r="C2651" s="10"/>
      <c r="D2651" s="10"/>
      <c r="E2651" s="10"/>
      <c r="F2651" s="10"/>
      <c r="G2651" s="10"/>
      <c r="H2651" s="10"/>
      <c r="I2651" s="1" t="str">
        <f t="shared" si="123"/>
        <v/>
      </c>
      <c r="J2651" s="1" t="s">
        <v>35</v>
      </c>
      <c r="K2651" s="1" t="str">
        <f t="shared" si="124"/>
        <v/>
      </c>
      <c r="L2651" s="1" t="str">
        <f t="shared" si="125"/>
        <v/>
      </c>
      <c r="M2651" s="1">
        <f>IF(OR(Table1[[#This Row],[Std Nom]]="",Table1[[#This Row],[Std Read]]=""),0,Table1[[#This Row],[Std Nom]]-Table1[[#This Row],[Std Read]])</f>
        <v>0</v>
      </c>
      <c r="N2651" s="1">
        <f>IF(Calculations!$F$5="ACCREDITED 17025 WITH UNCERTAINTIES",$N$10,0)</f>
        <v>0</v>
      </c>
      <c r="Q2651" s="1">
        <f>Table1[[#This Row],[High Tol]]-Table1[[#This Row],[Low Tol]]</f>
        <v>0</v>
      </c>
      <c r="R2651" s="1">
        <f>2*Table1[[#This Row],[Std Error]]</f>
        <v>0</v>
      </c>
      <c r="S2651" s="1" t="str">
        <f>IF(Table1[[#This Row],[High Tol]]="","N/A",IFERROR(ABS(Table1[[#This Row],[Tol Span]]/Table1[[#This Row],[Error Span]]),"N/A"))</f>
        <v>N/A</v>
      </c>
      <c r="T2651" s="1" t="str">
        <f>IF(OR(Table1[[#This Row],[Low Tol]]="",Table1[[#This Row],[High Tol]]=""),"Needs Analysis",IF(Table1[[#This Row],[Ratio]]&gt;=4,"Not Significant",IF(Table1[[#This Row],[Ratio]]&gt;=2,"Semi-Significant","Significant")))</f>
        <v>Needs Analysis</v>
      </c>
      <c r="W2651" s="1">
        <f>IF(Table1[[#This Row],[Cal Type]]&lt;&gt;"ACCREDITED 17025 WITH UNCERTAINTIES",0,"")</f>
        <v>0</v>
      </c>
      <c r="X2651" s="1" t="str">
        <f>IF(Table1[[#This Row],[DUT Read]]="","N/A",Table1[[#This Row],[Std Error]]+Table1[[#This Row],[DUT Read]]+Table1[[#This Row],[DUT Ucty]])</f>
        <v>N/A</v>
      </c>
      <c r="Y2651" s="1" t="str">
        <f>IF(Table1[[#This Row],[Std Read]]="","N/A",Table1[[#This Row],[Std Read]]+Table1[[#This Row],[Std Ucty]])</f>
        <v>N/A</v>
      </c>
      <c r="Z26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1" s="1" t="str">
        <f>IF(Table1[[#This Row],[Spec Type]]="","N/A",Table1[[#This Row],[Spec Type]])</f>
        <v>±</v>
      </c>
      <c r="AC2651" s="1" t="str">
        <f>IF(Table1[[#This Row],[Spec Type2]]="N/A","N/A",IF(AND(Table1[[#This Row],[DUT Adj Read]]&gt;=Table1[[#This Row],[Low Tol]],Table1[[#This Row],[DUT Adj Read]]&lt;=Table1[[#This Row],[High Tol]]),"Pass","Fail"))</f>
        <v>Fail</v>
      </c>
      <c r="AD2651" s="1" t="str">
        <f>IF(AND(Table1[[#This Row],[Spec Type2]]="N/A",Table1[[#This Row],[DUT Adj Read]]="N/A",Table1[[#This Row],[Std Adj Read]]="N/A"),"N/A",IF(Table1[[#This Row],[DUT Adj Read]]="N/A",IF(Table1[[#This Row],[Std Adj Read]]&gt;Table1[[#This Row],[Low Tol]],"Pass","Fail"),IF(Table1[[#This Row],[DUT Adj Read]]&gt;Table1[[#This Row],[Low Tol]],"Pass","Fail")))</f>
        <v>Pass</v>
      </c>
      <c r="AE2651" s="1" t="str">
        <f>IF(AND(Table1[[#This Row],[Spec Type2]]="N/A",Table1[[#This Row],[DUT Adj Read]]="N/A",Table1[[#This Row],[Std Adj Read]]="N/A"),"N/A",IF(Table1[[#This Row],[DUT Adj Read]]="N/A",IF(Table1[[#This Row],[Std Adj Read]]&lt;Table1[[#This Row],[High Tol]],"Pass","Fail"),IF(Table1[[#This Row],[DUT Adj Read]]&lt;Table1[[#This Row],[High Tol]],"Pass","Fail")))</f>
        <v>Fail</v>
      </c>
      <c r="AF2651" s="1" t="str">
        <f>IF(AND(Table1[[#This Row],[Spec Type2]]="N/A",Table1[[#This Row],[DUT Adj Read]]="N/A",Table1[[#This Row],[Std Adj Read]]="N/A"),"N/A",IF(Table1[[#This Row],[DUT Adj Read]]="N/A",IF(Table1[[#This Row],[Std Adj Read]]&gt;=Table1[[#This Row],[Low Tol]],"Pass","Fail"),IF(Table1[[#This Row],[DUT Adj Read]]&gt;=Table1[[#This Row],[Low Tol]],"Pass","Fail")))</f>
        <v>Pass</v>
      </c>
      <c r="AG2651" s="1" t="str">
        <f>IF(AND(Table1[[#This Row],[Spec Type2]]="N/A",Table1[[#This Row],[DUT Adj Read]]="N/A",Table1[[#This Row],[Std Adj Read]]="N/A"),"N/A",IF(Table1[[#This Row],[DUT Adj Read]]="N/A",IF(Table1[[#This Row],[Std Adj Read]]&lt;=Table1[[#This Row],[High Tol]],"Pass","Fail"),IF(Table1[[#This Row],[DUT Adj Read]]&lt;=Table1[[#This Row],[High Tol]],"Pass","Fail")))</f>
        <v>Fail</v>
      </c>
      <c r="AH26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1" s="1" t="b">
        <v>0</v>
      </c>
      <c r="AN2651" s="1" t="b">
        <v>0</v>
      </c>
      <c r="AO2651" s="1" t="b">
        <v>0</v>
      </c>
    </row>
    <row r="2652" spans="1:41" x14ac:dyDescent="0.25">
      <c r="A2652" s="10"/>
      <c r="B2652" s="10"/>
      <c r="C2652" s="10"/>
      <c r="D2652" s="10"/>
      <c r="E2652" s="10"/>
      <c r="F2652" s="10"/>
      <c r="G2652" s="10"/>
      <c r="H2652" s="10"/>
      <c r="I2652" s="1" t="str">
        <f t="shared" si="123"/>
        <v/>
      </c>
      <c r="J2652" s="1" t="s">
        <v>35</v>
      </c>
      <c r="K2652" s="1" t="str">
        <f t="shared" si="124"/>
        <v/>
      </c>
      <c r="L2652" s="1" t="str">
        <f t="shared" si="125"/>
        <v/>
      </c>
      <c r="M2652" s="1">
        <f>IF(OR(Table1[[#This Row],[Std Nom]]="",Table1[[#This Row],[Std Read]]=""),0,Table1[[#This Row],[Std Nom]]-Table1[[#This Row],[Std Read]])</f>
        <v>0</v>
      </c>
      <c r="N2652" s="1">
        <f>IF(Calculations!$F$5="ACCREDITED 17025 WITH UNCERTAINTIES",$N$10,0)</f>
        <v>0</v>
      </c>
      <c r="Q2652" s="1">
        <f>Table1[[#This Row],[High Tol]]-Table1[[#This Row],[Low Tol]]</f>
        <v>0</v>
      </c>
      <c r="R2652" s="1">
        <f>2*Table1[[#This Row],[Std Error]]</f>
        <v>0</v>
      </c>
      <c r="S2652" s="1" t="str">
        <f>IF(Table1[[#This Row],[High Tol]]="","N/A",IFERROR(ABS(Table1[[#This Row],[Tol Span]]/Table1[[#This Row],[Error Span]]),"N/A"))</f>
        <v>N/A</v>
      </c>
      <c r="T2652" s="1" t="str">
        <f>IF(OR(Table1[[#This Row],[Low Tol]]="",Table1[[#This Row],[High Tol]]=""),"Needs Analysis",IF(Table1[[#This Row],[Ratio]]&gt;=4,"Not Significant",IF(Table1[[#This Row],[Ratio]]&gt;=2,"Semi-Significant","Significant")))</f>
        <v>Needs Analysis</v>
      </c>
      <c r="W2652" s="1">
        <f>IF(Table1[[#This Row],[Cal Type]]&lt;&gt;"ACCREDITED 17025 WITH UNCERTAINTIES",0,"")</f>
        <v>0</v>
      </c>
      <c r="X2652" s="1" t="str">
        <f>IF(Table1[[#This Row],[DUT Read]]="","N/A",Table1[[#This Row],[Std Error]]+Table1[[#This Row],[DUT Read]]+Table1[[#This Row],[DUT Ucty]])</f>
        <v>N/A</v>
      </c>
      <c r="Y2652" s="1" t="str">
        <f>IF(Table1[[#This Row],[Std Read]]="","N/A",Table1[[#This Row],[Std Read]]+Table1[[#This Row],[Std Ucty]])</f>
        <v>N/A</v>
      </c>
      <c r="Z26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2" s="1" t="str">
        <f>IF(Table1[[#This Row],[Spec Type]]="","N/A",Table1[[#This Row],[Spec Type]])</f>
        <v>±</v>
      </c>
      <c r="AC2652" s="1" t="str">
        <f>IF(Table1[[#This Row],[Spec Type2]]="N/A","N/A",IF(AND(Table1[[#This Row],[DUT Adj Read]]&gt;=Table1[[#This Row],[Low Tol]],Table1[[#This Row],[DUT Adj Read]]&lt;=Table1[[#This Row],[High Tol]]),"Pass","Fail"))</f>
        <v>Fail</v>
      </c>
      <c r="AD2652" s="1" t="str">
        <f>IF(AND(Table1[[#This Row],[Spec Type2]]="N/A",Table1[[#This Row],[DUT Adj Read]]="N/A",Table1[[#This Row],[Std Adj Read]]="N/A"),"N/A",IF(Table1[[#This Row],[DUT Adj Read]]="N/A",IF(Table1[[#This Row],[Std Adj Read]]&gt;Table1[[#This Row],[Low Tol]],"Pass","Fail"),IF(Table1[[#This Row],[DUT Adj Read]]&gt;Table1[[#This Row],[Low Tol]],"Pass","Fail")))</f>
        <v>Pass</v>
      </c>
      <c r="AE2652" s="1" t="str">
        <f>IF(AND(Table1[[#This Row],[Spec Type2]]="N/A",Table1[[#This Row],[DUT Adj Read]]="N/A",Table1[[#This Row],[Std Adj Read]]="N/A"),"N/A",IF(Table1[[#This Row],[DUT Adj Read]]="N/A",IF(Table1[[#This Row],[Std Adj Read]]&lt;Table1[[#This Row],[High Tol]],"Pass","Fail"),IF(Table1[[#This Row],[DUT Adj Read]]&lt;Table1[[#This Row],[High Tol]],"Pass","Fail")))</f>
        <v>Fail</v>
      </c>
      <c r="AF2652" s="1" t="str">
        <f>IF(AND(Table1[[#This Row],[Spec Type2]]="N/A",Table1[[#This Row],[DUT Adj Read]]="N/A",Table1[[#This Row],[Std Adj Read]]="N/A"),"N/A",IF(Table1[[#This Row],[DUT Adj Read]]="N/A",IF(Table1[[#This Row],[Std Adj Read]]&gt;=Table1[[#This Row],[Low Tol]],"Pass","Fail"),IF(Table1[[#This Row],[DUT Adj Read]]&gt;=Table1[[#This Row],[Low Tol]],"Pass","Fail")))</f>
        <v>Pass</v>
      </c>
      <c r="AG2652" s="1" t="str">
        <f>IF(AND(Table1[[#This Row],[Spec Type2]]="N/A",Table1[[#This Row],[DUT Adj Read]]="N/A",Table1[[#This Row],[Std Adj Read]]="N/A"),"N/A",IF(Table1[[#This Row],[DUT Adj Read]]="N/A",IF(Table1[[#This Row],[Std Adj Read]]&lt;=Table1[[#This Row],[High Tol]],"Pass","Fail"),IF(Table1[[#This Row],[DUT Adj Read]]&lt;=Table1[[#This Row],[High Tol]],"Pass","Fail")))</f>
        <v>Fail</v>
      </c>
      <c r="AH26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2" s="1" t="b">
        <v>0</v>
      </c>
      <c r="AN2652" s="1" t="b">
        <v>0</v>
      </c>
      <c r="AO2652" s="1" t="b">
        <v>0</v>
      </c>
    </row>
    <row r="2653" spans="1:41" x14ac:dyDescent="0.25">
      <c r="A2653" s="10"/>
      <c r="B2653" s="10"/>
      <c r="C2653" s="10"/>
      <c r="D2653" s="10"/>
      <c r="E2653" s="10"/>
      <c r="F2653" s="10"/>
      <c r="G2653" s="10"/>
      <c r="H2653" s="10"/>
      <c r="I2653" s="1" t="str">
        <f t="shared" si="123"/>
        <v/>
      </c>
      <c r="J2653" s="1" t="s">
        <v>35</v>
      </c>
      <c r="K2653" s="1" t="str">
        <f t="shared" si="124"/>
        <v/>
      </c>
      <c r="L2653" s="1" t="str">
        <f t="shared" si="125"/>
        <v/>
      </c>
      <c r="M2653" s="1">
        <f>IF(OR(Table1[[#This Row],[Std Nom]]="",Table1[[#This Row],[Std Read]]=""),0,Table1[[#This Row],[Std Nom]]-Table1[[#This Row],[Std Read]])</f>
        <v>0</v>
      </c>
      <c r="N2653" s="1">
        <f>IF(Calculations!$F$5="ACCREDITED 17025 WITH UNCERTAINTIES",$N$10,0)</f>
        <v>0</v>
      </c>
      <c r="Q2653" s="1">
        <f>Table1[[#This Row],[High Tol]]-Table1[[#This Row],[Low Tol]]</f>
        <v>0</v>
      </c>
      <c r="R2653" s="1">
        <f>2*Table1[[#This Row],[Std Error]]</f>
        <v>0</v>
      </c>
      <c r="S2653" s="1" t="str">
        <f>IF(Table1[[#This Row],[High Tol]]="","N/A",IFERROR(ABS(Table1[[#This Row],[Tol Span]]/Table1[[#This Row],[Error Span]]),"N/A"))</f>
        <v>N/A</v>
      </c>
      <c r="T2653" s="1" t="str">
        <f>IF(OR(Table1[[#This Row],[Low Tol]]="",Table1[[#This Row],[High Tol]]=""),"Needs Analysis",IF(Table1[[#This Row],[Ratio]]&gt;=4,"Not Significant",IF(Table1[[#This Row],[Ratio]]&gt;=2,"Semi-Significant","Significant")))</f>
        <v>Needs Analysis</v>
      </c>
      <c r="W2653" s="1">
        <f>IF(Table1[[#This Row],[Cal Type]]&lt;&gt;"ACCREDITED 17025 WITH UNCERTAINTIES",0,"")</f>
        <v>0</v>
      </c>
      <c r="X2653" s="1" t="str">
        <f>IF(Table1[[#This Row],[DUT Read]]="","N/A",Table1[[#This Row],[Std Error]]+Table1[[#This Row],[DUT Read]]+Table1[[#This Row],[DUT Ucty]])</f>
        <v>N/A</v>
      </c>
      <c r="Y2653" s="1" t="str">
        <f>IF(Table1[[#This Row],[Std Read]]="","N/A",Table1[[#This Row],[Std Read]]+Table1[[#This Row],[Std Ucty]])</f>
        <v>N/A</v>
      </c>
      <c r="Z26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3" s="1" t="str">
        <f>IF(Table1[[#This Row],[Spec Type]]="","N/A",Table1[[#This Row],[Spec Type]])</f>
        <v>±</v>
      </c>
      <c r="AC2653" s="1" t="str">
        <f>IF(Table1[[#This Row],[Spec Type2]]="N/A","N/A",IF(AND(Table1[[#This Row],[DUT Adj Read]]&gt;=Table1[[#This Row],[Low Tol]],Table1[[#This Row],[DUT Adj Read]]&lt;=Table1[[#This Row],[High Tol]]),"Pass","Fail"))</f>
        <v>Fail</v>
      </c>
      <c r="AD2653" s="1" t="str">
        <f>IF(AND(Table1[[#This Row],[Spec Type2]]="N/A",Table1[[#This Row],[DUT Adj Read]]="N/A",Table1[[#This Row],[Std Adj Read]]="N/A"),"N/A",IF(Table1[[#This Row],[DUT Adj Read]]="N/A",IF(Table1[[#This Row],[Std Adj Read]]&gt;Table1[[#This Row],[Low Tol]],"Pass","Fail"),IF(Table1[[#This Row],[DUT Adj Read]]&gt;Table1[[#This Row],[Low Tol]],"Pass","Fail")))</f>
        <v>Pass</v>
      </c>
      <c r="AE2653" s="1" t="str">
        <f>IF(AND(Table1[[#This Row],[Spec Type2]]="N/A",Table1[[#This Row],[DUT Adj Read]]="N/A",Table1[[#This Row],[Std Adj Read]]="N/A"),"N/A",IF(Table1[[#This Row],[DUT Adj Read]]="N/A",IF(Table1[[#This Row],[Std Adj Read]]&lt;Table1[[#This Row],[High Tol]],"Pass","Fail"),IF(Table1[[#This Row],[DUT Adj Read]]&lt;Table1[[#This Row],[High Tol]],"Pass","Fail")))</f>
        <v>Fail</v>
      </c>
      <c r="AF2653" s="1" t="str">
        <f>IF(AND(Table1[[#This Row],[Spec Type2]]="N/A",Table1[[#This Row],[DUT Adj Read]]="N/A",Table1[[#This Row],[Std Adj Read]]="N/A"),"N/A",IF(Table1[[#This Row],[DUT Adj Read]]="N/A",IF(Table1[[#This Row],[Std Adj Read]]&gt;=Table1[[#This Row],[Low Tol]],"Pass","Fail"),IF(Table1[[#This Row],[DUT Adj Read]]&gt;=Table1[[#This Row],[Low Tol]],"Pass","Fail")))</f>
        <v>Pass</v>
      </c>
      <c r="AG2653" s="1" t="str">
        <f>IF(AND(Table1[[#This Row],[Spec Type2]]="N/A",Table1[[#This Row],[DUT Adj Read]]="N/A",Table1[[#This Row],[Std Adj Read]]="N/A"),"N/A",IF(Table1[[#This Row],[DUT Adj Read]]="N/A",IF(Table1[[#This Row],[Std Adj Read]]&lt;=Table1[[#This Row],[High Tol]],"Pass","Fail"),IF(Table1[[#This Row],[DUT Adj Read]]&lt;=Table1[[#This Row],[High Tol]],"Pass","Fail")))</f>
        <v>Fail</v>
      </c>
      <c r="AH26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3" s="1" t="b">
        <v>0</v>
      </c>
      <c r="AN2653" s="1" t="b">
        <v>0</v>
      </c>
      <c r="AO2653" s="1" t="b">
        <v>0</v>
      </c>
    </row>
    <row r="2654" spans="1:41" x14ac:dyDescent="0.25">
      <c r="A2654" s="10"/>
      <c r="B2654" s="10"/>
      <c r="C2654" s="10"/>
      <c r="D2654" s="10"/>
      <c r="E2654" s="10"/>
      <c r="F2654" s="10"/>
      <c r="G2654" s="10"/>
      <c r="H2654" s="10"/>
      <c r="I2654" s="1" t="str">
        <f t="shared" si="123"/>
        <v/>
      </c>
      <c r="J2654" s="1" t="s">
        <v>35</v>
      </c>
      <c r="K2654" s="1" t="str">
        <f t="shared" si="124"/>
        <v/>
      </c>
      <c r="L2654" s="1" t="str">
        <f t="shared" si="125"/>
        <v/>
      </c>
      <c r="M2654" s="1">
        <f>IF(OR(Table1[[#This Row],[Std Nom]]="",Table1[[#This Row],[Std Read]]=""),0,Table1[[#This Row],[Std Nom]]-Table1[[#This Row],[Std Read]])</f>
        <v>0</v>
      </c>
      <c r="N2654" s="1">
        <f>IF(Calculations!$F$5="ACCREDITED 17025 WITH UNCERTAINTIES",$N$10,0)</f>
        <v>0</v>
      </c>
      <c r="Q2654" s="1">
        <f>Table1[[#This Row],[High Tol]]-Table1[[#This Row],[Low Tol]]</f>
        <v>0</v>
      </c>
      <c r="R2654" s="1">
        <f>2*Table1[[#This Row],[Std Error]]</f>
        <v>0</v>
      </c>
      <c r="S2654" s="1" t="str">
        <f>IF(Table1[[#This Row],[High Tol]]="","N/A",IFERROR(ABS(Table1[[#This Row],[Tol Span]]/Table1[[#This Row],[Error Span]]),"N/A"))</f>
        <v>N/A</v>
      </c>
      <c r="T2654" s="1" t="str">
        <f>IF(OR(Table1[[#This Row],[Low Tol]]="",Table1[[#This Row],[High Tol]]=""),"Needs Analysis",IF(Table1[[#This Row],[Ratio]]&gt;=4,"Not Significant",IF(Table1[[#This Row],[Ratio]]&gt;=2,"Semi-Significant","Significant")))</f>
        <v>Needs Analysis</v>
      </c>
      <c r="W2654" s="1">
        <f>IF(Table1[[#This Row],[Cal Type]]&lt;&gt;"ACCREDITED 17025 WITH UNCERTAINTIES",0,"")</f>
        <v>0</v>
      </c>
      <c r="X2654" s="1" t="str">
        <f>IF(Table1[[#This Row],[DUT Read]]="","N/A",Table1[[#This Row],[Std Error]]+Table1[[#This Row],[DUT Read]]+Table1[[#This Row],[DUT Ucty]])</f>
        <v>N/A</v>
      </c>
      <c r="Y2654" s="1" t="str">
        <f>IF(Table1[[#This Row],[Std Read]]="","N/A",Table1[[#This Row],[Std Read]]+Table1[[#This Row],[Std Ucty]])</f>
        <v>N/A</v>
      </c>
      <c r="Z26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4" s="1" t="str">
        <f>IF(Table1[[#This Row],[Spec Type]]="","N/A",Table1[[#This Row],[Spec Type]])</f>
        <v>±</v>
      </c>
      <c r="AC2654" s="1" t="str">
        <f>IF(Table1[[#This Row],[Spec Type2]]="N/A","N/A",IF(AND(Table1[[#This Row],[DUT Adj Read]]&gt;=Table1[[#This Row],[Low Tol]],Table1[[#This Row],[DUT Adj Read]]&lt;=Table1[[#This Row],[High Tol]]),"Pass","Fail"))</f>
        <v>Fail</v>
      </c>
      <c r="AD2654" s="1" t="str">
        <f>IF(AND(Table1[[#This Row],[Spec Type2]]="N/A",Table1[[#This Row],[DUT Adj Read]]="N/A",Table1[[#This Row],[Std Adj Read]]="N/A"),"N/A",IF(Table1[[#This Row],[DUT Adj Read]]="N/A",IF(Table1[[#This Row],[Std Adj Read]]&gt;Table1[[#This Row],[Low Tol]],"Pass","Fail"),IF(Table1[[#This Row],[DUT Adj Read]]&gt;Table1[[#This Row],[Low Tol]],"Pass","Fail")))</f>
        <v>Pass</v>
      </c>
      <c r="AE2654" s="1" t="str">
        <f>IF(AND(Table1[[#This Row],[Spec Type2]]="N/A",Table1[[#This Row],[DUT Adj Read]]="N/A",Table1[[#This Row],[Std Adj Read]]="N/A"),"N/A",IF(Table1[[#This Row],[DUT Adj Read]]="N/A",IF(Table1[[#This Row],[Std Adj Read]]&lt;Table1[[#This Row],[High Tol]],"Pass","Fail"),IF(Table1[[#This Row],[DUT Adj Read]]&lt;Table1[[#This Row],[High Tol]],"Pass","Fail")))</f>
        <v>Fail</v>
      </c>
      <c r="AF2654" s="1" t="str">
        <f>IF(AND(Table1[[#This Row],[Spec Type2]]="N/A",Table1[[#This Row],[DUT Adj Read]]="N/A",Table1[[#This Row],[Std Adj Read]]="N/A"),"N/A",IF(Table1[[#This Row],[DUT Adj Read]]="N/A",IF(Table1[[#This Row],[Std Adj Read]]&gt;=Table1[[#This Row],[Low Tol]],"Pass","Fail"),IF(Table1[[#This Row],[DUT Adj Read]]&gt;=Table1[[#This Row],[Low Tol]],"Pass","Fail")))</f>
        <v>Pass</v>
      </c>
      <c r="AG2654" s="1" t="str">
        <f>IF(AND(Table1[[#This Row],[Spec Type2]]="N/A",Table1[[#This Row],[DUT Adj Read]]="N/A",Table1[[#This Row],[Std Adj Read]]="N/A"),"N/A",IF(Table1[[#This Row],[DUT Adj Read]]="N/A",IF(Table1[[#This Row],[Std Adj Read]]&lt;=Table1[[#This Row],[High Tol]],"Pass","Fail"),IF(Table1[[#This Row],[DUT Adj Read]]&lt;=Table1[[#This Row],[High Tol]],"Pass","Fail")))</f>
        <v>Fail</v>
      </c>
      <c r="AH26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4" s="1" t="b">
        <v>0</v>
      </c>
      <c r="AN2654" s="1" t="b">
        <v>0</v>
      </c>
      <c r="AO2654" s="1" t="b">
        <v>0</v>
      </c>
    </row>
    <row r="2655" spans="1:41" x14ac:dyDescent="0.25">
      <c r="A2655" s="10"/>
      <c r="B2655" s="10"/>
      <c r="C2655" s="10"/>
      <c r="D2655" s="10"/>
      <c r="E2655" s="10"/>
      <c r="F2655" s="10"/>
      <c r="G2655" s="10"/>
      <c r="H2655" s="10"/>
      <c r="I2655" s="1" t="str">
        <f t="shared" si="123"/>
        <v/>
      </c>
      <c r="J2655" s="1" t="s">
        <v>35</v>
      </c>
      <c r="K2655" s="1" t="str">
        <f t="shared" si="124"/>
        <v/>
      </c>
      <c r="L2655" s="1" t="str">
        <f t="shared" si="125"/>
        <v/>
      </c>
      <c r="M2655" s="1">
        <f>IF(OR(Table1[[#This Row],[Std Nom]]="",Table1[[#This Row],[Std Read]]=""),0,Table1[[#This Row],[Std Nom]]-Table1[[#This Row],[Std Read]])</f>
        <v>0</v>
      </c>
      <c r="N2655" s="1">
        <f>IF(Calculations!$F$5="ACCREDITED 17025 WITH UNCERTAINTIES",$N$10,0)</f>
        <v>0</v>
      </c>
      <c r="Q2655" s="1">
        <f>Table1[[#This Row],[High Tol]]-Table1[[#This Row],[Low Tol]]</f>
        <v>0</v>
      </c>
      <c r="R2655" s="1">
        <f>2*Table1[[#This Row],[Std Error]]</f>
        <v>0</v>
      </c>
      <c r="S2655" s="1" t="str">
        <f>IF(Table1[[#This Row],[High Tol]]="","N/A",IFERROR(ABS(Table1[[#This Row],[Tol Span]]/Table1[[#This Row],[Error Span]]),"N/A"))</f>
        <v>N/A</v>
      </c>
      <c r="T2655" s="1" t="str">
        <f>IF(OR(Table1[[#This Row],[Low Tol]]="",Table1[[#This Row],[High Tol]]=""),"Needs Analysis",IF(Table1[[#This Row],[Ratio]]&gt;=4,"Not Significant",IF(Table1[[#This Row],[Ratio]]&gt;=2,"Semi-Significant","Significant")))</f>
        <v>Needs Analysis</v>
      </c>
      <c r="W2655" s="1">
        <f>IF(Table1[[#This Row],[Cal Type]]&lt;&gt;"ACCREDITED 17025 WITH UNCERTAINTIES",0,"")</f>
        <v>0</v>
      </c>
      <c r="X2655" s="1" t="str">
        <f>IF(Table1[[#This Row],[DUT Read]]="","N/A",Table1[[#This Row],[Std Error]]+Table1[[#This Row],[DUT Read]]+Table1[[#This Row],[DUT Ucty]])</f>
        <v>N/A</v>
      </c>
      <c r="Y2655" s="1" t="str">
        <f>IF(Table1[[#This Row],[Std Read]]="","N/A",Table1[[#This Row],[Std Read]]+Table1[[#This Row],[Std Ucty]])</f>
        <v>N/A</v>
      </c>
      <c r="Z26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5" s="1" t="str">
        <f>IF(Table1[[#This Row],[Spec Type]]="","N/A",Table1[[#This Row],[Spec Type]])</f>
        <v>±</v>
      </c>
      <c r="AC2655" s="1" t="str">
        <f>IF(Table1[[#This Row],[Spec Type2]]="N/A","N/A",IF(AND(Table1[[#This Row],[DUT Adj Read]]&gt;=Table1[[#This Row],[Low Tol]],Table1[[#This Row],[DUT Adj Read]]&lt;=Table1[[#This Row],[High Tol]]),"Pass","Fail"))</f>
        <v>Fail</v>
      </c>
      <c r="AD2655" s="1" t="str">
        <f>IF(AND(Table1[[#This Row],[Spec Type2]]="N/A",Table1[[#This Row],[DUT Adj Read]]="N/A",Table1[[#This Row],[Std Adj Read]]="N/A"),"N/A",IF(Table1[[#This Row],[DUT Adj Read]]="N/A",IF(Table1[[#This Row],[Std Adj Read]]&gt;Table1[[#This Row],[Low Tol]],"Pass","Fail"),IF(Table1[[#This Row],[DUT Adj Read]]&gt;Table1[[#This Row],[Low Tol]],"Pass","Fail")))</f>
        <v>Pass</v>
      </c>
      <c r="AE2655" s="1" t="str">
        <f>IF(AND(Table1[[#This Row],[Spec Type2]]="N/A",Table1[[#This Row],[DUT Adj Read]]="N/A",Table1[[#This Row],[Std Adj Read]]="N/A"),"N/A",IF(Table1[[#This Row],[DUT Adj Read]]="N/A",IF(Table1[[#This Row],[Std Adj Read]]&lt;Table1[[#This Row],[High Tol]],"Pass","Fail"),IF(Table1[[#This Row],[DUT Adj Read]]&lt;Table1[[#This Row],[High Tol]],"Pass","Fail")))</f>
        <v>Fail</v>
      </c>
      <c r="AF2655" s="1" t="str">
        <f>IF(AND(Table1[[#This Row],[Spec Type2]]="N/A",Table1[[#This Row],[DUT Adj Read]]="N/A",Table1[[#This Row],[Std Adj Read]]="N/A"),"N/A",IF(Table1[[#This Row],[DUT Adj Read]]="N/A",IF(Table1[[#This Row],[Std Adj Read]]&gt;=Table1[[#This Row],[Low Tol]],"Pass","Fail"),IF(Table1[[#This Row],[DUT Adj Read]]&gt;=Table1[[#This Row],[Low Tol]],"Pass","Fail")))</f>
        <v>Pass</v>
      </c>
      <c r="AG2655" s="1" t="str">
        <f>IF(AND(Table1[[#This Row],[Spec Type2]]="N/A",Table1[[#This Row],[DUT Adj Read]]="N/A",Table1[[#This Row],[Std Adj Read]]="N/A"),"N/A",IF(Table1[[#This Row],[DUT Adj Read]]="N/A",IF(Table1[[#This Row],[Std Adj Read]]&lt;=Table1[[#This Row],[High Tol]],"Pass","Fail"),IF(Table1[[#This Row],[DUT Adj Read]]&lt;=Table1[[#This Row],[High Tol]],"Pass","Fail")))</f>
        <v>Fail</v>
      </c>
      <c r="AH26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5" s="1" t="b">
        <v>0</v>
      </c>
      <c r="AN2655" s="1" t="b">
        <v>0</v>
      </c>
      <c r="AO2655" s="1" t="b">
        <v>0</v>
      </c>
    </row>
    <row r="2656" spans="1:41" x14ac:dyDescent="0.25">
      <c r="A2656" s="10"/>
      <c r="B2656" s="10"/>
      <c r="C2656" s="10"/>
      <c r="D2656" s="10"/>
      <c r="E2656" s="10"/>
      <c r="F2656" s="10"/>
      <c r="G2656" s="10"/>
      <c r="H2656" s="10"/>
      <c r="I2656" s="1" t="str">
        <f t="shared" si="123"/>
        <v/>
      </c>
      <c r="J2656" s="1" t="s">
        <v>35</v>
      </c>
      <c r="K2656" s="1" t="str">
        <f t="shared" si="124"/>
        <v/>
      </c>
      <c r="L2656" s="1" t="str">
        <f t="shared" si="125"/>
        <v/>
      </c>
      <c r="M2656" s="1">
        <f>IF(OR(Table1[[#This Row],[Std Nom]]="",Table1[[#This Row],[Std Read]]=""),0,Table1[[#This Row],[Std Nom]]-Table1[[#This Row],[Std Read]])</f>
        <v>0</v>
      </c>
      <c r="N2656" s="1">
        <f>IF(Calculations!$F$5="ACCREDITED 17025 WITH UNCERTAINTIES",$N$10,0)</f>
        <v>0</v>
      </c>
      <c r="Q2656" s="1">
        <f>Table1[[#This Row],[High Tol]]-Table1[[#This Row],[Low Tol]]</f>
        <v>0</v>
      </c>
      <c r="R2656" s="1">
        <f>2*Table1[[#This Row],[Std Error]]</f>
        <v>0</v>
      </c>
      <c r="S2656" s="1" t="str">
        <f>IF(Table1[[#This Row],[High Tol]]="","N/A",IFERROR(ABS(Table1[[#This Row],[Tol Span]]/Table1[[#This Row],[Error Span]]),"N/A"))</f>
        <v>N/A</v>
      </c>
      <c r="T2656" s="1" t="str">
        <f>IF(OR(Table1[[#This Row],[Low Tol]]="",Table1[[#This Row],[High Tol]]=""),"Needs Analysis",IF(Table1[[#This Row],[Ratio]]&gt;=4,"Not Significant",IF(Table1[[#This Row],[Ratio]]&gt;=2,"Semi-Significant","Significant")))</f>
        <v>Needs Analysis</v>
      </c>
      <c r="W2656" s="1">
        <f>IF(Table1[[#This Row],[Cal Type]]&lt;&gt;"ACCREDITED 17025 WITH UNCERTAINTIES",0,"")</f>
        <v>0</v>
      </c>
      <c r="X2656" s="1" t="str">
        <f>IF(Table1[[#This Row],[DUT Read]]="","N/A",Table1[[#This Row],[Std Error]]+Table1[[#This Row],[DUT Read]]+Table1[[#This Row],[DUT Ucty]])</f>
        <v>N/A</v>
      </c>
      <c r="Y2656" s="1" t="str">
        <f>IF(Table1[[#This Row],[Std Read]]="","N/A",Table1[[#This Row],[Std Read]]+Table1[[#This Row],[Std Ucty]])</f>
        <v>N/A</v>
      </c>
      <c r="Z26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6" s="1" t="str">
        <f>IF(Table1[[#This Row],[Spec Type]]="","N/A",Table1[[#This Row],[Spec Type]])</f>
        <v>±</v>
      </c>
      <c r="AC2656" s="1" t="str">
        <f>IF(Table1[[#This Row],[Spec Type2]]="N/A","N/A",IF(AND(Table1[[#This Row],[DUT Adj Read]]&gt;=Table1[[#This Row],[Low Tol]],Table1[[#This Row],[DUT Adj Read]]&lt;=Table1[[#This Row],[High Tol]]),"Pass","Fail"))</f>
        <v>Fail</v>
      </c>
      <c r="AD2656" s="1" t="str">
        <f>IF(AND(Table1[[#This Row],[Spec Type2]]="N/A",Table1[[#This Row],[DUT Adj Read]]="N/A",Table1[[#This Row],[Std Adj Read]]="N/A"),"N/A",IF(Table1[[#This Row],[DUT Adj Read]]="N/A",IF(Table1[[#This Row],[Std Adj Read]]&gt;Table1[[#This Row],[Low Tol]],"Pass","Fail"),IF(Table1[[#This Row],[DUT Adj Read]]&gt;Table1[[#This Row],[Low Tol]],"Pass","Fail")))</f>
        <v>Pass</v>
      </c>
      <c r="AE2656" s="1" t="str">
        <f>IF(AND(Table1[[#This Row],[Spec Type2]]="N/A",Table1[[#This Row],[DUT Adj Read]]="N/A",Table1[[#This Row],[Std Adj Read]]="N/A"),"N/A",IF(Table1[[#This Row],[DUT Adj Read]]="N/A",IF(Table1[[#This Row],[Std Adj Read]]&lt;Table1[[#This Row],[High Tol]],"Pass","Fail"),IF(Table1[[#This Row],[DUT Adj Read]]&lt;Table1[[#This Row],[High Tol]],"Pass","Fail")))</f>
        <v>Fail</v>
      </c>
      <c r="AF2656" s="1" t="str">
        <f>IF(AND(Table1[[#This Row],[Spec Type2]]="N/A",Table1[[#This Row],[DUT Adj Read]]="N/A",Table1[[#This Row],[Std Adj Read]]="N/A"),"N/A",IF(Table1[[#This Row],[DUT Adj Read]]="N/A",IF(Table1[[#This Row],[Std Adj Read]]&gt;=Table1[[#This Row],[Low Tol]],"Pass","Fail"),IF(Table1[[#This Row],[DUT Adj Read]]&gt;=Table1[[#This Row],[Low Tol]],"Pass","Fail")))</f>
        <v>Pass</v>
      </c>
      <c r="AG2656" s="1" t="str">
        <f>IF(AND(Table1[[#This Row],[Spec Type2]]="N/A",Table1[[#This Row],[DUT Adj Read]]="N/A",Table1[[#This Row],[Std Adj Read]]="N/A"),"N/A",IF(Table1[[#This Row],[DUT Adj Read]]="N/A",IF(Table1[[#This Row],[Std Adj Read]]&lt;=Table1[[#This Row],[High Tol]],"Pass","Fail"),IF(Table1[[#This Row],[DUT Adj Read]]&lt;=Table1[[#This Row],[High Tol]],"Pass","Fail")))</f>
        <v>Fail</v>
      </c>
      <c r="AH26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6" s="1" t="b">
        <v>0</v>
      </c>
      <c r="AN2656" s="1" t="b">
        <v>0</v>
      </c>
      <c r="AO2656" s="1" t="b">
        <v>0</v>
      </c>
    </row>
    <row r="2657" spans="1:41" x14ac:dyDescent="0.25">
      <c r="A2657" s="10"/>
      <c r="B2657" s="10"/>
      <c r="C2657" s="10"/>
      <c r="D2657" s="10"/>
      <c r="E2657" s="10"/>
      <c r="F2657" s="10"/>
      <c r="G2657" s="10"/>
      <c r="H2657" s="10"/>
      <c r="I2657" s="1" t="str">
        <f t="shared" si="123"/>
        <v/>
      </c>
      <c r="J2657" s="1" t="s">
        <v>35</v>
      </c>
      <c r="K2657" s="1" t="str">
        <f t="shared" si="124"/>
        <v/>
      </c>
      <c r="L2657" s="1" t="str">
        <f t="shared" si="125"/>
        <v/>
      </c>
      <c r="M2657" s="1">
        <f>IF(OR(Table1[[#This Row],[Std Nom]]="",Table1[[#This Row],[Std Read]]=""),0,Table1[[#This Row],[Std Nom]]-Table1[[#This Row],[Std Read]])</f>
        <v>0</v>
      </c>
      <c r="N2657" s="1">
        <f>IF(Calculations!$F$5="ACCREDITED 17025 WITH UNCERTAINTIES",$N$10,0)</f>
        <v>0</v>
      </c>
      <c r="Q2657" s="1">
        <f>Table1[[#This Row],[High Tol]]-Table1[[#This Row],[Low Tol]]</f>
        <v>0</v>
      </c>
      <c r="R2657" s="1">
        <f>2*Table1[[#This Row],[Std Error]]</f>
        <v>0</v>
      </c>
      <c r="S2657" s="1" t="str">
        <f>IF(Table1[[#This Row],[High Tol]]="","N/A",IFERROR(ABS(Table1[[#This Row],[Tol Span]]/Table1[[#This Row],[Error Span]]),"N/A"))</f>
        <v>N/A</v>
      </c>
      <c r="T2657" s="1" t="str">
        <f>IF(OR(Table1[[#This Row],[Low Tol]]="",Table1[[#This Row],[High Tol]]=""),"Needs Analysis",IF(Table1[[#This Row],[Ratio]]&gt;=4,"Not Significant",IF(Table1[[#This Row],[Ratio]]&gt;=2,"Semi-Significant","Significant")))</f>
        <v>Needs Analysis</v>
      </c>
      <c r="W2657" s="1">
        <f>IF(Table1[[#This Row],[Cal Type]]&lt;&gt;"ACCREDITED 17025 WITH UNCERTAINTIES",0,"")</f>
        <v>0</v>
      </c>
      <c r="X2657" s="1" t="str">
        <f>IF(Table1[[#This Row],[DUT Read]]="","N/A",Table1[[#This Row],[Std Error]]+Table1[[#This Row],[DUT Read]]+Table1[[#This Row],[DUT Ucty]])</f>
        <v>N/A</v>
      </c>
      <c r="Y2657" s="1" t="str">
        <f>IF(Table1[[#This Row],[Std Read]]="","N/A",Table1[[#This Row],[Std Read]]+Table1[[#This Row],[Std Ucty]])</f>
        <v>N/A</v>
      </c>
      <c r="Z26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7" s="1" t="str">
        <f>IF(Table1[[#This Row],[Spec Type]]="","N/A",Table1[[#This Row],[Spec Type]])</f>
        <v>±</v>
      </c>
      <c r="AC2657" s="1" t="str">
        <f>IF(Table1[[#This Row],[Spec Type2]]="N/A","N/A",IF(AND(Table1[[#This Row],[DUT Adj Read]]&gt;=Table1[[#This Row],[Low Tol]],Table1[[#This Row],[DUT Adj Read]]&lt;=Table1[[#This Row],[High Tol]]),"Pass","Fail"))</f>
        <v>Fail</v>
      </c>
      <c r="AD2657" s="1" t="str">
        <f>IF(AND(Table1[[#This Row],[Spec Type2]]="N/A",Table1[[#This Row],[DUT Adj Read]]="N/A",Table1[[#This Row],[Std Adj Read]]="N/A"),"N/A",IF(Table1[[#This Row],[DUT Adj Read]]="N/A",IF(Table1[[#This Row],[Std Adj Read]]&gt;Table1[[#This Row],[Low Tol]],"Pass","Fail"),IF(Table1[[#This Row],[DUT Adj Read]]&gt;Table1[[#This Row],[Low Tol]],"Pass","Fail")))</f>
        <v>Pass</v>
      </c>
      <c r="AE2657" s="1" t="str">
        <f>IF(AND(Table1[[#This Row],[Spec Type2]]="N/A",Table1[[#This Row],[DUT Adj Read]]="N/A",Table1[[#This Row],[Std Adj Read]]="N/A"),"N/A",IF(Table1[[#This Row],[DUT Adj Read]]="N/A",IF(Table1[[#This Row],[Std Adj Read]]&lt;Table1[[#This Row],[High Tol]],"Pass","Fail"),IF(Table1[[#This Row],[DUT Adj Read]]&lt;Table1[[#This Row],[High Tol]],"Pass","Fail")))</f>
        <v>Fail</v>
      </c>
      <c r="AF2657" s="1" t="str">
        <f>IF(AND(Table1[[#This Row],[Spec Type2]]="N/A",Table1[[#This Row],[DUT Adj Read]]="N/A",Table1[[#This Row],[Std Adj Read]]="N/A"),"N/A",IF(Table1[[#This Row],[DUT Adj Read]]="N/A",IF(Table1[[#This Row],[Std Adj Read]]&gt;=Table1[[#This Row],[Low Tol]],"Pass","Fail"),IF(Table1[[#This Row],[DUT Adj Read]]&gt;=Table1[[#This Row],[Low Tol]],"Pass","Fail")))</f>
        <v>Pass</v>
      </c>
      <c r="AG2657" s="1" t="str">
        <f>IF(AND(Table1[[#This Row],[Spec Type2]]="N/A",Table1[[#This Row],[DUT Adj Read]]="N/A",Table1[[#This Row],[Std Adj Read]]="N/A"),"N/A",IF(Table1[[#This Row],[DUT Adj Read]]="N/A",IF(Table1[[#This Row],[Std Adj Read]]&lt;=Table1[[#This Row],[High Tol]],"Pass","Fail"),IF(Table1[[#This Row],[DUT Adj Read]]&lt;=Table1[[#This Row],[High Tol]],"Pass","Fail")))</f>
        <v>Fail</v>
      </c>
      <c r="AH26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7" s="1" t="b">
        <v>0</v>
      </c>
      <c r="AN2657" s="1" t="b">
        <v>0</v>
      </c>
      <c r="AO2657" s="1" t="b">
        <v>0</v>
      </c>
    </row>
    <row r="2658" spans="1:41" x14ac:dyDescent="0.25">
      <c r="A2658" s="10"/>
      <c r="B2658" s="10"/>
      <c r="C2658" s="10"/>
      <c r="D2658" s="10"/>
      <c r="E2658" s="10"/>
      <c r="F2658" s="10"/>
      <c r="G2658" s="10"/>
      <c r="H2658" s="10"/>
      <c r="I2658" s="1" t="str">
        <f t="shared" si="123"/>
        <v/>
      </c>
      <c r="J2658" s="1" t="s">
        <v>35</v>
      </c>
      <c r="K2658" s="1" t="str">
        <f t="shared" si="124"/>
        <v/>
      </c>
      <c r="L2658" s="1" t="str">
        <f t="shared" si="125"/>
        <v/>
      </c>
      <c r="M2658" s="1">
        <f>IF(OR(Table1[[#This Row],[Std Nom]]="",Table1[[#This Row],[Std Read]]=""),0,Table1[[#This Row],[Std Nom]]-Table1[[#This Row],[Std Read]])</f>
        <v>0</v>
      </c>
      <c r="N2658" s="1">
        <f>IF(Calculations!$F$5="ACCREDITED 17025 WITH UNCERTAINTIES",$N$10,0)</f>
        <v>0</v>
      </c>
      <c r="Q2658" s="1">
        <f>Table1[[#This Row],[High Tol]]-Table1[[#This Row],[Low Tol]]</f>
        <v>0</v>
      </c>
      <c r="R2658" s="1">
        <f>2*Table1[[#This Row],[Std Error]]</f>
        <v>0</v>
      </c>
      <c r="S2658" s="1" t="str">
        <f>IF(Table1[[#This Row],[High Tol]]="","N/A",IFERROR(ABS(Table1[[#This Row],[Tol Span]]/Table1[[#This Row],[Error Span]]),"N/A"))</f>
        <v>N/A</v>
      </c>
      <c r="T2658" s="1" t="str">
        <f>IF(OR(Table1[[#This Row],[Low Tol]]="",Table1[[#This Row],[High Tol]]=""),"Needs Analysis",IF(Table1[[#This Row],[Ratio]]&gt;=4,"Not Significant",IF(Table1[[#This Row],[Ratio]]&gt;=2,"Semi-Significant","Significant")))</f>
        <v>Needs Analysis</v>
      </c>
      <c r="W2658" s="1">
        <f>IF(Table1[[#This Row],[Cal Type]]&lt;&gt;"ACCREDITED 17025 WITH UNCERTAINTIES",0,"")</f>
        <v>0</v>
      </c>
      <c r="X2658" s="1" t="str">
        <f>IF(Table1[[#This Row],[DUT Read]]="","N/A",Table1[[#This Row],[Std Error]]+Table1[[#This Row],[DUT Read]]+Table1[[#This Row],[DUT Ucty]])</f>
        <v>N/A</v>
      </c>
      <c r="Y2658" s="1" t="str">
        <f>IF(Table1[[#This Row],[Std Read]]="","N/A",Table1[[#This Row],[Std Read]]+Table1[[#This Row],[Std Ucty]])</f>
        <v>N/A</v>
      </c>
      <c r="Z26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8" s="1" t="str">
        <f>IF(Table1[[#This Row],[Spec Type]]="","N/A",Table1[[#This Row],[Spec Type]])</f>
        <v>±</v>
      </c>
      <c r="AC2658" s="1" t="str">
        <f>IF(Table1[[#This Row],[Spec Type2]]="N/A","N/A",IF(AND(Table1[[#This Row],[DUT Adj Read]]&gt;=Table1[[#This Row],[Low Tol]],Table1[[#This Row],[DUT Adj Read]]&lt;=Table1[[#This Row],[High Tol]]),"Pass","Fail"))</f>
        <v>Fail</v>
      </c>
      <c r="AD2658" s="1" t="str">
        <f>IF(AND(Table1[[#This Row],[Spec Type2]]="N/A",Table1[[#This Row],[DUT Adj Read]]="N/A",Table1[[#This Row],[Std Adj Read]]="N/A"),"N/A",IF(Table1[[#This Row],[DUT Adj Read]]="N/A",IF(Table1[[#This Row],[Std Adj Read]]&gt;Table1[[#This Row],[Low Tol]],"Pass","Fail"),IF(Table1[[#This Row],[DUT Adj Read]]&gt;Table1[[#This Row],[Low Tol]],"Pass","Fail")))</f>
        <v>Pass</v>
      </c>
      <c r="AE2658" s="1" t="str">
        <f>IF(AND(Table1[[#This Row],[Spec Type2]]="N/A",Table1[[#This Row],[DUT Adj Read]]="N/A",Table1[[#This Row],[Std Adj Read]]="N/A"),"N/A",IF(Table1[[#This Row],[DUT Adj Read]]="N/A",IF(Table1[[#This Row],[Std Adj Read]]&lt;Table1[[#This Row],[High Tol]],"Pass","Fail"),IF(Table1[[#This Row],[DUT Adj Read]]&lt;Table1[[#This Row],[High Tol]],"Pass","Fail")))</f>
        <v>Fail</v>
      </c>
      <c r="AF2658" s="1" t="str">
        <f>IF(AND(Table1[[#This Row],[Spec Type2]]="N/A",Table1[[#This Row],[DUT Adj Read]]="N/A",Table1[[#This Row],[Std Adj Read]]="N/A"),"N/A",IF(Table1[[#This Row],[DUT Adj Read]]="N/A",IF(Table1[[#This Row],[Std Adj Read]]&gt;=Table1[[#This Row],[Low Tol]],"Pass","Fail"),IF(Table1[[#This Row],[DUT Adj Read]]&gt;=Table1[[#This Row],[Low Tol]],"Pass","Fail")))</f>
        <v>Pass</v>
      </c>
      <c r="AG2658" s="1" t="str">
        <f>IF(AND(Table1[[#This Row],[Spec Type2]]="N/A",Table1[[#This Row],[DUT Adj Read]]="N/A",Table1[[#This Row],[Std Adj Read]]="N/A"),"N/A",IF(Table1[[#This Row],[DUT Adj Read]]="N/A",IF(Table1[[#This Row],[Std Adj Read]]&lt;=Table1[[#This Row],[High Tol]],"Pass","Fail"),IF(Table1[[#This Row],[DUT Adj Read]]&lt;=Table1[[#This Row],[High Tol]],"Pass","Fail")))</f>
        <v>Fail</v>
      </c>
      <c r="AH26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8" s="1" t="b">
        <v>0</v>
      </c>
      <c r="AN2658" s="1" t="b">
        <v>0</v>
      </c>
      <c r="AO2658" s="1" t="b">
        <v>0</v>
      </c>
    </row>
    <row r="2659" spans="1:41" x14ac:dyDescent="0.25">
      <c r="A2659" s="10"/>
      <c r="B2659" s="10"/>
      <c r="C2659" s="10"/>
      <c r="D2659" s="10"/>
      <c r="E2659" s="10"/>
      <c r="F2659" s="10"/>
      <c r="G2659" s="10"/>
      <c r="H2659" s="10"/>
      <c r="I2659" s="1" t="str">
        <f t="shared" si="123"/>
        <v/>
      </c>
      <c r="J2659" s="1" t="s">
        <v>35</v>
      </c>
      <c r="K2659" s="1" t="str">
        <f t="shared" si="124"/>
        <v/>
      </c>
      <c r="L2659" s="1" t="str">
        <f t="shared" si="125"/>
        <v/>
      </c>
      <c r="M2659" s="1">
        <f>IF(OR(Table1[[#This Row],[Std Nom]]="",Table1[[#This Row],[Std Read]]=""),0,Table1[[#This Row],[Std Nom]]-Table1[[#This Row],[Std Read]])</f>
        <v>0</v>
      </c>
      <c r="N2659" s="1">
        <f>IF(Calculations!$F$5="ACCREDITED 17025 WITH UNCERTAINTIES",$N$10,0)</f>
        <v>0</v>
      </c>
      <c r="Q2659" s="1">
        <f>Table1[[#This Row],[High Tol]]-Table1[[#This Row],[Low Tol]]</f>
        <v>0</v>
      </c>
      <c r="R2659" s="1">
        <f>2*Table1[[#This Row],[Std Error]]</f>
        <v>0</v>
      </c>
      <c r="S2659" s="1" t="str">
        <f>IF(Table1[[#This Row],[High Tol]]="","N/A",IFERROR(ABS(Table1[[#This Row],[Tol Span]]/Table1[[#This Row],[Error Span]]),"N/A"))</f>
        <v>N/A</v>
      </c>
      <c r="T2659" s="1" t="str">
        <f>IF(OR(Table1[[#This Row],[Low Tol]]="",Table1[[#This Row],[High Tol]]=""),"Needs Analysis",IF(Table1[[#This Row],[Ratio]]&gt;=4,"Not Significant",IF(Table1[[#This Row],[Ratio]]&gt;=2,"Semi-Significant","Significant")))</f>
        <v>Needs Analysis</v>
      </c>
      <c r="W2659" s="1">
        <f>IF(Table1[[#This Row],[Cal Type]]&lt;&gt;"ACCREDITED 17025 WITH UNCERTAINTIES",0,"")</f>
        <v>0</v>
      </c>
      <c r="X2659" s="1" t="str">
        <f>IF(Table1[[#This Row],[DUT Read]]="","N/A",Table1[[#This Row],[Std Error]]+Table1[[#This Row],[DUT Read]]+Table1[[#This Row],[DUT Ucty]])</f>
        <v>N/A</v>
      </c>
      <c r="Y2659" s="1" t="str">
        <f>IF(Table1[[#This Row],[Std Read]]="","N/A",Table1[[#This Row],[Std Read]]+Table1[[#This Row],[Std Ucty]])</f>
        <v>N/A</v>
      </c>
      <c r="Z26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59" s="1" t="str">
        <f>IF(Table1[[#This Row],[Spec Type]]="","N/A",Table1[[#This Row],[Spec Type]])</f>
        <v>±</v>
      </c>
      <c r="AC2659" s="1" t="str">
        <f>IF(Table1[[#This Row],[Spec Type2]]="N/A","N/A",IF(AND(Table1[[#This Row],[DUT Adj Read]]&gt;=Table1[[#This Row],[Low Tol]],Table1[[#This Row],[DUT Adj Read]]&lt;=Table1[[#This Row],[High Tol]]),"Pass","Fail"))</f>
        <v>Fail</v>
      </c>
      <c r="AD2659" s="1" t="str">
        <f>IF(AND(Table1[[#This Row],[Spec Type2]]="N/A",Table1[[#This Row],[DUT Adj Read]]="N/A",Table1[[#This Row],[Std Adj Read]]="N/A"),"N/A",IF(Table1[[#This Row],[DUT Adj Read]]="N/A",IF(Table1[[#This Row],[Std Adj Read]]&gt;Table1[[#This Row],[Low Tol]],"Pass","Fail"),IF(Table1[[#This Row],[DUT Adj Read]]&gt;Table1[[#This Row],[Low Tol]],"Pass","Fail")))</f>
        <v>Pass</v>
      </c>
      <c r="AE2659" s="1" t="str">
        <f>IF(AND(Table1[[#This Row],[Spec Type2]]="N/A",Table1[[#This Row],[DUT Adj Read]]="N/A",Table1[[#This Row],[Std Adj Read]]="N/A"),"N/A",IF(Table1[[#This Row],[DUT Adj Read]]="N/A",IF(Table1[[#This Row],[Std Adj Read]]&lt;Table1[[#This Row],[High Tol]],"Pass","Fail"),IF(Table1[[#This Row],[DUT Adj Read]]&lt;Table1[[#This Row],[High Tol]],"Pass","Fail")))</f>
        <v>Fail</v>
      </c>
      <c r="AF2659" s="1" t="str">
        <f>IF(AND(Table1[[#This Row],[Spec Type2]]="N/A",Table1[[#This Row],[DUT Adj Read]]="N/A",Table1[[#This Row],[Std Adj Read]]="N/A"),"N/A",IF(Table1[[#This Row],[DUT Adj Read]]="N/A",IF(Table1[[#This Row],[Std Adj Read]]&gt;=Table1[[#This Row],[Low Tol]],"Pass","Fail"),IF(Table1[[#This Row],[DUT Adj Read]]&gt;=Table1[[#This Row],[Low Tol]],"Pass","Fail")))</f>
        <v>Pass</v>
      </c>
      <c r="AG2659" s="1" t="str">
        <f>IF(AND(Table1[[#This Row],[Spec Type2]]="N/A",Table1[[#This Row],[DUT Adj Read]]="N/A",Table1[[#This Row],[Std Adj Read]]="N/A"),"N/A",IF(Table1[[#This Row],[DUT Adj Read]]="N/A",IF(Table1[[#This Row],[Std Adj Read]]&lt;=Table1[[#This Row],[High Tol]],"Pass","Fail"),IF(Table1[[#This Row],[DUT Adj Read]]&lt;=Table1[[#This Row],[High Tol]],"Pass","Fail")))</f>
        <v>Fail</v>
      </c>
      <c r="AH26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59" s="1" t="b">
        <v>0</v>
      </c>
      <c r="AN2659" s="1" t="b">
        <v>0</v>
      </c>
      <c r="AO2659" s="1" t="b">
        <v>0</v>
      </c>
    </row>
    <row r="2660" spans="1:41" x14ac:dyDescent="0.25">
      <c r="A2660" s="10"/>
      <c r="B2660" s="10"/>
      <c r="C2660" s="10"/>
      <c r="D2660" s="10"/>
      <c r="E2660" s="10"/>
      <c r="F2660" s="10"/>
      <c r="G2660" s="10"/>
      <c r="H2660" s="10"/>
      <c r="I2660" s="1" t="str">
        <f t="shared" si="123"/>
        <v/>
      </c>
      <c r="J2660" s="1" t="s">
        <v>35</v>
      </c>
      <c r="K2660" s="1" t="str">
        <f t="shared" si="124"/>
        <v/>
      </c>
      <c r="L2660" s="1" t="str">
        <f t="shared" si="125"/>
        <v/>
      </c>
      <c r="M2660" s="1">
        <f>IF(OR(Table1[[#This Row],[Std Nom]]="",Table1[[#This Row],[Std Read]]=""),0,Table1[[#This Row],[Std Nom]]-Table1[[#This Row],[Std Read]])</f>
        <v>0</v>
      </c>
      <c r="N2660" s="1">
        <f>IF(Calculations!$F$5="ACCREDITED 17025 WITH UNCERTAINTIES",$N$10,0)</f>
        <v>0</v>
      </c>
      <c r="Q2660" s="1">
        <f>Table1[[#This Row],[High Tol]]-Table1[[#This Row],[Low Tol]]</f>
        <v>0</v>
      </c>
      <c r="R2660" s="1">
        <f>2*Table1[[#This Row],[Std Error]]</f>
        <v>0</v>
      </c>
      <c r="S2660" s="1" t="str">
        <f>IF(Table1[[#This Row],[High Tol]]="","N/A",IFERROR(ABS(Table1[[#This Row],[Tol Span]]/Table1[[#This Row],[Error Span]]),"N/A"))</f>
        <v>N/A</v>
      </c>
      <c r="T2660" s="1" t="str">
        <f>IF(OR(Table1[[#This Row],[Low Tol]]="",Table1[[#This Row],[High Tol]]=""),"Needs Analysis",IF(Table1[[#This Row],[Ratio]]&gt;=4,"Not Significant",IF(Table1[[#This Row],[Ratio]]&gt;=2,"Semi-Significant","Significant")))</f>
        <v>Needs Analysis</v>
      </c>
      <c r="W2660" s="1">
        <f>IF(Table1[[#This Row],[Cal Type]]&lt;&gt;"ACCREDITED 17025 WITH UNCERTAINTIES",0,"")</f>
        <v>0</v>
      </c>
      <c r="X2660" s="1" t="str">
        <f>IF(Table1[[#This Row],[DUT Read]]="","N/A",Table1[[#This Row],[Std Error]]+Table1[[#This Row],[DUT Read]]+Table1[[#This Row],[DUT Ucty]])</f>
        <v>N/A</v>
      </c>
      <c r="Y2660" s="1" t="str">
        <f>IF(Table1[[#This Row],[Std Read]]="","N/A",Table1[[#This Row],[Std Read]]+Table1[[#This Row],[Std Ucty]])</f>
        <v>N/A</v>
      </c>
      <c r="Z26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0" s="1" t="str">
        <f>IF(Table1[[#This Row],[Spec Type]]="","N/A",Table1[[#This Row],[Spec Type]])</f>
        <v>±</v>
      </c>
      <c r="AC2660" s="1" t="str">
        <f>IF(Table1[[#This Row],[Spec Type2]]="N/A","N/A",IF(AND(Table1[[#This Row],[DUT Adj Read]]&gt;=Table1[[#This Row],[Low Tol]],Table1[[#This Row],[DUT Adj Read]]&lt;=Table1[[#This Row],[High Tol]]),"Pass","Fail"))</f>
        <v>Fail</v>
      </c>
      <c r="AD2660" s="1" t="str">
        <f>IF(AND(Table1[[#This Row],[Spec Type2]]="N/A",Table1[[#This Row],[DUT Adj Read]]="N/A",Table1[[#This Row],[Std Adj Read]]="N/A"),"N/A",IF(Table1[[#This Row],[DUT Adj Read]]="N/A",IF(Table1[[#This Row],[Std Adj Read]]&gt;Table1[[#This Row],[Low Tol]],"Pass","Fail"),IF(Table1[[#This Row],[DUT Adj Read]]&gt;Table1[[#This Row],[Low Tol]],"Pass","Fail")))</f>
        <v>Pass</v>
      </c>
      <c r="AE2660" s="1" t="str">
        <f>IF(AND(Table1[[#This Row],[Spec Type2]]="N/A",Table1[[#This Row],[DUT Adj Read]]="N/A",Table1[[#This Row],[Std Adj Read]]="N/A"),"N/A",IF(Table1[[#This Row],[DUT Adj Read]]="N/A",IF(Table1[[#This Row],[Std Adj Read]]&lt;Table1[[#This Row],[High Tol]],"Pass","Fail"),IF(Table1[[#This Row],[DUT Adj Read]]&lt;Table1[[#This Row],[High Tol]],"Pass","Fail")))</f>
        <v>Fail</v>
      </c>
      <c r="AF2660" s="1" t="str">
        <f>IF(AND(Table1[[#This Row],[Spec Type2]]="N/A",Table1[[#This Row],[DUT Adj Read]]="N/A",Table1[[#This Row],[Std Adj Read]]="N/A"),"N/A",IF(Table1[[#This Row],[DUT Adj Read]]="N/A",IF(Table1[[#This Row],[Std Adj Read]]&gt;=Table1[[#This Row],[Low Tol]],"Pass","Fail"),IF(Table1[[#This Row],[DUT Adj Read]]&gt;=Table1[[#This Row],[Low Tol]],"Pass","Fail")))</f>
        <v>Pass</v>
      </c>
      <c r="AG2660" s="1" t="str">
        <f>IF(AND(Table1[[#This Row],[Spec Type2]]="N/A",Table1[[#This Row],[DUT Adj Read]]="N/A",Table1[[#This Row],[Std Adj Read]]="N/A"),"N/A",IF(Table1[[#This Row],[DUT Adj Read]]="N/A",IF(Table1[[#This Row],[Std Adj Read]]&lt;=Table1[[#This Row],[High Tol]],"Pass","Fail"),IF(Table1[[#This Row],[DUT Adj Read]]&lt;=Table1[[#This Row],[High Tol]],"Pass","Fail")))</f>
        <v>Fail</v>
      </c>
      <c r="AH26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0" s="1" t="b">
        <v>0</v>
      </c>
      <c r="AN2660" s="1" t="b">
        <v>0</v>
      </c>
      <c r="AO2660" s="1" t="b">
        <v>0</v>
      </c>
    </row>
    <row r="2661" spans="1:41" x14ac:dyDescent="0.25">
      <c r="A2661" s="10"/>
      <c r="B2661" s="10"/>
      <c r="C2661" s="10"/>
      <c r="D2661" s="10"/>
      <c r="E2661" s="10"/>
      <c r="F2661" s="10"/>
      <c r="G2661" s="10"/>
      <c r="H2661" s="10"/>
      <c r="I2661" s="1" t="str">
        <f t="shared" si="123"/>
        <v/>
      </c>
      <c r="J2661" s="1" t="s">
        <v>35</v>
      </c>
      <c r="K2661" s="1" t="str">
        <f t="shared" si="124"/>
        <v/>
      </c>
      <c r="L2661" s="1" t="str">
        <f t="shared" si="125"/>
        <v/>
      </c>
      <c r="M2661" s="1">
        <f>IF(OR(Table1[[#This Row],[Std Nom]]="",Table1[[#This Row],[Std Read]]=""),0,Table1[[#This Row],[Std Nom]]-Table1[[#This Row],[Std Read]])</f>
        <v>0</v>
      </c>
      <c r="N2661" s="1">
        <f>IF(Calculations!$F$5="ACCREDITED 17025 WITH UNCERTAINTIES",$N$10,0)</f>
        <v>0</v>
      </c>
      <c r="Q2661" s="1">
        <f>Table1[[#This Row],[High Tol]]-Table1[[#This Row],[Low Tol]]</f>
        <v>0</v>
      </c>
      <c r="R2661" s="1">
        <f>2*Table1[[#This Row],[Std Error]]</f>
        <v>0</v>
      </c>
      <c r="S2661" s="1" t="str">
        <f>IF(Table1[[#This Row],[High Tol]]="","N/A",IFERROR(ABS(Table1[[#This Row],[Tol Span]]/Table1[[#This Row],[Error Span]]),"N/A"))</f>
        <v>N/A</v>
      </c>
      <c r="T2661" s="1" t="str">
        <f>IF(OR(Table1[[#This Row],[Low Tol]]="",Table1[[#This Row],[High Tol]]=""),"Needs Analysis",IF(Table1[[#This Row],[Ratio]]&gt;=4,"Not Significant",IF(Table1[[#This Row],[Ratio]]&gt;=2,"Semi-Significant","Significant")))</f>
        <v>Needs Analysis</v>
      </c>
      <c r="W2661" s="1">
        <f>IF(Table1[[#This Row],[Cal Type]]&lt;&gt;"ACCREDITED 17025 WITH UNCERTAINTIES",0,"")</f>
        <v>0</v>
      </c>
      <c r="X2661" s="1" t="str">
        <f>IF(Table1[[#This Row],[DUT Read]]="","N/A",Table1[[#This Row],[Std Error]]+Table1[[#This Row],[DUT Read]]+Table1[[#This Row],[DUT Ucty]])</f>
        <v>N/A</v>
      </c>
      <c r="Y2661" s="1" t="str">
        <f>IF(Table1[[#This Row],[Std Read]]="","N/A",Table1[[#This Row],[Std Read]]+Table1[[#This Row],[Std Ucty]])</f>
        <v>N/A</v>
      </c>
      <c r="Z26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1" s="1" t="str">
        <f>IF(Table1[[#This Row],[Spec Type]]="","N/A",Table1[[#This Row],[Spec Type]])</f>
        <v>±</v>
      </c>
      <c r="AC2661" s="1" t="str">
        <f>IF(Table1[[#This Row],[Spec Type2]]="N/A","N/A",IF(AND(Table1[[#This Row],[DUT Adj Read]]&gt;=Table1[[#This Row],[Low Tol]],Table1[[#This Row],[DUT Adj Read]]&lt;=Table1[[#This Row],[High Tol]]),"Pass","Fail"))</f>
        <v>Fail</v>
      </c>
      <c r="AD2661" s="1" t="str">
        <f>IF(AND(Table1[[#This Row],[Spec Type2]]="N/A",Table1[[#This Row],[DUT Adj Read]]="N/A",Table1[[#This Row],[Std Adj Read]]="N/A"),"N/A",IF(Table1[[#This Row],[DUT Adj Read]]="N/A",IF(Table1[[#This Row],[Std Adj Read]]&gt;Table1[[#This Row],[Low Tol]],"Pass","Fail"),IF(Table1[[#This Row],[DUT Adj Read]]&gt;Table1[[#This Row],[Low Tol]],"Pass","Fail")))</f>
        <v>Pass</v>
      </c>
      <c r="AE2661" s="1" t="str">
        <f>IF(AND(Table1[[#This Row],[Spec Type2]]="N/A",Table1[[#This Row],[DUT Adj Read]]="N/A",Table1[[#This Row],[Std Adj Read]]="N/A"),"N/A",IF(Table1[[#This Row],[DUT Adj Read]]="N/A",IF(Table1[[#This Row],[Std Adj Read]]&lt;Table1[[#This Row],[High Tol]],"Pass","Fail"),IF(Table1[[#This Row],[DUT Adj Read]]&lt;Table1[[#This Row],[High Tol]],"Pass","Fail")))</f>
        <v>Fail</v>
      </c>
      <c r="AF2661" s="1" t="str">
        <f>IF(AND(Table1[[#This Row],[Spec Type2]]="N/A",Table1[[#This Row],[DUT Adj Read]]="N/A",Table1[[#This Row],[Std Adj Read]]="N/A"),"N/A",IF(Table1[[#This Row],[DUT Adj Read]]="N/A",IF(Table1[[#This Row],[Std Adj Read]]&gt;=Table1[[#This Row],[Low Tol]],"Pass","Fail"),IF(Table1[[#This Row],[DUT Adj Read]]&gt;=Table1[[#This Row],[Low Tol]],"Pass","Fail")))</f>
        <v>Pass</v>
      </c>
      <c r="AG2661" s="1" t="str">
        <f>IF(AND(Table1[[#This Row],[Spec Type2]]="N/A",Table1[[#This Row],[DUT Adj Read]]="N/A",Table1[[#This Row],[Std Adj Read]]="N/A"),"N/A",IF(Table1[[#This Row],[DUT Adj Read]]="N/A",IF(Table1[[#This Row],[Std Adj Read]]&lt;=Table1[[#This Row],[High Tol]],"Pass","Fail"),IF(Table1[[#This Row],[DUT Adj Read]]&lt;=Table1[[#This Row],[High Tol]],"Pass","Fail")))</f>
        <v>Fail</v>
      </c>
      <c r="AH26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1" s="1" t="b">
        <v>0</v>
      </c>
      <c r="AN2661" s="1" t="b">
        <v>0</v>
      </c>
      <c r="AO2661" s="1" t="b">
        <v>0</v>
      </c>
    </row>
    <row r="2662" spans="1:41" x14ac:dyDescent="0.25">
      <c r="A2662" s="10"/>
      <c r="B2662" s="10"/>
      <c r="C2662" s="10"/>
      <c r="D2662" s="10"/>
      <c r="E2662" s="10"/>
      <c r="F2662" s="10"/>
      <c r="G2662" s="10"/>
      <c r="H2662" s="10"/>
      <c r="I2662" s="1" t="str">
        <f t="shared" si="123"/>
        <v/>
      </c>
      <c r="J2662" s="1" t="s">
        <v>35</v>
      </c>
      <c r="K2662" s="1" t="str">
        <f t="shared" si="124"/>
        <v/>
      </c>
      <c r="L2662" s="1" t="str">
        <f t="shared" si="125"/>
        <v/>
      </c>
      <c r="M2662" s="1">
        <f>IF(OR(Table1[[#This Row],[Std Nom]]="",Table1[[#This Row],[Std Read]]=""),0,Table1[[#This Row],[Std Nom]]-Table1[[#This Row],[Std Read]])</f>
        <v>0</v>
      </c>
      <c r="N2662" s="1">
        <f>IF(Calculations!$F$5="ACCREDITED 17025 WITH UNCERTAINTIES",$N$10,0)</f>
        <v>0</v>
      </c>
      <c r="Q2662" s="1">
        <f>Table1[[#This Row],[High Tol]]-Table1[[#This Row],[Low Tol]]</f>
        <v>0</v>
      </c>
      <c r="R2662" s="1">
        <f>2*Table1[[#This Row],[Std Error]]</f>
        <v>0</v>
      </c>
      <c r="S2662" s="1" t="str">
        <f>IF(Table1[[#This Row],[High Tol]]="","N/A",IFERROR(ABS(Table1[[#This Row],[Tol Span]]/Table1[[#This Row],[Error Span]]),"N/A"))</f>
        <v>N/A</v>
      </c>
      <c r="T2662" s="1" t="str">
        <f>IF(OR(Table1[[#This Row],[Low Tol]]="",Table1[[#This Row],[High Tol]]=""),"Needs Analysis",IF(Table1[[#This Row],[Ratio]]&gt;=4,"Not Significant",IF(Table1[[#This Row],[Ratio]]&gt;=2,"Semi-Significant","Significant")))</f>
        <v>Needs Analysis</v>
      </c>
      <c r="W2662" s="1">
        <f>IF(Table1[[#This Row],[Cal Type]]&lt;&gt;"ACCREDITED 17025 WITH UNCERTAINTIES",0,"")</f>
        <v>0</v>
      </c>
      <c r="X2662" s="1" t="str">
        <f>IF(Table1[[#This Row],[DUT Read]]="","N/A",Table1[[#This Row],[Std Error]]+Table1[[#This Row],[DUT Read]]+Table1[[#This Row],[DUT Ucty]])</f>
        <v>N/A</v>
      </c>
      <c r="Y2662" s="1" t="str">
        <f>IF(Table1[[#This Row],[Std Read]]="","N/A",Table1[[#This Row],[Std Read]]+Table1[[#This Row],[Std Ucty]])</f>
        <v>N/A</v>
      </c>
      <c r="Z26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2" s="1" t="str">
        <f>IF(Table1[[#This Row],[Spec Type]]="","N/A",Table1[[#This Row],[Spec Type]])</f>
        <v>±</v>
      </c>
      <c r="AC2662" s="1" t="str">
        <f>IF(Table1[[#This Row],[Spec Type2]]="N/A","N/A",IF(AND(Table1[[#This Row],[DUT Adj Read]]&gt;=Table1[[#This Row],[Low Tol]],Table1[[#This Row],[DUT Adj Read]]&lt;=Table1[[#This Row],[High Tol]]),"Pass","Fail"))</f>
        <v>Fail</v>
      </c>
      <c r="AD2662" s="1" t="str">
        <f>IF(AND(Table1[[#This Row],[Spec Type2]]="N/A",Table1[[#This Row],[DUT Adj Read]]="N/A",Table1[[#This Row],[Std Adj Read]]="N/A"),"N/A",IF(Table1[[#This Row],[DUT Adj Read]]="N/A",IF(Table1[[#This Row],[Std Adj Read]]&gt;Table1[[#This Row],[Low Tol]],"Pass","Fail"),IF(Table1[[#This Row],[DUT Adj Read]]&gt;Table1[[#This Row],[Low Tol]],"Pass","Fail")))</f>
        <v>Pass</v>
      </c>
      <c r="AE2662" s="1" t="str">
        <f>IF(AND(Table1[[#This Row],[Spec Type2]]="N/A",Table1[[#This Row],[DUT Adj Read]]="N/A",Table1[[#This Row],[Std Adj Read]]="N/A"),"N/A",IF(Table1[[#This Row],[DUT Adj Read]]="N/A",IF(Table1[[#This Row],[Std Adj Read]]&lt;Table1[[#This Row],[High Tol]],"Pass","Fail"),IF(Table1[[#This Row],[DUT Adj Read]]&lt;Table1[[#This Row],[High Tol]],"Pass","Fail")))</f>
        <v>Fail</v>
      </c>
      <c r="AF2662" s="1" t="str">
        <f>IF(AND(Table1[[#This Row],[Spec Type2]]="N/A",Table1[[#This Row],[DUT Adj Read]]="N/A",Table1[[#This Row],[Std Adj Read]]="N/A"),"N/A",IF(Table1[[#This Row],[DUT Adj Read]]="N/A",IF(Table1[[#This Row],[Std Adj Read]]&gt;=Table1[[#This Row],[Low Tol]],"Pass","Fail"),IF(Table1[[#This Row],[DUT Adj Read]]&gt;=Table1[[#This Row],[Low Tol]],"Pass","Fail")))</f>
        <v>Pass</v>
      </c>
      <c r="AG2662" s="1" t="str">
        <f>IF(AND(Table1[[#This Row],[Spec Type2]]="N/A",Table1[[#This Row],[DUT Adj Read]]="N/A",Table1[[#This Row],[Std Adj Read]]="N/A"),"N/A",IF(Table1[[#This Row],[DUT Adj Read]]="N/A",IF(Table1[[#This Row],[Std Adj Read]]&lt;=Table1[[#This Row],[High Tol]],"Pass","Fail"),IF(Table1[[#This Row],[DUT Adj Read]]&lt;=Table1[[#This Row],[High Tol]],"Pass","Fail")))</f>
        <v>Fail</v>
      </c>
      <c r="AH26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2" s="1" t="b">
        <v>0</v>
      </c>
      <c r="AN2662" s="1" t="b">
        <v>0</v>
      </c>
      <c r="AO2662" s="1" t="b">
        <v>0</v>
      </c>
    </row>
    <row r="2663" spans="1:41" x14ac:dyDescent="0.25">
      <c r="A2663" s="10"/>
      <c r="B2663" s="10"/>
      <c r="C2663" s="10"/>
      <c r="D2663" s="10"/>
      <c r="E2663" s="10"/>
      <c r="F2663" s="10"/>
      <c r="G2663" s="10"/>
      <c r="H2663" s="10"/>
      <c r="I2663" s="1" t="str">
        <f t="shared" si="123"/>
        <v/>
      </c>
      <c r="J2663" s="1" t="s">
        <v>35</v>
      </c>
      <c r="K2663" s="1" t="str">
        <f t="shared" si="124"/>
        <v/>
      </c>
      <c r="L2663" s="1" t="str">
        <f t="shared" si="125"/>
        <v/>
      </c>
      <c r="M2663" s="1">
        <f>IF(OR(Table1[[#This Row],[Std Nom]]="",Table1[[#This Row],[Std Read]]=""),0,Table1[[#This Row],[Std Nom]]-Table1[[#This Row],[Std Read]])</f>
        <v>0</v>
      </c>
      <c r="N2663" s="1">
        <f>IF(Calculations!$F$5="ACCREDITED 17025 WITH UNCERTAINTIES",$N$10,0)</f>
        <v>0</v>
      </c>
      <c r="Q2663" s="1">
        <f>Table1[[#This Row],[High Tol]]-Table1[[#This Row],[Low Tol]]</f>
        <v>0</v>
      </c>
      <c r="R2663" s="1">
        <f>2*Table1[[#This Row],[Std Error]]</f>
        <v>0</v>
      </c>
      <c r="S2663" s="1" t="str">
        <f>IF(Table1[[#This Row],[High Tol]]="","N/A",IFERROR(ABS(Table1[[#This Row],[Tol Span]]/Table1[[#This Row],[Error Span]]),"N/A"))</f>
        <v>N/A</v>
      </c>
      <c r="T2663" s="1" t="str">
        <f>IF(OR(Table1[[#This Row],[Low Tol]]="",Table1[[#This Row],[High Tol]]=""),"Needs Analysis",IF(Table1[[#This Row],[Ratio]]&gt;=4,"Not Significant",IF(Table1[[#This Row],[Ratio]]&gt;=2,"Semi-Significant","Significant")))</f>
        <v>Needs Analysis</v>
      </c>
      <c r="W2663" s="1">
        <f>IF(Table1[[#This Row],[Cal Type]]&lt;&gt;"ACCREDITED 17025 WITH UNCERTAINTIES",0,"")</f>
        <v>0</v>
      </c>
      <c r="X2663" s="1" t="str">
        <f>IF(Table1[[#This Row],[DUT Read]]="","N/A",Table1[[#This Row],[Std Error]]+Table1[[#This Row],[DUT Read]]+Table1[[#This Row],[DUT Ucty]])</f>
        <v>N/A</v>
      </c>
      <c r="Y2663" s="1" t="str">
        <f>IF(Table1[[#This Row],[Std Read]]="","N/A",Table1[[#This Row],[Std Read]]+Table1[[#This Row],[Std Ucty]])</f>
        <v>N/A</v>
      </c>
      <c r="Z26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3" s="1" t="str">
        <f>IF(Table1[[#This Row],[Spec Type]]="","N/A",Table1[[#This Row],[Spec Type]])</f>
        <v>±</v>
      </c>
      <c r="AC2663" s="1" t="str">
        <f>IF(Table1[[#This Row],[Spec Type2]]="N/A","N/A",IF(AND(Table1[[#This Row],[DUT Adj Read]]&gt;=Table1[[#This Row],[Low Tol]],Table1[[#This Row],[DUT Adj Read]]&lt;=Table1[[#This Row],[High Tol]]),"Pass","Fail"))</f>
        <v>Fail</v>
      </c>
      <c r="AD2663" s="1" t="str">
        <f>IF(AND(Table1[[#This Row],[Spec Type2]]="N/A",Table1[[#This Row],[DUT Adj Read]]="N/A",Table1[[#This Row],[Std Adj Read]]="N/A"),"N/A",IF(Table1[[#This Row],[DUT Adj Read]]="N/A",IF(Table1[[#This Row],[Std Adj Read]]&gt;Table1[[#This Row],[Low Tol]],"Pass","Fail"),IF(Table1[[#This Row],[DUT Adj Read]]&gt;Table1[[#This Row],[Low Tol]],"Pass","Fail")))</f>
        <v>Pass</v>
      </c>
      <c r="AE2663" s="1" t="str">
        <f>IF(AND(Table1[[#This Row],[Spec Type2]]="N/A",Table1[[#This Row],[DUT Adj Read]]="N/A",Table1[[#This Row],[Std Adj Read]]="N/A"),"N/A",IF(Table1[[#This Row],[DUT Adj Read]]="N/A",IF(Table1[[#This Row],[Std Adj Read]]&lt;Table1[[#This Row],[High Tol]],"Pass","Fail"),IF(Table1[[#This Row],[DUT Adj Read]]&lt;Table1[[#This Row],[High Tol]],"Pass","Fail")))</f>
        <v>Fail</v>
      </c>
      <c r="AF2663" s="1" t="str">
        <f>IF(AND(Table1[[#This Row],[Spec Type2]]="N/A",Table1[[#This Row],[DUT Adj Read]]="N/A",Table1[[#This Row],[Std Adj Read]]="N/A"),"N/A",IF(Table1[[#This Row],[DUT Adj Read]]="N/A",IF(Table1[[#This Row],[Std Adj Read]]&gt;=Table1[[#This Row],[Low Tol]],"Pass","Fail"),IF(Table1[[#This Row],[DUT Adj Read]]&gt;=Table1[[#This Row],[Low Tol]],"Pass","Fail")))</f>
        <v>Pass</v>
      </c>
      <c r="AG2663" s="1" t="str">
        <f>IF(AND(Table1[[#This Row],[Spec Type2]]="N/A",Table1[[#This Row],[DUT Adj Read]]="N/A",Table1[[#This Row],[Std Adj Read]]="N/A"),"N/A",IF(Table1[[#This Row],[DUT Adj Read]]="N/A",IF(Table1[[#This Row],[Std Adj Read]]&lt;=Table1[[#This Row],[High Tol]],"Pass","Fail"),IF(Table1[[#This Row],[DUT Adj Read]]&lt;=Table1[[#This Row],[High Tol]],"Pass","Fail")))</f>
        <v>Fail</v>
      </c>
      <c r="AH26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3" s="1" t="b">
        <v>0</v>
      </c>
      <c r="AN2663" s="1" t="b">
        <v>0</v>
      </c>
      <c r="AO2663" s="1" t="b">
        <v>0</v>
      </c>
    </row>
    <row r="2664" spans="1:41" x14ac:dyDescent="0.25">
      <c r="A2664" s="10"/>
      <c r="B2664" s="10"/>
      <c r="C2664" s="10"/>
      <c r="D2664" s="10"/>
      <c r="E2664" s="10"/>
      <c r="F2664" s="10"/>
      <c r="G2664" s="10"/>
      <c r="H2664" s="10"/>
      <c r="I2664" s="1" t="str">
        <f t="shared" si="123"/>
        <v/>
      </c>
      <c r="J2664" s="1" t="s">
        <v>35</v>
      </c>
      <c r="K2664" s="1" t="str">
        <f t="shared" si="124"/>
        <v/>
      </c>
      <c r="L2664" s="1" t="str">
        <f t="shared" si="125"/>
        <v/>
      </c>
      <c r="M2664" s="1">
        <f>IF(OR(Table1[[#This Row],[Std Nom]]="",Table1[[#This Row],[Std Read]]=""),0,Table1[[#This Row],[Std Nom]]-Table1[[#This Row],[Std Read]])</f>
        <v>0</v>
      </c>
      <c r="N2664" s="1">
        <f>IF(Calculations!$F$5="ACCREDITED 17025 WITH UNCERTAINTIES",$N$10,0)</f>
        <v>0</v>
      </c>
      <c r="Q2664" s="1">
        <f>Table1[[#This Row],[High Tol]]-Table1[[#This Row],[Low Tol]]</f>
        <v>0</v>
      </c>
      <c r="R2664" s="1">
        <f>2*Table1[[#This Row],[Std Error]]</f>
        <v>0</v>
      </c>
      <c r="S2664" s="1" t="str">
        <f>IF(Table1[[#This Row],[High Tol]]="","N/A",IFERROR(ABS(Table1[[#This Row],[Tol Span]]/Table1[[#This Row],[Error Span]]),"N/A"))</f>
        <v>N/A</v>
      </c>
      <c r="T2664" s="1" t="str">
        <f>IF(OR(Table1[[#This Row],[Low Tol]]="",Table1[[#This Row],[High Tol]]=""),"Needs Analysis",IF(Table1[[#This Row],[Ratio]]&gt;=4,"Not Significant",IF(Table1[[#This Row],[Ratio]]&gt;=2,"Semi-Significant","Significant")))</f>
        <v>Needs Analysis</v>
      </c>
      <c r="W2664" s="1">
        <f>IF(Table1[[#This Row],[Cal Type]]&lt;&gt;"ACCREDITED 17025 WITH UNCERTAINTIES",0,"")</f>
        <v>0</v>
      </c>
      <c r="X2664" s="1" t="str">
        <f>IF(Table1[[#This Row],[DUT Read]]="","N/A",Table1[[#This Row],[Std Error]]+Table1[[#This Row],[DUT Read]]+Table1[[#This Row],[DUT Ucty]])</f>
        <v>N/A</v>
      </c>
      <c r="Y2664" s="1" t="str">
        <f>IF(Table1[[#This Row],[Std Read]]="","N/A",Table1[[#This Row],[Std Read]]+Table1[[#This Row],[Std Ucty]])</f>
        <v>N/A</v>
      </c>
      <c r="Z26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4" s="1" t="str">
        <f>IF(Table1[[#This Row],[Spec Type]]="","N/A",Table1[[#This Row],[Spec Type]])</f>
        <v>±</v>
      </c>
      <c r="AC2664" s="1" t="str">
        <f>IF(Table1[[#This Row],[Spec Type2]]="N/A","N/A",IF(AND(Table1[[#This Row],[DUT Adj Read]]&gt;=Table1[[#This Row],[Low Tol]],Table1[[#This Row],[DUT Adj Read]]&lt;=Table1[[#This Row],[High Tol]]),"Pass","Fail"))</f>
        <v>Fail</v>
      </c>
      <c r="AD2664" s="1" t="str">
        <f>IF(AND(Table1[[#This Row],[Spec Type2]]="N/A",Table1[[#This Row],[DUT Adj Read]]="N/A",Table1[[#This Row],[Std Adj Read]]="N/A"),"N/A",IF(Table1[[#This Row],[DUT Adj Read]]="N/A",IF(Table1[[#This Row],[Std Adj Read]]&gt;Table1[[#This Row],[Low Tol]],"Pass","Fail"),IF(Table1[[#This Row],[DUT Adj Read]]&gt;Table1[[#This Row],[Low Tol]],"Pass","Fail")))</f>
        <v>Pass</v>
      </c>
      <c r="AE2664" s="1" t="str">
        <f>IF(AND(Table1[[#This Row],[Spec Type2]]="N/A",Table1[[#This Row],[DUT Adj Read]]="N/A",Table1[[#This Row],[Std Adj Read]]="N/A"),"N/A",IF(Table1[[#This Row],[DUT Adj Read]]="N/A",IF(Table1[[#This Row],[Std Adj Read]]&lt;Table1[[#This Row],[High Tol]],"Pass","Fail"),IF(Table1[[#This Row],[DUT Adj Read]]&lt;Table1[[#This Row],[High Tol]],"Pass","Fail")))</f>
        <v>Fail</v>
      </c>
      <c r="AF2664" s="1" t="str">
        <f>IF(AND(Table1[[#This Row],[Spec Type2]]="N/A",Table1[[#This Row],[DUT Adj Read]]="N/A",Table1[[#This Row],[Std Adj Read]]="N/A"),"N/A",IF(Table1[[#This Row],[DUT Adj Read]]="N/A",IF(Table1[[#This Row],[Std Adj Read]]&gt;=Table1[[#This Row],[Low Tol]],"Pass","Fail"),IF(Table1[[#This Row],[DUT Adj Read]]&gt;=Table1[[#This Row],[Low Tol]],"Pass","Fail")))</f>
        <v>Pass</v>
      </c>
      <c r="AG2664" s="1" t="str">
        <f>IF(AND(Table1[[#This Row],[Spec Type2]]="N/A",Table1[[#This Row],[DUT Adj Read]]="N/A",Table1[[#This Row],[Std Adj Read]]="N/A"),"N/A",IF(Table1[[#This Row],[DUT Adj Read]]="N/A",IF(Table1[[#This Row],[Std Adj Read]]&lt;=Table1[[#This Row],[High Tol]],"Pass","Fail"),IF(Table1[[#This Row],[DUT Adj Read]]&lt;=Table1[[#This Row],[High Tol]],"Pass","Fail")))</f>
        <v>Fail</v>
      </c>
      <c r="AH26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4" s="1" t="b">
        <v>0</v>
      </c>
      <c r="AN2664" s="1" t="b">
        <v>0</v>
      </c>
      <c r="AO2664" s="1" t="b">
        <v>0</v>
      </c>
    </row>
    <row r="2665" spans="1:41" x14ac:dyDescent="0.25">
      <c r="A2665" s="10"/>
      <c r="B2665" s="10"/>
      <c r="C2665" s="10"/>
      <c r="D2665" s="10"/>
      <c r="E2665" s="10"/>
      <c r="F2665" s="10"/>
      <c r="G2665" s="10"/>
      <c r="H2665" s="10"/>
      <c r="I2665" s="1" t="str">
        <f t="shared" si="123"/>
        <v/>
      </c>
      <c r="J2665" s="1" t="s">
        <v>35</v>
      </c>
      <c r="K2665" s="1" t="str">
        <f t="shared" si="124"/>
        <v/>
      </c>
      <c r="L2665" s="1" t="str">
        <f t="shared" si="125"/>
        <v/>
      </c>
      <c r="M2665" s="1">
        <f>IF(OR(Table1[[#This Row],[Std Nom]]="",Table1[[#This Row],[Std Read]]=""),0,Table1[[#This Row],[Std Nom]]-Table1[[#This Row],[Std Read]])</f>
        <v>0</v>
      </c>
      <c r="N2665" s="1">
        <f>IF(Calculations!$F$5="ACCREDITED 17025 WITH UNCERTAINTIES",$N$10,0)</f>
        <v>0</v>
      </c>
      <c r="Q2665" s="1">
        <f>Table1[[#This Row],[High Tol]]-Table1[[#This Row],[Low Tol]]</f>
        <v>0</v>
      </c>
      <c r="R2665" s="1">
        <f>2*Table1[[#This Row],[Std Error]]</f>
        <v>0</v>
      </c>
      <c r="S2665" s="1" t="str">
        <f>IF(Table1[[#This Row],[High Tol]]="","N/A",IFERROR(ABS(Table1[[#This Row],[Tol Span]]/Table1[[#This Row],[Error Span]]),"N/A"))</f>
        <v>N/A</v>
      </c>
      <c r="T2665" s="1" t="str">
        <f>IF(OR(Table1[[#This Row],[Low Tol]]="",Table1[[#This Row],[High Tol]]=""),"Needs Analysis",IF(Table1[[#This Row],[Ratio]]&gt;=4,"Not Significant",IF(Table1[[#This Row],[Ratio]]&gt;=2,"Semi-Significant","Significant")))</f>
        <v>Needs Analysis</v>
      </c>
      <c r="W2665" s="1">
        <f>IF(Table1[[#This Row],[Cal Type]]&lt;&gt;"ACCREDITED 17025 WITH UNCERTAINTIES",0,"")</f>
        <v>0</v>
      </c>
      <c r="X2665" s="1" t="str">
        <f>IF(Table1[[#This Row],[DUT Read]]="","N/A",Table1[[#This Row],[Std Error]]+Table1[[#This Row],[DUT Read]]+Table1[[#This Row],[DUT Ucty]])</f>
        <v>N/A</v>
      </c>
      <c r="Y2665" s="1" t="str">
        <f>IF(Table1[[#This Row],[Std Read]]="","N/A",Table1[[#This Row],[Std Read]]+Table1[[#This Row],[Std Ucty]])</f>
        <v>N/A</v>
      </c>
      <c r="Z26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5" s="1" t="str">
        <f>IF(Table1[[#This Row],[Spec Type]]="","N/A",Table1[[#This Row],[Spec Type]])</f>
        <v>±</v>
      </c>
      <c r="AC2665" s="1" t="str">
        <f>IF(Table1[[#This Row],[Spec Type2]]="N/A","N/A",IF(AND(Table1[[#This Row],[DUT Adj Read]]&gt;=Table1[[#This Row],[Low Tol]],Table1[[#This Row],[DUT Adj Read]]&lt;=Table1[[#This Row],[High Tol]]),"Pass","Fail"))</f>
        <v>Fail</v>
      </c>
      <c r="AD2665" s="1" t="str">
        <f>IF(AND(Table1[[#This Row],[Spec Type2]]="N/A",Table1[[#This Row],[DUT Adj Read]]="N/A",Table1[[#This Row],[Std Adj Read]]="N/A"),"N/A",IF(Table1[[#This Row],[DUT Adj Read]]="N/A",IF(Table1[[#This Row],[Std Adj Read]]&gt;Table1[[#This Row],[Low Tol]],"Pass","Fail"),IF(Table1[[#This Row],[DUT Adj Read]]&gt;Table1[[#This Row],[Low Tol]],"Pass","Fail")))</f>
        <v>Pass</v>
      </c>
      <c r="AE2665" s="1" t="str">
        <f>IF(AND(Table1[[#This Row],[Spec Type2]]="N/A",Table1[[#This Row],[DUT Adj Read]]="N/A",Table1[[#This Row],[Std Adj Read]]="N/A"),"N/A",IF(Table1[[#This Row],[DUT Adj Read]]="N/A",IF(Table1[[#This Row],[Std Adj Read]]&lt;Table1[[#This Row],[High Tol]],"Pass","Fail"),IF(Table1[[#This Row],[DUT Adj Read]]&lt;Table1[[#This Row],[High Tol]],"Pass","Fail")))</f>
        <v>Fail</v>
      </c>
      <c r="AF2665" s="1" t="str">
        <f>IF(AND(Table1[[#This Row],[Spec Type2]]="N/A",Table1[[#This Row],[DUT Adj Read]]="N/A",Table1[[#This Row],[Std Adj Read]]="N/A"),"N/A",IF(Table1[[#This Row],[DUT Adj Read]]="N/A",IF(Table1[[#This Row],[Std Adj Read]]&gt;=Table1[[#This Row],[Low Tol]],"Pass","Fail"),IF(Table1[[#This Row],[DUT Adj Read]]&gt;=Table1[[#This Row],[Low Tol]],"Pass","Fail")))</f>
        <v>Pass</v>
      </c>
      <c r="AG2665" s="1" t="str">
        <f>IF(AND(Table1[[#This Row],[Spec Type2]]="N/A",Table1[[#This Row],[DUT Adj Read]]="N/A",Table1[[#This Row],[Std Adj Read]]="N/A"),"N/A",IF(Table1[[#This Row],[DUT Adj Read]]="N/A",IF(Table1[[#This Row],[Std Adj Read]]&lt;=Table1[[#This Row],[High Tol]],"Pass","Fail"),IF(Table1[[#This Row],[DUT Adj Read]]&lt;=Table1[[#This Row],[High Tol]],"Pass","Fail")))</f>
        <v>Fail</v>
      </c>
      <c r="AH26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5" s="1" t="b">
        <v>0</v>
      </c>
      <c r="AN2665" s="1" t="b">
        <v>0</v>
      </c>
      <c r="AO2665" s="1" t="b">
        <v>0</v>
      </c>
    </row>
    <row r="2666" spans="1:41" x14ac:dyDescent="0.25">
      <c r="A2666" s="10"/>
      <c r="B2666" s="10"/>
      <c r="C2666" s="10"/>
      <c r="D2666" s="10"/>
      <c r="E2666" s="10"/>
      <c r="F2666" s="10"/>
      <c r="G2666" s="10"/>
      <c r="H2666" s="10"/>
      <c r="I2666" s="1" t="str">
        <f t="shared" si="123"/>
        <v/>
      </c>
      <c r="J2666" s="1" t="s">
        <v>35</v>
      </c>
      <c r="K2666" s="1" t="str">
        <f t="shared" si="124"/>
        <v/>
      </c>
      <c r="L2666" s="1" t="str">
        <f t="shared" si="125"/>
        <v/>
      </c>
      <c r="M2666" s="1">
        <f>IF(OR(Table1[[#This Row],[Std Nom]]="",Table1[[#This Row],[Std Read]]=""),0,Table1[[#This Row],[Std Nom]]-Table1[[#This Row],[Std Read]])</f>
        <v>0</v>
      </c>
      <c r="N2666" s="1">
        <f>IF(Calculations!$F$5="ACCREDITED 17025 WITH UNCERTAINTIES",$N$10,0)</f>
        <v>0</v>
      </c>
      <c r="Q2666" s="1">
        <f>Table1[[#This Row],[High Tol]]-Table1[[#This Row],[Low Tol]]</f>
        <v>0</v>
      </c>
      <c r="R2666" s="1">
        <f>2*Table1[[#This Row],[Std Error]]</f>
        <v>0</v>
      </c>
      <c r="S2666" s="1" t="str">
        <f>IF(Table1[[#This Row],[High Tol]]="","N/A",IFERROR(ABS(Table1[[#This Row],[Tol Span]]/Table1[[#This Row],[Error Span]]),"N/A"))</f>
        <v>N/A</v>
      </c>
      <c r="T2666" s="1" t="str">
        <f>IF(OR(Table1[[#This Row],[Low Tol]]="",Table1[[#This Row],[High Tol]]=""),"Needs Analysis",IF(Table1[[#This Row],[Ratio]]&gt;=4,"Not Significant",IF(Table1[[#This Row],[Ratio]]&gt;=2,"Semi-Significant","Significant")))</f>
        <v>Needs Analysis</v>
      </c>
      <c r="W2666" s="1">
        <f>IF(Table1[[#This Row],[Cal Type]]&lt;&gt;"ACCREDITED 17025 WITH UNCERTAINTIES",0,"")</f>
        <v>0</v>
      </c>
      <c r="X2666" s="1" t="str">
        <f>IF(Table1[[#This Row],[DUT Read]]="","N/A",Table1[[#This Row],[Std Error]]+Table1[[#This Row],[DUT Read]]+Table1[[#This Row],[DUT Ucty]])</f>
        <v>N/A</v>
      </c>
      <c r="Y2666" s="1" t="str">
        <f>IF(Table1[[#This Row],[Std Read]]="","N/A",Table1[[#This Row],[Std Read]]+Table1[[#This Row],[Std Ucty]])</f>
        <v>N/A</v>
      </c>
      <c r="Z26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6" s="1" t="str">
        <f>IF(Table1[[#This Row],[Spec Type]]="","N/A",Table1[[#This Row],[Spec Type]])</f>
        <v>±</v>
      </c>
      <c r="AC2666" s="1" t="str">
        <f>IF(Table1[[#This Row],[Spec Type2]]="N/A","N/A",IF(AND(Table1[[#This Row],[DUT Adj Read]]&gt;=Table1[[#This Row],[Low Tol]],Table1[[#This Row],[DUT Adj Read]]&lt;=Table1[[#This Row],[High Tol]]),"Pass","Fail"))</f>
        <v>Fail</v>
      </c>
      <c r="AD2666" s="1" t="str">
        <f>IF(AND(Table1[[#This Row],[Spec Type2]]="N/A",Table1[[#This Row],[DUT Adj Read]]="N/A",Table1[[#This Row],[Std Adj Read]]="N/A"),"N/A",IF(Table1[[#This Row],[DUT Adj Read]]="N/A",IF(Table1[[#This Row],[Std Adj Read]]&gt;Table1[[#This Row],[Low Tol]],"Pass","Fail"),IF(Table1[[#This Row],[DUT Adj Read]]&gt;Table1[[#This Row],[Low Tol]],"Pass","Fail")))</f>
        <v>Pass</v>
      </c>
      <c r="AE2666" s="1" t="str">
        <f>IF(AND(Table1[[#This Row],[Spec Type2]]="N/A",Table1[[#This Row],[DUT Adj Read]]="N/A",Table1[[#This Row],[Std Adj Read]]="N/A"),"N/A",IF(Table1[[#This Row],[DUT Adj Read]]="N/A",IF(Table1[[#This Row],[Std Adj Read]]&lt;Table1[[#This Row],[High Tol]],"Pass","Fail"),IF(Table1[[#This Row],[DUT Adj Read]]&lt;Table1[[#This Row],[High Tol]],"Pass","Fail")))</f>
        <v>Fail</v>
      </c>
      <c r="AF2666" s="1" t="str">
        <f>IF(AND(Table1[[#This Row],[Spec Type2]]="N/A",Table1[[#This Row],[DUT Adj Read]]="N/A",Table1[[#This Row],[Std Adj Read]]="N/A"),"N/A",IF(Table1[[#This Row],[DUT Adj Read]]="N/A",IF(Table1[[#This Row],[Std Adj Read]]&gt;=Table1[[#This Row],[Low Tol]],"Pass","Fail"),IF(Table1[[#This Row],[DUT Adj Read]]&gt;=Table1[[#This Row],[Low Tol]],"Pass","Fail")))</f>
        <v>Pass</v>
      </c>
      <c r="AG2666" s="1" t="str">
        <f>IF(AND(Table1[[#This Row],[Spec Type2]]="N/A",Table1[[#This Row],[DUT Adj Read]]="N/A",Table1[[#This Row],[Std Adj Read]]="N/A"),"N/A",IF(Table1[[#This Row],[DUT Adj Read]]="N/A",IF(Table1[[#This Row],[Std Adj Read]]&lt;=Table1[[#This Row],[High Tol]],"Pass","Fail"),IF(Table1[[#This Row],[DUT Adj Read]]&lt;=Table1[[#This Row],[High Tol]],"Pass","Fail")))</f>
        <v>Fail</v>
      </c>
      <c r="AH26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6" s="1" t="b">
        <v>0</v>
      </c>
      <c r="AN2666" s="1" t="b">
        <v>0</v>
      </c>
      <c r="AO2666" s="1" t="b">
        <v>0</v>
      </c>
    </row>
    <row r="2667" spans="1:41" x14ac:dyDescent="0.25">
      <c r="A2667" s="10"/>
      <c r="B2667" s="10"/>
      <c r="C2667" s="10"/>
      <c r="D2667" s="10"/>
      <c r="E2667" s="10"/>
      <c r="F2667" s="10"/>
      <c r="G2667" s="10"/>
      <c r="H2667" s="10"/>
      <c r="I2667" s="1" t="str">
        <f t="shared" si="123"/>
        <v/>
      </c>
      <c r="J2667" s="1" t="s">
        <v>35</v>
      </c>
      <c r="K2667" s="1" t="str">
        <f t="shared" si="124"/>
        <v/>
      </c>
      <c r="L2667" s="1" t="str">
        <f t="shared" si="125"/>
        <v/>
      </c>
      <c r="M2667" s="1">
        <f>IF(OR(Table1[[#This Row],[Std Nom]]="",Table1[[#This Row],[Std Read]]=""),0,Table1[[#This Row],[Std Nom]]-Table1[[#This Row],[Std Read]])</f>
        <v>0</v>
      </c>
      <c r="N2667" s="1">
        <f>IF(Calculations!$F$5="ACCREDITED 17025 WITH UNCERTAINTIES",$N$10,0)</f>
        <v>0</v>
      </c>
      <c r="Q2667" s="1">
        <f>Table1[[#This Row],[High Tol]]-Table1[[#This Row],[Low Tol]]</f>
        <v>0</v>
      </c>
      <c r="R2667" s="1">
        <f>2*Table1[[#This Row],[Std Error]]</f>
        <v>0</v>
      </c>
      <c r="S2667" s="1" t="str">
        <f>IF(Table1[[#This Row],[High Tol]]="","N/A",IFERROR(ABS(Table1[[#This Row],[Tol Span]]/Table1[[#This Row],[Error Span]]),"N/A"))</f>
        <v>N/A</v>
      </c>
      <c r="T2667" s="1" t="str">
        <f>IF(OR(Table1[[#This Row],[Low Tol]]="",Table1[[#This Row],[High Tol]]=""),"Needs Analysis",IF(Table1[[#This Row],[Ratio]]&gt;=4,"Not Significant",IF(Table1[[#This Row],[Ratio]]&gt;=2,"Semi-Significant","Significant")))</f>
        <v>Needs Analysis</v>
      </c>
      <c r="W2667" s="1">
        <f>IF(Table1[[#This Row],[Cal Type]]&lt;&gt;"ACCREDITED 17025 WITH UNCERTAINTIES",0,"")</f>
        <v>0</v>
      </c>
      <c r="X2667" s="1" t="str">
        <f>IF(Table1[[#This Row],[DUT Read]]="","N/A",Table1[[#This Row],[Std Error]]+Table1[[#This Row],[DUT Read]]+Table1[[#This Row],[DUT Ucty]])</f>
        <v>N/A</v>
      </c>
      <c r="Y2667" s="1" t="str">
        <f>IF(Table1[[#This Row],[Std Read]]="","N/A",Table1[[#This Row],[Std Read]]+Table1[[#This Row],[Std Ucty]])</f>
        <v>N/A</v>
      </c>
      <c r="Z26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7" s="1" t="str">
        <f>IF(Table1[[#This Row],[Spec Type]]="","N/A",Table1[[#This Row],[Spec Type]])</f>
        <v>±</v>
      </c>
      <c r="AC2667" s="1" t="str">
        <f>IF(Table1[[#This Row],[Spec Type2]]="N/A","N/A",IF(AND(Table1[[#This Row],[DUT Adj Read]]&gt;=Table1[[#This Row],[Low Tol]],Table1[[#This Row],[DUT Adj Read]]&lt;=Table1[[#This Row],[High Tol]]),"Pass","Fail"))</f>
        <v>Fail</v>
      </c>
      <c r="AD2667" s="1" t="str">
        <f>IF(AND(Table1[[#This Row],[Spec Type2]]="N/A",Table1[[#This Row],[DUT Adj Read]]="N/A",Table1[[#This Row],[Std Adj Read]]="N/A"),"N/A",IF(Table1[[#This Row],[DUT Adj Read]]="N/A",IF(Table1[[#This Row],[Std Adj Read]]&gt;Table1[[#This Row],[Low Tol]],"Pass","Fail"),IF(Table1[[#This Row],[DUT Adj Read]]&gt;Table1[[#This Row],[Low Tol]],"Pass","Fail")))</f>
        <v>Pass</v>
      </c>
      <c r="AE2667" s="1" t="str">
        <f>IF(AND(Table1[[#This Row],[Spec Type2]]="N/A",Table1[[#This Row],[DUT Adj Read]]="N/A",Table1[[#This Row],[Std Adj Read]]="N/A"),"N/A",IF(Table1[[#This Row],[DUT Adj Read]]="N/A",IF(Table1[[#This Row],[Std Adj Read]]&lt;Table1[[#This Row],[High Tol]],"Pass","Fail"),IF(Table1[[#This Row],[DUT Adj Read]]&lt;Table1[[#This Row],[High Tol]],"Pass","Fail")))</f>
        <v>Fail</v>
      </c>
      <c r="AF2667" s="1" t="str">
        <f>IF(AND(Table1[[#This Row],[Spec Type2]]="N/A",Table1[[#This Row],[DUT Adj Read]]="N/A",Table1[[#This Row],[Std Adj Read]]="N/A"),"N/A",IF(Table1[[#This Row],[DUT Adj Read]]="N/A",IF(Table1[[#This Row],[Std Adj Read]]&gt;=Table1[[#This Row],[Low Tol]],"Pass","Fail"),IF(Table1[[#This Row],[DUT Adj Read]]&gt;=Table1[[#This Row],[Low Tol]],"Pass","Fail")))</f>
        <v>Pass</v>
      </c>
      <c r="AG2667" s="1" t="str">
        <f>IF(AND(Table1[[#This Row],[Spec Type2]]="N/A",Table1[[#This Row],[DUT Adj Read]]="N/A",Table1[[#This Row],[Std Adj Read]]="N/A"),"N/A",IF(Table1[[#This Row],[DUT Adj Read]]="N/A",IF(Table1[[#This Row],[Std Adj Read]]&lt;=Table1[[#This Row],[High Tol]],"Pass","Fail"),IF(Table1[[#This Row],[DUT Adj Read]]&lt;=Table1[[#This Row],[High Tol]],"Pass","Fail")))</f>
        <v>Fail</v>
      </c>
      <c r="AH26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7" s="1" t="b">
        <v>0</v>
      </c>
      <c r="AN2667" s="1" t="b">
        <v>0</v>
      </c>
      <c r="AO2667" s="1" t="b">
        <v>0</v>
      </c>
    </row>
    <row r="2668" spans="1:41" x14ac:dyDescent="0.25">
      <c r="A2668" s="10"/>
      <c r="B2668" s="10"/>
      <c r="C2668" s="10"/>
      <c r="D2668" s="10"/>
      <c r="E2668" s="10"/>
      <c r="F2668" s="10"/>
      <c r="G2668" s="10"/>
      <c r="H2668" s="10"/>
      <c r="I2668" s="1" t="str">
        <f t="shared" si="123"/>
        <v/>
      </c>
      <c r="J2668" s="1" t="s">
        <v>35</v>
      </c>
      <c r="K2668" s="1" t="str">
        <f t="shared" si="124"/>
        <v/>
      </c>
      <c r="L2668" s="1" t="str">
        <f t="shared" si="125"/>
        <v/>
      </c>
      <c r="M2668" s="1">
        <f>IF(OR(Table1[[#This Row],[Std Nom]]="",Table1[[#This Row],[Std Read]]=""),0,Table1[[#This Row],[Std Nom]]-Table1[[#This Row],[Std Read]])</f>
        <v>0</v>
      </c>
      <c r="N2668" s="1">
        <f>IF(Calculations!$F$5="ACCREDITED 17025 WITH UNCERTAINTIES",$N$10,0)</f>
        <v>0</v>
      </c>
      <c r="Q2668" s="1">
        <f>Table1[[#This Row],[High Tol]]-Table1[[#This Row],[Low Tol]]</f>
        <v>0</v>
      </c>
      <c r="R2668" s="1">
        <f>2*Table1[[#This Row],[Std Error]]</f>
        <v>0</v>
      </c>
      <c r="S2668" s="1" t="str">
        <f>IF(Table1[[#This Row],[High Tol]]="","N/A",IFERROR(ABS(Table1[[#This Row],[Tol Span]]/Table1[[#This Row],[Error Span]]),"N/A"))</f>
        <v>N/A</v>
      </c>
      <c r="T2668" s="1" t="str">
        <f>IF(OR(Table1[[#This Row],[Low Tol]]="",Table1[[#This Row],[High Tol]]=""),"Needs Analysis",IF(Table1[[#This Row],[Ratio]]&gt;=4,"Not Significant",IF(Table1[[#This Row],[Ratio]]&gt;=2,"Semi-Significant","Significant")))</f>
        <v>Needs Analysis</v>
      </c>
      <c r="W2668" s="1">
        <f>IF(Table1[[#This Row],[Cal Type]]&lt;&gt;"ACCREDITED 17025 WITH UNCERTAINTIES",0,"")</f>
        <v>0</v>
      </c>
      <c r="X2668" s="1" t="str">
        <f>IF(Table1[[#This Row],[DUT Read]]="","N/A",Table1[[#This Row],[Std Error]]+Table1[[#This Row],[DUT Read]]+Table1[[#This Row],[DUT Ucty]])</f>
        <v>N/A</v>
      </c>
      <c r="Y2668" s="1" t="str">
        <f>IF(Table1[[#This Row],[Std Read]]="","N/A",Table1[[#This Row],[Std Read]]+Table1[[#This Row],[Std Ucty]])</f>
        <v>N/A</v>
      </c>
      <c r="Z26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8" s="1" t="str">
        <f>IF(Table1[[#This Row],[Spec Type]]="","N/A",Table1[[#This Row],[Spec Type]])</f>
        <v>±</v>
      </c>
      <c r="AC2668" s="1" t="str">
        <f>IF(Table1[[#This Row],[Spec Type2]]="N/A","N/A",IF(AND(Table1[[#This Row],[DUT Adj Read]]&gt;=Table1[[#This Row],[Low Tol]],Table1[[#This Row],[DUT Adj Read]]&lt;=Table1[[#This Row],[High Tol]]),"Pass","Fail"))</f>
        <v>Fail</v>
      </c>
      <c r="AD2668" s="1" t="str">
        <f>IF(AND(Table1[[#This Row],[Spec Type2]]="N/A",Table1[[#This Row],[DUT Adj Read]]="N/A",Table1[[#This Row],[Std Adj Read]]="N/A"),"N/A",IF(Table1[[#This Row],[DUT Adj Read]]="N/A",IF(Table1[[#This Row],[Std Adj Read]]&gt;Table1[[#This Row],[Low Tol]],"Pass","Fail"),IF(Table1[[#This Row],[DUT Adj Read]]&gt;Table1[[#This Row],[Low Tol]],"Pass","Fail")))</f>
        <v>Pass</v>
      </c>
      <c r="AE2668" s="1" t="str">
        <f>IF(AND(Table1[[#This Row],[Spec Type2]]="N/A",Table1[[#This Row],[DUT Adj Read]]="N/A",Table1[[#This Row],[Std Adj Read]]="N/A"),"N/A",IF(Table1[[#This Row],[DUT Adj Read]]="N/A",IF(Table1[[#This Row],[Std Adj Read]]&lt;Table1[[#This Row],[High Tol]],"Pass","Fail"),IF(Table1[[#This Row],[DUT Adj Read]]&lt;Table1[[#This Row],[High Tol]],"Pass","Fail")))</f>
        <v>Fail</v>
      </c>
      <c r="AF2668" s="1" t="str">
        <f>IF(AND(Table1[[#This Row],[Spec Type2]]="N/A",Table1[[#This Row],[DUT Adj Read]]="N/A",Table1[[#This Row],[Std Adj Read]]="N/A"),"N/A",IF(Table1[[#This Row],[DUT Adj Read]]="N/A",IF(Table1[[#This Row],[Std Adj Read]]&gt;=Table1[[#This Row],[Low Tol]],"Pass","Fail"),IF(Table1[[#This Row],[DUT Adj Read]]&gt;=Table1[[#This Row],[Low Tol]],"Pass","Fail")))</f>
        <v>Pass</v>
      </c>
      <c r="AG2668" s="1" t="str">
        <f>IF(AND(Table1[[#This Row],[Spec Type2]]="N/A",Table1[[#This Row],[DUT Adj Read]]="N/A",Table1[[#This Row],[Std Adj Read]]="N/A"),"N/A",IF(Table1[[#This Row],[DUT Adj Read]]="N/A",IF(Table1[[#This Row],[Std Adj Read]]&lt;=Table1[[#This Row],[High Tol]],"Pass","Fail"),IF(Table1[[#This Row],[DUT Adj Read]]&lt;=Table1[[#This Row],[High Tol]],"Pass","Fail")))</f>
        <v>Fail</v>
      </c>
      <c r="AH26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8" s="1" t="b">
        <v>0</v>
      </c>
      <c r="AN2668" s="1" t="b">
        <v>0</v>
      </c>
      <c r="AO2668" s="1" t="b">
        <v>0</v>
      </c>
    </row>
    <row r="2669" spans="1:41" x14ac:dyDescent="0.25">
      <c r="A2669" s="10"/>
      <c r="B2669" s="10"/>
      <c r="C2669" s="10"/>
      <c r="D2669" s="10"/>
      <c r="E2669" s="10"/>
      <c r="F2669" s="10"/>
      <c r="G2669" s="10"/>
      <c r="H2669" s="10"/>
      <c r="I2669" s="1" t="str">
        <f t="shared" si="123"/>
        <v/>
      </c>
      <c r="J2669" s="1" t="s">
        <v>35</v>
      </c>
      <c r="K2669" s="1" t="str">
        <f t="shared" si="124"/>
        <v/>
      </c>
      <c r="L2669" s="1" t="str">
        <f t="shared" si="125"/>
        <v/>
      </c>
      <c r="M2669" s="1">
        <f>IF(OR(Table1[[#This Row],[Std Nom]]="",Table1[[#This Row],[Std Read]]=""),0,Table1[[#This Row],[Std Nom]]-Table1[[#This Row],[Std Read]])</f>
        <v>0</v>
      </c>
      <c r="N2669" s="1">
        <f>IF(Calculations!$F$5="ACCREDITED 17025 WITH UNCERTAINTIES",$N$10,0)</f>
        <v>0</v>
      </c>
      <c r="Q2669" s="1">
        <f>Table1[[#This Row],[High Tol]]-Table1[[#This Row],[Low Tol]]</f>
        <v>0</v>
      </c>
      <c r="R2669" s="1">
        <f>2*Table1[[#This Row],[Std Error]]</f>
        <v>0</v>
      </c>
      <c r="S2669" s="1" t="str">
        <f>IF(Table1[[#This Row],[High Tol]]="","N/A",IFERROR(ABS(Table1[[#This Row],[Tol Span]]/Table1[[#This Row],[Error Span]]),"N/A"))</f>
        <v>N/A</v>
      </c>
      <c r="T2669" s="1" t="str">
        <f>IF(OR(Table1[[#This Row],[Low Tol]]="",Table1[[#This Row],[High Tol]]=""),"Needs Analysis",IF(Table1[[#This Row],[Ratio]]&gt;=4,"Not Significant",IF(Table1[[#This Row],[Ratio]]&gt;=2,"Semi-Significant","Significant")))</f>
        <v>Needs Analysis</v>
      </c>
      <c r="W2669" s="1">
        <f>IF(Table1[[#This Row],[Cal Type]]&lt;&gt;"ACCREDITED 17025 WITH UNCERTAINTIES",0,"")</f>
        <v>0</v>
      </c>
      <c r="X2669" s="1" t="str">
        <f>IF(Table1[[#This Row],[DUT Read]]="","N/A",Table1[[#This Row],[Std Error]]+Table1[[#This Row],[DUT Read]]+Table1[[#This Row],[DUT Ucty]])</f>
        <v>N/A</v>
      </c>
      <c r="Y2669" s="1" t="str">
        <f>IF(Table1[[#This Row],[Std Read]]="","N/A",Table1[[#This Row],[Std Read]]+Table1[[#This Row],[Std Ucty]])</f>
        <v>N/A</v>
      </c>
      <c r="Z26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69" s="1" t="str">
        <f>IF(Table1[[#This Row],[Spec Type]]="","N/A",Table1[[#This Row],[Spec Type]])</f>
        <v>±</v>
      </c>
      <c r="AC2669" s="1" t="str">
        <f>IF(Table1[[#This Row],[Spec Type2]]="N/A","N/A",IF(AND(Table1[[#This Row],[DUT Adj Read]]&gt;=Table1[[#This Row],[Low Tol]],Table1[[#This Row],[DUT Adj Read]]&lt;=Table1[[#This Row],[High Tol]]),"Pass","Fail"))</f>
        <v>Fail</v>
      </c>
      <c r="AD2669" s="1" t="str">
        <f>IF(AND(Table1[[#This Row],[Spec Type2]]="N/A",Table1[[#This Row],[DUT Adj Read]]="N/A",Table1[[#This Row],[Std Adj Read]]="N/A"),"N/A",IF(Table1[[#This Row],[DUT Adj Read]]="N/A",IF(Table1[[#This Row],[Std Adj Read]]&gt;Table1[[#This Row],[Low Tol]],"Pass","Fail"),IF(Table1[[#This Row],[DUT Adj Read]]&gt;Table1[[#This Row],[Low Tol]],"Pass","Fail")))</f>
        <v>Pass</v>
      </c>
      <c r="AE2669" s="1" t="str">
        <f>IF(AND(Table1[[#This Row],[Spec Type2]]="N/A",Table1[[#This Row],[DUT Adj Read]]="N/A",Table1[[#This Row],[Std Adj Read]]="N/A"),"N/A",IF(Table1[[#This Row],[DUT Adj Read]]="N/A",IF(Table1[[#This Row],[Std Adj Read]]&lt;Table1[[#This Row],[High Tol]],"Pass","Fail"),IF(Table1[[#This Row],[DUT Adj Read]]&lt;Table1[[#This Row],[High Tol]],"Pass","Fail")))</f>
        <v>Fail</v>
      </c>
      <c r="AF2669" s="1" t="str">
        <f>IF(AND(Table1[[#This Row],[Spec Type2]]="N/A",Table1[[#This Row],[DUT Adj Read]]="N/A",Table1[[#This Row],[Std Adj Read]]="N/A"),"N/A",IF(Table1[[#This Row],[DUT Adj Read]]="N/A",IF(Table1[[#This Row],[Std Adj Read]]&gt;=Table1[[#This Row],[Low Tol]],"Pass","Fail"),IF(Table1[[#This Row],[DUT Adj Read]]&gt;=Table1[[#This Row],[Low Tol]],"Pass","Fail")))</f>
        <v>Pass</v>
      </c>
      <c r="AG2669" s="1" t="str">
        <f>IF(AND(Table1[[#This Row],[Spec Type2]]="N/A",Table1[[#This Row],[DUT Adj Read]]="N/A",Table1[[#This Row],[Std Adj Read]]="N/A"),"N/A",IF(Table1[[#This Row],[DUT Adj Read]]="N/A",IF(Table1[[#This Row],[Std Adj Read]]&lt;=Table1[[#This Row],[High Tol]],"Pass","Fail"),IF(Table1[[#This Row],[DUT Adj Read]]&lt;=Table1[[#This Row],[High Tol]],"Pass","Fail")))</f>
        <v>Fail</v>
      </c>
      <c r="AH26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69" s="1" t="b">
        <v>0</v>
      </c>
      <c r="AN2669" s="1" t="b">
        <v>0</v>
      </c>
      <c r="AO2669" s="1" t="b">
        <v>0</v>
      </c>
    </row>
    <row r="2670" spans="1:41" x14ac:dyDescent="0.25">
      <c r="A2670" s="10"/>
      <c r="B2670" s="10"/>
      <c r="C2670" s="10"/>
      <c r="D2670" s="10"/>
      <c r="E2670" s="10"/>
      <c r="F2670" s="10"/>
      <c r="G2670" s="10"/>
      <c r="H2670" s="10"/>
      <c r="I2670" s="1" t="str">
        <f t="shared" si="123"/>
        <v/>
      </c>
      <c r="J2670" s="1" t="s">
        <v>35</v>
      </c>
      <c r="K2670" s="1" t="str">
        <f t="shared" si="124"/>
        <v/>
      </c>
      <c r="L2670" s="1" t="str">
        <f t="shared" si="125"/>
        <v/>
      </c>
      <c r="M2670" s="1">
        <f>IF(OR(Table1[[#This Row],[Std Nom]]="",Table1[[#This Row],[Std Read]]=""),0,Table1[[#This Row],[Std Nom]]-Table1[[#This Row],[Std Read]])</f>
        <v>0</v>
      </c>
      <c r="N2670" s="1">
        <f>IF(Calculations!$F$5="ACCREDITED 17025 WITH UNCERTAINTIES",$N$10,0)</f>
        <v>0</v>
      </c>
      <c r="Q2670" s="1">
        <f>Table1[[#This Row],[High Tol]]-Table1[[#This Row],[Low Tol]]</f>
        <v>0</v>
      </c>
      <c r="R2670" s="1">
        <f>2*Table1[[#This Row],[Std Error]]</f>
        <v>0</v>
      </c>
      <c r="S2670" s="1" t="str">
        <f>IF(Table1[[#This Row],[High Tol]]="","N/A",IFERROR(ABS(Table1[[#This Row],[Tol Span]]/Table1[[#This Row],[Error Span]]),"N/A"))</f>
        <v>N/A</v>
      </c>
      <c r="T2670" s="1" t="str">
        <f>IF(OR(Table1[[#This Row],[Low Tol]]="",Table1[[#This Row],[High Tol]]=""),"Needs Analysis",IF(Table1[[#This Row],[Ratio]]&gt;=4,"Not Significant",IF(Table1[[#This Row],[Ratio]]&gt;=2,"Semi-Significant","Significant")))</f>
        <v>Needs Analysis</v>
      </c>
      <c r="W2670" s="1">
        <f>IF(Table1[[#This Row],[Cal Type]]&lt;&gt;"ACCREDITED 17025 WITH UNCERTAINTIES",0,"")</f>
        <v>0</v>
      </c>
      <c r="X2670" s="1" t="str">
        <f>IF(Table1[[#This Row],[DUT Read]]="","N/A",Table1[[#This Row],[Std Error]]+Table1[[#This Row],[DUT Read]]+Table1[[#This Row],[DUT Ucty]])</f>
        <v>N/A</v>
      </c>
      <c r="Y2670" s="1" t="str">
        <f>IF(Table1[[#This Row],[Std Read]]="","N/A",Table1[[#This Row],[Std Read]]+Table1[[#This Row],[Std Ucty]])</f>
        <v>N/A</v>
      </c>
      <c r="Z26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0" s="1" t="str">
        <f>IF(Table1[[#This Row],[Spec Type]]="","N/A",Table1[[#This Row],[Spec Type]])</f>
        <v>±</v>
      </c>
      <c r="AC2670" s="1" t="str">
        <f>IF(Table1[[#This Row],[Spec Type2]]="N/A","N/A",IF(AND(Table1[[#This Row],[DUT Adj Read]]&gt;=Table1[[#This Row],[Low Tol]],Table1[[#This Row],[DUT Adj Read]]&lt;=Table1[[#This Row],[High Tol]]),"Pass","Fail"))</f>
        <v>Fail</v>
      </c>
      <c r="AD2670" s="1" t="str">
        <f>IF(AND(Table1[[#This Row],[Spec Type2]]="N/A",Table1[[#This Row],[DUT Adj Read]]="N/A",Table1[[#This Row],[Std Adj Read]]="N/A"),"N/A",IF(Table1[[#This Row],[DUT Adj Read]]="N/A",IF(Table1[[#This Row],[Std Adj Read]]&gt;Table1[[#This Row],[Low Tol]],"Pass","Fail"),IF(Table1[[#This Row],[DUT Adj Read]]&gt;Table1[[#This Row],[Low Tol]],"Pass","Fail")))</f>
        <v>Pass</v>
      </c>
      <c r="AE2670" s="1" t="str">
        <f>IF(AND(Table1[[#This Row],[Spec Type2]]="N/A",Table1[[#This Row],[DUT Adj Read]]="N/A",Table1[[#This Row],[Std Adj Read]]="N/A"),"N/A",IF(Table1[[#This Row],[DUT Adj Read]]="N/A",IF(Table1[[#This Row],[Std Adj Read]]&lt;Table1[[#This Row],[High Tol]],"Pass","Fail"),IF(Table1[[#This Row],[DUT Adj Read]]&lt;Table1[[#This Row],[High Tol]],"Pass","Fail")))</f>
        <v>Fail</v>
      </c>
      <c r="AF2670" s="1" t="str">
        <f>IF(AND(Table1[[#This Row],[Spec Type2]]="N/A",Table1[[#This Row],[DUT Adj Read]]="N/A",Table1[[#This Row],[Std Adj Read]]="N/A"),"N/A",IF(Table1[[#This Row],[DUT Adj Read]]="N/A",IF(Table1[[#This Row],[Std Adj Read]]&gt;=Table1[[#This Row],[Low Tol]],"Pass","Fail"),IF(Table1[[#This Row],[DUT Adj Read]]&gt;=Table1[[#This Row],[Low Tol]],"Pass","Fail")))</f>
        <v>Pass</v>
      </c>
      <c r="AG2670" s="1" t="str">
        <f>IF(AND(Table1[[#This Row],[Spec Type2]]="N/A",Table1[[#This Row],[DUT Adj Read]]="N/A",Table1[[#This Row],[Std Adj Read]]="N/A"),"N/A",IF(Table1[[#This Row],[DUT Adj Read]]="N/A",IF(Table1[[#This Row],[Std Adj Read]]&lt;=Table1[[#This Row],[High Tol]],"Pass","Fail"),IF(Table1[[#This Row],[DUT Adj Read]]&lt;=Table1[[#This Row],[High Tol]],"Pass","Fail")))</f>
        <v>Fail</v>
      </c>
      <c r="AH26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0" s="1" t="b">
        <v>0</v>
      </c>
      <c r="AN2670" s="1" t="b">
        <v>0</v>
      </c>
      <c r="AO2670" s="1" t="b">
        <v>0</v>
      </c>
    </row>
    <row r="2671" spans="1:41" x14ac:dyDescent="0.25">
      <c r="A2671" s="10"/>
      <c r="B2671" s="10"/>
      <c r="C2671" s="10"/>
      <c r="D2671" s="10"/>
      <c r="E2671" s="10"/>
      <c r="F2671" s="10"/>
      <c r="G2671" s="10"/>
      <c r="H2671" s="10"/>
      <c r="I2671" s="1" t="str">
        <f t="shared" si="123"/>
        <v/>
      </c>
      <c r="J2671" s="1" t="s">
        <v>35</v>
      </c>
      <c r="K2671" s="1" t="str">
        <f t="shared" si="124"/>
        <v/>
      </c>
      <c r="L2671" s="1" t="str">
        <f t="shared" si="125"/>
        <v/>
      </c>
      <c r="M2671" s="1">
        <f>IF(OR(Table1[[#This Row],[Std Nom]]="",Table1[[#This Row],[Std Read]]=""),0,Table1[[#This Row],[Std Nom]]-Table1[[#This Row],[Std Read]])</f>
        <v>0</v>
      </c>
      <c r="N2671" s="1">
        <f>IF(Calculations!$F$5="ACCREDITED 17025 WITH UNCERTAINTIES",$N$10,0)</f>
        <v>0</v>
      </c>
      <c r="Q2671" s="1">
        <f>Table1[[#This Row],[High Tol]]-Table1[[#This Row],[Low Tol]]</f>
        <v>0</v>
      </c>
      <c r="R2671" s="1">
        <f>2*Table1[[#This Row],[Std Error]]</f>
        <v>0</v>
      </c>
      <c r="S2671" s="1" t="str">
        <f>IF(Table1[[#This Row],[High Tol]]="","N/A",IFERROR(ABS(Table1[[#This Row],[Tol Span]]/Table1[[#This Row],[Error Span]]),"N/A"))</f>
        <v>N/A</v>
      </c>
      <c r="T2671" s="1" t="str">
        <f>IF(OR(Table1[[#This Row],[Low Tol]]="",Table1[[#This Row],[High Tol]]=""),"Needs Analysis",IF(Table1[[#This Row],[Ratio]]&gt;=4,"Not Significant",IF(Table1[[#This Row],[Ratio]]&gt;=2,"Semi-Significant","Significant")))</f>
        <v>Needs Analysis</v>
      </c>
      <c r="W2671" s="1">
        <f>IF(Table1[[#This Row],[Cal Type]]&lt;&gt;"ACCREDITED 17025 WITH UNCERTAINTIES",0,"")</f>
        <v>0</v>
      </c>
      <c r="X2671" s="1" t="str">
        <f>IF(Table1[[#This Row],[DUT Read]]="","N/A",Table1[[#This Row],[Std Error]]+Table1[[#This Row],[DUT Read]]+Table1[[#This Row],[DUT Ucty]])</f>
        <v>N/A</v>
      </c>
      <c r="Y2671" s="1" t="str">
        <f>IF(Table1[[#This Row],[Std Read]]="","N/A",Table1[[#This Row],[Std Read]]+Table1[[#This Row],[Std Ucty]])</f>
        <v>N/A</v>
      </c>
      <c r="Z26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1" s="1" t="str">
        <f>IF(Table1[[#This Row],[Spec Type]]="","N/A",Table1[[#This Row],[Spec Type]])</f>
        <v>±</v>
      </c>
      <c r="AC2671" s="1" t="str">
        <f>IF(Table1[[#This Row],[Spec Type2]]="N/A","N/A",IF(AND(Table1[[#This Row],[DUT Adj Read]]&gt;=Table1[[#This Row],[Low Tol]],Table1[[#This Row],[DUT Adj Read]]&lt;=Table1[[#This Row],[High Tol]]),"Pass","Fail"))</f>
        <v>Fail</v>
      </c>
      <c r="AD2671" s="1" t="str">
        <f>IF(AND(Table1[[#This Row],[Spec Type2]]="N/A",Table1[[#This Row],[DUT Adj Read]]="N/A",Table1[[#This Row],[Std Adj Read]]="N/A"),"N/A",IF(Table1[[#This Row],[DUT Adj Read]]="N/A",IF(Table1[[#This Row],[Std Adj Read]]&gt;Table1[[#This Row],[Low Tol]],"Pass","Fail"),IF(Table1[[#This Row],[DUT Adj Read]]&gt;Table1[[#This Row],[Low Tol]],"Pass","Fail")))</f>
        <v>Pass</v>
      </c>
      <c r="AE2671" s="1" t="str">
        <f>IF(AND(Table1[[#This Row],[Spec Type2]]="N/A",Table1[[#This Row],[DUT Adj Read]]="N/A",Table1[[#This Row],[Std Adj Read]]="N/A"),"N/A",IF(Table1[[#This Row],[DUT Adj Read]]="N/A",IF(Table1[[#This Row],[Std Adj Read]]&lt;Table1[[#This Row],[High Tol]],"Pass","Fail"),IF(Table1[[#This Row],[DUT Adj Read]]&lt;Table1[[#This Row],[High Tol]],"Pass","Fail")))</f>
        <v>Fail</v>
      </c>
      <c r="AF2671" s="1" t="str">
        <f>IF(AND(Table1[[#This Row],[Spec Type2]]="N/A",Table1[[#This Row],[DUT Adj Read]]="N/A",Table1[[#This Row],[Std Adj Read]]="N/A"),"N/A",IF(Table1[[#This Row],[DUT Adj Read]]="N/A",IF(Table1[[#This Row],[Std Adj Read]]&gt;=Table1[[#This Row],[Low Tol]],"Pass","Fail"),IF(Table1[[#This Row],[DUT Adj Read]]&gt;=Table1[[#This Row],[Low Tol]],"Pass","Fail")))</f>
        <v>Pass</v>
      </c>
      <c r="AG2671" s="1" t="str">
        <f>IF(AND(Table1[[#This Row],[Spec Type2]]="N/A",Table1[[#This Row],[DUT Adj Read]]="N/A",Table1[[#This Row],[Std Adj Read]]="N/A"),"N/A",IF(Table1[[#This Row],[DUT Adj Read]]="N/A",IF(Table1[[#This Row],[Std Adj Read]]&lt;=Table1[[#This Row],[High Tol]],"Pass","Fail"),IF(Table1[[#This Row],[DUT Adj Read]]&lt;=Table1[[#This Row],[High Tol]],"Pass","Fail")))</f>
        <v>Fail</v>
      </c>
      <c r="AH26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1" s="1" t="b">
        <v>0</v>
      </c>
      <c r="AN2671" s="1" t="b">
        <v>0</v>
      </c>
      <c r="AO2671" s="1" t="b">
        <v>0</v>
      </c>
    </row>
    <row r="2672" spans="1:41" x14ac:dyDescent="0.25">
      <c r="A2672" s="10"/>
      <c r="B2672" s="10"/>
      <c r="C2672" s="10"/>
      <c r="D2672" s="10"/>
      <c r="E2672" s="10"/>
      <c r="F2672" s="10"/>
      <c r="G2672" s="10"/>
      <c r="H2672" s="10"/>
      <c r="I2672" s="1" t="str">
        <f t="shared" si="123"/>
        <v/>
      </c>
      <c r="J2672" s="1" t="s">
        <v>35</v>
      </c>
      <c r="K2672" s="1" t="str">
        <f t="shared" si="124"/>
        <v/>
      </c>
      <c r="L2672" s="1" t="str">
        <f t="shared" si="125"/>
        <v/>
      </c>
      <c r="M2672" s="1">
        <f>IF(OR(Table1[[#This Row],[Std Nom]]="",Table1[[#This Row],[Std Read]]=""),0,Table1[[#This Row],[Std Nom]]-Table1[[#This Row],[Std Read]])</f>
        <v>0</v>
      </c>
      <c r="N2672" s="1">
        <f>IF(Calculations!$F$5="ACCREDITED 17025 WITH UNCERTAINTIES",$N$10,0)</f>
        <v>0</v>
      </c>
      <c r="Q2672" s="1">
        <f>Table1[[#This Row],[High Tol]]-Table1[[#This Row],[Low Tol]]</f>
        <v>0</v>
      </c>
      <c r="R2672" s="1">
        <f>2*Table1[[#This Row],[Std Error]]</f>
        <v>0</v>
      </c>
      <c r="S2672" s="1" t="str">
        <f>IF(Table1[[#This Row],[High Tol]]="","N/A",IFERROR(ABS(Table1[[#This Row],[Tol Span]]/Table1[[#This Row],[Error Span]]),"N/A"))</f>
        <v>N/A</v>
      </c>
      <c r="T2672" s="1" t="str">
        <f>IF(OR(Table1[[#This Row],[Low Tol]]="",Table1[[#This Row],[High Tol]]=""),"Needs Analysis",IF(Table1[[#This Row],[Ratio]]&gt;=4,"Not Significant",IF(Table1[[#This Row],[Ratio]]&gt;=2,"Semi-Significant","Significant")))</f>
        <v>Needs Analysis</v>
      </c>
      <c r="W2672" s="1">
        <f>IF(Table1[[#This Row],[Cal Type]]&lt;&gt;"ACCREDITED 17025 WITH UNCERTAINTIES",0,"")</f>
        <v>0</v>
      </c>
      <c r="X2672" s="1" t="str">
        <f>IF(Table1[[#This Row],[DUT Read]]="","N/A",Table1[[#This Row],[Std Error]]+Table1[[#This Row],[DUT Read]]+Table1[[#This Row],[DUT Ucty]])</f>
        <v>N/A</v>
      </c>
      <c r="Y2672" s="1" t="str">
        <f>IF(Table1[[#This Row],[Std Read]]="","N/A",Table1[[#This Row],[Std Read]]+Table1[[#This Row],[Std Ucty]])</f>
        <v>N/A</v>
      </c>
      <c r="Z26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2" s="1" t="str">
        <f>IF(Table1[[#This Row],[Spec Type]]="","N/A",Table1[[#This Row],[Spec Type]])</f>
        <v>±</v>
      </c>
      <c r="AC2672" s="1" t="str">
        <f>IF(Table1[[#This Row],[Spec Type2]]="N/A","N/A",IF(AND(Table1[[#This Row],[DUT Adj Read]]&gt;=Table1[[#This Row],[Low Tol]],Table1[[#This Row],[DUT Adj Read]]&lt;=Table1[[#This Row],[High Tol]]),"Pass","Fail"))</f>
        <v>Fail</v>
      </c>
      <c r="AD2672" s="1" t="str">
        <f>IF(AND(Table1[[#This Row],[Spec Type2]]="N/A",Table1[[#This Row],[DUT Adj Read]]="N/A",Table1[[#This Row],[Std Adj Read]]="N/A"),"N/A",IF(Table1[[#This Row],[DUT Adj Read]]="N/A",IF(Table1[[#This Row],[Std Adj Read]]&gt;Table1[[#This Row],[Low Tol]],"Pass","Fail"),IF(Table1[[#This Row],[DUT Adj Read]]&gt;Table1[[#This Row],[Low Tol]],"Pass","Fail")))</f>
        <v>Pass</v>
      </c>
      <c r="AE2672" s="1" t="str">
        <f>IF(AND(Table1[[#This Row],[Spec Type2]]="N/A",Table1[[#This Row],[DUT Adj Read]]="N/A",Table1[[#This Row],[Std Adj Read]]="N/A"),"N/A",IF(Table1[[#This Row],[DUT Adj Read]]="N/A",IF(Table1[[#This Row],[Std Adj Read]]&lt;Table1[[#This Row],[High Tol]],"Pass","Fail"),IF(Table1[[#This Row],[DUT Adj Read]]&lt;Table1[[#This Row],[High Tol]],"Pass","Fail")))</f>
        <v>Fail</v>
      </c>
      <c r="AF2672" s="1" t="str">
        <f>IF(AND(Table1[[#This Row],[Spec Type2]]="N/A",Table1[[#This Row],[DUT Adj Read]]="N/A",Table1[[#This Row],[Std Adj Read]]="N/A"),"N/A",IF(Table1[[#This Row],[DUT Adj Read]]="N/A",IF(Table1[[#This Row],[Std Adj Read]]&gt;=Table1[[#This Row],[Low Tol]],"Pass","Fail"),IF(Table1[[#This Row],[DUT Adj Read]]&gt;=Table1[[#This Row],[Low Tol]],"Pass","Fail")))</f>
        <v>Pass</v>
      </c>
      <c r="AG2672" s="1" t="str">
        <f>IF(AND(Table1[[#This Row],[Spec Type2]]="N/A",Table1[[#This Row],[DUT Adj Read]]="N/A",Table1[[#This Row],[Std Adj Read]]="N/A"),"N/A",IF(Table1[[#This Row],[DUT Adj Read]]="N/A",IF(Table1[[#This Row],[Std Adj Read]]&lt;=Table1[[#This Row],[High Tol]],"Pass","Fail"),IF(Table1[[#This Row],[DUT Adj Read]]&lt;=Table1[[#This Row],[High Tol]],"Pass","Fail")))</f>
        <v>Fail</v>
      </c>
      <c r="AH26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2" s="1" t="b">
        <v>0</v>
      </c>
      <c r="AN2672" s="1" t="b">
        <v>0</v>
      </c>
      <c r="AO2672" s="1" t="b">
        <v>0</v>
      </c>
    </row>
    <row r="2673" spans="1:41" x14ac:dyDescent="0.25">
      <c r="A2673" s="10"/>
      <c r="B2673" s="10"/>
      <c r="C2673" s="10"/>
      <c r="D2673" s="10"/>
      <c r="E2673" s="10"/>
      <c r="F2673" s="10"/>
      <c r="G2673" s="10"/>
      <c r="H2673" s="10"/>
      <c r="I2673" s="1" t="str">
        <f t="shared" si="123"/>
        <v/>
      </c>
      <c r="J2673" s="1" t="s">
        <v>35</v>
      </c>
      <c r="K2673" s="1" t="str">
        <f t="shared" si="124"/>
        <v/>
      </c>
      <c r="L2673" s="1" t="str">
        <f t="shared" si="125"/>
        <v/>
      </c>
      <c r="M2673" s="1">
        <f>IF(OR(Table1[[#This Row],[Std Nom]]="",Table1[[#This Row],[Std Read]]=""),0,Table1[[#This Row],[Std Nom]]-Table1[[#This Row],[Std Read]])</f>
        <v>0</v>
      </c>
      <c r="N2673" s="1">
        <f>IF(Calculations!$F$5="ACCREDITED 17025 WITH UNCERTAINTIES",$N$10,0)</f>
        <v>0</v>
      </c>
      <c r="Q2673" s="1">
        <f>Table1[[#This Row],[High Tol]]-Table1[[#This Row],[Low Tol]]</f>
        <v>0</v>
      </c>
      <c r="R2673" s="1">
        <f>2*Table1[[#This Row],[Std Error]]</f>
        <v>0</v>
      </c>
      <c r="S2673" s="1" t="str">
        <f>IF(Table1[[#This Row],[High Tol]]="","N/A",IFERROR(ABS(Table1[[#This Row],[Tol Span]]/Table1[[#This Row],[Error Span]]),"N/A"))</f>
        <v>N/A</v>
      </c>
      <c r="T2673" s="1" t="str">
        <f>IF(OR(Table1[[#This Row],[Low Tol]]="",Table1[[#This Row],[High Tol]]=""),"Needs Analysis",IF(Table1[[#This Row],[Ratio]]&gt;=4,"Not Significant",IF(Table1[[#This Row],[Ratio]]&gt;=2,"Semi-Significant","Significant")))</f>
        <v>Needs Analysis</v>
      </c>
      <c r="W2673" s="1">
        <f>IF(Table1[[#This Row],[Cal Type]]&lt;&gt;"ACCREDITED 17025 WITH UNCERTAINTIES",0,"")</f>
        <v>0</v>
      </c>
      <c r="X2673" s="1" t="str">
        <f>IF(Table1[[#This Row],[DUT Read]]="","N/A",Table1[[#This Row],[Std Error]]+Table1[[#This Row],[DUT Read]]+Table1[[#This Row],[DUT Ucty]])</f>
        <v>N/A</v>
      </c>
      <c r="Y2673" s="1" t="str">
        <f>IF(Table1[[#This Row],[Std Read]]="","N/A",Table1[[#This Row],[Std Read]]+Table1[[#This Row],[Std Ucty]])</f>
        <v>N/A</v>
      </c>
      <c r="Z26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3" s="1" t="str">
        <f>IF(Table1[[#This Row],[Spec Type]]="","N/A",Table1[[#This Row],[Spec Type]])</f>
        <v>±</v>
      </c>
      <c r="AC2673" s="1" t="str">
        <f>IF(Table1[[#This Row],[Spec Type2]]="N/A","N/A",IF(AND(Table1[[#This Row],[DUT Adj Read]]&gt;=Table1[[#This Row],[Low Tol]],Table1[[#This Row],[DUT Adj Read]]&lt;=Table1[[#This Row],[High Tol]]),"Pass","Fail"))</f>
        <v>Fail</v>
      </c>
      <c r="AD2673" s="1" t="str">
        <f>IF(AND(Table1[[#This Row],[Spec Type2]]="N/A",Table1[[#This Row],[DUT Adj Read]]="N/A",Table1[[#This Row],[Std Adj Read]]="N/A"),"N/A",IF(Table1[[#This Row],[DUT Adj Read]]="N/A",IF(Table1[[#This Row],[Std Adj Read]]&gt;Table1[[#This Row],[Low Tol]],"Pass","Fail"),IF(Table1[[#This Row],[DUT Adj Read]]&gt;Table1[[#This Row],[Low Tol]],"Pass","Fail")))</f>
        <v>Pass</v>
      </c>
      <c r="AE2673" s="1" t="str">
        <f>IF(AND(Table1[[#This Row],[Spec Type2]]="N/A",Table1[[#This Row],[DUT Adj Read]]="N/A",Table1[[#This Row],[Std Adj Read]]="N/A"),"N/A",IF(Table1[[#This Row],[DUT Adj Read]]="N/A",IF(Table1[[#This Row],[Std Adj Read]]&lt;Table1[[#This Row],[High Tol]],"Pass","Fail"),IF(Table1[[#This Row],[DUT Adj Read]]&lt;Table1[[#This Row],[High Tol]],"Pass","Fail")))</f>
        <v>Fail</v>
      </c>
      <c r="AF2673" s="1" t="str">
        <f>IF(AND(Table1[[#This Row],[Spec Type2]]="N/A",Table1[[#This Row],[DUT Adj Read]]="N/A",Table1[[#This Row],[Std Adj Read]]="N/A"),"N/A",IF(Table1[[#This Row],[DUT Adj Read]]="N/A",IF(Table1[[#This Row],[Std Adj Read]]&gt;=Table1[[#This Row],[Low Tol]],"Pass","Fail"),IF(Table1[[#This Row],[DUT Adj Read]]&gt;=Table1[[#This Row],[Low Tol]],"Pass","Fail")))</f>
        <v>Pass</v>
      </c>
      <c r="AG2673" s="1" t="str">
        <f>IF(AND(Table1[[#This Row],[Spec Type2]]="N/A",Table1[[#This Row],[DUT Adj Read]]="N/A",Table1[[#This Row],[Std Adj Read]]="N/A"),"N/A",IF(Table1[[#This Row],[DUT Adj Read]]="N/A",IF(Table1[[#This Row],[Std Adj Read]]&lt;=Table1[[#This Row],[High Tol]],"Pass","Fail"),IF(Table1[[#This Row],[DUT Adj Read]]&lt;=Table1[[#This Row],[High Tol]],"Pass","Fail")))</f>
        <v>Fail</v>
      </c>
      <c r="AH26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3" s="1" t="b">
        <v>0</v>
      </c>
      <c r="AN2673" s="1" t="b">
        <v>0</v>
      </c>
      <c r="AO2673" s="1" t="b">
        <v>0</v>
      </c>
    </row>
    <row r="2674" spans="1:41" x14ac:dyDescent="0.25">
      <c r="A2674" s="10"/>
      <c r="B2674" s="10"/>
      <c r="C2674" s="10"/>
      <c r="D2674" s="10"/>
      <c r="E2674" s="10"/>
      <c r="F2674" s="10"/>
      <c r="G2674" s="10"/>
      <c r="H2674" s="10"/>
      <c r="I2674" s="1" t="str">
        <f t="shared" si="123"/>
        <v/>
      </c>
      <c r="J2674" s="1" t="s">
        <v>35</v>
      </c>
      <c r="K2674" s="1" t="str">
        <f t="shared" si="124"/>
        <v/>
      </c>
      <c r="L2674" s="1" t="str">
        <f t="shared" si="125"/>
        <v/>
      </c>
      <c r="M2674" s="1">
        <f>IF(OR(Table1[[#This Row],[Std Nom]]="",Table1[[#This Row],[Std Read]]=""),0,Table1[[#This Row],[Std Nom]]-Table1[[#This Row],[Std Read]])</f>
        <v>0</v>
      </c>
      <c r="N2674" s="1">
        <f>IF(Calculations!$F$5="ACCREDITED 17025 WITH UNCERTAINTIES",$N$10,0)</f>
        <v>0</v>
      </c>
      <c r="Q2674" s="1">
        <f>Table1[[#This Row],[High Tol]]-Table1[[#This Row],[Low Tol]]</f>
        <v>0</v>
      </c>
      <c r="R2674" s="1">
        <f>2*Table1[[#This Row],[Std Error]]</f>
        <v>0</v>
      </c>
      <c r="S2674" s="1" t="str">
        <f>IF(Table1[[#This Row],[High Tol]]="","N/A",IFERROR(ABS(Table1[[#This Row],[Tol Span]]/Table1[[#This Row],[Error Span]]),"N/A"))</f>
        <v>N/A</v>
      </c>
      <c r="T2674" s="1" t="str">
        <f>IF(OR(Table1[[#This Row],[Low Tol]]="",Table1[[#This Row],[High Tol]]=""),"Needs Analysis",IF(Table1[[#This Row],[Ratio]]&gt;=4,"Not Significant",IF(Table1[[#This Row],[Ratio]]&gt;=2,"Semi-Significant","Significant")))</f>
        <v>Needs Analysis</v>
      </c>
      <c r="W2674" s="1">
        <f>IF(Table1[[#This Row],[Cal Type]]&lt;&gt;"ACCREDITED 17025 WITH UNCERTAINTIES",0,"")</f>
        <v>0</v>
      </c>
      <c r="X2674" s="1" t="str">
        <f>IF(Table1[[#This Row],[DUT Read]]="","N/A",Table1[[#This Row],[Std Error]]+Table1[[#This Row],[DUT Read]]+Table1[[#This Row],[DUT Ucty]])</f>
        <v>N/A</v>
      </c>
      <c r="Y2674" s="1" t="str">
        <f>IF(Table1[[#This Row],[Std Read]]="","N/A",Table1[[#This Row],[Std Read]]+Table1[[#This Row],[Std Ucty]])</f>
        <v>N/A</v>
      </c>
      <c r="Z26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4" s="1" t="str">
        <f>IF(Table1[[#This Row],[Spec Type]]="","N/A",Table1[[#This Row],[Spec Type]])</f>
        <v>±</v>
      </c>
      <c r="AC2674" s="1" t="str">
        <f>IF(Table1[[#This Row],[Spec Type2]]="N/A","N/A",IF(AND(Table1[[#This Row],[DUT Adj Read]]&gt;=Table1[[#This Row],[Low Tol]],Table1[[#This Row],[DUT Adj Read]]&lt;=Table1[[#This Row],[High Tol]]),"Pass","Fail"))</f>
        <v>Fail</v>
      </c>
      <c r="AD2674" s="1" t="str">
        <f>IF(AND(Table1[[#This Row],[Spec Type2]]="N/A",Table1[[#This Row],[DUT Adj Read]]="N/A",Table1[[#This Row],[Std Adj Read]]="N/A"),"N/A",IF(Table1[[#This Row],[DUT Adj Read]]="N/A",IF(Table1[[#This Row],[Std Adj Read]]&gt;Table1[[#This Row],[Low Tol]],"Pass","Fail"),IF(Table1[[#This Row],[DUT Adj Read]]&gt;Table1[[#This Row],[Low Tol]],"Pass","Fail")))</f>
        <v>Pass</v>
      </c>
      <c r="AE2674" s="1" t="str">
        <f>IF(AND(Table1[[#This Row],[Spec Type2]]="N/A",Table1[[#This Row],[DUT Adj Read]]="N/A",Table1[[#This Row],[Std Adj Read]]="N/A"),"N/A",IF(Table1[[#This Row],[DUT Adj Read]]="N/A",IF(Table1[[#This Row],[Std Adj Read]]&lt;Table1[[#This Row],[High Tol]],"Pass","Fail"),IF(Table1[[#This Row],[DUT Adj Read]]&lt;Table1[[#This Row],[High Tol]],"Pass","Fail")))</f>
        <v>Fail</v>
      </c>
      <c r="AF2674" s="1" t="str">
        <f>IF(AND(Table1[[#This Row],[Spec Type2]]="N/A",Table1[[#This Row],[DUT Adj Read]]="N/A",Table1[[#This Row],[Std Adj Read]]="N/A"),"N/A",IF(Table1[[#This Row],[DUT Adj Read]]="N/A",IF(Table1[[#This Row],[Std Adj Read]]&gt;=Table1[[#This Row],[Low Tol]],"Pass","Fail"),IF(Table1[[#This Row],[DUT Adj Read]]&gt;=Table1[[#This Row],[Low Tol]],"Pass","Fail")))</f>
        <v>Pass</v>
      </c>
      <c r="AG2674" s="1" t="str">
        <f>IF(AND(Table1[[#This Row],[Spec Type2]]="N/A",Table1[[#This Row],[DUT Adj Read]]="N/A",Table1[[#This Row],[Std Adj Read]]="N/A"),"N/A",IF(Table1[[#This Row],[DUT Adj Read]]="N/A",IF(Table1[[#This Row],[Std Adj Read]]&lt;=Table1[[#This Row],[High Tol]],"Pass","Fail"),IF(Table1[[#This Row],[DUT Adj Read]]&lt;=Table1[[#This Row],[High Tol]],"Pass","Fail")))</f>
        <v>Fail</v>
      </c>
      <c r="AH26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4" s="1" t="b">
        <v>0</v>
      </c>
      <c r="AN2674" s="1" t="b">
        <v>0</v>
      </c>
      <c r="AO2674" s="1" t="b">
        <v>0</v>
      </c>
    </row>
    <row r="2675" spans="1:41" x14ac:dyDescent="0.25">
      <c r="A2675" s="10"/>
      <c r="B2675" s="10"/>
      <c r="C2675" s="10"/>
      <c r="D2675" s="10"/>
      <c r="E2675" s="10"/>
      <c r="F2675" s="10"/>
      <c r="G2675" s="10"/>
      <c r="H2675" s="10"/>
      <c r="I2675" s="1" t="str">
        <f t="shared" si="123"/>
        <v/>
      </c>
      <c r="J2675" s="1" t="s">
        <v>35</v>
      </c>
      <c r="K2675" s="1" t="str">
        <f t="shared" si="124"/>
        <v/>
      </c>
      <c r="L2675" s="1" t="str">
        <f t="shared" si="125"/>
        <v/>
      </c>
      <c r="M2675" s="1">
        <f>IF(OR(Table1[[#This Row],[Std Nom]]="",Table1[[#This Row],[Std Read]]=""),0,Table1[[#This Row],[Std Nom]]-Table1[[#This Row],[Std Read]])</f>
        <v>0</v>
      </c>
      <c r="N2675" s="1">
        <f>IF(Calculations!$F$5="ACCREDITED 17025 WITH UNCERTAINTIES",$N$10,0)</f>
        <v>0</v>
      </c>
      <c r="Q2675" s="1">
        <f>Table1[[#This Row],[High Tol]]-Table1[[#This Row],[Low Tol]]</f>
        <v>0</v>
      </c>
      <c r="R2675" s="1">
        <f>2*Table1[[#This Row],[Std Error]]</f>
        <v>0</v>
      </c>
      <c r="S2675" s="1" t="str">
        <f>IF(Table1[[#This Row],[High Tol]]="","N/A",IFERROR(ABS(Table1[[#This Row],[Tol Span]]/Table1[[#This Row],[Error Span]]),"N/A"))</f>
        <v>N/A</v>
      </c>
      <c r="T2675" s="1" t="str">
        <f>IF(OR(Table1[[#This Row],[Low Tol]]="",Table1[[#This Row],[High Tol]]=""),"Needs Analysis",IF(Table1[[#This Row],[Ratio]]&gt;=4,"Not Significant",IF(Table1[[#This Row],[Ratio]]&gt;=2,"Semi-Significant","Significant")))</f>
        <v>Needs Analysis</v>
      </c>
      <c r="W2675" s="1">
        <f>IF(Table1[[#This Row],[Cal Type]]&lt;&gt;"ACCREDITED 17025 WITH UNCERTAINTIES",0,"")</f>
        <v>0</v>
      </c>
      <c r="X2675" s="1" t="str">
        <f>IF(Table1[[#This Row],[DUT Read]]="","N/A",Table1[[#This Row],[Std Error]]+Table1[[#This Row],[DUT Read]]+Table1[[#This Row],[DUT Ucty]])</f>
        <v>N/A</v>
      </c>
      <c r="Y2675" s="1" t="str">
        <f>IF(Table1[[#This Row],[Std Read]]="","N/A",Table1[[#This Row],[Std Read]]+Table1[[#This Row],[Std Ucty]])</f>
        <v>N/A</v>
      </c>
      <c r="Z26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5" s="1" t="str">
        <f>IF(Table1[[#This Row],[Spec Type]]="","N/A",Table1[[#This Row],[Spec Type]])</f>
        <v>±</v>
      </c>
      <c r="AC2675" s="1" t="str">
        <f>IF(Table1[[#This Row],[Spec Type2]]="N/A","N/A",IF(AND(Table1[[#This Row],[DUT Adj Read]]&gt;=Table1[[#This Row],[Low Tol]],Table1[[#This Row],[DUT Adj Read]]&lt;=Table1[[#This Row],[High Tol]]),"Pass","Fail"))</f>
        <v>Fail</v>
      </c>
      <c r="AD2675" s="1" t="str">
        <f>IF(AND(Table1[[#This Row],[Spec Type2]]="N/A",Table1[[#This Row],[DUT Adj Read]]="N/A",Table1[[#This Row],[Std Adj Read]]="N/A"),"N/A",IF(Table1[[#This Row],[DUT Adj Read]]="N/A",IF(Table1[[#This Row],[Std Adj Read]]&gt;Table1[[#This Row],[Low Tol]],"Pass","Fail"),IF(Table1[[#This Row],[DUT Adj Read]]&gt;Table1[[#This Row],[Low Tol]],"Pass","Fail")))</f>
        <v>Pass</v>
      </c>
      <c r="AE2675" s="1" t="str">
        <f>IF(AND(Table1[[#This Row],[Spec Type2]]="N/A",Table1[[#This Row],[DUT Adj Read]]="N/A",Table1[[#This Row],[Std Adj Read]]="N/A"),"N/A",IF(Table1[[#This Row],[DUT Adj Read]]="N/A",IF(Table1[[#This Row],[Std Adj Read]]&lt;Table1[[#This Row],[High Tol]],"Pass","Fail"),IF(Table1[[#This Row],[DUT Adj Read]]&lt;Table1[[#This Row],[High Tol]],"Pass","Fail")))</f>
        <v>Fail</v>
      </c>
      <c r="AF2675" s="1" t="str">
        <f>IF(AND(Table1[[#This Row],[Spec Type2]]="N/A",Table1[[#This Row],[DUT Adj Read]]="N/A",Table1[[#This Row],[Std Adj Read]]="N/A"),"N/A",IF(Table1[[#This Row],[DUT Adj Read]]="N/A",IF(Table1[[#This Row],[Std Adj Read]]&gt;=Table1[[#This Row],[Low Tol]],"Pass","Fail"),IF(Table1[[#This Row],[DUT Adj Read]]&gt;=Table1[[#This Row],[Low Tol]],"Pass","Fail")))</f>
        <v>Pass</v>
      </c>
      <c r="AG2675" s="1" t="str">
        <f>IF(AND(Table1[[#This Row],[Spec Type2]]="N/A",Table1[[#This Row],[DUT Adj Read]]="N/A",Table1[[#This Row],[Std Adj Read]]="N/A"),"N/A",IF(Table1[[#This Row],[DUT Adj Read]]="N/A",IF(Table1[[#This Row],[Std Adj Read]]&lt;=Table1[[#This Row],[High Tol]],"Pass","Fail"),IF(Table1[[#This Row],[DUT Adj Read]]&lt;=Table1[[#This Row],[High Tol]],"Pass","Fail")))</f>
        <v>Fail</v>
      </c>
      <c r="AH26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5" s="1" t="b">
        <v>0</v>
      </c>
      <c r="AN2675" s="1" t="b">
        <v>0</v>
      </c>
      <c r="AO2675" s="1" t="b">
        <v>0</v>
      </c>
    </row>
    <row r="2676" spans="1:41" x14ac:dyDescent="0.25">
      <c r="A2676" s="10"/>
      <c r="B2676" s="10"/>
      <c r="C2676" s="10"/>
      <c r="D2676" s="10"/>
      <c r="E2676" s="10"/>
      <c r="F2676" s="10"/>
      <c r="G2676" s="10"/>
      <c r="H2676" s="10"/>
      <c r="I2676" s="1" t="str">
        <f t="shared" si="123"/>
        <v/>
      </c>
      <c r="J2676" s="1" t="s">
        <v>35</v>
      </c>
      <c r="K2676" s="1" t="str">
        <f t="shared" si="124"/>
        <v/>
      </c>
      <c r="L2676" s="1" t="str">
        <f t="shared" si="125"/>
        <v/>
      </c>
      <c r="M2676" s="1">
        <f>IF(OR(Table1[[#This Row],[Std Nom]]="",Table1[[#This Row],[Std Read]]=""),0,Table1[[#This Row],[Std Nom]]-Table1[[#This Row],[Std Read]])</f>
        <v>0</v>
      </c>
      <c r="N2676" s="1">
        <f>IF(Calculations!$F$5="ACCREDITED 17025 WITH UNCERTAINTIES",$N$10,0)</f>
        <v>0</v>
      </c>
      <c r="Q2676" s="1">
        <f>Table1[[#This Row],[High Tol]]-Table1[[#This Row],[Low Tol]]</f>
        <v>0</v>
      </c>
      <c r="R2676" s="1">
        <f>2*Table1[[#This Row],[Std Error]]</f>
        <v>0</v>
      </c>
      <c r="S2676" s="1" t="str">
        <f>IF(Table1[[#This Row],[High Tol]]="","N/A",IFERROR(ABS(Table1[[#This Row],[Tol Span]]/Table1[[#This Row],[Error Span]]),"N/A"))</f>
        <v>N/A</v>
      </c>
      <c r="T2676" s="1" t="str">
        <f>IF(OR(Table1[[#This Row],[Low Tol]]="",Table1[[#This Row],[High Tol]]=""),"Needs Analysis",IF(Table1[[#This Row],[Ratio]]&gt;=4,"Not Significant",IF(Table1[[#This Row],[Ratio]]&gt;=2,"Semi-Significant","Significant")))</f>
        <v>Needs Analysis</v>
      </c>
      <c r="W2676" s="1">
        <f>IF(Table1[[#This Row],[Cal Type]]&lt;&gt;"ACCREDITED 17025 WITH UNCERTAINTIES",0,"")</f>
        <v>0</v>
      </c>
      <c r="X2676" s="1" t="str">
        <f>IF(Table1[[#This Row],[DUT Read]]="","N/A",Table1[[#This Row],[Std Error]]+Table1[[#This Row],[DUT Read]]+Table1[[#This Row],[DUT Ucty]])</f>
        <v>N/A</v>
      </c>
      <c r="Y2676" s="1" t="str">
        <f>IF(Table1[[#This Row],[Std Read]]="","N/A",Table1[[#This Row],[Std Read]]+Table1[[#This Row],[Std Ucty]])</f>
        <v>N/A</v>
      </c>
      <c r="Z26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6" s="1" t="str">
        <f>IF(Table1[[#This Row],[Spec Type]]="","N/A",Table1[[#This Row],[Spec Type]])</f>
        <v>±</v>
      </c>
      <c r="AC2676" s="1" t="str">
        <f>IF(Table1[[#This Row],[Spec Type2]]="N/A","N/A",IF(AND(Table1[[#This Row],[DUT Adj Read]]&gt;=Table1[[#This Row],[Low Tol]],Table1[[#This Row],[DUT Adj Read]]&lt;=Table1[[#This Row],[High Tol]]),"Pass","Fail"))</f>
        <v>Fail</v>
      </c>
      <c r="AD2676" s="1" t="str">
        <f>IF(AND(Table1[[#This Row],[Spec Type2]]="N/A",Table1[[#This Row],[DUT Adj Read]]="N/A",Table1[[#This Row],[Std Adj Read]]="N/A"),"N/A",IF(Table1[[#This Row],[DUT Adj Read]]="N/A",IF(Table1[[#This Row],[Std Adj Read]]&gt;Table1[[#This Row],[Low Tol]],"Pass","Fail"),IF(Table1[[#This Row],[DUT Adj Read]]&gt;Table1[[#This Row],[Low Tol]],"Pass","Fail")))</f>
        <v>Pass</v>
      </c>
      <c r="AE2676" s="1" t="str">
        <f>IF(AND(Table1[[#This Row],[Spec Type2]]="N/A",Table1[[#This Row],[DUT Adj Read]]="N/A",Table1[[#This Row],[Std Adj Read]]="N/A"),"N/A",IF(Table1[[#This Row],[DUT Adj Read]]="N/A",IF(Table1[[#This Row],[Std Adj Read]]&lt;Table1[[#This Row],[High Tol]],"Pass","Fail"),IF(Table1[[#This Row],[DUT Adj Read]]&lt;Table1[[#This Row],[High Tol]],"Pass","Fail")))</f>
        <v>Fail</v>
      </c>
      <c r="AF2676" s="1" t="str">
        <f>IF(AND(Table1[[#This Row],[Spec Type2]]="N/A",Table1[[#This Row],[DUT Adj Read]]="N/A",Table1[[#This Row],[Std Adj Read]]="N/A"),"N/A",IF(Table1[[#This Row],[DUT Adj Read]]="N/A",IF(Table1[[#This Row],[Std Adj Read]]&gt;=Table1[[#This Row],[Low Tol]],"Pass","Fail"),IF(Table1[[#This Row],[DUT Adj Read]]&gt;=Table1[[#This Row],[Low Tol]],"Pass","Fail")))</f>
        <v>Pass</v>
      </c>
      <c r="AG2676" s="1" t="str">
        <f>IF(AND(Table1[[#This Row],[Spec Type2]]="N/A",Table1[[#This Row],[DUT Adj Read]]="N/A",Table1[[#This Row],[Std Adj Read]]="N/A"),"N/A",IF(Table1[[#This Row],[DUT Adj Read]]="N/A",IF(Table1[[#This Row],[Std Adj Read]]&lt;=Table1[[#This Row],[High Tol]],"Pass","Fail"),IF(Table1[[#This Row],[DUT Adj Read]]&lt;=Table1[[#This Row],[High Tol]],"Pass","Fail")))</f>
        <v>Fail</v>
      </c>
      <c r="AH26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6" s="1" t="b">
        <v>0</v>
      </c>
      <c r="AN2676" s="1" t="b">
        <v>0</v>
      </c>
      <c r="AO2676" s="1" t="b">
        <v>0</v>
      </c>
    </row>
    <row r="2677" spans="1:41" x14ac:dyDescent="0.25">
      <c r="A2677" s="10"/>
      <c r="B2677" s="10"/>
      <c r="C2677" s="10"/>
      <c r="D2677" s="10"/>
      <c r="E2677" s="10"/>
      <c r="F2677" s="10"/>
      <c r="G2677" s="10"/>
      <c r="H2677" s="10"/>
      <c r="I2677" s="1" t="str">
        <f t="shared" si="123"/>
        <v/>
      </c>
      <c r="J2677" s="1" t="s">
        <v>35</v>
      </c>
      <c r="K2677" s="1" t="str">
        <f t="shared" si="124"/>
        <v/>
      </c>
      <c r="L2677" s="1" t="str">
        <f t="shared" si="125"/>
        <v/>
      </c>
      <c r="M2677" s="1">
        <f>IF(OR(Table1[[#This Row],[Std Nom]]="",Table1[[#This Row],[Std Read]]=""),0,Table1[[#This Row],[Std Nom]]-Table1[[#This Row],[Std Read]])</f>
        <v>0</v>
      </c>
      <c r="N2677" s="1">
        <f>IF(Calculations!$F$5="ACCREDITED 17025 WITH UNCERTAINTIES",$N$10,0)</f>
        <v>0</v>
      </c>
      <c r="Q2677" s="1">
        <f>Table1[[#This Row],[High Tol]]-Table1[[#This Row],[Low Tol]]</f>
        <v>0</v>
      </c>
      <c r="R2677" s="1">
        <f>2*Table1[[#This Row],[Std Error]]</f>
        <v>0</v>
      </c>
      <c r="S2677" s="1" t="str">
        <f>IF(Table1[[#This Row],[High Tol]]="","N/A",IFERROR(ABS(Table1[[#This Row],[Tol Span]]/Table1[[#This Row],[Error Span]]),"N/A"))</f>
        <v>N/A</v>
      </c>
      <c r="T2677" s="1" t="str">
        <f>IF(OR(Table1[[#This Row],[Low Tol]]="",Table1[[#This Row],[High Tol]]=""),"Needs Analysis",IF(Table1[[#This Row],[Ratio]]&gt;=4,"Not Significant",IF(Table1[[#This Row],[Ratio]]&gt;=2,"Semi-Significant","Significant")))</f>
        <v>Needs Analysis</v>
      </c>
      <c r="W2677" s="1">
        <f>IF(Table1[[#This Row],[Cal Type]]&lt;&gt;"ACCREDITED 17025 WITH UNCERTAINTIES",0,"")</f>
        <v>0</v>
      </c>
      <c r="X2677" s="1" t="str">
        <f>IF(Table1[[#This Row],[DUT Read]]="","N/A",Table1[[#This Row],[Std Error]]+Table1[[#This Row],[DUT Read]]+Table1[[#This Row],[DUT Ucty]])</f>
        <v>N/A</v>
      </c>
      <c r="Y2677" s="1" t="str">
        <f>IF(Table1[[#This Row],[Std Read]]="","N/A",Table1[[#This Row],[Std Read]]+Table1[[#This Row],[Std Ucty]])</f>
        <v>N/A</v>
      </c>
      <c r="Z26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7" s="1" t="str">
        <f>IF(Table1[[#This Row],[Spec Type]]="","N/A",Table1[[#This Row],[Spec Type]])</f>
        <v>±</v>
      </c>
      <c r="AC2677" s="1" t="str">
        <f>IF(Table1[[#This Row],[Spec Type2]]="N/A","N/A",IF(AND(Table1[[#This Row],[DUT Adj Read]]&gt;=Table1[[#This Row],[Low Tol]],Table1[[#This Row],[DUT Adj Read]]&lt;=Table1[[#This Row],[High Tol]]),"Pass","Fail"))</f>
        <v>Fail</v>
      </c>
      <c r="AD2677" s="1" t="str">
        <f>IF(AND(Table1[[#This Row],[Spec Type2]]="N/A",Table1[[#This Row],[DUT Adj Read]]="N/A",Table1[[#This Row],[Std Adj Read]]="N/A"),"N/A",IF(Table1[[#This Row],[DUT Adj Read]]="N/A",IF(Table1[[#This Row],[Std Adj Read]]&gt;Table1[[#This Row],[Low Tol]],"Pass","Fail"),IF(Table1[[#This Row],[DUT Adj Read]]&gt;Table1[[#This Row],[Low Tol]],"Pass","Fail")))</f>
        <v>Pass</v>
      </c>
      <c r="AE2677" s="1" t="str">
        <f>IF(AND(Table1[[#This Row],[Spec Type2]]="N/A",Table1[[#This Row],[DUT Adj Read]]="N/A",Table1[[#This Row],[Std Adj Read]]="N/A"),"N/A",IF(Table1[[#This Row],[DUT Adj Read]]="N/A",IF(Table1[[#This Row],[Std Adj Read]]&lt;Table1[[#This Row],[High Tol]],"Pass","Fail"),IF(Table1[[#This Row],[DUT Adj Read]]&lt;Table1[[#This Row],[High Tol]],"Pass","Fail")))</f>
        <v>Fail</v>
      </c>
      <c r="AF2677" s="1" t="str">
        <f>IF(AND(Table1[[#This Row],[Spec Type2]]="N/A",Table1[[#This Row],[DUT Adj Read]]="N/A",Table1[[#This Row],[Std Adj Read]]="N/A"),"N/A",IF(Table1[[#This Row],[DUT Adj Read]]="N/A",IF(Table1[[#This Row],[Std Adj Read]]&gt;=Table1[[#This Row],[Low Tol]],"Pass","Fail"),IF(Table1[[#This Row],[DUT Adj Read]]&gt;=Table1[[#This Row],[Low Tol]],"Pass","Fail")))</f>
        <v>Pass</v>
      </c>
      <c r="AG2677" s="1" t="str">
        <f>IF(AND(Table1[[#This Row],[Spec Type2]]="N/A",Table1[[#This Row],[DUT Adj Read]]="N/A",Table1[[#This Row],[Std Adj Read]]="N/A"),"N/A",IF(Table1[[#This Row],[DUT Adj Read]]="N/A",IF(Table1[[#This Row],[Std Adj Read]]&lt;=Table1[[#This Row],[High Tol]],"Pass","Fail"),IF(Table1[[#This Row],[DUT Adj Read]]&lt;=Table1[[#This Row],[High Tol]],"Pass","Fail")))</f>
        <v>Fail</v>
      </c>
      <c r="AH26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7" s="1" t="b">
        <v>0</v>
      </c>
      <c r="AN2677" s="1" t="b">
        <v>0</v>
      </c>
      <c r="AO2677" s="1" t="b">
        <v>0</v>
      </c>
    </row>
    <row r="2678" spans="1:41" x14ac:dyDescent="0.25">
      <c r="A2678" s="10"/>
      <c r="B2678" s="10"/>
      <c r="C2678" s="10"/>
      <c r="D2678" s="10"/>
      <c r="E2678" s="10"/>
      <c r="F2678" s="10"/>
      <c r="G2678" s="10"/>
      <c r="H2678" s="10"/>
      <c r="I2678" s="1" t="str">
        <f t="shared" si="123"/>
        <v/>
      </c>
      <c r="J2678" s="1" t="s">
        <v>35</v>
      </c>
      <c r="K2678" s="1" t="str">
        <f t="shared" si="124"/>
        <v/>
      </c>
      <c r="L2678" s="1" t="str">
        <f t="shared" si="125"/>
        <v/>
      </c>
      <c r="M2678" s="1">
        <f>IF(OR(Table1[[#This Row],[Std Nom]]="",Table1[[#This Row],[Std Read]]=""),0,Table1[[#This Row],[Std Nom]]-Table1[[#This Row],[Std Read]])</f>
        <v>0</v>
      </c>
      <c r="N2678" s="1">
        <f>IF(Calculations!$F$5="ACCREDITED 17025 WITH UNCERTAINTIES",$N$10,0)</f>
        <v>0</v>
      </c>
      <c r="Q2678" s="1">
        <f>Table1[[#This Row],[High Tol]]-Table1[[#This Row],[Low Tol]]</f>
        <v>0</v>
      </c>
      <c r="R2678" s="1">
        <f>2*Table1[[#This Row],[Std Error]]</f>
        <v>0</v>
      </c>
      <c r="S2678" s="1" t="str">
        <f>IF(Table1[[#This Row],[High Tol]]="","N/A",IFERROR(ABS(Table1[[#This Row],[Tol Span]]/Table1[[#This Row],[Error Span]]),"N/A"))</f>
        <v>N/A</v>
      </c>
      <c r="T2678" s="1" t="str">
        <f>IF(OR(Table1[[#This Row],[Low Tol]]="",Table1[[#This Row],[High Tol]]=""),"Needs Analysis",IF(Table1[[#This Row],[Ratio]]&gt;=4,"Not Significant",IF(Table1[[#This Row],[Ratio]]&gt;=2,"Semi-Significant","Significant")))</f>
        <v>Needs Analysis</v>
      </c>
      <c r="W2678" s="1">
        <f>IF(Table1[[#This Row],[Cal Type]]&lt;&gt;"ACCREDITED 17025 WITH UNCERTAINTIES",0,"")</f>
        <v>0</v>
      </c>
      <c r="X2678" s="1" t="str">
        <f>IF(Table1[[#This Row],[DUT Read]]="","N/A",Table1[[#This Row],[Std Error]]+Table1[[#This Row],[DUT Read]]+Table1[[#This Row],[DUT Ucty]])</f>
        <v>N/A</v>
      </c>
      <c r="Y2678" s="1" t="str">
        <f>IF(Table1[[#This Row],[Std Read]]="","N/A",Table1[[#This Row],[Std Read]]+Table1[[#This Row],[Std Ucty]])</f>
        <v>N/A</v>
      </c>
      <c r="Z26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8" s="1" t="str">
        <f>IF(Table1[[#This Row],[Spec Type]]="","N/A",Table1[[#This Row],[Spec Type]])</f>
        <v>±</v>
      </c>
      <c r="AC2678" s="1" t="str">
        <f>IF(Table1[[#This Row],[Spec Type2]]="N/A","N/A",IF(AND(Table1[[#This Row],[DUT Adj Read]]&gt;=Table1[[#This Row],[Low Tol]],Table1[[#This Row],[DUT Adj Read]]&lt;=Table1[[#This Row],[High Tol]]),"Pass","Fail"))</f>
        <v>Fail</v>
      </c>
      <c r="AD2678" s="1" t="str">
        <f>IF(AND(Table1[[#This Row],[Spec Type2]]="N/A",Table1[[#This Row],[DUT Adj Read]]="N/A",Table1[[#This Row],[Std Adj Read]]="N/A"),"N/A",IF(Table1[[#This Row],[DUT Adj Read]]="N/A",IF(Table1[[#This Row],[Std Adj Read]]&gt;Table1[[#This Row],[Low Tol]],"Pass","Fail"),IF(Table1[[#This Row],[DUT Adj Read]]&gt;Table1[[#This Row],[Low Tol]],"Pass","Fail")))</f>
        <v>Pass</v>
      </c>
      <c r="AE2678" s="1" t="str">
        <f>IF(AND(Table1[[#This Row],[Spec Type2]]="N/A",Table1[[#This Row],[DUT Adj Read]]="N/A",Table1[[#This Row],[Std Adj Read]]="N/A"),"N/A",IF(Table1[[#This Row],[DUT Adj Read]]="N/A",IF(Table1[[#This Row],[Std Adj Read]]&lt;Table1[[#This Row],[High Tol]],"Pass","Fail"),IF(Table1[[#This Row],[DUT Adj Read]]&lt;Table1[[#This Row],[High Tol]],"Pass","Fail")))</f>
        <v>Fail</v>
      </c>
      <c r="AF2678" s="1" t="str">
        <f>IF(AND(Table1[[#This Row],[Spec Type2]]="N/A",Table1[[#This Row],[DUT Adj Read]]="N/A",Table1[[#This Row],[Std Adj Read]]="N/A"),"N/A",IF(Table1[[#This Row],[DUT Adj Read]]="N/A",IF(Table1[[#This Row],[Std Adj Read]]&gt;=Table1[[#This Row],[Low Tol]],"Pass","Fail"),IF(Table1[[#This Row],[DUT Adj Read]]&gt;=Table1[[#This Row],[Low Tol]],"Pass","Fail")))</f>
        <v>Pass</v>
      </c>
      <c r="AG2678" s="1" t="str">
        <f>IF(AND(Table1[[#This Row],[Spec Type2]]="N/A",Table1[[#This Row],[DUT Adj Read]]="N/A",Table1[[#This Row],[Std Adj Read]]="N/A"),"N/A",IF(Table1[[#This Row],[DUT Adj Read]]="N/A",IF(Table1[[#This Row],[Std Adj Read]]&lt;=Table1[[#This Row],[High Tol]],"Pass","Fail"),IF(Table1[[#This Row],[DUT Adj Read]]&lt;=Table1[[#This Row],[High Tol]],"Pass","Fail")))</f>
        <v>Fail</v>
      </c>
      <c r="AH26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8" s="1" t="b">
        <v>0</v>
      </c>
      <c r="AN2678" s="1" t="b">
        <v>0</v>
      </c>
      <c r="AO2678" s="1" t="b">
        <v>0</v>
      </c>
    </row>
    <row r="2679" spans="1:41" x14ac:dyDescent="0.25">
      <c r="A2679" s="10"/>
      <c r="B2679" s="10"/>
      <c r="C2679" s="10"/>
      <c r="D2679" s="10"/>
      <c r="E2679" s="10"/>
      <c r="F2679" s="10"/>
      <c r="G2679" s="10"/>
      <c r="H2679" s="10"/>
      <c r="I2679" s="1" t="str">
        <f t="shared" si="123"/>
        <v/>
      </c>
      <c r="J2679" s="1" t="s">
        <v>35</v>
      </c>
      <c r="K2679" s="1" t="str">
        <f t="shared" si="124"/>
        <v/>
      </c>
      <c r="L2679" s="1" t="str">
        <f t="shared" si="125"/>
        <v/>
      </c>
      <c r="M2679" s="1">
        <f>IF(OR(Table1[[#This Row],[Std Nom]]="",Table1[[#This Row],[Std Read]]=""),0,Table1[[#This Row],[Std Nom]]-Table1[[#This Row],[Std Read]])</f>
        <v>0</v>
      </c>
      <c r="N2679" s="1">
        <f>IF(Calculations!$F$5="ACCREDITED 17025 WITH UNCERTAINTIES",$N$10,0)</f>
        <v>0</v>
      </c>
      <c r="Q2679" s="1">
        <f>Table1[[#This Row],[High Tol]]-Table1[[#This Row],[Low Tol]]</f>
        <v>0</v>
      </c>
      <c r="R2679" s="1">
        <f>2*Table1[[#This Row],[Std Error]]</f>
        <v>0</v>
      </c>
      <c r="S2679" s="1" t="str">
        <f>IF(Table1[[#This Row],[High Tol]]="","N/A",IFERROR(ABS(Table1[[#This Row],[Tol Span]]/Table1[[#This Row],[Error Span]]),"N/A"))</f>
        <v>N/A</v>
      </c>
      <c r="T2679" s="1" t="str">
        <f>IF(OR(Table1[[#This Row],[Low Tol]]="",Table1[[#This Row],[High Tol]]=""),"Needs Analysis",IF(Table1[[#This Row],[Ratio]]&gt;=4,"Not Significant",IF(Table1[[#This Row],[Ratio]]&gt;=2,"Semi-Significant","Significant")))</f>
        <v>Needs Analysis</v>
      </c>
      <c r="W2679" s="1">
        <f>IF(Table1[[#This Row],[Cal Type]]&lt;&gt;"ACCREDITED 17025 WITH UNCERTAINTIES",0,"")</f>
        <v>0</v>
      </c>
      <c r="X2679" s="1" t="str">
        <f>IF(Table1[[#This Row],[DUT Read]]="","N/A",Table1[[#This Row],[Std Error]]+Table1[[#This Row],[DUT Read]]+Table1[[#This Row],[DUT Ucty]])</f>
        <v>N/A</v>
      </c>
      <c r="Y2679" s="1" t="str">
        <f>IF(Table1[[#This Row],[Std Read]]="","N/A",Table1[[#This Row],[Std Read]]+Table1[[#This Row],[Std Ucty]])</f>
        <v>N/A</v>
      </c>
      <c r="Z26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79" s="1" t="str">
        <f>IF(Table1[[#This Row],[Spec Type]]="","N/A",Table1[[#This Row],[Spec Type]])</f>
        <v>±</v>
      </c>
      <c r="AC2679" s="1" t="str">
        <f>IF(Table1[[#This Row],[Spec Type2]]="N/A","N/A",IF(AND(Table1[[#This Row],[DUT Adj Read]]&gt;=Table1[[#This Row],[Low Tol]],Table1[[#This Row],[DUT Adj Read]]&lt;=Table1[[#This Row],[High Tol]]),"Pass","Fail"))</f>
        <v>Fail</v>
      </c>
      <c r="AD2679" s="1" t="str">
        <f>IF(AND(Table1[[#This Row],[Spec Type2]]="N/A",Table1[[#This Row],[DUT Adj Read]]="N/A",Table1[[#This Row],[Std Adj Read]]="N/A"),"N/A",IF(Table1[[#This Row],[DUT Adj Read]]="N/A",IF(Table1[[#This Row],[Std Adj Read]]&gt;Table1[[#This Row],[Low Tol]],"Pass","Fail"),IF(Table1[[#This Row],[DUT Adj Read]]&gt;Table1[[#This Row],[Low Tol]],"Pass","Fail")))</f>
        <v>Pass</v>
      </c>
      <c r="AE2679" s="1" t="str">
        <f>IF(AND(Table1[[#This Row],[Spec Type2]]="N/A",Table1[[#This Row],[DUT Adj Read]]="N/A",Table1[[#This Row],[Std Adj Read]]="N/A"),"N/A",IF(Table1[[#This Row],[DUT Adj Read]]="N/A",IF(Table1[[#This Row],[Std Adj Read]]&lt;Table1[[#This Row],[High Tol]],"Pass","Fail"),IF(Table1[[#This Row],[DUT Adj Read]]&lt;Table1[[#This Row],[High Tol]],"Pass","Fail")))</f>
        <v>Fail</v>
      </c>
      <c r="AF2679" s="1" t="str">
        <f>IF(AND(Table1[[#This Row],[Spec Type2]]="N/A",Table1[[#This Row],[DUT Adj Read]]="N/A",Table1[[#This Row],[Std Adj Read]]="N/A"),"N/A",IF(Table1[[#This Row],[DUT Adj Read]]="N/A",IF(Table1[[#This Row],[Std Adj Read]]&gt;=Table1[[#This Row],[Low Tol]],"Pass","Fail"),IF(Table1[[#This Row],[DUT Adj Read]]&gt;=Table1[[#This Row],[Low Tol]],"Pass","Fail")))</f>
        <v>Pass</v>
      </c>
      <c r="AG2679" s="1" t="str">
        <f>IF(AND(Table1[[#This Row],[Spec Type2]]="N/A",Table1[[#This Row],[DUT Adj Read]]="N/A",Table1[[#This Row],[Std Adj Read]]="N/A"),"N/A",IF(Table1[[#This Row],[DUT Adj Read]]="N/A",IF(Table1[[#This Row],[Std Adj Read]]&lt;=Table1[[#This Row],[High Tol]],"Pass","Fail"),IF(Table1[[#This Row],[DUT Adj Read]]&lt;=Table1[[#This Row],[High Tol]],"Pass","Fail")))</f>
        <v>Fail</v>
      </c>
      <c r="AH26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79" s="1" t="b">
        <v>0</v>
      </c>
      <c r="AN2679" s="1" t="b">
        <v>0</v>
      </c>
      <c r="AO2679" s="1" t="b">
        <v>0</v>
      </c>
    </row>
    <row r="2680" spans="1:41" x14ac:dyDescent="0.25">
      <c r="A2680" s="10"/>
      <c r="B2680" s="10"/>
      <c r="C2680" s="10"/>
      <c r="D2680" s="10"/>
      <c r="E2680" s="10"/>
      <c r="F2680" s="10"/>
      <c r="G2680" s="10"/>
      <c r="H2680" s="10"/>
      <c r="I2680" s="1" t="str">
        <f t="shared" si="123"/>
        <v/>
      </c>
      <c r="J2680" s="1" t="s">
        <v>35</v>
      </c>
      <c r="K2680" s="1" t="str">
        <f t="shared" si="124"/>
        <v/>
      </c>
      <c r="L2680" s="1" t="str">
        <f t="shared" si="125"/>
        <v/>
      </c>
      <c r="M2680" s="1">
        <f>IF(OR(Table1[[#This Row],[Std Nom]]="",Table1[[#This Row],[Std Read]]=""),0,Table1[[#This Row],[Std Nom]]-Table1[[#This Row],[Std Read]])</f>
        <v>0</v>
      </c>
      <c r="N2680" s="1">
        <f>IF(Calculations!$F$5="ACCREDITED 17025 WITH UNCERTAINTIES",$N$10,0)</f>
        <v>0</v>
      </c>
      <c r="Q2680" s="1">
        <f>Table1[[#This Row],[High Tol]]-Table1[[#This Row],[Low Tol]]</f>
        <v>0</v>
      </c>
      <c r="R2680" s="1">
        <f>2*Table1[[#This Row],[Std Error]]</f>
        <v>0</v>
      </c>
      <c r="S2680" s="1" t="str">
        <f>IF(Table1[[#This Row],[High Tol]]="","N/A",IFERROR(ABS(Table1[[#This Row],[Tol Span]]/Table1[[#This Row],[Error Span]]),"N/A"))</f>
        <v>N/A</v>
      </c>
      <c r="T2680" s="1" t="str">
        <f>IF(OR(Table1[[#This Row],[Low Tol]]="",Table1[[#This Row],[High Tol]]=""),"Needs Analysis",IF(Table1[[#This Row],[Ratio]]&gt;=4,"Not Significant",IF(Table1[[#This Row],[Ratio]]&gt;=2,"Semi-Significant","Significant")))</f>
        <v>Needs Analysis</v>
      </c>
      <c r="W2680" s="1">
        <f>IF(Table1[[#This Row],[Cal Type]]&lt;&gt;"ACCREDITED 17025 WITH UNCERTAINTIES",0,"")</f>
        <v>0</v>
      </c>
      <c r="X2680" s="1" t="str">
        <f>IF(Table1[[#This Row],[DUT Read]]="","N/A",Table1[[#This Row],[Std Error]]+Table1[[#This Row],[DUT Read]]+Table1[[#This Row],[DUT Ucty]])</f>
        <v>N/A</v>
      </c>
      <c r="Y2680" s="1" t="str">
        <f>IF(Table1[[#This Row],[Std Read]]="","N/A",Table1[[#This Row],[Std Read]]+Table1[[#This Row],[Std Ucty]])</f>
        <v>N/A</v>
      </c>
      <c r="Z26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0" s="1" t="str">
        <f>IF(Table1[[#This Row],[Spec Type]]="","N/A",Table1[[#This Row],[Spec Type]])</f>
        <v>±</v>
      </c>
      <c r="AC2680" s="1" t="str">
        <f>IF(Table1[[#This Row],[Spec Type2]]="N/A","N/A",IF(AND(Table1[[#This Row],[DUT Adj Read]]&gt;=Table1[[#This Row],[Low Tol]],Table1[[#This Row],[DUT Adj Read]]&lt;=Table1[[#This Row],[High Tol]]),"Pass","Fail"))</f>
        <v>Fail</v>
      </c>
      <c r="AD2680" s="1" t="str">
        <f>IF(AND(Table1[[#This Row],[Spec Type2]]="N/A",Table1[[#This Row],[DUT Adj Read]]="N/A",Table1[[#This Row],[Std Adj Read]]="N/A"),"N/A",IF(Table1[[#This Row],[DUT Adj Read]]="N/A",IF(Table1[[#This Row],[Std Adj Read]]&gt;Table1[[#This Row],[Low Tol]],"Pass","Fail"),IF(Table1[[#This Row],[DUT Adj Read]]&gt;Table1[[#This Row],[Low Tol]],"Pass","Fail")))</f>
        <v>Pass</v>
      </c>
      <c r="AE2680" s="1" t="str">
        <f>IF(AND(Table1[[#This Row],[Spec Type2]]="N/A",Table1[[#This Row],[DUT Adj Read]]="N/A",Table1[[#This Row],[Std Adj Read]]="N/A"),"N/A",IF(Table1[[#This Row],[DUT Adj Read]]="N/A",IF(Table1[[#This Row],[Std Adj Read]]&lt;Table1[[#This Row],[High Tol]],"Pass","Fail"),IF(Table1[[#This Row],[DUT Adj Read]]&lt;Table1[[#This Row],[High Tol]],"Pass","Fail")))</f>
        <v>Fail</v>
      </c>
      <c r="AF2680" s="1" t="str">
        <f>IF(AND(Table1[[#This Row],[Spec Type2]]="N/A",Table1[[#This Row],[DUT Adj Read]]="N/A",Table1[[#This Row],[Std Adj Read]]="N/A"),"N/A",IF(Table1[[#This Row],[DUT Adj Read]]="N/A",IF(Table1[[#This Row],[Std Adj Read]]&gt;=Table1[[#This Row],[Low Tol]],"Pass","Fail"),IF(Table1[[#This Row],[DUT Adj Read]]&gt;=Table1[[#This Row],[Low Tol]],"Pass","Fail")))</f>
        <v>Pass</v>
      </c>
      <c r="AG2680" s="1" t="str">
        <f>IF(AND(Table1[[#This Row],[Spec Type2]]="N/A",Table1[[#This Row],[DUT Adj Read]]="N/A",Table1[[#This Row],[Std Adj Read]]="N/A"),"N/A",IF(Table1[[#This Row],[DUT Adj Read]]="N/A",IF(Table1[[#This Row],[Std Adj Read]]&lt;=Table1[[#This Row],[High Tol]],"Pass","Fail"),IF(Table1[[#This Row],[DUT Adj Read]]&lt;=Table1[[#This Row],[High Tol]],"Pass","Fail")))</f>
        <v>Fail</v>
      </c>
      <c r="AH26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0" s="1" t="b">
        <v>0</v>
      </c>
      <c r="AN2680" s="1" t="b">
        <v>0</v>
      </c>
      <c r="AO2680" s="1" t="b">
        <v>0</v>
      </c>
    </row>
    <row r="2681" spans="1:41" x14ac:dyDescent="0.25">
      <c r="A2681" s="10"/>
      <c r="B2681" s="10"/>
      <c r="C2681" s="10"/>
      <c r="D2681" s="10"/>
      <c r="E2681" s="10"/>
      <c r="F2681" s="10"/>
      <c r="G2681" s="10"/>
      <c r="H2681" s="10"/>
      <c r="I2681" s="1" t="str">
        <f t="shared" si="123"/>
        <v/>
      </c>
      <c r="J2681" s="1" t="s">
        <v>35</v>
      </c>
      <c r="K2681" s="1" t="str">
        <f t="shared" si="124"/>
        <v/>
      </c>
      <c r="L2681" s="1" t="str">
        <f t="shared" si="125"/>
        <v/>
      </c>
      <c r="M2681" s="1">
        <f>IF(OR(Table1[[#This Row],[Std Nom]]="",Table1[[#This Row],[Std Read]]=""),0,Table1[[#This Row],[Std Nom]]-Table1[[#This Row],[Std Read]])</f>
        <v>0</v>
      </c>
      <c r="N2681" s="1">
        <f>IF(Calculations!$F$5="ACCREDITED 17025 WITH UNCERTAINTIES",$N$10,0)</f>
        <v>0</v>
      </c>
      <c r="Q2681" s="1">
        <f>Table1[[#This Row],[High Tol]]-Table1[[#This Row],[Low Tol]]</f>
        <v>0</v>
      </c>
      <c r="R2681" s="1">
        <f>2*Table1[[#This Row],[Std Error]]</f>
        <v>0</v>
      </c>
      <c r="S2681" s="1" t="str">
        <f>IF(Table1[[#This Row],[High Tol]]="","N/A",IFERROR(ABS(Table1[[#This Row],[Tol Span]]/Table1[[#This Row],[Error Span]]),"N/A"))</f>
        <v>N/A</v>
      </c>
      <c r="T2681" s="1" t="str">
        <f>IF(OR(Table1[[#This Row],[Low Tol]]="",Table1[[#This Row],[High Tol]]=""),"Needs Analysis",IF(Table1[[#This Row],[Ratio]]&gt;=4,"Not Significant",IF(Table1[[#This Row],[Ratio]]&gt;=2,"Semi-Significant","Significant")))</f>
        <v>Needs Analysis</v>
      </c>
      <c r="W2681" s="1">
        <f>IF(Table1[[#This Row],[Cal Type]]&lt;&gt;"ACCREDITED 17025 WITH UNCERTAINTIES",0,"")</f>
        <v>0</v>
      </c>
      <c r="X2681" s="1" t="str">
        <f>IF(Table1[[#This Row],[DUT Read]]="","N/A",Table1[[#This Row],[Std Error]]+Table1[[#This Row],[DUT Read]]+Table1[[#This Row],[DUT Ucty]])</f>
        <v>N/A</v>
      </c>
      <c r="Y2681" s="1" t="str">
        <f>IF(Table1[[#This Row],[Std Read]]="","N/A",Table1[[#This Row],[Std Read]]+Table1[[#This Row],[Std Ucty]])</f>
        <v>N/A</v>
      </c>
      <c r="Z26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1" s="1" t="str">
        <f>IF(Table1[[#This Row],[Spec Type]]="","N/A",Table1[[#This Row],[Spec Type]])</f>
        <v>±</v>
      </c>
      <c r="AC2681" s="1" t="str">
        <f>IF(Table1[[#This Row],[Spec Type2]]="N/A","N/A",IF(AND(Table1[[#This Row],[DUT Adj Read]]&gt;=Table1[[#This Row],[Low Tol]],Table1[[#This Row],[DUT Adj Read]]&lt;=Table1[[#This Row],[High Tol]]),"Pass","Fail"))</f>
        <v>Fail</v>
      </c>
      <c r="AD2681" s="1" t="str">
        <f>IF(AND(Table1[[#This Row],[Spec Type2]]="N/A",Table1[[#This Row],[DUT Adj Read]]="N/A",Table1[[#This Row],[Std Adj Read]]="N/A"),"N/A",IF(Table1[[#This Row],[DUT Adj Read]]="N/A",IF(Table1[[#This Row],[Std Adj Read]]&gt;Table1[[#This Row],[Low Tol]],"Pass","Fail"),IF(Table1[[#This Row],[DUT Adj Read]]&gt;Table1[[#This Row],[Low Tol]],"Pass","Fail")))</f>
        <v>Pass</v>
      </c>
      <c r="AE2681" s="1" t="str">
        <f>IF(AND(Table1[[#This Row],[Spec Type2]]="N/A",Table1[[#This Row],[DUT Adj Read]]="N/A",Table1[[#This Row],[Std Adj Read]]="N/A"),"N/A",IF(Table1[[#This Row],[DUT Adj Read]]="N/A",IF(Table1[[#This Row],[Std Adj Read]]&lt;Table1[[#This Row],[High Tol]],"Pass","Fail"),IF(Table1[[#This Row],[DUT Adj Read]]&lt;Table1[[#This Row],[High Tol]],"Pass","Fail")))</f>
        <v>Fail</v>
      </c>
      <c r="AF2681" s="1" t="str">
        <f>IF(AND(Table1[[#This Row],[Spec Type2]]="N/A",Table1[[#This Row],[DUT Adj Read]]="N/A",Table1[[#This Row],[Std Adj Read]]="N/A"),"N/A",IF(Table1[[#This Row],[DUT Adj Read]]="N/A",IF(Table1[[#This Row],[Std Adj Read]]&gt;=Table1[[#This Row],[Low Tol]],"Pass","Fail"),IF(Table1[[#This Row],[DUT Adj Read]]&gt;=Table1[[#This Row],[Low Tol]],"Pass","Fail")))</f>
        <v>Pass</v>
      </c>
      <c r="AG2681" s="1" t="str">
        <f>IF(AND(Table1[[#This Row],[Spec Type2]]="N/A",Table1[[#This Row],[DUT Adj Read]]="N/A",Table1[[#This Row],[Std Adj Read]]="N/A"),"N/A",IF(Table1[[#This Row],[DUT Adj Read]]="N/A",IF(Table1[[#This Row],[Std Adj Read]]&lt;=Table1[[#This Row],[High Tol]],"Pass","Fail"),IF(Table1[[#This Row],[DUT Adj Read]]&lt;=Table1[[#This Row],[High Tol]],"Pass","Fail")))</f>
        <v>Fail</v>
      </c>
      <c r="AH26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1" s="1" t="b">
        <v>0</v>
      </c>
      <c r="AN2681" s="1" t="b">
        <v>0</v>
      </c>
      <c r="AO2681" s="1" t="b">
        <v>0</v>
      </c>
    </row>
    <row r="2682" spans="1:41" x14ac:dyDescent="0.25">
      <c r="A2682" s="10"/>
      <c r="B2682" s="10"/>
      <c r="C2682" s="10"/>
      <c r="D2682" s="10"/>
      <c r="E2682" s="10"/>
      <c r="F2682" s="10"/>
      <c r="G2682" s="10"/>
      <c r="H2682" s="10"/>
      <c r="I2682" s="1" t="str">
        <f t="shared" si="123"/>
        <v/>
      </c>
      <c r="J2682" s="1" t="s">
        <v>35</v>
      </c>
      <c r="K2682" s="1" t="str">
        <f t="shared" si="124"/>
        <v/>
      </c>
      <c r="L2682" s="1" t="str">
        <f t="shared" si="125"/>
        <v/>
      </c>
      <c r="M2682" s="1">
        <f>IF(OR(Table1[[#This Row],[Std Nom]]="",Table1[[#This Row],[Std Read]]=""),0,Table1[[#This Row],[Std Nom]]-Table1[[#This Row],[Std Read]])</f>
        <v>0</v>
      </c>
      <c r="N2682" s="1">
        <f>IF(Calculations!$F$5="ACCREDITED 17025 WITH UNCERTAINTIES",$N$10,0)</f>
        <v>0</v>
      </c>
      <c r="Q2682" s="1">
        <f>Table1[[#This Row],[High Tol]]-Table1[[#This Row],[Low Tol]]</f>
        <v>0</v>
      </c>
      <c r="R2682" s="1">
        <f>2*Table1[[#This Row],[Std Error]]</f>
        <v>0</v>
      </c>
      <c r="S2682" s="1" t="str">
        <f>IF(Table1[[#This Row],[High Tol]]="","N/A",IFERROR(ABS(Table1[[#This Row],[Tol Span]]/Table1[[#This Row],[Error Span]]),"N/A"))</f>
        <v>N/A</v>
      </c>
      <c r="T2682" s="1" t="str">
        <f>IF(OR(Table1[[#This Row],[Low Tol]]="",Table1[[#This Row],[High Tol]]=""),"Needs Analysis",IF(Table1[[#This Row],[Ratio]]&gt;=4,"Not Significant",IF(Table1[[#This Row],[Ratio]]&gt;=2,"Semi-Significant","Significant")))</f>
        <v>Needs Analysis</v>
      </c>
      <c r="W2682" s="1">
        <f>IF(Table1[[#This Row],[Cal Type]]&lt;&gt;"ACCREDITED 17025 WITH UNCERTAINTIES",0,"")</f>
        <v>0</v>
      </c>
      <c r="X2682" s="1" t="str">
        <f>IF(Table1[[#This Row],[DUT Read]]="","N/A",Table1[[#This Row],[Std Error]]+Table1[[#This Row],[DUT Read]]+Table1[[#This Row],[DUT Ucty]])</f>
        <v>N/A</v>
      </c>
      <c r="Y2682" s="1" t="str">
        <f>IF(Table1[[#This Row],[Std Read]]="","N/A",Table1[[#This Row],[Std Read]]+Table1[[#This Row],[Std Ucty]])</f>
        <v>N/A</v>
      </c>
      <c r="Z26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2" s="1" t="str">
        <f>IF(Table1[[#This Row],[Spec Type]]="","N/A",Table1[[#This Row],[Spec Type]])</f>
        <v>±</v>
      </c>
      <c r="AC2682" s="1" t="str">
        <f>IF(Table1[[#This Row],[Spec Type2]]="N/A","N/A",IF(AND(Table1[[#This Row],[DUT Adj Read]]&gt;=Table1[[#This Row],[Low Tol]],Table1[[#This Row],[DUT Adj Read]]&lt;=Table1[[#This Row],[High Tol]]),"Pass","Fail"))</f>
        <v>Fail</v>
      </c>
      <c r="AD2682" s="1" t="str">
        <f>IF(AND(Table1[[#This Row],[Spec Type2]]="N/A",Table1[[#This Row],[DUT Adj Read]]="N/A",Table1[[#This Row],[Std Adj Read]]="N/A"),"N/A",IF(Table1[[#This Row],[DUT Adj Read]]="N/A",IF(Table1[[#This Row],[Std Adj Read]]&gt;Table1[[#This Row],[Low Tol]],"Pass","Fail"),IF(Table1[[#This Row],[DUT Adj Read]]&gt;Table1[[#This Row],[Low Tol]],"Pass","Fail")))</f>
        <v>Pass</v>
      </c>
      <c r="AE2682" s="1" t="str">
        <f>IF(AND(Table1[[#This Row],[Spec Type2]]="N/A",Table1[[#This Row],[DUT Adj Read]]="N/A",Table1[[#This Row],[Std Adj Read]]="N/A"),"N/A",IF(Table1[[#This Row],[DUT Adj Read]]="N/A",IF(Table1[[#This Row],[Std Adj Read]]&lt;Table1[[#This Row],[High Tol]],"Pass","Fail"),IF(Table1[[#This Row],[DUT Adj Read]]&lt;Table1[[#This Row],[High Tol]],"Pass","Fail")))</f>
        <v>Fail</v>
      </c>
      <c r="AF2682" s="1" t="str">
        <f>IF(AND(Table1[[#This Row],[Spec Type2]]="N/A",Table1[[#This Row],[DUT Adj Read]]="N/A",Table1[[#This Row],[Std Adj Read]]="N/A"),"N/A",IF(Table1[[#This Row],[DUT Adj Read]]="N/A",IF(Table1[[#This Row],[Std Adj Read]]&gt;=Table1[[#This Row],[Low Tol]],"Pass","Fail"),IF(Table1[[#This Row],[DUT Adj Read]]&gt;=Table1[[#This Row],[Low Tol]],"Pass","Fail")))</f>
        <v>Pass</v>
      </c>
      <c r="AG2682" s="1" t="str">
        <f>IF(AND(Table1[[#This Row],[Spec Type2]]="N/A",Table1[[#This Row],[DUT Adj Read]]="N/A",Table1[[#This Row],[Std Adj Read]]="N/A"),"N/A",IF(Table1[[#This Row],[DUT Adj Read]]="N/A",IF(Table1[[#This Row],[Std Adj Read]]&lt;=Table1[[#This Row],[High Tol]],"Pass","Fail"),IF(Table1[[#This Row],[DUT Adj Read]]&lt;=Table1[[#This Row],[High Tol]],"Pass","Fail")))</f>
        <v>Fail</v>
      </c>
      <c r="AH26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2" s="1" t="b">
        <v>0</v>
      </c>
      <c r="AN2682" s="1" t="b">
        <v>0</v>
      </c>
      <c r="AO2682" s="1" t="b">
        <v>0</v>
      </c>
    </row>
    <row r="2683" spans="1:41" x14ac:dyDescent="0.25">
      <c r="A2683" s="10"/>
      <c r="B2683" s="10"/>
      <c r="C2683" s="10"/>
      <c r="D2683" s="10"/>
      <c r="E2683" s="10"/>
      <c r="F2683" s="10"/>
      <c r="G2683" s="10"/>
      <c r="H2683" s="10"/>
      <c r="I2683" s="1" t="str">
        <f t="shared" si="123"/>
        <v/>
      </c>
      <c r="J2683" s="1" t="s">
        <v>35</v>
      </c>
      <c r="K2683" s="1" t="str">
        <f t="shared" si="124"/>
        <v/>
      </c>
      <c r="L2683" s="1" t="str">
        <f t="shared" si="125"/>
        <v/>
      </c>
      <c r="M2683" s="1">
        <f>IF(OR(Table1[[#This Row],[Std Nom]]="",Table1[[#This Row],[Std Read]]=""),0,Table1[[#This Row],[Std Nom]]-Table1[[#This Row],[Std Read]])</f>
        <v>0</v>
      </c>
      <c r="N2683" s="1">
        <f>IF(Calculations!$F$5="ACCREDITED 17025 WITH UNCERTAINTIES",$N$10,0)</f>
        <v>0</v>
      </c>
      <c r="Q2683" s="1">
        <f>Table1[[#This Row],[High Tol]]-Table1[[#This Row],[Low Tol]]</f>
        <v>0</v>
      </c>
      <c r="R2683" s="1">
        <f>2*Table1[[#This Row],[Std Error]]</f>
        <v>0</v>
      </c>
      <c r="S2683" s="1" t="str">
        <f>IF(Table1[[#This Row],[High Tol]]="","N/A",IFERROR(ABS(Table1[[#This Row],[Tol Span]]/Table1[[#This Row],[Error Span]]),"N/A"))</f>
        <v>N/A</v>
      </c>
      <c r="T2683" s="1" t="str">
        <f>IF(OR(Table1[[#This Row],[Low Tol]]="",Table1[[#This Row],[High Tol]]=""),"Needs Analysis",IF(Table1[[#This Row],[Ratio]]&gt;=4,"Not Significant",IF(Table1[[#This Row],[Ratio]]&gt;=2,"Semi-Significant","Significant")))</f>
        <v>Needs Analysis</v>
      </c>
      <c r="W2683" s="1">
        <f>IF(Table1[[#This Row],[Cal Type]]&lt;&gt;"ACCREDITED 17025 WITH UNCERTAINTIES",0,"")</f>
        <v>0</v>
      </c>
      <c r="X2683" s="1" t="str">
        <f>IF(Table1[[#This Row],[DUT Read]]="","N/A",Table1[[#This Row],[Std Error]]+Table1[[#This Row],[DUT Read]]+Table1[[#This Row],[DUT Ucty]])</f>
        <v>N/A</v>
      </c>
      <c r="Y2683" s="1" t="str">
        <f>IF(Table1[[#This Row],[Std Read]]="","N/A",Table1[[#This Row],[Std Read]]+Table1[[#This Row],[Std Ucty]])</f>
        <v>N/A</v>
      </c>
      <c r="Z26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3" s="1" t="str">
        <f>IF(Table1[[#This Row],[Spec Type]]="","N/A",Table1[[#This Row],[Spec Type]])</f>
        <v>±</v>
      </c>
      <c r="AC2683" s="1" t="str">
        <f>IF(Table1[[#This Row],[Spec Type2]]="N/A","N/A",IF(AND(Table1[[#This Row],[DUT Adj Read]]&gt;=Table1[[#This Row],[Low Tol]],Table1[[#This Row],[DUT Adj Read]]&lt;=Table1[[#This Row],[High Tol]]),"Pass","Fail"))</f>
        <v>Fail</v>
      </c>
      <c r="AD2683" s="1" t="str">
        <f>IF(AND(Table1[[#This Row],[Spec Type2]]="N/A",Table1[[#This Row],[DUT Adj Read]]="N/A",Table1[[#This Row],[Std Adj Read]]="N/A"),"N/A",IF(Table1[[#This Row],[DUT Adj Read]]="N/A",IF(Table1[[#This Row],[Std Adj Read]]&gt;Table1[[#This Row],[Low Tol]],"Pass","Fail"),IF(Table1[[#This Row],[DUT Adj Read]]&gt;Table1[[#This Row],[Low Tol]],"Pass","Fail")))</f>
        <v>Pass</v>
      </c>
      <c r="AE2683" s="1" t="str">
        <f>IF(AND(Table1[[#This Row],[Spec Type2]]="N/A",Table1[[#This Row],[DUT Adj Read]]="N/A",Table1[[#This Row],[Std Adj Read]]="N/A"),"N/A",IF(Table1[[#This Row],[DUT Adj Read]]="N/A",IF(Table1[[#This Row],[Std Adj Read]]&lt;Table1[[#This Row],[High Tol]],"Pass","Fail"),IF(Table1[[#This Row],[DUT Adj Read]]&lt;Table1[[#This Row],[High Tol]],"Pass","Fail")))</f>
        <v>Fail</v>
      </c>
      <c r="AF2683" s="1" t="str">
        <f>IF(AND(Table1[[#This Row],[Spec Type2]]="N/A",Table1[[#This Row],[DUT Adj Read]]="N/A",Table1[[#This Row],[Std Adj Read]]="N/A"),"N/A",IF(Table1[[#This Row],[DUT Adj Read]]="N/A",IF(Table1[[#This Row],[Std Adj Read]]&gt;=Table1[[#This Row],[Low Tol]],"Pass","Fail"),IF(Table1[[#This Row],[DUT Adj Read]]&gt;=Table1[[#This Row],[Low Tol]],"Pass","Fail")))</f>
        <v>Pass</v>
      </c>
      <c r="AG2683" s="1" t="str">
        <f>IF(AND(Table1[[#This Row],[Spec Type2]]="N/A",Table1[[#This Row],[DUT Adj Read]]="N/A",Table1[[#This Row],[Std Adj Read]]="N/A"),"N/A",IF(Table1[[#This Row],[DUT Adj Read]]="N/A",IF(Table1[[#This Row],[Std Adj Read]]&lt;=Table1[[#This Row],[High Tol]],"Pass","Fail"),IF(Table1[[#This Row],[DUT Adj Read]]&lt;=Table1[[#This Row],[High Tol]],"Pass","Fail")))</f>
        <v>Fail</v>
      </c>
      <c r="AH26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3" s="1" t="b">
        <v>0</v>
      </c>
      <c r="AN2683" s="1" t="b">
        <v>0</v>
      </c>
      <c r="AO2683" s="1" t="b">
        <v>0</v>
      </c>
    </row>
    <row r="2684" spans="1:41" x14ac:dyDescent="0.25">
      <c r="A2684" s="10"/>
      <c r="B2684" s="10"/>
      <c r="C2684" s="10"/>
      <c r="D2684" s="10"/>
      <c r="E2684" s="10"/>
      <c r="F2684" s="10"/>
      <c r="G2684" s="10"/>
      <c r="H2684" s="10"/>
      <c r="I2684" s="1" t="str">
        <f t="shared" si="123"/>
        <v/>
      </c>
      <c r="J2684" s="1" t="s">
        <v>35</v>
      </c>
      <c r="K2684" s="1" t="str">
        <f t="shared" si="124"/>
        <v/>
      </c>
      <c r="L2684" s="1" t="str">
        <f t="shared" si="125"/>
        <v/>
      </c>
      <c r="M2684" s="1">
        <f>IF(OR(Table1[[#This Row],[Std Nom]]="",Table1[[#This Row],[Std Read]]=""),0,Table1[[#This Row],[Std Nom]]-Table1[[#This Row],[Std Read]])</f>
        <v>0</v>
      </c>
      <c r="N2684" s="1">
        <f>IF(Calculations!$F$5="ACCREDITED 17025 WITH UNCERTAINTIES",$N$10,0)</f>
        <v>0</v>
      </c>
      <c r="Q2684" s="1">
        <f>Table1[[#This Row],[High Tol]]-Table1[[#This Row],[Low Tol]]</f>
        <v>0</v>
      </c>
      <c r="R2684" s="1">
        <f>2*Table1[[#This Row],[Std Error]]</f>
        <v>0</v>
      </c>
      <c r="S2684" s="1" t="str">
        <f>IF(Table1[[#This Row],[High Tol]]="","N/A",IFERROR(ABS(Table1[[#This Row],[Tol Span]]/Table1[[#This Row],[Error Span]]),"N/A"))</f>
        <v>N/A</v>
      </c>
      <c r="T2684" s="1" t="str">
        <f>IF(OR(Table1[[#This Row],[Low Tol]]="",Table1[[#This Row],[High Tol]]=""),"Needs Analysis",IF(Table1[[#This Row],[Ratio]]&gt;=4,"Not Significant",IF(Table1[[#This Row],[Ratio]]&gt;=2,"Semi-Significant","Significant")))</f>
        <v>Needs Analysis</v>
      </c>
      <c r="W2684" s="1">
        <f>IF(Table1[[#This Row],[Cal Type]]&lt;&gt;"ACCREDITED 17025 WITH UNCERTAINTIES",0,"")</f>
        <v>0</v>
      </c>
      <c r="X2684" s="1" t="str">
        <f>IF(Table1[[#This Row],[DUT Read]]="","N/A",Table1[[#This Row],[Std Error]]+Table1[[#This Row],[DUT Read]]+Table1[[#This Row],[DUT Ucty]])</f>
        <v>N/A</v>
      </c>
      <c r="Y2684" s="1" t="str">
        <f>IF(Table1[[#This Row],[Std Read]]="","N/A",Table1[[#This Row],[Std Read]]+Table1[[#This Row],[Std Ucty]])</f>
        <v>N/A</v>
      </c>
      <c r="Z26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4" s="1" t="str">
        <f>IF(Table1[[#This Row],[Spec Type]]="","N/A",Table1[[#This Row],[Spec Type]])</f>
        <v>±</v>
      </c>
      <c r="AC2684" s="1" t="str">
        <f>IF(Table1[[#This Row],[Spec Type2]]="N/A","N/A",IF(AND(Table1[[#This Row],[DUT Adj Read]]&gt;=Table1[[#This Row],[Low Tol]],Table1[[#This Row],[DUT Adj Read]]&lt;=Table1[[#This Row],[High Tol]]),"Pass","Fail"))</f>
        <v>Fail</v>
      </c>
      <c r="AD2684" s="1" t="str">
        <f>IF(AND(Table1[[#This Row],[Spec Type2]]="N/A",Table1[[#This Row],[DUT Adj Read]]="N/A",Table1[[#This Row],[Std Adj Read]]="N/A"),"N/A",IF(Table1[[#This Row],[DUT Adj Read]]="N/A",IF(Table1[[#This Row],[Std Adj Read]]&gt;Table1[[#This Row],[Low Tol]],"Pass","Fail"),IF(Table1[[#This Row],[DUT Adj Read]]&gt;Table1[[#This Row],[Low Tol]],"Pass","Fail")))</f>
        <v>Pass</v>
      </c>
      <c r="AE2684" s="1" t="str">
        <f>IF(AND(Table1[[#This Row],[Spec Type2]]="N/A",Table1[[#This Row],[DUT Adj Read]]="N/A",Table1[[#This Row],[Std Adj Read]]="N/A"),"N/A",IF(Table1[[#This Row],[DUT Adj Read]]="N/A",IF(Table1[[#This Row],[Std Adj Read]]&lt;Table1[[#This Row],[High Tol]],"Pass","Fail"),IF(Table1[[#This Row],[DUT Adj Read]]&lt;Table1[[#This Row],[High Tol]],"Pass","Fail")))</f>
        <v>Fail</v>
      </c>
      <c r="AF2684" s="1" t="str">
        <f>IF(AND(Table1[[#This Row],[Spec Type2]]="N/A",Table1[[#This Row],[DUT Adj Read]]="N/A",Table1[[#This Row],[Std Adj Read]]="N/A"),"N/A",IF(Table1[[#This Row],[DUT Adj Read]]="N/A",IF(Table1[[#This Row],[Std Adj Read]]&gt;=Table1[[#This Row],[Low Tol]],"Pass","Fail"),IF(Table1[[#This Row],[DUT Adj Read]]&gt;=Table1[[#This Row],[Low Tol]],"Pass","Fail")))</f>
        <v>Pass</v>
      </c>
      <c r="AG2684" s="1" t="str">
        <f>IF(AND(Table1[[#This Row],[Spec Type2]]="N/A",Table1[[#This Row],[DUT Adj Read]]="N/A",Table1[[#This Row],[Std Adj Read]]="N/A"),"N/A",IF(Table1[[#This Row],[DUT Adj Read]]="N/A",IF(Table1[[#This Row],[Std Adj Read]]&lt;=Table1[[#This Row],[High Tol]],"Pass","Fail"),IF(Table1[[#This Row],[DUT Adj Read]]&lt;=Table1[[#This Row],[High Tol]],"Pass","Fail")))</f>
        <v>Fail</v>
      </c>
      <c r="AH26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4" s="1" t="b">
        <v>0</v>
      </c>
      <c r="AN2684" s="1" t="b">
        <v>0</v>
      </c>
      <c r="AO2684" s="1" t="b">
        <v>0</v>
      </c>
    </row>
    <row r="2685" spans="1:41" x14ac:dyDescent="0.25">
      <c r="A2685" s="10"/>
      <c r="B2685" s="10"/>
      <c r="C2685" s="10"/>
      <c r="D2685" s="10"/>
      <c r="E2685" s="10"/>
      <c r="F2685" s="10"/>
      <c r="G2685" s="10"/>
      <c r="H2685" s="10"/>
      <c r="I2685" s="1" t="str">
        <f t="shared" si="123"/>
        <v/>
      </c>
      <c r="J2685" s="1" t="s">
        <v>35</v>
      </c>
      <c r="K2685" s="1" t="str">
        <f t="shared" si="124"/>
        <v/>
      </c>
      <c r="L2685" s="1" t="str">
        <f t="shared" si="125"/>
        <v/>
      </c>
      <c r="M2685" s="1">
        <f>IF(OR(Table1[[#This Row],[Std Nom]]="",Table1[[#This Row],[Std Read]]=""),0,Table1[[#This Row],[Std Nom]]-Table1[[#This Row],[Std Read]])</f>
        <v>0</v>
      </c>
      <c r="N2685" s="1">
        <f>IF(Calculations!$F$5="ACCREDITED 17025 WITH UNCERTAINTIES",$N$10,0)</f>
        <v>0</v>
      </c>
      <c r="Q2685" s="1">
        <f>Table1[[#This Row],[High Tol]]-Table1[[#This Row],[Low Tol]]</f>
        <v>0</v>
      </c>
      <c r="R2685" s="1">
        <f>2*Table1[[#This Row],[Std Error]]</f>
        <v>0</v>
      </c>
      <c r="S2685" s="1" t="str">
        <f>IF(Table1[[#This Row],[High Tol]]="","N/A",IFERROR(ABS(Table1[[#This Row],[Tol Span]]/Table1[[#This Row],[Error Span]]),"N/A"))</f>
        <v>N/A</v>
      </c>
      <c r="T2685" s="1" t="str">
        <f>IF(OR(Table1[[#This Row],[Low Tol]]="",Table1[[#This Row],[High Tol]]=""),"Needs Analysis",IF(Table1[[#This Row],[Ratio]]&gt;=4,"Not Significant",IF(Table1[[#This Row],[Ratio]]&gt;=2,"Semi-Significant","Significant")))</f>
        <v>Needs Analysis</v>
      </c>
      <c r="W2685" s="1">
        <f>IF(Table1[[#This Row],[Cal Type]]&lt;&gt;"ACCREDITED 17025 WITH UNCERTAINTIES",0,"")</f>
        <v>0</v>
      </c>
      <c r="X2685" s="1" t="str">
        <f>IF(Table1[[#This Row],[DUT Read]]="","N/A",Table1[[#This Row],[Std Error]]+Table1[[#This Row],[DUT Read]]+Table1[[#This Row],[DUT Ucty]])</f>
        <v>N/A</v>
      </c>
      <c r="Y2685" s="1" t="str">
        <f>IF(Table1[[#This Row],[Std Read]]="","N/A",Table1[[#This Row],[Std Read]]+Table1[[#This Row],[Std Ucty]])</f>
        <v>N/A</v>
      </c>
      <c r="Z26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5" s="1" t="str">
        <f>IF(Table1[[#This Row],[Spec Type]]="","N/A",Table1[[#This Row],[Spec Type]])</f>
        <v>±</v>
      </c>
      <c r="AC2685" s="1" t="str">
        <f>IF(Table1[[#This Row],[Spec Type2]]="N/A","N/A",IF(AND(Table1[[#This Row],[DUT Adj Read]]&gt;=Table1[[#This Row],[Low Tol]],Table1[[#This Row],[DUT Adj Read]]&lt;=Table1[[#This Row],[High Tol]]),"Pass","Fail"))</f>
        <v>Fail</v>
      </c>
      <c r="AD2685" s="1" t="str">
        <f>IF(AND(Table1[[#This Row],[Spec Type2]]="N/A",Table1[[#This Row],[DUT Adj Read]]="N/A",Table1[[#This Row],[Std Adj Read]]="N/A"),"N/A",IF(Table1[[#This Row],[DUT Adj Read]]="N/A",IF(Table1[[#This Row],[Std Adj Read]]&gt;Table1[[#This Row],[Low Tol]],"Pass","Fail"),IF(Table1[[#This Row],[DUT Adj Read]]&gt;Table1[[#This Row],[Low Tol]],"Pass","Fail")))</f>
        <v>Pass</v>
      </c>
      <c r="AE2685" s="1" t="str">
        <f>IF(AND(Table1[[#This Row],[Spec Type2]]="N/A",Table1[[#This Row],[DUT Adj Read]]="N/A",Table1[[#This Row],[Std Adj Read]]="N/A"),"N/A",IF(Table1[[#This Row],[DUT Adj Read]]="N/A",IF(Table1[[#This Row],[Std Adj Read]]&lt;Table1[[#This Row],[High Tol]],"Pass","Fail"),IF(Table1[[#This Row],[DUT Adj Read]]&lt;Table1[[#This Row],[High Tol]],"Pass","Fail")))</f>
        <v>Fail</v>
      </c>
      <c r="AF2685" s="1" t="str">
        <f>IF(AND(Table1[[#This Row],[Spec Type2]]="N/A",Table1[[#This Row],[DUT Adj Read]]="N/A",Table1[[#This Row],[Std Adj Read]]="N/A"),"N/A",IF(Table1[[#This Row],[DUT Adj Read]]="N/A",IF(Table1[[#This Row],[Std Adj Read]]&gt;=Table1[[#This Row],[Low Tol]],"Pass","Fail"),IF(Table1[[#This Row],[DUT Adj Read]]&gt;=Table1[[#This Row],[Low Tol]],"Pass","Fail")))</f>
        <v>Pass</v>
      </c>
      <c r="AG2685" s="1" t="str">
        <f>IF(AND(Table1[[#This Row],[Spec Type2]]="N/A",Table1[[#This Row],[DUT Adj Read]]="N/A",Table1[[#This Row],[Std Adj Read]]="N/A"),"N/A",IF(Table1[[#This Row],[DUT Adj Read]]="N/A",IF(Table1[[#This Row],[Std Adj Read]]&lt;=Table1[[#This Row],[High Tol]],"Pass","Fail"),IF(Table1[[#This Row],[DUT Adj Read]]&lt;=Table1[[#This Row],[High Tol]],"Pass","Fail")))</f>
        <v>Fail</v>
      </c>
      <c r="AH26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5" s="1" t="b">
        <v>0</v>
      </c>
      <c r="AN2685" s="1" t="b">
        <v>0</v>
      </c>
      <c r="AO2685" s="1" t="b">
        <v>0</v>
      </c>
    </row>
    <row r="2686" spans="1:41" x14ac:dyDescent="0.25">
      <c r="A2686" s="10"/>
      <c r="B2686" s="10"/>
      <c r="C2686" s="10"/>
      <c r="D2686" s="10"/>
      <c r="E2686" s="10"/>
      <c r="F2686" s="10"/>
      <c r="G2686" s="10"/>
      <c r="H2686" s="10"/>
      <c r="I2686" s="1" t="str">
        <f t="shared" si="123"/>
        <v/>
      </c>
      <c r="J2686" s="1" t="s">
        <v>35</v>
      </c>
      <c r="K2686" s="1" t="str">
        <f t="shared" si="124"/>
        <v/>
      </c>
      <c r="L2686" s="1" t="str">
        <f t="shared" si="125"/>
        <v/>
      </c>
      <c r="M2686" s="1">
        <f>IF(OR(Table1[[#This Row],[Std Nom]]="",Table1[[#This Row],[Std Read]]=""),0,Table1[[#This Row],[Std Nom]]-Table1[[#This Row],[Std Read]])</f>
        <v>0</v>
      </c>
      <c r="N2686" s="1">
        <f>IF(Calculations!$F$5="ACCREDITED 17025 WITH UNCERTAINTIES",$N$10,0)</f>
        <v>0</v>
      </c>
      <c r="Q2686" s="1">
        <f>Table1[[#This Row],[High Tol]]-Table1[[#This Row],[Low Tol]]</f>
        <v>0</v>
      </c>
      <c r="R2686" s="1">
        <f>2*Table1[[#This Row],[Std Error]]</f>
        <v>0</v>
      </c>
      <c r="S2686" s="1" t="str">
        <f>IF(Table1[[#This Row],[High Tol]]="","N/A",IFERROR(ABS(Table1[[#This Row],[Tol Span]]/Table1[[#This Row],[Error Span]]),"N/A"))</f>
        <v>N/A</v>
      </c>
      <c r="T2686" s="1" t="str">
        <f>IF(OR(Table1[[#This Row],[Low Tol]]="",Table1[[#This Row],[High Tol]]=""),"Needs Analysis",IF(Table1[[#This Row],[Ratio]]&gt;=4,"Not Significant",IF(Table1[[#This Row],[Ratio]]&gt;=2,"Semi-Significant","Significant")))</f>
        <v>Needs Analysis</v>
      </c>
      <c r="W2686" s="1">
        <f>IF(Table1[[#This Row],[Cal Type]]&lt;&gt;"ACCREDITED 17025 WITH UNCERTAINTIES",0,"")</f>
        <v>0</v>
      </c>
      <c r="X2686" s="1" t="str">
        <f>IF(Table1[[#This Row],[DUT Read]]="","N/A",Table1[[#This Row],[Std Error]]+Table1[[#This Row],[DUT Read]]+Table1[[#This Row],[DUT Ucty]])</f>
        <v>N/A</v>
      </c>
      <c r="Y2686" s="1" t="str">
        <f>IF(Table1[[#This Row],[Std Read]]="","N/A",Table1[[#This Row],[Std Read]]+Table1[[#This Row],[Std Ucty]])</f>
        <v>N/A</v>
      </c>
      <c r="Z26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6" s="1" t="str">
        <f>IF(Table1[[#This Row],[Spec Type]]="","N/A",Table1[[#This Row],[Spec Type]])</f>
        <v>±</v>
      </c>
      <c r="AC2686" s="1" t="str">
        <f>IF(Table1[[#This Row],[Spec Type2]]="N/A","N/A",IF(AND(Table1[[#This Row],[DUT Adj Read]]&gt;=Table1[[#This Row],[Low Tol]],Table1[[#This Row],[DUT Adj Read]]&lt;=Table1[[#This Row],[High Tol]]),"Pass","Fail"))</f>
        <v>Fail</v>
      </c>
      <c r="AD2686" s="1" t="str">
        <f>IF(AND(Table1[[#This Row],[Spec Type2]]="N/A",Table1[[#This Row],[DUT Adj Read]]="N/A",Table1[[#This Row],[Std Adj Read]]="N/A"),"N/A",IF(Table1[[#This Row],[DUT Adj Read]]="N/A",IF(Table1[[#This Row],[Std Adj Read]]&gt;Table1[[#This Row],[Low Tol]],"Pass","Fail"),IF(Table1[[#This Row],[DUT Adj Read]]&gt;Table1[[#This Row],[Low Tol]],"Pass","Fail")))</f>
        <v>Pass</v>
      </c>
      <c r="AE2686" s="1" t="str">
        <f>IF(AND(Table1[[#This Row],[Spec Type2]]="N/A",Table1[[#This Row],[DUT Adj Read]]="N/A",Table1[[#This Row],[Std Adj Read]]="N/A"),"N/A",IF(Table1[[#This Row],[DUT Adj Read]]="N/A",IF(Table1[[#This Row],[Std Adj Read]]&lt;Table1[[#This Row],[High Tol]],"Pass","Fail"),IF(Table1[[#This Row],[DUT Adj Read]]&lt;Table1[[#This Row],[High Tol]],"Pass","Fail")))</f>
        <v>Fail</v>
      </c>
      <c r="AF2686" s="1" t="str">
        <f>IF(AND(Table1[[#This Row],[Spec Type2]]="N/A",Table1[[#This Row],[DUT Adj Read]]="N/A",Table1[[#This Row],[Std Adj Read]]="N/A"),"N/A",IF(Table1[[#This Row],[DUT Adj Read]]="N/A",IF(Table1[[#This Row],[Std Adj Read]]&gt;=Table1[[#This Row],[Low Tol]],"Pass","Fail"),IF(Table1[[#This Row],[DUT Adj Read]]&gt;=Table1[[#This Row],[Low Tol]],"Pass","Fail")))</f>
        <v>Pass</v>
      </c>
      <c r="AG2686" s="1" t="str">
        <f>IF(AND(Table1[[#This Row],[Spec Type2]]="N/A",Table1[[#This Row],[DUT Adj Read]]="N/A",Table1[[#This Row],[Std Adj Read]]="N/A"),"N/A",IF(Table1[[#This Row],[DUT Adj Read]]="N/A",IF(Table1[[#This Row],[Std Adj Read]]&lt;=Table1[[#This Row],[High Tol]],"Pass","Fail"),IF(Table1[[#This Row],[DUT Adj Read]]&lt;=Table1[[#This Row],[High Tol]],"Pass","Fail")))</f>
        <v>Fail</v>
      </c>
      <c r="AH26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6" s="1" t="b">
        <v>0</v>
      </c>
      <c r="AN2686" s="1" t="b">
        <v>0</v>
      </c>
      <c r="AO2686" s="1" t="b">
        <v>0</v>
      </c>
    </row>
    <row r="2687" spans="1:41" x14ac:dyDescent="0.25">
      <c r="A2687" s="10"/>
      <c r="B2687" s="10"/>
      <c r="C2687" s="10"/>
      <c r="D2687" s="10"/>
      <c r="E2687" s="10"/>
      <c r="F2687" s="10"/>
      <c r="G2687" s="10"/>
      <c r="H2687" s="10"/>
      <c r="I2687" s="1" t="str">
        <f t="shared" si="123"/>
        <v/>
      </c>
      <c r="J2687" s="1" t="s">
        <v>35</v>
      </c>
      <c r="K2687" s="1" t="str">
        <f t="shared" si="124"/>
        <v/>
      </c>
      <c r="L2687" s="1" t="str">
        <f t="shared" si="125"/>
        <v/>
      </c>
      <c r="M2687" s="1">
        <f>IF(OR(Table1[[#This Row],[Std Nom]]="",Table1[[#This Row],[Std Read]]=""),0,Table1[[#This Row],[Std Nom]]-Table1[[#This Row],[Std Read]])</f>
        <v>0</v>
      </c>
      <c r="N2687" s="1">
        <f>IF(Calculations!$F$5="ACCREDITED 17025 WITH UNCERTAINTIES",$N$10,0)</f>
        <v>0</v>
      </c>
      <c r="Q2687" s="1">
        <f>Table1[[#This Row],[High Tol]]-Table1[[#This Row],[Low Tol]]</f>
        <v>0</v>
      </c>
      <c r="R2687" s="1">
        <f>2*Table1[[#This Row],[Std Error]]</f>
        <v>0</v>
      </c>
      <c r="S2687" s="1" t="str">
        <f>IF(Table1[[#This Row],[High Tol]]="","N/A",IFERROR(ABS(Table1[[#This Row],[Tol Span]]/Table1[[#This Row],[Error Span]]),"N/A"))</f>
        <v>N/A</v>
      </c>
      <c r="T2687" s="1" t="str">
        <f>IF(OR(Table1[[#This Row],[Low Tol]]="",Table1[[#This Row],[High Tol]]=""),"Needs Analysis",IF(Table1[[#This Row],[Ratio]]&gt;=4,"Not Significant",IF(Table1[[#This Row],[Ratio]]&gt;=2,"Semi-Significant","Significant")))</f>
        <v>Needs Analysis</v>
      </c>
      <c r="W2687" s="1">
        <f>IF(Table1[[#This Row],[Cal Type]]&lt;&gt;"ACCREDITED 17025 WITH UNCERTAINTIES",0,"")</f>
        <v>0</v>
      </c>
      <c r="X2687" s="1" t="str">
        <f>IF(Table1[[#This Row],[DUT Read]]="","N/A",Table1[[#This Row],[Std Error]]+Table1[[#This Row],[DUT Read]]+Table1[[#This Row],[DUT Ucty]])</f>
        <v>N/A</v>
      </c>
      <c r="Y2687" s="1" t="str">
        <f>IF(Table1[[#This Row],[Std Read]]="","N/A",Table1[[#This Row],[Std Read]]+Table1[[#This Row],[Std Ucty]])</f>
        <v>N/A</v>
      </c>
      <c r="Z26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7" s="1" t="str">
        <f>IF(Table1[[#This Row],[Spec Type]]="","N/A",Table1[[#This Row],[Spec Type]])</f>
        <v>±</v>
      </c>
      <c r="AC2687" s="1" t="str">
        <f>IF(Table1[[#This Row],[Spec Type2]]="N/A","N/A",IF(AND(Table1[[#This Row],[DUT Adj Read]]&gt;=Table1[[#This Row],[Low Tol]],Table1[[#This Row],[DUT Adj Read]]&lt;=Table1[[#This Row],[High Tol]]),"Pass","Fail"))</f>
        <v>Fail</v>
      </c>
      <c r="AD2687" s="1" t="str">
        <f>IF(AND(Table1[[#This Row],[Spec Type2]]="N/A",Table1[[#This Row],[DUT Adj Read]]="N/A",Table1[[#This Row],[Std Adj Read]]="N/A"),"N/A",IF(Table1[[#This Row],[DUT Adj Read]]="N/A",IF(Table1[[#This Row],[Std Adj Read]]&gt;Table1[[#This Row],[Low Tol]],"Pass","Fail"),IF(Table1[[#This Row],[DUT Adj Read]]&gt;Table1[[#This Row],[Low Tol]],"Pass","Fail")))</f>
        <v>Pass</v>
      </c>
      <c r="AE2687" s="1" t="str">
        <f>IF(AND(Table1[[#This Row],[Spec Type2]]="N/A",Table1[[#This Row],[DUT Adj Read]]="N/A",Table1[[#This Row],[Std Adj Read]]="N/A"),"N/A",IF(Table1[[#This Row],[DUT Adj Read]]="N/A",IF(Table1[[#This Row],[Std Adj Read]]&lt;Table1[[#This Row],[High Tol]],"Pass","Fail"),IF(Table1[[#This Row],[DUT Adj Read]]&lt;Table1[[#This Row],[High Tol]],"Pass","Fail")))</f>
        <v>Fail</v>
      </c>
      <c r="AF2687" s="1" t="str">
        <f>IF(AND(Table1[[#This Row],[Spec Type2]]="N/A",Table1[[#This Row],[DUT Adj Read]]="N/A",Table1[[#This Row],[Std Adj Read]]="N/A"),"N/A",IF(Table1[[#This Row],[DUT Adj Read]]="N/A",IF(Table1[[#This Row],[Std Adj Read]]&gt;=Table1[[#This Row],[Low Tol]],"Pass","Fail"),IF(Table1[[#This Row],[DUT Adj Read]]&gt;=Table1[[#This Row],[Low Tol]],"Pass","Fail")))</f>
        <v>Pass</v>
      </c>
      <c r="AG2687" s="1" t="str">
        <f>IF(AND(Table1[[#This Row],[Spec Type2]]="N/A",Table1[[#This Row],[DUT Adj Read]]="N/A",Table1[[#This Row],[Std Adj Read]]="N/A"),"N/A",IF(Table1[[#This Row],[DUT Adj Read]]="N/A",IF(Table1[[#This Row],[Std Adj Read]]&lt;=Table1[[#This Row],[High Tol]],"Pass","Fail"),IF(Table1[[#This Row],[DUT Adj Read]]&lt;=Table1[[#This Row],[High Tol]],"Pass","Fail")))</f>
        <v>Fail</v>
      </c>
      <c r="AH26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7" s="1" t="b">
        <v>0</v>
      </c>
      <c r="AN2687" s="1" t="b">
        <v>0</v>
      </c>
      <c r="AO2687" s="1" t="b">
        <v>0</v>
      </c>
    </row>
    <row r="2688" spans="1:41" x14ac:dyDescent="0.25">
      <c r="A2688" s="10"/>
      <c r="B2688" s="10"/>
      <c r="C2688" s="10"/>
      <c r="D2688" s="10"/>
      <c r="E2688" s="10"/>
      <c r="F2688" s="10"/>
      <c r="G2688" s="10"/>
      <c r="H2688" s="10"/>
      <c r="I2688" s="1" t="str">
        <f t="shared" si="123"/>
        <v/>
      </c>
      <c r="J2688" s="1" t="s">
        <v>35</v>
      </c>
      <c r="K2688" s="1" t="str">
        <f t="shared" si="124"/>
        <v/>
      </c>
      <c r="L2688" s="1" t="str">
        <f t="shared" si="125"/>
        <v/>
      </c>
      <c r="M2688" s="1">
        <f>IF(OR(Table1[[#This Row],[Std Nom]]="",Table1[[#This Row],[Std Read]]=""),0,Table1[[#This Row],[Std Nom]]-Table1[[#This Row],[Std Read]])</f>
        <v>0</v>
      </c>
      <c r="N2688" s="1">
        <f>IF(Calculations!$F$5="ACCREDITED 17025 WITH UNCERTAINTIES",$N$10,0)</f>
        <v>0</v>
      </c>
      <c r="Q2688" s="1">
        <f>Table1[[#This Row],[High Tol]]-Table1[[#This Row],[Low Tol]]</f>
        <v>0</v>
      </c>
      <c r="R2688" s="1">
        <f>2*Table1[[#This Row],[Std Error]]</f>
        <v>0</v>
      </c>
      <c r="S2688" s="1" t="str">
        <f>IF(Table1[[#This Row],[High Tol]]="","N/A",IFERROR(ABS(Table1[[#This Row],[Tol Span]]/Table1[[#This Row],[Error Span]]),"N/A"))</f>
        <v>N/A</v>
      </c>
      <c r="T2688" s="1" t="str">
        <f>IF(OR(Table1[[#This Row],[Low Tol]]="",Table1[[#This Row],[High Tol]]=""),"Needs Analysis",IF(Table1[[#This Row],[Ratio]]&gt;=4,"Not Significant",IF(Table1[[#This Row],[Ratio]]&gt;=2,"Semi-Significant","Significant")))</f>
        <v>Needs Analysis</v>
      </c>
      <c r="W2688" s="1">
        <f>IF(Table1[[#This Row],[Cal Type]]&lt;&gt;"ACCREDITED 17025 WITH UNCERTAINTIES",0,"")</f>
        <v>0</v>
      </c>
      <c r="X2688" s="1" t="str">
        <f>IF(Table1[[#This Row],[DUT Read]]="","N/A",Table1[[#This Row],[Std Error]]+Table1[[#This Row],[DUT Read]]+Table1[[#This Row],[DUT Ucty]])</f>
        <v>N/A</v>
      </c>
      <c r="Y2688" s="1" t="str">
        <f>IF(Table1[[#This Row],[Std Read]]="","N/A",Table1[[#This Row],[Std Read]]+Table1[[#This Row],[Std Ucty]])</f>
        <v>N/A</v>
      </c>
      <c r="Z26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8" s="1" t="str">
        <f>IF(Table1[[#This Row],[Spec Type]]="","N/A",Table1[[#This Row],[Spec Type]])</f>
        <v>±</v>
      </c>
      <c r="AC2688" s="1" t="str">
        <f>IF(Table1[[#This Row],[Spec Type2]]="N/A","N/A",IF(AND(Table1[[#This Row],[DUT Adj Read]]&gt;=Table1[[#This Row],[Low Tol]],Table1[[#This Row],[DUT Adj Read]]&lt;=Table1[[#This Row],[High Tol]]),"Pass","Fail"))</f>
        <v>Fail</v>
      </c>
      <c r="AD2688" s="1" t="str">
        <f>IF(AND(Table1[[#This Row],[Spec Type2]]="N/A",Table1[[#This Row],[DUT Adj Read]]="N/A",Table1[[#This Row],[Std Adj Read]]="N/A"),"N/A",IF(Table1[[#This Row],[DUT Adj Read]]="N/A",IF(Table1[[#This Row],[Std Adj Read]]&gt;Table1[[#This Row],[Low Tol]],"Pass","Fail"),IF(Table1[[#This Row],[DUT Adj Read]]&gt;Table1[[#This Row],[Low Tol]],"Pass","Fail")))</f>
        <v>Pass</v>
      </c>
      <c r="AE2688" s="1" t="str">
        <f>IF(AND(Table1[[#This Row],[Spec Type2]]="N/A",Table1[[#This Row],[DUT Adj Read]]="N/A",Table1[[#This Row],[Std Adj Read]]="N/A"),"N/A",IF(Table1[[#This Row],[DUT Adj Read]]="N/A",IF(Table1[[#This Row],[Std Adj Read]]&lt;Table1[[#This Row],[High Tol]],"Pass","Fail"),IF(Table1[[#This Row],[DUT Adj Read]]&lt;Table1[[#This Row],[High Tol]],"Pass","Fail")))</f>
        <v>Fail</v>
      </c>
      <c r="AF2688" s="1" t="str">
        <f>IF(AND(Table1[[#This Row],[Spec Type2]]="N/A",Table1[[#This Row],[DUT Adj Read]]="N/A",Table1[[#This Row],[Std Adj Read]]="N/A"),"N/A",IF(Table1[[#This Row],[DUT Adj Read]]="N/A",IF(Table1[[#This Row],[Std Adj Read]]&gt;=Table1[[#This Row],[Low Tol]],"Pass","Fail"),IF(Table1[[#This Row],[DUT Adj Read]]&gt;=Table1[[#This Row],[Low Tol]],"Pass","Fail")))</f>
        <v>Pass</v>
      </c>
      <c r="AG2688" s="1" t="str">
        <f>IF(AND(Table1[[#This Row],[Spec Type2]]="N/A",Table1[[#This Row],[DUT Adj Read]]="N/A",Table1[[#This Row],[Std Adj Read]]="N/A"),"N/A",IF(Table1[[#This Row],[DUT Adj Read]]="N/A",IF(Table1[[#This Row],[Std Adj Read]]&lt;=Table1[[#This Row],[High Tol]],"Pass","Fail"),IF(Table1[[#This Row],[DUT Adj Read]]&lt;=Table1[[#This Row],[High Tol]],"Pass","Fail")))</f>
        <v>Fail</v>
      </c>
      <c r="AH26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8" s="1" t="b">
        <v>0</v>
      </c>
      <c r="AN2688" s="1" t="b">
        <v>0</v>
      </c>
      <c r="AO2688" s="1" t="b">
        <v>0</v>
      </c>
    </row>
    <row r="2689" spans="1:41" x14ac:dyDescent="0.25">
      <c r="A2689" s="10"/>
      <c r="B2689" s="10"/>
      <c r="C2689" s="10"/>
      <c r="D2689" s="10"/>
      <c r="E2689" s="10"/>
      <c r="F2689" s="10"/>
      <c r="G2689" s="10"/>
      <c r="H2689" s="10"/>
      <c r="I2689" s="1" t="str">
        <f t="shared" si="123"/>
        <v/>
      </c>
      <c r="J2689" s="1" t="s">
        <v>35</v>
      </c>
      <c r="K2689" s="1" t="str">
        <f t="shared" si="124"/>
        <v/>
      </c>
      <c r="L2689" s="1" t="str">
        <f t="shared" si="125"/>
        <v/>
      </c>
      <c r="M2689" s="1">
        <f>IF(OR(Table1[[#This Row],[Std Nom]]="",Table1[[#This Row],[Std Read]]=""),0,Table1[[#This Row],[Std Nom]]-Table1[[#This Row],[Std Read]])</f>
        <v>0</v>
      </c>
      <c r="N2689" s="1">
        <f>IF(Calculations!$F$5="ACCREDITED 17025 WITH UNCERTAINTIES",$N$10,0)</f>
        <v>0</v>
      </c>
      <c r="Q2689" s="1">
        <f>Table1[[#This Row],[High Tol]]-Table1[[#This Row],[Low Tol]]</f>
        <v>0</v>
      </c>
      <c r="R2689" s="1">
        <f>2*Table1[[#This Row],[Std Error]]</f>
        <v>0</v>
      </c>
      <c r="S2689" s="1" t="str">
        <f>IF(Table1[[#This Row],[High Tol]]="","N/A",IFERROR(ABS(Table1[[#This Row],[Tol Span]]/Table1[[#This Row],[Error Span]]),"N/A"))</f>
        <v>N/A</v>
      </c>
      <c r="T2689" s="1" t="str">
        <f>IF(OR(Table1[[#This Row],[Low Tol]]="",Table1[[#This Row],[High Tol]]=""),"Needs Analysis",IF(Table1[[#This Row],[Ratio]]&gt;=4,"Not Significant",IF(Table1[[#This Row],[Ratio]]&gt;=2,"Semi-Significant","Significant")))</f>
        <v>Needs Analysis</v>
      </c>
      <c r="W2689" s="1">
        <f>IF(Table1[[#This Row],[Cal Type]]&lt;&gt;"ACCREDITED 17025 WITH UNCERTAINTIES",0,"")</f>
        <v>0</v>
      </c>
      <c r="X2689" s="1" t="str">
        <f>IF(Table1[[#This Row],[DUT Read]]="","N/A",Table1[[#This Row],[Std Error]]+Table1[[#This Row],[DUT Read]]+Table1[[#This Row],[DUT Ucty]])</f>
        <v>N/A</v>
      </c>
      <c r="Y2689" s="1" t="str">
        <f>IF(Table1[[#This Row],[Std Read]]="","N/A",Table1[[#This Row],[Std Read]]+Table1[[#This Row],[Std Ucty]])</f>
        <v>N/A</v>
      </c>
      <c r="Z26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89" s="1" t="str">
        <f>IF(Table1[[#This Row],[Spec Type]]="","N/A",Table1[[#This Row],[Spec Type]])</f>
        <v>±</v>
      </c>
      <c r="AC2689" s="1" t="str">
        <f>IF(Table1[[#This Row],[Spec Type2]]="N/A","N/A",IF(AND(Table1[[#This Row],[DUT Adj Read]]&gt;=Table1[[#This Row],[Low Tol]],Table1[[#This Row],[DUT Adj Read]]&lt;=Table1[[#This Row],[High Tol]]),"Pass","Fail"))</f>
        <v>Fail</v>
      </c>
      <c r="AD2689" s="1" t="str">
        <f>IF(AND(Table1[[#This Row],[Spec Type2]]="N/A",Table1[[#This Row],[DUT Adj Read]]="N/A",Table1[[#This Row],[Std Adj Read]]="N/A"),"N/A",IF(Table1[[#This Row],[DUT Adj Read]]="N/A",IF(Table1[[#This Row],[Std Adj Read]]&gt;Table1[[#This Row],[Low Tol]],"Pass","Fail"),IF(Table1[[#This Row],[DUT Adj Read]]&gt;Table1[[#This Row],[Low Tol]],"Pass","Fail")))</f>
        <v>Pass</v>
      </c>
      <c r="AE2689" s="1" t="str">
        <f>IF(AND(Table1[[#This Row],[Spec Type2]]="N/A",Table1[[#This Row],[DUT Adj Read]]="N/A",Table1[[#This Row],[Std Adj Read]]="N/A"),"N/A",IF(Table1[[#This Row],[DUT Adj Read]]="N/A",IF(Table1[[#This Row],[Std Adj Read]]&lt;Table1[[#This Row],[High Tol]],"Pass","Fail"),IF(Table1[[#This Row],[DUT Adj Read]]&lt;Table1[[#This Row],[High Tol]],"Pass","Fail")))</f>
        <v>Fail</v>
      </c>
      <c r="AF2689" s="1" t="str">
        <f>IF(AND(Table1[[#This Row],[Spec Type2]]="N/A",Table1[[#This Row],[DUT Adj Read]]="N/A",Table1[[#This Row],[Std Adj Read]]="N/A"),"N/A",IF(Table1[[#This Row],[DUT Adj Read]]="N/A",IF(Table1[[#This Row],[Std Adj Read]]&gt;=Table1[[#This Row],[Low Tol]],"Pass","Fail"),IF(Table1[[#This Row],[DUT Adj Read]]&gt;=Table1[[#This Row],[Low Tol]],"Pass","Fail")))</f>
        <v>Pass</v>
      </c>
      <c r="AG2689" s="1" t="str">
        <f>IF(AND(Table1[[#This Row],[Spec Type2]]="N/A",Table1[[#This Row],[DUT Adj Read]]="N/A",Table1[[#This Row],[Std Adj Read]]="N/A"),"N/A",IF(Table1[[#This Row],[DUT Adj Read]]="N/A",IF(Table1[[#This Row],[Std Adj Read]]&lt;=Table1[[#This Row],[High Tol]],"Pass","Fail"),IF(Table1[[#This Row],[DUT Adj Read]]&lt;=Table1[[#This Row],[High Tol]],"Pass","Fail")))</f>
        <v>Fail</v>
      </c>
      <c r="AH26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89" s="1" t="b">
        <v>0</v>
      </c>
      <c r="AN2689" s="1" t="b">
        <v>0</v>
      </c>
      <c r="AO2689" s="1" t="b">
        <v>0</v>
      </c>
    </row>
    <row r="2690" spans="1:41" x14ac:dyDescent="0.25">
      <c r="A2690" s="10"/>
      <c r="B2690" s="10"/>
      <c r="C2690" s="10"/>
      <c r="D2690" s="10"/>
      <c r="E2690" s="10"/>
      <c r="F2690" s="10"/>
      <c r="G2690" s="10"/>
      <c r="H2690" s="10"/>
      <c r="I2690" s="1" t="str">
        <f t="shared" si="123"/>
        <v/>
      </c>
      <c r="J2690" s="1" t="s">
        <v>35</v>
      </c>
      <c r="K2690" s="1" t="str">
        <f t="shared" si="124"/>
        <v/>
      </c>
      <c r="L2690" s="1" t="str">
        <f t="shared" si="125"/>
        <v/>
      </c>
      <c r="M2690" s="1">
        <f>IF(OR(Table1[[#This Row],[Std Nom]]="",Table1[[#This Row],[Std Read]]=""),0,Table1[[#This Row],[Std Nom]]-Table1[[#This Row],[Std Read]])</f>
        <v>0</v>
      </c>
      <c r="N2690" s="1">
        <f>IF(Calculations!$F$5="ACCREDITED 17025 WITH UNCERTAINTIES",$N$10,0)</f>
        <v>0</v>
      </c>
      <c r="Q2690" s="1">
        <f>Table1[[#This Row],[High Tol]]-Table1[[#This Row],[Low Tol]]</f>
        <v>0</v>
      </c>
      <c r="R2690" s="1">
        <f>2*Table1[[#This Row],[Std Error]]</f>
        <v>0</v>
      </c>
      <c r="S2690" s="1" t="str">
        <f>IF(Table1[[#This Row],[High Tol]]="","N/A",IFERROR(ABS(Table1[[#This Row],[Tol Span]]/Table1[[#This Row],[Error Span]]),"N/A"))</f>
        <v>N/A</v>
      </c>
      <c r="T2690" s="1" t="str">
        <f>IF(OR(Table1[[#This Row],[Low Tol]]="",Table1[[#This Row],[High Tol]]=""),"Needs Analysis",IF(Table1[[#This Row],[Ratio]]&gt;=4,"Not Significant",IF(Table1[[#This Row],[Ratio]]&gt;=2,"Semi-Significant","Significant")))</f>
        <v>Needs Analysis</v>
      </c>
      <c r="W2690" s="1">
        <f>IF(Table1[[#This Row],[Cal Type]]&lt;&gt;"ACCREDITED 17025 WITH UNCERTAINTIES",0,"")</f>
        <v>0</v>
      </c>
      <c r="X2690" s="1" t="str">
        <f>IF(Table1[[#This Row],[DUT Read]]="","N/A",Table1[[#This Row],[Std Error]]+Table1[[#This Row],[DUT Read]]+Table1[[#This Row],[DUT Ucty]])</f>
        <v>N/A</v>
      </c>
      <c r="Y2690" s="1" t="str">
        <f>IF(Table1[[#This Row],[Std Read]]="","N/A",Table1[[#This Row],[Std Read]]+Table1[[#This Row],[Std Ucty]])</f>
        <v>N/A</v>
      </c>
      <c r="Z26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0" s="1" t="str">
        <f>IF(Table1[[#This Row],[Spec Type]]="","N/A",Table1[[#This Row],[Spec Type]])</f>
        <v>±</v>
      </c>
      <c r="AC2690" s="1" t="str">
        <f>IF(Table1[[#This Row],[Spec Type2]]="N/A","N/A",IF(AND(Table1[[#This Row],[DUT Adj Read]]&gt;=Table1[[#This Row],[Low Tol]],Table1[[#This Row],[DUT Adj Read]]&lt;=Table1[[#This Row],[High Tol]]),"Pass","Fail"))</f>
        <v>Fail</v>
      </c>
      <c r="AD2690" s="1" t="str">
        <f>IF(AND(Table1[[#This Row],[Spec Type2]]="N/A",Table1[[#This Row],[DUT Adj Read]]="N/A",Table1[[#This Row],[Std Adj Read]]="N/A"),"N/A",IF(Table1[[#This Row],[DUT Adj Read]]="N/A",IF(Table1[[#This Row],[Std Adj Read]]&gt;Table1[[#This Row],[Low Tol]],"Pass","Fail"),IF(Table1[[#This Row],[DUT Adj Read]]&gt;Table1[[#This Row],[Low Tol]],"Pass","Fail")))</f>
        <v>Pass</v>
      </c>
      <c r="AE2690" s="1" t="str">
        <f>IF(AND(Table1[[#This Row],[Spec Type2]]="N/A",Table1[[#This Row],[DUT Adj Read]]="N/A",Table1[[#This Row],[Std Adj Read]]="N/A"),"N/A",IF(Table1[[#This Row],[DUT Adj Read]]="N/A",IF(Table1[[#This Row],[Std Adj Read]]&lt;Table1[[#This Row],[High Tol]],"Pass","Fail"),IF(Table1[[#This Row],[DUT Adj Read]]&lt;Table1[[#This Row],[High Tol]],"Pass","Fail")))</f>
        <v>Fail</v>
      </c>
      <c r="AF2690" s="1" t="str">
        <f>IF(AND(Table1[[#This Row],[Spec Type2]]="N/A",Table1[[#This Row],[DUT Adj Read]]="N/A",Table1[[#This Row],[Std Adj Read]]="N/A"),"N/A",IF(Table1[[#This Row],[DUT Adj Read]]="N/A",IF(Table1[[#This Row],[Std Adj Read]]&gt;=Table1[[#This Row],[Low Tol]],"Pass","Fail"),IF(Table1[[#This Row],[DUT Adj Read]]&gt;=Table1[[#This Row],[Low Tol]],"Pass","Fail")))</f>
        <v>Pass</v>
      </c>
      <c r="AG2690" s="1" t="str">
        <f>IF(AND(Table1[[#This Row],[Spec Type2]]="N/A",Table1[[#This Row],[DUT Adj Read]]="N/A",Table1[[#This Row],[Std Adj Read]]="N/A"),"N/A",IF(Table1[[#This Row],[DUT Adj Read]]="N/A",IF(Table1[[#This Row],[Std Adj Read]]&lt;=Table1[[#This Row],[High Tol]],"Pass","Fail"),IF(Table1[[#This Row],[DUT Adj Read]]&lt;=Table1[[#This Row],[High Tol]],"Pass","Fail")))</f>
        <v>Fail</v>
      </c>
      <c r="AH26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0" s="1" t="b">
        <v>0</v>
      </c>
      <c r="AN2690" s="1" t="b">
        <v>0</v>
      </c>
      <c r="AO2690" s="1" t="b">
        <v>0</v>
      </c>
    </row>
    <row r="2691" spans="1:41" x14ac:dyDescent="0.25">
      <c r="A2691" s="10"/>
      <c r="B2691" s="10"/>
      <c r="C2691" s="10"/>
      <c r="D2691" s="10"/>
      <c r="E2691" s="10"/>
      <c r="F2691" s="10"/>
      <c r="G2691" s="10"/>
      <c r="H2691" s="10"/>
      <c r="I2691" s="1" t="str">
        <f t="shared" si="123"/>
        <v/>
      </c>
      <c r="J2691" s="1" t="s">
        <v>35</v>
      </c>
      <c r="K2691" s="1" t="str">
        <f t="shared" si="124"/>
        <v/>
      </c>
      <c r="L2691" s="1" t="str">
        <f t="shared" si="125"/>
        <v/>
      </c>
      <c r="M2691" s="1">
        <f>IF(OR(Table1[[#This Row],[Std Nom]]="",Table1[[#This Row],[Std Read]]=""),0,Table1[[#This Row],[Std Nom]]-Table1[[#This Row],[Std Read]])</f>
        <v>0</v>
      </c>
      <c r="N2691" s="1">
        <f>IF(Calculations!$F$5="ACCREDITED 17025 WITH UNCERTAINTIES",$N$10,0)</f>
        <v>0</v>
      </c>
      <c r="Q2691" s="1">
        <f>Table1[[#This Row],[High Tol]]-Table1[[#This Row],[Low Tol]]</f>
        <v>0</v>
      </c>
      <c r="R2691" s="1">
        <f>2*Table1[[#This Row],[Std Error]]</f>
        <v>0</v>
      </c>
      <c r="S2691" s="1" t="str">
        <f>IF(Table1[[#This Row],[High Tol]]="","N/A",IFERROR(ABS(Table1[[#This Row],[Tol Span]]/Table1[[#This Row],[Error Span]]),"N/A"))</f>
        <v>N/A</v>
      </c>
      <c r="T2691" s="1" t="str">
        <f>IF(OR(Table1[[#This Row],[Low Tol]]="",Table1[[#This Row],[High Tol]]=""),"Needs Analysis",IF(Table1[[#This Row],[Ratio]]&gt;=4,"Not Significant",IF(Table1[[#This Row],[Ratio]]&gt;=2,"Semi-Significant","Significant")))</f>
        <v>Needs Analysis</v>
      </c>
      <c r="W2691" s="1">
        <f>IF(Table1[[#This Row],[Cal Type]]&lt;&gt;"ACCREDITED 17025 WITH UNCERTAINTIES",0,"")</f>
        <v>0</v>
      </c>
      <c r="X2691" s="1" t="str">
        <f>IF(Table1[[#This Row],[DUT Read]]="","N/A",Table1[[#This Row],[Std Error]]+Table1[[#This Row],[DUT Read]]+Table1[[#This Row],[DUT Ucty]])</f>
        <v>N/A</v>
      </c>
      <c r="Y2691" s="1" t="str">
        <f>IF(Table1[[#This Row],[Std Read]]="","N/A",Table1[[#This Row],[Std Read]]+Table1[[#This Row],[Std Ucty]])</f>
        <v>N/A</v>
      </c>
      <c r="Z26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1" s="1" t="str">
        <f>IF(Table1[[#This Row],[Spec Type]]="","N/A",Table1[[#This Row],[Spec Type]])</f>
        <v>±</v>
      </c>
      <c r="AC2691" s="1" t="str">
        <f>IF(Table1[[#This Row],[Spec Type2]]="N/A","N/A",IF(AND(Table1[[#This Row],[DUT Adj Read]]&gt;=Table1[[#This Row],[Low Tol]],Table1[[#This Row],[DUT Adj Read]]&lt;=Table1[[#This Row],[High Tol]]),"Pass","Fail"))</f>
        <v>Fail</v>
      </c>
      <c r="AD2691" s="1" t="str">
        <f>IF(AND(Table1[[#This Row],[Spec Type2]]="N/A",Table1[[#This Row],[DUT Adj Read]]="N/A",Table1[[#This Row],[Std Adj Read]]="N/A"),"N/A",IF(Table1[[#This Row],[DUT Adj Read]]="N/A",IF(Table1[[#This Row],[Std Adj Read]]&gt;Table1[[#This Row],[Low Tol]],"Pass","Fail"),IF(Table1[[#This Row],[DUT Adj Read]]&gt;Table1[[#This Row],[Low Tol]],"Pass","Fail")))</f>
        <v>Pass</v>
      </c>
      <c r="AE2691" s="1" t="str">
        <f>IF(AND(Table1[[#This Row],[Spec Type2]]="N/A",Table1[[#This Row],[DUT Adj Read]]="N/A",Table1[[#This Row],[Std Adj Read]]="N/A"),"N/A",IF(Table1[[#This Row],[DUT Adj Read]]="N/A",IF(Table1[[#This Row],[Std Adj Read]]&lt;Table1[[#This Row],[High Tol]],"Pass","Fail"),IF(Table1[[#This Row],[DUT Adj Read]]&lt;Table1[[#This Row],[High Tol]],"Pass","Fail")))</f>
        <v>Fail</v>
      </c>
      <c r="AF2691" s="1" t="str">
        <f>IF(AND(Table1[[#This Row],[Spec Type2]]="N/A",Table1[[#This Row],[DUT Adj Read]]="N/A",Table1[[#This Row],[Std Adj Read]]="N/A"),"N/A",IF(Table1[[#This Row],[DUT Adj Read]]="N/A",IF(Table1[[#This Row],[Std Adj Read]]&gt;=Table1[[#This Row],[Low Tol]],"Pass","Fail"),IF(Table1[[#This Row],[DUT Adj Read]]&gt;=Table1[[#This Row],[Low Tol]],"Pass","Fail")))</f>
        <v>Pass</v>
      </c>
      <c r="AG2691" s="1" t="str">
        <f>IF(AND(Table1[[#This Row],[Spec Type2]]="N/A",Table1[[#This Row],[DUT Adj Read]]="N/A",Table1[[#This Row],[Std Adj Read]]="N/A"),"N/A",IF(Table1[[#This Row],[DUT Adj Read]]="N/A",IF(Table1[[#This Row],[Std Adj Read]]&lt;=Table1[[#This Row],[High Tol]],"Pass","Fail"),IF(Table1[[#This Row],[DUT Adj Read]]&lt;=Table1[[#This Row],[High Tol]],"Pass","Fail")))</f>
        <v>Fail</v>
      </c>
      <c r="AH26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1" s="1" t="b">
        <v>0</v>
      </c>
      <c r="AN2691" s="1" t="b">
        <v>0</v>
      </c>
      <c r="AO2691" s="1" t="b">
        <v>0</v>
      </c>
    </row>
    <row r="2692" spans="1:41" x14ac:dyDescent="0.25">
      <c r="A2692" s="10"/>
      <c r="B2692" s="10"/>
      <c r="C2692" s="10"/>
      <c r="D2692" s="10"/>
      <c r="E2692" s="10"/>
      <c r="F2692" s="10"/>
      <c r="G2692" s="10"/>
      <c r="H2692" s="10"/>
      <c r="I2692" s="1" t="str">
        <f t="shared" si="123"/>
        <v/>
      </c>
      <c r="J2692" s="1" t="s">
        <v>35</v>
      </c>
      <c r="K2692" s="1" t="str">
        <f t="shared" si="124"/>
        <v/>
      </c>
      <c r="L2692" s="1" t="str">
        <f t="shared" si="125"/>
        <v/>
      </c>
      <c r="M2692" s="1">
        <f>IF(OR(Table1[[#This Row],[Std Nom]]="",Table1[[#This Row],[Std Read]]=""),0,Table1[[#This Row],[Std Nom]]-Table1[[#This Row],[Std Read]])</f>
        <v>0</v>
      </c>
      <c r="N2692" s="1">
        <f>IF(Calculations!$F$5="ACCREDITED 17025 WITH UNCERTAINTIES",$N$10,0)</f>
        <v>0</v>
      </c>
      <c r="Q2692" s="1">
        <f>Table1[[#This Row],[High Tol]]-Table1[[#This Row],[Low Tol]]</f>
        <v>0</v>
      </c>
      <c r="R2692" s="1">
        <f>2*Table1[[#This Row],[Std Error]]</f>
        <v>0</v>
      </c>
      <c r="S2692" s="1" t="str">
        <f>IF(Table1[[#This Row],[High Tol]]="","N/A",IFERROR(ABS(Table1[[#This Row],[Tol Span]]/Table1[[#This Row],[Error Span]]),"N/A"))</f>
        <v>N/A</v>
      </c>
      <c r="T2692" s="1" t="str">
        <f>IF(OR(Table1[[#This Row],[Low Tol]]="",Table1[[#This Row],[High Tol]]=""),"Needs Analysis",IF(Table1[[#This Row],[Ratio]]&gt;=4,"Not Significant",IF(Table1[[#This Row],[Ratio]]&gt;=2,"Semi-Significant","Significant")))</f>
        <v>Needs Analysis</v>
      </c>
      <c r="W2692" s="1">
        <f>IF(Table1[[#This Row],[Cal Type]]&lt;&gt;"ACCREDITED 17025 WITH UNCERTAINTIES",0,"")</f>
        <v>0</v>
      </c>
      <c r="X2692" s="1" t="str">
        <f>IF(Table1[[#This Row],[DUT Read]]="","N/A",Table1[[#This Row],[Std Error]]+Table1[[#This Row],[DUT Read]]+Table1[[#This Row],[DUT Ucty]])</f>
        <v>N/A</v>
      </c>
      <c r="Y2692" s="1" t="str">
        <f>IF(Table1[[#This Row],[Std Read]]="","N/A",Table1[[#This Row],[Std Read]]+Table1[[#This Row],[Std Ucty]])</f>
        <v>N/A</v>
      </c>
      <c r="Z26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2" s="1" t="str">
        <f>IF(Table1[[#This Row],[Spec Type]]="","N/A",Table1[[#This Row],[Spec Type]])</f>
        <v>±</v>
      </c>
      <c r="AC2692" s="1" t="str">
        <f>IF(Table1[[#This Row],[Spec Type2]]="N/A","N/A",IF(AND(Table1[[#This Row],[DUT Adj Read]]&gt;=Table1[[#This Row],[Low Tol]],Table1[[#This Row],[DUT Adj Read]]&lt;=Table1[[#This Row],[High Tol]]),"Pass","Fail"))</f>
        <v>Fail</v>
      </c>
      <c r="AD2692" s="1" t="str">
        <f>IF(AND(Table1[[#This Row],[Spec Type2]]="N/A",Table1[[#This Row],[DUT Adj Read]]="N/A",Table1[[#This Row],[Std Adj Read]]="N/A"),"N/A",IF(Table1[[#This Row],[DUT Adj Read]]="N/A",IF(Table1[[#This Row],[Std Adj Read]]&gt;Table1[[#This Row],[Low Tol]],"Pass","Fail"),IF(Table1[[#This Row],[DUT Adj Read]]&gt;Table1[[#This Row],[Low Tol]],"Pass","Fail")))</f>
        <v>Pass</v>
      </c>
      <c r="AE2692" s="1" t="str">
        <f>IF(AND(Table1[[#This Row],[Spec Type2]]="N/A",Table1[[#This Row],[DUT Adj Read]]="N/A",Table1[[#This Row],[Std Adj Read]]="N/A"),"N/A",IF(Table1[[#This Row],[DUT Adj Read]]="N/A",IF(Table1[[#This Row],[Std Adj Read]]&lt;Table1[[#This Row],[High Tol]],"Pass","Fail"),IF(Table1[[#This Row],[DUT Adj Read]]&lt;Table1[[#This Row],[High Tol]],"Pass","Fail")))</f>
        <v>Fail</v>
      </c>
      <c r="AF2692" s="1" t="str">
        <f>IF(AND(Table1[[#This Row],[Spec Type2]]="N/A",Table1[[#This Row],[DUT Adj Read]]="N/A",Table1[[#This Row],[Std Adj Read]]="N/A"),"N/A",IF(Table1[[#This Row],[DUT Adj Read]]="N/A",IF(Table1[[#This Row],[Std Adj Read]]&gt;=Table1[[#This Row],[Low Tol]],"Pass","Fail"),IF(Table1[[#This Row],[DUT Adj Read]]&gt;=Table1[[#This Row],[Low Tol]],"Pass","Fail")))</f>
        <v>Pass</v>
      </c>
      <c r="AG2692" s="1" t="str">
        <f>IF(AND(Table1[[#This Row],[Spec Type2]]="N/A",Table1[[#This Row],[DUT Adj Read]]="N/A",Table1[[#This Row],[Std Adj Read]]="N/A"),"N/A",IF(Table1[[#This Row],[DUT Adj Read]]="N/A",IF(Table1[[#This Row],[Std Adj Read]]&lt;=Table1[[#This Row],[High Tol]],"Pass","Fail"),IF(Table1[[#This Row],[DUT Adj Read]]&lt;=Table1[[#This Row],[High Tol]],"Pass","Fail")))</f>
        <v>Fail</v>
      </c>
      <c r="AH26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2" s="1" t="b">
        <v>0</v>
      </c>
      <c r="AN2692" s="1" t="b">
        <v>0</v>
      </c>
      <c r="AO2692" s="1" t="b">
        <v>0</v>
      </c>
    </row>
    <row r="2693" spans="1:41" x14ac:dyDescent="0.25">
      <c r="A2693" s="10"/>
      <c r="B2693" s="10"/>
      <c r="C2693" s="10"/>
      <c r="D2693" s="10"/>
      <c r="E2693" s="10"/>
      <c r="F2693" s="10"/>
      <c r="G2693" s="10"/>
      <c r="H2693" s="10"/>
      <c r="I2693" s="1" t="str">
        <f t="shared" si="123"/>
        <v/>
      </c>
      <c r="J2693" s="1" t="s">
        <v>35</v>
      </c>
      <c r="K2693" s="1" t="str">
        <f t="shared" si="124"/>
        <v/>
      </c>
      <c r="L2693" s="1" t="str">
        <f t="shared" si="125"/>
        <v/>
      </c>
      <c r="M2693" s="1">
        <f>IF(OR(Table1[[#This Row],[Std Nom]]="",Table1[[#This Row],[Std Read]]=""),0,Table1[[#This Row],[Std Nom]]-Table1[[#This Row],[Std Read]])</f>
        <v>0</v>
      </c>
      <c r="N2693" s="1">
        <f>IF(Calculations!$F$5="ACCREDITED 17025 WITH UNCERTAINTIES",$N$10,0)</f>
        <v>0</v>
      </c>
      <c r="Q2693" s="1">
        <f>Table1[[#This Row],[High Tol]]-Table1[[#This Row],[Low Tol]]</f>
        <v>0</v>
      </c>
      <c r="R2693" s="1">
        <f>2*Table1[[#This Row],[Std Error]]</f>
        <v>0</v>
      </c>
      <c r="S2693" s="1" t="str">
        <f>IF(Table1[[#This Row],[High Tol]]="","N/A",IFERROR(ABS(Table1[[#This Row],[Tol Span]]/Table1[[#This Row],[Error Span]]),"N/A"))</f>
        <v>N/A</v>
      </c>
      <c r="T2693" s="1" t="str">
        <f>IF(OR(Table1[[#This Row],[Low Tol]]="",Table1[[#This Row],[High Tol]]=""),"Needs Analysis",IF(Table1[[#This Row],[Ratio]]&gt;=4,"Not Significant",IF(Table1[[#This Row],[Ratio]]&gt;=2,"Semi-Significant","Significant")))</f>
        <v>Needs Analysis</v>
      </c>
      <c r="W2693" s="1">
        <f>IF(Table1[[#This Row],[Cal Type]]&lt;&gt;"ACCREDITED 17025 WITH UNCERTAINTIES",0,"")</f>
        <v>0</v>
      </c>
      <c r="X2693" s="1" t="str">
        <f>IF(Table1[[#This Row],[DUT Read]]="","N/A",Table1[[#This Row],[Std Error]]+Table1[[#This Row],[DUT Read]]+Table1[[#This Row],[DUT Ucty]])</f>
        <v>N/A</v>
      </c>
      <c r="Y2693" s="1" t="str">
        <f>IF(Table1[[#This Row],[Std Read]]="","N/A",Table1[[#This Row],[Std Read]]+Table1[[#This Row],[Std Ucty]])</f>
        <v>N/A</v>
      </c>
      <c r="Z26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3" s="1" t="str">
        <f>IF(Table1[[#This Row],[Spec Type]]="","N/A",Table1[[#This Row],[Spec Type]])</f>
        <v>±</v>
      </c>
      <c r="AC2693" s="1" t="str">
        <f>IF(Table1[[#This Row],[Spec Type2]]="N/A","N/A",IF(AND(Table1[[#This Row],[DUT Adj Read]]&gt;=Table1[[#This Row],[Low Tol]],Table1[[#This Row],[DUT Adj Read]]&lt;=Table1[[#This Row],[High Tol]]),"Pass","Fail"))</f>
        <v>Fail</v>
      </c>
      <c r="AD2693" s="1" t="str">
        <f>IF(AND(Table1[[#This Row],[Spec Type2]]="N/A",Table1[[#This Row],[DUT Adj Read]]="N/A",Table1[[#This Row],[Std Adj Read]]="N/A"),"N/A",IF(Table1[[#This Row],[DUT Adj Read]]="N/A",IF(Table1[[#This Row],[Std Adj Read]]&gt;Table1[[#This Row],[Low Tol]],"Pass","Fail"),IF(Table1[[#This Row],[DUT Adj Read]]&gt;Table1[[#This Row],[Low Tol]],"Pass","Fail")))</f>
        <v>Pass</v>
      </c>
      <c r="AE2693" s="1" t="str">
        <f>IF(AND(Table1[[#This Row],[Spec Type2]]="N/A",Table1[[#This Row],[DUT Adj Read]]="N/A",Table1[[#This Row],[Std Adj Read]]="N/A"),"N/A",IF(Table1[[#This Row],[DUT Adj Read]]="N/A",IF(Table1[[#This Row],[Std Adj Read]]&lt;Table1[[#This Row],[High Tol]],"Pass","Fail"),IF(Table1[[#This Row],[DUT Adj Read]]&lt;Table1[[#This Row],[High Tol]],"Pass","Fail")))</f>
        <v>Fail</v>
      </c>
      <c r="AF2693" s="1" t="str">
        <f>IF(AND(Table1[[#This Row],[Spec Type2]]="N/A",Table1[[#This Row],[DUT Adj Read]]="N/A",Table1[[#This Row],[Std Adj Read]]="N/A"),"N/A",IF(Table1[[#This Row],[DUT Adj Read]]="N/A",IF(Table1[[#This Row],[Std Adj Read]]&gt;=Table1[[#This Row],[Low Tol]],"Pass","Fail"),IF(Table1[[#This Row],[DUT Adj Read]]&gt;=Table1[[#This Row],[Low Tol]],"Pass","Fail")))</f>
        <v>Pass</v>
      </c>
      <c r="AG2693" s="1" t="str">
        <f>IF(AND(Table1[[#This Row],[Spec Type2]]="N/A",Table1[[#This Row],[DUT Adj Read]]="N/A",Table1[[#This Row],[Std Adj Read]]="N/A"),"N/A",IF(Table1[[#This Row],[DUT Adj Read]]="N/A",IF(Table1[[#This Row],[Std Adj Read]]&lt;=Table1[[#This Row],[High Tol]],"Pass","Fail"),IF(Table1[[#This Row],[DUT Adj Read]]&lt;=Table1[[#This Row],[High Tol]],"Pass","Fail")))</f>
        <v>Fail</v>
      </c>
      <c r="AH26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3" s="1" t="b">
        <v>0</v>
      </c>
      <c r="AN2693" s="1" t="b">
        <v>0</v>
      </c>
      <c r="AO2693" s="1" t="b">
        <v>0</v>
      </c>
    </row>
    <row r="2694" spans="1:41" x14ac:dyDescent="0.25">
      <c r="A2694" s="10"/>
      <c r="B2694" s="10"/>
      <c r="C2694" s="10"/>
      <c r="D2694" s="10"/>
      <c r="E2694" s="10"/>
      <c r="F2694" s="10"/>
      <c r="G2694" s="10"/>
      <c r="H2694" s="10"/>
      <c r="I2694" s="1" t="str">
        <f t="shared" si="123"/>
        <v/>
      </c>
      <c r="J2694" s="1" t="s">
        <v>35</v>
      </c>
      <c r="K2694" s="1" t="str">
        <f t="shared" si="124"/>
        <v/>
      </c>
      <c r="L2694" s="1" t="str">
        <f t="shared" si="125"/>
        <v/>
      </c>
      <c r="M2694" s="1">
        <f>IF(OR(Table1[[#This Row],[Std Nom]]="",Table1[[#This Row],[Std Read]]=""),0,Table1[[#This Row],[Std Nom]]-Table1[[#This Row],[Std Read]])</f>
        <v>0</v>
      </c>
      <c r="N2694" s="1">
        <f>IF(Calculations!$F$5="ACCREDITED 17025 WITH UNCERTAINTIES",$N$10,0)</f>
        <v>0</v>
      </c>
      <c r="Q2694" s="1">
        <f>Table1[[#This Row],[High Tol]]-Table1[[#This Row],[Low Tol]]</f>
        <v>0</v>
      </c>
      <c r="R2694" s="1">
        <f>2*Table1[[#This Row],[Std Error]]</f>
        <v>0</v>
      </c>
      <c r="S2694" s="1" t="str">
        <f>IF(Table1[[#This Row],[High Tol]]="","N/A",IFERROR(ABS(Table1[[#This Row],[Tol Span]]/Table1[[#This Row],[Error Span]]),"N/A"))</f>
        <v>N/A</v>
      </c>
      <c r="T2694" s="1" t="str">
        <f>IF(OR(Table1[[#This Row],[Low Tol]]="",Table1[[#This Row],[High Tol]]=""),"Needs Analysis",IF(Table1[[#This Row],[Ratio]]&gt;=4,"Not Significant",IF(Table1[[#This Row],[Ratio]]&gt;=2,"Semi-Significant","Significant")))</f>
        <v>Needs Analysis</v>
      </c>
      <c r="W2694" s="1">
        <f>IF(Table1[[#This Row],[Cal Type]]&lt;&gt;"ACCREDITED 17025 WITH UNCERTAINTIES",0,"")</f>
        <v>0</v>
      </c>
      <c r="X2694" s="1" t="str">
        <f>IF(Table1[[#This Row],[DUT Read]]="","N/A",Table1[[#This Row],[Std Error]]+Table1[[#This Row],[DUT Read]]+Table1[[#This Row],[DUT Ucty]])</f>
        <v>N/A</v>
      </c>
      <c r="Y2694" s="1" t="str">
        <f>IF(Table1[[#This Row],[Std Read]]="","N/A",Table1[[#This Row],[Std Read]]+Table1[[#This Row],[Std Ucty]])</f>
        <v>N/A</v>
      </c>
      <c r="Z26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4" s="1" t="str">
        <f>IF(Table1[[#This Row],[Spec Type]]="","N/A",Table1[[#This Row],[Spec Type]])</f>
        <v>±</v>
      </c>
      <c r="AC2694" s="1" t="str">
        <f>IF(Table1[[#This Row],[Spec Type2]]="N/A","N/A",IF(AND(Table1[[#This Row],[DUT Adj Read]]&gt;=Table1[[#This Row],[Low Tol]],Table1[[#This Row],[DUT Adj Read]]&lt;=Table1[[#This Row],[High Tol]]),"Pass","Fail"))</f>
        <v>Fail</v>
      </c>
      <c r="AD2694" s="1" t="str">
        <f>IF(AND(Table1[[#This Row],[Spec Type2]]="N/A",Table1[[#This Row],[DUT Adj Read]]="N/A",Table1[[#This Row],[Std Adj Read]]="N/A"),"N/A",IF(Table1[[#This Row],[DUT Adj Read]]="N/A",IF(Table1[[#This Row],[Std Adj Read]]&gt;Table1[[#This Row],[Low Tol]],"Pass","Fail"),IF(Table1[[#This Row],[DUT Adj Read]]&gt;Table1[[#This Row],[Low Tol]],"Pass","Fail")))</f>
        <v>Pass</v>
      </c>
      <c r="AE2694" s="1" t="str">
        <f>IF(AND(Table1[[#This Row],[Spec Type2]]="N/A",Table1[[#This Row],[DUT Adj Read]]="N/A",Table1[[#This Row],[Std Adj Read]]="N/A"),"N/A",IF(Table1[[#This Row],[DUT Adj Read]]="N/A",IF(Table1[[#This Row],[Std Adj Read]]&lt;Table1[[#This Row],[High Tol]],"Pass","Fail"),IF(Table1[[#This Row],[DUT Adj Read]]&lt;Table1[[#This Row],[High Tol]],"Pass","Fail")))</f>
        <v>Fail</v>
      </c>
      <c r="AF2694" s="1" t="str">
        <f>IF(AND(Table1[[#This Row],[Spec Type2]]="N/A",Table1[[#This Row],[DUT Adj Read]]="N/A",Table1[[#This Row],[Std Adj Read]]="N/A"),"N/A",IF(Table1[[#This Row],[DUT Adj Read]]="N/A",IF(Table1[[#This Row],[Std Adj Read]]&gt;=Table1[[#This Row],[Low Tol]],"Pass","Fail"),IF(Table1[[#This Row],[DUT Adj Read]]&gt;=Table1[[#This Row],[Low Tol]],"Pass","Fail")))</f>
        <v>Pass</v>
      </c>
      <c r="AG2694" s="1" t="str">
        <f>IF(AND(Table1[[#This Row],[Spec Type2]]="N/A",Table1[[#This Row],[DUT Adj Read]]="N/A",Table1[[#This Row],[Std Adj Read]]="N/A"),"N/A",IF(Table1[[#This Row],[DUT Adj Read]]="N/A",IF(Table1[[#This Row],[Std Adj Read]]&lt;=Table1[[#This Row],[High Tol]],"Pass","Fail"),IF(Table1[[#This Row],[DUT Adj Read]]&lt;=Table1[[#This Row],[High Tol]],"Pass","Fail")))</f>
        <v>Fail</v>
      </c>
      <c r="AH26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4" s="1" t="b">
        <v>0</v>
      </c>
      <c r="AN2694" s="1" t="b">
        <v>0</v>
      </c>
      <c r="AO2694" s="1" t="b">
        <v>0</v>
      </c>
    </row>
    <row r="2695" spans="1:41" x14ac:dyDescent="0.25">
      <c r="A2695" s="10"/>
      <c r="B2695" s="10"/>
      <c r="C2695" s="10"/>
      <c r="D2695" s="10"/>
      <c r="E2695" s="10"/>
      <c r="F2695" s="10"/>
      <c r="G2695" s="10"/>
      <c r="H2695" s="10"/>
      <c r="I2695" s="1" t="str">
        <f t="shared" si="123"/>
        <v/>
      </c>
      <c r="J2695" s="1" t="s">
        <v>35</v>
      </c>
      <c r="K2695" s="1" t="str">
        <f t="shared" si="124"/>
        <v/>
      </c>
      <c r="L2695" s="1" t="str">
        <f t="shared" si="125"/>
        <v/>
      </c>
      <c r="M2695" s="1">
        <f>IF(OR(Table1[[#This Row],[Std Nom]]="",Table1[[#This Row],[Std Read]]=""),0,Table1[[#This Row],[Std Nom]]-Table1[[#This Row],[Std Read]])</f>
        <v>0</v>
      </c>
      <c r="N2695" s="1">
        <f>IF(Calculations!$F$5="ACCREDITED 17025 WITH UNCERTAINTIES",$N$10,0)</f>
        <v>0</v>
      </c>
      <c r="Q2695" s="1">
        <f>Table1[[#This Row],[High Tol]]-Table1[[#This Row],[Low Tol]]</f>
        <v>0</v>
      </c>
      <c r="R2695" s="1">
        <f>2*Table1[[#This Row],[Std Error]]</f>
        <v>0</v>
      </c>
      <c r="S2695" s="1" t="str">
        <f>IF(Table1[[#This Row],[High Tol]]="","N/A",IFERROR(ABS(Table1[[#This Row],[Tol Span]]/Table1[[#This Row],[Error Span]]),"N/A"))</f>
        <v>N/A</v>
      </c>
      <c r="T2695" s="1" t="str">
        <f>IF(OR(Table1[[#This Row],[Low Tol]]="",Table1[[#This Row],[High Tol]]=""),"Needs Analysis",IF(Table1[[#This Row],[Ratio]]&gt;=4,"Not Significant",IF(Table1[[#This Row],[Ratio]]&gt;=2,"Semi-Significant","Significant")))</f>
        <v>Needs Analysis</v>
      </c>
      <c r="W2695" s="1">
        <f>IF(Table1[[#This Row],[Cal Type]]&lt;&gt;"ACCREDITED 17025 WITH UNCERTAINTIES",0,"")</f>
        <v>0</v>
      </c>
      <c r="X2695" s="1" t="str">
        <f>IF(Table1[[#This Row],[DUT Read]]="","N/A",Table1[[#This Row],[Std Error]]+Table1[[#This Row],[DUT Read]]+Table1[[#This Row],[DUT Ucty]])</f>
        <v>N/A</v>
      </c>
      <c r="Y2695" s="1" t="str">
        <f>IF(Table1[[#This Row],[Std Read]]="","N/A",Table1[[#This Row],[Std Read]]+Table1[[#This Row],[Std Ucty]])</f>
        <v>N/A</v>
      </c>
      <c r="Z26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5" s="1" t="str">
        <f>IF(Table1[[#This Row],[Spec Type]]="","N/A",Table1[[#This Row],[Spec Type]])</f>
        <v>±</v>
      </c>
      <c r="AC2695" s="1" t="str">
        <f>IF(Table1[[#This Row],[Spec Type2]]="N/A","N/A",IF(AND(Table1[[#This Row],[DUT Adj Read]]&gt;=Table1[[#This Row],[Low Tol]],Table1[[#This Row],[DUT Adj Read]]&lt;=Table1[[#This Row],[High Tol]]),"Pass","Fail"))</f>
        <v>Fail</v>
      </c>
      <c r="AD2695" s="1" t="str">
        <f>IF(AND(Table1[[#This Row],[Spec Type2]]="N/A",Table1[[#This Row],[DUT Adj Read]]="N/A",Table1[[#This Row],[Std Adj Read]]="N/A"),"N/A",IF(Table1[[#This Row],[DUT Adj Read]]="N/A",IF(Table1[[#This Row],[Std Adj Read]]&gt;Table1[[#This Row],[Low Tol]],"Pass","Fail"),IF(Table1[[#This Row],[DUT Adj Read]]&gt;Table1[[#This Row],[Low Tol]],"Pass","Fail")))</f>
        <v>Pass</v>
      </c>
      <c r="AE2695" s="1" t="str">
        <f>IF(AND(Table1[[#This Row],[Spec Type2]]="N/A",Table1[[#This Row],[DUT Adj Read]]="N/A",Table1[[#This Row],[Std Adj Read]]="N/A"),"N/A",IF(Table1[[#This Row],[DUT Adj Read]]="N/A",IF(Table1[[#This Row],[Std Adj Read]]&lt;Table1[[#This Row],[High Tol]],"Pass","Fail"),IF(Table1[[#This Row],[DUT Adj Read]]&lt;Table1[[#This Row],[High Tol]],"Pass","Fail")))</f>
        <v>Fail</v>
      </c>
      <c r="AF2695" s="1" t="str">
        <f>IF(AND(Table1[[#This Row],[Spec Type2]]="N/A",Table1[[#This Row],[DUT Adj Read]]="N/A",Table1[[#This Row],[Std Adj Read]]="N/A"),"N/A",IF(Table1[[#This Row],[DUT Adj Read]]="N/A",IF(Table1[[#This Row],[Std Adj Read]]&gt;=Table1[[#This Row],[Low Tol]],"Pass","Fail"),IF(Table1[[#This Row],[DUT Adj Read]]&gt;=Table1[[#This Row],[Low Tol]],"Pass","Fail")))</f>
        <v>Pass</v>
      </c>
      <c r="AG2695" s="1" t="str">
        <f>IF(AND(Table1[[#This Row],[Spec Type2]]="N/A",Table1[[#This Row],[DUT Adj Read]]="N/A",Table1[[#This Row],[Std Adj Read]]="N/A"),"N/A",IF(Table1[[#This Row],[DUT Adj Read]]="N/A",IF(Table1[[#This Row],[Std Adj Read]]&lt;=Table1[[#This Row],[High Tol]],"Pass","Fail"),IF(Table1[[#This Row],[DUT Adj Read]]&lt;=Table1[[#This Row],[High Tol]],"Pass","Fail")))</f>
        <v>Fail</v>
      </c>
      <c r="AH26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5" s="1" t="b">
        <v>0</v>
      </c>
      <c r="AN2695" s="1" t="b">
        <v>0</v>
      </c>
      <c r="AO2695" s="1" t="b">
        <v>0</v>
      </c>
    </row>
    <row r="2696" spans="1:41" x14ac:dyDescent="0.25">
      <c r="A2696" s="10"/>
      <c r="B2696" s="10"/>
      <c r="C2696" s="10"/>
      <c r="D2696" s="10"/>
      <c r="E2696" s="10"/>
      <c r="F2696" s="10"/>
      <c r="G2696" s="10"/>
      <c r="H2696" s="10"/>
      <c r="I2696" s="1" t="str">
        <f t="shared" si="123"/>
        <v/>
      </c>
      <c r="J2696" s="1" t="s">
        <v>35</v>
      </c>
      <c r="K2696" s="1" t="str">
        <f t="shared" si="124"/>
        <v/>
      </c>
      <c r="L2696" s="1" t="str">
        <f t="shared" si="125"/>
        <v/>
      </c>
      <c r="M2696" s="1">
        <f>IF(OR(Table1[[#This Row],[Std Nom]]="",Table1[[#This Row],[Std Read]]=""),0,Table1[[#This Row],[Std Nom]]-Table1[[#This Row],[Std Read]])</f>
        <v>0</v>
      </c>
      <c r="N2696" s="1">
        <f>IF(Calculations!$F$5="ACCREDITED 17025 WITH UNCERTAINTIES",$N$10,0)</f>
        <v>0</v>
      </c>
      <c r="Q2696" s="1">
        <f>Table1[[#This Row],[High Tol]]-Table1[[#This Row],[Low Tol]]</f>
        <v>0</v>
      </c>
      <c r="R2696" s="1">
        <f>2*Table1[[#This Row],[Std Error]]</f>
        <v>0</v>
      </c>
      <c r="S2696" s="1" t="str">
        <f>IF(Table1[[#This Row],[High Tol]]="","N/A",IFERROR(ABS(Table1[[#This Row],[Tol Span]]/Table1[[#This Row],[Error Span]]),"N/A"))</f>
        <v>N/A</v>
      </c>
      <c r="T2696" s="1" t="str">
        <f>IF(OR(Table1[[#This Row],[Low Tol]]="",Table1[[#This Row],[High Tol]]=""),"Needs Analysis",IF(Table1[[#This Row],[Ratio]]&gt;=4,"Not Significant",IF(Table1[[#This Row],[Ratio]]&gt;=2,"Semi-Significant","Significant")))</f>
        <v>Needs Analysis</v>
      </c>
      <c r="W2696" s="1">
        <f>IF(Table1[[#This Row],[Cal Type]]&lt;&gt;"ACCREDITED 17025 WITH UNCERTAINTIES",0,"")</f>
        <v>0</v>
      </c>
      <c r="X2696" s="1" t="str">
        <f>IF(Table1[[#This Row],[DUT Read]]="","N/A",Table1[[#This Row],[Std Error]]+Table1[[#This Row],[DUT Read]]+Table1[[#This Row],[DUT Ucty]])</f>
        <v>N/A</v>
      </c>
      <c r="Y2696" s="1" t="str">
        <f>IF(Table1[[#This Row],[Std Read]]="","N/A",Table1[[#This Row],[Std Read]]+Table1[[#This Row],[Std Ucty]])</f>
        <v>N/A</v>
      </c>
      <c r="Z26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6" s="1" t="str">
        <f>IF(Table1[[#This Row],[Spec Type]]="","N/A",Table1[[#This Row],[Spec Type]])</f>
        <v>±</v>
      </c>
      <c r="AC2696" s="1" t="str">
        <f>IF(Table1[[#This Row],[Spec Type2]]="N/A","N/A",IF(AND(Table1[[#This Row],[DUT Adj Read]]&gt;=Table1[[#This Row],[Low Tol]],Table1[[#This Row],[DUT Adj Read]]&lt;=Table1[[#This Row],[High Tol]]),"Pass","Fail"))</f>
        <v>Fail</v>
      </c>
      <c r="AD2696" s="1" t="str">
        <f>IF(AND(Table1[[#This Row],[Spec Type2]]="N/A",Table1[[#This Row],[DUT Adj Read]]="N/A",Table1[[#This Row],[Std Adj Read]]="N/A"),"N/A",IF(Table1[[#This Row],[DUT Adj Read]]="N/A",IF(Table1[[#This Row],[Std Adj Read]]&gt;Table1[[#This Row],[Low Tol]],"Pass","Fail"),IF(Table1[[#This Row],[DUT Adj Read]]&gt;Table1[[#This Row],[Low Tol]],"Pass","Fail")))</f>
        <v>Pass</v>
      </c>
      <c r="AE2696" s="1" t="str">
        <f>IF(AND(Table1[[#This Row],[Spec Type2]]="N/A",Table1[[#This Row],[DUT Adj Read]]="N/A",Table1[[#This Row],[Std Adj Read]]="N/A"),"N/A",IF(Table1[[#This Row],[DUT Adj Read]]="N/A",IF(Table1[[#This Row],[Std Adj Read]]&lt;Table1[[#This Row],[High Tol]],"Pass","Fail"),IF(Table1[[#This Row],[DUT Adj Read]]&lt;Table1[[#This Row],[High Tol]],"Pass","Fail")))</f>
        <v>Fail</v>
      </c>
      <c r="AF2696" s="1" t="str">
        <f>IF(AND(Table1[[#This Row],[Spec Type2]]="N/A",Table1[[#This Row],[DUT Adj Read]]="N/A",Table1[[#This Row],[Std Adj Read]]="N/A"),"N/A",IF(Table1[[#This Row],[DUT Adj Read]]="N/A",IF(Table1[[#This Row],[Std Adj Read]]&gt;=Table1[[#This Row],[Low Tol]],"Pass","Fail"),IF(Table1[[#This Row],[DUT Adj Read]]&gt;=Table1[[#This Row],[Low Tol]],"Pass","Fail")))</f>
        <v>Pass</v>
      </c>
      <c r="AG2696" s="1" t="str">
        <f>IF(AND(Table1[[#This Row],[Spec Type2]]="N/A",Table1[[#This Row],[DUT Adj Read]]="N/A",Table1[[#This Row],[Std Adj Read]]="N/A"),"N/A",IF(Table1[[#This Row],[DUT Adj Read]]="N/A",IF(Table1[[#This Row],[Std Adj Read]]&lt;=Table1[[#This Row],[High Tol]],"Pass","Fail"),IF(Table1[[#This Row],[DUT Adj Read]]&lt;=Table1[[#This Row],[High Tol]],"Pass","Fail")))</f>
        <v>Fail</v>
      </c>
      <c r="AH26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6" s="1" t="b">
        <v>0</v>
      </c>
      <c r="AN2696" s="1" t="b">
        <v>0</v>
      </c>
      <c r="AO2696" s="1" t="b">
        <v>0</v>
      </c>
    </row>
    <row r="2697" spans="1:41" x14ac:dyDescent="0.25">
      <c r="A2697" s="10"/>
      <c r="B2697" s="10"/>
      <c r="C2697" s="10"/>
      <c r="D2697" s="10"/>
      <c r="E2697" s="10"/>
      <c r="F2697" s="10"/>
      <c r="G2697" s="10"/>
      <c r="H2697" s="10"/>
      <c r="I2697" s="1" t="str">
        <f t="shared" si="123"/>
        <v/>
      </c>
      <c r="J2697" s="1" t="s">
        <v>35</v>
      </c>
      <c r="K2697" s="1" t="str">
        <f t="shared" si="124"/>
        <v/>
      </c>
      <c r="L2697" s="1" t="str">
        <f t="shared" si="125"/>
        <v/>
      </c>
      <c r="M2697" s="1">
        <f>IF(OR(Table1[[#This Row],[Std Nom]]="",Table1[[#This Row],[Std Read]]=""),0,Table1[[#This Row],[Std Nom]]-Table1[[#This Row],[Std Read]])</f>
        <v>0</v>
      </c>
      <c r="N2697" s="1">
        <f>IF(Calculations!$F$5="ACCREDITED 17025 WITH UNCERTAINTIES",$N$10,0)</f>
        <v>0</v>
      </c>
      <c r="Q2697" s="1">
        <f>Table1[[#This Row],[High Tol]]-Table1[[#This Row],[Low Tol]]</f>
        <v>0</v>
      </c>
      <c r="R2697" s="1">
        <f>2*Table1[[#This Row],[Std Error]]</f>
        <v>0</v>
      </c>
      <c r="S2697" s="1" t="str">
        <f>IF(Table1[[#This Row],[High Tol]]="","N/A",IFERROR(ABS(Table1[[#This Row],[Tol Span]]/Table1[[#This Row],[Error Span]]),"N/A"))</f>
        <v>N/A</v>
      </c>
      <c r="T2697" s="1" t="str">
        <f>IF(OR(Table1[[#This Row],[Low Tol]]="",Table1[[#This Row],[High Tol]]=""),"Needs Analysis",IF(Table1[[#This Row],[Ratio]]&gt;=4,"Not Significant",IF(Table1[[#This Row],[Ratio]]&gt;=2,"Semi-Significant","Significant")))</f>
        <v>Needs Analysis</v>
      </c>
      <c r="W2697" s="1">
        <f>IF(Table1[[#This Row],[Cal Type]]&lt;&gt;"ACCREDITED 17025 WITH UNCERTAINTIES",0,"")</f>
        <v>0</v>
      </c>
      <c r="X2697" s="1" t="str">
        <f>IF(Table1[[#This Row],[DUT Read]]="","N/A",Table1[[#This Row],[Std Error]]+Table1[[#This Row],[DUT Read]]+Table1[[#This Row],[DUT Ucty]])</f>
        <v>N/A</v>
      </c>
      <c r="Y2697" s="1" t="str">
        <f>IF(Table1[[#This Row],[Std Read]]="","N/A",Table1[[#This Row],[Std Read]]+Table1[[#This Row],[Std Ucty]])</f>
        <v>N/A</v>
      </c>
      <c r="Z26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7" s="1" t="str">
        <f>IF(Table1[[#This Row],[Spec Type]]="","N/A",Table1[[#This Row],[Spec Type]])</f>
        <v>±</v>
      </c>
      <c r="AC2697" s="1" t="str">
        <f>IF(Table1[[#This Row],[Spec Type2]]="N/A","N/A",IF(AND(Table1[[#This Row],[DUT Adj Read]]&gt;=Table1[[#This Row],[Low Tol]],Table1[[#This Row],[DUT Adj Read]]&lt;=Table1[[#This Row],[High Tol]]),"Pass","Fail"))</f>
        <v>Fail</v>
      </c>
      <c r="AD2697" s="1" t="str">
        <f>IF(AND(Table1[[#This Row],[Spec Type2]]="N/A",Table1[[#This Row],[DUT Adj Read]]="N/A",Table1[[#This Row],[Std Adj Read]]="N/A"),"N/A",IF(Table1[[#This Row],[DUT Adj Read]]="N/A",IF(Table1[[#This Row],[Std Adj Read]]&gt;Table1[[#This Row],[Low Tol]],"Pass","Fail"),IF(Table1[[#This Row],[DUT Adj Read]]&gt;Table1[[#This Row],[Low Tol]],"Pass","Fail")))</f>
        <v>Pass</v>
      </c>
      <c r="AE2697" s="1" t="str">
        <f>IF(AND(Table1[[#This Row],[Spec Type2]]="N/A",Table1[[#This Row],[DUT Adj Read]]="N/A",Table1[[#This Row],[Std Adj Read]]="N/A"),"N/A",IF(Table1[[#This Row],[DUT Adj Read]]="N/A",IF(Table1[[#This Row],[Std Adj Read]]&lt;Table1[[#This Row],[High Tol]],"Pass","Fail"),IF(Table1[[#This Row],[DUT Adj Read]]&lt;Table1[[#This Row],[High Tol]],"Pass","Fail")))</f>
        <v>Fail</v>
      </c>
      <c r="AF2697" s="1" t="str">
        <f>IF(AND(Table1[[#This Row],[Spec Type2]]="N/A",Table1[[#This Row],[DUT Adj Read]]="N/A",Table1[[#This Row],[Std Adj Read]]="N/A"),"N/A",IF(Table1[[#This Row],[DUT Adj Read]]="N/A",IF(Table1[[#This Row],[Std Adj Read]]&gt;=Table1[[#This Row],[Low Tol]],"Pass","Fail"),IF(Table1[[#This Row],[DUT Adj Read]]&gt;=Table1[[#This Row],[Low Tol]],"Pass","Fail")))</f>
        <v>Pass</v>
      </c>
      <c r="AG2697" s="1" t="str">
        <f>IF(AND(Table1[[#This Row],[Spec Type2]]="N/A",Table1[[#This Row],[DUT Adj Read]]="N/A",Table1[[#This Row],[Std Adj Read]]="N/A"),"N/A",IF(Table1[[#This Row],[DUT Adj Read]]="N/A",IF(Table1[[#This Row],[Std Adj Read]]&lt;=Table1[[#This Row],[High Tol]],"Pass","Fail"),IF(Table1[[#This Row],[DUT Adj Read]]&lt;=Table1[[#This Row],[High Tol]],"Pass","Fail")))</f>
        <v>Fail</v>
      </c>
      <c r="AH26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7" s="1" t="b">
        <v>0</v>
      </c>
      <c r="AN2697" s="1" t="b">
        <v>0</v>
      </c>
      <c r="AO2697" s="1" t="b">
        <v>0</v>
      </c>
    </row>
    <row r="2698" spans="1:41" x14ac:dyDescent="0.25">
      <c r="A2698" s="10"/>
      <c r="B2698" s="10"/>
      <c r="C2698" s="10"/>
      <c r="D2698" s="10"/>
      <c r="E2698" s="10"/>
      <c r="F2698" s="10"/>
      <c r="G2698" s="10"/>
      <c r="H2698" s="10"/>
      <c r="I2698" s="1" t="str">
        <f t="shared" si="123"/>
        <v/>
      </c>
      <c r="J2698" s="1" t="s">
        <v>35</v>
      </c>
      <c r="K2698" s="1" t="str">
        <f t="shared" si="124"/>
        <v/>
      </c>
      <c r="L2698" s="1" t="str">
        <f t="shared" si="125"/>
        <v/>
      </c>
      <c r="M2698" s="1">
        <f>IF(OR(Table1[[#This Row],[Std Nom]]="",Table1[[#This Row],[Std Read]]=""),0,Table1[[#This Row],[Std Nom]]-Table1[[#This Row],[Std Read]])</f>
        <v>0</v>
      </c>
      <c r="N2698" s="1">
        <f>IF(Calculations!$F$5="ACCREDITED 17025 WITH UNCERTAINTIES",$N$10,0)</f>
        <v>0</v>
      </c>
      <c r="Q2698" s="1">
        <f>Table1[[#This Row],[High Tol]]-Table1[[#This Row],[Low Tol]]</f>
        <v>0</v>
      </c>
      <c r="R2698" s="1">
        <f>2*Table1[[#This Row],[Std Error]]</f>
        <v>0</v>
      </c>
      <c r="S2698" s="1" t="str">
        <f>IF(Table1[[#This Row],[High Tol]]="","N/A",IFERROR(ABS(Table1[[#This Row],[Tol Span]]/Table1[[#This Row],[Error Span]]),"N/A"))</f>
        <v>N/A</v>
      </c>
      <c r="T2698" s="1" t="str">
        <f>IF(OR(Table1[[#This Row],[Low Tol]]="",Table1[[#This Row],[High Tol]]=""),"Needs Analysis",IF(Table1[[#This Row],[Ratio]]&gt;=4,"Not Significant",IF(Table1[[#This Row],[Ratio]]&gt;=2,"Semi-Significant","Significant")))</f>
        <v>Needs Analysis</v>
      </c>
      <c r="W2698" s="1">
        <f>IF(Table1[[#This Row],[Cal Type]]&lt;&gt;"ACCREDITED 17025 WITH UNCERTAINTIES",0,"")</f>
        <v>0</v>
      </c>
      <c r="X2698" s="1" t="str">
        <f>IF(Table1[[#This Row],[DUT Read]]="","N/A",Table1[[#This Row],[Std Error]]+Table1[[#This Row],[DUT Read]]+Table1[[#This Row],[DUT Ucty]])</f>
        <v>N/A</v>
      </c>
      <c r="Y2698" s="1" t="str">
        <f>IF(Table1[[#This Row],[Std Read]]="","N/A",Table1[[#This Row],[Std Read]]+Table1[[#This Row],[Std Ucty]])</f>
        <v>N/A</v>
      </c>
      <c r="Z26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8" s="1" t="str">
        <f>IF(Table1[[#This Row],[Spec Type]]="","N/A",Table1[[#This Row],[Spec Type]])</f>
        <v>±</v>
      </c>
      <c r="AC2698" s="1" t="str">
        <f>IF(Table1[[#This Row],[Spec Type2]]="N/A","N/A",IF(AND(Table1[[#This Row],[DUT Adj Read]]&gt;=Table1[[#This Row],[Low Tol]],Table1[[#This Row],[DUT Adj Read]]&lt;=Table1[[#This Row],[High Tol]]),"Pass","Fail"))</f>
        <v>Fail</v>
      </c>
      <c r="AD2698" s="1" t="str">
        <f>IF(AND(Table1[[#This Row],[Spec Type2]]="N/A",Table1[[#This Row],[DUT Adj Read]]="N/A",Table1[[#This Row],[Std Adj Read]]="N/A"),"N/A",IF(Table1[[#This Row],[DUT Adj Read]]="N/A",IF(Table1[[#This Row],[Std Adj Read]]&gt;Table1[[#This Row],[Low Tol]],"Pass","Fail"),IF(Table1[[#This Row],[DUT Adj Read]]&gt;Table1[[#This Row],[Low Tol]],"Pass","Fail")))</f>
        <v>Pass</v>
      </c>
      <c r="AE2698" s="1" t="str">
        <f>IF(AND(Table1[[#This Row],[Spec Type2]]="N/A",Table1[[#This Row],[DUT Adj Read]]="N/A",Table1[[#This Row],[Std Adj Read]]="N/A"),"N/A",IF(Table1[[#This Row],[DUT Adj Read]]="N/A",IF(Table1[[#This Row],[Std Adj Read]]&lt;Table1[[#This Row],[High Tol]],"Pass","Fail"),IF(Table1[[#This Row],[DUT Adj Read]]&lt;Table1[[#This Row],[High Tol]],"Pass","Fail")))</f>
        <v>Fail</v>
      </c>
      <c r="AF2698" s="1" t="str">
        <f>IF(AND(Table1[[#This Row],[Spec Type2]]="N/A",Table1[[#This Row],[DUT Adj Read]]="N/A",Table1[[#This Row],[Std Adj Read]]="N/A"),"N/A",IF(Table1[[#This Row],[DUT Adj Read]]="N/A",IF(Table1[[#This Row],[Std Adj Read]]&gt;=Table1[[#This Row],[Low Tol]],"Pass","Fail"),IF(Table1[[#This Row],[DUT Adj Read]]&gt;=Table1[[#This Row],[Low Tol]],"Pass","Fail")))</f>
        <v>Pass</v>
      </c>
      <c r="AG2698" s="1" t="str">
        <f>IF(AND(Table1[[#This Row],[Spec Type2]]="N/A",Table1[[#This Row],[DUT Adj Read]]="N/A",Table1[[#This Row],[Std Adj Read]]="N/A"),"N/A",IF(Table1[[#This Row],[DUT Adj Read]]="N/A",IF(Table1[[#This Row],[Std Adj Read]]&lt;=Table1[[#This Row],[High Tol]],"Pass","Fail"),IF(Table1[[#This Row],[DUT Adj Read]]&lt;=Table1[[#This Row],[High Tol]],"Pass","Fail")))</f>
        <v>Fail</v>
      </c>
      <c r="AH26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8" s="1" t="b">
        <v>0</v>
      </c>
      <c r="AN2698" s="1" t="b">
        <v>0</v>
      </c>
      <c r="AO2698" s="1" t="b">
        <v>0</v>
      </c>
    </row>
    <row r="2699" spans="1:41" x14ac:dyDescent="0.25">
      <c r="A2699" s="10"/>
      <c r="B2699" s="10"/>
      <c r="C2699" s="10"/>
      <c r="D2699" s="10"/>
      <c r="E2699" s="10"/>
      <c r="F2699" s="10"/>
      <c r="G2699" s="10"/>
      <c r="H2699" s="10"/>
      <c r="I2699" s="1" t="str">
        <f t="shared" ref="I2699:I2762" si="126">IF($I$10="","",$I$10)</f>
        <v/>
      </c>
      <c r="J2699" s="1" t="s">
        <v>35</v>
      </c>
      <c r="K2699" s="1" t="str">
        <f t="shared" ref="K2699:K2762" si="127">IF($K$10="","",$K$10)</f>
        <v/>
      </c>
      <c r="L2699" s="1" t="str">
        <f t="shared" ref="L2699:L2762" si="128">IF($L$10="","",$L$10)</f>
        <v/>
      </c>
      <c r="M2699" s="1">
        <f>IF(OR(Table1[[#This Row],[Std Nom]]="",Table1[[#This Row],[Std Read]]=""),0,Table1[[#This Row],[Std Nom]]-Table1[[#This Row],[Std Read]])</f>
        <v>0</v>
      </c>
      <c r="N2699" s="1">
        <f>IF(Calculations!$F$5="ACCREDITED 17025 WITH UNCERTAINTIES",$N$10,0)</f>
        <v>0</v>
      </c>
      <c r="Q2699" s="1">
        <f>Table1[[#This Row],[High Tol]]-Table1[[#This Row],[Low Tol]]</f>
        <v>0</v>
      </c>
      <c r="R2699" s="1">
        <f>2*Table1[[#This Row],[Std Error]]</f>
        <v>0</v>
      </c>
      <c r="S2699" s="1" t="str">
        <f>IF(Table1[[#This Row],[High Tol]]="","N/A",IFERROR(ABS(Table1[[#This Row],[Tol Span]]/Table1[[#This Row],[Error Span]]),"N/A"))</f>
        <v>N/A</v>
      </c>
      <c r="T2699" s="1" t="str">
        <f>IF(OR(Table1[[#This Row],[Low Tol]]="",Table1[[#This Row],[High Tol]]=""),"Needs Analysis",IF(Table1[[#This Row],[Ratio]]&gt;=4,"Not Significant",IF(Table1[[#This Row],[Ratio]]&gt;=2,"Semi-Significant","Significant")))</f>
        <v>Needs Analysis</v>
      </c>
      <c r="W2699" s="1">
        <f>IF(Table1[[#This Row],[Cal Type]]&lt;&gt;"ACCREDITED 17025 WITH UNCERTAINTIES",0,"")</f>
        <v>0</v>
      </c>
      <c r="X2699" s="1" t="str">
        <f>IF(Table1[[#This Row],[DUT Read]]="","N/A",Table1[[#This Row],[Std Error]]+Table1[[#This Row],[DUT Read]]+Table1[[#This Row],[DUT Ucty]])</f>
        <v>N/A</v>
      </c>
      <c r="Y2699" s="1" t="str">
        <f>IF(Table1[[#This Row],[Std Read]]="","N/A",Table1[[#This Row],[Std Read]]+Table1[[#This Row],[Std Ucty]])</f>
        <v>N/A</v>
      </c>
      <c r="Z26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699" s="1" t="str">
        <f>IF(Table1[[#This Row],[Spec Type]]="","N/A",Table1[[#This Row],[Spec Type]])</f>
        <v>±</v>
      </c>
      <c r="AC2699" s="1" t="str">
        <f>IF(Table1[[#This Row],[Spec Type2]]="N/A","N/A",IF(AND(Table1[[#This Row],[DUT Adj Read]]&gt;=Table1[[#This Row],[Low Tol]],Table1[[#This Row],[DUT Adj Read]]&lt;=Table1[[#This Row],[High Tol]]),"Pass","Fail"))</f>
        <v>Fail</v>
      </c>
      <c r="AD2699" s="1" t="str">
        <f>IF(AND(Table1[[#This Row],[Spec Type2]]="N/A",Table1[[#This Row],[DUT Adj Read]]="N/A",Table1[[#This Row],[Std Adj Read]]="N/A"),"N/A",IF(Table1[[#This Row],[DUT Adj Read]]="N/A",IF(Table1[[#This Row],[Std Adj Read]]&gt;Table1[[#This Row],[Low Tol]],"Pass","Fail"),IF(Table1[[#This Row],[DUT Adj Read]]&gt;Table1[[#This Row],[Low Tol]],"Pass","Fail")))</f>
        <v>Pass</v>
      </c>
      <c r="AE2699" s="1" t="str">
        <f>IF(AND(Table1[[#This Row],[Spec Type2]]="N/A",Table1[[#This Row],[DUT Adj Read]]="N/A",Table1[[#This Row],[Std Adj Read]]="N/A"),"N/A",IF(Table1[[#This Row],[DUT Adj Read]]="N/A",IF(Table1[[#This Row],[Std Adj Read]]&lt;Table1[[#This Row],[High Tol]],"Pass","Fail"),IF(Table1[[#This Row],[DUT Adj Read]]&lt;Table1[[#This Row],[High Tol]],"Pass","Fail")))</f>
        <v>Fail</v>
      </c>
      <c r="AF2699" s="1" t="str">
        <f>IF(AND(Table1[[#This Row],[Spec Type2]]="N/A",Table1[[#This Row],[DUT Adj Read]]="N/A",Table1[[#This Row],[Std Adj Read]]="N/A"),"N/A",IF(Table1[[#This Row],[DUT Adj Read]]="N/A",IF(Table1[[#This Row],[Std Adj Read]]&gt;=Table1[[#This Row],[Low Tol]],"Pass","Fail"),IF(Table1[[#This Row],[DUT Adj Read]]&gt;=Table1[[#This Row],[Low Tol]],"Pass","Fail")))</f>
        <v>Pass</v>
      </c>
      <c r="AG2699" s="1" t="str">
        <f>IF(AND(Table1[[#This Row],[Spec Type2]]="N/A",Table1[[#This Row],[DUT Adj Read]]="N/A",Table1[[#This Row],[Std Adj Read]]="N/A"),"N/A",IF(Table1[[#This Row],[DUT Adj Read]]="N/A",IF(Table1[[#This Row],[Std Adj Read]]&lt;=Table1[[#This Row],[High Tol]],"Pass","Fail"),IF(Table1[[#This Row],[DUT Adj Read]]&lt;=Table1[[#This Row],[High Tol]],"Pass","Fail")))</f>
        <v>Fail</v>
      </c>
      <c r="AH26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699" s="1" t="b">
        <v>0</v>
      </c>
      <c r="AN2699" s="1" t="b">
        <v>0</v>
      </c>
      <c r="AO2699" s="1" t="b">
        <v>0</v>
      </c>
    </row>
    <row r="2700" spans="1:41" x14ac:dyDescent="0.25">
      <c r="A2700" s="10"/>
      <c r="B2700" s="10"/>
      <c r="C2700" s="10"/>
      <c r="D2700" s="10"/>
      <c r="E2700" s="10"/>
      <c r="F2700" s="10"/>
      <c r="G2700" s="10"/>
      <c r="H2700" s="10"/>
      <c r="I2700" s="1" t="str">
        <f t="shared" si="126"/>
        <v/>
      </c>
      <c r="J2700" s="1" t="s">
        <v>35</v>
      </c>
      <c r="K2700" s="1" t="str">
        <f t="shared" si="127"/>
        <v/>
      </c>
      <c r="L2700" s="1" t="str">
        <f t="shared" si="128"/>
        <v/>
      </c>
      <c r="M2700" s="1">
        <f>IF(OR(Table1[[#This Row],[Std Nom]]="",Table1[[#This Row],[Std Read]]=""),0,Table1[[#This Row],[Std Nom]]-Table1[[#This Row],[Std Read]])</f>
        <v>0</v>
      </c>
      <c r="N2700" s="1">
        <f>IF(Calculations!$F$5="ACCREDITED 17025 WITH UNCERTAINTIES",$N$10,0)</f>
        <v>0</v>
      </c>
      <c r="Q2700" s="1">
        <f>Table1[[#This Row],[High Tol]]-Table1[[#This Row],[Low Tol]]</f>
        <v>0</v>
      </c>
      <c r="R2700" s="1">
        <f>2*Table1[[#This Row],[Std Error]]</f>
        <v>0</v>
      </c>
      <c r="S2700" s="1" t="str">
        <f>IF(Table1[[#This Row],[High Tol]]="","N/A",IFERROR(ABS(Table1[[#This Row],[Tol Span]]/Table1[[#This Row],[Error Span]]),"N/A"))</f>
        <v>N/A</v>
      </c>
      <c r="T2700" s="1" t="str">
        <f>IF(OR(Table1[[#This Row],[Low Tol]]="",Table1[[#This Row],[High Tol]]=""),"Needs Analysis",IF(Table1[[#This Row],[Ratio]]&gt;=4,"Not Significant",IF(Table1[[#This Row],[Ratio]]&gt;=2,"Semi-Significant","Significant")))</f>
        <v>Needs Analysis</v>
      </c>
      <c r="W2700" s="1">
        <f>IF(Table1[[#This Row],[Cal Type]]&lt;&gt;"ACCREDITED 17025 WITH UNCERTAINTIES",0,"")</f>
        <v>0</v>
      </c>
      <c r="X2700" s="1" t="str">
        <f>IF(Table1[[#This Row],[DUT Read]]="","N/A",Table1[[#This Row],[Std Error]]+Table1[[#This Row],[DUT Read]]+Table1[[#This Row],[DUT Ucty]])</f>
        <v>N/A</v>
      </c>
      <c r="Y2700" s="1" t="str">
        <f>IF(Table1[[#This Row],[Std Read]]="","N/A",Table1[[#This Row],[Std Read]]+Table1[[#This Row],[Std Ucty]])</f>
        <v>N/A</v>
      </c>
      <c r="Z27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0" s="1" t="str">
        <f>IF(Table1[[#This Row],[Spec Type]]="","N/A",Table1[[#This Row],[Spec Type]])</f>
        <v>±</v>
      </c>
      <c r="AC2700" s="1" t="str">
        <f>IF(Table1[[#This Row],[Spec Type2]]="N/A","N/A",IF(AND(Table1[[#This Row],[DUT Adj Read]]&gt;=Table1[[#This Row],[Low Tol]],Table1[[#This Row],[DUT Adj Read]]&lt;=Table1[[#This Row],[High Tol]]),"Pass","Fail"))</f>
        <v>Fail</v>
      </c>
      <c r="AD2700" s="1" t="str">
        <f>IF(AND(Table1[[#This Row],[Spec Type2]]="N/A",Table1[[#This Row],[DUT Adj Read]]="N/A",Table1[[#This Row],[Std Adj Read]]="N/A"),"N/A",IF(Table1[[#This Row],[DUT Adj Read]]="N/A",IF(Table1[[#This Row],[Std Adj Read]]&gt;Table1[[#This Row],[Low Tol]],"Pass","Fail"),IF(Table1[[#This Row],[DUT Adj Read]]&gt;Table1[[#This Row],[Low Tol]],"Pass","Fail")))</f>
        <v>Pass</v>
      </c>
      <c r="AE2700" s="1" t="str">
        <f>IF(AND(Table1[[#This Row],[Spec Type2]]="N/A",Table1[[#This Row],[DUT Adj Read]]="N/A",Table1[[#This Row],[Std Adj Read]]="N/A"),"N/A",IF(Table1[[#This Row],[DUT Adj Read]]="N/A",IF(Table1[[#This Row],[Std Adj Read]]&lt;Table1[[#This Row],[High Tol]],"Pass","Fail"),IF(Table1[[#This Row],[DUT Adj Read]]&lt;Table1[[#This Row],[High Tol]],"Pass","Fail")))</f>
        <v>Fail</v>
      </c>
      <c r="AF2700" s="1" t="str">
        <f>IF(AND(Table1[[#This Row],[Spec Type2]]="N/A",Table1[[#This Row],[DUT Adj Read]]="N/A",Table1[[#This Row],[Std Adj Read]]="N/A"),"N/A",IF(Table1[[#This Row],[DUT Adj Read]]="N/A",IF(Table1[[#This Row],[Std Adj Read]]&gt;=Table1[[#This Row],[Low Tol]],"Pass","Fail"),IF(Table1[[#This Row],[DUT Adj Read]]&gt;=Table1[[#This Row],[Low Tol]],"Pass","Fail")))</f>
        <v>Pass</v>
      </c>
      <c r="AG2700" s="1" t="str">
        <f>IF(AND(Table1[[#This Row],[Spec Type2]]="N/A",Table1[[#This Row],[DUT Adj Read]]="N/A",Table1[[#This Row],[Std Adj Read]]="N/A"),"N/A",IF(Table1[[#This Row],[DUT Adj Read]]="N/A",IF(Table1[[#This Row],[Std Adj Read]]&lt;=Table1[[#This Row],[High Tol]],"Pass","Fail"),IF(Table1[[#This Row],[DUT Adj Read]]&lt;=Table1[[#This Row],[High Tol]],"Pass","Fail")))</f>
        <v>Fail</v>
      </c>
      <c r="AH27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0" s="1" t="b">
        <v>0</v>
      </c>
      <c r="AN2700" s="1" t="b">
        <v>0</v>
      </c>
      <c r="AO2700" s="1" t="b">
        <v>0</v>
      </c>
    </row>
    <row r="2701" spans="1:41" x14ac:dyDescent="0.25">
      <c r="A2701" s="10"/>
      <c r="B2701" s="10"/>
      <c r="C2701" s="10"/>
      <c r="D2701" s="10"/>
      <c r="E2701" s="10"/>
      <c r="F2701" s="10"/>
      <c r="G2701" s="10"/>
      <c r="H2701" s="10"/>
      <c r="I2701" s="1" t="str">
        <f t="shared" si="126"/>
        <v/>
      </c>
      <c r="J2701" s="1" t="s">
        <v>35</v>
      </c>
      <c r="K2701" s="1" t="str">
        <f t="shared" si="127"/>
        <v/>
      </c>
      <c r="L2701" s="1" t="str">
        <f t="shared" si="128"/>
        <v/>
      </c>
      <c r="M2701" s="1">
        <f>IF(OR(Table1[[#This Row],[Std Nom]]="",Table1[[#This Row],[Std Read]]=""),0,Table1[[#This Row],[Std Nom]]-Table1[[#This Row],[Std Read]])</f>
        <v>0</v>
      </c>
      <c r="N2701" s="1">
        <f>IF(Calculations!$F$5="ACCREDITED 17025 WITH UNCERTAINTIES",$N$10,0)</f>
        <v>0</v>
      </c>
      <c r="Q2701" s="1">
        <f>Table1[[#This Row],[High Tol]]-Table1[[#This Row],[Low Tol]]</f>
        <v>0</v>
      </c>
      <c r="R2701" s="1">
        <f>2*Table1[[#This Row],[Std Error]]</f>
        <v>0</v>
      </c>
      <c r="S2701" s="1" t="str">
        <f>IF(Table1[[#This Row],[High Tol]]="","N/A",IFERROR(ABS(Table1[[#This Row],[Tol Span]]/Table1[[#This Row],[Error Span]]),"N/A"))</f>
        <v>N/A</v>
      </c>
      <c r="T2701" s="1" t="str">
        <f>IF(OR(Table1[[#This Row],[Low Tol]]="",Table1[[#This Row],[High Tol]]=""),"Needs Analysis",IF(Table1[[#This Row],[Ratio]]&gt;=4,"Not Significant",IF(Table1[[#This Row],[Ratio]]&gt;=2,"Semi-Significant","Significant")))</f>
        <v>Needs Analysis</v>
      </c>
      <c r="W2701" s="1">
        <f>IF(Table1[[#This Row],[Cal Type]]&lt;&gt;"ACCREDITED 17025 WITH UNCERTAINTIES",0,"")</f>
        <v>0</v>
      </c>
      <c r="X2701" s="1" t="str">
        <f>IF(Table1[[#This Row],[DUT Read]]="","N/A",Table1[[#This Row],[Std Error]]+Table1[[#This Row],[DUT Read]]+Table1[[#This Row],[DUT Ucty]])</f>
        <v>N/A</v>
      </c>
      <c r="Y2701" s="1" t="str">
        <f>IF(Table1[[#This Row],[Std Read]]="","N/A",Table1[[#This Row],[Std Read]]+Table1[[#This Row],[Std Ucty]])</f>
        <v>N/A</v>
      </c>
      <c r="Z27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1" s="1" t="str">
        <f>IF(Table1[[#This Row],[Spec Type]]="","N/A",Table1[[#This Row],[Spec Type]])</f>
        <v>±</v>
      </c>
      <c r="AC2701" s="1" t="str">
        <f>IF(Table1[[#This Row],[Spec Type2]]="N/A","N/A",IF(AND(Table1[[#This Row],[DUT Adj Read]]&gt;=Table1[[#This Row],[Low Tol]],Table1[[#This Row],[DUT Adj Read]]&lt;=Table1[[#This Row],[High Tol]]),"Pass","Fail"))</f>
        <v>Fail</v>
      </c>
      <c r="AD2701" s="1" t="str">
        <f>IF(AND(Table1[[#This Row],[Spec Type2]]="N/A",Table1[[#This Row],[DUT Adj Read]]="N/A",Table1[[#This Row],[Std Adj Read]]="N/A"),"N/A",IF(Table1[[#This Row],[DUT Adj Read]]="N/A",IF(Table1[[#This Row],[Std Adj Read]]&gt;Table1[[#This Row],[Low Tol]],"Pass","Fail"),IF(Table1[[#This Row],[DUT Adj Read]]&gt;Table1[[#This Row],[Low Tol]],"Pass","Fail")))</f>
        <v>Pass</v>
      </c>
      <c r="AE2701" s="1" t="str">
        <f>IF(AND(Table1[[#This Row],[Spec Type2]]="N/A",Table1[[#This Row],[DUT Adj Read]]="N/A",Table1[[#This Row],[Std Adj Read]]="N/A"),"N/A",IF(Table1[[#This Row],[DUT Adj Read]]="N/A",IF(Table1[[#This Row],[Std Adj Read]]&lt;Table1[[#This Row],[High Tol]],"Pass","Fail"),IF(Table1[[#This Row],[DUT Adj Read]]&lt;Table1[[#This Row],[High Tol]],"Pass","Fail")))</f>
        <v>Fail</v>
      </c>
      <c r="AF2701" s="1" t="str">
        <f>IF(AND(Table1[[#This Row],[Spec Type2]]="N/A",Table1[[#This Row],[DUT Adj Read]]="N/A",Table1[[#This Row],[Std Adj Read]]="N/A"),"N/A",IF(Table1[[#This Row],[DUT Adj Read]]="N/A",IF(Table1[[#This Row],[Std Adj Read]]&gt;=Table1[[#This Row],[Low Tol]],"Pass","Fail"),IF(Table1[[#This Row],[DUT Adj Read]]&gt;=Table1[[#This Row],[Low Tol]],"Pass","Fail")))</f>
        <v>Pass</v>
      </c>
      <c r="AG2701" s="1" t="str">
        <f>IF(AND(Table1[[#This Row],[Spec Type2]]="N/A",Table1[[#This Row],[DUT Adj Read]]="N/A",Table1[[#This Row],[Std Adj Read]]="N/A"),"N/A",IF(Table1[[#This Row],[DUT Adj Read]]="N/A",IF(Table1[[#This Row],[Std Adj Read]]&lt;=Table1[[#This Row],[High Tol]],"Pass","Fail"),IF(Table1[[#This Row],[DUT Adj Read]]&lt;=Table1[[#This Row],[High Tol]],"Pass","Fail")))</f>
        <v>Fail</v>
      </c>
      <c r="AH27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1" s="1" t="b">
        <v>0</v>
      </c>
      <c r="AN2701" s="1" t="b">
        <v>0</v>
      </c>
      <c r="AO2701" s="1" t="b">
        <v>0</v>
      </c>
    </row>
    <row r="2702" spans="1:41" x14ac:dyDescent="0.25">
      <c r="A2702" s="10"/>
      <c r="B2702" s="10"/>
      <c r="C2702" s="10"/>
      <c r="D2702" s="10"/>
      <c r="E2702" s="10"/>
      <c r="F2702" s="10"/>
      <c r="G2702" s="10"/>
      <c r="H2702" s="10"/>
      <c r="I2702" s="1" t="str">
        <f t="shared" si="126"/>
        <v/>
      </c>
      <c r="J2702" s="1" t="s">
        <v>35</v>
      </c>
      <c r="K2702" s="1" t="str">
        <f t="shared" si="127"/>
        <v/>
      </c>
      <c r="L2702" s="1" t="str">
        <f t="shared" si="128"/>
        <v/>
      </c>
      <c r="M2702" s="1">
        <f>IF(OR(Table1[[#This Row],[Std Nom]]="",Table1[[#This Row],[Std Read]]=""),0,Table1[[#This Row],[Std Nom]]-Table1[[#This Row],[Std Read]])</f>
        <v>0</v>
      </c>
      <c r="N2702" s="1">
        <f>IF(Calculations!$F$5="ACCREDITED 17025 WITH UNCERTAINTIES",$N$10,0)</f>
        <v>0</v>
      </c>
      <c r="Q2702" s="1">
        <f>Table1[[#This Row],[High Tol]]-Table1[[#This Row],[Low Tol]]</f>
        <v>0</v>
      </c>
      <c r="R2702" s="1">
        <f>2*Table1[[#This Row],[Std Error]]</f>
        <v>0</v>
      </c>
      <c r="S2702" s="1" t="str">
        <f>IF(Table1[[#This Row],[High Tol]]="","N/A",IFERROR(ABS(Table1[[#This Row],[Tol Span]]/Table1[[#This Row],[Error Span]]),"N/A"))</f>
        <v>N/A</v>
      </c>
      <c r="T2702" s="1" t="str">
        <f>IF(OR(Table1[[#This Row],[Low Tol]]="",Table1[[#This Row],[High Tol]]=""),"Needs Analysis",IF(Table1[[#This Row],[Ratio]]&gt;=4,"Not Significant",IF(Table1[[#This Row],[Ratio]]&gt;=2,"Semi-Significant","Significant")))</f>
        <v>Needs Analysis</v>
      </c>
      <c r="W2702" s="1">
        <f>IF(Table1[[#This Row],[Cal Type]]&lt;&gt;"ACCREDITED 17025 WITH UNCERTAINTIES",0,"")</f>
        <v>0</v>
      </c>
      <c r="X2702" s="1" t="str">
        <f>IF(Table1[[#This Row],[DUT Read]]="","N/A",Table1[[#This Row],[Std Error]]+Table1[[#This Row],[DUT Read]]+Table1[[#This Row],[DUT Ucty]])</f>
        <v>N/A</v>
      </c>
      <c r="Y2702" s="1" t="str">
        <f>IF(Table1[[#This Row],[Std Read]]="","N/A",Table1[[#This Row],[Std Read]]+Table1[[#This Row],[Std Ucty]])</f>
        <v>N/A</v>
      </c>
      <c r="Z27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2" s="1" t="str">
        <f>IF(Table1[[#This Row],[Spec Type]]="","N/A",Table1[[#This Row],[Spec Type]])</f>
        <v>±</v>
      </c>
      <c r="AC2702" s="1" t="str">
        <f>IF(Table1[[#This Row],[Spec Type2]]="N/A","N/A",IF(AND(Table1[[#This Row],[DUT Adj Read]]&gt;=Table1[[#This Row],[Low Tol]],Table1[[#This Row],[DUT Adj Read]]&lt;=Table1[[#This Row],[High Tol]]),"Pass","Fail"))</f>
        <v>Fail</v>
      </c>
      <c r="AD2702" s="1" t="str">
        <f>IF(AND(Table1[[#This Row],[Spec Type2]]="N/A",Table1[[#This Row],[DUT Adj Read]]="N/A",Table1[[#This Row],[Std Adj Read]]="N/A"),"N/A",IF(Table1[[#This Row],[DUT Adj Read]]="N/A",IF(Table1[[#This Row],[Std Adj Read]]&gt;Table1[[#This Row],[Low Tol]],"Pass","Fail"),IF(Table1[[#This Row],[DUT Adj Read]]&gt;Table1[[#This Row],[Low Tol]],"Pass","Fail")))</f>
        <v>Pass</v>
      </c>
      <c r="AE2702" s="1" t="str">
        <f>IF(AND(Table1[[#This Row],[Spec Type2]]="N/A",Table1[[#This Row],[DUT Adj Read]]="N/A",Table1[[#This Row],[Std Adj Read]]="N/A"),"N/A",IF(Table1[[#This Row],[DUT Adj Read]]="N/A",IF(Table1[[#This Row],[Std Adj Read]]&lt;Table1[[#This Row],[High Tol]],"Pass","Fail"),IF(Table1[[#This Row],[DUT Adj Read]]&lt;Table1[[#This Row],[High Tol]],"Pass","Fail")))</f>
        <v>Fail</v>
      </c>
      <c r="AF2702" s="1" t="str">
        <f>IF(AND(Table1[[#This Row],[Spec Type2]]="N/A",Table1[[#This Row],[DUT Adj Read]]="N/A",Table1[[#This Row],[Std Adj Read]]="N/A"),"N/A",IF(Table1[[#This Row],[DUT Adj Read]]="N/A",IF(Table1[[#This Row],[Std Adj Read]]&gt;=Table1[[#This Row],[Low Tol]],"Pass","Fail"),IF(Table1[[#This Row],[DUT Adj Read]]&gt;=Table1[[#This Row],[Low Tol]],"Pass","Fail")))</f>
        <v>Pass</v>
      </c>
      <c r="AG2702" s="1" t="str">
        <f>IF(AND(Table1[[#This Row],[Spec Type2]]="N/A",Table1[[#This Row],[DUT Adj Read]]="N/A",Table1[[#This Row],[Std Adj Read]]="N/A"),"N/A",IF(Table1[[#This Row],[DUT Adj Read]]="N/A",IF(Table1[[#This Row],[Std Adj Read]]&lt;=Table1[[#This Row],[High Tol]],"Pass","Fail"),IF(Table1[[#This Row],[DUT Adj Read]]&lt;=Table1[[#This Row],[High Tol]],"Pass","Fail")))</f>
        <v>Fail</v>
      </c>
      <c r="AH27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2" s="1" t="b">
        <v>0</v>
      </c>
      <c r="AN2702" s="1" t="b">
        <v>0</v>
      </c>
      <c r="AO2702" s="1" t="b">
        <v>0</v>
      </c>
    </row>
    <row r="2703" spans="1:41" x14ac:dyDescent="0.25">
      <c r="A2703" s="10"/>
      <c r="B2703" s="10"/>
      <c r="C2703" s="10"/>
      <c r="D2703" s="10"/>
      <c r="E2703" s="10"/>
      <c r="F2703" s="10"/>
      <c r="G2703" s="10"/>
      <c r="H2703" s="10"/>
      <c r="I2703" s="1" t="str">
        <f t="shared" si="126"/>
        <v/>
      </c>
      <c r="J2703" s="1" t="s">
        <v>35</v>
      </c>
      <c r="K2703" s="1" t="str">
        <f t="shared" si="127"/>
        <v/>
      </c>
      <c r="L2703" s="1" t="str">
        <f t="shared" si="128"/>
        <v/>
      </c>
      <c r="M2703" s="1">
        <f>IF(OR(Table1[[#This Row],[Std Nom]]="",Table1[[#This Row],[Std Read]]=""),0,Table1[[#This Row],[Std Nom]]-Table1[[#This Row],[Std Read]])</f>
        <v>0</v>
      </c>
      <c r="N2703" s="1">
        <f>IF(Calculations!$F$5="ACCREDITED 17025 WITH UNCERTAINTIES",$N$10,0)</f>
        <v>0</v>
      </c>
      <c r="Q2703" s="1">
        <f>Table1[[#This Row],[High Tol]]-Table1[[#This Row],[Low Tol]]</f>
        <v>0</v>
      </c>
      <c r="R2703" s="1">
        <f>2*Table1[[#This Row],[Std Error]]</f>
        <v>0</v>
      </c>
      <c r="S2703" s="1" t="str">
        <f>IF(Table1[[#This Row],[High Tol]]="","N/A",IFERROR(ABS(Table1[[#This Row],[Tol Span]]/Table1[[#This Row],[Error Span]]),"N/A"))</f>
        <v>N/A</v>
      </c>
      <c r="T2703" s="1" t="str">
        <f>IF(OR(Table1[[#This Row],[Low Tol]]="",Table1[[#This Row],[High Tol]]=""),"Needs Analysis",IF(Table1[[#This Row],[Ratio]]&gt;=4,"Not Significant",IF(Table1[[#This Row],[Ratio]]&gt;=2,"Semi-Significant","Significant")))</f>
        <v>Needs Analysis</v>
      </c>
      <c r="W2703" s="1">
        <f>IF(Table1[[#This Row],[Cal Type]]&lt;&gt;"ACCREDITED 17025 WITH UNCERTAINTIES",0,"")</f>
        <v>0</v>
      </c>
      <c r="X2703" s="1" t="str">
        <f>IF(Table1[[#This Row],[DUT Read]]="","N/A",Table1[[#This Row],[Std Error]]+Table1[[#This Row],[DUT Read]]+Table1[[#This Row],[DUT Ucty]])</f>
        <v>N/A</v>
      </c>
      <c r="Y2703" s="1" t="str">
        <f>IF(Table1[[#This Row],[Std Read]]="","N/A",Table1[[#This Row],[Std Read]]+Table1[[#This Row],[Std Ucty]])</f>
        <v>N/A</v>
      </c>
      <c r="Z27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3" s="1" t="str">
        <f>IF(Table1[[#This Row],[Spec Type]]="","N/A",Table1[[#This Row],[Spec Type]])</f>
        <v>±</v>
      </c>
      <c r="AC2703" s="1" t="str">
        <f>IF(Table1[[#This Row],[Spec Type2]]="N/A","N/A",IF(AND(Table1[[#This Row],[DUT Adj Read]]&gt;=Table1[[#This Row],[Low Tol]],Table1[[#This Row],[DUT Adj Read]]&lt;=Table1[[#This Row],[High Tol]]),"Pass","Fail"))</f>
        <v>Fail</v>
      </c>
      <c r="AD2703" s="1" t="str">
        <f>IF(AND(Table1[[#This Row],[Spec Type2]]="N/A",Table1[[#This Row],[DUT Adj Read]]="N/A",Table1[[#This Row],[Std Adj Read]]="N/A"),"N/A",IF(Table1[[#This Row],[DUT Adj Read]]="N/A",IF(Table1[[#This Row],[Std Adj Read]]&gt;Table1[[#This Row],[Low Tol]],"Pass","Fail"),IF(Table1[[#This Row],[DUT Adj Read]]&gt;Table1[[#This Row],[Low Tol]],"Pass","Fail")))</f>
        <v>Pass</v>
      </c>
      <c r="AE2703" s="1" t="str">
        <f>IF(AND(Table1[[#This Row],[Spec Type2]]="N/A",Table1[[#This Row],[DUT Adj Read]]="N/A",Table1[[#This Row],[Std Adj Read]]="N/A"),"N/A",IF(Table1[[#This Row],[DUT Adj Read]]="N/A",IF(Table1[[#This Row],[Std Adj Read]]&lt;Table1[[#This Row],[High Tol]],"Pass","Fail"),IF(Table1[[#This Row],[DUT Adj Read]]&lt;Table1[[#This Row],[High Tol]],"Pass","Fail")))</f>
        <v>Fail</v>
      </c>
      <c r="AF2703" s="1" t="str">
        <f>IF(AND(Table1[[#This Row],[Spec Type2]]="N/A",Table1[[#This Row],[DUT Adj Read]]="N/A",Table1[[#This Row],[Std Adj Read]]="N/A"),"N/A",IF(Table1[[#This Row],[DUT Adj Read]]="N/A",IF(Table1[[#This Row],[Std Adj Read]]&gt;=Table1[[#This Row],[Low Tol]],"Pass","Fail"),IF(Table1[[#This Row],[DUT Adj Read]]&gt;=Table1[[#This Row],[Low Tol]],"Pass","Fail")))</f>
        <v>Pass</v>
      </c>
      <c r="AG2703" s="1" t="str">
        <f>IF(AND(Table1[[#This Row],[Spec Type2]]="N/A",Table1[[#This Row],[DUT Adj Read]]="N/A",Table1[[#This Row],[Std Adj Read]]="N/A"),"N/A",IF(Table1[[#This Row],[DUT Adj Read]]="N/A",IF(Table1[[#This Row],[Std Adj Read]]&lt;=Table1[[#This Row],[High Tol]],"Pass","Fail"),IF(Table1[[#This Row],[DUT Adj Read]]&lt;=Table1[[#This Row],[High Tol]],"Pass","Fail")))</f>
        <v>Fail</v>
      </c>
      <c r="AH27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3" s="1" t="b">
        <v>0</v>
      </c>
      <c r="AN2703" s="1" t="b">
        <v>0</v>
      </c>
      <c r="AO2703" s="1" t="b">
        <v>0</v>
      </c>
    </row>
    <row r="2704" spans="1:41" x14ac:dyDescent="0.25">
      <c r="A2704" s="10"/>
      <c r="B2704" s="10"/>
      <c r="C2704" s="10"/>
      <c r="D2704" s="10"/>
      <c r="E2704" s="10"/>
      <c r="F2704" s="10"/>
      <c r="G2704" s="10"/>
      <c r="H2704" s="10"/>
      <c r="I2704" s="1" t="str">
        <f t="shared" si="126"/>
        <v/>
      </c>
      <c r="J2704" s="1" t="s">
        <v>35</v>
      </c>
      <c r="K2704" s="1" t="str">
        <f t="shared" si="127"/>
        <v/>
      </c>
      <c r="L2704" s="1" t="str">
        <f t="shared" si="128"/>
        <v/>
      </c>
      <c r="M2704" s="1">
        <f>IF(OR(Table1[[#This Row],[Std Nom]]="",Table1[[#This Row],[Std Read]]=""),0,Table1[[#This Row],[Std Nom]]-Table1[[#This Row],[Std Read]])</f>
        <v>0</v>
      </c>
      <c r="N2704" s="1">
        <f>IF(Calculations!$F$5="ACCREDITED 17025 WITH UNCERTAINTIES",$N$10,0)</f>
        <v>0</v>
      </c>
      <c r="Q2704" s="1">
        <f>Table1[[#This Row],[High Tol]]-Table1[[#This Row],[Low Tol]]</f>
        <v>0</v>
      </c>
      <c r="R2704" s="1">
        <f>2*Table1[[#This Row],[Std Error]]</f>
        <v>0</v>
      </c>
      <c r="S2704" s="1" t="str">
        <f>IF(Table1[[#This Row],[High Tol]]="","N/A",IFERROR(ABS(Table1[[#This Row],[Tol Span]]/Table1[[#This Row],[Error Span]]),"N/A"))</f>
        <v>N/A</v>
      </c>
      <c r="T2704" s="1" t="str">
        <f>IF(OR(Table1[[#This Row],[Low Tol]]="",Table1[[#This Row],[High Tol]]=""),"Needs Analysis",IF(Table1[[#This Row],[Ratio]]&gt;=4,"Not Significant",IF(Table1[[#This Row],[Ratio]]&gt;=2,"Semi-Significant","Significant")))</f>
        <v>Needs Analysis</v>
      </c>
      <c r="W2704" s="1">
        <f>IF(Table1[[#This Row],[Cal Type]]&lt;&gt;"ACCREDITED 17025 WITH UNCERTAINTIES",0,"")</f>
        <v>0</v>
      </c>
      <c r="X2704" s="1" t="str">
        <f>IF(Table1[[#This Row],[DUT Read]]="","N/A",Table1[[#This Row],[Std Error]]+Table1[[#This Row],[DUT Read]]+Table1[[#This Row],[DUT Ucty]])</f>
        <v>N/A</v>
      </c>
      <c r="Y2704" s="1" t="str">
        <f>IF(Table1[[#This Row],[Std Read]]="","N/A",Table1[[#This Row],[Std Read]]+Table1[[#This Row],[Std Ucty]])</f>
        <v>N/A</v>
      </c>
      <c r="Z27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4" s="1" t="str">
        <f>IF(Table1[[#This Row],[Spec Type]]="","N/A",Table1[[#This Row],[Spec Type]])</f>
        <v>±</v>
      </c>
      <c r="AC2704" s="1" t="str">
        <f>IF(Table1[[#This Row],[Spec Type2]]="N/A","N/A",IF(AND(Table1[[#This Row],[DUT Adj Read]]&gt;=Table1[[#This Row],[Low Tol]],Table1[[#This Row],[DUT Adj Read]]&lt;=Table1[[#This Row],[High Tol]]),"Pass","Fail"))</f>
        <v>Fail</v>
      </c>
      <c r="AD2704" s="1" t="str">
        <f>IF(AND(Table1[[#This Row],[Spec Type2]]="N/A",Table1[[#This Row],[DUT Adj Read]]="N/A",Table1[[#This Row],[Std Adj Read]]="N/A"),"N/A",IF(Table1[[#This Row],[DUT Adj Read]]="N/A",IF(Table1[[#This Row],[Std Adj Read]]&gt;Table1[[#This Row],[Low Tol]],"Pass","Fail"),IF(Table1[[#This Row],[DUT Adj Read]]&gt;Table1[[#This Row],[Low Tol]],"Pass","Fail")))</f>
        <v>Pass</v>
      </c>
      <c r="AE2704" s="1" t="str">
        <f>IF(AND(Table1[[#This Row],[Spec Type2]]="N/A",Table1[[#This Row],[DUT Adj Read]]="N/A",Table1[[#This Row],[Std Adj Read]]="N/A"),"N/A",IF(Table1[[#This Row],[DUT Adj Read]]="N/A",IF(Table1[[#This Row],[Std Adj Read]]&lt;Table1[[#This Row],[High Tol]],"Pass","Fail"),IF(Table1[[#This Row],[DUT Adj Read]]&lt;Table1[[#This Row],[High Tol]],"Pass","Fail")))</f>
        <v>Fail</v>
      </c>
      <c r="AF2704" s="1" t="str">
        <f>IF(AND(Table1[[#This Row],[Spec Type2]]="N/A",Table1[[#This Row],[DUT Adj Read]]="N/A",Table1[[#This Row],[Std Adj Read]]="N/A"),"N/A",IF(Table1[[#This Row],[DUT Adj Read]]="N/A",IF(Table1[[#This Row],[Std Adj Read]]&gt;=Table1[[#This Row],[Low Tol]],"Pass","Fail"),IF(Table1[[#This Row],[DUT Adj Read]]&gt;=Table1[[#This Row],[Low Tol]],"Pass","Fail")))</f>
        <v>Pass</v>
      </c>
      <c r="AG2704" s="1" t="str">
        <f>IF(AND(Table1[[#This Row],[Spec Type2]]="N/A",Table1[[#This Row],[DUT Adj Read]]="N/A",Table1[[#This Row],[Std Adj Read]]="N/A"),"N/A",IF(Table1[[#This Row],[DUT Adj Read]]="N/A",IF(Table1[[#This Row],[Std Adj Read]]&lt;=Table1[[#This Row],[High Tol]],"Pass","Fail"),IF(Table1[[#This Row],[DUT Adj Read]]&lt;=Table1[[#This Row],[High Tol]],"Pass","Fail")))</f>
        <v>Fail</v>
      </c>
      <c r="AH27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4" s="1" t="b">
        <v>0</v>
      </c>
      <c r="AN2704" s="1" t="b">
        <v>0</v>
      </c>
      <c r="AO2704" s="1" t="b">
        <v>0</v>
      </c>
    </row>
    <row r="2705" spans="1:41" x14ac:dyDescent="0.25">
      <c r="A2705" s="10"/>
      <c r="B2705" s="10"/>
      <c r="C2705" s="10"/>
      <c r="D2705" s="10"/>
      <c r="E2705" s="10"/>
      <c r="F2705" s="10"/>
      <c r="G2705" s="10"/>
      <c r="H2705" s="10"/>
      <c r="I2705" s="1" t="str">
        <f t="shared" si="126"/>
        <v/>
      </c>
      <c r="J2705" s="1" t="s">
        <v>35</v>
      </c>
      <c r="K2705" s="1" t="str">
        <f t="shared" si="127"/>
        <v/>
      </c>
      <c r="L2705" s="1" t="str">
        <f t="shared" si="128"/>
        <v/>
      </c>
      <c r="M2705" s="1">
        <f>IF(OR(Table1[[#This Row],[Std Nom]]="",Table1[[#This Row],[Std Read]]=""),0,Table1[[#This Row],[Std Nom]]-Table1[[#This Row],[Std Read]])</f>
        <v>0</v>
      </c>
      <c r="N2705" s="1">
        <f>IF(Calculations!$F$5="ACCREDITED 17025 WITH UNCERTAINTIES",$N$10,0)</f>
        <v>0</v>
      </c>
      <c r="Q2705" s="1">
        <f>Table1[[#This Row],[High Tol]]-Table1[[#This Row],[Low Tol]]</f>
        <v>0</v>
      </c>
      <c r="R2705" s="1">
        <f>2*Table1[[#This Row],[Std Error]]</f>
        <v>0</v>
      </c>
      <c r="S2705" s="1" t="str">
        <f>IF(Table1[[#This Row],[High Tol]]="","N/A",IFERROR(ABS(Table1[[#This Row],[Tol Span]]/Table1[[#This Row],[Error Span]]),"N/A"))</f>
        <v>N/A</v>
      </c>
      <c r="T2705" s="1" t="str">
        <f>IF(OR(Table1[[#This Row],[Low Tol]]="",Table1[[#This Row],[High Tol]]=""),"Needs Analysis",IF(Table1[[#This Row],[Ratio]]&gt;=4,"Not Significant",IF(Table1[[#This Row],[Ratio]]&gt;=2,"Semi-Significant","Significant")))</f>
        <v>Needs Analysis</v>
      </c>
      <c r="W2705" s="1">
        <f>IF(Table1[[#This Row],[Cal Type]]&lt;&gt;"ACCREDITED 17025 WITH UNCERTAINTIES",0,"")</f>
        <v>0</v>
      </c>
      <c r="X2705" s="1" t="str">
        <f>IF(Table1[[#This Row],[DUT Read]]="","N/A",Table1[[#This Row],[Std Error]]+Table1[[#This Row],[DUT Read]]+Table1[[#This Row],[DUT Ucty]])</f>
        <v>N/A</v>
      </c>
      <c r="Y2705" s="1" t="str">
        <f>IF(Table1[[#This Row],[Std Read]]="","N/A",Table1[[#This Row],[Std Read]]+Table1[[#This Row],[Std Ucty]])</f>
        <v>N/A</v>
      </c>
      <c r="Z27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5" s="1" t="str">
        <f>IF(Table1[[#This Row],[Spec Type]]="","N/A",Table1[[#This Row],[Spec Type]])</f>
        <v>±</v>
      </c>
      <c r="AC2705" s="1" t="str">
        <f>IF(Table1[[#This Row],[Spec Type2]]="N/A","N/A",IF(AND(Table1[[#This Row],[DUT Adj Read]]&gt;=Table1[[#This Row],[Low Tol]],Table1[[#This Row],[DUT Adj Read]]&lt;=Table1[[#This Row],[High Tol]]),"Pass","Fail"))</f>
        <v>Fail</v>
      </c>
      <c r="AD2705" s="1" t="str">
        <f>IF(AND(Table1[[#This Row],[Spec Type2]]="N/A",Table1[[#This Row],[DUT Adj Read]]="N/A",Table1[[#This Row],[Std Adj Read]]="N/A"),"N/A",IF(Table1[[#This Row],[DUT Adj Read]]="N/A",IF(Table1[[#This Row],[Std Adj Read]]&gt;Table1[[#This Row],[Low Tol]],"Pass","Fail"),IF(Table1[[#This Row],[DUT Adj Read]]&gt;Table1[[#This Row],[Low Tol]],"Pass","Fail")))</f>
        <v>Pass</v>
      </c>
      <c r="AE2705" s="1" t="str">
        <f>IF(AND(Table1[[#This Row],[Spec Type2]]="N/A",Table1[[#This Row],[DUT Adj Read]]="N/A",Table1[[#This Row],[Std Adj Read]]="N/A"),"N/A",IF(Table1[[#This Row],[DUT Adj Read]]="N/A",IF(Table1[[#This Row],[Std Adj Read]]&lt;Table1[[#This Row],[High Tol]],"Pass","Fail"),IF(Table1[[#This Row],[DUT Adj Read]]&lt;Table1[[#This Row],[High Tol]],"Pass","Fail")))</f>
        <v>Fail</v>
      </c>
      <c r="AF2705" s="1" t="str">
        <f>IF(AND(Table1[[#This Row],[Spec Type2]]="N/A",Table1[[#This Row],[DUT Adj Read]]="N/A",Table1[[#This Row],[Std Adj Read]]="N/A"),"N/A",IF(Table1[[#This Row],[DUT Adj Read]]="N/A",IF(Table1[[#This Row],[Std Adj Read]]&gt;=Table1[[#This Row],[Low Tol]],"Pass","Fail"),IF(Table1[[#This Row],[DUT Adj Read]]&gt;=Table1[[#This Row],[Low Tol]],"Pass","Fail")))</f>
        <v>Pass</v>
      </c>
      <c r="AG2705" s="1" t="str">
        <f>IF(AND(Table1[[#This Row],[Spec Type2]]="N/A",Table1[[#This Row],[DUT Adj Read]]="N/A",Table1[[#This Row],[Std Adj Read]]="N/A"),"N/A",IF(Table1[[#This Row],[DUT Adj Read]]="N/A",IF(Table1[[#This Row],[Std Adj Read]]&lt;=Table1[[#This Row],[High Tol]],"Pass","Fail"),IF(Table1[[#This Row],[DUT Adj Read]]&lt;=Table1[[#This Row],[High Tol]],"Pass","Fail")))</f>
        <v>Fail</v>
      </c>
      <c r="AH27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5" s="1" t="b">
        <v>0</v>
      </c>
      <c r="AN2705" s="1" t="b">
        <v>0</v>
      </c>
      <c r="AO2705" s="1" t="b">
        <v>0</v>
      </c>
    </row>
    <row r="2706" spans="1:41" x14ac:dyDescent="0.25">
      <c r="A2706" s="10"/>
      <c r="B2706" s="10"/>
      <c r="C2706" s="10"/>
      <c r="D2706" s="10"/>
      <c r="E2706" s="10"/>
      <c r="F2706" s="10"/>
      <c r="G2706" s="10"/>
      <c r="H2706" s="10"/>
      <c r="I2706" s="1" t="str">
        <f t="shared" si="126"/>
        <v/>
      </c>
      <c r="J2706" s="1" t="s">
        <v>35</v>
      </c>
      <c r="K2706" s="1" t="str">
        <f t="shared" si="127"/>
        <v/>
      </c>
      <c r="L2706" s="1" t="str">
        <f t="shared" si="128"/>
        <v/>
      </c>
      <c r="M2706" s="1">
        <f>IF(OR(Table1[[#This Row],[Std Nom]]="",Table1[[#This Row],[Std Read]]=""),0,Table1[[#This Row],[Std Nom]]-Table1[[#This Row],[Std Read]])</f>
        <v>0</v>
      </c>
      <c r="N2706" s="1">
        <f>IF(Calculations!$F$5="ACCREDITED 17025 WITH UNCERTAINTIES",$N$10,0)</f>
        <v>0</v>
      </c>
      <c r="Q2706" s="1">
        <f>Table1[[#This Row],[High Tol]]-Table1[[#This Row],[Low Tol]]</f>
        <v>0</v>
      </c>
      <c r="R2706" s="1">
        <f>2*Table1[[#This Row],[Std Error]]</f>
        <v>0</v>
      </c>
      <c r="S2706" s="1" t="str">
        <f>IF(Table1[[#This Row],[High Tol]]="","N/A",IFERROR(ABS(Table1[[#This Row],[Tol Span]]/Table1[[#This Row],[Error Span]]),"N/A"))</f>
        <v>N/A</v>
      </c>
      <c r="T2706" s="1" t="str">
        <f>IF(OR(Table1[[#This Row],[Low Tol]]="",Table1[[#This Row],[High Tol]]=""),"Needs Analysis",IF(Table1[[#This Row],[Ratio]]&gt;=4,"Not Significant",IF(Table1[[#This Row],[Ratio]]&gt;=2,"Semi-Significant","Significant")))</f>
        <v>Needs Analysis</v>
      </c>
      <c r="W2706" s="1">
        <f>IF(Table1[[#This Row],[Cal Type]]&lt;&gt;"ACCREDITED 17025 WITH UNCERTAINTIES",0,"")</f>
        <v>0</v>
      </c>
      <c r="X2706" s="1" t="str">
        <f>IF(Table1[[#This Row],[DUT Read]]="","N/A",Table1[[#This Row],[Std Error]]+Table1[[#This Row],[DUT Read]]+Table1[[#This Row],[DUT Ucty]])</f>
        <v>N/A</v>
      </c>
      <c r="Y2706" s="1" t="str">
        <f>IF(Table1[[#This Row],[Std Read]]="","N/A",Table1[[#This Row],[Std Read]]+Table1[[#This Row],[Std Ucty]])</f>
        <v>N/A</v>
      </c>
      <c r="Z27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6" s="1" t="str">
        <f>IF(Table1[[#This Row],[Spec Type]]="","N/A",Table1[[#This Row],[Spec Type]])</f>
        <v>±</v>
      </c>
      <c r="AC2706" s="1" t="str">
        <f>IF(Table1[[#This Row],[Spec Type2]]="N/A","N/A",IF(AND(Table1[[#This Row],[DUT Adj Read]]&gt;=Table1[[#This Row],[Low Tol]],Table1[[#This Row],[DUT Adj Read]]&lt;=Table1[[#This Row],[High Tol]]),"Pass","Fail"))</f>
        <v>Fail</v>
      </c>
      <c r="AD2706" s="1" t="str">
        <f>IF(AND(Table1[[#This Row],[Spec Type2]]="N/A",Table1[[#This Row],[DUT Adj Read]]="N/A",Table1[[#This Row],[Std Adj Read]]="N/A"),"N/A",IF(Table1[[#This Row],[DUT Adj Read]]="N/A",IF(Table1[[#This Row],[Std Adj Read]]&gt;Table1[[#This Row],[Low Tol]],"Pass","Fail"),IF(Table1[[#This Row],[DUT Adj Read]]&gt;Table1[[#This Row],[Low Tol]],"Pass","Fail")))</f>
        <v>Pass</v>
      </c>
      <c r="AE2706" s="1" t="str">
        <f>IF(AND(Table1[[#This Row],[Spec Type2]]="N/A",Table1[[#This Row],[DUT Adj Read]]="N/A",Table1[[#This Row],[Std Adj Read]]="N/A"),"N/A",IF(Table1[[#This Row],[DUT Adj Read]]="N/A",IF(Table1[[#This Row],[Std Adj Read]]&lt;Table1[[#This Row],[High Tol]],"Pass","Fail"),IF(Table1[[#This Row],[DUT Adj Read]]&lt;Table1[[#This Row],[High Tol]],"Pass","Fail")))</f>
        <v>Fail</v>
      </c>
      <c r="AF2706" s="1" t="str">
        <f>IF(AND(Table1[[#This Row],[Spec Type2]]="N/A",Table1[[#This Row],[DUT Adj Read]]="N/A",Table1[[#This Row],[Std Adj Read]]="N/A"),"N/A",IF(Table1[[#This Row],[DUT Adj Read]]="N/A",IF(Table1[[#This Row],[Std Adj Read]]&gt;=Table1[[#This Row],[Low Tol]],"Pass","Fail"),IF(Table1[[#This Row],[DUT Adj Read]]&gt;=Table1[[#This Row],[Low Tol]],"Pass","Fail")))</f>
        <v>Pass</v>
      </c>
      <c r="AG2706" s="1" t="str">
        <f>IF(AND(Table1[[#This Row],[Spec Type2]]="N/A",Table1[[#This Row],[DUT Adj Read]]="N/A",Table1[[#This Row],[Std Adj Read]]="N/A"),"N/A",IF(Table1[[#This Row],[DUT Adj Read]]="N/A",IF(Table1[[#This Row],[Std Adj Read]]&lt;=Table1[[#This Row],[High Tol]],"Pass","Fail"),IF(Table1[[#This Row],[DUT Adj Read]]&lt;=Table1[[#This Row],[High Tol]],"Pass","Fail")))</f>
        <v>Fail</v>
      </c>
      <c r="AH27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6" s="1" t="b">
        <v>0</v>
      </c>
      <c r="AN2706" s="1" t="b">
        <v>0</v>
      </c>
      <c r="AO2706" s="1" t="b">
        <v>0</v>
      </c>
    </row>
    <row r="2707" spans="1:41" x14ac:dyDescent="0.25">
      <c r="A2707" s="10"/>
      <c r="B2707" s="10"/>
      <c r="C2707" s="10"/>
      <c r="D2707" s="10"/>
      <c r="E2707" s="10"/>
      <c r="F2707" s="10"/>
      <c r="G2707" s="10"/>
      <c r="H2707" s="10"/>
      <c r="I2707" s="1" t="str">
        <f t="shared" si="126"/>
        <v/>
      </c>
      <c r="J2707" s="1" t="s">
        <v>35</v>
      </c>
      <c r="K2707" s="1" t="str">
        <f t="shared" si="127"/>
        <v/>
      </c>
      <c r="L2707" s="1" t="str">
        <f t="shared" si="128"/>
        <v/>
      </c>
      <c r="M2707" s="1">
        <f>IF(OR(Table1[[#This Row],[Std Nom]]="",Table1[[#This Row],[Std Read]]=""),0,Table1[[#This Row],[Std Nom]]-Table1[[#This Row],[Std Read]])</f>
        <v>0</v>
      </c>
      <c r="N2707" s="1">
        <f>IF(Calculations!$F$5="ACCREDITED 17025 WITH UNCERTAINTIES",$N$10,0)</f>
        <v>0</v>
      </c>
      <c r="Q2707" s="1">
        <f>Table1[[#This Row],[High Tol]]-Table1[[#This Row],[Low Tol]]</f>
        <v>0</v>
      </c>
      <c r="R2707" s="1">
        <f>2*Table1[[#This Row],[Std Error]]</f>
        <v>0</v>
      </c>
      <c r="S2707" s="1" t="str">
        <f>IF(Table1[[#This Row],[High Tol]]="","N/A",IFERROR(ABS(Table1[[#This Row],[Tol Span]]/Table1[[#This Row],[Error Span]]),"N/A"))</f>
        <v>N/A</v>
      </c>
      <c r="T2707" s="1" t="str">
        <f>IF(OR(Table1[[#This Row],[Low Tol]]="",Table1[[#This Row],[High Tol]]=""),"Needs Analysis",IF(Table1[[#This Row],[Ratio]]&gt;=4,"Not Significant",IF(Table1[[#This Row],[Ratio]]&gt;=2,"Semi-Significant","Significant")))</f>
        <v>Needs Analysis</v>
      </c>
      <c r="W2707" s="1">
        <f>IF(Table1[[#This Row],[Cal Type]]&lt;&gt;"ACCREDITED 17025 WITH UNCERTAINTIES",0,"")</f>
        <v>0</v>
      </c>
      <c r="X2707" s="1" t="str">
        <f>IF(Table1[[#This Row],[DUT Read]]="","N/A",Table1[[#This Row],[Std Error]]+Table1[[#This Row],[DUT Read]]+Table1[[#This Row],[DUT Ucty]])</f>
        <v>N/A</v>
      </c>
      <c r="Y2707" s="1" t="str">
        <f>IF(Table1[[#This Row],[Std Read]]="","N/A",Table1[[#This Row],[Std Read]]+Table1[[#This Row],[Std Ucty]])</f>
        <v>N/A</v>
      </c>
      <c r="Z27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7" s="1" t="str">
        <f>IF(Table1[[#This Row],[Spec Type]]="","N/A",Table1[[#This Row],[Spec Type]])</f>
        <v>±</v>
      </c>
      <c r="AC2707" s="1" t="str">
        <f>IF(Table1[[#This Row],[Spec Type2]]="N/A","N/A",IF(AND(Table1[[#This Row],[DUT Adj Read]]&gt;=Table1[[#This Row],[Low Tol]],Table1[[#This Row],[DUT Adj Read]]&lt;=Table1[[#This Row],[High Tol]]),"Pass","Fail"))</f>
        <v>Fail</v>
      </c>
      <c r="AD2707" s="1" t="str">
        <f>IF(AND(Table1[[#This Row],[Spec Type2]]="N/A",Table1[[#This Row],[DUT Adj Read]]="N/A",Table1[[#This Row],[Std Adj Read]]="N/A"),"N/A",IF(Table1[[#This Row],[DUT Adj Read]]="N/A",IF(Table1[[#This Row],[Std Adj Read]]&gt;Table1[[#This Row],[Low Tol]],"Pass","Fail"),IF(Table1[[#This Row],[DUT Adj Read]]&gt;Table1[[#This Row],[Low Tol]],"Pass","Fail")))</f>
        <v>Pass</v>
      </c>
      <c r="AE2707" s="1" t="str">
        <f>IF(AND(Table1[[#This Row],[Spec Type2]]="N/A",Table1[[#This Row],[DUT Adj Read]]="N/A",Table1[[#This Row],[Std Adj Read]]="N/A"),"N/A",IF(Table1[[#This Row],[DUT Adj Read]]="N/A",IF(Table1[[#This Row],[Std Adj Read]]&lt;Table1[[#This Row],[High Tol]],"Pass","Fail"),IF(Table1[[#This Row],[DUT Adj Read]]&lt;Table1[[#This Row],[High Tol]],"Pass","Fail")))</f>
        <v>Fail</v>
      </c>
      <c r="AF2707" s="1" t="str">
        <f>IF(AND(Table1[[#This Row],[Spec Type2]]="N/A",Table1[[#This Row],[DUT Adj Read]]="N/A",Table1[[#This Row],[Std Adj Read]]="N/A"),"N/A",IF(Table1[[#This Row],[DUT Adj Read]]="N/A",IF(Table1[[#This Row],[Std Adj Read]]&gt;=Table1[[#This Row],[Low Tol]],"Pass","Fail"),IF(Table1[[#This Row],[DUT Adj Read]]&gt;=Table1[[#This Row],[Low Tol]],"Pass","Fail")))</f>
        <v>Pass</v>
      </c>
      <c r="AG2707" s="1" t="str">
        <f>IF(AND(Table1[[#This Row],[Spec Type2]]="N/A",Table1[[#This Row],[DUT Adj Read]]="N/A",Table1[[#This Row],[Std Adj Read]]="N/A"),"N/A",IF(Table1[[#This Row],[DUT Adj Read]]="N/A",IF(Table1[[#This Row],[Std Adj Read]]&lt;=Table1[[#This Row],[High Tol]],"Pass","Fail"),IF(Table1[[#This Row],[DUT Adj Read]]&lt;=Table1[[#This Row],[High Tol]],"Pass","Fail")))</f>
        <v>Fail</v>
      </c>
      <c r="AH27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7" s="1" t="b">
        <v>0</v>
      </c>
      <c r="AN2707" s="1" t="b">
        <v>0</v>
      </c>
      <c r="AO2707" s="1" t="b">
        <v>0</v>
      </c>
    </row>
    <row r="2708" spans="1:41" x14ac:dyDescent="0.25">
      <c r="A2708" s="10"/>
      <c r="B2708" s="10"/>
      <c r="C2708" s="10"/>
      <c r="D2708" s="10"/>
      <c r="E2708" s="10"/>
      <c r="F2708" s="10"/>
      <c r="G2708" s="10"/>
      <c r="H2708" s="10"/>
      <c r="I2708" s="1" t="str">
        <f t="shared" si="126"/>
        <v/>
      </c>
      <c r="J2708" s="1" t="s">
        <v>35</v>
      </c>
      <c r="K2708" s="1" t="str">
        <f t="shared" si="127"/>
        <v/>
      </c>
      <c r="L2708" s="1" t="str">
        <f t="shared" si="128"/>
        <v/>
      </c>
      <c r="M2708" s="1">
        <f>IF(OR(Table1[[#This Row],[Std Nom]]="",Table1[[#This Row],[Std Read]]=""),0,Table1[[#This Row],[Std Nom]]-Table1[[#This Row],[Std Read]])</f>
        <v>0</v>
      </c>
      <c r="N2708" s="1">
        <f>IF(Calculations!$F$5="ACCREDITED 17025 WITH UNCERTAINTIES",$N$10,0)</f>
        <v>0</v>
      </c>
      <c r="Q2708" s="1">
        <f>Table1[[#This Row],[High Tol]]-Table1[[#This Row],[Low Tol]]</f>
        <v>0</v>
      </c>
      <c r="R2708" s="1">
        <f>2*Table1[[#This Row],[Std Error]]</f>
        <v>0</v>
      </c>
      <c r="S2708" s="1" t="str">
        <f>IF(Table1[[#This Row],[High Tol]]="","N/A",IFERROR(ABS(Table1[[#This Row],[Tol Span]]/Table1[[#This Row],[Error Span]]),"N/A"))</f>
        <v>N/A</v>
      </c>
      <c r="T2708" s="1" t="str">
        <f>IF(OR(Table1[[#This Row],[Low Tol]]="",Table1[[#This Row],[High Tol]]=""),"Needs Analysis",IF(Table1[[#This Row],[Ratio]]&gt;=4,"Not Significant",IF(Table1[[#This Row],[Ratio]]&gt;=2,"Semi-Significant","Significant")))</f>
        <v>Needs Analysis</v>
      </c>
      <c r="W2708" s="1">
        <f>IF(Table1[[#This Row],[Cal Type]]&lt;&gt;"ACCREDITED 17025 WITH UNCERTAINTIES",0,"")</f>
        <v>0</v>
      </c>
      <c r="X2708" s="1" t="str">
        <f>IF(Table1[[#This Row],[DUT Read]]="","N/A",Table1[[#This Row],[Std Error]]+Table1[[#This Row],[DUT Read]]+Table1[[#This Row],[DUT Ucty]])</f>
        <v>N/A</v>
      </c>
      <c r="Y2708" s="1" t="str">
        <f>IF(Table1[[#This Row],[Std Read]]="","N/A",Table1[[#This Row],[Std Read]]+Table1[[#This Row],[Std Ucty]])</f>
        <v>N/A</v>
      </c>
      <c r="Z27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8" s="1" t="str">
        <f>IF(Table1[[#This Row],[Spec Type]]="","N/A",Table1[[#This Row],[Spec Type]])</f>
        <v>±</v>
      </c>
      <c r="AC2708" s="1" t="str">
        <f>IF(Table1[[#This Row],[Spec Type2]]="N/A","N/A",IF(AND(Table1[[#This Row],[DUT Adj Read]]&gt;=Table1[[#This Row],[Low Tol]],Table1[[#This Row],[DUT Adj Read]]&lt;=Table1[[#This Row],[High Tol]]),"Pass","Fail"))</f>
        <v>Fail</v>
      </c>
      <c r="AD2708" s="1" t="str">
        <f>IF(AND(Table1[[#This Row],[Spec Type2]]="N/A",Table1[[#This Row],[DUT Adj Read]]="N/A",Table1[[#This Row],[Std Adj Read]]="N/A"),"N/A",IF(Table1[[#This Row],[DUT Adj Read]]="N/A",IF(Table1[[#This Row],[Std Adj Read]]&gt;Table1[[#This Row],[Low Tol]],"Pass","Fail"),IF(Table1[[#This Row],[DUT Adj Read]]&gt;Table1[[#This Row],[Low Tol]],"Pass","Fail")))</f>
        <v>Pass</v>
      </c>
      <c r="AE2708" s="1" t="str">
        <f>IF(AND(Table1[[#This Row],[Spec Type2]]="N/A",Table1[[#This Row],[DUT Adj Read]]="N/A",Table1[[#This Row],[Std Adj Read]]="N/A"),"N/A",IF(Table1[[#This Row],[DUT Adj Read]]="N/A",IF(Table1[[#This Row],[Std Adj Read]]&lt;Table1[[#This Row],[High Tol]],"Pass","Fail"),IF(Table1[[#This Row],[DUT Adj Read]]&lt;Table1[[#This Row],[High Tol]],"Pass","Fail")))</f>
        <v>Fail</v>
      </c>
      <c r="AF2708" s="1" t="str">
        <f>IF(AND(Table1[[#This Row],[Spec Type2]]="N/A",Table1[[#This Row],[DUT Adj Read]]="N/A",Table1[[#This Row],[Std Adj Read]]="N/A"),"N/A",IF(Table1[[#This Row],[DUT Adj Read]]="N/A",IF(Table1[[#This Row],[Std Adj Read]]&gt;=Table1[[#This Row],[Low Tol]],"Pass","Fail"),IF(Table1[[#This Row],[DUT Adj Read]]&gt;=Table1[[#This Row],[Low Tol]],"Pass","Fail")))</f>
        <v>Pass</v>
      </c>
      <c r="AG2708" s="1" t="str">
        <f>IF(AND(Table1[[#This Row],[Spec Type2]]="N/A",Table1[[#This Row],[DUT Adj Read]]="N/A",Table1[[#This Row],[Std Adj Read]]="N/A"),"N/A",IF(Table1[[#This Row],[DUT Adj Read]]="N/A",IF(Table1[[#This Row],[Std Adj Read]]&lt;=Table1[[#This Row],[High Tol]],"Pass","Fail"),IF(Table1[[#This Row],[DUT Adj Read]]&lt;=Table1[[#This Row],[High Tol]],"Pass","Fail")))</f>
        <v>Fail</v>
      </c>
      <c r="AH27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8" s="1" t="b">
        <v>0</v>
      </c>
      <c r="AN2708" s="1" t="b">
        <v>0</v>
      </c>
      <c r="AO2708" s="1" t="b">
        <v>0</v>
      </c>
    </row>
    <row r="2709" spans="1:41" x14ac:dyDescent="0.25">
      <c r="A2709" s="10"/>
      <c r="B2709" s="10"/>
      <c r="C2709" s="10"/>
      <c r="D2709" s="10"/>
      <c r="E2709" s="10"/>
      <c r="F2709" s="10"/>
      <c r="G2709" s="10"/>
      <c r="H2709" s="10"/>
      <c r="I2709" s="1" t="str">
        <f t="shared" si="126"/>
        <v/>
      </c>
      <c r="J2709" s="1" t="s">
        <v>35</v>
      </c>
      <c r="K2709" s="1" t="str">
        <f t="shared" si="127"/>
        <v/>
      </c>
      <c r="L2709" s="1" t="str">
        <f t="shared" si="128"/>
        <v/>
      </c>
      <c r="M2709" s="1">
        <f>IF(OR(Table1[[#This Row],[Std Nom]]="",Table1[[#This Row],[Std Read]]=""),0,Table1[[#This Row],[Std Nom]]-Table1[[#This Row],[Std Read]])</f>
        <v>0</v>
      </c>
      <c r="N2709" s="1">
        <f>IF(Calculations!$F$5="ACCREDITED 17025 WITH UNCERTAINTIES",$N$10,0)</f>
        <v>0</v>
      </c>
      <c r="Q2709" s="1">
        <f>Table1[[#This Row],[High Tol]]-Table1[[#This Row],[Low Tol]]</f>
        <v>0</v>
      </c>
      <c r="R2709" s="1">
        <f>2*Table1[[#This Row],[Std Error]]</f>
        <v>0</v>
      </c>
      <c r="S2709" s="1" t="str">
        <f>IF(Table1[[#This Row],[High Tol]]="","N/A",IFERROR(ABS(Table1[[#This Row],[Tol Span]]/Table1[[#This Row],[Error Span]]),"N/A"))</f>
        <v>N/A</v>
      </c>
      <c r="T2709" s="1" t="str">
        <f>IF(OR(Table1[[#This Row],[Low Tol]]="",Table1[[#This Row],[High Tol]]=""),"Needs Analysis",IF(Table1[[#This Row],[Ratio]]&gt;=4,"Not Significant",IF(Table1[[#This Row],[Ratio]]&gt;=2,"Semi-Significant","Significant")))</f>
        <v>Needs Analysis</v>
      </c>
      <c r="W2709" s="1">
        <f>IF(Table1[[#This Row],[Cal Type]]&lt;&gt;"ACCREDITED 17025 WITH UNCERTAINTIES",0,"")</f>
        <v>0</v>
      </c>
      <c r="X2709" s="1" t="str">
        <f>IF(Table1[[#This Row],[DUT Read]]="","N/A",Table1[[#This Row],[Std Error]]+Table1[[#This Row],[DUT Read]]+Table1[[#This Row],[DUT Ucty]])</f>
        <v>N/A</v>
      </c>
      <c r="Y2709" s="1" t="str">
        <f>IF(Table1[[#This Row],[Std Read]]="","N/A",Table1[[#This Row],[Std Read]]+Table1[[#This Row],[Std Ucty]])</f>
        <v>N/A</v>
      </c>
      <c r="Z27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09" s="1" t="str">
        <f>IF(Table1[[#This Row],[Spec Type]]="","N/A",Table1[[#This Row],[Spec Type]])</f>
        <v>±</v>
      </c>
      <c r="AC2709" s="1" t="str">
        <f>IF(Table1[[#This Row],[Spec Type2]]="N/A","N/A",IF(AND(Table1[[#This Row],[DUT Adj Read]]&gt;=Table1[[#This Row],[Low Tol]],Table1[[#This Row],[DUT Adj Read]]&lt;=Table1[[#This Row],[High Tol]]),"Pass","Fail"))</f>
        <v>Fail</v>
      </c>
      <c r="AD2709" s="1" t="str">
        <f>IF(AND(Table1[[#This Row],[Spec Type2]]="N/A",Table1[[#This Row],[DUT Adj Read]]="N/A",Table1[[#This Row],[Std Adj Read]]="N/A"),"N/A",IF(Table1[[#This Row],[DUT Adj Read]]="N/A",IF(Table1[[#This Row],[Std Adj Read]]&gt;Table1[[#This Row],[Low Tol]],"Pass","Fail"),IF(Table1[[#This Row],[DUT Adj Read]]&gt;Table1[[#This Row],[Low Tol]],"Pass","Fail")))</f>
        <v>Pass</v>
      </c>
      <c r="AE2709" s="1" t="str">
        <f>IF(AND(Table1[[#This Row],[Spec Type2]]="N/A",Table1[[#This Row],[DUT Adj Read]]="N/A",Table1[[#This Row],[Std Adj Read]]="N/A"),"N/A",IF(Table1[[#This Row],[DUT Adj Read]]="N/A",IF(Table1[[#This Row],[Std Adj Read]]&lt;Table1[[#This Row],[High Tol]],"Pass","Fail"),IF(Table1[[#This Row],[DUT Adj Read]]&lt;Table1[[#This Row],[High Tol]],"Pass","Fail")))</f>
        <v>Fail</v>
      </c>
      <c r="AF2709" s="1" t="str">
        <f>IF(AND(Table1[[#This Row],[Spec Type2]]="N/A",Table1[[#This Row],[DUT Adj Read]]="N/A",Table1[[#This Row],[Std Adj Read]]="N/A"),"N/A",IF(Table1[[#This Row],[DUT Adj Read]]="N/A",IF(Table1[[#This Row],[Std Adj Read]]&gt;=Table1[[#This Row],[Low Tol]],"Pass","Fail"),IF(Table1[[#This Row],[DUT Adj Read]]&gt;=Table1[[#This Row],[Low Tol]],"Pass","Fail")))</f>
        <v>Pass</v>
      </c>
      <c r="AG2709" s="1" t="str">
        <f>IF(AND(Table1[[#This Row],[Spec Type2]]="N/A",Table1[[#This Row],[DUT Adj Read]]="N/A",Table1[[#This Row],[Std Adj Read]]="N/A"),"N/A",IF(Table1[[#This Row],[DUT Adj Read]]="N/A",IF(Table1[[#This Row],[Std Adj Read]]&lt;=Table1[[#This Row],[High Tol]],"Pass","Fail"),IF(Table1[[#This Row],[DUT Adj Read]]&lt;=Table1[[#This Row],[High Tol]],"Pass","Fail")))</f>
        <v>Fail</v>
      </c>
      <c r="AH27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09" s="1" t="b">
        <v>0</v>
      </c>
      <c r="AN2709" s="1" t="b">
        <v>0</v>
      </c>
      <c r="AO2709" s="1" t="b">
        <v>0</v>
      </c>
    </row>
    <row r="2710" spans="1:41" x14ac:dyDescent="0.25">
      <c r="A2710" s="10"/>
      <c r="B2710" s="10"/>
      <c r="C2710" s="10"/>
      <c r="D2710" s="10"/>
      <c r="E2710" s="10"/>
      <c r="F2710" s="10"/>
      <c r="G2710" s="10"/>
      <c r="H2710" s="10"/>
      <c r="I2710" s="1" t="str">
        <f t="shared" si="126"/>
        <v/>
      </c>
      <c r="J2710" s="1" t="s">
        <v>35</v>
      </c>
      <c r="K2710" s="1" t="str">
        <f t="shared" si="127"/>
        <v/>
      </c>
      <c r="L2710" s="1" t="str">
        <f t="shared" si="128"/>
        <v/>
      </c>
      <c r="M2710" s="1">
        <f>IF(OR(Table1[[#This Row],[Std Nom]]="",Table1[[#This Row],[Std Read]]=""),0,Table1[[#This Row],[Std Nom]]-Table1[[#This Row],[Std Read]])</f>
        <v>0</v>
      </c>
      <c r="N2710" s="1">
        <f>IF(Calculations!$F$5="ACCREDITED 17025 WITH UNCERTAINTIES",$N$10,0)</f>
        <v>0</v>
      </c>
      <c r="Q2710" s="1">
        <f>Table1[[#This Row],[High Tol]]-Table1[[#This Row],[Low Tol]]</f>
        <v>0</v>
      </c>
      <c r="R2710" s="1">
        <f>2*Table1[[#This Row],[Std Error]]</f>
        <v>0</v>
      </c>
      <c r="S2710" s="1" t="str">
        <f>IF(Table1[[#This Row],[High Tol]]="","N/A",IFERROR(ABS(Table1[[#This Row],[Tol Span]]/Table1[[#This Row],[Error Span]]),"N/A"))</f>
        <v>N/A</v>
      </c>
      <c r="T2710" s="1" t="str">
        <f>IF(OR(Table1[[#This Row],[Low Tol]]="",Table1[[#This Row],[High Tol]]=""),"Needs Analysis",IF(Table1[[#This Row],[Ratio]]&gt;=4,"Not Significant",IF(Table1[[#This Row],[Ratio]]&gt;=2,"Semi-Significant","Significant")))</f>
        <v>Needs Analysis</v>
      </c>
      <c r="W2710" s="1">
        <f>IF(Table1[[#This Row],[Cal Type]]&lt;&gt;"ACCREDITED 17025 WITH UNCERTAINTIES",0,"")</f>
        <v>0</v>
      </c>
      <c r="X2710" s="1" t="str">
        <f>IF(Table1[[#This Row],[DUT Read]]="","N/A",Table1[[#This Row],[Std Error]]+Table1[[#This Row],[DUT Read]]+Table1[[#This Row],[DUT Ucty]])</f>
        <v>N/A</v>
      </c>
      <c r="Y2710" s="1" t="str">
        <f>IF(Table1[[#This Row],[Std Read]]="","N/A",Table1[[#This Row],[Std Read]]+Table1[[#This Row],[Std Ucty]])</f>
        <v>N/A</v>
      </c>
      <c r="Z27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0" s="1" t="str">
        <f>IF(Table1[[#This Row],[Spec Type]]="","N/A",Table1[[#This Row],[Spec Type]])</f>
        <v>±</v>
      </c>
      <c r="AC2710" s="1" t="str">
        <f>IF(Table1[[#This Row],[Spec Type2]]="N/A","N/A",IF(AND(Table1[[#This Row],[DUT Adj Read]]&gt;=Table1[[#This Row],[Low Tol]],Table1[[#This Row],[DUT Adj Read]]&lt;=Table1[[#This Row],[High Tol]]),"Pass","Fail"))</f>
        <v>Fail</v>
      </c>
      <c r="AD2710" s="1" t="str">
        <f>IF(AND(Table1[[#This Row],[Spec Type2]]="N/A",Table1[[#This Row],[DUT Adj Read]]="N/A",Table1[[#This Row],[Std Adj Read]]="N/A"),"N/A",IF(Table1[[#This Row],[DUT Adj Read]]="N/A",IF(Table1[[#This Row],[Std Adj Read]]&gt;Table1[[#This Row],[Low Tol]],"Pass","Fail"),IF(Table1[[#This Row],[DUT Adj Read]]&gt;Table1[[#This Row],[Low Tol]],"Pass","Fail")))</f>
        <v>Pass</v>
      </c>
      <c r="AE2710" s="1" t="str">
        <f>IF(AND(Table1[[#This Row],[Spec Type2]]="N/A",Table1[[#This Row],[DUT Adj Read]]="N/A",Table1[[#This Row],[Std Adj Read]]="N/A"),"N/A",IF(Table1[[#This Row],[DUT Adj Read]]="N/A",IF(Table1[[#This Row],[Std Adj Read]]&lt;Table1[[#This Row],[High Tol]],"Pass","Fail"),IF(Table1[[#This Row],[DUT Adj Read]]&lt;Table1[[#This Row],[High Tol]],"Pass","Fail")))</f>
        <v>Fail</v>
      </c>
      <c r="AF2710" s="1" t="str">
        <f>IF(AND(Table1[[#This Row],[Spec Type2]]="N/A",Table1[[#This Row],[DUT Adj Read]]="N/A",Table1[[#This Row],[Std Adj Read]]="N/A"),"N/A",IF(Table1[[#This Row],[DUT Adj Read]]="N/A",IF(Table1[[#This Row],[Std Adj Read]]&gt;=Table1[[#This Row],[Low Tol]],"Pass","Fail"),IF(Table1[[#This Row],[DUT Adj Read]]&gt;=Table1[[#This Row],[Low Tol]],"Pass","Fail")))</f>
        <v>Pass</v>
      </c>
      <c r="AG2710" s="1" t="str">
        <f>IF(AND(Table1[[#This Row],[Spec Type2]]="N/A",Table1[[#This Row],[DUT Adj Read]]="N/A",Table1[[#This Row],[Std Adj Read]]="N/A"),"N/A",IF(Table1[[#This Row],[DUT Adj Read]]="N/A",IF(Table1[[#This Row],[Std Adj Read]]&lt;=Table1[[#This Row],[High Tol]],"Pass","Fail"),IF(Table1[[#This Row],[DUT Adj Read]]&lt;=Table1[[#This Row],[High Tol]],"Pass","Fail")))</f>
        <v>Fail</v>
      </c>
      <c r="AH27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0" s="1" t="b">
        <v>0</v>
      </c>
      <c r="AN2710" s="1" t="b">
        <v>0</v>
      </c>
      <c r="AO2710" s="1" t="b">
        <v>0</v>
      </c>
    </row>
    <row r="2711" spans="1:41" x14ac:dyDescent="0.25">
      <c r="A2711" s="10"/>
      <c r="B2711" s="10"/>
      <c r="C2711" s="10"/>
      <c r="D2711" s="10"/>
      <c r="E2711" s="10"/>
      <c r="F2711" s="10"/>
      <c r="G2711" s="10"/>
      <c r="H2711" s="10"/>
      <c r="I2711" s="1" t="str">
        <f t="shared" si="126"/>
        <v/>
      </c>
      <c r="J2711" s="1" t="s">
        <v>35</v>
      </c>
      <c r="K2711" s="1" t="str">
        <f t="shared" si="127"/>
        <v/>
      </c>
      <c r="L2711" s="1" t="str">
        <f t="shared" si="128"/>
        <v/>
      </c>
      <c r="M2711" s="1">
        <f>IF(OR(Table1[[#This Row],[Std Nom]]="",Table1[[#This Row],[Std Read]]=""),0,Table1[[#This Row],[Std Nom]]-Table1[[#This Row],[Std Read]])</f>
        <v>0</v>
      </c>
      <c r="N2711" s="1">
        <f>IF(Calculations!$F$5="ACCREDITED 17025 WITH UNCERTAINTIES",$N$10,0)</f>
        <v>0</v>
      </c>
      <c r="Q2711" s="1">
        <f>Table1[[#This Row],[High Tol]]-Table1[[#This Row],[Low Tol]]</f>
        <v>0</v>
      </c>
      <c r="R2711" s="1">
        <f>2*Table1[[#This Row],[Std Error]]</f>
        <v>0</v>
      </c>
      <c r="S2711" s="1" t="str">
        <f>IF(Table1[[#This Row],[High Tol]]="","N/A",IFERROR(ABS(Table1[[#This Row],[Tol Span]]/Table1[[#This Row],[Error Span]]),"N/A"))</f>
        <v>N/A</v>
      </c>
      <c r="T2711" s="1" t="str">
        <f>IF(OR(Table1[[#This Row],[Low Tol]]="",Table1[[#This Row],[High Tol]]=""),"Needs Analysis",IF(Table1[[#This Row],[Ratio]]&gt;=4,"Not Significant",IF(Table1[[#This Row],[Ratio]]&gt;=2,"Semi-Significant","Significant")))</f>
        <v>Needs Analysis</v>
      </c>
      <c r="W2711" s="1">
        <f>IF(Table1[[#This Row],[Cal Type]]&lt;&gt;"ACCREDITED 17025 WITH UNCERTAINTIES",0,"")</f>
        <v>0</v>
      </c>
      <c r="X2711" s="1" t="str">
        <f>IF(Table1[[#This Row],[DUT Read]]="","N/A",Table1[[#This Row],[Std Error]]+Table1[[#This Row],[DUT Read]]+Table1[[#This Row],[DUT Ucty]])</f>
        <v>N/A</v>
      </c>
      <c r="Y2711" s="1" t="str">
        <f>IF(Table1[[#This Row],[Std Read]]="","N/A",Table1[[#This Row],[Std Read]]+Table1[[#This Row],[Std Ucty]])</f>
        <v>N/A</v>
      </c>
      <c r="Z27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1" s="1" t="str">
        <f>IF(Table1[[#This Row],[Spec Type]]="","N/A",Table1[[#This Row],[Spec Type]])</f>
        <v>±</v>
      </c>
      <c r="AC2711" s="1" t="str">
        <f>IF(Table1[[#This Row],[Spec Type2]]="N/A","N/A",IF(AND(Table1[[#This Row],[DUT Adj Read]]&gt;=Table1[[#This Row],[Low Tol]],Table1[[#This Row],[DUT Adj Read]]&lt;=Table1[[#This Row],[High Tol]]),"Pass","Fail"))</f>
        <v>Fail</v>
      </c>
      <c r="AD2711" s="1" t="str">
        <f>IF(AND(Table1[[#This Row],[Spec Type2]]="N/A",Table1[[#This Row],[DUT Adj Read]]="N/A",Table1[[#This Row],[Std Adj Read]]="N/A"),"N/A",IF(Table1[[#This Row],[DUT Adj Read]]="N/A",IF(Table1[[#This Row],[Std Adj Read]]&gt;Table1[[#This Row],[Low Tol]],"Pass","Fail"),IF(Table1[[#This Row],[DUT Adj Read]]&gt;Table1[[#This Row],[Low Tol]],"Pass","Fail")))</f>
        <v>Pass</v>
      </c>
      <c r="AE2711" s="1" t="str">
        <f>IF(AND(Table1[[#This Row],[Spec Type2]]="N/A",Table1[[#This Row],[DUT Adj Read]]="N/A",Table1[[#This Row],[Std Adj Read]]="N/A"),"N/A",IF(Table1[[#This Row],[DUT Adj Read]]="N/A",IF(Table1[[#This Row],[Std Adj Read]]&lt;Table1[[#This Row],[High Tol]],"Pass","Fail"),IF(Table1[[#This Row],[DUT Adj Read]]&lt;Table1[[#This Row],[High Tol]],"Pass","Fail")))</f>
        <v>Fail</v>
      </c>
      <c r="AF2711" s="1" t="str">
        <f>IF(AND(Table1[[#This Row],[Spec Type2]]="N/A",Table1[[#This Row],[DUT Adj Read]]="N/A",Table1[[#This Row],[Std Adj Read]]="N/A"),"N/A",IF(Table1[[#This Row],[DUT Adj Read]]="N/A",IF(Table1[[#This Row],[Std Adj Read]]&gt;=Table1[[#This Row],[Low Tol]],"Pass","Fail"),IF(Table1[[#This Row],[DUT Adj Read]]&gt;=Table1[[#This Row],[Low Tol]],"Pass","Fail")))</f>
        <v>Pass</v>
      </c>
      <c r="AG2711" s="1" t="str">
        <f>IF(AND(Table1[[#This Row],[Spec Type2]]="N/A",Table1[[#This Row],[DUT Adj Read]]="N/A",Table1[[#This Row],[Std Adj Read]]="N/A"),"N/A",IF(Table1[[#This Row],[DUT Adj Read]]="N/A",IF(Table1[[#This Row],[Std Adj Read]]&lt;=Table1[[#This Row],[High Tol]],"Pass","Fail"),IF(Table1[[#This Row],[DUT Adj Read]]&lt;=Table1[[#This Row],[High Tol]],"Pass","Fail")))</f>
        <v>Fail</v>
      </c>
      <c r="AH27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1" s="1" t="b">
        <v>0</v>
      </c>
      <c r="AN2711" s="1" t="b">
        <v>0</v>
      </c>
      <c r="AO2711" s="1" t="b">
        <v>0</v>
      </c>
    </row>
    <row r="2712" spans="1:41" x14ac:dyDescent="0.25">
      <c r="A2712" s="10"/>
      <c r="B2712" s="10"/>
      <c r="C2712" s="10"/>
      <c r="D2712" s="10"/>
      <c r="E2712" s="10"/>
      <c r="F2712" s="10"/>
      <c r="G2712" s="10"/>
      <c r="H2712" s="10"/>
      <c r="I2712" s="1" t="str">
        <f t="shared" si="126"/>
        <v/>
      </c>
      <c r="J2712" s="1" t="s">
        <v>35</v>
      </c>
      <c r="K2712" s="1" t="str">
        <f t="shared" si="127"/>
        <v/>
      </c>
      <c r="L2712" s="1" t="str">
        <f t="shared" si="128"/>
        <v/>
      </c>
      <c r="M2712" s="1">
        <f>IF(OR(Table1[[#This Row],[Std Nom]]="",Table1[[#This Row],[Std Read]]=""),0,Table1[[#This Row],[Std Nom]]-Table1[[#This Row],[Std Read]])</f>
        <v>0</v>
      </c>
      <c r="N2712" s="1">
        <f>IF(Calculations!$F$5="ACCREDITED 17025 WITH UNCERTAINTIES",$N$10,0)</f>
        <v>0</v>
      </c>
      <c r="Q2712" s="1">
        <f>Table1[[#This Row],[High Tol]]-Table1[[#This Row],[Low Tol]]</f>
        <v>0</v>
      </c>
      <c r="R2712" s="1">
        <f>2*Table1[[#This Row],[Std Error]]</f>
        <v>0</v>
      </c>
      <c r="S2712" s="1" t="str">
        <f>IF(Table1[[#This Row],[High Tol]]="","N/A",IFERROR(ABS(Table1[[#This Row],[Tol Span]]/Table1[[#This Row],[Error Span]]),"N/A"))</f>
        <v>N/A</v>
      </c>
      <c r="T2712" s="1" t="str">
        <f>IF(OR(Table1[[#This Row],[Low Tol]]="",Table1[[#This Row],[High Tol]]=""),"Needs Analysis",IF(Table1[[#This Row],[Ratio]]&gt;=4,"Not Significant",IF(Table1[[#This Row],[Ratio]]&gt;=2,"Semi-Significant","Significant")))</f>
        <v>Needs Analysis</v>
      </c>
      <c r="W2712" s="1">
        <f>IF(Table1[[#This Row],[Cal Type]]&lt;&gt;"ACCREDITED 17025 WITH UNCERTAINTIES",0,"")</f>
        <v>0</v>
      </c>
      <c r="X2712" s="1" t="str">
        <f>IF(Table1[[#This Row],[DUT Read]]="","N/A",Table1[[#This Row],[Std Error]]+Table1[[#This Row],[DUT Read]]+Table1[[#This Row],[DUT Ucty]])</f>
        <v>N/A</v>
      </c>
      <c r="Y2712" s="1" t="str">
        <f>IF(Table1[[#This Row],[Std Read]]="","N/A",Table1[[#This Row],[Std Read]]+Table1[[#This Row],[Std Ucty]])</f>
        <v>N/A</v>
      </c>
      <c r="Z27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2" s="1" t="str">
        <f>IF(Table1[[#This Row],[Spec Type]]="","N/A",Table1[[#This Row],[Spec Type]])</f>
        <v>±</v>
      </c>
      <c r="AC2712" s="1" t="str">
        <f>IF(Table1[[#This Row],[Spec Type2]]="N/A","N/A",IF(AND(Table1[[#This Row],[DUT Adj Read]]&gt;=Table1[[#This Row],[Low Tol]],Table1[[#This Row],[DUT Adj Read]]&lt;=Table1[[#This Row],[High Tol]]),"Pass","Fail"))</f>
        <v>Fail</v>
      </c>
      <c r="AD2712" s="1" t="str">
        <f>IF(AND(Table1[[#This Row],[Spec Type2]]="N/A",Table1[[#This Row],[DUT Adj Read]]="N/A",Table1[[#This Row],[Std Adj Read]]="N/A"),"N/A",IF(Table1[[#This Row],[DUT Adj Read]]="N/A",IF(Table1[[#This Row],[Std Adj Read]]&gt;Table1[[#This Row],[Low Tol]],"Pass","Fail"),IF(Table1[[#This Row],[DUT Adj Read]]&gt;Table1[[#This Row],[Low Tol]],"Pass","Fail")))</f>
        <v>Pass</v>
      </c>
      <c r="AE2712" s="1" t="str">
        <f>IF(AND(Table1[[#This Row],[Spec Type2]]="N/A",Table1[[#This Row],[DUT Adj Read]]="N/A",Table1[[#This Row],[Std Adj Read]]="N/A"),"N/A",IF(Table1[[#This Row],[DUT Adj Read]]="N/A",IF(Table1[[#This Row],[Std Adj Read]]&lt;Table1[[#This Row],[High Tol]],"Pass","Fail"),IF(Table1[[#This Row],[DUT Adj Read]]&lt;Table1[[#This Row],[High Tol]],"Pass","Fail")))</f>
        <v>Fail</v>
      </c>
      <c r="AF2712" s="1" t="str">
        <f>IF(AND(Table1[[#This Row],[Spec Type2]]="N/A",Table1[[#This Row],[DUT Adj Read]]="N/A",Table1[[#This Row],[Std Adj Read]]="N/A"),"N/A",IF(Table1[[#This Row],[DUT Adj Read]]="N/A",IF(Table1[[#This Row],[Std Adj Read]]&gt;=Table1[[#This Row],[Low Tol]],"Pass","Fail"),IF(Table1[[#This Row],[DUT Adj Read]]&gt;=Table1[[#This Row],[Low Tol]],"Pass","Fail")))</f>
        <v>Pass</v>
      </c>
      <c r="AG2712" s="1" t="str">
        <f>IF(AND(Table1[[#This Row],[Spec Type2]]="N/A",Table1[[#This Row],[DUT Adj Read]]="N/A",Table1[[#This Row],[Std Adj Read]]="N/A"),"N/A",IF(Table1[[#This Row],[DUT Adj Read]]="N/A",IF(Table1[[#This Row],[Std Adj Read]]&lt;=Table1[[#This Row],[High Tol]],"Pass","Fail"),IF(Table1[[#This Row],[DUT Adj Read]]&lt;=Table1[[#This Row],[High Tol]],"Pass","Fail")))</f>
        <v>Fail</v>
      </c>
      <c r="AH27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2" s="1" t="b">
        <v>0</v>
      </c>
      <c r="AN2712" s="1" t="b">
        <v>0</v>
      </c>
      <c r="AO2712" s="1" t="b">
        <v>0</v>
      </c>
    </row>
    <row r="2713" spans="1:41" x14ac:dyDescent="0.25">
      <c r="A2713" s="10"/>
      <c r="B2713" s="10"/>
      <c r="C2713" s="10"/>
      <c r="D2713" s="10"/>
      <c r="E2713" s="10"/>
      <c r="F2713" s="10"/>
      <c r="G2713" s="10"/>
      <c r="H2713" s="10"/>
      <c r="I2713" s="1" t="str">
        <f t="shared" si="126"/>
        <v/>
      </c>
      <c r="J2713" s="1" t="s">
        <v>35</v>
      </c>
      <c r="K2713" s="1" t="str">
        <f t="shared" si="127"/>
        <v/>
      </c>
      <c r="L2713" s="1" t="str">
        <f t="shared" si="128"/>
        <v/>
      </c>
      <c r="M2713" s="1">
        <f>IF(OR(Table1[[#This Row],[Std Nom]]="",Table1[[#This Row],[Std Read]]=""),0,Table1[[#This Row],[Std Nom]]-Table1[[#This Row],[Std Read]])</f>
        <v>0</v>
      </c>
      <c r="N2713" s="1">
        <f>IF(Calculations!$F$5="ACCREDITED 17025 WITH UNCERTAINTIES",$N$10,0)</f>
        <v>0</v>
      </c>
      <c r="Q2713" s="1">
        <f>Table1[[#This Row],[High Tol]]-Table1[[#This Row],[Low Tol]]</f>
        <v>0</v>
      </c>
      <c r="R2713" s="1">
        <f>2*Table1[[#This Row],[Std Error]]</f>
        <v>0</v>
      </c>
      <c r="S2713" s="1" t="str">
        <f>IF(Table1[[#This Row],[High Tol]]="","N/A",IFERROR(ABS(Table1[[#This Row],[Tol Span]]/Table1[[#This Row],[Error Span]]),"N/A"))</f>
        <v>N/A</v>
      </c>
      <c r="T2713" s="1" t="str">
        <f>IF(OR(Table1[[#This Row],[Low Tol]]="",Table1[[#This Row],[High Tol]]=""),"Needs Analysis",IF(Table1[[#This Row],[Ratio]]&gt;=4,"Not Significant",IF(Table1[[#This Row],[Ratio]]&gt;=2,"Semi-Significant","Significant")))</f>
        <v>Needs Analysis</v>
      </c>
      <c r="W2713" s="1">
        <f>IF(Table1[[#This Row],[Cal Type]]&lt;&gt;"ACCREDITED 17025 WITH UNCERTAINTIES",0,"")</f>
        <v>0</v>
      </c>
      <c r="X2713" s="1" t="str">
        <f>IF(Table1[[#This Row],[DUT Read]]="","N/A",Table1[[#This Row],[Std Error]]+Table1[[#This Row],[DUT Read]]+Table1[[#This Row],[DUT Ucty]])</f>
        <v>N/A</v>
      </c>
      <c r="Y2713" s="1" t="str">
        <f>IF(Table1[[#This Row],[Std Read]]="","N/A",Table1[[#This Row],[Std Read]]+Table1[[#This Row],[Std Ucty]])</f>
        <v>N/A</v>
      </c>
      <c r="Z27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3" s="1" t="str">
        <f>IF(Table1[[#This Row],[Spec Type]]="","N/A",Table1[[#This Row],[Spec Type]])</f>
        <v>±</v>
      </c>
      <c r="AC2713" s="1" t="str">
        <f>IF(Table1[[#This Row],[Spec Type2]]="N/A","N/A",IF(AND(Table1[[#This Row],[DUT Adj Read]]&gt;=Table1[[#This Row],[Low Tol]],Table1[[#This Row],[DUT Adj Read]]&lt;=Table1[[#This Row],[High Tol]]),"Pass","Fail"))</f>
        <v>Fail</v>
      </c>
      <c r="AD2713" s="1" t="str">
        <f>IF(AND(Table1[[#This Row],[Spec Type2]]="N/A",Table1[[#This Row],[DUT Adj Read]]="N/A",Table1[[#This Row],[Std Adj Read]]="N/A"),"N/A",IF(Table1[[#This Row],[DUT Adj Read]]="N/A",IF(Table1[[#This Row],[Std Adj Read]]&gt;Table1[[#This Row],[Low Tol]],"Pass","Fail"),IF(Table1[[#This Row],[DUT Adj Read]]&gt;Table1[[#This Row],[Low Tol]],"Pass","Fail")))</f>
        <v>Pass</v>
      </c>
      <c r="AE2713" s="1" t="str">
        <f>IF(AND(Table1[[#This Row],[Spec Type2]]="N/A",Table1[[#This Row],[DUT Adj Read]]="N/A",Table1[[#This Row],[Std Adj Read]]="N/A"),"N/A",IF(Table1[[#This Row],[DUT Adj Read]]="N/A",IF(Table1[[#This Row],[Std Adj Read]]&lt;Table1[[#This Row],[High Tol]],"Pass","Fail"),IF(Table1[[#This Row],[DUT Adj Read]]&lt;Table1[[#This Row],[High Tol]],"Pass","Fail")))</f>
        <v>Fail</v>
      </c>
      <c r="AF2713" s="1" t="str">
        <f>IF(AND(Table1[[#This Row],[Spec Type2]]="N/A",Table1[[#This Row],[DUT Adj Read]]="N/A",Table1[[#This Row],[Std Adj Read]]="N/A"),"N/A",IF(Table1[[#This Row],[DUT Adj Read]]="N/A",IF(Table1[[#This Row],[Std Adj Read]]&gt;=Table1[[#This Row],[Low Tol]],"Pass","Fail"),IF(Table1[[#This Row],[DUT Adj Read]]&gt;=Table1[[#This Row],[Low Tol]],"Pass","Fail")))</f>
        <v>Pass</v>
      </c>
      <c r="AG2713" s="1" t="str">
        <f>IF(AND(Table1[[#This Row],[Spec Type2]]="N/A",Table1[[#This Row],[DUT Adj Read]]="N/A",Table1[[#This Row],[Std Adj Read]]="N/A"),"N/A",IF(Table1[[#This Row],[DUT Adj Read]]="N/A",IF(Table1[[#This Row],[Std Adj Read]]&lt;=Table1[[#This Row],[High Tol]],"Pass","Fail"),IF(Table1[[#This Row],[DUT Adj Read]]&lt;=Table1[[#This Row],[High Tol]],"Pass","Fail")))</f>
        <v>Fail</v>
      </c>
      <c r="AH27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3" s="1" t="b">
        <v>0</v>
      </c>
      <c r="AN2713" s="1" t="b">
        <v>0</v>
      </c>
      <c r="AO2713" s="1" t="b">
        <v>0</v>
      </c>
    </row>
    <row r="2714" spans="1:41" x14ac:dyDescent="0.25">
      <c r="A2714" s="10"/>
      <c r="B2714" s="10"/>
      <c r="C2714" s="10"/>
      <c r="D2714" s="10"/>
      <c r="E2714" s="10"/>
      <c r="F2714" s="10"/>
      <c r="G2714" s="10"/>
      <c r="H2714" s="10"/>
      <c r="I2714" s="1" t="str">
        <f t="shared" si="126"/>
        <v/>
      </c>
      <c r="J2714" s="1" t="s">
        <v>35</v>
      </c>
      <c r="K2714" s="1" t="str">
        <f t="shared" si="127"/>
        <v/>
      </c>
      <c r="L2714" s="1" t="str">
        <f t="shared" si="128"/>
        <v/>
      </c>
      <c r="M2714" s="1">
        <f>IF(OR(Table1[[#This Row],[Std Nom]]="",Table1[[#This Row],[Std Read]]=""),0,Table1[[#This Row],[Std Nom]]-Table1[[#This Row],[Std Read]])</f>
        <v>0</v>
      </c>
      <c r="N2714" s="1">
        <f>IF(Calculations!$F$5="ACCREDITED 17025 WITH UNCERTAINTIES",$N$10,0)</f>
        <v>0</v>
      </c>
      <c r="Q2714" s="1">
        <f>Table1[[#This Row],[High Tol]]-Table1[[#This Row],[Low Tol]]</f>
        <v>0</v>
      </c>
      <c r="R2714" s="1">
        <f>2*Table1[[#This Row],[Std Error]]</f>
        <v>0</v>
      </c>
      <c r="S2714" s="1" t="str">
        <f>IF(Table1[[#This Row],[High Tol]]="","N/A",IFERROR(ABS(Table1[[#This Row],[Tol Span]]/Table1[[#This Row],[Error Span]]),"N/A"))</f>
        <v>N/A</v>
      </c>
      <c r="T2714" s="1" t="str">
        <f>IF(OR(Table1[[#This Row],[Low Tol]]="",Table1[[#This Row],[High Tol]]=""),"Needs Analysis",IF(Table1[[#This Row],[Ratio]]&gt;=4,"Not Significant",IF(Table1[[#This Row],[Ratio]]&gt;=2,"Semi-Significant","Significant")))</f>
        <v>Needs Analysis</v>
      </c>
      <c r="W2714" s="1">
        <f>IF(Table1[[#This Row],[Cal Type]]&lt;&gt;"ACCREDITED 17025 WITH UNCERTAINTIES",0,"")</f>
        <v>0</v>
      </c>
      <c r="X2714" s="1" t="str">
        <f>IF(Table1[[#This Row],[DUT Read]]="","N/A",Table1[[#This Row],[Std Error]]+Table1[[#This Row],[DUT Read]]+Table1[[#This Row],[DUT Ucty]])</f>
        <v>N/A</v>
      </c>
      <c r="Y2714" s="1" t="str">
        <f>IF(Table1[[#This Row],[Std Read]]="","N/A",Table1[[#This Row],[Std Read]]+Table1[[#This Row],[Std Ucty]])</f>
        <v>N/A</v>
      </c>
      <c r="Z27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4" s="1" t="str">
        <f>IF(Table1[[#This Row],[Spec Type]]="","N/A",Table1[[#This Row],[Spec Type]])</f>
        <v>±</v>
      </c>
      <c r="AC2714" s="1" t="str">
        <f>IF(Table1[[#This Row],[Spec Type2]]="N/A","N/A",IF(AND(Table1[[#This Row],[DUT Adj Read]]&gt;=Table1[[#This Row],[Low Tol]],Table1[[#This Row],[DUT Adj Read]]&lt;=Table1[[#This Row],[High Tol]]),"Pass","Fail"))</f>
        <v>Fail</v>
      </c>
      <c r="AD2714" s="1" t="str">
        <f>IF(AND(Table1[[#This Row],[Spec Type2]]="N/A",Table1[[#This Row],[DUT Adj Read]]="N/A",Table1[[#This Row],[Std Adj Read]]="N/A"),"N/A",IF(Table1[[#This Row],[DUT Adj Read]]="N/A",IF(Table1[[#This Row],[Std Adj Read]]&gt;Table1[[#This Row],[Low Tol]],"Pass","Fail"),IF(Table1[[#This Row],[DUT Adj Read]]&gt;Table1[[#This Row],[Low Tol]],"Pass","Fail")))</f>
        <v>Pass</v>
      </c>
      <c r="AE2714" s="1" t="str">
        <f>IF(AND(Table1[[#This Row],[Spec Type2]]="N/A",Table1[[#This Row],[DUT Adj Read]]="N/A",Table1[[#This Row],[Std Adj Read]]="N/A"),"N/A",IF(Table1[[#This Row],[DUT Adj Read]]="N/A",IF(Table1[[#This Row],[Std Adj Read]]&lt;Table1[[#This Row],[High Tol]],"Pass","Fail"),IF(Table1[[#This Row],[DUT Adj Read]]&lt;Table1[[#This Row],[High Tol]],"Pass","Fail")))</f>
        <v>Fail</v>
      </c>
      <c r="AF2714" s="1" t="str">
        <f>IF(AND(Table1[[#This Row],[Spec Type2]]="N/A",Table1[[#This Row],[DUT Adj Read]]="N/A",Table1[[#This Row],[Std Adj Read]]="N/A"),"N/A",IF(Table1[[#This Row],[DUT Adj Read]]="N/A",IF(Table1[[#This Row],[Std Adj Read]]&gt;=Table1[[#This Row],[Low Tol]],"Pass","Fail"),IF(Table1[[#This Row],[DUT Adj Read]]&gt;=Table1[[#This Row],[Low Tol]],"Pass","Fail")))</f>
        <v>Pass</v>
      </c>
      <c r="AG2714" s="1" t="str">
        <f>IF(AND(Table1[[#This Row],[Spec Type2]]="N/A",Table1[[#This Row],[DUT Adj Read]]="N/A",Table1[[#This Row],[Std Adj Read]]="N/A"),"N/A",IF(Table1[[#This Row],[DUT Adj Read]]="N/A",IF(Table1[[#This Row],[Std Adj Read]]&lt;=Table1[[#This Row],[High Tol]],"Pass","Fail"),IF(Table1[[#This Row],[DUT Adj Read]]&lt;=Table1[[#This Row],[High Tol]],"Pass","Fail")))</f>
        <v>Fail</v>
      </c>
      <c r="AH27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4" s="1" t="b">
        <v>0</v>
      </c>
      <c r="AN2714" s="1" t="b">
        <v>0</v>
      </c>
      <c r="AO2714" s="1" t="b">
        <v>0</v>
      </c>
    </row>
    <row r="2715" spans="1:41" x14ac:dyDescent="0.25">
      <c r="A2715" s="10"/>
      <c r="B2715" s="10"/>
      <c r="C2715" s="10"/>
      <c r="D2715" s="10"/>
      <c r="E2715" s="10"/>
      <c r="F2715" s="10"/>
      <c r="G2715" s="10"/>
      <c r="H2715" s="10"/>
      <c r="I2715" s="1" t="str">
        <f t="shared" si="126"/>
        <v/>
      </c>
      <c r="J2715" s="1" t="s">
        <v>35</v>
      </c>
      <c r="K2715" s="1" t="str">
        <f t="shared" si="127"/>
        <v/>
      </c>
      <c r="L2715" s="1" t="str">
        <f t="shared" si="128"/>
        <v/>
      </c>
      <c r="M2715" s="1">
        <f>IF(OR(Table1[[#This Row],[Std Nom]]="",Table1[[#This Row],[Std Read]]=""),0,Table1[[#This Row],[Std Nom]]-Table1[[#This Row],[Std Read]])</f>
        <v>0</v>
      </c>
      <c r="N2715" s="1">
        <f>IF(Calculations!$F$5="ACCREDITED 17025 WITH UNCERTAINTIES",$N$10,0)</f>
        <v>0</v>
      </c>
      <c r="Q2715" s="1">
        <f>Table1[[#This Row],[High Tol]]-Table1[[#This Row],[Low Tol]]</f>
        <v>0</v>
      </c>
      <c r="R2715" s="1">
        <f>2*Table1[[#This Row],[Std Error]]</f>
        <v>0</v>
      </c>
      <c r="S2715" s="1" t="str">
        <f>IF(Table1[[#This Row],[High Tol]]="","N/A",IFERROR(ABS(Table1[[#This Row],[Tol Span]]/Table1[[#This Row],[Error Span]]),"N/A"))</f>
        <v>N/A</v>
      </c>
      <c r="T2715" s="1" t="str">
        <f>IF(OR(Table1[[#This Row],[Low Tol]]="",Table1[[#This Row],[High Tol]]=""),"Needs Analysis",IF(Table1[[#This Row],[Ratio]]&gt;=4,"Not Significant",IF(Table1[[#This Row],[Ratio]]&gt;=2,"Semi-Significant","Significant")))</f>
        <v>Needs Analysis</v>
      </c>
      <c r="W2715" s="1">
        <f>IF(Table1[[#This Row],[Cal Type]]&lt;&gt;"ACCREDITED 17025 WITH UNCERTAINTIES",0,"")</f>
        <v>0</v>
      </c>
      <c r="X2715" s="1" t="str">
        <f>IF(Table1[[#This Row],[DUT Read]]="","N/A",Table1[[#This Row],[Std Error]]+Table1[[#This Row],[DUT Read]]+Table1[[#This Row],[DUT Ucty]])</f>
        <v>N/A</v>
      </c>
      <c r="Y2715" s="1" t="str">
        <f>IF(Table1[[#This Row],[Std Read]]="","N/A",Table1[[#This Row],[Std Read]]+Table1[[#This Row],[Std Ucty]])</f>
        <v>N/A</v>
      </c>
      <c r="Z27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5" s="1" t="str">
        <f>IF(Table1[[#This Row],[Spec Type]]="","N/A",Table1[[#This Row],[Spec Type]])</f>
        <v>±</v>
      </c>
      <c r="AC2715" s="1" t="str">
        <f>IF(Table1[[#This Row],[Spec Type2]]="N/A","N/A",IF(AND(Table1[[#This Row],[DUT Adj Read]]&gt;=Table1[[#This Row],[Low Tol]],Table1[[#This Row],[DUT Adj Read]]&lt;=Table1[[#This Row],[High Tol]]),"Pass","Fail"))</f>
        <v>Fail</v>
      </c>
      <c r="AD2715" s="1" t="str">
        <f>IF(AND(Table1[[#This Row],[Spec Type2]]="N/A",Table1[[#This Row],[DUT Adj Read]]="N/A",Table1[[#This Row],[Std Adj Read]]="N/A"),"N/A",IF(Table1[[#This Row],[DUT Adj Read]]="N/A",IF(Table1[[#This Row],[Std Adj Read]]&gt;Table1[[#This Row],[Low Tol]],"Pass","Fail"),IF(Table1[[#This Row],[DUT Adj Read]]&gt;Table1[[#This Row],[Low Tol]],"Pass","Fail")))</f>
        <v>Pass</v>
      </c>
      <c r="AE2715" s="1" t="str">
        <f>IF(AND(Table1[[#This Row],[Spec Type2]]="N/A",Table1[[#This Row],[DUT Adj Read]]="N/A",Table1[[#This Row],[Std Adj Read]]="N/A"),"N/A",IF(Table1[[#This Row],[DUT Adj Read]]="N/A",IF(Table1[[#This Row],[Std Adj Read]]&lt;Table1[[#This Row],[High Tol]],"Pass","Fail"),IF(Table1[[#This Row],[DUT Adj Read]]&lt;Table1[[#This Row],[High Tol]],"Pass","Fail")))</f>
        <v>Fail</v>
      </c>
      <c r="AF2715" s="1" t="str">
        <f>IF(AND(Table1[[#This Row],[Spec Type2]]="N/A",Table1[[#This Row],[DUT Adj Read]]="N/A",Table1[[#This Row],[Std Adj Read]]="N/A"),"N/A",IF(Table1[[#This Row],[DUT Adj Read]]="N/A",IF(Table1[[#This Row],[Std Adj Read]]&gt;=Table1[[#This Row],[Low Tol]],"Pass","Fail"),IF(Table1[[#This Row],[DUT Adj Read]]&gt;=Table1[[#This Row],[Low Tol]],"Pass","Fail")))</f>
        <v>Pass</v>
      </c>
      <c r="AG2715" s="1" t="str">
        <f>IF(AND(Table1[[#This Row],[Spec Type2]]="N/A",Table1[[#This Row],[DUT Adj Read]]="N/A",Table1[[#This Row],[Std Adj Read]]="N/A"),"N/A",IF(Table1[[#This Row],[DUT Adj Read]]="N/A",IF(Table1[[#This Row],[Std Adj Read]]&lt;=Table1[[#This Row],[High Tol]],"Pass","Fail"),IF(Table1[[#This Row],[DUT Adj Read]]&lt;=Table1[[#This Row],[High Tol]],"Pass","Fail")))</f>
        <v>Fail</v>
      </c>
      <c r="AH27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5" s="1" t="b">
        <v>0</v>
      </c>
      <c r="AN2715" s="1" t="b">
        <v>0</v>
      </c>
      <c r="AO2715" s="1" t="b">
        <v>0</v>
      </c>
    </row>
    <row r="2716" spans="1:41" x14ac:dyDescent="0.25">
      <c r="A2716" s="10"/>
      <c r="B2716" s="10"/>
      <c r="C2716" s="10"/>
      <c r="D2716" s="10"/>
      <c r="E2716" s="10"/>
      <c r="F2716" s="10"/>
      <c r="G2716" s="10"/>
      <c r="H2716" s="10"/>
      <c r="I2716" s="1" t="str">
        <f t="shared" si="126"/>
        <v/>
      </c>
      <c r="J2716" s="1" t="s">
        <v>35</v>
      </c>
      <c r="K2716" s="1" t="str">
        <f t="shared" si="127"/>
        <v/>
      </c>
      <c r="L2716" s="1" t="str">
        <f t="shared" si="128"/>
        <v/>
      </c>
      <c r="M2716" s="1">
        <f>IF(OR(Table1[[#This Row],[Std Nom]]="",Table1[[#This Row],[Std Read]]=""),0,Table1[[#This Row],[Std Nom]]-Table1[[#This Row],[Std Read]])</f>
        <v>0</v>
      </c>
      <c r="N2716" s="1">
        <f>IF(Calculations!$F$5="ACCREDITED 17025 WITH UNCERTAINTIES",$N$10,0)</f>
        <v>0</v>
      </c>
      <c r="Q2716" s="1">
        <f>Table1[[#This Row],[High Tol]]-Table1[[#This Row],[Low Tol]]</f>
        <v>0</v>
      </c>
      <c r="R2716" s="1">
        <f>2*Table1[[#This Row],[Std Error]]</f>
        <v>0</v>
      </c>
      <c r="S2716" s="1" t="str">
        <f>IF(Table1[[#This Row],[High Tol]]="","N/A",IFERROR(ABS(Table1[[#This Row],[Tol Span]]/Table1[[#This Row],[Error Span]]),"N/A"))</f>
        <v>N/A</v>
      </c>
      <c r="T2716" s="1" t="str">
        <f>IF(OR(Table1[[#This Row],[Low Tol]]="",Table1[[#This Row],[High Tol]]=""),"Needs Analysis",IF(Table1[[#This Row],[Ratio]]&gt;=4,"Not Significant",IF(Table1[[#This Row],[Ratio]]&gt;=2,"Semi-Significant","Significant")))</f>
        <v>Needs Analysis</v>
      </c>
      <c r="W2716" s="1">
        <f>IF(Table1[[#This Row],[Cal Type]]&lt;&gt;"ACCREDITED 17025 WITH UNCERTAINTIES",0,"")</f>
        <v>0</v>
      </c>
      <c r="X2716" s="1" t="str">
        <f>IF(Table1[[#This Row],[DUT Read]]="","N/A",Table1[[#This Row],[Std Error]]+Table1[[#This Row],[DUT Read]]+Table1[[#This Row],[DUT Ucty]])</f>
        <v>N/A</v>
      </c>
      <c r="Y2716" s="1" t="str">
        <f>IF(Table1[[#This Row],[Std Read]]="","N/A",Table1[[#This Row],[Std Read]]+Table1[[#This Row],[Std Ucty]])</f>
        <v>N/A</v>
      </c>
      <c r="Z27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6" s="1" t="str">
        <f>IF(Table1[[#This Row],[Spec Type]]="","N/A",Table1[[#This Row],[Spec Type]])</f>
        <v>±</v>
      </c>
      <c r="AC2716" s="1" t="str">
        <f>IF(Table1[[#This Row],[Spec Type2]]="N/A","N/A",IF(AND(Table1[[#This Row],[DUT Adj Read]]&gt;=Table1[[#This Row],[Low Tol]],Table1[[#This Row],[DUT Adj Read]]&lt;=Table1[[#This Row],[High Tol]]),"Pass","Fail"))</f>
        <v>Fail</v>
      </c>
      <c r="AD2716" s="1" t="str">
        <f>IF(AND(Table1[[#This Row],[Spec Type2]]="N/A",Table1[[#This Row],[DUT Adj Read]]="N/A",Table1[[#This Row],[Std Adj Read]]="N/A"),"N/A",IF(Table1[[#This Row],[DUT Adj Read]]="N/A",IF(Table1[[#This Row],[Std Adj Read]]&gt;Table1[[#This Row],[Low Tol]],"Pass","Fail"),IF(Table1[[#This Row],[DUT Adj Read]]&gt;Table1[[#This Row],[Low Tol]],"Pass","Fail")))</f>
        <v>Pass</v>
      </c>
      <c r="AE2716" s="1" t="str">
        <f>IF(AND(Table1[[#This Row],[Spec Type2]]="N/A",Table1[[#This Row],[DUT Adj Read]]="N/A",Table1[[#This Row],[Std Adj Read]]="N/A"),"N/A",IF(Table1[[#This Row],[DUT Adj Read]]="N/A",IF(Table1[[#This Row],[Std Adj Read]]&lt;Table1[[#This Row],[High Tol]],"Pass","Fail"),IF(Table1[[#This Row],[DUT Adj Read]]&lt;Table1[[#This Row],[High Tol]],"Pass","Fail")))</f>
        <v>Fail</v>
      </c>
      <c r="AF2716" s="1" t="str">
        <f>IF(AND(Table1[[#This Row],[Spec Type2]]="N/A",Table1[[#This Row],[DUT Adj Read]]="N/A",Table1[[#This Row],[Std Adj Read]]="N/A"),"N/A",IF(Table1[[#This Row],[DUT Adj Read]]="N/A",IF(Table1[[#This Row],[Std Adj Read]]&gt;=Table1[[#This Row],[Low Tol]],"Pass","Fail"),IF(Table1[[#This Row],[DUT Adj Read]]&gt;=Table1[[#This Row],[Low Tol]],"Pass","Fail")))</f>
        <v>Pass</v>
      </c>
      <c r="AG2716" s="1" t="str">
        <f>IF(AND(Table1[[#This Row],[Spec Type2]]="N/A",Table1[[#This Row],[DUT Adj Read]]="N/A",Table1[[#This Row],[Std Adj Read]]="N/A"),"N/A",IF(Table1[[#This Row],[DUT Adj Read]]="N/A",IF(Table1[[#This Row],[Std Adj Read]]&lt;=Table1[[#This Row],[High Tol]],"Pass","Fail"),IF(Table1[[#This Row],[DUT Adj Read]]&lt;=Table1[[#This Row],[High Tol]],"Pass","Fail")))</f>
        <v>Fail</v>
      </c>
      <c r="AH27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6" s="1" t="b">
        <v>0</v>
      </c>
      <c r="AN2716" s="1" t="b">
        <v>0</v>
      </c>
      <c r="AO2716" s="1" t="b">
        <v>0</v>
      </c>
    </row>
    <row r="2717" spans="1:41" x14ac:dyDescent="0.25">
      <c r="A2717" s="10"/>
      <c r="B2717" s="10"/>
      <c r="C2717" s="10"/>
      <c r="D2717" s="10"/>
      <c r="E2717" s="10"/>
      <c r="F2717" s="10"/>
      <c r="G2717" s="10"/>
      <c r="H2717" s="10"/>
      <c r="I2717" s="1" t="str">
        <f t="shared" si="126"/>
        <v/>
      </c>
      <c r="J2717" s="1" t="s">
        <v>35</v>
      </c>
      <c r="K2717" s="1" t="str">
        <f t="shared" si="127"/>
        <v/>
      </c>
      <c r="L2717" s="1" t="str">
        <f t="shared" si="128"/>
        <v/>
      </c>
      <c r="M2717" s="1">
        <f>IF(OR(Table1[[#This Row],[Std Nom]]="",Table1[[#This Row],[Std Read]]=""),0,Table1[[#This Row],[Std Nom]]-Table1[[#This Row],[Std Read]])</f>
        <v>0</v>
      </c>
      <c r="N2717" s="1">
        <f>IF(Calculations!$F$5="ACCREDITED 17025 WITH UNCERTAINTIES",$N$10,0)</f>
        <v>0</v>
      </c>
      <c r="Q2717" s="1">
        <f>Table1[[#This Row],[High Tol]]-Table1[[#This Row],[Low Tol]]</f>
        <v>0</v>
      </c>
      <c r="R2717" s="1">
        <f>2*Table1[[#This Row],[Std Error]]</f>
        <v>0</v>
      </c>
      <c r="S2717" s="1" t="str">
        <f>IF(Table1[[#This Row],[High Tol]]="","N/A",IFERROR(ABS(Table1[[#This Row],[Tol Span]]/Table1[[#This Row],[Error Span]]),"N/A"))</f>
        <v>N/A</v>
      </c>
      <c r="T2717" s="1" t="str">
        <f>IF(OR(Table1[[#This Row],[Low Tol]]="",Table1[[#This Row],[High Tol]]=""),"Needs Analysis",IF(Table1[[#This Row],[Ratio]]&gt;=4,"Not Significant",IF(Table1[[#This Row],[Ratio]]&gt;=2,"Semi-Significant","Significant")))</f>
        <v>Needs Analysis</v>
      </c>
      <c r="W2717" s="1">
        <f>IF(Table1[[#This Row],[Cal Type]]&lt;&gt;"ACCREDITED 17025 WITH UNCERTAINTIES",0,"")</f>
        <v>0</v>
      </c>
      <c r="X2717" s="1" t="str">
        <f>IF(Table1[[#This Row],[DUT Read]]="","N/A",Table1[[#This Row],[Std Error]]+Table1[[#This Row],[DUT Read]]+Table1[[#This Row],[DUT Ucty]])</f>
        <v>N/A</v>
      </c>
      <c r="Y2717" s="1" t="str">
        <f>IF(Table1[[#This Row],[Std Read]]="","N/A",Table1[[#This Row],[Std Read]]+Table1[[#This Row],[Std Ucty]])</f>
        <v>N/A</v>
      </c>
      <c r="Z27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7" s="1" t="str">
        <f>IF(Table1[[#This Row],[Spec Type]]="","N/A",Table1[[#This Row],[Spec Type]])</f>
        <v>±</v>
      </c>
      <c r="AC2717" s="1" t="str">
        <f>IF(Table1[[#This Row],[Spec Type2]]="N/A","N/A",IF(AND(Table1[[#This Row],[DUT Adj Read]]&gt;=Table1[[#This Row],[Low Tol]],Table1[[#This Row],[DUT Adj Read]]&lt;=Table1[[#This Row],[High Tol]]),"Pass","Fail"))</f>
        <v>Fail</v>
      </c>
      <c r="AD2717" s="1" t="str">
        <f>IF(AND(Table1[[#This Row],[Spec Type2]]="N/A",Table1[[#This Row],[DUT Adj Read]]="N/A",Table1[[#This Row],[Std Adj Read]]="N/A"),"N/A",IF(Table1[[#This Row],[DUT Adj Read]]="N/A",IF(Table1[[#This Row],[Std Adj Read]]&gt;Table1[[#This Row],[Low Tol]],"Pass","Fail"),IF(Table1[[#This Row],[DUT Adj Read]]&gt;Table1[[#This Row],[Low Tol]],"Pass","Fail")))</f>
        <v>Pass</v>
      </c>
      <c r="AE2717" s="1" t="str">
        <f>IF(AND(Table1[[#This Row],[Spec Type2]]="N/A",Table1[[#This Row],[DUT Adj Read]]="N/A",Table1[[#This Row],[Std Adj Read]]="N/A"),"N/A",IF(Table1[[#This Row],[DUT Adj Read]]="N/A",IF(Table1[[#This Row],[Std Adj Read]]&lt;Table1[[#This Row],[High Tol]],"Pass","Fail"),IF(Table1[[#This Row],[DUT Adj Read]]&lt;Table1[[#This Row],[High Tol]],"Pass","Fail")))</f>
        <v>Fail</v>
      </c>
      <c r="AF2717" s="1" t="str">
        <f>IF(AND(Table1[[#This Row],[Spec Type2]]="N/A",Table1[[#This Row],[DUT Adj Read]]="N/A",Table1[[#This Row],[Std Adj Read]]="N/A"),"N/A",IF(Table1[[#This Row],[DUT Adj Read]]="N/A",IF(Table1[[#This Row],[Std Adj Read]]&gt;=Table1[[#This Row],[Low Tol]],"Pass","Fail"),IF(Table1[[#This Row],[DUT Adj Read]]&gt;=Table1[[#This Row],[Low Tol]],"Pass","Fail")))</f>
        <v>Pass</v>
      </c>
      <c r="AG2717" s="1" t="str">
        <f>IF(AND(Table1[[#This Row],[Spec Type2]]="N/A",Table1[[#This Row],[DUT Adj Read]]="N/A",Table1[[#This Row],[Std Adj Read]]="N/A"),"N/A",IF(Table1[[#This Row],[DUT Adj Read]]="N/A",IF(Table1[[#This Row],[Std Adj Read]]&lt;=Table1[[#This Row],[High Tol]],"Pass","Fail"),IF(Table1[[#This Row],[DUT Adj Read]]&lt;=Table1[[#This Row],[High Tol]],"Pass","Fail")))</f>
        <v>Fail</v>
      </c>
      <c r="AH27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7" s="1" t="b">
        <v>0</v>
      </c>
      <c r="AN2717" s="1" t="b">
        <v>0</v>
      </c>
      <c r="AO2717" s="1" t="b">
        <v>0</v>
      </c>
    </row>
    <row r="2718" spans="1:41" x14ac:dyDescent="0.25">
      <c r="A2718" s="10"/>
      <c r="B2718" s="10"/>
      <c r="C2718" s="10"/>
      <c r="D2718" s="10"/>
      <c r="E2718" s="10"/>
      <c r="F2718" s="10"/>
      <c r="G2718" s="10"/>
      <c r="H2718" s="10"/>
      <c r="I2718" s="1" t="str">
        <f t="shared" si="126"/>
        <v/>
      </c>
      <c r="J2718" s="1" t="s">
        <v>35</v>
      </c>
      <c r="K2718" s="1" t="str">
        <f t="shared" si="127"/>
        <v/>
      </c>
      <c r="L2718" s="1" t="str">
        <f t="shared" si="128"/>
        <v/>
      </c>
      <c r="M2718" s="1">
        <f>IF(OR(Table1[[#This Row],[Std Nom]]="",Table1[[#This Row],[Std Read]]=""),0,Table1[[#This Row],[Std Nom]]-Table1[[#This Row],[Std Read]])</f>
        <v>0</v>
      </c>
      <c r="N2718" s="1">
        <f>IF(Calculations!$F$5="ACCREDITED 17025 WITH UNCERTAINTIES",$N$10,0)</f>
        <v>0</v>
      </c>
      <c r="Q2718" s="1">
        <f>Table1[[#This Row],[High Tol]]-Table1[[#This Row],[Low Tol]]</f>
        <v>0</v>
      </c>
      <c r="R2718" s="1">
        <f>2*Table1[[#This Row],[Std Error]]</f>
        <v>0</v>
      </c>
      <c r="S2718" s="1" t="str">
        <f>IF(Table1[[#This Row],[High Tol]]="","N/A",IFERROR(ABS(Table1[[#This Row],[Tol Span]]/Table1[[#This Row],[Error Span]]),"N/A"))</f>
        <v>N/A</v>
      </c>
      <c r="T2718" s="1" t="str">
        <f>IF(OR(Table1[[#This Row],[Low Tol]]="",Table1[[#This Row],[High Tol]]=""),"Needs Analysis",IF(Table1[[#This Row],[Ratio]]&gt;=4,"Not Significant",IF(Table1[[#This Row],[Ratio]]&gt;=2,"Semi-Significant","Significant")))</f>
        <v>Needs Analysis</v>
      </c>
      <c r="W2718" s="1">
        <f>IF(Table1[[#This Row],[Cal Type]]&lt;&gt;"ACCREDITED 17025 WITH UNCERTAINTIES",0,"")</f>
        <v>0</v>
      </c>
      <c r="X2718" s="1" t="str">
        <f>IF(Table1[[#This Row],[DUT Read]]="","N/A",Table1[[#This Row],[Std Error]]+Table1[[#This Row],[DUT Read]]+Table1[[#This Row],[DUT Ucty]])</f>
        <v>N/A</v>
      </c>
      <c r="Y2718" s="1" t="str">
        <f>IF(Table1[[#This Row],[Std Read]]="","N/A",Table1[[#This Row],[Std Read]]+Table1[[#This Row],[Std Ucty]])</f>
        <v>N/A</v>
      </c>
      <c r="Z27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8" s="1" t="str">
        <f>IF(Table1[[#This Row],[Spec Type]]="","N/A",Table1[[#This Row],[Spec Type]])</f>
        <v>±</v>
      </c>
      <c r="AC2718" s="1" t="str">
        <f>IF(Table1[[#This Row],[Spec Type2]]="N/A","N/A",IF(AND(Table1[[#This Row],[DUT Adj Read]]&gt;=Table1[[#This Row],[Low Tol]],Table1[[#This Row],[DUT Adj Read]]&lt;=Table1[[#This Row],[High Tol]]),"Pass","Fail"))</f>
        <v>Fail</v>
      </c>
      <c r="AD2718" s="1" t="str">
        <f>IF(AND(Table1[[#This Row],[Spec Type2]]="N/A",Table1[[#This Row],[DUT Adj Read]]="N/A",Table1[[#This Row],[Std Adj Read]]="N/A"),"N/A",IF(Table1[[#This Row],[DUT Adj Read]]="N/A",IF(Table1[[#This Row],[Std Adj Read]]&gt;Table1[[#This Row],[Low Tol]],"Pass","Fail"),IF(Table1[[#This Row],[DUT Adj Read]]&gt;Table1[[#This Row],[Low Tol]],"Pass","Fail")))</f>
        <v>Pass</v>
      </c>
      <c r="AE2718" s="1" t="str">
        <f>IF(AND(Table1[[#This Row],[Spec Type2]]="N/A",Table1[[#This Row],[DUT Adj Read]]="N/A",Table1[[#This Row],[Std Adj Read]]="N/A"),"N/A",IF(Table1[[#This Row],[DUT Adj Read]]="N/A",IF(Table1[[#This Row],[Std Adj Read]]&lt;Table1[[#This Row],[High Tol]],"Pass","Fail"),IF(Table1[[#This Row],[DUT Adj Read]]&lt;Table1[[#This Row],[High Tol]],"Pass","Fail")))</f>
        <v>Fail</v>
      </c>
      <c r="AF2718" s="1" t="str">
        <f>IF(AND(Table1[[#This Row],[Spec Type2]]="N/A",Table1[[#This Row],[DUT Adj Read]]="N/A",Table1[[#This Row],[Std Adj Read]]="N/A"),"N/A",IF(Table1[[#This Row],[DUT Adj Read]]="N/A",IF(Table1[[#This Row],[Std Adj Read]]&gt;=Table1[[#This Row],[Low Tol]],"Pass","Fail"),IF(Table1[[#This Row],[DUT Adj Read]]&gt;=Table1[[#This Row],[Low Tol]],"Pass","Fail")))</f>
        <v>Pass</v>
      </c>
      <c r="AG2718" s="1" t="str">
        <f>IF(AND(Table1[[#This Row],[Spec Type2]]="N/A",Table1[[#This Row],[DUT Adj Read]]="N/A",Table1[[#This Row],[Std Adj Read]]="N/A"),"N/A",IF(Table1[[#This Row],[DUT Adj Read]]="N/A",IF(Table1[[#This Row],[Std Adj Read]]&lt;=Table1[[#This Row],[High Tol]],"Pass","Fail"),IF(Table1[[#This Row],[DUT Adj Read]]&lt;=Table1[[#This Row],[High Tol]],"Pass","Fail")))</f>
        <v>Fail</v>
      </c>
      <c r="AH27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8" s="1" t="b">
        <v>0</v>
      </c>
      <c r="AN2718" s="1" t="b">
        <v>0</v>
      </c>
      <c r="AO2718" s="1" t="b">
        <v>0</v>
      </c>
    </row>
    <row r="2719" spans="1:41" x14ac:dyDescent="0.25">
      <c r="A2719" s="10"/>
      <c r="B2719" s="10"/>
      <c r="C2719" s="10"/>
      <c r="D2719" s="10"/>
      <c r="E2719" s="10"/>
      <c r="F2719" s="10"/>
      <c r="G2719" s="10"/>
      <c r="H2719" s="10"/>
      <c r="I2719" s="1" t="str">
        <f t="shared" si="126"/>
        <v/>
      </c>
      <c r="J2719" s="1" t="s">
        <v>35</v>
      </c>
      <c r="K2719" s="1" t="str">
        <f t="shared" si="127"/>
        <v/>
      </c>
      <c r="L2719" s="1" t="str">
        <f t="shared" si="128"/>
        <v/>
      </c>
      <c r="M2719" s="1">
        <f>IF(OR(Table1[[#This Row],[Std Nom]]="",Table1[[#This Row],[Std Read]]=""),0,Table1[[#This Row],[Std Nom]]-Table1[[#This Row],[Std Read]])</f>
        <v>0</v>
      </c>
      <c r="N2719" s="1">
        <f>IF(Calculations!$F$5="ACCREDITED 17025 WITH UNCERTAINTIES",$N$10,0)</f>
        <v>0</v>
      </c>
      <c r="Q2719" s="1">
        <f>Table1[[#This Row],[High Tol]]-Table1[[#This Row],[Low Tol]]</f>
        <v>0</v>
      </c>
      <c r="R2719" s="1">
        <f>2*Table1[[#This Row],[Std Error]]</f>
        <v>0</v>
      </c>
      <c r="S2719" s="1" t="str">
        <f>IF(Table1[[#This Row],[High Tol]]="","N/A",IFERROR(ABS(Table1[[#This Row],[Tol Span]]/Table1[[#This Row],[Error Span]]),"N/A"))</f>
        <v>N/A</v>
      </c>
      <c r="T2719" s="1" t="str">
        <f>IF(OR(Table1[[#This Row],[Low Tol]]="",Table1[[#This Row],[High Tol]]=""),"Needs Analysis",IF(Table1[[#This Row],[Ratio]]&gt;=4,"Not Significant",IF(Table1[[#This Row],[Ratio]]&gt;=2,"Semi-Significant","Significant")))</f>
        <v>Needs Analysis</v>
      </c>
      <c r="W2719" s="1">
        <f>IF(Table1[[#This Row],[Cal Type]]&lt;&gt;"ACCREDITED 17025 WITH UNCERTAINTIES",0,"")</f>
        <v>0</v>
      </c>
      <c r="X2719" s="1" t="str">
        <f>IF(Table1[[#This Row],[DUT Read]]="","N/A",Table1[[#This Row],[Std Error]]+Table1[[#This Row],[DUT Read]]+Table1[[#This Row],[DUT Ucty]])</f>
        <v>N/A</v>
      </c>
      <c r="Y2719" s="1" t="str">
        <f>IF(Table1[[#This Row],[Std Read]]="","N/A",Table1[[#This Row],[Std Read]]+Table1[[#This Row],[Std Ucty]])</f>
        <v>N/A</v>
      </c>
      <c r="Z27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19" s="1" t="str">
        <f>IF(Table1[[#This Row],[Spec Type]]="","N/A",Table1[[#This Row],[Spec Type]])</f>
        <v>±</v>
      </c>
      <c r="AC2719" s="1" t="str">
        <f>IF(Table1[[#This Row],[Spec Type2]]="N/A","N/A",IF(AND(Table1[[#This Row],[DUT Adj Read]]&gt;=Table1[[#This Row],[Low Tol]],Table1[[#This Row],[DUT Adj Read]]&lt;=Table1[[#This Row],[High Tol]]),"Pass","Fail"))</f>
        <v>Fail</v>
      </c>
      <c r="AD2719" s="1" t="str">
        <f>IF(AND(Table1[[#This Row],[Spec Type2]]="N/A",Table1[[#This Row],[DUT Adj Read]]="N/A",Table1[[#This Row],[Std Adj Read]]="N/A"),"N/A",IF(Table1[[#This Row],[DUT Adj Read]]="N/A",IF(Table1[[#This Row],[Std Adj Read]]&gt;Table1[[#This Row],[Low Tol]],"Pass","Fail"),IF(Table1[[#This Row],[DUT Adj Read]]&gt;Table1[[#This Row],[Low Tol]],"Pass","Fail")))</f>
        <v>Pass</v>
      </c>
      <c r="AE2719" s="1" t="str">
        <f>IF(AND(Table1[[#This Row],[Spec Type2]]="N/A",Table1[[#This Row],[DUT Adj Read]]="N/A",Table1[[#This Row],[Std Adj Read]]="N/A"),"N/A",IF(Table1[[#This Row],[DUT Adj Read]]="N/A",IF(Table1[[#This Row],[Std Adj Read]]&lt;Table1[[#This Row],[High Tol]],"Pass","Fail"),IF(Table1[[#This Row],[DUT Adj Read]]&lt;Table1[[#This Row],[High Tol]],"Pass","Fail")))</f>
        <v>Fail</v>
      </c>
      <c r="AF2719" s="1" t="str">
        <f>IF(AND(Table1[[#This Row],[Spec Type2]]="N/A",Table1[[#This Row],[DUT Adj Read]]="N/A",Table1[[#This Row],[Std Adj Read]]="N/A"),"N/A",IF(Table1[[#This Row],[DUT Adj Read]]="N/A",IF(Table1[[#This Row],[Std Adj Read]]&gt;=Table1[[#This Row],[Low Tol]],"Pass","Fail"),IF(Table1[[#This Row],[DUT Adj Read]]&gt;=Table1[[#This Row],[Low Tol]],"Pass","Fail")))</f>
        <v>Pass</v>
      </c>
      <c r="AG2719" s="1" t="str">
        <f>IF(AND(Table1[[#This Row],[Spec Type2]]="N/A",Table1[[#This Row],[DUT Adj Read]]="N/A",Table1[[#This Row],[Std Adj Read]]="N/A"),"N/A",IF(Table1[[#This Row],[DUT Adj Read]]="N/A",IF(Table1[[#This Row],[Std Adj Read]]&lt;=Table1[[#This Row],[High Tol]],"Pass","Fail"),IF(Table1[[#This Row],[DUT Adj Read]]&lt;=Table1[[#This Row],[High Tol]],"Pass","Fail")))</f>
        <v>Fail</v>
      </c>
      <c r="AH27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19" s="1" t="b">
        <v>0</v>
      </c>
      <c r="AN2719" s="1" t="b">
        <v>0</v>
      </c>
      <c r="AO2719" s="1" t="b">
        <v>0</v>
      </c>
    </row>
    <row r="2720" spans="1:41" x14ac:dyDescent="0.25">
      <c r="A2720" s="10"/>
      <c r="B2720" s="10"/>
      <c r="C2720" s="10"/>
      <c r="D2720" s="10"/>
      <c r="E2720" s="10"/>
      <c r="F2720" s="10"/>
      <c r="G2720" s="10"/>
      <c r="H2720" s="10"/>
      <c r="I2720" s="1" t="str">
        <f t="shared" si="126"/>
        <v/>
      </c>
      <c r="J2720" s="1" t="s">
        <v>35</v>
      </c>
      <c r="K2720" s="1" t="str">
        <f t="shared" si="127"/>
        <v/>
      </c>
      <c r="L2720" s="1" t="str">
        <f t="shared" si="128"/>
        <v/>
      </c>
      <c r="M2720" s="1">
        <f>IF(OR(Table1[[#This Row],[Std Nom]]="",Table1[[#This Row],[Std Read]]=""),0,Table1[[#This Row],[Std Nom]]-Table1[[#This Row],[Std Read]])</f>
        <v>0</v>
      </c>
      <c r="N2720" s="1">
        <f>IF(Calculations!$F$5="ACCREDITED 17025 WITH UNCERTAINTIES",$N$10,0)</f>
        <v>0</v>
      </c>
      <c r="Q2720" s="1">
        <f>Table1[[#This Row],[High Tol]]-Table1[[#This Row],[Low Tol]]</f>
        <v>0</v>
      </c>
      <c r="R2720" s="1">
        <f>2*Table1[[#This Row],[Std Error]]</f>
        <v>0</v>
      </c>
      <c r="S2720" s="1" t="str">
        <f>IF(Table1[[#This Row],[High Tol]]="","N/A",IFERROR(ABS(Table1[[#This Row],[Tol Span]]/Table1[[#This Row],[Error Span]]),"N/A"))</f>
        <v>N/A</v>
      </c>
      <c r="T2720" s="1" t="str">
        <f>IF(OR(Table1[[#This Row],[Low Tol]]="",Table1[[#This Row],[High Tol]]=""),"Needs Analysis",IF(Table1[[#This Row],[Ratio]]&gt;=4,"Not Significant",IF(Table1[[#This Row],[Ratio]]&gt;=2,"Semi-Significant","Significant")))</f>
        <v>Needs Analysis</v>
      </c>
      <c r="W2720" s="1">
        <f>IF(Table1[[#This Row],[Cal Type]]&lt;&gt;"ACCREDITED 17025 WITH UNCERTAINTIES",0,"")</f>
        <v>0</v>
      </c>
      <c r="X2720" s="1" t="str">
        <f>IF(Table1[[#This Row],[DUT Read]]="","N/A",Table1[[#This Row],[Std Error]]+Table1[[#This Row],[DUT Read]]+Table1[[#This Row],[DUT Ucty]])</f>
        <v>N/A</v>
      </c>
      <c r="Y2720" s="1" t="str">
        <f>IF(Table1[[#This Row],[Std Read]]="","N/A",Table1[[#This Row],[Std Read]]+Table1[[#This Row],[Std Ucty]])</f>
        <v>N/A</v>
      </c>
      <c r="Z27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0" s="1" t="str">
        <f>IF(Table1[[#This Row],[Spec Type]]="","N/A",Table1[[#This Row],[Spec Type]])</f>
        <v>±</v>
      </c>
      <c r="AC2720" s="1" t="str">
        <f>IF(Table1[[#This Row],[Spec Type2]]="N/A","N/A",IF(AND(Table1[[#This Row],[DUT Adj Read]]&gt;=Table1[[#This Row],[Low Tol]],Table1[[#This Row],[DUT Adj Read]]&lt;=Table1[[#This Row],[High Tol]]),"Pass","Fail"))</f>
        <v>Fail</v>
      </c>
      <c r="AD2720" s="1" t="str">
        <f>IF(AND(Table1[[#This Row],[Spec Type2]]="N/A",Table1[[#This Row],[DUT Adj Read]]="N/A",Table1[[#This Row],[Std Adj Read]]="N/A"),"N/A",IF(Table1[[#This Row],[DUT Adj Read]]="N/A",IF(Table1[[#This Row],[Std Adj Read]]&gt;Table1[[#This Row],[Low Tol]],"Pass","Fail"),IF(Table1[[#This Row],[DUT Adj Read]]&gt;Table1[[#This Row],[Low Tol]],"Pass","Fail")))</f>
        <v>Pass</v>
      </c>
      <c r="AE2720" s="1" t="str">
        <f>IF(AND(Table1[[#This Row],[Spec Type2]]="N/A",Table1[[#This Row],[DUT Adj Read]]="N/A",Table1[[#This Row],[Std Adj Read]]="N/A"),"N/A",IF(Table1[[#This Row],[DUT Adj Read]]="N/A",IF(Table1[[#This Row],[Std Adj Read]]&lt;Table1[[#This Row],[High Tol]],"Pass","Fail"),IF(Table1[[#This Row],[DUT Adj Read]]&lt;Table1[[#This Row],[High Tol]],"Pass","Fail")))</f>
        <v>Fail</v>
      </c>
      <c r="AF2720" s="1" t="str">
        <f>IF(AND(Table1[[#This Row],[Spec Type2]]="N/A",Table1[[#This Row],[DUT Adj Read]]="N/A",Table1[[#This Row],[Std Adj Read]]="N/A"),"N/A",IF(Table1[[#This Row],[DUT Adj Read]]="N/A",IF(Table1[[#This Row],[Std Adj Read]]&gt;=Table1[[#This Row],[Low Tol]],"Pass","Fail"),IF(Table1[[#This Row],[DUT Adj Read]]&gt;=Table1[[#This Row],[Low Tol]],"Pass","Fail")))</f>
        <v>Pass</v>
      </c>
      <c r="AG2720" s="1" t="str">
        <f>IF(AND(Table1[[#This Row],[Spec Type2]]="N/A",Table1[[#This Row],[DUT Adj Read]]="N/A",Table1[[#This Row],[Std Adj Read]]="N/A"),"N/A",IF(Table1[[#This Row],[DUT Adj Read]]="N/A",IF(Table1[[#This Row],[Std Adj Read]]&lt;=Table1[[#This Row],[High Tol]],"Pass","Fail"),IF(Table1[[#This Row],[DUT Adj Read]]&lt;=Table1[[#This Row],[High Tol]],"Pass","Fail")))</f>
        <v>Fail</v>
      </c>
      <c r="AH27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0" s="1" t="b">
        <v>0</v>
      </c>
      <c r="AN2720" s="1" t="b">
        <v>0</v>
      </c>
      <c r="AO2720" s="1" t="b">
        <v>0</v>
      </c>
    </row>
    <row r="2721" spans="1:41" x14ac:dyDescent="0.25">
      <c r="A2721" s="10"/>
      <c r="B2721" s="10"/>
      <c r="C2721" s="10"/>
      <c r="D2721" s="10"/>
      <c r="E2721" s="10"/>
      <c r="F2721" s="10"/>
      <c r="G2721" s="10"/>
      <c r="H2721" s="10"/>
      <c r="I2721" s="1" t="str">
        <f t="shared" si="126"/>
        <v/>
      </c>
      <c r="J2721" s="1" t="s">
        <v>35</v>
      </c>
      <c r="K2721" s="1" t="str">
        <f t="shared" si="127"/>
        <v/>
      </c>
      <c r="L2721" s="1" t="str">
        <f t="shared" si="128"/>
        <v/>
      </c>
      <c r="M2721" s="1">
        <f>IF(OR(Table1[[#This Row],[Std Nom]]="",Table1[[#This Row],[Std Read]]=""),0,Table1[[#This Row],[Std Nom]]-Table1[[#This Row],[Std Read]])</f>
        <v>0</v>
      </c>
      <c r="N2721" s="1">
        <f>IF(Calculations!$F$5="ACCREDITED 17025 WITH UNCERTAINTIES",$N$10,0)</f>
        <v>0</v>
      </c>
      <c r="Q2721" s="1">
        <f>Table1[[#This Row],[High Tol]]-Table1[[#This Row],[Low Tol]]</f>
        <v>0</v>
      </c>
      <c r="R2721" s="1">
        <f>2*Table1[[#This Row],[Std Error]]</f>
        <v>0</v>
      </c>
      <c r="S2721" s="1" t="str">
        <f>IF(Table1[[#This Row],[High Tol]]="","N/A",IFERROR(ABS(Table1[[#This Row],[Tol Span]]/Table1[[#This Row],[Error Span]]),"N/A"))</f>
        <v>N/A</v>
      </c>
      <c r="T2721" s="1" t="str">
        <f>IF(OR(Table1[[#This Row],[Low Tol]]="",Table1[[#This Row],[High Tol]]=""),"Needs Analysis",IF(Table1[[#This Row],[Ratio]]&gt;=4,"Not Significant",IF(Table1[[#This Row],[Ratio]]&gt;=2,"Semi-Significant","Significant")))</f>
        <v>Needs Analysis</v>
      </c>
      <c r="W2721" s="1">
        <f>IF(Table1[[#This Row],[Cal Type]]&lt;&gt;"ACCREDITED 17025 WITH UNCERTAINTIES",0,"")</f>
        <v>0</v>
      </c>
      <c r="X2721" s="1" t="str">
        <f>IF(Table1[[#This Row],[DUT Read]]="","N/A",Table1[[#This Row],[Std Error]]+Table1[[#This Row],[DUT Read]]+Table1[[#This Row],[DUT Ucty]])</f>
        <v>N/A</v>
      </c>
      <c r="Y2721" s="1" t="str">
        <f>IF(Table1[[#This Row],[Std Read]]="","N/A",Table1[[#This Row],[Std Read]]+Table1[[#This Row],[Std Ucty]])</f>
        <v>N/A</v>
      </c>
      <c r="Z27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1" s="1" t="str">
        <f>IF(Table1[[#This Row],[Spec Type]]="","N/A",Table1[[#This Row],[Spec Type]])</f>
        <v>±</v>
      </c>
      <c r="AC2721" s="1" t="str">
        <f>IF(Table1[[#This Row],[Spec Type2]]="N/A","N/A",IF(AND(Table1[[#This Row],[DUT Adj Read]]&gt;=Table1[[#This Row],[Low Tol]],Table1[[#This Row],[DUT Adj Read]]&lt;=Table1[[#This Row],[High Tol]]),"Pass","Fail"))</f>
        <v>Fail</v>
      </c>
      <c r="AD2721" s="1" t="str">
        <f>IF(AND(Table1[[#This Row],[Spec Type2]]="N/A",Table1[[#This Row],[DUT Adj Read]]="N/A",Table1[[#This Row],[Std Adj Read]]="N/A"),"N/A",IF(Table1[[#This Row],[DUT Adj Read]]="N/A",IF(Table1[[#This Row],[Std Adj Read]]&gt;Table1[[#This Row],[Low Tol]],"Pass","Fail"),IF(Table1[[#This Row],[DUT Adj Read]]&gt;Table1[[#This Row],[Low Tol]],"Pass","Fail")))</f>
        <v>Pass</v>
      </c>
      <c r="AE2721" s="1" t="str">
        <f>IF(AND(Table1[[#This Row],[Spec Type2]]="N/A",Table1[[#This Row],[DUT Adj Read]]="N/A",Table1[[#This Row],[Std Adj Read]]="N/A"),"N/A",IF(Table1[[#This Row],[DUT Adj Read]]="N/A",IF(Table1[[#This Row],[Std Adj Read]]&lt;Table1[[#This Row],[High Tol]],"Pass","Fail"),IF(Table1[[#This Row],[DUT Adj Read]]&lt;Table1[[#This Row],[High Tol]],"Pass","Fail")))</f>
        <v>Fail</v>
      </c>
      <c r="AF2721" s="1" t="str">
        <f>IF(AND(Table1[[#This Row],[Spec Type2]]="N/A",Table1[[#This Row],[DUT Adj Read]]="N/A",Table1[[#This Row],[Std Adj Read]]="N/A"),"N/A",IF(Table1[[#This Row],[DUT Adj Read]]="N/A",IF(Table1[[#This Row],[Std Adj Read]]&gt;=Table1[[#This Row],[Low Tol]],"Pass","Fail"),IF(Table1[[#This Row],[DUT Adj Read]]&gt;=Table1[[#This Row],[Low Tol]],"Pass","Fail")))</f>
        <v>Pass</v>
      </c>
      <c r="AG2721" s="1" t="str">
        <f>IF(AND(Table1[[#This Row],[Spec Type2]]="N/A",Table1[[#This Row],[DUT Adj Read]]="N/A",Table1[[#This Row],[Std Adj Read]]="N/A"),"N/A",IF(Table1[[#This Row],[DUT Adj Read]]="N/A",IF(Table1[[#This Row],[Std Adj Read]]&lt;=Table1[[#This Row],[High Tol]],"Pass","Fail"),IF(Table1[[#This Row],[DUT Adj Read]]&lt;=Table1[[#This Row],[High Tol]],"Pass","Fail")))</f>
        <v>Fail</v>
      </c>
      <c r="AH27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1" s="1" t="b">
        <v>0</v>
      </c>
      <c r="AN2721" s="1" t="b">
        <v>0</v>
      </c>
      <c r="AO2721" s="1" t="b">
        <v>0</v>
      </c>
    </row>
    <row r="2722" spans="1:41" x14ac:dyDescent="0.25">
      <c r="A2722" s="10"/>
      <c r="B2722" s="10"/>
      <c r="C2722" s="10"/>
      <c r="D2722" s="10"/>
      <c r="E2722" s="10"/>
      <c r="F2722" s="10"/>
      <c r="G2722" s="10"/>
      <c r="H2722" s="10"/>
      <c r="I2722" s="1" t="str">
        <f t="shared" si="126"/>
        <v/>
      </c>
      <c r="J2722" s="1" t="s">
        <v>35</v>
      </c>
      <c r="K2722" s="1" t="str">
        <f t="shared" si="127"/>
        <v/>
      </c>
      <c r="L2722" s="1" t="str">
        <f t="shared" si="128"/>
        <v/>
      </c>
      <c r="M2722" s="1">
        <f>IF(OR(Table1[[#This Row],[Std Nom]]="",Table1[[#This Row],[Std Read]]=""),0,Table1[[#This Row],[Std Nom]]-Table1[[#This Row],[Std Read]])</f>
        <v>0</v>
      </c>
      <c r="N2722" s="1">
        <f>IF(Calculations!$F$5="ACCREDITED 17025 WITH UNCERTAINTIES",$N$10,0)</f>
        <v>0</v>
      </c>
      <c r="Q2722" s="1">
        <f>Table1[[#This Row],[High Tol]]-Table1[[#This Row],[Low Tol]]</f>
        <v>0</v>
      </c>
      <c r="R2722" s="1">
        <f>2*Table1[[#This Row],[Std Error]]</f>
        <v>0</v>
      </c>
      <c r="S2722" s="1" t="str">
        <f>IF(Table1[[#This Row],[High Tol]]="","N/A",IFERROR(ABS(Table1[[#This Row],[Tol Span]]/Table1[[#This Row],[Error Span]]),"N/A"))</f>
        <v>N/A</v>
      </c>
      <c r="T2722" s="1" t="str">
        <f>IF(OR(Table1[[#This Row],[Low Tol]]="",Table1[[#This Row],[High Tol]]=""),"Needs Analysis",IF(Table1[[#This Row],[Ratio]]&gt;=4,"Not Significant",IF(Table1[[#This Row],[Ratio]]&gt;=2,"Semi-Significant","Significant")))</f>
        <v>Needs Analysis</v>
      </c>
      <c r="W2722" s="1">
        <f>IF(Table1[[#This Row],[Cal Type]]&lt;&gt;"ACCREDITED 17025 WITH UNCERTAINTIES",0,"")</f>
        <v>0</v>
      </c>
      <c r="X2722" s="1" t="str">
        <f>IF(Table1[[#This Row],[DUT Read]]="","N/A",Table1[[#This Row],[Std Error]]+Table1[[#This Row],[DUT Read]]+Table1[[#This Row],[DUT Ucty]])</f>
        <v>N/A</v>
      </c>
      <c r="Y2722" s="1" t="str">
        <f>IF(Table1[[#This Row],[Std Read]]="","N/A",Table1[[#This Row],[Std Read]]+Table1[[#This Row],[Std Ucty]])</f>
        <v>N/A</v>
      </c>
      <c r="Z27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2" s="1" t="str">
        <f>IF(Table1[[#This Row],[Spec Type]]="","N/A",Table1[[#This Row],[Spec Type]])</f>
        <v>±</v>
      </c>
      <c r="AC2722" s="1" t="str">
        <f>IF(Table1[[#This Row],[Spec Type2]]="N/A","N/A",IF(AND(Table1[[#This Row],[DUT Adj Read]]&gt;=Table1[[#This Row],[Low Tol]],Table1[[#This Row],[DUT Adj Read]]&lt;=Table1[[#This Row],[High Tol]]),"Pass","Fail"))</f>
        <v>Fail</v>
      </c>
      <c r="AD2722" s="1" t="str">
        <f>IF(AND(Table1[[#This Row],[Spec Type2]]="N/A",Table1[[#This Row],[DUT Adj Read]]="N/A",Table1[[#This Row],[Std Adj Read]]="N/A"),"N/A",IF(Table1[[#This Row],[DUT Adj Read]]="N/A",IF(Table1[[#This Row],[Std Adj Read]]&gt;Table1[[#This Row],[Low Tol]],"Pass","Fail"),IF(Table1[[#This Row],[DUT Adj Read]]&gt;Table1[[#This Row],[Low Tol]],"Pass","Fail")))</f>
        <v>Pass</v>
      </c>
      <c r="AE2722" s="1" t="str">
        <f>IF(AND(Table1[[#This Row],[Spec Type2]]="N/A",Table1[[#This Row],[DUT Adj Read]]="N/A",Table1[[#This Row],[Std Adj Read]]="N/A"),"N/A",IF(Table1[[#This Row],[DUT Adj Read]]="N/A",IF(Table1[[#This Row],[Std Adj Read]]&lt;Table1[[#This Row],[High Tol]],"Pass","Fail"),IF(Table1[[#This Row],[DUT Adj Read]]&lt;Table1[[#This Row],[High Tol]],"Pass","Fail")))</f>
        <v>Fail</v>
      </c>
      <c r="AF2722" s="1" t="str">
        <f>IF(AND(Table1[[#This Row],[Spec Type2]]="N/A",Table1[[#This Row],[DUT Adj Read]]="N/A",Table1[[#This Row],[Std Adj Read]]="N/A"),"N/A",IF(Table1[[#This Row],[DUT Adj Read]]="N/A",IF(Table1[[#This Row],[Std Adj Read]]&gt;=Table1[[#This Row],[Low Tol]],"Pass","Fail"),IF(Table1[[#This Row],[DUT Adj Read]]&gt;=Table1[[#This Row],[Low Tol]],"Pass","Fail")))</f>
        <v>Pass</v>
      </c>
      <c r="AG2722" s="1" t="str">
        <f>IF(AND(Table1[[#This Row],[Spec Type2]]="N/A",Table1[[#This Row],[DUT Adj Read]]="N/A",Table1[[#This Row],[Std Adj Read]]="N/A"),"N/A",IF(Table1[[#This Row],[DUT Adj Read]]="N/A",IF(Table1[[#This Row],[Std Adj Read]]&lt;=Table1[[#This Row],[High Tol]],"Pass","Fail"),IF(Table1[[#This Row],[DUT Adj Read]]&lt;=Table1[[#This Row],[High Tol]],"Pass","Fail")))</f>
        <v>Fail</v>
      </c>
      <c r="AH27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2" s="1" t="b">
        <v>0</v>
      </c>
      <c r="AN2722" s="1" t="b">
        <v>0</v>
      </c>
      <c r="AO2722" s="1" t="b">
        <v>0</v>
      </c>
    </row>
    <row r="2723" spans="1:41" x14ac:dyDescent="0.25">
      <c r="A2723" s="10"/>
      <c r="B2723" s="10"/>
      <c r="C2723" s="10"/>
      <c r="D2723" s="10"/>
      <c r="E2723" s="10"/>
      <c r="F2723" s="10"/>
      <c r="G2723" s="10"/>
      <c r="H2723" s="10"/>
      <c r="I2723" s="1" t="str">
        <f t="shared" si="126"/>
        <v/>
      </c>
      <c r="J2723" s="1" t="s">
        <v>35</v>
      </c>
      <c r="K2723" s="1" t="str">
        <f t="shared" si="127"/>
        <v/>
      </c>
      <c r="L2723" s="1" t="str">
        <f t="shared" si="128"/>
        <v/>
      </c>
      <c r="M2723" s="1">
        <f>IF(OR(Table1[[#This Row],[Std Nom]]="",Table1[[#This Row],[Std Read]]=""),0,Table1[[#This Row],[Std Nom]]-Table1[[#This Row],[Std Read]])</f>
        <v>0</v>
      </c>
      <c r="N2723" s="1">
        <f>IF(Calculations!$F$5="ACCREDITED 17025 WITH UNCERTAINTIES",$N$10,0)</f>
        <v>0</v>
      </c>
      <c r="Q2723" s="1">
        <f>Table1[[#This Row],[High Tol]]-Table1[[#This Row],[Low Tol]]</f>
        <v>0</v>
      </c>
      <c r="R2723" s="1">
        <f>2*Table1[[#This Row],[Std Error]]</f>
        <v>0</v>
      </c>
      <c r="S2723" s="1" t="str">
        <f>IF(Table1[[#This Row],[High Tol]]="","N/A",IFERROR(ABS(Table1[[#This Row],[Tol Span]]/Table1[[#This Row],[Error Span]]),"N/A"))</f>
        <v>N/A</v>
      </c>
      <c r="T2723" s="1" t="str">
        <f>IF(OR(Table1[[#This Row],[Low Tol]]="",Table1[[#This Row],[High Tol]]=""),"Needs Analysis",IF(Table1[[#This Row],[Ratio]]&gt;=4,"Not Significant",IF(Table1[[#This Row],[Ratio]]&gt;=2,"Semi-Significant","Significant")))</f>
        <v>Needs Analysis</v>
      </c>
      <c r="W2723" s="1">
        <f>IF(Table1[[#This Row],[Cal Type]]&lt;&gt;"ACCREDITED 17025 WITH UNCERTAINTIES",0,"")</f>
        <v>0</v>
      </c>
      <c r="X2723" s="1" t="str">
        <f>IF(Table1[[#This Row],[DUT Read]]="","N/A",Table1[[#This Row],[Std Error]]+Table1[[#This Row],[DUT Read]]+Table1[[#This Row],[DUT Ucty]])</f>
        <v>N/A</v>
      </c>
      <c r="Y2723" s="1" t="str">
        <f>IF(Table1[[#This Row],[Std Read]]="","N/A",Table1[[#This Row],[Std Read]]+Table1[[#This Row],[Std Ucty]])</f>
        <v>N/A</v>
      </c>
      <c r="Z27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3" s="1" t="str">
        <f>IF(Table1[[#This Row],[Spec Type]]="","N/A",Table1[[#This Row],[Spec Type]])</f>
        <v>±</v>
      </c>
      <c r="AC2723" s="1" t="str">
        <f>IF(Table1[[#This Row],[Spec Type2]]="N/A","N/A",IF(AND(Table1[[#This Row],[DUT Adj Read]]&gt;=Table1[[#This Row],[Low Tol]],Table1[[#This Row],[DUT Adj Read]]&lt;=Table1[[#This Row],[High Tol]]),"Pass","Fail"))</f>
        <v>Fail</v>
      </c>
      <c r="AD2723" s="1" t="str">
        <f>IF(AND(Table1[[#This Row],[Spec Type2]]="N/A",Table1[[#This Row],[DUT Adj Read]]="N/A",Table1[[#This Row],[Std Adj Read]]="N/A"),"N/A",IF(Table1[[#This Row],[DUT Adj Read]]="N/A",IF(Table1[[#This Row],[Std Adj Read]]&gt;Table1[[#This Row],[Low Tol]],"Pass","Fail"),IF(Table1[[#This Row],[DUT Adj Read]]&gt;Table1[[#This Row],[Low Tol]],"Pass","Fail")))</f>
        <v>Pass</v>
      </c>
      <c r="AE2723" s="1" t="str">
        <f>IF(AND(Table1[[#This Row],[Spec Type2]]="N/A",Table1[[#This Row],[DUT Adj Read]]="N/A",Table1[[#This Row],[Std Adj Read]]="N/A"),"N/A",IF(Table1[[#This Row],[DUT Adj Read]]="N/A",IF(Table1[[#This Row],[Std Adj Read]]&lt;Table1[[#This Row],[High Tol]],"Pass","Fail"),IF(Table1[[#This Row],[DUT Adj Read]]&lt;Table1[[#This Row],[High Tol]],"Pass","Fail")))</f>
        <v>Fail</v>
      </c>
      <c r="AF2723" s="1" t="str">
        <f>IF(AND(Table1[[#This Row],[Spec Type2]]="N/A",Table1[[#This Row],[DUT Adj Read]]="N/A",Table1[[#This Row],[Std Adj Read]]="N/A"),"N/A",IF(Table1[[#This Row],[DUT Adj Read]]="N/A",IF(Table1[[#This Row],[Std Adj Read]]&gt;=Table1[[#This Row],[Low Tol]],"Pass","Fail"),IF(Table1[[#This Row],[DUT Adj Read]]&gt;=Table1[[#This Row],[Low Tol]],"Pass","Fail")))</f>
        <v>Pass</v>
      </c>
      <c r="AG2723" s="1" t="str">
        <f>IF(AND(Table1[[#This Row],[Spec Type2]]="N/A",Table1[[#This Row],[DUT Adj Read]]="N/A",Table1[[#This Row],[Std Adj Read]]="N/A"),"N/A",IF(Table1[[#This Row],[DUT Adj Read]]="N/A",IF(Table1[[#This Row],[Std Adj Read]]&lt;=Table1[[#This Row],[High Tol]],"Pass","Fail"),IF(Table1[[#This Row],[DUT Adj Read]]&lt;=Table1[[#This Row],[High Tol]],"Pass","Fail")))</f>
        <v>Fail</v>
      </c>
      <c r="AH27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3" s="1" t="b">
        <v>0</v>
      </c>
      <c r="AN2723" s="1" t="b">
        <v>0</v>
      </c>
      <c r="AO2723" s="1" t="b">
        <v>0</v>
      </c>
    </row>
    <row r="2724" spans="1:41" x14ac:dyDescent="0.25">
      <c r="A2724" s="10"/>
      <c r="B2724" s="10"/>
      <c r="C2724" s="10"/>
      <c r="D2724" s="10"/>
      <c r="E2724" s="10"/>
      <c r="F2724" s="10"/>
      <c r="G2724" s="10"/>
      <c r="H2724" s="10"/>
      <c r="I2724" s="1" t="str">
        <f t="shared" si="126"/>
        <v/>
      </c>
      <c r="J2724" s="1" t="s">
        <v>35</v>
      </c>
      <c r="K2724" s="1" t="str">
        <f t="shared" si="127"/>
        <v/>
      </c>
      <c r="L2724" s="1" t="str">
        <f t="shared" si="128"/>
        <v/>
      </c>
      <c r="M2724" s="1">
        <f>IF(OR(Table1[[#This Row],[Std Nom]]="",Table1[[#This Row],[Std Read]]=""),0,Table1[[#This Row],[Std Nom]]-Table1[[#This Row],[Std Read]])</f>
        <v>0</v>
      </c>
      <c r="N2724" s="1">
        <f>IF(Calculations!$F$5="ACCREDITED 17025 WITH UNCERTAINTIES",$N$10,0)</f>
        <v>0</v>
      </c>
      <c r="Q2724" s="1">
        <f>Table1[[#This Row],[High Tol]]-Table1[[#This Row],[Low Tol]]</f>
        <v>0</v>
      </c>
      <c r="R2724" s="1">
        <f>2*Table1[[#This Row],[Std Error]]</f>
        <v>0</v>
      </c>
      <c r="S2724" s="1" t="str">
        <f>IF(Table1[[#This Row],[High Tol]]="","N/A",IFERROR(ABS(Table1[[#This Row],[Tol Span]]/Table1[[#This Row],[Error Span]]),"N/A"))</f>
        <v>N/A</v>
      </c>
      <c r="T2724" s="1" t="str">
        <f>IF(OR(Table1[[#This Row],[Low Tol]]="",Table1[[#This Row],[High Tol]]=""),"Needs Analysis",IF(Table1[[#This Row],[Ratio]]&gt;=4,"Not Significant",IF(Table1[[#This Row],[Ratio]]&gt;=2,"Semi-Significant","Significant")))</f>
        <v>Needs Analysis</v>
      </c>
      <c r="W2724" s="1">
        <f>IF(Table1[[#This Row],[Cal Type]]&lt;&gt;"ACCREDITED 17025 WITH UNCERTAINTIES",0,"")</f>
        <v>0</v>
      </c>
      <c r="X2724" s="1" t="str">
        <f>IF(Table1[[#This Row],[DUT Read]]="","N/A",Table1[[#This Row],[Std Error]]+Table1[[#This Row],[DUT Read]]+Table1[[#This Row],[DUT Ucty]])</f>
        <v>N/A</v>
      </c>
      <c r="Y2724" s="1" t="str">
        <f>IF(Table1[[#This Row],[Std Read]]="","N/A",Table1[[#This Row],[Std Read]]+Table1[[#This Row],[Std Ucty]])</f>
        <v>N/A</v>
      </c>
      <c r="Z27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4" s="1" t="str">
        <f>IF(Table1[[#This Row],[Spec Type]]="","N/A",Table1[[#This Row],[Spec Type]])</f>
        <v>±</v>
      </c>
      <c r="AC2724" s="1" t="str">
        <f>IF(Table1[[#This Row],[Spec Type2]]="N/A","N/A",IF(AND(Table1[[#This Row],[DUT Adj Read]]&gt;=Table1[[#This Row],[Low Tol]],Table1[[#This Row],[DUT Adj Read]]&lt;=Table1[[#This Row],[High Tol]]),"Pass","Fail"))</f>
        <v>Fail</v>
      </c>
      <c r="AD2724" s="1" t="str">
        <f>IF(AND(Table1[[#This Row],[Spec Type2]]="N/A",Table1[[#This Row],[DUT Adj Read]]="N/A",Table1[[#This Row],[Std Adj Read]]="N/A"),"N/A",IF(Table1[[#This Row],[DUT Adj Read]]="N/A",IF(Table1[[#This Row],[Std Adj Read]]&gt;Table1[[#This Row],[Low Tol]],"Pass","Fail"),IF(Table1[[#This Row],[DUT Adj Read]]&gt;Table1[[#This Row],[Low Tol]],"Pass","Fail")))</f>
        <v>Pass</v>
      </c>
      <c r="AE2724" s="1" t="str">
        <f>IF(AND(Table1[[#This Row],[Spec Type2]]="N/A",Table1[[#This Row],[DUT Adj Read]]="N/A",Table1[[#This Row],[Std Adj Read]]="N/A"),"N/A",IF(Table1[[#This Row],[DUT Adj Read]]="N/A",IF(Table1[[#This Row],[Std Adj Read]]&lt;Table1[[#This Row],[High Tol]],"Pass","Fail"),IF(Table1[[#This Row],[DUT Adj Read]]&lt;Table1[[#This Row],[High Tol]],"Pass","Fail")))</f>
        <v>Fail</v>
      </c>
      <c r="AF2724" s="1" t="str">
        <f>IF(AND(Table1[[#This Row],[Spec Type2]]="N/A",Table1[[#This Row],[DUT Adj Read]]="N/A",Table1[[#This Row],[Std Adj Read]]="N/A"),"N/A",IF(Table1[[#This Row],[DUT Adj Read]]="N/A",IF(Table1[[#This Row],[Std Adj Read]]&gt;=Table1[[#This Row],[Low Tol]],"Pass","Fail"),IF(Table1[[#This Row],[DUT Adj Read]]&gt;=Table1[[#This Row],[Low Tol]],"Pass","Fail")))</f>
        <v>Pass</v>
      </c>
      <c r="AG2724" s="1" t="str">
        <f>IF(AND(Table1[[#This Row],[Spec Type2]]="N/A",Table1[[#This Row],[DUT Adj Read]]="N/A",Table1[[#This Row],[Std Adj Read]]="N/A"),"N/A",IF(Table1[[#This Row],[DUT Adj Read]]="N/A",IF(Table1[[#This Row],[Std Adj Read]]&lt;=Table1[[#This Row],[High Tol]],"Pass","Fail"),IF(Table1[[#This Row],[DUT Adj Read]]&lt;=Table1[[#This Row],[High Tol]],"Pass","Fail")))</f>
        <v>Fail</v>
      </c>
      <c r="AH27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4" s="1" t="b">
        <v>0</v>
      </c>
      <c r="AN2724" s="1" t="b">
        <v>0</v>
      </c>
      <c r="AO2724" s="1" t="b">
        <v>0</v>
      </c>
    </row>
    <row r="2725" spans="1:41" x14ac:dyDescent="0.25">
      <c r="A2725" s="10"/>
      <c r="B2725" s="10"/>
      <c r="C2725" s="10"/>
      <c r="D2725" s="10"/>
      <c r="E2725" s="10"/>
      <c r="F2725" s="10"/>
      <c r="G2725" s="10"/>
      <c r="H2725" s="10"/>
      <c r="I2725" s="1" t="str">
        <f t="shared" si="126"/>
        <v/>
      </c>
      <c r="J2725" s="1" t="s">
        <v>35</v>
      </c>
      <c r="K2725" s="1" t="str">
        <f t="shared" si="127"/>
        <v/>
      </c>
      <c r="L2725" s="1" t="str">
        <f t="shared" si="128"/>
        <v/>
      </c>
      <c r="M2725" s="1">
        <f>IF(OR(Table1[[#This Row],[Std Nom]]="",Table1[[#This Row],[Std Read]]=""),0,Table1[[#This Row],[Std Nom]]-Table1[[#This Row],[Std Read]])</f>
        <v>0</v>
      </c>
      <c r="N2725" s="1">
        <f>IF(Calculations!$F$5="ACCREDITED 17025 WITH UNCERTAINTIES",$N$10,0)</f>
        <v>0</v>
      </c>
      <c r="Q2725" s="1">
        <f>Table1[[#This Row],[High Tol]]-Table1[[#This Row],[Low Tol]]</f>
        <v>0</v>
      </c>
      <c r="R2725" s="1">
        <f>2*Table1[[#This Row],[Std Error]]</f>
        <v>0</v>
      </c>
      <c r="S2725" s="1" t="str">
        <f>IF(Table1[[#This Row],[High Tol]]="","N/A",IFERROR(ABS(Table1[[#This Row],[Tol Span]]/Table1[[#This Row],[Error Span]]),"N/A"))</f>
        <v>N/A</v>
      </c>
      <c r="T2725" s="1" t="str">
        <f>IF(OR(Table1[[#This Row],[Low Tol]]="",Table1[[#This Row],[High Tol]]=""),"Needs Analysis",IF(Table1[[#This Row],[Ratio]]&gt;=4,"Not Significant",IF(Table1[[#This Row],[Ratio]]&gt;=2,"Semi-Significant","Significant")))</f>
        <v>Needs Analysis</v>
      </c>
      <c r="W2725" s="1">
        <f>IF(Table1[[#This Row],[Cal Type]]&lt;&gt;"ACCREDITED 17025 WITH UNCERTAINTIES",0,"")</f>
        <v>0</v>
      </c>
      <c r="X2725" s="1" t="str">
        <f>IF(Table1[[#This Row],[DUT Read]]="","N/A",Table1[[#This Row],[Std Error]]+Table1[[#This Row],[DUT Read]]+Table1[[#This Row],[DUT Ucty]])</f>
        <v>N/A</v>
      </c>
      <c r="Y2725" s="1" t="str">
        <f>IF(Table1[[#This Row],[Std Read]]="","N/A",Table1[[#This Row],[Std Read]]+Table1[[#This Row],[Std Ucty]])</f>
        <v>N/A</v>
      </c>
      <c r="Z27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5" s="1" t="str">
        <f>IF(Table1[[#This Row],[Spec Type]]="","N/A",Table1[[#This Row],[Spec Type]])</f>
        <v>±</v>
      </c>
      <c r="AC2725" s="1" t="str">
        <f>IF(Table1[[#This Row],[Spec Type2]]="N/A","N/A",IF(AND(Table1[[#This Row],[DUT Adj Read]]&gt;=Table1[[#This Row],[Low Tol]],Table1[[#This Row],[DUT Adj Read]]&lt;=Table1[[#This Row],[High Tol]]),"Pass","Fail"))</f>
        <v>Fail</v>
      </c>
      <c r="AD2725" s="1" t="str">
        <f>IF(AND(Table1[[#This Row],[Spec Type2]]="N/A",Table1[[#This Row],[DUT Adj Read]]="N/A",Table1[[#This Row],[Std Adj Read]]="N/A"),"N/A",IF(Table1[[#This Row],[DUT Adj Read]]="N/A",IF(Table1[[#This Row],[Std Adj Read]]&gt;Table1[[#This Row],[Low Tol]],"Pass","Fail"),IF(Table1[[#This Row],[DUT Adj Read]]&gt;Table1[[#This Row],[Low Tol]],"Pass","Fail")))</f>
        <v>Pass</v>
      </c>
      <c r="AE2725" s="1" t="str">
        <f>IF(AND(Table1[[#This Row],[Spec Type2]]="N/A",Table1[[#This Row],[DUT Adj Read]]="N/A",Table1[[#This Row],[Std Adj Read]]="N/A"),"N/A",IF(Table1[[#This Row],[DUT Adj Read]]="N/A",IF(Table1[[#This Row],[Std Adj Read]]&lt;Table1[[#This Row],[High Tol]],"Pass","Fail"),IF(Table1[[#This Row],[DUT Adj Read]]&lt;Table1[[#This Row],[High Tol]],"Pass","Fail")))</f>
        <v>Fail</v>
      </c>
      <c r="AF2725" s="1" t="str">
        <f>IF(AND(Table1[[#This Row],[Spec Type2]]="N/A",Table1[[#This Row],[DUT Adj Read]]="N/A",Table1[[#This Row],[Std Adj Read]]="N/A"),"N/A",IF(Table1[[#This Row],[DUT Adj Read]]="N/A",IF(Table1[[#This Row],[Std Adj Read]]&gt;=Table1[[#This Row],[Low Tol]],"Pass","Fail"),IF(Table1[[#This Row],[DUT Adj Read]]&gt;=Table1[[#This Row],[Low Tol]],"Pass","Fail")))</f>
        <v>Pass</v>
      </c>
      <c r="AG2725" s="1" t="str">
        <f>IF(AND(Table1[[#This Row],[Spec Type2]]="N/A",Table1[[#This Row],[DUT Adj Read]]="N/A",Table1[[#This Row],[Std Adj Read]]="N/A"),"N/A",IF(Table1[[#This Row],[DUT Adj Read]]="N/A",IF(Table1[[#This Row],[Std Adj Read]]&lt;=Table1[[#This Row],[High Tol]],"Pass","Fail"),IF(Table1[[#This Row],[DUT Adj Read]]&lt;=Table1[[#This Row],[High Tol]],"Pass","Fail")))</f>
        <v>Fail</v>
      </c>
      <c r="AH27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5" s="1" t="b">
        <v>0</v>
      </c>
      <c r="AN2725" s="1" t="b">
        <v>0</v>
      </c>
      <c r="AO2725" s="1" t="b">
        <v>0</v>
      </c>
    </row>
    <row r="2726" spans="1:41" x14ac:dyDescent="0.25">
      <c r="A2726" s="10"/>
      <c r="B2726" s="10"/>
      <c r="C2726" s="10"/>
      <c r="D2726" s="10"/>
      <c r="E2726" s="10"/>
      <c r="F2726" s="10"/>
      <c r="G2726" s="10"/>
      <c r="H2726" s="10"/>
      <c r="I2726" s="1" t="str">
        <f t="shared" si="126"/>
        <v/>
      </c>
      <c r="J2726" s="1" t="s">
        <v>35</v>
      </c>
      <c r="K2726" s="1" t="str">
        <f t="shared" si="127"/>
        <v/>
      </c>
      <c r="L2726" s="1" t="str">
        <f t="shared" si="128"/>
        <v/>
      </c>
      <c r="M2726" s="1">
        <f>IF(OR(Table1[[#This Row],[Std Nom]]="",Table1[[#This Row],[Std Read]]=""),0,Table1[[#This Row],[Std Nom]]-Table1[[#This Row],[Std Read]])</f>
        <v>0</v>
      </c>
      <c r="N2726" s="1">
        <f>IF(Calculations!$F$5="ACCREDITED 17025 WITH UNCERTAINTIES",$N$10,0)</f>
        <v>0</v>
      </c>
      <c r="Q2726" s="1">
        <f>Table1[[#This Row],[High Tol]]-Table1[[#This Row],[Low Tol]]</f>
        <v>0</v>
      </c>
      <c r="R2726" s="1">
        <f>2*Table1[[#This Row],[Std Error]]</f>
        <v>0</v>
      </c>
      <c r="S2726" s="1" t="str">
        <f>IF(Table1[[#This Row],[High Tol]]="","N/A",IFERROR(ABS(Table1[[#This Row],[Tol Span]]/Table1[[#This Row],[Error Span]]),"N/A"))</f>
        <v>N/A</v>
      </c>
      <c r="T2726" s="1" t="str">
        <f>IF(OR(Table1[[#This Row],[Low Tol]]="",Table1[[#This Row],[High Tol]]=""),"Needs Analysis",IF(Table1[[#This Row],[Ratio]]&gt;=4,"Not Significant",IF(Table1[[#This Row],[Ratio]]&gt;=2,"Semi-Significant","Significant")))</f>
        <v>Needs Analysis</v>
      </c>
      <c r="W2726" s="1">
        <f>IF(Table1[[#This Row],[Cal Type]]&lt;&gt;"ACCREDITED 17025 WITH UNCERTAINTIES",0,"")</f>
        <v>0</v>
      </c>
      <c r="X2726" s="1" t="str">
        <f>IF(Table1[[#This Row],[DUT Read]]="","N/A",Table1[[#This Row],[Std Error]]+Table1[[#This Row],[DUT Read]]+Table1[[#This Row],[DUT Ucty]])</f>
        <v>N/A</v>
      </c>
      <c r="Y2726" s="1" t="str">
        <f>IF(Table1[[#This Row],[Std Read]]="","N/A",Table1[[#This Row],[Std Read]]+Table1[[#This Row],[Std Ucty]])</f>
        <v>N/A</v>
      </c>
      <c r="Z27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6" s="1" t="str">
        <f>IF(Table1[[#This Row],[Spec Type]]="","N/A",Table1[[#This Row],[Spec Type]])</f>
        <v>±</v>
      </c>
      <c r="AC2726" s="1" t="str">
        <f>IF(Table1[[#This Row],[Spec Type2]]="N/A","N/A",IF(AND(Table1[[#This Row],[DUT Adj Read]]&gt;=Table1[[#This Row],[Low Tol]],Table1[[#This Row],[DUT Adj Read]]&lt;=Table1[[#This Row],[High Tol]]),"Pass","Fail"))</f>
        <v>Fail</v>
      </c>
      <c r="AD2726" s="1" t="str">
        <f>IF(AND(Table1[[#This Row],[Spec Type2]]="N/A",Table1[[#This Row],[DUT Adj Read]]="N/A",Table1[[#This Row],[Std Adj Read]]="N/A"),"N/A",IF(Table1[[#This Row],[DUT Adj Read]]="N/A",IF(Table1[[#This Row],[Std Adj Read]]&gt;Table1[[#This Row],[Low Tol]],"Pass","Fail"),IF(Table1[[#This Row],[DUT Adj Read]]&gt;Table1[[#This Row],[Low Tol]],"Pass","Fail")))</f>
        <v>Pass</v>
      </c>
      <c r="AE2726" s="1" t="str">
        <f>IF(AND(Table1[[#This Row],[Spec Type2]]="N/A",Table1[[#This Row],[DUT Adj Read]]="N/A",Table1[[#This Row],[Std Adj Read]]="N/A"),"N/A",IF(Table1[[#This Row],[DUT Adj Read]]="N/A",IF(Table1[[#This Row],[Std Adj Read]]&lt;Table1[[#This Row],[High Tol]],"Pass","Fail"),IF(Table1[[#This Row],[DUT Adj Read]]&lt;Table1[[#This Row],[High Tol]],"Pass","Fail")))</f>
        <v>Fail</v>
      </c>
      <c r="AF2726" s="1" t="str">
        <f>IF(AND(Table1[[#This Row],[Spec Type2]]="N/A",Table1[[#This Row],[DUT Adj Read]]="N/A",Table1[[#This Row],[Std Adj Read]]="N/A"),"N/A",IF(Table1[[#This Row],[DUT Adj Read]]="N/A",IF(Table1[[#This Row],[Std Adj Read]]&gt;=Table1[[#This Row],[Low Tol]],"Pass","Fail"),IF(Table1[[#This Row],[DUT Adj Read]]&gt;=Table1[[#This Row],[Low Tol]],"Pass","Fail")))</f>
        <v>Pass</v>
      </c>
      <c r="AG2726" s="1" t="str">
        <f>IF(AND(Table1[[#This Row],[Spec Type2]]="N/A",Table1[[#This Row],[DUT Adj Read]]="N/A",Table1[[#This Row],[Std Adj Read]]="N/A"),"N/A",IF(Table1[[#This Row],[DUT Adj Read]]="N/A",IF(Table1[[#This Row],[Std Adj Read]]&lt;=Table1[[#This Row],[High Tol]],"Pass","Fail"),IF(Table1[[#This Row],[DUT Adj Read]]&lt;=Table1[[#This Row],[High Tol]],"Pass","Fail")))</f>
        <v>Fail</v>
      </c>
      <c r="AH27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6" s="1" t="b">
        <v>0</v>
      </c>
      <c r="AN2726" s="1" t="b">
        <v>0</v>
      </c>
      <c r="AO2726" s="1" t="b">
        <v>0</v>
      </c>
    </row>
    <row r="2727" spans="1:41" x14ac:dyDescent="0.25">
      <c r="A2727" s="10"/>
      <c r="B2727" s="10"/>
      <c r="C2727" s="10"/>
      <c r="D2727" s="10"/>
      <c r="E2727" s="10"/>
      <c r="F2727" s="10"/>
      <c r="G2727" s="10"/>
      <c r="H2727" s="10"/>
      <c r="I2727" s="1" t="str">
        <f t="shared" si="126"/>
        <v/>
      </c>
      <c r="J2727" s="1" t="s">
        <v>35</v>
      </c>
      <c r="K2727" s="1" t="str">
        <f t="shared" si="127"/>
        <v/>
      </c>
      <c r="L2727" s="1" t="str">
        <f t="shared" si="128"/>
        <v/>
      </c>
      <c r="M2727" s="1">
        <f>IF(OR(Table1[[#This Row],[Std Nom]]="",Table1[[#This Row],[Std Read]]=""),0,Table1[[#This Row],[Std Nom]]-Table1[[#This Row],[Std Read]])</f>
        <v>0</v>
      </c>
      <c r="N2727" s="1">
        <f>IF(Calculations!$F$5="ACCREDITED 17025 WITH UNCERTAINTIES",$N$10,0)</f>
        <v>0</v>
      </c>
      <c r="Q2727" s="1">
        <f>Table1[[#This Row],[High Tol]]-Table1[[#This Row],[Low Tol]]</f>
        <v>0</v>
      </c>
      <c r="R2727" s="1">
        <f>2*Table1[[#This Row],[Std Error]]</f>
        <v>0</v>
      </c>
      <c r="S2727" s="1" t="str">
        <f>IF(Table1[[#This Row],[High Tol]]="","N/A",IFERROR(ABS(Table1[[#This Row],[Tol Span]]/Table1[[#This Row],[Error Span]]),"N/A"))</f>
        <v>N/A</v>
      </c>
      <c r="T2727" s="1" t="str">
        <f>IF(OR(Table1[[#This Row],[Low Tol]]="",Table1[[#This Row],[High Tol]]=""),"Needs Analysis",IF(Table1[[#This Row],[Ratio]]&gt;=4,"Not Significant",IF(Table1[[#This Row],[Ratio]]&gt;=2,"Semi-Significant","Significant")))</f>
        <v>Needs Analysis</v>
      </c>
      <c r="W2727" s="1">
        <f>IF(Table1[[#This Row],[Cal Type]]&lt;&gt;"ACCREDITED 17025 WITH UNCERTAINTIES",0,"")</f>
        <v>0</v>
      </c>
      <c r="X2727" s="1" t="str">
        <f>IF(Table1[[#This Row],[DUT Read]]="","N/A",Table1[[#This Row],[Std Error]]+Table1[[#This Row],[DUT Read]]+Table1[[#This Row],[DUT Ucty]])</f>
        <v>N/A</v>
      </c>
      <c r="Y2727" s="1" t="str">
        <f>IF(Table1[[#This Row],[Std Read]]="","N/A",Table1[[#This Row],[Std Read]]+Table1[[#This Row],[Std Ucty]])</f>
        <v>N/A</v>
      </c>
      <c r="Z27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7" s="1" t="str">
        <f>IF(Table1[[#This Row],[Spec Type]]="","N/A",Table1[[#This Row],[Spec Type]])</f>
        <v>±</v>
      </c>
      <c r="AC2727" s="1" t="str">
        <f>IF(Table1[[#This Row],[Spec Type2]]="N/A","N/A",IF(AND(Table1[[#This Row],[DUT Adj Read]]&gt;=Table1[[#This Row],[Low Tol]],Table1[[#This Row],[DUT Adj Read]]&lt;=Table1[[#This Row],[High Tol]]),"Pass","Fail"))</f>
        <v>Fail</v>
      </c>
      <c r="AD2727" s="1" t="str">
        <f>IF(AND(Table1[[#This Row],[Spec Type2]]="N/A",Table1[[#This Row],[DUT Adj Read]]="N/A",Table1[[#This Row],[Std Adj Read]]="N/A"),"N/A",IF(Table1[[#This Row],[DUT Adj Read]]="N/A",IF(Table1[[#This Row],[Std Adj Read]]&gt;Table1[[#This Row],[Low Tol]],"Pass","Fail"),IF(Table1[[#This Row],[DUT Adj Read]]&gt;Table1[[#This Row],[Low Tol]],"Pass","Fail")))</f>
        <v>Pass</v>
      </c>
      <c r="AE2727" s="1" t="str">
        <f>IF(AND(Table1[[#This Row],[Spec Type2]]="N/A",Table1[[#This Row],[DUT Adj Read]]="N/A",Table1[[#This Row],[Std Adj Read]]="N/A"),"N/A",IF(Table1[[#This Row],[DUT Adj Read]]="N/A",IF(Table1[[#This Row],[Std Adj Read]]&lt;Table1[[#This Row],[High Tol]],"Pass","Fail"),IF(Table1[[#This Row],[DUT Adj Read]]&lt;Table1[[#This Row],[High Tol]],"Pass","Fail")))</f>
        <v>Fail</v>
      </c>
      <c r="AF2727" s="1" t="str">
        <f>IF(AND(Table1[[#This Row],[Spec Type2]]="N/A",Table1[[#This Row],[DUT Adj Read]]="N/A",Table1[[#This Row],[Std Adj Read]]="N/A"),"N/A",IF(Table1[[#This Row],[DUT Adj Read]]="N/A",IF(Table1[[#This Row],[Std Adj Read]]&gt;=Table1[[#This Row],[Low Tol]],"Pass","Fail"),IF(Table1[[#This Row],[DUT Adj Read]]&gt;=Table1[[#This Row],[Low Tol]],"Pass","Fail")))</f>
        <v>Pass</v>
      </c>
      <c r="AG2727" s="1" t="str">
        <f>IF(AND(Table1[[#This Row],[Spec Type2]]="N/A",Table1[[#This Row],[DUT Adj Read]]="N/A",Table1[[#This Row],[Std Adj Read]]="N/A"),"N/A",IF(Table1[[#This Row],[DUT Adj Read]]="N/A",IF(Table1[[#This Row],[Std Adj Read]]&lt;=Table1[[#This Row],[High Tol]],"Pass","Fail"),IF(Table1[[#This Row],[DUT Adj Read]]&lt;=Table1[[#This Row],[High Tol]],"Pass","Fail")))</f>
        <v>Fail</v>
      </c>
      <c r="AH27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7" s="1" t="b">
        <v>0</v>
      </c>
      <c r="AN2727" s="1" t="b">
        <v>0</v>
      </c>
      <c r="AO2727" s="1" t="b">
        <v>0</v>
      </c>
    </row>
    <row r="2728" spans="1:41" x14ac:dyDescent="0.25">
      <c r="A2728" s="10"/>
      <c r="B2728" s="10"/>
      <c r="C2728" s="10"/>
      <c r="D2728" s="10"/>
      <c r="E2728" s="10"/>
      <c r="F2728" s="10"/>
      <c r="G2728" s="10"/>
      <c r="H2728" s="10"/>
      <c r="I2728" s="1" t="str">
        <f t="shared" si="126"/>
        <v/>
      </c>
      <c r="J2728" s="1" t="s">
        <v>35</v>
      </c>
      <c r="K2728" s="1" t="str">
        <f t="shared" si="127"/>
        <v/>
      </c>
      <c r="L2728" s="1" t="str">
        <f t="shared" si="128"/>
        <v/>
      </c>
      <c r="M2728" s="1">
        <f>IF(OR(Table1[[#This Row],[Std Nom]]="",Table1[[#This Row],[Std Read]]=""),0,Table1[[#This Row],[Std Nom]]-Table1[[#This Row],[Std Read]])</f>
        <v>0</v>
      </c>
      <c r="N2728" s="1">
        <f>IF(Calculations!$F$5="ACCREDITED 17025 WITH UNCERTAINTIES",$N$10,0)</f>
        <v>0</v>
      </c>
      <c r="Q2728" s="1">
        <f>Table1[[#This Row],[High Tol]]-Table1[[#This Row],[Low Tol]]</f>
        <v>0</v>
      </c>
      <c r="R2728" s="1">
        <f>2*Table1[[#This Row],[Std Error]]</f>
        <v>0</v>
      </c>
      <c r="S2728" s="1" t="str">
        <f>IF(Table1[[#This Row],[High Tol]]="","N/A",IFERROR(ABS(Table1[[#This Row],[Tol Span]]/Table1[[#This Row],[Error Span]]),"N/A"))</f>
        <v>N/A</v>
      </c>
      <c r="T2728" s="1" t="str">
        <f>IF(OR(Table1[[#This Row],[Low Tol]]="",Table1[[#This Row],[High Tol]]=""),"Needs Analysis",IF(Table1[[#This Row],[Ratio]]&gt;=4,"Not Significant",IF(Table1[[#This Row],[Ratio]]&gt;=2,"Semi-Significant","Significant")))</f>
        <v>Needs Analysis</v>
      </c>
      <c r="W2728" s="1">
        <f>IF(Table1[[#This Row],[Cal Type]]&lt;&gt;"ACCREDITED 17025 WITH UNCERTAINTIES",0,"")</f>
        <v>0</v>
      </c>
      <c r="X2728" s="1" t="str">
        <f>IF(Table1[[#This Row],[DUT Read]]="","N/A",Table1[[#This Row],[Std Error]]+Table1[[#This Row],[DUT Read]]+Table1[[#This Row],[DUT Ucty]])</f>
        <v>N/A</v>
      </c>
      <c r="Y2728" s="1" t="str">
        <f>IF(Table1[[#This Row],[Std Read]]="","N/A",Table1[[#This Row],[Std Read]]+Table1[[#This Row],[Std Ucty]])</f>
        <v>N/A</v>
      </c>
      <c r="Z27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8" s="1" t="str">
        <f>IF(Table1[[#This Row],[Spec Type]]="","N/A",Table1[[#This Row],[Spec Type]])</f>
        <v>±</v>
      </c>
      <c r="AC2728" s="1" t="str">
        <f>IF(Table1[[#This Row],[Spec Type2]]="N/A","N/A",IF(AND(Table1[[#This Row],[DUT Adj Read]]&gt;=Table1[[#This Row],[Low Tol]],Table1[[#This Row],[DUT Adj Read]]&lt;=Table1[[#This Row],[High Tol]]),"Pass","Fail"))</f>
        <v>Fail</v>
      </c>
      <c r="AD2728" s="1" t="str">
        <f>IF(AND(Table1[[#This Row],[Spec Type2]]="N/A",Table1[[#This Row],[DUT Adj Read]]="N/A",Table1[[#This Row],[Std Adj Read]]="N/A"),"N/A",IF(Table1[[#This Row],[DUT Adj Read]]="N/A",IF(Table1[[#This Row],[Std Adj Read]]&gt;Table1[[#This Row],[Low Tol]],"Pass","Fail"),IF(Table1[[#This Row],[DUT Adj Read]]&gt;Table1[[#This Row],[Low Tol]],"Pass","Fail")))</f>
        <v>Pass</v>
      </c>
      <c r="AE2728" s="1" t="str">
        <f>IF(AND(Table1[[#This Row],[Spec Type2]]="N/A",Table1[[#This Row],[DUT Adj Read]]="N/A",Table1[[#This Row],[Std Adj Read]]="N/A"),"N/A",IF(Table1[[#This Row],[DUT Adj Read]]="N/A",IF(Table1[[#This Row],[Std Adj Read]]&lt;Table1[[#This Row],[High Tol]],"Pass","Fail"),IF(Table1[[#This Row],[DUT Adj Read]]&lt;Table1[[#This Row],[High Tol]],"Pass","Fail")))</f>
        <v>Fail</v>
      </c>
      <c r="AF2728" s="1" t="str">
        <f>IF(AND(Table1[[#This Row],[Spec Type2]]="N/A",Table1[[#This Row],[DUT Adj Read]]="N/A",Table1[[#This Row],[Std Adj Read]]="N/A"),"N/A",IF(Table1[[#This Row],[DUT Adj Read]]="N/A",IF(Table1[[#This Row],[Std Adj Read]]&gt;=Table1[[#This Row],[Low Tol]],"Pass","Fail"),IF(Table1[[#This Row],[DUT Adj Read]]&gt;=Table1[[#This Row],[Low Tol]],"Pass","Fail")))</f>
        <v>Pass</v>
      </c>
      <c r="AG2728" s="1" t="str">
        <f>IF(AND(Table1[[#This Row],[Spec Type2]]="N/A",Table1[[#This Row],[DUT Adj Read]]="N/A",Table1[[#This Row],[Std Adj Read]]="N/A"),"N/A",IF(Table1[[#This Row],[DUT Adj Read]]="N/A",IF(Table1[[#This Row],[Std Adj Read]]&lt;=Table1[[#This Row],[High Tol]],"Pass","Fail"),IF(Table1[[#This Row],[DUT Adj Read]]&lt;=Table1[[#This Row],[High Tol]],"Pass","Fail")))</f>
        <v>Fail</v>
      </c>
      <c r="AH27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8" s="1" t="b">
        <v>0</v>
      </c>
      <c r="AN2728" s="1" t="b">
        <v>0</v>
      </c>
      <c r="AO2728" s="1" t="b">
        <v>0</v>
      </c>
    </row>
    <row r="2729" spans="1:41" x14ac:dyDescent="0.25">
      <c r="A2729" s="10"/>
      <c r="B2729" s="10"/>
      <c r="C2729" s="10"/>
      <c r="D2729" s="10"/>
      <c r="E2729" s="10"/>
      <c r="F2729" s="10"/>
      <c r="G2729" s="10"/>
      <c r="H2729" s="10"/>
      <c r="I2729" s="1" t="str">
        <f t="shared" si="126"/>
        <v/>
      </c>
      <c r="J2729" s="1" t="s">
        <v>35</v>
      </c>
      <c r="K2729" s="1" t="str">
        <f t="shared" si="127"/>
        <v/>
      </c>
      <c r="L2729" s="1" t="str">
        <f t="shared" si="128"/>
        <v/>
      </c>
      <c r="M2729" s="1">
        <f>IF(OR(Table1[[#This Row],[Std Nom]]="",Table1[[#This Row],[Std Read]]=""),0,Table1[[#This Row],[Std Nom]]-Table1[[#This Row],[Std Read]])</f>
        <v>0</v>
      </c>
      <c r="N2729" s="1">
        <f>IF(Calculations!$F$5="ACCREDITED 17025 WITH UNCERTAINTIES",$N$10,0)</f>
        <v>0</v>
      </c>
      <c r="Q2729" s="1">
        <f>Table1[[#This Row],[High Tol]]-Table1[[#This Row],[Low Tol]]</f>
        <v>0</v>
      </c>
      <c r="R2729" s="1">
        <f>2*Table1[[#This Row],[Std Error]]</f>
        <v>0</v>
      </c>
      <c r="S2729" s="1" t="str">
        <f>IF(Table1[[#This Row],[High Tol]]="","N/A",IFERROR(ABS(Table1[[#This Row],[Tol Span]]/Table1[[#This Row],[Error Span]]),"N/A"))</f>
        <v>N/A</v>
      </c>
      <c r="T2729" s="1" t="str">
        <f>IF(OR(Table1[[#This Row],[Low Tol]]="",Table1[[#This Row],[High Tol]]=""),"Needs Analysis",IF(Table1[[#This Row],[Ratio]]&gt;=4,"Not Significant",IF(Table1[[#This Row],[Ratio]]&gt;=2,"Semi-Significant","Significant")))</f>
        <v>Needs Analysis</v>
      </c>
      <c r="W2729" s="1">
        <f>IF(Table1[[#This Row],[Cal Type]]&lt;&gt;"ACCREDITED 17025 WITH UNCERTAINTIES",0,"")</f>
        <v>0</v>
      </c>
      <c r="X2729" s="1" t="str">
        <f>IF(Table1[[#This Row],[DUT Read]]="","N/A",Table1[[#This Row],[Std Error]]+Table1[[#This Row],[DUT Read]]+Table1[[#This Row],[DUT Ucty]])</f>
        <v>N/A</v>
      </c>
      <c r="Y2729" s="1" t="str">
        <f>IF(Table1[[#This Row],[Std Read]]="","N/A",Table1[[#This Row],[Std Read]]+Table1[[#This Row],[Std Ucty]])</f>
        <v>N/A</v>
      </c>
      <c r="Z27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29" s="1" t="str">
        <f>IF(Table1[[#This Row],[Spec Type]]="","N/A",Table1[[#This Row],[Spec Type]])</f>
        <v>±</v>
      </c>
      <c r="AC2729" s="1" t="str">
        <f>IF(Table1[[#This Row],[Spec Type2]]="N/A","N/A",IF(AND(Table1[[#This Row],[DUT Adj Read]]&gt;=Table1[[#This Row],[Low Tol]],Table1[[#This Row],[DUT Adj Read]]&lt;=Table1[[#This Row],[High Tol]]),"Pass","Fail"))</f>
        <v>Fail</v>
      </c>
      <c r="AD2729" s="1" t="str">
        <f>IF(AND(Table1[[#This Row],[Spec Type2]]="N/A",Table1[[#This Row],[DUT Adj Read]]="N/A",Table1[[#This Row],[Std Adj Read]]="N/A"),"N/A",IF(Table1[[#This Row],[DUT Adj Read]]="N/A",IF(Table1[[#This Row],[Std Adj Read]]&gt;Table1[[#This Row],[Low Tol]],"Pass","Fail"),IF(Table1[[#This Row],[DUT Adj Read]]&gt;Table1[[#This Row],[Low Tol]],"Pass","Fail")))</f>
        <v>Pass</v>
      </c>
      <c r="AE2729" s="1" t="str">
        <f>IF(AND(Table1[[#This Row],[Spec Type2]]="N/A",Table1[[#This Row],[DUT Adj Read]]="N/A",Table1[[#This Row],[Std Adj Read]]="N/A"),"N/A",IF(Table1[[#This Row],[DUT Adj Read]]="N/A",IF(Table1[[#This Row],[Std Adj Read]]&lt;Table1[[#This Row],[High Tol]],"Pass","Fail"),IF(Table1[[#This Row],[DUT Adj Read]]&lt;Table1[[#This Row],[High Tol]],"Pass","Fail")))</f>
        <v>Fail</v>
      </c>
      <c r="AF2729" s="1" t="str">
        <f>IF(AND(Table1[[#This Row],[Spec Type2]]="N/A",Table1[[#This Row],[DUT Adj Read]]="N/A",Table1[[#This Row],[Std Adj Read]]="N/A"),"N/A",IF(Table1[[#This Row],[DUT Adj Read]]="N/A",IF(Table1[[#This Row],[Std Adj Read]]&gt;=Table1[[#This Row],[Low Tol]],"Pass","Fail"),IF(Table1[[#This Row],[DUT Adj Read]]&gt;=Table1[[#This Row],[Low Tol]],"Pass","Fail")))</f>
        <v>Pass</v>
      </c>
      <c r="AG2729" s="1" t="str">
        <f>IF(AND(Table1[[#This Row],[Spec Type2]]="N/A",Table1[[#This Row],[DUT Adj Read]]="N/A",Table1[[#This Row],[Std Adj Read]]="N/A"),"N/A",IF(Table1[[#This Row],[DUT Adj Read]]="N/A",IF(Table1[[#This Row],[Std Adj Read]]&lt;=Table1[[#This Row],[High Tol]],"Pass","Fail"),IF(Table1[[#This Row],[DUT Adj Read]]&lt;=Table1[[#This Row],[High Tol]],"Pass","Fail")))</f>
        <v>Fail</v>
      </c>
      <c r="AH27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29" s="1" t="b">
        <v>0</v>
      </c>
      <c r="AN2729" s="1" t="b">
        <v>0</v>
      </c>
      <c r="AO2729" s="1" t="b">
        <v>0</v>
      </c>
    </row>
    <row r="2730" spans="1:41" x14ac:dyDescent="0.25">
      <c r="A2730" s="10"/>
      <c r="B2730" s="10"/>
      <c r="C2730" s="10"/>
      <c r="D2730" s="10"/>
      <c r="E2730" s="10"/>
      <c r="F2730" s="10"/>
      <c r="G2730" s="10"/>
      <c r="H2730" s="10"/>
      <c r="I2730" s="1" t="str">
        <f t="shared" si="126"/>
        <v/>
      </c>
      <c r="J2730" s="1" t="s">
        <v>35</v>
      </c>
      <c r="K2730" s="1" t="str">
        <f t="shared" si="127"/>
        <v/>
      </c>
      <c r="L2730" s="1" t="str">
        <f t="shared" si="128"/>
        <v/>
      </c>
      <c r="M2730" s="1">
        <f>IF(OR(Table1[[#This Row],[Std Nom]]="",Table1[[#This Row],[Std Read]]=""),0,Table1[[#This Row],[Std Nom]]-Table1[[#This Row],[Std Read]])</f>
        <v>0</v>
      </c>
      <c r="N2730" s="1">
        <f>IF(Calculations!$F$5="ACCREDITED 17025 WITH UNCERTAINTIES",$N$10,0)</f>
        <v>0</v>
      </c>
      <c r="Q2730" s="1">
        <f>Table1[[#This Row],[High Tol]]-Table1[[#This Row],[Low Tol]]</f>
        <v>0</v>
      </c>
      <c r="R2730" s="1">
        <f>2*Table1[[#This Row],[Std Error]]</f>
        <v>0</v>
      </c>
      <c r="S2730" s="1" t="str">
        <f>IF(Table1[[#This Row],[High Tol]]="","N/A",IFERROR(ABS(Table1[[#This Row],[Tol Span]]/Table1[[#This Row],[Error Span]]),"N/A"))</f>
        <v>N/A</v>
      </c>
      <c r="T2730" s="1" t="str">
        <f>IF(OR(Table1[[#This Row],[Low Tol]]="",Table1[[#This Row],[High Tol]]=""),"Needs Analysis",IF(Table1[[#This Row],[Ratio]]&gt;=4,"Not Significant",IF(Table1[[#This Row],[Ratio]]&gt;=2,"Semi-Significant","Significant")))</f>
        <v>Needs Analysis</v>
      </c>
      <c r="W2730" s="1">
        <f>IF(Table1[[#This Row],[Cal Type]]&lt;&gt;"ACCREDITED 17025 WITH UNCERTAINTIES",0,"")</f>
        <v>0</v>
      </c>
      <c r="X2730" s="1" t="str">
        <f>IF(Table1[[#This Row],[DUT Read]]="","N/A",Table1[[#This Row],[Std Error]]+Table1[[#This Row],[DUT Read]]+Table1[[#This Row],[DUT Ucty]])</f>
        <v>N/A</v>
      </c>
      <c r="Y2730" s="1" t="str">
        <f>IF(Table1[[#This Row],[Std Read]]="","N/A",Table1[[#This Row],[Std Read]]+Table1[[#This Row],[Std Ucty]])</f>
        <v>N/A</v>
      </c>
      <c r="Z27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0" s="1" t="str">
        <f>IF(Table1[[#This Row],[Spec Type]]="","N/A",Table1[[#This Row],[Spec Type]])</f>
        <v>±</v>
      </c>
      <c r="AC2730" s="1" t="str">
        <f>IF(Table1[[#This Row],[Spec Type2]]="N/A","N/A",IF(AND(Table1[[#This Row],[DUT Adj Read]]&gt;=Table1[[#This Row],[Low Tol]],Table1[[#This Row],[DUT Adj Read]]&lt;=Table1[[#This Row],[High Tol]]),"Pass","Fail"))</f>
        <v>Fail</v>
      </c>
      <c r="AD2730" s="1" t="str">
        <f>IF(AND(Table1[[#This Row],[Spec Type2]]="N/A",Table1[[#This Row],[DUT Adj Read]]="N/A",Table1[[#This Row],[Std Adj Read]]="N/A"),"N/A",IF(Table1[[#This Row],[DUT Adj Read]]="N/A",IF(Table1[[#This Row],[Std Adj Read]]&gt;Table1[[#This Row],[Low Tol]],"Pass","Fail"),IF(Table1[[#This Row],[DUT Adj Read]]&gt;Table1[[#This Row],[Low Tol]],"Pass","Fail")))</f>
        <v>Pass</v>
      </c>
      <c r="AE2730" s="1" t="str">
        <f>IF(AND(Table1[[#This Row],[Spec Type2]]="N/A",Table1[[#This Row],[DUT Adj Read]]="N/A",Table1[[#This Row],[Std Adj Read]]="N/A"),"N/A",IF(Table1[[#This Row],[DUT Adj Read]]="N/A",IF(Table1[[#This Row],[Std Adj Read]]&lt;Table1[[#This Row],[High Tol]],"Pass","Fail"),IF(Table1[[#This Row],[DUT Adj Read]]&lt;Table1[[#This Row],[High Tol]],"Pass","Fail")))</f>
        <v>Fail</v>
      </c>
      <c r="AF2730" s="1" t="str">
        <f>IF(AND(Table1[[#This Row],[Spec Type2]]="N/A",Table1[[#This Row],[DUT Adj Read]]="N/A",Table1[[#This Row],[Std Adj Read]]="N/A"),"N/A",IF(Table1[[#This Row],[DUT Adj Read]]="N/A",IF(Table1[[#This Row],[Std Adj Read]]&gt;=Table1[[#This Row],[Low Tol]],"Pass","Fail"),IF(Table1[[#This Row],[DUT Adj Read]]&gt;=Table1[[#This Row],[Low Tol]],"Pass","Fail")))</f>
        <v>Pass</v>
      </c>
      <c r="AG2730" s="1" t="str">
        <f>IF(AND(Table1[[#This Row],[Spec Type2]]="N/A",Table1[[#This Row],[DUT Adj Read]]="N/A",Table1[[#This Row],[Std Adj Read]]="N/A"),"N/A",IF(Table1[[#This Row],[DUT Adj Read]]="N/A",IF(Table1[[#This Row],[Std Adj Read]]&lt;=Table1[[#This Row],[High Tol]],"Pass","Fail"),IF(Table1[[#This Row],[DUT Adj Read]]&lt;=Table1[[#This Row],[High Tol]],"Pass","Fail")))</f>
        <v>Fail</v>
      </c>
      <c r="AH27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0" s="1" t="b">
        <v>0</v>
      </c>
      <c r="AN2730" s="1" t="b">
        <v>0</v>
      </c>
      <c r="AO2730" s="1" t="b">
        <v>0</v>
      </c>
    </row>
    <row r="2731" spans="1:41" x14ac:dyDescent="0.25">
      <c r="A2731" s="10"/>
      <c r="B2731" s="10"/>
      <c r="C2731" s="10"/>
      <c r="D2731" s="10"/>
      <c r="E2731" s="10"/>
      <c r="F2731" s="10"/>
      <c r="G2731" s="10"/>
      <c r="H2731" s="10"/>
      <c r="I2731" s="1" t="str">
        <f t="shared" si="126"/>
        <v/>
      </c>
      <c r="J2731" s="1" t="s">
        <v>35</v>
      </c>
      <c r="K2731" s="1" t="str">
        <f t="shared" si="127"/>
        <v/>
      </c>
      <c r="L2731" s="1" t="str">
        <f t="shared" si="128"/>
        <v/>
      </c>
      <c r="M2731" s="1">
        <f>IF(OR(Table1[[#This Row],[Std Nom]]="",Table1[[#This Row],[Std Read]]=""),0,Table1[[#This Row],[Std Nom]]-Table1[[#This Row],[Std Read]])</f>
        <v>0</v>
      </c>
      <c r="N2731" s="1">
        <f>IF(Calculations!$F$5="ACCREDITED 17025 WITH UNCERTAINTIES",$N$10,0)</f>
        <v>0</v>
      </c>
      <c r="Q2731" s="1">
        <f>Table1[[#This Row],[High Tol]]-Table1[[#This Row],[Low Tol]]</f>
        <v>0</v>
      </c>
      <c r="R2731" s="1">
        <f>2*Table1[[#This Row],[Std Error]]</f>
        <v>0</v>
      </c>
      <c r="S2731" s="1" t="str">
        <f>IF(Table1[[#This Row],[High Tol]]="","N/A",IFERROR(ABS(Table1[[#This Row],[Tol Span]]/Table1[[#This Row],[Error Span]]),"N/A"))</f>
        <v>N/A</v>
      </c>
      <c r="T2731" s="1" t="str">
        <f>IF(OR(Table1[[#This Row],[Low Tol]]="",Table1[[#This Row],[High Tol]]=""),"Needs Analysis",IF(Table1[[#This Row],[Ratio]]&gt;=4,"Not Significant",IF(Table1[[#This Row],[Ratio]]&gt;=2,"Semi-Significant","Significant")))</f>
        <v>Needs Analysis</v>
      </c>
      <c r="W2731" s="1">
        <f>IF(Table1[[#This Row],[Cal Type]]&lt;&gt;"ACCREDITED 17025 WITH UNCERTAINTIES",0,"")</f>
        <v>0</v>
      </c>
      <c r="X2731" s="1" t="str">
        <f>IF(Table1[[#This Row],[DUT Read]]="","N/A",Table1[[#This Row],[Std Error]]+Table1[[#This Row],[DUT Read]]+Table1[[#This Row],[DUT Ucty]])</f>
        <v>N/A</v>
      </c>
      <c r="Y2731" s="1" t="str">
        <f>IF(Table1[[#This Row],[Std Read]]="","N/A",Table1[[#This Row],[Std Read]]+Table1[[#This Row],[Std Ucty]])</f>
        <v>N/A</v>
      </c>
      <c r="Z27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1" s="1" t="str">
        <f>IF(Table1[[#This Row],[Spec Type]]="","N/A",Table1[[#This Row],[Spec Type]])</f>
        <v>±</v>
      </c>
      <c r="AC2731" s="1" t="str">
        <f>IF(Table1[[#This Row],[Spec Type2]]="N/A","N/A",IF(AND(Table1[[#This Row],[DUT Adj Read]]&gt;=Table1[[#This Row],[Low Tol]],Table1[[#This Row],[DUT Adj Read]]&lt;=Table1[[#This Row],[High Tol]]),"Pass","Fail"))</f>
        <v>Fail</v>
      </c>
      <c r="AD2731" s="1" t="str">
        <f>IF(AND(Table1[[#This Row],[Spec Type2]]="N/A",Table1[[#This Row],[DUT Adj Read]]="N/A",Table1[[#This Row],[Std Adj Read]]="N/A"),"N/A",IF(Table1[[#This Row],[DUT Adj Read]]="N/A",IF(Table1[[#This Row],[Std Adj Read]]&gt;Table1[[#This Row],[Low Tol]],"Pass","Fail"),IF(Table1[[#This Row],[DUT Adj Read]]&gt;Table1[[#This Row],[Low Tol]],"Pass","Fail")))</f>
        <v>Pass</v>
      </c>
      <c r="AE2731" s="1" t="str">
        <f>IF(AND(Table1[[#This Row],[Spec Type2]]="N/A",Table1[[#This Row],[DUT Adj Read]]="N/A",Table1[[#This Row],[Std Adj Read]]="N/A"),"N/A",IF(Table1[[#This Row],[DUT Adj Read]]="N/A",IF(Table1[[#This Row],[Std Adj Read]]&lt;Table1[[#This Row],[High Tol]],"Pass","Fail"),IF(Table1[[#This Row],[DUT Adj Read]]&lt;Table1[[#This Row],[High Tol]],"Pass","Fail")))</f>
        <v>Fail</v>
      </c>
      <c r="AF2731" s="1" t="str">
        <f>IF(AND(Table1[[#This Row],[Spec Type2]]="N/A",Table1[[#This Row],[DUT Adj Read]]="N/A",Table1[[#This Row],[Std Adj Read]]="N/A"),"N/A",IF(Table1[[#This Row],[DUT Adj Read]]="N/A",IF(Table1[[#This Row],[Std Adj Read]]&gt;=Table1[[#This Row],[Low Tol]],"Pass","Fail"),IF(Table1[[#This Row],[DUT Adj Read]]&gt;=Table1[[#This Row],[Low Tol]],"Pass","Fail")))</f>
        <v>Pass</v>
      </c>
      <c r="AG2731" s="1" t="str">
        <f>IF(AND(Table1[[#This Row],[Spec Type2]]="N/A",Table1[[#This Row],[DUT Adj Read]]="N/A",Table1[[#This Row],[Std Adj Read]]="N/A"),"N/A",IF(Table1[[#This Row],[DUT Adj Read]]="N/A",IF(Table1[[#This Row],[Std Adj Read]]&lt;=Table1[[#This Row],[High Tol]],"Pass","Fail"),IF(Table1[[#This Row],[DUT Adj Read]]&lt;=Table1[[#This Row],[High Tol]],"Pass","Fail")))</f>
        <v>Fail</v>
      </c>
      <c r="AH27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1" s="1" t="b">
        <v>0</v>
      </c>
      <c r="AN2731" s="1" t="b">
        <v>0</v>
      </c>
      <c r="AO2731" s="1" t="b">
        <v>0</v>
      </c>
    </row>
    <row r="2732" spans="1:41" x14ac:dyDescent="0.25">
      <c r="A2732" s="10"/>
      <c r="B2732" s="10"/>
      <c r="C2732" s="10"/>
      <c r="D2732" s="10"/>
      <c r="E2732" s="10"/>
      <c r="F2732" s="10"/>
      <c r="G2732" s="10"/>
      <c r="H2732" s="10"/>
      <c r="I2732" s="1" t="str">
        <f t="shared" si="126"/>
        <v/>
      </c>
      <c r="J2732" s="1" t="s">
        <v>35</v>
      </c>
      <c r="K2732" s="1" t="str">
        <f t="shared" si="127"/>
        <v/>
      </c>
      <c r="L2732" s="1" t="str">
        <f t="shared" si="128"/>
        <v/>
      </c>
      <c r="M2732" s="1">
        <f>IF(OR(Table1[[#This Row],[Std Nom]]="",Table1[[#This Row],[Std Read]]=""),0,Table1[[#This Row],[Std Nom]]-Table1[[#This Row],[Std Read]])</f>
        <v>0</v>
      </c>
      <c r="N2732" s="1">
        <f>IF(Calculations!$F$5="ACCREDITED 17025 WITH UNCERTAINTIES",$N$10,0)</f>
        <v>0</v>
      </c>
      <c r="Q2732" s="1">
        <f>Table1[[#This Row],[High Tol]]-Table1[[#This Row],[Low Tol]]</f>
        <v>0</v>
      </c>
      <c r="R2732" s="1">
        <f>2*Table1[[#This Row],[Std Error]]</f>
        <v>0</v>
      </c>
      <c r="S2732" s="1" t="str">
        <f>IF(Table1[[#This Row],[High Tol]]="","N/A",IFERROR(ABS(Table1[[#This Row],[Tol Span]]/Table1[[#This Row],[Error Span]]),"N/A"))</f>
        <v>N/A</v>
      </c>
      <c r="T2732" s="1" t="str">
        <f>IF(OR(Table1[[#This Row],[Low Tol]]="",Table1[[#This Row],[High Tol]]=""),"Needs Analysis",IF(Table1[[#This Row],[Ratio]]&gt;=4,"Not Significant",IF(Table1[[#This Row],[Ratio]]&gt;=2,"Semi-Significant","Significant")))</f>
        <v>Needs Analysis</v>
      </c>
      <c r="W2732" s="1">
        <f>IF(Table1[[#This Row],[Cal Type]]&lt;&gt;"ACCREDITED 17025 WITH UNCERTAINTIES",0,"")</f>
        <v>0</v>
      </c>
      <c r="X2732" s="1" t="str">
        <f>IF(Table1[[#This Row],[DUT Read]]="","N/A",Table1[[#This Row],[Std Error]]+Table1[[#This Row],[DUT Read]]+Table1[[#This Row],[DUT Ucty]])</f>
        <v>N/A</v>
      </c>
      <c r="Y2732" s="1" t="str">
        <f>IF(Table1[[#This Row],[Std Read]]="","N/A",Table1[[#This Row],[Std Read]]+Table1[[#This Row],[Std Ucty]])</f>
        <v>N/A</v>
      </c>
      <c r="Z27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2" s="1" t="str">
        <f>IF(Table1[[#This Row],[Spec Type]]="","N/A",Table1[[#This Row],[Spec Type]])</f>
        <v>±</v>
      </c>
      <c r="AC2732" s="1" t="str">
        <f>IF(Table1[[#This Row],[Spec Type2]]="N/A","N/A",IF(AND(Table1[[#This Row],[DUT Adj Read]]&gt;=Table1[[#This Row],[Low Tol]],Table1[[#This Row],[DUT Adj Read]]&lt;=Table1[[#This Row],[High Tol]]),"Pass","Fail"))</f>
        <v>Fail</v>
      </c>
      <c r="AD2732" s="1" t="str">
        <f>IF(AND(Table1[[#This Row],[Spec Type2]]="N/A",Table1[[#This Row],[DUT Adj Read]]="N/A",Table1[[#This Row],[Std Adj Read]]="N/A"),"N/A",IF(Table1[[#This Row],[DUT Adj Read]]="N/A",IF(Table1[[#This Row],[Std Adj Read]]&gt;Table1[[#This Row],[Low Tol]],"Pass","Fail"),IF(Table1[[#This Row],[DUT Adj Read]]&gt;Table1[[#This Row],[Low Tol]],"Pass","Fail")))</f>
        <v>Pass</v>
      </c>
      <c r="AE2732" s="1" t="str">
        <f>IF(AND(Table1[[#This Row],[Spec Type2]]="N/A",Table1[[#This Row],[DUT Adj Read]]="N/A",Table1[[#This Row],[Std Adj Read]]="N/A"),"N/A",IF(Table1[[#This Row],[DUT Adj Read]]="N/A",IF(Table1[[#This Row],[Std Adj Read]]&lt;Table1[[#This Row],[High Tol]],"Pass","Fail"),IF(Table1[[#This Row],[DUT Adj Read]]&lt;Table1[[#This Row],[High Tol]],"Pass","Fail")))</f>
        <v>Fail</v>
      </c>
      <c r="AF2732" s="1" t="str">
        <f>IF(AND(Table1[[#This Row],[Spec Type2]]="N/A",Table1[[#This Row],[DUT Adj Read]]="N/A",Table1[[#This Row],[Std Adj Read]]="N/A"),"N/A",IF(Table1[[#This Row],[DUT Adj Read]]="N/A",IF(Table1[[#This Row],[Std Adj Read]]&gt;=Table1[[#This Row],[Low Tol]],"Pass","Fail"),IF(Table1[[#This Row],[DUT Adj Read]]&gt;=Table1[[#This Row],[Low Tol]],"Pass","Fail")))</f>
        <v>Pass</v>
      </c>
      <c r="AG2732" s="1" t="str">
        <f>IF(AND(Table1[[#This Row],[Spec Type2]]="N/A",Table1[[#This Row],[DUT Adj Read]]="N/A",Table1[[#This Row],[Std Adj Read]]="N/A"),"N/A",IF(Table1[[#This Row],[DUT Adj Read]]="N/A",IF(Table1[[#This Row],[Std Adj Read]]&lt;=Table1[[#This Row],[High Tol]],"Pass","Fail"),IF(Table1[[#This Row],[DUT Adj Read]]&lt;=Table1[[#This Row],[High Tol]],"Pass","Fail")))</f>
        <v>Fail</v>
      </c>
      <c r="AH27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2" s="1" t="b">
        <v>0</v>
      </c>
      <c r="AN2732" s="1" t="b">
        <v>0</v>
      </c>
      <c r="AO2732" s="1" t="b">
        <v>0</v>
      </c>
    </row>
    <row r="2733" spans="1:41" x14ac:dyDescent="0.25">
      <c r="A2733" s="10"/>
      <c r="B2733" s="10"/>
      <c r="C2733" s="10"/>
      <c r="D2733" s="10"/>
      <c r="E2733" s="10"/>
      <c r="F2733" s="10"/>
      <c r="G2733" s="10"/>
      <c r="H2733" s="10"/>
      <c r="I2733" s="1" t="str">
        <f t="shared" si="126"/>
        <v/>
      </c>
      <c r="J2733" s="1" t="s">
        <v>35</v>
      </c>
      <c r="K2733" s="1" t="str">
        <f t="shared" si="127"/>
        <v/>
      </c>
      <c r="L2733" s="1" t="str">
        <f t="shared" si="128"/>
        <v/>
      </c>
      <c r="M2733" s="1">
        <f>IF(OR(Table1[[#This Row],[Std Nom]]="",Table1[[#This Row],[Std Read]]=""),0,Table1[[#This Row],[Std Nom]]-Table1[[#This Row],[Std Read]])</f>
        <v>0</v>
      </c>
      <c r="N2733" s="1">
        <f>IF(Calculations!$F$5="ACCREDITED 17025 WITH UNCERTAINTIES",$N$10,0)</f>
        <v>0</v>
      </c>
      <c r="Q2733" s="1">
        <f>Table1[[#This Row],[High Tol]]-Table1[[#This Row],[Low Tol]]</f>
        <v>0</v>
      </c>
      <c r="R2733" s="1">
        <f>2*Table1[[#This Row],[Std Error]]</f>
        <v>0</v>
      </c>
      <c r="S2733" s="1" t="str">
        <f>IF(Table1[[#This Row],[High Tol]]="","N/A",IFERROR(ABS(Table1[[#This Row],[Tol Span]]/Table1[[#This Row],[Error Span]]),"N/A"))</f>
        <v>N/A</v>
      </c>
      <c r="T2733" s="1" t="str">
        <f>IF(OR(Table1[[#This Row],[Low Tol]]="",Table1[[#This Row],[High Tol]]=""),"Needs Analysis",IF(Table1[[#This Row],[Ratio]]&gt;=4,"Not Significant",IF(Table1[[#This Row],[Ratio]]&gt;=2,"Semi-Significant","Significant")))</f>
        <v>Needs Analysis</v>
      </c>
      <c r="W2733" s="1">
        <f>IF(Table1[[#This Row],[Cal Type]]&lt;&gt;"ACCREDITED 17025 WITH UNCERTAINTIES",0,"")</f>
        <v>0</v>
      </c>
      <c r="X2733" s="1" t="str">
        <f>IF(Table1[[#This Row],[DUT Read]]="","N/A",Table1[[#This Row],[Std Error]]+Table1[[#This Row],[DUT Read]]+Table1[[#This Row],[DUT Ucty]])</f>
        <v>N/A</v>
      </c>
      <c r="Y2733" s="1" t="str">
        <f>IF(Table1[[#This Row],[Std Read]]="","N/A",Table1[[#This Row],[Std Read]]+Table1[[#This Row],[Std Ucty]])</f>
        <v>N/A</v>
      </c>
      <c r="Z27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3" s="1" t="str">
        <f>IF(Table1[[#This Row],[Spec Type]]="","N/A",Table1[[#This Row],[Spec Type]])</f>
        <v>±</v>
      </c>
      <c r="AC2733" s="1" t="str">
        <f>IF(Table1[[#This Row],[Spec Type2]]="N/A","N/A",IF(AND(Table1[[#This Row],[DUT Adj Read]]&gt;=Table1[[#This Row],[Low Tol]],Table1[[#This Row],[DUT Adj Read]]&lt;=Table1[[#This Row],[High Tol]]),"Pass","Fail"))</f>
        <v>Fail</v>
      </c>
      <c r="AD2733" s="1" t="str">
        <f>IF(AND(Table1[[#This Row],[Spec Type2]]="N/A",Table1[[#This Row],[DUT Adj Read]]="N/A",Table1[[#This Row],[Std Adj Read]]="N/A"),"N/A",IF(Table1[[#This Row],[DUT Adj Read]]="N/A",IF(Table1[[#This Row],[Std Adj Read]]&gt;Table1[[#This Row],[Low Tol]],"Pass","Fail"),IF(Table1[[#This Row],[DUT Adj Read]]&gt;Table1[[#This Row],[Low Tol]],"Pass","Fail")))</f>
        <v>Pass</v>
      </c>
      <c r="AE2733" s="1" t="str">
        <f>IF(AND(Table1[[#This Row],[Spec Type2]]="N/A",Table1[[#This Row],[DUT Adj Read]]="N/A",Table1[[#This Row],[Std Adj Read]]="N/A"),"N/A",IF(Table1[[#This Row],[DUT Adj Read]]="N/A",IF(Table1[[#This Row],[Std Adj Read]]&lt;Table1[[#This Row],[High Tol]],"Pass","Fail"),IF(Table1[[#This Row],[DUT Adj Read]]&lt;Table1[[#This Row],[High Tol]],"Pass","Fail")))</f>
        <v>Fail</v>
      </c>
      <c r="AF2733" s="1" t="str">
        <f>IF(AND(Table1[[#This Row],[Spec Type2]]="N/A",Table1[[#This Row],[DUT Adj Read]]="N/A",Table1[[#This Row],[Std Adj Read]]="N/A"),"N/A",IF(Table1[[#This Row],[DUT Adj Read]]="N/A",IF(Table1[[#This Row],[Std Adj Read]]&gt;=Table1[[#This Row],[Low Tol]],"Pass","Fail"),IF(Table1[[#This Row],[DUT Adj Read]]&gt;=Table1[[#This Row],[Low Tol]],"Pass","Fail")))</f>
        <v>Pass</v>
      </c>
      <c r="AG2733" s="1" t="str">
        <f>IF(AND(Table1[[#This Row],[Spec Type2]]="N/A",Table1[[#This Row],[DUT Adj Read]]="N/A",Table1[[#This Row],[Std Adj Read]]="N/A"),"N/A",IF(Table1[[#This Row],[DUT Adj Read]]="N/A",IF(Table1[[#This Row],[Std Adj Read]]&lt;=Table1[[#This Row],[High Tol]],"Pass","Fail"),IF(Table1[[#This Row],[DUT Adj Read]]&lt;=Table1[[#This Row],[High Tol]],"Pass","Fail")))</f>
        <v>Fail</v>
      </c>
      <c r="AH27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3" s="1" t="b">
        <v>0</v>
      </c>
      <c r="AN2733" s="1" t="b">
        <v>0</v>
      </c>
      <c r="AO2733" s="1" t="b">
        <v>0</v>
      </c>
    </row>
    <row r="2734" spans="1:41" x14ac:dyDescent="0.25">
      <c r="A2734" s="10"/>
      <c r="B2734" s="10"/>
      <c r="C2734" s="10"/>
      <c r="D2734" s="10"/>
      <c r="E2734" s="10"/>
      <c r="F2734" s="10"/>
      <c r="G2734" s="10"/>
      <c r="H2734" s="10"/>
      <c r="I2734" s="1" t="str">
        <f t="shared" si="126"/>
        <v/>
      </c>
      <c r="J2734" s="1" t="s">
        <v>35</v>
      </c>
      <c r="K2734" s="1" t="str">
        <f t="shared" si="127"/>
        <v/>
      </c>
      <c r="L2734" s="1" t="str">
        <f t="shared" si="128"/>
        <v/>
      </c>
      <c r="M2734" s="1">
        <f>IF(OR(Table1[[#This Row],[Std Nom]]="",Table1[[#This Row],[Std Read]]=""),0,Table1[[#This Row],[Std Nom]]-Table1[[#This Row],[Std Read]])</f>
        <v>0</v>
      </c>
      <c r="N2734" s="1">
        <f>IF(Calculations!$F$5="ACCREDITED 17025 WITH UNCERTAINTIES",$N$10,0)</f>
        <v>0</v>
      </c>
      <c r="Q2734" s="1">
        <f>Table1[[#This Row],[High Tol]]-Table1[[#This Row],[Low Tol]]</f>
        <v>0</v>
      </c>
      <c r="R2734" s="1">
        <f>2*Table1[[#This Row],[Std Error]]</f>
        <v>0</v>
      </c>
      <c r="S2734" s="1" t="str">
        <f>IF(Table1[[#This Row],[High Tol]]="","N/A",IFERROR(ABS(Table1[[#This Row],[Tol Span]]/Table1[[#This Row],[Error Span]]),"N/A"))</f>
        <v>N/A</v>
      </c>
      <c r="T2734" s="1" t="str">
        <f>IF(OR(Table1[[#This Row],[Low Tol]]="",Table1[[#This Row],[High Tol]]=""),"Needs Analysis",IF(Table1[[#This Row],[Ratio]]&gt;=4,"Not Significant",IF(Table1[[#This Row],[Ratio]]&gt;=2,"Semi-Significant","Significant")))</f>
        <v>Needs Analysis</v>
      </c>
      <c r="W2734" s="1">
        <f>IF(Table1[[#This Row],[Cal Type]]&lt;&gt;"ACCREDITED 17025 WITH UNCERTAINTIES",0,"")</f>
        <v>0</v>
      </c>
      <c r="X2734" s="1" t="str">
        <f>IF(Table1[[#This Row],[DUT Read]]="","N/A",Table1[[#This Row],[Std Error]]+Table1[[#This Row],[DUT Read]]+Table1[[#This Row],[DUT Ucty]])</f>
        <v>N/A</v>
      </c>
      <c r="Y2734" s="1" t="str">
        <f>IF(Table1[[#This Row],[Std Read]]="","N/A",Table1[[#This Row],[Std Read]]+Table1[[#This Row],[Std Ucty]])</f>
        <v>N/A</v>
      </c>
      <c r="Z27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4" s="1" t="str">
        <f>IF(Table1[[#This Row],[Spec Type]]="","N/A",Table1[[#This Row],[Spec Type]])</f>
        <v>±</v>
      </c>
      <c r="AC2734" s="1" t="str">
        <f>IF(Table1[[#This Row],[Spec Type2]]="N/A","N/A",IF(AND(Table1[[#This Row],[DUT Adj Read]]&gt;=Table1[[#This Row],[Low Tol]],Table1[[#This Row],[DUT Adj Read]]&lt;=Table1[[#This Row],[High Tol]]),"Pass","Fail"))</f>
        <v>Fail</v>
      </c>
      <c r="AD2734" s="1" t="str">
        <f>IF(AND(Table1[[#This Row],[Spec Type2]]="N/A",Table1[[#This Row],[DUT Adj Read]]="N/A",Table1[[#This Row],[Std Adj Read]]="N/A"),"N/A",IF(Table1[[#This Row],[DUT Adj Read]]="N/A",IF(Table1[[#This Row],[Std Adj Read]]&gt;Table1[[#This Row],[Low Tol]],"Pass","Fail"),IF(Table1[[#This Row],[DUT Adj Read]]&gt;Table1[[#This Row],[Low Tol]],"Pass","Fail")))</f>
        <v>Pass</v>
      </c>
      <c r="AE2734" s="1" t="str">
        <f>IF(AND(Table1[[#This Row],[Spec Type2]]="N/A",Table1[[#This Row],[DUT Adj Read]]="N/A",Table1[[#This Row],[Std Adj Read]]="N/A"),"N/A",IF(Table1[[#This Row],[DUT Adj Read]]="N/A",IF(Table1[[#This Row],[Std Adj Read]]&lt;Table1[[#This Row],[High Tol]],"Pass","Fail"),IF(Table1[[#This Row],[DUT Adj Read]]&lt;Table1[[#This Row],[High Tol]],"Pass","Fail")))</f>
        <v>Fail</v>
      </c>
      <c r="AF2734" s="1" t="str">
        <f>IF(AND(Table1[[#This Row],[Spec Type2]]="N/A",Table1[[#This Row],[DUT Adj Read]]="N/A",Table1[[#This Row],[Std Adj Read]]="N/A"),"N/A",IF(Table1[[#This Row],[DUT Adj Read]]="N/A",IF(Table1[[#This Row],[Std Adj Read]]&gt;=Table1[[#This Row],[Low Tol]],"Pass","Fail"),IF(Table1[[#This Row],[DUT Adj Read]]&gt;=Table1[[#This Row],[Low Tol]],"Pass","Fail")))</f>
        <v>Pass</v>
      </c>
      <c r="AG2734" s="1" t="str">
        <f>IF(AND(Table1[[#This Row],[Spec Type2]]="N/A",Table1[[#This Row],[DUT Adj Read]]="N/A",Table1[[#This Row],[Std Adj Read]]="N/A"),"N/A",IF(Table1[[#This Row],[DUT Adj Read]]="N/A",IF(Table1[[#This Row],[Std Adj Read]]&lt;=Table1[[#This Row],[High Tol]],"Pass","Fail"),IF(Table1[[#This Row],[DUT Adj Read]]&lt;=Table1[[#This Row],[High Tol]],"Pass","Fail")))</f>
        <v>Fail</v>
      </c>
      <c r="AH27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4" s="1" t="b">
        <v>0</v>
      </c>
      <c r="AN2734" s="1" t="b">
        <v>0</v>
      </c>
      <c r="AO2734" s="1" t="b">
        <v>0</v>
      </c>
    </row>
    <row r="2735" spans="1:41" x14ac:dyDescent="0.25">
      <c r="A2735" s="10"/>
      <c r="B2735" s="10"/>
      <c r="C2735" s="10"/>
      <c r="D2735" s="10"/>
      <c r="E2735" s="10"/>
      <c r="F2735" s="10"/>
      <c r="G2735" s="10"/>
      <c r="H2735" s="10"/>
      <c r="I2735" s="1" t="str">
        <f t="shared" si="126"/>
        <v/>
      </c>
      <c r="J2735" s="1" t="s">
        <v>35</v>
      </c>
      <c r="K2735" s="1" t="str">
        <f t="shared" si="127"/>
        <v/>
      </c>
      <c r="L2735" s="1" t="str">
        <f t="shared" si="128"/>
        <v/>
      </c>
      <c r="M2735" s="1">
        <f>IF(OR(Table1[[#This Row],[Std Nom]]="",Table1[[#This Row],[Std Read]]=""),0,Table1[[#This Row],[Std Nom]]-Table1[[#This Row],[Std Read]])</f>
        <v>0</v>
      </c>
      <c r="N2735" s="1">
        <f>IF(Calculations!$F$5="ACCREDITED 17025 WITH UNCERTAINTIES",$N$10,0)</f>
        <v>0</v>
      </c>
      <c r="Q2735" s="1">
        <f>Table1[[#This Row],[High Tol]]-Table1[[#This Row],[Low Tol]]</f>
        <v>0</v>
      </c>
      <c r="R2735" s="1">
        <f>2*Table1[[#This Row],[Std Error]]</f>
        <v>0</v>
      </c>
      <c r="S2735" s="1" t="str">
        <f>IF(Table1[[#This Row],[High Tol]]="","N/A",IFERROR(ABS(Table1[[#This Row],[Tol Span]]/Table1[[#This Row],[Error Span]]),"N/A"))</f>
        <v>N/A</v>
      </c>
      <c r="T2735" s="1" t="str">
        <f>IF(OR(Table1[[#This Row],[Low Tol]]="",Table1[[#This Row],[High Tol]]=""),"Needs Analysis",IF(Table1[[#This Row],[Ratio]]&gt;=4,"Not Significant",IF(Table1[[#This Row],[Ratio]]&gt;=2,"Semi-Significant","Significant")))</f>
        <v>Needs Analysis</v>
      </c>
      <c r="W2735" s="1">
        <f>IF(Table1[[#This Row],[Cal Type]]&lt;&gt;"ACCREDITED 17025 WITH UNCERTAINTIES",0,"")</f>
        <v>0</v>
      </c>
      <c r="X2735" s="1" t="str">
        <f>IF(Table1[[#This Row],[DUT Read]]="","N/A",Table1[[#This Row],[Std Error]]+Table1[[#This Row],[DUT Read]]+Table1[[#This Row],[DUT Ucty]])</f>
        <v>N/A</v>
      </c>
      <c r="Y2735" s="1" t="str">
        <f>IF(Table1[[#This Row],[Std Read]]="","N/A",Table1[[#This Row],[Std Read]]+Table1[[#This Row],[Std Ucty]])</f>
        <v>N/A</v>
      </c>
      <c r="Z27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5" s="1" t="str">
        <f>IF(Table1[[#This Row],[Spec Type]]="","N/A",Table1[[#This Row],[Spec Type]])</f>
        <v>±</v>
      </c>
      <c r="AC2735" s="1" t="str">
        <f>IF(Table1[[#This Row],[Spec Type2]]="N/A","N/A",IF(AND(Table1[[#This Row],[DUT Adj Read]]&gt;=Table1[[#This Row],[Low Tol]],Table1[[#This Row],[DUT Adj Read]]&lt;=Table1[[#This Row],[High Tol]]),"Pass","Fail"))</f>
        <v>Fail</v>
      </c>
      <c r="AD2735" s="1" t="str">
        <f>IF(AND(Table1[[#This Row],[Spec Type2]]="N/A",Table1[[#This Row],[DUT Adj Read]]="N/A",Table1[[#This Row],[Std Adj Read]]="N/A"),"N/A",IF(Table1[[#This Row],[DUT Adj Read]]="N/A",IF(Table1[[#This Row],[Std Adj Read]]&gt;Table1[[#This Row],[Low Tol]],"Pass","Fail"),IF(Table1[[#This Row],[DUT Adj Read]]&gt;Table1[[#This Row],[Low Tol]],"Pass","Fail")))</f>
        <v>Pass</v>
      </c>
      <c r="AE2735" s="1" t="str">
        <f>IF(AND(Table1[[#This Row],[Spec Type2]]="N/A",Table1[[#This Row],[DUT Adj Read]]="N/A",Table1[[#This Row],[Std Adj Read]]="N/A"),"N/A",IF(Table1[[#This Row],[DUT Adj Read]]="N/A",IF(Table1[[#This Row],[Std Adj Read]]&lt;Table1[[#This Row],[High Tol]],"Pass","Fail"),IF(Table1[[#This Row],[DUT Adj Read]]&lt;Table1[[#This Row],[High Tol]],"Pass","Fail")))</f>
        <v>Fail</v>
      </c>
      <c r="AF2735" s="1" t="str">
        <f>IF(AND(Table1[[#This Row],[Spec Type2]]="N/A",Table1[[#This Row],[DUT Adj Read]]="N/A",Table1[[#This Row],[Std Adj Read]]="N/A"),"N/A",IF(Table1[[#This Row],[DUT Adj Read]]="N/A",IF(Table1[[#This Row],[Std Adj Read]]&gt;=Table1[[#This Row],[Low Tol]],"Pass","Fail"),IF(Table1[[#This Row],[DUT Adj Read]]&gt;=Table1[[#This Row],[Low Tol]],"Pass","Fail")))</f>
        <v>Pass</v>
      </c>
      <c r="AG2735" s="1" t="str">
        <f>IF(AND(Table1[[#This Row],[Spec Type2]]="N/A",Table1[[#This Row],[DUT Adj Read]]="N/A",Table1[[#This Row],[Std Adj Read]]="N/A"),"N/A",IF(Table1[[#This Row],[DUT Adj Read]]="N/A",IF(Table1[[#This Row],[Std Adj Read]]&lt;=Table1[[#This Row],[High Tol]],"Pass","Fail"),IF(Table1[[#This Row],[DUT Adj Read]]&lt;=Table1[[#This Row],[High Tol]],"Pass","Fail")))</f>
        <v>Fail</v>
      </c>
      <c r="AH27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5" s="1" t="b">
        <v>0</v>
      </c>
      <c r="AN2735" s="1" t="b">
        <v>0</v>
      </c>
      <c r="AO2735" s="1" t="b">
        <v>0</v>
      </c>
    </row>
    <row r="2736" spans="1:41" x14ac:dyDescent="0.25">
      <c r="A2736" s="10"/>
      <c r="B2736" s="10"/>
      <c r="C2736" s="10"/>
      <c r="D2736" s="10"/>
      <c r="E2736" s="10"/>
      <c r="F2736" s="10"/>
      <c r="G2736" s="10"/>
      <c r="H2736" s="10"/>
      <c r="I2736" s="1" t="str">
        <f t="shared" si="126"/>
        <v/>
      </c>
      <c r="J2736" s="1" t="s">
        <v>35</v>
      </c>
      <c r="K2736" s="1" t="str">
        <f t="shared" si="127"/>
        <v/>
      </c>
      <c r="L2736" s="1" t="str">
        <f t="shared" si="128"/>
        <v/>
      </c>
      <c r="M2736" s="1">
        <f>IF(OR(Table1[[#This Row],[Std Nom]]="",Table1[[#This Row],[Std Read]]=""),0,Table1[[#This Row],[Std Nom]]-Table1[[#This Row],[Std Read]])</f>
        <v>0</v>
      </c>
      <c r="N2736" s="1">
        <f>IF(Calculations!$F$5="ACCREDITED 17025 WITH UNCERTAINTIES",$N$10,0)</f>
        <v>0</v>
      </c>
      <c r="Q2736" s="1">
        <f>Table1[[#This Row],[High Tol]]-Table1[[#This Row],[Low Tol]]</f>
        <v>0</v>
      </c>
      <c r="R2736" s="1">
        <f>2*Table1[[#This Row],[Std Error]]</f>
        <v>0</v>
      </c>
      <c r="S2736" s="1" t="str">
        <f>IF(Table1[[#This Row],[High Tol]]="","N/A",IFERROR(ABS(Table1[[#This Row],[Tol Span]]/Table1[[#This Row],[Error Span]]),"N/A"))</f>
        <v>N/A</v>
      </c>
      <c r="T2736" s="1" t="str">
        <f>IF(OR(Table1[[#This Row],[Low Tol]]="",Table1[[#This Row],[High Tol]]=""),"Needs Analysis",IF(Table1[[#This Row],[Ratio]]&gt;=4,"Not Significant",IF(Table1[[#This Row],[Ratio]]&gt;=2,"Semi-Significant","Significant")))</f>
        <v>Needs Analysis</v>
      </c>
      <c r="W2736" s="1">
        <f>IF(Table1[[#This Row],[Cal Type]]&lt;&gt;"ACCREDITED 17025 WITH UNCERTAINTIES",0,"")</f>
        <v>0</v>
      </c>
      <c r="X2736" s="1" t="str">
        <f>IF(Table1[[#This Row],[DUT Read]]="","N/A",Table1[[#This Row],[Std Error]]+Table1[[#This Row],[DUT Read]]+Table1[[#This Row],[DUT Ucty]])</f>
        <v>N/A</v>
      </c>
      <c r="Y2736" s="1" t="str">
        <f>IF(Table1[[#This Row],[Std Read]]="","N/A",Table1[[#This Row],[Std Read]]+Table1[[#This Row],[Std Ucty]])</f>
        <v>N/A</v>
      </c>
      <c r="Z27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6" s="1" t="str">
        <f>IF(Table1[[#This Row],[Spec Type]]="","N/A",Table1[[#This Row],[Spec Type]])</f>
        <v>±</v>
      </c>
      <c r="AC2736" s="1" t="str">
        <f>IF(Table1[[#This Row],[Spec Type2]]="N/A","N/A",IF(AND(Table1[[#This Row],[DUT Adj Read]]&gt;=Table1[[#This Row],[Low Tol]],Table1[[#This Row],[DUT Adj Read]]&lt;=Table1[[#This Row],[High Tol]]),"Pass","Fail"))</f>
        <v>Fail</v>
      </c>
      <c r="AD2736" s="1" t="str">
        <f>IF(AND(Table1[[#This Row],[Spec Type2]]="N/A",Table1[[#This Row],[DUT Adj Read]]="N/A",Table1[[#This Row],[Std Adj Read]]="N/A"),"N/A",IF(Table1[[#This Row],[DUT Adj Read]]="N/A",IF(Table1[[#This Row],[Std Adj Read]]&gt;Table1[[#This Row],[Low Tol]],"Pass","Fail"),IF(Table1[[#This Row],[DUT Adj Read]]&gt;Table1[[#This Row],[Low Tol]],"Pass","Fail")))</f>
        <v>Pass</v>
      </c>
      <c r="AE2736" s="1" t="str">
        <f>IF(AND(Table1[[#This Row],[Spec Type2]]="N/A",Table1[[#This Row],[DUT Adj Read]]="N/A",Table1[[#This Row],[Std Adj Read]]="N/A"),"N/A",IF(Table1[[#This Row],[DUT Adj Read]]="N/A",IF(Table1[[#This Row],[Std Adj Read]]&lt;Table1[[#This Row],[High Tol]],"Pass","Fail"),IF(Table1[[#This Row],[DUT Adj Read]]&lt;Table1[[#This Row],[High Tol]],"Pass","Fail")))</f>
        <v>Fail</v>
      </c>
      <c r="AF2736" s="1" t="str">
        <f>IF(AND(Table1[[#This Row],[Spec Type2]]="N/A",Table1[[#This Row],[DUT Adj Read]]="N/A",Table1[[#This Row],[Std Adj Read]]="N/A"),"N/A",IF(Table1[[#This Row],[DUT Adj Read]]="N/A",IF(Table1[[#This Row],[Std Adj Read]]&gt;=Table1[[#This Row],[Low Tol]],"Pass","Fail"),IF(Table1[[#This Row],[DUT Adj Read]]&gt;=Table1[[#This Row],[Low Tol]],"Pass","Fail")))</f>
        <v>Pass</v>
      </c>
      <c r="AG2736" s="1" t="str">
        <f>IF(AND(Table1[[#This Row],[Spec Type2]]="N/A",Table1[[#This Row],[DUT Adj Read]]="N/A",Table1[[#This Row],[Std Adj Read]]="N/A"),"N/A",IF(Table1[[#This Row],[DUT Adj Read]]="N/A",IF(Table1[[#This Row],[Std Adj Read]]&lt;=Table1[[#This Row],[High Tol]],"Pass","Fail"),IF(Table1[[#This Row],[DUT Adj Read]]&lt;=Table1[[#This Row],[High Tol]],"Pass","Fail")))</f>
        <v>Fail</v>
      </c>
      <c r="AH27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6" s="1" t="b">
        <v>0</v>
      </c>
      <c r="AN2736" s="1" t="b">
        <v>0</v>
      </c>
      <c r="AO2736" s="1" t="b">
        <v>0</v>
      </c>
    </row>
    <row r="2737" spans="1:41" x14ac:dyDescent="0.25">
      <c r="A2737" s="10"/>
      <c r="B2737" s="10"/>
      <c r="C2737" s="10"/>
      <c r="D2737" s="10"/>
      <c r="E2737" s="10"/>
      <c r="F2737" s="10"/>
      <c r="G2737" s="10"/>
      <c r="H2737" s="10"/>
      <c r="I2737" s="1" t="str">
        <f t="shared" si="126"/>
        <v/>
      </c>
      <c r="J2737" s="1" t="s">
        <v>35</v>
      </c>
      <c r="K2737" s="1" t="str">
        <f t="shared" si="127"/>
        <v/>
      </c>
      <c r="L2737" s="1" t="str">
        <f t="shared" si="128"/>
        <v/>
      </c>
      <c r="M2737" s="1">
        <f>IF(OR(Table1[[#This Row],[Std Nom]]="",Table1[[#This Row],[Std Read]]=""),0,Table1[[#This Row],[Std Nom]]-Table1[[#This Row],[Std Read]])</f>
        <v>0</v>
      </c>
      <c r="N2737" s="1">
        <f>IF(Calculations!$F$5="ACCREDITED 17025 WITH UNCERTAINTIES",$N$10,0)</f>
        <v>0</v>
      </c>
      <c r="Q2737" s="1">
        <f>Table1[[#This Row],[High Tol]]-Table1[[#This Row],[Low Tol]]</f>
        <v>0</v>
      </c>
      <c r="R2737" s="1">
        <f>2*Table1[[#This Row],[Std Error]]</f>
        <v>0</v>
      </c>
      <c r="S2737" s="1" t="str">
        <f>IF(Table1[[#This Row],[High Tol]]="","N/A",IFERROR(ABS(Table1[[#This Row],[Tol Span]]/Table1[[#This Row],[Error Span]]),"N/A"))</f>
        <v>N/A</v>
      </c>
      <c r="T2737" s="1" t="str">
        <f>IF(OR(Table1[[#This Row],[Low Tol]]="",Table1[[#This Row],[High Tol]]=""),"Needs Analysis",IF(Table1[[#This Row],[Ratio]]&gt;=4,"Not Significant",IF(Table1[[#This Row],[Ratio]]&gt;=2,"Semi-Significant","Significant")))</f>
        <v>Needs Analysis</v>
      </c>
      <c r="W2737" s="1">
        <f>IF(Table1[[#This Row],[Cal Type]]&lt;&gt;"ACCREDITED 17025 WITH UNCERTAINTIES",0,"")</f>
        <v>0</v>
      </c>
      <c r="X2737" s="1" t="str">
        <f>IF(Table1[[#This Row],[DUT Read]]="","N/A",Table1[[#This Row],[Std Error]]+Table1[[#This Row],[DUT Read]]+Table1[[#This Row],[DUT Ucty]])</f>
        <v>N/A</v>
      </c>
      <c r="Y2737" s="1" t="str">
        <f>IF(Table1[[#This Row],[Std Read]]="","N/A",Table1[[#This Row],[Std Read]]+Table1[[#This Row],[Std Ucty]])</f>
        <v>N/A</v>
      </c>
      <c r="Z27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7" s="1" t="str">
        <f>IF(Table1[[#This Row],[Spec Type]]="","N/A",Table1[[#This Row],[Spec Type]])</f>
        <v>±</v>
      </c>
      <c r="AC2737" s="1" t="str">
        <f>IF(Table1[[#This Row],[Spec Type2]]="N/A","N/A",IF(AND(Table1[[#This Row],[DUT Adj Read]]&gt;=Table1[[#This Row],[Low Tol]],Table1[[#This Row],[DUT Adj Read]]&lt;=Table1[[#This Row],[High Tol]]),"Pass","Fail"))</f>
        <v>Fail</v>
      </c>
      <c r="AD2737" s="1" t="str">
        <f>IF(AND(Table1[[#This Row],[Spec Type2]]="N/A",Table1[[#This Row],[DUT Adj Read]]="N/A",Table1[[#This Row],[Std Adj Read]]="N/A"),"N/A",IF(Table1[[#This Row],[DUT Adj Read]]="N/A",IF(Table1[[#This Row],[Std Adj Read]]&gt;Table1[[#This Row],[Low Tol]],"Pass","Fail"),IF(Table1[[#This Row],[DUT Adj Read]]&gt;Table1[[#This Row],[Low Tol]],"Pass","Fail")))</f>
        <v>Pass</v>
      </c>
      <c r="AE2737" s="1" t="str">
        <f>IF(AND(Table1[[#This Row],[Spec Type2]]="N/A",Table1[[#This Row],[DUT Adj Read]]="N/A",Table1[[#This Row],[Std Adj Read]]="N/A"),"N/A",IF(Table1[[#This Row],[DUT Adj Read]]="N/A",IF(Table1[[#This Row],[Std Adj Read]]&lt;Table1[[#This Row],[High Tol]],"Pass","Fail"),IF(Table1[[#This Row],[DUT Adj Read]]&lt;Table1[[#This Row],[High Tol]],"Pass","Fail")))</f>
        <v>Fail</v>
      </c>
      <c r="AF2737" s="1" t="str">
        <f>IF(AND(Table1[[#This Row],[Spec Type2]]="N/A",Table1[[#This Row],[DUT Adj Read]]="N/A",Table1[[#This Row],[Std Adj Read]]="N/A"),"N/A",IF(Table1[[#This Row],[DUT Adj Read]]="N/A",IF(Table1[[#This Row],[Std Adj Read]]&gt;=Table1[[#This Row],[Low Tol]],"Pass","Fail"),IF(Table1[[#This Row],[DUT Adj Read]]&gt;=Table1[[#This Row],[Low Tol]],"Pass","Fail")))</f>
        <v>Pass</v>
      </c>
      <c r="AG2737" s="1" t="str">
        <f>IF(AND(Table1[[#This Row],[Spec Type2]]="N/A",Table1[[#This Row],[DUT Adj Read]]="N/A",Table1[[#This Row],[Std Adj Read]]="N/A"),"N/A",IF(Table1[[#This Row],[DUT Adj Read]]="N/A",IF(Table1[[#This Row],[Std Adj Read]]&lt;=Table1[[#This Row],[High Tol]],"Pass","Fail"),IF(Table1[[#This Row],[DUT Adj Read]]&lt;=Table1[[#This Row],[High Tol]],"Pass","Fail")))</f>
        <v>Fail</v>
      </c>
      <c r="AH27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7" s="1" t="b">
        <v>0</v>
      </c>
      <c r="AN2737" s="1" t="b">
        <v>0</v>
      </c>
      <c r="AO2737" s="1" t="b">
        <v>0</v>
      </c>
    </row>
    <row r="2738" spans="1:41" x14ac:dyDescent="0.25">
      <c r="A2738" s="10"/>
      <c r="B2738" s="10"/>
      <c r="C2738" s="10"/>
      <c r="D2738" s="10"/>
      <c r="E2738" s="10"/>
      <c r="F2738" s="10"/>
      <c r="G2738" s="10"/>
      <c r="H2738" s="10"/>
      <c r="I2738" s="1" t="str">
        <f t="shared" si="126"/>
        <v/>
      </c>
      <c r="J2738" s="1" t="s">
        <v>35</v>
      </c>
      <c r="K2738" s="1" t="str">
        <f t="shared" si="127"/>
        <v/>
      </c>
      <c r="L2738" s="1" t="str">
        <f t="shared" si="128"/>
        <v/>
      </c>
      <c r="M2738" s="1">
        <f>IF(OR(Table1[[#This Row],[Std Nom]]="",Table1[[#This Row],[Std Read]]=""),0,Table1[[#This Row],[Std Nom]]-Table1[[#This Row],[Std Read]])</f>
        <v>0</v>
      </c>
      <c r="N2738" s="1">
        <f>IF(Calculations!$F$5="ACCREDITED 17025 WITH UNCERTAINTIES",$N$10,0)</f>
        <v>0</v>
      </c>
      <c r="Q2738" s="1">
        <f>Table1[[#This Row],[High Tol]]-Table1[[#This Row],[Low Tol]]</f>
        <v>0</v>
      </c>
      <c r="R2738" s="1">
        <f>2*Table1[[#This Row],[Std Error]]</f>
        <v>0</v>
      </c>
      <c r="S2738" s="1" t="str">
        <f>IF(Table1[[#This Row],[High Tol]]="","N/A",IFERROR(ABS(Table1[[#This Row],[Tol Span]]/Table1[[#This Row],[Error Span]]),"N/A"))</f>
        <v>N/A</v>
      </c>
      <c r="T2738" s="1" t="str">
        <f>IF(OR(Table1[[#This Row],[Low Tol]]="",Table1[[#This Row],[High Tol]]=""),"Needs Analysis",IF(Table1[[#This Row],[Ratio]]&gt;=4,"Not Significant",IF(Table1[[#This Row],[Ratio]]&gt;=2,"Semi-Significant","Significant")))</f>
        <v>Needs Analysis</v>
      </c>
      <c r="W2738" s="1">
        <f>IF(Table1[[#This Row],[Cal Type]]&lt;&gt;"ACCREDITED 17025 WITH UNCERTAINTIES",0,"")</f>
        <v>0</v>
      </c>
      <c r="X2738" s="1" t="str">
        <f>IF(Table1[[#This Row],[DUT Read]]="","N/A",Table1[[#This Row],[Std Error]]+Table1[[#This Row],[DUT Read]]+Table1[[#This Row],[DUT Ucty]])</f>
        <v>N/A</v>
      </c>
      <c r="Y2738" s="1" t="str">
        <f>IF(Table1[[#This Row],[Std Read]]="","N/A",Table1[[#This Row],[Std Read]]+Table1[[#This Row],[Std Ucty]])</f>
        <v>N/A</v>
      </c>
      <c r="Z27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8" s="1" t="str">
        <f>IF(Table1[[#This Row],[Spec Type]]="","N/A",Table1[[#This Row],[Spec Type]])</f>
        <v>±</v>
      </c>
      <c r="AC2738" s="1" t="str">
        <f>IF(Table1[[#This Row],[Spec Type2]]="N/A","N/A",IF(AND(Table1[[#This Row],[DUT Adj Read]]&gt;=Table1[[#This Row],[Low Tol]],Table1[[#This Row],[DUT Adj Read]]&lt;=Table1[[#This Row],[High Tol]]),"Pass","Fail"))</f>
        <v>Fail</v>
      </c>
      <c r="AD2738" s="1" t="str">
        <f>IF(AND(Table1[[#This Row],[Spec Type2]]="N/A",Table1[[#This Row],[DUT Adj Read]]="N/A",Table1[[#This Row],[Std Adj Read]]="N/A"),"N/A",IF(Table1[[#This Row],[DUT Adj Read]]="N/A",IF(Table1[[#This Row],[Std Adj Read]]&gt;Table1[[#This Row],[Low Tol]],"Pass","Fail"),IF(Table1[[#This Row],[DUT Adj Read]]&gt;Table1[[#This Row],[Low Tol]],"Pass","Fail")))</f>
        <v>Pass</v>
      </c>
      <c r="AE2738" s="1" t="str">
        <f>IF(AND(Table1[[#This Row],[Spec Type2]]="N/A",Table1[[#This Row],[DUT Adj Read]]="N/A",Table1[[#This Row],[Std Adj Read]]="N/A"),"N/A",IF(Table1[[#This Row],[DUT Adj Read]]="N/A",IF(Table1[[#This Row],[Std Adj Read]]&lt;Table1[[#This Row],[High Tol]],"Pass","Fail"),IF(Table1[[#This Row],[DUT Adj Read]]&lt;Table1[[#This Row],[High Tol]],"Pass","Fail")))</f>
        <v>Fail</v>
      </c>
      <c r="AF2738" s="1" t="str">
        <f>IF(AND(Table1[[#This Row],[Spec Type2]]="N/A",Table1[[#This Row],[DUT Adj Read]]="N/A",Table1[[#This Row],[Std Adj Read]]="N/A"),"N/A",IF(Table1[[#This Row],[DUT Adj Read]]="N/A",IF(Table1[[#This Row],[Std Adj Read]]&gt;=Table1[[#This Row],[Low Tol]],"Pass","Fail"),IF(Table1[[#This Row],[DUT Adj Read]]&gt;=Table1[[#This Row],[Low Tol]],"Pass","Fail")))</f>
        <v>Pass</v>
      </c>
      <c r="AG2738" s="1" t="str">
        <f>IF(AND(Table1[[#This Row],[Spec Type2]]="N/A",Table1[[#This Row],[DUT Adj Read]]="N/A",Table1[[#This Row],[Std Adj Read]]="N/A"),"N/A",IF(Table1[[#This Row],[DUT Adj Read]]="N/A",IF(Table1[[#This Row],[Std Adj Read]]&lt;=Table1[[#This Row],[High Tol]],"Pass","Fail"),IF(Table1[[#This Row],[DUT Adj Read]]&lt;=Table1[[#This Row],[High Tol]],"Pass","Fail")))</f>
        <v>Fail</v>
      </c>
      <c r="AH27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8" s="1" t="b">
        <v>0</v>
      </c>
      <c r="AN2738" s="1" t="b">
        <v>0</v>
      </c>
      <c r="AO2738" s="1" t="b">
        <v>0</v>
      </c>
    </row>
    <row r="2739" spans="1:41" x14ac:dyDescent="0.25">
      <c r="A2739" s="10"/>
      <c r="B2739" s="10"/>
      <c r="C2739" s="10"/>
      <c r="D2739" s="10"/>
      <c r="E2739" s="10"/>
      <c r="F2739" s="10"/>
      <c r="G2739" s="10"/>
      <c r="H2739" s="10"/>
      <c r="I2739" s="1" t="str">
        <f t="shared" si="126"/>
        <v/>
      </c>
      <c r="J2739" s="1" t="s">
        <v>35</v>
      </c>
      <c r="K2739" s="1" t="str">
        <f t="shared" si="127"/>
        <v/>
      </c>
      <c r="L2739" s="1" t="str">
        <f t="shared" si="128"/>
        <v/>
      </c>
      <c r="M2739" s="1">
        <f>IF(OR(Table1[[#This Row],[Std Nom]]="",Table1[[#This Row],[Std Read]]=""),0,Table1[[#This Row],[Std Nom]]-Table1[[#This Row],[Std Read]])</f>
        <v>0</v>
      </c>
      <c r="N2739" s="1">
        <f>IF(Calculations!$F$5="ACCREDITED 17025 WITH UNCERTAINTIES",$N$10,0)</f>
        <v>0</v>
      </c>
      <c r="Q2739" s="1">
        <f>Table1[[#This Row],[High Tol]]-Table1[[#This Row],[Low Tol]]</f>
        <v>0</v>
      </c>
      <c r="R2739" s="1">
        <f>2*Table1[[#This Row],[Std Error]]</f>
        <v>0</v>
      </c>
      <c r="S2739" s="1" t="str">
        <f>IF(Table1[[#This Row],[High Tol]]="","N/A",IFERROR(ABS(Table1[[#This Row],[Tol Span]]/Table1[[#This Row],[Error Span]]),"N/A"))</f>
        <v>N/A</v>
      </c>
      <c r="T2739" s="1" t="str">
        <f>IF(OR(Table1[[#This Row],[Low Tol]]="",Table1[[#This Row],[High Tol]]=""),"Needs Analysis",IF(Table1[[#This Row],[Ratio]]&gt;=4,"Not Significant",IF(Table1[[#This Row],[Ratio]]&gt;=2,"Semi-Significant","Significant")))</f>
        <v>Needs Analysis</v>
      </c>
      <c r="W2739" s="1">
        <f>IF(Table1[[#This Row],[Cal Type]]&lt;&gt;"ACCREDITED 17025 WITH UNCERTAINTIES",0,"")</f>
        <v>0</v>
      </c>
      <c r="X2739" s="1" t="str">
        <f>IF(Table1[[#This Row],[DUT Read]]="","N/A",Table1[[#This Row],[Std Error]]+Table1[[#This Row],[DUT Read]]+Table1[[#This Row],[DUT Ucty]])</f>
        <v>N/A</v>
      </c>
      <c r="Y2739" s="1" t="str">
        <f>IF(Table1[[#This Row],[Std Read]]="","N/A",Table1[[#This Row],[Std Read]]+Table1[[#This Row],[Std Ucty]])</f>
        <v>N/A</v>
      </c>
      <c r="Z27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39" s="1" t="str">
        <f>IF(Table1[[#This Row],[Spec Type]]="","N/A",Table1[[#This Row],[Spec Type]])</f>
        <v>±</v>
      </c>
      <c r="AC2739" s="1" t="str">
        <f>IF(Table1[[#This Row],[Spec Type2]]="N/A","N/A",IF(AND(Table1[[#This Row],[DUT Adj Read]]&gt;=Table1[[#This Row],[Low Tol]],Table1[[#This Row],[DUT Adj Read]]&lt;=Table1[[#This Row],[High Tol]]),"Pass","Fail"))</f>
        <v>Fail</v>
      </c>
      <c r="AD2739" s="1" t="str">
        <f>IF(AND(Table1[[#This Row],[Spec Type2]]="N/A",Table1[[#This Row],[DUT Adj Read]]="N/A",Table1[[#This Row],[Std Adj Read]]="N/A"),"N/A",IF(Table1[[#This Row],[DUT Adj Read]]="N/A",IF(Table1[[#This Row],[Std Adj Read]]&gt;Table1[[#This Row],[Low Tol]],"Pass","Fail"),IF(Table1[[#This Row],[DUT Adj Read]]&gt;Table1[[#This Row],[Low Tol]],"Pass","Fail")))</f>
        <v>Pass</v>
      </c>
      <c r="AE2739" s="1" t="str">
        <f>IF(AND(Table1[[#This Row],[Spec Type2]]="N/A",Table1[[#This Row],[DUT Adj Read]]="N/A",Table1[[#This Row],[Std Adj Read]]="N/A"),"N/A",IF(Table1[[#This Row],[DUT Adj Read]]="N/A",IF(Table1[[#This Row],[Std Adj Read]]&lt;Table1[[#This Row],[High Tol]],"Pass","Fail"),IF(Table1[[#This Row],[DUT Adj Read]]&lt;Table1[[#This Row],[High Tol]],"Pass","Fail")))</f>
        <v>Fail</v>
      </c>
      <c r="AF2739" s="1" t="str">
        <f>IF(AND(Table1[[#This Row],[Spec Type2]]="N/A",Table1[[#This Row],[DUT Adj Read]]="N/A",Table1[[#This Row],[Std Adj Read]]="N/A"),"N/A",IF(Table1[[#This Row],[DUT Adj Read]]="N/A",IF(Table1[[#This Row],[Std Adj Read]]&gt;=Table1[[#This Row],[Low Tol]],"Pass","Fail"),IF(Table1[[#This Row],[DUT Adj Read]]&gt;=Table1[[#This Row],[Low Tol]],"Pass","Fail")))</f>
        <v>Pass</v>
      </c>
      <c r="AG2739" s="1" t="str">
        <f>IF(AND(Table1[[#This Row],[Spec Type2]]="N/A",Table1[[#This Row],[DUT Adj Read]]="N/A",Table1[[#This Row],[Std Adj Read]]="N/A"),"N/A",IF(Table1[[#This Row],[DUT Adj Read]]="N/A",IF(Table1[[#This Row],[Std Adj Read]]&lt;=Table1[[#This Row],[High Tol]],"Pass","Fail"),IF(Table1[[#This Row],[DUT Adj Read]]&lt;=Table1[[#This Row],[High Tol]],"Pass","Fail")))</f>
        <v>Fail</v>
      </c>
      <c r="AH27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39" s="1" t="b">
        <v>0</v>
      </c>
      <c r="AN2739" s="1" t="b">
        <v>0</v>
      </c>
      <c r="AO2739" s="1" t="b">
        <v>0</v>
      </c>
    </row>
    <row r="2740" spans="1:41" x14ac:dyDescent="0.25">
      <c r="A2740" s="10"/>
      <c r="B2740" s="10"/>
      <c r="C2740" s="10"/>
      <c r="D2740" s="10"/>
      <c r="E2740" s="10"/>
      <c r="F2740" s="10"/>
      <c r="G2740" s="10"/>
      <c r="H2740" s="10"/>
      <c r="I2740" s="1" t="str">
        <f t="shared" si="126"/>
        <v/>
      </c>
      <c r="J2740" s="1" t="s">
        <v>35</v>
      </c>
      <c r="K2740" s="1" t="str">
        <f t="shared" si="127"/>
        <v/>
      </c>
      <c r="L2740" s="1" t="str">
        <f t="shared" si="128"/>
        <v/>
      </c>
      <c r="M2740" s="1">
        <f>IF(OR(Table1[[#This Row],[Std Nom]]="",Table1[[#This Row],[Std Read]]=""),0,Table1[[#This Row],[Std Nom]]-Table1[[#This Row],[Std Read]])</f>
        <v>0</v>
      </c>
      <c r="N2740" s="1">
        <f>IF(Calculations!$F$5="ACCREDITED 17025 WITH UNCERTAINTIES",$N$10,0)</f>
        <v>0</v>
      </c>
      <c r="Q2740" s="1">
        <f>Table1[[#This Row],[High Tol]]-Table1[[#This Row],[Low Tol]]</f>
        <v>0</v>
      </c>
      <c r="R2740" s="1">
        <f>2*Table1[[#This Row],[Std Error]]</f>
        <v>0</v>
      </c>
      <c r="S2740" s="1" t="str">
        <f>IF(Table1[[#This Row],[High Tol]]="","N/A",IFERROR(ABS(Table1[[#This Row],[Tol Span]]/Table1[[#This Row],[Error Span]]),"N/A"))</f>
        <v>N/A</v>
      </c>
      <c r="T2740" s="1" t="str">
        <f>IF(OR(Table1[[#This Row],[Low Tol]]="",Table1[[#This Row],[High Tol]]=""),"Needs Analysis",IF(Table1[[#This Row],[Ratio]]&gt;=4,"Not Significant",IF(Table1[[#This Row],[Ratio]]&gt;=2,"Semi-Significant","Significant")))</f>
        <v>Needs Analysis</v>
      </c>
      <c r="W2740" s="1">
        <f>IF(Table1[[#This Row],[Cal Type]]&lt;&gt;"ACCREDITED 17025 WITH UNCERTAINTIES",0,"")</f>
        <v>0</v>
      </c>
      <c r="X2740" s="1" t="str">
        <f>IF(Table1[[#This Row],[DUT Read]]="","N/A",Table1[[#This Row],[Std Error]]+Table1[[#This Row],[DUT Read]]+Table1[[#This Row],[DUT Ucty]])</f>
        <v>N/A</v>
      </c>
      <c r="Y2740" s="1" t="str">
        <f>IF(Table1[[#This Row],[Std Read]]="","N/A",Table1[[#This Row],[Std Read]]+Table1[[#This Row],[Std Ucty]])</f>
        <v>N/A</v>
      </c>
      <c r="Z27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0" s="1" t="str">
        <f>IF(Table1[[#This Row],[Spec Type]]="","N/A",Table1[[#This Row],[Spec Type]])</f>
        <v>±</v>
      </c>
      <c r="AC2740" s="1" t="str">
        <f>IF(Table1[[#This Row],[Spec Type2]]="N/A","N/A",IF(AND(Table1[[#This Row],[DUT Adj Read]]&gt;=Table1[[#This Row],[Low Tol]],Table1[[#This Row],[DUT Adj Read]]&lt;=Table1[[#This Row],[High Tol]]),"Pass","Fail"))</f>
        <v>Fail</v>
      </c>
      <c r="AD2740" s="1" t="str">
        <f>IF(AND(Table1[[#This Row],[Spec Type2]]="N/A",Table1[[#This Row],[DUT Adj Read]]="N/A",Table1[[#This Row],[Std Adj Read]]="N/A"),"N/A",IF(Table1[[#This Row],[DUT Adj Read]]="N/A",IF(Table1[[#This Row],[Std Adj Read]]&gt;Table1[[#This Row],[Low Tol]],"Pass","Fail"),IF(Table1[[#This Row],[DUT Adj Read]]&gt;Table1[[#This Row],[Low Tol]],"Pass","Fail")))</f>
        <v>Pass</v>
      </c>
      <c r="AE2740" s="1" t="str">
        <f>IF(AND(Table1[[#This Row],[Spec Type2]]="N/A",Table1[[#This Row],[DUT Adj Read]]="N/A",Table1[[#This Row],[Std Adj Read]]="N/A"),"N/A",IF(Table1[[#This Row],[DUT Adj Read]]="N/A",IF(Table1[[#This Row],[Std Adj Read]]&lt;Table1[[#This Row],[High Tol]],"Pass","Fail"),IF(Table1[[#This Row],[DUT Adj Read]]&lt;Table1[[#This Row],[High Tol]],"Pass","Fail")))</f>
        <v>Fail</v>
      </c>
      <c r="AF2740" s="1" t="str">
        <f>IF(AND(Table1[[#This Row],[Spec Type2]]="N/A",Table1[[#This Row],[DUT Adj Read]]="N/A",Table1[[#This Row],[Std Adj Read]]="N/A"),"N/A",IF(Table1[[#This Row],[DUT Adj Read]]="N/A",IF(Table1[[#This Row],[Std Adj Read]]&gt;=Table1[[#This Row],[Low Tol]],"Pass","Fail"),IF(Table1[[#This Row],[DUT Adj Read]]&gt;=Table1[[#This Row],[Low Tol]],"Pass","Fail")))</f>
        <v>Pass</v>
      </c>
      <c r="AG2740" s="1" t="str">
        <f>IF(AND(Table1[[#This Row],[Spec Type2]]="N/A",Table1[[#This Row],[DUT Adj Read]]="N/A",Table1[[#This Row],[Std Adj Read]]="N/A"),"N/A",IF(Table1[[#This Row],[DUT Adj Read]]="N/A",IF(Table1[[#This Row],[Std Adj Read]]&lt;=Table1[[#This Row],[High Tol]],"Pass","Fail"),IF(Table1[[#This Row],[DUT Adj Read]]&lt;=Table1[[#This Row],[High Tol]],"Pass","Fail")))</f>
        <v>Fail</v>
      </c>
      <c r="AH27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0" s="1" t="b">
        <v>0</v>
      </c>
      <c r="AN2740" s="1" t="b">
        <v>0</v>
      </c>
      <c r="AO2740" s="1" t="b">
        <v>0</v>
      </c>
    </row>
    <row r="2741" spans="1:41" x14ac:dyDescent="0.25">
      <c r="A2741" s="10"/>
      <c r="B2741" s="10"/>
      <c r="C2741" s="10"/>
      <c r="D2741" s="10"/>
      <c r="E2741" s="10"/>
      <c r="F2741" s="10"/>
      <c r="G2741" s="10"/>
      <c r="H2741" s="10"/>
      <c r="I2741" s="1" t="str">
        <f t="shared" si="126"/>
        <v/>
      </c>
      <c r="J2741" s="1" t="s">
        <v>35</v>
      </c>
      <c r="K2741" s="1" t="str">
        <f t="shared" si="127"/>
        <v/>
      </c>
      <c r="L2741" s="1" t="str">
        <f t="shared" si="128"/>
        <v/>
      </c>
      <c r="M2741" s="1">
        <f>IF(OR(Table1[[#This Row],[Std Nom]]="",Table1[[#This Row],[Std Read]]=""),0,Table1[[#This Row],[Std Nom]]-Table1[[#This Row],[Std Read]])</f>
        <v>0</v>
      </c>
      <c r="N2741" s="1">
        <f>IF(Calculations!$F$5="ACCREDITED 17025 WITH UNCERTAINTIES",$N$10,0)</f>
        <v>0</v>
      </c>
      <c r="Q2741" s="1">
        <f>Table1[[#This Row],[High Tol]]-Table1[[#This Row],[Low Tol]]</f>
        <v>0</v>
      </c>
      <c r="R2741" s="1">
        <f>2*Table1[[#This Row],[Std Error]]</f>
        <v>0</v>
      </c>
      <c r="S2741" s="1" t="str">
        <f>IF(Table1[[#This Row],[High Tol]]="","N/A",IFERROR(ABS(Table1[[#This Row],[Tol Span]]/Table1[[#This Row],[Error Span]]),"N/A"))</f>
        <v>N/A</v>
      </c>
      <c r="T2741" s="1" t="str">
        <f>IF(OR(Table1[[#This Row],[Low Tol]]="",Table1[[#This Row],[High Tol]]=""),"Needs Analysis",IF(Table1[[#This Row],[Ratio]]&gt;=4,"Not Significant",IF(Table1[[#This Row],[Ratio]]&gt;=2,"Semi-Significant","Significant")))</f>
        <v>Needs Analysis</v>
      </c>
      <c r="W2741" s="1">
        <f>IF(Table1[[#This Row],[Cal Type]]&lt;&gt;"ACCREDITED 17025 WITH UNCERTAINTIES",0,"")</f>
        <v>0</v>
      </c>
      <c r="X2741" s="1" t="str">
        <f>IF(Table1[[#This Row],[DUT Read]]="","N/A",Table1[[#This Row],[Std Error]]+Table1[[#This Row],[DUT Read]]+Table1[[#This Row],[DUT Ucty]])</f>
        <v>N/A</v>
      </c>
      <c r="Y2741" s="1" t="str">
        <f>IF(Table1[[#This Row],[Std Read]]="","N/A",Table1[[#This Row],[Std Read]]+Table1[[#This Row],[Std Ucty]])</f>
        <v>N/A</v>
      </c>
      <c r="Z27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1" s="1" t="str">
        <f>IF(Table1[[#This Row],[Spec Type]]="","N/A",Table1[[#This Row],[Spec Type]])</f>
        <v>±</v>
      </c>
      <c r="AC2741" s="1" t="str">
        <f>IF(Table1[[#This Row],[Spec Type2]]="N/A","N/A",IF(AND(Table1[[#This Row],[DUT Adj Read]]&gt;=Table1[[#This Row],[Low Tol]],Table1[[#This Row],[DUT Adj Read]]&lt;=Table1[[#This Row],[High Tol]]),"Pass","Fail"))</f>
        <v>Fail</v>
      </c>
      <c r="AD2741" s="1" t="str">
        <f>IF(AND(Table1[[#This Row],[Spec Type2]]="N/A",Table1[[#This Row],[DUT Adj Read]]="N/A",Table1[[#This Row],[Std Adj Read]]="N/A"),"N/A",IF(Table1[[#This Row],[DUT Adj Read]]="N/A",IF(Table1[[#This Row],[Std Adj Read]]&gt;Table1[[#This Row],[Low Tol]],"Pass","Fail"),IF(Table1[[#This Row],[DUT Adj Read]]&gt;Table1[[#This Row],[Low Tol]],"Pass","Fail")))</f>
        <v>Pass</v>
      </c>
      <c r="AE2741" s="1" t="str">
        <f>IF(AND(Table1[[#This Row],[Spec Type2]]="N/A",Table1[[#This Row],[DUT Adj Read]]="N/A",Table1[[#This Row],[Std Adj Read]]="N/A"),"N/A",IF(Table1[[#This Row],[DUT Adj Read]]="N/A",IF(Table1[[#This Row],[Std Adj Read]]&lt;Table1[[#This Row],[High Tol]],"Pass","Fail"),IF(Table1[[#This Row],[DUT Adj Read]]&lt;Table1[[#This Row],[High Tol]],"Pass","Fail")))</f>
        <v>Fail</v>
      </c>
      <c r="AF2741" s="1" t="str">
        <f>IF(AND(Table1[[#This Row],[Spec Type2]]="N/A",Table1[[#This Row],[DUT Adj Read]]="N/A",Table1[[#This Row],[Std Adj Read]]="N/A"),"N/A",IF(Table1[[#This Row],[DUT Adj Read]]="N/A",IF(Table1[[#This Row],[Std Adj Read]]&gt;=Table1[[#This Row],[Low Tol]],"Pass","Fail"),IF(Table1[[#This Row],[DUT Adj Read]]&gt;=Table1[[#This Row],[Low Tol]],"Pass","Fail")))</f>
        <v>Pass</v>
      </c>
      <c r="AG2741" s="1" t="str">
        <f>IF(AND(Table1[[#This Row],[Spec Type2]]="N/A",Table1[[#This Row],[DUT Adj Read]]="N/A",Table1[[#This Row],[Std Adj Read]]="N/A"),"N/A",IF(Table1[[#This Row],[DUT Adj Read]]="N/A",IF(Table1[[#This Row],[Std Adj Read]]&lt;=Table1[[#This Row],[High Tol]],"Pass","Fail"),IF(Table1[[#This Row],[DUT Adj Read]]&lt;=Table1[[#This Row],[High Tol]],"Pass","Fail")))</f>
        <v>Fail</v>
      </c>
      <c r="AH27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1" s="1" t="b">
        <v>0</v>
      </c>
      <c r="AN2741" s="1" t="b">
        <v>0</v>
      </c>
      <c r="AO2741" s="1" t="b">
        <v>0</v>
      </c>
    </row>
    <row r="2742" spans="1:41" x14ac:dyDescent="0.25">
      <c r="A2742" s="10"/>
      <c r="B2742" s="10"/>
      <c r="C2742" s="10"/>
      <c r="D2742" s="10"/>
      <c r="E2742" s="10"/>
      <c r="F2742" s="10"/>
      <c r="G2742" s="10"/>
      <c r="H2742" s="10"/>
      <c r="I2742" s="1" t="str">
        <f t="shared" si="126"/>
        <v/>
      </c>
      <c r="J2742" s="1" t="s">
        <v>35</v>
      </c>
      <c r="K2742" s="1" t="str">
        <f t="shared" si="127"/>
        <v/>
      </c>
      <c r="L2742" s="1" t="str">
        <f t="shared" si="128"/>
        <v/>
      </c>
      <c r="M2742" s="1">
        <f>IF(OR(Table1[[#This Row],[Std Nom]]="",Table1[[#This Row],[Std Read]]=""),0,Table1[[#This Row],[Std Nom]]-Table1[[#This Row],[Std Read]])</f>
        <v>0</v>
      </c>
      <c r="N2742" s="1">
        <f>IF(Calculations!$F$5="ACCREDITED 17025 WITH UNCERTAINTIES",$N$10,0)</f>
        <v>0</v>
      </c>
      <c r="Q2742" s="1">
        <f>Table1[[#This Row],[High Tol]]-Table1[[#This Row],[Low Tol]]</f>
        <v>0</v>
      </c>
      <c r="R2742" s="1">
        <f>2*Table1[[#This Row],[Std Error]]</f>
        <v>0</v>
      </c>
      <c r="S2742" s="1" t="str">
        <f>IF(Table1[[#This Row],[High Tol]]="","N/A",IFERROR(ABS(Table1[[#This Row],[Tol Span]]/Table1[[#This Row],[Error Span]]),"N/A"))</f>
        <v>N/A</v>
      </c>
      <c r="T2742" s="1" t="str">
        <f>IF(OR(Table1[[#This Row],[Low Tol]]="",Table1[[#This Row],[High Tol]]=""),"Needs Analysis",IF(Table1[[#This Row],[Ratio]]&gt;=4,"Not Significant",IF(Table1[[#This Row],[Ratio]]&gt;=2,"Semi-Significant","Significant")))</f>
        <v>Needs Analysis</v>
      </c>
      <c r="W2742" s="1">
        <f>IF(Table1[[#This Row],[Cal Type]]&lt;&gt;"ACCREDITED 17025 WITH UNCERTAINTIES",0,"")</f>
        <v>0</v>
      </c>
      <c r="X2742" s="1" t="str">
        <f>IF(Table1[[#This Row],[DUT Read]]="","N/A",Table1[[#This Row],[Std Error]]+Table1[[#This Row],[DUT Read]]+Table1[[#This Row],[DUT Ucty]])</f>
        <v>N/A</v>
      </c>
      <c r="Y2742" s="1" t="str">
        <f>IF(Table1[[#This Row],[Std Read]]="","N/A",Table1[[#This Row],[Std Read]]+Table1[[#This Row],[Std Ucty]])</f>
        <v>N/A</v>
      </c>
      <c r="Z27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2" s="1" t="str">
        <f>IF(Table1[[#This Row],[Spec Type]]="","N/A",Table1[[#This Row],[Spec Type]])</f>
        <v>±</v>
      </c>
      <c r="AC2742" s="1" t="str">
        <f>IF(Table1[[#This Row],[Spec Type2]]="N/A","N/A",IF(AND(Table1[[#This Row],[DUT Adj Read]]&gt;=Table1[[#This Row],[Low Tol]],Table1[[#This Row],[DUT Adj Read]]&lt;=Table1[[#This Row],[High Tol]]),"Pass","Fail"))</f>
        <v>Fail</v>
      </c>
      <c r="AD2742" s="1" t="str">
        <f>IF(AND(Table1[[#This Row],[Spec Type2]]="N/A",Table1[[#This Row],[DUT Adj Read]]="N/A",Table1[[#This Row],[Std Adj Read]]="N/A"),"N/A",IF(Table1[[#This Row],[DUT Adj Read]]="N/A",IF(Table1[[#This Row],[Std Adj Read]]&gt;Table1[[#This Row],[Low Tol]],"Pass","Fail"),IF(Table1[[#This Row],[DUT Adj Read]]&gt;Table1[[#This Row],[Low Tol]],"Pass","Fail")))</f>
        <v>Pass</v>
      </c>
      <c r="AE2742" s="1" t="str">
        <f>IF(AND(Table1[[#This Row],[Spec Type2]]="N/A",Table1[[#This Row],[DUT Adj Read]]="N/A",Table1[[#This Row],[Std Adj Read]]="N/A"),"N/A",IF(Table1[[#This Row],[DUT Adj Read]]="N/A",IF(Table1[[#This Row],[Std Adj Read]]&lt;Table1[[#This Row],[High Tol]],"Pass","Fail"),IF(Table1[[#This Row],[DUT Adj Read]]&lt;Table1[[#This Row],[High Tol]],"Pass","Fail")))</f>
        <v>Fail</v>
      </c>
      <c r="AF2742" s="1" t="str">
        <f>IF(AND(Table1[[#This Row],[Spec Type2]]="N/A",Table1[[#This Row],[DUT Adj Read]]="N/A",Table1[[#This Row],[Std Adj Read]]="N/A"),"N/A",IF(Table1[[#This Row],[DUT Adj Read]]="N/A",IF(Table1[[#This Row],[Std Adj Read]]&gt;=Table1[[#This Row],[Low Tol]],"Pass","Fail"),IF(Table1[[#This Row],[DUT Adj Read]]&gt;=Table1[[#This Row],[Low Tol]],"Pass","Fail")))</f>
        <v>Pass</v>
      </c>
      <c r="AG2742" s="1" t="str">
        <f>IF(AND(Table1[[#This Row],[Spec Type2]]="N/A",Table1[[#This Row],[DUT Adj Read]]="N/A",Table1[[#This Row],[Std Adj Read]]="N/A"),"N/A",IF(Table1[[#This Row],[DUT Adj Read]]="N/A",IF(Table1[[#This Row],[Std Adj Read]]&lt;=Table1[[#This Row],[High Tol]],"Pass","Fail"),IF(Table1[[#This Row],[DUT Adj Read]]&lt;=Table1[[#This Row],[High Tol]],"Pass","Fail")))</f>
        <v>Fail</v>
      </c>
      <c r="AH27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2" s="1" t="b">
        <v>0</v>
      </c>
      <c r="AN2742" s="1" t="b">
        <v>0</v>
      </c>
      <c r="AO2742" s="1" t="b">
        <v>0</v>
      </c>
    </row>
    <row r="2743" spans="1:41" x14ac:dyDescent="0.25">
      <c r="A2743" s="10"/>
      <c r="B2743" s="10"/>
      <c r="C2743" s="10"/>
      <c r="D2743" s="10"/>
      <c r="E2743" s="10"/>
      <c r="F2743" s="10"/>
      <c r="G2743" s="10"/>
      <c r="H2743" s="10"/>
      <c r="I2743" s="1" t="str">
        <f t="shared" si="126"/>
        <v/>
      </c>
      <c r="J2743" s="1" t="s">
        <v>35</v>
      </c>
      <c r="K2743" s="1" t="str">
        <f t="shared" si="127"/>
        <v/>
      </c>
      <c r="L2743" s="1" t="str">
        <f t="shared" si="128"/>
        <v/>
      </c>
      <c r="M2743" s="1">
        <f>IF(OR(Table1[[#This Row],[Std Nom]]="",Table1[[#This Row],[Std Read]]=""),0,Table1[[#This Row],[Std Nom]]-Table1[[#This Row],[Std Read]])</f>
        <v>0</v>
      </c>
      <c r="N2743" s="1">
        <f>IF(Calculations!$F$5="ACCREDITED 17025 WITH UNCERTAINTIES",$N$10,0)</f>
        <v>0</v>
      </c>
      <c r="Q2743" s="1">
        <f>Table1[[#This Row],[High Tol]]-Table1[[#This Row],[Low Tol]]</f>
        <v>0</v>
      </c>
      <c r="R2743" s="1">
        <f>2*Table1[[#This Row],[Std Error]]</f>
        <v>0</v>
      </c>
      <c r="S2743" s="1" t="str">
        <f>IF(Table1[[#This Row],[High Tol]]="","N/A",IFERROR(ABS(Table1[[#This Row],[Tol Span]]/Table1[[#This Row],[Error Span]]),"N/A"))</f>
        <v>N/A</v>
      </c>
      <c r="T2743" s="1" t="str">
        <f>IF(OR(Table1[[#This Row],[Low Tol]]="",Table1[[#This Row],[High Tol]]=""),"Needs Analysis",IF(Table1[[#This Row],[Ratio]]&gt;=4,"Not Significant",IF(Table1[[#This Row],[Ratio]]&gt;=2,"Semi-Significant","Significant")))</f>
        <v>Needs Analysis</v>
      </c>
      <c r="W2743" s="1">
        <f>IF(Table1[[#This Row],[Cal Type]]&lt;&gt;"ACCREDITED 17025 WITH UNCERTAINTIES",0,"")</f>
        <v>0</v>
      </c>
      <c r="X2743" s="1" t="str">
        <f>IF(Table1[[#This Row],[DUT Read]]="","N/A",Table1[[#This Row],[Std Error]]+Table1[[#This Row],[DUT Read]]+Table1[[#This Row],[DUT Ucty]])</f>
        <v>N/A</v>
      </c>
      <c r="Y2743" s="1" t="str">
        <f>IF(Table1[[#This Row],[Std Read]]="","N/A",Table1[[#This Row],[Std Read]]+Table1[[#This Row],[Std Ucty]])</f>
        <v>N/A</v>
      </c>
      <c r="Z27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3" s="1" t="str">
        <f>IF(Table1[[#This Row],[Spec Type]]="","N/A",Table1[[#This Row],[Spec Type]])</f>
        <v>±</v>
      </c>
      <c r="AC2743" s="1" t="str">
        <f>IF(Table1[[#This Row],[Spec Type2]]="N/A","N/A",IF(AND(Table1[[#This Row],[DUT Adj Read]]&gt;=Table1[[#This Row],[Low Tol]],Table1[[#This Row],[DUT Adj Read]]&lt;=Table1[[#This Row],[High Tol]]),"Pass","Fail"))</f>
        <v>Fail</v>
      </c>
      <c r="AD2743" s="1" t="str">
        <f>IF(AND(Table1[[#This Row],[Spec Type2]]="N/A",Table1[[#This Row],[DUT Adj Read]]="N/A",Table1[[#This Row],[Std Adj Read]]="N/A"),"N/A",IF(Table1[[#This Row],[DUT Adj Read]]="N/A",IF(Table1[[#This Row],[Std Adj Read]]&gt;Table1[[#This Row],[Low Tol]],"Pass","Fail"),IF(Table1[[#This Row],[DUT Adj Read]]&gt;Table1[[#This Row],[Low Tol]],"Pass","Fail")))</f>
        <v>Pass</v>
      </c>
      <c r="AE2743" s="1" t="str">
        <f>IF(AND(Table1[[#This Row],[Spec Type2]]="N/A",Table1[[#This Row],[DUT Adj Read]]="N/A",Table1[[#This Row],[Std Adj Read]]="N/A"),"N/A",IF(Table1[[#This Row],[DUT Adj Read]]="N/A",IF(Table1[[#This Row],[Std Adj Read]]&lt;Table1[[#This Row],[High Tol]],"Pass","Fail"),IF(Table1[[#This Row],[DUT Adj Read]]&lt;Table1[[#This Row],[High Tol]],"Pass","Fail")))</f>
        <v>Fail</v>
      </c>
      <c r="AF2743" s="1" t="str">
        <f>IF(AND(Table1[[#This Row],[Spec Type2]]="N/A",Table1[[#This Row],[DUT Adj Read]]="N/A",Table1[[#This Row],[Std Adj Read]]="N/A"),"N/A",IF(Table1[[#This Row],[DUT Adj Read]]="N/A",IF(Table1[[#This Row],[Std Adj Read]]&gt;=Table1[[#This Row],[Low Tol]],"Pass","Fail"),IF(Table1[[#This Row],[DUT Adj Read]]&gt;=Table1[[#This Row],[Low Tol]],"Pass","Fail")))</f>
        <v>Pass</v>
      </c>
      <c r="AG2743" s="1" t="str">
        <f>IF(AND(Table1[[#This Row],[Spec Type2]]="N/A",Table1[[#This Row],[DUT Adj Read]]="N/A",Table1[[#This Row],[Std Adj Read]]="N/A"),"N/A",IF(Table1[[#This Row],[DUT Adj Read]]="N/A",IF(Table1[[#This Row],[Std Adj Read]]&lt;=Table1[[#This Row],[High Tol]],"Pass","Fail"),IF(Table1[[#This Row],[DUT Adj Read]]&lt;=Table1[[#This Row],[High Tol]],"Pass","Fail")))</f>
        <v>Fail</v>
      </c>
      <c r="AH27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3" s="1" t="b">
        <v>0</v>
      </c>
      <c r="AN2743" s="1" t="b">
        <v>0</v>
      </c>
      <c r="AO2743" s="1" t="b">
        <v>0</v>
      </c>
    </row>
    <row r="2744" spans="1:41" x14ac:dyDescent="0.25">
      <c r="A2744" s="10"/>
      <c r="B2744" s="10"/>
      <c r="C2744" s="10"/>
      <c r="D2744" s="10"/>
      <c r="E2744" s="10"/>
      <c r="F2744" s="10"/>
      <c r="G2744" s="10"/>
      <c r="H2744" s="10"/>
      <c r="I2744" s="1" t="str">
        <f t="shared" si="126"/>
        <v/>
      </c>
      <c r="J2744" s="1" t="s">
        <v>35</v>
      </c>
      <c r="K2744" s="1" t="str">
        <f t="shared" si="127"/>
        <v/>
      </c>
      <c r="L2744" s="1" t="str">
        <f t="shared" si="128"/>
        <v/>
      </c>
      <c r="M2744" s="1">
        <f>IF(OR(Table1[[#This Row],[Std Nom]]="",Table1[[#This Row],[Std Read]]=""),0,Table1[[#This Row],[Std Nom]]-Table1[[#This Row],[Std Read]])</f>
        <v>0</v>
      </c>
      <c r="N2744" s="1">
        <f>IF(Calculations!$F$5="ACCREDITED 17025 WITH UNCERTAINTIES",$N$10,0)</f>
        <v>0</v>
      </c>
      <c r="Q2744" s="1">
        <f>Table1[[#This Row],[High Tol]]-Table1[[#This Row],[Low Tol]]</f>
        <v>0</v>
      </c>
      <c r="R2744" s="1">
        <f>2*Table1[[#This Row],[Std Error]]</f>
        <v>0</v>
      </c>
      <c r="S2744" s="1" t="str">
        <f>IF(Table1[[#This Row],[High Tol]]="","N/A",IFERROR(ABS(Table1[[#This Row],[Tol Span]]/Table1[[#This Row],[Error Span]]),"N/A"))</f>
        <v>N/A</v>
      </c>
      <c r="T2744" s="1" t="str">
        <f>IF(OR(Table1[[#This Row],[Low Tol]]="",Table1[[#This Row],[High Tol]]=""),"Needs Analysis",IF(Table1[[#This Row],[Ratio]]&gt;=4,"Not Significant",IF(Table1[[#This Row],[Ratio]]&gt;=2,"Semi-Significant","Significant")))</f>
        <v>Needs Analysis</v>
      </c>
      <c r="W2744" s="1">
        <f>IF(Table1[[#This Row],[Cal Type]]&lt;&gt;"ACCREDITED 17025 WITH UNCERTAINTIES",0,"")</f>
        <v>0</v>
      </c>
      <c r="X2744" s="1" t="str">
        <f>IF(Table1[[#This Row],[DUT Read]]="","N/A",Table1[[#This Row],[Std Error]]+Table1[[#This Row],[DUT Read]]+Table1[[#This Row],[DUT Ucty]])</f>
        <v>N/A</v>
      </c>
      <c r="Y2744" s="1" t="str">
        <f>IF(Table1[[#This Row],[Std Read]]="","N/A",Table1[[#This Row],[Std Read]]+Table1[[#This Row],[Std Ucty]])</f>
        <v>N/A</v>
      </c>
      <c r="Z27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4" s="1" t="str">
        <f>IF(Table1[[#This Row],[Spec Type]]="","N/A",Table1[[#This Row],[Spec Type]])</f>
        <v>±</v>
      </c>
      <c r="AC2744" s="1" t="str">
        <f>IF(Table1[[#This Row],[Spec Type2]]="N/A","N/A",IF(AND(Table1[[#This Row],[DUT Adj Read]]&gt;=Table1[[#This Row],[Low Tol]],Table1[[#This Row],[DUT Adj Read]]&lt;=Table1[[#This Row],[High Tol]]),"Pass","Fail"))</f>
        <v>Fail</v>
      </c>
      <c r="AD2744" s="1" t="str">
        <f>IF(AND(Table1[[#This Row],[Spec Type2]]="N/A",Table1[[#This Row],[DUT Adj Read]]="N/A",Table1[[#This Row],[Std Adj Read]]="N/A"),"N/A",IF(Table1[[#This Row],[DUT Adj Read]]="N/A",IF(Table1[[#This Row],[Std Adj Read]]&gt;Table1[[#This Row],[Low Tol]],"Pass","Fail"),IF(Table1[[#This Row],[DUT Adj Read]]&gt;Table1[[#This Row],[Low Tol]],"Pass","Fail")))</f>
        <v>Pass</v>
      </c>
      <c r="AE2744" s="1" t="str">
        <f>IF(AND(Table1[[#This Row],[Spec Type2]]="N/A",Table1[[#This Row],[DUT Adj Read]]="N/A",Table1[[#This Row],[Std Adj Read]]="N/A"),"N/A",IF(Table1[[#This Row],[DUT Adj Read]]="N/A",IF(Table1[[#This Row],[Std Adj Read]]&lt;Table1[[#This Row],[High Tol]],"Pass","Fail"),IF(Table1[[#This Row],[DUT Adj Read]]&lt;Table1[[#This Row],[High Tol]],"Pass","Fail")))</f>
        <v>Fail</v>
      </c>
      <c r="AF2744" s="1" t="str">
        <f>IF(AND(Table1[[#This Row],[Spec Type2]]="N/A",Table1[[#This Row],[DUT Adj Read]]="N/A",Table1[[#This Row],[Std Adj Read]]="N/A"),"N/A",IF(Table1[[#This Row],[DUT Adj Read]]="N/A",IF(Table1[[#This Row],[Std Adj Read]]&gt;=Table1[[#This Row],[Low Tol]],"Pass","Fail"),IF(Table1[[#This Row],[DUT Adj Read]]&gt;=Table1[[#This Row],[Low Tol]],"Pass","Fail")))</f>
        <v>Pass</v>
      </c>
      <c r="AG2744" s="1" t="str">
        <f>IF(AND(Table1[[#This Row],[Spec Type2]]="N/A",Table1[[#This Row],[DUT Adj Read]]="N/A",Table1[[#This Row],[Std Adj Read]]="N/A"),"N/A",IF(Table1[[#This Row],[DUT Adj Read]]="N/A",IF(Table1[[#This Row],[Std Adj Read]]&lt;=Table1[[#This Row],[High Tol]],"Pass","Fail"),IF(Table1[[#This Row],[DUT Adj Read]]&lt;=Table1[[#This Row],[High Tol]],"Pass","Fail")))</f>
        <v>Fail</v>
      </c>
      <c r="AH27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4" s="1" t="b">
        <v>0</v>
      </c>
      <c r="AN2744" s="1" t="b">
        <v>0</v>
      </c>
      <c r="AO2744" s="1" t="b">
        <v>0</v>
      </c>
    </row>
    <row r="2745" spans="1:41" x14ac:dyDescent="0.25">
      <c r="A2745" s="10"/>
      <c r="B2745" s="10"/>
      <c r="C2745" s="10"/>
      <c r="D2745" s="10"/>
      <c r="E2745" s="10"/>
      <c r="F2745" s="10"/>
      <c r="G2745" s="10"/>
      <c r="H2745" s="10"/>
      <c r="I2745" s="1" t="str">
        <f t="shared" si="126"/>
        <v/>
      </c>
      <c r="J2745" s="1" t="s">
        <v>35</v>
      </c>
      <c r="K2745" s="1" t="str">
        <f t="shared" si="127"/>
        <v/>
      </c>
      <c r="L2745" s="1" t="str">
        <f t="shared" si="128"/>
        <v/>
      </c>
      <c r="M2745" s="1">
        <f>IF(OR(Table1[[#This Row],[Std Nom]]="",Table1[[#This Row],[Std Read]]=""),0,Table1[[#This Row],[Std Nom]]-Table1[[#This Row],[Std Read]])</f>
        <v>0</v>
      </c>
      <c r="N2745" s="1">
        <f>IF(Calculations!$F$5="ACCREDITED 17025 WITH UNCERTAINTIES",$N$10,0)</f>
        <v>0</v>
      </c>
      <c r="Q2745" s="1">
        <f>Table1[[#This Row],[High Tol]]-Table1[[#This Row],[Low Tol]]</f>
        <v>0</v>
      </c>
      <c r="R2745" s="1">
        <f>2*Table1[[#This Row],[Std Error]]</f>
        <v>0</v>
      </c>
      <c r="S2745" s="1" t="str">
        <f>IF(Table1[[#This Row],[High Tol]]="","N/A",IFERROR(ABS(Table1[[#This Row],[Tol Span]]/Table1[[#This Row],[Error Span]]),"N/A"))</f>
        <v>N/A</v>
      </c>
      <c r="T2745" s="1" t="str">
        <f>IF(OR(Table1[[#This Row],[Low Tol]]="",Table1[[#This Row],[High Tol]]=""),"Needs Analysis",IF(Table1[[#This Row],[Ratio]]&gt;=4,"Not Significant",IF(Table1[[#This Row],[Ratio]]&gt;=2,"Semi-Significant","Significant")))</f>
        <v>Needs Analysis</v>
      </c>
      <c r="W2745" s="1">
        <f>IF(Table1[[#This Row],[Cal Type]]&lt;&gt;"ACCREDITED 17025 WITH UNCERTAINTIES",0,"")</f>
        <v>0</v>
      </c>
      <c r="X2745" s="1" t="str">
        <f>IF(Table1[[#This Row],[DUT Read]]="","N/A",Table1[[#This Row],[Std Error]]+Table1[[#This Row],[DUT Read]]+Table1[[#This Row],[DUT Ucty]])</f>
        <v>N/A</v>
      </c>
      <c r="Y2745" s="1" t="str">
        <f>IF(Table1[[#This Row],[Std Read]]="","N/A",Table1[[#This Row],[Std Read]]+Table1[[#This Row],[Std Ucty]])</f>
        <v>N/A</v>
      </c>
      <c r="Z27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5" s="1" t="str">
        <f>IF(Table1[[#This Row],[Spec Type]]="","N/A",Table1[[#This Row],[Spec Type]])</f>
        <v>±</v>
      </c>
      <c r="AC2745" s="1" t="str">
        <f>IF(Table1[[#This Row],[Spec Type2]]="N/A","N/A",IF(AND(Table1[[#This Row],[DUT Adj Read]]&gt;=Table1[[#This Row],[Low Tol]],Table1[[#This Row],[DUT Adj Read]]&lt;=Table1[[#This Row],[High Tol]]),"Pass","Fail"))</f>
        <v>Fail</v>
      </c>
      <c r="AD2745" s="1" t="str">
        <f>IF(AND(Table1[[#This Row],[Spec Type2]]="N/A",Table1[[#This Row],[DUT Adj Read]]="N/A",Table1[[#This Row],[Std Adj Read]]="N/A"),"N/A",IF(Table1[[#This Row],[DUT Adj Read]]="N/A",IF(Table1[[#This Row],[Std Adj Read]]&gt;Table1[[#This Row],[Low Tol]],"Pass","Fail"),IF(Table1[[#This Row],[DUT Adj Read]]&gt;Table1[[#This Row],[Low Tol]],"Pass","Fail")))</f>
        <v>Pass</v>
      </c>
      <c r="AE2745" s="1" t="str">
        <f>IF(AND(Table1[[#This Row],[Spec Type2]]="N/A",Table1[[#This Row],[DUT Adj Read]]="N/A",Table1[[#This Row],[Std Adj Read]]="N/A"),"N/A",IF(Table1[[#This Row],[DUT Adj Read]]="N/A",IF(Table1[[#This Row],[Std Adj Read]]&lt;Table1[[#This Row],[High Tol]],"Pass","Fail"),IF(Table1[[#This Row],[DUT Adj Read]]&lt;Table1[[#This Row],[High Tol]],"Pass","Fail")))</f>
        <v>Fail</v>
      </c>
      <c r="AF2745" s="1" t="str">
        <f>IF(AND(Table1[[#This Row],[Spec Type2]]="N/A",Table1[[#This Row],[DUT Adj Read]]="N/A",Table1[[#This Row],[Std Adj Read]]="N/A"),"N/A",IF(Table1[[#This Row],[DUT Adj Read]]="N/A",IF(Table1[[#This Row],[Std Adj Read]]&gt;=Table1[[#This Row],[Low Tol]],"Pass","Fail"),IF(Table1[[#This Row],[DUT Adj Read]]&gt;=Table1[[#This Row],[Low Tol]],"Pass","Fail")))</f>
        <v>Pass</v>
      </c>
      <c r="AG2745" s="1" t="str">
        <f>IF(AND(Table1[[#This Row],[Spec Type2]]="N/A",Table1[[#This Row],[DUT Adj Read]]="N/A",Table1[[#This Row],[Std Adj Read]]="N/A"),"N/A",IF(Table1[[#This Row],[DUT Adj Read]]="N/A",IF(Table1[[#This Row],[Std Adj Read]]&lt;=Table1[[#This Row],[High Tol]],"Pass","Fail"),IF(Table1[[#This Row],[DUT Adj Read]]&lt;=Table1[[#This Row],[High Tol]],"Pass","Fail")))</f>
        <v>Fail</v>
      </c>
      <c r="AH27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5" s="1" t="b">
        <v>0</v>
      </c>
      <c r="AN2745" s="1" t="b">
        <v>0</v>
      </c>
      <c r="AO2745" s="1" t="b">
        <v>0</v>
      </c>
    </row>
    <row r="2746" spans="1:41" x14ac:dyDescent="0.25">
      <c r="A2746" s="10"/>
      <c r="B2746" s="10"/>
      <c r="C2746" s="10"/>
      <c r="D2746" s="10"/>
      <c r="E2746" s="10"/>
      <c r="F2746" s="10"/>
      <c r="G2746" s="10"/>
      <c r="H2746" s="10"/>
      <c r="I2746" s="1" t="str">
        <f t="shared" si="126"/>
        <v/>
      </c>
      <c r="J2746" s="1" t="s">
        <v>35</v>
      </c>
      <c r="K2746" s="1" t="str">
        <f t="shared" si="127"/>
        <v/>
      </c>
      <c r="L2746" s="1" t="str">
        <f t="shared" si="128"/>
        <v/>
      </c>
      <c r="M2746" s="1">
        <f>IF(OR(Table1[[#This Row],[Std Nom]]="",Table1[[#This Row],[Std Read]]=""),0,Table1[[#This Row],[Std Nom]]-Table1[[#This Row],[Std Read]])</f>
        <v>0</v>
      </c>
      <c r="N2746" s="1">
        <f>IF(Calculations!$F$5="ACCREDITED 17025 WITH UNCERTAINTIES",$N$10,0)</f>
        <v>0</v>
      </c>
      <c r="Q2746" s="1">
        <f>Table1[[#This Row],[High Tol]]-Table1[[#This Row],[Low Tol]]</f>
        <v>0</v>
      </c>
      <c r="R2746" s="1">
        <f>2*Table1[[#This Row],[Std Error]]</f>
        <v>0</v>
      </c>
      <c r="S2746" s="1" t="str">
        <f>IF(Table1[[#This Row],[High Tol]]="","N/A",IFERROR(ABS(Table1[[#This Row],[Tol Span]]/Table1[[#This Row],[Error Span]]),"N/A"))</f>
        <v>N/A</v>
      </c>
      <c r="T2746" s="1" t="str">
        <f>IF(OR(Table1[[#This Row],[Low Tol]]="",Table1[[#This Row],[High Tol]]=""),"Needs Analysis",IF(Table1[[#This Row],[Ratio]]&gt;=4,"Not Significant",IF(Table1[[#This Row],[Ratio]]&gt;=2,"Semi-Significant","Significant")))</f>
        <v>Needs Analysis</v>
      </c>
      <c r="W2746" s="1">
        <f>IF(Table1[[#This Row],[Cal Type]]&lt;&gt;"ACCREDITED 17025 WITH UNCERTAINTIES",0,"")</f>
        <v>0</v>
      </c>
      <c r="X2746" s="1" t="str">
        <f>IF(Table1[[#This Row],[DUT Read]]="","N/A",Table1[[#This Row],[Std Error]]+Table1[[#This Row],[DUT Read]]+Table1[[#This Row],[DUT Ucty]])</f>
        <v>N/A</v>
      </c>
      <c r="Y2746" s="1" t="str">
        <f>IF(Table1[[#This Row],[Std Read]]="","N/A",Table1[[#This Row],[Std Read]]+Table1[[#This Row],[Std Ucty]])</f>
        <v>N/A</v>
      </c>
      <c r="Z27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6" s="1" t="str">
        <f>IF(Table1[[#This Row],[Spec Type]]="","N/A",Table1[[#This Row],[Spec Type]])</f>
        <v>±</v>
      </c>
      <c r="AC2746" s="1" t="str">
        <f>IF(Table1[[#This Row],[Spec Type2]]="N/A","N/A",IF(AND(Table1[[#This Row],[DUT Adj Read]]&gt;=Table1[[#This Row],[Low Tol]],Table1[[#This Row],[DUT Adj Read]]&lt;=Table1[[#This Row],[High Tol]]),"Pass","Fail"))</f>
        <v>Fail</v>
      </c>
      <c r="AD2746" s="1" t="str">
        <f>IF(AND(Table1[[#This Row],[Spec Type2]]="N/A",Table1[[#This Row],[DUT Adj Read]]="N/A",Table1[[#This Row],[Std Adj Read]]="N/A"),"N/A",IF(Table1[[#This Row],[DUT Adj Read]]="N/A",IF(Table1[[#This Row],[Std Adj Read]]&gt;Table1[[#This Row],[Low Tol]],"Pass","Fail"),IF(Table1[[#This Row],[DUT Adj Read]]&gt;Table1[[#This Row],[Low Tol]],"Pass","Fail")))</f>
        <v>Pass</v>
      </c>
      <c r="AE2746" s="1" t="str">
        <f>IF(AND(Table1[[#This Row],[Spec Type2]]="N/A",Table1[[#This Row],[DUT Adj Read]]="N/A",Table1[[#This Row],[Std Adj Read]]="N/A"),"N/A",IF(Table1[[#This Row],[DUT Adj Read]]="N/A",IF(Table1[[#This Row],[Std Adj Read]]&lt;Table1[[#This Row],[High Tol]],"Pass","Fail"),IF(Table1[[#This Row],[DUT Adj Read]]&lt;Table1[[#This Row],[High Tol]],"Pass","Fail")))</f>
        <v>Fail</v>
      </c>
      <c r="AF2746" s="1" t="str">
        <f>IF(AND(Table1[[#This Row],[Spec Type2]]="N/A",Table1[[#This Row],[DUT Adj Read]]="N/A",Table1[[#This Row],[Std Adj Read]]="N/A"),"N/A",IF(Table1[[#This Row],[DUT Adj Read]]="N/A",IF(Table1[[#This Row],[Std Adj Read]]&gt;=Table1[[#This Row],[Low Tol]],"Pass","Fail"),IF(Table1[[#This Row],[DUT Adj Read]]&gt;=Table1[[#This Row],[Low Tol]],"Pass","Fail")))</f>
        <v>Pass</v>
      </c>
      <c r="AG2746" s="1" t="str">
        <f>IF(AND(Table1[[#This Row],[Spec Type2]]="N/A",Table1[[#This Row],[DUT Adj Read]]="N/A",Table1[[#This Row],[Std Adj Read]]="N/A"),"N/A",IF(Table1[[#This Row],[DUT Adj Read]]="N/A",IF(Table1[[#This Row],[Std Adj Read]]&lt;=Table1[[#This Row],[High Tol]],"Pass","Fail"),IF(Table1[[#This Row],[DUT Adj Read]]&lt;=Table1[[#This Row],[High Tol]],"Pass","Fail")))</f>
        <v>Fail</v>
      </c>
      <c r="AH27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6" s="1" t="b">
        <v>0</v>
      </c>
      <c r="AN2746" s="1" t="b">
        <v>0</v>
      </c>
      <c r="AO2746" s="1" t="b">
        <v>0</v>
      </c>
    </row>
    <row r="2747" spans="1:41" x14ac:dyDescent="0.25">
      <c r="A2747" s="10"/>
      <c r="B2747" s="10"/>
      <c r="C2747" s="10"/>
      <c r="D2747" s="10"/>
      <c r="E2747" s="10"/>
      <c r="F2747" s="10"/>
      <c r="G2747" s="10"/>
      <c r="H2747" s="10"/>
      <c r="I2747" s="1" t="str">
        <f t="shared" si="126"/>
        <v/>
      </c>
      <c r="J2747" s="1" t="s">
        <v>35</v>
      </c>
      <c r="K2747" s="1" t="str">
        <f t="shared" si="127"/>
        <v/>
      </c>
      <c r="L2747" s="1" t="str">
        <f t="shared" si="128"/>
        <v/>
      </c>
      <c r="M2747" s="1">
        <f>IF(OR(Table1[[#This Row],[Std Nom]]="",Table1[[#This Row],[Std Read]]=""),0,Table1[[#This Row],[Std Nom]]-Table1[[#This Row],[Std Read]])</f>
        <v>0</v>
      </c>
      <c r="N2747" s="1">
        <f>IF(Calculations!$F$5="ACCREDITED 17025 WITH UNCERTAINTIES",$N$10,0)</f>
        <v>0</v>
      </c>
      <c r="Q2747" s="1">
        <f>Table1[[#This Row],[High Tol]]-Table1[[#This Row],[Low Tol]]</f>
        <v>0</v>
      </c>
      <c r="R2747" s="1">
        <f>2*Table1[[#This Row],[Std Error]]</f>
        <v>0</v>
      </c>
      <c r="S2747" s="1" t="str">
        <f>IF(Table1[[#This Row],[High Tol]]="","N/A",IFERROR(ABS(Table1[[#This Row],[Tol Span]]/Table1[[#This Row],[Error Span]]),"N/A"))</f>
        <v>N/A</v>
      </c>
      <c r="T2747" s="1" t="str">
        <f>IF(OR(Table1[[#This Row],[Low Tol]]="",Table1[[#This Row],[High Tol]]=""),"Needs Analysis",IF(Table1[[#This Row],[Ratio]]&gt;=4,"Not Significant",IF(Table1[[#This Row],[Ratio]]&gt;=2,"Semi-Significant","Significant")))</f>
        <v>Needs Analysis</v>
      </c>
      <c r="W2747" s="1">
        <f>IF(Table1[[#This Row],[Cal Type]]&lt;&gt;"ACCREDITED 17025 WITH UNCERTAINTIES",0,"")</f>
        <v>0</v>
      </c>
      <c r="X2747" s="1" t="str">
        <f>IF(Table1[[#This Row],[DUT Read]]="","N/A",Table1[[#This Row],[Std Error]]+Table1[[#This Row],[DUT Read]]+Table1[[#This Row],[DUT Ucty]])</f>
        <v>N/A</v>
      </c>
      <c r="Y2747" s="1" t="str">
        <f>IF(Table1[[#This Row],[Std Read]]="","N/A",Table1[[#This Row],[Std Read]]+Table1[[#This Row],[Std Ucty]])</f>
        <v>N/A</v>
      </c>
      <c r="Z27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7" s="1" t="str">
        <f>IF(Table1[[#This Row],[Spec Type]]="","N/A",Table1[[#This Row],[Spec Type]])</f>
        <v>±</v>
      </c>
      <c r="AC2747" s="1" t="str">
        <f>IF(Table1[[#This Row],[Spec Type2]]="N/A","N/A",IF(AND(Table1[[#This Row],[DUT Adj Read]]&gt;=Table1[[#This Row],[Low Tol]],Table1[[#This Row],[DUT Adj Read]]&lt;=Table1[[#This Row],[High Tol]]),"Pass","Fail"))</f>
        <v>Fail</v>
      </c>
      <c r="AD2747" s="1" t="str">
        <f>IF(AND(Table1[[#This Row],[Spec Type2]]="N/A",Table1[[#This Row],[DUT Adj Read]]="N/A",Table1[[#This Row],[Std Adj Read]]="N/A"),"N/A",IF(Table1[[#This Row],[DUT Adj Read]]="N/A",IF(Table1[[#This Row],[Std Adj Read]]&gt;Table1[[#This Row],[Low Tol]],"Pass","Fail"),IF(Table1[[#This Row],[DUT Adj Read]]&gt;Table1[[#This Row],[Low Tol]],"Pass","Fail")))</f>
        <v>Pass</v>
      </c>
      <c r="AE2747" s="1" t="str">
        <f>IF(AND(Table1[[#This Row],[Spec Type2]]="N/A",Table1[[#This Row],[DUT Adj Read]]="N/A",Table1[[#This Row],[Std Adj Read]]="N/A"),"N/A",IF(Table1[[#This Row],[DUT Adj Read]]="N/A",IF(Table1[[#This Row],[Std Adj Read]]&lt;Table1[[#This Row],[High Tol]],"Pass","Fail"),IF(Table1[[#This Row],[DUT Adj Read]]&lt;Table1[[#This Row],[High Tol]],"Pass","Fail")))</f>
        <v>Fail</v>
      </c>
      <c r="AF2747" s="1" t="str">
        <f>IF(AND(Table1[[#This Row],[Spec Type2]]="N/A",Table1[[#This Row],[DUT Adj Read]]="N/A",Table1[[#This Row],[Std Adj Read]]="N/A"),"N/A",IF(Table1[[#This Row],[DUT Adj Read]]="N/A",IF(Table1[[#This Row],[Std Adj Read]]&gt;=Table1[[#This Row],[Low Tol]],"Pass","Fail"),IF(Table1[[#This Row],[DUT Adj Read]]&gt;=Table1[[#This Row],[Low Tol]],"Pass","Fail")))</f>
        <v>Pass</v>
      </c>
      <c r="AG2747" s="1" t="str">
        <f>IF(AND(Table1[[#This Row],[Spec Type2]]="N/A",Table1[[#This Row],[DUT Adj Read]]="N/A",Table1[[#This Row],[Std Adj Read]]="N/A"),"N/A",IF(Table1[[#This Row],[DUT Adj Read]]="N/A",IF(Table1[[#This Row],[Std Adj Read]]&lt;=Table1[[#This Row],[High Tol]],"Pass","Fail"),IF(Table1[[#This Row],[DUT Adj Read]]&lt;=Table1[[#This Row],[High Tol]],"Pass","Fail")))</f>
        <v>Fail</v>
      </c>
      <c r="AH27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7" s="1" t="b">
        <v>0</v>
      </c>
      <c r="AN2747" s="1" t="b">
        <v>0</v>
      </c>
      <c r="AO2747" s="1" t="b">
        <v>0</v>
      </c>
    </row>
    <row r="2748" spans="1:41" x14ac:dyDescent="0.25">
      <c r="A2748" s="10"/>
      <c r="B2748" s="10"/>
      <c r="C2748" s="10"/>
      <c r="D2748" s="10"/>
      <c r="E2748" s="10"/>
      <c r="F2748" s="10"/>
      <c r="G2748" s="10"/>
      <c r="H2748" s="10"/>
      <c r="I2748" s="1" t="str">
        <f t="shared" si="126"/>
        <v/>
      </c>
      <c r="J2748" s="1" t="s">
        <v>35</v>
      </c>
      <c r="K2748" s="1" t="str">
        <f t="shared" si="127"/>
        <v/>
      </c>
      <c r="L2748" s="1" t="str">
        <f t="shared" si="128"/>
        <v/>
      </c>
      <c r="M2748" s="1">
        <f>IF(OR(Table1[[#This Row],[Std Nom]]="",Table1[[#This Row],[Std Read]]=""),0,Table1[[#This Row],[Std Nom]]-Table1[[#This Row],[Std Read]])</f>
        <v>0</v>
      </c>
      <c r="N2748" s="1">
        <f>IF(Calculations!$F$5="ACCREDITED 17025 WITH UNCERTAINTIES",$N$10,0)</f>
        <v>0</v>
      </c>
      <c r="Q2748" s="1">
        <f>Table1[[#This Row],[High Tol]]-Table1[[#This Row],[Low Tol]]</f>
        <v>0</v>
      </c>
      <c r="R2748" s="1">
        <f>2*Table1[[#This Row],[Std Error]]</f>
        <v>0</v>
      </c>
      <c r="S2748" s="1" t="str">
        <f>IF(Table1[[#This Row],[High Tol]]="","N/A",IFERROR(ABS(Table1[[#This Row],[Tol Span]]/Table1[[#This Row],[Error Span]]),"N/A"))</f>
        <v>N/A</v>
      </c>
      <c r="T2748" s="1" t="str">
        <f>IF(OR(Table1[[#This Row],[Low Tol]]="",Table1[[#This Row],[High Tol]]=""),"Needs Analysis",IF(Table1[[#This Row],[Ratio]]&gt;=4,"Not Significant",IF(Table1[[#This Row],[Ratio]]&gt;=2,"Semi-Significant","Significant")))</f>
        <v>Needs Analysis</v>
      </c>
      <c r="W2748" s="1">
        <f>IF(Table1[[#This Row],[Cal Type]]&lt;&gt;"ACCREDITED 17025 WITH UNCERTAINTIES",0,"")</f>
        <v>0</v>
      </c>
      <c r="X2748" s="1" t="str">
        <f>IF(Table1[[#This Row],[DUT Read]]="","N/A",Table1[[#This Row],[Std Error]]+Table1[[#This Row],[DUT Read]]+Table1[[#This Row],[DUT Ucty]])</f>
        <v>N/A</v>
      </c>
      <c r="Y2748" s="1" t="str">
        <f>IF(Table1[[#This Row],[Std Read]]="","N/A",Table1[[#This Row],[Std Read]]+Table1[[#This Row],[Std Ucty]])</f>
        <v>N/A</v>
      </c>
      <c r="Z27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8" s="1" t="str">
        <f>IF(Table1[[#This Row],[Spec Type]]="","N/A",Table1[[#This Row],[Spec Type]])</f>
        <v>±</v>
      </c>
      <c r="AC2748" s="1" t="str">
        <f>IF(Table1[[#This Row],[Spec Type2]]="N/A","N/A",IF(AND(Table1[[#This Row],[DUT Adj Read]]&gt;=Table1[[#This Row],[Low Tol]],Table1[[#This Row],[DUT Adj Read]]&lt;=Table1[[#This Row],[High Tol]]),"Pass","Fail"))</f>
        <v>Fail</v>
      </c>
      <c r="AD2748" s="1" t="str">
        <f>IF(AND(Table1[[#This Row],[Spec Type2]]="N/A",Table1[[#This Row],[DUT Adj Read]]="N/A",Table1[[#This Row],[Std Adj Read]]="N/A"),"N/A",IF(Table1[[#This Row],[DUT Adj Read]]="N/A",IF(Table1[[#This Row],[Std Adj Read]]&gt;Table1[[#This Row],[Low Tol]],"Pass","Fail"),IF(Table1[[#This Row],[DUT Adj Read]]&gt;Table1[[#This Row],[Low Tol]],"Pass","Fail")))</f>
        <v>Pass</v>
      </c>
      <c r="AE2748" s="1" t="str">
        <f>IF(AND(Table1[[#This Row],[Spec Type2]]="N/A",Table1[[#This Row],[DUT Adj Read]]="N/A",Table1[[#This Row],[Std Adj Read]]="N/A"),"N/A",IF(Table1[[#This Row],[DUT Adj Read]]="N/A",IF(Table1[[#This Row],[Std Adj Read]]&lt;Table1[[#This Row],[High Tol]],"Pass","Fail"),IF(Table1[[#This Row],[DUT Adj Read]]&lt;Table1[[#This Row],[High Tol]],"Pass","Fail")))</f>
        <v>Fail</v>
      </c>
      <c r="AF2748" s="1" t="str">
        <f>IF(AND(Table1[[#This Row],[Spec Type2]]="N/A",Table1[[#This Row],[DUT Adj Read]]="N/A",Table1[[#This Row],[Std Adj Read]]="N/A"),"N/A",IF(Table1[[#This Row],[DUT Adj Read]]="N/A",IF(Table1[[#This Row],[Std Adj Read]]&gt;=Table1[[#This Row],[Low Tol]],"Pass","Fail"),IF(Table1[[#This Row],[DUT Adj Read]]&gt;=Table1[[#This Row],[Low Tol]],"Pass","Fail")))</f>
        <v>Pass</v>
      </c>
      <c r="AG2748" s="1" t="str">
        <f>IF(AND(Table1[[#This Row],[Spec Type2]]="N/A",Table1[[#This Row],[DUT Adj Read]]="N/A",Table1[[#This Row],[Std Adj Read]]="N/A"),"N/A",IF(Table1[[#This Row],[DUT Adj Read]]="N/A",IF(Table1[[#This Row],[Std Adj Read]]&lt;=Table1[[#This Row],[High Tol]],"Pass","Fail"),IF(Table1[[#This Row],[DUT Adj Read]]&lt;=Table1[[#This Row],[High Tol]],"Pass","Fail")))</f>
        <v>Fail</v>
      </c>
      <c r="AH27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8" s="1" t="b">
        <v>0</v>
      </c>
      <c r="AN2748" s="1" t="b">
        <v>0</v>
      </c>
      <c r="AO2748" s="1" t="b">
        <v>0</v>
      </c>
    </row>
    <row r="2749" spans="1:41" x14ac:dyDescent="0.25">
      <c r="A2749" s="10"/>
      <c r="B2749" s="10"/>
      <c r="C2749" s="10"/>
      <c r="D2749" s="10"/>
      <c r="E2749" s="10"/>
      <c r="F2749" s="10"/>
      <c r="G2749" s="10"/>
      <c r="H2749" s="10"/>
      <c r="I2749" s="1" t="str">
        <f t="shared" si="126"/>
        <v/>
      </c>
      <c r="J2749" s="1" t="s">
        <v>35</v>
      </c>
      <c r="K2749" s="1" t="str">
        <f t="shared" si="127"/>
        <v/>
      </c>
      <c r="L2749" s="1" t="str">
        <f t="shared" si="128"/>
        <v/>
      </c>
      <c r="M2749" s="1">
        <f>IF(OR(Table1[[#This Row],[Std Nom]]="",Table1[[#This Row],[Std Read]]=""),0,Table1[[#This Row],[Std Nom]]-Table1[[#This Row],[Std Read]])</f>
        <v>0</v>
      </c>
      <c r="N2749" s="1">
        <f>IF(Calculations!$F$5="ACCREDITED 17025 WITH UNCERTAINTIES",$N$10,0)</f>
        <v>0</v>
      </c>
      <c r="Q2749" s="1">
        <f>Table1[[#This Row],[High Tol]]-Table1[[#This Row],[Low Tol]]</f>
        <v>0</v>
      </c>
      <c r="R2749" s="1">
        <f>2*Table1[[#This Row],[Std Error]]</f>
        <v>0</v>
      </c>
      <c r="S2749" s="1" t="str">
        <f>IF(Table1[[#This Row],[High Tol]]="","N/A",IFERROR(ABS(Table1[[#This Row],[Tol Span]]/Table1[[#This Row],[Error Span]]),"N/A"))</f>
        <v>N/A</v>
      </c>
      <c r="T2749" s="1" t="str">
        <f>IF(OR(Table1[[#This Row],[Low Tol]]="",Table1[[#This Row],[High Tol]]=""),"Needs Analysis",IF(Table1[[#This Row],[Ratio]]&gt;=4,"Not Significant",IF(Table1[[#This Row],[Ratio]]&gt;=2,"Semi-Significant","Significant")))</f>
        <v>Needs Analysis</v>
      </c>
      <c r="W2749" s="1">
        <f>IF(Table1[[#This Row],[Cal Type]]&lt;&gt;"ACCREDITED 17025 WITH UNCERTAINTIES",0,"")</f>
        <v>0</v>
      </c>
      <c r="X2749" s="1" t="str">
        <f>IF(Table1[[#This Row],[DUT Read]]="","N/A",Table1[[#This Row],[Std Error]]+Table1[[#This Row],[DUT Read]]+Table1[[#This Row],[DUT Ucty]])</f>
        <v>N/A</v>
      </c>
      <c r="Y2749" s="1" t="str">
        <f>IF(Table1[[#This Row],[Std Read]]="","N/A",Table1[[#This Row],[Std Read]]+Table1[[#This Row],[Std Ucty]])</f>
        <v>N/A</v>
      </c>
      <c r="Z27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49" s="1" t="str">
        <f>IF(Table1[[#This Row],[Spec Type]]="","N/A",Table1[[#This Row],[Spec Type]])</f>
        <v>±</v>
      </c>
      <c r="AC2749" s="1" t="str">
        <f>IF(Table1[[#This Row],[Spec Type2]]="N/A","N/A",IF(AND(Table1[[#This Row],[DUT Adj Read]]&gt;=Table1[[#This Row],[Low Tol]],Table1[[#This Row],[DUT Adj Read]]&lt;=Table1[[#This Row],[High Tol]]),"Pass","Fail"))</f>
        <v>Fail</v>
      </c>
      <c r="AD2749" s="1" t="str">
        <f>IF(AND(Table1[[#This Row],[Spec Type2]]="N/A",Table1[[#This Row],[DUT Adj Read]]="N/A",Table1[[#This Row],[Std Adj Read]]="N/A"),"N/A",IF(Table1[[#This Row],[DUT Adj Read]]="N/A",IF(Table1[[#This Row],[Std Adj Read]]&gt;Table1[[#This Row],[Low Tol]],"Pass","Fail"),IF(Table1[[#This Row],[DUT Adj Read]]&gt;Table1[[#This Row],[Low Tol]],"Pass","Fail")))</f>
        <v>Pass</v>
      </c>
      <c r="AE2749" s="1" t="str">
        <f>IF(AND(Table1[[#This Row],[Spec Type2]]="N/A",Table1[[#This Row],[DUT Adj Read]]="N/A",Table1[[#This Row],[Std Adj Read]]="N/A"),"N/A",IF(Table1[[#This Row],[DUT Adj Read]]="N/A",IF(Table1[[#This Row],[Std Adj Read]]&lt;Table1[[#This Row],[High Tol]],"Pass","Fail"),IF(Table1[[#This Row],[DUT Adj Read]]&lt;Table1[[#This Row],[High Tol]],"Pass","Fail")))</f>
        <v>Fail</v>
      </c>
      <c r="AF2749" s="1" t="str">
        <f>IF(AND(Table1[[#This Row],[Spec Type2]]="N/A",Table1[[#This Row],[DUT Adj Read]]="N/A",Table1[[#This Row],[Std Adj Read]]="N/A"),"N/A",IF(Table1[[#This Row],[DUT Adj Read]]="N/A",IF(Table1[[#This Row],[Std Adj Read]]&gt;=Table1[[#This Row],[Low Tol]],"Pass","Fail"),IF(Table1[[#This Row],[DUT Adj Read]]&gt;=Table1[[#This Row],[Low Tol]],"Pass","Fail")))</f>
        <v>Pass</v>
      </c>
      <c r="AG2749" s="1" t="str">
        <f>IF(AND(Table1[[#This Row],[Spec Type2]]="N/A",Table1[[#This Row],[DUT Adj Read]]="N/A",Table1[[#This Row],[Std Adj Read]]="N/A"),"N/A",IF(Table1[[#This Row],[DUT Adj Read]]="N/A",IF(Table1[[#This Row],[Std Adj Read]]&lt;=Table1[[#This Row],[High Tol]],"Pass","Fail"),IF(Table1[[#This Row],[DUT Adj Read]]&lt;=Table1[[#This Row],[High Tol]],"Pass","Fail")))</f>
        <v>Fail</v>
      </c>
      <c r="AH27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49" s="1" t="b">
        <v>0</v>
      </c>
      <c r="AN2749" s="1" t="b">
        <v>0</v>
      </c>
      <c r="AO2749" s="1" t="b">
        <v>0</v>
      </c>
    </row>
    <row r="2750" spans="1:41" x14ac:dyDescent="0.25">
      <c r="A2750" s="10"/>
      <c r="B2750" s="10"/>
      <c r="C2750" s="10"/>
      <c r="D2750" s="10"/>
      <c r="E2750" s="10"/>
      <c r="F2750" s="10"/>
      <c r="G2750" s="10"/>
      <c r="H2750" s="10"/>
      <c r="I2750" s="1" t="str">
        <f t="shared" si="126"/>
        <v/>
      </c>
      <c r="J2750" s="1" t="s">
        <v>35</v>
      </c>
      <c r="K2750" s="1" t="str">
        <f t="shared" si="127"/>
        <v/>
      </c>
      <c r="L2750" s="1" t="str">
        <f t="shared" si="128"/>
        <v/>
      </c>
      <c r="M2750" s="1">
        <f>IF(OR(Table1[[#This Row],[Std Nom]]="",Table1[[#This Row],[Std Read]]=""),0,Table1[[#This Row],[Std Nom]]-Table1[[#This Row],[Std Read]])</f>
        <v>0</v>
      </c>
      <c r="N2750" s="1">
        <f>IF(Calculations!$F$5="ACCREDITED 17025 WITH UNCERTAINTIES",$N$10,0)</f>
        <v>0</v>
      </c>
      <c r="Q2750" s="1">
        <f>Table1[[#This Row],[High Tol]]-Table1[[#This Row],[Low Tol]]</f>
        <v>0</v>
      </c>
      <c r="R2750" s="1">
        <f>2*Table1[[#This Row],[Std Error]]</f>
        <v>0</v>
      </c>
      <c r="S2750" s="1" t="str">
        <f>IF(Table1[[#This Row],[High Tol]]="","N/A",IFERROR(ABS(Table1[[#This Row],[Tol Span]]/Table1[[#This Row],[Error Span]]),"N/A"))</f>
        <v>N/A</v>
      </c>
      <c r="T2750" s="1" t="str">
        <f>IF(OR(Table1[[#This Row],[Low Tol]]="",Table1[[#This Row],[High Tol]]=""),"Needs Analysis",IF(Table1[[#This Row],[Ratio]]&gt;=4,"Not Significant",IF(Table1[[#This Row],[Ratio]]&gt;=2,"Semi-Significant","Significant")))</f>
        <v>Needs Analysis</v>
      </c>
      <c r="W2750" s="1">
        <f>IF(Table1[[#This Row],[Cal Type]]&lt;&gt;"ACCREDITED 17025 WITH UNCERTAINTIES",0,"")</f>
        <v>0</v>
      </c>
      <c r="X2750" s="1" t="str">
        <f>IF(Table1[[#This Row],[DUT Read]]="","N/A",Table1[[#This Row],[Std Error]]+Table1[[#This Row],[DUT Read]]+Table1[[#This Row],[DUT Ucty]])</f>
        <v>N/A</v>
      </c>
      <c r="Y2750" s="1" t="str">
        <f>IF(Table1[[#This Row],[Std Read]]="","N/A",Table1[[#This Row],[Std Read]]+Table1[[#This Row],[Std Ucty]])</f>
        <v>N/A</v>
      </c>
      <c r="Z27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0" s="1" t="str">
        <f>IF(Table1[[#This Row],[Spec Type]]="","N/A",Table1[[#This Row],[Spec Type]])</f>
        <v>±</v>
      </c>
      <c r="AC2750" s="1" t="str">
        <f>IF(Table1[[#This Row],[Spec Type2]]="N/A","N/A",IF(AND(Table1[[#This Row],[DUT Adj Read]]&gt;=Table1[[#This Row],[Low Tol]],Table1[[#This Row],[DUT Adj Read]]&lt;=Table1[[#This Row],[High Tol]]),"Pass","Fail"))</f>
        <v>Fail</v>
      </c>
      <c r="AD2750" s="1" t="str">
        <f>IF(AND(Table1[[#This Row],[Spec Type2]]="N/A",Table1[[#This Row],[DUT Adj Read]]="N/A",Table1[[#This Row],[Std Adj Read]]="N/A"),"N/A",IF(Table1[[#This Row],[DUT Adj Read]]="N/A",IF(Table1[[#This Row],[Std Adj Read]]&gt;Table1[[#This Row],[Low Tol]],"Pass","Fail"),IF(Table1[[#This Row],[DUT Adj Read]]&gt;Table1[[#This Row],[Low Tol]],"Pass","Fail")))</f>
        <v>Pass</v>
      </c>
      <c r="AE2750" s="1" t="str">
        <f>IF(AND(Table1[[#This Row],[Spec Type2]]="N/A",Table1[[#This Row],[DUT Adj Read]]="N/A",Table1[[#This Row],[Std Adj Read]]="N/A"),"N/A",IF(Table1[[#This Row],[DUT Adj Read]]="N/A",IF(Table1[[#This Row],[Std Adj Read]]&lt;Table1[[#This Row],[High Tol]],"Pass","Fail"),IF(Table1[[#This Row],[DUT Adj Read]]&lt;Table1[[#This Row],[High Tol]],"Pass","Fail")))</f>
        <v>Fail</v>
      </c>
      <c r="AF2750" s="1" t="str">
        <f>IF(AND(Table1[[#This Row],[Spec Type2]]="N/A",Table1[[#This Row],[DUT Adj Read]]="N/A",Table1[[#This Row],[Std Adj Read]]="N/A"),"N/A",IF(Table1[[#This Row],[DUT Adj Read]]="N/A",IF(Table1[[#This Row],[Std Adj Read]]&gt;=Table1[[#This Row],[Low Tol]],"Pass","Fail"),IF(Table1[[#This Row],[DUT Adj Read]]&gt;=Table1[[#This Row],[Low Tol]],"Pass","Fail")))</f>
        <v>Pass</v>
      </c>
      <c r="AG2750" s="1" t="str">
        <f>IF(AND(Table1[[#This Row],[Spec Type2]]="N/A",Table1[[#This Row],[DUT Adj Read]]="N/A",Table1[[#This Row],[Std Adj Read]]="N/A"),"N/A",IF(Table1[[#This Row],[DUT Adj Read]]="N/A",IF(Table1[[#This Row],[Std Adj Read]]&lt;=Table1[[#This Row],[High Tol]],"Pass","Fail"),IF(Table1[[#This Row],[DUT Adj Read]]&lt;=Table1[[#This Row],[High Tol]],"Pass","Fail")))</f>
        <v>Fail</v>
      </c>
      <c r="AH27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0" s="1" t="b">
        <v>0</v>
      </c>
      <c r="AN2750" s="1" t="b">
        <v>0</v>
      </c>
      <c r="AO2750" s="1" t="b">
        <v>0</v>
      </c>
    </row>
    <row r="2751" spans="1:41" x14ac:dyDescent="0.25">
      <c r="A2751" s="10"/>
      <c r="B2751" s="10"/>
      <c r="C2751" s="10"/>
      <c r="D2751" s="10"/>
      <c r="E2751" s="10"/>
      <c r="F2751" s="10"/>
      <c r="G2751" s="10"/>
      <c r="H2751" s="10"/>
      <c r="I2751" s="1" t="str">
        <f t="shared" si="126"/>
        <v/>
      </c>
      <c r="J2751" s="1" t="s">
        <v>35</v>
      </c>
      <c r="K2751" s="1" t="str">
        <f t="shared" si="127"/>
        <v/>
      </c>
      <c r="L2751" s="1" t="str">
        <f t="shared" si="128"/>
        <v/>
      </c>
      <c r="M2751" s="1">
        <f>IF(OR(Table1[[#This Row],[Std Nom]]="",Table1[[#This Row],[Std Read]]=""),0,Table1[[#This Row],[Std Nom]]-Table1[[#This Row],[Std Read]])</f>
        <v>0</v>
      </c>
      <c r="N2751" s="1">
        <f>IF(Calculations!$F$5="ACCREDITED 17025 WITH UNCERTAINTIES",$N$10,0)</f>
        <v>0</v>
      </c>
      <c r="Q2751" s="1">
        <f>Table1[[#This Row],[High Tol]]-Table1[[#This Row],[Low Tol]]</f>
        <v>0</v>
      </c>
      <c r="R2751" s="1">
        <f>2*Table1[[#This Row],[Std Error]]</f>
        <v>0</v>
      </c>
      <c r="S2751" s="1" t="str">
        <f>IF(Table1[[#This Row],[High Tol]]="","N/A",IFERROR(ABS(Table1[[#This Row],[Tol Span]]/Table1[[#This Row],[Error Span]]),"N/A"))</f>
        <v>N/A</v>
      </c>
      <c r="T2751" s="1" t="str">
        <f>IF(OR(Table1[[#This Row],[Low Tol]]="",Table1[[#This Row],[High Tol]]=""),"Needs Analysis",IF(Table1[[#This Row],[Ratio]]&gt;=4,"Not Significant",IF(Table1[[#This Row],[Ratio]]&gt;=2,"Semi-Significant","Significant")))</f>
        <v>Needs Analysis</v>
      </c>
      <c r="W2751" s="1">
        <f>IF(Table1[[#This Row],[Cal Type]]&lt;&gt;"ACCREDITED 17025 WITH UNCERTAINTIES",0,"")</f>
        <v>0</v>
      </c>
      <c r="X2751" s="1" t="str">
        <f>IF(Table1[[#This Row],[DUT Read]]="","N/A",Table1[[#This Row],[Std Error]]+Table1[[#This Row],[DUT Read]]+Table1[[#This Row],[DUT Ucty]])</f>
        <v>N/A</v>
      </c>
      <c r="Y2751" s="1" t="str">
        <f>IF(Table1[[#This Row],[Std Read]]="","N/A",Table1[[#This Row],[Std Read]]+Table1[[#This Row],[Std Ucty]])</f>
        <v>N/A</v>
      </c>
      <c r="Z27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1" s="1" t="str">
        <f>IF(Table1[[#This Row],[Spec Type]]="","N/A",Table1[[#This Row],[Spec Type]])</f>
        <v>±</v>
      </c>
      <c r="AC2751" s="1" t="str">
        <f>IF(Table1[[#This Row],[Spec Type2]]="N/A","N/A",IF(AND(Table1[[#This Row],[DUT Adj Read]]&gt;=Table1[[#This Row],[Low Tol]],Table1[[#This Row],[DUT Adj Read]]&lt;=Table1[[#This Row],[High Tol]]),"Pass","Fail"))</f>
        <v>Fail</v>
      </c>
      <c r="AD2751" s="1" t="str">
        <f>IF(AND(Table1[[#This Row],[Spec Type2]]="N/A",Table1[[#This Row],[DUT Adj Read]]="N/A",Table1[[#This Row],[Std Adj Read]]="N/A"),"N/A",IF(Table1[[#This Row],[DUT Adj Read]]="N/A",IF(Table1[[#This Row],[Std Adj Read]]&gt;Table1[[#This Row],[Low Tol]],"Pass","Fail"),IF(Table1[[#This Row],[DUT Adj Read]]&gt;Table1[[#This Row],[Low Tol]],"Pass","Fail")))</f>
        <v>Pass</v>
      </c>
      <c r="AE2751" s="1" t="str">
        <f>IF(AND(Table1[[#This Row],[Spec Type2]]="N/A",Table1[[#This Row],[DUT Adj Read]]="N/A",Table1[[#This Row],[Std Adj Read]]="N/A"),"N/A",IF(Table1[[#This Row],[DUT Adj Read]]="N/A",IF(Table1[[#This Row],[Std Adj Read]]&lt;Table1[[#This Row],[High Tol]],"Pass","Fail"),IF(Table1[[#This Row],[DUT Adj Read]]&lt;Table1[[#This Row],[High Tol]],"Pass","Fail")))</f>
        <v>Fail</v>
      </c>
      <c r="AF2751" s="1" t="str">
        <f>IF(AND(Table1[[#This Row],[Spec Type2]]="N/A",Table1[[#This Row],[DUT Adj Read]]="N/A",Table1[[#This Row],[Std Adj Read]]="N/A"),"N/A",IF(Table1[[#This Row],[DUT Adj Read]]="N/A",IF(Table1[[#This Row],[Std Adj Read]]&gt;=Table1[[#This Row],[Low Tol]],"Pass","Fail"),IF(Table1[[#This Row],[DUT Adj Read]]&gt;=Table1[[#This Row],[Low Tol]],"Pass","Fail")))</f>
        <v>Pass</v>
      </c>
      <c r="AG2751" s="1" t="str">
        <f>IF(AND(Table1[[#This Row],[Spec Type2]]="N/A",Table1[[#This Row],[DUT Adj Read]]="N/A",Table1[[#This Row],[Std Adj Read]]="N/A"),"N/A",IF(Table1[[#This Row],[DUT Adj Read]]="N/A",IF(Table1[[#This Row],[Std Adj Read]]&lt;=Table1[[#This Row],[High Tol]],"Pass","Fail"),IF(Table1[[#This Row],[DUT Adj Read]]&lt;=Table1[[#This Row],[High Tol]],"Pass","Fail")))</f>
        <v>Fail</v>
      </c>
      <c r="AH27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1" s="1" t="b">
        <v>0</v>
      </c>
      <c r="AN2751" s="1" t="b">
        <v>0</v>
      </c>
      <c r="AO2751" s="1" t="b">
        <v>0</v>
      </c>
    </row>
    <row r="2752" spans="1:41" x14ac:dyDescent="0.25">
      <c r="A2752" s="10"/>
      <c r="B2752" s="10"/>
      <c r="C2752" s="10"/>
      <c r="D2752" s="10"/>
      <c r="E2752" s="10"/>
      <c r="F2752" s="10"/>
      <c r="G2752" s="10"/>
      <c r="H2752" s="10"/>
      <c r="I2752" s="1" t="str">
        <f t="shared" si="126"/>
        <v/>
      </c>
      <c r="J2752" s="1" t="s">
        <v>35</v>
      </c>
      <c r="K2752" s="1" t="str">
        <f t="shared" si="127"/>
        <v/>
      </c>
      <c r="L2752" s="1" t="str">
        <f t="shared" si="128"/>
        <v/>
      </c>
      <c r="M2752" s="1">
        <f>IF(OR(Table1[[#This Row],[Std Nom]]="",Table1[[#This Row],[Std Read]]=""),0,Table1[[#This Row],[Std Nom]]-Table1[[#This Row],[Std Read]])</f>
        <v>0</v>
      </c>
      <c r="N2752" s="1">
        <f>IF(Calculations!$F$5="ACCREDITED 17025 WITH UNCERTAINTIES",$N$10,0)</f>
        <v>0</v>
      </c>
      <c r="Q2752" s="1">
        <f>Table1[[#This Row],[High Tol]]-Table1[[#This Row],[Low Tol]]</f>
        <v>0</v>
      </c>
      <c r="R2752" s="1">
        <f>2*Table1[[#This Row],[Std Error]]</f>
        <v>0</v>
      </c>
      <c r="S2752" s="1" t="str">
        <f>IF(Table1[[#This Row],[High Tol]]="","N/A",IFERROR(ABS(Table1[[#This Row],[Tol Span]]/Table1[[#This Row],[Error Span]]),"N/A"))</f>
        <v>N/A</v>
      </c>
      <c r="T2752" s="1" t="str">
        <f>IF(OR(Table1[[#This Row],[Low Tol]]="",Table1[[#This Row],[High Tol]]=""),"Needs Analysis",IF(Table1[[#This Row],[Ratio]]&gt;=4,"Not Significant",IF(Table1[[#This Row],[Ratio]]&gt;=2,"Semi-Significant","Significant")))</f>
        <v>Needs Analysis</v>
      </c>
      <c r="W2752" s="1">
        <f>IF(Table1[[#This Row],[Cal Type]]&lt;&gt;"ACCREDITED 17025 WITH UNCERTAINTIES",0,"")</f>
        <v>0</v>
      </c>
      <c r="X2752" s="1" t="str">
        <f>IF(Table1[[#This Row],[DUT Read]]="","N/A",Table1[[#This Row],[Std Error]]+Table1[[#This Row],[DUT Read]]+Table1[[#This Row],[DUT Ucty]])</f>
        <v>N/A</v>
      </c>
      <c r="Y2752" s="1" t="str">
        <f>IF(Table1[[#This Row],[Std Read]]="","N/A",Table1[[#This Row],[Std Read]]+Table1[[#This Row],[Std Ucty]])</f>
        <v>N/A</v>
      </c>
      <c r="Z27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2" s="1" t="str">
        <f>IF(Table1[[#This Row],[Spec Type]]="","N/A",Table1[[#This Row],[Spec Type]])</f>
        <v>±</v>
      </c>
      <c r="AC2752" s="1" t="str">
        <f>IF(Table1[[#This Row],[Spec Type2]]="N/A","N/A",IF(AND(Table1[[#This Row],[DUT Adj Read]]&gt;=Table1[[#This Row],[Low Tol]],Table1[[#This Row],[DUT Adj Read]]&lt;=Table1[[#This Row],[High Tol]]),"Pass","Fail"))</f>
        <v>Fail</v>
      </c>
      <c r="AD2752" s="1" t="str">
        <f>IF(AND(Table1[[#This Row],[Spec Type2]]="N/A",Table1[[#This Row],[DUT Adj Read]]="N/A",Table1[[#This Row],[Std Adj Read]]="N/A"),"N/A",IF(Table1[[#This Row],[DUT Adj Read]]="N/A",IF(Table1[[#This Row],[Std Adj Read]]&gt;Table1[[#This Row],[Low Tol]],"Pass","Fail"),IF(Table1[[#This Row],[DUT Adj Read]]&gt;Table1[[#This Row],[Low Tol]],"Pass","Fail")))</f>
        <v>Pass</v>
      </c>
      <c r="AE2752" s="1" t="str">
        <f>IF(AND(Table1[[#This Row],[Spec Type2]]="N/A",Table1[[#This Row],[DUT Adj Read]]="N/A",Table1[[#This Row],[Std Adj Read]]="N/A"),"N/A",IF(Table1[[#This Row],[DUT Adj Read]]="N/A",IF(Table1[[#This Row],[Std Adj Read]]&lt;Table1[[#This Row],[High Tol]],"Pass","Fail"),IF(Table1[[#This Row],[DUT Adj Read]]&lt;Table1[[#This Row],[High Tol]],"Pass","Fail")))</f>
        <v>Fail</v>
      </c>
      <c r="AF2752" s="1" t="str">
        <f>IF(AND(Table1[[#This Row],[Spec Type2]]="N/A",Table1[[#This Row],[DUT Adj Read]]="N/A",Table1[[#This Row],[Std Adj Read]]="N/A"),"N/A",IF(Table1[[#This Row],[DUT Adj Read]]="N/A",IF(Table1[[#This Row],[Std Adj Read]]&gt;=Table1[[#This Row],[Low Tol]],"Pass","Fail"),IF(Table1[[#This Row],[DUT Adj Read]]&gt;=Table1[[#This Row],[Low Tol]],"Pass","Fail")))</f>
        <v>Pass</v>
      </c>
      <c r="AG2752" s="1" t="str">
        <f>IF(AND(Table1[[#This Row],[Spec Type2]]="N/A",Table1[[#This Row],[DUT Adj Read]]="N/A",Table1[[#This Row],[Std Adj Read]]="N/A"),"N/A",IF(Table1[[#This Row],[DUT Adj Read]]="N/A",IF(Table1[[#This Row],[Std Adj Read]]&lt;=Table1[[#This Row],[High Tol]],"Pass","Fail"),IF(Table1[[#This Row],[DUT Adj Read]]&lt;=Table1[[#This Row],[High Tol]],"Pass","Fail")))</f>
        <v>Fail</v>
      </c>
      <c r="AH27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2" s="1" t="b">
        <v>0</v>
      </c>
      <c r="AN2752" s="1" t="b">
        <v>0</v>
      </c>
      <c r="AO2752" s="1" t="b">
        <v>0</v>
      </c>
    </row>
    <row r="2753" spans="1:41" x14ac:dyDescent="0.25">
      <c r="A2753" s="10"/>
      <c r="B2753" s="10"/>
      <c r="C2753" s="10"/>
      <c r="D2753" s="10"/>
      <c r="E2753" s="10"/>
      <c r="F2753" s="10"/>
      <c r="G2753" s="10"/>
      <c r="H2753" s="10"/>
      <c r="I2753" s="1" t="str">
        <f t="shared" si="126"/>
        <v/>
      </c>
      <c r="J2753" s="1" t="s">
        <v>35</v>
      </c>
      <c r="K2753" s="1" t="str">
        <f t="shared" si="127"/>
        <v/>
      </c>
      <c r="L2753" s="1" t="str">
        <f t="shared" si="128"/>
        <v/>
      </c>
      <c r="M2753" s="1">
        <f>IF(OR(Table1[[#This Row],[Std Nom]]="",Table1[[#This Row],[Std Read]]=""),0,Table1[[#This Row],[Std Nom]]-Table1[[#This Row],[Std Read]])</f>
        <v>0</v>
      </c>
      <c r="N2753" s="1">
        <f>IF(Calculations!$F$5="ACCREDITED 17025 WITH UNCERTAINTIES",$N$10,0)</f>
        <v>0</v>
      </c>
      <c r="Q2753" s="1">
        <f>Table1[[#This Row],[High Tol]]-Table1[[#This Row],[Low Tol]]</f>
        <v>0</v>
      </c>
      <c r="R2753" s="1">
        <f>2*Table1[[#This Row],[Std Error]]</f>
        <v>0</v>
      </c>
      <c r="S2753" s="1" t="str">
        <f>IF(Table1[[#This Row],[High Tol]]="","N/A",IFERROR(ABS(Table1[[#This Row],[Tol Span]]/Table1[[#This Row],[Error Span]]),"N/A"))</f>
        <v>N/A</v>
      </c>
      <c r="T2753" s="1" t="str">
        <f>IF(OR(Table1[[#This Row],[Low Tol]]="",Table1[[#This Row],[High Tol]]=""),"Needs Analysis",IF(Table1[[#This Row],[Ratio]]&gt;=4,"Not Significant",IF(Table1[[#This Row],[Ratio]]&gt;=2,"Semi-Significant","Significant")))</f>
        <v>Needs Analysis</v>
      </c>
      <c r="W2753" s="1">
        <f>IF(Table1[[#This Row],[Cal Type]]&lt;&gt;"ACCREDITED 17025 WITH UNCERTAINTIES",0,"")</f>
        <v>0</v>
      </c>
      <c r="X2753" s="1" t="str">
        <f>IF(Table1[[#This Row],[DUT Read]]="","N/A",Table1[[#This Row],[Std Error]]+Table1[[#This Row],[DUT Read]]+Table1[[#This Row],[DUT Ucty]])</f>
        <v>N/A</v>
      </c>
      <c r="Y2753" s="1" t="str">
        <f>IF(Table1[[#This Row],[Std Read]]="","N/A",Table1[[#This Row],[Std Read]]+Table1[[#This Row],[Std Ucty]])</f>
        <v>N/A</v>
      </c>
      <c r="Z27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3" s="1" t="str">
        <f>IF(Table1[[#This Row],[Spec Type]]="","N/A",Table1[[#This Row],[Spec Type]])</f>
        <v>±</v>
      </c>
      <c r="AC2753" s="1" t="str">
        <f>IF(Table1[[#This Row],[Spec Type2]]="N/A","N/A",IF(AND(Table1[[#This Row],[DUT Adj Read]]&gt;=Table1[[#This Row],[Low Tol]],Table1[[#This Row],[DUT Adj Read]]&lt;=Table1[[#This Row],[High Tol]]),"Pass","Fail"))</f>
        <v>Fail</v>
      </c>
      <c r="AD2753" s="1" t="str">
        <f>IF(AND(Table1[[#This Row],[Spec Type2]]="N/A",Table1[[#This Row],[DUT Adj Read]]="N/A",Table1[[#This Row],[Std Adj Read]]="N/A"),"N/A",IF(Table1[[#This Row],[DUT Adj Read]]="N/A",IF(Table1[[#This Row],[Std Adj Read]]&gt;Table1[[#This Row],[Low Tol]],"Pass","Fail"),IF(Table1[[#This Row],[DUT Adj Read]]&gt;Table1[[#This Row],[Low Tol]],"Pass","Fail")))</f>
        <v>Pass</v>
      </c>
      <c r="AE2753" s="1" t="str">
        <f>IF(AND(Table1[[#This Row],[Spec Type2]]="N/A",Table1[[#This Row],[DUT Adj Read]]="N/A",Table1[[#This Row],[Std Adj Read]]="N/A"),"N/A",IF(Table1[[#This Row],[DUT Adj Read]]="N/A",IF(Table1[[#This Row],[Std Adj Read]]&lt;Table1[[#This Row],[High Tol]],"Pass","Fail"),IF(Table1[[#This Row],[DUT Adj Read]]&lt;Table1[[#This Row],[High Tol]],"Pass","Fail")))</f>
        <v>Fail</v>
      </c>
      <c r="AF2753" s="1" t="str">
        <f>IF(AND(Table1[[#This Row],[Spec Type2]]="N/A",Table1[[#This Row],[DUT Adj Read]]="N/A",Table1[[#This Row],[Std Adj Read]]="N/A"),"N/A",IF(Table1[[#This Row],[DUT Adj Read]]="N/A",IF(Table1[[#This Row],[Std Adj Read]]&gt;=Table1[[#This Row],[Low Tol]],"Pass","Fail"),IF(Table1[[#This Row],[DUT Adj Read]]&gt;=Table1[[#This Row],[Low Tol]],"Pass","Fail")))</f>
        <v>Pass</v>
      </c>
      <c r="AG2753" s="1" t="str">
        <f>IF(AND(Table1[[#This Row],[Spec Type2]]="N/A",Table1[[#This Row],[DUT Adj Read]]="N/A",Table1[[#This Row],[Std Adj Read]]="N/A"),"N/A",IF(Table1[[#This Row],[DUT Adj Read]]="N/A",IF(Table1[[#This Row],[Std Adj Read]]&lt;=Table1[[#This Row],[High Tol]],"Pass","Fail"),IF(Table1[[#This Row],[DUT Adj Read]]&lt;=Table1[[#This Row],[High Tol]],"Pass","Fail")))</f>
        <v>Fail</v>
      </c>
      <c r="AH27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3" s="1" t="b">
        <v>0</v>
      </c>
      <c r="AN2753" s="1" t="b">
        <v>0</v>
      </c>
      <c r="AO2753" s="1" t="b">
        <v>0</v>
      </c>
    </row>
    <row r="2754" spans="1:41" x14ac:dyDescent="0.25">
      <c r="A2754" s="10"/>
      <c r="B2754" s="10"/>
      <c r="C2754" s="10"/>
      <c r="D2754" s="10"/>
      <c r="E2754" s="10"/>
      <c r="F2754" s="10"/>
      <c r="G2754" s="10"/>
      <c r="H2754" s="10"/>
      <c r="I2754" s="1" t="str">
        <f t="shared" si="126"/>
        <v/>
      </c>
      <c r="J2754" s="1" t="s">
        <v>35</v>
      </c>
      <c r="K2754" s="1" t="str">
        <f t="shared" si="127"/>
        <v/>
      </c>
      <c r="L2754" s="1" t="str">
        <f t="shared" si="128"/>
        <v/>
      </c>
      <c r="M2754" s="1">
        <f>IF(OR(Table1[[#This Row],[Std Nom]]="",Table1[[#This Row],[Std Read]]=""),0,Table1[[#This Row],[Std Nom]]-Table1[[#This Row],[Std Read]])</f>
        <v>0</v>
      </c>
      <c r="N2754" s="1">
        <f>IF(Calculations!$F$5="ACCREDITED 17025 WITH UNCERTAINTIES",$N$10,0)</f>
        <v>0</v>
      </c>
      <c r="Q2754" s="1">
        <f>Table1[[#This Row],[High Tol]]-Table1[[#This Row],[Low Tol]]</f>
        <v>0</v>
      </c>
      <c r="R2754" s="1">
        <f>2*Table1[[#This Row],[Std Error]]</f>
        <v>0</v>
      </c>
      <c r="S2754" s="1" t="str">
        <f>IF(Table1[[#This Row],[High Tol]]="","N/A",IFERROR(ABS(Table1[[#This Row],[Tol Span]]/Table1[[#This Row],[Error Span]]),"N/A"))</f>
        <v>N/A</v>
      </c>
      <c r="T2754" s="1" t="str">
        <f>IF(OR(Table1[[#This Row],[Low Tol]]="",Table1[[#This Row],[High Tol]]=""),"Needs Analysis",IF(Table1[[#This Row],[Ratio]]&gt;=4,"Not Significant",IF(Table1[[#This Row],[Ratio]]&gt;=2,"Semi-Significant","Significant")))</f>
        <v>Needs Analysis</v>
      </c>
      <c r="W2754" s="1">
        <f>IF(Table1[[#This Row],[Cal Type]]&lt;&gt;"ACCREDITED 17025 WITH UNCERTAINTIES",0,"")</f>
        <v>0</v>
      </c>
      <c r="X2754" s="1" t="str">
        <f>IF(Table1[[#This Row],[DUT Read]]="","N/A",Table1[[#This Row],[Std Error]]+Table1[[#This Row],[DUT Read]]+Table1[[#This Row],[DUT Ucty]])</f>
        <v>N/A</v>
      </c>
      <c r="Y2754" s="1" t="str">
        <f>IF(Table1[[#This Row],[Std Read]]="","N/A",Table1[[#This Row],[Std Read]]+Table1[[#This Row],[Std Ucty]])</f>
        <v>N/A</v>
      </c>
      <c r="Z27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4" s="1" t="str">
        <f>IF(Table1[[#This Row],[Spec Type]]="","N/A",Table1[[#This Row],[Spec Type]])</f>
        <v>±</v>
      </c>
      <c r="AC2754" s="1" t="str">
        <f>IF(Table1[[#This Row],[Spec Type2]]="N/A","N/A",IF(AND(Table1[[#This Row],[DUT Adj Read]]&gt;=Table1[[#This Row],[Low Tol]],Table1[[#This Row],[DUT Adj Read]]&lt;=Table1[[#This Row],[High Tol]]),"Pass","Fail"))</f>
        <v>Fail</v>
      </c>
      <c r="AD2754" s="1" t="str">
        <f>IF(AND(Table1[[#This Row],[Spec Type2]]="N/A",Table1[[#This Row],[DUT Adj Read]]="N/A",Table1[[#This Row],[Std Adj Read]]="N/A"),"N/A",IF(Table1[[#This Row],[DUT Adj Read]]="N/A",IF(Table1[[#This Row],[Std Adj Read]]&gt;Table1[[#This Row],[Low Tol]],"Pass","Fail"),IF(Table1[[#This Row],[DUT Adj Read]]&gt;Table1[[#This Row],[Low Tol]],"Pass","Fail")))</f>
        <v>Pass</v>
      </c>
      <c r="AE2754" s="1" t="str">
        <f>IF(AND(Table1[[#This Row],[Spec Type2]]="N/A",Table1[[#This Row],[DUT Adj Read]]="N/A",Table1[[#This Row],[Std Adj Read]]="N/A"),"N/A",IF(Table1[[#This Row],[DUT Adj Read]]="N/A",IF(Table1[[#This Row],[Std Adj Read]]&lt;Table1[[#This Row],[High Tol]],"Pass","Fail"),IF(Table1[[#This Row],[DUT Adj Read]]&lt;Table1[[#This Row],[High Tol]],"Pass","Fail")))</f>
        <v>Fail</v>
      </c>
      <c r="AF2754" s="1" t="str">
        <f>IF(AND(Table1[[#This Row],[Spec Type2]]="N/A",Table1[[#This Row],[DUT Adj Read]]="N/A",Table1[[#This Row],[Std Adj Read]]="N/A"),"N/A",IF(Table1[[#This Row],[DUT Adj Read]]="N/A",IF(Table1[[#This Row],[Std Adj Read]]&gt;=Table1[[#This Row],[Low Tol]],"Pass","Fail"),IF(Table1[[#This Row],[DUT Adj Read]]&gt;=Table1[[#This Row],[Low Tol]],"Pass","Fail")))</f>
        <v>Pass</v>
      </c>
      <c r="AG2754" s="1" t="str">
        <f>IF(AND(Table1[[#This Row],[Spec Type2]]="N/A",Table1[[#This Row],[DUT Adj Read]]="N/A",Table1[[#This Row],[Std Adj Read]]="N/A"),"N/A",IF(Table1[[#This Row],[DUT Adj Read]]="N/A",IF(Table1[[#This Row],[Std Adj Read]]&lt;=Table1[[#This Row],[High Tol]],"Pass","Fail"),IF(Table1[[#This Row],[DUT Adj Read]]&lt;=Table1[[#This Row],[High Tol]],"Pass","Fail")))</f>
        <v>Fail</v>
      </c>
      <c r="AH27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4" s="1" t="b">
        <v>0</v>
      </c>
      <c r="AN2754" s="1" t="b">
        <v>0</v>
      </c>
      <c r="AO2754" s="1" t="b">
        <v>0</v>
      </c>
    </row>
    <row r="2755" spans="1:41" x14ac:dyDescent="0.25">
      <c r="A2755" s="10"/>
      <c r="B2755" s="10"/>
      <c r="C2755" s="10"/>
      <c r="D2755" s="10"/>
      <c r="E2755" s="10"/>
      <c r="F2755" s="10"/>
      <c r="G2755" s="10"/>
      <c r="H2755" s="10"/>
      <c r="I2755" s="1" t="str">
        <f t="shared" si="126"/>
        <v/>
      </c>
      <c r="J2755" s="1" t="s">
        <v>35</v>
      </c>
      <c r="K2755" s="1" t="str">
        <f t="shared" si="127"/>
        <v/>
      </c>
      <c r="L2755" s="1" t="str">
        <f t="shared" si="128"/>
        <v/>
      </c>
      <c r="M2755" s="1">
        <f>IF(OR(Table1[[#This Row],[Std Nom]]="",Table1[[#This Row],[Std Read]]=""),0,Table1[[#This Row],[Std Nom]]-Table1[[#This Row],[Std Read]])</f>
        <v>0</v>
      </c>
      <c r="N2755" s="1">
        <f>IF(Calculations!$F$5="ACCREDITED 17025 WITH UNCERTAINTIES",$N$10,0)</f>
        <v>0</v>
      </c>
      <c r="Q2755" s="1">
        <f>Table1[[#This Row],[High Tol]]-Table1[[#This Row],[Low Tol]]</f>
        <v>0</v>
      </c>
      <c r="R2755" s="1">
        <f>2*Table1[[#This Row],[Std Error]]</f>
        <v>0</v>
      </c>
      <c r="S2755" s="1" t="str">
        <f>IF(Table1[[#This Row],[High Tol]]="","N/A",IFERROR(ABS(Table1[[#This Row],[Tol Span]]/Table1[[#This Row],[Error Span]]),"N/A"))</f>
        <v>N/A</v>
      </c>
      <c r="T2755" s="1" t="str">
        <f>IF(OR(Table1[[#This Row],[Low Tol]]="",Table1[[#This Row],[High Tol]]=""),"Needs Analysis",IF(Table1[[#This Row],[Ratio]]&gt;=4,"Not Significant",IF(Table1[[#This Row],[Ratio]]&gt;=2,"Semi-Significant","Significant")))</f>
        <v>Needs Analysis</v>
      </c>
      <c r="W2755" s="1">
        <f>IF(Table1[[#This Row],[Cal Type]]&lt;&gt;"ACCREDITED 17025 WITH UNCERTAINTIES",0,"")</f>
        <v>0</v>
      </c>
      <c r="X2755" s="1" t="str">
        <f>IF(Table1[[#This Row],[DUT Read]]="","N/A",Table1[[#This Row],[Std Error]]+Table1[[#This Row],[DUT Read]]+Table1[[#This Row],[DUT Ucty]])</f>
        <v>N/A</v>
      </c>
      <c r="Y2755" s="1" t="str">
        <f>IF(Table1[[#This Row],[Std Read]]="","N/A",Table1[[#This Row],[Std Read]]+Table1[[#This Row],[Std Ucty]])</f>
        <v>N/A</v>
      </c>
      <c r="Z27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5" s="1" t="str">
        <f>IF(Table1[[#This Row],[Spec Type]]="","N/A",Table1[[#This Row],[Spec Type]])</f>
        <v>±</v>
      </c>
      <c r="AC2755" s="1" t="str">
        <f>IF(Table1[[#This Row],[Spec Type2]]="N/A","N/A",IF(AND(Table1[[#This Row],[DUT Adj Read]]&gt;=Table1[[#This Row],[Low Tol]],Table1[[#This Row],[DUT Adj Read]]&lt;=Table1[[#This Row],[High Tol]]),"Pass","Fail"))</f>
        <v>Fail</v>
      </c>
      <c r="AD2755" s="1" t="str">
        <f>IF(AND(Table1[[#This Row],[Spec Type2]]="N/A",Table1[[#This Row],[DUT Adj Read]]="N/A",Table1[[#This Row],[Std Adj Read]]="N/A"),"N/A",IF(Table1[[#This Row],[DUT Adj Read]]="N/A",IF(Table1[[#This Row],[Std Adj Read]]&gt;Table1[[#This Row],[Low Tol]],"Pass","Fail"),IF(Table1[[#This Row],[DUT Adj Read]]&gt;Table1[[#This Row],[Low Tol]],"Pass","Fail")))</f>
        <v>Pass</v>
      </c>
      <c r="AE2755" s="1" t="str">
        <f>IF(AND(Table1[[#This Row],[Spec Type2]]="N/A",Table1[[#This Row],[DUT Adj Read]]="N/A",Table1[[#This Row],[Std Adj Read]]="N/A"),"N/A",IF(Table1[[#This Row],[DUT Adj Read]]="N/A",IF(Table1[[#This Row],[Std Adj Read]]&lt;Table1[[#This Row],[High Tol]],"Pass","Fail"),IF(Table1[[#This Row],[DUT Adj Read]]&lt;Table1[[#This Row],[High Tol]],"Pass","Fail")))</f>
        <v>Fail</v>
      </c>
      <c r="AF2755" s="1" t="str">
        <f>IF(AND(Table1[[#This Row],[Spec Type2]]="N/A",Table1[[#This Row],[DUT Adj Read]]="N/A",Table1[[#This Row],[Std Adj Read]]="N/A"),"N/A",IF(Table1[[#This Row],[DUT Adj Read]]="N/A",IF(Table1[[#This Row],[Std Adj Read]]&gt;=Table1[[#This Row],[Low Tol]],"Pass","Fail"),IF(Table1[[#This Row],[DUT Adj Read]]&gt;=Table1[[#This Row],[Low Tol]],"Pass","Fail")))</f>
        <v>Pass</v>
      </c>
      <c r="AG2755" s="1" t="str">
        <f>IF(AND(Table1[[#This Row],[Spec Type2]]="N/A",Table1[[#This Row],[DUT Adj Read]]="N/A",Table1[[#This Row],[Std Adj Read]]="N/A"),"N/A",IF(Table1[[#This Row],[DUT Adj Read]]="N/A",IF(Table1[[#This Row],[Std Adj Read]]&lt;=Table1[[#This Row],[High Tol]],"Pass","Fail"),IF(Table1[[#This Row],[DUT Adj Read]]&lt;=Table1[[#This Row],[High Tol]],"Pass","Fail")))</f>
        <v>Fail</v>
      </c>
      <c r="AH27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5" s="1" t="b">
        <v>0</v>
      </c>
      <c r="AN2755" s="1" t="b">
        <v>0</v>
      </c>
      <c r="AO2755" s="1" t="b">
        <v>0</v>
      </c>
    </row>
    <row r="2756" spans="1:41" x14ac:dyDescent="0.25">
      <c r="A2756" s="10"/>
      <c r="B2756" s="10"/>
      <c r="C2756" s="10"/>
      <c r="D2756" s="10"/>
      <c r="E2756" s="10"/>
      <c r="F2756" s="10"/>
      <c r="G2756" s="10"/>
      <c r="H2756" s="10"/>
      <c r="I2756" s="1" t="str">
        <f t="shared" si="126"/>
        <v/>
      </c>
      <c r="J2756" s="1" t="s">
        <v>35</v>
      </c>
      <c r="K2756" s="1" t="str">
        <f t="shared" si="127"/>
        <v/>
      </c>
      <c r="L2756" s="1" t="str">
        <f t="shared" si="128"/>
        <v/>
      </c>
      <c r="M2756" s="1">
        <f>IF(OR(Table1[[#This Row],[Std Nom]]="",Table1[[#This Row],[Std Read]]=""),0,Table1[[#This Row],[Std Nom]]-Table1[[#This Row],[Std Read]])</f>
        <v>0</v>
      </c>
      <c r="N2756" s="1">
        <f>IF(Calculations!$F$5="ACCREDITED 17025 WITH UNCERTAINTIES",$N$10,0)</f>
        <v>0</v>
      </c>
      <c r="Q2756" s="1">
        <f>Table1[[#This Row],[High Tol]]-Table1[[#This Row],[Low Tol]]</f>
        <v>0</v>
      </c>
      <c r="R2756" s="1">
        <f>2*Table1[[#This Row],[Std Error]]</f>
        <v>0</v>
      </c>
      <c r="S2756" s="1" t="str">
        <f>IF(Table1[[#This Row],[High Tol]]="","N/A",IFERROR(ABS(Table1[[#This Row],[Tol Span]]/Table1[[#This Row],[Error Span]]),"N/A"))</f>
        <v>N/A</v>
      </c>
      <c r="T2756" s="1" t="str">
        <f>IF(OR(Table1[[#This Row],[Low Tol]]="",Table1[[#This Row],[High Tol]]=""),"Needs Analysis",IF(Table1[[#This Row],[Ratio]]&gt;=4,"Not Significant",IF(Table1[[#This Row],[Ratio]]&gt;=2,"Semi-Significant","Significant")))</f>
        <v>Needs Analysis</v>
      </c>
      <c r="W2756" s="1">
        <f>IF(Table1[[#This Row],[Cal Type]]&lt;&gt;"ACCREDITED 17025 WITH UNCERTAINTIES",0,"")</f>
        <v>0</v>
      </c>
      <c r="X2756" s="1" t="str">
        <f>IF(Table1[[#This Row],[DUT Read]]="","N/A",Table1[[#This Row],[Std Error]]+Table1[[#This Row],[DUT Read]]+Table1[[#This Row],[DUT Ucty]])</f>
        <v>N/A</v>
      </c>
      <c r="Y2756" s="1" t="str">
        <f>IF(Table1[[#This Row],[Std Read]]="","N/A",Table1[[#This Row],[Std Read]]+Table1[[#This Row],[Std Ucty]])</f>
        <v>N/A</v>
      </c>
      <c r="Z27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6" s="1" t="str">
        <f>IF(Table1[[#This Row],[Spec Type]]="","N/A",Table1[[#This Row],[Spec Type]])</f>
        <v>±</v>
      </c>
      <c r="AC2756" s="1" t="str">
        <f>IF(Table1[[#This Row],[Spec Type2]]="N/A","N/A",IF(AND(Table1[[#This Row],[DUT Adj Read]]&gt;=Table1[[#This Row],[Low Tol]],Table1[[#This Row],[DUT Adj Read]]&lt;=Table1[[#This Row],[High Tol]]),"Pass","Fail"))</f>
        <v>Fail</v>
      </c>
      <c r="AD2756" s="1" t="str">
        <f>IF(AND(Table1[[#This Row],[Spec Type2]]="N/A",Table1[[#This Row],[DUT Adj Read]]="N/A",Table1[[#This Row],[Std Adj Read]]="N/A"),"N/A",IF(Table1[[#This Row],[DUT Adj Read]]="N/A",IF(Table1[[#This Row],[Std Adj Read]]&gt;Table1[[#This Row],[Low Tol]],"Pass","Fail"),IF(Table1[[#This Row],[DUT Adj Read]]&gt;Table1[[#This Row],[Low Tol]],"Pass","Fail")))</f>
        <v>Pass</v>
      </c>
      <c r="AE2756" s="1" t="str">
        <f>IF(AND(Table1[[#This Row],[Spec Type2]]="N/A",Table1[[#This Row],[DUT Adj Read]]="N/A",Table1[[#This Row],[Std Adj Read]]="N/A"),"N/A",IF(Table1[[#This Row],[DUT Adj Read]]="N/A",IF(Table1[[#This Row],[Std Adj Read]]&lt;Table1[[#This Row],[High Tol]],"Pass","Fail"),IF(Table1[[#This Row],[DUT Adj Read]]&lt;Table1[[#This Row],[High Tol]],"Pass","Fail")))</f>
        <v>Fail</v>
      </c>
      <c r="AF2756" s="1" t="str">
        <f>IF(AND(Table1[[#This Row],[Spec Type2]]="N/A",Table1[[#This Row],[DUT Adj Read]]="N/A",Table1[[#This Row],[Std Adj Read]]="N/A"),"N/A",IF(Table1[[#This Row],[DUT Adj Read]]="N/A",IF(Table1[[#This Row],[Std Adj Read]]&gt;=Table1[[#This Row],[Low Tol]],"Pass","Fail"),IF(Table1[[#This Row],[DUT Adj Read]]&gt;=Table1[[#This Row],[Low Tol]],"Pass","Fail")))</f>
        <v>Pass</v>
      </c>
      <c r="AG2756" s="1" t="str">
        <f>IF(AND(Table1[[#This Row],[Spec Type2]]="N/A",Table1[[#This Row],[DUT Adj Read]]="N/A",Table1[[#This Row],[Std Adj Read]]="N/A"),"N/A",IF(Table1[[#This Row],[DUT Adj Read]]="N/A",IF(Table1[[#This Row],[Std Adj Read]]&lt;=Table1[[#This Row],[High Tol]],"Pass","Fail"),IF(Table1[[#This Row],[DUT Adj Read]]&lt;=Table1[[#This Row],[High Tol]],"Pass","Fail")))</f>
        <v>Fail</v>
      </c>
      <c r="AH27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6" s="1" t="b">
        <v>0</v>
      </c>
      <c r="AN2756" s="1" t="b">
        <v>0</v>
      </c>
      <c r="AO2756" s="1" t="b">
        <v>0</v>
      </c>
    </row>
    <row r="2757" spans="1:41" x14ac:dyDescent="0.25">
      <c r="A2757" s="10"/>
      <c r="B2757" s="10"/>
      <c r="C2757" s="10"/>
      <c r="D2757" s="10"/>
      <c r="E2757" s="10"/>
      <c r="F2757" s="10"/>
      <c r="G2757" s="10"/>
      <c r="H2757" s="10"/>
      <c r="I2757" s="1" t="str">
        <f t="shared" si="126"/>
        <v/>
      </c>
      <c r="J2757" s="1" t="s">
        <v>35</v>
      </c>
      <c r="K2757" s="1" t="str">
        <f t="shared" si="127"/>
        <v/>
      </c>
      <c r="L2757" s="1" t="str">
        <f t="shared" si="128"/>
        <v/>
      </c>
      <c r="M2757" s="1">
        <f>IF(OR(Table1[[#This Row],[Std Nom]]="",Table1[[#This Row],[Std Read]]=""),0,Table1[[#This Row],[Std Nom]]-Table1[[#This Row],[Std Read]])</f>
        <v>0</v>
      </c>
      <c r="N2757" s="1">
        <f>IF(Calculations!$F$5="ACCREDITED 17025 WITH UNCERTAINTIES",$N$10,0)</f>
        <v>0</v>
      </c>
      <c r="Q2757" s="1">
        <f>Table1[[#This Row],[High Tol]]-Table1[[#This Row],[Low Tol]]</f>
        <v>0</v>
      </c>
      <c r="R2757" s="1">
        <f>2*Table1[[#This Row],[Std Error]]</f>
        <v>0</v>
      </c>
      <c r="S2757" s="1" t="str">
        <f>IF(Table1[[#This Row],[High Tol]]="","N/A",IFERROR(ABS(Table1[[#This Row],[Tol Span]]/Table1[[#This Row],[Error Span]]),"N/A"))</f>
        <v>N/A</v>
      </c>
      <c r="T2757" s="1" t="str">
        <f>IF(OR(Table1[[#This Row],[Low Tol]]="",Table1[[#This Row],[High Tol]]=""),"Needs Analysis",IF(Table1[[#This Row],[Ratio]]&gt;=4,"Not Significant",IF(Table1[[#This Row],[Ratio]]&gt;=2,"Semi-Significant","Significant")))</f>
        <v>Needs Analysis</v>
      </c>
      <c r="W2757" s="1">
        <f>IF(Table1[[#This Row],[Cal Type]]&lt;&gt;"ACCREDITED 17025 WITH UNCERTAINTIES",0,"")</f>
        <v>0</v>
      </c>
      <c r="X2757" s="1" t="str">
        <f>IF(Table1[[#This Row],[DUT Read]]="","N/A",Table1[[#This Row],[Std Error]]+Table1[[#This Row],[DUT Read]]+Table1[[#This Row],[DUT Ucty]])</f>
        <v>N/A</v>
      </c>
      <c r="Y2757" s="1" t="str">
        <f>IF(Table1[[#This Row],[Std Read]]="","N/A",Table1[[#This Row],[Std Read]]+Table1[[#This Row],[Std Ucty]])</f>
        <v>N/A</v>
      </c>
      <c r="Z27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7" s="1" t="str">
        <f>IF(Table1[[#This Row],[Spec Type]]="","N/A",Table1[[#This Row],[Spec Type]])</f>
        <v>±</v>
      </c>
      <c r="AC2757" s="1" t="str">
        <f>IF(Table1[[#This Row],[Spec Type2]]="N/A","N/A",IF(AND(Table1[[#This Row],[DUT Adj Read]]&gt;=Table1[[#This Row],[Low Tol]],Table1[[#This Row],[DUT Adj Read]]&lt;=Table1[[#This Row],[High Tol]]),"Pass","Fail"))</f>
        <v>Fail</v>
      </c>
      <c r="AD2757" s="1" t="str">
        <f>IF(AND(Table1[[#This Row],[Spec Type2]]="N/A",Table1[[#This Row],[DUT Adj Read]]="N/A",Table1[[#This Row],[Std Adj Read]]="N/A"),"N/A",IF(Table1[[#This Row],[DUT Adj Read]]="N/A",IF(Table1[[#This Row],[Std Adj Read]]&gt;Table1[[#This Row],[Low Tol]],"Pass","Fail"),IF(Table1[[#This Row],[DUT Adj Read]]&gt;Table1[[#This Row],[Low Tol]],"Pass","Fail")))</f>
        <v>Pass</v>
      </c>
      <c r="AE2757" s="1" t="str">
        <f>IF(AND(Table1[[#This Row],[Spec Type2]]="N/A",Table1[[#This Row],[DUT Adj Read]]="N/A",Table1[[#This Row],[Std Adj Read]]="N/A"),"N/A",IF(Table1[[#This Row],[DUT Adj Read]]="N/A",IF(Table1[[#This Row],[Std Adj Read]]&lt;Table1[[#This Row],[High Tol]],"Pass","Fail"),IF(Table1[[#This Row],[DUT Adj Read]]&lt;Table1[[#This Row],[High Tol]],"Pass","Fail")))</f>
        <v>Fail</v>
      </c>
      <c r="AF2757" s="1" t="str">
        <f>IF(AND(Table1[[#This Row],[Spec Type2]]="N/A",Table1[[#This Row],[DUT Adj Read]]="N/A",Table1[[#This Row],[Std Adj Read]]="N/A"),"N/A",IF(Table1[[#This Row],[DUT Adj Read]]="N/A",IF(Table1[[#This Row],[Std Adj Read]]&gt;=Table1[[#This Row],[Low Tol]],"Pass","Fail"),IF(Table1[[#This Row],[DUT Adj Read]]&gt;=Table1[[#This Row],[Low Tol]],"Pass","Fail")))</f>
        <v>Pass</v>
      </c>
      <c r="AG2757" s="1" t="str">
        <f>IF(AND(Table1[[#This Row],[Spec Type2]]="N/A",Table1[[#This Row],[DUT Adj Read]]="N/A",Table1[[#This Row],[Std Adj Read]]="N/A"),"N/A",IF(Table1[[#This Row],[DUT Adj Read]]="N/A",IF(Table1[[#This Row],[Std Adj Read]]&lt;=Table1[[#This Row],[High Tol]],"Pass","Fail"),IF(Table1[[#This Row],[DUT Adj Read]]&lt;=Table1[[#This Row],[High Tol]],"Pass","Fail")))</f>
        <v>Fail</v>
      </c>
      <c r="AH27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7" s="1" t="b">
        <v>0</v>
      </c>
      <c r="AN2757" s="1" t="b">
        <v>0</v>
      </c>
      <c r="AO2757" s="1" t="b">
        <v>0</v>
      </c>
    </row>
    <row r="2758" spans="1:41" x14ac:dyDescent="0.25">
      <c r="A2758" s="10"/>
      <c r="B2758" s="10"/>
      <c r="C2758" s="10"/>
      <c r="D2758" s="10"/>
      <c r="E2758" s="10"/>
      <c r="F2758" s="10"/>
      <c r="G2758" s="10"/>
      <c r="H2758" s="10"/>
      <c r="I2758" s="1" t="str">
        <f t="shared" si="126"/>
        <v/>
      </c>
      <c r="J2758" s="1" t="s">
        <v>35</v>
      </c>
      <c r="K2758" s="1" t="str">
        <f t="shared" si="127"/>
        <v/>
      </c>
      <c r="L2758" s="1" t="str">
        <f t="shared" si="128"/>
        <v/>
      </c>
      <c r="M2758" s="1">
        <f>IF(OR(Table1[[#This Row],[Std Nom]]="",Table1[[#This Row],[Std Read]]=""),0,Table1[[#This Row],[Std Nom]]-Table1[[#This Row],[Std Read]])</f>
        <v>0</v>
      </c>
      <c r="N2758" s="1">
        <f>IF(Calculations!$F$5="ACCREDITED 17025 WITH UNCERTAINTIES",$N$10,0)</f>
        <v>0</v>
      </c>
      <c r="Q2758" s="1">
        <f>Table1[[#This Row],[High Tol]]-Table1[[#This Row],[Low Tol]]</f>
        <v>0</v>
      </c>
      <c r="R2758" s="1">
        <f>2*Table1[[#This Row],[Std Error]]</f>
        <v>0</v>
      </c>
      <c r="S2758" s="1" t="str">
        <f>IF(Table1[[#This Row],[High Tol]]="","N/A",IFERROR(ABS(Table1[[#This Row],[Tol Span]]/Table1[[#This Row],[Error Span]]),"N/A"))</f>
        <v>N/A</v>
      </c>
      <c r="T2758" s="1" t="str">
        <f>IF(OR(Table1[[#This Row],[Low Tol]]="",Table1[[#This Row],[High Tol]]=""),"Needs Analysis",IF(Table1[[#This Row],[Ratio]]&gt;=4,"Not Significant",IF(Table1[[#This Row],[Ratio]]&gt;=2,"Semi-Significant","Significant")))</f>
        <v>Needs Analysis</v>
      </c>
      <c r="W2758" s="1">
        <f>IF(Table1[[#This Row],[Cal Type]]&lt;&gt;"ACCREDITED 17025 WITH UNCERTAINTIES",0,"")</f>
        <v>0</v>
      </c>
      <c r="X2758" s="1" t="str">
        <f>IF(Table1[[#This Row],[DUT Read]]="","N/A",Table1[[#This Row],[Std Error]]+Table1[[#This Row],[DUT Read]]+Table1[[#This Row],[DUT Ucty]])</f>
        <v>N/A</v>
      </c>
      <c r="Y2758" s="1" t="str">
        <f>IF(Table1[[#This Row],[Std Read]]="","N/A",Table1[[#This Row],[Std Read]]+Table1[[#This Row],[Std Ucty]])</f>
        <v>N/A</v>
      </c>
      <c r="Z27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8" s="1" t="str">
        <f>IF(Table1[[#This Row],[Spec Type]]="","N/A",Table1[[#This Row],[Spec Type]])</f>
        <v>±</v>
      </c>
      <c r="AC2758" s="1" t="str">
        <f>IF(Table1[[#This Row],[Spec Type2]]="N/A","N/A",IF(AND(Table1[[#This Row],[DUT Adj Read]]&gt;=Table1[[#This Row],[Low Tol]],Table1[[#This Row],[DUT Adj Read]]&lt;=Table1[[#This Row],[High Tol]]),"Pass","Fail"))</f>
        <v>Fail</v>
      </c>
      <c r="AD2758" s="1" t="str">
        <f>IF(AND(Table1[[#This Row],[Spec Type2]]="N/A",Table1[[#This Row],[DUT Adj Read]]="N/A",Table1[[#This Row],[Std Adj Read]]="N/A"),"N/A",IF(Table1[[#This Row],[DUT Adj Read]]="N/A",IF(Table1[[#This Row],[Std Adj Read]]&gt;Table1[[#This Row],[Low Tol]],"Pass","Fail"),IF(Table1[[#This Row],[DUT Adj Read]]&gt;Table1[[#This Row],[Low Tol]],"Pass","Fail")))</f>
        <v>Pass</v>
      </c>
      <c r="AE2758" s="1" t="str">
        <f>IF(AND(Table1[[#This Row],[Spec Type2]]="N/A",Table1[[#This Row],[DUT Adj Read]]="N/A",Table1[[#This Row],[Std Adj Read]]="N/A"),"N/A",IF(Table1[[#This Row],[DUT Adj Read]]="N/A",IF(Table1[[#This Row],[Std Adj Read]]&lt;Table1[[#This Row],[High Tol]],"Pass","Fail"),IF(Table1[[#This Row],[DUT Adj Read]]&lt;Table1[[#This Row],[High Tol]],"Pass","Fail")))</f>
        <v>Fail</v>
      </c>
      <c r="AF2758" s="1" t="str">
        <f>IF(AND(Table1[[#This Row],[Spec Type2]]="N/A",Table1[[#This Row],[DUT Adj Read]]="N/A",Table1[[#This Row],[Std Adj Read]]="N/A"),"N/A",IF(Table1[[#This Row],[DUT Adj Read]]="N/A",IF(Table1[[#This Row],[Std Adj Read]]&gt;=Table1[[#This Row],[Low Tol]],"Pass","Fail"),IF(Table1[[#This Row],[DUT Adj Read]]&gt;=Table1[[#This Row],[Low Tol]],"Pass","Fail")))</f>
        <v>Pass</v>
      </c>
      <c r="AG2758" s="1" t="str">
        <f>IF(AND(Table1[[#This Row],[Spec Type2]]="N/A",Table1[[#This Row],[DUT Adj Read]]="N/A",Table1[[#This Row],[Std Adj Read]]="N/A"),"N/A",IF(Table1[[#This Row],[DUT Adj Read]]="N/A",IF(Table1[[#This Row],[Std Adj Read]]&lt;=Table1[[#This Row],[High Tol]],"Pass","Fail"),IF(Table1[[#This Row],[DUT Adj Read]]&lt;=Table1[[#This Row],[High Tol]],"Pass","Fail")))</f>
        <v>Fail</v>
      </c>
      <c r="AH27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8" s="1" t="b">
        <v>0</v>
      </c>
      <c r="AN2758" s="1" t="b">
        <v>0</v>
      </c>
      <c r="AO2758" s="1" t="b">
        <v>0</v>
      </c>
    </row>
    <row r="2759" spans="1:41" x14ac:dyDescent="0.25">
      <c r="A2759" s="10"/>
      <c r="B2759" s="10"/>
      <c r="C2759" s="10"/>
      <c r="D2759" s="10"/>
      <c r="E2759" s="10"/>
      <c r="F2759" s="10"/>
      <c r="G2759" s="10"/>
      <c r="H2759" s="10"/>
      <c r="I2759" s="1" t="str">
        <f t="shared" si="126"/>
        <v/>
      </c>
      <c r="J2759" s="1" t="s">
        <v>35</v>
      </c>
      <c r="K2759" s="1" t="str">
        <f t="shared" si="127"/>
        <v/>
      </c>
      <c r="L2759" s="1" t="str">
        <f t="shared" si="128"/>
        <v/>
      </c>
      <c r="M2759" s="1">
        <f>IF(OR(Table1[[#This Row],[Std Nom]]="",Table1[[#This Row],[Std Read]]=""),0,Table1[[#This Row],[Std Nom]]-Table1[[#This Row],[Std Read]])</f>
        <v>0</v>
      </c>
      <c r="N2759" s="1">
        <f>IF(Calculations!$F$5="ACCREDITED 17025 WITH UNCERTAINTIES",$N$10,0)</f>
        <v>0</v>
      </c>
      <c r="Q2759" s="1">
        <f>Table1[[#This Row],[High Tol]]-Table1[[#This Row],[Low Tol]]</f>
        <v>0</v>
      </c>
      <c r="R2759" s="1">
        <f>2*Table1[[#This Row],[Std Error]]</f>
        <v>0</v>
      </c>
      <c r="S2759" s="1" t="str">
        <f>IF(Table1[[#This Row],[High Tol]]="","N/A",IFERROR(ABS(Table1[[#This Row],[Tol Span]]/Table1[[#This Row],[Error Span]]),"N/A"))</f>
        <v>N/A</v>
      </c>
      <c r="T2759" s="1" t="str">
        <f>IF(OR(Table1[[#This Row],[Low Tol]]="",Table1[[#This Row],[High Tol]]=""),"Needs Analysis",IF(Table1[[#This Row],[Ratio]]&gt;=4,"Not Significant",IF(Table1[[#This Row],[Ratio]]&gt;=2,"Semi-Significant","Significant")))</f>
        <v>Needs Analysis</v>
      </c>
      <c r="W2759" s="1">
        <f>IF(Table1[[#This Row],[Cal Type]]&lt;&gt;"ACCREDITED 17025 WITH UNCERTAINTIES",0,"")</f>
        <v>0</v>
      </c>
      <c r="X2759" s="1" t="str">
        <f>IF(Table1[[#This Row],[DUT Read]]="","N/A",Table1[[#This Row],[Std Error]]+Table1[[#This Row],[DUT Read]]+Table1[[#This Row],[DUT Ucty]])</f>
        <v>N/A</v>
      </c>
      <c r="Y2759" s="1" t="str">
        <f>IF(Table1[[#This Row],[Std Read]]="","N/A",Table1[[#This Row],[Std Read]]+Table1[[#This Row],[Std Ucty]])</f>
        <v>N/A</v>
      </c>
      <c r="Z27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59" s="1" t="str">
        <f>IF(Table1[[#This Row],[Spec Type]]="","N/A",Table1[[#This Row],[Spec Type]])</f>
        <v>±</v>
      </c>
      <c r="AC2759" s="1" t="str">
        <f>IF(Table1[[#This Row],[Spec Type2]]="N/A","N/A",IF(AND(Table1[[#This Row],[DUT Adj Read]]&gt;=Table1[[#This Row],[Low Tol]],Table1[[#This Row],[DUT Adj Read]]&lt;=Table1[[#This Row],[High Tol]]),"Pass","Fail"))</f>
        <v>Fail</v>
      </c>
      <c r="AD2759" s="1" t="str">
        <f>IF(AND(Table1[[#This Row],[Spec Type2]]="N/A",Table1[[#This Row],[DUT Adj Read]]="N/A",Table1[[#This Row],[Std Adj Read]]="N/A"),"N/A",IF(Table1[[#This Row],[DUT Adj Read]]="N/A",IF(Table1[[#This Row],[Std Adj Read]]&gt;Table1[[#This Row],[Low Tol]],"Pass","Fail"),IF(Table1[[#This Row],[DUT Adj Read]]&gt;Table1[[#This Row],[Low Tol]],"Pass","Fail")))</f>
        <v>Pass</v>
      </c>
      <c r="AE2759" s="1" t="str">
        <f>IF(AND(Table1[[#This Row],[Spec Type2]]="N/A",Table1[[#This Row],[DUT Adj Read]]="N/A",Table1[[#This Row],[Std Adj Read]]="N/A"),"N/A",IF(Table1[[#This Row],[DUT Adj Read]]="N/A",IF(Table1[[#This Row],[Std Adj Read]]&lt;Table1[[#This Row],[High Tol]],"Pass","Fail"),IF(Table1[[#This Row],[DUT Adj Read]]&lt;Table1[[#This Row],[High Tol]],"Pass","Fail")))</f>
        <v>Fail</v>
      </c>
      <c r="AF2759" s="1" t="str">
        <f>IF(AND(Table1[[#This Row],[Spec Type2]]="N/A",Table1[[#This Row],[DUT Adj Read]]="N/A",Table1[[#This Row],[Std Adj Read]]="N/A"),"N/A",IF(Table1[[#This Row],[DUT Adj Read]]="N/A",IF(Table1[[#This Row],[Std Adj Read]]&gt;=Table1[[#This Row],[Low Tol]],"Pass","Fail"),IF(Table1[[#This Row],[DUT Adj Read]]&gt;=Table1[[#This Row],[Low Tol]],"Pass","Fail")))</f>
        <v>Pass</v>
      </c>
      <c r="AG2759" s="1" t="str">
        <f>IF(AND(Table1[[#This Row],[Spec Type2]]="N/A",Table1[[#This Row],[DUT Adj Read]]="N/A",Table1[[#This Row],[Std Adj Read]]="N/A"),"N/A",IF(Table1[[#This Row],[DUT Adj Read]]="N/A",IF(Table1[[#This Row],[Std Adj Read]]&lt;=Table1[[#This Row],[High Tol]],"Pass","Fail"),IF(Table1[[#This Row],[DUT Adj Read]]&lt;=Table1[[#This Row],[High Tol]],"Pass","Fail")))</f>
        <v>Fail</v>
      </c>
      <c r="AH27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59" s="1" t="b">
        <v>0</v>
      </c>
      <c r="AN2759" s="1" t="b">
        <v>0</v>
      </c>
      <c r="AO2759" s="1" t="b">
        <v>0</v>
      </c>
    </row>
    <row r="2760" spans="1:41" x14ac:dyDescent="0.25">
      <c r="A2760" s="10"/>
      <c r="B2760" s="10"/>
      <c r="C2760" s="10"/>
      <c r="D2760" s="10"/>
      <c r="E2760" s="10"/>
      <c r="F2760" s="10"/>
      <c r="G2760" s="10"/>
      <c r="H2760" s="10"/>
      <c r="I2760" s="1" t="str">
        <f t="shared" si="126"/>
        <v/>
      </c>
      <c r="J2760" s="1" t="s">
        <v>35</v>
      </c>
      <c r="K2760" s="1" t="str">
        <f t="shared" si="127"/>
        <v/>
      </c>
      <c r="L2760" s="1" t="str">
        <f t="shared" si="128"/>
        <v/>
      </c>
      <c r="M2760" s="1">
        <f>IF(OR(Table1[[#This Row],[Std Nom]]="",Table1[[#This Row],[Std Read]]=""),0,Table1[[#This Row],[Std Nom]]-Table1[[#This Row],[Std Read]])</f>
        <v>0</v>
      </c>
      <c r="N2760" s="1">
        <f>IF(Calculations!$F$5="ACCREDITED 17025 WITH UNCERTAINTIES",$N$10,0)</f>
        <v>0</v>
      </c>
      <c r="Q2760" s="1">
        <f>Table1[[#This Row],[High Tol]]-Table1[[#This Row],[Low Tol]]</f>
        <v>0</v>
      </c>
      <c r="R2760" s="1">
        <f>2*Table1[[#This Row],[Std Error]]</f>
        <v>0</v>
      </c>
      <c r="S2760" s="1" t="str">
        <f>IF(Table1[[#This Row],[High Tol]]="","N/A",IFERROR(ABS(Table1[[#This Row],[Tol Span]]/Table1[[#This Row],[Error Span]]),"N/A"))</f>
        <v>N/A</v>
      </c>
      <c r="T2760" s="1" t="str">
        <f>IF(OR(Table1[[#This Row],[Low Tol]]="",Table1[[#This Row],[High Tol]]=""),"Needs Analysis",IF(Table1[[#This Row],[Ratio]]&gt;=4,"Not Significant",IF(Table1[[#This Row],[Ratio]]&gt;=2,"Semi-Significant","Significant")))</f>
        <v>Needs Analysis</v>
      </c>
      <c r="W2760" s="1">
        <f>IF(Table1[[#This Row],[Cal Type]]&lt;&gt;"ACCREDITED 17025 WITH UNCERTAINTIES",0,"")</f>
        <v>0</v>
      </c>
      <c r="X2760" s="1" t="str">
        <f>IF(Table1[[#This Row],[DUT Read]]="","N/A",Table1[[#This Row],[Std Error]]+Table1[[#This Row],[DUT Read]]+Table1[[#This Row],[DUT Ucty]])</f>
        <v>N/A</v>
      </c>
      <c r="Y2760" s="1" t="str">
        <f>IF(Table1[[#This Row],[Std Read]]="","N/A",Table1[[#This Row],[Std Read]]+Table1[[#This Row],[Std Ucty]])</f>
        <v>N/A</v>
      </c>
      <c r="Z27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0" s="1" t="str">
        <f>IF(Table1[[#This Row],[Spec Type]]="","N/A",Table1[[#This Row],[Spec Type]])</f>
        <v>±</v>
      </c>
      <c r="AC2760" s="1" t="str">
        <f>IF(Table1[[#This Row],[Spec Type2]]="N/A","N/A",IF(AND(Table1[[#This Row],[DUT Adj Read]]&gt;=Table1[[#This Row],[Low Tol]],Table1[[#This Row],[DUT Adj Read]]&lt;=Table1[[#This Row],[High Tol]]),"Pass","Fail"))</f>
        <v>Fail</v>
      </c>
      <c r="AD2760" s="1" t="str">
        <f>IF(AND(Table1[[#This Row],[Spec Type2]]="N/A",Table1[[#This Row],[DUT Adj Read]]="N/A",Table1[[#This Row],[Std Adj Read]]="N/A"),"N/A",IF(Table1[[#This Row],[DUT Adj Read]]="N/A",IF(Table1[[#This Row],[Std Adj Read]]&gt;Table1[[#This Row],[Low Tol]],"Pass","Fail"),IF(Table1[[#This Row],[DUT Adj Read]]&gt;Table1[[#This Row],[Low Tol]],"Pass","Fail")))</f>
        <v>Pass</v>
      </c>
      <c r="AE2760" s="1" t="str">
        <f>IF(AND(Table1[[#This Row],[Spec Type2]]="N/A",Table1[[#This Row],[DUT Adj Read]]="N/A",Table1[[#This Row],[Std Adj Read]]="N/A"),"N/A",IF(Table1[[#This Row],[DUT Adj Read]]="N/A",IF(Table1[[#This Row],[Std Adj Read]]&lt;Table1[[#This Row],[High Tol]],"Pass","Fail"),IF(Table1[[#This Row],[DUT Adj Read]]&lt;Table1[[#This Row],[High Tol]],"Pass","Fail")))</f>
        <v>Fail</v>
      </c>
      <c r="AF2760" s="1" t="str">
        <f>IF(AND(Table1[[#This Row],[Spec Type2]]="N/A",Table1[[#This Row],[DUT Adj Read]]="N/A",Table1[[#This Row],[Std Adj Read]]="N/A"),"N/A",IF(Table1[[#This Row],[DUT Adj Read]]="N/A",IF(Table1[[#This Row],[Std Adj Read]]&gt;=Table1[[#This Row],[Low Tol]],"Pass","Fail"),IF(Table1[[#This Row],[DUT Adj Read]]&gt;=Table1[[#This Row],[Low Tol]],"Pass","Fail")))</f>
        <v>Pass</v>
      </c>
      <c r="AG2760" s="1" t="str">
        <f>IF(AND(Table1[[#This Row],[Spec Type2]]="N/A",Table1[[#This Row],[DUT Adj Read]]="N/A",Table1[[#This Row],[Std Adj Read]]="N/A"),"N/A",IF(Table1[[#This Row],[DUT Adj Read]]="N/A",IF(Table1[[#This Row],[Std Adj Read]]&lt;=Table1[[#This Row],[High Tol]],"Pass","Fail"),IF(Table1[[#This Row],[DUT Adj Read]]&lt;=Table1[[#This Row],[High Tol]],"Pass","Fail")))</f>
        <v>Fail</v>
      </c>
      <c r="AH27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0" s="1" t="b">
        <v>0</v>
      </c>
      <c r="AN2760" s="1" t="b">
        <v>0</v>
      </c>
      <c r="AO2760" s="1" t="b">
        <v>0</v>
      </c>
    </row>
    <row r="2761" spans="1:41" x14ac:dyDescent="0.25">
      <c r="A2761" s="10"/>
      <c r="B2761" s="10"/>
      <c r="C2761" s="10"/>
      <c r="D2761" s="10"/>
      <c r="E2761" s="10"/>
      <c r="F2761" s="10"/>
      <c r="G2761" s="10"/>
      <c r="H2761" s="10"/>
      <c r="I2761" s="1" t="str">
        <f t="shared" si="126"/>
        <v/>
      </c>
      <c r="J2761" s="1" t="s">
        <v>35</v>
      </c>
      <c r="K2761" s="1" t="str">
        <f t="shared" si="127"/>
        <v/>
      </c>
      <c r="L2761" s="1" t="str">
        <f t="shared" si="128"/>
        <v/>
      </c>
      <c r="M2761" s="1">
        <f>IF(OR(Table1[[#This Row],[Std Nom]]="",Table1[[#This Row],[Std Read]]=""),0,Table1[[#This Row],[Std Nom]]-Table1[[#This Row],[Std Read]])</f>
        <v>0</v>
      </c>
      <c r="N2761" s="1">
        <f>IF(Calculations!$F$5="ACCREDITED 17025 WITH UNCERTAINTIES",$N$10,0)</f>
        <v>0</v>
      </c>
      <c r="Q2761" s="1">
        <f>Table1[[#This Row],[High Tol]]-Table1[[#This Row],[Low Tol]]</f>
        <v>0</v>
      </c>
      <c r="R2761" s="1">
        <f>2*Table1[[#This Row],[Std Error]]</f>
        <v>0</v>
      </c>
      <c r="S2761" s="1" t="str">
        <f>IF(Table1[[#This Row],[High Tol]]="","N/A",IFERROR(ABS(Table1[[#This Row],[Tol Span]]/Table1[[#This Row],[Error Span]]),"N/A"))</f>
        <v>N/A</v>
      </c>
      <c r="T2761" s="1" t="str">
        <f>IF(OR(Table1[[#This Row],[Low Tol]]="",Table1[[#This Row],[High Tol]]=""),"Needs Analysis",IF(Table1[[#This Row],[Ratio]]&gt;=4,"Not Significant",IF(Table1[[#This Row],[Ratio]]&gt;=2,"Semi-Significant","Significant")))</f>
        <v>Needs Analysis</v>
      </c>
      <c r="W2761" s="1">
        <f>IF(Table1[[#This Row],[Cal Type]]&lt;&gt;"ACCREDITED 17025 WITH UNCERTAINTIES",0,"")</f>
        <v>0</v>
      </c>
      <c r="X2761" s="1" t="str">
        <f>IF(Table1[[#This Row],[DUT Read]]="","N/A",Table1[[#This Row],[Std Error]]+Table1[[#This Row],[DUT Read]]+Table1[[#This Row],[DUT Ucty]])</f>
        <v>N/A</v>
      </c>
      <c r="Y2761" s="1" t="str">
        <f>IF(Table1[[#This Row],[Std Read]]="","N/A",Table1[[#This Row],[Std Read]]+Table1[[#This Row],[Std Ucty]])</f>
        <v>N/A</v>
      </c>
      <c r="Z27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1" s="1" t="str">
        <f>IF(Table1[[#This Row],[Spec Type]]="","N/A",Table1[[#This Row],[Spec Type]])</f>
        <v>±</v>
      </c>
      <c r="AC2761" s="1" t="str">
        <f>IF(Table1[[#This Row],[Spec Type2]]="N/A","N/A",IF(AND(Table1[[#This Row],[DUT Adj Read]]&gt;=Table1[[#This Row],[Low Tol]],Table1[[#This Row],[DUT Adj Read]]&lt;=Table1[[#This Row],[High Tol]]),"Pass","Fail"))</f>
        <v>Fail</v>
      </c>
      <c r="AD2761" s="1" t="str">
        <f>IF(AND(Table1[[#This Row],[Spec Type2]]="N/A",Table1[[#This Row],[DUT Adj Read]]="N/A",Table1[[#This Row],[Std Adj Read]]="N/A"),"N/A",IF(Table1[[#This Row],[DUT Adj Read]]="N/A",IF(Table1[[#This Row],[Std Adj Read]]&gt;Table1[[#This Row],[Low Tol]],"Pass","Fail"),IF(Table1[[#This Row],[DUT Adj Read]]&gt;Table1[[#This Row],[Low Tol]],"Pass","Fail")))</f>
        <v>Pass</v>
      </c>
      <c r="AE2761" s="1" t="str">
        <f>IF(AND(Table1[[#This Row],[Spec Type2]]="N/A",Table1[[#This Row],[DUT Adj Read]]="N/A",Table1[[#This Row],[Std Adj Read]]="N/A"),"N/A",IF(Table1[[#This Row],[DUT Adj Read]]="N/A",IF(Table1[[#This Row],[Std Adj Read]]&lt;Table1[[#This Row],[High Tol]],"Pass","Fail"),IF(Table1[[#This Row],[DUT Adj Read]]&lt;Table1[[#This Row],[High Tol]],"Pass","Fail")))</f>
        <v>Fail</v>
      </c>
      <c r="AF2761" s="1" t="str">
        <f>IF(AND(Table1[[#This Row],[Spec Type2]]="N/A",Table1[[#This Row],[DUT Adj Read]]="N/A",Table1[[#This Row],[Std Adj Read]]="N/A"),"N/A",IF(Table1[[#This Row],[DUT Adj Read]]="N/A",IF(Table1[[#This Row],[Std Adj Read]]&gt;=Table1[[#This Row],[Low Tol]],"Pass","Fail"),IF(Table1[[#This Row],[DUT Adj Read]]&gt;=Table1[[#This Row],[Low Tol]],"Pass","Fail")))</f>
        <v>Pass</v>
      </c>
      <c r="AG2761" s="1" t="str">
        <f>IF(AND(Table1[[#This Row],[Spec Type2]]="N/A",Table1[[#This Row],[DUT Adj Read]]="N/A",Table1[[#This Row],[Std Adj Read]]="N/A"),"N/A",IF(Table1[[#This Row],[DUT Adj Read]]="N/A",IF(Table1[[#This Row],[Std Adj Read]]&lt;=Table1[[#This Row],[High Tol]],"Pass","Fail"),IF(Table1[[#This Row],[DUT Adj Read]]&lt;=Table1[[#This Row],[High Tol]],"Pass","Fail")))</f>
        <v>Fail</v>
      </c>
      <c r="AH27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1" s="1" t="b">
        <v>0</v>
      </c>
      <c r="AN2761" s="1" t="b">
        <v>0</v>
      </c>
      <c r="AO2761" s="1" t="b">
        <v>0</v>
      </c>
    </row>
    <row r="2762" spans="1:41" x14ac:dyDescent="0.25">
      <c r="A2762" s="10"/>
      <c r="B2762" s="10"/>
      <c r="C2762" s="10"/>
      <c r="D2762" s="10"/>
      <c r="E2762" s="10"/>
      <c r="F2762" s="10"/>
      <c r="G2762" s="10"/>
      <c r="H2762" s="10"/>
      <c r="I2762" s="1" t="str">
        <f t="shared" si="126"/>
        <v/>
      </c>
      <c r="J2762" s="1" t="s">
        <v>35</v>
      </c>
      <c r="K2762" s="1" t="str">
        <f t="shared" si="127"/>
        <v/>
      </c>
      <c r="L2762" s="1" t="str">
        <f t="shared" si="128"/>
        <v/>
      </c>
      <c r="M2762" s="1">
        <f>IF(OR(Table1[[#This Row],[Std Nom]]="",Table1[[#This Row],[Std Read]]=""),0,Table1[[#This Row],[Std Nom]]-Table1[[#This Row],[Std Read]])</f>
        <v>0</v>
      </c>
      <c r="N2762" s="1">
        <f>IF(Calculations!$F$5="ACCREDITED 17025 WITH UNCERTAINTIES",$N$10,0)</f>
        <v>0</v>
      </c>
      <c r="Q2762" s="1">
        <f>Table1[[#This Row],[High Tol]]-Table1[[#This Row],[Low Tol]]</f>
        <v>0</v>
      </c>
      <c r="R2762" s="1">
        <f>2*Table1[[#This Row],[Std Error]]</f>
        <v>0</v>
      </c>
      <c r="S2762" s="1" t="str">
        <f>IF(Table1[[#This Row],[High Tol]]="","N/A",IFERROR(ABS(Table1[[#This Row],[Tol Span]]/Table1[[#This Row],[Error Span]]),"N/A"))</f>
        <v>N/A</v>
      </c>
      <c r="T2762" s="1" t="str">
        <f>IF(OR(Table1[[#This Row],[Low Tol]]="",Table1[[#This Row],[High Tol]]=""),"Needs Analysis",IF(Table1[[#This Row],[Ratio]]&gt;=4,"Not Significant",IF(Table1[[#This Row],[Ratio]]&gt;=2,"Semi-Significant","Significant")))</f>
        <v>Needs Analysis</v>
      </c>
      <c r="W2762" s="1">
        <f>IF(Table1[[#This Row],[Cal Type]]&lt;&gt;"ACCREDITED 17025 WITH UNCERTAINTIES",0,"")</f>
        <v>0</v>
      </c>
      <c r="X2762" s="1" t="str">
        <f>IF(Table1[[#This Row],[DUT Read]]="","N/A",Table1[[#This Row],[Std Error]]+Table1[[#This Row],[DUT Read]]+Table1[[#This Row],[DUT Ucty]])</f>
        <v>N/A</v>
      </c>
      <c r="Y2762" s="1" t="str">
        <f>IF(Table1[[#This Row],[Std Read]]="","N/A",Table1[[#This Row],[Std Read]]+Table1[[#This Row],[Std Ucty]])</f>
        <v>N/A</v>
      </c>
      <c r="Z27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2" s="1" t="str">
        <f>IF(Table1[[#This Row],[Spec Type]]="","N/A",Table1[[#This Row],[Spec Type]])</f>
        <v>±</v>
      </c>
      <c r="AC2762" s="1" t="str">
        <f>IF(Table1[[#This Row],[Spec Type2]]="N/A","N/A",IF(AND(Table1[[#This Row],[DUT Adj Read]]&gt;=Table1[[#This Row],[Low Tol]],Table1[[#This Row],[DUT Adj Read]]&lt;=Table1[[#This Row],[High Tol]]),"Pass","Fail"))</f>
        <v>Fail</v>
      </c>
      <c r="AD2762" s="1" t="str">
        <f>IF(AND(Table1[[#This Row],[Spec Type2]]="N/A",Table1[[#This Row],[DUT Adj Read]]="N/A",Table1[[#This Row],[Std Adj Read]]="N/A"),"N/A",IF(Table1[[#This Row],[DUT Adj Read]]="N/A",IF(Table1[[#This Row],[Std Adj Read]]&gt;Table1[[#This Row],[Low Tol]],"Pass","Fail"),IF(Table1[[#This Row],[DUT Adj Read]]&gt;Table1[[#This Row],[Low Tol]],"Pass","Fail")))</f>
        <v>Pass</v>
      </c>
      <c r="AE2762" s="1" t="str">
        <f>IF(AND(Table1[[#This Row],[Spec Type2]]="N/A",Table1[[#This Row],[DUT Adj Read]]="N/A",Table1[[#This Row],[Std Adj Read]]="N/A"),"N/A",IF(Table1[[#This Row],[DUT Adj Read]]="N/A",IF(Table1[[#This Row],[Std Adj Read]]&lt;Table1[[#This Row],[High Tol]],"Pass","Fail"),IF(Table1[[#This Row],[DUT Adj Read]]&lt;Table1[[#This Row],[High Tol]],"Pass","Fail")))</f>
        <v>Fail</v>
      </c>
      <c r="AF2762" s="1" t="str">
        <f>IF(AND(Table1[[#This Row],[Spec Type2]]="N/A",Table1[[#This Row],[DUT Adj Read]]="N/A",Table1[[#This Row],[Std Adj Read]]="N/A"),"N/A",IF(Table1[[#This Row],[DUT Adj Read]]="N/A",IF(Table1[[#This Row],[Std Adj Read]]&gt;=Table1[[#This Row],[Low Tol]],"Pass","Fail"),IF(Table1[[#This Row],[DUT Adj Read]]&gt;=Table1[[#This Row],[Low Tol]],"Pass","Fail")))</f>
        <v>Pass</v>
      </c>
      <c r="AG2762" s="1" t="str">
        <f>IF(AND(Table1[[#This Row],[Spec Type2]]="N/A",Table1[[#This Row],[DUT Adj Read]]="N/A",Table1[[#This Row],[Std Adj Read]]="N/A"),"N/A",IF(Table1[[#This Row],[DUT Adj Read]]="N/A",IF(Table1[[#This Row],[Std Adj Read]]&lt;=Table1[[#This Row],[High Tol]],"Pass","Fail"),IF(Table1[[#This Row],[DUT Adj Read]]&lt;=Table1[[#This Row],[High Tol]],"Pass","Fail")))</f>
        <v>Fail</v>
      </c>
      <c r="AH27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2" s="1" t="b">
        <v>0</v>
      </c>
      <c r="AN2762" s="1" t="b">
        <v>0</v>
      </c>
      <c r="AO2762" s="1" t="b">
        <v>0</v>
      </c>
    </row>
    <row r="2763" spans="1:41" x14ac:dyDescent="0.25">
      <c r="A2763" s="10"/>
      <c r="B2763" s="10"/>
      <c r="C2763" s="10"/>
      <c r="D2763" s="10"/>
      <c r="E2763" s="10"/>
      <c r="F2763" s="10"/>
      <c r="G2763" s="10"/>
      <c r="H2763" s="10"/>
      <c r="I2763" s="1" t="str">
        <f t="shared" ref="I2763:I2826" si="129">IF($I$10="","",$I$10)</f>
        <v/>
      </c>
      <c r="J2763" s="1" t="s">
        <v>35</v>
      </c>
      <c r="K2763" s="1" t="str">
        <f t="shared" ref="K2763:K2826" si="130">IF($K$10="","",$K$10)</f>
        <v/>
      </c>
      <c r="L2763" s="1" t="str">
        <f t="shared" ref="L2763:L2826" si="131">IF($L$10="","",$L$10)</f>
        <v/>
      </c>
      <c r="M2763" s="1">
        <f>IF(OR(Table1[[#This Row],[Std Nom]]="",Table1[[#This Row],[Std Read]]=""),0,Table1[[#This Row],[Std Nom]]-Table1[[#This Row],[Std Read]])</f>
        <v>0</v>
      </c>
      <c r="N2763" s="1">
        <f>IF(Calculations!$F$5="ACCREDITED 17025 WITH UNCERTAINTIES",$N$10,0)</f>
        <v>0</v>
      </c>
      <c r="Q2763" s="1">
        <f>Table1[[#This Row],[High Tol]]-Table1[[#This Row],[Low Tol]]</f>
        <v>0</v>
      </c>
      <c r="R2763" s="1">
        <f>2*Table1[[#This Row],[Std Error]]</f>
        <v>0</v>
      </c>
      <c r="S2763" s="1" t="str">
        <f>IF(Table1[[#This Row],[High Tol]]="","N/A",IFERROR(ABS(Table1[[#This Row],[Tol Span]]/Table1[[#This Row],[Error Span]]),"N/A"))</f>
        <v>N/A</v>
      </c>
      <c r="T2763" s="1" t="str">
        <f>IF(OR(Table1[[#This Row],[Low Tol]]="",Table1[[#This Row],[High Tol]]=""),"Needs Analysis",IF(Table1[[#This Row],[Ratio]]&gt;=4,"Not Significant",IF(Table1[[#This Row],[Ratio]]&gt;=2,"Semi-Significant","Significant")))</f>
        <v>Needs Analysis</v>
      </c>
      <c r="W2763" s="1">
        <f>IF(Table1[[#This Row],[Cal Type]]&lt;&gt;"ACCREDITED 17025 WITH UNCERTAINTIES",0,"")</f>
        <v>0</v>
      </c>
      <c r="X2763" s="1" t="str">
        <f>IF(Table1[[#This Row],[DUT Read]]="","N/A",Table1[[#This Row],[Std Error]]+Table1[[#This Row],[DUT Read]]+Table1[[#This Row],[DUT Ucty]])</f>
        <v>N/A</v>
      </c>
      <c r="Y2763" s="1" t="str">
        <f>IF(Table1[[#This Row],[Std Read]]="","N/A",Table1[[#This Row],[Std Read]]+Table1[[#This Row],[Std Ucty]])</f>
        <v>N/A</v>
      </c>
      <c r="Z27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3" s="1" t="str">
        <f>IF(Table1[[#This Row],[Spec Type]]="","N/A",Table1[[#This Row],[Spec Type]])</f>
        <v>±</v>
      </c>
      <c r="AC2763" s="1" t="str">
        <f>IF(Table1[[#This Row],[Spec Type2]]="N/A","N/A",IF(AND(Table1[[#This Row],[DUT Adj Read]]&gt;=Table1[[#This Row],[Low Tol]],Table1[[#This Row],[DUT Adj Read]]&lt;=Table1[[#This Row],[High Tol]]),"Pass","Fail"))</f>
        <v>Fail</v>
      </c>
      <c r="AD2763" s="1" t="str">
        <f>IF(AND(Table1[[#This Row],[Spec Type2]]="N/A",Table1[[#This Row],[DUT Adj Read]]="N/A",Table1[[#This Row],[Std Adj Read]]="N/A"),"N/A",IF(Table1[[#This Row],[DUT Adj Read]]="N/A",IF(Table1[[#This Row],[Std Adj Read]]&gt;Table1[[#This Row],[Low Tol]],"Pass","Fail"),IF(Table1[[#This Row],[DUT Adj Read]]&gt;Table1[[#This Row],[Low Tol]],"Pass","Fail")))</f>
        <v>Pass</v>
      </c>
      <c r="AE2763" s="1" t="str">
        <f>IF(AND(Table1[[#This Row],[Spec Type2]]="N/A",Table1[[#This Row],[DUT Adj Read]]="N/A",Table1[[#This Row],[Std Adj Read]]="N/A"),"N/A",IF(Table1[[#This Row],[DUT Adj Read]]="N/A",IF(Table1[[#This Row],[Std Adj Read]]&lt;Table1[[#This Row],[High Tol]],"Pass","Fail"),IF(Table1[[#This Row],[DUT Adj Read]]&lt;Table1[[#This Row],[High Tol]],"Pass","Fail")))</f>
        <v>Fail</v>
      </c>
      <c r="AF2763" s="1" t="str">
        <f>IF(AND(Table1[[#This Row],[Spec Type2]]="N/A",Table1[[#This Row],[DUT Adj Read]]="N/A",Table1[[#This Row],[Std Adj Read]]="N/A"),"N/A",IF(Table1[[#This Row],[DUT Adj Read]]="N/A",IF(Table1[[#This Row],[Std Adj Read]]&gt;=Table1[[#This Row],[Low Tol]],"Pass","Fail"),IF(Table1[[#This Row],[DUT Adj Read]]&gt;=Table1[[#This Row],[Low Tol]],"Pass","Fail")))</f>
        <v>Pass</v>
      </c>
      <c r="AG2763" s="1" t="str">
        <f>IF(AND(Table1[[#This Row],[Spec Type2]]="N/A",Table1[[#This Row],[DUT Adj Read]]="N/A",Table1[[#This Row],[Std Adj Read]]="N/A"),"N/A",IF(Table1[[#This Row],[DUT Adj Read]]="N/A",IF(Table1[[#This Row],[Std Adj Read]]&lt;=Table1[[#This Row],[High Tol]],"Pass","Fail"),IF(Table1[[#This Row],[DUT Adj Read]]&lt;=Table1[[#This Row],[High Tol]],"Pass","Fail")))</f>
        <v>Fail</v>
      </c>
      <c r="AH27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3" s="1" t="b">
        <v>0</v>
      </c>
      <c r="AN2763" s="1" t="b">
        <v>0</v>
      </c>
      <c r="AO2763" s="1" t="b">
        <v>0</v>
      </c>
    </row>
    <row r="2764" spans="1:41" x14ac:dyDescent="0.25">
      <c r="A2764" s="10"/>
      <c r="B2764" s="10"/>
      <c r="C2764" s="10"/>
      <c r="D2764" s="10"/>
      <c r="E2764" s="10"/>
      <c r="F2764" s="10"/>
      <c r="G2764" s="10"/>
      <c r="H2764" s="10"/>
      <c r="I2764" s="1" t="str">
        <f t="shared" si="129"/>
        <v/>
      </c>
      <c r="J2764" s="1" t="s">
        <v>35</v>
      </c>
      <c r="K2764" s="1" t="str">
        <f t="shared" si="130"/>
        <v/>
      </c>
      <c r="L2764" s="1" t="str">
        <f t="shared" si="131"/>
        <v/>
      </c>
      <c r="M2764" s="1">
        <f>IF(OR(Table1[[#This Row],[Std Nom]]="",Table1[[#This Row],[Std Read]]=""),0,Table1[[#This Row],[Std Nom]]-Table1[[#This Row],[Std Read]])</f>
        <v>0</v>
      </c>
      <c r="N2764" s="1">
        <f>IF(Calculations!$F$5="ACCREDITED 17025 WITH UNCERTAINTIES",$N$10,0)</f>
        <v>0</v>
      </c>
      <c r="Q2764" s="1">
        <f>Table1[[#This Row],[High Tol]]-Table1[[#This Row],[Low Tol]]</f>
        <v>0</v>
      </c>
      <c r="R2764" s="1">
        <f>2*Table1[[#This Row],[Std Error]]</f>
        <v>0</v>
      </c>
      <c r="S2764" s="1" t="str">
        <f>IF(Table1[[#This Row],[High Tol]]="","N/A",IFERROR(ABS(Table1[[#This Row],[Tol Span]]/Table1[[#This Row],[Error Span]]),"N/A"))</f>
        <v>N/A</v>
      </c>
      <c r="T2764" s="1" t="str">
        <f>IF(OR(Table1[[#This Row],[Low Tol]]="",Table1[[#This Row],[High Tol]]=""),"Needs Analysis",IF(Table1[[#This Row],[Ratio]]&gt;=4,"Not Significant",IF(Table1[[#This Row],[Ratio]]&gt;=2,"Semi-Significant","Significant")))</f>
        <v>Needs Analysis</v>
      </c>
      <c r="W2764" s="1">
        <f>IF(Table1[[#This Row],[Cal Type]]&lt;&gt;"ACCREDITED 17025 WITH UNCERTAINTIES",0,"")</f>
        <v>0</v>
      </c>
      <c r="X2764" s="1" t="str">
        <f>IF(Table1[[#This Row],[DUT Read]]="","N/A",Table1[[#This Row],[Std Error]]+Table1[[#This Row],[DUT Read]]+Table1[[#This Row],[DUT Ucty]])</f>
        <v>N/A</v>
      </c>
      <c r="Y2764" s="1" t="str">
        <f>IF(Table1[[#This Row],[Std Read]]="","N/A",Table1[[#This Row],[Std Read]]+Table1[[#This Row],[Std Ucty]])</f>
        <v>N/A</v>
      </c>
      <c r="Z27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4" s="1" t="str">
        <f>IF(Table1[[#This Row],[Spec Type]]="","N/A",Table1[[#This Row],[Spec Type]])</f>
        <v>±</v>
      </c>
      <c r="AC2764" s="1" t="str">
        <f>IF(Table1[[#This Row],[Spec Type2]]="N/A","N/A",IF(AND(Table1[[#This Row],[DUT Adj Read]]&gt;=Table1[[#This Row],[Low Tol]],Table1[[#This Row],[DUT Adj Read]]&lt;=Table1[[#This Row],[High Tol]]),"Pass","Fail"))</f>
        <v>Fail</v>
      </c>
      <c r="AD2764" s="1" t="str">
        <f>IF(AND(Table1[[#This Row],[Spec Type2]]="N/A",Table1[[#This Row],[DUT Adj Read]]="N/A",Table1[[#This Row],[Std Adj Read]]="N/A"),"N/A",IF(Table1[[#This Row],[DUT Adj Read]]="N/A",IF(Table1[[#This Row],[Std Adj Read]]&gt;Table1[[#This Row],[Low Tol]],"Pass","Fail"),IF(Table1[[#This Row],[DUT Adj Read]]&gt;Table1[[#This Row],[Low Tol]],"Pass","Fail")))</f>
        <v>Pass</v>
      </c>
      <c r="AE2764" s="1" t="str">
        <f>IF(AND(Table1[[#This Row],[Spec Type2]]="N/A",Table1[[#This Row],[DUT Adj Read]]="N/A",Table1[[#This Row],[Std Adj Read]]="N/A"),"N/A",IF(Table1[[#This Row],[DUT Adj Read]]="N/A",IF(Table1[[#This Row],[Std Adj Read]]&lt;Table1[[#This Row],[High Tol]],"Pass","Fail"),IF(Table1[[#This Row],[DUT Adj Read]]&lt;Table1[[#This Row],[High Tol]],"Pass","Fail")))</f>
        <v>Fail</v>
      </c>
      <c r="AF2764" s="1" t="str">
        <f>IF(AND(Table1[[#This Row],[Spec Type2]]="N/A",Table1[[#This Row],[DUT Adj Read]]="N/A",Table1[[#This Row],[Std Adj Read]]="N/A"),"N/A",IF(Table1[[#This Row],[DUT Adj Read]]="N/A",IF(Table1[[#This Row],[Std Adj Read]]&gt;=Table1[[#This Row],[Low Tol]],"Pass","Fail"),IF(Table1[[#This Row],[DUT Adj Read]]&gt;=Table1[[#This Row],[Low Tol]],"Pass","Fail")))</f>
        <v>Pass</v>
      </c>
      <c r="AG2764" s="1" t="str">
        <f>IF(AND(Table1[[#This Row],[Spec Type2]]="N/A",Table1[[#This Row],[DUT Adj Read]]="N/A",Table1[[#This Row],[Std Adj Read]]="N/A"),"N/A",IF(Table1[[#This Row],[DUT Adj Read]]="N/A",IF(Table1[[#This Row],[Std Adj Read]]&lt;=Table1[[#This Row],[High Tol]],"Pass","Fail"),IF(Table1[[#This Row],[DUT Adj Read]]&lt;=Table1[[#This Row],[High Tol]],"Pass","Fail")))</f>
        <v>Fail</v>
      </c>
      <c r="AH27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4" s="1" t="b">
        <v>0</v>
      </c>
      <c r="AN2764" s="1" t="b">
        <v>0</v>
      </c>
      <c r="AO2764" s="1" t="b">
        <v>0</v>
      </c>
    </row>
    <row r="2765" spans="1:41" x14ac:dyDescent="0.25">
      <c r="A2765" s="10"/>
      <c r="B2765" s="10"/>
      <c r="C2765" s="10"/>
      <c r="D2765" s="10"/>
      <c r="E2765" s="10"/>
      <c r="F2765" s="10"/>
      <c r="G2765" s="10"/>
      <c r="H2765" s="10"/>
      <c r="I2765" s="1" t="str">
        <f t="shared" si="129"/>
        <v/>
      </c>
      <c r="J2765" s="1" t="s">
        <v>35</v>
      </c>
      <c r="K2765" s="1" t="str">
        <f t="shared" si="130"/>
        <v/>
      </c>
      <c r="L2765" s="1" t="str">
        <f t="shared" si="131"/>
        <v/>
      </c>
      <c r="M2765" s="1">
        <f>IF(OR(Table1[[#This Row],[Std Nom]]="",Table1[[#This Row],[Std Read]]=""),0,Table1[[#This Row],[Std Nom]]-Table1[[#This Row],[Std Read]])</f>
        <v>0</v>
      </c>
      <c r="N2765" s="1">
        <f>IF(Calculations!$F$5="ACCREDITED 17025 WITH UNCERTAINTIES",$N$10,0)</f>
        <v>0</v>
      </c>
      <c r="Q2765" s="1">
        <f>Table1[[#This Row],[High Tol]]-Table1[[#This Row],[Low Tol]]</f>
        <v>0</v>
      </c>
      <c r="R2765" s="1">
        <f>2*Table1[[#This Row],[Std Error]]</f>
        <v>0</v>
      </c>
      <c r="S2765" s="1" t="str">
        <f>IF(Table1[[#This Row],[High Tol]]="","N/A",IFERROR(ABS(Table1[[#This Row],[Tol Span]]/Table1[[#This Row],[Error Span]]),"N/A"))</f>
        <v>N/A</v>
      </c>
      <c r="T2765" s="1" t="str">
        <f>IF(OR(Table1[[#This Row],[Low Tol]]="",Table1[[#This Row],[High Tol]]=""),"Needs Analysis",IF(Table1[[#This Row],[Ratio]]&gt;=4,"Not Significant",IF(Table1[[#This Row],[Ratio]]&gt;=2,"Semi-Significant","Significant")))</f>
        <v>Needs Analysis</v>
      </c>
      <c r="W2765" s="1">
        <f>IF(Table1[[#This Row],[Cal Type]]&lt;&gt;"ACCREDITED 17025 WITH UNCERTAINTIES",0,"")</f>
        <v>0</v>
      </c>
      <c r="X2765" s="1" t="str">
        <f>IF(Table1[[#This Row],[DUT Read]]="","N/A",Table1[[#This Row],[Std Error]]+Table1[[#This Row],[DUT Read]]+Table1[[#This Row],[DUT Ucty]])</f>
        <v>N/A</v>
      </c>
      <c r="Y2765" s="1" t="str">
        <f>IF(Table1[[#This Row],[Std Read]]="","N/A",Table1[[#This Row],[Std Read]]+Table1[[#This Row],[Std Ucty]])</f>
        <v>N/A</v>
      </c>
      <c r="Z27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5" s="1" t="str">
        <f>IF(Table1[[#This Row],[Spec Type]]="","N/A",Table1[[#This Row],[Spec Type]])</f>
        <v>±</v>
      </c>
      <c r="AC2765" s="1" t="str">
        <f>IF(Table1[[#This Row],[Spec Type2]]="N/A","N/A",IF(AND(Table1[[#This Row],[DUT Adj Read]]&gt;=Table1[[#This Row],[Low Tol]],Table1[[#This Row],[DUT Adj Read]]&lt;=Table1[[#This Row],[High Tol]]),"Pass","Fail"))</f>
        <v>Fail</v>
      </c>
      <c r="AD2765" s="1" t="str">
        <f>IF(AND(Table1[[#This Row],[Spec Type2]]="N/A",Table1[[#This Row],[DUT Adj Read]]="N/A",Table1[[#This Row],[Std Adj Read]]="N/A"),"N/A",IF(Table1[[#This Row],[DUT Adj Read]]="N/A",IF(Table1[[#This Row],[Std Adj Read]]&gt;Table1[[#This Row],[Low Tol]],"Pass","Fail"),IF(Table1[[#This Row],[DUT Adj Read]]&gt;Table1[[#This Row],[Low Tol]],"Pass","Fail")))</f>
        <v>Pass</v>
      </c>
      <c r="AE2765" s="1" t="str">
        <f>IF(AND(Table1[[#This Row],[Spec Type2]]="N/A",Table1[[#This Row],[DUT Adj Read]]="N/A",Table1[[#This Row],[Std Adj Read]]="N/A"),"N/A",IF(Table1[[#This Row],[DUT Adj Read]]="N/A",IF(Table1[[#This Row],[Std Adj Read]]&lt;Table1[[#This Row],[High Tol]],"Pass","Fail"),IF(Table1[[#This Row],[DUT Adj Read]]&lt;Table1[[#This Row],[High Tol]],"Pass","Fail")))</f>
        <v>Fail</v>
      </c>
      <c r="AF2765" s="1" t="str">
        <f>IF(AND(Table1[[#This Row],[Spec Type2]]="N/A",Table1[[#This Row],[DUT Adj Read]]="N/A",Table1[[#This Row],[Std Adj Read]]="N/A"),"N/A",IF(Table1[[#This Row],[DUT Adj Read]]="N/A",IF(Table1[[#This Row],[Std Adj Read]]&gt;=Table1[[#This Row],[Low Tol]],"Pass","Fail"),IF(Table1[[#This Row],[DUT Adj Read]]&gt;=Table1[[#This Row],[Low Tol]],"Pass","Fail")))</f>
        <v>Pass</v>
      </c>
      <c r="AG2765" s="1" t="str">
        <f>IF(AND(Table1[[#This Row],[Spec Type2]]="N/A",Table1[[#This Row],[DUT Adj Read]]="N/A",Table1[[#This Row],[Std Adj Read]]="N/A"),"N/A",IF(Table1[[#This Row],[DUT Adj Read]]="N/A",IF(Table1[[#This Row],[Std Adj Read]]&lt;=Table1[[#This Row],[High Tol]],"Pass","Fail"),IF(Table1[[#This Row],[DUT Adj Read]]&lt;=Table1[[#This Row],[High Tol]],"Pass","Fail")))</f>
        <v>Fail</v>
      </c>
      <c r="AH27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5" s="1" t="b">
        <v>0</v>
      </c>
      <c r="AN2765" s="1" t="b">
        <v>0</v>
      </c>
      <c r="AO2765" s="1" t="b">
        <v>0</v>
      </c>
    </row>
    <row r="2766" spans="1:41" x14ac:dyDescent="0.25">
      <c r="A2766" s="10"/>
      <c r="B2766" s="10"/>
      <c r="C2766" s="10"/>
      <c r="D2766" s="10"/>
      <c r="E2766" s="10"/>
      <c r="F2766" s="10"/>
      <c r="G2766" s="10"/>
      <c r="H2766" s="10"/>
      <c r="I2766" s="1" t="str">
        <f t="shared" si="129"/>
        <v/>
      </c>
      <c r="J2766" s="1" t="s">
        <v>35</v>
      </c>
      <c r="K2766" s="1" t="str">
        <f t="shared" si="130"/>
        <v/>
      </c>
      <c r="L2766" s="1" t="str">
        <f t="shared" si="131"/>
        <v/>
      </c>
      <c r="M2766" s="1">
        <f>IF(OR(Table1[[#This Row],[Std Nom]]="",Table1[[#This Row],[Std Read]]=""),0,Table1[[#This Row],[Std Nom]]-Table1[[#This Row],[Std Read]])</f>
        <v>0</v>
      </c>
      <c r="N2766" s="1">
        <f>IF(Calculations!$F$5="ACCREDITED 17025 WITH UNCERTAINTIES",$N$10,0)</f>
        <v>0</v>
      </c>
      <c r="Q2766" s="1">
        <f>Table1[[#This Row],[High Tol]]-Table1[[#This Row],[Low Tol]]</f>
        <v>0</v>
      </c>
      <c r="R2766" s="1">
        <f>2*Table1[[#This Row],[Std Error]]</f>
        <v>0</v>
      </c>
      <c r="S2766" s="1" t="str">
        <f>IF(Table1[[#This Row],[High Tol]]="","N/A",IFERROR(ABS(Table1[[#This Row],[Tol Span]]/Table1[[#This Row],[Error Span]]),"N/A"))</f>
        <v>N/A</v>
      </c>
      <c r="T2766" s="1" t="str">
        <f>IF(OR(Table1[[#This Row],[Low Tol]]="",Table1[[#This Row],[High Tol]]=""),"Needs Analysis",IF(Table1[[#This Row],[Ratio]]&gt;=4,"Not Significant",IF(Table1[[#This Row],[Ratio]]&gt;=2,"Semi-Significant","Significant")))</f>
        <v>Needs Analysis</v>
      </c>
      <c r="W2766" s="1">
        <f>IF(Table1[[#This Row],[Cal Type]]&lt;&gt;"ACCREDITED 17025 WITH UNCERTAINTIES",0,"")</f>
        <v>0</v>
      </c>
      <c r="X2766" s="1" t="str">
        <f>IF(Table1[[#This Row],[DUT Read]]="","N/A",Table1[[#This Row],[Std Error]]+Table1[[#This Row],[DUT Read]]+Table1[[#This Row],[DUT Ucty]])</f>
        <v>N/A</v>
      </c>
      <c r="Y2766" s="1" t="str">
        <f>IF(Table1[[#This Row],[Std Read]]="","N/A",Table1[[#This Row],[Std Read]]+Table1[[#This Row],[Std Ucty]])</f>
        <v>N/A</v>
      </c>
      <c r="Z27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6" s="1" t="str">
        <f>IF(Table1[[#This Row],[Spec Type]]="","N/A",Table1[[#This Row],[Spec Type]])</f>
        <v>±</v>
      </c>
      <c r="AC2766" s="1" t="str">
        <f>IF(Table1[[#This Row],[Spec Type2]]="N/A","N/A",IF(AND(Table1[[#This Row],[DUT Adj Read]]&gt;=Table1[[#This Row],[Low Tol]],Table1[[#This Row],[DUT Adj Read]]&lt;=Table1[[#This Row],[High Tol]]),"Pass","Fail"))</f>
        <v>Fail</v>
      </c>
      <c r="AD2766" s="1" t="str">
        <f>IF(AND(Table1[[#This Row],[Spec Type2]]="N/A",Table1[[#This Row],[DUT Adj Read]]="N/A",Table1[[#This Row],[Std Adj Read]]="N/A"),"N/A",IF(Table1[[#This Row],[DUT Adj Read]]="N/A",IF(Table1[[#This Row],[Std Adj Read]]&gt;Table1[[#This Row],[Low Tol]],"Pass","Fail"),IF(Table1[[#This Row],[DUT Adj Read]]&gt;Table1[[#This Row],[Low Tol]],"Pass","Fail")))</f>
        <v>Pass</v>
      </c>
      <c r="AE2766" s="1" t="str">
        <f>IF(AND(Table1[[#This Row],[Spec Type2]]="N/A",Table1[[#This Row],[DUT Adj Read]]="N/A",Table1[[#This Row],[Std Adj Read]]="N/A"),"N/A",IF(Table1[[#This Row],[DUT Adj Read]]="N/A",IF(Table1[[#This Row],[Std Adj Read]]&lt;Table1[[#This Row],[High Tol]],"Pass","Fail"),IF(Table1[[#This Row],[DUT Adj Read]]&lt;Table1[[#This Row],[High Tol]],"Pass","Fail")))</f>
        <v>Fail</v>
      </c>
      <c r="AF2766" s="1" t="str">
        <f>IF(AND(Table1[[#This Row],[Spec Type2]]="N/A",Table1[[#This Row],[DUT Adj Read]]="N/A",Table1[[#This Row],[Std Adj Read]]="N/A"),"N/A",IF(Table1[[#This Row],[DUT Adj Read]]="N/A",IF(Table1[[#This Row],[Std Adj Read]]&gt;=Table1[[#This Row],[Low Tol]],"Pass","Fail"),IF(Table1[[#This Row],[DUT Adj Read]]&gt;=Table1[[#This Row],[Low Tol]],"Pass","Fail")))</f>
        <v>Pass</v>
      </c>
      <c r="AG2766" s="1" t="str">
        <f>IF(AND(Table1[[#This Row],[Spec Type2]]="N/A",Table1[[#This Row],[DUT Adj Read]]="N/A",Table1[[#This Row],[Std Adj Read]]="N/A"),"N/A",IF(Table1[[#This Row],[DUT Adj Read]]="N/A",IF(Table1[[#This Row],[Std Adj Read]]&lt;=Table1[[#This Row],[High Tol]],"Pass","Fail"),IF(Table1[[#This Row],[DUT Adj Read]]&lt;=Table1[[#This Row],[High Tol]],"Pass","Fail")))</f>
        <v>Fail</v>
      </c>
      <c r="AH27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6" s="1" t="b">
        <v>0</v>
      </c>
      <c r="AN2766" s="1" t="b">
        <v>0</v>
      </c>
      <c r="AO2766" s="1" t="b">
        <v>0</v>
      </c>
    </row>
    <row r="2767" spans="1:41" x14ac:dyDescent="0.25">
      <c r="A2767" s="10"/>
      <c r="B2767" s="10"/>
      <c r="C2767" s="10"/>
      <c r="D2767" s="10"/>
      <c r="E2767" s="10"/>
      <c r="F2767" s="10"/>
      <c r="G2767" s="10"/>
      <c r="H2767" s="10"/>
      <c r="I2767" s="1" t="str">
        <f t="shared" si="129"/>
        <v/>
      </c>
      <c r="J2767" s="1" t="s">
        <v>35</v>
      </c>
      <c r="K2767" s="1" t="str">
        <f t="shared" si="130"/>
        <v/>
      </c>
      <c r="L2767" s="1" t="str">
        <f t="shared" si="131"/>
        <v/>
      </c>
      <c r="M2767" s="1">
        <f>IF(OR(Table1[[#This Row],[Std Nom]]="",Table1[[#This Row],[Std Read]]=""),0,Table1[[#This Row],[Std Nom]]-Table1[[#This Row],[Std Read]])</f>
        <v>0</v>
      </c>
      <c r="N2767" s="1">
        <f>IF(Calculations!$F$5="ACCREDITED 17025 WITH UNCERTAINTIES",$N$10,0)</f>
        <v>0</v>
      </c>
      <c r="Q2767" s="1">
        <f>Table1[[#This Row],[High Tol]]-Table1[[#This Row],[Low Tol]]</f>
        <v>0</v>
      </c>
      <c r="R2767" s="1">
        <f>2*Table1[[#This Row],[Std Error]]</f>
        <v>0</v>
      </c>
      <c r="S2767" s="1" t="str">
        <f>IF(Table1[[#This Row],[High Tol]]="","N/A",IFERROR(ABS(Table1[[#This Row],[Tol Span]]/Table1[[#This Row],[Error Span]]),"N/A"))</f>
        <v>N/A</v>
      </c>
      <c r="T2767" s="1" t="str">
        <f>IF(OR(Table1[[#This Row],[Low Tol]]="",Table1[[#This Row],[High Tol]]=""),"Needs Analysis",IF(Table1[[#This Row],[Ratio]]&gt;=4,"Not Significant",IF(Table1[[#This Row],[Ratio]]&gt;=2,"Semi-Significant","Significant")))</f>
        <v>Needs Analysis</v>
      </c>
      <c r="W2767" s="1">
        <f>IF(Table1[[#This Row],[Cal Type]]&lt;&gt;"ACCREDITED 17025 WITH UNCERTAINTIES",0,"")</f>
        <v>0</v>
      </c>
      <c r="X2767" s="1" t="str">
        <f>IF(Table1[[#This Row],[DUT Read]]="","N/A",Table1[[#This Row],[Std Error]]+Table1[[#This Row],[DUT Read]]+Table1[[#This Row],[DUT Ucty]])</f>
        <v>N/A</v>
      </c>
      <c r="Y2767" s="1" t="str">
        <f>IF(Table1[[#This Row],[Std Read]]="","N/A",Table1[[#This Row],[Std Read]]+Table1[[#This Row],[Std Ucty]])</f>
        <v>N/A</v>
      </c>
      <c r="Z27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7" s="1" t="str">
        <f>IF(Table1[[#This Row],[Spec Type]]="","N/A",Table1[[#This Row],[Spec Type]])</f>
        <v>±</v>
      </c>
      <c r="AC2767" s="1" t="str">
        <f>IF(Table1[[#This Row],[Spec Type2]]="N/A","N/A",IF(AND(Table1[[#This Row],[DUT Adj Read]]&gt;=Table1[[#This Row],[Low Tol]],Table1[[#This Row],[DUT Adj Read]]&lt;=Table1[[#This Row],[High Tol]]),"Pass","Fail"))</f>
        <v>Fail</v>
      </c>
      <c r="AD2767" s="1" t="str">
        <f>IF(AND(Table1[[#This Row],[Spec Type2]]="N/A",Table1[[#This Row],[DUT Adj Read]]="N/A",Table1[[#This Row],[Std Adj Read]]="N/A"),"N/A",IF(Table1[[#This Row],[DUT Adj Read]]="N/A",IF(Table1[[#This Row],[Std Adj Read]]&gt;Table1[[#This Row],[Low Tol]],"Pass","Fail"),IF(Table1[[#This Row],[DUT Adj Read]]&gt;Table1[[#This Row],[Low Tol]],"Pass","Fail")))</f>
        <v>Pass</v>
      </c>
      <c r="AE2767" s="1" t="str">
        <f>IF(AND(Table1[[#This Row],[Spec Type2]]="N/A",Table1[[#This Row],[DUT Adj Read]]="N/A",Table1[[#This Row],[Std Adj Read]]="N/A"),"N/A",IF(Table1[[#This Row],[DUT Adj Read]]="N/A",IF(Table1[[#This Row],[Std Adj Read]]&lt;Table1[[#This Row],[High Tol]],"Pass","Fail"),IF(Table1[[#This Row],[DUT Adj Read]]&lt;Table1[[#This Row],[High Tol]],"Pass","Fail")))</f>
        <v>Fail</v>
      </c>
      <c r="AF2767" s="1" t="str">
        <f>IF(AND(Table1[[#This Row],[Spec Type2]]="N/A",Table1[[#This Row],[DUT Adj Read]]="N/A",Table1[[#This Row],[Std Adj Read]]="N/A"),"N/A",IF(Table1[[#This Row],[DUT Adj Read]]="N/A",IF(Table1[[#This Row],[Std Adj Read]]&gt;=Table1[[#This Row],[Low Tol]],"Pass","Fail"),IF(Table1[[#This Row],[DUT Adj Read]]&gt;=Table1[[#This Row],[Low Tol]],"Pass","Fail")))</f>
        <v>Pass</v>
      </c>
      <c r="AG2767" s="1" t="str">
        <f>IF(AND(Table1[[#This Row],[Spec Type2]]="N/A",Table1[[#This Row],[DUT Adj Read]]="N/A",Table1[[#This Row],[Std Adj Read]]="N/A"),"N/A",IF(Table1[[#This Row],[DUT Adj Read]]="N/A",IF(Table1[[#This Row],[Std Adj Read]]&lt;=Table1[[#This Row],[High Tol]],"Pass","Fail"),IF(Table1[[#This Row],[DUT Adj Read]]&lt;=Table1[[#This Row],[High Tol]],"Pass","Fail")))</f>
        <v>Fail</v>
      </c>
      <c r="AH27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7" s="1" t="b">
        <v>0</v>
      </c>
      <c r="AN2767" s="1" t="b">
        <v>0</v>
      </c>
      <c r="AO2767" s="1" t="b">
        <v>0</v>
      </c>
    </row>
    <row r="2768" spans="1:41" x14ac:dyDescent="0.25">
      <c r="A2768" s="10"/>
      <c r="B2768" s="10"/>
      <c r="C2768" s="10"/>
      <c r="D2768" s="10"/>
      <c r="E2768" s="10"/>
      <c r="F2768" s="10"/>
      <c r="G2768" s="10"/>
      <c r="H2768" s="10"/>
      <c r="I2768" s="1" t="str">
        <f t="shared" si="129"/>
        <v/>
      </c>
      <c r="J2768" s="1" t="s">
        <v>35</v>
      </c>
      <c r="K2768" s="1" t="str">
        <f t="shared" si="130"/>
        <v/>
      </c>
      <c r="L2768" s="1" t="str">
        <f t="shared" si="131"/>
        <v/>
      </c>
      <c r="M2768" s="1">
        <f>IF(OR(Table1[[#This Row],[Std Nom]]="",Table1[[#This Row],[Std Read]]=""),0,Table1[[#This Row],[Std Nom]]-Table1[[#This Row],[Std Read]])</f>
        <v>0</v>
      </c>
      <c r="N2768" s="1">
        <f>IF(Calculations!$F$5="ACCREDITED 17025 WITH UNCERTAINTIES",$N$10,0)</f>
        <v>0</v>
      </c>
      <c r="Q2768" s="1">
        <f>Table1[[#This Row],[High Tol]]-Table1[[#This Row],[Low Tol]]</f>
        <v>0</v>
      </c>
      <c r="R2768" s="1">
        <f>2*Table1[[#This Row],[Std Error]]</f>
        <v>0</v>
      </c>
      <c r="S2768" s="1" t="str">
        <f>IF(Table1[[#This Row],[High Tol]]="","N/A",IFERROR(ABS(Table1[[#This Row],[Tol Span]]/Table1[[#This Row],[Error Span]]),"N/A"))</f>
        <v>N/A</v>
      </c>
      <c r="T2768" s="1" t="str">
        <f>IF(OR(Table1[[#This Row],[Low Tol]]="",Table1[[#This Row],[High Tol]]=""),"Needs Analysis",IF(Table1[[#This Row],[Ratio]]&gt;=4,"Not Significant",IF(Table1[[#This Row],[Ratio]]&gt;=2,"Semi-Significant","Significant")))</f>
        <v>Needs Analysis</v>
      </c>
      <c r="W2768" s="1">
        <f>IF(Table1[[#This Row],[Cal Type]]&lt;&gt;"ACCREDITED 17025 WITH UNCERTAINTIES",0,"")</f>
        <v>0</v>
      </c>
      <c r="X2768" s="1" t="str">
        <f>IF(Table1[[#This Row],[DUT Read]]="","N/A",Table1[[#This Row],[Std Error]]+Table1[[#This Row],[DUT Read]]+Table1[[#This Row],[DUT Ucty]])</f>
        <v>N/A</v>
      </c>
      <c r="Y2768" s="1" t="str">
        <f>IF(Table1[[#This Row],[Std Read]]="","N/A",Table1[[#This Row],[Std Read]]+Table1[[#This Row],[Std Ucty]])</f>
        <v>N/A</v>
      </c>
      <c r="Z27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8" s="1" t="str">
        <f>IF(Table1[[#This Row],[Spec Type]]="","N/A",Table1[[#This Row],[Spec Type]])</f>
        <v>±</v>
      </c>
      <c r="AC2768" s="1" t="str">
        <f>IF(Table1[[#This Row],[Spec Type2]]="N/A","N/A",IF(AND(Table1[[#This Row],[DUT Adj Read]]&gt;=Table1[[#This Row],[Low Tol]],Table1[[#This Row],[DUT Adj Read]]&lt;=Table1[[#This Row],[High Tol]]),"Pass","Fail"))</f>
        <v>Fail</v>
      </c>
      <c r="AD2768" s="1" t="str">
        <f>IF(AND(Table1[[#This Row],[Spec Type2]]="N/A",Table1[[#This Row],[DUT Adj Read]]="N/A",Table1[[#This Row],[Std Adj Read]]="N/A"),"N/A",IF(Table1[[#This Row],[DUT Adj Read]]="N/A",IF(Table1[[#This Row],[Std Adj Read]]&gt;Table1[[#This Row],[Low Tol]],"Pass","Fail"),IF(Table1[[#This Row],[DUT Adj Read]]&gt;Table1[[#This Row],[Low Tol]],"Pass","Fail")))</f>
        <v>Pass</v>
      </c>
      <c r="AE2768" s="1" t="str">
        <f>IF(AND(Table1[[#This Row],[Spec Type2]]="N/A",Table1[[#This Row],[DUT Adj Read]]="N/A",Table1[[#This Row],[Std Adj Read]]="N/A"),"N/A",IF(Table1[[#This Row],[DUT Adj Read]]="N/A",IF(Table1[[#This Row],[Std Adj Read]]&lt;Table1[[#This Row],[High Tol]],"Pass","Fail"),IF(Table1[[#This Row],[DUT Adj Read]]&lt;Table1[[#This Row],[High Tol]],"Pass","Fail")))</f>
        <v>Fail</v>
      </c>
      <c r="AF2768" s="1" t="str">
        <f>IF(AND(Table1[[#This Row],[Spec Type2]]="N/A",Table1[[#This Row],[DUT Adj Read]]="N/A",Table1[[#This Row],[Std Adj Read]]="N/A"),"N/A",IF(Table1[[#This Row],[DUT Adj Read]]="N/A",IF(Table1[[#This Row],[Std Adj Read]]&gt;=Table1[[#This Row],[Low Tol]],"Pass","Fail"),IF(Table1[[#This Row],[DUT Adj Read]]&gt;=Table1[[#This Row],[Low Tol]],"Pass","Fail")))</f>
        <v>Pass</v>
      </c>
      <c r="AG2768" s="1" t="str">
        <f>IF(AND(Table1[[#This Row],[Spec Type2]]="N/A",Table1[[#This Row],[DUT Adj Read]]="N/A",Table1[[#This Row],[Std Adj Read]]="N/A"),"N/A",IF(Table1[[#This Row],[DUT Adj Read]]="N/A",IF(Table1[[#This Row],[Std Adj Read]]&lt;=Table1[[#This Row],[High Tol]],"Pass","Fail"),IF(Table1[[#This Row],[DUT Adj Read]]&lt;=Table1[[#This Row],[High Tol]],"Pass","Fail")))</f>
        <v>Fail</v>
      </c>
      <c r="AH27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8" s="1" t="b">
        <v>0</v>
      </c>
      <c r="AN2768" s="1" t="b">
        <v>0</v>
      </c>
      <c r="AO2768" s="1" t="b">
        <v>0</v>
      </c>
    </row>
    <row r="2769" spans="1:41" x14ac:dyDescent="0.25">
      <c r="A2769" s="10"/>
      <c r="B2769" s="10"/>
      <c r="C2769" s="10"/>
      <c r="D2769" s="10"/>
      <c r="E2769" s="10"/>
      <c r="F2769" s="10"/>
      <c r="G2769" s="10"/>
      <c r="H2769" s="10"/>
      <c r="I2769" s="1" t="str">
        <f t="shared" si="129"/>
        <v/>
      </c>
      <c r="J2769" s="1" t="s">
        <v>35</v>
      </c>
      <c r="K2769" s="1" t="str">
        <f t="shared" si="130"/>
        <v/>
      </c>
      <c r="L2769" s="1" t="str">
        <f t="shared" si="131"/>
        <v/>
      </c>
      <c r="M2769" s="1">
        <f>IF(OR(Table1[[#This Row],[Std Nom]]="",Table1[[#This Row],[Std Read]]=""),0,Table1[[#This Row],[Std Nom]]-Table1[[#This Row],[Std Read]])</f>
        <v>0</v>
      </c>
      <c r="N2769" s="1">
        <f>IF(Calculations!$F$5="ACCREDITED 17025 WITH UNCERTAINTIES",$N$10,0)</f>
        <v>0</v>
      </c>
      <c r="Q2769" s="1">
        <f>Table1[[#This Row],[High Tol]]-Table1[[#This Row],[Low Tol]]</f>
        <v>0</v>
      </c>
      <c r="R2769" s="1">
        <f>2*Table1[[#This Row],[Std Error]]</f>
        <v>0</v>
      </c>
      <c r="S2769" s="1" t="str">
        <f>IF(Table1[[#This Row],[High Tol]]="","N/A",IFERROR(ABS(Table1[[#This Row],[Tol Span]]/Table1[[#This Row],[Error Span]]),"N/A"))</f>
        <v>N/A</v>
      </c>
      <c r="T2769" s="1" t="str">
        <f>IF(OR(Table1[[#This Row],[Low Tol]]="",Table1[[#This Row],[High Tol]]=""),"Needs Analysis",IF(Table1[[#This Row],[Ratio]]&gt;=4,"Not Significant",IF(Table1[[#This Row],[Ratio]]&gt;=2,"Semi-Significant","Significant")))</f>
        <v>Needs Analysis</v>
      </c>
      <c r="W2769" s="1">
        <f>IF(Table1[[#This Row],[Cal Type]]&lt;&gt;"ACCREDITED 17025 WITH UNCERTAINTIES",0,"")</f>
        <v>0</v>
      </c>
      <c r="X2769" s="1" t="str">
        <f>IF(Table1[[#This Row],[DUT Read]]="","N/A",Table1[[#This Row],[Std Error]]+Table1[[#This Row],[DUT Read]]+Table1[[#This Row],[DUT Ucty]])</f>
        <v>N/A</v>
      </c>
      <c r="Y2769" s="1" t="str">
        <f>IF(Table1[[#This Row],[Std Read]]="","N/A",Table1[[#This Row],[Std Read]]+Table1[[#This Row],[Std Ucty]])</f>
        <v>N/A</v>
      </c>
      <c r="Z27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69" s="1" t="str">
        <f>IF(Table1[[#This Row],[Spec Type]]="","N/A",Table1[[#This Row],[Spec Type]])</f>
        <v>±</v>
      </c>
      <c r="AC2769" s="1" t="str">
        <f>IF(Table1[[#This Row],[Spec Type2]]="N/A","N/A",IF(AND(Table1[[#This Row],[DUT Adj Read]]&gt;=Table1[[#This Row],[Low Tol]],Table1[[#This Row],[DUT Adj Read]]&lt;=Table1[[#This Row],[High Tol]]),"Pass","Fail"))</f>
        <v>Fail</v>
      </c>
      <c r="AD2769" s="1" t="str">
        <f>IF(AND(Table1[[#This Row],[Spec Type2]]="N/A",Table1[[#This Row],[DUT Adj Read]]="N/A",Table1[[#This Row],[Std Adj Read]]="N/A"),"N/A",IF(Table1[[#This Row],[DUT Adj Read]]="N/A",IF(Table1[[#This Row],[Std Adj Read]]&gt;Table1[[#This Row],[Low Tol]],"Pass","Fail"),IF(Table1[[#This Row],[DUT Adj Read]]&gt;Table1[[#This Row],[Low Tol]],"Pass","Fail")))</f>
        <v>Pass</v>
      </c>
      <c r="AE2769" s="1" t="str">
        <f>IF(AND(Table1[[#This Row],[Spec Type2]]="N/A",Table1[[#This Row],[DUT Adj Read]]="N/A",Table1[[#This Row],[Std Adj Read]]="N/A"),"N/A",IF(Table1[[#This Row],[DUT Adj Read]]="N/A",IF(Table1[[#This Row],[Std Adj Read]]&lt;Table1[[#This Row],[High Tol]],"Pass","Fail"),IF(Table1[[#This Row],[DUT Adj Read]]&lt;Table1[[#This Row],[High Tol]],"Pass","Fail")))</f>
        <v>Fail</v>
      </c>
      <c r="AF2769" s="1" t="str">
        <f>IF(AND(Table1[[#This Row],[Spec Type2]]="N/A",Table1[[#This Row],[DUT Adj Read]]="N/A",Table1[[#This Row],[Std Adj Read]]="N/A"),"N/A",IF(Table1[[#This Row],[DUT Adj Read]]="N/A",IF(Table1[[#This Row],[Std Adj Read]]&gt;=Table1[[#This Row],[Low Tol]],"Pass","Fail"),IF(Table1[[#This Row],[DUT Adj Read]]&gt;=Table1[[#This Row],[Low Tol]],"Pass","Fail")))</f>
        <v>Pass</v>
      </c>
      <c r="AG2769" s="1" t="str">
        <f>IF(AND(Table1[[#This Row],[Spec Type2]]="N/A",Table1[[#This Row],[DUT Adj Read]]="N/A",Table1[[#This Row],[Std Adj Read]]="N/A"),"N/A",IF(Table1[[#This Row],[DUT Adj Read]]="N/A",IF(Table1[[#This Row],[Std Adj Read]]&lt;=Table1[[#This Row],[High Tol]],"Pass","Fail"),IF(Table1[[#This Row],[DUT Adj Read]]&lt;=Table1[[#This Row],[High Tol]],"Pass","Fail")))</f>
        <v>Fail</v>
      </c>
      <c r="AH27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69" s="1" t="b">
        <v>0</v>
      </c>
      <c r="AN2769" s="1" t="b">
        <v>0</v>
      </c>
      <c r="AO2769" s="1" t="b">
        <v>0</v>
      </c>
    </row>
    <row r="2770" spans="1:41" x14ac:dyDescent="0.25">
      <c r="A2770" s="10"/>
      <c r="B2770" s="10"/>
      <c r="C2770" s="10"/>
      <c r="D2770" s="10"/>
      <c r="E2770" s="10"/>
      <c r="F2770" s="10"/>
      <c r="G2770" s="10"/>
      <c r="H2770" s="10"/>
      <c r="I2770" s="1" t="str">
        <f t="shared" si="129"/>
        <v/>
      </c>
      <c r="J2770" s="1" t="s">
        <v>35</v>
      </c>
      <c r="K2770" s="1" t="str">
        <f t="shared" si="130"/>
        <v/>
      </c>
      <c r="L2770" s="1" t="str">
        <f t="shared" si="131"/>
        <v/>
      </c>
      <c r="M2770" s="1">
        <f>IF(OR(Table1[[#This Row],[Std Nom]]="",Table1[[#This Row],[Std Read]]=""),0,Table1[[#This Row],[Std Nom]]-Table1[[#This Row],[Std Read]])</f>
        <v>0</v>
      </c>
      <c r="N2770" s="1">
        <f>IF(Calculations!$F$5="ACCREDITED 17025 WITH UNCERTAINTIES",$N$10,0)</f>
        <v>0</v>
      </c>
      <c r="Q2770" s="1">
        <f>Table1[[#This Row],[High Tol]]-Table1[[#This Row],[Low Tol]]</f>
        <v>0</v>
      </c>
      <c r="R2770" s="1">
        <f>2*Table1[[#This Row],[Std Error]]</f>
        <v>0</v>
      </c>
      <c r="S2770" s="1" t="str">
        <f>IF(Table1[[#This Row],[High Tol]]="","N/A",IFERROR(ABS(Table1[[#This Row],[Tol Span]]/Table1[[#This Row],[Error Span]]),"N/A"))</f>
        <v>N/A</v>
      </c>
      <c r="T2770" s="1" t="str">
        <f>IF(OR(Table1[[#This Row],[Low Tol]]="",Table1[[#This Row],[High Tol]]=""),"Needs Analysis",IF(Table1[[#This Row],[Ratio]]&gt;=4,"Not Significant",IF(Table1[[#This Row],[Ratio]]&gt;=2,"Semi-Significant","Significant")))</f>
        <v>Needs Analysis</v>
      </c>
      <c r="W2770" s="1">
        <f>IF(Table1[[#This Row],[Cal Type]]&lt;&gt;"ACCREDITED 17025 WITH UNCERTAINTIES",0,"")</f>
        <v>0</v>
      </c>
      <c r="X2770" s="1" t="str">
        <f>IF(Table1[[#This Row],[DUT Read]]="","N/A",Table1[[#This Row],[Std Error]]+Table1[[#This Row],[DUT Read]]+Table1[[#This Row],[DUT Ucty]])</f>
        <v>N/A</v>
      </c>
      <c r="Y2770" s="1" t="str">
        <f>IF(Table1[[#This Row],[Std Read]]="","N/A",Table1[[#This Row],[Std Read]]+Table1[[#This Row],[Std Ucty]])</f>
        <v>N/A</v>
      </c>
      <c r="Z27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0" s="1" t="str">
        <f>IF(Table1[[#This Row],[Spec Type]]="","N/A",Table1[[#This Row],[Spec Type]])</f>
        <v>±</v>
      </c>
      <c r="AC2770" s="1" t="str">
        <f>IF(Table1[[#This Row],[Spec Type2]]="N/A","N/A",IF(AND(Table1[[#This Row],[DUT Adj Read]]&gt;=Table1[[#This Row],[Low Tol]],Table1[[#This Row],[DUT Adj Read]]&lt;=Table1[[#This Row],[High Tol]]),"Pass","Fail"))</f>
        <v>Fail</v>
      </c>
      <c r="AD2770" s="1" t="str">
        <f>IF(AND(Table1[[#This Row],[Spec Type2]]="N/A",Table1[[#This Row],[DUT Adj Read]]="N/A",Table1[[#This Row],[Std Adj Read]]="N/A"),"N/A",IF(Table1[[#This Row],[DUT Adj Read]]="N/A",IF(Table1[[#This Row],[Std Adj Read]]&gt;Table1[[#This Row],[Low Tol]],"Pass","Fail"),IF(Table1[[#This Row],[DUT Adj Read]]&gt;Table1[[#This Row],[Low Tol]],"Pass","Fail")))</f>
        <v>Pass</v>
      </c>
      <c r="AE2770" s="1" t="str">
        <f>IF(AND(Table1[[#This Row],[Spec Type2]]="N/A",Table1[[#This Row],[DUT Adj Read]]="N/A",Table1[[#This Row],[Std Adj Read]]="N/A"),"N/A",IF(Table1[[#This Row],[DUT Adj Read]]="N/A",IF(Table1[[#This Row],[Std Adj Read]]&lt;Table1[[#This Row],[High Tol]],"Pass","Fail"),IF(Table1[[#This Row],[DUT Adj Read]]&lt;Table1[[#This Row],[High Tol]],"Pass","Fail")))</f>
        <v>Fail</v>
      </c>
      <c r="AF2770" s="1" t="str">
        <f>IF(AND(Table1[[#This Row],[Spec Type2]]="N/A",Table1[[#This Row],[DUT Adj Read]]="N/A",Table1[[#This Row],[Std Adj Read]]="N/A"),"N/A",IF(Table1[[#This Row],[DUT Adj Read]]="N/A",IF(Table1[[#This Row],[Std Adj Read]]&gt;=Table1[[#This Row],[Low Tol]],"Pass","Fail"),IF(Table1[[#This Row],[DUT Adj Read]]&gt;=Table1[[#This Row],[Low Tol]],"Pass","Fail")))</f>
        <v>Pass</v>
      </c>
      <c r="AG2770" s="1" t="str">
        <f>IF(AND(Table1[[#This Row],[Spec Type2]]="N/A",Table1[[#This Row],[DUT Adj Read]]="N/A",Table1[[#This Row],[Std Adj Read]]="N/A"),"N/A",IF(Table1[[#This Row],[DUT Adj Read]]="N/A",IF(Table1[[#This Row],[Std Adj Read]]&lt;=Table1[[#This Row],[High Tol]],"Pass","Fail"),IF(Table1[[#This Row],[DUT Adj Read]]&lt;=Table1[[#This Row],[High Tol]],"Pass","Fail")))</f>
        <v>Fail</v>
      </c>
      <c r="AH27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0" s="1" t="b">
        <v>0</v>
      </c>
      <c r="AN2770" s="1" t="b">
        <v>0</v>
      </c>
      <c r="AO2770" s="1" t="b">
        <v>0</v>
      </c>
    </row>
    <row r="2771" spans="1:41" x14ac:dyDescent="0.25">
      <c r="A2771" s="10"/>
      <c r="B2771" s="10"/>
      <c r="C2771" s="10"/>
      <c r="D2771" s="10"/>
      <c r="E2771" s="10"/>
      <c r="F2771" s="10"/>
      <c r="G2771" s="10"/>
      <c r="H2771" s="10"/>
      <c r="I2771" s="1" t="str">
        <f t="shared" si="129"/>
        <v/>
      </c>
      <c r="J2771" s="1" t="s">
        <v>35</v>
      </c>
      <c r="K2771" s="1" t="str">
        <f t="shared" si="130"/>
        <v/>
      </c>
      <c r="L2771" s="1" t="str">
        <f t="shared" si="131"/>
        <v/>
      </c>
      <c r="M2771" s="1">
        <f>IF(OR(Table1[[#This Row],[Std Nom]]="",Table1[[#This Row],[Std Read]]=""),0,Table1[[#This Row],[Std Nom]]-Table1[[#This Row],[Std Read]])</f>
        <v>0</v>
      </c>
      <c r="N2771" s="1">
        <f>IF(Calculations!$F$5="ACCREDITED 17025 WITH UNCERTAINTIES",$N$10,0)</f>
        <v>0</v>
      </c>
      <c r="Q2771" s="1">
        <f>Table1[[#This Row],[High Tol]]-Table1[[#This Row],[Low Tol]]</f>
        <v>0</v>
      </c>
      <c r="R2771" s="1">
        <f>2*Table1[[#This Row],[Std Error]]</f>
        <v>0</v>
      </c>
      <c r="S2771" s="1" t="str">
        <f>IF(Table1[[#This Row],[High Tol]]="","N/A",IFERROR(ABS(Table1[[#This Row],[Tol Span]]/Table1[[#This Row],[Error Span]]),"N/A"))</f>
        <v>N/A</v>
      </c>
      <c r="T2771" s="1" t="str">
        <f>IF(OR(Table1[[#This Row],[Low Tol]]="",Table1[[#This Row],[High Tol]]=""),"Needs Analysis",IF(Table1[[#This Row],[Ratio]]&gt;=4,"Not Significant",IF(Table1[[#This Row],[Ratio]]&gt;=2,"Semi-Significant","Significant")))</f>
        <v>Needs Analysis</v>
      </c>
      <c r="W2771" s="1">
        <f>IF(Table1[[#This Row],[Cal Type]]&lt;&gt;"ACCREDITED 17025 WITH UNCERTAINTIES",0,"")</f>
        <v>0</v>
      </c>
      <c r="X2771" s="1" t="str">
        <f>IF(Table1[[#This Row],[DUT Read]]="","N/A",Table1[[#This Row],[Std Error]]+Table1[[#This Row],[DUT Read]]+Table1[[#This Row],[DUT Ucty]])</f>
        <v>N/A</v>
      </c>
      <c r="Y2771" s="1" t="str">
        <f>IF(Table1[[#This Row],[Std Read]]="","N/A",Table1[[#This Row],[Std Read]]+Table1[[#This Row],[Std Ucty]])</f>
        <v>N/A</v>
      </c>
      <c r="Z27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1" s="1" t="str">
        <f>IF(Table1[[#This Row],[Spec Type]]="","N/A",Table1[[#This Row],[Spec Type]])</f>
        <v>±</v>
      </c>
      <c r="AC2771" s="1" t="str">
        <f>IF(Table1[[#This Row],[Spec Type2]]="N/A","N/A",IF(AND(Table1[[#This Row],[DUT Adj Read]]&gt;=Table1[[#This Row],[Low Tol]],Table1[[#This Row],[DUT Adj Read]]&lt;=Table1[[#This Row],[High Tol]]),"Pass","Fail"))</f>
        <v>Fail</v>
      </c>
      <c r="AD2771" s="1" t="str">
        <f>IF(AND(Table1[[#This Row],[Spec Type2]]="N/A",Table1[[#This Row],[DUT Adj Read]]="N/A",Table1[[#This Row],[Std Adj Read]]="N/A"),"N/A",IF(Table1[[#This Row],[DUT Adj Read]]="N/A",IF(Table1[[#This Row],[Std Adj Read]]&gt;Table1[[#This Row],[Low Tol]],"Pass","Fail"),IF(Table1[[#This Row],[DUT Adj Read]]&gt;Table1[[#This Row],[Low Tol]],"Pass","Fail")))</f>
        <v>Pass</v>
      </c>
      <c r="AE2771" s="1" t="str">
        <f>IF(AND(Table1[[#This Row],[Spec Type2]]="N/A",Table1[[#This Row],[DUT Adj Read]]="N/A",Table1[[#This Row],[Std Adj Read]]="N/A"),"N/A",IF(Table1[[#This Row],[DUT Adj Read]]="N/A",IF(Table1[[#This Row],[Std Adj Read]]&lt;Table1[[#This Row],[High Tol]],"Pass","Fail"),IF(Table1[[#This Row],[DUT Adj Read]]&lt;Table1[[#This Row],[High Tol]],"Pass","Fail")))</f>
        <v>Fail</v>
      </c>
      <c r="AF2771" s="1" t="str">
        <f>IF(AND(Table1[[#This Row],[Spec Type2]]="N/A",Table1[[#This Row],[DUT Adj Read]]="N/A",Table1[[#This Row],[Std Adj Read]]="N/A"),"N/A",IF(Table1[[#This Row],[DUT Adj Read]]="N/A",IF(Table1[[#This Row],[Std Adj Read]]&gt;=Table1[[#This Row],[Low Tol]],"Pass","Fail"),IF(Table1[[#This Row],[DUT Adj Read]]&gt;=Table1[[#This Row],[Low Tol]],"Pass","Fail")))</f>
        <v>Pass</v>
      </c>
      <c r="AG2771" s="1" t="str">
        <f>IF(AND(Table1[[#This Row],[Spec Type2]]="N/A",Table1[[#This Row],[DUT Adj Read]]="N/A",Table1[[#This Row],[Std Adj Read]]="N/A"),"N/A",IF(Table1[[#This Row],[DUT Adj Read]]="N/A",IF(Table1[[#This Row],[Std Adj Read]]&lt;=Table1[[#This Row],[High Tol]],"Pass","Fail"),IF(Table1[[#This Row],[DUT Adj Read]]&lt;=Table1[[#This Row],[High Tol]],"Pass","Fail")))</f>
        <v>Fail</v>
      </c>
      <c r="AH27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1" s="1" t="b">
        <v>0</v>
      </c>
      <c r="AN2771" s="1" t="b">
        <v>0</v>
      </c>
      <c r="AO2771" s="1" t="b">
        <v>0</v>
      </c>
    </row>
    <row r="2772" spans="1:41" x14ac:dyDescent="0.25">
      <c r="A2772" s="10"/>
      <c r="B2772" s="10"/>
      <c r="C2772" s="10"/>
      <c r="D2772" s="10"/>
      <c r="E2772" s="10"/>
      <c r="F2772" s="10"/>
      <c r="G2772" s="10"/>
      <c r="H2772" s="10"/>
      <c r="I2772" s="1" t="str">
        <f t="shared" si="129"/>
        <v/>
      </c>
      <c r="J2772" s="1" t="s">
        <v>35</v>
      </c>
      <c r="K2772" s="1" t="str">
        <f t="shared" si="130"/>
        <v/>
      </c>
      <c r="L2772" s="1" t="str">
        <f t="shared" si="131"/>
        <v/>
      </c>
      <c r="M2772" s="1">
        <f>IF(OR(Table1[[#This Row],[Std Nom]]="",Table1[[#This Row],[Std Read]]=""),0,Table1[[#This Row],[Std Nom]]-Table1[[#This Row],[Std Read]])</f>
        <v>0</v>
      </c>
      <c r="N2772" s="1">
        <f>IF(Calculations!$F$5="ACCREDITED 17025 WITH UNCERTAINTIES",$N$10,0)</f>
        <v>0</v>
      </c>
      <c r="Q2772" s="1">
        <f>Table1[[#This Row],[High Tol]]-Table1[[#This Row],[Low Tol]]</f>
        <v>0</v>
      </c>
      <c r="R2772" s="1">
        <f>2*Table1[[#This Row],[Std Error]]</f>
        <v>0</v>
      </c>
      <c r="S2772" s="1" t="str">
        <f>IF(Table1[[#This Row],[High Tol]]="","N/A",IFERROR(ABS(Table1[[#This Row],[Tol Span]]/Table1[[#This Row],[Error Span]]),"N/A"))</f>
        <v>N/A</v>
      </c>
      <c r="T2772" s="1" t="str">
        <f>IF(OR(Table1[[#This Row],[Low Tol]]="",Table1[[#This Row],[High Tol]]=""),"Needs Analysis",IF(Table1[[#This Row],[Ratio]]&gt;=4,"Not Significant",IF(Table1[[#This Row],[Ratio]]&gt;=2,"Semi-Significant","Significant")))</f>
        <v>Needs Analysis</v>
      </c>
      <c r="W2772" s="1">
        <f>IF(Table1[[#This Row],[Cal Type]]&lt;&gt;"ACCREDITED 17025 WITH UNCERTAINTIES",0,"")</f>
        <v>0</v>
      </c>
      <c r="X2772" s="1" t="str">
        <f>IF(Table1[[#This Row],[DUT Read]]="","N/A",Table1[[#This Row],[Std Error]]+Table1[[#This Row],[DUT Read]]+Table1[[#This Row],[DUT Ucty]])</f>
        <v>N/A</v>
      </c>
      <c r="Y2772" s="1" t="str">
        <f>IF(Table1[[#This Row],[Std Read]]="","N/A",Table1[[#This Row],[Std Read]]+Table1[[#This Row],[Std Ucty]])</f>
        <v>N/A</v>
      </c>
      <c r="Z27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2" s="1" t="str">
        <f>IF(Table1[[#This Row],[Spec Type]]="","N/A",Table1[[#This Row],[Spec Type]])</f>
        <v>±</v>
      </c>
      <c r="AC2772" s="1" t="str">
        <f>IF(Table1[[#This Row],[Spec Type2]]="N/A","N/A",IF(AND(Table1[[#This Row],[DUT Adj Read]]&gt;=Table1[[#This Row],[Low Tol]],Table1[[#This Row],[DUT Adj Read]]&lt;=Table1[[#This Row],[High Tol]]),"Pass","Fail"))</f>
        <v>Fail</v>
      </c>
      <c r="AD2772" s="1" t="str">
        <f>IF(AND(Table1[[#This Row],[Spec Type2]]="N/A",Table1[[#This Row],[DUT Adj Read]]="N/A",Table1[[#This Row],[Std Adj Read]]="N/A"),"N/A",IF(Table1[[#This Row],[DUT Adj Read]]="N/A",IF(Table1[[#This Row],[Std Adj Read]]&gt;Table1[[#This Row],[Low Tol]],"Pass","Fail"),IF(Table1[[#This Row],[DUT Adj Read]]&gt;Table1[[#This Row],[Low Tol]],"Pass","Fail")))</f>
        <v>Pass</v>
      </c>
      <c r="AE2772" s="1" t="str">
        <f>IF(AND(Table1[[#This Row],[Spec Type2]]="N/A",Table1[[#This Row],[DUT Adj Read]]="N/A",Table1[[#This Row],[Std Adj Read]]="N/A"),"N/A",IF(Table1[[#This Row],[DUT Adj Read]]="N/A",IF(Table1[[#This Row],[Std Adj Read]]&lt;Table1[[#This Row],[High Tol]],"Pass","Fail"),IF(Table1[[#This Row],[DUT Adj Read]]&lt;Table1[[#This Row],[High Tol]],"Pass","Fail")))</f>
        <v>Fail</v>
      </c>
      <c r="AF2772" s="1" t="str">
        <f>IF(AND(Table1[[#This Row],[Spec Type2]]="N/A",Table1[[#This Row],[DUT Adj Read]]="N/A",Table1[[#This Row],[Std Adj Read]]="N/A"),"N/A",IF(Table1[[#This Row],[DUT Adj Read]]="N/A",IF(Table1[[#This Row],[Std Adj Read]]&gt;=Table1[[#This Row],[Low Tol]],"Pass","Fail"),IF(Table1[[#This Row],[DUT Adj Read]]&gt;=Table1[[#This Row],[Low Tol]],"Pass","Fail")))</f>
        <v>Pass</v>
      </c>
      <c r="AG2772" s="1" t="str">
        <f>IF(AND(Table1[[#This Row],[Spec Type2]]="N/A",Table1[[#This Row],[DUT Adj Read]]="N/A",Table1[[#This Row],[Std Adj Read]]="N/A"),"N/A",IF(Table1[[#This Row],[DUT Adj Read]]="N/A",IF(Table1[[#This Row],[Std Adj Read]]&lt;=Table1[[#This Row],[High Tol]],"Pass","Fail"),IF(Table1[[#This Row],[DUT Adj Read]]&lt;=Table1[[#This Row],[High Tol]],"Pass","Fail")))</f>
        <v>Fail</v>
      </c>
      <c r="AH27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2" s="1" t="b">
        <v>0</v>
      </c>
      <c r="AN2772" s="1" t="b">
        <v>0</v>
      </c>
      <c r="AO2772" s="1" t="b">
        <v>0</v>
      </c>
    </row>
    <row r="2773" spans="1:41" x14ac:dyDescent="0.25">
      <c r="A2773" s="10"/>
      <c r="B2773" s="10"/>
      <c r="C2773" s="10"/>
      <c r="D2773" s="10"/>
      <c r="E2773" s="10"/>
      <c r="F2773" s="10"/>
      <c r="G2773" s="10"/>
      <c r="H2773" s="10"/>
      <c r="I2773" s="1" t="str">
        <f t="shared" si="129"/>
        <v/>
      </c>
      <c r="J2773" s="1" t="s">
        <v>35</v>
      </c>
      <c r="K2773" s="1" t="str">
        <f t="shared" si="130"/>
        <v/>
      </c>
      <c r="L2773" s="1" t="str">
        <f t="shared" si="131"/>
        <v/>
      </c>
      <c r="M2773" s="1">
        <f>IF(OR(Table1[[#This Row],[Std Nom]]="",Table1[[#This Row],[Std Read]]=""),0,Table1[[#This Row],[Std Nom]]-Table1[[#This Row],[Std Read]])</f>
        <v>0</v>
      </c>
      <c r="N2773" s="1">
        <f>IF(Calculations!$F$5="ACCREDITED 17025 WITH UNCERTAINTIES",$N$10,0)</f>
        <v>0</v>
      </c>
      <c r="Q2773" s="1">
        <f>Table1[[#This Row],[High Tol]]-Table1[[#This Row],[Low Tol]]</f>
        <v>0</v>
      </c>
      <c r="R2773" s="1">
        <f>2*Table1[[#This Row],[Std Error]]</f>
        <v>0</v>
      </c>
      <c r="S2773" s="1" t="str">
        <f>IF(Table1[[#This Row],[High Tol]]="","N/A",IFERROR(ABS(Table1[[#This Row],[Tol Span]]/Table1[[#This Row],[Error Span]]),"N/A"))</f>
        <v>N/A</v>
      </c>
      <c r="T2773" s="1" t="str">
        <f>IF(OR(Table1[[#This Row],[Low Tol]]="",Table1[[#This Row],[High Tol]]=""),"Needs Analysis",IF(Table1[[#This Row],[Ratio]]&gt;=4,"Not Significant",IF(Table1[[#This Row],[Ratio]]&gt;=2,"Semi-Significant","Significant")))</f>
        <v>Needs Analysis</v>
      </c>
      <c r="W2773" s="1">
        <f>IF(Table1[[#This Row],[Cal Type]]&lt;&gt;"ACCREDITED 17025 WITH UNCERTAINTIES",0,"")</f>
        <v>0</v>
      </c>
      <c r="X2773" s="1" t="str">
        <f>IF(Table1[[#This Row],[DUT Read]]="","N/A",Table1[[#This Row],[Std Error]]+Table1[[#This Row],[DUT Read]]+Table1[[#This Row],[DUT Ucty]])</f>
        <v>N/A</v>
      </c>
      <c r="Y2773" s="1" t="str">
        <f>IF(Table1[[#This Row],[Std Read]]="","N/A",Table1[[#This Row],[Std Read]]+Table1[[#This Row],[Std Ucty]])</f>
        <v>N/A</v>
      </c>
      <c r="Z27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3" s="1" t="str">
        <f>IF(Table1[[#This Row],[Spec Type]]="","N/A",Table1[[#This Row],[Spec Type]])</f>
        <v>±</v>
      </c>
      <c r="AC2773" s="1" t="str">
        <f>IF(Table1[[#This Row],[Spec Type2]]="N/A","N/A",IF(AND(Table1[[#This Row],[DUT Adj Read]]&gt;=Table1[[#This Row],[Low Tol]],Table1[[#This Row],[DUT Adj Read]]&lt;=Table1[[#This Row],[High Tol]]),"Pass","Fail"))</f>
        <v>Fail</v>
      </c>
      <c r="AD2773" s="1" t="str">
        <f>IF(AND(Table1[[#This Row],[Spec Type2]]="N/A",Table1[[#This Row],[DUT Adj Read]]="N/A",Table1[[#This Row],[Std Adj Read]]="N/A"),"N/A",IF(Table1[[#This Row],[DUT Adj Read]]="N/A",IF(Table1[[#This Row],[Std Adj Read]]&gt;Table1[[#This Row],[Low Tol]],"Pass","Fail"),IF(Table1[[#This Row],[DUT Adj Read]]&gt;Table1[[#This Row],[Low Tol]],"Pass","Fail")))</f>
        <v>Pass</v>
      </c>
      <c r="AE2773" s="1" t="str">
        <f>IF(AND(Table1[[#This Row],[Spec Type2]]="N/A",Table1[[#This Row],[DUT Adj Read]]="N/A",Table1[[#This Row],[Std Adj Read]]="N/A"),"N/A",IF(Table1[[#This Row],[DUT Adj Read]]="N/A",IF(Table1[[#This Row],[Std Adj Read]]&lt;Table1[[#This Row],[High Tol]],"Pass","Fail"),IF(Table1[[#This Row],[DUT Adj Read]]&lt;Table1[[#This Row],[High Tol]],"Pass","Fail")))</f>
        <v>Fail</v>
      </c>
      <c r="AF2773" s="1" t="str">
        <f>IF(AND(Table1[[#This Row],[Spec Type2]]="N/A",Table1[[#This Row],[DUT Adj Read]]="N/A",Table1[[#This Row],[Std Adj Read]]="N/A"),"N/A",IF(Table1[[#This Row],[DUT Adj Read]]="N/A",IF(Table1[[#This Row],[Std Adj Read]]&gt;=Table1[[#This Row],[Low Tol]],"Pass","Fail"),IF(Table1[[#This Row],[DUT Adj Read]]&gt;=Table1[[#This Row],[Low Tol]],"Pass","Fail")))</f>
        <v>Pass</v>
      </c>
      <c r="AG2773" s="1" t="str">
        <f>IF(AND(Table1[[#This Row],[Spec Type2]]="N/A",Table1[[#This Row],[DUT Adj Read]]="N/A",Table1[[#This Row],[Std Adj Read]]="N/A"),"N/A",IF(Table1[[#This Row],[DUT Adj Read]]="N/A",IF(Table1[[#This Row],[Std Adj Read]]&lt;=Table1[[#This Row],[High Tol]],"Pass","Fail"),IF(Table1[[#This Row],[DUT Adj Read]]&lt;=Table1[[#This Row],[High Tol]],"Pass","Fail")))</f>
        <v>Fail</v>
      </c>
      <c r="AH27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3" s="1" t="b">
        <v>0</v>
      </c>
      <c r="AN2773" s="1" t="b">
        <v>0</v>
      </c>
      <c r="AO2773" s="1" t="b">
        <v>0</v>
      </c>
    </row>
    <row r="2774" spans="1:41" x14ac:dyDescent="0.25">
      <c r="A2774" s="10"/>
      <c r="B2774" s="10"/>
      <c r="C2774" s="10"/>
      <c r="D2774" s="10"/>
      <c r="E2774" s="10"/>
      <c r="F2774" s="10"/>
      <c r="G2774" s="10"/>
      <c r="H2774" s="10"/>
      <c r="I2774" s="1" t="str">
        <f t="shared" si="129"/>
        <v/>
      </c>
      <c r="J2774" s="1" t="s">
        <v>35</v>
      </c>
      <c r="K2774" s="1" t="str">
        <f t="shared" si="130"/>
        <v/>
      </c>
      <c r="L2774" s="1" t="str">
        <f t="shared" si="131"/>
        <v/>
      </c>
      <c r="M2774" s="1">
        <f>IF(OR(Table1[[#This Row],[Std Nom]]="",Table1[[#This Row],[Std Read]]=""),0,Table1[[#This Row],[Std Nom]]-Table1[[#This Row],[Std Read]])</f>
        <v>0</v>
      </c>
      <c r="N2774" s="1">
        <f>IF(Calculations!$F$5="ACCREDITED 17025 WITH UNCERTAINTIES",$N$10,0)</f>
        <v>0</v>
      </c>
      <c r="Q2774" s="1">
        <f>Table1[[#This Row],[High Tol]]-Table1[[#This Row],[Low Tol]]</f>
        <v>0</v>
      </c>
      <c r="R2774" s="1">
        <f>2*Table1[[#This Row],[Std Error]]</f>
        <v>0</v>
      </c>
      <c r="S2774" s="1" t="str">
        <f>IF(Table1[[#This Row],[High Tol]]="","N/A",IFERROR(ABS(Table1[[#This Row],[Tol Span]]/Table1[[#This Row],[Error Span]]),"N/A"))</f>
        <v>N/A</v>
      </c>
      <c r="T2774" s="1" t="str">
        <f>IF(OR(Table1[[#This Row],[Low Tol]]="",Table1[[#This Row],[High Tol]]=""),"Needs Analysis",IF(Table1[[#This Row],[Ratio]]&gt;=4,"Not Significant",IF(Table1[[#This Row],[Ratio]]&gt;=2,"Semi-Significant","Significant")))</f>
        <v>Needs Analysis</v>
      </c>
      <c r="W2774" s="1">
        <f>IF(Table1[[#This Row],[Cal Type]]&lt;&gt;"ACCREDITED 17025 WITH UNCERTAINTIES",0,"")</f>
        <v>0</v>
      </c>
      <c r="X2774" s="1" t="str">
        <f>IF(Table1[[#This Row],[DUT Read]]="","N/A",Table1[[#This Row],[Std Error]]+Table1[[#This Row],[DUT Read]]+Table1[[#This Row],[DUT Ucty]])</f>
        <v>N/A</v>
      </c>
      <c r="Y2774" s="1" t="str">
        <f>IF(Table1[[#This Row],[Std Read]]="","N/A",Table1[[#This Row],[Std Read]]+Table1[[#This Row],[Std Ucty]])</f>
        <v>N/A</v>
      </c>
      <c r="Z27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4" s="1" t="str">
        <f>IF(Table1[[#This Row],[Spec Type]]="","N/A",Table1[[#This Row],[Spec Type]])</f>
        <v>±</v>
      </c>
      <c r="AC2774" s="1" t="str">
        <f>IF(Table1[[#This Row],[Spec Type2]]="N/A","N/A",IF(AND(Table1[[#This Row],[DUT Adj Read]]&gt;=Table1[[#This Row],[Low Tol]],Table1[[#This Row],[DUT Adj Read]]&lt;=Table1[[#This Row],[High Tol]]),"Pass","Fail"))</f>
        <v>Fail</v>
      </c>
      <c r="AD2774" s="1" t="str">
        <f>IF(AND(Table1[[#This Row],[Spec Type2]]="N/A",Table1[[#This Row],[DUT Adj Read]]="N/A",Table1[[#This Row],[Std Adj Read]]="N/A"),"N/A",IF(Table1[[#This Row],[DUT Adj Read]]="N/A",IF(Table1[[#This Row],[Std Adj Read]]&gt;Table1[[#This Row],[Low Tol]],"Pass","Fail"),IF(Table1[[#This Row],[DUT Adj Read]]&gt;Table1[[#This Row],[Low Tol]],"Pass","Fail")))</f>
        <v>Pass</v>
      </c>
      <c r="AE2774" s="1" t="str">
        <f>IF(AND(Table1[[#This Row],[Spec Type2]]="N/A",Table1[[#This Row],[DUT Adj Read]]="N/A",Table1[[#This Row],[Std Adj Read]]="N/A"),"N/A",IF(Table1[[#This Row],[DUT Adj Read]]="N/A",IF(Table1[[#This Row],[Std Adj Read]]&lt;Table1[[#This Row],[High Tol]],"Pass","Fail"),IF(Table1[[#This Row],[DUT Adj Read]]&lt;Table1[[#This Row],[High Tol]],"Pass","Fail")))</f>
        <v>Fail</v>
      </c>
      <c r="AF2774" s="1" t="str">
        <f>IF(AND(Table1[[#This Row],[Spec Type2]]="N/A",Table1[[#This Row],[DUT Adj Read]]="N/A",Table1[[#This Row],[Std Adj Read]]="N/A"),"N/A",IF(Table1[[#This Row],[DUT Adj Read]]="N/A",IF(Table1[[#This Row],[Std Adj Read]]&gt;=Table1[[#This Row],[Low Tol]],"Pass","Fail"),IF(Table1[[#This Row],[DUT Adj Read]]&gt;=Table1[[#This Row],[Low Tol]],"Pass","Fail")))</f>
        <v>Pass</v>
      </c>
      <c r="AG2774" s="1" t="str">
        <f>IF(AND(Table1[[#This Row],[Spec Type2]]="N/A",Table1[[#This Row],[DUT Adj Read]]="N/A",Table1[[#This Row],[Std Adj Read]]="N/A"),"N/A",IF(Table1[[#This Row],[DUT Adj Read]]="N/A",IF(Table1[[#This Row],[Std Adj Read]]&lt;=Table1[[#This Row],[High Tol]],"Pass","Fail"),IF(Table1[[#This Row],[DUT Adj Read]]&lt;=Table1[[#This Row],[High Tol]],"Pass","Fail")))</f>
        <v>Fail</v>
      </c>
      <c r="AH27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4" s="1" t="b">
        <v>0</v>
      </c>
      <c r="AN2774" s="1" t="b">
        <v>0</v>
      </c>
      <c r="AO2774" s="1" t="b">
        <v>0</v>
      </c>
    </row>
    <row r="2775" spans="1:41" x14ac:dyDescent="0.25">
      <c r="A2775" s="10"/>
      <c r="B2775" s="10"/>
      <c r="C2775" s="10"/>
      <c r="D2775" s="10"/>
      <c r="E2775" s="10"/>
      <c r="F2775" s="10"/>
      <c r="G2775" s="10"/>
      <c r="H2775" s="10"/>
      <c r="I2775" s="1" t="str">
        <f t="shared" si="129"/>
        <v/>
      </c>
      <c r="J2775" s="1" t="s">
        <v>35</v>
      </c>
      <c r="K2775" s="1" t="str">
        <f t="shared" si="130"/>
        <v/>
      </c>
      <c r="L2775" s="1" t="str">
        <f t="shared" si="131"/>
        <v/>
      </c>
      <c r="M2775" s="1">
        <f>IF(OR(Table1[[#This Row],[Std Nom]]="",Table1[[#This Row],[Std Read]]=""),0,Table1[[#This Row],[Std Nom]]-Table1[[#This Row],[Std Read]])</f>
        <v>0</v>
      </c>
      <c r="N2775" s="1">
        <f>IF(Calculations!$F$5="ACCREDITED 17025 WITH UNCERTAINTIES",$N$10,0)</f>
        <v>0</v>
      </c>
      <c r="Q2775" s="1">
        <f>Table1[[#This Row],[High Tol]]-Table1[[#This Row],[Low Tol]]</f>
        <v>0</v>
      </c>
      <c r="R2775" s="1">
        <f>2*Table1[[#This Row],[Std Error]]</f>
        <v>0</v>
      </c>
      <c r="S2775" s="1" t="str">
        <f>IF(Table1[[#This Row],[High Tol]]="","N/A",IFERROR(ABS(Table1[[#This Row],[Tol Span]]/Table1[[#This Row],[Error Span]]),"N/A"))</f>
        <v>N/A</v>
      </c>
      <c r="T2775" s="1" t="str">
        <f>IF(OR(Table1[[#This Row],[Low Tol]]="",Table1[[#This Row],[High Tol]]=""),"Needs Analysis",IF(Table1[[#This Row],[Ratio]]&gt;=4,"Not Significant",IF(Table1[[#This Row],[Ratio]]&gt;=2,"Semi-Significant","Significant")))</f>
        <v>Needs Analysis</v>
      </c>
      <c r="W2775" s="1">
        <f>IF(Table1[[#This Row],[Cal Type]]&lt;&gt;"ACCREDITED 17025 WITH UNCERTAINTIES",0,"")</f>
        <v>0</v>
      </c>
      <c r="X2775" s="1" t="str">
        <f>IF(Table1[[#This Row],[DUT Read]]="","N/A",Table1[[#This Row],[Std Error]]+Table1[[#This Row],[DUT Read]]+Table1[[#This Row],[DUT Ucty]])</f>
        <v>N/A</v>
      </c>
      <c r="Y2775" s="1" t="str">
        <f>IF(Table1[[#This Row],[Std Read]]="","N/A",Table1[[#This Row],[Std Read]]+Table1[[#This Row],[Std Ucty]])</f>
        <v>N/A</v>
      </c>
      <c r="Z27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5" s="1" t="str">
        <f>IF(Table1[[#This Row],[Spec Type]]="","N/A",Table1[[#This Row],[Spec Type]])</f>
        <v>±</v>
      </c>
      <c r="AC2775" s="1" t="str">
        <f>IF(Table1[[#This Row],[Spec Type2]]="N/A","N/A",IF(AND(Table1[[#This Row],[DUT Adj Read]]&gt;=Table1[[#This Row],[Low Tol]],Table1[[#This Row],[DUT Adj Read]]&lt;=Table1[[#This Row],[High Tol]]),"Pass","Fail"))</f>
        <v>Fail</v>
      </c>
      <c r="AD2775" s="1" t="str">
        <f>IF(AND(Table1[[#This Row],[Spec Type2]]="N/A",Table1[[#This Row],[DUT Adj Read]]="N/A",Table1[[#This Row],[Std Adj Read]]="N/A"),"N/A",IF(Table1[[#This Row],[DUT Adj Read]]="N/A",IF(Table1[[#This Row],[Std Adj Read]]&gt;Table1[[#This Row],[Low Tol]],"Pass","Fail"),IF(Table1[[#This Row],[DUT Adj Read]]&gt;Table1[[#This Row],[Low Tol]],"Pass","Fail")))</f>
        <v>Pass</v>
      </c>
      <c r="AE2775" s="1" t="str">
        <f>IF(AND(Table1[[#This Row],[Spec Type2]]="N/A",Table1[[#This Row],[DUT Adj Read]]="N/A",Table1[[#This Row],[Std Adj Read]]="N/A"),"N/A",IF(Table1[[#This Row],[DUT Adj Read]]="N/A",IF(Table1[[#This Row],[Std Adj Read]]&lt;Table1[[#This Row],[High Tol]],"Pass","Fail"),IF(Table1[[#This Row],[DUT Adj Read]]&lt;Table1[[#This Row],[High Tol]],"Pass","Fail")))</f>
        <v>Fail</v>
      </c>
      <c r="AF2775" s="1" t="str">
        <f>IF(AND(Table1[[#This Row],[Spec Type2]]="N/A",Table1[[#This Row],[DUT Adj Read]]="N/A",Table1[[#This Row],[Std Adj Read]]="N/A"),"N/A",IF(Table1[[#This Row],[DUT Adj Read]]="N/A",IF(Table1[[#This Row],[Std Adj Read]]&gt;=Table1[[#This Row],[Low Tol]],"Pass","Fail"),IF(Table1[[#This Row],[DUT Adj Read]]&gt;=Table1[[#This Row],[Low Tol]],"Pass","Fail")))</f>
        <v>Pass</v>
      </c>
      <c r="AG2775" s="1" t="str">
        <f>IF(AND(Table1[[#This Row],[Spec Type2]]="N/A",Table1[[#This Row],[DUT Adj Read]]="N/A",Table1[[#This Row],[Std Adj Read]]="N/A"),"N/A",IF(Table1[[#This Row],[DUT Adj Read]]="N/A",IF(Table1[[#This Row],[Std Adj Read]]&lt;=Table1[[#This Row],[High Tol]],"Pass","Fail"),IF(Table1[[#This Row],[DUT Adj Read]]&lt;=Table1[[#This Row],[High Tol]],"Pass","Fail")))</f>
        <v>Fail</v>
      </c>
      <c r="AH27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5" s="1" t="b">
        <v>0</v>
      </c>
      <c r="AN2775" s="1" t="b">
        <v>0</v>
      </c>
      <c r="AO2775" s="1" t="b">
        <v>0</v>
      </c>
    </row>
    <row r="2776" spans="1:41" x14ac:dyDescent="0.25">
      <c r="A2776" s="10"/>
      <c r="B2776" s="10"/>
      <c r="C2776" s="10"/>
      <c r="D2776" s="10"/>
      <c r="E2776" s="10"/>
      <c r="F2776" s="10"/>
      <c r="G2776" s="10"/>
      <c r="H2776" s="10"/>
      <c r="I2776" s="1" t="str">
        <f t="shared" si="129"/>
        <v/>
      </c>
      <c r="J2776" s="1" t="s">
        <v>35</v>
      </c>
      <c r="K2776" s="1" t="str">
        <f t="shared" si="130"/>
        <v/>
      </c>
      <c r="L2776" s="1" t="str">
        <f t="shared" si="131"/>
        <v/>
      </c>
      <c r="M2776" s="1">
        <f>IF(OR(Table1[[#This Row],[Std Nom]]="",Table1[[#This Row],[Std Read]]=""),0,Table1[[#This Row],[Std Nom]]-Table1[[#This Row],[Std Read]])</f>
        <v>0</v>
      </c>
      <c r="N2776" s="1">
        <f>IF(Calculations!$F$5="ACCREDITED 17025 WITH UNCERTAINTIES",$N$10,0)</f>
        <v>0</v>
      </c>
      <c r="Q2776" s="1">
        <f>Table1[[#This Row],[High Tol]]-Table1[[#This Row],[Low Tol]]</f>
        <v>0</v>
      </c>
      <c r="R2776" s="1">
        <f>2*Table1[[#This Row],[Std Error]]</f>
        <v>0</v>
      </c>
      <c r="S2776" s="1" t="str">
        <f>IF(Table1[[#This Row],[High Tol]]="","N/A",IFERROR(ABS(Table1[[#This Row],[Tol Span]]/Table1[[#This Row],[Error Span]]),"N/A"))</f>
        <v>N/A</v>
      </c>
      <c r="T2776" s="1" t="str">
        <f>IF(OR(Table1[[#This Row],[Low Tol]]="",Table1[[#This Row],[High Tol]]=""),"Needs Analysis",IF(Table1[[#This Row],[Ratio]]&gt;=4,"Not Significant",IF(Table1[[#This Row],[Ratio]]&gt;=2,"Semi-Significant","Significant")))</f>
        <v>Needs Analysis</v>
      </c>
      <c r="W2776" s="1">
        <f>IF(Table1[[#This Row],[Cal Type]]&lt;&gt;"ACCREDITED 17025 WITH UNCERTAINTIES",0,"")</f>
        <v>0</v>
      </c>
      <c r="X2776" s="1" t="str">
        <f>IF(Table1[[#This Row],[DUT Read]]="","N/A",Table1[[#This Row],[Std Error]]+Table1[[#This Row],[DUT Read]]+Table1[[#This Row],[DUT Ucty]])</f>
        <v>N/A</v>
      </c>
      <c r="Y2776" s="1" t="str">
        <f>IF(Table1[[#This Row],[Std Read]]="","N/A",Table1[[#This Row],[Std Read]]+Table1[[#This Row],[Std Ucty]])</f>
        <v>N/A</v>
      </c>
      <c r="Z27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6" s="1" t="str">
        <f>IF(Table1[[#This Row],[Spec Type]]="","N/A",Table1[[#This Row],[Spec Type]])</f>
        <v>±</v>
      </c>
      <c r="AC2776" s="1" t="str">
        <f>IF(Table1[[#This Row],[Spec Type2]]="N/A","N/A",IF(AND(Table1[[#This Row],[DUT Adj Read]]&gt;=Table1[[#This Row],[Low Tol]],Table1[[#This Row],[DUT Adj Read]]&lt;=Table1[[#This Row],[High Tol]]),"Pass","Fail"))</f>
        <v>Fail</v>
      </c>
      <c r="AD2776" s="1" t="str">
        <f>IF(AND(Table1[[#This Row],[Spec Type2]]="N/A",Table1[[#This Row],[DUT Adj Read]]="N/A",Table1[[#This Row],[Std Adj Read]]="N/A"),"N/A",IF(Table1[[#This Row],[DUT Adj Read]]="N/A",IF(Table1[[#This Row],[Std Adj Read]]&gt;Table1[[#This Row],[Low Tol]],"Pass","Fail"),IF(Table1[[#This Row],[DUT Adj Read]]&gt;Table1[[#This Row],[Low Tol]],"Pass","Fail")))</f>
        <v>Pass</v>
      </c>
      <c r="AE2776" s="1" t="str">
        <f>IF(AND(Table1[[#This Row],[Spec Type2]]="N/A",Table1[[#This Row],[DUT Adj Read]]="N/A",Table1[[#This Row],[Std Adj Read]]="N/A"),"N/A",IF(Table1[[#This Row],[DUT Adj Read]]="N/A",IF(Table1[[#This Row],[Std Adj Read]]&lt;Table1[[#This Row],[High Tol]],"Pass","Fail"),IF(Table1[[#This Row],[DUT Adj Read]]&lt;Table1[[#This Row],[High Tol]],"Pass","Fail")))</f>
        <v>Fail</v>
      </c>
      <c r="AF2776" s="1" t="str">
        <f>IF(AND(Table1[[#This Row],[Spec Type2]]="N/A",Table1[[#This Row],[DUT Adj Read]]="N/A",Table1[[#This Row],[Std Adj Read]]="N/A"),"N/A",IF(Table1[[#This Row],[DUT Adj Read]]="N/A",IF(Table1[[#This Row],[Std Adj Read]]&gt;=Table1[[#This Row],[Low Tol]],"Pass","Fail"),IF(Table1[[#This Row],[DUT Adj Read]]&gt;=Table1[[#This Row],[Low Tol]],"Pass","Fail")))</f>
        <v>Pass</v>
      </c>
      <c r="AG2776" s="1" t="str">
        <f>IF(AND(Table1[[#This Row],[Spec Type2]]="N/A",Table1[[#This Row],[DUT Adj Read]]="N/A",Table1[[#This Row],[Std Adj Read]]="N/A"),"N/A",IF(Table1[[#This Row],[DUT Adj Read]]="N/A",IF(Table1[[#This Row],[Std Adj Read]]&lt;=Table1[[#This Row],[High Tol]],"Pass","Fail"),IF(Table1[[#This Row],[DUT Adj Read]]&lt;=Table1[[#This Row],[High Tol]],"Pass","Fail")))</f>
        <v>Fail</v>
      </c>
      <c r="AH27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6" s="1" t="b">
        <v>0</v>
      </c>
      <c r="AN2776" s="1" t="b">
        <v>0</v>
      </c>
      <c r="AO2776" s="1" t="b">
        <v>0</v>
      </c>
    </row>
    <row r="2777" spans="1:41" x14ac:dyDescent="0.25">
      <c r="A2777" s="10"/>
      <c r="B2777" s="10"/>
      <c r="C2777" s="10"/>
      <c r="D2777" s="10"/>
      <c r="E2777" s="10"/>
      <c r="F2777" s="10"/>
      <c r="G2777" s="10"/>
      <c r="H2777" s="10"/>
      <c r="I2777" s="1" t="str">
        <f t="shared" si="129"/>
        <v/>
      </c>
      <c r="J2777" s="1" t="s">
        <v>35</v>
      </c>
      <c r="K2777" s="1" t="str">
        <f t="shared" si="130"/>
        <v/>
      </c>
      <c r="L2777" s="1" t="str">
        <f t="shared" si="131"/>
        <v/>
      </c>
      <c r="M2777" s="1">
        <f>IF(OR(Table1[[#This Row],[Std Nom]]="",Table1[[#This Row],[Std Read]]=""),0,Table1[[#This Row],[Std Nom]]-Table1[[#This Row],[Std Read]])</f>
        <v>0</v>
      </c>
      <c r="N2777" s="1">
        <f>IF(Calculations!$F$5="ACCREDITED 17025 WITH UNCERTAINTIES",$N$10,0)</f>
        <v>0</v>
      </c>
      <c r="Q2777" s="1">
        <f>Table1[[#This Row],[High Tol]]-Table1[[#This Row],[Low Tol]]</f>
        <v>0</v>
      </c>
      <c r="R2777" s="1">
        <f>2*Table1[[#This Row],[Std Error]]</f>
        <v>0</v>
      </c>
      <c r="S2777" s="1" t="str">
        <f>IF(Table1[[#This Row],[High Tol]]="","N/A",IFERROR(ABS(Table1[[#This Row],[Tol Span]]/Table1[[#This Row],[Error Span]]),"N/A"))</f>
        <v>N/A</v>
      </c>
      <c r="T2777" s="1" t="str">
        <f>IF(OR(Table1[[#This Row],[Low Tol]]="",Table1[[#This Row],[High Tol]]=""),"Needs Analysis",IF(Table1[[#This Row],[Ratio]]&gt;=4,"Not Significant",IF(Table1[[#This Row],[Ratio]]&gt;=2,"Semi-Significant","Significant")))</f>
        <v>Needs Analysis</v>
      </c>
      <c r="W2777" s="1">
        <f>IF(Table1[[#This Row],[Cal Type]]&lt;&gt;"ACCREDITED 17025 WITH UNCERTAINTIES",0,"")</f>
        <v>0</v>
      </c>
      <c r="X2777" s="1" t="str">
        <f>IF(Table1[[#This Row],[DUT Read]]="","N/A",Table1[[#This Row],[Std Error]]+Table1[[#This Row],[DUT Read]]+Table1[[#This Row],[DUT Ucty]])</f>
        <v>N/A</v>
      </c>
      <c r="Y2777" s="1" t="str">
        <f>IF(Table1[[#This Row],[Std Read]]="","N/A",Table1[[#This Row],[Std Read]]+Table1[[#This Row],[Std Ucty]])</f>
        <v>N/A</v>
      </c>
      <c r="Z27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7" s="1" t="str">
        <f>IF(Table1[[#This Row],[Spec Type]]="","N/A",Table1[[#This Row],[Spec Type]])</f>
        <v>±</v>
      </c>
      <c r="AC2777" s="1" t="str">
        <f>IF(Table1[[#This Row],[Spec Type2]]="N/A","N/A",IF(AND(Table1[[#This Row],[DUT Adj Read]]&gt;=Table1[[#This Row],[Low Tol]],Table1[[#This Row],[DUT Adj Read]]&lt;=Table1[[#This Row],[High Tol]]),"Pass","Fail"))</f>
        <v>Fail</v>
      </c>
      <c r="AD2777" s="1" t="str">
        <f>IF(AND(Table1[[#This Row],[Spec Type2]]="N/A",Table1[[#This Row],[DUT Adj Read]]="N/A",Table1[[#This Row],[Std Adj Read]]="N/A"),"N/A",IF(Table1[[#This Row],[DUT Adj Read]]="N/A",IF(Table1[[#This Row],[Std Adj Read]]&gt;Table1[[#This Row],[Low Tol]],"Pass","Fail"),IF(Table1[[#This Row],[DUT Adj Read]]&gt;Table1[[#This Row],[Low Tol]],"Pass","Fail")))</f>
        <v>Pass</v>
      </c>
      <c r="AE2777" s="1" t="str">
        <f>IF(AND(Table1[[#This Row],[Spec Type2]]="N/A",Table1[[#This Row],[DUT Adj Read]]="N/A",Table1[[#This Row],[Std Adj Read]]="N/A"),"N/A",IF(Table1[[#This Row],[DUT Adj Read]]="N/A",IF(Table1[[#This Row],[Std Adj Read]]&lt;Table1[[#This Row],[High Tol]],"Pass","Fail"),IF(Table1[[#This Row],[DUT Adj Read]]&lt;Table1[[#This Row],[High Tol]],"Pass","Fail")))</f>
        <v>Fail</v>
      </c>
      <c r="AF2777" s="1" t="str">
        <f>IF(AND(Table1[[#This Row],[Spec Type2]]="N/A",Table1[[#This Row],[DUT Adj Read]]="N/A",Table1[[#This Row],[Std Adj Read]]="N/A"),"N/A",IF(Table1[[#This Row],[DUT Adj Read]]="N/A",IF(Table1[[#This Row],[Std Adj Read]]&gt;=Table1[[#This Row],[Low Tol]],"Pass","Fail"),IF(Table1[[#This Row],[DUT Adj Read]]&gt;=Table1[[#This Row],[Low Tol]],"Pass","Fail")))</f>
        <v>Pass</v>
      </c>
      <c r="AG2777" s="1" t="str">
        <f>IF(AND(Table1[[#This Row],[Spec Type2]]="N/A",Table1[[#This Row],[DUT Adj Read]]="N/A",Table1[[#This Row],[Std Adj Read]]="N/A"),"N/A",IF(Table1[[#This Row],[DUT Adj Read]]="N/A",IF(Table1[[#This Row],[Std Adj Read]]&lt;=Table1[[#This Row],[High Tol]],"Pass","Fail"),IF(Table1[[#This Row],[DUT Adj Read]]&lt;=Table1[[#This Row],[High Tol]],"Pass","Fail")))</f>
        <v>Fail</v>
      </c>
      <c r="AH27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7" s="1" t="b">
        <v>0</v>
      </c>
      <c r="AN2777" s="1" t="b">
        <v>0</v>
      </c>
      <c r="AO2777" s="1" t="b">
        <v>0</v>
      </c>
    </row>
    <row r="2778" spans="1:41" x14ac:dyDescent="0.25">
      <c r="A2778" s="10"/>
      <c r="B2778" s="10"/>
      <c r="C2778" s="10"/>
      <c r="D2778" s="10"/>
      <c r="E2778" s="10"/>
      <c r="F2778" s="10"/>
      <c r="G2778" s="10"/>
      <c r="H2778" s="10"/>
      <c r="I2778" s="1" t="str">
        <f t="shared" si="129"/>
        <v/>
      </c>
      <c r="J2778" s="1" t="s">
        <v>35</v>
      </c>
      <c r="K2778" s="1" t="str">
        <f t="shared" si="130"/>
        <v/>
      </c>
      <c r="L2778" s="1" t="str">
        <f t="shared" si="131"/>
        <v/>
      </c>
      <c r="M2778" s="1">
        <f>IF(OR(Table1[[#This Row],[Std Nom]]="",Table1[[#This Row],[Std Read]]=""),0,Table1[[#This Row],[Std Nom]]-Table1[[#This Row],[Std Read]])</f>
        <v>0</v>
      </c>
      <c r="N2778" s="1">
        <f>IF(Calculations!$F$5="ACCREDITED 17025 WITH UNCERTAINTIES",$N$10,0)</f>
        <v>0</v>
      </c>
      <c r="Q2778" s="1">
        <f>Table1[[#This Row],[High Tol]]-Table1[[#This Row],[Low Tol]]</f>
        <v>0</v>
      </c>
      <c r="R2778" s="1">
        <f>2*Table1[[#This Row],[Std Error]]</f>
        <v>0</v>
      </c>
      <c r="S2778" s="1" t="str">
        <f>IF(Table1[[#This Row],[High Tol]]="","N/A",IFERROR(ABS(Table1[[#This Row],[Tol Span]]/Table1[[#This Row],[Error Span]]),"N/A"))</f>
        <v>N/A</v>
      </c>
      <c r="T2778" s="1" t="str">
        <f>IF(OR(Table1[[#This Row],[Low Tol]]="",Table1[[#This Row],[High Tol]]=""),"Needs Analysis",IF(Table1[[#This Row],[Ratio]]&gt;=4,"Not Significant",IF(Table1[[#This Row],[Ratio]]&gt;=2,"Semi-Significant","Significant")))</f>
        <v>Needs Analysis</v>
      </c>
      <c r="W2778" s="1">
        <f>IF(Table1[[#This Row],[Cal Type]]&lt;&gt;"ACCREDITED 17025 WITH UNCERTAINTIES",0,"")</f>
        <v>0</v>
      </c>
      <c r="X2778" s="1" t="str">
        <f>IF(Table1[[#This Row],[DUT Read]]="","N/A",Table1[[#This Row],[Std Error]]+Table1[[#This Row],[DUT Read]]+Table1[[#This Row],[DUT Ucty]])</f>
        <v>N/A</v>
      </c>
      <c r="Y2778" s="1" t="str">
        <f>IF(Table1[[#This Row],[Std Read]]="","N/A",Table1[[#This Row],[Std Read]]+Table1[[#This Row],[Std Ucty]])</f>
        <v>N/A</v>
      </c>
      <c r="Z27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8" s="1" t="str">
        <f>IF(Table1[[#This Row],[Spec Type]]="","N/A",Table1[[#This Row],[Spec Type]])</f>
        <v>±</v>
      </c>
      <c r="AC2778" s="1" t="str">
        <f>IF(Table1[[#This Row],[Spec Type2]]="N/A","N/A",IF(AND(Table1[[#This Row],[DUT Adj Read]]&gt;=Table1[[#This Row],[Low Tol]],Table1[[#This Row],[DUT Adj Read]]&lt;=Table1[[#This Row],[High Tol]]),"Pass","Fail"))</f>
        <v>Fail</v>
      </c>
      <c r="AD2778" s="1" t="str">
        <f>IF(AND(Table1[[#This Row],[Spec Type2]]="N/A",Table1[[#This Row],[DUT Adj Read]]="N/A",Table1[[#This Row],[Std Adj Read]]="N/A"),"N/A",IF(Table1[[#This Row],[DUT Adj Read]]="N/A",IF(Table1[[#This Row],[Std Adj Read]]&gt;Table1[[#This Row],[Low Tol]],"Pass","Fail"),IF(Table1[[#This Row],[DUT Adj Read]]&gt;Table1[[#This Row],[Low Tol]],"Pass","Fail")))</f>
        <v>Pass</v>
      </c>
      <c r="AE2778" s="1" t="str">
        <f>IF(AND(Table1[[#This Row],[Spec Type2]]="N/A",Table1[[#This Row],[DUT Adj Read]]="N/A",Table1[[#This Row],[Std Adj Read]]="N/A"),"N/A",IF(Table1[[#This Row],[DUT Adj Read]]="N/A",IF(Table1[[#This Row],[Std Adj Read]]&lt;Table1[[#This Row],[High Tol]],"Pass","Fail"),IF(Table1[[#This Row],[DUT Adj Read]]&lt;Table1[[#This Row],[High Tol]],"Pass","Fail")))</f>
        <v>Fail</v>
      </c>
      <c r="AF2778" s="1" t="str">
        <f>IF(AND(Table1[[#This Row],[Spec Type2]]="N/A",Table1[[#This Row],[DUT Adj Read]]="N/A",Table1[[#This Row],[Std Adj Read]]="N/A"),"N/A",IF(Table1[[#This Row],[DUT Adj Read]]="N/A",IF(Table1[[#This Row],[Std Adj Read]]&gt;=Table1[[#This Row],[Low Tol]],"Pass","Fail"),IF(Table1[[#This Row],[DUT Adj Read]]&gt;=Table1[[#This Row],[Low Tol]],"Pass","Fail")))</f>
        <v>Pass</v>
      </c>
      <c r="AG2778" s="1" t="str">
        <f>IF(AND(Table1[[#This Row],[Spec Type2]]="N/A",Table1[[#This Row],[DUT Adj Read]]="N/A",Table1[[#This Row],[Std Adj Read]]="N/A"),"N/A",IF(Table1[[#This Row],[DUT Adj Read]]="N/A",IF(Table1[[#This Row],[Std Adj Read]]&lt;=Table1[[#This Row],[High Tol]],"Pass","Fail"),IF(Table1[[#This Row],[DUT Adj Read]]&lt;=Table1[[#This Row],[High Tol]],"Pass","Fail")))</f>
        <v>Fail</v>
      </c>
      <c r="AH27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8" s="1" t="b">
        <v>0</v>
      </c>
      <c r="AN2778" s="1" t="b">
        <v>0</v>
      </c>
      <c r="AO2778" s="1" t="b">
        <v>0</v>
      </c>
    </row>
    <row r="2779" spans="1:41" x14ac:dyDescent="0.25">
      <c r="A2779" s="10"/>
      <c r="B2779" s="10"/>
      <c r="C2779" s="10"/>
      <c r="D2779" s="10"/>
      <c r="E2779" s="10"/>
      <c r="F2779" s="10"/>
      <c r="G2779" s="10"/>
      <c r="H2779" s="10"/>
      <c r="I2779" s="1" t="str">
        <f t="shared" si="129"/>
        <v/>
      </c>
      <c r="J2779" s="1" t="s">
        <v>35</v>
      </c>
      <c r="K2779" s="1" t="str">
        <f t="shared" si="130"/>
        <v/>
      </c>
      <c r="L2779" s="1" t="str">
        <f t="shared" si="131"/>
        <v/>
      </c>
      <c r="M2779" s="1">
        <f>IF(OR(Table1[[#This Row],[Std Nom]]="",Table1[[#This Row],[Std Read]]=""),0,Table1[[#This Row],[Std Nom]]-Table1[[#This Row],[Std Read]])</f>
        <v>0</v>
      </c>
      <c r="N2779" s="1">
        <f>IF(Calculations!$F$5="ACCREDITED 17025 WITH UNCERTAINTIES",$N$10,0)</f>
        <v>0</v>
      </c>
      <c r="Q2779" s="1">
        <f>Table1[[#This Row],[High Tol]]-Table1[[#This Row],[Low Tol]]</f>
        <v>0</v>
      </c>
      <c r="R2779" s="1">
        <f>2*Table1[[#This Row],[Std Error]]</f>
        <v>0</v>
      </c>
      <c r="S2779" s="1" t="str">
        <f>IF(Table1[[#This Row],[High Tol]]="","N/A",IFERROR(ABS(Table1[[#This Row],[Tol Span]]/Table1[[#This Row],[Error Span]]),"N/A"))</f>
        <v>N/A</v>
      </c>
      <c r="T2779" s="1" t="str">
        <f>IF(OR(Table1[[#This Row],[Low Tol]]="",Table1[[#This Row],[High Tol]]=""),"Needs Analysis",IF(Table1[[#This Row],[Ratio]]&gt;=4,"Not Significant",IF(Table1[[#This Row],[Ratio]]&gt;=2,"Semi-Significant","Significant")))</f>
        <v>Needs Analysis</v>
      </c>
      <c r="W2779" s="1">
        <f>IF(Table1[[#This Row],[Cal Type]]&lt;&gt;"ACCREDITED 17025 WITH UNCERTAINTIES",0,"")</f>
        <v>0</v>
      </c>
      <c r="X2779" s="1" t="str">
        <f>IF(Table1[[#This Row],[DUT Read]]="","N/A",Table1[[#This Row],[Std Error]]+Table1[[#This Row],[DUT Read]]+Table1[[#This Row],[DUT Ucty]])</f>
        <v>N/A</v>
      </c>
      <c r="Y2779" s="1" t="str">
        <f>IF(Table1[[#This Row],[Std Read]]="","N/A",Table1[[#This Row],[Std Read]]+Table1[[#This Row],[Std Ucty]])</f>
        <v>N/A</v>
      </c>
      <c r="Z27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79" s="1" t="str">
        <f>IF(Table1[[#This Row],[Spec Type]]="","N/A",Table1[[#This Row],[Spec Type]])</f>
        <v>±</v>
      </c>
      <c r="AC2779" s="1" t="str">
        <f>IF(Table1[[#This Row],[Spec Type2]]="N/A","N/A",IF(AND(Table1[[#This Row],[DUT Adj Read]]&gt;=Table1[[#This Row],[Low Tol]],Table1[[#This Row],[DUT Adj Read]]&lt;=Table1[[#This Row],[High Tol]]),"Pass","Fail"))</f>
        <v>Fail</v>
      </c>
      <c r="AD2779" s="1" t="str">
        <f>IF(AND(Table1[[#This Row],[Spec Type2]]="N/A",Table1[[#This Row],[DUT Adj Read]]="N/A",Table1[[#This Row],[Std Adj Read]]="N/A"),"N/A",IF(Table1[[#This Row],[DUT Adj Read]]="N/A",IF(Table1[[#This Row],[Std Adj Read]]&gt;Table1[[#This Row],[Low Tol]],"Pass","Fail"),IF(Table1[[#This Row],[DUT Adj Read]]&gt;Table1[[#This Row],[Low Tol]],"Pass","Fail")))</f>
        <v>Pass</v>
      </c>
      <c r="AE2779" s="1" t="str">
        <f>IF(AND(Table1[[#This Row],[Spec Type2]]="N/A",Table1[[#This Row],[DUT Adj Read]]="N/A",Table1[[#This Row],[Std Adj Read]]="N/A"),"N/A",IF(Table1[[#This Row],[DUT Adj Read]]="N/A",IF(Table1[[#This Row],[Std Adj Read]]&lt;Table1[[#This Row],[High Tol]],"Pass","Fail"),IF(Table1[[#This Row],[DUT Adj Read]]&lt;Table1[[#This Row],[High Tol]],"Pass","Fail")))</f>
        <v>Fail</v>
      </c>
      <c r="AF2779" s="1" t="str">
        <f>IF(AND(Table1[[#This Row],[Spec Type2]]="N/A",Table1[[#This Row],[DUT Adj Read]]="N/A",Table1[[#This Row],[Std Adj Read]]="N/A"),"N/A",IF(Table1[[#This Row],[DUT Adj Read]]="N/A",IF(Table1[[#This Row],[Std Adj Read]]&gt;=Table1[[#This Row],[Low Tol]],"Pass","Fail"),IF(Table1[[#This Row],[DUT Adj Read]]&gt;=Table1[[#This Row],[Low Tol]],"Pass","Fail")))</f>
        <v>Pass</v>
      </c>
      <c r="AG2779" s="1" t="str">
        <f>IF(AND(Table1[[#This Row],[Spec Type2]]="N/A",Table1[[#This Row],[DUT Adj Read]]="N/A",Table1[[#This Row],[Std Adj Read]]="N/A"),"N/A",IF(Table1[[#This Row],[DUT Adj Read]]="N/A",IF(Table1[[#This Row],[Std Adj Read]]&lt;=Table1[[#This Row],[High Tol]],"Pass","Fail"),IF(Table1[[#This Row],[DUT Adj Read]]&lt;=Table1[[#This Row],[High Tol]],"Pass","Fail")))</f>
        <v>Fail</v>
      </c>
      <c r="AH27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79" s="1" t="b">
        <v>0</v>
      </c>
      <c r="AN2779" s="1" t="b">
        <v>0</v>
      </c>
      <c r="AO2779" s="1" t="b">
        <v>0</v>
      </c>
    </row>
    <row r="2780" spans="1:41" x14ac:dyDescent="0.25">
      <c r="A2780" s="10"/>
      <c r="B2780" s="10"/>
      <c r="C2780" s="10"/>
      <c r="D2780" s="10"/>
      <c r="E2780" s="10"/>
      <c r="F2780" s="10"/>
      <c r="G2780" s="10"/>
      <c r="H2780" s="10"/>
      <c r="I2780" s="1" t="str">
        <f t="shared" si="129"/>
        <v/>
      </c>
      <c r="J2780" s="1" t="s">
        <v>35</v>
      </c>
      <c r="K2780" s="1" t="str">
        <f t="shared" si="130"/>
        <v/>
      </c>
      <c r="L2780" s="1" t="str">
        <f t="shared" si="131"/>
        <v/>
      </c>
      <c r="M2780" s="1">
        <f>IF(OR(Table1[[#This Row],[Std Nom]]="",Table1[[#This Row],[Std Read]]=""),0,Table1[[#This Row],[Std Nom]]-Table1[[#This Row],[Std Read]])</f>
        <v>0</v>
      </c>
      <c r="N2780" s="1">
        <f>IF(Calculations!$F$5="ACCREDITED 17025 WITH UNCERTAINTIES",$N$10,0)</f>
        <v>0</v>
      </c>
      <c r="Q2780" s="1">
        <f>Table1[[#This Row],[High Tol]]-Table1[[#This Row],[Low Tol]]</f>
        <v>0</v>
      </c>
      <c r="R2780" s="1">
        <f>2*Table1[[#This Row],[Std Error]]</f>
        <v>0</v>
      </c>
      <c r="S2780" s="1" t="str">
        <f>IF(Table1[[#This Row],[High Tol]]="","N/A",IFERROR(ABS(Table1[[#This Row],[Tol Span]]/Table1[[#This Row],[Error Span]]),"N/A"))</f>
        <v>N/A</v>
      </c>
      <c r="T2780" s="1" t="str">
        <f>IF(OR(Table1[[#This Row],[Low Tol]]="",Table1[[#This Row],[High Tol]]=""),"Needs Analysis",IF(Table1[[#This Row],[Ratio]]&gt;=4,"Not Significant",IF(Table1[[#This Row],[Ratio]]&gt;=2,"Semi-Significant","Significant")))</f>
        <v>Needs Analysis</v>
      </c>
      <c r="W2780" s="1">
        <f>IF(Table1[[#This Row],[Cal Type]]&lt;&gt;"ACCREDITED 17025 WITH UNCERTAINTIES",0,"")</f>
        <v>0</v>
      </c>
      <c r="X2780" s="1" t="str">
        <f>IF(Table1[[#This Row],[DUT Read]]="","N/A",Table1[[#This Row],[Std Error]]+Table1[[#This Row],[DUT Read]]+Table1[[#This Row],[DUT Ucty]])</f>
        <v>N/A</v>
      </c>
      <c r="Y2780" s="1" t="str">
        <f>IF(Table1[[#This Row],[Std Read]]="","N/A",Table1[[#This Row],[Std Read]]+Table1[[#This Row],[Std Ucty]])</f>
        <v>N/A</v>
      </c>
      <c r="Z27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0" s="1" t="str">
        <f>IF(Table1[[#This Row],[Spec Type]]="","N/A",Table1[[#This Row],[Spec Type]])</f>
        <v>±</v>
      </c>
      <c r="AC2780" s="1" t="str">
        <f>IF(Table1[[#This Row],[Spec Type2]]="N/A","N/A",IF(AND(Table1[[#This Row],[DUT Adj Read]]&gt;=Table1[[#This Row],[Low Tol]],Table1[[#This Row],[DUT Adj Read]]&lt;=Table1[[#This Row],[High Tol]]),"Pass","Fail"))</f>
        <v>Fail</v>
      </c>
      <c r="AD2780" s="1" t="str">
        <f>IF(AND(Table1[[#This Row],[Spec Type2]]="N/A",Table1[[#This Row],[DUT Adj Read]]="N/A",Table1[[#This Row],[Std Adj Read]]="N/A"),"N/A",IF(Table1[[#This Row],[DUT Adj Read]]="N/A",IF(Table1[[#This Row],[Std Adj Read]]&gt;Table1[[#This Row],[Low Tol]],"Pass","Fail"),IF(Table1[[#This Row],[DUT Adj Read]]&gt;Table1[[#This Row],[Low Tol]],"Pass","Fail")))</f>
        <v>Pass</v>
      </c>
      <c r="AE2780" s="1" t="str">
        <f>IF(AND(Table1[[#This Row],[Spec Type2]]="N/A",Table1[[#This Row],[DUT Adj Read]]="N/A",Table1[[#This Row],[Std Adj Read]]="N/A"),"N/A",IF(Table1[[#This Row],[DUT Adj Read]]="N/A",IF(Table1[[#This Row],[Std Adj Read]]&lt;Table1[[#This Row],[High Tol]],"Pass","Fail"),IF(Table1[[#This Row],[DUT Adj Read]]&lt;Table1[[#This Row],[High Tol]],"Pass","Fail")))</f>
        <v>Fail</v>
      </c>
      <c r="AF2780" s="1" t="str">
        <f>IF(AND(Table1[[#This Row],[Spec Type2]]="N/A",Table1[[#This Row],[DUT Adj Read]]="N/A",Table1[[#This Row],[Std Adj Read]]="N/A"),"N/A",IF(Table1[[#This Row],[DUT Adj Read]]="N/A",IF(Table1[[#This Row],[Std Adj Read]]&gt;=Table1[[#This Row],[Low Tol]],"Pass","Fail"),IF(Table1[[#This Row],[DUT Adj Read]]&gt;=Table1[[#This Row],[Low Tol]],"Pass","Fail")))</f>
        <v>Pass</v>
      </c>
      <c r="AG2780" s="1" t="str">
        <f>IF(AND(Table1[[#This Row],[Spec Type2]]="N/A",Table1[[#This Row],[DUT Adj Read]]="N/A",Table1[[#This Row],[Std Adj Read]]="N/A"),"N/A",IF(Table1[[#This Row],[DUT Adj Read]]="N/A",IF(Table1[[#This Row],[Std Adj Read]]&lt;=Table1[[#This Row],[High Tol]],"Pass","Fail"),IF(Table1[[#This Row],[DUT Adj Read]]&lt;=Table1[[#This Row],[High Tol]],"Pass","Fail")))</f>
        <v>Fail</v>
      </c>
      <c r="AH27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0" s="1" t="b">
        <v>0</v>
      </c>
      <c r="AN2780" s="1" t="b">
        <v>0</v>
      </c>
      <c r="AO2780" s="1" t="b">
        <v>0</v>
      </c>
    </row>
    <row r="2781" spans="1:41" x14ac:dyDescent="0.25">
      <c r="A2781" s="10"/>
      <c r="B2781" s="10"/>
      <c r="C2781" s="10"/>
      <c r="D2781" s="10"/>
      <c r="E2781" s="10"/>
      <c r="F2781" s="10"/>
      <c r="G2781" s="10"/>
      <c r="H2781" s="10"/>
      <c r="I2781" s="1" t="str">
        <f t="shared" si="129"/>
        <v/>
      </c>
      <c r="J2781" s="1" t="s">
        <v>35</v>
      </c>
      <c r="K2781" s="1" t="str">
        <f t="shared" si="130"/>
        <v/>
      </c>
      <c r="L2781" s="1" t="str">
        <f t="shared" si="131"/>
        <v/>
      </c>
      <c r="M2781" s="1">
        <f>IF(OR(Table1[[#This Row],[Std Nom]]="",Table1[[#This Row],[Std Read]]=""),0,Table1[[#This Row],[Std Nom]]-Table1[[#This Row],[Std Read]])</f>
        <v>0</v>
      </c>
      <c r="N2781" s="1">
        <f>IF(Calculations!$F$5="ACCREDITED 17025 WITH UNCERTAINTIES",$N$10,0)</f>
        <v>0</v>
      </c>
      <c r="Q2781" s="1">
        <f>Table1[[#This Row],[High Tol]]-Table1[[#This Row],[Low Tol]]</f>
        <v>0</v>
      </c>
      <c r="R2781" s="1">
        <f>2*Table1[[#This Row],[Std Error]]</f>
        <v>0</v>
      </c>
      <c r="S2781" s="1" t="str">
        <f>IF(Table1[[#This Row],[High Tol]]="","N/A",IFERROR(ABS(Table1[[#This Row],[Tol Span]]/Table1[[#This Row],[Error Span]]),"N/A"))</f>
        <v>N/A</v>
      </c>
      <c r="T2781" s="1" t="str">
        <f>IF(OR(Table1[[#This Row],[Low Tol]]="",Table1[[#This Row],[High Tol]]=""),"Needs Analysis",IF(Table1[[#This Row],[Ratio]]&gt;=4,"Not Significant",IF(Table1[[#This Row],[Ratio]]&gt;=2,"Semi-Significant","Significant")))</f>
        <v>Needs Analysis</v>
      </c>
      <c r="W2781" s="1">
        <f>IF(Table1[[#This Row],[Cal Type]]&lt;&gt;"ACCREDITED 17025 WITH UNCERTAINTIES",0,"")</f>
        <v>0</v>
      </c>
      <c r="X2781" s="1" t="str">
        <f>IF(Table1[[#This Row],[DUT Read]]="","N/A",Table1[[#This Row],[Std Error]]+Table1[[#This Row],[DUT Read]]+Table1[[#This Row],[DUT Ucty]])</f>
        <v>N/A</v>
      </c>
      <c r="Y2781" s="1" t="str">
        <f>IF(Table1[[#This Row],[Std Read]]="","N/A",Table1[[#This Row],[Std Read]]+Table1[[#This Row],[Std Ucty]])</f>
        <v>N/A</v>
      </c>
      <c r="Z27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1" s="1" t="str">
        <f>IF(Table1[[#This Row],[Spec Type]]="","N/A",Table1[[#This Row],[Spec Type]])</f>
        <v>±</v>
      </c>
      <c r="AC2781" s="1" t="str">
        <f>IF(Table1[[#This Row],[Spec Type2]]="N/A","N/A",IF(AND(Table1[[#This Row],[DUT Adj Read]]&gt;=Table1[[#This Row],[Low Tol]],Table1[[#This Row],[DUT Adj Read]]&lt;=Table1[[#This Row],[High Tol]]),"Pass","Fail"))</f>
        <v>Fail</v>
      </c>
      <c r="AD2781" s="1" t="str">
        <f>IF(AND(Table1[[#This Row],[Spec Type2]]="N/A",Table1[[#This Row],[DUT Adj Read]]="N/A",Table1[[#This Row],[Std Adj Read]]="N/A"),"N/A",IF(Table1[[#This Row],[DUT Adj Read]]="N/A",IF(Table1[[#This Row],[Std Adj Read]]&gt;Table1[[#This Row],[Low Tol]],"Pass","Fail"),IF(Table1[[#This Row],[DUT Adj Read]]&gt;Table1[[#This Row],[Low Tol]],"Pass","Fail")))</f>
        <v>Pass</v>
      </c>
      <c r="AE2781" s="1" t="str">
        <f>IF(AND(Table1[[#This Row],[Spec Type2]]="N/A",Table1[[#This Row],[DUT Adj Read]]="N/A",Table1[[#This Row],[Std Adj Read]]="N/A"),"N/A",IF(Table1[[#This Row],[DUT Adj Read]]="N/A",IF(Table1[[#This Row],[Std Adj Read]]&lt;Table1[[#This Row],[High Tol]],"Pass","Fail"),IF(Table1[[#This Row],[DUT Adj Read]]&lt;Table1[[#This Row],[High Tol]],"Pass","Fail")))</f>
        <v>Fail</v>
      </c>
      <c r="AF2781" s="1" t="str">
        <f>IF(AND(Table1[[#This Row],[Spec Type2]]="N/A",Table1[[#This Row],[DUT Adj Read]]="N/A",Table1[[#This Row],[Std Adj Read]]="N/A"),"N/A",IF(Table1[[#This Row],[DUT Adj Read]]="N/A",IF(Table1[[#This Row],[Std Adj Read]]&gt;=Table1[[#This Row],[Low Tol]],"Pass","Fail"),IF(Table1[[#This Row],[DUT Adj Read]]&gt;=Table1[[#This Row],[Low Tol]],"Pass","Fail")))</f>
        <v>Pass</v>
      </c>
      <c r="AG2781" s="1" t="str">
        <f>IF(AND(Table1[[#This Row],[Spec Type2]]="N/A",Table1[[#This Row],[DUT Adj Read]]="N/A",Table1[[#This Row],[Std Adj Read]]="N/A"),"N/A",IF(Table1[[#This Row],[DUT Adj Read]]="N/A",IF(Table1[[#This Row],[Std Adj Read]]&lt;=Table1[[#This Row],[High Tol]],"Pass","Fail"),IF(Table1[[#This Row],[DUT Adj Read]]&lt;=Table1[[#This Row],[High Tol]],"Pass","Fail")))</f>
        <v>Fail</v>
      </c>
      <c r="AH27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1" s="1" t="b">
        <v>0</v>
      </c>
      <c r="AN2781" s="1" t="b">
        <v>0</v>
      </c>
      <c r="AO2781" s="1" t="b">
        <v>0</v>
      </c>
    </row>
    <row r="2782" spans="1:41" x14ac:dyDescent="0.25">
      <c r="A2782" s="10"/>
      <c r="B2782" s="10"/>
      <c r="C2782" s="10"/>
      <c r="D2782" s="10"/>
      <c r="E2782" s="10"/>
      <c r="F2782" s="10"/>
      <c r="G2782" s="10"/>
      <c r="H2782" s="10"/>
      <c r="I2782" s="1" t="str">
        <f t="shared" si="129"/>
        <v/>
      </c>
      <c r="J2782" s="1" t="s">
        <v>35</v>
      </c>
      <c r="K2782" s="1" t="str">
        <f t="shared" si="130"/>
        <v/>
      </c>
      <c r="L2782" s="1" t="str">
        <f t="shared" si="131"/>
        <v/>
      </c>
      <c r="M2782" s="1">
        <f>IF(OR(Table1[[#This Row],[Std Nom]]="",Table1[[#This Row],[Std Read]]=""),0,Table1[[#This Row],[Std Nom]]-Table1[[#This Row],[Std Read]])</f>
        <v>0</v>
      </c>
      <c r="N2782" s="1">
        <f>IF(Calculations!$F$5="ACCREDITED 17025 WITH UNCERTAINTIES",$N$10,0)</f>
        <v>0</v>
      </c>
      <c r="Q2782" s="1">
        <f>Table1[[#This Row],[High Tol]]-Table1[[#This Row],[Low Tol]]</f>
        <v>0</v>
      </c>
      <c r="R2782" s="1">
        <f>2*Table1[[#This Row],[Std Error]]</f>
        <v>0</v>
      </c>
      <c r="S2782" s="1" t="str">
        <f>IF(Table1[[#This Row],[High Tol]]="","N/A",IFERROR(ABS(Table1[[#This Row],[Tol Span]]/Table1[[#This Row],[Error Span]]),"N/A"))</f>
        <v>N/A</v>
      </c>
      <c r="T2782" s="1" t="str">
        <f>IF(OR(Table1[[#This Row],[Low Tol]]="",Table1[[#This Row],[High Tol]]=""),"Needs Analysis",IF(Table1[[#This Row],[Ratio]]&gt;=4,"Not Significant",IF(Table1[[#This Row],[Ratio]]&gt;=2,"Semi-Significant","Significant")))</f>
        <v>Needs Analysis</v>
      </c>
      <c r="W2782" s="1">
        <f>IF(Table1[[#This Row],[Cal Type]]&lt;&gt;"ACCREDITED 17025 WITH UNCERTAINTIES",0,"")</f>
        <v>0</v>
      </c>
      <c r="X2782" s="1" t="str">
        <f>IF(Table1[[#This Row],[DUT Read]]="","N/A",Table1[[#This Row],[Std Error]]+Table1[[#This Row],[DUT Read]]+Table1[[#This Row],[DUT Ucty]])</f>
        <v>N/A</v>
      </c>
      <c r="Y2782" s="1" t="str">
        <f>IF(Table1[[#This Row],[Std Read]]="","N/A",Table1[[#This Row],[Std Read]]+Table1[[#This Row],[Std Ucty]])</f>
        <v>N/A</v>
      </c>
      <c r="Z27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2" s="1" t="str">
        <f>IF(Table1[[#This Row],[Spec Type]]="","N/A",Table1[[#This Row],[Spec Type]])</f>
        <v>±</v>
      </c>
      <c r="AC2782" s="1" t="str">
        <f>IF(Table1[[#This Row],[Spec Type2]]="N/A","N/A",IF(AND(Table1[[#This Row],[DUT Adj Read]]&gt;=Table1[[#This Row],[Low Tol]],Table1[[#This Row],[DUT Adj Read]]&lt;=Table1[[#This Row],[High Tol]]),"Pass","Fail"))</f>
        <v>Fail</v>
      </c>
      <c r="AD2782" s="1" t="str">
        <f>IF(AND(Table1[[#This Row],[Spec Type2]]="N/A",Table1[[#This Row],[DUT Adj Read]]="N/A",Table1[[#This Row],[Std Adj Read]]="N/A"),"N/A",IF(Table1[[#This Row],[DUT Adj Read]]="N/A",IF(Table1[[#This Row],[Std Adj Read]]&gt;Table1[[#This Row],[Low Tol]],"Pass","Fail"),IF(Table1[[#This Row],[DUT Adj Read]]&gt;Table1[[#This Row],[Low Tol]],"Pass","Fail")))</f>
        <v>Pass</v>
      </c>
      <c r="AE2782" s="1" t="str">
        <f>IF(AND(Table1[[#This Row],[Spec Type2]]="N/A",Table1[[#This Row],[DUT Adj Read]]="N/A",Table1[[#This Row],[Std Adj Read]]="N/A"),"N/A",IF(Table1[[#This Row],[DUT Adj Read]]="N/A",IF(Table1[[#This Row],[Std Adj Read]]&lt;Table1[[#This Row],[High Tol]],"Pass","Fail"),IF(Table1[[#This Row],[DUT Adj Read]]&lt;Table1[[#This Row],[High Tol]],"Pass","Fail")))</f>
        <v>Fail</v>
      </c>
      <c r="AF2782" s="1" t="str">
        <f>IF(AND(Table1[[#This Row],[Spec Type2]]="N/A",Table1[[#This Row],[DUT Adj Read]]="N/A",Table1[[#This Row],[Std Adj Read]]="N/A"),"N/A",IF(Table1[[#This Row],[DUT Adj Read]]="N/A",IF(Table1[[#This Row],[Std Adj Read]]&gt;=Table1[[#This Row],[Low Tol]],"Pass","Fail"),IF(Table1[[#This Row],[DUT Adj Read]]&gt;=Table1[[#This Row],[Low Tol]],"Pass","Fail")))</f>
        <v>Pass</v>
      </c>
      <c r="AG2782" s="1" t="str">
        <f>IF(AND(Table1[[#This Row],[Spec Type2]]="N/A",Table1[[#This Row],[DUT Adj Read]]="N/A",Table1[[#This Row],[Std Adj Read]]="N/A"),"N/A",IF(Table1[[#This Row],[DUT Adj Read]]="N/A",IF(Table1[[#This Row],[Std Adj Read]]&lt;=Table1[[#This Row],[High Tol]],"Pass","Fail"),IF(Table1[[#This Row],[DUT Adj Read]]&lt;=Table1[[#This Row],[High Tol]],"Pass","Fail")))</f>
        <v>Fail</v>
      </c>
      <c r="AH27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2" s="1" t="b">
        <v>0</v>
      </c>
      <c r="AN2782" s="1" t="b">
        <v>0</v>
      </c>
      <c r="AO2782" s="1" t="b">
        <v>0</v>
      </c>
    </row>
    <row r="2783" spans="1:41" x14ac:dyDescent="0.25">
      <c r="A2783" s="10"/>
      <c r="B2783" s="10"/>
      <c r="C2783" s="10"/>
      <c r="D2783" s="10"/>
      <c r="E2783" s="10"/>
      <c r="F2783" s="10"/>
      <c r="G2783" s="10"/>
      <c r="H2783" s="10"/>
      <c r="I2783" s="1" t="str">
        <f t="shared" si="129"/>
        <v/>
      </c>
      <c r="J2783" s="1" t="s">
        <v>35</v>
      </c>
      <c r="K2783" s="1" t="str">
        <f t="shared" si="130"/>
        <v/>
      </c>
      <c r="L2783" s="1" t="str">
        <f t="shared" si="131"/>
        <v/>
      </c>
      <c r="M2783" s="1">
        <f>IF(OR(Table1[[#This Row],[Std Nom]]="",Table1[[#This Row],[Std Read]]=""),0,Table1[[#This Row],[Std Nom]]-Table1[[#This Row],[Std Read]])</f>
        <v>0</v>
      </c>
      <c r="N2783" s="1">
        <f>IF(Calculations!$F$5="ACCREDITED 17025 WITH UNCERTAINTIES",$N$10,0)</f>
        <v>0</v>
      </c>
      <c r="Q2783" s="1">
        <f>Table1[[#This Row],[High Tol]]-Table1[[#This Row],[Low Tol]]</f>
        <v>0</v>
      </c>
      <c r="R2783" s="1">
        <f>2*Table1[[#This Row],[Std Error]]</f>
        <v>0</v>
      </c>
      <c r="S2783" s="1" t="str">
        <f>IF(Table1[[#This Row],[High Tol]]="","N/A",IFERROR(ABS(Table1[[#This Row],[Tol Span]]/Table1[[#This Row],[Error Span]]),"N/A"))</f>
        <v>N/A</v>
      </c>
      <c r="T2783" s="1" t="str">
        <f>IF(OR(Table1[[#This Row],[Low Tol]]="",Table1[[#This Row],[High Tol]]=""),"Needs Analysis",IF(Table1[[#This Row],[Ratio]]&gt;=4,"Not Significant",IF(Table1[[#This Row],[Ratio]]&gt;=2,"Semi-Significant","Significant")))</f>
        <v>Needs Analysis</v>
      </c>
      <c r="W2783" s="1">
        <f>IF(Table1[[#This Row],[Cal Type]]&lt;&gt;"ACCREDITED 17025 WITH UNCERTAINTIES",0,"")</f>
        <v>0</v>
      </c>
      <c r="X2783" s="1" t="str">
        <f>IF(Table1[[#This Row],[DUT Read]]="","N/A",Table1[[#This Row],[Std Error]]+Table1[[#This Row],[DUT Read]]+Table1[[#This Row],[DUT Ucty]])</f>
        <v>N/A</v>
      </c>
      <c r="Y2783" s="1" t="str">
        <f>IF(Table1[[#This Row],[Std Read]]="","N/A",Table1[[#This Row],[Std Read]]+Table1[[#This Row],[Std Ucty]])</f>
        <v>N/A</v>
      </c>
      <c r="Z27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3" s="1" t="str">
        <f>IF(Table1[[#This Row],[Spec Type]]="","N/A",Table1[[#This Row],[Spec Type]])</f>
        <v>±</v>
      </c>
      <c r="AC2783" s="1" t="str">
        <f>IF(Table1[[#This Row],[Spec Type2]]="N/A","N/A",IF(AND(Table1[[#This Row],[DUT Adj Read]]&gt;=Table1[[#This Row],[Low Tol]],Table1[[#This Row],[DUT Adj Read]]&lt;=Table1[[#This Row],[High Tol]]),"Pass","Fail"))</f>
        <v>Fail</v>
      </c>
      <c r="AD2783" s="1" t="str">
        <f>IF(AND(Table1[[#This Row],[Spec Type2]]="N/A",Table1[[#This Row],[DUT Adj Read]]="N/A",Table1[[#This Row],[Std Adj Read]]="N/A"),"N/A",IF(Table1[[#This Row],[DUT Adj Read]]="N/A",IF(Table1[[#This Row],[Std Adj Read]]&gt;Table1[[#This Row],[Low Tol]],"Pass","Fail"),IF(Table1[[#This Row],[DUT Adj Read]]&gt;Table1[[#This Row],[Low Tol]],"Pass","Fail")))</f>
        <v>Pass</v>
      </c>
      <c r="AE2783" s="1" t="str">
        <f>IF(AND(Table1[[#This Row],[Spec Type2]]="N/A",Table1[[#This Row],[DUT Adj Read]]="N/A",Table1[[#This Row],[Std Adj Read]]="N/A"),"N/A",IF(Table1[[#This Row],[DUT Adj Read]]="N/A",IF(Table1[[#This Row],[Std Adj Read]]&lt;Table1[[#This Row],[High Tol]],"Pass","Fail"),IF(Table1[[#This Row],[DUT Adj Read]]&lt;Table1[[#This Row],[High Tol]],"Pass","Fail")))</f>
        <v>Fail</v>
      </c>
      <c r="AF2783" s="1" t="str">
        <f>IF(AND(Table1[[#This Row],[Spec Type2]]="N/A",Table1[[#This Row],[DUT Adj Read]]="N/A",Table1[[#This Row],[Std Adj Read]]="N/A"),"N/A",IF(Table1[[#This Row],[DUT Adj Read]]="N/A",IF(Table1[[#This Row],[Std Adj Read]]&gt;=Table1[[#This Row],[Low Tol]],"Pass","Fail"),IF(Table1[[#This Row],[DUT Adj Read]]&gt;=Table1[[#This Row],[Low Tol]],"Pass","Fail")))</f>
        <v>Pass</v>
      </c>
      <c r="AG2783" s="1" t="str">
        <f>IF(AND(Table1[[#This Row],[Spec Type2]]="N/A",Table1[[#This Row],[DUT Adj Read]]="N/A",Table1[[#This Row],[Std Adj Read]]="N/A"),"N/A",IF(Table1[[#This Row],[DUT Adj Read]]="N/A",IF(Table1[[#This Row],[Std Adj Read]]&lt;=Table1[[#This Row],[High Tol]],"Pass","Fail"),IF(Table1[[#This Row],[DUT Adj Read]]&lt;=Table1[[#This Row],[High Tol]],"Pass","Fail")))</f>
        <v>Fail</v>
      </c>
      <c r="AH27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3" s="1" t="b">
        <v>0</v>
      </c>
      <c r="AN2783" s="1" t="b">
        <v>0</v>
      </c>
      <c r="AO2783" s="1" t="b">
        <v>0</v>
      </c>
    </row>
    <row r="2784" spans="1:41" x14ac:dyDescent="0.25">
      <c r="A2784" s="10"/>
      <c r="B2784" s="10"/>
      <c r="C2784" s="10"/>
      <c r="D2784" s="10"/>
      <c r="E2784" s="10"/>
      <c r="F2784" s="10"/>
      <c r="G2784" s="10"/>
      <c r="H2784" s="10"/>
      <c r="I2784" s="1" t="str">
        <f t="shared" si="129"/>
        <v/>
      </c>
      <c r="J2784" s="1" t="s">
        <v>35</v>
      </c>
      <c r="K2784" s="1" t="str">
        <f t="shared" si="130"/>
        <v/>
      </c>
      <c r="L2784" s="1" t="str">
        <f t="shared" si="131"/>
        <v/>
      </c>
      <c r="M2784" s="1">
        <f>IF(OR(Table1[[#This Row],[Std Nom]]="",Table1[[#This Row],[Std Read]]=""),0,Table1[[#This Row],[Std Nom]]-Table1[[#This Row],[Std Read]])</f>
        <v>0</v>
      </c>
      <c r="N2784" s="1">
        <f>IF(Calculations!$F$5="ACCREDITED 17025 WITH UNCERTAINTIES",$N$10,0)</f>
        <v>0</v>
      </c>
      <c r="Q2784" s="1">
        <f>Table1[[#This Row],[High Tol]]-Table1[[#This Row],[Low Tol]]</f>
        <v>0</v>
      </c>
      <c r="R2784" s="1">
        <f>2*Table1[[#This Row],[Std Error]]</f>
        <v>0</v>
      </c>
      <c r="S2784" s="1" t="str">
        <f>IF(Table1[[#This Row],[High Tol]]="","N/A",IFERROR(ABS(Table1[[#This Row],[Tol Span]]/Table1[[#This Row],[Error Span]]),"N/A"))</f>
        <v>N/A</v>
      </c>
      <c r="T2784" s="1" t="str">
        <f>IF(OR(Table1[[#This Row],[Low Tol]]="",Table1[[#This Row],[High Tol]]=""),"Needs Analysis",IF(Table1[[#This Row],[Ratio]]&gt;=4,"Not Significant",IF(Table1[[#This Row],[Ratio]]&gt;=2,"Semi-Significant","Significant")))</f>
        <v>Needs Analysis</v>
      </c>
      <c r="W2784" s="1">
        <f>IF(Table1[[#This Row],[Cal Type]]&lt;&gt;"ACCREDITED 17025 WITH UNCERTAINTIES",0,"")</f>
        <v>0</v>
      </c>
      <c r="X2784" s="1" t="str">
        <f>IF(Table1[[#This Row],[DUT Read]]="","N/A",Table1[[#This Row],[Std Error]]+Table1[[#This Row],[DUT Read]]+Table1[[#This Row],[DUT Ucty]])</f>
        <v>N/A</v>
      </c>
      <c r="Y2784" s="1" t="str">
        <f>IF(Table1[[#This Row],[Std Read]]="","N/A",Table1[[#This Row],[Std Read]]+Table1[[#This Row],[Std Ucty]])</f>
        <v>N/A</v>
      </c>
      <c r="Z27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4" s="1" t="str">
        <f>IF(Table1[[#This Row],[Spec Type]]="","N/A",Table1[[#This Row],[Spec Type]])</f>
        <v>±</v>
      </c>
      <c r="AC2784" s="1" t="str">
        <f>IF(Table1[[#This Row],[Spec Type2]]="N/A","N/A",IF(AND(Table1[[#This Row],[DUT Adj Read]]&gt;=Table1[[#This Row],[Low Tol]],Table1[[#This Row],[DUT Adj Read]]&lt;=Table1[[#This Row],[High Tol]]),"Pass","Fail"))</f>
        <v>Fail</v>
      </c>
      <c r="AD2784" s="1" t="str">
        <f>IF(AND(Table1[[#This Row],[Spec Type2]]="N/A",Table1[[#This Row],[DUT Adj Read]]="N/A",Table1[[#This Row],[Std Adj Read]]="N/A"),"N/A",IF(Table1[[#This Row],[DUT Adj Read]]="N/A",IF(Table1[[#This Row],[Std Adj Read]]&gt;Table1[[#This Row],[Low Tol]],"Pass","Fail"),IF(Table1[[#This Row],[DUT Adj Read]]&gt;Table1[[#This Row],[Low Tol]],"Pass","Fail")))</f>
        <v>Pass</v>
      </c>
      <c r="AE2784" s="1" t="str">
        <f>IF(AND(Table1[[#This Row],[Spec Type2]]="N/A",Table1[[#This Row],[DUT Adj Read]]="N/A",Table1[[#This Row],[Std Adj Read]]="N/A"),"N/A",IF(Table1[[#This Row],[DUT Adj Read]]="N/A",IF(Table1[[#This Row],[Std Adj Read]]&lt;Table1[[#This Row],[High Tol]],"Pass","Fail"),IF(Table1[[#This Row],[DUT Adj Read]]&lt;Table1[[#This Row],[High Tol]],"Pass","Fail")))</f>
        <v>Fail</v>
      </c>
      <c r="AF2784" s="1" t="str">
        <f>IF(AND(Table1[[#This Row],[Spec Type2]]="N/A",Table1[[#This Row],[DUT Adj Read]]="N/A",Table1[[#This Row],[Std Adj Read]]="N/A"),"N/A",IF(Table1[[#This Row],[DUT Adj Read]]="N/A",IF(Table1[[#This Row],[Std Adj Read]]&gt;=Table1[[#This Row],[Low Tol]],"Pass","Fail"),IF(Table1[[#This Row],[DUT Adj Read]]&gt;=Table1[[#This Row],[Low Tol]],"Pass","Fail")))</f>
        <v>Pass</v>
      </c>
      <c r="AG2784" s="1" t="str">
        <f>IF(AND(Table1[[#This Row],[Spec Type2]]="N/A",Table1[[#This Row],[DUT Adj Read]]="N/A",Table1[[#This Row],[Std Adj Read]]="N/A"),"N/A",IF(Table1[[#This Row],[DUT Adj Read]]="N/A",IF(Table1[[#This Row],[Std Adj Read]]&lt;=Table1[[#This Row],[High Tol]],"Pass","Fail"),IF(Table1[[#This Row],[DUT Adj Read]]&lt;=Table1[[#This Row],[High Tol]],"Pass","Fail")))</f>
        <v>Fail</v>
      </c>
      <c r="AH27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4" s="1" t="b">
        <v>0</v>
      </c>
      <c r="AN2784" s="1" t="b">
        <v>0</v>
      </c>
      <c r="AO2784" s="1" t="b">
        <v>0</v>
      </c>
    </row>
    <row r="2785" spans="1:41" x14ac:dyDescent="0.25">
      <c r="A2785" s="10"/>
      <c r="B2785" s="10"/>
      <c r="C2785" s="10"/>
      <c r="D2785" s="10"/>
      <c r="E2785" s="10"/>
      <c r="F2785" s="10"/>
      <c r="G2785" s="10"/>
      <c r="H2785" s="10"/>
      <c r="I2785" s="1" t="str">
        <f t="shared" si="129"/>
        <v/>
      </c>
      <c r="J2785" s="1" t="s">
        <v>35</v>
      </c>
      <c r="K2785" s="1" t="str">
        <f t="shared" si="130"/>
        <v/>
      </c>
      <c r="L2785" s="1" t="str">
        <f t="shared" si="131"/>
        <v/>
      </c>
      <c r="M2785" s="1">
        <f>IF(OR(Table1[[#This Row],[Std Nom]]="",Table1[[#This Row],[Std Read]]=""),0,Table1[[#This Row],[Std Nom]]-Table1[[#This Row],[Std Read]])</f>
        <v>0</v>
      </c>
      <c r="N2785" s="1">
        <f>IF(Calculations!$F$5="ACCREDITED 17025 WITH UNCERTAINTIES",$N$10,0)</f>
        <v>0</v>
      </c>
      <c r="Q2785" s="1">
        <f>Table1[[#This Row],[High Tol]]-Table1[[#This Row],[Low Tol]]</f>
        <v>0</v>
      </c>
      <c r="R2785" s="1">
        <f>2*Table1[[#This Row],[Std Error]]</f>
        <v>0</v>
      </c>
      <c r="S2785" s="1" t="str">
        <f>IF(Table1[[#This Row],[High Tol]]="","N/A",IFERROR(ABS(Table1[[#This Row],[Tol Span]]/Table1[[#This Row],[Error Span]]),"N/A"))</f>
        <v>N/A</v>
      </c>
      <c r="T2785" s="1" t="str">
        <f>IF(OR(Table1[[#This Row],[Low Tol]]="",Table1[[#This Row],[High Tol]]=""),"Needs Analysis",IF(Table1[[#This Row],[Ratio]]&gt;=4,"Not Significant",IF(Table1[[#This Row],[Ratio]]&gt;=2,"Semi-Significant","Significant")))</f>
        <v>Needs Analysis</v>
      </c>
      <c r="W2785" s="1">
        <f>IF(Table1[[#This Row],[Cal Type]]&lt;&gt;"ACCREDITED 17025 WITH UNCERTAINTIES",0,"")</f>
        <v>0</v>
      </c>
      <c r="X2785" s="1" t="str">
        <f>IF(Table1[[#This Row],[DUT Read]]="","N/A",Table1[[#This Row],[Std Error]]+Table1[[#This Row],[DUT Read]]+Table1[[#This Row],[DUT Ucty]])</f>
        <v>N/A</v>
      </c>
      <c r="Y2785" s="1" t="str">
        <f>IF(Table1[[#This Row],[Std Read]]="","N/A",Table1[[#This Row],[Std Read]]+Table1[[#This Row],[Std Ucty]])</f>
        <v>N/A</v>
      </c>
      <c r="Z27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5" s="1" t="str">
        <f>IF(Table1[[#This Row],[Spec Type]]="","N/A",Table1[[#This Row],[Spec Type]])</f>
        <v>±</v>
      </c>
      <c r="AC2785" s="1" t="str">
        <f>IF(Table1[[#This Row],[Spec Type2]]="N/A","N/A",IF(AND(Table1[[#This Row],[DUT Adj Read]]&gt;=Table1[[#This Row],[Low Tol]],Table1[[#This Row],[DUT Adj Read]]&lt;=Table1[[#This Row],[High Tol]]),"Pass","Fail"))</f>
        <v>Fail</v>
      </c>
      <c r="AD2785" s="1" t="str">
        <f>IF(AND(Table1[[#This Row],[Spec Type2]]="N/A",Table1[[#This Row],[DUT Adj Read]]="N/A",Table1[[#This Row],[Std Adj Read]]="N/A"),"N/A",IF(Table1[[#This Row],[DUT Adj Read]]="N/A",IF(Table1[[#This Row],[Std Adj Read]]&gt;Table1[[#This Row],[Low Tol]],"Pass","Fail"),IF(Table1[[#This Row],[DUT Adj Read]]&gt;Table1[[#This Row],[Low Tol]],"Pass","Fail")))</f>
        <v>Pass</v>
      </c>
      <c r="AE2785" s="1" t="str">
        <f>IF(AND(Table1[[#This Row],[Spec Type2]]="N/A",Table1[[#This Row],[DUT Adj Read]]="N/A",Table1[[#This Row],[Std Adj Read]]="N/A"),"N/A",IF(Table1[[#This Row],[DUT Adj Read]]="N/A",IF(Table1[[#This Row],[Std Adj Read]]&lt;Table1[[#This Row],[High Tol]],"Pass","Fail"),IF(Table1[[#This Row],[DUT Adj Read]]&lt;Table1[[#This Row],[High Tol]],"Pass","Fail")))</f>
        <v>Fail</v>
      </c>
      <c r="AF2785" s="1" t="str">
        <f>IF(AND(Table1[[#This Row],[Spec Type2]]="N/A",Table1[[#This Row],[DUT Adj Read]]="N/A",Table1[[#This Row],[Std Adj Read]]="N/A"),"N/A",IF(Table1[[#This Row],[DUT Adj Read]]="N/A",IF(Table1[[#This Row],[Std Adj Read]]&gt;=Table1[[#This Row],[Low Tol]],"Pass","Fail"),IF(Table1[[#This Row],[DUT Adj Read]]&gt;=Table1[[#This Row],[Low Tol]],"Pass","Fail")))</f>
        <v>Pass</v>
      </c>
      <c r="AG2785" s="1" t="str">
        <f>IF(AND(Table1[[#This Row],[Spec Type2]]="N/A",Table1[[#This Row],[DUT Adj Read]]="N/A",Table1[[#This Row],[Std Adj Read]]="N/A"),"N/A",IF(Table1[[#This Row],[DUT Adj Read]]="N/A",IF(Table1[[#This Row],[Std Adj Read]]&lt;=Table1[[#This Row],[High Tol]],"Pass","Fail"),IF(Table1[[#This Row],[DUT Adj Read]]&lt;=Table1[[#This Row],[High Tol]],"Pass","Fail")))</f>
        <v>Fail</v>
      </c>
      <c r="AH27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5" s="1" t="b">
        <v>0</v>
      </c>
      <c r="AN2785" s="1" t="b">
        <v>0</v>
      </c>
      <c r="AO2785" s="1" t="b">
        <v>0</v>
      </c>
    </row>
    <row r="2786" spans="1:41" x14ac:dyDescent="0.25">
      <c r="A2786" s="10"/>
      <c r="B2786" s="10"/>
      <c r="C2786" s="10"/>
      <c r="D2786" s="10"/>
      <c r="E2786" s="10"/>
      <c r="F2786" s="10"/>
      <c r="G2786" s="10"/>
      <c r="H2786" s="10"/>
      <c r="I2786" s="1" t="str">
        <f t="shared" si="129"/>
        <v/>
      </c>
      <c r="J2786" s="1" t="s">
        <v>35</v>
      </c>
      <c r="K2786" s="1" t="str">
        <f t="shared" si="130"/>
        <v/>
      </c>
      <c r="L2786" s="1" t="str">
        <f t="shared" si="131"/>
        <v/>
      </c>
      <c r="M2786" s="1">
        <f>IF(OR(Table1[[#This Row],[Std Nom]]="",Table1[[#This Row],[Std Read]]=""),0,Table1[[#This Row],[Std Nom]]-Table1[[#This Row],[Std Read]])</f>
        <v>0</v>
      </c>
      <c r="N2786" s="1">
        <f>IF(Calculations!$F$5="ACCREDITED 17025 WITH UNCERTAINTIES",$N$10,0)</f>
        <v>0</v>
      </c>
      <c r="Q2786" s="1">
        <f>Table1[[#This Row],[High Tol]]-Table1[[#This Row],[Low Tol]]</f>
        <v>0</v>
      </c>
      <c r="R2786" s="1">
        <f>2*Table1[[#This Row],[Std Error]]</f>
        <v>0</v>
      </c>
      <c r="S2786" s="1" t="str">
        <f>IF(Table1[[#This Row],[High Tol]]="","N/A",IFERROR(ABS(Table1[[#This Row],[Tol Span]]/Table1[[#This Row],[Error Span]]),"N/A"))</f>
        <v>N/A</v>
      </c>
      <c r="T2786" s="1" t="str">
        <f>IF(OR(Table1[[#This Row],[Low Tol]]="",Table1[[#This Row],[High Tol]]=""),"Needs Analysis",IF(Table1[[#This Row],[Ratio]]&gt;=4,"Not Significant",IF(Table1[[#This Row],[Ratio]]&gt;=2,"Semi-Significant","Significant")))</f>
        <v>Needs Analysis</v>
      </c>
      <c r="W2786" s="1">
        <f>IF(Table1[[#This Row],[Cal Type]]&lt;&gt;"ACCREDITED 17025 WITH UNCERTAINTIES",0,"")</f>
        <v>0</v>
      </c>
      <c r="X2786" s="1" t="str">
        <f>IF(Table1[[#This Row],[DUT Read]]="","N/A",Table1[[#This Row],[Std Error]]+Table1[[#This Row],[DUT Read]]+Table1[[#This Row],[DUT Ucty]])</f>
        <v>N/A</v>
      </c>
      <c r="Y2786" s="1" t="str">
        <f>IF(Table1[[#This Row],[Std Read]]="","N/A",Table1[[#This Row],[Std Read]]+Table1[[#This Row],[Std Ucty]])</f>
        <v>N/A</v>
      </c>
      <c r="Z27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6" s="1" t="str">
        <f>IF(Table1[[#This Row],[Spec Type]]="","N/A",Table1[[#This Row],[Spec Type]])</f>
        <v>±</v>
      </c>
      <c r="AC2786" s="1" t="str">
        <f>IF(Table1[[#This Row],[Spec Type2]]="N/A","N/A",IF(AND(Table1[[#This Row],[DUT Adj Read]]&gt;=Table1[[#This Row],[Low Tol]],Table1[[#This Row],[DUT Adj Read]]&lt;=Table1[[#This Row],[High Tol]]),"Pass","Fail"))</f>
        <v>Fail</v>
      </c>
      <c r="AD2786" s="1" t="str">
        <f>IF(AND(Table1[[#This Row],[Spec Type2]]="N/A",Table1[[#This Row],[DUT Adj Read]]="N/A",Table1[[#This Row],[Std Adj Read]]="N/A"),"N/A",IF(Table1[[#This Row],[DUT Adj Read]]="N/A",IF(Table1[[#This Row],[Std Adj Read]]&gt;Table1[[#This Row],[Low Tol]],"Pass","Fail"),IF(Table1[[#This Row],[DUT Adj Read]]&gt;Table1[[#This Row],[Low Tol]],"Pass","Fail")))</f>
        <v>Pass</v>
      </c>
      <c r="AE2786" s="1" t="str">
        <f>IF(AND(Table1[[#This Row],[Spec Type2]]="N/A",Table1[[#This Row],[DUT Adj Read]]="N/A",Table1[[#This Row],[Std Adj Read]]="N/A"),"N/A",IF(Table1[[#This Row],[DUT Adj Read]]="N/A",IF(Table1[[#This Row],[Std Adj Read]]&lt;Table1[[#This Row],[High Tol]],"Pass","Fail"),IF(Table1[[#This Row],[DUT Adj Read]]&lt;Table1[[#This Row],[High Tol]],"Pass","Fail")))</f>
        <v>Fail</v>
      </c>
      <c r="AF2786" s="1" t="str">
        <f>IF(AND(Table1[[#This Row],[Spec Type2]]="N/A",Table1[[#This Row],[DUT Adj Read]]="N/A",Table1[[#This Row],[Std Adj Read]]="N/A"),"N/A",IF(Table1[[#This Row],[DUT Adj Read]]="N/A",IF(Table1[[#This Row],[Std Adj Read]]&gt;=Table1[[#This Row],[Low Tol]],"Pass","Fail"),IF(Table1[[#This Row],[DUT Adj Read]]&gt;=Table1[[#This Row],[Low Tol]],"Pass","Fail")))</f>
        <v>Pass</v>
      </c>
      <c r="AG2786" s="1" t="str">
        <f>IF(AND(Table1[[#This Row],[Spec Type2]]="N/A",Table1[[#This Row],[DUT Adj Read]]="N/A",Table1[[#This Row],[Std Adj Read]]="N/A"),"N/A",IF(Table1[[#This Row],[DUT Adj Read]]="N/A",IF(Table1[[#This Row],[Std Adj Read]]&lt;=Table1[[#This Row],[High Tol]],"Pass","Fail"),IF(Table1[[#This Row],[DUT Adj Read]]&lt;=Table1[[#This Row],[High Tol]],"Pass","Fail")))</f>
        <v>Fail</v>
      </c>
      <c r="AH27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6" s="1" t="b">
        <v>0</v>
      </c>
      <c r="AN2786" s="1" t="b">
        <v>0</v>
      </c>
      <c r="AO2786" s="1" t="b">
        <v>0</v>
      </c>
    </row>
    <row r="2787" spans="1:41" x14ac:dyDescent="0.25">
      <c r="A2787" s="10"/>
      <c r="B2787" s="10"/>
      <c r="C2787" s="10"/>
      <c r="D2787" s="10"/>
      <c r="E2787" s="10"/>
      <c r="F2787" s="10"/>
      <c r="G2787" s="10"/>
      <c r="H2787" s="10"/>
      <c r="I2787" s="1" t="str">
        <f t="shared" si="129"/>
        <v/>
      </c>
      <c r="J2787" s="1" t="s">
        <v>35</v>
      </c>
      <c r="K2787" s="1" t="str">
        <f t="shared" si="130"/>
        <v/>
      </c>
      <c r="L2787" s="1" t="str">
        <f t="shared" si="131"/>
        <v/>
      </c>
      <c r="M2787" s="1">
        <f>IF(OR(Table1[[#This Row],[Std Nom]]="",Table1[[#This Row],[Std Read]]=""),0,Table1[[#This Row],[Std Nom]]-Table1[[#This Row],[Std Read]])</f>
        <v>0</v>
      </c>
      <c r="N2787" s="1">
        <f>IF(Calculations!$F$5="ACCREDITED 17025 WITH UNCERTAINTIES",$N$10,0)</f>
        <v>0</v>
      </c>
      <c r="Q2787" s="1">
        <f>Table1[[#This Row],[High Tol]]-Table1[[#This Row],[Low Tol]]</f>
        <v>0</v>
      </c>
      <c r="R2787" s="1">
        <f>2*Table1[[#This Row],[Std Error]]</f>
        <v>0</v>
      </c>
      <c r="S2787" s="1" t="str">
        <f>IF(Table1[[#This Row],[High Tol]]="","N/A",IFERROR(ABS(Table1[[#This Row],[Tol Span]]/Table1[[#This Row],[Error Span]]),"N/A"))</f>
        <v>N/A</v>
      </c>
      <c r="T2787" s="1" t="str">
        <f>IF(OR(Table1[[#This Row],[Low Tol]]="",Table1[[#This Row],[High Tol]]=""),"Needs Analysis",IF(Table1[[#This Row],[Ratio]]&gt;=4,"Not Significant",IF(Table1[[#This Row],[Ratio]]&gt;=2,"Semi-Significant","Significant")))</f>
        <v>Needs Analysis</v>
      </c>
      <c r="W2787" s="1">
        <f>IF(Table1[[#This Row],[Cal Type]]&lt;&gt;"ACCREDITED 17025 WITH UNCERTAINTIES",0,"")</f>
        <v>0</v>
      </c>
      <c r="X2787" s="1" t="str">
        <f>IF(Table1[[#This Row],[DUT Read]]="","N/A",Table1[[#This Row],[Std Error]]+Table1[[#This Row],[DUT Read]]+Table1[[#This Row],[DUT Ucty]])</f>
        <v>N/A</v>
      </c>
      <c r="Y2787" s="1" t="str">
        <f>IF(Table1[[#This Row],[Std Read]]="","N/A",Table1[[#This Row],[Std Read]]+Table1[[#This Row],[Std Ucty]])</f>
        <v>N/A</v>
      </c>
      <c r="Z27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7" s="1" t="str">
        <f>IF(Table1[[#This Row],[Spec Type]]="","N/A",Table1[[#This Row],[Spec Type]])</f>
        <v>±</v>
      </c>
      <c r="AC2787" s="1" t="str">
        <f>IF(Table1[[#This Row],[Spec Type2]]="N/A","N/A",IF(AND(Table1[[#This Row],[DUT Adj Read]]&gt;=Table1[[#This Row],[Low Tol]],Table1[[#This Row],[DUT Adj Read]]&lt;=Table1[[#This Row],[High Tol]]),"Pass","Fail"))</f>
        <v>Fail</v>
      </c>
      <c r="AD2787" s="1" t="str">
        <f>IF(AND(Table1[[#This Row],[Spec Type2]]="N/A",Table1[[#This Row],[DUT Adj Read]]="N/A",Table1[[#This Row],[Std Adj Read]]="N/A"),"N/A",IF(Table1[[#This Row],[DUT Adj Read]]="N/A",IF(Table1[[#This Row],[Std Adj Read]]&gt;Table1[[#This Row],[Low Tol]],"Pass","Fail"),IF(Table1[[#This Row],[DUT Adj Read]]&gt;Table1[[#This Row],[Low Tol]],"Pass","Fail")))</f>
        <v>Pass</v>
      </c>
      <c r="AE2787" s="1" t="str">
        <f>IF(AND(Table1[[#This Row],[Spec Type2]]="N/A",Table1[[#This Row],[DUT Adj Read]]="N/A",Table1[[#This Row],[Std Adj Read]]="N/A"),"N/A",IF(Table1[[#This Row],[DUT Adj Read]]="N/A",IF(Table1[[#This Row],[Std Adj Read]]&lt;Table1[[#This Row],[High Tol]],"Pass","Fail"),IF(Table1[[#This Row],[DUT Adj Read]]&lt;Table1[[#This Row],[High Tol]],"Pass","Fail")))</f>
        <v>Fail</v>
      </c>
      <c r="AF2787" s="1" t="str">
        <f>IF(AND(Table1[[#This Row],[Spec Type2]]="N/A",Table1[[#This Row],[DUT Adj Read]]="N/A",Table1[[#This Row],[Std Adj Read]]="N/A"),"N/A",IF(Table1[[#This Row],[DUT Adj Read]]="N/A",IF(Table1[[#This Row],[Std Adj Read]]&gt;=Table1[[#This Row],[Low Tol]],"Pass","Fail"),IF(Table1[[#This Row],[DUT Adj Read]]&gt;=Table1[[#This Row],[Low Tol]],"Pass","Fail")))</f>
        <v>Pass</v>
      </c>
      <c r="AG2787" s="1" t="str">
        <f>IF(AND(Table1[[#This Row],[Spec Type2]]="N/A",Table1[[#This Row],[DUT Adj Read]]="N/A",Table1[[#This Row],[Std Adj Read]]="N/A"),"N/A",IF(Table1[[#This Row],[DUT Adj Read]]="N/A",IF(Table1[[#This Row],[Std Adj Read]]&lt;=Table1[[#This Row],[High Tol]],"Pass","Fail"),IF(Table1[[#This Row],[DUT Adj Read]]&lt;=Table1[[#This Row],[High Tol]],"Pass","Fail")))</f>
        <v>Fail</v>
      </c>
      <c r="AH27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7" s="1" t="b">
        <v>0</v>
      </c>
      <c r="AN2787" s="1" t="b">
        <v>0</v>
      </c>
      <c r="AO2787" s="1" t="b">
        <v>0</v>
      </c>
    </row>
    <row r="2788" spans="1:41" x14ac:dyDescent="0.25">
      <c r="A2788" s="10"/>
      <c r="B2788" s="10"/>
      <c r="C2788" s="10"/>
      <c r="D2788" s="10"/>
      <c r="E2788" s="10"/>
      <c r="F2788" s="10"/>
      <c r="G2788" s="10"/>
      <c r="H2788" s="10"/>
      <c r="I2788" s="1" t="str">
        <f t="shared" si="129"/>
        <v/>
      </c>
      <c r="J2788" s="1" t="s">
        <v>35</v>
      </c>
      <c r="K2788" s="1" t="str">
        <f t="shared" si="130"/>
        <v/>
      </c>
      <c r="L2788" s="1" t="str">
        <f t="shared" si="131"/>
        <v/>
      </c>
      <c r="M2788" s="1">
        <f>IF(OR(Table1[[#This Row],[Std Nom]]="",Table1[[#This Row],[Std Read]]=""),0,Table1[[#This Row],[Std Nom]]-Table1[[#This Row],[Std Read]])</f>
        <v>0</v>
      </c>
      <c r="N2788" s="1">
        <f>IF(Calculations!$F$5="ACCREDITED 17025 WITH UNCERTAINTIES",$N$10,0)</f>
        <v>0</v>
      </c>
      <c r="Q2788" s="1">
        <f>Table1[[#This Row],[High Tol]]-Table1[[#This Row],[Low Tol]]</f>
        <v>0</v>
      </c>
      <c r="R2788" s="1">
        <f>2*Table1[[#This Row],[Std Error]]</f>
        <v>0</v>
      </c>
      <c r="S2788" s="1" t="str">
        <f>IF(Table1[[#This Row],[High Tol]]="","N/A",IFERROR(ABS(Table1[[#This Row],[Tol Span]]/Table1[[#This Row],[Error Span]]),"N/A"))</f>
        <v>N/A</v>
      </c>
      <c r="T2788" s="1" t="str">
        <f>IF(OR(Table1[[#This Row],[Low Tol]]="",Table1[[#This Row],[High Tol]]=""),"Needs Analysis",IF(Table1[[#This Row],[Ratio]]&gt;=4,"Not Significant",IF(Table1[[#This Row],[Ratio]]&gt;=2,"Semi-Significant","Significant")))</f>
        <v>Needs Analysis</v>
      </c>
      <c r="W2788" s="1">
        <f>IF(Table1[[#This Row],[Cal Type]]&lt;&gt;"ACCREDITED 17025 WITH UNCERTAINTIES",0,"")</f>
        <v>0</v>
      </c>
      <c r="X2788" s="1" t="str">
        <f>IF(Table1[[#This Row],[DUT Read]]="","N/A",Table1[[#This Row],[Std Error]]+Table1[[#This Row],[DUT Read]]+Table1[[#This Row],[DUT Ucty]])</f>
        <v>N/A</v>
      </c>
      <c r="Y2788" s="1" t="str">
        <f>IF(Table1[[#This Row],[Std Read]]="","N/A",Table1[[#This Row],[Std Read]]+Table1[[#This Row],[Std Ucty]])</f>
        <v>N/A</v>
      </c>
      <c r="Z27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8" s="1" t="str">
        <f>IF(Table1[[#This Row],[Spec Type]]="","N/A",Table1[[#This Row],[Spec Type]])</f>
        <v>±</v>
      </c>
      <c r="AC2788" s="1" t="str">
        <f>IF(Table1[[#This Row],[Spec Type2]]="N/A","N/A",IF(AND(Table1[[#This Row],[DUT Adj Read]]&gt;=Table1[[#This Row],[Low Tol]],Table1[[#This Row],[DUT Adj Read]]&lt;=Table1[[#This Row],[High Tol]]),"Pass","Fail"))</f>
        <v>Fail</v>
      </c>
      <c r="AD2788" s="1" t="str">
        <f>IF(AND(Table1[[#This Row],[Spec Type2]]="N/A",Table1[[#This Row],[DUT Adj Read]]="N/A",Table1[[#This Row],[Std Adj Read]]="N/A"),"N/A",IF(Table1[[#This Row],[DUT Adj Read]]="N/A",IF(Table1[[#This Row],[Std Adj Read]]&gt;Table1[[#This Row],[Low Tol]],"Pass","Fail"),IF(Table1[[#This Row],[DUT Adj Read]]&gt;Table1[[#This Row],[Low Tol]],"Pass","Fail")))</f>
        <v>Pass</v>
      </c>
      <c r="AE2788" s="1" t="str">
        <f>IF(AND(Table1[[#This Row],[Spec Type2]]="N/A",Table1[[#This Row],[DUT Adj Read]]="N/A",Table1[[#This Row],[Std Adj Read]]="N/A"),"N/A",IF(Table1[[#This Row],[DUT Adj Read]]="N/A",IF(Table1[[#This Row],[Std Adj Read]]&lt;Table1[[#This Row],[High Tol]],"Pass","Fail"),IF(Table1[[#This Row],[DUT Adj Read]]&lt;Table1[[#This Row],[High Tol]],"Pass","Fail")))</f>
        <v>Fail</v>
      </c>
      <c r="AF2788" s="1" t="str">
        <f>IF(AND(Table1[[#This Row],[Spec Type2]]="N/A",Table1[[#This Row],[DUT Adj Read]]="N/A",Table1[[#This Row],[Std Adj Read]]="N/A"),"N/A",IF(Table1[[#This Row],[DUT Adj Read]]="N/A",IF(Table1[[#This Row],[Std Adj Read]]&gt;=Table1[[#This Row],[Low Tol]],"Pass","Fail"),IF(Table1[[#This Row],[DUT Adj Read]]&gt;=Table1[[#This Row],[Low Tol]],"Pass","Fail")))</f>
        <v>Pass</v>
      </c>
      <c r="AG2788" s="1" t="str">
        <f>IF(AND(Table1[[#This Row],[Spec Type2]]="N/A",Table1[[#This Row],[DUT Adj Read]]="N/A",Table1[[#This Row],[Std Adj Read]]="N/A"),"N/A",IF(Table1[[#This Row],[DUT Adj Read]]="N/A",IF(Table1[[#This Row],[Std Adj Read]]&lt;=Table1[[#This Row],[High Tol]],"Pass","Fail"),IF(Table1[[#This Row],[DUT Adj Read]]&lt;=Table1[[#This Row],[High Tol]],"Pass","Fail")))</f>
        <v>Fail</v>
      </c>
      <c r="AH27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8" s="1" t="b">
        <v>0</v>
      </c>
      <c r="AN2788" s="1" t="b">
        <v>0</v>
      </c>
      <c r="AO2788" s="1" t="b">
        <v>0</v>
      </c>
    </row>
    <row r="2789" spans="1:41" x14ac:dyDescent="0.25">
      <c r="A2789" s="10"/>
      <c r="B2789" s="10"/>
      <c r="C2789" s="10"/>
      <c r="D2789" s="10"/>
      <c r="E2789" s="10"/>
      <c r="F2789" s="10"/>
      <c r="G2789" s="10"/>
      <c r="H2789" s="10"/>
      <c r="I2789" s="1" t="str">
        <f t="shared" si="129"/>
        <v/>
      </c>
      <c r="J2789" s="1" t="s">
        <v>35</v>
      </c>
      <c r="K2789" s="1" t="str">
        <f t="shared" si="130"/>
        <v/>
      </c>
      <c r="L2789" s="1" t="str">
        <f t="shared" si="131"/>
        <v/>
      </c>
      <c r="M2789" s="1">
        <f>IF(OR(Table1[[#This Row],[Std Nom]]="",Table1[[#This Row],[Std Read]]=""),0,Table1[[#This Row],[Std Nom]]-Table1[[#This Row],[Std Read]])</f>
        <v>0</v>
      </c>
      <c r="N2789" s="1">
        <f>IF(Calculations!$F$5="ACCREDITED 17025 WITH UNCERTAINTIES",$N$10,0)</f>
        <v>0</v>
      </c>
      <c r="Q2789" s="1">
        <f>Table1[[#This Row],[High Tol]]-Table1[[#This Row],[Low Tol]]</f>
        <v>0</v>
      </c>
      <c r="R2789" s="1">
        <f>2*Table1[[#This Row],[Std Error]]</f>
        <v>0</v>
      </c>
      <c r="S2789" s="1" t="str">
        <f>IF(Table1[[#This Row],[High Tol]]="","N/A",IFERROR(ABS(Table1[[#This Row],[Tol Span]]/Table1[[#This Row],[Error Span]]),"N/A"))</f>
        <v>N/A</v>
      </c>
      <c r="T2789" s="1" t="str">
        <f>IF(OR(Table1[[#This Row],[Low Tol]]="",Table1[[#This Row],[High Tol]]=""),"Needs Analysis",IF(Table1[[#This Row],[Ratio]]&gt;=4,"Not Significant",IF(Table1[[#This Row],[Ratio]]&gt;=2,"Semi-Significant","Significant")))</f>
        <v>Needs Analysis</v>
      </c>
      <c r="W2789" s="1">
        <f>IF(Table1[[#This Row],[Cal Type]]&lt;&gt;"ACCREDITED 17025 WITH UNCERTAINTIES",0,"")</f>
        <v>0</v>
      </c>
      <c r="X2789" s="1" t="str">
        <f>IF(Table1[[#This Row],[DUT Read]]="","N/A",Table1[[#This Row],[Std Error]]+Table1[[#This Row],[DUT Read]]+Table1[[#This Row],[DUT Ucty]])</f>
        <v>N/A</v>
      </c>
      <c r="Y2789" s="1" t="str">
        <f>IF(Table1[[#This Row],[Std Read]]="","N/A",Table1[[#This Row],[Std Read]]+Table1[[#This Row],[Std Ucty]])</f>
        <v>N/A</v>
      </c>
      <c r="Z27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89" s="1" t="str">
        <f>IF(Table1[[#This Row],[Spec Type]]="","N/A",Table1[[#This Row],[Spec Type]])</f>
        <v>±</v>
      </c>
      <c r="AC2789" s="1" t="str">
        <f>IF(Table1[[#This Row],[Spec Type2]]="N/A","N/A",IF(AND(Table1[[#This Row],[DUT Adj Read]]&gt;=Table1[[#This Row],[Low Tol]],Table1[[#This Row],[DUT Adj Read]]&lt;=Table1[[#This Row],[High Tol]]),"Pass","Fail"))</f>
        <v>Fail</v>
      </c>
      <c r="AD2789" s="1" t="str">
        <f>IF(AND(Table1[[#This Row],[Spec Type2]]="N/A",Table1[[#This Row],[DUT Adj Read]]="N/A",Table1[[#This Row],[Std Adj Read]]="N/A"),"N/A",IF(Table1[[#This Row],[DUT Adj Read]]="N/A",IF(Table1[[#This Row],[Std Adj Read]]&gt;Table1[[#This Row],[Low Tol]],"Pass","Fail"),IF(Table1[[#This Row],[DUT Adj Read]]&gt;Table1[[#This Row],[Low Tol]],"Pass","Fail")))</f>
        <v>Pass</v>
      </c>
      <c r="AE2789" s="1" t="str">
        <f>IF(AND(Table1[[#This Row],[Spec Type2]]="N/A",Table1[[#This Row],[DUT Adj Read]]="N/A",Table1[[#This Row],[Std Adj Read]]="N/A"),"N/A",IF(Table1[[#This Row],[DUT Adj Read]]="N/A",IF(Table1[[#This Row],[Std Adj Read]]&lt;Table1[[#This Row],[High Tol]],"Pass","Fail"),IF(Table1[[#This Row],[DUT Adj Read]]&lt;Table1[[#This Row],[High Tol]],"Pass","Fail")))</f>
        <v>Fail</v>
      </c>
      <c r="AF2789" s="1" t="str">
        <f>IF(AND(Table1[[#This Row],[Spec Type2]]="N/A",Table1[[#This Row],[DUT Adj Read]]="N/A",Table1[[#This Row],[Std Adj Read]]="N/A"),"N/A",IF(Table1[[#This Row],[DUT Adj Read]]="N/A",IF(Table1[[#This Row],[Std Adj Read]]&gt;=Table1[[#This Row],[Low Tol]],"Pass","Fail"),IF(Table1[[#This Row],[DUT Adj Read]]&gt;=Table1[[#This Row],[Low Tol]],"Pass","Fail")))</f>
        <v>Pass</v>
      </c>
      <c r="AG2789" s="1" t="str">
        <f>IF(AND(Table1[[#This Row],[Spec Type2]]="N/A",Table1[[#This Row],[DUT Adj Read]]="N/A",Table1[[#This Row],[Std Adj Read]]="N/A"),"N/A",IF(Table1[[#This Row],[DUT Adj Read]]="N/A",IF(Table1[[#This Row],[Std Adj Read]]&lt;=Table1[[#This Row],[High Tol]],"Pass","Fail"),IF(Table1[[#This Row],[DUT Adj Read]]&lt;=Table1[[#This Row],[High Tol]],"Pass","Fail")))</f>
        <v>Fail</v>
      </c>
      <c r="AH27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89" s="1" t="b">
        <v>0</v>
      </c>
      <c r="AN2789" s="1" t="b">
        <v>0</v>
      </c>
      <c r="AO2789" s="1" t="b">
        <v>0</v>
      </c>
    </row>
    <row r="2790" spans="1:41" x14ac:dyDescent="0.25">
      <c r="A2790" s="10"/>
      <c r="B2790" s="10"/>
      <c r="C2790" s="10"/>
      <c r="D2790" s="10"/>
      <c r="E2790" s="10"/>
      <c r="F2790" s="10"/>
      <c r="G2790" s="10"/>
      <c r="H2790" s="10"/>
      <c r="I2790" s="1" t="str">
        <f t="shared" si="129"/>
        <v/>
      </c>
      <c r="J2790" s="1" t="s">
        <v>35</v>
      </c>
      <c r="K2790" s="1" t="str">
        <f t="shared" si="130"/>
        <v/>
      </c>
      <c r="L2790" s="1" t="str">
        <f t="shared" si="131"/>
        <v/>
      </c>
      <c r="M2790" s="1">
        <f>IF(OR(Table1[[#This Row],[Std Nom]]="",Table1[[#This Row],[Std Read]]=""),0,Table1[[#This Row],[Std Nom]]-Table1[[#This Row],[Std Read]])</f>
        <v>0</v>
      </c>
      <c r="N2790" s="1">
        <f>IF(Calculations!$F$5="ACCREDITED 17025 WITH UNCERTAINTIES",$N$10,0)</f>
        <v>0</v>
      </c>
      <c r="Q2790" s="1">
        <f>Table1[[#This Row],[High Tol]]-Table1[[#This Row],[Low Tol]]</f>
        <v>0</v>
      </c>
      <c r="R2790" s="1">
        <f>2*Table1[[#This Row],[Std Error]]</f>
        <v>0</v>
      </c>
      <c r="S2790" s="1" t="str">
        <f>IF(Table1[[#This Row],[High Tol]]="","N/A",IFERROR(ABS(Table1[[#This Row],[Tol Span]]/Table1[[#This Row],[Error Span]]),"N/A"))</f>
        <v>N/A</v>
      </c>
      <c r="T2790" s="1" t="str">
        <f>IF(OR(Table1[[#This Row],[Low Tol]]="",Table1[[#This Row],[High Tol]]=""),"Needs Analysis",IF(Table1[[#This Row],[Ratio]]&gt;=4,"Not Significant",IF(Table1[[#This Row],[Ratio]]&gt;=2,"Semi-Significant","Significant")))</f>
        <v>Needs Analysis</v>
      </c>
      <c r="W2790" s="1">
        <f>IF(Table1[[#This Row],[Cal Type]]&lt;&gt;"ACCREDITED 17025 WITH UNCERTAINTIES",0,"")</f>
        <v>0</v>
      </c>
      <c r="X2790" s="1" t="str">
        <f>IF(Table1[[#This Row],[DUT Read]]="","N/A",Table1[[#This Row],[Std Error]]+Table1[[#This Row],[DUT Read]]+Table1[[#This Row],[DUT Ucty]])</f>
        <v>N/A</v>
      </c>
      <c r="Y2790" s="1" t="str">
        <f>IF(Table1[[#This Row],[Std Read]]="","N/A",Table1[[#This Row],[Std Read]]+Table1[[#This Row],[Std Ucty]])</f>
        <v>N/A</v>
      </c>
      <c r="Z27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0" s="1" t="str">
        <f>IF(Table1[[#This Row],[Spec Type]]="","N/A",Table1[[#This Row],[Spec Type]])</f>
        <v>±</v>
      </c>
      <c r="AC2790" s="1" t="str">
        <f>IF(Table1[[#This Row],[Spec Type2]]="N/A","N/A",IF(AND(Table1[[#This Row],[DUT Adj Read]]&gt;=Table1[[#This Row],[Low Tol]],Table1[[#This Row],[DUT Adj Read]]&lt;=Table1[[#This Row],[High Tol]]),"Pass","Fail"))</f>
        <v>Fail</v>
      </c>
      <c r="AD2790" s="1" t="str">
        <f>IF(AND(Table1[[#This Row],[Spec Type2]]="N/A",Table1[[#This Row],[DUT Adj Read]]="N/A",Table1[[#This Row],[Std Adj Read]]="N/A"),"N/A",IF(Table1[[#This Row],[DUT Adj Read]]="N/A",IF(Table1[[#This Row],[Std Adj Read]]&gt;Table1[[#This Row],[Low Tol]],"Pass","Fail"),IF(Table1[[#This Row],[DUT Adj Read]]&gt;Table1[[#This Row],[Low Tol]],"Pass","Fail")))</f>
        <v>Pass</v>
      </c>
      <c r="AE2790" s="1" t="str">
        <f>IF(AND(Table1[[#This Row],[Spec Type2]]="N/A",Table1[[#This Row],[DUT Adj Read]]="N/A",Table1[[#This Row],[Std Adj Read]]="N/A"),"N/A",IF(Table1[[#This Row],[DUT Adj Read]]="N/A",IF(Table1[[#This Row],[Std Adj Read]]&lt;Table1[[#This Row],[High Tol]],"Pass","Fail"),IF(Table1[[#This Row],[DUT Adj Read]]&lt;Table1[[#This Row],[High Tol]],"Pass","Fail")))</f>
        <v>Fail</v>
      </c>
      <c r="AF2790" s="1" t="str">
        <f>IF(AND(Table1[[#This Row],[Spec Type2]]="N/A",Table1[[#This Row],[DUT Adj Read]]="N/A",Table1[[#This Row],[Std Adj Read]]="N/A"),"N/A",IF(Table1[[#This Row],[DUT Adj Read]]="N/A",IF(Table1[[#This Row],[Std Adj Read]]&gt;=Table1[[#This Row],[Low Tol]],"Pass","Fail"),IF(Table1[[#This Row],[DUT Adj Read]]&gt;=Table1[[#This Row],[Low Tol]],"Pass","Fail")))</f>
        <v>Pass</v>
      </c>
      <c r="AG2790" s="1" t="str">
        <f>IF(AND(Table1[[#This Row],[Spec Type2]]="N/A",Table1[[#This Row],[DUT Adj Read]]="N/A",Table1[[#This Row],[Std Adj Read]]="N/A"),"N/A",IF(Table1[[#This Row],[DUT Adj Read]]="N/A",IF(Table1[[#This Row],[Std Adj Read]]&lt;=Table1[[#This Row],[High Tol]],"Pass","Fail"),IF(Table1[[#This Row],[DUT Adj Read]]&lt;=Table1[[#This Row],[High Tol]],"Pass","Fail")))</f>
        <v>Fail</v>
      </c>
      <c r="AH27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0" s="1" t="b">
        <v>0</v>
      </c>
      <c r="AN2790" s="1" t="b">
        <v>0</v>
      </c>
      <c r="AO2790" s="1" t="b">
        <v>0</v>
      </c>
    </row>
    <row r="2791" spans="1:41" x14ac:dyDescent="0.25">
      <c r="A2791" s="10"/>
      <c r="B2791" s="10"/>
      <c r="C2791" s="10"/>
      <c r="D2791" s="10"/>
      <c r="E2791" s="10"/>
      <c r="F2791" s="10"/>
      <c r="G2791" s="10"/>
      <c r="H2791" s="10"/>
      <c r="I2791" s="1" t="str">
        <f t="shared" si="129"/>
        <v/>
      </c>
      <c r="J2791" s="1" t="s">
        <v>35</v>
      </c>
      <c r="K2791" s="1" t="str">
        <f t="shared" si="130"/>
        <v/>
      </c>
      <c r="L2791" s="1" t="str">
        <f t="shared" si="131"/>
        <v/>
      </c>
      <c r="M2791" s="1">
        <f>IF(OR(Table1[[#This Row],[Std Nom]]="",Table1[[#This Row],[Std Read]]=""),0,Table1[[#This Row],[Std Nom]]-Table1[[#This Row],[Std Read]])</f>
        <v>0</v>
      </c>
      <c r="N2791" s="1">
        <f>IF(Calculations!$F$5="ACCREDITED 17025 WITH UNCERTAINTIES",$N$10,0)</f>
        <v>0</v>
      </c>
      <c r="Q2791" s="1">
        <f>Table1[[#This Row],[High Tol]]-Table1[[#This Row],[Low Tol]]</f>
        <v>0</v>
      </c>
      <c r="R2791" s="1">
        <f>2*Table1[[#This Row],[Std Error]]</f>
        <v>0</v>
      </c>
      <c r="S2791" s="1" t="str">
        <f>IF(Table1[[#This Row],[High Tol]]="","N/A",IFERROR(ABS(Table1[[#This Row],[Tol Span]]/Table1[[#This Row],[Error Span]]),"N/A"))</f>
        <v>N/A</v>
      </c>
      <c r="T2791" s="1" t="str">
        <f>IF(OR(Table1[[#This Row],[Low Tol]]="",Table1[[#This Row],[High Tol]]=""),"Needs Analysis",IF(Table1[[#This Row],[Ratio]]&gt;=4,"Not Significant",IF(Table1[[#This Row],[Ratio]]&gt;=2,"Semi-Significant","Significant")))</f>
        <v>Needs Analysis</v>
      </c>
      <c r="W2791" s="1">
        <f>IF(Table1[[#This Row],[Cal Type]]&lt;&gt;"ACCREDITED 17025 WITH UNCERTAINTIES",0,"")</f>
        <v>0</v>
      </c>
      <c r="X2791" s="1" t="str">
        <f>IF(Table1[[#This Row],[DUT Read]]="","N/A",Table1[[#This Row],[Std Error]]+Table1[[#This Row],[DUT Read]]+Table1[[#This Row],[DUT Ucty]])</f>
        <v>N/A</v>
      </c>
      <c r="Y2791" s="1" t="str">
        <f>IF(Table1[[#This Row],[Std Read]]="","N/A",Table1[[#This Row],[Std Read]]+Table1[[#This Row],[Std Ucty]])</f>
        <v>N/A</v>
      </c>
      <c r="Z27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1" s="1" t="str">
        <f>IF(Table1[[#This Row],[Spec Type]]="","N/A",Table1[[#This Row],[Spec Type]])</f>
        <v>±</v>
      </c>
      <c r="AC2791" s="1" t="str">
        <f>IF(Table1[[#This Row],[Spec Type2]]="N/A","N/A",IF(AND(Table1[[#This Row],[DUT Adj Read]]&gt;=Table1[[#This Row],[Low Tol]],Table1[[#This Row],[DUT Adj Read]]&lt;=Table1[[#This Row],[High Tol]]),"Pass","Fail"))</f>
        <v>Fail</v>
      </c>
      <c r="AD2791" s="1" t="str">
        <f>IF(AND(Table1[[#This Row],[Spec Type2]]="N/A",Table1[[#This Row],[DUT Adj Read]]="N/A",Table1[[#This Row],[Std Adj Read]]="N/A"),"N/A",IF(Table1[[#This Row],[DUT Adj Read]]="N/A",IF(Table1[[#This Row],[Std Adj Read]]&gt;Table1[[#This Row],[Low Tol]],"Pass","Fail"),IF(Table1[[#This Row],[DUT Adj Read]]&gt;Table1[[#This Row],[Low Tol]],"Pass","Fail")))</f>
        <v>Pass</v>
      </c>
      <c r="AE2791" s="1" t="str">
        <f>IF(AND(Table1[[#This Row],[Spec Type2]]="N/A",Table1[[#This Row],[DUT Adj Read]]="N/A",Table1[[#This Row],[Std Adj Read]]="N/A"),"N/A",IF(Table1[[#This Row],[DUT Adj Read]]="N/A",IF(Table1[[#This Row],[Std Adj Read]]&lt;Table1[[#This Row],[High Tol]],"Pass","Fail"),IF(Table1[[#This Row],[DUT Adj Read]]&lt;Table1[[#This Row],[High Tol]],"Pass","Fail")))</f>
        <v>Fail</v>
      </c>
      <c r="AF2791" s="1" t="str">
        <f>IF(AND(Table1[[#This Row],[Spec Type2]]="N/A",Table1[[#This Row],[DUT Adj Read]]="N/A",Table1[[#This Row],[Std Adj Read]]="N/A"),"N/A",IF(Table1[[#This Row],[DUT Adj Read]]="N/A",IF(Table1[[#This Row],[Std Adj Read]]&gt;=Table1[[#This Row],[Low Tol]],"Pass","Fail"),IF(Table1[[#This Row],[DUT Adj Read]]&gt;=Table1[[#This Row],[Low Tol]],"Pass","Fail")))</f>
        <v>Pass</v>
      </c>
      <c r="AG2791" s="1" t="str">
        <f>IF(AND(Table1[[#This Row],[Spec Type2]]="N/A",Table1[[#This Row],[DUT Adj Read]]="N/A",Table1[[#This Row],[Std Adj Read]]="N/A"),"N/A",IF(Table1[[#This Row],[DUT Adj Read]]="N/A",IF(Table1[[#This Row],[Std Adj Read]]&lt;=Table1[[#This Row],[High Tol]],"Pass","Fail"),IF(Table1[[#This Row],[DUT Adj Read]]&lt;=Table1[[#This Row],[High Tol]],"Pass","Fail")))</f>
        <v>Fail</v>
      </c>
      <c r="AH27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1" s="1" t="b">
        <v>0</v>
      </c>
      <c r="AN2791" s="1" t="b">
        <v>0</v>
      </c>
      <c r="AO2791" s="1" t="b">
        <v>0</v>
      </c>
    </row>
    <row r="2792" spans="1:41" x14ac:dyDescent="0.25">
      <c r="A2792" s="10"/>
      <c r="B2792" s="10"/>
      <c r="C2792" s="10"/>
      <c r="D2792" s="10"/>
      <c r="E2792" s="10"/>
      <c r="F2792" s="10"/>
      <c r="G2792" s="10"/>
      <c r="H2792" s="10"/>
      <c r="I2792" s="1" t="str">
        <f t="shared" si="129"/>
        <v/>
      </c>
      <c r="J2792" s="1" t="s">
        <v>35</v>
      </c>
      <c r="K2792" s="1" t="str">
        <f t="shared" si="130"/>
        <v/>
      </c>
      <c r="L2792" s="1" t="str">
        <f t="shared" si="131"/>
        <v/>
      </c>
      <c r="M2792" s="1">
        <f>IF(OR(Table1[[#This Row],[Std Nom]]="",Table1[[#This Row],[Std Read]]=""),0,Table1[[#This Row],[Std Nom]]-Table1[[#This Row],[Std Read]])</f>
        <v>0</v>
      </c>
      <c r="N2792" s="1">
        <f>IF(Calculations!$F$5="ACCREDITED 17025 WITH UNCERTAINTIES",$N$10,0)</f>
        <v>0</v>
      </c>
      <c r="Q2792" s="1">
        <f>Table1[[#This Row],[High Tol]]-Table1[[#This Row],[Low Tol]]</f>
        <v>0</v>
      </c>
      <c r="R2792" s="1">
        <f>2*Table1[[#This Row],[Std Error]]</f>
        <v>0</v>
      </c>
      <c r="S2792" s="1" t="str">
        <f>IF(Table1[[#This Row],[High Tol]]="","N/A",IFERROR(ABS(Table1[[#This Row],[Tol Span]]/Table1[[#This Row],[Error Span]]),"N/A"))</f>
        <v>N/A</v>
      </c>
      <c r="T2792" s="1" t="str">
        <f>IF(OR(Table1[[#This Row],[Low Tol]]="",Table1[[#This Row],[High Tol]]=""),"Needs Analysis",IF(Table1[[#This Row],[Ratio]]&gt;=4,"Not Significant",IF(Table1[[#This Row],[Ratio]]&gt;=2,"Semi-Significant","Significant")))</f>
        <v>Needs Analysis</v>
      </c>
      <c r="W2792" s="1">
        <f>IF(Table1[[#This Row],[Cal Type]]&lt;&gt;"ACCREDITED 17025 WITH UNCERTAINTIES",0,"")</f>
        <v>0</v>
      </c>
      <c r="X2792" s="1" t="str">
        <f>IF(Table1[[#This Row],[DUT Read]]="","N/A",Table1[[#This Row],[Std Error]]+Table1[[#This Row],[DUT Read]]+Table1[[#This Row],[DUT Ucty]])</f>
        <v>N/A</v>
      </c>
      <c r="Y2792" s="1" t="str">
        <f>IF(Table1[[#This Row],[Std Read]]="","N/A",Table1[[#This Row],[Std Read]]+Table1[[#This Row],[Std Ucty]])</f>
        <v>N/A</v>
      </c>
      <c r="Z27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2" s="1" t="str">
        <f>IF(Table1[[#This Row],[Spec Type]]="","N/A",Table1[[#This Row],[Spec Type]])</f>
        <v>±</v>
      </c>
      <c r="AC2792" s="1" t="str">
        <f>IF(Table1[[#This Row],[Spec Type2]]="N/A","N/A",IF(AND(Table1[[#This Row],[DUT Adj Read]]&gt;=Table1[[#This Row],[Low Tol]],Table1[[#This Row],[DUT Adj Read]]&lt;=Table1[[#This Row],[High Tol]]),"Pass","Fail"))</f>
        <v>Fail</v>
      </c>
      <c r="AD2792" s="1" t="str">
        <f>IF(AND(Table1[[#This Row],[Spec Type2]]="N/A",Table1[[#This Row],[DUT Adj Read]]="N/A",Table1[[#This Row],[Std Adj Read]]="N/A"),"N/A",IF(Table1[[#This Row],[DUT Adj Read]]="N/A",IF(Table1[[#This Row],[Std Adj Read]]&gt;Table1[[#This Row],[Low Tol]],"Pass","Fail"),IF(Table1[[#This Row],[DUT Adj Read]]&gt;Table1[[#This Row],[Low Tol]],"Pass","Fail")))</f>
        <v>Pass</v>
      </c>
      <c r="AE2792" s="1" t="str">
        <f>IF(AND(Table1[[#This Row],[Spec Type2]]="N/A",Table1[[#This Row],[DUT Adj Read]]="N/A",Table1[[#This Row],[Std Adj Read]]="N/A"),"N/A",IF(Table1[[#This Row],[DUT Adj Read]]="N/A",IF(Table1[[#This Row],[Std Adj Read]]&lt;Table1[[#This Row],[High Tol]],"Pass","Fail"),IF(Table1[[#This Row],[DUT Adj Read]]&lt;Table1[[#This Row],[High Tol]],"Pass","Fail")))</f>
        <v>Fail</v>
      </c>
      <c r="AF2792" s="1" t="str">
        <f>IF(AND(Table1[[#This Row],[Spec Type2]]="N/A",Table1[[#This Row],[DUT Adj Read]]="N/A",Table1[[#This Row],[Std Adj Read]]="N/A"),"N/A",IF(Table1[[#This Row],[DUT Adj Read]]="N/A",IF(Table1[[#This Row],[Std Adj Read]]&gt;=Table1[[#This Row],[Low Tol]],"Pass","Fail"),IF(Table1[[#This Row],[DUT Adj Read]]&gt;=Table1[[#This Row],[Low Tol]],"Pass","Fail")))</f>
        <v>Pass</v>
      </c>
      <c r="AG2792" s="1" t="str">
        <f>IF(AND(Table1[[#This Row],[Spec Type2]]="N/A",Table1[[#This Row],[DUT Adj Read]]="N/A",Table1[[#This Row],[Std Adj Read]]="N/A"),"N/A",IF(Table1[[#This Row],[DUT Adj Read]]="N/A",IF(Table1[[#This Row],[Std Adj Read]]&lt;=Table1[[#This Row],[High Tol]],"Pass","Fail"),IF(Table1[[#This Row],[DUT Adj Read]]&lt;=Table1[[#This Row],[High Tol]],"Pass","Fail")))</f>
        <v>Fail</v>
      </c>
      <c r="AH27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2" s="1" t="b">
        <v>0</v>
      </c>
      <c r="AN2792" s="1" t="b">
        <v>0</v>
      </c>
      <c r="AO2792" s="1" t="b">
        <v>0</v>
      </c>
    </row>
    <row r="2793" spans="1:41" x14ac:dyDescent="0.25">
      <c r="A2793" s="10"/>
      <c r="B2793" s="10"/>
      <c r="C2793" s="10"/>
      <c r="D2793" s="10"/>
      <c r="E2793" s="10"/>
      <c r="F2793" s="10"/>
      <c r="G2793" s="10"/>
      <c r="H2793" s="10"/>
      <c r="I2793" s="1" t="str">
        <f t="shared" si="129"/>
        <v/>
      </c>
      <c r="J2793" s="1" t="s">
        <v>35</v>
      </c>
      <c r="K2793" s="1" t="str">
        <f t="shared" si="130"/>
        <v/>
      </c>
      <c r="L2793" s="1" t="str">
        <f t="shared" si="131"/>
        <v/>
      </c>
      <c r="M2793" s="1">
        <f>IF(OR(Table1[[#This Row],[Std Nom]]="",Table1[[#This Row],[Std Read]]=""),0,Table1[[#This Row],[Std Nom]]-Table1[[#This Row],[Std Read]])</f>
        <v>0</v>
      </c>
      <c r="N2793" s="1">
        <f>IF(Calculations!$F$5="ACCREDITED 17025 WITH UNCERTAINTIES",$N$10,0)</f>
        <v>0</v>
      </c>
      <c r="Q2793" s="1">
        <f>Table1[[#This Row],[High Tol]]-Table1[[#This Row],[Low Tol]]</f>
        <v>0</v>
      </c>
      <c r="R2793" s="1">
        <f>2*Table1[[#This Row],[Std Error]]</f>
        <v>0</v>
      </c>
      <c r="S2793" s="1" t="str">
        <f>IF(Table1[[#This Row],[High Tol]]="","N/A",IFERROR(ABS(Table1[[#This Row],[Tol Span]]/Table1[[#This Row],[Error Span]]),"N/A"))</f>
        <v>N/A</v>
      </c>
      <c r="T2793" s="1" t="str">
        <f>IF(OR(Table1[[#This Row],[Low Tol]]="",Table1[[#This Row],[High Tol]]=""),"Needs Analysis",IF(Table1[[#This Row],[Ratio]]&gt;=4,"Not Significant",IF(Table1[[#This Row],[Ratio]]&gt;=2,"Semi-Significant","Significant")))</f>
        <v>Needs Analysis</v>
      </c>
      <c r="W2793" s="1">
        <f>IF(Table1[[#This Row],[Cal Type]]&lt;&gt;"ACCREDITED 17025 WITH UNCERTAINTIES",0,"")</f>
        <v>0</v>
      </c>
      <c r="X2793" s="1" t="str">
        <f>IF(Table1[[#This Row],[DUT Read]]="","N/A",Table1[[#This Row],[Std Error]]+Table1[[#This Row],[DUT Read]]+Table1[[#This Row],[DUT Ucty]])</f>
        <v>N/A</v>
      </c>
      <c r="Y2793" s="1" t="str">
        <f>IF(Table1[[#This Row],[Std Read]]="","N/A",Table1[[#This Row],[Std Read]]+Table1[[#This Row],[Std Ucty]])</f>
        <v>N/A</v>
      </c>
      <c r="Z27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3" s="1" t="str">
        <f>IF(Table1[[#This Row],[Spec Type]]="","N/A",Table1[[#This Row],[Spec Type]])</f>
        <v>±</v>
      </c>
      <c r="AC2793" s="1" t="str">
        <f>IF(Table1[[#This Row],[Spec Type2]]="N/A","N/A",IF(AND(Table1[[#This Row],[DUT Adj Read]]&gt;=Table1[[#This Row],[Low Tol]],Table1[[#This Row],[DUT Adj Read]]&lt;=Table1[[#This Row],[High Tol]]),"Pass","Fail"))</f>
        <v>Fail</v>
      </c>
      <c r="AD2793" s="1" t="str">
        <f>IF(AND(Table1[[#This Row],[Spec Type2]]="N/A",Table1[[#This Row],[DUT Adj Read]]="N/A",Table1[[#This Row],[Std Adj Read]]="N/A"),"N/A",IF(Table1[[#This Row],[DUT Adj Read]]="N/A",IF(Table1[[#This Row],[Std Adj Read]]&gt;Table1[[#This Row],[Low Tol]],"Pass","Fail"),IF(Table1[[#This Row],[DUT Adj Read]]&gt;Table1[[#This Row],[Low Tol]],"Pass","Fail")))</f>
        <v>Pass</v>
      </c>
      <c r="AE2793" s="1" t="str">
        <f>IF(AND(Table1[[#This Row],[Spec Type2]]="N/A",Table1[[#This Row],[DUT Adj Read]]="N/A",Table1[[#This Row],[Std Adj Read]]="N/A"),"N/A",IF(Table1[[#This Row],[DUT Adj Read]]="N/A",IF(Table1[[#This Row],[Std Adj Read]]&lt;Table1[[#This Row],[High Tol]],"Pass","Fail"),IF(Table1[[#This Row],[DUT Adj Read]]&lt;Table1[[#This Row],[High Tol]],"Pass","Fail")))</f>
        <v>Fail</v>
      </c>
      <c r="AF2793" s="1" t="str">
        <f>IF(AND(Table1[[#This Row],[Spec Type2]]="N/A",Table1[[#This Row],[DUT Adj Read]]="N/A",Table1[[#This Row],[Std Adj Read]]="N/A"),"N/A",IF(Table1[[#This Row],[DUT Adj Read]]="N/A",IF(Table1[[#This Row],[Std Adj Read]]&gt;=Table1[[#This Row],[Low Tol]],"Pass","Fail"),IF(Table1[[#This Row],[DUT Adj Read]]&gt;=Table1[[#This Row],[Low Tol]],"Pass","Fail")))</f>
        <v>Pass</v>
      </c>
      <c r="AG2793" s="1" t="str">
        <f>IF(AND(Table1[[#This Row],[Spec Type2]]="N/A",Table1[[#This Row],[DUT Adj Read]]="N/A",Table1[[#This Row],[Std Adj Read]]="N/A"),"N/A",IF(Table1[[#This Row],[DUT Adj Read]]="N/A",IF(Table1[[#This Row],[Std Adj Read]]&lt;=Table1[[#This Row],[High Tol]],"Pass","Fail"),IF(Table1[[#This Row],[DUT Adj Read]]&lt;=Table1[[#This Row],[High Tol]],"Pass","Fail")))</f>
        <v>Fail</v>
      </c>
      <c r="AH27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3" s="1" t="b">
        <v>0</v>
      </c>
      <c r="AN2793" s="1" t="b">
        <v>0</v>
      </c>
      <c r="AO2793" s="1" t="b">
        <v>0</v>
      </c>
    </row>
    <row r="2794" spans="1:41" x14ac:dyDescent="0.25">
      <c r="A2794" s="10"/>
      <c r="B2794" s="10"/>
      <c r="C2794" s="10"/>
      <c r="D2794" s="10"/>
      <c r="E2794" s="10"/>
      <c r="F2794" s="10"/>
      <c r="G2794" s="10"/>
      <c r="H2794" s="10"/>
      <c r="I2794" s="1" t="str">
        <f t="shared" si="129"/>
        <v/>
      </c>
      <c r="J2794" s="1" t="s">
        <v>35</v>
      </c>
      <c r="K2794" s="1" t="str">
        <f t="shared" si="130"/>
        <v/>
      </c>
      <c r="L2794" s="1" t="str">
        <f t="shared" si="131"/>
        <v/>
      </c>
      <c r="M2794" s="1">
        <f>IF(OR(Table1[[#This Row],[Std Nom]]="",Table1[[#This Row],[Std Read]]=""),0,Table1[[#This Row],[Std Nom]]-Table1[[#This Row],[Std Read]])</f>
        <v>0</v>
      </c>
      <c r="N2794" s="1">
        <f>IF(Calculations!$F$5="ACCREDITED 17025 WITH UNCERTAINTIES",$N$10,0)</f>
        <v>0</v>
      </c>
      <c r="Q2794" s="1">
        <f>Table1[[#This Row],[High Tol]]-Table1[[#This Row],[Low Tol]]</f>
        <v>0</v>
      </c>
      <c r="R2794" s="1">
        <f>2*Table1[[#This Row],[Std Error]]</f>
        <v>0</v>
      </c>
      <c r="S2794" s="1" t="str">
        <f>IF(Table1[[#This Row],[High Tol]]="","N/A",IFERROR(ABS(Table1[[#This Row],[Tol Span]]/Table1[[#This Row],[Error Span]]),"N/A"))</f>
        <v>N/A</v>
      </c>
      <c r="T2794" s="1" t="str">
        <f>IF(OR(Table1[[#This Row],[Low Tol]]="",Table1[[#This Row],[High Tol]]=""),"Needs Analysis",IF(Table1[[#This Row],[Ratio]]&gt;=4,"Not Significant",IF(Table1[[#This Row],[Ratio]]&gt;=2,"Semi-Significant","Significant")))</f>
        <v>Needs Analysis</v>
      </c>
      <c r="W2794" s="1">
        <f>IF(Table1[[#This Row],[Cal Type]]&lt;&gt;"ACCREDITED 17025 WITH UNCERTAINTIES",0,"")</f>
        <v>0</v>
      </c>
      <c r="X2794" s="1" t="str">
        <f>IF(Table1[[#This Row],[DUT Read]]="","N/A",Table1[[#This Row],[Std Error]]+Table1[[#This Row],[DUT Read]]+Table1[[#This Row],[DUT Ucty]])</f>
        <v>N/A</v>
      </c>
      <c r="Y2794" s="1" t="str">
        <f>IF(Table1[[#This Row],[Std Read]]="","N/A",Table1[[#This Row],[Std Read]]+Table1[[#This Row],[Std Ucty]])</f>
        <v>N/A</v>
      </c>
      <c r="Z27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4" s="1" t="str">
        <f>IF(Table1[[#This Row],[Spec Type]]="","N/A",Table1[[#This Row],[Spec Type]])</f>
        <v>±</v>
      </c>
      <c r="AC2794" s="1" t="str">
        <f>IF(Table1[[#This Row],[Spec Type2]]="N/A","N/A",IF(AND(Table1[[#This Row],[DUT Adj Read]]&gt;=Table1[[#This Row],[Low Tol]],Table1[[#This Row],[DUT Adj Read]]&lt;=Table1[[#This Row],[High Tol]]),"Pass","Fail"))</f>
        <v>Fail</v>
      </c>
      <c r="AD2794" s="1" t="str">
        <f>IF(AND(Table1[[#This Row],[Spec Type2]]="N/A",Table1[[#This Row],[DUT Adj Read]]="N/A",Table1[[#This Row],[Std Adj Read]]="N/A"),"N/A",IF(Table1[[#This Row],[DUT Adj Read]]="N/A",IF(Table1[[#This Row],[Std Adj Read]]&gt;Table1[[#This Row],[Low Tol]],"Pass","Fail"),IF(Table1[[#This Row],[DUT Adj Read]]&gt;Table1[[#This Row],[Low Tol]],"Pass","Fail")))</f>
        <v>Pass</v>
      </c>
      <c r="AE2794" s="1" t="str">
        <f>IF(AND(Table1[[#This Row],[Spec Type2]]="N/A",Table1[[#This Row],[DUT Adj Read]]="N/A",Table1[[#This Row],[Std Adj Read]]="N/A"),"N/A",IF(Table1[[#This Row],[DUT Adj Read]]="N/A",IF(Table1[[#This Row],[Std Adj Read]]&lt;Table1[[#This Row],[High Tol]],"Pass","Fail"),IF(Table1[[#This Row],[DUT Adj Read]]&lt;Table1[[#This Row],[High Tol]],"Pass","Fail")))</f>
        <v>Fail</v>
      </c>
      <c r="AF2794" s="1" t="str">
        <f>IF(AND(Table1[[#This Row],[Spec Type2]]="N/A",Table1[[#This Row],[DUT Adj Read]]="N/A",Table1[[#This Row],[Std Adj Read]]="N/A"),"N/A",IF(Table1[[#This Row],[DUT Adj Read]]="N/A",IF(Table1[[#This Row],[Std Adj Read]]&gt;=Table1[[#This Row],[Low Tol]],"Pass","Fail"),IF(Table1[[#This Row],[DUT Adj Read]]&gt;=Table1[[#This Row],[Low Tol]],"Pass","Fail")))</f>
        <v>Pass</v>
      </c>
      <c r="AG2794" s="1" t="str">
        <f>IF(AND(Table1[[#This Row],[Spec Type2]]="N/A",Table1[[#This Row],[DUT Adj Read]]="N/A",Table1[[#This Row],[Std Adj Read]]="N/A"),"N/A",IF(Table1[[#This Row],[DUT Adj Read]]="N/A",IF(Table1[[#This Row],[Std Adj Read]]&lt;=Table1[[#This Row],[High Tol]],"Pass","Fail"),IF(Table1[[#This Row],[DUT Adj Read]]&lt;=Table1[[#This Row],[High Tol]],"Pass","Fail")))</f>
        <v>Fail</v>
      </c>
      <c r="AH27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4" s="1" t="b">
        <v>0</v>
      </c>
      <c r="AN2794" s="1" t="b">
        <v>0</v>
      </c>
      <c r="AO2794" s="1" t="b">
        <v>0</v>
      </c>
    </row>
    <row r="2795" spans="1:41" x14ac:dyDescent="0.25">
      <c r="A2795" s="10"/>
      <c r="B2795" s="10"/>
      <c r="C2795" s="10"/>
      <c r="D2795" s="10"/>
      <c r="E2795" s="10"/>
      <c r="F2795" s="10"/>
      <c r="G2795" s="10"/>
      <c r="H2795" s="10"/>
      <c r="I2795" s="1" t="str">
        <f t="shared" si="129"/>
        <v/>
      </c>
      <c r="J2795" s="1" t="s">
        <v>35</v>
      </c>
      <c r="K2795" s="1" t="str">
        <f t="shared" si="130"/>
        <v/>
      </c>
      <c r="L2795" s="1" t="str">
        <f t="shared" si="131"/>
        <v/>
      </c>
      <c r="M2795" s="1">
        <f>IF(OR(Table1[[#This Row],[Std Nom]]="",Table1[[#This Row],[Std Read]]=""),0,Table1[[#This Row],[Std Nom]]-Table1[[#This Row],[Std Read]])</f>
        <v>0</v>
      </c>
      <c r="N2795" s="1">
        <f>IF(Calculations!$F$5="ACCREDITED 17025 WITH UNCERTAINTIES",$N$10,0)</f>
        <v>0</v>
      </c>
      <c r="Q2795" s="1">
        <f>Table1[[#This Row],[High Tol]]-Table1[[#This Row],[Low Tol]]</f>
        <v>0</v>
      </c>
      <c r="R2795" s="1">
        <f>2*Table1[[#This Row],[Std Error]]</f>
        <v>0</v>
      </c>
      <c r="S2795" s="1" t="str">
        <f>IF(Table1[[#This Row],[High Tol]]="","N/A",IFERROR(ABS(Table1[[#This Row],[Tol Span]]/Table1[[#This Row],[Error Span]]),"N/A"))</f>
        <v>N/A</v>
      </c>
      <c r="T2795" s="1" t="str">
        <f>IF(OR(Table1[[#This Row],[Low Tol]]="",Table1[[#This Row],[High Tol]]=""),"Needs Analysis",IF(Table1[[#This Row],[Ratio]]&gt;=4,"Not Significant",IF(Table1[[#This Row],[Ratio]]&gt;=2,"Semi-Significant","Significant")))</f>
        <v>Needs Analysis</v>
      </c>
      <c r="W2795" s="1">
        <f>IF(Table1[[#This Row],[Cal Type]]&lt;&gt;"ACCREDITED 17025 WITH UNCERTAINTIES",0,"")</f>
        <v>0</v>
      </c>
      <c r="X2795" s="1" t="str">
        <f>IF(Table1[[#This Row],[DUT Read]]="","N/A",Table1[[#This Row],[Std Error]]+Table1[[#This Row],[DUT Read]]+Table1[[#This Row],[DUT Ucty]])</f>
        <v>N/A</v>
      </c>
      <c r="Y2795" s="1" t="str">
        <f>IF(Table1[[#This Row],[Std Read]]="","N/A",Table1[[#This Row],[Std Read]]+Table1[[#This Row],[Std Ucty]])</f>
        <v>N/A</v>
      </c>
      <c r="Z27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5" s="1" t="str">
        <f>IF(Table1[[#This Row],[Spec Type]]="","N/A",Table1[[#This Row],[Spec Type]])</f>
        <v>±</v>
      </c>
      <c r="AC2795" s="1" t="str">
        <f>IF(Table1[[#This Row],[Spec Type2]]="N/A","N/A",IF(AND(Table1[[#This Row],[DUT Adj Read]]&gt;=Table1[[#This Row],[Low Tol]],Table1[[#This Row],[DUT Adj Read]]&lt;=Table1[[#This Row],[High Tol]]),"Pass","Fail"))</f>
        <v>Fail</v>
      </c>
      <c r="AD2795" s="1" t="str">
        <f>IF(AND(Table1[[#This Row],[Spec Type2]]="N/A",Table1[[#This Row],[DUT Adj Read]]="N/A",Table1[[#This Row],[Std Adj Read]]="N/A"),"N/A",IF(Table1[[#This Row],[DUT Adj Read]]="N/A",IF(Table1[[#This Row],[Std Adj Read]]&gt;Table1[[#This Row],[Low Tol]],"Pass","Fail"),IF(Table1[[#This Row],[DUT Adj Read]]&gt;Table1[[#This Row],[Low Tol]],"Pass","Fail")))</f>
        <v>Pass</v>
      </c>
      <c r="AE2795" s="1" t="str">
        <f>IF(AND(Table1[[#This Row],[Spec Type2]]="N/A",Table1[[#This Row],[DUT Adj Read]]="N/A",Table1[[#This Row],[Std Adj Read]]="N/A"),"N/A",IF(Table1[[#This Row],[DUT Adj Read]]="N/A",IF(Table1[[#This Row],[Std Adj Read]]&lt;Table1[[#This Row],[High Tol]],"Pass","Fail"),IF(Table1[[#This Row],[DUT Adj Read]]&lt;Table1[[#This Row],[High Tol]],"Pass","Fail")))</f>
        <v>Fail</v>
      </c>
      <c r="AF2795" s="1" t="str">
        <f>IF(AND(Table1[[#This Row],[Spec Type2]]="N/A",Table1[[#This Row],[DUT Adj Read]]="N/A",Table1[[#This Row],[Std Adj Read]]="N/A"),"N/A",IF(Table1[[#This Row],[DUT Adj Read]]="N/A",IF(Table1[[#This Row],[Std Adj Read]]&gt;=Table1[[#This Row],[Low Tol]],"Pass","Fail"),IF(Table1[[#This Row],[DUT Adj Read]]&gt;=Table1[[#This Row],[Low Tol]],"Pass","Fail")))</f>
        <v>Pass</v>
      </c>
      <c r="AG2795" s="1" t="str">
        <f>IF(AND(Table1[[#This Row],[Spec Type2]]="N/A",Table1[[#This Row],[DUT Adj Read]]="N/A",Table1[[#This Row],[Std Adj Read]]="N/A"),"N/A",IF(Table1[[#This Row],[DUT Adj Read]]="N/A",IF(Table1[[#This Row],[Std Adj Read]]&lt;=Table1[[#This Row],[High Tol]],"Pass","Fail"),IF(Table1[[#This Row],[DUT Adj Read]]&lt;=Table1[[#This Row],[High Tol]],"Pass","Fail")))</f>
        <v>Fail</v>
      </c>
      <c r="AH27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5" s="1" t="b">
        <v>0</v>
      </c>
      <c r="AN2795" s="1" t="b">
        <v>0</v>
      </c>
      <c r="AO2795" s="1" t="b">
        <v>0</v>
      </c>
    </row>
    <row r="2796" spans="1:41" x14ac:dyDescent="0.25">
      <c r="A2796" s="10"/>
      <c r="B2796" s="10"/>
      <c r="C2796" s="10"/>
      <c r="D2796" s="10"/>
      <c r="E2796" s="10"/>
      <c r="F2796" s="10"/>
      <c r="G2796" s="10"/>
      <c r="H2796" s="10"/>
      <c r="I2796" s="1" t="str">
        <f t="shared" si="129"/>
        <v/>
      </c>
      <c r="J2796" s="1" t="s">
        <v>35</v>
      </c>
      <c r="K2796" s="1" t="str">
        <f t="shared" si="130"/>
        <v/>
      </c>
      <c r="L2796" s="1" t="str">
        <f t="shared" si="131"/>
        <v/>
      </c>
      <c r="M2796" s="1">
        <f>IF(OR(Table1[[#This Row],[Std Nom]]="",Table1[[#This Row],[Std Read]]=""),0,Table1[[#This Row],[Std Nom]]-Table1[[#This Row],[Std Read]])</f>
        <v>0</v>
      </c>
      <c r="N2796" s="1">
        <f>IF(Calculations!$F$5="ACCREDITED 17025 WITH UNCERTAINTIES",$N$10,0)</f>
        <v>0</v>
      </c>
      <c r="Q2796" s="1">
        <f>Table1[[#This Row],[High Tol]]-Table1[[#This Row],[Low Tol]]</f>
        <v>0</v>
      </c>
      <c r="R2796" s="1">
        <f>2*Table1[[#This Row],[Std Error]]</f>
        <v>0</v>
      </c>
      <c r="S2796" s="1" t="str">
        <f>IF(Table1[[#This Row],[High Tol]]="","N/A",IFERROR(ABS(Table1[[#This Row],[Tol Span]]/Table1[[#This Row],[Error Span]]),"N/A"))</f>
        <v>N/A</v>
      </c>
      <c r="T2796" s="1" t="str">
        <f>IF(OR(Table1[[#This Row],[Low Tol]]="",Table1[[#This Row],[High Tol]]=""),"Needs Analysis",IF(Table1[[#This Row],[Ratio]]&gt;=4,"Not Significant",IF(Table1[[#This Row],[Ratio]]&gt;=2,"Semi-Significant","Significant")))</f>
        <v>Needs Analysis</v>
      </c>
      <c r="W2796" s="1">
        <f>IF(Table1[[#This Row],[Cal Type]]&lt;&gt;"ACCREDITED 17025 WITH UNCERTAINTIES",0,"")</f>
        <v>0</v>
      </c>
      <c r="X2796" s="1" t="str">
        <f>IF(Table1[[#This Row],[DUT Read]]="","N/A",Table1[[#This Row],[Std Error]]+Table1[[#This Row],[DUT Read]]+Table1[[#This Row],[DUT Ucty]])</f>
        <v>N/A</v>
      </c>
      <c r="Y2796" s="1" t="str">
        <f>IF(Table1[[#This Row],[Std Read]]="","N/A",Table1[[#This Row],[Std Read]]+Table1[[#This Row],[Std Ucty]])</f>
        <v>N/A</v>
      </c>
      <c r="Z27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6" s="1" t="str">
        <f>IF(Table1[[#This Row],[Spec Type]]="","N/A",Table1[[#This Row],[Spec Type]])</f>
        <v>±</v>
      </c>
      <c r="AC2796" s="1" t="str">
        <f>IF(Table1[[#This Row],[Spec Type2]]="N/A","N/A",IF(AND(Table1[[#This Row],[DUT Adj Read]]&gt;=Table1[[#This Row],[Low Tol]],Table1[[#This Row],[DUT Adj Read]]&lt;=Table1[[#This Row],[High Tol]]),"Pass","Fail"))</f>
        <v>Fail</v>
      </c>
      <c r="AD2796" s="1" t="str">
        <f>IF(AND(Table1[[#This Row],[Spec Type2]]="N/A",Table1[[#This Row],[DUT Adj Read]]="N/A",Table1[[#This Row],[Std Adj Read]]="N/A"),"N/A",IF(Table1[[#This Row],[DUT Adj Read]]="N/A",IF(Table1[[#This Row],[Std Adj Read]]&gt;Table1[[#This Row],[Low Tol]],"Pass","Fail"),IF(Table1[[#This Row],[DUT Adj Read]]&gt;Table1[[#This Row],[Low Tol]],"Pass","Fail")))</f>
        <v>Pass</v>
      </c>
      <c r="AE2796" s="1" t="str">
        <f>IF(AND(Table1[[#This Row],[Spec Type2]]="N/A",Table1[[#This Row],[DUT Adj Read]]="N/A",Table1[[#This Row],[Std Adj Read]]="N/A"),"N/A",IF(Table1[[#This Row],[DUT Adj Read]]="N/A",IF(Table1[[#This Row],[Std Adj Read]]&lt;Table1[[#This Row],[High Tol]],"Pass","Fail"),IF(Table1[[#This Row],[DUT Adj Read]]&lt;Table1[[#This Row],[High Tol]],"Pass","Fail")))</f>
        <v>Fail</v>
      </c>
      <c r="AF2796" s="1" t="str">
        <f>IF(AND(Table1[[#This Row],[Spec Type2]]="N/A",Table1[[#This Row],[DUT Adj Read]]="N/A",Table1[[#This Row],[Std Adj Read]]="N/A"),"N/A",IF(Table1[[#This Row],[DUT Adj Read]]="N/A",IF(Table1[[#This Row],[Std Adj Read]]&gt;=Table1[[#This Row],[Low Tol]],"Pass","Fail"),IF(Table1[[#This Row],[DUT Adj Read]]&gt;=Table1[[#This Row],[Low Tol]],"Pass","Fail")))</f>
        <v>Pass</v>
      </c>
      <c r="AG2796" s="1" t="str">
        <f>IF(AND(Table1[[#This Row],[Spec Type2]]="N/A",Table1[[#This Row],[DUT Adj Read]]="N/A",Table1[[#This Row],[Std Adj Read]]="N/A"),"N/A",IF(Table1[[#This Row],[DUT Adj Read]]="N/A",IF(Table1[[#This Row],[Std Adj Read]]&lt;=Table1[[#This Row],[High Tol]],"Pass","Fail"),IF(Table1[[#This Row],[DUT Adj Read]]&lt;=Table1[[#This Row],[High Tol]],"Pass","Fail")))</f>
        <v>Fail</v>
      </c>
      <c r="AH27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6" s="1" t="b">
        <v>0</v>
      </c>
      <c r="AN2796" s="1" t="b">
        <v>0</v>
      </c>
      <c r="AO2796" s="1" t="b">
        <v>0</v>
      </c>
    </row>
    <row r="2797" spans="1:41" x14ac:dyDescent="0.25">
      <c r="A2797" s="10"/>
      <c r="B2797" s="10"/>
      <c r="C2797" s="10"/>
      <c r="D2797" s="10"/>
      <c r="E2797" s="10"/>
      <c r="F2797" s="10"/>
      <c r="G2797" s="10"/>
      <c r="H2797" s="10"/>
      <c r="I2797" s="1" t="str">
        <f t="shared" si="129"/>
        <v/>
      </c>
      <c r="J2797" s="1" t="s">
        <v>35</v>
      </c>
      <c r="K2797" s="1" t="str">
        <f t="shared" si="130"/>
        <v/>
      </c>
      <c r="L2797" s="1" t="str">
        <f t="shared" si="131"/>
        <v/>
      </c>
      <c r="M2797" s="1">
        <f>IF(OR(Table1[[#This Row],[Std Nom]]="",Table1[[#This Row],[Std Read]]=""),0,Table1[[#This Row],[Std Nom]]-Table1[[#This Row],[Std Read]])</f>
        <v>0</v>
      </c>
      <c r="N2797" s="1">
        <f>IF(Calculations!$F$5="ACCREDITED 17025 WITH UNCERTAINTIES",$N$10,0)</f>
        <v>0</v>
      </c>
      <c r="Q2797" s="1">
        <f>Table1[[#This Row],[High Tol]]-Table1[[#This Row],[Low Tol]]</f>
        <v>0</v>
      </c>
      <c r="R2797" s="1">
        <f>2*Table1[[#This Row],[Std Error]]</f>
        <v>0</v>
      </c>
      <c r="S2797" s="1" t="str">
        <f>IF(Table1[[#This Row],[High Tol]]="","N/A",IFERROR(ABS(Table1[[#This Row],[Tol Span]]/Table1[[#This Row],[Error Span]]),"N/A"))</f>
        <v>N/A</v>
      </c>
      <c r="T2797" s="1" t="str">
        <f>IF(OR(Table1[[#This Row],[Low Tol]]="",Table1[[#This Row],[High Tol]]=""),"Needs Analysis",IF(Table1[[#This Row],[Ratio]]&gt;=4,"Not Significant",IF(Table1[[#This Row],[Ratio]]&gt;=2,"Semi-Significant","Significant")))</f>
        <v>Needs Analysis</v>
      </c>
      <c r="W2797" s="1">
        <f>IF(Table1[[#This Row],[Cal Type]]&lt;&gt;"ACCREDITED 17025 WITH UNCERTAINTIES",0,"")</f>
        <v>0</v>
      </c>
      <c r="X2797" s="1" t="str">
        <f>IF(Table1[[#This Row],[DUT Read]]="","N/A",Table1[[#This Row],[Std Error]]+Table1[[#This Row],[DUT Read]]+Table1[[#This Row],[DUT Ucty]])</f>
        <v>N/A</v>
      </c>
      <c r="Y2797" s="1" t="str">
        <f>IF(Table1[[#This Row],[Std Read]]="","N/A",Table1[[#This Row],[Std Read]]+Table1[[#This Row],[Std Ucty]])</f>
        <v>N/A</v>
      </c>
      <c r="Z27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7" s="1" t="str">
        <f>IF(Table1[[#This Row],[Spec Type]]="","N/A",Table1[[#This Row],[Spec Type]])</f>
        <v>±</v>
      </c>
      <c r="AC2797" s="1" t="str">
        <f>IF(Table1[[#This Row],[Spec Type2]]="N/A","N/A",IF(AND(Table1[[#This Row],[DUT Adj Read]]&gt;=Table1[[#This Row],[Low Tol]],Table1[[#This Row],[DUT Adj Read]]&lt;=Table1[[#This Row],[High Tol]]),"Pass","Fail"))</f>
        <v>Fail</v>
      </c>
      <c r="AD2797" s="1" t="str">
        <f>IF(AND(Table1[[#This Row],[Spec Type2]]="N/A",Table1[[#This Row],[DUT Adj Read]]="N/A",Table1[[#This Row],[Std Adj Read]]="N/A"),"N/A",IF(Table1[[#This Row],[DUT Adj Read]]="N/A",IF(Table1[[#This Row],[Std Adj Read]]&gt;Table1[[#This Row],[Low Tol]],"Pass","Fail"),IF(Table1[[#This Row],[DUT Adj Read]]&gt;Table1[[#This Row],[Low Tol]],"Pass","Fail")))</f>
        <v>Pass</v>
      </c>
      <c r="AE2797" s="1" t="str">
        <f>IF(AND(Table1[[#This Row],[Spec Type2]]="N/A",Table1[[#This Row],[DUT Adj Read]]="N/A",Table1[[#This Row],[Std Adj Read]]="N/A"),"N/A",IF(Table1[[#This Row],[DUT Adj Read]]="N/A",IF(Table1[[#This Row],[Std Adj Read]]&lt;Table1[[#This Row],[High Tol]],"Pass","Fail"),IF(Table1[[#This Row],[DUT Adj Read]]&lt;Table1[[#This Row],[High Tol]],"Pass","Fail")))</f>
        <v>Fail</v>
      </c>
      <c r="AF2797" s="1" t="str">
        <f>IF(AND(Table1[[#This Row],[Spec Type2]]="N/A",Table1[[#This Row],[DUT Adj Read]]="N/A",Table1[[#This Row],[Std Adj Read]]="N/A"),"N/A",IF(Table1[[#This Row],[DUT Adj Read]]="N/A",IF(Table1[[#This Row],[Std Adj Read]]&gt;=Table1[[#This Row],[Low Tol]],"Pass","Fail"),IF(Table1[[#This Row],[DUT Adj Read]]&gt;=Table1[[#This Row],[Low Tol]],"Pass","Fail")))</f>
        <v>Pass</v>
      </c>
      <c r="AG2797" s="1" t="str">
        <f>IF(AND(Table1[[#This Row],[Spec Type2]]="N/A",Table1[[#This Row],[DUT Adj Read]]="N/A",Table1[[#This Row],[Std Adj Read]]="N/A"),"N/A",IF(Table1[[#This Row],[DUT Adj Read]]="N/A",IF(Table1[[#This Row],[Std Adj Read]]&lt;=Table1[[#This Row],[High Tol]],"Pass","Fail"),IF(Table1[[#This Row],[DUT Adj Read]]&lt;=Table1[[#This Row],[High Tol]],"Pass","Fail")))</f>
        <v>Fail</v>
      </c>
      <c r="AH27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7" s="1" t="b">
        <v>0</v>
      </c>
      <c r="AN2797" s="1" t="b">
        <v>0</v>
      </c>
      <c r="AO2797" s="1" t="b">
        <v>0</v>
      </c>
    </row>
    <row r="2798" spans="1:41" x14ac:dyDescent="0.25">
      <c r="A2798" s="10"/>
      <c r="B2798" s="10"/>
      <c r="C2798" s="10"/>
      <c r="D2798" s="10"/>
      <c r="E2798" s="10"/>
      <c r="F2798" s="10"/>
      <c r="G2798" s="10"/>
      <c r="H2798" s="10"/>
      <c r="I2798" s="1" t="str">
        <f t="shared" si="129"/>
        <v/>
      </c>
      <c r="J2798" s="1" t="s">
        <v>35</v>
      </c>
      <c r="K2798" s="1" t="str">
        <f t="shared" si="130"/>
        <v/>
      </c>
      <c r="L2798" s="1" t="str">
        <f t="shared" si="131"/>
        <v/>
      </c>
      <c r="M2798" s="1">
        <f>IF(OR(Table1[[#This Row],[Std Nom]]="",Table1[[#This Row],[Std Read]]=""),0,Table1[[#This Row],[Std Nom]]-Table1[[#This Row],[Std Read]])</f>
        <v>0</v>
      </c>
      <c r="N2798" s="1">
        <f>IF(Calculations!$F$5="ACCREDITED 17025 WITH UNCERTAINTIES",$N$10,0)</f>
        <v>0</v>
      </c>
      <c r="Q2798" s="1">
        <f>Table1[[#This Row],[High Tol]]-Table1[[#This Row],[Low Tol]]</f>
        <v>0</v>
      </c>
      <c r="R2798" s="1">
        <f>2*Table1[[#This Row],[Std Error]]</f>
        <v>0</v>
      </c>
      <c r="S2798" s="1" t="str">
        <f>IF(Table1[[#This Row],[High Tol]]="","N/A",IFERROR(ABS(Table1[[#This Row],[Tol Span]]/Table1[[#This Row],[Error Span]]),"N/A"))</f>
        <v>N/A</v>
      </c>
      <c r="T2798" s="1" t="str">
        <f>IF(OR(Table1[[#This Row],[Low Tol]]="",Table1[[#This Row],[High Tol]]=""),"Needs Analysis",IF(Table1[[#This Row],[Ratio]]&gt;=4,"Not Significant",IF(Table1[[#This Row],[Ratio]]&gt;=2,"Semi-Significant","Significant")))</f>
        <v>Needs Analysis</v>
      </c>
      <c r="W2798" s="1">
        <f>IF(Table1[[#This Row],[Cal Type]]&lt;&gt;"ACCREDITED 17025 WITH UNCERTAINTIES",0,"")</f>
        <v>0</v>
      </c>
      <c r="X2798" s="1" t="str">
        <f>IF(Table1[[#This Row],[DUT Read]]="","N/A",Table1[[#This Row],[Std Error]]+Table1[[#This Row],[DUT Read]]+Table1[[#This Row],[DUT Ucty]])</f>
        <v>N/A</v>
      </c>
      <c r="Y2798" s="1" t="str">
        <f>IF(Table1[[#This Row],[Std Read]]="","N/A",Table1[[#This Row],[Std Read]]+Table1[[#This Row],[Std Ucty]])</f>
        <v>N/A</v>
      </c>
      <c r="Z27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8" s="1" t="str">
        <f>IF(Table1[[#This Row],[Spec Type]]="","N/A",Table1[[#This Row],[Spec Type]])</f>
        <v>±</v>
      </c>
      <c r="AC2798" s="1" t="str">
        <f>IF(Table1[[#This Row],[Spec Type2]]="N/A","N/A",IF(AND(Table1[[#This Row],[DUT Adj Read]]&gt;=Table1[[#This Row],[Low Tol]],Table1[[#This Row],[DUT Adj Read]]&lt;=Table1[[#This Row],[High Tol]]),"Pass","Fail"))</f>
        <v>Fail</v>
      </c>
      <c r="AD2798" s="1" t="str">
        <f>IF(AND(Table1[[#This Row],[Spec Type2]]="N/A",Table1[[#This Row],[DUT Adj Read]]="N/A",Table1[[#This Row],[Std Adj Read]]="N/A"),"N/A",IF(Table1[[#This Row],[DUT Adj Read]]="N/A",IF(Table1[[#This Row],[Std Adj Read]]&gt;Table1[[#This Row],[Low Tol]],"Pass","Fail"),IF(Table1[[#This Row],[DUT Adj Read]]&gt;Table1[[#This Row],[Low Tol]],"Pass","Fail")))</f>
        <v>Pass</v>
      </c>
      <c r="AE2798" s="1" t="str">
        <f>IF(AND(Table1[[#This Row],[Spec Type2]]="N/A",Table1[[#This Row],[DUT Adj Read]]="N/A",Table1[[#This Row],[Std Adj Read]]="N/A"),"N/A",IF(Table1[[#This Row],[DUT Adj Read]]="N/A",IF(Table1[[#This Row],[Std Adj Read]]&lt;Table1[[#This Row],[High Tol]],"Pass","Fail"),IF(Table1[[#This Row],[DUT Adj Read]]&lt;Table1[[#This Row],[High Tol]],"Pass","Fail")))</f>
        <v>Fail</v>
      </c>
      <c r="AF2798" s="1" t="str">
        <f>IF(AND(Table1[[#This Row],[Spec Type2]]="N/A",Table1[[#This Row],[DUT Adj Read]]="N/A",Table1[[#This Row],[Std Adj Read]]="N/A"),"N/A",IF(Table1[[#This Row],[DUT Adj Read]]="N/A",IF(Table1[[#This Row],[Std Adj Read]]&gt;=Table1[[#This Row],[Low Tol]],"Pass","Fail"),IF(Table1[[#This Row],[DUT Adj Read]]&gt;=Table1[[#This Row],[Low Tol]],"Pass","Fail")))</f>
        <v>Pass</v>
      </c>
      <c r="AG2798" s="1" t="str">
        <f>IF(AND(Table1[[#This Row],[Spec Type2]]="N/A",Table1[[#This Row],[DUT Adj Read]]="N/A",Table1[[#This Row],[Std Adj Read]]="N/A"),"N/A",IF(Table1[[#This Row],[DUT Adj Read]]="N/A",IF(Table1[[#This Row],[Std Adj Read]]&lt;=Table1[[#This Row],[High Tol]],"Pass","Fail"),IF(Table1[[#This Row],[DUT Adj Read]]&lt;=Table1[[#This Row],[High Tol]],"Pass","Fail")))</f>
        <v>Fail</v>
      </c>
      <c r="AH27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8" s="1" t="b">
        <v>0</v>
      </c>
      <c r="AN2798" s="1" t="b">
        <v>0</v>
      </c>
      <c r="AO2798" s="1" t="b">
        <v>0</v>
      </c>
    </row>
    <row r="2799" spans="1:41" x14ac:dyDescent="0.25">
      <c r="A2799" s="10"/>
      <c r="B2799" s="10"/>
      <c r="C2799" s="10"/>
      <c r="D2799" s="10"/>
      <c r="E2799" s="10"/>
      <c r="F2799" s="10"/>
      <c r="G2799" s="10"/>
      <c r="H2799" s="10"/>
      <c r="I2799" s="1" t="str">
        <f t="shared" si="129"/>
        <v/>
      </c>
      <c r="J2799" s="1" t="s">
        <v>35</v>
      </c>
      <c r="K2799" s="1" t="str">
        <f t="shared" si="130"/>
        <v/>
      </c>
      <c r="L2799" s="1" t="str">
        <f t="shared" si="131"/>
        <v/>
      </c>
      <c r="M2799" s="1">
        <f>IF(OR(Table1[[#This Row],[Std Nom]]="",Table1[[#This Row],[Std Read]]=""),0,Table1[[#This Row],[Std Nom]]-Table1[[#This Row],[Std Read]])</f>
        <v>0</v>
      </c>
      <c r="N2799" s="1">
        <f>IF(Calculations!$F$5="ACCREDITED 17025 WITH UNCERTAINTIES",$N$10,0)</f>
        <v>0</v>
      </c>
      <c r="Q2799" s="1">
        <f>Table1[[#This Row],[High Tol]]-Table1[[#This Row],[Low Tol]]</f>
        <v>0</v>
      </c>
      <c r="R2799" s="1">
        <f>2*Table1[[#This Row],[Std Error]]</f>
        <v>0</v>
      </c>
      <c r="S2799" s="1" t="str">
        <f>IF(Table1[[#This Row],[High Tol]]="","N/A",IFERROR(ABS(Table1[[#This Row],[Tol Span]]/Table1[[#This Row],[Error Span]]),"N/A"))</f>
        <v>N/A</v>
      </c>
      <c r="T2799" s="1" t="str">
        <f>IF(OR(Table1[[#This Row],[Low Tol]]="",Table1[[#This Row],[High Tol]]=""),"Needs Analysis",IF(Table1[[#This Row],[Ratio]]&gt;=4,"Not Significant",IF(Table1[[#This Row],[Ratio]]&gt;=2,"Semi-Significant","Significant")))</f>
        <v>Needs Analysis</v>
      </c>
      <c r="W2799" s="1">
        <f>IF(Table1[[#This Row],[Cal Type]]&lt;&gt;"ACCREDITED 17025 WITH UNCERTAINTIES",0,"")</f>
        <v>0</v>
      </c>
      <c r="X2799" s="1" t="str">
        <f>IF(Table1[[#This Row],[DUT Read]]="","N/A",Table1[[#This Row],[Std Error]]+Table1[[#This Row],[DUT Read]]+Table1[[#This Row],[DUT Ucty]])</f>
        <v>N/A</v>
      </c>
      <c r="Y2799" s="1" t="str">
        <f>IF(Table1[[#This Row],[Std Read]]="","N/A",Table1[[#This Row],[Std Read]]+Table1[[#This Row],[Std Ucty]])</f>
        <v>N/A</v>
      </c>
      <c r="Z27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799" s="1" t="str">
        <f>IF(Table1[[#This Row],[Spec Type]]="","N/A",Table1[[#This Row],[Spec Type]])</f>
        <v>±</v>
      </c>
      <c r="AC2799" s="1" t="str">
        <f>IF(Table1[[#This Row],[Spec Type2]]="N/A","N/A",IF(AND(Table1[[#This Row],[DUT Adj Read]]&gt;=Table1[[#This Row],[Low Tol]],Table1[[#This Row],[DUT Adj Read]]&lt;=Table1[[#This Row],[High Tol]]),"Pass","Fail"))</f>
        <v>Fail</v>
      </c>
      <c r="AD2799" s="1" t="str">
        <f>IF(AND(Table1[[#This Row],[Spec Type2]]="N/A",Table1[[#This Row],[DUT Adj Read]]="N/A",Table1[[#This Row],[Std Adj Read]]="N/A"),"N/A",IF(Table1[[#This Row],[DUT Adj Read]]="N/A",IF(Table1[[#This Row],[Std Adj Read]]&gt;Table1[[#This Row],[Low Tol]],"Pass","Fail"),IF(Table1[[#This Row],[DUT Adj Read]]&gt;Table1[[#This Row],[Low Tol]],"Pass","Fail")))</f>
        <v>Pass</v>
      </c>
      <c r="AE2799" s="1" t="str">
        <f>IF(AND(Table1[[#This Row],[Spec Type2]]="N/A",Table1[[#This Row],[DUT Adj Read]]="N/A",Table1[[#This Row],[Std Adj Read]]="N/A"),"N/A",IF(Table1[[#This Row],[DUT Adj Read]]="N/A",IF(Table1[[#This Row],[Std Adj Read]]&lt;Table1[[#This Row],[High Tol]],"Pass","Fail"),IF(Table1[[#This Row],[DUT Adj Read]]&lt;Table1[[#This Row],[High Tol]],"Pass","Fail")))</f>
        <v>Fail</v>
      </c>
      <c r="AF2799" s="1" t="str">
        <f>IF(AND(Table1[[#This Row],[Spec Type2]]="N/A",Table1[[#This Row],[DUT Adj Read]]="N/A",Table1[[#This Row],[Std Adj Read]]="N/A"),"N/A",IF(Table1[[#This Row],[DUT Adj Read]]="N/A",IF(Table1[[#This Row],[Std Adj Read]]&gt;=Table1[[#This Row],[Low Tol]],"Pass","Fail"),IF(Table1[[#This Row],[DUT Adj Read]]&gt;=Table1[[#This Row],[Low Tol]],"Pass","Fail")))</f>
        <v>Pass</v>
      </c>
      <c r="AG2799" s="1" t="str">
        <f>IF(AND(Table1[[#This Row],[Spec Type2]]="N/A",Table1[[#This Row],[DUT Adj Read]]="N/A",Table1[[#This Row],[Std Adj Read]]="N/A"),"N/A",IF(Table1[[#This Row],[DUT Adj Read]]="N/A",IF(Table1[[#This Row],[Std Adj Read]]&lt;=Table1[[#This Row],[High Tol]],"Pass","Fail"),IF(Table1[[#This Row],[DUT Adj Read]]&lt;=Table1[[#This Row],[High Tol]],"Pass","Fail")))</f>
        <v>Fail</v>
      </c>
      <c r="AH27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799" s="1" t="b">
        <v>0</v>
      </c>
      <c r="AN2799" s="1" t="b">
        <v>0</v>
      </c>
      <c r="AO2799" s="1" t="b">
        <v>0</v>
      </c>
    </row>
    <row r="2800" spans="1:41" x14ac:dyDescent="0.25">
      <c r="A2800" s="10"/>
      <c r="B2800" s="10"/>
      <c r="C2800" s="10"/>
      <c r="D2800" s="10"/>
      <c r="E2800" s="10"/>
      <c r="F2800" s="10"/>
      <c r="G2800" s="10"/>
      <c r="H2800" s="10"/>
      <c r="I2800" s="1" t="str">
        <f t="shared" si="129"/>
        <v/>
      </c>
      <c r="J2800" s="1" t="s">
        <v>35</v>
      </c>
      <c r="K2800" s="1" t="str">
        <f t="shared" si="130"/>
        <v/>
      </c>
      <c r="L2800" s="1" t="str">
        <f t="shared" si="131"/>
        <v/>
      </c>
      <c r="M2800" s="1">
        <f>IF(OR(Table1[[#This Row],[Std Nom]]="",Table1[[#This Row],[Std Read]]=""),0,Table1[[#This Row],[Std Nom]]-Table1[[#This Row],[Std Read]])</f>
        <v>0</v>
      </c>
      <c r="N2800" s="1">
        <f>IF(Calculations!$F$5="ACCREDITED 17025 WITH UNCERTAINTIES",$N$10,0)</f>
        <v>0</v>
      </c>
      <c r="Q2800" s="1">
        <f>Table1[[#This Row],[High Tol]]-Table1[[#This Row],[Low Tol]]</f>
        <v>0</v>
      </c>
      <c r="R2800" s="1">
        <f>2*Table1[[#This Row],[Std Error]]</f>
        <v>0</v>
      </c>
      <c r="S2800" s="1" t="str">
        <f>IF(Table1[[#This Row],[High Tol]]="","N/A",IFERROR(ABS(Table1[[#This Row],[Tol Span]]/Table1[[#This Row],[Error Span]]),"N/A"))</f>
        <v>N/A</v>
      </c>
      <c r="T2800" s="1" t="str">
        <f>IF(OR(Table1[[#This Row],[Low Tol]]="",Table1[[#This Row],[High Tol]]=""),"Needs Analysis",IF(Table1[[#This Row],[Ratio]]&gt;=4,"Not Significant",IF(Table1[[#This Row],[Ratio]]&gt;=2,"Semi-Significant","Significant")))</f>
        <v>Needs Analysis</v>
      </c>
      <c r="W2800" s="1">
        <f>IF(Table1[[#This Row],[Cal Type]]&lt;&gt;"ACCREDITED 17025 WITH UNCERTAINTIES",0,"")</f>
        <v>0</v>
      </c>
      <c r="X2800" s="1" t="str">
        <f>IF(Table1[[#This Row],[DUT Read]]="","N/A",Table1[[#This Row],[Std Error]]+Table1[[#This Row],[DUT Read]]+Table1[[#This Row],[DUT Ucty]])</f>
        <v>N/A</v>
      </c>
      <c r="Y2800" s="1" t="str">
        <f>IF(Table1[[#This Row],[Std Read]]="","N/A",Table1[[#This Row],[Std Read]]+Table1[[#This Row],[Std Ucty]])</f>
        <v>N/A</v>
      </c>
      <c r="Z28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0" s="1" t="str">
        <f>IF(Table1[[#This Row],[Spec Type]]="","N/A",Table1[[#This Row],[Spec Type]])</f>
        <v>±</v>
      </c>
      <c r="AC2800" s="1" t="str">
        <f>IF(Table1[[#This Row],[Spec Type2]]="N/A","N/A",IF(AND(Table1[[#This Row],[DUT Adj Read]]&gt;=Table1[[#This Row],[Low Tol]],Table1[[#This Row],[DUT Adj Read]]&lt;=Table1[[#This Row],[High Tol]]),"Pass","Fail"))</f>
        <v>Fail</v>
      </c>
      <c r="AD2800" s="1" t="str">
        <f>IF(AND(Table1[[#This Row],[Spec Type2]]="N/A",Table1[[#This Row],[DUT Adj Read]]="N/A",Table1[[#This Row],[Std Adj Read]]="N/A"),"N/A",IF(Table1[[#This Row],[DUT Adj Read]]="N/A",IF(Table1[[#This Row],[Std Adj Read]]&gt;Table1[[#This Row],[Low Tol]],"Pass","Fail"),IF(Table1[[#This Row],[DUT Adj Read]]&gt;Table1[[#This Row],[Low Tol]],"Pass","Fail")))</f>
        <v>Pass</v>
      </c>
      <c r="AE2800" s="1" t="str">
        <f>IF(AND(Table1[[#This Row],[Spec Type2]]="N/A",Table1[[#This Row],[DUT Adj Read]]="N/A",Table1[[#This Row],[Std Adj Read]]="N/A"),"N/A",IF(Table1[[#This Row],[DUT Adj Read]]="N/A",IF(Table1[[#This Row],[Std Adj Read]]&lt;Table1[[#This Row],[High Tol]],"Pass","Fail"),IF(Table1[[#This Row],[DUT Adj Read]]&lt;Table1[[#This Row],[High Tol]],"Pass","Fail")))</f>
        <v>Fail</v>
      </c>
      <c r="AF2800" s="1" t="str">
        <f>IF(AND(Table1[[#This Row],[Spec Type2]]="N/A",Table1[[#This Row],[DUT Adj Read]]="N/A",Table1[[#This Row],[Std Adj Read]]="N/A"),"N/A",IF(Table1[[#This Row],[DUT Adj Read]]="N/A",IF(Table1[[#This Row],[Std Adj Read]]&gt;=Table1[[#This Row],[Low Tol]],"Pass","Fail"),IF(Table1[[#This Row],[DUT Adj Read]]&gt;=Table1[[#This Row],[Low Tol]],"Pass","Fail")))</f>
        <v>Pass</v>
      </c>
      <c r="AG2800" s="1" t="str">
        <f>IF(AND(Table1[[#This Row],[Spec Type2]]="N/A",Table1[[#This Row],[DUT Adj Read]]="N/A",Table1[[#This Row],[Std Adj Read]]="N/A"),"N/A",IF(Table1[[#This Row],[DUT Adj Read]]="N/A",IF(Table1[[#This Row],[Std Adj Read]]&lt;=Table1[[#This Row],[High Tol]],"Pass","Fail"),IF(Table1[[#This Row],[DUT Adj Read]]&lt;=Table1[[#This Row],[High Tol]],"Pass","Fail")))</f>
        <v>Fail</v>
      </c>
      <c r="AH28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0" s="1" t="b">
        <v>0</v>
      </c>
      <c r="AN2800" s="1" t="b">
        <v>0</v>
      </c>
      <c r="AO2800" s="1" t="b">
        <v>0</v>
      </c>
    </row>
    <row r="2801" spans="1:41" x14ac:dyDescent="0.25">
      <c r="A2801" s="10"/>
      <c r="B2801" s="10"/>
      <c r="C2801" s="10"/>
      <c r="D2801" s="10"/>
      <c r="E2801" s="10"/>
      <c r="F2801" s="10"/>
      <c r="G2801" s="10"/>
      <c r="H2801" s="10"/>
      <c r="I2801" s="1" t="str">
        <f t="shared" si="129"/>
        <v/>
      </c>
      <c r="J2801" s="1" t="s">
        <v>35</v>
      </c>
      <c r="K2801" s="1" t="str">
        <f t="shared" si="130"/>
        <v/>
      </c>
      <c r="L2801" s="1" t="str">
        <f t="shared" si="131"/>
        <v/>
      </c>
      <c r="M2801" s="1">
        <f>IF(OR(Table1[[#This Row],[Std Nom]]="",Table1[[#This Row],[Std Read]]=""),0,Table1[[#This Row],[Std Nom]]-Table1[[#This Row],[Std Read]])</f>
        <v>0</v>
      </c>
      <c r="N2801" s="1">
        <f>IF(Calculations!$F$5="ACCREDITED 17025 WITH UNCERTAINTIES",$N$10,0)</f>
        <v>0</v>
      </c>
      <c r="Q2801" s="1">
        <f>Table1[[#This Row],[High Tol]]-Table1[[#This Row],[Low Tol]]</f>
        <v>0</v>
      </c>
      <c r="R2801" s="1">
        <f>2*Table1[[#This Row],[Std Error]]</f>
        <v>0</v>
      </c>
      <c r="S2801" s="1" t="str">
        <f>IF(Table1[[#This Row],[High Tol]]="","N/A",IFERROR(ABS(Table1[[#This Row],[Tol Span]]/Table1[[#This Row],[Error Span]]),"N/A"))</f>
        <v>N/A</v>
      </c>
      <c r="T2801" s="1" t="str">
        <f>IF(OR(Table1[[#This Row],[Low Tol]]="",Table1[[#This Row],[High Tol]]=""),"Needs Analysis",IF(Table1[[#This Row],[Ratio]]&gt;=4,"Not Significant",IF(Table1[[#This Row],[Ratio]]&gt;=2,"Semi-Significant","Significant")))</f>
        <v>Needs Analysis</v>
      </c>
      <c r="W2801" s="1">
        <f>IF(Table1[[#This Row],[Cal Type]]&lt;&gt;"ACCREDITED 17025 WITH UNCERTAINTIES",0,"")</f>
        <v>0</v>
      </c>
      <c r="X2801" s="1" t="str">
        <f>IF(Table1[[#This Row],[DUT Read]]="","N/A",Table1[[#This Row],[Std Error]]+Table1[[#This Row],[DUT Read]]+Table1[[#This Row],[DUT Ucty]])</f>
        <v>N/A</v>
      </c>
      <c r="Y2801" s="1" t="str">
        <f>IF(Table1[[#This Row],[Std Read]]="","N/A",Table1[[#This Row],[Std Read]]+Table1[[#This Row],[Std Ucty]])</f>
        <v>N/A</v>
      </c>
      <c r="Z28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1" s="1" t="str">
        <f>IF(Table1[[#This Row],[Spec Type]]="","N/A",Table1[[#This Row],[Spec Type]])</f>
        <v>±</v>
      </c>
      <c r="AC2801" s="1" t="str">
        <f>IF(Table1[[#This Row],[Spec Type2]]="N/A","N/A",IF(AND(Table1[[#This Row],[DUT Adj Read]]&gt;=Table1[[#This Row],[Low Tol]],Table1[[#This Row],[DUT Adj Read]]&lt;=Table1[[#This Row],[High Tol]]),"Pass","Fail"))</f>
        <v>Fail</v>
      </c>
      <c r="AD2801" s="1" t="str">
        <f>IF(AND(Table1[[#This Row],[Spec Type2]]="N/A",Table1[[#This Row],[DUT Adj Read]]="N/A",Table1[[#This Row],[Std Adj Read]]="N/A"),"N/A",IF(Table1[[#This Row],[DUT Adj Read]]="N/A",IF(Table1[[#This Row],[Std Adj Read]]&gt;Table1[[#This Row],[Low Tol]],"Pass","Fail"),IF(Table1[[#This Row],[DUT Adj Read]]&gt;Table1[[#This Row],[Low Tol]],"Pass","Fail")))</f>
        <v>Pass</v>
      </c>
      <c r="AE2801" s="1" t="str">
        <f>IF(AND(Table1[[#This Row],[Spec Type2]]="N/A",Table1[[#This Row],[DUT Adj Read]]="N/A",Table1[[#This Row],[Std Adj Read]]="N/A"),"N/A",IF(Table1[[#This Row],[DUT Adj Read]]="N/A",IF(Table1[[#This Row],[Std Adj Read]]&lt;Table1[[#This Row],[High Tol]],"Pass","Fail"),IF(Table1[[#This Row],[DUT Adj Read]]&lt;Table1[[#This Row],[High Tol]],"Pass","Fail")))</f>
        <v>Fail</v>
      </c>
      <c r="AF2801" s="1" t="str">
        <f>IF(AND(Table1[[#This Row],[Spec Type2]]="N/A",Table1[[#This Row],[DUT Adj Read]]="N/A",Table1[[#This Row],[Std Adj Read]]="N/A"),"N/A",IF(Table1[[#This Row],[DUT Adj Read]]="N/A",IF(Table1[[#This Row],[Std Adj Read]]&gt;=Table1[[#This Row],[Low Tol]],"Pass","Fail"),IF(Table1[[#This Row],[DUT Adj Read]]&gt;=Table1[[#This Row],[Low Tol]],"Pass","Fail")))</f>
        <v>Pass</v>
      </c>
      <c r="AG2801" s="1" t="str">
        <f>IF(AND(Table1[[#This Row],[Spec Type2]]="N/A",Table1[[#This Row],[DUT Adj Read]]="N/A",Table1[[#This Row],[Std Adj Read]]="N/A"),"N/A",IF(Table1[[#This Row],[DUT Adj Read]]="N/A",IF(Table1[[#This Row],[Std Adj Read]]&lt;=Table1[[#This Row],[High Tol]],"Pass","Fail"),IF(Table1[[#This Row],[DUT Adj Read]]&lt;=Table1[[#This Row],[High Tol]],"Pass","Fail")))</f>
        <v>Fail</v>
      </c>
      <c r="AH28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1" s="1" t="b">
        <v>0</v>
      </c>
      <c r="AN2801" s="1" t="b">
        <v>0</v>
      </c>
      <c r="AO2801" s="1" t="b">
        <v>0</v>
      </c>
    </row>
    <row r="2802" spans="1:41" x14ac:dyDescent="0.25">
      <c r="A2802" s="10"/>
      <c r="B2802" s="10"/>
      <c r="C2802" s="10"/>
      <c r="D2802" s="10"/>
      <c r="E2802" s="10"/>
      <c r="F2802" s="10"/>
      <c r="G2802" s="10"/>
      <c r="H2802" s="10"/>
      <c r="I2802" s="1" t="str">
        <f t="shared" si="129"/>
        <v/>
      </c>
      <c r="J2802" s="1" t="s">
        <v>35</v>
      </c>
      <c r="K2802" s="1" t="str">
        <f t="shared" si="130"/>
        <v/>
      </c>
      <c r="L2802" s="1" t="str">
        <f t="shared" si="131"/>
        <v/>
      </c>
      <c r="M2802" s="1">
        <f>IF(OR(Table1[[#This Row],[Std Nom]]="",Table1[[#This Row],[Std Read]]=""),0,Table1[[#This Row],[Std Nom]]-Table1[[#This Row],[Std Read]])</f>
        <v>0</v>
      </c>
      <c r="N2802" s="1">
        <f>IF(Calculations!$F$5="ACCREDITED 17025 WITH UNCERTAINTIES",$N$10,0)</f>
        <v>0</v>
      </c>
      <c r="Q2802" s="1">
        <f>Table1[[#This Row],[High Tol]]-Table1[[#This Row],[Low Tol]]</f>
        <v>0</v>
      </c>
      <c r="R2802" s="1">
        <f>2*Table1[[#This Row],[Std Error]]</f>
        <v>0</v>
      </c>
      <c r="S2802" s="1" t="str">
        <f>IF(Table1[[#This Row],[High Tol]]="","N/A",IFERROR(ABS(Table1[[#This Row],[Tol Span]]/Table1[[#This Row],[Error Span]]),"N/A"))</f>
        <v>N/A</v>
      </c>
      <c r="T2802" s="1" t="str">
        <f>IF(OR(Table1[[#This Row],[Low Tol]]="",Table1[[#This Row],[High Tol]]=""),"Needs Analysis",IF(Table1[[#This Row],[Ratio]]&gt;=4,"Not Significant",IF(Table1[[#This Row],[Ratio]]&gt;=2,"Semi-Significant","Significant")))</f>
        <v>Needs Analysis</v>
      </c>
      <c r="W2802" s="1">
        <f>IF(Table1[[#This Row],[Cal Type]]&lt;&gt;"ACCREDITED 17025 WITH UNCERTAINTIES",0,"")</f>
        <v>0</v>
      </c>
      <c r="X2802" s="1" t="str">
        <f>IF(Table1[[#This Row],[DUT Read]]="","N/A",Table1[[#This Row],[Std Error]]+Table1[[#This Row],[DUT Read]]+Table1[[#This Row],[DUT Ucty]])</f>
        <v>N/A</v>
      </c>
      <c r="Y2802" s="1" t="str">
        <f>IF(Table1[[#This Row],[Std Read]]="","N/A",Table1[[#This Row],[Std Read]]+Table1[[#This Row],[Std Ucty]])</f>
        <v>N/A</v>
      </c>
      <c r="Z28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2" s="1" t="str">
        <f>IF(Table1[[#This Row],[Spec Type]]="","N/A",Table1[[#This Row],[Spec Type]])</f>
        <v>±</v>
      </c>
      <c r="AC2802" s="1" t="str">
        <f>IF(Table1[[#This Row],[Spec Type2]]="N/A","N/A",IF(AND(Table1[[#This Row],[DUT Adj Read]]&gt;=Table1[[#This Row],[Low Tol]],Table1[[#This Row],[DUT Adj Read]]&lt;=Table1[[#This Row],[High Tol]]),"Pass","Fail"))</f>
        <v>Fail</v>
      </c>
      <c r="AD2802" s="1" t="str">
        <f>IF(AND(Table1[[#This Row],[Spec Type2]]="N/A",Table1[[#This Row],[DUT Adj Read]]="N/A",Table1[[#This Row],[Std Adj Read]]="N/A"),"N/A",IF(Table1[[#This Row],[DUT Adj Read]]="N/A",IF(Table1[[#This Row],[Std Adj Read]]&gt;Table1[[#This Row],[Low Tol]],"Pass","Fail"),IF(Table1[[#This Row],[DUT Adj Read]]&gt;Table1[[#This Row],[Low Tol]],"Pass","Fail")))</f>
        <v>Pass</v>
      </c>
      <c r="AE2802" s="1" t="str">
        <f>IF(AND(Table1[[#This Row],[Spec Type2]]="N/A",Table1[[#This Row],[DUT Adj Read]]="N/A",Table1[[#This Row],[Std Adj Read]]="N/A"),"N/A",IF(Table1[[#This Row],[DUT Adj Read]]="N/A",IF(Table1[[#This Row],[Std Adj Read]]&lt;Table1[[#This Row],[High Tol]],"Pass","Fail"),IF(Table1[[#This Row],[DUT Adj Read]]&lt;Table1[[#This Row],[High Tol]],"Pass","Fail")))</f>
        <v>Fail</v>
      </c>
      <c r="AF2802" s="1" t="str">
        <f>IF(AND(Table1[[#This Row],[Spec Type2]]="N/A",Table1[[#This Row],[DUT Adj Read]]="N/A",Table1[[#This Row],[Std Adj Read]]="N/A"),"N/A",IF(Table1[[#This Row],[DUT Adj Read]]="N/A",IF(Table1[[#This Row],[Std Adj Read]]&gt;=Table1[[#This Row],[Low Tol]],"Pass","Fail"),IF(Table1[[#This Row],[DUT Adj Read]]&gt;=Table1[[#This Row],[Low Tol]],"Pass","Fail")))</f>
        <v>Pass</v>
      </c>
      <c r="AG2802" s="1" t="str">
        <f>IF(AND(Table1[[#This Row],[Spec Type2]]="N/A",Table1[[#This Row],[DUT Adj Read]]="N/A",Table1[[#This Row],[Std Adj Read]]="N/A"),"N/A",IF(Table1[[#This Row],[DUT Adj Read]]="N/A",IF(Table1[[#This Row],[Std Adj Read]]&lt;=Table1[[#This Row],[High Tol]],"Pass","Fail"),IF(Table1[[#This Row],[DUT Adj Read]]&lt;=Table1[[#This Row],[High Tol]],"Pass","Fail")))</f>
        <v>Fail</v>
      </c>
      <c r="AH28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2" s="1" t="b">
        <v>0</v>
      </c>
      <c r="AN2802" s="1" t="b">
        <v>0</v>
      </c>
      <c r="AO2802" s="1" t="b">
        <v>0</v>
      </c>
    </row>
    <row r="2803" spans="1:41" x14ac:dyDescent="0.25">
      <c r="A2803" s="10"/>
      <c r="B2803" s="10"/>
      <c r="C2803" s="10"/>
      <c r="D2803" s="10"/>
      <c r="E2803" s="10"/>
      <c r="F2803" s="10"/>
      <c r="G2803" s="10"/>
      <c r="H2803" s="10"/>
      <c r="I2803" s="1" t="str">
        <f t="shared" si="129"/>
        <v/>
      </c>
      <c r="J2803" s="1" t="s">
        <v>35</v>
      </c>
      <c r="K2803" s="1" t="str">
        <f t="shared" si="130"/>
        <v/>
      </c>
      <c r="L2803" s="1" t="str">
        <f t="shared" si="131"/>
        <v/>
      </c>
      <c r="M2803" s="1">
        <f>IF(OR(Table1[[#This Row],[Std Nom]]="",Table1[[#This Row],[Std Read]]=""),0,Table1[[#This Row],[Std Nom]]-Table1[[#This Row],[Std Read]])</f>
        <v>0</v>
      </c>
      <c r="N2803" s="1">
        <f>IF(Calculations!$F$5="ACCREDITED 17025 WITH UNCERTAINTIES",$N$10,0)</f>
        <v>0</v>
      </c>
      <c r="Q2803" s="1">
        <f>Table1[[#This Row],[High Tol]]-Table1[[#This Row],[Low Tol]]</f>
        <v>0</v>
      </c>
      <c r="R2803" s="1">
        <f>2*Table1[[#This Row],[Std Error]]</f>
        <v>0</v>
      </c>
      <c r="S2803" s="1" t="str">
        <f>IF(Table1[[#This Row],[High Tol]]="","N/A",IFERROR(ABS(Table1[[#This Row],[Tol Span]]/Table1[[#This Row],[Error Span]]),"N/A"))</f>
        <v>N/A</v>
      </c>
      <c r="T2803" s="1" t="str">
        <f>IF(OR(Table1[[#This Row],[Low Tol]]="",Table1[[#This Row],[High Tol]]=""),"Needs Analysis",IF(Table1[[#This Row],[Ratio]]&gt;=4,"Not Significant",IF(Table1[[#This Row],[Ratio]]&gt;=2,"Semi-Significant","Significant")))</f>
        <v>Needs Analysis</v>
      </c>
      <c r="W2803" s="1">
        <f>IF(Table1[[#This Row],[Cal Type]]&lt;&gt;"ACCREDITED 17025 WITH UNCERTAINTIES",0,"")</f>
        <v>0</v>
      </c>
      <c r="X2803" s="1" t="str">
        <f>IF(Table1[[#This Row],[DUT Read]]="","N/A",Table1[[#This Row],[Std Error]]+Table1[[#This Row],[DUT Read]]+Table1[[#This Row],[DUT Ucty]])</f>
        <v>N/A</v>
      </c>
      <c r="Y2803" s="1" t="str">
        <f>IF(Table1[[#This Row],[Std Read]]="","N/A",Table1[[#This Row],[Std Read]]+Table1[[#This Row],[Std Ucty]])</f>
        <v>N/A</v>
      </c>
      <c r="Z28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3" s="1" t="str">
        <f>IF(Table1[[#This Row],[Spec Type]]="","N/A",Table1[[#This Row],[Spec Type]])</f>
        <v>±</v>
      </c>
      <c r="AC2803" s="1" t="str">
        <f>IF(Table1[[#This Row],[Spec Type2]]="N/A","N/A",IF(AND(Table1[[#This Row],[DUT Adj Read]]&gt;=Table1[[#This Row],[Low Tol]],Table1[[#This Row],[DUT Adj Read]]&lt;=Table1[[#This Row],[High Tol]]),"Pass","Fail"))</f>
        <v>Fail</v>
      </c>
      <c r="AD2803" s="1" t="str">
        <f>IF(AND(Table1[[#This Row],[Spec Type2]]="N/A",Table1[[#This Row],[DUT Adj Read]]="N/A",Table1[[#This Row],[Std Adj Read]]="N/A"),"N/A",IF(Table1[[#This Row],[DUT Adj Read]]="N/A",IF(Table1[[#This Row],[Std Adj Read]]&gt;Table1[[#This Row],[Low Tol]],"Pass","Fail"),IF(Table1[[#This Row],[DUT Adj Read]]&gt;Table1[[#This Row],[Low Tol]],"Pass","Fail")))</f>
        <v>Pass</v>
      </c>
      <c r="AE2803" s="1" t="str">
        <f>IF(AND(Table1[[#This Row],[Spec Type2]]="N/A",Table1[[#This Row],[DUT Adj Read]]="N/A",Table1[[#This Row],[Std Adj Read]]="N/A"),"N/A",IF(Table1[[#This Row],[DUT Adj Read]]="N/A",IF(Table1[[#This Row],[Std Adj Read]]&lt;Table1[[#This Row],[High Tol]],"Pass","Fail"),IF(Table1[[#This Row],[DUT Adj Read]]&lt;Table1[[#This Row],[High Tol]],"Pass","Fail")))</f>
        <v>Fail</v>
      </c>
      <c r="AF2803" s="1" t="str">
        <f>IF(AND(Table1[[#This Row],[Spec Type2]]="N/A",Table1[[#This Row],[DUT Adj Read]]="N/A",Table1[[#This Row],[Std Adj Read]]="N/A"),"N/A",IF(Table1[[#This Row],[DUT Adj Read]]="N/A",IF(Table1[[#This Row],[Std Adj Read]]&gt;=Table1[[#This Row],[Low Tol]],"Pass","Fail"),IF(Table1[[#This Row],[DUT Adj Read]]&gt;=Table1[[#This Row],[Low Tol]],"Pass","Fail")))</f>
        <v>Pass</v>
      </c>
      <c r="AG2803" s="1" t="str">
        <f>IF(AND(Table1[[#This Row],[Spec Type2]]="N/A",Table1[[#This Row],[DUT Adj Read]]="N/A",Table1[[#This Row],[Std Adj Read]]="N/A"),"N/A",IF(Table1[[#This Row],[DUT Adj Read]]="N/A",IF(Table1[[#This Row],[Std Adj Read]]&lt;=Table1[[#This Row],[High Tol]],"Pass","Fail"),IF(Table1[[#This Row],[DUT Adj Read]]&lt;=Table1[[#This Row],[High Tol]],"Pass","Fail")))</f>
        <v>Fail</v>
      </c>
      <c r="AH28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3" s="1" t="b">
        <v>0</v>
      </c>
      <c r="AN2803" s="1" t="b">
        <v>0</v>
      </c>
      <c r="AO2803" s="1" t="b">
        <v>0</v>
      </c>
    </row>
    <row r="2804" spans="1:41" x14ac:dyDescent="0.25">
      <c r="A2804" s="10"/>
      <c r="B2804" s="10"/>
      <c r="C2804" s="10"/>
      <c r="D2804" s="10"/>
      <c r="E2804" s="10"/>
      <c r="F2804" s="10"/>
      <c r="G2804" s="10"/>
      <c r="H2804" s="10"/>
      <c r="I2804" s="1" t="str">
        <f t="shared" si="129"/>
        <v/>
      </c>
      <c r="J2804" s="1" t="s">
        <v>35</v>
      </c>
      <c r="K2804" s="1" t="str">
        <f t="shared" si="130"/>
        <v/>
      </c>
      <c r="L2804" s="1" t="str">
        <f t="shared" si="131"/>
        <v/>
      </c>
      <c r="M2804" s="1">
        <f>IF(OR(Table1[[#This Row],[Std Nom]]="",Table1[[#This Row],[Std Read]]=""),0,Table1[[#This Row],[Std Nom]]-Table1[[#This Row],[Std Read]])</f>
        <v>0</v>
      </c>
      <c r="N2804" s="1">
        <f>IF(Calculations!$F$5="ACCREDITED 17025 WITH UNCERTAINTIES",$N$10,0)</f>
        <v>0</v>
      </c>
      <c r="Q2804" s="1">
        <f>Table1[[#This Row],[High Tol]]-Table1[[#This Row],[Low Tol]]</f>
        <v>0</v>
      </c>
      <c r="R2804" s="1">
        <f>2*Table1[[#This Row],[Std Error]]</f>
        <v>0</v>
      </c>
      <c r="S2804" s="1" t="str">
        <f>IF(Table1[[#This Row],[High Tol]]="","N/A",IFERROR(ABS(Table1[[#This Row],[Tol Span]]/Table1[[#This Row],[Error Span]]),"N/A"))</f>
        <v>N/A</v>
      </c>
      <c r="T2804" s="1" t="str">
        <f>IF(OR(Table1[[#This Row],[Low Tol]]="",Table1[[#This Row],[High Tol]]=""),"Needs Analysis",IF(Table1[[#This Row],[Ratio]]&gt;=4,"Not Significant",IF(Table1[[#This Row],[Ratio]]&gt;=2,"Semi-Significant","Significant")))</f>
        <v>Needs Analysis</v>
      </c>
      <c r="W2804" s="1">
        <f>IF(Table1[[#This Row],[Cal Type]]&lt;&gt;"ACCREDITED 17025 WITH UNCERTAINTIES",0,"")</f>
        <v>0</v>
      </c>
      <c r="X2804" s="1" t="str">
        <f>IF(Table1[[#This Row],[DUT Read]]="","N/A",Table1[[#This Row],[Std Error]]+Table1[[#This Row],[DUT Read]]+Table1[[#This Row],[DUT Ucty]])</f>
        <v>N/A</v>
      </c>
      <c r="Y2804" s="1" t="str">
        <f>IF(Table1[[#This Row],[Std Read]]="","N/A",Table1[[#This Row],[Std Read]]+Table1[[#This Row],[Std Ucty]])</f>
        <v>N/A</v>
      </c>
      <c r="Z28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4" s="1" t="str">
        <f>IF(Table1[[#This Row],[Spec Type]]="","N/A",Table1[[#This Row],[Spec Type]])</f>
        <v>±</v>
      </c>
      <c r="AC2804" s="1" t="str">
        <f>IF(Table1[[#This Row],[Spec Type2]]="N/A","N/A",IF(AND(Table1[[#This Row],[DUT Adj Read]]&gt;=Table1[[#This Row],[Low Tol]],Table1[[#This Row],[DUT Adj Read]]&lt;=Table1[[#This Row],[High Tol]]),"Pass","Fail"))</f>
        <v>Fail</v>
      </c>
      <c r="AD2804" s="1" t="str">
        <f>IF(AND(Table1[[#This Row],[Spec Type2]]="N/A",Table1[[#This Row],[DUT Adj Read]]="N/A",Table1[[#This Row],[Std Adj Read]]="N/A"),"N/A",IF(Table1[[#This Row],[DUT Adj Read]]="N/A",IF(Table1[[#This Row],[Std Adj Read]]&gt;Table1[[#This Row],[Low Tol]],"Pass","Fail"),IF(Table1[[#This Row],[DUT Adj Read]]&gt;Table1[[#This Row],[Low Tol]],"Pass","Fail")))</f>
        <v>Pass</v>
      </c>
      <c r="AE2804" s="1" t="str">
        <f>IF(AND(Table1[[#This Row],[Spec Type2]]="N/A",Table1[[#This Row],[DUT Adj Read]]="N/A",Table1[[#This Row],[Std Adj Read]]="N/A"),"N/A",IF(Table1[[#This Row],[DUT Adj Read]]="N/A",IF(Table1[[#This Row],[Std Adj Read]]&lt;Table1[[#This Row],[High Tol]],"Pass","Fail"),IF(Table1[[#This Row],[DUT Adj Read]]&lt;Table1[[#This Row],[High Tol]],"Pass","Fail")))</f>
        <v>Fail</v>
      </c>
      <c r="AF2804" s="1" t="str">
        <f>IF(AND(Table1[[#This Row],[Spec Type2]]="N/A",Table1[[#This Row],[DUT Adj Read]]="N/A",Table1[[#This Row],[Std Adj Read]]="N/A"),"N/A",IF(Table1[[#This Row],[DUT Adj Read]]="N/A",IF(Table1[[#This Row],[Std Adj Read]]&gt;=Table1[[#This Row],[Low Tol]],"Pass","Fail"),IF(Table1[[#This Row],[DUT Adj Read]]&gt;=Table1[[#This Row],[Low Tol]],"Pass","Fail")))</f>
        <v>Pass</v>
      </c>
      <c r="AG2804" s="1" t="str">
        <f>IF(AND(Table1[[#This Row],[Spec Type2]]="N/A",Table1[[#This Row],[DUT Adj Read]]="N/A",Table1[[#This Row],[Std Adj Read]]="N/A"),"N/A",IF(Table1[[#This Row],[DUT Adj Read]]="N/A",IF(Table1[[#This Row],[Std Adj Read]]&lt;=Table1[[#This Row],[High Tol]],"Pass","Fail"),IF(Table1[[#This Row],[DUT Adj Read]]&lt;=Table1[[#This Row],[High Tol]],"Pass","Fail")))</f>
        <v>Fail</v>
      </c>
      <c r="AH28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4" s="1" t="b">
        <v>0</v>
      </c>
      <c r="AN2804" s="1" t="b">
        <v>0</v>
      </c>
      <c r="AO2804" s="1" t="b">
        <v>0</v>
      </c>
    </row>
    <row r="2805" spans="1:41" x14ac:dyDescent="0.25">
      <c r="A2805" s="10"/>
      <c r="B2805" s="10"/>
      <c r="C2805" s="10"/>
      <c r="D2805" s="10"/>
      <c r="E2805" s="10"/>
      <c r="F2805" s="10"/>
      <c r="G2805" s="10"/>
      <c r="H2805" s="10"/>
      <c r="I2805" s="1" t="str">
        <f t="shared" si="129"/>
        <v/>
      </c>
      <c r="J2805" s="1" t="s">
        <v>35</v>
      </c>
      <c r="K2805" s="1" t="str">
        <f t="shared" si="130"/>
        <v/>
      </c>
      <c r="L2805" s="1" t="str">
        <f t="shared" si="131"/>
        <v/>
      </c>
      <c r="M2805" s="1">
        <f>IF(OR(Table1[[#This Row],[Std Nom]]="",Table1[[#This Row],[Std Read]]=""),0,Table1[[#This Row],[Std Nom]]-Table1[[#This Row],[Std Read]])</f>
        <v>0</v>
      </c>
      <c r="N2805" s="1">
        <f>IF(Calculations!$F$5="ACCREDITED 17025 WITH UNCERTAINTIES",$N$10,0)</f>
        <v>0</v>
      </c>
      <c r="Q2805" s="1">
        <f>Table1[[#This Row],[High Tol]]-Table1[[#This Row],[Low Tol]]</f>
        <v>0</v>
      </c>
      <c r="R2805" s="1">
        <f>2*Table1[[#This Row],[Std Error]]</f>
        <v>0</v>
      </c>
      <c r="S2805" s="1" t="str">
        <f>IF(Table1[[#This Row],[High Tol]]="","N/A",IFERROR(ABS(Table1[[#This Row],[Tol Span]]/Table1[[#This Row],[Error Span]]),"N/A"))</f>
        <v>N/A</v>
      </c>
      <c r="T2805" s="1" t="str">
        <f>IF(OR(Table1[[#This Row],[Low Tol]]="",Table1[[#This Row],[High Tol]]=""),"Needs Analysis",IF(Table1[[#This Row],[Ratio]]&gt;=4,"Not Significant",IF(Table1[[#This Row],[Ratio]]&gt;=2,"Semi-Significant","Significant")))</f>
        <v>Needs Analysis</v>
      </c>
      <c r="W2805" s="1">
        <f>IF(Table1[[#This Row],[Cal Type]]&lt;&gt;"ACCREDITED 17025 WITH UNCERTAINTIES",0,"")</f>
        <v>0</v>
      </c>
      <c r="X2805" s="1" t="str">
        <f>IF(Table1[[#This Row],[DUT Read]]="","N/A",Table1[[#This Row],[Std Error]]+Table1[[#This Row],[DUT Read]]+Table1[[#This Row],[DUT Ucty]])</f>
        <v>N/A</v>
      </c>
      <c r="Y2805" s="1" t="str">
        <f>IF(Table1[[#This Row],[Std Read]]="","N/A",Table1[[#This Row],[Std Read]]+Table1[[#This Row],[Std Ucty]])</f>
        <v>N/A</v>
      </c>
      <c r="Z28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5" s="1" t="str">
        <f>IF(Table1[[#This Row],[Spec Type]]="","N/A",Table1[[#This Row],[Spec Type]])</f>
        <v>±</v>
      </c>
      <c r="AC2805" s="1" t="str">
        <f>IF(Table1[[#This Row],[Spec Type2]]="N/A","N/A",IF(AND(Table1[[#This Row],[DUT Adj Read]]&gt;=Table1[[#This Row],[Low Tol]],Table1[[#This Row],[DUT Adj Read]]&lt;=Table1[[#This Row],[High Tol]]),"Pass","Fail"))</f>
        <v>Fail</v>
      </c>
      <c r="AD2805" s="1" t="str">
        <f>IF(AND(Table1[[#This Row],[Spec Type2]]="N/A",Table1[[#This Row],[DUT Adj Read]]="N/A",Table1[[#This Row],[Std Adj Read]]="N/A"),"N/A",IF(Table1[[#This Row],[DUT Adj Read]]="N/A",IF(Table1[[#This Row],[Std Adj Read]]&gt;Table1[[#This Row],[Low Tol]],"Pass","Fail"),IF(Table1[[#This Row],[DUT Adj Read]]&gt;Table1[[#This Row],[Low Tol]],"Pass","Fail")))</f>
        <v>Pass</v>
      </c>
      <c r="AE2805" s="1" t="str">
        <f>IF(AND(Table1[[#This Row],[Spec Type2]]="N/A",Table1[[#This Row],[DUT Adj Read]]="N/A",Table1[[#This Row],[Std Adj Read]]="N/A"),"N/A",IF(Table1[[#This Row],[DUT Adj Read]]="N/A",IF(Table1[[#This Row],[Std Adj Read]]&lt;Table1[[#This Row],[High Tol]],"Pass","Fail"),IF(Table1[[#This Row],[DUT Adj Read]]&lt;Table1[[#This Row],[High Tol]],"Pass","Fail")))</f>
        <v>Fail</v>
      </c>
      <c r="AF2805" s="1" t="str">
        <f>IF(AND(Table1[[#This Row],[Spec Type2]]="N/A",Table1[[#This Row],[DUT Adj Read]]="N/A",Table1[[#This Row],[Std Adj Read]]="N/A"),"N/A",IF(Table1[[#This Row],[DUT Adj Read]]="N/A",IF(Table1[[#This Row],[Std Adj Read]]&gt;=Table1[[#This Row],[Low Tol]],"Pass","Fail"),IF(Table1[[#This Row],[DUT Adj Read]]&gt;=Table1[[#This Row],[Low Tol]],"Pass","Fail")))</f>
        <v>Pass</v>
      </c>
      <c r="AG2805" s="1" t="str">
        <f>IF(AND(Table1[[#This Row],[Spec Type2]]="N/A",Table1[[#This Row],[DUT Adj Read]]="N/A",Table1[[#This Row],[Std Adj Read]]="N/A"),"N/A",IF(Table1[[#This Row],[DUT Adj Read]]="N/A",IF(Table1[[#This Row],[Std Adj Read]]&lt;=Table1[[#This Row],[High Tol]],"Pass","Fail"),IF(Table1[[#This Row],[DUT Adj Read]]&lt;=Table1[[#This Row],[High Tol]],"Pass","Fail")))</f>
        <v>Fail</v>
      </c>
      <c r="AH28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5" s="1" t="b">
        <v>0</v>
      </c>
      <c r="AN2805" s="1" t="b">
        <v>0</v>
      </c>
      <c r="AO2805" s="1" t="b">
        <v>0</v>
      </c>
    </row>
    <row r="2806" spans="1:41" x14ac:dyDescent="0.25">
      <c r="A2806" s="10"/>
      <c r="B2806" s="10"/>
      <c r="C2806" s="10"/>
      <c r="D2806" s="10"/>
      <c r="E2806" s="10"/>
      <c r="F2806" s="10"/>
      <c r="G2806" s="10"/>
      <c r="H2806" s="10"/>
      <c r="I2806" s="1" t="str">
        <f t="shared" si="129"/>
        <v/>
      </c>
      <c r="J2806" s="1" t="s">
        <v>35</v>
      </c>
      <c r="K2806" s="1" t="str">
        <f t="shared" si="130"/>
        <v/>
      </c>
      <c r="L2806" s="1" t="str">
        <f t="shared" si="131"/>
        <v/>
      </c>
      <c r="M2806" s="1">
        <f>IF(OR(Table1[[#This Row],[Std Nom]]="",Table1[[#This Row],[Std Read]]=""),0,Table1[[#This Row],[Std Nom]]-Table1[[#This Row],[Std Read]])</f>
        <v>0</v>
      </c>
      <c r="N2806" s="1">
        <f>IF(Calculations!$F$5="ACCREDITED 17025 WITH UNCERTAINTIES",$N$10,0)</f>
        <v>0</v>
      </c>
      <c r="Q2806" s="1">
        <f>Table1[[#This Row],[High Tol]]-Table1[[#This Row],[Low Tol]]</f>
        <v>0</v>
      </c>
      <c r="R2806" s="1">
        <f>2*Table1[[#This Row],[Std Error]]</f>
        <v>0</v>
      </c>
      <c r="S2806" s="1" t="str">
        <f>IF(Table1[[#This Row],[High Tol]]="","N/A",IFERROR(ABS(Table1[[#This Row],[Tol Span]]/Table1[[#This Row],[Error Span]]),"N/A"))</f>
        <v>N/A</v>
      </c>
      <c r="T2806" s="1" t="str">
        <f>IF(OR(Table1[[#This Row],[Low Tol]]="",Table1[[#This Row],[High Tol]]=""),"Needs Analysis",IF(Table1[[#This Row],[Ratio]]&gt;=4,"Not Significant",IF(Table1[[#This Row],[Ratio]]&gt;=2,"Semi-Significant","Significant")))</f>
        <v>Needs Analysis</v>
      </c>
      <c r="W2806" s="1">
        <f>IF(Table1[[#This Row],[Cal Type]]&lt;&gt;"ACCREDITED 17025 WITH UNCERTAINTIES",0,"")</f>
        <v>0</v>
      </c>
      <c r="X2806" s="1" t="str">
        <f>IF(Table1[[#This Row],[DUT Read]]="","N/A",Table1[[#This Row],[Std Error]]+Table1[[#This Row],[DUT Read]]+Table1[[#This Row],[DUT Ucty]])</f>
        <v>N/A</v>
      </c>
      <c r="Y2806" s="1" t="str">
        <f>IF(Table1[[#This Row],[Std Read]]="","N/A",Table1[[#This Row],[Std Read]]+Table1[[#This Row],[Std Ucty]])</f>
        <v>N/A</v>
      </c>
      <c r="Z28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6" s="1" t="str">
        <f>IF(Table1[[#This Row],[Spec Type]]="","N/A",Table1[[#This Row],[Spec Type]])</f>
        <v>±</v>
      </c>
      <c r="AC2806" s="1" t="str">
        <f>IF(Table1[[#This Row],[Spec Type2]]="N/A","N/A",IF(AND(Table1[[#This Row],[DUT Adj Read]]&gt;=Table1[[#This Row],[Low Tol]],Table1[[#This Row],[DUT Adj Read]]&lt;=Table1[[#This Row],[High Tol]]),"Pass","Fail"))</f>
        <v>Fail</v>
      </c>
      <c r="AD2806" s="1" t="str">
        <f>IF(AND(Table1[[#This Row],[Spec Type2]]="N/A",Table1[[#This Row],[DUT Adj Read]]="N/A",Table1[[#This Row],[Std Adj Read]]="N/A"),"N/A",IF(Table1[[#This Row],[DUT Adj Read]]="N/A",IF(Table1[[#This Row],[Std Adj Read]]&gt;Table1[[#This Row],[Low Tol]],"Pass","Fail"),IF(Table1[[#This Row],[DUT Adj Read]]&gt;Table1[[#This Row],[Low Tol]],"Pass","Fail")))</f>
        <v>Pass</v>
      </c>
      <c r="AE2806" s="1" t="str">
        <f>IF(AND(Table1[[#This Row],[Spec Type2]]="N/A",Table1[[#This Row],[DUT Adj Read]]="N/A",Table1[[#This Row],[Std Adj Read]]="N/A"),"N/A",IF(Table1[[#This Row],[DUT Adj Read]]="N/A",IF(Table1[[#This Row],[Std Adj Read]]&lt;Table1[[#This Row],[High Tol]],"Pass","Fail"),IF(Table1[[#This Row],[DUT Adj Read]]&lt;Table1[[#This Row],[High Tol]],"Pass","Fail")))</f>
        <v>Fail</v>
      </c>
      <c r="AF2806" s="1" t="str">
        <f>IF(AND(Table1[[#This Row],[Spec Type2]]="N/A",Table1[[#This Row],[DUT Adj Read]]="N/A",Table1[[#This Row],[Std Adj Read]]="N/A"),"N/A",IF(Table1[[#This Row],[DUT Adj Read]]="N/A",IF(Table1[[#This Row],[Std Adj Read]]&gt;=Table1[[#This Row],[Low Tol]],"Pass","Fail"),IF(Table1[[#This Row],[DUT Adj Read]]&gt;=Table1[[#This Row],[Low Tol]],"Pass","Fail")))</f>
        <v>Pass</v>
      </c>
      <c r="AG2806" s="1" t="str">
        <f>IF(AND(Table1[[#This Row],[Spec Type2]]="N/A",Table1[[#This Row],[DUT Adj Read]]="N/A",Table1[[#This Row],[Std Adj Read]]="N/A"),"N/A",IF(Table1[[#This Row],[DUT Adj Read]]="N/A",IF(Table1[[#This Row],[Std Adj Read]]&lt;=Table1[[#This Row],[High Tol]],"Pass","Fail"),IF(Table1[[#This Row],[DUT Adj Read]]&lt;=Table1[[#This Row],[High Tol]],"Pass","Fail")))</f>
        <v>Fail</v>
      </c>
      <c r="AH28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6" s="1" t="b">
        <v>0</v>
      </c>
      <c r="AN2806" s="1" t="b">
        <v>0</v>
      </c>
      <c r="AO2806" s="1" t="b">
        <v>0</v>
      </c>
    </row>
    <row r="2807" spans="1:41" x14ac:dyDescent="0.25">
      <c r="A2807" s="10"/>
      <c r="B2807" s="10"/>
      <c r="C2807" s="10"/>
      <c r="D2807" s="10"/>
      <c r="E2807" s="10"/>
      <c r="F2807" s="10"/>
      <c r="G2807" s="10"/>
      <c r="H2807" s="10"/>
      <c r="I2807" s="1" t="str">
        <f t="shared" si="129"/>
        <v/>
      </c>
      <c r="J2807" s="1" t="s">
        <v>35</v>
      </c>
      <c r="K2807" s="1" t="str">
        <f t="shared" si="130"/>
        <v/>
      </c>
      <c r="L2807" s="1" t="str">
        <f t="shared" si="131"/>
        <v/>
      </c>
      <c r="M2807" s="1">
        <f>IF(OR(Table1[[#This Row],[Std Nom]]="",Table1[[#This Row],[Std Read]]=""),0,Table1[[#This Row],[Std Nom]]-Table1[[#This Row],[Std Read]])</f>
        <v>0</v>
      </c>
      <c r="N2807" s="1">
        <f>IF(Calculations!$F$5="ACCREDITED 17025 WITH UNCERTAINTIES",$N$10,0)</f>
        <v>0</v>
      </c>
      <c r="Q2807" s="1">
        <f>Table1[[#This Row],[High Tol]]-Table1[[#This Row],[Low Tol]]</f>
        <v>0</v>
      </c>
      <c r="R2807" s="1">
        <f>2*Table1[[#This Row],[Std Error]]</f>
        <v>0</v>
      </c>
      <c r="S2807" s="1" t="str">
        <f>IF(Table1[[#This Row],[High Tol]]="","N/A",IFERROR(ABS(Table1[[#This Row],[Tol Span]]/Table1[[#This Row],[Error Span]]),"N/A"))</f>
        <v>N/A</v>
      </c>
      <c r="T2807" s="1" t="str">
        <f>IF(OR(Table1[[#This Row],[Low Tol]]="",Table1[[#This Row],[High Tol]]=""),"Needs Analysis",IF(Table1[[#This Row],[Ratio]]&gt;=4,"Not Significant",IF(Table1[[#This Row],[Ratio]]&gt;=2,"Semi-Significant","Significant")))</f>
        <v>Needs Analysis</v>
      </c>
      <c r="W2807" s="1">
        <f>IF(Table1[[#This Row],[Cal Type]]&lt;&gt;"ACCREDITED 17025 WITH UNCERTAINTIES",0,"")</f>
        <v>0</v>
      </c>
      <c r="X2807" s="1" t="str">
        <f>IF(Table1[[#This Row],[DUT Read]]="","N/A",Table1[[#This Row],[Std Error]]+Table1[[#This Row],[DUT Read]]+Table1[[#This Row],[DUT Ucty]])</f>
        <v>N/A</v>
      </c>
      <c r="Y2807" s="1" t="str">
        <f>IF(Table1[[#This Row],[Std Read]]="","N/A",Table1[[#This Row],[Std Read]]+Table1[[#This Row],[Std Ucty]])</f>
        <v>N/A</v>
      </c>
      <c r="Z28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7" s="1" t="str">
        <f>IF(Table1[[#This Row],[Spec Type]]="","N/A",Table1[[#This Row],[Spec Type]])</f>
        <v>±</v>
      </c>
      <c r="AC2807" s="1" t="str">
        <f>IF(Table1[[#This Row],[Spec Type2]]="N/A","N/A",IF(AND(Table1[[#This Row],[DUT Adj Read]]&gt;=Table1[[#This Row],[Low Tol]],Table1[[#This Row],[DUT Adj Read]]&lt;=Table1[[#This Row],[High Tol]]),"Pass","Fail"))</f>
        <v>Fail</v>
      </c>
      <c r="AD2807" s="1" t="str">
        <f>IF(AND(Table1[[#This Row],[Spec Type2]]="N/A",Table1[[#This Row],[DUT Adj Read]]="N/A",Table1[[#This Row],[Std Adj Read]]="N/A"),"N/A",IF(Table1[[#This Row],[DUT Adj Read]]="N/A",IF(Table1[[#This Row],[Std Adj Read]]&gt;Table1[[#This Row],[Low Tol]],"Pass","Fail"),IF(Table1[[#This Row],[DUT Adj Read]]&gt;Table1[[#This Row],[Low Tol]],"Pass","Fail")))</f>
        <v>Pass</v>
      </c>
      <c r="AE2807" s="1" t="str">
        <f>IF(AND(Table1[[#This Row],[Spec Type2]]="N/A",Table1[[#This Row],[DUT Adj Read]]="N/A",Table1[[#This Row],[Std Adj Read]]="N/A"),"N/A",IF(Table1[[#This Row],[DUT Adj Read]]="N/A",IF(Table1[[#This Row],[Std Adj Read]]&lt;Table1[[#This Row],[High Tol]],"Pass","Fail"),IF(Table1[[#This Row],[DUT Adj Read]]&lt;Table1[[#This Row],[High Tol]],"Pass","Fail")))</f>
        <v>Fail</v>
      </c>
      <c r="AF2807" s="1" t="str">
        <f>IF(AND(Table1[[#This Row],[Spec Type2]]="N/A",Table1[[#This Row],[DUT Adj Read]]="N/A",Table1[[#This Row],[Std Adj Read]]="N/A"),"N/A",IF(Table1[[#This Row],[DUT Adj Read]]="N/A",IF(Table1[[#This Row],[Std Adj Read]]&gt;=Table1[[#This Row],[Low Tol]],"Pass","Fail"),IF(Table1[[#This Row],[DUT Adj Read]]&gt;=Table1[[#This Row],[Low Tol]],"Pass","Fail")))</f>
        <v>Pass</v>
      </c>
      <c r="AG2807" s="1" t="str">
        <f>IF(AND(Table1[[#This Row],[Spec Type2]]="N/A",Table1[[#This Row],[DUT Adj Read]]="N/A",Table1[[#This Row],[Std Adj Read]]="N/A"),"N/A",IF(Table1[[#This Row],[DUT Adj Read]]="N/A",IF(Table1[[#This Row],[Std Adj Read]]&lt;=Table1[[#This Row],[High Tol]],"Pass","Fail"),IF(Table1[[#This Row],[DUT Adj Read]]&lt;=Table1[[#This Row],[High Tol]],"Pass","Fail")))</f>
        <v>Fail</v>
      </c>
      <c r="AH28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7" s="1" t="b">
        <v>0</v>
      </c>
      <c r="AN2807" s="1" t="b">
        <v>0</v>
      </c>
      <c r="AO2807" s="1" t="b">
        <v>0</v>
      </c>
    </row>
    <row r="2808" spans="1:41" x14ac:dyDescent="0.25">
      <c r="A2808" s="10"/>
      <c r="B2808" s="10"/>
      <c r="C2808" s="10"/>
      <c r="D2808" s="10"/>
      <c r="E2808" s="10"/>
      <c r="F2808" s="10"/>
      <c r="G2808" s="10"/>
      <c r="H2808" s="10"/>
      <c r="I2808" s="1" t="str">
        <f t="shared" si="129"/>
        <v/>
      </c>
      <c r="J2808" s="1" t="s">
        <v>35</v>
      </c>
      <c r="K2808" s="1" t="str">
        <f t="shared" si="130"/>
        <v/>
      </c>
      <c r="L2808" s="1" t="str">
        <f t="shared" si="131"/>
        <v/>
      </c>
      <c r="M2808" s="1">
        <f>IF(OR(Table1[[#This Row],[Std Nom]]="",Table1[[#This Row],[Std Read]]=""),0,Table1[[#This Row],[Std Nom]]-Table1[[#This Row],[Std Read]])</f>
        <v>0</v>
      </c>
      <c r="N2808" s="1">
        <f>IF(Calculations!$F$5="ACCREDITED 17025 WITH UNCERTAINTIES",$N$10,0)</f>
        <v>0</v>
      </c>
      <c r="Q2808" s="1">
        <f>Table1[[#This Row],[High Tol]]-Table1[[#This Row],[Low Tol]]</f>
        <v>0</v>
      </c>
      <c r="R2808" s="1">
        <f>2*Table1[[#This Row],[Std Error]]</f>
        <v>0</v>
      </c>
      <c r="S2808" s="1" t="str">
        <f>IF(Table1[[#This Row],[High Tol]]="","N/A",IFERROR(ABS(Table1[[#This Row],[Tol Span]]/Table1[[#This Row],[Error Span]]),"N/A"))</f>
        <v>N/A</v>
      </c>
      <c r="T2808" s="1" t="str">
        <f>IF(OR(Table1[[#This Row],[Low Tol]]="",Table1[[#This Row],[High Tol]]=""),"Needs Analysis",IF(Table1[[#This Row],[Ratio]]&gt;=4,"Not Significant",IF(Table1[[#This Row],[Ratio]]&gt;=2,"Semi-Significant","Significant")))</f>
        <v>Needs Analysis</v>
      </c>
      <c r="W2808" s="1">
        <f>IF(Table1[[#This Row],[Cal Type]]&lt;&gt;"ACCREDITED 17025 WITH UNCERTAINTIES",0,"")</f>
        <v>0</v>
      </c>
      <c r="X2808" s="1" t="str">
        <f>IF(Table1[[#This Row],[DUT Read]]="","N/A",Table1[[#This Row],[Std Error]]+Table1[[#This Row],[DUT Read]]+Table1[[#This Row],[DUT Ucty]])</f>
        <v>N/A</v>
      </c>
      <c r="Y2808" s="1" t="str">
        <f>IF(Table1[[#This Row],[Std Read]]="","N/A",Table1[[#This Row],[Std Read]]+Table1[[#This Row],[Std Ucty]])</f>
        <v>N/A</v>
      </c>
      <c r="Z28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8" s="1" t="str">
        <f>IF(Table1[[#This Row],[Spec Type]]="","N/A",Table1[[#This Row],[Spec Type]])</f>
        <v>±</v>
      </c>
      <c r="AC2808" s="1" t="str">
        <f>IF(Table1[[#This Row],[Spec Type2]]="N/A","N/A",IF(AND(Table1[[#This Row],[DUT Adj Read]]&gt;=Table1[[#This Row],[Low Tol]],Table1[[#This Row],[DUT Adj Read]]&lt;=Table1[[#This Row],[High Tol]]),"Pass","Fail"))</f>
        <v>Fail</v>
      </c>
      <c r="AD2808" s="1" t="str">
        <f>IF(AND(Table1[[#This Row],[Spec Type2]]="N/A",Table1[[#This Row],[DUT Adj Read]]="N/A",Table1[[#This Row],[Std Adj Read]]="N/A"),"N/A",IF(Table1[[#This Row],[DUT Adj Read]]="N/A",IF(Table1[[#This Row],[Std Adj Read]]&gt;Table1[[#This Row],[Low Tol]],"Pass","Fail"),IF(Table1[[#This Row],[DUT Adj Read]]&gt;Table1[[#This Row],[Low Tol]],"Pass","Fail")))</f>
        <v>Pass</v>
      </c>
      <c r="AE2808" s="1" t="str">
        <f>IF(AND(Table1[[#This Row],[Spec Type2]]="N/A",Table1[[#This Row],[DUT Adj Read]]="N/A",Table1[[#This Row],[Std Adj Read]]="N/A"),"N/A",IF(Table1[[#This Row],[DUT Adj Read]]="N/A",IF(Table1[[#This Row],[Std Adj Read]]&lt;Table1[[#This Row],[High Tol]],"Pass","Fail"),IF(Table1[[#This Row],[DUT Adj Read]]&lt;Table1[[#This Row],[High Tol]],"Pass","Fail")))</f>
        <v>Fail</v>
      </c>
      <c r="AF2808" s="1" t="str">
        <f>IF(AND(Table1[[#This Row],[Spec Type2]]="N/A",Table1[[#This Row],[DUT Adj Read]]="N/A",Table1[[#This Row],[Std Adj Read]]="N/A"),"N/A",IF(Table1[[#This Row],[DUT Adj Read]]="N/A",IF(Table1[[#This Row],[Std Adj Read]]&gt;=Table1[[#This Row],[Low Tol]],"Pass","Fail"),IF(Table1[[#This Row],[DUT Adj Read]]&gt;=Table1[[#This Row],[Low Tol]],"Pass","Fail")))</f>
        <v>Pass</v>
      </c>
      <c r="AG2808" s="1" t="str">
        <f>IF(AND(Table1[[#This Row],[Spec Type2]]="N/A",Table1[[#This Row],[DUT Adj Read]]="N/A",Table1[[#This Row],[Std Adj Read]]="N/A"),"N/A",IF(Table1[[#This Row],[DUT Adj Read]]="N/A",IF(Table1[[#This Row],[Std Adj Read]]&lt;=Table1[[#This Row],[High Tol]],"Pass","Fail"),IF(Table1[[#This Row],[DUT Adj Read]]&lt;=Table1[[#This Row],[High Tol]],"Pass","Fail")))</f>
        <v>Fail</v>
      </c>
      <c r="AH28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8" s="1" t="b">
        <v>0</v>
      </c>
      <c r="AN2808" s="1" t="b">
        <v>0</v>
      </c>
      <c r="AO2808" s="1" t="b">
        <v>0</v>
      </c>
    </row>
    <row r="2809" spans="1:41" x14ac:dyDescent="0.25">
      <c r="A2809" s="10"/>
      <c r="B2809" s="10"/>
      <c r="C2809" s="10"/>
      <c r="D2809" s="10"/>
      <c r="E2809" s="10"/>
      <c r="F2809" s="10"/>
      <c r="G2809" s="10"/>
      <c r="H2809" s="10"/>
      <c r="I2809" s="1" t="str">
        <f t="shared" si="129"/>
        <v/>
      </c>
      <c r="J2809" s="1" t="s">
        <v>35</v>
      </c>
      <c r="K2809" s="1" t="str">
        <f t="shared" si="130"/>
        <v/>
      </c>
      <c r="L2809" s="1" t="str">
        <f t="shared" si="131"/>
        <v/>
      </c>
      <c r="M2809" s="1">
        <f>IF(OR(Table1[[#This Row],[Std Nom]]="",Table1[[#This Row],[Std Read]]=""),0,Table1[[#This Row],[Std Nom]]-Table1[[#This Row],[Std Read]])</f>
        <v>0</v>
      </c>
      <c r="N2809" s="1">
        <f>IF(Calculations!$F$5="ACCREDITED 17025 WITH UNCERTAINTIES",$N$10,0)</f>
        <v>0</v>
      </c>
      <c r="Q2809" s="1">
        <f>Table1[[#This Row],[High Tol]]-Table1[[#This Row],[Low Tol]]</f>
        <v>0</v>
      </c>
      <c r="R2809" s="1">
        <f>2*Table1[[#This Row],[Std Error]]</f>
        <v>0</v>
      </c>
      <c r="S2809" s="1" t="str">
        <f>IF(Table1[[#This Row],[High Tol]]="","N/A",IFERROR(ABS(Table1[[#This Row],[Tol Span]]/Table1[[#This Row],[Error Span]]),"N/A"))</f>
        <v>N/A</v>
      </c>
      <c r="T2809" s="1" t="str">
        <f>IF(OR(Table1[[#This Row],[Low Tol]]="",Table1[[#This Row],[High Tol]]=""),"Needs Analysis",IF(Table1[[#This Row],[Ratio]]&gt;=4,"Not Significant",IF(Table1[[#This Row],[Ratio]]&gt;=2,"Semi-Significant","Significant")))</f>
        <v>Needs Analysis</v>
      </c>
      <c r="W2809" s="1">
        <f>IF(Table1[[#This Row],[Cal Type]]&lt;&gt;"ACCREDITED 17025 WITH UNCERTAINTIES",0,"")</f>
        <v>0</v>
      </c>
      <c r="X2809" s="1" t="str">
        <f>IF(Table1[[#This Row],[DUT Read]]="","N/A",Table1[[#This Row],[Std Error]]+Table1[[#This Row],[DUT Read]]+Table1[[#This Row],[DUT Ucty]])</f>
        <v>N/A</v>
      </c>
      <c r="Y2809" s="1" t="str">
        <f>IF(Table1[[#This Row],[Std Read]]="","N/A",Table1[[#This Row],[Std Read]]+Table1[[#This Row],[Std Ucty]])</f>
        <v>N/A</v>
      </c>
      <c r="Z28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09" s="1" t="str">
        <f>IF(Table1[[#This Row],[Spec Type]]="","N/A",Table1[[#This Row],[Spec Type]])</f>
        <v>±</v>
      </c>
      <c r="AC2809" s="1" t="str">
        <f>IF(Table1[[#This Row],[Spec Type2]]="N/A","N/A",IF(AND(Table1[[#This Row],[DUT Adj Read]]&gt;=Table1[[#This Row],[Low Tol]],Table1[[#This Row],[DUT Adj Read]]&lt;=Table1[[#This Row],[High Tol]]),"Pass","Fail"))</f>
        <v>Fail</v>
      </c>
      <c r="AD2809" s="1" t="str">
        <f>IF(AND(Table1[[#This Row],[Spec Type2]]="N/A",Table1[[#This Row],[DUT Adj Read]]="N/A",Table1[[#This Row],[Std Adj Read]]="N/A"),"N/A",IF(Table1[[#This Row],[DUT Adj Read]]="N/A",IF(Table1[[#This Row],[Std Adj Read]]&gt;Table1[[#This Row],[Low Tol]],"Pass","Fail"),IF(Table1[[#This Row],[DUT Adj Read]]&gt;Table1[[#This Row],[Low Tol]],"Pass","Fail")))</f>
        <v>Pass</v>
      </c>
      <c r="AE2809" s="1" t="str">
        <f>IF(AND(Table1[[#This Row],[Spec Type2]]="N/A",Table1[[#This Row],[DUT Adj Read]]="N/A",Table1[[#This Row],[Std Adj Read]]="N/A"),"N/A",IF(Table1[[#This Row],[DUT Adj Read]]="N/A",IF(Table1[[#This Row],[Std Adj Read]]&lt;Table1[[#This Row],[High Tol]],"Pass","Fail"),IF(Table1[[#This Row],[DUT Adj Read]]&lt;Table1[[#This Row],[High Tol]],"Pass","Fail")))</f>
        <v>Fail</v>
      </c>
      <c r="AF2809" s="1" t="str">
        <f>IF(AND(Table1[[#This Row],[Spec Type2]]="N/A",Table1[[#This Row],[DUT Adj Read]]="N/A",Table1[[#This Row],[Std Adj Read]]="N/A"),"N/A",IF(Table1[[#This Row],[DUT Adj Read]]="N/A",IF(Table1[[#This Row],[Std Adj Read]]&gt;=Table1[[#This Row],[Low Tol]],"Pass","Fail"),IF(Table1[[#This Row],[DUT Adj Read]]&gt;=Table1[[#This Row],[Low Tol]],"Pass","Fail")))</f>
        <v>Pass</v>
      </c>
      <c r="AG2809" s="1" t="str">
        <f>IF(AND(Table1[[#This Row],[Spec Type2]]="N/A",Table1[[#This Row],[DUT Adj Read]]="N/A",Table1[[#This Row],[Std Adj Read]]="N/A"),"N/A",IF(Table1[[#This Row],[DUT Adj Read]]="N/A",IF(Table1[[#This Row],[Std Adj Read]]&lt;=Table1[[#This Row],[High Tol]],"Pass","Fail"),IF(Table1[[#This Row],[DUT Adj Read]]&lt;=Table1[[#This Row],[High Tol]],"Pass","Fail")))</f>
        <v>Fail</v>
      </c>
      <c r="AH28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09" s="1" t="b">
        <v>0</v>
      </c>
      <c r="AN2809" s="1" t="b">
        <v>0</v>
      </c>
      <c r="AO2809" s="1" t="b">
        <v>0</v>
      </c>
    </row>
    <row r="2810" spans="1:41" x14ac:dyDescent="0.25">
      <c r="A2810" s="10"/>
      <c r="B2810" s="10"/>
      <c r="C2810" s="10"/>
      <c r="D2810" s="10"/>
      <c r="E2810" s="10"/>
      <c r="F2810" s="10"/>
      <c r="G2810" s="10"/>
      <c r="H2810" s="10"/>
      <c r="I2810" s="1" t="str">
        <f t="shared" si="129"/>
        <v/>
      </c>
      <c r="J2810" s="1" t="s">
        <v>35</v>
      </c>
      <c r="K2810" s="1" t="str">
        <f t="shared" si="130"/>
        <v/>
      </c>
      <c r="L2810" s="1" t="str">
        <f t="shared" si="131"/>
        <v/>
      </c>
      <c r="M2810" s="1">
        <f>IF(OR(Table1[[#This Row],[Std Nom]]="",Table1[[#This Row],[Std Read]]=""),0,Table1[[#This Row],[Std Nom]]-Table1[[#This Row],[Std Read]])</f>
        <v>0</v>
      </c>
      <c r="N2810" s="1">
        <f>IF(Calculations!$F$5="ACCREDITED 17025 WITH UNCERTAINTIES",$N$10,0)</f>
        <v>0</v>
      </c>
      <c r="Q2810" s="1">
        <f>Table1[[#This Row],[High Tol]]-Table1[[#This Row],[Low Tol]]</f>
        <v>0</v>
      </c>
      <c r="R2810" s="1">
        <f>2*Table1[[#This Row],[Std Error]]</f>
        <v>0</v>
      </c>
      <c r="S2810" s="1" t="str">
        <f>IF(Table1[[#This Row],[High Tol]]="","N/A",IFERROR(ABS(Table1[[#This Row],[Tol Span]]/Table1[[#This Row],[Error Span]]),"N/A"))</f>
        <v>N/A</v>
      </c>
      <c r="T2810" s="1" t="str">
        <f>IF(OR(Table1[[#This Row],[Low Tol]]="",Table1[[#This Row],[High Tol]]=""),"Needs Analysis",IF(Table1[[#This Row],[Ratio]]&gt;=4,"Not Significant",IF(Table1[[#This Row],[Ratio]]&gt;=2,"Semi-Significant","Significant")))</f>
        <v>Needs Analysis</v>
      </c>
      <c r="W2810" s="1">
        <f>IF(Table1[[#This Row],[Cal Type]]&lt;&gt;"ACCREDITED 17025 WITH UNCERTAINTIES",0,"")</f>
        <v>0</v>
      </c>
      <c r="X2810" s="1" t="str">
        <f>IF(Table1[[#This Row],[DUT Read]]="","N/A",Table1[[#This Row],[Std Error]]+Table1[[#This Row],[DUT Read]]+Table1[[#This Row],[DUT Ucty]])</f>
        <v>N/A</v>
      </c>
      <c r="Y2810" s="1" t="str">
        <f>IF(Table1[[#This Row],[Std Read]]="","N/A",Table1[[#This Row],[Std Read]]+Table1[[#This Row],[Std Ucty]])</f>
        <v>N/A</v>
      </c>
      <c r="Z28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0" s="1" t="str">
        <f>IF(Table1[[#This Row],[Spec Type]]="","N/A",Table1[[#This Row],[Spec Type]])</f>
        <v>±</v>
      </c>
      <c r="AC2810" s="1" t="str">
        <f>IF(Table1[[#This Row],[Spec Type2]]="N/A","N/A",IF(AND(Table1[[#This Row],[DUT Adj Read]]&gt;=Table1[[#This Row],[Low Tol]],Table1[[#This Row],[DUT Adj Read]]&lt;=Table1[[#This Row],[High Tol]]),"Pass","Fail"))</f>
        <v>Fail</v>
      </c>
      <c r="AD2810" s="1" t="str">
        <f>IF(AND(Table1[[#This Row],[Spec Type2]]="N/A",Table1[[#This Row],[DUT Adj Read]]="N/A",Table1[[#This Row],[Std Adj Read]]="N/A"),"N/A",IF(Table1[[#This Row],[DUT Adj Read]]="N/A",IF(Table1[[#This Row],[Std Adj Read]]&gt;Table1[[#This Row],[Low Tol]],"Pass","Fail"),IF(Table1[[#This Row],[DUT Adj Read]]&gt;Table1[[#This Row],[Low Tol]],"Pass","Fail")))</f>
        <v>Pass</v>
      </c>
      <c r="AE2810" s="1" t="str">
        <f>IF(AND(Table1[[#This Row],[Spec Type2]]="N/A",Table1[[#This Row],[DUT Adj Read]]="N/A",Table1[[#This Row],[Std Adj Read]]="N/A"),"N/A",IF(Table1[[#This Row],[DUT Adj Read]]="N/A",IF(Table1[[#This Row],[Std Adj Read]]&lt;Table1[[#This Row],[High Tol]],"Pass","Fail"),IF(Table1[[#This Row],[DUT Adj Read]]&lt;Table1[[#This Row],[High Tol]],"Pass","Fail")))</f>
        <v>Fail</v>
      </c>
      <c r="AF2810" s="1" t="str">
        <f>IF(AND(Table1[[#This Row],[Spec Type2]]="N/A",Table1[[#This Row],[DUT Adj Read]]="N/A",Table1[[#This Row],[Std Adj Read]]="N/A"),"N/A",IF(Table1[[#This Row],[DUT Adj Read]]="N/A",IF(Table1[[#This Row],[Std Adj Read]]&gt;=Table1[[#This Row],[Low Tol]],"Pass","Fail"),IF(Table1[[#This Row],[DUT Adj Read]]&gt;=Table1[[#This Row],[Low Tol]],"Pass","Fail")))</f>
        <v>Pass</v>
      </c>
      <c r="AG2810" s="1" t="str">
        <f>IF(AND(Table1[[#This Row],[Spec Type2]]="N/A",Table1[[#This Row],[DUT Adj Read]]="N/A",Table1[[#This Row],[Std Adj Read]]="N/A"),"N/A",IF(Table1[[#This Row],[DUT Adj Read]]="N/A",IF(Table1[[#This Row],[Std Adj Read]]&lt;=Table1[[#This Row],[High Tol]],"Pass","Fail"),IF(Table1[[#This Row],[DUT Adj Read]]&lt;=Table1[[#This Row],[High Tol]],"Pass","Fail")))</f>
        <v>Fail</v>
      </c>
      <c r="AH28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0" s="1" t="b">
        <v>0</v>
      </c>
      <c r="AN2810" s="1" t="b">
        <v>0</v>
      </c>
      <c r="AO2810" s="1" t="b">
        <v>0</v>
      </c>
    </row>
    <row r="2811" spans="1:41" x14ac:dyDescent="0.25">
      <c r="A2811" s="10"/>
      <c r="B2811" s="10"/>
      <c r="C2811" s="10"/>
      <c r="D2811" s="10"/>
      <c r="E2811" s="10"/>
      <c r="F2811" s="10"/>
      <c r="G2811" s="10"/>
      <c r="H2811" s="10"/>
      <c r="I2811" s="1" t="str">
        <f t="shared" si="129"/>
        <v/>
      </c>
      <c r="J2811" s="1" t="s">
        <v>35</v>
      </c>
      <c r="K2811" s="1" t="str">
        <f t="shared" si="130"/>
        <v/>
      </c>
      <c r="L2811" s="1" t="str">
        <f t="shared" si="131"/>
        <v/>
      </c>
      <c r="M2811" s="1">
        <f>IF(OR(Table1[[#This Row],[Std Nom]]="",Table1[[#This Row],[Std Read]]=""),0,Table1[[#This Row],[Std Nom]]-Table1[[#This Row],[Std Read]])</f>
        <v>0</v>
      </c>
      <c r="N2811" s="1">
        <f>IF(Calculations!$F$5="ACCREDITED 17025 WITH UNCERTAINTIES",$N$10,0)</f>
        <v>0</v>
      </c>
      <c r="Q2811" s="1">
        <f>Table1[[#This Row],[High Tol]]-Table1[[#This Row],[Low Tol]]</f>
        <v>0</v>
      </c>
      <c r="R2811" s="1">
        <f>2*Table1[[#This Row],[Std Error]]</f>
        <v>0</v>
      </c>
      <c r="S2811" s="1" t="str">
        <f>IF(Table1[[#This Row],[High Tol]]="","N/A",IFERROR(ABS(Table1[[#This Row],[Tol Span]]/Table1[[#This Row],[Error Span]]),"N/A"))</f>
        <v>N/A</v>
      </c>
      <c r="T2811" s="1" t="str">
        <f>IF(OR(Table1[[#This Row],[Low Tol]]="",Table1[[#This Row],[High Tol]]=""),"Needs Analysis",IF(Table1[[#This Row],[Ratio]]&gt;=4,"Not Significant",IF(Table1[[#This Row],[Ratio]]&gt;=2,"Semi-Significant","Significant")))</f>
        <v>Needs Analysis</v>
      </c>
      <c r="W2811" s="1">
        <f>IF(Table1[[#This Row],[Cal Type]]&lt;&gt;"ACCREDITED 17025 WITH UNCERTAINTIES",0,"")</f>
        <v>0</v>
      </c>
      <c r="X2811" s="1" t="str">
        <f>IF(Table1[[#This Row],[DUT Read]]="","N/A",Table1[[#This Row],[Std Error]]+Table1[[#This Row],[DUT Read]]+Table1[[#This Row],[DUT Ucty]])</f>
        <v>N/A</v>
      </c>
      <c r="Y2811" s="1" t="str">
        <f>IF(Table1[[#This Row],[Std Read]]="","N/A",Table1[[#This Row],[Std Read]]+Table1[[#This Row],[Std Ucty]])</f>
        <v>N/A</v>
      </c>
      <c r="Z28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1" s="1" t="str">
        <f>IF(Table1[[#This Row],[Spec Type]]="","N/A",Table1[[#This Row],[Spec Type]])</f>
        <v>±</v>
      </c>
      <c r="AC2811" s="1" t="str">
        <f>IF(Table1[[#This Row],[Spec Type2]]="N/A","N/A",IF(AND(Table1[[#This Row],[DUT Adj Read]]&gt;=Table1[[#This Row],[Low Tol]],Table1[[#This Row],[DUT Adj Read]]&lt;=Table1[[#This Row],[High Tol]]),"Pass","Fail"))</f>
        <v>Fail</v>
      </c>
      <c r="AD2811" s="1" t="str">
        <f>IF(AND(Table1[[#This Row],[Spec Type2]]="N/A",Table1[[#This Row],[DUT Adj Read]]="N/A",Table1[[#This Row],[Std Adj Read]]="N/A"),"N/A",IF(Table1[[#This Row],[DUT Adj Read]]="N/A",IF(Table1[[#This Row],[Std Adj Read]]&gt;Table1[[#This Row],[Low Tol]],"Pass","Fail"),IF(Table1[[#This Row],[DUT Adj Read]]&gt;Table1[[#This Row],[Low Tol]],"Pass","Fail")))</f>
        <v>Pass</v>
      </c>
      <c r="AE2811" s="1" t="str">
        <f>IF(AND(Table1[[#This Row],[Spec Type2]]="N/A",Table1[[#This Row],[DUT Adj Read]]="N/A",Table1[[#This Row],[Std Adj Read]]="N/A"),"N/A",IF(Table1[[#This Row],[DUT Adj Read]]="N/A",IF(Table1[[#This Row],[Std Adj Read]]&lt;Table1[[#This Row],[High Tol]],"Pass","Fail"),IF(Table1[[#This Row],[DUT Adj Read]]&lt;Table1[[#This Row],[High Tol]],"Pass","Fail")))</f>
        <v>Fail</v>
      </c>
      <c r="AF2811" s="1" t="str">
        <f>IF(AND(Table1[[#This Row],[Spec Type2]]="N/A",Table1[[#This Row],[DUT Adj Read]]="N/A",Table1[[#This Row],[Std Adj Read]]="N/A"),"N/A",IF(Table1[[#This Row],[DUT Adj Read]]="N/A",IF(Table1[[#This Row],[Std Adj Read]]&gt;=Table1[[#This Row],[Low Tol]],"Pass","Fail"),IF(Table1[[#This Row],[DUT Adj Read]]&gt;=Table1[[#This Row],[Low Tol]],"Pass","Fail")))</f>
        <v>Pass</v>
      </c>
      <c r="AG2811" s="1" t="str">
        <f>IF(AND(Table1[[#This Row],[Spec Type2]]="N/A",Table1[[#This Row],[DUT Adj Read]]="N/A",Table1[[#This Row],[Std Adj Read]]="N/A"),"N/A",IF(Table1[[#This Row],[DUT Adj Read]]="N/A",IF(Table1[[#This Row],[Std Adj Read]]&lt;=Table1[[#This Row],[High Tol]],"Pass","Fail"),IF(Table1[[#This Row],[DUT Adj Read]]&lt;=Table1[[#This Row],[High Tol]],"Pass","Fail")))</f>
        <v>Fail</v>
      </c>
      <c r="AH28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1" s="1" t="b">
        <v>0</v>
      </c>
      <c r="AN2811" s="1" t="b">
        <v>0</v>
      </c>
      <c r="AO2811" s="1" t="b">
        <v>0</v>
      </c>
    </row>
    <row r="2812" spans="1:41" x14ac:dyDescent="0.25">
      <c r="A2812" s="10"/>
      <c r="B2812" s="10"/>
      <c r="C2812" s="10"/>
      <c r="D2812" s="10"/>
      <c r="E2812" s="10"/>
      <c r="F2812" s="10"/>
      <c r="G2812" s="10"/>
      <c r="H2812" s="10"/>
      <c r="I2812" s="1" t="str">
        <f t="shared" si="129"/>
        <v/>
      </c>
      <c r="J2812" s="1" t="s">
        <v>35</v>
      </c>
      <c r="K2812" s="1" t="str">
        <f t="shared" si="130"/>
        <v/>
      </c>
      <c r="L2812" s="1" t="str">
        <f t="shared" si="131"/>
        <v/>
      </c>
      <c r="M2812" s="1">
        <f>IF(OR(Table1[[#This Row],[Std Nom]]="",Table1[[#This Row],[Std Read]]=""),0,Table1[[#This Row],[Std Nom]]-Table1[[#This Row],[Std Read]])</f>
        <v>0</v>
      </c>
      <c r="N2812" s="1">
        <f>IF(Calculations!$F$5="ACCREDITED 17025 WITH UNCERTAINTIES",$N$10,0)</f>
        <v>0</v>
      </c>
      <c r="Q2812" s="1">
        <f>Table1[[#This Row],[High Tol]]-Table1[[#This Row],[Low Tol]]</f>
        <v>0</v>
      </c>
      <c r="R2812" s="1">
        <f>2*Table1[[#This Row],[Std Error]]</f>
        <v>0</v>
      </c>
      <c r="S2812" s="1" t="str">
        <f>IF(Table1[[#This Row],[High Tol]]="","N/A",IFERROR(ABS(Table1[[#This Row],[Tol Span]]/Table1[[#This Row],[Error Span]]),"N/A"))</f>
        <v>N/A</v>
      </c>
      <c r="T2812" s="1" t="str">
        <f>IF(OR(Table1[[#This Row],[Low Tol]]="",Table1[[#This Row],[High Tol]]=""),"Needs Analysis",IF(Table1[[#This Row],[Ratio]]&gt;=4,"Not Significant",IF(Table1[[#This Row],[Ratio]]&gt;=2,"Semi-Significant","Significant")))</f>
        <v>Needs Analysis</v>
      </c>
      <c r="W2812" s="1">
        <f>IF(Table1[[#This Row],[Cal Type]]&lt;&gt;"ACCREDITED 17025 WITH UNCERTAINTIES",0,"")</f>
        <v>0</v>
      </c>
      <c r="X2812" s="1" t="str">
        <f>IF(Table1[[#This Row],[DUT Read]]="","N/A",Table1[[#This Row],[Std Error]]+Table1[[#This Row],[DUT Read]]+Table1[[#This Row],[DUT Ucty]])</f>
        <v>N/A</v>
      </c>
      <c r="Y2812" s="1" t="str">
        <f>IF(Table1[[#This Row],[Std Read]]="","N/A",Table1[[#This Row],[Std Read]]+Table1[[#This Row],[Std Ucty]])</f>
        <v>N/A</v>
      </c>
      <c r="Z28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2" s="1" t="str">
        <f>IF(Table1[[#This Row],[Spec Type]]="","N/A",Table1[[#This Row],[Spec Type]])</f>
        <v>±</v>
      </c>
      <c r="AC2812" s="1" t="str">
        <f>IF(Table1[[#This Row],[Spec Type2]]="N/A","N/A",IF(AND(Table1[[#This Row],[DUT Adj Read]]&gt;=Table1[[#This Row],[Low Tol]],Table1[[#This Row],[DUT Adj Read]]&lt;=Table1[[#This Row],[High Tol]]),"Pass","Fail"))</f>
        <v>Fail</v>
      </c>
      <c r="AD2812" s="1" t="str">
        <f>IF(AND(Table1[[#This Row],[Spec Type2]]="N/A",Table1[[#This Row],[DUT Adj Read]]="N/A",Table1[[#This Row],[Std Adj Read]]="N/A"),"N/A",IF(Table1[[#This Row],[DUT Adj Read]]="N/A",IF(Table1[[#This Row],[Std Adj Read]]&gt;Table1[[#This Row],[Low Tol]],"Pass","Fail"),IF(Table1[[#This Row],[DUT Adj Read]]&gt;Table1[[#This Row],[Low Tol]],"Pass","Fail")))</f>
        <v>Pass</v>
      </c>
      <c r="AE2812" s="1" t="str">
        <f>IF(AND(Table1[[#This Row],[Spec Type2]]="N/A",Table1[[#This Row],[DUT Adj Read]]="N/A",Table1[[#This Row],[Std Adj Read]]="N/A"),"N/A",IF(Table1[[#This Row],[DUT Adj Read]]="N/A",IF(Table1[[#This Row],[Std Adj Read]]&lt;Table1[[#This Row],[High Tol]],"Pass","Fail"),IF(Table1[[#This Row],[DUT Adj Read]]&lt;Table1[[#This Row],[High Tol]],"Pass","Fail")))</f>
        <v>Fail</v>
      </c>
      <c r="AF2812" s="1" t="str">
        <f>IF(AND(Table1[[#This Row],[Spec Type2]]="N/A",Table1[[#This Row],[DUT Adj Read]]="N/A",Table1[[#This Row],[Std Adj Read]]="N/A"),"N/A",IF(Table1[[#This Row],[DUT Adj Read]]="N/A",IF(Table1[[#This Row],[Std Adj Read]]&gt;=Table1[[#This Row],[Low Tol]],"Pass","Fail"),IF(Table1[[#This Row],[DUT Adj Read]]&gt;=Table1[[#This Row],[Low Tol]],"Pass","Fail")))</f>
        <v>Pass</v>
      </c>
      <c r="AG2812" s="1" t="str">
        <f>IF(AND(Table1[[#This Row],[Spec Type2]]="N/A",Table1[[#This Row],[DUT Adj Read]]="N/A",Table1[[#This Row],[Std Adj Read]]="N/A"),"N/A",IF(Table1[[#This Row],[DUT Adj Read]]="N/A",IF(Table1[[#This Row],[Std Adj Read]]&lt;=Table1[[#This Row],[High Tol]],"Pass","Fail"),IF(Table1[[#This Row],[DUT Adj Read]]&lt;=Table1[[#This Row],[High Tol]],"Pass","Fail")))</f>
        <v>Fail</v>
      </c>
      <c r="AH28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2" s="1" t="b">
        <v>0</v>
      </c>
      <c r="AN2812" s="1" t="b">
        <v>0</v>
      </c>
      <c r="AO2812" s="1" t="b">
        <v>0</v>
      </c>
    </row>
    <row r="2813" spans="1:41" x14ac:dyDescent="0.25">
      <c r="A2813" s="10"/>
      <c r="B2813" s="10"/>
      <c r="C2813" s="10"/>
      <c r="D2813" s="10"/>
      <c r="E2813" s="10"/>
      <c r="F2813" s="10"/>
      <c r="G2813" s="10"/>
      <c r="H2813" s="10"/>
      <c r="I2813" s="1" t="str">
        <f t="shared" si="129"/>
        <v/>
      </c>
      <c r="J2813" s="1" t="s">
        <v>35</v>
      </c>
      <c r="K2813" s="1" t="str">
        <f t="shared" si="130"/>
        <v/>
      </c>
      <c r="L2813" s="1" t="str">
        <f t="shared" si="131"/>
        <v/>
      </c>
      <c r="M2813" s="1">
        <f>IF(OR(Table1[[#This Row],[Std Nom]]="",Table1[[#This Row],[Std Read]]=""),0,Table1[[#This Row],[Std Nom]]-Table1[[#This Row],[Std Read]])</f>
        <v>0</v>
      </c>
      <c r="N2813" s="1">
        <f>IF(Calculations!$F$5="ACCREDITED 17025 WITH UNCERTAINTIES",$N$10,0)</f>
        <v>0</v>
      </c>
      <c r="Q2813" s="1">
        <f>Table1[[#This Row],[High Tol]]-Table1[[#This Row],[Low Tol]]</f>
        <v>0</v>
      </c>
      <c r="R2813" s="1">
        <f>2*Table1[[#This Row],[Std Error]]</f>
        <v>0</v>
      </c>
      <c r="S2813" s="1" t="str">
        <f>IF(Table1[[#This Row],[High Tol]]="","N/A",IFERROR(ABS(Table1[[#This Row],[Tol Span]]/Table1[[#This Row],[Error Span]]),"N/A"))</f>
        <v>N/A</v>
      </c>
      <c r="T2813" s="1" t="str">
        <f>IF(OR(Table1[[#This Row],[Low Tol]]="",Table1[[#This Row],[High Tol]]=""),"Needs Analysis",IF(Table1[[#This Row],[Ratio]]&gt;=4,"Not Significant",IF(Table1[[#This Row],[Ratio]]&gt;=2,"Semi-Significant","Significant")))</f>
        <v>Needs Analysis</v>
      </c>
      <c r="W2813" s="1">
        <f>IF(Table1[[#This Row],[Cal Type]]&lt;&gt;"ACCREDITED 17025 WITH UNCERTAINTIES",0,"")</f>
        <v>0</v>
      </c>
      <c r="X2813" s="1" t="str">
        <f>IF(Table1[[#This Row],[DUT Read]]="","N/A",Table1[[#This Row],[Std Error]]+Table1[[#This Row],[DUT Read]]+Table1[[#This Row],[DUT Ucty]])</f>
        <v>N/A</v>
      </c>
      <c r="Y2813" s="1" t="str">
        <f>IF(Table1[[#This Row],[Std Read]]="","N/A",Table1[[#This Row],[Std Read]]+Table1[[#This Row],[Std Ucty]])</f>
        <v>N/A</v>
      </c>
      <c r="Z28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3" s="1" t="str">
        <f>IF(Table1[[#This Row],[Spec Type]]="","N/A",Table1[[#This Row],[Spec Type]])</f>
        <v>±</v>
      </c>
      <c r="AC2813" s="1" t="str">
        <f>IF(Table1[[#This Row],[Spec Type2]]="N/A","N/A",IF(AND(Table1[[#This Row],[DUT Adj Read]]&gt;=Table1[[#This Row],[Low Tol]],Table1[[#This Row],[DUT Adj Read]]&lt;=Table1[[#This Row],[High Tol]]),"Pass","Fail"))</f>
        <v>Fail</v>
      </c>
      <c r="AD2813" s="1" t="str">
        <f>IF(AND(Table1[[#This Row],[Spec Type2]]="N/A",Table1[[#This Row],[DUT Adj Read]]="N/A",Table1[[#This Row],[Std Adj Read]]="N/A"),"N/A",IF(Table1[[#This Row],[DUT Adj Read]]="N/A",IF(Table1[[#This Row],[Std Adj Read]]&gt;Table1[[#This Row],[Low Tol]],"Pass","Fail"),IF(Table1[[#This Row],[DUT Adj Read]]&gt;Table1[[#This Row],[Low Tol]],"Pass","Fail")))</f>
        <v>Pass</v>
      </c>
      <c r="AE2813" s="1" t="str">
        <f>IF(AND(Table1[[#This Row],[Spec Type2]]="N/A",Table1[[#This Row],[DUT Adj Read]]="N/A",Table1[[#This Row],[Std Adj Read]]="N/A"),"N/A",IF(Table1[[#This Row],[DUT Adj Read]]="N/A",IF(Table1[[#This Row],[Std Adj Read]]&lt;Table1[[#This Row],[High Tol]],"Pass","Fail"),IF(Table1[[#This Row],[DUT Adj Read]]&lt;Table1[[#This Row],[High Tol]],"Pass","Fail")))</f>
        <v>Fail</v>
      </c>
      <c r="AF2813" s="1" t="str">
        <f>IF(AND(Table1[[#This Row],[Spec Type2]]="N/A",Table1[[#This Row],[DUT Adj Read]]="N/A",Table1[[#This Row],[Std Adj Read]]="N/A"),"N/A",IF(Table1[[#This Row],[DUT Adj Read]]="N/A",IF(Table1[[#This Row],[Std Adj Read]]&gt;=Table1[[#This Row],[Low Tol]],"Pass","Fail"),IF(Table1[[#This Row],[DUT Adj Read]]&gt;=Table1[[#This Row],[Low Tol]],"Pass","Fail")))</f>
        <v>Pass</v>
      </c>
      <c r="AG2813" s="1" t="str">
        <f>IF(AND(Table1[[#This Row],[Spec Type2]]="N/A",Table1[[#This Row],[DUT Adj Read]]="N/A",Table1[[#This Row],[Std Adj Read]]="N/A"),"N/A",IF(Table1[[#This Row],[DUT Adj Read]]="N/A",IF(Table1[[#This Row],[Std Adj Read]]&lt;=Table1[[#This Row],[High Tol]],"Pass","Fail"),IF(Table1[[#This Row],[DUT Adj Read]]&lt;=Table1[[#This Row],[High Tol]],"Pass","Fail")))</f>
        <v>Fail</v>
      </c>
      <c r="AH28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3" s="1" t="b">
        <v>0</v>
      </c>
      <c r="AN2813" s="1" t="b">
        <v>0</v>
      </c>
      <c r="AO2813" s="1" t="b">
        <v>0</v>
      </c>
    </row>
    <row r="2814" spans="1:41" x14ac:dyDescent="0.25">
      <c r="A2814" s="10"/>
      <c r="B2814" s="10"/>
      <c r="C2814" s="10"/>
      <c r="D2814" s="10"/>
      <c r="E2814" s="10"/>
      <c r="F2814" s="10"/>
      <c r="G2814" s="10"/>
      <c r="H2814" s="10"/>
      <c r="I2814" s="1" t="str">
        <f t="shared" si="129"/>
        <v/>
      </c>
      <c r="J2814" s="1" t="s">
        <v>35</v>
      </c>
      <c r="K2814" s="1" t="str">
        <f t="shared" si="130"/>
        <v/>
      </c>
      <c r="L2814" s="1" t="str">
        <f t="shared" si="131"/>
        <v/>
      </c>
      <c r="M2814" s="1">
        <f>IF(OR(Table1[[#This Row],[Std Nom]]="",Table1[[#This Row],[Std Read]]=""),0,Table1[[#This Row],[Std Nom]]-Table1[[#This Row],[Std Read]])</f>
        <v>0</v>
      </c>
      <c r="N2814" s="1">
        <f>IF(Calculations!$F$5="ACCREDITED 17025 WITH UNCERTAINTIES",$N$10,0)</f>
        <v>0</v>
      </c>
      <c r="Q2814" s="1">
        <f>Table1[[#This Row],[High Tol]]-Table1[[#This Row],[Low Tol]]</f>
        <v>0</v>
      </c>
      <c r="R2814" s="1">
        <f>2*Table1[[#This Row],[Std Error]]</f>
        <v>0</v>
      </c>
      <c r="S2814" s="1" t="str">
        <f>IF(Table1[[#This Row],[High Tol]]="","N/A",IFERROR(ABS(Table1[[#This Row],[Tol Span]]/Table1[[#This Row],[Error Span]]),"N/A"))</f>
        <v>N/A</v>
      </c>
      <c r="T2814" s="1" t="str">
        <f>IF(OR(Table1[[#This Row],[Low Tol]]="",Table1[[#This Row],[High Tol]]=""),"Needs Analysis",IF(Table1[[#This Row],[Ratio]]&gt;=4,"Not Significant",IF(Table1[[#This Row],[Ratio]]&gt;=2,"Semi-Significant","Significant")))</f>
        <v>Needs Analysis</v>
      </c>
      <c r="W2814" s="1">
        <f>IF(Table1[[#This Row],[Cal Type]]&lt;&gt;"ACCREDITED 17025 WITH UNCERTAINTIES",0,"")</f>
        <v>0</v>
      </c>
      <c r="X2814" s="1" t="str">
        <f>IF(Table1[[#This Row],[DUT Read]]="","N/A",Table1[[#This Row],[Std Error]]+Table1[[#This Row],[DUT Read]]+Table1[[#This Row],[DUT Ucty]])</f>
        <v>N/A</v>
      </c>
      <c r="Y2814" s="1" t="str">
        <f>IF(Table1[[#This Row],[Std Read]]="","N/A",Table1[[#This Row],[Std Read]]+Table1[[#This Row],[Std Ucty]])</f>
        <v>N/A</v>
      </c>
      <c r="Z28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4" s="1" t="str">
        <f>IF(Table1[[#This Row],[Spec Type]]="","N/A",Table1[[#This Row],[Spec Type]])</f>
        <v>±</v>
      </c>
      <c r="AC2814" s="1" t="str">
        <f>IF(Table1[[#This Row],[Spec Type2]]="N/A","N/A",IF(AND(Table1[[#This Row],[DUT Adj Read]]&gt;=Table1[[#This Row],[Low Tol]],Table1[[#This Row],[DUT Adj Read]]&lt;=Table1[[#This Row],[High Tol]]),"Pass","Fail"))</f>
        <v>Fail</v>
      </c>
      <c r="AD2814" s="1" t="str">
        <f>IF(AND(Table1[[#This Row],[Spec Type2]]="N/A",Table1[[#This Row],[DUT Adj Read]]="N/A",Table1[[#This Row],[Std Adj Read]]="N/A"),"N/A",IF(Table1[[#This Row],[DUT Adj Read]]="N/A",IF(Table1[[#This Row],[Std Adj Read]]&gt;Table1[[#This Row],[Low Tol]],"Pass","Fail"),IF(Table1[[#This Row],[DUT Adj Read]]&gt;Table1[[#This Row],[Low Tol]],"Pass","Fail")))</f>
        <v>Pass</v>
      </c>
      <c r="AE2814" s="1" t="str">
        <f>IF(AND(Table1[[#This Row],[Spec Type2]]="N/A",Table1[[#This Row],[DUT Adj Read]]="N/A",Table1[[#This Row],[Std Adj Read]]="N/A"),"N/A",IF(Table1[[#This Row],[DUT Adj Read]]="N/A",IF(Table1[[#This Row],[Std Adj Read]]&lt;Table1[[#This Row],[High Tol]],"Pass","Fail"),IF(Table1[[#This Row],[DUT Adj Read]]&lt;Table1[[#This Row],[High Tol]],"Pass","Fail")))</f>
        <v>Fail</v>
      </c>
      <c r="AF2814" s="1" t="str">
        <f>IF(AND(Table1[[#This Row],[Spec Type2]]="N/A",Table1[[#This Row],[DUT Adj Read]]="N/A",Table1[[#This Row],[Std Adj Read]]="N/A"),"N/A",IF(Table1[[#This Row],[DUT Adj Read]]="N/A",IF(Table1[[#This Row],[Std Adj Read]]&gt;=Table1[[#This Row],[Low Tol]],"Pass","Fail"),IF(Table1[[#This Row],[DUT Adj Read]]&gt;=Table1[[#This Row],[Low Tol]],"Pass","Fail")))</f>
        <v>Pass</v>
      </c>
      <c r="AG2814" s="1" t="str">
        <f>IF(AND(Table1[[#This Row],[Spec Type2]]="N/A",Table1[[#This Row],[DUT Adj Read]]="N/A",Table1[[#This Row],[Std Adj Read]]="N/A"),"N/A",IF(Table1[[#This Row],[DUT Adj Read]]="N/A",IF(Table1[[#This Row],[Std Adj Read]]&lt;=Table1[[#This Row],[High Tol]],"Pass","Fail"),IF(Table1[[#This Row],[DUT Adj Read]]&lt;=Table1[[#This Row],[High Tol]],"Pass","Fail")))</f>
        <v>Fail</v>
      </c>
      <c r="AH28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4" s="1" t="b">
        <v>0</v>
      </c>
      <c r="AN2814" s="1" t="b">
        <v>0</v>
      </c>
      <c r="AO2814" s="1" t="b">
        <v>0</v>
      </c>
    </row>
    <row r="2815" spans="1:41" x14ac:dyDescent="0.25">
      <c r="A2815" s="10"/>
      <c r="B2815" s="10"/>
      <c r="C2815" s="10"/>
      <c r="D2815" s="10"/>
      <c r="E2815" s="10"/>
      <c r="F2815" s="10"/>
      <c r="G2815" s="10"/>
      <c r="H2815" s="10"/>
      <c r="I2815" s="1" t="str">
        <f t="shared" si="129"/>
        <v/>
      </c>
      <c r="J2815" s="1" t="s">
        <v>35</v>
      </c>
      <c r="K2815" s="1" t="str">
        <f t="shared" si="130"/>
        <v/>
      </c>
      <c r="L2815" s="1" t="str">
        <f t="shared" si="131"/>
        <v/>
      </c>
      <c r="M2815" s="1">
        <f>IF(OR(Table1[[#This Row],[Std Nom]]="",Table1[[#This Row],[Std Read]]=""),0,Table1[[#This Row],[Std Nom]]-Table1[[#This Row],[Std Read]])</f>
        <v>0</v>
      </c>
      <c r="N2815" s="1">
        <f>IF(Calculations!$F$5="ACCREDITED 17025 WITH UNCERTAINTIES",$N$10,0)</f>
        <v>0</v>
      </c>
      <c r="Q2815" s="1">
        <f>Table1[[#This Row],[High Tol]]-Table1[[#This Row],[Low Tol]]</f>
        <v>0</v>
      </c>
      <c r="R2815" s="1">
        <f>2*Table1[[#This Row],[Std Error]]</f>
        <v>0</v>
      </c>
      <c r="S2815" s="1" t="str">
        <f>IF(Table1[[#This Row],[High Tol]]="","N/A",IFERROR(ABS(Table1[[#This Row],[Tol Span]]/Table1[[#This Row],[Error Span]]),"N/A"))</f>
        <v>N/A</v>
      </c>
      <c r="T2815" s="1" t="str">
        <f>IF(OR(Table1[[#This Row],[Low Tol]]="",Table1[[#This Row],[High Tol]]=""),"Needs Analysis",IF(Table1[[#This Row],[Ratio]]&gt;=4,"Not Significant",IF(Table1[[#This Row],[Ratio]]&gt;=2,"Semi-Significant","Significant")))</f>
        <v>Needs Analysis</v>
      </c>
      <c r="W2815" s="1">
        <f>IF(Table1[[#This Row],[Cal Type]]&lt;&gt;"ACCREDITED 17025 WITH UNCERTAINTIES",0,"")</f>
        <v>0</v>
      </c>
      <c r="X2815" s="1" t="str">
        <f>IF(Table1[[#This Row],[DUT Read]]="","N/A",Table1[[#This Row],[Std Error]]+Table1[[#This Row],[DUT Read]]+Table1[[#This Row],[DUT Ucty]])</f>
        <v>N/A</v>
      </c>
      <c r="Y2815" s="1" t="str">
        <f>IF(Table1[[#This Row],[Std Read]]="","N/A",Table1[[#This Row],[Std Read]]+Table1[[#This Row],[Std Ucty]])</f>
        <v>N/A</v>
      </c>
      <c r="Z28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5" s="1" t="str">
        <f>IF(Table1[[#This Row],[Spec Type]]="","N/A",Table1[[#This Row],[Spec Type]])</f>
        <v>±</v>
      </c>
      <c r="AC2815" s="1" t="str">
        <f>IF(Table1[[#This Row],[Spec Type2]]="N/A","N/A",IF(AND(Table1[[#This Row],[DUT Adj Read]]&gt;=Table1[[#This Row],[Low Tol]],Table1[[#This Row],[DUT Adj Read]]&lt;=Table1[[#This Row],[High Tol]]),"Pass","Fail"))</f>
        <v>Fail</v>
      </c>
      <c r="AD2815" s="1" t="str">
        <f>IF(AND(Table1[[#This Row],[Spec Type2]]="N/A",Table1[[#This Row],[DUT Adj Read]]="N/A",Table1[[#This Row],[Std Adj Read]]="N/A"),"N/A",IF(Table1[[#This Row],[DUT Adj Read]]="N/A",IF(Table1[[#This Row],[Std Adj Read]]&gt;Table1[[#This Row],[Low Tol]],"Pass","Fail"),IF(Table1[[#This Row],[DUT Adj Read]]&gt;Table1[[#This Row],[Low Tol]],"Pass","Fail")))</f>
        <v>Pass</v>
      </c>
      <c r="AE2815" s="1" t="str">
        <f>IF(AND(Table1[[#This Row],[Spec Type2]]="N/A",Table1[[#This Row],[DUT Adj Read]]="N/A",Table1[[#This Row],[Std Adj Read]]="N/A"),"N/A",IF(Table1[[#This Row],[DUT Adj Read]]="N/A",IF(Table1[[#This Row],[Std Adj Read]]&lt;Table1[[#This Row],[High Tol]],"Pass","Fail"),IF(Table1[[#This Row],[DUT Adj Read]]&lt;Table1[[#This Row],[High Tol]],"Pass","Fail")))</f>
        <v>Fail</v>
      </c>
      <c r="AF2815" s="1" t="str">
        <f>IF(AND(Table1[[#This Row],[Spec Type2]]="N/A",Table1[[#This Row],[DUT Adj Read]]="N/A",Table1[[#This Row],[Std Adj Read]]="N/A"),"N/A",IF(Table1[[#This Row],[DUT Adj Read]]="N/A",IF(Table1[[#This Row],[Std Adj Read]]&gt;=Table1[[#This Row],[Low Tol]],"Pass","Fail"),IF(Table1[[#This Row],[DUT Adj Read]]&gt;=Table1[[#This Row],[Low Tol]],"Pass","Fail")))</f>
        <v>Pass</v>
      </c>
      <c r="AG2815" s="1" t="str">
        <f>IF(AND(Table1[[#This Row],[Spec Type2]]="N/A",Table1[[#This Row],[DUT Adj Read]]="N/A",Table1[[#This Row],[Std Adj Read]]="N/A"),"N/A",IF(Table1[[#This Row],[DUT Adj Read]]="N/A",IF(Table1[[#This Row],[Std Adj Read]]&lt;=Table1[[#This Row],[High Tol]],"Pass","Fail"),IF(Table1[[#This Row],[DUT Adj Read]]&lt;=Table1[[#This Row],[High Tol]],"Pass","Fail")))</f>
        <v>Fail</v>
      </c>
      <c r="AH28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5" s="1" t="b">
        <v>0</v>
      </c>
      <c r="AN2815" s="1" t="b">
        <v>0</v>
      </c>
      <c r="AO2815" s="1" t="b">
        <v>0</v>
      </c>
    </row>
    <row r="2816" spans="1:41" x14ac:dyDescent="0.25">
      <c r="A2816" s="10"/>
      <c r="B2816" s="10"/>
      <c r="C2816" s="10"/>
      <c r="D2816" s="10"/>
      <c r="E2816" s="10"/>
      <c r="F2816" s="10"/>
      <c r="G2816" s="10"/>
      <c r="H2816" s="10"/>
      <c r="I2816" s="1" t="str">
        <f t="shared" si="129"/>
        <v/>
      </c>
      <c r="J2816" s="1" t="s">
        <v>35</v>
      </c>
      <c r="K2816" s="1" t="str">
        <f t="shared" si="130"/>
        <v/>
      </c>
      <c r="L2816" s="1" t="str">
        <f t="shared" si="131"/>
        <v/>
      </c>
      <c r="M2816" s="1">
        <f>IF(OR(Table1[[#This Row],[Std Nom]]="",Table1[[#This Row],[Std Read]]=""),0,Table1[[#This Row],[Std Nom]]-Table1[[#This Row],[Std Read]])</f>
        <v>0</v>
      </c>
      <c r="N2816" s="1">
        <f>IF(Calculations!$F$5="ACCREDITED 17025 WITH UNCERTAINTIES",$N$10,0)</f>
        <v>0</v>
      </c>
      <c r="Q2816" s="1">
        <f>Table1[[#This Row],[High Tol]]-Table1[[#This Row],[Low Tol]]</f>
        <v>0</v>
      </c>
      <c r="R2816" s="1">
        <f>2*Table1[[#This Row],[Std Error]]</f>
        <v>0</v>
      </c>
      <c r="S2816" s="1" t="str">
        <f>IF(Table1[[#This Row],[High Tol]]="","N/A",IFERROR(ABS(Table1[[#This Row],[Tol Span]]/Table1[[#This Row],[Error Span]]),"N/A"))</f>
        <v>N/A</v>
      </c>
      <c r="T2816" s="1" t="str">
        <f>IF(OR(Table1[[#This Row],[Low Tol]]="",Table1[[#This Row],[High Tol]]=""),"Needs Analysis",IF(Table1[[#This Row],[Ratio]]&gt;=4,"Not Significant",IF(Table1[[#This Row],[Ratio]]&gt;=2,"Semi-Significant","Significant")))</f>
        <v>Needs Analysis</v>
      </c>
      <c r="W2816" s="1">
        <f>IF(Table1[[#This Row],[Cal Type]]&lt;&gt;"ACCREDITED 17025 WITH UNCERTAINTIES",0,"")</f>
        <v>0</v>
      </c>
      <c r="X2816" s="1" t="str">
        <f>IF(Table1[[#This Row],[DUT Read]]="","N/A",Table1[[#This Row],[Std Error]]+Table1[[#This Row],[DUT Read]]+Table1[[#This Row],[DUT Ucty]])</f>
        <v>N/A</v>
      </c>
      <c r="Y2816" s="1" t="str">
        <f>IF(Table1[[#This Row],[Std Read]]="","N/A",Table1[[#This Row],[Std Read]]+Table1[[#This Row],[Std Ucty]])</f>
        <v>N/A</v>
      </c>
      <c r="Z28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6" s="1" t="str">
        <f>IF(Table1[[#This Row],[Spec Type]]="","N/A",Table1[[#This Row],[Spec Type]])</f>
        <v>±</v>
      </c>
      <c r="AC2816" s="1" t="str">
        <f>IF(Table1[[#This Row],[Spec Type2]]="N/A","N/A",IF(AND(Table1[[#This Row],[DUT Adj Read]]&gt;=Table1[[#This Row],[Low Tol]],Table1[[#This Row],[DUT Adj Read]]&lt;=Table1[[#This Row],[High Tol]]),"Pass","Fail"))</f>
        <v>Fail</v>
      </c>
      <c r="AD2816" s="1" t="str">
        <f>IF(AND(Table1[[#This Row],[Spec Type2]]="N/A",Table1[[#This Row],[DUT Adj Read]]="N/A",Table1[[#This Row],[Std Adj Read]]="N/A"),"N/A",IF(Table1[[#This Row],[DUT Adj Read]]="N/A",IF(Table1[[#This Row],[Std Adj Read]]&gt;Table1[[#This Row],[Low Tol]],"Pass","Fail"),IF(Table1[[#This Row],[DUT Adj Read]]&gt;Table1[[#This Row],[Low Tol]],"Pass","Fail")))</f>
        <v>Pass</v>
      </c>
      <c r="AE2816" s="1" t="str">
        <f>IF(AND(Table1[[#This Row],[Spec Type2]]="N/A",Table1[[#This Row],[DUT Adj Read]]="N/A",Table1[[#This Row],[Std Adj Read]]="N/A"),"N/A",IF(Table1[[#This Row],[DUT Adj Read]]="N/A",IF(Table1[[#This Row],[Std Adj Read]]&lt;Table1[[#This Row],[High Tol]],"Pass","Fail"),IF(Table1[[#This Row],[DUT Adj Read]]&lt;Table1[[#This Row],[High Tol]],"Pass","Fail")))</f>
        <v>Fail</v>
      </c>
      <c r="AF2816" s="1" t="str">
        <f>IF(AND(Table1[[#This Row],[Spec Type2]]="N/A",Table1[[#This Row],[DUT Adj Read]]="N/A",Table1[[#This Row],[Std Adj Read]]="N/A"),"N/A",IF(Table1[[#This Row],[DUT Adj Read]]="N/A",IF(Table1[[#This Row],[Std Adj Read]]&gt;=Table1[[#This Row],[Low Tol]],"Pass","Fail"),IF(Table1[[#This Row],[DUT Adj Read]]&gt;=Table1[[#This Row],[Low Tol]],"Pass","Fail")))</f>
        <v>Pass</v>
      </c>
      <c r="AG2816" s="1" t="str">
        <f>IF(AND(Table1[[#This Row],[Spec Type2]]="N/A",Table1[[#This Row],[DUT Adj Read]]="N/A",Table1[[#This Row],[Std Adj Read]]="N/A"),"N/A",IF(Table1[[#This Row],[DUT Adj Read]]="N/A",IF(Table1[[#This Row],[Std Adj Read]]&lt;=Table1[[#This Row],[High Tol]],"Pass","Fail"),IF(Table1[[#This Row],[DUT Adj Read]]&lt;=Table1[[#This Row],[High Tol]],"Pass","Fail")))</f>
        <v>Fail</v>
      </c>
      <c r="AH28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6" s="1" t="b">
        <v>0</v>
      </c>
      <c r="AN2816" s="1" t="b">
        <v>0</v>
      </c>
      <c r="AO2816" s="1" t="b">
        <v>0</v>
      </c>
    </row>
    <row r="2817" spans="1:41" x14ac:dyDescent="0.25">
      <c r="A2817" s="10"/>
      <c r="B2817" s="10"/>
      <c r="C2817" s="10"/>
      <c r="D2817" s="10"/>
      <c r="E2817" s="10"/>
      <c r="F2817" s="10"/>
      <c r="G2817" s="10"/>
      <c r="H2817" s="10"/>
      <c r="I2817" s="1" t="str">
        <f t="shared" si="129"/>
        <v/>
      </c>
      <c r="J2817" s="1" t="s">
        <v>35</v>
      </c>
      <c r="K2817" s="1" t="str">
        <f t="shared" si="130"/>
        <v/>
      </c>
      <c r="L2817" s="1" t="str">
        <f t="shared" si="131"/>
        <v/>
      </c>
      <c r="M2817" s="1">
        <f>IF(OR(Table1[[#This Row],[Std Nom]]="",Table1[[#This Row],[Std Read]]=""),0,Table1[[#This Row],[Std Nom]]-Table1[[#This Row],[Std Read]])</f>
        <v>0</v>
      </c>
      <c r="N2817" s="1">
        <f>IF(Calculations!$F$5="ACCREDITED 17025 WITH UNCERTAINTIES",$N$10,0)</f>
        <v>0</v>
      </c>
      <c r="Q2817" s="1">
        <f>Table1[[#This Row],[High Tol]]-Table1[[#This Row],[Low Tol]]</f>
        <v>0</v>
      </c>
      <c r="R2817" s="1">
        <f>2*Table1[[#This Row],[Std Error]]</f>
        <v>0</v>
      </c>
      <c r="S2817" s="1" t="str">
        <f>IF(Table1[[#This Row],[High Tol]]="","N/A",IFERROR(ABS(Table1[[#This Row],[Tol Span]]/Table1[[#This Row],[Error Span]]),"N/A"))</f>
        <v>N/A</v>
      </c>
      <c r="T2817" s="1" t="str">
        <f>IF(OR(Table1[[#This Row],[Low Tol]]="",Table1[[#This Row],[High Tol]]=""),"Needs Analysis",IF(Table1[[#This Row],[Ratio]]&gt;=4,"Not Significant",IF(Table1[[#This Row],[Ratio]]&gt;=2,"Semi-Significant","Significant")))</f>
        <v>Needs Analysis</v>
      </c>
      <c r="W2817" s="1">
        <f>IF(Table1[[#This Row],[Cal Type]]&lt;&gt;"ACCREDITED 17025 WITH UNCERTAINTIES",0,"")</f>
        <v>0</v>
      </c>
      <c r="X2817" s="1" t="str">
        <f>IF(Table1[[#This Row],[DUT Read]]="","N/A",Table1[[#This Row],[Std Error]]+Table1[[#This Row],[DUT Read]]+Table1[[#This Row],[DUT Ucty]])</f>
        <v>N/A</v>
      </c>
      <c r="Y2817" s="1" t="str">
        <f>IF(Table1[[#This Row],[Std Read]]="","N/A",Table1[[#This Row],[Std Read]]+Table1[[#This Row],[Std Ucty]])</f>
        <v>N/A</v>
      </c>
      <c r="Z28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7" s="1" t="str">
        <f>IF(Table1[[#This Row],[Spec Type]]="","N/A",Table1[[#This Row],[Spec Type]])</f>
        <v>±</v>
      </c>
      <c r="AC2817" s="1" t="str">
        <f>IF(Table1[[#This Row],[Spec Type2]]="N/A","N/A",IF(AND(Table1[[#This Row],[DUT Adj Read]]&gt;=Table1[[#This Row],[Low Tol]],Table1[[#This Row],[DUT Adj Read]]&lt;=Table1[[#This Row],[High Tol]]),"Pass","Fail"))</f>
        <v>Fail</v>
      </c>
      <c r="AD2817" s="1" t="str">
        <f>IF(AND(Table1[[#This Row],[Spec Type2]]="N/A",Table1[[#This Row],[DUT Adj Read]]="N/A",Table1[[#This Row],[Std Adj Read]]="N/A"),"N/A",IF(Table1[[#This Row],[DUT Adj Read]]="N/A",IF(Table1[[#This Row],[Std Adj Read]]&gt;Table1[[#This Row],[Low Tol]],"Pass","Fail"),IF(Table1[[#This Row],[DUT Adj Read]]&gt;Table1[[#This Row],[Low Tol]],"Pass","Fail")))</f>
        <v>Pass</v>
      </c>
      <c r="AE2817" s="1" t="str">
        <f>IF(AND(Table1[[#This Row],[Spec Type2]]="N/A",Table1[[#This Row],[DUT Adj Read]]="N/A",Table1[[#This Row],[Std Adj Read]]="N/A"),"N/A",IF(Table1[[#This Row],[DUT Adj Read]]="N/A",IF(Table1[[#This Row],[Std Adj Read]]&lt;Table1[[#This Row],[High Tol]],"Pass","Fail"),IF(Table1[[#This Row],[DUT Adj Read]]&lt;Table1[[#This Row],[High Tol]],"Pass","Fail")))</f>
        <v>Fail</v>
      </c>
      <c r="AF2817" s="1" t="str">
        <f>IF(AND(Table1[[#This Row],[Spec Type2]]="N/A",Table1[[#This Row],[DUT Adj Read]]="N/A",Table1[[#This Row],[Std Adj Read]]="N/A"),"N/A",IF(Table1[[#This Row],[DUT Adj Read]]="N/A",IF(Table1[[#This Row],[Std Adj Read]]&gt;=Table1[[#This Row],[Low Tol]],"Pass","Fail"),IF(Table1[[#This Row],[DUT Adj Read]]&gt;=Table1[[#This Row],[Low Tol]],"Pass","Fail")))</f>
        <v>Pass</v>
      </c>
      <c r="AG2817" s="1" t="str">
        <f>IF(AND(Table1[[#This Row],[Spec Type2]]="N/A",Table1[[#This Row],[DUT Adj Read]]="N/A",Table1[[#This Row],[Std Adj Read]]="N/A"),"N/A",IF(Table1[[#This Row],[DUT Adj Read]]="N/A",IF(Table1[[#This Row],[Std Adj Read]]&lt;=Table1[[#This Row],[High Tol]],"Pass","Fail"),IF(Table1[[#This Row],[DUT Adj Read]]&lt;=Table1[[#This Row],[High Tol]],"Pass","Fail")))</f>
        <v>Fail</v>
      </c>
      <c r="AH28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7" s="1" t="b">
        <v>0</v>
      </c>
      <c r="AN2817" s="1" t="b">
        <v>0</v>
      </c>
      <c r="AO2817" s="1" t="b">
        <v>0</v>
      </c>
    </row>
    <row r="2818" spans="1:41" x14ac:dyDescent="0.25">
      <c r="A2818" s="10"/>
      <c r="B2818" s="10"/>
      <c r="C2818" s="10"/>
      <c r="D2818" s="10"/>
      <c r="E2818" s="10"/>
      <c r="F2818" s="10"/>
      <c r="G2818" s="10"/>
      <c r="H2818" s="10"/>
      <c r="I2818" s="1" t="str">
        <f t="shared" si="129"/>
        <v/>
      </c>
      <c r="J2818" s="1" t="s">
        <v>35</v>
      </c>
      <c r="K2818" s="1" t="str">
        <f t="shared" si="130"/>
        <v/>
      </c>
      <c r="L2818" s="1" t="str">
        <f t="shared" si="131"/>
        <v/>
      </c>
      <c r="M2818" s="1">
        <f>IF(OR(Table1[[#This Row],[Std Nom]]="",Table1[[#This Row],[Std Read]]=""),0,Table1[[#This Row],[Std Nom]]-Table1[[#This Row],[Std Read]])</f>
        <v>0</v>
      </c>
      <c r="N2818" s="1">
        <f>IF(Calculations!$F$5="ACCREDITED 17025 WITH UNCERTAINTIES",$N$10,0)</f>
        <v>0</v>
      </c>
      <c r="Q2818" s="1">
        <f>Table1[[#This Row],[High Tol]]-Table1[[#This Row],[Low Tol]]</f>
        <v>0</v>
      </c>
      <c r="R2818" s="1">
        <f>2*Table1[[#This Row],[Std Error]]</f>
        <v>0</v>
      </c>
      <c r="S2818" s="1" t="str">
        <f>IF(Table1[[#This Row],[High Tol]]="","N/A",IFERROR(ABS(Table1[[#This Row],[Tol Span]]/Table1[[#This Row],[Error Span]]),"N/A"))</f>
        <v>N/A</v>
      </c>
      <c r="T2818" s="1" t="str">
        <f>IF(OR(Table1[[#This Row],[Low Tol]]="",Table1[[#This Row],[High Tol]]=""),"Needs Analysis",IF(Table1[[#This Row],[Ratio]]&gt;=4,"Not Significant",IF(Table1[[#This Row],[Ratio]]&gt;=2,"Semi-Significant","Significant")))</f>
        <v>Needs Analysis</v>
      </c>
      <c r="W2818" s="1">
        <f>IF(Table1[[#This Row],[Cal Type]]&lt;&gt;"ACCREDITED 17025 WITH UNCERTAINTIES",0,"")</f>
        <v>0</v>
      </c>
      <c r="X2818" s="1" t="str">
        <f>IF(Table1[[#This Row],[DUT Read]]="","N/A",Table1[[#This Row],[Std Error]]+Table1[[#This Row],[DUT Read]]+Table1[[#This Row],[DUT Ucty]])</f>
        <v>N/A</v>
      </c>
      <c r="Y2818" s="1" t="str">
        <f>IF(Table1[[#This Row],[Std Read]]="","N/A",Table1[[#This Row],[Std Read]]+Table1[[#This Row],[Std Ucty]])</f>
        <v>N/A</v>
      </c>
      <c r="Z28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8" s="1" t="str">
        <f>IF(Table1[[#This Row],[Spec Type]]="","N/A",Table1[[#This Row],[Spec Type]])</f>
        <v>±</v>
      </c>
      <c r="AC2818" s="1" t="str">
        <f>IF(Table1[[#This Row],[Spec Type2]]="N/A","N/A",IF(AND(Table1[[#This Row],[DUT Adj Read]]&gt;=Table1[[#This Row],[Low Tol]],Table1[[#This Row],[DUT Adj Read]]&lt;=Table1[[#This Row],[High Tol]]),"Pass","Fail"))</f>
        <v>Fail</v>
      </c>
      <c r="AD2818" s="1" t="str">
        <f>IF(AND(Table1[[#This Row],[Spec Type2]]="N/A",Table1[[#This Row],[DUT Adj Read]]="N/A",Table1[[#This Row],[Std Adj Read]]="N/A"),"N/A",IF(Table1[[#This Row],[DUT Adj Read]]="N/A",IF(Table1[[#This Row],[Std Adj Read]]&gt;Table1[[#This Row],[Low Tol]],"Pass","Fail"),IF(Table1[[#This Row],[DUT Adj Read]]&gt;Table1[[#This Row],[Low Tol]],"Pass","Fail")))</f>
        <v>Pass</v>
      </c>
      <c r="AE2818" s="1" t="str">
        <f>IF(AND(Table1[[#This Row],[Spec Type2]]="N/A",Table1[[#This Row],[DUT Adj Read]]="N/A",Table1[[#This Row],[Std Adj Read]]="N/A"),"N/A",IF(Table1[[#This Row],[DUT Adj Read]]="N/A",IF(Table1[[#This Row],[Std Adj Read]]&lt;Table1[[#This Row],[High Tol]],"Pass","Fail"),IF(Table1[[#This Row],[DUT Adj Read]]&lt;Table1[[#This Row],[High Tol]],"Pass","Fail")))</f>
        <v>Fail</v>
      </c>
      <c r="AF2818" s="1" t="str">
        <f>IF(AND(Table1[[#This Row],[Spec Type2]]="N/A",Table1[[#This Row],[DUT Adj Read]]="N/A",Table1[[#This Row],[Std Adj Read]]="N/A"),"N/A",IF(Table1[[#This Row],[DUT Adj Read]]="N/A",IF(Table1[[#This Row],[Std Adj Read]]&gt;=Table1[[#This Row],[Low Tol]],"Pass","Fail"),IF(Table1[[#This Row],[DUT Adj Read]]&gt;=Table1[[#This Row],[Low Tol]],"Pass","Fail")))</f>
        <v>Pass</v>
      </c>
      <c r="AG2818" s="1" t="str">
        <f>IF(AND(Table1[[#This Row],[Spec Type2]]="N/A",Table1[[#This Row],[DUT Adj Read]]="N/A",Table1[[#This Row],[Std Adj Read]]="N/A"),"N/A",IF(Table1[[#This Row],[DUT Adj Read]]="N/A",IF(Table1[[#This Row],[Std Adj Read]]&lt;=Table1[[#This Row],[High Tol]],"Pass","Fail"),IF(Table1[[#This Row],[DUT Adj Read]]&lt;=Table1[[#This Row],[High Tol]],"Pass","Fail")))</f>
        <v>Fail</v>
      </c>
      <c r="AH28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8" s="1" t="b">
        <v>0</v>
      </c>
      <c r="AN2818" s="1" t="b">
        <v>0</v>
      </c>
      <c r="AO2818" s="1" t="b">
        <v>0</v>
      </c>
    </row>
    <row r="2819" spans="1:41" x14ac:dyDescent="0.25">
      <c r="A2819" s="10"/>
      <c r="B2819" s="10"/>
      <c r="C2819" s="10"/>
      <c r="D2819" s="10"/>
      <c r="E2819" s="10"/>
      <c r="F2819" s="10"/>
      <c r="G2819" s="10"/>
      <c r="H2819" s="10"/>
      <c r="I2819" s="1" t="str">
        <f t="shared" si="129"/>
        <v/>
      </c>
      <c r="J2819" s="1" t="s">
        <v>35</v>
      </c>
      <c r="K2819" s="1" t="str">
        <f t="shared" si="130"/>
        <v/>
      </c>
      <c r="L2819" s="1" t="str">
        <f t="shared" si="131"/>
        <v/>
      </c>
      <c r="M2819" s="1">
        <f>IF(OR(Table1[[#This Row],[Std Nom]]="",Table1[[#This Row],[Std Read]]=""),0,Table1[[#This Row],[Std Nom]]-Table1[[#This Row],[Std Read]])</f>
        <v>0</v>
      </c>
      <c r="N2819" s="1">
        <f>IF(Calculations!$F$5="ACCREDITED 17025 WITH UNCERTAINTIES",$N$10,0)</f>
        <v>0</v>
      </c>
      <c r="Q2819" s="1">
        <f>Table1[[#This Row],[High Tol]]-Table1[[#This Row],[Low Tol]]</f>
        <v>0</v>
      </c>
      <c r="R2819" s="1">
        <f>2*Table1[[#This Row],[Std Error]]</f>
        <v>0</v>
      </c>
      <c r="S2819" s="1" t="str">
        <f>IF(Table1[[#This Row],[High Tol]]="","N/A",IFERROR(ABS(Table1[[#This Row],[Tol Span]]/Table1[[#This Row],[Error Span]]),"N/A"))</f>
        <v>N/A</v>
      </c>
      <c r="T2819" s="1" t="str">
        <f>IF(OR(Table1[[#This Row],[Low Tol]]="",Table1[[#This Row],[High Tol]]=""),"Needs Analysis",IF(Table1[[#This Row],[Ratio]]&gt;=4,"Not Significant",IF(Table1[[#This Row],[Ratio]]&gt;=2,"Semi-Significant","Significant")))</f>
        <v>Needs Analysis</v>
      </c>
      <c r="W2819" s="1">
        <f>IF(Table1[[#This Row],[Cal Type]]&lt;&gt;"ACCREDITED 17025 WITH UNCERTAINTIES",0,"")</f>
        <v>0</v>
      </c>
      <c r="X2819" s="1" t="str">
        <f>IF(Table1[[#This Row],[DUT Read]]="","N/A",Table1[[#This Row],[Std Error]]+Table1[[#This Row],[DUT Read]]+Table1[[#This Row],[DUT Ucty]])</f>
        <v>N/A</v>
      </c>
      <c r="Y2819" s="1" t="str">
        <f>IF(Table1[[#This Row],[Std Read]]="","N/A",Table1[[#This Row],[Std Read]]+Table1[[#This Row],[Std Ucty]])</f>
        <v>N/A</v>
      </c>
      <c r="Z28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19" s="1" t="str">
        <f>IF(Table1[[#This Row],[Spec Type]]="","N/A",Table1[[#This Row],[Spec Type]])</f>
        <v>±</v>
      </c>
      <c r="AC2819" s="1" t="str">
        <f>IF(Table1[[#This Row],[Spec Type2]]="N/A","N/A",IF(AND(Table1[[#This Row],[DUT Adj Read]]&gt;=Table1[[#This Row],[Low Tol]],Table1[[#This Row],[DUT Adj Read]]&lt;=Table1[[#This Row],[High Tol]]),"Pass","Fail"))</f>
        <v>Fail</v>
      </c>
      <c r="AD2819" s="1" t="str">
        <f>IF(AND(Table1[[#This Row],[Spec Type2]]="N/A",Table1[[#This Row],[DUT Adj Read]]="N/A",Table1[[#This Row],[Std Adj Read]]="N/A"),"N/A",IF(Table1[[#This Row],[DUT Adj Read]]="N/A",IF(Table1[[#This Row],[Std Adj Read]]&gt;Table1[[#This Row],[Low Tol]],"Pass","Fail"),IF(Table1[[#This Row],[DUT Adj Read]]&gt;Table1[[#This Row],[Low Tol]],"Pass","Fail")))</f>
        <v>Pass</v>
      </c>
      <c r="AE2819" s="1" t="str">
        <f>IF(AND(Table1[[#This Row],[Spec Type2]]="N/A",Table1[[#This Row],[DUT Adj Read]]="N/A",Table1[[#This Row],[Std Adj Read]]="N/A"),"N/A",IF(Table1[[#This Row],[DUT Adj Read]]="N/A",IF(Table1[[#This Row],[Std Adj Read]]&lt;Table1[[#This Row],[High Tol]],"Pass","Fail"),IF(Table1[[#This Row],[DUT Adj Read]]&lt;Table1[[#This Row],[High Tol]],"Pass","Fail")))</f>
        <v>Fail</v>
      </c>
      <c r="AF2819" s="1" t="str">
        <f>IF(AND(Table1[[#This Row],[Spec Type2]]="N/A",Table1[[#This Row],[DUT Adj Read]]="N/A",Table1[[#This Row],[Std Adj Read]]="N/A"),"N/A",IF(Table1[[#This Row],[DUT Adj Read]]="N/A",IF(Table1[[#This Row],[Std Adj Read]]&gt;=Table1[[#This Row],[Low Tol]],"Pass","Fail"),IF(Table1[[#This Row],[DUT Adj Read]]&gt;=Table1[[#This Row],[Low Tol]],"Pass","Fail")))</f>
        <v>Pass</v>
      </c>
      <c r="AG2819" s="1" t="str">
        <f>IF(AND(Table1[[#This Row],[Spec Type2]]="N/A",Table1[[#This Row],[DUT Adj Read]]="N/A",Table1[[#This Row],[Std Adj Read]]="N/A"),"N/A",IF(Table1[[#This Row],[DUT Adj Read]]="N/A",IF(Table1[[#This Row],[Std Adj Read]]&lt;=Table1[[#This Row],[High Tol]],"Pass","Fail"),IF(Table1[[#This Row],[DUT Adj Read]]&lt;=Table1[[#This Row],[High Tol]],"Pass","Fail")))</f>
        <v>Fail</v>
      </c>
      <c r="AH28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19" s="1" t="b">
        <v>0</v>
      </c>
      <c r="AN2819" s="1" t="b">
        <v>0</v>
      </c>
      <c r="AO2819" s="1" t="b">
        <v>0</v>
      </c>
    </row>
    <row r="2820" spans="1:41" x14ac:dyDescent="0.25">
      <c r="A2820" s="10"/>
      <c r="B2820" s="10"/>
      <c r="C2820" s="10"/>
      <c r="D2820" s="10"/>
      <c r="E2820" s="10"/>
      <c r="F2820" s="10"/>
      <c r="G2820" s="10"/>
      <c r="H2820" s="10"/>
      <c r="I2820" s="1" t="str">
        <f t="shared" si="129"/>
        <v/>
      </c>
      <c r="J2820" s="1" t="s">
        <v>35</v>
      </c>
      <c r="K2820" s="1" t="str">
        <f t="shared" si="130"/>
        <v/>
      </c>
      <c r="L2820" s="1" t="str">
        <f t="shared" si="131"/>
        <v/>
      </c>
      <c r="M2820" s="1">
        <f>IF(OR(Table1[[#This Row],[Std Nom]]="",Table1[[#This Row],[Std Read]]=""),0,Table1[[#This Row],[Std Nom]]-Table1[[#This Row],[Std Read]])</f>
        <v>0</v>
      </c>
      <c r="N2820" s="1">
        <f>IF(Calculations!$F$5="ACCREDITED 17025 WITH UNCERTAINTIES",$N$10,0)</f>
        <v>0</v>
      </c>
      <c r="Q2820" s="1">
        <f>Table1[[#This Row],[High Tol]]-Table1[[#This Row],[Low Tol]]</f>
        <v>0</v>
      </c>
      <c r="R2820" s="1">
        <f>2*Table1[[#This Row],[Std Error]]</f>
        <v>0</v>
      </c>
      <c r="S2820" s="1" t="str">
        <f>IF(Table1[[#This Row],[High Tol]]="","N/A",IFERROR(ABS(Table1[[#This Row],[Tol Span]]/Table1[[#This Row],[Error Span]]),"N/A"))</f>
        <v>N/A</v>
      </c>
      <c r="T2820" s="1" t="str">
        <f>IF(OR(Table1[[#This Row],[Low Tol]]="",Table1[[#This Row],[High Tol]]=""),"Needs Analysis",IF(Table1[[#This Row],[Ratio]]&gt;=4,"Not Significant",IF(Table1[[#This Row],[Ratio]]&gt;=2,"Semi-Significant","Significant")))</f>
        <v>Needs Analysis</v>
      </c>
      <c r="W2820" s="1">
        <f>IF(Table1[[#This Row],[Cal Type]]&lt;&gt;"ACCREDITED 17025 WITH UNCERTAINTIES",0,"")</f>
        <v>0</v>
      </c>
      <c r="X2820" s="1" t="str">
        <f>IF(Table1[[#This Row],[DUT Read]]="","N/A",Table1[[#This Row],[Std Error]]+Table1[[#This Row],[DUT Read]]+Table1[[#This Row],[DUT Ucty]])</f>
        <v>N/A</v>
      </c>
      <c r="Y2820" s="1" t="str">
        <f>IF(Table1[[#This Row],[Std Read]]="","N/A",Table1[[#This Row],[Std Read]]+Table1[[#This Row],[Std Ucty]])</f>
        <v>N/A</v>
      </c>
      <c r="Z28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0" s="1" t="str">
        <f>IF(Table1[[#This Row],[Spec Type]]="","N/A",Table1[[#This Row],[Spec Type]])</f>
        <v>±</v>
      </c>
      <c r="AC2820" s="1" t="str">
        <f>IF(Table1[[#This Row],[Spec Type2]]="N/A","N/A",IF(AND(Table1[[#This Row],[DUT Adj Read]]&gt;=Table1[[#This Row],[Low Tol]],Table1[[#This Row],[DUT Adj Read]]&lt;=Table1[[#This Row],[High Tol]]),"Pass","Fail"))</f>
        <v>Fail</v>
      </c>
      <c r="AD2820" s="1" t="str">
        <f>IF(AND(Table1[[#This Row],[Spec Type2]]="N/A",Table1[[#This Row],[DUT Adj Read]]="N/A",Table1[[#This Row],[Std Adj Read]]="N/A"),"N/A",IF(Table1[[#This Row],[DUT Adj Read]]="N/A",IF(Table1[[#This Row],[Std Adj Read]]&gt;Table1[[#This Row],[Low Tol]],"Pass","Fail"),IF(Table1[[#This Row],[DUT Adj Read]]&gt;Table1[[#This Row],[Low Tol]],"Pass","Fail")))</f>
        <v>Pass</v>
      </c>
      <c r="AE2820" s="1" t="str">
        <f>IF(AND(Table1[[#This Row],[Spec Type2]]="N/A",Table1[[#This Row],[DUT Adj Read]]="N/A",Table1[[#This Row],[Std Adj Read]]="N/A"),"N/A",IF(Table1[[#This Row],[DUT Adj Read]]="N/A",IF(Table1[[#This Row],[Std Adj Read]]&lt;Table1[[#This Row],[High Tol]],"Pass","Fail"),IF(Table1[[#This Row],[DUT Adj Read]]&lt;Table1[[#This Row],[High Tol]],"Pass","Fail")))</f>
        <v>Fail</v>
      </c>
      <c r="AF2820" s="1" t="str">
        <f>IF(AND(Table1[[#This Row],[Spec Type2]]="N/A",Table1[[#This Row],[DUT Adj Read]]="N/A",Table1[[#This Row],[Std Adj Read]]="N/A"),"N/A",IF(Table1[[#This Row],[DUT Adj Read]]="N/A",IF(Table1[[#This Row],[Std Adj Read]]&gt;=Table1[[#This Row],[Low Tol]],"Pass","Fail"),IF(Table1[[#This Row],[DUT Adj Read]]&gt;=Table1[[#This Row],[Low Tol]],"Pass","Fail")))</f>
        <v>Pass</v>
      </c>
      <c r="AG2820" s="1" t="str">
        <f>IF(AND(Table1[[#This Row],[Spec Type2]]="N/A",Table1[[#This Row],[DUT Adj Read]]="N/A",Table1[[#This Row],[Std Adj Read]]="N/A"),"N/A",IF(Table1[[#This Row],[DUT Adj Read]]="N/A",IF(Table1[[#This Row],[Std Adj Read]]&lt;=Table1[[#This Row],[High Tol]],"Pass","Fail"),IF(Table1[[#This Row],[DUT Adj Read]]&lt;=Table1[[#This Row],[High Tol]],"Pass","Fail")))</f>
        <v>Fail</v>
      </c>
      <c r="AH28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0" s="1" t="b">
        <v>0</v>
      </c>
      <c r="AN2820" s="1" t="b">
        <v>0</v>
      </c>
      <c r="AO2820" s="1" t="b">
        <v>0</v>
      </c>
    </row>
    <row r="2821" spans="1:41" x14ac:dyDescent="0.25">
      <c r="A2821" s="10"/>
      <c r="B2821" s="10"/>
      <c r="C2821" s="10"/>
      <c r="D2821" s="10"/>
      <c r="E2821" s="10"/>
      <c r="F2821" s="10"/>
      <c r="G2821" s="10"/>
      <c r="H2821" s="10"/>
      <c r="I2821" s="1" t="str">
        <f t="shared" si="129"/>
        <v/>
      </c>
      <c r="J2821" s="1" t="s">
        <v>35</v>
      </c>
      <c r="K2821" s="1" t="str">
        <f t="shared" si="130"/>
        <v/>
      </c>
      <c r="L2821" s="1" t="str">
        <f t="shared" si="131"/>
        <v/>
      </c>
      <c r="M2821" s="1">
        <f>IF(OR(Table1[[#This Row],[Std Nom]]="",Table1[[#This Row],[Std Read]]=""),0,Table1[[#This Row],[Std Nom]]-Table1[[#This Row],[Std Read]])</f>
        <v>0</v>
      </c>
      <c r="N2821" s="1">
        <f>IF(Calculations!$F$5="ACCREDITED 17025 WITH UNCERTAINTIES",$N$10,0)</f>
        <v>0</v>
      </c>
      <c r="Q2821" s="1">
        <f>Table1[[#This Row],[High Tol]]-Table1[[#This Row],[Low Tol]]</f>
        <v>0</v>
      </c>
      <c r="R2821" s="1">
        <f>2*Table1[[#This Row],[Std Error]]</f>
        <v>0</v>
      </c>
      <c r="S2821" s="1" t="str">
        <f>IF(Table1[[#This Row],[High Tol]]="","N/A",IFERROR(ABS(Table1[[#This Row],[Tol Span]]/Table1[[#This Row],[Error Span]]),"N/A"))</f>
        <v>N/A</v>
      </c>
      <c r="T2821" s="1" t="str">
        <f>IF(OR(Table1[[#This Row],[Low Tol]]="",Table1[[#This Row],[High Tol]]=""),"Needs Analysis",IF(Table1[[#This Row],[Ratio]]&gt;=4,"Not Significant",IF(Table1[[#This Row],[Ratio]]&gt;=2,"Semi-Significant","Significant")))</f>
        <v>Needs Analysis</v>
      </c>
      <c r="W2821" s="1">
        <f>IF(Table1[[#This Row],[Cal Type]]&lt;&gt;"ACCREDITED 17025 WITH UNCERTAINTIES",0,"")</f>
        <v>0</v>
      </c>
      <c r="X2821" s="1" t="str">
        <f>IF(Table1[[#This Row],[DUT Read]]="","N/A",Table1[[#This Row],[Std Error]]+Table1[[#This Row],[DUT Read]]+Table1[[#This Row],[DUT Ucty]])</f>
        <v>N/A</v>
      </c>
      <c r="Y2821" s="1" t="str">
        <f>IF(Table1[[#This Row],[Std Read]]="","N/A",Table1[[#This Row],[Std Read]]+Table1[[#This Row],[Std Ucty]])</f>
        <v>N/A</v>
      </c>
      <c r="Z28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1" s="1" t="str">
        <f>IF(Table1[[#This Row],[Spec Type]]="","N/A",Table1[[#This Row],[Spec Type]])</f>
        <v>±</v>
      </c>
      <c r="AC2821" s="1" t="str">
        <f>IF(Table1[[#This Row],[Spec Type2]]="N/A","N/A",IF(AND(Table1[[#This Row],[DUT Adj Read]]&gt;=Table1[[#This Row],[Low Tol]],Table1[[#This Row],[DUT Adj Read]]&lt;=Table1[[#This Row],[High Tol]]),"Pass","Fail"))</f>
        <v>Fail</v>
      </c>
      <c r="AD2821" s="1" t="str">
        <f>IF(AND(Table1[[#This Row],[Spec Type2]]="N/A",Table1[[#This Row],[DUT Adj Read]]="N/A",Table1[[#This Row],[Std Adj Read]]="N/A"),"N/A",IF(Table1[[#This Row],[DUT Adj Read]]="N/A",IF(Table1[[#This Row],[Std Adj Read]]&gt;Table1[[#This Row],[Low Tol]],"Pass","Fail"),IF(Table1[[#This Row],[DUT Adj Read]]&gt;Table1[[#This Row],[Low Tol]],"Pass","Fail")))</f>
        <v>Pass</v>
      </c>
      <c r="AE2821" s="1" t="str">
        <f>IF(AND(Table1[[#This Row],[Spec Type2]]="N/A",Table1[[#This Row],[DUT Adj Read]]="N/A",Table1[[#This Row],[Std Adj Read]]="N/A"),"N/A",IF(Table1[[#This Row],[DUT Adj Read]]="N/A",IF(Table1[[#This Row],[Std Adj Read]]&lt;Table1[[#This Row],[High Tol]],"Pass","Fail"),IF(Table1[[#This Row],[DUT Adj Read]]&lt;Table1[[#This Row],[High Tol]],"Pass","Fail")))</f>
        <v>Fail</v>
      </c>
      <c r="AF2821" s="1" t="str">
        <f>IF(AND(Table1[[#This Row],[Spec Type2]]="N/A",Table1[[#This Row],[DUT Adj Read]]="N/A",Table1[[#This Row],[Std Adj Read]]="N/A"),"N/A",IF(Table1[[#This Row],[DUT Adj Read]]="N/A",IF(Table1[[#This Row],[Std Adj Read]]&gt;=Table1[[#This Row],[Low Tol]],"Pass","Fail"),IF(Table1[[#This Row],[DUT Adj Read]]&gt;=Table1[[#This Row],[Low Tol]],"Pass","Fail")))</f>
        <v>Pass</v>
      </c>
      <c r="AG2821" s="1" t="str">
        <f>IF(AND(Table1[[#This Row],[Spec Type2]]="N/A",Table1[[#This Row],[DUT Adj Read]]="N/A",Table1[[#This Row],[Std Adj Read]]="N/A"),"N/A",IF(Table1[[#This Row],[DUT Adj Read]]="N/A",IF(Table1[[#This Row],[Std Adj Read]]&lt;=Table1[[#This Row],[High Tol]],"Pass","Fail"),IF(Table1[[#This Row],[DUT Adj Read]]&lt;=Table1[[#This Row],[High Tol]],"Pass","Fail")))</f>
        <v>Fail</v>
      </c>
      <c r="AH28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1" s="1" t="b">
        <v>0</v>
      </c>
      <c r="AN2821" s="1" t="b">
        <v>0</v>
      </c>
      <c r="AO2821" s="1" t="b">
        <v>0</v>
      </c>
    </row>
    <row r="2822" spans="1:41" x14ac:dyDescent="0.25">
      <c r="A2822" s="10"/>
      <c r="B2822" s="10"/>
      <c r="C2822" s="10"/>
      <c r="D2822" s="10"/>
      <c r="E2822" s="10"/>
      <c r="F2822" s="10"/>
      <c r="G2822" s="10"/>
      <c r="H2822" s="10"/>
      <c r="I2822" s="1" t="str">
        <f t="shared" si="129"/>
        <v/>
      </c>
      <c r="J2822" s="1" t="s">
        <v>35</v>
      </c>
      <c r="K2822" s="1" t="str">
        <f t="shared" si="130"/>
        <v/>
      </c>
      <c r="L2822" s="1" t="str">
        <f t="shared" si="131"/>
        <v/>
      </c>
      <c r="M2822" s="1">
        <f>IF(OR(Table1[[#This Row],[Std Nom]]="",Table1[[#This Row],[Std Read]]=""),0,Table1[[#This Row],[Std Nom]]-Table1[[#This Row],[Std Read]])</f>
        <v>0</v>
      </c>
      <c r="N2822" s="1">
        <f>IF(Calculations!$F$5="ACCREDITED 17025 WITH UNCERTAINTIES",$N$10,0)</f>
        <v>0</v>
      </c>
      <c r="Q2822" s="1">
        <f>Table1[[#This Row],[High Tol]]-Table1[[#This Row],[Low Tol]]</f>
        <v>0</v>
      </c>
      <c r="R2822" s="1">
        <f>2*Table1[[#This Row],[Std Error]]</f>
        <v>0</v>
      </c>
      <c r="S2822" s="1" t="str">
        <f>IF(Table1[[#This Row],[High Tol]]="","N/A",IFERROR(ABS(Table1[[#This Row],[Tol Span]]/Table1[[#This Row],[Error Span]]),"N/A"))</f>
        <v>N/A</v>
      </c>
      <c r="T2822" s="1" t="str">
        <f>IF(OR(Table1[[#This Row],[Low Tol]]="",Table1[[#This Row],[High Tol]]=""),"Needs Analysis",IF(Table1[[#This Row],[Ratio]]&gt;=4,"Not Significant",IF(Table1[[#This Row],[Ratio]]&gt;=2,"Semi-Significant","Significant")))</f>
        <v>Needs Analysis</v>
      </c>
      <c r="W2822" s="1">
        <f>IF(Table1[[#This Row],[Cal Type]]&lt;&gt;"ACCREDITED 17025 WITH UNCERTAINTIES",0,"")</f>
        <v>0</v>
      </c>
      <c r="X2822" s="1" t="str">
        <f>IF(Table1[[#This Row],[DUT Read]]="","N/A",Table1[[#This Row],[Std Error]]+Table1[[#This Row],[DUT Read]]+Table1[[#This Row],[DUT Ucty]])</f>
        <v>N/A</v>
      </c>
      <c r="Y2822" s="1" t="str">
        <f>IF(Table1[[#This Row],[Std Read]]="","N/A",Table1[[#This Row],[Std Read]]+Table1[[#This Row],[Std Ucty]])</f>
        <v>N/A</v>
      </c>
      <c r="Z28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2" s="1" t="str">
        <f>IF(Table1[[#This Row],[Spec Type]]="","N/A",Table1[[#This Row],[Spec Type]])</f>
        <v>±</v>
      </c>
      <c r="AC2822" s="1" t="str">
        <f>IF(Table1[[#This Row],[Spec Type2]]="N/A","N/A",IF(AND(Table1[[#This Row],[DUT Adj Read]]&gt;=Table1[[#This Row],[Low Tol]],Table1[[#This Row],[DUT Adj Read]]&lt;=Table1[[#This Row],[High Tol]]),"Pass","Fail"))</f>
        <v>Fail</v>
      </c>
      <c r="AD2822" s="1" t="str">
        <f>IF(AND(Table1[[#This Row],[Spec Type2]]="N/A",Table1[[#This Row],[DUT Adj Read]]="N/A",Table1[[#This Row],[Std Adj Read]]="N/A"),"N/A",IF(Table1[[#This Row],[DUT Adj Read]]="N/A",IF(Table1[[#This Row],[Std Adj Read]]&gt;Table1[[#This Row],[Low Tol]],"Pass","Fail"),IF(Table1[[#This Row],[DUT Adj Read]]&gt;Table1[[#This Row],[Low Tol]],"Pass","Fail")))</f>
        <v>Pass</v>
      </c>
      <c r="AE2822" s="1" t="str">
        <f>IF(AND(Table1[[#This Row],[Spec Type2]]="N/A",Table1[[#This Row],[DUT Adj Read]]="N/A",Table1[[#This Row],[Std Adj Read]]="N/A"),"N/A",IF(Table1[[#This Row],[DUT Adj Read]]="N/A",IF(Table1[[#This Row],[Std Adj Read]]&lt;Table1[[#This Row],[High Tol]],"Pass","Fail"),IF(Table1[[#This Row],[DUT Adj Read]]&lt;Table1[[#This Row],[High Tol]],"Pass","Fail")))</f>
        <v>Fail</v>
      </c>
      <c r="AF2822" s="1" t="str">
        <f>IF(AND(Table1[[#This Row],[Spec Type2]]="N/A",Table1[[#This Row],[DUT Adj Read]]="N/A",Table1[[#This Row],[Std Adj Read]]="N/A"),"N/A",IF(Table1[[#This Row],[DUT Adj Read]]="N/A",IF(Table1[[#This Row],[Std Adj Read]]&gt;=Table1[[#This Row],[Low Tol]],"Pass","Fail"),IF(Table1[[#This Row],[DUT Adj Read]]&gt;=Table1[[#This Row],[Low Tol]],"Pass","Fail")))</f>
        <v>Pass</v>
      </c>
      <c r="AG2822" s="1" t="str">
        <f>IF(AND(Table1[[#This Row],[Spec Type2]]="N/A",Table1[[#This Row],[DUT Adj Read]]="N/A",Table1[[#This Row],[Std Adj Read]]="N/A"),"N/A",IF(Table1[[#This Row],[DUT Adj Read]]="N/A",IF(Table1[[#This Row],[Std Adj Read]]&lt;=Table1[[#This Row],[High Tol]],"Pass","Fail"),IF(Table1[[#This Row],[DUT Adj Read]]&lt;=Table1[[#This Row],[High Tol]],"Pass","Fail")))</f>
        <v>Fail</v>
      </c>
      <c r="AH28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2" s="1" t="b">
        <v>0</v>
      </c>
      <c r="AN2822" s="1" t="b">
        <v>0</v>
      </c>
      <c r="AO2822" s="1" t="b">
        <v>0</v>
      </c>
    </row>
    <row r="2823" spans="1:41" x14ac:dyDescent="0.25">
      <c r="A2823" s="10"/>
      <c r="B2823" s="10"/>
      <c r="C2823" s="10"/>
      <c r="D2823" s="10"/>
      <c r="E2823" s="10"/>
      <c r="F2823" s="10"/>
      <c r="G2823" s="10"/>
      <c r="H2823" s="10"/>
      <c r="I2823" s="1" t="str">
        <f t="shared" si="129"/>
        <v/>
      </c>
      <c r="J2823" s="1" t="s">
        <v>35</v>
      </c>
      <c r="K2823" s="1" t="str">
        <f t="shared" si="130"/>
        <v/>
      </c>
      <c r="L2823" s="1" t="str">
        <f t="shared" si="131"/>
        <v/>
      </c>
      <c r="M2823" s="1">
        <f>IF(OR(Table1[[#This Row],[Std Nom]]="",Table1[[#This Row],[Std Read]]=""),0,Table1[[#This Row],[Std Nom]]-Table1[[#This Row],[Std Read]])</f>
        <v>0</v>
      </c>
      <c r="N2823" s="1">
        <f>IF(Calculations!$F$5="ACCREDITED 17025 WITH UNCERTAINTIES",$N$10,0)</f>
        <v>0</v>
      </c>
      <c r="Q2823" s="1">
        <f>Table1[[#This Row],[High Tol]]-Table1[[#This Row],[Low Tol]]</f>
        <v>0</v>
      </c>
      <c r="R2823" s="1">
        <f>2*Table1[[#This Row],[Std Error]]</f>
        <v>0</v>
      </c>
      <c r="S2823" s="1" t="str">
        <f>IF(Table1[[#This Row],[High Tol]]="","N/A",IFERROR(ABS(Table1[[#This Row],[Tol Span]]/Table1[[#This Row],[Error Span]]),"N/A"))</f>
        <v>N/A</v>
      </c>
      <c r="T2823" s="1" t="str">
        <f>IF(OR(Table1[[#This Row],[Low Tol]]="",Table1[[#This Row],[High Tol]]=""),"Needs Analysis",IF(Table1[[#This Row],[Ratio]]&gt;=4,"Not Significant",IF(Table1[[#This Row],[Ratio]]&gt;=2,"Semi-Significant","Significant")))</f>
        <v>Needs Analysis</v>
      </c>
      <c r="W2823" s="1">
        <f>IF(Table1[[#This Row],[Cal Type]]&lt;&gt;"ACCREDITED 17025 WITH UNCERTAINTIES",0,"")</f>
        <v>0</v>
      </c>
      <c r="X2823" s="1" t="str">
        <f>IF(Table1[[#This Row],[DUT Read]]="","N/A",Table1[[#This Row],[Std Error]]+Table1[[#This Row],[DUT Read]]+Table1[[#This Row],[DUT Ucty]])</f>
        <v>N/A</v>
      </c>
      <c r="Y2823" s="1" t="str">
        <f>IF(Table1[[#This Row],[Std Read]]="","N/A",Table1[[#This Row],[Std Read]]+Table1[[#This Row],[Std Ucty]])</f>
        <v>N/A</v>
      </c>
      <c r="Z28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3" s="1" t="str">
        <f>IF(Table1[[#This Row],[Spec Type]]="","N/A",Table1[[#This Row],[Spec Type]])</f>
        <v>±</v>
      </c>
      <c r="AC2823" s="1" t="str">
        <f>IF(Table1[[#This Row],[Spec Type2]]="N/A","N/A",IF(AND(Table1[[#This Row],[DUT Adj Read]]&gt;=Table1[[#This Row],[Low Tol]],Table1[[#This Row],[DUT Adj Read]]&lt;=Table1[[#This Row],[High Tol]]),"Pass","Fail"))</f>
        <v>Fail</v>
      </c>
      <c r="AD2823" s="1" t="str">
        <f>IF(AND(Table1[[#This Row],[Spec Type2]]="N/A",Table1[[#This Row],[DUT Adj Read]]="N/A",Table1[[#This Row],[Std Adj Read]]="N/A"),"N/A",IF(Table1[[#This Row],[DUT Adj Read]]="N/A",IF(Table1[[#This Row],[Std Adj Read]]&gt;Table1[[#This Row],[Low Tol]],"Pass","Fail"),IF(Table1[[#This Row],[DUT Adj Read]]&gt;Table1[[#This Row],[Low Tol]],"Pass","Fail")))</f>
        <v>Pass</v>
      </c>
      <c r="AE2823" s="1" t="str">
        <f>IF(AND(Table1[[#This Row],[Spec Type2]]="N/A",Table1[[#This Row],[DUT Adj Read]]="N/A",Table1[[#This Row],[Std Adj Read]]="N/A"),"N/A",IF(Table1[[#This Row],[DUT Adj Read]]="N/A",IF(Table1[[#This Row],[Std Adj Read]]&lt;Table1[[#This Row],[High Tol]],"Pass","Fail"),IF(Table1[[#This Row],[DUT Adj Read]]&lt;Table1[[#This Row],[High Tol]],"Pass","Fail")))</f>
        <v>Fail</v>
      </c>
      <c r="AF2823" s="1" t="str">
        <f>IF(AND(Table1[[#This Row],[Spec Type2]]="N/A",Table1[[#This Row],[DUT Adj Read]]="N/A",Table1[[#This Row],[Std Adj Read]]="N/A"),"N/A",IF(Table1[[#This Row],[DUT Adj Read]]="N/A",IF(Table1[[#This Row],[Std Adj Read]]&gt;=Table1[[#This Row],[Low Tol]],"Pass","Fail"),IF(Table1[[#This Row],[DUT Adj Read]]&gt;=Table1[[#This Row],[Low Tol]],"Pass","Fail")))</f>
        <v>Pass</v>
      </c>
      <c r="AG2823" s="1" t="str">
        <f>IF(AND(Table1[[#This Row],[Spec Type2]]="N/A",Table1[[#This Row],[DUT Adj Read]]="N/A",Table1[[#This Row],[Std Adj Read]]="N/A"),"N/A",IF(Table1[[#This Row],[DUT Adj Read]]="N/A",IF(Table1[[#This Row],[Std Adj Read]]&lt;=Table1[[#This Row],[High Tol]],"Pass","Fail"),IF(Table1[[#This Row],[DUT Adj Read]]&lt;=Table1[[#This Row],[High Tol]],"Pass","Fail")))</f>
        <v>Fail</v>
      </c>
      <c r="AH28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3" s="1" t="b">
        <v>0</v>
      </c>
      <c r="AN2823" s="1" t="b">
        <v>0</v>
      </c>
      <c r="AO2823" s="1" t="b">
        <v>0</v>
      </c>
    </row>
    <row r="2824" spans="1:41" x14ac:dyDescent="0.25">
      <c r="A2824" s="10"/>
      <c r="B2824" s="10"/>
      <c r="C2824" s="10"/>
      <c r="D2824" s="10"/>
      <c r="E2824" s="10"/>
      <c r="F2824" s="10"/>
      <c r="G2824" s="10"/>
      <c r="H2824" s="10"/>
      <c r="I2824" s="1" t="str">
        <f t="shared" si="129"/>
        <v/>
      </c>
      <c r="J2824" s="1" t="s">
        <v>35</v>
      </c>
      <c r="K2824" s="1" t="str">
        <f t="shared" si="130"/>
        <v/>
      </c>
      <c r="L2824" s="1" t="str">
        <f t="shared" si="131"/>
        <v/>
      </c>
      <c r="M2824" s="1">
        <f>IF(OR(Table1[[#This Row],[Std Nom]]="",Table1[[#This Row],[Std Read]]=""),0,Table1[[#This Row],[Std Nom]]-Table1[[#This Row],[Std Read]])</f>
        <v>0</v>
      </c>
      <c r="N2824" s="1">
        <f>IF(Calculations!$F$5="ACCREDITED 17025 WITH UNCERTAINTIES",$N$10,0)</f>
        <v>0</v>
      </c>
      <c r="Q2824" s="1">
        <f>Table1[[#This Row],[High Tol]]-Table1[[#This Row],[Low Tol]]</f>
        <v>0</v>
      </c>
      <c r="R2824" s="1">
        <f>2*Table1[[#This Row],[Std Error]]</f>
        <v>0</v>
      </c>
      <c r="S2824" s="1" t="str">
        <f>IF(Table1[[#This Row],[High Tol]]="","N/A",IFERROR(ABS(Table1[[#This Row],[Tol Span]]/Table1[[#This Row],[Error Span]]),"N/A"))</f>
        <v>N/A</v>
      </c>
      <c r="T2824" s="1" t="str">
        <f>IF(OR(Table1[[#This Row],[Low Tol]]="",Table1[[#This Row],[High Tol]]=""),"Needs Analysis",IF(Table1[[#This Row],[Ratio]]&gt;=4,"Not Significant",IF(Table1[[#This Row],[Ratio]]&gt;=2,"Semi-Significant","Significant")))</f>
        <v>Needs Analysis</v>
      </c>
      <c r="W2824" s="1">
        <f>IF(Table1[[#This Row],[Cal Type]]&lt;&gt;"ACCREDITED 17025 WITH UNCERTAINTIES",0,"")</f>
        <v>0</v>
      </c>
      <c r="X2824" s="1" t="str">
        <f>IF(Table1[[#This Row],[DUT Read]]="","N/A",Table1[[#This Row],[Std Error]]+Table1[[#This Row],[DUT Read]]+Table1[[#This Row],[DUT Ucty]])</f>
        <v>N/A</v>
      </c>
      <c r="Y2824" s="1" t="str">
        <f>IF(Table1[[#This Row],[Std Read]]="","N/A",Table1[[#This Row],[Std Read]]+Table1[[#This Row],[Std Ucty]])</f>
        <v>N/A</v>
      </c>
      <c r="Z28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4" s="1" t="str">
        <f>IF(Table1[[#This Row],[Spec Type]]="","N/A",Table1[[#This Row],[Spec Type]])</f>
        <v>±</v>
      </c>
      <c r="AC2824" s="1" t="str">
        <f>IF(Table1[[#This Row],[Spec Type2]]="N/A","N/A",IF(AND(Table1[[#This Row],[DUT Adj Read]]&gt;=Table1[[#This Row],[Low Tol]],Table1[[#This Row],[DUT Adj Read]]&lt;=Table1[[#This Row],[High Tol]]),"Pass","Fail"))</f>
        <v>Fail</v>
      </c>
      <c r="AD2824" s="1" t="str">
        <f>IF(AND(Table1[[#This Row],[Spec Type2]]="N/A",Table1[[#This Row],[DUT Adj Read]]="N/A",Table1[[#This Row],[Std Adj Read]]="N/A"),"N/A",IF(Table1[[#This Row],[DUT Adj Read]]="N/A",IF(Table1[[#This Row],[Std Adj Read]]&gt;Table1[[#This Row],[Low Tol]],"Pass","Fail"),IF(Table1[[#This Row],[DUT Adj Read]]&gt;Table1[[#This Row],[Low Tol]],"Pass","Fail")))</f>
        <v>Pass</v>
      </c>
      <c r="AE2824" s="1" t="str">
        <f>IF(AND(Table1[[#This Row],[Spec Type2]]="N/A",Table1[[#This Row],[DUT Adj Read]]="N/A",Table1[[#This Row],[Std Adj Read]]="N/A"),"N/A",IF(Table1[[#This Row],[DUT Adj Read]]="N/A",IF(Table1[[#This Row],[Std Adj Read]]&lt;Table1[[#This Row],[High Tol]],"Pass","Fail"),IF(Table1[[#This Row],[DUT Adj Read]]&lt;Table1[[#This Row],[High Tol]],"Pass","Fail")))</f>
        <v>Fail</v>
      </c>
      <c r="AF2824" s="1" t="str">
        <f>IF(AND(Table1[[#This Row],[Spec Type2]]="N/A",Table1[[#This Row],[DUT Adj Read]]="N/A",Table1[[#This Row],[Std Adj Read]]="N/A"),"N/A",IF(Table1[[#This Row],[DUT Adj Read]]="N/A",IF(Table1[[#This Row],[Std Adj Read]]&gt;=Table1[[#This Row],[Low Tol]],"Pass","Fail"),IF(Table1[[#This Row],[DUT Adj Read]]&gt;=Table1[[#This Row],[Low Tol]],"Pass","Fail")))</f>
        <v>Pass</v>
      </c>
      <c r="AG2824" s="1" t="str">
        <f>IF(AND(Table1[[#This Row],[Spec Type2]]="N/A",Table1[[#This Row],[DUT Adj Read]]="N/A",Table1[[#This Row],[Std Adj Read]]="N/A"),"N/A",IF(Table1[[#This Row],[DUT Adj Read]]="N/A",IF(Table1[[#This Row],[Std Adj Read]]&lt;=Table1[[#This Row],[High Tol]],"Pass","Fail"),IF(Table1[[#This Row],[DUT Adj Read]]&lt;=Table1[[#This Row],[High Tol]],"Pass","Fail")))</f>
        <v>Fail</v>
      </c>
      <c r="AH28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4" s="1" t="b">
        <v>0</v>
      </c>
      <c r="AN2824" s="1" t="b">
        <v>0</v>
      </c>
      <c r="AO2824" s="1" t="b">
        <v>0</v>
      </c>
    </row>
    <row r="2825" spans="1:41" x14ac:dyDescent="0.25">
      <c r="A2825" s="10"/>
      <c r="B2825" s="10"/>
      <c r="C2825" s="10"/>
      <c r="D2825" s="10"/>
      <c r="E2825" s="10"/>
      <c r="F2825" s="10"/>
      <c r="G2825" s="10"/>
      <c r="H2825" s="10"/>
      <c r="I2825" s="1" t="str">
        <f t="shared" si="129"/>
        <v/>
      </c>
      <c r="J2825" s="1" t="s">
        <v>35</v>
      </c>
      <c r="K2825" s="1" t="str">
        <f t="shared" si="130"/>
        <v/>
      </c>
      <c r="L2825" s="1" t="str">
        <f t="shared" si="131"/>
        <v/>
      </c>
      <c r="M2825" s="1">
        <f>IF(OR(Table1[[#This Row],[Std Nom]]="",Table1[[#This Row],[Std Read]]=""),0,Table1[[#This Row],[Std Nom]]-Table1[[#This Row],[Std Read]])</f>
        <v>0</v>
      </c>
      <c r="N2825" s="1">
        <f>IF(Calculations!$F$5="ACCREDITED 17025 WITH UNCERTAINTIES",$N$10,0)</f>
        <v>0</v>
      </c>
      <c r="Q2825" s="1">
        <f>Table1[[#This Row],[High Tol]]-Table1[[#This Row],[Low Tol]]</f>
        <v>0</v>
      </c>
      <c r="R2825" s="1">
        <f>2*Table1[[#This Row],[Std Error]]</f>
        <v>0</v>
      </c>
      <c r="S2825" s="1" t="str">
        <f>IF(Table1[[#This Row],[High Tol]]="","N/A",IFERROR(ABS(Table1[[#This Row],[Tol Span]]/Table1[[#This Row],[Error Span]]),"N/A"))</f>
        <v>N/A</v>
      </c>
      <c r="T2825" s="1" t="str">
        <f>IF(OR(Table1[[#This Row],[Low Tol]]="",Table1[[#This Row],[High Tol]]=""),"Needs Analysis",IF(Table1[[#This Row],[Ratio]]&gt;=4,"Not Significant",IF(Table1[[#This Row],[Ratio]]&gt;=2,"Semi-Significant","Significant")))</f>
        <v>Needs Analysis</v>
      </c>
      <c r="W2825" s="1">
        <f>IF(Table1[[#This Row],[Cal Type]]&lt;&gt;"ACCREDITED 17025 WITH UNCERTAINTIES",0,"")</f>
        <v>0</v>
      </c>
      <c r="X2825" s="1" t="str">
        <f>IF(Table1[[#This Row],[DUT Read]]="","N/A",Table1[[#This Row],[Std Error]]+Table1[[#This Row],[DUT Read]]+Table1[[#This Row],[DUT Ucty]])</f>
        <v>N/A</v>
      </c>
      <c r="Y2825" s="1" t="str">
        <f>IF(Table1[[#This Row],[Std Read]]="","N/A",Table1[[#This Row],[Std Read]]+Table1[[#This Row],[Std Ucty]])</f>
        <v>N/A</v>
      </c>
      <c r="Z28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5" s="1" t="str">
        <f>IF(Table1[[#This Row],[Spec Type]]="","N/A",Table1[[#This Row],[Spec Type]])</f>
        <v>±</v>
      </c>
      <c r="AC2825" s="1" t="str">
        <f>IF(Table1[[#This Row],[Spec Type2]]="N/A","N/A",IF(AND(Table1[[#This Row],[DUT Adj Read]]&gt;=Table1[[#This Row],[Low Tol]],Table1[[#This Row],[DUT Adj Read]]&lt;=Table1[[#This Row],[High Tol]]),"Pass","Fail"))</f>
        <v>Fail</v>
      </c>
      <c r="AD2825" s="1" t="str">
        <f>IF(AND(Table1[[#This Row],[Spec Type2]]="N/A",Table1[[#This Row],[DUT Adj Read]]="N/A",Table1[[#This Row],[Std Adj Read]]="N/A"),"N/A",IF(Table1[[#This Row],[DUT Adj Read]]="N/A",IF(Table1[[#This Row],[Std Adj Read]]&gt;Table1[[#This Row],[Low Tol]],"Pass","Fail"),IF(Table1[[#This Row],[DUT Adj Read]]&gt;Table1[[#This Row],[Low Tol]],"Pass","Fail")))</f>
        <v>Pass</v>
      </c>
      <c r="AE2825" s="1" t="str">
        <f>IF(AND(Table1[[#This Row],[Spec Type2]]="N/A",Table1[[#This Row],[DUT Adj Read]]="N/A",Table1[[#This Row],[Std Adj Read]]="N/A"),"N/A",IF(Table1[[#This Row],[DUT Adj Read]]="N/A",IF(Table1[[#This Row],[Std Adj Read]]&lt;Table1[[#This Row],[High Tol]],"Pass","Fail"),IF(Table1[[#This Row],[DUT Adj Read]]&lt;Table1[[#This Row],[High Tol]],"Pass","Fail")))</f>
        <v>Fail</v>
      </c>
      <c r="AF2825" s="1" t="str">
        <f>IF(AND(Table1[[#This Row],[Spec Type2]]="N/A",Table1[[#This Row],[DUT Adj Read]]="N/A",Table1[[#This Row],[Std Adj Read]]="N/A"),"N/A",IF(Table1[[#This Row],[DUT Adj Read]]="N/A",IF(Table1[[#This Row],[Std Adj Read]]&gt;=Table1[[#This Row],[Low Tol]],"Pass","Fail"),IF(Table1[[#This Row],[DUT Adj Read]]&gt;=Table1[[#This Row],[Low Tol]],"Pass","Fail")))</f>
        <v>Pass</v>
      </c>
      <c r="AG2825" s="1" t="str">
        <f>IF(AND(Table1[[#This Row],[Spec Type2]]="N/A",Table1[[#This Row],[DUT Adj Read]]="N/A",Table1[[#This Row],[Std Adj Read]]="N/A"),"N/A",IF(Table1[[#This Row],[DUT Adj Read]]="N/A",IF(Table1[[#This Row],[Std Adj Read]]&lt;=Table1[[#This Row],[High Tol]],"Pass","Fail"),IF(Table1[[#This Row],[DUT Adj Read]]&lt;=Table1[[#This Row],[High Tol]],"Pass","Fail")))</f>
        <v>Fail</v>
      </c>
      <c r="AH28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5" s="1" t="b">
        <v>0</v>
      </c>
      <c r="AN2825" s="1" t="b">
        <v>0</v>
      </c>
      <c r="AO2825" s="1" t="b">
        <v>0</v>
      </c>
    </row>
    <row r="2826" spans="1:41" x14ac:dyDescent="0.25">
      <c r="A2826" s="10"/>
      <c r="B2826" s="10"/>
      <c r="C2826" s="10"/>
      <c r="D2826" s="10"/>
      <c r="E2826" s="10"/>
      <c r="F2826" s="10"/>
      <c r="G2826" s="10"/>
      <c r="H2826" s="10"/>
      <c r="I2826" s="1" t="str">
        <f t="shared" si="129"/>
        <v/>
      </c>
      <c r="J2826" s="1" t="s">
        <v>35</v>
      </c>
      <c r="K2826" s="1" t="str">
        <f t="shared" si="130"/>
        <v/>
      </c>
      <c r="L2826" s="1" t="str">
        <f t="shared" si="131"/>
        <v/>
      </c>
      <c r="M2826" s="1">
        <f>IF(OR(Table1[[#This Row],[Std Nom]]="",Table1[[#This Row],[Std Read]]=""),0,Table1[[#This Row],[Std Nom]]-Table1[[#This Row],[Std Read]])</f>
        <v>0</v>
      </c>
      <c r="N2826" s="1">
        <f>IF(Calculations!$F$5="ACCREDITED 17025 WITH UNCERTAINTIES",$N$10,0)</f>
        <v>0</v>
      </c>
      <c r="Q2826" s="1">
        <f>Table1[[#This Row],[High Tol]]-Table1[[#This Row],[Low Tol]]</f>
        <v>0</v>
      </c>
      <c r="R2826" s="1">
        <f>2*Table1[[#This Row],[Std Error]]</f>
        <v>0</v>
      </c>
      <c r="S2826" s="1" t="str">
        <f>IF(Table1[[#This Row],[High Tol]]="","N/A",IFERROR(ABS(Table1[[#This Row],[Tol Span]]/Table1[[#This Row],[Error Span]]),"N/A"))</f>
        <v>N/A</v>
      </c>
      <c r="T2826" s="1" t="str">
        <f>IF(OR(Table1[[#This Row],[Low Tol]]="",Table1[[#This Row],[High Tol]]=""),"Needs Analysis",IF(Table1[[#This Row],[Ratio]]&gt;=4,"Not Significant",IF(Table1[[#This Row],[Ratio]]&gt;=2,"Semi-Significant","Significant")))</f>
        <v>Needs Analysis</v>
      </c>
      <c r="W2826" s="1">
        <f>IF(Table1[[#This Row],[Cal Type]]&lt;&gt;"ACCREDITED 17025 WITH UNCERTAINTIES",0,"")</f>
        <v>0</v>
      </c>
      <c r="X2826" s="1" t="str">
        <f>IF(Table1[[#This Row],[DUT Read]]="","N/A",Table1[[#This Row],[Std Error]]+Table1[[#This Row],[DUT Read]]+Table1[[#This Row],[DUT Ucty]])</f>
        <v>N/A</v>
      </c>
      <c r="Y2826" s="1" t="str">
        <f>IF(Table1[[#This Row],[Std Read]]="","N/A",Table1[[#This Row],[Std Read]]+Table1[[#This Row],[Std Ucty]])</f>
        <v>N/A</v>
      </c>
      <c r="Z28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6" s="1" t="str">
        <f>IF(Table1[[#This Row],[Spec Type]]="","N/A",Table1[[#This Row],[Spec Type]])</f>
        <v>±</v>
      </c>
      <c r="AC2826" s="1" t="str">
        <f>IF(Table1[[#This Row],[Spec Type2]]="N/A","N/A",IF(AND(Table1[[#This Row],[DUT Adj Read]]&gt;=Table1[[#This Row],[Low Tol]],Table1[[#This Row],[DUT Adj Read]]&lt;=Table1[[#This Row],[High Tol]]),"Pass","Fail"))</f>
        <v>Fail</v>
      </c>
      <c r="AD2826" s="1" t="str">
        <f>IF(AND(Table1[[#This Row],[Spec Type2]]="N/A",Table1[[#This Row],[DUT Adj Read]]="N/A",Table1[[#This Row],[Std Adj Read]]="N/A"),"N/A",IF(Table1[[#This Row],[DUT Adj Read]]="N/A",IF(Table1[[#This Row],[Std Adj Read]]&gt;Table1[[#This Row],[Low Tol]],"Pass","Fail"),IF(Table1[[#This Row],[DUT Adj Read]]&gt;Table1[[#This Row],[Low Tol]],"Pass","Fail")))</f>
        <v>Pass</v>
      </c>
      <c r="AE2826" s="1" t="str">
        <f>IF(AND(Table1[[#This Row],[Spec Type2]]="N/A",Table1[[#This Row],[DUT Adj Read]]="N/A",Table1[[#This Row],[Std Adj Read]]="N/A"),"N/A",IF(Table1[[#This Row],[DUT Adj Read]]="N/A",IF(Table1[[#This Row],[Std Adj Read]]&lt;Table1[[#This Row],[High Tol]],"Pass","Fail"),IF(Table1[[#This Row],[DUT Adj Read]]&lt;Table1[[#This Row],[High Tol]],"Pass","Fail")))</f>
        <v>Fail</v>
      </c>
      <c r="AF2826" s="1" t="str">
        <f>IF(AND(Table1[[#This Row],[Spec Type2]]="N/A",Table1[[#This Row],[DUT Adj Read]]="N/A",Table1[[#This Row],[Std Adj Read]]="N/A"),"N/A",IF(Table1[[#This Row],[DUT Adj Read]]="N/A",IF(Table1[[#This Row],[Std Adj Read]]&gt;=Table1[[#This Row],[Low Tol]],"Pass","Fail"),IF(Table1[[#This Row],[DUT Adj Read]]&gt;=Table1[[#This Row],[Low Tol]],"Pass","Fail")))</f>
        <v>Pass</v>
      </c>
      <c r="AG2826" s="1" t="str">
        <f>IF(AND(Table1[[#This Row],[Spec Type2]]="N/A",Table1[[#This Row],[DUT Adj Read]]="N/A",Table1[[#This Row],[Std Adj Read]]="N/A"),"N/A",IF(Table1[[#This Row],[DUT Adj Read]]="N/A",IF(Table1[[#This Row],[Std Adj Read]]&lt;=Table1[[#This Row],[High Tol]],"Pass","Fail"),IF(Table1[[#This Row],[DUT Adj Read]]&lt;=Table1[[#This Row],[High Tol]],"Pass","Fail")))</f>
        <v>Fail</v>
      </c>
      <c r="AH28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6" s="1" t="b">
        <v>0</v>
      </c>
      <c r="AN2826" s="1" t="b">
        <v>0</v>
      </c>
      <c r="AO2826" s="1" t="b">
        <v>0</v>
      </c>
    </row>
    <row r="2827" spans="1:41" x14ac:dyDescent="0.25">
      <c r="A2827" s="10"/>
      <c r="B2827" s="10"/>
      <c r="C2827" s="10"/>
      <c r="D2827" s="10"/>
      <c r="E2827" s="10"/>
      <c r="F2827" s="10"/>
      <c r="G2827" s="10"/>
      <c r="H2827" s="10"/>
      <c r="I2827" s="1" t="str">
        <f t="shared" ref="I2827:I2890" si="132">IF($I$10="","",$I$10)</f>
        <v/>
      </c>
      <c r="J2827" s="1" t="s">
        <v>35</v>
      </c>
      <c r="K2827" s="1" t="str">
        <f t="shared" ref="K2827:K2890" si="133">IF($K$10="","",$K$10)</f>
        <v/>
      </c>
      <c r="L2827" s="1" t="str">
        <f t="shared" ref="L2827:L2890" si="134">IF($L$10="","",$L$10)</f>
        <v/>
      </c>
      <c r="M2827" s="1">
        <f>IF(OR(Table1[[#This Row],[Std Nom]]="",Table1[[#This Row],[Std Read]]=""),0,Table1[[#This Row],[Std Nom]]-Table1[[#This Row],[Std Read]])</f>
        <v>0</v>
      </c>
      <c r="N2827" s="1">
        <f>IF(Calculations!$F$5="ACCREDITED 17025 WITH UNCERTAINTIES",$N$10,0)</f>
        <v>0</v>
      </c>
      <c r="Q2827" s="1">
        <f>Table1[[#This Row],[High Tol]]-Table1[[#This Row],[Low Tol]]</f>
        <v>0</v>
      </c>
      <c r="R2827" s="1">
        <f>2*Table1[[#This Row],[Std Error]]</f>
        <v>0</v>
      </c>
      <c r="S2827" s="1" t="str">
        <f>IF(Table1[[#This Row],[High Tol]]="","N/A",IFERROR(ABS(Table1[[#This Row],[Tol Span]]/Table1[[#This Row],[Error Span]]),"N/A"))</f>
        <v>N/A</v>
      </c>
      <c r="T2827" s="1" t="str">
        <f>IF(OR(Table1[[#This Row],[Low Tol]]="",Table1[[#This Row],[High Tol]]=""),"Needs Analysis",IF(Table1[[#This Row],[Ratio]]&gt;=4,"Not Significant",IF(Table1[[#This Row],[Ratio]]&gt;=2,"Semi-Significant","Significant")))</f>
        <v>Needs Analysis</v>
      </c>
      <c r="W2827" s="1">
        <f>IF(Table1[[#This Row],[Cal Type]]&lt;&gt;"ACCREDITED 17025 WITH UNCERTAINTIES",0,"")</f>
        <v>0</v>
      </c>
      <c r="X2827" s="1" t="str">
        <f>IF(Table1[[#This Row],[DUT Read]]="","N/A",Table1[[#This Row],[Std Error]]+Table1[[#This Row],[DUT Read]]+Table1[[#This Row],[DUT Ucty]])</f>
        <v>N/A</v>
      </c>
      <c r="Y2827" s="1" t="str">
        <f>IF(Table1[[#This Row],[Std Read]]="","N/A",Table1[[#This Row],[Std Read]]+Table1[[#This Row],[Std Ucty]])</f>
        <v>N/A</v>
      </c>
      <c r="Z28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7" s="1" t="str">
        <f>IF(Table1[[#This Row],[Spec Type]]="","N/A",Table1[[#This Row],[Spec Type]])</f>
        <v>±</v>
      </c>
      <c r="AC2827" s="1" t="str">
        <f>IF(Table1[[#This Row],[Spec Type2]]="N/A","N/A",IF(AND(Table1[[#This Row],[DUT Adj Read]]&gt;=Table1[[#This Row],[Low Tol]],Table1[[#This Row],[DUT Adj Read]]&lt;=Table1[[#This Row],[High Tol]]),"Pass","Fail"))</f>
        <v>Fail</v>
      </c>
      <c r="AD2827" s="1" t="str">
        <f>IF(AND(Table1[[#This Row],[Spec Type2]]="N/A",Table1[[#This Row],[DUT Adj Read]]="N/A",Table1[[#This Row],[Std Adj Read]]="N/A"),"N/A",IF(Table1[[#This Row],[DUT Adj Read]]="N/A",IF(Table1[[#This Row],[Std Adj Read]]&gt;Table1[[#This Row],[Low Tol]],"Pass","Fail"),IF(Table1[[#This Row],[DUT Adj Read]]&gt;Table1[[#This Row],[Low Tol]],"Pass","Fail")))</f>
        <v>Pass</v>
      </c>
      <c r="AE2827" s="1" t="str">
        <f>IF(AND(Table1[[#This Row],[Spec Type2]]="N/A",Table1[[#This Row],[DUT Adj Read]]="N/A",Table1[[#This Row],[Std Adj Read]]="N/A"),"N/A",IF(Table1[[#This Row],[DUT Adj Read]]="N/A",IF(Table1[[#This Row],[Std Adj Read]]&lt;Table1[[#This Row],[High Tol]],"Pass","Fail"),IF(Table1[[#This Row],[DUT Adj Read]]&lt;Table1[[#This Row],[High Tol]],"Pass","Fail")))</f>
        <v>Fail</v>
      </c>
      <c r="AF2827" s="1" t="str">
        <f>IF(AND(Table1[[#This Row],[Spec Type2]]="N/A",Table1[[#This Row],[DUT Adj Read]]="N/A",Table1[[#This Row],[Std Adj Read]]="N/A"),"N/A",IF(Table1[[#This Row],[DUT Adj Read]]="N/A",IF(Table1[[#This Row],[Std Adj Read]]&gt;=Table1[[#This Row],[Low Tol]],"Pass","Fail"),IF(Table1[[#This Row],[DUT Adj Read]]&gt;=Table1[[#This Row],[Low Tol]],"Pass","Fail")))</f>
        <v>Pass</v>
      </c>
      <c r="AG2827" s="1" t="str">
        <f>IF(AND(Table1[[#This Row],[Spec Type2]]="N/A",Table1[[#This Row],[DUT Adj Read]]="N/A",Table1[[#This Row],[Std Adj Read]]="N/A"),"N/A",IF(Table1[[#This Row],[DUT Adj Read]]="N/A",IF(Table1[[#This Row],[Std Adj Read]]&lt;=Table1[[#This Row],[High Tol]],"Pass","Fail"),IF(Table1[[#This Row],[DUT Adj Read]]&lt;=Table1[[#This Row],[High Tol]],"Pass","Fail")))</f>
        <v>Fail</v>
      </c>
      <c r="AH28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7" s="1" t="b">
        <v>0</v>
      </c>
      <c r="AN2827" s="1" t="b">
        <v>0</v>
      </c>
      <c r="AO2827" s="1" t="b">
        <v>0</v>
      </c>
    </row>
    <row r="2828" spans="1:41" x14ac:dyDescent="0.25">
      <c r="A2828" s="10"/>
      <c r="B2828" s="10"/>
      <c r="C2828" s="10"/>
      <c r="D2828" s="10"/>
      <c r="E2828" s="10"/>
      <c r="F2828" s="10"/>
      <c r="G2828" s="10"/>
      <c r="H2828" s="10"/>
      <c r="I2828" s="1" t="str">
        <f t="shared" si="132"/>
        <v/>
      </c>
      <c r="J2828" s="1" t="s">
        <v>35</v>
      </c>
      <c r="K2828" s="1" t="str">
        <f t="shared" si="133"/>
        <v/>
      </c>
      <c r="L2828" s="1" t="str">
        <f t="shared" si="134"/>
        <v/>
      </c>
      <c r="M2828" s="1">
        <f>IF(OR(Table1[[#This Row],[Std Nom]]="",Table1[[#This Row],[Std Read]]=""),0,Table1[[#This Row],[Std Nom]]-Table1[[#This Row],[Std Read]])</f>
        <v>0</v>
      </c>
      <c r="N2828" s="1">
        <f>IF(Calculations!$F$5="ACCREDITED 17025 WITH UNCERTAINTIES",$N$10,0)</f>
        <v>0</v>
      </c>
      <c r="Q2828" s="1">
        <f>Table1[[#This Row],[High Tol]]-Table1[[#This Row],[Low Tol]]</f>
        <v>0</v>
      </c>
      <c r="R2828" s="1">
        <f>2*Table1[[#This Row],[Std Error]]</f>
        <v>0</v>
      </c>
      <c r="S2828" s="1" t="str">
        <f>IF(Table1[[#This Row],[High Tol]]="","N/A",IFERROR(ABS(Table1[[#This Row],[Tol Span]]/Table1[[#This Row],[Error Span]]),"N/A"))</f>
        <v>N/A</v>
      </c>
      <c r="T2828" s="1" t="str">
        <f>IF(OR(Table1[[#This Row],[Low Tol]]="",Table1[[#This Row],[High Tol]]=""),"Needs Analysis",IF(Table1[[#This Row],[Ratio]]&gt;=4,"Not Significant",IF(Table1[[#This Row],[Ratio]]&gt;=2,"Semi-Significant","Significant")))</f>
        <v>Needs Analysis</v>
      </c>
      <c r="W2828" s="1">
        <f>IF(Table1[[#This Row],[Cal Type]]&lt;&gt;"ACCREDITED 17025 WITH UNCERTAINTIES",0,"")</f>
        <v>0</v>
      </c>
      <c r="X2828" s="1" t="str">
        <f>IF(Table1[[#This Row],[DUT Read]]="","N/A",Table1[[#This Row],[Std Error]]+Table1[[#This Row],[DUT Read]]+Table1[[#This Row],[DUT Ucty]])</f>
        <v>N/A</v>
      </c>
      <c r="Y2828" s="1" t="str">
        <f>IF(Table1[[#This Row],[Std Read]]="","N/A",Table1[[#This Row],[Std Read]]+Table1[[#This Row],[Std Ucty]])</f>
        <v>N/A</v>
      </c>
      <c r="Z28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8" s="1" t="str">
        <f>IF(Table1[[#This Row],[Spec Type]]="","N/A",Table1[[#This Row],[Spec Type]])</f>
        <v>±</v>
      </c>
      <c r="AC2828" s="1" t="str">
        <f>IF(Table1[[#This Row],[Spec Type2]]="N/A","N/A",IF(AND(Table1[[#This Row],[DUT Adj Read]]&gt;=Table1[[#This Row],[Low Tol]],Table1[[#This Row],[DUT Adj Read]]&lt;=Table1[[#This Row],[High Tol]]),"Pass","Fail"))</f>
        <v>Fail</v>
      </c>
      <c r="AD2828" s="1" t="str">
        <f>IF(AND(Table1[[#This Row],[Spec Type2]]="N/A",Table1[[#This Row],[DUT Adj Read]]="N/A",Table1[[#This Row],[Std Adj Read]]="N/A"),"N/A",IF(Table1[[#This Row],[DUT Adj Read]]="N/A",IF(Table1[[#This Row],[Std Adj Read]]&gt;Table1[[#This Row],[Low Tol]],"Pass","Fail"),IF(Table1[[#This Row],[DUT Adj Read]]&gt;Table1[[#This Row],[Low Tol]],"Pass","Fail")))</f>
        <v>Pass</v>
      </c>
      <c r="AE2828" s="1" t="str">
        <f>IF(AND(Table1[[#This Row],[Spec Type2]]="N/A",Table1[[#This Row],[DUT Adj Read]]="N/A",Table1[[#This Row],[Std Adj Read]]="N/A"),"N/A",IF(Table1[[#This Row],[DUT Adj Read]]="N/A",IF(Table1[[#This Row],[Std Adj Read]]&lt;Table1[[#This Row],[High Tol]],"Pass","Fail"),IF(Table1[[#This Row],[DUT Adj Read]]&lt;Table1[[#This Row],[High Tol]],"Pass","Fail")))</f>
        <v>Fail</v>
      </c>
      <c r="AF2828" s="1" t="str">
        <f>IF(AND(Table1[[#This Row],[Spec Type2]]="N/A",Table1[[#This Row],[DUT Adj Read]]="N/A",Table1[[#This Row],[Std Adj Read]]="N/A"),"N/A",IF(Table1[[#This Row],[DUT Adj Read]]="N/A",IF(Table1[[#This Row],[Std Adj Read]]&gt;=Table1[[#This Row],[Low Tol]],"Pass","Fail"),IF(Table1[[#This Row],[DUT Adj Read]]&gt;=Table1[[#This Row],[Low Tol]],"Pass","Fail")))</f>
        <v>Pass</v>
      </c>
      <c r="AG2828" s="1" t="str">
        <f>IF(AND(Table1[[#This Row],[Spec Type2]]="N/A",Table1[[#This Row],[DUT Adj Read]]="N/A",Table1[[#This Row],[Std Adj Read]]="N/A"),"N/A",IF(Table1[[#This Row],[DUT Adj Read]]="N/A",IF(Table1[[#This Row],[Std Adj Read]]&lt;=Table1[[#This Row],[High Tol]],"Pass","Fail"),IF(Table1[[#This Row],[DUT Adj Read]]&lt;=Table1[[#This Row],[High Tol]],"Pass","Fail")))</f>
        <v>Fail</v>
      </c>
      <c r="AH28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8" s="1" t="b">
        <v>0</v>
      </c>
      <c r="AN2828" s="1" t="b">
        <v>0</v>
      </c>
      <c r="AO2828" s="1" t="b">
        <v>0</v>
      </c>
    </row>
    <row r="2829" spans="1:41" x14ac:dyDescent="0.25">
      <c r="A2829" s="10"/>
      <c r="B2829" s="10"/>
      <c r="C2829" s="10"/>
      <c r="D2829" s="10"/>
      <c r="E2829" s="10"/>
      <c r="F2829" s="10"/>
      <c r="G2829" s="10"/>
      <c r="H2829" s="10"/>
      <c r="I2829" s="1" t="str">
        <f t="shared" si="132"/>
        <v/>
      </c>
      <c r="J2829" s="1" t="s">
        <v>35</v>
      </c>
      <c r="K2829" s="1" t="str">
        <f t="shared" si="133"/>
        <v/>
      </c>
      <c r="L2829" s="1" t="str">
        <f t="shared" si="134"/>
        <v/>
      </c>
      <c r="M2829" s="1">
        <f>IF(OR(Table1[[#This Row],[Std Nom]]="",Table1[[#This Row],[Std Read]]=""),0,Table1[[#This Row],[Std Nom]]-Table1[[#This Row],[Std Read]])</f>
        <v>0</v>
      </c>
      <c r="N2829" s="1">
        <f>IF(Calculations!$F$5="ACCREDITED 17025 WITH UNCERTAINTIES",$N$10,0)</f>
        <v>0</v>
      </c>
      <c r="Q2829" s="1">
        <f>Table1[[#This Row],[High Tol]]-Table1[[#This Row],[Low Tol]]</f>
        <v>0</v>
      </c>
      <c r="R2829" s="1">
        <f>2*Table1[[#This Row],[Std Error]]</f>
        <v>0</v>
      </c>
      <c r="S2829" s="1" t="str">
        <f>IF(Table1[[#This Row],[High Tol]]="","N/A",IFERROR(ABS(Table1[[#This Row],[Tol Span]]/Table1[[#This Row],[Error Span]]),"N/A"))</f>
        <v>N/A</v>
      </c>
      <c r="T2829" s="1" t="str">
        <f>IF(OR(Table1[[#This Row],[Low Tol]]="",Table1[[#This Row],[High Tol]]=""),"Needs Analysis",IF(Table1[[#This Row],[Ratio]]&gt;=4,"Not Significant",IF(Table1[[#This Row],[Ratio]]&gt;=2,"Semi-Significant","Significant")))</f>
        <v>Needs Analysis</v>
      </c>
      <c r="W2829" s="1">
        <f>IF(Table1[[#This Row],[Cal Type]]&lt;&gt;"ACCREDITED 17025 WITH UNCERTAINTIES",0,"")</f>
        <v>0</v>
      </c>
      <c r="X2829" s="1" t="str">
        <f>IF(Table1[[#This Row],[DUT Read]]="","N/A",Table1[[#This Row],[Std Error]]+Table1[[#This Row],[DUT Read]]+Table1[[#This Row],[DUT Ucty]])</f>
        <v>N/A</v>
      </c>
      <c r="Y2829" s="1" t="str">
        <f>IF(Table1[[#This Row],[Std Read]]="","N/A",Table1[[#This Row],[Std Read]]+Table1[[#This Row],[Std Ucty]])</f>
        <v>N/A</v>
      </c>
      <c r="Z28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29" s="1" t="str">
        <f>IF(Table1[[#This Row],[Spec Type]]="","N/A",Table1[[#This Row],[Spec Type]])</f>
        <v>±</v>
      </c>
      <c r="AC2829" s="1" t="str">
        <f>IF(Table1[[#This Row],[Spec Type2]]="N/A","N/A",IF(AND(Table1[[#This Row],[DUT Adj Read]]&gt;=Table1[[#This Row],[Low Tol]],Table1[[#This Row],[DUT Adj Read]]&lt;=Table1[[#This Row],[High Tol]]),"Pass","Fail"))</f>
        <v>Fail</v>
      </c>
      <c r="AD2829" s="1" t="str">
        <f>IF(AND(Table1[[#This Row],[Spec Type2]]="N/A",Table1[[#This Row],[DUT Adj Read]]="N/A",Table1[[#This Row],[Std Adj Read]]="N/A"),"N/A",IF(Table1[[#This Row],[DUT Adj Read]]="N/A",IF(Table1[[#This Row],[Std Adj Read]]&gt;Table1[[#This Row],[Low Tol]],"Pass","Fail"),IF(Table1[[#This Row],[DUT Adj Read]]&gt;Table1[[#This Row],[Low Tol]],"Pass","Fail")))</f>
        <v>Pass</v>
      </c>
      <c r="AE2829" s="1" t="str">
        <f>IF(AND(Table1[[#This Row],[Spec Type2]]="N/A",Table1[[#This Row],[DUT Adj Read]]="N/A",Table1[[#This Row],[Std Adj Read]]="N/A"),"N/A",IF(Table1[[#This Row],[DUT Adj Read]]="N/A",IF(Table1[[#This Row],[Std Adj Read]]&lt;Table1[[#This Row],[High Tol]],"Pass","Fail"),IF(Table1[[#This Row],[DUT Adj Read]]&lt;Table1[[#This Row],[High Tol]],"Pass","Fail")))</f>
        <v>Fail</v>
      </c>
      <c r="AF2829" s="1" t="str">
        <f>IF(AND(Table1[[#This Row],[Spec Type2]]="N/A",Table1[[#This Row],[DUT Adj Read]]="N/A",Table1[[#This Row],[Std Adj Read]]="N/A"),"N/A",IF(Table1[[#This Row],[DUT Adj Read]]="N/A",IF(Table1[[#This Row],[Std Adj Read]]&gt;=Table1[[#This Row],[Low Tol]],"Pass","Fail"),IF(Table1[[#This Row],[DUT Adj Read]]&gt;=Table1[[#This Row],[Low Tol]],"Pass","Fail")))</f>
        <v>Pass</v>
      </c>
      <c r="AG2829" s="1" t="str">
        <f>IF(AND(Table1[[#This Row],[Spec Type2]]="N/A",Table1[[#This Row],[DUT Adj Read]]="N/A",Table1[[#This Row],[Std Adj Read]]="N/A"),"N/A",IF(Table1[[#This Row],[DUT Adj Read]]="N/A",IF(Table1[[#This Row],[Std Adj Read]]&lt;=Table1[[#This Row],[High Tol]],"Pass","Fail"),IF(Table1[[#This Row],[DUT Adj Read]]&lt;=Table1[[#This Row],[High Tol]],"Pass","Fail")))</f>
        <v>Fail</v>
      </c>
      <c r="AH28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29" s="1" t="b">
        <v>0</v>
      </c>
      <c r="AN2829" s="1" t="b">
        <v>0</v>
      </c>
      <c r="AO2829" s="1" t="b">
        <v>0</v>
      </c>
    </row>
    <row r="2830" spans="1:41" x14ac:dyDescent="0.25">
      <c r="A2830" s="10"/>
      <c r="B2830" s="10"/>
      <c r="C2830" s="10"/>
      <c r="D2830" s="10"/>
      <c r="E2830" s="10"/>
      <c r="F2830" s="10"/>
      <c r="G2830" s="10"/>
      <c r="H2830" s="10"/>
      <c r="I2830" s="1" t="str">
        <f t="shared" si="132"/>
        <v/>
      </c>
      <c r="J2830" s="1" t="s">
        <v>35</v>
      </c>
      <c r="K2830" s="1" t="str">
        <f t="shared" si="133"/>
        <v/>
      </c>
      <c r="L2830" s="1" t="str">
        <f t="shared" si="134"/>
        <v/>
      </c>
      <c r="M2830" s="1">
        <f>IF(OR(Table1[[#This Row],[Std Nom]]="",Table1[[#This Row],[Std Read]]=""),0,Table1[[#This Row],[Std Nom]]-Table1[[#This Row],[Std Read]])</f>
        <v>0</v>
      </c>
      <c r="N2830" s="1">
        <f>IF(Calculations!$F$5="ACCREDITED 17025 WITH UNCERTAINTIES",$N$10,0)</f>
        <v>0</v>
      </c>
      <c r="Q2830" s="1">
        <f>Table1[[#This Row],[High Tol]]-Table1[[#This Row],[Low Tol]]</f>
        <v>0</v>
      </c>
      <c r="R2830" s="1">
        <f>2*Table1[[#This Row],[Std Error]]</f>
        <v>0</v>
      </c>
      <c r="S2830" s="1" t="str">
        <f>IF(Table1[[#This Row],[High Tol]]="","N/A",IFERROR(ABS(Table1[[#This Row],[Tol Span]]/Table1[[#This Row],[Error Span]]),"N/A"))</f>
        <v>N/A</v>
      </c>
      <c r="T2830" s="1" t="str">
        <f>IF(OR(Table1[[#This Row],[Low Tol]]="",Table1[[#This Row],[High Tol]]=""),"Needs Analysis",IF(Table1[[#This Row],[Ratio]]&gt;=4,"Not Significant",IF(Table1[[#This Row],[Ratio]]&gt;=2,"Semi-Significant","Significant")))</f>
        <v>Needs Analysis</v>
      </c>
      <c r="W2830" s="1">
        <f>IF(Table1[[#This Row],[Cal Type]]&lt;&gt;"ACCREDITED 17025 WITH UNCERTAINTIES",0,"")</f>
        <v>0</v>
      </c>
      <c r="X2830" s="1" t="str">
        <f>IF(Table1[[#This Row],[DUT Read]]="","N/A",Table1[[#This Row],[Std Error]]+Table1[[#This Row],[DUT Read]]+Table1[[#This Row],[DUT Ucty]])</f>
        <v>N/A</v>
      </c>
      <c r="Y2830" s="1" t="str">
        <f>IF(Table1[[#This Row],[Std Read]]="","N/A",Table1[[#This Row],[Std Read]]+Table1[[#This Row],[Std Ucty]])</f>
        <v>N/A</v>
      </c>
      <c r="Z28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0" s="1" t="str">
        <f>IF(Table1[[#This Row],[Spec Type]]="","N/A",Table1[[#This Row],[Spec Type]])</f>
        <v>±</v>
      </c>
      <c r="AC2830" s="1" t="str">
        <f>IF(Table1[[#This Row],[Spec Type2]]="N/A","N/A",IF(AND(Table1[[#This Row],[DUT Adj Read]]&gt;=Table1[[#This Row],[Low Tol]],Table1[[#This Row],[DUT Adj Read]]&lt;=Table1[[#This Row],[High Tol]]),"Pass","Fail"))</f>
        <v>Fail</v>
      </c>
      <c r="AD2830" s="1" t="str">
        <f>IF(AND(Table1[[#This Row],[Spec Type2]]="N/A",Table1[[#This Row],[DUT Adj Read]]="N/A",Table1[[#This Row],[Std Adj Read]]="N/A"),"N/A",IF(Table1[[#This Row],[DUT Adj Read]]="N/A",IF(Table1[[#This Row],[Std Adj Read]]&gt;Table1[[#This Row],[Low Tol]],"Pass","Fail"),IF(Table1[[#This Row],[DUT Adj Read]]&gt;Table1[[#This Row],[Low Tol]],"Pass","Fail")))</f>
        <v>Pass</v>
      </c>
      <c r="AE2830" s="1" t="str">
        <f>IF(AND(Table1[[#This Row],[Spec Type2]]="N/A",Table1[[#This Row],[DUT Adj Read]]="N/A",Table1[[#This Row],[Std Adj Read]]="N/A"),"N/A",IF(Table1[[#This Row],[DUT Adj Read]]="N/A",IF(Table1[[#This Row],[Std Adj Read]]&lt;Table1[[#This Row],[High Tol]],"Pass","Fail"),IF(Table1[[#This Row],[DUT Adj Read]]&lt;Table1[[#This Row],[High Tol]],"Pass","Fail")))</f>
        <v>Fail</v>
      </c>
      <c r="AF2830" s="1" t="str">
        <f>IF(AND(Table1[[#This Row],[Spec Type2]]="N/A",Table1[[#This Row],[DUT Adj Read]]="N/A",Table1[[#This Row],[Std Adj Read]]="N/A"),"N/A",IF(Table1[[#This Row],[DUT Adj Read]]="N/A",IF(Table1[[#This Row],[Std Adj Read]]&gt;=Table1[[#This Row],[Low Tol]],"Pass","Fail"),IF(Table1[[#This Row],[DUT Adj Read]]&gt;=Table1[[#This Row],[Low Tol]],"Pass","Fail")))</f>
        <v>Pass</v>
      </c>
      <c r="AG2830" s="1" t="str">
        <f>IF(AND(Table1[[#This Row],[Spec Type2]]="N/A",Table1[[#This Row],[DUT Adj Read]]="N/A",Table1[[#This Row],[Std Adj Read]]="N/A"),"N/A",IF(Table1[[#This Row],[DUT Adj Read]]="N/A",IF(Table1[[#This Row],[Std Adj Read]]&lt;=Table1[[#This Row],[High Tol]],"Pass","Fail"),IF(Table1[[#This Row],[DUT Adj Read]]&lt;=Table1[[#This Row],[High Tol]],"Pass","Fail")))</f>
        <v>Fail</v>
      </c>
      <c r="AH28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0" s="1" t="b">
        <v>0</v>
      </c>
      <c r="AN2830" s="1" t="b">
        <v>0</v>
      </c>
      <c r="AO2830" s="1" t="b">
        <v>0</v>
      </c>
    </row>
    <row r="2831" spans="1:41" x14ac:dyDescent="0.25">
      <c r="A2831" s="10"/>
      <c r="B2831" s="10"/>
      <c r="C2831" s="10"/>
      <c r="D2831" s="10"/>
      <c r="E2831" s="10"/>
      <c r="F2831" s="10"/>
      <c r="G2831" s="10"/>
      <c r="H2831" s="10"/>
      <c r="I2831" s="1" t="str">
        <f t="shared" si="132"/>
        <v/>
      </c>
      <c r="J2831" s="1" t="s">
        <v>35</v>
      </c>
      <c r="K2831" s="1" t="str">
        <f t="shared" si="133"/>
        <v/>
      </c>
      <c r="L2831" s="1" t="str">
        <f t="shared" si="134"/>
        <v/>
      </c>
      <c r="M2831" s="1">
        <f>IF(OR(Table1[[#This Row],[Std Nom]]="",Table1[[#This Row],[Std Read]]=""),0,Table1[[#This Row],[Std Nom]]-Table1[[#This Row],[Std Read]])</f>
        <v>0</v>
      </c>
      <c r="N2831" s="1">
        <f>IF(Calculations!$F$5="ACCREDITED 17025 WITH UNCERTAINTIES",$N$10,0)</f>
        <v>0</v>
      </c>
      <c r="Q2831" s="1">
        <f>Table1[[#This Row],[High Tol]]-Table1[[#This Row],[Low Tol]]</f>
        <v>0</v>
      </c>
      <c r="R2831" s="1">
        <f>2*Table1[[#This Row],[Std Error]]</f>
        <v>0</v>
      </c>
      <c r="S2831" s="1" t="str">
        <f>IF(Table1[[#This Row],[High Tol]]="","N/A",IFERROR(ABS(Table1[[#This Row],[Tol Span]]/Table1[[#This Row],[Error Span]]),"N/A"))</f>
        <v>N/A</v>
      </c>
      <c r="T2831" s="1" t="str">
        <f>IF(OR(Table1[[#This Row],[Low Tol]]="",Table1[[#This Row],[High Tol]]=""),"Needs Analysis",IF(Table1[[#This Row],[Ratio]]&gt;=4,"Not Significant",IF(Table1[[#This Row],[Ratio]]&gt;=2,"Semi-Significant","Significant")))</f>
        <v>Needs Analysis</v>
      </c>
      <c r="W2831" s="1">
        <f>IF(Table1[[#This Row],[Cal Type]]&lt;&gt;"ACCREDITED 17025 WITH UNCERTAINTIES",0,"")</f>
        <v>0</v>
      </c>
      <c r="X2831" s="1" t="str">
        <f>IF(Table1[[#This Row],[DUT Read]]="","N/A",Table1[[#This Row],[Std Error]]+Table1[[#This Row],[DUT Read]]+Table1[[#This Row],[DUT Ucty]])</f>
        <v>N/A</v>
      </c>
      <c r="Y2831" s="1" t="str">
        <f>IF(Table1[[#This Row],[Std Read]]="","N/A",Table1[[#This Row],[Std Read]]+Table1[[#This Row],[Std Ucty]])</f>
        <v>N/A</v>
      </c>
      <c r="Z28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1" s="1" t="str">
        <f>IF(Table1[[#This Row],[Spec Type]]="","N/A",Table1[[#This Row],[Spec Type]])</f>
        <v>±</v>
      </c>
      <c r="AC2831" s="1" t="str">
        <f>IF(Table1[[#This Row],[Spec Type2]]="N/A","N/A",IF(AND(Table1[[#This Row],[DUT Adj Read]]&gt;=Table1[[#This Row],[Low Tol]],Table1[[#This Row],[DUT Adj Read]]&lt;=Table1[[#This Row],[High Tol]]),"Pass","Fail"))</f>
        <v>Fail</v>
      </c>
      <c r="AD2831" s="1" t="str">
        <f>IF(AND(Table1[[#This Row],[Spec Type2]]="N/A",Table1[[#This Row],[DUT Adj Read]]="N/A",Table1[[#This Row],[Std Adj Read]]="N/A"),"N/A",IF(Table1[[#This Row],[DUT Adj Read]]="N/A",IF(Table1[[#This Row],[Std Adj Read]]&gt;Table1[[#This Row],[Low Tol]],"Pass","Fail"),IF(Table1[[#This Row],[DUT Adj Read]]&gt;Table1[[#This Row],[Low Tol]],"Pass","Fail")))</f>
        <v>Pass</v>
      </c>
      <c r="AE2831" s="1" t="str">
        <f>IF(AND(Table1[[#This Row],[Spec Type2]]="N/A",Table1[[#This Row],[DUT Adj Read]]="N/A",Table1[[#This Row],[Std Adj Read]]="N/A"),"N/A",IF(Table1[[#This Row],[DUT Adj Read]]="N/A",IF(Table1[[#This Row],[Std Adj Read]]&lt;Table1[[#This Row],[High Tol]],"Pass","Fail"),IF(Table1[[#This Row],[DUT Adj Read]]&lt;Table1[[#This Row],[High Tol]],"Pass","Fail")))</f>
        <v>Fail</v>
      </c>
      <c r="AF2831" s="1" t="str">
        <f>IF(AND(Table1[[#This Row],[Spec Type2]]="N/A",Table1[[#This Row],[DUT Adj Read]]="N/A",Table1[[#This Row],[Std Adj Read]]="N/A"),"N/A",IF(Table1[[#This Row],[DUT Adj Read]]="N/A",IF(Table1[[#This Row],[Std Adj Read]]&gt;=Table1[[#This Row],[Low Tol]],"Pass","Fail"),IF(Table1[[#This Row],[DUT Adj Read]]&gt;=Table1[[#This Row],[Low Tol]],"Pass","Fail")))</f>
        <v>Pass</v>
      </c>
      <c r="AG2831" s="1" t="str">
        <f>IF(AND(Table1[[#This Row],[Spec Type2]]="N/A",Table1[[#This Row],[DUT Adj Read]]="N/A",Table1[[#This Row],[Std Adj Read]]="N/A"),"N/A",IF(Table1[[#This Row],[DUT Adj Read]]="N/A",IF(Table1[[#This Row],[Std Adj Read]]&lt;=Table1[[#This Row],[High Tol]],"Pass","Fail"),IF(Table1[[#This Row],[DUT Adj Read]]&lt;=Table1[[#This Row],[High Tol]],"Pass","Fail")))</f>
        <v>Fail</v>
      </c>
      <c r="AH28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1" s="1" t="b">
        <v>0</v>
      </c>
      <c r="AN2831" s="1" t="b">
        <v>0</v>
      </c>
      <c r="AO2831" s="1" t="b">
        <v>0</v>
      </c>
    </row>
    <row r="2832" spans="1:41" x14ac:dyDescent="0.25">
      <c r="A2832" s="10"/>
      <c r="B2832" s="10"/>
      <c r="C2832" s="10"/>
      <c r="D2832" s="10"/>
      <c r="E2832" s="10"/>
      <c r="F2832" s="10"/>
      <c r="G2832" s="10"/>
      <c r="H2832" s="10"/>
      <c r="I2832" s="1" t="str">
        <f t="shared" si="132"/>
        <v/>
      </c>
      <c r="J2832" s="1" t="s">
        <v>35</v>
      </c>
      <c r="K2832" s="1" t="str">
        <f t="shared" si="133"/>
        <v/>
      </c>
      <c r="L2832" s="1" t="str">
        <f t="shared" si="134"/>
        <v/>
      </c>
      <c r="M2832" s="1">
        <f>IF(OR(Table1[[#This Row],[Std Nom]]="",Table1[[#This Row],[Std Read]]=""),0,Table1[[#This Row],[Std Nom]]-Table1[[#This Row],[Std Read]])</f>
        <v>0</v>
      </c>
      <c r="N2832" s="1">
        <f>IF(Calculations!$F$5="ACCREDITED 17025 WITH UNCERTAINTIES",$N$10,0)</f>
        <v>0</v>
      </c>
      <c r="Q2832" s="1">
        <f>Table1[[#This Row],[High Tol]]-Table1[[#This Row],[Low Tol]]</f>
        <v>0</v>
      </c>
      <c r="R2832" s="1">
        <f>2*Table1[[#This Row],[Std Error]]</f>
        <v>0</v>
      </c>
      <c r="S2832" s="1" t="str">
        <f>IF(Table1[[#This Row],[High Tol]]="","N/A",IFERROR(ABS(Table1[[#This Row],[Tol Span]]/Table1[[#This Row],[Error Span]]),"N/A"))</f>
        <v>N/A</v>
      </c>
      <c r="T2832" s="1" t="str">
        <f>IF(OR(Table1[[#This Row],[Low Tol]]="",Table1[[#This Row],[High Tol]]=""),"Needs Analysis",IF(Table1[[#This Row],[Ratio]]&gt;=4,"Not Significant",IF(Table1[[#This Row],[Ratio]]&gt;=2,"Semi-Significant","Significant")))</f>
        <v>Needs Analysis</v>
      </c>
      <c r="W2832" s="1">
        <f>IF(Table1[[#This Row],[Cal Type]]&lt;&gt;"ACCREDITED 17025 WITH UNCERTAINTIES",0,"")</f>
        <v>0</v>
      </c>
      <c r="X2832" s="1" t="str">
        <f>IF(Table1[[#This Row],[DUT Read]]="","N/A",Table1[[#This Row],[Std Error]]+Table1[[#This Row],[DUT Read]]+Table1[[#This Row],[DUT Ucty]])</f>
        <v>N/A</v>
      </c>
      <c r="Y2832" s="1" t="str">
        <f>IF(Table1[[#This Row],[Std Read]]="","N/A",Table1[[#This Row],[Std Read]]+Table1[[#This Row],[Std Ucty]])</f>
        <v>N/A</v>
      </c>
      <c r="Z28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2" s="1" t="str">
        <f>IF(Table1[[#This Row],[Spec Type]]="","N/A",Table1[[#This Row],[Spec Type]])</f>
        <v>±</v>
      </c>
      <c r="AC2832" s="1" t="str">
        <f>IF(Table1[[#This Row],[Spec Type2]]="N/A","N/A",IF(AND(Table1[[#This Row],[DUT Adj Read]]&gt;=Table1[[#This Row],[Low Tol]],Table1[[#This Row],[DUT Adj Read]]&lt;=Table1[[#This Row],[High Tol]]),"Pass","Fail"))</f>
        <v>Fail</v>
      </c>
      <c r="AD2832" s="1" t="str">
        <f>IF(AND(Table1[[#This Row],[Spec Type2]]="N/A",Table1[[#This Row],[DUT Adj Read]]="N/A",Table1[[#This Row],[Std Adj Read]]="N/A"),"N/A",IF(Table1[[#This Row],[DUT Adj Read]]="N/A",IF(Table1[[#This Row],[Std Adj Read]]&gt;Table1[[#This Row],[Low Tol]],"Pass","Fail"),IF(Table1[[#This Row],[DUT Adj Read]]&gt;Table1[[#This Row],[Low Tol]],"Pass","Fail")))</f>
        <v>Pass</v>
      </c>
      <c r="AE2832" s="1" t="str">
        <f>IF(AND(Table1[[#This Row],[Spec Type2]]="N/A",Table1[[#This Row],[DUT Adj Read]]="N/A",Table1[[#This Row],[Std Adj Read]]="N/A"),"N/A",IF(Table1[[#This Row],[DUT Adj Read]]="N/A",IF(Table1[[#This Row],[Std Adj Read]]&lt;Table1[[#This Row],[High Tol]],"Pass","Fail"),IF(Table1[[#This Row],[DUT Adj Read]]&lt;Table1[[#This Row],[High Tol]],"Pass","Fail")))</f>
        <v>Fail</v>
      </c>
      <c r="AF2832" s="1" t="str">
        <f>IF(AND(Table1[[#This Row],[Spec Type2]]="N/A",Table1[[#This Row],[DUT Adj Read]]="N/A",Table1[[#This Row],[Std Adj Read]]="N/A"),"N/A",IF(Table1[[#This Row],[DUT Adj Read]]="N/A",IF(Table1[[#This Row],[Std Adj Read]]&gt;=Table1[[#This Row],[Low Tol]],"Pass","Fail"),IF(Table1[[#This Row],[DUT Adj Read]]&gt;=Table1[[#This Row],[Low Tol]],"Pass","Fail")))</f>
        <v>Pass</v>
      </c>
      <c r="AG2832" s="1" t="str">
        <f>IF(AND(Table1[[#This Row],[Spec Type2]]="N/A",Table1[[#This Row],[DUT Adj Read]]="N/A",Table1[[#This Row],[Std Adj Read]]="N/A"),"N/A",IF(Table1[[#This Row],[DUT Adj Read]]="N/A",IF(Table1[[#This Row],[Std Adj Read]]&lt;=Table1[[#This Row],[High Tol]],"Pass","Fail"),IF(Table1[[#This Row],[DUT Adj Read]]&lt;=Table1[[#This Row],[High Tol]],"Pass","Fail")))</f>
        <v>Fail</v>
      </c>
      <c r="AH28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2" s="1" t="b">
        <v>0</v>
      </c>
      <c r="AN2832" s="1" t="b">
        <v>0</v>
      </c>
      <c r="AO2832" s="1" t="b">
        <v>0</v>
      </c>
    </row>
    <row r="2833" spans="1:41" x14ac:dyDescent="0.25">
      <c r="A2833" s="10"/>
      <c r="B2833" s="10"/>
      <c r="C2833" s="10"/>
      <c r="D2833" s="10"/>
      <c r="E2833" s="10"/>
      <c r="F2833" s="10"/>
      <c r="G2833" s="10"/>
      <c r="H2833" s="10"/>
      <c r="I2833" s="1" t="str">
        <f t="shared" si="132"/>
        <v/>
      </c>
      <c r="J2833" s="1" t="s">
        <v>35</v>
      </c>
      <c r="K2833" s="1" t="str">
        <f t="shared" si="133"/>
        <v/>
      </c>
      <c r="L2833" s="1" t="str">
        <f t="shared" si="134"/>
        <v/>
      </c>
      <c r="M2833" s="1">
        <f>IF(OR(Table1[[#This Row],[Std Nom]]="",Table1[[#This Row],[Std Read]]=""),0,Table1[[#This Row],[Std Nom]]-Table1[[#This Row],[Std Read]])</f>
        <v>0</v>
      </c>
      <c r="N2833" s="1">
        <f>IF(Calculations!$F$5="ACCREDITED 17025 WITH UNCERTAINTIES",$N$10,0)</f>
        <v>0</v>
      </c>
      <c r="Q2833" s="1">
        <f>Table1[[#This Row],[High Tol]]-Table1[[#This Row],[Low Tol]]</f>
        <v>0</v>
      </c>
      <c r="R2833" s="1">
        <f>2*Table1[[#This Row],[Std Error]]</f>
        <v>0</v>
      </c>
      <c r="S2833" s="1" t="str">
        <f>IF(Table1[[#This Row],[High Tol]]="","N/A",IFERROR(ABS(Table1[[#This Row],[Tol Span]]/Table1[[#This Row],[Error Span]]),"N/A"))</f>
        <v>N/A</v>
      </c>
      <c r="T2833" s="1" t="str">
        <f>IF(OR(Table1[[#This Row],[Low Tol]]="",Table1[[#This Row],[High Tol]]=""),"Needs Analysis",IF(Table1[[#This Row],[Ratio]]&gt;=4,"Not Significant",IF(Table1[[#This Row],[Ratio]]&gt;=2,"Semi-Significant","Significant")))</f>
        <v>Needs Analysis</v>
      </c>
      <c r="W2833" s="1">
        <f>IF(Table1[[#This Row],[Cal Type]]&lt;&gt;"ACCREDITED 17025 WITH UNCERTAINTIES",0,"")</f>
        <v>0</v>
      </c>
      <c r="X2833" s="1" t="str">
        <f>IF(Table1[[#This Row],[DUT Read]]="","N/A",Table1[[#This Row],[Std Error]]+Table1[[#This Row],[DUT Read]]+Table1[[#This Row],[DUT Ucty]])</f>
        <v>N/A</v>
      </c>
      <c r="Y2833" s="1" t="str">
        <f>IF(Table1[[#This Row],[Std Read]]="","N/A",Table1[[#This Row],[Std Read]]+Table1[[#This Row],[Std Ucty]])</f>
        <v>N/A</v>
      </c>
      <c r="Z28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3" s="1" t="str">
        <f>IF(Table1[[#This Row],[Spec Type]]="","N/A",Table1[[#This Row],[Spec Type]])</f>
        <v>±</v>
      </c>
      <c r="AC2833" s="1" t="str">
        <f>IF(Table1[[#This Row],[Spec Type2]]="N/A","N/A",IF(AND(Table1[[#This Row],[DUT Adj Read]]&gt;=Table1[[#This Row],[Low Tol]],Table1[[#This Row],[DUT Adj Read]]&lt;=Table1[[#This Row],[High Tol]]),"Pass","Fail"))</f>
        <v>Fail</v>
      </c>
      <c r="AD2833" s="1" t="str">
        <f>IF(AND(Table1[[#This Row],[Spec Type2]]="N/A",Table1[[#This Row],[DUT Adj Read]]="N/A",Table1[[#This Row],[Std Adj Read]]="N/A"),"N/A",IF(Table1[[#This Row],[DUT Adj Read]]="N/A",IF(Table1[[#This Row],[Std Adj Read]]&gt;Table1[[#This Row],[Low Tol]],"Pass","Fail"),IF(Table1[[#This Row],[DUT Adj Read]]&gt;Table1[[#This Row],[Low Tol]],"Pass","Fail")))</f>
        <v>Pass</v>
      </c>
      <c r="AE2833" s="1" t="str">
        <f>IF(AND(Table1[[#This Row],[Spec Type2]]="N/A",Table1[[#This Row],[DUT Adj Read]]="N/A",Table1[[#This Row],[Std Adj Read]]="N/A"),"N/A",IF(Table1[[#This Row],[DUT Adj Read]]="N/A",IF(Table1[[#This Row],[Std Adj Read]]&lt;Table1[[#This Row],[High Tol]],"Pass","Fail"),IF(Table1[[#This Row],[DUT Adj Read]]&lt;Table1[[#This Row],[High Tol]],"Pass","Fail")))</f>
        <v>Fail</v>
      </c>
      <c r="AF2833" s="1" t="str">
        <f>IF(AND(Table1[[#This Row],[Spec Type2]]="N/A",Table1[[#This Row],[DUT Adj Read]]="N/A",Table1[[#This Row],[Std Adj Read]]="N/A"),"N/A",IF(Table1[[#This Row],[DUT Adj Read]]="N/A",IF(Table1[[#This Row],[Std Adj Read]]&gt;=Table1[[#This Row],[Low Tol]],"Pass","Fail"),IF(Table1[[#This Row],[DUT Adj Read]]&gt;=Table1[[#This Row],[Low Tol]],"Pass","Fail")))</f>
        <v>Pass</v>
      </c>
      <c r="AG2833" s="1" t="str">
        <f>IF(AND(Table1[[#This Row],[Spec Type2]]="N/A",Table1[[#This Row],[DUT Adj Read]]="N/A",Table1[[#This Row],[Std Adj Read]]="N/A"),"N/A",IF(Table1[[#This Row],[DUT Adj Read]]="N/A",IF(Table1[[#This Row],[Std Adj Read]]&lt;=Table1[[#This Row],[High Tol]],"Pass","Fail"),IF(Table1[[#This Row],[DUT Adj Read]]&lt;=Table1[[#This Row],[High Tol]],"Pass","Fail")))</f>
        <v>Fail</v>
      </c>
      <c r="AH28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3" s="1" t="b">
        <v>0</v>
      </c>
      <c r="AN2833" s="1" t="b">
        <v>0</v>
      </c>
      <c r="AO2833" s="1" t="b">
        <v>0</v>
      </c>
    </row>
    <row r="2834" spans="1:41" x14ac:dyDescent="0.25">
      <c r="A2834" s="10"/>
      <c r="B2834" s="10"/>
      <c r="C2834" s="10"/>
      <c r="D2834" s="10"/>
      <c r="E2834" s="10"/>
      <c r="F2834" s="10"/>
      <c r="G2834" s="10"/>
      <c r="H2834" s="10"/>
      <c r="I2834" s="1" t="str">
        <f t="shared" si="132"/>
        <v/>
      </c>
      <c r="J2834" s="1" t="s">
        <v>35</v>
      </c>
      <c r="K2834" s="1" t="str">
        <f t="shared" si="133"/>
        <v/>
      </c>
      <c r="L2834" s="1" t="str">
        <f t="shared" si="134"/>
        <v/>
      </c>
      <c r="M2834" s="1">
        <f>IF(OR(Table1[[#This Row],[Std Nom]]="",Table1[[#This Row],[Std Read]]=""),0,Table1[[#This Row],[Std Nom]]-Table1[[#This Row],[Std Read]])</f>
        <v>0</v>
      </c>
      <c r="N2834" s="1">
        <f>IF(Calculations!$F$5="ACCREDITED 17025 WITH UNCERTAINTIES",$N$10,0)</f>
        <v>0</v>
      </c>
      <c r="Q2834" s="1">
        <f>Table1[[#This Row],[High Tol]]-Table1[[#This Row],[Low Tol]]</f>
        <v>0</v>
      </c>
      <c r="R2834" s="1">
        <f>2*Table1[[#This Row],[Std Error]]</f>
        <v>0</v>
      </c>
      <c r="S2834" s="1" t="str">
        <f>IF(Table1[[#This Row],[High Tol]]="","N/A",IFERROR(ABS(Table1[[#This Row],[Tol Span]]/Table1[[#This Row],[Error Span]]),"N/A"))</f>
        <v>N/A</v>
      </c>
      <c r="T2834" s="1" t="str">
        <f>IF(OR(Table1[[#This Row],[Low Tol]]="",Table1[[#This Row],[High Tol]]=""),"Needs Analysis",IF(Table1[[#This Row],[Ratio]]&gt;=4,"Not Significant",IF(Table1[[#This Row],[Ratio]]&gt;=2,"Semi-Significant","Significant")))</f>
        <v>Needs Analysis</v>
      </c>
      <c r="W2834" s="1">
        <f>IF(Table1[[#This Row],[Cal Type]]&lt;&gt;"ACCREDITED 17025 WITH UNCERTAINTIES",0,"")</f>
        <v>0</v>
      </c>
      <c r="X2834" s="1" t="str">
        <f>IF(Table1[[#This Row],[DUT Read]]="","N/A",Table1[[#This Row],[Std Error]]+Table1[[#This Row],[DUT Read]]+Table1[[#This Row],[DUT Ucty]])</f>
        <v>N/A</v>
      </c>
      <c r="Y2834" s="1" t="str">
        <f>IF(Table1[[#This Row],[Std Read]]="","N/A",Table1[[#This Row],[Std Read]]+Table1[[#This Row],[Std Ucty]])</f>
        <v>N/A</v>
      </c>
      <c r="Z28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4" s="1" t="str">
        <f>IF(Table1[[#This Row],[Spec Type]]="","N/A",Table1[[#This Row],[Spec Type]])</f>
        <v>±</v>
      </c>
      <c r="AC2834" s="1" t="str">
        <f>IF(Table1[[#This Row],[Spec Type2]]="N/A","N/A",IF(AND(Table1[[#This Row],[DUT Adj Read]]&gt;=Table1[[#This Row],[Low Tol]],Table1[[#This Row],[DUT Adj Read]]&lt;=Table1[[#This Row],[High Tol]]),"Pass","Fail"))</f>
        <v>Fail</v>
      </c>
      <c r="AD2834" s="1" t="str">
        <f>IF(AND(Table1[[#This Row],[Spec Type2]]="N/A",Table1[[#This Row],[DUT Adj Read]]="N/A",Table1[[#This Row],[Std Adj Read]]="N/A"),"N/A",IF(Table1[[#This Row],[DUT Adj Read]]="N/A",IF(Table1[[#This Row],[Std Adj Read]]&gt;Table1[[#This Row],[Low Tol]],"Pass","Fail"),IF(Table1[[#This Row],[DUT Adj Read]]&gt;Table1[[#This Row],[Low Tol]],"Pass","Fail")))</f>
        <v>Pass</v>
      </c>
      <c r="AE2834" s="1" t="str">
        <f>IF(AND(Table1[[#This Row],[Spec Type2]]="N/A",Table1[[#This Row],[DUT Adj Read]]="N/A",Table1[[#This Row],[Std Adj Read]]="N/A"),"N/A",IF(Table1[[#This Row],[DUT Adj Read]]="N/A",IF(Table1[[#This Row],[Std Adj Read]]&lt;Table1[[#This Row],[High Tol]],"Pass","Fail"),IF(Table1[[#This Row],[DUT Adj Read]]&lt;Table1[[#This Row],[High Tol]],"Pass","Fail")))</f>
        <v>Fail</v>
      </c>
      <c r="AF2834" s="1" t="str">
        <f>IF(AND(Table1[[#This Row],[Spec Type2]]="N/A",Table1[[#This Row],[DUT Adj Read]]="N/A",Table1[[#This Row],[Std Adj Read]]="N/A"),"N/A",IF(Table1[[#This Row],[DUT Adj Read]]="N/A",IF(Table1[[#This Row],[Std Adj Read]]&gt;=Table1[[#This Row],[Low Tol]],"Pass","Fail"),IF(Table1[[#This Row],[DUT Adj Read]]&gt;=Table1[[#This Row],[Low Tol]],"Pass","Fail")))</f>
        <v>Pass</v>
      </c>
      <c r="AG2834" s="1" t="str">
        <f>IF(AND(Table1[[#This Row],[Spec Type2]]="N/A",Table1[[#This Row],[DUT Adj Read]]="N/A",Table1[[#This Row],[Std Adj Read]]="N/A"),"N/A",IF(Table1[[#This Row],[DUT Adj Read]]="N/A",IF(Table1[[#This Row],[Std Adj Read]]&lt;=Table1[[#This Row],[High Tol]],"Pass","Fail"),IF(Table1[[#This Row],[DUT Adj Read]]&lt;=Table1[[#This Row],[High Tol]],"Pass","Fail")))</f>
        <v>Fail</v>
      </c>
      <c r="AH28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4" s="1" t="b">
        <v>0</v>
      </c>
      <c r="AN2834" s="1" t="b">
        <v>0</v>
      </c>
      <c r="AO2834" s="1" t="b">
        <v>0</v>
      </c>
    </row>
    <row r="2835" spans="1:41" x14ac:dyDescent="0.25">
      <c r="A2835" s="10"/>
      <c r="B2835" s="10"/>
      <c r="C2835" s="10"/>
      <c r="D2835" s="10"/>
      <c r="E2835" s="10"/>
      <c r="F2835" s="10"/>
      <c r="G2835" s="10"/>
      <c r="H2835" s="10"/>
      <c r="I2835" s="1" t="str">
        <f t="shared" si="132"/>
        <v/>
      </c>
      <c r="J2835" s="1" t="s">
        <v>35</v>
      </c>
      <c r="K2835" s="1" t="str">
        <f t="shared" si="133"/>
        <v/>
      </c>
      <c r="L2835" s="1" t="str">
        <f t="shared" si="134"/>
        <v/>
      </c>
      <c r="M2835" s="1">
        <f>IF(OR(Table1[[#This Row],[Std Nom]]="",Table1[[#This Row],[Std Read]]=""),0,Table1[[#This Row],[Std Nom]]-Table1[[#This Row],[Std Read]])</f>
        <v>0</v>
      </c>
      <c r="N2835" s="1">
        <f>IF(Calculations!$F$5="ACCREDITED 17025 WITH UNCERTAINTIES",$N$10,0)</f>
        <v>0</v>
      </c>
      <c r="Q2835" s="1">
        <f>Table1[[#This Row],[High Tol]]-Table1[[#This Row],[Low Tol]]</f>
        <v>0</v>
      </c>
      <c r="R2835" s="1">
        <f>2*Table1[[#This Row],[Std Error]]</f>
        <v>0</v>
      </c>
      <c r="S2835" s="1" t="str">
        <f>IF(Table1[[#This Row],[High Tol]]="","N/A",IFERROR(ABS(Table1[[#This Row],[Tol Span]]/Table1[[#This Row],[Error Span]]),"N/A"))</f>
        <v>N/A</v>
      </c>
      <c r="T2835" s="1" t="str">
        <f>IF(OR(Table1[[#This Row],[Low Tol]]="",Table1[[#This Row],[High Tol]]=""),"Needs Analysis",IF(Table1[[#This Row],[Ratio]]&gt;=4,"Not Significant",IF(Table1[[#This Row],[Ratio]]&gt;=2,"Semi-Significant","Significant")))</f>
        <v>Needs Analysis</v>
      </c>
      <c r="W2835" s="1">
        <f>IF(Table1[[#This Row],[Cal Type]]&lt;&gt;"ACCREDITED 17025 WITH UNCERTAINTIES",0,"")</f>
        <v>0</v>
      </c>
      <c r="X2835" s="1" t="str">
        <f>IF(Table1[[#This Row],[DUT Read]]="","N/A",Table1[[#This Row],[Std Error]]+Table1[[#This Row],[DUT Read]]+Table1[[#This Row],[DUT Ucty]])</f>
        <v>N/A</v>
      </c>
      <c r="Y2835" s="1" t="str">
        <f>IF(Table1[[#This Row],[Std Read]]="","N/A",Table1[[#This Row],[Std Read]]+Table1[[#This Row],[Std Ucty]])</f>
        <v>N/A</v>
      </c>
      <c r="Z28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5" s="1" t="str">
        <f>IF(Table1[[#This Row],[Spec Type]]="","N/A",Table1[[#This Row],[Spec Type]])</f>
        <v>±</v>
      </c>
      <c r="AC2835" s="1" t="str">
        <f>IF(Table1[[#This Row],[Spec Type2]]="N/A","N/A",IF(AND(Table1[[#This Row],[DUT Adj Read]]&gt;=Table1[[#This Row],[Low Tol]],Table1[[#This Row],[DUT Adj Read]]&lt;=Table1[[#This Row],[High Tol]]),"Pass","Fail"))</f>
        <v>Fail</v>
      </c>
      <c r="AD2835" s="1" t="str">
        <f>IF(AND(Table1[[#This Row],[Spec Type2]]="N/A",Table1[[#This Row],[DUT Adj Read]]="N/A",Table1[[#This Row],[Std Adj Read]]="N/A"),"N/A",IF(Table1[[#This Row],[DUT Adj Read]]="N/A",IF(Table1[[#This Row],[Std Adj Read]]&gt;Table1[[#This Row],[Low Tol]],"Pass","Fail"),IF(Table1[[#This Row],[DUT Adj Read]]&gt;Table1[[#This Row],[Low Tol]],"Pass","Fail")))</f>
        <v>Pass</v>
      </c>
      <c r="AE2835" s="1" t="str">
        <f>IF(AND(Table1[[#This Row],[Spec Type2]]="N/A",Table1[[#This Row],[DUT Adj Read]]="N/A",Table1[[#This Row],[Std Adj Read]]="N/A"),"N/A",IF(Table1[[#This Row],[DUT Adj Read]]="N/A",IF(Table1[[#This Row],[Std Adj Read]]&lt;Table1[[#This Row],[High Tol]],"Pass","Fail"),IF(Table1[[#This Row],[DUT Adj Read]]&lt;Table1[[#This Row],[High Tol]],"Pass","Fail")))</f>
        <v>Fail</v>
      </c>
      <c r="AF2835" s="1" t="str">
        <f>IF(AND(Table1[[#This Row],[Spec Type2]]="N/A",Table1[[#This Row],[DUT Adj Read]]="N/A",Table1[[#This Row],[Std Adj Read]]="N/A"),"N/A",IF(Table1[[#This Row],[DUT Adj Read]]="N/A",IF(Table1[[#This Row],[Std Adj Read]]&gt;=Table1[[#This Row],[Low Tol]],"Pass","Fail"),IF(Table1[[#This Row],[DUT Adj Read]]&gt;=Table1[[#This Row],[Low Tol]],"Pass","Fail")))</f>
        <v>Pass</v>
      </c>
      <c r="AG2835" s="1" t="str">
        <f>IF(AND(Table1[[#This Row],[Spec Type2]]="N/A",Table1[[#This Row],[DUT Adj Read]]="N/A",Table1[[#This Row],[Std Adj Read]]="N/A"),"N/A",IF(Table1[[#This Row],[DUT Adj Read]]="N/A",IF(Table1[[#This Row],[Std Adj Read]]&lt;=Table1[[#This Row],[High Tol]],"Pass","Fail"),IF(Table1[[#This Row],[DUT Adj Read]]&lt;=Table1[[#This Row],[High Tol]],"Pass","Fail")))</f>
        <v>Fail</v>
      </c>
      <c r="AH28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5" s="1" t="b">
        <v>0</v>
      </c>
      <c r="AN2835" s="1" t="b">
        <v>0</v>
      </c>
      <c r="AO2835" s="1" t="b">
        <v>0</v>
      </c>
    </row>
    <row r="2836" spans="1:41" x14ac:dyDescent="0.25">
      <c r="A2836" s="10"/>
      <c r="B2836" s="10"/>
      <c r="C2836" s="10"/>
      <c r="D2836" s="10"/>
      <c r="E2836" s="10"/>
      <c r="F2836" s="10"/>
      <c r="G2836" s="10"/>
      <c r="H2836" s="10"/>
      <c r="I2836" s="1" t="str">
        <f t="shared" si="132"/>
        <v/>
      </c>
      <c r="J2836" s="1" t="s">
        <v>35</v>
      </c>
      <c r="K2836" s="1" t="str">
        <f t="shared" si="133"/>
        <v/>
      </c>
      <c r="L2836" s="1" t="str">
        <f t="shared" si="134"/>
        <v/>
      </c>
      <c r="M2836" s="1">
        <f>IF(OR(Table1[[#This Row],[Std Nom]]="",Table1[[#This Row],[Std Read]]=""),0,Table1[[#This Row],[Std Nom]]-Table1[[#This Row],[Std Read]])</f>
        <v>0</v>
      </c>
      <c r="N2836" s="1">
        <f>IF(Calculations!$F$5="ACCREDITED 17025 WITH UNCERTAINTIES",$N$10,0)</f>
        <v>0</v>
      </c>
      <c r="Q2836" s="1">
        <f>Table1[[#This Row],[High Tol]]-Table1[[#This Row],[Low Tol]]</f>
        <v>0</v>
      </c>
      <c r="R2836" s="1">
        <f>2*Table1[[#This Row],[Std Error]]</f>
        <v>0</v>
      </c>
      <c r="S2836" s="1" t="str">
        <f>IF(Table1[[#This Row],[High Tol]]="","N/A",IFERROR(ABS(Table1[[#This Row],[Tol Span]]/Table1[[#This Row],[Error Span]]),"N/A"))</f>
        <v>N/A</v>
      </c>
      <c r="T2836" s="1" t="str">
        <f>IF(OR(Table1[[#This Row],[Low Tol]]="",Table1[[#This Row],[High Tol]]=""),"Needs Analysis",IF(Table1[[#This Row],[Ratio]]&gt;=4,"Not Significant",IF(Table1[[#This Row],[Ratio]]&gt;=2,"Semi-Significant","Significant")))</f>
        <v>Needs Analysis</v>
      </c>
      <c r="W2836" s="1">
        <f>IF(Table1[[#This Row],[Cal Type]]&lt;&gt;"ACCREDITED 17025 WITH UNCERTAINTIES",0,"")</f>
        <v>0</v>
      </c>
      <c r="X2836" s="1" t="str">
        <f>IF(Table1[[#This Row],[DUT Read]]="","N/A",Table1[[#This Row],[Std Error]]+Table1[[#This Row],[DUT Read]]+Table1[[#This Row],[DUT Ucty]])</f>
        <v>N/A</v>
      </c>
      <c r="Y2836" s="1" t="str">
        <f>IF(Table1[[#This Row],[Std Read]]="","N/A",Table1[[#This Row],[Std Read]]+Table1[[#This Row],[Std Ucty]])</f>
        <v>N/A</v>
      </c>
      <c r="Z28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6" s="1" t="str">
        <f>IF(Table1[[#This Row],[Spec Type]]="","N/A",Table1[[#This Row],[Spec Type]])</f>
        <v>±</v>
      </c>
      <c r="AC2836" s="1" t="str">
        <f>IF(Table1[[#This Row],[Spec Type2]]="N/A","N/A",IF(AND(Table1[[#This Row],[DUT Adj Read]]&gt;=Table1[[#This Row],[Low Tol]],Table1[[#This Row],[DUT Adj Read]]&lt;=Table1[[#This Row],[High Tol]]),"Pass","Fail"))</f>
        <v>Fail</v>
      </c>
      <c r="AD2836" s="1" t="str">
        <f>IF(AND(Table1[[#This Row],[Spec Type2]]="N/A",Table1[[#This Row],[DUT Adj Read]]="N/A",Table1[[#This Row],[Std Adj Read]]="N/A"),"N/A",IF(Table1[[#This Row],[DUT Adj Read]]="N/A",IF(Table1[[#This Row],[Std Adj Read]]&gt;Table1[[#This Row],[Low Tol]],"Pass","Fail"),IF(Table1[[#This Row],[DUT Adj Read]]&gt;Table1[[#This Row],[Low Tol]],"Pass","Fail")))</f>
        <v>Pass</v>
      </c>
      <c r="AE2836" s="1" t="str">
        <f>IF(AND(Table1[[#This Row],[Spec Type2]]="N/A",Table1[[#This Row],[DUT Adj Read]]="N/A",Table1[[#This Row],[Std Adj Read]]="N/A"),"N/A",IF(Table1[[#This Row],[DUT Adj Read]]="N/A",IF(Table1[[#This Row],[Std Adj Read]]&lt;Table1[[#This Row],[High Tol]],"Pass","Fail"),IF(Table1[[#This Row],[DUT Adj Read]]&lt;Table1[[#This Row],[High Tol]],"Pass","Fail")))</f>
        <v>Fail</v>
      </c>
      <c r="AF2836" s="1" t="str">
        <f>IF(AND(Table1[[#This Row],[Spec Type2]]="N/A",Table1[[#This Row],[DUT Adj Read]]="N/A",Table1[[#This Row],[Std Adj Read]]="N/A"),"N/A",IF(Table1[[#This Row],[DUT Adj Read]]="N/A",IF(Table1[[#This Row],[Std Adj Read]]&gt;=Table1[[#This Row],[Low Tol]],"Pass","Fail"),IF(Table1[[#This Row],[DUT Adj Read]]&gt;=Table1[[#This Row],[Low Tol]],"Pass","Fail")))</f>
        <v>Pass</v>
      </c>
      <c r="AG2836" s="1" t="str">
        <f>IF(AND(Table1[[#This Row],[Spec Type2]]="N/A",Table1[[#This Row],[DUT Adj Read]]="N/A",Table1[[#This Row],[Std Adj Read]]="N/A"),"N/A",IF(Table1[[#This Row],[DUT Adj Read]]="N/A",IF(Table1[[#This Row],[Std Adj Read]]&lt;=Table1[[#This Row],[High Tol]],"Pass","Fail"),IF(Table1[[#This Row],[DUT Adj Read]]&lt;=Table1[[#This Row],[High Tol]],"Pass","Fail")))</f>
        <v>Fail</v>
      </c>
      <c r="AH28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6" s="1" t="b">
        <v>0</v>
      </c>
      <c r="AN2836" s="1" t="b">
        <v>0</v>
      </c>
      <c r="AO2836" s="1" t="b">
        <v>0</v>
      </c>
    </row>
    <row r="2837" spans="1:41" x14ac:dyDescent="0.25">
      <c r="A2837" s="10"/>
      <c r="B2837" s="10"/>
      <c r="C2837" s="10"/>
      <c r="D2837" s="10"/>
      <c r="E2837" s="10"/>
      <c r="F2837" s="10"/>
      <c r="G2837" s="10"/>
      <c r="H2837" s="10"/>
      <c r="I2837" s="1" t="str">
        <f t="shared" si="132"/>
        <v/>
      </c>
      <c r="J2837" s="1" t="s">
        <v>35</v>
      </c>
      <c r="K2837" s="1" t="str">
        <f t="shared" si="133"/>
        <v/>
      </c>
      <c r="L2837" s="1" t="str">
        <f t="shared" si="134"/>
        <v/>
      </c>
      <c r="M2837" s="1">
        <f>IF(OR(Table1[[#This Row],[Std Nom]]="",Table1[[#This Row],[Std Read]]=""),0,Table1[[#This Row],[Std Nom]]-Table1[[#This Row],[Std Read]])</f>
        <v>0</v>
      </c>
      <c r="N2837" s="1">
        <f>IF(Calculations!$F$5="ACCREDITED 17025 WITH UNCERTAINTIES",$N$10,0)</f>
        <v>0</v>
      </c>
      <c r="Q2837" s="1">
        <f>Table1[[#This Row],[High Tol]]-Table1[[#This Row],[Low Tol]]</f>
        <v>0</v>
      </c>
      <c r="R2837" s="1">
        <f>2*Table1[[#This Row],[Std Error]]</f>
        <v>0</v>
      </c>
      <c r="S2837" s="1" t="str">
        <f>IF(Table1[[#This Row],[High Tol]]="","N/A",IFERROR(ABS(Table1[[#This Row],[Tol Span]]/Table1[[#This Row],[Error Span]]),"N/A"))</f>
        <v>N/A</v>
      </c>
      <c r="T2837" s="1" t="str">
        <f>IF(OR(Table1[[#This Row],[Low Tol]]="",Table1[[#This Row],[High Tol]]=""),"Needs Analysis",IF(Table1[[#This Row],[Ratio]]&gt;=4,"Not Significant",IF(Table1[[#This Row],[Ratio]]&gt;=2,"Semi-Significant","Significant")))</f>
        <v>Needs Analysis</v>
      </c>
      <c r="W2837" s="1">
        <f>IF(Table1[[#This Row],[Cal Type]]&lt;&gt;"ACCREDITED 17025 WITH UNCERTAINTIES",0,"")</f>
        <v>0</v>
      </c>
      <c r="X2837" s="1" t="str">
        <f>IF(Table1[[#This Row],[DUT Read]]="","N/A",Table1[[#This Row],[Std Error]]+Table1[[#This Row],[DUT Read]]+Table1[[#This Row],[DUT Ucty]])</f>
        <v>N/A</v>
      </c>
      <c r="Y2837" s="1" t="str">
        <f>IF(Table1[[#This Row],[Std Read]]="","N/A",Table1[[#This Row],[Std Read]]+Table1[[#This Row],[Std Ucty]])</f>
        <v>N/A</v>
      </c>
      <c r="Z28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7" s="1" t="str">
        <f>IF(Table1[[#This Row],[Spec Type]]="","N/A",Table1[[#This Row],[Spec Type]])</f>
        <v>±</v>
      </c>
      <c r="AC2837" s="1" t="str">
        <f>IF(Table1[[#This Row],[Spec Type2]]="N/A","N/A",IF(AND(Table1[[#This Row],[DUT Adj Read]]&gt;=Table1[[#This Row],[Low Tol]],Table1[[#This Row],[DUT Adj Read]]&lt;=Table1[[#This Row],[High Tol]]),"Pass","Fail"))</f>
        <v>Fail</v>
      </c>
      <c r="AD2837" s="1" t="str">
        <f>IF(AND(Table1[[#This Row],[Spec Type2]]="N/A",Table1[[#This Row],[DUT Adj Read]]="N/A",Table1[[#This Row],[Std Adj Read]]="N/A"),"N/A",IF(Table1[[#This Row],[DUT Adj Read]]="N/A",IF(Table1[[#This Row],[Std Adj Read]]&gt;Table1[[#This Row],[Low Tol]],"Pass","Fail"),IF(Table1[[#This Row],[DUT Adj Read]]&gt;Table1[[#This Row],[Low Tol]],"Pass","Fail")))</f>
        <v>Pass</v>
      </c>
      <c r="AE2837" s="1" t="str">
        <f>IF(AND(Table1[[#This Row],[Spec Type2]]="N/A",Table1[[#This Row],[DUT Adj Read]]="N/A",Table1[[#This Row],[Std Adj Read]]="N/A"),"N/A",IF(Table1[[#This Row],[DUT Adj Read]]="N/A",IF(Table1[[#This Row],[Std Adj Read]]&lt;Table1[[#This Row],[High Tol]],"Pass","Fail"),IF(Table1[[#This Row],[DUT Adj Read]]&lt;Table1[[#This Row],[High Tol]],"Pass","Fail")))</f>
        <v>Fail</v>
      </c>
      <c r="AF2837" s="1" t="str">
        <f>IF(AND(Table1[[#This Row],[Spec Type2]]="N/A",Table1[[#This Row],[DUT Adj Read]]="N/A",Table1[[#This Row],[Std Adj Read]]="N/A"),"N/A",IF(Table1[[#This Row],[DUT Adj Read]]="N/A",IF(Table1[[#This Row],[Std Adj Read]]&gt;=Table1[[#This Row],[Low Tol]],"Pass","Fail"),IF(Table1[[#This Row],[DUT Adj Read]]&gt;=Table1[[#This Row],[Low Tol]],"Pass","Fail")))</f>
        <v>Pass</v>
      </c>
      <c r="AG2837" s="1" t="str">
        <f>IF(AND(Table1[[#This Row],[Spec Type2]]="N/A",Table1[[#This Row],[DUT Adj Read]]="N/A",Table1[[#This Row],[Std Adj Read]]="N/A"),"N/A",IF(Table1[[#This Row],[DUT Adj Read]]="N/A",IF(Table1[[#This Row],[Std Adj Read]]&lt;=Table1[[#This Row],[High Tol]],"Pass","Fail"),IF(Table1[[#This Row],[DUT Adj Read]]&lt;=Table1[[#This Row],[High Tol]],"Pass","Fail")))</f>
        <v>Fail</v>
      </c>
      <c r="AH28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7" s="1" t="b">
        <v>0</v>
      </c>
      <c r="AN2837" s="1" t="b">
        <v>0</v>
      </c>
      <c r="AO2837" s="1" t="b">
        <v>0</v>
      </c>
    </row>
    <row r="2838" spans="1:41" x14ac:dyDescent="0.25">
      <c r="A2838" s="10"/>
      <c r="B2838" s="10"/>
      <c r="C2838" s="10"/>
      <c r="D2838" s="10"/>
      <c r="E2838" s="10"/>
      <c r="F2838" s="10"/>
      <c r="G2838" s="10"/>
      <c r="H2838" s="10"/>
      <c r="I2838" s="1" t="str">
        <f t="shared" si="132"/>
        <v/>
      </c>
      <c r="J2838" s="1" t="s">
        <v>35</v>
      </c>
      <c r="K2838" s="1" t="str">
        <f t="shared" si="133"/>
        <v/>
      </c>
      <c r="L2838" s="1" t="str">
        <f t="shared" si="134"/>
        <v/>
      </c>
      <c r="M2838" s="1">
        <f>IF(OR(Table1[[#This Row],[Std Nom]]="",Table1[[#This Row],[Std Read]]=""),0,Table1[[#This Row],[Std Nom]]-Table1[[#This Row],[Std Read]])</f>
        <v>0</v>
      </c>
      <c r="N2838" s="1">
        <f>IF(Calculations!$F$5="ACCREDITED 17025 WITH UNCERTAINTIES",$N$10,0)</f>
        <v>0</v>
      </c>
      <c r="Q2838" s="1">
        <f>Table1[[#This Row],[High Tol]]-Table1[[#This Row],[Low Tol]]</f>
        <v>0</v>
      </c>
      <c r="R2838" s="1">
        <f>2*Table1[[#This Row],[Std Error]]</f>
        <v>0</v>
      </c>
      <c r="S2838" s="1" t="str">
        <f>IF(Table1[[#This Row],[High Tol]]="","N/A",IFERROR(ABS(Table1[[#This Row],[Tol Span]]/Table1[[#This Row],[Error Span]]),"N/A"))</f>
        <v>N/A</v>
      </c>
      <c r="T2838" s="1" t="str">
        <f>IF(OR(Table1[[#This Row],[Low Tol]]="",Table1[[#This Row],[High Tol]]=""),"Needs Analysis",IF(Table1[[#This Row],[Ratio]]&gt;=4,"Not Significant",IF(Table1[[#This Row],[Ratio]]&gt;=2,"Semi-Significant","Significant")))</f>
        <v>Needs Analysis</v>
      </c>
      <c r="W2838" s="1">
        <f>IF(Table1[[#This Row],[Cal Type]]&lt;&gt;"ACCREDITED 17025 WITH UNCERTAINTIES",0,"")</f>
        <v>0</v>
      </c>
      <c r="X2838" s="1" t="str">
        <f>IF(Table1[[#This Row],[DUT Read]]="","N/A",Table1[[#This Row],[Std Error]]+Table1[[#This Row],[DUT Read]]+Table1[[#This Row],[DUT Ucty]])</f>
        <v>N/A</v>
      </c>
      <c r="Y2838" s="1" t="str">
        <f>IF(Table1[[#This Row],[Std Read]]="","N/A",Table1[[#This Row],[Std Read]]+Table1[[#This Row],[Std Ucty]])</f>
        <v>N/A</v>
      </c>
      <c r="Z28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8" s="1" t="str">
        <f>IF(Table1[[#This Row],[Spec Type]]="","N/A",Table1[[#This Row],[Spec Type]])</f>
        <v>±</v>
      </c>
      <c r="AC2838" s="1" t="str">
        <f>IF(Table1[[#This Row],[Spec Type2]]="N/A","N/A",IF(AND(Table1[[#This Row],[DUT Adj Read]]&gt;=Table1[[#This Row],[Low Tol]],Table1[[#This Row],[DUT Adj Read]]&lt;=Table1[[#This Row],[High Tol]]),"Pass","Fail"))</f>
        <v>Fail</v>
      </c>
      <c r="AD2838" s="1" t="str">
        <f>IF(AND(Table1[[#This Row],[Spec Type2]]="N/A",Table1[[#This Row],[DUT Adj Read]]="N/A",Table1[[#This Row],[Std Adj Read]]="N/A"),"N/A",IF(Table1[[#This Row],[DUT Adj Read]]="N/A",IF(Table1[[#This Row],[Std Adj Read]]&gt;Table1[[#This Row],[Low Tol]],"Pass","Fail"),IF(Table1[[#This Row],[DUT Adj Read]]&gt;Table1[[#This Row],[Low Tol]],"Pass","Fail")))</f>
        <v>Pass</v>
      </c>
      <c r="AE2838" s="1" t="str">
        <f>IF(AND(Table1[[#This Row],[Spec Type2]]="N/A",Table1[[#This Row],[DUT Adj Read]]="N/A",Table1[[#This Row],[Std Adj Read]]="N/A"),"N/A",IF(Table1[[#This Row],[DUT Adj Read]]="N/A",IF(Table1[[#This Row],[Std Adj Read]]&lt;Table1[[#This Row],[High Tol]],"Pass","Fail"),IF(Table1[[#This Row],[DUT Adj Read]]&lt;Table1[[#This Row],[High Tol]],"Pass","Fail")))</f>
        <v>Fail</v>
      </c>
      <c r="AF2838" s="1" t="str">
        <f>IF(AND(Table1[[#This Row],[Spec Type2]]="N/A",Table1[[#This Row],[DUT Adj Read]]="N/A",Table1[[#This Row],[Std Adj Read]]="N/A"),"N/A",IF(Table1[[#This Row],[DUT Adj Read]]="N/A",IF(Table1[[#This Row],[Std Adj Read]]&gt;=Table1[[#This Row],[Low Tol]],"Pass","Fail"),IF(Table1[[#This Row],[DUT Adj Read]]&gt;=Table1[[#This Row],[Low Tol]],"Pass","Fail")))</f>
        <v>Pass</v>
      </c>
      <c r="AG2838" s="1" t="str">
        <f>IF(AND(Table1[[#This Row],[Spec Type2]]="N/A",Table1[[#This Row],[DUT Adj Read]]="N/A",Table1[[#This Row],[Std Adj Read]]="N/A"),"N/A",IF(Table1[[#This Row],[DUT Adj Read]]="N/A",IF(Table1[[#This Row],[Std Adj Read]]&lt;=Table1[[#This Row],[High Tol]],"Pass","Fail"),IF(Table1[[#This Row],[DUT Adj Read]]&lt;=Table1[[#This Row],[High Tol]],"Pass","Fail")))</f>
        <v>Fail</v>
      </c>
      <c r="AH28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8" s="1" t="b">
        <v>0</v>
      </c>
      <c r="AN2838" s="1" t="b">
        <v>0</v>
      </c>
      <c r="AO2838" s="1" t="b">
        <v>0</v>
      </c>
    </row>
    <row r="2839" spans="1:41" x14ac:dyDescent="0.25">
      <c r="A2839" s="10"/>
      <c r="B2839" s="10"/>
      <c r="C2839" s="10"/>
      <c r="D2839" s="10"/>
      <c r="E2839" s="10"/>
      <c r="F2839" s="10"/>
      <c r="G2839" s="10"/>
      <c r="H2839" s="10"/>
      <c r="I2839" s="1" t="str">
        <f t="shared" si="132"/>
        <v/>
      </c>
      <c r="J2839" s="1" t="s">
        <v>35</v>
      </c>
      <c r="K2839" s="1" t="str">
        <f t="shared" si="133"/>
        <v/>
      </c>
      <c r="L2839" s="1" t="str">
        <f t="shared" si="134"/>
        <v/>
      </c>
      <c r="M2839" s="1">
        <f>IF(OR(Table1[[#This Row],[Std Nom]]="",Table1[[#This Row],[Std Read]]=""),0,Table1[[#This Row],[Std Nom]]-Table1[[#This Row],[Std Read]])</f>
        <v>0</v>
      </c>
      <c r="N2839" s="1">
        <f>IF(Calculations!$F$5="ACCREDITED 17025 WITH UNCERTAINTIES",$N$10,0)</f>
        <v>0</v>
      </c>
      <c r="Q2839" s="1">
        <f>Table1[[#This Row],[High Tol]]-Table1[[#This Row],[Low Tol]]</f>
        <v>0</v>
      </c>
      <c r="R2839" s="1">
        <f>2*Table1[[#This Row],[Std Error]]</f>
        <v>0</v>
      </c>
      <c r="S2839" s="1" t="str">
        <f>IF(Table1[[#This Row],[High Tol]]="","N/A",IFERROR(ABS(Table1[[#This Row],[Tol Span]]/Table1[[#This Row],[Error Span]]),"N/A"))</f>
        <v>N/A</v>
      </c>
      <c r="T2839" s="1" t="str">
        <f>IF(OR(Table1[[#This Row],[Low Tol]]="",Table1[[#This Row],[High Tol]]=""),"Needs Analysis",IF(Table1[[#This Row],[Ratio]]&gt;=4,"Not Significant",IF(Table1[[#This Row],[Ratio]]&gt;=2,"Semi-Significant","Significant")))</f>
        <v>Needs Analysis</v>
      </c>
      <c r="W2839" s="1">
        <f>IF(Table1[[#This Row],[Cal Type]]&lt;&gt;"ACCREDITED 17025 WITH UNCERTAINTIES",0,"")</f>
        <v>0</v>
      </c>
      <c r="X2839" s="1" t="str">
        <f>IF(Table1[[#This Row],[DUT Read]]="","N/A",Table1[[#This Row],[Std Error]]+Table1[[#This Row],[DUT Read]]+Table1[[#This Row],[DUT Ucty]])</f>
        <v>N/A</v>
      </c>
      <c r="Y2839" s="1" t="str">
        <f>IF(Table1[[#This Row],[Std Read]]="","N/A",Table1[[#This Row],[Std Read]]+Table1[[#This Row],[Std Ucty]])</f>
        <v>N/A</v>
      </c>
      <c r="Z28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39" s="1" t="str">
        <f>IF(Table1[[#This Row],[Spec Type]]="","N/A",Table1[[#This Row],[Spec Type]])</f>
        <v>±</v>
      </c>
      <c r="AC2839" s="1" t="str">
        <f>IF(Table1[[#This Row],[Spec Type2]]="N/A","N/A",IF(AND(Table1[[#This Row],[DUT Adj Read]]&gt;=Table1[[#This Row],[Low Tol]],Table1[[#This Row],[DUT Adj Read]]&lt;=Table1[[#This Row],[High Tol]]),"Pass","Fail"))</f>
        <v>Fail</v>
      </c>
      <c r="AD2839" s="1" t="str">
        <f>IF(AND(Table1[[#This Row],[Spec Type2]]="N/A",Table1[[#This Row],[DUT Adj Read]]="N/A",Table1[[#This Row],[Std Adj Read]]="N/A"),"N/A",IF(Table1[[#This Row],[DUT Adj Read]]="N/A",IF(Table1[[#This Row],[Std Adj Read]]&gt;Table1[[#This Row],[Low Tol]],"Pass","Fail"),IF(Table1[[#This Row],[DUT Adj Read]]&gt;Table1[[#This Row],[Low Tol]],"Pass","Fail")))</f>
        <v>Pass</v>
      </c>
      <c r="AE2839" s="1" t="str">
        <f>IF(AND(Table1[[#This Row],[Spec Type2]]="N/A",Table1[[#This Row],[DUT Adj Read]]="N/A",Table1[[#This Row],[Std Adj Read]]="N/A"),"N/A",IF(Table1[[#This Row],[DUT Adj Read]]="N/A",IF(Table1[[#This Row],[Std Adj Read]]&lt;Table1[[#This Row],[High Tol]],"Pass","Fail"),IF(Table1[[#This Row],[DUT Adj Read]]&lt;Table1[[#This Row],[High Tol]],"Pass","Fail")))</f>
        <v>Fail</v>
      </c>
      <c r="AF2839" s="1" t="str">
        <f>IF(AND(Table1[[#This Row],[Spec Type2]]="N/A",Table1[[#This Row],[DUT Adj Read]]="N/A",Table1[[#This Row],[Std Adj Read]]="N/A"),"N/A",IF(Table1[[#This Row],[DUT Adj Read]]="N/A",IF(Table1[[#This Row],[Std Adj Read]]&gt;=Table1[[#This Row],[Low Tol]],"Pass","Fail"),IF(Table1[[#This Row],[DUT Adj Read]]&gt;=Table1[[#This Row],[Low Tol]],"Pass","Fail")))</f>
        <v>Pass</v>
      </c>
      <c r="AG2839" s="1" t="str">
        <f>IF(AND(Table1[[#This Row],[Spec Type2]]="N/A",Table1[[#This Row],[DUT Adj Read]]="N/A",Table1[[#This Row],[Std Adj Read]]="N/A"),"N/A",IF(Table1[[#This Row],[DUT Adj Read]]="N/A",IF(Table1[[#This Row],[Std Adj Read]]&lt;=Table1[[#This Row],[High Tol]],"Pass","Fail"),IF(Table1[[#This Row],[DUT Adj Read]]&lt;=Table1[[#This Row],[High Tol]],"Pass","Fail")))</f>
        <v>Fail</v>
      </c>
      <c r="AH28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39" s="1" t="b">
        <v>0</v>
      </c>
      <c r="AN2839" s="1" t="b">
        <v>0</v>
      </c>
      <c r="AO2839" s="1" t="b">
        <v>0</v>
      </c>
    </row>
    <row r="2840" spans="1:41" x14ac:dyDescent="0.25">
      <c r="A2840" s="10"/>
      <c r="B2840" s="10"/>
      <c r="C2840" s="10"/>
      <c r="D2840" s="10"/>
      <c r="E2840" s="10"/>
      <c r="F2840" s="10"/>
      <c r="G2840" s="10"/>
      <c r="H2840" s="10"/>
      <c r="I2840" s="1" t="str">
        <f t="shared" si="132"/>
        <v/>
      </c>
      <c r="J2840" s="1" t="s">
        <v>35</v>
      </c>
      <c r="K2840" s="1" t="str">
        <f t="shared" si="133"/>
        <v/>
      </c>
      <c r="L2840" s="1" t="str">
        <f t="shared" si="134"/>
        <v/>
      </c>
      <c r="M2840" s="1">
        <f>IF(OR(Table1[[#This Row],[Std Nom]]="",Table1[[#This Row],[Std Read]]=""),0,Table1[[#This Row],[Std Nom]]-Table1[[#This Row],[Std Read]])</f>
        <v>0</v>
      </c>
      <c r="N2840" s="1">
        <f>IF(Calculations!$F$5="ACCREDITED 17025 WITH UNCERTAINTIES",$N$10,0)</f>
        <v>0</v>
      </c>
      <c r="Q2840" s="1">
        <f>Table1[[#This Row],[High Tol]]-Table1[[#This Row],[Low Tol]]</f>
        <v>0</v>
      </c>
      <c r="R2840" s="1">
        <f>2*Table1[[#This Row],[Std Error]]</f>
        <v>0</v>
      </c>
      <c r="S2840" s="1" t="str">
        <f>IF(Table1[[#This Row],[High Tol]]="","N/A",IFERROR(ABS(Table1[[#This Row],[Tol Span]]/Table1[[#This Row],[Error Span]]),"N/A"))</f>
        <v>N/A</v>
      </c>
      <c r="T2840" s="1" t="str">
        <f>IF(OR(Table1[[#This Row],[Low Tol]]="",Table1[[#This Row],[High Tol]]=""),"Needs Analysis",IF(Table1[[#This Row],[Ratio]]&gt;=4,"Not Significant",IF(Table1[[#This Row],[Ratio]]&gt;=2,"Semi-Significant","Significant")))</f>
        <v>Needs Analysis</v>
      </c>
      <c r="W2840" s="1">
        <f>IF(Table1[[#This Row],[Cal Type]]&lt;&gt;"ACCREDITED 17025 WITH UNCERTAINTIES",0,"")</f>
        <v>0</v>
      </c>
      <c r="X2840" s="1" t="str">
        <f>IF(Table1[[#This Row],[DUT Read]]="","N/A",Table1[[#This Row],[Std Error]]+Table1[[#This Row],[DUT Read]]+Table1[[#This Row],[DUT Ucty]])</f>
        <v>N/A</v>
      </c>
      <c r="Y2840" s="1" t="str">
        <f>IF(Table1[[#This Row],[Std Read]]="","N/A",Table1[[#This Row],[Std Read]]+Table1[[#This Row],[Std Ucty]])</f>
        <v>N/A</v>
      </c>
      <c r="Z28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0" s="1" t="str">
        <f>IF(Table1[[#This Row],[Spec Type]]="","N/A",Table1[[#This Row],[Spec Type]])</f>
        <v>±</v>
      </c>
      <c r="AC2840" s="1" t="str">
        <f>IF(Table1[[#This Row],[Spec Type2]]="N/A","N/A",IF(AND(Table1[[#This Row],[DUT Adj Read]]&gt;=Table1[[#This Row],[Low Tol]],Table1[[#This Row],[DUT Adj Read]]&lt;=Table1[[#This Row],[High Tol]]),"Pass","Fail"))</f>
        <v>Fail</v>
      </c>
      <c r="AD2840" s="1" t="str">
        <f>IF(AND(Table1[[#This Row],[Spec Type2]]="N/A",Table1[[#This Row],[DUT Adj Read]]="N/A",Table1[[#This Row],[Std Adj Read]]="N/A"),"N/A",IF(Table1[[#This Row],[DUT Adj Read]]="N/A",IF(Table1[[#This Row],[Std Adj Read]]&gt;Table1[[#This Row],[Low Tol]],"Pass","Fail"),IF(Table1[[#This Row],[DUT Adj Read]]&gt;Table1[[#This Row],[Low Tol]],"Pass","Fail")))</f>
        <v>Pass</v>
      </c>
      <c r="AE2840" s="1" t="str">
        <f>IF(AND(Table1[[#This Row],[Spec Type2]]="N/A",Table1[[#This Row],[DUT Adj Read]]="N/A",Table1[[#This Row],[Std Adj Read]]="N/A"),"N/A",IF(Table1[[#This Row],[DUT Adj Read]]="N/A",IF(Table1[[#This Row],[Std Adj Read]]&lt;Table1[[#This Row],[High Tol]],"Pass","Fail"),IF(Table1[[#This Row],[DUT Adj Read]]&lt;Table1[[#This Row],[High Tol]],"Pass","Fail")))</f>
        <v>Fail</v>
      </c>
      <c r="AF2840" s="1" t="str">
        <f>IF(AND(Table1[[#This Row],[Spec Type2]]="N/A",Table1[[#This Row],[DUT Adj Read]]="N/A",Table1[[#This Row],[Std Adj Read]]="N/A"),"N/A",IF(Table1[[#This Row],[DUT Adj Read]]="N/A",IF(Table1[[#This Row],[Std Adj Read]]&gt;=Table1[[#This Row],[Low Tol]],"Pass","Fail"),IF(Table1[[#This Row],[DUT Adj Read]]&gt;=Table1[[#This Row],[Low Tol]],"Pass","Fail")))</f>
        <v>Pass</v>
      </c>
      <c r="AG2840" s="1" t="str">
        <f>IF(AND(Table1[[#This Row],[Spec Type2]]="N/A",Table1[[#This Row],[DUT Adj Read]]="N/A",Table1[[#This Row],[Std Adj Read]]="N/A"),"N/A",IF(Table1[[#This Row],[DUT Adj Read]]="N/A",IF(Table1[[#This Row],[Std Adj Read]]&lt;=Table1[[#This Row],[High Tol]],"Pass","Fail"),IF(Table1[[#This Row],[DUT Adj Read]]&lt;=Table1[[#This Row],[High Tol]],"Pass","Fail")))</f>
        <v>Fail</v>
      </c>
      <c r="AH28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0" s="1" t="b">
        <v>0</v>
      </c>
      <c r="AN2840" s="1" t="b">
        <v>0</v>
      </c>
      <c r="AO2840" s="1" t="b">
        <v>0</v>
      </c>
    </row>
    <row r="2841" spans="1:41" x14ac:dyDescent="0.25">
      <c r="A2841" s="10"/>
      <c r="B2841" s="10"/>
      <c r="C2841" s="10"/>
      <c r="D2841" s="10"/>
      <c r="E2841" s="10"/>
      <c r="F2841" s="10"/>
      <c r="G2841" s="10"/>
      <c r="H2841" s="10"/>
      <c r="I2841" s="1" t="str">
        <f t="shared" si="132"/>
        <v/>
      </c>
      <c r="J2841" s="1" t="s">
        <v>35</v>
      </c>
      <c r="K2841" s="1" t="str">
        <f t="shared" si="133"/>
        <v/>
      </c>
      <c r="L2841" s="1" t="str">
        <f t="shared" si="134"/>
        <v/>
      </c>
      <c r="M2841" s="1">
        <f>IF(OR(Table1[[#This Row],[Std Nom]]="",Table1[[#This Row],[Std Read]]=""),0,Table1[[#This Row],[Std Nom]]-Table1[[#This Row],[Std Read]])</f>
        <v>0</v>
      </c>
      <c r="N2841" s="1">
        <f>IF(Calculations!$F$5="ACCREDITED 17025 WITH UNCERTAINTIES",$N$10,0)</f>
        <v>0</v>
      </c>
      <c r="Q2841" s="1">
        <f>Table1[[#This Row],[High Tol]]-Table1[[#This Row],[Low Tol]]</f>
        <v>0</v>
      </c>
      <c r="R2841" s="1">
        <f>2*Table1[[#This Row],[Std Error]]</f>
        <v>0</v>
      </c>
      <c r="S2841" s="1" t="str">
        <f>IF(Table1[[#This Row],[High Tol]]="","N/A",IFERROR(ABS(Table1[[#This Row],[Tol Span]]/Table1[[#This Row],[Error Span]]),"N/A"))</f>
        <v>N/A</v>
      </c>
      <c r="T2841" s="1" t="str">
        <f>IF(OR(Table1[[#This Row],[Low Tol]]="",Table1[[#This Row],[High Tol]]=""),"Needs Analysis",IF(Table1[[#This Row],[Ratio]]&gt;=4,"Not Significant",IF(Table1[[#This Row],[Ratio]]&gt;=2,"Semi-Significant","Significant")))</f>
        <v>Needs Analysis</v>
      </c>
      <c r="W2841" s="1">
        <f>IF(Table1[[#This Row],[Cal Type]]&lt;&gt;"ACCREDITED 17025 WITH UNCERTAINTIES",0,"")</f>
        <v>0</v>
      </c>
      <c r="X2841" s="1" t="str">
        <f>IF(Table1[[#This Row],[DUT Read]]="","N/A",Table1[[#This Row],[Std Error]]+Table1[[#This Row],[DUT Read]]+Table1[[#This Row],[DUT Ucty]])</f>
        <v>N/A</v>
      </c>
      <c r="Y2841" s="1" t="str">
        <f>IF(Table1[[#This Row],[Std Read]]="","N/A",Table1[[#This Row],[Std Read]]+Table1[[#This Row],[Std Ucty]])</f>
        <v>N/A</v>
      </c>
      <c r="Z28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1" s="1" t="str">
        <f>IF(Table1[[#This Row],[Spec Type]]="","N/A",Table1[[#This Row],[Spec Type]])</f>
        <v>±</v>
      </c>
      <c r="AC2841" s="1" t="str">
        <f>IF(Table1[[#This Row],[Spec Type2]]="N/A","N/A",IF(AND(Table1[[#This Row],[DUT Adj Read]]&gt;=Table1[[#This Row],[Low Tol]],Table1[[#This Row],[DUT Adj Read]]&lt;=Table1[[#This Row],[High Tol]]),"Pass","Fail"))</f>
        <v>Fail</v>
      </c>
      <c r="AD2841" s="1" t="str">
        <f>IF(AND(Table1[[#This Row],[Spec Type2]]="N/A",Table1[[#This Row],[DUT Adj Read]]="N/A",Table1[[#This Row],[Std Adj Read]]="N/A"),"N/A",IF(Table1[[#This Row],[DUT Adj Read]]="N/A",IF(Table1[[#This Row],[Std Adj Read]]&gt;Table1[[#This Row],[Low Tol]],"Pass","Fail"),IF(Table1[[#This Row],[DUT Adj Read]]&gt;Table1[[#This Row],[Low Tol]],"Pass","Fail")))</f>
        <v>Pass</v>
      </c>
      <c r="AE2841" s="1" t="str">
        <f>IF(AND(Table1[[#This Row],[Spec Type2]]="N/A",Table1[[#This Row],[DUT Adj Read]]="N/A",Table1[[#This Row],[Std Adj Read]]="N/A"),"N/A",IF(Table1[[#This Row],[DUT Adj Read]]="N/A",IF(Table1[[#This Row],[Std Adj Read]]&lt;Table1[[#This Row],[High Tol]],"Pass","Fail"),IF(Table1[[#This Row],[DUT Adj Read]]&lt;Table1[[#This Row],[High Tol]],"Pass","Fail")))</f>
        <v>Fail</v>
      </c>
      <c r="AF2841" s="1" t="str">
        <f>IF(AND(Table1[[#This Row],[Spec Type2]]="N/A",Table1[[#This Row],[DUT Adj Read]]="N/A",Table1[[#This Row],[Std Adj Read]]="N/A"),"N/A",IF(Table1[[#This Row],[DUT Adj Read]]="N/A",IF(Table1[[#This Row],[Std Adj Read]]&gt;=Table1[[#This Row],[Low Tol]],"Pass","Fail"),IF(Table1[[#This Row],[DUT Adj Read]]&gt;=Table1[[#This Row],[Low Tol]],"Pass","Fail")))</f>
        <v>Pass</v>
      </c>
      <c r="AG2841" s="1" t="str">
        <f>IF(AND(Table1[[#This Row],[Spec Type2]]="N/A",Table1[[#This Row],[DUT Adj Read]]="N/A",Table1[[#This Row],[Std Adj Read]]="N/A"),"N/A",IF(Table1[[#This Row],[DUT Adj Read]]="N/A",IF(Table1[[#This Row],[Std Adj Read]]&lt;=Table1[[#This Row],[High Tol]],"Pass","Fail"),IF(Table1[[#This Row],[DUT Adj Read]]&lt;=Table1[[#This Row],[High Tol]],"Pass","Fail")))</f>
        <v>Fail</v>
      </c>
      <c r="AH28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1" s="1" t="b">
        <v>0</v>
      </c>
      <c r="AN2841" s="1" t="b">
        <v>0</v>
      </c>
      <c r="AO2841" s="1" t="b">
        <v>0</v>
      </c>
    </row>
    <row r="2842" spans="1:41" x14ac:dyDescent="0.25">
      <c r="A2842" s="10"/>
      <c r="B2842" s="10"/>
      <c r="C2842" s="10"/>
      <c r="D2842" s="10"/>
      <c r="E2842" s="10"/>
      <c r="F2842" s="10"/>
      <c r="G2842" s="10"/>
      <c r="H2842" s="10"/>
      <c r="I2842" s="1" t="str">
        <f t="shared" si="132"/>
        <v/>
      </c>
      <c r="J2842" s="1" t="s">
        <v>35</v>
      </c>
      <c r="K2842" s="1" t="str">
        <f t="shared" si="133"/>
        <v/>
      </c>
      <c r="L2842" s="1" t="str">
        <f t="shared" si="134"/>
        <v/>
      </c>
      <c r="M2842" s="1">
        <f>IF(OR(Table1[[#This Row],[Std Nom]]="",Table1[[#This Row],[Std Read]]=""),0,Table1[[#This Row],[Std Nom]]-Table1[[#This Row],[Std Read]])</f>
        <v>0</v>
      </c>
      <c r="N2842" s="1">
        <f>IF(Calculations!$F$5="ACCREDITED 17025 WITH UNCERTAINTIES",$N$10,0)</f>
        <v>0</v>
      </c>
      <c r="Q2842" s="1">
        <f>Table1[[#This Row],[High Tol]]-Table1[[#This Row],[Low Tol]]</f>
        <v>0</v>
      </c>
      <c r="R2842" s="1">
        <f>2*Table1[[#This Row],[Std Error]]</f>
        <v>0</v>
      </c>
      <c r="S2842" s="1" t="str">
        <f>IF(Table1[[#This Row],[High Tol]]="","N/A",IFERROR(ABS(Table1[[#This Row],[Tol Span]]/Table1[[#This Row],[Error Span]]),"N/A"))</f>
        <v>N/A</v>
      </c>
      <c r="T2842" s="1" t="str">
        <f>IF(OR(Table1[[#This Row],[Low Tol]]="",Table1[[#This Row],[High Tol]]=""),"Needs Analysis",IF(Table1[[#This Row],[Ratio]]&gt;=4,"Not Significant",IF(Table1[[#This Row],[Ratio]]&gt;=2,"Semi-Significant","Significant")))</f>
        <v>Needs Analysis</v>
      </c>
      <c r="W2842" s="1">
        <f>IF(Table1[[#This Row],[Cal Type]]&lt;&gt;"ACCREDITED 17025 WITH UNCERTAINTIES",0,"")</f>
        <v>0</v>
      </c>
      <c r="X2842" s="1" t="str">
        <f>IF(Table1[[#This Row],[DUT Read]]="","N/A",Table1[[#This Row],[Std Error]]+Table1[[#This Row],[DUT Read]]+Table1[[#This Row],[DUT Ucty]])</f>
        <v>N/A</v>
      </c>
      <c r="Y2842" s="1" t="str">
        <f>IF(Table1[[#This Row],[Std Read]]="","N/A",Table1[[#This Row],[Std Read]]+Table1[[#This Row],[Std Ucty]])</f>
        <v>N/A</v>
      </c>
      <c r="Z28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2" s="1" t="str">
        <f>IF(Table1[[#This Row],[Spec Type]]="","N/A",Table1[[#This Row],[Spec Type]])</f>
        <v>±</v>
      </c>
      <c r="AC2842" s="1" t="str">
        <f>IF(Table1[[#This Row],[Spec Type2]]="N/A","N/A",IF(AND(Table1[[#This Row],[DUT Adj Read]]&gt;=Table1[[#This Row],[Low Tol]],Table1[[#This Row],[DUT Adj Read]]&lt;=Table1[[#This Row],[High Tol]]),"Pass","Fail"))</f>
        <v>Fail</v>
      </c>
      <c r="AD2842" s="1" t="str">
        <f>IF(AND(Table1[[#This Row],[Spec Type2]]="N/A",Table1[[#This Row],[DUT Adj Read]]="N/A",Table1[[#This Row],[Std Adj Read]]="N/A"),"N/A",IF(Table1[[#This Row],[DUT Adj Read]]="N/A",IF(Table1[[#This Row],[Std Adj Read]]&gt;Table1[[#This Row],[Low Tol]],"Pass","Fail"),IF(Table1[[#This Row],[DUT Adj Read]]&gt;Table1[[#This Row],[Low Tol]],"Pass","Fail")))</f>
        <v>Pass</v>
      </c>
      <c r="AE2842" s="1" t="str">
        <f>IF(AND(Table1[[#This Row],[Spec Type2]]="N/A",Table1[[#This Row],[DUT Adj Read]]="N/A",Table1[[#This Row],[Std Adj Read]]="N/A"),"N/A",IF(Table1[[#This Row],[DUT Adj Read]]="N/A",IF(Table1[[#This Row],[Std Adj Read]]&lt;Table1[[#This Row],[High Tol]],"Pass","Fail"),IF(Table1[[#This Row],[DUT Adj Read]]&lt;Table1[[#This Row],[High Tol]],"Pass","Fail")))</f>
        <v>Fail</v>
      </c>
      <c r="AF2842" s="1" t="str">
        <f>IF(AND(Table1[[#This Row],[Spec Type2]]="N/A",Table1[[#This Row],[DUT Adj Read]]="N/A",Table1[[#This Row],[Std Adj Read]]="N/A"),"N/A",IF(Table1[[#This Row],[DUT Adj Read]]="N/A",IF(Table1[[#This Row],[Std Adj Read]]&gt;=Table1[[#This Row],[Low Tol]],"Pass","Fail"),IF(Table1[[#This Row],[DUT Adj Read]]&gt;=Table1[[#This Row],[Low Tol]],"Pass","Fail")))</f>
        <v>Pass</v>
      </c>
      <c r="AG2842" s="1" t="str">
        <f>IF(AND(Table1[[#This Row],[Spec Type2]]="N/A",Table1[[#This Row],[DUT Adj Read]]="N/A",Table1[[#This Row],[Std Adj Read]]="N/A"),"N/A",IF(Table1[[#This Row],[DUT Adj Read]]="N/A",IF(Table1[[#This Row],[Std Adj Read]]&lt;=Table1[[#This Row],[High Tol]],"Pass","Fail"),IF(Table1[[#This Row],[DUT Adj Read]]&lt;=Table1[[#This Row],[High Tol]],"Pass","Fail")))</f>
        <v>Fail</v>
      </c>
      <c r="AH28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2" s="1" t="b">
        <v>0</v>
      </c>
      <c r="AN2842" s="1" t="b">
        <v>0</v>
      </c>
      <c r="AO2842" s="1" t="b">
        <v>0</v>
      </c>
    </row>
    <row r="2843" spans="1:41" x14ac:dyDescent="0.25">
      <c r="A2843" s="10"/>
      <c r="B2843" s="10"/>
      <c r="C2843" s="10"/>
      <c r="D2843" s="10"/>
      <c r="E2843" s="10"/>
      <c r="F2843" s="10"/>
      <c r="G2843" s="10"/>
      <c r="H2843" s="10"/>
      <c r="I2843" s="1" t="str">
        <f t="shared" si="132"/>
        <v/>
      </c>
      <c r="J2843" s="1" t="s">
        <v>35</v>
      </c>
      <c r="K2843" s="1" t="str">
        <f t="shared" si="133"/>
        <v/>
      </c>
      <c r="L2843" s="1" t="str">
        <f t="shared" si="134"/>
        <v/>
      </c>
      <c r="M2843" s="1">
        <f>IF(OR(Table1[[#This Row],[Std Nom]]="",Table1[[#This Row],[Std Read]]=""),0,Table1[[#This Row],[Std Nom]]-Table1[[#This Row],[Std Read]])</f>
        <v>0</v>
      </c>
      <c r="N2843" s="1">
        <f>IF(Calculations!$F$5="ACCREDITED 17025 WITH UNCERTAINTIES",$N$10,0)</f>
        <v>0</v>
      </c>
      <c r="Q2843" s="1">
        <f>Table1[[#This Row],[High Tol]]-Table1[[#This Row],[Low Tol]]</f>
        <v>0</v>
      </c>
      <c r="R2843" s="1">
        <f>2*Table1[[#This Row],[Std Error]]</f>
        <v>0</v>
      </c>
      <c r="S2843" s="1" t="str">
        <f>IF(Table1[[#This Row],[High Tol]]="","N/A",IFERROR(ABS(Table1[[#This Row],[Tol Span]]/Table1[[#This Row],[Error Span]]),"N/A"))</f>
        <v>N/A</v>
      </c>
      <c r="T2843" s="1" t="str">
        <f>IF(OR(Table1[[#This Row],[Low Tol]]="",Table1[[#This Row],[High Tol]]=""),"Needs Analysis",IF(Table1[[#This Row],[Ratio]]&gt;=4,"Not Significant",IF(Table1[[#This Row],[Ratio]]&gt;=2,"Semi-Significant","Significant")))</f>
        <v>Needs Analysis</v>
      </c>
      <c r="W2843" s="1">
        <f>IF(Table1[[#This Row],[Cal Type]]&lt;&gt;"ACCREDITED 17025 WITH UNCERTAINTIES",0,"")</f>
        <v>0</v>
      </c>
      <c r="X2843" s="1" t="str">
        <f>IF(Table1[[#This Row],[DUT Read]]="","N/A",Table1[[#This Row],[Std Error]]+Table1[[#This Row],[DUT Read]]+Table1[[#This Row],[DUT Ucty]])</f>
        <v>N/A</v>
      </c>
      <c r="Y2843" s="1" t="str">
        <f>IF(Table1[[#This Row],[Std Read]]="","N/A",Table1[[#This Row],[Std Read]]+Table1[[#This Row],[Std Ucty]])</f>
        <v>N/A</v>
      </c>
      <c r="Z28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3" s="1" t="str">
        <f>IF(Table1[[#This Row],[Spec Type]]="","N/A",Table1[[#This Row],[Spec Type]])</f>
        <v>±</v>
      </c>
      <c r="AC2843" s="1" t="str">
        <f>IF(Table1[[#This Row],[Spec Type2]]="N/A","N/A",IF(AND(Table1[[#This Row],[DUT Adj Read]]&gt;=Table1[[#This Row],[Low Tol]],Table1[[#This Row],[DUT Adj Read]]&lt;=Table1[[#This Row],[High Tol]]),"Pass","Fail"))</f>
        <v>Fail</v>
      </c>
      <c r="AD2843" s="1" t="str">
        <f>IF(AND(Table1[[#This Row],[Spec Type2]]="N/A",Table1[[#This Row],[DUT Adj Read]]="N/A",Table1[[#This Row],[Std Adj Read]]="N/A"),"N/A",IF(Table1[[#This Row],[DUT Adj Read]]="N/A",IF(Table1[[#This Row],[Std Adj Read]]&gt;Table1[[#This Row],[Low Tol]],"Pass","Fail"),IF(Table1[[#This Row],[DUT Adj Read]]&gt;Table1[[#This Row],[Low Tol]],"Pass","Fail")))</f>
        <v>Pass</v>
      </c>
      <c r="AE2843" s="1" t="str">
        <f>IF(AND(Table1[[#This Row],[Spec Type2]]="N/A",Table1[[#This Row],[DUT Adj Read]]="N/A",Table1[[#This Row],[Std Adj Read]]="N/A"),"N/A",IF(Table1[[#This Row],[DUT Adj Read]]="N/A",IF(Table1[[#This Row],[Std Adj Read]]&lt;Table1[[#This Row],[High Tol]],"Pass","Fail"),IF(Table1[[#This Row],[DUT Adj Read]]&lt;Table1[[#This Row],[High Tol]],"Pass","Fail")))</f>
        <v>Fail</v>
      </c>
      <c r="AF2843" s="1" t="str">
        <f>IF(AND(Table1[[#This Row],[Spec Type2]]="N/A",Table1[[#This Row],[DUT Adj Read]]="N/A",Table1[[#This Row],[Std Adj Read]]="N/A"),"N/A",IF(Table1[[#This Row],[DUT Adj Read]]="N/A",IF(Table1[[#This Row],[Std Adj Read]]&gt;=Table1[[#This Row],[Low Tol]],"Pass","Fail"),IF(Table1[[#This Row],[DUT Adj Read]]&gt;=Table1[[#This Row],[Low Tol]],"Pass","Fail")))</f>
        <v>Pass</v>
      </c>
      <c r="AG2843" s="1" t="str">
        <f>IF(AND(Table1[[#This Row],[Spec Type2]]="N/A",Table1[[#This Row],[DUT Adj Read]]="N/A",Table1[[#This Row],[Std Adj Read]]="N/A"),"N/A",IF(Table1[[#This Row],[DUT Adj Read]]="N/A",IF(Table1[[#This Row],[Std Adj Read]]&lt;=Table1[[#This Row],[High Tol]],"Pass","Fail"),IF(Table1[[#This Row],[DUT Adj Read]]&lt;=Table1[[#This Row],[High Tol]],"Pass","Fail")))</f>
        <v>Fail</v>
      </c>
      <c r="AH28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3" s="1" t="b">
        <v>0</v>
      </c>
      <c r="AN2843" s="1" t="b">
        <v>0</v>
      </c>
      <c r="AO2843" s="1" t="b">
        <v>0</v>
      </c>
    </row>
    <row r="2844" spans="1:41" x14ac:dyDescent="0.25">
      <c r="A2844" s="10"/>
      <c r="B2844" s="10"/>
      <c r="C2844" s="10"/>
      <c r="D2844" s="10"/>
      <c r="E2844" s="10"/>
      <c r="F2844" s="10"/>
      <c r="G2844" s="10"/>
      <c r="H2844" s="10"/>
      <c r="I2844" s="1" t="str">
        <f t="shared" si="132"/>
        <v/>
      </c>
      <c r="J2844" s="1" t="s">
        <v>35</v>
      </c>
      <c r="K2844" s="1" t="str">
        <f t="shared" si="133"/>
        <v/>
      </c>
      <c r="L2844" s="1" t="str">
        <f t="shared" si="134"/>
        <v/>
      </c>
      <c r="M2844" s="1">
        <f>IF(OR(Table1[[#This Row],[Std Nom]]="",Table1[[#This Row],[Std Read]]=""),0,Table1[[#This Row],[Std Nom]]-Table1[[#This Row],[Std Read]])</f>
        <v>0</v>
      </c>
      <c r="N2844" s="1">
        <f>IF(Calculations!$F$5="ACCREDITED 17025 WITH UNCERTAINTIES",$N$10,0)</f>
        <v>0</v>
      </c>
      <c r="Q2844" s="1">
        <f>Table1[[#This Row],[High Tol]]-Table1[[#This Row],[Low Tol]]</f>
        <v>0</v>
      </c>
      <c r="R2844" s="1">
        <f>2*Table1[[#This Row],[Std Error]]</f>
        <v>0</v>
      </c>
      <c r="S2844" s="1" t="str">
        <f>IF(Table1[[#This Row],[High Tol]]="","N/A",IFERROR(ABS(Table1[[#This Row],[Tol Span]]/Table1[[#This Row],[Error Span]]),"N/A"))</f>
        <v>N/A</v>
      </c>
      <c r="T2844" s="1" t="str">
        <f>IF(OR(Table1[[#This Row],[Low Tol]]="",Table1[[#This Row],[High Tol]]=""),"Needs Analysis",IF(Table1[[#This Row],[Ratio]]&gt;=4,"Not Significant",IF(Table1[[#This Row],[Ratio]]&gt;=2,"Semi-Significant","Significant")))</f>
        <v>Needs Analysis</v>
      </c>
      <c r="W2844" s="1">
        <f>IF(Table1[[#This Row],[Cal Type]]&lt;&gt;"ACCREDITED 17025 WITH UNCERTAINTIES",0,"")</f>
        <v>0</v>
      </c>
      <c r="X2844" s="1" t="str">
        <f>IF(Table1[[#This Row],[DUT Read]]="","N/A",Table1[[#This Row],[Std Error]]+Table1[[#This Row],[DUT Read]]+Table1[[#This Row],[DUT Ucty]])</f>
        <v>N/A</v>
      </c>
      <c r="Y2844" s="1" t="str">
        <f>IF(Table1[[#This Row],[Std Read]]="","N/A",Table1[[#This Row],[Std Read]]+Table1[[#This Row],[Std Ucty]])</f>
        <v>N/A</v>
      </c>
      <c r="Z28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4" s="1" t="str">
        <f>IF(Table1[[#This Row],[Spec Type]]="","N/A",Table1[[#This Row],[Spec Type]])</f>
        <v>±</v>
      </c>
      <c r="AC2844" s="1" t="str">
        <f>IF(Table1[[#This Row],[Spec Type2]]="N/A","N/A",IF(AND(Table1[[#This Row],[DUT Adj Read]]&gt;=Table1[[#This Row],[Low Tol]],Table1[[#This Row],[DUT Adj Read]]&lt;=Table1[[#This Row],[High Tol]]),"Pass","Fail"))</f>
        <v>Fail</v>
      </c>
      <c r="AD2844" s="1" t="str">
        <f>IF(AND(Table1[[#This Row],[Spec Type2]]="N/A",Table1[[#This Row],[DUT Adj Read]]="N/A",Table1[[#This Row],[Std Adj Read]]="N/A"),"N/A",IF(Table1[[#This Row],[DUT Adj Read]]="N/A",IF(Table1[[#This Row],[Std Adj Read]]&gt;Table1[[#This Row],[Low Tol]],"Pass","Fail"),IF(Table1[[#This Row],[DUT Adj Read]]&gt;Table1[[#This Row],[Low Tol]],"Pass","Fail")))</f>
        <v>Pass</v>
      </c>
      <c r="AE2844" s="1" t="str">
        <f>IF(AND(Table1[[#This Row],[Spec Type2]]="N/A",Table1[[#This Row],[DUT Adj Read]]="N/A",Table1[[#This Row],[Std Adj Read]]="N/A"),"N/A",IF(Table1[[#This Row],[DUT Adj Read]]="N/A",IF(Table1[[#This Row],[Std Adj Read]]&lt;Table1[[#This Row],[High Tol]],"Pass","Fail"),IF(Table1[[#This Row],[DUT Adj Read]]&lt;Table1[[#This Row],[High Tol]],"Pass","Fail")))</f>
        <v>Fail</v>
      </c>
      <c r="AF2844" s="1" t="str">
        <f>IF(AND(Table1[[#This Row],[Spec Type2]]="N/A",Table1[[#This Row],[DUT Adj Read]]="N/A",Table1[[#This Row],[Std Adj Read]]="N/A"),"N/A",IF(Table1[[#This Row],[DUT Adj Read]]="N/A",IF(Table1[[#This Row],[Std Adj Read]]&gt;=Table1[[#This Row],[Low Tol]],"Pass","Fail"),IF(Table1[[#This Row],[DUT Adj Read]]&gt;=Table1[[#This Row],[Low Tol]],"Pass","Fail")))</f>
        <v>Pass</v>
      </c>
      <c r="AG2844" s="1" t="str">
        <f>IF(AND(Table1[[#This Row],[Spec Type2]]="N/A",Table1[[#This Row],[DUT Adj Read]]="N/A",Table1[[#This Row],[Std Adj Read]]="N/A"),"N/A",IF(Table1[[#This Row],[DUT Adj Read]]="N/A",IF(Table1[[#This Row],[Std Adj Read]]&lt;=Table1[[#This Row],[High Tol]],"Pass","Fail"),IF(Table1[[#This Row],[DUT Adj Read]]&lt;=Table1[[#This Row],[High Tol]],"Pass","Fail")))</f>
        <v>Fail</v>
      </c>
      <c r="AH28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4" s="1" t="b">
        <v>0</v>
      </c>
      <c r="AN2844" s="1" t="b">
        <v>0</v>
      </c>
      <c r="AO2844" s="1" t="b">
        <v>0</v>
      </c>
    </row>
    <row r="2845" spans="1:41" x14ac:dyDescent="0.25">
      <c r="A2845" s="10"/>
      <c r="B2845" s="10"/>
      <c r="C2845" s="10"/>
      <c r="D2845" s="10"/>
      <c r="E2845" s="10"/>
      <c r="F2845" s="10"/>
      <c r="G2845" s="10"/>
      <c r="H2845" s="10"/>
      <c r="I2845" s="1" t="str">
        <f t="shared" si="132"/>
        <v/>
      </c>
      <c r="J2845" s="1" t="s">
        <v>35</v>
      </c>
      <c r="K2845" s="1" t="str">
        <f t="shared" si="133"/>
        <v/>
      </c>
      <c r="L2845" s="1" t="str">
        <f t="shared" si="134"/>
        <v/>
      </c>
      <c r="M2845" s="1">
        <f>IF(OR(Table1[[#This Row],[Std Nom]]="",Table1[[#This Row],[Std Read]]=""),0,Table1[[#This Row],[Std Nom]]-Table1[[#This Row],[Std Read]])</f>
        <v>0</v>
      </c>
      <c r="N2845" s="1">
        <f>IF(Calculations!$F$5="ACCREDITED 17025 WITH UNCERTAINTIES",$N$10,0)</f>
        <v>0</v>
      </c>
      <c r="Q2845" s="1">
        <f>Table1[[#This Row],[High Tol]]-Table1[[#This Row],[Low Tol]]</f>
        <v>0</v>
      </c>
      <c r="R2845" s="1">
        <f>2*Table1[[#This Row],[Std Error]]</f>
        <v>0</v>
      </c>
      <c r="S2845" s="1" t="str">
        <f>IF(Table1[[#This Row],[High Tol]]="","N/A",IFERROR(ABS(Table1[[#This Row],[Tol Span]]/Table1[[#This Row],[Error Span]]),"N/A"))</f>
        <v>N/A</v>
      </c>
      <c r="T2845" s="1" t="str">
        <f>IF(OR(Table1[[#This Row],[Low Tol]]="",Table1[[#This Row],[High Tol]]=""),"Needs Analysis",IF(Table1[[#This Row],[Ratio]]&gt;=4,"Not Significant",IF(Table1[[#This Row],[Ratio]]&gt;=2,"Semi-Significant","Significant")))</f>
        <v>Needs Analysis</v>
      </c>
      <c r="W2845" s="1">
        <f>IF(Table1[[#This Row],[Cal Type]]&lt;&gt;"ACCREDITED 17025 WITH UNCERTAINTIES",0,"")</f>
        <v>0</v>
      </c>
      <c r="X2845" s="1" t="str">
        <f>IF(Table1[[#This Row],[DUT Read]]="","N/A",Table1[[#This Row],[Std Error]]+Table1[[#This Row],[DUT Read]]+Table1[[#This Row],[DUT Ucty]])</f>
        <v>N/A</v>
      </c>
      <c r="Y2845" s="1" t="str">
        <f>IF(Table1[[#This Row],[Std Read]]="","N/A",Table1[[#This Row],[Std Read]]+Table1[[#This Row],[Std Ucty]])</f>
        <v>N/A</v>
      </c>
      <c r="Z28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5" s="1" t="str">
        <f>IF(Table1[[#This Row],[Spec Type]]="","N/A",Table1[[#This Row],[Spec Type]])</f>
        <v>±</v>
      </c>
      <c r="AC2845" s="1" t="str">
        <f>IF(Table1[[#This Row],[Spec Type2]]="N/A","N/A",IF(AND(Table1[[#This Row],[DUT Adj Read]]&gt;=Table1[[#This Row],[Low Tol]],Table1[[#This Row],[DUT Adj Read]]&lt;=Table1[[#This Row],[High Tol]]),"Pass","Fail"))</f>
        <v>Fail</v>
      </c>
      <c r="AD2845" s="1" t="str">
        <f>IF(AND(Table1[[#This Row],[Spec Type2]]="N/A",Table1[[#This Row],[DUT Adj Read]]="N/A",Table1[[#This Row],[Std Adj Read]]="N/A"),"N/A",IF(Table1[[#This Row],[DUT Adj Read]]="N/A",IF(Table1[[#This Row],[Std Adj Read]]&gt;Table1[[#This Row],[Low Tol]],"Pass","Fail"),IF(Table1[[#This Row],[DUT Adj Read]]&gt;Table1[[#This Row],[Low Tol]],"Pass","Fail")))</f>
        <v>Pass</v>
      </c>
      <c r="AE2845" s="1" t="str">
        <f>IF(AND(Table1[[#This Row],[Spec Type2]]="N/A",Table1[[#This Row],[DUT Adj Read]]="N/A",Table1[[#This Row],[Std Adj Read]]="N/A"),"N/A",IF(Table1[[#This Row],[DUT Adj Read]]="N/A",IF(Table1[[#This Row],[Std Adj Read]]&lt;Table1[[#This Row],[High Tol]],"Pass","Fail"),IF(Table1[[#This Row],[DUT Adj Read]]&lt;Table1[[#This Row],[High Tol]],"Pass","Fail")))</f>
        <v>Fail</v>
      </c>
      <c r="AF2845" s="1" t="str">
        <f>IF(AND(Table1[[#This Row],[Spec Type2]]="N/A",Table1[[#This Row],[DUT Adj Read]]="N/A",Table1[[#This Row],[Std Adj Read]]="N/A"),"N/A",IF(Table1[[#This Row],[DUT Adj Read]]="N/A",IF(Table1[[#This Row],[Std Adj Read]]&gt;=Table1[[#This Row],[Low Tol]],"Pass","Fail"),IF(Table1[[#This Row],[DUT Adj Read]]&gt;=Table1[[#This Row],[Low Tol]],"Pass","Fail")))</f>
        <v>Pass</v>
      </c>
      <c r="AG2845" s="1" t="str">
        <f>IF(AND(Table1[[#This Row],[Spec Type2]]="N/A",Table1[[#This Row],[DUT Adj Read]]="N/A",Table1[[#This Row],[Std Adj Read]]="N/A"),"N/A",IF(Table1[[#This Row],[DUT Adj Read]]="N/A",IF(Table1[[#This Row],[Std Adj Read]]&lt;=Table1[[#This Row],[High Tol]],"Pass","Fail"),IF(Table1[[#This Row],[DUT Adj Read]]&lt;=Table1[[#This Row],[High Tol]],"Pass","Fail")))</f>
        <v>Fail</v>
      </c>
      <c r="AH28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5" s="1" t="b">
        <v>0</v>
      </c>
      <c r="AN2845" s="1" t="b">
        <v>0</v>
      </c>
      <c r="AO2845" s="1" t="b">
        <v>0</v>
      </c>
    </row>
    <row r="2846" spans="1:41" x14ac:dyDescent="0.25">
      <c r="A2846" s="10"/>
      <c r="B2846" s="10"/>
      <c r="C2846" s="10"/>
      <c r="D2846" s="10"/>
      <c r="E2846" s="10"/>
      <c r="F2846" s="10"/>
      <c r="G2846" s="10"/>
      <c r="H2846" s="10"/>
      <c r="I2846" s="1" t="str">
        <f t="shared" si="132"/>
        <v/>
      </c>
      <c r="J2846" s="1" t="s">
        <v>35</v>
      </c>
      <c r="K2846" s="1" t="str">
        <f t="shared" si="133"/>
        <v/>
      </c>
      <c r="L2846" s="1" t="str">
        <f t="shared" si="134"/>
        <v/>
      </c>
      <c r="M2846" s="1">
        <f>IF(OR(Table1[[#This Row],[Std Nom]]="",Table1[[#This Row],[Std Read]]=""),0,Table1[[#This Row],[Std Nom]]-Table1[[#This Row],[Std Read]])</f>
        <v>0</v>
      </c>
      <c r="N2846" s="1">
        <f>IF(Calculations!$F$5="ACCREDITED 17025 WITH UNCERTAINTIES",$N$10,0)</f>
        <v>0</v>
      </c>
      <c r="Q2846" s="1">
        <f>Table1[[#This Row],[High Tol]]-Table1[[#This Row],[Low Tol]]</f>
        <v>0</v>
      </c>
      <c r="R2846" s="1">
        <f>2*Table1[[#This Row],[Std Error]]</f>
        <v>0</v>
      </c>
      <c r="S2846" s="1" t="str">
        <f>IF(Table1[[#This Row],[High Tol]]="","N/A",IFERROR(ABS(Table1[[#This Row],[Tol Span]]/Table1[[#This Row],[Error Span]]),"N/A"))</f>
        <v>N/A</v>
      </c>
      <c r="T2846" s="1" t="str">
        <f>IF(OR(Table1[[#This Row],[Low Tol]]="",Table1[[#This Row],[High Tol]]=""),"Needs Analysis",IF(Table1[[#This Row],[Ratio]]&gt;=4,"Not Significant",IF(Table1[[#This Row],[Ratio]]&gt;=2,"Semi-Significant","Significant")))</f>
        <v>Needs Analysis</v>
      </c>
      <c r="W2846" s="1">
        <f>IF(Table1[[#This Row],[Cal Type]]&lt;&gt;"ACCREDITED 17025 WITH UNCERTAINTIES",0,"")</f>
        <v>0</v>
      </c>
      <c r="X2846" s="1" t="str">
        <f>IF(Table1[[#This Row],[DUT Read]]="","N/A",Table1[[#This Row],[Std Error]]+Table1[[#This Row],[DUT Read]]+Table1[[#This Row],[DUT Ucty]])</f>
        <v>N/A</v>
      </c>
      <c r="Y2846" s="1" t="str">
        <f>IF(Table1[[#This Row],[Std Read]]="","N/A",Table1[[#This Row],[Std Read]]+Table1[[#This Row],[Std Ucty]])</f>
        <v>N/A</v>
      </c>
      <c r="Z28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6" s="1" t="str">
        <f>IF(Table1[[#This Row],[Spec Type]]="","N/A",Table1[[#This Row],[Spec Type]])</f>
        <v>±</v>
      </c>
      <c r="AC2846" s="1" t="str">
        <f>IF(Table1[[#This Row],[Spec Type2]]="N/A","N/A",IF(AND(Table1[[#This Row],[DUT Adj Read]]&gt;=Table1[[#This Row],[Low Tol]],Table1[[#This Row],[DUT Adj Read]]&lt;=Table1[[#This Row],[High Tol]]),"Pass","Fail"))</f>
        <v>Fail</v>
      </c>
      <c r="AD2846" s="1" t="str">
        <f>IF(AND(Table1[[#This Row],[Spec Type2]]="N/A",Table1[[#This Row],[DUT Adj Read]]="N/A",Table1[[#This Row],[Std Adj Read]]="N/A"),"N/A",IF(Table1[[#This Row],[DUT Adj Read]]="N/A",IF(Table1[[#This Row],[Std Adj Read]]&gt;Table1[[#This Row],[Low Tol]],"Pass","Fail"),IF(Table1[[#This Row],[DUT Adj Read]]&gt;Table1[[#This Row],[Low Tol]],"Pass","Fail")))</f>
        <v>Pass</v>
      </c>
      <c r="AE2846" s="1" t="str">
        <f>IF(AND(Table1[[#This Row],[Spec Type2]]="N/A",Table1[[#This Row],[DUT Adj Read]]="N/A",Table1[[#This Row],[Std Adj Read]]="N/A"),"N/A",IF(Table1[[#This Row],[DUT Adj Read]]="N/A",IF(Table1[[#This Row],[Std Adj Read]]&lt;Table1[[#This Row],[High Tol]],"Pass","Fail"),IF(Table1[[#This Row],[DUT Adj Read]]&lt;Table1[[#This Row],[High Tol]],"Pass","Fail")))</f>
        <v>Fail</v>
      </c>
      <c r="AF2846" s="1" t="str">
        <f>IF(AND(Table1[[#This Row],[Spec Type2]]="N/A",Table1[[#This Row],[DUT Adj Read]]="N/A",Table1[[#This Row],[Std Adj Read]]="N/A"),"N/A",IF(Table1[[#This Row],[DUT Adj Read]]="N/A",IF(Table1[[#This Row],[Std Adj Read]]&gt;=Table1[[#This Row],[Low Tol]],"Pass","Fail"),IF(Table1[[#This Row],[DUT Adj Read]]&gt;=Table1[[#This Row],[Low Tol]],"Pass","Fail")))</f>
        <v>Pass</v>
      </c>
      <c r="AG2846" s="1" t="str">
        <f>IF(AND(Table1[[#This Row],[Spec Type2]]="N/A",Table1[[#This Row],[DUT Adj Read]]="N/A",Table1[[#This Row],[Std Adj Read]]="N/A"),"N/A",IF(Table1[[#This Row],[DUT Adj Read]]="N/A",IF(Table1[[#This Row],[Std Adj Read]]&lt;=Table1[[#This Row],[High Tol]],"Pass","Fail"),IF(Table1[[#This Row],[DUT Adj Read]]&lt;=Table1[[#This Row],[High Tol]],"Pass","Fail")))</f>
        <v>Fail</v>
      </c>
      <c r="AH28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6" s="1" t="b">
        <v>0</v>
      </c>
      <c r="AN2846" s="1" t="b">
        <v>0</v>
      </c>
      <c r="AO2846" s="1" t="b">
        <v>0</v>
      </c>
    </row>
    <row r="2847" spans="1:41" x14ac:dyDescent="0.25">
      <c r="A2847" s="10"/>
      <c r="B2847" s="10"/>
      <c r="C2847" s="10"/>
      <c r="D2847" s="10"/>
      <c r="E2847" s="10"/>
      <c r="F2847" s="10"/>
      <c r="G2847" s="10"/>
      <c r="H2847" s="10"/>
      <c r="I2847" s="1" t="str">
        <f t="shared" si="132"/>
        <v/>
      </c>
      <c r="J2847" s="1" t="s">
        <v>35</v>
      </c>
      <c r="K2847" s="1" t="str">
        <f t="shared" si="133"/>
        <v/>
      </c>
      <c r="L2847" s="1" t="str">
        <f t="shared" si="134"/>
        <v/>
      </c>
      <c r="M2847" s="1">
        <f>IF(OR(Table1[[#This Row],[Std Nom]]="",Table1[[#This Row],[Std Read]]=""),0,Table1[[#This Row],[Std Nom]]-Table1[[#This Row],[Std Read]])</f>
        <v>0</v>
      </c>
      <c r="N2847" s="1">
        <f>IF(Calculations!$F$5="ACCREDITED 17025 WITH UNCERTAINTIES",$N$10,0)</f>
        <v>0</v>
      </c>
      <c r="Q2847" s="1">
        <f>Table1[[#This Row],[High Tol]]-Table1[[#This Row],[Low Tol]]</f>
        <v>0</v>
      </c>
      <c r="R2847" s="1">
        <f>2*Table1[[#This Row],[Std Error]]</f>
        <v>0</v>
      </c>
      <c r="S2847" s="1" t="str">
        <f>IF(Table1[[#This Row],[High Tol]]="","N/A",IFERROR(ABS(Table1[[#This Row],[Tol Span]]/Table1[[#This Row],[Error Span]]),"N/A"))</f>
        <v>N/A</v>
      </c>
      <c r="T2847" s="1" t="str">
        <f>IF(OR(Table1[[#This Row],[Low Tol]]="",Table1[[#This Row],[High Tol]]=""),"Needs Analysis",IF(Table1[[#This Row],[Ratio]]&gt;=4,"Not Significant",IF(Table1[[#This Row],[Ratio]]&gt;=2,"Semi-Significant","Significant")))</f>
        <v>Needs Analysis</v>
      </c>
      <c r="W2847" s="1">
        <f>IF(Table1[[#This Row],[Cal Type]]&lt;&gt;"ACCREDITED 17025 WITH UNCERTAINTIES",0,"")</f>
        <v>0</v>
      </c>
      <c r="X2847" s="1" t="str">
        <f>IF(Table1[[#This Row],[DUT Read]]="","N/A",Table1[[#This Row],[Std Error]]+Table1[[#This Row],[DUT Read]]+Table1[[#This Row],[DUT Ucty]])</f>
        <v>N/A</v>
      </c>
      <c r="Y2847" s="1" t="str">
        <f>IF(Table1[[#This Row],[Std Read]]="","N/A",Table1[[#This Row],[Std Read]]+Table1[[#This Row],[Std Ucty]])</f>
        <v>N/A</v>
      </c>
      <c r="Z28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7" s="1" t="str">
        <f>IF(Table1[[#This Row],[Spec Type]]="","N/A",Table1[[#This Row],[Spec Type]])</f>
        <v>±</v>
      </c>
      <c r="AC2847" s="1" t="str">
        <f>IF(Table1[[#This Row],[Spec Type2]]="N/A","N/A",IF(AND(Table1[[#This Row],[DUT Adj Read]]&gt;=Table1[[#This Row],[Low Tol]],Table1[[#This Row],[DUT Adj Read]]&lt;=Table1[[#This Row],[High Tol]]),"Pass","Fail"))</f>
        <v>Fail</v>
      </c>
      <c r="AD2847" s="1" t="str">
        <f>IF(AND(Table1[[#This Row],[Spec Type2]]="N/A",Table1[[#This Row],[DUT Adj Read]]="N/A",Table1[[#This Row],[Std Adj Read]]="N/A"),"N/A",IF(Table1[[#This Row],[DUT Adj Read]]="N/A",IF(Table1[[#This Row],[Std Adj Read]]&gt;Table1[[#This Row],[Low Tol]],"Pass","Fail"),IF(Table1[[#This Row],[DUT Adj Read]]&gt;Table1[[#This Row],[Low Tol]],"Pass","Fail")))</f>
        <v>Pass</v>
      </c>
      <c r="AE2847" s="1" t="str">
        <f>IF(AND(Table1[[#This Row],[Spec Type2]]="N/A",Table1[[#This Row],[DUT Adj Read]]="N/A",Table1[[#This Row],[Std Adj Read]]="N/A"),"N/A",IF(Table1[[#This Row],[DUT Adj Read]]="N/A",IF(Table1[[#This Row],[Std Adj Read]]&lt;Table1[[#This Row],[High Tol]],"Pass","Fail"),IF(Table1[[#This Row],[DUT Adj Read]]&lt;Table1[[#This Row],[High Tol]],"Pass","Fail")))</f>
        <v>Fail</v>
      </c>
      <c r="AF2847" s="1" t="str">
        <f>IF(AND(Table1[[#This Row],[Spec Type2]]="N/A",Table1[[#This Row],[DUT Adj Read]]="N/A",Table1[[#This Row],[Std Adj Read]]="N/A"),"N/A",IF(Table1[[#This Row],[DUT Adj Read]]="N/A",IF(Table1[[#This Row],[Std Adj Read]]&gt;=Table1[[#This Row],[Low Tol]],"Pass","Fail"),IF(Table1[[#This Row],[DUT Adj Read]]&gt;=Table1[[#This Row],[Low Tol]],"Pass","Fail")))</f>
        <v>Pass</v>
      </c>
      <c r="AG2847" s="1" t="str">
        <f>IF(AND(Table1[[#This Row],[Spec Type2]]="N/A",Table1[[#This Row],[DUT Adj Read]]="N/A",Table1[[#This Row],[Std Adj Read]]="N/A"),"N/A",IF(Table1[[#This Row],[DUT Adj Read]]="N/A",IF(Table1[[#This Row],[Std Adj Read]]&lt;=Table1[[#This Row],[High Tol]],"Pass","Fail"),IF(Table1[[#This Row],[DUT Adj Read]]&lt;=Table1[[#This Row],[High Tol]],"Pass","Fail")))</f>
        <v>Fail</v>
      </c>
      <c r="AH28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7" s="1" t="b">
        <v>0</v>
      </c>
      <c r="AN2847" s="1" t="b">
        <v>0</v>
      </c>
      <c r="AO2847" s="1" t="b">
        <v>0</v>
      </c>
    </row>
    <row r="2848" spans="1:41" x14ac:dyDescent="0.25">
      <c r="A2848" s="10"/>
      <c r="B2848" s="10"/>
      <c r="C2848" s="10"/>
      <c r="D2848" s="10"/>
      <c r="E2848" s="10"/>
      <c r="F2848" s="10"/>
      <c r="G2848" s="10"/>
      <c r="H2848" s="10"/>
      <c r="I2848" s="1" t="str">
        <f t="shared" si="132"/>
        <v/>
      </c>
      <c r="J2848" s="1" t="s">
        <v>35</v>
      </c>
      <c r="K2848" s="1" t="str">
        <f t="shared" si="133"/>
        <v/>
      </c>
      <c r="L2848" s="1" t="str">
        <f t="shared" si="134"/>
        <v/>
      </c>
      <c r="M2848" s="1">
        <f>IF(OR(Table1[[#This Row],[Std Nom]]="",Table1[[#This Row],[Std Read]]=""),0,Table1[[#This Row],[Std Nom]]-Table1[[#This Row],[Std Read]])</f>
        <v>0</v>
      </c>
      <c r="N2848" s="1">
        <f>IF(Calculations!$F$5="ACCREDITED 17025 WITH UNCERTAINTIES",$N$10,0)</f>
        <v>0</v>
      </c>
      <c r="Q2848" s="1">
        <f>Table1[[#This Row],[High Tol]]-Table1[[#This Row],[Low Tol]]</f>
        <v>0</v>
      </c>
      <c r="R2848" s="1">
        <f>2*Table1[[#This Row],[Std Error]]</f>
        <v>0</v>
      </c>
      <c r="S2848" s="1" t="str">
        <f>IF(Table1[[#This Row],[High Tol]]="","N/A",IFERROR(ABS(Table1[[#This Row],[Tol Span]]/Table1[[#This Row],[Error Span]]),"N/A"))</f>
        <v>N/A</v>
      </c>
      <c r="T2848" s="1" t="str">
        <f>IF(OR(Table1[[#This Row],[Low Tol]]="",Table1[[#This Row],[High Tol]]=""),"Needs Analysis",IF(Table1[[#This Row],[Ratio]]&gt;=4,"Not Significant",IF(Table1[[#This Row],[Ratio]]&gt;=2,"Semi-Significant","Significant")))</f>
        <v>Needs Analysis</v>
      </c>
      <c r="W2848" s="1">
        <f>IF(Table1[[#This Row],[Cal Type]]&lt;&gt;"ACCREDITED 17025 WITH UNCERTAINTIES",0,"")</f>
        <v>0</v>
      </c>
      <c r="X2848" s="1" t="str">
        <f>IF(Table1[[#This Row],[DUT Read]]="","N/A",Table1[[#This Row],[Std Error]]+Table1[[#This Row],[DUT Read]]+Table1[[#This Row],[DUT Ucty]])</f>
        <v>N/A</v>
      </c>
      <c r="Y2848" s="1" t="str">
        <f>IF(Table1[[#This Row],[Std Read]]="","N/A",Table1[[#This Row],[Std Read]]+Table1[[#This Row],[Std Ucty]])</f>
        <v>N/A</v>
      </c>
      <c r="Z28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8" s="1" t="str">
        <f>IF(Table1[[#This Row],[Spec Type]]="","N/A",Table1[[#This Row],[Spec Type]])</f>
        <v>±</v>
      </c>
      <c r="AC2848" s="1" t="str">
        <f>IF(Table1[[#This Row],[Spec Type2]]="N/A","N/A",IF(AND(Table1[[#This Row],[DUT Adj Read]]&gt;=Table1[[#This Row],[Low Tol]],Table1[[#This Row],[DUT Adj Read]]&lt;=Table1[[#This Row],[High Tol]]),"Pass","Fail"))</f>
        <v>Fail</v>
      </c>
      <c r="AD2848" s="1" t="str">
        <f>IF(AND(Table1[[#This Row],[Spec Type2]]="N/A",Table1[[#This Row],[DUT Adj Read]]="N/A",Table1[[#This Row],[Std Adj Read]]="N/A"),"N/A",IF(Table1[[#This Row],[DUT Adj Read]]="N/A",IF(Table1[[#This Row],[Std Adj Read]]&gt;Table1[[#This Row],[Low Tol]],"Pass","Fail"),IF(Table1[[#This Row],[DUT Adj Read]]&gt;Table1[[#This Row],[Low Tol]],"Pass","Fail")))</f>
        <v>Pass</v>
      </c>
      <c r="AE2848" s="1" t="str">
        <f>IF(AND(Table1[[#This Row],[Spec Type2]]="N/A",Table1[[#This Row],[DUT Adj Read]]="N/A",Table1[[#This Row],[Std Adj Read]]="N/A"),"N/A",IF(Table1[[#This Row],[DUT Adj Read]]="N/A",IF(Table1[[#This Row],[Std Adj Read]]&lt;Table1[[#This Row],[High Tol]],"Pass","Fail"),IF(Table1[[#This Row],[DUT Adj Read]]&lt;Table1[[#This Row],[High Tol]],"Pass","Fail")))</f>
        <v>Fail</v>
      </c>
      <c r="AF2848" s="1" t="str">
        <f>IF(AND(Table1[[#This Row],[Spec Type2]]="N/A",Table1[[#This Row],[DUT Adj Read]]="N/A",Table1[[#This Row],[Std Adj Read]]="N/A"),"N/A",IF(Table1[[#This Row],[DUT Adj Read]]="N/A",IF(Table1[[#This Row],[Std Adj Read]]&gt;=Table1[[#This Row],[Low Tol]],"Pass","Fail"),IF(Table1[[#This Row],[DUT Adj Read]]&gt;=Table1[[#This Row],[Low Tol]],"Pass","Fail")))</f>
        <v>Pass</v>
      </c>
      <c r="AG2848" s="1" t="str">
        <f>IF(AND(Table1[[#This Row],[Spec Type2]]="N/A",Table1[[#This Row],[DUT Adj Read]]="N/A",Table1[[#This Row],[Std Adj Read]]="N/A"),"N/A",IF(Table1[[#This Row],[DUT Adj Read]]="N/A",IF(Table1[[#This Row],[Std Adj Read]]&lt;=Table1[[#This Row],[High Tol]],"Pass","Fail"),IF(Table1[[#This Row],[DUT Adj Read]]&lt;=Table1[[#This Row],[High Tol]],"Pass","Fail")))</f>
        <v>Fail</v>
      </c>
      <c r="AH28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8" s="1" t="b">
        <v>0</v>
      </c>
      <c r="AN2848" s="1" t="b">
        <v>0</v>
      </c>
      <c r="AO2848" s="1" t="b">
        <v>0</v>
      </c>
    </row>
    <row r="2849" spans="1:41" x14ac:dyDescent="0.25">
      <c r="A2849" s="10"/>
      <c r="B2849" s="10"/>
      <c r="C2849" s="10"/>
      <c r="D2849" s="10"/>
      <c r="E2849" s="10"/>
      <c r="F2849" s="10"/>
      <c r="G2849" s="10"/>
      <c r="H2849" s="10"/>
      <c r="I2849" s="1" t="str">
        <f t="shared" si="132"/>
        <v/>
      </c>
      <c r="J2849" s="1" t="s">
        <v>35</v>
      </c>
      <c r="K2849" s="1" t="str">
        <f t="shared" si="133"/>
        <v/>
      </c>
      <c r="L2849" s="1" t="str">
        <f t="shared" si="134"/>
        <v/>
      </c>
      <c r="M2849" s="1">
        <f>IF(OR(Table1[[#This Row],[Std Nom]]="",Table1[[#This Row],[Std Read]]=""),0,Table1[[#This Row],[Std Nom]]-Table1[[#This Row],[Std Read]])</f>
        <v>0</v>
      </c>
      <c r="N2849" s="1">
        <f>IF(Calculations!$F$5="ACCREDITED 17025 WITH UNCERTAINTIES",$N$10,0)</f>
        <v>0</v>
      </c>
      <c r="Q2849" s="1">
        <f>Table1[[#This Row],[High Tol]]-Table1[[#This Row],[Low Tol]]</f>
        <v>0</v>
      </c>
      <c r="R2849" s="1">
        <f>2*Table1[[#This Row],[Std Error]]</f>
        <v>0</v>
      </c>
      <c r="S2849" s="1" t="str">
        <f>IF(Table1[[#This Row],[High Tol]]="","N/A",IFERROR(ABS(Table1[[#This Row],[Tol Span]]/Table1[[#This Row],[Error Span]]),"N/A"))</f>
        <v>N/A</v>
      </c>
      <c r="T2849" s="1" t="str">
        <f>IF(OR(Table1[[#This Row],[Low Tol]]="",Table1[[#This Row],[High Tol]]=""),"Needs Analysis",IF(Table1[[#This Row],[Ratio]]&gt;=4,"Not Significant",IF(Table1[[#This Row],[Ratio]]&gt;=2,"Semi-Significant","Significant")))</f>
        <v>Needs Analysis</v>
      </c>
      <c r="W2849" s="1">
        <f>IF(Table1[[#This Row],[Cal Type]]&lt;&gt;"ACCREDITED 17025 WITH UNCERTAINTIES",0,"")</f>
        <v>0</v>
      </c>
      <c r="X2849" s="1" t="str">
        <f>IF(Table1[[#This Row],[DUT Read]]="","N/A",Table1[[#This Row],[Std Error]]+Table1[[#This Row],[DUT Read]]+Table1[[#This Row],[DUT Ucty]])</f>
        <v>N/A</v>
      </c>
      <c r="Y2849" s="1" t="str">
        <f>IF(Table1[[#This Row],[Std Read]]="","N/A",Table1[[#This Row],[Std Read]]+Table1[[#This Row],[Std Ucty]])</f>
        <v>N/A</v>
      </c>
      <c r="Z28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49" s="1" t="str">
        <f>IF(Table1[[#This Row],[Spec Type]]="","N/A",Table1[[#This Row],[Spec Type]])</f>
        <v>±</v>
      </c>
      <c r="AC2849" s="1" t="str">
        <f>IF(Table1[[#This Row],[Spec Type2]]="N/A","N/A",IF(AND(Table1[[#This Row],[DUT Adj Read]]&gt;=Table1[[#This Row],[Low Tol]],Table1[[#This Row],[DUT Adj Read]]&lt;=Table1[[#This Row],[High Tol]]),"Pass","Fail"))</f>
        <v>Fail</v>
      </c>
      <c r="AD2849" s="1" t="str">
        <f>IF(AND(Table1[[#This Row],[Spec Type2]]="N/A",Table1[[#This Row],[DUT Adj Read]]="N/A",Table1[[#This Row],[Std Adj Read]]="N/A"),"N/A",IF(Table1[[#This Row],[DUT Adj Read]]="N/A",IF(Table1[[#This Row],[Std Adj Read]]&gt;Table1[[#This Row],[Low Tol]],"Pass","Fail"),IF(Table1[[#This Row],[DUT Adj Read]]&gt;Table1[[#This Row],[Low Tol]],"Pass","Fail")))</f>
        <v>Pass</v>
      </c>
      <c r="AE2849" s="1" t="str">
        <f>IF(AND(Table1[[#This Row],[Spec Type2]]="N/A",Table1[[#This Row],[DUT Adj Read]]="N/A",Table1[[#This Row],[Std Adj Read]]="N/A"),"N/A",IF(Table1[[#This Row],[DUT Adj Read]]="N/A",IF(Table1[[#This Row],[Std Adj Read]]&lt;Table1[[#This Row],[High Tol]],"Pass","Fail"),IF(Table1[[#This Row],[DUT Adj Read]]&lt;Table1[[#This Row],[High Tol]],"Pass","Fail")))</f>
        <v>Fail</v>
      </c>
      <c r="AF2849" s="1" t="str">
        <f>IF(AND(Table1[[#This Row],[Spec Type2]]="N/A",Table1[[#This Row],[DUT Adj Read]]="N/A",Table1[[#This Row],[Std Adj Read]]="N/A"),"N/A",IF(Table1[[#This Row],[DUT Adj Read]]="N/A",IF(Table1[[#This Row],[Std Adj Read]]&gt;=Table1[[#This Row],[Low Tol]],"Pass","Fail"),IF(Table1[[#This Row],[DUT Adj Read]]&gt;=Table1[[#This Row],[Low Tol]],"Pass","Fail")))</f>
        <v>Pass</v>
      </c>
      <c r="AG2849" s="1" t="str">
        <f>IF(AND(Table1[[#This Row],[Spec Type2]]="N/A",Table1[[#This Row],[DUT Adj Read]]="N/A",Table1[[#This Row],[Std Adj Read]]="N/A"),"N/A",IF(Table1[[#This Row],[DUT Adj Read]]="N/A",IF(Table1[[#This Row],[Std Adj Read]]&lt;=Table1[[#This Row],[High Tol]],"Pass","Fail"),IF(Table1[[#This Row],[DUT Adj Read]]&lt;=Table1[[#This Row],[High Tol]],"Pass","Fail")))</f>
        <v>Fail</v>
      </c>
      <c r="AH28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49" s="1" t="b">
        <v>0</v>
      </c>
      <c r="AN2849" s="1" t="b">
        <v>0</v>
      </c>
      <c r="AO2849" s="1" t="b">
        <v>0</v>
      </c>
    </row>
    <row r="2850" spans="1:41" x14ac:dyDescent="0.25">
      <c r="A2850" s="10"/>
      <c r="B2850" s="10"/>
      <c r="C2850" s="10"/>
      <c r="D2850" s="10"/>
      <c r="E2850" s="10"/>
      <c r="F2850" s="10"/>
      <c r="G2850" s="10"/>
      <c r="H2850" s="10"/>
      <c r="I2850" s="1" t="str">
        <f t="shared" si="132"/>
        <v/>
      </c>
      <c r="J2850" s="1" t="s">
        <v>35</v>
      </c>
      <c r="K2850" s="1" t="str">
        <f t="shared" si="133"/>
        <v/>
      </c>
      <c r="L2850" s="1" t="str">
        <f t="shared" si="134"/>
        <v/>
      </c>
      <c r="M2850" s="1">
        <f>IF(OR(Table1[[#This Row],[Std Nom]]="",Table1[[#This Row],[Std Read]]=""),0,Table1[[#This Row],[Std Nom]]-Table1[[#This Row],[Std Read]])</f>
        <v>0</v>
      </c>
      <c r="N2850" s="1">
        <f>IF(Calculations!$F$5="ACCREDITED 17025 WITH UNCERTAINTIES",$N$10,0)</f>
        <v>0</v>
      </c>
      <c r="Q2850" s="1">
        <f>Table1[[#This Row],[High Tol]]-Table1[[#This Row],[Low Tol]]</f>
        <v>0</v>
      </c>
      <c r="R2850" s="1">
        <f>2*Table1[[#This Row],[Std Error]]</f>
        <v>0</v>
      </c>
      <c r="S2850" s="1" t="str">
        <f>IF(Table1[[#This Row],[High Tol]]="","N/A",IFERROR(ABS(Table1[[#This Row],[Tol Span]]/Table1[[#This Row],[Error Span]]),"N/A"))</f>
        <v>N/A</v>
      </c>
      <c r="T2850" s="1" t="str">
        <f>IF(OR(Table1[[#This Row],[Low Tol]]="",Table1[[#This Row],[High Tol]]=""),"Needs Analysis",IF(Table1[[#This Row],[Ratio]]&gt;=4,"Not Significant",IF(Table1[[#This Row],[Ratio]]&gt;=2,"Semi-Significant","Significant")))</f>
        <v>Needs Analysis</v>
      </c>
      <c r="W2850" s="1">
        <f>IF(Table1[[#This Row],[Cal Type]]&lt;&gt;"ACCREDITED 17025 WITH UNCERTAINTIES",0,"")</f>
        <v>0</v>
      </c>
      <c r="X2850" s="1" t="str">
        <f>IF(Table1[[#This Row],[DUT Read]]="","N/A",Table1[[#This Row],[Std Error]]+Table1[[#This Row],[DUT Read]]+Table1[[#This Row],[DUT Ucty]])</f>
        <v>N/A</v>
      </c>
      <c r="Y2850" s="1" t="str">
        <f>IF(Table1[[#This Row],[Std Read]]="","N/A",Table1[[#This Row],[Std Read]]+Table1[[#This Row],[Std Ucty]])</f>
        <v>N/A</v>
      </c>
      <c r="Z28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0" s="1" t="str">
        <f>IF(Table1[[#This Row],[Spec Type]]="","N/A",Table1[[#This Row],[Spec Type]])</f>
        <v>±</v>
      </c>
      <c r="AC2850" s="1" t="str">
        <f>IF(Table1[[#This Row],[Spec Type2]]="N/A","N/A",IF(AND(Table1[[#This Row],[DUT Adj Read]]&gt;=Table1[[#This Row],[Low Tol]],Table1[[#This Row],[DUT Adj Read]]&lt;=Table1[[#This Row],[High Tol]]),"Pass","Fail"))</f>
        <v>Fail</v>
      </c>
      <c r="AD2850" s="1" t="str">
        <f>IF(AND(Table1[[#This Row],[Spec Type2]]="N/A",Table1[[#This Row],[DUT Adj Read]]="N/A",Table1[[#This Row],[Std Adj Read]]="N/A"),"N/A",IF(Table1[[#This Row],[DUT Adj Read]]="N/A",IF(Table1[[#This Row],[Std Adj Read]]&gt;Table1[[#This Row],[Low Tol]],"Pass","Fail"),IF(Table1[[#This Row],[DUT Adj Read]]&gt;Table1[[#This Row],[Low Tol]],"Pass","Fail")))</f>
        <v>Pass</v>
      </c>
      <c r="AE2850" s="1" t="str">
        <f>IF(AND(Table1[[#This Row],[Spec Type2]]="N/A",Table1[[#This Row],[DUT Adj Read]]="N/A",Table1[[#This Row],[Std Adj Read]]="N/A"),"N/A",IF(Table1[[#This Row],[DUT Adj Read]]="N/A",IF(Table1[[#This Row],[Std Adj Read]]&lt;Table1[[#This Row],[High Tol]],"Pass","Fail"),IF(Table1[[#This Row],[DUT Adj Read]]&lt;Table1[[#This Row],[High Tol]],"Pass","Fail")))</f>
        <v>Fail</v>
      </c>
      <c r="AF2850" s="1" t="str">
        <f>IF(AND(Table1[[#This Row],[Spec Type2]]="N/A",Table1[[#This Row],[DUT Adj Read]]="N/A",Table1[[#This Row],[Std Adj Read]]="N/A"),"N/A",IF(Table1[[#This Row],[DUT Adj Read]]="N/A",IF(Table1[[#This Row],[Std Adj Read]]&gt;=Table1[[#This Row],[Low Tol]],"Pass","Fail"),IF(Table1[[#This Row],[DUT Adj Read]]&gt;=Table1[[#This Row],[Low Tol]],"Pass","Fail")))</f>
        <v>Pass</v>
      </c>
      <c r="AG2850" s="1" t="str">
        <f>IF(AND(Table1[[#This Row],[Spec Type2]]="N/A",Table1[[#This Row],[DUT Adj Read]]="N/A",Table1[[#This Row],[Std Adj Read]]="N/A"),"N/A",IF(Table1[[#This Row],[DUT Adj Read]]="N/A",IF(Table1[[#This Row],[Std Adj Read]]&lt;=Table1[[#This Row],[High Tol]],"Pass","Fail"),IF(Table1[[#This Row],[DUT Adj Read]]&lt;=Table1[[#This Row],[High Tol]],"Pass","Fail")))</f>
        <v>Fail</v>
      </c>
      <c r="AH28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0" s="1" t="b">
        <v>0</v>
      </c>
      <c r="AN2850" s="1" t="b">
        <v>0</v>
      </c>
      <c r="AO2850" s="1" t="b">
        <v>0</v>
      </c>
    </row>
    <row r="2851" spans="1:41" x14ac:dyDescent="0.25">
      <c r="A2851" s="10"/>
      <c r="B2851" s="10"/>
      <c r="C2851" s="10"/>
      <c r="D2851" s="10"/>
      <c r="E2851" s="10"/>
      <c r="F2851" s="10"/>
      <c r="G2851" s="10"/>
      <c r="H2851" s="10"/>
      <c r="I2851" s="1" t="str">
        <f t="shared" si="132"/>
        <v/>
      </c>
      <c r="J2851" s="1" t="s">
        <v>35</v>
      </c>
      <c r="K2851" s="1" t="str">
        <f t="shared" si="133"/>
        <v/>
      </c>
      <c r="L2851" s="1" t="str">
        <f t="shared" si="134"/>
        <v/>
      </c>
      <c r="M2851" s="1">
        <f>IF(OR(Table1[[#This Row],[Std Nom]]="",Table1[[#This Row],[Std Read]]=""),0,Table1[[#This Row],[Std Nom]]-Table1[[#This Row],[Std Read]])</f>
        <v>0</v>
      </c>
      <c r="N2851" s="1">
        <f>IF(Calculations!$F$5="ACCREDITED 17025 WITH UNCERTAINTIES",$N$10,0)</f>
        <v>0</v>
      </c>
      <c r="Q2851" s="1">
        <f>Table1[[#This Row],[High Tol]]-Table1[[#This Row],[Low Tol]]</f>
        <v>0</v>
      </c>
      <c r="R2851" s="1">
        <f>2*Table1[[#This Row],[Std Error]]</f>
        <v>0</v>
      </c>
      <c r="S2851" s="1" t="str">
        <f>IF(Table1[[#This Row],[High Tol]]="","N/A",IFERROR(ABS(Table1[[#This Row],[Tol Span]]/Table1[[#This Row],[Error Span]]),"N/A"))</f>
        <v>N/A</v>
      </c>
      <c r="T2851" s="1" t="str">
        <f>IF(OR(Table1[[#This Row],[Low Tol]]="",Table1[[#This Row],[High Tol]]=""),"Needs Analysis",IF(Table1[[#This Row],[Ratio]]&gt;=4,"Not Significant",IF(Table1[[#This Row],[Ratio]]&gt;=2,"Semi-Significant","Significant")))</f>
        <v>Needs Analysis</v>
      </c>
      <c r="W2851" s="1">
        <f>IF(Table1[[#This Row],[Cal Type]]&lt;&gt;"ACCREDITED 17025 WITH UNCERTAINTIES",0,"")</f>
        <v>0</v>
      </c>
      <c r="X2851" s="1" t="str">
        <f>IF(Table1[[#This Row],[DUT Read]]="","N/A",Table1[[#This Row],[Std Error]]+Table1[[#This Row],[DUT Read]]+Table1[[#This Row],[DUT Ucty]])</f>
        <v>N/A</v>
      </c>
      <c r="Y2851" s="1" t="str">
        <f>IF(Table1[[#This Row],[Std Read]]="","N/A",Table1[[#This Row],[Std Read]]+Table1[[#This Row],[Std Ucty]])</f>
        <v>N/A</v>
      </c>
      <c r="Z28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1" s="1" t="str">
        <f>IF(Table1[[#This Row],[Spec Type]]="","N/A",Table1[[#This Row],[Spec Type]])</f>
        <v>±</v>
      </c>
      <c r="AC2851" s="1" t="str">
        <f>IF(Table1[[#This Row],[Spec Type2]]="N/A","N/A",IF(AND(Table1[[#This Row],[DUT Adj Read]]&gt;=Table1[[#This Row],[Low Tol]],Table1[[#This Row],[DUT Adj Read]]&lt;=Table1[[#This Row],[High Tol]]),"Pass","Fail"))</f>
        <v>Fail</v>
      </c>
      <c r="AD2851" s="1" t="str">
        <f>IF(AND(Table1[[#This Row],[Spec Type2]]="N/A",Table1[[#This Row],[DUT Adj Read]]="N/A",Table1[[#This Row],[Std Adj Read]]="N/A"),"N/A",IF(Table1[[#This Row],[DUT Adj Read]]="N/A",IF(Table1[[#This Row],[Std Adj Read]]&gt;Table1[[#This Row],[Low Tol]],"Pass","Fail"),IF(Table1[[#This Row],[DUT Adj Read]]&gt;Table1[[#This Row],[Low Tol]],"Pass","Fail")))</f>
        <v>Pass</v>
      </c>
      <c r="AE2851" s="1" t="str">
        <f>IF(AND(Table1[[#This Row],[Spec Type2]]="N/A",Table1[[#This Row],[DUT Adj Read]]="N/A",Table1[[#This Row],[Std Adj Read]]="N/A"),"N/A",IF(Table1[[#This Row],[DUT Adj Read]]="N/A",IF(Table1[[#This Row],[Std Adj Read]]&lt;Table1[[#This Row],[High Tol]],"Pass","Fail"),IF(Table1[[#This Row],[DUT Adj Read]]&lt;Table1[[#This Row],[High Tol]],"Pass","Fail")))</f>
        <v>Fail</v>
      </c>
      <c r="AF2851" s="1" t="str">
        <f>IF(AND(Table1[[#This Row],[Spec Type2]]="N/A",Table1[[#This Row],[DUT Adj Read]]="N/A",Table1[[#This Row],[Std Adj Read]]="N/A"),"N/A",IF(Table1[[#This Row],[DUT Adj Read]]="N/A",IF(Table1[[#This Row],[Std Adj Read]]&gt;=Table1[[#This Row],[Low Tol]],"Pass","Fail"),IF(Table1[[#This Row],[DUT Adj Read]]&gt;=Table1[[#This Row],[Low Tol]],"Pass","Fail")))</f>
        <v>Pass</v>
      </c>
      <c r="AG2851" s="1" t="str">
        <f>IF(AND(Table1[[#This Row],[Spec Type2]]="N/A",Table1[[#This Row],[DUT Adj Read]]="N/A",Table1[[#This Row],[Std Adj Read]]="N/A"),"N/A",IF(Table1[[#This Row],[DUT Adj Read]]="N/A",IF(Table1[[#This Row],[Std Adj Read]]&lt;=Table1[[#This Row],[High Tol]],"Pass","Fail"),IF(Table1[[#This Row],[DUT Adj Read]]&lt;=Table1[[#This Row],[High Tol]],"Pass","Fail")))</f>
        <v>Fail</v>
      </c>
      <c r="AH28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1" s="1" t="b">
        <v>0</v>
      </c>
      <c r="AN2851" s="1" t="b">
        <v>0</v>
      </c>
      <c r="AO2851" s="1" t="b">
        <v>0</v>
      </c>
    </row>
    <row r="2852" spans="1:41" x14ac:dyDescent="0.25">
      <c r="A2852" s="10"/>
      <c r="B2852" s="10"/>
      <c r="C2852" s="10"/>
      <c r="D2852" s="10"/>
      <c r="E2852" s="10"/>
      <c r="F2852" s="10"/>
      <c r="G2852" s="10"/>
      <c r="H2852" s="10"/>
      <c r="I2852" s="1" t="str">
        <f t="shared" si="132"/>
        <v/>
      </c>
      <c r="J2852" s="1" t="s">
        <v>35</v>
      </c>
      <c r="K2852" s="1" t="str">
        <f t="shared" si="133"/>
        <v/>
      </c>
      <c r="L2852" s="1" t="str">
        <f t="shared" si="134"/>
        <v/>
      </c>
      <c r="M2852" s="1">
        <f>IF(OR(Table1[[#This Row],[Std Nom]]="",Table1[[#This Row],[Std Read]]=""),0,Table1[[#This Row],[Std Nom]]-Table1[[#This Row],[Std Read]])</f>
        <v>0</v>
      </c>
      <c r="N2852" s="1">
        <f>IF(Calculations!$F$5="ACCREDITED 17025 WITH UNCERTAINTIES",$N$10,0)</f>
        <v>0</v>
      </c>
      <c r="Q2852" s="1">
        <f>Table1[[#This Row],[High Tol]]-Table1[[#This Row],[Low Tol]]</f>
        <v>0</v>
      </c>
      <c r="R2852" s="1">
        <f>2*Table1[[#This Row],[Std Error]]</f>
        <v>0</v>
      </c>
      <c r="S2852" s="1" t="str">
        <f>IF(Table1[[#This Row],[High Tol]]="","N/A",IFERROR(ABS(Table1[[#This Row],[Tol Span]]/Table1[[#This Row],[Error Span]]),"N/A"))</f>
        <v>N/A</v>
      </c>
      <c r="T2852" s="1" t="str">
        <f>IF(OR(Table1[[#This Row],[Low Tol]]="",Table1[[#This Row],[High Tol]]=""),"Needs Analysis",IF(Table1[[#This Row],[Ratio]]&gt;=4,"Not Significant",IF(Table1[[#This Row],[Ratio]]&gt;=2,"Semi-Significant","Significant")))</f>
        <v>Needs Analysis</v>
      </c>
      <c r="W2852" s="1">
        <f>IF(Table1[[#This Row],[Cal Type]]&lt;&gt;"ACCREDITED 17025 WITH UNCERTAINTIES",0,"")</f>
        <v>0</v>
      </c>
      <c r="X2852" s="1" t="str">
        <f>IF(Table1[[#This Row],[DUT Read]]="","N/A",Table1[[#This Row],[Std Error]]+Table1[[#This Row],[DUT Read]]+Table1[[#This Row],[DUT Ucty]])</f>
        <v>N/A</v>
      </c>
      <c r="Y2852" s="1" t="str">
        <f>IF(Table1[[#This Row],[Std Read]]="","N/A",Table1[[#This Row],[Std Read]]+Table1[[#This Row],[Std Ucty]])</f>
        <v>N/A</v>
      </c>
      <c r="Z28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2" s="1" t="str">
        <f>IF(Table1[[#This Row],[Spec Type]]="","N/A",Table1[[#This Row],[Spec Type]])</f>
        <v>±</v>
      </c>
      <c r="AC2852" s="1" t="str">
        <f>IF(Table1[[#This Row],[Spec Type2]]="N/A","N/A",IF(AND(Table1[[#This Row],[DUT Adj Read]]&gt;=Table1[[#This Row],[Low Tol]],Table1[[#This Row],[DUT Adj Read]]&lt;=Table1[[#This Row],[High Tol]]),"Pass","Fail"))</f>
        <v>Fail</v>
      </c>
      <c r="AD2852" s="1" t="str">
        <f>IF(AND(Table1[[#This Row],[Spec Type2]]="N/A",Table1[[#This Row],[DUT Adj Read]]="N/A",Table1[[#This Row],[Std Adj Read]]="N/A"),"N/A",IF(Table1[[#This Row],[DUT Adj Read]]="N/A",IF(Table1[[#This Row],[Std Adj Read]]&gt;Table1[[#This Row],[Low Tol]],"Pass","Fail"),IF(Table1[[#This Row],[DUT Adj Read]]&gt;Table1[[#This Row],[Low Tol]],"Pass","Fail")))</f>
        <v>Pass</v>
      </c>
      <c r="AE2852" s="1" t="str">
        <f>IF(AND(Table1[[#This Row],[Spec Type2]]="N/A",Table1[[#This Row],[DUT Adj Read]]="N/A",Table1[[#This Row],[Std Adj Read]]="N/A"),"N/A",IF(Table1[[#This Row],[DUT Adj Read]]="N/A",IF(Table1[[#This Row],[Std Adj Read]]&lt;Table1[[#This Row],[High Tol]],"Pass","Fail"),IF(Table1[[#This Row],[DUT Adj Read]]&lt;Table1[[#This Row],[High Tol]],"Pass","Fail")))</f>
        <v>Fail</v>
      </c>
      <c r="AF2852" s="1" t="str">
        <f>IF(AND(Table1[[#This Row],[Spec Type2]]="N/A",Table1[[#This Row],[DUT Adj Read]]="N/A",Table1[[#This Row],[Std Adj Read]]="N/A"),"N/A",IF(Table1[[#This Row],[DUT Adj Read]]="N/A",IF(Table1[[#This Row],[Std Adj Read]]&gt;=Table1[[#This Row],[Low Tol]],"Pass","Fail"),IF(Table1[[#This Row],[DUT Adj Read]]&gt;=Table1[[#This Row],[Low Tol]],"Pass","Fail")))</f>
        <v>Pass</v>
      </c>
      <c r="AG2852" s="1" t="str">
        <f>IF(AND(Table1[[#This Row],[Spec Type2]]="N/A",Table1[[#This Row],[DUT Adj Read]]="N/A",Table1[[#This Row],[Std Adj Read]]="N/A"),"N/A",IF(Table1[[#This Row],[DUT Adj Read]]="N/A",IF(Table1[[#This Row],[Std Adj Read]]&lt;=Table1[[#This Row],[High Tol]],"Pass","Fail"),IF(Table1[[#This Row],[DUT Adj Read]]&lt;=Table1[[#This Row],[High Tol]],"Pass","Fail")))</f>
        <v>Fail</v>
      </c>
      <c r="AH28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2" s="1" t="b">
        <v>0</v>
      </c>
      <c r="AN2852" s="1" t="b">
        <v>0</v>
      </c>
      <c r="AO2852" s="1" t="b">
        <v>0</v>
      </c>
    </row>
    <row r="2853" spans="1:41" x14ac:dyDescent="0.25">
      <c r="A2853" s="10"/>
      <c r="B2853" s="10"/>
      <c r="C2853" s="10"/>
      <c r="D2853" s="10"/>
      <c r="E2853" s="10"/>
      <c r="F2853" s="10"/>
      <c r="G2853" s="10"/>
      <c r="H2853" s="10"/>
      <c r="I2853" s="1" t="str">
        <f t="shared" si="132"/>
        <v/>
      </c>
      <c r="J2853" s="1" t="s">
        <v>35</v>
      </c>
      <c r="K2853" s="1" t="str">
        <f t="shared" si="133"/>
        <v/>
      </c>
      <c r="L2853" s="1" t="str">
        <f t="shared" si="134"/>
        <v/>
      </c>
      <c r="M2853" s="1">
        <f>IF(OR(Table1[[#This Row],[Std Nom]]="",Table1[[#This Row],[Std Read]]=""),0,Table1[[#This Row],[Std Nom]]-Table1[[#This Row],[Std Read]])</f>
        <v>0</v>
      </c>
      <c r="N2853" s="1">
        <f>IF(Calculations!$F$5="ACCREDITED 17025 WITH UNCERTAINTIES",$N$10,0)</f>
        <v>0</v>
      </c>
      <c r="Q2853" s="1">
        <f>Table1[[#This Row],[High Tol]]-Table1[[#This Row],[Low Tol]]</f>
        <v>0</v>
      </c>
      <c r="R2853" s="1">
        <f>2*Table1[[#This Row],[Std Error]]</f>
        <v>0</v>
      </c>
      <c r="S2853" s="1" t="str">
        <f>IF(Table1[[#This Row],[High Tol]]="","N/A",IFERROR(ABS(Table1[[#This Row],[Tol Span]]/Table1[[#This Row],[Error Span]]),"N/A"))</f>
        <v>N/A</v>
      </c>
      <c r="T2853" s="1" t="str">
        <f>IF(OR(Table1[[#This Row],[Low Tol]]="",Table1[[#This Row],[High Tol]]=""),"Needs Analysis",IF(Table1[[#This Row],[Ratio]]&gt;=4,"Not Significant",IF(Table1[[#This Row],[Ratio]]&gt;=2,"Semi-Significant","Significant")))</f>
        <v>Needs Analysis</v>
      </c>
      <c r="W2853" s="1">
        <f>IF(Table1[[#This Row],[Cal Type]]&lt;&gt;"ACCREDITED 17025 WITH UNCERTAINTIES",0,"")</f>
        <v>0</v>
      </c>
      <c r="X2853" s="1" t="str">
        <f>IF(Table1[[#This Row],[DUT Read]]="","N/A",Table1[[#This Row],[Std Error]]+Table1[[#This Row],[DUT Read]]+Table1[[#This Row],[DUT Ucty]])</f>
        <v>N/A</v>
      </c>
      <c r="Y2853" s="1" t="str">
        <f>IF(Table1[[#This Row],[Std Read]]="","N/A",Table1[[#This Row],[Std Read]]+Table1[[#This Row],[Std Ucty]])</f>
        <v>N/A</v>
      </c>
      <c r="Z28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3" s="1" t="str">
        <f>IF(Table1[[#This Row],[Spec Type]]="","N/A",Table1[[#This Row],[Spec Type]])</f>
        <v>±</v>
      </c>
      <c r="AC2853" s="1" t="str">
        <f>IF(Table1[[#This Row],[Spec Type2]]="N/A","N/A",IF(AND(Table1[[#This Row],[DUT Adj Read]]&gt;=Table1[[#This Row],[Low Tol]],Table1[[#This Row],[DUT Adj Read]]&lt;=Table1[[#This Row],[High Tol]]),"Pass","Fail"))</f>
        <v>Fail</v>
      </c>
      <c r="AD2853" s="1" t="str">
        <f>IF(AND(Table1[[#This Row],[Spec Type2]]="N/A",Table1[[#This Row],[DUT Adj Read]]="N/A",Table1[[#This Row],[Std Adj Read]]="N/A"),"N/A",IF(Table1[[#This Row],[DUT Adj Read]]="N/A",IF(Table1[[#This Row],[Std Adj Read]]&gt;Table1[[#This Row],[Low Tol]],"Pass","Fail"),IF(Table1[[#This Row],[DUT Adj Read]]&gt;Table1[[#This Row],[Low Tol]],"Pass","Fail")))</f>
        <v>Pass</v>
      </c>
      <c r="AE2853" s="1" t="str">
        <f>IF(AND(Table1[[#This Row],[Spec Type2]]="N/A",Table1[[#This Row],[DUT Adj Read]]="N/A",Table1[[#This Row],[Std Adj Read]]="N/A"),"N/A",IF(Table1[[#This Row],[DUT Adj Read]]="N/A",IF(Table1[[#This Row],[Std Adj Read]]&lt;Table1[[#This Row],[High Tol]],"Pass","Fail"),IF(Table1[[#This Row],[DUT Adj Read]]&lt;Table1[[#This Row],[High Tol]],"Pass","Fail")))</f>
        <v>Fail</v>
      </c>
      <c r="AF2853" s="1" t="str">
        <f>IF(AND(Table1[[#This Row],[Spec Type2]]="N/A",Table1[[#This Row],[DUT Adj Read]]="N/A",Table1[[#This Row],[Std Adj Read]]="N/A"),"N/A",IF(Table1[[#This Row],[DUT Adj Read]]="N/A",IF(Table1[[#This Row],[Std Adj Read]]&gt;=Table1[[#This Row],[Low Tol]],"Pass","Fail"),IF(Table1[[#This Row],[DUT Adj Read]]&gt;=Table1[[#This Row],[Low Tol]],"Pass","Fail")))</f>
        <v>Pass</v>
      </c>
      <c r="AG2853" s="1" t="str">
        <f>IF(AND(Table1[[#This Row],[Spec Type2]]="N/A",Table1[[#This Row],[DUT Adj Read]]="N/A",Table1[[#This Row],[Std Adj Read]]="N/A"),"N/A",IF(Table1[[#This Row],[DUT Adj Read]]="N/A",IF(Table1[[#This Row],[Std Adj Read]]&lt;=Table1[[#This Row],[High Tol]],"Pass","Fail"),IF(Table1[[#This Row],[DUT Adj Read]]&lt;=Table1[[#This Row],[High Tol]],"Pass","Fail")))</f>
        <v>Fail</v>
      </c>
      <c r="AH28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3" s="1" t="b">
        <v>0</v>
      </c>
      <c r="AN2853" s="1" t="b">
        <v>0</v>
      </c>
      <c r="AO2853" s="1" t="b">
        <v>0</v>
      </c>
    </row>
    <row r="2854" spans="1:41" x14ac:dyDescent="0.25">
      <c r="A2854" s="10"/>
      <c r="B2854" s="10"/>
      <c r="C2854" s="10"/>
      <c r="D2854" s="10"/>
      <c r="E2854" s="10"/>
      <c r="F2854" s="10"/>
      <c r="G2854" s="10"/>
      <c r="H2854" s="10"/>
      <c r="I2854" s="1" t="str">
        <f t="shared" si="132"/>
        <v/>
      </c>
      <c r="J2854" s="1" t="s">
        <v>35</v>
      </c>
      <c r="K2854" s="1" t="str">
        <f t="shared" si="133"/>
        <v/>
      </c>
      <c r="L2854" s="1" t="str">
        <f t="shared" si="134"/>
        <v/>
      </c>
      <c r="M2854" s="1">
        <f>IF(OR(Table1[[#This Row],[Std Nom]]="",Table1[[#This Row],[Std Read]]=""),0,Table1[[#This Row],[Std Nom]]-Table1[[#This Row],[Std Read]])</f>
        <v>0</v>
      </c>
      <c r="N2854" s="1">
        <f>IF(Calculations!$F$5="ACCREDITED 17025 WITH UNCERTAINTIES",$N$10,0)</f>
        <v>0</v>
      </c>
      <c r="Q2854" s="1">
        <f>Table1[[#This Row],[High Tol]]-Table1[[#This Row],[Low Tol]]</f>
        <v>0</v>
      </c>
      <c r="R2854" s="1">
        <f>2*Table1[[#This Row],[Std Error]]</f>
        <v>0</v>
      </c>
      <c r="S2854" s="1" t="str">
        <f>IF(Table1[[#This Row],[High Tol]]="","N/A",IFERROR(ABS(Table1[[#This Row],[Tol Span]]/Table1[[#This Row],[Error Span]]),"N/A"))</f>
        <v>N/A</v>
      </c>
      <c r="T2854" s="1" t="str">
        <f>IF(OR(Table1[[#This Row],[Low Tol]]="",Table1[[#This Row],[High Tol]]=""),"Needs Analysis",IF(Table1[[#This Row],[Ratio]]&gt;=4,"Not Significant",IF(Table1[[#This Row],[Ratio]]&gt;=2,"Semi-Significant","Significant")))</f>
        <v>Needs Analysis</v>
      </c>
      <c r="W2854" s="1">
        <f>IF(Table1[[#This Row],[Cal Type]]&lt;&gt;"ACCREDITED 17025 WITH UNCERTAINTIES",0,"")</f>
        <v>0</v>
      </c>
      <c r="X2854" s="1" t="str">
        <f>IF(Table1[[#This Row],[DUT Read]]="","N/A",Table1[[#This Row],[Std Error]]+Table1[[#This Row],[DUT Read]]+Table1[[#This Row],[DUT Ucty]])</f>
        <v>N/A</v>
      </c>
      <c r="Y2854" s="1" t="str">
        <f>IF(Table1[[#This Row],[Std Read]]="","N/A",Table1[[#This Row],[Std Read]]+Table1[[#This Row],[Std Ucty]])</f>
        <v>N/A</v>
      </c>
      <c r="Z28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4" s="1" t="str">
        <f>IF(Table1[[#This Row],[Spec Type]]="","N/A",Table1[[#This Row],[Spec Type]])</f>
        <v>±</v>
      </c>
      <c r="AC2854" s="1" t="str">
        <f>IF(Table1[[#This Row],[Spec Type2]]="N/A","N/A",IF(AND(Table1[[#This Row],[DUT Adj Read]]&gt;=Table1[[#This Row],[Low Tol]],Table1[[#This Row],[DUT Adj Read]]&lt;=Table1[[#This Row],[High Tol]]),"Pass","Fail"))</f>
        <v>Fail</v>
      </c>
      <c r="AD2854" s="1" t="str">
        <f>IF(AND(Table1[[#This Row],[Spec Type2]]="N/A",Table1[[#This Row],[DUT Adj Read]]="N/A",Table1[[#This Row],[Std Adj Read]]="N/A"),"N/A",IF(Table1[[#This Row],[DUT Adj Read]]="N/A",IF(Table1[[#This Row],[Std Adj Read]]&gt;Table1[[#This Row],[Low Tol]],"Pass","Fail"),IF(Table1[[#This Row],[DUT Adj Read]]&gt;Table1[[#This Row],[Low Tol]],"Pass","Fail")))</f>
        <v>Pass</v>
      </c>
      <c r="AE2854" s="1" t="str">
        <f>IF(AND(Table1[[#This Row],[Spec Type2]]="N/A",Table1[[#This Row],[DUT Adj Read]]="N/A",Table1[[#This Row],[Std Adj Read]]="N/A"),"N/A",IF(Table1[[#This Row],[DUT Adj Read]]="N/A",IF(Table1[[#This Row],[Std Adj Read]]&lt;Table1[[#This Row],[High Tol]],"Pass","Fail"),IF(Table1[[#This Row],[DUT Adj Read]]&lt;Table1[[#This Row],[High Tol]],"Pass","Fail")))</f>
        <v>Fail</v>
      </c>
      <c r="AF2854" s="1" t="str">
        <f>IF(AND(Table1[[#This Row],[Spec Type2]]="N/A",Table1[[#This Row],[DUT Adj Read]]="N/A",Table1[[#This Row],[Std Adj Read]]="N/A"),"N/A",IF(Table1[[#This Row],[DUT Adj Read]]="N/A",IF(Table1[[#This Row],[Std Adj Read]]&gt;=Table1[[#This Row],[Low Tol]],"Pass","Fail"),IF(Table1[[#This Row],[DUT Adj Read]]&gt;=Table1[[#This Row],[Low Tol]],"Pass","Fail")))</f>
        <v>Pass</v>
      </c>
      <c r="AG2854" s="1" t="str">
        <f>IF(AND(Table1[[#This Row],[Spec Type2]]="N/A",Table1[[#This Row],[DUT Adj Read]]="N/A",Table1[[#This Row],[Std Adj Read]]="N/A"),"N/A",IF(Table1[[#This Row],[DUT Adj Read]]="N/A",IF(Table1[[#This Row],[Std Adj Read]]&lt;=Table1[[#This Row],[High Tol]],"Pass","Fail"),IF(Table1[[#This Row],[DUT Adj Read]]&lt;=Table1[[#This Row],[High Tol]],"Pass","Fail")))</f>
        <v>Fail</v>
      </c>
      <c r="AH28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4" s="1" t="b">
        <v>0</v>
      </c>
      <c r="AN2854" s="1" t="b">
        <v>0</v>
      </c>
      <c r="AO2854" s="1" t="b">
        <v>0</v>
      </c>
    </row>
    <row r="2855" spans="1:41" x14ac:dyDescent="0.25">
      <c r="A2855" s="10"/>
      <c r="B2855" s="10"/>
      <c r="C2855" s="10"/>
      <c r="D2855" s="10"/>
      <c r="E2855" s="10"/>
      <c r="F2855" s="10"/>
      <c r="G2855" s="10"/>
      <c r="H2855" s="10"/>
      <c r="I2855" s="1" t="str">
        <f t="shared" si="132"/>
        <v/>
      </c>
      <c r="J2855" s="1" t="s">
        <v>35</v>
      </c>
      <c r="K2855" s="1" t="str">
        <f t="shared" si="133"/>
        <v/>
      </c>
      <c r="L2855" s="1" t="str">
        <f t="shared" si="134"/>
        <v/>
      </c>
      <c r="M2855" s="1">
        <f>IF(OR(Table1[[#This Row],[Std Nom]]="",Table1[[#This Row],[Std Read]]=""),0,Table1[[#This Row],[Std Nom]]-Table1[[#This Row],[Std Read]])</f>
        <v>0</v>
      </c>
      <c r="N2855" s="1">
        <f>IF(Calculations!$F$5="ACCREDITED 17025 WITH UNCERTAINTIES",$N$10,0)</f>
        <v>0</v>
      </c>
      <c r="Q2855" s="1">
        <f>Table1[[#This Row],[High Tol]]-Table1[[#This Row],[Low Tol]]</f>
        <v>0</v>
      </c>
      <c r="R2855" s="1">
        <f>2*Table1[[#This Row],[Std Error]]</f>
        <v>0</v>
      </c>
      <c r="S2855" s="1" t="str">
        <f>IF(Table1[[#This Row],[High Tol]]="","N/A",IFERROR(ABS(Table1[[#This Row],[Tol Span]]/Table1[[#This Row],[Error Span]]),"N/A"))</f>
        <v>N/A</v>
      </c>
      <c r="T2855" s="1" t="str">
        <f>IF(OR(Table1[[#This Row],[Low Tol]]="",Table1[[#This Row],[High Tol]]=""),"Needs Analysis",IF(Table1[[#This Row],[Ratio]]&gt;=4,"Not Significant",IF(Table1[[#This Row],[Ratio]]&gt;=2,"Semi-Significant","Significant")))</f>
        <v>Needs Analysis</v>
      </c>
      <c r="W2855" s="1">
        <f>IF(Table1[[#This Row],[Cal Type]]&lt;&gt;"ACCREDITED 17025 WITH UNCERTAINTIES",0,"")</f>
        <v>0</v>
      </c>
      <c r="X2855" s="1" t="str">
        <f>IF(Table1[[#This Row],[DUT Read]]="","N/A",Table1[[#This Row],[Std Error]]+Table1[[#This Row],[DUT Read]]+Table1[[#This Row],[DUT Ucty]])</f>
        <v>N/A</v>
      </c>
      <c r="Y2855" s="1" t="str">
        <f>IF(Table1[[#This Row],[Std Read]]="","N/A",Table1[[#This Row],[Std Read]]+Table1[[#This Row],[Std Ucty]])</f>
        <v>N/A</v>
      </c>
      <c r="Z28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5" s="1" t="str">
        <f>IF(Table1[[#This Row],[Spec Type]]="","N/A",Table1[[#This Row],[Spec Type]])</f>
        <v>±</v>
      </c>
      <c r="AC2855" s="1" t="str">
        <f>IF(Table1[[#This Row],[Spec Type2]]="N/A","N/A",IF(AND(Table1[[#This Row],[DUT Adj Read]]&gt;=Table1[[#This Row],[Low Tol]],Table1[[#This Row],[DUT Adj Read]]&lt;=Table1[[#This Row],[High Tol]]),"Pass","Fail"))</f>
        <v>Fail</v>
      </c>
      <c r="AD2855" s="1" t="str">
        <f>IF(AND(Table1[[#This Row],[Spec Type2]]="N/A",Table1[[#This Row],[DUT Adj Read]]="N/A",Table1[[#This Row],[Std Adj Read]]="N/A"),"N/A",IF(Table1[[#This Row],[DUT Adj Read]]="N/A",IF(Table1[[#This Row],[Std Adj Read]]&gt;Table1[[#This Row],[Low Tol]],"Pass","Fail"),IF(Table1[[#This Row],[DUT Adj Read]]&gt;Table1[[#This Row],[Low Tol]],"Pass","Fail")))</f>
        <v>Pass</v>
      </c>
      <c r="AE2855" s="1" t="str">
        <f>IF(AND(Table1[[#This Row],[Spec Type2]]="N/A",Table1[[#This Row],[DUT Adj Read]]="N/A",Table1[[#This Row],[Std Adj Read]]="N/A"),"N/A",IF(Table1[[#This Row],[DUT Adj Read]]="N/A",IF(Table1[[#This Row],[Std Adj Read]]&lt;Table1[[#This Row],[High Tol]],"Pass","Fail"),IF(Table1[[#This Row],[DUT Adj Read]]&lt;Table1[[#This Row],[High Tol]],"Pass","Fail")))</f>
        <v>Fail</v>
      </c>
      <c r="AF2855" s="1" t="str">
        <f>IF(AND(Table1[[#This Row],[Spec Type2]]="N/A",Table1[[#This Row],[DUT Adj Read]]="N/A",Table1[[#This Row],[Std Adj Read]]="N/A"),"N/A",IF(Table1[[#This Row],[DUT Adj Read]]="N/A",IF(Table1[[#This Row],[Std Adj Read]]&gt;=Table1[[#This Row],[Low Tol]],"Pass","Fail"),IF(Table1[[#This Row],[DUT Adj Read]]&gt;=Table1[[#This Row],[Low Tol]],"Pass","Fail")))</f>
        <v>Pass</v>
      </c>
      <c r="AG2855" s="1" t="str">
        <f>IF(AND(Table1[[#This Row],[Spec Type2]]="N/A",Table1[[#This Row],[DUT Adj Read]]="N/A",Table1[[#This Row],[Std Adj Read]]="N/A"),"N/A",IF(Table1[[#This Row],[DUT Adj Read]]="N/A",IF(Table1[[#This Row],[Std Adj Read]]&lt;=Table1[[#This Row],[High Tol]],"Pass","Fail"),IF(Table1[[#This Row],[DUT Adj Read]]&lt;=Table1[[#This Row],[High Tol]],"Pass","Fail")))</f>
        <v>Fail</v>
      </c>
      <c r="AH28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5" s="1" t="b">
        <v>0</v>
      </c>
      <c r="AN2855" s="1" t="b">
        <v>0</v>
      </c>
      <c r="AO2855" s="1" t="b">
        <v>0</v>
      </c>
    </row>
    <row r="2856" spans="1:41" x14ac:dyDescent="0.25">
      <c r="A2856" s="10"/>
      <c r="B2856" s="10"/>
      <c r="C2856" s="10"/>
      <c r="D2856" s="10"/>
      <c r="E2856" s="10"/>
      <c r="F2856" s="10"/>
      <c r="G2856" s="10"/>
      <c r="H2856" s="10"/>
      <c r="I2856" s="1" t="str">
        <f t="shared" si="132"/>
        <v/>
      </c>
      <c r="J2856" s="1" t="s">
        <v>35</v>
      </c>
      <c r="K2856" s="1" t="str">
        <f t="shared" si="133"/>
        <v/>
      </c>
      <c r="L2856" s="1" t="str">
        <f t="shared" si="134"/>
        <v/>
      </c>
      <c r="M2856" s="1">
        <f>IF(OR(Table1[[#This Row],[Std Nom]]="",Table1[[#This Row],[Std Read]]=""),0,Table1[[#This Row],[Std Nom]]-Table1[[#This Row],[Std Read]])</f>
        <v>0</v>
      </c>
      <c r="N2856" s="1">
        <f>IF(Calculations!$F$5="ACCREDITED 17025 WITH UNCERTAINTIES",$N$10,0)</f>
        <v>0</v>
      </c>
      <c r="Q2856" s="1">
        <f>Table1[[#This Row],[High Tol]]-Table1[[#This Row],[Low Tol]]</f>
        <v>0</v>
      </c>
      <c r="R2856" s="1">
        <f>2*Table1[[#This Row],[Std Error]]</f>
        <v>0</v>
      </c>
      <c r="S2856" s="1" t="str">
        <f>IF(Table1[[#This Row],[High Tol]]="","N/A",IFERROR(ABS(Table1[[#This Row],[Tol Span]]/Table1[[#This Row],[Error Span]]),"N/A"))</f>
        <v>N/A</v>
      </c>
      <c r="T2856" s="1" t="str">
        <f>IF(OR(Table1[[#This Row],[Low Tol]]="",Table1[[#This Row],[High Tol]]=""),"Needs Analysis",IF(Table1[[#This Row],[Ratio]]&gt;=4,"Not Significant",IF(Table1[[#This Row],[Ratio]]&gt;=2,"Semi-Significant","Significant")))</f>
        <v>Needs Analysis</v>
      </c>
      <c r="W2856" s="1">
        <f>IF(Table1[[#This Row],[Cal Type]]&lt;&gt;"ACCREDITED 17025 WITH UNCERTAINTIES",0,"")</f>
        <v>0</v>
      </c>
      <c r="X2856" s="1" t="str">
        <f>IF(Table1[[#This Row],[DUT Read]]="","N/A",Table1[[#This Row],[Std Error]]+Table1[[#This Row],[DUT Read]]+Table1[[#This Row],[DUT Ucty]])</f>
        <v>N/A</v>
      </c>
      <c r="Y2856" s="1" t="str">
        <f>IF(Table1[[#This Row],[Std Read]]="","N/A",Table1[[#This Row],[Std Read]]+Table1[[#This Row],[Std Ucty]])</f>
        <v>N/A</v>
      </c>
      <c r="Z28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6" s="1" t="str">
        <f>IF(Table1[[#This Row],[Spec Type]]="","N/A",Table1[[#This Row],[Spec Type]])</f>
        <v>±</v>
      </c>
      <c r="AC2856" s="1" t="str">
        <f>IF(Table1[[#This Row],[Spec Type2]]="N/A","N/A",IF(AND(Table1[[#This Row],[DUT Adj Read]]&gt;=Table1[[#This Row],[Low Tol]],Table1[[#This Row],[DUT Adj Read]]&lt;=Table1[[#This Row],[High Tol]]),"Pass","Fail"))</f>
        <v>Fail</v>
      </c>
      <c r="AD2856" s="1" t="str">
        <f>IF(AND(Table1[[#This Row],[Spec Type2]]="N/A",Table1[[#This Row],[DUT Adj Read]]="N/A",Table1[[#This Row],[Std Adj Read]]="N/A"),"N/A",IF(Table1[[#This Row],[DUT Adj Read]]="N/A",IF(Table1[[#This Row],[Std Adj Read]]&gt;Table1[[#This Row],[Low Tol]],"Pass","Fail"),IF(Table1[[#This Row],[DUT Adj Read]]&gt;Table1[[#This Row],[Low Tol]],"Pass","Fail")))</f>
        <v>Pass</v>
      </c>
      <c r="AE2856" s="1" t="str">
        <f>IF(AND(Table1[[#This Row],[Spec Type2]]="N/A",Table1[[#This Row],[DUT Adj Read]]="N/A",Table1[[#This Row],[Std Adj Read]]="N/A"),"N/A",IF(Table1[[#This Row],[DUT Adj Read]]="N/A",IF(Table1[[#This Row],[Std Adj Read]]&lt;Table1[[#This Row],[High Tol]],"Pass","Fail"),IF(Table1[[#This Row],[DUT Adj Read]]&lt;Table1[[#This Row],[High Tol]],"Pass","Fail")))</f>
        <v>Fail</v>
      </c>
      <c r="AF2856" s="1" t="str">
        <f>IF(AND(Table1[[#This Row],[Spec Type2]]="N/A",Table1[[#This Row],[DUT Adj Read]]="N/A",Table1[[#This Row],[Std Adj Read]]="N/A"),"N/A",IF(Table1[[#This Row],[DUT Adj Read]]="N/A",IF(Table1[[#This Row],[Std Adj Read]]&gt;=Table1[[#This Row],[Low Tol]],"Pass","Fail"),IF(Table1[[#This Row],[DUT Adj Read]]&gt;=Table1[[#This Row],[Low Tol]],"Pass","Fail")))</f>
        <v>Pass</v>
      </c>
      <c r="AG2856" s="1" t="str">
        <f>IF(AND(Table1[[#This Row],[Spec Type2]]="N/A",Table1[[#This Row],[DUT Adj Read]]="N/A",Table1[[#This Row],[Std Adj Read]]="N/A"),"N/A",IF(Table1[[#This Row],[DUT Adj Read]]="N/A",IF(Table1[[#This Row],[Std Adj Read]]&lt;=Table1[[#This Row],[High Tol]],"Pass","Fail"),IF(Table1[[#This Row],[DUT Adj Read]]&lt;=Table1[[#This Row],[High Tol]],"Pass","Fail")))</f>
        <v>Fail</v>
      </c>
      <c r="AH28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6" s="1" t="b">
        <v>0</v>
      </c>
      <c r="AN2856" s="1" t="b">
        <v>0</v>
      </c>
      <c r="AO2856" s="1" t="b">
        <v>0</v>
      </c>
    </row>
    <row r="2857" spans="1:41" x14ac:dyDescent="0.25">
      <c r="A2857" s="10"/>
      <c r="B2857" s="10"/>
      <c r="C2857" s="10"/>
      <c r="D2857" s="10"/>
      <c r="E2857" s="10"/>
      <c r="F2857" s="10"/>
      <c r="G2857" s="10"/>
      <c r="H2857" s="10"/>
      <c r="I2857" s="1" t="str">
        <f t="shared" si="132"/>
        <v/>
      </c>
      <c r="J2857" s="1" t="s">
        <v>35</v>
      </c>
      <c r="K2857" s="1" t="str">
        <f t="shared" si="133"/>
        <v/>
      </c>
      <c r="L2857" s="1" t="str">
        <f t="shared" si="134"/>
        <v/>
      </c>
      <c r="M2857" s="1">
        <f>IF(OR(Table1[[#This Row],[Std Nom]]="",Table1[[#This Row],[Std Read]]=""),0,Table1[[#This Row],[Std Nom]]-Table1[[#This Row],[Std Read]])</f>
        <v>0</v>
      </c>
      <c r="N2857" s="1">
        <f>IF(Calculations!$F$5="ACCREDITED 17025 WITH UNCERTAINTIES",$N$10,0)</f>
        <v>0</v>
      </c>
      <c r="Q2857" s="1">
        <f>Table1[[#This Row],[High Tol]]-Table1[[#This Row],[Low Tol]]</f>
        <v>0</v>
      </c>
      <c r="R2857" s="1">
        <f>2*Table1[[#This Row],[Std Error]]</f>
        <v>0</v>
      </c>
      <c r="S2857" s="1" t="str">
        <f>IF(Table1[[#This Row],[High Tol]]="","N/A",IFERROR(ABS(Table1[[#This Row],[Tol Span]]/Table1[[#This Row],[Error Span]]),"N/A"))</f>
        <v>N/A</v>
      </c>
      <c r="T2857" s="1" t="str">
        <f>IF(OR(Table1[[#This Row],[Low Tol]]="",Table1[[#This Row],[High Tol]]=""),"Needs Analysis",IF(Table1[[#This Row],[Ratio]]&gt;=4,"Not Significant",IF(Table1[[#This Row],[Ratio]]&gt;=2,"Semi-Significant","Significant")))</f>
        <v>Needs Analysis</v>
      </c>
      <c r="W2857" s="1">
        <f>IF(Table1[[#This Row],[Cal Type]]&lt;&gt;"ACCREDITED 17025 WITH UNCERTAINTIES",0,"")</f>
        <v>0</v>
      </c>
      <c r="X2857" s="1" t="str">
        <f>IF(Table1[[#This Row],[DUT Read]]="","N/A",Table1[[#This Row],[Std Error]]+Table1[[#This Row],[DUT Read]]+Table1[[#This Row],[DUT Ucty]])</f>
        <v>N/A</v>
      </c>
      <c r="Y2857" s="1" t="str">
        <f>IF(Table1[[#This Row],[Std Read]]="","N/A",Table1[[#This Row],[Std Read]]+Table1[[#This Row],[Std Ucty]])</f>
        <v>N/A</v>
      </c>
      <c r="Z28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7" s="1" t="str">
        <f>IF(Table1[[#This Row],[Spec Type]]="","N/A",Table1[[#This Row],[Spec Type]])</f>
        <v>±</v>
      </c>
      <c r="AC2857" s="1" t="str">
        <f>IF(Table1[[#This Row],[Spec Type2]]="N/A","N/A",IF(AND(Table1[[#This Row],[DUT Adj Read]]&gt;=Table1[[#This Row],[Low Tol]],Table1[[#This Row],[DUT Adj Read]]&lt;=Table1[[#This Row],[High Tol]]),"Pass","Fail"))</f>
        <v>Fail</v>
      </c>
      <c r="AD2857" s="1" t="str">
        <f>IF(AND(Table1[[#This Row],[Spec Type2]]="N/A",Table1[[#This Row],[DUT Adj Read]]="N/A",Table1[[#This Row],[Std Adj Read]]="N/A"),"N/A",IF(Table1[[#This Row],[DUT Adj Read]]="N/A",IF(Table1[[#This Row],[Std Adj Read]]&gt;Table1[[#This Row],[Low Tol]],"Pass","Fail"),IF(Table1[[#This Row],[DUT Adj Read]]&gt;Table1[[#This Row],[Low Tol]],"Pass","Fail")))</f>
        <v>Pass</v>
      </c>
      <c r="AE2857" s="1" t="str">
        <f>IF(AND(Table1[[#This Row],[Spec Type2]]="N/A",Table1[[#This Row],[DUT Adj Read]]="N/A",Table1[[#This Row],[Std Adj Read]]="N/A"),"N/A",IF(Table1[[#This Row],[DUT Adj Read]]="N/A",IF(Table1[[#This Row],[Std Adj Read]]&lt;Table1[[#This Row],[High Tol]],"Pass","Fail"),IF(Table1[[#This Row],[DUT Adj Read]]&lt;Table1[[#This Row],[High Tol]],"Pass","Fail")))</f>
        <v>Fail</v>
      </c>
      <c r="AF2857" s="1" t="str">
        <f>IF(AND(Table1[[#This Row],[Spec Type2]]="N/A",Table1[[#This Row],[DUT Adj Read]]="N/A",Table1[[#This Row],[Std Adj Read]]="N/A"),"N/A",IF(Table1[[#This Row],[DUT Adj Read]]="N/A",IF(Table1[[#This Row],[Std Adj Read]]&gt;=Table1[[#This Row],[Low Tol]],"Pass","Fail"),IF(Table1[[#This Row],[DUT Adj Read]]&gt;=Table1[[#This Row],[Low Tol]],"Pass","Fail")))</f>
        <v>Pass</v>
      </c>
      <c r="AG2857" s="1" t="str">
        <f>IF(AND(Table1[[#This Row],[Spec Type2]]="N/A",Table1[[#This Row],[DUT Adj Read]]="N/A",Table1[[#This Row],[Std Adj Read]]="N/A"),"N/A",IF(Table1[[#This Row],[DUT Adj Read]]="N/A",IF(Table1[[#This Row],[Std Adj Read]]&lt;=Table1[[#This Row],[High Tol]],"Pass","Fail"),IF(Table1[[#This Row],[DUT Adj Read]]&lt;=Table1[[#This Row],[High Tol]],"Pass","Fail")))</f>
        <v>Fail</v>
      </c>
      <c r="AH28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7" s="1" t="b">
        <v>0</v>
      </c>
      <c r="AN2857" s="1" t="b">
        <v>0</v>
      </c>
      <c r="AO2857" s="1" t="b">
        <v>0</v>
      </c>
    </row>
    <row r="2858" spans="1:41" x14ac:dyDescent="0.25">
      <c r="A2858" s="10"/>
      <c r="B2858" s="10"/>
      <c r="C2858" s="10"/>
      <c r="D2858" s="10"/>
      <c r="E2858" s="10"/>
      <c r="F2858" s="10"/>
      <c r="G2858" s="10"/>
      <c r="H2858" s="10"/>
      <c r="I2858" s="1" t="str">
        <f t="shared" si="132"/>
        <v/>
      </c>
      <c r="J2858" s="1" t="s">
        <v>35</v>
      </c>
      <c r="K2858" s="1" t="str">
        <f t="shared" si="133"/>
        <v/>
      </c>
      <c r="L2858" s="1" t="str">
        <f t="shared" si="134"/>
        <v/>
      </c>
      <c r="M2858" s="1">
        <f>IF(OR(Table1[[#This Row],[Std Nom]]="",Table1[[#This Row],[Std Read]]=""),0,Table1[[#This Row],[Std Nom]]-Table1[[#This Row],[Std Read]])</f>
        <v>0</v>
      </c>
      <c r="N2858" s="1">
        <f>IF(Calculations!$F$5="ACCREDITED 17025 WITH UNCERTAINTIES",$N$10,0)</f>
        <v>0</v>
      </c>
      <c r="Q2858" s="1">
        <f>Table1[[#This Row],[High Tol]]-Table1[[#This Row],[Low Tol]]</f>
        <v>0</v>
      </c>
      <c r="R2858" s="1">
        <f>2*Table1[[#This Row],[Std Error]]</f>
        <v>0</v>
      </c>
      <c r="S2858" s="1" t="str">
        <f>IF(Table1[[#This Row],[High Tol]]="","N/A",IFERROR(ABS(Table1[[#This Row],[Tol Span]]/Table1[[#This Row],[Error Span]]),"N/A"))</f>
        <v>N/A</v>
      </c>
      <c r="T2858" s="1" t="str">
        <f>IF(OR(Table1[[#This Row],[Low Tol]]="",Table1[[#This Row],[High Tol]]=""),"Needs Analysis",IF(Table1[[#This Row],[Ratio]]&gt;=4,"Not Significant",IF(Table1[[#This Row],[Ratio]]&gt;=2,"Semi-Significant","Significant")))</f>
        <v>Needs Analysis</v>
      </c>
      <c r="W2858" s="1">
        <f>IF(Table1[[#This Row],[Cal Type]]&lt;&gt;"ACCREDITED 17025 WITH UNCERTAINTIES",0,"")</f>
        <v>0</v>
      </c>
      <c r="X2858" s="1" t="str">
        <f>IF(Table1[[#This Row],[DUT Read]]="","N/A",Table1[[#This Row],[Std Error]]+Table1[[#This Row],[DUT Read]]+Table1[[#This Row],[DUT Ucty]])</f>
        <v>N/A</v>
      </c>
      <c r="Y2858" s="1" t="str">
        <f>IF(Table1[[#This Row],[Std Read]]="","N/A",Table1[[#This Row],[Std Read]]+Table1[[#This Row],[Std Ucty]])</f>
        <v>N/A</v>
      </c>
      <c r="Z28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8" s="1" t="str">
        <f>IF(Table1[[#This Row],[Spec Type]]="","N/A",Table1[[#This Row],[Spec Type]])</f>
        <v>±</v>
      </c>
      <c r="AC2858" s="1" t="str">
        <f>IF(Table1[[#This Row],[Spec Type2]]="N/A","N/A",IF(AND(Table1[[#This Row],[DUT Adj Read]]&gt;=Table1[[#This Row],[Low Tol]],Table1[[#This Row],[DUT Adj Read]]&lt;=Table1[[#This Row],[High Tol]]),"Pass","Fail"))</f>
        <v>Fail</v>
      </c>
      <c r="AD2858" s="1" t="str">
        <f>IF(AND(Table1[[#This Row],[Spec Type2]]="N/A",Table1[[#This Row],[DUT Adj Read]]="N/A",Table1[[#This Row],[Std Adj Read]]="N/A"),"N/A",IF(Table1[[#This Row],[DUT Adj Read]]="N/A",IF(Table1[[#This Row],[Std Adj Read]]&gt;Table1[[#This Row],[Low Tol]],"Pass","Fail"),IF(Table1[[#This Row],[DUT Adj Read]]&gt;Table1[[#This Row],[Low Tol]],"Pass","Fail")))</f>
        <v>Pass</v>
      </c>
      <c r="AE2858" s="1" t="str">
        <f>IF(AND(Table1[[#This Row],[Spec Type2]]="N/A",Table1[[#This Row],[DUT Adj Read]]="N/A",Table1[[#This Row],[Std Adj Read]]="N/A"),"N/A",IF(Table1[[#This Row],[DUT Adj Read]]="N/A",IF(Table1[[#This Row],[Std Adj Read]]&lt;Table1[[#This Row],[High Tol]],"Pass","Fail"),IF(Table1[[#This Row],[DUT Adj Read]]&lt;Table1[[#This Row],[High Tol]],"Pass","Fail")))</f>
        <v>Fail</v>
      </c>
      <c r="AF2858" s="1" t="str">
        <f>IF(AND(Table1[[#This Row],[Spec Type2]]="N/A",Table1[[#This Row],[DUT Adj Read]]="N/A",Table1[[#This Row],[Std Adj Read]]="N/A"),"N/A",IF(Table1[[#This Row],[DUT Adj Read]]="N/A",IF(Table1[[#This Row],[Std Adj Read]]&gt;=Table1[[#This Row],[Low Tol]],"Pass","Fail"),IF(Table1[[#This Row],[DUT Adj Read]]&gt;=Table1[[#This Row],[Low Tol]],"Pass","Fail")))</f>
        <v>Pass</v>
      </c>
      <c r="AG2858" s="1" t="str">
        <f>IF(AND(Table1[[#This Row],[Spec Type2]]="N/A",Table1[[#This Row],[DUT Adj Read]]="N/A",Table1[[#This Row],[Std Adj Read]]="N/A"),"N/A",IF(Table1[[#This Row],[DUT Adj Read]]="N/A",IF(Table1[[#This Row],[Std Adj Read]]&lt;=Table1[[#This Row],[High Tol]],"Pass","Fail"),IF(Table1[[#This Row],[DUT Adj Read]]&lt;=Table1[[#This Row],[High Tol]],"Pass","Fail")))</f>
        <v>Fail</v>
      </c>
      <c r="AH28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8" s="1" t="b">
        <v>0</v>
      </c>
      <c r="AN2858" s="1" t="b">
        <v>0</v>
      </c>
      <c r="AO2858" s="1" t="b">
        <v>0</v>
      </c>
    </row>
    <row r="2859" spans="1:41" x14ac:dyDescent="0.25">
      <c r="A2859" s="10"/>
      <c r="B2859" s="10"/>
      <c r="C2859" s="10"/>
      <c r="D2859" s="10"/>
      <c r="E2859" s="10"/>
      <c r="F2859" s="10"/>
      <c r="G2859" s="10"/>
      <c r="H2859" s="10"/>
      <c r="I2859" s="1" t="str">
        <f t="shared" si="132"/>
        <v/>
      </c>
      <c r="J2859" s="1" t="s">
        <v>35</v>
      </c>
      <c r="K2859" s="1" t="str">
        <f t="shared" si="133"/>
        <v/>
      </c>
      <c r="L2859" s="1" t="str">
        <f t="shared" si="134"/>
        <v/>
      </c>
      <c r="M2859" s="1">
        <f>IF(OR(Table1[[#This Row],[Std Nom]]="",Table1[[#This Row],[Std Read]]=""),0,Table1[[#This Row],[Std Nom]]-Table1[[#This Row],[Std Read]])</f>
        <v>0</v>
      </c>
      <c r="N2859" s="1">
        <f>IF(Calculations!$F$5="ACCREDITED 17025 WITH UNCERTAINTIES",$N$10,0)</f>
        <v>0</v>
      </c>
      <c r="Q2859" s="1">
        <f>Table1[[#This Row],[High Tol]]-Table1[[#This Row],[Low Tol]]</f>
        <v>0</v>
      </c>
      <c r="R2859" s="1">
        <f>2*Table1[[#This Row],[Std Error]]</f>
        <v>0</v>
      </c>
      <c r="S2859" s="1" t="str">
        <f>IF(Table1[[#This Row],[High Tol]]="","N/A",IFERROR(ABS(Table1[[#This Row],[Tol Span]]/Table1[[#This Row],[Error Span]]),"N/A"))</f>
        <v>N/A</v>
      </c>
      <c r="T2859" s="1" t="str">
        <f>IF(OR(Table1[[#This Row],[Low Tol]]="",Table1[[#This Row],[High Tol]]=""),"Needs Analysis",IF(Table1[[#This Row],[Ratio]]&gt;=4,"Not Significant",IF(Table1[[#This Row],[Ratio]]&gt;=2,"Semi-Significant","Significant")))</f>
        <v>Needs Analysis</v>
      </c>
      <c r="W2859" s="1">
        <f>IF(Table1[[#This Row],[Cal Type]]&lt;&gt;"ACCREDITED 17025 WITH UNCERTAINTIES",0,"")</f>
        <v>0</v>
      </c>
      <c r="X2859" s="1" t="str">
        <f>IF(Table1[[#This Row],[DUT Read]]="","N/A",Table1[[#This Row],[Std Error]]+Table1[[#This Row],[DUT Read]]+Table1[[#This Row],[DUT Ucty]])</f>
        <v>N/A</v>
      </c>
      <c r="Y2859" s="1" t="str">
        <f>IF(Table1[[#This Row],[Std Read]]="","N/A",Table1[[#This Row],[Std Read]]+Table1[[#This Row],[Std Ucty]])</f>
        <v>N/A</v>
      </c>
      <c r="Z28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59" s="1" t="str">
        <f>IF(Table1[[#This Row],[Spec Type]]="","N/A",Table1[[#This Row],[Spec Type]])</f>
        <v>±</v>
      </c>
      <c r="AC2859" s="1" t="str">
        <f>IF(Table1[[#This Row],[Spec Type2]]="N/A","N/A",IF(AND(Table1[[#This Row],[DUT Adj Read]]&gt;=Table1[[#This Row],[Low Tol]],Table1[[#This Row],[DUT Adj Read]]&lt;=Table1[[#This Row],[High Tol]]),"Pass","Fail"))</f>
        <v>Fail</v>
      </c>
      <c r="AD2859" s="1" t="str">
        <f>IF(AND(Table1[[#This Row],[Spec Type2]]="N/A",Table1[[#This Row],[DUT Adj Read]]="N/A",Table1[[#This Row],[Std Adj Read]]="N/A"),"N/A",IF(Table1[[#This Row],[DUT Adj Read]]="N/A",IF(Table1[[#This Row],[Std Adj Read]]&gt;Table1[[#This Row],[Low Tol]],"Pass","Fail"),IF(Table1[[#This Row],[DUT Adj Read]]&gt;Table1[[#This Row],[Low Tol]],"Pass","Fail")))</f>
        <v>Pass</v>
      </c>
      <c r="AE2859" s="1" t="str">
        <f>IF(AND(Table1[[#This Row],[Spec Type2]]="N/A",Table1[[#This Row],[DUT Adj Read]]="N/A",Table1[[#This Row],[Std Adj Read]]="N/A"),"N/A",IF(Table1[[#This Row],[DUT Adj Read]]="N/A",IF(Table1[[#This Row],[Std Adj Read]]&lt;Table1[[#This Row],[High Tol]],"Pass","Fail"),IF(Table1[[#This Row],[DUT Adj Read]]&lt;Table1[[#This Row],[High Tol]],"Pass","Fail")))</f>
        <v>Fail</v>
      </c>
      <c r="AF2859" s="1" t="str">
        <f>IF(AND(Table1[[#This Row],[Spec Type2]]="N/A",Table1[[#This Row],[DUT Adj Read]]="N/A",Table1[[#This Row],[Std Adj Read]]="N/A"),"N/A",IF(Table1[[#This Row],[DUT Adj Read]]="N/A",IF(Table1[[#This Row],[Std Adj Read]]&gt;=Table1[[#This Row],[Low Tol]],"Pass","Fail"),IF(Table1[[#This Row],[DUT Adj Read]]&gt;=Table1[[#This Row],[Low Tol]],"Pass","Fail")))</f>
        <v>Pass</v>
      </c>
      <c r="AG2859" s="1" t="str">
        <f>IF(AND(Table1[[#This Row],[Spec Type2]]="N/A",Table1[[#This Row],[DUT Adj Read]]="N/A",Table1[[#This Row],[Std Adj Read]]="N/A"),"N/A",IF(Table1[[#This Row],[DUT Adj Read]]="N/A",IF(Table1[[#This Row],[Std Adj Read]]&lt;=Table1[[#This Row],[High Tol]],"Pass","Fail"),IF(Table1[[#This Row],[DUT Adj Read]]&lt;=Table1[[#This Row],[High Tol]],"Pass","Fail")))</f>
        <v>Fail</v>
      </c>
      <c r="AH28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59" s="1" t="b">
        <v>0</v>
      </c>
      <c r="AN2859" s="1" t="b">
        <v>0</v>
      </c>
      <c r="AO2859" s="1" t="b">
        <v>0</v>
      </c>
    </row>
    <row r="2860" spans="1:41" x14ac:dyDescent="0.25">
      <c r="A2860" s="10"/>
      <c r="B2860" s="10"/>
      <c r="C2860" s="10"/>
      <c r="D2860" s="10"/>
      <c r="E2860" s="10"/>
      <c r="F2860" s="10"/>
      <c r="G2860" s="10"/>
      <c r="H2860" s="10"/>
      <c r="I2860" s="1" t="str">
        <f t="shared" si="132"/>
        <v/>
      </c>
      <c r="J2860" s="1" t="s">
        <v>35</v>
      </c>
      <c r="K2860" s="1" t="str">
        <f t="shared" si="133"/>
        <v/>
      </c>
      <c r="L2860" s="1" t="str">
        <f t="shared" si="134"/>
        <v/>
      </c>
      <c r="M2860" s="1">
        <f>IF(OR(Table1[[#This Row],[Std Nom]]="",Table1[[#This Row],[Std Read]]=""),0,Table1[[#This Row],[Std Nom]]-Table1[[#This Row],[Std Read]])</f>
        <v>0</v>
      </c>
      <c r="N2860" s="1">
        <f>IF(Calculations!$F$5="ACCREDITED 17025 WITH UNCERTAINTIES",$N$10,0)</f>
        <v>0</v>
      </c>
      <c r="Q2860" s="1">
        <f>Table1[[#This Row],[High Tol]]-Table1[[#This Row],[Low Tol]]</f>
        <v>0</v>
      </c>
      <c r="R2860" s="1">
        <f>2*Table1[[#This Row],[Std Error]]</f>
        <v>0</v>
      </c>
      <c r="S2860" s="1" t="str">
        <f>IF(Table1[[#This Row],[High Tol]]="","N/A",IFERROR(ABS(Table1[[#This Row],[Tol Span]]/Table1[[#This Row],[Error Span]]),"N/A"))</f>
        <v>N/A</v>
      </c>
      <c r="T2860" s="1" t="str">
        <f>IF(OR(Table1[[#This Row],[Low Tol]]="",Table1[[#This Row],[High Tol]]=""),"Needs Analysis",IF(Table1[[#This Row],[Ratio]]&gt;=4,"Not Significant",IF(Table1[[#This Row],[Ratio]]&gt;=2,"Semi-Significant","Significant")))</f>
        <v>Needs Analysis</v>
      </c>
      <c r="W2860" s="1">
        <f>IF(Table1[[#This Row],[Cal Type]]&lt;&gt;"ACCREDITED 17025 WITH UNCERTAINTIES",0,"")</f>
        <v>0</v>
      </c>
      <c r="X2860" s="1" t="str">
        <f>IF(Table1[[#This Row],[DUT Read]]="","N/A",Table1[[#This Row],[Std Error]]+Table1[[#This Row],[DUT Read]]+Table1[[#This Row],[DUT Ucty]])</f>
        <v>N/A</v>
      </c>
      <c r="Y2860" s="1" t="str">
        <f>IF(Table1[[#This Row],[Std Read]]="","N/A",Table1[[#This Row],[Std Read]]+Table1[[#This Row],[Std Ucty]])</f>
        <v>N/A</v>
      </c>
      <c r="Z28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0" s="1" t="str">
        <f>IF(Table1[[#This Row],[Spec Type]]="","N/A",Table1[[#This Row],[Spec Type]])</f>
        <v>±</v>
      </c>
      <c r="AC2860" s="1" t="str">
        <f>IF(Table1[[#This Row],[Spec Type2]]="N/A","N/A",IF(AND(Table1[[#This Row],[DUT Adj Read]]&gt;=Table1[[#This Row],[Low Tol]],Table1[[#This Row],[DUT Adj Read]]&lt;=Table1[[#This Row],[High Tol]]),"Pass","Fail"))</f>
        <v>Fail</v>
      </c>
      <c r="AD2860" s="1" t="str">
        <f>IF(AND(Table1[[#This Row],[Spec Type2]]="N/A",Table1[[#This Row],[DUT Adj Read]]="N/A",Table1[[#This Row],[Std Adj Read]]="N/A"),"N/A",IF(Table1[[#This Row],[DUT Adj Read]]="N/A",IF(Table1[[#This Row],[Std Adj Read]]&gt;Table1[[#This Row],[Low Tol]],"Pass","Fail"),IF(Table1[[#This Row],[DUT Adj Read]]&gt;Table1[[#This Row],[Low Tol]],"Pass","Fail")))</f>
        <v>Pass</v>
      </c>
      <c r="AE2860" s="1" t="str">
        <f>IF(AND(Table1[[#This Row],[Spec Type2]]="N/A",Table1[[#This Row],[DUT Adj Read]]="N/A",Table1[[#This Row],[Std Adj Read]]="N/A"),"N/A",IF(Table1[[#This Row],[DUT Adj Read]]="N/A",IF(Table1[[#This Row],[Std Adj Read]]&lt;Table1[[#This Row],[High Tol]],"Pass","Fail"),IF(Table1[[#This Row],[DUT Adj Read]]&lt;Table1[[#This Row],[High Tol]],"Pass","Fail")))</f>
        <v>Fail</v>
      </c>
      <c r="AF2860" s="1" t="str">
        <f>IF(AND(Table1[[#This Row],[Spec Type2]]="N/A",Table1[[#This Row],[DUT Adj Read]]="N/A",Table1[[#This Row],[Std Adj Read]]="N/A"),"N/A",IF(Table1[[#This Row],[DUT Adj Read]]="N/A",IF(Table1[[#This Row],[Std Adj Read]]&gt;=Table1[[#This Row],[Low Tol]],"Pass","Fail"),IF(Table1[[#This Row],[DUT Adj Read]]&gt;=Table1[[#This Row],[Low Tol]],"Pass","Fail")))</f>
        <v>Pass</v>
      </c>
      <c r="AG2860" s="1" t="str">
        <f>IF(AND(Table1[[#This Row],[Spec Type2]]="N/A",Table1[[#This Row],[DUT Adj Read]]="N/A",Table1[[#This Row],[Std Adj Read]]="N/A"),"N/A",IF(Table1[[#This Row],[DUT Adj Read]]="N/A",IF(Table1[[#This Row],[Std Adj Read]]&lt;=Table1[[#This Row],[High Tol]],"Pass","Fail"),IF(Table1[[#This Row],[DUT Adj Read]]&lt;=Table1[[#This Row],[High Tol]],"Pass","Fail")))</f>
        <v>Fail</v>
      </c>
      <c r="AH28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0" s="1" t="b">
        <v>0</v>
      </c>
      <c r="AN2860" s="1" t="b">
        <v>0</v>
      </c>
      <c r="AO2860" s="1" t="b">
        <v>0</v>
      </c>
    </row>
    <row r="2861" spans="1:41" x14ac:dyDescent="0.25">
      <c r="A2861" s="10"/>
      <c r="B2861" s="10"/>
      <c r="C2861" s="10"/>
      <c r="D2861" s="10"/>
      <c r="E2861" s="10"/>
      <c r="F2861" s="10"/>
      <c r="G2861" s="10"/>
      <c r="H2861" s="10"/>
      <c r="I2861" s="1" t="str">
        <f t="shared" si="132"/>
        <v/>
      </c>
      <c r="J2861" s="1" t="s">
        <v>35</v>
      </c>
      <c r="K2861" s="1" t="str">
        <f t="shared" si="133"/>
        <v/>
      </c>
      <c r="L2861" s="1" t="str">
        <f t="shared" si="134"/>
        <v/>
      </c>
      <c r="M2861" s="1">
        <f>IF(OR(Table1[[#This Row],[Std Nom]]="",Table1[[#This Row],[Std Read]]=""),0,Table1[[#This Row],[Std Nom]]-Table1[[#This Row],[Std Read]])</f>
        <v>0</v>
      </c>
      <c r="N2861" s="1">
        <f>IF(Calculations!$F$5="ACCREDITED 17025 WITH UNCERTAINTIES",$N$10,0)</f>
        <v>0</v>
      </c>
      <c r="Q2861" s="1">
        <f>Table1[[#This Row],[High Tol]]-Table1[[#This Row],[Low Tol]]</f>
        <v>0</v>
      </c>
      <c r="R2861" s="1">
        <f>2*Table1[[#This Row],[Std Error]]</f>
        <v>0</v>
      </c>
      <c r="S2861" s="1" t="str">
        <f>IF(Table1[[#This Row],[High Tol]]="","N/A",IFERROR(ABS(Table1[[#This Row],[Tol Span]]/Table1[[#This Row],[Error Span]]),"N/A"))</f>
        <v>N/A</v>
      </c>
      <c r="T2861" s="1" t="str">
        <f>IF(OR(Table1[[#This Row],[Low Tol]]="",Table1[[#This Row],[High Tol]]=""),"Needs Analysis",IF(Table1[[#This Row],[Ratio]]&gt;=4,"Not Significant",IF(Table1[[#This Row],[Ratio]]&gt;=2,"Semi-Significant","Significant")))</f>
        <v>Needs Analysis</v>
      </c>
      <c r="W2861" s="1">
        <f>IF(Table1[[#This Row],[Cal Type]]&lt;&gt;"ACCREDITED 17025 WITH UNCERTAINTIES",0,"")</f>
        <v>0</v>
      </c>
      <c r="X2861" s="1" t="str">
        <f>IF(Table1[[#This Row],[DUT Read]]="","N/A",Table1[[#This Row],[Std Error]]+Table1[[#This Row],[DUT Read]]+Table1[[#This Row],[DUT Ucty]])</f>
        <v>N/A</v>
      </c>
      <c r="Y2861" s="1" t="str">
        <f>IF(Table1[[#This Row],[Std Read]]="","N/A",Table1[[#This Row],[Std Read]]+Table1[[#This Row],[Std Ucty]])</f>
        <v>N/A</v>
      </c>
      <c r="Z28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1" s="1" t="str">
        <f>IF(Table1[[#This Row],[Spec Type]]="","N/A",Table1[[#This Row],[Spec Type]])</f>
        <v>±</v>
      </c>
      <c r="AC2861" s="1" t="str">
        <f>IF(Table1[[#This Row],[Spec Type2]]="N/A","N/A",IF(AND(Table1[[#This Row],[DUT Adj Read]]&gt;=Table1[[#This Row],[Low Tol]],Table1[[#This Row],[DUT Adj Read]]&lt;=Table1[[#This Row],[High Tol]]),"Pass","Fail"))</f>
        <v>Fail</v>
      </c>
      <c r="AD2861" s="1" t="str">
        <f>IF(AND(Table1[[#This Row],[Spec Type2]]="N/A",Table1[[#This Row],[DUT Adj Read]]="N/A",Table1[[#This Row],[Std Adj Read]]="N/A"),"N/A",IF(Table1[[#This Row],[DUT Adj Read]]="N/A",IF(Table1[[#This Row],[Std Adj Read]]&gt;Table1[[#This Row],[Low Tol]],"Pass","Fail"),IF(Table1[[#This Row],[DUT Adj Read]]&gt;Table1[[#This Row],[Low Tol]],"Pass","Fail")))</f>
        <v>Pass</v>
      </c>
      <c r="AE2861" s="1" t="str">
        <f>IF(AND(Table1[[#This Row],[Spec Type2]]="N/A",Table1[[#This Row],[DUT Adj Read]]="N/A",Table1[[#This Row],[Std Adj Read]]="N/A"),"N/A",IF(Table1[[#This Row],[DUT Adj Read]]="N/A",IF(Table1[[#This Row],[Std Adj Read]]&lt;Table1[[#This Row],[High Tol]],"Pass","Fail"),IF(Table1[[#This Row],[DUT Adj Read]]&lt;Table1[[#This Row],[High Tol]],"Pass","Fail")))</f>
        <v>Fail</v>
      </c>
      <c r="AF2861" s="1" t="str">
        <f>IF(AND(Table1[[#This Row],[Spec Type2]]="N/A",Table1[[#This Row],[DUT Adj Read]]="N/A",Table1[[#This Row],[Std Adj Read]]="N/A"),"N/A",IF(Table1[[#This Row],[DUT Adj Read]]="N/A",IF(Table1[[#This Row],[Std Adj Read]]&gt;=Table1[[#This Row],[Low Tol]],"Pass","Fail"),IF(Table1[[#This Row],[DUT Adj Read]]&gt;=Table1[[#This Row],[Low Tol]],"Pass","Fail")))</f>
        <v>Pass</v>
      </c>
      <c r="AG2861" s="1" t="str">
        <f>IF(AND(Table1[[#This Row],[Spec Type2]]="N/A",Table1[[#This Row],[DUT Adj Read]]="N/A",Table1[[#This Row],[Std Adj Read]]="N/A"),"N/A",IF(Table1[[#This Row],[DUT Adj Read]]="N/A",IF(Table1[[#This Row],[Std Adj Read]]&lt;=Table1[[#This Row],[High Tol]],"Pass","Fail"),IF(Table1[[#This Row],[DUT Adj Read]]&lt;=Table1[[#This Row],[High Tol]],"Pass","Fail")))</f>
        <v>Fail</v>
      </c>
      <c r="AH28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1" s="1" t="b">
        <v>0</v>
      </c>
      <c r="AN2861" s="1" t="b">
        <v>0</v>
      </c>
      <c r="AO2861" s="1" t="b">
        <v>0</v>
      </c>
    </row>
    <row r="2862" spans="1:41" x14ac:dyDescent="0.25">
      <c r="A2862" s="10"/>
      <c r="B2862" s="10"/>
      <c r="C2862" s="10"/>
      <c r="D2862" s="10"/>
      <c r="E2862" s="10"/>
      <c r="F2862" s="10"/>
      <c r="G2862" s="10"/>
      <c r="H2862" s="10"/>
      <c r="I2862" s="1" t="str">
        <f t="shared" si="132"/>
        <v/>
      </c>
      <c r="J2862" s="1" t="s">
        <v>35</v>
      </c>
      <c r="K2862" s="1" t="str">
        <f t="shared" si="133"/>
        <v/>
      </c>
      <c r="L2862" s="1" t="str">
        <f t="shared" si="134"/>
        <v/>
      </c>
      <c r="M2862" s="1">
        <f>IF(OR(Table1[[#This Row],[Std Nom]]="",Table1[[#This Row],[Std Read]]=""),0,Table1[[#This Row],[Std Nom]]-Table1[[#This Row],[Std Read]])</f>
        <v>0</v>
      </c>
      <c r="N2862" s="1">
        <f>IF(Calculations!$F$5="ACCREDITED 17025 WITH UNCERTAINTIES",$N$10,0)</f>
        <v>0</v>
      </c>
      <c r="Q2862" s="1">
        <f>Table1[[#This Row],[High Tol]]-Table1[[#This Row],[Low Tol]]</f>
        <v>0</v>
      </c>
      <c r="R2862" s="1">
        <f>2*Table1[[#This Row],[Std Error]]</f>
        <v>0</v>
      </c>
      <c r="S2862" s="1" t="str">
        <f>IF(Table1[[#This Row],[High Tol]]="","N/A",IFERROR(ABS(Table1[[#This Row],[Tol Span]]/Table1[[#This Row],[Error Span]]),"N/A"))</f>
        <v>N/A</v>
      </c>
      <c r="T2862" s="1" t="str">
        <f>IF(OR(Table1[[#This Row],[Low Tol]]="",Table1[[#This Row],[High Tol]]=""),"Needs Analysis",IF(Table1[[#This Row],[Ratio]]&gt;=4,"Not Significant",IF(Table1[[#This Row],[Ratio]]&gt;=2,"Semi-Significant","Significant")))</f>
        <v>Needs Analysis</v>
      </c>
      <c r="W2862" s="1">
        <f>IF(Table1[[#This Row],[Cal Type]]&lt;&gt;"ACCREDITED 17025 WITH UNCERTAINTIES",0,"")</f>
        <v>0</v>
      </c>
      <c r="X2862" s="1" t="str">
        <f>IF(Table1[[#This Row],[DUT Read]]="","N/A",Table1[[#This Row],[Std Error]]+Table1[[#This Row],[DUT Read]]+Table1[[#This Row],[DUT Ucty]])</f>
        <v>N/A</v>
      </c>
      <c r="Y2862" s="1" t="str">
        <f>IF(Table1[[#This Row],[Std Read]]="","N/A",Table1[[#This Row],[Std Read]]+Table1[[#This Row],[Std Ucty]])</f>
        <v>N/A</v>
      </c>
      <c r="Z28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2" s="1" t="str">
        <f>IF(Table1[[#This Row],[Spec Type]]="","N/A",Table1[[#This Row],[Spec Type]])</f>
        <v>±</v>
      </c>
      <c r="AC2862" s="1" t="str">
        <f>IF(Table1[[#This Row],[Spec Type2]]="N/A","N/A",IF(AND(Table1[[#This Row],[DUT Adj Read]]&gt;=Table1[[#This Row],[Low Tol]],Table1[[#This Row],[DUT Adj Read]]&lt;=Table1[[#This Row],[High Tol]]),"Pass","Fail"))</f>
        <v>Fail</v>
      </c>
      <c r="AD2862" s="1" t="str">
        <f>IF(AND(Table1[[#This Row],[Spec Type2]]="N/A",Table1[[#This Row],[DUT Adj Read]]="N/A",Table1[[#This Row],[Std Adj Read]]="N/A"),"N/A",IF(Table1[[#This Row],[DUT Adj Read]]="N/A",IF(Table1[[#This Row],[Std Adj Read]]&gt;Table1[[#This Row],[Low Tol]],"Pass","Fail"),IF(Table1[[#This Row],[DUT Adj Read]]&gt;Table1[[#This Row],[Low Tol]],"Pass","Fail")))</f>
        <v>Pass</v>
      </c>
      <c r="AE2862" s="1" t="str">
        <f>IF(AND(Table1[[#This Row],[Spec Type2]]="N/A",Table1[[#This Row],[DUT Adj Read]]="N/A",Table1[[#This Row],[Std Adj Read]]="N/A"),"N/A",IF(Table1[[#This Row],[DUT Adj Read]]="N/A",IF(Table1[[#This Row],[Std Adj Read]]&lt;Table1[[#This Row],[High Tol]],"Pass","Fail"),IF(Table1[[#This Row],[DUT Adj Read]]&lt;Table1[[#This Row],[High Tol]],"Pass","Fail")))</f>
        <v>Fail</v>
      </c>
      <c r="AF2862" s="1" t="str">
        <f>IF(AND(Table1[[#This Row],[Spec Type2]]="N/A",Table1[[#This Row],[DUT Adj Read]]="N/A",Table1[[#This Row],[Std Adj Read]]="N/A"),"N/A",IF(Table1[[#This Row],[DUT Adj Read]]="N/A",IF(Table1[[#This Row],[Std Adj Read]]&gt;=Table1[[#This Row],[Low Tol]],"Pass","Fail"),IF(Table1[[#This Row],[DUT Adj Read]]&gt;=Table1[[#This Row],[Low Tol]],"Pass","Fail")))</f>
        <v>Pass</v>
      </c>
      <c r="AG2862" s="1" t="str">
        <f>IF(AND(Table1[[#This Row],[Spec Type2]]="N/A",Table1[[#This Row],[DUT Adj Read]]="N/A",Table1[[#This Row],[Std Adj Read]]="N/A"),"N/A",IF(Table1[[#This Row],[DUT Adj Read]]="N/A",IF(Table1[[#This Row],[Std Adj Read]]&lt;=Table1[[#This Row],[High Tol]],"Pass","Fail"),IF(Table1[[#This Row],[DUT Adj Read]]&lt;=Table1[[#This Row],[High Tol]],"Pass","Fail")))</f>
        <v>Fail</v>
      </c>
      <c r="AH28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2" s="1" t="b">
        <v>0</v>
      </c>
      <c r="AN2862" s="1" t="b">
        <v>0</v>
      </c>
      <c r="AO2862" s="1" t="b">
        <v>0</v>
      </c>
    </row>
    <row r="2863" spans="1:41" x14ac:dyDescent="0.25">
      <c r="A2863" s="10"/>
      <c r="B2863" s="10"/>
      <c r="C2863" s="10"/>
      <c r="D2863" s="10"/>
      <c r="E2863" s="10"/>
      <c r="F2863" s="10"/>
      <c r="G2863" s="10"/>
      <c r="H2863" s="10"/>
      <c r="I2863" s="1" t="str">
        <f t="shared" si="132"/>
        <v/>
      </c>
      <c r="J2863" s="1" t="s">
        <v>35</v>
      </c>
      <c r="K2863" s="1" t="str">
        <f t="shared" si="133"/>
        <v/>
      </c>
      <c r="L2863" s="1" t="str">
        <f t="shared" si="134"/>
        <v/>
      </c>
      <c r="M2863" s="1">
        <f>IF(OR(Table1[[#This Row],[Std Nom]]="",Table1[[#This Row],[Std Read]]=""),0,Table1[[#This Row],[Std Nom]]-Table1[[#This Row],[Std Read]])</f>
        <v>0</v>
      </c>
      <c r="N2863" s="1">
        <f>IF(Calculations!$F$5="ACCREDITED 17025 WITH UNCERTAINTIES",$N$10,0)</f>
        <v>0</v>
      </c>
      <c r="Q2863" s="1">
        <f>Table1[[#This Row],[High Tol]]-Table1[[#This Row],[Low Tol]]</f>
        <v>0</v>
      </c>
      <c r="R2863" s="1">
        <f>2*Table1[[#This Row],[Std Error]]</f>
        <v>0</v>
      </c>
      <c r="S2863" s="1" t="str">
        <f>IF(Table1[[#This Row],[High Tol]]="","N/A",IFERROR(ABS(Table1[[#This Row],[Tol Span]]/Table1[[#This Row],[Error Span]]),"N/A"))</f>
        <v>N/A</v>
      </c>
      <c r="T2863" s="1" t="str">
        <f>IF(OR(Table1[[#This Row],[Low Tol]]="",Table1[[#This Row],[High Tol]]=""),"Needs Analysis",IF(Table1[[#This Row],[Ratio]]&gt;=4,"Not Significant",IF(Table1[[#This Row],[Ratio]]&gt;=2,"Semi-Significant","Significant")))</f>
        <v>Needs Analysis</v>
      </c>
      <c r="W2863" s="1">
        <f>IF(Table1[[#This Row],[Cal Type]]&lt;&gt;"ACCREDITED 17025 WITH UNCERTAINTIES",0,"")</f>
        <v>0</v>
      </c>
      <c r="X2863" s="1" t="str">
        <f>IF(Table1[[#This Row],[DUT Read]]="","N/A",Table1[[#This Row],[Std Error]]+Table1[[#This Row],[DUT Read]]+Table1[[#This Row],[DUT Ucty]])</f>
        <v>N/A</v>
      </c>
      <c r="Y2863" s="1" t="str">
        <f>IF(Table1[[#This Row],[Std Read]]="","N/A",Table1[[#This Row],[Std Read]]+Table1[[#This Row],[Std Ucty]])</f>
        <v>N/A</v>
      </c>
      <c r="Z28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3" s="1" t="str">
        <f>IF(Table1[[#This Row],[Spec Type]]="","N/A",Table1[[#This Row],[Spec Type]])</f>
        <v>±</v>
      </c>
      <c r="AC2863" s="1" t="str">
        <f>IF(Table1[[#This Row],[Spec Type2]]="N/A","N/A",IF(AND(Table1[[#This Row],[DUT Adj Read]]&gt;=Table1[[#This Row],[Low Tol]],Table1[[#This Row],[DUT Adj Read]]&lt;=Table1[[#This Row],[High Tol]]),"Pass","Fail"))</f>
        <v>Fail</v>
      </c>
      <c r="AD2863" s="1" t="str">
        <f>IF(AND(Table1[[#This Row],[Spec Type2]]="N/A",Table1[[#This Row],[DUT Adj Read]]="N/A",Table1[[#This Row],[Std Adj Read]]="N/A"),"N/A",IF(Table1[[#This Row],[DUT Adj Read]]="N/A",IF(Table1[[#This Row],[Std Adj Read]]&gt;Table1[[#This Row],[Low Tol]],"Pass","Fail"),IF(Table1[[#This Row],[DUT Adj Read]]&gt;Table1[[#This Row],[Low Tol]],"Pass","Fail")))</f>
        <v>Pass</v>
      </c>
      <c r="AE2863" s="1" t="str">
        <f>IF(AND(Table1[[#This Row],[Spec Type2]]="N/A",Table1[[#This Row],[DUT Adj Read]]="N/A",Table1[[#This Row],[Std Adj Read]]="N/A"),"N/A",IF(Table1[[#This Row],[DUT Adj Read]]="N/A",IF(Table1[[#This Row],[Std Adj Read]]&lt;Table1[[#This Row],[High Tol]],"Pass","Fail"),IF(Table1[[#This Row],[DUT Adj Read]]&lt;Table1[[#This Row],[High Tol]],"Pass","Fail")))</f>
        <v>Fail</v>
      </c>
      <c r="AF2863" s="1" t="str">
        <f>IF(AND(Table1[[#This Row],[Spec Type2]]="N/A",Table1[[#This Row],[DUT Adj Read]]="N/A",Table1[[#This Row],[Std Adj Read]]="N/A"),"N/A",IF(Table1[[#This Row],[DUT Adj Read]]="N/A",IF(Table1[[#This Row],[Std Adj Read]]&gt;=Table1[[#This Row],[Low Tol]],"Pass","Fail"),IF(Table1[[#This Row],[DUT Adj Read]]&gt;=Table1[[#This Row],[Low Tol]],"Pass","Fail")))</f>
        <v>Pass</v>
      </c>
      <c r="AG2863" s="1" t="str">
        <f>IF(AND(Table1[[#This Row],[Spec Type2]]="N/A",Table1[[#This Row],[DUT Adj Read]]="N/A",Table1[[#This Row],[Std Adj Read]]="N/A"),"N/A",IF(Table1[[#This Row],[DUT Adj Read]]="N/A",IF(Table1[[#This Row],[Std Adj Read]]&lt;=Table1[[#This Row],[High Tol]],"Pass","Fail"),IF(Table1[[#This Row],[DUT Adj Read]]&lt;=Table1[[#This Row],[High Tol]],"Pass","Fail")))</f>
        <v>Fail</v>
      </c>
      <c r="AH28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3" s="1" t="b">
        <v>0</v>
      </c>
      <c r="AN2863" s="1" t="b">
        <v>0</v>
      </c>
      <c r="AO2863" s="1" t="b">
        <v>0</v>
      </c>
    </row>
    <row r="2864" spans="1:41" x14ac:dyDescent="0.25">
      <c r="A2864" s="10"/>
      <c r="B2864" s="10"/>
      <c r="C2864" s="10"/>
      <c r="D2864" s="10"/>
      <c r="E2864" s="10"/>
      <c r="F2864" s="10"/>
      <c r="G2864" s="10"/>
      <c r="H2864" s="10"/>
      <c r="I2864" s="1" t="str">
        <f t="shared" si="132"/>
        <v/>
      </c>
      <c r="J2864" s="1" t="s">
        <v>35</v>
      </c>
      <c r="K2864" s="1" t="str">
        <f t="shared" si="133"/>
        <v/>
      </c>
      <c r="L2864" s="1" t="str">
        <f t="shared" si="134"/>
        <v/>
      </c>
      <c r="M2864" s="1">
        <f>IF(OR(Table1[[#This Row],[Std Nom]]="",Table1[[#This Row],[Std Read]]=""),0,Table1[[#This Row],[Std Nom]]-Table1[[#This Row],[Std Read]])</f>
        <v>0</v>
      </c>
      <c r="N2864" s="1">
        <f>IF(Calculations!$F$5="ACCREDITED 17025 WITH UNCERTAINTIES",$N$10,0)</f>
        <v>0</v>
      </c>
      <c r="Q2864" s="1">
        <f>Table1[[#This Row],[High Tol]]-Table1[[#This Row],[Low Tol]]</f>
        <v>0</v>
      </c>
      <c r="R2864" s="1">
        <f>2*Table1[[#This Row],[Std Error]]</f>
        <v>0</v>
      </c>
      <c r="S2864" s="1" t="str">
        <f>IF(Table1[[#This Row],[High Tol]]="","N/A",IFERROR(ABS(Table1[[#This Row],[Tol Span]]/Table1[[#This Row],[Error Span]]),"N/A"))</f>
        <v>N/A</v>
      </c>
      <c r="T2864" s="1" t="str">
        <f>IF(OR(Table1[[#This Row],[Low Tol]]="",Table1[[#This Row],[High Tol]]=""),"Needs Analysis",IF(Table1[[#This Row],[Ratio]]&gt;=4,"Not Significant",IF(Table1[[#This Row],[Ratio]]&gt;=2,"Semi-Significant","Significant")))</f>
        <v>Needs Analysis</v>
      </c>
      <c r="W2864" s="1">
        <f>IF(Table1[[#This Row],[Cal Type]]&lt;&gt;"ACCREDITED 17025 WITH UNCERTAINTIES",0,"")</f>
        <v>0</v>
      </c>
      <c r="X2864" s="1" t="str">
        <f>IF(Table1[[#This Row],[DUT Read]]="","N/A",Table1[[#This Row],[Std Error]]+Table1[[#This Row],[DUT Read]]+Table1[[#This Row],[DUT Ucty]])</f>
        <v>N/A</v>
      </c>
      <c r="Y2864" s="1" t="str">
        <f>IF(Table1[[#This Row],[Std Read]]="","N/A",Table1[[#This Row],[Std Read]]+Table1[[#This Row],[Std Ucty]])</f>
        <v>N/A</v>
      </c>
      <c r="Z28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4" s="1" t="str">
        <f>IF(Table1[[#This Row],[Spec Type]]="","N/A",Table1[[#This Row],[Spec Type]])</f>
        <v>±</v>
      </c>
      <c r="AC2864" s="1" t="str">
        <f>IF(Table1[[#This Row],[Spec Type2]]="N/A","N/A",IF(AND(Table1[[#This Row],[DUT Adj Read]]&gt;=Table1[[#This Row],[Low Tol]],Table1[[#This Row],[DUT Adj Read]]&lt;=Table1[[#This Row],[High Tol]]),"Pass","Fail"))</f>
        <v>Fail</v>
      </c>
      <c r="AD2864" s="1" t="str">
        <f>IF(AND(Table1[[#This Row],[Spec Type2]]="N/A",Table1[[#This Row],[DUT Adj Read]]="N/A",Table1[[#This Row],[Std Adj Read]]="N/A"),"N/A",IF(Table1[[#This Row],[DUT Adj Read]]="N/A",IF(Table1[[#This Row],[Std Adj Read]]&gt;Table1[[#This Row],[Low Tol]],"Pass","Fail"),IF(Table1[[#This Row],[DUT Adj Read]]&gt;Table1[[#This Row],[Low Tol]],"Pass","Fail")))</f>
        <v>Pass</v>
      </c>
      <c r="AE2864" s="1" t="str">
        <f>IF(AND(Table1[[#This Row],[Spec Type2]]="N/A",Table1[[#This Row],[DUT Adj Read]]="N/A",Table1[[#This Row],[Std Adj Read]]="N/A"),"N/A",IF(Table1[[#This Row],[DUT Adj Read]]="N/A",IF(Table1[[#This Row],[Std Adj Read]]&lt;Table1[[#This Row],[High Tol]],"Pass","Fail"),IF(Table1[[#This Row],[DUT Adj Read]]&lt;Table1[[#This Row],[High Tol]],"Pass","Fail")))</f>
        <v>Fail</v>
      </c>
      <c r="AF2864" s="1" t="str">
        <f>IF(AND(Table1[[#This Row],[Spec Type2]]="N/A",Table1[[#This Row],[DUT Adj Read]]="N/A",Table1[[#This Row],[Std Adj Read]]="N/A"),"N/A",IF(Table1[[#This Row],[DUT Adj Read]]="N/A",IF(Table1[[#This Row],[Std Adj Read]]&gt;=Table1[[#This Row],[Low Tol]],"Pass","Fail"),IF(Table1[[#This Row],[DUT Adj Read]]&gt;=Table1[[#This Row],[Low Tol]],"Pass","Fail")))</f>
        <v>Pass</v>
      </c>
      <c r="AG2864" s="1" t="str">
        <f>IF(AND(Table1[[#This Row],[Spec Type2]]="N/A",Table1[[#This Row],[DUT Adj Read]]="N/A",Table1[[#This Row],[Std Adj Read]]="N/A"),"N/A",IF(Table1[[#This Row],[DUT Adj Read]]="N/A",IF(Table1[[#This Row],[Std Adj Read]]&lt;=Table1[[#This Row],[High Tol]],"Pass","Fail"),IF(Table1[[#This Row],[DUT Adj Read]]&lt;=Table1[[#This Row],[High Tol]],"Pass","Fail")))</f>
        <v>Fail</v>
      </c>
      <c r="AH28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4" s="1" t="b">
        <v>0</v>
      </c>
      <c r="AN2864" s="1" t="b">
        <v>0</v>
      </c>
      <c r="AO2864" s="1" t="b">
        <v>0</v>
      </c>
    </row>
    <row r="2865" spans="1:41" x14ac:dyDescent="0.25">
      <c r="A2865" s="10"/>
      <c r="B2865" s="10"/>
      <c r="C2865" s="10"/>
      <c r="D2865" s="10"/>
      <c r="E2865" s="10"/>
      <c r="F2865" s="10"/>
      <c r="G2865" s="10"/>
      <c r="H2865" s="10"/>
      <c r="I2865" s="1" t="str">
        <f t="shared" si="132"/>
        <v/>
      </c>
      <c r="J2865" s="1" t="s">
        <v>35</v>
      </c>
      <c r="K2865" s="1" t="str">
        <f t="shared" si="133"/>
        <v/>
      </c>
      <c r="L2865" s="1" t="str">
        <f t="shared" si="134"/>
        <v/>
      </c>
      <c r="M2865" s="1">
        <f>IF(OR(Table1[[#This Row],[Std Nom]]="",Table1[[#This Row],[Std Read]]=""),0,Table1[[#This Row],[Std Nom]]-Table1[[#This Row],[Std Read]])</f>
        <v>0</v>
      </c>
      <c r="N2865" s="1">
        <f>IF(Calculations!$F$5="ACCREDITED 17025 WITH UNCERTAINTIES",$N$10,0)</f>
        <v>0</v>
      </c>
      <c r="Q2865" s="1">
        <f>Table1[[#This Row],[High Tol]]-Table1[[#This Row],[Low Tol]]</f>
        <v>0</v>
      </c>
      <c r="R2865" s="1">
        <f>2*Table1[[#This Row],[Std Error]]</f>
        <v>0</v>
      </c>
      <c r="S2865" s="1" t="str">
        <f>IF(Table1[[#This Row],[High Tol]]="","N/A",IFERROR(ABS(Table1[[#This Row],[Tol Span]]/Table1[[#This Row],[Error Span]]),"N/A"))</f>
        <v>N/A</v>
      </c>
      <c r="T2865" s="1" t="str">
        <f>IF(OR(Table1[[#This Row],[Low Tol]]="",Table1[[#This Row],[High Tol]]=""),"Needs Analysis",IF(Table1[[#This Row],[Ratio]]&gt;=4,"Not Significant",IF(Table1[[#This Row],[Ratio]]&gt;=2,"Semi-Significant","Significant")))</f>
        <v>Needs Analysis</v>
      </c>
      <c r="W2865" s="1">
        <f>IF(Table1[[#This Row],[Cal Type]]&lt;&gt;"ACCREDITED 17025 WITH UNCERTAINTIES",0,"")</f>
        <v>0</v>
      </c>
      <c r="X2865" s="1" t="str">
        <f>IF(Table1[[#This Row],[DUT Read]]="","N/A",Table1[[#This Row],[Std Error]]+Table1[[#This Row],[DUT Read]]+Table1[[#This Row],[DUT Ucty]])</f>
        <v>N/A</v>
      </c>
      <c r="Y2865" s="1" t="str">
        <f>IF(Table1[[#This Row],[Std Read]]="","N/A",Table1[[#This Row],[Std Read]]+Table1[[#This Row],[Std Ucty]])</f>
        <v>N/A</v>
      </c>
      <c r="Z28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5" s="1" t="str">
        <f>IF(Table1[[#This Row],[Spec Type]]="","N/A",Table1[[#This Row],[Spec Type]])</f>
        <v>±</v>
      </c>
      <c r="AC2865" s="1" t="str">
        <f>IF(Table1[[#This Row],[Spec Type2]]="N/A","N/A",IF(AND(Table1[[#This Row],[DUT Adj Read]]&gt;=Table1[[#This Row],[Low Tol]],Table1[[#This Row],[DUT Adj Read]]&lt;=Table1[[#This Row],[High Tol]]),"Pass","Fail"))</f>
        <v>Fail</v>
      </c>
      <c r="AD2865" s="1" t="str">
        <f>IF(AND(Table1[[#This Row],[Spec Type2]]="N/A",Table1[[#This Row],[DUT Adj Read]]="N/A",Table1[[#This Row],[Std Adj Read]]="N/A"),"N/A",IF(Table1[[#This Row],[DUT Adj Read]]="N/A",IF(Table1[[#This Row],[Std Adj Read]]&gt;Table1[[#This Row],[Low Tol]],"Pass","Fail"),IF(Table1[[#This Row],[DUT Adj Read]]&gt;Table1[[#This Row],[Low Tol]],"Pass","Fail")))</f>
        <v>Pass</v>
      </c>
      <c r="AE2865" s="1" t="str">
        <f>IF(AND(Table1[[#This Row],[Spec Type2]]="N/A",Table1[[#This Row],[DUT Adj Read]]="N/A",Table1[[#This Row],[Std Adj Read]]="N/A"),"N/A",IF(Table1[[#This Row],[DUT Adj Read]]="N/A",IF(Table1[[#This Row],[Std Adj Read]]&lt;Table1[[#This Row],[High Tol]],"Pass","Fail"),IF(Table1[[#This Row],[DUT Adj Read]]&lt;Table1[[#This Row],[High Tol]],"Pass","Fail")))</f>
        <v>Fail</v>
      </c>
      <c r="AF2865" s="1" t="str">
        <f>IF(AND(Table1[[#This Row],[Spec Type2]]="N/A",Table1[[#This Row],[DUT Adj Read]]="N/A",Table1[[#This Row],[Std Adj Read]]="N/A"),"N/A",IF(Table1[[#This Row],[DUT Adj Read]]="N/A",IF(Table1[[#This Row],[Std Adj Read]]&gt;=Table1[[#This Row],[Low Tol]],"Pass","Fail"),IF(Table1[[#This Row],[DUT Adj Read]]&gt;=Table1[[#This Row],[Low Tol]],"Pass","Fail")))</f>
        <v>Pass</v>
      </c>
      <c r="AG2865" s="1" t="str">
        <f>IF(AND(Table1[[#This Row],[Spec Type2]]="N/A",Table1[[#This Row],[DUT Adj Read]]="N/A",Table1[[#This Row],[Std Adj Read]]="N/A"),"N/A",IF(Table1[[#This Row],[DUT Adj Read]]="N/A",IF(Table1[[#This Row],[Std Adj Read]]&lt;=Table1[[#This Row],[High Tol]],"Pass","Fail"),IF(Table1[[#This Row],[DUT Adj Read]]&lt;=Table1[[#This Row],[High Tol]],"Pass","Fail")))</f>
        <v>Fail</v>
      </c>
      <c r="AH28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5" s="1" t="b">
        <v>0</v>
      </c>
      <c r="AN2865" s="1" t="b">
        <v>0</v>
      </c>
      <c r="AO2865" s="1" t="b">
        <v>0</v>
      </c>
    </row>
    <row r="2866" spans="1:41" x14ac:dyDescent="0.25">
      <c r="A2866" s="10"/>
      <c r="B2866" s="10"/>
      <c r="C2866" s="10"/>
      <c r="D2866" s="10"/>
      <c r="E2866" s="10"/>
      <c r="F2866" s="10"/>
      <c r="G2866" s="10"/>
      <c r="H2866" s="10"/>
      <c r="I2866" s="1" t="str">
        <f t="shared" si="132"/>
        <v/>
      </c>
      <c r="J2866" s="1" t="s">
        <v>35</v>
      </c>
      <c r="K2866" s="1" t="str">
        <f t="shared" si="133"/>
        <v/>
      </c>
      <c r="L2866" s="1" t="str">
        <f t="shared" si="134"/>
        <v/>
      </c>
      <c r="M2866" s="1">
        <f>IF(OR(Table1[[#This Row],[Std Nom]]="",Table1[[#This Row],[Std Read]]=""),0,Table1[[#This Row],[Std Nom]]-Table1[[#This Row],[Std Read]])</f>
        <v>0</v>
      </c>
      <c r="N2866" s="1">
        <f>IF(Calculations!$F$5="ACCREDITED 17025 WITH UNCERTAINTIES",$N$10,0)</f>
        <v>0</v>
      </c>
      <c r="Q2866" s="1">
        <f>Table1[[#This Row],[High Tol]]-Table1[[#This Row],[Low Tol]]</f>
        <v>0</v>
      </c>
      <c r="R2866" s="1">
        <f>2*Table1[[#This Row],[Std Error]]</f>
        <v>0</v>
      </c>
      <c r="S2866" s="1" t="str">
        <f>IF(Table1[[#This Row],[High Tol]]="","N/A",IFERROR(ABS(Table1[[#This Row],[Tol Span]]/Table1[[#This Row],[Error Span]]),"N/A"))</f>
        <v>N/A</v>
      </c>
      <c r="T2866" s="1" t="str">
        <f>IF(OR(Table1[[#This Row],[Low Tol]]="",Table1[[#This Row],[High Tol]]=""),"Needs Analysis",IF(Table1[[#This Row],[Ratio]]&gt;=4,"Not Significant",IF(Table1[[#This Row],[Ratio]]&gt;=2,"Semi-Significant","Significant")))</f>
        <v>Needs Analysis</v>
      </c>
      <c r="W2866" s="1">
        <f>IF(Table1[[#This Row],[Cal Type]]&lt;&gt;"ACCREDITED 17025 WITH UNCERTAINTIES",0,"")</f>
        <v>0</v>
      </c>
      <c r="X2866" s="1" t="str">
        <f>IF(Table1[[#This Row],[DUT Read]]="","N/A",Table1[[#This Row],[Std Error]]+Table1[[#This Row],[DUT Read]]+Table1[[#This Row],[DUT Ucty]])</f>
        <v>N/A</v>
      </c>
      <c r="Y2866" s="1" t="str">
        <f>IF(Table1[[#This Row],[Std Read]]="","N/A",Table1[[#This Row],[Std Read]]+Table1[[#This Row],[Std Ucty]])</f>
        <v>N/A</v>
      </c>
      <c r="Z28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6" s="1" t="str">
        <f>IF(Table1[[#This Row],[Spec Type]]="","N/A",Table1[[#This Row],[Spec Type]])</f>
        <v>±</v>
      </c>
      <c r="AC2866" s="1" t="str">
        <f>IF(Table1[[#This Row],[Spec Type2]]="N/A","N/A",IF(AND(Table1[[#This Row],[DUT Adj Read]]&gt;=Table1[[#This Row],[Low Tol]],Table1[[#This Row],[DUT Adj Read]]&lt;=Table1[[#This Row],[High Tol]]),"Pass","Fail"))</f>
        <v>Fail</v>
      </c>
      <c r="AD2866" s="1" t="str">
        <f>IF(AND(Table1[[#This Row],[Spec Type2]]="N/A",Table1[[#This Row],[DUT Adj Read]]="N/A",Table1[[#This Row],[Std Adj Read]]="N/A"),"N/A",IF(Table1[[#This Row],[DUT Adj Read]]="N/A",IF(Table1[[#This Row],[Std Adj Read]]&gt;Table1[[#This Row],[Low Tol]],"Pass","Fail"),IF(Table1[[#This Row],[DUT Adj Read]]&gt;Table1[[#This Row],[Low Tol]],"Pass","Fail")))</f>
        <v>Pass</v>
      </c>
      <c r="AE2866" s="1" t="str">
        <f>IF(AND(Table1[[#This Row],[Spec Type2]]="N/A",Table1[[#This Row],[DUT Adj Read]]="N/A",Table1[[#This Row],[Std Adj Read]]="N/A"),"N/A",IF(Table1[[#This Row],[DUT Adj Read]]="N/A",IF(Table1[[#This Row],[Std Adj Read]]&lt;Table1[[#This Row],[High Tol]],"Pass","Fail"),IF(Table1[[#This Row],[DUT Adj Read]]&lt;Table1[[#This Row],[High Tol]],"Pass","Fail")))</f>
        <v>Fail</v>
      </c>
      <c r="AF2866" s="1" t="str">
        <f>IF(AND(Table1[[#This Row],[Spec Type2]]="N/A",Table1[[#This Row],[DUT Adj Read]]="N/A",Table1[[#This Row],[Std Adj Read]]="N/A"),"N/A",IF(Table1[[#This Row],[DUT Adj Read]]="N/A",IF(Table1[[#This Row],[Std Adj Read]]&gt;=Table1[[#This Row],[Low Tol]],"Pass","Fail"),IF(Table1[[#This Row],[DUT Adj Read]]&gt;=Table1[[#This Row],[Low Tol]],"Pass","Fail")))</f>
        <v>Pass</v>
      </c>
      <c r="AG2866" s="1" t="str">
        <f>IF(AND(Table1[[#This Row],[Spec Type2]]="N/A",Table1[[#This Row],[DUT Adj Read]]="N/A",Table1[[#This Row],[Std Adj Read]]="N/A"),"N/A",IF(Table1[[#This Row],[DUT Adj Read]]="N/A",IF(Table1[[#This Row],[Std Adj Read]]&lt;=Table1[[#This Row],[High Tol]],"Pass","Fail"),IF(Table1[[#This Row],[DUT Adj Read]]&lt;=Table1[[#This Row],[High Tol]],"Pass","Fail")))</f>
        <v>Fail</v>
      </c>
      <c r="AH28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6" s="1" t="b">
        <v>0</v>
      </c>
      <c r="AN2866" s="1" t="b">
        <v>0</v>
      </c>
      <c r="AO2866" s="1" t="b">
        <v>0</v>
      </c>
    </row>
    <row r="2867" spans="1:41" x14ac:dyDescent="0.25">
      <c r="A2867" s="10"/>
      <c r="B2867" s="10"/>
      <c r="C2867" s="10"/>
      <c r="D2867" s="10"/>
      <c r="E2867" s="10"/>
      <c r="F2867" s="10"/>
      <c r="G2867" s="10"/>
      <c r="H2867" s="10"/>
      <c r="I2867" s="1" t="str">
        <f t="shared" si="132"/>
        <v/>
      </c>
      <c r="J2867" s="1" t="s">
        <v>35</v>
      </c>
      <c r="K2867" s="1" t="str">
        <f t="shared" si="133"/>
        <v/>
      </c>
      <c r="L2867" s="1" t="str">
        <f t="shared" si="134"/>
        <v/>
      </c>
      <c r="M2867" s="1">
        <f>IF(OR(Table1[[#This Row],[Std Nom]]="",Table1[[#This Row],[Std Read]]=""),0,Table1[[#This Row],[Std Nom]]-Table1[[#This Row],[Std Read]])</f>
        <v>0</v>
      </c>
      <c r="N2867" s="1">
        <f>IF(Calculations!$F$5="ACCREDITED 17025 WITH UNCERTAINTIES",$N$10,0)</f>
        <v>0</v>
      </c>
      <c r="Q2867" s="1">
        <f>Table1[[#This Row],[High Tol]]-Table1[[#This Row],[Low Tol]]</f>
        <v>0</v>
      </c>
      <c r="R2867" s="1">
        <f>2*Table1[[#This Row],[Std Error]]</f>
        <v>0</v>
      </c>
      <c r="S2867" s="1" t="str">
        <f>IF(Table1[[#This Row],[High Tol]]="","N/A",IFERROR(ABS(Table1[[#This Row],[Tol Span]]/Table1[[#This Row],[Error Span]]),"N/A"))</f>
        <v>N/A</v>
      </c>
      <c r="T2867" s="1" t="str">
        <f>IF(OR(Table1[[#This Row],[Low Tol]]="",Table1[[#This Row],[High Tol]]=""),"Needs Analysis",IF(Table1[[#This Row],[Ratio]]&gt;=4,"Not Significant",IF(Table1[[#This Row],[Ratio]]&gt;=2,"Semi-Significant","Significant")))</f>
        <v>Needs Analysis</v>
      </c>
      <c r="W2867" s="1">
        <f>IF(Table1[[#This Row],[Cal Type]]&lt;&gt;"ACCREDITED 17025 WITH UNCERTAINTIES",0,"")</f>
        <v>0</v>
      </c>
      <c r="X2867" s="1" t="str">
        <f>IF(Table1[[#This Row],[DUT Read]]="","N/A",Table1[[#This Row],[Std Error]]+Table1[[#This Row],[DUT Read]]+Table1[[#This Row],[DUT Ucty]])</f>
        <v>N/A</v>
      </c>
      <c r="Y2867" s="1" t="str">
        <f>IF(Table1[[#This Row],[Std Read]]="","N/A",Table1[[#This Row],[Std Read]]+Table1[[#This Row],[Std Ucty]])</f>
        <v>N/A</v>
      </c>
      <c r="Z28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7" s="1" t="str">
        <f>IF(Table1[[#This Row],[Spec Type]]="","N/A",Table1[[#This Row],[Spec Type]])</f>
        <v>±</v>
      </c>
      <c r="AC2867" s="1" t="str">
        <f>IF(Table1[[#This Row],[Spec Type2]]="N/A","N/A",IF(AND(Table1[[#This Row],[DUT Adj Read]]&gt;=Table1[[#This Row],[Low Tol]],Table1[[#This Row],[DUT Adj Read]]&lt;=Table1[[#This Row],[High Tol]]),"Pass","Fail"))</f>
        <v>Fail</v>
      </c>
      <c r="AD2867" s="1" t="str">
        <f>IF(AND(Table1[[#This Row],[Spec Type2]]="N/A",Table1[[#This Row],[DUT Adj Read]]="N/A",Table1[[#This Row],[Std Adj Read]]="N/A"),"N/A",IF(Table1[[#This Row],[DUT Adj Read]]="N/A",IF(Table1[[#This Row],[Std Adj Read]]&gt;Table1[[#This Row],[Low Tol]],"Pass","Fail"),IF(Table1[[#This Row],[DUT Adj Read]]&gt;Table1[[#This Row],[Low Tol]],"Pass","Fail")))</f>
        <v>Pass</v>
      </c>
      <c r="AE2867" s="1" t="str">
        <f>IF(AND(Table1[[#This Row],[Spec Type2]]="N/A",Table1[[#This Row],[DUT Adj Read]]="N/A",Table1[[#This Row],[Std Adj Read]]="N/A"),"N/A",IF(Table1[[#This Row],[DUT Adj Read]]="N/A",IF(Table1[[#This Row],[Std Adj Read]]&lt;Table1[[#This Row],[High Tol]],"Pass","Fail"),IF(Table1[[#This Row],[DUT Adj Read]]&lt;Table1[[#This Row],[High Tol]],"Pass","Fail")))</f>
        <v>Fail</v>
      </c>
      <c r="AF2867" s="1" t="str">
        <f>IF(AND(Table1[[#This Row],[Spec Type2]]="N/A",Table1[[#This Row],[DUT Adj Read]]="N/A",Table1[[#This Row],[Std Adj Read]]="N/A"),"N/A",IF(Table1[[#This Row],[DUT Adj Read]]="N/A",IF(Table1[[#This Row],[Std Adj Read]]&gt;=Table1[[#This Row],[Low Tol]],"Pass","Fail"),IF(Table1[[#This Row],[DUT Adj Read]]&gt;=Table1[[#This Row],[Low Tol]],"Pass","Fail")))</f>
        <v>Pass</v>
      </c>
      <c r="AG2867" s="1" t="str">
        <f>IF(AND(Table1[[#This Row],[Spec Type2]]="N/A",Table1[[#This Row],[DUT Adj Read]]="N/A",Table1[[#This Row],[Std Adj Read]]="N/A"),"N/A",IF(Table1[[#This Row],[DUT Adj Read]]="N/A",IF(Table1[[#This Row],[Std Adj Read]]&lt;=Table1[[#This Row],[High Tol]],"Pass","Fail"),IF(Table1[[#This Row],[DUT Adj Read]]&lt;=Table1[[#This Row],[High Tol]],"Pass","Fail")))</f>
        <v>Fail</v>
      </c>
      <c r="AH28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7" s="1" t="b">
        <v>0</v>
      </c>
      <c r="AN2867" s="1" t="b">
        <v>0</v>
      </c>
      <c r="AO2867" s="1" t="b">
        <v>0</v>
      </c>
    </row>
    <row r="2868" spans="1:41" x14ac:dyDescent="0.25">
      <c r="A2868" s="10"/>
      <c r="B2868" s="10"/>
      <c r="C2868" s="10"/>
      <c r="D2868" s="10"/>
      <c r="E2868" s="10"/>
      <c r="F2868" s="10"/>
      <c r="G2868" s="10"/>
      <c r="H2868" s="10"/>
      <c r="I2868" s="1" t="str">
        <f t="shared" si="132"/>
        <v/>
      </c>
      <c r="J2868" s="1" t="s">
        <v>35</v>
      </c>
      <c r="K2868" s="1" t="str">
        <f t="shared" si="133"/>
        <v/>
      </c>
      <c r="L2868" s="1" t="str">
        <f t="shared" si="134"/>
        <v/>
      </c>
      <c r="M2868" s="1">
        <f>IF(OR(Table1[[#This Row],[Std Nom]]="",Table1[[#This Row],[Std Read]]=""),0,Table1[[#This Row],[Std Nom]]-Table1[[#This Row],[Std Read]])</f>
        <v>0</v>
      </c>
      <c r="N2868" s="1">
        <f>IF(Calculations!$F$5="ACCREDITED 17025 WITH UNCERTAINTIES",$N$10,0)</f>
        <v>0</v>
      </c>
      <c r="Q2868" s="1">
        <f>Table1[[#This Row],[High Tol]]-Table1[[#This Row],[Low Tol]]</f>
        <v>0</v>
      </c>
      <c r="R2868" s="1">
        <f>2*Table1[[#This Row],[Std Error]]</f>
        <v>0</v>
      </c>
      <c r="S2868" s="1" t="str">
        <f>IF(Table1[[#This Row],[High Tol]]="","N/A",IFERROR(ABS(Table1[[#This Row],[Tol Span]]/Table1[[#This Row],[Error Span]]),"N/A"))</f>
        <v>N/A</v>
      </c>
      <c r="T2868" s="1" t="str">
        <f>IF(OR(Table1[[#This Row],[Low Tol]]="",Table1[[#This Row],[High Tol]]=""),"Needs Analysis",IF(Table1[[#This Row],[Ratio]]&gt;=4,"Not Significant",IF(Table1[[#This Row],[Ratio]]&gt;=2,"Semi-Significant","Significant")))</f>
        <v>Needs Analysis</v>
      </c>
      <c r="W2868" s="1">
        <f>IF(Table1[[#This Row],[Cal Type]]&lt;&gt;"ACCREDITED 17025 WITH UNCERTAINTIES",0,"")</f>
        <v>0</v>
      </c>
      <c r="X2868" s="1" t="str">
        <f>IF(Table1[[#This Row],[DUT Read]]="","N/A",Table1[[#This Row],[Std Error]]+Table1[[#This Row],[DUT Read]]+Table1[[#This Row],[DUT Ucty]])</f>
        <v>N/A</v>
      </c>
      <c r="Y2868" s="1" t="str">
        <f>IF(Table1[[#This Row],[Std Read]]="","N/A",Table1[[#This Row],[Std Read]]+Table1[[#This Row],[Std Ucty]])</f>
        <v>N/A</v>
      </c>
      <c r="Z28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8" s="1" t="str">
        <f>IF(Table1[[#This Row],[Spec Type]]="","N/A",Table1[[#This Row],[Spec Type]])</f>
        <v>±</v>
      </c>
      <c r="AC2868" s="1" t="str">
        <f>IF(Table1[[#This Row],[Spec Type2]]="N/A","N/A",IF(AND(Table1[[#This Row],[DUT Adj Read]]&gt;=Table1[[#This Row],[Low Tol]],Table1[[#This Row],[DUT Adj Read]]&lt;=Table1[[#This Row],[High Tol]]),"Pass","Fail"))</f>
        <v>Fail</v>
      </c>
      <c r="AD2868" s="1" t="str">
        <f>IF(AND(Table1[[#This Row],[Spec Type2]]="N/A",Table1[[#This Row],[DUT Adj Read]]="N/A",Table1[[#This Row],[Std Adj Read]]="N/A"),"N/A",IF(Table1[[#This Row],[DUT Adj Read]]="N/A",IF(Table1[[#This Row],[Std Adj Read]]&gt;Table1[[#This Row],[Low Tol]],"Pass","Fail"),IF(Table1[[#This Row],[DUT Adj Read]]&gt;Table1[[#This Row],[Low Tol]],"Pass","Fail")))</f>
        <v>Pass</v>
      </c>
      <c r="AE2868" s="1" t="str">
        <f>IF(AND(Table1[[#This Row],[Spec Type2]]="N/A",Table1[[#This Row],[DUT Adj Read]]="N/A",Table1[[#This Row],[Std Adj Read]]="N/A"),"N/A",IF(Table1[[#This Row],[DUT Adj Read]]="N/A",IF(Table1[[#This Row],[Std Adj Read]]&lt;Table1[[#This Row],[High Tol]],"Pass","Fail"),IF(Table1[[#This Row],[DUT Adj Read]]&lt;Table1[[#This Row],[High Tol]],"Pass","Fail")))</f>
        <v>Fail</v>
      </c>
      <c r="AF2868" s="1" t="str">
        <f>IF(AND(Table1[[#This Row],[Spec Type2]]="N/A",Table1[[#This Row],[DUT Adj Read]]="N/A",Table1[[#This Row],[Std Adj Read]]="N/A"),"N/A",IF(Table1[[#This Row],[DUT Adj Read]]="N/A",IF(Table1[[#This Row],[Std Adj Read]]&gt;=Table1[[#This Row],[Low Tol]],"Pass","Fail"),IF(Table1[[#This Row],[DUT Adj Read]]&gt;=Table1[[#This Row],[Low Tol]],"Pass","Fail")))</f>
        <v>Pass</v>
      </c>
      <c r="AG2868" s="1" t="str">
        <f>IF(AND(Table1[[#This Row],[Spec Type2]]="N/A",Table1[[#This Row],[DUT Adj Read]]="N/A",Table1[[#This Row],[Std Adj Read]]="N/A"),"N/A",IF(Table1[[#This Row],[DUT Adj Read]]="N/A",IF(Table1[[#This Row],[Std Adj Read]]&lt;=Table1[[#This Row],[High Tol]],"Pass","Fail"),IF(Table1[[#This Row],[DUT Adj Read]]&lt;=Table1[[#This Row],[High Tol]],"Pass","Fail")))</f>
        <v>Fail</v>
      </c>
      <c r="AH28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8" s="1" t="b">
        <v>0</v>
      </c>
      <c r="AN2868" s="1" t="b">
        <v>0</v>
      </c>
      <c r="AO2868" s="1" t="b">
        <v>0</v>
      </c>
    </row>
    <row r="2869" spans="1:41" x14ac:dyDescent="0.25">
      <c r="A2869" s="10"/>
      <c r="B2869" s="10"/>
      <c r="C2869" s="10"/>
      <c r="D2869" s="10"/>
      <c r="E2869" s="10"/>
      <c r="F2869" s="10"/>
      <c r="G2869" s="10"/>
      <c r="H2869" s="10"/>
      <c r="I2869" s="1" t="str">
        <f t="shared" si="132"/>
        <v/>
      </c>
      <c r="J2869" s="1" t="s">
        <v>35</v>
      </c>
      <c r="K2869" s="1" t="str">
        <f t="shared" si="133"/>
        <v/>
      </c>
      <c r="L2869" s="1" t="str">
        <f t="shared" si="134"/>
        <v/>
      </c>
      <c r="M2869" s="1">
        <f>IF(OR(Table1[[#This Row],[Std Nom]]="",Table1[[#This Row],[Std Read]]=""),0,Table1[[#This Row],[Std Nom]]-Table1[[#This Row],[Std Read]])</f>
        <v>0</v>
      </c>
      <c r="N2869" s="1">
        <f>IF(Calculations!$F$5="ACCREDITED 17025 WITH UNCERTAINTIES",$N$10,0)</f>
        <v>0</v>
      </c>
      <c r="Q2869" s="1">
        <f>Table1[[#This Row],[High Tol]]-Table1[[#This Row],[Low Tol]]</f>
        <v>0</v>
      </c>
      <c r="R2869" s="1">
        <f>2*Table1[[#This Row],[Std Error]]</f>
        <v>0</v>
      </c>
      <c r="S2869" s="1" t="str">
        <f>IF(Table1[[#This Row],[High Tol]]="","N/A",IFERROR(ABS(Table1[[#This Row],[Tol Span]]/Table1[[#This Row],[Error Span]]),"N/A"))</f>
        <v>N/A</v>
      </c>
      <c r="T2869" s="1" t="str">
        <f>IF(OR(Table1[[#This Row],[Low Tol]]="",Table1[[#This Row],[High Tol]]=""),"Needs Analysis",IF(Table1[[#This Row],[Ratio]]&gt;=4,"Not Significant",IF(Table1[[#This Row],[Ratio]]&gt;=2,"Semi-Significant","Significant")))</f>
        <v>Needs Analysis</v>
      </c>
      <c r="W2869" s="1">
        <f>IF(Table1[[#This Row],[Cal Type]]&lt;&gt;"ACCREDITED 17025 WITH UNCERTAINTIES",0,"")</f>
        <v>0</v>
      </c>
      <c r="X2869" s="1" t="str">
        <f>IF(Table1[[#This Row],[DUT Read]]="","N/A",Table1[[#This Row],[Std Error]]+Table1[[#This Row],[DUT Read]]+Table1[[#This Row],[DUT Ucty]])</f>
        <v>N/A</v>
      </c>
      <c r="Y2869" s="1" t="str">
        <f>IF(Table1[[#This Row],[Std Read]]="","N/A",Table1[[#This Row],[Std Read]]+Table1[[#This Row],[Std Ucty]])</f>
        <v>N/A</v>
      </c>
      <c r="Z28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69" s="1" t="str">
        <f>IF(Table1[[#This Row],[Spec Type]]="","N/A",Table1[[#This Row],[Spec Type]])</f>
        <v>±</v>
      </c>
      <c r="AC2869" s="1" t="str">
        <f>IF(Table1[[#This Row],[Spec Type2]]="N/A","N/A",IF(AND(Table1[[#This Row],[DUT Adj Read]]&gt;=Table1[[#This Row],[Low Tol]],Table1[[#This Row],[DUT Adj Read]]&lt;=Table1[[#This Row],[High Tol]]),"Pass","Fail"))</f>
        <v>Fail</v>
      </c>
      <c r="AD2869" s="1" t="str">
        <f>IF(AND(Table1[[#This Row],[Spec Type2]]="N/A",Table1[[#This Row],[DUT Adj Read]]="N/A",Table1[[#This Row],[Std Adj Read]]="N/A"),"N/A",IF(Table1[[#This Row],[DUT Adj Read]]="N/A",IF(Table1[[#This Row],[Std Adj Read]]&gt;Table1[[#This Row],[Low Tol]],"Pass","Fail"),IF(Table1[[#This Row],[DUT Adj Read]]&gt;Table1[[#This Row],[Low Tol]],"Pass","Fail")))</f>
        <v>Pass</v>
      </c>
      <c r="AE2869" s="1" t="str">
        <f>IF(AND(Table1[[#This Row],[Spec Type2]]="N/A",Table1[[#This Row],[DUT Adj Read]]="N/A",Table1[[#This Row],[Std Adj Read]]="N/A"),"N/A",IF(Table1[[#This Row],[DUT Adj Read]]="N/A",IF(Table1[[#This Row],[Std Adj Read]]&lt;Table1[[#This Row],[High Tol]],"Pass","Fail"),IF(Table1[[#This Row],[DUT Adj Read]]&lt;Table1[[#This Row],[High Tol]],"Pass","Fail")))</f>
        <v>Fail</v>
      </c>
      <c r="AF2869" s="1" t="str">
        <f>IF(AND(Table1[[#This Row],[Spec Type2]]="N/A",Table1[[#This Row],[DUT Adj Read]]="N/A",Table1[[#This Row],[Std Adj Read]]="N/A"),"N/A",IF(Table1[[#This Row],[DUT Adj Read]]="N/A",IF(Table1[[#This Row],[Std Adj Read]]&gt;=Table1[[#This Row],[Low Tol]],"Pass","Fail"),IF(Table1[[#This Row],[DUT Adj Read]]&gt;=Table1[[#This Row],[Low Tol]],"Pass","Fail")))</f>
        <v>Pass</v>
      </c>
      <c r="AG2869" s="1" t="str">
        <f>IF(AND(Table1[[#This Row],[Spec Type2]]="N/A",Table1[[#This Row],[DUT Adj Read]]="N/A",Table1[[#This Row],[Std Adj Read]]="N/A"),"N/A",IF(Table1[[#This Row],[DUT Adj Read]]="N/A",IF(Table1[[#This Row],[Std Adj Read]]&lt;=Table1[[#This Row],[High Tol]],"Pass","Fail"),IF(Table1[[#This Row],[DUT Adj Read]]&lt;=Table1[[#This Row],[High Tol]],"Pass","Fail")))</f>
        <v>Fail</v>
      </c>
      <c r="AH28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69" s="1" t="b">
        <v>0</v>
      </c>
      <c r="AN2869" s="1" t="b">
        <v>0</v>
      </c>
      <c r="AO2869" s="1" t="b">
        <v>0</v>
      </c>
    </row>
    <row r="2870" spans="1:41" x14ac:dyDescent="0.25">
      <c r="A2870" s="10"/>
      <c r="B2870" s="10"/>
      <c r="C2870" s="10"/>
      <c r="D2870" s="10"/>
      <c r="E2870" s="10"/>
      <c r="F2870" s="10"/>
      <c r="G2870" s="10"/>
      <c r="H2870" s="10"/>
      <c r="I2870" s="1" t="str">
        <f t="shared" si="132"/>
        <v/>
      </c>
      <c r="J2870" s="1" t="s">
        <v>35</v>
      </c>
      <c r="K2870" s="1" t="str">
        <f t="shared" si="133"/>
        <v/>
      </c>
      <c r="L2870" s="1" t="str">
        <f t="shared" si="134"/>
        <v/>
      </c>
      <c r="M2870" s="1">
        <f>IF(OR(Table1[[#This Row],[Std Nom]]="",Table1[[#This Row],[Std Read]]=""),0,Table1[[#This Row],[Std Nom]]-Table1[[#This Row],[Std Read]])</f>
        <v>0</v>
      </c>
      <c r="N2870" s="1">
        <f>IF(Calculations!$F$5="ACCREDITED 17025 WITH UNCERTAINTIES",$N$10,0)</f>
        <v>0</v>
      </c>
      <c r="Q2870" s="1">
        <f>Table1[[#This Row],[High Tol]]-Table1[[#This Row],[Low Tol]]</f>
        <v>0</v>
      </c>
      <c r="R2870" s="1">
        <f>2*Table1[[#This Row],[Std Error]]</f>
        <v>0</v>
      </c>
      <c r="S2870" s="1" t="str">
        <f>IF(Table1[[#This Row],[High Tol]]="","N/A",IFERROR(ABS(Table1[[#This Row],[Tol Span]]/Table1[[#This Row],[Error Span]]),"N/A"))</f>
        <v>N/A</v>
      </c>
      <c r="T2870" s="1" t="str">
        <f>IF(OR(Table1[[#This Row],[Low Tol]]="",Table1[[#This Row],[High Tol]]=""),"Needs Analysis",IF(Table1[[#This Row],[Ratio]]&gt;=4,"Not Significant",IF(Table1[[#This Row],[Ratio]]&gt;=2,"Semi-Significant","Significant")))</f>
        <v>Needs Analysis</v>
      </c>
      <c r="W2870" s="1">
        <f>IF(Table1[[#This Row],[Cal Type]]&lt;&gt;"ACCREDITED 17025 WITH UNCERTAINTIES",0,"")</f>
        <v>0</v>
      </c>
      <c r="X2870" s="1" t="str">
        <f>IF(Table1[[#This Row],[DUT Read]]="","N/A",Table1[[#This Row],[Std Error]]+Table1[[#This Row],[DUT Read]]+Table1[[#This Row],[DUT Ucty]])</f>
        <v>N/A</v>
      </c>
      <c r="Y2870" s="1" t="str">
        <f>IF(Table1[[#This Row],[Std Read]]="","N/A",Table1[[#This Row],[Std Read]]+Table1[[#This Row],[Std Ucty]])</f>
        <v>N/A</v>
      </c>
      <c r="Z28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0" s="1" t="str">
        <f>IF(Table1[[#This Row],[Spec Type]]="","N/A",Table1[[#This Row],[Spec Type]])</f>
        <v>±</v>
      </c>
      <c r="AC2870" s="1" t="str">
        <f>IF(Table1[[#This Row],[Spec Type2]]="N/A","N/A",IF(AND(Table1[[#This Row],[DUT Adj Read]]&gt;=Table1[[#This Row],[Low Tol]],Table1[[#This Row],[DUT Adj Read]]&lt;=Table1[[#This Row],[High Tol]]),"Pass","Fail"))</f>
        <v>Fail</v>
      </c>
      <c r="AD2870" s="1" t="str">
        <f>IF(AND(Table1[[#This Row],[Spec Type2]]="N/A",Table1[[#This Row],[DUT Adj Read]]="N/A",Table1[[#This Row],[Std Adj Read]]="N/A"),"N/A",IF(Table1[[#This Row],[DUT Adj Read]]="N/A",IF(Table1[[#This Row],[Std Adj Read]]&gt;Table1[[#This Row],[Low Tol]],"Pass","Fail"),IF(Table1[[#This Row],[DUT Adj Read]]&gt;Table1[[#This Row],[Low Tol]],"Pass","Fail")))</f>
        <v>Pass</v>
      </c>
      <c r="AE2870" s="1" t="str">
        <f>IF(AND(Table1[[#This Row],[Spec Type2]]="N/A",Table1[[#This Row],[DUT Adj Read]]="N/A",Table1[[#This Row],[Std Adj Read]]="N/A"),"N/A",IF(Table1[[#This Row],[DUT Adj Read]]="N/A",IF(Table1[[#This Row],[Std Adj Read]]&lt;Table1[[#This Row],[High Tol]],"Pass","Fail"),IF(Table1[[#This Row],[DUT Adj Read]]&lt;Table1[[#This Row],[High Tol]],"Pass","Fail")))</f>
        <v>Fail</v>
      </c>
      <c r="AF2870" s="1" t="str">
        <f>IF(AND(Table1[[#This Row],[Spec Type2]]="N/A",Table1[[#This Row],[DUT Adj Read]]="N/A",Table1[[#This Row],[Std Adj Read]]="N/A"),"N/A",IF(Table1[[#This Row],[DUT Adj Read]]="N/A",IF(Table1[[#This Row],[Std Adj Read]]&gt;=Table1[[#This Row],[Low Tol]],"Pass","Fail"),IF(Table1[[#This Row],[DUT Adj Read]]&gt;=Table1[[#This Row],[Low Tol]],"Pass","Fail")))</f>
        <v>Pass</v>
      </c>
      <c r="AG2870" s="1" t="str">
        <f>IF(AND(Table1[[#This Row],[Spec Type2]]="N/A",Table1[[#This Row],[DUT Adj Read]]="N/A",Table1[[#This Row],[Std Adj Read]]="N/A"),"N/A",IF(Table1[[#This Row],[DUT Adj Read]]="N/A",IF(Table1[[#This Row],[Std Adj Read]]&lt;=Table1[[#This Row],[High Tol]],"Pass","Fail"),IF(Table1[[#This Row],[DUT Adj Read]]&lt;=Table1[[#This Row],[High Tol]],"Pass","Fail")))</f>
        <v>Fail</v>
      </c>
      <c r="AH28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0" s="1" t="b">
        <v>0</v>
      </c>
      <c r="AN2870" s="1" t="b">
        <v>0</v>
      </c>
      <c r="AO2870" s="1" t="b">
        <v>0</v>
      </c>
    </row>
    <row r="2871" spans="1:41" x14ac:dyDescent="0.25">
      <c r="A2871" s="10"/>
      <c r="B2871" s="10"/>
      <c r="C2871" s="10"/>
      <c r="D2871" s="10"/>
      <c r="E2871" s="10"/>
      <c r="F2871" s="10"/>
      <c r="G2871" s="10"/>
      <c r="H2871" s="10"/>
      <c r="I2871" s="1" t="str">
        <f t="shared" si="132"/>
        <v/>
      </c>
      <c r="J2871" s="1" t="s">
        <v>35</v>
      </c>
      <c r="K2871" s="1" t="str">
        <f t="shared" si="133"/>
        <v/>
      </c>
      <c r="L2871" s="1" t="str">
        <f t="shared" si="134"/>
        <v/>
      </c>
      <c r="M2871" s="1">
        <f>IF(OR(Table1[[#This Row],[Std Nom]]="",Table1[[#This Row],[Std Read]]=""),0,Table1[[#This Row],[Std Nom]]-Table1[[#This Row],[Std Read]])</f>
        <v>0</v>
      </c>
      <c r="N2871" s="1">
        <f>IF(Calculations!$F$5="ACCREDITED 17025 WITH UNCERTAINTIES",$N$10,0)</f>
        <v>0</v>
      </c>
      <c r="Q2871" s="1">
        <f>Table1[[#This Row],[High Tol]]-Table1[[#This Row],[Low Tol]]</f>
        <v>0</v>
      </c>
      <c r="R2871" s="1">
        <f>2*Table1[[#This Row],[Std Error]]</f>
        <v>0</v>
      </c>
      <c r="S2871" s="1" t="str">
        <f>IF(Table1[[#This Row],[High Tol]]="","N/A",IFERROR(ABS(Table1[[#This Row],[Tol Span]]/Table1[[#This Row],[Error Span]]),"N/A"))</f>
        <v>N/A</v>
      </c>
      <c r="T2871" s="1" t="str">
        <f>IF(OR(Table1[[#This Row],[Low Tol]]="",Table1[[#This Row],[High Tol]]=""),"Needs Analysis",IF(Table1[[#This Row],[Ratio]]&gt;=4,"Not Significant",IF(Table1[[#This Row],[Ratio]]&gt;=2,"Semi-Significant","Significant")))</f>
        <v>Needs Analysis</v>
      </c>
      <c r="W2871" s="1">
        <f>IF(Table1[[#This Row],[Cal Type]]&lt;&gt;"ACCREDITED 17025 WITH UNCERTAINTIES",0,"")</f>
        <v>0</v>
      </c>
      <c r="X2871" s="1" t="str">
        <f>IF(Table1[[#This Row],[DUT Read]]="","N/A",Table1[[#This Row],[Std Error]]+Table1[[#This Row],[DUT Read]]+Table1[[#This Row],[DUT Ucty]])</f>
        <v>N/A</v>
      </c>
      <c r="Y2871" s="1" t="str">
        <f>IF(Table1[[#This Row],[Std Read]]="","N/A",Table1[[#This Row],[Std Read]]+Table1[[#This Row],[Std Ucty]])</f>
        <v>N/A</v>
      </c>
      <c r="Z28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1" s="1" t="str">
        <f>IF(Table1[[#This Row],[Spec Type]]="","N/A",Table1[[#This Row],[Spec Type]])</f>
        <v>±</v>
      </c>
      <c r="AC2871" s="1" t="str">
        <f>IF(Table1[[#This Row],[Spec Type2]]="N/A","N/A",IF(AND(Table1[[#This Row],[DUT Adj Read]]&gt;=Table1[[#This Row],[Low Tol]],Table1[[#This Row],[DUT Adj Read]]&lt;=Table1[[#This Row],[High Tol]]),"Pass","Fail"))</f>
        <v>Fail</v>
      </c>
      <c r="AD2871" s="1" t="str">
        <f>IF(AND(Table1[[#This Row],[Spec Type2]]="N/A",Table1[[#This Row],[DUT Adj Read]]="N/A",Table1[[#This Row],[Std Adj Read]]="N/A"),"N/A",IF(Table1[[#This Row],[DUT Adj Read]]="N/A",IF(Table1[[#This Row],[Std Adj Read]]&gt;Table1[[#This Row],[Low Tol]],"Pass","Fail"),IF(Table1[[#This Row],[DUT Adj Read]]&gt;Table1[[#This Row],[Low Tol]],"Pass","Fail")))</f>
        <v>Pass</v>
      </c>
      <c r="AE2871" s="1" t="str">
        <f>IF(AND(Table1[[#This Row],[Spec Type2]]="N/A",Table1[[#This Row],[DUT Adj Read]]="N/A",Table1[[#This Row],[Std Adj Read]]="N/A"),"N/A",IF(Table1[[#This Row],[DUT Adj Read]]="N/A",IF(Table1[[#This Row],[Std Adj Read]]&lt;Table1[[#This Row],[High Tol]],"Pass","Fail"),IF(Table1[[#This Row],[DUT Adj Read]]&lt;Table1[[#This Row],[High Tol]],"Pass","Fail")))</f>
        <v>Fail</v>
      </c>
      <c r="AF2871" s="1" t="str">
        <f>IF(AND(Table1[[#This Row],[Spec Type2]]="N/A",Table1[[#This Row],[DUT Adj Read]]="N/A",Table1[[#This Row],[Std Adj Read]]="N/A"),"N/A",IF(Table1[[#This Row],[DUT Adj Read]]="N/A",IF(Table1[[#This Row],[Std Adj Read]]&gt;=Table1[[#This Row],[Low Tol]],"Pass","Fail"),IF(Table1[[#This Row],[DUT Adj Read]]&gt;=Table1[[#This Row],[Low Tol]],"Pass","Fail")))</f>
        <v>Pass</v>
      </c>
      <c r="AG2871" s="1" t="str">
        <f>IF(AND(Table1[[#This Row],[Spec Type2]]="N/A",Table1[[#This Row],[DUT Adj Read]]="N/A",Table1[[#This Row],[Std Adj Read]]="N/A"),"N/A",IF(Table1[[#This Row],[DUT Adj Read]]="N/A",IF(Table1[[#This Row],[Std Adj Read]]&lt;=Table1[[#This Row],[High Tol]],"Pass","Fail"),IF(Table1[[#This Row],[DUT Adj Read]]&lt;=Table1[[#This Row],[High Tol]],"Pass","Fail")))</f>
        <v>Fail</v>
      </c>
      <c r="AH28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1" s="1" t="b">
        <v>0</v>
      </c>
      <c r="AN2871" s="1" t="b">
        <v>0</v>
      </c>
      <c r="AO2871" s="1" t="b">
        <v>0</v>
      </c>
    </row>
    <row r="2872" spans="1:41" x14ac:dyDescent="0.25">
      <c r="A2872" s="10"/>
      <c r="B2872" s="10"/>
      <c r="C2872" s="10"/>
      <c r="D2872" s="10"/>
      <c r="E2872" s="10"/>
      <c r="F2872" s="10"/>
      <c r="G2872" s="10"/>
      <c r="H2872" s="10"/>
      <c r="I2872" s="1" t="str">
        <f t="shared" si="132"/>
        <v/>
      </c>
      <c r="J2872" s="1" t="s">
        <v>35</v>
      </c>
      <c r="K2872" s="1" t="str">
        <f t="shared" si="133"/>
        <v/>
      </c>
      <c r="L2872" s="1" t="str">
        <f t="shared" si="134"/>
        <v/>
      </c>
      <c r="M2872" s="1">
        <f>IF(OR(Table1[[#This Row],[Std Nom]]="",Table1[[#This Row],[Std Read]]=""),0,Table1[[#This Row],[Std Nom]]-Table1[[#This Row],[Std Read]])</f>
        <v>0</v>
      </c>
      <c r="N2872" s="1">
        <f>IF(Calculations!$F$5="ACCREDITED 17025 WITH UNCERTAINTIES",$N$10,0)</f>
        <v>0</v>
      </c>
      <c r="Q2872" s="1">
        <f>Table1[[#This Row],[High Tol]]-Table1[[#This Row],[Low Tol]]</f>
        <v>0</v>
      </c>
      <c r="R2872" s="1">
        <f>2*Table1[[#This Row],[Std Error]]</f>
        <v>0</v>
      </c>
      <c r="S2872" s="1" t="str">
        <f>IF(Table1[[#This Row],[High Tol]]="","N/A",IFERROR(ABS(Table1[[#This Row],[Tol Span]]/Table1[[#This Row],[Error Span]]),"N/A"))</f>
        <v>N/A</v>
      </c>
      <c r="T2872" s="1" t="str">
        <f>IF(OR(Table1[[#This Row],[Low Tol]]="",Table1[[#This Row],[High Tol]]=""),"Needs Analysis",IF(Table1[[#This Row],[Ratio]]&gt;=4,"Not Significant",IF(Table1[[#This Row],[Ratio]]&gt;=2,"Semi-Significant","Significant")))</f>
        <v>Needs Analysis</v>
      </c>
      <c r="W2872" s="1">
        <f>IF(Table1[[#This Row],[Cal Type]]&lt;&gt;"ACCREDITED 17025 WITH UNCERTAINTIES",0,"")</f>
        <v>0</v>
      </c>
      <c r="X2872" s="1" t="str">
        <f>IF(Table1[[#This Row],[DUT Read]]="","N/A",Table1[[#This Row],[Std Error]]+Table1[[#This Row],[DUT Read]]+Table1[[#This Row],[DUT Ucty]])</f>
        <v>N/A</v>
      </c>
      <c r="Y2872" s="1" t="str">
        <f>IF(Table1[[#This Row],[Std Read]]="","N/A",Table1[[#This Row],[Std Read]]+Table1[[#This Row],[Std Ucty]])</f>
        <v>N/A</v>
      </c>
      <c r="Z28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2" s="1" t="str">
        <f>IF(Table1[[#This Row],[Spec Type]]="","N/A",Table1[[#This Row],[Spec Type]])</f>
        <v>±</v>
      </c>
      <c r="AC2872" s="1" t="str">
        <f>IF(Table1[[#This Row],[Spec Type2]]="N/A","N/A",IF(AND(Table1[[#This Row],[DUT Adj Read]]&gt;=Table1[[#This Row],[Low Tol]],Table1[[#This Row],[DUT Adj Read]]&lt;=Table1[[#This Row],[High Tol]]),"Pass","Fail"))</f>
        <v>Fail</v>
      </c>
      <c r="AD2872" s="1" t="str">
        <f>IF(AND(Table1[[#This Row],[Spec Type2]]="N/A",Table1[[#This Row],[DUT Adj Read]]="N/A",Table1[[#This Row],[Std Adj Read]]="N/A"),"N/A",IF(Table1[[#This Row],[DUT Adj Read]]="N/A",IF(Table1[[#This Row],[Std Adj Read]]&gt;Table1[[#This Row],[Low Tol]],"Pass","Fail"),IF(Table1[[#This Row],[DUT Adj Read]]&gt;Table1[[#This Row],[Low Tol]],"Pass","Fail")))</f>
        <v>Pass</v>
      </c>
      <c r="AE2872" s="1" t="str">
        <f>IF(AND(Table1[[#This Row],[Spec Type2]]="N/A",Table1[[#This Row],[DUT Adj Read]]="N/A",Table1[[#This Row],[Std Adj Read]]="N/A"),"N/A",IF(Table1[[#This Row],[DUT Adj Read]]="N/A",IF(Table1[[#This Row],[Std Adj Read]]&lt;Table1[[#This Row],[High Tol]],"Pass","Fail"),IF(Table1[[#This Row],[DUT Adj Read]]&lt;Table1[[#This Row],[High Tol]],"Pass","Fail")))</f>
        <v>Fail</v>
      </c>
      <c r="AF2872" s="1" t="str">
        <f>IF(AND(Table1[[#This Row],[Spec Type2]]="N/A",Table1[[#This Row],[DUT Adj Read]]="N/A",Table1[[#This Row],[Std Adj Read]]="N/A"),"N/A",IF(Table1[[#This Row],[DUT Adj Read]]="N/A",IF(Table1[[#This Row],[Std Adj Read]]&gt;=Table1[[#This Row],[Low Tol]],"Pass","Fail"),IF(Table1[[#This Row],[DUT Adj Read]]&gt;=Table1[[#This Row],[Low Tol]],"Pass","Fail")))</f>
        <v>Pass</v>
      </c>
      <c r="AG2872" s="1" t="str">
        <f>IF(AND(Table1[[#This Row],[Spec Type2]]="N/A",Table1[[#This Row],[DUT Adj Read]]="N/A",Table1[[#This Row],[Std Adj Read]]="N/A"),"N/A",IF(Table1[[#This Row],[DUT Adj Read]]="N/A",IF(Table1[[#This Row],[Std Adj Read]]&lt;=Table1[[#This Row],[High Tol]],"Pass","Fail"),IF(Table1[[#This Row],[DUT Adj Read]]&lt;=Table1[[#This Row],[High Tol]],"Pass","Fail")))</f>
        <v>Fail</v>
      </c>
      <c r="AH28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2" s="1" t="b">
        <v>0</v>
      </c>
      <c r="AN2872" s="1" t="b">
        <v>0</v>
      </c>
      <c r="AO2872" s="1" t="b">
        <v>0</v>
      </c>
    </row>
    <row r="2873" spans="1:41" x14ac:dyDescent="0.25">
      <c r="A2873" s="10"/>
      <c r="B2873" s="10"/>
      <c r="C2873" s="10"/>
      <c r="D2873" s="10"/>
      <c r="E2873" s="10"/>
      <c r="F2873" s="10"/>
      <c r="G2873" s="10"/>
      <c r="H2873" s="10"/>
      <c r="I2873" s="1" t="str">
        <f t="shared" si="132"/>
        <v/>
      </c>
      <c r="J2873" s="1" t="s">
        <v>35</v>
      </c>
      <c r="K2873" s="1" t="str">
        <f t="shared" si="133"/>
        <v/>
      </c>
      <c r="L2873" s="1" t="str">
        <f t="shared" si="134"/>
        <v/>
      </c>
      <c r="M2873" s="1">
        <f>IF(OR(Table1[[#This Row],[Std Nom]]="",Table1[[#This Row],[Std Read]]=""),0,Table1[[#This Row],[Std Nom]]-Table1[[#This Row],[Std Read]])</f>
        <v>0</v>
      </c>
      <c r="N2873" s="1">
        <f>IF(Calculations!$F$5="ACCREDITED 17025 WITH UNCERTAINTIES",$N$10,0)</f>
        <v>0</v>
      </c>
      <c r="Q2873" s="1">
        <f>Table1[[#This Row],[High Tol]]-Table1[[#This Row],[Low Tol]]</f>
        <v>0</v>
      </c>
      <c r="R2873" s="1">
        <f>2*Table1[[#This Row],[Std Error]]</f>
        <v>0</v>
      </c>
      <c r="S2873" s="1" t="str">
        <f>IF(Table1[[#This Row],[High Tol]]="","N/A",IFERROR(ABS(Table1[[#This Row],[Tol Span]]/Table1[[#This Row],[Error Span]]),"N/A"))</f>
        <v>N/A</v>
      </c>
      <c r="T2873" s="1" t="str">
        <f>IF(OR(Table1[[#This Row],[Low Tol]]="",Table1[[#This Row],[High Tol]]=""),"Needs Analysis",IF(Table1[[#This Row],[Ratio]]&gt;=4,"Not Significant",IF(Table1[[#This Row],[Ratio]]&gt;=2,"Semi-Significant","Significant")))</f>
        <v>Needs Analysis</v>
      </c>
      <c r="W2873" s="1">
        <f>IF(Table1[[#This Row],[Cal Type]]&lt;&gt;"ACCREDITED 17025 WITH UNCERTAINTIES",0,"")</f>
        <v>0</v>
      </c>
      <c r="X2873" s="1" t="str">
        <f>IF(Table1[[#This Row],[DUT Read]]="","N/A",Table1[[#This Row],[Std Error]]+Table1[[#This Row],[DUT Read]]+Table1[[#This Row],[DUT Ucty]])</f>
        <v>N/A</v>
      </c>
      <c r="Y2873" s="1" t="str">
        <f>IF(Table1[[#This Row],[Std Read]]="","N/A",Table1[[#This Row],[Std Read]]+Table1[[#This Row],[Std Ucty]])</f>
        <v>N/A</v>
      </c>
      <c r="Z28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3" s="1" t="str">
        <f>IF(Table1[[#This Row],[Spec Type]]="","N/A",Table1[[#This Row],[Spec Type]])</f>
        <v>±</v>
      </c>
      <c r="AC2873" s="1" t="str">
        <f>IF(Table1[[#This Row],[Spec Type2]]="N/A","N/A",IF(AND(Table1[[#This Row],[DUT Adj Read]]&gt;=Table1[[#This Row],[Low Tol]],Table1[[#This Row],[DUT Adj Read]]&lt;=Table1[[#This Row],[High Tol]]),"Pass","Fail"))</f>
        <v>Fail</v>
      </c>
      <c r="AD2873" s="1" t="str">
        <f>IF(AND(Table1[[#This Row],[Spec Type2]]="N/A",Table1[[#This Row],[DUT Adj Read]]="N/A",Table1[[#This Row],[Std Adj Read]]="N/A"),"N/A",IF(Table1[[#This Row],[DUT Adj Read]]="N/A",IF(Table1[[#This Row],[Std Adj Read]]&gt;Table1[[#This Row],[Low Tol]],"Pass","Fail"),IF(Table1[[#This Row],[DUT Adj Read]]&gt;Table1[[#This Row],[Low Tol]],"Pass","Fail")))</f>
        <v>Pass</v>
      </c>
      <c r="AE2873" s="1" t="str">
        <f>IF(AND(Table1[[#This Row],[Spec Type2]]="N/A",Table1[[#This Row],[DUT Adj Read]]="N/A",Table1[[#This Row],[Std Adj Read]]="N/A"),"N/A",IF(Table1[[#This Row],[DUT Adj Read]]="N/A",IF(Table1[[#This Row],[Std Adj Read]]&lt;Table1[[#This Row],[High Tol]],"Pass","Fail"),IF(Table1[[#This Row],[DUT Adj Read]]&lt;Table1[[#This Row],[High Tol]],"Pass","Fail")))</f>
        <v>Fail</v>
      </c>
      <c r="AF2873" s="1" t="str">
        <f>IF(AND(Table1[[#This Row],[Spec Type2]]="N/A",Table1[[#This Row],[DUT Adj Read]]="N/A",Table1[[#This Row],[Std Adj Read]]="N/A"),"N/A",IF(Table1[[#This Row],[DUT Adj Read]]="N/A",IF(Table1[[#This Row],[Std Adj Read]]&gt;=Table1[[#This Row],[Low Tol]],"Pass","Fail"),IF(Table1[[#This Row],[DUT Adj Read]]&gt;=Table1[[#This Row],[Low Tol]],"Pass","Fail")))</f>
        <v>Pass</v>
      </c>
      <c r="AG2873" s="1" t="str">
        <f>IF(AND(Table1[[#This Row],[Spec Type2]]="N/A",Table1[[#This Row],[DUT Adj Read]]="N/A",Table1[[#This Row],[Std Adj Read]]="N/A"),"N/A",IF(Table1[[#This Row],[DUT Adj Read]]="N/A",IF(Table1[[#This Row],[Std Adj Read]]&lt;=Table1[[#This Row],[High Tol]],"Pass","Fail"),IF(Table1[[#This Row],[DUT Adj Read]]&lt;=Table1[[#This Row],[High Tol]],"Pass","Fail")))</f>
        <v>Fail</v>
      </c>
      <c r="AH28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3" s="1" t="b">
        <v>0</v>
      </c>
      <c r="AN2873" s="1" t="b">
        <v>0</v>
      </c>
      <c r="AO2873" s="1" t="b">
        <v>0</v>
      </c>
    </row>
    <row r="2874" spans="1:41" x14ac:dyDescent="0.25">
      <c r="A2874" s="10"/>
      <c r="B2874" s="10"/>
      <c r="C2874" s="10"/>
      <c r="D2874" s="10"/>
      <c r="E2874" s="10"/>
      <c r="F2874" s="10"/>
      <c r="G2874" s="10"/>
      <c r="H2874" s="10"/>
      <c r="I2874" s="1" t="str">
        <f t="shared" si="132"/>
        <v/>
      </c>
      <c r="J2874" s="1" t="s">
        <v>35</v>
      </c>
      <c r="K2874" s="1" t="str">
        <f t="shared" si="133"/>
        <v/>
      </c>
      <c r="L2874" s="1" t="str">
        <f t="shared" si="134"/>
        <v/>
      </c>
      <c r="M2874" s="1">
        <f>IF(OR(Table1[[#This Row],[Std Nom]]="",Table1[[#This Row],[Std Read]]=""),0,Table1[[#This Row],[Std Nom]]-Table1[[#This Row],[Std Read]])</f>
        <v>0</v>
      </c>
      <c r="N2874" s="1">
        <f>IF(Calculations!$F$5="ACCREDITED 17025 WITH UNCERTAINTIES",$N$10,0)</f>
        <v>0</v>
      </c>
      <c r="Q2874" s="1">
        <f>Table1[[#This Row],[High Tol]]-Table1[[#This Row],[Low Tol]]</f>
        <v>0</v>
      </c>
      <c r="R2874" s="1">
        <f>2*Table1[[#This Row],[Std Error]]</f>
        <v>0</v>
      </c>
      <c r="S2874" s="1" t="str">
        <f>IF(Table1[[#This Row],[High Tol]]="","N/A",IFERROR(ABS(Table1[[#This Row],[Tol Span]]/Table1[[#This Row],[Error Span]]),"N/A"))</f>
        <v>N/A</v>
      </c>
      <c r="T2874" s="1" t="str">
        <f>IF(OR(Table1[[#This Row],[Low Tol]]="",Table1[[#This Row],[High Tol]]=""),"Needs Analysis",IF(Table1[[#This Row],[Ratio]]&gt;=4,"Not Significant",IF(Table1[[#This Row],[Ratio]]&gt;=2,"Semi-Significant","Significant")))</f>
        <v>Needs Analysis</v>
      </c>
      <c r="W2874" s="1">
        <f>IF(Table1[[#This Row],[Cal Type]]&lt;&gt;"ACCREDITED 17025 WITH UNCERTAINTIES",0,"")</f>
        <v>0</v>
      </c>
      <c r="X2874" s="1" t="str">
        <f>IF(Table1[[#This Row],[DUT Read]]="","N/A",Table1[[#This Row],[Std Error]]+Table1[[#This Row],[DUT Read]]+Table1[[#This Row],[DUT Ucty]])</f>
        <v>N/A</v>
      </c>
      <c r="Y2874" s="1" t="str">
        <f>IF(Table1[[#This Row],[Std Read]]="","N/A",Table1[[#This Row],[Std Read]]+Table1[[#This Row],[Std Ucty]])</f>
        <v>N/A</v>
      </c>
      <c r="Z28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4" s="1" t="str">
        <f>IF(Table1[[#This Row],[Spec Type]]="","N/A",Table1[[#This Row],[Spec Type]])</f>
        <v>±</v>
      </c>
      <c r="AC2874" s="1" t="str">
        <f>IF(Table1[[#This Row],[Spec Type2]]="N/A","N/A",IF(AND(Table1[[#This Row],[DUT Adj Read]]&gt;=Table1[[#This Row],[Low Tol]],Table1[[#This Row],[DUT Adj Read]]&lt;=Table1[[#This Row],[High Tol]]),"Pass","Fail"))</f>
        <v>Fail</v>
      </c>
      <c r="AD2874" s="1" t="str">
        <f>IF(AND(Table1[[#This Row],[Spec Type2]]="N/A",Table1[[#This Row],[DUT Adj Read]]="N/A",Table1[[#This Row],[Std Adj Read]]="N/A"),"N/A",IF(Table1[[#This Row],[DUT Adj Read]]="N/A",IF(Table1[[#This Row],[Std Adj Read]]&gt;Table1[[#This Row],[Low Tol]],"Pass","Fail"),IF(Table1[[#This Row],[DUT Adj Read]]&gt;Table1[[#This Row],[Low Tol]],"Pass","Fail")))</f>
        <v>Pass</v>
      </c>
      <c r="AE2874" s="1" t="str">
        <f>IF(AND(Table1[[#This Row],[Spec Type2]]="N/A",Table1[[#This Row],[DUT Adj Read]]="N/A",Table1[[#This Row],[Std Adj Read]]="N/A"),"N/A",IF(Table1[[#This Row],[DUT Adj Read]]="N/A",IF(Table1[[#This Row],[Std Adj Read]]&lt;Table1[[#This Row],[High Tol]],"Pass","Fail"),IF(Table1[[#This Row],[DUT Adj Read]]&lt;Table1[[#This Row],[High Tol]],"Pass","Fail")))</f>
        <v>Fail</v>
      </c>
      <c r="AF2874" s="1" t="str">
        <f>IF(AND(Table1[[#This Row],[Spec Type2]]="N/A",Table1[[#This Row],[DUT Adj Read]]="N/A",Table1[[#This Row],[Std Adj Read]]="N/A"),"N/A",IF(Table1[[#This Row],[DUT Adj Read]]="N/A",IF(Table1[[#This Row],[Std Adj Read]]&gt;=Table1[[#This Row],[Low Tol]],"Pass","Fail"),IF(Table1[[#This Row],[DUT Adj Read]]&gt;=Table1[[#This Row],[Low Tol]],"Pass","Fail")))</f>
        <v>Pass</v>
      </c>
      <c r="AG2874" s="1" t="str">
        <f>IF(AND(Table1[[#This Row],[Spec Type2]]="N/A",Table1[[#This Row],[DUT Adj Read]]="N/A",Table1[[#This Row],[Std Adj Read]]="N/A"),"N/A",IF(Table1[[#This Row],[DUT Adj Read]]="N/A",IF(Table1[[#This Row],[Std Adj Read]]&lt;=Table1[[#This Row],[High Tol]],"Pass","Fail"),IF(Table1[[#This Row],[DUT Adj Read]]&lt;=Table1[[#This Row],[High Tol]],"Pass","Fail")))</f>
        <v>Fail</v>
      </c>
      <c r="AH28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4" s="1" t="b">
        <v>0</v>
      </c>
      <c r="AN2874" s="1" t="b">
        <v>0</v>
      </c>
      <c r="AO2874" s="1" t="b">
        <v>0</v>
      </c>
    </row>
    <row r="2875" spans="1:41" x14ac:dyDescent="0.25">
      <c r="A2875" s="10"/>
      <c r="B2875" s="10"/>
      <c r="C2875" s="10"/>
      <c r="D2875" s="10"/>
      <c r="E2875" s="10"/>
      <c r="F2875" s="10"/>
      <c r="G2875" s="10"/>
      <c r="H2875" s="10"/>
      <c r="I2875" s="1" t="str">
        <f t="shared" si="132"/>
        <v/>
      </c>
      <c r="J2875" s="1" t="s">
        <v>35</v>
      </c>
      <c r="K2875" s="1" t="str">
        <f t="shared" si="133"/>
        <v/>
      </c>
      <c r="L2875" s="1" t="str">
        <f t="shared" si="134"/>
        <v/>
      </c>
      <c r="M2875" s="1">
        <f>IF(OR(Table1[[#This Row],[Std Nom]]="",Table1[[#This Row],[Std Read]]=""),0,Table1[[#This Row],[Std Nom]]-Table1[[#This Row],[Std Read]])</f>
        <v>0</v>
      </c>
      <c r="N2875" s="1">
        <f>IF(Calculations!$F$5="ACCREDITED 17025 WITH UNCERTAINTIES",$N$10,0)</f>
        <v>0</v>
      </c>
      <c r="Q2875" s="1">
        <f>Table1[[#This Row],[High Tol]]-Table1[[#This Row],[Low Tol]]</f>
        <v>0</v>
      </c>
      <c r="R2875" s="1">
        <f>2*Table1[[#This Row],[Std Error]]</f>
        <v>0</v>
      </c>
      <c r="S2875" s="1" t="str">
        <f>IF(Table1[[#This Row],[High Tol]]="","N/A",IFERROR(ABS(Table1[[#This Row],[Tol Span]]/Table1[[#This Row],[Error Span]]),"N/A"))</f>
        <v>N/A</v>
      </c>
      <c r="T2875" s="1" t="str">
        <f>IF(OR(Table1[[#This Row],[Low Tol]]="",Table1[[#This Row],[High Tol]]=""),"Needs Analysis",IF(Table1[[#This Row],[Ratio]]&gt;=4,"Not Significant",IF(Table1[[#This Row],[Ratio]]&gt;=2,"Semi-Significant","Significant")))</f>
        <v>Needs Analysis</v>
      </c>
      <c r="W2875" s="1">
        <f>IF(Table1[[#This Row],[Cal Type]]&lt;&gt;"ACCREDITED 17025 WITH UNCERTAINTIES",0,"")</f>
        <v>0</v>
      </c>
      <c r="X2875" s="1" t="str">
        <f>IF(Table1[[#This Row],[DUT Read]]="","N/A",Table1[[#This Row],[Std Error]]+Table1[[#This Row],[DUT Read]]+Table1[[#This Row],[DUT Ucty]])</f>
        <v>N/A</v>
      </c>
      <c r="Y2875" s="1" t="str">
        <f>IF(Table1[[#This Row],[Std Read]]="","N/A",Table1[[#This Row],[Std Read]]+Table1[[#This Row],[Std Ucty]])</f>
        <v>N/A</v>
      </c>
      <c r="Z28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5" s="1" t="str">
        <f>IF(Table1[[#This Row],[Spec Type]]="","N/A",Table1[[#This Row],[Spec Type]])</f>
        <v>±</v>
      </c>
      <c r="AC2875" s="1" t="str">
        <f>IF(Table1[[#This Row],[Spec Type2]]="N/A","N/A",IF(AND(Table1[[#This Row],[DUT Adj Read]]&gt;=Table1[[#This Row],[Low Tol]],Table1[[#This Row],[DUT Adj Read]]&lt;=Table1[[#This Row],[High Tol]]),"Pass","Fail"))</f>
        <v>Fail</v>
      </c>
      <c r="AD2875" s="1" t="str">
        <f>IF(AND(Table1[[#This Row],[Spec Type2]]="N/A",Table1[[#This Row],[DUT Adj Read]]="N/A",Table1[[#This Row],[Std Adj Read]]="N/A"),"N/A",IF(Table1[[#This Row],[DUT Adj Read]]="N/A",IF(Table1[[#This Row],[Std Adj Read]]&gt;Table1[[#This Row],[Low Tol]],"Pass","Fail"),IF(Table1[[#This Row],[DUT Adj Read]]&gt;Table1[[#This Row],[Low Tol]],"Pass","Fail")))</f>
        <v>Pass</v>
      </c>
      <c r="AE2875" s="1" t="str">
        <f>IF(AND(Table1[[#This Row],[Spec Type2]]="N/A",Table1[[#This Row],[DUT Adj Read]]="N/A",Table1[[#This Row],[Std Adj Read]]="N/A"),"N/A",IF(Table1[[#This Row],[DUT Adj Read]]="N/A",IF(Table1[[#This Row],[Std Adj Read]]&lt;Table1[[#This Row],[High Tol]],"Pass","Fail"),IF(Table1[[#This Row],[DUT Adj Read]]&lt;Table1[[#This Row],[High Tol]],"Pass","Fail")))</f>
        <v>Fail</v>
      </c>
      <c r="AF2875" s="1" t="str">
        <f>IF(AND(Table1[[#This Row],[Spec Type2]]="N/A",Table1[[#This Row],[DUT Adj Read]]="N/A",Table1[[#This Row],[Std Adj Read]]="N/A"),"N/A",IF(Table1[[#This Row],[DUT Adj Read]]="N/A",IF(Table1[[#This Row],[Std Adj Read]]&gt;=Table1[[#This Row],[Low Tol]],"Pass","Fail"),IF(Table1[[#This Row],[DUT Adj Read]]&gt;=Table1[[#This Row],[Low Tol]],"Pass","Fail")))</f>
        <v>Pass</v>
      </c>
      <c r="AG2875" s="1" t="str">
        <f>IF(AND(Table1[[#This Row],[Spec Type2]]="N/A",Table1[[#This Row],[DUT Adj Read]]="N/A",Table1[[#This Row],[Std Adj Read]]="N/A"),"N/A",IF(Table1[[#This Row],[DUT Adj Read]]="N/A",IF(Table1[[#This Row],[Std Adj Read]]&lt;=Table1[[#This Row],[High Tol]],"Pass","Fail"),IF(Table1[[#This Row],[DUT Adj Read]]&lt;=Table1[[#This Row],[High Tol]],"Pass","Fail")))</f>
        <v>Fail</v>
      </c>
      <c r="AH28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5" s="1" t="b">
        <v>0</v>
      </c>
      <c r="AN2875" s="1" t="b">
        <v>0</v>
      </c>
      <c r="AO2875" s="1" t="b">
        <v>0</v>
      </c>
    </row>
    <row r="2876" spans="1:41" x14ac:dyDescent="0.25">
      <c r="A2876" s="10"/>
      <c r="B2876" s="10"/>
      <c r="C2876" s="10"/>
      <c r="D2876" s="10"/>
      <c r="E2876" s="10"/>
      <c r="F2876" s="10"/>
      <c r="G2876" s="10"/>
      <c r="H2876" s="10"/>
      <c r="I2876" s="1" t="str">
        <f t="shared" si="132"/>
        <v/>
      </c>
      <c r="J2876" s="1" t="s">
        <v>35</v>
      </c>
      <c r="K2876" s="1" t="str">
        <f t="shared" si="133"/>
        <v/>
      </c>
      <c r="L2876" s="1" t="str">
        <f t="shared" si="134"/>
        <v/>
      </c>
      <c r="M2876" s="1">
        <f>IF(OR(Table1[[#This Row],[Std Nom]]="",Table1[[#This Row],[Std Read]]=""),0,Table1[[#This Row],[Std Nom]]-Table1[[#This Row],[Std Read]])</f>
        <v>0</v>
      </c>
      <c r="N2876" s="1">
        <f>IF(Calculations!$F$5="ACCREDITED 17025 WITH UNCERTAINTIES",$N$10,0)</f>
        <v>0</v>
      </c>
      <c r="Q2876" s="1">
        <f>Table1[[#This Row],[High Tol]]-Table1[[#This Row],[Low Tol]]</f>
        <v>0</v>
      </c>
      <c r="R2876" s="1">
        <f>2*Table1[[#This Row],[Std Error]]</f>
        <v>0</v>
      </c>
      <c r="S2876" s="1" t="str">
        <f>IF(Table1[[#This Row],[High Tol]]="","N/A",IFERROR(ABS(Table1[[#This Row],[Tol Span]]/Table1[[#This Row],[Error Span]]),"N/A"))</f>
        <v>N/A</v>
      </c>
      <c r="T2876" s="1" t="str">
        <f>IF(OR(Table1[[#This Row],[Low Tol]]="",Table1[[#This Row],[High Tol]]=""),"Needs Analysis",IF(Table1[[#This Row],[Ratio]]&gt;=4,"Not Significant",IF(Table1[[#This Row],[Ratio]]&gt;=2,"Semi-Significant","Significant")))</f>
        <v>Needs Analysis</v>
      </c>
      <c r="W2876" s="1">
        <f>IF(Table1[[#This Row],[Cal Type]]&lt;&gt;"ACCREDITED 17025 WITH UNCERTAINTIES",0,"")</f>
        <v>0</v>
      </c>
      <c r="X2876" s="1" t="str">
        <f>IF(Table1[[#This Row],[DUT Read]]="","N/A",Table1[[#This Row],[Std Error]]+Table1[[#This Row],[DUT Read]]+Table1[[#This Row],[DUT Ucty]])</f>
        <v>N/A</v>
      </c>
      <c r="Y2876" s="1" t="str">
        <f>IF(Table1[[#This Row],[Std Read]]="","N/A",Table1[[#This Row],[Std Read]]+Table1[[#This Row],[Std Ucty]])</f>
        <v>N/A</v>
      </c>
      <c r="Z28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6" s="1" t="str">
        <f>IF(Table1[[#This Row],[Spec Type]]="","N/A",Table1[[#This Row],[Spec Type]])</f>
        <v>±</v>
      </c>
      <c r="AC2876" s="1" t="str">
        <f>IF(Table1[[#This Row],[Spec Type2]]="N/A","N/A",IF(AND(Table1[[#This Row],[DUT Adj Read]]&gt;=Table1[[#This Row],[Low Tol]],Table1[[#This Row],[DUT Adj Read]]&lt;=Table1[[#This Row],[High Tol]]),"Pass","Fail"))</f>
        <v>Fail</v>
      </c>
      <c r="AD2876" s="1" t="str">
        <f>IF(AND(Table1[[#This Row],[Spec Type2]]="N/A",Table1[[#This Row],[DUT Adj Read]]="N/A",Table1[[#This Row],[Std Adj Read]]="N/A"),"N/A",IF(Table1[[#This Row],[DUT Adj Read]]="N/A",IF(Table1[[#This Row],[Std Adj Read]]&gt;Table1[[#This Row],[Low Tol]],"Pass","Fail"),IF(Table1[[#This Row],[DUT Adj Read]]&gt;Table1[[#This Row],[Low Tol]],"Pass","Fail")))</f>
        <v>Pass</v>
      </c>
      <c r="AE2876" s="1" t="str">
        <f>IF(AND(Table1[[#This Row],[Spec Type2]]="N/A",Table1[[#This Row],[DUT Adj Read]]="N/A",Table1[[#This Row],[Std Adj Read]]="N/A"),"N/A",IF(Table1[[#This Row],[DUT Adj Read]]="N/A",IF(Table1[[#This Row],[Std Adj Read]]&lt;Table1[[#This Row],[High Tol]],"Pass","Fail"),IF(Table1[[#This Row],[DUT Adj Read]]&lt;Table1[[#This Row],[High Tol]],"Pass","Fail")))</f>
        <v>Fail</v>
      </c>
      <c r="AF2876" s="1" t="str">
        <f>IF(AND(Table1[[#This Row],[Spec Type2]]="N/A",Table1[[#This Row],[DUT Adj Read]]="N/A",Table1[[#This Row],[Std Adj Read]]="N/A"),"N/A",IF(Table1[[#This Row],[DUT Adj Read]]="N/A",IF(Table1[[#This Row],[Std Adj Read]]&gt;=Table1[[#This Row],[Low Tol]],"Pass","Fail"),IF(Table1[[#This Row],[DUT Adj Read]]&gt;=Table1[[#This Row],[Low Tol]],"Pass","Fail")))</f>
        <v>Pass</v>
      </c>
      <c r="AG2876" s="1" t="str">
        <f>IF(AND(Table1[[#This Row],[Spec Type2]]="N/A",Table1[[#This Row],[DUT Adj Read]]="N/A",Table1[[#This Row],[Std Adj Read]]="N/A"),"N/A",IF(Table1[[#This Row],[DUT Adj Read]]="N/A",IF(Table1[[#This Row],[Std Adj Read]]&lt;=Table1[[#This Row],[High Tol]],"Pass","Fail"),IF(Table1[[#This Row],[DUT Adj Read]]&lt;=Table1[[#This Row],[High Tol]],"Pass","Fail")))</f>
        <v>Fail</v>
      </c>
      <c r="AH28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6" s="1" t="b">
        <v>0</v>
      </c>
      <c r="AN2876" s="1" t="b">
        <v>0</v>
      </c>
      <c r="AO2876" s="1" t="b">
        <v>0</v>
      </c>
    </row>
    <row r="2877" spans="1:41" x14ac:dyDescent="0.25">
      <c r="A2877" s="10"/>
      <c r="B2877" s="10"/>
      <c r="C2877" s="10"/>
      <c r="D2877" s="10"/>
      <c r="E2877" s="10"/>
      <c r="F2877" s="10"/>
      <c r="G2877" s="10"/>
      <c r="H2877" s="10"/>
      <c r="I2877" s="1" t="str">
        <f t="shared" si="132"/>
        <v/>
      </c>
      <c r="J2877" s="1" t="s">
        <v>35</v>
      </c>
      <c r="K2877" s="1" t="str">
        <f t="shared" si="133"/>
        <v/>
      </c>
      <c r="L2877" s="1" t="str">
        <f t="shared" si="134"/>
        <v/>
      </c>
      <c r="M2877" s="1">
        <f>IF(OR(Table1[[#This Row],[Std Nom]]="",Table1[[#This Row],[Std Read]]=""),0,Table1[[#This Row],[Std Nom]]-Table1[[#This Row],[Std Read]])</f>
        <v>0</v>
      </c>
      <c r="N2877" s="1">
        <f>IF(Calculations!$F$5="ACCREDITED 17025 WITH UNCERTAINTIES",$N$10,0)</f>
        <v>0</v>
      </c>
      <c r="Q2877" s="1">
        <f>Table1[[#This Row],[High Tol]]-Table1[[#This Row],[Low Tol]]</f>
        <v>0</v>
      </c>
      <c r="R2877" s="1">
        <f>2*Table1[[#This Row],[Std Error]]</f>
        <v>0</v>
      </c>
      <c r="S2877" s="1" t="str">
        <f>IF(Table1[[#This Row],[High Tol]]="","N/A",IFERROR(ABS(Table1[[#This Row],[Tol Span]]/Table1[[#This Row],[Error Span]]),"N/A"))</f>
        <v>N/A</v>
      </c>
      <c r="T2877" s="1" t="str">
        <f>IF(OR(Table1[[#This Row],[Low Tol]]="",Table1[[#This Row],[High Tol]]=""),"Needs Analysis",IF(Table1[[#This Row],[Ratio]]&gt;=4,"Not Significant",IF(Table1[[#This Row],[Ratio]]&gt;=2,"Semi-Significant","Significant")))</f>
        <v>Needs Analysis</v>
      </c>
      <c r="W2877" s="1">
        <f>IF(Table1[[#This Row],[Cal Type]]&lt;&gt;"ACCREDITED 17025 WITH UNCERTAINTIES",0,"")</f>
        <v>0</v>
      </c>
      <c r="X2877" s="1" t="str">
        <f>IF(Table1[[#This Row],[DUT Read]]="","N/A",Table1[[#This Row],[Std Error]]+Table1[[#This Row],[DUT Read]]+Table1[[#This Row],[DUT Ucty]])</f>
        <v>N/A</v>
      </c>
      <c r="Y2877" s="1" t="str">
        <f>IF(Table1[[#This Row],[Std Read]]="","N/A",Table1[[#This Row],[Std Read]]+Table1[[#This Row],[Std Ucty]])</f>
        <v>N/A</v>
      </c>
      <c r="Z28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7" s="1" t="str">
        <f>IF(Table1[[#This Row],[Spec Type]]="","N/A",Table1[[#This Row],[Spec Type]])</f>
        <v>±</v>
      </c>
      <c r="AC2877" s="1" t="str">
        <f>IF(Table1[[#This Row],[Spec Type2]]="N/A","N/A",IF(AND(Table1[[#This Row],[DUT Adj Read]]&gt;=Table1[[#This Row],[Low Tol]],Table1[[#This Row],[DUT Adj Read]]&lt;=Table1[[#This Row],[High Tol]]),"Pass","Fail"))</f>
        <v>Fail</v>
      </c>
      <c r="AD2877" s="1" t="str">
        <f>IF(AND(Table1[[#This Row],[Spec Type2]]="N/A",Table1[[#This Row],[DUT Adj Read]]="N/A",Table1[[#This Row],[Std Adj Read]]="N/A"),"N/A",IF(Table1[[#This Row],[DUT Adj Read]]="N/A",IF(Table1[[#This Row],[Std Adj Read]]&gt;Table1[[#This Row],[Low Tol]],"Pass","Fail"),IF(Table1[[#This Row],[DUT Adj Read]]&gt;Table1[[#This Row],[Low Tol]],"Pass","Fail")))</f>
        <v>Pass</v>
      </c>
      <c r="AE2877" s="1" t="str">
        <f>IF(AND(Table1[[#This Row],[Spec Type2]]="N/A",Table1[[#This Row],[DUT Adj Read]]="N/A",Table1[[#This Row],[Std Adj Read]]="N/A"),"N/A",IF(Table1[[#This Row],[DUT Adj Read]]="N/A",IF(Table1[[#This Row],[Std Adj Read]]&lt;Table1[[#This Row],[High Tol]],"Pass","Fail"),IF(Table1[[#This Row],[DUT Adj Read]]&lt;Table1[[#This Row],[High Tol]],"Pass","Fail")))</f>
        <v>Fail</v>
      </c>
      <c r="AF2877" s="1" t="str">
        <f>IF(AND(Table1[[#This Row],[Spec Type2]]="N/A",Table1[[#This Row],[DUT Adj Read]]="N/A",Table1[[#This Row],[Std Adj Read]]="N/A"),"N/A",IF(Table1[[#This Row],[DUT Adj Read]]="N/A",IF(Table1[[#This Row],[Std Adj Read]]&gt;=Table1[[#This Row],[Low Tol]],"Pass","Fail"),IF(Table1[[#This Row],[DUT Adj Read]]&gt;=Table1[[#This Row],[Low Tol]],"Pass","Fail")))</f>
        <v>Pass</v>
      </c>
      <c r="AG2877" s="1" t="str">
        <f>IF(AND(Table1[[#This Row],[Spec Type2]]="N/A",Table1[[#This Row],[DUT Adj Read]]="N/A",Table1[[#This Row],[Std Adj Read]]="N/A"),"N/A",IF(Table1[[#This Row],[DUT Adj Read]]="N/A",IF(Table1[[#This Row],[Std Adj Read]]&lt;=Table1[[#This Row],[High Tol]],"Pass","Fail"),IF(Table1[[#This Row],[DUT Adj Read]]&lt;=Table1[[#This Row],[High Tol]],"Pass","Fail")))</f>
        <v>Fail</v>
      </c>
      <c r="AH28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7" s="1" t="b">
        <v>0</v>
      </c>
      <c r="AN2877" s="1" t="b">
        <v>0</v>
      </c>
      <c r="AO2877" s="1" t="b">
        <v>0</v>
      </c>
    </row>
    <row r="2878" spans="1:41" x14ac:dyDescent="0.25">
      <c r="A2878" s="10"/>
      <c r="B2878" s="10"/>
      <c r="C2878" s="10"/>
      <c r="D2878" s="10"/>
      <c r="E2878" s="10"/>
      <c r="F2878" s="10"/>
      <c r="G2878" s="10"/>
      <c r="H2878" s="10"/>
      <c r="I2878" s="1" t="str">
        <f t="shared" si="132"/>
        <v/>
      </c>
      <c r="J2878" s="1" t="s">
        <v>35</v>
      </c>
      <c r="K2878" s="1" t="str">
        <f t="shared" si="133"/>
        <v/>
      </c>
      <c r="L2878" s="1" t="str">
        <f t="shared" si="134"/>
        <v/>
      </c>
      <c r="M2878" s="1">
        <f>IF(OR(Table1[[#This Row],[Std Nom]]="",Table1[[#This Row],[Std Read]]=""),0,Table1[[#This Row],[Std Nom]]-Table1[[#This Row],[Std Read]])</f>
        <v>0</v>
      </c>
      <c r="N2878" s="1">
        <f>IF(Calculations!$F$5="ACCREDITED 17025 WITH UNCERTAINTIES",$N$10,0)</f>
        <v>0</v>
      </c>
      <c r="Q2878" s="1">
        <f>Table1[[#This Row],[High Tol]]-Table1[[#This Row],[Low Tol]]</f>
        <v>0</v>
      </c>
      <c r="R2878" s="1">
        <f>2*Table1[[#This Row],[Std Error]]</f>
        <v>0</v>
      </c>
      <c r="S2878" s="1" t="str">
        <f>IF(Table1[[#This Row],[High Tol]]="","N/A",IFERROR(ABS(Table1[[#This Row],[Tol Span]]/Table1[[#This Row],[Error Span]]),"N/A"))</f>
        <v>N/A</v>
      </c>
      <c r="T2878" s="1" t="str">
        <f>IF(OR(Table1[[#This Row],[Low Tol]]="",Table1[[#This Row],[High Tol]]=""),"Needs Analysis",IF(Table1[[#This Row],[Ratio]]&gt;=4,"Not Significant",IF(Table1[[#This Row],[Ratio]]&gt;=2,"Semi-Significant","Significant")))</f>
        <v>Needs Analysis</v>
      </c>
      <c r="W2878" s="1">
        <f>IF(Table1[[#This Row],[Cal Type]]&lt;&gt;"ACCREDITED 17025 WITH UNCERTAINTIES",0,"")</f>
        <v>0</v>
      </c>
      <c r="X2878" s="1" t="str">
        <f>IF(Table1[[#This Row],[DUT Read]]="","N/A",Table1[[#This Row],[Std Error]]+Table1[[#This Row],[DUT Read]]+Table1[[#This Row],[DUT Ucty]])</f>
        <v>N/A</v>
      </c>
      <c r="Y2878" s="1" t="str">
        <f>IF(Table1[[#This Row],[Std Read]]="","N/A",Table1[[#This Row],[Std Read]]+Table1[[#This Row],[Std Ucty]])</f>
        <v>N/A</v>
      </c>
      <c r="Z28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8" s="1" t="str">
        <f>IF(Table1[[#This Row],[Spec Type]]="","N/A",Table1[[#This Row],[Spec Type]])</f>
        <v>±</v>
      </c>
      <c r="AC2878" s="1" t="str">
        <f>IF(Table1[[#This Row],[Spec Type2]]="N/A","N/A",IF(AND(Table1[[#This Row],[DUT Adj Read]]&gt;=Table1[[#This Row],[Low Tol]],Table1[[#This Row],[DUT Adj Read]]&lt;=Table1[[#This Row],[High Tol]]),"Pass","Fail"))</f>
        <v>Fail</v>
      </c>
      <c r="AD2878" s="1" t="str">
        <f>IF(AND(Table1[[#This Row],[Spec Type2]]="N/A",Table1[[#This Row],[DUT Adj Read]]="N/A",Table1[[#This Row],[Std Adj Read]]="N/A"),"N/A",IF(Table1[[#This Row],[DUT Adj Read]]="N/A",IF(Table1[[#This Row],[Std Adj Read]]&gt;Table1[[#This Row],[Low Tol]],"Pass","Fail"),IF(Table1[[#This Row],[DUT Adj Read]]&gt;Table1[[#This Row],[Low Tol]],"Pass","Fail")))</f>
        <v>Pass</v>
      </c>
      <c r="AE2878" s="1" t="str">
        <f>IF(AND(Table1[[#This Row],[Spec Type2]]="N/A",Table1[[#This Row],[DUT Adj Read]]="N/A",Table1[[#This Row],[Std Adj Read]]="N/A"),"N/A",IF(Table1[[#This Row],[DUT Adj Read]]="N/A",IF(Table1[[#This Row],[Std Adj Read]]&lt;Table1[[#This Row],[High Tol]],"Pass","Fail"),IF(Table1[[#This Row],[DUT Adj Read]]&lt;Table1[[#This Row],[High Tol]],"Pass","Fail")))</f>
        <v>Fail</v>
      </c>
      <c r="AF2878" s="1" t="str">
        <f>IF(AND(Table1[[#This Row],[Spec Type2]]="N/A",Table1[[#This Row],[DUT Adj Read]]="N/A",Table1[[#This Row],[Std Adj Read]]="N/A"),"N/A",IF(Table1[[#This Row],[DUT Adj Read]]="N/A",IF(Table1[[#This Row],[Std Adj Read]]&gt;=Table1[[#This Row],[Low Tol]],"Pass","Fail"),IF(Table1[[#This Row],[DUT Adj Read]]&gt;=Table1[[#This Row],[Low Tol]],"Pass","Fail")))</f>
        <v>Pass</v>
      </c>
      <c r="AG2878" s="1" t="str">
        <f>IF(AND(Table1[[#This Row],[Spec Type2]]="N/A",Table1[[#This Row],[DUT Adj Read]]="N/A",Table1[[#This Row],[Std Adj Read]]="N/A"),"N/A",IF(Table1[[#This Row],[DUT Adj Read]]="N/A",IF(Table1[[#This Row],[Std Adj Read]]&lt;=Table1[[#This Row],[High Tol]],"Pass","Fail"),IF(Table1[[#This Row],[DUT Adj Read]]&lt;=Table1[[#This Row],[High Tol]],"Pass","Fail")))</f>
        <v>Fail</v>
      </c>
      <c r="AH28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8" s="1" t="b">
        <v>0</v>
      </c>
      <c r="AN2878" s="1" t="b">
        <v>0</v>
      </c>
      <c r="AO2878" s="1" t="b">
        <v>0</v>
      </c>
    </row>
    <row r="2879" spans="1:41" x14ac:dyDescent="0.25">
      <c r="A2879" s="10"/>
      <c r="B2879" s="10"/>
      <c r="C2879" s="10"/>
      <c r="D2879" s="10"/>
      <c r="E2879" s="10"/>
      <c r="F2879" s="10"/>
      <c r="G2879" s="10"/>
      <c r="H2879" s="10"/>
      <c r="I2879" s="1" t="str">
        <f t="shared" si="132"/>
        <v/>
      </c>
      <c r="J2879" s="1" t="s">
        <v>35</v>
      </c>
      <c r="K2879" s="1" t="str">
        <f t="shared" si="133"/>
        <v/>
      </c>
      <c r="L2879" s="1" t="str">
        <f t="shared" si="134"/>
        <v/>
      </c>
      <c r="M2879" s="1">
        <f>IF(OR(Table1[[#This Row],[Std Nom]]="",Table1[[#This Row],[Std Read]]=""),0,Table1[[#This Row],[Std Nom]]-Table1[[#This Row],[Std Read]])</f>
        <v>0</v>
      </c>
      <c r="N2879" s="1">
        <f>IF(Calculations!$F$5="ACCREDITED 17025 WITH UNCERTAINTIES",$N$10,0)</f>
        <v>0</v>
      </c>
      <c r="Q2879" s="1">
        <f>Table1[[#This Row],[High Tol]]-Table1[[#This Row],[Low Tol]]</f>
        <v>0</v>
      </c>
      <c r="R2879" s="1">
        <f>2*Table1[[#This Row],[Std Error]]</f>
        <v>0</v>
      </c>
      <c r="S2879" s="1" t="str">
        <f>IF(Table1[[#This Row],[High Tol]]="","N/A",IFERROR(ABS(Table1[[#This Row],[Tol Span]]/Table1[[#This Row],[Error Span]]),"N/A"))</f>
        <v>N/A</v>
      </c>
      <c r="T2879" s="1" t="str">
        <f>IF(OR(Table1[[#This Row],[Low Tol]]="",Table1[[#This Row],[High Tol]]=""),"Needs Analysis",IF(Table1[[#This Row],[Ratio]]&gt;=4,"Not Significant",IF(Table1[[#This Row],[Ratio]]&gt;=2,"Semi-Significant","Significant")))</f>
        <v>Needs Analysis</v>
      </c>
      <c r="W2879" s="1">
        <f>IF(Table1[[#This Row],[Cal Type]]&lt;&gt;"ACCREDITED 17025 WITH UNCERTAINTIES",0,"")</f>
        <v>0</v>
      </c>
      <c r="X2879" s="1" t="str">
        <f>IF(Table1[[#This Row],[DUT Read]]="","N/A",Table1[[#This Row],[Std Error]]+Table1[[#This Row],[DUT Read]]+Table1[[#This Row],[DUT Ucty]])</f>
        <v>N/A</v>
      </c>
      <c r="Y2879" s="1" t="str">
        <f>IF(Table1[[#This Row],[Std Read]]="","N/A",Table1[[#This Row],[Std Read]]+Table1[[#This Row],[Std Ucty]])</f>
        <v>N/A</v>
      </c>
      <c r="Z28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79" s="1" t="str">
        <f>IF(Table1[[#This Row],[Spec Type]]="","N/A",Table1[[#This Row],[Spec Type]])</f>
        <v>±</v>
      </c>
      <c r="AC2879" s="1" t="str">
        <f>IF(Table1[[#This Row],[Spec Type2]]="N/A","N/A",IF(AND(Table1[[#This Row],[DUT Adj Read]]&gt;=Table1[[#This Row],[Low Tol]],Table1[[#This Row],[DUT Adj Read]]&lt;=Table1[[#This Row],[High Tol]]),"Pass","Fail"))</f>
        <v>Fail</v>
      </c>
      <c r="AD2879" s="1" t="str">
        <f>IF(AND(Table1[[#This Row],[Spec Type2]]="N/A",Table1[[#This Row],[DUT Adj Read]]="N/A",Table1[[#This Row],[Std Adj Read]]="N/A"),"N/A",IF(Table1[[#This Row],[DUT Adj Read]]="N/A",IF(Table1[[#This Row],[Std Adj Read]]&gt;Table1[[#This Row],[Low Tol]],"Pass","Fail"),IF(Table1[[#This Row],[DUT Adj Read]]&gt;Table1[[#This Row],[Low Tol]],"Pass","Fail")))</f>
        <v>Pass</v>
      </c>
      <c r="AE2879" s="1" t="str">
        <f>IF(AND(Table1[[#This Row],[Spec Type2]]="N/A",Table1[[#This Row],[DUT Adj Read]]="N/A",Table1[[#This Row],[Std Adj Read]]="N/A"),"N/A",IF(Table1[[#This Row],[DUT Adj Read]]="N/A",IF(Table1[[#This Row],[Std Adj Read]]&lt;Table1[[#This Row],[High Tol]],"Pass","Fail"),IF(Table1[[#This Row],[DUT Adj Read]]&lt;Table1[[#This Row],[High Tol]],"Pass","Fail")))</f>
        <v>Fail</v>
      </c>
      <c r="AF2879" s="1" t="str">
        <f>IF(AND(Table1[[#This Row],[Spec Type2]]="N/A",Table1[[#This Row],[DUT Adj Read]]="N/A",Table1[[#This Row],[Std Adj Read]]="N/A"),"N/A",IF(Table1[[#This Row],[DUT Adj Read]]="N/A",IF(Table1[[#This Row],[Std Adj Read]]&gt;=Table1[[#This Row],[Low Tol]],"Pass","Fail"),IF(Table1[[#This Row],[DUT Adj Read]]&gt;=Table1[[#This Row],[Low Tol]],"Pass","Fail")))</f>
        <v>Pass</v>
      </c>
      <c r="AG2879" s="1" t="str">
        <f>IF(AND(Table1[[#This Row],[Spec Type2]]="N/A",Table1[[#This Row],[DUT Adj Read]]="N/A",Table1[[#This Row],[Std Adj Read]]="N/A"),"N/A",IF(Table1[[#This Row],[DUT Adj Read]]="N/A",IF(Table1[[#This Row],[Std Adj Read]]&lt;=Table1[[#This Row],[High Tol]],"Pass","Fail"),IF(Table1[[#This Row],[DUT Adj Read]]&lt;=Table1[[#This Row],[High Tol]],"Pass","Fail")))</f>
        <v>Fail</v>
      </c>
      <c r="AH28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79" s="1" t="b">
        <v>0</v>
      </c>
      <c r="AN2879" s="1" t="b">
        <v>0</v>
      </c>
      <c r="AO2879" s="1" t="b">
        <v>0</v>
      </c>
    </row>
    <row r="2880" spans="1:41" x14ac:dyDescent="0.25">
      <c r="A2880" s="10"/>
      <c r="B2880" s="10"/>
      <c r="C2880" s="10"/>
      <c r="D2880" s="10"/>
      <c r="E2880" s="10"/>
      <c r="F2880" s="10"/>
      <c r="G2880" s="10"/>
      <c r="H2880" s="10"/>
      <c r="I2880" s="1" t="str">
        <f t="shared" si="132"/>
        <v/>
      </c>
      <c r="J2880" s="1" t="s">
        <v>35</v>
      </c>
      <c r="K2880" s="1" t="str">
        <f t="shared" si="133"/>
        <v/>
      </c>
      <c r="L2880" s="1" t="str">
        <f t="shared" si="134"/>
        <v/>
      </c>
      <c r="M2880" s="1">
        <f>IF(OR(Table1[[#This Row],[Std Nom]]="",Table1[[#This Row],[Std Read]]=""),0,Table1[[#This Row],[Std Nom]]-Table1[[#This Row],[Std Read]])</f>
        <v>0</v>
      </c>
      <c r="N2880" s="1">
        <f>IF(Calculations!$F$5="ACCREDITED 17025 WITH UNCERTAINTIES",$N$10,0)</f>
        <v>0</v>
      </c>
      <c r="Q2880" s="1">
        <f>Table1[[#This Row],[High Tol]]-Table1[[#This Row],[Low Tol]]</f>
        <v>0</v>
      </c>
      <c r="R2880" s="1">
        <f>2*Table1[[#This Row],[Std Error]]</f>
        <v>0</v>
      </c>
      <c r="S2880" s="1" t="str">
        <f>IF(Table1[[#This Row],[High Tol]]="","N/A",IFERROR(ABS(Table1[[#This Row],[Tol Span]]/Table1[[#This Row],[Error Span]]),"N/A"))</f>
        <v>N/A</v>
      </c>
      <c r="T2880" s="1" t="str">
        <f>IF(OR(Table1[[#This Row],[Low Tol]]="",Table1[[#This Row],[High Tol]]=""),"Needs Analysis",IF(Table1[[#This Row],[Ratio]]&gt;=4,"Not Significant",IF(Table1[[#This Row],[Ratio]]&gt;=2,"Semi-Significant","Significant")))</f>
        <v>Needs Analysis</v>
      </c>
      <c r="W2880" s="1">
        <f>IF(Table1[[#This Row],[Cal Type]]&lt;&gt;"ACCREDITED 17025 WITH UNCERTAINTIES",0,"")</f>
        <v>0</v>
      </c>
      <c r="X2880" s="1" t="str">
        <f>IF(Table1[[#This Row],[DUT Read]]="","N/A",Table1[[#This Row],[Std Error]]+Table1[[#This Row],[DUT Read]]+Table1[[#This Row],[DUT Ucty]])</f>
        <v>N/A</v>
      </c>
      <c r="Y2880" s="1" t="str">
        <f>IF(Table1[[#This Row],[Std Read]]="","N/A",Table1[[#This Row],[Std Read]]+Table1[[#This Row],[Std Ucty]])</f>
        <v>N/A</v>
      </c>
      <c r="Z28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0" s="1" t="str">
        <f>IF(Table1[[#This Row],[Spec Type]]="","N/A",Table1[[#This Row],[Spec Type]])</f>
        <v>±</v>
      </c>
      <c r="AC2880" s="1" t="str">
        <f>IF(Table1[[#This Row],[Spec Type2]]="N/A","N/A",IF(AND(Table1[[#This Row],[DUT Adj Read]]&gt;=Table1[[#This Row],[Low Tol]],Table1[[#This Row],[DUT Adj Read]]&lt;=Table1[[#This Row],[High Tol]]),"Pass","Fail"))</f>
        <v>Fail</v>
      </c>
      <c r="AD2880" s="1" t="str">
        <f>IF(AND(Table1[[#This Row],[Spec Type2]]="N/A",Table1[[#This Row],[DUT Adj Read]]="N/A",Table1[[#This Row],[Std Adj Read]]="N/A"),"N/A",IF(Table1[[#This Row],[DUT Adj Read]]="N/A",IF(Table1[[#This Row],[Std Adj Read]]&gt;Table1[[#This Row],[Low Tol]],"Pass","Fail"),IF(Table1[[#This Row],[DUT Adj Read]]&gt;Table1[[#This Row],[Low Tol]],"Pass","Fail")))</f>
        <v>Pass</v>
      </c>
      <c r="AE2880" s="1" t="str">
        <f>IF(AND(Table1[[#This Row],[Spec Type2]]="N/A",Table1[[#This Row],[DUT Adj Read]]="N/A",Table1[[#This Row],[Std Adj Read]]="N/A"),"N/A",IF(Table1[[#This Row],[DUT Adj Read]]="N/A",IF(Table1[[#This Row],[Std Adj Read]]&lt;Table1[[#This Row],[High Tol]],"Pass","Fail"),IF(Table1[[#This Row],[DUT Adj Read]]&lt;Table1[[#This Row],[High Tol]],"Pass","Fail")))</f>
        <v>Fail</v>
      </c>
      <c r="AF2880" s="1" t="str">
        <f>IF(AND(Table1[[#This Row],[Spec Type2]]="N/A",Table1[[#This Row],[DUT Adj Read]]="N/A",Table1[[#This Row],[Std Adj Read]]="N/A"),"N/A",IF(Table1[[#This Row],[DUT Adj Read]]="N/A",IF(Table1[[#This Row],[Std Adj Read]]&gt;=Table1[[#This Row],[Low Tol]],"Pass","Fail"),IF(Table1[[#This Row],[DUT Adj Read]]&gt;=Table1[[#This Row],[Low Tol]],"Pass","Fail")))</f>
        <v>Pass</v>
      </c>
      <c r="AG2880" s="1" t="str">
        <f>IF(AND(Table1[[#This Row],[Spec Type2]]="N/A",Table1[[#This Row],[DUT Adj Read]]="N/A",Table1[[#This Row],[Std Adj Read]]="N/A"),"N/A",IF(Table1[[#This Row],[DUT Adj Read]]="N/A",IF(Table1[[#This Row],[Std Adj Read]]&lt;=Table1[[#This Row],[High Tol]],"Pass","Fail"),IF(Table1[[#This Row],[DUT Adj Read]]&lt;=Table1[[#This Row],[High Tol]],"Pass","Fail")))</f>
        <v>Fail</v>
      </c>
      <c r="AH28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0" s="1" t="b">
        <v>0</v>
      </c>
      <c r="AN2880" s="1" t="b">
        <v>0</v>
      </c>
      <c r="AO2880" s="1" t="b">
        <v>0</v>
      </c>
    </row>
    <row r="2881" spans="1:41" x14ac:dyDescent="0.25">
      <c r="A2881" s="10"/>
      <c r="B2881" s="10"/>
      <c r="C2881" s="10"/>
      <c r="D2881" s="10"/>
      <c r="E2881" s="10"/>
      <c r="F2881" s="10"/>
      <c r="G2881" s="10"/>
      <c r="H2881" s="10"/>
      <c r="I2881" s="1" t="str">
        <f t="shared" si="132"/>
        <v/>
      </c>
      <c r="J2881" s="1" t="s">
        <v>35</v>
      </c>
      <c r="K2881" s="1" t="str">
        <f t="shared" si="133"/>
        <v/>
      </c>
      <c r="L2881" s="1" t="str">
        <f t="shared" si="134"/>
        <v/>
      </c>
      <c r="M2881" s="1">
        <f>IF(OR(Table1[[#This Row],[Std Nom]]="",Table1[[#This Row],[Std Read]]=""),0,Table1[[#This Row],[Std Nom]]-Table1[[#This Row],[Std Read]])</f>
        <v>0</v>
      </c>
      <c r="N2881" s="1">
        <f>IF(Calculations!$F$5="ACCREDITED 17025 WITH UNCERTAINTIES",$N$10,0)</f>
        <v>0</v>
      </c>
      <c r="Q2881" s="1">
        <f>Table1[[#This Row],[High Tol]]-Table1[[#This Row],[Low Tol]]</f>
        <v>0</v>
      </c>
      <c r="R2881" s="1">
        <f>2*Table1[[#This Row],[Std Error]]</f>
        <v>0</v>
      </c>
      <c r="S2881" s="1" t="str">
        <f>IF(Table1[[#This Row],[High Tol]]="","N/A",IFERROR(ABS(Table1[[#This Row],[Tol Span]]/Table1[[#This Row],[Error Span]]),"N/A"))</f>
        <v>N/A</v>
      </c>
      <c r="T2881" s="1" t="str">
        <f>IF(OR(Table1[[#This Row],[Low Tol]]="",Table1[[#This Row],[High Tol]]=""),"Needs Analysis",IF(Table1[[#This Row],[Ratio]]&gt;=4,"Not Significant",IF(Table1[[#This Row],[Ratio]]&gt;=2,"Semi-Significant","Significant")))</f>
        <v>Needs Analysis</v>
      </c>
      <c r="W2881" s="1">
        <f>IF(Table1[[#This Row],[Cal Type]]&lt;&gt;"ACCREDITED 17025 WITH UNCERTAINTIES",0,"")</f>
        <v>0</v>
      </c>
      <c r="X2881" s="1" t="str">
        <f>IF(Table1[[#This Row],[DUT Read]]="","N/A",Table1[[#This Row],[Std Error]]+Table1[[#This Row],[DUT Read]]+Table1[[#This Row],[DUT Ucty]])</f>
        <v>N/A</v>
      </c>
      <c r="Y2881" s="1" t="str">
        <f>IF(Table1[[#This Row],[Std Read]]="","N/A",Table1[[#This Row],[Std Read]]+Table1[[#This Row],[Std Ucty]])</f>
        <v>N/A</v>
      </c>
      <c r="Z28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1" s="1" t="str">
        <f>IF(Table1[[#This Row],[Spec Type]]="","N/A",Table1[[#This Row],[Spec Type]])</f>
        <v>±</v>
      </c>
      <c r="AC2881" s="1" t="str">
        <f>IF(Table1[[#This Row],[Spec Type2]]="N/A","N/A",IF(AND(Table1[[#This Row],[DUT Adj Read]]&gt;=Table1[[#This Row],[Low Tol]],Table1[[#This Row],[DUT Adj Read]]&lt;=Table1[[#This Row],[High Tol]]),"Pass","Fail"))</f>
        <v>Fail</v>
      </c>
      <c r="AD2881" s="1" t="str">
        <f>IF(AND(Table1[[#This Row],[Spec Type2]]="N/A",Table1[[#This Row],[DUT Adj Read]]="N/A",Table1[[#This Row],[Std Adj Read]]="N/A"),"N/A",IF(Table1[[#This Row],[DUT Adj Read]]="N/A",IF(Table1[[#This Row],[Std Adj Read]]&gt;Table1[[#This Row],[Low Tol]],"Pass","Fail"),IF(Table1[[#This Row],[DUT Adj Read]]&gt;Table1[[#This Row],[Low Tol]],"Pass","Fail")))</f>
        <v>Pass</v>
      </c>
      <c r="AE2881" s="1" t="str">
        <f>IF(AND(Table1[[#This Row],[Spec Type2]]="N/A",Table1[[#This Row],[DUT Adj Read]]="N/A",Table1[[#This Row],[Std Adj Read]]="N/A"),"N/A",IF(Table1[[#This Row],[DUT Adj Read]]="N/A",IF(Table1[[#This Row],[Std Adj Read]]&lt;Table1[[#This Row],[High Tol]],"Pass","Fail"),IF(Table1[[#This Row],[DUT Adj Read]]&lt;Table1[[#This Row],[High Tol]],"Pass","Fail")))</f>
        <v>Fail</v>
      </c>
      <c r="AF2881" s="1" t="str">
        <f>IF(AND(Table1[[#This Row],[Spec Type2]]="N/A",Table1[[#This Row],[DUT Adj Read]]="N/A",Table1[[#This Row],[Std Adj Read]]="N/A"),"N/A",IF(Table1[[#This Row],[DUT Adj Read]]="N/A",IF(Table1[[#This Row],[Std Adj Read]]&gt;=Table1[[#This Row],[Low Tol]],"Pass","Fail"),IF(Table1[[#This Row],[DUT Adj Read]]&gt;=Table1[[#This Row],[Low Tol]],"Pass","Fail")))</f>
        <v>Pass</v>
      </c>
      <c r="AG2881" s="1" t="str">
        <f>IF(AND(Table1[[#This Row],[Spec Type2]]="N/A",Table1[[#This Row],[DUT Adj Read]]="N/A",Table1[[#This Row],[Std Adj Read]]="N/A"),"N/A",IF(Table1[[#This Row],[DUT Adj Read]]="N/A",IF(Table1[[#This Row],[Std Adj Read]]&lt;=Table1[[#This Row],[High Tol]],"Pass","Fail"),IF(Table1[[#This Row],[DUT Adj Read]]&lt;=Table1[[#This Row],[High Tol]],"Pass","Fail")))</f>
        <v>Fail</v>
      </c>
      <c r="AH28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1" s="1" t="b">
        <v>0</v>
      </c>
      <c r="AN2881" s="1" t="b">
        <v>0</v>
      </c>
      <c r="AO2881" s="1" t="b">
        <v>0</v>
      </c>
    </row>
    <row r="2882" spans="1:41" x14ac:dyDescent="0.25">
      <c r="A2882" s="10"/>
      <c r="B2882" s="10"/>
      <c r="C2882" s="10"/>
      <c r="D2882" s="10"/>
      <c r="E2882" s="10"/>
      <c r="F2882" s="10"/>
      <c r="G2882" s="10"/>
      <c r="H2882" s="10"/>
      <c r="I2882" s="1" t="str">
        <f t="shared" si="132"/>
        <v/>
      </c>
      <c r="J2882" s="1" t="s">
        <v>35</v>
      </c>
      <c r="K2882" s="1" t="str">
        <f t="shared" si="133"/>
        <v/>
      </c>
      <c r="L2882" s="1" t="str">
        <f t="shared" si="134"/>
        <v/>
      </c>
      <c r="M2882" s="1">
        <f>IF(OR(Table1[[#This Row],[Std Nom]]="",Table1[[#This Row],[Std Read]]=""),0,Table1[[#This Row],[Std Nom]]-Table1[[#This Row],[Std Read]])</f>
        <v>0</v>
      </c>
      <c r="N2882" s="1">
        <f>IF(Calculations!$F$5="ACCREDITED 17025 WITH UNCERTAINTIES",$N$10,0)</f>
        <v>0</v>
      </c>
      <c r="Q2882" s="1">
        <f>Table1[[#This Row],[High Tol]]-Table1[[#This Row],[Low Tol]]</f>
        <v>0</v>
      </c>
      <c r="R2882" s="1">
        <f>2*Table1[[#This Row],[Std Error]]</f>
        <v>0</v>
      </c>
      <c r="S2882" s="1" t="str">
        <f>IF(Table1[[#This Row],[High Tol]]="","N/A",IFERROR(ABS(Table1[[#This Row],[Tol Span]]/Table1[[#This Row],[Error Span]]),"N/A"))</f>
        <v>N/A</v>
      </c>
      <c r="T2882" s="1" t="str">
        <f>IF(OR(Table1[[#This Row],[Low Tol]]="",Table1[[#This Row],[High Tol]]=""),"Needs Analysis",IF(Table1[[#This Row],[Ratio]]&gt;=4,"Not Significant",IF(Table1[[#This Row],[Ratio]]&gt;=2,"Semi-Significant","Significant")))</f>
        <v>Needs Analysis</v>
      </c>
      <c r="W2882" s="1">
        <f>IF(Table1[[#This Row],[Cal Type]]&lt;&gt;"ACCREDITED 17025 WITH UNCERTAINTIES",0,"")</f>
        <v>0</v>
      </c>
      <c r="X2882" s="1" t="str">
        <f>IF(Table1[[#This Row],[DUT Read]]="","N/A",Table1[[#This Row],[Std Error]]+Table1[[#This Row],[DUT Read]]+Table1[[#This Row],[DUT Ucty]])</f>
        <v>N/A</v>
      </c>
      <c r="Y2882" s="1" t="str">
        <f>IF(Table1[[#This Row],[Std Read]]="","N/A",Table1[[#This Row],[Std Read]]+Table1[[#This Row],[Std Ucty]])</f>
        <v>N/A</v>
      </c>
      <c r="Z28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2" s="1" t="str">
        <f>IF(Table1[[#This Row],[Spec Type]]="","N/A",Table1[[#This Row],[Spec Type]])</f>
        <v>±</v>
      </c>
      <c r="AC2882" s="1" t="str">
        <f>IF(Table1[[#This Row],[Spec Type2]]="N/A","N/A",IF(AND(Table1[[#This Row],[DUT Adj Read]]&gt;=Table1[[#This Row],[Low Tol]],Table1[[#This Row],[DUT Adj Read]]&lt;=Table1[[#This Row],[High Tol]]),"Pass","Fail"))</f>
        <v>Fail</v>
      </c>
      <c r="AD2882" s="1" t="str">
        <f>IF(AND(Table1[[#This Row],[Spec Type2]]="N/A",Table1[[#This Row],[DUT Adj Read]]="N/A",Table1[[#This Row],[Std Adj Read]]="N/A"),"N/A",IF(Table1[[#This Row],[DUT Adj Read]]="N/A",IF(Table1[[#This Row],[Std Adj Read]]&gt;Table1[[#This Row],[Low Tol]],"Pass","Fail"),IF(Table1[[#This Row],[DUT Adj Read]]&gt;Table1[[#This Row],[Low Tol]],"Pass","Fail")))</f>
        <v>Pass</v>
      </c>
      <c r="AE2882" s="1" t="str">
        <f>IF(AND(Table1[[#This Row],[Spec Type2]]="N/A",Table1[[#This Row],[DUT Adj Read]]="N/A",Table1[[#This Row],[Std Adj Read]]="N/A"),"N/A",IF(Table1[[#This Row],[DUT Adj Read]]="N/A",IF(Table1[[#This Row],[Std Adj Read]]&lt;Table1[[#This Row],[High Tol]],"Pass","Fail"),IF(Table1[[#This Row],[DUT Adj Read]]&lt;Table1[[#This Row],[High Tol]],"Pass","Fail")))</f>
        <v>Fail</v>
      </c>
      <c r="AF2882" s="1" t="str">
        <f>IF(AND(Table1[[#This Row],[Spec Type2]]="N/A",Table1[[#This Row],[DUT Adj Read]]="N/A",Table1[[#This Row],[Std Adj Read]]="N/A"),"N/A",IF(Table1[[#This Row],[DUT Adj Read]]="N/A",IF(Table1[[#This Row],[Std Adj Read]]&gt;=Table1[[#This Row],[Low Tol]],"Pass","Fail"),IF(Table1[[#This Row],[DUT Adj Read]]&gt;=Table1[[#This Row],[Low Tol]],"Pass","Fail")))</f>
        <v>Pass</v>
      </c>
      <c r="AG2882" s="1" t="str">
        <f>IF(AND(Table1[[#This Row],[Spec Type2]]="N/A",Table1[[#This Row],[DUT Adj Read]]="N/A",Table1[[#This Row],[Std Adj Read]]="N/A"),"N/A",IF(Table1[[#This Row],[DUT Adj Read]]="N/A",IF(Table1[[#This Row],[Std Adj Read]]&lt;=Table1[[#This Row],[High Tol]],"Pass","Fail"),IF(Table1[[#This Row],[DUT Adj Read]]&lt;=Table1[[#This Row],[High Tol]],"Pass","Fail")))</f>
        <v>Fail</v>
      </c>
      <c r="AH28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2" s="1" t="b">
        <v>0</v>
      </c>
      <c r="AN2882" s="1" t="b">
        <v>0</v>
      </c>
      <c r="AO2882" s="1" t="b">
        <v>0</v>
      </c>
    </row>
    <row r="2883" spans="1:41" x14ac:dyDescent="0.25">
      <c r="A2883" s="10"/>
      <c r="B2883" s="10"/>
      <c r="C2883" s="10"/>
      <c r="D2883" s="10"/>
      <c r="E2883" s="10"/>
      <c r="F2883" s="10"/>
      <c r="G2883" s="10"/>
      <c r="H2883" s="10"/>
      <c r="I2883" s="1" t="str">
        <f t="shared" si="132"/>
        <v/>
      </c>
      <c r="J2883" s="1" t="s">
        <v>35</v>
      </c>
      <c r="K2883" s="1" t="str">
        <f t="shared" si="133"/>
        <v/>
      </c>
      <c r="L2883" s="1" t="str">
        <f t="shared" si="134"/>
        <v/>
      </c>
      <c r="M2883" s="1">
        <f>IF(OR(Table1[[#This Row],[Std Nom]]="",Table1[[#This Row],[Std Read]]=""),0,Table1[[#This Row],[Std Nom]]-Table1[[#This Row],[Std Read]])</f>
        <v>0</v>
      </c>
      <c r="N2883" s="1">
        <f>IF(Calculations!$F$5="ACCREDITED 17025 WITH UNCERTAINTIES",$N$10,0)</f>
        <v>0</v>
      </c>
      <c r="Q2883" s="1">
        <f>Table1[[#This Row],[High Tol]]-Table1[[#This Row],[Low Tol]]</f>
        <v>0</v>
      </c>
      <c r="R2883" s="1">
        <f>2*Table1[[#This Row],[Std Error]]</f>
        <v>0</v>
      </c>
      <c r="S2883" s="1" t="str">
        <f>IF(Table1[[#This Row],[High Tol]]="","N/A",IFERROR(ABS(Table1[[#This Row],[Tol Span]]/Table1[[#This Row],[Error Span]]),"N/A"))</f>
        <v>N/A</v>
      </c>
      <c r="T2883" s="1" t="str">
        <f>IF(OR(Table1[[#This Row],[Low Tol]]="",Table1[[#This Row],[High Tol]]=""),"Needs Analysis",IF(Table1[[#This Row],[Ratio]]&gt;=4,"Not Significant",IF(Table1[[#This Row],[Ratio]]&gt;=2,"Semi-Significant","Significant")))</f>
        <v>Needs Analysis</v>
      </c>
      <c r="W2883" s="1">
        <f>IF(Table1[[#This Row],[Cal Type]]&lt;&gt;"ACCREDITED 17025 WITH UNCERTAINTIES",0,"")</f>
        <v>0</v>
      </c>
      <c r="X2883" s="1" t="str">
        <f>IF(Table1[[#This Row],[DUT Read]]="","N/A",Table1[[#This Row],[Std Error]]+Table1[[#This Row],[DUT Read]]+Table1[[#This Row],[DUT Ucty]])</f>
        <v>N/A</v>
      </c>
      <c r="Y2883" s="1" t="str">
        <f>IF(Table1[[#This Row],[Std Read]]="","N/A",Table1[[#This Row],[Std Read]]+Table1[[#This Row],[Std Ucty]])</f>
        <v>N/A</v>
      </c>
      <c r="Z28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3" s="1" t="str">
        <f>IF(Table1[[#This Row],[Spec Type]]="","N/A",Table1[[#This Row],[Spec Type]])</f>
        <v>±</v>
      </c>
      <c r="AC2883" s="1" t="str">
        <f>IF(Table1[[#This Row],[Spec Type2]]="N/A","N/A",IF(AND(Table1[[#This Row],[DUT Adj Read]]&gt;=Table1[[#This Row],[Low Tol]],Table1[[#This Row],[DUT Adj Read]]&lt;=Table1[[#This Row],[High Tol]]),"Pass","Fail"))</f>
        <v>Fail</v>
      </c>
      <c r="AD2883" s="1" t="str">
        <f>IF(AND(Table1[[#This Row],[Spec Type2]]="N/A",Table1[[#This Row],[DUT Adj Read]]="N/A",Table1[[#This Row],[Std Adj Read]]="N/A"),"N/A",IF(Table1[[#This Row],[DUT Adj Read]]="N/A",IF(Table1[[#This Row],[Std Adj Read]]&gt;Table1[[#This Row],[Low Tol]],"Pass","Fail"),IF(Table1[[#This Row],[DUT Adj Read]]&gt;Table1[[#This Row],[Low Tol]],"Pass","Fail")))</f>
        <v>Pass</v>
      </c>
      <c r="AE2883" s="1" t="str">
        <f>IF(AND(Table1[[#This Row],[Spec Type2]]="N/A",Table1[[#This Row],[DUT Adj Read]]="N/A",Table1[[#This Row],[Std Adj Read]]="N/A"),"N/A",IF(Table1[[#This Row],[DUT Adj Read]]="N/A",IF(Table1[[#This Row],[Std Adj Read]]&lt;Table1[[#This Row],[High Tol]],"Pass","Fail"),IF(Table1[[#This Row],[DUT Adj Read]]&lt;Table1[[#This Row],[High Tol]],"Pass","Fail")))</f>
        <v>Fail</v>
      </c>
      <c r="AF2883" s="1" t="str">
        <f>IF(AND(Table1[[#This Row],[Spec Type2]]="N/A",Table1[[#This Row],[DUT Adj Read]]="N/A",Table1[[#This Row],[Std Adj Read]]="N/A"),"N/A",IF(Table1[[#This Row],[DUT Adj Read]]="N/A",IF(Table1[[#This Row],[Std Adj Read]]&gt;=Table1[[#This Row],[Low Tol]],"Pass","Fail"),IF(Table1[[#This Row],[DUT Adj Read]]&gt;=Table1[[#This Row],[Low Tol]],"Pass","Fail")))</f>
        <v>Pass</v>
      </c>
      <c r="AG2883" s="1" t="str">
        <f>IF(AND(Table1[[#This Row],[Spec Type2]]="N/A",Table1[[#This Row],[DUT Adj Read]]="N/A",Table1[[#This Row],[Std Adj Read]]="N/A"),"N/A",IF(Table1[[#This Row],[DUT Adj Read]]="N/A",IF(Table1[[#This Row],[Std Adj Read]]&lt;=Table1[[#This Row],[High Tol]],"Pass","Fail"),IF(Table1[[#This Row],[DUT Adj Read]]&lt;=Table1[[#This Row],[High Tol]],"Pass","Fail")))</f>
        <v>Fail</v>
      </c>
      <c r="AH28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3" s="1" t="b">
        <v>0</v>
      </c>
      <c r="AN2883" s="1" t="b">
        <v>0</v>
      </c>
      <c r="AO2883" s="1" t="b">
        <v>0</v>
      </c>
    </row>
    <row r="2884" spans="1:41" x14ac:dyDescent="0.25">
      <c r="A2884" s="10"/>
      <c r="B2884" s="10"/>
      <c r="C2884" s="10"/>
      <c r="D2884" s="10"/>
      <c r="E2884" s="10"/>
      <c r="F2884" s="10"/>
      <c r="G2884" s="10"/>
      <c r="H2884" s="10"/>
      <c r="I2884" s="1" t="str">
        <f t="shared" si="132"/>
        <v/>
      </c>
      <c r="J2884" s="1" t="s">
        <v>35</v>
      </c>
      <c r="K2884" s="1" t="str">
        <f t="shared" si="133"/>
        <v/>
      </c>
      <c r="L2884" s="1" t="str">
        <f t="shared" si="134"/>
        <v/>
      </c>
      <c r="M2884" s="1">
        <f>IF(OR(Table1[[#This Row],[Std Nom]]="",Table1[[#This Row],[Std Read]]=""),0,Table1[[#This Row],[Std Nom]]-Table1[[#This Row],[Std Read]])</f>
        <v>0</v>
      </c>
      <c r="N2884" s="1">
        <f>IF(Calculations!$F$5="ACCREDITED 17025 WITH UNCERTAINTIES",$N$10,0)</f>
        <v>0</v>
      </c>
      <c r="Q2884" s="1">
        <f>Table1[[#This Row],[High Tol]]-Table1[[#This Row],[Low Tol]]</f>
        <v>0</v>
      </c>
      <c r="R2884" s="1">
        <f>2*Table1[[#This Row],[Std Error]]</f>
        <v>0</v>
      </c>
      <c r="S2884" s="1" t="str">
        <f>IF(Table1[[#This Row],[High Tol]]="","N/A",IFERROR(ABS(Table1[[#This Row],[Tol Span]]/Table1[[#This Row],[Error Span]]),"N/A"))</f>
        <v>N/A</v>
      </c>
      <c r="T2884" s="1" t="str">
        <f>IF(OR(Table1[[#This Row],[Low Tol]]="",Table1[[#This Row],[High Tol]]=""),"Needs Analysis",IF(Table1[[#This Row],[Ratio]]&gt;=4,"Not Significant",IF(Table1[[#This Row],[Ratio]]&gt;=2,"Semi-Significant","Significant")))</f>
        <v>Needs Analysis</v>
      </c>
      <c r="W2884" s="1">
        <f>IF(Table1[[#This Row],[Cal Type]]&lt;&gt;"ACCREDITED 17025 WITH UNCERTAINTIES",0,"")</f>
        <v>0</v>
      </c>
      <c r="X2884" s="1" t="str">
        <f>IF(Table1[[#This Row],[DUT Read]]="","N/A",Table1[[#This Row],[Std Error]]+Table1[[#This Row],[DUT Read]]+Table1[[#This Row],[DUT Ucty]])</f>
        <v>N/A</v>
      </c>
      <c r="Y2884" s="1" t="str">
        <f>IF(Table1[[#This Row],[Std Read]]="","N/A",Table1[[#This Row],[Std Read]]+Table1[[#This Row],[Std Ucty]])</f>
        <v>N/A</v>
      </c>
      <c r="Z28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4" s="1" t="str">
        <f>IF(Table1[[#This Row],[Spec Type]]="","N/A",Table1[[#This Row],[Spec Type]])</f>
        <v>±</v>
      </c>
      <c r="AC2884" s="1" t="str">
        <f>IF(Table1[[#This Row],[Spec Type2]]="N/A","N/A",IF(AND(Table1[[#This Row],[DUT Adj Read]]&gt;=Table1[[#This Row],[Low Tol]],Table1[[#This Row],[DUT Adj Read]]&lt;=Table1[[#This Row],[High Tol]]),"Pass","Fail"))</f>
        <v>Fail</v>
      </c>
      <c r="AD2884" s="1" t="str">
        <f>IF(AND(Table1[[#This Row],[Spec Type2]]="N/A",Table1[[#This Row],[DUT Adj Read]]="N/A",Table1[[#This Row],[Std Adj Read]]="N/A"),"N/A",IF(Table1[[#This Row],[DUT Adj Read]]="N/A",IF(Table1[[#This Row],[Std Adj Read]]&gt;Table1[[#This Row],[Low Tol]],"Pass","Fail"),IF(Table1[[#This Row],[DUT Adj Read]]&gt;Table1[[#This Row],[Low Tol]],"Pass","Fail")))</f>
        <v>Pass</v>
      </c>
      <c r="AE2884" s="1" t="str">
        <f>IF(AND(Table1[[#This Row],[Spec Type2]]="N/A",Table1[[#This Row],[DUT Adj Read]]="N/A",Table1[[#This Row],[Std Adj Read]]="N/A"),"N/A",IF(Table1[[#This Row],[DUT Adj Read]]="N/A",IF(Table1[[#This Row],[Std Adj Read]]&lt;Table1[[#This Row],[High Tol]],"Pass","Fail"),IF(Table1[[#This Row],[DUT Adj Read]]&lt;Table1[[#This Row],[High Tol]],"Pass","Fail")))</f>
        <v>Fail</v>
      </c>
      <c r="AF2884" s="1" t="str">
        <f>IF(AND(Table1[[#This Row],[Spec Type2]]="N/A",Table1[[#This Row],[DUT Adj Read]]="N/A",Table1[[#This Row],[Std Adj Read]]="N/A"),"N/A",IF(Table1[[#This Row],[DUT Adj Read]]="N/A",IF(Table1[[#This Row],[Std Adj Read]]&gt;=Table1[[#This Row],[Low Tol]],"Pass","Fail"),IF(Table1[[#This Row],[DUT Adj Read]]&gt;=Table1[[#This Row],[Low Tol]],"Pass","Fail")))</f>
        <v>Pass</v>
      </c>
      <c r="AG2884" s="1" t="str">
        <f>IF(AND(Table1[[#This Row],[Spec Type2]]="N/A",Table1[[#This Row],[DUT Adj Read]]="N/A",Table1[[#This Row],[Std Adj Read]]="N/A"),"N/A",IF(Table1[[#This Row],[DUT Adj Read]]="N/A",IF(Table1[[#This Row],[Std Adj Read]]&lt;=Table1[[#This Row],[High Tol]],"Pass","Fail"),IF(Table1[[#This Row],[DUT Adj Read]]&lt;=Table1[[#This Row],[High Tol]],"Pass","Fail")))</f>
        <v>Fail</v>
      </c>
      <c r="AH28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4" s="1" t="b">
        <v>0</v>
      </c>
      <c r="AN2884" s="1" t="b">
        <v>0</v>
      </c>
      <c r="AO2884" s="1" t="b">
        <v>0</v>
      </c>
    </row>
    <row r="2885" spans="1:41" x14ac:dyDescent="0.25">
      <c r="A2885" s="10"/>
      <c r="B2885" s="10"/>
      <c r="C2885" s="10"/>
      <c r="D2885" s="10"/>
      <c r="E2885" s="10"/>
      <c r="F2885" s="10"/>
      <c r="G2885" s="10"/>
      <c r="H2885" s="10"/>
      <c r="I2885" s="1" t="str">
        <f t="shared" si="132"/>
        <v/>
      </c>
      <c r="J2885" s="1" t="s">
        <v>35</v>
      </c>
      <c r="K2885" s="1" t="str">
        <f t="shared" si="133"/>
        <v/>
      </c>
      <c r="L2885" s="1" t="str">
        <f t="shared" si="134"/>
        <v/>
      </c>
      <c r="M2885" s="1">
        <f>IF(OR(Table1[[#This Row],[Std Nom]]="",Table1[[#This Row],[Std Read]]=""),0,Table1[[#This Row],[Std Nom]]-Table1[[#This Row],[Std Read]])</f>
        <v>0</v>
      </c>
      <c r="N2885" s="1">
        <f>IF(Calculations!$F$5="ACCREDITED 17025 WITH UNCERTAINTIES",$N$10,0)</f>
        <v>0</v>
      </c>
      <c r="Q2885" s="1">
        <f>Table1[[#This Row],[High Tol]]-Table1[[#This Row],[Low Tol]]</f>
        <v>0</v>
      </c>
      <c r="R2885" s="1">
        <f>2*Table1[[#This Row],[Std Error]]</f>
        <v>0</v>
      </c>
      <c r="S2885" s="1" t="str">
        <f>IF(Table1[[#This Row],[High Tol]]="","N/A",IFERROR(ABS(Table1[[#This Row],[Tol Span]]/Table1[[#This Row],[Error Span]]),"N/A"))</f>
        <v>N/A</v>
      </c>
      <c r="T2885" s="1" t="str">
        <f>IF(OR(Table1[[#This Row],[Low Tol]]="",Table1[[#This Row],[High Tol]]=""),"Needs Analysis",IF(Table1[[#This Row],[Ratio]]&gt;=4,"Not Significant",IF(Table1[[#This Row],[Ratio]]&gt;=2,"Semi-Significant","Significant")))</f>
        <v>Needs Analysis</v>
      </c>
      <c r="W2885" s="1">
        <f>IF(Table1[[#This Row],[Cal Type]]&lt;&gt;"ACCREDITED 17025 WITH UNCERTAINTIES",0,"")</f>
        <v>0</v>
      </c>
      <c r="X2885" s="1" t="str">
        <f>IF(Table1[[#This Row],[DUT Read]]="","N/A",Table1[[#This Row],[Std Error]]+Table1[[#This Row],[DUT Read]]+Table1[[#This Row],[DUT Ucty]])</f>
        <v>N/A</v>
      </c>
      <c r="Y2885" s="1" t="str">
        <f>IF(Table1[[#This Row],[Std Read]]="","N/A",Table1[[#This Row],[Std Read]]+Table1[[#This Row],[Std Ucty]])</f>
        <v>N/A</v>
      </c>
      <c r="Z28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5" s="1" t="str">
        <f>IF(Table1[[#This Row],[Spec Type]]="","N/A",Table1[[#This Row],[Spec Type]])</f>
        <v>±</v>
      </c>
      <c r="AC2885" s="1" t="str">
        <f>IF(Table1[[#This Row],[Spec Type2]]="N/A","N/A",IF(AND(Table1[[#This Row],[DUT Adj Read]]&gt;=Table1[[#This Row],[Low Tol]],Table1[[#This Row],[DUT Adj Read]]&lt;=Table1[[#This Row],[High Tol]]),"Pass","Fail"))</f>
        <v>Fail</v>
      </c>
      <c r="AD2885" s="1" t="str">
        <f>IF(AND(Table1[[#This Row],[Spec Type2]]="N/A",Table1[[#This Row],[DUT Adj Read]]="N/A",Table1[[#This Row],[Std Adj Read]]="N/A"),"N/A",IF(Table1[[#This Row],[DUT Adj Read]]="N/A",IF(Table1[[#This Row],[Std Adj Read]]&gt;Table1[[#This Row],[Low Tol]],"Pass","Fail"),IF(Table1[[#This Row],[DUT Adj Read]]&gt;Table1[[#This Row],[Low Tol]],"Pass","Fail")))</f>
        <v>Pass</v>
      </c>
      <c r="AE2885" s="1" t="str">
        <f>IF(AND(Table1[[#This Row],[Spec Type2]]="N/A",Table1[[#This Row],[DUT Adj Read]]="N/A",Table1[[#This Row],[Std Adj Read]]="N/A"),"N/A",IF(Table1[[#This Row],[DUT Adj Read]]="N/A",IF(Table1[[#This Row],[Std Adj Read]]&lt;Table1[[#This Row],[High Tol]],"Pass","Fail"),IF(Table1[[#This Row],[DUT Adj Read]]&lt;Table1[[#This Row],[High Tol]],"Pass","Fail")))</f>
        <v>Fail</v>
      </c>
      <c r="AF2885" s="1" t="str">
        <f>IF(AND(Table1[[#This Row],[Spec Type2]]="N/A",Table1[[#This Row],[DUT Adj Read]]="N/A",Table1[[#This Row],[Std Adj Read]]="N/A"),"N/A",IF(Table1[[#This Row],[DUT Adj Read]]="N/A",IF(Table1[[#This Row],[Std Adj Read]]&gt;=Table1[[#This Row],[Low Tol]],"Pass","Fail"),IF(Table1[[#This Row],[DUT Adj Read]]&gt;=Table1[[#This Row],[Low Tol]],"Pass","Fail")))</f>
        <v>Pass</v>
      </c>
      <c r="AG2885" s="1" t="str">
        <f>IF(AND(Table1[[#This Row],[Spec Type2]]="N/A",Table1[[#This Row],[DUT Adj Read]]="N/A",Table1[[#This Row],[Std Adj Read]]="N/A"),"N/A",IF(Table1[[#This Row],[DUT Adj Read]]="N/A",IF(Table1[[#This Row],[Std Adj Read]]&lt;=Table1[[#This Row],[High Tol]],"Pass","Fail"),IF(Table1[[#This Row],[DUT Adj Read]]&lt;=Table1[[#This Row],[High Tol]],"Pass","Fail")))</f>
        <v>Fail</v>
      </c>
      <c r="AH28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5" s="1" t="b">
        <v>0</v>
      </c>
      <c r="AN2885" s="1" t="b">
        <v>0</v>
      </c>
      <c r="AO2885" s="1" t="b">
        <v>0</v>
      </c>
    </row>
    <row r="2886" spans="1:41" x14ac:dyDescent="0.25">
      <c r="A2886" s="10"/>
      <c r="B2886" s="10"/>
      <c r="C2886" s="10"/>
      <c r="D2886" s="10"/>
      <c r="E2886" s="10"/>
      <c r="F2886" s="10"/>
      <c r="G2886" s="10"/>
      <c r="H2886" s="10"/>
      <c r="I2886" s="1" t="str">
        <f t="shared" si="132"/>
        <v/>
      </c>
      <c r="J2886" s="1" t="s">
        <v>35</v>
      </c>
      <c r="K2886" s="1" t="str">
        <f t="shared" si="133"/>
        <v/>
      </c>
      <c r="L2886" s="1" t="str">
        <f t="shared" si="134"/>
        <v/>
      </c>
      <c r="M2886" s="1">
        <f>IF(OR(Table1[[#This Row],[Std Nom]]="",Table1[[#This Row],[Std Read]]=""),0,Table1[[#This Row],[Std Nom]]-Table1[[#This Row],[Std Read]])</f>
        <v>0</v>
      </c>
      <c r="N2886" s="1">
        <f>IF(Calculations!$F$5="ACCREDITED 17025 WITH UNCERTAINTIES",$N$10,0)</f>
        <v>0</v>
      </c>
      <c r="Q2886" s="1">
        <f>Table1[[#This Row],[High Tol]]-Table1[[#This Row],[Low Tol]]</f>
        <v>0</v>
      </c>
      <c r="R2886" s="1">
        <f>2*Table1[[#This Row],[Std Error]]</f>
        <v>0</v>
      </c>
      <c r="S2886" s="1" t="str">
        <f>IF(Table1[[#This Row],[High Tol]]="","N/A",IFERROR(ABS(Table1[[#This Row],[Tol Span]]/Table1[[#This Row],[Error Span]]),"N/A"))</f>
        <v>N/A</v>
      </c>
      <c r="T2886" s="1" t="str">
        <f>IF(OR(Table1[[#This Row],[Low Tol]]="",Table1[[#This Row],[High Tol]]=""),"Needs Analysis",IF(Table1[[#This Row],[Ratio]]&gt;=4,"Not Significant",IF(Table1[[#This Row],[Ratio]]&gt;=2,"Semi-Significant","Significant")))</f>
        <v>Needs Analysis</v>
      </c>
      <c r="W2886" s="1">
        <f>IF(Table1[[#This Row],[Cal Type]]&lt;&gt;"ACCREDITED 17025 WITH UNCERTAINTIES",0,"")</f>
        <v>0</v>
      </c>
      <c r="X2886" s="1" t="str">
        <f>IF(Table1[[#This Row],[DUT Read]]="","N/A",Table1[[#This Row],[Std Error]]+Table1[[#This Row],[DUT Read]]+Table1[[#This Row],[DUT Ucty]])</f>
        <v>N/A</v>
      </c>
      <c r="Y2886" s="1" t="str">
        <f>IF(Table1[[#This Row],[Std Read]]="","N/A",Table1[[#This Row],[Std Read]]+Table1[[#This Row],[Std Ucty]])</f>
        <v>N/A</v>
      </c>
      <c r="Z28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6" s="1" t="str">
        <f>IF(Table1[[#This Row],[Spec Type]]="","N/A",Table1[[#This Row],[Spec Type]])</f>
        <v>±</v>
      </c>
      <c r="AC2886" s="1" t="str">
        <f>IF(Table1[[#This Row],[Spec Type2]]="N/A","N/A",IF(AND(Table1[[#This Row],[DUT Adj Read]]&gt;=Table1[[#This Row],[Low Tol]],Table1[[#This Row],[DUT Adj Read]]&lt;=Table1[[#This Row],[High Tol]]),"Pass","Fail"))</f>
        <v>Fail</v>
      </c>
      <c r="AD2886" s="1" t="str">
        <f>IF(AND(Table1[[#This Row],[Spec Type2]]="N/A",Table1[[#This Row],[DUT Adj Read]]="N/A",Table1[[#This Row],[Std Adj Read]]="N/A"),"N/A",IF(Table1[[#This Row],[DUT Adj Read]]="N/A",IF(Table1[[#This Row],[Std Adj Read]]&gt;Table1[[#This Row],[Low Tol]],"Pass","Fail"),IF(Table1[[#This Row],[DUT Adj Read]]&gt;Table1[[#This Row],[Low Tol]],"Pass","Fail")))</f>
        <v>Pass</v>
      </c>
      <c r="AE2886" s="1" t="str">
        <f>IF(AND(Table1[[#This Row],[Spec Type2]]="N/A",Table1[[#This Row],[DUT Adj Read]]="N/A",Table1[[#This Row],[Std Adj Read]]="N/A"),"N/A",IF(Table1[[#This Row],[DUT Adj Read]]="N/A",IF(Table1[[#This Row],[Std Adj Read]]&lt;Table1[[#This Row],[High Tol]],"Pass","Fail"),IF(Table1[[#This Row],[DUT Adj Read]]&lt;Table1[[#This Row],[High Tol]],"Pass","Fail")))</f>
        <v>Fail</v>
      </c>
      <c r="AF2886" s="1" t="str">
        <f>IF(AND(Table1[[#This Row],[Spec Type2]]="N/A",Table1[[#This Row],[DUT Adj Read]]="N/A",Table1[[#This Row],[Std Adj Read]]="N/A"),"N/A",IF(Table1[[#This Row],[DUT Adj Read]]="N/A",IF(Table1[[#This Row],[Std Adj Read]]&gt;=Table1[[#This Row],[Low Tol]],"Pass","Fail"),IF(Table1[[#This Row],[DUT Adj Read]]&gt;=Table1[[#This Row],[Low Tol]],"Pass","Fail")))</f>
        <v>Pass</v>
      </c>
      <c r="AG2886" s="1" t="str">
        <f>IF(AND(Table1[[#This Row],[Spec Type2]]="N/A",Table1[[#This Row],[DUT Adj Read]]="N/A",Table1[[#This Row],[Std Adj Read]]="N/A"),"N/A",IF(Table1[[#This Row],[DUT Adj Read]]="N/A",IF(Table1[[#This Row],[Std Adj Read]]&lt;=Table1[[#This Row],[High Tol]],"Pass","Fail"),IF(Table1[[#This Row],[DUT Adj Read]]&lt;=Table1[[#This Row],[High Tol]],"Pass","Fail")))</f>
        <v>Fail</v>
      </c>
      <c r="AH28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6" s="1" t="b">
        <v>0</v>
      </c>
      <c r="AN2886" s="1" t="b">
        <v>0</v>
      </c>
      <c r="AO2886" s="1" t="b">
        <v>0</v>
      </c>
    </row>
    <row r="2887" spans="1:41" x14ac:dyDescent="0.25">
      <c r="A2887" s="10"/>
      <c r="B2887" s="10"/>
      <c r="C2887" s="10"/>
      <c r="D2887" s="10"/>
      <c r="E2887" s="10"/>
      <c r="F2887" s="10"/>
      <c r="G2887" s="10"/>
      <c r="H2887" s="10"/>
      <c r="I2887" s="1" t="str">
        <f t="shared" si="132"/>
        <v/>
      </c>
      <c r="J2887" s="1" t="s">
        <v>35</v>
      </c>
      <c r="K2887" s="1" t="str">
        <f t="shared" si="133"/>
        <v/>
      </c>
      <c r="L2887" s="1" t="str">
        <f t="shared" si="134"/>
        <v/>
      </c>
      <c r="M2887" s="1">
        <f>IF(OR(Table1[[#This Row],[Std Nom]]="",Table1[[#This Row],[Std Read]]=""),0,Table1[[#This Row],[Std Nom]]-Table1[[#This Row],[Std Read]])</f>
        <v>0</v>
      </c>
      <c r="N2887" s="1">
        <f>IF(Calculations!$F$5="ACCREDITED 17025 WITH UNCERTAINTIES",$N$10,0)</f>
        <v>0</v>
      </c>
      <c r="Q2887" s="1">
        <f>Table1[[#This Row],[High Tol]]-Table1[[#This Row],[Low Tol]]</f>
        <v>0</v>
      </c>
      <c r="R2887" s="1">
        <f>2*Table1[[#This Row],[Std Error]]</f>
        <v>0</v>
      </c>
      <c r="S2887" s="1" t="str">
        <f>IF(Table1[[#This Row],[High Tol]]="","N/A",IFERROR(ABS(Table1[[#This Row],[Tol Span]]/Table1[[#This Row],[Error Span]]),"N/A"))</f>
        <v>N/A</v>
      </c>
      <c r="T2887" s="1" t="str">
        <f>IF(OR(Table1[[#This Row],[Low Tol]]="",Table1[[#This Row],[High Tol]]=""),"Needs Analysis",IF(Table1[[#This Row],[Ratio]]&gt;=4,"Not Significant",IF(Table1[[#This Row],[Ratio]]&gt;=2,"Semi-Significant","Significant")))</f>
        <v>Needs Analysis</v>
      </c>
      <c r="W2887" s="1">
        <f>IF(Table1[[#This Row],[Cal Type]]&lt;&gt;"ACCREDITED 17025 WITH UNCERTAINTIES",0,"")</f>
        <v>0</v>
      </c>
      <c r="X2887" s="1" t="str">
        <f>IF(Table1[[#This Row],[DUT Read]]="","N/A",Table1[[#This Row],[Std Error]]+Table1[[#This Row],[DUT Read]]+Table1[[#This Row],[DUT Ucty]])</f>
        <v>N/A</v>
      </c>
      <c r="Y2887" s="1" t="str">
        <f>IF(Table1[[#This Row],[Std Read]]="","N/A",Table1[[#This Row],[Std Read]]+Table1[[#This Row],[Std Ucty]])</f>
        <v>N/A</v>
      </c>
      <c r="Z28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7" s="1" t="str">
        <f>IF(Table1[[#This Row],[Spec Type]]="","N/A",Table1[[#This Row],[Spec Type]])</f>
        <v>±</v>
      </c>
      <c r="AC2887" s="1" t="str">
        <f>IF(Table1[[#This Row],[Spec Type2]]="N/A","N/A",IF(AND(Table1[[#This Row],[DUT Adj Read]]&gt;=Table1[[#This Row],[Low Tol]],Table1[[#This Row],[DUT Adj Read]]&lt;=Table1[[#This Row],[High Tol]]),"Pass","Fail"))</f>
        <v>Fail</v>
      </c>
      <c r="AD2887" s="1" t="str">
        <f>IF(AND(Table1[[#This Row],[Spec Type2]]="N/A",Table1[[#This Row],[DUT Adj Read]]="N/A",Table1[[#This Row],[Std Adj Read]]="N/A"),"N/A",IF(Table1[[#This Row],[DUT Adj Read]]="N/A",IF(Table1[[#This Row],[Std Adj Read]]&gt;Table1[[#This Row],[Low Tol]],"Pass","Fail"),IF(Table1[[#This Row],[DUT Adj Read]]&gt;Table1[[#This Row],[Low Tol]],"Pass","Fail")))</f>
        <v>Pass</v>
      </c>
      <c r="AE2887" s="1" t="str">
        <f>IF(AND(Table1[[#This Row],[Spec Type2]]="N/A",Table1[[#This Row],[DUT Adj Read]]="N/A",Table1[[#This Row],[Std Adj Read]]="N/A"),"N/A",IF(Table1[[#This Row],[DUT Adj Read]]="N/A",IF(Table1[[#This Row],[Std Adj Read]]&lt;Table1[[#This Row],[High Tol]],"Pass","Fail"),IF(Table1[[#This Row],[DUT Adj Read]]&lt;Table1[[#This Row],[High Tol]],"Pass","Fail")))</f>
        <v>Fail</v>
      </c>
      <c r="AF2887" s="1" t="str">
        <f>IF(AND(Table1[[#This Row],[Spec Type2]]="N/A",Table1[[#This Row],[DUT Adj Read]]="N/A",Table1[[#This Row],[Std Adj Read]]="N/A"),"N/A",IF(Table1[[#This Row],[DUT Adj Read]]="N/A",IF(Table1[[#This Row],[Std Adj Read]]&gt;=Table1[[#This Row],[Low Tol]],"Pass","Fail"),IF(Table1[[#This Row],[DUT Adj Read]]&gt;=Table1[[#This Row],[Low Tol]],"Pass","Fail")))</f>
        <v>Pass</v>
      </c>
      <c r="AG2887" s="1" t="str">
        <f>IF(AND(Table1[[#This Row],[Spec Type2]]="N/A",Table1[[#This Row],[DUT Adj Read]]="N/A",Table1[[#This Row],[Std Adj Read]]="N/A"),"N/A",IF(Table1[[#This Row],[DUT Adj Read]]="N/A",IF(Table1[[#This Row],[Std Adj Read]]&lt;=Table1[[#This Row],[High Tol]],"Pass","Fail"),IF(Table1[[#This Row],[DUT Adj Read]]&lt;=Table1[[#This Row],[High Tol]],"Pass","Fail")))</f>
        <v>Fail</v>
      </c>
      <c r="AH28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7" s="1" t="b">
        <v>0</v>
      </c>
      <c r="AN2887" s="1" t="b">
        <v>0</v>
      </c>
      <c r="AO2887" s="1" t="b">
        <v>0</v>
      </c>
    </row>
    <row r="2888" spans="1:41" x14ac:dyDescent="0.25">
      <c r="A2888" s="10"/>
      <c r="B2888" s="10"/>
      <c r="C2888" s="10"/>
      <c r="D2888" s="10"/>
      <c r="E2888" s="10"/>
      <c r="F2888" s="10"/>
      <c r="G2888" s="10"/>
      <c r="H2888" s="10"/>
      <c r="I2888" s="1" t="str">
        <f t="shared" si="132"/>
        <v/>
      </c>
      <c r="J2888" s="1" t="s">
        <v>35</v>
      </c>
      <c r="K2888" s="1" t="str">
        <f t="shared" si="133"/>
        <v/>
      </c>
      <c r="L2888" s="1" t="str">
        <f t="shared" si="134"/>
        <v/>
      </c>
      <c r="M2888" s="1">
        <f>IF(OR(Table1[[#This Row],[Std Nom]]="",Table1[[#This Row],[Std Read]]=""),0,Table1[[#This Row],[Std Nom]]-Table1[[#This Row],[Std Read]])</f>
        <v>0</v>
      </c>
      <c r="N2888" s="1">
        <f>IF(Calculations!$F$5="ACCREDITED 17025 WITH UNCERTAINTIES",$N$10,0)</f>
        <v>0</v>
      </c>
      <c r="Q2888" s="1">
        <f>Table1[[#This Row],[High Tol]]-Table1[[#This Row],[Low Tol]]</f>
        <v>0</v>
      </c>
      <c r="R2888" s="1">
        <f>2*Table1[[#This Row],[Std Error]]</f>
        <v>0</v>
      </c>
      <c r="S2888" s="1" t="str">
        <f>IF(Table1[[#This Row],[High Tol]]="","N/A",IFERROR(ABS(Table1[[#This Row],[Tol Span]]/Table1[[#This Row],[Error Span]]),"N/A"))</f>
        <v>N/A</v>
      </c>
      <c r="T2888" s="1" t="str">
        <f>IF(OR(Table1[[#This Row],[Low Tol]]="",Table1[[#This Row],[High Tol]]=""),"Needs Analysis",IF(Table1[[#This Row],[Ratio]]&gt;=4,"Not Significant",IF(Table1[[#This Row],[Ratio]]&gt;=2,"Semi-Significant","Significant")))</f>
        <v>Needs Analysis</v>
      </c>
      <c r="W2888" s="1">
        <f>IF(Table1[[#This Row],[Cal Type]]&lt;&gt;"ACCREDITED 17025 WITH UNCERTAINTIES",0,"")</f>
        <v>0</v>
      </c>
      <c r="X2888" s="1" t="str">
        <f>IF(Table1[[#This Row],[DUT Read]]="","N/A",Table1[[#This Row],[Std Error]]+Table1[[#This Row],[DUT Read]]+Table1[[#This Row],[DUT Ucty]])</f>
        <v>N/A</v>
      </c>
      <c r="Y2888" s="1" t="str">
        <f>IF(Table1[[#This Row],[Std Read]]="","N/A",Table1[[#This Row],[Std Read]]+Table1[[#This Row],[Std Ucty]])</f>
        <v>N/A</v>
      </c>
      <c r="Z28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8" s="1" t="str">
        <f>IF(Table1[[#This Row],[Spec Type]]="","N/A",Table1[[#This Row],[Spec Type]])</f>
        <v>±</v>
      </c>
      <c r="AC2888" s="1" t="str">
        <f>IF(Table1[[#This Row],[Spec Type2]]="N/A","N/A",IF(AND(Table1[[#This Row],[DUT Adj Read]]&gt;=Table1[[#This Row],[Low Tol]],Table1[[#This Row],[DUT Adj Read]]&lt;=Table1[[#This Row],[High Tol]]),"Pass","Fail"))</f>
        <v>Fail</v>
      </c>
      <c r="AD2888" s="1" t="str">
        <f>IF(AND(Table1[[#This Row],[Spec Type2]]="N/A",Table1[[#This Row],[DUT Adj Read]]="N/A",Table1[[#This Row],[Std Adj Read]]="N/A"),"N/A",IF(Table1[[#This Row],[DUT Adj Read]]="N/A",IF(Table1[[#This Row],[Std Adj Read]]&gt;Table1[[#This Row],[Low Tol]],"Pass","Fail"),IF(Table1[[#This Row],[DUT Adj Read]]&gt;Table1[[#This Row],[Low Tol]],"Pass","Fail")))</f>
        <v>Pass</v>
      </c>
      <c r="AE2888" s="1" t="str">
        <f>IF(AND(Table1[[#This Row],[Spec Type2]]="N/A",Table1[[#This Row],[DUT Adj Read]]="N/A",Table1[[#This Row],[Std Adj Read]]="N/A"),"N/A",IF(Table1[[#This Row],[DUT Adj Read]]="N/A",IF(Table1[[#This Row],[Std Adj Read]]&lt;Table1[[#This Row],[High Tol]],"Pass","Fail"),IF(Table1[[#This Row],[DUT Adj Read]]&lt;Table1[[#This Row],[High Tol]],"Pass","Fail")))</f>
        <v>Fail</v>
      </c>
      <c r="AF2888" s="1" t="str">
        <f>IF(AND(Table1[[#This Row],[Spec Type2]]="N/A",Table1[[#This Row],[DUT Adj Read]]="N/A",Table1[[#This Row],[Std Adj Read]]="N/A"),"N/A",IF(Table1[[#This Row],[DUT Adj Read]]="N/A",IF(Table1[[#This Row],[Std Adj Read]]&gt;=Table1[[#This Row],[Low Tol]],"Pass","Fail"),IF(Table1[[#This Row],[DUT Adj Read]]&gt;=Table1[[#This Row],[Low Tol]],"Pass","Fail")))</f>
        <v>Pass</v>
      </c>
      <c r="AG2888" s="1" t="str">
        <f>IF(AND(Table1[[#This Row],[Spec Type2]]="N/A",Table1[[#This Row],[DUT Adj Read]]="N/A",Table1[[#This Row],[Std Adj Read]]="N/A"),"N/A",IF(Table1[[#This Row],[DUT Adj Read]]="N/A",IF(Table1[[#This Row],[Std Adj Read]]&lt;=Table1[[#This Row],[High Tol]],"Pass","Fail"),IF(Table1[[#This Row],[DUT Adj Read]]&lt;=Table1[[#This Row],[High Tol]],"Pass","Fail")))</f>
        <v>Fail</v>
      </c>
      <c r="AH28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8" s="1" t="b">
        <v>0</v>
      </c>
      <c r="AN2888" s="1" t="b">
        <v>0</v>
      </c>
      <c r="AO2888" s="1" t="b">
        <v>0</v>
      </c>
    </row>
    <row r="2889" spans="1:41" x14ac:dyDescent="0.25">
      <c r="A2889" s="10"/>
      <c r="B2889" s="10"/>
      <c r="C2889" s="10"/>
      <c r="D2889" s="10"/>
      <c r="E2889" s="10"/>
      <c r="F2889" s="10"/>
      <c r="G2889" s="10"/>
      <c r="H2889" s="10"/>
      <c r="I2889" s="1" t="str">
        <f t="shared" si="132"/>
        <v/>
      </c>
      <c r="J2889" s="1" t="s">
        <v>35</v>
      </c>
      <c r="K2889" s="1" t="str">
        <f t="shared" si="133"/>
        <v/>
      </c>
      <c r="L2889" s="1" t="str">
        <f t="shared" si="134"/>
        <v/>
      </c>
      <c r="M2889" s="1">
        <f>IF(OR(Table1[[#This Row],[Std Nom]]="",Table1[[#This Row],[Std Read]]=""),0,Table1[[#This Row],[Std Nom]]-Table1[[#This Row],[Std Read]])</f>
        <v>0</v>
      </c>
      <c r="N2889" s="1">
        <f>IF(Calculations!$F$5="ACCREDITED 17025 WITH UNCERTAINTIES",$N$10,0)</f>
        <v>0</v>
      </c>
      <c r="Q2889" s="1">
        <f>Table1[[#This Row],[High Tol]]-Table1[[#This Row],[Low Tol]]</f>
        <v>0</v>
      </c>
      <c r="R2889" s="1">
        <f>2*Table1[[#This Row],[Std Error]]</f>
        <v>0</v>
      </c>
      <c r="S2889" s="1" t="str">
        <f>IF(Table1[[#This Row],[High Tol]]="","N/A",IFERROR(ABS(Table1[[#This Row],[Tol Span]]/Table1[[#This Row],[Error Span]]),"N/A"))</f>
        <v>N/A</v>
      </c>
      <c r="T2889" s="1" t="str">
        <f>IF(OR(Table1[[#This Row],[Low Tol]]="",Table1[[#This Row],[High Tol]]=""),"Needs Analysis",IF(Table1[[#This Row],[Ratio]]&gt;=4,"Not Significant",IF(Table1[[#This Row],[Ratio]]&gt;=2,"Semi-Significant","Significant")))</f>
        <v>Needs Analysis</v>
      </c>
      <c r="W2889" s="1">
        <f>IF(Table1[[#This Row],[Cal Type]]&lt;&gt;"ACCREDITED 17025 WITH UNCERTAINTIES",0,"")</f>
        <v>0</v>
      </c>
      <c r="X2889" s="1" t="str">
        <f>IF(Table1[[#This Row],[DUT Read]]="","N/A",Table1[[#This Row],[Std Error]]+Table1[[#This Row],[DUT Read]]+Table1[[#This Row],[DUT Ucty]])</f>
        <v>N/A</v>
      </c>
      <c r="Y2889" s="1" t="str">
        <f>IF(Table1[[#This Row],[Std Read]]="","N/A",Table1[[#This Row],[Std Read]]+Table1[[#This Row],[Std Ucty]])</f>
        <v>N/A</v>
      </c>
      <c r="Z28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89" s="1" t="str">
        <f>IF(Table1[[#This Row],[Spec Type]]="","N/A",Table1[[#This Row],[Spec Type]])</f>
        <v>±</v>
      </c>
      <c r="AC2889" s="1" t="str">
        <f>IF(Table1[[#This Row],[Spec Type2]]="N/A","N/A",IF(AND(Table1[[#This Row],[DUT Adj Read]]&gt;=Table1[[#This Row],[Low Tol]],Table1[[#This Row],[DUT Adj Read]]&lt;=Table1[[#This Row],[High Tol]]),"Pass","Fail"))</f>
        <v>Fail</v>
      </c>
      <c r="AD2889" s="1" t="str">
        <f>IF(AND(Table1[[#This Row],[Spec Type2]]="N/A",Table1[[#This Row],[DUT Adj Read]]="N/A",Table1[[#This Row],[Std Adj Read]]="N/A"),"N/A",IF(Table1[[#This Row],[DUT Adj Read]]="N/A",IF(Table1[[#This Row],[Std Adj Read]]&gt;Table1[[#This Row],[Low Tol]],"Pass","Fail"),IF(Table1[[#This Row],[DUT Adj Read]]&gt;Table1[[#This Row],[Low Tol]],"Pass","Fail")))</f>
        <v>Pass</v>
      </c>
      <c r="AE2889" s="1" t="str">
        <f>IF(AND(Table1[[#This Row],[Spec Type2]]="N/A",Table1[[#This Row],[DUT Adj Read]]="N/A",Table1[[#This Row],[Std Adj Read]]="N/A"),"N/A",IF(Table1[[#This Row],[DUT Adj Read]]="N/A",IF(Table1[[#This Row],[Std Adj Read]]&lt;Table1[[#This Row],[High Tol]],"Pass","Fail"),IF(Table1[[#This Row],[DUT Adj Read]]&lt;Table1[[#This Row],[High Tol]],"Pass","Fail")))</f>
        <v>Fail</v>
      </c>
      <c r="AF2889" s="1" t="str">
        <f>IF(AND(Table1[[#This Row],[Spec Type2]]="N/A",Table1[[#This Row],[DUT Adj Read]]="N/A",Table1[[#This Row],[Std Adj Read]]="N/A"),"N/A",IF(Table1[[#This Row],[DUT Adj Read]]="N/A",IF(Table1[[#This Row],[Std Adj Read]]&gt;=Table1[[#This Row],[Low Tol]],"Pass","Fail"),IF(Table1[[#This Row],[DUT Adj Read]]&gt;=Table1[[#This Row],[Low Tol]],"Pass","Fail")))</f>
        <v>Pass</v>
      </c>
      <c r="AG2889" s="1" t="str">
        <f>IF(AND(Table1[[#This Row],[Spec Type2]]="N/A",Table1[[#This Row],[DUT Adj Read]]="N/A",Table1[[#This Row],[Std Adj Read]]="N/A"),"N/A",IF(Table1[[#This Row],[DUT Adj Read]]="N/A",IF(Table1[[#This Row],[Std Adj Read]]&lt;=Table1[[#This Row],[High Tol]],"Pass","Fail"),IF(Table1[[#This Row],[DUT Adj Read]]&lt;=Table1[[#This Row],[High Tol]],"Pass","Fail")))</f>
        <v>Fail</v>
      </c>
      <c r="AH28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89" s="1" t="b">
        <v>0</v>
      </c>
      <c r="AN2889" s="1" t="b">
        <v>0</v>
      </c>
      <c r="AO2889" s="1" t="b">
        <v>0</v>
      </c>
    </row>
    <row r="2890" spans="1:41" x14ac:dyDescent="0.25">
      <c r="A2890" s="10"/>
      <c r="B2890" s="10"/>
      <c r="C2890" s="10"/>
      <c r="D2890" s="10"/>
      <c r="E2890" s="10"/>
      <c r="F2890" s="10"/>
      <c r="G2890" s="10"/>
      <c r="H2890" s="10"/>
      <c r="I2890" s="1" t="str">
        <f t="shared" si="132"/>
        <v/>
      </c>
      <c r="J2890" s="1" t="s">
        <v>35</v>
      </c>
      <c r="K2890" s="1" t="str">
        <f t="shared" si="133"/>
        <v/>
      </c>
      <c r="L2890" s="1" t="str">
        <f t="shared" si="134"/>
        <v/>
      </c>
      <c r="M2890" s="1">
        <f>IF(OR(Table1[[#This Row],[Std Nom]]="",Table1[[#This Row],[Std Read]]=""),0,Table1[[#This Row],[Std Nom]]-Table1[[#This Row],[Std Read]])</f>
        <v>0</v>
      </c>
      <c r="N2890" s="1">
        <f>IF(Calculations!$F$5="ACCREDITED 17025 WITH UNCERTAINTIES",$N$10,0)</f>
        <v>0</v>
      </c>
      <c r="Q2890" s="1">
        <f>Table1[[#This Row],[High Tol]]-Table1[[#This Row],[Low Tol]]</f>
        <v>0</v>
      </c>
      <c r="R2890" s="1">
        <f>2*Table1[[#This Row],[Std Error]]</f>
        <v>0</v>
      </c>
      <c r="S2890" s="1" t="str">
        <f>IF(Table1[[#This Row],[High Tol]]="","N/A",IFERROR(ABS(Table1[[#This Row],[Tol Span]]/Table1[[#This Row],[Error Span]]),"N/A"))</f>
        <v>N/A</v>
      </c>
      <c r="T2890" s="1" t="str">
        <f>IF(OR(Table1[[#This Row],[Low Tol]]="",Table1[[#This Row],[High Tol]]=""),"Needs Analysis",IF(Table1[[#This Row],[Ratio]]&gt;=4,"Not Significant",IF(Table1[[#This Row],[Ratio]]&gt;=2,"Semi-Significant","Significant")))</f>
        <v>Needs Analysis</v>
      </c>
      <c r="W2890" s="1">
        <f>IF(Table1[[#This Row],[Cal Type]]&lt;&gt;"ACCREDITED 17025 WITH UNCERTAINTIES",0,"")</f>
        <v>0</v>
      </c>
      <c r="X2890" s="1" t="str">
        <f>IF(Table1[[#This Row],[DUT Read]]="","N/A",Table1[[#This Row],[Std Error]]+Table1[[#This Row],[DUT Read]]+Table1[[#This Row],[DUT Ucty]])</f>
        <v>N/A</v>
      </c>
      <c r="Y2890" s="1" t="str">
        <f>IF(Table1[[#This Row],[Std Read]]="","N/A",Table1[[#This Row],[Std Read]]+Table1[[#This Row],[Std Ucty]])</f>
        <v>N/A</v>
      </c>
      <c r="Z28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0" s="1" t="str">
        <f>IF(Table1[[#This Row],[Spec Type]]="","N/A",Table1[[#This Row],[Spec Type]])</f>
        <v>±</v>
      </c>
      <c r="AC2890" s="1" t="str">
        <f>IF(Table1[[#This Row],[Spec Type2]]="N/A","N/A",IF(AND(Table1[[#This Row],[DUT Adj Read]]&gt;=Table1[[#This Row],[Low Tol]],Table1[[#This Row],[DUT Adj Read]]&lt;=Table1[[#This Row],[High Tol]]),"Pass","Fail"))</f>
        <v>Fail</v>
      </c>
      <c r="AD2890" s="1" t="str">
        <f>IF(AND(Table1[[#This Row],[Spec Type2]]="N/A",Table1[[#This Row],[DUT Adj Read]]="N/A",Table1[[#This Row],[Std Adj Read]]="N/A"),"N/A",IF(Table1[[#This Row],[DUT Adj Read]]="N/A",IF(Table1[[#This Row],[Std Adj Read]]&gt;Table1[[#This Row],[Low Tol]],"Pass","Fail"),IF(Table1[[#This Row],[DUT Adj Read]]&gt;Table1[[#This Row],[Low Tol]],"Pass","Fail")))</f>
        <v>Pass</v>
      </c>
      <c r="AE2890" s="1" t="str">
        <f>IF(AND(Table1[[#This Row],[Spec Type2]]="N/A",Table1[[#This Row],[DUT Adj Read]]="N/A",Table1[[#This Row],[Std Adj Read]]="N/A"),"N/A",IF(Table1[[#This Row],[DUT Adj Read]]="N/A",IF(Table1[[#This Row],[Std Adj Read]]&lt;Table1[[#This Row],[High Tol]],"Pass","Fail"),IF(Table1[[#This Row],[DUT Adj Read]]&lt;Table1[[#This Row],[High Tol]],"Pass","Fail")))</f>
        <v>Fail</v>
      </c>
      <c r="AF2890" s="1" t="str">
        <f>IF(AND(Table1[[#This Row],[Spec Type2]]="N/A",Table1[[#This Row],[DUT Adj Read]]="N/A",Table1[[#This Row],[Std Adj Read]]="N/A"),"N/A",IF(Table1[[#This Row],[DUT Adj Read]]="N/A",IF(Table1[[#This Row],[Std Adj Read]]&gt;=Table1[[#This Row],[Low Tol]],"Pass","Fail"),IF(Table1[[#This Row],[DUT Adj Read]]&gt;=Table1[[#This Row],[Low Tol]],"Pass","Fail")))</f>
        <v>Pass</v>
      </c>
      <c r="AG2890" s="1" t="str">
        <f>IF(AND(Table1[[#This Row],[Spec Type2]]="N/A",Table1[[#This Row],[DUT Adj Read]]="N/A",Table1[[#This Row],[Std Adj Read]]="N/A"),"N/A",IF(Table1[[#This Row],[DUT Adj Read]]="N/A",IF(Table1[[#This Row],[Std Adj Read]]&lt;=Table1[[#This Row],[High Tol]],"Pass","Fail"),IF(Table1[[#This Row],[DUT Adj Read]]&lt;=Table1[[#This Row],[High Tol]],"Pass","Fail")))</f>
        <v>Fail</v>
      </c>
      <c r="AH28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0" s="1" t="b">
        <v>0</v>
      </c>
      <c r="AN2890" s="1" t="b">
        <v>0</v>
      </c>
      <c r="AO2890" s="1" t="b">
        <v>0</v>
      </c>
    </row>
    <row r="2891" spans="1:41" x14ac:dyDescent="0.25">
      <c r="A2891" s="10"/>
      <c r="B2891" s="10"/>
      <c r="C2891" s="10"/>
      <c r="D2891" s="10"/>
      <c r="E2891" s="10"/>
      <c r="F2891" s="10"/>
      <c r="G2891" s="10"/>
      <c r="H2891" s="10"/>
      <c r="I2891" s="1" t="str">
        <f t="shared" ref="I2891:I2954" si="135">IF($I$10="","",$I$10)</f>
        <v/>
      </c>
      <c r="J2891" s="1" t="s">
        <v>35</v>
      </c>
      <c r="K2891" s="1" t="str">
        <f t="shared" ref="K2891:K2954" si="136">IF($K$10="","",$K$10)</f>
        <v/>
      </c>
      <c r="L2891" s="1" t="str">
        <f t="shared" ref="L2891:L2954" si="137">IF($L$10="","",$L$10)</f>
        <v/>
      </c>
      <c r="M2891" s="1">
        <f>IF(OR(Table1[[#This Row],[Std Nom]]="",Table1[[#This Row],[Std Read]]=""),0,Table1[[#This Row],[Std Nom]]-Table1[[#This Row],[Std Read]])</f>
        <v>0</v>
      </c>
      <c r="N2891" s="1">
        <f>IF(Calculations!$F$5="ACCREDITED 17025 WITH UNCERTAINTIES",$N$10,0)</f>
        <v>0</v>
      </c>
      <c r="Q2891" s="1">
        <f>Table1[[#This Row],[High Tol]]-Table1[[#This Row],[Low Tol]]</f>
        <v>0</v>
      </c>
      <c r="R2891" s="1">
        <f>2*Table1[[#This Row],[Std Error]]</f>
        <v>0</v>
      </c>
      <c r="S2891" s="1" t="str">
        <f>IF(Table1[[#This Row],[High Tol]]="","N/A",IFERROR(ABS(Table1[[#This Row],[Tol Span]]/Table1[[#This Row],[Error Span]]),"N/A"))</f>
        <v>N/A</v>
      </c>
      <c r="T2891" s="1" t="str">
        <f>IF(OR(Table1[[#This Row],[Low Tol]]="",Table1[[#This Row],[High Tol]]=""),"Needs Analysis",IF(Table1[[#This Row],[Ratio]]&gt;=4,"Not Significant",IF(Table1[[#This Row],[Ratio]]&gt;=2,"Semi-Significant","Significant")))</f>
        <v>Needs Analysis</v>
      </c>
      <c r="W2891" s="1">
        <f>IF(Table1[[#This Row],[Cal Type]]&lt;&gt;"ACCREDITED 17025 WITH UNCERTAINTIES",0,"")</f>
        <v>0</v>
      </c>
      <c r="X2891" s="1" t="str">
        <f>IF(Table1[[#This Row],[DUT Read]]="","N/A",Table1[[#This Row],[Std Error]]+Table1[[#This Row],[DUT Read]]+Table1[[#This Row],[DUT Ucty]])</f>
        <v>N/A</v>
      </c>
      <c r="Y2891" s="1" t="str">
        <f>IF(Table1[[#This Row],[Std Read]]="","N/A",Table1[[#This Row],[Std Read]]+Table1[[#This Row],[Std Ucty]])</f>
        <v>N/A</v>
      </c>
      <c r="Z28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1" s="1" t="str">
        <f>IF(Table1[[#This Row],[Spec Type]]="","N/A",Table1[[#This Row],[Spec Type]])</f>
        <v>±</v>
      </c>
      <c r="AC2891" s="1" t="str">
        <f>IF(Table1[[#This Row],[Spec Type2]]="N/A","N/A",IF(AND(Table1[[#This Row],[DUT Adj Read]]&gt;=Table1[[#This Row],[Low Tol]],Table1[[#This Row],[DUT Adj Read]]&lt;=Table1[[#This Row],[High Tol]]),"Pass","Fail"))</f>
        <v>Fail</v>
      </c>
      <c r="AD2891" s="1" t="str">
        <f>IF(AND(Table1[[#This Row],[Spec Type2]]="N/A",Table1[[#This Row],[DUT Adj Read]]="N/A",Table1[[#This Row],[Std Adj Read]]="N/A"),"N/A",IF(Table1[[#This Row],[DUT Adj Read]]="N/A",IF(Table1[[#This Row],[Std Adj Read]]&gt;Table1[[#This Row],[Low Tol]],"Pass","Fail"),IF(Table1[[#This Row],[DUT Adj Read]]&gt;Table1[[#This Row],[Low Tol]],"Pass","Fail")))</f>
        <v>Pass</v>
      </c>
      <c r="AE2891" s="1" t="str">
        <f>IF(AND(Table1[[#This Row],[Spec Type2]]="N/A",Table1[[#This Row],[DUT Adj Read]]="N/A",Table1[[#This Row],[Std Adj Read]]="N/A"),"N/A",IF(Table1[[#This Row],[DUT Adj Read]]="N/A",IF(Table1[[#This Row],[Std Adj Read]]&lt;Table1[[#This Row],[High Tol]],"Pass","Fail"),IF(Table1[[#This Row],[DUT Adj Read]]&lt;Table1[[#This Row],[High Tol]],"Pass","Fail")))</f>
        <v>Fail</v>
      </c>
      <c r="AF2891" s="1" t="str">
        <f>IF(AND(Table1[[#This Row],[Spec Type2]]="N/A",Table1[[#This Row],[DUT Adj Read]]="N/A",Table1[[#This Row],[Std Adj Read]]="N/A"),"N/A",IF(Table1[[#This Row],[DUT Adj Read]]="N/A",IF(Table1[[#This Row],[Std Adj Read]]&gt;=Table1[[#This Row],[Low Tol]],"Pass","Fail"),IF(Table1[[#This Row],[DUT Adj Read]]&gt;=Table1[[#This Row],[Low Tol]],"Pass","Fail")))</f>
        <v>Pass</v>
      </c>
      <c r="AG2891" s="1" t="str">
        <f>IF(AND(Table1[[#This Row],[Spec Type2]]="N/A",Table1[[#This Row],[DUT Adj Read]]="N/A",Table1[[#This Row],[Std Adj Read]]="N/A"),"N/A",IF(Table1[[#This Row],[DUT Adj Read]]="N/A",IF(Table1[[#This Row],[Std Adj Read]]&lt;=Table1[[#This Row],[High Tol]],"Pass","Fail"),IF(Table1[[#This Row],[DUT Adj Read]]&lt;=Table1[[#This Row],[High Tol]],"Pass","Fail")))</f>
        <v>Fail</v>
      </c>
      <c r="AH28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1" s="1" t="b">
        <v>0</v>
      </c>
      <c r="AN2891" s="1" t="b">
        <v>0</v>
      </c>
      <c r="AO2891" s="1" t="b">
        <v>0</v>
      </c>
    </row>
    <row r="2892" spans="1:41" x14ac:dyDescent="0.25">
      <c r="A2892" s="10"/>
      <c r="B2892" s="10"/>
      <c r="C2892" s="10"/>
      <c r="D2892" s="10"/>
      <c r="E2892" s="10"/>
      <c r="F2892" s="10"/>
      <c r="G2892" s="10"/>
      <c r="H2892" s="10"/>
      <c r="I2892" s="1" t="str">
        <f t="shared" si="135"/>
        <v/>
      </c>
      <c r="J2892" s="1" t="s">
        <v>35</v>
      </c>
      <c r="K2892" s="1" t="str">
        <f t="shared" si="136"/>
        <v/>
      </c>
      <c r="L2892" s="1" t="str">
        <f t="shared" si="137"/>
        <v/>
      </c>
      <c r="M2892" s="1">
        <f>IF(OR(Table1[[#This Row],[Std Nom]]="",Table1[[#This Row],[Std Read]]=""),0,Table1[[#This Row],[Std Nom]]-Table1[[#This Row],[Std Read]])</f>
        <v>0</v>
      </c>
      <c r="N2892" s="1">
        <f>IF(Calculations!$F$5="ACCREDITED 17025 WITH UNCERTAINTIES",$N$10,0)</f>
        <v>0</v>
      </c>
      <c r="Q2892" s="1">
        <f>Table1[[#This Row],[High Tol]]-Table1[[#This Row],[Low Tol]]</f>
        <v>0</v>
      </c>
      <c r="R2892" s="1">
        <f>2*Table1[[#This Row],[Std Error]]</f>
        <v>0</v>
      </c>
      <c r="S2892" s="1" t="str">
        <f>IF(Table1[[#This Row],[High Tol]]="","N/A",IFERROR(ABS(Table1[[#This Row],[Tol Span]]/Table1[[#This Row],[Error Span]]),"N/A"))</f>
        <v>N/A</v>
      </c>
      <c r="T2892" s="1" t="str">
        <f>IF(OR(Table1[[#This Row],[Low Tol]]="",Table1[[#This Row],[High Tol]]=""),"Needs Analysis",IF(Table1[[#This Row],[Ratio]]&gt;=4,"Not Significant",IF(Table1[[#This Row],[Ratio]]&gt;=2,"Semi-Significant","Significant")))</f>
        <v>Needs Analysis</v>
      </c>
      <c r="W2892" s="1">
        <f>IF(Table1[[#This Row],[Cal Type]]&lt;&gt;"ACCREDITED 17025 WITH UNCERTAINTIES",0,"")</f>
        <v>0</v>
      </c>
      <c r="X2892" s="1" t="str">
        <f>IF(Table1[[#This Row],[DUT Read]]="","N/A",Table1[[#This Row],[Std Error]]+Table1[[#This Row],[DUT Read]]+Table1[[#This Row],[DUT Ucty]])</f>
        <v>N/A</v>
      </c>
      <c r="Y2892" s="1" t="str">
        <f>IF(Table1[[#This Row],[Std Read]]="","N/A",Table1[[#This Row],[Std Read]]+Table1[[#This Row],[Std Ucty]])</f>
        <v>N/A</v>
      </c>
      <c r="Z28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2" s="1" t="str">
        <f>IF(Table1[[#This Row],[Spec Type]]="","N/A",Table1[[#This Row],[Spec Type]])</f>
        <v>±</v>
      </c>
      <c r="AC2892" s="1" t="str">
        <f>IF(Table1[[#This Row],[Spec Type2]]="N/A","N/A",IF(AND(Table1[[#This Row],[DUT Adj Read]]&gt;=Table1[[#This Row],[Low Tol]],Table1[[#This Row],[DUT Adj Read]]&lt;=Table1[[#This Row],[High Tol]]),"Pass","Fail"))</f>
        <v>Fail</v>
      </c>
      <c r="AD2892" s="1" t="str">
        <f>IF(AND(Table1[[#This Row],[Spec Type2]]="N/A",Table1[[#This Row],[DUT Adj Read]]="N/A",Table1[[#This Row],[Std Adj Read]]="N/A"),"N/A",IF(Table1[[#This Row],[DUT Adj Read]]="N/A",IF(Table1[[#This Row],[Std Adj Read]]&gt;Table1[[#This Row],[Low Tol]],"Pass","Fail"),IF(Table1[[#This Row],[DUT Adj Read]]&gt;Table1[[#This Row],[Low Tol]],"Pass","Fail")))</f>
        <v>Pass</v>
      </c>
      <c r="AE2892" s="1" t="str">
        <f>IF(AND(Table1[[#This Row],[Spec Type2]]="N/A",Table1[[#This Row],[DUT Adj Read]]="N/A",Table1[[#This Row],[Std Adj Read]]="N/A"),"N/A",IF(Table1[[#This Row],[DUT Adj Read]]="N/A",IF(Table1[[#This Row],[Std Adj Read]]&lt;Table1[[#This Row],[High Tol]],"Pass","Fail"),IF(Table1[[#This Row],[DUT Adj Read]]&lt;Table1[[#This Row],[High Tol]],"Pass","Fail")))</f>
        <v>Fail</v>
      </c>
      <c r="AF2892" s="1" t="str">
        <f>IF(AND(Table1[[#This Row],[Spec Type2]]="N/A",Table1[[#This Row],[DUT Adj Read]]="N/A",Table1[[#This Row],[Std Adj Read]]="N/A"),"N/A",IF(Table1[[#This Row],[DUT Adj Read]]="N/A",IF(Table1[[#This Row],[Std Adj Read]]&gt;=Table1[[#This Row],[Low Tol]],"Pass","Fail"),IF(Table1[[#This Row],[DUT Adj Read]]&gt;=Table1[[#This Row],[Low Tol]],"Pass","Fail")))</f>
        <v>Pass</v>
      </c>
      <c r="AG2892" s="1" t="str">
        <f>IF(AND(Table1[[#This Row],[Spec Type2]]="N/A",Table1[[#This Row],[DUT Adj Read]]="N/A",Table1[[#This Row],[Std Adj Read]]="N/A"),"N/A",IF(Table1[[#This Row],[DUT Adj Read]]="N/A",IF(Table1[[#This Row],[Std Adj Read]]&lt;=Table1[[#This Row],[High Tol]],"Pass","Fail"),IF(Table1[[#This Row],[DUT Adj Read]]&lt;=Table1[[#This Row],[High Tol]],"Pass","Fail")))</f>
        <v>Fail</v>
      </c>
      <c r="AH28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2" s="1" t="b">
        <v>0</v>
      </c>
      <c r="AN2892" s="1" t="b">
        <v>0</v>
      </c>
      <c r="AO2892" s="1" t="b">
        <v>0</v>
      </c>
    </row>
    <row r="2893" spans="1:41" x14ac:dyDescent="0.25">
      <c r="A2893" s="10"/>
      <c r="B2893" s="10"/>
      <c r="C2893" s="10"/>
      <c r="D2893" s="10"/>
      <c r="E2893" s="10"/>
      <c r="F2893" s="10"/>
      <c r="G2893" s="10"/>
      <c r="H2893" s="10"/>
      <c r="I2893" s="1" t="str">
        <f t="shared" si="135"/>
        <v/>
      </c>
      <c r="J2893" s="1" t="s">
        <v>35</v>
      </c>
      <c r="K2893" s="1" t="str">
        <f t="shared" si="136"/>
        <v/>
      </c>
      <c r="L2893" s="1" t="str">
        <f t="shared" si="137"/>
        <v/>
      </c>
      <c r="M2893" s="1">
        <f>IF(OR(Table1[[#This Row],[Std Nom]]="",Table1[[#This Row],[Std Read]]=""),0,Table1[[#This Row],[Std Nom]]-Table1[[#This Row],[Std Read]])</f>
        <v>0</v>
      </c>
      <c r="N2893" s="1">
        <f>IF(Calculations!$F$5="ACCREDITED 17025 WITH UNCERTAINTIES",$N$10,0)</f>
        <v>0</v>
      </c>
      <c r="Q2893" s="1">
        <f>Table1[[#This Row],[High Tol]]-Table1[[#This Row],[Low Tol]]</f>
        <v>0</v>
      </c>
      <c r="R2893" s="1">
        <f>2*Table1[[#This Row],[Std Error]]</f>
        <v>0</v>
      </c>
      <c r="S2893" s="1" t="str">
        <f>IF(Table1[[#This Row],[High Tol]]="","N/A",IFERROR(ABS(Table1[[#This Row],[Tol Span]]/Table1[[#This Row],[Error Span]]),"N/A"))</f>
        <v>N/A</v>
      </c>
      <c r="T2893" s="1" t="str">
        <f>IF(OR(Table1[[#This Row],[Low Tol]]="",Table1[[#This Row],[High Tol]]=""),"Needs Analysis",IF(Table1[[#This Row],[Ratio]]&gt;=4,"Not Significant",IF(Table1[[#This Row],[Ratio]]&gt;=2,"Semi-Significant","Significant")))</f>
        <v>Needs Analysis</v>
      </c>
      <c r="W2893" s="1">
        <f>IF(Table1[[#This Row],[Cal Type]]&lt;&gt;"ACCREDITED 17025 WITH UNCERTAINTIES",0,"")</f>
        <v>0</v>
      </c>
      <c r="X2893" s="1" t="str">
        <f>IF(Table1[[#This Row],[DUT Read]]="","N/A",Table1[[#This Row],[Std Error]]+Table1[[#This Row],[DUT Read]]+Table1[[#This Row],[DUT Ucty]])</f>
        <v>N/A</v>
      </c>
      <c r="Y2893" s="1" t="str">
        <f>IF(Table1[[#This Row],[Std Read]]="","N/A",Table1[[#This Row],[Std Read]]+Table1[[#This Row],[Std Ucty]])</f>
        <v>N/A</v>
      </c>
      <c r="Z28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3" s="1" t="str">
        <f>IF(Table1[[#This Row],[Spec Type]]="","N/A",Table1[[#This Row],[Spec Type]])</f>
        <v>±</v>
      </c>
      <c r="AC2893" s="1" t="str">
        <f>IF(Table1[[#This Row],[Spec Type2]]="N/A","N/A",IF(AND(Table1[[#This Row],[DUT Adj Read]]&gt;=Table1[[#This Row],[Low Tol]],Table1[[#This Row],[DUT Adj Read]]&lt;=Table1[[#This Row],[High Tol]]),"Pass","Fail"))</f>
        <v>Fail</v>
      </c>
      <c r="AD2893" s="1" t="str">
        <f>IF(AND(Table1[[#This Row],[Spec Type2]]="N/A",Table1[[#This Row],[DUT Adj Read]]="N/A",Table1[[#This Row],[Std Adj Read]]="N/A"),"N/A",IF(Table1[[#This Row],[DUT Adj Read]]="N/A",IF(Table1[[#This Row],[Std Adj Read]]&gt;Table1[[#This Row],[Low Tol]],"Pass","Fail"),IF(Table1[[#This Row],[DUT Adj Read]]&gt;Table1[[#This Row],[Low Tol]],"Pass","Fail")))</f>
        <v>Pass</v>
      </c>
      <c r="AE2893" s="1" t="str">
        <f>IF(AND(Table1[[#This Row],[Spec Type2]]="N/A",Table1[[#This Row],[DUT Adj Read]]="N/A",Table1[[#This Row],[Std Adj Read]]="N/A"),"N/A",IF(Table1[[#This Row],[DUT Adj Read]]="N/A",IF(Table1[[#This Row],[Std Adj Read]]&lt;Table1[[#This Row],[High Tol]],"Pass","Fail"),IF(Table1[[#This Row],[DUT Adj Read]]&lt;Table1[[#This Row],[High Tol]],"Pass","Fail")))</f>
        <v>Fail</v>
      </c>
      <c r="AF2893" s="1" t="str">
        <f>IF(AND(Table1[[#This Row],[Spec Type2]]="N/A",Table1[[#This Row],[DUT Adj Read]]="N/A",Table1[[#This Row],[Std Adj Read]]="N/A"),"N/A",IF(Table1[[#This Row],[DUT Adj Read]]="N/A",IF(Table1[[#This Row],[Std Adj Read]]&gt;=Table1[[#This Row],[Low Tol]],"Pass","Fail"),IF(Table1[[#This Row],[DUT Adj Read]]&gt;=Table1[[#This Row],[Low Tol]],"Pass","Fail")))</f>
        <v>Pass</v>
      </c>
      <c r="AG2893" s="1" t="str">
        <f>IF(AND(Table1[[#This Row],[Spec Type2]]="N/A",Table1[[#This Row],[DUT Adj Read]]="N/A",Table1[[#This Row],[Std Adj Read]]="N/A"),"N/A",IF(Table1[[#This Row],[DUT Adj Read]]="N/A",IF(Table1[[#This Row],[Std Adj Read]]&lt;=Table1[[#This Row],[High Tol]],"Pass","Fail"),IF(Table1[[#This Row],[DUT Adj Read]]&lt;=Table1[[#This Row],[High Tol]],"Pass","Fail")))</f>
        <v>Fail</v>
      </c>
      <c r="AH28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3" s="1" t="b">
        <v>0</v>
      </c>
      <c r="AN2893" s="1" t="b">
        <v>0</v>
      </c>
      <c r="AO2893" s="1" t="b">
        <v>0</v>
      </c>
    </row>
    <row r="2894" spans="1:41" x14ac:dyDescent="0.25">
      <c r="A2894" s="10"/>
      <c r="B2894" s="10"/>
      <c r="C2894" s="10"/>
      <c r="D2894" s="10"/>
      <c r="E2894" s="10"/>
      <c r="F2894" s="10"/>
      <c r="G2894" s="10"/>
      <c r="H2894" s="10"/>
      <c r="I2894" s="1" t="str">
        <f t="shared" si="135"/>
        <v/>
      </c>
      <c r="J2894" s="1" t="s">
        <v>35</v>
      </c>
      <c r="K2894" s="1" t="str">
        <f t="shared" si="136"/>
        <v/>
      </c>
      <c r="L2894" s="1" t="str">
        <f t="shared" si="137"/>
        <v/>
      </c>
      <c r="M2894" s="1">
        <f>IF(OR(Table1[[#This Row],[Std Nom]]="",Table1[[#This Row],[Std Read]]=""),0,Table1[[#This Row],[Std Nom]]-Table1[[#This Row],[Std Read]])</f>
        <v>0</v>
      </c>
      <c r="N2894" s="1">
        <f>IF(Calculations!$F$5="ACCREDITED 17025 WITH UNCERTAINTIES",$N$10,0)</f>
        <v>0</v>
      </c>
      <c r="Q2894" s="1">
        <f>Table1[[#This Row],[High Tol]]-Table1[[#This Row],[Low Tol]]</f>
        <v>0</v>
      </c>
      <c r="R2894" s="1">
        <f>2*Table1[[#This Row],[Std Error]]</f>
        <v>0</v>
      </c>
      <c r="S2894" s="1" t="str">
        <f>IF(Table1[[#This Row],[High Tol]]="","N/A",IFERROR(ABS(Table1[[#This Row],[Tol Span]]/Table1[[#This Row],[Error Span]]),"N/A"))</f>
        <v>N/A</v>
      </c>
      <c r="T2894" s="1" t="str">
        <f>IF(OR(Table1[[#This Row],[Low Tol]]="",Table1[[#This Row],[High Tol]]=""),"Needs Analysis",IF(Table1[[#This Row],[Ratio]]&gt;=4,"Not Significant",IF(Table1[[#This Row],[Ratio]]&gt;=2,"Semi-Significant","Significant")))</f>
        <v>Needs Analysis</v>
      </c>
      <c r="W2894" s="1">
        <f>IF(Table1[[#This Row],[Cal Type]]&lt;&gt;"ACCREDITED 17025 WITH UNCERTAINTIES",0,"")</f>
        <v>0</v>
      </c>
      <c r="X2894" s="1" t="str">
        <f>IF(Table1[[#This Row],[DUT Read]]="","N/A",Table1[[#This Row],[Std Error]]+Table1[[#This Row],[DUT Read]]+Table1[[#This Row],[DUT Ucty]])</f>
        <v>N/A</v>
      </c>
      <c r="Y2894" s="1" t="str">
        <f>IF(Table1[[#This Row],[Std Read]]="","N/A",Table1[[#This Row],[Std Read]]+Table1[[#This Row],[Std Ucty]])</f>
        <v>N/A</v>
      </c>
      <c r="Z28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4" s="1" t="str">
        <f>IF(Table1[[#This Row],[Spec Type]]="","N/A",Table1[[#This Row],[Spec Type]])</f>
        <v>±</v>
      </c>
      <c r="AC2894" s="1" t="str">
        <f>IF(Table1[[#This Row],[Spec Type2]]="N/A","N/A",IF(AND(Table1[[#This Row],[DUT Adj Read]]&gt;=Table1[[#This Row],[Low Tol]],Table1[[#This Row],[DUT Adj Read]]&lt;=Table1[[#This Row],[High Tol]]),"Pass","Fail"))</f>
        <v>Fail</v>
      </c>
      <c r="AD2894" s="1" t="str">
        <f>IF(AND(Table1[[#This Row],[Spec Type2]]="N/A",Table1[[#This Row],[DUT Adj Read]]="N/A",Table1[[#This Row],[Std Adj Read]]="N/A"),"N/A",IF(Table1[[#This Row],[DUT Adj Read]]="N/A",IF(Table1[[#This Row],[Std Adj Read]]&gt;Table1[[#This Row],[Low Tol]],"Pass","Fail"),IF(Table1[[#This Row],[DUT Adj Read]]&gt;Table1[[#This Row],[Low Tol]],"Pass","Fail")))</f>
        <v>Pass</v>
      </c>
      <c r="AE2894" s="1" t="str">
        <f>IF(AND(Table1[[#This Row],[Spec Type2]]="N/A",Table1[[#This Row],[DUT Adj Read]]="N/A",Table1[[#This Row],[Std Adj Read]]="N/A"),"N/A",IF(Table1[[#This Row],[DUT Adj Read]]="N/A",IF(Table1[[#This Row],[Std Adj Read]]&lt;Table1[[#This Row],[High Tol]],"Pass","Fail"),IF(Table1[[#This Row],[DUT Adj Read]]&lt;Table1[[#This Row],[High Tol]],"Pass","Fail")))</f>
        <v>Fail</v>
      </c>
      <c r="AF2894" s="1" t="str">
        <f>IF(AND(Table1[[#This Row],[Spec Type2]]="N/A",Table1[[#This Row],[DUT Adj Read]]="N/A",Table1[[#This Row],[Std Adj Read]]="N/A"),"N/A",IF(Table1[[#This Row],[DUT Adj Read]]="N/A",IF(Table1[[#This Row],[Std Adj Read]]&gt;=Table1[[#This Row],[Low Tol]],"Pass","Fail"),IF(Table1[[#This Row],[DUT Adj Read]]&gt;=Table1[[#This Row],[Low Tol]],"Pass","Fail")))</f>
        <v>Pass</v>
      </c>
      <c r="AG2894" s="1" t="str">
        <f>IF(AND(Table1[[#This Row],[Spec Type2]]="N/A",Table1[[#This Row],[DUT Adj Read]]="N/A",Table1[[#This Row],[Std Adj Read]]="N/A"),"N/A",IF(Table1[[#This Row],[DUT Adj Read]]="N/A",IF(Table1[[#This Row],[Std Adj Read]]&lt;=Table1[[#This Row],[High Tol]],"Pass","Fail"),IF(Table1[[#This Row],[DUT Adj Read]]&lt;=Table1[[#This Row],[High Tol]],"Pass","Fail")))</f>
        <v>Fail</v>
      </c>
      <c r="AH28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4" s="1" t="b">
        <v>0</v>
      </c>
      <c r="AN2894" s="1" t="b">
        <v>0</v>
      </c>
      <c r="AO2894" s="1" t="b">
        <v>0</v>
      </c>
    </row>
    <row r="2895" spans="1:41" x14ac:dyDescent="0.25">
      <c r="A2895" s="10"/>
      <c r="B2895" s="10"/>
      <c r="C2895" s="10"/>
      <c r="D2895" s="10"/>
      <c r="E2895" s="10"/>
      <c r="F2895" s="10"/>
      <c r="G2895" s="10"/>
      <c r="H2895" s="10"/>
      <c r="I2895" s="1" t="str">
        <f t="shared" si="135"/>
        <v/>
      </c>
      <c r="J2895" s="1" t="s">
        <v>35</v>
      </c>
      <c r="K2895" s="1" t="str">
        <f t="shared" si="136"/>
        <v/>
      </c>
      <c r="L2895" s="1" t="str">
        <f t="shared" si="137"/>
        <v/>
      </c>
      <c r="M2895" s="1">
        <f>IF(OR(Table1[[#This Row],[Std Nom]]="",Table1[[#This Row],[Std Read]]=""),0,Table1[[#This Row],[Std Nom]]-Table1[[#This Row],[Std Read]])</f>
        <v>0</v>
      </c>
      <c r="N2895" s="1">
        <f>IF(Calculations!$F$5="ACCREDITED 17025 WITH UNCERTAINTIES",$N$10,0)</f>
        <v>0</v>
      </c>
      <c r="Q2895" s="1">
        <f>Table1[[#This Row],[High Tol]]-Table1[[#This Row],[Low Tol]]</f>
        <v>0</v>
      </c>
      <c r="R2895" s="1">
        <f>2*Table1[[#This Row],[Std Error]]</f>
        <v>0</v>
      </c>
      <c r="S2895" s="1" t="str">
        <f>IF(Table1[[#This Row],[High Tol]]="","N/A",IFERROR(ABS(Table1[[#This Row],[Tol Span]]/Table1[[#This Row],[Error Span]]),"N/A"))</f>
        <v>N/A</v>
      </c>
      <c r="T2895" s="1" t="str">
        <f>IF(OR(Table1[[#This Row],[Low Tol]]="",Table1[[#This Row],[High Tol]]=""),"Needs Analysis",IF(Table1[[#This Row],[Ratio]]&gt;=4,"Not Significant",IF(Table1[[#This Row],[Ratio]]&gt;=2,"Semi-Significant","Significant")))</f>
        <v>Needs Analysis</v>
      </c>
      <c r="W2895" s="1">
        <f>IF(Table1[[#This Row],[Cal Type]]&lt;&gt;"ACCREDITED 17025 WITH UNCERTAINTIES",0,"")</f>
        <v>0</v>
      </c>
      <c r="X2895" s="1" t="str">
        <f>IF(Table1[[#This Row],[DUT Read]]="","N/A",Table1[[#This Row],[Std Error]]+Table1[[#This Row],[DUT Read]]+Table1[[#This Row],[DUT Ucty]])</f>
        <v>N/A</v>
      </c>
      <c r="Y2895" s="1" t="str">
        <f>IF(Table1[[#This Row],[Std Read]]="","N/A",Table1[[#This Row],[Std Read]]+Table1[[#This Row],[Std Ucty]])</f>
        <v>N/A</v>
      </c>
      <c r="Z28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5" s="1" t="str">
        <f>IF(Table1[[#This Row],[Spec Type]]="","N/A",Table1[[#This Row],[Spec Type]])</f>
        <v>±</v>
      </c>
      <c r="AC2895" s="1" t="str">
        <f>IF(Table1[[#This Row],[Spec Type2]]="N/A","N/A",IF(AND(Table1[[#This Row],[DUT Adj Read]]&gt;=Table1[[#This Row],[Low Tol]],Table1[[#This Row],[DUT Adj Read]]&lt;=Table1[[#This Row],[High Tol]]),"Pass","Fail"))</f>
        <v>Fail</v>
      </c>
      <c r="AD2895" s="1" t="str">
        <f>IF(AND(Table1[[#This Row],[Spec Type2]]="N/A",Table1[[#This Row],[DUT Adj Read]]="N/A",Table1[[#This Row],[Std Adj Read]]="N/A"),"N/A",IF(Table1[[#This Row],[DUT Adj Read]]="N/A",IF(Table1[[#This Row],[Std Adj Read]]&gt;Table1[[#This Row],[Low Tol]],"Pass","Fail"),IF(Table1[[#This Row],[DUT Adj Read]]&gt;Table1[[#This Row],[Low Tol]],"Pass","Fail")))</f>
        <v>Pass</v>
      </c>
      <c r="AE2895" s="1" t="str">
        <f>IF(AND(Table1[[#This Row],[Spec Type2]]="N/A",Table1[[#This Row],[DUT Adj Read]]="N/A",Table1[[#This Row],[Std Adj Read]]="N/A"),"N/A",IF(Table1[[#This Row],[DUT Adj Read]]="N/A",IF(Table1[[#This Row],[Std Adj Read]]&lt;Table1[[#This Row],[High Tol]],"Pass","Fail"),IF(Table1[[#This Row],[DUT Adj Read]]&lt;Table1[[#This Row],[High Tol]],"Pass","Fail")))</f>
        <v>Fail</v>
      </c>
      <c r="AF2895" s="1" t="str">
        <f>IF(AND(Table1[[#This Row],[Spec Type2]]="N/A",Table1[[#This Row],[DUT Adj Read]]="N/A",Table1[[#This Row],[Std Adj Read]]="N/A"),"N/A",IF(Table1[[#This Row],[DUT Adj Read]]="N/A",IF(Table1[[#This Row],[Std Adj Read]]&gt;=Table1[[#This Row],[Low Tol]],"Pass","Fail"),IF(Table1[[#This Row],[DUT Adj Read]]&gt;=Table1[[#This Row],[Low Tol]],"Pass","Fail")))</f>
        <v>Pass</v>
      </c>
      <c r="AG2895" s="1" t="str">
        <f>IF(AND(Table1[[#This Row],[Spec Type2]]="N/A",Table1[[#This Row],[DUT Adj Read]]="N/A",Table1[[#This Row],[Std Adj Read]]="N/A"),"N/A",IF(Table1[[#This Row],[DUT Adj Read]]="N/A",IF(Table1[[#This Row],[Std Adj Read]]&lt;=Table1[[#This Row],[High Tol]],"Pass","Fail"),IF(Table1[[#This Row],[DUT Adj Read]]&lt;=Table1[[#This Row],[High Tol]],"Pass","Fail")))</f>
        <v>Fail</v>
      </c>
      <c r="AH28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5" s="1" t="b">
        <v>0</v>
      </c>
      <c r="AN2895" s="1" t="b">
        <v>0</v>
      </c>
      <c r="AO2895" s="1" t="b">
        <v>0</v>
      </c>
    </row>
    <row r="2896" spans="1:41" x14ac:dyDescent="0.25">
      <c r="A2896" s="10"/>
      <c r="B2896" s="10"/>
      <c r="C2896" s="10"/>
      <c r="D2896" s="10"/>
      <c r="E2896" s="10"/>
      <c r="F2896" s="10"/>
      <c r="G2896" s="10"/>
      <c r="H2896" s="10"/>
      <c r="I2896" s="1" t="str">
        <f t="shared" si="135"/>
        <v/>
      </c>
      <c r="J2896" s="1" t="s">
        <v>35</v>
      </c>
      <c r="K2896" s="1" t="str">
        <f t="shared" si="136"/>
        <v/>
      </c>
      <c r="L2896" s="1" t="str">
        <f t="shared" si="137"/>
        <v/>
      </c>
      <c r="M2896" s="1">
        <f>IF(OR(Table1[[#This Row],[Std Nom]]="",Table1[[#This Row],[Std Read]]=""),0,Table1[[#This Row],[Std Nom]]-Table1[[#This Row],[Std Read]])</f>
        <v>0</v>
      </c>
      <c r="N2896" s="1">
        <f>IF(Calculations!$F$5="ACCREDITED 17025 WITH UNCERTAINTIES",$N$10,0)</f>
        <v>0</v>
      </c>
      <c r="Q2896" s="1">
        <f>Table1[[#This Row],[High Tol]]-Table1[[#This Row],[Low Tol]]</f>
        <v>0</v>
      </c>
      <c r="R2896" s="1">
        <f>2*Table1[[#This Row],[Std Error]]</f>
        <v>0</v>
      </c>
      <c r="S2896" s="1" t="str">
        <f>IF(Table1[[#This Row],[High Tol]]="","N/A",IFERROR(ABS(Table1[[#This Row],[Tol Span]]/Table1[[#This Row],[Error Span]]),"N/A"))</f>
        <v>N/A</v>
      </c>
      <c r="T2896" s="1" t="str">
        <f>IF(OR(Table1[[#This Row],[Low Tol]]="",Table1[[#This Row],[High Tol]]=""),"Needs Analysis",IF(Table1[[#This Row],[Ratio]]&gt;=4,"Not Significant",IF(Table1[[#This Row],[Ratio]]&gt;=2,"Semi-Significant","Significant")))</f>
        <v>Needs Analysis</v>
      </c>
      <c r="W2896" s="1">
        <f>IF(Table1[[#This Row],[Cal Type]]&lt;&gt;"ACCREDITED 17025 WITH UNCERTAINTIES",0,"")</f>
        <v>0</v>
      </c>
      <c r="X2896" s="1" t="str">
        <f>IF(Table1[[#This Row],[DUT Read]]="","N/A",Table1[[#This Row],[Std Error]]+Table1[[#This Row],[DUT Read]]+Table1[[#This Row],[DUT Ucty]])</f>
        <v>N/A</v>
      </c>
      <c r="Y2896" s="1" t="str">
        <f>IF(Table1[[#This Row],[Std Read]]="","N/A",Table1[[#This Row],[Std Read]]+Table1[[#This Row],[Std Ucty]])</f>
        <v>N/A</v>
      </c>
      <c r="Z28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6" s="1" t="str">
        <f>IF(Table1[[#This Row],[Spec Type]]="","N/A",Table1[[#This Row],[Spec Type]])</f>
        <v>±</v>
      </c>
      <c r="AC2896" s="1" t="str">
        <f>IF(Table1[[#This Row],[Spec Type2]]="N/A","N/A",IF(AND(Table1[[#This Row],[DUT Adj Read]]&gt;=Table1[[#This Row],[Low Tol]],Table1[[#This Row],[DUT Adj Read]]&lt;=Table1[[#This Row],[High Tol]]),"Pass","Fail"))</f>
        <v>Fail</v>
      </c>
      <c r="AD2896" s="1" t="str">
        <f>IF(AND(Table1[[#This Row],[Spec Type2]]="N/A",Table1[[#This Row],[DUT Adj Read]]="N/A",Table1[[#This Row],[Std Adj Read]]="N/A"),"N/A",IF(Table1[[#This Row],[DUT Adj Read]]="N/A",IF(Table1[[#This Row],[Std Adj Read]]&gt;Table1[[#This Row],[Low Tol]],"Pass","Fail"),IF(Table1[[#This Row],[DUT Adj Read]]&gt;Table1[[#This Row],[Low Tol]],"Pass","Fail")))</f>
        <v>Pass</v>
      </c>
      <c r="AE2896" s="1" t="str">
        <f>IF(AND(Table1[[#This Row],[Spec Type2]]="N/A",Table1[[#This Row],[DUT Adj Read]]="N/A",Table1[[#This Row],[Std Adj Read]]="N/A"),"N/A",IF(Table1[[#This Row],[DUT Adj Read]]="N/A",IF(Table1[[#This Row],[Std Adj Read]]&lt;Table1[[#This Row],[High Tol]],"Pass","Fail"),IF(Table1[[#This Row],[DUT Adj Read]]&lt;Table1[[#This Row],[High Tol]],"Pass","Fail")))</f>
        <v>Fail</v>
      </c>
      <c r="AF2896" s="1" t="str">
        <f>IF(AND(Table1[[#This Row],[Spec Type2]]="N/A",Table1[[#This Row],[DUT Adj Read]]="N/A",Table1[[#This Row],[Std Adj Read]]="N/A"),"N/A",IF(Table1[[#This Row],[DUT Adj Read]]="N/A",IF(Table1[[#This Row],[Std Adj Read]]&gt;=Table1[[#This Row],[Low Tol]],"Pass","Fail"),IF(Table1[[#This Row],[DUT Adj Read]]&gt;=Table1[[#This Row],[Low Tol]],"Pass","Fail")))</f>
        <v>Pass</v>
      </c>
      <c r="AG2896" s="1" t="str">
        <f>IF(AND(Table1[[#This Row],[Spec Type2]]="N/A",Table1[[#This Row],[DUT Adj Read]]="N/A",Table1[[#This Row],[Std Adj Read]]="N/A"),"N/A",IF(Table1[[#This Row],[DUT Adj Read]]="N/A",IF(Table1[[#This Row],[Std Adj Read]]&lt;=Table1[[#This Row],[High Tol]],"Pass","Fail"),IF(Table1[[#This Row],[DUT Adj Read]]&lt;=Table1[[#This Row],[High Tol]],"Pass","Fail")))</f>
        <v>Fail</v>
      </c>
      <c r="AH28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6" s="1" t="b">
        <v>0</v>
      </c>
      <c r="AN2896" s="1" t="b">
        <v>0</v>
      </c>
      <c r="AO2896" s="1" t="b">
        <v>0</v>
      </c>
    </row>
    <row r="2897" spans="1:41" x14ac:dyDescent="0.25">
      <c r="A2897" s="10"/>
      <c r="B2897" s="10"/>
      <c r="C2897" s="10"/>
      <c r="D2897" s="10"/>
      <c r="E2897" s="10"/>
      <c r="F2897" s="10"/>
      <c r="G2897" s="10"/>
      <c r="H2897" s="10"/>
      <c r="I2897" s="1" t="str">
        <f t="shared" si="135"/>
        <v/>
      </c>
      <c r="J2897" s="1" t="s">
        <v>35</v>
      </c>
      <c r="K2897" s="1" t="str">
        <f t="shared" si="136"/>
        <v/>
      </c>
      <c r="L2897" s="1" t="str">
        <f t="shared" si="137"/>
        <v/>
      </c>
      <c r="M2897" s="1">
        <f>IF(OR(Table1[[#This Row],[Std Nom]]="",Table1[[#This Row],[Std Read]]=""),0,Table1[[#This Row],[Std Nom]]-Table1[[#This Row],[Std Read]])</f>
        <v>0</v>
      </c>
      <c r="N2897" s="1">
        <f>IF(Calculations!$F$5="ACCREDITED 17025 WITH UNCERTAINTIES",$N$10,0)</f>
        <v>0</v>
      </c>
      <c r="Q2897" s="1">
        <f>Table1[[#This Row],[High Tol]]-Table1[[#This Row],[Low Tol]]</f>
        <v>0</v>
      </c>
      <c r="R2897" s="1">
        <f>2*Table1[[#This Row],[Std Error]]</f>
        <v>0</v>
      </c>
      <c r="S2897" s="1" t="str">
        <f>IF(Table1[[#This Row],[High Tol]]="","N/A",IFERROR(ABS(Table1[[#This Row],[Tol Span]]/Table1[[#This Row],[Error Span]]),"N/A"))</f>
        <v>N/A</v>
      </c>
      <c r="T2897" s="1" t="str">
        <f>IF(OR(Table1[[#This Row],[Low Tol]]="",Table1[[#This Row],[High Tol]]=""),"Needs Analysis",IF(Table1[[#This Row],[Ratio]]&gt;=4,"Not Significant",IF(Table1[[#This Row],[Ratio]]&gt;=2,"Semi-Significant","Significant")))</f>
        <v>Needs Analysis</v>
      </c>
      <c r="W2897" s="1">
        <f>IF(Table1[[#This Row],[Cal Type]]&lt;&gt;"ACCREDITED 17025 WITH UNCERTAINTIES",0,"")</f>
        <v>0</v>
      </c>
      <c r="X2897" s="1" t="str">
        <f>IF(Table1[[#This Row],[DUT Read]]="","N/A",Table1[[#This Row],[Std Error]]+Table1[[#This Row],[DUT Read]]+Table1[[#This Row],[DUT Ucty]])</f>
        <v>N/A</v>
      </c>
      <c r="Y2897" s="1" t="str">
        <f>IF(Table1[[#This Row],[Std Read]]="","N/A",Table1[[#This Row],[Std Read]]+Table1[[#This Row],[Std Ucty]])</f>
        <v>N/A</v>
      </c>
      <c r="Z28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7" s="1" t="str">
        <f>IF(Table1[[#This Row],[Spec Type]]="","N/A",Table1[[#This Row],[Spec Type]])</f>
        <v>±</v>
      </c>
      <c r="AC2897" s="1" t="str">
        <f>IF(Table1[[#This Row],[Spec Type2]]="N/A","N/A",IF(AND(Table1[[#This Row],[DUT Adj Read]]&gt;=Table1[[#This Row],[Low Tol]],Table1[[#This Row],[DUT Adj Read]]&lt;=Table1[[#This Row],[High Tol]]),"Pass","Fail"))</f>
        <v>Fail</v>
      </c>
      <c r="AD2897" s="1" t="str">
        <f>IF(AND(Table1[[#This Row],[Spec Type2]]="N/A",Table1[[#This Row],[DUT Adj Read]]="N/A",Table1[[#This Row],[Std Adj Read]]="N/A"),"N/A",IF(Table1[[#This Row],[DUT Adj Read]]="N/A",IF(Table1[[#This Row],[Std Adj Read]]&gt;Table1[[#This Row],[Low Tol]],"Pass","Fail"),IF(Table1[[#This Row],[DUT Adj Read]]&gt;Table1[[#This Row],[Low Tol]],"Pass","Fail")))</f>
        <v>Pass</v>
      </c>
      <c r="AE2897" s="1" t="str">
        <f>IF(AND(Table1[[#This Row],[Spec Type2]]="N/A",Table1[[#This Row],[DUT Adj Read]]="N/A",Table1[[#This Row],[Std Adj Read]]="N/A"),"N/A",IF(Table1[[#This Row],[DUT Adj Read]]="N/A",IF(Table1[[#This Row],[Std Adj Read]]&lt;Table1[[#This Row],[High Tol]],"Pass","Fail"),IF(Table1[[#This Row],[DUT Adj Read]]&lt;Table1[[#This Row],[High Tol]],"Pass","Fail")))</f>
        <v>Fail</v>
      </c>
      <c r="AF2897" s="1" t="str">
        <f>IF(AND(Table1[[#This Row],[Spec Type2]]="N/A",Table1[[#This Row],[DUT Adj Read]]="N/A",Table1[[#This Row],[Std Adj Read]]="N/A"),"N/A",IF(Table1[[#This Row],[DUT Adj Read]]="N/A",IF(Table1[[#This Row],[Std Adj Read]]&gt;=Table1[[#This Row],[Low Tol]],"Pass","Fail"),IF(Table1[[#This Row],[DUT Adj Read]]&gt;=Table1[[#This Row],[Low Tol]],"Pass","Fail")))</f>
        <v>Pass</v>
      </c>
      <c r="AG2897" s="1" t="str">
        <f>IF(AND(Table1[[#This Row],[Spec Type2]]="N/A",Table1[[#This Row],[DUT Adj Read]]="N/A",Table1[[#This Row],[Std Adj Read]]="N/A"),"N/A",IF(Table1[[#This Row],[DUT Adj Read]]="N/A",IF(Table1[[#This Row],[Std Adj Read]]&lt;=Table1[[#This Row],[High Tol]],"Pass","Fail"),IF(Table1[[#This Row],[DUT Adj Read]]&lt;=Table1[[#This Row],[High Tol]],"Pass","Fail")))</f>
        <v>Fail</v>
      </c>
      <c r="AH28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7" s="1" t="b">
        <v>0</v>
      </c>
      <c r="AN2897" s="1" t="b">
        <v>0</v>
      </c>
      <c r="AO2897" s="1" t="b">
        <v>0</v>
      </c>
    </row>
    <row r="2898" spans="1:41" x14ac:dyDescent="0.25">
      <c r="A2898" s="10"/>
      <c r="B2898" s="10"/>
      <c r="C2898" s="10"/>
      <c r="D2898" s="10"/>
      <c r="E2898" s="10"/>
      <c r="F2898" s="10"/>
      <c r="G2898" s="10"/>
      <c r="H2898" s="10"/>
      <c r="I2898" s="1" t="str">
        <f t="shared" si="135"/>
        <v/>
      </c>
      <c r="J2898" s="1" t="s">
        <v>35</v>
      </c>
      <c r="K2898" s="1" t="str">
        <f t="shared" si="136"/>
        <v/>
      </c>
      <c r="L2898" s="1" t="str">
        <f t="shared" si="137"/>
        <v/>
      </c>
      <c r="M2898" s="1">
        <f>IF(OR(Table1[[#This Row],[Std Nom]]="",Table1[[#This Row],[Std Read]]=""),0,Table1[[#This Row],[Std Nom]]-Table1[[#This Row],[Std Read]])</f>
        <v>0</v>
      </c>
      <c r="N2898" s="1">
        <f>IF(Calculations!$F$5="ACCREDITED 17025 WITH UNCERTAINTIES",$N$10,0)</f>
        <v>0</v>
      </c>
      <c r="Q2898" s="1">
        <f>Table1[[#This Row],[High Tol]]-Table1[[#This Row],[Low Tol]]</f>
        <v>0</v>
      </c>
      <c r="R2898" s="1">
        <f>2*Table1[[#This Row],[Std Error]]</f>
        <v>0</v>
      </c>
      <c r="S2898" s="1" t="str">
        <f>IF(Table1[[#This Row],[High Tol]]="","N/A",IFERROR(ABS(Table1[[#This Row],[Tol Span]]/Table1[[#This Row],[Error Span]]),"N/A"))</f>
        <v>N/A</v>
      </c>
      <c r="T2898" s="1" t="str">
        <f>IF(OR(Table1[[#This Row],[Low Tol]]="",Table1[[#This Row],[High Tol]]=""),"Needs Analysis",IF(Table1[[#This Row],[Ratio]]&gt;=4,"Not Significant",IF(Table1[[#This Row],[Ratio]]&gt;=2,"Semi-Significant","Significant")))</f>
        <v>Needs Analysis</v>
      </c>
      <c r="W2898" s="1">
        <f>IF(Table1[[#This Row],[Cal Type]]&lt;&gt;"ACCREDITED 17025 WITH UNCERTAINTIES",0,"")</f>
        <v>0</v>
      </c>
      <c r="X2898" s="1" t="str">
        <f>IF(Table1[[#This Row],[DUT Read]]="","N/A",Table1[[#This Row],[Std Error]]+Table1[[#This Row],[DUT Read]]+Table1[[#This Row],[DUT Ucty]])</f>
        <v>N/A</v>
      </c>
      <c r="Y2898" s="1" t="str">
        <f>IF(Table1[[#This Row],[Std Read]]="","N/A",Table1[[#This Row],[Std Read]]+Table1[[#This Row],[Std Ucty]])</f>
        <v>N/A</v>
      </c>
      <c r="Z28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8" s="1" t="str">
        <f>IF(Table1[[#This Row],[Spec Type]]="","N/A",Table1[[#This Row],[Spec Type]])</f>
        <v>±</v>
      </c>
      <c r="AC2898" s="1" t="str">
        <f>IF(Table1[[#This Row],[Spec Type2]]="N/A","N/A",IF(AND(Table1[[#This Row],[DUT Adj Read]]&gt;=Table1[[#This Row],[Low Tol]],Table1[[#This Row],[DUT Adj Read]]&lt;=Table1[[#This Row],[High Tol]]),"Pass","Fail"))</f>
        <v>Fail</v>
      </c>
      <c r="AD2898" s="1" t="str">
        <f>IF(AND(Table1[[#This Row],[Spec Type2]]="N/A",Table1[[#This Row],[DUT Adj Read]]="N/A",Table1[[#This Row],[Std Adj Read]]="N/A"),"N/A",IF(Table1[[#This Row],[DUT Adj Read]]="N/A",IF(Table1[[#This Row],[Std Adj Read]]&gt;Table1[[#This Row],[Low Tol]],"Pass","Fail"),IF(Table1[[#This Row],[DUT Adj Read]]&gt;Table1[[#This Row],[Low Tol]],"Pass","Fail")))</f>
        <v>Pass</v>
      </c>
      <c r="AE2898" s="1" t="str">
        <f>IF(AND(Table1[[#This Row],[Spec Type2]]="N/A",Table1[[#This Row],[DUT Adj Read]]="N/A",Table1[[#This Row],[Std Adj Read]]="N/A"),"N/A",IF(Table1[[#This Row],[DUT Adj Read]]="N/A",IF(Table1[[#This Row],[Std Adj Read]]&lt;Table1[[#This Row],[High Tol]],"Pass","Fail"),IF(Table1[[#This Row],[DUT Adj Read]]&lt;Table1[[#This Row],[High Tol]],"Pass","Fail")))</f>
        <v>Fail</v>
      </c>
      <c r="AF2898" s="1" t="str">
        <f>IF(AND(Table1[[#This Row],[Spec Type2]]="N/A",Table1[[#This Row],[DUT Adj Read]]="N/A",Table1[[#This Row],[Std Adj Read]]="N/A"),"N/A",IF(Table1[[#This Row],[DUT Adj Read]]="N/A",IF(Table1[[#This Row],[Std Adj Read]]&gt;=Table1[[#This Row],[Low Tol]],"Pass","Fail"),IF(Table1[[#This Row],[DUT Adj Read]]&gt;=Table1[[#This Row],[Low Tol]],"Pass","Fail")))</f>
        <v>Pass</v>
      </c>
      <c r="AG2898" s="1" t="str">
        <f>IF(AND(Table1[[#This Row],[Spec Type2]]="N/A",Table1[[#This Row],[DUT Adj Read]]="N/A",Table1[[#This Row],[Std Adj Read]]="N/A"),"N/A",IF(Table1[[#This Row],[DUT Adj Read]]="N/A",IF(Table1[[#This Row],[Std Adj Read]]&lt;=Table1[[#This Row],[High Tol]],"Pass","Fail"),IF(Table1[[#This Row],[DUT Adj Read]]&lt;=Table1[[#This Row],[High Tol]],"Pass","Fail")))</f>
        <v>Fail</v>
      </c>
      <c r="AH28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8" s="1" t="b">
        <v>0</v>
      </c>
      <c r="AN2898" s="1" t="b">
        <v>0</v>
      </c>
      <c r="AO2898" s="1" t="b">
        <v>0</v>
      </c>
    </row>
    <row r="2899" spans="1:41" x14ac:dyDescent="0.25">
      <c r="A2899" s="10"/>
      <c r="B2899" s="10"/>
      <c r="C2899" s="10"/>
      <c r="D2899" s="10"/>
      <c r="E2899" s="10"/>
      <c r="F2899" s="10"/>
      <c r="G2899" s="10"/>
      <c r="H2899" s="10"/>
      <c r="I2899" s="1" t="str">
        <f t="shared" si="135"/>
        <v/>
      </c>
      <c r="J2899" s="1" t="s">
        <v>35</v>
      </c>
      <c r="K2899" s="1" t="str">
        <f t="shared" si="136"/>
        <v/>
      </c>
      <c r="L2899" s="1" t="str">
        <f t="shared" si="137"/>
        <v/>
      </c>
      <c r="M2899" s="1">
        <f>IF(OR(Table1[[#This Row],[Std Nom]]="",Table1[[#This Row],[Std Read]]=""),0,Table1[[#This Row],[Std Nom]]-Table1[[#This Row],[Std Read]])</f>
        <v>0</v>
      </c>
      <c r="N2899" s="1">
        <f>IF(Calculations!$F$5="ACCREDITED 17025 WITH UNCERTAINTIES",$N$10,0)</f>
        <v>0</v>
      </c>
      <c r="Q2899" s="1">
        <f>Table1[[#This Row],[High Tol]]-Table1[[#This Row],[Low Tol]]</f>
        <v>0</v>
      </c>
      <c r="R2899" s="1">
        <f>2*Table1[[#This Row],[Std Error]]</f>
        <v>0</v>
      </c>
      <c r="S2899" s="1" t="str">
        <f>IF(Table1[[#This Row],[High Tol]]="","N/A",IFERROR(ABS(Table1[[#This Row],[Tol Span]]/Table1[[#This Row],[Error Span]]),"N/A"))</f>
        <v>N/A</v>
      </c>
      <c r="T2899" s="1" t="str">
        <f>IF(OR(Table1[[#This Row],[Low Tol]]="",Table1[[#This Row],[High Tol]]=""),"Needs Analysis",IF(Table1[[#This Row],[Ratio]]&gt;=4,"Not Significant",IF(Table1[[#This Row],[Ratio]]&gt;=2,"Semi-Significant","Significant")))</f>
        <v>Needs Analysis</v>
      </c>
      <c r="W2899" s="1">
        <f>IF(Table1[[#This Row],[Cal Type]]&lt;&gt;"ACCREDITED 17025 WITH UNCERTAINTIES",0,"")</f>
        <v>0</v>
      </c>
      <c r="X2899" s="1" t="str">
        <f>IF(Table1[[#This Row],[DUT Read]]="","N/A",Table1[[#This Row],[Std Error]]+Table1[[#This Row],[DUT Read]]+Table1[[#This Row],[DUT Ucty]])</f>
        <v>N/A</v>
      </c>
      <c r="Y2899" s="1" t="str">
        <f>IF(Table1[[#This Row],[Std Read]]="","N/A",Table1[[#This Row],[Std Read]]+Table1[[#This Row],[Std Ucty]])</f>
        <v>N/A</v>
      </c>
      <c r="Z28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899" s="1" t="str">
        <f>IF(Table1[[#This Row],[Spec Type]]="","N/A",Table1[[#This Row],[Spec Type]])</f>
        <v>±</v>
      </c>
      <c r="AC2899" s="1" t="str">
        <f>IF(Table1[[#This Row],[Spec Type2]]="N/A","N/A",IF(AND(Table1[[#This Row],[DUT Adj Read]]&gt;=Table1[[#This Row],[Low Tol]],Table1[[#This Row],[DUT Adj Read]]&lt;=Table1[[#This Row],[High Tol]]),"Pass","Fail"))</f>
        <v>Fail</v>
      </c>
      <c r="AD2899" s="1" t="str">
        <f>IF(AND(Table1[[#This Row],[Spec Type2]]="N/A",Table1[[#This Row],[DUT Adj Read]]="N/A",Table1[[#This Row],[Std Adj Read]]="N/A"),"N/A",IF(Table1[[#This Row],[DUT Adj Read]]="N/A",IF(Table1[[#This Row],[Std Adj Read]]&gt;Table1[[#This Row],[Low Tol]],"Pass","Fail"),IF(Table1[[#This Row],[DUT Adj Read]]&gt;Table1[[#This Row],[Low Tol]],"Pass","Fail")))</f>
        <v>Pass</v>
      </c>
      <c r="AE2899" s="1" t="str">
        <f>IF(AND(Table1[[#This Row],[Spec Type2]]="N/A",Table1[[#This Row],[DUT Adj Read]]="N/A",Table1[[#This Row],[Std Adj Read]]="N/A"),"N/A",IF(Table1[[#This Row],[DUT Adj Read]]="N/A",IF(Table1[[#This Row],[Std Adj Read]]&lt;Table1[[#This Row],[High Tol]],"Pass","Fail"),IF(Table1[[#This Row],[DUT Adj Read]]&lt;Table1[[#This Row],[High Tol]],"Pass","Fail")))</f>
        <v>Fail</v>
      </c>
      <c r="AF2899" s="1" t="str">
        <f>IF(AND(Table1[[#This Row],[Spec Type2]]="N/A",Table1[[#This Row],[DUT Adj Read]]="N/A",Table1[[#This Row],[Std Adj Read]]="N/A"),"N/A",IF(Table1[[#This Row],[DUT Adj Read]]="N/A",IF(Table1[[#This Row],[Std Adj Read]]&gt;=Table1[[#This Row],[Low Tol]],"Pass","Fail"),IF(Table1[[#This Row],[DUT Adj Read]]&gt;=Table1[[#This Row],[Low Tol]],"Pass","Fail")))</f>
        <v>Pass</v>
      </c>
      <c r="AG2899" s="1" t="str">
        <f>IF(AND(Table1[[#This Row],[Spec Type2]]="N/A",Table1[[#This Row],[DUT Adj Read]]="N/A",Table1[[#This Row],[Std Adj Read]]="N/A"),"N/A",IF(Table1[[#This Row],[DUT Adj Read]]="N/A",IF(Table1[[#This Row],[Std Adj Read]]&lt;=Table1[[#This Row],[High Tol]],"Pass","Fail"),IF(Table1[[#This Row],[DUT Adj Read]]&lt;=Table1[[#This Row],[High Tol]],"Pass","Fail")))</f>
        <v>Fail</v>
      </c>
      <c r="AH28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899" s="1" t="b">
        <v>0</v>
      </c>
      <c r="AN2899" s="1" t="b">
        <v>0</v>
      </c>
      <c r="AO2899" s="1" t="b">
        <v>0</v>
      </c>
    </row>
    <row r="2900" spans="1:41" x14ac:dyDescent="0.25">
      <c r="A2900" s="10"/>
      <c r="B2900" s="10"/>
      <c r="C2900" s="10"/>
      <c r="D2900" s="10"/>
      <c r="E2900" s="10"/>
      <c r="F2900" s="10"/>
      <c r="G2900" s="10"/>
      <c r="H2900" s="10"/>
      <c r="I2900" s="1" t="str">
        <f t="shared" si="135"/>
        <v/>
      </c>
      <c r="J2900" s="1" t="s">
        <v>35</v>
      </c>
      <c r="K2900" s="1" t="str">
        <f t="shared" si="136"/>
        <v/>
      </c>
      <c r="L2900" s="1" t="str">
        <f t="shared" si="137"/>
        <v/>
      </c>
      <c r="M2900" s="1">
        <f>IF(OR(Table1[[#This Row],[Std Nom]]="",Table1[[#This Row],[Std Read]]=""),0,Table1[[#This Row],[Std Nom]]-Table1[[#This Row],[Std Read]])</f>
        <v>0</v>
      </c>
      <c r="N2900" s="1">
        <f>IF(Calculations!$F$5="ACCREDITED 17025 WITH UNCERTAINTIES",$N$10,0)</f>
        <v>0</v>
      </c>
      <c r="Q2900" s="1">
        <f>Table1[[#This Row],[High Tol]]-Table1[[#This Row],[Low Tol]]</f>
        <v>0</v>
      </c>
      <c r="R2900" s="1">
        <f>2*Table1[[#This Row],[Std Error]]</f>
        <v>0</v>
      </c>
      <c r="S2900" s="1" t="str">
        <f>IF(Table1[[#This Row],[High Tol]]="","N/A",IFERROR(ABS(Table1[[#This Row],[Tol Span]]/Table1[[#This Row],[Error Span]]),"N/A"))</f>
        <v>N/A</v>
      </c>
      <c r="T2900" s="1" t="str">
        <f>IF(OR(Table1[[#This Row],[Low Tol]]="",Table1[[#This Row],[High Tol]]=""),"Needs Analysis",IF(Table1[[#This Row],[Ratio]]&gt;=4,"Not Significant",IF(Table1[[#This Row],[Ratio]]&gt;=2,"Semi-Significant","Significant")))</f>
        <v>Needs Analysis</v>
      </c>
      <c r="W2900" s="1">
        <f>IF(Table1[[#This Row],[Cal Type]]&lt;&gt;"ACCREDITED 17025 WITH UNCERTAINTIES",0,"")</f>
        <v>0</v>
      </c>
      <c r="X2900" s="1" t="str">
        <f>IF(Table1[[#This Row],[DUT Read]]="","N/A",Table1[[#This Row],[Std Error]]+Table1[[#This Row],[DUT Read]]+Table1[[#This Row],[DUT Ucty]])</f>
        <v>N/A</v>
      </c>
      <c r="Y2900" s="1" t="str">
        <f>IF(Table1[[#This Row],[Std Read]]="","N/A",Table1[[#This Row],[Std Read]]+Table1[[#This Row],[Std Ucty]])</f>
        <v>N/A</v>
      </c>
      <c r="Z29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0" s="1" t="str">
        <f>IF(Table1[[#This Row],[Spec Type]]="","N/A",Table1[[#This Row],[Spec Type]])</f>
        <v>±</v>
      </c>
      <c r="AC2900" s="1" t="str">
        <f>IF(Table1[[#This Row],[Spec Type2]]="N/A","N/A",IF(AND(Table1[[#This Row],[DUT Adj Read]]&gt;=Table1[[#This Row],[Low Tol]],Table1[[#This Row],[DUT Adj Read]]&lt;=Table1[[#This Row],[High Tol]]),"Pass","Fail"))</f>
        <v>Fail</v>
      </c>
      <c r="AD2900" s="1" t="str">
        <f>IF(AND(Table1[[#This Row],[Spec Type2]]="N/A",Table1[[#This Row],[DUT Adj Read]]="N/A",Table1[[#This Row],[Std Adj Read]]="N/A"),"N/A",IF(Table1[[#This Row],[DUT Adj Read]]="N/A",IF(Table1[[#This Row],[Std Adj Read]]&gt;Table1[[#This Row],[Low Tol]],"Pass","Fail"),IF(Table1[[#This Row],[DUT Adj Read]]&gt;Table1[[#This Row],[Low Tol]],"Pass","Fail")))</f>
        <v>Pass</v>
      </c>
      <c r="AE2900" s="1" t="str">
        <f>IF(AND(Table1[[#This Row],[Spec Type2]]="N/A",Table1[[#This Row],[DUT Adj Read]]="N/A",Table1[[#This Row],[Std Adj Read]]="N/A"),"N/A",IF(Table1[[#This Row],[DUT Adj Read]]="N/A",IF(Table1[[#This Row],[Std Adj Read]]&lt;Table1[[#This Row],[High Tol]],"Pass","Fail"),IF(Table1[[#This Row],[DUT Adj Read]]&lt;Table1[[#This Row],[High Tol]],"Pass","Fail")))</f>
        <v>Fail</v>
      </c>
      <c r="AF2900" s="1" t="str">
        <f>IF(AND(Table1[[#This Row],[Spec Type2]]="N/A",Table1[[#This Row],[DUT Adj Read]]="N/A",Table1[[#This Row],[Std Adj Read]]="N/A"),"N/A",IF(Table1[[#This Row],[DUT Adj Read]]="N/A",IF(Table1[[#This Row],[Std Adj Read]]&gt;=Table1[[#This Row],[Low Tol]],"Pass","Fail"),IF(Table1[[#This Row],[DUT Adj Read]]&gt;=Table1[[#This Row],[Low Tol]],"Pass","Fail")))</f>
        <v>Pass</v>
      </c>
      <c r="AG2900" s="1" t="str">
        <f>IF(AND(Table1[[#This Row],[Spec Type2]]="N/A",Table1[[#This Row],[DUT Adj Read]]="N/A",Table1[[#This Row],[Std Adj Read]]="N/A"),"N/A",IF(Table1[[#This Row],[DUT Adj Read]]="N/A",IF(Table1[[#This Row],[Std Adj Read]]&lt;=Table1[[#This Row],[High Tol]],"Pass","Fail"),IF(Table1[[#This Row],[DUT Adj Read]]&lt;=Table1[[#This Row],[High Tol]],"Pass","Fail")))</f>
        <v>Fail</v>
      </c>
      <c r="AH29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0" s="1" t="b">
        <v>0</v>
      </c>
      <c r="AN2900" s="1" t="b">
        <v>0</v>
      </c>
      <c r="AO2900" s="1" t="b">
        <v>0</v>
      </c>
    </row>
    <row r="2901" spans="1:41" x14ac:dyDescent="0.25">
      <c r="A2901" s="10"/>
      <c r="B2901" s="10"/>
      <c r="C2901" s="10"/>
      <c r="D2901" s="10"/>
      <c r="E2901" s="10"/>
      <c r="F2901" s="10"/>
      <c r="G2901" s="10"/>
      <c r="H2901" s="10"/>
      <c r="I2901" s="1" t="str">
        <f t="shared" si="135"/>
        <v/>
      </c>
      <c r="J2901" s="1" t="s">
        <v>35</v>
      </c>
      <c r="K2901" s="1" t="str">
        <f t="shared" si="136"/>
        <v/>
      </c>
      <c r="L2901" s="1" t="str">
        <f t="shared" si="137"/>
        <v/>
      </c>
      <c r="M2901" s="1">
        <f>IF(OR(Table1[[#This Row],[Std Nom]]="",Table1[[#This Row],[Std Read]]=""),0,Table1[[#This Row],[Std Nom]]-Table1[[#This Row],[Std Read]])</f>
        <v>0</v>
      </c>
      <c r="N2901" s="1">
        <f>IF(Calculations!$F$5="ACCREDITED 17025 WITH UNCERTAINTIES",$N$10,0)</f>
        <v>0</v>
      </c>
      <c r="Q2901" s="1">
        <f>Table1[[#This Row],[High Tol]]-Table1[[#This Row],[Low Tol]]</f>
        <v>0</v>
      </c>
      <c r="R2901" s="1">
        <f>2*Table1[[#This Row],[Std Error]]</f>
        <v>0</v>
      </c>
      <c r="S2901" s="1" t="str">
        <f>IF(Table1[[#This Row],[High Tol]]="","N/A",IFERROR(ABS(Table1[[#This Row],[Tol Span]]/Table1[[#This Row],[Error Span]]),"N/A"))</f>
        <v>N/A</v>
      </c>
      <c r="T2901" s="1" t="str">
        <f>IF(OR(Table1[[#This Row],[Low Tol]]="",Table1[[#This Row],[High Tol]]=""),"Needs Analysis",IF(Table1[[#This Row],[Ratio]]&gt;=4,"Not Significant",IF(Table1[[#This Row],[Ratio]]&gt;=2,"Semi-Significant","Significant")))</f>
        <v>Needs Analysis</v>
      </c>
      <c r="W2901" s="1">
        <f>IF(Table1[[#This Row],[Cal Type]]&lt;&gt;"ACCREDITED 17025 WITH UNCERTAINTIES",0,"")</f>
        <v>0</v>
      </c>
      <c r="X2901" s="1" t="str">
        <f>IF(Table1[[#This Row],[DUT Read]]="","N/A",Table1[[#This Row],[Std Error]]+Table1[[#This Row],[DUT Read]]+Table1[[#This Row],[DUT Ucty]])</f>
        <v>N/A</v>
      </c>
      <c r="Y2901" s="1" t="str">
        <f>IF(Table1[[#This Row],[Std Read]]="","N/A",Table1[[#This Row],[Std Read]]+Table1[[#This Row],[Std Ucty]])</f>
        <v>N/A</v>
      </c>
      <c r="Z29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1" s="1" t="str">
        <f>IF(Table1[[#This Row],[Spec Type]]="","N/A",Table1[[#This Row],[Spec Type]])</f>
        <v>±</v>
      </c>
      <c r="AC2901" s="1" t="str">
        <f>IF(Table1[[#This Row],[Spec Type2]]="N/A","N/A",IF(AND(Table1[[#This Row],[DUT Adj Read]]&gt;=Table1[[#This Row],[Low Tol]],Table1[[#This Row],[DUT Adj Read]]&lt;=Table1[[#This Row],[High Tol]]),"Pass","Fail"))</f>
        <v>Fail</v>
      </c>
      <c r="AD2901" s="1" t="str">
        <f>IF(AND(Table1[[#This Row],[Spec Type2]]="N/A",Table1[[#This Row],[DUT Adj Read]]="N/A",Table1[[#This Row],[Std Adj Read]]="N/A"),"N/A",IF(Table1[[#This Row],[DUT Adj Read]]="N/A",IF(Table1[[#This Row],[Std Adj Read]]&gt;Table1[[#This Row],[Low Tol]],"Pass","Fail"),IF(Table1[[#This Row],[DUT Adj Read]]&gt;Table1[[#This Row],[Low Tol]],"Pass","Fail")))</f>
        <v>Pass</v>
      </c>
      <c r="AE2901" s="1" t="str">
        <f>IF(AND(Table1[[#This Row],[Spec Type2]]="N/A",Table1[[#This Row],[DUT Adj Read]]="N/A",Table1[[#This Row],[Std Adj Read]]="N/A"),"N/A",IF(Table1[[#This Row],[DUT Adj Read]]="N/A",IF(Table1[[#This Row],[Std Adj Read]]&lt;Table1[[#This Row],[High Tol]],"Pass","Fail"),IF(Table1[[#This Row],[DUT Adj Read]]&lt;Table1[[#This Row],[High Tol]],"Pass","Fail")))</f>
        <v>Fail</v>
      </c>
      <c r="AF2901" s="1" t="str">
        <f>IF(AND(Table1[[#This Row],[Spec Type2]]="N/A",Table1[[#This Row],[DUT Adj Read]]="N/A",Table1[[#This Row],[Std Adj Read]]="N/A"),"N/A",IF(Table1[[#This Row],[DUT Adj Read]]="N/A",IF(Table1[[#This Row],[Std Adj Read]]&gt;=Table1[[#This Row],[Low Tol]],"Pass","Fail"),IF(Table1[[#This Row],[DUT Adj Read]]&gt;=Table1[[#This Row],[Low Tol]],"Pass","Fail")))</f>
        <v>Pass</v>
      </c>
      <c r="AG2901" s="1" t="str">
        <f>IF(AND(Table1[[#This Row],[Spec Type2]]="N/A",Table1[[#This Row],[DUT Adj Read]]="N/A",Table1[[#This Row],[Std Adj Read]]="N/A"),"N/A",IF(Table1[[#This Row],[DUT Adj Read]]="N/A",IF(Table1[[#This Row],[Std Adj Read]]&lt;=Table1[[#This Row],[High Tol]],"Pass","Fail"),IF(Table1[[#This Row],[DUT Adj Read]]&lt;=Table1[[#This Row],[High Tol]],"Pass","Fail")))</f>
        <v>Fail</v>
      </c>
      <c r="AH29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1" s="1" t="b">
        <v>0</v>
      </c>
      <c r="AN2901" s="1" t="b">
        <v>0</v>
      </c>
      <c r="AO2901" s="1" t="b">
        <v>0</v>
      </c>
    </row>
    <row r="2902" spans="1:41" x14ac:dyDescent="0.25">
      <c r="A2902" s="10"/>
      <c r="B2902" s="10"/>
      <c r="C2902" s="10"/>
      <c r="D2902" s="10"/>
      <c r="E2902" s="10"/>
      <c r="F2902" s="10"/>
      <c r="G2902" s="10"/>
      <c r="H2902" s="10"/>
      <c r="I2902" s="1" t="str">
        <f t="shared" si="135"/>
        <v/>
      </c>
      <c r="J2902" s="1" t="s">
        <v>35</v>
      </c>
      <c r="K2902" s="1" t="str">
        <f t="shared" si="136"/>
        <v/>
      </c>
      <c r="L2902" s="1" t="str">
        <f t="shared" si="137"/>
        <v/>
      </c>
      <c r="M2902" s="1">
        <f>IF(OR(Table1[[#This Row],[Std Nom]]="",Table1[[#This Row],[Std Read]]=""),0,Table1[[#This Row],[Std Nom]]-Table1[[#This Row],[Std Read]])</f>
        <v>0</v>
      </c>
      <c r="N2902" s="1">
        <f>IF(Calculations!$F$5="ACCREDITED 17025 WITH UNCERTAINTIES",$N$10,0)</f>
        <v>0</v>
      </c>
      <c r="Q2902" s="1">
        <f>Table1[[#This Row],[High Tol]]-Table1[[#This Row],[Low Tol]]</f>
        <v>0</v>
      </c>
      <c r="R2902" s="1">
        <f>2*Table1[[#This Row],[Std Error]]</f>
        <v>0</v>
      </c>
      <c r="S2902" s="1" t="str">
        <f>IF(Table1[[#This Row],[High Tol]]="","N/A",IFERROR(ABS(Table1[[#This Row],[Tol Span]]/Table1[[#This Row],[Error Span]]),"N/A"))</f>
        <v>N/A</v>
      </c>
      <c r="T2902" s="1" t="str">
        <f>IF(OR(Table1[[#This Row],[Low Tol]]="",Table1[[#This Row],[High Tol]]=""),"Needs Analysis",IF(Table1[[#This Row],[Ratio]]&gt;=4,"Not Significant",IF(Table1[[#This Row],[Ratio]]&gt;=2,"Semi-Significant","Significant")))</f>
        <v>Needs Analysis</v>
      </c>
      <c r="W2902" s="1">
        <f>IF(Table1[[#This Row],[Cal Type]]&lt;&gt;"ACCREDITED 17025 WITH UNCERTAINTIES",0,"")</f>
        <v>0</v>
      </c>
      <c r="X2902" s="1" t="str">
        <f>IF(Table1[[#This Row],[DUT Read]]="","N/A",Table1[[#This Row],[Std Error]]+Table1[[#This Row],[DUT Read]]+Table1[[#This Row],[DUT Ucty]])</f>
        <v>N/A</v>
      </c>
      <c r="Y2902" s="1" t="str">
        <f>IF(Table1[[#This Row],[Std Read]]="","N/A",Table1[[#This Row],[Std Read]]+Table1[[#This Row],[Std Ucty]])</f>
        <v>N/A</v>
      </c>
      <c r="Z29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2" s="1" t="str">
        <f>IF(Table1[[#This Row],[Spec Type]]="","N/A",Table1[[#This Row],[Spec Type]])</f>
        <v>±</v>
      </c>
      <c r="AC2902" s="1" t="str">
        <f>IF(Table1[[#This Row],[Spec Type2]]="N/A","N/A",IF(AND(Table1[[#This Row],[DUT Adj Read]]&gt;=Table1[[#This Row],[Low Tol]],Table1[[#This Row],[DUT Adj Read]]&lt;=Table1[[#This Row],[High Tol]]),"Pass","Fail"))</f>
        <v>Fail</v>
      </c>
      <c r="AD2902" s="1" t="str">
        <f>IF(AND(Table1[[#This Row],[Spec Type2]]="N/A",Table1[[#This Row],[DUT Adj Read]]="N/A",Table1[[#This Row],[Std Adj Read]]="N/A"),"N/A",IF(Table1[[#This Row],[DUT Adj Read]]="N/A",IF(Table1[[#This Row],[Std Adj Read]]&gt;Table1[[#This Row],[Low Tol]],"Pass","Fail"),IF(Table1[[#This Row],[DUT Adj Read]]&gt;Table1[[#This Row],[Low Tol]],"Pass","Fail")))</f>
        <v>Pass</v>
      </c>
      <c r="AE2902" s="1" t="str">
        <f>IF(AND(Table1[[#This Row],[Spec Type2]]="N/A",Table1[[#This Row],[DUT Adj Read]]="N/A",Table1[[#This Row],[Std Adj Read]]="N/A"),"N/A",IF(Table1[[#This Row],[DUT Adj Read]]="N/A",IF(Table1[[#This Row],[Std Adj Read]]&lt;Table1[[#This Row],[High Tol]],"Pass","Fail"),IF(Table1[[#This Row],[DUT Adj Read]]&lt;Table1[[#This Row],[High Tol]],"Pass","Fail")))</f>
        <v>Fail</v>
      </c>
      <c r="AF2902" s="1" t="str">
        <f>IF(AND(Table1[[#This Row],[Spec Type2]]="N/A",Table1[[#This Row],[DUT Adj Read]]="N/A",Table1[[#This Row],[Std Adj Read]]="N/A"),"N/A",IF(Table1[[#This Row],[DUT Adj Read]]="N/A",IF(Table1[[#This Row],[Std Adj Read]]&gt;=Table1[[#This Row],[Low Tol]],"Pass","Fail"),IF(Table1[[#This Row],[DUT Adj Read]]&gt;=Table1[[#This Row],[Low Tol]],"Pass","Fail")))</f>
        <v>Pass</v>
      </c>
      <c r="AG2902" s="1" t="str">
        <f>IF(AND(Table1[[#This Row],[Spec Type2]]="N/A",Table1[[#This Row],[DUT Adj Read]]="N/A",Table1[[#This Row],[Std Adj Read]]="N/A"),"N/A",IF(Table1[[#This Row],[DUT Adj Read]]="N/A",IF(Table1[[#This Row],[Std Adj Read]]&lt;=Table1[[#This Row],[High Tol]],"Pass","Fail"),IF(Table1[[#This Row],[DUT Adj Read]]&lt;=Table1[[#This Row],[High Tol]],"Pass","Fail")))</f>
        <v>Fail</v>
      </c>
      <c r="AH29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2" s="1" t="b">
        <v>0</v>
      </c>
      <c r="AN2902" s="1" t="b">
        <v>0</v>
      </c>
      <c r="AO2902" s="1" t="b">
        <v>0</v>
      </c>
    </row>
    <row r="2903" spans="1:41" x14ac:dyDescent="0.25">
      <c r="A2903" s="10"/>
      <c r="B2903" s="10"/>
      <c r="C2903" s="10"/>
      <c r="D2903" s="10"/>
      <c r="E2903" s="10"/>
      <c r="F2903" s="10"/>
      <c r="G2903" s="10"/>
      <c r="H2903" s="10"/>
      <c r="I2903" s="1" t="str">
        <f t="shared" si="135"/>
        <v/>
      </c>
      <c r="J2903" s="1" t="s">
        <v>35</v>
      </c>
      <c r="K2903" s="1" t="str">
        <f t="shared" si="136"/>
        <v/>
      </c>
      <c r="L2903" s="1" t="str">
        <f t="shared" si="137"/>
        <v/>
      </c>
      <c r="M2903" s="1">
        <f>IF(OR(Table1[[#This Row],[Std Nom]]="",Table1[[#This Row],[Std Read]]=""),0,Table1[[#This Row],[Std Nom]]-Table1[[#This Row],[Std Read]])</f>
        <v>0</v>
      </c>
      <c r="N2903" s="1">
        <f>IF(Calculations!$F$5="ACCREDITED 17025 WITH UNCERTAINTIES",$N$10,0)</f>
        <v>0</v>
      </c>
      <c r="Q2903" s="1">
        <f>Table1[[#This Row],[High Tol]]-Table1[[#This Row],[Low Tol]]</f>
        <v>0</v>
      </c>
      <c r="R2903" s="1">
        <f>2*Table1[[#This Row],[Std Error]]</f>
        <v>0</v>
      </c>
      <c r="S2903" s="1" t="str">
        <f>IF(Table1[[#This Row],[High Tol]]="","N/A",IFERROR(ABS(Table1[[#This Row],[Tol Span]]/Table1[[#This Row],[Error Span]]),"N/A"))</f>
        <v>N/A</v>
      </c>
      <c r="T2903" s="1" t="str">
        <f>IF(OR(Table1[[#This Row],[Low Tol]]="",Table1[[#This Row],[High Tol]]=""),"Needs Analysis",IF(Table1[[#This Row],[Ratio]]&gt;=4,"Not Significant",IF(Table1[[#This Row],[Ratio]]&gt;=2,"Semi-Significant","Significant")))</f>
        <v>Needs Analysis</v>
      </c>
      <c r="W2903" s="1">
        <f>IF(Table1[[#This Row],[Cal Type]]&lt;&gt;"ACCREDITED 17025 WITH UNCERTAINTIES",0,"")</f>
        <v>0</v>
      </c>
      <c r="X2903" s="1" t="str">
        <f>IF(Table1[[#This Row],[DUT Read]]="","N/A",Table1[[#This Row],[Std Error]]+Table1[[#This Row],[DUT Read]]+Table1[[#This Row],[DUT Ucty]])</f>
        <v>N/A</v>
      </c>
      <c r="Y2903" s="1" t="str">
        <f>IF(Table1[[#This Row],[Std Read]]="","N/A",Table1[[#This Row],[Std Read]]+Table1[[#This Row],[Std Ucty]])</f>
        <v>N/A</v>
      </c>
      <c r="Z29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3" s="1" t="str">
        <f>IF(Table1[[#This Row],[Spec Type]]="","N/A",Table1[[#This Row],[Spec Type]])</f>
        <v>±</v>
      </c>
      <c r="AC2903" s="1" t="str">
        <f>IF(Table1[[#This Row],[Spec Type2]]="N/A","N/A",IF(AND(Table1[[#This Row],[DUT Adj Read]]&gt;=Table1[[#This Row],[Low Tol]],Table1[[#This Row],[DUT Adj Read]]&lt;=Table1[[#This Row],[High Tol]]),"Pass","Fail"))</f>
        <v>Fail</v>
      </c>
      <c r="AD2903" s="1" t="str">
        <f>IF(AND(Table1[[#This Row],[Spec Type2]]="N/A",Table1[[#This Row],[DUT Adj Read]]="N/A",Table1[[#This Row],[Std Adj Read]]="N/A"),"N/A",IF(Table1[[#This Row],[DUT Adj Read]]="N/A",IF(Table1[[#This Row],[Std Adj Read]]&gt;Table1[[#This Row],[Low Tol]],"Pass","Fail"),IF(Table1[[#This Row],[DUT Adj Read]]&gt;Table1[[#This Row],[Low Tol]],"Pass","Fail")))</f>
        <v>Pass</v>
      </c>
      <c r="AE2903" s="1" t="str">
        <f>IF(AND(Table1[[#This Row],[Spec Type2]]="N/A",Table1[[#This Row],[DUT Adj Read]]="N/A",Table1[[#This Row],[Std Adj Read]]="N/A"),"N/A",IF(Table1[[#This Row],[DUT Adj Read]]="N/A",IF(Table1[[#This Row],[Std Adj Read]]&lt;Table1[[#This Row],[High Tol]],"Pass","Fail"),IF(Table1[[#This Row],[DUT Adj Read]]&lt;Table1[[#This Row],[High Tol]],"Pass","Fail")))</f>
        <v>Fail</v>
      </c>
      <c r="AF2903" s="1" t="str">
        <f>IF(AND(Table1[[#This Row],[Spec Type2]]="N/A",Table1[[#This Row],[DUT Adj Read]]="N/A",Table1[[#This Row],[Std Adj Read]]="N/A"),"N/A",IF(Table1[[#This Row],[DUT Adj Read]]="N/A",IF(Table1[[#This Row],[Std Adj Read]]&gt;=Table1[[#This Row],[Low Tol]],"Pass","Fail"),IF(Table1[[#This Row],[DUT Adj Read]]&gt;=Table1[[#This Row],[Low Tol]],"Pass","Fail")))</f>
        <v>Pass</v>
      </c>
      <c r="AG2903" s="1" t="str">
        <f>IF(AND(Table1[[#This Row],[Spec Type2]]="N/A",Table1[[#This Row],[DUT Adj Read]]="N/A",Table1[[#This Row],[Std Adj Read]]="N/A"),"N/A",IF(Table1[[#This Row],[DUT Adj Read]]="N/A",IF(Table1[[#This Row],[Std Adj Read]]&lt;=Table1[[#This Row],[High Tol]],"Pass","Fail"),IF(Table1[[#This Row],[DUT Adj Read]]&lt;=Table1[[#This Row],[High Tol]],"Pass","Fail")))</f>
        <v>Fail</v>
      </c>
      <c r="AH29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3" s="1" t="b">
        <v>0</v>
      </c>
      <c r="AN2903" s="1" t="b">
        <v>0</v>
      </c>
      <c r="AO2903" s="1" t="b">
        <v>0</v>
      </c>
    </row>
    <row r="2904" spans="1:41" x14ac:dyDescent="0.25">
      <c r="A2904" s="10"/>
      <c r="B2904" s="10"/>
      <c r="C2904" s="10"/>
      <c r="D2904" s="10"/>
      <c r="E2904" s="10"/>
      <c r="F2904" s="10"/>
      <c r="G2904" s="10"/>
      <c r="H2904" s="10"/>
      <c r="I2904" s="1" t="str">
        <f t="shared" si="135"/>
        <v/>
      </c>
      <c r="J2904" s="1" t="s">
        <v>35</v>
      </c>
      <c r="K2904" s="1" t="str">
        <f t="shared" si="136"/>
        <v/>
      </c>
      <c r="L2904" s="1" t="str">
        <f t="shared" si="137"/>
        <v/>
      </c>
      <c r="M2904" s="1">
        <f>IF(OR(Table1[[#This Row],[Std Nom]]="",Table1[[#This Row],[Std Read]]=""),0,Table1[[#This Row],[Std Nom]]-Table1[[#This Row],[Std Read]])</f>
        <v>0</v>
      </c>
      <c r="N2904" s="1">
        <f>IF(Calculations!$F$5="ACCREDITED 17025 WITH UNCERTAINTIES",$N$10,0)</f>
        <v>0</v>
      </c>
      <c r="Q2904" s="1">
        <f>Table1[[#This Row],[High Tol]]-Table1[[#This Row],[Low Tol]]</f>
        <v>0</v>
      </c>
      <c r="R2904" s="1">
        <f>2*Table1[[#This Row],[Std Error]]</f>
        <v>0</v>
      </c>
      <c r="S2904" s="1" t="str">
        <f>IF(Table1[[#This Row],[High Tol]]="","N/A",IFERROR(ABS(Table1[[#This Row],[Tol Span]]/Table1[[#This Row],[Error Span]]),"N/A"))</f>
        <v>N/A</v>
      </c>
      <c r="T2904" s="1" t="str">
        <f>IF(OR(Table1[[#This Row],[Low Tol]]="",Table1[[#This Row],[High Tol]]=""),"Needs Analysis",IF(Table1[[#This Row],[Ratio]]&gt;=4,"Not Significant",IF(Table1[[#This Row],[Ratio]]&gt;=2,"Semi-Significant","Significant")))</f>
        <v>Needs Analysis</v>
      </c>
      <c r="W2904" s="1">
        <f>IF(Table1[[#This Row],[Cal Type]]&lt;&gt;"ACCREDITED 17025 WITH UNCERTAINTIES",0,"")</f>
        <v>0</v>
      </c>
      <c r="X2904" s="1" t="str">
        <f>IF(Table1[[#This Row],[DUT Read]]="","N/A",Table1[[#This Row],[Std Error]]+Table1[[#This Row],[DUT Read]]+Table1[[#This Row],[DUT Ucty]])</f>
        <v>N/A</v>
      </c>
      <c r="Y2904" s="1" t="str">
        <f>IF(Table1[[#This Row],[Std Read]]="","N/A",Table1[[#This Row],[Std Read]]+Table1[[#This Row],[Std Ucty]])</f>
        <v>N/A</v>
      </c>
      <c r="Z29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4" s="1" t="str">
        <f>IF(Table1[[#This Row],[Spec Type]]="","N/A",Table1[[#This Row],[Spec Type]])</f>
        <v>±</v>
      </c>
      <c r="AC2904" s="1" t="str">
        <f>IF(Table1[[#This Row],[Spec Type2]]="N/A","N/A",IF(AND(Table1[[#This Row],[DUT Adj Read]]&gt;=Table1[[#This Row],[Low Tol]],Table1[[#This Row],[DUT Adj Read]]&lt;=Table1[[#This Row],[High Tol]]),"Pass","Fail"))</f>
        <v>Fail</v>
      </c>
      <c r="AD2904" s="1" t="str">
        <f>IF(AND(Table1[[#This Row],[Spec Type2]]="N/A",Table1[[#This Row],[DUT Adj Read]]="N/A",Table1[[#This Row],[Std Adj Read]]="N/A"),"N/A",IF(Table1[[#This Row],[DUT Adj Read]]="N/A",IF(Table1[[#This Row],[Std Adj Read]]&gt;Table1[[#This Row],[Low Tol]],"Pass","Fail"),IF(Table1[[#This Row],[DUT Adj Read]]&gt;Table1[[#This Row],[Low Tol]],"Pass","Fail")))</f>
        <v>Pass</v>
      </c>
      <c r="AE2904" s="1" t="str">
        <f>IF(AND(Table1[[#This Row],[Spec Type2]]="N/A",Table1[[#This Row],[DUT Adj Read]]="N/A",Table1[[#This Row],[Std Adj Read]]="N/A"),"N/A",IF(Table1[[#This Row],[DUT Adj Read]]="N/A",IF(Table1[[#This Row],[Std Adj Read]]&lt;Table1[[#This Row],[High Tol]],"Pass","Fail"),IF(Table1[[#This Row],[DUT Adj Read]]&lt;Table1[[#This Row],[High Tol]],"Pass","Fail")))</f>
        <v>Fail</v>
      </c>
      <c r="AF2904" s="1" t="str">
        <f>IF(AND(Table1[[#This Row],[Spec Type2]]="N/A",Table1[[#This Row],[DUT Adj Read]]="N/A",Table1[[#This Row],[Std Adj Read]]="N/A"),"N/A",IF(Table1[[#This Row],[DUT Adj Read]]="N/A",IF(Table1[[#This Row],[Std Adj Read]]&gt;=Table1[[#This Row],[Low Tol]],"Pass","Fail"),IF(Table1[[#This Row],[DUT Adj Read]]&gt;=Table1[[#This Row],[Low Tol]],"Pass","Fail")))</f>
        <v>Pass</v>
      </c>
      <c r="AG2904" s="1" t="str">
        <f>IF(AND(Table1[[#This Row],[Spec Type2]]="N/A",Table1[[#This Row],[DUT Adj Read]]="N/A",Table1[[#This Row],[Std Adj Read]]="N/A"),"N/A",IF(Table1[[#This Row],[DUT Adj Read]]="N/A",IF(Table1[[#This Row],[Std Adj Read]]&lt;=Table1[[#This Row],[High Tol]],"Pass","Fail"),IF(Table1[[#This Row],[DUT Adj Read]]&lt;=Table1[[#This Row],[High Tol]],"Pass","Fail")))</f>
        <v>Fail</v>
      </c>
      <c r="AH29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4" s="1" t="b">
        <v>0</v>
      </c>
      <c r="AN2904" s="1" t="b">
        <v>0</v>
      </c>
      <c r="AO2904" s="1" t="b">
        <v>0</v>
      </c>
    </row>
    <row r="2905" spans="1:41" x14ac:dyDescent="0.25">
      <c r="A2905" s="10"/>
      <c r="B2905" s="10"/>
      <c r="C2905" s="10"/>
      <c r="D2905" s="10"/>
      <c r="E2905" s="10"/>
      <c r="F2905" s="10"/>
      <c r="G2905" s="10"/>
      <c r="H2905" s="10"/>
      <c r="I2905" s="1" t="str">
        <f t="shared" si="135"/>
        <v/>
      </c>
      <c r="J2905" s="1" t="s">
        <v>35</v>
      </c>
      <c r="K2905" s="1" t="str">
        <f t="shared" si="136"/>
        <v/>
      </c>
      <c r="L2905" s="1" t="str">
        <f t="shared" si="137"/>
        <v/>
      </c>
      <c r="M2905" s="1">
        <f>IF(OR(Table1[[#This Row],[Std Nom]]="",Table1[[#This Row],[Std Read]]=""),0,Table1[[#This Row],[Std Nom]]-Table1[[#This Row],[Std Read]])</f>
        <v>0</v>
      </c>
      <c r="N2905" s="1">
        <f>IF(Calculations!$F$5="ACCREDITED 17025 WITH UNCERTAINTIES",$N$10,0)</f>
        <v>0</v>
      </c>
      <c r="Q2905" s="1">
        <f>Table1[[#This Row],[High Tol]]-Table1[[#This Row],[Low Tol]]</f>
        <v>0</v>
      </c>
      <c r="R2905" s="1">
        <f>2*Table1[[#This Row],[Std Error]]</f>
        <v>0</v>
      </c>
      <c r="S2905" s="1" t="str">
        <f>IF(Table1[[#This Row],[High Tol]]="","N/A",IFERROR(ABS(Table1[[#This Row],[Tol Span]]/Table1[[#This Row],[Error Span]]),"N/A"))</f>
        <v>N/A</v>
      </c>
      <c r="T2905" s="1" t="str">
        <f>IF(OR(Table1[[#This Row],[Low Tol]]="",Table1[[#This Row],[High Tol]]=""),"Needs Analysis",IF(Table1[[#This Row],[Ratio]]&gt;=4,"Not Significant",IF(Table1[[#This Row],[Ratio]]&gt;=2,"Semi-Significant","Significant")))</f>
        <v>Needs Analysis</v>
      </c>
      <c r="W2905" s="1">
        <f>IF(Table1[[#This Row],[Cal Type]]&lt;&gt;"ACCREDITED 17025 WITH UNCERTAINTIES",0,"")</f>
        <v>0</v>
      </c>
      <c r="X2905" s="1" t="str">
        <f>IF(Table1[[#This Row],[DUT Read]]="","N/A",Table1[[#This Row],[Std Error]]+Table1[[#This Row],[DUT Read]]+Table1[[#This Row],[DUT Ucty]])</f>
        <v>N/A</v>
      </c>
      <c r="Y2905" s="1" t="str">
        <f>IF(Table1[[#This Row],[Std Read]]="","N/A",Table1[[#This Row],[Std Read]]+Table1[[#This Row],[Std Ucty]])</f>
        <v>N/A</v>
      </c>
      <c r="Z29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5" s="1" t="str">
        <f>IF(Table1[[#This Row],[Spec Type]]="","N/A",Table1[[#This Row],[Spec Type]])</f>
        <v>±</v>
      </c>
      <c r="AC2905" s="1" t="str">
        <f>IF(Table1[[#This Row],[Spec Type2]]="N/A","N/A",IF(AND(Table1[[#This Row],[DUT Adj Read]]&gt;=Table1[[#This Row],[Low Tol]],Table1[[#This Row],[DUT Adj Read]]&lt;=Table1[[#This Row],[High Tol]]),"Pass","Fail"))</f>
        <v>Fail</v>
      </c>
      <c r="AD2905" s="1" t="str">
        <f>IF(AND(Table1[[#This Row],[Spec Type2]]="N/A",Table1[[#This Row],[DUT Adj Read]]="N/A",Table1[[#This Row],[Std Adj Read]]="N/A"),"N/A",IF(Table1[[#This Row],[DUT Adj Read]]="N/A",IF(Table1[[#This Row],[Std Adj Read]]&gt;Table1[[#This Row],[Low Tol]],"Pass","Fail"),IF(Table1[[#This Row],[DUT Adj Read]]&gt;Table1[[#This Row],[Low Tol]],"Pass","Fail")))</f>
        <v>Pass</v>
      </c>
      <c r="AE2905" s="1" t="str">
        <f>IF(AND(Table1[[#This Row],[Spec Type2]]="N/A",Table1[[#This Row],[DUT Adj Read]]="N/A",Table1[[#This Row],[Std Adj Read]]="N/A"),"N/A",IF(Table1[[#This Row],[DUT Adj Read]]="N/A",IF(Table1[[#This Row],[Std Adj Read]]&lt;Table1[[#This Row],[High Tol]],"Pass","Fail"),IF(Table1[[#This Row],[DUT Adj Read]]&lt;Table1[[#This Row],[High Tol]],"Pass","Fail")))</f>
        <v>Fail</v>
      </c>
      <c r="AF2905" s="1" t="str">
        <f>IF(AND(Table1[[#This Row],[Spec Type2]]="N/A",Table1[[#This Row],[DUT Adj Read]]="N/A",Table1[[#This Row],[Std Adj Read]]="N/A"),"N/A",IF(Table1[[#This Row],[DUT Adj Read]]="N/A",IF(Table1[[#This Row],[Std Adj Read]]&gt;=Table1[[#This Row],[Low Tol]],"Pass","Fail"),IF(Table1[[#This Row],[DUT Adj Read]]&gt;=Table1[[#This Row],[Low Tol]],"Pass","Fail")))</f>
        <v>Pass</v>
      </c>
      <c r="AG2905" s="1" t="str">
        <f>IF(AND(Table1[[#This Row],[Spec Type2]]="N/A",Table1[[#This Row],[DUT Adj Read]]="N/A",Table1[[#This Row],[Std Adj Read]]="N/A"),"N/A",IF(Table1[[#This Row],[DUT Adj Read]]="N/A",IF(Table1[[#This Row],[Std Adj Read]]&lt;=Table1[[#This Row],[High Tol]],"Pass","Fail"),IF(Table1[[#This Row],[DUT Adj Read]]&lt;=Table1[[#This Row],[High Tol]],"Pass","Fail")))</f>
        <v>Fail</v>
      </c>
      <c r="AH29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5" s="1" t="b">
        <v>0</v>
      </c>
      <c r="AN2905" s="1" t="b">
        <v>0</v>
      </c>
      <c r="AO2905" s="1" t="b">
        <v>0</v>
      </c>
    </row>
    <row r="2906" spans="1:41" x14ac:dyDescent="0.25">
      <c r="A2906" s="10"/>
      <c r="B2906" s="10"/>
      <c r="C2906" s="10"/>
      <c r="D2906" s="10"/>
      <c r="E2906" s="10"/>
      <c r="F2906" s="10"/>
      <c r="G2906" s="10"/>
      <c r="H2906" s="10"/>
      <c r="I2906" s="1" t="str">
        <f t="shared" si="135"/>
        <v/>
      </c>
      <c r="J2906" s="1" t="s">
        <v>35</v>
      </c>
      <c r="K2906" s="1" t="str">
        <f t="shared" si="136"/>
        <v/>
      </c>
      <c r="L2906" s="1" t="str">
        <f t="shared" si="137"/>
        <v/>
      </c>
      <c r="M2906" s="1">
        <f>IF(OR(Table1[[#This Row],[Std Nom]]="",Table1[[#This Row],[Std Read]]=""),0,Table1[[#This Row],[Std Nom]]-Table1[[#This Row],[Std Read]])</f>
        <v>0</v>
      </c>
      <c r="N2906" s="1">
        <f>IF(Calculations!$F$5="ACCREDITED 17025 WITH UNCERTAINTIES",$N$10,0)</f>
        <v>0</v>
      </c>
      <c r="Q2906" s="1">
        <f>Table1[[#This Row],[High Tol]]-Table1[[#This Row],[Low Tol]]</f>
        <v>0</v>
      </c>
      <c r="R2906" s="1">
        <f>2*Table1[[#This Row],[Std Error]]</f>
        <v>0</v>
      </c>
      <c r="S2906" s="1" t="str">
        <f>IF(Table1[[#This Row],[High Tol]]="","N/A",IFERROR(ABS(Table1[[#This Row],[Tol Span]]/Table1[[#This Row],[Error Span]]),"N/A"))</f>
        <v>N/A</v>
      </c>
      <c r="T2906" s="1" t="str">
        <f>IF(OR(Table1[[#This Row],[Low Tol]]="",Table1[[#This Row],[High Tol]]=""),"Needs Analysis",IF(Table1[[#This Row],[Ratio]]&gt;=4,"Not Significant",IF(Table1[[#This Row],[Ratio]]&gt;=2,"Semi-Significant","Significant")))</f>
        <v>Needs Analysis</v>
      </c>
      <c r="W2906" s="1">
        <f>IF(Table1[[#This Row],[Cal Type]]&lt;&gt;"ACCREDITED 17025 WITH UNCERTAINTIES",0,"")</f>
        <v>0</v>
      </c>
      <c r="X2906" s="1" t="str">
        <f>IF(Table1[[#This Row],[DUT Read]]="","N/A",Table1[[#This Row],[Std Error]]+Table1[[#This Row],[DUT Read]]+Table1[[#This Row],[DUT Ucty]])</f>
        <v>N/A</v>
      </c>
      <c r="Y2906" s="1" t="str">
        <f>IF(Table1[[#This Row],[Std Read]]="","N/A",Table1[[#This Row],[Std Read]]+Table1[[#This Row],[Std Ucty]])</f>
        <v>N/A</v>
      </c>
      <c r="Z29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6" s="1" t="str">
        <f>IF(Table1[[#This Row],[Spec Type]]="","N/A",Table1[[#This Row],[Spec Type]])</f>
        <v>±</v>
      </c>
      <c r="AC2906" s="1" t="str">
        <f>IF(Table1[[#This Row],[Spec Type2]]="N/A","N/A",IF(AND(Table1[[#This Row],[DUT Adj Read]]&gt;=Table1[[#This Row],[Low Tol]],Table1[[#This Row],[DUT Adj Read]]&lt;=Table1[[#This Row],[High Tol]]),"Pass","Fail"))</f>
        <v>Fail</v>
      </c>
      <c r="AD2906" s="1" t="str">
        <f>IF(AND(Table1[[#This Row],[Spec Type2]]="N/A",Table1[[#This Row],[DUT Adj Read]]="N/A",Table1[[#This Row],[Std Adj Read]]="N/A"),"N/A",IF(Table1[[#This Row],[DUT Adj Read]]="N/A",IF(Table1[[#This Row],[Std Adj Read]]&gt;Table1[[#This Row],[Low Tol]],"Pass","Fail"),IF(Table1[[#This Row],[DUT Adj Read]]&gt;Table1[[#This Row],[Low Tol]],"Pass","Fail")))</f>
        <v>Pass</v>
      </c>
      <c r="AE2906" s="1" t="str">
        <f>IF(AND(Table1[[#This Row],[Spec Type2]]="N/A",Table1[[#This Row],[DUT Adj Read]]="N/A",Table1[[#This Row],[Std Adj Read]]="N/A"),"N/A",IF(Table1[[#This Row],[DUT Adj Read]]="N/A",IF(Table1[[#This Row],[Std Adj Read]]&lt;Table1[[#This Row],[High Tol]],"Pass","Fail"),IF(Table1[[#This Row],[DUT Adj Read]]&lt;Table1[[#This Row],[High Tol]],"Pass","Fail")))</f>
        <v>Fail</v>
      </c>
      <c r="AF2906" s="1" t="str">
        <f>IF(AND(Table1[[#This Row],[Spec Type2]]="N/A",Table1[[#This Row],[DUT Adj Read]]="N/A",Table1[[#This Row],[Std Adj Read]]="N/A"),"N/A",IF(Table1[[#This Row],[DUT Adj Read]]="N/A",IF(Table1[[#This Row],[Std Adj Read]]&gt;=Table1[[#This Row],[Low Tol]],"Pass","Fail"),IF(Table1[[#This Row],[DUT Adj Read]]&gt;=Table1[[#This Row],[Low Tol]],"Pass","Fail")))</f>
        <v>Pass</v>
      </c>
      <c r="AG2906" s="1" t="str">
        <f>IF(AND(Table1[[#This Row],[Spec Type2]]="N/A",Table1[[#This Row],[DUT Adj Read]]="N/A",Table1[[#This Row],[Std Adj Read]]="N/A"),"N/A",IF(Table1[[#This Row],[DUT Adj Read]]="N/A",IF(Table1[[#This Row],[Std Adj Read]]&lt;=Table1[[#This Row],[High Tol]],"Pass","Fail"),IF(Table1[[#This Row],[DUT Adj Read]]&lt;=Table1[[#This Row],[High Tol]],"Pass","Fail")))</f>
        <v>Fail</v>
      </c>
      <c r="AH29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6" s="1" t="b">
        <v>0</v>
      </c>
      <c r="AN2906" s="1" t="b">
        <v>0</v>
      </c>
      <c r="AO2906" s="1" t="b">
        <v>0</v>
      </c>
    </row>
    <row r="2907" spans="1:41" x14ac:dyDescent="0.25">
      <c r="A2907" s="10"/>
      <c r="B2907" s="10"/>
      <c r="C2907" s="10"/>
      <c r="D2907" s="10"/>
      <c r="E2907" s="10"/>
      <c r="F2907" s="10"/>
      <c r="G2907" s="10"/>
      <c r="H2907" s="10"/>
      <c r="I2907" s="1" t="str">
        <f t="shared" si="135"/>
        <v/>
      </c>
      <c r="J2907" s="1" t="s">
        <v>35</v>
      </c>
      <c r="K2907" s="1" t="str">
        <f t="shared" si="136"/>
        <v/>
      </c>
      <c r="L2907" s="1" t="str">
        <f t="shared" si="137"/>
        <v/>
      </c>
      <c r="M2907" s="1">
        <f>IF(OR(Table1[[#This Row],[Std Nom]]="",Table1[[#This Row],[Std Read]]=""),0,Table1[[#This Row],[Std Nom]]-Table1[[#This Row],[Std Read]])</f>
        <v>0</v>
      </c>
      <c r="N2907" s="1">
        <f>IF(Calculations!$F$5="ACCREDITED 17025 WITH UNCERTAINTIES",$N$10,0)</f>
        <v>0</v>
      </c>
      <c r="Q2907" s="1">
        <f>Table1[[#This Row],[High Tol]]-Table1[[#This Row],[Low Tol]]</f>
        <v>0</v>
      </c>
      <c r="R2907" s="1">
        <f>2*Table1[[#This Row],[Std Error]]</f>
        <v>0</v>
      </c>
      <c r="S2907" s="1" t="str">
        <f>IF(Table1[[#This Row],[High Tol]]="","N/A",IFERROR(ABS(Table1[[#This Row],[Tol Span]]/Table1[[#This Row],[Error Span]]),"N/A"))</f>
        <v>N/A</v>
      </c>
      <c r="T2907" s="1" t="str">
        <f>IF(OR(Table1[[#This Row],[Low Tol]]="",Table1[[#This Row],[High Tol]]=""),"Needs Analysis",IF(Table1[[#This Row],[Ratio]]&gt;=4,"Not Significant",IF(Table1[[#This Row],[Ratio]]&gt;=2,"Semi-Significant","Significant")))</f>
        <v>Needs Analysis</v>
      </c>
      <c r="W2907" s="1">
        <f>IF(Table1[[#This Row],[Cal Type]]&lt;&gt;"ACCREDITED 17025 WITH UNCERTAINTIES",0,"")</f>
        <v>0</v>
      </c>
      <c r="X2907" s="1" t="str">
        <f>IF(Table1[[#This Row],[DUT Read]]="","N/A",Table1[[#This Row],[Std Error]]+Table1[[#This Row],[DUT Read]]+Table1[[#This Row],[DUT Ucty]])</f>
        <v>N/A</v>
      </c>
      <c r="Y2907" s="1" t="str">
        <f>IF(Table1[[#This Row],[Std Read]]="","N/A",Table1[[#This Row],[Std Read]]+Table1[[#This Row],[Std Ucty]])</f>
        <v>N/A</v>
      </c>
      <c r="Z29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7" s="1" t="str">
        <f>IF(Table1[[#This Row],[Spec Type]]="","N/A",Table1[[#This Row],[Spec Type]])</f>
        <v>±</v>
      </c>
      <c r="AC2907" s="1" t="str">
        <f>IF(Table1[[#This Row],[Spec Type2]]="N/A","N/A",IF(AND(Table1[[#This Row],[DUT Adj Read]]&gt;=Table1[[#This Row],[Low Tol]],Table1[[#This Row],[DUT Adj Read]]&lt;=Table1[[#This Row],[High Tol]]),"Pass","Fail"))</f>
        <v>Fail</v>
      </c>
      <c r="AD2907" s="1" t="str">
        <f>IF(AND(Table1[[#This Row],[Spec Type2]]="N/A",Table1[[#This Row],[DUT Adj Read]]="N/A",Table1[[#This Row],[Std Adj Read]]="N/A"),"N/A",IF(Table1[[#This Row],[DUT Adj Read]]="N/A",IF(Table1[[#This Row],[Std Adj Read]]&gt;Table1[[#This Row],[Low Tol]],"Pass","Fail"),IF(Table1[[#This Row],[DUT Adj Read]]&gt;Table1[[#This Row],[Low Tol]],"Pass","Fail")))</f>
        <v>Pass</v>
      </c>
      <c r="AE2907" s="1" t="str">
        <f>IF(AND(Table1[[#This Row],[Spec Type2]]="N/A",Table1[[#This Row],[DUT Adj Read]]="N/A",Table1[[#This Row],[Std Adj Read]]="N/A"),"N/A",IF(Table1[[#This Row],[DUT Adj Read]]="N/A",IF(Table1[[#This Row],[Std Adj Read]]&lt;Table1[[#This Row],[High Tol]],"Pass","Fail"),IF(Table1[[#This Row],[DUT Adj Read]]&lt;Table1[[#This Row],[High Tol]],"Pass","Fail")))</f>
        <v>Fail</v>
      </c>
      <c r="AF2907" s="1" t="str">
        <f>IF(AND(Table1[[#This Row],[Spec Type2]]="N/A",Table1[[#This Row],[DUT Adj Read]]="N/A",Table1[[#This Row],[Std Adj Read]]="N/A"),"N/A",IF(Table1[[#This Row],[DUT Adj Read]]="N/A",IF(Table1[[#This Row],[Std Adj Read]]&gt;=Table1[[#This Row],[Low Tol]],"Pass","Fail"),IF(Table1[[#This Row],[DUT Adj Read]]&gt;=Table1[[#This Row],[Low Tol]],"Pass","Fail")))</f>
        <v>Pass</v>
      </c>
      <c r="AG2907" s="1" t="str">
        <f>IF(AND(Table1[[#This Row],[Spec Type2]]="N/A",Table1[[#This Row],[DUT Adj Read]]="N/A",Table1[[#This Row],[Std Adj Read]]="N/A"),"N/A",IF(Table1[[#This Row],[DUT Adj Read]]="N/A",IF(Table1[[#This Row],[Std Adj Read]]&lt;=Table1[[#This Row],[High Tol]],"Pass","Fail"),IF(Table1[[#This Row],[DUT Adj Read]]&lt;=Table1[[#This Row],[High Tol]],"Pass","Fail")))</f>
        <v>Fail</v>
      </c>
      <c r="AH29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7" s="1" t="b">
        <v>0</v>
      </c>
      <c r="AN2907" s="1" t="b">
        <v>0</v>
      </c>
      <c r="AO2907" s="1" t="b">
        <v>0</v>
      </c>
    </row>
    <row r="2908" spans="1:41" x14ac:dyDescent="0.25">
      <c r="A2908" s="10"/>
      <c r="B2908" s="10"/>
      <c r="C2908" s="10"/>
      <c r="D2908" s="10"/>
      <c r="E2908" s="10"/>
      <c r="F2908" s="10"/>
      <c r="G2908" s="10"/>
      <c r="H2908" s="10"/>
      <c r="I2908" s="1" t="str">
        <f t="shared" si="135"/>
        <v/>
      </c>
      <c r="J2908" s="1" t="s">
        <v>35</v>
      </c>
      <c r="K2908" s="1" t="str">
        <f t="shared" si="136"/>
        <v/>
      </c>
      <c r="L2908" s="1" t="str">
        <f t="shared" si="137"/>
        <v/>
      </c>
      <c r="M2908" s="1">
        <f>IF(OR(Table1[[#This Row],[Std Nom]]="",Table1[[#This Row],[Std Read]]=""),0,Table1[[#This Row],[Std Nom]]-Table1[[#This Row],[Std Read]])</f>
        <v>0</v>
      </c>
      <c r="N2908" s="1">
        <f>IF(Calculations!$F$5="ACCREDITED 17025 WITH UNCERTAINTIES",$N$10,0)</f>
        <v>0</v>
      </c>
      <c r="Q2908" s="1">
        <f>Table1[[#This Row],[High Tol]]-Table1[[#This Row],[Low Tol]]</f>
        <v>0</v>
      </c>
      <c r="R2908" s="1">
        <f>2*Table1[[#This Row],[Std Error]]</f>
        <v>0</v>
      </c>
      <c r="S2908" s="1" t="str">
        <f>IF(Table1[[#This Row],[High Tol]]="","N/A",IFERROR(ABS(Table1[[#This Row],[Tol Span]]/Table1[[#This Row],[Error Span]]),"N/A"))</f>
        <v>N/A</v>
      </c>
      <c r="T2908" s="1" t="str">
        <f>IF(OR(Table1[[#This Row],[Low Tol]]="",Table1[[#This Row],[High Tol]]=""),"Needs Analysis",IF(Table1[[#This Row],[Ratio]]&gt;=4,"Not Significant",IF(Table1[[#This Row],[Ratio]]&gt;=2,"Semi-Significant","Significant")))</f>
        <v>Needs Analysis</v>
      </c>
      <c r="W2908" s="1">
        <f>IF(Table1[[#This Row],[Cal Type]]&lt;&gt;"ACCREDITED 17025 WITH UNCERTAINTIES",0,"")</f>
        <v>0</v>
      </c>
      <c r="X2908" s="1" t="str">
        <f>IF(Table1[[#This Row],[DUT Read]]="","N/A",Table1[[#This Row],[Std Error]]+Table1[[#This Row],[DUT Read]]+Table1[[#This Row],[DUT Ucty]])</f>
        <v>N/A</v>
      </c>
      <c r="Y2908" s="1" t="str">
        <f>IF(Table1[[#This Row],[Std Read]]="","N/A",Table1[[#This Row],[Std Read]]+Table1[[#This Row],[Std Ucty]])</f>
        <v>N/A</v>
      </c>
      <c r="Z290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8" s="1" t="str">
        <f>IF(Table1[[#This Row],[Spec Type]]="","N/A",Table1[[#This Row],[Spec Type]])</f>
        <v>±</v>
      </c>
      <c r="AC2908" s="1" t="str">
        <f>IF(Table1[[#This Row],[Spec Type2]]="N/A","N/A",IF(AND(Table1[[#This Row],[DUT Adj Read]]&gt;=Table1[[#This Row],[Low Tol]],Table1[[#This Row],[DUT Adj Read]]&lt;=Table1[[#This Row],[High Tol]]),"Pass","Fail"))</f>
        <v>Fail</v>
      </c>
      <c r="AD2908" s="1" t="str">
        <f>IF(AND(Table1[[#This Row],[Spec Type2]]="N/A",Table1[[#This Row],[DUT Adj Read]]="N/A",Table1[[#This Row],[Std Adj Read]]="N/A"),"N/A",IF(Table1[[#This Row],[DUT Adj Read]]="N/A",IF(Table1[[#This Row],[Std Adj Read]]&gt;Table1[[#This Row],[Low Tol]],"Pass","Fail"),IF(Table1[[#This Row],[DUT Adj Read]]&gt;Table1[[#This Row],[Low Tol]],"Pass","Fail")))</f>
        <v>Pass</v>
      </c>
      <c r="AE2908" s="1" t="str">
        <f>IF(AND(Table1[[#This Row],[Spec Type2]]="N/A",Table1[[#This Row],[DUT Adj Read]]="N/A",Table1[[#This Row],[Std Adj Read]]="N/A"),"N/A",IF(Table1[[#This Row],[DUT Adj Read]]="N/A",IF(Table1[[#This Row],[Std Adj Read]]&lt;Table1[[#This Row],[High Tol]],"Pass","Fail"),IF(Table1[[#This Row],[DUT Adj Read]]&lt;Table1[[#This Row],[High Tol]],"Pass","Fail")))</f>
        <v>Fail</v>
      </c>
      <c r="AF2908" s="1" t="str">
        <f>IF(AND(Table1[[#This Row],[Spec Type2]]="N/A",Table1[[#This Row],[DUT Adj Read]]="N/A",Table1[[#This Row],[Std Adj Read]]="N/A"),"N/A",IF(Table1[[#This Row],[DUT Adj Read]]="N/A",IF(Table1[[#This Row],[Std Adj Read]]&gt;=Table1[[#This Row],[Low Tol]],"Pass","Fail"),IF(Table1[[#This Row],[DUT Adj Read]]&gt;=Table1[[#This Row],[Low Tol]],"Pass","Fail")))</f>
        <v>Pass</v>
      </c>
      <c r="AG2908" s="1" t="str">
        <f>IF(AND(Table1[[#This Row],[Spec Type2]]="N/A",Table1[[#This Row],[DUT Adj Read]]="N/A",Table1[[#This Row],[Std Adj Read]]="N/A"),"N/A",IF(Table1[[#This Row],[DUT Adj Read]]="N/A",IF(Table1[[#This Row],[Std Adj Read]]&lt;=Table1[[#This Row],[High Tol]],"Pass","Fail"),IF(Table1[[#This Row],[DUT Adj Read]]&lt;=Table1[[#This Row],[High Tol]],"Pass","Fail")))</f>
        <v>Fail</v>
      </c>
      <c r="AH290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8" s="1" t="b">
        <v>0</v>
      </c>
      <c r="AN2908" s="1" t="b">
        <v>0</v>
      </c>
      <c r="AO2908" s="1" t="b">
        <v>0</v>
      </c>
    </row>
    <row r="2909" spans="1:41" x14ac:dyDescent="0.25">
      <c r="A2909" s="10"/>
      <c r="B2909" s="10"/>
      <c r="C2909" s="10"/>
      <c r="D2909" s="10"/>
      <c r="E2909" s="10"/>
      <c r="F2909" s="10"/>
      <c r="G2909" s="10"/>
      <c r="H2909" s="10"/>
      <c r="I2909" s="1" t="str">
        <f t="shared" si="135"/>
        <v/>
      </c>
      <c r="J2909" s="1" t="s">
        <v>35</v>
      </c>
      <c r="K2909" s="1" t="str">
        <f t="shared" si="136"/>
        <v/>
      </c>
      <c r="L2909" s="1" t="str">
        <f t="shared" si="137"/>
        <v/>
      </c>
      <c r="M2909" s="1">
        <f>IF(OR(Table1[[#This Row],[Std Nom]]="",Table1[[#This Row],[Std Read]]=""),0,Table1[[#This Row],[Std Nom]]-Table1[[#This Row],[Std Read]])</f>
        <v>0</v>
      </c>
      <c r="N2909" s="1">
        <f>IF(Calculations!$F$5="ACCREDITED 17025 WITH UNCERTAINTIES",$N$10,0)</f>
        <v>0</v>
      </c>
      <c r="Q2909" s="1">
        <f>Table1[[#This Row],[High Tol]]-Table1[[#This Row],[Low Tol]]</f>
        <v>0</v>
      </c>
      <c r="R2909" s="1">
        <f>2*Table1[[#This Row],[Std Error]]</f>
        <v>0</v>
      </c>
      <c r="S2909" s="1" t="str">
        <f>IF(Table1[[#This Row],[High Tol]]="","N/A",IFERROR(ABS(Table1[[#This Row],[Tol Span]]/Table1[[#This Row],[Error Span]]),"N/A"))</f>
        <v>N/A</v>
      </c>
      <c r="T2909" s="1" t="str">
        <f>IF(OR(Table1[[#This Row],[Low Tol]]="",Table1[[#This Row],[High Tol]]=""),"Needs Analysis",IF(Table1[[#This Row],[Ratio]]&gt;=4,"Not Significant",IF(Table1[[#This Row],[Ratio]]&gt;=2,"Semi-Significant","Significant")))</f>
        <v>Needs Analysis</v>
      </c>
      <c r="W2909" s="1">
        <f>IF(Table1[[#This Row],[Cal Type]]&lt;&gt;"ACCREDITED 17025 WITH UNCERTAINTIES",0,"")</f>
        <v>0</v>
      </c>
      <c r="X2909" s="1" t="str">
        <f>IF(Table1[[#This Row],[DUT Read]]="","N/A",Table1[[#This Row],[Std Error]]+Table1[[#This Row],[DUT Read]]+Table1[[#This Row],[DUT Ucty]])</f>
        <v>N/A</v>
      </c>
      <c r="Y2909" s="1" t="str">
        <f>IF(Table1[[#This Row],[Std Read]]="","N/A",Table1[[#This Row],[Std Read]]+Table1[[#This Row],[Std Ucty]])</f>
        <v>N/A</v>
      </c>
      <c r="Z290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09" s="1" t="str">
        <f>IF(Table1[[#This Row],[Spec Type]]="","N/A",Table1[[#This Row],[Spec Type]])</f>
        <v>±</v>
      </c>
      <c r="AC2909" s="1" t="str">
        <f>IF(Table1[[#This Row],[Spec Type2]]="N/A","N/A",IF(AND(Table1[[#This Row],[DUT Adj Read]]&gt;=Table1[[#This Row],[Low Tol]],Table1[[#This Row],[DUT Adj Read]]&lt;=Table1[[#This Row],[High Tol]]),"Pass","Fail"))</f>
        <v>Fail</v>
      </c>
      <c r="AD2909" s="1" t="str">
        <f>IF(AND(Table1[[#This Row],[Spec Type2]]="N/A",Table1[[#This Row],[DUT Adj Read]]="N/A",Table1[[#This Row],[Std Adj Read]]="N/A"),"N/A",IF(Table1[[#This Row],[DUT Adj Read]]="N/A",IF(Table1[[#This Row],[Std Adj Read]]&gt;Table1[[#This Row],[Low Tol]],"Pass","Fail"),IF(Table1[[#This Row],[DUT Adj Read]]&gt;Table1[[#This Row],[Low Tol]],"Pass","Fail")))</f>
        <v>Pass</v>
      </c>
      <c r="AE2909" s="1" t="str">
        <f>IF(AND(Table1[[#This Row],[Spec Type2]]="N/A",Table1[[#This Row],[DUT Adj Read]]="N/A",Table1[[#This Row],[Std Adj Read]]="N/A"),"N/A",IF(Table1[[#This Row],[DUT Adj Read]]="N/A",IF(Table1[[#This Row],[Std Adj Read]]&lt;Table1[[#This Row],[High Tol]],"Pass","Fail"),IF(Table1[[#This Row],[DUT Adj Read]]&lt;Table1[[#This Row],[High Tol]],"Pass","Fail")))</f>
        <v>Fail</v>
      </c>
      <c r="AF2909" s="1" t="str">
        <f>IF(AND(Table1[[#This Row],[Spec Type2]]="N/A",Table1[[#This Row],[DUT Adj Read]]="N/A",Table1[[#This Row],[Std Adj Read]]="N/A"),"N/A",IF(Table1[[#This Row],[DUT Adj Read]]="N/A",IF(Table1[[#This Row],[Std Adj Read]]&gt;=Table1[[#This Row],[Low Tol]],"Pass","Fail"),IF(Table1[[#This Row],[DUT Adj Read]]&gt;=Table1[[#This Row],[Low Tol]],"Pass","Fail")))</f>
        <v>Pass</v>
      </c>
      <c r="AG2909" s="1" t="str">
        <f>IF(AND(Table1[[#This Row],[Spec Type2]]="N/A",Table1[[#This Row],[DUT Adj Read]]="N/A",Table1[[#This Row],[Std Adj Read]]="N/A"),"N/A",IF(Table1[[#This Row],[DUT Adj Read]]="N/A",IF(Table1[[#This Row],[Std Adj Read]]&lt;=Table1[[#This Row],[High Tol]],"Pass","Fail"),IF(Table1[[#This Row],[DUT Adj Read]]&lt;=Table1[[#This Row],[High Tol]],"Pass","Fail")))</f>
        <v>Fail</v>
      </c>
      <c r="AH290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09" s="1" t="b">
        <v>0</v>
      </c>
      <c r="AN2909" s="1" t="b">
        <v>0</v>
      </c>
      <c r="AO2909" s="1" t="b">
        <v>0</v>
      </c>
    </row>
    <row r="2910" spans="1:41" x14ac:dyDescent="0.25">
      <c r="A2910" s="10"/>
      <c r="B2910" s="10"/>
      <c r="C2910" s="10"/>
      <c r="D2910" s="10"/>
      <c r="E2910" s="10"/>
      <c r="F2910" s="10"/>
      <c r="G2910" s="10"/>
      <c r="H2910" s="10"/>
      <c r="I2910" s="1" t="str">
        <f t="shared" si="135"/>
        <v/>
      </c>
      <c r="J2910" s="1" t="s">
        <v>35</v>
      </c>
      <c r="K2910" s="1" t="str">
        <f t="shared" si="136"/>
        <v/>
      </c>
      <c r="L2910" s="1" t="str">
        <f t="shared" si="137"/>
        <v/>
      </c>
      <c r="M2910" s="1">
        <f>IF(OR(Table1[[#This Row],[Std Nom]]="",Table1[[#This Row],[Std Read]]=""),0,Table1[[#This Row],[Std Nom]]-Table1[[#This Row],[Std Read]])</f>
        <v>0</v>
      </c>
      <c r="N2910" s="1">
        <f>IF(Calculations!$F$5="ACCREDITED 17025 WITH UNCERTAINTIES",$N$10,0)</f>
        <v>0</v>
      </c>
      <c r="Q2910" s="1">
        <f>Table1[[#This Row],[High Tol]]-Table1[[#This Row],[Low Tol]]</f>
        <v>0</v>
      </c>
      <c r="R2910" s="1">
        <f>2*Table1[[#This Row],[Std Error]]</f>
        <v>0</v>
      </c>
      <c r="S2910" s="1" t="str">
        <f>IF(Table1[[#This Row],[High Tol]]="","N/A",IFERROR(ABS(Table1[[#This Row],[Tol Span]]/Table1[[#This Row],[Error Span]]),"N/A"))</f>
        <v>N/A</v>
      </c>
      <c r="T2910" s="1" t="str">
        <f>IF(OR(Table1[[#This Row],[Low Tol]]="",Table1[[#This Row],[High Tol]]=""),"Needs Analysis",IF(Table1[[#This Row],[Ratio]]&gt;=4,"Not Significant",IF(Table1[[#This Row],[Ratio]]&gt;=2,"Semi-Significant","Significant")))</f>
        <v>Needs Analysis</v>
      </c>
      <c r="W2910" s="1">
        <f>IF(Table1[[#This Row],[Cal Type]]&lt;&gt;"ACCREDITED 17025 WITH UNCERTAINTIES",0,"")</f>
        <v>0</v>
      </c>
      <c r="X2910" s="1" t="str">
        <f>IF(Table1[[#This Row],[DUT Read]]="","N/A",Table1[[#This Row],[Std Error]]+Table1[[#This Row],[DUT Read]]+Table1[[#This Row],[DUT Ucty]])</f>
        <v>N/A</v>
      </c>
      <c r="Y2910" s="1" t="str">
        <f>IF(Table1[[#This Row],[Std Read]]="","N/A",Table1[[#This Row],[Std Read]]+Table1[[#This Row],[Std Ucty]])</f>
        <v>N/A</v>
      </c>
      <c r="Z291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0" s="1" t="str">
        <f>IF(Table1[[#This Row],[Spec Type]]="","N/A",Table1[[#This Row],[Spec Type]])</f>
        <v>±</v>
      </c>
      <c r="AC2910" s="1" t="str">
        <f>IF(Table1[[#This Row],[Spec Type2]]="N/A","N/A",IF(AND(Table1[[#This Row],[DUT Adj Read]]&gt;=Table1[[#This Row],[Low Tol]],Table1[[#This Row],[DUT Adj Read]]&lt;=Table1[[#This Row],[High Tol]]),"Pass","Fail"))</f>
        <v>Fail</v>
      </c>
      <c r="AD2910" s="1" t="str">
        <f>IF(AND(Table1[[#This Row],[Spec Type2]]="N/A",Table1[[#This Row],[DUT Adj Read]]="N/A",Table1[[#This Row],[Std Adj Read]]="N/A"),"N/A",IF(Table1[[#This Row],[DUT Adj Read]]="N/A",IF(Table1[[#This Row],[Std Adj Read]]&gt;Table1[[#This Row],[Low Tol]],"Pass","Fail"),IF(Table1[[#This Row],[DUT Adj Read]]&gt;Table1[[#This Row],[Low Tol]],"Pass","Fail")))</f>
        <v>Pass</v>
      </c>
      <c r="AE2910" s="1" t="str">
        <f>IF(AND(Table1[[#This Row],[Spec Type2]]="N/A",Table1[[#This Row],[DUT Adj Read]]="N/A",Table1[[#This Row],[Std Adj Read]]="N/A"),"N/A",IF(Table1[[#This Row],[DUT Adj Read]]="N/A",IF(Table1[[#This Row],[Std Adj Read]]&lt;Table1[[#This Row],[High Tol]],"Pass","Fail"),IF(Table1[[#This Row],[DUT Adj Read]]&lt;Table1[[#This Row],[High Tol]],"Pass","Fail")))</f>
        <v>Fail</v>
      </c>
      <c r="AF2910" s="1" t="str">
        <f>IF(AND(Table1[[#This Row],[Spec Type2]]="N/A",Table1[[#This Row],[DUT Adj Read]]="N/A",Table1[[#This Row],[Std Adj Read]]="N/A"),"N/A",IF(Table1[[#This Row],[DUT Adj Read]]="N/A",IF(Table1[[#This Row],[Std Adj Read]]&gt;=Table1[[#This Row],[Low Tol]],"Pass","Fail"),IF(Table1[[#This Row],[DUT Adj Read]]&gt;=Table1[[#This Row],[Low Tol]],"Pass","Fail")))</f>
        <v>Pass</v>
      </c>
      <c r="AG2910" s="1" t="str">
        <f>IF(AND(Table1[[#This Row],[Spec Type2]]="N/A",Table1[[#This Row],[DUT Adj Read]]="N/A",Table1[[#This Row],[Std Adj Read]]="N/A"),"N/A",IF(Table1[[#This Row],[DUT Adj Read]]="N/A",IF(Table1[[#This Row],[Std Adj Read]]&lt;=Table1[[#This Row],[High Tol]],"Pass","Fail"),IF(Table1[[#This Row],[DUT Adj Read]]&lt;=Table1[[#This Row],[High Tol]],"Pass","Fail")))</f>
        <v>Fail</v>
      </c>
      <c r="AH291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0" s="1" t="b">
        <v>0</v>
      </c>
      <c r="AN2910" s="1" t="b">
        <v>0</v>
      </c>
      <c r="AO2910" s="1" t="b">
        <v>0</v>
      </c>
    </row>
    <row r="2911" spans="1:41" x14ac:dyDescent="0.25">
      <c r="A2911" s="10"/>
      <c r="B2911" s="10"/>
      <c r="C2911" s="10"/>
      <c r="D2911" s="10"/>
      <c r="E2911" s="10"/>
      <c r="F2911" s="10"/>
      <c r="G2911" s="10"/>
      <c r="H2911" s="10"/>
      <c r="I2911" s="1" t="str">
        <f t="shared" si="135"/>
        <v/>
      </c>
      <c r="J2911" s="1" t="s">
        <v>35</v>
      </c>
      <c r="K2911" s="1" t="str">
        <f t="shared" si="136"/>
        <v/>
      </c>
      <c r="L2911" s="1" t="str">
        <f t="shared" si="137"/>
        <v/>
      </c>
      <c r="M2911" s="1">
        <f>IF(OR(Table1[[#This Row],[Std Nom]]="",Table1[[#This Row],[Std Read]]=""),0,Table1[[#This Row],[Std Nom]]-Table1[[#This Row],[Std Read]])</f>
        <v>0</v>
      </c>
      <c r="N2911" s="1">
        <f>IF(Calculations!$F$5="ACCREDITED 17025 WITH UNCERTAINTIES",$N$10,0)</f>
        <v>0</v>
      </c>
      <c r="Q2911" s="1">
        <f>Table1[[#This Row],[High Tol]]-Table1[[#This Row],[Low Tol]]</f>
        <v>0</v>
      </c>
      <c r="R2911" s="1">
        <f>2*Table1[[#This Row],[Std Error]]</f>
        <v>0</v>
      </c>
      <c r="S2911" s="1" t="str">
        <f>IF(Table1[[#This Row],[High Tol]]="","N/A",IFERROR(ABS(Table1[[#This Row],[Tol Span]]/Table1[[#This Row],[Error Span]]),"N/A"))</f>
        <v>N/A</v>
      </c>
      <c r="T2911" s="1" t="str">
        <f>IF(OR(Table1[[#This Row],[Low Tol]]="",Table1[[#This Row],[High Tol]]=""),"Needs Analysis",IF(Table1[[#This Row],[Ratio]]&gt;=4,"Not Significant",IF(Table1[[#This Row],[Ratio]]&gt;=2,"Semi-Significant","Significant")))</f>
        <v>Needs Analysis</v>
      </c>
      <c r="W2911" s="1">
        <f>IF(Table1[[#This Row],[Cal Type]]&lt;&gt;"ACCREDITED 17025 WITH UNCERTAINTIES",0,"")</f>
        <v>0</v>
      </c>
      <c r="X2911" s="1" t="str">
        <f>IF(Table1[[#This Row],[DUT Read]]="","N/A",Table1[[#This Row],[Std Error]]+Table1[[#This Row],[DUT Read]]+Table1[[#This Row],[DUT Ucty]])</f>
        <v>N/A</v>
      </c>
      <c r="Y2911" s="1" t="str">
        <f>IF(Table1[[#This Row],[Std Read]]="","N/A",Table1[[#This Row],[Std Read]]+Table1[[#This Row],[Std Ucty]])</f>
        <v>N/A</v>
      </c>
      <c r="Z291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1" s="1" t="str">
        <f>IF(Table1[[#This Row],[Spec Type]]="","N/A",Table1[[#This Row],[Spec Type]])</f>
        <v>±</v>
      </c>
      <c r="AC2911" s="1" t="str">
        <f>IF(Table1[[#This Row],[Spec Type2]]="N/A","N/A",IF(AND(Table1[[#This Row],[DUT Adj Read]]&gt;=Table1[[#This Row],[Low Tol]],Table1[[#This Row],[DUT Adj Read]]&lt;=Table1[[#This Row],[High Tol]]),"Pass","Fail"))</f>
        <v>Fail</v>
      </c>
      <c r="AD2911" s="1" t="str">
        <f>IF(AND(Table1[[#This Row],[Spec Type2]]="N/A",Table1[[#This Row],[DUT Adj Read]]="N/A",Table1[[#This Row],[Std Adj Read]]="N/A"),"N/A",IF(Table1[[#This Row],[DUT Adj Read]]="N/A",IF(Table1[[#This Row],[Std Adj Read]]&gt;Table1[[#This Row],[Low Tol]],"Pass","Fail"),IF(Table1[[#This Row],[DUT Adj Read]]&gt;Table1[[#This Row],[Low Tol]],"Pass","Fail")))</f>
        <v>Pass</v>
      </c>
      <c r="AE2911" s="1" t="str">
        <f>IF(AND(Table1[[#This Row],[Spec Type2]]="N/A",Table1[[#This Row],[DUT Adj Read]]="N/A",Table1[[#This Row],[Std Adj Read]]="N/A"),"N/A",IF(Table1[[#This Row],[DUT Adj Read]]="N/A",IF(Table1[[#This Row],[Std Adj Read]]&lt;Table1[[#This Row],[High Tol]],"Pass","Fail"),IF(Table1[[#This Row],[DUT Adj Read]]&lt;Table1[[#This Row],[High Tol]],"Pass","Fail")))</f>
        <v>Fail</v>
      </c>
      <c r="AF2911" s="1" t="str">
        <f>IF(AND(Table1[[#This Row],[Spec Type2]]="N/A",Table1[[#This Row],[DUT Adj Read]]="N/A",Table1[[#This Row],[Std Adj Read]]="N/A"),"N/A",IF(Table1[[#This Row],[DUT Adj Read]]="N/A",IF(Table1[[#This Row],[Std Adj Read]]&gt;=Table1[[#This Row],[Low Tol]],"Pass","Fail"),IF(Table1[[#This Row],[DUT Adj Read]]&gt;=Table1[[#This Row],[Low Tol]],"Pass","Fail")))</f>
        <v>Pass</v>
      </c>
      <c r="AG2911" s="1" t="str">
        <f>IF(AND(Table1[[#This Row],[Spec Type2]]="N/A",Table1[[#This Row],[DUT Adj Read]]="N/A",Table1[[#This Row],[Std Adj Read]]="N/A"),"N/A",IF(Table1[[#This Row],[DUT Adj Read]]="N/A",IF(Table1[[#This Row],[Std Adj Read]]&lt;=Table1[[#This Row],[High Tol]],"Pass","Fail"),IF(Table1[[#This Row],[DUT Adj Read]]&lt;=Table1[[#This Row],[High Tol]],"Pass","Fail")))</f>
        <v>Fail</v>
      </c>
      <c r="AH291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1" s="1" t="b">
        <v>0</v>
      </c>
      <c r="AN2911" s="1" t="b">
        <v>0</v>
      </c>
      <c r="AO2911" s="1" t="b">
        <v>0</v>
      </c>
    </row>
    <row r="2912" spans="1:41" x14ac:dyDescent="0.25">
      <c r="A2912" s="10"/>
      <c r="B2912" s="10"/>
      <c r="C2912" s="10"/>
      <c r="D2912" s="10"/>
      <c r="E2912" s="10"/>
      <c r="F2912" s="10"/>
      <c r="G2912" s="10"/>
      <c r="H2912" s="10"/>
      <c r="I2912" s="1" t="str">
        <f t="shared" si="135"/>
        <v/>
      </c>
      <c r="J2912" s="1" t="s">
        <v>35</v>
      </c>
      <c r="K2912" s="1" t="str">
        <f t="shared" si="136"/>
        <v/>
      </c>
      <c r="L2912" s="1" t="str">
        <f t="shared" si="137"/>
        <v/>
      </c>
      <c r="M2912" s="1">
        <f>IF(OR(Table1[[#This Row],[Std Nom]]="",Table1[[#This Row],[Std Read]]=""),0,Table1[[#This Row],[Std Nom]]-Table1[[#This Row],[Std Read]])</f>
        <v>0</v>
      </c>
      <c r="N2912" s="1">
        <f>IF(Calculations!$F$5="ACCREDITED 17025 WITH UNCERTAINTIES",$N$10,0)</f>
        <v>0</v>
      </c>
      <c r="Q2912" s="1">
        <f>Table1[[#This Row],[High Tol]]-Table1[[#This Row],[Low Tol]]</f>
        <v>0</v>
      </c>
      <c r="R2912" s="1">
        <f>2*Table1[[#This Row],[Std Error]]</f>
        <v>0</v>
      </c>
      <c r="S2912" s="1" t="str">
        <f>IF(Table1[[#This Row],[High Tol]]="","N/A",IFERROR(ABS(Table1[[#This Row],[Tol Span]]/Table1[[#This Row],[Error Span]]),"N/A"))</f>
        <v>N/A</v>
      </c>
      <c r="T2912" s="1" t="str">
        <f>IF(OR(Table1[[#This Row],[Low Tol]]="",Table1[[#This Row],[High Tol]]=""),"Needs Analysis",IF(Table1[[#This Row],[Ratio]]&gt;=4,"Not Significant",IF(Table1[[#This Row],[Ratio]]&gt;=2,"Semi-Significant","Significant")))</f>
        <v>Needs Analysis</v>
      </c>
      <c r="W2912" s="1">
        <f>IF(Table1[[#This Row],[Cal Type]]&lt;&gt;"ACCREDITED 17025 WITH UNCERTAINTIES",0,"")</f>
        <v>0</v>
      </c>
      <c r="X2912" s="1" t="str">
        <f>IF(Table1[[#This Row],[DUT Read]]="","N/A",Table1[[#This Row],[Std Error]]+Table1[[#This Row],[DUT Read]]+Table1[[#This Row],[DUT Ucty]])</f>
        <v>N/A</v>
      </c>
      <c r="Y2912" s="1" t="str">
        <f>IF(Table1[[#This Row],[Std Read]]="","N/A",Table1[[#This Row],[Std Read]]+Table1[[#This Row],[Std Ucty]])</f>
        <v>N/A</v>
      </c>
      <c r="Z291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2" s="1" t="str">
        <f>IF(Table1[[#This Row],[Spec Type]]="","N/A",Table1[[#This Row],[Spec Type]])</f>
        <v>±</v>
      </c>
      <c r="AC2912" s="1" t="str">
        <f>IF(Table1[[#This Row],[Spec Type2]]="N/A","N/A",IF(AND(Table1[[#This Row],[DUT Adj Read]]&gt;=Table1[[#This Row],[Low Tol]],Table1[[#This Row],[DUT Adj Read]]&lt;=Table1[[#This Row],[High Tol]]),"Pass","Fail"))</f>
        <v>Fail</v>
      </c>
      <c r="AD2912" s="1" t="str">
        <f>IF(AND(Table1[[#This Row],[Spec Type2]]="N/A",Table1[[#This Row],[DUT Adj Read]]="N/A",Table1[[#This Row],[Std Adj Read]]="N/A"),"N/A",IF(Table1[[#This Row],[DUT Adj Read]]="N/A",IF(Table1[[#This Row],[Std Adj Read]]&gt;Table1[[#This Row],[Low Tol]],"Pass","Fail"),IF(Table1[[#This Row],[DUT Adj Read]]&gt;Table1[[#This Row],[Low Tol]],"Pass","Fail")))</f>
        <v>Pass</v>
      </c>
      <c r="AE2912" s="1" t="str">
        <f>IF(AND(Table1[[#This Row],[Spec Type2]]="N/A",Table1[[#This Row],[DUT Adj Read]]="N/A",Table1[[#This Row],[Std Adj Read]]="N/A"),"N/A",IF(Table1[[#This Row],[DUT Adj Read]]="N/A",IF(Table1[[#This Row],[Std Adj Read]]&lt;Table1[[#This Row],[High Tol]],"Pass","Fail"),IF(Table1[[#This Row],[DUT Adj Read]]&lt;Table1[[#This Row],[High Tol]],"Pass","Fail")))</f>
        <v>Fail</v>
      </c>
      <c r="AF2912" s="1" t="str">
        <f>IF(AND(Table1[[#This Row],[Spec Type2]]="N/A",Table1[[#This Row],[DUT Adj Read]]="N/A",Table1[[#This Row],[Std Adj Read]]="N/A"),"N/A",IF(Table1[[#This Row],[DUT Adj Read]]="N/A",IF(Table1[[#This Row],[Std Adj Read]]&gt;=Table1[[#This Row],[Low Tol]],"Pass","Fail"),IF(Table1[[#This Row],[DUT Adj Read]]&gt;=Table1[[#This Row],[Low Tol]],"Pass","Fail")))</f>
        <v>Pass</v>
      </c>
      <c r="AG2912" s="1" t="str">
        <f>IF(AND(Table1[[#This Row],[Spec Type2]]="N/A",Table1[[#This Row],[DUT Adj Read]]="N/A",Table1[[#This Row],[Std Adj Read]]="N/A"),"N/A",IF(Table1[[#This Row],[DUT Adj Read]]="N/A",IF(Table1[[#This Row],[Std Adj Read]]&lt;=Table1[[#This Row],[High Tol]],"Pass","Fail"),IF(Table1[[#This Row],[DUT Adj Read]]&lt;=Table1[[#This Row],[High Tol]],"Pass","Fail")))</f>
        <v>Fail</v>
      </c>
      <c r="AH291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2" s="1" t="b">
        <v>0</v>
      </c>
      <c r="AN2912" s="1" t="b">
        <v>0</v>
      </c>
      <c r="AO2912" s="1" t="b">
        <v>0</v>
      </c>
    </row>
    <row r="2913" spans="1:41" x14ac:dyDescent="0.25">
      <c r="A2913" s="10"/>
      <c r="B2913" s="10"/>
      <c r="C2913" s="10"/>
      <c r="D2913" s="10"/>
      <c r="E2913" s="10"/>
      <c r="F2913" s="10"/>
      <c r="G2913" s="10"/>
      <c r="H2913" s="10"/>
      <c r="I2913" s="1" t="str">
        <f t="shared" si="135"/>
        <v/>
      </c>
      <c r="J2913" s="1" t="s">
        <v>35</v>
      </c>
      <c r="K2913" s="1" t="str">
        <f t="shared" si="136"/>
        <v/>
      </c>
      <c r="L2913" s="1" t="str">
        <f t="shared" si="137"/>
        <v/>
      </c>
      <c r="M2913" s="1">
        <f>IF(OR(Table1[[#This Row],[Std Nom]]="",Table1[[#This Row],[Std Read]]=""),0,Table1[[#This Row],[Std Nom]]-Table1[[#This Row],[Std Read]])</f>
        <v>0</v>
      </c>
      <c r="N2913" s="1">
        <f>IF(Calculations!$F$5="ACCREDITED 17025 WITH UNCERTAINTIES",$N$10,0)</f>
        <v>0</v>
      </c>
      <c r="Q2913" s="1">
        <f>Table1[[#This Row],[High Tol]]-Table1[[#This Row],[Low Tol]]</f>
        <v>0</v>
      </c>
      <c r="R2913" s="1">
        <f>2*Table1[[#This Row],[Std Error]]</f>
        <v>0</v>
      </c>
      <c r="S2913" s="1" t="str">
        <f>IF(Table1[[#This Row],[High Tol]]="","N/A",IFERROR(ABS(Table1[[#This Row],[Tol Span]]/Table1[[#This Row],[Error Span]]),"N/A"))</f>
        <v>N/A</v>
      </c>
      <c r="T2913" s="1" t="str">
        <f>IF(OR(Table1[[#This Row],[Low Tol]]="",Table1[[#This Row],[High Tol]]=""),"Needs Analysis",IF(Table1[[#This Row],[Ratio]]&gt;=4,"Not Significant",IF(Table1[[#This Row],[Ratio]]&gt;=2,"Semi-Significant","Significant")))</f>
        <v>Needs Analysis</v>
      </c>
      <c r="W2913" s="1">
        <f>IF(Table1[[#This Row],[Cal Type]]&lt;&gt;"ACCREDITED 17025 WITH UNCERTAINTIES",0,"")</f>
        <v>0</v>
      </c>
      <c r="X2913" s="1" t="str">
        <f>IF(Table1[[#This Row],[DUT Read]]="","N/A",Table1[[#This Row],[Std Error]]+Table1[[#This Row],[DUT Read]]+Table1[[#This Row],[DUT Ucty]])</f>
        <v>N/A</v>
      </c>
      <c r="Y2913" s="1" t="str">
        <f>IF(Table1[[#This Row],[Std Read]]="","N/A",Table1[[#This Row],[Std Read]]+Table1[[#This Row],[Std Ucty]])</f>
        <v>N/A</v>
      </c>
      <c r="Z291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3" s="1" t="str">
        <f>IF(Table1[[#This Row],[Spec Type]]="","N/A",Table1[[#This Row],[Spec Type]])</f>
        <v>±</v>
      </c>
      <c r="AC2913" s="1" t="str">
        <f>IF(Table1[[#This Row],[Spec Type2]]="N/A","N/A",IF(AND(Table1[[#This Row],[DUT Adj Read]]&gt;=Table1[[#This Row],[Low Tol]],Table1[[#This Row],[DUT Adj Read]]&lt;=Table1[[#This Row],[High Tol]]),"Pass","Fail"))</f>
        <v>Fail</v>
      </c>
      <c r="AD2913" s="1" t="str">
        <f>IF(AND(Table1[[#This Row],[Spec Type2]]="N/A",Table1[[#This Row],[DUT Adj Read]]="N/A",Table1[[#This Row],[Std Adj Read]]="N/A"),"N/A",IF(Table1[[#This Row],[DUT Adj Read]]="N/A",IF(Table1[[#This Row],[Std Adj Read]]&gt;Table1[[#This Row],[Low Tol]],"Pass","Fail"),IF(Table1[[#This Row],[DUT Adj Read]]&gt;Table1[[#This Row],[Low Tol]],"Pass","Fail")))</f>
        <v>Pass</v>
      </c>
      <c r="AE2913" s="1" t="str">
        <f>IF(AND(Table1[[#This Row],[Spec Type2]]="N/A",Table1[[#This Row],[DUT Adj Read]]="N/A",Table1[[#This Row],[Std Adj Read]]="N/A"),"N/A",IF(Table1[[#This Row],[DUT Adj Read]]="N/A",IF(Table1[[#This Row],[Std Adj Read]]&lt;Table1[[#This Row],[High Tol]],"Pass","Fail"),IF(Table1[[#This Row],[DUT Adj Read]]&lt;Table1[[#This Row],[High Tol]],"Pass","Fail")))</f>
        <v>Fail</v>
      </c>
      <c r="AF2913" s="1" t="str">
        <f>IF(AND(Table1[[#This Row],[Spec Type2]]="N/A",Table1[[#This Row],[DUT Adj Read]]="N/A",Table1[[#This Row],[Std Adj Read]]="N/A"),"N/A",IF(Table1[[#This Row],[DUT Adj Read]]="N/A",IF(Table1[[#This Row],[Std Adj Read]]&gt;=Table1[[#This Row],[Low Tol]],"Pass","Fail"),IF(Table1[[#This Row],[DUT Adj Read]]&gt;=Table1[[#This Row],[Low Tol]],"Pass","Fail")))</f>
        <v>Pass</v>
      </c>
      <c r="AG2913" s="1" t="str">
        <f>IF(AND(Table1[[#This Row],[Spec Type2]]="N/A",Table1[[#This Row],[DUT Adj Read]]="N/A",Table1[[#This Row],[Std Adj Read]]="N/A"),"N/A",IF(Table1[[#This Row],[DUT Adj Read]]="N/A",IF(Table1[[#This Row],[Std Adj Read]]&lt;=Table1[[#This Row],[High Tol]],"Pass","Fail"),IF(Table1[[#This Row],[DUT Adj Read]]&lt;=Table1[[#This Row],[High Tol]],"Pass","Fail")))</f>
        <v>Fail</v>
      </c>
      <c r="AH291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3" s="1" t="b">
        <v>0</v>
      </c>
      <c r="AN2913" s="1" t="b">
        <v>0</v>
      </c>
      <c r="AO2913" s="1" t="b">
        <v>0</v>
      </c>
    </row>
    <row r="2914" spans="1:41" x14ac:dyDescent="0.25">
      <c r="A2914" s="10"/>
      <c r="B2914" s="10"/>
      <c r="C2914" s="10"/>
      <c r="D2914" s="10"/>
      <c r="E2914" s="10"/>
      <c r="F2914" s="10"/>
      <c r="G2914" s="10"/>
      <c r="H2914" s="10"/>
      <c r="I2914" s="1" t="str">
        <f t="shared" si="135"/>
        <v/>
      </c>
      <c r="J2914" s="1" t="s">
        <v>35</v>
      </c>
      <c r="K2914" s="1" t="str">
        <f t="shared" si="136"/>
        <v/>
      </c>
      <c r="L2914" s="1" t="str">
        <f t="shared" si="137"/>
        <v/>
      </c>
      <c r="M2914" s="1">
        <f>IF(OR(Table1[[#This Row],[Std Nom]]="",Table1[[#This Row],[Std Read]]=""),0,Table1[[#This Row],[Std Nom]]-Table1[[#This Row],[Std Read]])</f>
        <v>0</v>
      </c>
      <c r="N2914" s="1">
        <f>IF(Calculations!$F$5="ACCREDITED 17025 WITH UNCERTAINTIES",$N$10,0)</f>
        <v>0</v>
      </c>
      <c r="Q2914" s="1">
        <f>Table1[[#This Row],[High Tol]]-Table1[[#This Row],[Low Tol]]</f>
        <v>0</v>
      </c>
      <c r="R2914" s="1">
        <f>2*Table1[[#This Row],[Std Error]]</f>
        <v>0</v>
      </c>
      <c r="S2914" s="1" t="str">
        <f>IF(Table1[[#This Row],[High Tol]]="","N/A",IFERROR(ABS(Table1[[#This Row],[Tol Span]]/Table1[[#This Row],[Error Span]]),"N/A"))</f>
        <v>N/A</v>
      </c>
      <c r="T2914" s="1" t="str">
        <f>IF(OR(Table1[[#This Row],[Low Tol]]="",Table1[[#This Row],[High Tol]]=""),"Needs Analysis",IF(Table1[[#This Row],[Ratio]]&gt;=4,"Not Significant",IF(Table1[[#This Row],[Ratio]]&gt;=2,"Semi-Significant","Significant")))</f>
        <v>Needs Analysis</v>
      </c>
      <c r="W2914" s="1">
        <f>IF(Table1[[#This Row],[Cal Type]]&lt;&gt;"ACCREDITED 17025 WITH UNCERTAINTIES",0,"")</f>
        <v>0</v>
      </c>
      <c r="X2914" s="1" t="str">
        <f>IF(Table1[[#This Row],[DUT Read]]="","N/A",Table1[[#This Row],[Std Error]]+Table1[[#This Row],[DUT Read]]+Table1[[#This Row],[DUT Ucty]])</f>
        <v>N/A</v>
      </c>
      <c r="Y2914" s="1" t="str">
        <f>IF(Table1[[#This Row],[Std Read]]="","N/A",Table1[[#This Row],[Std Read]]+Table1[[#This Row],[Std Ucty]])</f>
        <v>N/A</v>
      </c>
      <c r="Z291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4" s="1" t="str">
        <f>IF(Table1[[#This Row],[Spec Type]]="","N/A",Table1[[#This Row],[Spec Type]])</f>
        <v>±</v>
      </c>
      <c r="AC2914" s="1" t="str">
        <f>IF(Table1[[#This Row],[Spec Type2]]="N/A","N/A",IF(AND(Table1[[#This Row],[DUT Adj Read]]&gt;=Table1[[#This Row],[Low Tol]],Table1[[#This Row],[DUT Adj Read]]&lt;=Table1[[#This Row],[High Tol]]),"Pass","Fail"))</f>
        <v>Fail</v>
      </c>
      <c r="AD2914" s="1" t="str">
        <f>IF(AND(Table1[[#This Row],[Spec Type2]]="N/A",Table1[[#This Row],[DUT Adj Read]]="N/A",Table1[[#This Row],[Std Adj Read]]="N/A"),"N/A",IF(Table1[[#This Row],[DUT Adj Read]]="N/A",IF(Table1[[#This Row],[Std Adj Read]]&gt;Table1[[#This Row],[Low Tol]],"Pass","Fail"),IF(Table1[[#This Row],[DUT Adj Read]]&gt;Table1[[#This Row],[Low Tol]],"Pass","Fail")))</f>
        <v>Pass</v>
      </c>
      <c r="AE2914" s="1" t="str">
        <f>IF(AND(Table1[[#This Row],[Spec Type2]]="N/A",Table1[[#This Row],[DUT Adj Read]]="N/A",Table1[[#This Row],[Std Adj Read]]="N/A"),"N/A",IF(Table1[[#This Row],[DUT Adj Read]]="N/A",IF(Table1[[#This Row],[Std Adj Read]]&lt;Table1[[#This Row],[High Tol]],"Pass","Fail"),IF(Table1[[#This Row],[DUT Adj Read]]&lt;Table1[[#This Row],[High Tol]],"Pass","Fail")))</f>
        <v>Fail</v>
      </c>
      <c r="AF2914" s="1" t="str">
        <f>IF(AND(Table1[[#This Row],[Spec Type2]]="N/A",Table1[[#This Row],[DUT Adj Read]]="N/A",Table1[[#This Row],[Std Adj Read]]="N/A"),"N/A",IF(Table1[[#This Row],[DUT Adj Read]]="N/A",IF(Table1[[#This Row],[Std Adj Read]]&gt;=Table1[[#This Row],[Low Tol]],"Pass","Fail"),IF(Table1[[#This Row],[DUT Adj Read]]&gt;=Table1[[#This Row],[Low Tol]],"Pass","Fail")))</f>
        <v>Pass</v>
      </c>
      <c r="AG2914" s="1" t="str">
        <f>IF(AND(Table1[[#This Row],[Spec Type2]]="N/A",Table1[[#This Row],[DUT Adj Read]]="N/A",Table1[[#This Row],[Std Adj Read]]="N/A"),"N/A",IF(Table1[[#This Row],[DUT Adj Read]]="N/A",IF(Table1[[#This Row],[Std Adj Read]]&lt;=Table1[[#This Row],[High Tol]],"Pass","Fail"),IF(Table1[[#This Row],[DUT Adj Read]]&lt;=Table1[[#This Row],[High Tol]],"Pass","Fail")))</f>
        <v>Fail</v>
      </c>
      <c r="AH291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4" s="1" t="b">
        <v>0</v>
      </c>
      <c r="AN2914" s="1" t="b">
        <v>0</v>
      </c>
      <c r="AO2914" s="1" t="b">
        <v>0</v>
      </c>
    </row>
    <row r="2915" spans="1:41" x14ac:dyDescent="0.25">
      <c r="A2915" s="10"/>
      <c r="B2915" s="10"/>
      <c r="C2915" s="10"/>
      <c r="D2915" s="10"/>
      <c r="E2915" s="10"/>
      <c r="F2915" s="10"/>
      <c r="G2915" s="10"/>
      <c r="H2915" s="10"/>
      <c r="I2915" s="1" t="str">
        <f t="shared" si="135"/>
        <v/>
      </c>
      <c r="J2915" s="1" t="s">
        <v>35</v>
      </c>
      <c r="K2915" s="1" t="str">
        <f t="shared" si="136"/>
        <v/>
      </c>
      <c r="L2915" s="1" t="str">
        <f t="shared" si="137"/>
        <v/>
      </c>
      <c r="M2915" s="1">
        <f>IF(OR(Table1[[#This Row],[Std Nom]]="",Table1[[#This Row],[Std Read]]=""),0,Table1[[#This Row],[Std Nom]]-Table1[[#This Row],[Std Read]])</f>
        <v>0</v>
      </c>
      <c r="N2915" s="1">
        <f>IF(Calculations!$F$5="ACCREDITED 17025 WITH UNCERTAINTIES",$N$10,0)</f>
        <v>0</v>
      </c>
      <c r="Q2915" s="1">
        <f>Table1[[#This Row],[High Tol]]-Table1[[#This Row],[Low Tol]]</f>
        <v>0</v>
      </c>
      <c r="R2915" s="1">
        <f>2*Table1[[#This Row],[Std Error]]</f>
        <v>0</v>
      </c>
      <c r="S2915" s="1" t="str">
        <f>IF(Table1[[#This Row],[High Tol]]="","N/A",IFERROR(ABS(Table1[[#This Row],[Tol Span]]/Table1[[#This Row],[Error Span]]),"N/A"))</f>
        <v>N/A</v>
      </c>
      <c r="T2915" s="1" t="str">
        <f>IF(OR(Table1[[#This Row],[Low Tol]]="",Table1[[#This Row],[High Tol]]=""),"Needs Analysis",IF(Table1[[#This Row],[Ratio]]&gt;=4,"Not Significant",IF(Table1[[#This Row],[Ratio]]&gt;=2,"Semi-Significant","Significant")))</f>
        <v>Needs Analysis</v>
      </c>
      <c r="W2915" s="1">
        <f>IF(Table1[[#This Row],[Cal Type]]&lt;&gt;"ACCREDITED 17025 WITH UNCERTAINTIES",0,"")</f>
        <v>0</v>
      </c>
      <c r="X2915" s="1" t="str">
        <f>IF(Table1[[#This Row],[DUT Read]]="","N/A",Table1[[#This Row],[Std Error]]+Table1[[#This Row],[DUT Read]]+Table1[[#This Row],[DUT Ucty]])</f>
        <v>N/A</v>
      </c>
      <c r="Y2915" s="1" t="str">
        <f>IF(Table1[[#This Row],[Std Read]]="","N/A",Table1[[#This Row],[Std Read]]+Table1[[#This Row],[Std Ucty]])</f>
        <v>N/A</v>
      </c>
      <c r="Z291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5" s="1" t="str">
        <f>IF(Table1[[#This Row],[Spec Type]]="","N/A",Table1[[#This Row],[Spec Type]])</f>
        <v>±</v>
      </c>
      <c r="AC2915" s="1" t="str">
        <f>IF(Table1[[#This Row],[Spec Type2]]="N/A","N/A",IF(AND(Table1[[#This Row],[DUT Adj Read]]&gt;=Table1[[#This Row],[Low Tol]],Table1[[#This Row],[DUT Adj Read]]&lt;=Table1[[#This Row],[High Tol]]),"Pass","Fail"))</f>
        <v>Fail</v>
      </c>
      <c r="AD2915" s="1" t="str">
        <f>IF(AND(Table1[[#This Row],[Spec Type2]]="N/A",Table1[[#This Row],[DUT Adj Read]]="N/A",Table1[[#This Row],[Std Adj Read]]="N/A"),"N/A",IF(Table1[[#This Row],[DUT Adj Read]]="N/A",IF(Table1[[#This Row],[Std Adj Read]]&gt;Table1[[#This Row],[Low Tol]],"Pass","Fail"),IF(Table1[[#This Row],[DUT Adj Read]]&gt;Table1[[#This Row],[Low Tol]],"Pass","Fail")))</f>
        <v>Pass</v>
      </c>
      <c r="AE2915" s="1" t="str">
        <f>IF(AND(Table1[[#This Row],[Spec Type2]]="N/A",Table1[[#This Row],[DUT Adj Read]]="N/A",Table1[[#This Row],[Std Adj Read]]="N/A"),"N/A",IF(Table1[[#This Row],[DUT Adj Read]]="N/A",IF(Table1[[#This Row],[Std Adj Read]]&lt;Table1[[#This Row],[High Tol]],"Pass","Fail"),IF(Table1[[#This Row],[DUT Adj Read]]&lt;Table1[[#This Row],[High Tol]],"Pass","Fail")))</f>
        <v>Fail</v>
      </c>
      <c r="AF2915" s="1" t="str">
        <f>IF(AND(Table1[[#This Row],[Spec Type2]]="N/A",Table1[[#This Row],[DUT Adj Read]]="N/A",Table1[[#This Row],[Std Adj Read]]="N/A"),"N/A",IF(Table1[[#This Row],[DUT Adj Read]]="N/A",IF(Table1[[#This Row],[Std Adj Read]]&gt;=Table1[[#This Row],[Low Tol]],"Pass","Fail"),IF(Table1[[#This Row],[DUT Adj Read]]&gt;=Table1[[#This Row],[Low Tol]],"Pass","Fail")))</f>
        <v>Pass</v>
      </c>
      <c r="AG2915" s="1" t="str">
        <f>IF(AND(Table1[[#This Row],[Spec Type2]]="N/A",Table1[[#This Row],[DUT Adj Read]]="N/A",Table1[[#This Row],[Std Adj Read]]="N/A"),"N/A",IF(Table1[[#This Row],[DUT Adj Read]]="N/A",IF(Table1[[#This Row],[Std Adj Read]]&lt;=Table1[[#This Row],[High Tol]],"Pass","Fail"),IF(Table1[[#This Row],[DUT Adj Read]]&lt;=Table1[[#This Row],[High Tol]],"Pass","Fail")))</f>
        <v>Fail</v>
      </c>
      <c r="AH291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5" s="1" t="b">
        <v>0</v>
      </c>
      <c r="AN2915" s="1" t="b">
        <v>0</v>
      </c>
      <c r="AO2915" s="1" t="b">
        <v>0</v>
      </c>
    </row>
    <row r="2916" spans="1:41" x14ac:dyDescent="0.25">
      <c r="A2916" s="10"/>
      <c r="B2916" s="10"/>
      <c r="C2916" s="10"/>
      <c r="D2916" s="10"/>
      <c r="E2916" s="10"/>
      <c r="F2916" s="10"/>
      <c r="G2916" s="10"/>
      <c r="H2916" s="10"/>
      <c r="I2916" s="1" t="str">
        <f t="shared" si="135"/>
        <v/>
      </c>
      <c r="J2916" s="1" t="s">
        <v>35</v>
      </c>
      <c r="K2916" s="1" t="str">
        <f t="shared" si="136"/>
        <v/>
      </c>
      <c r="L2916" s="1" t="str">
        <f t="shared" si="137"/>
        <v/>
      </c>
      <c r="M2916" s="1">
        <f>IF(OR(Table1[[#This Row],[Std Nom]]="",Table1[[#This Row],[Std Read]]=""),0,Table1[[#This Row],[Std Nom]]-Table1[[#This Row],[Std Read]])</f>
        <v>0</v>
      </c>
      <c r="N2916" s="1">
        <f>IF(Calculations!$F$5="ACCREDITED 17025 WITH UNCERTAINTIES",$N$10,0)</f>
        <v>0</v>
      </c>
      <c r="Q2916" s="1">
        <f>Table1[[#This Row],[High Tol]]-Table1[[#This Row],[Low Tol]]</f>
        <v>0</v>
      </c>
      <c r="R2916" s="1">
        <f>2*Table1[[#This Row],[Std Error]]</f>
        <v>0</v>
      </c>
      <c r="S2916" s="1" t="str">
        <f>IF(Table1[[#This Row],[High Tol]]="","N/A",IFERROR(ABS(Table1[[#This Row],[Tol Span]]/Table1[[#This Row],[Error Span]]),"N/A"))</f>
        <v>N/A</v>
      </c>
      <c r="T2916" s="1" t="str">
        <f>IF(OR(Table1[[#This Row],[Low Tol]]="",Table1[[#This Row],[High Tol]]=""),"Needs Analysis",IF(Table1[[#This Row],[Ratio]]&gt;=4,"Not Significant",IF(Table1[[#This Row],[Ratio]]&gt;=2,"Semi-Significant","Significant")))</f>
        <v>Needs Analysis</v>
      </c>
      <c r="W2916" s="1">
        <f>IF(Table1[[#This Row],[Cal Type]]&lt;&gt;"ACCREDITED 17025 WITH UNCERTAINTIES",0,"")</f>
        <v>0</v>
      </c>
      <c r="X2916" s="1" t="str">
        <f>IF(Table1[[#This Row],[DUT Read]]="","N/A",Table1[[#This Row],[Std Error]]+Table1[[#This Row],[DUT Read]]+Table1[[#This Row],[DUT Ucty]])</f>
        <v>N/A</v>
      </c>
      <c r="Y2916" s="1" t="str">
        <f>IF(Table1[[#This Row],[Std Read]]="","N/A",Table1[[#This Row],[Std Read]]+Table1[[#This Row],[Std Ucty]])</f>
        <v>N/A</v>
      </c>
      <c r="Z291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6" s="1" t="str">
        <f>IF(Table1[[#This Row],[Spec Type]]="","N/A",Table1[[#This Row],[Spec Type]])</f>
        <v>±</v>
      </c>
      <c r="AC2916" s="1" t="str">
        <f>IF(Table1[[#This Row],[Spec Type2]]="N/A","N/A",IF(AND(Table1[[#This Row],[DUT Adj Read]]&gt;=Table1[[#This Row],[Low Tol]],Table1[[#This Row],[DUT Adj Read]]&lt;=Table1[[#This Row],[High Tol]]),"Pass","Fail"))</f>
        <v>Fail</v>
      </c>
      <c r="AD2916" s="1" t="str">
        <f>IF(AND(Table1[[#This Row],[Spec Type2]]="N/A",Table1[[#This Row],[DUT Adj Read]]="N/A",Table1[[#This Row],[Std Adj Read]]="N/A"),"N/A",IF(Table1[[#This Row],[DUT Adj Read]]="N/A",IF(Table1[[#This Row],[Std Adj Read]]&gt;Table1[[#This Row],[Low Tol]],"Pass","Fail"),IF(Table1[[#This Row],[DUT Adj Read]]&gt;Table1[[#This Row],[Low Tol]],"Pass","Fail")))</f>
        <v>Pass</v>
      </c>
      <c r="AE2916" s="1" t="str">
        <f>IF(AND(Table1[[#This Row],[Spec Type2]]="N/A",Table1[[#This Row],[DUT Adj Read]]="N/A",Table1[[#This Row],[Std Adj Read]]="N/A"),"N/A",IF(Table1[[#This Row],[DUT Adj Read]]="N/A",IF(Table1[[#This Row],[Std Adj Read]]&lt;Table1[[#This Row],[High Tol]],"Pass","Fail"),IF(Table1[[#This Row],[DUT Adj Read]]&lt;Table1[[#This Row],[High Tol]],"Pass","Fail")))</f>
        <v>Fail</v>
      </c>
      <c r="AF2916" s="1" t="str">
        <f>IF(AND(Table1[[#This Row],[Spec Type2]]="N/A",Table1[[#This Row],[DUT Adj Read]]="N/A",Table1[[#This Row],[Std Adj Read]]="N/A"),"N/A",IF(Table1[[#This Row],[DUT Adj Read]]="N/A",IF(Table1[[#This Row],[Std Adj Read]]&gt;=Table1[[#This Row],[Low Tol]],"Pass","Fail"),IF(Table1[[#This Row],[DUT Adj Read]]&gt;=Table1[[#This Row],[Low Tol]],"Pass","Fail")))</f>
        <v>Pass</v>
      </c>
      <c r="AG2916" s="1" t="str">
        <f>IF(AND(Table1[[#This Row],[Spec Type2]]="N/A",Table1[[#This Row],[DUT Adj Read]]="N/A",Table1[[#This Row],[Std Adj Read]]="N/A"),"N/A",IF(Table1[[#This Row],[DUT Adj Read]]="N/A",IF(Table1[[#This Row],[Std Adj Read]]&lt;=Table1[[#This Row],[High Tol]],"Pass","Fail"),IF(Table1[[#This Row],[DUT Adj Read]]&lt;=Table1[[#This Row],[High Tol]],"Pass","Fail")))</f>
        <v>Fail</v>
      </c>
      <c r="AH291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6" s="1" t="b">
        <v>0</v>
      </c>
      <c r="AN2916" s="1" t="b">
        <v>0</v>
      </c>
      <c r="AO2916" s="1" t="b">
        <v>0</v>
      </c>
    </row>
    <row r="2917" spans="1:41" x14ac:dyDescent="0.25">
      <c r="A2917" s="10"/>
      <c r="B2917" s="10"/>
      <c r="C2917" s="10"/>
      <c r="D2917" s="10"/>
      <c r="E2917" s="10"/>
      <c r="F2917" s="10"/>
      <c r="G2917" s="10"/>
      <c r="H2917" s="10"/>
      <c r="I2917" s="1" t="str">
        <f t="shared" si="135"/>
        <v/>
      </c>
      <c r="J2917" s="1" t="s">
        <v>35</v>
      </c>
      <c r="K2917" s="1" t="str">
        <f t="shared" si="136"/>
        <v/>
      </c>
      <c r="L2917" s="1" t="str">
        <f t="shared" si="137"/>
        <v/>
      </c>
      <c r="M2917" s="1">
        <f>IF(OR(Table1[[#This Row],[Std Nom]]="",Table1[[#This Row],[Std Read]]=""),0,Table1[[#This Row],[Std Nom]]-Table1[[#This Row],[Std Read]])</f>
        <v>0</v>
      </c>
      <c r="N2917" s="1">
        <f>IF(Calculations!$F$5="ACCREDITED 17025 WITH UNCERTAINTIES",$N$10,0)</f>
        <v>0</v>
      </c>
      <c r="Q2917" s="1">
        <f>Table1[[#This Row],[High Tol]]-Table1[[#This Row],[Low Tol]]</f>
        <v>0</v>
      </c>
      <c r="R2917" s="1">
        <f>2*Table1[[#This Row],[Std Error]]</f>
        <v>0</v>
      </c>
      <c r="S2917" s="1" t="str">
        <f>IF(Table1[[#This Row],[High Tol]]="","N/A",IFERROR(ABS(Table1[[#This Row],[Tol Span]]/Table1[[#This Row],[Error Span]]),"N/A"))</f>
        <v>N/A</v>
      </c>
      <c r="T2917" s="1" t="str">
        <f>IF(OR(Table1[[#This Row],[Low Tol]]="",Table1[[#This Row],[High Tol]]=""),"Needs Analysis",IF(Table1[[#This Row],[Ratio]]&gt;=4,"Not Significant",IF(Table1[[#This Row],[Ratio]]&gt;=2,"Semi-Significant","Significant")))</f>
        <v>Needs Analysis</v>
      </c>
      <c r="W2917" s="1">
        <f>IF(Table1[[#This Row],[Cal Type]]&lt;&gt;"ACCREDITED 17025 WITH UNCERTAINTIES",0,"")</f>
        <v>0</v>
      </c>
      <c r="X2917" s="1" t="str">
        <f>IF(Table1[[#This Row],[DUT Read]]="","N/A",Table1[[#This Row],[Std Error]]+Table1[[#This Row],[DUT Read]]+Table1[[#This Row],[DUT Ucty]])</f>
        <v>N/A</v>
      </c>
      <c r="Y2917" s="1" t="str">
        <f>IF(Table1[[#This Row],[Std Read]]="","N/A",Table1[[#This Row],[Std Read]]+Table1[[#This Row],[Std Ucty]])</f>
        <v>N/A</v>
      </c>
      <c r="Z291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7" s="1" t="str">
        <f>IF(Table1[[#This Row],[Spec Type]]="","N/A",Table1[[#This Row],[Spec Type]])</f>
        <v>±</v>
      </c>
      <c r="AC2917" s="1" t="str">
        <f>IF(Table1[[#This Row],[Spec Type2]]="N/A","N/A",IF(AND(Table1[[#This Row],[DUT Adj Read]]&gt;=Table1[[#This Row],[Low Tol]],Table1[[#This Row],[DUT Adj Read]]&lt;=Table1[[#This Row],[High Tol]]),"Pass","Fail"))</f>
        <v>Fail</v>
      </c>
      <c r="AD2917" s="1" t="str">
        <f>IF(AND(Table1[[#This Row],[Spec Type2]]="N/A",Table1[[#This Row],[DUT Adj Read]]="N/A",Table1[[#This Row],[Std Adj Read]]="N/A"),"N/A",IF(Table1[[#This Row],[DUT Adj Read]]="N/A",IF(Table1[[#This Row],[Std Adj Read]]&gt;Table1[[#This Row],[Low Tol]],"Pass","Fail"),IF(Table1[[#This Row],[DUT Adj Read]]&gt;Table1[[#This Row],[Low Tol]],"Pass","Fail")))</f>
        <v>Pass</v>
      </c>
      <c r="AE2917" s="1" t="str">
        <f>IF(AND(Table1[[#This Row],[Spec Type2]]="N/A",Table1[[#This Row],[DUT Adj Read]]="N/A",Table1[[#This Row],[Std Adj Read]]="N/A"),"N/A",IF(Table1[[#This Row],[DUT Adj Read]]="N/A",IF(Table1[[#This Row],[Std Adj Read]]&lt;Table1[[#This Row],[High Tol]],"Pass","Fail"),IF(Table1[[#This Row],[DUT Adj Read]]&lt;Table1[[#This Row],[High Tol]],"Pass","Fail")))</f>
        <v>Fail</v>
      </c>
      <c r="AF2917" s="1" t="str">
        <f>IF(AND(Table1[[#This Row],[Spec Type2]]="N/A",Table1[[#This Row],[DUT Adj Read]]="N/A",Table1[[#This Row],[Std Adj Read]]="N/A"),"N/A",IF(Table1[[#This Row],[DUT Adj Read]]="N/A",IF(Table1[[#This Row],[Std Adj Read]]&gt;=Table1[[#This Row],[Low Tol]],"Pass","Fail"),IF(Table1[[#This Row],[DUT Adj Read]]&gt;=Table1[[#This Row],[Low Tol]],"Pass","Fail")))</f>
        <v>Pass</v>
      </c>
      <c r="AG2917" s="1" t="str">
        <f>IF(AND(Table1[[#This Row],[Spec Type2]]="N/A",Table1[[#This Row],[DUT Adj Read]]="N/A",Table1[[#This Row],[Std Adj Read]]="N/A"),"N/A",IF(Table1[[#This Row],[DUT Adj Read]]="N/A",IF(Table1[[#This Row],[Std Adj Read]]&lt;=Table1[[#This Row],[High Tol]],"Pass","Fail"),IF(Table1[[#This Row],[DUT Adj Read]]&lt;=Table1[[#This Row],[High Tol]],"Pass","Fail")))</f>
        <v>Fail</v>
      </c>
      <c r="AH291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7" s="1" t="b">
        <v>0</v>
      </c>
      <c r="AN2917" s="1" t="b">
        <v>0</v>
      </c>
      <c r="AO2917" s="1" t="b">
        <v>0</v>
      </c>
    </row>
    <row r="2918" spans="1:41" x14ac:dyDescent="0.25">
      <c r="A2918" s="10"/>
      <c r="B2918" s="10"/>
      <c r="C2918" s="10"/>
      <c r="D2918" s="10"/>
      <c r="E2918" s="10"/>
      <c r="F2918" s="10"/>
      <c r="G2918" s="10"/>
      <c r="H2918" s="10"/>
      <c r="I2918" s="1" t="str">
        <f t="shared" si="135"/>
        <v/>
      </c>
      <c r="J2918" s="1" t="s">
        <v>35</v>
      </c>
      <c r="K2918" s="1" t="str">
        <f t="shared" si="136"/>
        <v/>
      </c>
      <c r="L2918" s="1" t="str">
        <f t="shared" si="137"/>
        <v/>
      </c>
      <c r="M2918" s="1">
        <f>IF(OR(Table1[[#This Row],[Std Nom]]="",Table1[[#This Row],[Std Read]]=""),0,Table1[[#This Row],[Std Nom]]-Table1[[#This Row],[Std Read]])</f>
        <v>0</v>
      </c>
      <c r="N2918" s="1">
        <f>IF(Calculations!$F$5="ACCREDITED 17025 WITH UNCERTAINTIES",$N$10,0)</f>
        <v>0</v>
      </c>
      <c r="Q2918" s="1">
        <f>Table1[[#This Row],[High Tol]]-Table1[[#This Row],[Low Tol]]</f>
        <v>0</v>
      </c>
      <c r="R2918" s="1">
        <f>2*Table1[[#This Row],[Std Error]]</f>
        <v>0</v>
      </c>
      <c r="S2918" s="1" t="str">
        <f>IF(Table1[[#This Row],[High Tol]]="","N/A",IFERROR(ABS(Table1[[#This Row],[Tol Span]]/Table1[[#This Row],[Error Span]]),"N/A"))</f>
        <v>N/A</v>
      </c>
      <c r="T2918" s="1" t="str">
        <f>IF(OR(Table1[[#This Row],[Low Tol]]="",Table1[[#This Row],[High Tol]]=""),"Needs Analysis",IF(Table1[[#This Row],[Ratio]]&gt;=4,"Not Significant",IF(Table1[[#This Row],[Ratio]]&gt;=2,"Semi-Significant","Significant")))</f>
        <v>Needs Analysis</v>
      </c>
      <c r="W2918" s="1">
        <f>IF(Table1[[#This Row],[Cal Type]]&lt;&gt;"ACCREDITED 17025 WITH UNCERTAINTIES",0,"")</f>
        <v>0</v>
      </c>
      <c r="X2918" s="1" t="str">
        <f>IF(Table1[[#This Row],[DUT Read]]="","N/A",Table1[[#This Row],[Std Error]]+Table1[[#This Row],[DUT Read]]+Table1[[#This Row],[DUT Ucty]])</f>
        <v>N/A</v>
      </c>
      <c r="Y2918" s="1" t="str">
        <f>IF(Table1[[#This Row],[Std Read]]="","N/A",Table1[[#This Row],[Std Read]]+Table1[[#This Row],[Std Ucty]])</f>
        <v>N/A</v>
      </c>
      <c r="Z291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8" s="1" t="str">
        <f>IF(Table1[[#This Row],[Spec Type]]="","N/A",Table1[[#This Row],[Spec Type]])</f>
        <v>±</v>
      </c>
      <c r="AC2918" s="1" t="str">
        <f>IF(Table1[[#This Row],[Spec Type2]]="N/A","N/A",IF(AND(Table1[[#This Row],[DUT Adj Read]]&gt;=Table1[[#This Row],[Low Tol]],Table1[[#This Row],[DUT Adj Read]]&lt;=Table1[[#This Row],[High Tol]]),"Pass","Fail"))</f>
        <v>Fail</v>
      </c>
      <c r="AD2918" s="1" t="str">
        <f>IF(AND(Table1[[#This Row],[Spec Type2]]="N/A",Table1[[#This Row],[DUT Adj Read]]="N/A",Table1[[#This Row],[Std Adj Read]]="N/A"),"N/A",IF(Table1[[#This Row],[DUT Adj Read]]="N/A",IF(Table1[[#This Row],[Std Adj Read]]&gt;Table1[[#This Row],[Low Tol]],"Pass","Fail"),IF(Table1[[#This Row],[DUT Adj Read]]&gt;Table1[[#This Row],[Low Tol]],"Pass","Fail")))</f>
        <v>Pass</v>
      </c>
      <c r="AE2918" s="1" t="str">
        <f>IF(AND(Table1[[#This Row],[Spec Type2]]="N/A",Table1[[#This Row],[DUT Adj Read]]="N/A",Table1[[#This Row],[Std Adj Read]]="N/A"),"N/A",IF(Table1[[#This Row],[DUT Adj Read]]="N/A",IF(Table1[[#This Row],[Std Adj Read]]&lt;Table1[[#This Row],[High Tol]],"Pass","Fail"),IF(Table1[[#This Row],[DUT Adj Read]]&lt;Table1[[#This Row],[High Tol]],"Pass","Fail")))</f>
        <v>Fail</v>
      </c>
      <c r="AF2918" s="1" t="str">
        <f>IF(AND(Table1[[#This Row],[Spec Type2]]="N/A",Table1[[#This Row],[DUT Adj Read]]="N/A",Table1[[#This Row],[Std Adj Read]]="N/A"),"N/A",IF(Table1[[#This Row],[DUT Adj Read]]="N/A",IF(Table1[[#This Row],[Std Adj Read]]&gt;=Table1[[#This Row],[Low Tol]],"Pass","Fail"),IF(Table1[[#This Row],[DUT Adj Read]]&gt;=Table1[[#This Row],[Low Tol]],"Pass","Fail")))</f>
        <v>Pass</v>
      </c>
      <c r="AG2918" s="1" t="str">
        <f>IF(AND(Table1[[#This Row],[Spec Type2]]="N/A",Table1[[#This Row],[DUT Adj Read]]="N/A",Table1[[#This Row],[Std Adj Read]]="N/A"),"N/A",IF(Table1[[#This Row],[DUT Adj Read]]="N/A",IF(Table1[[#This Row],[Std Adj Read]]&lt;=Table1[[#This Row],[High Tol]],"Pass","Fail"),IF(Table1[[#This Row],[DUT Adj Read]]&lt;=Table1[[#This Row],[High Tol]],"Pass","Fail")))</f>
        <v>Fail</v>
      </c>
      <c r="AH291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8" s="1" t="b">
        <v>0</v>
      </c>
      <c r="AN2918" s="1" t="b">
        <v>0</v>
      </c>
      <c r="AO2918" s="1" t="b">
        <v>0</v>
      </c>
    </row>
    <row r="2919" spans="1:41" x14ac:dyDescent="0.25">
      <c r="A2919" s="10"/>
      <c r="B2919" s="10"/>
      <c r="C2919" s="10"/>
      <c r="D2919" s="10"/>
      <c r="E2919" s="10"/>
      <c r="F2919" s="10"/>
      <c r="G2919" s="10"/>
      <c r="H2919" s="10"/>
      <c r="I2919" s="1" t="str">
        <f t="shared" si="135"/>
        <v/>
      </c>
      <c r="J2919" s="1" t="s">
        <v>35</v>
      </c>
      <c r="K2919" s="1" t="str">
        <f t="shared" si="136"/>
        <v/>
      </c>
      <c r="L2919" s="1" t="str">
        <f t="shared" si="137"/>
        <v/>
      </c>
      <c r="M2919" s="1">
        <f>IF(OR(Table1[[#This Row],[Std Nom]]="",Table1[[#This Row],[Std Read]]=""),0,Table1[[#This Row],[Std Nom]]-Table1[[#This Row],[Std Read]])</f>
        <v>0</v>
      </c>
      <c r="N2919" s="1">
        <f>IF(Calculations!$F$5="ACCREDITED 17025 WITH UNCERTAINTIES",$N$10,0)</f>
        <v>0</v>
      </c>
      <c r="Q2919" s="1">
        <f>Table1[[#This Row],[High Tol]]-Table1[[#This Row],[Low Tol]]</f>
        <v>0</v>
      </c>
      <c r="R2919" s="1">
        <f>2*Table1[[#This Row],[Std Error]]</f>
        <v>0</v>
      </c>
      <c r="S2919" s="1" t="str">
        <f>IF(Table1[[#This Row],[High Tol]]="","N/A",IFERROR(ABS(Table1[[#This Row],[Tol Span]]/Table1[[#This Row],[Error Span]]),"N/A"))</f>
        <v>N/A</v>
      </c>
      <c r="T2919" s="1" t="str">
        <f>IF(OR(Table1[[#This Row],[Low Tol]]="",Table1[[#This Row],[High Tol]]=""),"Needs Analysis",IF(Table1[[#This Row],[Ratio]]&gt;=4,"Not Significant",IF(Table1[[#This Row],[Ratio]]&gt;=2,"Semi-Significant","Significant")))</f>
        <v>Needs Analysis</v>
      </c>
      <c r="W2919" s="1">
        <f>IF(Table1[[#This Row],[Cal Type]]&lt;&gt;"ACCREDITED 17025 WITH UNCERTAINTIES",0,"")</f>
        <v>0</v>
      </c>
      <c r="X2919" s="1" t="str">
        <f>IF(Table1[[#This Row],[DUT Read]]="","N/A",Table1[[#This Row],[Std Error]]+Table1[[#This Row],[DUT Read]]+Table1[[#This Row],[DUT Ucty]])</f>
        <v>N/A</v>
      </c>
      <c r="Y2919" s="1" t="str">
        <f>IF(Table1[[#This Row],[Std Read]]="","N/A",Table1[[#This Row],[Std Read]]+Table1[[#This Row],[Std Ucty]])</f>
        <v>N/A</v>
      </c>
      <c r="Z291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19" s="1" t="str">
        <f>IF(Table1[[#This Row],[Spec Type]]="","N/A",Table1[[#This Row],[Spec Type]])</f>
        <v>±</v>
      </c>
      <c r="AC2919" s="1" t="str">
        <f>IF(Table1[[#This Row],[Spec Type2]]="N/A","N/A",IF(AND(Table1[[#This Row],[DUT Adj Read]]&gt;=Table1[[#This Row],[Low Tol]],Table1[[#This Row],[DUT Adj Read]]&lt;=Table1[[#This Row],[High Tol]]),"Pass","Fail"))</f>
        <v>Fail</v>
      </c>
      <c r="AD2919" s="1" t="str">
        <f>IF(AND(Table1[[#This Row],[Spec Type2]]="N/A",Table1[[#This Row],[DUT Adj Read]]="N/A",Table1[[#This Row],[Std Adj Read]]="N/A"),"N/A",IF(Table1[[#This Row],[DUT Adj Read]]="N/A",IF(Table1[[#This Row],[Std Adj Read]]&gt;Table1[[#This Row],[Low Tol]],"Pass","Fail"),IF(Table1[[#This Row],[DUT Adj Read]]&gt;Table1[[#This Row],[Low Tol]],"Pass","Fail")))</f>
        <v>Pass</v>
      </c>
      <c r="AE2919" s="1" t="str">
        <f>IF(AND(Table1[[#This Row],[Spec Type2]]="N/A",Table1[[#This Row],[DUT Adj Read]]="N/A",Table1[[#This Row],[Std Adj Read]]="N/A"),"N/A",IF(Table1[[#This Row],[DUT Adj Read]]="N/A",IF(Table1[[#This Row],[Std Adj Read]]&lt;Table1[[#This Row],[High Tol]],"Pass","Fail"),IF(Table1[[#This Row],[DUT Adj Read]]&lt;Table1[[#This Row],[High Tol]],"Pass","Fail")))</f>
        <v>Fail</v>
      </c>
      <c r="AF2919" s="1" t="str">
        <f>IF(AND(Table1[[#This Row],[Spec Type2]]="N/A",Table1[[#This Row],[DUT Adj Read]]="N/A",Table1[[#This Row],[Std Adj Read]]="N/A"),"N/A",IF(Table1[[#This Row],[DUT Adj Read]]="N/A",IF(Table1[[#This Row],[Std Adj Read]]&gt;=Table1[[#This Row],[Low Tol]],"Pass","Fail"),IF(Table1[[#This Row],[DUT Adj Read]]&gt;=Table1[[#This Row],[Low Tol]],"Pass","Fail")))</f>
        <v>Pass</v>
      </c>
      <c r="AG2919" s="1" t="str">
        <f>IF(AND(Table1[[#This Row],[Spec Type2]]="N/A",Table1[[#This Row],[DUT Adj Read]]="N/A",Table1[[#This Row],[Std Adj Read]]="N/A"),"N/A",IF(Table1[[#This Row],[DUT Adj Read]]="N/A",IF(Table1[[#This Row],[Std Adj Read]]&lt;=Table1[[#This Row],[High Tol]],"Pass","Fail"),IF(Table1[[#This Row],[DUT Adj Read]]&lt;=Table1[[#This Row],[High Tol]],"Pass","Fail")))</f>
        <v>Fail</v>
      </c>
      <c r="AH291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19" s="1" t="b">
        <v>0</v>
      </c>
      <c r="AN2919" s="1" t="b">
        <v>0</v>
      </c>
      <c r="AO2919" s="1" t="b">
        <v>0</v>
      </c>
    </row>
    <row r="2920" spans="1:41" x14ac:dyDescent="0.25">
      <c r="A2920" s="10"/>
      <c r="B2920" s="10"/>
      <c r="C2920" s="10"/>
      <c r="D2920" s="10"/>
      <c r="E2920" s="10"/>
      <c r="F2920" s="10"/>
      <c r="G2920" s="10"/>
      <c r="H2920" s="10"/>
      <c r="I2920" s="1" t="str">
        <f t="shared" si="135"/>
        <v/>
      </c>
      <c r="J2920" s="1" t="s">
        <v>35</v>
      </c>
      <c r="K2920" s="1" t="str">
        <f t="shared" si="136"/>
        <v/>
      </c>
      <c r="L2920" s="1" t="str">
        <f t="shared" si="137"/>
        <v/>
      </c>
      <c r="M2920" s="1">
        <f>IF(OR(Table1[[#This Row],[Std Nom]]="",Table1[[#This Row],[Std Read]]=""),0,Table1[[#This Row],[Std Nom]]-Table1[[#This Row],[Std Read]])</f>
        <v>0</v>
      </c>
      <c r="N2920" s="1">
        <f>IF(Calculations!$F$5="ACCREDITED 17025 WITH UNCERTAINTIES",$N$10,0)</f>
        <v>0</v>
      </c>
      <c r="Q2920" s="1">
        <f>Table1[[#This Row],[High Tol]]-Table1[[#This Row],[Low Tol]]</f>
        <v>0</v>
      </c>
      <c r="R2920" s="1">
        <f>2*Table1[[#This Row],[Std Error]]</f>
        <v>0</v>
      </c>
      <c r="S2920" s="1" t="str">
        <f>IF(Table1[[#This Row],[High Tol]]="","N/A",IFERROR(ABS(Table1[[#This Row],[Tol Span]]/Table1[[#This Row],[Error Span]]),"N/A"))</f>
        <v>N/A</v>
      </c>
      <c r="T2920" s="1" t="str">
        <f>IF(OR(Table1[[#This Row],[Low Tol]]="",Table1[[#This Row],[High Tol]]=""),"Needs Analysis",IF(Table1[[#This Row],[Ratio]]&gt;=4,"Not Significant",IF(Table1[[#This Row],[Ratio]]&gt;=2,"Semi-Significant","Significant")))</f>
        <v>Needs Analysis</v>
      </c>
      <c r="W2920" s="1">
        <f>IF(Table1[[#This Row],[Cal Type]]&lt;&gt;"ACCREDITED 17025 WITH UNCERTAINTIES",0,"")</f>
        <v>0</v>
      </c>
      <c r="X2920" s="1" t="str">
        <f>IF(Table1[[#This Row],[DUT Read]]="","N/A",Table1[[#This Row],[Std Error]]+Table1[[#This Row],[DUT Read]]+Table1[[#This Row],[DUT Ucty]])</f>
        <v>N/A</v>
      </c>
      <c r="Y2920" s="1" t="str">
        <f>IF(Table1[[#This Row],[Std Read]]="","N/A",Table1[[#This Row],[Std Read]]+Table1[[#This Row],[Std Ucty]])</f>
        <v>N/A</v>
      </c>
      <c r="Z292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0" s="1" t="str">
        <f>IF(Table1[[#This Row],[Spec Type]]="","N/A",Table1[[#This Row],[Spec Type]])</f>
        <v>±</v>
      </c>
      <c r="AC2920" s="1" t="str">
        <f>IF(Table1[[#This Row],[Spec Type2]]="N/A","N/A",IF(AND(Table1[[#This Row],[DUT Adj Read]]&gt;=Table1[[#This Row],[Low Tol]],Table1[[#This Row],[DUT Adj Read]]&lt;=Table1[[#This Row],[High Tol]]),"Pass","Fail"))</f>
        <v>Fail</v>
      </c>
      <c r="AD2920" s="1" t="str">
        <f>IF(AND(Table1[[#This Row],[Spec Type2]]="N/A",Table1[[#This Row],[DUT Adj Read]]="N/A",Table1[[#This Row],[Std Adj Read]]="N/A"),"N/A",IF(Table1[[#This Row],[DUT Adj Read]]="N/A",IF(Table1[[#This Row],[Std Adj Read]]&gt;Table1[[#This Row],[Low Tol]],"Pass","Fail"),IF(Table1[[#This Row],[DUT Adj Read]]&gt;Table1[[#This Row],[Low Tol]],"Pass","Fail")))</f>
        <v>Pass</v>
      </c>
      <c r="AE2920" s="1" t="str">
        <f>IF(AND(Table1[[#This Row],[Spec Type2]]="N/A",Table1[[#This Row],[DUT Adj Read]]="N/A",Table1[[#This Row],[Std Adj Read]]="N/A"),"N/A",IF(Table1[[#This Row],[DUT Adj Read]]="N/A",IF(Table1[[#This Row],[Std Adj Read]]&lt;Table1[[#This Row],[High Tol]],"Pass","Fail"),IF(Table1[[#This Row],[DUT Adj Read]]&lt;Table1[[#This Row],[High Tol]],"Pass","Fail")))</f>
        <v>Fail</v>
      </c>
      <c r="AF2920" s="1" t="str">
        <f>IF(AND(Table1[[#This Row],[Spec Type2]]="N/A",Table1[[#This Row],[DUT Adj Read]]="N/A",Table1[[#This Row],[Std Adj Read]]="N/A"),"N/A",IF(Table1[[#This Row],[DUT Adj Read]]="N/A",IF(Table1[[#This Row],[Std Adj Read]]&gt;=Table1[[#This Row],[Low Tol]],"Pass","Fail"),IF(Table1[[#This Row],[DUT Adj Read]]&gt;=Table1[[#This Row],[Low Tol]],"Pass","Fail")))</f>
        <v>Pass</v>
      </c>
      <c r="AG2920" s="1" t="str">
        <f>IF(AND(Table1[[#This Row],[Spec Type2]]="N/A",Table1[[#This Row],[DUT Adj Read]]="N/A",Table1[[#This Row],[Std Adj Read]]="N/A"),"N/A",IF(Table1[[#This Row],[DUT Adj Read]]="N/A",IF(Table1[[#This Row],[Std Adj Read]]&lt;=Table1[[#This Row],[High Tol]],"Pass","Fail"),IF(Table1[[#This Row],[DUT Adj Read]]&lt;=Table1[[#This Row],[High Tol]],"Pass","Fail")))</f>
        <v>Fail</v>
      </c>
      <c r="AH292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0" s="1" t="b">
        <v>0</v>
      </c>
      <c r="AN2920" s="1" t="b">
        <v>0</v>
      </c>
      <c r="AO2920" s="1" t="b">
        <v>0</v>
      </c>
    </row>
    <row r="2921" spans="1:41" x14ac:dyDescent="0.25">
      <c r="A2921" s="10"/>
      <c r="B2921" s="10"/>
      <c r="C2921" s="10"/>
      <c r="D2921" s="10"/>
      <c r="E2921" s="10"/>
      <c r="F2921" s="10"/>
      <c r="G2921" s="10"/>
      <c r="H2921" s="10"/>
      <c r="I2921" s="1" t="str">
        <f t="shared" si="135"/>
        <v/>
      </c>
      <c r="J2921" s="1" t="s">
        <v>35</v>
      </c>
      <c r="K2921" s="1" t="str">
        <f t="shared" si="136"/>
        <v/>
      </c>
      <c r="L2921" s="1" t="str">
        <f t="shared" si="137"/>
        <v/>
      </c>
      <c r="M2921" s="1">
        <f>IF(OR(Table1[[#This Row],[Std Nom]]="",Table1[[#This Row],[Std Read]]=""),0,Table1[[#This Row],[Std Nom]]-Table1[[#This Row],[Std Read]])</f>
        <v>0</v>
      </c>
      <c r="N2921" s="1">
        <f>IF(Calculations!$F$5="ACCREDITED 17025 WITH UNCERTAINTIES",$N$10,0)</f>
        <v>0</v>
      </c>
      <c r="Q2921" s="1">
        <f>Table1[[#This Row],[High Tol]]-Table1[[#This Row],[Low Tol]]</f>
        <v>0</v>
      </c>
      <c r="R2921" s="1">
        <f>2*Table1[[#This Row],[Std Error]]</f>
        <v>0</v>
      </c>
      <c r="S2921" s="1" t="str">
        <f>IF(Table1[[#This Row],[High Tol]]="","N/A",IFERROR(ABS(Table1[[#This Row],[Tol Span]]/Table1[[#This Row],[Error Span]]),"N/A"))</f>
        <v>N/A</v>
      </c>
      <c r="T2921" s="1" t="str">
        <f>IF(OR(Table1[[#This Row],[Low Tol]]="",Table1[[#This Row],[High Tol]]=""),"Needs Analysis",IF(Table1[[#This Row],[Ratio]]&gt;=4,"Not Significant",IF(Table1[[#This Row],[Ratio]]&gt;=2,"Semi-Significant","Significant")))</f>
        <v>Needs Analysis</v>
      </c>
      <c r="W2921" s="1">
        <f>IF(Table1[[#This Row],[Cal Type]]&lt;&gt;"ACCREDITED 17025 WITH UNCERTAINTIES",0,"")</f>
        <v>0</v>
      </c>
      <c r="X2921" s="1" t="str">
        <f>IF(Table1[[#This Row],[DUT Read]]="","N/A",Table1[[#This Row],[Std Error]]+Table1[[#This Row],[DUT Read]]+Table1[[#This Row],[DUT Ucty]])</f>
        <v>N/A</v>
      </c>
      <c r="Y2921" s="1" t="str">
        <f>IF(Table1[[#This Row],[Std Read]]="","N/A",Table1[[#This Row],[Std Read]]+Table1[[#This Row],[Std Ucty]])</f>
        <v>N/A</v>
      </c>
      <c r="Z292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1" s="1" t="str">
        <f>IF(Table1[[#This Row],[Spec Type]]="","N/A",Table1[[#This Row],[Spec Type]])</f>
        <v>±</v>
      </c>
      <c r="AC2921" s="1" t="str">
        <f>IF(Table1[[#This Row],[Spec Type2]]="N/A","N/A",IF(AND(Table1[[#This Row],[DUT Adj Read]]&gt;=Table1[[#This Row],[Low Tol]],Table1[[#This Row],[DUT Adj Read]]&lt;=Table1[[#This Row],[High Tol]]),"Pass","Fail"))</f>
        <v>Fail</v>
      </c>
      <c r="AD2921" s="1" t="str">
        <f>IF(AND(Table1[[#This Row],[Spec Type2]]="N/A",Table1[[#This Row],[DUT Adj Read]]="N/A",Table1[[#This Row],[Std Adj Read]]="N/A"),"N/A",IF(Table1[[#This Row],[DUT Adj Read]]="N/A",IF(Table1[[#This Row],[Std Adj Read]]&gt;Table1[[#This Row],[Low Tol]],"Pass","Fail"),IF(Table1[[#This Row],[DUT Adj Read]]&gt;Table1[[#This Row],[Low Tol]],"Pass","Fail")))</f>
        <v>Pass</v>
      </c>
      <c r="AE2921" s="1" t="str">
        <f>IF(AND(Table1[[#This Row],[Spec Type2]]="N/A",Table1[[#This Row],[DUT Adj Read]]="N/A",Table1[[#This Row],[Std Adj Read]]="N/A"),"N/A",IF(Table1[[#This Row],[DUT Adj Read]]="N/A",IF(Table1[[#This Row],[Std Adj Read]]&lt;Table1[[#This Row],[High Tol]],"Pass","Fail"),IF(Table1[[#This Row],[DUT Adj Read]]&lt;Table1[[#This Row],[High Tol]],"Pass","Fail")))</f>
        <v>Fail</v>
      </c>
      <c r="AF2921" s="1" t="str">
        <f>IF(AND(Table1[[#This Row],[Spec Type2]]="N/A",Table1[[#This Row],[DUT Adj Read]]="N/A",Table1[[#This Row],[Std Adj Read]]="N/A"),"N/A",IF(Table1[[#This Row],[DUT Adj Read]]="N/A",IF(Table1[[#This Row],[Std Adj Read]]&gt;=Table1[[#This Row],[Low Tol]],"Pass","Fail"),IF(Table1[[#This Row],[DUT Adj Read]]&gt;=Table1[[#This Row],[Low Tol]],"Pass","Fail")))</f>
        <v>Pass</v>
      </c>
      <c r="AG2921" s="1" t="str">
        <f>IF(AND(Table1[[#This Row],[Spec Type2]]="N/A",Table1[[#This Row],[DUT Adj Read]]="N/A",Table1[[#This Row],[Std Adj Read]]="N/A"),"N/A",IF(Table1[[#This Row],[DUT Adj Read]]="N/A",IF(Table1[[#This Row],[Std Adj Read]]&lt;=Table1[[#This Row],[High Tol]],"Pass","Fail"),IF(Table1[[#This Row],[DUT Adj Read]]&lt;=Table1[[#This Row],[High Tol]],"Pass","Fail")))</f>
        <v>Fail</v>
      </c>
      <c r="AH292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1" s="1" t="b">
        <v>0</v>
      </c>
      <c r="AN2921" s="1" t="b">
        <v>0</v>
      </c>
      <c r="AO2921" s="1" t="b">
        <v>0</v>
      </c>
    </row>
    <row r="2922" spans="1:41" x14ac:dyDescent="0.25">
      <c r="A2922" s="10"/>
      <c r="B2922" s="10"/>
      <c r="C2922" s="10"/>
      <c r="D2922" s="10"/>
      <c r="E2922" s="10"/>
      <c r="F2922" s="10"/>
      <c r="G2922" s="10"/>
      <c r="H2922" s="10"/>
      <c r="I2922" s="1" t="str">
        <f t="shared" si="135"/>
        <v/>
      </c>
      <c r="J2922" s="1" t="s">
        <v>35</v>
      </c>
      <c r="K2922" s="1" t="str">
        <f t="shared" si="136"/>
        <v/>
      </c>
      <c r="L2922" s="1" t="str">
        <f t="shared" si="137"/>
        <v/>
      </c>
      <c r="M2922" s="1">
        <f>IF(OR(Table1[[#This Row],[Std Nom]]="",Table1[[#This Row],[Std Read]]=""),0,Table1[[#This Row],[Std Nom]]-Table1[[#This Row],[Std Read]])</f>
        <v>0</v>
      </c>
      <c r="N2922" s="1">
        <f>IF(Calculations!$F$5="ACCREDITED 17025 WITH UNCERTAINTIES",$N$10,0)</f>
        <v>0</v>
      </c>
      <c r="Q2922" s="1">
        <f>Table1[[#This Row],[High Tol]]-Table1[[#This Row],[Low Tol]]</f>
        <v>0</v>
      </c>
      <c r="R2922" s="1">
        <f>2*Table1[[#This Row],[Std Error]]</f>
        <v>0</v>
      </c>
      <c r="S2922" s="1" t="str">
        <f>IF(Table1[[#This Row],[High Tol]]="","N/A",IFERROR(ABS(Table1[[#This Row],[Tol Span]]/Table1[[#This Row],[Error Span]]),"N/A"))</f>
        <v>N/A</v>
      </c>
      <c r="T2922" s="1" t="str">
        <f>IF(OR(Table1[[#This Row],[Low Tol]]="",Table1[[#This Row],[High Tol]]=""),"Needs Analysis",IF(Table1[[#This Row],[Ratio]]&gt;=4,"Not Significant",IF(Table1[[#This Row],[Ratio]]&gt;=2,"Semi-Significant","Significant")))</f>
        <v>Needs Analysis</v>
      </c>
      <c r="W2922" s="1">
        <f>IF(Table1[[#This Row],[Cal Type]]&lt;&gt;"ACCREDITED 17025 WITH UNCERTAINTIES",0,"")</f>
        <v>0</v>
      </c>
      <c r="X2922" s="1" t="str">
        <f>IF(Table1[[#This Row],[DUT Read]]="","N/A",Table1[[#This Row],[Std Error]]+Table1[[#This Row],[DUT Read]]+Table1[[#This Row],[DUT Ucty]])</f>
        <v>N/A</v>
      </c>
      <c r="Y2922" s="1" t="str">
        <f>IF(Table1[[#This Row],[Std Read]]="","N/A",Table1[[#This Row],[Std Read]]+Table1[[#This Row],[Std Ucty]])</f>
        <v>N/A</v>
      </c>
      <c r="Z292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2" s="1" t="str">
        <f>IF(Table1[[#This Row],[Spec Type]]="","N/A",Table1[[#This Row],[Spec Type]])</f>
        <v>±</v>
      </c>
      <c r="AC2922" s="1" t="str">
        <f>IF(Table1[[#This Row],[Spec Type2]]="N/A","N/A",IF(AND(Table1[[#This Row],[DUT Adj Read]]&gt;=Table1[[#This Row],[Low Tol]],Table1[[#This Row],[DUT Adj Read]]&lt;=Table1[[#This Row],[High Tol]]),"Pass","Fail"))</f>
        <v>Fail</v>
      </c>
      <c r="AD2922" s="1" t="str">
        <f>IF(AND(Table1[[#This Row],[Spec Type2]]="N/A",Table1[[#This Row],[DUT Adj Read]]="N/A",Table1[[#This Row],[Std Adj Read]]="N/A"),"N/A",IF(Table1[[#This Row],[DUT Adj Read]]="N/A",IF(Table1[[#This Row],[Std Adj Read]]&gt;Table1[[#This Row],[Low Tol]],"Pass","Fail"),IF(Table1[[#This Row],[DUT Adj Read]]&gt;Table1[[#This Row],[Low Tol]],"Pass","Fail")))</f>
        <v>Pass</v>
      </c>
      <c r="AE2922" s="1" t="str">
        <f>IF(AND(Table1[[#This Row],[Spec Type2]]="N/A",Table1[[#This Row],[DUT Adj Read]]="N/A",Table1[[#This Row],[Std Adj Read]]="N/A"),"N/A",IF(Table1[[#This Row],[DUT Adj Read]]="N/A",IF(Table1[[#This Row],[Std Adj Read]]&lt;Table1[[#This Row],[High Tol]],"Pass","Fail"),IF(Table1[[#This Row],[DUT Adj Read]]&lt;Table1[[#This Row],[High Tol]],"Pass","Fail")))</f>
        <v>Fail</v>
      </c>
      <c r="AF2922" s="1" t="str">
        <f>IF(AND(Table1[[#This Row],[Spec Type2]]="N/A",Table1[[#This Row],[DUT Adj Read]]="N/A",Table1[[#This Row],[Std Adj Read]]="N/A"),"N/A",IF(Table1[[#This Row],[DUT Adj Read]]="N/A",IF(Table1[[#This Row],[Std Adj Read]]&gt;=Table1[[#This Row],[Low Tol]],"Pass","Fail"),IF(Table1[[#This Row],[DUT Adj Read]]&gt;=Table1[[#This Row],[Low Tol]],"Pass","Fail")))</f>
        <v>Pass</v>
      </c>
      <c r="AG2922" s="1" t="str">
        <f>IF(AND(Table1[[#This Row],[Spec Type2]]="N/A",Table1[[#This Row],[DUT Adj Read]]="N/A",Table1[[#This Row],[Std Adj Read]]="N/A"),"N/A",IF(Table1[[#This Row],[DUT Adj Read]]="N/A",IF(Table1[[#This Row],[Std Adj Read]]&lt;=Table1[[#This Row],[High Tol]],"Pass","Fail"),IF(Table1[[#This Row],[DUT Adj Read]]&lt;=Table1[[#This Row],[High Tol]],"Pass","Fail")))</f>
        <v>Fail</v>
      </c>
      <c r="AH292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2" s="1" t="b">
        <v>0</v>
      </c>
      <c r="AN2922" s="1" t="b">
        <v>0</v>
      </c>
      <c r="AO2922" s="1" t="b">
        <v>0</v>
      </c>
    </row>
    <row r="2923" spans="1:41" x14ac:dyDescent="0.25">
      <c r="A2923" s="10"/>
      <c r="B2923" s="10"/>
      <c r="C2923" s="10"/>
      <c r="D2923" s="10"/>
      <c r="E2923" s="10"/>
      <c r="F2923" s="10"/>
      <c r="G2923" s="10"/>
      <c r="H2923" s="10"/>
      <c r="I2923" s="1" t="str">
        <f t="shared" si="135"/>
        <v/>
      </c>
      <c r="J2923" s="1" t="s">
        <v>35</v>
      </c>
      <c r="K2923" s="1" t="str">
        <f t="shared" si="136"/>
        <v/>
      </c>
      <c r="L2923" s="1" t="str">
        <f t="shared" si="137"/>
        <v/>
      </c>
      <c r="M2923" s="1">
        <f>IF(OR(Table1[[#This Row],[Std Nom]]="",Table1[[#This Row],[Std Read]]=""),0,Table1[[#This Row],[Std Nom]]-Table1[[#This Row],[Std Read]])</f>
        <v>0</v>
      </c>
      <c r="N2923" s="1">
        <f>IF(Calculations!$F$5="ACCREDITED 17025 WITH UNCERTAINTIES",$N$10,0)</f>
        <v>0</v>
      </c>
      <c r="Q2923" s="1">
        <f>Table1[[#This Row],[High Tol]]-Table1[[#This Row],[Low Tol]]</f>
        <v>0</v>
      </c>
      <c r="R2923" s="1">
        <f>2*Table1[[#This Row],[Std Error]]</f>
        <v>0</v>
      </c>
      <c r="S2923" s="1" t="str">
        <f>IF(Table1[[#This Row],[High Tol]]="","N/A",IFERROR(ABS(Table1[[#This Row],[Tol Span]]/Table1[[#This Row],[Error Span]]),"N/A"))</f>
        <v>N/A</v>
      </c>
      <c r="T2923" s="1" t="str">
        <f>IF(OR(Table1[[#This Row],[Low Tol]]="",Table1[[#This Row],[High Tol]]=""),"Needs Analysis",IF(Table1[[#This Row],[Ratio]]&gt;=4,"Not Significant",IF(Table1[[#This Row],[Ratio]]&gt;=2,"Semi-Significant","Significant")))</f>
        <v>Needs Analysis</v>
      </c>
      <c r="W2923" s="1">
        <f>IF(Table1[[#This Row],[Cal Type]]&lt;&gt;"ACCREDITED 17025 WITH UNCERTAINTIES",0,"")</f>
        <v>0</v>
      </c>
      <c r="X2923" s="1" t="str">
        <f>IF(Table1[[#This Row],[DUT Read]]="","N/A",Table1[[#This Row],[Std Error]]+Table1[[#This Row],[DUT Read]]+Table1[[#This Row],[DUT Ucty]])</f>
        <v>N/A</v>
      </c>
      <c r="Y2923" s="1" t="str">
        <f>IF(Table1[[#This Row],[Std Read]]="","N/A",Table1[[#This Row],[Std Read]]+Table1[[#This Row],[Std Ucty]])</f>
        <v>N/A</v>
      </c>
      <c r="Z292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3" s="1" t="str">
        <f>IF(Table1[[#This Row],[Spec Type]]="","N/A",Table1[[#This Row],[Spec Type]])</f>
        <v>±</v>
      </c>
      <c r="AC2923" s="1" t="str">
        <f>IF(Table1[[#This Row],[Spec Type2]]="N/A","N/A",IF(AND(Table1[[#This Row],[DUT Adj Read]]&gt;=Table1[[#This Row],[Low Tol]],Table1[[#This Row],[DUT Adj Read]]&lt;=Table1[[#This Row],[High Tol]]),"Pass","Fail"))</f>
        <v>Fail</v>
      </c>
      <c r="AD2923" s="1" t="str">
        <f>IF(AND(Table1[[#This Row],[Spec Type2]]="N/A",Table1[[#This Row],[DUT Adj Read]]="N/A",Table1[[#This Row],[Std Adj Read]]="N/A"),"N/A",IF(Table1[[#This Row],[DUT Adj Read]]="N/A",IF(Table1[[#This Row],[Std Adj Read]]&gt;Table1[[#This Row],[Low Tol]],"Pass","Fail"),IF(Table1[[#This Row],[DUT Adj Read]]&gt;Table1[[#This Row],[Low Tol]],"Pass","Fail")))</f>
        <v>Pass</v>
      </c>
      <c r="AE2923" s="1" t="str">
        <f>IF(AND(Table1[[#This Row],[Spec Type2]]="N/A",Table1[[#This Row],[DUT Adj Read]]="N/A",Table1[[#This Row],[Std Adj Read]]="N/A"),"N/A",IF(Table1[[#This Row],[DUT Adj Read]]="N/A",IF(Table1[[#This Row],[Std Adj Read]]&lt;Table1[[#This Row],[High Tol]],"Pass","Fail"),IF(Table1[[#This Row],[DUT Adj Read]]&lt;Table1[[#This Row],[High Tol]],"Pass","Fail")))</f>
        <v>Fail</v>
      </c>
      <c r="AF2923" s="1" t="str">
        <f>IF(AND(Table1[[#This Row],[Spec Type2]]="N/A",Table1[[#This Row],[DUT Adj Read]]="N/A",Table1[[#This Row],[Std Adj Read]]="N/A"),"N/A",IF(Table1[[#This Row],[DUT Adj Read]]="N/A",IF(Table1[[#This Row],[Std Adj Read]]&gt;=Table1[[#This Row],[Low Tol]],"Pass","Fail"),IF(Table1[[#This Row],[DUT Adj Read]]&gt;=Table1[[#This Row],[Low Tol]],"Pass","Fail")))</f>
        <v>Pass</v>
      </c>
      <c r="AG2923" s="1" t="str">
        <f>IF(AND(Table1[[#This Row],[Spec Type2]]="N/A",Table1[[#This Row],[DUT Adj Read]]="N/A",Table1[[#This Row],[Std Adj Read]]="N/A"),"N/A",IF(Table1[[#This Row],[DUT Adj Read]]="N/A",IF(Table1[[#This Row],[Std Adj Read]]&lt;=Table1[[#This Row],[High Tol]],"Pass","Fail"),IF(Table1[[#This Row],[DUT Adj Read]]&lt;=Table1[[#This Row],[High Tol]],"Pass","Fail")))</f>
        <v>Fail</v>
      </c>
      <c r="AH292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3" s="1" t="b">
        <v>0</v>
      </c>
      <c r="AN2923" s="1" t="b">
        <v>0</v>
      </c>
      <c r="AO2923" s="1" t="b">
        <v>0</v>
      </c>
    </row>
    <row r="2924" spans="1:41" x14ac:dyDescent="0.25">
      <c r="A2924" s="10"/>
      <c r="B2924" s="10"/>
      <c r="C2924" s="10"/>
      <c r="D2924" s="10"/>
      <c r="E2924" s="10"/>
      <c r="F2924" s="10"/>
      <c r="G2924" s="10"/>
      <c r="H2924" s="10"/>
      <c r="I2924" s="1" t="str">
        <f t="shared" si="135"/>
        <v/>
      </c>
      <c r="J2924" s="1" t="s">
        <v>35</v>
      </c>
      <c r="K2924" s="1" t="str">
        <f t="shared" si="136"/>
        <v/>
      </c>
      <c r="L2924" s="1" t="str">
        <f t="shared" si="137"/>
        <v/>
      </c>
      <c r="M2924" s="1">
        <f>IF(OR(Table1[[#This Row],[Std Nom]]="",Table1[[#This Row],[Std Read]]=""),0,Table1[[#This Row],[Std Nom]]-Table1[[#This Row],[Std Read]])</f>
        <v>0</v>
      </c>
      <c r="N2924" s="1">
        <f>IF(Calculations!$F$5="ACCREDITED 17025 WITH UNCERTAINTIES",$N$10,0)</f>
        <v>0</v>
      </c>
      <c r="Q2924" s="1">
        <f>Table1[[#This Row],[High Tol]]-Table1[[#This Row],[Low Tol]]</f>
        <v>0</v>
      </c>
      <c r="R2924" s="1">
        <f>2*Table1[[#This Row],[Std Error]]</f>
        <v>0</v>
      </c>
      <c r="S2924" s="1" t="str">
        <f>IF(Table1[[#This Row],[High Tol]]="","N/A",IFERROR(ABS(Table1[[#This Row],[Tol Span]]/Table1[[#This Row],[Error Span]]),"N/A"))</f>
        <v>N/A</v>
      </c>
      <c r="T2924" s="1" t="str">
        <f>IF(OR(Table1[[#This Row],[Low Tol]]="",Table1[[#This Row],[High Tol]]=""),"Needs Analysis",IF(Table1[[#This Row],[Ratio]]&gt;=4,"Not Significant",IF(Table1[[#This Row],[Ratio]]&gt;=2,"Semi-Significant","Significant")))</f>
        <v>Needs Analysis</v>
      </c>
      <c r="W2924" s="1">
        <f>IF(Table1[[#This Row],[Cal Type]]&lt;&gt;"ACCREDITED 17025 WITH UNCERTAINTIES",0,"")</f>
        <v>0</v>
      </c>
      <c r="X2924" s="1" t="str">
        <f>IF(Table1[[#This Row],[DUT Read]]="","N/A",Table1[[#This Row],[Std Error]]+Table1[[#This Row],[DUT Read]]+Table1[[#This Row],[DUT Ucty]])</f>
        <v>N/A</v>
      </c>
      <c r="Y2924" s="1" t="str">
        <f>IF(Table1[[#This Row],[Std Read]]="","N/A",Table1[[#This Row],[Std Read]]+Table1[[#This Row],[Std Ucty]])</f>
        <v>N/A</v>
      </c>
      <c r="Z292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4" s="1" t="str">
        <f>IF(Table1[[#This Row],[Spec Type]]="","N/A",Table1[[#This Row],[Spec Type]])</f>
        <v>±</v>
      </c>
      <c r="AC2924" s="1" t="str">
        <f>IF(Table1[[#This Row],[Spec Type2]]="N/A","N/A",IF(AND(Table1[[#This Row],[DUT Adj Read]]&gt;=Table1[[#This Row],[Low Tol]],Table1[[#This Row],[DUT Adj Read]]&lt;=Table1[[#This Row],[High Tol]]),"Pass","Fail"))</f>
        <v>Fail</v>
      </c>
      <c r="AD2924" s="1" t="str">
        <f>IF(AND(Table1[[#This Row],[Spec Type2]]="N/A",Table1[[#This Row],[DUT Adj Read]]="N/A",Table1[[#This Row],[Std Adj Read]]="N/A"),"N/A",IF(Table1[[#This Row],[DUT Adj Read]]="N/A",IF(Table1[[#This Row],[Std Adj Read]]&gt;Table1[[#This Row],[Low Tol]],"Pass","Fail"),IF(Table1[[#This Row],[DUT Adj Read]]&gt;Table1[[#This Row],[Low Tol]],"Pass","Fail")))</f>
        <v>Pass</v>
      </c>
      <c r="AE2924" s="1" t="str">
        <f>IF(AND(Table1[[#This Row],[Spec Type2]]="N/A",Table1[[#This Row],[DUT Adj Read]]="N/A",Table1[[#This Row],[Std Adj Read]]="N/A"),"N/A",IF(Table1[[#This Row],[DUT Adj Read]]="N/A",IF(Table1[[#This Row],[Std Adj Read]]&lt;Table1[[#This Row],[High Tol]],"Pass","Fail"),IF(Table1[[#This Row],[DUT Adj Read]]&lt;Table1[[#This Row],[High Tol]],"Pass","Fail")))</f>
        <v>Fail</v>
      </c>
      <c r="AF2924" s="1" t="str">
        <f>IF(AND(Table1[[#This Row],[Spec Type2]]="N/A",Table1[[#This Row],[DUT Adj Read]]="N/A",Table1[[#This Row],[Std Adj Read]]="N/A"),"N/A",IF(Table1[[#This Row],[DUT Adj Read]]="N/A",IF(Table1[[#This Row],[Std Adj Read]]&gt;=Table1[[#This Row],[Low Tol]],"Pass","Fail"),IF(Table1[[#This Row],[DUT Adj Read]]&gt;=Table1[[#This Row],[Low Tol]],"Pass","Fail")))</f>
        <v>Pass</v>
      </c>
      <c r="AG2924" s="1" t="str">
        <f>IF(AND(Table1[[#This Row],[Spec Type2]]="N/A",Table1[[#This Row],[DUT Adj Read]]="N/A",Table1[[#This Row],[Std Adj Read]]="N/A"),"N/A",IF(Table1[[#This Row],[DUT Adj Read]]="N/A",IF(Table1[[#This Row],[Std Adj Read]]&lt;=Table1[[#This Row],[High Tol]],"Pass","Fail"),IF(Table1[[#This Row],[DUT Adj Read]]&lt;=Table1[[#This Row],[High Tol]],"Pass","Fail")))</f>
        <v>Fail</v>
      </c>
      <c r="AH292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4" s="1" t="b">
        <v>0</v>
      </c>
      <c r="AN2924" s="1" t="b">
        <v>0</v>
      </c>
      <c r="AO2924" s="1" t="b">
        <v>0</v>
      </c>
    </row>
    <row r="2925" spans="1:41" x14ac:dyDescent="0.25">
      <c r="A2925" s="10"/>
      <c r="B2925" s="10"/>
      <c r="C2925" s="10"/>
      <c r="D2925" s="10"/>
      <c r="E2925" s="10"/>
      <c r="F2925" s="10"/>
      <c r="G2925" s="10"/>
      <c r="H2925" s="10"/>
      <c r="I2925" s="1" t="str">
        <f t="shared" si="135"/>
        <v/>
      </c>
      <c r="J2925" s="1" t="s">
        <v>35</v>
      </c>
      <c r="K2925" s="1" t="str">
        <f t="shared" si="136"/>
        <v/>
      </c>
      <c r="L2925" s="1" t="str">
        <f t="shared" si="137"/>
        <v/>
      </c>
      <c r="M2925" s="1">
        <f>IF(OR(Table1[[#This Row],[Std Nom]]="",Table1[[#This Row],[Std Read]]=""),0,Table1[[#This Row],[Std Nom]]-Table1[[#This Row],[Std Read]])</f>
        <v>0</v>
      </c>
      <c r="N2925" s="1">
        <f>IF(Calculations!$F$5="ACCREDITED 17025 WITH UNCERTAINTIES",$N$10,0)</f>
        <v>0</v>
      </c>
      <c r="Q2925" s="1">
        <f>Table1[[#This Row],[High Tol]]-Table1[[#This Row],[Low Tol]]</f>
        <v>0</v>
      </c>
      <c r="R2925" s="1">
        <f>2*Table1[[#This Row],[Std Error]]</f>
        <v>0</v>
      </c>
      <c r="S2925" s="1" t="str">
        <f>IF(Table1[[#This Row],[High Tol]]="","N/A",IFERROR(ABS(Table1[[#This Row],[Tol Span]]/Table1[[#This Row],[Error Span]]),"N/A"))</f>
        <v>N/A</v>
      </c>
      <c r="T2925" s="1" t="str">
        <f>IF(OR(Table1[[#This Row],[Low Tol]]="",Table1[[#This Row],[High Tol]]=""),"Needs Analysis",IF(Table1[[#This Row],[Ratio]]&gt;=4,"Not Significant",IF(Table1[[#This Row],[Ratio]]&gt;=2,"Semi-Significant","Significant")))</f>
        <v>Needs Analysis</v>
      </c>
      <c r="W2925" s="1">
        <f>IF(Table1[[#This Row],[Cal Type]]&lt;&gt;"ACCREDITED 17025 WITH UNCERTAINTIES",0,"")</f>
        <v>0</v>
      </c>
      <c r="X2925" s="1" t="str">
        <f>IF(Table1[[#This Row],[DUT Read]]="","N/A",Table1[[#This Row],[Std Error]]+Table1[[#This Row],[DUT Read]]+Table1[[#This Row],[DUT Ucty]])</f>
        <v>N/A</v>
      </c>
      <c r="Y2925" s="1" t="str">
        <f>IF(Table1[[#This Row],[Std Read]]="","N/A",Table1[[#This Row],[Std Read]]+Table1[[#This Row],[Std Ucty]])</f>
        <v>N/A</v>
      </c>
      <c r="Z292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5" s="1" t="str">
        <f>IF(Table1[[#This Row],[Spec Type]]="","N/A",Table1[[#This Row],[Spec Type]])</f>
        <v>±</v>
      </c>
      <c r="AC2925" s="1" t="str">
        <f>IF(Table1[[#This Row],[Spec Type2]]="N/A","N/A",IF(AND(Table1[[#This Row],[DUT Adj Read]]&gt;=Table1[[#This Row],[Low Tol]],Table1[[#This Row],[DUT Adj Read]]&lt;=Table1[[#This Row],[High Tol]]),"Pass","Fail"))</f>
        <v>Fail</v>
      </c>
      <c r="AD2925" s="1" t="str">
        <f>IF(AND(Table1[[#This Row],[Spec Type2]]="N/A",Table1[[#This Row],[DUT Adj Read]]="N/A",Table1[[#This Row],[Std Adj Read]]="N/A"),"N/A",IF(Table1[[#This Row],[DUT Adj Read]]="N/A",IF(Table1[[#This Row],[Std Adj Read]]&gt;Table1[[#This Row],[Low Tol]],"Pass","Fail"),IF(Table1[[#This Row],[DUT Adj Read]]&gt;Table1[[#This Row],[Low Tol]],"Pass","Fail")))</f>
        <v>Pass</v>
      </c>
      <c r="AE2925" s="1" t="str">
        <f>IF(AND(Table1[[#This Row],[Spec Type2]]="N/A",Table1[[#This Row],[DUT Adj Read]]="N/A",Table1[[#This Row],[Std Adj Read]]="N/A"),"N/A",IF(Table1[[#This Row],[DUT Adj Read]]="N/A",IF(Table1[[#This Row],[Std Adj Read]]&lt;Table1[[#This Row],[High Tol]],"Pass","Fail"),IF(Table1[[#This Row],[DUT Adj Read]]&lt;Table1[[#This Row],[High Tol]],"Pass","Fail")))</f>
        <v>Fail</v>
      </c>
      <c r="AF2925" s="1" t="str">
        <f>IF(AND(Table1[[#This Row],[Spec Type2]]="N/A",Table1[[#This Row],[DUT Adj Read]]="N/A",Table1[[#This Row],[Std Adj Read]]="N/A"),"N/A",IF(Table1[[#This Row],[DUT Adj Read]]="N/A",IF(Table1[[#This Row],[Std Adj Read]]&gt;=Table1[[#This Row],[Low Tol]],"Pass","Fail"),IF(Table1[[#This Row],[DUT Adj Read]]&gt;=Table1[[#This Row],[Low Tol]],"Pass","Fail")))</f>
        <v>Pass</v>
      </c>
      <c r="AG2925" s="1" t="str">
        <f>IF(AND(Table1[[#This Row],[Spec Type2]]="N/A",Table1[[#This Row],[DUT Adj Read]]="N/A",Table1[[#This Row],[Std Adj Read]]="N/A"),"N/A",IF(Table1[[#This Row],[DUT Adj Read]]="N/A",IF(Table1[[#This Row],[Std Adj Read]]&lt;=Table1[[#This Row],[High Tol]],"Pass","Fail"),IF(Table1[[#This Row],[DUT Adj Read]]&lt;=Table1[[#This Row],[High Tol]],"Pass","Fail")))</f>
        <v>Fail</v>
      </c>
      <c r="AH292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5" s="1" t="b">
        <v>0</v>
      </c>
      <c r="AN2925" s="1" t="b">
        <v>0</v>
      </c>
      <c r="AO2925" s="1" t="b">
        <v>0</v>
      </c>
    </row>
    <row r="2926" spans="1:41" x14ac:dyDescent="0.25">
      <c r="A2926" s="10"/>
      <c r="B2926" s="10"/>
      <c r="C2926" s="10"/>
      <c r="D2926" s="10"/>
      <c r="E2926" s="10"/>
      <c r="F2926" s="10"/>
      <c r="G2926" s="10"/>
      <c r="H2926" s="10"/>
      <c r="I2926" s="1" t="str">
        <f t="shared" si="135"/>
        <v/>
      </c>
      <c r="J2926" s="1" t="s">
        <v>35</v>
      </c>
      <c r="K2926" s="1" t="str">
        <f t="shared" si="136"/>
        <v/>
      </c>
      <c r="L2926" s="1" t="str">
        <f t="shared" si="137"/>
        <v/>
      </c>
      <c r="M2926" s="1">
        <f>IF(OR(Table1[[#This Row],[Std Nom]]="",Table1[[#This Row],[Std Read]]=""),0,Table1[[#This Row],[Std Nom]]-Table1[[#This Row],[Std Read]])</f>
        <v>0</v>
      </c>
      <c r="N2926" s="1">
        <f>IF(Calculations!$F$5="ACCREDITED 17025 WITH UNCERTAINTIES",$N$10,0)</f>
        <v>0</v>
      </c>
      <c r="Q2926" s="1">
        <f>Table1[[#This Row],[High Tol]]-Table1[[#This Row],[Low Tol]]</f>
        <v>0</v>
      </c>
      <c r="R2926" s="1">
        <f>2*Table1[[#This Row],[Std Error]]</f>
        <v>0</v>
      </c>
      <c r="S2926" s="1" t="str">
        <f>IF(Table1[[#This Row],[High Tol]]="","N/A",IFERROR(ABS(Table1[[#This Row],[Tol Span]]/Table1[[#This Row],[Error Span]]),"N/A"))</f>
        <v>N/A</v>
      </c>
      <c r="T2926" s="1" t="str">
        <f>IF(OR(Table1[[#This Row],[Low Tol]]="",Table1[[#This Row],[High Tol]]=""),"Needs Analysis",IF(Table1[[#This Row],[Ratio]]&gt;=4,"Not Significant",IF(Table1[[#This Row],[Ratio]]&gt;=2,"Semi-Significant","Significant")))</f>
        <v>Needs Analysis</v>
      </c>
      <c r="W2926" s="1">
        <f>IF(Table1[[#This Row],[Cal Type]]&lt;&gt;"ACCREDITED 17025 WITH UNCERTAINTIES",0,"")</f>
        <v>0</v>
      </c>
      <c r="X2926" s="1" t="str">
        <f>IF(Table1[[#This Row],[DUT Read]]="","N/A",Table1[[#This Row],[Std Error]]+Table1[[#This Row],[DUT Read]]+Table1[[#This Row],[DUT Ucty]])</f>
        <v>N/A</v>
      </c>
      <c r="Y2926" s="1" t="str">
        <f>IF(Table1[[#This Row],[Std Read]]="","N/A",Table1[[#This Row],[Std Read]]+Table1[[#This Row],[Std Ucty]])</f>
        <v>N/A</v>
      </c>
      <c r="Z292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6" s="1" t="str">
        <f>IF(Table1[[#This Row],[Spec Type]]="","N/A",Table1[[#This Row],[Spec Type]])</f>
        <v>±</v>
      </c>
      <c r="AC2926" s="1" t="str">
        <f>IF(Table1[[#This Row],[Spec Type2]]="N/A","N/A",IF(AND(Table1[[#This Row],[DUT Adj Read]]&gt;=Table1[[#This Row],[Low Tol]],Table1[[#This Row],[DUT Adj Read]]&lt;=Table1[[#This Row],[High Tol]]),"Pass","Fail"))</f>
        <v>Fail</v>
      </c>
      <c r="AD2926" s="1" t="str">
        <f>IF(AND(Table1[[#This Row],[Spec Type2]]="N/A",Table1[[#This Row],[DUT Adj Read]]="N/A",Table1[[#This Row],[Std Adj Read]]="N/A"),"N/A",IF(Table1[[#This Row],[DUT Adj Read]]="N/A",IF(Table1[[#This Row],[Std Adj Read]]&gt;Table1[[#This Row],[Low Tol]],"Pass","Fail"),IF(Table1[[#This Row],[DUT Adj Read]]&gt;Table1[[#This Row],[Low Tol]],"Pass","Fail")))</f>
        <v>Pass</v>
      </c>
      <c r="AE2926" s="1" t="str">
        <f>IF(AND(Table1[[#This Row],[Spec Type2]]="N/A",Table1[[#This Row],[DUT Adj Read]]="N/A",Table1[[#This Row],[Std Adj Read]]="N/A"),"N/A",IF(Table1[[#This Row],[DUT Adj Read]]="N/A",IF(Table1[[#This Row],[Std Adj Read]]&lt;Table1[[#This Row],[High Tol]],"Pass","Fail"),IF(Table1[[#This Row],[DUT Adj Read]]&lt;Table1[[#This Row],[High Tol]],"Pass","Fail")))</f>
        <v>Fail</v>
      </c>
      <c r="AF2926" s="1" t="str">
        <f>IF(AND(Table1[[#This Row],[Spec Type2]]="N/A",Table1[[#This Row],[DUT Adj Read]]="N/A",Table1[[#This Row],[Std Adj Read]]="N/A"),"N/A",IF(Table1[[#This Row],[DUT Adj Read]]="N/A",IF(Table1[[#This Row],[Std Adj Read]]&gt;=Table1[[#This Row],[Low Tol]],"Pass","Fail"),IF(Table1[[#This Row],[DUT Adj Read]]&gt;=Table1[[#This Row],[Low Tol]],"Pass","Fail")))</f>
        <v>Pass</v>
      </c>
      <c r="AG2926" s="1" t="str">
        <f>IF(AND(Table1[[#This Row],[Spec Type2]]="N/A",Table1[[#This Row],[DUT Adj Read]]="N/A",Table1[[#This Row],[Std Adj Read]]="N/A"),"N/A",IF(Table1[[#This Row],[DUT Adj Read]]="N/A",IF(Table1[[#This Row],[Std Adj Read]]&lt;=Table1[[#This Row],[High Tol]],"Pass","Fail"),IF(Table1[[#This Row],[DUT Adj Read]]&lt;=Table1[[#This Row],[High Tol]],"Pass","Fail")))</f>
        <v>Fail</v>
      </c>
      <c r="AH292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6" s="1" t="b">
        <v>0</v>
      </c>
      <c r="AN2926" s="1" t="b">
        <v>0</v>
      </c>
      <c r="AO2926" s="1" t="b">
        <v>0</v>
      </c>
    </row>
    <row r="2927" spans="1:41" x14ac:dyDescent="0.25">
      <c r="A2927" s="10"/>
      <c r="B2927" s="10"/>
      <c r="C2927" s="10"/>
      <c r="D2927" s="10"/>
      <c r="E2927" s="10"/>
      <c r="F2927" s="10"/>
      <c r="G2927" s="10"/>
      <c r="H2927" s="10"/>
      <c r="I2927" s="1" t="str">
        <f t="shared" si="135"/>
        <v/>
      </c>
      <c r="J2927" s="1" t="s">
        <v>35</v>
      </c>
      <c r="K2927" s="1" t="str">
        <f t="shared" si="136"/>
        <v/>
      </c>
      <c r="L2927" s="1" t="str">
        <f t="shared" si="137"/>
        <v/>
      </c>
      <c r="M2927" s="1">
        <f>IF(OR(Table1[[#This Row],[Std Nom]]="",Table1[[#This Row],[Std Read]]=""),0,Table1[[#This Row],[Std Nom]]-Table1[[#This Row],[Std Read]])</f>
        <v>0</v>
      </c>
      <c r="N2927" s="1">
        <f>IF(Calculations!$F$5="ACCREDITED 17025 WITH UNCERTAINTIES",$N$10,0)</f>
        <v>0</v>
      </c>
      <c r="Q2927" s="1">
        <f>Table1[[#This Row],[High Tol]]-Table1[[#This Row],[Low Tol]]</f>
        <v>0</v>
      </c>
      <c r="R2927" s="1">
        <f>2*Table1[[#This Row],[Std Error]]</f>
        <v>0</v>
      </c>
      <c r="S2927" s="1" t="str">
        <f>IF(Table1[[#This Row],[High Tol]]="","N/A",IFERROR(ABS(Table1[[#This Row],[Tol Span]]/Table1[[#This Row],[Error Span]]),"N/A"))</f>
        <v>N/A</v>
      </c>
      <c r="T2927" s="1" t="str">
        <f>IF(OR(Table1[[#This Row],[Low Tol]]="",Table1[[#This Row],[High Tol]]=""),"Needs Analysis",IF(Table1[[#This Row],[Ratio]]&gt;=4,"Not Significant",IF(Table1[[#This Row],[Ratio]]&gt;=2,"Semi-Significant","Significant")))</f>
        <v>Needs Analysis</v>
      </c>
      <c r="W2927" s="1">
        <f>IF(Table1[[#This Row],[Cal Type]]&lt;&gt;"ACCREDITED 17025 WITH UNCERTAINTIES",0,"")</f>
        <v>0</v>
      </c>
      <c r="X2927" s="1" t="str">
        <f>IF(Table1[[#This Row],[DUT Read]]="","N/A",Table1[[#This Row],[Std Error]]+Table1[[#This Row],[DUT Read]]+Table1[[#This Row],[DUT Ucty]])</f>
        <v>N/A</v>
      </c>
      <c r="Y2927" s="1" t="str">
        <f>IF(Table1[[#This Row],[Std Read]]="","N/A",Table1[[#This Row],[Std Read]]+Table1[[#This Row],[Std Ucty]])</f>
        <v>N/A</v>
      </c>
      <c r="Z292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7" s="1" t="str">
        <f>IF(Table1[[#This Row],[Spec Type]]="","N/A",Table1[[#This Row],[Spec Type]])</f>
        <v>±</v>
      </c>
      <c r="AC2927" s="1" t="str">
        <f>IF(Table1[[#This Row],[Spec Type2]]="N/A","N/A",IF(AND(Table1[[#This Row],[DUT Adj Read]]&gt;=Table1[[#This Row],[Low Tol]],Table1[[#This Row],[DUT Adj Read]]&lt;=Table1[[#This Row],[High Tol]]),"Pass","Fail"))</f>
        <v>Fail</v>
      </c>
      <c r="AD2927" s="1" t="str">
        <f>IF(AND(Table1[[#This Row],[Spec Type2]]="N/A",Table1[[#This Row],[DUT Adj Read]]="N/A",Table1[[#This Row],[Std Adj Read]]="N/A"),"N/A",IF(Table1[[#This Row],[DUT Adj Read]]="N/A",IF(Table1[[#This Row],[Std Adj Read]]&gt;Table1[[#This Row],[Low Tol]],"Pass","Fail"),IF(Table1[[#This Row],[DUT Adj Read]]&gt;Table1[[#This Row],[Low Tol]],"Pass","Fail")))</f>
        <v>Pass</v>
      </c>
      <c r="AE2927" s="1" t="str">
        <f>IF(AND(Table1[[#This Row],[Spec Type2]]="N/A",Table1[[#This Row],[DUT Adj Read]]="N/A",Table1[[#This Row],[Std Adj Read]]="N/A"),"N/A",IF(Table1[[#This Row],[DUT Adj Read]]="N/A",IF(Table1[[#This Row],[Std Adj Read]]&lt;Table1[[#This Row],[High Tol]],"Pass","Fail"),IF(Table1[[#This Row],[DUT Adj Read]]&lt;Table1[[#This Row],[High Tol]],"Pass","Fail")))</f>
        <v>Fail</v>
      </c>
      <c r="AF2927" s="1" t="str">
        <f>IF(AND(Table1[[#This Row],[Spec Type2]]="N/A",Table1[[#This Row],[DUT Adj Read]]="N/A",Table1[[#This Row],[Std Adj Read]]="N/A"),"N/A",IF(Table1[[#This Row],[DUT Adj Read]]="N/A",IF(Table1[[#This Row],[Std Adj Read]]&gt;=Table1[[#This Row],[Low Tol]],"Pass","Fail"),IF(Table1[[#This Row],[DUT Adj Read]]&gt;=Table1[[#This Row],[Low Tol]],"Pass","Fail")))</f>
        <v>Pass</v>
      </c>
      <c r="AG2927" s="1" t="str">
        <f>IF(AND(Table1[[#This Row],[Spec Type2]]="N/A",Table1[[#This Row],[DUT Adj Read]]="N/A",Table1[[#This Row],[Std Adj Read]]="N/A"),"N/A",IF(Table1[[#This Row],[DUT Adj Read]]="N/A",IF(Table1[[#This Row],[Std Adj Read]]&lt;=Table1[[#This Row],[High Tol]],"Pass","Fail"),IF(Table1[[#This Row],[DUT Adj Read]]&lt;=Table1[[#This Row],[High Tol]],"Pass","Fail")))</f>
        <v>Fail</v>
      </c>
      <c r="AH292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7" s="1" t="b">
        <v>0</v>
      </c>
      <c r="AN2927" s="1" t="b">
        <v>0</v>
      </c>
      <c r="AO2927" s="1" t="b">
        <v>0</v>
      </c>
    </row>
    <row r="2928" spans="1:41" x14ac:dyDescent="0.25">
      <c r="A2928" s="10"/>
      <c r="B2928" s="10"/>
      <c r="C2928" s="10"/>
      <c r="D2928" s="10"/>
      <c r="E2928" s="10"/>
      <c r="F2928" s="10"/>
      <c r="G2928" s="10"/>
      <c r="H2928" s="10"/>
      <c r="I2928" s="1" t="str">
        <f t="shared" si="135"/>
        <v/>
      </c>
      <c r="J2928" s="1" t="s">
        <v>35</v>
      </c>
      <c r="K2928" s="1" t="str">
        <f t="shared" si="136"/>
        <v/>
      </c>
      <c r="L2928" s="1" t="str">
        <f t="shared" si="137"/>
        <v/>
      </c>
      <c r="M2928" s="1">
        <f>IF(OR(Table1[[#This Row],[Std Nom]]="",Table1[[#This Row],[Std Read]]=""),0,Table1[[#This Row],[Std Nom]]-Table1[[#This Row],[Std Read]])</f>
        <v>0</v>
      </c>
      <c r="N2928" s="1">
        <f>IF(Calculations!$F$5="ACCREDITED 17025 WITH UNCERTAINTIES",$N$10,0)</f>
        <v>0</v>
      </c>
      <c r="Q2928" s="1">
        <f>Table1[[#This Row],[High Tol]]-Table1[[#This Row],[Low Tol]]</f>
        <v>0</v>
      </c>
      <c r="R2928" s="1">
        <f>2*Table1[[#This Row],[Std Error]]</f>
        <v>0</v>
      </c>
      <c r="S2928" s="1" t="str">
        <f>IF(Table1[[#This Row],[High Tol]]="","N/A",IFERROR(ABS(Table1[[#This Row],[Tol Span]]/Table1[[#This Row],[Error Span]]),"N/A"))</f>
        <v>N/A</v>
      </c>
      <c r="T2928" s="1" t="str">
        <f>IF(OR(Table1[[#This Row],[Low Tol]]="",Table1[[#This Row],[High Tol]]=""),"Needs Analysis",IF(Table1[[#This Row],[Ratio]]&gt;=4,"Not Significant",IF(Table1[[#This Row],[Ratio]]&gt;=2,"Semi-Significant","Significant")))</f>
        <v>Needs Analysis</v>
      </c>
      <c r="W2928" s="1">
        <f>IF(Table1[[#This Row],[Cal Type]]&lt;&gt;"ACCREDITED 17025 WITH UNCERTAINTIES",0,"")</f>
        <v>0</v>
      </c>
      <c r="X2928" s="1" t="str">
        <f>IF(Table1[[#This Row],[DUT Read]]="","N/A",Table1[[#This Row],[Std Error]]+Table1[[#This Row],[DUT Read]]+Table1[[#This Row],[DUT Ucty]])</f>
        <v>N/A</v>
      </c>
      <c r="Y2928" s="1" t="str">
        <f>IF(Table1[[#This Row],[Std Read]]="","N/A",Table1[[#This Row],[Std Read]]+Table1[[#This Row],[Std Ucty]])</f>
        <v>N/A</v>
      </c>
      <c r="Z292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8" s="1" t="str">
        <f>IF(Table1[[#This Row],[Spec Type]]="","N/A",Table1[[#This Row],[Spec Type]])</f>
        <v>±</v>
      </c>
      <c r="AC2928" s="1" t="str">
        <f>IF(Table1[[#This Row],[Spec Type2]]="N/A","N/A",IF(AND(Table1[[#This Row],[DUT Adj Read]]&gt;=Table1[[#This Row],[Low Tol]],Table1[[#This Row],[DUT Adj Read]]&lt;=Table1[[#This Row],[High Tol]]),"Pass","Fail"))</f>
        <v>Fail</v>
      </c>
      <c r="AD2928" s="1" t="str">
        <f>IF(AND(Table1[[#This Row],[Spec Type2]]="N/A",Table1[[#This Row],[DUT Adj Read]]="N/A",Table1[[#This Row],[Std Adj Read]]="N/A"),"N/A",IF(Table1[[#This Row],[DUT Adj Read]]="N/A",IF(Table1[[#This Row],[Std Adj Read]]&gt;Table1[[#This Row],[Low Tol]],"Pass","Fail"),IF(Table1[[#This Row],[DUT Adj Read]]&gt;Table1[[#This Row],[Low Tol]],"Pass","Fail")))</f>
        <v>Pass</v>
      </c>
      <c r="AE2928" s="1" t="str">
        <f>IF(AND(Table1[[#This Row],[Spec Type2]]="N/A",Table1[[#This Row],[DUT Adj Read]]="N/A",Table1[[#This Row],[Std Adj Read]]="N/A"),"N/A",IF(Table1[[#This Row],[DUT Adj Read]]="N/A",IF(Table1[[#This Row],[Std Adj Read]]&lt;Table1[[#This Row],[High Tol]],"Pass","Fail"),IF(Table1[[#This Row],[DUT Adj Read]]&lt;Table1[[#This Row],[High Tol]],"Pass","Fail")))</f>
        <v>Fail</v>
      </c>
      <c r="AF2928" s="1" t="str">
        <f>IF(AND(Table1[[#This Row],[Spec Type2]]="N/A",Table1[[#This Row],[DUT Adj Read]]="N/A",Table1[[#This Row],[Std Adj Read]]="N/A"),"N/A",IF(Table1[[#This Row],[DUT Adj Read]]="N/A",IF(Table1[[#This Row],[Std Adj Read]]&gt;=Table1[[#This Row],[Low Tol]],"Pass","Fail"),IF(Table1[[#This Row],[DUT Adj Read]]&gt;=Table1[[#This Row],[Low Tol]],"Pass","Fail")))</f>
        <v>Pass</v>
      </c>
      <c r="AG2928" s="1" t="str">
        <f>IF(AND(Table1[[#This Row],[Spec Type2]]="N/A",Table1[[#This Row],[DUT Adj Read]]="N/A",Table1[[#This Row],[Std Adj Read]]="N/A"),"N/A",IF(Table1[[#This Row],[DUT Adj Read]]="N/A",IF(Table1[[#This Row],[Std Adj Read]]&lt;=Table1[[#This Row],[High Tol]],"Pass","Fail"),IF(Table1[[#This Row],[DUT Adj Read]]&lt;=Table1[[#This Row],[High Tol]],"Pass","Fail")))</f>
        <v>Fail</v>
      </c>
      <c r="AH292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8" s="1" t="b">
        <v>0</v>
      </c>
      <c r="AN2928" s="1" t="b">
        <v>0</v>
      </c>
      <c r="AO2928" s="1" t="b">
        <v>0</v>
      </c>
    </row>
    <row r="2929" spans="1:41" x14ac:dyDescent="0.25">
      <c r="A2929" s="10"/>
      <c r="B2929" s="10"/>
      <c r="C2929" s="10"/>
      <c r="D2929" s="10"/>
      <c r="E2929" s="10"/>
      <c r="F2929" s="10"/>
      <c r="G2929" s="10"/>
      <c r="H2929" s="10"/>
      <c r="I2929" s="1" t="str">
        <f t="shared" si="135"/>
        <v/>
      </c>
      <c r="J2929" s="1" t="s">
        <v>35</v>
      </c>
      <c r="K2929" s="1" t="str">
        <f t="shared" si="136"/>
        <v/>
      </c>
      <c r="L2929" s="1" t="str">
        <f t="shared" si="137"/>
        <v/>
      </c>
      <c r="M2929" s="1">
        <f>IF(OR(Table1[[#This Row],[Std Nom]]="",Table1[[#This Row],[Std Read]]=""),0,Table1[[#This Row],[Std Nom]]-Table1[[#This Row],[Std Read]])</f>
        <v>0</v>
      </c>
      <c r="N2929" s="1">
        <f>IF(Calculations!$F$5="ACCREDITED 17025 WITH UNCERTAINTIES",$N$10,0)</f>
        <v>0</v>
      </c>
      <c r="Q2929" s="1">
        <f>Table1[[#This Row],[High Tol]]-Table1[[#This Row],[Low Tol]]</f>
        <v>0</v>
      </c>
      <c r="R2929" s="1">
        <f>2*Table1[[#This Row],[Std Error]]</f>
        <v>0</v>
      </c>
      <c r="S2929" s="1" t="str">
        <f>IF(Table1[[#This Row],[High Tol]]="","N/A",IFERROR(ABS(Table1[[#This Row],[Tol Span]]/Table1[[#This Row],[Error Span]]),"N/A"))</f>
        <v>N/A</v>
      </c>
      <c r="T2929" s="1" t="str">
        <f>IF(OR(Table1[[#This Row],[Low Tol]]="",Table1[[#This Row],[High Tol]]=""),"Needs Analysis",IF(Table1[[#This Row],[Ratio]]&gt;=4,"Not Significant",IF(Table1[[#This Row],[Ratio]]&gt;=2,"Semi-Significant","Significant")))</f>
        <v>Needs Analysis</v>
      </c>
      <c r="W2929" s="1">
        <f>IF(Table1[[#This Row],[Cal Type]]&lt;&gt;"ACCREDITED 17025 WITH UNCERTAINTIES",0,"")</f>
        <v>0</v>
      </c>
      <c r="X2929" s="1" t="str">
        <f>IF(Table1[[#This Row],[DUT Read]]="","N/A",Table1[[#This Row],[Std Error]]+Table1[[#This Row],[DUT Read]]+Table1[[#This Row],[DUT Ucty]])</f>
        <v>N/A</v>
      </c>
      <c r="Y2929" s="1" t="str">
        <f>IF(Table1[[#This Row],[Std Read]]="","N/A",Table1[[#This Row],[Std Read]]+Table1[[#This Row],[Std Ucty]])</f>
        <v>N/A</v>
      </c>
      <c r="Z292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29" s="1" t="str">
        <f>IF(Table1[[#This Row],[Spec Type]]="","N/A",Table1[[#This Row],[Spec Type]])</f>
        <v>±</v>
      </c>
      <c r="AC2929" s="1" t="str">
        <f>IF(Table1[[#This Row],[Spec Type2]]="N/A","N/A",IF(AND(Table1[[#This Row],[DUT Adj Read]]&gt;=Table1[[#This Row],[Low Tol]],Table1[[#This Row],[DUT Adj Read]]&lt;=Table1[[#This Row],[High Tol]]),"Pass","Fail"))</f>
        <v>Fail</v>
      </c>
      <c r="AD2929" s="1" t="str">
        <f>IF(AND(Table1[[#This Row],[Spec Type2]]="N/A",Table1[[#This Row],[DUT Adj Read]]="N/A",Table1[[#This Row],[Std Adj Read]]="N/A"),"N/A",IF(Table1[[#This Row],[DUT Adj Read]]="N/A",IF(Table1[[#This Row],[Std Adj Read]]&gt;Table1[[#This Row],[Low Tol]],"Pass","Fail"),IF(Table1[[#This Row],[DUT Adj Read]]&gt;Table1[[#This Row],[Low Tol]],"Pass","Fail")))</f>
        <v>Pass</v>
      </c>
      <c r="AE2929" s="1" t="str">
        <f>IF(AND(Table1[[#This Row],[Spec Type2]]="N/A",Table1[[#This Row],[DUT Adj Read]]="N/A",Table1[[#This Row],[Std Adj Read]]="N/A"),"N/A",IF(Table1[[#This Row],[DUT Adj Read]]="N/A",IF(Table1[[#This Row],[Std Adj Read]]&lt;Table1[[#This Row],[High Tol]],"Pass","Fail"),IF(Table1[[#This Row],[DUT Adj Read]]&lt;Table1[[#This Row],[High Tol]],"Pass","Fail")))</f>
        <v>Fail</v>
      </c>
      <c r="AF2929" s="1" t="str">
        <f>IF(AND(Table1[[#This Row],[Spec Type2]]="N/A",Table1[[#This Row],[DUT Adj Read]]="N/A",Table1[[#This Row],[Std Adj Read]]="N/A"),"N/A",IF(Table1[[#This Row],[DUT Adj Read]]="N/A",IF(Table1[[#This Row],[Std Adj Read]]&gt;=Table1[[#This Row],[Low Tol]],"Pass","Fail"),IF(Table1[[#This Row],[DUT Adj Read]]&gt;=Table1[[#This Row],[Low Tol]],"Pass","Fail")))</f>
        <v>Pass</v>
      </c>
      <c r="AG2929" s="1" t="str">
        <f>IF(AND(Table1[[#This Row],[Spec Type2]]="N/A",Table1[[#This Row],[DUT Adj Read]]="N/A",Table1[[#This Row],[Std Adj Read]]="N/A"),"N/A",IF(Table1[[#This Row],[DUT Adj Read]]="N/A",IF(Table1[[#This Row],[Std Adj Read]]&lt;=Table1[[#This Row],[High Tol]],"Pass","Fail"),IF(Table1[[#This Row],[DUT Adj Read]]&lt;=Table1[[#This Row],[High Tol]],"Pass","Fail")))</f>
        <v>Fail</v>
      </c>
      <c r="AH292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29" s="1" t="b">
        <v>0</v>
      </c>
      <c r="AN2929" s="1" t="b">
        <v>0</v>
      </c>
      <c r="AO2929" s="1" t="b">
        <v>0</v>
      </c>
    </row>
    <row r="2930" spans="1:41" x14ac:dyDescent="0.25">
      <c r="A2930" s="10"/>
      <c r="B2930" s="10"/>
      <c r="C2930" s="10"/>
      <c r="D2930" s="10"/>
      <c r="E2930" s="10"/>
      <c r="F2930" s="10"/>
      <c r="G2930" s="10"/>
      <c r="H2930" s="10"/>
      <c r="I2930" s="1" t="str">
        <f t="shared" si="135"/>
        <v/>
      </c>
      <c r="J2930" s="1" t="s">
        <v>35</v>
      </c>
      <c r="K2930" s="1" t="str">
        <f t="shared" si="136"/>
        <v/>
      </c>
      <c r="L2930" s="1" t="str">
        <f t="shared" si="137"/>
        <v/>
      </c>
      <c r="M2930" s="1">
        <f>IF(OR(Table1[[#This Row],[Std Nom]]="",Table1[[#This Row],[Std Read]]=""),0,Table1[[#This Row],[Std Nom]]-Table1[[#This Row],[Std Read]])</f>
        <v>0</v>
      </c>
      <c r="N2930" s="1">
        <f>IF(Calculations!$F$5="ACCREDITED 17025 WITH UNCERTAINTIES",$N$10,0)</f>
        <v>0</v>
      </c>
      <c r="Q2930" s="1">
        <f>Table1[[#This Row],[High Tol]]-Table1[[#This Row],[Low Tol]]</f>
        <v>0</v>
      </c>
      <c r="R2930" s="1">
        <f>2*Table1[[#This Row],[Std Error]]</f>
        <v>0</v>
      </c>
      <c r="S2930" s="1" t="str">
        <f>IF(Table1[[#This Row],[High Tol]]="","N/A",IFERROR(ABS(Table1[[#This Row],[Tol Span]]/Table1[[#This Row],[Error Span]]),"N/A"))</f>
        <v>N/A</v>
      </c>
      <c r="T2930" s="1" t="str">
        <f>IF(OR(Table1[[#This Row],[Low Tol]]="",Table1[[#This Row],[High Tol]]=""),"Needs Analysis",IF(Table1[[#This Row],[Ratio]]&gt;=4,"Not Significant",IF(Table1[[#This Row],[Ratio]]&gt;=2,"Semi-Significant","Significant")))</f>
        <v>Needs Analysis</v>
      </c>
      <c r="W2930" s="1">
        <f>IF(Table1[[#This Row],[Cal Type]]&lt;&gt;"ACCREDITED 17025 WITH UNCERTAINTIES",0,"")</f>
        <v>0</v>
      </c>
      <c r="X2930" s="1" t="str">
        <f>IF(Table1[[#This Row],[DUT Read]]="","N/A",Table1[[#This Row],[Std Error]]+Table1[[#This Row],[DUT Read]]+Table1[[#This Row],[DUT Ucty]])</f>
        <v>N/A</v>
      </c>
      <c r="Y2930" s="1" t="str">
        <f>IF(Table1[[#This Row],[Std Read]]="","N/A",Table1[[#This Row],[Std Read]]+Table1[[#This Row],[Std Ucty]])</f>
        <v>N/A</v>
      </c>
      <c r="Z293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0" s="1" t="str">
        <f>IF(Table1[[#This Row],[Spec Type]]="","N/A",Table1[[#This Row],[Spec Type]])</f>
        <v>±</v>
      </c>
      <c r="AC2930" s="1" t="str">
        <f>IF(Table1[[#This Row],[Spec Type2]]="N/A","N/A",IF(AND(Table1[[#This Row],[DUT Adj Read]]&gt;=Table1[[#This Row],[Low Tol]],Table1[[#This Row],[DUT Adj Read]]&lt;=Table1[[#This Row],[High Tol]]),"Pass","Fail"))</f>
        <v>Fail</v>
      </c>
      <c r="AD2930" s="1" t="str">
        <f>IF(AND(Table1[[#This Row],[Spec Type2]]="N/A",Table1[[#This Row],[DUT Adj Read]]="N/A",Table1[[#This Row],[Std Adj Read]]="N/A"),"N/A",IF(Table1[[#This Row],[DUT Adj Read]]="N/A",IF(Table1[[#This Row],[Std Adj Read]]&gt;Table1[[#This Row],[Low Tol]],"Pass","Fail"),IF(Table1[[#This Row],[DUT Adj Read]]&gt;Table1[[#This Row],[Low Tol]],"Pass","Fail")))</f>
        <v>Pass</v>
      </c>
      <c r="AE2930" s="1" t="str">
        <f>IF(AND(Table1[[#This Row],[Spec Type2]]="N/A",Table1[[#This Row],[DUT Adj Read]]="N/A",Table1[[#This Row],[Std Adj Read]]="N/A"),"N/A",IF(Table1[[#This Row],[DUT Adj Read]]="N/A",IF(Table1[[#This Row],[Std Adj Read]]&lt;Table1[[#This Row],[High Tol]],"Pass","Fail"),IF(Table1[[#This Row],[DUT Adj Read]]&lt;Table1[[#This Row],[High Tol]],"Pass","Fail")))</f>
        <v>Fail</v>
      </c>
      <c r="AF2930" s="1" t="str">
        <f>IF(AND(Table1[[#This Row],[Spec Type2]]="N/A",Table1[[#This Row],[DUT Adj Read]]="N/A",Table1[[#This Row],[Std Adj Read]]="N/A"),"N/A",IF(Table1[[#This Row],[DUT Adj Read]]="N/A",IF(Table1[[#This Row],[Std Adj Read]]&gt;=Table1[[#This Row],[Low Tol]],"Pass","Fail"),IF(Table1[[#This Row],[DUT Adj Read]]&gt;=Table1[[#This Row],[Low Tol]],"Pass","Fail")))</f>
        <v>Pass</v>
      </c>
      <c r="AG2930" s="1" t="str">
        <f>IF(AND(Table1[[#This Row],[Spec Type2]]="N/A",Table1[[#This Row],[DUT Adj Read]]="N/A",Table1[[#This Row],[Std Adj Read]]="N/A"),"N/A",IF(Table1[[#This Row],[DUT Adj Read]]="N/A",IF(Table1[[#This Row],[Std Adj Read]]&lt;=Table1[[#This Row],[High Tol]],"Pass","Fail"),IF(Table1[[#This Row],[DUT Adj Read]]&lt;=Table1[[#This Row],[High Tol]],"Pass","Fail")))</f>
        <v>Fail</v>
      </c>
      <c r="AH293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0" s="1" t="b">
        <v>0</v>
      </c>
      <c r="AN2930" s="1" t="b">
        <v>0</v>
      </c>
      <c r="AO2930" s="1" t="b">
        <v>0</v>
      </c>
    </row>
    <row r="2931" spans="1:41" x14ac:dyDescent="0.25">
      <c r="A2931" s="10"/>
      <c r="B2931" s="10"/>
      <c r="C2931" s="10"/>
      <c r="D2931" s="10"/>
      <c r="E2931" s="10"/>
      <c r="F2931" s="10"/>
      <c r="G2931" s="10"/>
      <c r="H2931" s="10"/>
      <c r="I2931" s="1" t="str">
        <f t="shared" si="135"/>
        <v/>
      </c>
      <c r="J2931" s="1" t="s">
        <v>35</v>
      </c>
      <c r="K2931" s="1" t="str">
        <f t="shared" si="136"/>
        <v/>
      </c>
      <c r="L2931" s="1" t="str">
        <f t="shared" si="137"/>
        <v/>
      </c>
      <c r="M2931" s="1">
        <f>IF(OR(Table1[[#This Row],[Std Nom]]="",Table1[[#This Row],[Std Read]]=""),0,Table1[[#This Row],[Std Nom]]-Table1[[#This Row],[Std Read]])</f>
        <v>0</v>
      </c>
      <c r="N2931" s="1">
        <f>IF(Calculations!$F$5="ACCREDITED 17025 WITH UNCERTAINTIES",$N$10,0)</f>
        <v>0</v>
      </c>
      <c r="Q2931" s="1">
        <f>Table1[[#This Row],[High Tol]]-Table1[[#This Row],[Low Tol]]</f>
        <v>0</v>
      </c>
      <c r="R2931" s="1">
        <f>2*Table1[[#This Row],[Std Error]]</f>
        <v>0</v>
      </c>
      <c r="S2931" s="1" t="str">
        <f>IF(Table1[[#This Row],[High Tol]]="","N/A",IFERROR(ABS(Table1[[#This Row],[Tol Span]]/Table1[[#This Row],[Error Span]]),"N/A"))</f>
        <v>N/A</v>
      </c>
      <c r="T2931" s="1" t="str">
        <f>IF(OR(Table1[[#This Row],[Low Tol]]="",Table1[[#This Row],[High Tol]]=""),"Needs Analysis",IF(Table1[[#This Row],[Ratio]]&gt;=4,"Not Significant",IF(Table1[[#This Row],[Ratio]]&gt;=2,"Semi-Significant","Significant")))</f>
        <v>Needs Analysis</v>
      </c>
      <c r="W2931" s="1">
        <f>IF(Table1[[#This Row],[Cal Type]]&lt;&gt;"ACCREDITED 17025 WITH UNCERTAINTIES",0,"")</f>
        <v>0</v>
      </c>
      <c r="X2931" s="1" t="str">
        <f>IF(Table1[[#This Row],[DUT Read]]="","N/A",Table1[[#This Row],[Std Error]]+Table1[[#This Row],[DUT Read]]+Table1[[#This Row],[DUT Ucty]])</f>
        <v>N/A</v>
      </c>
      <c r="Y2931" s="1" t="str">
        <f>IF(Table1[[#This Row],[Std Read]]="","N/A",Table1[[#This Row],[Std Read]]+Table1[[#This Row],[Std Ucty]])</f>
        <v>N/A</v>
      </c>
      <c r="Z293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1" s="1" t="str">
        <f>IF(Table1[[#This Row],[Spec Type]]="","N/A",Table1[[#This Row],[Spec Type]])</f>
        <v>±</v>
      </c>
      <c r="AC2931" s="1" t="str">
        <f>IF(Table1[[#This Row],[Spec Type2]]="N/A","N/A",IF(AND(Table1[[#This Row],[DUT Adj Read]]&gt;=Table1[[#This Row],[Low Tol]],Table1[[#This Row],[DUT Adj Read]]&lt;=Table1[[#This Row],[High Tol]]),"Pass","Fail"))</f>
        <v>Fail</v>
      </c>
      <c r="AD2931" s="1" t="str">
        <f>IF(AND(Table1[[#This Row],[Spec Type2]]="N/A",Table1[[#This Row],[DUT Adj Read]]="N/A",Table1[[#This Row],[Std Adj Read]]="N/A"),"N/A",IF(Table1[[#This Row],[DUT Adj Read]]="N/A",IF(Table1[[#This Row],[Std Adj Read]]&gt;Table1[[#This Row],[Low Tol]],"Pass","Fail"),IF(Table1[[#This Row],[DUT Adj Read]]&gt;Table1[[#This Row],[Low Tol]],"Pass","Fail")))</f>
        <v>Pass</v>
      </c>
      <c r="AE2931" s="1" t="str">
        <f>IF(AND(Table1[[#This Row],[Spec Type2]]="N/A",Table1[[#This Row],[DUT Adj Read]]="N/A",Table1[[#This Row],[Std Adj Read]]="N/A"),"N/A",IF(Table1[[#This Row],[DUT Adj Read]]="N/A",IF(Table1[[#This Row],[Std Adj Read]]&lt;Table1[[#This Row],[High Tol]],"Pass","Fail"),IF(Table1[[#This Row],[DUT Adj Read]]&lt;Table1[[#This Row],[High Tol]],"Pass","Fail")))</f>
        <v>Fail</v>
      </c>
      <c r="AF2931" s="1" t="str">
        <f>IF(AND(Table1[[#This Row],[Spec Type2]]="N/A",Table1[[#This Row],[DUT Adj Read]]="N/A",Table1[[#This Row],[Std Adj Read]]="N/A"),"N/A",IF(Table1[[#This Row],[DUT Adj Read]]="N/A",IF(Table1[[#This Row],[Std Adj Read]]&gt;=Table1[[#This Row],[Low Tol]],"Pass","Fail"),IF(Table1[[#This Row],[DUT Adj Read]]&gt;=Table1[[#This Row],[Low Tol]],"Pass","Fail")))</f>
        <v>Pass</v>
      </c>
      <c r="AG2931" s="1" t="str">
        <f>IF(AND(Table1[[#This Row],[Spec Type2]]="N/A",Table1[[#This Row],[DUT Adj Read]]="N/A",Table1[[#This Row],[Std Adj Read]]="N/A"),"N/A",IF(Table1[[#This Row],[DUT Adj Read]]="N/A",IF(Table1[[#This Row],[Std Adj Read]]&lt;=Table1[[#This Row],[High Tol]],"Pass","Fail"),IF(Table1[[#This Row],[DUT Adj Read]]&lt;=Table1[[#This Row],[High Tol]],"Pass","Fail")))</f>
        <v>Fail</v>
      </c>
      <c r="AH293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1" s="1" t="b">
        <v>0</v>
      </c>
      <c r="AN2931" s="1" t="b">
        <v>0</v>
      </c>
      <c r="AO2931" s="1" t="b">
        <v>0</v>
      </c>
    </row>
    <row r="2932" spans="1:41" x14ac:dyDescent="0.25">
      <c r="A2932" s="10"/>
      <c r="B2932" s="10"/>
      <c r="C2932" s="10"/>
      <c r="D2932" s="10"/>
      <c r="E2932" s="10"/>
      <c r="F2932" s="10"/>
      <c r="G2932" s="10"/>
      <c r="H2932" s="10"/>
      <c r="I2932" s="1" t="str">
        <f t="shared" si="135"/>
        <v/>
      </c>
      <c r="J2932" s="1" t="s">
        <v>35</v>
      </c>
      <c r="K2932" s="1" t="str">
        <f t="shared" si="136"/>
        <v/>
      </c>
      <c r="L2932" s="1" t="str">
        <f t="shared" si="137"/>
        <v/>
      </c>
      <c r="M2932" s="1">
        <f>IF(OR(Table1[[#This Row],[Std Nom]]="",Table1[[#This Row],[Std Read]]=""),0,Table1[[#This Row],[Std Nom]]-Table1[[#This Row],[Std Read]])</f>
        <v>0</v>
      </c>
      <c r="N2932" s="1">
        <f>IF(Calculations!$F$5="ACCREDITED 17025 WITH UNCERTAINTIES",$N$10,0)</f>
        <v>0</v>
      </c>
      <c r="Q2932" s="1">
        <f>Table1[[#This Row],[High Tol]]-Table1[[#This Row],[Low Tol]]</f>
        <v>0</v>
      </c>
      <c r="R2932" s="1">
        <f>2*Table1[[#This Row],[Std Error]]</f>
        <v>0</v>
      </c>
      <c r="S2932" s="1" t="str">
        <f>IF(Table1[[#This Row],[High Tol]]="","N/A",IFERROR(ABS(Table1[[#This Row],[Tol Span]]/Table1[[#This Row],[Error Span]]),"N/A"))</f>
        <v>N/A</v>
      </c>
      <c r="T2932" s="1" t="str">
        <f>IF(OR(Table1[[#This Row],[Low Tol]]="",Table1[[#This Row],[High Tol]]=""),"Needs Analysis",IF(Table1[[#This Row],[Ratio]]&gt;=4,"Not Significant",IF(Table1[[#This Row],[Ratio]]&gt;=2,"Semi-Significant","Significant")))</f>
        <v>Needs Analysis</v>
      </c>
      <c r="W2932" s="1">
        <f>IF(Table1[[#This Row],[Cal Type]]&lt;&gt;"ACCREDITED 17025 WITH UNCERTAINTIES",0,"")</f>
        <v>0</v>
      </c>
      <c r="X2932" s="1" t="str">
        <f>IF(Table1[[#This Row],[DUT Read]]="","N/A",Table1[[#This Row],[Std Error]]+Table1[[#This Row],[DUT Read]]+Table1[[#This Row],[DUT Ucty]])</f>
        <v>N/A</v>
      </c>
      <c r="Y2932" s="1" t="str">
        <f>IF(Table1[[#This Row],[Std Read]]="","N/A",Table1[[#This Row],[Std Read]]+Table1[[#This Row],[Std Ucty]])</f>
        <v>N/A</v>
      </c>
      <c r="Z293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2" s="1" t="str">
        <f>IF(Table1[[#This Row],[Spec Type]]="","N/A",Table1[[#This Row],[Spec Type]])</f>
        <v>±</v>
      </c>
      <c r="AC2932" s="1" t="str">
        <f>IF(Table1[[#This Row],[Spec Type2]]="N/A","N/A",IF(AND(Table1[[#This Row],[DUT Adj Read]]&gt;=Table1[[#This Row],[Low Tol]],Table1[[#This Row],[DUT Adj Read]]&lt;=Table1[[#This Row],[High Tol]]),"Pass","Fail"))</f>
        <v>Fail</v>
      </c>
      <c r="AD2932" s="1" t="str">
        <f>IF(AND(Table1[[#This Row],[Spec Type2]]="N/A",Table1[[#This Row],[DUT Adj Read]]="N/A",Table1[[#This Row],[Std Adj Read]]="N/A"),"N/A",IF(Table1[[#This Row],[DUT Adj Read]]="N/A",IF(Table1[[#This Row],[Std Adj Read]]&gt;Table1[[#This Row],[Low Tol]],"Pass","Fail"),IF(Table1[[#This Row],[DUT Adj Read]]&gt;Table1[[#This Row],[Low Tol]],"Pass","Fail")))</f>
        <v>Pass</v>
      </c>
      <c r="AE2932" s="1" t="str">
        <f>IF(AND(Table1[[#This Row],[Spec Type2]]="N/A",Table1[[#This Row],[DUT Adj Read]]="N/A",Table1[[#This Row],[Std Adj Read]]="N/A"),"N/A",IF(Table1[[#This Row],[DUT Adj Read]]="N/A",IF(Table1[[#This Row],[Std Adj Read]]&lt;Table1[[#This Row],[High Tol]],"Pass","Fail"),IF(Table1[[#This Row],[DUT Adj Read]]&lt;Table1[[#This Row],[High Tol]],"Pass","Fail")))</f>
        <v>Fail</v>
      </c>
      <c r="AF2932" s="1" t="str">
        <f>IF(AND(Table1[[#This Row],[Spec Type2]]="N/A",Table1[[#This Row],[DUT Adj Read]]="N/A",Table1[[#This Row],[Std Adj Read]]="N/A"),"N/A",IF(Table1[[#This Row],[DUT Adj Read]]="N/A",IF(Table1[[#This Row],[Std Adj Read]]&gt;=Table1[[#This Row],[Low Tol]],"Pass","Fail"),IF(Table1[[#This Row],[DUT Adj Read]]&gt;=Table1[[#This Row],[Low Tol]],"Pass","Fail")))</f>
        <v>Pass</v>
      </c>
      <c r="AG2932" s="1" t="str">
        <f>IF(AND(Table1[[#This Row],[Spec Type2]]="N/A",Table1[[#This Row],[DUT Adj Read]]="N/A",Table1[[#This Row],[Std Adj Read]]="N/A"),"N/A",IF(Table1[[#This Row],[DUT Adj Read]]="N/A",IF(Table1[[#This Row],[Std Adj Read]]&lt;=Table1[[#This Row],[High Tol]],"Pass","Fail"),IF(Table1[[#This Row],[DUT Adj Read]]&lt;=Table1[[#This Row],[High Tol]],"Pass","Fail")))</f>
        <v>Fail</v>
      </c>
      <c r="AH293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2" s="1" t="b">
        <v>0</v>
      </c>
      <c r="AN2932" s="1" t="b">
        <v>0</v>
      </c>
      <c r="AO2932" s="1" t="b">
        <v>0</v>
      </c>
    </row>
    <row r="2933" spans="1:41" x14ac:dyDescent="0.25">
      <c r="A2933" s="10"/>
      <c r="B2933" s="10"/>
      <c r="C2933" s="10"/>
      <c r="D2933" s="10"/>
      <c r="E2933" s="10"/>
      <c r="F2933" s="10"/>
      <c r="G2933" s="10"/>
      <c r="H2933" s="10"/>
      <c r="I2933" s="1" t="str">
        <f t="shared" si="135"/>
        <v/>
      </c>
      <c r="J2933" s="1" t="s">
        <v>35</v>
      </c>
      <c r="K2933" s="1" t="str">
        <f t="shared" si="136"/>
        <v/>
      </c>
      <c r="L2933" s="1" t="str">
        <f t="shared" si="137"/>
        <v/>
      </c>
      <c r="M2933" s="1">
        <f>IF(OR(Table1[[#This Row],[Std Nom]]="",Table1[[#This Row],[Std Read]]=""),0,Table1[[#This Row],[Std Nom]]-Table1[[#This Row],[Std Read]])</f>
        <v>0</v>
      </c>
      <c r="N2933" s="1">
        <f>IF(Calculations!$F$5="ACCREDITED 17025 WITH UNCERTAINTIES",$N$10,0)</f>
        <v>0</v>
      </c>
      <c r="Q2933" s="1">
        <f>Table1[[#This Row],[High Tol]]-Table1[[#This Row],[Low Tol]]</f>
        <v>0</v>
      </c>
      <c r="R2933" s="1">
        <f>2*Table1[[#This Row],[Std Error]]</f>
        <v>0</v>
      </c>
      <c r="S2933" s="1" t="str">
        <f>IF(Table1[[#This Row],[High Tol]]="","N/A",IFERROR(ABS(Table1[[#This Row],[Tol Span]]/Table1[[#This Row],[Error Span]]),"N/A"))</f>
        <v>N/A</v>
      </c>
      <c r="T2933" s="1" t="str">
        <f>IF(OR(Table1[[#This Row],[Low Tol]]="",Table1[[#This Row],[High Tol]]=""),"Needs Analysis",IF(Table1[[#This Row],[Ratio]]&gt;=4,"Not Significant",IF(Table1[[#This Row],[Ratio]]&gt;=2,"Semi-Significant","Significant")))</f>
        <v>Needs Analysis</v>
      </c>
      <c r="W2933" s="1">
        <f>IF(Table1[[#This Row],[Cal Type]]&lt;&gt;"ACCREDITED 17025 WITH UNCERTAINTIES",0,"")</f>
        <v>0</v>
      </c>
      <c r="X2933" s="1" t="str">
        <f>IF(Table1[[#This Row],[DUT Read]]="","N/A",Table1[[#This Row],[Std Error]]+Table1[[#This Row],[DUT Read]]+Table1[[#This Row],[DUT Ucty]])</f>
        <v>N/A</v>
      </c>
      <c r="Y2933" s="1" t="str">
        <f>IF(Table1[[#This Row],[Std Read]]="","N/A",Table1[[#This Row],[Std Read]]+Table1[[#This Row],[Std Ucty]])</f>
        <v>N/A</v>
      </c>
      <c r="Z293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3" s="1" t="str">
        <f>IF(Table1[[#This Row],[Spec Type]]="","N/A",Table1[[#This Row],[Spec Type]])</f>
        <v>±</v>
      </c>
      <c r="AC2933" s="1" t="str">
        <f>IF(Table1[[#This Row],[Spec Type2]]="N/A","N/A",IF(AND(Table1[[#This Row],[DUT Adj Read]]&gt;=Table1[[#This Row],[Low Tol]],Table1[[#This Row],[DUT Adj Read]]&lt;=Table1[[#This Row],[High Tol]]),"Pass","Fail"))</f>
        <v>Fail</v>
      </c>
      <c r="AD2933" s="1" t="str">
        <f>IF(AND(Table1[[#This Row],[Spec Type2]]="N/A",Table1[[#This Row],[DUT Adj Read]]="N/A",Table1[[#This Row],[Std Adj Read]]="N/A"),"N/A",IF(Table1[[#This Row],[DUT Adj Read]]="N/A",IF(Table1[[#This Row],[Std Adj Read]]&gt;Table1[[#This Row],[Low Tol]],"Pass","Fail"),IF(Table1[[#This Row],[DUT Adj Read]]&gt;Table1[[#This Row],[Low Tol]],"Pass","Fail")))</f>
        <v>Pass</v>
      </c>
      <c r="AE2933" s="1" t="str">
        <f>IF(AND(Table1[[#This Row],[Spec Type2]]="N/A",Table1[[#This Row],[DUT Adj Read]]="N/A",Table1[[#This Row],[Std Adj Read]]="N/A"),"N/A",IF(Table1[[#This Row],[DUT Adj Read]]="N/A",IF(Table1[[#This Row],[Std Adj Read]]&lt;Table1[[#This Row],[High Tol]],"Pass","Fail"),IF(Table1[[#This Row],[DUT Adj Read]]&lt;Table1[[#This Row],[High Tol]],"Pass","Fail")))</f>
        <v>Fail</v>
      </c>
      <c r="AF2933" s="1" t="str">
        <f>IF(AND(Table1[[#This Row],[Spec Type2]]="N/A",Table1[[#This Row],[DUT Adj Read]]="N/A",Table1[[#This Row],[Std Adj Read]]="N/A"),"N/A",IF(Table1[[#This Row],[DUT Adj Read]]="N/A",IF(Table1[[#This Row],[Std Adj Read]]&gt;=Table1[[#This Row],[Low Tol]],"Pass","Fail"),IF(Table1[[#This Row],[DUT Adj Read]]&gt;=Table1[[#This Row],[Low Tol]],"Pass","Fail")))</f>
        <v>Pass</v>
      </c>
      <c r="AG2933" s="1" t="str">
        <f>IF(AND(Table1[[#This Row],[Spec Type2]]="N/A",Table1[[#This Row],[DUT Adj Read]]="N/A",Table1[[#This Row],[Std Adj Read]]="N/A"),"N/A",IF(Table1[[#This Row],[DUT Adj Read]]="N/A",IF(Table1[[#This Row],[Std Adj Read]]&lt;=Table1[[#This Row],[High Tol]],"Pass","Fail"),IF(Table1[[#This Row],[DUT Adj Read]]&lt;=Table1[[#This Row],[High Tol]],"Pass","Fail")))</f>
        <v>Fail</v>
      </c>
      <c r="AH293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3" s="1" t="b">
        <v>0</v>
      </c>
      <c r="AN2933" s="1" t="b">
        <v>0</v>
      </c>
      <c r="AO2933" s="1" t="b">
        <v>0</v>
      </c>
    </row>
    <row r="2934" spans="1:41" x14ac:dyDescent="0.25">
      <c r="A2934" s="10"/>
      <c r="B2934" s="10"/>
      <c r="C2934" s="10"/>
      <c r="D2934" s="10"/>
      <c r="E2934" s="10"/>
      <c r="F2934" s="10"/>
      <c r="G2934" s="10"/>
      <c r="H2934" s="10"/>
      <c r="I2934" s="1" t="str">
        <f t="shared" si="135"/>
        <v/>
      </c>
      <c r="J2934" s="1" t="s">
        <v>35</v>
      </c>
      <c r="K2934" s="1" t="str">
        <f t="shared" si="136"/>
        <v/>
      </c>
      <c r="L2934" s="1" t="str">
        <f t="shared" si="137"/>
        <v/>
      </c>
      <c r="M2934" s="1">
        <f>IF(OR(Table1[[#This Row],[Std Nom]]="",Table1[[#This Row],[Std Read]]=""),0,Table1[[#This Row],[Std Nom]]-Table1[[#This Row],[Std Read]])</f>
        <v>0</v>
      </c>
      <c r="N2934" s="1">
        <f>IF(Calculations!$F$5="ACCREDITED 17025 WITH UNCERTAINTIES",$N$10,0)</f>
        <v>0</v>
      </c>
      <c r="Q2934" s="1">
        <f>Table1[[#This Row],[High Tol]]-Table1[[#This Row],[Low Tol]]</f>
        <v>0</v>
      </c>
      <c r="R2934" s="1">
        <f>2*Table1[[#This Row],[Std Error]]</f>
        <v>0</v>
      </c>
      <c r="S2934" s="1" t="str">
        <f>IF(Table1[[#This Row],[High Tol]]="","N/A",IFERROR(ABS(Table1[[#This Row],[Tol Span]]/Table1[[#This Row],[Error Span]]),"N/A"))</f>
        <v>N/A</v>
      </c>
      <c r="T2934" s="1" t="str">
        <f>IF(OR(Table1[[#This Row],[Low Tol]]="",Table1[[#This Row],[High Tol]]=""),"Needs Analysis",IF(Table1[[#This Row],[Ratio]]&gt;=4,"Not Significant",IF(Table1[[#This Row],[Ratio]]&gt;=2,"Semi-Significant","Significant")))</f>
        <v>Needs Analysis</v>
      </c>
      <c r="W2934" s="1">
        <f>IF(Table1[[#This Row],[Cal Type]]&lt;&gt;"ACCREDITED 17025 WITH UNCERTAINTIES",0,"")</f>
        <v>0</v>
      </c>
      <c r="X2934" s="1" t="str">
        <f>IF(Table1[[#This Row],[DUT Read]]="","N/A",Table1[[#This Row],[Std Error]]+Table1[[#This Row],[DUT Read]]+Table1[[#This Row],[DUT Ucty]])</f>
        <v>N/A</v>
      </c>
      <c r="Y2934" s="1" t="str">
        <f>IF(Table1[[#This Row],[Std Read]]="","N/A",Table1[[#This Row],[Std Read]]+Table1[[#This Row],[Std Ucty]])</f>
        <v>N/A</v>
      </c>
      <c r="Z293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4" s="1" t="str">
        <f>IF(Table1[[#This Row],[Spec Type]]="","N/A",Table1[[#This Row],[Spec Type]])</f>
        <v>±</v>
      </c>
      <c r="AC2934" s="1" t="str">
        <f>IF(Table1[[#This Row],[Spec Type2]]="N/A","N/A",IF(AND(Table1[[#This Row],[DUT Adj Read]]&gt;=Table1[[#This Row],[Low Tol]],Table1[[#This Row],[DUT Adj Read]]&lt;=Table1[[#This Row],[High Tol]]),"Pass","Fail"))</f>
        <v>Fail</v>
      </c>
      <c r="AD2934" s="1" t="str">
        <f>IF(AND(Table1[[#This Row],[Spec Type2]]="N/A",Table1[[#This Row],[DUT Adj Read]]="N/A",Table1[[#This Row],[Std Adj Read]]="N/A"),"N/A",IF(Table1[[#This Row],[DUT Adj Read]]="N/A",IF(Table1[[#This Row],[Std Adj Read]]&gt;Table1[[#This Row],[Low Tol]],"Pass","Fail"),IF(Table1[[#This Row],[DUT Adj Read]]&gt;Table1[[#This Row],[Low Tol]],"Pass","Fail")))</f>
        <v>Pass</v>
      </c>
      <c r="AE2934" s="1" t="str">
        <f>IF(AND(Table1[[#This Row],[Spec Type2]]="N/A",Table1[[#This Row],[DUT Adj Read]]="N/A",Table1[[#This Row],[Std Adj Read]]="N/A"),"N/A",IF(Table1[[#This Row],[DUT Adj Read]]="N/A",IF(Table1[[#This Row],[Std Adj Read]]&lt;Table1[[#This Row],[High Tol]],"Pass","Fail"),IF(Table1[[#This Row],[DUT Adj Read]]&lt;Table1[[#This Row],[High Tol]],"Pass","Fail")))</f>
        <v>Fail</v>
      </c>
      <c r="AF2934" s="1" t="str">
        <f>IF(AND(Table1[[#This Row],[Spec Type2]]="N/A",Table1[[#This Row],[DUT Adj Read]]="N/A",Table1[[#This Row],[Std Adj Read]]="N/A"),"N/A",IF(Table1[[#This Row],[DUT Adj Read]]="N/A",IF(Table1[[#This Row],[Std Adj Read]]&gt;=Table1[[#This Row],[Low Tol]],"Pass","Fail"),IF(Table1[[#This Row],[DUT Adj Read]]&gt;=Table1[[#This Row],[Low Tol]],"Pass","Fail")))</f>
        <v>Pass</v>
      </c>
      <c r="AG2934" s="1" t="str">
        <f>IF(AND(Table1[[#This Row],[Spec Type2]]="N/A",Table1[[#This Row],[DUT Adj Read]]="N/A",Table1[[#This Row],[Std Adj Read]]="N/A"),"N/A",IF(Table1[[#This Row],[DUT Adj Read]]="N/A",IF(Table1[[#This Row],[Std Adj Read]]&lt;=Table1[[#This Row],[High Tol]],"Pass","Fail"),IF(Table1[[#This Row],[DUT Adj Read]]&lt;=Table1[[#This Row],[High Tol]],"Pass","Fail")))</f>
        <v>Fail</v>
      </c>
      <c r="AH293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4" s="1" t="b">
        <v>0</v>
      </c>
      <c r="AN2934" s="1" t="b">
        <v>0</v>
      </c>
      <c r="AO2934" s="1" t="b">
        <v>0</v>
      </c>
    </row>
    <row r="2935" spans="1:41" x14ac:dyDescent="0.25">
      <c r="A2935" s="10"/>
      <c r="B2935" s="10"/>
      <c r="C2935" s="10"/>
      <c r="D2935" s="10"/>
      <c r="E2935" s="10"/>
      <c r="F2935" s="10"/>
      <c r="G2935" s="10"/>
      <c r="H2935" s="10"/>
      <c r="I2935" s="1" t="str">
        <f t="shared" si="135"/>
        <v/>
      </c>
      <c r="J2935" s="1" t="s">
        <v>35</v>
      </c>
      <c r="K2935" s="1" t="str">
        <f t="shared" si="136"/>
        <v/>
      </c>
      <c r="L2935" s="1" t="str">
        <f t="shared" si="137"/>
        <v/>
      </c>
      <c r="M2935" s="1">
        <f>IF(OR(Table1[[#This Row],[Std Nom]]="",Table1[[#This Row],[Std Read]]=""),0,Table1[[#This Row],[Std Nom]]-Table1[[#This Row],[Std Read]])</f>
        <v>0</v>
      </c>
      <c r="N2935" s="1">
        <f>IF(Calculations!$F$5="ACCREDITED 17025 WITH UNCERTAINTIES",$N$10,0)</f>
        <v>0</v>
      </c>
      <c r="Q2935" s="1">
        <f>Table1[[#This Row],[High Tol]]-Table1[[#This Row],[Low Tol]]</f>
        <v>0</v>
      </c>
      <c r="R2935" s="1">
        <f>2*Table1[[#This Row],[Std Error]]</f>
        <v>0</v>
      </c>
      <c r="S2935" s="1" t="str">
        <f>IF(Table1[[#This Row],[High Tol]]="","N/A",IFERROR(ABS(Table1[[#This Row],[Tol Span]]/Table1[[#This Row],[Error Span]]),"N/A"))</f>
        <v>N/A</v>
      </c>
      <c r="T2935" s="1" t="str">
        <f>IF(OR(Table1[[#This Row],[Low Tol]]="",Table1[[#This Row],[High Tol]]=""),"Needs Analysis",IF(Table1[[#This Row],[Ratio]]&gt;=4,"Not Significant",IF(Table1[[#This Row],[Ratio]]&gt;=2,"Semi-Significant","Significant")))</f>
        <v>Needs Analysis</v>
      </c>
      <c r="W2935" s="1">
        <f>IF(Table1[[#This Row],[Cal Type]]&lt;&gt;"ACCREDITED 17025 WITH UNCERTAINTIES",0,"")</f>
        <v>0</v>
      </c>
      <c r="X2935" s="1" t="str">
        <f>IF(Table1[[#This Row],[DUT Read]]="","N/A",Table1[[#This Row],[Std Error]]+Table1[[#This Row],[DUT Read]]+Table1[[#This Row],[DUT Ucty]])</f>
        <v>N/A</v>
      </c>
      <c r="Y2935" s="1" t="str">
        <f>IF(Table1[[#This Row],[Std Read]]="","N/A",Table1[[#This Row],[Std Read]]+Table1[[#This Row],[Std Ucty]])</f>
        <v>N/A</v>
      </c>
      <c r="Z293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5" s="1" t="str">
        <f>IF(Table1[[#This Row],[Spec Type]]="","N/A",Table1[[#This Row],[Spec Type]])</f>
        <v>±</v>
      </c>
      <c r="AC2935" s="1" t="str">
        <f>IF(Table1[[#This Row],[Spec Type2]]="N/A","N/A",IF(AND(Table1[[#This Row],[DUT Adj Read]]&gt;=Table1[[#This Row],[Low Tol]],Table1[[#This Row],[DUT Adj Read]]&lt;=Table1[[#This Row],[High Tol]]),"Pass","Fail"))</f>
        <v>Fail</v>
      </c>
      <c r="AD2935" s="1" t="str">
        <f>IF(AND(Table1[[#This Row],[Spec Type2]]="N/A",Table1[[#This Row],[DUT Adj Read]]="N/A",Table1[[#This Row],[Std Adj Read]]="N/A"),"N/A",IF(Table1[[#This Row],[DUT Adj Read]]="N/A",IF(Table1[[#This Row],[Std Adj Read]]&gt;Table1[[#This Row],[Low Tol]],"Pass","Fail"),IF(Table1[[#This Row],[DUT Adj Read]]&gt;Table1[[#This Row],[Low Tol]],"Pass","Fail")))</f>
        <v>Pass</v>
      </c>
      <c r="AE2935" s="1" t="str">
        <f>IF(AND(Table1[[#This Row],[Spec Type2]]="N/A",Table1[[#This Row],[DUT Adj Read]]="N/A",Table1[[#This Row],[Std Adj Read]]="N/A"),"N/A",IF(Table1[[#This Row],[DUT Adj Read]]="N/A",IF(Table1[[#This Row],[Std Adj Read]]&lt;Table1[[#This Row],[High Tol]],"Pass","Fail"),IF(Table1[[#This Row],[DUT Adj Read]]&lt;Table1[[#This Row],[High Tol]],"Pass","Fail")))</f>
        <v>Fail</v>
      </c>
      <c r="AF2935" s="1" t="str">
        <f>IF(AND(Table1[[#This Row],[Spec Type2]]="N/A",Table1[[#This Row],[DUT Adj Read]]="N/A",Table1[[#This Row],[Std Adj Read]]="N/A"),"N/A",IF(Table1[[#This Row],[DUT Adj Read]]="N/A",IF(Table1[[#This Row],[Std Adj Read]]&gt;=Table1[[#This Row],[Low Tol]],"Pass","Fail"),IF(Table1[[#This Row],[DUT Adj Read]]&gt;=Table1[[#This Row],[Low Tol]],"Pass","Fail")))</f>
        <v>Pass</v>
      </c>
      <c r="AG2935" s="1" t="str">
        <f>IF(AND(Table1[[#This Row],[Spec Type2]]="N/A",Table1[[#This Row],[DUT Adj Read]]="N/A",Table1[[#This Row],[Std Adj Read]]="N/A"),"N/A",IF(Table1[[#This Row],[DUT Adj Read]]="N/A",IF(Table1[[#This Row],[Std Adj Read]]&lt;=Table1[[#This Row],[High Tol]],"Pass","Fail"),IF(Table1[[#This Row],[DUT Adj Read]]&lt;=Table1[[#This Row],[High Tol]],"Pass","Fail")))</f>
        <v>Fail</v>
      </c>
      <c r="AH293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5" s="1" t="b">
        <v>0</v>
      </c>
      <c r="AN2935" s="1" t="b">
        <v>0</v>
      </c>
      <c r="AO2935" s="1" t="b">
        <v>0</v>
      </c>
    </row>
    <row r="2936" spans="1:41" x14ac:dyDescent="0.25">
      <c r="A2936" s="10"/>
      <c r="B2936" s="10"/>
      <c r="C2936" s="10"/>
      <c r="D2936" s="10"/>
      <c r="E2936" s="10"/>
      <c r="F2936" s="10"/>
      <c r="G2936" s="10"/>
      <c r="H2936" s="10"/>
      <c r="I2936" s="1" t="str">
        <f t="shared" si="135"/>
        <v/>
      </c>
      <c r="J2936" s="1" t="s">
        <v>35</v>
      </c>
      <c r="K2936" s="1" t="str">
        <f t="shared" si="136"/>
        <v/>
      </c>
      <c r="L2936" s="1" t="str">
        <f t="shared" si="137"/>
        <v/>
      </c>
      <c r="M2936" s="1">
        <f>IF(OR(Table1[[#This Row],[Std Nom]]="",Table1[[#This Row],[Std Read]]=""),0,Table1[[#This Row],[Std Nom]]-Table1[[#This Row],[Std Read]])</f>
        <v>0</v>
      </c>
      <c r="N2936" s="1">
        <f>IF(Calculations!$F$5="ACCREDITED 17025 WITH UNCERTAINTIES",$N$10,0)</f>
        <v>0</v>
      </c>
      <c r="Q2936" s="1">
        <f>Table1[[#This Row],[High Tol]]-Table1[[#This Row],[Low Tol]]</f>
        <v>0</v>
      </c>
      <c r="R2936" s="1">
        <f>2*Table1[[#This Row],[Std Error]]</f>
        <v>0</v>
      </c>
      <c r="S2936" s="1" t="str">
        <f>IF(Table1[[#This Row],[High Tol]]="","N/A",IFERROR(ABS(Table1[[#This Row],[Tol Span]]/Table1[[#This Row],[Error Span]]),"N/A"))</f>
        <v>N/A</v>
      </c>
      <c r="T2936" s="1" t="str">
        <f>IF(OR(Table1[[#This Row],[Low Tol]]="",Table1[[#This Row],[High Tol]]=""),"Needs Analysis",IF(Table1[[#This Row],[Ratio]]&gt;=4,"Not Significant",IF(Table1[[#This Row],[Ratio]]&gt;=2,"Semi-Significant","Significant")))</f>
        <v>Needs Analysis</v>
      </c>
      <c r="W2936" s="1">
        <f>IF(Table1[[#This Row],[Cal Type]]&lt;&gt;"ACCREDITED 17025 WITH UNCERTAINTIES",0,"")</f>
        <v>0</v>
      </c>
      <c r="X2936" s="1" t="str">
        <f>IF(Table1[[#This Row],[DUT Read]]="","N/A",Table1[[#This Row],[Std Error]]+Table1[[#This Row],[DUT Read]]+Table1[[#This Row],[DUT Ucty]])</f>
        <v>N/A</v>
      </c>
      <c r="Y2936" s="1" t="str">
        <f>IF(Table1[[#This Row],[Std Read]]="","N/A",Table1[[#This Row],[Std Read]]+Table1[[#This Row],[Std Ucty]])</f>
        <v>N/A</v>
      </c>
      <c r="Z293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6" s="1" t="str">
        <f>IF(Table1[[#This Row],[Spec Type]]="","N/A",Table1[[#This Row],[Spec Type]])</f>
        <v>±</v>
      </c>
      <c r="AC2936" s="1" t="str">
        <f>IF(Table1[[#This Row],[Spec Type2]]="N/A","N/A",IF(AND(Table1[[#This Row],[DUT Adj Read]]&gt;=Table1[[#This Row],[Low Tol]],Table1[[#This Row],[DUT Adj Read]]&lt;=Table1[[#This Row],[High Tol]]),"Pass","Fail"))</f>
        <v>Fail</v>
      </c>
      <c r="AD2936" s="1" t="str">
        <f>IF(AND(Table1[[#This Row],[Spec Type2]]="N/A",Table1[[#This Row],[DUT Adj Read]]="N/A",Table1[[#This Row],[Std Adj Read]]="N/A"),"N/A",IF(Table1[[#This Row],[DUT Adj Read]]="N/A",IF(Table1[[#This Row],[Std Adj Read]]&gt;Table1[[#This Row],[Low Tol]],"Pass","Fail"),IF(Table1[[#This Row],[DUT Adj Read]]&gt;Table1[[#This Row],[Low Tol]],"Pass","Fail")))</f>
        <v>Pass</v>
      </c>
      <c r="AE2936" s="1" t="str">
        <f>IF(AND(Table1[[#This Row],[Spec Type2]]="N/A",Table1[[#This Row],[DUT Adj Read]]="N/A",Table1[[#This Row],[Std Adj Read]]="N/A"),"N/A",IF(Table1[[#This Row],[DUT Adj Read]]="N/A",IF(Table1[[#This Row],[Std Adj Read]]&lt;Table1[[#This Row],[High Tol]],"Pass","Fail"),IF(Table1[[#This Row],[DUT Adj Read]]&lt;Table1[[#This Row],[High Tol]],"Pass","Fail")))</f>
        <v>Fail</v>
      </c>
      <c r="AF2936" s="1" t="str">
        <f>IF(AND(Table1[[#This Row],[Spec Type2]]="N/A",Table1[[#This Row],[DUT Adj Read]]="N/A",Table1[[#This Row],[Std Adj Read]]="N/A"),"N/A",IF(Table1[[#This Row],[DUT Adj Read]]="N/A",IF(Table1[[#This Row],[Std Adj Read]]&gt;=Table1[[#This Row],[Low Tol]],"Pass","Fail"),IF(Table1[[#This Row],[DUT Adj Read]]&gt;=Table1[[#This Row],[Low Tol]],"Pass","Fail")))</f>
        <v>Pass</v>
      </c>
      <c r="AG2936" s="1" t="str">
        <f>IF(AND(Table1[[#This Row],[Spec Type2]]="N/A",Table1[[#This Row],[DUT Adj Read]]="N/A",Table1[[#This Row],[Std Adj Read]]="N/A"),"N/A",IF(Table1[[#This Row],[DUT Adj Read]]="N/A",IF(Table1[[#This Row],[Std Adj Read]]&lt;=Table1[[#This Row],[High Tol]],"Pass","Fail"),IF(Table1[[#This Row],[DUT Adj Read]]&lt;=Table1[[#This Row],[High Tol]],"Pass","Fail")))</f>
        <v>Fail</v>
      </c>
      <c r="AH293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6" s="1" t="b">
        <v>0</v>
      </c>
      <c r="AN2936" s="1" t="b">
        <v>0</v>
      </c>
      <c r="AO2936" s="1" t="b">
        <v>0</v>
      </c>
    </row>
    <row r="2937" spans="1:41" x14ac:dyDescent="0.25">
      <c r="A2937" s="10"/>
      <c r="B2937" s="10"/>
      <c r="C2937" s="10"/>
      <c r="D2937" s="10"/>
      <c r="E2937" s="10"/>
      <c r="F2937" s="10"/>
      <c r="G2937" s="10"/>
      <c r="H2937" s="10"/>
      <c r="I2937" s="1" t="str">
        <f t="shared" si="135"/>
        <v/>
      </c>
      <c r="J2937" s="1" t="s">
        <v>35</v>
      </c>
      <c r="K2937" s="1" t="str">
        <f t="shared" si="136"/>
        <v/>
      </c>
      <c r="L2937" s="1" t="str">
        <f t="shared" si="137"/>
        <v/>
      </c>
      <c r="M2937" s="1">
        <f>IF(OR(Table1[[#This Row],[Std Nom]]="",Table1[[#This Row],[Std Read]]=""),0,Table1[[#This Row],[Std Nom]]-Table1[[#This Row],[Std Read]])</f>
        <v>0</v>
      </c>
      <c r="N2937" s="1">
        <f>IF(Calculations!$F$5="ACCREDITED 17025 WITH UNCERTAINTIES",$N$10,0)</f>
        <v>0</v>
      </c>
      <c r="Q2937" s="1">
        <f>Table1[[#This Row],[High Tol]]-Table1[[#This Row],[Low Tol]]</f>
        <v>0</v>
      </c>
      <c r="R2937" s="1">
        <f>2*Table1[[#This Row],[Std Error]]</f>
        <v>0</v>
      </c>
      <c r="S2937" s="1" t="str">
        <f>IF(Table1[[#This Row],[High Tol]]="","N/A",IFERROR(ABS(Table1[[#This Row],[Tol Span]]/Table1[[#This Row],[Error Span]]),"N/A"))</f>
        <v>N/A</v>
      </c>
      <c r="T2937" s="1" t="str">
        <f>IF(OR(Table1[[#This Row],[Low Tol]]="",Table1[[#This Row],[High Tol]]=""),"Needs Analysis",IF(Table1[[#This Row],[Ratio]]&gt;=4,"Not Significant",IF(Table1[[#This Row],[Ratio]]&gt;=2,"Semi-Significant","Significant")))</f>
        <v>Needs Analysis</v>
      </c>
      <c r="W2937" s="1">
        <f>IF(Table1[[#This Row],[Cal Type]]&lt;&gt;"ACCREDITED 17025 WITH UNCERTAINTIES",0,"")</f>
        <v>0</v>
      </c>
      <c r="X2937" s="1" t="str">
        <f>IF(Table1[[#This Row],[DUT Read]]="","N/A",Table1[[#This Row],[Std Error]]+Table1[[#This Row],[DUT Read]]+Table1[[#This Row],[DUT Ucty]])</f>
        <v>N/A</v>
      </c>
      <c r="Y2937" s="1" t="str">
        <f>IF(Table1[[#This Row],[Std Read]]="","N/A",Table1[[#This Row],[Std Read]]+Table1[[#This Row],[Std Ucty]])</f>
        <v>N/A</v>
      </c>
      <c r="Z293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7" s="1" t="str">
        <f>IF(Table1[[#This Row],[Spec Type]]="","N/A",Table1[[#This Row],[Spec Type]])</f>
        <v>±</v>
      </c>
      <c r="AC2937" s="1" t="str">
        <f>IF(Table1[[#This Row],[Spec Type2]]="N/A","N/A",IF(AND(Table1[[#This Row],[DUT Adj Read]]&gt;=Table1[[#This Row],[Low Tol]],Table1[[#This Row],[DUT Adj Read]]&lt;=Table1[[#This Row],[High Tol]]),"Pass","Fail"))</f>
        <v>Fail</v>
      </c>
      <c r="AD2937" s="1" t="str">
        <f>IF(AND(Table1[[#This Row],[Spec Type2]]="N/A",Table1[[#This Row],[DUT Adj Read]]="N/A",Table1[[#This Row],[Std Adj Read]]="N/A"),"N/A",IF(Table1[[#This Row],[DUT Adj Read]]="N/A",IF(Table1[[#This Row],[Std Adj Read]]&gt;Table1[[#This Row],[Low Tol]],"Pass","Fail"),IF(Table1[[#This Row],[DUT Adj Read]]&gt;Table1[[#This Row],[Low Tol]],"Pass","Fail")))</f>
        <v>Pass</v>
      </c>
      <c r="AE2937" s="1" t="str">
        <f>IF(AND(Table1[[#This Row],[Spec Type2]]="N/A",Table1[[#This Row],[DUT Adj Read]]="N/A",Table1[[#This Row],[Std Adj Read]]="N/A"),"N/A",IF(Table1[[#This Row],[DUT Adj Read]]="N/A",IF(Table1[[#This Row],[Std Adj Read]]&lt;Table1[[#This Row],[High Tol]],"Pass","Fail"),IF(Table1[[#This Row],[DUT Adj Read]]&lt;Table1[[#This Row],[High Tol]],"Pass","Fail")))</f>
        <v>Fail</v>
      </c>
      <c r="AF2937" s="1" t="str">
        <f>IF(AND(Table1[[#This Row],[Spec Type2]]="N/A",Table1[[#This Row],[DUT Adj Read]]="N/A",Table1[[#This Row],[Std Adj Read]]="N/A"),"N/A",IF(Table1[[#This Row],[DUT Adj Read]]="N/A",IF(Table1[[#This Row],[Std Adj Read]]&gt;=Table1[[#This Row],[Low Tol]],"Pass","Fail"),IF(Table1[[#This Row],[DUT Adj Read]]&gt;=Table1[[#This Row],[Low Tol]],"Pass","Fail")))</f>
        <v>Pass</v>
      </c>
      <c r="AG2937" s="1" t="str">
        <f>IF(AND(Table1[[#This Row],[Spec Type2]]="N/A",Table1[[#This Row],[DUT Adj Read]]="N/A",Table1[[#This Row],[Std Adj Read]]="N/A"),"N/A",IF(Table1[[#This Row],[DUT Adj Read]]="N/A",IF(Table1[[#This Row],[Std Adj Read]]&lt;=Table1[[#This Row],[High Tol]],"Pass","Fail"),IF(Table1[[#This Row],[DUT Adj Read]]&lt;=Table1[[#This Row],[High Tol]],"Pass","Fail")))</f>
        <v>Fail</v>
      </c>
      <c r="AH293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7" s="1" t="b">
        <v>0</v>
      </c>
      <c r="AN2937" s="1" t="b">
        <v>0</v>
      </c>
      <c r="AO2937" s="1" t="b">
        <v>0</v>
      </c>
    </row>
    <row r="2938" spans="1:41" x14ac:dyDescent="0.25">
      <c r="A2938" s="10"/>
      <c r="B2938" s="10"/>
      <c r="C2938" s="10"/>
      <c r="D2938" s="10"/>
      <c r="E2938" s="10"/>
      <c r="F2938" s="10"/>
      <c r="G2938" s="10"/>
      <c r="H2938" s="10"/>
      <c r="I2938" s="1" t="str">
        <f t="shared" si="135"/>
        <v/>
      </c>
      <c r="J2938" s="1" t="s">
        <v>35</v>
      </c>
      <c r="K2938" s="1" t="str">
        <f t="shared" si="136"/>
        <v/>
      </c>
      <c r="L2938" s="1" t="str">
        <f t="shared" si="137"/>
        <v/>
      </c>
      <c r="M2938" s="1">
        <f>IF(OR(Table1[[#This Row],[Std Nom]]="",Table1[[#This Row],[Std Read]]=""),0,Table1[[#This Row],[Std Nom]]-Table1[[#This Row],[Std Read]])</f>
        <v>0</v>
      </c>
      <c r="N2938" s="1">
        <f>IF(Calculations!$F$5="ACCREDITED 17025 WITH UNCERTAINTIES",$N$10,0)</f>
        <v>0</v>
      </c>
      <c r="Q2938" s="1">
        <f>Table1[[#This Row],[High Tol]]-Table1[[#This Row],[Low Tol]]</f>
        <v>0</v>
      </c>
      <c r="R2938" s="1">
        <f>2*Table1[[#This Row],[Std Error]]</f>
        <v>0</v>
      </c>
      <c r="S2938" s="1" t="str">
        <f>IF(Table1[[#This Row],[High Tol]]="","N/A",IFERROR(ABS(Table1[[#This Row],[Tol Span]]/Table1[[#This Row],[Error Span]]),"N/A"))</f>
        <v>N/A</v>
      </c>
      <c r="T2938" s="1" t="str">
        <f>IF(OR(Table1[[#This Row],[Low Tol]]="",Table1[[#This Row],[High Tol]]=""),"Needs Analysis",IF(Table1[[#This Row],[Ratio]]&gt;=4,"Not Significant",IF(Table1[[#This Row],[Ratio]]&gt;=2,"Semi-Significant","Significant")))</f>
        <v>Needs Analysis</v>
      </c>
      <c r="W2938" s="1">
        <f>IF(Table1[[#This Row],[Cal Type]]&lt;&gt;"ACCREDITED 17025 WITH UNCERTAINTIES",0,"")</f>
        <v>0</v>
      </c>
      <c r="X2938" s="1" t="str">
        <f>IF(Table1[[#This Row],[DUT Read]]="","N/A",Table1[[#This Row],[Std Error]]+Table1[[#This Row],[DUT Read]]+Table1[[#This Row],[DUT Ucty]])</f>
        <v>N/A</v>
      </c>
      <c r="Y2938" s="1" t="str">
        <f>IF(Table1[[#This Row],[Std Read]]="","N/A",Table1[[#This Row],[Std Read]]+Table1[[#This Row],[Std Ucty]])</f>
        <v>N/A</v>
      </c>
      <c r="Z293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8" s="1" t="str">
        <f>IF(Table1[[#This Row],[Spec Type]]="","N/A",Table1[[#This Row],[Spec Type]])</f>
        <v>±</v>
      </c>
      <c r="AC2938" s="1" t="str">
        <f>IF(Table1[[#This Row],[Spec Type2]]="N/A","N/A",IF(AND(Table1[[#This Row],[DUT Adj Read]]&gt;=Table1[[#This Row],[Low Tol]],Table1[[#This Row],[DUT Adj Read]]&lt;=Table1[[#This Row],[High Tol]]),"Pass","Fail"))</f>
        <v>Fail</v>
      </c>
      <c r="AD2938" s="1" t="str">
        <f>IF(AND(Table1[[#This Row],[Spec Type2]]="N/A",Table1[[#This Row],[DUT Adj Read]]="N/A",Table1[[#This Row],[Std Adj Read]]="N/A"),"N/A",IF(Table1[[#This Row],[DUT Adj Read]]="N/A",IF(Table1[[#This Row],[Std Adj Read]]&gt;Table1[[#This Row],[Low Tol]],"Pass","Fail"),IF(Table1[[#This Row],[DUT Adj Read]]&gt;Table1[[#This Row],[Low Tol]],"Pass","Fail")))</f>
        <v>Pass</v>
      </c>
      <c r="AE2938" s="1" t="str">
        <f>IF(AND(Table1[[#This Row],[Spec Type2]]="N/A",Table1[[#This Row],[DUT Adj Read]]="N/A",Table1[[#This Row],[Std Adj Read]]="N/A"),"N/A",IF(Table1[[#This Row],[DUT Adj Read]]="N/A",IF(Table1[[#This Row],[Std Adj Read]]&lt;Table1[[#This Row],[High Tol]],"Pass","Fail"),IF(Table1[[#This Row],[DUT Adj Read]]&lt;Table1[[#This Row],[High Tol]],"Pass","Fail")))</f>
        <v>Fail</v>
      </c>
      <c r="AF2938" s="1" t="str">
        <f>IF(AND(Table1[[#This Row],[Spec Type2]]="N/A",Table1[[#This Row],[DUT Adj Read]]="N/A",Table1[[#This Row],[Std Adj Read]]="N/A"),"N/A",IF(Table1[[#This Row],[DUT Adj Read]]="N/A",IF(Table1[[#This Row],[Std Adj Read]]&gt;=Table1[[#This Row],[Low Tol]],"Pass","Fail"),IF(Table1[[#This Row],[DUT Adj Read]]&gt;=Table1[[#This Row],[Low Tol]],"Pass","Fail")))</f>
        <v>Pass</v>
      </c>
      <c r="AG2938" s="1" t="str">
        <f>IF(AND(Table1[[#This Row],[Spec Type2]]="N/A",Table1[[#This Row],[DUT Adj Read]]="N/A",Table1[[#This Row],[Std Adj Read]]="N/A"),"N/A",IF(Table1[[#This Row],[DUT Adj Read]]="N/A",IF(Table1[[#This Row],[Std Adj Read]]&lt;=Table1[[#This Row],[High Tol]],"Pass","Fail"),IF(Table1[[#This Row],[DUT Adj Read]]&lt;=Table1[[#This Row],[High Tol]],"Pass","Fail")))</f>
        <v>Fail</v>
      </c>
      <c r="AH293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8" s="1" t="b">
        <v>0</v>
      </c>
      <c r="AN2938" s="1" t="b">
        <v>0</v>
      </c>
      <c r="AO2938" s="1" t="b">
        <v>0</v>
      </c>
    </row>
    <row r="2939" spans="1:41" x14ac:dyDescent="0.25">
      <c r="A2939" s="10"/>
      <c r="B2939" s="10"/>
      <c r="C2939" s="10"/>
      <c r="D2939" s="10"/>
      <c r="E2939" s="10"/>
      <c r="F2939" s="10"/>
      <c r="G2939" s="10"/>
      <c r="H2939" s="10"/>
      <c r="I2939" s="1" t="str">
        <f t="shared" si="135"/>
        <v/>
      </c>
      <c r="J2939" s="1" t="s">
        <v>35</v>
      </c>
      <c r="K2939" s="1" t="str">
        <f t="shared" si="136"/>
        <v/>
      </c>
      <c r="L2939" s="1" t="str">
        <f t="shared" si="137"/>
        <v/>
      </c>
      <c r="M2939" s="1">
        <f>IF(OR(Table1[[#This Row],[Std Nom]]="",Table1[[#This Row],[Std Read]]=""),0,Table1[[#This Row],[Std Nom]]-Table1[[#This Row],[Std Read]])</f>
        <v>0</v>
      </c>
      <c r="N2939" s="1">
        <f>IF(Calculations!$F$5="ACCREDITED 17025 WITH UNCERTAINTIES",$N$10,0)</f>
        <v>0</v>
      </c>
      <c r="Q2939" s="1">
        <f>Table1[[#This Row],[High Tol]]-Table1[[#This Row],[Low Tol]]</f>
        <v>0</v>
      </c>
      <c r="R2939" s="1">
        <f>2*Table1[[#This Row],[Std Error]]</f>
        <v>0</v>
      </c>
      <c r="S2939" s="1" t="str">
        <f>IF(Table1[[#This Row],[High Tol]]="","N/A",IFERROR(ABS(Table1[[#This Row],[Tol Span]]/Table1[[#This Row],[Error Span]]),"N/A"))</f>
        <v>N/A</v>
      </c>
      <c r="T2939" s="1" t="str">
        <f>IF(OR(Table1[[#This Row],[Low Tol]]="",Table1[[#This Row],[High Tol]]=""),"Needs Analysis",IF(Table1[[#This Row],[Ratio]]&gt;=4,"Not Significant",IF(Table1[[#This Row],[Ratio]]&gt;=2,"Semi-Significant","Significant")))</f>
        <v>Needs Analysis</v>
      </c>
      <c r="W2939" s="1">
        <f>IF(Table1[[#This Row],[Cal Type]]&lt;&gt;"ACCREDITED 17025 WITH UNCERTAINTIES",0,"")</f>
        <v>0</v>
      </c>
      <c r="X2939" s="1" t="str">
        <f>IF(Table1[[#This Row],[DUT Read]]="","N/A",Table1[[#This Row],[Std Error]]+Table1[[#This Row],[DUT Read]]+Table1[[#This Row],[DUT Ucty]])</f>
        <v>N/A</v>
      </c>
      <c r="Y2939" s="1" t="str">
        <f>IF(Table1[[#This Row],[Std Read]]="","N/A",Table1[[#This Row],[Std Read]]+Table1[[#This Row],[Std Ucty]])</f>
        <v>N/A</v>
      </c>
      <c r="Z293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39" s="1" t="str">
        <f>IF(Table1[[#This Row],[Spec Type]]="","N/A",Table1[[#This Row],[Spec Type]])</f>
        <v>±</v>
      </c>
      <c r="AC2939" s="1" t="str">
        <f>IF(Table1[[#This Row],[Spec Type2]]="N/A","N/A",IF(AND(Table1[[#This Row],[DUT Adj Read]]&gt;=Table1[[#This Row],[Low Tol]],Table1[[#This Row],[DUT Adj Read]]&lt;=Table1[[#This Row],[High Tol]]),"Pass","Fail"))</f>
        <v>Fail</v>
      </c>
      <c r="AD2939" s="1" t="str">
        <f>IF(AND(Table1[[#This Row],[Spec Type2]]="N/A",Table1[[#This Row],[DUT Adj Read]]="N/A",Table1[[#This Row],[Std Adj Read]]="N/A"),"N/A",IF(Table1[[#This Row],[DUT Adj Read]]="N/A",IF(Table1[[#This Row],[Std Adj Read]]&gt;Table1[[#This Row],[Low Tol]],"Pass","Fail"),IF(Table1[[#This Row],[DUT Adj Read]]&gt;Table1[[#This Row],[Low Tol]],"Pass","Fail")))</f>
        <v>Pass</v>
      </c>
      <c r="AE2939" s="1" t="str">
        <f>IF(AND(Table1[[#This Row],[Spec Type2]]="N/A",Table1[[#This Row],[DUT Adj Read]]="N/A",Table1[[#This Row],[Std Adj Read]]="N/A"),"N/A",IF(Table1[[#This Row],[DUT Adj Read]]="N/A",IF(Table1[[#This Row],[Std Adj Read]]&lt;Table1[[#This Row],[High Tol]],"Pass","Fail"),IF(Table1[[#This Row],[DUT Adj Read]]&lt;Table1[[#This Row],[High Tol]],"Pass","Fail")))</f>
        <v>Fail</v>
      </c>
      <c r="AF2939" s="1" t="str">
        <f>IF(AND(Table1[[#This Row],[Spec Type2]]="N/A",Table1[[#This Row],[DUT Adj Read]]="N/A",Table1[[#This Row],[Std Adj Read]]="N/A"),"N/A",IF(Table1[[#This Row],[DUT Adj Read]]="N/A",IF(Table1[[#This Row],[Std Adj Read]]&gt;=Table1[[#This Row],[Low Tol]],"Pass","Fail"),IF(Table1[[#This Row],[DUT Adj Read]]&gt;=Table1[[#This Row],[Low Tol]],"Pass","Fail")))</f>
        <v>Pass</v>
      </c>
      <c r="AG2939" s="1" t="str">
        <f>IF(AND(Table1[[#This Row],[Spec Type2]]="N/A",Table1[[#This Row],[DUT Adj Read]]="N/A",Table1[[#This Row],[Std Adj Read]]="N/A"),"N/A",IF(Table1[[#This Row],[DUT Adj Read]]="N/A",IF(Table1[[#This Row],[Std Adj Read]]&lt;=Table1[[#This Row],[High Tol]],"Pass","Fail"),IF(Table1[[#This Row],[DUT Adj Read]]&lt;=Table1[[#This Row],[High Tol]],"Pass","Fail")))</f>
        <v>Fail</v>
      </c>
      <c r="AH293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39" s="1" t="b">
        <v>0</v>
      </c>
      <c r="AN2939" s="1" t="b">
        <v>0</v>
      </c>
      <c r="AO2939" s="1" t="b">
        <v>0</v>
      </c>
    </row>
    <row r="2940" spans="1:41" x14ac:dyDescent="0.25">
      <c r="A2940" s="10"/>
      <c r="B2940" s="10"/>
      <c r="C2940" s="10"/>
      <c r="D2940" s="10"/>
      <c r="E2940" s="10"/>
      <c r="F2940" s="10"/>
      <c r="G2940" s="10"/>
      <c r="H2940" s="10"/>
      <c r="I2940" s="1" t="str">
        <f t="shared" si="135"/>
        <v/>
      </c>
      <c r="J2940" s="1" t="s">
        <v>35</v>
      </c>
      <c r="K2940" s="1" t="str">
        <f t="shared" si="136"/>
        <v/>
      </c>
      <c r="L2940" s="1" t="str">
        <f t="shared" si="137"/>
        <v/>
      </c>
      <c r="M2940" s="1">
        <f>IF(OR(Table1[[#This Row],[Std Nom]]="",Table1[[#This Row],[Std Read]]=""),0,Table1[[#This Row],[Std Nom]]-Table1[[#This Row],[Std Read]])</f>
        <v>0</v>
      </c>
      <c r="N2940" s="1">
        <f>IF(Calculations!$F$5="ACCREDITED 17025 WITH UNCERTAINTIES",$N$10,0)</f>
        <v>0</v>
      </c>
      <c r="Q2940" s="1">
        <f>Table1[[#This Row],[High Tol]]-Table1[[#This Row],[Low Tol]]</f>
        <v>0</v>
      </c>
      <c r="R2940" s="1">
        <f>2*Table1[[#This Row],[Std Error]]</f>
        <v>0</v>
      </c>
      <c r="S2940" s="1" t="str">
        <f>IF(Table1[[#This Row],[High Tol]]="","N/A",IFERROR(ABS(Table1[[#This Row],[Tol Span]]/Table1[[#This Row],[Error Span]]),"N/A"))</f>
        <v>N/A</v>
      </c>
      <c r="T2940" s="1" t="str">
        <f>IF(OR(Table1[[#This Row],[Low Tol]]="",Table1[[#This Row],[High Tol]]=""),"Needs Analysis",IF(Table1[[#This Row],[Ratio]]&gt;=4,"Not Significant",IF(Table1[[#This Row],[Ratio]]&gt;=2,"Semi-Significant","Significant")))</f>
        <v>Needs Analysis</v>
      </c>
      <c r="W2940" s="1">
        <f>IF(Table1[[#This Row],[Cal Type]]&lt;&gt;"ACCREDITED 17025 WITH UNCERTAINTIES",0,"")</f>
        <v>0</v>
      </c>
      <c r="X2940" s="1" t="str">
        <f>IF(Table1[[#This Row],[DUT Read]]="","N/A",Table1[[#This Row],[Std Error]]+Table1[[#This Row],[DUT Read]]+Table1[[#This Row],[DUT Ucty]])</f>
        <v>N/A</v>
      </c>
      <c r="Y2940" s="1" t="str">
        <f>IF(Table1[[#This Row],[Std Read]]="","N/A",Table1[[#This Row],[Std Read]]+Table1[[#This Row],[Std Ucty]])</f>
        <v>N/A</v>
      </c>
      <c r="Z294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0" s="1" t="str">
        <f>IF(Table1[[#This Row],[Spec Type]]="","N/A",Table1[[#This Row],[Spec Type]])</f>
        <v>±</v>
      </c>
      <c r="AC2940" s="1" t="str">
        <f>IF(Table1[[#This Row],[Spec Type2]]="N/A","N/A",IF(AND(Table1[[#This Row],[DUT Adj Read]]&gt;=Table1[[#This Row],[Low Tol]],Table1[[#This Row],[DUT Adj Read]]&lt;=Table1[[#This Row],[High Tol]]),"Pass","Fail"))</f>
        <v>Fail</v>
      </c>
      <c r="AD2940" s="1" t="str">
        <f>IF(AND(Table1[[#This Row],[Spec Type2]]="N/A",Table1[[#This Row],[DUT Adj Read]]="N/A",Table1[[#This Row],[Std Adj Read]]="N/A"),"N/A",IF(Table1[[#This Row],[DUT Adj Read]]="N/A",IF(Table1[[#This Row],[Std Adj Read]]&gt;Table1[[#This Row],[Low Tol]],"Pass","Fail"),IF(Table1[[#This Row],[DUT Adj Read]]&gt;Table1[[#This Row],[Low Tol]],"Pass","Fail")))</f>
        <v>Pass</v>
      </c>
      <c r="AE2940" s="1" t="str">
        <f>IF(AND(Table1[[#This Row],[Spec Type2]]="N/A",Table1[[#This Row],[DUT Adj Read]]="N/A",Table1[[#This Row],[Std Adj Read]]="N/A"),"N/A",IF(Table1[[#This Row],[DUT Adj Read]]="N/A",IF(Table1[[#This Row],[Std Adj Read]]&lt;Table1[[#This Row],[High Tol]],"Pass","Fail"),IF(Table1[[#This Row],[DUT Adj Read]]&lt;Table1[[#This Row],[High Tol]],"Pass","Fail")))</f>
        <v>Fail</v>
      </c>
      <c r="AF2940" s="1" t="str">
        <f>IF(AND(Table1[[#This Row],[Spec Type2]]="N/A",Table1[[#This Row],[DUT Adj Read]]="N/A",Table1[[#This Row],[Std Adj Read]]="N/A"),"N/A",IF(Table1[[#This Row],[DUT Adj Read]]="N/A",IF(Table1[[#This Row],[Std Adj Read]]&gt;=Table1[[#This Row],[Low Tol]],"Pass","Fail"),IF(Table1[[#This Row],[DUT Adj Read]]&gt;=Table1[[#This Row],[Low Tol]],"Pass","Fail")))</f>
        <v>Pass</v>
      </c>
      <c r="AG2940" s="1" t="str">
        <f>IF(AND(Table1[[#This Row],[Spec Type2]]="N/A",Table1[[#This Row],[DUT Adj Read]]="N/A",Table1[[#This Row],[Std Adj Read]]="N/A"),"N/A",IF(Table1[[#This Row],[DUT Adj Read]]="N/A",IF(Table1[[#This Row],[Std Adj Read]]&lt;=Table1[[#This Row],[High Tol]],"Pass","Fail"),IF(Table1[[#This Row],[DUT Adj Read]]&lt;=Table1[[#This Row],[High Tol]],"Pass","Fail")))</f>
        <v>Fail</v>
      </c>
      <c r="AH294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0" s="1" t="b">
        <v>0</v>
      </c>
      <c r="AN2940" s="1" t="b">
        <v>0</v>
      </c>
      <c r="AO2940" s="1" t="b">
        <v>0</v>
      </c>
    </row>
    <row r="2941" spans="1:41" x14ac:dyDescent="0.25">
      <c r="A2941" s="10"/>
      <c r="B2941" s="10"/>
      <c r="C2941" s="10"/>
      <c r="D2941" s="10"/>
      <c r="E2941" s="10"/>
      <c r="F2941" s="10"/>
      <c r="G2941" s="10"/>
      <c r="H2941" s="10"/>
      <c r="I2941" s="1" t="str">
        <f t="shared" si="135"/>
        <v/>
      </c>
      <c r="J2941" s="1" t="s">
        <v>35</v>
      </c>
      <c r="K2941" s="1" t="str">
        <f t="shared" si="136"/>
        <v/>
      </c>
      <c r="L2941" s="1" t="str">
        <f t="shared" si="137"/>
        <v/>
      </c>
      <c r="M2941" s="1">
        <f>IF(OR(Table1[[#This Row],[Std Nom]]="",Table1[[#This Row],[Std Read]]=""),0,Table1[[#This Row],[Std Nom]]-Table1[[#This Row],[Std Read]])</f>
        <v>0</v>
      </c>
      <c r="N2941" s="1">
        <f>IF(Calculations!$F$5="ACCREDITED 17025 WITH UNCERTAINTIES",$N$10,0)</f>
        <v>0</v>
      </c>
      <c r="Q2941" s="1">
        <f>Table1[[#This Row],[High Tol]]-Table1[[#This Row],[Low Tol]]</f>
        <v>0</v>
      </c>
      <c r="R2941" s="1">
        <f>2*Table1[[#This Row],[Std Error]]</f>
        <v>0</v>
      </c>
      <c r="S2941" s="1" t="str">
        <f>IF(Table1[[#This Row],[High Tol]]="","N/A",IFERROR(ABS(Table1[[#This Row],[Tol Span]]/Table1[[#This Row],[Error Span]]),"N/A"))</f>
        <v>N/A</v>
      </c>
      <c r="T2941" s="1" t="str">
        <f>IF(OR(Table1[[#This Row],[Low Tol]]="",Table1[[#This Row],[High Tol]]=""),"Needs Analysis",IF(Table1[[#This Row],[Ratio]]&gt;=4,"Not Significant",IF(Table1[[#This Row],[Ratio]]&gt;=2,"Semi-Significant","Significant")))</f>
        <v>Needs Analysis</v>
      </c>
      <c r="W2941" s="1">
        <f>IF(Table1[[#This Row],[Cal Type]]&lt;&gt;"ACCREDITED 17025 WITH UNCERTAINTIES",0,"")</f>
        <v>0</v>
      </c>
      <c r="X2941" s="1" t="str">
        <f>IF(Table1[[#This Row],[DUT Read]]="","N/A",Table1[[#This Row],[Std Error]]+Table1[[#This Row],[DUT Read]]+Table1[[#This Row],[DUT Ucty]])</f>
        <v>N/A</v>
      </c>
      <c r="Y2941" s="1" t="str">
        <f>IF(Table1[[#This Row],[Std Read]]="","N/A",Table1[[#This Row],[Std Read]]+Table1[[#This Row],[Std Ucty]])</f>
        <v>N/A</v>
      </c>
      <c r="Z294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1" s="1" t="str">
        <f>IF(Table1[[#This Row],[Spec Type]]="","N/A",Table1[[#This Row],[Spec Type]])</f>
        <v>±</v>
      </c>
      <c r="AC2941" s="1" t="str">
        <f>IF(Table1[[#This Row],[Spec Type2]]="N/A","N/A",IF(AND(Table1[[#This Row],[DUT Adj Read]]&gt;=Table1[[#This Row],[Low Tol]],Table1[[#This Row],[DUT Adj Read]]&lt;=Table1[[#This Row],[High Tol]]),"Pass","Fail"))</f>
        <v>Fail</v>
      </c>
      <c r="AD2941" s="1" t="str">
        <f>IF(AND(Table1[[#This Row],[Spec Type2]]="N/A",Table1[[#This Row],[DUT Adj Read]]="N/A",Table1[[#This Row],[Std Adj Read]]="N/A"),"N/A",IF(Table1[[#This Row],[DUT Adj Read]]="N/A",IF(Table1[[#This Row],[Std Adj Read]]&gt;Table1[[#This Row],[Low Tol]],"Pass","Fail"),IF(Table1[[#This Row],[DUT Adj Read]]&gt;Table1[[#This Row],[Low Tol]],"Pass","Fail")))</f>
        <v>Pass</v>
      </c>
      <c r="AE2941" s="1" t="str">
        <f>IF(AND(Table1[[#This Row],[Spec Type2]]="N/A",Table1[[#This Row],[DUT Adj Read]]="N/A",Table1[[#This Row],[Std Adj Read]]="N/A"),"N/A",IF(Table1[[#This Row],[DUT Adj Read]]="N/A",IF(Table1[[#This Row],[Std Adj Read]]&lt;Table1[[#This Row],[High Tol]],"Pass","Fail"),IF(Table1[[#This Row],[DUT Adj Read]]&lt;Table1[[#This Row],[High Tol]],"Pass","Fail")))</f>
        <v>Fail</v>
      </c>
      <c r="AF2941" s="1" t="str">
        <f>IF(AND(Table1[[#This Row],[Spec Type2]]="N/A",Table1[[#This Row],[DUT Adj Read]]="N/A",Table1[[#This Row],[Std Adj Read]]="N/A"),"N/A",IF(Table1[[#This Row],[DUT Adj Read]]="N/A",IF(Table1[[#This Row],[Std Adj Read]]&gt;=Table1[[#This Row],[Low Tol]],"Pass","Fail"),IF(Table1[[#This Row],[DUT Adj Read]]&gt;=Table1[[#This Row],[Low Tol]],"Pass","Fail")))</f>
        <v>Pass</v>
      </c>
      <c r="AG2941" s="1" t="str">
        <f>IF(AND(Table1[[#This Row],[Spec Type2]]="N/A",Table1[[#This Row],[DUT Adj Read]]="N/A",Table1[[#This Row],[Std Adj Read]]="N/A"),"N/A",IF(Table1[[#This Row],[DUT Adj Read]]="N/A",IF(Table1[[#This Row],[Std Adj Read]]&lt;=Table1[[#This Row],[High Tol]],"Pass","Fail"),IF(Table1[[#This Row],[DUT Adj Read]]&lt;=Table1[[#This Row],[High Tol]],"Pass","Fail")))</f>
        <v>Fail</v>
      </c>
      <c r="AH294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1" s="1" t="b">
        <v>0</v>
      </c>
      <c r="AN2941" s="1" t="b">
        <v>0</v>
      </c>
      <c r="AO2941" s="1" t="b">
        <v>0</v>
      </c>
    </row>
    <row r="2942" spans="1:41" x14ac:dyDescent="0.25">
      <c r="A2942" s="10"/>
      <c r="B2942" s="10"/>
      <c r="C2942" s="10"/>
      <c r="D2942" s="10"/>
      <c r="E2942" s="10"/>
      <c r="F2942" s="10"/>
      <c r="G2942" s="10"/>
      <c r="H2942" s="10"/>
      <c r="I2942" s="1" t="str">
        <f t="shared" si="135"/>
        <v/>
      </c>
      <c r="J2942" s="1" t="s">
        <v>35</v>
      </c>
      <c r="K2942" s="1" t="str">
        <f t="shared" si="136"/>
        <v/>
      </c>
      <c r="L2942" s="1" t="str">
        <f t="shared" si="137"/>
        <v/>
      </c>
      <c r="M2942" s="1">
        <f>IF(OR(Table1[[#This Row],[Std Nom]]="",Table1[[#This Row],[Std Read]]=""),0,Table1[[#This Row],[Std Nom]]-Table1[[#This Row],[Std Read]])</f>
        <v>0</v>
      </c>
      <c r="N2942" s="1">
        <f>IF(Calculations!$F$5="ACCREDITED 17025 WITH UNCERTAINTIES",$N$10,0)</f>
        <v>0</v>
      </c>
      <c r="Q2942" s="1">
        <f>Table1[[#This Row],[High Tol]]-Table1[[#This Row],[Low Tol]]</f>
        <v>0</v>
      </c>
      <c r="R2942" s="1">
        <f>2*Table1[[#This Row],[Std Error]]</f>
        <v>0</v>
      </c>
      <c r="S2942" s="1" t="str">
        <f>IF(Table1[[#This Row],[High Tol]]="","N/A",IFERROR(ABS(Table1[[#This Row],[Tol Span]]/Table1[[#This Row],[Error Span]]),"N/A"))</f>
        <v>N/A</v>
      </c>
      <c r="T2942" s="1" t="str">
        <f>IF(OR(Table1[[#This Row],[Low Tol]]="",Table1[[#This Row],[High Tol]]=""),"Needs Analysis",IF(Table1[[#This Row],[Ratio]]&gt;=4,"Not Significant",IF(Table1[[#This Row],[Ratio]]&gt;=2,"Semi-Significant","Significant")))</f>
        <v>Needs Analysis</v>
      </c>
      <c r="W2942" s="1">
        <f>IF(Table1[[#This Row],[Cal Type]]&lt;&gt;"ACCREDITED 17025 WITH UNCERTAINTIES",0,"")</f>
        <v>0</v>
      </c>
      <c r="X2942" s="1" t="str">
        <f>IF(Table1[[#This Row],[DUT Read]]="","N/A",Table1[[#This Row],[Std Error]]+Table1[[#This Row],[DUT Read]]+Table1[[#This Row],[DUT Ucty]])</f>
        <v>N/A</v>
      </c>
      <c r="Y2942" s="1" t="str">
        <f>IF(Table1[[#This Row],[Std Read]]="","N/A",Table1[[#This Row],[Std Read]]+Table1[[#This Row],[Std Ucty]])</f>
        <v>N/A</v>
      </c>
      <c r="Z294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2" s="1" t="str">
        <f>IF(Table1[[#This Row],[Spec Type]]="","N/A",Table1[[#This Row],[Spec Type]])</f>
        <v>±</v>
      </c>
      <c r="AC2942" s="1" t="str">
        <f>IF(Table1[[#This Row],[Spec Type2]]="N/A","N/A",IF(AND(Table1[[#This Row],[DUT Adj Read]]&gt;=Table1[[#This Row],[Low Tol]],Table1[[#This Row],[DUT Adj Read]]&lt;=Table1[[#This Row],[High Tol]]),"Pass","Fail"))</f>
        <v>Fail</v>
      </c>
      <c r="AD2942" s="1" t="str">
        <f>IF(AND(Table1[[#This Row],[Spec Type2]]="N/A",Table1[[#This Row],[DUT Adj Read]]="N/A",Table1[[#This Row],[Std Adj Read]]="N/A"),"N/A",IF(Table1[[#This Row],[DUT Adj Read]]="N/A",IF(Table1[[#This Row],[Std Adj Read]]&gt;Table1[[#This Row],[Low Tol]],"Pass","Fail"),IF(Table1[[#This Row],[DUT Adj Read]]&gt;Table1[[#This Row],[Low Tol]],"Pass","Fail")))</f>
        <v>Pass</v>
      </c>
      <c r="AE2942" s="1" t="str">
        <f>IF(AND(Table1[[#This Row],[Spec Type2]]="N/A",Table1[[#This Row],[DUT Adj Read]]="N/A",Table1[[#This Row],[Std Adj Read]]="N/A"),"N/A",IF(Table1[[#This Row],[DUT Adj Read]]="N/A",IF(Table1[[#This Row],[Std Adj Read]]&lt;Table1[[#This Row],[High Tol]],"Pass","Fail"),IF(Table1[[#This Row],[DUT Adj Read]]&lt;Table1[[#This Row],[High Tol]],"Pass","Fail")))</f>
        <v>Fail</v>
      </c>
      <c r="AF2942" s="1" t="str">
        <f>IF(AND(Table1[[#This Row],[Spec Type2]]="N/A",Table1[[#This Row],[DUT Adj Read]]="N/A",Table1[[#This Row],[Std Adj Read]]="N/A"),"N/A",IF(Table1[[#This Row],[DUT Adj Read]]="N/A",IF(Table1[[#This Row],[Std Adj Read]]&gt;=Table1[[#This Row],[Low Tol]],"Pass","Fail"),IF(Table1[[#This Row],[DUT Adj Read]]&gt;=Table1[[#This Row],[Low Tol]],"Pass","Fail")))</f>
        <v>Pass</v>
      </c>
      <c r="AG2942" s="1" t="str">
        <f>IF(AND(Table1[[#This Row],[Spec Type2]]="N/A",Table1[[#This Row],[DUT Adj Read]]="N/A",Table1[[#This Row],[Std Adj Read]]="N/A"),"N/A",IF(Table1[[#This Row],[DUT Adj Read]]="N/A",IF(Table1[[#This Row],[Std Adj Read]]&lt;=Table1[[#This Row],[High Tol]],"Pass","Fail"),IF(Table1[[#This Row],[DUT Adj Read]]&lt;=Table1[[#This Row],[High Tol]],"Pass","Fail")))</f>
        <v>Fail</v>
      </c>
      <c r="AH294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2" s="1" t="b">
        <v>0</v>
      </c>
      <c r="AN2942" s="1" t="b">
        <v>0</v>
      </c>
      <c r="AO2942" s="1" t="b">
        <v>0</v>
      </c>
    </row>
    <row r="2943" spans="1:41" x14ac:dyDescent="0.25">
      <c r="A2943" s="10"/>
      <c r="B2943" s="10"/>
      <c r="C2943" s="10"/>
      <c r="D2943" s="10"/>
      <c r="E2943" s="10"/>
      <c r="F2943" s="10"/>
      <c r="G2943" s="10"/>
      <c r="H2943" s="10"/>
      <c r="I2943" s="1" t="str">
        <f t="shared" si="135"/>
        <v/>
      </c>
      <c r="J2943" s="1" t="s">
        <v>35</v>
      </c>
      <c r="K2943" s="1" t="str">
        <f t="shared" si="136"/>
        <v/>
      </c>
      <c r="L2943" s="1" t="str">
        <f t="shared" si="137"/>
        <v/>
      </c>
      <c r="M2943" s="1">
        <f>IF(OR(Table1[[#This Row],[Std Nom]]="",Table1[[#This Row],[Std Read]]=""),0,Table1[[#This Row],[Std Nom]]-Table1[[#This Row],[Std Read]])</f>
        <v>0</v>
      </c>
      <c r="N2943" s="1">
        <f>IF(Calculations!$F$5="ACCREDITED 17025 WITH UNCERTAINTIES",$N$10,0)</f>
        <v>0</v>
      </c>
      <c r="Q2943" s="1">
        <f>Table1[[#This Row],[High Tol]]-Table1[[#This Row],[Low Tol]]</f>
        <v>0</v>
      </c>
      <c r="R2943" s="1">
        <f>2*Table1[[#This Row],[Std Error]]</f>
        <v>0</v>
      </c>
      <c r="S2943" s="1" t="str">
        <f>IF(Table1[[#This Row],[High Tol]]="","N/A",IFERROR(ABS(Table1[[#This Row],[Tol Span]]/Table1[[#This Row],[Error Span]]),"N/A"))</f>
        <v>N/A</v>
      </c>
      <c r="T2943" s="1" t="str">
        <f>IF(OR(Table1[[#This Row],[Low Tol]]="",Table1[[#This Row],[High Tol]]=""),"Needs Analysis",IF(Table1[[#This Row],[Ratio]]&gt;=4,"Not Significant",IF(Table1[[#This Row],[Ratio]]&gt;=2,"Semi-Significant","Significant")))</f>
        <v>Needs Analysis</v>
      </c>
      <c r="W2943" s="1">
        <f>IF(Table1[[#This Row],[Cal Type]]&lt;&gt;"ACCREDITED 17025 WITH UNCERTAINTIES",0,"")</f>
        <v>0</v>
      </c>
      <c r="X2943" s="1" t="str">
        <f>IF(Table1[[#This Row],[DUT Read]]="","N/A",Table1[[#This Row],[Std Error]]+Table1[[#This Row],[DUT Read]]+Table1[[#This Row],[DUT Ucty]])</f>
        <v>N/A</v>
      </c>
      <c r="Y2943" s="1" t="str">
        <f>IF(Table1[[#This Row],[Std Read]]="","N/A",Table1[[#This Row],[Std Read]]+Table1[[#This Row],[Std Ucty]])</f>
        <v>N/A</v>
      </c>
      <c r="Z294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3" s="1" t="str">
        <f>IF(Table1[[#This Row],[Spec Type]]="","N/A",Table1[[#This Row],[Spec Type]])</f>
        <v>±</v>
      </c>
      <c r="AC2943" s="1" t="str">
        <f>IF(Table1[[#This Row],[Spec Type2]]="N/A","N/A",IF(AND(Table1[[#This Row],[DUT Adj Read]]&gt;=Table1[[#This Row],[Low Tol]],Table1[[#This Row],[DUT Adj Read]]&lt;=Table1[[#This Row],[High Tol]]),"Pass","Fail"))</f>
        <v>Fail</v>
      </c>
      <c r="AD2943" s="1" t="str">
        <f>IF(AND(Table1[[#This Row],[Spec Type2]]="N/A",Table1[[#This Row],[DUT Adj Read]]="N/A",Table1[[#This Row],[Std Adj Read]]="N/A"),"N/A",IF(Table1[[#This Row],[DUT Adj Read]]="N/A",IF(Table1[[#This Row],[Std Adj Read]]&gt;Table1[[#This Row],[Low Tol]],"Pass","Fail"),IF(Table1[[#This Row],[DUT Adj Read]]&gt;Table1[[#This Row],[Low Tol]],"Pass","Fail")))</f>
        <v>Pass</v>
      </c>
      <c r="AE2943" s="1" t="str">
        <f>IF(AND(Table1[[#This Row],[Spec Type2]]="N/A",Table1[[#This Row],[DUT Adj Read]]="N/A",Table1[[#This Row],[Std Adj Read]]="N/A"),"N/A",IF(Table1[[#This Row],[DUT Adj Read]]="N/A",IF(Table1[[#This Row],[Std Adj Read]]&lt;Table1[[#This Row],[High Tol]],"Pass","Fail"),IF(Table1[[#This Row],[DUT Adj Read]]&lt;Table1[[#This Row],[High Tol]],"Pass","Fail")))</f>
        <v>Fail</v>
      </c>
      <c r="AF2943" s="1" t="str">
        <f>IF(AND(Table1[[#This Row],[Spec Type2]]="N/A",Table1[[#This Row],[DUT Adj Read]]="N/A",Table1[[#This Row],[Std Adj Read]]="N/A"),"N/A",IF(Table1[[#This Row],[DUT Adj Read]]="N/A",IF(Table1[[#This Row],[Std Adj Read]]&gt;=Table1[[#This Row],[Low Tol]],"Pass","Fail"),IF(Table1[[#This Row],[DUT Adj Read]]&gt;=Table1[[#This Row],[Low Tol]],"Pass","Fail")))</f>
        <v>Pass</v>
      </c>
      <c r="AG2943" s="1" t="str">
        <f>IF(AND(Table1[[#This Row],[Spec Type2]]="N/A",Table1[[#This Row],[DUT Adj Read]]="N/A",Table1[[#This Row],[Std Adj Read]]="N/A"),"N/A",IF(Table1[[#This Row],[DUT Adj Read]]="N/A",IF(Table1[[#This Row],[Std Adj Read]]&lt;=Table1[[#This Row],[High Tol]],"Pass","Fail"),IF(Table1[[#This Row],[DUT Adj Read]]&lt;=Table1[[#This Row],[High Tol]],"Pass","Fail")))</f>
        <v>Fail</v>
      </c>
      <c r="AH294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3" s="1" t="b">
        <v>0</v>
      </c>
      <c r="AN2943" s="1" t="b">
        <v>0</v>
      </c>
      <c r="AO2943" s="1" t="b">
        <v>0</v>
      </c>
    </row>
    <row r="2944" spans="1:41" x14ac:dyDescent="0.25">
      <c r="A2944" s="10"/>
      <c r="B2944" s="10"/>
      <c r="C2944" s="10"/>
      <c r="D2944" s="10"/>
      <c r="E2944" s="10"/>
      <c r="F2944" s="10"/>
      <c r="G2944" s="10"/>
      <c r="H2944" s="10"/>
      <c r="I2944" s="1" t="str">
        <f t="shared" si="135"/>
        <v/>
      </c>
      <c r="J2944" s="1" t="s">
        <v>35</v>
      </c>
      <c r="K2944" s="1" t="str">
        <f t="shared" si="136"/>
        <v/>
      </c>
      <c r="L2944" s="1" t="str">
        <f t="shared" si="137"/>
        <v/>
      </c>
      <c r="M2944" s="1">
        <f>IF(OR(Table1[[#This Row],[Std Nom]]="",Table1[[#This Row],[Std Read]]=""),0,Table1[[#This Row],[Std Nom]]-Table1[[#This Row],[Std Read]])</f>
        <v>0</v>
      </c>
      <c r="N2944" s="1">
        <f>IF(Calculations!$F$5="ACCREDITED 17025 WITH UNCERTAINTIES",$N$10,0)</f>
        <v>0</v>
      </c>
      <c r="Q2944" s="1">
        <f>Table1[[#This Row],[High Tol]]-Table1[[#This Row],[Low Tol]]</f>
        <v>0</v>
      </c>
      <c r="R2944" s="1">
        <f>2*Table1[[#This Row],[Std Error]]</f>
        <v>0</v>
      </c>
      <c r="S2944" s="1" t="str">
        <f>IF(Table1[[#This Row],[High Tol]]="","N/A",IFERROR(ABS(Table1[[#This Row],[Tol Span]]/Table1[[#This Row],[Error Span]]),"N/A"))</f>
        <v>N/A</v>
      </c>
      <c r="T2944" s="1" t="str">
        <f>IF(OR(Table1[[#This Row],[Low Tol]]="",Table1[[#This Row],[High Tol]]=""),"Needs Analysis",IF(Table1[[#This Row],[Ratio]]&gt;=4,"Not Significant",IF(Table1[[#This Row],[Ratio]]&gt;=2,"Semi-Significant","Significant")))</f>
        <v>Needs Analysis</v>
      </c>
      <c r="W2944" s="1">
        <f>IF(Table1[[#This Row],[Cal Type]]&lt;&gt;"ACCREDITED 17025 WITH UNCERTAINTIES",0,"")</f>
        <v>0</v>
      </c>
      <c r="X2944" s="1" t="str">
        <f>IF(Table1[[#This Row],[DUT Read]]="","N/A",Table1[[#This Row],[Std Error]]+Table1[[#This Row],[DUT Read]]+Table1[[#This Row],[DUT Ucty]])</f>
        <v>N/A</v>
      </c>
      <c r="Y2944" s="1" t="str">
        <f>IF(Table1[[#This Row],[Std Read]]="","N/A",Table1[[#This Row],[Std Read]]+Table1[[#This Row],[Std Ucty]])</f>
        <v>N/A</v>
      </c>
      <c r="Z294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4" s="1" t="str">
        <f>IF(Table1[[#This Row],[Spec Type]]="","N/A",Table1[[#This Row],[Spec Type]])</f>
        <v>±</v>
      </c>
      <c r="AC2944" s="1" t="str">
        <f>IF(Table1[[#This Row],[Spec Type2]]="N/A","N/A",IF(AND(Table1[[#This Row],[DUT Adj Read]]&gt;=Table1[[#This Row],[Low Tol]],Table1[[#This Row],[DUT Adj Read]]&lt;=Table1[[#This Row],[High Tol]]),"Pass","Fail"))</f>
        <v>Fail</v>
      </c>
      <c r="AD2944" s="1" t="str">
        <f>IF(AND(Table1[[#This Row],[Spec Type2]]="N/A",Table1[[#This Row],[DUT Adj Read]]="N/A",Table1[[#This Row],[Std Adj Read]]="N/A"),"N/A",IF(Table1[[#This Row],[DUT Adj Read]]="N/A",IF(Table1[[#This Row],[Std Adj Read]]&gt;Table1[[#This Row],[Low Tol]],"Pass","Fail"),IF(Table1[[#This Row],[DUT Adj Read]]&gt;Table1[[#This Row],[Low Tol]],"Pass","Fail")))</f>
        <v>Pass</v>
      </c>
      <c r="AE2944" s="1" t="str">
        <f>IF(AND(Table1[[#This Row],[Spec Type2]]="N/A",Table1[[#This Row],[DUT Adj Read]]="N/A",Table1[[#This Row],[Std Adj Read]]="N/A"),"N/A",IF(Table1[[#This Row],[DUT Adj Read]]="N/A",IF(Table1[[#This Row],[Std Adj Read]]&lt;Table1[[#This Row],[High Tol]],"Pass","Fail"),IF(Table1[[#This Row],[DUT Adj Read]]&lt;Table1[[#This Row],[High Tol]],"Pass","Fail")))</f>
        <v>Fail</v>
      </c>
      <c r="AF2944" s="1" t="str">
        <f>IF(AND(Table1[[#This Row],[Spec Type2]]="N/A",Table1[[#This Row],[DUT Adj Read]]="N/A",Table1[[#This Row],[Std Adj Read]]="N/A"),"N/A",IF(Table1[[#This Row],[DUT Adj Read]]="N/A",IF(Table1[[#This Row],[Std Adj Read]]&gt;=Table1[[#This Row],[Low Tol]],"Pass","Fail"),IF(Table1[[#This Row],[DUT Adj Read]]&gt;=Table1[[#This Row],[Low Tol]],"Pass","Fail")))</f>
        <v>Pass</v>
      </c>
      <c r="AG2944" s="1" t="str">
        <f>IF(AND(Table1[[#This Row],[Spec Type2]]="N/A",Table1[[#This Row],[DUT Adj Read]]="N/A",Table1[[#This Row],[Std Adj Read]]="N/A"),"N/A",IF(Table1[[#This Row],[DUT Adj Read]]="N/A",IF(Table1[[#This Row],[Std Adj Read]]&lt;=Table1[[#This Row],[High Tol]],"Pass","Fail"),IF(Table1[[#This Row],[DUT Adj Read]]&lt;=Table1[[#This Row],[High Tol]],"Pass","Fail")))</f>
        <v>Fail</v>
      </c>
      <c r="AH294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4" s="1" t="b">
        <v>0</v>
      </c>
      <c r="AN2944" s="1" t="b">
        <v>0</v>
      </c>
      <c r="AO2944" s="1" t="b">
        <v>0</v>
      </c>
    </row>
    <row r="2945" spans="1:41" x14ac:dyDescent="0.25">
      <c r="A2945" s="10"/>
      <c r="B2945" s="10"/>
      <c r="C2945" s="10"/>
      <c r="D2945" s="10"/>
      <c r="E2945" s="10"/>
      <c r="F2945" s="10"/>
      <c r="G2945" s="10"/>
      <c r="H2945" s="10"/>
      <c r="I2945" s="1" t="str">
        <f t="shared" si="135"/>
        <v/>
      </c>
      <c r="J2945" s="1" t="s">
        <v>35</v>
      </c>
      <c r="K2945" s="1" t="str">
        <f t="shared" si="136"/>
        <v/>
      </c>
      <c r="L2945" s="1" t="str">
        <f t="shared" si="137"/>
        <v/>
      </c>
      <c r="M2945" s="1">
        <f>IF(OR(Table1[[#This Row],[Std Nom]]="",Table1[[#This Row],[Std Read]]=""),0,Table1[[#This Row],[Std Nom]]-Table1[[#This Row],[Std Read]])</f>
        <v>0</v>
      </c>
      <c r="N2945" s="1">
        <f>IF(Calculations!$F$5="ACCREDITED 17025 WITH UNCERTAINTIES",$N$10,0)</f>
        <v>0</v>
      </c>
      <c r="Q2945" s="1">
        <f>Table1[[#This Row],[High Tol]]-Table1[[#This Row],[Low Tol]]</f>
        <v>0</v>
      </c>
      <c r="R2945" s="1">
        <f>2*Table1[[#This Row],[Std Error]]</f>
        <v>0</v>
      </c>
      <c r="S2945" s="1" t="str">
        <f>IF(Table1[[#This Row],[High Tol]]="","N/A",IFERROR(ABS(Table1[[#This Row],[Tol Span]]/Table1[[#This Row],[Error Span]]),"N/A"))</f>
        <v>N/A</v>
      </c>
      <c r="T2945" s="1" t="str">
        <f>IF(OR(Table1[[#This Row],[Low Tol]]="",Table1[[#This Row],[High Tol]]=""),"Needs Analysis",IF(Table1[[#This Row],[Ratio]]&gt;=4,"Not Significant",IF(Table1[[#This Row],[Ratio]]&gt;=2,"Semi-Significant","Significant")))</f>
        <v>Needs Analysis</v>
      </c>
      <c r="W2945" s="1">
        <f>IF(Table1[[#This Row],[Cal Type]]&lt;&gt;"ACCREDITED 17025 WITH UNCERTAINTIES",0,"")</f>
        <v>0</v>
      </c>
      <c r="X2945" s="1" t="str">
        <f>IF(Table1[[#This Row],[DUT Read]]="","N/A",Table1[[#This Row],[Std Error]]+Table1[[#This Row],[DUT Read]]+Table1[[#This Row],[DUT Ucty]])</f>
        <v>N/A</v>
      </c>
      <c r="Y2945" s="1" t="str">
        <f>IF(Table1[[#This Row],[Std Read]]="","N/A",Table1[[#This Row],[Std Read]]+Table1[[#This Row],[Std Ucty]])</f>
        <v>N/A</v>
      </c>
      <c r="Z294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5" s="1" t="str">
        <f>IF(Table1[[#This Row],[Spec Type]]="","N/A",Table1[[#This Row],[Spec Type]])</f>
        <v>±</v>
      </c>
      <c r="AC2945" s="1" t="str">
        <f>IF(Table1[[#This Row],[Spec Type2]]="N/A","N/A",IF(AND(Table1[[#This Row],[DUT Adj Read]]&gt;=Table1[[#This Row],[Low Tol]],Table1[[#This Row],[DUT Adj Read]]&lt;=Table1[[#This Row],[High Tol]]),"Pass","Fail"))</f>
        <v>Fail</v>
      </c>
      <c r="AD2945" s="1" t="str">
        <f>IF(AND(Table1[[#This Row],[Spec Type2]]="N/A",Table1[[#This Row],[DUT Adj Read]]="N/A",Table1[[#This Row],[Std Adj Read]]="N/A"),"N/A",IF(Table1[[#This Row],[DUT Adj Read]]="N/A",IF(Table1[[#This Row],[Std Adj Read]]&gt;Table1[[#This Row],[Low Tol]],"Pass","Fail"),IF(Table1[[#This Row],[DUT Adj Read]]&gt;Table1[[#This Row],[Low Tol]],"Pass","Fail")))</f>
        <v>Pass</v>
      </c>
      <c r="AE2945" s="1" t="str">
        <f>IF(AND(Table1[[#This Row],[Spec Type2]]="N/A",Table1[[#This Row],[DUT Adj Read]]="N/A",Table1[[#This Row],[Std Adj Read]]="N/A"),"N/A",IF(Table1[[#This Row],[DUT Adj Read]]="N/A",IF(Table1[[#This Row],[Std Adj Read]]&lt;Table1[[#This Row],[High Tol]],"Pass","Fail"),IF(Table1[[#This Row],[DUT Adj Read]]&lt;Table1[[#This Row],[High Tol]],"Pass","Fail")))</f>
        <v>Fail</v>
      </c>
      <c r="AF2945" s="1" t="str">
        <f>IF(AND(Table1[[#This Row],[Spec Type2]]="N/A",Table1[[#This Row],[DUT Adj Read]]="N/A",Table1[[#This Row],[Std Adj Read]]="N/A"),"N/A",IF(Table1[[#This Row],[DUT Adj Read]]="N/A",IF(Table1[[#This Row],[Std Adj Read]]&gt;=Table1[[#This Row],[Low Tol]],"Pass","Fail"),IF(Table1[[#This Row],[DUT Adj Read]]&gt;=Table1[[#This Row],[Low Tol]],"Pass","Fail")))</f>
        <v>Pass</v>
      </c>
      <c r="AG2945" s="1" t="str">
        <f>IF(AND(Table1[[#This Row],[Spec Type2]]="N/A",Table1[[#This Row],[DUT Adj Read]]="N/A",Table1[[#This Row],[Std Adj Read]]="N/A"),"N/A",IF(Table1[[#This Row],[DUT Adj Read]]="N/A",IF(Table1[[#This Row],[Std Adj Read]]&lt;=Table1[[#This Row],[High Tol]],"Pass","Fail"),IF(Table1[[#This Row],[DUT Adj Read]]&lt;=Table1[[#This Row],[High Tol]],"Pass","Fail")))</f>
        <v>Fail</v>
      </c>
      <c r="AH294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5" s="1" t="b">
        <v>0</v>
      </c>
      <c r="AN2945" s="1" t="b">
        <v>0</v>
      </c>
      <c r="AO2945" s="1" t="b">
        <v>0</v>
      </c>
    </row>
    <row r="2946" spans="1:41" x14ac:dyDescent="0.25">
      <c r="A2946" s="10"/>
      <c r="B2946" s="10"/>
      <c r="C2946" s="10"/>
      <c r="D2946" s="10"/>
      <c r="E2946" s="10"/>
      <c r="F2946" s="10"/>
      <c r="G2946" s="10"/>
      <c r="H2946" s="10"/>
      <c r="I2946" s="1" t="str">
        <f t="shared" si="135"/>
        <v/>
      </c>
      <c r="J2946" s="1" t="s">
        <v>35</v>
      </c>
      <c r="K2946" s="1" t="str">
        <f t="shared" si="136"/>
        <v/>
      </c>
      <c r="L2946" s="1" t="str">
        <f t="shared" si="137"/>
        <v/>
      </c>
      <c r="M2946" s="1">
        <f>IF(OR(Table1[[#This Row],[Std Nom]]="",Table1[[#This Row],[Std Read]]=""),0,Table1[[#This Row],[Std Nom]]-Table1[[#This Row],[Std Read]])</f>
        <v>0</v>
      </c>
      <c r="N2946" s="1">
        <f>IF(Calculations!$F$5="ACCREDITED 17025 WITH UNCERTAINTIES",$N$10,0)</f>
        <v>0</v>
      </c>
      <c r="Q2946" s="1">
        <f>Table1[[#This Row],[High Tol]]-Table1[[#This Row],[Low Tol]]</f>
        <v>0</v>
      </c>
      <c r="R2946" s="1">
        <f>2*Table1[[#This Row],[Std Error]]</f>
        <v>0</v>
      </c>
      <c r="S2946" s="1" t="str">
        <f>IF(Table1[[#This Row],[High Tol]]="","N/A",IFERROR(ABS(Table1[[#This Row],[Tol Span]]/Table1[[#This Row],[Error Span]]),"N/A"))</f>
        <v>N/A</v>
      </c>
      <c r="T2946" s="1" t="str">
        <f>IF(OR(Table1[[#This Row],[Low Tol]]="",Table1[[#This Row],[High Tol]]=""),"Needs Analysis",IF(Table1[[#This Row],[Ratio]]&gt;=4,"Not Significant",IF(Table1[[#This Row],[Ratio]]&gt;=2,"Semi-Significant","Significant")))</f>
        <v>Needs Analysis</v>
      </c>
      <c r="W2946" s="1">
        <f>IF(Table1[[#This Row],[Cal Type]]&lt;&gt;"ACCREDITED 17025 WITH UNCERTAINTIES",0,"")</f>
        <v>0</v>
      </c>
      <c r="X2946" s="1" t="str">
        <f>IF(Table1[[#This Row],[DUT Read]]="","N/A",Table1[[#This Row],[Std Error]]+Table1[[#This Row],[DUT Read]]+Table1[[#This Row],[DUT Ucty]])</f>
        <v>N/A</v>
      </c>
      <c r="Y2946" s="1" t="str">
        <f>IF(Table1[[#This Row],[Std Read]]="","N/A",Table1[[#This Row],[Std Read]]+Table1[[#This Row],[Std Ucty]])</f>
        <v>N/A</v>
      </c>
      <c r="Z294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6" s="1" t="str">
        <f>IF(Table1[[#This Row],[Spec Type]]="","N/A",Table1[[#This Row],[Spec Type]])</f>
        <v>±</v>
      </c>
      <c r="AC2946" s="1" t="str">
        <f>IF(Table1[[#This Row],[Spec Type2]]="N/A","N/A",IF(AND(Table1[[#This Row],[DUT Adj Read]]&gt;=Table1[[#This Row],[Low Tol]],Table1[[#This Row],[DUT Adj Read]]&lt;=Table1[[#This Row],[High Tol]]),"Pass","Fail"))</f>
        <v>Fail</v>
      </c>
      <c r="AD2946" s="1" t="str">
        <f>IF(AND(Table1[[#This Row],[Spec Type2]]="N/A",Table1[[#This Row],[DUT Adj Read]]="N/A",Table1[[#This Row],[Std Adj Read]]="N/A"),"N/A",IF(Table1[[#This Row],[DUT Adj Read]]="N/A",IF(Table1[[#This Row],[Std Adj Read]]&gt;Table1[[#This Row],[Low Tol]],"Pass","Fail"),IF(Table1[[#This Row],[DUT Adj Read]]&gt;Table1[[#This Row],[Low Tol]],"Pass","Fail")))</f>
        <v>Pass</v>
      </c>
      <c r="AE2946" s="1" t="str">
        <f>IF(AND(Table1[[#This Row],[Spec Type2]]="N/A",Table1[[#This Row],[DUT Adj Read]]="N/A",Table1[[#This Row],[Std Adj Read]]="N/A"),"N/A",IF(Table1[[#This Row],[DUT Adj Read]]="N/A",IF(Table1[[#This Row],[Std Adj Read]]&lt;Table1[[#This Row],[High Tol]],"Pass","Fail"),IF(Table1[[#This Row],[DUT Adj Read]]&lt;Table1[[#This Row],[High Tol]],"Pass","Fail")))</f>
        <v>Fail</v>
      </c>
      <c r="AF2946" s="1" t="str">
        <f>IF(AND(Table1[[#This Row],[Spec Type2]]="N/A",Table1[[#This Row],[DUT Adj Read]]="N/A",Table1[[#This Row],[Std Adj Read]]="N/A"),"N/A",IF(Table1[[#This Row],[DUT Adj Read]]="N/A",IF(Table1[[#This Row],[Std Adj Read]]&gt;=Table1[[#This Row],[Low Tol]],"Pass","Fail"),IF(Table1[[#This Row],[DUT Adj Read]]&gt;=Table1[[#This Row],[Low Tol]],"Pass","Fail")))</f>
        <v>Pass</v>
      </c>
      <c r="AG2946" s="1" t="str">
        <f>IF(AND(Table1[[#This Row],[Spec Type2]]="N/A",Table1[[#This Row],[DUT Adj Read]]="N/A",Table1[[#This Row],[Std Adj Read]]="N/A"),"N/A",IF(Table1[[#This Row],[DUT Adj Read]]="N/A",IF(Table1[[#This Row],[Std Adj Read]]&lt;=Table1[[#This Row],[High Tol]],"Pass","Fail"),IF(Table1[[#This Row],[DUT Adj Read]]&lt;=Table1[[#This Row],[High Tol]],"Pass","Fail")))</f>
        <v>Fail</v>
      </c>
      <c r="AH294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6" s="1" t="b">
        <v>0</v>
      </c>
      <c r="AN2946" s="1" t="b">
        <v>0</v>
      </c>
      <c r="AO2946" s="1" t="b">
        <v>0</v>
      </c>
    </row>
    <row r="2947" spans="1:41" x14ac:dyDescent="0.25">
      <c r="A2947" s="10"/>
      <c r="B2947" s="10"/>
      <c r="C2947" s="10"/>
      <c r="D2947" s="10"/>
      <c r="E2947" s="10"/>
      <c r="F2947" s="10"/>
      <c r="G2947" s="10"/>
      <c r="H2947" s="10"/>
      <c r="I2947" s="1" t="str">
        <f t="shared" si="135"/>
        <v/>
      </c>
      <c r="J2947" s="1" t="s">
        <v>35</v>
      </c>
      <c r="K2947" s="1" t="str">
        <f t="shared" si="136"/>
        <v/>
      </c>
      <c r="L2947" s="1" t="str">
        <f t="shared" si="137"/>
        <v/>
      </c>
      <c r="M2947" s="1">
        <f>IF(OR(Table1[[#This Row],[Std Nom]]="",Table1[[#This Row],[Std Read]]=""),0,Table1[[#This Row],[Std Nom]]-Table1[[#This Row],[Std Read]])</f>
        <v>0</v>
      </c>
      <c r="N2947" s="1">
        <f>IF(Calculations!$F$5="ACCREDITED 17025 WITH UNCERTAINTIES",$N$10,0)</f>
        <v>0</v>
      </c>
      <c r="Q2947" s="1">
        <f>Table1[[#This Row],[High Tol]]-Table1[[#This Row],[Low Tol]]</f>
        <v>0</v>
      </c>
      <c r="R2947" s="1">
        <f>2*Table1[[#This Row],[Std Error]]</f>
        <v>0</v>
      </c>
      <c r="S2947" s="1" t="str">
        <f>IF(Table1[[#This Row],[High Tol]]="","N/A",IFERROR(ABS(Table1[[#This Row],[Tol Span]]/Table1[[#This Row],[Error Span]]),"N/A"))</f>
        <v>N/A</v>
      </c>
      <c r="T2947" s="1" t="str">
        <f>IF(OR(Table1[[#This Row],[Low Tol]]="",Table1[[#This Row],[High Tol]]=""),"Needs Analysis",IF(Table1[[#This Row],[Ratio]]&gt;=4,"Not Significant",IF(Table1[[#This Row],[Ratio]]&gt;=2,"Semi-Significant","Significant")))</f>
        <v>Needs Analysis</v>
      </c>
      <c r="W2947" s="1">
        <f>IF(Table1[[#This Row],[Cal Type]]&lt;&gt;"ACCREDITED 17025 WITH UNCERTAINTIES",0,"")</f>
        <v>0</v>
      </c>
      <c r="X2947" s="1" t="str">
        <f>IF(Table1[[#This Row],[DUT Read]]="","N/A",Table1[[#This Row],[Std Error]]+Table1[[#This Row],[DUT Read]]+Table1[[#This Row],[DUT Ucty]])</f>
        <v>N/A</v>
      </c>
      <c r="Y2947" s="1" t="str">
        <f>IF(Table1[[#This Row],[Std Read]]="","N/A",Table1[[#This Row],[Std Read]]+Table1[[#This Row],[Std Ucty]])</f>
        <v>N/A</v>
      </c>
      <c r="Z294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7" s="1" t="str">
        <f>IF(Table1[[#This Row],[Spec Type]]="","N/A",Table1[[#This Row],[Spec Type]])</f>
        <v>±</v>
      </c>
      <c r="AC2947" s="1" t="str">
        <f>IF(Table1[[#This Row],[Spec Type2]]="N/A","N/A",IF(AND(Table1[[#This Row],[DUT Adj Read]]&gt;=Table1[[#This Row],[Low Tol]],Table1[[#This Row],[DUT Adj Read]]&lt;=Table1[[#This Row],[High Tol]]),"Pass","Fail"))</f>
        <v>Fail</v>
      </c>
      <c r="AD2947" s="1" t="str">
        <f>IF(AND(Table1[[#This Row],[Spec Type2]]="N/A",Table1[[#This Row],[DUT Adj Read]]="N/A",Table1[[#This Row],[Std Adj Read]]="N/A"),"N/A",IF(Table1[[#This Row],[DUT Adj Read]]="N/A",IF(Table1[[#This Row],[Std Adj Read]]&gt;Table1[[#This Row],[Low Tol]],"Pass","Fail"),IF(Table1[[#This Row],[DUT Adj Read]]&gt;Table1[[#This Row],[Low Tol]],"Pass","Fail")))</f>
        <v>Pass</v>
      </c>
      <c r="AE2947" s="1" t="str">
        <f>IF(AND(Table1[[#This Row],[Spec Type2]]="N/A",Table1[[#This Row],[DUT Adj Read]]="N/A",Table1[[#This Row],[Std Adj Read]]="N/A"),"N/A",IF(Table1[[#This Row],[DUT Adj Read]]="N/A",IF(Table1[[#This Row],[Std Adj Read]]&lt;Table1[[#This Row],[High Tol]],"Pass","Fail"),IF(Table1[[#This Row],[DUT Adj Read]]&lt;Table1[[#This Row],[High Tol]],"Pass","Fail")))</f>
        <v>Fail</v>
      </c>
      <c r="AF2947" s="1" t="str">
        <f>IF(AND(Table1[[#This Row],[Spec Type2]]="N/A",Table1[[#This Row],[DUT Adj Read]]="N/A",Table1[[#This Row],[Std Adj Read]]="N/A"),"N/A",IF(Table1[[#This Row],[DUT Adj Read]]="N/A",IF(Table1[[#This Row],[Std Adj Read]]&gt;=Table1[[#This Row],[Low Tol]],"Pass","Fail"),IF(Table1[[#This Row],[DUT Adj Read]]&gt;=Table1[[#This Row],[Low Tol]],"Pass","Fail")))</f>
        <v>Pass</v>
      </c>
      <c r="AG2947" s="1" t="str">
        <f>IF(AND(Table1[[#This Row],[Spec Type2]]="N/A",Table1[[#This Row],[DUT Adj Read]]="N/A",Table1[[#This Row],[Std Adj Read]]="N/A"),"N/A",IF(Table1[[#This Row],[DUT Adj Read]]="N/A",IF(Table1[[#This Row],[Std Adj Read]]&lt;=Table1[[#This Row],[High Tol]],"Pass","Fail"),IF(Table1[[#This Row],[DUT Adj Read]]&lt;=Table1[[#This Row],[High Tol]],"Pass","Fail")))</f>
        <v>Fail</v>
      </c>
      <c r="AH294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7" s="1" t="b">
        <v>0</v>
      </c>
      <c r="AN2947" s="1" t="b">
        <v>0</v>
      </c>
      <c r="AO2947" s="1" t="b">
        <v>0</v>
      </c>
    </row>
    <row r="2948" spans="1:41" x14ac:dyDescent="0.25">
      <c r="A2948" s="10"/>
      <c r="B2948" s="10"/>
      <c r="C2948" s="10"/>
      <c r="D2948" s="10"/>
      <c r="E2948" s="10"/>
      <c r="F2948" s="10"/>
      <c r="G2948" s="10"/>
      <c r="H2948" s="10"/>
      <c r="I2948" s="1" t="str">
        <f t="shared" si="135"/>
        <v/>
      </c>
      <c r="J2948" s="1" t="s">
        <v>35</v>
      </c>
      <c r="K2948" s="1" t="str">
        <f t="shared" si="136"/>
        <v/>
      </c>
      <c r="L2948" s="1" t="str">
        <f t="shared" si="137"/>
        <v/>
      </c>
      <c r="M2948" s="1">
        <f>IF(OR(Table1[[#This Row],[Std Nom]]="",Table1[[#This Row],[Std Read]]=""),0,Table1[[#This Row],[Std Nom]]-Table1[[#This Row],[Std Read]])</f>
        <v>0</v>
      </c>
      <c r="N2948" s="1">
        <f>IF(Calculations!$F$5="ACCREDITED 17025 WITH UNCERTAINTIES",$N$10,0)</f>
        <v>0</v>
      </c>
      <c r="Q2948" s="1">
        <f>Table1[[#This Row],[High Tol]]-Table1[[#This Row],[Low Tol]]</f>
        <v>0</v>
      </c>
      <c r="R2948" s="1">
        <f>2*Table1[[#This Row],[Std Error]]</f>
        <v>0</v>
      </c>
      <c r="S2948" s="1" t="str">
        <f>IF(Table1[[#This Row],[High Tol]]="","N/A",IFERROR(ABS(Table1[[#This Row],[Tol Span]]/Table1[[#This Row],[Error Span]]),"N/A"))</f>
        <v>N/A</v>
      </c>
      <c r="T2948" s="1" t="str">
        <f>IF(OR(Table1[[#This Row],[Low Tol]]="",Table1[[#This Row],[High Tol]]=""),"Needs Analysis",IF(Table1[[#This Row],[Ratio]]&gt;=4,"Not Significant",IF(Table1[[#This Row],[Ratio]]&gt;=2,"Semi-Significant","Significant")))</f>
        <v>Needs Analysis</v>
      </c>
      <c r="W2948" s="1">
        <f>IF(Table1[[#This Row],[Cal Type]]&lt;&gt;"ACCREDITED 17025 WITH UNCERTAINTIES",0,"")</f>
        <v>0</v>
      </c>
      <c r="X2948" s="1" t="str">
        <f>IF(Table1[[#This Row],[DUT Read]]="","N/A",Table1[[#This Row],[Std Error]]+Table1[[#This Row],[DUT Read]]+Table1[[#This Row],[DUT Ucty]])</f>
        <v>N/A</v>
      </c>
      <c r="Y2948" s="1" t="str">
        <f>IF(Table1[[#This Row],[Std Read]]="","N/A",Table1[[#This Row],[Std Read]]+Table1[[#This Row],[Std Ucty]])</f>
        <v>N/A</v>
      </c>
      <c r="Z294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8" s="1" t="str">
        <f>IF(Table1[[#This Row],[Spec Type]]="","N/A",Table1[[#This Row],[Spec Type]])</f>
        <v>±</v>
      </c>
      <c r="AC2948" s="1" t="str">
        <f>IF(Table1[[#This Row],[Spec Type2]]="N/A","N/A",IF(AND(Table1[[#This Row],[DUT Adj Read]]&gt;=Table1[[#This Row],[Low Tol]],Table1[[#This Row],[DUT Adj Read]]&lt;=Table1[[#This Row],[High Tol]]),"Pass","Fail"))</f>
        <v>Fail</v>
      </c>
      <c r="AD2948" s="1" t="str">
        <f>IF(AND(Table1[[#This Row],[Spec Type2]]="N/A",Table1[[#This Row],[DUT Adj Read]]="N/A",Table1[[#This Row],[Std Adj Read]]="N/A"),"N/A",IF(Table1[[#This Row],[DUT Adj Read]]="N/A",IF(Table1[[#This Row],[Std Adj Read]]&gt;Table1[[#This Row],[Low Tol]],"Pass","Fail"),IF(Table1[[#This Row],[DUT Adj Read]]&gt;Table1[[#This Row],[Low Tol]],"Pass","Fail")))</f>
        <v>Pass</v>
      </c>
      <c r="AE2948" s="1" t="str">
        <f>IF(AND(Table1[[#This Row],[Spec Type2]]="N/A",Table1[[#This Row],[DUT Adj Read]]="N/A",Table1[[#This Row],[Std Adj Read]]="N/A"),"N/A",IF(Table1[[#This Row],[DUT Adj Read]]="N/A",IF(Table1[[#This Row],[Std Adj Read]]&lt;Table1[[#This Row],[High Tol]],"Pass","Fail"),IF(Table1[[#This Row],[DUT Adj Read]]&lt;Table1[[#This Row],[High Tol]],"Pass","Fail")))</f>
        <v>Fail</v>
      </c>
      <c r="AF2948" s="1" t="str">
        <f>IF(AND(Table1[[#This Row],[Spec Type2]]="N/A",Table1[[#This Row],[DUT Adj Read]]="N/A",Table1[[#This Row],[Std Adj Read]]="N/A"),"N/A",IF(Table1[[#This Row],[DUT Adj Read]]="N/A",IF(Table1[[#This Row],[Std Adj Read]]&gt;=Table1[[#This Row],[Low Tol]],"Pass","Fail"),IF(Table1[[#This Row],[DUT Adj Read]]&gt;=Table1[[#This Row],[Low Tol]],"Pass","Fail")))</f>
        <v>Pass</v>
      </c>
      <c r="AG2948" s="1" t="str">
        <f>IF(AND(Table1[[#This Row],[Spec Type2]]="N/A",Table1[[#This Row],[DUT Adj Read]]="N/A",Table1[[#This Row],[Std Adj Read]]="N/A"),"N/A",IF(Table1[[#This Row],[DUT Adj Read]]="N/A",IF(Table1[[#This Row],[Std Adj Read]]&lt;=Table1[[#This Row],[High Tol]],"Pass","Fail"),IF(Table1[[#This Row],[DUT Adj Read]]&lt;=Table1[[#This Row],[High Tol]],"Pass","Fail")))</f>
        <v>Fail</v>
      </c>
      <c r="AH294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8" s="1" t="b">
        <v>0</v>
      </c>
      <c r="AN2948" s="1" t="b">
        <v>0</v>
      </c>
      <c r="AO2948" s="1" t="b">
        <v>0</v>
      </c>
    </row>
    <row r="2949" spans="1:41" x14ac:dyDescent="0.25">
      <c r="A2949" s="10"/>
      <c r="B2949" s="10"/>
      <c r="C2949" s="10"/>
      <c r="D2949" s="10"/>
      <c r="E2949" s="10"/>
      <c r="F2949" s="10"/>
      <c r="G2949" s="10"/>
      <c r="H2949" s="10"/>
      <c r="I2949" s="1" t="str">
        <f t="shared" si="135"/>
        <v/>
      </c>
      <c r="J2949" s="1" t="s">
        <v>35</v>
      </c>
      <c r="K2949" s="1" t="str">
        <f t="shared" si="136"/>
        <v/>
      </c>
      <c r="L2949" s="1" t="str">
        <f t="shared" si="137"/>
        <v/>
      </c>
      <c r="M2949" s="1">
        <f>IF(OR(Table1[[#This Row],[Std Nom]]="",Table1[[#This Row],[Std Read]]=""),0,Table1[[#This Row],[Std Nom]]-Table1[[#This Row],[Std Read]])</f>
        <v>0</v>
      </c>
      <c r="N2949" s="1">
        <f>IF(Calculations!$F$5="ACCREDITED 17025 WITH UNCERTAINTIES",$N$10,0)</f>
        <v>0</v>
      </c>
      <c r="Q2949" s="1">
        <f>Table1[[#This Row],[High Tol]]-Table1[[#This Row],[Low Tol]]</f>
        <v>0</v>
      </c>
      <c r="R2949" s="1">
        <f>2*Table1[[#This Row],[Std Error]]</f>
        <v>0</v>
      </c>
      <c r="S2949" s="1" t="str">
        <f>IF(Table1[[#This Row],[High Tol]]="","N/A",IFERROR(ABS(Table1[[#This Row],[Tol Span]]/Table1[[#This Row],[Error Span]]),"N/A"))</f>
        <v>N/A</v>
      </c>
      <c r="T2949" s="1" t="str">
        <f>IF(OR(Table1[[#This Row],[Low Tol]]="",Table1[[#This Row],[High Tol]]=""),"Needs Analysis",IF(Table1[[#This Row],[Ratio]]&gt;=4,"Not Significant",IF(Table1[[#This Row],[Ratio]]&gt;=2,"Semi-Significant","Significant")))</f>
        <v>Needs Analysis</v>
      </c>
      <c r="W2949" s="1">
        <f>IF(Table1[[#This Row],[Cal Type]]&lt;&gt;"ACCREDITED 17025 WITH UNCERTAINTIES",0,"")</f>
        <v>0</v>
      </c>
      <c r="X2949" s="1" t="str">
        <f>IF(Table1[[#This Row],[DUT Read]]="","N/A",Table1[[#This Row],[Std Error]]+Table1[[#This Row],[DUT Read]]+Table1[[#This Row],[DUT Ucty]])</f>
        <v>N/A</v>
      </c>
      <c r="Y2949" s="1" t="str">
        <f>IF(Table1[[#This Row],[Std Read]]="","N/A",Table1[[#This Row],[Std Read]]+Table1[[#This Row],[Std Ucty]])</f>
        <v>N/A</v>
      </c>
      <c r="Z294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49" s="1" t="str">
        <f>IF(Table1[[#This Row],[Spec Type]]="","N/A",Table1[[#This Row],[Spec Type]])</f>
        <v>±</v>
      </c>
      <c r="AC2949" s="1" t="str">
        <f>IF(Table1[[#This Row],[Spec Type2]]="N/A","N/A",IF(AND(Table1[[#This Row],[DUT Adj Read]]&gt;=Table1[[#This Row],[Low Tol]],Table1[[#This Row],[DUT Adj Read]]&lt;=Table1[[#This Row],[High Tol]]),"Pass","Fail"))</f>
        <v>Fail</v>
      </c>
      <c r="AD2949" s="1" t="str">
        <f>IF(AND(Table1[[#This Row],[Spec Type2]]="N/A",Table1[[#This Row],[DUT Adj Read]]="N/A",Table1[[#This Row],[Std Adj Read]]="N/A"),"N/A",IF(Table1[[#This Row],[DUT Adj Read]]="N/A",IF(Table1[[#This Row],[Std Adj Read]]&gt;Table1[[#This Row],[Low Tol]],"Pass","Fail"),IF(Table1[[#This Row],[DUT Adj Read]]&gt;Table1[[#This Row],[Low Tol]],"Pass","Fail")))</f>
        <v>Pass</v>
      </c>
      <c r="AE2949" s="1" t="str">
        <f>IF(AND(Table1[[#This Row],[Spec Type2]]="N/A",Table1[[#This Row],[DUT Adj Read]]="N/A",Table1[[#This Row],[Std Adj Read]]="N/A"),"N/A",IF(Table1[[#This Row],[DUT Adj Read]]="N/A",IF(Table1[[#This Row],[Std Adj Read]]&lt;Table1[[#This Row],[High Tol]],"Pass","Fail"),IF(Table1[[#This Row],[DUT Adj Read]]&lt;Table1[[#This Row],[High Tol]],"Pass","Fail")))</f>
        <v>Fail</v>
      </c>
      <c r="AF2949" s="1" t="str">
        <f>IF(AND(Table1[[#This Row],[Spec Type2]]="N/A",Table1[[#This Row],[DUT Adj Read]]="N/A",Table1[[#This Row],[Std Adj Read]]="N/A"),"N/A",IF(Table1[[#This Row],[DUT Adj Read]]="N/A",IF(Table1[[#This Row],[Std Adj Read]]&gt;=Table1[[#This Row],[Low Tol]],"Pass","Fail"),IF(Table1[[#This Row],[DUT Adj Read]]&gt;=Table1[[#This Row],[Low Tol]],"Pass","Fail")))</f>
        <v>Pass</v>
      </c>
      <c r="AG2949" s="1" t="str">
        <f>IF(AND(Table1[[#This Row],[Spec Type2]]="N/A",Table1[[#This Row],[DUT Adj Read]]="N/A",Table1[[#This Row],[Std Adj Read]]="N/A"),"N/A",IF(Table1[[#This Row],[DUT Adj Read]]="N/A",IF(Table1[[#This Row],[Std Adj Read]]&lt;=Table1[[#This Row],[High Tol]],"Pass","Fail"),IF(Table1[[#This Row],[DUT Adj Read]]&lt;=Table1[[#This Row],[High Tol]],"Pass","Fail")))</f>
        <v>Fail</v>
      </c>
      <c r="AH294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49" s="1" t="b">
        <v>0</v>
      </c>
      <c r="AN2949" s="1" t="b">
        <v>0</v>
      </c>
      <c r="AO2949" s="1" t="b">
        <v>0</v>
      </c>
    </row>
    <row r="2950" spans="1:41" x14ac:dyDescent="0.25">
      <c r="A2950" s="10"/>
      <c r="B2950" s="10"/>
      <c r="C2950" s="10"/>
      <c r="D2950" s="10"/>
      <c r="E2950" s="10"/>
      <c r="F2950" s="10"/>
      <c r="G2950" s="10"/>
      <c r="H2950" s="10"/>
      <c r="I2950" s="1" t="str">
        <f t="shared" si="135"/>
        <v/>
      </c>
      <c r="J2950" s="1" t="s">
        <v>35</v>
      </c>
      <c r="K2950" s="1" t="str">
        <f t="shared" si="136"/>
        <v/>
      </c>
      <c r="L2950" s="1" t="str">
        <f t="shared" si="137"/>
        <v/>
      </c>
      <c r="M2950" s="1">
        <f>IF(OR(Table1[[#This Row],[Std Nom]]="",Table1[[#This Row],[Std Read]]=""),0,Table1[[#This Row],[Std Nom]]-Table1[[#This Row],[Std Read]])</f>
        <v>0</v>
      </c>
      <c r="N2950" s="1">
        <f>IF(Calculations!$F$5="ACCREDITED 17025 WITH UNCERTAINTIES",$N$10,0)</f>
        <v>0</v>
      </c>
      <c r="Q2950" s="1">
        <f>Table1[[#This Row],[High Tol]]-Table1[[#This Row],[Low Tol]]</f>
        <v>0</v>
      </c>
      <c r="R2950" s="1">
        <f>2*Table1[[#This Row],[Std Error]]</f>
        <v>0</v>
      </c>
      <c r="S2950" s="1" t="str">
        <f>IF(Table1[[#This Row],[High Tol]]="","N/A",IFERROR(ABS(Table1[[#This Row],[Tol Span]]/Table1[[#This Row],[Error Span]]),"N/A"))</f>
        <v>N/A</v>
      </c>
      <c r="T2950" s="1" t="str">
        <f>IF(OR(Table1[[#This Row],[Low Tol]]="",Table1[[#This Row],[High Tol]]=""),"Needs Analysis",IF(Table1[[#This Row],[Ratio]]&gt;=4,"Not Significant",IF(Table1[[#This Row],[Ratio]]&gt;=2,"Semi-Significant","Significant")))</f>
        <v>Needs Analysis</v>
      </c>
      <c r="W2950" s="1">
        <f>IF(Table1[[#This Row],[Cal Type]]&lt;&gt;"ACCREDITED 17025 WITH UNCERTAINTIES",0,"")</f>
        <v>0</v>
      </c>
      <c r="X2950" s="1" t="str">
        <f>IF(Table1[[#This Row],[DUT Read]]="","N/A",Table1[[#This Row],[Std Error]]+Table1[[#This Row],[DUT Read]]+Table1[[#This Row],[DUT Ucty]])</f>
        <v>N/A</v>
      </c>
      <c r="Y2950" s="1" t="str">
        <f>IF(Table1[[#This Row],[Std Read]]="","N/A",Table1[[#This Row],[Std Read]]+Table1[[#This Row],[Std Ucty]])</f>
        <v>N/A</v>
      </c>
      <c r="Z295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0" s="1" t="str">
        <f>IF(Table1[[#This Row],[Spec Type]]="","N/A",Table1[[#This Row],[Spec Type]])</f>
        <v>±</v>
      </c>
      <c r="AC2950" s="1" t="str">
        <f>IF(Table1[[#This Row],[Spec Type2]]="N/A","N/A",IF(AND(Table1[[#This Row],[DUT Adj Read]]&gt;=Table1[[#This Row],[Low Tol]],Table1[[#This Row],[DUT Adj Read]]&lt;=Table1[[#This Row],[High Tol]]),"Pass","Fail"))</f>
        <v>Fail</v>
      </c>
      <c r="AD2950" s="1" t="str">
        <f>IF(AND(Table1[[#This Row],[Spec Type2]]="N/A",Table1[[#This Row],[DUT Adj Read]]="N/A",Table1[[#This Row],[Std Adj Read]]="N/A"),"N/A",IF(Table1[[#This Row],[DUT Adj Read]]="N/A",IF(Table1[[#This Row],[Std Adj Read]]&gt;Table1[[#This Row],[Low Tol]],"Pass","Fail"),IF(Table1[[#This Row],[DUT Adj Read]]&gt;Table1[[#This Row],[Low Tol]],"Pass","Fail")))</f>
        <v>Pass</v>
      </c>
      <c r="AE2950" s="1" t="str">
        <f>IF(AND(Table1[[#This Row],[Spec Type2]]="N/A",Table1[[#This Row],[DUT Adj Read]]="N/A",Table1[[#This Row],[Std Adj Read]]="N/A"),"N/A",IF(Table1[[#This Row],[DUT Adj Read]]="N/A",IF(Table1[[#This Row],[Std Adj Read]]&lt;Table1[[#This Row],[High Tol]],"Pass","Fail"),IF(Table1[[#This Row],[DUT Adj Read]]&lt;Table1[[#This Row],[High Tol]],"Pass","Fail")))</f>
        <v>Fail</v>
      </c>
      <c r="AF2950" s="1" t="str">
        <f>IF(AND(Table1[[#This Row],[Spec Type2]]="N/A",Table1[[#This Row],[DUT Adj Read]]="N/A",Table1[[#This Row],[Std Adj Read]]="N/A"),"N/A",IF(Table1[[#This Row],[DUT Adj Read]]="N/A",IF(Table1[[#This Row],[Std Adj Read]]&gt;=Table1[[#This Row],[Low Tol]],"Pass","Fail"),IF(Table1[[#This Row],[DUT Adj Read]]&gt;=Table1[[#This Row],[Low Tol]],"Pass","Fail")))</f>
        <v>Pass</v>
      </c>
      <c r="AG2950" s="1" t="str">
        <f>IF(AND(Table1[[#This Row],[Spec Type2]]="N/A",Table1[[#This Row],[DUT Adj Read]]="N/A",Table1[[#This Row],[Std Adj Read]]="N/A"),"N/A",IF(Table1[[#This Row],[DUT Adj Read]]="N/A",IF(Table1[[#This Row],[Std Adj Read]]&lt;=Table1[[#This Row],[High Tol]],"Pass","Fail"),IF(Table1[[#This Row],[DUT Adj Read]]&lt;=Table1[[#This Row],[High Tol]],"Pass","Fail")))</f>
        <v>Fail</v>
      </c>
      <c r="AH295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0" s="1" t="b">
        <v>0</v>
      </c>
      <c r="AN2950" s="1" t="b">
        <v>0</v>
      </c>
      <c r="AO2950" s="1" t="b">
        <v>0</v>
      </c>
    </row>
    <row r="2951" spans="1:41" x14ac:dyDescent="0.25">
      <c r="A2951" s="10"/>
      <c r="B2951" s="10"/>
      <c r="C2951" s="10"/>
      <c r="D2951" s="10"/>
      <c r="E2951" s="10"/>
      <c r="F2951" s="10"/>
      <c r="G2951" s="10"/>
      <c r="H2951" s="10"/>
      <c r="I2951" s="1" t="str">
        <f t="shared" si="135"/>
        <v/>
      </c>
      <c r="J2951" s="1" t="s">
        <v>35</v>
      </c>
      <c r="K2951" s="1" t="str">
        <f t="shared" si="136"/>
        <v/>
      </c>
      <c r="L2951" s="1" t="str">
        <f t="shared" si="137"/>
        <v/>
      </c>
      <c r="M2951" s="1">
        <f>IF(OR(Table1[[#This Row],[Std Nom]]="",Table1[[#This Row],[Std Read]]=""),0,Table1[[#This Row],[Std Nom]]-Table1[[#This Row],[Std Read]])</f>
        <v>0</v>
      </c>
      <c r="N2951" s="1">
        <f>IF(Calculations!$F$5="ACCREDITED 17025 WITH UNCERTAINTIES",$N$10,0)</f>
        <v>0</v>
      </c>
      <c r="Q2951" s="1">
        <f>Table1[[#This Row],[High Tol]]-Table1[[#This Row],[Low Tol]]</f>
        <v>0</v>
      </c>
      <c r="R2951" s="1">
        <f>2*Table1[[#This Row],[Std Error]]</f>
        <v>0</v>
      </c>
      <c r="S2951" s="1" t="str">
        <f>IF(Table1[[#This Row],[High Tol]]="","N/A",IFERROR(ABS(Table1[[#This Row],[Tol Span]]/Table1[[#This Row],[Error Span]]),"N/A"))</f>
        <v>N/A</v>
      </c>
      <c r="T2951" s="1" t="str">
        <f>IF(OR(Table1[[#This Row],[Low Tol]]="",Table1[[#This Row],[High Tol]]=""),"Needs Analysis",IF(Table1[[#This Row],[Ratio]]&gt;=4,"Not Significant",IF(Table1[[#This Row],[Ratio]]&gt;=2,"Semi-Significant","Significant")))</f>
        <v>Needs Analysis</v>
      </c>
      <c r="W2951" s="1">
        <f>IF(Table1[[#This Row],[Cal Type]]&lt;&gt;"ACCREDITED 17025 WITH UNCERTAINTIES",0,"")</f>
        <v>0</v>
      </c>
      <c r="X2951" s="1" t="str">
        <f>IF(Table1[[#This Row],[DUT Read]]="","N/A",Table1[[#This Row],[Std Error]]+Table1[[#This Row],[DUT Read]]+Table1[[#This Row],[DUT Ucty]])</f>
        <v>N/A</v>
      </c>
      <c r="Y2951" s="1" t="str">
        <f>IF(Table1[[#This Row],[Std Read]]="","N/A",Table1[[#This Row],[Std Read]]+Table1[[#This Row],[Std Ucty]])</f>
        <v>N/A</v>
      </c>
      <c r="Z295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1" s="1" t="str">
        <f>IF(Table1[[#This Row],[Spec Type]]="","N/A",Table1[[#This Row],[Spec Type]])</f>
        <v>±</v>
      </c>
      <c r="AC2951" s="1" t="str">
        <f>IF(Table1[[#This Row],[Spec Type2]]="N/A","N/A",IF(AND(Table1[[#This Row],[DUT Adj Read]]&gt;=Table1[[#This Row],[Low Tol]],Table1[[#This Row],[DUT Adj Read]]&lt;=Table1[[#This Row],[High Tol]]),"Pass","Fail"))</f>
        <v>Fail</v>
      </c>
      <c r="AD2951" s="1" t="str">
        <f>IF(AND(Table1[[#This Row],[Spec Type2]]="N/A",Table1[[#This Row],[DUT Adj Read]]="N/A",Table1[[#This Row],[Std Adj Read]]="N/A"),"N/A",IF(Table1[[#This Row],[DUT Adj Read]]="N/A",IF(Table1[[#This Row],[Std Adj Read]]&gt;Table1[[#This Row],[Low Tol]],"Pass","Fail"),IF(Table1[[#This Row],[DUT Adj Read]]&gt;Table1[[#This Row],[Low Tol]],"Pass","Fail")))</f>
        <v>Pass</v>
      </c>
      <c r="AE2951" s="1" t="str">
        <f>IF(AND(Table1[[#This Row],[Spec Type2]]="N/A",Table1[[#This Row],[DUT Adj Read]]="N/A",Table1[[#This Row],[Std Adj Read]]="N/A"),"N/A",IF(Table1[[#This Row],[DUT Adj Read]]="N/A",IF(Table1[[#This Row],[Std Adj Read]]&lt;Table1[[#This Row],[High Tol]],"Pass","Fail"),IF(Table1[[#This Row],[DUT Adj Read]]&lt;Table1[[#This Row],[High Tol]],"Pass","Fail")))</f>
        <v>Fail</v>
      </c>
      <c r="AF2951" s="1" t="str">
        <f>IF(AND(Table1[[#This Row],[Spec Type2]]="N/A",Table1[[#This Row],[DUT Adj Read]]="N/A",Table1[[#This Row],[Std Adj Read]]="N/A"),"N/A",IF(Table1[[#This Row],[DUT Adj Read]]="N/A",IF(Table1[[#This Row],[Std Adj Read]]&gt;=Table1[[#This Row],[Low Tol]],"Pass","Fail"),IF(Table1[[#This Row],[DUT Adj Read]]&gt;=Table1[[#This Row],[Low Tol]],"Pass","Fail")))</f>
        <v>Pass</v>
      </c>
      <c r="AG2951" s="1" t="str">
        <f>IF(AND(Table1[[#This Row],[Spec Type2]]="N/A",Table1[[#This Row],[DUT Adj Read]]="N/A",Table1[[#This Row],[Std Adj Read]]="N/A"),"N/A",IF(Table1[[#This Row],[DUT Adj Read]]="N/A",IF(Table1[[#This Row],[Std Adj Read]]&lt;=Table1[[#This Row],[High Tol]],"Pass","Fail"),IF(Table1[[#This Row],[DUT Adj Read]]&lt;=Table1[[#This Row],[High Tol]],"Pass","Fail")))</f>
        <v>Fail</v>
      </c>
      <c r="AH295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1" s="1" t="b">
        <v>0</v>
      </c>
      <c r="AN2951" s="1" t="b">
        <v>0</v>
      </c>
      <c r="AO2951" s="1" t="b">
        <v>0</v>
      </c>
    </row>
    <row r="2952" spans="1:41" x14ac:dyDescent="0.25">
      <c r="A2952" s="10"/>
      <c r="B2952" s="10"/>
      <c r="C2952" s="10"/>
      <c r="D2952" s="10"/>
      <c r="E2952" s="10"/>
      <c r="F2952" s="10"/>
      <c r="G2952" s="10"/>
      <c r="H2952" s="10"/>
      <c r="I2952" s="1" t="str">
        <f t="shared" si="135"/>
        <v/>
      </c>
      <c r="J2952" s="1" t="s">
        <v>35</v>
      </c>
      <c r="K2952" s="1" t="str">
        <f t="shared" si="136"/>
        <v/>
      </c>
      <c r="L2952" s="1" t="str">
        <f t="shared" si="137"/>
        <v/>
      </c>
      <c r="M2952" s="1">
        <f>IF(OR(Table1[[#This Row],[Std Nom]]="",Table1[[#This Row],[Std Read]]=""),0,Table1[[#This Row],[Std Nom]]-Table1[[#This Row],[Std Read]])</f>
        <v>0</v>
      </c>
      <c r="N2952" s="1">
        <f>IF(Calculations!$F$5="ACCREDITED 17025 WITH UNCERTAINTIES",$N$10,0)</f>
        <v>0</v>
      </c>
      <c r="Q2952" s="1">
        <f>Table1[[#This Row],[High Tol]]-Table1[[#This Row],[Low Tol]]</f>
        <v>0</v>
      </c>
      <c r="R2952" s="1">
        <f>2*Table1[[#This Row],[Std Error]]</f>
        <v>0</v>
      </c>
      <c r="S2952" s="1" t="str">
        <f>IF(Table1[[#This Row],[High Tol]]="","N/A",IFERROR(ABS(Table1[[#This Row],[Tol Span]]/Table1[[#This Row],[Error Span]]),"N/A"))</f>
        <v>N/A</v>
      </c>
      <c r="T2952" s="1" t="str">
        <f>IF(OR(Table1[[#This Row],[Low Tol]]="",Table1[[#This Row],[High Tol]]=""),"Needs Analysis",IF(Table1[[#This Row],[Ratio]]&gt;=4,"Not Significant",IF(Table1[[#This Row],[Ratio]]&gt;=2,"Semi-Significant","Significant")))</f>
        <v>Needs Analysis</v>
      </c>
      <c r="W2952" s="1">
        <f>IF(Table1[[#This Row],[Cal Type]]&lt;&gt;"ACCREDITED 17025 WITH UNCERTAINTIES",0,"")</f>
        <v>0</v>
      </c>
      <c r="X2952" s="1" t="str">
        <f>IF(Table1[[#This Row],[DUT Read]]="","N/A",Table1[[#This Row],[Std Error]]+Table1[[#This Row],[DUT Read]]+Table1[[#This Row],[DUT Ucty]])</f>
        <v>N/A</v>
      </c>
      <c r="Y2952" s="1" t="str">
        <f>IF(Table1[[#This Row],[Std Read]]="","N/A",Table1[[#This Row],[Std Read]]+Table1[[#This Row],[Std Ucty]])</f>
        <v>N/A</v>
      </c>
      <c r="Z295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2" s="1" t="str">
        <f>IF(Table1[[#This Row],[Spec Type]]="","N/A",Table1[[#This Row],[Spec Type]])</f>
        <v>±</v>
      </c>
      <c r="AC2952" s="1" t="str">
        <f>IF(Table1[[#This Row],[Spec Type2]]="N/A","N/A",IF(AND(Table1[[#This Row],[DUT Adj Read]]&gt;=Table1[[#This Row],[Low Tol]],Table1[[#This Row],[DUT Adj Read]]&lt;=Table1[[#This Row],[High Tol]]),"Pass","Fail"))</f>
        <v>Fail</v>
      </c>
      <c r="AD2952" s="1" t="str">
        <f>IF(AND(Table1[[#This Row],[Spec Type2]]="N/A",Table1[[#This Row],[DUT Adj Read]]="N/A",Table1[[#This Row],[Std Adj Read]]="N/A"),"N/A",IF(Table1[[#This Row],[DUT Adj Read]]="N/A",IF(Table1[[#This Row],[Std Adj Read]]&gt;Table1[[#This Row],[Low Tol]],"Pass","Fail"),IF(Table1[[#This Row],[DUT Adj Read]]&gt;Table1[[#This Row],[Low Tol]],"Pass","Fail")))</f>
        <v>Pass</v>
      </c>
      <c r="AE2952" s="1" t="str">
        <f>IF(AND(Table1[[#This Row],[Spec Type2]]="N/A",Table1[[#This Row],[DUT Adj Read]]="N/A",Table1[[#This Row],[Std Adj Read]]="N/A"),"N/A",IF(Table1[[#This Row],[DUT Adj Read]]="N/A",IF(Table1[[#This Row],[Std Adj Read]]&lt;Table1[[#This Row],[High Tol]],"Pass","Fail"),IF(Table1[[#This Row],[DUT Adj Read]]&lt;Table1[[#This Row],[High Tol]],"Pass","Fail")))</f>
        <v>Fail</v>
      </c>
      <c r="AF2952" s="1" t="str">
        <f>IF(AND(Table1[[#This Row],[Spec Type2]]="N/A",Table1[[#This Row],[DUT Adj Read]]="N/A",Table1[[#This Row],[Std Adj Read]]="N/A"),"N/A",IF(Table1[[#This Row],[DUT Adj Read]]="N/A",IF(Table1[[#This Row],[Std Adj Read]]&gt;=Table1[[#This Row],[Low Tol]],"Pass","Fail"),IF(Table1[[#This Row],[DUT Adj Read]]&gt;=Table1[[#This Row],[Low Tol]],"Pass","Fail")))</f>
        <v>Pass</v>
      </c>
      <c r="AG2952" s="1" t="str">
        <f>IF(AND(Table1[[#This Row],[Spec Type2]]="N/A",Table1[[#This Row],[DUT Adj Read]]="N/A",Table1[[#This Row],[Std Adj Read]]="N/A"),"N/A",IF(Table1[[#This Row],[DUT Adj Read]]="N/A",IF(Table1[[#This Row],[Std Adj Read]]&lt;=Table1[[#This Row],[High Tol]],"Pass","Fail"),IF(Table1[[#This Row],[DUT Adj Read]]&lt;=Table1[[#This Row],[High Tol]],"Pass","Fail")))</f>
        <v>Fail</v>
      </c>
      <c r="AH295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2" s="1" t="b">
        <v>0</v>
      </c>
      <c r="AN2952" s="1" t="b">
        <v>0</v>
      </c>
      <c r="AO2952" s="1" t="b">
        <v>0</v>
      </c>
    </row>
    <row r="2953" spans="1:41" x14ac:dyDescent="0.25">
      <c r="A2953" s="10"/>
      <c r="B2953" s="10"/>
      <c r="C2953" s="10"/>
      <c r="D2953" s="10"/>
      <c r="E2953" s="10"/>
      <c r="F2953" s="10"/>
      <c r="G2953" s="10"/>
      <c r="H2953" s="10"/>
      <c r="I2953" s="1" t="str">
        <f t="shared" si="135"/>
        <v/>
      </c>
      <c r="J2953" s="1" t="s">
        <v>35</v>
      </c>
      <c r="K2953" s="1" t="str">
        <f t="shared" si="136"/>
        <v/>
      </c>
      <c r="L2953" s="1" t="str">
        <f t="shared" si="137"/>
        <v/>
      </c>
      <c r="M2953" s="1">
        <f>IF(OR(Table1[[#This Row],[Std Nom]]="",Table1[[#This Row],[Std Read]]=""),0,Table1[[#This Row],[Std Nom]]-Table1[[#This Row],[Std Read]])</f>
        <v>0</v>
      </c>
      <c r="N2953" s="1">
        <f>IF(Calculations!$F$5="ACCREDITED 17025 WITH UNCERTAINTIES",$N$10,0)</f>
        <v>0</v>
      </c>
      <c r="Q2953" s="1">
        <f>Table1[[#This Row],[High Tol]]-Table1[[#This Row],[Low Tol]]</f>
        <v>0</v>
      </c>
      <c r="R2953" s="1">
        <f>2*Table1[[#This Row],[Std Error]]</f>
        <v>0</v>
      </c>
      <c r="S2953" s="1" t="str">
        <f>IF(Table1[[#This Row],[High Tol]]="","N/A",IFERROR(ABS(Table1[[#This Row],[Tol Span]]/Table1[[#This Row],[Error Span]]),"N/A"))</f>
        <v>N/A</v>
      </c>
      <c r="T2953" s="1" t="str">
        <f>IF(OR(Table1[[#This Row],[Low Tol]]="",Table1[[#This Row],[High Tol]]=""),"Needs Analysis",IF(Table1[[#This Row],[Ratio]]&gt;=4,"Not Significant",IF(Table1[[#This Row],[Ratio]]&gt;=2,"Semi-Significant","Significant")))</f>
        <v>Needs Analysis</v>
      </c>
      <c r="W2953" s="1">
        <f>IF(Table1[[#This Row],[Cal Type]]&lt;&gt;"ACCREDITED 17025 WITH UNCERTAINTIES",0,"")</f>
        <v>0</v>
      </c>
      <c r="X2953" s="1" t="str">
        <f>IF(Table1[[#This Row],[DUT Read]]="","N/A",Table1[[#This Row],[Std Error]]+Table1[[#This Row],[DUT Read]]+Table1[[#This Row],[DUT Ucty]])</f>
        <v>N/A</v>
      </c>
      <c r="Y2953" s="1" t="str">
        <f>IF(Table1[[#This Row],[Std Read]]="","N/A",Table1[[#This Row],[Std Read]]+Table1[[#This Row],[Std Ucty]])</f>
        <v>N/A</v>
      </c>
      <c r="Z295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3" s="1" t="str">
        <f>IF(Table1[[#This Row],[Spec Type]]="","N/A",Table1[[#This Row],[Spec Type]])</f>
        <v>±</v>
      </c>
      <c r="AC2953" s="1" t="str">
        <f>IF(Table1[[#This Row],[Spec Type2]]="N/A","N/A",IF(AND(Table1[[#This Row],[DUT Adj Read]]&gt;=Table1[[#This Row],[Low Tol]],Table1[[#This Row],[DUT Adj Read]]&lt;=Table1[[#This Row],[High Tol]]),"Pass","Fail"))</f>
        <v>Fail</v>
      </c>
      <c r="AD2953" s="1" t="str">
        <f>IF(AND(Table1[[#This Row],[Spec Type2]]="N/A",Table1[[#This Row],[DUT Adj Read]]="N/A",Table1[[#This Row],[Std Adj Read]]="N/A"),"N/A",IF(Table1[[#This Row],[DUT Adj Read]]="N/A",IF(Table1[[#This Row],[Std Adj Read]]&gt;Table1[[#This Row],[Low Tol]],"Pass","Fail"),IF(Table1[[#This Row],[DUT Adj Read]]&gt;Table1[[#This Row],[Low Tol]],"Pass","Fail")))</f>
        <v>Pass</v>
      </c>
      <c r="AE2953" s="1" t="str">
        <f>IF(AND(Table1[[#This Row],[Spec Type2]]="N/A",Table1[[#This Row],[DUT Adj Read]]="N/A",Table1[[#This Row],[Std Adj Read]]="N/A"),"N/A",IF(Table1[[#This Row],[DUT Adj Read]]="N/A",IF(Table1[[#This Row],[Std Adj Read]]&lt;Table1[[#This Row],[High Tol]],"Pass","Fail"),IF(Table1[[#This Row],[DUT Adj Read]]&lt;Table1[[#This Row],[High Tol]],"Pass","Fail")))</f>
        <v>Fail</v>
      </c>
      <c r="AF2953" s="1" t="str">
        <f>IF(AND(Table1[[#This Row],[Spec Type2]]="N/A",Table1[[#This Row],[DUT Adj Read]]="N/A",Table1[[#This Row],[Std Adj Read]]="N/A"),"N/A",IF(Table1[[#This Row],[DUT Adj Read]]="N/A",IF(Table1[[#This Row],[Std Adj Read]]&gt;=Table1[[#This Row],[Low Tol]],"Pass","Fail"),IF(Table1[[#This Row],[DUT Adj Read]]&gt;=Table1[[#This Row],[Low Tol]],"Pass","Fail")))</f>
        <v>Pass</v>
      </c>
      <c r="AG2953" s="1" t="str">
        <f>IF(AND(Table1[[#This Row],[Spec Type2]]="N/A",Table1[[#This Row],[DUT Adj Read]]="N/A",Table1[[#This Row],[Std Adj Read]]="N/A"),"N/A",IF(Table1[[#This Row],[DUT Adj Read]]="N/A",IF(Table1[[#This Row],[Std Adj Read]]&lt;=Table1[[#This Row],[High Tol]],"Pass","Fail"),IF(Table1[[#This Row],[DUT Adj Read]]&lt;=Table1[[#This Row],[High Tol]],"Pass","Fail")))</f>
        <v>Fail</v>
      </c>
      <c r="AH295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3" s="1" t="b">
        <v>0</v>
      </c>
      <c r="AN2953" s="1" t="b">
        <v>0</v>
      </c>
      <c r="AO2953" s="1" t="b">
        <v>0</v>
      </c>
    </row>
    <row r="2954" spans="1:41" x14ac:dyDescent="0.25">
      <c r="A2954" s="10"/>
      <c r="B2954" s="10"/>
      <c r="C2954" s="10"/>
      <c r="D2954" s="10"/>
      <c r="E2954" s="10"/>
      <c r="F2954" s="10"/>
      <c r="G2954" s="10"/>
      <c r="H2954" s="10"/>
      <c r="I2954" s="1" t="str">
        <f t="shared" si="135"/>
        <v/>
      </c>
      <c r="J2954" s="1" t="s">
        <v>35</v>
      </c>
      <c r="K2954" s="1" t="str">
        <f t="shared" si="136"/>
        <v/>
      </c>
      <c r="L2954" s="1" t="str">
        <f t="shared" si="137"/>
        <v/>
      </c>
      <c r="M2954" s="1">
        <f>IF(OR(Table1[[#This Row],[Std Nom]]="",Table1[[#This Row],[Std Read]]=""),0,Table1[[#This Row],[Std Nom]]-Table1[[#This Row],[Std Read]])</f>
        <v>0</v>
      </c>
      <c r="N2954" s="1">
        <f>IF(Calculations!$F$5="ACCREDITED 17025 WITH UNCERTAINTIES",$N$10,0)</f>
        <v>0</v>
      </c>
      <c r="Q2954" s="1">
        <f>Table1[[#This Row],[High Tol]]-Table1[[#This Row],[Low Tol]]</f>
        <v>0</v>
      </c>
      <c r="R2954" s="1">
        <f>2*Table1[[#This Row],[Std Error]]</f>
        <v>0</v>
      </c>
      <c r="S2954" s="1" t="str">
        <f>IF(Table1[[#This Row],[High Tol]]="","N/A",IFERROR(ABS(Table1[[#This Row],[Tol Span]]/Table1[[#This Row],[Error Span]]),"N/A"))</f>
        <v>N/A</v>
      </c>
      <c r="T2954" s="1" t="str">
        <f>IF(OR(Table1[[#This Row],[Low Tol]]="",Table1[[#This Row],[High Tol]]=""),"Needs Analysis",IF(Table1[[#This Row],[Ratio]]&gt;=4,"Not Significant",IF(Table1[[#This Row],[Ratio]]&gt;=2,"Semi-Significant","Significant")))</f>
        <v>Needs Analysis</v>
      </c>
      <c r="W2954" s="1">
        <f>IF(Table1[[#This Row],[Cal Type]]&lt;&gt;"ACCREDITED 17025 WITH UNCERTAINTIES",0,"")</f>
        <v>0</v>
      </c>
      <c r="X2954" s="1" t="str">
        <f>IF(Table1[[#This Row],[DUT Read]]="","N/A",Table1[[#This Row],[Std Error]]+Table1[[#This Row],[DUT Read]]+Table1[[#This Row],[DUT Ucty]])</f>
        <v>N/A</v>
      </c>
      <c r="Y2954" s="1" t="str">
        <f>IF(Table1[[#This Row],[Std Read]]="","N/A",Table1[[#This Row],[Std Read]]+Table1[[#This Row],[Std Ucty]])</f>
        <v>N/A</v>
      </c>
      <c r="Z295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4" s="1" t="str">
        <f>IF(Table1[[#This Row],[Spec Type]]="","N/A",Table1[[#This Row],[Spec Type]])</f>
        <v>±</v>
      </c>
      <c r="AC2954" s="1" t="str">
        <f>IF(Table1[[#This Row],[Spec Type2]]="N/A","N/A",IF(AND(Table1[[#This Row],[DUT Adj Read]]&gt;=Table1[[#This Row],[Low Tol]],Table1[[#This Row],[DUT Adj Read]]&lt;=Table1[[#This Row],[High Tol]]),"Pass","Fail"))</f>
        <v>Fail</v>
      </c>
      <c r="AD2954" s="1" t="str">
        <f>IF(AND(Table1[[#This Row],[Spec Type2]]="N/A",Table1[[#This Row],[DUT Adj Read]]="N/A",Table1[[#This Row],[Std Adj Read]]="N/A"),"N/A",IF(Table1[[#This Row],[DUT Adj Read]]="N/A",IF(Table1[[#This Row],[Std Adj Read]]&gt;Table1[[#This Row],[Low Tol]],"Pass","Fail"),IF(Table1[[#This Row],[DUT Adj Read]]&gt;Table1[[#This Row],[Low Tol]],"Pass","Fail")))</f>
        <v>Pass</v>
      </c>
      <c r="AE2954" s="1" t="str">
        <f>IF(AND(Table1[[#This Row],[Spec Type2]]="N/A",Table1[[#This Row],[DUT Adj Read]]="N/A",Table1[[#This Row],[Std Adj Read]]="N/A"),"N/A",IF(Table1[[#This Row],[DUT Adj Read]]="N/A",IF(Table1[[#This Row],[Std Adj Read]]&lt;Table1[[#This Row],[High Tol]],"Pass","Fail"),IF(Table1[[#This Row],[DUT Adj Read]]&lt;Table1[[#This Row],[High Tol]],"Pass","Fail")))</f>
        <v>Fail</v>
      </c>
      <c r="AF2954" s="1" t="str">
        <f>IF(AND(Table1[[#This Row],[Spec Type2]]="N/A",Table1[[#This Row],[DUT Adj Read]]="N/A",Table1[[#This Row],[Std Adj Read]]="N/A"),"N/A",IF(Table1[[#This Row],[DUT Adj Read]]="N/A",IF(Table1[[#This Row],[Std Adj Read]]&gt;=Table1[[#This Row],[Low Tol]],"Pass","Fail"),IF(Table1[[#This Row],[DUT Adj Read]]&gt;=Table1[[#This Row],[Low Tol]],"Pass","Fail")))</f>
        <v>Pass</v>
      </c>
      <c r="AG2954" s="1" t="str">
        <f>IF(AND(Table1[[#This Row],[Spec Type2]]="N/A",Table1[[#This Row],[DUT Adj Read]]="N/A",Table1[[#This Row],[Std Adj Read]]="N/A"),"N/A",IF(Table1[[#This Row],[DUT Adj Read]]="N/A",IF(Table1[[#This Row],[Std Adj Read]]&lt;=Table1[[#This Row],[High Tol]],"Pass","Fail"),IF(Table1[[#This Row],[DUT Adj Read]]&lt;=Table1[[#This Row],[High Tol]],"Pass","Fail")))</f>
        <v>Fail</v>
      </c>
      <c r="AH295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4" s="1" t="b">
        <v>0</v>
      </c>
      <c r="AN2954" s="1" t="b">
        <v>0</v>
      </c>
      <c r="AO2954" s="1" t="b">
        <v>0</v>
      </c>
    </row>
    <row r="2955" spans="1:41" x14ac:dyDescent="0.25">
      <c r="A2955" s="10"/>
      <c r="B2955" s="10"/>
      <c r="C2955" s="10"/>
      <c r="D2955" s="10"/>
      <c r="E2955" s="10"/>
      <c r="F2955" s="10"/>
      <c r="G2955" s="10"/>
      <c r="H2955" s="10"/>
      <c r="I2955" s="1" t="str">
        <f t="shared" ref="I2955:I3006" si="138">IF($I$10="","",$I$10)</f>
        <v/>
      </c>
      <c r="J2955" s="1" t="s">
        <v>35</v>
      </c>
      <c r="K2955" s="1" t="str">
        <f t="shared" ref="K2955:K3006" si="139">IF($K$10="","",$K$10)</f>
        <v/>
      </c>
      <c r="L2955" s="1" t="str">
        <f t="shared" ref="L2955:L3006" si="140">IF($L$10="","",$L$10)</f>
        <v/>
      </c>
      <c r="M2955" s="1">
        <f>IF(OR(Table1[[#This Row],[Std Nom]]="",Table1[[#This Row],[Std Read]]=""),0,Table1[[#This Row],[Std Nom]]-Table1[[#This Row],[Std Read]])</f>
        <v>0</v>
      </c>
      <c r="N2955" s="1">
        <f>IF(Calculations!$F$5="ACCREDITED 17025 WITH UNCERTAINTIES",$N$10,0)</f>
        <v>0</v>
      </c>
      <c r="Q2955" s="1">
        <f>Table1[[#This Row],[High Tol]]-Table1[[#This Row],[Low Tol]]</f>
        <v>0</v>
      </c>
      <c r="R2955" s="1">
        <f>2*Table1[[#This Row],[Std Error]]</f>
        <v>0</v>
      </c>
      <c r="S2955" s="1" t="str">
        <f>IF(Table1[[#This Row],[High Tol]]="","N/A",IFERROR(ABS(Table1[[#This Row],[Tol Span]]/Table1[[#This Row],[Error Span]]),"N/A"))</f>
        <v>N/A</v>
      </c>
      <c r="T2955" s="1" t="str">
        <f>IF(OR(Table1[[#This Row],[Low Tol]]="",Table1[[#This Row],[High Tol]]=""),"Needs Analysis",IF(Table1[[#This Row],[Ratio]]&gt;=4,"Not Significant",IF(Table1[[#This Row],[Ratio]]&gt;=2,"Semi-Significant","Significant")))</f>
        <v>Needs Analysis</v>
      </c>
      <c r="W2955" s="1">
        <f>IF(Table1[[#This Row],[Cal Type]]&lt;&gt;"ACCREDITED 17025 WITH UNCERTAINTIES",0,"")</f>
        <v>0</v>
      </c>
      <c r="X2955" s="1" t="str">
        <f>IF(Table1[[#This Row],[DUT Read]]="","N/A",Table1[[#This Row],[Std Error]]+Table1[[#This Row],[DUT Read]]+Table1[[#This Row],[DUT Ucty]])</f>
        <v>N/A</v>
      </c>
      <c r="Y2955" s="1" t="str">
        <f>IF(Table1[[#This Row],[Std Read]]="","N/A",Table1[[#This Row],[Std Read]]+Table1[[#This Row],[Std Ucty]])</f>
        <v>N/A</v>
      </c>
      <c r="Z295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5" s="1" t="str">
        <f>IF(Table1[[#This Row],[Spec Type]]="","N/A",Table1[[#This Row],[Spec Type]])</f>
        <v>±</v>
      </c>
      <c r="AC2955" s="1" t="str">
        <f>IF(Table1[[#This Row],[Spec Type2]]="N/A","N/A",IF(AND(Table1[[#This Row],[DUT Adj Read]]&gt;=Table1[[#This Row],[Low Tol]],Table1[[#This Row],[DUT Adj Read]]&lt;=Table1[[#This Row],[High Tol]]),"Pass","Fail"))</f>
        <v>Fail</v>
      </c>
      <c r="AD2955" s="1" t="str">
        <f>IF(AND(Table1[[#This Row],[Spec Type2]]="N/A",Table1[[#This Row],[DUT Adj Read]]="N/A",Table1[[#This Row],[Std Adj Read]]="N/A"),"N/A",IF(Table1[[#This Row],[DUT Adj Read]]="N/A",IF(Table1[[#This Row],[Std Adj Read]]&gt;Table1[[#This Row],[Low Tol]],"Pass","Fail"),IF(Table1[[#This Row],[DUT Adj Read]]&gt;Table1[[#This Row],[Low Tol]],"Pass","Fail")))</f>
        <v>Pass</v>
      </c>
      <c r="AE2955" s="1" t="str">
        <f>IF(AND(Table1[[#This Row],[Spec Type2]]="N/A",Table1[[#This Row],[DUT Adj Read]]="N/A",Table1[[#This Row],[Std Adj Read]]="N/A"),"N/A",IF(Table1[[#This Row],[DUT Adj Read]]="N/A",IF(Table1[[#This Row],[Std Adj Read]]&lt;Table1[[#This Row],[High Tol]],"Pass","Fail"),IF(Table1[[#This Row],[DUT Adj Read]]&lt;Table1[[#This Row],[High Tol]],"Pass","Fail")))</f>
        <v>Fail</v>
      </c>
      <c r="AF2955" s="1" t="str">
        <f>IF(AND(Table1[[#This Row],[Spec Type2]]="N/A",Table1[[#This Row],[DUT Adj Read]]="N/A",Table1[[#This Row],[Std Adj Read]]="N/A"),"N/A",IF(Table1[[#This Row],[DUT Adj Read]]="N/A",IF(Table1[[#This Row],[Std Adj Read]]&gt;=Table1[[#This Row],[Low Tol]],"Pass","Fail"),IF(Table1[[#This Row],[DUT Adj Read]]&gt;=Table1[[#This Row],[Low Tol]],"Pass","Fail")))</f>
        <v>Pass</v>
      </c>
      <c r="AG2955" s="1" t="str">
        <f>IF(AND(Table1[[#This Row],[Spec Type2]]="N/A",Table1[[#This Row],[DUT Adj Read]]="N/A",Table1[[#This Row],[Std Adj Read]]="N/A"),"N/A",IF(Table1[[#This Row],[DUT Adj Read]]="N/A",IF(Table1[[#This Row],[Std Adj Read]]&lt;=Table1[[#This Row],[High Tol]],"Pass","Fail"),IF(Table1[[#This Row],[DUT Adj Read]]&lt;=Table1[[#This Row],[High Tol]],"Pass","Fail")))</f>
        <v>Fail</v>
      </c>
      <c r="AH295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5" s="1" t="b">
        <v>0</v>
      </c>
      <c r="AN2955" s="1" t="b">
        <v>0</v>
      </c>
      <c r="AO2955" s="1" t="b">
        <v>0</v>
      </c>
    </row>
    <row r="2956" spans="1:41" x14ac:dyDescent="0.25">
      <c r="A2956" s="10"/>
      <c r="B2956" s="10"/>
      <c r="C2956" s="10"/>
      <c r="D2956" s="10"/>
      <c r="E2956" s="10"/>
      <c r="F2956" s="10"/>
      <c r="G2956" s="10"/>
      <c r="H2956" s="10"/>
      <c r="I2956" s="1" t="str">
        <f t="shared" si="138"/>
        <v/>
      </c>
      <c r="J2956" s="1" t="s">
        <v>35</v>
      </c>
      <c r="K2956" s="1" t="str">
        <f t="shared" si="139"/>
        <v/>
      </c>
      <c r="L2956" s="1" t="str">
        <f t="shared" si="140"/>
        <v/>
      </c>
      <c r="M2956" s="1">
        <f>IF(OR(Table1[[#This Row],[Std Nom]]="",Table1[[#This Row],[Std Read]]=""),0,Table1[[#This Row],[Std Nom]]-Table1[[#This Row],[Std Read]])</f>
        <v>0</v>
      </c>
      <c r="N2956" s="1">
        <f>IF(Calculations!$F$5="ACCREDITED 17025 WITH UNCERTAINTIES",$N$10,0)</f>
        <v>0</v>
      </c>
      <c r="Q2956" s="1">
        <f>Table1[[#This Row],[High Tol]]-Table1[[#This Row],[Low Tol]]</f>
        <v>0</v>
      </c>
      <c r="R2956" s="1">
        <f>2*Table1[[#This Row],[Std Error]]</f>
        <v>0</v>
      </c>
      <c r="S2956" s="1" t="str">
        <f>IF(Table1[[#This Row],[High Tol]]="","N/A",IFERROR(ABS(Table1[[#This Row],[Tol Span]]/Table1[[#This Row],[Error Span]]),"N/A"))</f>
        <v>N/A</v>
      </c>
      <c r="T2956" s="1" t="str">
        <f>IF(OR(Table1[[#This Row],[Low Tol]]="",Table1[[#This Row],[High Tol]]=""),"Needs Analysis",IF(Table1[[#This Row],[Ratio]]&gt;=4,"Not Significant",IF(Table1[[#This Row],[Ratio]]&gt;=2,"Semi-Significant","Significant")))</f>
        <v>Needs Analysis</v>
      </c>
      <c r="W2956" s="1">
        <f>IF(Table1[[#This Row],[Cal Type]]&lt;&gt;"ACCREDITED 17025 WITH UNCERTAINTIES",0,"")</f>
        <v>0</v>
      </c>
      <c r="X2956" s="1" t="str">
        <f>IF(Table1[[#This Row],[DUT Read]]="","N/A",Table1[[#This Row],[Std Error]]+Table1[[#This Row],[DUT Read]]+Table1[[#This Row],[DUT Ucty]])</f>
        <v>N/A</v>
      </c>
      <c r="Y2956" s="1" t="str">
        <f>IF(Table1[[#This Row],[Std Read]]="","N/A",Table1[[#This Row],[Std Read]]+Table1[[#This Row],[Std Ucty]])</f>
        <v>N/A</v>
      </c>
      <c r="Z295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6" s="1" t="str">
        <f>IF(Table1[[#This Row],[Spec Type]]="","N/A",Table1[[#This Row],[Spec Type]])</f>
        <v>±</v>
      </c>
      <c r="AC2956" s="1" t="str">
        <f>IF(Table1[[#This Row],[Spec Type2]]="N/A","N/A",IF(AND(Table1[[#This Row],[DUT Adj Read]]&gt;=Table1[[#This Row],[Low Tol]],Table1[[#This Row],[DUT Adj Read]]&lt;=Table1[[#This Row],[High Tol]]),"Pass","Fail"))</f>
        <v>Fail</v>
      </c>
      <c r="AD2956" s="1" t="str">
        <f>IF(AND(Table1[[#This Row],[Spec Type2]]="N/A",Table1[[#This Row],[DUT Adj Read]]="N/A",Table1[[#This Row],[Std Adj Read]]="N/A"),"N/A",IF(Table1[[#This Row],[DUT Adj Read]]="N/A",IF(Table1[[#This Row],[Std Adj Read]]&gt;Table1[[#This Row],[Low Tol]],"Pass","Fail"),IF(Table1[[#This Row],[DUT Adj Read]]&gt;Table1[[#This Row],[Low Tol]],"Pass","Fail")))</f>
        <v>Pass</v>
      </c>
      <c r="AE2956" s="1" t="str">
        <f>IF(AND(Table1[[#This Row],[Spec Type2]]="N/A",Table1[[#This Row],[DUT Adj Read]]="N/A",Table1[[#This Row],[Std Adj Read]]="N/A"),"N/A",IF(Table1[[#This Row],[DUT Adj Read]]="N/A",IF(Table1[[#This Row],[Std Adj Read]]&lt;Table1[[#This Row],[High Tol]],"Pass","Fail"),IF(Table1[[#This Row],[DUT Adj Read]]&lt;Table1[[#This Row],[High Tol]],"Pass","Fail")))</f>
        <v>Fail</v>
      </c>
      <c r="AF2956" s="1" t="str">
        <f>IF(AND(Table1[[#This Row],[Spec Type2]]="N/A",Table1[[#This Row],[DUT Adj Read]]="N/A",Table1[[#This Row],[Std Adj Read]]="N/A"),"N/A",IF(Table1[[#This Row],[DUT Adj Read]]="N/A",IF(Table1[[#This Row],[Std Adj Read]]&gt;=Table1[[#This Row],[Low Tol]],"Pass","Fail"),IF(Table1[[#This Row],[DUT Adj Read]]&gt;=Table1[[#This Row],[Low Tol]],"Pass","Fail")))</f>
        <v>Pass</v>
      </c>
      <c r="AG2956" s="1" t="str">
        <f>IF(AND(Table1[[#This Row],[Spec Type2]]="N/A",Table1[[#This Row],[DUT Adj Read]]="N/A",Table1[[#This Row],[Std Adj Read]]="N/A"),"N/A",IF(Table1[[#This Row],[DUT Adj Read]]="N/A",IF(Table1[[#This Row],[Std Adj Read]]&lt;=Table1[[#This Row],[High Tol]],"Pass","Fail"),IF(Table1[[#This Row],[DUT Adj Read]]&lt;=Table1[[#This Row],[High Tol]],"Pass","Fail")))</f>
        <v>Fail</v>
      </c>
      <c r="AH295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6" s="1" t="b">
        <v>0</v>
      </c>
      <c r="AN2956" s="1" t="b">
        <v>0</v>
      </c>
      <c r="AO2956" s="1" t="b">
        <v>0</v>
      </c>
    </row>
    <row r="2957" spans="1:41" x14ac:dyDescent="0.25">
      <c r="A2957" s="10"/>
      <c r="B2957" s="10"/>
      <c r="C2957" s="10"/>
      <c r="D2957" s="10"/>
      <c r="E2957" s="10"/>
      <c r="F2957" s="10"/>
      <c r="G2957" s="10"/>
      <c r="H2957" s="10"/>
      <c r="I2957" s="1" t="str">
        <f t="shared" si="138"/>
        <v/>
      </c>
      <c r="J2957" s="1" t="s">
        <v>35</v>
      </c>
      <c r="K2957" s="1" t="str">
        <f t="shared" si="139"/>
        <v/>
      </c>
      <c r="L2957" s="1" t="str">
        <f t="shared" si="140"/>
        <v/>
      </c>
      <c r="M2957" s="1">
        <f>IF(OR(Table1[[#This Row],[Std Nom]]="",Table1[[#This Row],[Std Read]]=""),0,Table1[[#This Row],[Std Nom]]-Table1[[#This Row],[Std Read]])</f>
        <v>0</v>
      </c>
      <c r="N2957" s="1">
        <f>IF(Calculations!$F$5="ACCREDITED 17025 WITH UNCERTAINTIES",$N$10,0)</f>
        <v>0</v>
      </c>
      <c r="Q2957" s="1">
        <f>Table1[[#This Row],[High Tol]]-Table1[[#This Row],[Low Tol]]</f>
        <v>0</v>
      </c>
      <c r="R2957" s="1">
        <f>2*Table1[[#This Row],[Std Error]]</f>
        <v>0</v>
      </c>
      <c r="S2957" s="1" t="str">
        <f>IF(Table1[[#This Row],[High Tol]]="","N/A",IFERROR(ABS(Table1[[#This Row],[Tol Span]]/Table1[[#This Row],[Error Span]]),"N/A"))</f>
        <v>N/A</v>
      </c>
      <c r="T2957" s="1" t="str">
        <f>IF(OR(Table1[[#This Row],[Low Tol]]="",Table1[[#This Row],[High Tol]]=""),"Needs Analysis",IF(Table1[[#This Row],[Ratio]]&gt;=4,"Not Significant",IF(Table1[[#This Row],[Ratio]]&gt;=2,"Semi-Significant","Significant")))</f>
        <v>Needs Analysis</v>
      </c>
      <c r="W2957" s="1">
        <f>IF(Table1[[#This Row],[Cal Type]]&lt;&gt;"ACCREDITED 17025 WITH UNCERTAINTIES",0,"")</f>
        <v>0</v>
      </c>
      <c r="X2957" s="1" t="str">
        <f>IF(Table1[[#This Row],[DUT Read]]="","N/A",Table1[[#This Row],[Std Error]]+Table1[[#This Row],[DUT Read]]+Table1[[#This Row],[DUT Ucty]])</f>
        <v>N/A</v>
      </c>
      <c r="Y2957" s="1" t="str">
        <f>IF(Table1[[#This Row],[Std Read]]="","N/A",Table1[[#This Row],[Std Read]]+Table1[[#This Row],[Std Ucty]])</f>
        <v>N/A</v>
      </c>
      <c r="Z295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7" s="1" t="str">
        <f>IF(Table1[[#This Row],[Spec Type]]="","N/A",Table1[[#This Row],[Spec Type]])</f>
        <v>±</v>
      </c>
      <c r="AC2957" s="1" t="str">
        <f>IF(Table1[[#This Row],[Spec Type2]]="N/A","N/A",IF(AND(Table1[[#This Row],[DUT Adj Read]]&gt;=Table1[[#This Row],[Low Tol]],Table1[[#This Row],[DUT Adj Read]]&lt;=Table1[[#This Row],[High Tol]]),"Pass","Fail"))</f>
        <v>Fail</v>
      </c>
      <c r="AD2957" s="1" t="str">
        <f>IF(AND(Table1[[#This Row],[Spec Type2]]="N/A",Table1[[#This Row],[DUT Adj Read]]="N/A",Table1[[#This Row],[Std Adj Read]]="N/A"),"N/A",IF(Table1[[#This Row],[DUT Adj Read]]="N/A",IF(Table1[[#This Row],[Std Adj Read]]&gt;Table1[[#This Row],[Low Tol]],"Pass","Fail"),IF(Table1[[#This Row],[DUT Adj Read]]&gt;Table1[[#This Row],[Low Tol]],"Pass","Fail")))</f>
        <v>Pass</v>
      </c>
      <c r="AE2957" s="1" t="str">
        <f>IF(AND(Table1[[#This Row],[Spec Type2]]="N/A",Table1[[#This Row],[DUT Adj Read]]="N/A",Table1[[#This Row],[Std Adj Read]]="N/A"),"N/A",IF(Table1[[#This Row],[DUT Adj Read]]="N/A",IF(Table1[[#This Row],[Std Adj Read]]&lt;Table1[[#This Row],[High Tol]],"Pass","Fail"),IF(Table1[[#This Row],[DUT Adj Read]]&lt;Table1[[#This Row],[High Tol]],"Pass","Fail")))</f>
        <v>Fail</v>
      </c>
      <c r="AF2957" s="1" t="str">
        <f>IF(AND(Table1[[#This Row],[Spec Type2]]="N/A",Table1[[#This Row],[DUT Adj Read]]="N/A",Table1[[#This Row],[Std Adj Read]]="N/A"),"N/A",IF(Table1[[#This Row],[DUT Adj Read]]="N/A",IF(Table1[[#This Row],[Std Adj Read]]&gt;=Table1[[#This Row],[Low Tol]],"Pass","Fail"),IF(Table1[[#This Row],[DUT Adj Read]]&gt;=Table1[[#This Row],[Low Tol]],"Pass","Fail")))</f>
        <v>Pass</v>
      </c>
      <c r="AG2957" s="1" t="str">
        <f>IF(AND(Table1[[#This Row],[Spec Type2]]="N/A",Table1[[#This Row],[DUT Adj Read]]="N/A",Table1[[#This Row],[Std Adj Read]]="N/A"),"N/A",IF(Table1[[#This Row],[DUT Adj Read]]="N/A",IF(Table1[[#This Row],[Std Adj Read]]&lt;=Table1[[#This Row],[High Tol]],"Pass","Fail"),IF(Table1[[#This Row],[DUT Adj Read]]&lt;=Table1[[#This Row],[High Tol]],"Pass","Fail")))</f>
        <v>Fail</v>
      </c>
      <c r="AH295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7" s="1" t="b">
        <v>0</v>
      </c>
      <c r="AN2957" s="1" t="b">
        <v>0</v>
      </c>
      <c r="AO2957" s="1" t="b">
        <v>0</v>
      </c>
    </row>
    <row r="2958" spans="1:41" x14ac:dyDescent="0.25">
      <c r="A2958" s="10"/>
      <c r="B2958" s="10"/>
      <c r="C2958" s="10"/>
      <c r="D2958" s="10"/>
      <c r="E2958" s="10"/>
      <c r="F2958" s="10"/>
      <c r="G2958" s="10"/>
      <c r="H2958" s="10"/>
      <c r="I2958" s="1" t="str">
        <f t="shared" si="138"/>
        <v/>
      </c>
      <c r="J2958" s="1" t="s">
        <v>35</v>
      </c>
      <c r="K2958" s="1" t="str">
        <f t="shared" si="139"/>
        <v/>
      </c>
      <c r="L2958" s="1" t="str">
        <f t="shared" si="140"/>
        <v/>
      </c>
      <c r="M2958" s="1">
        <f>IF(OR(Table1[[#This Row],[Std Nom]]="",Table1[[#This Row],[Std Read]]=""),0,Table1[[#This Row],[Std Nom]]-Table1[[#This Row],[Std Read]])</f>
        <v>0</v>
      </c>
      <c r="N2958" s="1">
        <f>IF(Calculations!$F$5="ACCREDITED 17025 WITH UNCERTAINTIES",$N$10,0)</f>
        <v>0</v>
      </c>
      <c r="Q2958" s="1">
        <f>Table1[[#This Row],[High Tol]]-Table1[[#This Row],[Low Tol]]</f>
        <v>0</v>
      </c>
      <c r="R2958" s="1">
        <f>2*Table1[[#This Row],[Std Error]]</f>
        <v>0</v>
      </c>
      <c r="S2958" s="1" t="str">
        <f>IF(Table1[[#This Row],[High Tol]]="","N/A",IFERROR(ABS(Table1[[#This Row],[Tol Span]]/Table1[[#This Row],[Error Span]]),"N/A"))</f>
        <v>N/A</v>
      </c>
      <c r="T2958" s="1" t="str">
        <f>IF(OR(Table1[[#This Row],[Low Tol]]="",Table1[[#This Row],[High Tol]]=""),"Needs Analysis",IF(Table1[[#This Row],[Ratio]]&gt;=4,"Not Significant",IF(Table1[[#This Row],[Ratio]]&gt;=2,"Semi-Significant","Significant")))</f>
        <v>Needs Analysis</v>
      </c>
      <c r="W2958" s="1">
        <f>IF(Table1[[#This Row],[Cal Type]]&lt;&gt;"ACCREDITED 17025 WITH UNCERTAINTIES",0,"")</f>
        <v>0</v>
      </c>
      <c r="X2958" s="1" t="str">
        <f>IF(Table1[[#This Row],[DUT Read]]="","N/A",Table1[[#This Row],[Std Error]]+Table1[[#This Row],[DUT Read]]+Table1[[#This Row],[DUT Ucty]])</f>
        <v>N/A</v>
      </c>
      <c r="Y2958" s="1" t="str">
        <f>IF(Table1[[#This Row],[Std Read]]="","N/A",Table1[[#This Row],[Std Read]]+Table1[[#This Row],[Std Ucty]])</f>
        <v>N/A</v>
      </c>
      <c r="Z295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8" s="1" t="str">
        <f>IF(Table1[[#This Row],[Spec Type]]="","N/A",Table1[[#This Row],[Spec Type]])</f>
        <v>±</v>
      </c>
      <c r="AC2958" s="1" t="str">
        <f>IF(Table1[[#This Row],[Spec Type2]]="N/A","N/A",IF(AND(Table1[[#This Row],[DUT Adj Read]]&gt;=Table1[[#This Row],[Low Tol]],Table1[[#This Row],[DUT Adj Read]]&lt;=Table1[[#This Row],[High Tol]]),"Pass","Fail"))</f>
        <v>Fail</v>
      </c>
      <c r="AD2958" s="1" t="str">
        <f>IF(AND(Table1[[#This Row],[Spec Type2]]="N/A",Table1[[#This Row],[DUT Adj Read]]="N/A",Table1[[#This Row],[Std Adj Read]]="N/A"),"N/A",IF(Table1[[#This Row],[DUT Adj Read]]="N/A",IF(Table1[[#This Row],[Std Adj Read]]&gt;Table1[[#This Row],[Low Tol]],"Pass","Fail"),IF(Table1[[#This Row],[DUT Adj Read]]&gt;Table1[[#This Row],[Low Tol]],"Pass","Fail")))</f>
        <v>Pass</v>
      </c>
      <c r="AE2958" s="1" t="str">
        <f>IF(AND(Table1[[#This Row],[Spec Type2]]="N/A",Table1[[#This Row],[DUT Adj Read]]="N/A",Table1[[#This Row],[Std Adj Read]]="N/A"),"N/A",IF(Table1[[#This Row],[DUT Adj Read]]="N/A",IF(Table1[[#This Row],[Std Adj Read]]&lt;Table1[[#This Row],[High Tol]],"Pass","Fail"),IF(Table1[[#This Row],[DUT Adj Read]]&lt;Table1[[#This Row],[High Tol]],"Pass","Fail")))</f>
        <v>Fail</v>
      </c>
      <c r="AF2958" s="1" t="str">
        <f>IF(AND(Table1[[#This Row],[Spec Type2]]="N/A",Table1[[#This Row],[DUT Adj Read]]="N/A",Table1[[#This Row],[Std Adj Read]]="N/A"),"N/A",IF(Table1[[#This Row],[DUT Adj Read]]="N/A",IF(Table1[[#This Row],[Std Adj Read]]&gt;=Table1[[#This Row],[Low Tol]],"Pass","Fail"),IF(Table1[[#This Row],[DUT Adj Read]]&gt;=Table1[[#This Row],[Low Tol]],"Pass","Fail")))</f>
        <v>Pass</v>
      </c>
      <c r="AG2958" s="1" t="str">
        <f>IF(AND(Table1[[#This Row],[Spec Type2]]="N/A",Table1[[#This Row],[DUT Adj Read]]="N/A",Table1[[#This Row],[Std Adj Read]]="N/A"),"N/A",IF(Table1[[#This Row],[DUT Adj Read]]="N/A",IF(Table1[[#This Row],[Std Adj Read]]&lt;=Table1[[#This Row],[High Tol]],"Pass","Fail"),IF(Table1[[#This Row],[DUT Adj Read]]&lt;=Table1[[#This Row],[High Tol]],"Pass","Fail")))</f>
        <v>Fail</v>
      </c>
      <c r="AH295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8" s="1" t="b">
        <v>0</v>
      </c>
      <c r="AN2958" s="1" t="b">
        <v>0</v>
      </c>
      <c r="AO2958" s="1" t="b">
        <v>0</v>
      </c>
    </row>
    <row r="2959" spans="1:41" x14ac:dyDescent="0.25">
      <c r="A2959" s="10"/>
      <c r="B2959" s="10"/>
      <c r="C2959" s="10"/>
      <c r="D2959" s="10"/>
      <c r="E2959" s="10"/>
      <c r="F2959" s="10"/>
      <c r="G2959" s="10"/>
      <c r="H2959" s="10"/>
      <c r="I2959" s="1" t="str">
        <f t="shared" si="138"/>
        <v/>
      </c>
      <c r="J2959" s="1" t="s">
        <v>35</v>
      </c>
      <c r="K2959" s="1" t="str">
        <f t="shared" si="139"/>
        <v/>
      </c>
      <c r="L2959" s="1" t="str">
        <f t="shared" si="140"/>
        <v/>
      </c>
      <c r="M2959" s="1">
        <f>IF(OR(Table1[[#This Row],[Std Nom]]="",Table1[[#This Row],[Std Read]]=""),0,Table1[[#This Row],[Std Nom]]-Table1[[#This Row],[Std Read]])</f>
        <v>0</v>
      </c>
      <c r="N2959" s="1">
        <f>IF(Calculations!$F$5="ACCREDITED 17025 WITH UNCERTAINTIES",$N$10,0)</f>
        <v>0</v>
      </c>
      <c r="Q2959" s="1">
        <f>Table1[[#This Row],[High Tol]]-Table1[[#This Row],[Low Tol]]</f>
        <v>0</v>
      </c>
      <c r="R2959" s="1">
        <f>2*Table1[[#This Row],[Std Error]]</f>
        <v>0</v>
      </c>
      <c r="S2959" s="1" t="str">
        <f>IF(Table1[[#This Row],[High Tol]]="","N/A",IFERROR(ABS(Table1[[#This Row],[Tol Span]]/Table1[[#This Row],[Error Span]]),"N/A"))</f>
        <v>N/A</v>
      </c>
      <c r="T2959" s="1" t="str">
        <f>IF(OR(Table1[[#This Row],[Low Tol]]="",Table1[[#This Row],[High Tol]]=""),"Needs Analysis",IF(Table1[[#This Row],[Ratio]]&gt;=4,"Not Significant",IF(Table1[[#This Row],[Ratio]]&gt;=2,"Semi-Significant","Significant")))</f>
        <v>Needs Analysis</v>
      </c>
      <c r="W2959" s="1">
        <f>IF(Table1[[#This Row],[Cal Type]]&lt;&gt;"ACCREDITED 17025 WITH UNCERTAINTIES",0,"")</f>
        <v>0</v>
      </c>
      <c r="X2959" s="1" t="str">
        <f>IF(Table1[[#This Row],[DUT Read]]="","N/A",Table1[[#This Row],[Std Error]]+Table1[[#This Row],[DUT Read]]+Table1[[#This Row],[DUT Ucty]])</f>
        <v>N/A</v>
      </c>
      <c r="Y2959" s="1" t="str">
        <f>IF(Table1[[#This Row],[Std Read]]="","N/A",Table1[[#This Row],[Std Read]]+Table1[[#This Row],[Std Ucty]])</f>
        <v>N/A</v>
      </c>
      <c r="Z295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59" s="1" t="str">
        <f>IF(Table1[[#This Row],[Spec Type]]="","N/A",Table1[[#This Row],[Spec Type]])</f>
        <v>±</v>
      </c>
      <c r="AC2959" s="1" t="str">
        <f>IF(Table1[[#This Row],[Spec Type2]]="N/A","N/A",IF(AND(Table1[[#This Row],[DUT Adj Read]]&gt;=Table1[[#This Row],[Low Tol]],Table1[[#This Row],[DUT Adj Read]]&lt;=Table1[[#This Row],[High Tol]]),"Pass","Fail"))</f>
        <v>Fail</v>
      </c>
      <c r="AD2959" s="1" t="str">
        <f>IF(AND(Table1[[#This Row],[Spec Type2]]="N/A",Table1[[#This Row],[DUT Adj Read]]="N/A",Table1[[#This Row],[Std Adj Read]]="N/A"),"N/A",IF(Table1[[#This Row],[DUT Adj Read]]="N/A",IF(Table1[[#This Row],[Std Adj Read]]&gt;Table1[[#This Row],[Low Tol]],"Pass","Fail"),IF(Table1[[#This Row],[DUT Adj Read]]&gt;Table1[[#This Row],[Low Tol]],"Pass","Fail")))</f>
        <v>Pass</v>
      </c>
      <c r="AE2959" s="1" t="str">
        <f>IF(AND(Table1[[#This Row],[Spec Type2]]="N/A",Table1[[#This Row],[DUT Adj Read]]="N/A",Table1[[#This Row],[Std Adj Read]]="N/A"),"N/A",IF(Table1[[#This Row],[DUT Adj Read]]="N/A",IF(Table1[[#This Row],[Std Adj Read]]&lt;Table1[[#This Row],[High Tol]],"Pass","Fail"),IF(Table1[[#This Row],[DUT Adj Read]]&lt;Table1[[#This Row],[High Tol]],"Pass","Fail")))</f>
        <v>Fail</v>
      </c>
      <c r="AF2959" s="1" t="str">
        <f>IF(AND(Table1[[#This Row],[Spec Type2]]="N/A",Table1[[#This Row],[DUT Adj Read]]="N/A",Table1[[#This Row],[Std Adj Read]]="N/A"),"N/A",IF(Table1[[#This Row],[DUT Adj Read]]="N/A",IF(Table1[[#This Row],[Std Adj Read]]&gt;=Table1[[#This Row],[Low Tol]],"Pass","Fail"),IF(Table1[[#This Row],[DUT Adj Read]]&gt;=Table1[[#This Row],[Low Tol]],"Pass","Fail")))</f>
        <v>Pass</v>
      </c>
      <c r="AG2959" s="1" t="str">
        <f>IF(AND(Table1[[#This Row],[Spec Type2]]="N/A",Table1[[#This Row],[DUT Adj Read]]="N/A",Table1[[#This Row],[Std Adj Read]]="N/A"),"N/A",IF(Table1[[#This Row],[DUT Adj Read]]="N/A",IF(Table1[[#This Row],[Std Adj Read]]&lt;=Table1[[#This Row],[High Tol]],"Pass","Fail"),IF(Table1[[#This Row],[DUT Adj Read]]&lt;=Table1[[#This Row],[High Tol]],"Pass","Fail")))</f>
        <v>Fail</v>
      </c>
      <c r="AH295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59" s="1" t="b">
        <v>0</v>
      </c>
      <c r="AN2959" s="1" t="b">
        <v>0</v>
      </c>
      <c r="AO2959" s="1" t="b">
        <v>0</v>
      </c>
    </row>
    <row r="2960" spans="1:41" x14ac:dyDescent="0.25">
      <c r="A2960" s="10"/>
      <c r="B2960" s="10"/>
      <c r="C2960" s="10"/>
      <c r="D2960" s="10"/>
      <c r="E2960" s="10"/>
      <c r="F2960" s="10"/>
      <c r="G2960" s="10"/>
      <c r="H2960" s="10"/>
      <c r="I2960" s="1" t="str">
        <f t="shared" si="138"/>
        <v/>
      </c>
      <c r="J2960" s="1" t="s">
        <v>35</v>
      </c>
      <c r="K2960" s="1" t="str">
        <f t="shared" si="139"/>
        <v/>
      </c>
      <c r="L2960" s="1" t="str">
        <f t="shared" si="140"/>
        <v/>
      </c>
      <c r="M2960" s="1">
        <f>IF(OR(Table1[[#This Row],[Std Nom]]="",Table1[[#This Row],[Std Read]]=""),0,Table1[[#This Row],[Std Nom]]-Table1[[#This Row],[Std Read]])</f>
        <v>0</v>
      </c>
      <c r="N2960" s="1">
        <f>IF(Calculations!$F$5="ACCREDITED 17025 WITH UNCERTAINTIES",$N$10,0)</f>
        <v>0</v>
      </c>
      <c r="Q2960" s="1">
        <f>Table1[[#This Row],[High Tol]]-Table1[[#This Row],[Low Tol]]</f>
        <v>0</v>
      </c>
      <c r="R2960" s="1">
        <f>2*Table1[[#This Row],[Std Error]]</f>
        <v>0</v>
      </c>
      <c r="S2960" s="1" t="str">
        <f>IF(Table1[[#This Row],[High Tol]]="","N/A",IFERROR(ABS(Table1[[#This Row],[Tol Span]]/Table1[[#This Row],[Error Span]]),"N/A"))</f>
        <v>N/A</v>
      </c>
      <c r="T2960" s="1" t="str">
        <f>IF(OR(Table1[[#This Row],[Low Tol]]="",Table1[[#This Row],[High Tol]]=""),"Needs Analysis",IF(Table1[[#This Row],[Ratio]]&gt;=4,"Not Significant",IF(Table1[[#This Row],[Ratio]]&gt;=2,"Semi-Significant","Significant")))</f>
        <v>Needs Analysis</v>
      </c>
      <c r="W2960" s="1">
        <f>IF(Table1[[#This Row],[Cal Type]]&lt;&gt;"ACCREDITED 17025 WITH UNCERTAINTIES",0,"")</f>
        <v>0</v>
      </c>
      <c r="X2960" s="1" t="str">
        <f>IF(Table1[[#This Row],[DUT Read]]="","N/A",Table1[[#This Row],[Std Error]]+Table1[[#This Row],[DUT Read]]+Table1[[#This Row],[DUT Ucty]])</f>
        <v>N/A</v>
      </c>
      <c r="Y2960" s="1" t="str">
        <f>IF(Table1[[#This Row],[Std Read]]="","N/A",Table1[[#This Row],[Std Read]]+Table1[[#This Row],[Std Ucty]])</f>
        <v>N/A</v>
      </c>
      <c r="Z296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0" s="1" t="str">
        <f>IF(Table1[[#This Row],[Spec Type]]="","N/A",Table1[[#This Row],[Spec Type]])</f>
        <v>±</v>
      </c>
      <c r="AC2960" s="1" t="str">
        <f>IF(Table1[[#This Row],[Spec Type2]]="N/A","N/A",IF(AND(Table1[[#This Row],[DUT Adj Read]]&gt;=Table1[[#This Row],[Low Tol]],Table1[[#This Row],[DUT Adj Read]]&lt;=Table1[[#This Row],[High Tol]]),"Pass","Fail"))</f>
        <v>Fail</v>
      </c>
      <c r="AD2960" s="1" t="str">
        <f>IF(AND(Table1[[#This Row],[Spec Type2]]="N/A",Table1[[#This Row],[DUT Adj Read]]="N/A",Table1[[#This Row],[Std Adj Read]]="N/A"),"N/A",IF(Table1[[#This Row],[DUT Adj Read]]="N/A",IF(Table1[[#This Row],[Std Adj Read]]&gt;Table1[[#This Row],[Low Tol]],"Pass","Fail"),IF(Table1[[#This Row],[DUT Adj Read]]&gt;Table1[[#This Row],[Low Tol]],"Pass","Fail")))</f>
        <v>Pass</v>
      </c>
      <c r="AE2960" s="1" t="str">
        <f>IF(AND(Table1[[#This Row],[Spec Type2]]="N/A",Table1[[#This Row],[DUT Adj Read]]="N/A",Table1[[#This Row],[Std Adj Read]]="N/A"),"N/A",IF(Table1[[#This Row],[DUT Adj Read]]="N/A",IF(Table1[[#This Row],[Std Adj Read]]&lt;Table1[[#This Row],[High Tol]],"Pass","Fail"),IF(Table1[[#This Row],[DUT Adj Read]]&lt;Table1[[#This Row],[High Tol]],"Pass","Fail")))</f>
        <v>Fail</v>
      </c>
      <c r="AF2960" s="1" t="str">
        <f>IF(AND(Table1[[#This Row],[Spec Type2]]="N/A",Table1[[#This Row],[DUT Adj Read]]="N/A",Table1[[#This Row],[Std Adj Read]]="N/A"),"N/A",IF(Table1[[#This Row],[DUT Adj Read]]="N/A",IF(Table1[[#This Row],[Std Adj Read]]&gt;=Table1[[#This Row],[Low Tol]],"Pass","Fail"),IF(Table1[[#This Row],[DUT Adj Read]]&gt;=Table1[[#This Row],[Low Tol]],"Pass","Fail")))</f>
        <v>Pass</v>
      </c>
      <c r="AG2960" s="1" t="str">
        <f>IF(AND(Table1[[#This Row],[Spec Type2]]="N/A",Table1[[#This Row],[DUT Adj Read]]="N/A",Table1[[#This Row],[Std Adj Read]]="N/A"),"N/A",IF(Table1[[#This Row],[DUT Adj Read]]="N/A",IF(Table1[[#This Row],[Std Adj Read]]&lt;=Table1[[#This Row],[High Tol]],"Pass","Fail"),IF(Table1[[#This Row],[DUT Adj Read]]&lt;=Table1[[#This Row],[High Tol]],"Pass","Fail")))</f>
        <v>Fail</v>
      </c>
      <c r="AH296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0" s="1" t="b">
        <v>0</v>
      </c>
      <c r="AN2960" s="1" t="b">
        <v>0</v>
      </c>
      <c r="AO2960" s="1" t="b">
        <v>0</v>
      </c>
    </row>
    <row r="2961" spans="1:41" x14ac:dyDescent="0.25">
      <c r="A2961" s="10"/>
      <c r="B2961" s="10"/>
      <c r="C2961" s="10"/>
      <c r="D2961" s="10"/>
      <c r="E2961" s="10"/>
      <c r="F2961" s="10"/>
      <c r="G2961" s="10"/>
      <c r="H2961" s="10"/>
      <c r="I2961" s="1" t="str">
        <f t="shared" si="138"/>
        <v/>
      </c>
      <c r="J2961" s="1" t="s">
        <v>35</v>
      </c>
      <c r="K2961" s="1" t="str">
        <f t="shared" si="139"/>
        <v/>
      </c>
      <c r="L2961" s="1" t="str">
        <f t="shared" si="140"/>
        <v/>
      </c>
      <c r="M2961" s="1">
        <f>IF(OR(Table1[[#This Row],[Std Nom]]="",Table1[[#This Row],[Std Read]]=""),0,Table1[[#This Row],[Std Nom]]-Table1[[#This Row],[Std Read]])</f>
        <v>0</v>
      </c>
      <c r="N2961" s="1">
        <f>IF(Calculations!$F$5="ACCREDITED 17025 WITH UNCERTAINTIES",$N$10,0)</f>
        <v>0</v>
      </c>
      <c r="Q2961" s="1">
        <f>Table1[[#This Row],[High Tol]]-Table1[[#This Row],[Low Tol]]</f>
        <v>0</v>
      </c>
      <c r="R2961" s="1">
        <f>2*Table1[[#This Row],[Std Error]]</f>
        <v>0</v>
      </c>
      <c r="S2961" s="1" t="str">
        <f>IF(Table1[[#This Row],[High Tol]]="","N/A",IFERROR(ABS(Table1[[#This Row],[Tol Span]]/Table1[[#This Row],[Error Span]]),"N/A"))</f>
        <v>N/A</v>
      </c>
      <c r="T2961" s="1" t="str">
        <f>IF(OR(Table1[[#This Row],[Low Tol]]="",Table1[[#This Row],[High Tol]]=""),"Needs Analysis",IF(Table1[[#This Row],[Ratio]]&gt;=4,"Not Significant",IF(Table1[[#This Row],[Ratio]]&gt;=2,"Semi-Significant","Significant")))</f>
        <v>Needs Analysis</v>
      </c>
      <c r="W2961" s="1">
        <f>IF(Table1[[#This Row],[Cal Type]]&lt;&gt;"ACCREDITED 17025 WITH UNCERTAINTIES",0,"")</f>
        <v>0</v>
      </c>
      <c r="X2961" s="1" t="str">
        <f>IF(Table1[[#This Row],[DUT Read]]="","N/A",Table1[[#This Row],[Std Error]]+Table1[[#This Row],[DUT Read]]+Table1[[#This Row],[DUT Ucty]])</f>
        <v>N/A</v>
      </c>
      <c r="Y2961" s="1" t="str">
        <f>IF(Table1[[#This Row],[Std Read]]="","N/A",Table1[[#This Row],[Std Read]]+Table1[[#This Row],[Std Ucty]])</f>
        <v>N/A</v>
      </c>
      <c r="Z296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1" s="1" t="str">
        <f>IF(Table1[[#This Row],[Spec Type]]="","N/A",Table1[[#This Row],[Spec Type]])</f>
        <v>±</v>
      </c>
      <c r="AC2961" s="1" t="str">
        <f>IF(Table1[[#This Row],[Spec Type2]]="N/A","N/A",IF(AND(Table1[[#This Row],[DUT Adj Read]]&gt;=Table1[[#This Row],[Low Tol]],Table1[[#This Row],[DUT Adj Read]]&lt;=Table1[[#This Row],[High Tol]]),"Pass","Fail"))</f>
        <v>Fail</v>
      </c>
      <c r="AD2961" s="1" t="str">
        <f>IF(AND(Table1[[#This Row],[Spec Type2]]="N/A",Table1[[#This Row],[DUT Adj Read]]="N/A",Table1[[#This Row],[Std Adj Read]]="N/A"),"N/A",IF(Table1[[#This Row],[DUT Adj Read]]="N/A",IF(Table1[[#This Row],[Std Adj Read]]&gt;Table1[[#This Row],[Low Tol]],"Pass","Fail"),IF(Table1[[#This Row],[DUT Adj Read]]&gt;Table1[[#This Row],[Low Tol]],"Pass","Fail")))</f>
        <v>Pass</v>
      </c>
      <c r="AE2961" s="1" t="str">
        <f>IF(AND(Table1[[#This Row],[Spec Type2]]="N/A",Table1[[#This Row],[DUT Adj Read]]="N/A",Table1[[#This Row],[Std Adj Read]]="N/A"),"N/A",IF(Table1[[#This Row],[DUT Adj Read]]="N/A",IF(Table1[[#This Row],[Std Adj Read]]&lt;Table1[[#This Row],[High Tol]],"Pass","Fail"),IF(Table1[[#This Row],[DUT Adj Read]]&lt;Table1[[#This Row],[High Tol]],"Pass","Fail")))</f>
        <v>Fail</v>
      </c>
      <c r="AF2961" s="1" t="str">
        <f>IF(AND(Table1[[#This Row],[Spec Type2]]="N/A",Table1[[#This Row],[DUT Adj Read]]="N/A",Table1[[#This Row],[Std Adj Read]]="N/A"),"N/A",IF(Table1[[#This Row],[DUT Adj Read]]="N/A",IF(Table1[[#This Row],[Std Adj Read]]&gt;=Table1[[#This Row],[Low Tol]],"Pass","Fail"),IF(Table1[[#This Row],[DUT Adj Read]]&gt;=Table1[[#This Row],[Low Tol]],"Pass","Fail")))</f>
        <v>Pass</v>
      </c>
      <c r="AG2961" s="1" t="str">
        <f>IF(AND(Table1[[#This Row],[Spec Type2]]="N/A",Table1[[#This Row],[DUT Adj Read]]="N/A",Table1[[#This Row],[Std Adj Read]]="N/A"),"N/A",IF(Table1[[#This Row],[DUT Adj Read]]="N/A",IF(Table1[[#This Row],[Std Adj Read]]&lt;=Table1[[#This Row],[High Tol]],"Pass","Fail"),IF(Table1[[#This Row],[DUT Adj Read]]&lt;=Table1[[#This Row],[High Tol]],"Pass","Fail")))</f>
        <v>Fail</v>
      </c>
      <c r="AH296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1" s="1" t="b">
        <v>0</v>
      </c>
      <c r="AN2961" s="1" t="b">
        <v>0</v>
      </c>
      <c r="AO2961" s="1" t="b">
        <v>0</v>
      </c>
    </row>
    <row r="2962" spans="1:41" x14ac:dyDescent="0.25">
      <c r="A2962" s="10"/>
      <c r="B2962" s="10"/>
      <c r="C2962" s="10"/>
      <c r="D2962" s="10"/>
      <c r="E2962" s="10"/>
      <c r="F2962" s="10"/>
      <c r="G2962" s="10"/>
      <c r="H2962" s="10"/>
      <c r="I2962" s="1" t="str">
        <f t="shared" si="138"/>
        <v/>
      </c>
      <c r="J2962" s="1" t="s">
        <v>35</v>
      </c>
      <c r="K2962" s="1" t="str">
        <f t="shared" si="139"/>
        <v/>
      </c>
      <c r="L2962" s="1" t="str">
        <f t="shared" si="140"/>
        <v/>
      </c>
      <c r="M2962" s="1">
        <f>IF(OR(Table1[[#This Row],[Std Nom]]="",Table1[[#This Row],[Std Read]]=""),0,Table1[[#This Row],[Std Nom]]-Table1[[#This Row],[Std Read]])</f>
        <v>0</v>
      </c>
      <c r="N2962" s="1">
        <f>IF(Calculations!$F$5="ACCREDITED 17025 WITH UNCERTAINTIES",$N$10,0)</f>
        <v>0</v>
      </c>
      <c r="Q2962" s="1">
        <f>Table1[[#This Row],[High Tol]]-Table1[[#This Row],[Low Tol]]</f>
        <v>0</v>
      </c>
      <c r="R2962" s="1">
        <f>2*Table1[[#This Row],[Std Error]]</f>
        <v>0</v>
      </c>
      <c r="S2962" s="1" t="str">
        <f>IF(Table1[[#This Row],[High Tol]]="","N/A",IFERROR(ABS(Table1[[#This Row],[Tol Span]]/Table1[[#This Row],[Error Span]]),"N/A"))</f>
        <v>N/A</v>
      </c>
      <c r="T2962" s="1" t="str">
        <f>IF(OR(Table1[[#This Row],[Low Tol]]="",Table1[[#This Row],[High Tol]]=""),"Needs Analysis",IF(Table1[[#This Row],[Ratio]]&gt;=4,"Not Significant",IF(Table1[[#This Row],[Ratio]]&gt;=2,"Semi-Significant","Significant")))</f>
        <v>Needs Analysis</v>
      </c>
      <c r="W2962" s="1">
        <f>IF(Table1[[#This Row],[Cal Type]]&lt;&gt;"ACCREDITED 17025 WITH UNCERTAINTIES",0,"")</f>
        <v>0</v>
      </c>
      <c r="X2962" s="1" t="str">
        <f>IF(Table1[[#This Row],[DUT Read]]="","N/A",Table1[[#This Row],[Std Error]]+Table1[[#This Row],[DUT Read]]+Table1[[#This Row],[DUT Ucty]])</f>
        <v>N/A</v>
      </c>
      <c r="Y2962" s="1" t="str">
        <f>IF(Table1[[#This Row],[Std Read]]="","N/A",Table1[[#This Row],[Std Read]]+Table1[[#This Row],[Std Ucty]])</f>
        <v>N/A</v>
      </c>
      <c r="Z296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2" s="1" t="str">
        <f>IF(Table1[[#This Row],[Spec Type]]="","N/A",Table1[[#This Row],[Spec Type]])</f>
        <v>±</v>
      </c>
      <c r="AC2962" s="1" t="str">
        <f>IF(Table1[[#This Row],[Spec Type2]]="N/A","N/A",IF(AND(Table1[[#This Row],[DUT Adj Read]]&gt;=Table1[[#This Row],[Low Tol]],Table1[[#This Row],[DUT Adj Read]]&lt;=Table1[[#This Row],[High Tol]]),"Pass","Fail"))</f>
        <v>Fail</v>
      </c>
      <c r="AD2962" s="1" t="str">
        <f>IF(AND(Table1[[#This Row],[Spec Type2]]="N/A",Table1[[#This Row],[DUT Adj Read]]="N/A",Table1[[#This Row],[Std Adj Read]]="N/A"),"N/A",IF(Table1[[#This Row],[DUT Adj Read]]="N/A",IF(Table1[[#This Row],[Std Adj Read]]&gt;Table1[[#This Row],[Low Tol]],"Pass","Fail"),IF(Table1[[#This Row],[DUT Adj Read]]&gt;Table1[[#This Row],[Low Tol]],"Pass","Fail")))</f>
        <v>Pass</v>
      </c>
      <c r="AE2962" s="1" t="str">
        <f>IF(AND(Table1[[#This Row],[Spec Type2]]="N/A",Table1[[#This Row],[DUT Adj Read]]="N/A",Table1[[#This Row],[Std Adj Read]]="N/A"),"N/A",IF(Table1[[#This Row],[DUT Adj Read]]="N/A",IF(Table1[[#This Row],[Std Adj Read]]&lt;Table1[[#This Row],[High Tol]],"Pass","Fail"),IF(Table1[[#This Row],[DUT Adj Read]]&lt;Table1[[#This Row],[High Tol]],"Pass","Fail")))</f>
        <v>Fail</v>
      </c>
      <c r="AF2962" s="1" t="str">
        <f>IF(AND(Table1[[#This Row],[Spec Type2]]="N/A",Table1[[#This Row],[DUT Adj Read]]="N/A",Table1[[#This Row],[Std Adj Read]]="N/A"),"N/A",IF(Table1[[#This Row],[DUT Adj Read]]="N/A",IF(Table1[[#This Row],[Std Adj Read]]&gt;=Table1[[#This Row],[Low Tol]],"Pass","Fail"),IF(Table1[[#This Row],[DUT Adj Read]]&gt;=Table1[[#This Row],[Low Tol]],"Pass","Fail")))</f>
        <v>Pass</v>
      </c>
      <c r="AG2962" s="1" t="str">
        <f>IF(AND(Table1[[#This Row],[Spec Type2]]="N/A",Table1[[#This Row],[DUT Adj Read]]="N/A",Table1[[#This Row],[Std Adj Read]]="N/A"),"N/A",IF(Table1[[#This Row],[DUT Adj Read]]="N/A",IF(Table1[[#This Row],[Std Adj Read]]&lt;=Table1[[#This Row],[High Tol]],"Pass","Fail"),IF(Table1[[#This Row],[DUT Adj Read]]&lt;=Table1[[#This Row],[High Tol]],"Pass","Fail")))</f>
        <v>Fail</v>
      </c>
      <c r="AH296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2" s="1" t="b">
        <v>0</v>
      </c>
      <c r="AN2962" s="1" t="b">
        <v>0</v>
      </c>
      <c r="AO2962" s="1" t="b">
        <v>0</v>
      </c>
    </row>
    <row r="2963" spans="1:41" x14ac:dyDescent="0.25">
      <c r="A2963" s="10"/>
      <c r="B2963" s="10"/>
      <c r="C2963" s="10"/>
      <c r="D2963" s="10"/>
      <c r="E2963" s="10"/>
      <c r="F2963" s="10"/>
      <c r="G2963" s="10"/>
      <c r="H2963" s="10"/>
      <c r="I2963" s="1" t="str">
        <f t="shared" si="138"/>
        <v/>
      </c>
      <c r="J2963" s="1" t="s">
        <v>35</v>
      </c>
      <c r="K2963" s="1" t="str">
        <f t="shared" si="139"/>
        <v/>
      </c>
      <c r="L2963" s="1" t="str">
        <f t="shared" si="140"/>
        <v/>
      </c>
      <c r="M2963" s="1">
        <f>IF(OR(Table1[[#This Row],[Std Nom]]="",Table1[[#This Row],[Std Read]]=""),0,Table1[[#This Row],[Std Nom]]-Table1[[#This Row],[Std Read]])</f>
        <v>0</v>
      </c>
      <c r="N2963" s="1">
        <f>IF(Calculations!$F$5="ACCREDITED 17025 WITH UNCERTAINTIES",$N$10,0)</f>
        <v>0</v>
      </c>
      <c r="Q2963" s="1">
        <f>Table1[[#This Row],[High Tol]]-Table1[[#This Row],[Low Tol]]</f>
        <v>0</v>
      </c>
      <c r="R2963" s="1">
        <f>2*Table1[[#This Row],[Std Error]]</f>
        <v>0</v>
      </c>
      <c r="S2963" s="1" t="str">
        <f>IF(Table1[[#This Row],[High Tol]]="","N/A",IFERROR(ABS(Table1[[#This Row],[Tol Span]]/Table1[[#This Row],[Error Span]]),"N/A"))</f>
        <v>N/A</v>
      </c>
      <c r="T2963" s="1" t="str">
        <f>IF(OR(Table1[[#This Row],[Low Tol]]="",Table1[[#This Row],[High Tol]]=""),"Needs Analysis",IF(Table1[[#This Row],[Ratio]]&gt;=4,"Not Significant",IF(Table1[[#This Row],[Ratio]]&gt;=2,"Semi-Significant","Significant")))</f>
        <v>Needs Analysis</v>
      </c>
      <c r="W2963" s="1">
        <f>IF(Table1[[#This Row],[Cal Type]]&lt;&gt;"ACCREDITED 17025 WITH UNCERTAINTIES",0,"")</f>
        <v>0</v>
      </c>
      <c r="X2963" s="1" t="str">
        <f>IF(Table1[[#This Row],[DUT Read]]="","N/A",Table1[[#This Row],[Std Error]]+Table1[[#This Row],[DUT Read]]+Table1[[#This Row],[DUT Ucty]])</f>
        <v>N/A</v>
      </c>
      <c r="Y2963" s="1" t="str">
        <f>IF(Table1[[#This Row],[Std Read]]="","N/A",Table1[[#This Row],[Std Read]]+Table1[[#This Row],[Std Ucty]])</f>
        <v>N/A</v>
      </c>
      <c r="Z296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3" s="1" t="str">
        <f>IF(Table1[[#This Row],[Spec Type]]="","N/A",Table1[[#This Row],[Spec Type]])</f>
        <v>±</v>
      </c>
      <c r="AC2963" s="1" t="str">
        <f>IF(Table1[[#This Row],[Spec Type2]]="N/A","N/A",IF(AND(Table1[[#This Row],[DUT Adj Read]]&gt;=Table1[[#This Row],[Low Tol]],Table1[[#This Row],[DUT Adj Read]]&lt;=Table1[[#This Row],[High Tol]]),"Pass","Fail"))</f>
        <v>Fail</v>
      </c>
      <c r="AD2963" s="1" t="str">
        <f>IF(AND(Table1[[#This Row],[Spec Type2]]="N/A",Table1[[#This Row],[DUT Adj Read]]="N/A",Table1[[#This Row],[Std Adj Read]]="N/A"),"N/A",IF(Table1[[#This Row],[DUT Adj Read]]="N/A",IF(Table1[[#This Row],[Std Adj Read]]&gt;Table1[[#This Row],[Low Tol]],"Pass","Fail"),IF(Table1[[#This Row],[DUT Adj Read]]&gt;Table1[[#This Row],[Low Tol]],"Pass","Fail")))</f>
        <v>Pass</v>
      </c>
      <c r="AE2963" s="1" t="str">
        <f>IF(AND(Table1[[#This Row],[Spec Type2]]="N/A",Table1[[#This Row],[DUT Adj Read]]="N/A",Table1[[#This Row],[Std Adj Read]]="N/A"),"N/A",IF(Table1[[#This Row],[DUT Adj Read]]="N/A",IF(Table1[[#This Row],[Std Adj Read]]&lt;Table1[[#This Row],[High Tol]],"Pass","Fail"),IF(Table1[[#This Row],[DUT Adj Read]]&lt;Table1[[#This Row],[High Tol]],"Pass","Fail")))</f>
        <v>Fail</v>
      </c>
      <c r="AF2963" s="1" t="str">
        <f>IF(AND(Table1[[#This Row],[Spec Type2]]="N/A",Table1[[#This Row],[DUT Adj Read]]="N/A",Table1[[#This Row],[Std Adj Read]]="N/A"),"N/A",IF(Table1[[#This Row],[DUT Adj Read]]="N/A",IF(Table1[[#This Row],[Std Adj Read]]&gt;=Table1[[#This Row],[Low Tol]],"Pass","Fail"),IF(Table1[[#This Row],[DUT Adj Read]]&gt;=Table1[[#This Row],[Low Tol]],"Pass","Fail")))</f>
        <v>Pass</v>
      </c>
      <c r="AG2963" s="1" t="str">
        <f>IF(AND(Table1[[#This Row],[Spec Type2]]="N/A",Table1[[#This Row],[DUT Adj Read]]="N/A",Table1[[#This Row],[Std Adj Read]]="N/A"),"N/A",IF(Table1[[#This Row],[DUT Adj Read]]="N/A",IF(Table1[[#This Row],[Std Adj Read]]&lt;=Table1[[#This Row],[High Tol]],"Pass","Fail"),IF(Table1[[#This Row],[DUT Adj Read]]&lt;=Table1[[#This Row],[High Tol]],"Pass","Fail")))</f>
        <v>Fail</v>
      </c>
      <c r="AH296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3" s="1" t="b">
        <v>0</v>
      </c>
      <c r="AN2963" s="1" t="b">
        <v>0</v>
      </c>
      <c r="AO2963" s="1" t="b">
        <v>0</v>
      </c>
    </row>
    <row r="2964" spans="1:41" x14ac:dyDescent="0.25">
      <c r="A2964" s="10"/>
      <c r="B2964" s="10"/>
      <c r="C2964" s="10"/>
      <c r="D2964" s="10"/>
      <c r="E2964" s="10"/>
      <c r="F2964" s="10"/>
      <c r="G2964" s="10"/>
      <c r="H2964" s="10"/>
      <c r="I2964" s="1" t="str">
        <f t="shared" si="138"/>
        <v/>
      </c>
      <c r="J2964" s="1" t="s">
        <v>35</v>
      </c>
      <c r="K2964" s="1" t="str">
        <f t="shared" si="139"/>
        <v/>
      </c>
      <c r="L2964" s="1" t="str">
        <f t="shared" si="140"/>
        <v/>
      </c>
      <c r="M2964" s="1">
        <f>IF(OR(Table1[[#This Row],[Std Nom]]="",Table1[[#This Row],[Std Read]]=""),0,Table1[[#This Row],[Std Nom]]-Table1[[#This Row],[Std Read]])</f>
        <v>0</v>
      </c>
      <c r="N2964" s="1">
        <f>IF(Calculations!$F$5="ACCREDITED 17025 WITH UNCERTAINTIES",$N$10,0)</f>
        <v>0</v>
      </c>
      <c r="Q2964" s="1">
        <f>Table1[[#This Row],[High Tol]]-Table1[[#This Row],[Low Tol]]</f>
        <v>0</v>
      </c>
      <c r="R2964" s="1">
        <f>2*Table1[[#This Row],[Std Error]]</f>
        <v>0</v>
      </c>
      <c r="S2964" s="1" t="str">
        <f>IF(Table1[[#This Row],[High Tol]]="","N/A",IFERROR(ABS(Table1[[#This Row],[Tol Span]]/Table1[[#This Row],[Error Span]]),"N/A"))</f>
        <v>N/A</v>
      </c>
      <c r="T2964" s="1" t="str">
        <f>IF(OR(Table1[[#This Row],[Low Tol]]="",Table1[[#This Row],[High Tol]]=""),"Needs Analysis",IF(Table1[[#This Row],[Ratio]]&gt;=4,"Not Significant",IF(Table1[[#This Row],[Ratio]]&gt;=2,"Semi-Significant","Significant")))</f>
        <v>Needs Analysis</v>
      </c>
      <c r="W2964" s="1">
        <f>IF(Table1[[#This Row],[Cal Type]]&lt;&gt;"ACCREDITED 17025 WITH UNCERTAINTIES",0,"")</f>
        <v>0</v>
      </c>
      <c r="X2964" s="1" t="str">
        <f>IF(Table1[[#This Row],[DUT Read]]="","N/A",Table1[[#This Row],[Std Error]]+Table1[[#This Row],[DUT Read]]+Table1[[#This Row],[DUT Ucty]])</f>
        <v>N/A</v>
      </c>
      <c r="Y2964" s="1" t="str">
        <f>IF(Table1[[#This Row],[Std Read]]="","N/A",Table1[[#This Row],[Std Read]]+Table1[[#This Row],[Std Ucty]])</f>
        <v>N/A</v>
      </c>
      <c r="Z296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4" s="1" t="str">
        <f>IF(Table1[[#This Row],[Spec Type]]="","N/A",Table1[[#This Row],[Spec Type]])</f>
        <v>±</v>
      </c>
      <c r="AC2964" s="1" t="str">
        <f>IF(Table1[[#This Row],[Spec Type2]]="N/A","N/A",IF(AND(Table1[[#This Row],[DUT Adj Read]]&gt;=Table1[[#This Row],[Low Tol]],Table1[[#This Row],[DUT Adj Read]]&lt;=Table1[[#This Row],[High Tol]]),"Pass","Fail"))</f>
        <v>Fail</v>
      </c>
      <c r="AD2964" s="1" t="str">
        <f>IF(AND(Table1[[#This Row],[Spec Type2]]="N/A",Table1[[#This Row],[DUT Adj Read]]="N/A",Table1[[#This Row],[Std Adj Read]]="N/A"),"N/A",IF(Table1[[#This Row],[DUT Adj Read]]="N/A",IF(Table1[[#This Row],[Std Adj Read]]&gt;Table1[[#This Row],[Low Tol]],"Pass","Fail"),IF(Table1[[#This Row],[DUT Adj Read]]&gt;Table1[[#This Row],[Low Tol]],"Pass","Fail")))</f>
        <v>Pass</v>
      </c>
      <c r="AE2964" s="1" t="str">
        <f>IF(AND(Table1[[#This Row],[Spec Type2]]="N/A",Table1[[#This Row],[DUT Adj Read]]="N/A",Table1[[#This Row],[Std Adj Read]]="N/A"),"N/A",IF(Table1[[#This Row],[DUT Adj Read]]="N/A",IF(Table1[[#This Row],[Std Adj Read]]&lt;Table1[[#This Row],[High Tol]],"Pass","Fail"),IF(Table1[[#This Row],[DUT Adj Read]]&lt;Table1[[#This Row],[High Tol]],"Pass","Fail")))</f>
        <v>Fail</v>
      </c>
      <c r="AF2964" s="1" t="str">
        <f>IF(AND(Table1[[#This Row],[Spec Type2]]="N/A",Table1[[#This Row],[DUT Adj Read]]="N/A",Table1[[#This Row],[Std Adj Read]]="N/A"),"N/A",IF(Table1[[#This Row],[DUT Adj Read]]="N/A",IF(Table1[[#This Row],[Std Adj Read]]&gt;=Table1[[#This Row],[Low Tol]],"Pass","Fail"),IF(Table1[[#This Row],[DUT Adj Read]]&gt;=Table1[[#This Row],[Low Tol]],"Pass","Fail")))</f>
        <v>Pass</v>
      </c>
      <c r="AG2964" s="1" t="str">
        <f>IF(AND(Table1[[#This Row],[Spec Type2]]="N/A",Table1[[#This Row],[DUT Adj Read]]="N/A",Table1[[#This Row],[Std Adj Read]]="N/A"),"N/A",IF(Table1[[#This Row],[DUT Adj Read]]="N/A",IF(Table1[[#This Row],[Std Adj Read]]&lt;=Table1[[#This Row],[High Tol]],"Pass","Fail"),IF(Table1[[#This Row],[DUT Adj Read]]&lt;=Table1[[#This Row],[High Tol]],"Pass","Fail")))</f>
        <v>Fail</v>
      </c>
      <c r="AH296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4" s="1" t="b">
        <v>0</v>
      </c>
      <c r="AN2964" s="1" t="b">
        <v>0</v>
      </c>
      <c r="AO2964" s="1" t="b">
        <v>0</v>
      </c>
    </row>
    <row r="2965" spans="1:41" x14ac:dyDescent="0.25">
      <c r="A2965" s="10"/>
      <c r="B2965" s="10"/>
      <c r="C2965" s="10"/>
      <c r="D2965" s="10"/>
      <c r="E2965" s="10"/>
      <c r="F2965" s="10"/>
      <c r="G2965" s="10"/>
      <c r="H2965" s="10"/>
      <c r="I2965" s="1" t="str">
        <f t="shared" si="138"/>
        <v/>
      </c>
      <c r="J2965" s="1" t="s">
        <v>35</v>
      </c>
      <c r="K2965" s="1" t="str">
        <f t="shared" si="139"/>
        <v/>
      </c>
      <c r="L2965" s="1" t="str">
        <f t="shared" si="140"/>
        <v/>
      </c>
      <c r="M2965" s="1">
        <f>IF(OR(Table1[[#This Row],[Std Nom]]="",Table1[[#This Row],[Std Read]]=""),0,Table1[[#This Row],[Std Nom]]-Table1[[#This Row],[Std Read]])</f>
        <v>0</v>
      </c>
      <c r="N2965" s="1">
        <f>IF(Calculations!$F$5="ACCREDITED 17025 WITH UNCERTAINTIES",$N$10,0)</f>
        <v>0</v>
      </c>
      <c r="Q2965" s="1">
        <f>Table1[[#This Row],[High Tol]]-Table1[[#This Row],[Low Tol]]</f>
        <v>0</v>
      </c>
      <c r="R2965" s="1">
        <f>2*Table1[[#This Row],[Std Error]]</f>
        <v>0</v>
      </c>
      <c r="S2965" s="1" t="str">
        <f>IF(Table1[[#This Row],[High Tol]]="","N/A",IFERROR(ABS(Table1[[#This Row],[Tol Span]]/Table1[[#This Row],[Error Span]]),"N/A"))</f>
        <v>N/A</v>
      </c>
      <c r="T2965" s="1" t="str">
        <f>IF(OR(Table1[[#This Row],[Low Tol]]="",Table1[[#This Row],[High Tol]]=""),"Needs Analysis",IF(Table1[[#This Row],[Ratio]]&gt;=4,"Not Significant",IF(Table1[[#This Row],[Ratio]]&gt;=2,"Semi-Significant","Significant")))</f>
        <v>Needs Analysis</v>
      </c>
      <c r="W2965" s="1">
        <f>IF(Table1[[#This Row],[Cal Type]]&lt;&gt;"ACCREDITED 17025 WITH UNCERTAINTIES",0,"")</f>
        <v>0</v>
      </c>
      <c r="X2965" s="1" t="str">
        <f>IF(Table1[[#This Row],[DUT Read]]="","N/A",Table1[[#This Row],[Std Error]]+Table1[[#This Row],[DUT Read]]+Table1[[#This Row],[DUT Ucty]])</f>
        <v>N/A</v>
      </c>
      <c r="Y2965" s="1" t="str">
        <f>IF(Table1[[#This Row],[Std Read]]="","N/A",Table1[[#This Row],[Std Read]]+Table1[[#This Row],[Std Ucty]])</f>
        <v>N/A</v>
      </c>
      <c r="Z296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5" s="1" t="str">
        <f>IF(Table1[[#This Row],[Spec Type]]="","N/A",Table1[[#This Row],[Spec Type]])</f>
        <v>±</v>
      </c>
      <c r="AC2965" s="1" t="str">
        <f>IF(Table1[[#This Row],[Spec Type2]]="N/A","N/A",IF(AND(Table1[[#This Row],[DUT Adj Read]]&gt;=Table1[[#This Row],[Low Tol]],Table1[[#This Row],[DUT Adj Read]]&lt;=Table1[[#This Row],[High Tol]]),"Pass","Fail"))</f>
        <v>Fail</v>
      </c>
      <c r="AD2965" s="1" t="str">
        <f>IF(AND(Table1[[#This Row],[Spec Type2]]="N/A",Table1[[#This Row],[DUT Adj Read]]="N/A",Table1[[#This Row],[Std Adj Read]]="N/A"),"N/A",IF(Table1[[#This Row],[DUT Adj Read]]="N/A",IF(Table1[[#This Row],[Std Adj Read]]&gt;Table1[[#This Row],[Low Tol]],"Pass","Fail"),IF(Table1[[#This Row],[DUT Adj Read]]&gt;Table1[[#This Row],[Low Tol]],"Pass","Fail")))</f>
        <v>Pass</v>
      </c>
      <c r="AE2965" s="1" t="str">
        <f>IF(AND(Table1[[#This Row],[Spec Type2]]="N/A",Table1[[#This Row],[DUT Adj Read]]="N/A",Table1[[#This Row],[Std Adj Read]]="N/A"),"N/A",IF(Table1[[#This Row],[DUT Adj Read]]="N/A",IF(Table1[[#This Row],[Std Adj Read]]&lt;Table1[[#This Row],[High Tol]],"Pass","Fail"),IF(Table1[[#This Row],[DUT Adj Read]]&lt;Table1[[#This Row],[High Tol]],"Pass","Fail")))</f>
        <v>Fail</v>
      </c>
      <c r="AF2965" s="1" t="str">
        <f>IF(AND(Table1[[#This Row],[Spec Type2]]="N/A",Table1[[#This Row],[DUT Adj Read]]="N/A",Table1[[#This Row],[Std Adj Read]]="N/A"),"N/A",IF(Table1[[#This Row],[DUT Adj Read]]="N/A",IF(Table1[[#This Row],[Std Adj Read]]&gt;=Table1[[#This Row],[Low Tol]],"Pass","Fail"),IF(Table1[[#This Row],[DUT Adj Read]]&gt;=Table1[[#This Row],[Low Tol]],"Pass","Fail")))</f>
        <v>Pass</v>
      </c>
      <c r="AG2965" s="1" t="str">
        <f>IF(AND(Table1[[#This Row],[Spec Type2]]="N/A",Table1[[#This Row],[DUT Adj Read]]="N/A",Table1[[#This Row],[Std Adj Read]]="N/A"),"N/A",IF(Table1[[#This Row],[DUT Adj Read]]="N/A",IF(Table1[[#This Row],[Std Adj Read]]&lt;=Table1[[#This Row],[High Tol]],"Pass","Fail"),IF(Table1[[#This Row],[DUT Adj Read]]&lt;=Table1[[#This Row],[High Tol]],"Pass","Fail")))</f>
        <v>Fail</v>
      </c>
      <c r="AH296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5" s="1" t="b">
        <v>0</v>
      </c>
      <c r="AN2965" s="1" t="b">
        <v>0</v>
      </c>
      <c r="AO2965" s="1" t="b">
        <v>0</v>
      </c>
    </row>
    <row r="2966" spans="1:41" x14ac:dyDescent="0.25">
      <c r="A2966" s="10"/>
      <c r="B2966" s="10"/>
      <c r="C2966" s="10"/>
      <c r="D2966" s="10"/>
      <c r="E2966" s="10"/>
      <c r="F2966" s="10"/>
      <c r="G2966" s="10"/>
      <c r="H2966" s="10"/>
      <c r="I2966" s="1" t="str">
        <f t="shared" si="138"/>
        <v/>
      </c>
      <c r="J2966" s="1" t="s">
        <v>35</v>
      </c>
      <c r="K2966" s="1" t="str">
        <f t="shared" si="139"/>
        <v/>
      </c>
      <c r="L2966" s="1" t="str">
        <f t="shared" si="140"/>
        <v/>
      </c>
      <c r="M2966" s="1">
        <f>IF(OR(Table1[[#This Row],[Std Nom]]="",Table1[[#This Row],[Std Read]]=""),0,Table1[[#This Row],[Std Nom]]-Table1[[#This Row],[Std Read]])</f>
        <v>0</v>
      </c>
      <c r="N2966" s="1">
        <f>IF(Calculations!$F$5="ACCREDITED 17025 WITH UNCERTAINTIES",$N$10,0)</f>
        <v>0</v>
      </c>
      <c r="Q2966" s="1">
        <f>Table1[[#This Row],[High Tol]]-Table1[[#This Row],[Low Tol]]</f>
        <v>0</v>
      </c>
      <c r="R2966" s="1">
        <f>2*Table1[[#This Row],[Std Error]]</f>
        <v>0</v>
      </c>
      <c r="S2966" s="1" t="str">
        <f>IF(Table1[[#This Row],[High Tol]]="","N/A",IFERROR(ABS(Table1[[#This Row],[Tol Span]]/Table1[[#This Row],[Error Span]]),"N/A"))</f>
        <v>N/A</v>
      </c>
      <c r="T2966" s="1" t="str">
        <f>IF(OR(Table1[[#This Row],[Low Tol]]="",Table1[[#This Row],[High Tol]]=""),"Needs Analysis",IF(Table1[[#This Row],[Ratio]]&gt;=4,"Not Significant",IF(Table1[[#This Row],[Ratio]]&gt;=2,"Semi-Significant","Significant")))</f>
        <v>Needs Analysis</v>
      </c>
      <c r="W2966" s="1">
        <f>IF(Table1[[#This Row],[Cal Type]]&lt;&gt;"ACCREDITED 17025 WITH UNCERTAINTIES",0,"")</f>
        <v>0</v>
      </c>
      <c r="X2966" s="1" t="str">
        <f>IF(Table1[[#This Row],[DUT Read]]="","N/A",Table1[[#This Row],[Std Error]]+Table1[[#This Row],[DUT Read]]+Table1[[#This Row],[DUT Ucty]])</f>
        <v>N/A</v>
      </c>
      <c r="Y2966" s="1" t="str">
        <f>IF(Table1[[#This Row],[Std Read]]="","N/A",Table1[[#This Row],[Std Read]]+Table1[[#This Row],[Std Ucty]])</f>
        <v>N/A</v>
      </c>
      <c r="Z296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6" s="1" t="str">
        <f>IF(Table1[[#This Row],[Spec Type]]="","N/A",Table1[[#This Row],[Spec Type]])</f>
        <v>±</v>
      </c>
      <c r="AC2966" s="1" t="str">
        <f>IF(Table1[[#This Row],[Spec Type2]]="N/A","N/A",IF(AND(Table1[[#This Row],[DUT Adj Read]]&gt;=Table1[[#This Row],[Low Tol]],Table1[[#This Row],[DUT Adj Read]]&lt;=Table1[[#This Row],[High Tol]]),"Pass","Fail"))</f>
        <v>Fail</v>
      </c>
      <c r="AD2966" s="1" t="str">
        <f>IF(AND(Table1[[#This Row],[Spec Type2]]="N/A",Table1[[#This Row],[DUT Adj Read]]="N/A",Table1[[#This Row],[Std Adj Read]]="N/A"),"N/A",IF(Table1[[#This Row],[DUT Adj Read]]="N/A",IF(Table1[[#This Row],[Std Adj Read]]&gt;Table1[[#This Row],[Low Tol]],"Pass","Fail"),IF(Table1[[#This Row],[DUT Adj Read]]&gt;Table1[[#This Row],[Low Tol]],"Pass","Fail")))</f>
        <v>Pass</v>
      </c>
      <c r="AE2966" s="1" t="str">
        <f>IF(AND(Table1[[#This Row],[Spec Type2]]="N/A",Table1[[#This Row],[DUT Adj Read]]="N/A",Table1[[#This Row],[Std Adj Read]]="N/A"),"N/A",IF(Table1[[#This Row],[DUT Adj Read]]="N/A",IF(Table1[[#This Row],[Std Adj Read]]&lt;Table1[[#This Row],[High Tol]],"Pass","Fail"),IF(Table1[[#This Row],[DUT Adj Read]]&lt;Table1[[#This Row],[High Tol]],"Pass","Fail")))</f>
        <v>Fail</v>
      </c>
      <c r="AF2966" s="1" t="str">
        <f>IF(AND(Table1[[#This Row],[Spec Type2]]="N/A",Table1[[#This Row],[DUT Adj Read]]="N/A",Table1[[#This Row],[Std Adj Read]]="N/A"),"N/A",IF(Table1[[#This Row],[DUT Adj Read]]="N/A",IF(Table1[[#This Row],[Std Adj Read]]&gt;=Table1[[#This Row],[Low Tol]],"Pass","Fail"),IF(Table1[[#This Row],[DUT Adj Read]]&gt;=Table1[[#This Row],[Low Tol]],"Pass","Fail")))</f>
        <v>Pass</v>
      </c>
      <c r="AG2966" s="1" t="str">
        <f>IF(AND(Table1[[#This Row],[Spec Type2]]="N/A",Table1[[#This Row],[DUT Adj Read]]="N/A",Table1[[#This Row],[Std Adj Read]]="N/A"),"N/A",IF(Table1[[#This Row],[DUT Adj Read]]="N/A",IF(Table1[[#This Row],[Std Adj Read]]&lt;=Table1[[#This Row],[High Tol]],"Pass","Fail"),IF(Table1[[#This Row],[DUT Adj Read]]&lt;=Table1[[#This Row],[High Tol]],"Pass","Fail")))</f>
        <v>Fail</v>
      </c>
      <c r="AH296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6" s="1" t="b">
        <v>0</v>
      </c>
      <c r="AN2966" s="1" t="b">
        <v>0</v>
      </c>
      <c r="AO2966" s="1" t="b">
        <v>0</v>
      </c>
    </row>
    <row r="2967" spans="1:41" x14ac:dyDescent="0.25">
      <c r="A2967" s="10"/>
      <c r="B2967" s="10"/>
      <c r="C2967" s="10"/>
      <c r="D2967" s="10"/>
      <c r="E2967" s="10"/>
      <c r="F2967" s="10"/>
      <c r="G2967" s="10"/>
      <c r="H2967" s="10"/>
      <c r="I2967" s="1" t="str">
        <f t="shared" si="138"/>
        <v/>
      </c>
      <c r="J2967" s="1" t="s">
        <v>35</v>
      </c>
      <c r="K2967" s="1" t="str">
        <f t="shared" si="139"/>
        <v/>
      </c>
      <c r="L2967" s="1" t="str">
        <f t="shared" si="140"/>
        <v/>
      </c>
      <c r="M2967" s="1">
        <f>IF(OR(Table1[[#This Row],[Std Nom]]="",Table1[[#This Row],[Std Read]]=""),0,Table1[[#This Row],[Std Nom]]-Table1[[#This Row],[Std Read]])</f>
        <v>0</v>
      </c>
      <c r="N2967" s="1">
        <f>IF(Calculations!$F$5="ACCREDITED 17025 WITH UNCERTAINTIES",$N$10,0)</f>
        <v>0</v>
      </c>
      <c r="Q2967" s="1">
        <f>Table1[[#This Row],[High Tol]]-Table1[[#This Row],[Low Tol]]</f>
        <v>0</v>
      </c>
      <c r="R2967" s="1">
        <f>2*Table1[[#This Row],[Std Error]]</f>
        <v>0</v>
      </c>
      <c r="S2967" s="1" t="str">
        <f>IF(Table1[[#This Row],[High Tol]]="","N/A",IFERROR(ABS(Table1[[#This Row],[Tol Span]]/Table1[[#This Row],[Error Span]]),"N/A"))</f>
        <v>N/A</v>
      </c>
      <c r="T2967" s="1" t="str">
        <f>IF(OR(Table1[[#This Row],[Low Tol]]="",Table1[[#This Row],[High Tol]]=""),"Needs Analysis",IF(Table1[[#This Row],[Ratio]]&gt;=4,"Not Significant",IF(Table1[[#This Row],[Ratio]]&gt;=2,"Semi-Significant","Significant")))</f>
        <v>Needs Analysis</v>
      </c>
      <c r="W2967" s="1">
        <f>IF(Table1[[#This Row],[Cal Type]]&lt;&gt;"ACCREDITED 17025 WITH UNCERTAINTIES",0,"")</f>
        <v>0</v>
      </c>
      <c r="X2967" s="1" t="str">
        <f>IF(Table1[[#This Row],[DUT Read]]="","N/A",Table1[[#This Row],[Std Error]]+Table1[[#This Row],[DUT Read]]+Table1[[#This Row],[DUT Ucty]])</f>
        <v>N/A</v>
      </c>
      <c r="Y2967" s="1" t="str">
        <f>IF(Table1[[#This Row],[Std Read]]="","N/A",Table1[[#This Row],[Std Read]]+Table1[[#This Row],[Std Ucty]])</f>
        <v>N/A</v>
      </c>
      <c r="Z296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7" s="1" t="str">
        <f>IF(Table1[[#This Row],[Spec Type]]="","N/A",Table1[[#This Row],[Spec Type]])</f>
        <v>±</v>
      </c>
      <c r="AC2967" s="1" t="str">
        <f>IF(Table1[[#This Row],[Spec Type2]]="N/A","N/A",IF(AND(Table1[[#This Row],[DUT Adj Read]]&gt;=Table1[[#This Row],[Low Tol]],Table1[[#This Row],[DUT Adj Read]]&lt;=Table1[[#This Row],[High Tol]]),"Pass","Fail"))</f>
        <v>Fail</v>
      </c>
      <c r="AD2967" s="1" t="str">
        <f>IF(AND(Table1[[#This Row],[Spec Type2]]="N/A",Table1[[#This Row],[DUT Adj Read]]="N/A",Table1[[#This Row],[Std Adj Read]]="N/A"),"N/A",IF(Table1[[#This Row],[DUT Adj Read]]="N/A",IF(Table1[[#This Row],[Std Adj Read]]&gt;Table1[[#This Row],[Low Tol]],"Pass","Fail"),IF(Table1[[#This Row],[DUT Adj Read]]&gt;Table1[[#This Row],[Low Tol]],"Pass","Fail")))</f>
        <v>Pass</v>
      </c>
      <c r="AE2967" s="1" t="str">
        <f>IF(AND(Table1[[#This Row],[Spec Type2]]="N/A",Table1[[#This Row],[DUT Adj Read]]="N/A",Table1[[#This Row],[Std Adj Read]]="N/A"),"N/A",IF(Table1[[#This Row],[DUT Adj Read]]="N/A",IF(Table1[[#This Row],[Std Adj Read]]&lt;Table1[[#This Row],[High Tol]],"Pass","Fail"),IF(Table1[[#This Row],[DUT Adj Read]]&lt;Table1[[#This Row],[High Tol]],"Pass","Fail")))</f>
        <v>Fail</v>
      </c>
      <c r="AF2967" s="1" t="str">
        <f>IF(AND(Table1[[#This Row],[Spec Type2]]="N/A",Table1[[#This Row],[DUT Adj Read]]="N/A",Table1[[#This Row],[Std Adj Read]]="N/A"),"N/A",IF(Table1[[#This Row],[DUT Adj Read]]="N/A",IF(Table1[[#This Row],[Std Adj Read]]&gt;=Table1[[#This Row],[Low Tol]],"Pass","Fail"),IF(Table1[[#This Row],[DUT Adj Read]]&gt;=Table1[[#This Row],[Low Tol]],"Pass","Fail")))</f>
        <v>Pass</v>
      </c>
      <c r="AG2967" s="1" t="str">
        <f>IF(AND(Table1[[#This Row],[Spec Type2]]="N/A",Table1[[#This Row],[DUT Adj Read]]="N/A",Table1[[#This Row],[Std Adj Read]]="N/A"),"N/A",IF(Table1[[#This Row],[DUT Adj Read]]="N/A",IF(Table1[[#This Row],[Std Adj Read]]&lt;=Table1[[#This Row],[High Tol]],"Pass","Fail"),IF(Table1[[#This Row],[DUT Adj Read]]&lt;=Table1[[#This Row],[High Tol]],"Pass","Fail")))</f>
        <v>Fail</v>
      </c>
      <c r="AH296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7" s="1" t="b">
        <v>0</v>
      </c>
      <c r="AN2967" s="1" t="b">
        <v>0</v>
      </c>
      <c r="AO2967" s="1" t="b">
        <v>0</v>
      </c>
    </row>
    <row r="2968" spans="1:41" x14ac:dyDescent="0.25">
      <c r="A2968" s="10"/>
      <c r="B2968" s="10"/>
      <c r="C2968" s="10"/>
      <c r="D2968" s="10"/>
      <c r="E2968" s="10"/>
      <c r="F2968" s="10"/>
      <c r="G2968" s="10"/>
      <c r="H2968" s="10"/>
      <c r="I2968" s="1" t="str">
        <f t="shared" si="138"/>
        <v/>
      </c>
      <c r="J2968" s="1" t="s">
        <v>35</v>
      </c>
      <c r="K2968" s="1" t="str">
        <f t="shared" si="139"/>
        <v/>
      </c>
      <c r="L2968" s="1" t="str">
        <f t="shared" si="140"/>
        <v/>
      </c>
      <c r="M2968" s="1">
        <f>IF(OR(Table1[[#This Row],[Std Nom]]="",Table1[[#This Row],[Std Read]]=""),0,Table1[[#This Row],[Std Nom]]-Table1[[#This Row],[Std Read]])</f>
        <v>0</v>
      </c>
      <c r="N2968" s="1">
        <f>IF(Calculations!$F$5="ACCREDITED 17025 WITH UNCERTAINTIES",$N$10,0)</f>
        <v>0</v>
      </c>
      <c r="Q2968" s="1">
        <f>Table1[[#This Row],[High Tol]]-Table1[[#This Row],[Low Tol]]</f>
        <v>0</v>
      </c>
      <c r="R2968" s="1">
        <f>2*Table1[[#This Row],[Std Error]]</f>
        <v>0</v>
      </c>
      <c r="S2968" s="1" t="str">
        <f>IF(Table1[[#This Row],[High Tol]]="","N/A",IFERROR(ABS(Table1[[#This Row],[Tol Span]]/Table1[[#This Row],[Error Span]]),"N/A"))</f>
        <v>N/A</v>
      </c>
      <c r="T2968" s="1" t="str">
        <f>IF(OR(Table1[[#This Row],[Low Tol]]="",Table1[[#This Row],[High Tol]]=""),"Needs Analysis",IF(Table1[[#This Row],[Ratio]]&gt;=4,"Not Significant",IF(Table1[[#This Row],[Ratio]]&gt;=2,"Semi-Significant","Significant")))</f>
        <v>Needs Analysis</v>
      </c>
      <c r="W2968" s="1">
        <f>IF(Table1[[#This Row],[Cal Type]]&lt;&gt;"ACCREDITED 17025 WITH UNCERTAINTIES",0,"")</f>
        <v>0</v>
      </c>
      <c r="X2968" s="1" t="str">
        <f>IF(Table1[[#This Row],[DUT Read]]="","N/A",Table1[[#This Row],[Std Error]]+Table1[[#This Row],[DUT Read]]+Table1[[#This Row],[DUT Ucty]])</f>
        <v>N/A</v>
      </c>
      <c r="Y2968" s="1" t="str">
        <f>IF(Table1[[#This Row],[Std Read]]="","N/A",Table1[[#This Row],[Std Read]]+Table1[[#This Row],[Std Ucty]])</f>
        <v>N/A</v>
      </c>
      <c r="Z296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8" s="1" t="str">
        <f>IF(Table1[[#This Row],[Spec Type]]="","N/A",Table1[[#This Row],[Spec Type]])</f>
        <v>±</v>
      </c>
      <c r="AC2968" s="1" t="str">
        <f>IF(Table1[[#This Row],[Spec Type2]]="N/A","N/A",IF(AND(Table1[[#This Row],[DUT Adj Read]]&gt;=Table1[[#This Row],[Low Tol]],Table1[[#This Row],[DUT Adj Read]]&lt;=Table1[[#This Row],[High Tol]]),"Pass","Fail"))</f>
        <v>Fail</v>
      </c>
      <c r="AD2968" s="1" t="str">
        <f>IF(AND(Table1[[#This Row],[Spec Type2]]="N/A",Table1[[#This Row],[DUT Adj Read]]="N/A",Table1[[#This Row],[Std Adj Read]]="N/A"),"N/A",IF(Table1[[#This Row],[DUT Adj Read]]="N/A",IF(Table1[[#This Row],[Std Adj Read]]&gt;Table1[[#This Row],[Low Tol]],"Pass","Fail"),IF(Table1[[#This Row],[DUT Adj Read]]&gt;Table1[[#This Row],[Low Tol]],"Pass","Fail")))</f>
        <v>Pass</v>
      </c>
      <c r="AE2968" s="1" t="str">
        <f>IF(AND(Table1[[#This Row],[Spec Type2]]="N/A",Table1[[#This Row],[DUT Adj Read]]="N/A",Table1[[#This Row],[Std Adj Read]]="N/A"),"N/A",IF(Table1[[#This Row],[DUT Adj Read]]="N/A",IF(Table1[[#This Row],[Std Adj Read]]&lt;Table1[[#This Row],[High Tol]],"Pass","Fail"),IF(Table1[[#This Row],[DUT Adj Read]]&lt;Table1[[#This Row],[High Tol]],"Pass","Fail")))</f>
        <v>Fail</v>
      </c>
      <c r="AF2968" s="1" t="str">
        <f>IF(AND(Table1[[#This Row],[Spec Type2]]="N/A",Table1[[#This Row],[DUT Adj Read]]="N/A",Table1[[#This Row],[Std Adj Read]]="N/A"),"N/A",IF(Table1[[#This Row],[DUT Adj Read]]="N/A",IF(Table1[[#This Row],[Std Adj Read]]&gt;=Table1[[#This Row],[Low Tol]],"Pass","Fail"),IF(Table1[[#This Row],[DUT Adj Read]]&gt;=Table1[[#This Row],[Low Tol]],"Pass","Fail")))</f>
        <v>Pass</v>
      </c>
      <c r="AG2968" s="1" t="str">
        <f>IF(AND(Table1[[#This Row],[Spec Type2]]="N/A",Table1[[#This Row],[DUT Adj Read]]="N/A",Table1[[#This Row],[Std Adj Read]]="N/A"),"N/A",IF(Table1[[#This Row],[DUT Adj Read]]="N/A",IF(Table1[[#This Row],[Std Adj Read]]&lt;=Table1[[#This Row],[High Tol]],"Pass","Fail"),IF(Table1[[#This Row],[DUT Adj Read]]&lt;=Table1[[#This Row],[High Tol]],"Pass","Fail")))</f>
        <v>Fail</v>
      </c>
      <c r="AH296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8" s="1" t="b">
        <v>0</v>
      </c>
      <c r="AN2968" s="1" t="b">
        <v>0</v>
      </c>
      <c r="AO2968" s="1" t="b">
        <v>0</v>
      </c>
    </row>
    <row r="2969" spans="1:41" x14ac:dyDescent="0.25">
      <c r="A2969" s="10"/>
      <c r="B2969" s="10"/>
      <c r="C2969" s="10"/>
      <c r="D2969" s="10"/>
      <c r="E2969" s="10"/>
      <c r="F2969" s="10"/>
      <c r="G2969" s="10"/>
      <c r="H2969" s="10"/>
      <c r="I2969" s="1" t="str">
        <f t="shared" si="138"/>
        <v/>
      </c>
      <c r="J2969" s="1" t="s">
        <v>35</v>
      </c>
      <c r="K2969" s="1" t="str">
        <f t="shared" si="139"/>
        <v/>
      </c>
      <c r="L2969" s="1" t="str">
        <f t="shared" si="140"/>
        <v/>
      </c>
      <c r="M2969" s="1">
        <f>IF(OR(Table1[[#This Row],[Std Nom]]="",Table1[[#This Row],[Std Read]]=""),0,Table1[[#This Row],[Std Nom]]-Table1[[#This Row],[Std Read]])</f>
        <v>0</v>
      </c>
      <c r="N2969" s="1">
        <f>IF(Calculations!$F$5="ACCREDITED 17025 WITH UNCERTAINTIES",$N$10,0)</f>
        <v>0</v>
      </c>
      <c r="Q2969" s="1">
        <f>Table1[[#This Row],[High Tol]]-Table1[[#This Row],[Low Tol]]</f>
        <v>0</v>
      </c>
      <c r="R2969" s="1">
        <f>2*Table1[[#This Row],[Std Error]]</f>
        <v>0</v>
      </c>
      <c r="S2969" s="1" t="str">
        <f>IF(Table1[[#This Row],[High Tol]]="","N/A",IFERROR(ABS(Table1[[#This Row],[Tol Span]]/Table1[[#This Row],[Error Span]]),"N/A"))</f>
        <v>N/A</v>
      </c>
      <c r="T2969" s="1" t="str">
        <f>IF(OR(Table1[[#This Row],[Low Tol]]="",Table1[[#This Row],[High Tol]]=""),"Needs Analysis",IF(Table1[[#This Row],[Ratio]]&gt;=4,"Not Significant",IF(Table1[[#This Row],[Ratio]]&gt;=2,"Semi-Significant","Significant")))</f>
        <v>Needs Analysis</v>
      </c>
      <c r="W2969" s="1">
        <f>IF(Table1[[#This Row],[Cal Type]]&lt;&gt;"ACCREDITED 17025 WITH UNCERTAINTIES",0,"")</f>
        <v>0</v>
      </c>
      <c r="X2969" s="1" t="str">
        <f>IF(Table1[[#This Row],[DUT Read]]="","N/A",Table1[[#This Row],[Std Error]]+Table1[[#This Row],[DUT Read]]+Table1[[#This Row],[DUT Ucty]])</f>
        <v>N/A</v>
      </c>
      <c r="Y2969" s="1" t="str">
        <f>IF(Table1[[#This Row],[Std Read]]="","N/A",Table1[[#This Row],[Std Read]]+Table1[[#This Row],[Std Ucty]])</f>
        <v>N/A</v>
      </c>
      <c r="Z296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69" s="1" t="str">
        <f>IF(Table1[[#This Row],[Spec Type]]="","N/A",Table1[[#This Row],[Spec Type]])</f>
        <v>±</v>
      </c>
      <c r="AC2969" s="1" t="str">
        <f>IF(Table1[[#This Row],[Spec Type2]]="N/A","N/A",IF(AND(Table1[[#This Row],[DUT Adj Read]]&gt;=Table1[[#This Row],[Low Tol]],Table1[[#This Row],[DUT Adj Read]]&lt;=Table1[[#This Row],[High Tol]]),"Pass","Fail"))</f>
        <v>Fail</v>
      </c>
      <c r="AD2969" s="1" t="str">
        <f>IF(AND(Table1[[#This Row],[Spec Type2]]="N/A",Table1[[#This Row],[DUT Adj Read]]="N/A",Table1[[#This Row],[Std Adj Read]]="N/A"),"N/A",IF(Table1[[#This Row],[DUT Adj Read]]="N/A",IF(Table1[[#This Row],[Std Adj Read]]&gt;Table1[[#This Row],[Low Tol]],"Pass","Fail"),IF(Table1[[#This Row],[DUT Adj Read]]&gt;Table1[[#This Row],[Low Tol]],"Pass","Fail")))</f>
        <v>Pass</v>
      </c>
      <c r="AE2969" s="1" t="str">
        <f>IF(AND(Table1[[#This Row],[Spec Type2]]="N/A",Table1[[#This Row],[DUT Adj Read]]="N/A",Table1[[#This Row],[Std Adj Read]]="N/A"),"N/A",IF(Table1[[#This Row],[DUT Adj Read]]="N/A",IF(Table1[[#This Row],[Std Adj Read]]&lt;Table1[[#This Row],[High Tol]],"Pass","Fail"),IF(Table1[[#This Row],[DUT Adj Read]]&lt;Table1[[#This Row],[High Tol]],"Pass","Fail")))</f>
        <v>Fail</v>
      </c>
      <c r="AF2969" s="1" t="str">
        <f>IF(AND(Table1[[#This Row],[Spec Type2]]="N/A",Table1[[#This Row],[DUT Adj Read]]="N/A",Table1[[#This Row],[Std Adj Read]]="N/A"),"N/A",IF(Table1[[#This Row],[DUT Adj Read]]="N/A",IF(Table1[[#This Row],[Std Adj Read]]&gt;=Table1[[#This Row],[Low Tol]],"Pass","Fail"),IF(Table1[[#This Row],[DUT Adj Read]]&gt;=Table1[[#This Row],[Low Tol]],"Pass","Fail")))</f>
        <v>Pass</v>
      </c>
      <c r="AG2969" s="1" t="str">
        <f>IF(AND(Table1[[#This Row],[Spec Type2]]="N/A",Table1[[#This Row],[DUT Adj Read]]="N/A",Table1[[#This Row],[Std Adj Read]]="N/A"),"N/A",IF(Table1[[#This Row],[DUT Adj Read]]="N/A",IF(Table1[[#This Row],[Std Adj Read]]&lt;=Table1[[#This Row],[High Tol]],"Pass","Fail"),IF(Table1[[#This Row],[DUT Adj Read]]&lt;=Table1[[#This Row],[High Tol]],"Pass","Fail")))</f>
        <v>Fail</v>
      </c>
      <c r="AH296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69" s="1" t="b">
        <v>0</v>
      </c>
      <c r="AN2969" s="1" t="b">
        <v>0</v>
      </c>
      <c r="AO2969" s="1" t="b">
        <v>0</v>
      </c>
    </row>
    <row r="2970" spans="1:41" x14ac:dyDescent="0.25">
      <c r="A2970" s="10"/>
      <c r="B2970" s="10"/>
      <c r="C2970" s="10"/>
      <c r="D2970" s="10"/>
      <c r="E2970" s="10"/>
      <c r="F2970" s="10"/>
      <c r="G2970" s="10"/>
      <c r="H2970" s="10"/>
      <c r="I2970" s="1" t="str">
        <f t="shared" si="138"/>
        <v/>
      </c>
      <c r="J2970" s="1" t="s">
        <v>35</v>
      </c>
      <c r="K2970" s="1" t="str">
        <f t="shared" si="139"/>
        <v/>
      </c>
      <c r="L2970" s="1" t="str">
        <f t="shared" si="140"/>
        <v/>
      </c>
      <c r="M2970" s="1">
        <f>IF(OR(Table1[[#This Row],[Std Nom]]="",Table1[[#This Row],[Std Read]]=""),0,Table1[[#This Row],[Std Nom]]-Table1[[#This Row],[Std Read]])</f>
        <v>0</v>
      </c>
      <c r="N2970" s="1">
        <f>IF(Calculations!$F$5="ACCREDITED 17025 WITH UNCERTAINTIES",$N$10,0)</f>
        <v>0</v>
      </c>
      <c r="Q2970" s="1">
        <f>Table1[[#This Row],[High Tol]]-Table1[[#This Row],[Low Tol]]</f>
        <v>0</v>
      </c>
      <c r="R2970" s="1">
        <f>2*Table1[[#This Row],[Std Error]]</f>
        <v>0</v>
      </c>
      <c r="S2970" s="1" t="str">
        <f>IF(Table1[[#This Row],[High Tol]]="","N/A",IFERROR(ABS(Table1[[#This Row],[Tol Span]]/Table1[[#This Row],[Error Span]]),"N/A"))</f>
        <v>N/A</v>
      </c>
      <c r="T2970" s="1" t="str">
        <f>IF(OR(Table1[[#This Row],[Low Tol]]="",Table1[[#This Row],[High Tol]]=""),"Needs Analysis",IF(Table1[[#This Row],[Ratio]]&gt;=4,"Not Significant",IF(Table1[[#This Row],[Ratio]]&gt;=2,"Semi-Significant","Significant")))</f>
        <v>Needs Analysis</v>
      </c>
      <c r="W2970" s="1">
        <f>IF(Table1[[#This Row],[Cal Type]]&lt;&gt;"ACCREDITED 17025 WITH UNCERTAINTIES",0,"")</f>
        <v>0</v>
      </c>
      <c r="X2970" s="1" t="str">
        <f>IF(Table1[[#This Row],[DUT Read]]="","N/A",Table1[[#This Row],[Std Error]]+Table1[[#This Row],[DUT Read]]+Table1[[#This Row],[DUT Ucty]])</f>
        <v>N/A</v>
      </c>
      <c r="Y2970" s="1" t="str">
        <f>IF(Table1[[#This Row],[Std Read]]="","N/A",Table1[[#This Row],[Std Read]]+Table1[[#This Row],[Std Ucty]])</f>
        <v>N/A</v>
      </c>
      <c r="Z297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0" s="1" t="str">
        <f>IF(Table1[[#This Row],[Spec Type]]="","N/A",Table1[[#This Row],[Spec Type]])</f>
        <v>±</v>
      </c>
      <c r="AC2970" s="1" t="str">
        <f>IF(Table1[[#This Row],[Spec Type2]]="N/A","N/A",IF(AND(Table1[[#This Row],[DUT Adj Read]]&gt;=Table1[[#This Row],[Low Tol]],Table1[[#This Row],[DUT Adj Read]]&lt;=Table1[[#This Row],[High Tol]]),"Pass","Fail"))</f>
        <v>Fail</v>
      </c>
      <c r="AD2970" s="1" t="str">
        <f>IF(AND(Table1[[#This Row],[Spec Type2]]="N/A",Table1[[#This Row],[DUT Adj Read]]="N/A",Table1[[#This Row],[Std Adj Read]]="N/A"),"N/A",IF(Table1[[#This Row],[DUT Adj Read]]="N/A",IF(Table1[[#This Row],[Std Adj Read]]&gt;Table1[[#This Row],[Low Tol]],"Pass","Fail"),IF(Table1[[#This Row],[DUT Adj Read]]&gt;Table1[[#This Row],[Low Tol]],"Pass","Fail")))</f>
        <v>Pass</v>
      </c>
      <c r="AE2970" s="1" t="str">
        <f>IF(AND(Table1[[#This Row],[Spec Type2]]="N/A",Table1[[#This Row],[DUT Adj Read]]="N/A",Table1[[#This Row],[Std Adj Read]]="N/A"),"N/A",IF(Table1[[#This Row],[DUT Adj Read]]="N/A",IF(Table1[[#This Row],[Std Adj Read]]&lt;Table1[[#This Row],[High Tol]],"Pass","Fail"),IF(Table1[[#This Row],[DUT Adj Read]]&lt;Table1[[#This Row],[High Tol]],"Pass","Fail")))</f>
        <v>Fail</v>
      </c>
      <c r="AF2970" s="1" t="str">
        <f>IF(AND(Table1[[#This Row],[Spec Type2]]="N/A",Table1[[#This Row],[DUT Adj Read]]="N/A",Table1[[#This Row],[Std Adj Read]]="N/A"),"N/A",IF(Table1[[#This Row],[DUT Adj Read]]="N/A",IF(Table1[[#This Row],[Std Adj Read]]&gt;=Table1[[#This Row],[Low Tol]],"Pass","Fail"),IF(Table1[[#This Row],[DUT Adj Read]]&gt;=Table1[[#This Row],[Low Tol]],"Pass","Fail")))</f>
        <v>Pass</v>
      </c>
      <c r="AG2970" s="1" t="str">
        <f>IF(AND(Table1[[#This Row],[Spec Type2]]="N/A",Table1[[#This Row],[DUT Adj Read]]="N/A",Table1[[#This Row],[Std Adj Read]]="N/A"),"N/A",IF(Table1[[#This Row],[DUT Adj Read]]="N/A",IF(Table1[[#This Row],[Std Adj Read]]&lt;=Table1[[#This Row],[High Tol]],"Pass","Fail"),IF(Table1[[#This Row],[DUT Adj Read]]&lt;=Table1[[#This Row],[High Tol]],"Pass","Fail")))</f>
        <v>Fail</v>
      </c>
      <c r="AH297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0" s="1" t="b">
        <v>0</v>
      </c>
      <c r="AN2970" s="1" t="b">
        <v>0</v>
      </c>
      <c r="AO2970" s="1" t="b">
        <v>0</v>
      </c>
    </row>
    <row r="2971" spans="1:41" x14ac:dyDescent="0.25">
      <c r="A2971" s="10"/>
      <c r="B2971" s="10"/>
      <c r="C2971" s="10"/>
      <c r="D2971" s="10"/>
      <c r="E2971" s="10"/>
      <c r="F2971" s="10"/>
      <c r="G2971" s="10"/>
      <c r="H2971" s="10"/>
      <c r="I2971" s="1" t="str">
        <f t="shared" si="138"/>
        <v/>
      </c>
      <c r="J2971" s="1" t="s">
        <v>35</v>
      </c>
      <c r="K2971" s="1" t="str">
        <f t="shared" si="139"/>
        <v/>
      </c>
      <c r="L2971" s="1" t="str">
        <f t="shared" si="140"/>
        <v/>
      </c>
      <c r="M2971" s="1">
        <f>IF(OR(Table1[[#This Row],[Std Nom]]="",Table1[[#This Row],[Std Read]]=""),0,Table1[[#This Row],[Std Nom]]-Table1[[#This Row],[Std Read]])</f>
        <v>0</v>
      </c>
      <c r="N2971" s="1">
        <f>IF(Calculations!$F$5="ACCREDITED 17025 WITH UNCERTAINTIES",$N$10,0)</f>
        <v>0</v>
      </c>
      <c r="Q2971" s="1">
        <f>Table1[[#This Row],[High Tol]]-Table1[[#This Row],[Low Tol]]</f>
        <v>0</v>
      </c>
      <c r="R2971" s="1">
        <f>2*Table1[[#This Row],[Std Error]]</f>
        <v>0</v>
      </c>
      <c r="S2971" s="1" t="str">
        <f>IF(Table1[[#This Row],[High Tol]]="","N/A",IFERROR(ABS(Table1[[#This Row],[Tol Span]]/Table1[[#This Row],[Error Span]]),"N/A"))</f>
        <v>N/A</v>
      </c>
      <c r="T2971" s="1" t="str">
        <f>IF(OR(Table1[[#This Row],[Low Tol]]="",Table1[[#This Row],[High Tol]]=""),"Needs Analysis",IF(Table1[[#This Row],[Ratio]]&gt;=4,"Not Significant",IF(Table1[[#This Row],[Ratio]]&gt;=2,"Semi-Significant","Significant")))</f>
        <v>Needs Analysis</v>
      </c>
      <c r="W2971" s="1">
        <f>IF(Table1[[#This Row],[Cal Type]]&lt;&gt;"ACCREDITED 17025 WITH UNCERTAINTIES",0,"")</f>
        <v>0</v>
      </c>
      <c r="X2971" s="1" t="str">
        <f>IF(Table1[[#This Row],[DUT Read]]="","N/A",Table1[[#This Row],[Std Error]]+Table1[[#This Row],[DUT Read]]+Table1[[#This Row],[DUT Ucty]])</f>
        <v>N/A</v>
      </c>
      <c r="Y2971" s="1" t="str">
        <f>IF(Table1[[#This Row],[Std Read]]="","N/A",Table1[[#This Row],[Std Read]]+Table1[[#This Row],[Std Ucty]])</f>
        <v>N/A</v>
      </c>
      <c r="Z297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1" s="1" t="str">
        <f>IF(Table1[[#This Row],[Spec Type]]="","N/A",Table1[[#This Row],[Spec Type]])</f>
        <v>±</v>
      </c>
      <c r="AC2971" s="1" t="str">
        <f>IF(Table1[[#This Row],[Spec Type2]]="N/A","N/A",IF(AND(Table1[[#This Row],[DUT Adj Read]]&gt;=Table1[[#This Row],[Low Tol]],Table1[[#This Row],[DUT Adj Read]]&lt;=Table1[[#This Row],[High Tol]]),"Pass","Fail"))</f>
        <v>Fail</v>
      </c>
      <c r="AD2971" s="1" t="str">
        <f>IF(AND(Table1[[#This Row],[Spec Type2]]="N/A",Table1[[#This Row],[DUT Adj Read]]="N/A",Table1[[#This Row],[Std Adj Read]]="N/A"),"N/A",IF(Table1[[#This Row],[DUT Adj Read]]="N/A",IF(Table1[[#This Row],[Std Adj Read]]&gt;Table1[[#This Row],[Low Tol]],"Pass","Fail"),IF(Table1[[#This Row],[DUT Adj Read]]&gt;Table1[[#This Row],[Low Tol]],"Pass","Fail")))</f>
        <v>Pass</v>
      </c>
      <c r="AE2971" s="1" t="str">
        <f>IF(AND(Table1[[#This Row],[Spec Type2]]="N/A",Table1[[#This Row],[DUT Adj Read]]="N/A",Table1[[#This Row],[Std Adj Read]]="N/A"),"N/A",IF(Table1[[#This Row],[DUT Adj Read]]="N/A",IF(Table1[[#This Row],[Std Adj Read]]&lt;Table1[[#This Row],[High Tol]],"Pass","Fail"),IF(Table1[[#This Row],[DUT Adj Read]]&lt;Table1[[#This Row],[High Tol]],"Pass","Fail")))</f>
        <v>Fail</v>
      </c>
      <c r="AF2971" s="1" t="str">
        <f>IF(AND(Table1[[#This Row],[Spec Type2]]="N/A",Table1[[#This Row],[DUT Adj Read]]="N/A",Table1[[#This Row],[Std Adj Read]]="N/A"),"N/A",IF(Table1[[#This Row],[DUT Adj Read]]="N/A",IF(Table1[[#This Row],[Std Adj Read]]&gt;=Table1[[#This Row],[Low Tol]],"Pass","Fail"),IF(Table1[[#This Row],[DUT Adj Read]]&gt;=Table1[[#This Row],[Low Tol]],"Pass","Fail")))</f>
        <v>Pass</v>
      </c>
      <c r="AG2971" s="1" t="str">
        <f>IF(AND(Table1[[#This Row],[Spec Type2]]="N/A",Table1[[#This Row],[DUT Adj Read]]="N/A",Table1[[#This Row],[Std Adj Read]]="N/A"),"N/A",IF(Table1[[#This Row],[DUT Adj Read]]="N/A",IF(Table1[[#This Row],[Std Adj Read]]&lt;=Table1[[#This Row],[High Tol]],"Pass","Fail"),IF(Table1[[#This Row],[DUT Adj Read]]&lt;=Table1[[#This Row],[High Tol]],"Pass","Fail")))</f>
        <v>Fail</v>
      </c>
      <c r="AH297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1" s="1" t="b">
        <v>0</v>
      </c>
      <c r="AN2971" s="1" t="b">
        <v>0</v>
      </c>
      <c r="AO2971" s="1" t="b">
        <v>0</v>
      </c>
    </row>
    <row r="2972" spans="1:41" x14ac:dyDescent="0.25">
      <c r="A2972" s="10"/>
      <c r="B2972" s="10"/>
      <c r="C2972" s="10"/>
      <c r="D2972" s="10"/>
      <c r="E2972" s="10"/>
      <c r="F2972" s="10"/>
      <c r="G2972" s="10"/>
      <c r="H2972" s="10"/>
      <c r="I2972" s="1" t="str">
        <f t="shared" si="138"/>
        <v/>
      </c>
      <c r="J2972" s="1" t="s">
        <v>35</v>
      </c>
      <c r="K2972" s="1" t="str">
        <f t="shared" si="139"/>
        <v/>
      </c>
      <c r="L2972" s="1" t="str">
        <f t="shared" si="140"/>
        <v/>
      </c>
      <c r="M2972" s="1">
        <f>IF(OR(Table1[[#This Row],[Std Nom]]="",Table1[[#This Row],[Std Read]]=""),0,Table1[[#This Row],[Std Nom]]-Table1[[#This Row],[Std Read]])</f>
        <v>0</v>
      </c>
      <c r="N2972" s="1">
        <f>IF(Calculations!$F$5="ACCREDITED 17025 WITH UNCERTAINTIES",$N$10,0)</f>
        <v>0</v>
      </c>
      <c r="Q2972" s="1">
        <f>Table1[[#This Row],[High Tol]]-Table1[[#This Row],[Low Tol]]</f>
        <v>0</v>
      </c>
      <c r="R2972" s="1">
        <f>2*Table1[[#This Row],[Std Error]]</f>
        <v>0</v>
      </c>
      <c r="S2972" s="1" t="str">
        <f>IF(Table1[[#This Row],[High Tol]]="","N/A",IFERROR(ABS(Table1[[#This Row],[Tol Span]]/Table1[[#This Row],[Error Span]]),"N/A"))</f>
        <v>N/A</v>
      </c>
      <c r="T2972" s="1" t="str">
        <f>IF(OR(Table1[[#This Row],[Low Tol]]="",Table1[[#This Row],[High Tol]]=""),"Needs Analysis",IF(Table1[[#This Row],[Ratio]]&gt;=4,"Not Significant",IF(Table1[[#This Row],[Ratio]]&gt;=2,"Semi-Significant","Significant")))</f>
        <v>Needs Analysis</v>
      </c>
      <c r="W2972" s="1">
        <f>IF(Table1[[#This Row],[Cal Type]]&lt;&gt;"ACCREDITED 17025 WITH UNCERTAINTIES",0,"")</f>
        <v>0</v>
      </c>
      <c r="X2972" s="1" t="str">
        <f>IF(Table1[[#This Row],[DUT Read]]="","N/A",Table1[[#This Row],[Std Error]]+Table1[[#This Row],[DUT Read]]+Table1[[#This Row],[DUT Ucty]])</f>
        <v>N/A</v>
      </c>
      <c r="Y2972" s="1" t="str">
        <f>IF(Table1[[#This Row],[Std Read]]="","N/A",Table1[[#This Row],[Std Read]]+Table1[[#This Row],[Std Ucty]])</f>
        <v>N/A</v>
      </c>
      <c r="Z297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2" s="1" t="str">
        <f>IF(Table1[[#This Row],[Spec Type]]="","N/A",Table1[[#This Row],[Spec Type]])</f>
        <v>±</v>
      </c>
      <c r="AC2972" s="1" t="str">
        <f>IF(Table1[[#This Row],[Spec Type2]]="N/A","N/A",IF(AND(Table1[[#This Row],[DUT Adj Read]]&gt;=Table1[[#This Row],[Low Tol]],Table1[[#This Row],[DUT Adj Read]]&lt;=Table1[[#This Row],[High Tol]]),"Pass","Fail"))</f>
        <v>Fail</v>
      </c>
      <c r="AD2972" s="1" t="str">
        <f>IF(AND(Table1[[#This Row],[Spec Type2]]="N/A",Table1[[#This Row],[DUT Adj Read]]="N/A",Table1[[#This Row],[Std Adj Read]]="N/A"),"N/A",IF(Table1[[#This Row],[DUT Adj Read]]="N/A",IF(Table1[[#This Row],[Std Adj Read]]&gt;Table1[[#This Row],[Low Tol]],"Pass","Fail"),IF(Table1[[#This Row],[DUT Adj Read]]&gt;Table1[[#This Row],[Low Tol]],"Pass","Fail")))</f>
        <v>Pass</v>
      </c>
      <c r="AE2972" s="1" t="str">
        <f>IF(AND(Table1[[#This Row],[Spec Type2]]="N/A",Table1[[#This Row],[DUT Adj Read]]="N/A",Table1[[#This Row],[Std Adj Read]]="N/A"),"N/A",IF(Table1[[#This Row],[DUT Adj Read]]="N/A",IF(Table1[[#This Row],[Std Adj Read]]&lt;Table1[[#This Row],[High Tol]],"Pass","Fail"),IF(Table1[[#This Row],[DUT Adj Read]]&lt;Table1[[#This Row],[High Tol]],"Pass","Fail")))</f>
        <v>Fail</v>
      </c>
      <c r="AF2972" s="1" t="str">
        <f>IF(AND(Table1[[#This Row],[Spec Type2]]="N/A",Table1[[#This Row],[DUT Adj Read]]="N/A",Table1[[#This Row],[Std Adj Read]]="N/A"),"N/A",IF(Table1[[#This Row],[DUT Adj Read]]="N/A",IF(Table1[[#This Row],[Std Adj Read]]&gt;=Table1[[#This Row],[Low Tol]],"Pass","Fail"),IF(Table1[[#This Row],[DUT Adj Read]]&gt;=Table1[[#This Row],[Low Tol]],"Pass","Fail")))</f>
        <v>Pass</v>
      </c>
      <c r="AG2972" s="1" t="str">
        <f>IF(AND(Table1[[#This Row],[Spec Type2]]="N/A",Table1[[#This Row],[DUT Adj Read]]="N/A",Table1[[#This Row],[Std Adj Read]]="N/A"),"N/A",IF(Table1[[#This Row],[DUT Adj Read]]="N/A",IF(Table1[[#This Row],[Std Adj Read]]&lt;=Table1[[#This Row],[High Tol]],"Pass","Fail"),IF(Table1[[#This Row],[DUT Adj Read]]&lt;=Table1[[#This Row],[High Tol]],"Pass","Fail")))</f>
        <v>Fail</v>
      </c>
      <c r="AH297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2" s="1" t="b">
        <v>0</v>
      </c>
      <c r="AN2972" s="1" t="b">
        <v>0</v>
      </c>
      <c r="AO2972" s="1" t="b">
        <v>0</v>
      </c>
    </row>
    <row r="2973" spans="1:41" x14ac:dyDescent="0.25">
      <c r="A2973" s="10"/>
      <c r="B2973" s="10"/>
      <c r="C2973" s="10"/>
      <c r="D2973" s="10"/>
      <c r="E2973" s="10"/>
      <c r="F2973" s="10"/>
      <c r="G2973" s="10"/>
      <c r="H2973" s="10"/>
      <c r="I2973" s="1" t="str">
        <f t="shared" si="138"/>
        <v/>
      </c>
      <c r="J2973" s="1" t="s">
        <v>35</v>
      </c>
      <c r="K2973" s="1" t="str">
        <f t="shared" si="139"/>
        <v/>
      </c>
      <c r="L2973" s="1" t="str">
        <f t="shared" si="140"/>
        <v/>
      </c>
      <c r="M2973" s="1">
        <f>IF(OR(Table1[[#This Row],[Std Nom]]="",Table1[[#This Row],[Std Read]]=""),0,Table1[[#This Row],[Std Nom]]-Table1[[#This Row],[Std Read]])</f>
        <v>0</v>
      </c>
      <c r="N2973" s="1">
        <f>IF(Calculations!$F$5="ACCREDITED 17025 WITH UNCERTAINTIES",$N$10,0)</f>
        <v>0</v>
      </c>
      <c r="Q2973" s="1">
        <f>Table1[[#This Row],[High Tol]]-Table1[[#This Row],[Low Tol]]</f>
        <v>0</v>
      </c>
      <c r="R2973" s="1">
        <f>2*Table1[[#This Row],[Std Error]]</f>
        <v>0</v>
      </c>
      <c r="S2973" s="1" t="str">
        <f>IF(Table1[[#This Row],[High Tol]]="","N/A",IFERROR(ABS(Table1[[#This Row],[Tol Span]]/Table1[[#This Row],[Error Span]]),"N/A"))</f>
        <v>N/A</v>
      </c>
      <c r="T2973" s="1" t="str">
        <f>IF(OR(Table1[[#This Row],[Low Tol]]="",Table1[[#This Row],[High Tol]]=""),"Needs Analysis",IF(Table1[[#This Row],[Ratio]]&gt;=4,"Not Significant",IF(Table1[[#This Row],[Ratio]]&gt;=2,"Semi-Significant","Significant")))</f>
        <v>Needs Analysis</v>
      </c>
      <c r="W2973" s="1">
        <f>IF(Table1[[#This Row],[Cal Type]]&lt;&gt;"ACCREDITED 17025 WITH UNCERTAINTIES",0,"")</f>
        <v>0</v>
      </c>
      <c r="X2973" s="1" t="str">
        <f>IF(Table1[[#This Row],[DUT Read]]="","N/A",Table1[[#This Row],[Std Error]]+Table1[[#This Row],[DUT Read]]+Table1[[#This Row],[DUT Ucty]])</f>
        <v>N/A</v>
      </c>
      <c r="Y2973" s="1" t="str">
        <f>IF(Table1[[#This Row],[Std Read]]="","N/A",Table1[[#This Row],[Std Read]]+Table1[[#This Row],[Std Ucty]])</f>
        <v>N/A</v>
      </c>
      <c r="Z297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3" s="1" t="str">
        <f>IF(Table1[[#This Row],[Spec Type]]="","N/A",Table1[[#This Row],[Spec Type]])</f>
        <v>±</v>
      </c>
      <c r="AC2973" s="1" t="str">
        <f>IF(Table1[[#This Row],[Spec Type2]]="N/A","N/A",IF(AND(Table1[[#This Row],[DUT Adj Read]]&gt;=Table1[[#This Row],[Low Tol]],Table1[[#This Row],[DUT Adj Read]]&lt;=Table1[[#This Row],[High Tol]]),"Pass","Fail"))</f>
        <v>Fail</v>
      </c>
      <c r="AD2973" s="1" t="str">
        <f>IF(AND(Table1[[#This Row],[Spec Type2]]="N/A",Table1[[#This Row],[DUT Adj Read]]="N/A",Table1[[#This Row],[Std Adj Read]]="N/A"),"N/A",IF(Table1[[#This Row],[DUT Adj Read]]="N/A",IF(Table1[[#This Row],[Std Adj Read]]&gt;Table1[[#This Row],[Low Tol]],"Pass","Fail"),IF(Table1[[#This Row],[DUT Adj Read]]&gt;Table1[[#This Row],[Low Tol]],"Pass","Fail")))</f>
        <v>Pass</v>
      </c>
      <c r="AE2973" s="1" t="str">
        <f>IF(AND(Table1[[#This Row],[Spec Type2]]="N/A",Table1[[#This Row],[DUT Adj Read]]="N/A",Table1[[#This Row],[Std Adj Read]]="N/A"),"N/A",IF(Table1[[#This Row],[DUT Adj Read]]="N/A",IF(Table1[[#This Row],[Std Adj Read]]&lt;Table1[[#This Row],[High Tol]],"Pass","Fail"),IF(Table1[[#This Row],[DUT Adj Read]]&lt;Table1[[#This Row],[High Tol]],"Pass","Fail")))</f>
        <v>Fail</v>
      </c>
      <c r="AF2973" s="1" t="str">
        <f>IF(AND(Table1[[#This Row],[Spec Type2]]="N/A",Table1[[#This Row],[DUT Adj Read]]="N/A",Table1[[#This Row],[Std Adj Read]]="N/A"),"N/A",IF(Table1[[#This Row],[DUT Adj Read]]="N/A",IF(Table1[[#This Row],[Std Adj Read]]&gt;=Table1[[#This Row],[Low Tol]],"Pass","Fail"),IF(Table1[[#This Row],[DUT Adj Read]]&gt;=Table1[[#This Row],[Low Tol]],"Pass","Fail")))</f>
        <v>Pass</v>
      </c>
      <c r="AG2973" s="1" t="str">
        <f>IF(AND(Table1[[#This Row],[Spec Type2]]="N/A",Table1[[#This Row],[DUT Adj Read]]="N/A",Table1[[#This Row],[Std Adj Read]]="N/A"),"N/A",IF(Table1[[#This Row],[DUT Adj Read]]="N/A",IF(Table1[[#This Row],[Std Adj Read]]&lt;=Table1[[#This Row],[High Tol]],"Pass","Fail"),IF(Table1[[#This Row],[DUT Adj Read]]&lt;=Table1[[#This Row],[High Tol]],"Pass","Fail")))</f>
        <v>Fail</v>
      </c>
      <c r="AH297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3" s="1" t="b">
        <v>0</v>
      </c>
      <c r="AN2973" s="1" t="b">
        <v>0</v>
      </c>
      <c r="AO2973" s="1" t="b">
        <v>0</v>
      </c>
    </row>
    <row r="2974" spans="1:41" x14ac:dyDescent="0.25">
      <c r="A2974" s="10"/>
      <c r="B2974" s="10"/>
      <c r="C2974" s="10"/>
      <c r="D2974" s="10"/>
      <c r="E2974" s="10"/>
      <c r="F2974" s="10"/>
      <c r="G2974" s="10"/>
      <c r="H2974" s="10"/>
      <c r="I2974" s="1" t="str">
        <f t="shared" si="138"/>
        <v/>
      </c>
      <c r="J2974" s="1" t="s">
        <v>35</v>
      </c>
      <c r="K2974" s="1" t="str">
        <f t="shared" si="139"/>
        <v/>
      </c>
      <c r="L2974" s="1" t="str">
        <f t="shared" si="140"/>
        <v/>
      </c>
      <c r="M2974" s="1">
        <f>IF(OR(Table1[[#This Row],[Std Nom]]="",Table1[[#This Row],[Std Read]]=""),0,Table1[[#This Row],[Std Nom]]-Table1[[#This Row],[Std Read]])</f>
        <v>0</v>
      </c>
      <c r="N2974" s="1">
        <f>IF(Calculations!$F$5="ACCREDITED 17025 WITH UNCERTAINTIES",$N$10,0)</f>
        <v>0</v>
      </c>
      <c r="Q2974" s="1">
        <f>Table1[[#This Row],[High Tol]]-Table1[[#This Row],[Low Tol]]</f>
        <v>0</v>
      </c>
      <c r="R2974" s="1">
        <f>2*Table1[[#This Row],[Std Error]]</f>
        <v>0</v>
      </c>
      <c r="S2974" s="1" t="str">
        <f>IF(Table1[[#This Row],[High Tol]]="","N/A",IFERROR(ABS(Table1[[#This Row],[Tol Span]]/Table1[[#This Row],[Error Span]]),"N/A"))</f>
        <v>N/A</v>
      </c>
      <c r="T2974" s="1" t="str">
        <f>IF(OR(Table1[[#This Row],[Low Tol]]="",Table1[[#This Row],[High Tol]]=""),"Needs Analysis",IF(Table1[[#This Row],[Ratio]]&gt;=4,"Not Significant",IF(Table1[[#This Row],[Ratio]]&gt;=2,"Semi-Significant","Significant")))</f>
        <v>Needs Analysis</v>
      </c>
      <c r="W2974" s="1">
        <f>IF(Table1[[#This Row],[Cal Type]]&lt;&gt;"ACCREDITED 17025 WITH UNCERTAINTIES",0,"")</f>
        <v>0</v>
      </c>
      <c r="X2974" s="1" t="str">
        <f>IF(Table1[[#This Row],[DUT Read]]="","N/A",Table1[[#This Row],[Std Error]]+Table1[[#This Row],[DUT Read]]+Table1[[#This Row],[DUT Ucty]])</f>
        <v>N/A</v>
      </c>
      <c r="Y2974" s="1" t="str">
        <f>IF(Table1[[#This Row],[Std Read]]="","N/A",Table1[[#This Row],[Std Read]]+Table1[[#This Row],[Std Ucty]])</f>
        <v>N/A</v>
      </c>
      <c r="Z297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4" s="1" t="str">
        <f>IF(Table1[[#This Row],[Spec Type]]="","N/A",Table1[[#This Row],[Spec Type]])</f>
        <v>±</v>
      </c>
      <c r="AC2974" s="1" t="str">
        <f>IF(Table1[[#This Row],[Spec Type2]]="N/A","N/A",IF(AND(Table1[[#This Row],[DUT Adj Read]]&gt;=Table1[[#This Row],[Low Tol]],Table1[[#This Row],[DUT Adj Read]]&lt;=Table1[[#This Row],[High Tol]]),"Pass","Fail"))</f>
        <v>Fail</v>
      </c>
      <c r="AD2974" s="1" t="str">
        <f>IF(AND(Table1[[#This Row],[Spec Type2]]="N/A",Table1[[#This Row],[DUT Adj Read]]="N/A",Table1[[#This Row],[Std Adj Read]]="N/A"),"N/A",IF(Table1[[#This Row],[DUT Adj Read]]="N/A",IF(Table1[[#This Row],[Std Adj Read]]&gt;Table1[[#This Row],[Low Tol]],"Pass","Fail"),IF(Table1[[#This Row],[DUT Adj Read]]&gt;Table1[[#This Row],[Low Tol]],"Pass","Fail")))</f>
        <v>Pass</v>
      </c>
      <c r="AE2974" s="1" t="str">
        <f>IF(AND(Table1[[#This Row],[Spec Type2]]="N/A",Table1[[#This Row],[DUT Adj Read]]="N/A",Table1[[#This Row],[Std Adj Read]]="N/A"),"N/A",IF(Table1[[#This Row],[DUT Adj Read]]="N/A",IF(Table1[[#This Row],[Std Adj Read]]&lt;Table1[[#This Row],[High Tol]],"Pass","Fail"),IF(Table1[[#This Row],[DUT Adj Read]]&lt;Table1[[#This Row],[High Tol]],"Pass","Fail")))</f>
        <v>Fail</v>
      </c>
      <c r="AF2974" s="1" t="str">
        <f>IF(AND(Table1[[#This Row],[Spec Type2]]="N/A",Table1[[#This Row],[DUT Adj Read]]="N/A",Table1[[#This Row],[Std Adj Read]]="N/A"),"N/A",IF(Table1[[#This Row],[DUT Adj Read]]="N/A",IF(Table1[[#This Row],[Std Adj Read]]&gt;=Table1[[#This Row],[Low Tol]],"Pass","Fail"),IF(Table1[[#This Row],[DUT Adj Read]]&gt;=Table1[[#This Row],[Low Tol]],"Pass","Fail")))</f>
        <v>Pass</v>
      </c>
      <c r="AG2974" s="1" t="str">
        <f>IF(AND(Table1[[#This Row],[Spec Type2]]="N/A",Table1[[#This Row],[DUT Adj Read]]="N/A",Table1[[#This Row],[Std Adj Read]]="N/A"),"N/A",IF(Table1[[#This Row],[DUT Adj Read]]="N/A",IF(Table1[[#This Row],[Std Adj Read]]&lt;=Table1[[#This Row],[High Tol]],"Pass","Fail"),IF(Table1[[#This Row],[DUT Adj Read]]&lt;=Table1[[#This Row],[High Tol]],"Pass","Fail")))</f>
        <v>Fail</v>
      </c>
      <c r="AH297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4" s="1" t="b">
        <v>0</v>
      </c>
      <c r="AN2974" s="1" t="b">
        <v>0</v>
      </c>
      <c r="AO2974" s="1" t="b">
        <v>0</v>
      </c>
    </row>
    <row r="2975" spans="1:41" x14ac:dyDescent="0.25">
      <c r="A2975" s="10"/>
      <c r="B2975" s="10"/>
      <c r="C2975" s="10"/>
      <c r="D2975" s="10"/>
      <c r="E2975" s="10"/>
      <c r="F2975" s="10"/>
      <c r="G2975" s="10"/>
      <c r="H2975" s="10"/>
      <c r="I2975" s="1" t="str">
        <f t="shared" si="138"/>
        <v/>
      </c>
      <c r="J2975" s="1" t="s">
        <v>35</v>
      </c>
      <c r="K2975" s="1" t="str">
        <f t="shared" si="139"/>
        <v/>
      </c>
      <c r="L2975" s="1" t="str">
        <f t="shared" si="140"/>
        <v/>
      </c>
      <c r="M2975" s="1">
        <f>IF(OR(Table1[[#This Row],[Std Nom]]="",Table1[[#This Row],[Std Read]]=""),0,Table1[[#This Row],[Std Nom]]-Table1[[#This Row],[Std Read]])</f>
        <v>0</v>
      </c>
      <c r="N2975" s="1">
        <f>IF(Calculations!$F$5="ACCREDITED 17025 WITH UNCERTAINTIES",$N$10,0)</f>
        <v>0</v>
      </c>
      <c r="Q2975" s="1">
        <f>Table1[[#This Row],[High Tol]]-Table1[[#This Row],[Low Tol]]</f>
        <v>0</v>
      </c>
      <c r="R2975" s="1">
        <f>2*Table1[[#This Row],[Std Error]]</f>
        <v>0</v>
      </c>
      <c r="S2975" s="1" t="str">
        <f>IF(Table1[[#This Row],[High Tol]]="","N/A",IFERROR(ABS(Table1[[#This Row],[Tol Span]]/Table1[[#This Row],[Error Span]]),"N/A"))</f>
        <v>N/A</v>
      </c>
      <c r="T2975" s="1" t="str">
        <f>IF(OR(Table1[[#This Row],[Low Tol]]="",Table1[[#This Row],[High Tol]]=""),"Needs Analysis",IF(Table1[[#This Row],[Ratio]]&gt;=4,"Not Significant",IF(Table1[[#This Row],[Ratio]]&gt;=2,"Semi-Significant","Significant")))</f>
        <v>Needs Analysis</v>
      </c>
      <c r="W2975" s="1">
        <f>IF(Table1[[#This Row],[Cal Type]]&lt;&gt;"ACCREDITED 17025 WITH UNCERTAINTIES",0,"")</f>
        <v>0</v>
      </c>
      <c r="X2975" s="1" t="str">
        <f>IF(Table1[[#This Row],[DUT Read]]="","N/A",Table1[[#This Row],[Std Error]]+Table1[[#This Row],[DUT Read]]+Table1[[#This Row],[DUT Ucty]])</f>
        <v>N/A</v>
      </c>
      <c r="Y2975" s="1" t="str">
        <f>IF(Table1[[#This Row],[Std Read]]="","N/A",Table1[[#This Row],[Std Read]]+Table1[[#This Row],[Std Ucty]])</f>
        <v>N/A</v>
      </c>
      <c r="Z297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5" s="1" t="str">
        <f>IF(Table1[[#This Row],[Spec Type]]="","N/A",Table1[[#This Row],[Spec Type]])</f>
        <v>±</v>
      </c>
      <c r="AC2975" s="1" t="str">
        <f>IF(Table1[[#This Row],[Spec Type2]]="N/A","N/A",IF(AND(Table1[[#This Row],[DUT Adj Read]]&gt;=Table1[[#This Row],[Low Tol]],Table1[[#This Row],[DUT Adj Read]]&lt;=Table1[[#This Row],[High Tol]]),"Pass","Fail"))</f>
        <v>Fail</v>
      </c>
      <c r="AD2975" s="1" t="str">
        <f>IF(AND(Table1[[#This Row],[Spec Type2]]="N/A",Table1[[#This Row],[DUT Adj Read]]="N/A",Table1[[#This Row],[Std Adj Read]]="N/A"),"N/A",IF(Table1[[#This Row],[DUT Adj Read]]="N/A",IF(Table1[[#This Row],[Std Adj Read]]&gt;Table1[[#This Row],[Low Tol]],"Pass","Fail"),IF(Table1[[#This Row],[DUT Adj Read]]&gt;Table1[[#This Row],[Low Tol]],"Pass","Fail")))</f>
        <v>Pass</v>
      </c>
      <c r="AE2975" s="1" t="str">
        <f>IF(AND(Table1[[#This Row],[Spec Type2]]="N/A",Table1[[#This Row],[DUT Adj Read]]="N/A",Table1[[#This Row],[Std Adj Read]]="N/A"),"N/A",IF(Table1[[#This Row],[DUT Adj Read]]="N/A",IF(Table1[[#This Row],[Std Adj Read]]&lt;Table1[[#This Row],[High Tol]],"Pass","Fail"),IF(Table1[[#This Row],[DUT Adj Read]]&lt;Table1[[#This Row],[High Tol]],"Pass","Fail")))</f>
        <v>Fail</v>
      </c>
      <c r="AF2975" s="1" t="str">
        <f>IF(AND(Table1[[#This Row],[Spec Type2]]="N/A",Table1[[#This Row],[DUT Adj Read]]="N/A",Table1[[#This Row],[Std Adj Read]]="N/A"),"N/A",IF(Table1[[#This Row],[DUT Adj Read]]="N/A",IF(Table1[[#This Row],[Std Adj Read]]&gt;=Table1[[#This Row],[Low Tol]],"Pass","Fail"),IF(Table1[[#This Row],[DUT Adj Read]]&gt;=Table1[[#This Row],[Low Tol]],"Pass","Fail")))</f>
        <v>Pass</v>
      </c>
      <c r="AG2975" s="1" t="str">
        <f>IF(AND(Table1[[#This Row],[Spec Type2]]="N/A",Table1[[#This Row],[DUT Adj Read]]="N/A",Table1[[#This Row],[Std Adj Read]]="N/A"),"N/A",IF(Table1[[#This Row],[DUT Adj Read]]="N/A",IF(Table1[[#This Row],[Std Adj Read]]&lt;=Table1[[#This Row],[High Tol]],"Pass","Fail"),IF(Table1[[#This Row],[DUT Adj Read]]&lt;=Table1[[#This Row],[High Tol]],"Pass","Fail")))</f>
        <v>Fail</v>
      </c>
      <c r="AH297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5" s="1" t="b">
        <v>0</v>
      </c>
      <c r="AN2975" s="1" t="b">
        <v>0</v>
      </c>
      <c r="AO2975" s="1" t="b">
        <v>0</v>
      </c>
    </row>
    <row r="2976" spans="1:41" x14ac:dyDescent="0.25">
      <c r="A2976" s="10"/>
      <c r="B2976" s="10"/>
      <c r="C2976" s="10"/>
      <c r="D2976" s="10"/>
      <c r="E2976" s="10"/>
      <c r="F2976" s="10"/>
      <c r="G2976" s="10"/>
      <c r="H2976" s="10"/>
      <c r="I2976" s="1" t="str">
        <f t="shared" si="138"/>
        <v/>
      </c>
      <c r="J2976" s="1" t="s">
        <v>35</v>
      </c>
      <c r="K2976" s="1" t="str">
        <f t="shared" si="139"/>
        <v/>
      </c>
      <c r="L2976" s="1" t="str">
        <f t="shared" si="140"/>
        <v/>
      </c>
      <c r="M2976" s="1">
        <f>IF(OR(Table1[[#This Row],[Std Nom]]="",Table1[[#This Row],[Std Read]]=""),0,Table1[[#This Row],[Std Nom]]-Table1[[#This Row],[Std Read]])</f>
        <v>0</v>
      </c>
      <c r="N2976" s="1">
        <f>IF(Calculations!$F$5="ACCREDITED 17025 WITH UNCERTAINTIES",$N$10,0)</f>
        <v>0</v>
      </c>
      <c r="Q2976" s="1">
        <f>Table1[[#This Row],[High Tol]]-Table1[[#This Row],[Low Tol]]</f>
        <v>0</v>
      </c>
      <c r="R2976" s="1">
        <f>2*Table1[[#This Row],[Std Error]]</f>
        <v>0</v>
      </c>
      <c r="S2976" s="1" t="str">
        <f>IF(Table1[[#This Row],[High Tol]]="","N/A",IFERROR(ABS(Table1[[#This Row],[Tol Span]]/Table1[[#This Row],[Error Span]]),"N/A"))</f>
        <v>N/A</v>
      </c>
      <c r="T2976" s="1" t="str">
        <f>IF(OR(Table1[[#This Row],[Low Tol]]="",Table1[[#This Row],[High Tol]]=""),"Needs Analysis",IF(Table1[[#This Row],[Ratio]]&gt;=4,"Not Significant",IF(Table1[[#This Row],[Ratio]]&gt;=2,"Semi-Significant","Significant")))</f>
        <v>Needs Analysis</v>
      </c>
      <c r="W2976" s="1">
        <f>IF(Table1[[#This Row],[Cal Type]]&lt;&gt;"ACCREDITED 17025 WITH UNCERTAINTIES",0,"")</f>
        <v>0</v>
      </c>
      <c r="X2976" s="1" t="str">
        <f>IF(Table1[[#This Row],[DUT Read]]="","N/A",Table1[[#This Row],[Std Error]]+Table1[[#This Row],[DUT Read]]+Table1[[#This Row],[DUT Ucty]])</f>
        <v>N/A</v>
      </c>
      <c r="Y2976" s="1" t="str">
        <f>IF(Table1[[#This Row],[Std Read]]="","N/A",Table1[[#This Row],[Std Read]]+Table1[[#This Row],[Std Ucty]])</f>
        <v>N/A</v>
      </c>
      <c r="Z297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6" s="1" t="str">
        <f>IF(Table1[[#This Row],[Spec Type]]="","N/A",Table1[[#This Row],[Spec Type]])</f>
        <v>±</v>
      </c>
      <c r="AC2976" s="1" t="str">
        <f>IF(Table1[[#This Row],[Spec Type2]]="N/A","N/A",IF(AND(Table1[[#This Row],[DUT Adj Read]]&gt;=Table1[[#This Row],[Low Tol]],Table1[[#This Row],[DUT Adj Read]]&lt;=Table1[[#This Row],[High Tol]]),"Pass","Fail"))</f>
        <v>Fail</v>
      </c>
      <c r="AD2976" s="1" t="str">
        <f>IF(AND(Table1[[#This Row],[Spec Type2]]="N/A",Table1[[#This Row],[DUT Adj Read]]="N/A",Table1[[#This Row],[Std Adj Read]]="N/A"),"N/A",IF(Table1[[#This Row],[DUT Adj Read]]="N/A",IF(Table1[[#This Row],[Std Adj Read]]&gt;Table1[[#This Row],[Low Tol]],"Pass","Fail"),IF(Table1[[#This Row],[DUT Adj Read]]&gt;Table1[[#This Row],[Low Tol]],"Pass","Fail")))</f>
        <v>Pass</v>
      </c>
      <c r="AE2976" s="1" t="str">
        <f>IF(AND(Table1[[#This Row],[Spec Type2]]="N/A",Table1[[#This Row],[DUT Adj Read]]="N/A",Table1[[#This Row],[Std Adj Read]]="N/A"),"N/A",IF(Table1[[#This Row],[DUT Adj Read]]="N/A",IF(Table1[[#This Row],[Std Adj Read]]&lt;Table1[[#This Row],[High Tol]],"Pass","Fail"),IF(Table1[[#This Row],[DUT Adj Read]]&lt;Table1[[#This Row],[High Tol]],"Pass","Fail")))</f>
        <v>Fail</v>
      </c>
      <c r="AF2976" s="1" t="str">
        <f>IF(AND(Table1[[#This Row],[Spec Type2]]="N/A",Table1[[#This Row],[DUT Adj Read]]="N/A",Table1[[#This Row],[Std Adj Read]]="N/A"),"N/A",IF(Table1[[#This Row],[DUT Adj Read]]="N/A",IF(Table1[[#This Row],[Std Adj Read]]&gt;=Table1[[#This Row],[Low Tol]],"Pass","Fail"),IF(Table1[[#This Row],[DUT Adj Read]]&gt;=Table1[[#This Row],[Low Tol]],"Pass","Fail")))</f>
        <v>Pass</v>
      </c>
      <c r="AG2976" s="1" t="str">
        <f>IF(AND(Table1[[#This Row],[Spec Type2]]="N/A",Table1[[#This Row],[DUT Adj Read]]="N/A",Table1[[#This Row],[Std Adj Read]]="N/A"),"N/A",IF(Table1[[#This Row],[DUT Adj Read]]="N/A",IF(Table1[[#This Row],[Std Adj Read]]&lt;=Table1[[#This Row],[High Tol]],"Pass","Fail"),IF(Table1[[#This Row],[DUT Adj Read]]&lt;=Table1[[#This Row],[High Tol]],"Pass","Fail")))</f>
        <v>Fail</v>
      </c>
      <c r="AH297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6" s="1" t="b">
        <v>0</v>
      </c>
      <c r="AN2976" s="1" t="b">
        <v>0</v>
      </c>
      <c r="AO2976" s="1" t="b">
        <v>0</v>
      </c>
    </row>
    <row r="2977" spans="1:41" x14ac:dyDescent="0.25">
      <c r="A2977" s="10"/>
      <c r="B2977" s="10"/>
      <c r="C2977" s="10"/>
      <c r="D2977" s="10"/>
      <c r="E2977" s="10"/>
      <c r="F2977" s="10"/>
      <c r="G2977" s="10"/>
      <c r="H2977" s="10"/>
      <c r="I2977" s="1" t="str">
        <f t="shared" si="138"/>
        <v/>
      </c>
      <c r="J2977" s="1" t="s">
        <v>35</v>
      </c>
      <c r="K2977" s="1" t="str">
        <f t="shared" si="139"/>
        <v/>
      </c>
      <c r="L2977" s="1" t="str">
        <f t="shared" si="140"/>
        <v/>
      </c>
      <c r="M2977" s="1">
        <f>IF(OR(Table1[[#This Row],[Std Nom]]="",Table1[[#This Row],[Std Read]]=""),0,Table1[[#This Row],[Std Nom]]-Table1[[#This Row],[Std Read]])</f>
        <v>0</v>
      </c>
      <c r="N2977" s="1">
        <f>IF(Calculations!$F$5="ACCREDITED 17025 WITH UNCERTAINTIES",$N$10,0)</f>
        <v>0</v>
      </c>
      <c r="Q2977" s="1">
        <f>Table1[[#This Row],[High Tol]]-Table1[[#This Row],[Low Tol]]</f>
        <v>0</v>
      </c>
      <c r="R2977" s="1">
        <f>2*Table1[[#This Row],[Std Error]]</f>
        <v>0</v>
      </c>
      <c r="S2977" s="1" t="str">
        <f>IF(Table1[[#This Row],[High Tol]]="","N/A",IFERROR(ABS(Table1[[#This Row],[Tol Span]]/Table1[[#This Row],[Error Span]]),"N/A"))</f>
        <v>N/A</v>
      </c>
      <c r="T2977" s="1" t="str">
        <f>IF(OR(Table1[[#This Row],[Low Tol]]="",Table1[[#This Row],[High Tol]]=""),"Needs Analysis",IF(Table1[[#This Row],[Ratio]]&gt;=4,"Not Significant",IF(Table1[[#This Row],[Ratio]]&gt;=2,"Semi-Significant","Significant")))</f>
        <v>Needs Analysis</v>
      </c>
      <c r="W2977" s="1">
        <f>IF(Table1[[#This Row],[Cal Type]]&lt;&gt;"ACCREDITED 17025 WITH UNCERTAINTIES",0,"")</f>
        <v>0</v>
      </c>
      <c r="X2977" s="1" t="str">
        <f>IF(Table1[[#This Row],[DUT Read]]="","N/A",Table1[[#This Row],[Std Error]]+Table1[[#This Row],[DUT Read]]+Table1[[#This Row],[DUT Ucty]])</f>
        <v>N/A</v>
      </c>
      <c r="Y2977" s="1" t="str">
        <f>IF(Table1[[#This Row],[Std Read]]="","N/A",Table1[[#This Row],[Std Read]]+Table1[[#This Row],[Std Ucty]])</f>
        <v>N/A</v>
      </c>
      <c r="Z297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7" s="1" t="str">
        <f>IF(Table1[[#This Row],[Spec Type]]="","N/A",Table1[[#This Row],[Spec Type]])</f>
        <v>±</v>
      </c>
      <c r="AC2977" s="1" t="str">
        <f>IF(Table1[[#This Row],[Spec Type2]]="N/A","N/A",IF(AND(Table1[[#This Row],[DUT Adj Read]]&gt;=Table1[[#This Row],[Low Tol]],Table1[[#This Row],[DUT Adj Read]]&lt;=Table1[[#This Row],[High Tol]]),"Pass","Fail"))</f>
        <v>Fail</v>
      </c>
      <c r="AD2977" s="1" t="str">
        <f>IF(AND(Table1[[#This Row],[Spec Type2]]="N/A",Table1[[#This Row],[DUT Adj Read]]="N/A",Table1[[#This Row],[Std Adj Read]]="N/A"),"N/A",IF(Table1[[#This Row],[DUT Adj Read]]="N/A",IF(Table1[[#This Row],[Std Adj Read]]&gt;Table1[[#This Row],[Low Tol]],"Pass","Fail"),IF(Table1[[#This Row],[DUT Adj Read]]&gt;Table1[[#This Row],[Low Tol]],"Pass","Fail")))</f>
        <v>Pass</v>
      </c>
      <c r="AE2977" s="1" t="str">
        <f>IF(AND(Table1[[#This Row],[Spec Type2]]="N/A",Table1[[#This Row],[DUT Adj Read]]="N/A",Table1[[#This Row],[Std Adj Read]]="N/A"),"N/A",IF(Table1[[#This Row],[DUT Adj Read]]="N/A",IF(Table1[[#This Row],[Std Adj Read]]&lt;Table1[[#This Row],[High Tol]],"Pass","Fail"),IF(Table1[[#This Row],[DUT Adj Read]]&lt;Table1[[#This Row],[High Tol]],"Pass","Fail")))</f>
        <v>Fail</v>
      </c>
      <c r="AF2977" s="1" t="str">
        <f>IF(AND(Table1[[#This Row],[Spec Type2]]="N/A",Table1[[#This Row],[DUT Adj Read]]="N/A",Table1[[#This Row],[Std Adj Read]]="N/A"),"N/A",IF(Table1[[#This Row],[DUT Adj Read]]="N/A",IF(Table1[[#This Row],[Std Adj Read]]&gt;=Table1[[#This Row],[Low Tol]],"Pass","Fail"),IF(Table1[[#This Row],[DUT Adj Read]]&gt;=Table1[[#This Row],[Low Tol]],"Pass","Fail")))</f>
        <v>Pass</v>
      </c>
      <c r="AG2977" s="1" t="str">
        <f>IF(AND(Table1[[#This Row],[Spec Type2]]="N/A",Table1[[#This Row],[DUT Adj Read]]="N/A",Table1[[#This Row],[Std Adj Read]]="N/A"),"N/A",IF(Table1[[#This Row],[DUT Adj Read]]="N/A",IF(Table1[[#This Row],[Std Adj Read]]&lt;=Table1[[#This Row],[High Tol]],"Pass","Fail"),IF(Table1[[#This Row],[DUT Adj Read]]&lt;=Table1[[#This Row],[High Tol]],"Pass","Fail")))</f>
        <v>Fail</v>
      </c>
      <c r="AH297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7" s="1" t="b">
        <v>0</v>
      </c>
      <c r="AN2977" s="1" t="b">
        <v>0</v>
      </c>
      <c r="AO2977" s="1" t="b">
        <v>0</v>
      </c>
    </row>
    <row r="2978" spans="1:41" x14ac:dyDescent="0.25">
      <c r="A2978" s="10"/>
      <c r="B2978" s="10"/>
      <c r="C2978" s="10"/>
      <c r="D2978" s="10"/>
      <c r="E2978" s="10"/>
      <c r="F2978" s="10"/>
      <c r="G2978" s="10"/>
      <c r="H2978" s="10"/>
      <c r="I2978" s="1" t="str">
        <f t="shared" si="138"/>
        <v/>
      </c>
      <c r="J2978" s="1" t="s">
        <v>35</v>
      </c>
      <c r="K2978" s="1" t="str">
        <f t="shared" si="139"/>
        <v/>
      </c>
      <c r="L2978" s="1" t="str">
        <f t="shared" si="140"/>
        <v/>
      </c>
      <c r="M2978" s="1">
        <f>IF(OR(Table1[[#This Row],[Std Nom]]="",Table1[[#This Row],[Std Read]]=""),0,Table1[[#This Row],[Std Nom]]-Table1[[#This Row],[Std Read]])</f>
        <v>0</v>
      </c>
      <c r="N2978" s="1">
        <f>IF(Calculations!$F$5="ACCREDITED 17025 WITH UNCERTAINTIES",$N$10,0)</f>
        <v>0</v>
      </c>
      <c r="Q2978" s="1">
        <f>Table1[[#This Row],[High Tol]]-Table1[[#This Row],[Low Tol]]</f>
        <v>0</v>
      </c>
      <c r="R2978" s="1">
        <f>2*Table1[[#This Row],[Std Error]]</f>
        <v>0</v>
      </c>
      <c r="S2978" s="1" t="str">
        <f>IF(Table1[[#This Row],[High Tol]]="","N/A",IFERROR(ABS(Table1[[#This Row],[Tol Span]]/Table1[[#This Row],[Error Span]]),"N/A"))</f>
        <v>N/A</v>
      </c>
      <c r="T2978" s="1" t="str">
        <f>IF(OR(Table1[[#This Row],[Low Tol]]="",Table1[[#This Row],[High Tol]]=""),"Needs Analysis",IF(Table1[[#This Row],[Ratio]]&gt;=4,"Not Significant",IF(Table1[[#This Row],[Ratio]]&gt;=2,"Semi-Significant","Significant")))</f>
        <v>Needs Analysis</v>
      </c>
      <c r="W2978" s="1">
        <f>IF(Table1[[#This Row],[Cal Type]]&lt;&gt;"ACCREDITED 17025 WITH UNCERTAINTIES",0,"")</f>
        <v>0</v>
      </c>
      <c r="X2978" s="1" t="str">
        <f>IF(Table1[[#This Row],[DUT Read]]="","N/A",Table1[[#This Row],[Std Error]]+Table1[[#This Row],[DUT Read]]+Table1[[#This Row],[DUT Ucty]])</f>
        <v>N/A</v>
      </c>
      <c r="Y2978" s="1" t="str">
        <f>IF(Table1[[#This Row],[Std Read]]="","N/A",Table1[[#This Row],[Std Read]]+Table1[[#This Row],[Std Ucty]])</f>
        <v>N/A</v>
      </c>
      <c r="Z297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8" s="1" t="str">
        <f>IF(Table1[[#This Row],[Spec Type]]="","N/A",Table1[[#This Row],[Spec Type]])</f>
        <v>±</v>
      </c>
      <c r="AC2978" s="1" t="str">
        <f>IF(Table1[[#This Row],[Spec Type2]]="N/A","N/A",IF(AND(Table1[[#This Row],[DUT Adj Read]]&gt;=Table1[[#This Row],[Low Tol]],Table1[[#This Row],[DUT Adj Read]]&lt;=Table1[[#This Row],[High Tol]]),"Pass","Fail"))</f>
        <v>Fail</v>
      </c>
      <c r="AD2978" s="1" t="str">
        <f>IF(AND(Table1[[#This Row],[Spec Type2]]="N/A",Table1[[#This Row],[DUT Adj Read]]="N/A",Table1[[#This Row],[Std Adj Read]]="N/A"),"N/A",IF(Table1[[#This Row],[DUT Adj Read]]="N/A",IF(Table1[[#This Row],[Std Adj Read]]&gt;Table1[[#This Row],[Low Tol]],"Pass","Fail"),IF(Table1[[#This Row],[DUT Adj Read]]&gt;Table1[[#This Row],[Low Tol]],"Pass","Fail")))</f>
        <v>Pass</v>
      </c>
      <c r="AE2978" s="1" t="str">
        <f>IF(AND(Table1[[#This Row],[Spec Type2]]="N/A",Table1[[#This Row],[DUT Adj Read]]="N/A",Table1[[#This Row],[Std Adj Read]]="N/A"),"N/A",IF(Table1[[#This Row],[DUT Adj Read]]="N/A",IF(Table1[[#This Row],[Std Adj Read]]&lt;Table1[[#This Row],[High Tol]],"Pass","Fail"),IF(Table1[[#This Row],[DUT Adj Read]]&lt;Table1[[#This Row],[High Tol]],"Pass","Fail")))</f>
        <v>Fail</v>
      </c>
      <c r="AF2978" s="1" t="str">
        <f>IF(AND(Table1[[#This Row],[Spec Type2]]="N/A",Table1[[#This Row],[DUT Adj Read]]="N/A",Table1[[#This Row],[Std Adj Read]]="N/A"),"N/A",IF(Table1[[#This Row],[DUT Adj Read]]="N/A",IF(Table1[[#This Row],[Std Adj Read]]&gt;=Table1[[#This Row],[Low Tol]],"Pass","Fail"),IF(Table1[[#This Row],[DUT Adj Read]]&gt;=Table1[[#This Row],[Low Tol]],"Pass","Fail")))</f>
        <v>Pass</v>
      </c>
      <c r="AG2978" s="1" t="str">
        <f>IF(AND(Table1[[#This Row],[Spec Type2]]="N/A",Table1[[#This Row],[DUT Adj Read]]="N/A",Table1[[#This Row],[Std Adj Read]]="N/A"),"N/A",IF(Table1[[#This Row],[DUT Adj Read]]="N/A",IF(Table1[[#This Row],[Std Adj Read]]&lt;=Table1[[#This Row],[High Tol]],"Pass","Fail"),IF(Table1[[#This Row],[DUT Adj Read]]&lt;=Table1[[#This Row],[High Tol]],"Pass","Fail")))</f>
        <v>Fail</v>
      </c>
      <c r="AH297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8" s="1" t="b">
        <v>0</v>
      </c>
      <c r="AN2978" s="1" t="b">
        <v>0</v>
      </c>
      <c r="AO2978" s="1" t="b">
        <v>0</v>
      </c>
    </row>
    <row r="2979" spans="1:41" x14ac:dyDescent="0.25">
      <c r="A2979" s="10"/>
      <c r="B2979" s="10"/>
      <c r="C2979" s="10"/>
      <c r="D2979" s="10"/>
      <c r="E2979" s="10"/>
      <c r="F2979" s="10"/>
      <c r="G2979" s="10"/>
      <c r="H2979" s="10"/>
      <c r="I2979" s="1" t="str">
        <f t="shared" si="138"/>
        <v/>
      </c>
      <c r="J2979" s="1" t="s">
        <v>35</v>
      </c>
      <c r="K2979" s="1" t="str">
        <f t="shared" si="139"/>
        <v/>
      </c>
      <c r="L2979" s="1" t="str">
        <f t="shared" si="140"/>
        <v/>
      </c>
      <c r="M2979" s="1">
        <f>IF(OR(Table1[[#This Row],[Std Nom]]="",Table1[[#This Row],[Std Read]]=""),0,Table1[[#This Row],[Std Nom]]-Table1[[#This Row],[Std Read]])</f>
        <v>0</v>
      </c>
      <c r="N2979" s="1">
        <f>IF(Calculations!$F$5="ACCREDITED 17025 WITH UNCERTAINTIES",$N$10,0)</f>
        <v>0</v>
      </c>
      <c r="Q2979" s="1">
        <f>Table1[[#This Row],[High Tol]]-Table1[[#This Row],[Low Tol]]</f>
        <v>0</v>
      </c>
      <c r="R2979" s="1">
        <f>2*Table1[[#This Row],[Std Error]]</f>
        <v>0</v>
      </c>
      <c r="S2979" s="1" t="str">
        <f>IF(Table1[[#This Row],[High Tol]]="","N/A",IFERROR(ABS(Table1[[#This Row],[Tol Span]]/Table1[[#This Row],[Error Span]]),"N/A"))</f>
        <v>N/A</v>
      </c>
      <c r="T2979" s="1" t="str">
        <f>IF(OR(Table1[[#This Row],[Low Tol]]="",Table1[[#This Row],[High Tol]]=""),"Needs Analysis",IF(Table1[[#This Row],[Ratio]]&gt;=4,"Not Significant",IF(Table1[[#This Row],[Ratio]]&gt;=2,"Semi-Significant","Significant")))</f>
        <v>Needs Analysis</v>
      </c>
      <c r="W2979" s="1">
        <f>IF(Table1[[#This Row],[Cal Type]]&lt;&gt;"ACCREDITED 17025 WITH UNCERTAINTIES",0,"")</f>
        <v>0</v>
      </c>
      <c r="X2979" s="1" t="str">
        <f>IF(Table1[[#This Row],[DUT Read]]="","N/A",Table1[[#This Row],[Std Error]]+Table1[[#This Row],[DUT Read]]+Table1[[#This Row],[DUT Ucty]])</f>
        <v>N/A</v>
      </c>
      <c r="Y2979" s="1" t="str">
        <f>IF(Table1[[#This Row],[Std Read]]="","N/A",Table1[[#This Row],[Std Read]]+Table1[[#This Row],[Std Ucty]])</f>
        <v>N/A</v>
      </c>
      <c r="Z297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79" s="1" t="str">
        <f>IF(Table1[[#This Row],[Spec Type]]="","N/A",Table1[[#This Row],[Spec Type]])</f>
        <v>±</v>
      </c>
      <c r="AC2979" s="1" t="str">
        <f>IF(Table1[[#This Row],[Spec Type2]]="N/A","N/A",IF(AND(Table1[[#This Row],[DUT Adj Read]]&gt;=Table1[[#This Row],[Low Tol]],Table1[[#This Row],[DUT Adj Read]]&lt;=Table1[[#This Row],[High Tol]]),"Pass","Fail"))</f>
        <v>Fail</v>
      </c>
      <c r="AD2979" s="1" t="str">
        <f>IF(AND(Table1[[#This Row],[Spec Type2]]="N/A",Table1[[#This Row],[DUT Adj Read]]="N/A",Table1[[#This Row],[Std Adj Read]]="N/A"),"N/A",IF(Table1[[#This Row],[DUT Adj Read]]="N/A",IF(Table1[[#This Row],[Std Adj Read]]&gt;Table1[[#This Row],[Low Tol]],"Pass","Fail"),IF(Table1[[#This Row],[DUT Adj Read]]&gt;Table1[[#This Row],[Low Tol]],"Pass","Fail")))</f>
        <v>Pass</v>
      </c>
      <c r="AE2979" s="1" t="str">
        <f>IF(AND(Table1[[#This Row],[Spec Type2]]="N/A",Table1[[#This Row],[DUT Adj Read]]="N/A",Table1[[#This Row],[Std Adj Read]]="N/A"),"N/A",IF(Table1[[#This Row],[DUT Adj Read]]="N/A",IF(Table1[[#This Row],[Std Adj Read]]&lt;Table1[[#This Row],[High Tol]],"Pass","Fail"),IF(Table1[[#This Row],[DUT Adj Read]]&lt;Table1[[#This Row],[High Tol]],"Pass","Fail")))</f>
        <v>Fail</v>
      </c>
      <c r="AF2979" s="1" t="str">
        <f>IF(AND(Table1[[#This Row],[Spec Type2]]="N/A",Table1[[#This Row],[DUT Adj Read]]="N/A",Table1[[#This Row],[Std Adj Read]]="N/A"),"N/A",IF(Table1[[#This Row],[DUT Adj Read]]="N/A",IF(Table1[[#This Row],[Std Adj Read]]&gt;=Table1[[#This Row],[Low Tol]],"Pass","Fail"),IF(Table1[[#This Row],[DUT Adj Read]]&gt;=Table1[[#This Row],[Low Tol]],"Pass","Fail")))</f>
        <v>Pass</v>
      </c>
      <c r="AG2979" s="1" t="str">
        <f>IF(AND(Table1[[#This Row],[Spec Type2]]="N/A",Table1[[#This Row],[DUT Adj Read]]="N/A",Table1[[#This Row],[Std Adj Read]]="N/A"),"N/A",IF(Table1[[#This Row],[DUT Adj Read]]="N/A",IF(Table1[[#This Row],[Std Adj Read]]&lt;=Table1[[#This Row],[High Tol]],"Pass","Fail"),IF(Table1[[#This Row],[DUT Adj Read]]&lt;=Table1[[#This Row],[High Tol]],"Pass","Fail")))</f>
        <v>Fail</v>
      </c>
      <c r="AH297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79" s="1" t="b">
        <v>0</v>
      </c>
      <c r="AN2979" s="1" t="b">
        <v>0</v>
      </c>
      <c r="AO2979" s="1" t="b">
        <v>0</v>
      </c>
    </row>
    <row r="2980" spans="1:41" x14ac:dyDescent="0.25">
      <c r="A2980" s="10"/>
      <c r="B2980" s="10"/>
      <c r="C2980" s="10"/>
      <c r="D2980" s="10"/>
      <c r="E2980" s="10"/>
      <c r="F2980" s="10"/>
      <c r="G2980" s="10"/>
      <c r="H2980" s="10"/>
      <c r="I2980" s="1" t="str">
        <f t="shared" si="138"/>
        <v/>
      </c>
      <c r="J2980" s="1" t="s">
        <v>35</v>
      </c>
      <c r="K2980" s="1" t="str">
        <f t="shared" si="139"/>
        <v/>
      </c>
      <c r="L2980" s="1" t="str">
        <f t="shared" si="140"/>
        <v/>
      </c>
      <c r="M2980" s="1">
        <f>IF(OR(Table1[[#This Row],[Std Nom]]="",Table1[[#This Row],[Std Read]]=""),0,Table1[[#This Row],[Std Nom]]-Table1[[#This Row],[Std Read]])</f>
        <v>0</v>
      </c>
      <c r="N2980" s="1">
        <f>IF(Calculations!$F$5="ACCREDITED 17025 WITH UNCERTAINTIES",$N$10,0)</f>
        <v>0</v>
      </c>
      <c r="Q2980" s="1">
        <f>Table1[[#This Row],[High Tol]]-Table1[[#This Row],[Low Tol]]</f>
        <v>0</v>
      </c>
      <c r="R2980" s="1">
        <f>2*Table1[[#This Row],[Std Error]]</f>
        <v>0</v>
      </c>
      <c r="S2980" s="1" t="str">
        <f>IF(Table1[[#This Row],[High Tol]]="","N/A",IFERROR(ABS(Table1[[#This Row],[Tol Span]]/Table1[[#This Row],[Error Span]]),"N/A"))</f>
        <v>N/A</v>
      </c>
      <c r="T2980" s="1" t="str">
        <f>IF(OR(Table1[[#This Row],[Low Tol]]="",Table1[[#This Row],[High Tol]]=""),"Needs Analysis",IF(Table1[[#This Row],[Ratio]]&gt;=4,"Not Significant",IF(Table1[[#This Row],[Ratio]]&gt;=2,"Semi-Significant","Significant")))</f>
        <v>Needs Analysis</v>
      </c>
      <c r="W2980" s="1">
        <f>IF(Table1[[#This Row],[Cal Type]]&lt;&gt;"ACCREDITED 17025 WITH UNCERTAINTIES",0,"")</f>
        <v>0</v>
      </c>
      <c r="X2980" s="1" t="str">
        <f>IF(Table1[[#This Row],[DUT Read]]="","N/A",Table1[[#This Row],[Std Error]]+Table1[[#This Row],[DUT Read]]+Table1[[#This Row],[DUT Ucty]])</f>
        <v>N/A</v>
      </c>
      <c r="Y2980" s="1" t="str">
        <f>IF(Table1[[#This Row],[Std Read]]="","N/A",Table1[[#This Row],[Std Read]]+Table1[[#This Row],[Std Ucty]])</f>
        <v>N/A</v>
      </c>
      <c r="Z298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0" s="1" t="str">
        <f>IF(Table1[[#This Row],[Spec Type]]="","N/A",Table1[[#This Row],[Spec Type]])</f>
        <v>±</v>
      </c>
      <c r="AC2980" s="1" t="str">
        <f>IF(Table1[[#This Row],[Spec Type2]]="N/A","N/A",IF(AND(Table1[[#This Row],[DUT Adj Read]]&gt;=Table1[[#This Row],[Low Tol]],Table1[[#This Row],[DUT Adj Read]]&lt;=Table1[[#This Row],[High Tol]]),"Pass","Fail"))</f>
        <v>Fail</v>
      </c>
      <c r="AD2980" s="1" t="str">
        <f>IF(AND(Table1[[#This Row],[Spec Type2]]="N/A",Table1[[#This Row],[DUT Adj Read]]="N/A",Table1[[#This Row],[Std Adj Read]]="N/A"),"N/A",IF(Table1[[#This Row],[DUT Adj Read]]="N/A",IF(Table1[[#This Row],[Std Adj Read]]&gt;Table1[[#This Row],[Low Tol]],"Pass","Fail"),IF(Table1[[#This Row],[DUT Adj Read]]&gt;Table1[[#This Row],[Low Tol]],"Pass","Fail")))</f>
        <v>Pass</v>
      </c>
      <c r="AE2980" s="1" t="str">
        <f>IF(AND(Table1[[#This Row],[Spec Type2]]="N/A",Table1[[#This Row],[DUT Adj Read]]="N/A",Table1[[#This Row],[Std Adj Read]]="N/A"),"N/A",IF(Table1[[#This Row],[DUT Adj Read]]="N/A",IF(Table1[[#This Row],[Std Adj Read]]&lt;Table1[[#This Row],[High Tol]],"Pass","Fail"),IF(Table1[[#This Row],[DUT Adj Read]]&lt;Table1[[#This Row],[High Tol]],"Pass","Fail")))</f>
        <v>Fail</v>
      </c>
      <c r="AF2980" s="1" t="str">
        <f>IF(AND(Table1[[#This Row],[Spec Type2]]="N/A",Table1[[#This Row],[DUT Adj Read]]="N/A",Table1[[#This Row],[Std Adj Read]]="N/A"),"N/A",IF(Table1[[#This Row],[DUT Adj Read]]="N/A",IF(Table1[[#This Row],[Std Adj Read]]&gt;=Table1[[#This Row],[Low Tol]],"Pass","Fail"),IF(Table1[[#This Row],[DUT Adj Read]]&gt;=Table1[[#This Row],[Low Tol]],"Pass","Fail")))</f>
        <v>Pass</v>
      </c>
      <c r="AG2980" s="1" t="str">
        <f>IF(AND(Table1[[#This Row],[Spec Type2]]="N/A",Table1[[#This Row],[DUT Adj Read]]="N/A",Table1[[#This Row],[Std Adj Read]]="N/A"),"N/A",IF(Table1[[#This Row],[DUT Adj Read]]="N/A",IF(Table1[[#This Row],[Std Adj Read]]&lt;=Table1[[#This Row],[High Tol]],"Pass","Fail"),IF(Table1[[#This Row],[DUT Adj Read]]&lt;=Table1[[#This Row],[High Tol]],"Pass","Fail")))</f>
        <v>Fail</v>
      </c>
      <c r="AH298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0" s="1" t="b">
        <v>0</v>
      </c>
      <c r="AN2980" s="1" t="b">
        <v>0</v>
      </c>
      <c r="AO2980" s="1" t="b">
        <v>0</v>
      </c>
    </row>
    <row r="2981" spans="1:41" x14ac:dyDescent="0.25">
      <c r="A2981" s="10"/>
      <c r="B2981" s="10"/>
      <c r="C2981" s="10"/>
      <c r="D2981" s="10"/>
      <c r="E2981" s="10"/>
      <c r="F2981" s="10"/>
      <c r="G2981" s="10"/>
      <c r="H2981" s="10"/>
      <c r="I2981" s="1" t="str">
        <f t="shared" si="138"/>
        <v/>
      </c>
      <c r="J2981" s="1" t="s">
        <v>35</v>
      </c>
      <c r="K2981" s="1" t="str">
        <f t="shared" si="139"/>
        <v/>
      </c>
      <c r="L2981" s="1" t="str">
        <f t="shared" si="140"/>
        <v/>
      </c>
      <c r="M2981" s="1">
        <f>IF(OR(Table1[[#This Row],[Std Nom]]="",Table1[[#This Row],[Std Read]]=""),0,Table1[[#This Row],[Std Nom]]-Table1[[#This Row],[Std Read]])</f>
        <v>0</v>
      </c>
      <c r="N2981" s="1">
        <f>IF(Calculations!$F$5="ACCREDITED 17025 WITH UNCERTAINTIES",$N$10,0)</f>
        <v>0</v>
      </c>
      <c r="Q2981" s="1">
        <f>Table1[[#This Row],[High Tol]]-Table1[[#This Row],[Low Tol]]</f>
        <v>0</v>
      </c>
      <c r="R2981" s="1">
        <f>2*Table1[[#This Row],[Std Error]]</f>
        <v>0</v>
      </c>
      <c r="S2981" s="1" t="str">
        <f>IF(Table1[[#This Row],[High Tol]]="","N/A",IFERROR(ABS(Table1[[#This Row],[Tol Span]]/Table1[[#This Row],[Error Span]]),"N/A"))</f>
        <v>N/A</v>
      </c>
      <c r="T2981" s="1" t="str">
        <f>IF(OR(Table1[[#This Row],[Low Tol]]="",Table1[[#This Row],[High Tol]]=""),"Needs Analysis",IF(Table1[[#This Row],[Ratio]]&gt;=4,"Not Significant",IF(Table1[[#This Row],[Ratio]]&gt;=2,"Semi-Significant","Significant")))</f>
        <v>Needs Analysis</v>
      </c>
      <c r="W2981" s="1">
        <f>IF(Table1[[#This Row],[Cal Type]]&lt;&gt;"ACCREDITED 17025 WITH UNCERTAINTIES",0,"")</f>
        <v>0</v>
      </c>
      <c r="X2981" s="1" t="str">
        <f>IF(Table1[[#This Row],[DUT Read]]="","N/A",Table1[[#This Row],[Std Error]]+Table1[[#This Row],[DUT Read]]+Table1[[#This Row],[DUT Ucty]])</f>
        <v>N/A</v>
      </c>
      <c r="Y2981" s="1" t="str">
        <f>IF(Table1[[#This Row],[Std Read]]="","N/A",Table1[[#This Row],[Std Read]]+Table1[[#This Row],[Std Ucty]])</f>
        <v>N/A</v>
      </c>
      <c r="Z298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1" s="1" t="str">
        <f>IF(Table1[[#This Row],[Spec Type]]="","N/A",Table1[[#This Row],[Spec Type]])</f>
        <v>±</v>
      </c>
      <c r="AC2981" s="1" t="str">
        <f>IF(Table1[[#This Row],[Spec Type2]]="N/A","N/A",IF(AND(Table1[[#This Row],[DUT Adj Read]]&gt;=Table1[[#This Row],[Low Tol]],Table1[[#This Row],[DUT Adj Read]]&lt;=Table1[[#This Row],[High Tol]]),"Pass","Fail"))</f>
        <v>Fail</v>
      </c>
      <c r="AD2981" s="1" t="str">
        <f>IF(AND(Table1[[#This Row],[Spec Type2]]="N/A",Table1[[#This Row],[DUT Adj Read]]="N/A",Table1[[#This Row],[Std Adj Read]]="N/A"),"N/A",IF(Table1[[#This Row],[DUT Adj Read]]="N/A",IF(Table1[[#This Row],[Std Adj Read]]&gt;Table1[[#This Row],[Low Tol]],"Pass","Fail"),IF(Table1[[#This Row],[DUT Adj Read]]&gt;Table1[[#This Row],[Low Tol]],"Pass","Fail")))</f>
        <v>Pass</v>
      </c>
      <c r="AE2981" s="1" t="str">
        <f>IF(AND(Table1[[#This Row],[Spec Type2]]="N/A",Table1[[#This Row],[DUT Adj Read]]="N/A",Table1[[#This Row],[Std Adj Read]]="N/A"),"N/A",IF(Table1[[#This Row],[DUT Adj Read]]="N/A",IF(Table1[[#This Row],[Std Adj Read]]&lt;Table1[[#This Row],[High Tol]],"Pass","Fail"),IF(Table1[[#This Row],[DUT Adj Read]]&lt;Table1[[#This Row],[High Tol]],"Pass","Fail")))</f>
        <v>Fail</v>
      </c>
      <c r="AF2981" s="1" t="str">
        <f>IF(AND(Table1[[#This Row],[Spec Type2]]="N/A",Table1[[#This Row],[DUT Adj Read]]="N/A",Table1[[#This Row],[Std Adj Read]]="N/A"),"N/A",IF(Table1[[#This Row],[DUT Adj Read]]="N/A",IF(Table1[[#This Row],[Std Adj Read]]&gt;=Table1[[#This Row],[Low Tol]],"Pass","Fail"),IF(Table1[[#This Row],[DUT Adj Read]]&gt;=Table1[[#This Row],[Low Tol]],"Pass","Fail")))</f>
        <v>Pass</v>
      </c>
      <c r="AG2981" s="1" t="str">
        <f>IF(AND(Table1[[#This Row],[Spec Type2]]="N/A",Table1[[#This Row],[DUT Adj Read]]="N/A",Table1[[#This Row],[Std Adj Read]]="N/A"),"N/A",IF(Table1[[#This Row],[DUT Adj Read]]="N/A",IF(Table1[[#This Row],[Std Adj Read]]&lt;=Table1[[#This Row],[High Tol]],"Pass","Fail"),IF(Table1[[#This Row],[DUT Adj Read]]&lt;=Table1[[#This Row],[High Tol]],"Pass","Fail")))</f>
        <v>Fail</v>
      </c>
      <c r="AH298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1" s="1" t="b">
        <v>0</v>
      </c>
      <c r="AN2981" s="1" t="b">
        <v>0</v>
      </c>
      <c r="AO2981" s="1" t="b">
        <v>0</v>
      </c>
    </row>
    <row r="2982" spans="1:41" x14ac:dyDescent="0.25">
      <c r="A2982" s="10"/>
      <c r="B2982" s="10"/>
      <c r="C2982" s="10"/>
      <c r="D2982" s="10"/>
      <c r="E2982" s="10"/>
      <c r="F2982" s="10"/>
      <c r="G2982" s="10"/>
      <c r="H2982" s="10"/>
      <c r="I2982" s="1" t="str">
        <f t="shared" si="138"/>
        <v/>
      </c>
      <c r="J2982" s="1" t="s">
        <v>35</v>
      </c>
      <c r="K2982" s="1" t="str">
        <f t="shared" si="139"/>
        <v/>
      </c>
      <c r="L2982" s="1" t="str">
        <f t="shared" si="140"/>
        <v/>
      </c>
      <c r="M2982" s="1">
        <f>IF(OR(Table1[[#This Row],[Std Nom]]="",Table1[[#This Row],[Std Read]]=""),0,Table1[[#This Row],[Std Nom]]-Table1[[#This Row],[Std Read]])</f>
        <v>0</v>
      </c>
      <c r="N2982" s="1">
        <f>IF(Calculations!$F$5="ACCREDITED 17025 WITH UNCERTAINTIES",$N$10,0)</f>
        <v>0</v>
      </c>
      <c r="Q2982" s="1">
        <f>Table1[[#This Row],[High Tol]]-Table1[[#This Row],[Low Tol]]</f>
        <v>0</v>
      </c>
      <c r="R2982" s="1">
        <f>2*Table1[[#This Row],[Std Error]]</f>
        <v>0</v>
      </c>
      <c r="S2982" s="1" t="str">
        <f>IF(Table1[[#This Row],[High Tol]]="","N/A",IFERROR(ABS(Table1[[#This Row],[Tol Span]]/Table1[[#This Row],[Error Span]]),"N/A"))</f>
        <v>N/A</v>
      </c>
      <c r="T2982" s="1" t="str">
        <f>IF(OR(Table1[[#This Row],[Low Tol]]="",Table1[[#This Row],[High Tol]]=""),"Needs Analysis",IF(Table1[[#This Row],[Ratio]]&gt;=4,"Not Significant",IF(Table1[[#This Row],[Ratio]]&gt;=2,"Semi-Significant","Significant")))</f>
        <v>Needs Analysis</v>
      </c>
      <c r="W2982" s="1">
        <f>IF(Table1[[#This Row],[Cal Type]]&lt;&gt;"ACCREDITED 17025 WITH UNCERTAINTIES",0,"")</f>
        <v>0</v>
      </c>
      <c r="X2982" s="1" t="str">
        <f>IF(Table1[[#This Row],[DUT Read]]="","N/A",Table1[[#This Row],[Std Error]]+Table1[[#This Row],[DUT Read]]+Table1[[#This Row],[DUT Ucty]])</f>
        <v>N/A</v>
      </c>
      <c r="Y2982" s="1" t="str">
        <f>IF(Table1[[#This Row],[Std Read]]="","N/A",Table1[[#This Row],[Std Read]]+Table1[[#This Row],[Std Ucty]])</f>
        <v>N/A</v>
      </c>
      <c r="Z298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2" s="1" t="str">
        <f>IF(Table1[[#This Row],[Spec Type]]="","N/A",Table1[[#This Row],[Spec Type]])</f>
        <v>±</v>
      </c>
      <c r="AC2982" s="1" t="str">
        <f>IF(Table1[[#This Row],[Spec Type2]]="N/A","N/A",IF(AND(Table1[[#This Row],[DUT Adj Read]]&gt;=Table1[[#This Row],[Low Tol]],Table1[[#This Row],[DUT Adj Read]]&lt;=Table1[[#This Row],[High Tol]]),"Pass","Fail"))</f>
        <v>Fail</v>
      </c>
      <c r="AD2982" s="1" t="str">
        <f>IF(AND(Table1[[#This Row],[Spec Type2]]="N/A",Table1[[#This Row],[DUT Adj Read]]="N/A",Table1[[#This Row],[Std Adj Read]]="N/A"),"N/A",IF(Table1[[#This Row],[DUT Adj Read]]="N/A",IF(Table1[[#This Row],[Std Adj Read]]&gt;Table1[[#This Row],[Low Tol]],"Pass","Fail"),IF(Table1[[#This Row],[DUT Adj Read]]&gt;Table1[[#This Row],[Low Tol]],"Pass","Fail")))</f>
        <v>Pass</v>
      </c>
      <c r="AE2982" s="1" t="str">
        <f>IF(AND(Table1[[#This Row],[Spec Type2]]="N/A",Table1[[#This Row],[DUT Adj Read]]="N/A",Table1[[#This Row],[Std Adj Read]]="N/A"),"N/A",IF(Table1[[#This Row],[DUT Adj Read]]="N/A",IF(Table1[[#This Row],[Std Adj Read]]&lt;Table1[[#This Row],[High Tol]],"Pass","Fail"),IF(Table1[[#This Row],[DUT Adj Read]]&lt;Table1[[#This Row],[High Tol]],"Pass","Fail")))</f>
        <v>Fail</v>
      </c>
      <c r="AF2982" s="1" t="str">
        <f>IF(AND(Table1[[#This Row],[Spec Type2]]="N/A",Table1[[#This Row],[DUT Adj Read]]="N/A",Table1[[#This Row],[Std Adj Read]]="N/A"),"N/A",IF(Table1[[#This Row],[DUT Adj Read]]="N/A",IF(Table1[[#This Row],[Std Adj Read]]&gt;=Table1[[#This Row],[Low Tol]],"Pass","Fail"),IF(Table1[[#This Row],[DUT Adj Read]]&gt;=Table1[[#This Row],[Low Tol]],"Pass","Fail")))</f>
        <v>Pass</v>
      </c>
      <c r="AG2982" s="1" t="str">
        <f>IF(AND(Table1[[#This Row],[Spec Type2]]="N/A",Table1[[#This Row],[DUT Adj Read]]="N/A",Table1[[#This Row],[Std Adj Read]]="N/A"),"N/A",IF(Table1[[#This Row],[DUT Adj Read]]="N/A",IF(Table1[[#This Row],[Std Adj Read]]&lt;=Table1[[#This Row],[High Tol]],"Pass","Fail"),IF(Table1[[#This Row],[DUT Adj Read]]&lt;=Table1[[#This Row],[High Tol]],"Pass","Fail")))</f>
        <v>Fail</v>
      </c>
      <c r="AH298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2" s="1" t="b">
        <v>0</v>
      </c>
      <c r="AN2982" s="1" t="b">
        <v>0</v>
      </c>
      <c r="AO2982" s="1" t="b">
        <v>0</v>
      </c>
    </row>
    <row r="2983" spans="1:41" x14ac:dyDescent="0.25">
      <c r="A2983" s="10"/>
      <c r="B2983" s="10"/>
      <c r="C2983" s="10"/>
      <c r="D2983" s="10"/>
      <c r="E2983" s="10"/>
      <c r="F2983" s="10"/>
      <c r="G2983" s="10"/>
      <c r="H2983" s="10"/>
      <c r="I2983" s="1" t="str">
        <f t="shared" si="138"/>
        <v/>
      </c>
      <c r="J2983" s="1" t="s">
        <v>35</v>
      </c>
      <c r="K2983" s="1" t="str">
        <f t="shared" si="139"/>
        <v/>
      </c>
      <c r="L2983" s="1" t="str">
        <f t="shared" si="140"/>
        <v/>
      </c>
      <c r="M2983" s="1">
        <f>IF(OR(Table1[[#This Row],[Std Nom]]="",Table1[[#This Row],[Std Read]]=""),0,Table1[[#This Row],[Std Nom]]-Table1[[#This Row],[Std Read]])</f>
        <v>0</v>
      </c>
      <c r="N2983" s="1">
        <f>IF(Calculations!$F$5="ACCREDITED 17025 WITH UNCERTAINTIES",$N$10,0)</f>
        <v>0</v>
      </c>
      <c r="Q2983" s="1">
        <f>Table1[[#This Row],[High Tol]]-Table1[[#This Row],[Low Tol]]</f>
        <v>0</v>
      </c>
      <c r="R2983" s="1">
        <f>2*Table1[[#This Row],[Std Error]]</f>
        <v>0</v>
      </c>
      <c r="S2983" s="1" t="str">
        <f>IF(Table1[[#This Row],[High Tol]]="","N/A",IFERROR(ABS(Table1[[#This Row],[Tol Span]]/Table1[[#This Row],[Error Span]]),"N/A"))</f>
        <v>N/A</v>
      </c>
      <c r="T2983" s="1" t="str">
        <f>IF(OR(Table1[[#This Row],[Low Tol]]="",Table1[[#This Row],[High Tol]]=""),"Needs Analysis",IF(Table1[[#This Row],[Ratio]]&gt;=4,"Not Significant",IF(Table1[[#This Row],[Ratio]]&gt;=2,"Semi-Significant","Significant")))</f>
        <v>Needs Analysis</v>
      </c>
      <c r="W2983" s="1">
        <f>IF(Table1[[#This Row],[Cal Type]]&lt;&gt;"ACCREDITED 17025 WITH UNCERTAINTIES",0,"")</f>
        <v>0</v>
      </c>
      <c r="X2983" s="1" t="str">
        <f>IF(Table1[[#This Row],[DUT Read]]="","N/A",Table1[[#This Row],[Std Error]]+Table1[[#This Row],[DUT Read]]+Table1[[#This Row],[DUT Ucty]])</f>
        <v>N/A</v>
      </c>
      <c r="Y2983" s="1" t="str">
        <f>IF(Table1[[#This Row],[Std Read]]="","N/A",Table1[[#This Row],[Std Read]]+Table1[[#This Row],[Std Ucty]])</f>
        <v>N/A</v>
      </c>
      <c r="Z298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3" s="1" t="str">
        <f>IF(Table1[[#This Row],[Spec Type]]="","N/A",Table1[[#This Row],[Spec Type]])</f>
        <v>±</v>
      </c>
      <c r="AC2983" s="1" t="str">
        <f>IF(Table1[[#This Row],[Spec Type2]]="N/A","N/A",IF(AND(Table1[[#This Row],[DUT Adj Read]]&gt;=Table1[[#This Row],[Low Tol]],Table1[[#This Row],[DUT Adj Read]]&lt;=Table1[[#This Row],[High Tol]]),"Pass","Fail"))</f>
        <v>Fail</v>
      </c>
      <c r="AD2983" s="1" t="str">
        <f>IF(AND(Table1[[#This Row],[Spec Type2]]="N/A",Table1[[#This Row],[DUT Adj Read]]="N/A",Table1[[#This Row],[Std Adj Read]]="N/A"),"N/A",IF(Table1[[#This Row],[DUT Adj Read]]="N/A",IF(Table1[[#This Row],[Std Adj Read]]&gt;Table1[[#This Row],[Low Tol]],"Pass","Fail"),IF(Table1[[#This Row],[DUT Adj Read]]&gt;Table1[[#This Row],[Low Tol]],"Pass","Fail")))</f>
        <v>Pass</v>
      </c>
      <c r="AE2983" s="1" t="str">
        <f>IF(AND(Table1[[#This Row],[Spec Type2]]="N/A",Table1[[#This Row],[DUT Adj Read]]="N/A",Table1[[#This Row],[Std Adj Read]]="N/A"),"N/A",IF(Table1[[#This Row],[DUT Adj Read]]="N/A",IF(Table1[[#This Row],[Std Adj Read]]&lt;Table1[[#This Row],[High Tol]],"Pass","Fail"),IF(Table1[[#This Row],[DUT Adj Read]]&lt;Table1[[#This Row],[High Tol]],"Pass","Fail")))</f>
        <v>Fail</v>
      </c>
      <c r="AF2983" s="1" t="str">
        <f>IF(AND(Table1[[#This Row],[Spec Type2]]="N/A",Table1[[#This Row],[DUT Adj Read]]="N/A",Table1[[#This Row],[Std Adj Read]]="N/A"),"N/A",IF(Table1[[#This Row],[DUT Adj Read]]="N/A",IF(Table1[[#This Row],[Std Adj Read]]&gt;=Table1[[#This Row],[Low Tol]],"Pass","Fail"),IF(Table1[[#This Row],[DUT Adj Read]]&gt;=Table1[[#This Row],[Low Tol]],"Pass","Fail")))</f>
        <v>Pass</v>
      </c>
      <c r="AG2983" s="1" t="str">
        <f>IF(AND(Table1[[#This Row],[Spec Type2]]="N/A",Table1[[#This Row],[DUT Adj Read]]="N/A",Table1[[#This Row],[Std Adj Read]]="N/A"),"N/A",IF(Table1[[#This Row],[DUT Adj Read]]="N/A",IF(Table1[[#This Row],[Std Adj Read]]&lt;=Table1[[#This Row],[High Tol]],"Pass","Fail"),IF(Table1[[#This Row],[DUT Adj Read]]&lt;=Table1[[#This Row],[High Tol]],"Pass","Fail")))</f>
        <v>Fail</v>
      </c>
      <c r="AH298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3" s="1" t="b">
        <v>0</v>
      </c>
      <c r="AN2983" s="1" t="b">
        <v>0</v>
      </c>
      <c r="AO2983" s="1" t="b">
        <v>0</v>
      </c>
    </row>
    <row r="2984" spans="1:41" x14ac:dyDescent="0.25">
      <c r="A2984" s="10"/>
      <c r="B2984" s="10"/>
      <c r="C2984" s="10"/>
      <c r="D2984" s="10"/>
      <c r="E2984" s="10"/>
      <c r="F2984" s="10"/>
      <c r="G2984" s="10"/>
      <c r="H2984" s="10"/>
      <c r="I2984" s="1" t="str">
        <f t="shared" si="138"/>
        <v/>
      </c>
      <c r="J2984" s="1" t="s">
        <v>35</v>
      </c>
      <c r="K2984" s="1" t="str">
        <f t="shared" si="139"/>
        <v/>
      </c>
      <c r="L2984" s="1" t="str">
        <f t="shared" si="140"/>
        <v/>
      </c>
      <c r="M2984" s="1">
        <f>IF(OR(Table1[[#This Row],[Std Nom]]="",Table1[[#This Row],[Std Read]]=""),0,Table1[[#This Row],[Std Nom]]-Table1[[#This Row],[Std Read]])</f>
        <v>0</v>
      </c>
      <c r="N2984" s="1">
        <f>IF(Calculations!$F$5="ACCREDITED 17025 WITH UNCERTAINTIES",$N$10,0)</f>
        <v>0</v>
      </c>
      <c r="Q2984" s="1">
        <f>Table1[[#This Row],[High Tol]]-Table1[[#This Row],[Low Tol]]</f>
        <v>0</v>
      </c>
      <c r="R2984" s="1">
        <f>2*Table1[[#This Row],[Std Error]]</f>
        <v>0</v>
      </c>
      <c r="S2984" s="1" t="str">
        <f>IF(Table1[[#This Row],[High Tol]]="","N/A",IFERROR(ABS(Table1[[#This Row],[Tol Span]]/Table1[[#This Row],[Error Span]]),"N/A"))</f>
        <v>N/A</v>
      </c>
      <c r="T2984" s="1" t="str">
        <f>IF(OR(Table1[[#This Row],[Low Tol]]="",Table1[[#This Row],[High Tol]]=""),"Needs Analysis",IF(Table1[[#This Row],[Ratio]]&gt;=4,"Not Significant",IF(Table1[[#This Row],[Ratio]]&gt;=2,"Semi-Significant","Significant")))</f>
        <v>Needs Analysis</v>
      </c>
      <c r="W2984" s="1">
        <f>IF(Table1[[#This Row],[Cal Type]]&lt;&gt;"ACCREDITED 17025 WITH UNCERTAINTIES",0,"")</f>
        <v>0</v>
      </c>
      <c r="X2984" s="1" t="str">
        <f>IF(Table1[[#This Row],[DUT Read]]="","N/A",Table1[[#This Row],[Std Error]]+Table1[[#This Row],[DUT Read]]+Table1[[#This Row],[DUT Ucty]])</f>
        <v>N/A</v>
      </c>
      <c r="Y2984" s="1" t="str">
        <f>IF(Table1[[#This Row],[Std Read]]="","N/A",Table1[[#This Row],[Std Read]]+Table1[[#This Row],[Std Ucty]])</f>
        <v>N/A</v>
      </c>
      <c r="Z298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4" s="1" t="str">
        <f>IF(Table1[[#This Row],[Spec Type]]="","N/A",Table1[[#This Row],[Spec Type]])</f>
        <v>±</v>
      </c>
      <c r="AC2984" s="1" t="str">
        <f>IF(Table1[[#This Row],[Spec Type2]]="N/A","N/A",IF(AND(Table1[[#This Row],[DUT Adj Read]]&gt;=Table1[[#This Row],[Low Tol]],Table1[[#This Row],[DUT Adj Read]]&lt;=Table1[[#This Row],[High Tol]]),"Pass","Fail"))</f>
        <v>Fail</v>
      </c>
      <c r="AD2984" s="1" t="str">
        <f>IF(AND(Table1[[#This Row],[Spec Type2]]="N/A",Table1[[#This Row],[DUT Adj Read]]="N/A",Table1[[#This Row],[Std Adj Read]]="N/A"),"N/A",IF(Table1[[#This Row],[DUT Adj Read]]="N/A",IF(Table1[[#This Row],[Std Adj Read]]&gt;Table1[[#This Row],[Low Tol]],"Pass","Fail"),IF(Table1[[#This Row],[DUT Adj Read]]&gt;Table1[[#This Row],[Low Tol]],"Pass","Fail")))</f>
        <v>Pass</v>
      </c>
      <c r="AE2984" s="1" t="str">
        <f>IF(AND(Table1[[#This Row],[Spec Type2]]="N/A",Table1[[#This Row],[DUT Adj Read]]="N/A",Table1[[#This Row],[Std Adj Read]]="N/A"),"N/A",IF(Table1[[#This Row],[DUT Adj Read]]="N/A",IF(Table1[[#This Row],[Std Adj Read]]&lt;Table1[[#This Row],[High Tol]],"Pass","Fail"),IF(Table1[[#This Row],[DUT Adj Read]]&lt;Table1[[#This Row],[High Tol]],"Pass","Fail")))</f>
        <v>Fail</v>
      </c>
      <c r="AF2984" s="1" t="str">
        <f>IF(AND(Table1[[#This Row],[Spec Type2]]="N/A",Table1[[#This Row],[DUT Adj Read]]="N/A",Table1[[#This Row],[Std Adj Read]]="N/A"),"N/A",IF(Table1[[#This Row],[DUT Adj Read]]="N/A",IF(Table1[[#This Row],[Std Adj Read]]&gt;=Table1[[#This Row],[Low Tol]],"Pass","Fail"),IF(Table1[[#This Row],[DUT Adj Read]]&gt;=Table1[[#This Row],[Low Tol]],"Pass","Fail")))</f>
        <v>Pass</v>
      </c>
      <c r="AG2984" s="1" t="str">
        <f>IF(AND(Table1[[#This Row],[Spec Type2]]="N/A",Table1[[#This Row],[DUT Adj Read]]="N/A",Table1[[#This Row],[Std Adj Read]]="N/A"),"N/A",IF(Table1[[#This Row],[DUT Adj Read]]="N/A",IF(Table1[[#This Row],[Std Adj Read]]&lt;=Table1[[#This Row],[High Tol]],"Pass","Fail"),IF(Table1[[#This Row],[DUT Adj Read]]&lt;=Table1[[#This Row],[High Tol]],"Pass","Fail")))</f>
        <v>Fail</v>
      </c>
      <c r="AH298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4" s="1" t="b">
        <v>0</v>
      </c>
      <c r="AN2984" s="1" t="b">
        <v>0</v>
      </c>
      <c r="AO2984" s="1" t="b">
        <v>0</v>
      </c>
    </row>
    <row r="2985" spans="1:41" x14ac:dyDescent="0.25">
      <c r="A2985" s="10"/>
      <c r="B2985" s="10"/>
      <c r="C2985" s="10"/>
      <c r="D2985" s="10"/>
      <c r="E2985" s="10"/>
      <c r="F2985" s="10"/>
      <c r="G2985" s="10"/>
      <c r="H2985" s="10"/>
      <c r="I2985" s="1" t="str">
        <f t="shared" si="138"/>
        <v/>
      </c>
      <c r="J2985" s="1" t="s">
        <v>35</v>
      </c>
      <c r="K2985" s="1" t="str">
        <f t="shared" si="139"/>
        <v/>
      </c>
      <c r="L2985" s="1" t="str">
        <f t="shared" si="140"/>
        <v/>
      </c>
      <c r="M2985" s="1">
        <f>IF(OR(Table1[[#This Row],[Std Nom]]="",Table1[[#This Row],[Std Read]]=""),0,Table1[[#This Row],[Std Nom]]-Table1[[#This Row],[Std Read]])</f>
        <v>0</v>
      </c>
      <c r="N2985" s="1">
        <f>IF(Calculations!$F$5="ACCREDITED 17025 WITH UNCERTAINTIES",$N$10,0)</f>
        <v>0</v>
      </c>
      <c r="Q2985" s="1">
        <f>Table1[[#This Row],[High Tol]]-Table1[[#This Row],[Low Tol]]</f>
        <v>0</v>
      </c>
      <c r="R2985" s="1">
        <f>2*Table1[[#This Row],[Std Error]]</f>
        <v>0</v>
      </c>
      <c r="S2985" s="1" t="str">
        <f>IF(Table1[[#This Row],[High Tol]]="","N/A",IFERROR(ABS(Table1[[#This Row],[Tol Span]]/Table1[[#This Row],[Error Span]]),"N/A"))</f>
        <v>N/A</v>
      </c>
      <c r="T2985" s="1" t="str">
        <f>IF(OR(Table1[[#This Row],[Low Tol]]="",Table1[[#This Row],[High Tol]]=""),"Needs Analysis",IF(Table1[[#This Row],[Ratio]]&gt;=4,"Not Significant",IF(Table1[[#This Row],[Ratio]]&gt;=2,"Semi-Significant","Significant")))</f>
        <v>Needs Analysis</v>
      </c>
      <c r="W2985" s="1">
        <f>IF(Table1[[#This Row],[Cal Type]]&lt;&gt;"ACCREDITED 17025 WITH UNCERTAINTIES",0,"")</f>
        <v>0</v>
      </c>
      <c r="X2985" s="1" t="str">
        <f>IF(Table1[[#This Row],[DUT Read]]="","N/A",Table1[[#This Row],[Std Error]]+Table1[[#This Row],[DUT Read]]+Table1[[#This Row],[DUT Ucty]])</f>
        <v>N/A</v>
      </c>
      <c r="Y2985" s="1" t="str">
        <f>IF(Table1[[#This Row],[Std Read]]="","N/A",Table1[[#This Row],[Std Read]]+Table1[[#This Row],[Std Ucty]])</f>
        <v>N/A</v>
      </c>
      <c r="Z298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5" s="1" t="str">
        <f>IF(Table1[[#This Row],[Spec Type]]="","N/A",Table1[[#This Row],[Spec Type]])</f>
        <v>±</v>
      </c>
      <c r="AC2985" s="1" t="str">
        <f>IF(Table1[[#This Row],[Spec Type2]]="N/A","N/A",IF(AND(Table1[[#This Row],[DUT Adj Read]]&gt;=Table1[[#This Row],[Low Tol]],Table1[[#This Row],[DUT Adj Read]]&lt;=Table1[[#This Row],[High Tol]]),"Pass","Fail"))</f>
        <v>Fail</v>
      </c>
      <c r="AD2985" s="1" t="str">
        <f>IF(AND(Table1[[#This Row],[Spec Type2]]="N/A",Table1[[#This Row],[DUT Adj Read]]="N/A",Table1[[#This Row],[Std Adj Read]]="N/A"),"N/A",IF(Table1[[#This Row],[DUT Adj Read]]="N/A",IF(Table1[[#This Row],[Std Adj Read]]&gt;Table1[[#This Row],[Low Tol]],"Pass","Fail"),IF(Table1[[#This Row],[DUT Adj Read]]&gt;Table1[[#This Row],[Low Tol]],"Pass","Fail")))</f>
        <v>Pass</v>
      </c>
      <c r="AE2985" s="1" t="str">
        <f>IF(AND(Table1[[#This Row],[Spec Type2]]="N/A",Table1[[#This Row],[DUT Adj Read]]="N/A",Table1[[#This Row],[Std Adj Read]]="N/A"),"N/A",IF(Table1[[#This Row],[DUT Adj Read]]="N/A",IF(Table1[[#This Row],[Std Adj Read]]&lt;Table1[[#This Row],[High Tol]],"Pass","Fail"),IF(Table1[[#This Row],[DUT Adj Read]]&lt;Table1[[#This Row],[High Tol]],"Pass","Fail")))</f>
        <v>Fail</v>
      </c>
      <c r="AF2985" s="1" t="str">
        <f>IF(AND(Table1[[#This Row],[Spec Type2]]="N/A",Table1[[#This Row],[DUT Adj Read]]="N/A",Table1[[#This Row],[Std Adj Read]]="N/A"),"N/A",IF(Table1[[#This Row],[DUT Adj Read]]="N/A",IF(Table1[[#This Row],[Std Adj Read]]&gt;=Table1[[#This Row],[Low Tol]],"Pass","Fail"),IF(Table1[[#This Row],[DUT Adj Read]]&gt;=Table1[[#This Row],[Low Tol]],"Pass","Fail")))</f>
        <v>Pass</v>
      </c>
      <c r="AG2985" s="1" t="str">
        <f>IF(AND(Table1[[#This Row],[Spec Type2]]="N/A",Table1[[#This Row],[DUT Adj Read]]="N/A",Table1[[#This Row],[Std Adj Read]]="N/A"),"N/A",IF(Table1[[#This Row],[DUT Adj Read]]="N/A",IF(Table1[[#This Row],[Std Adj Read]]&lt;=Table1[[#This Row],[High Tol]],"Pass","Fail"),IF(Table1[[#This Row],[DUT Adj Read]]&lt;=Table1[[#This Row],[High Tol]],"Pass","Fail")))</f>
        <v>Fail</v>
      </c>
      <c r="AH298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5" s="1" t="b">
        <v>0</v>
      </c>
      <c r="AN2985" s="1" t="b">
        <v>0</v>
      </c>
      <c r="AO2985" s="1" t="b">
        <v>0</v>
      </c>
    </row>
    <row r="2986" spans="1:41" x14ac:dyDescent="0.25">
      <c r="A2986" s="10"/>
      <c r="B2986" s="10"/>
      <c r="C2986" s="10"/>
      <c r="D2986" s="10"/>
      <c r="E2986" s="10"/>
      <c r="F2986" s="10"/>
      <c r="G2986" s="10"/>
      <c r="H2986" s="10"/>
      <c r="I2986" s="1" t="str">
        <f t="shared" si="138"/>
        <v/>
      </c>
      <c r="J2986" s="1" t="s">
        <v>35</v>
      </c>
      <c r="K2986" s="1" t="str">
        <f t="shared" si="139"/>
        <v/>
      </c>
      <c r="L2986" s="1" t="str">
        <f t="shared" si="140"/>
        <v/>
      </c>
      <c r="M2986" s="1">
        <f>IF(OR(Table1[[#This Row],[Std Nom]]="",Table1[[#This Row],[Std Read]]=""),0,Table1[[#This Row],[Std Nom]]-Table1[[#This Row],[Std Read]])</f>
        <v>0</v>
      </c>
      <c r="N2986" s="1">
        <f>IF(Calculations!$F$5="ACCREDITED 17025 WITH UNCERTAINTIES",$N$10,0)</f>
        <v>0</v>
      </c>
      <c r="Q2986" s="1">
        <f>Table1[[#This Row],[High Tol]]-Table1[[#This Row],[Low Tol]]</f>
        <v>0</v>
      </c>
      <c r="R2986" s="1">
        <f>2*Table1[[#This Row],[Std Error]]</f>
        <v>0</v>
      </c>
      <c r="S2986" s="1" t="str">
        <f>IF(Table1[[#This Row],[High Tol]]="","N/A",IFERROR(ABS(Table1[[#This Row],[Tol Span]]/Table1[[#This Row],[Error Span]]),"N/A"))</f>
        <v>N/A</v>
      </c>
      <c r="T2986" s="1" t="str">
        <f>IF(OR(Table1[[#This Row],[Low Tol]]="",Table1[[#This Row],[High Tol]]=""),"Needs Analysis",IF(Table1[[#This Row],[Ratio]]&gt;=4,"Not Significant",IF(Table1[[#This Row],[Ratio]]&gt;=2,"Semi-Significant","Significant")))</f>
        <v>Needs Analysis</v>
      </c>
      <c r="W2986" s="1">
        <f>IF(Table1[[#This Row],[Cal Type]]&lt;&gt;"ACCREDITED 17025 WITH UNCERTAINTIES",0,"")</f>
        <v>0</v>
      </c>
      <c r="X2986" s="1" t="str">
        <f>IF(Table1[[#This Row],[DUT Read]]="","N/A",Table1[[#This Row],[Std Error]]+Table1[[#This Row],[DUT Read]]+Table1[[#This Row],[DUT Ucty]])</f>
        <v>N/A</v>
      </c>
      <c r="Y2986" s="1" t="str">
        <f>IF(Table1[[#This Row],[Std Read]]="","N/A",Table1[[#This Row],[Std Read]]+Table1[[#This Row],[Std Ucty]])</f>
        <v>N/A</v>
      </c>
      <c r="Z298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6" s="1" t="str">
        <f>IF(Table1[[#This Row],[Spec Type]]="","N/A",Table1[[#This Row],[Spec Type]])</f>
        <v>±</v>
      </c>
      <c r="AC2986" s="1" t="str">
        <f>IF(Table1[[#This Row],[Spec Type2]]="N/A","N/A",IF(AND(Table1[[#This Row],[DUT Adj Read]]&gt;=Table1[[#This Row],[Low Tol]],Table1[[#This Row],[DUT Adj Read]]&lt;=Table1[[#This Row],[High Tol]]),"Pass","Fail"))</f>
        <v>Fail</v>
      </c>
      <c r="AD2986" s="1" t="str">
        <f>IF(AND(Table1[[#This Row],[Spec Type2]]="N/A",Table1[[#This Row],[DUT Adj Read]]="N/A",Table1[[#This Row],[Std Adj Read]]="N/A"),"N/A",IF(Table1[[#This Row],[DUT Adj Read]]="N/A",IF(Table1[[#This Row],[Std Adj Read]]&gt;Table1[[#This Row],[Low Tol]],"Pass","Fail"),IF(Table1[[#This Row],[DUT Adj Read]]&gt;Table1[[#This Row],[Low Tol]],"Pass","Fail")))</f>
        <v>Pass</v>
      </c>
      <c r="AE2986" s="1" t="str">
        <f>IF(AND(Table1[[#This Row],[Spec Type2]]="N/A",Table1[[#This Row],[DUT Adj Read]]="N/A",Table1[[#This Row],[Std Adj Read]]="N/A"),"N/A",IF(Table1[[#This Row],[DUT Adj Read]]="N/A",IF(Table1[[#This Row],[Std Adj Read]]&lt;Table1[[#This Row],[High Tol]],"Pass","Fail"),IF(Table1[[#This Row],[DUT Adj Read]]&lt;Table1[[#This Row],[High Tol]],"Pass","Fail")))</f>
        <v>Fail</v>
      </c>
      <c r="AF2986" s="1" t="str">
        <f>IF(AND(Table1[[#This Row],[Spec Type2]]="N/A",Table1[[#This Row],[DUT Adj Read]]="N/A",Table1[[#This Row],[Std Adj Read]]="N/A"),"N/A",IF(Table1[[#This Row],[DUT Adj Read]]="N/A",IF(Table1[[#This Row],[Std Adj Read]]&gt;=Table1[[#This Row],[Low Tol]],"Pass","Fail"),IF(Table1[[#This Row],[DUT Adj Read]]&gt;=Table1[[#This Row],[Low Tol]],"Pass","Fail")))</f>
        <v>Pass</v>
      </c>
      <c r="AG2986" s="1" t="str">
        <f>IF(AND(Table1[[#This Row],[Spec Type2]]="N/A",Table1[[#This Row],[DUT Adj Read]]="N/A",Table1[[#This Row],[Std Adj Read]]="N/A"),"N/A",IF(Table1[[#This Row],[DUT Adj Read]]="N/A",IF(Table1[[#This Row],[Std Adj Read]]&lt;=Table1[[#This Row],[High Tol]],"Pass","Fail"),IF(Table1[[#This Row],[DUT Adj Read]]&lt;=Table1[[#This Row],[High Tol]],"Pass","Fail")))</f>
        <v>Fail</v>
      </c>
      <c r="AH298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6" s="1" t="b">
        <v>0</v>
      </c>
      <c r="AN2986" s="1" t="b">
        <v>0</v>
      </c>
      <c r="AO2986" s="1" t="b">
        <v>0</v>
      </c>
    </row>
    <row r="2987" spans="1:41" x14ac:dyDescent="0.25">
      <c r="A2987" s="10"/>
      <c r="B2987" s="10"/>
      <c r="C2987" s="10"/>
      <c r="D2987" s="10"/>
      <c r="E2987" s="10"/>
      <c r="F2987" s="10"/>
      <c r="G2987" s="10"/>
      <c r="H2987" s="10"/>
      <c r="I2987" s="1" t="str">
        <f t="shared" si="138"/>
        <v/>
      </c>
      <c r="J2987" s="1" t="s">
        <v>35</v>
      </c>
      <c r="K2987" s="1" t="str">
        <f t="shared" si="139"/>
        <v/>
      </c>
      <c r="L2987" s="1" t="str">
        <f t="shared" si="140"/>
        <v/>
      </c>
      <c r="M2987" s="1">
        <f>IF(OR(Table1[[#This Row],[Std Nom]]="",Table1[[#This Row],[Std Read]]=""),0,Table1[[#This Row],[Std Nom]]-Table1[[#This Row],[Std Read]])</f>
        <v>0</v>
      </c>
      <c r="N2987" s="1">
        <f>IF(Calculations!$F$5="ACCREDITED 17025 WITH UNCERTAINTIES",$N$10,0)</f>
        <v>0</v>
      </c>
      <c r="Q2987" s="1">
        <f>Table1[[#This Row],[High Tol]]-Table1[[#This Row],[Low Tol]]</f>
        <v>0</v>
      </c>
      <c r="R2987" s="1">
        <f>2*Table1[[#This Row],[Std Error]]</f>
        <v>0</v>
      </c>
      <c r="S2987" s="1" t="str">
        <f>IF(Table1[[#This Row],[High Tol]]="","N/A",IFERROR(ABS(Table1[[#This Row],[Tol Span]]/Table1[[#This Row],[Error Span]]),"N/A"))</f>
        <v>N/A</v>
      </c>
      <c r="T2987" s="1" t="str">
        <f>IF(OR(Table1[[#This Row],[Low Tol]]="",Table1[[#This Row],[High Tol]]=""),"Needs Analysis",IF(Table1[[#This Row],[Ratio]]&gt;=4,"Not Significant",IF(Table1[[#This Row],[Ratio]]&gt;=2,"Semi-Significant","Significant")))</f>
        <v>Needs Analysis</v>
      </c>
      <c r="W2987" s="1">
        <f>IF(Table1[[#This Row],[Cal Type]]&lt;&gt;"ACCREDITED 17025 WITH UNCERTAINTIES",0,"")</f>
        <v>0</v>
      </c>
      <c r="X2987" s="1" t="str">
        <f>IF(Table1[[#This Row],[DUT Read]]="","N/A",Table1[[#This Row],[Std Error]]+Table1[[#This Row],[DUT Read]]+Table1[[#This Row],[DUT Ucty]])</f>
        <v>N/A</v>
      </c>
      <c r="Y2987" s="1" t="str">
        <f>IF(Table1[[#This Row],[Std Read]]="","N/A",Table1[[#This Row],[Std Read]]+Table1[[#This Row],[Std Ucty]])</f>
        <v>N/A</v>
      </c>
      <c r="Z298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7" s="1" t="str">
        <f>IF(Table1[[#This Row],[Spec Type]]="","N/A",Table1[[#This Row],[Spec Type]])</f>
        <v>±</v>
      </c>
      <c r="AC2987" s="1" t="str">
        <f>IF(Table1[[#This Row],[Spec Type2]]="N/A","N/A",IF(AND(Table1[[#This Row],[DUT Adj Read]]&gt;=Table1[[#This Row],[Low Tol]],Table1[[#This Row],[DUT Adj Read]]&lt;=Table1[[#This Row],[High Tol]]),"Pass","Fail"))</f>
        <v>Fail</v>
      </c>
      <c r="AD2987" s="1" t="str">
        <f>IF(AND(Table1[[#This Row],[Spec Type2]]="N/A",Table1[[#This Row],[DUT Adj Read]]="N/A",Table1[[#This Row],[Std Adj Read]]="N/A"),"N/A",IF(Table1[[#This Row],[DUT Adj Read]]="N/A",IF(Table1[[#This Row],[Std Adj Read]]&gt;Table1[[#This Row],[Low Tol]],"Pass","Fail"),IF(Table1[[#This Row],[DUT Adj Read]]&gt;Table1[[#This Row],[Low Tol]],"Pass","Fail")))</f>
        <v>Pass</v>
      </c>
      <c r="AE2987" s="1" t="str">
        <f>IF(AND(Table1[[#This Row],[Spec Type2]]="N/A",Table1[[#This Row],[DUT Adj Read]]="N/A",Table1[[#This Row],[Std Adj Read]]="N/A"),"N/A",IF(Table1[[#This Row],[DUT Adj Read]]="N/A",IF(Table1[[#This Row],[Std Adj Read]]&lt;Table1[[#This Row],[High Tol]],"Pass","Fail"),IF(Table1[[#This Row],[DUT Adj Read]]&lt;Table1[[#This Row],[High Tol]],"Pass","Fail")))</f>
        <v>Fail</v>
      </c>
      <c r="AF2987" s="1" t="str">
        <f>IF(AND(Table1[[#This Row],[Spec Type2]]="N/A",Table1[[#This Row],[DUT Adj Read]]="N/A",Table1[[#This Row],[Std Adj Read]]="N/A"),"N/A",IF(Table1[[#This Row],[DUT Adj Read]]="N/A",IF(Table1[[#This Row],[Std Adj Read]]&gt;=Table1[[#This Row],[Low Tol]],"Pass","Fail"),IF(Table1[[#This Row],[DUT Adj Read]]&gt;=Table1[[#This Row],[Low Tol]],"Pass","Fail")))</f>
        <v>Pass</v>
      </c>
      <c r="AG2987" s="1" t="str">
        <f>IF(AND(Table1[[#This Row],[Spec Type2]]="N/A",Table1[[#This Row],[DUT Adj Read]]="N/A",Table1[[#This Row],[Std Adj Read]]="N/A"),"N/A",IF(Table1[[#This Row],[DUT Adj Read]]="N/A",IF(Table1[[#This Row],[Std Adj Read]]&lt;=Table1[[#This Row],[High Tol]],"Pass","Fail"),IF(Table1[[#This Row],[DUT Adj Read]]&lt;=Table1[[#This Row],[High Tol]],"Pass","Fail")))</f>
        <v>Fail</v>
      </c>
      <c r="AH298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7" s="1" t="b">
        <v>0</v>
      </c>
      <c r="AN2987" s="1" t="b">
        <v>0</v>
      </c>
      <c r="AO2987" s="1" t="b">
        <v>0</v>
      </c>
    </row>
    <row r="2988" spans="1:41" x14ac:dyDescent="0.25">
      <c r="A2988" s="10"/>
      <c r="B2988" s="10"/>
      <c r="C2988" s="10"/>
      <c r="D2988" s="10"/>
      <c r="E2988" s="10"/>
      <c r="F2988" s="10"/>
      <c r="G2988" s="10"/>
      <c r="H2988" s="10"/>
      <c r="I2988" s="1" t="str">
        <f t="shared" si="138"/>
        <v/>
      </c>
      <c r="J2988" s="1" t="s">
        <v>35</v>
      </c>
      <c r="K2988" s="1" t="str">
        <f t="shared" si="139"/>
        <v/>
      </c>
      <c r="L2988" s="1" t="str">
        <f t="shared" si="140"/>
        <v/>
      </c>
      <c r="M2988" s="1">
        <f>IF(OR(Table1[[#This Row],[Std Nom]]="",Table1[[#This Row],[Std Read]]=""),0,Table1[[#This Row],[Std Nom]]-Table1[[#This Row],[Std Read]])</f>
        <v>0</v>
      </c>
      <c r="N2988" s="1">
        <f>IF(Calculations!$F$5="ACCREDITED 17025 WITH UNCERTAINTIES",$N$10,0)</f>
        <v>0</v>
      </c>
      <c r="Q2988" s="1">
        <f>Table1[[#This Row],[High Tol]]-Table1[[#This Row],[Low Tol]]</f>
        <v>0</v>
      </c>
      <c r="R2988" s="1">
        <f>2*Table1[[#This Row],[Std Error]]</f>
        <v>0</v>
      </c>
      <c r="S2988" s="1" t="str">
        <f>IF(Table1[[#This Row],[High Tol]]="","N/A",IFERROR(ABS(Table1[[#This Row],[Tol Span]]/Table1[[#This Row],[Error Span]]),"N/A"))</f>
        <v>N/A</v>
      </c>
      <c r="T2988" s="1" t="str">
        <f>IF(OR(Table1[[#This Row],[Low Tol]]="",Table1[[#This Row],[High Tol]]=""),"Needs Analysis",IF(Table1[[#This Row],[Ratio]]&gt;=4,"Not Significant",IF(Table1[[#This Row],[Ratio]]&gt;=2,"Semi-Significant","Significant")))</f>
        <v>Needs Analysis</v>
      </c>
      <c r="W2988" s="1">
        <f>IF(Table1[[#This Row],[Cal Type]]&lt;&gt;"ACCREDITED 17025 WITH UNCERTAINTIES",0,"")</f>
        <v>0</v>
      </c>
      <c r="X2988" s="1" t="str">
        <f>IF(Table1[[#This Row],[DUT Read]]="","N/A",Table1[[#This Row],[Std Error]]+Table1[[#This Row],[DUT Read]]+Table1[[#This Row],[DUT Ucty]])</f>
        <v>N/A</v>
      </c>
      <c r="Y2988" s="1" t="str">
        <f>IF(Table1[[#This Row],[Std Read]]="","N/A",Table1[[#This Row],[Std Read]]+Table1[[#This Row],[Std Ucty]])</f>
        <v>N/A</v>
      </c>
      <c r="Z298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8" s="1" t="str">
        <f>IF(Table1[[#This Row],[Spec Type]]="","N/A",Table1[[#This Row],[Spec Type]])</f>
        <v>±</v>
      </c>
      <c r="AC2988" s="1" t="str">
        <f>IF(Table1[[#This Row],[Spec Type2]]="N/A","N/A",IF(AND(Table1[[#This Row],[DUT Adj Read]]&gt;=Table1[[#This Row],[Low Tol]],Table1[[#This Row],[DUT Adj Read]]&lt;=Table1[[#This Row],[High Tol]]),"Pass","Fail"))</f>
        <v>Fail</v>
      </c>
      <c r="AD2988" s="1" t="str">
        <f>IF(AND(Table1[[#This Row],[Spec Type2]]="N/A",Table1[[#This Row],[DUT Adj Read]]="N/A",Table1[[#This Row],[Std Adj Read]]="N/A"),"N/A",IF(Table1[[#This Row],[DUT Adj Read]]="N/A",IF(Table1[[#This Row],[Std Adj Read]]&gt;Table1[[#This Row],[Low Tol]],"Pass","Fail"),IF(Table1[[#This Row],[DUT Adj Read]]&gt;Table1[[#This Row],[Low Tol]],"Pass","Fail")))</f>
        <v>Pass</v>
      </c>
      <c r="AE2988" s="1" t="str">
        <f>IF(AND(Table1[[#This Row],[Spec Type2]]="N/A",Table1[[#This Row],[DUT Adj Read]]="N/A",Table1[[#This Row],[Std Adj Read]]="N/A"),"N/A",IF(Table1[[#This Row],[DUT Adj Read]]="N/A",IF(Table1[[#This Row],[Std Adj Read]]&lt;Table1[[#This Row],[High Tol]],"Pass","Fail"),IF(Table1[[#This Row],[DUT Adj Read]]&lt;Table1[[#This Row],[High Tol]],"Pass","Fail")))</f>
        <v>Fail</v>
      </c>
      <c r="AF2988" s="1" t="str">
        <f>IF(AND(Table1[[#This Row],[Spec Type2]]="N/A",Table1[[#This Row],[DUT Adj Read]]="N/A",Table1[[#This Row],[Std Adj Read]]="N/A"),"N/A",IF(Table1[[#This Row],[DUT Adj Read]]="N/A",IF(Table1[[#This Row],[Std Adj Read]]&gt;=Table1[[#This Row],[Low Tol]],"Pass","Fail"),IF(Table1[[#This Row],[DUT Adj Read]]&gt;=Table1[[#This Row],[Low Tol]],"Pass","Fail")))</f>
        <v>Pass</v>
      </c>
      <c r="AG2988" s="1" t="str">
        <f>IF(AND(Table1[[#This Row],[Spec Type2]]="N/A",Table1[[#This Row],[DUT Adj Read]]="N/A",Table1[[#This Row],[Std Adj Read]]="N/A"),"N/A",IF(Table1[[#This Row],[DUT Adj Read]]="N/A",IF(Table1[[#This Row],[Std Adj Read]]&lt;=Table1[[#This Row],[High Tol]],"Pass","Fail"),IF(Table1[[#This Row],[DUT Adj Read]]&lt;=Table1[[#This Row],[High Tol]],"Pass","Fail")))</f>
        <v>Fail</v>
      </c>
      <c r="AH298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8" s="1" t="b">
        <v>0</v>
      </c>
      <c r="AN2988" s="1" t="b">
        <v>0</v>
      </c>
      <c r="AO2988" s="1" t="b">
        <v>0</v>
      </c>
    </row>
    <row r="2989" spans="1:41" x14ac:dyDescent="0.25">
      <c r="A2989" s="10"/>
      <c r="B2989" s="10"/>
      <c r="C2989" s="10"/>
      <c r="D2989" s="10"/>
      <c r="E2989" s="10"/>
      <c r="F2989" s="10"/>
      <c r="G2989" s="10"/>
      <c r="H2989" s="10"/>
      <c r="I2989" s="1" t="str">
        <f t="shared" si="138"/>
        <v/>
      </c>
      <c r="J2989" s="1" t="s">
        <v>35</v>
      </c>
      <c r="K2989" s="1" t="str">
        <f t="shared" si="139"/>
        <v/>
      </c>
      <c r="L2989" s="1" t="str">
        <f t="shared" si="140"/>
        <v/>
      </c>
      <c r="M2989" s="1">
        <f>IF(OR(Table1[[#This Row],[Std Nom]]="",Table1[[#This Row],[Std Read]]=""),0,Table1[[#This Row],[Std Nom]]-Table1[[#This Row],[Std Read]])</f>
        <v>0</v>
      </c>
      <c r="N2989" s="1">
        <f>IF(Calculations!$F$5="ACCREDITED 17025 WITH UNCERTAINTIES",$N$10,0)</f>
        <v>0</v>
      </c>
      <c r="Q2989" s="1">
        <f>Table1[[#This Row],[High Tol]]-Table1[[#This Row],[Low Tol]]</f>
        <v>0</v>
      </c>
      <c r="R2989" s="1">
        <f>2*Table1[[#This Row],[Std Error]]</f>
        <v>0</v>
      </c>
      <c r="S2989" s="1" t="str">
        <f>IF(Table1[[#This Row],[High Tol]]="","N/A",IFERROR(ABS(Table1[[#This Row],[Tol Span]]/Table1[[#This Row],[Error Span]]),"N/A"))</f>
        <v>N/A</v>
      </c>
      <c r="T2989" s="1" t="str">
        <f>IF(OR(Table1[[#This Row],[Low Tol]]="",Table1[[#This Row],[High Tol]]=""),"Needs Analysis",IF(Table1[[#This Row],[Ratio]]&gt;=4,"Not Significant",IF(Table1[[#This Row],[Ratio]]&gt;=2,"Semi-Significant","Significant")))</f>
        <v>Needs Analysis</v>
      </c>
      <c r="W2989" s="1">
        <f>IF(Table1[[#This Row],[Cal Type]]&lt;&gt;"ACCREDITED 17025 WITH UNCERTAINTIES",0,"")</f>
        <v>0</v>
      </c>
      <c r="X2989" s="1" t="str">
        <f>IF(Table1[[#This Row],[DUT Read]]="","N/A",Table1[[#This Row],[Std Error]]+Table1[[#This Row],[DUT Read]]+Table1[[#This Row],[DUT Ucty]])</f>
        <v>N/A</v>
      </c>
      <c r="Y2989" s="1" t="str">
        <f>IF(Table1[[#This Row],[Std Read]]="","N/A",Table1[[#This Row],[Std Read]]+Table1[[#This Row],[Std Ucty]])</f>
        <v>N/A</v>
      </c>
      <c r="Z298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89" s="1" t="str">
        <f>IF(Table1[[#This Row],[Spec Type]]="","N/A",Table1[[#This Row],[Spec Type]])</f>
        <v>±</v>
      </c>
      <c r="AC2989" s="1" t="str">
        <f>IF(Table1[[#This Row],[Spec Type2]]="N/A","N/A",IF(AND(Table1[[#This Row],[DUT Adj Read]]&gt;=Table1[[#This Row],[Low Tol]],Table1[[#This Row],[DUT Adj Read]]&lt;=Table1[[#This Row],[High Tol]]),"Pass","Fail"))</f>
        <v>Fail</v>
      </c>
      <c r="AD2989" s="1" t="str">
        <f>IF(AND(Table1[[#This Row],[Spec Type2]]="N/A",Table1[[#This Row],[DUT Adj Read]]="N/A",Table1[[#This Row],[Std Adj Read]]="N/A"),"N/A",IF(Table1[[#This Row],[DUT Adj Read]]="N/A",IF(Table1[[#This Row],[Std Adj Read]]&gt;Table1[[#This Row],[Low Tol]],"Pass","Fail"),IF(Table1[[#This Row],[DUT Adj Read]]&gt;Table1[[#This Row],[Low Tol]],"Pass","Fail")))</f>
        <v>Pass</v>
      </c>
      <c r="AE2989" s="1" t="str">
        <f>IF(AND(Table1[[#This Row],[Spec Type2]]="N/A",Table1[[#This Row],[DUT Adj Read]]="N/A",Table1[[#This Row],[Std Adj Read]]="N/A"),"N/A",IF(Table1[[#This Row],[DUT Adj Read]]="N/A",IF(Table1[[#This Row],[Std Adj Read]]&lt;Table1[[#This Row],[High Tol]],"Pass","Fail"),IF(Table1[[#This Row],[DUT Adj Read]]&lt;Table1[[#This Row],[High Tol]],"Pass","Fail")))</f>
        <v>Fail</v>
      </c>
      <c r="AF2989" s="1" t="str">
        <f>IF(AND(Table1[[#This Row],[Spec Type2]]="N/A",Table1[[#This Row],[DUT Adj Read]]="N/A",Table1[[#This Row],[Std Adj Read]]="N/A"),"N/A",IF(Table1[[#This Row],[DUT Adj Read]]="N/A",IF(Table1[[#This Row],[Std Adj Read]]&gt;=Table1[[#This Row],[Low Tol]],"Pass","Fail"),IF(Table1[[#This Row],[DUT Adj Read]]&gt;=Table1[[#This Row],[Low Tol]],"Pass","Fail")))</f>
        <v>Pass</v>
      </c>
      <c r="AG2989" s="1" t="str">
        <f>IF(AND(Table1[[#This Row],[Spec Type2]]="N/A",Table1[[#This Row],[DUT Adj Read]]="N/A",Table1[[#This Row],[Std Adj Read]]="N/A"),"N/A",IF(Table1[[#This Row],[DUT Adj Read]]="N/A",IF(Table1[[#This Row],[Std Adj Read]]&lt;=Table1[[#This Row],[High Tol]],"Pass","Fail"),IF(Table1[[#This Row],[DUT Adj Read]]&lt;=Table1[[#This Row],[High Tol]],"Pass","Fail")))</f>
        <v>Fail</v>
      </c>
      <c r="AH298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89" s="1" t="b">
        <v>0</v>
      </c>
      <c r="AN2989" s="1" t="b">
        <v>0</v>
      </c>
      <c r="AO2989" s="1" t="b">
        <v>0</v>
      </c>
    </row>
    <row r="2990" spans="1:41" x14ac:dyDescent="0.25">
      <c r="A2990" s="10"/>
      <c r="B2990" s="10"/>
      <c r="C2990" s="10"/>
      <c r="D2990" s="10"/>
      <c r="E2990" s="10"/>
      <c r="F2990" s="10"/>
      <c r="G2990" s="10"/>
      <c r="H2990" s="10"/>
      <c r="I2990" s="1" t="str">
        <f t="shared" si="138"/>
        <v/>
      </c>
      <c r="J2990" s="1" t="s">
        <v>35</v>
      </c>
      <c r="K2990" s="1" t="str">
        <f t="shared" si="139"/>
        <v/>
      </c>
      <c r="L2990" s="1" t="str">
        <f t="shared" si="140"/>
        <v/>
      </c>
      <c r="M2990" s="1">
        <f>IF(OR(Table1[[#This Row],[Std Nom]]="",Table1[[#This Row],[Std Read]]=""),0,Table1[[#This Row],[Std Nom]]-Table1[[#This Row],[Std Read]])</f>
        <v>0</v>
      </c>
      <c r="N2990" s="1">
        <f>IF(Calculations!$F$5="ACCREDITED 17025 WITH UNCERTAINTIES",$N$10,0)</f>
        <v>0</v>
      </c>
      <c r="Q2990" s="1">
        <f>Table1[[#This Row],[High Tol]]-Table1[[#This Row],[Low Tol]]</f>
        <v>0</v>
      </c>
      <c r="R2990" s="1">
        <f>2*Table1[[#This Row],[Std Error]]</f>
        <v>0</v>
      </c>
      <c r="S2990" s="1" t="str">
        <f>IF(Table1[[#This Row],[High Tol]]="","N/A",IFERROR(ABS(Table1[[#This Row],[Tol Span]]/Table1[[#This Row],[Error Span]]),"N/A"))</f>
        <v>N/A</v>
      </c>
      <c r="T2990" s="1" t="str">
        <f>IF(OR(Table1[[#This Row],[Low Tol]]="",Table1[[#This Row],[High Tol]]=""),"Needs Analysis",IF(Table1[[#This Row],[Ratio]]&gt;=4,"Not Significant",IF(Table1[[#This Row],[Ratio]]&gt;=2,"Semi-Significant","Significant")))</f>
        <v>Needs Analysis</v>
      </c>
      <c r="W2990" s="1">
        <f>IF(Table1[[#This Row],[Cal Type]]&lt;&gt;"ACCREDITED 17025 WITH UNCERTAINTIES",0,"")</f>
        <v>0</v>
      </c>
      <c r="X2990" s="1" t="str">
        <f>IF(Table1[[#This Row],[DUT Read]]="","N/A",Table1[[#This Row],[Std Error]]+Table1[[#This Row],[DUT Read]]+Table1[[#This Row],[DUT Ucty]])</f>
        <v>N/A</v>
      </c>
      <c r="Y2990" s="1" t="str">
        <f>IF(Table1[[#This Row],[Std Read]]="","N/A",Table1[[#This Row],[Std Read]]+Table1[[#This Row],[Std Ucty]])</f>
        <v>N/A</v>
      </c>
      <c r="Z299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0" s="1" t="str">
        <f>IF(Table1[[#This Row],[Spec Type]]="","N/A",Table1[[#This Row],[Spec Type]])</f>
        <v>±</v>
      </c>
      <c r="AC2990" s="1" t="str">
        <f>IF(Table1[[#This Row],[Spec Type2]]="N/A","N/A",IF(AND(Table1[[#This Row],[DUT Adj Read]]&gt;=Table1[[#This Row],[Low Tol]],Table1[[#This Row],[DUT Adj Read]]&lt;=Table1[[#This Row],[High Tol]]),"Pass","Fail"))</f>
        <v>Fail</v>
      </c>
      <c r="AD2990" s="1" t="str">
        <f>IF(AND(Table1[[#This Row],[Spec Type2]]="N/A",Table1[[#This Row],[DUT Adj Read]]="N/A",Table1[[#This Row],[Std Adj Read]]="N/A"),"N/A",IF(Table1[[#This Row],[DUT Adj Read]]="N/A",IF(Table1[[#This Row],[Std Adj Read]]&gt;Table1[[#This Row],[Low Tol]],"Pass","Fail"),IF(Table1[[#This Row],[DUT Adj Read]]&gt;Table1[[#This Row],[Low Tol]],"Pass","Fail")))</f>
        <v>Pass</v>
      </c>
      <c r="AE2990" s="1" t="str">
        <f>IF(AND(Table1[[#This Row],[Spec Type2]]="N/A",Table1[[#This Row],[DUT Adj Read]]="N/A",Table1[[#This Row],[Std Adj Read]]="N/A"),"N/A",IF(Table1[[#This Row],[DUT Adj Read]]="N/A",IF(Table1[[#This Row],[Std Adj Read]]&lt;Table1[[#This Row],[High Tol]],"Pass","Fail"),IF(Table1[[#This Row],[DUT Adj Read]]&lt;Table1[[#This Row],[High Tol]],"Pass","Fail")))</f>
        <v>Fail</v>
      </c>
      <c r="AF2990" s="1" t="str">
        <f>IF(AND(Table1[[#This Row],[Spec Type2]]="N/A",Table1[[#This Row],[DUT Adj Read]]="N/A",Table1[[#This Row],[Std Adj Read]]="N/A"),"N/A",IF(Table1[[#This Row],[DUT Adj Read]]="N/A",IF(Table1[[#This Row],[Std Adj Read]]&gt;=Table1[[#This Row],[Low Tol]],"Pass","Fail"),IF(Table1[[#This Row],[DUT Adj Read]]&gt;=Table1[[#This Row],[Low Tol]],"Pass","Fail")))</f>
        <v>Pass</v>
      </c>
      <c r="AG2990" s="1" t="str">
        <f>IF(AND(Table1[[#This Row],[Spec Type2]]="N/A",Table1[[#This Row],[DUT Adj Read]]="N/A",Table1[[#This Row],[Std Adj Read]]="N/A"),"N/A",IF(Table1[[#This Row],[DUT Adj Read]]="N/A",IF(Table1[[#This Row],[Std Adj Read]]&lt;=Table1[[#This Row],[High Tol]],"Pass","Fail"),IF(Table1[[#This Row],[DUT Adj Read]]&lt;=Table1[[#This Row],[High Tol]],"Pass","Fail")))</f>
        <v>Fail</v>
      </c>
      <c r="AH299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0" s="1" t="b">
        <v>0</v>
      </c>
      <c r="AN2990" s="1" t="b">
        <v>0</v>
      </c>
      <c r="AO2990" s="1" t="b">
        <v>0</v>
      </c>
    </row>
    <row r="2991" spans="1:41" x14ac:dyDescent="0.25">
      <c r="A2991" s="10"/>
      <c r="B2991" s="10"/>
      <c r="C2991" s="10"/>
      <c r="D2991" s="10"/>
      <c r="E2991" s="10"/>
      <c r="F2991" s="10"/>
      <c r="G2991" s="10"/>
      <c r="H2991" s="10"/>
      <c r="I2991" s="1" t="str">
        <f t="shared" si="138"/>
        <v/>
      </c>
      <c r="J2991" s="1" t="s">
        <v>35</v>
      </c>
      <c r="K2991" s="1" t="str">
        <f t="shared" si="139"/>
        <v/>
      </c>
      <c r="L2991" s="1" t="str">
        <f t="shared" si="140"/>
        <v/>
      </c>
      <c r="M2991" s="1">
        <f>IF(OR(Table1[[#This Row],[Std Nom]]="",Table1[[#This Row],[Std Read]]=""),0,Table1[[#This Row],[Std Nom]]-Table1[[#This Row],[Std Read]])</f>
        <v>0</v>
      </c>
      <c r="N2991" s="1">
        <f>IF(Calculations!$F$5="ACCREDITED 17025 WITH UNCERTAINTIES",$N$10,0)</f>
        <v>0</v>
      </c>
      <c r="Q2991" s="1">
        <f>Table1[[#This Row],[High Tol]]-Table1[[#This Row],[Low Tol]]</f>
        <v>0</v>
      </c>
      <c r="R2991" s="1">
        <f>2*Table1[[#This Row],[Std Error]]</f>
        <v>0</v>
      </c>
      <c r="S2991" s="1" t="str">
        <f>IF(Table1[[#This Row],[High Tol]]="","N/A",IFERROR(ABS(Table1[[#This Row],[Tol Span]]/Table1[[#This Row],[Error Span]]),"N/A"))</f>
        <v>N/A</v>
      </c>
      <c r="T2991" s="1" t="str">
        <f>IF(OR(Table1[[#This Row],[Low Tol]]="",Table1[[#This Row],[High Tol]]=""),"Needs Analysis",IF(Table1[[#This Row],[Ratio]]&gt;=4,"Not Significant",IF(Table1[[#This Row],[Ratio]]&gt;=2,"Semi-Significant","Significant")))</f>
        <v>Needs Analysis</v>
      </c>
      <c r="W2991" s="1">
        <f>IF(Table1[[#This Row],[Cal Type]]&lt;&gt;"ACCREDITED 17025 WITH UNCERTAINTIES",0,"")</f>
        <v>0</v>
      </c>
      <c r="X2991" s="1" t="str">
        <f>IF(Table1[[#This Row],[DUT Read]]="","N/A",Table1[[#This Row],[Std Error]]+Table1[[#This Row],[DUT Read]]+Table1[[#This Row],[DUT Ucty]])</f>
        <v>N/A</v>
      </c>
      <c r="Y2991" s="1" t="str">
        <f>IF(Table1[[#This Row],[Std Read]]="","N/A",Table1[[#This Row],[Std Read]]+Table1[[#This Row],[Std Ucty]])</f>
        <v>N/A</v>
      </c>
      <c r="Z299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1" s="1" t="str">
        <f>IF(Table1[[#This Row],[Spec Type]]="","N/A",Table1[[#This Row],[Spec Type]])</f>
        <v>±</v>
      </c>
      <c r="AC2991" s="1" t="str">
        <f>IF(Table1[[#This Row],[Spec Type2]]="N/A","N/A",IF(AND(Table1[[#This Row],[DUT Adj Read]]&gt;=Table1[[#This Row],[Low Tol]],Table1[[#This Row],[DUT Adj Read]]&lt;=Table1[[#This Row],[High Tol]]),"Pass","Fail"))</f>
        <v>Fail</v>
      </c>
      <c r="AD2991" s="1" t="str">
        <f>IF(AND(Table1[[#This Row],[Spec Type2]]="N/A",Table1[[#This Row],[DUT Adj Read]]="N/A",Table1[[#This Row],[Std Adj Read]]="N/A"),"N/A",IF(Table1[[#This Row],[DUT Adj Read]]="N/A",IF(Table1[[#This Row],[Std Adj Read]]&gt;Table1[[#This Row],[Low Tol]],"Pass","Fail"),IF(Table1[[#This Row],[DUT Adj Read]]&gt;Table1[[#This Row],[Low Tol]],"Pass","Fail")))</f>
        <v>Pass</v>
      </c>
      <c r="AE2991" s="1" t="str">
        <f>IF(AND(Table1[[#This Row],[Spec Type2]]="N/A",Table1[[#This Row],[DUT Adj Read]]="N/A",Table1[[#This Row],[Std Adj Read]]="N/A"),"N/A",IF(Table1[[#This Row],[DUT Adj Read]]="N/A",IF(Table1[[#This Row],[Std Adj Read]]&lt;Table1[[#This Row],[High Tol]],"Pass","Fail"),IF(Table1[[#This Row],[DUT Adj Read]]&lt;Table1[[#This Row],[High Tol]],"Pass","Fail")))</f>
        <v>Fail</v>
      </c>
      <c r="AF2991" s="1" t="str">
        <f>IF(AND(Table1[[#This Row],[Spec Type2]]="N/A",Table1[[#This Row],[DUT Adj Read]]="N/A",Table1[[#This Row],[Std Adj Read]]="N/A"),"N/A",IF(Table1[[#This Row],[DUT Adj Read]]="N/A",IF(Table1[[#This Row],[Std Adj Read]]&gt;=Table1[[#This Row],[Low Tol]],"Pass","Fail"),IF(Table1[[#This Row],[DUT Adj Read]]&gt;=Table1[[#This Row],[Low Tol]],"Pass","Fail")))</f>
        <v>Pass</v>
      </c>
      <c r="AG2991" s="1" t="str">
        <f>IF(AND(Table1[[#This Row],[Spec Type2]]="N/A",Table1[[#This Row],[DUT Adj Read]]="N/A",Table1[[#This Row],[Std Adj Read]]="N/A"),"N/A",IF(Table1[[#This Row],[DUT Adj Read]]="N/A",IF(Table1[[#This Row],[Std Adj Read]]&lt;=Table1[[#This Row],[High Tol]],"Pass","Fail"),IF(Table1[[#This Row],[DUT Adj Read]]&lt;=Table1[[#This Row],[High Tol]],"Pass","Fail")))</f>
        <v>Fail</v>
      </c>
      <c r="AH299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1" s="1" t="b">
        <v>0</v>
      </c>
      <c r="AN2991" s="1" t="b">
        <v>0</v>
      </c>
      <c r="AO2991" s="1" t="b">
        <v>0</v>
      </c>
    </row>
    <row r="2992" spans="1:41" x14ac:dyDescent="0.25">
      <c r="A2992" s="10"/>
      <c r="B2992" s="10"/>
      <c r="C2992" s="10"/>
      <c r="D2992" s="10"/>
      <c r="E2992" s="10"/>
      <c r="F2992" s="10"/>
      <c r="G2992" s="10"/>
      <c r="H2992" s="10"/>
      <c r="I2992" s="1" t="str">
        <f t="shared" si="138"/>
        <v/>
      </c>
      <c r="J2992" s="1" t="s">
        <v>35</v>
      </c>
      <c r="K2992" s="1" t="str">
        <f t="shared" si="139"/>
        <v/>
      </c>
      <c r="L2992" s="1" t="str">
        <f t="shared" si="140"/>
        <v/>
      </c>
      <c r="M2992" s="1">
        <f>IF(OR(Table1[[#This Row],[Std Nom]]="",Table1[[#This Row],[Std Read]]=""),0,Table1[[#This Row],[Std Nom]]-Table1[[#This Row],[Std Read]])</f>
        <v>0</v>
      </c>
      <c r="N2992" s="1">
        <f>IF(Calculations!$F$5="ACCREDITED 17025 WITH UNCERTAINTIES",$N$10,0)</f>
        <v>0</v>
      </c>
      <c r="Q2992" s="1">
        <f>Table1[[#This Row],[High Tol]]-Table1[[#This Row],[Low Tol]]</f>
        <v>0</v>
      </c>
      <c r="R2992" s="1">
        <f>2*Table1[[#This Row],[Std Error]]</f>
        <v>0</v>
      </c>
      <c r="S2992" s="1" t="str">
        <f>IF(Table1[[#This Row],[High Tol]]="","N/A",IFERROR(ABS(Table1[[#This Row],[Tol Span]]/Table1[[#This Row],[Error Span]]),"N/A"))</f>
        <v>N/A</v>
      </c>
      <c r="T2992" s="1" t="str">
        <f>IF(OR(Table1[[#This Row],[Low Tol]]="",Table1[[#This Row],[High Tol]]=""),"Needs Analysis",IF(Table1[[#This Row],[Ratio]]&gt;=4,"Not Significant",IF(Table1[[#This Row],[Ratio]]&gt;=2,"Semi-Significant","Significant")))</f>
        <v>Needs Analysis</v>
      </c>
      <c r="W2992" s="1">
        <f>IF(Table1[[#This Row],[Cal Type]]&lt;&gt;"ACCREDITED 17025 WITH UNCERTAINTIES",0,"")</f>
        <v>0</v>
      </c>
      <c r="X2992" s="1" t="str">
        <f>IF(Table1[[#This Row],[DUT Read]]="","N/A",Table1[[#This Row],[Std Error]]+Table1[[#This Row],[DUT Read]]+Table1[[#This Row],[DUT Ucty]])</f>
        <v>N/A</v>
      </c>
      <c r="Y2992" s="1" t="str">
        <f>IF(Table1[[#This Row],[Std Read]]="","N/A",Table1[[#This Row],[Std Read]]+Table1[[#This Row],[Std Ucty]])</f>
        <v>N/A</v>
      </c>
      <c r="Z299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2" s="1" t="str">
        <f>IF(Table1[[#This Row],[Spec Type]]="","N/A",Table1[[#This Row],[Spec Type]])</f>
        <v>±</v>
      </c>
      <c r="AC2992" s="1" t="str">
        <f>IF(Table1[[#This Row],[Spec Type2]]="N/A","N/A",IF(AND(Table1[[#This Row],[DUT Adj Read]]&gt;=Table1[[#This Row],[Low Tol]],Table1[[#This Row],[DUT Adj Read]]&lt;=Table1[[#This Row],[High Tol]]),"Pass","Fail"))</f>
        <v>Fail</v>
      </c>
      <c r="AD2992" s="1" t="str">
        <f>IF(AND(Table1[[#This Row],[Spec Type2]]="N/A",Table1[[#This Row],[DUT Adj Read]]="N/A",Table1[[#This Row],[Std Adj Read]]="N/A"),"N/A",IF(Table1[[#This Row],[DUT Adj Read]]="N/A",IF(Table1[[#This Row],[Std Adj Read]]&gt;Table1[[#This Row],[Low Tol]],"Pass","Fail"),IF(Table1[[#This Row],[DUT Adj Read]]&gt;Table1[[#This Row],[Low Tol]],"Pass","Fail")))</f>
        <v>Pass</v>
      </c>
      <c r="AE2992" s="1" t="str">
        <f>IF(AND(Table1[[#This Row],[Spec Type2]]="N/A",Table1[[#This Row],[DUT Adj Read]]="N/A",Table1[[#This Row],[Std Adj Read]]="N/A"),"N/A",IF(Table1[[#This Row],[DUT Adj Read]]="N/A",IF(Table1[[#This Row],[Std Adj Read]]&lt;Table1[[#This Row],[High Tol]],"Pass","Fail"),IF(Table1[[#This Row],[DUT Adj Read]]&lt;Table1[[#This Row],[High Tol]],"Pass","Fail")))</f>
        <v>Fail</v>
      </c>
      <c r="AF2992" s="1" t="str">
        <f>IF(AND(Table1[[#This Row],[Spec Type2]]="N/A",Table1[[#This Row],[DUT Adj Read]]="N/A",Table1[[#This Row],[Std Adj Read]]="N/A"),"N/A",IF(Table1[[#This Row],[DUT Adj Read]]="N/A",IF(Table1[[#This Row],[Std Adj Read]]&gt;=Table1[[#This Row],[Low Tol]],"Pass","Fail"),IF(Table1[[#This Row],[DUT Adj Read]]&gt;=Table1[[#This Row],[Low Tol]],"Pass","Fail")))</f>
        <v>Pass</v>
      </c>
      <c r="AG2992" s="1" t="str">
        <f>IF(AND(Table1[[#This Row],[Spec Type2]]="N/A",Table1[[#This Row],[DUT Adj Read]]="N/A",Table1[[#This Row],[Std Adj Read]]="N/A"),"N/A",IF(Table1[[#This Row],[DUT Adj Read]]="N/A",IF(Table1[[#This Row],[Std Adj Read]]&lt;=Table1[[#This Row],[High Tol]],"Pass","Fail"),IF(Table1[[#This Row],[DUT Adj Read]]&lt;=Table1[[#This Row],[High Tol]],"Pass","Fail")))</f>
        <v>Fail</v>
      </c>
      <c r="AH299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2" s="1" t="b">
        <v>0</v>
      </c>
      <c r="AN2992" s="1" t="b">
        <v>0</v>
      </c>
      <c r="AO2992" s="1" t="b">
        <v>0</v>
      </c>
    </row>
    <row r="2993" spans="1:41" x14ac:dyDescent="0.25">
      <c r="A2993" s="10"/>
      <c r="B2993" s="10"/>
      <c r="C2993" s="10"/>
      <c r="D2993" s="10"/>
      <c r="E2993" s="10"/>
      <c r="F2993" s="10"/>
      <c r="G2993" s="10"/>
      <c r="H2993" s="10"/>
      <c r="I2993" s="1" t="str">
        <f t="shared" si="138"/>
        <v/>
      </c>
      <c r="J2993" s="1" t="s">
        <v>35</v>
      </c>
      <c r="K2993" s="1" t="str">
        <f t="shared" si="139"/>
        <v/>
      </c>
      <c r="L2993" s="1" t="str">
        <f t="shared" si="140"/>
        <v/>
      </c>
      <c r="M2993" s="1">
        <f>IF(OR(Table1[[#This Row],[Std Nom]]="",Table1[[#This Row],[Std Read]]=""),0,Table1[[#This Row],[Std Nom]]-Table1[[#This Row],[Std Read]])</f>
        <v>0</v>
      </c>
      <c r="N2993" s="1">
        <f>IF(Calculations!$F$5="ACCREDITED 17025 WITH UNCERTAINTIES",$N$10,0)</f>
        <v>0</v>
      </c>
      <c r="Q2993" s="1">
        <f>Table1[[#This Row],[High Tol]]-Table1[[#This Row],[Low Tol]]</f>
        <v>0</v>
      </c>
      <c r="R2993" s="1">
        <f>2*Table1[[#This Row],[Std Error]]</f>
        <v>0</v>
      </c>
      <c r="S2993" s="1" t="str">
        <f>IF(Table1[[#This Row],[High Tol]]="","N/A",IFERROR(ABS(Table1[[#This Row],[Tol Span]]/Table1[[#This Row],[Error Span]]),"N/A"))</f>
        <v>N/A</v>
      </c>
      <c r="T2993" s="1" t="str">
        <f>IF(OR(Table1[[#This Row],[Low Tol]]="",Table1[[#This Row],[High Tol]]=""),"Needs Analysis",IF(Table1[[#This Row],[Ratio]]&gt;=4,"Not Significant",IF(Table1[[#This Row],[Ratio]]&gt;=2,"Semi-Significant","Significant")))</f>
        <v>Needs Analysis</v>
      </c>
      <c r="W2993" s="1">
        <f>IF(Table1[[#This Row],[Cal Type]]&lt;&gt;"ACCREDITED 17025 WITH UNCERTAINTIES",0,"")</f>
        <v>0</v>
      </c>
      <c r="X2993" s="1" t="str">
        <f>IF(Table1[[#This Row],[DUT Read]]="","N/A",Table1[[#This Row],[Std Error]]+Table1[[#This Row],[DUT Read]]+Table1[[#This Row],[DUT Ucty]])</f>
        <v>N/A</v>
      </c>
      <c r="Y2993" s="1" t="str">
        <f>IF(Table1[[#This Row],[Std Read]]="","N/A",Table1[[#This Row],[Std Read]]+Table1[[#This Row],[Std Ucty]])</f>
        <v>N/A</v>
      </c>
      <c r="Z299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3" s="1" t="str">
        <f>IF(Table1[[#This Row],[Spec Type]]="","N/A",Table1[[#This Row],[Spec Type]])</f>
        <v>±</v>
      </c>
      <c r="AC2993" s="1" t="str">
        <f>IF(Table1[[#This Row],[Spec Type2]]="N/A","N/A",IF(AND(Table1[[#This Row],[DUT Adj Read]]&gt;=Table1[[#This Row],[Low Tol]],Table1[[#This Row],[DUT Adj Read]]&lt;=Table1[[#This Row],[High Tol]]),"Pass","Fail"))</f>
        <v>Fail</v>
      </c>
      <c r="AD2993" s="1" t="str">
        <f>IF(AND(Table1[[#This Row],[Spec Type2]]="N/A",Table1[[#This Row],[DUT Adj Read]]="N/A",Table1[[#This Row],[Std Adj Read]]="N/A"),"N/A",IF(Table1[[#This Row],[DUT Adj Read]]="N/A",IF(Table1[[#This Row],[Std Adj Read]]&gt;Table1[[#This Row],[Low Tol]],"Pass","Fail"),IF(Table1[[#This Row],[DUT Adj Read]]&gt;Table1[[#This Row],[Low Tol]],"Pass","Fail")))</f>
        <v>Pass</v>
      </c>
      <c r="AE2993" s="1" t="str">
        <f>IF(AND(Table1[[#This Row],[Spec Type2]]="N/A",Table1[[#This Row],[DUT Adj Read]]="N/A",Table1[[#This Row],[Std Adj Read]]="N/A"),"N/A",IF(Table1[[#This Row],[DUT Adj Read]]="N/A",IF(Table1[[#This Row],[Std Adj Read]]&lt;Table1[[#This Row],[High Tol]],"Pass","Fail"),IF(Table1[[#This Row],[DUT Adj Read]]&lt;Table1[[#This Row],[High Tol]],"Pass","Fail")))</f>
        <v>Fail</v>
      </c>
      <c r="AF2993" s="1" t="str">
        <f>IF(AND(Table1[[#This Row],[Spec Type2]]="N/A",Table1[[#This Row],[DUT Adj Read]]="N/A",Table1[[#This Row],[Std Adj Read]]="N/A"),"N/A",IF(Table1[[#This Row],[DUT Adj Read]]="N/A",IF(Table1[[#This Row],[Std Adj Read]]&gt;=Table1[[#This Row],[Low Tol]],"Pass","Fail"),IF(Table1[[#This Row],[DUT Adj Read]]&gt;=Table1[[#This Row],[Low Tol]],"Pass","Fail")))</f>
        <v>Pass</v>
      </c>
      <c r="AG2993" s="1" t="str">
        <f>IF(AND(Table1[[#This Row],[Spec Type2]]="N/A",Table1[[#This Row],[DUT Adj Read]]="N/A",Table1[[#This Row],[Std Adj Read]]="N/A"),"N/A",IF(Table1[[#This Row],[DUT Adj Read]]="N/A",IF(Table1[[#This Row],[Std Adj Read]]&lt;=Table1[[#This Row],[High Tol]],"Pass","Fail"),IF(Table1[[#This Row],[DUT Adj Read]]&lt;=Table1[[#This Row],[High Tol]],"Pass","Fail")))</f>
        <v>Fail</v>
      </c>
      <c r="AH299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3" s="1" t="b">
        <v>0</v>
      </c>
      <c r="AN2993" s="1" t="b">
        <v>0</v>
      </c>
      <c r="AO2993" s="1" t="b">
        <v>0</v>
      </c>
    </row>
    <row r="2994" spans="1:41" x14ac:dyDescent="0.25">
      <c r="A2994" s="10"/>
      <c r="B2994" s="10"/>
      <c r="C2994" s="10"/>
      <c r="D2994" s="10"/>
      <c r="E2994" s="10"/>
      <c r="F2994" s="10"/>
      <c r="G2994" s="10"/>
      <c r="H2994" s="10"/>
      <c r="I2994" s="1" t="str">
        <f t="shared" si="138"/>
        <v/>
      </c>
      <c r="J2994" s="1" t="s">
        <v>35</v>
      </c>
      <c r="K2994" s="1" t="str">
        <f t="shared" si="139"/>
        <v/>
      </c>
      <c r="L2994" s="1" t="str">
        <f t="shared" si="140"/>
        <v/>
      </c>
      <c r="M2994" s="1">
        <f>IF(OR(Table1[[#This Row],[Std Nom]]="",Table1[[#This Row],[Std Read]]=""),0,Table1[[#This Row],[Std Nom]]-Table1[[#This Row],[Std Read]])</f>
        <v>0</v>
      </c>
      <c r="N2994" s="1">
        <f>IF(Calculations!$F$5="ACCREDITED 17025 WITH UNCERTAINTIES",$N$10,0)</f>
        <v>0</v>
      </c>
      <c r="Q2994" s="1">
        <f>Table1[[#This Row],[High Tol]]-Table1[[#This Row],[Low Tol]]</f>
        <v>0</v>
      </c>
      <c r="R2994" s="1">
        <f>2*Table1[[#This Row],[Std Error]]</f>
        <v>0</v>
      </c>
      <c r="S2994" s="1" t="str">
        <f>IF(Table1[[#This Row],[High Tol]]="","N/A",IFERROR(ABS(Table1[[#This Row],[Tol Span]]/Table1[[#This Row],[Error Span]]),"N/A"))</f>
        <v>N/A</v>
      </c>
      <c r="T2994" s="1" t="str">
        <f>IF(OR(Table1[[#This Row],[Low Tol]]="",Table1[[#This Row],[High Tol]]=""),"Needs Analysis",IF(Table1[[#This Row],[Ratio]]&gt;=4,"Not Significant",IF(Table1[[#This Row],[Ratio]]&gt;=2,"Semi-Significant","Significant")))</f>
        <v>Needs Analysis</v>
      </c>
      <c r="W2994" s="1">
        <f>IF(Table1[[#This Row],[Cal Type]]&lt;&gt;"ACCREDITED 17025 WITH UNCERTAINTIES",0,"")</f>
        <v>0</v>
      </c>
      <c r="X2994" s="1" t="str">
        <f>IF(Table1[[#This Row],[DUT Read]]="","N/A",Table1[[#This Row],[Std Error]]+Table1[[#This Row],[DUT Read]]+Table1[[#This Row],[DUT Ucty]])</f>
        <v>N/A</v>
      </c>
      <c r="Y2994" s="1" t="str">
        <f>IF(Table1[[#This Row],[Std Read]]="","N/A",Table1[[#This Row],[Std Read]]+Table1[[#This Row],[Std Ucty]])</f>
        <v>N/A</v>
      </c>
      <c r="Z299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4" s="1" t="str">
        <f>IF(Table1[[#This Row],[Spec Type]]="","N/A",Table1[[#This Row],[Spec Type]])</f>
        <v>±</v>
      </c>
      <c r="AC2994" s="1" t="str">
        <f>IF(Table1[[#This Row],[Spec Type2]]="N/A","N/A",IF(AND(Table1[[#This Row],[DUT Adj Read]]&gt;=Table1[[#This Row],[Low Tol]],Table1[[#This Row],[DUT Adj Read]]&lt;=Table1[[#This Row],[High Tol]]),"Pass","Fail"))</f>
        <v>Fail</v>
      </c>
      <c r="AD2994" s="1" t="str">
        <f>IF(AND(Table1[[#This Row],[Spec Type2]]="N/A",Table1[[#This Row],[DUT Adj Read]]="N/A",Table1[[#This Row],[Std Adj Read]]="N/A"),"N/A",IF(Table1[[#This Row],[DUT Adj Read]]="N/A",IF(Table1[[#This Row],[Std Adj Read]]&gt;Table1[[#This Row],[Low Tol]],"Pass","Fail"),IF(Table1[[#This Row],[DUT Adj Read]]&gt;Table1[[#This Row],[Low Tol]],"Pass","Fail")))</f>
        <v>Pass</v>
      </c>
      <c r="AE2994" s="1" t="str">
        <f>IF(AND(Table1[[#This Row],[Spec Type2]]="N/A",Table1[[#This Row],[DUT Adj Read]]="N/A",Table1[[#This Row],[Std Adj Read]]="N/A"),"N/A",IF(Table1[[#This Row],[DUT Adj Read]]="N/A",IF(Table1[[#This Row],[Std Adj Read]]&lt;Table1[[#This Row],[High Tol]],"Pass","Fail"),IF(Table1[[#This Row],[DUT Adj Read]]&lt;Table1[[#This Row],[High Tol]],"Pass","Fail")))</f>
        <v>Fail</v>
      </c>
      <c r="AF2994" s="1" t="str">
        <f>IF(AND(Table1[[#This Row],[Spec Type2]]="N/A",Table1[[#This Row],[DUT Adj Read]]="N/A",Table1[[#This Row],[Std Adj Read]]="N/A"),"N/A",IF(Table1[[#This Row],[DUT Adj Read]]="N/A",IF(Table1[[#This Row],[Std Adj Read]]&gt;=Table1[[#This Row],[Low Tol]],"Pass","Fail"),IF(Table1[[#This Row],[DUT Adj Read]]&gt;=Table1[[#This Row],[Low Tol]],"Pass","Fail")))</f>
        <v>Pass</v>
      </c>
      <c r="AG2994" s="1" t="str">
        <f>IF(AND(Table1[[#This Row],[Spec Type2]]="N/A",Table1[[#This Row],[DUT Adj Read]]="N/A",Table1[[#This Row],[Std Adj Read]]="N/A"),"N/A",IF(Table1[[#This Row],[DUT Adj Read]]="N/A",IF(Table1[[#This Row],[Std Adj Read]]&lt;=Table1[[#This Row],[High Tol]],"Pass","Fail"),IF(Table1[[#This Row],[DUT Adj Read]]&lt;=Table1[[#This Row],[High Tol]],"Pass","Fail")))</f>
        <v>Fail</v>
      </c>
      <c r="AH299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4" s="1" t="b">
        <v>0</v>
      </c>
      <c r="AN2994" s="1" t="b">
        <v>0</v>
      </c>
      <c r="AO2994" s="1" t="b">
        <v>0</v>
      </c>
    </row>
    <row r="2995" spans="1:41" x14ac:dyDescent="0.25">
      <c r="A2995" s="10"/>
      <c r="B2995" s="10"/>
      <c r="C2995" s="10"/>
      <c r="D2995" s="10"/>
      <c r="E2995" s="10"/>
      <c r="F2995" s="10"/>
      <c r="G2995" s="10"/>
      <c r="H2995" s="10"/>
      <c r="I2995" s="1" t="str">
        <f t="shared" si="138"/>
        <v/>
      </c>
      <c r="J2995" s="1" t="s">
        <v>35</v>
      </c>
      <c r="K2995" s="1" t="str">
        <f t="shared" si="139"/>
        <v/>
      </c>
      <c r="L2995" s="1" t="str">
        <f t="shared" si="140"/>
        <v/>
      </c>
      <c r="M2995" s="1">
        <f>IF(OR(Table1[[#This Row],[Std Nom]]="",Table1[[#This Row],[Std Read]]=""),0,Table1[[#This Row],[Std Nom]]-Table1[[#This Row],[Std Read]])</f>
        <v>0</v>
      </c>
      <c r="N2995" s="1">
        <f>IF(Calculations!$F$5="ACCREDITED 17025 WITH UNCERTAINTIES",$N$10,0)</f>
        <v>0</v>
      </c>
      <c r="Q2995" s="1">
        <f>Table1[[#This Row],[High Tol]]-Table1[[#This Row],[Low Tol]]</f>
        <v>0</v>
      </c>
      <c r="R2995" s="1">
        <f>2*Table1[[#This Row],[Std Error]]</f>
        <v>0</v>
      </c>
      <c r="S2995" s="1" t="str">
        <f>IF(Table1[[#This Row],[High Tol]]="","N/A",IFERROR(ABS(Table1[[#This Row],[Tol Span]]/Table1[[#This Row],[Error Span]]),"N/A"))</f>
        <v>N/A</v>
      </c>
      <c r="T2995" s="1" t="str">
        <f>IF(OR(Table1[[#This Row],[Low Tol]]="",Table1[[#This Row],[High Tol]]=""),"Needs Analysis",IF(Table1[[#This Row],[Ratio]]&gt;=4,"Not Significant",IF(Table1[[#This Row],[Ratio]]&gt;=2,"Semi-Significant","Significant")))</f>
        <v>Needs Analysis</v>
      </c>
      <c r="W2995" s="1">
        <f>IF(Table1[[#This Row],[Cal Type]]&lt;&gt;"ACCREDITED 17025 WITH UNCERTAINTIES",0,"")</f>
        <v>0</v>
      </c>
      <c r="X2995" s="1" t="str">
        <f>IF(Table1[[#This Row],[DUT Read]]="","N/A",Table1[[#This Row],[Std Error]]+Table1[[#This Row],[DUT Read]]+Table1[[#This Row],[DUT Ucty]])</f>
        <v>N/A</v>
      </c>
      <c r="Y2995" s="1" t="str">
        <f>IF(Table1[[#This Row],[Std Read]]="","N/A",Table1[[#This Row],[Std Read]]+Table1[[#This Row],[Std Ucty]])</f>
        <v>N/A</v>
      </c>
      <c r="Z299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5" s="1" t="str">
        <f>IF(Table1[[#This Row],[Spec Type]]="","N/A",Table1[[#This Row],[Spec Type]])</f>
        <v>±</v>
      </c>
      <c r="AC2995" s="1" t="str">
        <f>IF(Table1[[#This Row],[Spec Type2]]="N/A","N/A",IF(AND(Table1[[#This Row],[DUT Adj Read]]&gt;=Table1[[#This Row],[Low Tol]],Table1[[#This Row],[DUT Adj Read]]&lt;=Table1[[#This Row],[High Tol]]),"Pass","Fail"))</f>
        <v>Fail</v>
      </c>
      <c r="AD2995" s="1" t="str">
        <f>IF(AND(Table1[[#This Row],[Spec Type2]]="N/A",Table1[[#This Row],[DUT Adj Read]]="N/A",Table1[[#This Row],[Std Adj Read]]="N/A"),"N/A",IF(Table1[[#This Row],[DUT Adj Read]]="N/A",IF(Table1[[#This Row],[Std Adj Read]]&gt;Table1[[#This Row],[Low Tol]],"Pass","Fail"),IF(Table1[[#This Row],[DUT Adj Read]]&gt;Table1[[#This Row],[Low Tol]],"Pass","Fail")))</f>
        <v>Pass</v>
      </c>
      <c r="AE2995" s="1" t="str">
        <f>IF(AND(Table1[[#This Row],[Spec Type2]]="N/A",Table1[[#This Row],[DUT Adj Read]]="N/A",Table1[[#This Row],[Std Adj Read]]="N/A"),"N/A",IF(Table1[[#This Row],[DUT Adj Read]]="N/A",IF(Table1[[#This Row],[Std Adj Read]]&lt;Table1[[#This Row],[High Tol]],"Pass","Fail"),IF(Table1[[#This Row],[DUT Adj Read]]&lt;Table1[[#This Row],[High Tol]],"Pass","Fail")))</f>
        <v>Fail</v>
      </c>
      <c r="AF2995" s="1" t="str">
        <f>IF(AND(Table1[[#This Row],[Spec Type2]]="N/A",Table1[[#This Row],[DUT Adj Read]]="N/A",Table1[[#This Row],[Std Adj Read]]="N/A"),"N/A",IF(Table1[[#This Row],[DUT Adj Read]]="N/A",IF(Table1[[#This Row],[Std Adj Read]]&gt;=Table1[[#This Row],[Low Tol]],"Pass","Fail"),IF(Table1[[#This Row],[DUT Adj Read]]&gt;=Table1[[#This Row],[Low Tol]],"Pass","Fail")))</f>
        <v>Pass</v>
      </c>
      <c r="AG2995" s="1" t="str">
        <f>IF(AND(Table1[[#This Row],[Spec Type2]]="N/A",Table1[[#This Row],[DUT Adj Read]]="N/A",Table1[[#This Row],[Std Adj Read]]="N/A"),"N/A",IF(Table1[[#This Row],[DUT Adj Read]]="N/A",IF(Table1[[#This Row],[Std Adj Read]]&lt;=Table1[[#This Row],[High Tol]],"Pass","Fail"),IF(Table1[[#This Row],[DUT Adj Read]]&lt;=Table1[[#This Row],[High Tol]],"Pass","Fail")))</f>
        <v>Fail</v>
      </c>
      <c r="AH299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5" s="1" t="b">
        <v>0</v>
      </c>
      <c r="AN2995" s="1" t="b">
        <v>0</v>
      </c>
      <c r="AO2995" s="1" t="b">
        <v>0</v>
      </c>
    </row>
    <row r="2996" spans="1:41" x14ac:dyDescent="0.25">
      <c r="A2996" s="10"/>
      <c r="B2996" s="10"/>
      <c r="C2996" s="10"/>
      <c r="D2996" s="10"/>
      <c r="E2996" s="10"/>
      <c r="F2996" s="10"/>
      <c r="G2996" s="10"/>
      <c r="H2996" s="10"/>
      <c r="I2996" s="1" t="str">
        <f t="shared" si="138"/>
        <v/>
      </c>
      <c r="J2996" s="1" t="s">
        <v>35</v>
      </c>
      <c r="K2996" s="1" t="str">
        <f t="shared" si="139"/>
        <v/>
      </c>
      <c r="L2996" s="1" t="str">
        <f t="shared" si="140"/>
        <v/>
      </c>
      <c r="M2996" s="1">
        <f>IF(OR(Table1[[#This Row],[Std Nom]]="",Table1[[#This Row],[Std Read]]=""),0,Table1[[#This Row],[Std Nom]]-Table1[[#This Row],[Std Read]])</f>
        <v>0</v>
      </c>
      <c r="N2996" s="1">
        <f>IF(Calculations!$F$5="ACCREDITED 17025 WITH UNCERTAINTIES",$N$10,0)</f>
        <v>0</v>
      </c>
      <c r="Q2996" s="1">
        <f>Table1[[#This Row],[High Tol]]-Table1[[#This Row],[Low Tol]]</f>
        <v>0</v>
      </c>
      <c r="R2996" s="1">
        <f>2*Table1[[#This Row],[Std Error]]</f>
        <v>0</v>
      </c>
      <c r="S2996" s="1" t="str">
        <f>IF(Table1[[#This Row],[High Tol]]="","N/A",IFERROR(ABS(Table1[[#This Row],[Tol Span]]/Table1[[#This Row],[Error Span]]),"N/A"))</f>
        <v>N/A</v>
      </c>
      <c r="T2996" s="1" t="str">
        <f>IF(OR(Table1[[#This Row],[Low Tol]]="",Table1[[#This Row],[High Tol]]=""),"Needs Analysis",IF(Table1[[#This Row],[Ratio]]&gt;=4,"Not Significant",IF(Table1[[#This Row],[Ratio]]&gt;=2,"Semi-Significant","Significant")))</f>
        <v>Needs Analysis</v>
      </c>
      <c r="W2996" s="1">
        <f>IF(Table1[[#This Row],[Cal Type]]&lt;&gt;"ACCREDITED 17025 WITH UNCERTAINTIES",0,"")</f>
        <v>0</v>
      </c>
      <c r="X2996" s="1" t="str">
        <f>IF(Table1[[#This Row],[DUT Read]]="","N/A",Table1[[#This Row],[Std Error]]+Table1[[#This Row],[DUT Read]]+Table1[[#This Row],[DUT Ucty]])</f>
        <v>N/A</v>
      </c>
      <c r="Y2996" s="1" t="str">
        <f>IF(Table1[[#This Row],[Std Read]]="","N/A",Table1[[#This Row],[Std Read]]+Table1[[#This Row],[Std Ucty]])</f>
        <v>N/A</v>
      </c>
      <c r="Z299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6" s="1" t="str">
        <f>IF(Table1[[#This Row],[Spec Type]]="","N/A",Table1[[#This Row],[Spec Type]])</f>
        <v>±</v>
      </c>
      <c r="AC2996" s="1" t="str">
        <f>IF(Table1[[#This Row],[Spec Type2]]="N/A","N/A",IF(AND(Table1[[#This Row],[DUT Adj Read]]&gt;=Table1[[#This Row],[Low Tol]],Table1[[#This Row],[DUT Adj Read]]&lt;=Table1[[#This Row],[High Tol]]),"Pass","Fail"))</f>
        <v>Fail</v>
      </c>
      <c r="AD2996" s="1" t="str">
        <f>IF(AND(Table1[[#This Row],[Spec Type2]]="N/A",Table1[[#This Row],[DUT Adj Read]]="N/A",Table1[[#This Row],[Std Adj Read]]="N/A"),"N/A",IF(Table1[[#This Row],[DUT Adj Read]]="N/A",IF(Table1[[#This Row],[Std Adj Read]]&gt;Table1[[#This Row],[Low Tol]],"Pass","Fail"),IF(Table1[[#This Row],[DUT Adj Read]]&gt;Table1[[#This Row],[Low Tol]],"Pass","Fail")))</f>
        <v>Pass</v>
      </c>
      <c r="AE2996" s="1" t="str">
        <f>IF(AND(Table1[[#This Row],[Spec Type2]]="N/A",Table1[[#This Row],[DUT Adj Read]]="N/A",Table1[[#This Row],[Std Adj Read]]="N/A"),"N/A",IF(Table1[[#This Row],[DUT Adj Read]]="N/A",IF(Table1[[#This Row],[Std Adj Read]]&lt;Table1[[#This Row],[High Tol]],"Pass","Fail"),IF(Table1[[#This Row],[DUT Adj Read]]&lt;Table1[[#This Row],[High Tol]],"Pass","Fail")))</f>
        <v>Fail</v>
      </c>
      <c r="AF2996" s="1" t="str">
        <f>IF(AND(Table1[[#This Row],[Spec Type2]]="N/A",Table1[[#This Row],[DUT Adj Read]]="N/A",Table1[[#This Row],[Std Adj Read]]="N/A"),"N/A",IF(Table1[[#This Row],[DUT Adj Read]]="N/A",IF(Table1[[#This Row],[Std Adj Read]]&gt;=Table1[[#This Row],[Low Tol]],"Pass","Fail"),IF(Table1[[#This Row],[DUT Adj Read]]&gt;=Table1[[#This Row],[Low Tol]],"Pass","Fail")))</f>
        <v>Pass</v>
      </c>
      <c r="AG2996" s="1" t="str">
        <f>IF(AND(Table1[[#This Row],[Spec Type2]]="N/A",Table1[[#This Row],[DUT Adj Read]]="N/A",Table1[[#This Row],[Std Adj Read]]="N/A"),"N/A",IF(Table1[[#This Row],[DUT Adj Read]]="N/A",IF(Table1[[#This Row],[Std Adj Read]]&lt;=Table1[[#This Row],[High Tol]],"Pass","Fail"),IF(Table1[[#This Row],[DUT Adj Read]]&lt;=Table1[[#This Row],[High Tol]],"Pass","Fail")))</f>
        <v>Fail</v>
      </c>
      <c r="AH299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6" s="1" t="b">
        <v>0</v>
      </c>
      <c r="AN2996" s="1" t="b">
        <v>0</v>
      </c>
      <c r="AO2996" s="1" t="b">
        <v>0</v>
      </c>
    </row>
    <row r="2997" spans="1:41" x14ac:dyDescent="0.25">
      <c r="A2997" s="10"/>
      <c r="B2997" s="10"/>
      <c r="C2997" s="10"/>
      <c r="D2997" s="10"/>
      <c r="E2997" s="10"/>
      <c r="F2997" s="10"/>
      <c r="G2997" s="10"/>
      <c r="H2997" s="10"/>
      <c r="I2997" s="1" t="str">
        <f t="shared" si="138"/>
        <v/>
      </c>
      <c r="J2997" s="1" t="s">
        <v>35</v>
      </c>
      <c r="K2997" s="1" t="str">
        <f t="shared" si="139"/>
        <v/>
      </c>
      <c r="L2997" s="1" t="str">
        <f t="shared" si="140"/>
        <v/>
      </c>
      <c r="M2997" s="1">
        <f>IF(OR(Table1[[#This Row],[Std Nom]]="",Table1[[#This Row],[Std Read]]=""),0,Table1[[#This Row],[Std Nom]]-Table1[[#This Row],[Std Read]])</f>
        <v>0</v>
      </c>
      <c r="N2997" s="1">
        <f>IF(Calculations!$F$5="ACCREDITED 17025 WITH UNCERTAINTIES",$N$10,0)</f>
        <v>0</v>
      </c>
      <c r="Q2997" s="1">
        <f>Table1[[#This Row],[High Tol]]-Table1[[#This Row],[Low Tol]]</f>
        <v>0</v>
      </c>
      <c r="R2997" s="1">
        <f>2*Table1[[#This Row],[Std Error]]</f>
        <v>0</v>
      </c>
      <c r="S2997" s="1" t="str">
        <f>IF(Table1[[#This Row],[High Tol]]="","N/A",IFERROR(ABS(Table1[[#This Row],[Tol Span]]/Table1[[#This Row],[Error Span]]),"N/A"))</f>
        <v>N/A</v>
      </c>
      <c r="T2997" s="1" t="str">
        <f>IF(OR(Table1[[#This Row],[Low Tol]]="",Table1[[#This Row],[High Tol]]=""),"Needs Analysis",IF(Table1[[#This Row],[Ratio]]&gt;=4,"Not Significant",IF(Table1[[#This Row],[Ratio]]&gt;=2,"Semi-Significant","Significant")))</f>
        <v>Needs Analysis</v>
      </c>
      <c r="W2997" s="1">
        <f>IF(Table1[[#This Row],[Cal Type]]&lt;&gt;"ACCREDITED 17025 WITH UNCERTAINTIES",0,"")</f>
        <v>0</v>
      </c>
      <c r="X2997" s="1" t="str">
        <f>IF(Table1[[#This Row],[DUT Read]]="","N/A",Table1[[#This Row],[Std Error]]+Table1[[#This Row],[DUT Read]]+Table1[[#This Row],[DUT Ucty]])</f>
        <v>N/A</v>
      </c>
      <c r="Y2997" s="1" t="str">
        <f>IF(Table1[[#This Row],[Std Read]]="","N/A",Table1[[#This Row],[Std Read]]+Table1[[#This Row],[Std Ucty]])</f>
        <v>N/A</v>
      </c>
      <c r="Z299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7" s="1" t="str">
        <f>IF(Table1[[#This Row],[Spec Type]]="","N/A",Table1[[#This Row],[Spec Type]])</f>
        <v>±</v>
      </c>
      <c r="AC2997" s="1" t="str">
        <f>IF(Table1[[#This Row],[Spec Type2]]="N/A","N/A",IF(AND(Table1[[#This Row],[DUT Adj Read]]&gt;=Table1[[#This Row],[Low Tol]],Table1[[#This Row],[DUT Adj Read]]&lt;=Table1[[#This Row],[High Tol]]),"Pass","Fail"))</f>
        <v>Fail</v>
      </c>
      <c r="AD2997" s="1" t="str">
        <f>IF(AND(Table1[[#This Row],[Spec Type2]]="N/A",Table1[[#This Row],[DUT Adj Read]]="N/A",Table1[[#This Row],[Std Adj Read]]="N/A"),"N/A",IF(Table1[[#This Row],[DUT Adj Read]]="N/A",IF(Table1[[#This Row],[Std Adj Read]]&gt;Table1[[#This Row],[Low Tol]],"Pass","Fail"),IF(Table1[[#This Row],[DUT Adj Read]]&gt;Table1[[#This Row],[Low Tol]],"Pass","Fail")))</f>
        <v>Pass</v>
      </c>
      <c r="AE2997" s="1" t="str">
        <f>IF(AND(Table1[[#This Row],[Spec Type2]]="N/A",Table1[[#This Row],[DUT Adj Read]]="N/A",Table1[[#This Row],[Std Adj Read]]="N/A"),"N/A",IF(Table1[[#This Row],[DUT Adj Read]]="N/A",IF(Table1[[#This Row],[Std Adj Read]]&lt;Table1[[#This Row],[High Tol]],"Pass","Fail"),IF(Table1[[#This Row],[DUT Adj Read]]&lt;Table1[[#This Row],[High Tol]],"Pass","Fail")))</f>
        <v>Fail</v>
      </c>
      <c r="AF2997" s="1" t="str">
        <f>IF(AND(Table1[[#This Row],[Spec Type2]]="N/A",Table1[[#This Row],[DUT Adj Read]]="N/A",Table1[[#This Row],[Std Adj Read]]="N/A"),"N/A",IF(Table1[[#This Row],[DUT Adj Read]]="N/A",IF(Table1[[#This Row],[Std Adj Read]]&gt;=Table1[[#This Row],[Low Tol]],"Pass","Fail"),IF(Table1[[#This Row],[DUT Adj Read]]&gt;=Table1[[#This Row],[Low Tol]],"Pass","Fail")))</f>
        <v>Pass</v>
      </c>
      <c r="AG2997" s="1" t="str">
        <f>IF(AND(Table1[[#This Row],[Spec Type2]]="N/A",Table1[[#This Row],[DUT Adj Read]]="N/A",Table1[[#This Row],[Std Adj Read]]="N/A"),"N/A",IF(Table1[[#This Row],[DUT Adj Read]]="N/A",IF(Table1[[#This Row],[Std Adj Read]]&lt;=Table1[[#This Row],[High Tol]],"Pass","Fail"),IF(Table1[[#This Row],[DUT Adj Read]]&lt;=Table1[[#This Row],[High Tol]],"Pass","Fail")))</f>
        <v>Fail</v>
      </c>
      <c r="AH299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7" s="1" t="b">
        <v>0</v>
      </c>
      <c r="AN2997" s="1" t="b">
        <v>0</v>
      </c>
      <c r="AO2997" s="1" t="b">
        <v>0</v>
      </c>
    </row>
    <row r="2998" spans="1:41" x14ac:dyDescent="0.25">
      <c r="A2998" s="10"/>
      <c r="B2998" s="10"/>
      <c r="C2998" s="10"/>
      <c r="D2998" s="10"/>
      <c r="E2998" s="10"/>
      <c r="F2998" s="10"/>
      <c r="G2998" s="10"/>
      <c r="H2998" s="10"/>
      <c r="I2998" s="1" t="str">
        <f t="shared" si="138"/>
        <v/>
      </c>
      <c r="J2998" s="1" t="s">
        <v>35</v>
      </c>
      <c r="K2998" s="1" t="str">
        <f t="shared" si="139"/>
        <v/>
      </c>
      <c r="L2998" s="1" t="str">
        <f t="shared" si="140"/>
        <v/>
      </c>
      <c r="M2998" s="1">
        <f>IF(OR(Table1[[#This Row],[Std Nom]]="",Table1[[#This Row],[Std Read]]=""),0,Table1[[#This Row],[Std Nom]]-Table1[[#This Row],[Std Read]])</f>
        <v>0</v>
      </c>
      <c r="N2998" s="1">
        <f>IF(Calculations!$F$5="ACCREDITED 17025 WITH UNCERTAINTIES",$N$10,0)</f>
        <v>0</v>
      </c>
      <c r="Q2998" s="1">
        <f>Table1[[#This Row],[High Tol]]-Table1[[#This Row],[Low Tol]]</f>
        <v>0</v>
      </c>
      <c r="R2998" s="1">
        <f>2*Table1[[#This Row],[Std Error]]</f>
        <v>0</v>
      </c>
      <c r="S2998" s="1" t="str">
        <f>IF(Table1[[#This Row],[High Tol]]="","N/A",IFERROR(ABS(Table1[[#This Row],[Tol Span]]/Table1[[#This Row],[Error Span]]),"N/A"))</f>
        <v>N/A</v>
      </c>
      <c r="T2998" s="1" t="str">
        <f>IF(OR(Table1[[#This Row],[Low Tol]]="",Table1[[#This Row],[High Tol]]=""),"Needs Analysis",IF(Table1[[#This Row],[Ratio]]&gt;=4,"Not Significant",IF(Table1[[#This Row],[Ratio]]&gt;=2,"Semi-Significant","Significant")))</f>
        <v>Needs Analysis</v>
      </c>
      <c r="W2998" s="1">
        <f>IF(Table1[[#This Row],[Cal Type]]&lt;&gt;"ACCREDITED 17025 WITH UNCERTAINTIES",0,"")</f>
        <v>0</v>
      </c>
      <c r="X2998" s="1" t="str">
        <f>IF(Table1[[#This Row],[DUT Read]]="","N/A",Table1[[#This Row],[Std Error]]+Table1[[#This Row],[DUT Read]]+Table1[[#This Row],[DUT Ucty]])</f>
        <v>N/A</v>
      </c>
      <c r="Y2998" s="1" t="str">
        <f>IF(Table1[[#This Row],[Std Read]]="","N/A",Table1[[#This Row],[Std Read]]+Table1[[#This Row],[Std Ucty]])</f>
        <v>N/A</v>
      </c>
      <c r="Z2998"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8" s="1" t="str">
        <f>IF(Table1[[#This Row],[Spec Type]]="","N/A",Table1[[#This Row],[Spec Type]])</f>
        <v>±</v>
      </c>
      <c r="AC2998" s="1" t="str">
        <f>IF(Table1[[#This Row],[Spec Type2]]="N/A","N/A",IF(AND(Table1[[#This Row],[DUT Adj Read]]&gt;=Table1[[#This Row],[Low Tol]],Table1[[#This Row],[DUT Adj Read]]&lt;=Table1[[#This Row],[High Tol]]),"Pass","Fail"))</f>
        <v>Fail</v>
      </c>
      <c r="AD2998" s="1" t="str">
        <f>IF(AND(Table1[[#This Row],[Spec Type2]]="N/A",Table1[[#This Row],[DUT Adj Read]]="N/A",Table1[[#This Row],[Std Adj Read]]="N/A"),"N/A",IF(Table1[[#This Row],[DUT Adj Read]]="N/A",IF(Table1[[#This Row],[Std Adj Read]]&gt;Table1[[#This Row],[Low Tol]],"Pass","Fail"),IF(Table1[[#This Row],[DUT Adj Read]]&gt;Table1[[#This Row],[Low Tol]],"Pass","Fail")))</f>
        <v>Pass</v>
      </c>
      <c r="AE2998" s="1" t="str">
        <f>IF(AND(Table1[[#This Row],[Spec Type2]]="N/A",Table1[[#This Row],[DUT Adj Read]]="N/A",Table1[[#This Row],[Std Adj Read]]="N/A"),"N/A",IF(Table1[[#This Row],[DUT Adj Read]]="N/A",IF(Table1[[#This Row],[Std Adj Read]]&lt;Table1[[#This Row],[High Tol]],"Pass","Fail"),IF(Table1[[#This Row],[DUT Adj Read]]&lt;Table1[[#This Row],[High Tol]],"Pass","Fail")))</f>
        <v>Fail</v>
      </c>
      <c r="AF2998" s="1" t="str">
        <f>IF(AND(Table1[[#This Row],[Spec Type2]]="N/A",Table1[[#This Row],[DUT Adj Read]]="N/A",Table1[[#This Row],[Std Adj Read]]="N/A"),"N/A",IF(Table1[[#This Row],[DUT Adj Read]]="N/A",IF(Table1[[#This Row],[Std Adj Read]]&gt;=Table1[[#This Row],[Low Tol]],"Pass","Fail"),IF(Table1[[#This Row],[DUT Adj Read]]&gt;=Table1[[#This Row],[Low Tol]],"Pass","Fail")))</f>
        <v>Pass</v>
      </c>
      <c r="AG2998" s="1" t="str">
        <f>IF(AND(Table1[[#This Row],[Spec Type2]]="N/A",Table1[[#This Row],[DUT Adj Read]]="N/A",Table1[[#This Row],[Std Adj Read]]="N/A"),"N/A",IF(Table1[[#This Row],[DUT Adj Read]]="N/A",IF(Table1[[#This Row],[Std Adj Read]]&lt;=Table1[[#This Row],[High Tol]],"Pass","Fail"),IF(Table1[[#This Row],[DUT Adj Read]]&lt;=Table1[[#This Row],[High Tol]],"Pass","Fail")))</f>
        <v>Fail</v>
      </c>
      <c r="AH2998"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8" s="1" t="b">
        <v>0</v>
      </c>
      <c r="AN2998" s="1" t="b">
        <v>0</v>
      </c>
      <c r="AO2998" s="1" t="b">
        <v>0</v>
      </c>
    </row>
    <row r="2999" spans="1:41" x14ac:dyDescent="0.25">
      <c r="A2999" s="10"/>
      <c r="B2999" s="10"/>
      <c r="C2999" s="10"/>
      <c r="D2999" s="10"/>
      <c r="E2999" s="10"/>
      <c r="F2999" s="10"/>
      <c r="G2999" s="10"/>
      <c r="H2999" s="10"/>
      <c r="I2999" s="1" t="str">
        <f t="shared" si="138"/>
        <v/>
      </c>
      <c r="J2999" s="1" t="s">
        <v>35</v>
      </c>
      <c r="K2999" s="1" t="str">
        <f t="shared" si="139"/>
        <v/>
      </c>
      <c r="L2999" s="1" t="str">
        <f t="shared" si="140"/>
        <v/>
      </c>
      <c r="M2999" s="1">
        <f>IF(OR(Table1[[#This Row],[Std Nom]]="",Table1[[#This Row],[Std Read]]=""),0,Table1[[#This Row],[Std Nom]]-Table1[[#This Row],[Std Read]])</f>
        <v>0</v>
      </c>
      <c r="N2999" s="1">
        <f>IF(Calculations!$F$5="ACCREDITED 17025 WITH UNCERTAINTIES",$N$10,0)</f>
        <v>0</v>
      </c>
      <c r="Q2999" s="1">
        <f>Table1[[#This Row],[High Tol]]-Table1[[#This Row],[Low Tol]]</f>
        <v>0</v>
      </c>
      <c r="R2999" s="1">
        <f>2*Table1[[#This Row],[Std Error]]</f>
        <v>0</v>
      </c>
      <c r="S2999" s="1" t="str">
        <f>IF(Table1[[#This Row],[High Tol]]="","N/A",IFERROR(ABS(Table1[[#This Row],[Tol Span]]/Table1[[#This Row],[Error Span]]),"N/A"))</f>
        <v>N/A</v>
      </c>
      <c r="T2999" s="1" t="str">
        <f>IF(OR(Table1[[#This Row],[Low Tol]]="",Table1[[#This Row],[High Tol]]=""),"Needs Analysis",IF(Table1[[#This Row],[Ratio]]&gt;=4,"Not Significant",IF(Table1[[#This Row],[Ratio]]&gt;=2,"Semi-Significant","Significant")))</f>
        <v>Needs Analysis</v>
      </c>
      <c r="W2999" s="1">
        <f>IF(Table1[[#This Row],[Cal Type]]&lt;&gt;"ACCREDITED 17025 WITH UNCERTAINTIES",0,"")</f>
        <v>0</v>
      </c>
      <c r="X2999" s="1" t="str">
        <f>IF(Table1[[#This Row],[DUT Read]]="","N/A",Table1[[#This Row],[Std Error]]+Table1[[#This Row],[DUT Read]]+Table1[[#This Row],[DUT Ucty]])</f>
        <v>N/A</v>
      </c>
      <c r="Y2999" s="1" t="str">
        <f>IF(Table1[[#This Row],[Std Read]]="","N/A",Table1[[#This Row],[Std Read]]+Table1[[#This Row],[Std Ucty]])</f>
        <v>N/A</v>
      </c>
      <c r="Z2999"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2999" s="1" t="str">
        <f>IF(Table1[[#This Row],[Spec Type]]="","N/A",Table1[[#This Row],[Spec Type]])</f>
        <v>±</v>
      </c>
      <c r="AC2999" s="1" t="str">
        <f>IF(Table1[[#This Row],[Spec Type2]]="N/A","N/A",IF(AND(Table1[[#This Row],[DUT Adj Read]]&gt;=Table1[[#This Row],[Low Tol]],Table1[[#This Row],[DUT Adj Read]]&lt;=Table1[[#This Row],[High Tol]]),"Pass","Fail"))</f>
        <v>Fail</v>
      </c>
      <c r="AD2999" s="1" t="str">
        <f>IF(AND(Table1[[#This Row],[Spec Type2]]="N/A",Table1[[#This Row],[DUT Adj Read]]="N/A",Table1[[#This Row],[Std Adj Read]]="N/A"),"N/A",IF(Table1[[#This Row],[DUT Adj Read]]="N/A",IF(Table1[[#This Row],[Std Adj Read]]&gt;Table1[[#This Row],[Low Tol]],"Pass","Fail"),IF(Table1[[#This Row],[DUT Adj Read]]&gt;Table1[[#This Row],[Low Tol]],"Pass","Fail")))</f>
        <v>Pass</v>
      </c>
      <c r="AE2999" s="1" t="str">
        <f>IF(AND(Table1[[#This Row],[Spec Type2]]="N/A",Table1[[#This Row],[DUT Adj Read]]="N/A",Table1[[#This Row],[Std Adj Read]]="N/A"),"N/A",IF(Table1[[#This Row],[DUT Adj Read]]="N/A",IF(Table1[[#This Row],[Std Adj Read]]&lt;Table1[[#This Row],[High Tol]],"Pass","Fail"),IF(Table1[[#This Row],[DUT Adj Read]]&lt;Table1[[#This Row],[High Tol]],"Pass","Fail")))</f>
        <v>Fail</v>
      </c>
      <c r="AF2999" s="1" t="str">
        <f>IF(AND(Table1[[#This Row],[Spec Type2]]="N/A",Table1[[#This Row],[DUT Adj Read]]="N/A",Table1[[#This Row],[Std Adj Read]]="N/A"),"N/A",IF(Table1[[#This Row],[DUT Adj Read]]="N/A",IF(Table1[[#This Row],[Std Adj Read]]&gt;=Table1[[#This Row],[Low Tol]],"Pass","Fail"),IF(Table1[[#This Row],[DUT Adj Read]]&gt;=Table1[[#This Row],[Low Tol]],"Pass","Fail")))</f>
        <v>Pass</v>
      </c>
      <c r="AG2999" s="1" t="str">
        <f>IF(AND(Table1[[#This Row],[Spec Type2]]="N/A",Table1[[#This Row],[DUT Adj Read]]="N/A",Table1[[#This Row],[Std Adj Read]]="N/A"),"N/A",IF(Table1[[#This Row],[DUT Adj Read]]="N/A",IF(Table1[[#This Row],[Std Adj Read]]&lt;=Table1[[#This Row],[High Tol]],"Pass","Fail"),IF(Table1[[#This Row],[DUT Adj Read]]&lt;=Table1[[#This Row],[High Tol]],"Pass","Fail")))</f>
        <v>Fail</v>
      </c>
      <c r="AH2999"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2999" s="1" t="b">
        <v>0</v>
      </c>
      <c r="AN2999" s="1" t="b">
        <v>0</v>
      </c>
      <c r="AO2999" s="1" t="b">
        <v>0</v>
      </c>
    </row>
    <row r="3000" spans="1:41" x14ac:dyDescent="0.25">
      <c r="A3000" s="10"/>
      <c r="B3000" s="10"/>
      <c r="C3000" s="10"/>
      <c r="D3000" s="10"/>
      <c r="E3000" s="10"/>
      <c r="F3000" s="10"/>
      <c r="G3000" s="10"/>
      <c r="H3000" s="10"/>
      <c r="I3000" s="1" t="str">
        <f t="shared" si="138"/>
        <v/>
      </c>
      <c r="J3000" s="1" t="s">
        <v>35</v>
      </c>
      <c r="K3000" s="1" t="str">
        <f t="shared" si="139"/>
        <v/>
      </c>
      <c r="L3000" s="1" t="str">
        <f t="shared" si="140"/>
        <v/>
      </c>
      <c r="M3000" s="1">
        <f>IF(OR(Table1[[#This Row],[Std Nom]]="",Table1[[#This Row],[Std Read]]=""),0,Table1[[#This Row],[Std Nom]]-Table1[[#This Row],[Std Read]])</f>
        <v>0</v>
      </c>
      <c r="N3000" s="1">
        <f>IF(Calculations!$F$5="ACCREDITED 17025 WITH UNCERTAINTIES",$N$10,0)</f>
        <v>0</v>
      </c>
      <c r="Q3000" s="1">
        <f>Table1[[#This Row],[High Tol]]-Table1[[#This Row],[Low Tol]]</f>
        <v>0</v>
      </c>
      <c r="R3000" s="1">
        <f>2*Table1[[#This Row],[Std Error]]</f>
        <v>0</v>
      </c>
      <c r="S3000" s="1" t="str">
        <f>IF(Table1[[#This Row],[High Tol]]="","N/A",IFERROR(ABS(Table1[[#This Row],[Tol Span]]/Table1[[#This Row],[Error Span]]),"N/A"))</f>
        <v>N/A</v>
      </c>
      <c r="T3000" s="1" t="str">
        <f>IF(OR(Table1[[#This Row],[Low Tol]]="",Table1[[#This Row],[High Tol]]=""),"Needs Analysis",IF(Table1[[#This Row],[Ratio]]&gt;=4,"Not Significant",IF(Table1[[#This Row],[Ratio]]&gt;=2,"Semi-Significant","Significant")))</f>
        <v>Needs Analysis</v>
      </c>
      <c r="W3000" s="1">
        <f>IF(Table1[[#This Row],[Cal Type]]&lt;&gt;"ACCREDITED 17025 WITH UNCERTAINTIES",0,"")</f>
        <v>0</v>
      </c>
      <c r="X3000" s="1" t="str">
        <f>IF(Table1[[#This Row],[DUT Read]]="","N/A",Table1[[#This Row],[Std Error]]+Table1[[#This Row],[DUT Read]]+Table1[[#This Row],[DUT Ucty]])</f>
        <v>N/A</v>
      </c>
      <c r="Y3000" s="1" t="str">
        <f>IF(Table1[[#This Row],[Std Read]]="","N/A",Table1[[#This Row],[Std Read]]+Table1[[#This Row],[Std Ucty]])</f>
        <v>N/A</v>
      </c>
      <c r="Z3000"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0" s="1" t="str">
        <f>IF(Table1[[#This Row],[Spec Type]]="","N/A",Table1[[#This Row],[Spec Type]])</f>
        <v>±</v>
      </c>
      <c r="AC3000" s="1" t="str">
        <f>IF(Table1[[#This Row],[Spec Type2]]="N/A","N/A",IF(AND(Table1[[#This Row],[DUT Adj Read]]&gt;=Table1[[#This Row],[Low Tol]],Table1[[#This Row],[DUT Adj Read]]&lt;=Table1[[#This Row],[High Tol]]),"Pass","Fail"))</f>
        <v>Fail</v>
      </c>
      <c r="AD3000" s="1" t="str">
        <f>IF(AND(Table1[[#This Row],[Spec Type2]]="N/A",Table1[[#This Row],[DUT Adj Read]]="N/A",Table1[[#This Row],[Std Adj Read]]="N/A"),"N/A",IF(Table1[[#This Row],[DUT Adj Read]]="N/A",IF(Table1[[#This Row],[Std Adj Read]]&gt;Table1[[#This Row],[Low Tol]],"Pass","Fail"),IF(Table1[[#This Row],[DUT Adj Read]]&gt;Table1[[#This Row],[Low Tol]],"Pass","Fail")))</f>
        <v>Pass</v>
      </c>
      <c r="AE3000" s="1" t="str">
        <f>IF(AND(Table1[[#This Row],[Spec Type2]]="N/A",Table1[[#This Row],[DUT Adj Read]]="N/A",Table1[[#This Row],[Std Adj Read]]="N/A"),"N/A",IF(Table1[[#This Row],[DUT Adj Read]]="N/A",IF(Table1[[#This Row],[Std Adj Read]]&lt;Table1[[#This Row],[High Tol]],"Pass","Fail"),IF(Table1[[#This Row],[DUT Adj Read]]&lt;Table1[[#This Row],[High Tol]],"Pass","Fail")))</f>
        <v>Fail</v>
      </c>
      <c r="AF3000" s="1" t="str">
        <f>IF(AND(Table1[[#This Row],[Spec Type2]]="N/A",Table1[[#This Row],[DUT Adj Read]]="N/A",Table1[[#This Row],[Std Adj Read]]="N/A"),"N/A",IF(Table1[[#This Row],[DUT Adj Read]]="N/A",IF(Table1[[#This Row],[Std Adj Read]]&gt;=Table1[[#This Row],[Low Tol]],"Pass","Fail"),IF(Table1[[#This Row],[DUT Adj Read]]&gt;=Table1[[#This Row],[Low Tol]],"Pass","Fail")))</f>
        <v>Pass</v>
      </c>
      <c r="AG3000" s="1" t="str">
        <f>IF(AND(Table1[[#This Row],[Spec Type2]]="N/A",Table1[[#This Row],[DUT Adj Read]]="N/A",Table1[[#This Row],[Std Adj Read]]="N/A"),"N/A",IF(Table1[[#This Row],[DUT Adj Read]]="N/A",IF(Table1[[#This Row],[Std Adj Read]]&lt;=Table1[[#This Row],[High Tol]],"Pass","Fail"),IF(Table1[[#This Row],[DUT Adj Read]]&lt;=Table1[[#This Row],[High Tol]],"Pass","Fail")))</f>
        <v>Fail</v>
      </c>
      <c r="AH3000"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0" s="1" t="b">
        <v>0</v>
      </c>
      <c r="AN3000" s="1" t="b">
        <v>0</v>
      </c>
      <c r="AO3000" s="1" t="b">
        <v>0</v>
      </c>
    </row>
    <row r="3001" spans="1:41" x14ac:dyDescent="0.25">
      <c r="A3001" s="10"/>
      <c r="B3001" s="10"/>
      <c r="C3001" s="10"/>
      <c r="D3001" s="10"/>
      <c r="E3001" s="10"/>
      <c r="F3001" s="10"/>
      <c r="G3001" s="10"/>
      <c r="H3001" s="10"/>
      <c r="I3001" s="1" t="str">
        <f t="shared" si="138"/>
        <v/>
      </c>
      <c r="J3001" s="1" t="s">
        <v>35</v>
      </c>
      <c r="K3001" s="1" t="str">
        <f t="shared" si="139"/>
        <v/>
      </c>
      <c r="L3001" s="1" t="str">
        <f t="shared" si="140"/>
        <v/>
      </c>
      <c r="M3001" s="1">
        <f>IF(OR(Table1[[#This Row],[Std Nom]]="",Table1[[#This Row],[Std Read]]=""),0,Table1[[#This Row],[Std Nom]]-Table1[[#This Row],[Std Read]])</f>
        <v>0</v>
      </c>
      <c r="N3001" s="1">
        <f>IF(Calculations!$F$5="ACCREDITED 17025 WITH UNCERTAINTIES",$N$10,0)</f>
        <v>0</v>
      </c>
      <c r="Q3001" s="1">
        <f>Table1[[#This Row],[High Tol]]-Table1[[#This Row],[Low Tol]]</f>
        <v>0</v>
      </c>
      <c r="R3001" s="1">
        <f>2*Table1[[#This Row],[Std Error]]</f>
        <v>0</v>
      </c>
      <c r="S3001" s="1" t="str">
        <f>IF(Table1[[#This Row],[High Tol]]="","N/A",IFERROR(ABS(Table1[[#This Row],[Tol Span]]/Table1[[#This Row],[Error Span]]),"N/A"))</f>
        <v>N/A</v>
      </c>
      <c r="T3001" s="1" t="str">
        <f>IF(OR(Table1[[#This Row],[Low Tol]]="",Table1[[#This Row],[High Tol]]=""),"Needs Analysis",IF(Table1[[#This Row],[Ratio]]&gt;=4,"Not Significant",IF(Table1[[#This Row],[Ratio]]&gt;=2,"Semi-Significant","Significant")))</f>
        <v>Needs Analysis</v>
      </c>
      <c r="W3001" s="1">
        <f>IF(Table1[[#This Row],[Cal Type]]&lt;&gt;"ACCREDITED 17025 WITH UNCERTAINTIES",0,"")</f>
        <v>0</v>
      </c>
      <c r="X3001" s="1" t="str">
        <f>IF(Table1[[#This Row],[DUT Read]]="","N/A",Table1[[#This Row],[Std Error]]+Table1[[#This Row],[DUT Read]]+Table1[[#This Row],[DUT Ucty]])</f>
        <v>N/A</v>
      </c>
      <c r="Y3001" s="1" t="str">
        <f>IF(Table1[[#This Row],[Std Read]]="","N/A",Table1[[#This Row],[Std Read]]+Table1[[#This Row],[Std Ucty]])</f>
        <v>N/A</v>
      </c>
      <c r="Z3001"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1" s="1" t="str">
        <f>IF(Table1[[#This Row],[Spec Type]]="","N/A",Table1[[#This Row],[Spec Type]])</f>
        <v>±</v>
      </c>
      <c r="AC3001" s="1" t="str">
        <f>IF(Table1[[#This Row],[Spec Type2]]="N/A","N/A",IF(AND(Table1[[#This Row],[DUT Adj Read]]&gt;=Table1[[#This Row],[Low Tol]],Table1[[#This Row],[DUT Adj Read]]&lt;=Table1[[#This Row],[High Tol]]),"Pass","Fail"))</f>
        <v>Fail</v>
      </c>
      <c r="AD3001" s="1" t="str">
        <f>IF(AND(Table1[[#This Row],[Spec Type2]]="N/A",Table1[[#This Row],[DUT Adj Read]]="N/A",Table1[[#This Row],[Std Adj Read]]="N/A"),"N/A",IF(Table1[[#This Row],[DUT Adj Read]]="N/A",IF(Table1[[#This Row],[Std Adj Read]]&gt;Table1[[#This Row],[Low Tol]],"Pass","Fail"),IF(Table1[[#This Row],[DUT Adj Read]]&gt;Table1[[#This Row],[Low Tol]],"Pass","Fail")))</f>
        <v>Pass</v>
      </c>
      <c r="AE3001" s="1" t="str">
        <f>IF(AND(Table1[[#This Row],[Spec Type2]]="N/A",Table1[[#This Row],[DUT Adj Read]]="N/A",Table1[[#This Row],[Std Adj Read]]="N/A"),"N/A",IF(Table1[[#This Row],[DUT Adj Read]]="N/A",IF(Table1[[#This Row],[Std Adj Read]]&lt;Table1[[#This Row],[High Tol]],"Pass","Fail"),IF(Table1[[#This Row],[DUT Adj Read]]&lt;Table1[[#This Row],[High Tol]],"Pass","Fail")))</f>
        <v>Fail</v>
      </c>
      <c r="AF3001" s="1" t="str">
        <f>IF(AND(Table1[[#This Row],[Spec Type2]]="N/A",Table1[[#This Row],[DUT Adj Read]]="N/A",Table1[[#This Row],[Std Adj Read]]="N/A"),"N/A",IF(Table1[[#This Row],[DUT Adj Read]]="N/A",IF(Table1[[#This Row],[Std Adj Read]]&gt;=Table1[[#This Row],[Low Tol]],"Pass","Fail"),IF(Table1[[#This Row],[DUT Adj Read]]&gt;=Table1[[#This Row],[Low Tol]],"Pass","Fail")))</f>
        <v>Pass</v>
      </c>
      <c r="AG3001" s="1" t="str">
        <f>IF(AND(Table1[[#This Row],[Spec Type2]]="N/A",Table1[[#This Row],[DUT Adj Read]]="N/A",Table1[[#This Row],[Std Adj Read]]="N/A"),"N/A",IF(Table1[[#This Row],[DUT Adj Read]]="N/A",IF(Table1[[#This Row],[Std Adj Read]]&lt;=Table1[[#This Row],[High Tol]],"Pass","Fail"),IF(Table1[[#This Row],[DUT Adj Read]]&lt;=Table1[[#This Row],[High Tol]],"Pass","Fail")))</f>
        <v>Fail</v>
      </c>
      <c r="AH3001"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1" s="1" t="b">
        <v>0</v>
      </c>
      <c r="AN3001" s="1" t="b">
        <v>0</v>
      </c>
      <c r="AO3001" s="1" t="b">
        <v>0</v>
      </c>
    </row>
    <row r="3002" spans="1:41" x14ac:dyDescent="0.25">
      <c r="A3002" s="10"/>
      <c r="B3002" s="10"/>
      <c r="C3002" s="10"/>
      <c r="D3002" s="10"/>
      <c r="E3002" s="10"/>
      <c r="F3002" s="10"/>
      <c r="G3002" s="10"/>
      <c r="H3002" s="10"/>
      <c r="I3002" s="1" t="str">
        <f t="shared" si="138"/>
        <v/>
      </c>
      <c r="J3002" s="1" t="s">
        <v>35</v>
      </c>
      <c r="K3002" s="1" t="str">
        <f t="shared" si="139"/>
        <v/>
      </c>
      <c r="L3002" s="1" t="str">
        <f t="shared" si="140"/>
        <v/>
      </c>
      <c r="M3002" s="1">
        <f>IF(OR(Table1[[#This Row],[Std Nom]]="",Table1[[#This Row],[Std Read]]=""),0,Table1[[#This Row],[Std Nom]]-Table1[[#This Row],[Std Read]])</f>
        <v>0</v>
      </c>
      <c r="N3002" s="1">
        <f>IF(Calculations!$F$5="ACCREDITED 17025 WITH UNCERTAINTIES",$N$10,0)</f>
        <v>0</v>
      </c>
      <c r="Q3002" s="1">
        <f>Table1[[#This Row],[High Tol]]-Table1[[#This Row],[Low Tol]]</f>
        <v>0</v>
      </c>
      <c r="R3002" s="1">
        <f>2*Table1[[#This Row],[Std Error]]</f>
        <v>0</v>
      </c>
      <c r="S3002" s="1" t="str">
        <f>IF(Table1[[#This Row],[High Tol]]="","N/A",IFERROR(ABS(Table1[[#This Row],[Tol Span]]/Table1[[#This Row],[Error Span]]),"N/A"))</f>
        <v>N/A</v>
      </c>
      <c r="T3002" s="1" t="str">
        <f>IF(OR(Table1[[#This Row],[Low Tol]]="",Table1[[#This Row],[High Tol]]=""),"Needs Analysis",IF(Table1[[#This Row],[Ratio]]&gt;=4,"Not Significant",IF(Table1[[#This Row],[Ratio]]&gt;=2,"Semi-Significant","Significant")))</f>
        <v>Needs Analysis</v>
      </c>
      <c r="W3002" s="1">
        <f>IF(Table1[[#This Row],[Cal Type]]&lt;&gt;"ACCREDITED 17025 WITH UNCERTAINTIES",0,"")</f>
        <v>0</v>
      </c>
      <c r="X3002" s="1" t="str">
        <f>IF(Table1[[#This Row],[DUT Read]]="","N/A",Table1[[#This Row],[Std Error]]+Table1[[#This Row],[DUT Read]]+Table1[[#This Row],[DUT Ucty]])</f>
        <v>N/A</v>
      </c>
      <c r="Y3002" s="1" t="str">
        <f>IF(Table1[[#This Row],[Std Read]]="","N/A",Table1[[#This Row],[Std Read]]+Table1[[#This Row],[Std Ucty]])</f>
        <v>N/A</v>
      </c>
      <c r="Z3002"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2" s="1" t="str">
        <f>IF(Table1[[#This Row],[Spec Type]]="","N/A",Table1[[#This Row],[Spec Type]])</f>
        <v>±</v>
      </c>
      <c r="AC3002" s="1" t="str">
        <f>IF(Table1[[#This Row],[Spec Type2]]="N/A","N/A",IF(AND(Table1[[#This Row],[DUT Adj Read]]&gt;=Table1[[#This Row],[Low Tol]],Table1[[#This Row],[DUT Adj Read]]&lt;=Table1[[#This Row],[High Tol]]),"Pass","Fail"))</f>
        <v>Fail</v>
      </c>
      <c r="AD3002" s="1" t="str">
        <f>IF(AND(Table1[[#This Row],[Spec Type2]]="N/A",Table1[[#This Row],[DUT Adj Read]]="N/A",Table1[[#This Row],[Std Adj Read]]="N/A"),"N/A",IF(Table1[[#This Row],[DUT Adj Read]]="N/A",IF(Table1[[#This Row],[Std Adj Read]]&gt;Table1[[#This Row],[Low Tol]],"Pass","Fail"),IF(Table1[[#This Row],[DUT Adj Read]]&gt;Table1[[#This Row],[Low Tol]],"Pass","Fail")))</f>
        <v>Pass</v>
      </c>
      <c r="AE3002" s="1" t="str">
        <f>IF(AND(Table1[[#This Row],[Spec Type2]]="N/A",Table1[[#This Row],[DUT Adj Read]]="N/A",Table1[[#This Row],[Std Adj Read]]="N/A"),"N/A",IF(Table1[[#This Row],[DUT Adj Read]]="N/A",IF(Table1[[#This Row],[Std Adj Read]]&lt;Table1[[#This Row],[High Tol]],"Pass","Fail"),IF(Table1[[#This Row],[DUT Adj Read]]&lt;Table1[[#This Row],[High Tol]],"Pass","Fail")))</f>
        <v>Fail</v>
      </c>
      <c r="AF3002" s="1" t="str">
        <f>IF(AND(Table1[[#This Row],[Spec Type2]]="N/A",Table1[[#This Row],[DUT Adj Read]]="N/A",Table1[[#This Row],[Std Adj Read]]="N/A"),"N/A",IF(Table1[[#This Row],[DUT Adj Read]]="N/A",IF(Table1[[#This Row],[Std Adj Read]]&gt;=Table1[[#This Row],[Low Tol]],"Pass","Fail"),IF(Table1[[#This Row],[DUT Adj Read]]&gt;=Table1[[#This Row],[Low Tol]],"Pass","Fail")))</f>
        <v>Pass</v>
      </c>
      <c r="AG3002" s="1" t="str">
        <f>IF(AND(Table1[[#This Row],[Spec Type2]]="N/A",Table1[[#This Row],[DUT Adj Read]]="N/A",Table1[[#This Row],[Std Adj Read]]="N/A"),"N/A",IF(Table1[[#This Row],[DUT Adj Read]]="N/A",IF(Table1[[#This Row],[Std Adj Read]]&lt;=Table1[[#This Row],[High Tol]],"Pass","Fail"),IF(Table1[[#This Row],[DUT Adj Read]]&lt;=Table1[[#This Row],[High Tol]],"Pass","Fail")))</f>
        <v>Fail</v>
      </c>
      <c r="AH3002"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2" s="1" t="b">
        <v>0</v>
      </c>
      <c r="AN3002" s="1" t="b">
        <v>0</v>
      </c>
      <c r="AO3002" s="1" t="b">
        <v>0</v>
      </c>
    </row>
    <row r="3003" spans="1:41" x14ac:dyDescent="0.25">
      <c r="A3003" s="10"/>
      <c r="B3003" s="10"/>
      <c r="C3003" s="10"/>
      <c r="D3003" s="10"/>
      <c r="E3003" s="10"/>
      <c r="F3003" s="10"/>
      <c r="G3003" s="10"/>
      <c r="H3003" s="10"/>
      <c r="I3003" s="1" t="str">
        <f t="shared" si="138"/>
        <v/>
      </c>
      <c r="J3003" s="1" t="s">
        <v>35</v>
      </c>
      <c r="K3003" s="1" t="str">
        <f t="shared" si="139"/>
        <v/>
      </c>
      <c r="L3003" s="1" t="str">
        <f t="shared" si="140"/>
        <v/>
      </c>
      <c r="M3003" s="1">
        <f>IF(OR(Table1[[#This Row],[Std Nom]]="",Table1[[#This Row],[Std Read]]=""),0,Table1[[#This Row],[Std Nom]]-Table1[[#This Row],[Std Read]])</f>
        <v>0</v>
      </c>
      <c r="N3003" s="1">
        <f>IF(Calculations!$F$5="ACCREDITED 17025 WITH UNCERTAINTIES",$N$10,0)</f>
        <v>0</v>
      </c>
      <c r="Q3003" s="1">
        <f>Table1[[#This Row],[High Tol]]-Table1[[#This Row],[Low Tol]]</f>
        <v>0</v>
      </c>
      <c r="R3003" s="1">
        <f>2*Table1[[#This Row],[Std Error]]</f>
        <v>0</v>
      </c>
      <c r="S3003" s="1" t="str">
        <f>IF(Table1[[#This Row],[High Tol]]="","N/A",IFERROR(ABS(Table1[[#This Row],[Tol Span]]/Table1[[#This Row],[Error Span]]),"N/A"))</f>
        <v>N/A</v>
      </c>
      <c r="T3003" s="1" t="str">
        <f>IF(OR(Table1[[#This Row],[Low Tol]]="",Table1[[#This Row],[High Tol]]=""),"Needs Analysis",IF(Table1[[#This Row],[Ratio]]&gt;=4,"Not Significant",IF(Table1[[#This Row],[Ratio]]&gt;=2,"Semi-Significant","Significant")))</f>
        <v>Needs Analysis</v>
      </c>
      <c r="W3003" s="1">
        <f>IF(Table1[[#This Row],[Cal Type]]&lt;&gt;"ACCREDITED 17025 WITH UNCERTAINTIES",0,"")</f>
        <v>0</v>
      </c>
      <c r="X3003" s="1" t="str">
        <f>IF(Table1[[#This Row],[DUT Read]]="","N/A",Table1[[#This Row],[Std Error]]+Table1[[#This Row],[DUT Read]]+Table1[[#This Row],[DUT Ucty]])</f>
        <v>N/A</v>
      </c>
      <c r="Y3003" s="1" t="str">
        <f>IF(Table1[[#This Row],[Std Read]]="","N/A",Table1[[#This Row],[Std Read]]+Table1[[#This Row],[Std Ucty]])</f>
        <v>N/A</v>
      </c>
      <c r="Z3003"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3" s="1" t="str">
        <f>IF(Table1[[#This Row],[Spec Type]]="","N/A",Table1[[#This Row],[Spec Type]])</f>
        <v>±</v>
      </c>
      <c r="AC3003" s="1" t="str">
        <f>IF(Table1[[#This Row],[Spec Type2]]="N/A","N/A",IF(AND(Table1[[#This Row],[DUT Adj Read]]&gt;=Table1[[#This Row],[Low Tol]],Table1[[#This Row],[DUT Adj Read]]&lt;=Table1[[#This Row],[High Tol]]),"Pass","Fail"))</f>
        <v>Fail</v>
      </c>
      <c r="AD3003" s="1" t="str">
        <f>IF(AND(Table1[[#This Row],[Spec Type2]]="N/A",Table1[[#This Row],[DUT Adj Read]]="N/A",Table1[[#This Row],[Std Adj Read]]="N/A"),"N/A",IF(Table1[[#This Row],[DUT Adj Read]]="N/A",IF(Table1[[#This Row],[Std Adj Read]]&gt;Table1[[#This Row],[Low Tol]],"Pass","Fail"),IF(Table1[[#This Row],[DUT Adj Read]]&gt;Table1[[#This Row],[Low Tol]],"Pass","Fail")))</f>
        <v>Pass</v>
      </c>
      <c r="AE3003" s="1" t="str">
        <f>IF(AND(Table1[[#This Row],[Spec Type2]]="N/A",Table1[[#This Row],[DUT Adj Read]]="N/A",Table1[[#This Row],[Std Adj Read]]="N/A"),"N/A",IF(Table1[[#This Row],[DUT Adj Read]]="N/A",IF(Table1[[#This Row],[Std Adj Read]]&lt;Table1[[#This Row],[High Tol]],"Pass","Fail"),IF(Table1[[#This Row],[DUT Adj Read]]&lt;Table1[[#This Row],[High Tol]],"Pass","Fail")))</f>
        <v>Fail</v>
      </c>
      <c r="AF3003" s="1" t="str">
        <f>IF(AND(Table1[[#This Row],[Spec Type2]]="N/A",Table1[[#This Row],[DUT Adj Read]]="N/A",Table1[[#This Row],[Std Adj Read]]="N/A"),"N/A",IF(Table1[[#This Row],[DUT Adj Read]]="N/A",IF(Table1[[#This Row],[Std Adj Read]]&gt;=Table1[[#This Row],[Low Tol]],"Pass","Fail"),IF(Table1[[#This Row],[DUT Adj Read]]&gt;=Table1[[#This Row],[Low Tol]],"Pass","Fail")))</f>
        <v>Pass</v>
      </c>
      <c r="AG3003" s="1" t="str">
        <f>IF(AND(Table1[[#This Row],[Spec Type2]]="N/A",Table1[[#This Row],[DUT Adj Read]]="N/A",Table1[[#This Row],[Std Adj Read]]="N/A"),"N/A",IF(Table1[[#This Row],[DUT Adj Read]]="N/A",IF(Table1[[#This Row],[Std Adj Read]]&lt;=Table1[[#This Row],[High Tol]],"Pass","Fail"),IF(Table1[[#This Row],[DUT Adj Read]]&lt;=Table1[[#This Row],[High Tol]],"Pass","Fail")))</f>
        <v>Fail</v>
      </c>
      <c r="AH3003"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3" s="1" t="b">
        <v>0</v>
      </c>
      <c r="AN3003" s="1" t="b">
        <v>0</v>
      </c>
      <c r="AO3003" s="1" t="b">
        <v>0</v>
      </c>
    </row>
    <row r="3004" spans="1:41" x14ac:dyDescent="0.25">
      <c r="A3004" s="10"/>
      <c r="B3004" s="10"/>
      <c r="C3004" s="10"/>
      <c r="D3004" s="10"/>
      <c r="E3004" s="10"/>
      <c r="F3004" s="10"/>
      <c r="G3004" s="10"/>
      <c r="H3004" s="10"/>
      <c r="I3004" s="1" t="str">
        <f t="shared" si="138"/>
        <v/>
      </c>
      <c r="J3004" s="1" t="s">
        <v>35</v>
      </c>
      <c r="K3004" s="1" t="str">
        <f t="shared" si="139"/>
        <v/>
      </c>
      <c r="L3004" s="1" t="str">
        <f t="shared" si="140"/>
        <v/>
      </c>
      <c r="M3004" s="1">
        <f>IF(OR(Table1[[#This Row],[Std Nom]]="",Table1[[#This Row],[Std Read]]=""),0,Table1[[#This Row],[Std Nom]]-Table1[[#This Row],[Std Read]])</f>
        <v>0</v>
      </c>
      <c r="N3004" s="1">
        <f>IF(Calculations!$F$5="ACCREDITED 17025 WITH UNCERTAINTIES",$N$10,0)</f>
        <v>0</v>
      </c>
      <c r="Q3004" s="1">
        <f>Table1[[#This Row],[High Tol]]-Table1[[#This Row],[Low Tol]]</f>
        <v>0</v>
      </c>
      <c r="R3004" s="1">
        <f>2*Table1[[#This Row],[Std Error]]</f>
        <v>0</v>
      </c>
      <c r="S3004" s="1" t="str">
        <f>IF(Table1[[#This Row],[High Tol]]="","N/A",IFERROR(ABS(Table1[[#This Row],[Tol Span]]/Table1[[#This Row],[Error Span]]),"N/A"))</f>
        <v>N/A</v>
      </c>
      <c r="T3004" s="1" t="str">
        <f>IF(OR(Table1[[#This Row],[Low Tol]]="",Table1[[#This Row],[High Tol]]=""),"Needs Analysis",IF(Table1[[#This Row],[Ratio]]&gt;=4,"Not Significant",IF(Table1[[#This Row],[Ratio]]&gt;=2,"Semi-Significant","Significant")))</f>
        <v>Needs Analysis</v>
      </c>
      <c r="W3004" s="1">
        <f>IF(Table1[[#This Row],[Cal Type]]&lt;&gt;"ACCREDITED 17025 WITH UNCERTAINTIES",0,"")</f>
        <v>0</v>
      </c>
      <c r="X3004" s="1" t="str">
        <f>IF(Table1[[#This Row],[DUT Read]]="","N/A",Table1[[#This Row],[Std Error]]+Table1[[#This Row],[DUT Read]]+Table1[[#This Row],[DUT Ucty]])</f>
        <v>N/A</v>
      </c>
      <c r="Y3004" s="1" t="str">
        <f>IF(Table1[[#This Row],[Std Read]]="","N/A",Table1[[#This Row],[Std Read]]+Table1[[#This Row],[Std Ucty]])</f>
        <v>N/A</v>
      </c>
      <c r="Z3004"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4" s="1" t="str">
        <f>IF(Table1[[#This Row],[Spec Type]]="","N/A",Table1[[#This Row],[Spec Type]])</f>
        <v>±</v>
      </c>
      <c r="AC3004" s="1" t="str">
        <f>IF(Table1[[#This Row],[Spec Type2]]="N/A","N/A",IF(AND(Table1[[#This Row],[DUT Adj Read]]&gt;=Table1[[#This Row],[Low Tol]],Table1[[#This Row],[DUT Adj Read]]&lt;=Table1[[#This Row],[High Tol]]),"Pass","Fail"))</f>
        <v>Fail</v>
      </c>
      <c r="AD3004" s="1" t="str">
        <f>IF(AND(Table1[[#This Row],[Spec Type2]]="N/A",Table1[[#This Row],[DUT Adj Read]]="N/A",Table1[[#This Row],[Std Adj Read]]="N/A"),"N/A",IF(Table1[[#This Row],[DUT Adj Read]]="N/A",IF(Table1[[#This Row],[Std Adj Read]]&gt;Table1[[#This Row],[Low Tol]],"Pass","Fail"),IF(Table1[[#This Row],[DUT Adj Read]]&gt;Table1[[#This Row],[Low Tol]],"Pass","Fail")))</f>
        <v>Pass</v>
      </c>
      <c r="AE3004" s="1" t="str">
        <f>IF(AND(Table1[[#This Row],[Spec Type2]]="N/A",Table1[[#This Row],[DUT Adj Read]]="N/A",Table1[[#This Row],[Std Adj Read]]="N/A"),"N/A",IF(Table1[[#This Row],[DUT Adj Read]]="N/A",IF(Table1[[#This Row],[Std Adj Read]]&lt;Table1[[#This Row],[High Tol]],"Pass","Fail"),IF(Table1[[#This Row],[DUT Adj Read]]&lt;Table1[[#This Row],[High Tol]],"Pass","Fail")))</f>
        <v>Fail</v>
      </c>
      <c r="AF3004" s="1" t="str">
        <f>IF(AND(Table1[[#This Row],[Spec Type2]]="N/A",Table1[[#This Row],[DUT Adj Read]]="N/A",Table1[[#This Row],[Std Adj Read]]="N/A"),"N/A",IF(Table1[[#This Row],[DUT Adj Read]]="N/A",IF(Table1[[#This Row],[Std Adj Read]]&gt;=Table1[[#This Row],[Low Tol]],"Pass","Fail"),IF(Table1[[#This Row],[DUT Adj Read]]&gt;=Table1[[#This Row],[Low Tol]],"Pass","Fail")))</f>
        <v>Pass</v>
      </c>
      <c r="AG3004" s="1" t="str">
        <f>IF(AND(Table1[[#This Row],[Spec Type2]]="N/A",Table1[[#This Row],[DUT Adj Read]]="N/A",Table1[[#This Row],[Std Adj Read]]="N/A"),"N/A",IF(Table1[[#This Row],[DUT Adj Read]]="N/A",IF(Table1[[#This Row],[Std Adj Read]]&lt;=Table1[[#This Row],[High Tol]],"Pass","Fail"),IF(Table1[[#This Row],[DUT Adj Read]]&lt;=Table1[[#This Row],[High Tol]],"Pass","Fail")))</f>
        <v>Fail</v>
      </c>
      <c r="AH3004"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4" s="1" t="b">
        <v>0</v>
      </c>
      <c r="AN3004" s="1" t="b">
        <v>0</v>
      </c>
      <c r="AO3004" s="1" t="b">
        <v>0</v>
      </c>
    </row>
    <row r="3005" spans="1:41" x14ac:dyDescent="0.25">
      <c r="A3005" s="10"/>
      <c r="B3005" s="10"/>
      <c r="C3005" s="10"/>
      <c r="D3005" s="10"/>
      <c r="E3005" s="10"/>
      <c r="F3005" s="10"/>
      <c r="G3005" s="10"/>
      <c r="H3005" s="10"/>
      <c r="I3005" s="1" t="str">
        <f t="shared" si="138"/>
        <v/>
      </c>
      <c r="J3005" s="1" t="s">
        <v>35</v>
      </c>
      <c r="K3005" s="1" t="str">
        <f t="shared" si="139"/>
        <v/>
      </c>
      <c r="L3005" s="1" t="str">
        <f t="shared" si="140"/>
        <v/>
      </c>
      <c r="M3005" s="1">
        <f>IF(OR(Table1[[#This Row],[Std Nom]]="",Table1[[#This Row],[Std Read]]=""),0,Table1[[#This Row],[Std Nom]]-Table1[[#This Row],[Std Read]])</f>
        <v>0</v>
      </c>
      <c r="N3005" s="1">
        <f>IF(Calculations!$F$5="ACCREDITED 17025 WITH UNCERTAINTIES",$N$10,0)</f>
        <v>0</v>
      </c>
      <c r="Q3005" s="1">
        <f>Table1[[#This Row],[High Tol]]-Table1[[#This Row],[Low Tol]]</f>
        <v>0</v>
      </c>
      <c r="R3005" s="1">
        <f>2*Table1[[#This Row],[Std Error]]</f>
        <v>0</v>
      </c>
      <c r="S3005" s="1" t="str">
        <f>IF(Table1[[#This Row],[High Tol]]="","N/A",IFERROR(ABS(Table1[[#This Row],[Tol Span]]/Table1[[#This Row],[Error Span]]),"N/A"))</f>
        <v>N/A</v>
      </c>
      <c r="T3005" s="1" t="str">
        <f>IF(OR(Table1[[#This Row],[Low Tol]]="",Table1[[#This Row],[High Tol]]=""),"Needs Analysis",IF(Table1[[#This Row],[Ratio]]&gt;=4,"Not Significant",IF(Table1[[#This Row],[Ratio]]&gt;=2,"Semi-Significant","Significant")))</f>
        <v>Needs Analysis</v>
      </c>
      <c r="W3005" s="1">
        <f>IF(Table1[[#This Row],[Cal Type]]&lt;&gt;"ACCREDITED 17025 WITH UNCERTAINTIES",0,"")</f>
        <v>0</v>
      </c>
      <c r="X3005" s="1" t="str">
        <f>IF(Table1[[#This Row],[DUT Read]]="","N/A",Table1[[#This Row],[Std Error]]+Table1[[#This Row],[DUT Read]]+Table1[[#This Row],[DUT Ucty]])</f>
        <v>N/A</v>
      </c>
      <c r="Y3005" s="1" t="str">
        <f>IF(Table1[[#This Row],[Std Read]]="","N/A",Table1[[#This Row],[Std Read]]+Table1[[#This Row],[Std Ucty]])</f>
        <v>N/A</v>
      </c>
      <c r="Z3005"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5" s="1" t="str">
        <f>IF(Table1[[#This Row],[Spec Type]]="","N/A",Table1[[#This Row],[Spec Type]])</f>
        <v>±</v>
      </c>
      <c r="AC3005" s="1" t="str">
        <f>IF(Table1[[#This Row],[Spec Type2]]="N/A","N/A",IF(AND(Table1[[#This Row],[DUT Adj Read]]&gt;=Table1[[#This Row],[Low Tol]],Table1[[#This Row],[DUT Adj Read]]&lt;=Table1[[#This Row],[High Tol]]),"Pass","Fail"))</f>
        <v>Fail</v>
      </c>
      <c r="AD3005" s="1" t="str">
        <f>IF(AND(Table1[[#This Row],[Spec Type2]]="N/A",Table1[[#This Row],[DUT Adj Read]]="N/A",Table1[[#This Row],[Std Adj Read]]="N/A"),"N/A",IF(Table1[[#This Row],[DUT Adj Read]]="N/A",IF(Table1[[#This Row],[Std Adj Read]]&gt;Table1[[#This Row],[Low Tol]],"Pass","Fail"),IF(Table1[[#This Row],[DUT Adj Read]]&gt;Table1[[#This Row],[Low Tol]],"Pass","Fail")))</f>
        <v>Pass</v>
      </c>
      <c r="AE3005" s="1" t="str">
        <f>IF(AND(Table1[[#This Row],[Spec Type2]]="N/A",Table1[[#This Row],[DUT Adj Read]]="N/A",Table1[[#This Row],[Std Adj Read]]="N/A"),"N/A",IF(Table1[[#This Row],[DUT Adj Read]]="N/A",IF(Table1[[#This Row],[Std Adj Read]]&lt;Table1[[#This Row],[High Tol]],"Pass","Fail"),IF(Table1[[#This Row],[DUT Adj Read]]&lt;Table1[[#This Row],[High Tol]],"Pass","Fail")))</f>
        <v>Fail</v>
      </c>
      <c r="AF3005" s="1" t="str">
        <f>IF(AND(Table1[[#This Row],[Spec Type2]]="N/A",Table1[[#This Row],[DUT Adj Read]]="N/A",Table1[[#This Row],[Std Adj Read]]="N/A"),"N/A",IF(Table1[[#This Row],[DUT Adj Read]]="N/A",IF(Table1[[#This Row],[Std Adj Read]]&gt;=Table1[[#This Row],[Low Tol]],"Pass","Fail"),IF(Table1[[#This Row],[DUT Adj Read]]&gt;=Table1[[#This Row],[Low Tol]],"Pass","Fail")))</f>
        <v>Pass</v>
      </c>
      <c r="AG3005" s="1" t="str">
        <f>IF(AND(Table1[[#This Row],[Spec Type2]]="N/A",Table1[[#This Row],[DUT Adj Read]]="N/A",Table1[[#This Row],[Std Adj Read]]="N/A"),"N/A",IF(Table1[[#This Row],[DUT Adj Read]]="N/A",IF(Table1[[#This Row],[Std Adj Read]]&lt;=Table1[[#This Row],[High Tol]],"Pass","Fail"),IF(Table1[[#This Row],[DUT Adj Read]]&lt;=Table1[[#This Row],[High Tol]],"Pass","Fail")))</f>
        <v>Fail</v>
      </c>
      <c r="AH3005"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5" s="1" t="b">
        <v>0</v>
      </c>
      <c r="AN3005" s="1" t="b">
        <v>0</v>
      </c>
      <c r="AO3005" s="1" t="b">
        <v>0</v>
      </c>
    </row>
    <row r="3006" spans="1:41" x14ac:dyDescent="0.25">
      <c r="A3006" s="10"/>
      <c r="B3006" s="10"/>
      <c r="C3006" s="10"/>
      <c r="D3006" s="10"/>
      <c r="E3006" s="10"/>
      <c r="F3006" s="10"/>
      <c r="G3006" s="10"/>
      <c r="H3006" s="10"/>
      <c r="I3006" s="1" t="str">
        <f t="shared" si="138"/>
        <v/>
      </c>
      <c r="J3006" s="1" t="s">
        <v>35</v>
      </c>
      <c r="K3006" s="1" t="str">
        <f t="shared" si="139"/>
        <v/>
      </c>
      <c r="L3006" s="1" t="str">
        <f t="shared" si="140"/>
        <v/>
      </c>
      <c r="M3006" s="1">
        <f>IF(OR(Table1[[#This Row],[Std Nom]]="",Table1[[#This Row],[Std Read]]=""),0,Table1[[#This Row],[Std Nom]]-Table1[[#This Row],[Std Read]])</f>
        <v>0</v>
      </c>
      <c r="N3006" s="1">
        <f>IF(Calculations!$F$5="ACCREDITED 17025 WITH UNCERTAINTIES",$N$10,0)</f>
        <v>0</v>
      </c>
      <c r="Q3006" s="1">
        <f>Table1[[#This Row],[High Tol]]-Table1[[#This Row],[Low Tol]]</f>
        <v>0</v>
      </c>
      <c r="R3006" s="1">
        <f>2*Table1[[#This Row],[Std Error]]</f>
        <v>0</v>
      </c>
      <c r="S3006" s="1" t="str">
        <f>IF(Table1[[#This Row],[High Tol]]="","N/A",IFERROR(ABS(Table1[[#This Row],[Tol Span]]/Table1[[#This Row],[Error Span]]),"N/A"))</f>
        <v>N/A</v>
      </c>
      <c r="T3006" s="1" t="str">
        <f>IF(OR(Table1[[#This Row],[Low Tol]]="",Table1[[#This Row],[High Tol]]=""),"Needs Analysis",IF(Table1[[#This Row],[Ratio]]&gt;=4,"Not Significant",IF(Table1[[#This Row],[Ratio]]&gt;=2,"Semi-Significant","Significant")))</f>
        <v>Needs Analysis</v>
      </c>
      <c r="W3006" s="1">
        <f>IF(Table1[[#This Row],[Cal Type]]&lt;&gt;"ACCREDITED 17025 WITH UNCERTAINTIES",0,"")</f>
        <v>0</v>
      </c>
      <c r="X3006" s="1" t="str">
        <f>IF(Table1[[#This Row],[DUT Read]]="","N/A",Table1[[#This Row],[Std Error]]+Table1[[#This Row],[DUT Read]]+Table1[[#This Row],[DUT Ucty]])</f>
        <v>N/A</v>
      </c>
      <c r="Y3006" s="1" t="str">
        <f>IF(Table1[[#This Row],[Std Read]]="","N/A",Table1[[#This Row],[Std Read]]+Table1[[#This Row],[Std Ucty]])</f>
        <v>N/A</v>
      </c>
      <c r="Z3006"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6" s="1" t="str">
        <f>IF(Table1[[#This Row],[Spec Type]]="","N/A",Table1[[#This Row],[Spec Type]])</f>
        <v>±</v>
      </c>
      <c r="AC3006" s="1" t="str">
        <f>IF(Table1[[#This Row],[Spec Type2]]="N/A","N/A",IF(AND(Table1[[#This Row],[DUT Adj Read]]&gt;=Table1[[#This Row],[Low Tol]],Table1[[#This Row],[DUT Adj Read]]&lt;=Table1[[#This Row],[High Tol]]),"Pass","Fail"))</f>
        <v>Fail</v>
      </c>
      <c r="AD3006" s="1" t="str">
        <f>IF(AND(Table1[[#This Row],[Spec Type2]]="N/A",Table1[[#This Row],[DUT Adj Read]]="N/A",Table1[[#This Row],[Std Adj Read]]="N/A"),"N/A",IF(Table1[[#This Row],[DUT Adj Read]]="N/A",IF(Table1[[#This Row],[Std Adj Read]]&gt;Table1[[#This Row],[Low Tol]],"Pass","Fail"),IF(Table1[[#This Row],[DUT Adj Read]]&gt;Table1[[#This Row],[Low Tol]],"Pass","Fail")))</f>
        <v>Pass</v>
      </c>
      <c r="AE3006" s="1" t="str">
        <f>IF(AND(Table1[[#This Row],[Spec Type2]]="N/A",Table1[[#This Row],[DUT Adj Read]]="N/A",Table1[[#This Row],[Std Adj Read]]="N/A"),"N/A",IF(Table1[[#This Row],[DUT Adj Read]]="N/A",IF(Table1[[#This Row],[Std Adj Read]]&lt;Table1[[#This Row],[High Tol]],"Pass","Fail"),IF(Table1[[#This Row],[DUT Adj Read]]&lt;Table1[[#This Row],[High Tol]],"Pass","Fail")))</f>
        <v>Fail</v>
      </c>
      <c r="AF3006" s="1" t="str">
        <f>IF(AND(Table1[[#This Row],[Spec Type2]]="N/A",Table1[[#This Row],[DUT Adj Read]]="N/A",Table1[[#This Row],[Std Adj Read]]="N/A"),"N/A",IF(Table1[[#This Row],[DUT Adj Read]]="N/A",IF(Table1[[#This Row],[Std Adj Read]]&gt;=Table1[[#This Row],[Low Tol]],"Pass","Fail"),IF(Table1[[#This Row],[DUT Adj Read]]&gt;=Table1[[#This Row],[Low Tol]],"Pass","Fail")))</f>
        <v>Pass</v>
      </c>
      <c r="AG3006" s="1" t="str">
        <f>IF(AND(Table1[[#This Row],[Spec Type2]]="N/A",Table1[[#This Row],[DUT Adj Read]]="N/A",Table1[[#This Row],[Std Adj Read]]="N/A"),"N/A",IF(Table1[[#This Row],[DUT Adj Read]]="N/A",IF(Table1[[#This Row],[Std Adj Read]]&lt;=Table1[[#This Row],[High Tol]],"Pass","Fail"),IF(Table1[[#This Row],[DUT Adj Read]]&lt;=Table1[[#This Row],[High Tol]],"Pass","Fail")))</f>
        <v>Fail</v>
      </c>
      <c r="AH3006"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6" s="1" t="b">
        <v>0</v>
      </c>
      <c r="AN3006" s="1" t="b">
        <v>0</v>
      </c>
      <c r="AO3006" s="1" t="b">
        <v>0</v>
      </c>
    </row>
    <row r="3007" spans="1:41" x14ac:dyDescent="0.25">
      <c r="A3007" s="10"/>
      <c r="B3007" s="10"/>
      <c r="C3007" s="10"/>
      <c r="D3007" s="10"/>
      <c r="E3007" s="10"/>
      <c r="F3007" s="10"/>
      <c r="G3007" s="10"/>
      <c r="H3007" s="10"/>
      <c r="I3007" s="1" t="str">
        <f t="shared" ref="I3007" si="141">IF($I$10="","",$I$10)</f>
        <v/>
      </c>
      <c r="J3007" s="1" t="s">
        <v>35</v>
      </c>
      <c r="K3007" s="1" t="str">
        <f t="shared" ref="K3007" si="142">IF($K$10="","",$K$10)</f>
        <v/>
      </c>
      <c r="L3007" s="1" t="str">
        <f t="shared" ref="L3007" si="143">IF($L$10="","",$L$10)</f>
        <v/>
      </c>
      <c r="M3007" s="1">
        <f>IF(OR(Table1[[#This Row],[Std Nom]]="",Table1[[#This Row],[Std Read]]=""),0,Table1[[#This Row],[Std Nom]]-Table1[[#This Row],[Std Read]])</f>
        <v>0</v>
      </c>
      <c r="N3007" s="1">
        <f>IF(Calculations!$F$5="ACCREDITED 17025 WITH UNCERTAINTIES",$N$10,0)</f>
        <v>0</v>
      </c>
      <c r="Q3007" s="1">
        <f>Table1[[#This Row],[High Tol]]-Table1[[#This Row],[Low Tol]]</f>
        <v>0</v>
      </c>
      <c r="R3007" s="1">
        <f>2*Table1[[#This Row],[Std Error]]</f>
        <v>0</v>
      </c>
      <c r="S3007" s="1" t="str">
        <f>IF(Table1[[#This Row],[High Tol]]="","N/A",IFERROR(ABS(Table1[[#This Row],[Tol Span]]/Table1[[#This Row],[Error Span]]),"N/A"))</f>
        <v>N/A</v>
      </c>
      <c r="T3007" s="1" t="str">
        <f>IF(OR(Table1[[#This Row],[Low Tol]]="",Table1[[#This Row],[High Tol]]=""),"Needs Analysis",IF(Table1[[#This Row],[Ratio]]&gt;=4,"Not Significant",IF(Table1[[#This Row],[Ratio]]&gt;=2,"Semi-Significant","Significant")))</f>
        <v>Needs Analysis</v>
      </c>
      <c r="W3007" s="1">
        <f>IF(Table1[[#This Row],[Cal Type]]&lt;&gt;"ACCREDITED 17025 WITH UNCERTAINTIES",0,"")</f>
        <v>0</v>
      </c>
      <c r="X3007" s="1" t="str">
        <f>IF(Table1[[#This Row],[DUT Read]]="","N/A",Table1[[#This Row],[Std Error]]+Table1[[#This Row],[DUT Read]]+Table1[[#This Row],[DUT Ucty]])</f>
        <v>N/A</v>
      </c>
      <c r="Y3007" s="1" t="str">
        <f>IF(Table1[[#This Row],[Std Read]]="","N/A",Table1[[#This Row],[Std Read]]+Table1[[#This Row],[Std Ucty]])</f>
        <v>N/A</v>
      </c>
      <c r="Z3007" s="1" t="str">
        <f>IF(Table1[[#This Row],[DUT Adj Read]]="N/A","Need Data",IF(Table1[[#This Row],[Spec Type2]]=$AK$10,Table1[[#This Row],[+/- Eval]],IF(Table1[[#This Row],[Spec Type2]]=$AK$11,Table1[[#This Row],[&gt; Eval]],IF(Table1[[#This Row],[Spec Type2]]=$AK$13,Table1[[#This Row],[&lt; Eval]],IF(Table1[[#This Row],[Spec Type2]]=$AK$12,Table1[[#This Row],[&gt;= Eval]],IF(Table1[[#This Row],[Spec Type2]]=$AK$14,Table1[[#This Row],[&lt;= Eval]],"Unknown"))))))</f>
        <v>Need Data</v>
      </c>
      <c r="AB3007" s="1" t="str">
        <f>IF(Table1[[#This Row],[Spec Type]]="","N/A",Table1[[#This Row],[Spec Type]])</f>
        <v>±</v>
      </c>
      <c r="AC3007" s="1" t="str">
        <f>IF(Table1[[#This Row],[Spec Type2]]="N/A","N/A",IF(AND(Table1[[#This Row],[DUT Adj Read]]&gt;=Table1[[#This Row],[Low Tol]],Table1[[#This Row],[DUT Adj Read]]&lt;=Table1[[#This Row],[High Tol]]),"Pass","Fail"))</f>
        <v>Fail</v>
      </c>
      <c r="AD3007" s="1" t="str">
        <f>IF(AND(Table1[[#This Row],[Spec Type2]]="N/A",Table1[[#This Row],[DUT Adj Read]]="N/A",Table1[[#This Row],[Std Adj Read]]="N/A"),"N/A",IF(Table1[[#This Row],[DUT Adj Read]]="N/A",IF(Table1[[#This Row],[Std Adj Read]]&gt;Table1[[#This Row],[Low Tol]],"Pass","Fail"),IF(Table1[[#This Row],[DUT Adj Read]]&gt;Table1[[#This Row],[Low Tol]],"Pass","Fail")))</f>
        <v>Pass</v>
      </c>
      <c r="AE3007" s="1" t="str">
        <f>IF(AND(Table1[[#This Row],[Spec Type2]]="N/A",Table1[[#This Row],[DUT Adj Read]]="N/A",Table1[[#This Row],[Std Adj Read]]="N/A"),"N/A",IF(Table1[[#This Row],[DUT Adj Read]]="N/A",IF(Table1[[#This Row],[Std Adj Read]]&lt;Table1[[#This Row],[High Tol]],"Pass","Fail"),IF(Table1[[#This Row],[DUT Adj Read]]&lt;Table1[[#This Row],[High Tol]],"Pass","Fail")))</f>
        <v>Fail</v>
      </c>
      <c r="AF3007" s="1" t="str">
        <f>IF(AND(Table1[[#This Row],[Spec Type2]]="N/A",Table1[[#This Row],[DUT Adj Read]]="N/A",Table1[[#This Row],[Std Adj Read]]="N/A"),"N/A",IF(Table1[[#This Row],[DUT Adj Read]]="N/A",IF(Table1[[#This Row],[Std Adj Read]]&gt;=Table1[[#This Row],[Low Tol]],"Pass","Fail"),IF(Table1[[#This Row],[DUT Adj Read]]&gt;=Table1[[#This Row],[Low Tol]],"Pass","Fail")))</f>
        <v>Pass</v>
      </c>
      <c r="AG3007" s="1" t="str">
        <f>IF(AND(Table1[[#This Row],[Spec Type2]]="N/A",Table1[[#This Row],[DUT Adj Read]]="N/A",Table1[[#This Row],[Std Adj Read]]="N/A"),"N/A",IF(Table1[[#This Row],[DUT Adj Read]]="N/A",IF(Table1[[#This Row],[Std Adj Read]]&lt;=Table1[[#This Row],[High Tol]],"Pass","Fail"),IF(Table1[[#This Row],[DUT Adj Read]]&lt;=Table1[[#This Row],[High Tol]],"Pass","Fail")))</f>
        <v>Fail</v>
      </c>
      <c r="AH3007" s="1" t="str">
        <f>IF(OR(Table1[[#This Row],[Result]]="Needs Analysis",AND(Table1[[#This Row],[Result]]="Significant",Table1[[#This Row],[Gage Condition]]=""),AND(Table1[[#This Row],[Result]]="Semi-Significant",Table1[[#This Row],[Gage Condition]]="")),"Analysis still required.",IF(OR(Table1[[#This Row],[Result]]="Not Significant",Table1[[#This Row],[Gage Condition]]=Table1[[#This Row],[Pass/Fail]]),"No further action required.",IF(AND(Table1[[#This Row],[Result]]&lt;&gt;"Not Significant",Table1[[#This Row],[Pass/Fail]]&lt;&gt;Table1[[#This Row],[Gage Condition]]),"Determination required.","")))</f>
        <v>Analysis still required.</v>
      </c>
      <c r="AM3007" s="1" t="b">
        <v>0</v>
      </c>
      <c r="AN3007" s="1" t="b">
        <v>0</v>
      </c>
      <c r="AO3007" s="1" t="b">
        <v>0</v>
      </c>
    </row>
    <row r="3012" spans="1:17" ht="15.75" thickBot="1" x14ac:dyDescent="0.3"/>
    <row r="3013" spans="1:17" ht="16.5" thickBot="1" x14ac:dyDescent="0.3">
      <c r="D3013" s="71" t="s">
        <v>76</v>
      </c>
      <c r="E3013" s="72"/>
      <c r="F3013" s="17"/>
      <c r="G3013" s="18" t="s">
        <v>77</v>
      </c>
    </row>
    <row r="3014" spans="1:17" ht="16.5" thickBot="1" x14ac:dyDescent="0.3">
      <c r="D3014" s="71" t="s">
        <v>78</v>
      </c>
      <c r="E3014" s="72"/>
      <c r="F3014" s="22" t="str">
        <f>IF(F3013="","",SUBTOTAL(103,$A$10:$A$3007))</f>
        <v/>
      </c>
      <c r="G3014" s="18" t="s">
        <v>77</v>
      </c>
    </row>
    <row r="3015" spans="1:17" ht="19.5" thickBot="1" x14ac:dyDescent="0.35">
      <c r="D3015" s="69" t="s">
        <v>71</v>
      </c>
      <c r="E3015" s="70"/>
      <c r="F3015" s="19" t="str">
        <f>IF(F3013="","",(F3014/F3013)*100)</f>
        <v/>
      </c>
      <c r="G3015" s="16" t="s">
        <v>72</v>
      </c>
    </row>
    <row r="3016" spans="1:17" ht="24.75" customHeight="1" x14ac:dyDescent="0.25">
      <c r="A3016" s="52" t="s">
        <v>118</v>
      </c>
      <c r="B3016" s="53"/>
      <c r="C3016" s="53"/>
      <c r="D3016" s="53"/>
      <c r="E3016" s="53"/>
      <c r="F3016" s="53"/>
      <c r="G3016" s="53"/>
      <c r="H3016" s="53"/>
      <c r="I3016" s="53"/>
      <c r="J3016" s="53"/>
      <c r="K3016" s="53"/>
      <c r="L3016" s="53"/>
      <c r="M3016" s="53"/>
      <c r="N3016" s="53"/>
      <c r="O3016" s="53"/>
      <c r="P3016" s="53"/>
      <c r="Q3016" s="54"/>
    </row>
    <row r="3017" spans="1:17" ht="24.75" customHeight="1" x14ac:dyDescent="0.25">
      <c r="A3017" s="55"/>
      <c r="B3017" s="56"/>
      <c r="C3017" s="56"/>
      <c r="D3017" s="56"/>
      <c r="E3017" s="56"/>
      <c r="F3017" s="56"/>
      <c r="G3017" s="56"/>
      <c r="H3017" s="56"/>
      <c r="I3017" s="56"/>
      <c r="J3017" s="56"/>
      <c r="K3017" s="56"/>
      <c r="L3017" s="56"/>
      <c r="M3017" s="56"/>
      <c r="N3017" s="56"/>
      <c r="O3017" s="56"/>
      <c r="P3017" s="56"/>
      <c r="Q3017" s="57"/>
    </row>
    <row r="3018" spans="1:17" ht="24.75" customHeight="1" x14ac:dyDescent="0.25">
      <c r="A3018" s="55"/>
      <c r="B3018" s="56"/>
      <c r="C3018" s="56"/>
      <c r="D3018" s="56"/>
      <c r="E3018" s="56"/>
      <c r="F3018" s="56"/>
      <c r="G3018" s="56"/>
      <c r="H3018" s="56"/>
      <c r="I3018" s="56"/>
      <c r="J3018" s="56"/>
      <c r="K3018" s="56"/>
      <c r="L3018" s="56"/>
      <c r="M3018" s="56"/>
      <c r="N3018" s="56"/>
      <c r="O3018" s="56"/>
      <c r="P3018" s="56"/>
      <c r="Q3018" s="57"/>
    </row>
    <row r="3019" spans="1:17" ht="24.75" customHeight="1" thickBot="1" x14ac:dyDescent="0.3">
      <c r="A3019" s="58"/>
      <c r="B3019" s="59"/>
      <c r="C3019" s="59"/>
      <c r="D3019" s="59"/>
      <c r="E3019" s="59"/>
      <c r="F3019" s="59"/>
      <c r="G3019" s="59"/>
      <c r="H3019" s="59"/>
      <c r="I3019" s="59"/>
      <c r="J3019" s="59"/>
      <c r="K3019" s="59"/>
      <c r="L3019" s="59"/>
      <c r="M3019" s="59"/>
      <c r="N3019" s="59"/>
      <c r="O3019" s="59"/>
      <c r="P3019" s="59"/>
      <c r="Q3019" s="60"/>
    </row>
  </sheetData>
  <mergeCells count="20">
    <mergeCell ref="D3013:E3013"/>
    <mergeCell ref="K5:AI5"/>
    <mergeCell ref="K6:AI6"/>
    <mergeCell ref="K7:AI7"/>
    <mergeCell ref="A3016:Q3019"/>
    <mergeCell ref="A1:C5"/>
    <mergeCell ref="A8:J8"/>
    <mergeCell ref="K8:N8"/>
    <mergeCell ref="O8:T8"/>
    <mergeCell ref="K1:V1"/>
    <mergeCell ref="U8:Z8"/>
    <mergeCell ref="D3015:E3015"/>
    <mergeCell ref="D3014:E3014"/>
    <mergeCell ref="K2:AI2"/>
    <mergeCell ref="K3:AI3"/>
    <mergeCell ref="K4:AI4"/>
    <mergeCell ref="AH8:AI8"/>
    <mergeCell ref="AB8:AG8"/>
    <mergeCell ref="A6:I6"/>
    <mergeCell ref="A7:I7"/>
  </mergeCells>
  <conditionalFormatting sqref="F1:F5">
    <cfRule type="containsBlanks" dxfId="48" priority="23">
      <formula>LEN(TRIM(F1))=0</formula>
    </cfRule>
  </conditionalFormatting>
  <conditionalFormatting sqref="N10:P3007 U10:W3007 AA10:AA3007 I10:L3007">
    <cfRule type="containsBlanks" dxfId="47" priority="9">
      <formula>LEN(TRIM(I10))=0</formula>
    </cfRule>
  </conditionalFormatting>
  <conditionalFormatting sqref="A10:AI3007">
    <cfRule type="expression" dxfId="46" priority="1" stopIfTrue="1">
      <formula>$AH10="Determination required."</formula>
    </cfRule>
    <cfRule type="expression" dxfId="45" priority="2" stopIfTrue="1">
      <formula>$AH10="No further action required."</formula>
    </cfRule>
    <cfRule type="expression" dxfId="44" priority="7" stopIfTrue="1">
      <formula>$AH10="Fails FI, determination required."</formula>
    </cfRule>
    <cfRule type="expression" dxfId="43" priority="8" stopIfTrue="1">
      <formula>$T10="Not Significant"</formula>
    </cfRule>
    <cfRule type="expression" dxfId="42" priority="10" stopIfTrue="1">
      <formula>$T10="Semi-Significant"</formula>
    </cfRule>
    <cfRule type="expression" dxfId="41" priority="15" stopIfTrue="1">
      <formula>$T10="Significant"</formula>
    </cfRule>
  </conditionalFormatting>
  <dataValidations count="7">
    <dataValidation type="list" errorStyle="information" showInputMessage="1" errorTitle="Incorrect Input" error="Please Select from the Drop Down." promptTitle="Select from the Drop Down" sqref="J10:J3007" xr:uid="{00000000-0002-0000-0000-000000000000}">
      <formula1>$AK$9:$AK$14</formula1>
    </dataValidation>
    <dataValidation type="list" showInputMessage="1" showErrorMessage="1" sqref="AH10:AH3007" xr:uid="{00000000-0002-0000-0000-000001000000}">
      <formula1>$AK$16:$AK$21</formula1>
    </dataValidation>
    <dataValidation type="list" allowBlank="1" showInputMessage="1" showErrorMessage="1" sqref="F5" xr:uid="{A8F91188-EB81-4024-9000-BD77ADCF03C1}">
      <formula1>"NORMAL, ACCREDITED 17025 WITH UNCERTAINTIES"</formula1>
    </dataValidation>
    <dataValidation type="list" allowBlank="1" showInputMessage="1" showErrorMessage="1" sqref="AA10:AA3007" xr:uid="{98030DFD-8826-431C-A7BF-CDEC1B7ED4ED}">
      <formula1>"Pass, Fail"</formula1>
    </dataValidation>
    <dataValidation type="decimal" allowBlank="1" showInputMessage="1" showErrorMessage="1" errorTitle="Input Error" error="Input Numerical Data Only" sqref="K10:L3007" xr:uid="{D915FB93-5538-429B-8B99-F4D05C1DA1AF}">
      <formula1>-999999999999</formula1>
      <formula2>999999999999</formula2>
    </dataValidation>
    <dataValidation type="decimal" allowBlank="1" showErrorMessage="1" errorTitle="Numerical Data Only" error="Please input numerical data only." sqref="N10:P3007" xr:uid="{701C075F-430B-4D01-A469-272DA9EFE3B7}">
      <formula1>-999999999999</formula1>
      <formula2>999999999999</formula2>
    </dataValidation>
    <dataValidation type="decimal" allowBlank="1" showInputMessage="1" showErrorMessage="1" errorTitle="Input Numerical Data Only" error="Only numbers go in these cells." sqref="U10:V3007" xr:uid="{CC1C1A7F-0C55-4319-98A0-24C634F4AF91}">
      <formula1>-999999999999</formula1>
      <formula2>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A_HeaderInputPull">
                <anchor moveWithCells="1" sizeWithCells="1">
                  <from>
                    <xdr:col>7</xdr:col>
                    <xdr:colOff>0</xdr:colOff>
                    <xdr:row>0</xdr:row>
                    <xdr:rowOff>19050</xdr:rowOff>
                  </from>
                  <to>
                    <xdr:col>7</xdr:col>
                    <xdr:colOff>866775</xdr:colOff>
                    <xdr:row>5</xdr:row>
                    <xdr:rowOff>9525</xdr:rowOff>
                  </to>
                </anchor>
              </controlPr>
            </control>
          </mc:Choice>
        </mc:AlternateContent>
        <mc:AlternateContent xmlns:mc="http://schemas.openxmlformats.org/markup-compatibility/2006">
          <mc:Choice Requires="x14">
            <control shapeId="3083" r:id="rId5" name="Button 11">
              <controlPr defaultSize="0" print="0" autoFill="0" autoPict="0" macro="[0]!B_AddCalcParameter">
                <anchor moveWithCells="1" sizeWithCells="1">
                  <from>
                    <xdr:col>8</xdr:col>
                    <xdr:colOff>266700</xdr:colOff>
                    <xdr:row>0</xdr:row>
                    <xdr:rowOff>19050</xdr:rowOff>
                  </from>
                  <to>
                    <xdr:col>9</xdr:col>
                    <xdr:colOff>647700</xdr:colOff>
                    <xdr:row>5</xdr:row>
                    <xdr:rowOff>19050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
  <sheetViews>
    <sheetView workbookViewId="0">
      <selection activeCell="B28" sqref="B28"/>
    </sheetView>
  </sheetViews>
  <sheetFormatPr defaultColWidth="20.28515625" defaultRowHeight="15"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F26"/>
  <sheetViews>
    <sheetView workbookViewId="0">
      <selection activeCell="D28" sqref="D28"/>
    </sheetView>
  </sheetViews>
  <sheetFormatPr defaultRowHeight="15" x14ac:dyDescent="0.25"/>
  <cols>
    <col min="1" max="2" width="5" customWidth="1"/>
    <col min="3" max="3" width="7.5703125" style="1" customWidth="1"/>
    <col min="4" max="4" width="236.7109375" customWidth="1"/>
  </cols>
  <sheetData>
    <row r="1" spans="1:4" ht="40.5" customHeight="1" x14ac:dyDescent="0.25">
      <c r="D1" s="20" t="s">
        <v>79</v>
      </c>
    </row>
    <row r="2" spans="1:4" ht="18.75" x14ac:dyDescent="0.3">
      <c r="A2" s="13">
        <v>1</v>
      </c>
      <c r="B2" s="73" t="s">
        <v>131</v>
      </c>
      <c r="C2" s="73"/>
      <c r="D2" s="73"/>
    </row>
    <row r="3" spans="1:4" ht="18.75" x14ac:dyDescent="0.3">
      <c r="A3" s="13">
        <v>2</v>
      </c>
      <c r="B3" s="73" t="s">
        <v>87</v>
      </c>
      <c r="C3" s="73"/>
      <c r="D3" s="73"/>
    </row>
    <row r="4" spans="1:4" ht="18.75" x14ac:dyDescent="0.3">
      <c r="A4" s="13">
        <v>3</v>
      </c>
      <c r="B4" s="73" t="s">
        <v>132</v>
      </c>
      <c r="C4" s="73"/>
      <c r="D4" s="73"/>
    </row>
    <row r="5" spans="1:4" ht="18.75" x14ac:dyDescent="0.3">
      <c r="A5" s="13">
        <v>4</v>
      </c>
      <c r="B5" s="73" t="s">
        <v>101</v>
      </c>
      <c r="C5" s="73"/>
      <c r="D5" s="73"/>
    </row>
    <row r="6" spans="1:4" ht="18.75" x14ac:dyDescent="0.3">
      <c r="A6" s="13">
        <v>5</v>
      </c>
      <c r="B6" s="73" t="s">
        <v>100</v>
      </c>
      <c r="C6" s="73"/>
      <c r="D6" s="73"/>
    </row>
    <row r="7" spans="1:4" ht="18.75" x14ac:dyDescent="0.3">
      <c r="A7" s="13">
        <v>6</v>
      </c>
      <c r="B7" s="73" t="s">
        <v>133</v>
      </c>
      <c r="C7" s="73"/>
      <c r="D7" s="73"/>
    </row>
    <row r="8" spans="1:4" ht="18.75" x14ac:dyDescent="0.3">
      <c r="A8" s="13"/>
      <c r="B8" s="13" t="s">
        <v>88</v>
      </c>
      <c r="C8" s="73" t="s">
        <v>105</v>
      </c>
      <c r="D8" s="73"/>
    </row>
    <row r="9" spans="1:4" ht="18.75" x14ac:dyDescent="0.3">
      <c r="A9" s="13"/>
      <c r="B9" s="13" t="s">
        <v>89</v>
      </c>
      <c r="C9" s="73" t="s">
        <v>134</v>
      </c>
      <c r="D9" s="73"/>
    </row>
    <row r="10" spans="1:4" ht="18.75" x14ac:dyDescent="0.3">
      <c r="A10" s="13"/>
      <c r="B10" s="13" t="s">
        <v>90</v>
      </c>
      <c r="C10" s="73" t="s">
        <v>135</v>
      </c>
      <c r="D10" s="73"/>
    </row>
    <row r="11" spans="1:4" ht="18.75" x14ac:dyDescent="0.3">
      <c r="A11" s="13"/>
      <c r="B11" s="13" t="s">
        <v>91</v>
      </c>
      <c r="C11" s="73" t="s">
        <v>106</v>
      </c>
      <c r="D11" s="73"/>
    </row>
    <row r="12" spans="1:4" ht="18.75" x14ac:dyDescent="0.3">
      <c r="A12" s="13"/>
      <c r="B12" s="13"/>
      <c r="C12" s="13" t="s">
        <v>92</v>
      </c>
      <c r="D12" t="s">
        <v>102</v>
      </c>
    </row>
    <row r="13" spans="1:4" ht="18.75" x14ac:dyDescent="0.3">
      <c r="A13" s="13"/>
      <c r="B13" s="13"/>
      <c r="C13" s="13" t="s">
        <v>93</v>
      </c>
      <c r="D13" s="23" t="s">
        <v>114</v>
      </c>
    </row>
    <row r="14" spans="1:4" ht="30.75" x14ac:dyDescent="0.3">
      <c r="A14" s="13"/>
      <c r="B14" s="13"/>
      <c r="C14" s="24" t="s">
        <v>94</v>
      </c>
      <c r="D14" s="23" t="s">
        <v>136</v>
      </c>
    </row>
    <row r="15" spans="1:4" ht="18.75" x14ac:dyDescent="0.3">
      <c r="B15" s="13" t="s">
        <v>95</v>
      </c>
      <c r="C15" s="73" t="s">
        <v>137</v>
      </c>
      <c r="D15" s="73"/>
    </row>
    <row r="16" spans="1:4" ht="18.75" x14ac:dyDescent="0.3">
      <c r="B16" s="13" t="s">
        <v>96</v>
      </c>
      <c r="C16" s="73" t="s">
        <v>138</v>
      </c>
      <c r="D16" s="73"/>
    </row>
    <row r="17" spans="1:6" ht="18.75" x14ac:dyDescent="0.3">
      <c r="B17" s="13" t="s">
        <v>97</v>
      </c>
      <c r="C17" s="73" t="s">
        <v>139</v>
      </c>
      <c r="D17" s="73"/>
    </row>
    <row r="18" spans="1:6" ht="18.75" x14ac:dyDescent="0.3">
      <c r="B18" s="13" t="s">
        <v>98</v>
      </c>
      <c r="C18" s="73" t="s">
        <v>140</v>
      </c>
      <c r="D18" s="73"/>
      <c r="E18" s="73"/>
      <c r="F18" s="73"/>
    </row>
    <row r="19" spans="1:6" ht="29.25" customHeight="1" x14ac:dyDescent="0.25">
      <c r="B19" s="24" t="s">
        <v>99</v>
      </c>
      <c r="C19" s="76" t="s">
        <v>107</v>
      </c>
      <c r="D19" s="76"/>
    </row>
    <row r="20" spans="1:6" ht="33.75" customHeight="1" x14ac:dyDescent="0.25">
      <c r="B20" s="24" t="s">
        <v>103</v>
      </c>
      <c r="C20" s="76" t="s">
        <v>109</v>
      </c>
      <c r="D20" s="76"/>
    </row>
    <row r="21" spans="1:6" ht="48" customHeight="1" x14ac:dyDescent="0.25">
      <c r="B21" s="24"/>
      <c r="C21" s="24" t="s">
        <v>104</v>
      </c>
      <c r="D21" s="25" t="s">
        <v>110</v>
      </c>
    </row>
    <row r="22" spans="1:6" ht="18.75" x14ac:dyDescent="0.3">
      <c r="A22" s="13">
        <v>7</v>
      </c>
      <c r="B22" s="73" t="s">
        <v>115</v>
      </c>
      <c r="C22" s="73"/>
      <c r="D22" s="73"/>
    </row>
    <row r="24" spans="1:6" ht="18.75" x14ac:dyDescent="0.3">
      <c r="A24" s="35"/>
      <c r="B24" s="35"/>
      <c r="C24" s="35"/>
    </row>
    <row r="26" spans="1:6" x14ac:dyDescent="0.25">
      <c r="C26"/>
    </row>
  </sheetData>
  <mergeCells count="17">
    <mergeCell ref="C18:F18"/>
    <mergeCell ref="C17:D17"/>
    <mergeCell ref="C20:D20"/>
    <mergeCell ref="B22:D22"/>
    <mergeCell ref="B2:D2"/>
    <mergeCell ref="C19:D19"/>
    <mergeCell ref="C8:D8"/>
    <mergeCell ref="C9:D9"/>
    <mergeCell ref="C10:D10"/>
    <mergeCell ref="C11:D11"/>
    <mergeCell ref="B3:D3"/>
    <mergeCell ref="B4:D4"/>
    <mergeCell ref="B5:D5"/>
    <mergeCell ref="B6:D6"/>
    <mergeCell ref="B7:D7"/>
    <mergeCell ref="C15:D15"/>
    <mergeCell ref="C16:D1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34998626667073579"/>
  </sheetPr>
  <dimension ref="A1:D60"/>
  <sheetViews>
    <sheetView topLeftCell="A12" workbookViewId="0">
      <selection activeCell="B15" sqref="B15"/>
    </sheetView>
  </sheetViews>
  <sheetFormatPr defaultRowHeight="15" x14ac:dyDescent="0.25"/>
  <cols>
    <col min="1" max="1" width="11.5703125" style="1" customWidth="1"/>
    <col min="2" max="2" width="47.28515625" customWidth="1"/>
    <col min="3" max="3" width="11.85546875" style="1" customWidth="1"/>
    <col min="4" max="4" width="188.5703125" customWidth="1"/>
  </cols>
  <sheetData>
    <row r="1" spans="1:4" ht="21" x14ac:dyDescent="0.25">
      <c r="A1" s="78" t="s">
        <v>59</v>
      </c>
      <c r="B1" s="78"/>
      <c r="C1" s="78"/>
      <c r="D1" s="31" t="s">
        <v>151</v>
      </c>
    </row>
    <row r="2" spans="1:4" x14ac:dyDescent="0.25">
      <c r="A2" s="77" t="s">
        <v>63</v>
      </c>
      <c r="B2" s="77"/>
      <c r="C2" s="14" t="s">
        <v>60</v>
      </c>
      <c r="D2" s="29" t="s">
        <v>66</v>
      </c>
    </row>
    <row r="3" spans="1:4" x14ac:dyDescent="0.25">
      <c r="A3" s="77" t="s">
        <v>61</v>
      </c>
      <c r="B3" s="77"/>
      <c r="C3" s="14" t="s">
        <v>60</v>
      </c>
      <c r="D3" s="29" t="s">
        <v>67</v>
      </c>
    </row>
    <row r="4" spans="1:4" x14ac:dyDescent="0.25">
      <c r="A4" s="77" t="s">
        <v>62</v>
      </c>
      <c r="B4" s="77"/>
      <c r="C4" s="14" t="s">
        <v>60</v>
      </c>
      <c r="D4" s="29" t="s">
        <v>67</v>
      </c>
    </row>
    <row r="5" spans="1:4" x14ac:dyDescent="0.25">
      <c r="A5" s="77" t="s">
        <v>65</v>
      </c>
      <c r="B5" s="77"/>
      <c r="C5" s="14" t="s">
        <v>60</v>
      </c>
      <c r="D5" s="29" t="s">
        <v>68</v>
      </c>
    </row>
    <row r="6" spans="1:4" x14ac:dyDescent="0.25">
      <c r="A6" s="77" t="s">
        <v>64</v>
      </c>
      <c r="B6" s="77"/>
      <c r="C6" s="14" t="s">
        <v>60</v>
      </c>
      <c r="D6" s="29" t="s">
        <v>68</v>
      </c>
    </row>
    <row r="7" spans="1:4" x14ac:dyDescent="0.25">
      <c r="A7" s="77" t="s">
        <v>145</v>
      </c>
      <c r="B7" s="77"/>
      <c r="C7" s="28">
        <v>21</v>
      </c>
      <c r="D7" s="30" t="s">
        <v>150</v>
      </c>
    </row>
    <row r="8" spans="1:4" ht="21" x14ac:dyDescent="0.35">
      <c r="A8" s="32" t="s">
        <v>149</v>
      </c>
      <c r="B8" s="32" t="s">
        <v>148</v>
      </c>
      <c r="C8" s="32" t="s">
        <v>147</v>
      </c>
      <c r="D8" s="33" t="s">
        <v>146</v>
      </c>
    </row>
    <row r="9" spans="1:4" x14ac:dyDescent="0.25">
      <c r="A9" s="1">
        <v>1</v>
      </c>
      <c r="B9" s="1" t="s">
        <v>50</v>
      </c>
      <c r="C9" s="34">
        <v>43241</v>
      </c>
      <c r="D9" t="s">
        <v>51</v>
      </c>
    </row>
    <row r="10" spans="1:4" x14ac:dyDescent="0.25">
      <c r="A10" s="1">
        <v>2</v>
      </c>
      <c r="B10" s="1" t="s">
        <v>50</v>
      </c>
      <c r="C10" s="34">
        <v>43241</v>
      </c>
      <c r="D10" t="s">
        <v>52</v>
      </c>
    </row>
    <row r="11" spans="1:4" x14ac:dyDescent="0.25">
      <c r="A11" s="1">
        <v>3</v>
      </c>
      <c r="B11" s="1" t="s">
        <v>50</v>
      </c>
      <c r="C11" s="34">
        <v>43256</v>
      </c>
      <c r="D11" t="s">
        <v>53</v>
      </c>
    </row>
    <row r="12" spans="1:4" x14ac:dyDescent="0.25">
      <c r="A12" s="1">
        <v>4</v>
      </c>
      <c r="B12" s="1" t="s">
        <v>50</v>
      </c>
      <c r="C12" s="34">
        <v>43257</v>
      </c>
      <c r="D12" t="s">
        <v>55</v>
      </c>
    </row>
    <row r="13" spans="1:4" x14ac:dyDescent="0.25">
      <c r="A13" s="1">
        <v>5</v>
      </c>
      <c r="B13" s="1" t="s">
        <v>50</v>
      </c>
      <c r="C13" s="34">
        <v>43258</v>
      </c>
      <c r="D13" t="s">
        <v>54</v>
      </c>
    </row>
    <row r="14" spans="1:4" x14ac:dyDescent="0.25">
      <c r="A14" s="1">
        <v>6</v>
      </c>
      <c r="B14" s="1" t="s">
        <v>50</v>
      </c>
      <c r="C14" s="34">
        <v>43263</v>
      </c>
      <c r="D14" t="s">
        <v>58</v>
      </c>
    </row>
    <row r="15" spans="1:4" x14ac:dyDescent="0.25">
      <c r="A15" s="1">
        <v>7</v>
      </c>
      <c r="B15" s="1" t="s">
        <v>50</v>
      </c>
      <c r="C15" s="34">
        <v>43271</v>
      </c>
      <c r="D15" t="s">
        <v>69</v>
      </c>
    </row>
    <row r="16" spans="1:4" x14ac:dyDescent="0.25">
      <c r="A16" s="1">
        <v>8</v>
      </c>
      <c r="B16" s="1" t="s">
        <v>50</v>
      </c>
      <c r="C16" s="34">
        <v>43430</v>
      </c>
      <c r="D16" t="s">
        <v>75</v>
      </c>
    </row>
    <row r="17" spans="1:4" x14ac:dyDescent="0.25">
      <c r="A17" s="1">
        <v>9</v>
      </c>
      <c r="B17" s="1" t="s">
        <v>50</v>
      </c>
      <c r="C17" s="34">
        <v>43441</v>
      </c>
      <c r="D17" t="s">
        <v>73</v>
      </c>
    </row>
    <row r="18" spans="1:4" x14ac:dyDescent="0.25">
      <c r="A18" s="1">
        <v>10</v>
      </c>
      <c r="B18" s="1" t="s">
        <v>50</v>
      </c>
      <c r="C18" s="34">
        <v>43472</v>
      </c>
      <c r="D18" t="s">
        <v>74</v>
      </c>
    </row>
    <row r="19" spans="1:4" x14ac:dyDescent="0.25">
      <c r="A19" s="1">
        <v>11</v>
      </c>
      <c r="B19" s="1" t="s">
        <v>50</v>
      </c>
      <c r="C19" s="34">
        <v>43479</v>
      </c>
      <c r="D19" t="s">
        <v>80</v>
      </c>
    </row>
    <row r="20" spans="1:4" x14ac:dyDescent="0.25">
      <c r="A20" s="1">
        <v>12</v>
      </c>
      <c r="B20" s="1" t="s">
        <v>50</v>
      </c>
      <c r="C20" s="34">
        <v>43500</v>
      </c>
      <c r="D20" t="s">
        <v>83</v>
      </c>
    </row>
    <row r="21" spans="1:4" x14ac:dyDescent="0.25">
      <c r="A21" s="1">
        <v>13</v>
      </c>
      <c r="B21" s="1" t="s">
        <v>50</v>
      </c>
      <c r="C21" s="34">
        <v>43567</v>
      </c>
      <c r="D21" t="s">
        <v>84</v>
      </c>
    </row>
    <row r="22" spans="1:4" x14ac:dyDescent="0.25">
      <c r="A22" s="1">
        <v>14</v>
      </c>
      <c r="B22" s="1" t="s">
        <v>50</v>
      </c>
      <c r="C22" s="34">
        <v>43579</v>
      </c>
      <c r="D22" t="s">
        <v>108</v>
      </c>
    </row>
    <row r="23" spans="1:4" x14ac:dyDescent="0.25">
      <c r="A23" s="1">
        <v>15</v>
      </c>
      <c r="B23" s="1" t="s">
        <v>50</v>
      </c>
      <c r="C23" s="34">
        <v>43629</v>
      </c>
      <c r="D23" t="s">
        <v>111</v>
      </c>
    </row>
    <row r="24" spans="1:4" x14ac:dyDescent="0.25">
      <c r="A24" s="1">
        <v>16</v>
      </c>
      <c r="B24" s="1" t="s">
        <v>112</v>
      </c>
      <c r="C24" s="34">
        <v>43707</v>
      </c>
      <c r="D24" t="s">
        <v>113</v>
      </c>
    </row>
    <row r="25" spans="1:4" x14ac:dyDescent="0.25">
      <c r="A25" s="1">
        <v>17</v>
      </c>
      <c r="B25" s="1" t="s">
        <v>112</v>
      </c>
      <c r="C25" s="34">
        <v>43724</v>
      </c>
      <c r="D25" t="s">
        <v>116</v>
      </c>
    </row>
    <row r="26" spans="1:4" x14ac:dyDescent="0.25">
      <c r="A26" s="1">
        <v>18</v>
      </c>
      <c r="B26" s="1" t="s">
        <v>50</v>
      </c>
      <c r="C26" s="34">
        <v>43854</v>
      </c>
      <c r="D26" t="s">
        <v>117</v>
      </c>
    </row>
    <row r="27" spans="1:4" x14ac:dyDescent="0.25">
      <c r="A27" s="1">
        <v>19</v>
      </c>
      <c r="B27" s="1" t="s">
        <v>112</v>
      </c>
      <c r="C27" s="34">
        <v>43896</v>
      </c>
      <c r="D27" t="s">
        <v>119</v>
      </c>
    </row>
    <row r="28" spans="1:4" x14ac:dyDescent="0.25">
      <c r="A28" s="1">
        <v>20</v>
      </c>
      <c r="B28" s="1" t="s">
        <v>50</v>
      </c>
      <c r="C28" s="34">
        <v>44238</v>
      </c>
      <c r="D28" t="s">
        <v>141</v>
      </c>
    </row>
    <row r="29" spans="1:4" x14ac:dyDescent="0.25">
      <c r="A29" s="1">
        <v>21</v>
      </c>
      <c r="B29" s="1" t="s">
        <v>50</v>
      </c>
      <c r="C29" s="34">
        <v>44239</v>
      </c>
      <c r="D29" t="s">
        <v>144</v>
      </c>
    </row>
    <row r="30" spans="1:4" x14ac:dyDescent="0.25">
      <c r="A30" s="1">
        <v>21</v>
      </c>
      <c r="B30" s="1" t="s">
        <v>50</v>
      </c>
      <c r="C30" s="34">
        <v>44239</v>
      </c>
      <c r="D30" t="s">
        <v>152</v>
      </c>
    </row>
    <row r="31" spans="1:4" x14ac:dyDescent="0.25">
      <c r="A31" s="1">
        <v>22</v>
      </c>
      <c r="B31" s="1" t="s">
        <v>50</v>
      </c>
      <c r="C31" s="47">
        <v>45009</v>
      </c>
      <c r="D31" t="s">
        <v>166</v>
      </c>
    </row>
    <row r="32" spans="1:4" x14ac:dyDescent="0.25">
      <c r="A32" s="1">
        <v>23</v>
      </c>
      <c r="B32" s="1" t="s">
        <v>167</v>
      </c>
      <c r="C32" s="1" t="s">
        <v>167</v>
      </c>
      <c r="D32" t="s">
        <v>168</v>
      </c>
    </row>
    <row r="33" spans="1:4" x14ac:dyDescent="0.25">
      <c r="A33" s="1">
        <v>24</v>
      </c>
      <c r="B33" s="1" t="s">
        <v>50</v>
      </c>
      <c r="C33" s="47">
        <v>45224</v>
      </c>
      <c r="D33" t="s">
        <v>169</v>
      </c>
    </row>
    <row r="34" spans="1:4" x14ac:dyDescent="0.25">
      <c r="B34" s="1"/>
    </row>
    <row r="35" spans="1:4" x14ac:dyDescent="0.25">
      <c r="B35" s="1"/>
    </row>
    <row r="36" spans="1:4" x14ac:dyDescent="0.25">
      <c r="B36" s="1"/>
    </row>
    <row r="37" spans="1:4" x14ac:dyDescent="0.25">
      <c r="B37" s="1"/>
    </row>
    <row r="38" spans="1:4" x14ac:dyDescent="0.25">
      <c r="B38" s="1"/>
    </row>
    <row r="39" spans="1:4" x14ac:dyDescent="0.25">
      <c r="B39" s="1"/>
    </row>
    <row r="40" spans="1:4" x14ac:dyDescent="0.25">
      <c r="B40" s="1"/>
    </row>
    <row r="41" spans="1:4" x14ac:dyDescent="0.25">
      <c r="B41" s="1"/>
    </row>
    <row r="42" spans="1:4" x14ac:dyDescent="0.25">
      <c r="B42" s="1"/>
    </row>
    <row r="43" spans="1:4" x14ac:dyDescent="0.25">
      <c r="B43" s="1"/>
    </row>
    <row r="44" spans="1:4" x14ac:dyDescent="0.25">
      <c r="B44" s="1"/>
    </row>
    <row r="45" spans="1:4" x14ac:dyDescent="0.25">
      <c r="B45" s="1"/>
    </row>
    <row r="46" spans="1:4" x14ac:dyDescent="0.25">
      <c r="B46" s="1"/>
    </row>
    <row r="47" spans="1:4" x14ac:dyDescent="0.25">
      <c r="B47" s="1"/>
    </row>
    <row r="48" spans="1:4" x14ac:dyDescent="0.25">
      <c r="B48" s="1"/>
    </row>
    <row r="49" spans="2:2" x14ac:dyDescent="0.25">
      <c r="B49" s="1"/>
    </row>
    <row r="50" spans="2:2" x14ac:dyDescent="0.25">
      <c r="B50" s="1"/>
    </row>
    <row r="51" spans="2:2" x14ac:dyDescent="0.25">
      <c r="B51" s="1"/>
    </row>
    <row r="52" spans="2:2" x14ac:dyDescent="0.25">
      <c r="B52" s="1"/>
    </row>
    <row r="53" spans="2:2" x14ac:dyDescent="0.25">
      <c r="B53" s="1"/>
    </row>
    <row r="54" spans="2:2" x14ac:dyDescent="0.25">
      <c r="B54" s="1"/>
    </row>
    <row r="55" spans="2:2" x14ac:dyDescent="0.25">
      <c r="B55" s="1"/>
    </row>
    <row r="56" spans="2:2" x14ac:dyDescent="0.25">
      <c r="B56" s="1"/>
    </row>
    <row r="57" spans="2:2" x14ac:dyDescent="0.25">
      <c r="B57" s="1"/>
    </row>
    <row r="58" spans="2:2" x14ac:dyDescent="0.25">
      <c r="B58" s="1"/>
    </row>
    <row r="59" spans="2:2" x14ac:dyDescent="0.25">
      <c r="B59" s="1"/>
    </row>
    <row r="60" spans="2:2" x14ac:dyDescent="0.25">
      <c r="B60" s="1"/>
    </row>
  </sheetData>
  <mergeCells count="7">
    <mergeCell ref="A6:B6"/>
    <mergeCell ref="A7:B7"/>
    <mergeCell ref="A1:C1"/>
    <mergeCell ref="A2:B2"/>
    <mergeCell ref="A3:B3"/>
    <mergeCell ref="A4:B4"/>
    <mergeCell ref="A5:B5"/>
  </mergeCells>
  <pageMargins left="0.7" right="0.7" top="0.75" bottom="0.75" header="0.3" footer="0.3"/>
  <pageSetup paperSize="262" orientation="landscape" horizontalDpi="360" verticalDpi="36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DE7A9B5742F984FBA386CFB5F86A6D3" ma:contentTypeVersion="4" ma:contentTypeDescription="Create a new document." ma:contentTypeScope="" ma:versionID="14b054cc6cf89529003c817fbe52f269">
  <xsd:schema xmlns:xsd="http://www.w3.org/2001/XMLSchema" xmlns:xs="http://www.w3.org/2001/XMLSchema" xmlns:p="http://schemas.microsoft.com/office/2006/metadata/properties" xmlns:ns2="fb4d3a50-4d66-4dad-95d5-f0ccf1274fdc" targetNamespace="http://schemas.microsoft.com/office/2006/metadata/properties" ma:root="true" ma:fieldsID="43be7f7005cae0d808837578e330c1b6" ns2:_="">
    <xsd:import namespace="fb4d3a50-4d66-4dad-95d5-f0ccf1274fd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b4d3a50-4d66-4dad-95d5-f0ccf1274fd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E10BA59-3847-4E10-BDD9-9383ACD19CB8}">
  <ds:schemaRefs>
    <ds:schemaRef ds:uri="http://schemas.microsoft.com/sharepoint/v3/contenttype/forms"/>
  </ds:schemaRefs>
</ds:datastoreItem>
</file>

<file path=customXml/itemProps2.xml><?xml version="1.0" encoding="utf-8"?>
<ds:datastoreItem xmlns:ds="http://schemas.openxmlformats.org/officeDocument/2006/customXml" ds:itemID="{13017FDE-DEC7-4ACF-9298-9E47D6A09CAD}">
  <ds:schemaRefs>
    <ds:schemaRef ds:uri="http://schemas.microsoft.com/office/2006/documentManagement/types"/>
    <ds:schemaRef ds:uri="fb4d3a50-4d66-4dad-95d5-f0ccf1274fdc"/>
    <ds:schemaRef ds:uri="http://purl.org/dc/elements/1.1/"/>
    <ds:schemaRef ds:uri="http://schemas.microsoft.com/office/2006/metadata/properties"/>
    <ds:schemaRef ds:uri="http://schemas.openxmlformats.org/package/2006/metadata/core-properties"/>
    <ds:schemaRef ds:uri="http://www.w3.org/XML/1998/namespace"/>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5AC426D1-FE3B-4F5B-BB87-EBBAAAFA5B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b4d3a50-4d66-4dad-95d5-f0ccf1274fd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Worksheet</vt:lpstr>
      <vt:lpstr>Calculations</vt:lpstr>
      <vt:lpstr>Input</vt:lpstr>
      <vt:lpstr>Instructions</vt:lpstr>
      <vt:lpstr>Rev History &amp; 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Haskins, Alexander</dc:creator>
  <cp:lastModifiedBy>Haskins, Alexander</cp:lastModifiedBy>
  <dcterms:created xsi:type="dcterms:W3CDTF">2018-06-07T14:24:01Z</dcterms:created>
  <dcterms:modified xsi:type="dcterms:W3CDTF">2023-10-25T15:56:58Z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0x010100EDE7A9B5742F984FBA386CFB5F86A6D3</vt:lpwstr>
  </property>
</Properties>
</file>